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ings" sheetId="1" state="visible" r:id="rId3"/>
    <sheet name="Notes" sheetId="2" state="visible" r:id="rId4"/>
    <sheet name="Pedal Map" sheetId="3" state="visible" r:id="rId5"/>
    <sheet name="ADC Sweep" sheetId="4" state="visible" r:id="rId6"/>
    <sheet name="Trace" sheetId="5" state="visible" r:id="rId7"/>
    <sheet name="Smoothing" sheetId="6" state="visible" r:id="rId8"/>
  </sheets>
  <definedNames>
    <definedName function="false" hidden="false" name="c_GAIN1" vbProcedure="false">Settings!$E$28</definedName>
    <definedName function="false" hidden="false" name="c_GAIN2" vbProcedure="false">Settings!$E$30</definedName>
    <definedName function="false" hidden="false" name="c_OFF1" vbProcedure="false">Settings!$E$29</definedName>
    <definedName function="false" hidden="false" name="c_OFF2" vbProcedure="false">Settings!$E$31</definedName>
    <definedName function="false" hidden="false" name="c_T1MN" vbProcedure="false">Settings!$E$8</definedName>
    <definedName function="false" hidden="false" name="c_T1MX" vbProcedure="false">Settings!$E$9</definedName>
    <definedName function="false" hidden="false" name="c_T2MN" vbProcedure="false">Settings!$E$10</definedName>
    <definedName function="false" hidden="false" name="c_T2MX" vbProcedure="false">Settings!$E$11</definedName>
    <definedName function="false" hidden="false" name="c_TCREEP" vbProcedure="false">Settings!$E$24</definedName>
    <definedName function="false" hidden="false" name="c_TFWD" vbProcedure="false">Settings!$E$15</definedName>
    <definedName function="false" hidden="false" name="c_TMAP1IN" vbProcedure="false">Settings!$E$16</definedName>
    <definedName function="false" hidden="false" name="c_TMAP1OUT" vbProcedure="false">Settings!$E$17</definedName>
    <definedName function="false" hidden="false" name="c_TMAP2IN" vbProcedure="false">Settings!$E$18</definedName>
    <definedName function="false" hidden="false" name="c_TMAP2OUT" vbProcedure="false">Settings!$E$19</definedName>
    <definedName function="false" hidden="false" name="c_TMAP3IN" vbProcedure="false">Settings!$E$20</definedName>
    <definedName function="false" hidden="false" name="c_TMAP3OUT" vbProcedure="false">Settings!$E$21</definedName>
    <definedName function="false" hidden="false" name="c_TMAXRN" vbProcedure="false">Settings!$E$23</definedName>
    <definedName function="false" hidden="false" name="c_TMINRN" vbProcedure="false">Settings!$E$22</definedName>
    <definedName function="false" hidden="false" name="c_TPOT" vbProcedure="false">Settings!$E$6</definedName>
    <definedName function="false" hidden="false" name="c_TRNGMAX" vbProcedure="false">Settings!$E$13</definedName>
    <definedName function="false" hidden="false" name="c_TRNGMIN" vbProcedure="false">Settings!$E$14</definedName>
    <definedName function="false" hidden="false" name="c_TSMOOTH" vbProcedure="false">Settings!$E$25</definedName>
    <definedName function="false" hidden="false" name="c_TSMOOTHCUT" vbProcedure="false">Settings!$E$26</definedName>
    <definedName function="false" hidden="false" name="c_TTYPE" vbProcedure="false">Settings!$E$7</definedName>
    <definedName function="false" hidden="false" name="k_MAXERR" vbProcedure="false">Settings!$E$41</definedName>
    <definedName function="false" hidden="false" name="k_TOL" vbProcedure="false">Settings!$E$40</definedName>
    <definedName function="false" hidden="false" name="o_MISMATCH" vbProcedure="false">Settings!$E$36</definedName>
    <definedName function="false" hidden="false" name="o_SWEND" vbProcedure="false">Settings!$E$35</definedName>
    <definedName function="false" hidden="false" name="o_SWSTART" vbProcedure="false">Settings!$E$34</definedName>
    <definedName function="false" hidden="false" name="o_TRACE1" vbProcedure="false">Settings!$E$37</definedName>
    <definedName function="false" hidden="false" name="o_TRACE2" vbProcedure="false">Settings!$E$38</definedName>
    <definedName function="false" hidden="false" name="o_WRAP" vbProcedure="false">Settings!$E$33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<sst xmlns="http://schemas.openxmlformats.org/spreadsheetml/2006/main" count="308" uniqueCount="244">
  <si>
    <t xml:space="preserve">GEVCU7 PotThrottle tuning model</t>
  </si>
  <si>
    <t xml:space="preserve">Edit the yellow cells (blue text) in column C using the same units you type on the serial console. Column E is what the firmware stores and uses internally (percent settings are stored x10, i.e. 0-1000 permille). Prefilled values are the firmware defaults from loadConfiguration(); replace them with your car's values.</t>
  </si>
  <si>
    <t xml:space="preserve">Setting</t>
  </si>
  <si>
    <t xml:space="preserve">Console name</t>
  </si>
  <si>
    <t xml:space="preserve">Your value</t>
  </si>
  <si>
    <t xml:space="preserve">Console units</t>
  </si>
  <si>
    <t xml:space="preserve">Stored / internal value</t>
  </si>
  <si>
    <t xml:space="preserve">Firmware default</t>
  </si>
  <si>
    <t xml:space="preserve">What it does (source)</t>
  </si>
  <si>
    <t xml:space="preserve">Potentiometer inputs (PotThrottle.cpp)</t>
  </si>
  <si>
    <t xml:space="preserve">Number of pots</t>
  </si>
  <si>
    <t xml:space="preserve">TPOT</t>
  </si>
  <si>
    <t xml:space="preserve">1 or 2</t>
  </si>
  <si>
    <t xml:space="preserve">1 = single pot, 2 = dual pot with cross-check.</t>
  </si>
  <si>
    <t xml:space="preserve">Throttle subtype</t>
  </si>
  <si>
    <t xml:space="preserve">TTYPE</t>
  </si>
  <si>
    <t xml:space="preserve">1 = std linear (both pots rise). 2 = inverse: with 2 pots, pot 2 falls as pot 1 rises. With 1 pot ONLY validateSignal() inverts - calculatePedalPosition() does not (see Notes).</t>
  </si>
  <si>
    <t xml:space="preserve">Pot 1 ADC min</t>
  </si>
  <si>
    <t xml:space="preserve">T1MN</t>
  </si>
  <si>
    <t xml:space="preserve">ADC counts</t>
  </si>
  <si>
    <t xml:space="preserve">Calibrated ADC1 reading that maps to 0% pedal.</t>
  </si>
  <si>
    <t xml:space="preserve">Pot 1 ADC max</t>
  </si>
  <si>
    <t xml:space="preserve">T1MX</t>
  </si>
  <si>
    <t xml:space="preserve">Calibrated ADC1 reading that maps to 100% pedal. Min &gt; max is allowed and inverts the pot.</t>
  </si>
  <si>
    <t xml:space="preserve">Pot 2 ADC min</t>
  </si>
  <si>
    <t xml:space="preserve">T2MN</t>
  </si>
  <si>
    <t xml:space="preserve">Calibrated ADC2 reading that maps to 0 (normalized) for pot 2.</t>
  </si>
  <si>
    <t xml:space="preserve">Pot 2 ADC max</t>
  </si>
  <si>
    <t xml:space="preserve">T2MX</t>
  </si>
  <si>
    <t xml:space="preserve">Calibrated ADC2 reading that maps to 1000 (normalized) for pot 2.</t>
  </si>
  <si>
    <t xml:space="preserve">Pedal map (Throttle.cpp)</t>
  </si>
  <si>
    <t xml:space="preserve">Regen max position</t>
  </si>
  <si>
    <t xml:space="preserve">TRNGMAX</t>
  </si>
  <si>
    <t xml:space="preserve">% pedal</t>
  </si>
  <si>
    <t xml:space="preserve">Pedal position where regen is at TMAXRN. BELOW this position output is 0 (no regen at all).</t>
  </si>
  <si>
    <t xml:space="preserve">Regen min position</t>
  </si>
  <si>
    <t xml:space="preserve">TRNGMIN</t>
  </si>
  <si>
    <t xml:space="preserve">Pedal position where regen has ramped down to TMINRN.</t>
  </si>
  <si>
    <t xml:space="preserve">Forward start</t>
  </si>
  <si>
    <t xml:space="preserve">TFWD</t>
  </si>
  <si>
    <t xml:space="preserve">Pedal position where drive torque starts (0%). Gap TRNGMIN..TFWD = coast.</t>
  </si>
  <si>
    <t xml:space="preserve">Map point 1 input</t>
  </si>
  <si>
    <t xml:space="preserve">TMAP1IN</t>
  </si>
  <si>
    <t xml:space="preserve">Segment 1 runs TFWD -&gt; map1.</t>
  </si>
  <si>
    <t xml:space="preserve">Map point 1 output</t>
  </si>
  <si>
    <t xml:space="preserve">TMAP1OUT</t>
  </si>
  <si>
    <t xml:space="preserve">% throttle</t>
  </si>
  <si>
    <t xml:space="preserve">Map point 2 input</t>
  </si>
  <si>
    <t xml:space="preserve">TMAP2IN</t>
  </si>
  <si>
    <t xml:space="preserve">Segment 2 (map1 -&gt; map2) only used if TMAP2IN &gt; TMAP1IN.</t>
  </si>
  <si>
    <t xml:space="preserve">Map point 2 output</t>
  </si>
  <si>
    <t xml:space="preserve">TMAP2OUT</t>
  </si>
  <si>
    <t xml:space="preserve">Map point 3 input</t>
  </si>
  <si>
    <t xml:space="preserve">TMAP3IN</t>
  </si>
  <si>
    <t xml:space="preserve">Segment 3 (map2 -&gt; map3) only used if TMAP3IN &gt; TMAP2IN. Segment 4 (map3 -&gt; 100%/100%) used whenever pedal &gt;= TMAP3IN and TMAP3IN &lt; 100.</t>
  </si>
  <si>
    <t xml:space="preserve">Map point 3 output</t>
  </si>
  <si>
    <t xml:space="preserve">TMAP3OUT</t>
  </si>
  <si>
    <t xml:space="preserve">Regen at TRNGMIN</t>
  </si>
  <si>
    <t xml:space="preserve">TMINRN</t>
  </si>
  <si>
    <t xml:space="preserve">% torque</t>
  </si>
  <si>
    <t xml:space="preserve">Stored as plain percent (BYTE, no x10).</t>
  </si>
  <si>
    <t xml:space="preserve">Regen at TRNGMAX</t>
  </si>
  <si>
    <t xml:space="preserve">TMAXRN</t>
  </si>
  <si>
    <t xml:space="preserve">Creep</t>
  </si>
  <si>
    <t xml:space="preserve">TCREEP</t>
  </si>
  <si>
    <t xml:space="preserve">Applied ONLY when pedal position is exactly 0. 0 = disabled.</t>
  </si>
  <si>
    <t xml:space="preserve">Smart smoothing</t>
  </si>
  <si>
    <t xml:space="preserve">TSMOOTH</t>
  </si>
  <si>
    <t xml:space="preserve">samples</t>
  </si>
  <si>
    <t xml:space="preserve">Moving-average length in 40 ms ticks (0 = off). See Smoothing sheet.</t>
  </si>
  <si>
    <t xml:space="preserve">Smoothing cutoff</t>
  </si>
  <si>
    <t xml:space="preserve">TSMOOTHCUT</t>
  </si>
  <si>
    <t xml:space="preserve">Smoothing only applies while the MAPPED output (rawThrottle) is below this. Compared to output, not pedal.</t>
  </si>
  <si>
    <t xml:space="preserve">ADC calibration (SystemDevice / sys_io.cpp)</t>
  </si>
  <si>
    <t xml:space="preserve">ADC gain, pot 1 input</t>
  </si>
  <si>
    <t xml:space="preserve">ADCGAINn</t>
  </si>
  <si>
    <t xml:space="preserve">1024 = 1:1</t>
  </si>
  <si>
    <t xml:space="preserve">getAnalogIn() = (raw - offset) * gain / 1024. Use the ADCGAIN&lt;n&gt; of the pin set by T1ADC.</t>
  </si>
  <si>
    <t xml:space="preserve">ADC offset, pot 1 input</t>
  </si>
  <si>
    <t xml:space="preserve">ADCOFFn</t>
  </si>
  <si>
    <t xml:space="preserve">counts</t>
  </si>
  <si>
    <t xml:space="preserve">Use the ADCOFF&lt;n&gt; of the pin set by T1ADC.</t>
  </si>
  <si>
    <t xml:space="preserve">ADC gain, pot 2 input</t>
  </si>
  <si>
    <t xml:space="preserve">Use the ADCGAIN&lt;n&gt; of the pin set by T2ADC.</t>
  </si>
  <si>
    <t xml:space="preserve">ADC offset, pot 2 input</t>
  </si>
  <si>
    <t xml:space="preserve">Use the ADCOFF&lt;n&gt; of the pin set by T2ADC.</t>
  </si>
  <si>
    <t xml:space="preserve">Workbook options (not firmware settings)</t>
  </si>
  <si>
    <t xml:space="preserve">Emulate 32-bit overflow in map()</t>
  </si>
  <si>
    <t xml:space="preserve">-</t>
  </si>
  <si>
    <t xml:space="preserve">1 = on, 0 = off</t>
  </si>
  <si>
    <t xml:space="preserve">Teensy map() computes in_range*num in 32-bit long; with ADC-sized ranges this overflows and can shift results by -1 (see Notes). 1 reproduces wrap-around arithmetic.</t>
  </si>
  <si>
    <t xml:space="preserve">ADC sweep start</t>
  </si>
  <si>
    <t xml:space="preserve">raw counts</t>
  </si>
  <si>
    <t xml:space="preserve">First raw ADC1 value on the ADC Sweep sheet.</t>
  </si>
  <si>
    <t xml:space="preserve">ADC sweep end</t>
  </si>
  <si>
    <t xml:space="preserve">Last raw ADC1 value on the ADC Sweep sheet (400 even steps).</t>
  </si>
  <si>
    <t xml:space="preserve">Pot 2 mismatch offset</t>
  </si>
  <si>
    <t xml:space="preserve">Added to the generated ideal ADC2 reading on ADC Sweep, to see when the mismatch check trips.</t>
  </si>
  <si>
    <t xml:space="preserve">Trace: raw ADC1</t>
  </si>
  <si>
    <t xml:space="preserve">Single-point input for the Trace sheet.</t>
  </si>
  <si>
    <t xml:space="preserve">Trace: raw ADC2</t>
  </si>
  <si>
    <t xml:space="preserve">Single-point input for the Trace sheet (ignored when TPOT = 1).</t>
  </si>
  <si>
    <t xml:space="preserve">Firmware constants (Throttle.h, not configurable)</t>
  </si>
  <si>
    <t xml:space="preserve">CFG_THROTTLE_TOLERANCE</t>
  </si>
  <si>
    <t xml:space="preserve">permille</t>
  </si>
  <si>
    <t xml:space="preserve">How far a normalized pot may go beyond 0..1000 before faulting. Within it the value is clamped (dead zone).</t>
  </si>
  <si>
    <t xml:space="preserve">ThrottleMaxErrValue</t>
  </si>
  <si>
    <t xml:space="preserve">Max allowed disagreement between the two pots.</t>
  </si>
  <si>
    <t xml:space="preserve">Sanity checks on your settings</t>
  </si>
  <si>
    <t xml:space="preserve">Regen positions in order (TRNGMAX &lt;= TRNGMIN)</t>
  </si>
  <si>
    <t xml:space="preserve">Coast gap not negative (TRNGMIN &lt;= TFWD)</t>
  </si>
  <si>
    <t xml:space="preserve">TFWD &lt;= TMAP1IN</t>
  </si>
  <si>
    <t xml:space="preserve">TFWD &lt;&gt; TMAP1IN (equal makes segment 1 return its midpoint)</t>
  </si>
  <si>
    <t xml:space="preserve">Map inputs in order (TMAP1IN &lt;= TMAP2IN &lt;= TMAP3IN)</t>
  </si>
  <si>
    <t xml:space="preserve">Map outputs non-decreasing</t>
  </si>
  <si>
    <t xml:space="preserve">Not using single-pot inverse (TPOT=1, TTYPE=2 does not invert pedal)</t>
  </si>
  <si>
    <t xml:space="preserve">Pot 1 range non-zero (T1MN &lt;&gt; T1MX)</t>
  </si>
  <si>
    <t xml:space="preserve">Pot 2 range non-zero when TPOT=2</t>
  </si>
  <si>
    <t xml:space="preserve">How the chain works, and things found while modelling it</t>
  </si>
  <si>
    <t xml:space="preserve">Signal chain (every 40 ms, PotThrottle tick)</t>
  </si>
  <si>
    <t xml:space="preserve">1. sys_io: ADC = (raw - ADCOFF) * ADCGAIN / 1024.</t>
  </si>
  <si>
    <t xml:space="preserve">2. validateSignal(): each pot normalized with map(ADC, TxMN, TxMX, 0, 1000). Beyond 0..1000 by more than 150 (15%) -&gt; fault, output 0. Two pots must agree within 150.</t>
  </si>
  <si>
    <t xml:space="preserve">3. calculatePedalPosition(): each pot clamped 0..1000, pot 2 inverted when TTYPE=2, then averaged -&gt; Pedal_Position.</t>
  </si>
  <si>
    <t xml:space="preserve">4. mapPedalPosition(): creep at exactly 0 -&gt; regen ramp TRNGMAX..TRNGMIN -&gt; coast -&gt; 4 linear segments from TFWD to 100%. Then |x| &gt; 1090 faults, &gt; 979 becomes 1000 -&gt; Raw_Throttle.</t>
  </si>
  <si>
    <t xml:space="preserve">5. handleTick(): if TSMOOTH &gt; 0 and Raw_Throttle &lt; TSMOOTHCUT, moving average of the last TSMOOTH samples -&gt; Throttle_Level.</t>
  </si>
  <si>
    <t xml:space="preserve">Teensy map() is not the classic Arduino map()</t>
  </si>
  <si>
    <t xml:space="preserve">Teensy core 1.59 (cores/teensy4/wiring.h) rounds to nearest rather than truncating, adds a sign-correction step, and when in_min == in_max returns out_min + (out_max - out_min)/2 instead of dividing by zero. A spreadsheet using the textbook (x-a)*(d-c)/(b-a)+c formula will be off by up to 1 permille and wrong at equal endpoints. This workbook uses the Teensy version.</t>
  </si>
  <si>
    <t xml:space="preserve">Its sign-correction computes in_range * num in 32-bit long. For pot normalization (in_range ~3000, num up to ~3,000,000) that overflows, which is undefined behaviour in C and in practice wraps. With the default 20..3150 range, about half the ADC values come out 1 permille low and the curve has 2 small backward steps. Not big enough to feel, but it explains small oddities in logs. Toggle 'Emulate 32-bit overflow' on Settings to compare.</t>
  </si>
  <si>
    <t xml:space="preserve">Behaviours that often look like tuning problems</t>
  </si>
  <si>
    <t xml:space="preserve">- Single pot + TTYPE=2 does NOT invert the pedal. validateSignal() inverts pot 1 for that case but calculatePedalPosition() does not, so the throttle tracks the un-inverted value. For an inverse single pot, use TTYPE=1 and set T1MN higher than T1MX.</t>
  </si>
  <si>
    <t xml:space="preserve">- Creep only applies when the pedal position is exactly 0. If the resting pot reads a few counts above T1MN, creep disappears and regen at TMAXRN (default 70%) appears instead. Setting T1MN a little ABOVE the resting reading gives a clean 0 (values up to 15% below T1MN are clamped, not faulted).</t>
  </si>
  <si>
    <t xml:space="preserve">- Below TRNGMAX the output is 0, not max regen (the ramp-to-zero code is commented out). With TRNGMAX &gt; 0 the first part of pedal travel coasts.</t>
  </si>
  <si>
    <t xml:space="preserve">- The regen ramp starts at TRNGMAX = full regen and falls to TMINRN at TRNGMIN, so with TRNGMAX = 0 regen is strongest with the pedal fully released.</t>
  </si>
  <si>
    <t xml:space="preserve">- Map points must be in increasing input order. If TMAP2IN &lt;= TMAP1IN, segment 2 is skipped and segment 1 is extrapolated past map point 1 until a later segment takes over, which can jump. Segment 4 takes over at TMAP3IN even if TMAP3IN is below TMAP2IN. The Settings sheet flags these.</t>
  </si>
  <si>
    <t xml:space="preserve">- If TFWD == TMAP1IN, segment 1 is degenerate and map() returns half of TMAP1OUT.</t>
  </si>
  <si>
    <t xml:space="preserve">- If TFWD &lt; TRNGMIN the forward map overrides the regen ramp in the overlap; if TFWD &gt; TRNGMIN the gap is a coast zone.</t>
  </si>
  <si>
    <t xml:space="preserve">- Anything over 97.9% output jumps straight to 100%.</t>
  </si>
  <si>
    <t xml:space="preserve">- TSMOOTHCUT is compared to the MAPPED output (Raw_Throttle), not pedal position, and in permille of output. When the output drops below the cutoff the average buffer is refilled with the cutoff value, so on lift-off the level falls from TSMOOTHCUT toward the new value over TSMOOTH ticks (TSMOOTH x 40 ms). The same smoothing applies to regen (negative) values, which delays regen onset.</t>
  </si>
  <si>
    <t xml:space="preserve">Other issues noticed (outside tuning)</t>
  </si>
  <si>
    <t xml:space="preserve">- PotThrottle.cpp:151: the T2 too-low branch calls faultHandler.cancelOngoingFault() where every other branch calls raiseFault(), so a low pot 2 sets status but never logs the fault.</t>
  </si>
  <si>
    <t xml:space="preserve">- sys_io.cpp calibrateADCGain(): divides the averaged raw reading by 2048 before checking it is &gt; 1000, and computes gain on a 16384 base while the scaling divides by 1024. Worth checking before trusting auto-calibrated ADCGAIN values.</t>
  </si>
  <si>
    <t xml:space="preserve">Modelling limits</t>
  </si>
  <si>
    <t xml:space="preserve">- ADC Sweep's pot 2 column is an ideal pot unless you type measured readings over it.</t>
  </si>
  <si>
    <t xml:space="preserve">- The Smoothing sheet assumes the signal is valid every tick (a faulted tick gives 0 and leaves the buffer untouched in firmware).</t>
  </si>
  <si>
    <t xml:space="preserve">- int16 overflow of the ADC gain stage (very large gain) is not modelled.</t>
  </si>
  <si>
    <t xml:space="preserve">Pedal position (0-1000) -&gt; mapped throttle (rawThrottle), Throttle::mapPedalPosition()</t>
  </si>
  <si>
    <t xml:space="preserve">Every pedal position 0..1000 (0.1% steps). Columns C-G are each candidate formula; H shows which one the firmware actually picks. Output is -1000..1000 permille (negative = regen). No ADC or validation here - see ADC Sweep for that.</t>
  </si>
  <si>
    <t xml:space="preserve">Pedal position (permille)</t>
  </si>
  <si>
    <t xml:space="preserve">Pedal %</t>
  </si>
  <si>
    <t xml:space="preserve">Creep / regen branch</t>
  </si>
  <si>
    <t xml:space="preserve">Seg1 TFWD-&gt;map1</t>
  </si>
  <si>
    <t xml:space="preserve">Seg2 map1-&gt;map2</t>
  </si>
  <si>
    <t xml:space="preserve">Seg3 map2-&gt;map3</t>
  </si>
  <si>
    <t xml:space="preserve">Seg4 map3-&gt;100%</t>
  </si>
  <si>
    <t xml:space="preserve">Branch used</t>
  </si>
  <si>
    <t xml:space="preserve">Mapped (before checks)</t>
  </si>
  <si>
    <t xml:space="preserve">Range fault (&gt;|1090|)</t>
  </si>
  <si>
    <t xml:space="preserve">rawThrottle (permille)</t>
  </si>
  <si>
    <t xml:space="preserve">Throttle %</t>
  </si>
  <si>
    <t xml:space="preserve">Raw ADC -&gt; final throttle level: full chain through PotThrottle and Throttle</t>
  </si>
  <si>
    <t xml:space="preserve">Raw ADC1 swept from 'ADC sweep start' to 'ADC sweep end' (Settings). For TPOT = 2, column F generates the ADC2 reading an ideal pot 2 would give at the same pedal travel (plus the mismatch offset); you can type measured values over column F. Final level assumes smoothing has settled (constant input) - see Smoothing for the time behaviour.</t>
  </si>
  <si>
    <t xml:space="preserve">Step</t>
  </si>
  <si>
    <t xml:space="preserve">Raw ADC1</t>
  </si>
  <si>
    <t xml:space="preserve">ADC1 after gain/offset (getAnalogIn)</t>
  </si>
  <si>
    <t xml:space="preserve">Pot1 normalized, unclamped</t>
  </si>
  <si>
    <t xml:space="preserve">Pot1 value checked by validateSignal</t>
  </si>
  <si>
    <t xml:space="preserve">ADC2 after gain/offset (generated)</t>
  </si>
  <si>
    <t xml:space="preserve">Pot2 normalized, unclamped</t>
  </si>
  <si>
    <t xml:space="preserve">validateSignal result</t>
  </si>
  <si>
    <t xml:space="preserve">Pot1 clamped 0-1000</t>
  </si>
  <si>
    <t xml:space="preserve">Pot2 clamped (inverted if TTYPE=2)</t>
  </si>
  <si>
    <t xml:space="preserve">Seg1</t>
  </si>
  <si>
    <t xml:space="preserve">Seg2</t>
  </si>
  <si>
    <t xml:space="preserve">Seg3</t>
  </si>
  <si>
    <t xml:space="preserve">Seg4</t>
  </si>
  <si>
    <t xml:space="preserve">Range fault</t>
  </si>
  <si>
    <t xml:space="preserve">Final throttle level (permille)</t>
  </si>
  <si>
    <t xml:space="preserve">Step-by-step trace of one reading</t>
  </si>
  <si>
    <t xml:space="preserve">Inputs are 'Trace: raw ADC1/ADC2' on Settings. Each row is one step of the firmware, in execution order.</t>
  </si>
  <si>
    <t xml:space="preserve">Value</t>
  </si>
  <si>
    <t xml:space="preserve">Code</t>
  </si>
  <si>
    <t xml:space="preserve">What happens</t>
  </si>
  <si>
    <t xml:space="preserve">_pGetAnalogRaw()</t>
  </si>
  <si>
    <t xml:space="preserve">Raw count from the ADC.</t>
  </si>
  <si>
    <t xml:space="preserve">ADC1 after gain/offset</t>
  </si>
  <si>
    <t xml:space="preserve">sys_io.cpp SystemIO::handleTick()</t>
  </si>
  <si>
    <t xml:space="preserve">(raw - ADCOFF) * ADCGAIN / 1024, truncated. This is what getAnalogIn() and the status display report.</t>
  </si>
  <si>
    <t xml:space="preserve">Raw ADC2</t>
  </si>
  <si>
    <t xml:space="preserve">ADC2 after gain/offset</t>
  </si>
  <si>
    <t xml:space="preserve">sys_io.cpp</t>
  </si>
  <si>
    <t xml:space="preserve">Pot1 normalized (unclamped)</t>
  </si>
  <si>
    <t xml:space="preserve">Throttle::normalizeInput() -&gt; map()</t>
  </si>
  <si>
    <t xml:space="preserve">Teensy map(ADC1, T1MN, T1MX, 0, 1000) with round-to-nearest.</t>
  </si>
  <si>
    <t xml:space="preserve">Pot1 value validated</t>
  </si>
  <si>
    <t xml:space="preserve">PotThrottle::validateSignal()</t>
  </si>
  <si>
    <t xml:space="preserve">Inverted only for single-pot TTYPE=2.</t>
  </si>
  <si>
    <t xml:space="preserve">Pot1 range check</t>
  </si>
  <si>
    <t xml:space="preserve">validateSignal()</t>
  </si>
  <si>
    <t xml:space="preserve">Faults if beyond 0..1000 by more than CFG_THROTTLE_TOLERANCE.</t>
  </si>
  <si>
    <t xml:space="preserve">Pot2 normalized (unclamped)</t>
  </si>
  <si>
    <t xml:space="preserve">normalizeInput()</t>
  </si>
  <si>
    <t xml:space="preserve">Only when TPOT = 2.</t>
  </si>
  <si>
    <t xml:space="preserve">Pot2 range check</t>
  </si>
  <si>
    <t xml:space="preserve">Pot agreement check</t>
  </si>
  <si>
    <t xml:space="preserve">TTYPE=2: pot1 + pot2 must be within ThrottleMaxErrValue of 1000. TTYPE=1: pots must be within ThrottleMaxErrValue of each other.</t>
  </si>
  <si>
    <t xml:space="preserve">Signal valid?</t>
  </si>
  <si>
    <t xml:space="preserve">Throttle::handleTick()</t>
  </si>
  <si>
    <t xml:space="preserve">If not OK, rawThrottle = level = 0 this tick.</t>
  </si>
  <si>
    <t xml:space="preserve">Pot1 clamped</t>
  </si>
  <si>
    <t xml:space="preserve">normalizeAndConstrainInput()</t>
  </si>
  <si>
    <t xml:space="preserve">Pot2 clamped / inverted</t>
  </si>
  <si>
    <t xml:space="preserve">calculatePedalPosition()</t>
  </si>
  <si>
    <t xml:space="preserve">Inverted when TTYPE=2.</t>
  </si>
  <si>
    <t xml:space="preserve">Average of the two pots, integer division. Reported as Pedal_Position status.</t>
  </si>
  <si>
    <t xml:space="preserve">mapPedalPosition()</t>
  </si>
  <si>
    <t xml:space="preserve">Creep if pedal = 0 and TCREEP &gt; 0; else linear regen between TRNGMAX and TRNGMIN; else 0.</t>
  </si>
  <si>
    <t xml:space="preserve">Segment 1 TFWD -&gt; map1</t>
  </si>
  <si>
    <t xml:space="preserve">map(p, TFWD, MAP1IN, 0, MAP1OUT)</t>
  </si>
  <si>
    <t xml:space="preserve">Candidate value; may not be the one used.</t>
  </si>
  <si>
    <t xml:space="preserve">Segment 2 map1 -&gt; map2</t>
  </si>
  <si>
    <t xml:space="preserve">map(p, MAP1IN, MAP2IN, MAP1OUT, MAP2OUT)</t>
  </si>
  <si>
    <t xml:space="preserve">Segment 3 map2 -&gt; map3</t>
  </si>
  <si>
    <t xml:space="preserve">map(p, MAP2IN, MAP3IN, MAP2OUT, MAP3OUT)</t>
  </si>
  <si>
    <t xml:space="preserve">Segment 4 map3 -&gt; 100%</t>
  </si>
  <si>
    <t xml:space="preserve">map(p, MAP3IN, 1000, MAP3OUT, 1000)</t>
  </si>
  <si>
    <t xml:space="preserve">The last segment whose condition is true wins.</t>
  </si>
  <si>
    <t xml:space="preserve">Mapped value</t>
  </si>
  <si>
    <t xml:space="preserve">Outside +/-1090 raises a fault and outputs 0.</t>
  </si>
  <si>
    <t xml:space="preserve">mapPedalPosition() / handleTick()</t>
  </si>
  <si>
    <t xml:space="preserve">Values &gt; 979 are bumped to 1000. Reported as Raw_Throttle status. With no smoothing (or above TSMOOTHCUT) this is the final level.</t>
  </si>
  <si>
    <t xml:space="preserve">Throttle_Level / 10 once smoothing has settled.</t>
  </si>
  <si>
    <t xml:space="preserve">Smart smoothing over time (40 ms ticks)</t>
  </si>
  <si>
    <t xml:space="preserve">Type a pedal position profile (permille) into column C - the prefilled profile presses, holds, lifts off, then partial throttle. Smoothing uses TSMOOTH and TSMOOTHCUT from Settings (set TSMOOTH &gt; 0 to see an effect). Signal assumed valid every tick.</t>
  </si>
  <si>
    <t xml:space="preserve">Tick</t>
  </si>
  <si>
    <t xml:space="preserve">Time (s)</t>
  </si>
  <si>
    <t xml:space="preserve">Creep / regen</t>
  </si>
  <si>
    <t xml:space="preserve">Mapped</t>
  </si>
  <si>
    <t xml:space="preserve">Smoothing bypassed?</t>
  </si>
  <si>
    <t xml:space="preserve">Ticks below cutoff</t>
  </si>
  <si>
    <t xml:space="preserve">Samples in average</t>
  </si>
  <si>
    <t xml:space="preserve">Buffer fill value</t>
  </si>
  <si>
    <t xml:space="preserve">Throttle level (permille)</t>
  </si>
  <si>
    <t xml:space="preserve">rawThrottle %</t>
  </si>
  <si>
    <t xml:space="preserve">Throttle level %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</si>
</sst>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B3C992"/>
      <rgbColor rgb="FFFF99CC"/>
      <rgbColor rgb="FFCC99FF"/>
      <rgbColor rgb="FFF8CBAD"/>
      <rgbColor rgb="FF3366FF"/>
      <rgbColor rgb="FF33CCCC"/>
      <rgbColor rgb="FF98B855"/>
      <rgbColor rgb="FFFFCC00"/>
      <rgbColor rgb="FFFF9900"/>
      <rgbColor rgb="FFFF6600"/>
      <rgbColor rgb="FF666699"/>
      <rgbColor rgb="FF87A44B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Pedal map: pedal % vs throttle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"Throttle %"</c:f>
              <c:strCache>
                <c:ptCount val="1"/>
                <c:pt idx="0">
                  <c:v>Throttle %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'Pedal Map'!$B$5:$B$1005</c:f>
              <c:numCache>
                <c:formatCode>General</c:formatCode>
                <c:ptCount val="10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</c:v>
                </c:pt>
                <c:pt idx="323">
                  <c:v>32.3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</c:v>
                </c:pt>
                <c:pt idx="328">
                  <c:v>32.8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</c:v>
                </c:pt>
                <c:pt idx="333">
                  <c:v>33.3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</c:v>
                </c:pt>
                <c:pt idx="338">
                  <c:v>33.8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</c:v>
                </c:pt>
                <c:pt idx="343">
                  <c:v>34.3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</c:v>
                </c:pt>
                <c:pt idx="348">
                  <c:v>34.8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</c:v>
                </c:pt>
                <c:pt idx="353">
                  <c:v>35.3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</c:v>
                </c:pt>
                <c:pt idx="358">
                  <c:v>35.8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</c:v>
                </c:pt>
                <c:pt idx="363">
                  <c:v>36.3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</c:v>
                </c:pt>
                <c:pt idx="368">
                  <c:v>36.8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</c:v>
                </c:pt>
                <c:pt idx="373">
                  <c:v>37.3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</c:v>
                </c:pt>
                <c:pt idx="378">
                  <c:v>37.8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</c:v>
                </c:pt>
                <c:pt idx="383">
                  <c:v>38.3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</c:v>
                </c:pt>
                <c:pt idx="388">
                  <c:v>38.8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</c:v>
                </c:pt>
                <c:pt idx="393">
                  <c:v>39.3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</c:v>
                </c:pt>
                <c:pt idx="398">
                  <c:v>39.8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</c:v>
                </c:pt>
                <c:pt idx="403">
                  <c:v>40.3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</c:v>
                </c:pt>
                <c:pt idx="408">
                  <c:v>40.8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64.1</c:v>
                </c:pt>
                <c:pt idx="642">
                  <c:v>64.2</c:v>
                </c:pt>
                <c:pt idx="643">
                  <c:v>64.3</c:v>
                </c:pt>
                <c:pt idx="644">
                  <c:v>64.4</c:v>
                </c:pt>
                <c:pt idx="645">
                  <c:v>64.5</c:v>
                </c:pt>
                <c:pt idx="646">
                  <c:v>64.6</c:v>
                </c:pt>
                <c:pt idx="647">
                  <c:v>64.7</c:v>
                </c:pt>
                <c:pt idx="648">
                  <c:v>64.8</c:v>
                </c:pt>
                <c:pt idx="649">
                  <c:v>64.9</c:v>
                </c:pt>
                <c:pt idx="650">
                  <c:v>65</c:v>
                </c:pt>
                <c:pt idx="651">
                  <c:v>65.1</c:v>
                </c:pt>
                <c:pt idx="652">
                  <c:v>65.2</c:v>
                </c:pt>
                <c:pt idx="653">
                  <c:v>65.3</c:v>
                </c:pt>
                <c:pt idx="654">
                  <c:v>65.4</c:v>
                </c:pt>
                <c:pt idx="655">
                  <c:v>65.5</c:v>
                </c:pt>
                <c:pt idx="656">
                  <c:v>65.6</c:v>
                </c:pt>
                <c:pt idx="657">
                  <c:v>65.7</c:v>
                </c:pt>
                <c:pt idx="658">
                  <c:v>65.8</c:v>
                </c:pt>
                <c:pt idx="659">
                  <c:v>65.9</c:v>
                </c:pt>
                <c:pt idx="660">
                  <c:v>66</c:v>
                </c:pt>
                <c:pt idx="661">
                  <c:v>66.1</c:v>
                </c:pt>
                <c:pt idx="662">
                  <c:v>66.2</c:v>
                </c:pt>
                <c:pt idx="663">
                  <c:v>66.3</c:v>
                </c:pt>
                <c:pt idx="664">
                  <c:v>66.4</c:v>
                </c:pt>
                <c:pt idx="665">
                  <c:v>66.5</c:v>
                </c:pt>
                <c:pt idx="666">
                  <c:v>66.6</c:v>
                </c:pt>
                <c:pt idx="667">
                  <c:v>66.7</c:v>
                </c:pt>
                <c:pt idx="668">
                  <c:v>66.8</c:v>
                </c:pt>
                <c:pt idx="669">
                  <c:v>66.9</c:v>
                </c:pt>
                <c:pt idx="670">
                  <c:v>67</c:v>
                </c:pt>
                <c:pt idx="671">
                  <c:v>67.1</c:v>
                </c:pt>
                <c:pt idx="672">
                  <c:v>67.2</c:v>
                </c:pt>
                <c:pt idx="673">
                  <c:v>67.3</c:v>
                </c:pt>
                <c:pt idx="674">
                  <c:v>67.4</c:v>
                </c:pt>
                <c:pt idx="675">
                  <c:v>67.5</c:v>
                </c:pt>
                <c:pt idx="676">
                  <c:v>67.6</c:v>
                </c:pt>
                <c:pt idx="677">
                  <c:v>67.7</c:v>
                </c:pt>
                <c:pt idx="678">
                  <c:v>67.8</c:v>
                </c:pt>
                <c:pt idx="679">
                  <c:v>67.9</c:v>
                </c:pt>
                <c:pt idx="680">
                  <c:v>68</c:v>
                </c:pt>
                <c:pt idx="681">
                  <c:v>68.1</c:v>
                </c:pt>
                <c:pt idx="682">
                  <c:v>68.2</c:v>
                </c:pt>
                <c:pt idx="683">
                  <c:v>68.3</c:v>
                </c:pt>
                <c:pt idx="684">
                  <c:v>68.4</c:v>
                </c:pt>
                <c:pt idx="685">
                  <c:v>68.5</c:v>
                </c:pt>
                <c:pt idx="686">
                  <c:v>68.6</c:v>
                </c:pt>
                <c:pt idx="687">
                  <c:v>68.7</c:v>
                </c:pt>
                <c:pt idx="688">
                  <c:v>68.8</c:v>
                </c:pt>
                <c:pt idx="689">
                  <c:v>68.9</c:v>
                </c:pt>
                <c:pt idx="690">
                  <c:v>69</c:v>
                </c:pt>
                <c:pt idx="691">
                  <c:v>69.1</c:v>
                </c:pt>
                <c:pt idx="692">
                  <c:v>69.2</c:v>
                </c:pt>
                <c:pt idx="693">
                  <c:v>69.3</c:v>
                </c:pt>
                <c:pt idx="694">
                  <c:v>69.4</c:v>
                </c:pt>
                <c:pt idx="695">
                  <c:v>69.5</c:v>
                </c:pt>
                <c:pt idx="696">
                  <c:v>69.6</c:v>
                </c:pt>
                <c:pt idx="697">
                  <c:v>69.7</c:v>
                </c:pt>
                <c:pt idx="698">
                  <c:v>69.8</c:v>
                </c:pt>
                <c:pt idx="699">
                  <c:v>69.9</c:v>
                </c:pt>
                <c:pt idx="700">
                  <c:v>70</c:v>
                </c:pt>
                <c:pt idx="701">
                  <c:v>70.1</c:v>
                </c:pt>
                <c:pt idx="702">
                  <c:v>70.2</c:v>
                </c:pt>
                <c:pt idx="703">
                  <c:v>70.3</c:v>
                </c:pt>
                <c:pt idx="704">
                  <c:v>70.4</c:v>
                </c:pt>
                <c:pt idx="705">
                  <c:v>70.5</c:v>
                </c:pt>
                <c:pt idx="706">
                  <c:v>70.6</c:v>
                </c:pt>
                <c:pt idx="707">
                  <c:v>70.7</c:v>
                </c:pt>
                <c:pt idx="708">
                  <c:v>70.8</c:v>
                </c:pt>
                <c:pt idx="709">
                  <c:v>70.9</c:v>
                </c:pt>
                <c:pt idx="710">
                  <c:v>71</c:v>
                </c:pt>
                <c:pt idx="711">
                  <c:v>71.1</c:v>
                </c:pt>
                <c:pt idx="712">
                  <c:v>71.2</c:v>
                </c:pt>
                <c:pt idx="713">
                  <c:v>71.3</c:v>
                </c:pt>
                <c:pt idx="714">
                  <c:v>71.4</c:v>
                </c:pt>
                <c:pt idx="715">
                  <c:v>71.5</c:v>
                </c:pt>
                <c:pt idx="716">
                  <c:v>71.6</c:v>
                </c:pt>
                <c:pt idx="717">
                  <c:v>71.7</c:v>
                </c:pt>
                <c:pt idx="718">
                  <c:v>71.8</c:v>
                </c:pt>
                <c:pt idx="719">
                  <c:v>71.9</c:v>
                </c:pt>
                <c:pt idx="720">
                  <c:v>72</c:v>
                </c:pt>
                <c:pt idx="721">
                  <c:v>72.1</c:v>
                </c:pt>
                <c:pt idx="722">
                  <c:v>72.2</c:v>
                </c:pt>
                <c:pt idx="723">
                  <c:v>72.3</c:v>
                </c:pt>
                <c:pt idx="724">
                  <c:v>72.4</c:v>
                </c:pt>
                <c:pt idx="725">
                  <c:v>72.5</c:v>
                </c:pt>
                <c:pt idx="726">
                  <c:v>72.6</c:v>
                </c:pt>
                <c:pt idx="727">
                  <c:v>72.7</c:v>
                </c:pt>
                <c:pt idx="728">
                  <c:v>72.8</c:v>
                </c:pt>
                <c:pt idx="729">
                  <c:v>72.9</c:v>
                </c:pt>
                <c:pt idx="730">
                  <c:v>73</c:v>
                </c:pt>
                <c:pt idx="731">
                  <c:v>73.1</c:v>
                </c:pt>
                <c:pt idx="732">
                  <c:v>73.2</c:v>
                </c:pt>
                <c:pt idx="733">
                  <c:v>73.3</c:v>
                </c:pt>
                <c:pt idx="734">
                  <c:v>73.4</c:v>
                </c:pt>
                <c:pt idx="735">
                  <c:v>73.5</c:v>
                </c:pt>
                <c:pt idx="736">
                  <c:v>73.6</c:v>
                </c:pt>
                <c:pt idx="737">
                  <c:v>73.7</c:v>
                </c:pt>
                <c:pt idx="738">
                  <c:v>73.8</c:v>
                </c:pt>
                <c:pt idx="739">
                  <c:v>73.9</c:v>
                </c:pt>
                <c:pt idx="740">
                  <c:v>74</c:v>
                </c:pt>
                <c:pt idx="741">
                  <c:v>74.1</c:v>
                </c:pt>
                <c:pt idx="742">
                  <c:v>74.2</c:v>
                </c:pt>
                <c:pt idx="743">
                  <c:v>74.3</c:v>
                </c:pt>
                <c:pt idx="744">
                  <c:v>74.4</c:v>
                </c:pt>
                <c:pt idx="745">
                  <c:v>74.5</c:v>
                </c:pt>
                <c:pt idx="746">
                  <c:v>74.6</c:v>
                </c:pt>
                <c:pt idx="747">
                  <c:v>74.7</c:v>
                </c:pt>
                <c:pt idx="748">
                  <c:v>74.8</c:v>
                </c:pt>
                <c:pt idx="749">
                  <c:v>74.9</c:v>
                </c:pt>
                <c:pt idx="750">
                  <c:v>75</c:v>
                </c:pt>
                <c:pt idx="751">
                  <c:v>75.1</c:v>
                </c:pt>
                <c:pt idx="752">
                  <c:v>75.2</c:v>
                </c:pt>
                <c:pt idx="753">
                  <c:v>75.3</c:v>
                </c:pt>
                <c:pt idx="754">
                  <c:v>75.4</c:v>
                </c:pt>
                <c:pt idx="755">
                  <c:v>75.5</c:v>
                </c:pt>
                <c:pt idx="756">
                  <c:v>75.6</c:v>
                </c:pt>
                <c:pt idx="757">
                  <c:v>75.7</c:v>
                </c:pt>
                <c:pt idx="758">
                  <c:v>75.8</c:v>
                </c:pt>
                <c:pt idx="759">
                  <c:v>75.9</c:v>
                </c:pt>
                <c:pt idx="760">
                  <c:v>76</c:v>
                </c:pt>
                <c:pt idx="761">
                  <c:v>76.1</c:v>
                </c:pt>
                <c:pt idx="762">
                  <c:v>76.2</c:v>
                </c:pt>
                <c:pt idx="763">
                  <c:v>76.3</c:v>
                </c:pt>
                <c:pt idx="764">
                  <c:v>76.4</c:v>
                </c:pt>
                <c:pt idx="765">
                  <c:v>76.5</c:v>
                </c:pt>
                <c:pt idx="766">
                  <c:v>76.6</c:v>
                </c:pt>
                <c:pt idx="767">
                  <c:v>76.7</c:v>
                </c:pt>
                <c:pt idx="768">
                  <c:v>76.8</c:v>
                </c:pt>
                <c:pt idx="769">
                  <c:v>76.9</c:v>
                </c:pt>
                <c:pt idx="770">
                  <c:v>77</c:v>
                </c:pt>
                <c:pt idx="771">
                  <c:v>77.1</c:v>
                </c:pt>
                <c:pt idx="772">
                  <c:v>77.2</c:v>
                </c:pt>
                <c:pt idx="773">
                  <c:v>77.3</c:v>
                </c:pt>
                <c:pt idx="774">
                  <c:v>77.4</c:v>
                </c:pt>
                <c:pt idx="775">
                  <c:v>77.5</c:v>
                </c:pt>
                <c:pt idx="776">
                  <c:v>77.6</c:v>
                </c:pt>
                <c:pt idx="777">
                  <c:v>77.7</c:v>
                </c:pt>
                <c:pt idx="778">
                  <c:v>77.8</c:v>
                </c:pt>
                <c:pt idx="779">
                  <c:v>77.9</c:v>
                </c:pt>
                <c:pt idx="780">
                  <c:v>78</c:v>
                </c:pt>
                <c:pt idx="781">
                  <c:v>78.1</c:v>
                </c:pt>
                <c:pt idx="782">
                  <c:v>78.2</c:v>
                </c:pt>
                <c:pt idx="783">
                  <c:v>78.3</c:v>
                </c:pt>
                <c:pt idx="784">
                  <c:v>78.4</c:v>
                </c:pt>
                <c:pt idx="785">
                  <c:v>78.5</c:v>
                </c:pt>
                <c:pt idx="786">
                  <c:v>78.6</c:v>
                </c:pt>
                <c:pt idx="787">
                  <c:v>78.7</c:v>
                </c:pt>
                <c:pt idx="788">
                  <c:v>78.8</c:v>
                </c:pt>
                <c:pt idx="789">
                  <c:v>78.9</c:v>
                </c:pt>
                <c:pt idx="790">
                  <c:v>79</c:v>
                </c:pt>
                <c:pt idx="791">
                  <c:v>79.1</c:v>
                </c:pt>
                <c:pt idx="792">
                  <c:v>79.2</c:v>
                </c:pt>
                <c:pt idx="793">
                  <c:v>79.3</c:v>
                </c:pt>
                <c:pt idx="794">
                  <c:v>79.4</c:v>
                </c:pt>
                <c:pt idx="795">
                  <c:v>79.5</c:v>
                </c:pt>
                <c:pt idx="796">
                  <c:v>79.6</c:v>
                </c:pt>
                <c:pt idx="797">
                  <c:v>79.7</c:v>
                </c:pt>
                <c:pt idx="798">
                  <c:v>79.8</c:v>
                </c:pt>
                <c:pt idx="799">
                  <c:v>79.9</c:v>
                </c:pt>
                <c:pt idx="800">
                  <c:v>80</c:v>
                </c:pt>
                <c:pt idx="801">
                  <c:v>80.1</c:v>
                </c:pt>
                <c:pt idx="802">
                  <c:v>80.2</c:v>
                </c:pt>
                <c:pt idx="803">
                  <c:v>80.3</c:v>
                </c:pt>
                <c:pt idx="804">
                  <c:v>80.4</c:v>
                </c:pt>
                <c:pt idx="805">
                  <c:v>80.5</c:v>
                </c:pt>
                <c:pt idx="806">
                  <c:v>80.6</c:v>
                </c:pt>
                <c:pt idx="807">
                  <c:v>80.7</c:v>
                </c:pt>
                <c:pt idx="808">
                  <c:v>80.8</c:v>
                </c:pt>
                <c:pt idx="809">
                  <c:v>80.9</c:v>
                </c:pt>
                <c:pt idx="810">
                  <c:v>81</c:v>
                </c:pt>
                <c:pt idx="811">
                  <c:v>81.1</c:v>
                </c:pt>
                <c:pt idx="812">
                  <c:v>81.2</c:v>
                </c:pt>
                <c:pt idx="813">
                  <c:v>81.3</c:v>
                </c:pt>
                <c:pt idx="814">
                  <c:v>81.4</c:v>
                </c:pt>
                <c:pt idx="815">
                  <c:v>81.5</c:v>
                </c:pt>
                <c:pt idx="816">
                  <c:v>81.6</c:v>
                </c:pt>
                <c:pt idx="817">
                  <c:v>81.7</c:v>
                </c:pt>
                <c:pt idx="818">
                  <c:v>81.8</c:v>
                </c:pt>
                <c:pt idx="819">
                  <c:v>81.9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</c:numCache>
            </c:numRef>
          </c:xVal>
          <c:yVal>
            <c:numRef>
              <c:f>'Pedal Map'!$L$5:$L$1005</c:f>
              <c:numCache>
                <c:formatCode>General</c:formatCode>
                <c:ptCount val="1001"/>
                <c:pt idx="0">
                  <c:v>-35</c:v>
                </c:pt>
                <c:pt idx="1">
                  <c:v>-33</c:v>
                </c:pt>
                <c:pt idx="2">
                  <c:v>-31</c:v>
                </c:pt>
                <c:pt idx="3">
                  <c:v>-29</c:v>
                </c:pt>
                <c:pt idx="4">
                  <c:v>-27</c:v>
                </c:pt>
                <c:pt idx="5">
                  <c:v>-25</c:v>
                </c:pt>
                <c:pt idx="6">
                  <c:v>-23</c:v>
                </c:pt>
                <c:pt idx="7">
                  <c:v>-21</c:v>
                </c:pt>
                <c:pt idx="8">
                  <c:v>-19</c:v>
                </c:pt>
                <c:pt idx="9">
                  <c:v>-17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0.2</c:v>
                </c:pt>
                <c:pt idx="14">
                  <c:v>0.3</c:v>
                </c:pt>
                <c:pt idx="15">
                  <c:v>0.4</c:v>
                </c:pt>
                <c:pt idx="16">
                  <c:v>0.5</c:v>
                </c:pt>
                <c:pt idx="17">
                  <c:v>0.5</c:v>
                </c:pt>
                <c:pt idx="18">
                  <c:v>0.6</c:v>
                </c:pt>
                <c:pt idx="19">
                  <c:v>0.7</c:v>
                </c:pt>
                <c:pt idx="20">
                  <c:v>0.8</c:v>
                </c:pt>
                <c:pt idx="21">
                  <c:v>0.9</c:v>
                </c:pt>
                <c:pt idx="22">
                  <c:v>0.9</c:v>
                </c:pt>
                <c:pt idx="23">
                  <c:v>1</c:v>
                </c:pt>
                <c:pt idx="24">
                  <c:v>1.1</c:v>
                </c:pt>
                <c:pt idx="25">
                  <c:v>1.2</c:v>
                </c:pt>
                <c:pt idx="26">
                  <c:v>1.2</c:v>
                </c:pt>
                <c:pt idx="27">
                  <c:v>1.3</c:v>
                </c:pt>
                <c:pt idx="28">
                  <c:v>1.4</c:v>
                </c:pt>
                <c:pt idx="29">
                  <c:v>1.5</c:v>
                </c:pt>
                <c:pt idx="30">
                  <c:v>1.6</c:v>
                </c:pt>
                <c:pt idx="31">
                  <c:v>1.6</c:v>
                </c:pt>
                <c:pt idx="32">
                  <c:v>1.7</c:v>
                </c:pt>
                <c:pt idx="33">
                  <c:v>1.8</c:v>
                </c:pt>
                <c:pt idx="34">
                  <c:v>1.9</c:v>
                </c:pt>
                <c:pt idx="35">
                  <c:v>1.9</c:v>
                </c:pt>
                <c:pt idx="36">
                  <c:v>2</c:v>
                </c:pt>
                <c:pt idx="37">
                  <c:v>2.1</c:v>
                </c:pt>
                <c:pt idx="38">
                  <c:v>2.2</c:v>
                </c:pt>
                <c:pt idx="39">
                  <c:v>2.3</c:v>
                </c:pt>
                <c:pt idx="40">
                  <c:v>2.3</c:v>
                </c:pt>
                <c:pt idx="41">
                  <c:v>2.4</c:v>
                </c:pt>
                <c:pt idx="42">
                  <c:v>2.5</c:v>
                </c:pt>
                <c:pt idx="43">
                  <c:v>2.6</c:v>
                </c:pt>
                <c:pt idx="44">
                  <c:v>2.6</c:v>
                </c:pt>
                <c:pt idx="45">
                  <c:v>2.7</c:v>
                </c:pt>
                <c:pt idx="46">
                  <c:v>2.8</c:v>
                </c:pt>
                <c:pt idx="47">
                  <c:v>2.9</c:v>
                </c:pt>
                <c:pt idx="48">
                  <c:v>3</c:v>
                </c:pt>
                <c:pt idx="49">
                  <c:v>3</c:v>
                </c:pt>
                <c:pt idx="50">
                  <c:v>3.1</c:v>
                </c:pt>
                <c:pt idx="51">
                  <c:v>3.2</c:v>
                </c:pt>
                <c:pt idx="52">
                  <c:v>3.3</c:v>
                </c:pt>
                <c:pt idx="53">
                  <c:v>3.3</c:v>
                </c:pt>
                <c:pt idx="54">
                  <c:v>3.4</c:v>
                </c:pt>
                <c:pt idx="55">
                  <c:v>3.5</c:v>
                </c:pt>
                <c:pt idx="56">
                  <c:v>3.6</c:v>
                </c:pt>
                <c:pt idx="57">
                  <c:v>3.7</c:v>
                </c:pt>
                <c:pt idx="58">
                  <c:v>3.7</c:v>
                </c:pt>
                <c:pt idx="59">
                  <c:v>3.8</c:v>
                </c:pt>
                <c:pt idx="60">
                  <c:v>3.9</c:v>
                </c:pt>
                <c:pt idx="61">
                  <c:v>4</c:v>
                </c:pt>
                <c:pt idx="62">
                  <c:v>4</c:v>
                </c:pt>
                <c:pt idx="63">
                  <c:v>4.1</c:v>
                </c:pt>
                <c:pt idx="64">
                  <c:v>4.2</c:v>
                </c:pt>
                <c:pt idx="65">
                  <c:v>4.3</c:v>
                </c:pt>
                <c:pt idx="66">
                  <c:v>4.4</c:v>
                </c:pt>
                <c:pt idx="67">
                  <c:v>4.4</c:v>
                </c:pt>
                <c:pt idx="68">
                  <c:v>4.5</c:v>
                </c:pt>
                <c:pt idx="69">
                  <c:v>4.6</c:v>
                </c:pt>
                <c:pt idx="70">
                  <c:v>4.7</c:v>
                </c:pt>
                <c:pt idx="71">
                  <c:v>4.7</c:v>
                </c:pt>
                <c:pt idx="72">
                  <c:v>4.8</c:v>
                </c:pt>
                <c:pt idx="73">
                  <c:v>4.9</c:v>
                </c:pt>
                <c:pt idx="74">
                  <c:v>5</c:v>
                </c:pt>
                <c:pt idx="75">
                  <c:v>5.1</c:v>
                </c:pt>
                <c:pt idx="76">
                  <c:v>5.1</c:v>
                </c:pt>
                <c:pt idx="77">
                  <c:v>5.2</c:v>
                </c:pt>
                <c:pt idx="78">
                  <c:v>5.3</c:v>
                </c:pt>
                <c:pt idx="79">
                  <c:v>5.4</c:v>
                </c:pt>
                <c:pt idx="80">
                  <c:v>5.4</c:v>
                </c:pt>
                <c:pt idx="81">
                  <c:v>5.5</c:v>
                </c:pt>
                <c:pt idx="82">
                  <c:v>5.6</c:v>
                </c:pt>
                <c:pt idx="83">
                  <c:v>5.7</c:v>
                </c:pt>
                <c:pt idx="84">
                  <c:v>5.8</c:v>
                </c:pt>
                <c:pt idx="85">
                  <c:v>5.8</c:v>
                </c:pt>
                <c:pt idx="86">
                  <c:v>5.9</c:v>
                </c:pt>
                <c:pt idx="87">
                  <c:v>6</c:v>
                </c:pt>
                <c:pt idx="88">
                  <c:v>6.1</c:v>
                </c:pt>
                <c:pt idx="89">
                  <c:v>6.1</c:v>
                </c:pt>
                <c:pt idx="90">
                  <c:v>6.2</c:v>
                </c:pt>
                <c:pt idx="91">
                  <c:v>6.3</c:v>
                </c:pt>
                <c:pt idx="92">
                  <c:v>6.4</c:v>
                </c:pt>
                <c:pt idx="93">
                  <c:v>6.5</c:v>
                </c:pt>
                <c:pt idx="94">
                  <c:v>6.5</c:v>
                </c:pt>
                <c:pt idx="95">
                  <c:v>6.6</c:v>
                </c:pt>
                <c:pt idx="96">
                  <c:v>6.7</c:v>
                </c:pt>
                <c:pt idx="97">
                  <c:v>6.8</c:v>
                </c:pt>
                <c:pt idx="98">
                  <c:v>6.8</c:v>
                </c:pt>
                <c:pt idx="99">
                  <c:v>6.9</c:v>
                </c:pt>
                <c:pt idx="100">
                  <c:v>7</c:v>
                </c:pt>
                <c:pt idx="101">
                  <c:v>7</c:v>
                </c:pt>
                <c:pt idx="102">
                  <c:v>7.1</c:v>
                </c:pt>
                <c:pt idx="103">
                  <c:v>7.1</c:v>
                </c:pt>
                <c:pt idx="104">
                  <c:v>7.2</c:v>
                </c:pt>
                <c:pt idx="105">
                  <c:v>7.2</c:v>
                </c:pt>
                <c:pt idx="106">
                  <c:v>7.2</c:v>
                </c:pt>
                <c:pt idx="107">
                  <c:v>7.3</c:v>
                </c:pt>
                <c:pt idx="108">
                  <c:v>7.3</c:v>
                </c:pt>
                <c:pt idx="109">
                  <c:v>7.4</c:v>
                </c:pt>
                <c:pt idx="110">
                  <c:v>7.4</c:v>
                </c:pt>
                <c:pt idx="111">
                  <c:v>7.4</c:v>
                </c:pt>
                <c:pt idx="112">
                  <c:v>7.5</c:v>
                </c:pt>
                <c:pt idx="113">
                  <c:v>7.5</c:v>
                </c:pt>
                <c:pt idx="114">
                  <c:v>7.6</c:v>
                </c:pt>
                <c:pt idx="115">
                  <c:v>7.6</c:v>
                </c:pt>
                <c:pt idx="116">
                  <c:v>7.6</c:v>
                </c:pt>
                <c:pt idx="117">
                  <c:v>7.7</c:v>
                </c:pt>
                <c:pt idx="118">
                  <c:v>7.7</c:v>
                </c:pt>
                <c:pt idx="119">
                  <c:v>7.8</c:v>
                </c:pt>
                <c:pt idx="120">
                  <c:v>7.8</c:v>
                </c:pt>
                <c:pt idx="121">
                  <c:v>7.8</c:v>
                </c:pt>
                <c:pt idx="122">
                  <c:v>7.9</c:v>
                </c:pt>
                <c:pt idx="123">
                  <c:v>7.9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8.1</c:v>
                </c:pt>
                <c:pt idx="128">
                  <c:v>8.1</c:v>
                </c:pt>
                <c:pt idx="129">
                  <c:v>8.2</c:v>
                </c:pt>
                <c:pt idx="130">
                  <c:v>8.2</c:v>
                </c:pt>
                <c:pt idx="131">
                  <c:v>8.2</c:v>
                </c:pt>
                <c:pt idx="132">
                  <c:v>8.3</c:v>
                </c:pt>
                <c:pt idx="133">
                  <c:v>8.3</c:v>
                </c:pt>
                <c:pt idx="134">
                  <c:v>8.4</c:v>
                </c:pt>
                <c:pt idx="135">
                  <c:v>8.4</c:v>
                </c:pt>
                <c:pt idx="136">
                  <c:v>8.4</c:v>
                </c:pt>
                <c:pt idx="137">
                  <c:v>8.5</c:v>
                </c:pt>
                <c:pt idx="138">
                  <c:v>8.5</c:v>
                </c:pt>
                <c:pt idx="139">
                  <c:v>8.6</c:v>
                </c:pt>
                <c:pt idx="140">
                  <c:v>8.6</c:v>
                </c:pt>
                <c:pt idx="141">
                  <c:v>8.6</c:v>
                </c:pt>
                <c:pt idx="142">
                  <c:v>8.7</c:v>
                </c:pt>
                <c:pt idx="143">
                  <c:v>8.7</c:v>
                </c:pt>
                <c:pt idx="144">
                  <c:v>8.8</c:v>
                </c:pt>
                <c:pt idx="145">
                  <c:v>8.8</c:v>
                </c:pt>
                <c:pt idx="146">
                  <c:v>8.8</c:v>
                </c:pt>
                <c:pt idx="147">
                  <c:v>8.9</c:v>
                </c:pt>
                <c:pt idx="148">
                  <c:v>8.9</c:v>
                </c:pt>
                <c:pt idx="149">
                  <c:v>9</c:v>
                </c:pt>
                <c:pt idx="150">
                  <c:v>9</c:v>
                </c:pt>
                <c:pt idx="151">
                  <c:v>9</c:v>
                </c:pt>
                <c:pt idx="152">
                  <c:v>9.1</c:v>
                </c:pt>
                <c:pt idx="153">
                  <c:v>9.1</c:v>
                </c:pt>
                <c:pt idx="154">
                  <c:v>9.2</c:v>
                </c:pt>
                <c:pt idx="155">
                  <c:v>9.2</c:v>
                </c:pt>
                <c:pt idx="156">
                  <c:v>9.2</c:v>
                </c:pt>
                <c:pt idx="157">
                  <c:v>9.3</c:v>
                </c:pt>
                <c:pt idx="158">
                  <c:v>9.3</c:v>
                </c:pt>
                <c:pt idx="159">
                  <c:v>9.4</c:v>
                </c:pt>
                <c:pt idx="160">
                  <c:v>9.4</c:v>
                </c:pt>
                <c:pt idx="161">
                  <c:v>9.4</c:v>
                </c:pt>
                <c:pt idx="162">
                  <c:v>9.5</c:v>
                </c:pt>
                <c:pt idx="163">
                  <c:v>9.5</c:v>
                </c:pt>
                <c:pt idx="164">
                  <c:v>9.6</c:v>
                </c:pt>
                <c:pt idx="165">
                  <c:v>9.6</c:v>
                </c:pt>
                <c:pt idx="166">
                  <c:v>9.6</c:v>
                </c:pt>
                <c:pt idx="167">
                  <c:v>9.7</c:v>
                </c:pt>
                <c:pt idx="168">
                  <c:v>9.7</c:v>
                </c:pt>
                <c:pt idx="169">
                  <c:v>9.8</c:v>
                </c:pt>
                <c:pt idx="170">
                  <c:v>9.8</c:v>
                </c:pt>
                <c:pt idx="171">
                  <c:v>9.8</c:v>
                </c:pt>
                <c:pt idx="172">
                  <c:v>9.9</c:v>
                </c:pt>
                <c:pt idx="173">
                  <c:v>9.9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10.1</c:v>
                </c:pt>
                <c:pt idx="178">
                  <c:v>10.1</c:v>
                </c:pt>
                <c:pt idx="179">
                  <c:v>10.2</c:v>
                </c:pt>
                <c:pt idx="180">
                  <c:v>10.2</c:v>
                </c:pt>
                <c:pt idx="181">
                  <c:v>10.2</c:v>
                </c:pt>
                <c:pt idx="182">
                  <c:v>10.3</c:v>
                </c:pt>
                <c:pt idx="183">
                  <c:v>10.3</c:v>
                </c:pt>
                <c:pt idx="184">
                  <c:v>10.4</c:v>
                </c:pt>
                <c:pt idx="185">
                  <c:v>10.4</c:v>
                </c:pt>
                <c:pt idx="186">
                  <c:v>10.4</c:v>
                </c:pt>
                <c:pt idx="187">
                  <c:v>10.5</c:v>
                </c:pt>
                <c:pt idx="188">
                  <c:v>10.5</c:v>
                </c:pt>
                <c:pt idx="189">
                  <c:v>10.6</c:v>
                </c:pt>
                <c:pt idx="190">
                  <c:v>10.6</c:v>
                </c:pt>
                <c:pt idx="191">
                  <c:v>10.6</c:v>
                </c:pt>
                <c:pt idx="192">
                  <c:v>10.7</c:v>
                </c:pt>
                <c:pt idx="193">
                  <c:v>10.7</c:v>
                </c:pt>
                <c:pt idx="194">
                  <c:v>10.8</c:v>
                </c:pt>
                <c:pt idx="195">
                  <c:v>10.8</c:v>
                </c:pt>
                <c:pt idx="196">
                  <c:v>10.8</c:v>
                </c:pt>
                <c:pt idx="197">
                  <c:v>10.9</c:v>
                </c:pt>
                <c:pt idx="198">
                  <c:v>10.9</c:v>
                </c:pt>
                <c:pt idx="199">
                  <c:v>11</c:v>
                </c:pt>
                <c:pt idx="200">
                  <c:v>11</c:v>
                </c:pt>
                <c:pt idx="201">
                  <c:v>11</c:v>
                </c:pt>
                <c:pt idx="202">
                  <c:v>11.1</c:v>
                </c:pt>
                <c:pt idx="203">
                  <c:v>11.1</c:v>
                </c:pt>
                <c:pt idx="204">
                  <c:v>11.2</c:v>
                </c:pt>
                <c:pt idx="205">
                  <c:v>11.2</c:v>
                </c:pt>
                <c:pt idx="206">
                  <c:v>11.2</c:v>
                </c:pt>
                <c:pt idx="207">
                  <c:v>11.3</c:v>
                </c:pt>
                <c:pt idx="208">
                  <c:v>11.3</c:v>
                </c:pt>
                <c:pt idx="209">
                  <c:v>11.4</c:v>
                </c:pt>
                <c:pt idx="210">
                  <c:v>11.4</c:v>
                </c:pt>
                <c:pt idx="211">
                  <c:v>11.4</c:v>
                </c:pt>
                <c:pt idx="212">
                  <c:v>11.5</c:v>
                </c:pt>
                <c:pt idx="213">
                  <c:v>11.5</c:v>
                </c:pt>
                <c:pt idx="214">
                  <c:v>11.6</c:v>
                </c:pt>
                <c:pt idx="215">
                  <c:v>11.6</c:v>
                </c:pt>
                <c:pt idx="216">
                  <c:v>11.6</c:v>
                </c:pt>
                <c:pt idx="217">
                  <c:v>11.7</c:v>
                </c:pt>
                <c:pt idx="218">
                  <c:v>11.7</c:v>
                </c:pt>
                <c:pt idx="219">
                  <c:v>11.8</c:v>
                </c:pt>
                <c:pt idx="220">
                  <c:v>11.8</c:v>
                </c:pt>
                <c:pt idx="221">
                  <c:v>11.8</c:v>
                </c:pt>
                <c:pt idx="222">
                  <c:v>11.9</c:v>
                </c:pt>
                <c:pt idx="223">
                  <c:v>11.9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12.1</c:v>
                </c:pt>
                <c:pt idx="228">
                  <c:v>12.1</c:v>
                </c:pt>
                <c:pt idx="229">
                  <c:v>12.2</c:v>
                </c:pt>
                <c:pt idx="230">
                  <c:v>12.2</c:v>
                </c:pt>
                <c:pt idx="231">
                  <c:v>12.2</c:v>
                </c:pt>
                <c:pt idx="232">
                  <c:v>12.3</c:v>
                </c:pt>
                <c:pt idx="233">
                  <c:v>12.3</c:v>
                </c:pt>
                <c:pt idx="234">
                  <c:v>12.4</c:v>
                </c:pt>
                <c:pt idx="235">
                  <c:v>12.4</c:v>
                </c:pt>
                <c:pt idx="236">
                  <c:v>12.4</c:v>
                </c:pt>
                <c:pt idx="237">
                  <c:v>12.5</c:v>
                </c:pt>
                <c:pt idx="238">
                  <c:v>12.5</c:v>
                </c:pt>
                <c:pt idx="239">
                  <c:v>12.6</c:v>
                </c:pt>
                <c:pt idx="240">
                  <c:v>12.6</c:v>
                </c:pt>
                <c:pt idx="241">
                  <c:v>12.6</c:v>
                </c:pt>
                <c:pt idx="242">
                  <c:v>12.7</c:v>
                </c:pt>
                <c:pt idx="243">
                  <c:v>12.7</c:v>
                </c:pt>
                <c:pt idx="244">
                  <c:v>12.8</c:v>
                </c:pt>
                <c:pt idx="245">
                  <c:v>12.8</c:v>
                </c:pt>
                <c:pt idx="246">
                  <c:v>12.8</c:v>
                </c:pt>
                <c:pt idx="247">
                  <c:v>12.9</c:v>
                </c:pt>
                <c:pt idx="248">
                  <c:v>12.9</c:v>
                </c:pt>
                <c:pt idx="249">
                  <c:v>13</c:v>
                </c:pt>
                <c:pt idx="250">
                  <c:v>13</c:v>
                </c:pt>
                <c:pt idx="251">
                  <c:v>13.1</c:v>
                </c:pt>
                <c:pt idx="252">
                  <c:v>13.1</c:v>
                </c:pt>
                <c:pt idx="253">
                  <c:v>13.2</c:v>
                </c:pt>
                <c:pt idx="254">
                  <c:v>13.3</c:v>
                </c:pt>
                <c:pt idx="255">
                  <c:v>13.4</c:v>
                </c:pt>
                <c:pt idx="256">
                  <c:v>13.4</c:v>
                </c:pt>
                <c:pt idx="257">
                  <c:v>13.5</c:v>
                </c:pt>
                <c:pt idx="258">
                  <c:v>13.6</c:v>
                </c:pt>
                <c:pt idx="259">
                  <c:v>13.6</c:v>
                </c:pt>
                <c:pt idx="260">
                  <c:v>13.7</c:v>
                </c:pt>
                <c:pt idx="261">
                  <c:v>13.8</c:v>
                </c:pt>
                <c:pt idx="262">
                  <c:v>13.8</c:v>
                </c:pt>
                <c:pt idx="263">
                  <c:v>13.9</c:v>
                </c:pt>
                <c:pt idx="264">
                  <c:v>14</c:v>
                </c:pt>
                <c:pt idx="265">
                  <c:v>14.1</c:v>
                </c:pt>
                <c:pt idx="266">
                  <c:v>14.1</c:v>
                </c:pt>
                <c:pt idx="267">
                  <c:v>14.2</c:v>
                </c:pt>
                <c:pt idx="268">
                  <c:v>14.3</c:v>
                </c:pt>
                <c:pt idx="269">
                  <c:v>14.3</c:v>
                </c:pt>
                <c:pt idx="270">
                  <c:v>14.4</c:v>
                </c:pt>
                <c:pt idx="271">
                  <c:v>14.5</c:v>
                </c:pt>
                <c:pt idx="272">
                  <c:v>14.5</c:v>
                </c:pt>
                <c:pt idx="273">
                  <c:v>14.6</c:v>
                </c:pt>
                <c:pt idx="274">
                  <c:v>14.7</c:v>
                </c:pt>
                <c:pt idx="275">
                  <c:v>14.8</c:v>
                </c:pt>
                <c:pt idx="276">
                  <c:v>14.8</c:v>
                </c:pt>
                <c:pt idx="277">
                  <c:v>14.9</c:v>
                </c:pt>
                <c:pt idx="278">
                  <c:v>15</c:v>
                </c:pt>
                <c:pt idx="279">
                  <c:v>15</c:v>
                </c:pt>
                <c:pt idx="280">
                  <c:v>15.1</c:v>
                </c:pt>
                <c:pt idx="281">
                  <c:v>15.2</c:v>
                </c:pt>
                <c:pt idx="282">
                  <c:v>15.2</c:v>
                </c:pt>
                <c:pt idx="283">
                  <c:v>15.3</c:v>
                </c:pt>
                <c:pt idx="284">
                  <c:v>15.4</c:v>
                </c:pt>
                <c:pt idx="285">
                  <c:v>15.5</c:v>
                </c:pt>
                <c:pt idx="286">
                  <c:v>15.5</c:v>
                </c:pt>
                <c:pt idx="287">
                  <c:v>15.6</c:v>
                </c:pt>
                <c:pt idx="288">
                  <c:v>15.7</c:v>
                </c:pt>
                <c:pt idx="289">
                  <c:v>15.7</c:v>
                </c:pt>
                <c:pt idx="290">
                  <c:v>15.8</c:v>
                </c:pt>
                <c:pt idx="291">
                  <c:v>15.9</c:v>
                </c:pt>
                <c:pt idx="292">
                  <c:v>15.9</c:v>
                </c:pt>
                <c:pt idx="293">
                  <c:v>16</c:v>
                </c:pt>
                <c:pt idx="294">
                  <c:v>16.1</c:v>
                </c:pt>
                <c:pt idx="295">
                  <c:v>16.2</c:v>
                </c:pt>
                <c:pt idx="296">
                  <c:v>16.2</c:v>
                </c:pt>
                <c:pt idx="297">
                  <c:v>16.3</c:v>
                </c:pt>
                <c:pt idx="298">
                  <c:v>16.4</c:v>
                </c:pt>
                <c:pt idx="299">
                  <c:v>16.4</c:v>
                </c:pt>
                <c:pt idx="300">
                  <c:v>16.5</c:v>
                </c:pt>
                <c:pt idx="301">
                  <c:v>16.6</c:v>
                </c:pt>
                <c:pt idx="302">
                  <c:v>16.6</c:v>
                </c:pt>
                <c:pt idx="303">
                  <c:v>16.7</c:v>
                </c:pt>
                <c:pt idx="304">
                  <c:v>16.8</c:v>
                </c:pt>
                <c:pt idx="305">
                  <c:v>16.9</c:v>
                </c:pt>
                <c:pt idx="306">
                  <c:v>16.9</c:v>
                </c:pt>
                <c:pt idx="307">
                  <c:v>17</c:v>
                </c:pt>
                <c:pt idx="308">
                  <c:v>17.1</c:v>
                </c:pt>
                <c:pt idx="309">
                  <c:v>17.1</c:v>
                </c:pt>
                <c:pt idx="310">
                  <c:v>17.2</c:v>
                </c:pt>
                <c:pt idx="311">
                  <c:v>17.3</c:v>
                </c:pt>
                <c:pt idx="312">
                  <c:v>17.3</c:v>
                </c:pt>
                <c:pt idx="313">
                  <c:v>17.4</c:v>
                </c:pt>
                <c:pt idx="314">
                  <c:v>17.5</c:v>
                </c:pt>
                <c:pt idx="315">
                  <c:v>17.6</c:v>
                </c:pt>
                <c:pt idx="316">
                  <c:v>17.6</c:v>
                </c:pt>
                <c:pt idx="317">
                  <c:v>17.7</c:v>
                </c:pt>
                <c:pt idx="318">
                  <c:v>17.8</c:v>
                </c:pt>
                <c:pt idx="319">
                  <c:v>17.8</c:v>
                </c:pt>
                <c:pt idx="320">
                  <c:v>17.9</c:v>
                </c:pt>
                <c:pt idx="321">
                  <c:v>18</c:v>
                </c:pt>
                <c:pt idx="322">
                  <c:v>18</c:v>
                </c:pt>
                <c:pt idx="323">
                  <c:v>18.1</c:v>
                </c:pt>
                <c:pt idx="324">
                  <c:v>18.2</c:v>
                </c:pt>
                <c:pt idx="325">
                  <c:v>18.3</c:v>
                </c:pt>
                <c:pt idx="326">
                  <c:v>18.3</c:v>
                </c:pt>
                <c:pt idx="327">
                  <c:v>18.4</c:v>
                </c:pt>
                <c:pt idx="328">
                  <c:v>18.5</c:v>
                </c:pt>
                <c:pt idx="329">
                  <c:v>18.5</c:v>
                </c:pt>
                <c:pt idx="330">
                  <c:v>18.6</c:v>
                </c:pt>
                <c:pt idx="331">
                  <c:v>18.7</c:v>
                </c:pt>
                <c:pt idx="332">
                  <c:v>18.7</c:v>
                </c:pt>
                <c:pt idx="333">
                  <c:v>18.8</c:v>
                </c:pt>
                <c:pt idx="334">
                  <c:v>18.9</c:v>
                </c:pt>
                <c:pt idx="335">
                  <c:v>19</c:v>
                </c:pt>
                <c:pt idx="336">
                  <c:v>19</c:v>
                </c:pt>
                <c:pt idx="337">
                  <c:v>19.1</c:v>
                </c:pt>
                <c:pt idx="338">
                  <c:v>19.2</c:v>
                </c:pt>
                <c:pt idx="339">
                  <c:v>19.2</c:v>
                </c:pt>
                <c:pt idx="340">
                  <c:v>19.3</c:v>
                </c:pt>
                <c:pt idx="341">
                  <c:v>19.4</c:v>
                </c:pt>
                <c:pt idx="342">
                  <c:v>19.4</c:v>
                </c:pt>
                <c:pt idx="343">
                  <c:v>19.5</c:v>
                </c:pt>
                <c:pt idx="344">
                  <c:v>19.6</c:v>
                </c:pt>
                <c:pt idx="345">
                  <c:v>19.7</c:v>
                </c:pt>
                <c:pt idx="346">
                  <c:v>19.7</c:v>
                </c:pt>
                <c:pt idx="347">
                  <c:v>19.8</c:v>
                </c:pt>
                <c:pt idx="348">
                  <c:v>19.9</c:v>
                </c:pt>
                <c:pt idx="349">
                  <c:v>19.9</c:v>
                </c:pt>
                <c:pt idx="350">
                  <c:v>20</c:v>
                </c:pt>
                <c:pt idx="351">
                  <c:v>20.1</c:v>
                </c:pt>
                <c:pt idx="352">
                  <c:v>20.2</c:v>
                </c:pt>
                <c:pt idx="353">
                  <c:v>20.4</c:v>
                </c:pt>
                <c:pt idx="354">
                  <c:v>20.5</c:v>
                </c:pt>
                <c:pt idx="355">
                  <c:v>20.6</c:v>
                </c:pt>
                <c:pt idx="356">
                  <c:v>20.7</c:v>
                </c:pt>
                <c:pt idx="357">
                  <c:v>20.9</c:v>
                </c:pt>
                <c:pt idx="358">
                  <c:v>21</c:v>
                </c:pt>
                <c:pt idx="359">
                  <c:v>21.1</c:v>
                </c:pt>
                <c:pt idx="360">
                  <c:v>21.2</c:v>
                </c:pt>
                <c:pt idx="361">
                  <c:v>21.4</c:v>
                </c:pt>
                <c:pt idx="362">
                  <c:v>21.5</c:v>
                </c:pt>
                <c:pt idx="363">
                  <c:v>21.6</c:v>
                </c:pt>
                <c:pt idx="364">
                  <c:v>21.7</c:v>
                </c:pt>
                <c:pt idx="365">
                  <c:v>21.8</c:v>
                </c:pt>
                <c:pt idx="366">
                  <c:v>22</c:v>
                </c:pt>
                <c:pt idx="367">
                  <c:v>22.1</c:v>
                </c:pt>
                <c:pt idx="368">
                  <c:v>22.2</c:v>
                </c:pt>
                <c:pt idx="369">
                  <c:v>22.3</c:v>
                </c:pt>
                <c:pt idx="370">
                  <c:v>22.5</c:v>
                </c:pt>
                <c:pt idx="371">
                  <c:v>22.6</c:v>
                </c:pt>
                <c:pt idx="372">
                  <c:v>22.7</c:v>
                </c:pt>
                <c:pt idx="373">
                  <c:v>22.8</c:v>
                </c:pt>
                <c:pt idx="374">
                  <c:v>23</c:v>
                </c:pt>
                <c:pt idx="375">
                  <c:v>23.1</c:v>
                </c:pt>
                <c:pt idx="376">
                  <c:v>23.2</c:v>
                </c:pt>
                <c:pt idx="377">
                  <c:v>23.3</c:v>
                </c:pt>
                <c:pt idx="378">
                  <c:v>23.4</c:v>
                </c:pt>
                <c:pt idx="379">
                  <c:v>23.6</c:v>
                </c:pt>
                <c:pt idx="380">
                  <c:v>23.7</c:v>
                </c:pt>
                <c:pt idx="381">
                  <c:v>23.8</c:v>
                </c:pt>
                <c:pt idx="382">
                  <c:v>23.9</c:v>
                </c:pt>
                <c:pt idx="383">
                  <c:v>24.1</c:v>
                </c:pt>
                <c:pt idx="384">
                  <c:v>24.2</c:v>
                </c:pt>
                <c:pt idx="385">
                  <c:v>24.3</c:v>
                </c:pt>
                <c:pt idx="386">
                  <c:v>24.4</c:v>
                </c:pt>
                <c:pt idx="387">
                  <c:v>24.6</c:v>
                </c:pt>
                <c:pt idx="388">
                  <c:v>24.7</c:v>
                </c:pt>
                <c:pt idx="389">
                  <c:v>24.8</c:v>
                </c:pt>
                <c:pt idx="390">
                  <c:v>24.9</c:v>
                </c:pt>
                <c:pt idx="391">
                  <c:v>25</c:v>
                </c:pt>
                <c:pt idx="392">
                  <c:v>25.2</c:v>
                </c:pt>
                <c:pt idx="393">
                  <c:v>25.3</c:v>
                </c:pt>
                <c:pt idx="394">
                  <c:v>25.4</c:v>
                </c:pt>
                <c:pt idx="395">
                  <c:v>25.5</c:v>
                </c:pt>
                <c:pt idx="396">
                  <c:v>25.7</c:v>
                </c:pt>
                <c:pt idx="397">
                  <c:v>25.8</c:v>
                </c:pt>
                <c:pt idx="398">
                  <c:v>25.9</c:v>
                </c:pt>
                <c:pt idx="399">
                  <c:v>26</c:v>
                </c:pt>
                <c:pt idx="400">
                  <c:v>26.2</c:v>
                </c:pt>
                <c:pt idx="401">
                  <c:v>26.3</c:v>
                </c:pt>
                <c:pt idx="402">
                  <c:v>26.4</c:v>
                </c:pt>
                <c:pt idx="403">
                  <c:v>26.5</c:v>
                </c:pt>
                <c:pt idx="404">
                  <c:v>26.6</c:v>
                </c:pt>
                <c:pt idx="405">
                  <c:v>26.8</c:v>
                </c:pt>
                <c:pt idx="406">
                  <c:v>26.9</c:v>
                </c:pt>
                <c:pt idx="407">
                  <c:v>27</c:v>
                </c:pt>
                <c:pt idx="408">
                  <c:v>27.1</c:v>
                </c:pt>
                <c:pt idx="409">
                  <c:v>27.3</c:v>
                </c:pt>
                <c:pt idx="410">
                  <c:v>27.4</c:v>
                </c:pt>
                <c:pt idx="411">
                  <c:v>27.5</c:v>
                </c:pt>
                <c:pt idx="412">
                  <c:v>27.6</c:v>
                </c:pt>
                <c:pt idx="413">
                  <c:v>27.8</c:v>
                </c:pt>
                <c:pt idx="414">
                  <c:v>27.9</c:v>
                </c:pt>
                <c:pt idx="415">
                  <c:v>28</c:v>
                </c:pt>
                <c:pt idx="416">
                  <c:v>28.1</c:v>
                </c:pt>
                <c:pt idx="417">
                  <c:v>28.2</c:v>
                </c:pt>
                <c:pt idx="418">
                  <c:v>28.4</c:v>
                </c:pt>
                <c:pt idx="419">
                  <c:v>28.5</c:v>
                </c:pt>
                <c:pt idx="420">
                  <c:v>28.6</c:v>
                </c:pt>
                <c:pt idx="421">
                  <c:v>28.7</c:v>
                </c:pt>
                <c:pt idx="422">
                  <c:v>28.9</c:v>
                </c:pt>
                <c:pt idx="423">
                  <c:v>29</c:v>
                </c:pt>
                <c:pt idx="424">
                  <c:v>29.1</c:v>
                </c:pt>
                <c:pt idx="425">
                  <c:v>29.2</c:v>
                </c:pt>
                <c:pt idx="426">
                  <c:v>29.4</c:v>
                </c:pt>
                <c:pt idx="427">
                  <c:v>29.5</c:v>
                </c:pt>
                <c:pt idx="428">
                  <c:v>29.6</c:v>
                </c:pt>
                <c:pt idx="429">
                  <c:v>29.7</c:v>
                </c:pt>
                <c:pt idx="430">
                  <c:v>29.8</c:v>
                </c:pt>
                <c:pt idx="431">
                  <c:v>30</c:v>
                </c:pt>
                <c:pt idx="432">
                  <c:v>30.1</c:v>
                </c:pt>
                <c:pt idx="433">
                  <c:v>30.2</c:v>
                </c:pt>
                <c:pt idx="434">
                  <c:v>30.3</c:v>
                </c:pt>
                <c:pt idx="435">
                  <c:v>30.5</c:v>
                </c:pt>
                <c:pt idx="436">
                  <c:v>30.6</c:v>
                </c:pt>
                <c:pt idx="437">
                  <c:v>30.7</c:v>
                </c:pt>
                <c:pt idx="438">
                  <c:v>30.8</c:v>
                </c:pt>
                <c:pt idx="439">
                  <c:v>31</c:v>
                </c:pt>
                <c:pt idx="440">
                  <c:v>31.1</c:v>
                </c:pt>
                <c:pt idx="441">
                  <c:v>31.2</c:v>
                </c:pt>
                <c:pt idx="442">
                  <c:v>31.3</c:v>
                </c:pt>
                <c:pt idx="443">
                  <c:v>31.4</c:v>
                </c:pt>
                <c:pt idx="444">
                  <c:v>31.6</c:v>
                </c:pt>
                <c:pt idx="445">
                  <c:v>31.7</c:v>
                </c:pt>
                <c:pt idx="446">
                  <c:v>31.8</c:v>
                </c:pt>
                <c:pt idx="447">
                  <c:v>31.9</c:v>
                </c:pt>
                <c:pt idx="448">
                  <c:v>32.1</c:v>
                </c:pt>
                <c:pt idx="449">
                  <c:v>32.2</c:v>
                </c:pt>
                <c:pt idx="450">
                  <c:v>32.3</c:v>
                </c:pt>
                <c:pt idx="451">
                  <c:v>32.4</c:v>
                </c:pt>
                <c:pt idx="452">
                  <c:v>32.6</c:v>
                </c:pt>
                <c:pt idx="453">
                  <c:v>32.7</c:v>
                </c:pt>
                <c:pt idx="454">
                  <c:v>32.8</c:v>
                </c:pt>
                <c:pt idx="455">
                  <c:v>32.9</c:v>
                </c:pt>
                <c:pt idx="456">
                  <c:v>33</c:v>
                </c:pt>
                <c:pt idx="457">
                  <c:v>33.2</c:v>
                </c:pt>
                <c:pt idx="458">
                  <c:v>33.3</c:v>
                </c:pt>
                <c:pt idx="459">
                  <c:v>33.4</c:v>
                </c:pt>
                <c:pt idx="460">
                  <c:v>33.5</c:v>
                </c:pt>
                <c:pt idx="461">
                  <c:v>33.7</c:v>
                </c:pt>
                <c:pt idx="462">
                  <c:v>33.8</c:v>
                </c:pt>
                <c:pt idx="463">
                  <c:v>33.9</c:v>
                </c:pt>
                <c:pt idx="464">
                  <c:v>34</c:v>
                </c:pt>
                <c:pt idx="465">
                  <c:v>34.2</c:v>
                </c:pt>
                <c:pt idx="466">
                  <c:v>34.3</c:v>
                </c:pt>
                <c:pt idx="467">
                  <c:v>34.4</c:v>
                </c:pt>
                <c:pt idx="468">
                  <c:v>34.5</c:v>
                </c:pt>
                <c:pt idx="469">
                  <c:v>34.6</c:v>
                </c:pt>
                <c:pt idx="470">
                  <c:v>34.8</c:v>
                </c:pt>
                <c:pt idx="471">
                  <c:v>34.9</c:v>
                </c:pt>
                <c:pt idx="472">
                  <c:v>35</c:v>
                </c:pt>
                <c:pt idx="473">
                  <c:v>35.1</c:v>
                </c:pt>
                <c:pt idx="474">
                  <c:v>35.3</c:v>
                </c:pt>
                <c:pt idx="475">
                  <c:v>35.4</c:v>
                </c:pt>
                <c:pt idx="476">
                  <c:v>35.5</c:v>
                </c:pt>
                <c:pt idx="477">
                  <c:v>35.6</c:v>
                </c:pt>
                <c:pt idx="478">
                  <c:v>35.8</c:v>
                </c:pt>
                <c:pt idx="479">
                  <c:v>35.9</c:v>
                </c:pt>
                <c:pt idx="480">
                  <c:v>36</c:v>
                </c:pt>
                <c:pt idx="481">
                  <c:v>36.1</c:v>
                </c:pt>
                <c:pt idx="482">
                  <c:v>36.2</c:v>
                </c:pt>
                <c:pt idx="483">
                  <c:v>36.4</c:v>
                </c:pt>
                <c:pt idx="484">
                  <c:v>36.5</c:v>
                </c:pt>
                <c:pt idx="485">
                  <c:v>36.6</c:v>
                </c:pt>
                <c:pt idx="486">
                  <c:v>36.7</c:v>
                </c:pt>
                <c:pt idx="487">
                  <c:v>36.9</c:v>
                </c:pt>
                <c:pt idx="488">
                  <c:v>37</c:v>
                </c:pt>
                <c:pt idx="489">
                  <c:v>37.1</c:v>
                </c:pt>
                <c:pt idx="490">
                  <c:v>37.2</c:v>
                </c:pt>
                <c:pt idx="491">
                  <c:v>37.4</c:v>
                </c:pt>
                <c:pt idx="492">
                  <c:v>37.5</c:v>
                </c:pt>
                <c:pt idx="493">
                  <c:v>37.6</c:v>
                </c:pt>
                <c:pt idx="494">
                  <c:v>37.7</c:v>
                </c:pt>
                <c:pt idx="495">
                  <c:v>37.8</c:v>
                </c:pt>
                <c:pt idx="496">
                  <c:v>38</c:v>
                </c:pt>
                <c:pt idx="497">
                  <c:v>38.1</c:v>
                </c:pt>
                <c:pt idx="498">
                  <c:v>38.2</c:v>
                </c:pt>
                <c:pt idx="499">
                  <c:v>38.3</c:v>
                </c:pt>
                <c:pt idx="500">
                  <c:v>38.5</c:v>
                </c:pt>
                <c:pt idx="501">
                  <c:v>38.6</c:v>
                </c:pt>
                <c:pt idx="502">
                  <c:v>38.7</c:v>
                </c:pt>
                <c:pt idx="503">
                  <c:v>38.8</c:v>
                </c:pt>
                <c:pt idx="504">
                  <c:v>39</c:v>
                </c:pt>
                <c:pt idx="505">
                  <c:v>39.1</c:v>
                </c:pt>
                <c:pt idx="506">
                  <c:v>39.2</c:v>
                </c:pt>
                <c:pt idx="507">
                  <c:v>39.3</c:v>
                </c:pt>
                <c:pt idx="508">
                  <c:v>39.4</c:v>
                </c:pt>
                <c:pt idx="509">
                  <c:v>39.6</c:v>
                </c:pt>
                <c:pt idx="510">
                  <c:v>39.7</c:v>
                </c:pt>
                <c:pt idx="511">
                  <c:v>39.8</c:v>
                </c:pt>
                <c:pt idx="512">
                  <c:v>39.9</c:v>
                </c:pt>
                <c:pt idx="513">
                  <c:v>40.1</c:v>
                </c:pt>
                <c:pt idx="514">
                  <c:v>40.2</c:v>
                </c:pt>
                <c:pt idx="515">
                  <c:v>40.3</c:v>
                </c:pt>
                <c:pt idx="516">
                  <c:v>40.4</c:v>
                </c:pt>
                <c:pt idx="517">
                  <c:v>40.6</c:v>
                </c:pt>
                <c:pt idx="518">
                  <c:v>40.7</c:v>
                </c:pt>
                <c:pt idx="519">
                  <c:v>40.8</c:v>
                </c:pt>
                <c:pt idx="520">
                  <c:v>40.9</c:v>
                </c:pt>
                <c:pt idx="521">
                  <c:v>41</c:v>
                </c:pt>
                <c:pt idx="522">
                  <c:v>41.2</c:v>
                </c:pt>
                <c:pt idx="523">
                  <c:v>41.3</c:v>
                </c:pt>
                <c:pt idx="524">
                  <c:v>41.4</c:v>
                </c:pt>
                <c:pt idx="525">
                  <c:v>41.5</c:v>
                </c:pt>
                <c:pt idx="526">
                  <c:v>41.7</c:v>
                </c:pt>
                <c:pt idx="527">
                  <c:v>41.8</c:v>
                </c:pt>
                <c:pt idx="528">
                  <c:v>41.9</c:v>
                </c:pt>
                <c:pt idx="529">
                  <c:v>42</c:v>
                </c:pt>
                <c:pt idx="530">
                  <c:v>42.2</c:v>
                </c:pt>
                <c:pt idx="531">
                  <c:v>42.3</c:v>
                </c:pt>
                <c:pt idx="532">
                  <c:v>42.4</c:v>
                </c:pt>
                <c:pt idx="533">
                  <c:v>42.5</c:v>
                </c:pt>
                <c:pt idx="534">
                  <c:v>42.6</c:v>
                </c:pt>
                <c:pt idx="535">
                  <c:v>42.8</c:v>
                </c:pt>
                <c:pt idx="536">
                  <c:v>42.9</c:v>
                </c:pt>
                <c:pt idx="537">
                  <c:v>43</c:v>
                </c:pt>
                <c:pt idx="538">
                  <c:v>43.1</c:v>
                </c:pt>
                <c:pt idx="539">
                  <c:v>43.3</c:v>
                </c:pt>
                <c:pt idx="540">
                  <c:v>43.4</c:v>
                </c:pt>
                <c:pt idx="541">
                  <c:v>43.5</c:v>
                </c:pt>
                <c:pt idx="542">
                  <c:v>43.6</c:v>
                </c:pt>
                <c:pt idx="543">
                  <c:v>43.8</c:v>
                </c:pt>
                <c:pt idx="544">
                  <c:v>43.9</c:v>
                </c:pt>
                <c:pt idx="545">
                  <c:v>44</c:v>
                </c:pt>
                <c:pt idx="546">
                  <c:v>44.1</c:v>
                </c:pt>
                <c:pt idx="547">
                  <c:v>44.2</c:v>
                </c:pt>
                <c:pt idx="548">
                  <c:v>44.4</c:v>
                </c:pt>
                <c:pt idx="549">
                  <c:v>44.5</c:v>
                </c:pt>
                <c:pt idx="550">
                  <c:v>44.6</c:v>
                </c:pt>
                <c:pt idx="551">
                  <c:v>44.7</c:v>
                </c:pt>
                <c:pt idx="552">
                  <c:v>44.9</c:v>
                </c:pt>
                <c:pt idx="553">
                  <c:v>45</c:v>
                </c:pt>
                <c:pt idx="554">
                  <c:v>45.1</c:v>
                </c:pt>
                <c:pt idx="555">
                  <c:v>45.2</c:v>
                </c:pt>
                <c:pt idx="556">
                  <c:v>45.4</c:v>
                </c:pt>
                <c:pt idx="557">
                  <c:v>45.5</c:v>
                </c:pt>
                <c:pt idx="558">
                  <c:v>45.6</c:v>
                </c:pt>
                <c:pt idx="559">
                  <c:v>45.7</c:v>
                </c:pt>
                <c:pt idx="560">
                  <c:v>45.8</c:v>
                </c:pt>
                <c:pt idx="561">
                  <c:v>46</c:v>
                </c:pt>
                <c:pt idx="562">
                  <c:v>46.1</c:v>
                </c:pt>
                <c:pt idx="563">
                  <c:v>46.2</c:v>
                </c:pt>
                <c:pt idx="564">
                  <c:v>46.3</c:v>
                </c:pt>
                <c:pt idx="565">
                  <c:v>46.5</c:v>
                </c:pt>
                <c:pt idx="566">
                  <c:v>46.6</c:v>
                </c:pt>
                <c:pt idx="567">
                  <c:v>46.7</c:v>
                </c:pt>
                <c:pt idx="568">
                  <c:v>46.8</c:v>
                </c:pt>
                <c:pt idx="569">
                  <c:v>47</c:v>
                </c:pt>
                <c:pt idx="570">
                  <c:v>47.1</c:v>
                </c:pt>
                <c:pt idx="571">
                  <c:v>47.2</c:v>
                </c:pt>
                <c:pt idx="572">
                  <c:v>47.3</c:v>
                </c:pt>
                <c:pt idx="573">
                  <c:v>47.4</c:v>
                </c:pt>
                <c:pt idx="574">
                  <c:v>47.6</c:v>
                </c:pt>
                <c:pt idx="575">
                  <c:v>47.7</c:v>
                </c:pt>
                <c:pt idx="576">
                  <c:v>47.8</c:v>
                </c:pt>
                <c:pt idx="577">
                  <c:v>47.9</c:v>
                </c:pt>
                <c:pt idx="578">
                  <c:v>48.1</c:v>
                </c:pt>
                <c:pt idx="579">
                  <c:v>48.2</c:v>
                </c:pt>
                <c:pt idx="580">
                  <c:v>48.3</c:v>
                </c:pt>
                <c:pt idx="581">
                  <c:v>48.4</c:v>
                </c:pt>
                <c:pt idx="582">
                  <c:v>48.6</c:v>
                </c:pt>
                <c:pt idx="583">
                  <c:v>48.7</c:v>
                </c:pt>
                <c:pt idx="584">
                  <c:v>48.8</c:v>
                </c:pt>
                <c:pt idx="585">
                  <c:v>48.9</c:v>
                </c:pt>
                <c:pt idx="586">
                  <c:v>49</c:v>
                </c:pt>
                <c:pt idx="587">
                  <c:v>49.2</c:v>
                </c:pt>
                <c:pt idx="588">
                  <c:v>49.3</c:v>
                </c:pt>
                <c:pt idx="589">
                  <c:v>49.4</c:v>
                </c:pt>
                <c:pt idx="590">
                  <c:v>49.5</c:v>
                </c:pt>
                <c:pt idx="591">
                  <c:v>49.7</c:v>
                </c:pt>
                <c:pt idx="592">
                  <c:v>49.8</c:v>
                </c:pt>
                <c:pt idx="593">
                  <c:v>49.9</c:v>
                </c:pt>
                <c:pt idx="594">
                  <c:v>50</c:v>
                </c:pt>
                <c:pt idx="595">
                  <c:v>50.2</c:v>
                </c:pt>
                <c:pt idx="596">
                  <c:v>50.3</c:v>
                </c:pt>
                <c:pt idx="597">
                  <c:v>50.4</c:v>
                </c:pt>
                <c:pt idx="598">
                  <c:v>50.5</c:v>
                </c:pt>
                <c:pt idx="599">
                  <c:v>50.6</c:v>
                </c:pt>
                <c:pt idx="600">
                  <c:v>50.8</c:v>
                </c:pt>
                <c:pt idx="601">
                  <c:v>50.9</c:v>
                </c:pt>
                <c:pt idx="602">
                  <c:v>51</c:v>
                </c:pt>
                <c:pt idx="603">
                  <c:v>51.1</c:v>
                </c:pt>
                <c:pt idx="604">
                  <c:v>51.3</c:v>
                </c:pt>
                <c:pt idx="605">
                  <c:v>51.4</c:v>
                </c:pt>
                <c:pt idx="606">
                  <c:v>51.5</c:v>
                </c:pt>
                <c:pt idx="607">
                  <c:v>51.6</c:v>
                </c:pt>
                <c:pt idx="608">
                  <c:v>51.8</c:v>
                </c:pt>
                <c:pt idx="609">
                  <c:v>51.9</c:v>
                </c:pt>
                <c:pt idx="610">
                  <c:v>52</c:v>
                </c:pt>
                <c:pt idx="611">
                  <c:v>52.1</c:v>
                </c:pt>
                <c:pt idx="612">
                  <c:v>52.2</c:v>
                </c:pt>
                <c:pt idx="613">
                  <c:v>52.4</c:v>
                </c:pt>
                <c:pt idx="614">
                  <c:v>52.5</c:v>
                </c:pt>
                <c:pt idx="615">
                  <c:v>52.6</c:v>
                </c:pt>
                <c:pt idx="616">
                  <c:v>52.7</c:v>
                </c:pt>
                <c:pt idx="617">
                  <c:v>52.9</c:v>
                </c:pt>
                <c:pt idx="618">
                  <c:v>53</c:v>
                </c:pt>
                <c:pt idx="619">
                  <c:v>53.1</c:v>
                </c:pt>
                <c:pt idx="620">
                  <c:v>53.2</c:v>
                </c:pt>
                <c:pt idx="621">
                  <c:v>53.4</c:v>
                </c:pt>
                <c:pt idx="622">
                  <c:v>53.5</c:v>
                </c:pt>
                <c:pt idx="623">
                  <c:v>53.6</c:v>
                </c:pt>
                <c:pt idx="624">
                  <c:v>53.7</c:v>
                </c:pt>
                <c:pt idx="625">
                  <c:v>53.8</c:v>
                </c:pt>
                <c:pt idx="626">
                  <c:v>54</c:v>
                </c:pt>
                <c:pt idx="627">
                  <c:v>54.1</c:v>
                </c:pt>
                <c:pt idx="628">
                  <c:v>54.2</c:v>
                </c:pt>
                <c:pt idx="629">
                  <c:v>54.3</c:v>
                </c:pt>
                <c:pt idx="630">
                  <c:v>54.5</c:v>
                </c:pt>
                <c:pt idx="631">
                  <c:v>54.6</c:v>
                </c:pt>
                <c:pt idx="632">
                  <c:v>54.7</c:v>
                </c:pt>
                <c:pt idx="633">
                  <c:v>54.8</c:v>
                </c:pt>
                <c:pt idx="634">
                  <c:v>55</c:v>
                </c:pt>
                <c:pt idx="635">
                  <c:v>55.1</c:v>
                </c:pt>
                <c:pt idx="636">
                  <c:v>55.2</c:v>
                </c:pt>
                <c:pt idx="637">
                  <c:v>55.3</c:v>
                </c:pt>
                <c:pt idx="638">
                  <c:v>55.4</c:v>
                </c:pt>
                <c:pt idx="639">
                  <c:v>55.6</c:v>
                </c:pt>
                <c:pt idx="640">
                  <c:v>55.7</c:v>
                </c:pt>
                <c:pt idx="641">
                  <c:v>55.8</c:v>
                </c:pt>
                <c:pt idx="642">
                  <c:v>55.9</c:v>
                </c:pt>
                <c:pt idx="643">
                  <c:v>56.1</c:v>
                </c:pt>
                <c:pt idx="644">
                  <c:v>56.2</c:v>
                </c:pt>
                <c:pt idx="645">
                  <c:v>56.3</c:v>
                </c:pt>
                <c:pt idx="646">
                  <c:v>56.4</c:v>
                </c:pt>
                <c:pt idx="647">
                  <c:v>56.6</c:v>
                </c:pt>
                <c:pt idx="648">
                  <c:v>56.7</c:v>
                </c:pt>
                <c:pt idx="649">
                  <c:v>56.8</c:v>
                </c:pt>
                <c:pt idx="650">
                  <c:v>56.9</c:v>
                </c:pt>
                <c:pt idx="651">
                  <c:v>57</c:v>
                </c:pt>
                <c:pt idx="652">
                  <c:v>57.2</c:v>
                </c:pt>
                <c:pt idx="653">
                  <c:v>57.3</c:v>
                </c:pt>
                <c:pt idx="654">
                  <c:v>57.4</c:v>
                </c:pt>
                <c:pt idx="655">
                  <c:v>57.5</c:v>
                </c:pt>
                <c:pt idx="656">
                  <c:v>57.7</c:v>
                </c:pt>
                <c:pt idx="657">
                  <c:v>57.8</c:v>
                </c:pt>
                <c:pt idx="658">
                  <c:v>57.9</c:v>
                </c:pt>
                <c:pt idx="659">
                  <c:v>58</c:v>
                </c:pt>
                <c:pt idx="660">
                  <c:v>58.2</c:v>
                </c:pt>
                <c:pt idx="661">
                  <c:v>58.3</c:v>
                </c:pt>
                <c:pt idx="662">
                  <c:v>58.4</c:v>
                </c:pt>
                <c:pt idx="663">
                  <c:v>58.5</c:v>
                </c:pt>
                <c:pt idx="664">
                  <c:v>58.6</c:v>
                </c:pt>
                <c:pt idx="665">
                  <c:v>58.8</c:v>
                </c:pt>
                <c:pt idx="666">
                  <c:v>58.9</c:v>
                </c:pt>
                <c:pt idx="667">
                  <c:v>59</c:v>
                </c:pt>
                <c:pt idx="668">
                  <c:v>59.1</c:v>
                </c:pt>
                <c:pt idx="669">
                  <c:v>59.3</c:v>
                </c:pt>
                <c:pt idx="670">
                  <c:v>59.4</c:v>
                </c:pt>
                <c:pt idx="671">
                  <c:v>59.5</c:v>
                </c:pt>
                <c:pt idx="672">
                  <c:v>59.6</c:v>
                </c:pt>
                <c:pt idx="673">
                  <c:v>59.8</c:v>
                </c:pt>
                <c:pt idx="674">
                  <c:v>59.9</c:v>
                </c:pt>
                <c:pt idx="675">
                  <c:v>60</c:v>
                </c:pt>
                <c:pt idx="676">
                  <c:v>60.1</c:v>
                </c:pt>
                <c:pt idx="677">
                  <c:v>60.2</c:v>
                </c:pt>
                <c:pt idx="678">
                  <c:v>60.4</c:v>
                </c:pt>
                <c:pt idx="679">
                  <c:v>60.5</c:v>
                </c:pt>
                <c:pt idx="680">
                  <c:v>60.6</c:v>
                </c:pt>
                <c:pt idx="681">
                  <c:v>60.7</c:v>
                </c:pt>
                <c:pt idx="682">
                  <c:v>60.9</c:v>
                </c:pt>
                <c:pt idx="683">
                  <c:v>61</c:v>
                </c:pt>
                <c:pt idx="684">
                  <c:v>61.1</c:v>
                </c:pt>
                <c:pt idx="685">
                  <c:v>61.2</c:v>
                </c:pt>
                <c:pt idx="686">
                  <c:v>61.4</c:v>
                </c:pt>
                <c:pt idx="687">
                  <c:v>61.5</c:v>
                </c:pt>
                <c:pt idx="688">
                  <c:v>61.6</c:v>
                </c:pt>
                <c:pt idx="689">
                  <c:v>61.7</c:v>
                </c:pt>
                <c:pt idx="690">
                  <c:v>61.8</c:v>
                </c:pt>
                <c:pt idx="691">
                  <c:v>62</c:v>
                </c:pt>
                <c:pt idx="692">
                  <c:v>62.1</c:v>
                </c:pt>
                <c:pt idx="693">
                  <c:v>62.2</c:v>
                </c:pt>
                <c:pt idx="694">
                  <c:v>62.3</c:v>
                </c:pt>
                <c:pt idx="695">
                  <c:v>62.5</c:v>
                </c:pt>
                <c:pt idx="696">
                  <c:v>62.6</c:v>
                </c:pt>
                <c:pt idx="697">
                  <c:v>62.7</c:v>
                </c:pt>
                <c:pt idx="698">
                  <c:v>62.8</c:v>
                </c:pt>
                <c:pt idx="699">
                  <c:v>63</c:v>
                </c:pt>
                <c:pt idx="700">
                  <c:v>63.1</c:v>
                </c:pt>
                <c:pt idx="701">
                  <c:v>63.2</c:v>
                </c:pt>
                <c:pt idx="702">
                  <c:v>63.3</c:v>
                </c:pt>
                <c:pt idx="703">
                  <c:v>63.4</c:v>
                </c:pt>
                <c:pt idx="704">
                  <c:v>63.6</c:v>
                </c:pt>
                <c:pt idx="705">
                  <c:v>63.7</c:v>
                </c:pt>
                <c:pt idx="706">
                  <c:v>63.8</c:v>
                </c:pt>
                <c:pt idx="707">
                  <c:v>63.9</c:v>
                </c:pt>
                <c:pt idx="708">
                  <c:v>64.1</c:v>
                </c:pt>
                <c:pt idx="709">
                  <c:v>64.2</c:v>
                </c:pt>
                <c:pt idx="710">
                  <c:v>64.3</c:v>
                </c:pt>
                <c:pt idx="711">
                  <c:v>64.4</c:v>
                </c:pt>
                <c:pt idx="712">
                  <c:v>64.6</c:v>
                </c:pt>
                <c:pt idx="713">
                  <c:v>64.7</c:v>
                </c:pt>
                <c:pt idx="714">
                  <c:v>64.8</c:v>
                </c:pt>
                <c:pt idx="715">
                  <c:v>64.9</c:v>
                </c:pt>
                <c:pt idx="716">
                  <c:v>65</c:v>
                </c:pt>
                <c:pt idx="717">
                  <c:v>65.2</c:v>
                </c:pt>
                <c:pt idx="718">
                  <c:v>65.3</c:v>
                </c:pt>
                <c:pt idx="719">
                  <c:v>65.4</c:v>
                </c:pt>
                <c:pt idx="720">
                  <c:v>65.5</c:v>
                </c:pt>
                <c:pt idx="721">
                  <c:v>65.7</c:v>
                </c:pt>
                <c:pt idx="722">
                  <c:v>65.8</c:v>
                </c:pt>
                <c:pt idx="723">
                  <c:v>65.9</c:v>
                </c:pt>
                <c:pt idx="724">
                  <c:v>66</c:v>
                </c:pt>
                <c:pt idx="725">
                  <c:v>66.2</c:v>
                </c:pt>
                <c:pt idx="726">
                  <c:v>66.3</c:v>
                </c:pt>
                <c:pt idx="727">
                  <c:v>66.4</c:v>
                </c:pt>
                <c:pt idx="728">
                  <c:v>66.5</c:v>
                </c:pt>
                <c:pt idx="729">
                  <c:v>66.6</c:v>
                </c:pt>
                <c:pt idx="730">
                  <c:v>66.8</c:v>
                </c:pt>
                <c:pt idx="731">
                  <c:v>66.9</c:v>
                </c:pt>
                <c:pt idx="732">
                  <c:v>67</c:v>
                </c:pt>
                <c:pt idx="733">
                  <c:v>67.1</c:v>
                </c:pt>
                <c:pt idx="734">
                  <c:v>67.3</c:v>
                </c:pt>
                <c:pt idx="735">
                  <c:v>67.4</c:v>
                </c:pt>
                <c:pt idx="736">
                  <c:v>67.5</c:v>
                </c:pt>
                <c:pt idx="737">
                  <c:v>67.6</c:v>
                </c:pt>
                <c:pt idx="738">
                  <c:v>67.8</c:v>
                </c:pt>
                <c:pt idx="739">
                  <c:v>67.9</c:v>
                </c:pt>
                <c:pt idx="740">
                  <c:v>68</c:v>
                </c:pt>
                <c:pt idx="741">
                  <c:v>68.1</c:v>
                </c:pt>
                <c:pt idx="742">
                  <c:v>68.2</c:v>
                </c:pt>
                <c:pt idx="743">
                  <c:v>68.4</c:v>
                </c:pt>
                <c:pt idx="744">
                  <c:v>68.5</c:v>
                </c:pt>
                <c:pt idx="745">
                  <c:v>68.6</c:v>
                </c:pt>
                <c:pt idx="746">
                  <c:v>68.7</c:v>
                </c:pt>
                <c:pt idx="747">
                  <c:v>68.9</c:v>
                </c:pt>
                <c:pt idx="748">
                  <c:v>69</c:v>
                </c:pt>
                <c:pt idx="749">
                  <c:v>69.1</c:v>
                </c:pt>
                <c:pt idx="750">
                  <c:v>69.2</c:v>
                </c:pt>
                <c:pt idx="751">
                  <c:v>69.4</c:v>
                </c:pt>
                <c:pt idx="752">
                  <c:v>69.5</c:v>
                </c:pt>
                <c:pt idx="753">
                  <c:v>69.6</c:v>
                </c:pt>
                <c:pt idx="754">
                  <c:v>69.7</c:v>
                </c:pt>
                <c:pt idx="755">
                  <c:v>69.8</c:v>
                </c:pt>
                <c:pt idx="756">
                  <c:v>70</c:v>
                </c:pt>
                <c:pt idx="757">
                  <c:v>70.1</c:v>
                </c:pt>
                <c:pt idx="758">
                  <c:v>70.2</c:v>
                </c:pt>
                <c:pt idx="759">
                  <c:v>70.3</c:v>
                </c:pt>
                <c:pt idx="760">
                  <c:v>70.5</c:v>
                </c:pt>
                <c:pt idx="761">
                  <c:v>70.6</c:v>
                </c:pt>
                <c:pt idx="762">
                  <c:v>70.7</c:v>
                </c:pt>
                <c:pt idx="763">
                  <c:v>70.8</c:v>
                </c:pt>
                <c:pt idx="764">
                  <c:v>71</c:v>
                </c:pt>
                <c:pt idx="765">
                  <c:v>71.1</c:v>
                </c:pt>
                <c:pt idx="766">
                  <c:v>71.2</c:v>
                </c:pt>
                <c:pt idx="767">
                  <c:v>71.3</c:v>
                </c:pt>
                <c:pt idx="768">
                  <c:v>71.4</c:v>
                </c:pt>
                <c:pt idx="769">
                  <c:v>71.6</c:v>
                </c:pt>
                <c:pt idx="770">
                  <c:v>71.7</c:v>
                </c:pt>
                <c:pt idx="771">
                  <c:v>71.8</c:v>
                </c:pt>
                <c:pt idx="772">
                  <c:v>71.9</c:v>
                </c:pt>
                <c:pt idx="773">
                  <c:v>72.1</c:v>
                </c:pt>
                <c:pt idx="774">
                  <c:v>72.2</c:v>
                </c:pt>
                <c:pt idx="775">
                  <c:v>72.3</c:v>
                </c:pt>
                <c:pt idx="776">
                  <c:v>72.4</c:v>
                </c:pt>
                <c:pt idx="777">
                  <c:v>72.6</c:v>
                </c:pt>
                <c:pt idx="778">
                  <c:v>72.7</c:v>
                </c:pt>
                <c:pt idx="779">
                  <c:v>72.8</c:v>
                </c:pt>
                <c:pt idx="780">
                  <c:v>72.9</c:v>
                </c:pt>
                <c:pt idx="781">
                  <c:v>73</c:v>
                </c:pt>
                <c:pt idx="782">
                  <c:v>73.2</c:v>
                </c:pt>
                <c:pt idx="783">
                  <c:v>73.3</c:v>
                </c:pt>
                <c:pt idx="784">
                  <c:v>73.4</c:v>
                </c:pt>
                <c:pt idx="785">
                  <c:v>73.5</c:v>
                </c:pt>
                <c:pt idx="786">
                  <c:v>73.7</c:v>
                </c:pt>
                <c:pt idx="787">
                  <c:v>73.8</c:v>
                </c:pt>
                <c:pt idx="788">
                  <c:v>73.9</c:v>
                </c:pt>
                <c:pt idx="789">
                  <c:v>74</c:v>
                </c:pt>
                <c:pt idx="790">
                  <c:v>74.2</c:v>
                </c:pt>
                <c:pt idx="791">
                  <c:v>74.3</c:v>
                </c:pt>
                <c:pt idx="792">
                  <c:v>74.4</c:v>
                </c:pt>
                <c:pt idx="793">
                  <c:v>74.5</c:v>
                </c:pt>
                <c:pt idx="794">
                  <c:v>74.6</c:v>
                </c:pt>
                <c:pt idx="795">
                  <c:v>74.8</c:v>
                </c:pt>
                <c:pt idx="796">
                  <c:v>74.9</c:v>
                </c:pt>
                <c:pt idx="797">
                  <c:v>75</c:v>
                </c:pt>
                <c:pt idx="798">
                  <c:v>75.1</c:v>
                </c:pt>
                <c:pt idx="799">
                  <c:v>75.3</c:v>
                </c:pt>
                <c:pt idx="800">
                  <c:v>75.4</c:v>
                </c:pt>
                <c:pt idx="801">
                  <c:v>75.5</c:v>
                </c:pt>
                <c:pt idx="802">
                  <c:v>75.6</c:v>
                </c:pt>
                <c:pt idx="803">
                  <c:v>75.8</c:v>
                </c:pt>
                <c:pt idx="804">
                  <c:v>75.9</c:v>
                </c:pt>
                <c:pt idx="805">
                  <c:v>76</c:v>
                </c:pt>
                <c:pt idx="806">
                  <c:v>76.1</c:v>
                </c:pt>
                <c:pt idx="807">
                  <c:v>76.2</c:v>
                </c:pt>
                <c:pt idx="808">
                  <c:v>76.4</c:v>
                </c:pt>
                <c:pt idx="809">
                  <c:v>76.5</c:v>
                </c:pt>
                <c:pt idx="810">
                  <c:v>76.6</c:v>
                </c:pt>
                <c:pt idx="811">
                  <c:v>76.7</c:v>
                </c:pt>
                <c:pt idx="812">
                  <c:v>76.9</c:v>
                </c:pt>
                <c:pt idx="813">
                  <c:v>77</c:v>
                </c:pt>
                <c:pt idx="814">
                  <c:v>77.1</c:v>
                </c:pt>
                <c:pt idx="815">
                  <c:v>77.2</c:v>
                </c:pt>
                <c:pt idx="816">
                  <c:v>77.4</c:v>
                </c:pt>
                <c:pt idx="817">
                  <c:v>77.5</c:v>
                </c:pt>
                <c:pt idx="818">
                  <c:v>77.6</c:v>
                </c:pt>
                <c:pt idx="819">
                  <c:v>77.7</c:v>
                </c:pt>
                <c:pt idx="820">
                  <c:v>77.8</c:v>
                </c:pt>
                <c:pt idx="821">
                  <c:v>78</c:v>
                </c:pt>
                <c:pt idx="822">
                  <c:v>78.1</c:v>
                </c:pt>
                <c:pt idx="823">
                  <c:v>78.2</c:v>
                </c:pt>
                <c:pt idx="824">
                  <c:v>78.3</c:v>
                </c:pt>
                <c:pt idx="825">
                  <c:v>78.5</c:v>
                </c:pt>
                <c:pt idx="826">
                  <c:v>78.6</c:v>
                </c:pt>
                <c:pt idx="827">
                  <c:v>78.7</c:v>
                </c:pt>
                <c:pt idx="828">
                  <c:v>78.8</c:v>
                </c:pt>
                <c:pt idx="829">
                  <c:v>79</c:v>
                </c:pt>
                <c:pt idx="830">
                  <c:v>79.1</c:v>
                </c:pt>
                <c:pt idx="831">
                  <c:v>79.2</c:v>
                </c:pt>
                <c:pt idx="832">
                  <c:v>79.3</c:v>
                </c:pt>
                <c:pt idx="833">
                  <c:v>79.4</c:v>
                </c:pt>
                <c:pt idx="834">
                  <c:v>79.6</c:v>
                </c:pt>
                <c:pt idx="835">
                  <c:v>79.7</c:v>
                </c:pt>
                <c:pt idx="836">
                  <c:v>79.8</c:v>
                </c:pt>
                <c:pt idx="837">
                  <c:v>79.9</c:v>
                </c:pt>
                <c:pt idx="838">
                  <c:v>80.1</c:v>
                </c:pt>
                <c:pt idx="839">
                  <c:v>80.2</c:v>
                </c:pt>
                <c:pt idx="840">
                  <c:v>80.3</c:v>
                </c:pt>
                <c:pt idx="841">
                  <c:v>80.4</c:v>
                </c:pt>
                <c:pt idx="842">
                  <c:v>80.6</c:v>
                </c:pt>
                <c:pt idx="843">
                  <c:v>80.7</c:v>
                </c:pt>
                <c:pt idx="844">
                  <c:v>80.8</c:v>
                </c:pt>
                <c:pt idx="845">
                  <c:v>80.9</c:v>
                </c:pt>
                <c:pt idx="846">
                  <c:v>81</c:v>
                </c:pt>
                <c:pt idx="847">
                  <c:v>81.2</c:v>
                </c:pt>
                <c:pt idx="848">
                  <c:v>81.3</c:v>
                </c:pt>
                <c:pt idx="849">
                  <c:v>81.4</c:v>
                </c:pt>
                <c:pt idx="850">
                  <c:v>81.5</c:v>
                </c:pt>
                <c:pt idx="851">
                  <c:v>81.7</c:v>
                </c:pt>
                <c:pt idx="852">
                  <c:v>81.8</c:v>
                </c:pt>
                <c:pt idx="853">
                  <c:v>81.9</c:v>
                </c:pt>
                <c:pt idx="854">
                  <c:v>82</c:v>
                </c:pt>
                <c:pt idx="855">
                  <c:v>82.2</c:v>
                </c:pt>
                <c:pt idx="856">
                  <c:v>82.3</c:v>
                </c:pt>
                <c:pt idx="857">
                  <c:v>82.4</c:v>
                </c:pt>
                <c:pt idx="858">
                  <c:v>82.5</c:v>
                </c:pt>
                <c:pt idx="859">
                  <c:v>82.6</c:v>
                </c:pt>
                <c:pt idx="860">
                  <c:v>82.8</c:v>
                </c:pt>
                <c:pt idx="861">
                  <c:v>82.9</c:v>
                </c:pt>
                <c:pt idx="862">
                  <c:v>83</c:v>
                </c:pt>
                <c:pt idx="863">
                  <c:v>83.1</c:v>
                </c:pt>
                <c:pt idx="864">
                  <c:v>83.3</c:v>
                </c:pt>
                <c:pt idx="865">
                  <c:v>83.4</c:v>
                </c:pt>
                <c:pt idx="866">
                  <c:v>83.5</c:v>
                </c:pt>
                <c:pt idx="867">
                  <c:v>83.6</c:v>
                </c:pt>
                <c:pt idx="868">
                  <c:v>83.8</c:v>
                </c:pt>
                <c:pt idx="869">
                  <c:v>83.9</c:v>
                </c:pt>
                <c:pt idx="870">
                  <c:v>84</c:v>
                </c:pt>
                <c:pt idx="871">
                  <c:v>84.1</c:v>
                </c:pt>
                <c:pt idx="872">
                  <c:v>84.2</c:v>
                </c:pt>
                <c:pt idx="873">
                  <c:v>84.4</c:v>
                </c:pt>
                <c:pt idx="874">
                  <c:v>84.5</c:v>
                </c:pt>
                <c:pt idx="875">
                  <c:v>84.6</c:v>
                </c:pt>
                <c:pt idx="876">
                  <c:v>84.7</c:v>
                </c:pt>
                <c:pt idx="877">
                  <c:v>84.9</c:v>
                </c:pt>
                <c:pt idx="878">
                  <c:v>85</c:v>
                </c:pt>
                <c:pt idx="879">
                  <c:v>85.1</c:v>
                </c:pt>
                <c:pt idx="880">
                  <c:v>85.2</c:v>
                </c:pt>
                <c:pt idx="881">
                  <c:v>85.4</c:v>
                </c:pt>
                <c:pt idx="882">
                  <c:v>85.5</c:v>
                </c:pt>
                <c:pt idx="883">
                  <c:v>85.6</c:v>
                </c:pt>
                <c:pt idx="884">
                  <c:v>85.7</c:v>
                </c:pt>
                <c:pt idx="885">
                  <c:v>85.8</c:v>
                </c:pt>
                <c:pt idx="886">
                  <c:v>86</c:v>
                </c:pt>
                <c:pt idx="887">
                  <c:v>86.1</c:v>
                </c:pt>
                <c:pt idx="888">
                  <c:v>86.2</c:v>
                </c:pt>
                <c:pt idx="889">
                  <c:v>86.3</c:v>
                </c:pt>
                <c:pt idx="890">
                  <c:v>86.5</c:v>
                </c:pt>
                <c:pt idx="891">
                  <c:v>86.6</c:v>
                </c:pt>
                <c:pt idx="892">
                  <c:v>86.7</c:v>
                </c:pt>
                <c:pt idx="893">
                  <c:v>86.8</c:v>
                </c:pt>
                <c:pt idx="894">
                  <c:v>87</c:v>
                </c:pt>
                <c:pt idx="895">
                  <c:v>87.1</c:v>
                </c:pt>
                <c:pt idx="896">
                  <c:v>87.2</c:v>
                </c:pt>
                <c:pt idx="897">
                  <c:v>87.3</c:v>
                </c:pt>
                <c:pt idx="898">
                  <c:v>87.4</c:v>
                </c:pt>
                <c:pt idx="899">
                  <c:v>87.6</c:v>
                </c:pt>
                <c:pt idx="900">
                  <c:v>87.7</c:v>
                </c:pt>
                <c:pt idx="901">
                  <c:v>87.8</c:v>
                </c:pt>
                <c:pt idx="902">
                  <c:v>87.9</c:v>
                </c:pt>
                <c:pt idx="903">
                  <c:v>88.1</c:v>
                </c:pt>
                <c:pt idx="904">
                  <c:v>88.2</c:v>
                </c:pt>
                <c:pt idx="905">
                  <c:v>88.3</c:v>
                </c:pt>
                <c:pt idx="906">
                  <c:v>88.4</c:v>
                </c:pt>
                <c:pt idx="907">
                  <c:v>88.6</c:v>
                </c:pt>
                <c:pt idx="908">
                  <c:v>88.7</c:v>
                </c:pt>
                <c:pt idx="909">
                  <c:v>88.8</c:v>
                </c:pt>
                <c:pt idx="910">
                  <c:v>88.9</c:v>
                </c:pt>
                <c:pt idx="911">
                  <c:v>89</c:v>
                </c:pt>
                <c:pt idx="912">
                  <c:v>89.2</c:v>
                </c:pt>
                <c:pt idx="913">
                  <c:v>89.3</c:v>
                </c:pt>
                <c:pt idx="914">
                  <c:v>89.4</c:v>
                </c:pt>
                <c:pt idx="915">
                  <c:v>89.5</c:v>
                </c:pt>
                <c:pt idx="916">
                  <c:v>89.7</c:v>
                </c:pt>
                <c:pt idx="917">
                  <c:v>89.8</c:v>
                </c:pt>
                <c:pt idx="918">
                  <c:v>89.9</c:v>
                </c:pt>
                <c:pt idx="919">
                  <c:v>90</c:v>
                </c:pt>
                <c:pt idx="920">
                  <c:v>90.2</c:v>
                </c:pt>
                <c:pt idx="921">
                  <c:v>90.3</c:v>
                </c:pt>
                <c:pt idx="922">
                  <c:v>90.4</c:v>
                </c:pt>
                <c:pt idx="923">
                  <c:v>90.5</c:v>
                </c:pt>
                <c:pt idx="924">
                  <c:v>90.6</c:v>
                </c:pt>
                <c:pt idx="925">
                  <c:v>90.8</c:v>
                </c:pt>
                <c:pt idx="926">
                  <c:v>90.9</c:v>
                </c:pt>
                <c:pt idx="927">
                  <c:v>91</c:v>
                </c:pt>
                <c:pt idx="928">
                  <c:v>91.1</c:v>
                </c:pt>
                <c:pt idx="929">
                  <c:v>91.3</c:v>
                </c:pt>
                <c:pt idx="930">
                  <c:v>91.4</c:v>
                </c:pt>
                <c:pt idx="931">
                  <c:v>91.5</c:v>
                </c:pt>
                <c:pt idx="932">
                  <c:v>91.6</c:v>
                </c:pt>
                <c:pt idx="933">
                  <c:v>91.8</c:v>
                </c:pt>
                <c:pt idx="934">
                  <c:v>91.9</c:v>
                </c:pt>
                <c:pt idx="935">
                  <c:v>92</c:v>
                </c:pt>
                <c:pt idx="936">
                  <c:v>92.1</c:v>
                </c:pt>
                <c:pt idx="937">
                  <c:v>92.2</c:v>
                </c:pt>
                <c:pt idx="938">
                  <c:v>92.4</c:v>
                </c:pt>
                <c:pt idx="939">
                  <c:v>92.5</c:v>
                </c:pt>
                <c:pt idx="940">
                  <c:v>92.6</c:v>
                </c:pt>
                <c:pt idx="941">
                  <c:v>92.7</c:v>
                </c:pt>
                <c:pt idx="942">
                  <c:v>92.9</c:v>
                </c:pt>
                <c:pt idx="943">
                  <c:v>93</c:v>
                </c:pt>
                <c:pt idx="944">
                  <c:v>93.1</c:v>
                </c:pt>
                <c:pt idx="945">
                  <c:v>93.2</c:v>
                </c:pt>
                <c:pt idx="946">
                  <c:v>93.4</c:v>
                </c:pt>
                <c:pt idx="947">
                  <c:v>93.5</c:v>
                </c:pt>
                <c:pt idx="948">
                  <c:v>93.6</c:v>
                </c:pt>
                <c:pt idx="949">
                  <c:v>93.7</c:v>
                </c:pt>
                <c:pt idx="950">
                  <c:v>93.8</c:v>
                </c:pt>
                <c:pt idx="951">
                  <c:v>94</c:v>
                </c:pt>
                <c:pt idx="952">
                  <c:v>94.1</c:v>
                </c:pt>
                <c:pt idx="953">
                  <c:v>94.2</c:v>
                </c:pt>
                <c:pt idx="954">
                  <c:v>94.3</c:v>
                </c:pt>
                <c:pt idx="955">
                  <c:v>94.5</c:v>
                </c:pt>
                <c:pt idx="956">
                  <c:v>94.6</c:v>
                </c:pt>
                <c:pt idx="957">
                  <c:v>94.7</c:v>
                </c:pt>
                <c:pt idx="958">
                  <c:v>94.8</c:v>
                </c:pt>
                <c:pt idx="959">
                  <c:v>95</c:v>
                </c:pt>
                <c:pt idx="960">
                  <c:v>95.1</c:v>
                </c:pt>
                <c:pt idx="961">
                  <c:v>95.2</c:v>
                </c:pt>
                <c:pt idx="962">
                  <c:v>95.3</c:v>
                </c:pt>
                <c:pt idx="963">
                  <c:v>95.4</c:v>
                </c:pt>
                <c:pt idx="964">
                  <c:v>95.6</c:v>
                </c:pt>
                <c:pt idx="965">
                  <c:v>95.7</c:v>
                </c:pt>
                <c:pt idx="966">
                  <c:v>95.8</c:v>
                </c:pt>
                <c:pt idx="967">
                  <c:v>95.9</c:v>
                </c:pt>
                <c:pt idx="968">
                  <c:v>96.1</c:v>
                </c:pt>
                <c:pt idx="969">
                  <c:v>96.2</c:v>
                </c:pt>
                <c:pt idx="970">
                  <c:v>96.3</c:v>
                </c:pt>
                <c:pt idx="971">
                  <c:v>96.4</c:v>
                </c:pt>
                <c:pt idx="972">
                  <c:v>96.6</c:v>
                </c:pt>
                <c:pt idx="973">
                  <c:v>96.7</c:v>
                </c:pt>
                <c:pt idx="974">
                  <c:v>96.8</c:v>
                </c:pt>
                <c:pt idx="975">
                  <c:v>96.9</c:v>
                </c:pt>
                <c:pt idx="976">
                  <c:v>97</c:v>
                </c:pt>
                <c:pt idx="977">
                  <c:v>97.2</c:v>
                </c:pt>
                <c:pt idx="978">
                  <c:v>97.3</c:v>
                </c:pt>
                <c:pt idx="979">
                  <c:v>97.4</c:v>
                </c:pt>
                <c:pt idx="980">
                  <c:v>97.5</c:v>
                </c:pt>
                <c:pt idx="981">
                  <c:v>97.7</c:v>
                </c:pt>
                <c:pt idx="982">
                  <c:v>97.8</c:v>
                </c:pt>
                <c:pt idx="983">
                  <c:v>97.9</c:v>
                </c:pt>
                <c:pt idx="984">
                  <c:v>100</c:v>
                </c:pt>
                <c:pt idx="985">
                  <c:v>100</c:v>
                </c:pt>
                <c:pt idx="986">
                  <c:v>100</c:v>
                </c:pt>
                <c:pt idx="987">
                  <c:v>100</c:v>
                </c:pt>
                <c:pt idx="988">
                  <c:v>100</c:v>
                </c:pt>
                <c:pt idx="989">
                  <c:v>100</c:v>
                </c:pt>
                <c:pt idx="990">
                  <c:v>100</c:v>
                </c:pt>
                <c:pt idx="991">
                  <c:v>100</c:v>
                </c:pt>
                <c:pt idx="992">
                  <c:v>100</c:v>
                </c:pt>
                <c:pt idx="993">
                  <c:v>100</c:v>
                </c:pt>
                <c:pt idx="994">
                  <c:v>100</c:v>
                </c:pt>
                <c:pt idx="995">
                  <c:v>100</c:v>
                </c:pt>
                <c:pt idx="996">
                  <c:v>100</c:v>
                </c:pt>
                <c:pt idx="997">
                  <c:v>100</c:v>
                </c:pt>
                <c:pt idx="998">
                  <c:v>100</c:v>
                </c:pt>
                <c:pt idx="999">
                  <c:v>100</c:v>
                </c:pt>
                <c:pt idx="1000">
                  <c:v>100</c:v>
                </c:pt>
              </c:numCache>
            </c:numRef>
          </c:yVal>
          <c:smooth val="0"/>
        </c:ser>
        <c:axId val="53896528"/>
        <c:axId val="78795209"/>
      </c:scatterChart>
      <c:valAx>
        <c:axId val="53896528"/>
        <c:scaling>
          <c:orientation val="minMax"/>
          <c:max val="10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Pedal position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795209"/>
        <c:crosses val="autoZero"/>
        <c:crossBetween val="midCat"/>
      </c:valAx>
      <c:valAx>
        <c:axId val="787952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Throttle output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89652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Raw ADC1 vs final throttle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"Final throttle %"</c:f>
              <c:strCache>
                <c:ptCount val="1"/>
                <c:pt idx="0">
                  <c:v>Final throttle %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'ADC Sweep'!$B$5:$B$405</c:f>
              <c:numCache>
                <c:formatCode>General</c:formatCode>
                <c:ptCount val="4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61</c:v>
                </c:pt>
                <c:pt idx="7">
                  <c:v>72</c:v>
                </c:pt>
                <c:pt idx="8">
                  <c:v>82</c:v>
                </c:pt>
                <c:pt idx="9">
                  <c:v>92</c:v>
                </c:pt>
                <c:pt idx="10">
                  <c:v>102</c:v>
                </c:pt>
                <c:pt idx="11">
                  <c:v>113</c:v>
                </c:pt>
                <c:pt idx="12">
                  <c:v>123</c:v>
                </c:pt>
                <c:pt idx="13">
                  <c:v>133</c:v>
                </c:pt>
                <c:pt idx="14">
                  <c:v>143</c:v>
                </c:pt>
                <c:pt idx="15">
                  <c:v>154</c:v>
                </c:pt>
                <c:pt idx="16">
                  <c:v>164</c:v>
                </c:pt>
                <c:pt idx="17">
                  <c:v>174</c:v>
                </c:pt>
                <c:pt idx="18">
                  <c:v>184</c:v>
                </c:pt>
                <c:pt idx="19">
                  <c:v>195</c:v>
                </c:pt>
                <c:pt idx="20">
                  <c:v>205</c:v>
                </c:pt>
                <c:pt idx="21">
                  <c:v>215</c:v>
                </c:pt>
                <c:pt idx="22">
                  <c:v>225</c:v>
                </c:pt>
                <c:pt idx="23">
                  <c:v>235</c:v>
                </c:pt>
                <c:pt idx="24">
                  <c:v>246</c:v>
                </c:pt>
                <c:pt idx="25">
                  <c:v>256</c:v>
                </c:pt>
                <c:pt idx="26">
                  <c:v>266</c:v>
                </c:pt>
                <c:pt idx="27">
                  <c:v>276</c:v>
                </c:pt>
                <c:pt idx="28">
                  <c:v>287</c:v>
                </c:pt>
                <c:pt idx="29">
                  <c:v>297</c:v>
                </c:pt>
                <c:pt idx="30">
                  <c:v>307</c:v>
                </c:pt>
                <c:pt idx="31">
                  <c:v>317</c:v>
                </c:pt>
                <c:pt idx="32">
                  <c:v>328</c:v>
                </c:pt>
                <c:pt idx="33">
                  <c:v>338</c:v>
                </c:pt>
                <c:pt idx="34">
                  <c:v>348</c:v>
                </c:pt>
                <c:pt idx="35">
                  <c:v>358</c:v>
                </c:pt>
                <c:pt idx="36">
                  <c:v>369</c:v>
                </c:pt>
                <c:pt idx="37">
                  <c:v>379</c:v>
                </c:pt>
                <c:pt idx="38">
                  <c:v>389</c:v>
                </c:pt>
                <c:pt idx="39">
                  <c:v>399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461</c:v>
                </c:pt>
                <c:pt idx="46">
                  <c:v>471</c:v>
                </c:pt>
                <c:pt idx="47">
                  <c:v>481</c:v>
                </c:pt>
                <c:pt idx="48">
                  <c:v>491</c:v>
                </c:pt>
                <c:pt idx="49">
                  <c:v>502</c:v>
                </c:pt>
                <c:pt idx="50">
                  <c:v>512</c:v>
                </c:pt>
                <c:pt idx="51">
                  <c:v>522</c:v>
                </c:pt>
                <c:pt idx="52">
                  <c:v>532</c:v>
                </c:pt>
                <c:pt idx="53">
                  <c:v>543</c:v>
                </c:pt>
                <c:pt idx="54">
                  <c:v>553</c:v>
                </c:pt>
                <c:pt idx="55">
                  <c:v>563</c:v>
                </c:pt>
                <c:pt idx="56">
                  <c:v>573</c:v>
                </c:pt>
                <c:pt idx="57">
                  <c:v>584</c:v>
                </c:pt>
                <c:pt idx="58">
                  <c:v>594</c:v>
                </c:pt>
                <c:pt idx="59">
                  <c:v>604</c:v>
                </c:pt>
                <c:pt idx="60">
                  <c:v>614</c:v>
                </c:pt>
                <c:pt idx="61">
                  <c:v>624</c:v>
                </c:pt>
                <c:pt idx="62">
                  <c:v>635</c:v>
                </c:pt>
                <c:pt idx="63">
                  <c:v>645</c:v>
                </c:pt>
                <c:pt idx="64">
                  <c:v>655</c:v>
                </c:pt>
                <c:pt idx="65">
                  <c:v>665</c:v>
                </c:pt>
                <c:pt idx="66">
                  <c:v>676</c:v>
                </c:pt>
                <c:pt idx="67">
                  <c:v>686</c:v>
                </c:pt>
                <c:pt idx="68">
                  <c:v>696</c:v>
                </c:pt>
                <c:pt idx="69">
                  <c:v>706</c:v>
                </c:pt>
                <c:pt idx="70">
                  <c:v>717</c:v>
                </c:pt>
                <c:pt idx="71">
                  <c:v>727</c:v>
                </c:pt>
                <c:pt idx="72">
                  <c:v>737</c:v>
                </c:pt>
                <c:pt idx="73">
                  <c:v>747</c:v>
                </c:pt>
                <c:pt idx="74">
                  <c:v>758</c:v>
                </c:pt>
                <c:pt idx="75">
                  <c:v>768</c:v>
                </c:pt>
                <c:pt idx="76">
                  <c:v>778</c:v>
                </c:pt>
                <c:pt idx="77">
                  <c:v>788</c:v>
                </c:pt>
                <c:pt idx="78">
                  <c:v>799</c:v>
                </c:pt>
                <c:pt idx="79">
                  <c:v>809</c:v>
                </c:pt>
                <c:pt idx="80">
                  <c:v>819</c:v>
                </c:pt>
                <c:pt idx="81">
                  <c:v>829</c:v>
                </c:pt>
                <c:pt idx="82">
                  <c:v>839</c:v>
                </c:pt>
                <c:pt idx="83">
                  <c:v>850</c:v>
                </c:pt>
                <c:pt idx="84">
                  <c:v>860</c:v>
                </c:pt>
                <c:pt idx="85">
                  <c:v>870</c:v>
                </c:pt>
                <c:pt idx="86">
                  <c:v>880</c:v>
                </c:pt>
                <c:pt idx="87">
                  <c:v>891</c:v>
                </c:pt>
                <c:pt idx="88">
                  <c:v>901</c:v>
                </c:pt>
                <c:pt idx="89">
                  <c:v>911</c:v>
                </c:pt>
                <c:pt idx="90">
                  <c:v>921</c:v>
                </c:pt>
                <c:pt idx="91">
                  <c:v>932</c:v>
                </c:pt>
                <c:pt idx="92">
                  <c:v>942</c:v>
                </c:pt>
                <c:pt idx="93">
                  <c:v>952</c:v>
                </c:pt>
                <c:pt idx="94">
                  <c:v>962</c:v>
                </c:pt>
                <c:pt idx="95">
                  <c:v>973</c:v>
                </c:pt>
                <c:pt idx="96">
                  <c:v>983</c:v>
                </c:pt>
                <c:pt idx="97">
                  <c:v>993</c:v>
                </c:pt>
                <c:pt idx="98">
                  <c:v>1003</c:v>
                </c:pt>
                <c:pt idx="99">
                  <c:v>1014</c:v>
                </c:pt>
                <c:pt idx="100">
                  <c:v>1024</c:v>
                </c:pt>
                <c:pt idx="101">
                  <c:v>1034</c:v>
                </c:pt>
                <c:pt idx="102">
                  <c:v>1044</c:v>
                </c:pt>
                <c:pt idx="103">
                  <c:v>1054</c:v>
                </c:pt>
                <c:pt idx="104">
                  <c:v>1065</c:v>
                </c:pt>
                <c:pt idx="105">
                  <c:v>1075</c:v>
                </c:pt>
                <c:pt idx="106">
                  <c:v>1085</c:v>
                </c:pt>
                <c:pt idx="107">
                  <c:v>1095</c:v>
                </c:pt>
                <c:pt idx="108">
                  <c:v>1106</c:v>
                </c:pt>
                <c:pt idx="109">
                  <c:v>1116</c:v>
                </c:pt>
                <c:pt idx="110">
                  <c:v>1126</c:v>
                </c:pt>
                <c:pt idx="111">
                  <c:v>1136</c:v>
                </c:pt>
                <c:pt idx="112">
                  <c:v>1147</c:v>
                </c:pt>
                <c:pt idx="113">
                  <c:v>1157</c:v>
                </c:pt>
                <c:pt idx="114">
                  <c:v>1167</c:v>
                </c:pt>
                <c:pt idx="115">
                  <c:v>1177</c:v>
                </c:pt>
                <c:pt idx="116">
                  <c:v>1188</c:v>
                </c:pt>
                <c:pt idx="117">
                  <c:v>1198</c:v>
                </c:pt>
                <c:pt idx="118">
                  <c:v>1208</c:v>
                </c:pt>
                <c:pt idx="119">
                  <c:v>1218</c:v>
                </c:pt>
                <c:pt idx="120">
                  <c:v>1229</c:v>
                </c:pt>
                <c:pt idx="121">
                  <c:v>1239</c:v>
                </c:pt>
                <c:pt idx="122">
                  <c:v>1249</c:v>
                </c:pt>
                <c:pt idx="123">
                  <c:v>1259</c:v>
                </c:pt>
                <c:pt idx="124">
                  <c:v>1269</c:v>
                </c:pt>
                <c:pt idx="125">
                  <c:v>1280</c:v>
                </c:pt>
                <c:pt idx="126">
                  <c:v>1290</c:v>
                </c:pt>
                <c:pt idx="127">
                  <c:v>1300</c:v>
                </c:pt>
                <c:pt idx="128">
                  <c:v>1310</c:v>
                </c:pt>
                <c:pt idx="129">
                  <c:v>1321</c:v>
                </c:pt>
                <c:pt idx="130">
                  <c:v>1331</c:v>
                </c:pt>
                <c:pt idx="131">
                  <c:v>1341</c:v>
                </c:pt>
                <c:pt idx="132">
                  <c:v>1351</c:v>
                </c:pt>
                <c:pt idx="133">
                  <c:v>1362</c:v>
                </c:pt>
                <c:pt idx="134">
                  <c:v>1372</c:v>
                </c:pt>
                <c:pt idx="135">
                  <c:v>1382</c:v>
                </c:pt>
                <c:pt idx="136">
                  <c:v>1392</c:v>
                </c:pt>
                <c:pt idx="137">
                  <c:v>1403</c:v>
                </c:pt>
                <c:pt idx="138">
                  <c:v>1413</c:v>
                </c:pt>
                <c:pt idx="139">
                  <c:v>1423</c:v>
                </c:pt>
                <c:pt idx="140">
                  <c:v>1433</c:v>
                </c:pt>
                <c:pt idx="141">
                  <c:v>1443</c:v>
                </c:pt>
                <c:pt idx="142">
                  <c:v>1454</c:v>
                </c:pt>
                <c:pt idx="143">
                  <c:v>1464</c:v>
                </c:pt>
                <c:pt idx="144">
                  <c:v>1474</c:v>
                </c:pt>
                <c:pt idx="145">
                  <c:v>1484</c:v>
                </c:pt>
                <c:pt idx="146">
                  <c:v>1495</c:v>
                </c:pt>
                <c:pt idx="147">
                  <c:v>1505</c:v>
                </c:pt>
                <c:pt idx="148">
                  <c:v>1515</c:v>
                </c:pt>
                <c:pt idx="149">
                  <c:v>1525</c:v>
                </c:pt>
                <c:pt idx="150">
                  <c:v>1536</c:v>
                </c:pt>
                <c:pt idx="151">
                  <c:v>1546</c:v>
                </c:pt>
                <c:pt idx="152">
                  <c:v>1556</c:v>
                </c:pt>
                <c:pt idx="153">
                  <c:v>1566</c:v>
                </c:pt>
                <c:pt idx="154">
                  <c:v>1577</c:v>
                </c:pt>
                <c:pt idx="155">
                  <c:v>1587</c:v>
                </c:pt>
                <c:pt idx="156">
                  <c:v>1597</c:v>
                </c:pt>
                <c:pt idx="157">
                  <c:v>1607</c:v>
                </c:pt>
                <c:pt idx="158">
                  <c:v>1618</c:v>
                </c:pt>
                <c:pt idx="159">
                  <c:v>1628</c:v>
                </c:pt>
                <c:pt idx="160">
                  <c:v>1638</c:v>
                </c:pt>
                <c:pt idx="161">
                  <c:v>1648</c:v>
                </c:pt>
                <c:pt idx="162">
                  <c:v>1658</c:v>
                </c:pt>
                <c:pt idx="163">
                  <c:v>1669</c:v>
                </c:pt>
                <c:pt idx="164">
                  <c:v>1679</c:v>
                </c:pt>
                <c:pt idx="165">
                  <c:v>1689</c:v>
                </c:pt>
                <c:pt idx="166">
                  <c:v>1699</c:v>
                </c:pt>
                <c:pt idx="167">
                  <c:v>1710</c:v>
                </c:pt>
                <c:pt idx="168">
                  <c:v>1720</c:v>
                </c:pt>
                <c:pt idx="169">
                  <c:v>1730</c:v>
                </c:pt>
                <c:pt idx="170">
                  <c:v>1740</c:v>
                </c:pt>
                <c:pt idx="171">
                  <c:v>1751</c:v>
                </c:pt>
                <c:pt idx="172">
                  <c:v>1761</c:v>
                </c:pt>
                <c:pt idx="173">
                  <c:v>1771</c:v>
                </c:pt>
                <c:pt idx="174">
                  <c:v>1781</c:v>
                </c:pt>
                <c:pt idx="175">
                  <c:v>1792</c:v>
                </c:pt>
                <c:pt idx="176">
                  <c:v>1802</c:v>
                </c:pt>
                <c:pt idx="177">
                  <c:v>1812</c:v>
                </c:pt>
                <c:pt idx="178">
                  <c:v>1822</c:v>
                </c:pt>
                <c:pt idx="179">
                  <c:v>1833</c:v>
                </c:pt>
                <c:pt idx="180">
                  <c:v>1843</c:v>
                </c:pt>
                <c:pt idx="181">
                  <c:v>1853</c:v>
                </c:pt>
                <c:pt idx="182">
                  <c:v>1863</c:v>
                </c:pt>
                <c:pt idx="183">
                  <c:v>1873</c:v>
                </c:pt>
                <c:pt idx="184">
                  <c:v>1884</c:v>
                </c:pt>
                <c:pt idx="185">
                  <c:v>1894</c:v>
                </c:pt>
                <c:pt idx="186">
                  <c:v>1904</c:v>
                </c:pt>
                <c:pt idx="187">
                  <c:v>1914</c:v>
                </c:pt>
                <c:pt idx="188">
                  <c:v>1925</c:v>
                </c:pt>
                <c:pt idx="189">
                  <c:v>1935</c:v>
                </c:pt>
                <c:pt idx="190">
                  <c:v>1945</c:v>
                </c:pt>
                <c:pt idx="191">
                  <c:v>1955</c:v>
                </c:pt>
                <c:pt idx="192">
                  <c:v>1966</c:v>
                </c:pt>
                <c:pt idx="193">
                  <c:v>1976</c:v>
                </c:pt>
                <c:pt idx="194">
                  <c:v>1986</c:v>
                </c:pt>
                <c:pt idx="195">
                  <c:v>1996</c:v>
                </c:pt>
                <c:pt idx="196">
                  <c:v>2007</c:v>
                </c:pt>
                <c:pt idx="197">
                  <c:v>2017</c:v>
                </c:pt>
                <c:pt idx="198">
                  <c:v>2027</c:v>
                </c:pt>
                <c:pt idx="199">
                  <c:v>2037</c:v>
                </c:pt>
                <c:pt idx="200">
                  <c:v>2048</c:v>
                </c:pt>
                <c:pt idx="201">
                  <c:v>2058</c:v>
                </c:pt>
                <c:pt idx="202">
                  <c:v>2068</c:v>
                </c:pt>
                <c:pt idx="203">
                  <c:v>2078</c:v>
                </c:pt>
                <c:pt idx="204">
                  <c:v>2088</c:v>
                </c:pt>
                <c:pt idx="205">
                  <c:v>2099</c:v>
                </c:pt>
                <c:pt idx="206">
                  <c:v>2109</c:v>
                </c:pt>
                <c:pt idx="207">
                  <c:v>2119</c:v>
                </c:pt>
                <c:pt idx="208">
                  <c:v>2129</c:v>
                </c:pt>
                <c:pt idx="209">
                  <c:v>2140</c:v>
                </c:pt>
                <c:pt idx="210">
                  <c:v>2150</c:v>
                </c:pt>
                <c:pt idx="211">
                  <c:v>2160</c:v>
                </c:pt>
                <c:pt idx="212">
                  <c:v>2170</c:v>
                </c:pt>
                <c:pt idx="213">
                  <c:v>2181</c:v>
                </c:pt>
                <c:pt idx="214">
                  <c:v>2191</c:v>
                </c:pt>
                <c:pt idx="215">
                  <c:v>2201</c:v>
                </c:pt>
                <c:pt idx="216">
                  <c:v>2211</c:v>
                </c:pt>
                <c:pt idx="217">
                  <c:v>2222</c:v>
                </c:pt>
                <c:pt idx="218">
                  <c:v>2232</c:v>
                </c:pt>
                <c:pt idx="219">
                  <c:v>2242</c:v>
                </c:pt>
                <c:pt idx="220">
                  <c:v>2252</c:v>
                </c:pt>
                <c:pt idx="221">
                  <c:v>2262</c:v>
                </c:pt>
                <c:pt idx="222">
                  <c:v>2273</c:v>
                </c:pt>
                <c:pt idx="223">
                  <c:v>2283</c:v>
                </c:pt>
                <c:pt idx="224">
                  <c:v>2293</c:v>
                </c:pt>
                <c:pt idx="225">
                  <c:v>2303</c:v>
                </c:pt>
                <c:pt idx="226">
                  <c:v>2314</c:v>
                </c:pt>
                <c:pt idx="227">
                  <c:v>2324</c:v>
                </c:pt>
                <c:pt idx="228">
                  <c:v>2334</c:v>
                </c:pt>
                <c:pt idx="229">
                  <c:v>2344</c:v>
                </c:pt>
                <c:pt idx="230">
                  <c:v>2355</c:v>
                </c:pt>
                <c:pt idx="231">
                  <c:v>2365</c:v>
                </c:pt>
                <c:pt idx="232">
                  <c:v>2375</c:v>
                </c:pt>
                <c:pt idx="233">
                  <c:v>2385</c:v>
                </c:pt>
                <c:pt idx="234">
                  <c:v>2396</c:v>
                </c:pt>
                <c:pt idx="235">
                  <c:v>2406</c:v>
                </c:pt>
                <c:pt idx="236">
                  <c:v>2416</c:v>
                </c:pt>
                <c:pt idx="237">
                  <c:v>2426</c:v>
                </c:pt>
                <c:pt idx="238">
                  <c:v>2437</c:v>
                </c:pt>
                <c:pt idx="239">
                  <c:v>2447</c:v>
                </c:pt>
                <c:pt idx="240">
                  <c:v>2457</c:v>
                </c:pt>
                <c:pt idx="241">
                  <c:v>2467</c:v>
                </c:pt>
                <c:pt idx="242">
                  <c:v>2477</c:v>
                </c:pt>
                <c:pt idx="243">
                  <c:v>2488</c:v>
                </c:pt>
                <c:pt idx="244">
                  <c:v>2498</c:v>
                </c:pt>
                <c:pt idx="245">
                  <c:v>2508</c:v>
                </c:pt>
                <c:pt idx="246">
                  <c:v>2518</c:v>
                </c:pt>
                <c:pt idx="247">
                  <c:v>2529</c:v>
                </c:pt>
                <c:pt idx="248">
                  <c:v>2539</c:v>
                </c:pt>
                <c:pt idx="249">
                  <c:v>2549</c:v>
                </c:pt>
                <c:pt idx="250">
                  <c:v>2559</c:v>
                </c:pt>
                <c:pt idx="251">
                  <c:v>2570</c:v>
                </c:pt>
                <c:pt idx="252">
                  <c:v>2580</c:v>
                </c:pt>
                <c:pt idx="253">
                  <c:v>2590</c:v>
                </c:pt>
                <c:pt idx="254">
                  <c:v>2600</c:v>
                </c:pt>
                <c:pt idx="255">
                  <c:v>2611</c:v>
                </c:pt>
                <c:pt idx="256">
                  <c:v>2621</c:v>
                </c:pt>
                <c:pt idx="257">
                  <c:v>2631</c:v>
                </c:pt>
                <c:pt idx="258">
                  <c:v>2641</c:v>
                </c:pt>
                <c:pt idx="259">
                  <c:v>2652</c:v>
                </c:pt>
                <c:pt idx="260">
                  <c:v>2662</c:v>
                </c:pt>
                <c:pt idx="261">
                  <c:v>2672</c:v>
                </c:pt>
                <c:pt idx="262">
                  <c:v>2682</c:v>
                </c:pt>
                <c:pt idx="263">
                  <c:v>2692</c:v>
                </c:pt>
                <c:pt idx="264">
                  <c:v>2703</c:v>
                </c:pt>
                <c:pt idx="265">
                  <c:v>2713</c:v>
                </c:pt>
                <c:pt idx="266">
                  <c:v>2723</c:v>
                </c:pt>
                <c:pt idx="267">
                  <c:v>2733</c:v>
                </c:pt>
                <c:pt idx="268">
                  <c:v>2744</c:v>
                </c:pt>
                <c:pt idx="269">
                  <c:v>2754</c:v>
                </c:pt>
                <c:pt idx="270">
                  <c:v>2764</c:v>
                </c:pt>
                <c:pt idx="271">
                  <c:v>2774</c:v>
                </c:pt>
                <c:pt idx="272">
                  <c:v>2785</c:v>
                </c:pt>
                <c:pt idx="273">
                  <c:v>2795</c:v>
                </c:pt>
                <c:pt idx="274">
                  <c:v>2805</c:v>
                </c:pt>
                <c:pt idx="275">
                  <c:v>2815</c:v>
                </c:pt>
                <c:pt idx="276">
                  <c:v>2826</c:v>
                </c:pt>
                <c:pt idx="277">
                  <c:v>2836</c:v>
                </c:pt>
                <c:pt idx="278">
                  <c:v>2846</c:v>
                </c:pt>
                <c:pt idx="279">
                  <c:v>2856</c:v>
                </c:pt>
                <c:pt idx="280">
                  <c:v>2867</c:v>
                </c:pt>
                <c:pt idx="281">
                  <c:v>2877</c:v>
                </c:pt>
                <c:pt idx="282">
                  <c:v>2887</c:v>
                </c:pt>
                <c:pt idx="283">
                  <c:v>2897</c:v>
                </c:pt>
                <c:pt idx="284">
                  <c:v>2907</c:v>
                </c:pt>
                <c:pt idx="285">
                  <c:v>2918</c:v>
                </c:pt>
                <c:pt idx="286">
                  <c:v>2928</c:v>
                </c:pt>
                <c:pt idx="287">
                  <c:v>2938</c:v>
                </c:pt>
                <c:pt idx="288">
                  <c:v>2948</c:v>
                </c:pt>
                <c:pt idx="289">
                  <c:v>2959</c:v>
                </c:pt>
                <c:pt idx="290">
                  <c:v>2969</c:v>
                </c:pt>
                <c:pt idx="291">
                  <c:v>2979</c:v>
                </c:pt>
                <c:pt idx="292">
                  <c:v>2989</c:v>
                </c:pt>
                <c:pt idx="293">
                  <c:v>3000</c:v>
                </c:pt>
                <c:pt idx="294">
                  <c:v>3010</c:v>
                </c:pt>
                <c:pt idx="295">
                  <c:v>3020</c:v>
                </c:pt>
                <c:pt idx="296">
                  <c:v>3030</c:v>
                </c:pt>
                <c:pt idx="297">
                  <c:v>3041</c:v>
                </c:pt>
                <c:pt idx="298">
                  <c:v>3051</c:v>
                </c:pt>
                <c:pt idx="299">
                  <c:v>3061</c:v>
                </c:pt>
                <c:pt idx="300">
                  <c:v>3071</c:v>
                </c:pt>
                <c:pt idx="301">
                  <c:v>3081</c:v>
                </c:pt>
                <c:pt idx="302">
                  <c:v>3092</c:v>
                </c:pt>
                <c:pt idx="303">
                  <c:v>3102</c:v>
                </c:pt>
                <c:pt idx="304">
                  <c:v>3112</c:v>
                </c:pt>
                <c:pt idx="305">
                  <c:v>3122</c:v>
                </c:pt>
                <c:pt idx="306">
                  <c:v>3133</c:v>
                </c:pt>
                <c:pt idx="307">
                  <c:v>3143</c:v>
                </c:pt>
                <c:pt idx="308">
                  <c:v>3153</c:v>
                </c:pt>
                <c:pt idx="309">
                  <c:v>3163</c:v>
                </c:pt>
                <c:pt idx="310">
                  <c:v>3174</c:v>
                </c:pt>
                <c:pt idx="311">
                  <c:v>3184</c:v>
                </c:pt>
                <c:pt idx="312">
                  <c:v>3194</c:v>
                </c:pt>
                <c:pt idx="313">
                  <c:v>3204</c:v>
                </c:pt>
                <c:pt idx="314">
                  <c:v>3215</c:v>
                </c:pt>
                <c:pt idx="315">
                  <c:v>3225</c:v>
                </c:pt>
                <c:pt idx="316">
                  <c:v>3235</c:v>
                </c:pt>
                <c:pt idx="317">
                  <c:v>3245</c:v>
                </c:pt>
                <c:pt idx="318">
                  <c:v>3256</c:v>
                </c:pt>
                <c:pt idx="319">
                  <c:v>3266</c:v>
                </c:pt>
                <c:pt idx="320">
                  <c:v>3276</c:v>
                </c:pt>
                <c:pt idx="321">
                  <c:v>3286</c:v>
                </c:pt>
                <c:pt idx="322">
                  <c:v>3296</c:v>
                </c:pt>
                <c:pt idx="323">
                  <c:v>3307</c:v>
                </c:pt>
                <c:pt idx="324">
                  <c:v>3317</c:v>
                </c:pt>
                <c:pt idx="325">
                  <c:v>3327</c:v>
                </c:pt>
                <c:pt idx="326">
                  <c:v>3337</c:v>
                </c:pt>
                <c:pt idx="327">
                  <c:v>3348</c:v>
                </c:pt>
                <c:pt idx="328">
                  <c:v>3358</c:v>
                </c:pt>
                <c:pt idx="329">
                  <c:v>3368</c:v>
                </c:pt>
                <c:pt idx="330">
                  <c:v>3378</c:v>
                </c:pt>
                <c:pt idx="331">
                  <c:v>3389</c:v>
                </c:pt>
                <c:pt idx="332">
                  <c:v>3399</c:v>
                </c:pt>
                <c:pt idx="333">
                  <c:v>3409</c:v>
                </c:pt>
                <c:pt idx="334">
                  <c:v>3419</c:v>
                </c:pt>
                <c:pt idx="335">
                  <c:v>3430</c:v>
                </c:pt>
                <c:pt idx="336">
                  <c:v>3440</c:v>
                </c:pt>
                <c:pt idx="337">
                  <c:v>3450</c:v>
                </c:pt>
                <c:pt idx="338">
                  <c:v>3460</c:v>
                </c:pt>
                <c:pt idx="339">
                  <c:v>3471</c:v>
                </c:pt>
                <c:pt idx="340">
                  <c:v>3481</c:v>
                </c:pt>
                <c:pt idx="341">
                  <c:v>3491</c:v>
                </c:pt>
                <c:pt idx="342">
                  <c:v>3501</c:v>
                </c:pt>
                <c:pt idx="343">
                  <c:v>3511</c:v>
                </c:pt>
                <c:pt idx="344">
                  <c:v>3522</c:v>
                </c:pt>
                <c:pt idx="345">
                  <c:v>3532</c:v>
                </c:pt>
                <c:pt idx="346">
                  <c:v>3542</c:v>
                </c:pt>
                <c:pt idx="347">
                  <c:v>3552</c:v>
                </c:pt>
                <c:pt idx="348">
                  <c:v>3563</c:v>
                </c:pt>
                <c:pt idx="349">
                  <c:v>3573</c:v>
                </c:pt>
                <c:pt idx="350">
                  <c:v>3583</c:v>
                </c:pt>
                <c:pt idx="351">
                  <c:v>3593</c:v>
                </c:pt>
                <c:pt idx="352">
                  <c:v>3604</c:v>
                </c:pt>
                <c:pt idx="353">
                  <c:v>3614</c:v>
                </c:pt>
                <c:pt idx="354">
                  <c:v>3624</c:v>
                </c:pt>
                <c:pt idx="355">
                  <c:v>3634</c:v>
                </c:pt>
                <c:pt idx="356">
                  <c:v>3645</c:v>
                </c:pt>
                <c:pt idx="357">
                  <c:v>3655</c:v>
                </c:pt>
                <c:pt idx="358">
                  <c:v>3665</c:v>
                </c:pt>
                <c:pt idx="359">
                  <c:v>3675</c:v>
                </c:pt>
                <c:pt idx="360">
                  <c:v>3686</c:v>
                </c:pt>
                <c:pt idx="361">
                  <c:v>3696</c:v>
                </c:pt>
                <c:pt idx="362">
                  <c:v>3706</c:v>
                </c:pt>
                <c:pt idx="363">
                  <c:v>3716</c:v>
                </c:pt>
                <c:pt idx="364">
                  <c:v>3726</c:v>
                </c:pt>
                <c:pt idx="365">
                  <c:v>3737</c:v>
                </c:pt>
                <c:pt idx="366">
                  <c:v>3747</c:v>
                </c:pt>
                <c:pt idx="367">
                  <c:v>3757</c:v>
                </c:pt>
                <c:pt idx="368">
                  <c:v>3767</c:v>
                </c:pt>
                <c:pt idx="369">
                  <c:v>3778</c:v>
                </c:pt>
                <c:pt idx="370">
                  <c:v>3788</c:v>
                </c:pt>
                <c:pt idx="371">
                  <c:v>3798</c:v>
                </c:pt>
                <c:pt idx="372">
                  <c:v>3808</c:v>
                </c:pt>
                <c:pt idx="373">
                  <c:v>3819</c:v>
                </c:pt>
                <c:pt idx="374">
                  <c:v>3829</c:v>
                </c:pt>
                <c:pt idx="375">
                  <c:v>3839</c:v>
                </c:pt>
                <c:pt idx="376">
                  <c:v>3849</c:v>
                </c:pt>
                <c:pt idx="377">
                  <c:v>3860</c:v>
                </c:pt>
                <c:pt idx="378">
                  <c:v>3870</c:v>
                </c:pt>
                <c:pt idx="379">
                  <c:v>3880</c:v>
                </c:pt>
                <c:pt idx="380">
                  <c:v>3890</c:v>
                </c:pt>
                <c:pt idx="381">
                  <c:v>3900</c:v>
                </c:pt>
                <c:pt idx="382">
                  <c:v>3911</c:v>
                </c:pt>
                <c:pt idx="383">
                  <c:v>3921</c:v>
                </c:pt>
                <c:pt idx="384">
                  <c:v>3931</c:v>
                </c:pt>
                <c:pt idx="385">
                  <c:v>3941</c:v>
                </c:pt>
                <c:pt idx="386">
                  <c:v>3952</c:v>
                </c:pt>
                <c:pt idx="387">
                  <c:v>3962</c:v>
                </c:pt>
                <c:pt idx="388">
                  <c:v>3972</c:v>
                </c:pt>
                <c:pt idx="389">
                  <c:v>3982</c:v>
                </c:pt>
                <c:pt idx="390">
                  <c:v>3993</c:v>
                </c:pt>
                <c:pt idx="391">
                  <c:v>4003</c:v>
                </c:pt>
                <c:pt idx="392">
                  <c:v>4013</c:v>
                </c:pt>
                <c:pt idx="393">
                  <c:v>4023</c:v>
                </c:pt>
                <c:pt idx="394">
                  <c:v>4034</c:v>
                </c:pt>
                <c:pt idx="395">
                  <c:v>4044</c:v>
                </c:pt>
                <c:pt idx="396">
                  <c:v>4054</c:v>
                </c:pt>
                <c:pt idx="397">
                  <c:v>4064</c:v>
                </c:pt>
                <c:pt idx="398">
                  <c:v>4075</c:v>
                </c:pt>
                <c:pt idx="399">
                  <c:v>4085</c:v>
                </c:pt>
                <c:pt idx="400">
                  <c:v>4095</c:v>
                </c:pt>
              </c:numCache>
            </c:numRef>
          </c:xVal>
          <c:yVal>
            <c:numRef>
              <c:f>'ADC Sweep'!$U$5:$U$405</c:f>
              <c:numCache>
                <c:formatCode>General</c:formatCode>
                <c:ptCount val="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-35</c:v>
                </c:pt>
                <c:pt idx="31">
                  <c:v>-35</c:v>
                </c:pt>
                <c:pt idx="32">
                  <c:v>-35</c:v>
                </c:pt>
                <c:pt idx="33">
                  <c:v>-35</c:v>
                </c:pt>
                <c:pt idx="34">
                  <c:v>-35</c:v>
                </c:pt>
                <c:pt idx="35">
                  <c:v>-35</c:v>
                </c:pt>
                <c:pt idx="36">
                  <c:v>-35</c:v>
                </c:pt>
                <c:pt idx="37">
                  <c:v>-35</c:v>
                </c:pt>
                <c:pt idx="38">
                  <c:v>-35</c:v>
                </c:pt>
                <c:pt idx="39">
                  <c:v>-35</c:v>
                </c:pt>
                <c:pt idx="40">
                  <c:v>-35</c:v>
                </c:pt>
                <c:pt idx="41">
                  <c:v>-35</c:v>
                </c:pt>
                <c:pt idx="42">
                  <c:v>-35</c:v>
                </c:pt>
                <c:pt idx="43">
                  <c:v>-35</c:v>
                </c:pt>
                <c:pt idx="44">
                  <c:v>-35</c:v>
                </c:pt>
                <c:pt idx="45">
                  <c:v>-35</c:v>
                </c:pt>
                <c:pt idx="46">
                  <c:v>-35</c:v>
                </c:pt>
                <c:pt idx="47">
                  <c:v>-35</c:v>
                </c:pt>
                <c:pt idx="48">
                  <c:v>-35</c:v>
                </c:pt>
                <c:pt idx="49">
                  <c:v>-35</c:v>
                </c:pt>
                <c:pt idx="50">
                  <c:v>-35</c:v>
                </c:pt>
                <c:pt idx="51">
                  <c:v>-35</c:v>
                </c:pt>
                <c:pt idx="52">
                  <c:v>-35</c:v>
                </c:pt>
                <c:pt idx="53">
                  <c:v>-35</c:v>
                </c:pt>
                <c:pt idx="54">
                  <c:v>-35</c:v>
                </c:pt>
                <c:pt idx="55">
                  <c:v>-35</c:v>
                </c:pt>
                <c:pt idx="56">
                  <c:v>-35</c:v>
                </c:pt>
                <c:pt idx="57">
                  <c:v>-35</c:v>
                </c:pt>
                <c:pt idx="58">
                  <c:v>-35</c:v>
                </c:pt>
                <c:pt idx="59">
                  <c:v>-35</c:v>
                </c:pt>
                <c:pt idx="60">
                  <c:v>-35</c:v>
                </c:pt>
                <c:pt idx="61">
                  <c:v>-35</c:v>
                </c:pt>
                <c:pt idx="62">
                  <c:v>-35</c:v>
                </c:pt>
                <c:pt idx="63">
                  <c:v>-35</c:v>
                </c:pt>
                <c:pt idx="64">
                  <c:v>-35</c:v>
                </c:pt>
                <c:pt idx="65">
                  <c:v>-35</c:v>
                </c:pt>
                <c:pt idx="66">
                  <c:v>-35</c:v>
                </c:pt>
                <c:pt idx="67">
                  <c:v>-35</c:v>
                </c:pt>
                <c:pt idx="68">
                  <c:v>-35</c:v>
                </c:pt>
                <c:pt idx="69">
                  <c:v>-35</c:v>
                </c:pt>
                <c:pt idx="70">
                  <c:v>-33</c:v>
                </c:pt>
                <c:pt idx="71">
                  <c:v>-27</c:v>
                </c:pt>
                <c:pt idx="72">
                  <c:v>-19</c:v>
                </c:pt>
                <c:pt idx="73">
                  <c:v>0.2</c:v>
                </c:pt>
                <c:pt idx="74">
                  <c:v>0.5</c:v>
                </c:pt>
                <c:pt idx="75">
                  <c:v>0.7</c:v>
                </c:pt>
                <c:pt idx="76">
                  <c:v>1</c:v>
                </c:pt>
                <c:pt idx="77">
                  <c:v>1.2</c:v>
                </c:pt>
                <c:pt idx="78">
                  <c:v>1.6</c:v>
                </c:pt>
                <c:pt idx="79">
                  <c:v>1.9</c:v>
                </c:pt>
                <c:pt idx="80">
                  <c:v>2.2</c:v>
                </c:pt>
                <c:pt idx="81">
                  <c:v>2.4</c:v>
                </c:pt>
                <c:pt idx="82">
                  <c:v>2.7</c:v>
                </c:pt>
                <c:pt idx="83">
                  <c:v>3</c:v>
                </c:pt>
                <c:pt idx="84">
                  <c:v>3.3</c:v>
                </c:pt>
                <c:pt idx="85">
                  <c:v>3.6</c:v>
                </c:pt>
                <c:pt idx="86">
                  <c:v>3.9</c:v>
                </c:pt>
                <c:pt idx="87">
                  <c:v>4.2</c:v>
                </c:pt>
                <c:pt idx="88">
                  <c:v>4.4</c:v>
                </c:pt>
                <c:pt idx="89">
                  <c:v>4.7</c:v>
                </c:pt>
                <c:pt idx="90">
                  <c:v>5.1</c:v>
                </c:pt>
                <c:pt idx="91">
                  <c:v>5.4</c:v>
                </c:pt>
                <c:pt idx="92">
                  <c:v>5.6</c:v>
                </c:pt>
                <c:pt idx="93">
                  <c:v>5.9</c:v>
                </c:pt>
                <c:pt idx="94">
                  <c:v>6.1</c:v>
                </c:pt>
                <c:pt idx="95">
                  <c:v>6.5</c:v>
                </c:pt>
                <c:pt idx="96">
                  <c:v>6.8</c:v>
                </c:pt>
                <c:pt idx="97">
                  <c:v>7</c:v>
                </c:pt>
                <c:pt idx="98">
                  <c:v>7.2</c:v>
                </c:pt>
                <c:pt idx="99">
                  <c:v>7.3</c:v>
                </c:pt>
                <c:pt idx="100">
                  <c:v>7.5</c:v>
                </c:pt>
                <c:pt idx="101">
                  <c:v>7.6</c:v>
                </c:pt>
                <c:pt idx="102">
                  <c:v>7.8</c:v>
                </c:pt>
                <c:pt idx="103">
                  <c:v>7.9</c:v>
                </c:pt>
                <c:pt idx="104">
                  <c:v>8.1</c:v>
                </c:pt>
                <c:pt idx="105">
                  <c:v>8.2</c:v>
                </c:pt>
                <c:pt idx="106">
                  <c:v>8.4</c:v>
                </c:pt>
                <c:pt idx="107">
                  <c:v>8.5</c:v>
                </c:pt>
                <c:pt idx="108">
                  <c:v>8.7</c:v>
                </c:pt>
                <c:pt idx="109">
                  <c:v>8.8</c:v>
                </c:pt>
                <c:pt idx="110">
                  <c:v>9</c:v>
                </c:pt>
                <c:pt idx="111">
                  <c:v>9.1</c:v>
                </c:pt>
                <c:pt idx="112">
                  <c:v>9.2</c:v>
                </c:pt>
                <c:pt idx="113">
                  <c:v>9.4</c:v>
                </c:pt>
                <c:pt idx="114">
                  <c:v>9.6</c:v>
                </c:pt>
                <c:pt idx="115">
                  <c:v>9.7</c:v>
                </c:pt>
                <c:pt idx="116">
                  <c:v>9.8</c:v>
                </c:pt>
                <c:pt idx="117">
                  <c:v>10</c:v>
                </c:pt>
                <c:pt idx="118">
                  <c:v>10.1</c:v>
                </c:pt>
                <c:pt idx="119">
                  <c:v>10.3</c:v>
                </c:pt>
                <c:pt idx="120">
                  <c:v>10.4</c:v>
                </c:pt>
                <c:pt idx="121">
                  <c:v>10.6</c:v>
                </c:pt>
                <c:pt idx="122">
                  <c:v>10.7</c:v>
                </c:pt>
                <c:pt idx="123">
                  <c:v>10.9</c:v>
                </c:pt>
                <c:pt idx="124">
                  <c:v>11</c:v>
                </c:pt>
                <c:pt idx="125">
                  <c:v>11.2</c:v>
                </c:pt>
                <c:pt idx="126">
                  <c:v>11.3</c:v>
                </c:pt>
                <c:pt idx="127">
                  <c:v>11.5</c:v>
                </c:pt>
                <c:pt idx="128">
                  <c:v>11.6</c:v>
                </c:pt>
                <c:pt idx="129">
                  <c:v>11.8</c:v>
                </c:pt>
                <c:pt idx="130">
                  <c:v>11.9</c:v>
                </c:pt>
                <c:pt idx="131">
                  <c:v>12.1</c:v>
                </c:pt>
                <c:pt idx="132">
                  <c:v>12.2</c:v>
                </c:pt>
                <c:pt idx="133">
                  <c:v>12.4</c:v>
                </c:pt>
                <c:pt idx="134">
                  <c:v>12.5</c:v>
                </c:pt>
                <c:pt idx="135">
                  <c:v>12.6</c:v>
                </c:pt>
                <c:pt idx="136">
                  <c:v>12.8</c:v>
                </c:pt>
                <c:pt idx="137">
                  <c:v>13</c:v>
                </c:pt>
                <c:pt idx="138">
                  <c:v>13.2</c:v>
                </c:pt>
                <c:pt idx="139">
                  <c:v>13.4</c:v>
                </c:pt>
                <c:pt idx="140">
                  <c:v>13.7</c:v>
                </c:pt>
                <c:pt idx="141">
                  <c:v>13.9</c:v>
                </c:pt>
                <c:pt idx="142">
                  <c:v>14.2</c:v>
                </c:pt>
                <c:pt idx="143">
                  <c:v>14.5</c:v>
                </c:pt>
                <c:pt idx="144">
                  <c:v>14.8</c:v>
                </c:pt>
                <c:pt idx="145">
                  <c:v>15</c:v>
                </c:pt>
                <c:pt idx="146">
                  <c:v>15.2</c:v>
                </c:pt>
                <c:pt idx="147">
                  <c:v>15.5</c:v>
                </c:pt>
                <c:pt idx="148">
                  <c:v>15.7</c:v>
                </c:pt>
                <c:pt idx="149">
                  <c:v>15.9</c:v>
                </c:pt>
                <c:pt idx="150">
                  <c:v>16.2</c:v>
                </c:pt>
                <c:pt idx="151">
                  <c:v>16.5</c:v>
                </c:pt>
                <c:pt idx="152">
                  <c:v>16.7</c:v>
                </c:pt>
                <c:pt idx="153">
                  <c:v>17</c:v>
                </c:pt>
                <c:pt idx="154">
                  <c:v>17.3</c:v>
                </c:pt>
                <c:pt idx="155">
                  <c:v>17.6</c:v>
                </c:pt>
                <c:pt idx="156">
                  <c:v>17.8</c:v>
                </c:pt>
                <c:pt idx="157">
                  <c:v>18</c:v>
                </c:pt>
                <c:pt idx="158">
                  <c:v>18.3</c:v>
                </c:pt>
                <c:pt idx="159">
                  <c:v>18.5</c:v>
                </c:pt>
                <c:pt idx="160">
                  <c:v>18.8</c:v>
                </c:pt>
                <c:pt idx="161">
                  <c:v>19.1</c:v>
                </c:pt>
                <c:pt idx="162">
                  <c:v>19.3</c:v>
                </c:pt>
                <c:pt idx="163">
                  <c:v>19.6</c:v>
                </c:pt>
                <c:pt idx="164">
                  <c:v>19.9</c:v>
                </c:pt>
                <c:pt idx="165">
                  <c:v>20.2</c:v>
                </c:pt>
                <c:pt idx="166">
                  <c:v>20.6</c:v>
                </c:pt>
                <c:pt idx="167">
                  <c:v>21.1</c:v>
                </c:pt>
                <c:pt idx="168">
                  <c:v>21.6</c:v>
                </c:pt>
                <c:pt idx="169">
                  <c:v>22</c:v>
                </c:pt>
                <c:pt idx="170">
                  <c:v>22.5</c:v>
                </c:pt>
                <c:pt idx="171">
                  <c:v>23</c:v>
                </c:pt>
                <c:pt idx="172">
                  <c:v>23.4</c:v>
                </c:pt>
                <c:pt idx="173">
                  <c:v>23.8</c:v>
                </c:pt>
                <c:pt idx="174">
                  <c:v>24.3</c:v>
                </c:pt>
                <c:pt idx="175">
                  <c:v>24.8</c:v>
                </c:pt>
                <c:pt idx="176">
                  <c:v>25.2</c:v>
                </c:pt>
                <c:pt idx="177">
                  <c:v>25.7</c:v>
                </c:pt>
                <c:pt idx="178">
                  <c:v>26.2</c:v>
                </c:pt>
                <c:pt idx="179">
                  <c:v>26.6</c:v>
                </c:pt>
                <c:pt idx="180">
                  <c:v>27</c:v>
                </c:pt>
                <c:pt idx="181">
                  <c:v>27.5</c:v>
                </c:pt>
                <c:pt idx="182">
                  <c:v>27.9</c:v>
                </c:pt>
                <c:pt idx="183">
                  <c:v>28.4</c:v>
                </c:pt>
                <c:pt idx="184">
                  <c:v>28.9</c:v>
                </c:pt>
                <c:pt idx="185">
                  <c:v>29.4</c:v>
                </c:pt>
                <c:pt idx="186">
                  <c:v>29.7</c:v>
                </c:pt>
                <c:pt idx="187">
                  <c:v>30.2</c:v>
                </c:pt>
                <c:pt idx="188">
                  <c:v>30.7</c:v>
                </c:pt>
                <c:pt idx="189">
                  <c:v>31.2</c:v>
                </c:pt>
                <c:pt idx="190">
                  <c:v>31.6</c:v>
                </c:pt>
                <c:pt idx="191">
                  <c:v>32.1</c:v>
                </c:pt>
                <c:pt idx="192">
                  <c:v>32.6</c:v>
                </c:pt>
                <c:pt idx="193">
                  <c:v>32.9</c:v>
                </c:pt>
                <c:pt idx="194">
                  <c:v>33.4</c:v>
                </c:pt>
                <c:pt idx="195">
                  <c:v>33.9</c:v>
                </c:pt>
                <c:pt idx="196">
                  <c:v>34.4</c:v>
                </c:pt>
                <c:pt idx="197">
                  <c:v>34.8</c:v>
                </c:pt>
                <c:pt idx="198">
                  <c:v>35.3</c:v>
                </c:pt>
                <c:pt idx="199">
                  <c:v>35.6</c:v>
                </c:pt>
                <c:pt idx="200">
                  <c:v>36.1</c:v>
                </c:pt>
                <c:pt idx="201">
                  <c:v>36.6</c:v>
                </c:pt>
                <c:pt idx="202">
                  <c:v>37.1</c:v>
                </c:pt>
                <c:pt idx="203">
                  <c:v>37.5</c:v>
                </c:pt>
                <c:pt idx="204">
                  <c:v>38</c:v>
                </c:pt>
                <c:pt idx="205">
                  <c:v>38.5</c:v>
                </c:pt>
                <c:pt idx="206">
                  <c:v>39</c:v>
                </c:pt>
                <c:pt idx="207">
                  <c:v>39.3</c:v>
                </c:pt>
                <c:pt idx="208">
                  <c:v>39.8</c:v>
                </c:pt>
                <c:pt idx="209">
                  <c:v>40.3</c:v>
                </c:pt>
                <c:pt idx="210">
                  <c:v>40.7</c:v>
                </c:pt>
                <c:pt idx="211">
                  <c:v>41.2</c:v>
                </c:pt>
                <c:pt idx="212">
                  <c:v>41.7</c:v>
                </c:pt>
                <c:pt idx="213">
                  <c:v>42.2</c:v>
                </c:pt>
                <c:pt idx="214">
                  <c:v>42.5</c:v>
                </c:pt>
                <c:pt idx="215">
                  <c:v>43</c:v>
                </c:pt>
                <c:pt idx="216">
                  <c:v>43.4</c:v>
                </c:pt>
                <c:pt idx="217">
                  <c:v>43.9</c:v>
                </c:pt>
                <c:pt idx="218">
                  <c:v>44.4</c:v>
                </c:pt>
                <c:pt idx="219">
                  <c:v>44.9</c:v>
                </c:pt>
                <c:pt idx="220">
                  <c:v>45.2</c:v>
                </c:pt>
                <c:pt idx="221">
                  <c:v>45.7</c:v>
                </c:pt>
                <c:pt idx="222">
                  <c:v>46.3</c:v>
                </c:pt>
                <c:pt idx="223">
                  <c:v>46.7</c:v>
                </c:pt>
                <c:pt idx="224">
                  <c:v>47.2</c:v>
                </c:pt>
                <c:pt idx="225">
                  <c:v>47.7</c:v>
                </c:pt>
                <c:pt idx="226">
                  <c:v>48.2</c:v>
                </c:pt>
                <c:pt idx="227">
                  <c:v>48.6</c:v>
                </c:pt>
                <c:pt idx="228">
                  <c:v>49</c:v>
                </c:pt>
                <c:pt idx="229">
                  <c:v>49.5</c:v>
                </c:pt>
                <c:pt idx="230">
                  <c:v>50</c:v>
                </c:pt>
                <c:pt idx="231">
                  <c:v>50.4</c:v>
                </c:pt>
                <c:pt idx="232">
                  <c:v>50.9</c:v>
                </c:pt>
                <c:pt idx="233">
                  <c:v>51.3</c:v>
                </c:pt>
                <c:pt idx="234">
                  <c:v>51.8</c:v>
                </c:pt>
                <c:pt idx="235">
                  <c:v>52.2</c:v>
                </c:pt>
                <c:pt idx="236">
                  <c:v>52.7</c:v>
                </c:pt>
                <c:pt idx="237">
                  <c:v>53.1</c:v>
                </c:pt>
                <c:pt idx="238">
                  <c:v>53.6</c:v>
                </c:pt>
                <c:pt idx="239">
                  <c:v>54.1</c:v>
                </c:pt>
                <c:pt idx="240">
                  <c:v>54.5</c:v>
                </c:pt>
                <c:pt idx="241">
                  <c:v>55</c:v>
                </c:pt>
                <c:pt idx="242">
                  <c:v>55.4</c:v>
                </c:pt>
                <c:pt idx="243">
                  <c:v>55.9</c:v>
                </c:pt>
                <c:pt idx="244">
                  <c:v>56.3</c:v>
                </c:pt>
                <c:pt idx="245">
                  <c:v>56.8</c:v>
                </c:pt>
                <c:pt idx="246">
                  <c:v>57.3</c:v>
                </c:pt>
                <c:pt idx="247">
                  <c:v>57.8</c:v>
                </c:pt>
                <c:pt idx="248">
                  <c:v>58.2</c:v>
                </c:pt>
                <c:pt idx="249">
                  <c:v>58.6</c:v>
                </c:pt>
                <c:pt idx="250">
                  <c:v>59</c:v>
                </c:pt>
                <c:pt idx="251">
                  <c:v>59.5</c:v>
                </c:pt>
                <c:pt idx="252">
                  <c:v>60</c:v>
                </c:pt>
                <c:pt idx="253">
                  <c:v>60.5</c:v>
                </c:pt>
                <c:pt idx="254">
                  <c:v>60.9</c:v>
                </c:pt>
                <c:pt idx="255">
                  <c:v>61.4</c:v>
                </c:pt>
                <c:pt idx="256">
                  <c:v>61.8</c:v>
                </c:pt>
                <c:pt idx="257">
                  <c:v>62.2</c:v>
                </c:pt>
                <c:pt idx="258">
                  <c:v>62.7</c:v>
                </c:pt>
                <c:pt idx="259">
                  <c:v>63.2</c:v>
                </c:pt>
                <c:pt idx="260">
                  <c:v>63.7</c:v>
                </c:pt>
                <c:pt idx="261">
                  <c:v>64.1</c:v>
                </c:pt>
                <c:pt idx="262">
                  <c:v>64.6</c:v>
                </c:pt>
                <c:pt idx="263">
                  <c:v>65</c:v>
                </c:pt>
                <c:pt idx="264">
                  <c:v>65.5</c:v>
                </c:pt>
                <c:pt idx="265">
                  <c:v>65.9</c:v>
                </c:pt>
                <c:pt idx="266">
                  <c:v>66.4</c:v>
                </c:pt>
                <c:pt idx="267">
                  <c:v>66.8</c:v>
                </c:pt>
                <c:pt idx="268">
                  <c:v>67.3</c:v>
                </c:pt>
                <c:pt idx="269">
                  <c:v>67.8</c:v>
                </c:pt>
                <c:pt idx="270">
                  <c:v>68.2</c:v>
                </c:pt>
                <c:pt idx="271">
                  <c:v>68.6</c:v>
                </c:pt>
                <c:pt idx="272">
                  <c:v>69.1</c:v>
                </c:pt>
                <c:pt idx="273">
                  <c:v>69.6</c:v>
                </c:pt>
                <c:pt idx="274">
                  <c:v>70</c:v>
                </c:pt>
                <c:pt idx="275">
                  <c:v>70.5</c:v>
                </c:pt>
                <c:pt idx="276">
                  <c:v>71</c:v>
                </c:pt>
                <c:pt idx="277">
                  <c:v>71.4</c:v>
                </c:pt>
                <c:pt idx="278">
                  <c:v>71.8</c:v>
                </c:pt>
                <c:pt idx="279">
                  <c:v>72.3</c:v>
                </c:pt>
                <c:pt idx="280">
                  <c:v>72.8</c:v>
                </c:pt>
                <c:pt idx="281">
                  <c:v>73.2</c:v>
                </c:pt>
                <c:pt idx="282">
                  <c:v>73.7</c:v>
                </c:pt>
                <c:pt idx="283">
                  <c:v>74.2</c:v>
                </c:pt>
                <c:pt idx="284">
                  <c:v>74.5</c:v>
                </c:pt>
                <c:pt idx="285">
                  <c:v>75</c:v>
                </c:pt>
                <c:pt idx="286">
                  <c:v>75.5</c:v>
                </c:pt>
                <c:pt idx="287">
                  <c:v>76</c:v>
                </c:pt>
                <c:pt idx="288">
                  <c:v>76.4</c:v>
                </c:pt>
                <c:pt idx="289">
                  <c:v>76.9</c:v>
                </c:pt>
                <c:pt idx="290">
                  <c:v>77.4</c:v>
                </c:pt>
                <c:pt idx="291">
                  <c:v>77.7</c:v>
                </c:pt>
                <c:pt idx="292">
                  <c:v>78.2</c:v>
                </c:pt>
                <c:pt idx="293">
                  <c:v>78.7</c:v>
                </c:pt>
                <c:pt idx="294">
                  <c:v>79.2</c:v>
                </c:pt>
                <c:pt idx="295">
                  <c:v>79.6</c:v>
                </c:pt>
                <c:pt idx="296">
                  <c:v>80.1</c:v>
                </c:pt>
                <c:pt idx="297">
                  <c:v>80.6</c:v>
                </c:pt>
                <c:pt idx="298">
                  <c:v>80.8</c:v>
                </c:pt>
                <c:pt idx="299">
                  <c:v>81.3</c:v>
                </c:pt>
                <c:pt idx="300">
                  <c:v>81.8</c:v>
                </c:pt>
                <c:pt idx="301">
                  <c:v>82.2</c:v>
                </c:pt>
                <c:pt idx="302">
                  <c:v>82.6</c:v>
                </c:pt>
                <c:pt idx="303">
                  <c:v>83.1</c:v>
                </c:pt>
                <c:pt idx="304">
                  <c:v>83.6</c:v>
                </c:pt>
                <c:pt idx="305">
                  <c:v>84</c:v>
                </c:pt>
                <c:pt idx="306">
                  <c:v>84.5</c:v>
                </c:pt>
                <c:pt idx="307">
                  <c:v>85</c:v>
                </c:pt>
                <c:pt idx="308">
                  <c:v>85.4</c:v>
                </c:pt>
                <c:pt idx="309">
                  <c:v>85.8</c:v>
                </c:pt>
                <c:pt idx="310">
                  <c:v>86.3</c:v>
                </c:pt>
                <c:pt idx="311">
                  <c:v>86.8</c:v>
                </c:pt>
                <c:pt idx="312">
                  <c:v>87.2</c:v>
                </c:pt>
                <c:pt idx="313">
                  <c:v>87.7</c:v>
                </c:pt>
                <c:pt idx="314">
                  <c:v>88.2</c:v>
                </c:pt>
                <c:pt idx="315">
                  <c:v>88.6</c:v>
                </c:pt>
                <c:pt idx="316">
                  <c:v>89</c:v>
                </c:pt>
                <c:pt idx="317">
                  <c:v>89.5</c:v>
                </c:pt>
                <c:pt idx="318">
                  <c:v>90</c:v>
                </c:pt>
                <c:pt idx="319">
                  <c:v>90.4</c:v>
                </c:pt>
                <c:pt idx="320">
                  <c:v>90.9</c:v>
                </c:pt>
                <c:pt idx="321">
                  <c:v>91.4</c:v>
                </c:pt>
                <c:pt idx="322">
                  <c:v>91.8</c:v>
                </c:pt>
                <c:pt idx="323">
                  <c:v>92.2</c:v>
                </c:pt>
                <c:pt idx="324">
                  <c:v>92.7</c:v>
                </c:pt>
                <c:pt idx="325">
                  <c:v>93.1</c:v>
                </c:pt>
                <c:pt idx="326">
                  <c:v>93.6</c:v>
                </c:pt>
                <c:pt idx="327">
                  <c:v>94.1</c:v>
                </c:pt>
                <c:pt idx="328">
                  <c:v>94.6</c:v>
                </c:pt>
                <c:pt idx="329">
                  <c:v>95</c:v>
                </c:pt>
                <c:pt idx="330">
                  <c:v>95.4</c:v>
                </c:pt>
                <c:pt idx="331">
                  <c:v>95.9</c:v>
                </c:pt>
                <c:pt idx="332">
                  <c:v>96.3</c:v>
                </c:pt>
                <c:pt idx="333">
                  <c:v>96.8</c:v>
                </c:pt>
                <c:pt idx="334">
                  <c:v>97.3</c:v>
                </c:pt>
                <c:pt idx="335">
                  <c:v>97.8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yVal>
          <c:smooth val="1"/>
        </c:ser>
        <c:axId val="53140153"/>
        <c:axId val="39745839"/>
      </c:scatterChart>
      <c:valAx>
        <c:axId val="5314015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Raw ADC1 (counts)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745839"/>
        <c:crosses val="autoZero"/>
        <c:crossBetween val="midCat"/>
      </c:valAx>
      <c:valAx>
        <c:axId val="397458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Throttle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140153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rawThrottle vs smoothed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"rawThrottle %"</c:f>
              <c:strCache>
                <c:ptCount val="1"/>
                <c:pt idx="0">
                  <c:v>rawThrottle %</c:v>
                </c:pt>
              </c:strCache>
            </c:strRef>
          </c:tx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Smoothing!$B$5:$B$254</c:f>
              <c:numCache>
                <c:formatCode>General</c:formatCode>
                <c:ptCount val="250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</c:v>
                </c:pt>
                <c:pt idx="29">
                  <c:v>1.16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</c:v>
                </c:pt>
                <c:pt idx="56">
                  <c:v>2.24</c:v>
                </c:pt>
                <c:pt idx="57">
                  <c:v>2.28</c:v>
                </c:pt>
                <c:pt idx="58">
                  <c:v>2.32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</c:v>
                </c:pt>
                <c:pt idx="110">
                  <c:v>4.4</c:v>
                </c:pt>
                <c:pt idx="111">
                  <c:v>4.44</c:v>
                </c:pt>
                <c:pt idx="112">
                  <c:v>4.48</c:v>
                </c:pt>
                <c:pt idx="113">
                  <c:v>4.52</c:v>
                </c:pt>
                <c:pt idx="114">
                  <c:v>4.56</c:v>
                </c:pt>
                <c:pt idx="115">
                  <c:v>4.6</c:v>
                </c:pt>
                <c:pt idx="116">
                  <c:v>4.64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</c:v>
                </c:pt>
                <c:pt idx="167">
                  <c:v>6.68</c:v>
                </c:pt>
                <c:pt idx="168">
                  <c:v>6.72</c:v>
                </c:pt>
                <c:pt idx="169">
                  <c:v>6.76</c:v>
                </c:pt>
                <c:pt idx="170">
                  <c:v>6.8</c:v>
                </c:pt>
                <c:pt idx="171">
                  <c:v>6.84</c:v>
                </c:pt>
                <c:pt idx="172">
                  <c:v>6.88</c:v>
                </c:pt>
                <c:pt idx="173">
                  <c:v>6.92</c:v>
                </c:pt>
                <c:pt idx="174">
                  <c:v>6.96</c:v>
                </c:pt>
                <c:pt idx="175">
                  <c:v>7</c:v>
                </c:pt>
                <c:pt idx="176">
                  <c:v>7.04</c:v>
                </c:pt>
                <c:pt idx="177">
                  <c:v>7.08</c:v>
                </c:pt>
                <c:pt idx="178">
                  <c:v>7.12</c:v>
                </c:pt>
                <c:pt idx="179">
                  <c:v>7.16</c:v>
                </c:pt>
                <c:pt idx="180">
                  <c:v>7.2</c:v>
                </c:pt>
                <c:pt idx="181">
                  <c:v>7.24</c:v>
                </c:pt>
                <c:pt idx="182">
                  <c:v>7.28</c:v>
                </c:pt>
                <c:pt idx="183">
                  <c:v>7.32</c:v>
                </c:pt>
                <c:pt idx="184">
                  <c:v>7.36</c:v>
                </c:pt>
                <c:pt idx="185">
                  <c:v>7.4</c:v>
                </c:pt>
                <c:pt idx="186">
                  <c:v>7.44</c:v>
                </c:pt>
                <c:pt idx="187">
                  <c:v>7.48</c:v>
                </c:pt>
                <c:pt idx="188">
                  <c:v>7.52</c:v>
                </c:pt>
                <c:pt idx="189">
                  <c:v>7.56</c:v>
                </c:pt>
                <c:pt idx="190">
                  <c:v>7.6</c:v>
                </c:pt>
                <c:pt idx="191">
                  <c:v>7.64</c:v>
                </c:pt>
                <c:pt idx="192">
                  <c:v>7.68</c:v>
                </c:pt>
                <c:pt idx="193">
                  <c:v>7.72</c:v>
                </c:pt>
                <c:pt idx="194">
                  <c:v>7.76</c:v>
                </c:pt>
                <c:pt idx="195">
                  <c:v>7.8</c:v>
                </c:pt>
                <c:pt idx="196">
                  <c:v>7.84</c:v>
                </c:pt>
                <c:pt idx="197">
                  <c:v>7.88</c:v>
                </c:pt>
                <c:pt idx="198">
                  <c:v>7.92</c:v>
                </c:pt>
                <c:pt idx="199">
                  <c:v>7.96</c:v>
                </c:pt>
                <c:pt idx="200">
                  <c:v>8</c:v>
                </c:pt>
                <c:pt idx="201">
                  <c:v>8.04</c:v>
                </c:pt>
                <c:pt idx="202">
                  <c:v>8.08</c:v>
                </c:pt>
                <c:pt idx="203">
                  <c:v>8.12</c:v>
                </c:pt>
                <c:pt idx="204">
                  <c:v>8.16</c:v>
                </c:pt>
                <c:pt idx="205">
                  <c:v>8.2</c:v>
                </c:pt>
                <c:pt idx="206">
                  <c:v>8.24</c:v>
                </c:pt>
                <c:pt idx="207">
                  <c:v>8.28</c:v>
                </c:pt>
                <c:pt idx="208">
                  <c:v>8.32</c:v>
                </c:pt>
                <c:pt idx="209">
                  <c:v>8.36</c:v>
                </c:pt>
                <c:pt idx="210">
                  <c:v>8.4</c:v>
                </c:pt>
                <c:pt idx="211">
                  <c:v>8.44</c:v>
                </c:pt>
                <c:pt idx="212">
                  <c:v>8.48</c:v>
                </c:pt>
                <c:pt idx="213">
                  <c:v>8.52</c:v>
                </c:pt>
                <c:pt idx="214">
                  <c:v>8.56</c:v>
                </c:pt>
                <c:pt idx="215">
                  <c:v>8.6</c:v>
                </c:pt>
                <c:pt idx="216">
                  <c:v>8.64</c:v>
                </c:pt>
                <c:pt idx="217">
                  <c:v>8.68</c:v>
                </c:pt>
                <c:pt idx="218">
                  <c:v>8.72</c:v>
                </c:pt>
                <c:pt idx="219">
                  <c:v>8.76</c:v>
                </c:pt>
                <c:pt idx="220">
                  <c:v>8.8</c:v>
                </c:pt>
                <c:pt idx="221">
                  <c:v>8.84</c:v>
                </c:pt>
                <c:pt idx="222">
                  <c:v>8.88</c:v>
                </c:pt>
                <c:pt idx="223">
                  <c:v>8.92</c:v>
                </c:pt>
                <c:pt idx="224">
                  <c:v>8.96</c:v>
                </c:pt>
                <c:pt idx="225">
                  <c:v>9</c:v>
                </c:pt>
                <c:pt idx="226">
                  <c:v>9.04</c:v>
                </c:pt>
                <c:pt idx="227">
                  <c:v>9.08</c:v>
                </c:pt>
                <c:pt idx="228">
                  <c:v>9.12</c:v>
                </c:pt>
                <c:pt idx="229">
                  <c:v>9.16</c:v>
                </c:pt>
                <c:pt idx="230">
                  <c:v>9.2</c:v>
                </c:pt>
                <c:pt idx="231">
                  <c:v>9.24</c:v>
                </c:pt>
                <c:pt idx="232">
                  <c:v>9.28</c:v>
                </c:pt>
                <c:pt idx="233">
                  <c:v>9.32</c:v>
                </c:pt>
                <c:pt idx="234">
                  <c:v>9.36</c:v>
                </c:pt>
                <c:pt idx="235">
                  <c:v>9.4</c:v>
                </c:pt>
                <c:pt idx="236">
                  <c:v>9.44</c:v>
                </c:pt>
                <c:pt idx="237">
                  <c:v>9.48</c:v>
                </c:pt>
                <c:pt idx="238">
                  <c:v>9.52</c:v>
                </c:pt>
                <c:pt idx="239">
                  <c:v>9.56</c:v>
                </c:pt>
                <c:pt idx="240">
                  <c:v>9.6</c:v>
                </c:pt>
                <c:pt idx="241">
                  <c:v>9.64</c:v>
                </c:pt>
                <c:pt idx="242">
                  <c:v>9.68</c:v>
                </c:pt>
                <c:pt idx="243">
                  <c:v>9.72</c:v>
                </c:pt>
                <c:pt idx="244">
                  <c:v>9.76</c:v>
                </c:pt>
                <c:pt idx="245">
                  <c:v>9.8</c:v>
                </c:pt>
                <c:pt idx="246">
                  <c:v>9.84</c:v>
                </c:pt>
                <c:pt idx="247">
                  <c:v>9.88</c:v>
                </c:pt>
                <c:pt idx="248">
                  <c:v>9.92</c:v>
                </c:pt>
                <c:pt idx="249">
                  <c:v>9.96</c:v>
                </c:pt>
              </c:numCache>
            </c:numRef>
          </c:xVal>
          <c:yVal>
            <c:numRef>
              <c:f>Smoothing!$Q$5:$Q$254</c:f>
              <c:numCache>
                <c:formatCode>General</c:formatCode>
                <c:ptCount val="250"/>
                <c:pt idx="0">
                  <c:v>-35</c:v>
                </c:pt>
                <c:pt idx="1">
                  <c:v>-35</c:v>
                </c:pt>
                <c:pt idx="2">
                  <c:v>-35</c:v>
                </c:pt>
                <c:pt idx="3">
                  <c:v>-35</c:v>
                </c:pt>
                <c:pt idx="4">
                  <c:v>-35</c:v>
                </c:pt>
                <c:pt idx="5">
                  <c:v>-35</c:v>
                </c:pt>
                <c:pt idx="6">
                  <c:v>-35</c:v>
                </c:pt>
                <c:pt idx="7">
                  <c:v>-35</c:v>
                </c:pt>
                <c:pt idx="8">
                  <c:v>-35</c:v>
                </c:pt>
                <c:pt idx="9">
                  <c:v>-35</c:v>
                </c:pt>
                <c:pt idx="10">
                  <c:v>-35</c:v>
                </c:pt>
                <c:pt idx="11">
                  <c:v>-35</c:v>
                </c:pt>
                <c:pt idx="12">
                  <c:v>-35</c:v>
                </c:pt>
                <c:pt idx="13">
                  <c:v>-35</c:v>
                </c:pt>
                <c:pt idx="14">
                  <c:v>-35</c:v>
                </c:pt>
                <c:pt idx="15">
                  <c:v>-35</c:v>
                </c:pt>
                <c:pt idx="16">
                  <c:v>-35</c:v>
                </c:pt>
                <c:pt idx="17">
                  <c:v>-35</c:v>
                </c:pt>
                <c:pt idx="18">
                  <c:v>-35</c:v>
                </c:pt>
                <c:pt idx="19">
                  <c:v>-35</c:v>
                </c:pt>
                <c:pt idx="20">
                  <c:v>6.2</c:v>
                </c:pt>
                <c:pt idx="21">
                  <c:v>10.2</c:v>
                </c:pt>
                <c:pt idx="22">
                  <c:v>14.4</c:v>
                </c:pt>
                <c:pt idx="23">
                  <c:v>21.2</c:v>
                </c:pt>
                <c:pt idx="24">
                  <c:v>32.3</c:v>
                </c:pt>
                <c:pt idx="25">
                  <c:v>43.4</c:v>
                </c:pt>
                <c:pt idx="26">
                  <c:v>54.5</c:v>
                </c:pt>
                <c:pt idx="27">
                  <c:v>65.5</c:v>
                </c:pt>
                <c:pt idx="28">
                  <c:v>76.6</c:v>
                </c:pt>
                <c:pt idx="29">
                  <c:v>87.7</c:v>
                </c:pt>
                <c:pt idx="30">
                  <c:v>87.7</c:v>
                </c:pt>
                <c:pt idx="31">
                  <c:v>87.7</c:v>
                </c:pt>
                <c:pt idx="32">
                  <c:v>87.7</c:v>
                </c:pt>
                <c:pt idx="33">
                  <c:v>87.7</c:v>
                </c:pt>
                <c:pt idx="34">
                  <c:v>87.7</c:v>
                </c:pt>
                <c:pt idx="35">
                  <c:v>87.7</c:v>
                </c:pt>
                <c:pt idx="36">
                  <c:v>87.7</c:v>
                </c:pt>
                <c:pt idx="37">
                  <c:v>87.7</c:v>
                </c:pt>
                <c:pt idx="38">
                  <c:v>87.7</c:v>
                </c:pt>
                <c:pt idx="39">
                  <c:v>87.7</c:v>
                </c:pt>
                <c:pt idx="40">
                  <c:v>87.7</c:v>
                </c:pt>
                <c:pt idx="41">
                  <c:v>87.7</c:v>
                </c:pt>
                <c:pt idx="42">
                  <c:v>87.7</c:v>
                </c:pt>
                <c:pt idx="43">
                  <c:v>87.7</c:v>
                </c:pt>
                <c:pt idx="44">
                  <c:v>87.7</c:v>
                </c:pt>
                <c:pt idx="45">
                  <c:v>87.7</c:v>
                </c:pt>
                <c:pt idx="46">
                  <c:v>87.7</c:v>
                </c:pt>
                <c:pt idx="47">
                  <c:v>87.7</c:v>
                </c:pt>
                <c:pt idx="48">
                  <c:v>87.7</c:v>
                </c:pt>
                <c:pt idx="49">
                  <c:v>87.7</c:v>
                </c:pt>
                <c:pt idx="50">
                  <c:v>87.7</c:v>
                </c:pt>
                <c:pt idx="51">
                  <c:v>87.7</c:v>
                </c:pt>
                <c:pt idx="52">
                  <c:v>87.7</c:v>
                </c:pt>
                <c:pt idx="53">
                  <c:v>87.7</c:v>
                </c:pt>
                <c:pt idx="54">
                  <c:v>87.7</c:v>
                </c:pt>
                <c:pt idx="55">
                  <c:v>87.7</c:v>
                </c:pt>
                <c:pt idx="56">
                  <c:v>87.7</c:v>
                </c:pt>
                <c:pt idx="57">
                  <c:v>87.7</c:v>
                </c:pt>
                <c:pt idx="58">
                  <c:v>87.7</c:v>
                </c:pt>
                <c:pt idx="59">
                  <c:v>87.7</c:v>
                </c:pt>
                <c:pt idx="60">
                  <c:v>87.7</c:v>
                </c:pt>
                <c:pt idx="61">
                  <c:v>87.7</c:v>
                </c:pt>
                <c:pt idx="62">
                  <c:v>87.7</c:v>
                </c:pt>
                <c:pt idx="63">
                  <c:v>87.7</c:v>
                </c:pt>
                <c:pt idx="64">
                  <c:v>87.7</c:v>
                </c:pt>
                <c:pt idx="65">
                  <c:v>87.7</c:v>
                </c:pt>
                <c:pt idx="66">
                  <c:v>87.7</c:v>
                </c:pt>
                <c:pt idx="67">
                  <c:v>87.7</c:v>
                </c:pt>
                <c:pt idx="68">
                  <c:v>87.7</c:v>
                </c:pt>
                <c:pt idx="69">
                  <c:v>87.7</c:v>
                </c:pt>
                <c:pt idx="70">
                  <c:v>87.7</c:v>
                </c:pt>
                <c:pt idx="71">
                  <c:v>87.7</c:v>
                </c:pt>
                <c:pt idx="72">
                  <c:v>87.7</c:v>
                </c:pt>
                <c:pt idx="73">
                  <c:v>87.7</c:v>
                </c:pt>
                <c:pt idx="74">
                  <c:v>87.7</c:v>
                </c:pt>
                <c:pt idx="75">
                  <c:v>87.7</c:v>
                </c:pt>
                <c:pt idx="76">
                  <c:v>87.7</c:v>
                </c:pt>
                <c:pt idx="77">
                  <c:v>87.7</c:v>
                </c:pt>
                <c:pt idx="78">
                  <c:v>87.7</c:v>
                </c:pt>
                <c:pt idx="79">
                  <c:v>87.7</c:v>
                </c:pt>
                <c:pt idx="80">
                  <c:v>65.5</c:v>
                </c:pt>
                <c:pt idx="81">
                  <c:v>43.4</c:v>
                </c:pt>
                <c:pt idx="82">
                  <c:v>21.2</c:v>
                </c:pt>
                <c:pt idx="83">
                  <c:v>10.2</c:v>
                </c:pt>
                <c:pt idx="84">
                  <c:v>-35</c:v>
                </c:pt>
                <c:pt idx="85">
                  <c:v>-35</c:v>
                </c:pt>
                <c:pt idx="86">
                  <c:v>-35</c:v>
                </c:pt>
                <c:pt idx="87">
                  <c:v>-35</c:v>
                </c:pt>
                <c:pt idx="88">
                  <c:v>-35</c:v>
                </c:pt>
                <c:pt idx="89">
                  <c:v>-35</c:v>
                </c:pt>
                <c:pt idx="90">
                  <c:v>-35</c:v>
                </c:pt>
                <c:pt idx="91">
                  <c:v>-35</c:v>
                </c:pt>
                <c:pt idx="92">
                  <c:v>-35</c:v>
                </c:pt>
                <c:pt idx="93">
                  <c:v>-35</c:v>
                </c:pt>
                <c:pt idx="94">
                  <c:v>-35</c:v>
                </c:pt>
                <c:pt idx="95">
                  <c:v>-35</c:v>
                </c:pt>
                <c:pt idx="96">
                  <c:v>-35</c:v>
                </c:pt>
                <c:pt idx="97">
                  <c:v>-35</c:v>
                </c:pt>
                <c:pt idx="98">
                  <c:v>-35</c:v>
                </c:pt>
                <c:pt idx="99">
                  <c:v>-35</c:v>
                </c:pt>
                <c:pt idx="100">
                  <c:v>-35</c:v>
                </c:pt>
                <c:pt idx="101">
                  <c:v>-35</c:v>
                </c:pt>
                <c:pt idx="102">
                  <c:v>-35</c:v>
                </c:pt>
                <c:pt idx="103">
                  <c:v>-35</c:v>
                </c:pt>
                <c:pt idx="104">
                  <c:v>-35</c:v>
                </c:pt>
                <c:pt idx="105">
                  <c:v>-35</c:v>
                </c:pt>
                <c:pt idx="106">
                  <c:v>-35</c:v>
                </c:pt>
                <c:pt idx="107">
                  <c:v>-35</c:v>
                </c:pt>
                <c:pt idx="108">
                  <c:v>-35</c:v>
                </c:pt>
                <c:pt idx="109">
                  <c:v>-35</c:v>
                </c:pt>
                <c:pt idx="110">
                  <c:v>-35</c:v>
                </c:pt>
                <c:pt idx="111">
                  <c:v>-35</c:v>
                </c:pt>
                <c:pt idx="112">
                  <c:v>-35</c:v>
                </c:pt>
                <c:pt idx="113">
                  <c:v>-35</c:v>
                </c:pt>
                <c:pt idx="114">
                  <c:v>-35</c:v>
                </c:pt>
                <c:pt idx="115">
                  <c:v>-35</c:v>
                </c:pt>
                <c:pt idx="116">
                  <c:v>-35</c:v>
                </c:pt>
                <c:pt idx="117">
                  <c:v>-35</c:v>
                </c:pt>
                <c:pt idx="118">
                  <c:v>-35</c:v>
                </c:pt>
                <c:pt idx="119">
                  <c:v>-35</c:v>
                </c:pt>
                <c:pt idx="120">
                  <c:v>-35</c:v>
                </c:pt>
                <c:pt idx="121">
                  <c:v>-35</c:v>
                </c:pt>
                <c:pt idx="122">
                  <c:v>-35</c:v>
                </c:pt>
                <c:pt idx="123">
                  <c:v>-35</c:v>
                </c:pt>
                <c:pt idx="124">
                  <c:v>-35</c:v>
                </c:pt>
                <c:pt idx="125">
                  <c:v>-35</c:v>
                </c:pt>
                <c:pt idx="126">
                  <c:v>-35</c:v>
                </c:pt>
                <c:pt idx="127">
                  <c:v>-35</c:v>
                </c:pt>
                <c:pt idx="128">
                  <c:v>-35</c:v>
                </c:pt>
                <c:pt idx="129">
                  <c:v>-35</c:v>
                </c:pt>
                <c:pt idx="130">
                  <c:v>-35</c:v>
                </c:pt>
                <c:pt idx="131">
                  <c:v>-35</c:v>
                </c:pt>
                <c:pt idx="132">
                  <c:v>-35</c:v>
                </c:pt>
                <c:pt idx="133">
                  <c:v>-35</c:v>
                </c:pt>
                <c:pt idx="134">
                  <c:v>-35</c:v>
                </c:pt>
                <c:pt idx="135">
                  <c:v>-35</c:v>
                </c:pt>
                <c:pt idx="136">
                  <c:v>-35</c:v>
                </c:pt>
                <c:pt idx="137">
                  <c:v>-35</c:v>
                </c:pt>
                <c:pt idx="138">
                  <c:v>-35</c:v>
                </c:pt>
                <c:pt idx="139">
                  <c:v>-35</c:v>
                </c:pt>
                <c:pt idx="140">
                  <c:v>-35</c:v>
                </c:pt>
                <c:pt idx="141">
                  <c:v>-35</c:v>
                </c:pt>
                <c:pt idx="142">
                  <c:v>-35</c:v>
                </c:pt>
                <c:pt idx="143">
                  <c:v>-35</c:v>
                </c:pt>
                <c:pt idx="144">
                  <c:v>-35</c:v>
                </c:pt>
                <c:pt idx="145">
                  <c:v>-35</c:v>
                </c:pt>
                <c:pt idx="146">
                  <c:v>-35</c:v>
                </c:pt>
                <c:pt idx="147">
                  <c:v>-35</c:v>
                </c:pt>
                <c:pt idx="148">
                  <c:v>-35</c:v>
                </c:pt>
                <c:pt idx="149">
                  <c:v>-35</c:v>
                </c:pt>
                <c:pt idx="150">
                  <c:v>0.9</c:v>
                </c:pt>
                <c:pt idx="151">
                  <c:v>2.7</c:v>
                </c:pt>
                <c:pt idx="152">
                  <c:v>4.5</c:v>
                </c:pt>
                <c:pt idx="153">
                  <c:v>6.2</c:v>
                </c:pt>
                <c:pt idx="154">
                  <c:v>7.5</c:v>
                </c:pt>
                <c:pt idx="155">
                  <c:v>8.4</c:v>
                </c:pt>
                <c:pt idx="156">
                  <c:v>9.3</c:v>
                </c:pt>
                <c:pt idx="157">
                  <c:v>10.2</c:v>
                </c:pt>
                <c:pt idx="158">
                  <c:v>11.1</c:v>
                </c:pt>
                <c:pt idx="159">
                  <c:v>12</c:v>
                </c:pt>
                <c:pt idx="160">
                  <c:v>12.9</c:v>
                </c:pt>
                <c:pt idx="161">
                  <c:v>14.4</c:v>
                </c:pt>
                <c:pt idx="162">
                  <c:v>15.9</c:v>
                </c:pt>
                <c:pt idx="163">
                  <c:v>17.6</c:v>
                </c:pt>
                <c:pt idx="164">
                  <c:v>19.2</c:v>
                </c:pt>
                <c:pt idx="165">
                  <c:v>21.2</c:v>
                </c:pt>
                <c:pt idx="166">
                  <c:v>23.9</c:v>
                </c:pt>
                <c:pt idx="167">
                  <c:v>26.8</c:v>
                </c:pt>
                <c:pt idx="168">
                  <c:v>29.6</c:v>
                </c:pt>
                <c:pt idx="169">
                  <c:v>32.3</c:v>
                </c:pt>
                <c:pt idx="170">
                  <c:v>32.3</c:v>
                </c:pt>
                <c:pt idx="171">
                  <c:v>32.3</c:v>
                </c:pt>
                <c:pt idx="172">
                  <c:v>32.3</c:v>
                </c:pt>
                <c:pt idx="173">
                  <c:v>32.3</c:v>
                </c:pt>
                <c:pt idx="174">
                  <c:v>32.3</c:v>
                </c:pt>
                <c:pt idx="175">
                  <c:v>32.3</c:v>
                </c:pt>
                <c:pt idx="176">
                  <c:v>32.3</c:v>
                </c:pt>
                <c:pt idx="177">
                  <c:v>32.3</c:v>
                </c:pt>
                <c:pt idx="178">
                  <c:v>32.3</c:v>
                </c:pt>
                <c:pt idx="179">
                  <c:v>32.3</c:v>
                </c:pt>
                <c:pt idx="180">
                  <c:v>32.3</c:v>
                </c:pt>
                <c:pt idx="181">
                  <c:v>32.3</c:v>
                </c:pt>
                <c:pt idx="182">
                  <c:v>32.3</c:v>
                </c:pt>
                <c:pt idx="183">
                  <c:v>32.3</c:v>
                </c:pt>
                <c:pt idx="184">
                  <c:v>32.3</c:v>
                </c:pt>
                <c:pt idx="185">
                  <c:v>32.3</c:v>
                </c:pt>
                <c:pt idx="186">
                  <c:v>32.3</c:v>
                </c:pt>
                <c:pt idx="187">
                  <c:v>32.3</c:v>
                </c:pt>
                <c:pt idx="188">
                  <c:v>32.3</c:v>
                </c:pt>
                <c:pt idx="189">
                  <c:v>32.3</c:v>
                </c:pt>
                <c:pt idx="190">
                  <c:v>32.3</c:v>
                </c:pt>
                <c:pt idx="191">
                  <c:v>32.3</c:v>
                </c:pt>
                <c:pt idx="192">
                  <c:v>32.3</c:v>
                </c:pt>
                <c:pt idx="193">
                  <c:v>32.3</c:v>
                </c:pt>
                <c:pt idx="194">
                  <c:v>32.3</c:v>
                </c:pt>
                <c:pt idx="195">
                  <c:v>32.3</c:v>
                </c:pt>
                <c:pt idx="196">
                  <c:v>32.3</c:v>
                </c:pt>
                <c:pt idx="197">
                  <c:v>32.3</c:v>
                </c:pt>
                <c:pt idx="198">
                  <c:v>32.3</c:v>
                </c:pt>
                <c:pt idx="199">
                  <c:v>32.3</c:v>
                </c:pt>
                <c:pt idx="200">
                  <c:v>32.3</c:v>
                </c:pt>
                <c:pt idx="201">
                  <c:v>32.3</c:v>
                </c:pt>
                <c:pt idx="202">
                  <c:v>32.3</c:v>
                </c:pt>
                <c:pt idx="203">
                  <c:v>32.3</c:v>
                </c:pt>
                <c:pt idx="204">
                  <c:v>32.3</c:v>
                </c:pt>
                <c:pt idx="205">
                  <c:v>32.3</c:v>
                </c:pt>
                <c:pt idx="206">
                  <c:v>32.3</c:v>
                </c:pt>
                <c:pt idx="207">
                  <c:v>32.3</c:v>
                </c:pt>
                <c:pt idx="208">
                  <c:v>32.3</c:v>
                </c:pt>
                <c:pt idx="209">
                  <c:v>32.3</c:v>
                </c:pt>
                <c:pt idx="210">
                  <c:v>32.3</c:v>
                </c:pt>
                <c:pt idx="211">
                  <c:v>32.3</c:v>
                </c:pt>
                <c:pt idx="212">
                  <c:v>32.3</c:v>
                </c:pt>
                <c:pt idx="213">
                  <c:v>32.3</c:v>
                </c:pt>
                <c:pt idx="214">
                  <c:v>32.3</c:v>
                </c:pt>
                <c:pt idx="215">
                  <c:v>32.3</c:v>
                </c:pt>
                <c:pt idx="216">
                  <c:v>32.3</c:v>
                </c:pt>
                <c:pt idx="217">
                  <c:v>32.3</c:v>
                </c:pt>
                <c:pt idx="218">
                  <c:v>32.3</c:v>
                </c:pt>
                <c:pt idx="219">
                  <c:v>32.3</c:v>
                </c:pt>
                <c:pt idx="220">
                  <c:v>31.7</c:v>
                </c:pt>
                <c:pt idx="221">
                  <c:v>31.1</c:v>
                </c:pt>
                <c:pt idx="222">
                  <c:v>30.5</c:v>
                </c:pt>
                <c:pt idx="223">
                  <c:v>29.8</c:v>
                </c:pt>
                <c:pt idx="224">
                  <c:v>29.2</c:v>
                </c:pt>
                <c:pt idx="225">
                  <c:v>28.6</c:v>
                </c:pt>
                <c:pt idx="226">
                  <c:v>28</c:v>
                </c:pt>
                <c:pt idx="227">
                  <c:v>27.4</c:v>
                </c:pt>
                <c:pt idx="228">
                  <c:v>26.8</c:v>
                </c:pt>
                <c:pt idx="229">
                  <c:v>26.2</c:v>
                </c:pt>
                <c:pt idx="230">
                  <c:v>25.5</c:v>
                </c:pt>
                <c:pt idx="231">
                  <c:v>24.9</c:v>
                </c:pt>
                <c:pt idx="232">
                  <c:v>24.3</c:v>
                </c:pt>
                <c:pt idx="233">
                  <c:v>23.7</c:v>
                </c:pt>
                <c:pt idx="234">
                  <c:v>23.1</c:v>
                </c:pt>
                <c:pt idx="235">
                  <c:v>22.5</c:v>
                </c:pt>
                <c:pt idx="236">
                  <c:v>21.8</c:v>
                </c:pt>
                <c:pt idx="237">
                  <c:v>21.2</c:v>
                </c:pt>
                <c:pt idx="238">
                  <c:v>20.6</c:v>
                </c:pt>
                <c:pt idx="239">
                  <c:v>20</c:v>
                </c:pt>
                <c:pt idx="240">
                  <c:v>19.7</c:v>
                </c:pt>
                <c:pt idx="241">
                  <c:v>19.3</c:v>
                </c:pt>
                <c:pt idx="242">
                  <c:v>19</c:v>
                </c:pt>
                <c:pt idx="243">
                  <c:v>18.6</c:v>
                </c:pt>
                <c:pt idx="244">
                  <c:v>18.3</c:v>
                </c:pt>
                <c:pt idx="245">
                  <c:v>17.9</c:v>
                </c:pt>
                <c:pt idx="246">
                  <c:v>17.6</c:v>
                </c:pt>
                <c:pt idx="247">
                  <c:v>17.2</c:v>
                </c:pt>
                <c:pt idx="248">
                  <c:v>16.9</c:v>
                </c:pt>
                <c:pt idx="249">
                  <c:v>16.5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"Throttle level %"</c:f>
              <c:strCache>
                <c:ptCount val="1"/>
                <c:pt idx="0">
                  <c:v>Throttle level %</c:v>
                </c:pt>
              </c:strCache>
            </c:strRef>
          </c:tx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Smoothing!$B$5:$B$254</c:f>
              <c:numCache>
                <c:formatCode>General</c:formatCode>
                <c:ptCount val="250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</c:v>
                </c:pt>
                <c:pt idx="29">
                  <c:v>1.16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</c:v>
                </c:pt>
                <c:pt idx="56">
                  <c:v>2.24</c:v>
                </c:pt>
                <c:pt idx="57">
                  <c:v>2.28</c:v>
                </c:pt>
                <c:pt idx="58">
                  <c:v>2.32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</c:v>
                </c:pt>
                <c:pt idx="110">
                  <c:v>4.4</c:v>
                </c:pt>
                <c:pt idx="111">
                  <c:v>4.44</c:v>
                </c:pt>
                <c:pt idx="112">
                  <c:v>4.48</c:v>
                </c:pt>
                <c:pt idx="113">
                  <c:v>4.52</c:v>
                </c:pt>
                <c:pt idx="114">
                  <c:v>4.56</c:v>
                </c:pt>
                <c:pt idx="115">
                  <c:v>4.6</c:v>
                </c:pt>
                <c:pt idx="116">
                  <c:v>4.64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</c:v>
                </c:pt>
                <c:pt idx="167">
                  <c:v>6.68</c:v>
                </c:pt>
                <c:pt idx="168">
                  <c:v>6.72</c:v>
                </c:pt>
                <c:pt idx="169">
                  <c:v>6.76</c:v>
                </c:pt>
                <c:pt idx="170">
                  <c:v>6.8</c:v>
                </c:pt>
                <c:pt idx="171">
                  <c:v>6.84</c:v>
                </c:pt>
                <c:pt idx="172">
                  <c:v>6.88</c:v>
                </c:pt>
                <c:pt idx="173">
                  <c:v>6.92</c:v>
                </c:pt>
                <c:pt idx="174">
                  <c:v>6.96</c:v>
                </c:pt>
                <c:pt idx="175">
                  <c:v>7</c:v>
                </c:pt>
                <c:pt idx="176">
                  <c:v>7.04</c:v>
                </c:pt>
                <c:pt idx="177">
                  <c:v>7.08</c:v>
                </c:pt>
                <c:pt idx="178">
                  <c:v>7.12</c:v>
                </c:pt>
                <c:pt idx="179">
                  <c:v>7.16</c:v>
                </c:pt>
                <c:pt idx="180">
                  <c:v>7.2</c:v>
                </c:pt>
                <c:pt idx="181">
                  <c:v>7.24</c:v>
                </c:pt>
                <c:pt idx="182">
                  <c:v>7.28</c:v>
                </c:pt>
                <c:pt idx="183">
                  <c:v>7.32</c:v>
                </c:pt>
                <c:pt idx="184">
                  <c:v>7.36</c:v>
                </c:pt>
                <c:pt idx="185">
                  <c:v>7.4</c:v>
                </c:pt>
                <c:pt idx="186">
                  <c:v>7.44</c:v>
                </c:pt>
                <c:pt idx="187">
                  <c:v>7.48</c:v>
                </c:pt>
                <c:pt idx="188">
                  <c:v>7.52</c:v>
                </c:pt>
                <c:pt idx="189">
                  <c:v>7.56</c:v>
                </c:pt>
                <c:pt idx="190">
                  <c:v>7.6</c:v>
                </c:pt>
                <c:pt idx="191">
                  <c:v>7.64</c:v>
                </c:pt>
                <c:pt idx="192">
                  <c:v>7.68</c:v>
                </c:pt>
                <c:pt idx="193">
                  <c:v>7.72</c:v>
                </c:pt>
                <c:pt idx="194">
                  <c:v>7.76</c:v>
                </c:pt>
                <c:pt idx="195">
                  <c:v>7.8</c:v>
                </c:pt>
                <c:pt idx="196">
                  <c:v>7.84</c:v>
                </c:pt>
                <c:pt idx="197">
                  <c:v>7.88</c:v>
                </c:pt>
                <c:pt idx="198">
                  <c:v>7.92</c:v>
                </c:pt>
                <c:pt idx="199">
                  <c:v>7.96</c:v>
                </c:pt>
                <c:pt idx="200">
                  <c:v>8</c:v>
                </c:pt>
                <c:pt idx="201">
                  <c:v>8.04</c:v>
                </c:pt>
                <c:pt idx="202">
                  <c:v>8.08</c:v>
                </c:pt>
                <c:pt idx="203">
                  <c:v>8.12</c:v>
                </c:pt>
                <c:pt idx="204">
                  <c:v>8.16</c:v>
                </c:pt>
                <c:pt idx="205">
                  <c:v>8.2</c:v>
                </c:pt>
                <c:pt idx="206">
                  <c:v>8.24</c:v>
                </c:pt>
                <c:pt idx="207">
                  <c:v>8.28</c:v>
                </c:pt>
                <c:pt idx="208">
                  <c:v>8.32</c:v>
                </c:pt>
                <c:pt idx="209">
                  <c:v>8.36</c:v>
                </c:pt>
                <c:pt idx="210">
                  <c:v>8.4</c:v>
                </c:pt>
                <c:pt idx="211">
                  <c:v>8.44</c:v>
                </c:pt>
                <c:pt idx="212">
                  <c:v>8.48</c:v>
                </c:pt>
                <c:pt idx="213">
                  <c:v>8.52</c:v>
                </c:pt>
                <c:pt idx="214">
                  <c:v>8.56</c:v>
                </c:pt>
                <c:pt idx="215">
                  <c:v>8.6</c:v>
                </c:pt>
                <c:pt idx="216">
                  <c:v>8.64</c:v>
                </c:pt>
                <c:pt idx="217">
                  <c:v>8.68</c:v>
                </c:pt>
                <c:pt idx="218">
                  <c:v>8.72</c:v>
                </c:pt>
                <c:pt idx="219">
                  <c:v>8.76</c:v>
                </c:pt>
                <c:pt idx="220">
                  <c:v>8.8</c:v>
                </c:pt>
                <c:pt idx="221">
                  <c:v>8.84</c:v>
                </c:pt>
                <c:pt idx="222">
                  <c:v>8.88</c:v>
                </c:pt>
                <c:pt idx="223">
                  <c:v>8.92</c:v>
                </c:pt>
                <c:pt idx="224">
                  <c:v>8.96</c:v>
                </c:pt>
                <c:pt idx="225">
                  <c:v>9</c:v>
                </c:pt>
                <c:pt idx="226">
                  <c:v>9.04</c:v>
                </c:pt>
                <c:pt idx="227">
                  <c:v>9.08</c:v>
                </c:pt>
                <c:pt idx="228">
                  <c:v>9.12</c:v>
                </c:pt>
                <c:pt idx="229">
                  <c:v>9.16</c:v>
                </c:pt>
                <c:pt idx="230">
                  <c:v>9.2</c:v>
                </c:pt>
                <c:pt idx="231">
                  <c:v>9.24</c:v>
                </c:pt>
                <c:pt idx="232">
                  <c:v>9.28</c:v>
                </c:pt>
                <c:pt idx="233">
                  <c:v>9.32</c:v>
                </c:pt>
                <c:pt idx="234">
                  <c:v>9.36</c:v>
                </c:pt>
                <c:pt idx="235">
                  <c:v>9.4</c:v>
                </c:pt>
                <c:pt idx="236">
                  <c:v>9.44</c:v>
                </c:pt>
                <c:pt idx="237">
                  <c:v>9.48</c:v>
                </c:pt>
                <c:pt idx="238">
                  <c:v>9.52</c:v>
                </c:pt>
                <c:pt idx="239">
                  <c:v>9.56</c:v>
                </c:pt>
                <c:pt idx="240">
                  <c:v>9.6</c:v>
                </c:pt>
                <c:pt idx="241">
                  <c:v>9.64</c:v>
                </c:pt>
                <c:pt idx="242">
                  <c:v>9.68</c:v>
                </c:pt>
                <c:pt idx="243">
                  <c:v>9.72</c:v>
                </c:pt>
                <c:pt idx="244">
                  <c:v>9.76</c:v>
                </c:pt>
                <c:pt idx="245">
                  <c:v>9.8</c:v>
                </c:pt>
                <c:pt idx="246">
                  <c:v>9.84</c:v>
                </c:pt>
                <c:pt idx="247">
                  <c:v>9.88</c:v>
                </c:pt>
                <c:pt idx="248">
                  <c:v>9.92</c:v>
                </c:pt>
                <c:pt idx="249">
                  <c:v>9.96</c:v>
                </c:pt>
              </c:numCache>
            </c:numRef>
          </c:xVal>
          <c:yVal>
            <c:numRef>
              <c:f>Smoothing!$R$5:$R$254</c:f>
              <c:numCache>
                <c:formatCode>General</c:formatCode>
                <c:ptCount val="250"/>
                <c:pt idx="0">
                  <c:v>-1.1</c:v>
                </c:pt>
                <c:pt idx="1">
                  <c:v>-2.3</c:v>
                </c:pt>
                <c:pt idx="2">
                  <c:v>-3.5</c:v>
                </c:pt>
                <c:pt idx="3">
                  <c:v>-4.6</c:v>
                </c:pt>
                <c:pt idx="4">
                  <c:v>-5.8</c:v>
                </c:pt>
                <c:pt idx="5">
                  <c:v>-7</c:v>
                </c:pt>
                <c:pt idx="6">
                  <c:v>-8.1</c:v>
                </c:pt>
                <c:pt idx="7">
                  <c:v>-9.3</c:v>
                </c:pt>
                <c:pt idx="8">
                  <c:v>-10.5</c:v>
                </c:pt>
                <c:pt idx="9">
                  <c:v>-11.6</c:v>
                </c:pt>
                <c:pt idx="10">
                  <c:v>-12.8</c:v>
                </c:pt>
                <c:pt idx="11">
                  <c:v>-14</c:v>
                </c:pt>
                <c:pt idx="12">
                  <c:v>-15.1</c:v>
                </c:pt>
                <c:pt idx="13">
                  <c:v>-16.3</c:v>
                </c:pt>
                <c:pt idx="14">
                  <c:v>-17.5</c:v>
                </c:pt>
                <c:pt idx="15">
                  <c:v>-18.6</c:v>
                </c:pt>
                <c:pt idx="16">
                  <c:v>-19.8</c:v>
                </c:pt>
                <c:pt idx="17">
                  <c:v>-21</c:v>
                </c:pt>
                <c:pt idx="18">
                  <c:v>-22.1</c:v>
                </c:pt>
                <c:pt idx="19">
                  <c:v>-23.3</c:v>
                </c:pt>
                <c:pt idx="20">
                  <c:v>-23.1</c:v>
                </c:pt>
                <c:pt idx="21">
                  <c:v>-22.7</c:v>
                </c:pt>
                <c:pt idx="22">
                  <c:v>-22.3</c:v>
                </c:pt>
                <c:pt idx="23">
                  <c:v>-21.6</c:v>
                </c:pt>
                <c:pt idx="24">
                  <c:v>-20.5</c:v>
                </c:pt>
                <c:pt idx="25">
                  <c:v>43.4</c:v>
                </c:pt>
                <c:pt idx="26">
                  <c:v>54.5</c:v>
                </c:pt>
                <c:pt idx="27">
                  <c:v>65.5</c:v>
                </c:pt>
                <c:pt idx="28">
                  <c:v>76.6</c:v>
                </c:pt>
                <c:pt idx="29">
                  <c:v>87.7</c:v>
                </c:pt>
                <c:pt idx="30">
                  <c:v>87.7</c:v>
                </c:pt>
                <c:pt idx="31">
                  <c:v>87.7</c:v>
                </c:pt>
                <c:pt idx="32">
                  <c:v>87.7</c:v>
                </c:pt>
                <c:pt idx="33">
                  <c:v>87.7</c:v>
                </c:pt>
                <c:pt idx="34">
                  <c:v>87.7</c:v>
                </c:pt>
                <c:pt idx="35">
                  <c:v>87.7</c:v>
                </c:pt>
                <c:pt idx="36">
                  <c:v>87.7</c:v>
                </c:pt>
                <c:pt idx="37">
                  <c:v>87.7</c:v>
                </c:pt>
                <c:pt idx="38">
                  <c:v>87.7</c:v>
                </c:pt>
                <c:pt idx="39">
                  <c:v>87.7</c:v>
                </c:pt>
                <c:pt idx="40">
                  <c:v>87.7</c:v>
                </c:pt>
                <c:pt idx="41">
                  <c:v>87.7</c:v>
                </c:pt>
                <c:pt idx="42">
                  <c:v>87.7</c:v>
                </c:pt>
                <c:pt idx="43">
                  <c:v>87.7</c:v>
                </c:pt>
                <c:pt idx="44">
                  <c:v>87.7</c:v>
                </c:pt>
                <c:pt idx="45">
                  <c:v>87.7</c:v>
                </c:pt>
                <c:pt idx="46">
                  <c:v>87.7</c:v>
                </c:pt>
                <c:pt idx="47">
                  <c:v>87.7</c:v>
                </c:pt>
                <c:pt idx="48">
                  <c:v>87.7</c:v>
                </c:pt>
                <c:pt idx="49">
                  <c:v>87.7</c:v>
                </c:pt>
                <c:pt idx="50">
                  <c:v>87.7</c:v>
                </c:pt>
                <c:pt idx="51">
                  <c:v>87.7</c:v>
                </c:pt>
                <c:pt idx="52">
                  <c:v>87.7</c:v>
                </c:pt>
                <c:pt idx="53">
                  <c:v>87.7</c:v>
                </c:pt>
                <c:pt idx="54">
                  <c:v>87.7</c:v>
                </c:pt>
                <c:pt idx="55">
                  <c:v>87.7</c:v>
                </c:pt>
                <c:pt idx="56">
                  <c:v>87.7</c:v>
                </c:pt>
                <c:pt idx="57">
                  <c:v>87.7</c:v>
                </c:pt>
                <c:pt idx="58">
                  <c:v>87.7</c:v>
                </c:pt>
                <c:pt idx="59">
                  <c:v>87.7</c:v>
                </c:pt>
                <c:pt idx="60">
                  <c:v>87.7</c:v>
                </c:pt>
                <c:pt idx="61">
                  <c:v>87.7</c:v>
                </c:pt>
                <c:pt idx="62">
                  <c:v>87.7</c:v>
                </c:pt>
                <c:pt idx="63">
                  <c:v>87.7</c:v>
                </c:pt>
                <c:pt idx="64">
                  <c:v>87.7</c:v>
                </c:pt>
                <c:pt idx="65">
                  <c:v>87.7</c:v>
                </c:pt>
                <c:pt idx="66">
                  <c:v>87.7</c:v>
                </c:pt>
                <c:pt idx="67">
                  <c:v>87.7</c:v>
                </c:pt>
                <c:pt idx="68">
                  <c:v>87.7</c:v>
                </c:pt>
                <c:pt idx="69">
                  <c:v>87.7</c:v>
                </c:pt>
                <c:pt idx="70">
                  <c:v>87.7</c:v>
                </c:pt>
                <c:pt idx="71">
                  <c:v>87.7</c:v>
                </c:pt>
                <c:pt idx="72">
                  <c:v>87.7</c:v>
                </c:pt>
                <c:pt idx="73">
                  <c:v>87.7</c:v>
                </c:pt>
                <c:pt idx="74">
                  <c:v>87.7</c:v>
                </c:pt>
                <c:pt idx="75">
                  <c:v>87.7</c:v>
                </c:pt>
                <c:pt idx="76">
                  <c:v>87.7</c:v>
                </c:pt>
                <c:pt idx="77">
                  <c:v>87.7</c:v>
                </c:pt>
                <c:pt idx="78">
                  <c:v>87.7</c:v>
                </c:pt>
                <c:pt idx="79">
                  <c:v>87.7</c:v>
                </c:pt>
                <c:pt idx="80">
                  <c:v>65.5</c:v>
                </c:pt>
                <c:pt idx="81">
                  <c:v>43.4</c:v>
                </c:pt>
                <c:pt idx="82">
                  <c:v>39.3</c:v>
                </c:pt>
                <c:pt idx="83">
                  <c:v>38.3</c:v>
                </c:pt>
                <c:pt idx="84">
                  <c:v>35.8</c:v>
                </c:pt>
                <c:pt idx="85">
                  <c:v>33.3</c:v>
                </c:pt>
                <c:pt idx="86">
                  <c:v>30.8</c:v>
                </c:pt>
                <c:pt idx="87">
                  <c:v>28.3</c:v>
                </c:pt>
                <c:pt idx="88">
                  <c:v>25.8</c:v>
                </c:pt>
                <c:pt idx="89">
                  <c:v>23.3</c:v>
                </c:pt>
                <c:pt idx="90">
                  <c:v>20.8</c:v>
                </c:pt>
                <c:pt idx="91">
                  <c:v>18.3</c:v>
                </c:pt>
                <c:pt idx="92">
                  <c:v>15.8</c:v>
                </c:pt>
                <c:pt idx="93">
                  <c:v>13.3</c:v>
                </c:pt>
                <c:pt idx="94">
                  <c:v>10.8</c:v>
                </c:pt>
                <c:pt idx="95">
                  <c:v>8.3</c:v>
                </c:pt>
                <c:pt idx="96">
                  <c:v>5.8</c:v>
                </c:pt>
                <c:pt idx="97">
                  <c:v>3.3</c:v>
                </c:pt>
                <c:pt idx="98">
                  <c:v>0.8</c:v>
                </c:pt>
                <c:pt idx="99">
                  <c:v>-1.6</c:v>
                </c:pt>
                <c:pt idx="100">
                  <c:v>-4.1</c:v>
                </c:pt>
                <c:pt idx="101">
                  <c:v>-6.6</c:v>
                </c:pt>
                <c:pt idx="102">
                  <c:v>-9.1</c:v>
                </c:pt>
                <c:pt idx="103">
                  <c:v>-11.6</c:v>
                </c:pt>
                <c:pt idx="104">
                  <c:v>-14.1</c:v>
                </c:pt>
                <c:pt idx="105">
                  <c:v>-16.6</c:v>
                </c:pt>
                <c:pt idx="106">
                  <c:v>-19.1</c:v>
                </c:pt>
                <c:pt idx="107">
                  <c:v>-21.6</c:v>
                </c:pt>
                <c:pt idx="108">
                  <c:v>-24.1</c:v>
                </c:pt>
                <c:pt idx="109">
                  <c:v>-26.6</c:v>
                </c:pt>
                <c:pt idx="110">
                  <c:v>-29.1</c:v>
                </c:pt>
                <c:pt idx="111">
                  <c:v>-31.6</c:v>
                </c:pt>
                <c:pt idx="112">
                  <c:v>-33.4</c:v>
                </c:pt>
                <c:pt idx="113">
                  <c:v>-35</c:v>
                </c:pt>
                <c:pt idx="114">
                  <c:v>-35</c:v>
                </c:pt>
                <c:pt idx="115">
                  <c:v>-35</c:v>
                </c:pt>
                <c:pt idx="116">
                  <c:v>-35</c:v>
                </c:pt>
                <c:pt idx="117">
                  <c:v>-35</c:v>
                </c:pt>
                <c:pt idx="118">
                  <c:v>-35</c:v>
                </c:pt>
                <c:pt idx="119">
                  <c:v>-35</c:v>
                </c:pt>
                <c:pt idx="120">
                  <c:v>-35</c:v>
                </c:pt>
                <c:pt idx="121">
                  <c:v>-35</c:v>
                </c:pt>
                <c:pt idx="122">
                  <c:v>-35</c:v>
                </c:pt>
                <c:pt idx="123">
                  <c:v>-35</c:v>
                </c:pt>
                <c:pt idx="124">
                  <c:v>-35</c:v>
                </c:pt>
                <c:pt idx="125">
                  <c:v>-35</c:v>
                </c:pt>
                <c:pt idx="126">
                  <c:v>-35</c:v>
                </c:pt>
                <c:pt idx="127">
                  <c:v>-35</c:v>
                </c:pt>
                <c:pt idx="128">
                  <c:v>-35</c:v>
                </c:pt>
                <c:pt idx="129">
                  <c:v>-35</c:v>
                </c:pt>
                <c:pt idx="130">
                  <c:v>-35</c:v>
                </c:pt>
                <c:pt idx="131">
                  <c:v>-35</c:v>
                </c:pt>
                <c:pt idx="132">
                  <c:v>-35</c:v>
                </c:pt>
                <c:pt idx="133">
                  <c:v>-35</c:v>
                </c:pt>
                <c:pt idx="134">
                  <c:v>-35</c:v>
                </c:pt>
                <c:pt idx="135">
                  <c:v>-35</c:v>
                </c:pt>
                <c:pt idx="136">
                  <c:v>-35</c:v>
                </c:pt>
                <c:pt idx="137">
                  <c:v>-35</c:v>
                </c:pt>
                <c:pt idx="138">
                  <c:v>-35</c:v>
                </c:pt>
                <c:pt idx="139">
                  <c:v>-35</c:v>
                </c:pt>
                <c:pt idx="140">
                  <c:v>-35</c:v>
                </c:pt>
                <c:pt idx="141">
                  <c:v>-35</c:v>
                </c:pt>
                <c:pt idx="142">
                  <c:v>-35</c:v>
                </c:pt>
                <c:pt idx="143">
                  <c:v>-35</c:v>
                </c:pt>
                <c:pt idx="144">
                  <c:v>-35</c:v>
                </c:pt>
                <c:pt idx="145">
                  <c:v>-35</c:v>
                </c:pt>
                <c:pt idx="146">
                  <c:v>-35</c:v>
                </c:pt>
                <c:pt idx="147">
                  <c:v>-35</c:v>
                </c:pt>
                <c:pt idx="148">
                  <c:v>-35</c:v>
                </c:pt>
                <c:pt idx="149">
                  <c:v>-35</c:v>
                </c:pt>
                <c:pt idx="150">
                  <c:v>-33.8</c:v>
                </c:pt>
                <c:pt idx="151">
                  <c:v>-32.5</c:v>
                </c:pt>
                <c:pt idx="152">
                  <c:v>-31.2</c:v>
                </c:pt>
                <c:pt idx="153">
                  <c:v>-29.8</c:v>
                </c:pt>
                <c:pt idx="154">
                  <c:v>-28.4</c:v>
                </c:pt>
                <c:pt idx="155">
                  <c:v>-26.9</c:v>
                </c:pt>
                <c:pt idx="156">
                  <c:v>-25.5</c:v>
                </c:pt>
                <c:pt idx="157">
                  <c:v>-24</c:v>
                </c:pt>
                <c:pt idx="158">
                  <c:v>-22.4</c:v>
                </c:pt>
                <c:pt idx="159">
                  <c:v>-20.9</c:v>
                </c:pt>
                <c:pt idx="160">
                  <c:v>-19.3</c:v>
                </c:pt>
                <c:pt idx="161">
                  <c:v>-17.6</c:v>
                </c:pt>
                <c:pt idx="162">
                  <c:v>-15.9</c:v>
                </c:pt>
                <c:pt idx="163">
                  <c:v>-14.2</c:v>
                </c:pt>
                <c:pt idx="164">
                  <c:v>-12.4</c:v>
                </c:pt>
                <c:pt idx="165">
                  <c:v>-10.5</c:v>
                </c:pt>
                <c:pt idx="166">
                  <c:v>-8.5</c:v>
                </c:pt>
                <c:pt idx="167">
                  <c:v>-6.5</c:v>
                </c:pt>
                <c:pt idx="168">
                  <c:v>-4.3</c:v>
                </c:pt>
                <c:pt idx="169">
                  <c:v>-2.1</c:v>
                </c:pt>
                <c:pt idx="170">
                  <c:v>0.1</c:v>
                </c:pt>
                <c:pt idx="171">
                  <c:v>2.3</c:v>
                </c:pt>
                <c:pt idx="172">
                  <c:v>4.6</c:v>
                </c:pt>
                <c:pt idx="173">
                  <c:v>6.8</c:v>
                </c:pt>
                <c:pt idx="174">
                  <c:v>9.1</c:v>
                </c:pt>
                <c:pt idx="175">
                  <c:v>11.3</c:v>
                </c:pt>
                <c:pt idx="176">
                  <c:v>13.5</c:v>
                </c:pt>
                <c:pt idx="177">
                  <c:v>15.8</c:v>
                </c:pt>
                <c:pt idx="178">
                  <c:v>18</c:v>
                </c:pt>
                <c:pt idx="179">
                  <c:v>20.3</c:v>
                </c:pt>
                <c:pt idx="180">
                  <c:v>21.3</c:v>
                </c:pt>
                <c:pt idx="181">
                  <c:v>22.3</c:v>
                </c:pt>
                <c:pt idx="182">
                  <c:v>23.2</c:v>
                </c:pt>
                <c:pt idx="183">
                  <c:v>24.1</c:v>
                </c:pt>
                <c:pt idx="184">
                  <c:v>24.9</c:v>
                </c:pt>
                <c:pt idx="185">
                  <c:v>25.7</c:v>
                </c:pt>
                <c:pt idx="186">
                  <c:v>26.5</c:v>
                </c:pt>
                <c:pt idx="187">
                  <c:v>27.2</c:v>
                </c:pt>
                <c:pt idx="188">
                  <c:v>27.9</c:v>
                </c:pt>
                <c:pt idx="189">
                  <c:v>28.6</c:v>
                </c:pt>
                <c:pt idx="190">
                  <c:v>29.3</c:v>
                </c:pt>
                <c:pt idx="191">
                  <c:v>29.9</c:v>
                </c:pt>
                <c:pt idx="192">
                  <c:v>30.4</c:v>
                </c:pt>
                <c:pt idx="193">
                  <c:v>30.9</c:v>
                </c:pt>
                <c:pt idx="194">
                  <c:v>31.3</c:v>
                </c:pt>
                <c:pt idx="195">
                  <c:v>31.7</c:v>
                </c:pt>
                <c:pt idx="196">
                  <c:v>32</c:v>
                </c:pt>
                <c:pt idx="197">
                  <c:v>32.2</c:v>
                </c:pt>
                <c:pt idx="198">
                  <c:v>32.3</c:v>
                </c:pt>
                <c:pt idx="199">
                  <c:v>32.3</c:v>
                </c:pt>
                <c:pt idx="200">
                  <c:v>32.3</c:v>
                </c:pt>
                <c:pt idx="201">
                  <c:v>32.3</c:v>
                </c:pt>
                <c:pt idx="202">
                  <c:v>32.3</c:v>
                </c:pt>
                <c:pt idx="203">
                  <c:v>32.3</c:v>
                </c:pt>
                <c:pt idx="204">
                  <c:v>32.3</c:v>
                </c:pt>
                <c:pt idx="205">
                  <c:v>32.3</c:v>
                </c:pt>
                <c:pt idx="206">
                  <c:v>32.3</c:v>
                </c:pt>
                <c:pt idx="207">
                  <c:v>32.3</c:v>
                </c:pt>
                <c:pt idx="208">
                  <c:v>32.3</c:v>
                </c:pt>
                <c:pt idx="209">
                  <c:v>32.3</c:v>
                </c:pt>
                <c:pt idx="210">
                  <c:v>32.3</c:v>
                </c:pt>
                <c:pt idx="211">
                  <c:v>32.3</c:v>
                </c:pt>
                <c:pt idx="212">
                  <c:v>32.3</c:v>
                </c:pt>
                <c:pt idx="213">
                  <c:v>32.3</c:v>
                </c:pt>
                <c:pt idx="214">
                  <c:v>32.3</c:v>
                </c:pt>
                <c:pt idx="215">
                  <c:v>32.3</c:v>
                </c:pt>
                <c:pt idx="216">
                  <c:v>32.3</c:v>
                </c:pt>
                <c:pt idx="217">
                  <c:v>32.3</c:v>
                </c:pt>
                <c:pt idx="218">
                  <c:v>32.3</c:v>
                </c:pt>
                <c:pt idx="219">
                  <c:v>32.3</c:v>
                </c:pt>
                <c:pt idx="220">
                  <c:v>32.2</c:v>
                </c:pt>
                <c:pt idx="221">
                  <c:v>32.2</c:v>
                </c:pt>
                <c:pt idx="222">
                  <c:v>32.1</c:v>
                </c:pt>
                <c:pt idx="223">
                  <c:v>32</c:v>
                </c:pt>
                <c:pt idx="224">
                  <c:v>31.9</c:v>
                </c:pt>
                <c:pt idx="225">
                  <c:v>31.8</c:v>
                </c:pt>
                <c:pt idx="226">
                  <c:v>31.7</c:v>
                </c:pt>
                <c:pt idx="227">
                  <c:v>31.5</c:v>
                </c:pt>
                <c:pt idx="228">
                  <c:v>31.3</c:v>
                </c:pt>
                <c:pt idx="229">
                  <c:v>31.1</c:v>
                </c:pt>
                <c:pt idx="230">
                  <c:v>30.9</c:v>
                </c:pt>
                <c:pt idx="231">
                  <c:v>30.7</c:v>
                </c:pt>
                <c:pt idx="232">
                  <c:v>30.4</c:v>
                </c:pt>
                <c:pt idx="233">
                  <c:v>30.1</c:v>
                </c:pt>
                <c:pt idx="234">
                  <c:v>29.8</c:v>
                </c:pt>
                <c:pt idx="235">
                  <c:v>29.5</c:v>
                </c:pt>
                <c:pt idx="236">
                  <c:v>29.1</c:v>
                </c:pt>
                <c:pt idx="237">
                  <c:v>28.7</c:v>
                </c:pt>
                <c:pt idx="238">
                  <c:v>28.4</c:v>
                </c:pt>
                <c:pt idx="239">
                  <c:v>27.9</c:v>
                </c:pt>
                <c:pt idx="240">
                  <c:v>27.5</c:v>
                </c:pt>
                <c:pt idx="241">
                  <c:v>27.1</c:v>
                </c:pt>
                <c:pt idx="242">
                  <c:v>26.7</c:v>
                </c:pt>
                <c:pt idx="243">
                  <c:v>26.2</c:v>
                </c:pt>
                <c:pt idx="244">
                  <c:v>25.7</c:v>
                </c:pt>
                <c:pt idx="245">
                  <c:v>25.2</c:v>
                </c:pt>
                <c:pt idx="246">
                  <c:v>24.8</c:v>
                </c:pt>
                <c:pt idx="247">
                  <c:v>24.3</c:v>
                </c:pt>
                <c:pt idx="248">
                  <c:v>23.7</c:v>
                </c:pt>
                <c:pt idx="249">
                  <c:v>23.2</c:v>
                </c:pt>
              </c:numCache>
            </c:numRef>
          </c:yVal>
          <c:smooth val="1"/>
        </c:ser>
        <c:axId val="94838899"/>
        <c:axId val="18283383"/>
      </c:scatterChart>
      <c:valAx>
        <c:axId val="9483889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Time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283383"/>
        <c:crosses val="autoZero"/>
        <c:crossBetween val="midCat"/>
      </c:valAx>
      <c:valAx>
        <c:axId val="182833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Throttle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83889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3</xdr:row>
      <xdr:rowOff>0</xdr:rowOff>
    </xdr:from>
    <xdr:to>
      <xdr:col>24</xdr:col>
      <xdr:colOff>472680</xdr:colOff>
      <xdr:row>21</xdr:row>
      <xdr:rowOff>187560</xdr:rowOff>
    </xdr:to>
    <xdr:graphicFrame>
      <xdr:nvGraphicFramePr>
        <xdr:cNvPr id="1" name="Chart 1"/>
        <xdr:cNvGraphicFramePr/>
      </xdr:nvGraphicFramePr>
      <xdr:xfrm>
        <a:off x="10761480" y="792000"/>
        <a:ext cx="719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0</xdr:colOff>
      <xdr:row>3</xdr:row>
      <xdr:rowOff>0</xdr:rowOff>
    </xdr:from>
    <xdr:to>
      <xdr:col>33</xdr:col>
      <xdr:colOff>472680</xdr:colOff>
      <xdr:row>21</xdr:row>
      <xdr:rowOff>187560</xdr:rowOff>
    </xdr:to>
    <xdr:graphicFrame>
      <xdr:nvGraphicFramePr>
        <xdr:cNvPr id="2" name="Chart 1"/>
        <xdr:cNvGraphicFramePr/>
      </xdr:nvGraphicFramePr>
      <xdr:xfrm>
        <a:off x="15695280" y="944280"/>
        <a:ext cx="719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0</xdr:colOff>
      <xdr:row>3</xdr:row>
      <xdr:rowOff>0</xdr:rowOff>
    </xdr:from>
    <xdr:to>
      <xdr:col>31</xdr:col>
      <xdr:colOff>581400</xdr:colOff>
      <xdr:row>21</xdr:row>
      <xdr:rowOff>187560</xdr:rowOff>
    </xdr:to>
    <xdr:graphicFrame>
      <xdr:nvGraphicFramePr>
        <xdr:cNvPr id="3" name="Chart 1"/>
        <xdr:cNvGraphicFramePr/>
      </xdr:nvGraphicFramePr>
      <xdr:xfrm>
        <a:off x="12382560" y="792000"/>
        <a:ext cx="791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31" activePane="bottomLeft" state="frozen"/>
      <selection pane="topLeft" activeCell="A1" activeCellId="0" sqref="A1"/>
      <selection pane="bottomLeft" activeCell="C27" activeCellId="0" sqref="C2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90"/>
  </cols>
  <sheetData>
    <row r="1" customFormat="false" ht="17.35" hidden="false" customHeight="false" outlineLevel="0" collapsed="false">
      <c r="A1" s="2" t="s">
        <v>0</v>
      </c>
    </row>
    <row r="2" customFormat="false" ht="42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42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false" outlineLevel="0" collapsed="false">
      <c r="A5" s="5" t="s">
        <v>9</v>
      </c>
      <c r="B5" s="6"/>
      <c r="C5" s="6"/>
      <c r="D5" s="6"/>
      <c r="E5" s="6"/>
      <c r="F5" s="6"/>
      <c r="G5" s="6"/>
    </row>
    <row r="6" customFormat="false" ht="15" hidden="false" customHeight="false" outlineLevel="0" collapsed="false">
      <c r="A6" s="7" t="s">
        <v>10</v>
      </c>
      <c r="B6" s="7" t="s">
        <v>11</v>
      </c>
      <c r="C6" s="8" t="n">
        <v>1</v>
      </c>
      <c r="D6" s="7" t="s">
        <v>12</v>
      </c>
      <c r="E6" s="7" t="n">
        <f aca="false">C6</f>
        <v>1</v>
      </c>
      <c r="F6" s="7" t="n">
        <v>1</v>
      </c>
      <c r="G6" s="9" t="s">
        <v>13</v>
      </c>
    </row>
    <row r="7" customFormat="false" ht="23.85" hidden="false" customHeight="false" outlineLevel="0" collapsed="false">
      <c r="A7" s="7" t="s">
        <v>14</v>
      </c>
      <c r="B7" s="7" t="s">
        <v>15</v>
      </c>
      <c r="C7" s="8" t="n">
        <v>1</v>
      </c>
      <c r="D7" s="7" t="s">
        <v>12</v>
      </c>
      <c r="E7" s="7" t="n">
        <f aca="false">C7</f>
        <v>1</v>
      </c>
      <c r="F7" s="7" t="n">
        <v>1</v>
      </c>
      <c r="G7" s="9" t="s">
        <v>16</v>
      </c>
    </row>
    <row r="8" customFormat="false" ht="15" hidden="false" customHeight="false" outlineLevel="0" collapsed="false">
      <c r="A8" s="7" t="s">
        <v>17</v>
      </c>
      <c r="B8" s="7" t="s">
        <v>18</v>
      </c>
      <c r="C8" s="8" t="n">
        <v>715</v>
      </c>
      <c r="D8" s="7" t="s">
        <v>19</v>
      </c>
      <c r="E8" s="7" t="n">
        <f aca="false">C8</f>
        <v>715</v>
      </c>
      <c r="F8" s="7" t="n">
        <v>20</v>
      </c>
      <c r="G8" s="9" t="s">
        <v>20</v>
      </c>
    </row>
    <row r="9" customFormat="false" ht="15" hidden="false" customHeight="false" outlineLevel="0" collapsed="false">
      <c r="A9" s="7" t="s">
        <v>21</v>
      </c>
      <c r="B9" s="7" t="s">
        <v>22</v>
      </c>
      <c r="C9" s="8" t="n">
        <v>3478</v>
      </c>
      <c r="D9" s="7" t="s">
        <v>19</v>
      </c>
      <c r="E9" s="7" t="n">
        <f aca="false">C9</f>
        <v>3478</v>
      </c>
      <c r="F9" s="7" t="n">
        <v>3150</v>
      </c>
      <c r="G9" s="9" t="s">
        <v>23</v>
      </c>
    </row>
    <row r="10" customFormat="false" ht="15" hidden="false" customHeight="false" outlineLevel="0" collapsed="false">
      <c r="A10" s="7" t="s">
        <v>24</v>
      </c>
      <c r="B10" s="7" t="s">
        <v>25</v>
      </c>
      <c r="C10" s="8" t="n">
        <v>0</v>
      </c>
      <c r="D10" s="7" t="s">
        <v>19</v>
      </c>
      <c r="E10" s="7" t="n">
        <f aca="false">C10</f>
        <v>0</v>
      </c>
      <c r="F10" s="7" t="n">
        <v>0</v>
      </c>
      <c r="G10" s="9" t="s">
        <v>26</v>
      </c>
    </row>
    <row r="11" customFormat="false" ht="15" hidden="false" customHeight="false" outlineLevel="0" collapsed="false">
      <c r="A11" s="7" t="s">
        <v>27</v>
      </c>
      <c r="B11" s="7" t="s">
        <v>28</v>
      </c>
      <c r="C11" s="8" t="n">
        <v>0</v>
      </c>
      <c r="D11" s="7" t="s">
        <v>19</v>
      </c>
      <c r="E11" s="7" t="n">
        <f aca="false">C11</f>
        <v>0</v>
      </c>
      <c r="F11" s="7" t="n">
        <v>0</v>
      </c>
      <c r="G11" s="9" t="s">
        <v>29</v>
      </c>
    </row>
    <row r="12" customFormat="false" ht="15" hidden="false" customHeight="false" outlineLevel="0" collapsed="false">
      <c r="A12" s="5" t="s">
        <v>30</v>
      </c>
      <c r="B12" s="6"/>
      <c r="C12" s="6"/>
      <c r="D12" s="6"/>
      <c r="E12" s="6"/>
      <c r="F12" s="6"/>
      <c r="G12" s="6"/>
    </row>
    <row r="13" customFormat="false" ht="15" hidden="false" customHeight="false" outlineLevel="0" collapsed="false">
      <c r="A13" s="7" t="s">
        <v>31</v>
      </c>
      <c r="B13" s="7" t="s">
        <v>32</v>
      </c>
      <c r="C13" s="8" t="n">
        <v>0</v>
      </c>
      <c r="D13" s="7" t="s">
        <v>33</v>
      </c>
      <c r="E13" s="7" t="n">
        <f aca="false">C13*10</f>
        <v>0</v>
      </c>
      <c r="F13" s="7" t="n">
        <v>0</v>
      </c>
      <c r="G13" s="9" t="s">
        <v>34</v>
      </c>
    </row>
    <row r="14" customFormat="false" ht="15" hidden="false" customHeight="false" outlineLevel="0" collapsed="false">
      <c r="A14" s="7" t="s">
        <v>35</v>
      </c>
      <c r="B14" s="7" t="s">
        <v>36</v>
      </c>
      <c r="C14" s="8" t="n">
        <v>1</v>
      </c>
      <c r="D14" s="7" t="s">
        <v>33</v>
      </c>
      <c r="E14" s="7" t="n">
        <f aca="false">C14*10</f>
        <v>10</v>
      </c>
      <c r="F14" s="7" t="n">
        <v>27</v>
      </c>
      <c r="G14" s="9" t="s">
        <v>37</v>
      </c>
    </row>
    <row r="15" customFormat="false" ht="15" hidden="false" customHeight="false" outlineLevel="0" collapsed="false">
      <c r="A15" s="7" t="s">
        <v>38</v>
      </c>
      <c r="B15" s="7" t="s">
        <v>39</v>
      </c>
      <c r="C15" s="8" t="n">
        <v>1</v>
      </c>
      <c r="D15" s="7" t="s">
        <v>33</v>
      </c>
      <c r="E15" s="7" t="n">
        <f aca="false">C15*10</f>
        <v>10</v>
      </c>
      <c r="F15" s="7" t="n">
        <v>28</v>
      </c>
      <c r="G15" s="9" t="s">
        <v>40</v>
      </c>
    </row>
    <row r="16" customFormat="false" ht="15" hidden="false" customHeight="false" outlineLevel="0" collapsed="false">
      <c r="A16" s="7" t="s">
        <v>41</v>
      </c>
      <c r="B16" s="7" t="s">
        <v>42</v>
      </c>
      <c r="C16" s="8" t="n">
        <v>10</v>
      </c>
      <c r="D16" s="7" t="s">
        <v>33</v>
      </c>
      <c r="E16" s="7" t="n">
        <f aca="false">C16*10</f>
        <v>100</v>
      </c>
      <c r="F16" s="7" t="n">
        <v>75</v>
      </c>
      <c r="G16" s="9" t="s">
        <v>43</v>
      </c>
    </row>
    <row r="17" customFormat="false" ht="15" hidden="false" customHeight="false" outlineLevel="0" collapsed="false">
      <c r="A17" s="7" t="s">
        <v>44</v>
      </c>
      <c r="B17" s="7" t="s">
        <v>45</v>
      </c>
      <c r="C17" s="8" t="n">
        <v>7</v>
      </c>
      <c r="D17" s="7" t="s">
        <v>46</v>
      </c>
      <c r="E17" s="7" t="n">
        <f aca="false">C17*10</f>
        <v>70</v>
      </c>
      <c r="F17" s="7" t="n">
        <v>50</v>
      </c>
      <c r="G17" s="9"/>
    </row>
    <row r="18" customFormat="false" ht="15" hidden="false" customHeight="false" outlineLevel="0" collapsed="false">
      <c r="A18" s="7" t="s">
        <v>47</v>
      </c>
      <c r="B18" s="7" t="s">
        <v>48</v>
      </c>
      <c r="C18" s="8" t="n">
        <v>25</v>
      </c>
      <c r="D18" s="7" t="s">
        <v>33</v>
      </c>
      <c r="E18" s="7" t="n">
        <f aca="false">C18*10</f>
        <v>250</v>
      </c>
      <c r="F18" s="7" t="n">
        <v>75</v>
      </c>
      <c r="G18" s="9" t="s">
        <v>49</v>
      </c>
    </row>
    <row r="19" customFormat="false" ht="15" hidden="false" customHeight="false" outlineLevel="0" collapsed="false">
      <c r="A19" s="7" t="s">
        <v>50</v>
      </c>
      <c r="B19" s="7" t="s">
        <v>51</v>
      </c>
      <c r="C19" s="8" t="n">
        <v>13</v>
      </c>
      <c r="D19" s="7" t="s">
        <v>46</v>
      </c>
      <c r="E19" s="7" t="n">
        <f aca="false">C19*10</f>
        <v>130</v>
      </c>
      <c r="F19" s="7" t="n">
        <v>50</v>
      </c>
      <c r="G19" s="9"/>
    </row>
    <row r="20" customFormat="false" ht="23.85" hidden="false" customHeight="false" outlineLevel="0" collapsed="false">
      <c r="A20" s="7" t="s">
        <v>52</v>
      </c>
      <c r="B20" s="7" t="s">
        <v>53</v>
      </c>
      <c r="C20" s="8" t="n">
        <v>35</v>
      </c>
      <c r="D20" s="7" t="s">
        <v>33</v>
      </c>
      <c r="E20" s="7" t="n">
        <f aca="false">C20*10</f>
        <v>350</v>
      </c>
      <c r="F20" s="7" t="n">
        <v>75</v>
      </c>
      <c r="G20" s="9" t="s">
        <v>54</v>
      </c>
    </row>
    <row r="21" customFormat="false" ht="15" hidden="false" customHeight="false" outlineLevel="0" collapsed="false">
      <c r="A21" s="7" t="s">
        <v>55</v>
      </c>
      <c r="B21" s="7" t="s">
        <v>56</v>
      </c>
      <c r="C21" s="8" t="n">
        <v>20</v>
      </c>
      <c r="D21" s="7" t="s">
        <v>46</v>
      </c>
      <c r="E21" s="7" t="n">
        <f aca="false">C21*10</f>
        <v>200</v>
      </c>
      <c r="F21" s="7" t="n">
        <v>50</v>
      </c>
      <c r="G21" s="9"/>
    </row>
    <row r="22" customFormat="false" ht="15" hidden="false" customHeight="false" outlineLevel="0" collapsed="false">
      <c r="A22" s="7" t="s">
        <v>57</v>
      </c>
      <c r="B22" s="7" t="s">
        <v>58</v>
      </c>
      <c r="C22" s="8" t="n">
        <v>15</v>
      </c>
      <c r="D22" s="7" t="s">
        <v>59</v>
      </c>
      <c r="E22" s="7" t="n">
        <f aca="false">C22</f>
        <v>15</v>
      </c>
      <c r="F22" s="7" t="n">
        <v>0</v>
      </c>
      <c r="G22" s="9" t="s">
        <v>60</v>
      </c>
    </row>
    <row r="23" customFormat="false" ht="15" hidden="false" customHeight="false" outlineLevel="0" collapsed="false">
      <c r="A23" s="7" t="s">
        <v>61</v>
      </c>
      <c r="B23" s="7" t="s">
        <v>62</v>
      </c>
      <c r="C23" s="8" t="n">
        <v>35</v>
      </c>
      <c r="D23" s="7" t="s">
        <v>59</v>
      </c>
      <c r="E23" s="7" t="n">
        <f aca="false">C23</f>
        <v>35</v>
      </c>
      <c r="F23" s="7" t="n">
        <v>70</v>
      </c>
      <c r="G23" s="9" t="s">
        <v>60</v>
      </c>
    </row>
    <row r="24" customFormat="false" ht="15" hidden="false" customHeight="false" outlineLevel="0" collapsed="false">
      <c r="A24" s="7" t="s">
        <v>63</v>
      </c>
      <c r="B24" s="7" t="s">
        <v>64</v>
      </c>
      <c r="C24" s="8" t="n">
        <v>0</v>
      </c>
      <c r="D24" s="7" t="s">
        <v>59</v>
      </c>
      <c r="E24" s="7" t="n">
        <f aca="false">C24</f>
        <v>0</v>
      </c>
      <c r="F24" s="7" t="n">
        <v>0</v>
      </c>
      <c r="G24" s="9" t="s">
        <v>65</v>
      </c>
    </row>
    <row r="25" customFormat="false" ht="15" hidden="false" customHeight="false" outlineLevel="0" collapsed="false">
      <c r="A25" s="7" t="s">
        <v>66</v>
      </c>
      <c r="B25" s="7" t="s">
        <v>67</v>
      </c>
      <c r="C25" s="8" t="n">
        <v>30</v>
      </c>
      <c r="D25" s="7" t="s">
        <v>68</v>
      </c>
      <c r="E25" s="7" t="n">
        <f aca="false">C25</f>
        <v>30</v>
      </c>
      <c r="F25" s="7" t="n">
        <v>0</v>
      </c>
      <c r="G25" s="9" t="s">
        <v>69</v>
      </c>
    </row>
    <row r="26" customFormat="false" ht="15" hidden="false" customHeight="false" outlineLevel="0" collapsed="false">
      <c r="A26" s="7" t="s">
        <v>70</v>
      </c>
      <c r="B26" s="7" t="s">
        <v>71</v>
      </c>
      <c r="C26" s="8" t="n">
        <v>40</v>
      </c>
      <c r="D26" s="7" t="s">
        <v>46</v>
      </c>
      <c r="E26" s="7" t="n">
        <f aca="false">C26*10</f>
        <v>400</v>
      </c>
      <c r="F26" s="7" t="n">
        <v>60</v>
      </c>
      <c r="G26" s="9" t="s">
        <v>72</v>
      </c>
    </row>
    <row r="27" customFormat="false" ht="15" hidden="false" customHeight="false" outlineLevel="0" collapsed="false">
      <c r="A27" s="5" t="s">
        <v>73</v>
      </c>
      <c r="B27" s="6"/>
      <c r="C27" s="6"/>
      <c r="D27" s="6"/>
      <c r="E27" s="6"/>
      <c r="F27" s="6"/>
      <c r="G27" s="6"/>
    </row>
    <row r="28" customFormat="false" ht="15" hidden="false" customHeight="false" outlineLevel="0" collapsed="false">
      <c r="A28" s="7" t="s">
        <v>74</v>
      </c>
      <c r="B28" s="7" t="s">
        <v>75</v>
      </c>
      <c r="C28" s="8" t="n">
        <v>1024</v>
      </c>
      <c r="D28" s="7" t="s">
        <v>76</v>
      </c>
      <c r="E28" s="7" t="n">
        <f aca="false">C28</f>
        <v>1024</v>
      </c>
      <c r="F28" s="7" t="n">
        <v>1024</v>
      </c>
      <c r="G28" s="9" t="s">
        <v>77</v>
      </c>
    </row>
    <row r="29" customFormat="false" ht="15" hidden="false" customHeight="false" outlineLevel="0" collapsed="false">
      <c r="A29" s="7" t="s">
        <v>78</v>
      </c>
      <c r="B29" s="7" t="s">
        <v>79</v>
      </c>
      <c r="C29" s="8" t="n">
        <v>0</v>
      </c>
      <c r="D29" s="7" t="s">
        <v>80</v>
      </c>
      <c r="E29" s="7" t="n">
        <f aca="false">C29</f>
        <v>0</v>
      </c>
      <c r="F29" s="7" t="n">
        <v>0</v>
      </c>
      <c r="G29" s="9" t="s">
        <v>81</v>
      </c>
    </row>
    <row r="30" customFormat="false" ht="15" hidden="false" customHeight="false" outlineLevel="0" collapsed="false">
      <c r="A30" s="7" t="s">
        <v>82</v>
      </c>
      <c r="B30" s="7" t="s">
        <v>75</v>
      </c>
      <c r="C30" s="8" t="n">
        <v>1024</v>
      </c>
      <c r="D30" s="7" t="s">
        <v>76</v>
      </c>
      <c r="E30" s="7" t="n">
        <f aca="false">C30</f>
        <v>1024</v>
      </c>
      <c r="F30" s="7" t="n">
        <v>1024</v>
      </c>
      <c r="G30" s="9" t="s">
        <v>83</v>
      </c>
    </row>
    <row r="31" customFormat="false" ht="15" hidden="false" customHeight="false" outlineLevel="0" collapsed="false">
      <c r="A31" s="7" t="s">
        <v>84</v>
      </c>
      <c r="B31" s="7" t="s">
        <v>79</v>
      </c>
      <c r="C31" s="8" t="n">
        <v>0</v>
      </c>
      <c r="D31" s="7" t="s">
        <v>80</v>
      </c>
      <c r="E31" s="7" t="n">
        <f aca="false">C31</f>
        <v>0</v>
      </c>
      <c r="F31" s="7" t="n">
        <v>0</v>
      </c>
      <c r="G31" s="9" t="s">
        <v>85</v>
      </c>
    </row>
    <row r="32" customFormat="false" ht="15" hidden="false" customHeight="false" outlineLevel="0" collapsed="false">
      <c r="A32" s="5" t="s">
        <v>86</v>
      </c>
      <c r="B32" s="6"/>
      <c r="C32" s="6"/>
      <c r="D32" s="6"/>
      <c r="E32" s="6"/>
      <c r="F32" s="6"/>
      <c r="G32" s="6"/>
    </row>
    <row r="33" customFormat="false" ht="23.85" hidden="false" customHeight="false" outlineLevel="0" collapsed="false">
      <c r="A33" s="7" t="s">
        <v>87</v>
      </c>
      <c r="B33" s="7" t="s">
        <v>88</v>
      </c>
      <c r="C33" s="8" t="n">
        <v>1</v>
      </c>
      <c r="D33" s="7" t="s">
        <v>89</v>
      </c>
      <c r="E33" s="7" t="n">
        <f aca="false">C33</f>
        <v>1</v>
      </c>
      <c r="F33" s="7" t="s">
        <v>88</v>
      </c>
      <c r="G33" s="9" t="s">
        <v>90</v>
      </c>
    </row>
    <row r="34" customFormat="false" ht="15" hidden="false" customHeight="false" outlineLevel="0" collapsed="false">
      <c r="A34" s="7" t="s">
        <v>91</v>
      </c>
      <c r="B34" s="7" t="s">
        <v>88</v>
      </c>
      <c r="C34" s="8" t="n">
        <v>0</v>
      </c>
      <c r="D34" s="7" t="s">
        <v>92</v>
      </c>
      <c r="E34" s="7" t="n">
        <f aca="false">C34</f>
        <v>0</v>
      </c>
      <c r="F34" s="7" t="s">
        <v>88</v>
      </c>
      <c r="G34" s="9" t="s">
        <v>93</v>
      </c>
    </row>
    <row r="35" customFormat="false" ht="15" hidden="false" customHeight="false" outlineLevel="0" collapsed="false">
      <c r="A35" s="7" t="s">
        <v>94</v>
      </c>
      <c r="B35" s="7" t="s">
        <v>88</v>
      </c>
      <c r="C35" s="8" t="n">
        <v>4095</v>
      </c>
      <c r="D35" s="7" t="s">
        <v>92</v>
      </c>
      <c r="E35" s="7" t="n">
        <f aca="false">C35</f>
        <v>4095</v>
      </c>
      <c r="F35" s="7" t="s">
        <v>88</v>
      </c>
      <c r="G35" s="9" t="s">
        <v>95</v>
      </c>
    </row>
    <row r="36" customFormat="false" ht="15" hidden="false" customHeight="false" outlineLevel="0" collapsed="false">
      <c r="A36" s="7" t="s">
        <v>96</v>
      </c>
      <c r="B36" s="7" t="s">
        <v>88</v>
      </c>
      <c r="C36" s="8" t="n">
        <v>0</v>
      </c>
      <c r="D36" s="7" t="s">
        <v>19</v>
      </c>
      <c r="E36" s="7" t="n">
        <f aca="false">C36</f>
        <v>0</v>
      </c>
      <c r="F36" s="7" t="s">
        <v>88</v>
      </c>
      <c r="G36" s="9" t="s">
        <v>97</v>
      </c>
    </row>
    <row r="37" customFormat="false" ht="15" hidden="false" customHeight="false" outlineLevel="0" collapsed="false">
      <c r="A37" s="7" t="s">
        <v>98</v>
      </c>
      <c r="B37" s="7" t="s">
        <v>88</v>
      </c>
      <c r="C37" s="8" t="n">
        <v>1500</v>
      </c>
      <c r="D37" s="7" t="s">
        <v>92</v>
      </c>
      <c r="E37" s="7" t="n">
        <f aca="false">C37</f>
        <v>1500</v>
      </c>
      <c r="F37" s="7" t="s">
        <v>88</v>
      </c>
      <c r="G37" s="9" t="s">
        <v>99</v>
      </c>
    </row>
    <row r="38" customFormat="false" ht="15" hidden="false" customHeight="false" outlineLevel="0" collapsed="false">
      <c r="A38" s="7" t="s">
        <v>100</v>
      </c>
      <c r="B38" s="7" t="s">
        <v>88</v>
      </c>
      <c r="C38" s="8" t="n">
        <v>0</v>
      </c>
      <c r="D38" s="7" t="s">
        <v>92</v>
      </c>
      <c r="E38" s="7" t="n">
        <f aca="false">C38</f>
        <v>0</v>
      </c>
      <c r="F38" s="7" t="s">
        <v>88</v>
      </c>
      <c r="G38" s="9" t="s">
        <v>101</v>
      </c>
    </row>
    <row r="39" customFormat="false" ht="15" hidden="false" customHeight="false" outlineLevel="0" collapsed="false">
      <c r="A39" s="5" t="s">
        <v>102</v>
      </c>
      <c r="B39" s="6"/>
      <c r="C39" s="6"/>
      <c r="D39" s="6"/>
      <c r="E39" s="6"/>
      <c r="F39" s="6"/>
      <c r="G39" s="6"/>
    </row>
    <row r="40" customFormat="false" ht="15" hidden="false" customHeight="false" outlineLevel="0" collapsed="false">
      <c r="A40" s="7" t="s">
        <v>103</v>
      </c>
      <c r="B40" s="7" t="s">
        <v>88</v>
      </c>
      <c r="C40" s="10" t="n">
        <v>150</v>
      </c>
      <c r="D40" s="7" t="s">
        <v>104</v>
      </c>
      <c r="E40" s="7" t="n">
        <f aca="false">C40</f>
        <v>150</v>
      </c>
      <c r="F40" s="7" t="n">
        <v>150</v>
      </c>
      <c r="G40" s="9" t="s">
        <v>105</v>
      </c>
    </row>
    <row r="41" customFormat="false" ht="15" hidden="false" customHeight="false" outlineLevel="0" collapsed="false">
      <c r="A41" s="7" t="s">
        <v>106</v>
      </c>
      <c r="B41" s="7" t="s">
        <v>88</v>
      </c>
      <c r="C41" s="10" t="n">
        <v>150</v>
      </c>
      <c r="D41" s="7" t="s">
        <v>104</v>
      </c>
      <c r="E41" s="7" t="n">
        <f aca="false">C41</f>
        <v>150</v>
      </c>
      <c r="F41" s="7" t="n">
        <v>150</v>
      </c>
      <c r="G41" s="9" t="s">
        <v>107</v>
      </c>
    </row>
    <row r="43" customFormat="false" ht="15" hidden="false" customHeight="false" outlineLevel="0" collapsed="false">
      <c r="A43" s="11" t="s">
        <v>108</v>
      </c>
    </row>
    <row r="44" customFormat="false" ht="15" hidden="false" customHeight="false" outlineLevel="0" collapsed="false">
      <c r="A44" s="12" t="s">
        <v>109</v>
      </c>
      <c r="B44" s="12"/>
      <c r="C44" s="13" t="str">
        <f aca="false">IF(c_TRNGMAX&lt;=c_TRNGMIN,"OK","CHECK")</f>
        <v>OK</v>
      </c>
    </row>
    <row r="45" customFormat="false" ht="15" hidden="false" customHeight="false" outlineLevel="0" collapsed="false">
      <c r="A45" s="12" t="s">
        <v>110</v>
      </c>
      <c r="B45" s="12"/>
      <c r="C45" s="13" t="str">
        <f aca="false">IF(c_TRNGMIN&lt;=c_TFWD,"OK","CHECK")</f>
        <v>OK</v>
      </c>
    </row>
    <row r="46" customFormat="false" ht="15" hidden="false" customHeight="false" outlineLevel="0" collapsed="false">
      <c r="A46" s="12" t="s">
        <v>111</v>
      </c>
      <c r="B46" s="12"/>
      <c r="C46" s="13" t="str">
        <f aca="false">IF(c_TFWD&lt;=c_TMAP1IN,"OK","CHECK")</f>
        <v>OK</v>
      </c>
    </row>
    <row r="47" customFormat="false" ht="15" hidden="false" customHeight="false" outlineLevel="0" collapsed="false">
      <c r="A47" s="12" t="s">
        <v>112</v>
      </c>
      <c r="B47" s="12"/>
      <c r="C47" s="13" t="str">
        <f aca="false">IF(c_TFWD&lt;&gt;c_TMAP1IN,"OK","CHECK")</f>
        <v>OK</v>
      </c>
    </row>
    <row r="48" customFormat="false" ht="15" hidden="false" customHeight="false" outlineLevel="0" collapsed="false">
      <c r="A48" s="12" t="s">
        <v>113</v>
      </c>
      <c r="B48" s="12"/>
      <c r="C48" s="13" t="str">
        <f aca="false">IF(AND(c_TMAP1IN&lt;=c_TMAP2IN,c_TMAP2IN&lt;=c_TMAP3IN),"OK","CHECK")</f>
        <v>OK</v>
      </c>
    </row>
    <row r="49" customFormat="false" ht="15" hidden="false" customHeight="false" outlineLevel="0" collapsed="false">
      <c r="A49" s="12" t="s">
        <v>114</v>
      </c>
      <c r="B49" s="12"/>
      <c r="C49" s="13" t="str">
        <f aca="false">IF(AND(c_TMAP1OUT&lt;=c_TMAP2OUT,c_TMAP2OUT&lt;=c_TMAP3OUT),"OK","CHECK")</f>
        <v>OK</v>
      </c>
    </row>
    <row r="50" customFormat="false" ht="15" hidden="false" customHeight="false" outlineLevel="0" collapsed="false">
      <c r="A50" s="12" t="s">
        <v>115</v>
      </c>
      <c r="B50" s="12"/>
      <c r="C50" s="13" t="str">
        <f aca="false">IF(NOT(AND(c_TPOT=1,c_TTYPE=2)),"OK","CHECK")</f>
        <v>OK</v>
      </c>
    </row>
    <row r="51" customFormat="false" ht="15" hidden="false" customHeight="false" outlineLevel="0" collapsed="false">
      <c r="A51" s="12" t="s">
        <v>116</v>
      </c>
      <c r="B51" s="12"/>
      <c r="C51" s="13" t="str">
        <f aca="false">IF(c_T1MN&lt;&gt;c_T1MX,"OK","CHECK")</f>
        <v>OK</v>
      </c>
    </row>
    <row r="52" customFormat="false" ht="15" hidden="false" customHeight="false" outlineLevel="0" collapsed="false">
      <c r="A52" s="12" t="s">
        <v>117</v>
      </c>
      <c r="B52" s="12"/>
      <c r="C52" s="13" t="str">
        <f aca="false">IF(OR(c_TPOT=1,c_T2MN&lt;&gt;c_T2MX),"OK","CHECK")</f>
        <v>OK</v>
      </c>
    </row>
  </sheetData>
  <mergeCells count="10">
    <mergeCell ref="A2:G2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conditionalFormatting sqref="C44">
    <cfRule type="expression" priority="2" aboveAverage="0" equalAverage="0" bottom="0" percent="0" rank="0" text="" dxfId="0">
      <formula>C44="CHECK"</formula>
    </cfRule>
  </conditionalFormatting>
  <conditionalFormatting sqref="C45">
    <cfRule type="expression" priority="3" aboveAverage="0" equalAverage="0" bottom="0" percent="0" rank="0" text="" dxfId="0">
      <formula>C45="CHECK"</formula>
    </cfRule>
  </conditionalFormatting>
  <conditionalFormatting sqref="C46">
    <cfRule type="expression" priority="4" aboveAverage="0" equalAverage="0" bottom="0" percent="0" rank="0" text="" dxfId="0">
      <formula>C46="CHECK"</formula>
    </cfRule>
  </conditionalFormatting>
  <conditionalFormatting sqref="C47">
    <cfRule type="expression" priority="5" aboveAverage="0" equalAverage="0" bottom="0" percent="0" rank="0" text="" dxfId="0">
      <formula>C47="CHECK"</formula>
    </cfRule>
  </conditionalFormatting>
  <conditionalFormatting sqref="C48">
    <cfRule type="expression" priority="6" aboveAverage="0" equalAverage="0" bottom="0" percent="0" rank="0" text="" dxfId="0">
      <formula>C48="CHECK"</formula>
    </cfRule>
  </conditionalFormatting>
  <conditionalFormatting sqref="C49">
    <cfRule type="expression" priority="7" aboveAverage="0" equalAverage="0" bottom="0" percent="0" rank="0" text="" dxfId="0">
      <formula>C49="CHECK"</formula>
    </cfRule>
  </conditionalFormatting>
  <conditionalFormatting sqref="C50">
    <cfRule type="expression" priority="8" aboveAverage="0" equalAverage="0" bottom="0" percent="0" rank="0" text="" dxfId="0">
      <formula>C50="CHECK"</formula>
    </cfRule>
  </conditionalFormatting>
  <conditionalFormatting sqref="C51">
    <cfRule type="expression" priority="9" aboveAverage="0" equalAverage="0" bottom="0" percent="0" rank="0" text="" dxfId="0">
      <formula>C51="CHECK"</formula>
    </cfRule>
  </conditionalFormatting>
  <conditionalFormatting sqref="C52">
    <cfRule type="expression" priority="10" aboveAverage="0" equalAverage="0" bottom="0" percent="0" rank="0" text="" dxfId="0">
      <formula>C52="CHECK"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30"/>
  </cols>
  <sheetData>
    <row r="1" customFormat="false" ht="17.35" hidden="false" customHeight="false" outlineLevel="0" collapsed="false">
      <c r="B1" s="2" t="s">
        <v>118</v>
      </c>
    </row>
    <row r="3" customFormat="false" ht="15" hidden="false" customHeight="false" outlineLevel="0" collapsed="false">
      <c r="B3" s="14" t="s">
        <v>119</v>
      </c>
    </row>
    <row r="4" customFormat="false" ht="15" hidden="false" customHeight="false" outlineLevel="0" collapsed="false">
      <c r="B4" s="9" t="s">
        <v>120</v>
      </c>
    </row>
    <row r="5" customFormat="false" ht="23.85" hidden="false" customHeight="false" outlineLevel="0" collapsed="false">
      <c r="B5" s="9" t="s">
        <v>121</v>
      </c>
    </row>
    <row r="6" customFormat="false" ht="15" hidden="false" customHeight="false" outlineLevel="0" collapsed="false">
      <c r="B6" s="9" t="s">
        <v>122</v>
      </c>
    </row>
    <row r="7" customFormat="false" ht="23.85" hidden="false" customHeight="false" outlineLevel="0" collapsed="false">
      <c r="B7" s="9" t="s">
        <v>123</v>
      </c>
    </row>
    <row r="8" customFormat="false" ht="15" hidden="false" customHeight="false" outlineLevel="0" collapsed="false">
      <c r="B8" s="9" t="s">
        <v>124</v>
      </c>
    </row>
    <row r="9" customFormat="false" ht="15" hidden="false" customHeight="false" outlineLevel="0" collapsed="false">
      <c r="B9" s="14" t="s">
        <v>125</v>
      </c>
    </row>
    <row r="10" customFormat="false" ht="35.05" hidden="false" customHeight="false" outlineLevel="0" collapsed="false">
      <c r="B10" s="9" t="s">
        <v>126</v>
      </c>
    </row>
    <row r="11" customFormat="false" ht="35.05" hidden="false" customHeight="false" outlineLevel="0" collapsed="false">
      <c r="B11" s="9" t="s">
        <v>127</v>
      </c>
    </row>
    <row r="12" customFormat="false" ht="15" hidden="false" customHeight="false" outlineLevel="0" collapsed="false">
      <c r="B12" s="14" t="s">
        <v>128</v>
      </c>
    </row>
    <row r="13" customFormat="false" ht="23.85" hidden="false" customHeight="false" outlineLevel="0" collapsed="false">
      <c r="B13" s="9" t="s">
        <v>129</v>
      </c>
    </row>
    <row r="14" customFormat="false" ht="23.85" hidden="false" customHeight="false" outlineLevel="0" collapsed="false">
      <c r="B14" s="9" t="s">
        <v>130</v>
      </c>
    </row>
    <row r="15" customFormat="false" ht="15" hidden="false" customHeight="false" outlineLevel="0" collapsed="false">
      <c r="B15" s="9" t="s">
        <v>131</v>
      </c>
    </row>
    <row r="16" customFormat="false" ht="15" hidden="false" customHeight="false" outlineLevel="0" collapsed="false">
      <c r="B16" s="9" t="s">
        <v>132</v>
      </c>
    </row>
    <row r="17" customFormat="false" ht="23.85" hidden="false" customHeight="false" outlineLevel="0" collapsed="false">
      <c r="B17" s="9" t="s">
        <v>133</v>
      </c>
    </row>
    <row r="18" customFormat="false" ht="15" hidden="false" customHeight="false" outlineLevel="0" collapsed="false">
      <c r="B18" s="9" t="s">
        <v>134</v>
      </c>
    </row>
    <row r="19" customFormat="false" ht="15" hidden="false" customHeight="false" outlineLevel="0" collapsed="false">
      <c r="B19" s="9" t="s">
        <v>135</v>
      </c>
    </row>
    <row r="20" customFormat="false" ht="15" hidden="false" customHeight="false" outlineLevel="0" collapsed="false">
      <c r="B20" s="9" t="s">
        <v>136</v>
      </c>
    </row>
    <row r="21" customFormat="false" ht="35.05" hidden="false" customHeight="false" outlineLevel="0" collapsed="false">
      <c r="B21" s="9" t="s">
        <v>137</v>
      </c>
    </row>
    <row r="22" customFormat="false" ht="15" hidden="false" customHeight="false" outlineLevel="0" collapsed="false">
      <c r="B22" s="14" t="s">
        <v>138</v>
      </c>
    </row>
    <row r="23" customFormat="false" ht="23.85" hidden="false" customHeight="false" outlineLevel="0" collapsed="false">
      <c r="B23" s="9" t="s">
        <v>139</v>
      </c>
    </row>
    <row r="24" customFormat="false" ht="23.85" hidden="false" customHeight="false" outlineLevel="0" collapsed="false">
      <c r="B24" s="9" t="s">
        <v>140</v>
      </c>
    </row>
    <row r="25" customFormat="false" ht="15" hidden="false" customHeight="false" outlineLevel="0" collapsed="false">
      <c r="B25" s="14" t="s">
        <v>141</v>
      </c>
    </row>
    <row r="26" customFormat="false" ht="15" hidden="false" customHeight="false" outlineLevel="0" collapsed="false">
      <c r="B26" s="9" t="s">
        <v>142</v>
      </c>
    </row>
    <row r="27" customFormat="false" ht="15" hidden="false" customHeight="false" outlineLevel="0" collapsed="false">
      <c r="B27" s="9" t="s">
        <v>143</v>
      </c>
    </row>
    <row r="28" customFormat="false" ht="15" hidden="false" customHeight="false" outlineLevel="0" collapsed="false">
      <c r="B28" s="9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9"/>
    <col collapsed="false" customWidth="true" hidden="false" outlineLevel="0" max="7" min="3" style="1" width="12"/>
    <col collapsed="false" customWidth="true" hidden="false" outlineLevel="0" max="8" min="8" style="1" width="17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13"/>
    <col collapsed="false" customWidth="true" hidden="false" outlineLevel="0" max="12" min="12" style="1" width="10"/>
  </cols>
  <sheetData>
    <row r="1" customFormat="false" ht="17.35" hidden="false" customHeight="false" outlineLevel="0" collapsed="false">
      <c r="A1" s="2" t="s">
        <v>145</v>
      </c>
    </row>
    <row r="2" customFormat="false" ht="30" hidden="false" customHeight="true" outlineLevel="0" collapsed="false">
      <c r="A2" s="3" t="s">
        <v>146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42" hidden="false" customHeight="true" outlineLevel="0" collapsed="false">
      <c r="A4" s="4" t="s">
        <v>147</v>
      </c>
      <c r="B4" s="4" t="s">
        <v>148</v>
      </c>
      <c r="C4" s="4" t="s">
        <v>149</v>
      </c>
      <c r="D4" s="4" t="s">
        <v>150</v>
      </c>
      <c r="E4" s="4" t="s">
        <v>151</v>
      </c>
      <c r="F4" s="4" t="s">
        <v>152</v>
      </c>
      <c r="G4" s="4" t="s">
        <v>153</v>
      </c>
      <c r="H4" s="4" t="s">
        <v>154</v>
      </c>
      <c r="I4" s="4" t="s">
        <v>155</v>
      </c>
      <c r="J4" s="4" t="s">
        <v>156</v>
      </c>
      <c r="K4" s="4" t="s">
        <v>157</v>
      </c>
      <c r="L4" s="4" t="s">
        <v>158</v>
      </c>
    </row>
    <row r="5" customFormat="false" ht="15" hidden="false" customHeight="false" outlineLevel="0" collapsed="false">
      <c r="A5" s="7" t="n">
        <v>0</v>
      </c>
      <c r="B5" s="7" t="n">
        <f aca="false">A5/10</f>
        <v>0</v>
      </c>
      <c r="C5" s="7" t="n">
        <f aca="false">IF(AND(A5=0,c_TCREEP&gt;0),10*c_TCREEP,IF(AND(A5&lt;=c_TRNGMIN,A5&gt;=c_TRNGMAX,c_TRNGMIN-c_TRNGMAX&lt;&gt;0),-10*c_TMINRN+QUOTIENT((c_TMAXRN-c_TMINRN)*(100-QUOTIENT((A5-c_TRNGMAX)*100,c_TRNGMIN-c_TRNGMAX)),-10),0))</f>
        <v>-350</v>
      </c>
      <c r="D5" s="7" t="n">
        <f aca="false">IF(((c_TMAP1IN)-(c_TFWD))=0,(0)+QUOTIENT(((c_TMAP1OUT)-(0)),2),QUOTIENT((((A5)-(c_TFWD))*((c_TMAP1OUT)-(0))+IF(((c_TMAP1OUT)-(0))&gt;=0,1,-1)*QUOTIENT(((c_TMAP1IN)-(c_TFWD)),2)),((c_TMAP1IN)-(c_TFWD)))+(0)+IF(((c_TMAP1OUT)-(0))&gt;=0,IF(IF(o_WRAP=1,MOD(((c_TMAP1IN)-(c_TFWD))*(((A5)-(c_TFWD))*((c_TMAP1OUT)-(0))+IF(((c_TMAP1OUT)-(0))&gt;=0,1,-1)*QUOTIENT(((c_TMAP1IN)-(c_TFWD)),2))+2147483648,4294967296)-2147483648,((c_TMAP1IN)-(c_TFWD))*(((A5)-(c_TFWD))*((c_TMAP1OUT)-(0))+IF(((c_TMAP1OUT)-(0))&gt;=0,1,-1)*QUOTIENT(((c_TMAP1IN)-(c_TFWD)),2)))&lt;0,-1,0),IF(IF(o_WRAP=1,MOD(((c_TMAP1IN)-(c_TFWD))*(((A5)-(c_TFWD))*((c_TMAP1OUT)-(0))+IF(((c_TMAP1OUT)-(0))&gt;=0,1,-1)*QUOTIENT(((c_TMAP1IN)-(c_TFWD)),2))+2147483648,4294967296)-2147483648,((c_TMAP1IN)-(c_TFWD))*(((A5)-(c_TFWD))*((c_TMAP1OUT)-(0))+IF(((c_TMAP1OUT)-(0))&gt;=0,1,-1)*QUOTIENT(((c_TMAP1IN)-(c_TFWD)),2)))&gt;=0,1,0)))</f>
        <v>-8</v>
      </c>
      <c r="E5" s="7" t="n">
        <f aca="false">IF(((c_TMAP2IN)-(c_TMAP1IN))=0,(c_TMAP1OUT)+QUOTIENT(((c_TMAP2OUT)-(c_TMAP1OUT)),2),QUOTIENT((((A5)-(c_TMAP1IN))*((c_TMAP2OUT)-(c_TMAP1OUT))+IF(((c_TMAP2OUT)-(c_TMAP1OUT))&gt;=0,1,-1)*QUOTIENT(((c_TMAP2IN)-(c_TMAP1IN)),2)),((c_TMAP2IN)-(c_TMAP1IN)))+(c_TMAP1OUT)+IF(((c_TMAP2OUT)-(c_TMAP1OUT))&gt;=0,IF(IF(o_WRAP=1,MOD(((c_TMAP2IN)-(c_TMAP1IN))*(((A5)-(c_TMAP1IN))*((c_TMAP2OUT)-(c_TMAP1OUT))+IF(((c_TMAP2OUT)-(c_TMAP1OUT))&gt;=0,1,-1)*QUOTIENT(((c_TMAP2IN)-(c_TMAP1IN)),2))+2147483648,4294967296)-2147483648,((c_TMAP2IN)-(c_TMAP1IN))*(((A5)-(c_TMAP1IN))*((c_TMAP2OUT)-(c_TMAP1OUT))+IF(((c_TMAP2OUT)-(c_TMAP1OUT))&gt;=0,1,-1)*QUOTIENT(((c_TMAP2IN)-(c_TMAP1IN)),2)))&lt;0,-1,0),IF(IF(o_WRAP=1,MOD(((c_TMAP2IN)-(c_TMAP1IN))*(((A5)-(c_TMAP1IN))*((c_TMAP2OUT)-(c_TMAP1OUT))+IF(((c_TMAP2OUT)-(c_TMAP1OUT))&gt;=0,1,-1)*QUOTIENT(((c_TMAP2IN)-(c_TMAP1IN)),2))+2147483648,4294967296)-2147483648,((c_TMAP2IN)-(c_TMAP1IN))*(((A5)-(c_TMAP1IN))*((c_TMAP2OUT)-(c_TMAP1OUT))+IF(((c_TMAP2OUT)-(c_TMAP1OUT))&gt;=0,1,-1)*QUOTIENT(((c_TMAP2IN)-(c_TMAP1IN)),2)))&gt;=0,1,0)))</f>
        <v>30</v>
      </c>
      <c r="F5" s="7" t="n">
        <f aca="false">IF(((c_TMAP3IN)-(c_TMAP2IN))=0,(c_TMAP2OUT)+QUOTIENT(((c_TMAP3OUT)-(c_TMAP2OUT)),2),QUOTIENT((((A5)-(c_TMAP2IN))*((c_TMAP3OUT)-(c_TMAP2OUT))+IF(((c_TMAP3OUT)-(c_TMAP2OUT))&gt;=0,1,-1)*QUOTIENT(((c_TMAP3IN)-(c_TMAP2IN)),2)),((c_TMAP3IN)-(c_TMAP2IN)))+(c_TMAP2OUT)+IF(((c_TMAP3OUT)-(c_TMAP2OUT))&gt;=0,IF(IF(o_WRAP=1,MOD(((c_TMAP3IN)-(c_TMAP2IN))*(((A5)-(c_TMAP2IN))*((c_TMAP3OUT)-(c_TMAP2OUT))+IF(((c_TMAP3OUT)-(c_TMAP2OUT))&gt;=0,1,-1)*QUOTIENT(((c_TMAP3IN)-(c_TMAP2IN)),2))+2147483648,4294967296)-2147483648,((c_TMAP3IN)-(c_TMAP2IN))*(((A5)-(c_TMAP2IN))*((c_TMAP3OUT)-(c_TMAP2OUT))+IF(((c_TMAP3OUT)-(c_TMAP2OUT))&gt;=0,1,-1)*QUOTIENT(((c_TMAP3IN)-(c_TMAP2IN)),2)))&lt;0,-1,0),IF(IF(o_WRAP=1,MOD(((c_TMAP3IN)-(c_TMAP2IN))*(((A5)-(c_TMAP2IN))*((c_TMAP3OUT)-(c_TMAP2OUT))+IF(((c_TMAP3OUT)-(c_TMAP2OUT))&gt;=0,1,-1)*QUOTIENT(((c_TMAP3IN)-(c_TMAP2IN)),2))+2147483648,4294967296)-2147483648,((c_TMAP3IN)-(c_TMAP2IN))*(((A5)-(c_TMAP2IN))*((c_TMAP3OUT)-(c_TMAP2OUT))+IF(((c_TMAP3OUT)-(c_TMAP2OUT))&gt;=0,1,-1)*QUOTIENT(((c_TMAP3IN)-(c_TMAP2IN)),2)))&gt;=0,1,0)))</f>
        <v>-45</v>
      </c>
      <c r="G5" s="7" t="n">
        <f aca="false">IF(((1000)-(c_TMAP3IN))=0,(c_TMAP3OUT)+QUOTIENT(((1000)-(c_TMAP3OUT)),2),QUOTIENT((((A5)-(c_TMAP3IN))*((1000)-(c_TMAP3OUT))+IF(((1000)-(c_TMAP3OUT))&gt;=0,1,-1)*QUOTIENT(((1000)-(c_TMAP3IN)),2)),((1000)-(c_TMAP3IN)))+(c_TMAP3OUT)+IF(((1000)-(c_TMAP3OUT))&gt;=0,IF(IF(o_WRAP=1,MOD(((1000)-(c_TMAP3IN))*(((A5)-(c_TMAP3IN))*((1000)-(c_TMAP3OUT))+IF(((1000)-(c_TMAP3OUT))&gt;=0,1,-1)*QUOTIENT(((1000)-(c_TMAP3IN)),2))+2147483648,4294967296)-2147483648,((1000)-(c_TMAP3IN))*(((A5)-(c_TMAP3IN))*((1000)-(c_TMAP3OUT))+IF(((1000)-(c_TMAP3OUT))&gt;=0,1,-1)*QUOTIENT(((1000)-(c_TMAP3IN)),2)))&lt;0,-1,0),IF(IF(o_WRAP=1,MOD(((1000)-(c_TMAP3IN))*(((A5)-(c_TMAP3IN))*((1000)-(c_TMAP3OUT))+IF(((1000)-(c_TMAP3OUT))&gt;=0,1,-1)*QUOTIENT(((1000)-(c_TMAP3IN)),2))+2147483648,4294967296)-2147483648,((1000)-(c_TMAP3IN))*(((A5)-(c_TMAP3IN))*((1000)-(c_TMAP3OUT))+IF(((1000)-(c_TMAP3OUT))&gt;=0,1,-1)*QUOTIENT(((1000)-(c_TMAP3IN)),2)))&gt;=0,1,0)))</f>
        <v>-231</v>
      </c>
      <c r="H5" s="7" t="str">
        <f aca="false">IF(A5&gt;=c_TFWD,IF(AND(A5&gt;=c_TMAP3IN,c_TMAP3IN&lt;1000),"Seg4 map3-100%",IF(AND(A5&gt;=c_TMAP2IN,c_TMAP3IN&gt;c_TMAP2IN),"Seg3 map2-map3",IF(AND(A5&gt;=c_TMAP1IN,c_TMAP2IN&gt;c_TMAP1IN),"Seg2 map1-map2","Seg1 TFWD-map1"))),IF(AND(A5=0,c_TCREEP&gt;0),"Creep",IF(AND(A5&lt;=c_TRNGMIN,A5&gt;=c_TRNGMAX,c_TRNGMIN-c_TRNGMAX&lt;&gt;0),"Regen ramp","Coast (0)")))</f>
        <v>Regen ramp</v>
      </c>
      <c r="I5" s="7" t="n">
        <f aca="false">IF(A5&gt;=c_TFWD,IF(AND(A5&gt;=c_TMAP3IN,c_TMAP3IN&lt;1000),G5,IF(AND(A5&gt;=c_TMAP2IN,c_TMAP3IN&gt;c_TMAP2IN),F5,IF(AND(A5&gt;=c_TMAP1IN,c_TMAP2IN&gt;c_TMAP1IN),E5,D5))),C5)</f>
        <v>-350</v>
      </c>
      <c r="J5" s="7" t="str">
        <f aca="false">IF(I5&lt;-1090,"TOO LOW",IF(I5&gt;1090,"TOO HIGH",""))</f>
        <v/>
      </c>
      <c r="K5" s="15" t="n">
        <f aca="false">IF(J5&lt;&gt;"",0,IF(I5&gt;979,1000,I5))</f>
        <v>-350</v>
      </c>
      <c r="L5" s="7" t="n">
        <f aca="false">K5/10</f>
        <v>-35</v>
      </c>
    </row>
    <row r="6" customFormat="false" ht="15" hidden="false" customHeight="false" outlineLevel="0" collapsed="false">
      <c r="A6" s="7" t="n">
        <v>1</v>
      </c>
      <c r="B6" s="7" t="n">
        <f aca="false">A6/10</f>
        <v>0.1</v>
      </c>
      <c r="C6" s="7" t="n">
        <f aca="false">IF(AND(A6=0,c_TCREEP&gt;0),10*c_TCREEP,IF(AND(A6&lt;=c_TRNGMIN,A6&gt;=c_TRNGMAX,c_TRNGMIN-c_TRNGMAX&lt;&gt;0),-10*c_TMINRN+QUOTIENT((c_TMAXRN-c_TMINRN)*(100-QUOTIENT((A6-c_TRNGMAX)*100,c_TRNGMIN-c_TRNGMAX)),-10),0))</f>
        <v>-330</v>
      </c>
      <c r="D6" s="7" t="n">
        <f aca="false">IF(((c_TMAP1IN)-(c_TFWD))=0,(0)+QUOTIENT(((c_TMAP1OUT)-(0)),2),QUOTIENT((((A6)-(c_TFWD))*((c_TMAP1OUT)-(0))+IF(((c_TMAP1OUT)-(0))&gt;=0,1,-1)*QUOTIENT(((c_TMAP1IN)-(c_TFWD)),2)),((c_TMAP1IN)-(c_TFWD)))+(0)+IF(((c_TMAP1OUT)-(0))&gt;=0,IF(IF(o_WRAP=1,MOD(((c_TMAP1IN)-(c_TFWD))*(((A6)-(c_TFWD))*((c_TMAP1OUT)-(0))+IF(((c_TMAP1OUT)-(0))&gt;=0,1,-1)*QUOTIENT(((c_TMAP1IN)-(c_TFWD)),2))+2147483648,4294967296)-2147483648,((c_TMAP1IN)-(c_TFWD))*(((A6)-(c_TFWD))*((c_TMAP1OUT)-(0))+IF(((c_TMAP1OUT)-(0))&gt;=0,1,-1)*QUOTIENT(((c_TMAP1IN)-(c_TFWD)),2)))&lt;0,-1,0),IF(IF(o_WRAP=1,MOD(((c_TMAP1IN)-(c_TFWD))*(((A6)-(c_TFWD))*((c_TMAP1OUT)-(0))+IF(((c_TMAP1OUT)-(0))&gt;=0,1,-1)*QUOTIENT(((c_TMAP1IN)-(c_TFWD)),2))+2147483648,4294967296)-2147483648,((c_TMAP1IN)-(c_TFWD))*(((A6)-(c_TFWD))*((c_TMAP1OUT)-(0))+IF(((c_TMAP1OUT)-(0))&gt;=0,1,-1)*QUOTIENT(((c_TMAP1IN)-(c_TFWD)),2)))&gt;=0,1,0)))</f>
        <v>-7</v>
      </c>
      <c r="E6" s="7" t="n">
        <f aca="false">IF(((c_TMAP2IN)-(c_TMAP1IN))=0,(c_TMAP1OUT)+QUOTIENT(((c_TMAP2OUT)-(c_TMAP1OUT)),2),QUOTIENT((((A6)-(c_TMAP1IN))*((c_TMAP2OUT)-(c_TMAP1OUT))+IF(((c_TMAP2OUT)-(c_TMAP1OUT))&gt;=0,1,-1)*QUOTIENT(((c_TMAP2IN)-(c_TMAP1IN)),2)),((c_TMAP2IN)-(c_TMAP1IN)))+(c_TMAP1OUT)+IF(((c_TMAP2OUT)-(c_TMAP1OUT))&gt;=0,IF(IF(o_WRAP=1,MOD(((c_TMAP2IN)-(c_TMAP1IN))*(((A6)-(c_TMAP1IN))*((c_TMAP2OUT)-(c_TMAP1OUT))+IF(((c_TMAP2OUT)-(c_TMAP1OUT))&gt;=0,1,-1)*QUOTIENT(((c_TMAP2IN)-(c_TMAP1IN)),2))+2147483648,4294967296)-2147483648,((c_TMAP2IN)-(c_TMAP1IN))*(((A6)-(c_TMAP1IN))*((c_TMAP2OUT)-(c_TMAP1OUT))+IF(((c_TMAP2OUT)-(c_TMAP1OUT))&gt;=0,1,-1)*QUOTIENT(((c_TMAP2IN)-(c_TMAP1IN)),2)))&lt;0,-1,0),IF(IF(o_WRAP=1,MOD(((c_TMAP2IN)-(c_TMAP1IN))*(((A6)-(c_TMAP1IN))*((c_TMAP2OUT)-(c_TMAP1OUT))+IF(((c_TMAP2OUT)-(c_TMAP1OUT))&gt;=0,1,-1)*QUOTIENT(((c_TMAP2IN)-(c_TMAP1IN)),2))+2147483648,4294967296)-2147483648,((c_TMAP2IN)-(c_TMAP1IN))*(((A6)-(c_TMAP1IN))*((c_TMAP2OUT)-(c_TMAP1OUT))+IF(((c_TMAP2OUT)-(c_TMAP1OUT))&gt;=0,1,-1)*QUOTIENT(((c_TMAP2IN)-(c_TMAP1IN)),2)))&gt;=0,1,0)))</f>
        <v>30</v>
      </c>
      <c r="F6" s="7" t="n">
        <f aca="false">IF(((c_TMAP3IN)-(c_TMAP2IN))=0,(c_TMAP2OUT)+QUOTIENT(((c_TMAP3OUT)-(c_TMAP2OUT)),2),QUOTIENT((((A6)-(c_TMAP2IN))*((c_TMAP3OUT)-(c_TMAP2OUT))+IF(((c_TMAP3OUT)-(c_TMAP2OUT))&gt;=0,1,-1)*QUOTIENT(((c_TMAP3IN)-(c_TMAP2IN)),2)),((c_TMAP3IN)-(c_TMAP2IN)))+(c_TMAP2OUT)+IF(((c_TMAP3OUT)-(c_TMAP2OUT))&gt;=0,IF(IF(o_WRAP=1,MOD(((c_TMAP3IN)-(c_TMAP2IN))*(((A6)-(c_TMAP2IN))*((c_TMAP3OUT)-(c_TMAP2OUT))+IF(((c_TMAP3OUT)-(c_TMAP2OUT))&gt;=0,1,-1)*QUOTIENT(((c_TMAP3IN)-(c_TMAP2IN)),2))+2147483648,4294967296)-2147483648,((c_TMAP3IN)-(c_TMAP2IN))*(((A6)-(c_TMAP2IN))*((c_TMAP3OUT)-(c_TMAP2OUT))+IF(((c_TMAP3OUT)-(c_TMAP2OUT))&gt;=0,1,-1)*QUOTIENT(((c_TMAP3IN)-(c_TMAP2IN)),2)))&lt;0,-1,0),IF(IF(o_WRAP=1,MOD(((c_TMAP3IN)-(c_TMAP2IN))*(((A6)-(c_TMAP2IN))*((c_TMAP3OUT)-(c_TMAP2OUT))+IF(((c_TMAP3OUT)-(c_TMAP2OUT))&gt;=0,1,-1)*QUOTIENT(((c_TMAP3IN)-(c_TMAP2IN)),2))+2147483648,4294967296)-2147483648,((c_TMAP3IN)-(c_TMAP2IN))*(((A6)-(c_TMAP2IN))*((c_TMAP3OUT)-(c_TMAP2OUT))+IF(((c_TMAP3OUT)-(c_TMAP2OUT))&gt;=0,1,-1)*QUOTIENT(((c_TMAP3IN)-(c_TMAP2IN)),2)))&gt;=0,1,0)))</f>
        <v>-44</v>
      </c>
      <c r="G6" s="7" t="n">
        <f aca="false">IF(((1000)-(c_TMAP3IN))=0,(c_TMAP3OUT)+QUOTIENT(((1000)-(c_TMAP3OUT)),2),QUOTIENT((((A6)-(c_TMAP3IN))*((1000)-(c_TMAP3OUT))+IF(((1000)-(c_TMAP3OUT))&gt;=0,1,-1)*QUOTIENT(((1000)-(c_TMAP3IN)),2)),((1000)-(c_TMAP3IN)))+(c_TMAP3OUT)+IF(((1000)-(c_TMAP3OUT))&gt;=0,IF(IF(o_WRAP=1,MOD(((1000)-(c_TMAP3IN))*(((A6)-(c_TMAP3IN))*((1000)-(c_TMAP3OUT))+IF(((1000)-(c_TMAP3OUT))&gt;=0,1,-1)*QUOTIENT(((1000)-(c_TMAP3IN)),2))+2147483648,4294967296)-2147483648,((1000)-(c_TMAP3IN))*(((A6)-(c_TMAP3IN))*((1000)-(c_TMAP3OUT))+IF(((1000)-(c_TMAP3OUT))&gt;=0,1,-1)*QUOTIENT(((1000)-(c_TMAP3IN)),2)))&lt;0,-1,0),IF(IF(o_WRAP=1,MOD(((1000)-(c_TMAP3IN))*(((A6)-(c_TMAP3IN))*((1000)-(c_TMAP3OUT))+IF(((1000)-(c_TMAP3OUT))&gt;=0,1,-1)*QUOTIENT(((1000)-(c_TMAP3IN)),2))+2147483648,4294967296)-2147483648,((1000)-(c_TMAP3IN))*(((A6)-(c_TMAP3IN))*((1000)-(c_TMAP3OUT))+IF(((1000)-(c_TMAP3OUT))&gt;=0,1,-1)*QUOTIENT(((1000)-(c_TMAP3IN)),2)))&gt;=0,1,0)))</f>
        <v>-230</v>
      </c>
      <c r="H6" s="7" t="str">
        <f aca="false">IF(A6&gt;=c_TFWD,IF(AND(A6&gt;=c_TMAP3IN,c_TMAP3IN&lt;1000),"Seg4 map3-100%",IF(AND(A6&gt;=c_TMAP2IN,c_TMAP3IN&gt;c_TMAP2IN),"Seg3 map2-map3",IF(AND(A6&gt;=c_TMAP1IN,c_TMAP2IN&gt;c_TMAP1IN),"Seg2 map1-map2","Seg1 TFWD-map1"))),IF(AND(A6=0,c_TCREEP&gt;0),"Creep",IF(AND(A6&lt;=c_TRNGMIN,A6&gt;=c_TRNGMAX,c_TRNGMIN-c_TRNGMAX&lt;&gt;0),"Regen ramp","Coast (0)")))</f>
        <v>Regen ramp</v>
      </c>
      <c r="I6" s="7" t="n">
        <f aca="false">IF(A6&gt;=c_TFWD,IF(AND(A6&gt;=c_TMAP3IN,c_TMAP3IN&lt;1000),G6,IF(AND(A6&gt;=c_TMAP2IN,c_TMAP3IN&gt;c_TMAP2IN),F6,IF(AND(A6&gt;=c_TMAP1IN,c_TMAP2IN&gt;c_TMAP1IN),E6,D6))),C6)</f>
        <v>-330</v>
      </c>
      <c r="J6" s="7" t="str">
        <f aca="false">IF(I6&lt;-1090,"TOO LOW",IF(I6&gt;1090,"TOO HIGH",""))</f>
        <v/>
      </c>
      <c r="K6" s="15" t="n">
        <f aca="false">IF(J6&lt;&gt;"",0,IF(I6&gt;979,1000,I6))</f>
        <v>-330</v>
      </c>
      <c r="L6" s="7" t="n">
        <f aca="false">K6/10</f>
        <v>-33</v>
      </c>
    </row>
    <row r="7" customFormat="false" ht="15" hidden="false" customHeight="false" outlineLevel="0" collapsed="false">
      <c r="A7" s="7" t="n">
        <v>2</v>
      </c>
      <c r="B7" s="7" t="n">
        <f aca="false">A7/10</f>
        <v>0.2</v>
      </c>
      <c r="C7" s="7" t="n">
        <f aca="false">IF(AND(A7=0,c_TCREEP&gt;0),10*c_TCREEP,IF(AND(A7&lt;=c_TRNGMIN,A7&gt;=c_TRNGMAX,c_TRNGMIN-c_TRNGMAX&lt;&gt;0),-10*c_TMINRN+QUOTIENT((c_TMAXRN-c_TMINRN)*(100-QUOTIENT((A7-c_TRNGMAX)*100,c_TRNGMIN-c_TRNGMAX)),-10),0))</f>
        <v>-310</v>
      </c>
      <c r="D7" s="7" t="n">
        <f aca="false">IF(((c_TMAP1IN)-(c_TFWD))=0,(0)+QUOTIENT(((c_TMAP1OUT)-(0)),2),QUOTIENT((((A7)-(c_TFWD))*((c_TMAP1OUT)-(0))+IF(((c_TMAP1OUT)-(0))&gt;=0,1,-1)*QUOTIENT(((c_TMAP1IN)-(c_TFWD)),2)),((c_TMAP1IN)-(c_TFWD)))+(0)+IF(((c_TMAP1OUT)-(0))&gt;=0,IF(IF(o_WRAP=1,MOD(((c_TMAP1IN)-(c_TFWD))*(((A7)-(c_TFWD))*((c_TMAP1OUT)-(0))+IF(((c_TMAP1OUT)-(0))&gt;=0,1,-1)*QUOTIENT(((c_TMAP1IN)-(c_TFWD)),2))+2147483648,4294967296)-2147483648,((c_TMAP1IN)-(c_TFWD))*(((A7)-(c_TFWD))*((c_TMAP1OUT)-(0))+IF(((c_TMAP1OUT)-(0))&gt;=0,1,-1)*QUOTIENT(((c_TMAP1IN)-(c_TFWD)),2)))&lt;0,-1,0),IF(IF(o_WRAP=1,MOD(((c_TMAP1IN)-(c_TFWD))*(((A7)-(c_TFWD))*((c_TMAP1OUT)-(0))+IF(((c_TMAP1OUT)-(0))&gt;=0,1,-1)*QUOTIENT(((c_TMAP1IN)-(c_TFWD)),2))+2147483648,4294967296)-2147483648,((c_TMAP1IN)-(c_TFWD))*(((A7)-(c_TFWD))*((c_TMAP1OUT)-(0))+IF(((c_TMAP1OUT)-(0))&gt;=0,1,-1)*QUOTIENT(((c_TMAP1IN)-(c_TFWD)),2)))&gt;=0,1,0)))</f>
        <v>-6</v>
      </c>
      <c r="E7" s="7" t="n">
        <f aca="false">IF(((c_TMAP2IN)-(c_TMAP1IN))=0,(c_TMAP1OUT)+QUOTIENT(((c_TMAP2OUT)-(c_TMAP1OUT)),2),QUOTIENT((((A7)-(c_TMAP1IN))*((c_TMAP2OUT)-(c_TMAP1OUT))+IF(((c_TMAP2OUT)-(c_TMAP1OUT))&gt;=0,1,-1)*QUOTIENT(((c_TMAP2IN)-(c_TMAP1IN)),2)),((c_TMAP2IN)-(c_TMAP1IN)))+(c_TMAP1OUT)+IF(((c_TMAP2OUT)-(c_TMAP1OUT))&gt;=0,IF(IF(o_WRAP=1,MOD(((c_TMAP2IN)-(c_TMAP1IN))*(((A7)-(c_TMAP1IN))*((c_TMAP2OUT)-(c_TMAP1OUT))+IF(((c_TMAP2OUT)-(c_TMAP1OUT))&gt;=0,1,-1)*QUOTIENT(((c_TMAP2IN)-(c_TMAP1IN)),2))+2147483648,4294967296)-2147483648,((c_TMAP2IN)-(c_TMAP1IN))*(((A7)-(c_TMAP1IN))*((c_TMAP2OUT)-(c_TMAP1OUT))+IF(((c_TMAP2OUT)-(c_TMAP1OUT))&gt;=0,1,-1)*QUOTIENT(((c_TMAP2IN)-(c_TMAP1IN)),2)))&lt;0,-1,0),IF(IF(o_WRAP=1,MOD(((c_TMAP2IN)-(c_TMAP1IN))*(((A7)-(c_TMAP1IN))*((c_TMAP2OUT)-(c_TMAP1OUT))+IF(((c_TMAP2OUT)-(c_TMAP1OUT))&gt;=0,1,-1)*QUOTIENT(((c_TMAP2IN)-(c_TMAP1IN)),2))+2147483648,4294967296)-2147483648,((c_TMAP2IN)-(c_TMAP1IN))*(((A7)-(c_TMAP1IN))*((c_TMAP2OUT)-(c_TMAP1OUT))+IF(((c_TMAP2OUT)-(c_TMAP1OUT))&gt;=0,1,-1)*QUOTIENT(((c_TMAP2IN)-(c_TMAP1IN)),2)))&gt;=0,1,0)))</f>
        <v>31</v>
      </c>
      <c r="F7" s="7" t="n">
        <f aca="false">IF(((c_TMAP3IN)-(c_TMAP2IN))=0,(c_TMAP2OUT)+QUOTIENT(((c_TMAP3OUT)-(c_TMAP2OUT)),2),QUOTIENT((((A7)-(c_TMAP2IN))*((c_TMAP3OUT)-(c_TMAP2OUT))+IF(((c_TMAP3OUT)-(c_TMAP2OUT))&gt;=0,1,-1)*QUOTIENT(((c_TMAP3IN)-(c_TMAP2IN)),2)),((c_TMAP3IN)-(c_TMAP2IN)))+(c_TMAP2OUT)+IF(((c_TMAP3OUT)-(c_TMAP2OUT))&gt;=0,IF(IF(o_WRAP=1,MOD(((c_TMAP3IN)-(c_TMAP2IN))*(((A7)-(c_TMAP2IN))*((c_TMAP3OUT)-(c_TMAP2OUT))+IF(((c_TMAP3OUT)-(c_TMAP2OUT))&gt;=0,1,-1)*QUOTIENT(((c_TMAP3IN)-(c_TMAP2IN)),2))+2147483648,4294967296)-2147483648,((c_TMAP3IN)-(c_TMAP2IN))*(((A7)-(c_TMAP2IN))*((c_TMAP3OUT)-(c_TMAP2OUT))+IF(((c_TMAP3OUT)-(c_TMAP2OUT))&gt;=0,1,-1)*QUOTIENT(((c_TMAP3IN)-(c_TMAP2IN)),2)))&lt;0,-1,0),IF(IF(o_WRAP=1,MOD(((c_TMAP3IN)-(c_TMAP2IN))*(((A7)-(c_TMAP2IN))*((c_TMAP3OUT)-(c_TMAP2OUT))+IF(((c_TMAP3OUT)-(c_TMAP2OUT))&gt;=0,1,-1)*QUOTIENT(((c_TMAP3IN)-(c_TMAP2IN)),2))+2147483648,4294967296)-2147483648,((c_TMAP3IN)-(c_TMAP2IN))*(((A7)-(c_TMAP2IN))*((c_TMAP3OUT)-(c_TMAP2OUT))+IF(((c_TMAP3OUT)-(c_TMAP2OUT))&gt;=0,1,-1)*QUOTIENT(((c_TMAP3IN)-(c_TMAP2IN)),2)))&gt;=0,1,0)))</f>
        <v>-44</v>
      </c>
      <c r="G7" s="7" t="n">
        <f aca="false">IF(((1000)-(c_TMAP3IN))=0,(c_TMAP3OUT)+QUOTIENT(((1000)-(c_TMAP3OUT)),2),QUOTIENT((((A7)-(c_TMAP3IN))*((1000)-(c_TMAP3OUT))+IF(((1000)-(c_TMAP3OUT))&gt;=0,1,-1)*QUOTIENT(((1000)-(c_TMAP3IN)),2)),((1000)-(c_TMAP3IN)))+(c_TMAP3OUT)+IF(((1000)-(c_TMAP3OUT))&gt;=0,IF(IF(o_WRAP=1,MOD(((1000)-(c_TMAP3IN))*(((A7)-(c_TMAP3IN))*((1000)-(c_TMAP3OUT))+IF(((1000)-(c_TMAP3OUT))&gt;=0,1,-1)*QUOTIENT(((1000)-(c_TMAP3IN)),2))+2147483648,4294967296)-2147483648,((1000)-(c_TMAP3IN))*(((A7)-(c_TMAP3IN))*((1000)-(c_TMAP3OUT))+IF(((1000)-(c_TMAP3OUT))&gt;=0,1,-1)*QUOTIENT(((1000)-(c_TMAP3IN)),2)))&lt;0,-1,0),IF(IF(o_WRAP=1,MOD(((1000)-(c_TMAP3IN))*(((A7)-(c_TMAP3IN))*((1000)-(c_TMAP3OUT))+IF(((1000)-(c_TMAP3OUT))&gt;=0,1,-1)*QUOTIENT(((1000)-(c_TMAP3IN)),2))+2147483648,4294967296)-2147483648,((1000)-(c_TMAP3IN))*(((A7)-(c_TMAP3IN))*((1000)-(c_TMAP3OUT))+IF(((1000)-(c_TMAP3OUT))&gt;=0,1,-1)*QUOTIENT(((1000)-(c_TMAP3IN)),2)))&gt;=0,1,0)))</f>
        <v>-228</v>
      </c>
      <c r="H7" s="7" t="str">
        <f aca="false">IF(A7&gt;=c_TFWD,IF(AND(A7&gt;=c_TMAP3IN,c_TMAP3IN&lt;1000),"Seg4 map3-100%",IF(AND(A7&gt;=c_TMAP2IN,c_TMAP3IN&gt;c_TMAP2IN),"Seg3 map2-map3",IF(AND(A7&gt;=c_TMAP1IN,c_TMAP2IN&gt;c_TMAP1IN),"Seg2 map1-map2","Seg1 TFWD-map1"))),IF(AND(A7=0,c_TCREEP&gt;0),"Creep",IF(AND(A7&lt;=c_TRNGMIN,A7&gt;=c_TRNGMAX,c_TRNGMIN-c_TRNGMAX&lt;&gt;0),"Regen ramp","Coast (0)")))</f>
        <v>Regen ramp</v>
      </c>
      <c r="I7" s="7" t="n">
        <f aca="false">IF(A7&gt;=c_TFWD,IF(AND(A7&gt;=c_TMAP3IN,c_TMAP3IN&lt;1000),G7,IF(AND(A7&gt;=c_TMAP2IN,c_TMAP3IN&gt;c_TMAP2IN),F7,IF(AND(A7&gt;=c_TMAP1IN,c_TMAP2IN&gt;c_TMAP1IN),E7,D7))),C7)</f>
        <v>-310</v>
      </c>
      <c r="J7" s="7" t="str">
        <f aca="false">IF(I7&lt;-1090,"TOO LOW",IF(I7&gt;1090,"TOO HIGH",""))</f>
        <v/>
      </c>
      <c r="K7" s="15" t="n">
        <f aca="false">IF(J7&lt;&gt;"",0,IF(I7&gt;979,1000,I7))</f>
        <v>-310</v>
      </c>
      <c r="L7" s="7" t="n">
        <f aca="false">K7/10</f>
        <v>-31</v>
      </c>
    </row>
    <row r="8" customFormat="false" ht="15" hidden="false" customHeight="false" outlineLevel="0" collapsed="false">
      <c r="A8" s="7" t="n">
        <v>3</v>
      </c>
      <c r="B8" s="7" t="n">
        <f aca="false">A8/10</f>
        <v>0.3</v>
      </c>
      <c r="C8" s="7" t="n">
        <f aca="false">IF(AND(A8=0,c_TCREEP&gt;0),10*c_TCREEP,IF(AND(A8&lt;=c_TRNGMIN,A8&gt;=c_TRNGMAX,c_TRNGMIN-c_TRNGMAX&lt;&gt;0),-10*c_TMINRN+QUOTIENT((c_TMAXRN-c_TMINRN)*(100-QUOTIENT((A8-c_TRNGMAX)*100,c_TRNGMIN-c_TRNGMAX)),-10),0))</f>
        <v>-290</v>
      </c>
      <c r="D8" s="7" t="n">
        <f aca="false">IF(((c_TMAP1IN)-(c_TFWD))=0,(0)+QUOTIENT(((c_TMAP1OUT)-(0)),2),QUOTIENT((((A8)-(c_TFWD))*((c_TMAP1OUT)-(0))+IF(((c_TMAP1OUT)-(0))&gt;=0,1,-1)*QUOTIENT(((c_TMAP1IN)-(c_TFWD)),2)),((c_TMAP1IN)-(c_TFWD)))+(0)+IF(((c_TMAP1OUT)-(0))&gt;=0,IF(IF(o_WRAP=1,MOD(((c_TMAP1IN)-(c_TFWD))*(((A8)-(c_TFWD))*((c_TMAP1OUT)-(0))+IF(((c_TMAP1OUT)-(0))&gt;=0,1,-1)*QUOTIENT(((c_TMAP1IN)-(c_TFWD)),2))+2147483648,4294967296)-2147483648,((c_TMAP1IN)-(c_TFWD))*(((A8)-(c_TFWD))*((c_TMAP1OUT)-(0))+IF(((c_TMAP1OUT)-(0))&gt;=0,1,-1)*QUOTIENT(((c_TMAP1IN)-(c_TFWD)),2)))&lt;0,-1,0),IF(IF(o_WRAP=1,MOD(((c_TMAP1IN)-(c_TFWD))*(((A8)-(c_TFWD))*((c_TMAP1OUT)-(0))+IF(((c_TMAP1OUT)-(0))&gt;=0,1,-1)*QUOTIENT(((c_TMAP1IN)-(c_TFWD)),2))+2147483648,4294967296)-2147483648,((c_TMAP1IN)-(c_TFWD))*(((A8)-(c_TFWD))*((c_TMAP1OUT)-(0))+IF(((c_TMAP1OUT)-(0))&gt;=0,1,-1)*QUOTIENT(((c_TMAP1IN)-(c_TFWD)),2)))&gt;=0,1,0)))</f>
        <v>-5</v>
      </c>
      <c r="E8" s="7" t="n">
        <f aca="false">IF(((c_TMAP2IN)-(c_TMAP1IN))=0,(c_TMAP1OUT)+QUOTIENT(((c_TMAP2OUT)-(c_TMAP1OUT)),2),QUOTIENT((((A8)-(c_TMAP1IN))*((c_TMAP2OUT)-(c_TMAP1OUT))+IF(((c_TMAP2OUT)-(c_TMAP1OUT))&gt;=0,1,-1)*QUOTIENT(((c_TMAP2IN)-(c_TMAP1IN)),2)),((c_TMAP2IN)-(c_TMAP1IN)))+(c_TMAP1OUT)+IF(((c_TMAP2OUT)-(c_TMAP1OUT))&gt;=0,IF(IF(o_WRAP=1,MOD(((c_TMAP2IN)-(c_TMAP1IN))*(((A8)-(c_TMAP1IN))*((c_TMAP2OUT)-(c_TMAP1OUT))+IF(((c_TMAP2OUT)-(c_TMAP1OUT))&gt;=0,1,-1)*QUOTIENT(((c_TMAP2IN)-(c_TMAP1IN)),2))+2147483648,4294967296)-2147483648,((c_TMAP2IN)-(c_TMAP1IN))*(((A8)-(c_TMAP1IN))*((c_TMAP2OUT)-(c_TMAP1OUT))+IF(((c_TMAP2OUT)-(c_TMAP1OUT))&gt;=0,1,-1)*QUOTIENT(((c_TMAP2IN)-(c_TMAP1IN)),2)))&lt;0,-1,0),IF(IF(o_WRAP=1,MOD(((c_TMAP2IN)-(c_TMAP1IN))*(((A8)-(c_TMAP1IN))*((c_TMAP2OUT)-(c_TMAP1OUT))+IF(((c_TMAP2OUT)-(c_TMAP1OUT))&gt;=0,1,-1)*QUOTIENT(((c_TMAP2IN)-(c_TMAP1IN)),2))+2147483648,4294967296)-2147483648,((c_TMAP2IN)-(c_TMAP1IN))*(((A8)-(c_TMAP1IN))*((c_TMAP2OUT)-(c_TMAP1OUT))+IF(((c_TMAP2OUT)-(c_TMAP1OUT))&gt;=0,1,-1)*QUOTIENT(((c_TMAP2IN)-(c_TMAP1IN)),2)))&gt;=0,1,0)))</f>
        <v>31</v>
      </c>
      <c r="F8" s="7" t="n">
        <f aca="false">IF(((c_TMAP3IN)-(c_TMAP2IN))=0,(c_TMAP2OUT)+QUOTIENT(((c_TMAP3OUT)-(c_TMAP2OUT)),2),QUOTIENT((((A8)-(c_TMAP2IN))*((c_TMAP3OUT)-(c_TMAP2OUT))+IF(((c_TMAP3OUT)-(c_TMAP2OUT))&gt;=0,1,-1)*QUOTIENT(((c_TMAP3IN)-(c_TMAP2IN)),2)),((c_TMAP3IN)-(c_TMAP2IN)))+(c_TMAP2OUT)+IF(((c_TMAP3OUT)-(c_TMAP2OUT))&gt;=0,IF(IF(o_WRAP=1,MOD(((c_TMAP3IN)-(c_TMAP2IN))*(((A8)-(c_TMAP2IN))*((c_TMAP3OUT)-(c_TMAP2OUT))+IF(((c_TMAP3OUT)-(c_TMAP2OUT))&gt;=0,1,-1)*QUOTIENT(((c_TMAP3IN)-(c_TMAP2IN)),2))+2147483648,4294967296)-2147483648,((c_TMAP3IN)-(c_TMAP2IN))*(((A8)-(c_TMAP2IN))*((c_TMAP3OUT)-(c_TMAP2OUT))+IF(((c_TMAP3OUT)-(c_TMAP2OUT))&gt;=0,1,-1)*QUOTIENT(((c_TMAP3IN)-(c_TMAP2IN)),2)))&lt;0,-1,0),IF(IF(o_WRAP=1,MOD(((c_TMAP3IN)-(c_TMAP2IN))*(((A8)-(c_TMAP2IN))*((c_TMAP3OUT)-(c_TMAP2OUT))+IF(((c_TMAP3OUT)-(c_TMAP2OUT))&gt;=0,1,-1)*QUOTIENT(((c_TMAP3IN)-(c_TMAP2IN)),2))+2147483648,4294967296)-2147483648,((c_TMAP3IN)-(c_TMAP2IN))*(((A8)-(c_TMAP2IN))*((c_TMAP3OUT)-(c_TMAP2OUT))+IF(((c_TMAP3OUT)-(c_TMAP2OUT))&gt;=0,1,-1)*QUOTIENT(((c_TMAP3IN)-(c_TMAP2IN)),2)))&gt;=0,1,0)))</f>
        <v>-43</v>
      </c>
      <c r="G8" s="7" t="n">
        <f aca="false">IF(((1000)-(c_TMAP3IN))=0,(c_TMAP3OUT)+QUOTIENT(((1000)-(c_TMAP3OUT)),2),QUOTIENT((((A8)-(c_TMAP3IN))*((1000)-(c_TMAP3OUT))+IF(((1000)-(c_TMAP3OUT))&gt;=0,1,-1)*QUOTIENT(((1000)-(c_TMAP3IN)),2)),((1000)-(c_TMAP3IN)))+(c_TMAP3OUT)+IF(((1000)-(c_TMAP3OUT))&gt;=0,IF(IF(o_WRAP=1,MOD(((1000)-(c_TMAP3IN))*(((A8)-(c_TMAP3IN))*((1000)-(c_TMAP3OUT))+IF(((1000)-(c_TMAP3OUT))&gt;=0,1,-1)*QUOTIENT(((1000)-(c_TMAP3IN)),2))+2147483648,4294967296)-2147483648,((1000)-(c_TMAP3IN))*(((A8)-(c_TMAP3IN))*((1000)-(c_TMAP3OUT))+IF(((1000)-(c_TMAP3OUT))&gt;=0,1,-1)*QUOTIENT(((1000)-(c_TMAP3IN)),2)))&lt;0,-1,0),IF(IF(o_WRAP=1,MOD(((1000)-(c_TMAP3IN))*(((A8)-(c_TMAP3IN))*((1000)-(c_TMAP3OUT))+IF(((1000)-(c_TMAP3OUT))&gt;=0,1,-1)*QUOTIENT(((1000)-(c_TMAP3IN)),2))+2147483648,4294967296)-2147483648,((1000)-(c_TMAP3IN))*(((A8)-(c_TMAP3IN))*((1000)-(c_TMAP3OUT))+IF(((1000)-(c_TMAP3OUT))&gt;=0,1,-1)*QUOTIENT(((1000)-(c_TMAP3IN)),2)))&gt;=0,1,0)))</f>
        <v>-227</v>
      </c>
      <c r="H8" s="7" t="str">
        <f aca="false">IF(A8&gt;=c_TFWD,IF(AND(A8&gt;=c_TMAP3IN,c_TMAP3IN&lt;1000),"Seg4 map3-100%",IF(AND(A8&gt;=c_TMAP2IN,c_TMAP3IN&gt;c_TMAP2IN),"Seg3 map2-map3",IF(AND(A8&gt;=c_TMAP1IN,c_TMAP2IN&gt;c_TMAP1IN),"Seg2 map1-map2","Seg1 TFWD-map1"))),IF(AND(A8=0,c_TCREEP&gt;0),"Creep",IF(AND(A8&lt;=c_TRNGMIN,A8&gt;=c_TRNGMAX,c_TRNGMIN-c_TRNGMAX&lt;&gt;0),"Regen ramp","Coast (0)")))</f>
        <v>Regen ramp</v>
      </c>
      <c r="I8" s="7" t="n">
        <f aca="false">IF(A8&gt;=c_TFWD,IF(AND(A8&gt;=c_TMAP3IN,c_TMAP3IN&lt;1000),G8,IF(AND(A8&gt;=c_TMAP2IN,c_TMAP3IN&gt;c_TMAP2IN),F8,IF(AND(A8&gt;=c_TMAP1IN,c_TMAP2IN&gt;c_TMAP1IN),E8,D8))),C8)</f>
        <v>-290</v>
      </c>
      <c r="J8" s="7" t="str">
        <f aca="false">IF(I8&lt;-1090,"TOO LOW",IF(I8&gt;1090,"TOO HIGH",""))</f>
        <v/>
      </c>
      <c r="K8" s="15" t="n">
        <f aca="false">IF(J8&lt;&gt;"",0,IF(I8&gt;979,1000,I8))</f>
        <v>-290</v>
      </c>
      <c r="L8" s="7" t="n">
        <f aca="false">K8/10</f>
        <v>-29</v>
      </c>
    </row>
    <row r="9" customFormat="false" ht="15" hidden="false" customHeight="false" outlineLevel="0" collapsed="false">
      <c r="A9" s="7" t="n">
        <v>4</v>
      </c>
      <c r="B9" s="7" t="n">
        <f aca="false">A9/10</f>
        <v>0.4</v>
      </c>
      <c r="C9" s="7" t="n">
        <f aca="false">IF(AND(A9=0,c_TCREEP&gt;0),10*c_TCREEP,IF(AND(A9&lt;=c_TRNGMIN,A9&gt;=c_TRNGMAX,c_TRNGMIN-c_TRNGMAX&lt;&gt;0),-10*c_TMINRN+QUOTIENT((c_TMAXRN-c_TMINRN)*(100-QUOTIENT((A9-c_TRNGMAX)*100,c_TRNGMIN-c_TRNGMAX)),-10),0))</f>
        <v>-270</v>
      </c>
      <c r="D9" s="7" t="n">
        <f aca="false">IF(((c_TMAP1IN)-(c_TFWD))=0,(0)+QUOTIENT(((c_TMAP1OUT)-(0)),2),QUOTIENT((((A9)-(c_TFWD))*((c_TMAP1OUT)-(0))+IF(((c_TMAP1OUT)-(0))&gt;=0,1,-1)*QUOTIENT(((c_TMAP1IN)-(c_TFWD)),2)),((c_TMAP1IN)-(c_TFWD)))+(0)+IF(((c_TMAP1OUT)-(0))&gt;=0,IF(IF(o_WRAP=1,MOD(((c_TMAP1IN)-(c_TFWD))*(((A9)-(c_TFWD))*((c_TMAP1OUT)-(0))+IF(((c_TMAP1OUT)-(0))&gt;=0,1,-1)*QUOTIENT(((c_TMAP1IN)-(c_TFWD)),2))+2147483648,4294967296)-2147483648,((c_TMAP1IN)-(c_TFWD))*(((A9)-(c_TFWD))*((c_TMAP1OUT)-(0))+IF(((c_TMAP1OUT)-(0))&gt;=0,1,-1)*QUOTIENT(((c_TMAP1IN)-(c_TFWD)),2)))&lt;0,-1,0),IF(IF(o_WRAP=1,MOD(((c_TMAP1IN)-(c_TFWD))*(((A9)-(c_TFWD))*((c_TMAP1OUT)-(0))+IF(((c_TMAP1OUT)-(0))&gt;=0,1,-1)*QUOTIENT(((c_TMAP1IN)-(c_TFWD)),2))+2147483648,4294967296)-2147483648,((c_TMAP1IN)-(c_TFWD))*(((A9)-(c_TFWD))*((c_TMAP1OUT)-(0))+IF(((c_TMAP1OUT)-(0))&gt;=0,1,-1)*QUOTIENT(((c_TMAP1IN)-(c_TFWD)),2)))&gt;=0,1,0)))</f>
        <v>-5</v>
      </c>
      <c r="E9" s="7" t="n">
        <f aca="false">IF(((c_TMAP2IN)-(c_TMAP1IN))=0,(c_TMAP1OUT)+QUOTIENT(((c_TMAP2OUT)-(c_TMAP1OUT)),2),QUOTIENT((((A9)-(c_TMAP1IN))*((c_TMAP2OUT)-(c_TMAP1OUT))+IF(((c_TMAP2OUT)-(c_TMAP1OUT))&gt;=0,1,-1)*QUOTIENT(((c_TMAP2IN)-(c_TMAP1IN)),2)),((c_TMAP2IN)-(c_TMAP1IN)))+(c_TMAP1OUT)+IF(((c_TMAP2OUT)-(c_TMAP1OUT))&gt;=0,IF(IF(o_WRAP=1,MOD(((c_TMAP2IN)-(c_TMAP1IN))*(((A9)-(c_TMAP1IN))*((c_TMAP2OUT)-(c_TMAP1OUT))+IF(((c_TMAP2OUT)-(c_TMAP1OUT))&gt;=0,1,-1)*QUOTIENT(((c_TMAP2IN)-(c_TMAP1IN)),2))+2147483648,4294967296)-2147483648,((c_TMAP2IN)-(c_TMAP1IN))*(((A9)-(c_TMAP1IN))*((c_TMAP2OUT)-(c_TMAP1OUT))+IF(((c_TMAP2OUT)-(c_TMAP1OUT))&gt;=0,1,-1)*QUOTIENT(((c_TMAP2IN)-(c_TMAP1IN)),2)))&lt;0,-1,0),IF(IF(o_WRAP=1,MOD(((c_TMAP2IN)-(c_TMAP1IN))*(((A9)-(c_TMAP1IN))*((c_TMAP2OUT)-(c_TMAP1OUT))+IF(((c_TMAP2OUT)-(c_TMAP1OUT))&gt;=0,1,-1)*QUOTIENT(((c_TMAP2IN)-(c_TMAP1IN)),2))+2147483648,4294967296)-2147483648,((c_TMAP2IN)-(c_TMAP1IN))*(((A9)-(c_TMAP1IN))*((c_TMAP2OUT)-(c_TMAP1OUT))+IF(((c_TMAP2OUT)-(c_TMAP1OUT))&gt;=0,1,-1)*QUOTIENT(((c_TMAP2IN)-(c_TMAP1IN)),2)))&gt;=0,1,0)))</f>
        <v>32</v>
      </c>
      <c r="F9" s="7" t="n">
        <f aca="false">IF(((c_TMAP3IN)-(c_TMAP2IN))=0,(c_TMAP2OUT)+QUOTIENT(((c_TMAP3OUT)-(c_TMAP2OUT)),2),QUOTIENT((((A9)-(c_TMAP2IN))*((c_TMAP3OUT)-(c_TMAP2OUT))+IF(((c_TMAP3OUT)-(c_TMAP2OUT))&gt;=0,1,-1)*QUOTIENT(((c_TMAP3IN)-(c_TMAP2IN)),2)),((c_TMAP3IN)-(c_TMAP2IN)))+(c_TMAP2OUT)+IF(((c_TMAP3OUT)-(c_TMAP2OUT))&gt;=0,IF(IF(o_WRAP=1,MOD(((c_TMAP3IN)-(c_TMAP2IN))*(((A9)-(c_TMAP2IN))*((c_TMAP3OUT)-(c_TMAP2OUT))+IF(((c_TMAP3OUT)-(c_TMAP2OUT))&gt;=0,1,-1)*QUOTIENT(((c_TMAP3IN)-(c_TMAP2IN)),2))+2147483648,4294967296)-2147483648,((c_TMAP3IN)-(c_TMAP2IN))*(((A9)-(c_TMAP2IN))*((c_TMAP3OUT)-(c_TMAP2OUT))+IF(((c_TMAP3OUT)-(c_TMAP2OUT))&gt;=0,1,-1)*QUOTIENT(((c_TMAP3IN)-(c_TMAP2IN)),2)))&lt;0,-1,0),IF(IF(o_WRAP=1,MOD(((c_TMAP3IN)-(c_TMAP2IN))*(((A9)-(c_TMAP2IN))*((c_TMAP3OUT)-(c_TMAP2OUT))+IF(((c_TMAP3OUT)-(c_TMAP2OUT))&gt;=0,1,-1)*QUOTIENT(((c_TMAP3IN)-(c_TMAP2IN)),2))+2147483648,4294967296)-2147483648,((c_TMAP3IN)-(c_TMAP2IN))*(((A9)-(c_TMAP2IN))*((c_TMAP3OUT)-(c_TMAP2OUT))+IF(((c_TMAP3OUT)-(c_TMAP2OUT))&gt;=0,1,-1)*QUOTIENT(((c_TMAP3IN)-(c_TMAP2IN)),2)))&gt;=0,1,0)))</f>
        <v>-42</v>
      </c>
      <c r="G9" s="7" t="n">
        <f aca="false">IF(((1000)-(c_TMAP3IN))=0,(c_TMAP3OUT)+QUOTIENT(((1000)-(c_TMAP3OUT)),2),QUOTIENT((((A9)-(c_TMAP3IN))*((1000)-(c_TMAP3OUT))+IF(((1000)-(c_TMAP3OUT))&gt;=0,1,-1)*QUOTIENT(((1000)-(c_TMAP3IN)),2)),((1000)-(c_TMAP3IN)))+(c_TMAP3OUT)+IF(((1000)-(c_TMAP3OUT))&gt;=0,IF(IF(o_WRAP=1,MOD(((1000)-(c_TMAP3IN))*(((A9)-(c_TMAP3IN))*((1000)-(c_TMAP3OUT))+IF(((1000)-(c_TMAP3OUT))&gt;=0,1,-1)*QUOTIENT(((1000)-(c_TMAP3IN)),2))+2147483648,4294967296)-2147483648,((1000)-(c_TMAP3IN))*(((A9)-(c_TMAP3IN))*((1000)-(c_TMAP3OUT))+IF(((1000)-(c_TMAP3OUT))&gt;=0,1,-1)*QUOTIENT(((1000)-(c_TMAP3IN)),2)))&lt;0,-1,0),IF(IF(o_WRAP=1,MOD(((1000)-(c_TMAP3IN))*(((A9)-(c_TMAP3IN))*((1000)-(c_TMAP3OUT))+IF(((1000)-(c_TMAP3OUT))&gt;=0,1,-1)*QUOTIENT(((1000)-(c_TMAP3IN)),2))+2147483648,4294967296)-2147483648,((1000)-(c_TMAP3IN))*(((A9)-(c_TMAP3IN))*((1000)-(c_TMAP3OUT))+IF(((1000)-(c_TMAP3OUT))&gt;=0,1,-1)*QUOTIENT(((1000)-(c_TMAP3IN)),2)))&gt;=0,1,0)))</f>
        <v>-226</v>
      </c>
      <c r="H9" s="7" t="str">
        <f aca="false">IF(A9&gt;=c_TFWD,IF(AND(A9&gt;=c_TMAP3IN,c_TMAP3IN&lt;1000),"Seg4 map3-100%",IF(AND(A9&gt;=c_TMAP2IN,c_TMAP3IN&gt;c_TMAP2IN),"Seg3 map2-map3",IF(AND(A9&gt;=c_TMAP1IN,c_TMAP2IN&gt;c_TMAP1IN),"Seg2 map1-map2","Seg1 TFWD-map1"))),IF(AND(A9=0,c_TCREEP&gt;0),"Creep",IF(AND(A9&lt;=c_TRNGMIN,A9&gt;=c_TRNGMAX,c_TRNGMIN-c_TRNGMAX&lt;&gt;0),"Regen ramp","Coast (0)")))</f>
        <v>Regen ramp</v>
      </c>
      <c r="I9" s="7" t="n">
        <f aca="false">IF(A9&gt;=c_TFWD,IF(AND(A9&gt;=c_TMAP3IN,c_TMAP3IN&lt;1000),G9,IF(AND(A9&gt;=c_TMAP2IN,c_TMAP3IN&gt;c_TMAP2IN),F9,IF(AND(A9&gt;=c_TMAP1IN,c_TMAP2IN&gt;c_TMAP1IN),E9,D9))),C9)</f>
        <v>-270</v>
      </c>
      <c r="J9" s="7" t="str">
        <f aca="false">IF(I9&lt;-1090,"TOO LOW",IF(I9&gt;1090,"TOO HIGH",""))</f>
        <v/>
      </c>
      <c r="K9" s="15" t="n">
        <f aca="false">IF(J9&lt;&gt;"",0,IF(I9&gt;979,1000,I9))</f>
        <v>-270</v>
      </c>
      <c r="L9" s="7" t="n">
        <f aca="false">K9/10</f>
        <v>-27</v>
      </c>
    </row>
    <row r="10" customFormat="false" ht="15" hidden="false" customHeight="false" outlineLevel="0" collapsed="false">
      <c r="A10" s="7" t="n">
        <v>5</v>
      </c>
      <c r="B10" s="7" t="n">
        <f aca="false">A10/10</f>
        <v>0.5</v>
      </c>
      <c r="C10" s="7" t="n">
        <f aca="false">IF(AND(A10=0,c_TCREEP&gt;0),10*c_TCREEP,IF(AND(A10&lt;=c_TRNGMIN,A10&gt;=c_TRNGMAX,c_TRNGMIN-c_TRNGMAX&lt;&gt;0),-10*c_TMINRN+QUOTIENT((c_TMAXRN-c_TMINRN)*(100-QUOTIENT((A10-c_TRNGMAX)*100,c_TRNGMIN-c_TRNGMAX)),-10),0))</f>
        <v>-250</v>
      </c>
      <c r="D10" s="7" t="n">
        <f aca="false">IF(((c_TMAP1IN)-(c_TFWD))=0,(0)+QUOTIENT(((c_TMAP1OUT)-(0)),2),QUOTIENT((((A10)-(c_TFWD))*((c_TMAP1OUT)-(0))+IF(((c_TMAP1OUT)-(0))&gt;=0,1,-1)*QUOTIENT(((c_TMAP1IN)-(c_TFWD)),2)),((c_TMAP1IN)-(c_TFWD)))+(0)+IF(((c_TMAP1OUT)-(0))&gt;=0,IF(IF(o_WRAP=1,MOD(((c_TMAP1IN)-(c_TFWD))*(((A10)-(c_TFWD))*((c_TMAP1OUT)-(0))+IF(((c_TMAP1OUT)-(0))&gt;=0,1,-1)*QUOTIENT(((c_TMAP1IN)-(c_TFWD)),2))+2147483648,4294967296)-2147483648,((c_TMAP1IN)-(c_TFWD))*(((A10)-(c_TFWD))*((c_TMAP1OUT)-(0))+IF(((c_TMAP1OUT)-(0))&gt;=0,1,-1)*QUOTIENT(((c_TMAP1IN)-(c_TFWD)),2)))&lt;0,-1,0),IF(IF(o_WRAP=1,MOD(((c_TMAP1IN)-(c_TFWD))*(((A10)-(c_TFWD))*((c_TMAP1OUT)-(0))+IF(((c_TMAP1OUT)-(0))&gt;=0,1,-1)*QUOTIENT(((c_TMAP1IN)-(c_TFWD)),2))+2147483648,4294967296)-2147483648,((c_TMAP1IN)-(c_TFWD))*(((A10)-(c_TFWD))*((c_TMAP1OUT)-(0))+IF(((c_TMAP1OUT)-(0))&gt;=0,1,-1)*QUOTIENT(((c_TMAP1IN)-(c_TFWD)),2)))&gt;=0,1,0)))</f>
        <v>-4</v>
      </c>
      <c r="E10" s="7" t="n">
        <f aca="false">IF(((c_TMAP2IN)-(c_TMAP1IN))=0,(c_TMAP1OUT)+QUOTIENT(((c_TMAP2OUT)-(c_TMAP1OUT)),2),QUOTIENT((((A10)-(c_TMAP1IN))*((c_TMAP2OUT)-(c_TMAP1OUT))+IF(((c_TMAP2OUT)-(c_TMAP1OUT))&gt;=0,1,-1)*QUOTIENT(((c_TMAP2IN)-(c_TMAP1IN)),2)),((c_TMAP2IN)-(c_TMAP1IN)))+(c_TMAP1OUT)+IF(((c_TMAP2OUT)-(c_TMAP1OUT))&gt;=0,IF(IF(o_WRAP=1,MOD(((c_TMAP2IN)-(c_TMAP1IN))*(((A10)-(c_TMAP1IN))*((c_TMAP2OUT)-(c_TMAP1OUT))+IF(((c_TMAP2OUT)-(c_TMAP1OUT))&gt;=0,1,-1)*QUOTIENT(((c_TMAP2IN)-(c_TMAP1IN)),2))+2147483648,4294967296)-2147483648,((c_TMAP2IN)-(c_TMAP1IN))*(((A10)-(c_TMAP1IN))*((c_TMAP2OUT)-(c_TMAP1OUT))+IF(((c_TMAP2OUT)-(c_TMAP1OUT))&gt;=0,1,-1)*QUOTIENT(((c_TMAP2IN)-(c_TMAP1IN)),2)))&lt;0,-1,0),IF(IF(o_WRAP=1,MOD(((c_TMAP2IN)-(c_TMAP1IN))*(((A10)-(c_TMAP1IN))*((c_TMAP2OUT)-(c_TMAP1OUT))+IF(((c_TMAP2OUT)-(c_TMAP1OUT))&gt;=0,1,-1)*QUOTIENT(((c_TMAP2IN)-(c_TMAP1IN)),2))+2147483648,4294967296)-2147483648,((c_TMAP2IN)-(c_TMAP1IN))*(((A10)-(c_TMAP1IN))*((c_TMAP2OUT)-(c_TMAP1OUT))+IF(((c_TMAP2OUT)-(c_TMAP1OUT))&gt;=0,1,-1)*QUOTIENT(((c_TMAP2IN)-(c_TMAP1IN)),2)))&gt;=0,1,0)))</f>
        <v>32</v>
      </c>
      <c r="F10" s="7" t="n">
        <f aca="false">IF(((c_TMAP3IN)-(c_TMAP2IN))=0,(c_TMAP2OUT)+QUOTIENT(((c_TMAP3OUT)-(c_TMAP2OUT)),2),QUOTIENT((((A10)-(c_TMAP2IN))*((c_TMAP3OUT)-(c_TMAP2OUT))+IF(((c_TMAP3OUT)-(c_TMAP2OUT))&gt;=0,1,-1)*QUOTIENT(((c_TMAP3IN)-(c_TMAP2IN)),2)),((c_TMAP3IN)-(c_TMAP2IN)))+(c_TMAP2OUT)+IF(((c_TMAP3OUT)-(c_TMAP2OUT))&gt;=0,IF(IF(o_WRAP=1,MOD(((c_TMAP3IN)-(c_TMAP2IN))*(((A10)-(c_TMAP2IN))*((c_TMAP3OUT)-(c_TMAP2OUT))+IF(((c_TMAP3OUT)-(c_TMAP2OUT))&gt;=0,1,-1)*QUOTIENT(((c_TMAP3IN)-(c_TMAP2IN)),2))+2147483648,4294967296)-2147483648,((c_TMAP3IN)-(c_TMAP2IN))*(((A10)-(c_TMAP2IN))*((c_TMAP3OUT)-(c_TMAP2OUT))+IF(((c_TMAP3OUT)-(c_TMAP2OUT))&gt;=0,1,-1)*QUOTIENT(((c_TMAP3IN)-(c_TMAP2IN)),2)))&lt;0,-1,0),IF(IF(o_WRAP=1,MOD(((c_TMAP3IN)-(c_TMAP2IN))*(((A10)-(c_TMAP2IN))*((c_TMAP3OUT)-(c_TMAP2OUT))+IF(((c_TMAP3OUT)-(c_TMAP2OUT))&gt;=0,1,-1)*QUOTIENT(((c_TMAP3IN)-(c_TMAP2IN)),2))+2147483648,4294967296)-2147483648,((c_TMAP3IN)-(c_TMAP2IN))*(((A10)-(c_TMAP2IN))*((c_TMAP3OUT)-(c_TMAP2OUT))+IF(((c_TMAP3OUT)-(c_TMAP2OUT))&gt;=0,1,-1)*QUOTIENT(((c_TMAP3IN)-(c_TMAP2IN)),2)))&gt;=0,1,0)))</f>
        <v>-42</v>
      </c>
      <c r="G10" s="7" t="n">
        <f aca="false">IF(((1000)-(c_TMAP3IN))=0,(c_TMAP3OUT)+QUOTIENT(((1000)-(c_TMAP3OUT)),2),QUOTIENT((((A10)-(c_TMAP3IN))*((1000)-(c_TMAP3OUT))+IF(((1000)-(c_TMAP3OUT))&gt;=0,1,-1)*QUOTIENT(((1000)-(c_TMAP3IN)),2)),((1000)-(c_TMAP3IN)))+(c_TMAP3OUT)+IF(((1000)-(c_TMAP3OUT))&gt;=0,IF(IF(o_WRAP=1,MOD(((1000)-(c_TMAP3IN))*(((A10)-(c_TMAP3IN))*((1000)-(c_TMAP3OUT))+IF(((1000)-(c_TMAP3OUT))&gt;=0,1,-1)*QUOTIENT(((1000)-(c_TMAP3IN)),2))+2147483648,4294967296)-2147483648,((1000)-(c_TMAP3IN))*(((A10)-(c_TMAP3IN))*((1000)-(c_TMAP3OUT))+IF(((1000)-(c_TMAP3OUT))&gt;=0,1,-1)*QUOTIENT(((1000)-(c_TMAP3IN)),2)))&lt;0,-1,0),IF(IF(o_WRAP=1,MOD(((1000)-(c_TMAP3IN))*(((A10)-(c_TMAP3IN))*((1000)-(c_TMAP3OUT))+IF(((1000)-(c_TMAP3OUT))&gt;=0,1,-1)*QUOTIENT(((1000)-(c_TMAP3IN)),2))+2147483648,4294967296)-2147483648,((1000)-(c_TMAP3IN))*(((A10)-(c_TMAP3IN))*((1000)-(c_TMAP3OUT))+IF(((1000)-(c_TMAP3OUT))&gt;=0,1,-1)*QUOTIENT(((1000)-(c_TMAP3IN)),2)))&gt;=0,1,0)))</f>
        <v>-225</v>
      </c>
      <c r="H10" s="7" t="str">
        <f aca="false">IF(A10&gt;=c_TFWD,IF(AND(A10&gt;=c_TMAP3IN,c_TMAP3IN&lt;1000),"Seg4 map3-100%",IF(AND(A10&gt;=c_TMAP2IN,c_TMAP3IN&gt;c_TMAP2IN),"Seg3 map2-map3",IF(AND(A10&gt;=c_TMAP1IN,c_TMAP2IN&gt;c_TMAP1IN),"Seg2 map1-map2","Seg1 TFWD-map1"))),IF(AND(A10=0,c_TCREEP&gt;0),"Creep",IF(AND(A10&lt;=c_TRNGMIN,A10&gt;=c_TRNGMAX,c_TRNGMIN-c_TRNGMAX&lt;&gt;0),"Regen ramp","Coast (0)")))</f>
        <v>Regen ramp</v>
      </c>
      <c r="I10" s="7" t="n">
        <f aca="false">IF(A10&gt;=c_TFWD,IF(AND(A10&gt;=c_TMAP3IN,c_TMAP3IN&lt;1000),G10,IF(AND(A10&gt;=c_TMAP2IN,c_TMAP3IN&gt;c_TMAP2IN),F10,IF(AND(A10&gt;=c_TMAP1IN,c_TMAP2IN&gt;c_TMAP1IN),E10,D10))),C10)</f>
        <v>-250</v>
      </c>
      <c r="J10" s="7" t="str">
        <f aca="false">IF(I10&lt;-1090,"TOO LOW",IF(I10&gt;1090,"TOO HIGH",""))</f>
        <v/>
      </c>
      <c r="K10" s="15" t="n">
        <f aca="false">IF(J10&lt;&gt;"",0,IF(I10&gt;979,1000,I10))</f>
        <v>-250</v>
      </c>
      <c r="L10" s="7" t="n">
        <f aca="false">K10/10</f>
        <v>-25</v>
      </c>
    </row>
    <row r="11" customFormat="false" ht="15" hidden="false" customHeight="false" outlineLevel="0" collapsed="false">
      <c r="A11" s="7" t="n">
        <v>6</v>
      </c>
      <c r="B11" s="7" t="n">
        <f aca="false">A11/10</f>
        <v>0.6</v>
      </c>
      <c r="C11" s="7" t="n">
        <f aca="false">IF(AND(A11=0,c_TCREEP&gt;0),10*c_TCREEP,IF(AND(A11&lt;=c_TRNGMIN,A11&gt;=c_TRNGMAX,c_TRNGMIN-c_TRNGMAX&lt;&gt;0),-10*c_TMINRN+QUOTIENT((c_TMAXRN-c_TMINRN)*(100-QUOTIENT((A11-c_TRNGMAX)*100,c_TRNGMIN-c_TRNGMAX)),-10),0))</f>
        <v>-230</v>
      </c>
      <c r="D11" s="7" t="n">
        <f aca="false">IF(((c_TMAP1IN)-(c_TFWD))=0,(0)+QUOTIENT(((c_TMAP1OUT)-(0)),2),QUOTIENT((((A11)-(c_TFWD))*((c_TMAP1OUT)-(0))+IF(((c_TMAP1OUT)-(0))&gt;=0,1,-1)*QUOTIENT(((c_TMAP1IN)-(c_TFWD)),2)),((c_TMAP1IN)-(c_TFWD)))+(0)+IF(((c_TMAP1OUT)-(0))&gt;=0,IF(IF(o_WRAP=1,MOD(((c_TMAP1IN)-(c_TFWD))*(((A11)-(c_TFWD))*((c_TMAP1OUT)-(0))+IF(((c_TMAP1OUT)-(0))&gt;=0,1,-1)*QUOTIENT(((c_TMAP1IN)-(c_TFWD)),2))+2147483648,4294967296)-2147483648,((c_TMAP1IN)-(c_TFWD))*(((A11)-(c_TFWD))*((c_TMAP1OUT)-(0))+IF(((c_TMAP1OUT)-(0))&gt;=0,1,-1)*QUOTIENT(((c_TMAP1IN)-(c_TFWD)),2)))&lt;0,-1,0),IF(IF(o_WRAP=1,MOD(((c_TMAP1IN)-(c_TFWD))*(((A11)-(c_TFWD))*((c_TMAP1OUT)-(0))+IF(((c_TMAP1OUT)-(0))&gt;=0,1,-1)*QUOTIENT(((c_TMAP1IN)-(c_TFWD)),2))+2147483648,4294967296)-2147483648,((c_TMAP1IN)-(c_TFWD))*(((A11)-(c_TFWD))*((c_TMAP1OUT)-(0))+IF(((c_TMAP1OUT)-(0))&gt;=0,1,-1)*QUOTIENT(((c_TMAP1IN)-(c_TFWD)),2)))&gt;=0,1,0)))</f>
        <v>-3</v>
      </c>
      <c r="E11" s="7" t="n">
        <f aca="false">IF(((c_TMAP2IN)-(c_TMAP1IN))=0,(c_TMAP1OUT)+QUOTIENT(((c_TMAP2OUT)-(c_TMAP1OUT)),2),QUOTIENT((((A11)-(c_TMAP1IN))*((c_TMAP2OUT)-(c_TMAP1OUT))+IF(((c_TMAP2OUT)-(c_TMAP1OUT))&gt;=0,1,-1)*QUOTIENT(((c_TMAP2IN)-(c_TMAP1IN)),2)),((c_TMAP2IN)-(c_TMAP1IN)))+(c_TMAP1OUT)+IF(((c_TMAP2OUT)-(c_TMAP1OUT))&gt;=0,IF(IF(o_WRAP=1,MOD(((c_TMAP2IN)-(c_TMAP1IN))*(((A11)-(c_TMAP1IN))*((c_TMAP2OUT)-(c_TMAP1OUT))+IF(((c_TMAP2OUT)-(c_TMAP1OUT))&gt;=0,1,-1)*QUOTIENT(((c_TMAP2IN)-(c_TMAP1IN)),2))+2147483648,4294967296)-2147483648,((c_TMAP2IN)-(c_TMAP1IN))*(((A11)-(c_TMAP1IN))*((c_TMAP2OUT)-(c_TMAP1OUT))+IF(((c_TMAP2OUT)-(c_TMAP1OUT))&gt;=0,1,-1)*QUOTIENT(((c_TMAP2IN)-(c_TMAP1IN)),2)))&lt;0,-1,0),IF(IF(o_WRAP=1,MOD(((c_TMAP2IN)-(c_TMAP1IN))*(((A11)-(c_TMAP1IN))*((c_TMAP2OUT)-(c_TMAP1OUT))+IF(((c_TMAP2OUT)-(c_TMAP1OUT))&gt;=0,1,-1)*QUOTIENT(((c_TMAP2IN)-(c_TMAP1IN)),2))+2147483648,4294967296)-2147483648,((c_TMAP2IN)-(c_TMAP1IN))*(((A11)-(c_TMAP1IN))*((c_TMAP2OUT)-(c_TMAP1OUT))+IF(((c_TMAP2OUT)-(c_TMAP1OUT))&gt;=0,1,-1)*QUOTIENT(((c_TMAP2IN)-(c_TMAP1IN)),2)))&gt;=0,1,0)))</f>
        <v>32</v>
      </c>
      <c r="F11" s="7" t="n">
        <f aca="false">IF(((c_TMAP3IN)-(c_TMAP2IN))=0,(c_TMAP2OUT)+QUOTIENT(((c_TMAP3OUT)-(c_TMAP2OUT)),2),QUOTIENT((((A11)-(c_TMAP2IN))*((c_TMAP3OUT)-(c_TMAP2OUT))+IF(((c_TMAP3OUT)-(c_TMAP2OUT))&gt;=0,1,-1)*QUOTIENT(((c_TMAP3IN)-(c_TMAP2IN)),2)),((c_TMAP3IN)-(c_TMAP2IN)))+(c_TMAP2OUT)+IF(((c_TMAP3OUT)-(c_TMAP2OUT))&gt;=0,IF(IF(o_WRAP=1,MOD(((c_TMAP3IN)-(c_TMAP2IN))*(((A11)-(c_TMAP2IN))*((c_TMAP3OUT)-(c_TMAP2OUT))+IF(((c_TMAP3OUT)-(c_TMAP2OUT))&gt;=0,1,-1)*QUOTIENT(((c_TMAP3IN)-(c_TMAP2IN)),2))+2147483648,4294967296)-2147483648,((c_TMAP3IN)-(c_TMAP2IN))*(((A11)-(c_TMAP2IN))*((c_TMAP3OUT)-(c_TMAP2OUT))+IF(((c_TMAP3OUT)-(c_TMAP2OUT))&gt;=0,1,-1)*QUOTIENT(((c_TMAP3IN)-(c_TMAP2IN)),2)))&lt;0,-1,0),IF(IF(o_WRAP=1,MOD(((c_TMAP3IN)-(c_TMAP2IN))*(((A11)-(c_TMAP2IN))*((c_TMAP3OUT)-(c_TMAP2OUT))+IF(((c_TMAP3OUT)-(c_TMAP2OUT))&gt;=0,1,-1)*QUOTIENT(((c_TMAP3IN)-(c_TMAP2IN)),2))+2147483648,4294967296)-2147483648,((c_TMAP3IN)-(c_TMAP2IN))*(((A11)-(c_TMAP2IN))*((c_TMAP3OUT)-(c_TMAP2OUT))+IF(((c_TMAP3OUT)-(c_TMAP2OUT))&gt;=0,1,-1)*QUOTIENT(((c_TMAP3IN)-(c_TMAP2IN)),2)))&gt;=0,1,0)))</f>
        <v>-41</v>
      </c>
      <c r="G11" s="7" t="n">
        <f aca="false">IF(((1000)-(c_TMAP3IN))=0,(c_TMAP3OUT)+QUOTIENT(((1000)-(c_TMAP3OUT)),2),QUOTIENT((((A11)-(c_TMAP3IN))*((1000)-(c_TMAP3OUT))+IF(((1000)-(c_TMAP3OUT))&gt;=0,1,-1)*QUOTIENT(((1000)-(c_TMAP3IN)),2)),((1000)-(c_TMAP3IN)))+(c_TMAP3OUT)+IF(((1000)-(c_TMAP3OUT))&gt;=0,IF(IF(o_WRAP=1,MOD(((1000)-(c_TMAP3IN))*(((A11)-(c_TMAP3IN))*((1000)-(c_TMAP3OUT))+IF(((1000)-(c_TMAP3OUT))&gt;=0,1,-1)*QUOTIENT(((1000)-(c_TMAP3IN)),2))+2147483648,4294967296)-2147483648,((1000)-(c_TMAP3IN))*(((A11)-(c_TMAP3IN))*((1000)-(c_TMAP3OUT))+IF(((1000)-(c_TMAP3OUT))&gt;=0,1,-1)*QUOTIENT(((1000)-(c_TMAP3IN)),2)))&lt;0,-1,0),IF(IF(o_WRAP=1,MOD(((1000)-(c_TMAP3IN))*(((A11)-(c_TMAP3IN))*((1000)-(c_TMAP3OUT))+IF(((1000)-(c_TMAP3OUT))&gt;=0,1,-1)*QUOTIENT(((1000)-(c_TMAP3IN)),2))+2147483648,4294967296)-2147483648,((1000)-(c_TMAP3IN))*(((A11)-(c_TMAP3IN))*((1000)-(c_TMAP3OUT))+IF(((1000)-(c_TMAP3OUT))&gt;=0,1,-1)*QUOTIENT(((1000)-(c_TMAP3IN)),2)))&gt;=0,1,0)))</f>
        <v>-223</v>
      </c>
      <c r="H11" s="7" t="str">
        <f aca="false">IF(A11&gt;=c_TFWD,IF(AND(A11&gt;=c_TMAP3IN,c_TMAP3IN&lt;1000),"Seg4 map3-100%",IF(AND(A11&gt;=c_TMAP2IN,c_TMAP3IN&gt;c_TMAP2IN),"Seg3 map2-map3",IF(AND(A11&gt;=c_TMAP1IN,c_TMAP2IN&gt;c_TMAP1IN),"Seg2 map1-map2","Seg1 TFWD-map1"))),IF(AND(A11=0,c_TCREEP&gt;0),"Creep",IF(AND(A11&lt;=c_TRNGMIN,A11&gt;=c_TRNGMAX,c_TRNGMIN-c_TRNGMAX&lt;&gt;0),"Regen ramp","Coast (0)")))</f>
        <v>Regen ramp</v>
      </c>
      <c r="I11" s="7" t="n">
        <f aca="false">IF(A11&gt;=c_TFWD,IF(AND(A11&gt;=c_TMAP3IN,c_TMAP3IN&lt;1000),G11,IF(AND(A11&gt;=c_TMAP2IN,c_TMAP3IN&gt;c_TMAP2IN),F11,IF(AND(A11&gt;=c_TMAP1IN,c_TMAP2IN&gt;c_TMAP1IN),E11,D11))),C11)</f>
        <v>-230</v>
      </c>
      <c r="J11" s="7" t="str">
        <f aca="false">IF(I11&lt;-1090,"TOO LOW",IF(I11&gt;1090,"TOO HIGH",""))</f>
        <v/>
      </c>
      <c r="K11" s="15" t="n">
        <f aca="false">IF(J11&lt;&gt;"",0,IF(I11&gt;979,1000,I11))</f>
        <v>-230</v>
      </c>
      <c r="L11" s="7" t="n">
        <f aca="false">K11/10</f>
        <v>-23</v>
      </c>
    </row>
    <row r="12" customFormat="false" ht="15" hidden="false" customHeight="false" outlineLevel="0" collapsed="false">
      <c r="A12" s="7" t="n">
        <v>7</v>
      </c>
      <c r="B12" s="7" t="n">
        <f aca="false">A12/10</f>
        <v>0.7</v>
      </c>
      <c r="C12" s="7" t="n">
        <f aca="false">IF(AND(A12=0,c_TCREEP&gt;0),10*c_TCREEP,IF(AND(A12&lt;=c_TRNGMIN,A12&gt;=c_TRNGMAX,c_TRNGMIN-c_TRNGMAX&lt;&gt;0),-10*c_TMINRN+QUOTIENT((c_TMAXRN-c_TMINRN)*(100-QUOTIENT((A12-c_TRNGMAX)*100,c_TRNGMIN-c_TRNGMAX)),-10),0))</f>
        <v>-210</v>
      </c>
      <c r="D12" s="7" t="n">
        <f aca="false">IF(((c_TMAP1IN)-(c_TFWD))=0,(0)+QUOTIENT(((c_TMAP1OUT)-(0)),2),QUOTIENT((((A12)-(c_TFWD))*((c_TMAP1OUT)-(0))+IF(((c_TMAP1OUT)-(0))&gt;=0,1,-1)*QUOTIENT(((c_TMAP1IN)-(c_TFWD)),2)),((c_TMAP1IN)-(c_TFWD)))+(0)+IF(((c_TMAP1OUT)-(0))&gt;=0,IF(IF(o_WRAP=1,MOD(((c_TMAP1IN)-(c_TFWD))*(((A12)-(c_TFWD))*((c_TMAP1OUT)-(0))+IF(((c_TMAP1OUT)-(0))&gt;=0,1,-1)*QUOTIENT(((c_TMAP1IN)-(c_TFWD)),2))+2147483648,4294967296)-2147483648,((c_TMAP1IN)-(c_TFWD))*(((A12)-(c_TFWD))*((c_TMAP1OUT)-(0))+IF(((c_TMAP1OUT)-(0))&gt;=0,1,-1)*QUOTIENT(((c_TMAP1IN)-(c_TFWD)),2)))&lt;0,-1,0),IF(IF(o_WRAP=1,MOD(((c_TMAP1IN)-(c_TFWD))*(((A12)-(c_TFWD))*((c_TMAP1OUT)-(0))+IF(((c_TMAP1OUT)-(0))&gt;=0,1,-1)*QUOTIENT(((c_TMAP1IN)-(c_TFWD)),2))+2147483648,4294967296)-2147483648,((c_TMAP1IN)-(c_TFWD))*(((A12)-(c_TFWD))*((c_TMAP1OUT)-(0))+IF(((c_TMAP1OUT)-(0))&gt;=0,1,-1)*QUOTIENT(((c_TMAP1IN)-(c_TFWD)),2)))&gt;=0,1,0)))</f>
        <v>-2</v>
      </c>
      <c r="E12" s="7" t="n">
        <f aca="false">IF(((c_TMAP2IN)-(c_TMAP1IN))=0,(c_TMAP1OUT)+QUOTIENT(((c_TMAP2OUT)-(c_TMAP1OUT)),2),QUOTIENT((((A12)-(c_TMAP1IN))*((c_TMAP2OUT)-(c_TMAP1OUT))+IF(((c_TMAP2OUT)-(c_TMAP1OUT))&gt;=0,1,-1)*QUOTIENT(((c_TMAP2IN)-(c_TMAP1IN)),2)),((c_TMAP2IN)-(c_TMAP1IN)))+(c_TMAP1OUT)+IF(((c_TMAP2OUT)-(c_TMAP1OUT))&gt;=0,IF(IF(o_WRAP=1,MOD(((c_TMAP2IN)-(c_TMAP1IN))*(((A12)-(c_TMAP1IN))*((c_TMAP2OUT)-(c_TMAP1OUT))+IF(((c_TMAP2OUT)-(c_TMAP1OUT))&gt;=0,1,-1)*QUOTIENT(((c_TMAP2IN)-(c_TMAP1IN)),2))+2147483648,4294967296)-2147483648,((c_TMAP2IN)-(c_TMAP1IN))*(((A12)-(c_TMAP1IN))*((c_TMAP2OUT)-(c_TMAP1OUT))+IF(((c_TMAP2OUT)-(c_TMAP1OUT))&gt;=0,1,-1)*QUOTIENT(((c_TMAP2IN)-(c_TMAP1IN)),2)))&lt;0,-1,0),IF(IF(o_WRAP=1,MOD(((c_TMAP2IN)-(c_TMAP1IN))*(((A12)-(c_TMAP1IN))*((c_TMAP2OUT)-(c_TMAP1OUT))+IF(((c_TMAP2OUT)-(c_TMAP1OUT))&gt;=0,1,-1)*QUOTIENT(((c_TMAP2IN)-(c_TMAP1IN)),2))+2147483648,4294967296)-2147483648,((c_TMAP2IN)-(c_TMAP1IN))*(((A12)-(c_TMAP1IN))*((c_TMAP2OUT)-(c_TMAP1OUT))+IF(((c_TMAP2OUT)-(c_TMAP1OUT))&gt;=0,1,-1)*QUOTIENT(((c_TMAP2IN)-(c_TMAP1IN)),2)))&gt;=0,1,0)))</f>
        <v>33</v>
      </c>
      <c r="F12" s="7" t="n">
        <f aca="false">IF(((c_TMAP3IN)-(c_TMAP2IN))=0,(c_TMAP2OUT)+QUOTIENT(((c_TMAP3OUT)-(c_TMAP2OUT)),2),QUOTIENT((((A12)-(c_TMAP2IN))*((c_TMAP3OUT)-(c_TMAP2OUT))+IF(((c_TMAP3OUT)-(c_TMAP2OUT))&gt;=0,1,-1)*QUOTIENT(((c_TMAP3IN)-(c_TMAP2IN)),2)),((c_TMAP3IN)-(c_TMAP2IN)))+(c_TMAP2OUT)+IF(((c_TMAP3OUT)-(c_TMAP2OUT))&gt;=0,IF(IF(o_WRAP=1,MOD(((c_TMAP3IN)-(c_TMAP2IN))*(((A12)-(c_TMAP2IN))*((c_TMAP3OUT)-(c_TMAP2OUT))+IF(((c_TMAP3OUT)-(c_TMAP2OUT))&gt;=0,1,-1)*QUOTIENT(((c_TMAP3IN)-(c_TMAP2IN)),2))+2147483648,4294967296)-2147483648,((c_TMAP3IN)-(c_TMAP2IN))*(((A12)-(c_TMAP2IN))*((c_TMAP3OUT)-(c_TMAP2OUT))+IF(((c_TMAP3OUT)-(c_TMAP2OUT))&gt;=0,1,-1)*QUOTIENT(((c_TMAP3IN)-(c_TMAP2IN)),2)))&lt;0,-1,0),IF(IF(o_WRAP=1,MOD(((c_TMAP3IN)-(c_TMAP2IN))*(((A12)-(c_TMAP2IN))*((c_TMAP3OUT)-(c_TMAP2OUT))+IF(((c_TMAP3OUT)-(c_TMAP2OUT))&gt;=0,1,-1)*QUOTIENT(((c_TMAP3IN)-(c_TMAP2IN)),2))+2147483648,4294967296)-2147483648,((c_TMAP3IN)-(c_TMAP2IN))*(((A12)-(c_TMAP2IN))*((c_TMAP3OUT)-(c_TMAP2OUT))+IF(((c_TMAP3OUT)-(c_TMAP2OUT))&gt;=0,1,-1)*QUOTIENT(((c_TMAP3IN)-(c_TMAP2IN)),2)))&gt;=0,1,0)))</f>
        <v>-40</v>
      </c>
      <c r="G12" s="7" t="n">
        <f aca="false">IF(((1000)-(c_TMAP3IN))=0,(c_TMAP3OUT)+QUOTIENT(((1000)-(c_TMAP3OUT)),2),QUOTIENT((((A12)-(c_TMAP3IN))*((1000)-(c_TMAP3OUT))+IF(((1000)-(c_TMAP3OUT))&gt;=0,1,-1)*QUOTIENT(((1000)-(c_TMAP3IN)),2)),((1000)-(c_TMAP3IN)))+(c_TMAP3OUT)+IF(((1000)-(c_TMAP3OUT))&gt;=0,IF(IF(o_WRAP=1,MOD(((1000)-(c_TMAP3IN))*(((A12)-(c_TMAP3IN))*((1000)-(c_TMAP3OUT))+IF(((1000)-(c_TMAP3OUT))&gt;=0,1,-1)*QUOTIENT(((1000)-(c_TMAP3IN)),2))+2147483648,4294967296)-2147483648,((1000)-(c_TMAP3IN))*(((A12)-(c_TMAP3IN))*((1000)-(c_TMAP3OUT))+IF(((1000)-(c_TMAP3OUT))&gt;=0,1,-1)*QUOTIENT(((1000)-(c_TMAP3IN)),2)))&lt;0,-1,0),IF(IF(o_WRAP=1,MOD(((1000)-(c_TMAP3IN))*(((A12)-(c_TMAP3IN))*((1000)-(c_TMAP3OUT))+IF(((1000)-(c_TMAP3OUT))&gt;=0,1,-1)*QUOTIENT(((1000)-(c_TMAP3IN)),2))+2147483648,4294967296)-2147483648,((1000)-(c_TMAP3IN))*(((A12)-(c_TMAP3IN))*((1000)-(c_TMAP3OUT))+IF(((1000)-(c_TMAP3OUT))&gt;=0,1,-1)*QUOTIENT(((1000)-(c_TMAP3IN)),2)))&gt;=0,1,0)))</f>
        <v>-222</v>
      </c>
      <c r="H12" s="7" t="str">
        <f aca="false">IF(A12&gt;=c_TFWD,IF(AND(A12&gt;=c_TMAP3IN,c_TMAP3IN&lt;1000),"Seg4 map3-100%",IF(AND(A12&gt;=c_TMAP2IN,c_TMAP3IN&gt;c_TMAP2IN),"Seg3 map2-map3",IF(AND(A12&gt;=c_TMAP1IN,c_TMAP2IN&gt;c_TMAP1IN),"Seg2 map1-map2","Seg1 TFWD-map1"))),IF(AND(A12=0,c_TCREEP&gt;0),"Creep",IF(AND(A12&lt;=c_TRNGMIN,A12&gt;=c_TRNGMAX,c_TRNGMIN-c_TRNGMAX&lt;&gt;0),"Regen ramp","Coast (0)")))</f>
        <v>Regen ramp</v>
      </c>
      <c r="I12" s="7" t="n">
        <f aca="false">IF(A12&gt;=c_TFWD,IF(AND(A12&gt;=c_TMAP3IN,c_TMAP3IN&lt;1000),G12,IF(AND(A12&gt;=c_TMAP2IN,c_TMAP3IN&gt;c_TMAP2IN),F12,IF(AND(A12&gt;=c_TMAP1IN,c_TMAP2IN&gt;c_TMAP1IN),E12,D12))),C12)</f>
        <v>-210</v>
      </c>
      <c r="J12" s="7" t="str">
        <f aca="false">IF(I12&lt;-1090,"TOO LOW",IF(I12&gt;1090,"TOO HIGH",""))</f>
        <v/>
      </c>
      <c r="K12" s="15" t="n">
        <f aca="false">IF(J12&lt;&gt;"",0,IF(I12&gt;979,1000,I12))</f>
        <v>-210</v>
      </c>
      <c r="L12" s="7" t="n">
        <f aca="false">K12/10</f>
        <v>-21</v>
      </c>
    </row>
    <row r="13" customFormat="false" ht="15" hidden="false" customHeight="false" outlineLevel="0" collapsed="false">
      <c r="A13" s="7" t="n">
        <v>8</v>
      </c>
      <c r="B13" s="7" t="n">
        <f aca="false">A13/10</f>
        <v>0.8</v>
      </c>
      <c r="C13" s="7" t="n">
        <f aca="false">IF(AND(A13=0,c_TCREEP&gt;0),10*c_TCREEP,IF(AND(A13&lt;=c_TRNGMIN,A13&gt;=c_TRNGMAX,c_TRNGMIN-c_TRNGMAX&lt;&gt;0),-10*c_TMINRN+QUOTIENT((c_TMAXRN-c_TMINRN)*(100-QUOTIENT((A13-c_TRNGMAX)*100,c_TRNGMIN-c_TRNGMAX)),-10),0))</f>
        <v>-190</v>
      </c>
      <c r="D13" s="7" t="n">
        <f aca="false">IF(((c_TMAP1IN)-(c_TFWD))=0,(0)+QUOTIENT(((c_TMAP1OUT)-(0)),2),QUOTIENT((((A13)-(c_TFWD))*((c_TMAP1OUT)-(0))+IF(((c_TMAP1OUT)-(0))&gt;=0,1,-1)*QUOTIENT(((c_TMAP1IN)-(c_TFWD)),2)),((c_TMAP1IN)-(c_TFWD)))+(0)+IF(((c_TMAP1OUT)-(0))&gt;=0,IF(IF(o_WRAP=1,MOD(((c_TMAP1IN)-(c_TFWD))*(((A13)-(c_TFWD))*((c_TMAP1OUT)-(0))+IF(((c_TMAP1OUT)-(0))&gt;=0,1,-1)*QUOTIENT(((c_TMAP1IN)-(c_TFWD)),2))+2147483648,4294967296)-2147483648,((c_TMAP1IN)-(c_TFWD))*(((A13)-(c_TFWD))*((c_TMAP1OUT)-(0))+IF(((c_TMAP1OUT)-(0))&gt;=0,1,-1)*QUOTIENT(((c_TMAP1IN)-(c_TFWD)),2)))&lt;0,-1,0),IF(IF(o_WRAP=1,MOD(((c_TMAP1IN)-(c_TFWD))*(((A13)-(c_TFWD))*((c_TMAP1OUT)-(0))+IF(((c_TMAP1OUT)-(0))&gt;=0,1,-1)*QUOTIENT(((c_TMAP1IN)-(c_TFWD)),2))+2147483648,4294967296)-2147483648,((c_TMAP1IN)-(c_TFWD))*(((A13)-(c_TFWD))*((c_TMAP1OUT)-(0))+IF(((c_TMAP1OUT)-(0))&gt;=0,1,-1)*QUOTIENT(((c_TMAP1IN)-(c_TFWD)),2)))&gt;=0,1,0)))</f>
        <v>-2</v>
      </c>
      <c r="E13" s="7" t="n">
        <f aca="false">IF(((c_TMAP2IN)-(c_TMAP1IN))=0,(c_TMAP1OUT)+QUOTIENT(((c_TMAP2OUT)-(c_TMAP1OUT)),2),QUOTIENT((((A13)-(c_TMAP1IN))*((c_TMAP2OUT)-(c_TMAP1OUT))+IF(((c_TMAP2OUT)-(c_TMAP1OUT))&gt;=0,1,-1)*QUOTIENT(((c_TMAP2IN)-(c_TMAP1IN)),2)),((c_TMAP2IN)-(c_TMAP1IN)))+(c_TMAP1OUT)+IF(((c_TMAP2OUT)-(c_TMAP1OUT))&gt;=0,IF(IF(o_WRAP=1,MOD(((c_TMAP2IN)-(c_TMAP1IN))*(((A13)-(c_TMAP1IN))*((c_TMAP2OUT)-(c_TMAP1OUT))+IF(((c_TMAP2OUT)-(c_TMAP1OUT))&gt;=0,1,-1)*QUOTIENT(((c_TMAP2IN)-(c_TMAP1IN)),2))+2147483648,4294967296)-2147483648,((c_TMAP2IN)-(c_TMAP1IN))*(((A13)-(c_TMAP1IN))*((c_TMAP2OUT)-(c_TMAP1OUT))+IF(((c_TMAP2OUT)-(c_TMAP1OUT))&gt;=0,1,-1)*QUOTIENT(((c_TMAP2IN)-(c_TMAP1IN)),2)))&lt;0,-1,0),IF(IF(o_WRAP=1,MOD(((c_TMAP2IN)-(c_TMAP1IN))*(((A13)-(c_TMAP1IN))*((c_TMAP2OUT)-(c_TMAP1OUT))+IF(((c_TMAP2OUT)-(c_TMAP1OUT))&gt;=0,1,-1)*QUOTIENT(((c_TMAP2IN)-(c_TMAP1IN)),2))+2147483648,4294967296)-2147483648,((c_TMAP2IN)-(c_TMAP1IN))*(((A13)-(c_TMAP1IN))*((c_TMAP2OUT)-(c_TMAP1OUT))+IF(((c_TMAP2OUT)-(c_TMAP1OUT))&gt;=0,1,-1)*QUOTIENT(((c_TMAP2IN)-(c_TMAP1IN)),2)))&gt;=0,1,0)))</f>
        <v>33</v>
      </c>
      <c r="F13" s="7" t="n">
        <f aca="false">IF(((c_TMAP3IN)-(c_TMAP2IN))=0,(c_TMAP2OUT)+QUOTIENT(((c_TMAP3OUT)-(c_TMAP2OUT)),2),QUOTIENT((((A13)-(c_TMAP2IN))*((c_TMAP3OUT)-(c_TMAP2OUT))+IF(((c_TMAP3OUT)-(c_TMAP2OUT))&gt;=0,1,-1)*QUOTIENT(((c_TMAP3IN)-(c_TMAP2IN)),2)),((c_TMAP3IN)-(c_TMAP2IN)))+(c_TMAP2OUT)+IF(((c_TMAP3OUT)-(c_TMAP2OUT))&gt;=0,IF(IF(o_WRAP=1,MOD(((c_TMAP3IN)-(c_TMAP2IN))*(((A13)-(c_TMAP2IN))*((c_TMAP3OUT)-(c_TMAP2OUT))+IF(((c_TMAP3OUT)-(c_TMAP2OUT))&gt;=0,1,-1)*QUOTIENT(((c_TMAP3IN)-(c_TMAP2IN)),2))+2147483648,4294967296)-2147483648,((c_TMAP3IN)-(c_TMAP2IN))*(((A13)-(c_TMAP2IN))*((c_TMAP3OUT)-(c_TMAP2OUT))+IF(((c_TMAP3OUT)-(c_TMAP2OUT))&gt;=0,1,-1)*QUOTIENT(((c_TMAP3IN)-(c_TMAP2IN)),2)))&lt;0,-1,0),IF(IF(o_WRAP=1,MOD(((c_TMAP3IN)-(c_TMAP2IN))*(((A13)-(c_TMAP2IN))*((c_TMAP3OUT)-(c_TMAP2OUT))+IF(((c_TMAP3OUT)-(c_TMAP2OUT))&gt;=0,1,-1)*QUOTIENT(((c_TMAP3IN)-(c_TMAP2IN)),2))+2147483648,4294967296)-2147483648,((c_TMAP3IN)-(c_TMAP2IN))*(((A13)-(c_TMAP2IN))*((c_TMAP3OUT)-(c_TMAP2OUT))+IF(((c_TMAP3OUT)-(c_TMAP2OUT))&gt;=0,1,-1)*QUOTIENT(((c_TMAP3IN)-(c_TMAP2IN)),2)))&gt;=0,1,0)))</f>
        <v>-39</v>
      </c>
      <c r="G13" s="7" t="n">
        <f aca="false">IF(((1000)-(c_TMAP3IN))=0,(c_TMAP3OUT)+QUOTIENT(((1000)-(c_TMAP3OUT)),2),QUOTIENT((((A13)-(c_TMAP3IN))*((1000)-(c_TMAP3OUT))+IF(((1000)-(c_TMAP3OUT))&gt;=0,1,-1)*QUOTIENT(((1000)-(c_TMAP3IN)),2)),((1000)-(c_TMAP3IN)))+(c_TMAP3OUT)+IF(((1000)-(c_TMAP3OUT))&gt;=0,IF(IF(o_WRAP=1,MOD(((1000)-(c_TMAP3IN))*(((A13)-(c_TMAP3IN))*((1000)-(c_TMAP3OUT))+IF(((1000)-(c_TMAP3OUT))&gt;=0,1,-1)*QUOTIENT(((1000)-(c_TMAP3IN)),2))+2147483648,4294967296)-2147483648,((1000)-(c_TMAP3IN))*(((A13)-(c_TMAP3IN))*((1000)-(c_TMAP3OUT))+IF(((1000)-(c_TMAP3OUT))&gt;=0,1,-1)*QUOTIENT(((1000)-(c_TMAP3IN)),2)))&lt;0,-1,0),IF(IF(o_WRAP=1,MOD(((1000)-(c_TMAP3IN))*(((A13)-(c_TMAP3IN))*((1000)-(c_TMAP3OUT))+IF(((1000)-(c_TMAP3OUT))&gt;=0,1,-1)*QUOTIENT(((1000)-(c_TMAP3IN)),2))+2147483648,4294967296)-2147483648,((1000)-(c_TMAP3IN))*(((A13)-(c_TMAP3IN))*((1000)-(c_TMAP3OUT))+IF(((1000)-(c_TMAP3OUT))&gt;=0,1,-1)*QUOTIENT(((1000)-(c_TMAP3IN)),2)))&gt;=0,1,0)))</f>
        <v>-221</v>
      </c>
      <c r="H13" s="7" t="str">
        <f aca="false">IF(A13&gt;=c_TFWD,IF(AND(A13&gt;=c_TMAP3IN,c_TMAP3IN&lt;1000),"Seg4 map3-100%",IF(AND(A13&gt;=c_TMAP2IN,c_TMAP3IN&gt;c_TMAP2IN),"Seg3 map2-map3",IF(AND(A13&gt;=c_TMAP1IN,c_TMAP2IN&gt;c_TMAP1IN),"Seg2 map1-map2","Seg1 TFWD-map1"))),IF(AND(A13=0,c_TCREEP&gt;0),"Creep",IF(AND(A13&lt;=c_TRNGMIN,A13&gt;=c_TRNGMAX,c_TRNGMIN-c_TRNGMAX&lt;&gt;0),"Regen ramp","Coast (0)")))</f>
        <v>Regen ramp</v>
      </c>
      <c r="I13" s="7" t="n">
        <f aca="false">IF(A13&gt;=c_TFWD,IF(AND(A13&gt;=c_TMAP3IN,c_TMAP3IN&lt;1000),G13,IF(AND(A13&gt;=c_TMAP2IN,c_TMAP3IN&gt;c_TMAP2IN),F13,IF(AND(A13&gt;=c_TMAP1IN,c_TMAP2IN&gt;c_TMAP1IN),E13,D13))),C13)</f>
        <v>-190</v>
      </c>
      <c r="J13" s="7" t="str">
        <f aca="false">IF(I13&lt;-1090,"TOO LOW",IF(I13&gt;1090,"TOO HIGH",""))</f>
        <v/>
      </c>
      <c r="K13" s="15" t="n">
        <f aca="false">IF(J13&lt;&gt;"",0,IF(I13&gt;979,1000,I13))</f>
        <v>-190</v>
      </c>
      <c r="L13" s="7" t="n">
        <f aca="false">K13/10</f>
        <v>-19</v>
      </c>
    </row>
    <row r="14" customFormat="false" ht="15" hidden="false" customHeight="false" outlineLevel="0" collapsed="false">
      <c r="A14" s="7" t="n">
        <v>9</v>
      </c>
      <c r="B14" s="7" t="n">
        <f aca="false">A14/10</f>
        <v>0.9</v>
      </c>
      <c r="C14" s="7" t="n">
        <f aca="false">IF(AND(A14=0,c_TCREEP&gt;0),10*c_TCREEP,IF(AND(A14&lt;=c_TRNGMIN,A14&gt;=c_TRNGMAX,c_TRNGMIN-c_TRNGMAX&lt;&gt;0),-10*c_TMINRN+QUOTIENT((c_TMAXRN-c_TMINRN)*(100-QUOTIENT((A14-c_TRNGMAX)*100,c_TRNGMIN-c_TRNGMAX)),-10),0))</f>
        <v>-170</v>
      </c>
      <c r="D14" s="7" t="n">
        <f aca="false">IF(((c_TMAP1IN)-(c_TFWD))=0,(0)+QUOTIENT(((c_TMAP1OUT)-(0)),2),QUOTIENT((((A14)-(c_TFWD))*((c_TMAP1OUT)-(0))+IF(((c_TMAP1OUT)-(0))&gt;=0,1,-1)*QUOTIENT(((c_TMAP1IN)-(c_TFWD)),2)),((c_TMAP1IN)-(c_TFWD)))+(0)+IF(((c_TMAP1OUT)-(0))&gt;=0,IF(IF(o_WRAP=1,MOD(((c_TMAP1IN)-(c_TFWD))*(((A14)-(c_TFWD))*((c_TMAP1OUT)-(0))+IF(((c_TMAP1OUT)-(0))&gt;=0,1,-1)*QUOTIENT(((c_TMAP1IN)-(c_TFWD)),2))+2147483648,4294967296)-2147483648,((c_TMAP1IN)-(c_TFWD))*(((A14)-(c_TFWD))*((c_TMAP1OUT)-(0))+IF(((c_TMAP1OUT)-(0))&gt;=0,1,-1)*QUOTIENT(((c_TMAP1IN)-(c_TFWD)),2)))&lt;0,-1,0),IF(IF(o_WRAP=1,MOD(((c_TMAP1IN)-(c_TFWD))*(((A14)-(c_TFWD))*((c_TMAP1OUT)-(0))+IF(((c_TMAP1OUT)-(0))&gt;=0,1,-1)*QUOTIENT(((c_TMAP1IN)-(c_TFWD)),2))+2147483648,4294967296)-2147483648,((c_TMAP1IN)-(c_TFWD))*(((A14)-(c_TFWD))*((c_TMAP1OUT)-(0))+IF(((c_TMAP1OUT)-(0))&gt;=0,1,-1)*QUOTIENT(((c_TMAP1IN)-(c_TFWD)),2)))&gt;=0,1,0)))</f>
        <v>-1</v>
      </c>
      <c r="E14" s="7" t="n">
        <f aca="false">IF(((c_TMAP2IN)-(c_TMAP1IN))=0,(c_TMAP1OUT)+QUOTIENT(((c_TMAP2OUT)-(c_TMAP1OUT)),2),QUOTIENT((((A14)-(c_TMAP1IN))*((c_TMAP2OUT)-(c_TMAP1OUT))+IF(((c_TMAP2OUT)-(c_TMAP1OUT))&gt;=0,1,-1)*QUOTIENT(((c_TMAP2IN)-(c_TMAP1IN)),2)),((c_TMAP2IN)-(c_TMAP1IN)))+(c_TMAP1OUT)+IF(((c_TMAP2OUT)-(c_TMAP1OUT))&gt;=0,IF(IF(o_WRAP=1,MOD(((c_TMAP2IN)-(c_TMAP1IN))*(((A14)-(c_TMAP1IN))*((c_TMAP2OUT)-(c_TMAP1OUT))+IF(((c_TMAP2OUT)-(c_TMAP1OUT))&gt;=0,1,-1)*QUOTIENT(((c_TMAP2IN)-(c_TMAP1IN)),2))+2147483648,4294967296)-2147483648,((c_TMAP2IN)-(c_TMAP1IN))*(((A14)-(c_TMAP1IN))*((c_TMAP2OUT)-(c_TMAP1OUT))+IF(((c_TMAP2OUT)-(c_TMAP1OUT))&gt;=0,1,-1)*QUOTIENT(((c_TMAP2IN)-(c_TMAP1IN)),2)))&lt;0,-1,0),IF(IF(o_WRAP=1,MOD(((c_TMAP2IN)-(c_TMAP1IN))*(((A14)-(c_TMAP1IN))*((c_TMAP2OUT)-(c_TMAP1OUT))+IF(((c_TMAP2OUT)-(c_TMAP1OUT))&gt;=0,1,-1)*QUOTIENT(((c_TMAP2IN)-(c_TMAP1IN)),2))+2147483648,4294967296)-2147483648,((c_TMAP2IN)-(c_TMAP1IN))*(((A14)-(c_TMAP1IN))*((c_TMAP2OUT)-(c_TMAP1OUT))+IF(((c_TMAP2OUT)-(c_TMAP1OUT))&gt;=0,1,-1)*QUOTIENT(((c_TMAP2IN)-(c_TMAP1IN)),2)))&gt;=0,1,0)))</f>
        <v>34</v>
      </c>
      <c r="F14" s="7" t="n">
        <f aca="false">IF(((c_TMAP3IN)-(c_TMAP2IN))=0,(c_TMAP2OUT)+QUOTIENT(((c_TMAP3OUT)-(c_TMAP2OUT)),2),QUOTIENT((((A14)-(c_TMAP2IN))*((c_TMAP3OUT)-(c_TMAP2OUT))+IF(((c_TMAP3OUT)-(c_TMAP2OUT))&gt;=0,1,-1)*QUOTIENT(((c_TMAP3IN)-(c_TMAP2IN)),2)),((c_TMAP3IN)-(c_TMAP2IN)))+(c_TMAP2OUT)+IF(((c_TMAP3OUT)-(c_TMAP2OUT))&gt;=0,IF(IF(o_WRAP=1,MOD(((c_TMAP3IN)-(c_TMAP2IN))*(((A14)-(c_TMAP2IN))*((c_TMAP3OUT)-(c_TMAP2OUT))+IF(((c_TMAP3OUT)-(c_TMAP2OUT))&gt;=0,1,-1)*QUOTIENT(((c_TMAP3IN)-(c_TMAP2IN)),2))+2147483648,4294967296)-2147483648,((c_TMAP3IN)-(c_TMAP2IN))*(((A14)-(c_TMAP2IN))*((c_TMAP3OUT)-(c_TMAP2OUT))+IF(((c_TMAP3OUT)-(c_TMAP2OUT))&gt;=0,1,-1)*QUOTIENT(((c_TMAP3IN)-(c_TMAP2IN)),2)))&lt;0,-1,0),IF(IF(o_WRAP=1,MOD(((c_TMAP3IN)-(c_TMAP2IN))*(((A14)-(c_TMAP2IN))*((c_TMAP3OUT)-(c_TMAP2OUT))+IF(((c_TMAP3OUT)-(c_TMAP2OUT))&gt;=0,1,-1)*QUOTIENT(((c_TMAP3IN)-(c_TMAP2IN)),2))+2147483648,4294967296)-2147483648,((c_TMAP3IN)-(c_TMAP2IN))*(((A14)-(c_TMAP2IN))*((c_TMAP3OUT)-(c_TMAP2OUT))+IF(((c_TMAP3OUT)-(c_TMAP2OUT))&gt;=0,1,-1)*QUOTIENT(((c_TMAP3IN)-(c_TMAP2IN)),2)))&gt;=0,1,0)))</f>
        <v>-39</v>
      </c>
      <c r="G14" s="7" t="n">
        <f aca="false">IF(((1000)-(c_TMAP3IN))=0,(c_TMAP3OUT)+QUOTIENT(((1000)-(c_TMAP3OUT)),2),QUOTIENT((((A14)-(c_TMAP3IN))*((1000)-(c_TMAP3OUT))+IF(((1000)-(c_TMAP3OUT))&gt;=0,1,-1)*QUOTIENT(((1000)-(c_TMAP3IN)),2)),((1000)-(c_TMAP3IN)))+(c_TMAP3OUT)+IF(((1000)-(c_TMAP3OUT))&gt;=0,IF(IF(o_WRAP=1,MOD(((1000)-(c_TMAP3IN))*(((A14)-(c_TMAP3IN))*((1000)-(c_TMAP3OUT))+IF(((1000)-(c_TMAP3OUT))&gt;=0,1,-1)*QUOTIENT(((1000)-(c_TMAP3IN)),2))+2147483648,4294967296)-2147483648,((1000)-(c_TMAP3IN))*(((A14)-(c_TMAP3IN))*((1000)-(c_TMAP3OUT))+IF(((1000)-(c_TMAP3OUT))&gt;=0,1,-1)*QUOTIENT(((1000)-(c_TMAP3IN)),2)))&lt;0,-1,0),IF(IF(o_WRAP=1,MOD(((1000)-(c_TMAP3IN))*(((A14)-(c_TMAP3IN))*((1000)-(c_TMAP3OUT))+IF(((1000)-(c_TMAP3OUT))&gt;=0,1,-1)*QUOTIENT(((1000)-(c_TMAP3IN)),2))+2147483648,4294967296)-2147483648,((1000)-(c_TMAP3IN))*(((A14)-(c_TMAP3IN))*((1000)-(c_TMAP3OUT))+IF(((1000)-(c_TMAP3OUT))&gt;=0,1,-1)*QUOTIENT(((1000)-(c_TMAP3IN)),2)))&gt;=0,1,0)))</f>
        <v>-220</v>
      </c>
      <c r="H14" s="7" t="str">
        <f aca="false">IF(A14&gt;=c_TFWD,IF(AND(A14&gt;=c_TMAP3IN,c_TMAP3IN&lt;1000),"Seg4 map3-100%",IF(AND(A14&gt;=c_TMAP2IN,c_TMAP3IN&gt;c_TMAP2IN),"Seg3 map2-map3",IF(AND(A14&gt;=c_TMAP1IN,c_TMAP2IN&gt;c_TMAP1IN),"Seg2 map1-map2","Seg1 TFWD-map1"))),IF(AND(A14=0,c_TCREEP&gt;0),"Creep",IF(AND(A14&lt;=c_TRNGMIN,A14&gt;=c_TRNGMAX,c_TRNGMIN-c_TRNGMAX&lt;&gt;0),"Regen ramp","Coast (0)")))</f>
        <v>Regen ramp</v>
      </c>
      <c r="I14" s="7" t="n">
        <f aca="false">IF(A14&gt;=c_TFWD,IF(AND(A14&gt;=c_TMAP3IN,c_TMAP3IN&lt;1000),G14,IF(AND(A14&gt;=c_TMAP2IN,c_TMAP3IN&gt;c_TMAP2IN),F14,IF(AND(A14&gt;=c_TMAP1IN,c_TMAP2IN&gt;c_TMAP1IN),E14,D14))),C14)</f>
        <v>-170</v>
      </c>
      <c r="J14" s="7" t="str">
        <f aca="false">IF(I14&lt;-1090,"TOO LOW",IF(I14&gt;1090,"TOO HIGH",""))</f>
        <v/>
      </c>
      <c r="K14" s="15" t="n">
        <f aca="false">IF(J14&lt;&gt;"",0,IF(I14&gt;979,1000,I14))</f>
        <v>-170</v>
      </c>
      <c r="L14" s="7" t="n">
        <f aca="false">K14/10</f>
        <v>-17</v>
      </c>
    </row>
    <row r="15" customFormat="false" ht="15" hidden="false" customHeight="false" outlineLevel="0" collapsed="false">
      <c r="A15" s="7" t="n">
        <v>10</v>
      </c>
      <c r="B15" s="7" t="n">
        <f aca="false">A15/10</f>
        <v>1</v>
      </c>
      <c r="C15" s="7" t="n">
        <f aca="false">IF(AND(A15=0,c_TCREEP&gt;0),10*c_TCREEP,IF(AND(A15&lt;=c_TRNGMIN,A15&gt;=c_TRNGMAX,c_TRNGMIN-c_TRNGMAX&lt;&gt;0),-10*c_TMINRN+QUOTIENT((c_TMAXRN-c_TMINRN)*(100-QUOTIENT((A15-c_TRNGMAX)*100,c_TRNGMIN-c_TRNGMAX)),-10),0))</f>
        <v>-150</v>
      </c>
      <c r="D15" s="7" t="n">
        <f aca="false">IF(((c_TMAP1IN)-(c_TFWD))=0,(0)+QUOTIENT(((c_TMAP1OUT)-(0)),2),QUOTIENT((((A15)-(c_TFWD))*((c_TMAP1OUT)-(0))+IF(((c_TMAP1OUT)-(0))&gt;=0,1,-1)*QUOTIENT(((c_TMAP1IN)-(c_TFWD)),2)),((c_TMAP1IN)-(c_TFWD)))+(0)+IF(((c_TMAP1OUT)-(0))&gt;=0,IF(IF(o_WRAP=1,MOD(((c_TMAP1IN)-(c_TFWD))*(((A15)-(c_TFWD))*((c_TMAP1OUT)-(0))+IF(((c_TMAP1OUT)-(0))&gt;=0,1,-1)*QUOTIENT(((c_TMAP1IN)-(c_TFWD)),2))+2147483648,4294967296)-2147483648,((c_TMAP1IN)-(c_TFWD))*(((A15)-(c_TFWD))*((c_TMAP1OUT)-(0))+IF(((c_TMAP1OUT)-(0))&gt;=0,1,-1)*QUOTIENT(((c_TMAP1IN)-(c_TFWD)),2)))&lt;0,-1,0),IF(IF(o_WRAP=1,MOD(((c_TMAP1IN)-(c_TFWD))*(((A15)-(c_TFWD))*((c_TMAP1OUT)-(0))+IF(((c_TMAP1OUT)-(0))&gt;=0,1,-1)*QUOTIENT(((c_TMAP1IN)-(c_TFWD)),2))+2147483648,4294967296)-2147483648,((c_TMAP1IN)-(c_TFWD))*(((A15)-(c_TFWD))*((c_TMAP1OUT)-(0))+IF(((c_TMAP1OUT)-(0))&gt;=0,1,-1)*QUOTIENT(((c_TMAP1IN)-(c_TFWD)),2)))&gt;=0,1,0)))</f>
        <v>0</v>
      </c>
      <c r="E15" s="7" t="n">
        <f aca="false">IF(((c_TMAP2IN)-(c_TMAP1IN))=0,(c_TMAP1OUT)+QUOTIENT(((c_TMAP2OUT)-(c_TMAP1OUT)),2),QUOTIENT((((A15)-(c_TMAP1IN))*((c_TMAP2OUT)-(c_TMAP1OUT))+IF(((c_TMAP2OUT)-(c_TMAP1OUT))&gt;=0,1,-1)*QUOTIENT(((c_TMAP2IN)-(c_TMAP1IN)),2)),((c_TMAP2IN)-(c_TMAP1IN)))+(c_TMAP1OUT)+IF(((c_TMAP2OUT)-(c_TMAP1OUT))&gt;=0,IF(IF(o_WRAP=1,MOD(((c_TMAP2IN)-(c_TMAP1IN))*(((A15)-(c_TMAP1IN))*((c_TMAP2OUT)-(c_TMAP1OUT))+IF(((c_TMAP2OUT)-(c_TMAP1OUT))&gt;=0,1,-1)*QUOTIENT(((c_TMAP2IN)-(c_TMAP1IN)),2))+2147483648,4294967296)-2147483648,((c_TMAP2IN)-(c_TMAP1IN))*(((A15)-(c_TMAP1IN))*((c_TMAP2OUT)-(c_TMAP1OUT))+IF(((c_TMAP2OUT)-(c_TMAP1OUT))&gt;=0,1,-1)*QUOTIENT(((c_TMAP2IN)-(c_TMAP1IN)),2)))&lt;0,-1,0),IF(IF(o_WRAP=1,MOD(((c_TMAP2IN)-(c_TMAP1IN))*(((A15)-(c_TMAP1IN))*((c_TMAP2OUT)-(c_TMAP1OUT))+IF(((c_TMAP2OUT)-(c_TMAP1OUT))&gt;=0,1,-1)*QUOTIENT(((c_TMAP2IN)-(c_TMAP1IN)),2))+2147483648,4294967296)-2147483648,((c_TMAP2IN)-(c_TMAP1IN))*(((A15)-(c_TMAP1IN))*((c_TMAP2OUT)-(c_TMAP1OUT))+IF(((c_TMAP2OUT)-(c_TMAP1OUT))&gt;=0,1,-1)*QUOTIENT(((c_TMAP2IN)-(c_TMAP1IN)),2)))&gt;=0,1,0)))</f>
        <v>34</v>
      </c>
      <c r="F15" s="7" t="n">
        <f aca="false">IF(((c_TMAP3IN)-(c_TMAP2IN))=0,(c_TMAP2OUT)+QUOTIENT(((c_TMAP3OUT)-(c_TMAP2OUT)),2),QUOTIENT((((A15)-(c_TMAP2IN))*((c_TMAP3OUT)-(c_TMAP2OUT))+IF(((c_TMAP3OUT)-(c_TMAP2OUT))&gt;=0,1,-1)*QUOTIENT(((c_TMAP3IN)-(c_TMAP2IN)),2)),((c_TMAP3IN)-(c_TMAP2IN)))+(c_TMAP2OUT)+IF(((c_TMAP3OUT)-(c_TMAP2OUT))&gt;=0,IF(IF(o_WRAP=1,MOD(((c_TMAP3IN)-(c_TMAP2IN))*(((A15)-(c_TMAP2IN))*((c_TMAP3OUT)-(c_TMAP2OUT))+IF(((c_TMAP3OUT)-(c_TMAP2OUT))&gt;=0,1,-1)*QUOTIENT(((c_TMAP3IN)-(c_TMAP2IN)),2))+2147483648,4294967296)-2147483648,((c_TMAP3IN)-(c_TMAP2IN))*(((A15)-(c_TMAP2IN))*((c_TMAP3OUT)-(c_TMAP2OUT))+IF(((c_TMAP3OUT)-(c_TMAP2OUT))&gt;=0,1,-1)*QUOTIENT(((c_TMAP3IN)-(c_TMAP2IN)),2)))&lt;0,-1,0),IF(IF(o_WRAP=1,MOD(((c_TMAP3IN)-(c_TMAP2IN))*(((A15)-(c_TMAP2IN))*((c_TMAP3OUT)-(c_TMAP2OUT))+IF(((c_TMAP3OUT)-(c_TMAP2OUT))&gt;=0,1,-1)*QUOTIENT(((c_TMAP3IN)-(c_TMAP2IN)),2))+2147483648,4294967296)-2147483648,((c_TMAP3IN)-(c_TMAP2IN))*(((A15)-(c_TMAP2IN))*((c_TMAP3OUT)-(c_TMAP2OUT))+IF(((c_TMAP3OUT)-(c_TMAP2OUT))&gt;=0,1,-1)*QUOTIENT(((c_TMAP3IN)-(c_TMAP2IN)),2)))&gt;=0,1,0)))</f>
        <v>-38</v>
      </c>
      <c r="G15" s="7" t="n">
        <f aca="false">IF(((1000)-(c_TMAP3IN))=0,(c_TMAP3OUT)+QUOTIENT(((1000)-(c_TMAP3OUT)),2),QUOTIENT((((A15)-(c_TMAP3IN))*((1000)-(c_TMAP3OUT))+IF(((1000)-(c_TMAP3OUT))&gt;=0,1,-1)*QUOTIENT(((1000)-(c_TMAP3IN)),2)),((1000)-(c_TMAP3IN)))+(c_TMAP3OUT)+IF(((1000)-(c_TMAP3OUT))&gt;=0,IF(IF(o_WRAP=1,MOD(((1000)-(c_TMAP3IN))*(((A15)-(c_TMAP3IN))*((1000)-(c_TMAP3OUT))+IF(((1000)-(c_TMAP3OUT))&gt;=0,1,-1)*QUOTIENT(((1000)-(c_TMAP3IN)),2))+2147483648,4294967296)-2147483648,((1000)-(c_TMAP3IN))*(((A15)-(c_TMAP3IN))*((1000)-(c_TMAP3OUT))+IF(((1000)-(c_TMAP3OUT))&gt;=0,1,-1)*QUOTIENT(((1000)-(c_TMAP3IN)),2)))&lt;0,-1,0),IF(IF(o_WRAP=1,MOD(((1000)-(c_TMAP3IN))*(((A15)-(c_TMAP3IN))*((1000)-(c_TMAP3OUT))+IF(((1000)-(c_TMAP3OUT))&gt;=0,1,-1)*QUOTIENT(((1000)-(c_TMAP3IN)),2))+2147483648,4294967296)-2147483648,((1000)-(c_TMAP3IN))*(((A15)-(c_TMAP3IN))*((1000)-(c_TMAP3OUT))+IF(((1000)-(c_TMAP3OUT))&gt;=0,1,-1)*QUOTIENT(((1000)-(c_TMAP3IN)),2)))&gt;=0,1,0)))</f>
        <v>-218</v>
      </c>
      <c r="H15" s="7" t="str">
        <f aca="false">IF(A15&gt;=c_TFWD,IF(AND(A15&gt;=c_TMAP3IN,c_TMAP3IN&lt;1000),"Seg4 map3-100%",IF(AND(A15&gt;=c_TMAP2IN,c_TMAP3IN&gt;c_TMAP2IN),"Seg3 map2-map3",IF(AND(A15&gt;=c_TMAP1IN,c_TMAP2IN&gt;c_TMAP1IN),"Seg2 map1-map2","Seg1 TFWD-map1"))),IF(AND(A15=0,c_TCREEP&gt;0),"Creep",IF(AND(A15&lt;=c_TRNGMIN,A15&gt;=c_TRNGMAX,c_TRNGMIN-c_TRNGMAX&lt;&gt;0),"Regen ramp","Coast (0)")))</f>
        <v>Seg1 TFWD-map1</v>
      </c>
      <c r="I15" s="7" t="n">
        <f aca="false">IF(A15&gt;=c_TFWD,IF(AND(A15&gt;=c_TMAP3IN,c_TMAP3IN&lt;1000),G15,IF(AND(A15&gt;=c_TMAP2IN,c_TMAP3IN&gt;c_TMAP2IN),F15,IF(AND(A15&gt;=c_TMAP1IN,c_TMAP2IN&gt;c_TMAP1IN),E15,D15))),C15)</f>
        <v>0</v>
      </c>
      <c r="J15" s="7" t="str">
        <f aca="false">IF(I15&lt;-1090,"TOO LOW",IF(I15&gt;1090,"TOO HIGH",""))</f>
        <v/>
      </c>
      <c r="K15" s="15" t="n">
        <f aca="false">IF(J15&lt;&gt;"",0,IF(I15&gt;979,1000,I15))</f>
        <v>0</v>
      </c>
      <c r="L15" s="7" t="n">
        <f aca="false">K15/10</f>
        <v>0</v>
      </c>
    </row>
    <row r="16" customFormat="false" ht="15" hidden="false" customHeight="false" outlineLevel="0" collapsed="false">
      <c r="A16" s="7" t="n">
        <v>11</v>
      </c>
      <c r="B16" s="7" t="n">
        <f aca="false">A16/10</f>
        <v>1.1</v>
      </c>
      <c r="C16" s="7" t="n">
        <f aca="false">IF(AND(A16=0,c_TCREEP&gt;0),10*c_TCREEP,IF(AND(A16&lt;=c_TRNGMIN,A16&gt;=c_TRNGMAX,c_TRNGMIN-c_TRNGMAX&lt;&gt;0),-10*c_TMINRN+QUOTIENT((c_TMAXRN-c_TMINRN)*(100-QUOTIENT((A16-c_TRNGMAX)*100,c_TRNGMIN-c_TRNGMAX)),-10),0))</f>
        <v>0</v>
      </c>
      <c r="D16" s="7" t="n">
        <f aca="false">IF(((c_TMAP1IN)-(c_TFWD))=0,(0)+QUOTIENT(((c_TMAP1OUT)-(0)),2),QUOTIENT((((A16)-(c_TFWD))*((c_TMAP1OUT)-(0))+IF(((c_TMAP1OUT)-(0))&gt;=0,1,-1)*QUOTIENT(((c_TMAP1IN)-(c_TFWD)),2)),((c_TMAP1IN)-(c_TFWD)))+(0)+IF(((c_TMAP1OUT)-(0))&gt;=0,IF(IF(o_WRAP=1,MOD(((c_TMAP1IN)-(c_TFWD))*(((A16)-(c_TFWD))*((c_TMAP1OUT)-(0))+IF(((c_TMAP1OUT)-(0))&gt;=0,1,-1)*QUOTIENT(((c_TMAP1IN)-(c_TFWD)),2))+2147483648,4294967296)-2147483648,((c_TMAP1IN)-(c_TFWD))*(((A16)-(c_TFWD))*((c_TMAP1OUT)-(0))+IF(((c_TMAP1OUT)-(0))&gt;=0,1,-1)*QUOTIENT(((c_TMAP1IN)-(c_TFWD)),2)))&lt;0,-1,0),IF(IF(o_WRAP=1,MOD(((c_TMAP1IN)-(c_TFWD))*(((A16)-(c_TFWD))*((c_TMAP1OUT)-(0))+IF(((c_TMAP1OUT)-(0))&gt;=0,1,-1)*QUOTIENT(((c_TMAP1IN)-(c_TFWD)),2))+2147483648,4294967296)-2147483648,((c_TMAP1IN)-(c_TFWD))*(((A16)-(c_TFWD))*((c_TMAP1OUT)-(0))+IF(((c_TMAP1OUT)-(0))&gt;=0,1,-1)*QUOTIENT(((c_TMAP1IN)-(c_TFWD)),2)))&gt;=0,1,0)))</f>
        <v>1</v>
      </c>
      <c r="E16" s="7" t="n">
        <f aca="false">IF(((c_TMAP2IN)-(c_TMAP1IN))=0,(c_TMAP1OUT)+QUOTIENT(((c_TMAP2OUT)-(c_TMAP1OUT)),2),QUOTIENT((((A16)-(c_TMAP1IN))*((c_TMAP2OUT)-(c_TMAP1OUT))+IF(((c_TMAP2OUT)-(c_TMAP1OUT))&gt;=0,1,-1)*QUOTIENT(((c_TMAP2IN)-(c_TMAP1IN)),2)),((c_TMAP2IN)-(c_TMAP1IN)))+(c_TMAP1OUT)+IF(((c_TMAP2OUT)-(c_TMAP1OUT))&gt;=0,IF(IF(o_WRAP=1,MOD(((c_TMAP2IN)-(c_TMAP1IN))*(((A16)-(c_TMAP1IN))*((c_TMAP2OUT)-(c_TMAP1OUT))+IF(((c_TMAP2OUT)-(c_TMAP1OUT))&gt;=0,1,-1)*QUOTIENT(((c_TMAP2IN)-(c_TMAP1IN)),2))+2147483648,4294967296)-2147483648,((c_TMAP2IN)-(c_TMAP1IN))*(((A16)-(c_TMAP1IN))*((c_TMAP2OUT)-(c_TMAP1OUT))+IF(((c_TMAP2OUT)-(c_TMAP1OUT))&gt;=0,1,-1)*QUOTIENT(((c_TMAP2IN)-(c_TMAP1IN)),2)))&lt;0,-1,0),IF(IF(o_WRAP=1,MOD(((c_TMAP2IN)-(c_TMAP1IN))*(((A16)-(c_TMAP1IN))*((c_TMAP2OUT)-(c_TMAP1OUT))+IF(((c_TMAP2OUT)-(c_TMAP1OUT))&gt;=0,1,-1)*QUOTIENT(((c_TMAP2IN)-(c_TMAP1IN)),2))+2147483648,4294967296)-2147483648,((c_TMAP2IN)-(c_TMAP1IN))*(((A16)-(c_TMAP1IN))*((c_TMAP2OUT)-(c_TMAP1OUT))+IF(((c_TMAP2OUT)-(c_TMAP1OUT))&gt;=0,1,-1)*QUOTIENT(((c_TMAP2IN)-(c_TMAP1IN)),2)))&gt;=0,1,0)))</f>
        <v>34</v>
      </c>
      <c r="F16" s="7" t="n">
        <f aca="false">IF(((c_TMAP3IN)-(c_TMAP2IN))=0,(c_TMAP2OUT)+QUOTIENT(((c_TMAP3OUT)-(c_TMAP2OUT)),2),QUOTIENT((((A16)-(c_TMAP2IN))*((c_TMAP3OUT)-(c_TMAP2OUT))+IF(((c_TMAP3OUT)-(c_TMAP2OUT))&gt;=0,1,-1)*QUOTIENT(((c_TMAP3IN)-(c_TMAP2IN)),2)),((c_TMAP3IN)-(c_TMAP2IN)))+(c_TMAP2OUT)+IF(((c_TMAP3OUT)-(c_TMAP2OUT))&gt;=0,IF(IF(o_WRAP=1,MOD(((c_TMAP3IN)-(c_TMAP2IN))*(((A16)-(c_TMAP2IN))*((c_TMAP3OUT)-(c_TMAP2OUT))+IF(((c_TMAP3OUT)-(c_TMAP2OUT))&gt;=0,1,-1)*QUOTIENT(((c_TMAP3IN)-(c_TMAP2IN)),2))+2147483648,4294967296)-2147483648,((c_TMAP3IN)-(c_TMAP2IN))*(((A16)-(c_TMAP2IN))*((c_TMAP3OUT)-(c_TMAP2OUT))+IF(((c_TMAP3OUT)-(c_TMAP2OUT))&gt;=0,1,-1)*QUOTIENT(((c_TMAP3IN)-(c_TMAP2IN)),2)))&lt;0,-1,0),IF(IF(o_WRAP=1,MOD(((c_TMAP3IN)-(c_TMAP2IN))*(((A16)-(c_TMAP2IN))*((c_TMAP3OUT)-(c_TMAP2OUT))+IF(((c_TMAP3OUT)-(c_TMAP2OUT))&gt;=0,1,-1)*QUOTIENT(((c_TMAP3IN)-(c_TMAP2IN)),2))+2147483648,4294967296)-2147483648,((c_TMAP3IN)-(c_TMAP2IN))*(((A16)-(c_TMAP2IN))*((c_TMAP3OUT)-(c_TMAP2OUT))+IF(((c_TMAP3OUT)-(c_TMAP2OUT))&gt;=0,1,-1)*QUOTIENT(((c_TMAP3IN)-(c_TMAP2IN)),2)))&gt;=0,1,0)))</f>
        <v>-37</v>
      </c>
      <c r="G16" s="7" t="n">
        <f aca="false">IF(((1000)-(c_TMAP3IN))=0,(c_TMAP3OUT)+QUOTIENT(((1000)-(c_TMAP3OUT)),2),QUOTIENT((((A16)-(c_TMAP3IN))*((1000)-(c_TMAP3OUT))+IF(((1000)-(c_TMAP3OUT))&gt;=0,1,-1)*QUOTIENT(((1000)-(c_TMAP3IN)),2)),((1000)-(c_TMAP3IN)))+(c_TMAP3OUT)+IF(((1000)-(c_TMAP3OUT))&gt;=0,IF(IF(o_WRAP=1,MOD(((1000)-(c_TMAP3IN))*(((A16)-(c_TMAP3IN))*((1000)-(c_TMAP3OUT))+IF(((1000)-(c_TMAP3OUT))&gt;=0,1,-1)*QUOTIENT(((1000)-(c_TMAP3IN)),2))+2147483648,4294967296)-2147483648,((1000)-(c_TMAP3IN))*(((A16)-(c_TMAP3IN))*((1000)-(c_TMAP3OUT))+IF(((1000)-(c_TMAP3OUT))&gt;=0,1,-1)*QUOTIENT(((1000)-(c_TMAP3IN)),2)))&lt;0,-1,0),IF(IF(o_WRAP=1,MOD(((1000)-(c_TMAP3IN))*(((A16)-(c_TMAP3IN))*((1000)-(c_TMAP3OUT))+IF(((1000)-(c_TMAP3OUT))&gt;=0,1,-1)*QUOTIENT(((1000)-(c_TMAP3IN)),2))+2147483648,4294967296)-2147483648,((1000)-(c_TMAP3IN))*(((A16)-(c_TMAP3IN))*((1000)-(c_TMAP3OUT))+IF(((1000)-(c_TMAP3OUT))&gt;=0,1,-1)*QUOTIENT(((1000)-(c_TMAP3IN)),2)))&gt;=0,1,0)))</f>
        <v>-217</v>
      </c>
      <c r="H16" s="7" t="str">
        <f aca="false">IF(A16&gt;=c_TFWD,IF(AND(A16&gt;=c_TMAP3IN,c_TMAP3IN&lt;1000),"Seg4 map3-100%",IF(AND(A16&gt;=c_TMAP2IN,c_TMAP3IN&gt;c_TMAP2IN),"Seg3 map2-map3",IF(AND(A16&gt;=c_TMAP1IN,c_TMAP2IN&gt;c_TMAP1IN),"Seg2 map1-map2","Seg1 TFWD-map1"))),IF(AND(A16=0,c_TCREEP&gt;0),"Creep",IF(AND(A16&lt;=c_TRNGMIN,A16&gt;=c_TRNGMAX,c_TRNGMIN-c_TRNGMAX&lt;&gt;0),"Regen ramp","Coast (0)")))</f>
        <v>Seg1 TFWD-map1</v>
      </c>
      <c r="I16" s="7" t="n">
        <f aca="false">IF(A16&gt;=c_TFWD,IF(AND(A16&gt;=c_TMAP3IN,c_TMAP3IN&lt;1000),G16,IF(AND(A16&gt;=c_TMAP2IN,c_TMAP3IN&gt;c_TMAP2IN),F16,IF(AND(A16&gt;=c_TMAP1IN,c_TMAP2IN&gt;c_TMAP1IN),E16,D16))),C16)</f>
        <v>1</v>
      </c>
      <c r="J16" s="7" t="str">
        <f aca="false">IF(I16&lt;-1090,"TOO LOW",IF(I16&gt;1090,"TOO HIGH",""))</f>
        <v/>
      </c>
      <c r="K16" s="15" t="n">
        <f aca="false">IF(J16&lt;&gt;"",0,IF(I16&gt;979,1000,I16))</f>
        <v>1</v>
      </c>
      <c r="L16" s="7" t="n">
        <f aca="false">K16/10</f>
        <v>0.1</v>
      </c>
    </row>
    <row r="17" customFormat="false" ht="15" hidden="false" customHeight="false" outlineLevel="0" collapsed="false">
      <c r="A17" s="7" t="n">
        <v>12</v>
      </c>
      <c r="B17" s="7" t="n">
        <f aca="false">A17/10</f>
        <v>1.2</v>
      </c>
      <c r="C17" s="7" t="n">
        <f aca="false">IF(AND(A17=0,c_TCREEP&gt;0),10*c_TCREEP,IF(AND(A17&lt;=c_TRNGMIN,A17&gt;=c_TRNGMAX,c_TRNGMIN-c_TRNGMAX&lt;&gt;0),-10*c_TMINRN+QUOTIENT((c_TMAXRN-c_TMINRN)*(100-QUOTIENT((A17-c_TRNGMAX)*100,c_TRNGMIN-c_TRNGMAX)),-10),0))</f>
        <v>0</v>
      </c>
      <c r="D17" s="7" t="n">
        <f aca="false">IF(((c_TMAP1IN)-(c_TFWD))=0,(0)+QUOTIENT(((c_TMAP1OUT)-(0)),2),QUOTIENT((((A17)-(c_TFWD))*((c_TMAP1OUT)-(0))+IF(((c_TMAP1OUT)-(0))&gt;=0,1,-1)*QUOTIENT(((c_TMAP1IN)-(c_TFWD)),2)),((c_TMAP1IN)-(c_TFWD)))+(0)+IF(((c_TMAP1OUT)-(0))&gt;=0,IF(IF(o_WRAP=1,MOD(((c_TMAP1IN)-(c_TFWD))*(((A17)-(c_TFWD))*((c_TMAP1OUT)-(0))+IF(((c_TMAP1OUT)-(0))&gt;=0,1,-1)*QUOTIENT(((c_TMAP1IN)-(c_TFWD)),2))+2147483648,4294967296)-2147483648,((c_TMAP1IN)-(c_TFWD))*(((A17)-(c_TFWD))*((c_TMAP1OUT)-(0))+IF(((c_TMAP1OUT)-(0))&gt;=0,1,-1)*QUOTIENT(((c_TMAP1IN)-(c_TFWD)),2)))&lt;0,-1,0),IF(IF(o_WRAP=1,MOD(((c_TMAP1IN)-(c_TFWD))*(((A17)-(c_TFWD))*((c_TMAP1OUT)-(0))+IF(((c_TMAP1OUT)-(0))&gt;=0,1,-1)*QUOTIENT(((c_TMAP1IN)-(c_TFWD)),2))+2147483648,4294967296)-2147483648,((c_TMAP1IN)-(c_TFWD))*(((A17)-(c_TFWD))*((c_TMAP1OUT)-(0))+IF(((c_TMAP1OUT)-(0))&gt;=0,1,-1)*QUOTIENT(((c_TMAP1IN)-(c_TFWD)),2)))&gt;=0,1,0)))</f>
        <v>2</v>
      </c>
      <c r="E17" s="7" t="n">
        <f aca="false">IF(((c_TMAP2IN)-(c_TMAP1IN))=0,(c_TMAP1OUT)+QUOTIENT(((c_TMAP2OUT)-(c_TMAP1OUT)),2),QUOTIENT((((A17)-(c_TMAP1IN))*((c_TMAP2OUT)-(c_TMAP1OUT))+IF(((c_TMAP2OUT)-(c_TMAP1OUT))&gt;=0,1,-1)*QUOTIENT(((c_TMAP2IN)-(c_TMAP1IN)),2)),((c_TMAP2IN)-(c_TMAP1IN)))+(c_TMAP1OUT)+IF(((c_TMAP2OUT)-(c_TMAP1OUT))&gt;=0,IF(IF(o_WRAP=1,MOD(((c_TMAP2IN)-(c_TMAP1IN))*(((A17)-(c_TMAP1IN))*((c_TMAP2OUT)-(c_TMAP1OUT))+IF(((c_TMAP2OUT)-(c_TMAP1OUT))&gt;=0,1,-1)*QUOTIENT(((c_TMAP2IN)-(c_TMAP1IN)),2))+2147483648,4294967296)-2147483648,((c_TMAP2IN)-(c_TMAP1IN))*(((A17)-(c_TMAP1IN))*((c_TMAP2OUT)-(c_TMAP1OUT))+IF(((c_TMAP2OUT)-(c_TMAP1OUT))&gt;=0,1,-1)*QUOTIENT(((c_TMAP2IN)-(c_TMAP1IN)),2)))&lt;0,-1,0),IF(IF(o_WRAP=1,MOD(((c_TMAP2IN)-(c_TMAP1IN))*(((A17)-(c_TMAP1IN))*((c_TMAP2OUT)-(c_TMAP1OUT))+IF(((c_TMAP2OUT)-(c_TMAP1OUT))&gt;=0,1,-1)*QUOTIENT(((c_TMAP2IN)-(c_TMAP1IN)),2))+2147483648,4294967296)-2147483648,((c_TMAP2IN)-(c_TMAP1IN))*(((A17)-(c_TMAP1IN))*((c_TMAP2OUT)-(c_TMAP1OUT))+IF(((c_TMAP2OUT)-(c_TMAP1OUT))&gt;=0,1,-1)*QUOTIENT(((c_TMAP2IN)-(c_TMAP1IN)),2)))&gt;=0,1,0)))</f>
        <v>35</v>
      </c>
      <c r="F17" s="7" t="n">
        <f aca="false">IF(((c_TMAP3IN)-(c_TMAP2IN))=0,(c_TMAP2OUT)+QUOTIENT(((c_TMAP3OUT)-(c_TMAP2OUT)),2),QUOTIENT((((A17)-(c_TMAP2IN))*((c_TMAP3OUT)-(c_TMAP2OUT))+IF(((c_TMAP3OUT)-(c_TMAP2OUT))&gt;=0,1,-1)*QUOTIENT(((c_TMAP3IN)-(c_TMAP2IN)),2)),((c_TMAP3IN)-(c_TMAP2IN)))+(c_TMAP2OUT)+IF(((c_TMAP3OUT)-(c_TMAP2OUT))&gt;=0,IF(IF(o_WRAP=1,MOD(((c_TMAP3IN)-(c_TMAP2IN))*(((A17)-(c_TMAP2IN))*((c_TMAP3OUT)-(c_TMAP2OUT))+IF(((c_TMAP3OUT)-(c_TMAP2OUT))&gt;=0,1,-1)*QUOTIENT(((c_TMAP3IN)-(c_TMAP2IN)),2))+2147483648,4294967296)-2147483648,((c_TMAP3IN)-(c_TMAP2IN))*(((A17)-(c_TMAP2IN))*((c_TMAP3OUT)-(c_TMAP2OUT))+IF(((c_TMAP3OUT)-(c_TMAP2OUT))&gt;=0,1,-1)*QUOTIENT(((c_TMAP3IN)-(c_TMAP2IN)),2)))&lt;0,-1,0),IF(IF(o_WRAP=1,MOD(((c_TMAP3IN)-(c_TMAP2IN))*(((A17)-(c_TMAP2IN))*((c_TMAP3OUT)-(c_TMAP2OUT))+IF(((c_TMAP3OUT)-(c_TMAP2OUT))&gt;=0,1,-1)*QUOTIENT(((c_TMAP3IN)-(c_TMAP2IN)),2))+2147483648,4294967296)-2147483648,((c_TMAP3IN)-(c_TMAP2IN))*(((A17)-(c_TMAP2IN))*((c_TMAP3OUT)-(c_TMAP2OUT))+IF(((c_TMAP3OUT)-(c_TMAP2OUT))&gt;=0,1,-1)*QUOTIENT(((c_TMAP3IN)-(c_TMAP2IN)),2)))&gt;=0,1,0)))</f>
        <v>-37</v>
      </c>
      <c r="G17" s="7" t="n">
        <f aca="false">IF(((1000)-(c_TMAP3IN))=0,(c_TMAP3OUT)+QUOTIENT(((1000)-(c_TMAP3OUT)),2),QUOTIENT((((A17)-(c_TMAP3IN))*((1000)-(c_TMAP3OUT))+IF(((1000)-(c_TMAP3OUT))&gt;=0,1,-1)*QUOTIENT(((1000)-(c_TMAP3IN)),2)),((1000)-(c_TMAP3IN)))+(c_TMAP3OUT)+IF(((1000)-(c_TMAP3OUT))&gt;=0,IF(IF(o_WRAP=1,MOD(((1000)-(c_TMAP3IN))*(((A17)-(c_TMAP3IN))*((1000)-(c_TMAP3OUT))+IF(((1000)-(c_TMAP3OUT))&gt;=0,1,-1)*QUOTIENT(((1000)-(c_TMAP3IN)),2))+2147483648,4294967296)-2147483648,((1000)-(c_TMAP3IN))*(((A17)-(c_TMAP3IN))*((1000)-(c_TMAP3OUT))+IF(((1000)-(c_TMAP3OUT))&gt;=0,1,-1)*QUOTIENT(((1000)-(c_TMAP3IN)),2)))&lt;0,-1,0),IF(IF(o_WRAP=1,MOD(((1000)-(c_TMAP3IN))*(((A17)-(c_TMAP3IN))*((1000)-(c_TMAP3OUT))+IF(((1000)-(c_TMAP3OUT))&gt;=0,1,-1)*QUOTIENT(((1000)-(c_TMAP3IN)),2))+2147483648,4294967296)-2147483648,((1000)-(c_TMAP3IN))*(((A17)-(c_TMAP3IN))*((1000)-(c_TMAP3OUT))+IF(((1000)-(c_TMAP3OUT))&gt;=0,1,-1)*QUOTIENT(((1000)-(c_TMAP3IN)),2)))&gt;=0,1,0)))</f>
        <v>-216</v>
      </c>
      <c r="H17" s="7" t="str">
        <f aca="false">IF(A17&gt;=c_TFWD,IF(AND(A17&gt;=c_TMAP3IN,c_TMAP3IN&lt;1000),"Seg4 map3-100%",IF(AND(A17&gt;=c_TMAP2IN,c_TMAP3IN&gt;c_TMAP2IN),"Seg3 map2-map3",IF(AND(A17&gt;=c_TMAP1IN,c_TMAP2IN&gt;c_TMAP1IN),"Seg2 map1-map2","Seg1 TFWD-map1"))),IF(AND(A17=0,c_TCREEP&gt;0),"Creep",IF(AND(A17&lt;=c_TRNGMIN,A17&gt;=c_TRNGMAX,c_TRNGMIN-c_TRNGMAX&lt;&gt;0),"Regen ramp","Coast (0)")))</f>
        <v>Seg1 TFWD-map1</v>
      </c>
      <c r="I17" s="7" t="n">
        <f aca="false">IF(A17&gt;=c_TFWD,IF(AND(A17&gt;=c_TMAP3IN,c_TMAP3IN&lt;1000),G17,IF(AND(A17&gt;=c_TMAP2IN,c_TMAP3IN&gt;c_TMAP2IN),F17,IF(AND(A17&gt;=c_TMAP1IN,c_TMAP2IN&gt;c_TMAP1IN),E17,D17))),C17)</f>
        <v>2</v>
      </c>
      <c r="J17" s="7" t="str">
        <f aca="false">IF(I17&lt;-1090,"TOO LOW",IF(I17&gt;1090,"TOO HIGH",""))</f>
        <v/>
      </c>
      <c r="K17" s="15" t="n">
        <f aca="false">IF(J17&lt;&gt;"",0,IF(I17&gt;979,1000,I17))</f>
        <v>2</v>
      </c>
      <c r="L17" s="7" t="n">
        <f aca="false">K17/10</f>
        <v>0.2</v>
      </c>
    </row>
    <row r="18" customFormat="false" ht="15" hidden="false" customHeight="false" outlineLevel="0" collapsed="false">
      <c r="A18" s="7" t="n">
        <v>13</v>
      </c>
      <c r="B18" s="7" t="n">
        <f aca="false">A18/10</f>
        <v>1.3</v>
      </c>
      <c r="C18" s="7" t="n">
        <f aca="false">IF(AND(A18=0,c_TCREEP&gt;0),10*c_TCREEP,IF(AND(A18&lt;=c_TRNGMIN,A18&gt;=c_TRNGMAX,c_TRNGMIN-c_TRNGMAX&lt;&gt;0),-10*c_TMINRN+QUOTIENT((c_TMAXRN-c_TMINRN)*(100-QUOTIENT((A18-c_TRNGMAX)*100,c_TRNGMIN-c_TRNGMAX)),-10),0))</f>
        <v>0</v>
      </c>
      <c r="D18" s="7" t="n">
        <f aca="false">IF(((c_TMAP1IN)-(c_TFWD))=0,(0)+QUOTIENT(((c_TMAP1OUT)-(0)),2),QUOTIENT((((A18)-(c_TFWD))*((c_TMAP1OUT)-(0))+IF(((c_TMAP1OUT)-(0))&gt;=0,1,-1)*QUOTIENT(((c_TMAP1IN)-(c_TFWD)),2)),((c_TMAP1IN)-(c_TFWD)))+(0)+IF(((c_TMAP1OUT)-(0))&gt;=0,IF(IF(o_WRAP=1,MOD(((c_TMAP1IN)-(c_TFWD))*(((A18)-(c_TFWD))*((c_TMAP1OUT)-(0))+IF(((c_TMAP1OUT)-(0))&gt;=0,1,-1)*QUOTIENT(((c_TMAP1IN)-(c_TFWD)),2))+2147483648,4294967296)-2147483648,((c_TMAP1IN)-(c_TFWD))*(((A18)-(c_TFWD))*((c_TMAP1OUT)-(0))+IF(((c_TMAP1OUT)-(0))&gt;=0,1,-1)*QUOTIENT(((c_TMAP1IN)-(c_TFWD)),2)))&lt;0,-1,0),IF(IF(o_WRAP=1,MOD(((c_TMAP1IN)-(c_TFWD))*(((A18)-(c_TFWD))*((c_TMAP1OUT)-(0))+IF(((c_TMAP1OUT)-(0))&gt;=0,1,-1)*QUOTIENT(((c_TMAP1IN)-(c_TFWD)),2))+2147483648,4294967296)-2147483648,((c_TMAP1IN)-(c_TFWD))*(((A18)-(c_TFWD))*((c_TMAP1OUT)-(0))+IF(((c_TMAP1OUT)-(0))&gt;=0,1,-1)*QUOTIENT(((c_TMAP1IN)-(c_TFWD)),2)))&gt;=0,1,0)))</f>
        <v>2</v>
      </c>
      <c r="E18" s="7" t="n">
        <f aca="false">IF(((c_TMAP2IN)-(c_TMAP1IN))=0,(c_TMAP1OUT)+QUOTIENT(((c_TMAP2OUT)-(c_TMAP1OUT)),2),QUOTIENT((((A18)-(c_TMAP1IN))*((c_TMAP2OUT)-(c_TMAP1OUT))+IF(((c_TMAP2OUT)-(c_TMAP1OUT))&gt;=0,1,-1)*QUOTIENT(((c_TMAP2IN)-(c_TMAP1IN)),2)),((c_TMAP2IN)-(c_TMAP1IN)))+(c_TMAP1OUT)+IF(((c_TMAP2OUT)-(c_TMAP1OUT))&gt;=0,IF(IF(o_WRAP=1,MOD(((c_TMAP2IN)-(c_TMAP1IN))*(((A18)-(c_TMAP1IN))*((c_TMAP2OUT)-(c_TMAP1OUT))+IF(((c_TMAP2OUT)-(c_TMAP1OUT))&gt;=0,1,-1)*QUOTIENT(((c_TMAP2IN)-(c_TMAP1IN)),2))+2147483648,4294967296)-2147483648,((c_TMAP2IN)-(c_TMAP1IN))*(((A18)-(c_TMAP1IN))*((c_TMAP2OUT)-(c_TMAP1OUT))+IF(((c_TMAP2OUT)-(c_TMAP1OUT))&gt;=0,1,-1)*QUOTIENT(((c_TMAP2IN)-(c_TMAP1IN)),2)))&lt;0,-1,0),IF(IF(o_WRAP=1,MOD(((c_TMAP2IN)-(c_TMAP1IN))*(((A18)-(c_TMAP1IN))*((c_TMAP2OUT)-(c_TMAP1OUT))+IF(((c_TMAP2OUT)-(c_TMAP1OUT))&gt;=0,1,-1)*QUOTIENT(((c_TMAP2IN)-(c_TMAP1IN)),2))+2147483648,4294967296)-2147483648,((c_TMAP2IN)-(c_TMAP1IN))*(((A18)-(c_TMAP1IN))*((c_TMAP2OUT)-(c_TMAP1OUT))+IF(((c_TMAP2OUT)-(c_TMAP1OUT))&gt;=0,1,-1)*QUOTIENT(((c_TMAP2IN)-(c_TMAP1IN)),2)))&gt;=0,1,0)))</f>
        <v>35</v>
      </c>
      <c r="F18" s="7" t="n">
        <f aca="false">IF(((c_TMAP3IN)-(c_TMAP2IN))=0,(c_TMAP2OUT)+QUOTIENT(((c_TMAP3OUT)-(c_TMAP2OUT)),2),QUOTIENT((((A18)-(c_TMAP2IN))*((c_TMAP3OUT)-(c_TMAP2OUT))+IF(((c_TMAP3OUT)-(c_TMAP2OUT))&gt;=0,1,-1)*QUOTIENT(((c_TMAP3IN)-(c_TMAP2IN)),2)),((c_TMAP3IN)-(c_TMAP2IN)))+(c_TMAP2OUT)+IF(((c_TMAP3OUT)-(c_TMAP2OUT))&gt;=0,IF(IF(o_WRAP=1,MOD(((c_TMAP3IN)-(c_TMAP2IN))*(((A18)-(c_TMAP2IN))*((c_TMAP3OUT)-(c_TMAP2OUT))+IF(((c_TMAP3OUT)-(c_TMAP2OUT))&gt;=0,1,-1)*QUOTIENT(((c_TMAP3IN)-(c_TMAP2IN)),2))+2147483648,4294967296)-2147483648,((c_TMAP3IN)-(c_TMAP2IN))*(((A18)-(c_TMAP2IN))*((c_TMAP3OUT)-(c_TMAP2OUT))+IF(((c_TMAP3OUT)-(c_TMAP2OUT))&gt;=0,1,-1)*QUOTIENT(((c_TMAP3IN)-(c_TMAP2IN)),2)))&lt;0,-1,0),IF(IF(o_WRAP=1,MOD(((c_TMAP3IN)-(c_TMAP2IN))*(((A18)-(c_TMAP2IN))*((c_TMAP3OUT)-(c_TMAP2OUT))+IF(((c_TMAP3OUT)-(c_TMAP2OUT))&gt;=0,1,-1)*QUOTIENT(((c_TMAP3IN)-(c_TMAP2IN)),2))+2147483648,4294967296)-2147483648,((c_TMAP3IN)-(c_TMAP2IN))*(((A18)-(c_TMAP2IN))*((c_TMAP3OUT)-(c_TMAP2OUT))+IF(((c_TMAP3OUT)-(c_TMAP2OUT))&gt;=0,1,-1)*QUOTIENT(((c_TMAP3IN)-(c_TMAP2IN)),2)))&gt;=0,1,0)))</f>
        <v>-36</v>
      </c>
      <c r="G18" s="7" t="n">
        <f aca="false">IF(((1000)-(c_TMAP3IN))=0,(c_TMAP3OUT)+QUOTIENT(((1000)-(c_TMAP3OUT)),2),QUOTIENT((((A18)-(c_TMAP3IN))*((1000)-(c_TMAP3OUT))+IF(((1000)-(c_TMAP3OUT))&gt;=0,1,-1)*QUOTIENT(((1000)-(c_TMAP3IN)),2)),((1000)-(c_TMAP3IN)))+(c_TMAP3OUT)+IF(((1000)-(c_TMAP3OUT))&gt;=0,IF(IF(o_WRAP=1,MOD(((1000)-(c_TMAP3IN))*(((A18)-(c_TMAP3IN))*((1000)-(c_TMAP3OUT))+IF(((1000)-(c_TMAP3OUT))&gt;=0,1,-1)*QUOTIENT(((1000)-(c_TMAP3IN)),2))+2147483648,4294967296)-2147483648,((1000)-(c_TMAP3IN))*(((A18)-(c_TMAP3IN))*((1000)-(c_TMAP3OUT))+IF(((1000)-(c_TMAP3OUT))&gt;=0,1,-1)*QUOTIENT(((1000)-(c_TMAP3IN)),2)))&lt;0,-1,0),IF(IF(o_WRAP=1,MOD(((1000)-(c_TMAP3IN))*(((A18)-(c_TMAP3IN))*((1000)-(c_TMAP3OUT))+IF(((1000)-(c_TMAP3OUT))&gt;=0,1,-1)*QUOTIENT(((1000)-(c_TMAP3IN)),2))+2147483648,4294967296)-2147483648,((1000)-(c_TMAP3IN))*(((A18)-(c_TMAP3IN))*((1000)-(c_TMAP3OUT))+IF(((1000)-(c_TMAP3OUT))&gt;=0,1,-1)*QUOTIENT(((1000)-(c_TMAP3IN)),2)))&gt;=0,1,0)))</f>
        <v>-215</v>
      </c>
      <c r="H18" s="7" t="str">
        <f aca="false">IF(A18&gt;=c_TFWD,IF(AND(A18&gt;=c_TMAP3IN,c_TMAP3IN&lt;1000),"Seg4 map3-100%",IF(AND(A18&gt;=c_TMAP2IN,c_TMAP3IN&gt;c_TMAP2IN),"Seg3 map2-map3",IF(AND(A18&gt;=c_TMAP1IN,c_TMAP2IN&gt;c_TMAP1IN),"Seg2 map1-map2","Seg1 TFWD-map1"))),IF(AND(A18=0,c_TCREEP&gt;0),"Creep",IF(AND(A18&lt;=c_TRNGMIN,A18&gt;=c_TRNGMAX,c_TRNGMIN-c_TRNGMAX&lt;&gt;0),"Regen ramp","Coast (0)")))</f>
        <v>Seg1 TFWD-map1</v>
      </c>
      <c r="I18" s="7" t="n">
        <f aca="false">IF(A18&gt;=c_TFWD,IF(AND(A18&gt;=c_TMAP3IN,c_TMAP3IN&lt;1000),G18,IF(AND(A18&gt;=c_TMAP2IN,c_TMAP3IN&gt;c_TMAP2IN),F18,IF(AND(A18&gt;=c_TMAP1IN,c_TMAP2IN&gt;c_TMAP1IN),E18,D18))),C18)</f>
        <v>2</v>
      </c>
      <c r="J18" s="7" t="str">
        <f aca="false">IF(I18&lt;-1090,"TOO LOW",IF(I18&gt;1090,"TOO HIGH",""))</f>
        <v/>
      </c>
      <c r="K18" s="15" t="n">
        <f aca="false">IF(J18&lt;&gt;"",0,IF(I18&gt;979,1000,I18))</f>
        <v>2</v>
      </c>
      <c r="L18" s="7" t="n">
        <f aca="false">K18/10</f>
        <v>0.2</v>
      </c>
    </row>
    <row r="19" customFormat="false" ht="15" hidden="false" customHeight="false" outlineLevel="0" collapsed="false">
      <c r="A19" s="7" t="n">
        <v>14</v>
      </c>
      <c r="B19" s="7" t="n">
        <f aca="false">A19/10</f>
        <v>1.4</v>
      </c>
      <c r="C19" s="7" t="n">
        <f aca="false">IF(AND(A19=0,c_TCREEP&gt;0),10*c_TCREEP,IF(AND(A19&lt;=c_TRNGMIN,A19&gt;=c_TRNGMAX,c_TRNGMIN-c_TRNGMAX&lt;&gt;0),-10*c_TMINRN+QUOTIENT((c_TMAXRN-c_TMINRN)*(100-QUOTIENT((A19-c_TRNGMAX)*100,c_TRNGMIN-c_TRNGMAX)),-10),0))</f>
        <v>0</v>
      </c>
      <c r="D19" s="7" t="n">
        <f aca="false">IF(((c_TMAP1IN)-(c_TFWD))=0,(0)+QUOTIENT(((c_TMAP1OUT)-(0)),2),QUOTIENT((((A19)-(c_TFWD))*((c_TMAP1OUT)-(0))+IF(((c_TMAP1OUT)-(0))&gt;=0,1,-1)*QUOTIENT(((c_TMAP1IN)-(c_TFWD)),2)),((c_TMAP1IN)-(c_TFWD)))+(0)+IF(((c_TMAP1OUT)-(0))&gt;=0,IF(IF(o_WRAP=1,MOD(((c_TMAP1IN)-(c_TFWD))*(((A19)-(c_TFWD))*((c_TMAP1OUT)-(0))+IF(((c_TMAP1OUT)-(0))&gt;=0,1,-1)*QUOTIENT(((c_TMAP1IN)-(c_TFWD)),2))+2147483648,4294967296)-2147483648,((c_TMAP1IN)-(c_TFWD))*(((A19)-(c_TFWD))*((c_TMAP1OUT)-(0))+IF(((c_TMAP1OUT)-(0))&gt;=0,1,-1)*QUOTIENT(((c_TMAP1IN)-(c_TFWD)),2)))&lt;0,-1,0),IF(IF(o_WRAP=1,MOD(((c_TMAP1IN)-(c_TFWD))*(((A19)-(c_TFWD))*((c_TMAP1OUT)-(0))+IF(((c_TMAP1OUT)-(0))&gt;=0,1,-1)*QUOTIENT(((c_TMAP1IN)-(c_TFWD)),2))+2147483648,4294967296)-2147483648,((c_TMAP1IN)-(c_TFWD))*(((A19)-(c_TFWD))*((c_TMAP1OUT)-(0))+IF(((c_TMAP1OUT)-(0))&gt;=0,1,-1)*QUOTIENT(((c_TMAP1IN)-(c_TFWD)),2)))&gt;=0,1,0)))</f>
        <v>3</v>
      </c>
      <c r="E19" s="7" t="n">
        <f aca="false">IF(((c_TMAP2IN)-(c_TMAP1IN))=0,(c_TMAP1OUT)+QUOTIENT(((c_TMAP2OUT)-(c_TMAP1OUT)),2),QUOTIENT((((A19)-(c_TMAP1IN))*((c_TMAP2OUT)-(c_TMAP1OUT))+IF(((c_TMAP2OUT)-(c_TMAP1OUT))&gt;=0,1,-1)*QUOTIENT(((c_TMAP2IN)-(c_TMAP1IN)),2)),((c_TMAP2IN)-(c_TMAP1IN)))+(c_TMAP1OUT)+IF(((c_TMAP2OUT)-(c_TMAP1OUT))&gt;=0,IF(IF(o_WRAP=1,MOD(((c_TMAP2IN)-(c_TMAP1IN))*(((A19)-(c_TMAP1IN))*((c_TMAP2OUT)-(c_TMAP1OUT))+IF(((c_TMAP2OUT)-(c_TMAP1OUT))&gt;=0,1,-1)*QUOTIENT(((c_TMAP2IN)-(c_TMAP1IN)),2))+2147483648,4294967296)-2147483648,((c_TMAP2IN)-(c_TMAP1IN))*(((A19)-(c_TMAP1IN))*((c_TMAP2OUT)-(c_TMAP1OUT))+IF(((c_TMAP2OUT)-(c_TMAP1OUT))&gt;=0,1,-1)*QUOTIENT(((c_TMAP2IN)-(c_TMAP1IN)),2)))&lt;0,-1,0),IF(IF(o_WRAP=1,MOD(((c_TMAP2IN)-(c_TMAP1IN))*(((A19)-(c_TMAP1IN))*((c_TMAP2OUT)-(c_TMAP1OUT))+IF(((c_TMAP2OUT)-(c_TMAP1OUT))&gt;=0,1,-1)*QUOTIENT(((c_TMAP2IN)-(c_TMAP1IN)),2))+2147483648,4294967296)-2147483648,((c_TMAP2IN)-(c_TMAP1IN))*(((A19)-(c_TMAP1IN))*((c_TMAP2OUT)-(c_TMAP1OUT))+IF(((c_TMAP2OUT)-(c_TMAP1OUT))&gt;=0,1,-1)*QUOTIENT(((c_TMAP2IN)-(c_TMAP1IN)),2)))&gt;=0,1,0)))</f>
        <v>36</v>
      </c>
      <c r="F19" s="7" t="n">
        <f aca="false">IF(((c_TMAP3IN)-(c_TMAP2IN))=0,(c_TMAP2OUT)+QUOTIENT(((c_TMAP3OUT)-(c_TMAP2OUT)),2),QUOTIENT((((A19)-(c_TMAP2IN))*((c_TMAP3OUT)-(c_TMAP2OUT))+IF(((c_TMAP3OUT)-(c_TMAP2OUT))&gt;=0,1,-1)*QUOTIENT(((c_TMAP3IN)-(c_TMAP2IN)),2)),((c_TMAP3IN)-(c_TMAP2IN)))+(c_TMAP2OUT)+IF(((c_TMAP3OUT)-(c_TMAP2OUT))&gt;=0,IF(IF(o_WRAP=1,MOD(((c_TMAP3IN)-(c_TMAP2IN))*(((A19)-(c_TMAP2IN))*((c_TMAP3OUT)-(c_TMAP2OUT))+IF(((c_TMAP3OUT)-(c_TMAP2OUT))&gt;=0,1,-1)*QUOTIENT(((c_TMAP3IN)-(c_TMAP2IN)),2))+2147483648,4294967296)-2147483648,((c_TMAP3IN)-(c_TMAP2IN))*(((A19)-(c_TMAP2IN))*((c_TMAP3OUT)-(c_TMAP2OUT))+IF(((c_TMAP3OUT)-(c_TMAP2OUT))&gt;=0,1,-1)*QUOTIENT(((c_TMAP3IN)-(c_TMAP2IN)),2)))&lt;0,-1,0),IF(IF(o_WRAP=1,MOD(((c_TMAP3IN)-(c_TMAP2IN))*(((A19)-(c_TMAP2IN))*((c_TMAP3OUT)-(c_TMAP2OUT))+IF(((c_TMAP3OUT)-(c_TMAP2OUT))&gt;=0,1,-1)*QUOTIENT(((c_TMAP3IN)-(c_TMAP2IN)),2))+2147483648,4294967296)-2147483648,((c_TMAP3IN)-(c_TMAP2IN))*(((A19)-(c_TMAP2IN))*((c_TMAP3OUT)-(c_TMAP2OUT))+IF(((c_TMAP3OUT)-(c_TMAP2OUT))&gt;=0,1,-1)*QUOTIENT(((c_TMAP3IN)-(c_TMAP2IN)),2)))&gt;=0,1,0)))</f>
        <v>-35</v>
      </c>
      <c r="G19" s="7" t="n">
        <f aca="false">IF(((1000)-(c_TMAP3IN))=0,(c_TMAP3OUT)+QUOTIENT(((1000)-(c_TMAP3OUT)),2),QUOTIENT((((A19)-(c_TMAP3IN))*((1000)-(c_TMAP3OUT))+IF(((1000)-(c_TMAP3OUT))&gt;=0,1,-1)*QUOTIENT(((1000)-(c_TMAP3IN)),2)),((1000)-(c_TMAP3IN)))+(c_TMAP3OUT)+IF(((1000)-(c_TMAP3OUT))&gt;=0,IF(IF(o_WRAP=1,MOD(((1000)-(c_TMAP3IN))*(((A19)-(c_TMAP3IN))*((1000)-(c_TMAP3OUT))+IF(((1000)-(c_TMAP3OUT))&gt;=0,1,-1)*QUOTIENT(((1000)-(c_TMAP3IN)),2))+2147483648,4294967296)-2147483648,((1000)-(c_TMAP3IN))*(((A19)-(c_TMAP3IN))*((1000)-(c_TMAP3OUT))+IF(((1000)-(c_TMAP3OUT))&gt;=0,1,-1)*QUOTIENT(((1000)-(c_TMAP3IN)),2)))&lt;0,-1,0),IF(IF(o_WRAP=1,MOD(((1000)-(c_TMAP3IN))*(((A19)-(c_TMAP3IN))*((1000)-(c_TMAP3OUT))+IF(((1000)-(c_TMAP3OUT))&gt;=0,1,-1)*QUOTIENT(((1000)-(c_TMAP3IN)),2))+2147483648,4294967296)-2147483648,((1000)-(c_TMAP3IN))*(((A19)-(c_TMAP3IN))*((1000)-(c_TMAP3OUT))+IF(((1000)-(c_TMAP3OUT))&gt;=0,1,-1)*QUOTIENT(((1000)-(c_TMAP3IN)),2)))&gt;=0,1,0)))</f>
        <v>-214</v>
      </c>
      <c r="H19" s="7" t="str">
        <f aca="false">IF(A19&gt;=c_TFWD,IF(AND(A19&gt;=c_TMAP3IN,c_TMAP3IN&lt;1000),"Seg4 map3-100%",IF(AND(A19&gt;=c_TMAP2IN,c_TMAP3IN&gt;c_TMAP2IN),"Seg3 map2-map3",IF(AND(A19&gt;=c_TMAP1IN,c_TMAP2IN&gt;c_TMAP1IN),"Seg2 map1-map2","Seg1 TFWD-map1"))),IF(AND(A19=0,c_TCREEP&gt;0),"Creep",IF(AND(A19&lt;=c_TRNGMIN,A19&gt;=c_TRNGMAX,c_TRNGMIN-c_TRNGMAX&lt;&gt;0),"Regen ramp","Coast (0)")))</f>
        <v>Seg1 TFWD-map1</v>
      </c>
      <c r="I19" s="7" t="n">
        <f aca="false">IF(A19&gt;=c_TFWD,IF(AND(A19&gt;=c_TMAP3IN,c_TMAP3IN&lt;1000),G19,IF(AND(A19&gt;=c_TMAP2IN,c_TMAP3IN&gt;c_TMAP2IN),F19,IF(AND(A19&gt;=c_TMAP1IN,c_TMAP2IN&gt;c_TMAP1IN),E19,D19))),C19)</f>
        <v>3</v>
      </c>
      <c r="J19" s="7" t="str">
        <f aca="false">IF(I19&lt;-1090,"TOO LOW",IF(I19&gt;1090,"TOO HIGH",""))</f>
        <v/>
      </c>
      <c r="K19" s="15" t="n">
        <f aca="false">IF(J19&lt;&gt;"",0,IF(I19&gt;979,1000,I19))</f>
        <v>3</v>
      </c>
      <c r="L19" s="7" t="n">
        <f aca="false">K19/10</f>
        <v>0.3</v>
      </c>
    </row>
    <row r="20" customFormat="false" ht="15" hidden="false" customHeight="false" outlineLevel="0" collapsed="false">
      <c r="A20" s="7" t="n">
        <v>15</v>
      </c>
      <c r="B20" s="7" t="n">
        <f aca="false">A20/10</f>
        <v>1.5</v>
      </c>
      <c r="C20" s="7" t="n">
        <f aca="false">IF(AND(A20=0,c_TCREEP&gt;0),10*c_TCREEP,IF(AND(A20&lt;=c_TRNGMIN,A20&gt;=c_TRNGMAX,c_TRNGMIN-c_TRNGMAX&lt;&gt;0),-10*c_TMINRN+QUOTIENT((c_TMAXRN-c_TMINRN)*(100-QUOTIENT((A20-c_TRNGMAX)*100,c_TRNGMIN-c_TRNGMAX)),-10),0))</f>
        <v>0</v>
      </c>
      <c r="D20" s="7" t="n">
        <f aca="false">IF(((c_TMAP1IN)-(c_TFWD))=0,(0)+QUOTIENT(((c_TMAP1OUT)-(0)),2),QUOTIENT((((A20)-(c_TFWD))*((c_TMAP1OUT)-(0))+IF(((c_TMAP1OUT)-(0))&gt;=0,1,-1)*QUOTIENT(((c_TMAP1IN)-(c_TFWD)),2)),((c_TMAP1IN)-(c_TFWD)))+(0)+IF(((c_TMAP1OUT)-(0))&gt;=0,IF(IF(o_WRAP=1,MOD(((c_TMAP1IN)-(c_TFWD))*(((A20)-(c_TFWD))*((c_TMAP1OUT)-(0))+IF(((c_TMAP1OUT)-(0))&gt;=0,1,-1)*QUOTIENT(((c_TMAP1IN)-(c_TFWD)),2))+2147483648,4294967296)-2147483648,((c_TMAP1IN)-(c_TFWD))*(((A20)-(c_TFWD))*((c_TMAP1OUT)-(0))+IF(((c_TMAP1OUT)-(0))&gt;=0,1,-1)*QUOTIENT(((c_TMAP1IN)-(c_TFWD)),2)))&lt;0,-1,0),IF(IF(o_WRAP=1,MOD(((c_TMAP1IN)-(c_TFWD))*(((A20)-(c_TFWD))*((c_TMAP1OUT)-(0))+IF(((c_TMAP1OUT)-(0))&gt;=0,1,-1)*QUOTIENT(((c_TMAP1IN)-(c_TFWD)),2))+2147483648,4294967296)-2147483648,((c_TMAP1IN)-(c_TFWD))*(((A20)-(c_TFWD))*((c_TMAP1OUT)-(0))+IF(((c_TMAP1OUT)-(0))&gt;=0,1,-1)*QUOTIENT(((c_TMAP1IN)-(c_TFWD)),2)))&gt;=0,1,0)))</f>
        <v>4</v>
      </c>
      <c r="E20" s="7" t="n">
        <f aca="false">IF(((c_TMAP2IN)-(c_TMAP1IN))=0,(c_TMAP1OUT)+QUOTIENT(((c_TMAP2OUT)-(c_TMAP1OUT)),2),QUOTIENT((((A20)-(c_TMAP1IN))*((c_TMAP2OUT)-(c_TMAP1OUT))+IF(((c_TMAP2OUT)-(c_TMAP1OUT))&gt;=0,1,-1)*QUOTIENT(((c_TMAP2IN)-(c_TMAP1IN)),2)),((c_TMAP2IN)-(c_TMAP1IN)))+(c_TMAP1OUT)+IF(((c_TMAP2OUT)-(c_TMAP1OUT))&gt;=0,IF(IF(o_WRAP=1,MOD(((c_TMAP2IN)-(c_TMAP1IN))*(((A20)-(c_TMAP1IN))*((c_TMAP2OUT)-(c_TMAP1OUT))+IF(((c_TMAP2OUT)-(c_TMAP1OUT))&gt;=0,1,-1)*QUOTIENT(((c_TMAP2IN)-(c_TMAP1IN)),2))+2147483648,4294967296)-2147483648,((c_TMAP2IN)-(c_TMAP1IN))*(((A20)-(c_TMAP1IN))*((c_TMAP2OUT)-(c_TMAP1OUT))+IF(((c_TMAP2OUT)-(c_TMAP1OUT))&gt;=0,1,-1)*QUOTIENT(((c_TMAP2IN)-(c_TMAP1IN)),2)))&lt;0,-1,0),IF(IF(o_WRAP=1,MOD(((c_TMAP2IN)-(c_TMAP1IN))*(((A20)-(c_TMAP1IN))*((c_TMAP2OUT)-(c_TMAP1OUT))+IF(((c_TMAP2OUT)-(c_TMAP1OUT))&gt;=0,1,-1)*QUOTIENT(((c_TMAP2IN)-(c_TMAP1IN)),2))+2147483648,4294967296)-2147483648,((c_TMAP2IN)-(c_TMAP1IN))*(((A20)-(c_TMAP1IN))*((c_TMAP2OUT)-(c_TMAP1OUT))+IF(((c_TMAP2OUT)-(c_TMAP1OUT))&gt;=0,1,-1)*QUOTIENT(((c_TMAP2IN)-(c_TMAP1IN)),2)))&gt;=0,1,0)))</f>
        <v>36</v>
      </c>
      <c r="F20" s="7" t="n">
        <f aca="false">IF(((c_TMAP3IN)-(c_TMAP2IN))=0,(c_TMAP2OUT)+QUOTIENT(((c_TMAP3OUT)-(c_TMAP2OUT)),2),QUOTIENT((((A20)-(c_TMAP2IN))*((c_TMAP3OUT)-(c_TMAP2OUT))+IF(((c_TMAP3OUT)-(c_TMAP2OUT))&gt;=0,1,-1)*QUOTIENT(((c_TMAP3IN)-(c_TMAP2IN)),2)),((c_TMAP3IN)-(c_TMAP2IN)))+(c_TMAP2OUT)+IF(((c_TMAP3OUT)-(c_TMAP2OUT))&gt;=0,IF(IF(o_WRAP=1,MOD(((c_TMAP3IN)-(c_TMAP2IN))*(((A20)-(c_TMAP2IN))*((c_TMAP3OUT)-(c_TMAP2OUT))+IF(((c_TMAP3OUT)-(c_TMAP2OUT))&gt;=0,1,-1)*QUOTIENT(((c_TMAP3IN)-(c_TMAP2IN)),2))+2147483648,4294967296)-2147483648,((c_TMAP3IN)-(c_TMAP2IN))*(((A20)-(c_TMAP2IN))*((c_TMAP3OUT)-(c_TMAP2OUT))+IF(((c_TMAP3OUT)-(c_TMAP2OUT))&gt;=0,1,-1)*QUOTIENT(((c_TMAP3IN)-(c_TMAP2IN)),2)))&lt;0,-1,0),IF(IF(o_WRAP=1,MOD(((c_TMAP3IN)-(c_TMAP2IN))*(((A20)-(c_TMAP2IN))*((c_TMAP3OUT)-(c_TMAP2OUT))+IF(((c_TMAP3OUT)-(c_TMAP2OUT))&gt;=0,1,-1)*QUOTIENT(((c_TMAP3IN)-(c_TMAP2IN)),2))+2147483648,4294967296)-2147483648,((c_TMAP3IN)-(c_TMAP2IN))*(((A20)-(c_TMAP2IN))*((c_TMAP3OUT)-(c_TMAP2OUT))+IF(((c_TMAP3OUT)-(c_TMAP2OUT))&gt;=0,1,-1)*QUOTIENT(((c_TMAP3IN)-(c_TMAP2IN)),2)))&gt;=0,1,0)))</f>
        <v>-35</v>
      </c>
      <c r="G20" s="7" t="n">
        <f aca="false">IF(((1000)-(c_TMAP3IN))=0,(c_TMAP3OUT)+QUOTIENT(((1000)-(c_TMAP3OUT)),2),QUOTIENT((((A20)-(c_TMAP3IN))*((1000)-(c_TMAP3OUT))+IF(((1000)-(c_TMAP3OUT))&gt;=0,1,-1)*QUOTIENT(((1000)-(c_TMAP3IN)),2)),((1000)-(c_TMAP3IN)))+(c_TMAP3OUT)+IF(((1000)-(c_TMAP3OUT))&gt;=0,IF(IF(o_WRAP=1,MOD(((1000)-(c_TMAP3IN))*(((A20)-(c_TMAP3IN))*((1000)-(c_TMAP3OUT))+IF(((1000)-(c_TMAP3OUT))&gt;=0,1,-1)*QUOTIENT(((1000)-(c_TMAP3IN)),2))+2147483648,4294967296)-2147483648,((1000)-(c_TMAP3IN))*(((A20)-(c_TMAP3IN))*((1000)-(c_TMAP3OUT))+IF(((1000)-(c_TMAP3OUT))&gt;=0,1,-1)*QUOTIENT(((1000)-(c_TMAP3IN)),2)))&lt;0,-1,0),IF(IF(o_WRAP=1,MOD(((1000)-(c_TMAP3IN))*(((A20)-(c_TMAP3IN))*((1000)-(c_TMAP3OUT))+IF(((1000)-(c_TMAP3OUT))&gt;=0,1,-1)*QUOTIENT(((1000)-(c_TMAP3IN)),2))+2147483648,4294967296)-2147483648,((1000)-(c_TMAP3IN))*(((A20)-(c_TMAP3IN))*((1000)-(c_TMAP3OUT))+IF(((1000)-(c_TMAP3OUT))&gt;=0,1,-1)*QUOTIENT(((1000)-(c_TMAP3IN)),2)))&gt;=0,1,0)))</f>
        <v>-212</v>
      </c>
      <c r="H20" s="7" t="str">
        <f aca="false">IF(A20&gt;=c_TFWD,IF(AND(A20&gt;=c_TMAP3IN,c_TMAP3IN&lt;1000),"Seg4 map3-100%",IF(AND(A20&gt;=c_TMAP2IN,c_TMAP3IN&gt;c_TMAP2IN),"Seg3 map2-map3",IF(AND(A20&gt;=c_TMAP1IN,c_TMAP2IN&gt;c_TMAP1IN),"Seg2 map1-map2","Seg1 TFWD-map1"))),IF(AND(A20=0,c_TCREEP&gt;0),"Creep",IF(AND(A20&lt;=c_TRNGMIN,A20&gt;=c_TRNGMAX,c_TRNGMIN-c_TRNGMAX&lt;&gt;0),"Regen ramp","Coast (0)")))</f>
        <v>Seg1 TFWD-map1</v>
      </c>
      <c r="I20" s="7" t="n">
        <f aca="false">IF(A20&gt;=c_TFWD,IF(AND(A20&gt;=c_TMAP3IN,c_TMAP3IN&lt;1000),G20,IF(AND(A20&gt;=c_TMAP2IN,c_TMAP3IN&gt;c_TMAP2IN),F20,IF(AND(A20&gt;=c_TMAP1IN,c_TMAP2IN&gt;c_TMAP1IN),E20,D20))),C20)</f>
        <v>4</v>
      </c>
      <c r="J20" s="7" t="str">
        <f aca="false">IF(I20&lt;-1090,"TOO LOW",IF(I20&gt;1090,"TOO HIGH",""))</f>
        <v/>
      </c>
      <c r="K20" s="15" t="n">
        <f aca="false">IF(J20&lt;&gt;"",0,IF(I20&gt;979,1000,I20))</f>
        <v>4</v>
      </c>
      <c r="L20" s="7" t="n">
        <f aca="false">K20/10</f>
        <v>0.4</v>
      </c>
    </row>
    <row r="21" customFormat="false" ht="15" hidden="false" customHeight="false" outlineLevel="0" collapsed="false">
      <c r="A21" s="7" t="n">
        <v>16</v>
      </c>
      <c r="B21" s="7" t="n">
        <f aca="false">A21/10</f>
        <v>1.6</v>
      </c>
      <c r="C21" s="7" t="n">
        <f aca="false">IF(AND(A21=0,c_TCREEP&gt;0),10*c_TCREEP,IF(AND(A21&lt;=c_TRNGMIN,A21&gt;=c_TRNGMAX,c_TRNGMIN-c_TRNGMAX&lt;&gt;0),-10*c_TMINRN+QUOTIENT((c_TMAXRN-c_TMINRN)*(100-QUOTIENT((A21-c_TRNGMAX)*100,c_TRNGMIN-c_TRNGMAX)),-10),0))</f>
        <v>0</v>
      </c>
      <c r="D21" s="7" t="n">
        <f aca="false">IF(((c_TMAP1IN)-(c_TFWD))=0,(0)+QUOTIENT(((c_TMAP1OUT)-(0)),2),QUOTIENT((((A21)-(c_TFWD))*((c_TMAP1OUT)-(0))+IF(((c_TMAP1OUT)-(0))&gt;=0,1,-1)*QUOTIENT(((c_TMAP1IN)-(c_TFWD)),2)),((c_TMAP1IN)-(c_TFWD)))+(0)+IF(((c_TMAP1OUT)-(0))&gt;=0,IF(IF(o_WRAP=1,MOD(((c_TMAP1IN)-(c_TFWD))*(((A21)-(c_TFWD))*((c_TMAP1OUT)-(0))+IF(((c_TMAP1OUT)-(0))&gt;=0,1,-1)*QUOTIENT(((c_TMAP1IN)-(c_TFWD)),2))+2147483648,4294967296)-2147483648,((c_TMAP1IN)-(c_TFWD))*(((A21)-(c_TFWD))*((c_TMAP1OUT)-(0))+IF(((c_TMAP1OUT)-(0))&gt;=0,1,-1)*QUOTIENT(((c_TMAP1IN)-(c_TFWD)),2)))&lt;0,-1,0),IF(IF(o_WRAP=1,MOD(((c_TMAP1IN)-(c_TFWD))*(((A21)-(c_TFWD))*((c_TMAP1OUT)-(0))+IF(((c_TMAP1OUT)-(0))&gt;=0,1,-1)*QUOTIENT(((c_TMAP1IN)-(c_TFWD)),2))+2147483648,4294967296)-2147483648,((c_TMAP1IN)-(c_TFWD))*(((A21)-(c_TFWD))*((c_TMAP1OUT)-(0))+IF(((c_TMAP1OUT)-(0))&gt;=0,1,-1)*QUOTIENT(((c_TMAP1IN)-(c_TFWD)),2)))&gt;=0,1,0)))</f>
        <v>5</v>
      </c>
      <c r="E21" s="7" t="n">
        <f aca="false">IF(((c_TMAP2IN)-(c_TMAP1IN))=0,(c_TMAP1OUT)+QUOTIENT(((c_TMAP2OUT)-(c_TMAP1OUT)),2),QUOTIENT((((A21)-(c_TMAP1IN))*((c_TMAP2OUT)-(c_TMAP1OUT))+IF(((c_TMAP2OUT)-(c_TMAP1OUT))&gt;=0,1,-1)*QUOTIENT(((c_TMAP2IN)-(c_TMAP1IN)),2)),((c_TMAP2IN)-(c_TMAP1IN)))+(c_TMAP1OUT)+IF(((c_TMAP2OUT)-(c_TMAP1OUT))&gt;=0,IF(IF(o_WRAP=1,MOD(((c_TMAP2IN)-(c_TMAP1IN))*(((A21)-(c_TMAP1IN))*((c_TMAP2OUT)-(c_TMAP1OUT))+IF(((c_TMAP2OUT)-(c_TMAP1OUT))&gt;=0,1,-1)*QUOTIENT(((c_TMAP2IN)-(c_TMAP1IN)),2))+2147483648,4294967296)-2147483648,((c_TMAP2IN)-(c_TMAP1IN))*(((A21)-(c_TMAP1IN))*((c_TMAP2OUT)-(c_TMAP1OUT))+IF(((c_TMAP2OUT)-(c_TMAP1OUT))&gt;=0,1,-1)*QUOTIENT(((c_TMAP2IN)-(c_TMAP1IN)),2)))&lt;0,-1,0),IF(IF(o_WRAP=1,MOD(((c_TMAP2IN)-(c_TMAP1IN))*(((A21)-(c_TMAP1IN))*((c_TMAP2OUT)-(c_TMAP1OUT))+IF(((c_TMAP2OUT)-(c_TMAP1OUT))&gt;=0,1,-1)*QUOTIENT(((c_TMAP2IN)-(c_TMAP1IN)),2))+2147483648,4294967296)-2147483648,((c_TMAP2IN)-(c_TMAP1IN))*(((A21)-(c_TMAP1IN))*((c_TMAP2OUT)-(c_TMAP1OUT))+IF(((c_TMAP2OUT)-(c_TMAP1OUT))&gt;=0,1,-1)*QUOTIENT(((c_TMAP2IN)-(c_TMAP1IN)),2)))&gt;=0,1,0)))</f>
        <v>36</v>
      </c>
      <c r="F21" s="7" t="n">
        <f aca="false">IF(((c_TMAP3IN)-(c_TMAP2IN))=0,(c_TMAP2OUT)+QUOTIENT(((c_TMAP3OUT)-(c_TMAP2OUT)),2),QUOTIENT((((A21)-(c_TMAP2IN))*((c_TMAP3OUT)-(c_TMAP2OUT))+IF(((c_TMAP3OUT)-(c_TMAP2OUT))&gt;=0,1,-1)*QUOTIENT(((c_TMAP3IN)-(c_TMAP2IN)),2)),((c_TMAP3IN)-(c_TMAP2IN)))+(c_TMAP2OUT)+IF(((c_TMAP3OUT)-(c_TMAP2OUT))&gt;=0,IF(IF(o_WRAP=1,MOD(((c_TMAP3IN)-(c_TMAP2IN))*(((A21)-(c_TMAP2IN))*((c_TMAP3OUT)-(c_TMAP2OUT))+IF(((c_TMAP3OUT)-(c_TMAP2OUT))&gt;=0,1,-1)*QUOTIENT(((c_TMAP3IN)-(c_TMAP2IN)),2))+2147483648,4294967296)-2147483648,((c_TMAP3IN)-(c_TMAP2IN))*(((A21)-(c_TMAP2IN))*((c_TMAP3OUT)-(c_TMAP2OUT))+IF(((c_TMAP3OUT)-(c_TMAP2OUT))&gt;=0,1,-1)*QUOTIENT(((c_TMAP3IN)-(c_TMAP2IN)),2)))&lt;0,-1,0),IF(IF(o_WRAP=1,MOD(((c_TMAP3IN)-(c_TMAP2IN))*(((A21)-(c_TMAP2IN))*((c_TMAP3OUT)-(c_TMAP2OUT))+IF(((c_TMAP3OUT)-(c_TMAP2OUT))&gt;=0,1,-1)*QUOTIENT(((c_TMAP3IN)-(c_TMAP2IN)),2))+2147483648,4294967296)-2147483648,((c_TMAP3IN)-(c_TMAP2IN))*(((A21)-(c_TMAP2IN))*((c_TMAP3OUT)-(c_TMAP2OUT))+IF(((c_TMAP3OUT)-(c_TMAP2OUT))&gt;=0,1,-1)*QUOTIENT(((c_TMAP3IN)-(c_TMAP2IN)),2)))&gt;=0,1,0)))</f>
        <v>-34</v>
      </c>
      <c r="G21" s="7" t="n">
        <f aca="false">IF(((1000)-(c_TMAP3IN))=0,(c_TMAP3OUT)+QUOTIENT(((1000)-(c_TMAP3OUT)),2),QUOTIENT((((A21)-(c_TMAP3IN))*((1000)-(c_TMAP3OUT))+IF(((1000)-(c_TMAP3OUT))&gt;=0,1,-1)*QUOTIENT(((1000)-(c_TMAP3IN)),2)),((1000)-(c_TMAP3IN)))+(c_TMAP3OUT)+IF(((1000)-(c_TMAP3OUT))&gt;=0,IF(IF(o_WRAP=1,MOD(((1000)-(c_TMAP3IN))*(((A21)-(c_TMAP3IN))*((1000)-(c_TMAP3OUT))+IF(((1000)-(c_TMAP3OUT))&gt;=0,1,-1)*QUOTIENT(((1000)-(c_TMAP3IN)),2))+2147483648,4294967296)-2147483648,((1000)-(c_TMAP3IN))*(((A21)-(c_TMAP3IN))*((1000)-(c_TMAP3OUT))+IF(((1000)-(c_TMAP3OUT))&gt;=0,1,-1)*QUOTIENT(((1000)-(c_TMAP3IN)),2)))&lt;0,-1,0),IF(IF(o_WRAP=1,MOD(((1000)-(c_TMAP3IN))*(((A21)-(c_TMAP3IN))*((1000)-(c_TMAP3OUT))+IF(((1000)-(c_TMAP3OUT))&gt;=0,1,-1)*QUOTIENT(((1000)-(c_TMAP3IN)),2))+2147483648,4294967296)-2147483648,((1000)-(c_TMAP3IN))*(((A21)-(c_TMAP3IN))*((1000)-(c_TMAP3OUT))+IF(((1000)-(c_TMAP3OUT))&gt;=0,1,-1)*QUOTIENT(((1000)-(c_TMAP3IN)),2)))&gt;=0,1,0)))</f>
        <v>-211</v>
      </c>
      <c r="H21" s="7" t="str">
        <f aca="false">IF(A21&gt;=c_TFWD,IF(AND(A21&gt;=c_TMAP3IN,c_TMAP3IN&lt;1000),"Seg4 map3-100%",IF(AND(A21&gt;=c_TMAP2IN,c_TMAP3IN&gt;c_TMAP2IN),"Seg3 map2-map3",IF(AND(A21&gt;=c_TMAP1IN,c_TMAP2IN&gt;c_TMAP1IN),"Seg2 map1-map2","Seg1 TFWD-map1"))),IF(AND(A21=0,c_TCREEP&gt;0),"Creep",IF(AND(A21&lt;=c_TRNGMIN,A21&gt;=c_TRNGMAX,c_TRNGMIN-c_TRNGMAX&lt;&gt;0),"Regen ramp","Coast (0)")))</f>
        <v>Seg1 TFWD-map1</v>
      </c>
      <c r="I21" s="7" t="n">
        <f aca="false">IF(A21&gt;=c_TFWD,IF(AND(A21&gt;=c_TMAP3IN,c_TMAP3IN&lt;1000),G21,IF(AND(A21&gt;=c_TMAP2IN,c_TMAP3IN&gt;c_TMAP2IN),F21,IF(AND(A21&gt;=c_TMAP1IN,c_TMAP2IN&gt;c_TMAP1IN),E21,D21))),C21)</f>
        <v>5</v>
      </c>
      <c r="J21" s="7" t="str">
        <f aca="false">IF(I21&lt;-1090,"TOO LOW",IF(I21&gt;1090,"TOO HIGH",""))</f>
        <v/>
      </c>
      <c r="K21" s="15" t="n">
        <f aca="false">IF(J21&lt;&gt;"",0,IF(I21&gt;979,1000,I21))</f>
        <v>5</v>
      </c>
      <c r="L21" s="7" t="n">
        <f aca="false">K21/10</f>
        <v>0.5</v>
      </c>
    </row>
    <row r="22" customFormat="false" ht="15" hidden="false" customHeight="false" outlineLevel="0" collapsed="false">
      <c r="A22" s="7" t="n">
        <v>17</v>
      </c>
      <c r="B22" s="7" t="n">
        <f aca="false">A22/10</f>
        <v>1.7</v>
      </c>
      <c r="C22" s="7" t="n">
        <f aca="false">IF(AND(A22=0,c_TCREEP&gt;0),10*c_TCREEP,IF(AND(A22&lt;=c_TRNGMIN,A22&gt;=c_TRNGMAX,c_TRNGMIN-c_TRNGMAX&lt;&gt;0),-10*c_TMINRN+QUOTIENT((c_TMAXRN-c_TMINRN)*(100-QUOTIENT((A22-c_TRNGMAX)*100,c_TRNGMIN-c_TRNGMAX)),-10),0))</f>
        <v>0</v>
      </c>
      <c r="D22" s="7" t="n">
        <f aca="false">IF(((c_TMAP1IN)-(c_TFWD))=0,(0)+QUOTIENT(((c_TMAP1OUT)-(0)),2),QUOTIENT((((A22)-(c_TFWD))*((c_TMAP1OUT)-(0))+IF(((c_TMAP1OUT)-(0))&gt;=0,1,-1)*QUOTIENT(((c_TMAP1IN)-(c_TFWD)),2)),((c_TMAP1IN)-(c_TFWD)))+(0)+IF(((c_TMAP1OUT)-(0))&gt;=0,IF(IF(o_WRAP=1,MOD(((c_TMAP1IN)-(c_TFWD))*(((A22)-(c_TFWD))*((c_TMAP1OUT)-(0))+IF(((c_TMAP1OUT)-(0))&gt;=0,1,-1)*QUOTIENT(((c_TMAP1IN)-(c_TFWD)),2))+2147483648,4294967296)-2147483648,((c_TMAP1IN)-(c_TFWD))*(((A22)-(c_TFWD))*((c_TMAP1OUT)-(0))+IF(((c_TMAP1OUT)-(0))&gt;=0,1,-1)*QUOTIENT(((c_TMAP1IN)-(c_TFWD)),2)))&lt;0,-1,0),IF(IF(o_WRAP=1,MOD(((c_TMAP1IN)-(c_TFWD))*(((A22)-(c_TFWD))*((c_TMAP1OUT)-(0))+IF(((c_TMAP1OUT)-(0))&gt;=0,1,-1)*QUOTIENT(((c_TMAP1IN)-(c_TFWD)),2))+2147483648,4294967296)-2147483648,((c_TMAP1IN)-(c_TFWD))*(((A22)-(c_TFWD))*((c_TMAP1OUT)-(0))+IF(((c_TMAP1OUT)-(0))&gt;=0,1,-1)*QUOTIENT(((c_TMAP1IN)-(c_TFWD)),2)))&gt;=0,1,0)))</f>
        <v>5</v>
      </c>
      <c r="E22" s="7" t="n">
        <f aca="false">IF(((c_TMAP2IN)-(c_TMAP1IN))=0,(c_TMAP1OUT)+QUOTIENT(((c_TMAP2OUT)-(c_TMAP1OUT)),2),QUOTIENT((((A22)-(c_TMAP1IN))*((c_TMAP2OUT)-(c_TMAP1OUT))+IF(((c_TMAP2OUT)-(c_TMAP1OUT))&gt;=0,1,-1)*QUOTIENT(((c_TMAP2IN)-(c_TMAP1IN)),2)),((c_TMAP2IN)-(c_TMAP1IN)))+(c_TMAP1OUT)+IF(((c_TMAP2OUT)-(c_TMAP1OUT))&gt;=0,IF(IF(o_WRAP=1,MOD(((c_TMAP2IN)-(c_TMAP1IN))*(((A22)-(c_TMAP1IN))*((c_TMAP2OUT)-(c_TMAP1OUT))+IF(((c_TMAP2OUT)-(c_TMAP1OUT))&gt;=0,1,-1)*QUOTIENT(((c_TMAP2IN)-(c_TMAP1IN)),2))+2147483648,4294967296)-2147483648,((c_TMAP2IN)-(c_TMAP1IN))*(((A22)-(c_TMAP1IN))*((c_TMAP2OUT)-(c_TMAP1OUT))+IF(((c_TMAP2OUT)-(c_TMAP1OUT))&gt;=0,1,-1)*QUOTIENT(((c_TMAP2IN)-(c_TMAP1IN)),2)))&lt;0,-1,0),IF(IF(o_WRAP=1,MOD(((c_TMAP2IN)-(c_TMAP1IN))*(((A22)-(c_TMAP1IN))*((c_TMAP2OUT)-(c_TMAP1OUT))+IF(((c_TMAP2OUT)-(c_TMAP1OUT))&gt;=0,1,-1)*QUOTIENT(((c_TMAP2IN)-(c_TMAP1IN)),2))+2147483648,4294967296)-2147483648,((c_TMAP2IN)-(c_TMAP1IN))*(((A22)-(c_TMAP1IN))*((c_TMAP2OUT)-(c_TMAP1OUT))+IF(((c_TMAP2OUT)-(c_TMAP1OUT))&gt;=0,1,-1)*QUOTIENT(((c_TMAP2IN)-(c_TMAP1IN)),2)))&gt;=0,1,0)))</f>
        <v>37</v>
      </c>
      <c r="F22" s="7" t="n">
        <f aca="false">IF(((c_TMAP3IN)-(c_TMAP2IN))=0,(c_TMAP2OUT)+QUOTIENT(((c_TMAP3OUT)-(c_TMAP2OUT)),2),QUOTIENT((((A22)-(c_TMAP2IN))*((c_TMAP3OUT)-(c_TMAP2OUT))+IF(((c_TMAP3OUT)-(c_TMAP2OUT))&gt;=0,1,-1)*QUOTIENT(((c_TMAP3IN)-(c_TMAP2IN)),2)),((c_TMAP3IN)-(c_TMAP2IN)))+(c_TMAP2OUT)+IF(((c_TMAP3OUT)-(c_TMAP2OUT))&gt;=0,IF(IF(o_WRAP=1,MOD(((c_TMAP3IN)-(c_TMAP2IN))*(((A22)-(c_TMAP2IN))*((c_TMAP3OUT)-(c_TMAP2OUT))+IF(((c_TMAP3OUT)-(c_TMAP2OUT))&gt;=0,1,-1)*QUOTIENT(((c_TMAP3IN)-(c_TMAP2IN)),2))+2147483648,4294967296)-2147483648,((c_TMAP3IN)-(c_TMAP2IN))*(((A22)-(c_TMAP2IN))*((c_TMAP3OUT)-(c_TMAP2OUT))+IF(((c_TMAP3OUT)-(c_TMAP2OUT))&gt;=0,1,-1)*QUOTIENT(((c_TMAP3IN)-(c_TMAP2IN)),2)))&lt;0,-1,0),IF(IF(o_WRAP=1,MOD(((c_TMAP3IN)-(c_TMAP2IN))*(((A22)-(c_TMAP2IN))*((c_TMAP3OUT)-(c_TMAP2OUT))+IF(((c_TMAP3OUT)-(c_TMAP2OUT))&gt;=0,1,-1)*QUOTIENT(((c_TMAP3IN)-(c_TMAP2IN)),2))+2147483648,4294967296)-2147483648,((c_TMAP3IN)-(c_TMAP2IN))*(((A22)-(c_TMAP2IN))*((c_TMAP3OUT)-(c_TMAP2OUT))+IF(((c_TMAP3OUT)-(c_TMAP2OUT))&gt;=0,1,-1)*QUOTIENT(((c_TMAP3IN)-(c_TMAP2IN)),2)))&gt;=0,1,0)))</f>
        <v>-33</v>
      </c>
      <c r="G22" s="7" t="n">
        <f aca="false">IF(((1000)-(c_TMAP3IN))=0,(c_TMAP3OUT)+QUOTIENT(((1000)-(c_TMAP3OUT)),2),QUOTIENT((((A22)-(c_TMAP3IN))*((1000)-(c_TMAP3OUT))+IF(((1000)-(c_TMAP3OUT))&gt;=0,1,-1)*QUOTIENT(((1000)-(c_TMAP3IN)),2)),((1000)-(c_TMAP3IN)))+(c_TMAP3OUT)+IF(((1000)-(c_TMAP3OUT))&gt;=0,IF(IF(o_WRAP=1,MOD(((1000)-(c_TMAP3IN))*(((A22)-(c_TMAP3IN))*((1000)-(c_TMAP3OUT))+IF(((1000)-(c_TMAP3OUT))&gt;=0,1,-1)*QUOTIENT(((1000)-(c_TMAP3IN)),2))+2147483648,4294967296)-2147483648,((1000)-(c_TMAP3IN))*(((A22)-(c_TMAP3IN))*((1000)-(c_TMAP3OUT))+IF(((1000)-(c_TMAP3OUT))&gt;=0,1,-1)*QUOTIENT(((1000)-(c_TMAP3IN)),2)))&lt;0,-1,0),IF(IF(o_WRAP=1,MOD(((1000)-(c_TMAP3IN))*(((A22)-(c_TMAP3IN))*((1000)-(c_TMAP3OUT))+IF(((1000)-(c_TMAP3OUT))&gt;=0,1,-1)*QUOTIENT(((1000)-(c_TMAP3IN)),2))+2147483648,4294967296)-2147483648,((1000)-(c_TMAP3IN))*(((A22)-(c_TMAP3IN))*((1000)-(c_TMAP3OUT))+IF(((1000)-(c_TMAP3OUT))&gt;=0,1,-1)*QUOTIENT(((1000)-(c_TMAP3IN)),2)))&gt;=0,1,0)))</f>
        <v>-210</v>
      </c>
      <c r="H22" s="7" t="str">
        <f aca="false">IF(A22&gt;=c_TFWD,IF(AND(A22&gt;=c_TMAP3IN,c_TMAP3IN&lt;1000),"Seg4 map3-100%",IF(AND(A22&gt;=c_TMAP2IN,c_TMAP3IN&gt;c_TMAP2IN),"Seg3 map2-map3",IF(AND(A22&gt;=c_TMAP1IN,c_TMAP2IN&gt;c_TMAP1IN),"Seg2 map1-map2","Seg1 TFWD-map1"))),IF(AND(A22=0,c_TCREEP&gt;0),"Creep",IF(AND(A22&lt;=c_TRNGMIN,A22&gt;=c_TRNGMAX,c_TRNGMIN-c_TRNGMAX&lt;&gt;0),"Regen ramp","Coast (0)")))</f>
        <v>Seg1 TFWD-map1</v>
      </c>
      <c r="I22" s="7" t="n">
        <f aca="false">IF(A22&gt;=c_TFWD,IF(AND(A22&gt;=c_TMAP3IN,c_TMAP3IN&lt;1000),G22,IF(AND(A22&gt;=c_TMAP2IN,c_TMAP3IN&gt;c_TMAP2IN),F22,IF(AND(A22&gt;=c_TMAP1IN,c_TMAP2IN&gt;c_TMAP1IN),E22,D22))),C22)</f>
        <v>5</v>
      </c>
      <c r="J22" s="7" t="str">
        <f aca="false">IF(I22&lt;-1090,"TOO LOW",IF(I22&gt;1090,"TOO HIGH",""))</f>
        <v/>
      </c>
      <c r="K22" s="15" t="n">
        <f aca="false">IF(J22&lt;&gt;"",0,IF(I22&gt;979,1000,I22))</f>
        <v>5</v>
      </c>
      <c r="L22" s="7" t="n">
        <f aca="false">K22/10</f>
        <v>0.5</v>
      </c>
    </row>
    <row r="23" customFormat="false" ht="15" hidden="false" customHeight="false" outlineLevel="0" collapsed="false">
      <c r="A23" s="7" t="n">
        <v>18</v>
      </c>
      <c r="B23" s="7" t="n">
        <f aca="false">A23/10</f>
        <v>1.8</v>
      </c>
      <c r="C23" s="7" t="n">
        <f aca="false">IF(AND(A23=0,c_TCREEP&gt;0),10*c_TCREEP,IF(AND(A23&lt;=c_TRNGMIN,A23&gt;=c_TRNGMAX,c_TRNGMIN-c_TRNGMAX&lt;&gt;0),-10*c_TMINRN+QUOTIENT((c_TMAXRN-c_TMINRN)*(100-QUOTIENT((A23-c_TRNGMAX)*100,c_TRNGMIN-c_TRNGMAX)),-10),0))</f>
        <v>0</v>
      </c>
      <c r="D23" s="7" t="n">
        <f aca="false">IF(((c_TMAP1IN)-(c_TFWD))=0,(0)+QUOTIENT(((c_TMAP1OUT)-(0)),2),QUOTIENT((((A23)-(c_TFWD))*((c_TMAP1OUT)-(0))+IF(((c_TMAP1OUT)-(0))&gt;=0,1,-1)*QUOTIENT(((c_TMAP1IN)-(c_TFWD)),2)),((c_TMAP1IN)-(c_TFWD)))+(0)+IF(((c_TMAP1OUT)-(0))&gt;=0,IF(IF(o_WRAP=1,MOD(((c_TMAP1IN)-(c_TFWD))*(((A23)-(c_TFWD))*((c_TMAP1OUT)-(0))+IF(((c_TMAP1OUT)-(0))&gt;=0,1,-1)*QUOTIENT(((c_TMAP1IN)-(c_TFWD)),2))+2147483648,4294967296)-2147483648,((c_TMAP1IN)-(c_TFWD))*(((A23)-(c_TFWD))*((c_TMAP1OUT)-(0))+IF(((c_TMAP1OUT)-(0))&gt;=0,1,-1)*QUOTIENT(((c_TMAP1IN)-(c_TFWD)),2)))&lt;0,-1,0),IF(IF(o_WRAP=1,MOD(((c_TMAP1IN)-(c_TFWD))*(((A23)-(c_TFWD))*((c_TMAP1OUT)-(0))+IF(((c_TMAP1OUT)-(0))&gt;=0,1,-1)*QUOTIENT(((c_TMAP1IN)-(c_TFWD)),2))+2147483648,4294967296)-2147483648,((c_TMAP1IN)-(c_TFWD))*(((A23)-(c_TFWD))*((c_TMAP1OUT)-(0))+IF(((c_TMAP1OUT)-(0))&gt;=0,1,-1)*QUOTIENT(((c_TMAP1IN)-(c_TFWD)),2)))&gt;=0,1,0)))</f>
        <v>6</v>
      </c>
      <c r="E23" s="7" t="n">
        <f aca="false">IF(((c_TMAP2IN)-(c_TMAP1IN))=0,(c_TMAP1OUT)+QUOTIENT(((c_TMAP2OUT)-(c_TMAP1OUT)),2),QUOTIENT((((A23)-(c_TMAP1IN))*((c_TMAP2OUT)-(c_TMAP1OUT))+IF(((c_TMAP2OUT)-(c_TMAP1OUT))&gt;=0,1,-1)*QUOTIENT(((c_TMAP2IN)-(c_TMAP1IN)),2)),((c_TMAP2IN)-(c_TMAP1IN)))+(c_TMAP1OUT)+IF(((c_TMAP2OUT)-(c_TMAP1OUT))&gt;=0,IF(IF(o_WRAP=1,MOD(((c_TMAP2IN)-(c_TMAP1IN))*(((A23)-(c_TMAP1IN))*((c_TMAP2OUT)-(c_TMAP1OUT))+IF(((c_TMAP2OUT)-(c_TMAP1OUT))&gt;=0,1,-1)*QUOTIENT(((c_TMAP2IN)-(c_TMAP1IN)),2))+2147483648,4294967296)-2147483648,((c_TMAP2IN)-(c_TMAP1IN))*(((A23)-(c_TMAP1IN))*((c_TMAP2OUT)-(c_TMAP1OUT))+IF(((c_TMAP2OUT)-(c_TMAP1OUT))&gt;=0,1,-1)*QUOTIENT(((c_TMAP2IN)-(c_TMAP1IN)),2)))&lt;0,-1,0),IF(IF(o_WRAP=1,MOD(((c_TMAP2IN)-(c_TMAP1IN))*(((A23)-(c_TMAP1IN))*((c_TMAP2OUT)-(c_TMAP1OUT))+IF(((c_TMAP2OUT)-(c_TMAP1OUT))&gt;=0,1,-1)*QUOTIENT(((c_TMAP2IN)-(c_TMAP1IN)),2))+2147483648,4294967296)-2147483648,((c_TMAP2IN)-(c_TMAP1IN))*(((A23)-(c_TMAP1IN))*((c_TMAP2OUT)-(c_TMAP1OUT))+IF(((c_TMAP2OUT)-(c_TMAP1OUT))&gt;=0,1,-1)*QUOTIENT(((c_TMAP2IN)-(c_TMAP1IN)),2)))&gt;=0,1,0)))</f>
        <v>37</v>
      </c>
      <c r="F23" s="7" t="n">
        <f aca="false">IF(((c_TMAP3IN)-(c_TMAP2IN))=0,(c_TMAP2OUT)+QUOTIENT(((c_TMAP3OUT)-(c_TMAP2OUT)),2),QUOTIENT((((A23)-(c_TMAP2IN))*((c_TMAP3OUT)-(c_TMAP2OUT))+IF(((c_TMAP3OUT)-(c_TMAP2OUT))&gt;=0,1,-1)*QUOTIENT(((c_TMAP3IN)-(c_TMAP2IN)),2)),((c_TMAP3IN)-(c_TMAP2IN)))+(c_TMAP2OUT)+IF(((c_TMAP3OUT)-(c_TMAP2OUT))&gt;=0,IF(IF(o_WRAP=1,MOD(((c_TMAP3IN)-(c_TMAP2IN))*(((A23)-(c_TMAP2IN))*((c_TMAP3OUT)-(c_TMAP2OUT))+IF(((c_TMAP3OUT)-(c_TMAP2OUT))&gt;=0,1,-1)*QUOTIENT(((c_TMAP3IN)-(c_TMAP2IN)),2))+2147483648,4294967296)-2147483648,((c_TMAP3IN)-(c_TMAP2IN))*(((A23)-(c_TMAP2IN))*((c_TMAP3OUT)-(c_TMAP2OUT))+IF(((c_TMAP3OUT)-(c_TMAP2OUT))&gt;=0,1,-1)*QUOTIENT(((c_TMAP3IN)-(c_TMAP2IN)),2)))&lt;0,-1,0),IF(IF(o_WRAP=1,MOD(((c_TMAP3IN)-(c_TMAP2IN))*(((A23)-(c_TMAP2IN))*((c_TMAP3OUT)-(c_TMAP2OUT))+IF(((c_TMAP3OUT)-(c_TMAP2OUT))&gt;=0,1,-1)*QUOTIENT(((c_TMAP3IN)-(c_TMAP2IN)),2))+2147483648,4294967296)-2147483648,((c_TMAP3IN)-(c_TMAP2IN))*(((A23)-(c_TMAP2IN))*((c_TMAP3OUT)-(c_TMAP2OUT))+IF(((c_TMAP3OUT)-(c_TMAP2OUT))&gt;=0,1,-1)*QUOTIENT(((c_TMAP3IN)-(c_TMAP2IN)),2)))&gt;=0,1,0)))</f>
        <v>-32</v>
      </c>
      <c r="G23" s="7" t="n">
        <f aca="false">IF(((1000)-(c_TMAP3IN))=0,(c_TMAP3OUT)+QUOTIENT(((1000)-(c_TMAP3OUT)),2),QUOTIENT((((A23)-(c_TMAP3IN))*((1000)-(c_TMAP3OUT))+IF(((1000)-(c_TMAP3OUT))&gt;=0,1,-1)*QUOTIENT(((1000)-(c_TMAP3IN)),2)),((1000)-(c_TMAP3IN)))+(c_TMAP3OUT)+IF(((1000)-(c_TMAP3OUT))&gt;=0,IF(IF(o_WRAP=1,MOD(((1000)-(c_TMAP3IN))*(((A23)-(c_TMAP3IN))*((1000)-(c_TMAP3OUT))+IF(((1000)-(c_TMAP3OUT))&gt;=0,1,-1)*QUOTIENT(((1000)-(c_TMAP3IN)),2))+2147483648,4294967296)-2147483648,((1000)-(c_TMAP3IN))*(((A23)-(c_TMAP3IN))*((1000)-(c_TMAP3OUT))+IF(((1000)-(c_TMAP3OUT))&gt;=0,1,-1)*QUOTIENT(((1000)-(c_TMAP3IN)),2)))&lt;0,-1,0),IF(IF(o_WRAP=1,MOD(((1000)-(c_TMAP3IN))*(((A23)-(c_TMAP3IN))*((1000)-(c_TMAP3OUT))+IF(((1000)-(c_TMAP3OUT))&gt;=0,1,-1)*QUOTIENT(((1000)-(c_TMAP3IN)),2))+2147483648,4294967296)-2147483648,((1000)-(c_TMAP3IN))*(((A23)-(c_TMAP3IN))*((1000)-(c_TMAP3OUT))+IF(((1000)-(c_TMAP3OUT))&gt;=0,1,-1)*QUOTIENT(((1000)-(c_TMAP3IN)),2)))&gt;=0,1,0)))</f>
        <v>-209</v>
      </c>
      <c r="H23" s="7" t="str">
        <f aca="false">IF(A23&gt;=c_TFWD,IF(AND(A23&gt;=c_TMAP3IN,c_TMAP3IN&lt;1000),"Seg4 map3-100%",IF(AND(A23&gt;=c_TMAP2IN,c_TMAP3IN&gt;c_TMAP2IN),"Seg3 map2-map3",IF(AND(A23&gt;=c_TMAP1IN,c_TMAP2IN&gt;c_TMAP1IN),"Seg2 map1-map2","Seg1 TFWD-map1"))),IF(AND(A23=0,c_TCREEP&gt;0),"Creep",IF(AND(A23&lt;=c_TRNGMIN,A23&gt;=c_TRNGMAX,c_TRNGMIN-c_TRNGMAX&lt;&gt;0),"Regen ramp","Coast (0)")))</f>
        <v>Seg1 TFWD-map1</v>
      </c>
      <c r="I23" s="7" t="n">
        <f aca="false">IF(A23&gt;=c_TFWD,IF(AND(A23&gt;=c_TMAP3IN,c_TMAP3IN&lt;1000),G23,IF(AND(A23&gt;=c_TMAP2IN,c_TMAP3IN&gt;c_TMAP2IN),F23,IF(AND(A23&gt;=c_TMAP1IN,c_TMAP2IN&gt;c_TMAP1IN),E23,D23))),C23)</f>
        <v>6</v>
      </c>
      <c r="J23" s="7" t="str">
        <f aca="false">IF(I23&lt;-1090,"TOO LOW",IF(I23&gt;1090,"TOO HIGH",""))</f>
        <v/>
      </c>
      <c r="K23" s="15" t="n">
        <f aca="false">IF(J23&lt;&gt;"",0,IF(I23&gt;979,1000,I23))</f>
        <v>6</v>
      </c>
      <c r="L23" s="7" t="n">
        <f aca="false">K23/10</f>
        <v>0.6</v>
      </c>
    </row>
    <row r="24" customFormat="false" ht="15" hidden="false" customHeight="false" outlineLevel="0" collapsed="false">
      <c r="A24" s="7" t="n">
        <v>19</v>
      </c>
      <c r="B24" s="7" t="n">
        <f aca="false">A24/10</f>
        <v>1.9</v>
      </c>
      <c r="C24" s="7" t="n">
        <f aca="false">IF(AND(A24=0,c_TCREEP&gt;0),10*c_TCREEP,IF(AND(A24&lt;=c_TRNGMIN,A24&gt;=c_TRNGMAX,c_TRNGMIN-c_TRNGMAX&lt;&gt;0),-10*c_TMINRN+QUOTIENT((c_TMAXRN-c_TMINRN)*(100-QUOTIENT((A24-c_TRNGMAX)*100,c_TRNGMIN-c_TRNGMAX)),-10),0))</f>
        <v>0</v>
      </c>
      <c r="D24" s="7" t="n">
        <f aca="false">IF(((c_TMAP1IN)-(c_TFWD))=0,(0)+QUOTIENT(((c_TMAP1OUT)-(0)),2),QUOTIENT((((A24)-(c_TFWD))*((c_TMAP1OUT)-(0))+IF(((c_TMAP1OUT)-(0))&gt;=0,1,-1)*QUOTIENT(((c_TMAP1IN)-(c_TFWD)),2)),((c_TMAP1IN)-(c_TFWD)))+(0)+IF(((c_TMAP1OUT)-(0))&gt;=0,IF(IF(o_WRAP=1,MOD(((c_TMAP1IN)-(c_TFWD))*(((A24)-(c_TFWD))*((c_TMAP1OUT)-(0))+IF(((c_TMAP1OUT)-(0))&gt;=0,1,-1)*QUOTIENT(((c_TMAP1IN)-(c_TFWD)),2))+2147483648,4294967296)-2147483648,((c_TMAP1IN)-(c_TFWD))*(((A24)-(c_TFWD))*((c_TMAP1OUT)-(0))+IF(((c_TMAP1OUT)-(0))&gt;=0,1,-1)*QUOTIENT(((c_TMAP1IN)-(c_TFWD)),2)))&lt;0,-1,0),IF(IF(o_WRAP=1,MOD(((c_TMAP1IN)-(c_TFWD))*(((A24)-(c_TFWD))*((c_TMAP1OUT)-(0))+IF(((c_TMAP1OUT)-(0))&gt;=0,1,-1)*QUOTIENT(((c_TMAP1IN)-(c_TFWD)),2))+2147483648,4294967296)-2147483648,((c_TMAP1IN)-(c_TFWD))*(((A24)-(c_TFWD))*((c_TMAP1OUT)-(0))+IF(((c_TMAP1OUT)-(0))&gt;=0,1,-1)*QUOTIENT(((c_TMAP1IN)-(c_TFWD)),2)))&gt;=0,1,0)))</f>
        <v>7</v>
      </c>
      <c r="E24" s="7" t="n">
        <f aca="false">IF(((c_TMAP2IN)-(c_TMAP1IN))=0,(c_TMAP1OUT)+QUOTIENT(((c_TMAP2OUT)-(c_TMAP1OUT)),2),QUOTIENT((((A24)-(c_TMAP1IN))*((c_TMAP2OUT)-(c_TMAP1OUT))+IF(((c_TMAP2OUT)-(c_TMAP1OUT))&gt;=0,1,-1)*QUOTIENT(((c_TMAP2IN)-(c_TMAP1IN)),2)),((c_TMAP2IN)-(c_TMAP1IN)))+(c_TMAP1OUT)+IF(((c_TMAP2OUT)-(c_TMAP1OUT))&gt;=0,IF(IF(o_WRAP=1,MOD(((c_TMAP2IN)-(c_TMAP1IN))*(((A24)-(c_TMAP1IN))*((c_TMAP2OUT)-(c_TMAP1OUT))+IF(((c_TMAP2OUT)-(c_TMAP1OUT))&gt;=0,1,-1)*QUOTIENT(((c_TMAP2IN)-(c_TMAP1IN)),2))+2147483648,4294967296)-2147483648,((c_TMAP2IN)-(c_TMAP1IN))*(((A24)-(c_TMAP1IN))*((c_TMAP2OUT)-(c_TMAP1OUT))+IF(((c_TMAP2OUT)-(c_TMAP1OUT))&gt;=0,1,-1)*QUOTIENT(((c_TMAP2IN)-(c_TMAP1IN)),2)))&lt;0,-1,0),IF(IF(o_WRAP=1,MOD(((c_TMAP2IN)-(c_TMAP1IN))*(((A24)-(c_TMAP1IN))*((c_TMAP2OUT)-(c_TMAP1OUT))+IF(((c_TMAP2OUT)-(c_TMAP1OUT))&gt;=0,1,-1)*QUOTIENT(((c_TMAP2IN)-(c_TMAP1IN)),2))+2147483648,4294967296)-2147483648,((c_TMAP2IN)-(c_TMAP1IN))*(((A24)-(c_TMAP1IN))*((c_TMAP2OUT)-(c_TMAP1OUT))+IF(((c_TMAP2OUT)-(c_TMAP1OUT))&gt;=0,1,-1)*QUOTIENT(((c_TMAP2IN)-(c_TMAP1IN)),2)))&gt;=0,1,0)))</f>
        <v>38</v>
      </c>
      <c r="F24" s="7" t="n">
        <f aca="false">IF(((c_TMAP3IN)-(c_TMAP2IN))=0,(c_TMAP2OUT)+QUOTIENT(((c_TMAP3OUT)-(c_TMAP2OUT)),2),QUOTIENT((((A24)-(c_TMAP2IN))*((c_TMAP3OUT)-(c_TMAP2OUT))+IF(((c_TMAP3OUT)-(c_TMAP2OUT))&gt;=0,1,-1)*QUOTIENT(((c_TMAP3IN)-(c_TMAP2IN)),2)),((c_TMAP3IN)-(c_TMAP2IN)))+(c_TMAP2OUT)+IF(((c_TMAP3OUT)-(c_TMAP2OUT))&gt;=0,IF(IF(o_WRAP=1,MOD(((c_TMAP3IN)-(c_TMAP2IN))*(((A24)-(c_TMAP2IN))*((c_TMAP3OUT)-(c_TMAP2OUT))+IF(((c_TMAP3OUT)-(c_TMAP2OUT))&gt;=0,1,-1)*QUOTIENT(((c_TMAP3IN)-(c_TMAP2IN)),2))+2147483648,4294967296)-2147483648,((c_TMAP3IN)-(c_TMAP2IN))*(((A24)-(c_TMAP2IN))*((c_TMAP3OUT)-(c_TMAP2OUT))+IF(((c_TMAP3OUT)-(c_TMAP2OUT))&gt;=0,1,-1)*QUOTIENT(((c_TMAP3IN)-(c_TMAP2IN)),2)))&lt;0,-1,0),IF(IF(o_WRAP=1,MOD(((c_TMAP3IN)-(c_TMAP2IN))*(((A24)-(c_TMAP2IN))*((c_TMAP3OUT)-(c_TMAP2OUT))+IF(((c_TMAP3OUT)-(c_TMAP2OUT))&gt;=0,1,-1)*QUOTIENT(((c_TMAP3IN)-(c_TMAP2IN)),2))+2147483648,4294967296)-2147483648,((c_TMAP3IN)-(c_TMAP2IN))*(((A24)-(c_TMAP2IN))*((c_TMAP3OUT)-(c_TMAP2OUT))+IF(((c_TMAP3OUT)-(c_TMAP2OUT))&gt;=0,1,-1)*QUOTIENT(((c_TMAP3IN)-(c_TMAP2IN)),2)))&gt;=0,1,0)))</f>
        <v>-32</v>
      </c>
      <c r="G24" s="7" t="n">
        <f aca="false">IF(((1000)-(c_TMAP3IN))=0,(c_TMAP3OUT)+QUOTIENT(((1000)-(c_TMAP3OUT)),2),QUOTIENT((((A24)-(c_TMAP3IN))*((1000)-(c_TMAP3OUT))+IF(((1000)-(c_TMAP3OUT))&gt;=0,1,-1)*QUOTIENT(((1000)-(c_TMAP3IN)),2)),((1000)-(c_TMAP3IN)))+(c_TMAP3OUT)+IF(((1000)-(c_TMAP3OUT))&gt;=0,IF(IF(o_WRAP=1,MOD(((1000)-(c_TMAP3IN))*(((A24)-(c_TMAP3IN))*((1000)-(c_TMAP3OUT))+IF(((1000)-(c_TMAP3OUT))&gt;=0,1,-1)*QUOTIENT(((1000)-(c_TMAP3IN)),2))+2147483648,4294967296)-2147483648,((1000)-(c_TMAP3IN))*(((A24)-(c_TMAP3IN))*((1000)-(c_TMAP3OUT))+IF(((1000)-(c_TMAP3OUT))&gt;=0,1,-1)*QUOTIENT(((1000)-(c_TMAP3IN)),2)))&lt;0,-1,0),IF(IF(o_WRAP=1,MOD(((1000)-(c_TMAP3IN))*(((A24)-(c_TMAP3IN))*((1000)-(c_TMAP3OUT))+IF(((1000)-(c_TMAP3OUT))&gt;=0,1,-1)*QUOTIENT(((1000)-(c_TMAP3IN)),2))+2147483648,4294967296)-2147483648,((1000)-(c_TMAP3IN))*(((A24)-(c_TMAP3IN))*((1000)-(c_TMAP3OUT))+IF(((1000)-(c_TMAP3OUT))&gt;=0,1,-1)*QUOTIENT(((1000)-(c_TMAP3IN)),2)))&gt;=0,1,0)))</f>
        <v>-207</v>
      </c>
      <c r="H24" s="7" t="str">
        <f aca="false">IF(A24&gt;=c_TFWD,IF(AND(A24&gt;=c_TMAP3IN,c_TMAP3IN&lt;1000),"Seg4 map3-100%",IF(AND(A24&gt;=c_TMAP2IN,c_TMAP3IN&gt;c_TMAP2IN),"Seg3 map2-map3",IF(AND(A24&gt;=c_TMAP1IN,c_TMAP2IN&gt;c_TMAP1IN),"Seg2 map1-map2","Seg1 TFWD-map1"))),IF(AND(A24=0,c_TCREEP&gt;0),"Creep",IF(AND(A24&lt;=c_TRNGMIN,A24&gt;=c_TRNGMAX,c_TRNGMIN-c_TRNGMAX&lt;&gt;0),"Regen ramp","Coast (0)")))</f>
        <v>Seg1 TFWD-map1</v>
      </c>
      <c r="I24" s="7" t="n">
        <f aca="false">IF(A24&gt;=c_TFWD,IF(AND(A24&gt;=c_TMAP3IN,c_TMAP3IN&lt;1000),G24,IF(AND(A24&gt;=c_TMAP2IN,c_TMAP3IN&gt;c_TMAP2IN),F24,IF(AND(A24&gt;=c_TMAP1IN,c_TMAP2IN&gt;c_TMAP1IN),E24,D24))),C24)</f>
        <v>7</v>
      </c>
      <c r="J24" s="7" t="str">
        <f aca="false">IF(I24&lt;-1090,"TOO LOW",IF(I24&gt;1090,"TOO HIGH",""))</f>
        <v/>
      </c>
      <c r="K24" s="15" t="n">
        <f aca="false">IF(J24&lt;&gt;"",0,IF(I24&gt;979,1000,I24))</f>
        <v>7</v>
      </c>
      <c r="L24" s="7" t="n">
        <f aca="false">K24/10</f>
        <v>0.7</v>
      </c>
    </row>
    <row r="25" customFormat="false" ht="15" hidden="false" customHeight="false" outlineLevel="0" collapsed="false">
      <c r="A25" s="7" t="n">
        <v>20</v>
      </c>
      <c r="B25" s="7" t="n">
        <f aca="false">A25/10</f>
        <v>2</v>
      </c>
      <c r="C25" s="7" t="n">
        <f aca="false">IF(AND(A25=0,c_TCREEP&gt;0),10*c_TCREEP,IF(AND(A25&lt;=c_TRNGMIN,A25&gt;=c_TRNGMAX,c_TRNGMIN-c_TRNGMAX&lt;&gt;0),-10*c_TMINRN+QUOTIENT((c_TMAXRN-c_TMINRN)*(100-QUOTIENT((A25-c_TRNGMAX)*100,c_TRNGMIN-c_TRNGMAX)),-10),0))</f>
        <v>0</v>
      </c>
      <c r="D25" s="7" t="n">
        <f aca="false">IF(((c_TMAP1IN)-(c_TFWD))=0,(0)+QUOTIENT(((c_TMAP1OUT)-(0)),2),QUOTIENT((((A25)-(c_TFWD))*((c_TMAP1OUT)-(0))+IF(((c_TMAP1OUT)-(0))&gt;=0,1,-1)*QUOTIENT(((c_TMAP1IN)-(c_TFWD)),2)),((c_TMAP1IN)-(c_TFWD)))+(0)+IF(((c_TMAP1OUT)-(0))&gt;=0,IF(IF(o_WRAP=1,MOD(((c_TMAP1IN)-(c_TFWD))*(((A25)-(c_TFWD))*((c_TMAP1OUT)-(0))+IF(((c_TMAP1OUT)-(0))&gt;=0,1,-1)*QUOTIENT(((c_TMAP1IN)-(c_TFWD)),2))+2147483648,4294967296)-2147483648,((c_TMAP1IN)-(c_TFWD))*(((A25)-(c_TFWD))*((c_TMAP1OUT)-(0))+IF(((c_TMAP1OUT)-(0))&gt;=0,1,-1)*QUOTIENT(((c_TMAP1IN)-(c_TFWD)),2)))&lt;0,-1,0),IF(IF(o_WRAP=1,MOD(((c_TMAP1IN)-(c_TFWD))*(((A25)-(c_TFWD))*((c_TMAP1OUT)-(0))+IF(((c_TMAP1OUT)-(0))&gt;=0,1,-1)*QUOTIENT(((c_TMAP1IN)-(c_TFWD)),2))+2147483648,4294967296)-2147483648,((c_TMAP1IN)-(c_TFWD))*(((A25)-(c_TFWD))*((c_TMAP1OUT)-(0))+IF(((c_TMAP1OUT)-(0))&gt;=0,1,-1)*QUOTIENT(((c_TMAP1IN)-(c_TFWD)),2)))&gt;=0,1,0)))</f>
        <v>8</v>
      </c>
      <c r="E25" s="7" t="n">
        <f aca="false">IF(((c_TMAP2IN)-(c_TMAP1IN))=0,(c_TMAP1OUT)+QUOTIENT(((c_TMAP2OUT)-(c_TMAP1OUT)),2),QUOTIENT((((A25)-(c_TMAP1IN))*((c_TMAP2OUT)-(c_TMAP1OUT))+IF(((c_TMAP2OUT)-(c_TMAP1OUT))&gt;=0,1,-1)*QUOTIENT(((c_TMAP2IN)-(c_TMAP1IN)),2)),((c_TMAP2IN)-(c_TMAP1IN)))+(c_TMAP1OUT)+IF(((c_TMAP2OUT)-(c_TMAP1OUT))&gt;=0,IF(IF(o_WRAP=1,MOD(((c_TMAP2IN)-(c_TMAP1IN))*(((A25)-(c_TMAP1IN))*((c_TMAP2OUT)-(c_TMAP1OUT))+IF(((c_TMAP2OUT)-(c_TMAP1OUT))&gt;=0,1,-1)*QUOTIENT(((c_TMAP2IN)-(c_TMAP1IN)),2))+2147483648,4294967296)-2147483648,((c_TMAP2IN)-(c_TMAP1IN))*(((A25)-(c_TMAP1IN))*((c_TMAP2OUT)-(c_TMAP1OUT))+IF(((c_TMAP2OUT)-(c_TMAP1OUT))&gt;=0,1,-1)*QUOTIENT(((c_TMAP2IN)-(c_TMAP1IN)),2)))&lt;0,-1,0),IF(IF(o_WRAP=1,MOD(((c_TMAP2IN)-(c_TMAP1IN))*(((A25)-(c_TMAP1IN))*((c_TMAP2OUT)-(c_TMAP1OUT))+IF(((c_TMAP2OUT)-(c_TMAP1OUT))&gt;=0,1,-1)*QUOTIENT(((c_TMAP2IN)-(c_TMAP1IN)),2))+2147483648,4294967296)-2147483648,((c_TMAP2IN)-(c_TMAP1IN))*(((A25)-(c_TMAP1IN))*((c_TMAP2OUT)-(c_TMAP1OUT))+IF(((c_TMAP2OUT)-(c_TMAP1OUT))&gt;=0,1,-1)*QUOTIENT(((c_TMAP2IN)-(c_TMAP1IN)),2)))&gt;=0,1,0)))</f>
        <v>38</v>
      </c>
      <c r="F25" s="7" t="n">
        <f aca="false">IF(((c_TMAP3IN)-(c_TMAP2IN))=0,(c_TMAP2OUT)+QUOTIENT(((c_TMAP3OUT)-(c_TMAP2OUT)),2),QUOTIENT((((A25)-(c_TMAP2IN))*((c_TMAP3OUT)-(c_TMAP2OUT))+IF(((c_TMAP3OUT)-(c_TMAP2OUT))&gt;=0,1,-1)*QUOTIENT(((c_TMAP3IN)-(c_TMAP2IN)),2)),((c_TMAP3IN)-(c_TMAP2IN)))+(c_TMAP2OUT)+IF(((c_TMAP3OUT)-(c_TMAP2OUT))&gt;=0,IF(IF(o_WRAP=1,MOD(((c_TMAP3IN)-(c_TMAP2IN))*(((A25)-(c_TMAP2IN))*((c_TMAP3OUT)-(c_TMAP2OUT))+IF(((c_TMAP3OUT)-(c_TMAP2OUT))&gt;=0,1,-1)*QUOTIENT(((c_TMAP3IN)-(c_TMAP2IN)),2))+2147483648,4294967296)-2147483648,((c_TMAP3IN)-(c_TMAP2IN))*(((A25)-(c_TMAP2IN))*((c_TMAP3OUT)-(c_TMAP2OUT))+IF(((c_TMAP3OUT)-(c_TMAP2OUT))&gt;=0,1,-1)*QUOTIENT(((c_TMAP3IN)-(c_TMAP2IN)),2)))&lt;0,-1,0),IF(IF(o_WRAP=1,MOD(((c_TMAP3IN)-(c_TMAP2IN))*(((A25)-(c_TMAP2IN))*((c_TMAP3OUT)-(c_TMAP2OUT))+IF(((c_TMAP3OUT)-(c_TMAP2OUT))&gt;=0,1,-1)*QUOTIENT(((c_TMAP3IN)-(c_TMAP2IN)),2))+2147483648,4294967296)-2147483648,((c_TMAP3IN)-(c_TMAP2IN))*(((A25)-(c_TMAP2IN))*((c_TMAP3OUT)-(c_TMAP2OUT))+IF(((c_TMAP3OUT)-(c_TMAP2OUT))&gt;=0,1,-1)*QUOTIENT(((c_TMAP3IN)-(c_TMAP2IN)),2)))&gt;=0,1,0)))</f>
        <v>-31</v>
      </c>
      <c r="G25" s="7" t="n">
        <f aca="false">IF(((1000)-(c_TMAP3IN))=0,(c_TMAP3OUT)+QUOTIENT(((1000)-(c_TMAP3OUT)),2),QUOTIENT((((A25)-(c_TMAP3IN))*((1000)-(c_TMAP3OUT))+IF(((1000)-(c_TMAP3OUT))&gt;=0,1,-1)*QUOTIENT(((1000)-(c_TMAP3IN)),2)),((1000)-(c_TMAP3IN)))+(c_TMAP3OUT)+IF(((1000)-(c_TMAP3OUT))&gt;=0,IF(IF(o_WRAP=1,MOD(((1000)-(c_TMAP3IN))*(((A25)-(c_TMAP3IN))*((1000)-(c_TMAP3OUT))+IF(((1000)-(c_TMAP3OUT))&gt;=0,1,-1)*QUOTIENT(((1000)-(c_TMAP3IN)),2))+2147483648,4294967296)-2147483648,((1000)-(c_TMAP3IN))*(((A25)-(c_TMAP3IN))*((1000)-(c_TMAP3OUT))+IF(((1000)-(c_TMAP3OUT))&gt;=0,1,-1)*QUOTIENT(((1000)-(c_TMAP3IN)),2)))&lt;0,-1,0),IF(IF(o_WRAP=1,MOD(((1000)-(c_TMAP3IN))*(((A25)-(c_TMAP3IN))*((1000)-(c_TMAP3OUT))+IF(((1000)-(c_TMAP3OUT))&gt;=0,1,-1)*QUOTIENT(((1000)-(c_TMAP3IN)),2))+2147483648,4294967296)-2147483648,((1000)-(c_TMAP3IN))*(((A25)-(c_TMAP3IN))*((1000)-(c_TMAP3OUT))+IF(((1000)-(c_TMAP3OUT))&gt;=0,1,-1)*QUOTIENT(((1000)-(c_TMAP3IN)),2)))&gt;=0,1,0)))</f>
        <v>-206</v>
      </c>
      <c r="H25" s="7" t="str">
        <f aca="false">IF(A25&gt;=c_TFWD,IF(AND(A25&gt;=c_TMAP3IN,c_TMAP3IN&lt;1000),"Seg4 map3-100%",IF(AND(A25&gt;=c_TMAP2IN,c_TMAP3IN&gt;c_TMAP2IN),"Seg3 map2-map3",IF(AND(A25&gt;=c_TMAP1IN,c_TMAP2IN&gt;c_TMAP1IN),"Seg2 map1-map2","Seg1 TFWD-map1"))),IF(AND(A25=0,c_TCREEP&gt;0),"Creep",IF(AND(A25&lt;=c_TRNGMIN,A25&gt;=c_TRNGMAX,c_TRNGMIN-c_TRNGMAX&lt;&gt;0),"Regen ramp","Coast (0)")))</f>
        <v>Seg1 TFWD-map1</v>
      </c>
      <c r="I25" s="7" t="n">
        <f aca="false">IF(A25&gt;=c_TFWD,IF(AND(A25&gt;=c_TMAP3IN,c_TMAP3IN&lt;1000),G25,IF(AND(A25&gt;=c_TMAP2IN,c_TMAP3IN&gt;c_TMAP2IN),F25,IF(AND(A25&gt;=c_TMAP1IN,c_TMAP2IN&gt;c_TMAP1IN),E25,D25))),C25)</f>
        <v>8</v>
      </c>
      <c r="J25" s="7" t="str">
        <f aca="false">IF(I25&lt;-1090,"TOO LOW",IF(I25&gt;1090,"TOO HIGH",""))</f>
        <v/>
      </c>
      <c r="K25" s="15" t="n">
        <f aca="false">IF(J25&lt;&gt;"",0,IF(I25&gt;979,1000,I25))</f>
        <v>8</v>
      </c>
      <c r="L25" s="7" t="n">
        <f aca="false">K25/10</f>
        <v>0.8</v>
      </c>
    </row>
    <row r="26" customFormat="false" ht="15" hidden="false" customHeight="false" outlineLevel="0" collapsed="false">
      <c r="A26" s="7" t="n">
        <v>21</v>
      </c>
      <c r="B26" s="7" t="n">
        <f aca="false">A26/10</f>
        <v>2.1</v>
      </c>
      <c r="C26" s="7" t="n">
        <f aca="false">IF(AND(A26=0,c_TCREEP&gt;0),10*c_TCREEP,IF(AND(A26&lt;=c_TRNGMIN,A26&gt;=c_TRNGMAX,c_TRNGMIN-c_TRNGMAX&lt;&gt;0),-10*c_TMINRN+QUOTIENT((c_TMAXRN-c_TMINRN)*(100-QUOTIENT((A26-c_TRNGMAX)*100,c_TRNGMIN-c_TRNGMAX)),-10),0))</f>
        <v>0</v>
      </c>
      <c r="D26" s="7" t="n">
        <f aca="false">IF(((c_TMAP1IN)-(c_TFWD))=0,(0)+QUOTIENT(((c_TMAP1OUT)-(0)),2),QUOTIENT((((A26)-(c_TFWD))*((c_TMAP1OUT)-(0))+IF(((c_TMAP1OUT)-(0))&gt;=0,1,-1)*QUOTIENT(((c_TMAP1IN)-(c_TFWD)),2)),((c_TMAP1IN)-(c_TFWD)))+(0)+IF(((c_TMAP1OUT)-(0))&gt;=0,IF(IF(o_WRAP=1,MOD(((c_TMAP1IN)-(c_TFWD))*(((A26)-(c_TFWD))*((c_TMAP1OUT)-(0))+IF(((c_TMAP1OUT)-(0))&gt;=0,1,-1)*QUOTIENT(((c_TMAP1IN)-(c_TFWD)),2))+2147483648,4294967296)-2147483648,((c_TMAP1IN)-(c_TFWD))*(((A26)-(c_TFWD))*((c_TMAP1OUT)-(0))+IF(((c_TMAP1OUT)-(0))&gt;=0,1,-1)*QUOTIENT(((c_TMAP1IN)-(c_TFWD)),2)))&lt;0,-1,0),IF(IF(o_WRAP=1,MOD(((c_TMAP1IN)-(c_TFWD))*(((A26)-(c_TFWD))*((c_TMAP1OUT)-(0))+IF(((c_TMAP1OUT)-(0))&gt;=0,1,-1)*QUOTIENT(((c_TMAP1IN)-(c_TFWD)),2))+2147483648,4294967296)-2147483648,((c_TMAP1IN)-(c_TFWD))*(((A26)-(c_TFWD))*((c_TMAP1OUT)-(0))+IF(((c_TMAP1OUT)-(0))&gt;=0,1,-1)*QUOTIENT(((c_TMAP1IN)-(c_TFWD)),2)))&gt;=0,1,0)))</f>
        <v>9</v>
      </c>
      <c r="E26" s="7" t="n">
        <f aca="false">IF(((c_TMAP2IN)-(c_TMAP1IN))=0,(c_TMAP1OUT)+QUOTIENT(((c_TMAP2OUT)-(c_TMAP1OUT)),2),QUOTIENT((((A26)-(c_TMAP1IN))*((c_TMAP2OUT)-(c_TMAP1OUT))+IF(((c_TMAP2OUT)-(c_TMAP1OUT))&gt;=0,1,-1)*QUOTIENT(((c_TMAP2IN)-(c_TMAP1IN)),2)),((c_TMAP2IN)-(c_TMAP1IN)))+(c_TMAP1OUT)+IF(((c_TMAP2OUT)-(c_TMAP1OUT))&gt;=0,IF(IF(o_WRAP=1,MOD(((c_TMAP2IN)-(c_TMAP1IN))*(((A26)-(c_TMAP1IN))*((c_TMAP2OUT)-(c_TMAP1OUT))+IF(((c_TMAP2OUT)-(c_TMAP1OUT))&gt;=0,1,-1)*QUOTIENT(((c_TMAP2IN)-(c_TMAP1IN)),2))+2147483648,4294967296)-2147483648,((c_TMAP2IN)-(c_TMAP1IN))*(((A26)-(c_TMAP1IN))*((c_TMAP2OUT)-(c_TMAP1OUT))+IF(((c_TMAP2OUT)-(c_TMAP1OUT))&gt;=0,1,-1)*QUOTIENT(((c_TMAP2IN)-(c_TMAP1IN)),2)))&lt;0,-1,0),IF(IF(o_WRAP=1,MOD(((c_TMAP2IN)-(c_TMAP1IN))*(((A26)-(c_TMAP1IN))*((c_TMAP2OUT)-(c_TMAP1OUT))+IF(((c_TMAP2OUT)-(c_TMAP1OUT))&gt;=0,1,-1)*QUOTIENT(((c_TMAP2IN)-(c_TMAP1IN)),2))+2147483648,4294967296)-2147483648,((c_TMAP2IN)-(c_TMAP1IN))*(((A26)-(c_TMAP1IN))*((c_TMAP2OUT)-(c_TMAP1OUT))+IF(((c_TMAP2OUT)-(c_TMAP1OUT))&gt;=0,1,-1)*QUOTIENT(((c_TMAP2IN)-(c_TMAP1IN)),2)))&gt;=0,1,0)))</f>
        <v>38</v>
      </c>
      <c r="F26" s="7" t="n">
        <f aca="false">IF(((c_TMAP3IN)-(c_TMAP2IN))=0,(c_TMAP2OUT)+QUOTIENT(((c_TMAP3OUT)-(c_TMAP2OUT)),2),QUOTIENT((((A26)-(c_TMAP2IN))*((c_TMAP3OUT)-(c_TMAP2OUT))+IF(((c_TMAP3OUT)-(c_TMAP2OUT))&gt;=0,1,-1)*QUOTIENT(((c_TMAP3IN)-(c_TMAP2IN)),2)),((c_TMAP3IN)-(c_TMAP2IN)))+(c_TMAP2OUT)+IF(((c_TMAP3OUT)-(c_TMAP2OUT))&gt;=0,IF(IF(o_WRAP=1,MOD(((c_TMAP3IN)-(c_TMAP2IN))*(((A26)-(c_TMAP2IN))*((c_TMAP3OUT)-(c_TMAP2OUT))+IF(((c_TMAP3OUT)-(c_TMAP2OUT))&gt;=0,1,-1)*QUOTIENT(((c_TMAP3IN)-(c_TMAP2IN)),2))+2147483648,4294967296)-2147483648,((c_TMAP3IN)-(c_TMAP2IN))*(((A26)-(c_TMAP2IN))*((c_TMAP3OUT)-(c_TMAP2OUT))+IF(((c_TMAP3OUT)-(c_TMAP2OUT))&gt;=0,1,-1)*QUOTIENT(((c_TMAP3IN)-(c_TMAP2IN)),2)))&lt;0,-1,0),IF(IF(o_WRAP=1,MOD(((c_TMAP3IN)-(c_TMAP2IN))*(((A26)-(c_TMAP2IN))*((c_TMAP3OUT)-(c_TMAP2OUT))+IF(((c_TMAP3OUT)-(c_TMAP2OUT))&gt;=0,1,-1)*QUOTIENT(((c_TMAP3IN)-(c_TMAP2IN)),2))+2147483648,4294967296)-2147483648,((c_TMAP3IN)-(c_TMAP2IN))*(((A26)-(c_TMAP2IN))*((c_TMAP3OUT)-(c_TMAP2OUT))+IF(((c_TMAP3OUT)-(c_TMAP2OUT))&gt;=0,1,-1)*QUOTIENT(((c_TMAP3IN)-(c_TMAP2IN)),2)))&gt;=0,1,0)))</f>
        <v>-30</v>
      </c>
      <c r="G26" s="7" t="n">
        <f aca="false">IF(((1000)-(c_TMAP3IN))=0,(c_TMAP3OUT)+QUOTIENT(((1000)-(c_TMAP3OUT)),2),QUOTIENT((((A26)-(c_TMAP3IN))*((1000)-(c_TMAP3OUT))+IF(((1000)-(c_TMAP3OUT))&gt;=0,1,-1)*QUOTIENT(((1000)-(c_TMAP3IN)),2)),((1000)-(c_TMAP3IN)))+(c_TMAP3OUT)+IF(((1000)-(c_TMAP3OUT))&gt;=0,IF(IF(o_WRAP=1,MOD(((1000)-(c_TMAP3IN))*(((A26)-(c_TMAP3IN))*((1000)-(c_TMAP3OUT))+IF(((1000)-(c_TMAP3OUT))&gt;=0,1,-1)*QUOTIENT(((1000)-(c_TMAP3IN)),2))+2147483648,4294967296)-2147483648,((1000)-(c_TMAP3IN))*(((A26)-(c_TMAP3IN))*((1000)-(c_TMAP3OUT))+IF(((1000)-(c_TMAP3OUT))&gt;=0,1,-1)*QUOTIENT(((1000)-(c_TMAP3IN)),2)))&lt;0,-1,0),IF(IF(o_WRAP=1,MOD(((1000)-(c_TMAP3IN))*(((A26)-(c_TMAP3IN))*((1000)-(c_TMAP3OUT))+IF(((1000)-(c_TMAP3OUT))&gt;=0,1,-1)*QUOTIENT(((1000)-(c_TMAP3IN)),2))+2147483648,4294967296)-2147483648,((1000)-(c_TMAP3IN))*(((A26)-(c_TMAP3IN))*((1000)-(c_TMAP3OUT))+IF(((1000)-(c_TMAP3OUT))&gt;=0,1,-1)*QUOTIENT(((1000)-(c_TMAP3IN)),2)))&gt;=0,1,0)))</f>
        <v>-205</v>
      </c>
      <c r="H26" s="7" t="str">
        <f aca="false">IF(A26&gt;=c_TFWD,IF(AND(A26&gt;=c_TMAP3IN,c_TMAP3IN&lt;1000),"Seg4 map3-100%",IF(AND(A26&gt;=c_TMAP2IN,c_TMAP3IN&gt;c_TMAP2IN),"Seg3 map2-map3",IF(AND(A26&gt;=c_TMAP1IN,c_TMAP2IN&gt;c_TMAP1IN),"Seg2 map1-map2","Seg1 TFWD-map1"))),IF(AND(A26=0,c_TCREEP&gt;0),"Creep",IF(AND(A26&lt;=c_TRNGMIN,A26&gt;=c_TRNGMAX,c_TRNGMIN-c_TRNGMAX&lt;&gt;0),"Regen ramp","Coast (0)")))</f>
        <v>Seg1 TFWD-map1</v>
      </c>
      <c r="I26" s="7" t="n">
        <f aca="false">IF(A26&gt;=c_TFWD,IF(AND(A26&gt;=c_TMAP3IN,c_TMAP3IN&lt;1000),G26,IF(AND(A26&gt;=c_TMAP2IN,c_TMAP3IN&gt;c_TMAP2IN),F26,IF(AND(A26&gt;=c_TMAP1IN,c_TMAP2IN&gt;c_TMAP1IN),E26,D26))),C26)</f>
        <v>9</v>
      </c>
      <c r="J26" s="7" t="str">
        <f aca="false">IF(I26&lt;-1090,"TOO LOW",IF(I26&gt;1090,"TOO HIGH",""))</f>
        <v/>
      </c>
      <c r="K26" s="15" t="n">
        <f aca="false">IF(J26&lt;&gt;"",0,IF(I26&gt;979,1000,I26))</f>
        <v>9</v>
      </c>
      <c r="L26" s="7" t="n">
        <f aca="false">K26/10</f>
        <v>0.9</v>
      </c>
    </row>
    <row r="27" customFormat="false" ht="15" hidden="false" customHeight="false" outlineLevel="0" collapsed="false">
      <c r="A27" s="7" t="n">
        <v>22</v>
      </c>
      <c r="B27" s="7" t="n">
        <f aca="false">A27/10</f>
        <v>2.2</v>
      </c>
      <c r="C27" s="7" t="n">
        <f aca="false">IF(AND(A27=0,c_TCREEP&gt;0),10*c_TCREEP,IF(AND(A27&lt;=c_TRNGMIN,A27&gt;=c_TRNGMAX,c_TRNGMIN-c_TRNGMAX&lt;&gt;0),-10*c_TMINRN+QUOTIENT((c_TMAXRN-c_TMINRN)*(100-QUOTIENT((A27-c_TRNGMAX)*100,c_TRNGMIN-c_TRNGMAX)),-10),0))</f>
        <v>0</v>
      </c>
      <c r="D27" s="7" t="n">
        <f aca="false">IF(((c_TMAP1IN)-(c_TFWD))=0,(0)+QUOTIENT(((c_TMAP1OUT)-(0)),2),QUOTIENT((((A27)-(c_TFWD))*((c_TMAP1OUT)-(0))+IF(((c_TMAP1OUT)-(0))&gt;=0,1,-1)*QUOTIENT(((c_TMAP1IN)-(c_TFWD)),2)),((c_TMAP1IN)-(c_TFWD)))+(0)+IF(((c_TMAP1OUT)-(0))&gt;=0,IF(IF(o_WRAP=1,MOD(((c_TMAP1IN)-(c_TFWD))*(((A27)-(c_TFWD))*((c_TMAP1OUT)-(0))+IF(((c_TMAP1OUT)-(0))&gt;=0,1,-1)*QUOTIENT(((c_TMAP1IN)-(c_TFWD)),2))+2147483648,4294967296)-2147483648,((c_TMAP1IN)-(c_TFWD))*(((A27)-(c_TFWD))*((c_TMAP1OUT)-(0))+IF(((c_TMAP1OUT)-(0))&gt;=0,1,-1)*QUOTIENT(((c_TMAP1IN)-(c_TFWD)),2)))&lt;0,-1,0),IF(IF(o_WRAP=1,MOD(((c_TMAP1IN)-(c_TFWD))*(((A27)-(c_TFWD))*((c_TMAP1OUT)-(0))+IF(((c_TMAP1OUT)-(0))&gt;=0,1,-1)*QUOTIENT(((c_TMAP1IN)-(c_TFWD)),2))+2147483648,4294967296)-2147483648,((c_TMAP1IN)-(c_TFWD))*(((A27)-(c_TFWD))*((c_TMAP1OUT)-(0))+IF(((c_TMAP1OUT)-(0))&gt;=0,1,-1)*QUOTIENT(((c_TMAP1IN)-(c_TFWD)),2)))&gt;=0,1,0)))</f>
        <v>9</v>
      </c>
      <c r="E27" s="7" t="n">
        <f aca="false">IF(((c_TMAP2IN)-(c_TMAP1IN))=0,(c_TMAP1OUT)+QUOTIENT(((c_TMAP2OUT)-(c_TMAP1OUT)),2),QUOTIENT((((A27)-(c_TMAP1IN))*((c_TMAP2OUT)-(c_TMAP1OUT))+IF(((c_TMAP2OUT)-(c_TMAP1OUT))&gt;=0,1,-1)*QUOTIENT(((c_TMAP2IN)-(c_TMAP1IN)),2)),((c_TMAP2IN)-(c_TMAP1IN)))+(c_TMAP1OUT)+IF(((c_TMAP2OUT)-(c_TMAP1OUT))&gt;=0,IF(IF(o_WRAP=1,MOD(((c_TMAP2IN)-(c_TMAP1IN))*(((A27)-(c_TMAP1IN))*((c_TMAP2OUT)-(c_TMAP1OUT))+IF(((c_TMAP2OUT)-(c_TMAP1OUT))&gt;=0,1,-1)*QUOTIENT(((c_TMAP2IN)-(c_TMAP1IN)),2))+2147483648,4294967296)-2147483648,((c_TMAP2IN)-(c_TMAP1IN))*(((A27)-(c_TMAP1IN))*((c_TMAP2OUT)-(c_TMAP1OUT))+IF(((c_TMAP2OUT)-(c_TMAP1OUT))&gt;=0,1,-1)*QUOTIENT(((c_TMAP2IN)-(c_TMAP1IN)),2)))&lt;0,-1,0),IF(IF(o_WRAP=1,MOD(((c_TMAP2IN)-(c_TMAP1IN))*(((A27)-(c_TMAP1IN))*((c_TMAP2OUT)-(c_TMAP1OUT))+IF(((c_TMAP2OUT)-(c_TMAP1OUT))&gt;=0,1,-1)*QUOTIENT(((c_TMAP2IN)-(c_TMAP1IN)),2))+2147483648,4294967296)-2147483648,((c_TMAP2IN)-(c_TMAP1IN))*(((A27)-(c_TMAP1IN))*((c_TMAP2OUT)-(c_TMAP1OUT))+IF(((c_TMAP2OUT)-(c_TMAP1OUT))&gt;=0,1,-1)*QUOTIENT(((c_TMAP2IN)-(c_TMAP1IN)),2)))&gt;=0,1,0)))</f>
        <v>39</v>
      </c>
      <c r="F27" s="7" t="n">
        <f aca="false">IF(((c_TMAP3IN)-(c_TMAP2IN))=0,(c_TMAP2OUT)+QUOTIENT(((c_TMAP3OUT)-(c_TMAP2OUT)),2),QUOTIENT((((A27)-(c_TMAP2IN))*((c_TMAP3OUT)-(c_TMAP2OUT))+IF(((c_TMAP3OUT)-(c_TMAP2OUT))&gt;=0,1,-1)*QUOTIENT(((c_TMAP3IN)-(c_TMAP2IN)),2)),((c_TMAP3IN)-(c_TMAP2IN)))+(c_TMAP2OUT)+IF(((c_TMAP3OUT)-(c_TMAP2OUT))&gt;=0,IF(IF(o_WRAP=1,MOD(((c_TMAP3IN)-(c_TMAP2IN))*(((A27)-(c_TMAP2IN))*((c_TMAP3OUT)-(c_TMAP2OUT))+IF(((c_TMAP3OUT)-(c_TMAP2OUT))&gt;=0,1,-1)*QUOTIENT(((c_TMAP3IN)-(c_TMAP2IN)),2))+2147483648,4294967296)-2147483648,((c_TMAP3IN)-(c_TMAP2IN))*(((A27)-(c_TMAP2IN))*((c_TMAP3OUT)-(c_TMAP2OUT))+IF(((c_TMAP3OUT)-(c_TMAP2OUT))&gt;=0,1,-1)*QUOTIENT(((c_TMAP3IN)-(c_TMAP2IN)),2)))&lt;0,-1,0),IF(IF(o_WRAP=1,MOD(((c_TMAP3IN)-(c_TMAP2IN))*(((A27)-(c_TMAP2IN))*((c_TMAP3OUT)-(c_TMAP2OUT))+IF(((c_TMAP3OUT)-(c_TMAP2OUT))&gt;=0,1,-1)*QUOTIENT(((c_TMAP3IN)-(c_TMAP2IN)),2))+2147483648,4294967296)-2147483648,((c_TMAP3IN)-(c_TMAP2IN))*(((A27)-(c_TMAP2IN))*((c_TMAP3OUT)-(c_TMAP2OUT))+IF(((c_TMAP3OUT)-(c_TMAP2OUT))&gt;=0,1,-1)*QUOTIENT(((c_TMAP3IN)-(c_TMAP2IN)),2)))&gt;=0,1,0)))</f>
        <v>-30</v>
      </c>
      <c r="G27" s="7" t="n">
        <f aca="false">IF(((1000)-(c_TMAP3IN))=0,(c_TMAP3OUT)+QUOTIENT(((1000)-(c_TMAP3OUT)),2),QUOTIENT((((A27)-(c_TMAP3IN))*((1000)-(c_TMAP3OUT))+IF(((1000)-(c_TMAP3OUT))&gt;=0,1,-1)*QUOTIENT(((1000)-(c_TMAP3IN)),2)),((1000)-(c_TMAP3IN)))+(c_TMAP3OUT)+IF(((1000)-(c_TMAP3OUT))&gt;=0,IF(IF(o_WRAP=1,MOD(((1000)-(c_TMAP3IN))*(((A27)-(c_TMAP3IN))*((1000)-(c_TMAP3OUT))+IF(((1000)-(c_TMAP3OUT))&gt;=0,1,-1)*QUOTIENT(((1000)-(c_TMAP3IN)),2))+2147483648,4294967296)-2147483648,((1000)-(c_TMAP3IN))*(((A27)-(c_TMAP3IN))*((1000)-(c_TMAP3OUT))+IF(((1000)-(c_TMAP3OUT))&gt;=0,1,-1)*QUOTIENT(((1000)-(c_TMAP3IN)),2)))&lt;0,-1,0),IF(IF(o_WRAP=1,MOD(((1000)-(c_TMAP3IN))*(((A27)-(c_TMAP3IN))*((1000)-(c_TMAP3OUT))+IF(((1000)-(c_TMAP3OUT))&gt;=0,1,-1)*QUOTIENT(((1000)-(c_TMAP3IN)),2))+2147483648,4294967296)-2147483648,((1000)-(c_TMAP3IN))*(((A27)-(c_TMAP3IN))*((1000)-(c_TMAP3OUT))+IF(((1000)-(c_TMAP3OUT))&gt;=0,1,-1)*QUOTIENT(((1000)-(c_TMAP3IN)),2)))&gt;=0,1,0)))</f>
        <v>-204</v>
      </c>
      <c r="H27" s="7" t="str">
        <f aca="false">IF(A27&gt;=c_TFWD,IF(AND(A27&gt;=c_TMAP3IN,c_TMAP3IN&lt;1000),"Seg4 map3-100%",IF(AND(A27&gt;=c_TMAP2IN,c_TMAP3IN&gt;c_TMAP2IN),"Seg3 map2-map3",IF(AND(A27&gt;=c_TMAP1IN,c_TMAP2IN&gt;c_TMAP1IN),"Seg2 map1-map2","Seg1 TFWD-map1"))),IF(AND(A27=0,c_TCREEP&gt;0),"Creep",IF(AND(A27&lt;=c_TRNGMIN,A27&gt;=c_TRNGMAX,c_TRNGMIN-c_TRNGMAX&lt;&gt;0),"Regen ramp","Coast (0)")))</f>
        <v>Seg1 TFWD-map1</v>
      </c>
      <c r="I27" s="7" t="n">
        <f aca="false">IF(A27&gt;=c_TFWD,IF(AND(A27&gt;=c_TMAP3IN,c_TMAP3IN&lt;1000),G27,IF(AND(A27&gt;=c_TMAP2IN,c_TMAP3IN&gt;c_TMAP2IN),F27,IF(AND(A27&gt;=c_TMAP1IN,c_TMAP2IN&gt;c_TMAP1IN),E27,D27))),C27)</f>
        <v>9</v>
      </c>
      <c r="J27" s="7" t="str">
        <f aca="false">IF(I27&lt;-1090,"TOO LOW",IF(I27&gt;1090,"TOO HIGH",""))</f>
        <v/>
      </c>
      <c r="K27" s="15" t="n">
        <f aca="false">IF(J27&lt;&gt;"",0,IF(I27&gt;979,1000,I27))</f>
        <v>9</v>
      </c>
      <c r="L27" s="7" t="n">
        <f aca="false">K27/10</f>
        <v>0.9</v>
      </c>
    </row>
    <row r="28" customFormat="false" ht="15" hidden="false" customHeight="false" outlineLevel="0" collapsed="false">
      <c r="A28" s="7" t="n">
        <v>23</v>
      </c>
      <c r="B28" s="7" t="n">
        <f aca="false">A28/10</f>
        <v>2.3</v>
      </c>
      <c r="C28" s="7" t="n">
        <f aca="false">IF(AND(A28=0,c_TCREEP&gt;0),10*c_TCREEP,IF(AND(A28&lt;=c_TRNGMIN,A28&gt;=c_TRNGMAX,c_TRNGMIN-c_TRNGMAX&lt;&gt;0),-10*c_TMINRN+QUOTIENT((c_TMAXRN-c_TMINRN)*(100-QUOTIENT((A28-c_TRNGMAX)*100,c_TRNGMIN-c_TRNGMAX)),-10),0))</f>
        <v>0</v>
      </c>
      <c r="D28" s="7" t="n">
        <f aca="false">IF(((c_TMAP1IN)-(c_TFWD))=0,(0)+QUOTIENT(((c_TMAP1OUT)-(0)),2),QUOTIENT((((A28)-(c_TFWD))*((c_TMAP1OUT)-(0))+IF(((c_TMAP1OUT)-(0))&gt;=0,1,-1)*QUOTIENT(((c_TMAP1IN)-(c_TFWD)),2)),((c_TMAP1IN)-(c_TFWD)))+(0)+IF(((c_TMAP1OUT)-(0))&gt;=0,IF(IF(o_WRAP=1,MOD(((c_TMAP1IN)-(c_TFWD))*(((A28)-(c_TFWD))*((c_TMAP1OUT)-(0))+IF(((c_TMAP1OUT)-(0))&gt;=0,1,-1)*QUOTIENT(((c_TMAP1IN)-(c_TFWD)),2))+2147483648,4294967296)-2147483648,((c_TMAP1IN)-(c_TFWD))*(((A28)-(c_TFWD))*((c_TMAP1OUT)-(0))+IF(((c_TMAP1OUT)-(0))&gt;=0,1,-1)*QUOTIENT(((c_TMAP1IN)-(c_TFWD)),2)))&lt;0,-1,0),IF(IF(o_WRAP=1,MOD(((c_TMAP1IN)-(c_TFWD))*(((A28)-(c_TFWD))*((c_TMAP1OUT)-(0))+IF(((c_TMAP1OUT)-(0))&gt;=0,1,-1)*QUOTIENT(((c_TMAP1IN)-(c_TFWD)),2))+2147483648,4294967296)-2147483648,((c_TMAP1IN)-(c_TFWD))*(((A28)-(c_TFWD))*((c_TMAP1OUT)-(0))+IF(((c_TMAP1OUT)-(0))&gt;=0,1,-1)*QUOTIENT(((c_TMAP1IN)-(c_TFWD)),2)))&gt;=0,1,0)))</f>
        <v>10</v>
      </c>
      <c r="E28" s="7" t="n">
        <f aca="false">IF(((c_TMAP2IN)-(c_TMAP1IN))=0,(c_TMAP1OUT)+QUOTIENT(((c_TMAP2OUT)-(c_TMAP1OUT)),2),QUOTIENT((((A28)-(c_TMAP1IN))*((c_TMAP2OUT)-(c_TMAP1OUT))+IF(((c_TMAP2OUT)-(c_TMAP1OUT))&gt;=0,1,-1)*QUOTIENT(((c_TMAP2IN)-(c_TMAP1IN)),2)),((c_TMAP2IN)-(c_TMAP1IN)))+(c_TMAP1OUT)+IF(((c_TMAP2OUT)-(c_TMAP1OUT))&gt;=0,IF(IF(o_WRAP=1,MOD(((c_TMAP2IN)-(c_TMAP1IN))*(((A28)-(c_TMAP1IN))*((c_TMAP2OUT)-(c_TMAP1OUT))+IF(((c_TMAP2OUT)-(c_TMAP1OUT))&gt;=0,1,-1)*QUOTIENT(((c_TMAP2IN)-(c_TMAP1IN)),2))+2147483648,4294967296)-2147483648,((c_TMAP2IN)-(c_TMAP1IN))*(((A28)-(c_TMAP1IN))*((c_TMAP2OUT)-(c_TMAP1OUT))+IF(((c_TMAP2OUT)-(c_TMAP1OUT))&gt;=0,1,-1)*QUOTIENT(((c_TMAP2IN)-(c_TMAP1IN)),2)))&lt;0,-1,0),IF(IF(o_WRAP=1,MOD(((c_TMAP2IN)-(c_TMAP1IN))*(((A28)-(c_TMAP1IN))*((c_TMAP2OUT)-(c_TMAP1OUT))+IF(((c_TMAP2OUT)-(c_TMAP1OUT))&gt;=0,1,-1)*QUOTIENT(((c_TMAP2IN)-(c_TMAP1IN)),2))+2147483648,4294967296)-2147483648,((c_TMAP2IN)-(c_TMAP1IN))*(((A28)-(c_TMAP1IN))*((c_TMAP2OUT)-(c_TMAP1OUT))+IF(((c_TMAP2OUT)-(c_TMAP1OUT))&gt;=0,1,-1)*QUOTIENT(((c_TMAP2IN)-(c_TMAP1IN)),2)))&gt;=0,1,0)))</f>
        <v>39</v>
      </c>
      <c r="F28" s="7" t="n">
        <f aca="false">IF(((c_TMAP3IN)-(c_TMAP2IN))=0,(c_TMAP2OUT)+QUOTIENT(((c_TMAP3OUT)-(c_TMAP2OUT)),2),QUOTIENT((((A28)-(c_TMAP2IN))*((c_TMAP3OUT)-(c_TMAP2OUT))+IF(((c_TMAP3OUT)-(c_TMAP2OUT))&gt;=0,1,-1)*QUOTIENT(((c_TMAP3IN)-(c_TMAP2IN)),2)),((c_TMAP3IN)-(c_TMAP2IN)))+(c_TMAP2OUT)+IF(((c_TMAP3OUT)-(c_TMAP2OUT))&gt;=0,IF(IF(o_WRAP=1,MOD(((c_TMAP3IN)-(c_TMAP2IN))*(((A28)-(c_TMAP2IN))*((c_TMAP3OUT)-(c_TMAP2OUT))+IF(((c_TMAP3OUT)-(c_TMAP2OUT))&gt;=0,1,-1)*QUOTIENT(((c_TMAP3IN)-(c_TMAP2IN)),2))+2147483648,4294967296)-2147483648,((c_TMAP3IN)-(c_TMAP2IN))*(((A28)-(c_TMAP2IN))*((c_TMAP3OUT)-(c_TMAP2OUT))+IF(((c_TMAP3OUT)-(c_TMAP2OUT))&gt;=0,1,-1)*QUOTIENT(((c_TMAP3IN)-(c_TMAP2IN)),2)))&lt;0,-1,0),IF(IF(o_WRAP=1,MOD(((c_TMAP3IN)-(c_TMAP2IN))*(((A28)-(c_TMAP2IN))*((c_TMAP3OUT)-(c_TMAP2OUT))+IF(((c_TMAP3OUT)-(c_TMAP2OUT))&gt;=0,1,-1)*QUOTIENT(((c_TMAP3IN)-(c_TMAP2IN)),2))+2147483648,4294967296)-2147483648,((c_TMAP3IN)-(c_TMAP2IN))*(((A28)-(c_TMAP2IN))*((c_TMAP3OUT)-(c_TMAP2OUT))+IF(((c_TMAP3OUT)-(c_TMAP2OUT))&gt;=0,1,-1)*QUOTIENT(((c_TMAP3IN)-(c_TMAP2IN)),2)))&gt;=0,1,0)))</f>
        <v>-29</v>
      </c>
      <c r="G28" s="7" t="n">
        <f aca="false">IF(((1000)-(c_TMAP3IN))=0,(c_TMAP3OUT)+QUOTIENT(((1000)-(c_TMAP3OUT)),2),QUOTIENT((((A28)-(c_TMAP3IN))*((1000)-(c_TMAP3OUT))+IF(((1000)-(c_TMAP3OUT))&gt;=0,1,-1)*QUOTIENT(((1000)-(c_TMAP3IN)),2)),((1000)-(c_TMAP3IN)))+(c_TMAP3OUT)+IF(((1000)-(c_TMAP3OUT))&gt;=0,IF(IF(o_WRAP=1,MOD(((1000)-(c_TMAP3IN))*(((A28)-(c_TMAP3IN))*((1000)-(c_TMAP3OUT))+IF(((1000)-(c_TMAP3OUT))&gt;=0,1,-1)*QUOTIENT(((1000)-(c_TMAP3IN)),2))+2147483648,4294967296)-2147483648,((1000)-(c_TMAP3IN))*(((A28)-(c_TMAP3IN))*((1000)-(c_TMAP3OUT))+IF(((1000)-(c_TMAP3OUT))&gt;=0,1,-1)*QUOTIENT(((1000)-(c_TMAP3IN)),2)))&lt;0,-1,0),IF(IF(o_WRAP=1,MOD(((1000)-(c_TMAP3IN))*(((A28)-(c_TMAP3IN))*((1000)-(c_TMAP3OUT))+IF(((1000)-(c_TMAP3OUT))&gt;=0,1,-1)*QUOTIENT(((1000)-(c_TMAP3IN)),2))+2147483648,4294967296)-2147483648,((1000)-(c_TMAP3IN))*(((A28)-(c_TMAP3IN))*((1000)-(c_TMAP3OUT))+IF(((1000)-(c_TMAP3OUT))&gt;=0,1,-1)*QUOTIENT(((1000)-(c_TMAP3IN)),2)))&gt;=0,1,0)))</f>
        <v>-202</v>
      </c>
      <c r="H28" s="7" t="str">
        <f aca="false">IF(A28&gt;=c_TFWD,IF(AND(A28&gt;=c_TMAP3IN,c_TMAP3IN&lt;1000),"Seg4 map3-100%",IF(AND(A28&gt;=c_TMAP2IN,c_TMAP3IN&gt;c_TMAP2IN),"Seg3 map2-map3",IF(AND(A28&gt;=c_TMAP1IN,c_TMAP2IN&gt;c_TMAP1IN),"Seg2 map1-map2","Seg1 TFWD-map1"))),IF(AND(A28=0,c_TCREEP&gt;0),"Creep",IF(AND(A28&lt;=c_TRNGMIN,A28&gt;=c_TRNGMAX,c_TRNGMIN-c_TRNGMAX&lt;&gt;0),"Regen ramp","Coast (0)")))</f>
        <v>Seg1 TFWD-map1</v>
      </c>
      <c r="I28" s="7" t="n">
        <f aca="false">IF(A28&gt;=c_TFWD,IF(AND(A28&gt;=c_TMAP3IN,c_TMAP3IN&lt;1000),G28,IF(AND(A28&gt;=c_TMAP2IN,c_TMAP3IN&gt;c_TMAP2IN),F28,IF(AND(A28&gt;=c_TMAP1IN,c_TMAP2IN&gt;c_TMAP1IN),E28,D28))),C28)</f>
        <v>10</v>
      </c>
      <c r="J28" s="7" t="str">
        <f aca="false">IF(I28&lt;-1090,"TOO LOW",IF(I28&gt;1090,"TOO HIGH",""))</f>
        <v/>
      </c>
      <c r="K28" s="15" t="n">
        <f aca="false">IF(J28&lt;&gt;"",0,IF(I28&gt;979,1000,I28))</f>
        <v>10</v>
      </c>
      <c r="L28" s="7" t="n">
        <f aca="false">K28/10</f>
        <v>1</v>
      </c>
    </row>
    <row r="29" customFormat="false" ht="15" hidden="false" customHeight="false" outlineLevel="0" collapsed="false">
      <c r="A29" s="7" t="n">
        <v>24</v>
      </c>
      <c r="B29" s="7" t="n">
        <f aca="false">A29/10</f>
        <v>2.4</v>
      </c>
      <c r="C29" s="7" t="n">
        <f aca="false">IF(AND(A29=0,c_TCREEP&gt;0),10*c_TCREEP,IF(AND(A29&lt;=c_TRNGMIN,A29&gt;=c_TRNGMAX,c_TRNGMIN-c_TRNGMAX&lt;&gt;0),-10*c_TMINRN+QUOTIENT((c_TMAXRN-c_TMINRN)*(100-QUOTIENT((A29-c_TRNGMAX)*100,c_TRNGMIN-c_TRNGMAX)),-10),0))</f>
        <v>0</v>
      </c>
      <c r="D29" s="7" t="n">
        <f aca="false">IF(((c_TMAP1IN)-(c_TFWD))=0,(0)+QUOTIENT(((c_TMAP1OUT)-(0)),2),QUOTIENT((((A29)-(c_TFWD))*((c_TMAP1OUT)-(0))+IF(((c_TMAP1OUT)-(0))&gt;=0,1,-1)*QUOTIENT(((c_TMAP1IN)-(c_TFWD)),2)),((c_TMAP1IN)-(c_TFWD)))+(0)+IF(((c_TMAP1OUT)-(0))&gt;=0,IF(IF(o_WRAP=1,MOD(((c_TMAP1IN)-(c_TFWD))*(((A29)-(c_TFWD))*((c_TMAP1OUT)-(0))+IF(((c_TMAP1OUT)-(0))&gt;=0,1,-1)*QUOTIENT(((c_TMAP1IN)-(c_TFWD)),2))+2147483648,4294967296)-2147483648,((c_TMAP1IN)-(c_TFWD))*(((A29)-(c_TFWD))*((c_TMAP1OUT)-(0))+IF(((c_TMAP1OUT)-(0))&gt;=0,1,-1)*QUOTIENT(((c_TMAP1IN)-(c_TFWD)),2)))&lt;0,-1,0),IF(IF(o_WRAP=1,MOD(((c_TMAP1IN)-(c_TFWD))*(((A29)-(c_TFWD))*((c_TMAP1OUT)-(0))+IF(((c_TMAP1OUT)-(0))&gt;=0,1,-1)*QUOTIENT(((c_TMAP1IN)-(c_TFWD)),2))+2147483648,4294967296)-2147483648,((c_TMAP1IN)-(c_TFWD))*(((A29)-(c_TFWD))*((c_TMAP1OUT)-(0))+IF(((c_TMAP1OUT)-(0))&gt;=0,1,-1)*QUOTIENT(((c_TMAP1IN)-(c_TFWD)),2)))&gt;=0,1,0)))</f>
        <v>11</v>
      </c>
      <c r="E29" s="7" t="n">
        <f aca="false">IF(((c_TMAP2IN)-(c_TMAP1IN))=0,(c_TMAP1OUT)+QUOTIENT(((c_TMAP2OUT)-(c_TMAP1OUT)),2),QUOTIENT((((A29)-(c_TMAP1IN))*((c_TMAP2OUT)-(c_TMAP1OUT))+IF(((c_TMAP2OUT)-(c_TMAP1OUT))&gt;=0,1,-1)*QUOTIENT(((c_TMAP2IN)-(c_TMAP1IN)),2)),((c_TMAP2IN)-(c_TMAP1IN)))+(c_TMAP1OUT)+IF(((c_TMAP2OUT)-(c_TMAP1OUT))&gt;=0,IF(IF(o_WRAP=1,MOD(((c_TMAP2IN)-(c_TMAP1IN))*(((A29)-(c_TMAP1IN))*((c_TMAP2OUT)-(c_TMAP1OUT))+IF(((c_TMAP2OUT)-(c_TMAP1OUT))&gt;=0,1,-1)*QUOTIENT(((c_TMAP2IN)-(c_TMAP1IN)),2))+2147483648,4294967296)-2147483648,((c_TMAP2IN)-(c_TMAP1IN))*(((A29)-(c_TMAP1IN))*((c_TMAP2OUT)-(c_TMAP1OUT))+IF(((c_TMAP2OUT)-(c_TMAP1OUT))&gt;=0,1,-1)*QUOTIENT(((c_TMAP2IN)-(c_TMAP1IN)),2)))&lt;0,-1,0),IF(IF(o_WRAP=1,MOD(((c_TMAP2IN)-(c_TMAP1IN))*(((A29)-(c_TMAP1IN))*((c_TMAP2OUT)-(c_TMAP1OUT))+IF(((c_TMAP2OUT)-(c_TMAP1OUT))&gt;=0,1,-1)*QUOTIENT(((c_TMAP2IN)-(c_TMAP1IN)),2))+2147483648,4294967296)-2147483648,((c_TMAP2IN)-(c_TMAP1IN))*(((A29)-(c_TMAP1IN))*((c_TMAP2OUT)-(c_TMAP1OUT))+IF(((c_TMAP2OUT)-(c_TMAP1OUT))&gt;=0,1,-1)*QUOTIENT(((c_TMAP2IN)-(c_TMAP1IN)),2)))&gt;=0,1,0)))</f>
        <v>40</v>
      </c>
      <c r="F29" s="7" t="n">
        <f aca="false">IF(((c_TMAP3IN)-(c_TMAP2IN))=0,(c_TMAP2OUT)+QUOTIENT(((c_TMAP3OUT)-(c_TMAP2OUT)),2),QUOTIENT((((A29)-(c_TMAP2IN))*((c_TMAP3OUT)-(c_TMAP2OUT))+IF(((c_TMAP3OUT)-(c_TMAP2OUT))&gt;=0,1,-1)*QUOTIENT(((c_TMAP3IN)-(c_TMAP2IN)),2)),((c_TMAP3IN)-(c_TMAP2IN)))+(c_TMAP2OUT)+IF(((c_TMAP3OUT)-(c_TMAP2OUT))&gt;=0,IF(IF(o_WRAP=1,MOD(((c_TMAP3IN)-(c_TMAP2IN))*(((A29)-(c_TMAP2IN))*((c_TMAP3OUT)-(c_TMAP2OUT))+IF(((c_TMAP3OUT)-(c_TMAP2OUT))&gt;=0,1,-1)*QUOTIENT(((c_TMAP3IN)-(c_TMAP2IN)),2))+2147483648,4294967296)-2147483648,((c_TMAP3IN)-(c_TMAP2IN))*(((A29)-(c_TMAP2IN))*((c_TMAP3OUT)-(c_TMAP2OUT))+IF(((c_TMAP3OUT)-(c_TMAP2OUT))&gt;=0,1,-1)*QUOTIENT(((c_TMAP3IN)-(c_TMAP2IN)),2)))&lt;0,-1,0),IF(IF(o_WRAP=1,MOD(((c_TMAP3IN)-(c_TMAP2IN))*(((A29)-(c_TMAP2IN))*((c_TMAP3OUT)-(c_TMAP2OUT))+IF(((c_TMAP3OUT)-(c_TMAP2OUT))&gt;=0,1,-1)*QUOTIENT(((c_TMAP3IN)-(c_TMAP2IN)),2))+2147483648,4294967296)-2147483648,((c_TMAP3IN)-(c_TMAP2IN))*(((A29)-(c_TMAP2IN))*((c_TMAP3OUT)-(c_TMAP2OUT))+IF(((c_TMAP3OUT)-(c_TMAP2OUT))&gt;=0,1,-1)*QUOTIENT(((c_TMAP3IN)-(c_TMAP2IN)),2)))&gt;=0,1,0)))</f>
        <v>-28</v>
      </c>
      <c r="G29" s="7" t="n">
        <f aca="false">IF(((1000)-(c_TMAP3IN))=0,(c_TMAP3OUT)+QUOTIENT(((1000)-(c_TMAP3OUT)),2),QUOTIENT((((A29)-(c_TMAP3IN))*((1000)-(c_TMAP3OUT))+IF(((1000)-(c_TMAP3OUT))&gt;=0,1,-1)*QUOTIENT(((1000)-(c_TMAP3IN)),2)),((1000)-(c_TMAP3IN)))+(c_TMAP3OUT)+IF(((1000)-(c_TMAP3OUT))&gt;=0,IF(IF(o_WRAP=1,MOD(((1000)-(c_TMAP3IN))*(((A29)-(c_TMAP3IN))*((1000)-(c_TMAP3OUT))+IF(((1000)-(c_TMAP3OUT))&gt;=0,1,-1)*QUOTIENT(((1000)-(c_TMAP3IN)),2))+2147483648,4294967296)-2147483648,((1000)-(c_TMAP3IN))*(((A29)-(c_TMAP3IN))*((1000)-(c_TMAP3OUT))+IF(((1000)-(c_TMAP3OUT))&gt;=0,1,-1)*QUOTIENT(((1000)-(c_TMAP3IN)),2)))&lt;0,-1,0),IF(IF(o_WRAP=1,MOD(((1000)-(c_TMAP3IN))*(((A29)-(c_TMAP3IN))*((1000)-(c_TMAP3OUT))+IF(((1000)-(c_TMAP3OUT))&gt;=0,1,-1)*QUOTIENT(((1000)-(c_TMAP3IN)),2))+2147483648,4294967296)-2147483648,((1000)-(c_TMAP3IN))*(((A29)-(c_TMAP3IN))*((1000)-(c_TMAP3OUT))+IF(((1000)-(c_TMAP3OUT))&gt;=0,1,-1)*QUOTIENT(((1000)-(c_TMAP3IN)),2)))&gt;=0,1,0)))</f>
        <v>-201</v>
      </c>
      <c r="H29" s="7" t="str">
        <f aca="false">IF(A29&gt;=c_TFWD,IF(AND(A29&gt;=c_TMAP3IN,c_TMAP3IN&lt;1000),"Seg4 map3-100%",IF(AND(A29&gt;=c_TMAP2IN,c_TMAP3IN&gt;c_TMAP2IN),"Seg3 map2-map3",IF(AND(A29&gt;=c_TMAP1IN,c_TMAP2IN&gt;c_TMAP1IN),"Seg2 map1-map2","Seg1 TFWD-map1"))),IF(AND(A29=0,c_TCREEP&gt;0),"Creep",IF(AND(A29&lt;=c_TRNGMIN,A29&gt;=c_TRNGMAX,c_TRNGMIN-c_TRNGMAX&lt;&gt;0),"Regen ramp","Coast (0)")))</f>
        <v>Seg1 TFWD-map1</v>
      </c>
      <c r="I29" s="7" t="n">
        <f aca="false">IF(A29&gt;=c_TFWD,IF(AND(A29&gt;=c_TMAP3IN,c_TMAP3IN&lt;1000),G29,IF(AND(A29&gt;=c_TMAP2IN,c_TMAP3IN&gt;c_TMAP2IN),F29,IF(AND(A29&gt;=c_TMAP1IN,c_TMAP2IN&gt;c_TMAP1IN),E29,D29))),C29)</f>
        <v>11</v>
      </c>
      <c r="J29" s="7" t="str">
        <f aca="false">IF(I29&lt;-1090,"TOO LOW",IF(I29&gt;1090,"TOO HIGH",""))</f>
        <v/>
      </c>
      <c r="K29" s="15" t="n">
        <f aca="false">IF(J29&lt;&gt;"",0,IF(I29&gt;979,1000,I29))</f>
        <v>11</v>
      </c>
      <c r="L29" s="7" t="n">
        <f aca="false">K29/10</f>
        <v>1.1</v>
      </c>
    </row>
    <row r="30" customFormat="false" ht="15" hidden="false" customHeight="false" outlineLevel="0" collapsed="false">
      <c r="A30" s="7" t="n">
        <v>25</v>
      </c>
      <c r="B30" s="7" t="n">
        <f aca="false">A30/10</f>
        <v>2.5</v>
      </c>
      <c r="C30" s="7" t="n">
        <f aca="false">IF(AND(A30=0,c_TCREEP&gt;0),10*c_TCREEP,IF(AND(A30&lt;=c_TRNGMIN,A30&gt;=c_TRNGMAX,c_TRNGMIN-c_TRNGMAX&lt;&gt;0),-10*c_TMINRN+QUOTIENT((c_TMAXRN-c_TMINRN)*(100-QUOTIENT((A30-c_TRNGMAX)*100,c_TRNGMIN-c_TRNGMAX)),-10),0))</f>
        <v>0</v>
      </c>
      <c r="D30" s="7" t="n">
        <f aca="false">IF(((c_TMAP1IN)-(c_TFWD))=0,(0)+QUOTIENT(((c_TMAP1OUT)-(0)),2),QUOTIENT((((A30)-(c_TFWD))*((c_TMAP1OUT)-(0))+IF(((c_TMAP1OUT)-(0))&gt;=0,1,-1)*QUOTIENT(((c_TMAP1IN)-(c_TFWD)),2)),((c_TMAP1IN)-(c_TFWD)))+(0)+IF(((c_TMAP1OUT)-(0))&gt;=0,IF(IF(o_WRAP=1,MOD(((c_TMAP1IN)-(c_TFWD))*(((A30)-(c_TFWD))*((c_TMAP1OUT)-(0))+IF(((c_TMAP1OUT)-(0))&gt;=0,1,-1)*QUOTIENT(((c_TMAP1IN)-(c_TFWD)),2))+2147483648,4294967296)-2147483648,((c_TMAP1IN)-(c_TFWD))*(((A30)-(c_TFWD))*((c_TMAP1OUT)-(0))+IF(((c_TMAP1OUT)-(0))&gt;=0,1,-1)*QUOTIENT(((c_TMAP1IN)-(c_TFWD)),2)))&lt;0,-1,0),IF(IF(o_WRAP=1,MOD(((c_TMAP1IN)-(c_TFWD))*(((A30)-(c_TFWD))*((c_TMAP1OUT)-(0))+IF(((c_TMAP1OUT)-(0))&gt;=0,1,-1)*QUOTIENT(((c_TMAP1IN)-(c_TFWD)),2))+2147483648,4294967296)-2147483648,((c_TMAP1IN)-(c_TFWD))*(((A30)-(c_TFWD))*((c_TMAP1OUT)-(0))+IF(((c_TMAP1OUT)-(0))&gt;=0,1,-1)*QUOTIENT(((c_TMAP1IN)-(c_TFWD)),2)))&gt;=0,1,0)))</f>
        <v>12</v>
      </c>
      <c r="E30" s="7" t="n">
        <f aca="false">IF(((c_TMAP2IN)-(c_TMAP1IN))=0,(c_TMAP1OUT)+QUOTIENT(((c_TMAP2OUT)-(c_TMAP1OUT)),2),QUOTIENT((((A30)-(c_TMAP1IN))*((c_TMAP2OUT)-(c_TMAP1OUT))+IF(((c_TMAP2OUT)-(c_TMAP1OUT))&gt;=0,1,-1)*QUOTIENT(((c_TMAP2IN)-(c_TMAP1IN)),2)),((c_TMAP2IN)-(c_TMAP1IN)))+(c_TMAP1OUT)+IF(((c_TMAP2OUT)-(c_TMAP1OUT))&gt;=0,IF(IF(o_WRAP=1,MOD(((c_TMAP2IN)-(c_TMAP1IN))*(((A30)-(c_TMAP1IN))*((c_TMAP2OUT)-(c_TMAP1OUT))+IF(((c_TMAP2OUT)-(c_TMAP1OUT))&gt;=0,1,-1)*QUOTIENT(((c_TMAP2IN)-(c_TMAP1IN)),2))+2147483648,4294967296)-2147483648,((c_TMAP2IN)-(c_TMAP1IN))*(((A30)-(c_TMAP1IN))*((c_TMAP2OUT)-(c_TMAP1OUT))+IF(((c_TMAP2OUT)-(c_TMAP1OUT))&gt;=0,1,-1)*QUOTIENT(((c_TMAP2IN)-(c_TMAP1IN)),2)))&lt;0,-1,0),IF(IF(o_WRAP=1,MOD(((c_TMAP2IN)-(c_TMAP1IN))*(((A30)-(c_TMAP1IN))*((c_TMAP2OUT)-(c_TMAP1OUT))+IF(((c_TMAP2OUT)-(c_TMAP1OUT))&gt;=0,1,-1)*QUOTIENT(((c_TMAP2IN)-(c_TMAP1IN)),2))+2147483648,4294967296)-2147483648,((c_TMAP2IN)-(c_TMAP1IN))*(((A30)-(c_TMAP1IN))*((c_TMAP2OUT)-(c_TMAP1OUT))+IF(((c_TMAP2OUT)-(c_TMAP1OUT))&gt;=0,1,-1)*QUOTIENT(((c_TMAP2IN)-(c_TMAP1IN)),2)))&gt;=0,1,0)))</f>
        <v>40</v>
      </c>
      <c r="F30" s="7" t="n">
        <f aca="false">IF(((c_TMAP3IN)-(c_TMAP2IN))=0,(c_TMAP2OUT)+QUOTIENT(((c_TMAP3OUT)-(c_TMAP2OUT)),2),QUOTIENT((((A30)-(c_TMAP2IN))*((c_TMAP3OUT)-(c_TMAP2OUT))+IF(((c_TMAP3OUT)-(c_TMAP2OUT))&gt;=0,1,-1)*QUOTIENT(((c_TMAP3IN)-(c_TMAP2IN)),2)),((c_TMAP3IN)-(c_TMAP2IN)))+(c_TMAP2OUT)+IF(((c_TMAP3OUT)-(c_TMAP2OUT))&gt;=0,IF(IF(o_WRAP=1,MOD(((c_TMAP3IN)-(c_TMAP2IN))*(((A30)-(c_TMAP2IN))*((c_TMAP3OUT)-(c_TMAP2OUT))+IF(((c_TMAP3OUT)-(c_TMAP2OUT))&gt;=0,1,-1)*QUOTIENT(((c_TMAP3IN)-(c_TMAP2IN)),2))+2147483648,4294967296)-2147483648,((c_TMAP3IN)-(c_TMAP2IN))*(((A30)-(c_TMAP2IN))*((c_TMAP3OUT)-(c_TMAP2OUT))+IF(((c_TMAP3OUT)-(c_TMAP2OUT))&gt;=0,1,-1)*QUOTIENT(((c_TMAP3IN)-(c_TMAP2IN)),2)))&lt;0,-1,0),IF(IF(o_WRAP=1,MOD(((c_TMAP3IN)-(c_TMAP2IN))*(((A30)-(c_TMAP2IN))*((c_TMAP3OUT)-(c_TMAP2OUT))+IF(((c_TMAP3OUT)-(c_TMAP2OUT))&gt;=0,1,-1)*QUOTIENT(((c_TMAP3IN)-(c_TMAP2IN)),2))+2147483648,4294967296)-2147483648,((c_TMAP3IN)-(c_TMAP2IN))*(((A30)-(c_TMAP2IN))*((c_TMAP3OUT)-(c_TMAP2OUT))+IF(((c_TMAP3OUT)-(c_TMAP2OUT))&gt;=0,1,-1)*QUOTIENT(((c_TMAP3IN)-(c_TMAP2IN)),2)))&gt;=0,1,0)))</f>
        <v>-28</v>
      </c>
      <c r="G30" s="7" t="n">
        <f aca="false">IF(((1000)-(c_TMAP3IN))=0,(c_TMAP3OUT)+QUOTIENT(((1000)-(c_TMAP3OUT)),2),QUOTIENT((((A30)-(c_TMAP3IN))*((1000)-(c_TMAP3OUT))+IF(((1000)-(c_TMAP3OUT))&gt;=0,1,-1)*QUOTIENT(((1000)-(c_TMAP3IN)),2)),((1000)-(c_TMAP3IN)))+(c_TMAP3OUT)+IF(((1000)-(c_TMAP3OUT))&gt;=0,IF(IF(o_WRAP=1,MOD(((1000)-(c_TMAP3IN))*(((A30)-(c_TMAP3IN))*((1000)-(c_TMAP3OUT))+IF(((1000)-(c_TMAP3OUT))&gt;=0,1,-1)*QUOTIENT(((1000)-(c_TMAP3IN)),2))+2147483648,4294967296)-2147483648,((1000)-(c_TMAP3IN))*(((A30)-(c_TMAP3IN))*((1000)-(c_TMAP3OUT))+IF(((1000)-(c_TMAP3OUT))&gt;=0,1,-1)*QUOTIENT(((1000)-(c_TMAP3IN)),2)))&lt;0,-1,0),IF(IF(o_WRAP=1,MOD(((1000)-(c_TMAP3IN))*(((A30)-(c_TMAP3IN))*((1000)-(c_TMAP3OUT))+IF(((1000)-(c_TMAP3OUT))&gt;=0,1,-1)*QUOTIENT(((1000)-(c_TMAP3IN)),2))+2147483648,4294967296)-2147483648,((1000)-(c_TMAP3IN))*(((A30)-(c_TMAP3IN))*((1000)-(c_TMAP3OUT))+IF(((1000)-(c_TMAP3OUT))&gt;=0,1,-1)*QUOTIENT(((1000)-(c_TMAP3IN)),2)))&gt;=0,1,0)))</f>
        <v>-200</v>
      </c>
      <c r="H30" s="7" t="str">
        <f aca="false">IF(A30&gt;=c_TFWD,IF(AND(A30&gt;=c_TMAP3IN,c_TMAP3IN&lt;1000),"Seg4 map3-100%",IF(AND(A30&gt;=c_TMAP2IN,c_TMAP3IN&gt;c_TMAP2IN),"Seg3 map2-map3",IF(AND(A30&gt;=c_TMAP1IN,c_TMAP2IN&gt;c_TMAP1IN),"Seg2 map1-map2","Seg1 TFWD-map1"))),IF(AND(A30=0,c_TCREEP&gt;0),"Creep",IF(AND(A30&lt;=c_TRNGMIN,A30&gt;=c_TRNGMAX,c_TRNGMIN-c_TRNGMAX&lt;&gt;0),"Regen ramp","Coast (0)")))</f>
        <v>Seg1 TFWD-map1</v>
      </c>
      <c r="I30" s="7" t="n">
        <f aca="false">IF(A30&gt;=c_TFWD,IF(AND(A30&gt;=c_TMAP3IN,c_TMAP3IN&lt;1000),G30,IF(AND(A30&gt;=c_TMAP2IN,c_TMAP3IN&gt;c_TMAP2IN),F30,IF(AND(A30&gt;=c_TMAP1IN,c_TMAP2IN&gt;c_TMAP1IN),E30,D30))),C30)</f>
        <v>12</v>
      </c>
      <c r="J30" s="7" t="str">
        <f aca="false">IF(I30&lt;-1090,"TOO LOW",IF(I30&gt;1090,"TOO HIGH",""))</f>
        <v/>
      </c>
      <c r="K30" s="15" t="n">
        <f aca="false">IF(J30&lt;&gt;"",0,IF(I30&gt;979,1000,I30))</f>
        <v>12</v>
      </c>
      <c r="L30" s="7" t="n">
        <f aca="false">K30/10</f>
        <v>1.2</v>
      </c>
    </row>
    <row r="31" customFormat="false" ht="15" hidden="false" customHeight="false" outlineLevel="0" collapsed="false">
      <c r="A31" s="7" t="n">
        <v>26</v>
      </c>
      <c r="B31" s="7" t="n">
        <f aca="false">A31/10</f>
        <v>2.6</v>
      </c>
      <c r="C31" s="7" t="n">
        <f aca="false">IF(AND(A31=0,c_TCREEP&gt;0),10*c_TCREEP,IF(AND(A31&lt;=c_TRNGMIN,A31&gt;=c_TRNGMAX,c_TRNGMIN-c_TRNGMAX&lt;&gt;0),-10*c_TMINRN+QUOTIENT((c_TMAXRN-c_TMINRN)*(100-QUOTIENT((A31-c_TRNGMAX)*100,c_TRNGMIN-c_TRNGMAX)),-10),0))</f>
        <v>0</v>
      </c>
      <c r="D31" s="7" t="n">
        <f aca="false">IF(((c_TMAP1IN)-(c_TFWD))=0,(0)+QUOTIENT(((c_TMAP1OUT)-(0)),2),QUOTIENT((((A31)-(c_TFWD))*((c_TMAP1OUT)-(0))+IF(((c_TMAP1OUT)-(0))&gt;=0,1,-1)*QUOTIENT(((c_TMAP1IN)-(c_TFWD)),2)),((c_TMAP1IN)-(c_TFWD)))+(0)+IF(((c_TMAP1OUT)-(0))&gt;=0,IF(IF(o_WRAP=1,MOD(((c_TMAP1IN)-(c_TFWD))*(((A31)-(c_TFWD))*((c_TMAP1OUT)-(0))+IF(((c_TMAP1OUT)-(0))&gt;=0,1,-1)*QUOTIENT(((c_TMAP1IN)-(c_TFWD)),2))+2147483648,4294967296)-2147483648,((c_TMAP1IN)-(c_TFWD))*(((A31)-(c_TFWD))*((c_TMAP1OUT)-(0))+IF(((c_TMAP1OUT)-(0))&gt;=0,1,-1)*QUOTIENT(((c_TMAP1IN)-(c_TFWD)),2)))&lt;0,-1,0),IF(IF(o_WRAP=1,MOD(((c_TMAP1IN)-(c_TFWD))*(((A31)-(c_TFWD))*((c_TMAP1OUT)-(0))+IF(((c_TMAP1OUT)-(0))&gt;=0,1,-1)*QUOTIENT(((c_TMAP1IN)-(c_TFWD)),2))+2147483648,4294967296)-2147483648,((c_TMAP1IN)-(c_TFWD))*(((A31)-(c_TFWD))*((c_TMAP1OUT)-(0))+IF(((c_TMAP1OUT)-(0))&gt;=0,1,-1)*QUOTIENT(((c_TMAP1IN)-(c_TFWD)),2)))&gt;=0,1,0)))</f>
        <v>12</v>
      </c>
      <c r="E31" s="7" t="n">
        <f aca="false">IF(((c_TMAP2IN)-(c_TMAP1IN))=0,(c_TMAP1OUT)+QUOTIENT(((c_TMAP2OUT)-(c_TMAP1OUT)),2),QUOTIENT((((A31)-(c_TMAP1IN))*((c_TMAP2OUT)-(c_TMAP1OUT))+IF(((c_TMAP2OUT)-(c_TMAP1OUT))&gt;=0,1,-1)*QUOTIENT(((c_TMAP2IN)-(c_TMAP1IN)),2)),((c_TMAP2IN)-(c_TMAP1IN)))+(c_TMAP1OUT)+IF(((c_TMAP2OUT)-(c_TMAP1OUT))&gt;=0,IF(IF(o_WRAP=1,MOD(((c_TMAP2IN)-(c_TMAP1IN))*(((A31)-(c_TMAP1IN))*((c_TMAP2OUT)-(c_TMAP1OUT))+IF(((c_TMAP2OUT)-(c_TMAP1OUT))&gt;=0,1,-1)*QUOTIENT(((c_TMAP2IN)-(c_TMAP1IN)),2))+2147483648,4294967296)-2147483648,((c_TMAP2IN)-(c_TMAP1IN))*(((A31)-(c_TMAP1IN))*((c_TMAP2OUT)-(c_TMAP1OUT))+IF(((c_TMAP2OUT)-(c_TMAP1OUT))&gt;=0,1,-1)*QUOTIENT(((c_TMAP2IN)-(c_TMAP1IN)),2)))&lt;0,-1,0),IF(IF(o_WRAP=1,MOD(((c_TMAP2IN)-(c_TMAP1IN))*(((A31)-(c_TMAP1IN))*((c_TMAP2OUT)-(c_TMAP1OUT))+IF(((c_TMAP2OUT)-(c_TMAP1OUT))&gt;=0,1,-1)*QUOTIENT(((c_TMAP2IN)-(c_TMAP1IN)),2))+2147483648,4294967296)-2147483648,((c_TMAP2IN)-(c_TMAP1IN))*(((A31)-(c_TMAP1IN))*((c_TMAP2OUT)-(c_TMAP1OUT))+IF(((c_TMAP2OUT)-(c_TMAP1OUT))&gt;=0,1,-1)*QUOTIENT(((c_TMAP2IN)-(c_TMAP1IN)),2)))&gt;=0,1,0)))</f>
        <v>40</v>
      </c>
      <c r="F31" s="7" t="n">
        <f aca="false">IF(((c_TMAP3IN)-(c_TMAP2IN))=0,(c_TMAP2OUT)+QUOTIENT(((c_TMAP3OUT)-(c_TMAP2OUT)),2),QUOTIENT((((A31)-(c_TMAP2IN))*((c_TMAP3OUT)-(c_TMAP2OUT))+IF(((c_TMAP3OUT)-(c_TMAP2OUT))&gt;=0,1,-1)*QUOTIENT(((c_TMAP3IN)-(c_TMAP2IN)),2)),((c_TMAP3IN)-(c_TMAP2IN)))+(c_TMAP2OUT)+IF(((c_TMAP3OUT)-(c_TMAP2OUT))&gt;=0,IF(IF(o_WRAP=1,MOD(((c_TMAP3IN)-(c_TMAP2IN))*(((A31)-(c_TMAP2IN))*((c_TMAP3OUT)-(c_TMAP2OUT))+IF(((c_TMAP3OUT)-(c_TMAP2OUT))&gt;=0,1,-1)*QUOTIENT(((c_TMAP3IN)-(c_TMAP2IN)),2))+2147483648,4294967296)-2147483648,((c_TMAP3IN)-(c_TMAP2IN))*(((A31)-(c_TMAP2IN))*((c_TMAP3OUT)-(c_TMAP2OUT))+IF(((c_TMAP3OUT)-(c_TMAP2OUT))&gt;=0,1,-1)*QUOTIENT(((c_TMAP3IN)-(c_TMAP2IN)),2)))&lt;0,-1,0),IF(IF(o_WRAP=1,MOD(((c_TMAP3IN)-(c_TMAP2IN))*(((A31)-(c_TMAP2IN))*((c_TMAP3OUT)-(c_TMAP2OUT))+IF(((c_TMAP3OUT)-(c_TMAP2OUT))&gt;=0,1,-1)*QUOTIENT(((c_TMAP3IN)-(c_TMAP2IN)),2))+2147483648,4294967296)-2147483648,((c_TMAP3IN)-(c_TMAP2IN))*(((A31)-(c_TMAP2IN))*((c_TMAP3OUT)-(c_TMAP2OUT))+IF(((c_TMAP3OUT)-(c_TMAP2OUT))&gt;=0,1,-1)*QUOTIENT(((c_TMAP3IN)-(c_TMAP2IN)),2)))&gt;=0,1,0)))</f>
        <v>-27</v>
      </c>
      <c r="G31" s="7" t="n">
        <f aca="false">IF(((1000)-(c_TMAP3IN))=0,(c_TMAP3OUT)+QUOTIENT(((1000)-(c_TMAP3OUT)),2),QUOTIENT((((A31)-(c_TMAP3IN))*((1000)-(c_TMAP3OUT))+IF(((1000)-(c_TMAP3OUT))&gt;=0,1,-1)*QUOTIENT(((1000)-(c_TMAP3IN)),2)),((1000)-(c_TMAP3IN)))+(c_TMAP3OUT)+IF(((1000)-(c_TMAP3OUT))&gt;=0,IF(IF(o_WRAP=1,MOD(((1000)-(c_TMAP3IN))*(((A31)-(c_TMAP3IN))*((1000)-(c_TMAP3OUT))+IF(((1000)-(c_TMAP3OUT))&gt;=0,1,-1)*QUOTIENT(((1000)-(c_TMAP3IN)),2))+2147483648,4294967296)-2147483648,((1000)-(c_TMAP3IN))*(((A31)-(c_TMAP3IN))*((1000)-(c_TMAP3OUT))+IF(((1000)-(c_TMAP3OUT))&gt;=0,1,-1)*QUOTIENT(((1000)-(c_TMAP3IN)),2)))&lt;0,-1,0),IF(IF(o_WRAP=1,MOD(((1000)-(c_TMAP3IN))*(((A31)-(c_TMAP3IN))*((1000)-(c_TMAP3OUT))+IF(((1000)-(c_TMAP3OUT))&gt;=0,1,-1)*QUOTIENT(((1000)-(c_TMAP3IN)),2))+2147483648,4294967296)-2147483648,((1000)-(c_TMAP3IN))*(((A31)-(c_TMAP3IN))*((1000)-(c_TMAP3OUT))+IF(((1000)-(c_TMAP3OUT))&gt;=0,1,-1)*QUOTIENT(((1000)-(c_TMAP3IN)),2)))&gt;=0,1,0)))</f>
        <v>-199</v>
      </c>
      <c r="H31" s="7" t="str">
        <f aca="false">IF(A31&gt;=c_TFWD,IF(AND(A31&gt;=c_TMAP3IN,c_TMAP3IN&lt;1000),"Seg4 map3-100%",IF(AND(A31&gt;=c_TMAP2IN,c_TMAP3IN&gt;c_TMAP2IN),"Seg3 map2-map3",IF(AND(A31&gt;=c_TMAP1IN,c_TMAP2IN&gt;c_TMAP1IN),"Seg2 map1-map2","Seg1 TFWD-map1"))),IF(AND(A31=0,c_TCREEP&gt;0),"Creep",IF(AND(A31&lt;=c_TRNGMIN,A31&gt;=c_TRNGMAX,c_TRNGMIN-c_TRNGMAX&lt;&gt;0),"Regen ramp","Coast (0)")))</f>
        <v>Seg1 TFWD-map1</v>
      </c>
      <c r="I31" s="7" t="n">
        <f aca="false">IF(A31&gt;=c_TFWD,IF(AND(A31&gt;=c_TMAP3IN,c_TMAP3IN&lt;1000),G31,IF(AND(A31&gt;=c_TMAP2IN,c_TMAP3IN&gt;c_TMAP2IN),F31,IF(AND(A31&gt;=c_TMAP1IN,c_TMAP2IN&gt;c_TMAP1IN),E31,D31))),C31)</f>
        <v>12</v>
      </c>
      <c r="J31" s="7" t="str">
        <f aca="false">IF(I31&lt;-1090,"TOO LOW",IF(I31&gt;1090,"TOO HIGH",""))</f>
        <v/>
      </c>
      <c r="K31" s="15" t="n">
        <f aca="false">IF(J31&lt;&gt;"",0,IF(I31&gt;979,1000,I31))</f>
        <v>12</v>
      </c>
      <c r="L31" s="7" t="n">
        <f aca="false">K31/10</f>
        <v>1.2</v>
      </c>
    </row>
    <row r="32" customFormat="false" ht="15" hidden="false" customHeight="false" outlineLevel="0" collapsed="false">
      <c r="A32" s="7" t="n">
        <v>27</v>
      </c>
      <c r="B32" s="7" t="n">
        <f aca="false">A32/10</f>
        <v>2.7</v>
      </c>
      <c r="C32" s="7" t="n">
        <f aca="false">IF(AND(A32=0,c_TCREEP&gt;0),10*c_TCREEP,IF(AND(A32&lt;=c_TRNGMIN,A32&gt;=c_TRNGMAX,c_TRNGMIN-c_TRNGMAX&lt;&gt;0),-10*c_TMINRN+QUOTIENT((c_TMAXRN-c_TMINRN)*(100-QUOTIENT((A32-c_TRNGMAX)*100,c_TRNGMIN-c_TRNGMAX)),-10),0))</f>
        <v>0</v>
      </c>
      <c r="D32" s="7" t="n">
        <f aca="false">IF(((c_TMAP1IN)-(c_TFWD))=0,(0)+QUOTIENT(((c_TMAP1OUT)-(0)),2),QUOTIENT((((A32)-(c_TFWD))*((c_TMAP1OUT)-(0))+IF(((c_TMAP1OUT)-(0))&gt;=0,1,-1)*QUOTIENT(((c_TMAP1IN)-(c_TFWD)),2)),((c_TMAP1IN)-(c_TFWD)))+(0)+IF(((c_TMAP1OUT)-(0))&gt;=0,IF(IF(o_WRAP=1,MOD(((c_TMAP1IN)-(c_TFWD))*(((A32)-(c_TFWD))*((c_TMAP1OUT)-(0))+IF(((c_TMAP1OUT)-(0))&gt;=0,1,-1)*QUOTIENT(((c_TMAP1IN)-(c_TFWD)),2))+2147483648,4294967296)-2147483648,((c_TMAP1IN)-(c_TFWD))*(((A32)-(c_TFWD))*((c_TMAP1OUT)-(0))+IF(((c_TMAP1OUT)-(0))&gt;=0,1,-1)*QUOTIENT(((c_TMAP1IN)-(c_TFWD)),2)))&lt;0,-1,0),IF(IF(o_WRAP=1,MOD(((c_TMAP1IN)-(c_TFWD))*(((A32)-(c_TFWD))*((c_TMAP1OUT)-(0))+IF(((c_TMAP1OUT)-(0))&gt;=0,1,-1)*QUOTIENT(((c_TMAP1IN)-(c_TFWD)),2))+2147483648,4294967296)-2147483648,((c_TMAP1IN)-(c_TFWD))*(((A32)-(c_TFWD))*((c_TMAP1OUT)-(0))+IF(((c_TMAP1OUT)-(0))&gt;=0,1,-1)*QUOTIENT(((c_TMAP1IN)-(c_TFWD)),2)))&gt;=0,1,0)))</f>
        <v>13</v>
      </c>
      <c r="E32" s="7" t="n">
        <f aca="false">IF(((c_TMAP2IN)-(c_TMAP1IN))=0,(c_TMAP1OUT)+QUOTIENT(((c_TMAP2OUT)-(c_TMAP1OUT)),2),QUOTIENT((((A32)-(c_TMAP1IN))*((c_TMAP2OUT)-(c_TMAP1OUT))+IF(((c_TMAP2OUT)-(c_TMAP1OUT))&gt;=0,1,-1)*QUOTIENT(((c_TMAP2IN)-(c_TMAP1IN)),2)),((c_TMAP2IN)-(c_TMAP1IN)))+(c_TMAP1OUT)+IF(((c_TMAP2OUT)-(c_TMAP1OUT))&gt;=0,IF(IF(o_WRAP=1,MOD(((c_TMAP2IN)-(c_TMAP1IN))*(((A32)-(c_TMAP1IN))*((c_TMAP2OUT)-(c_TMAP1OUT))+IF(((c_TMAP2OUT)-(c_TMAP1OUT))&gt;=0,1,-1)*QUOTIENT(((c_TMAP2IN)-(c_TMAP1IN)),2))+2147483648,4294967296)-2147483648,((c_TMAP2IN)-(c_TMAP1IN))*(((A32)-(c_TMAP1IN))*((c_TMAP2OUT)-(c_TMAP1OUT))+IF(((c_TMAP2OUT)-(c_TMAP1OUT))&gt;=0,1,-1)*QUOTIENT(((c_TMAP2IN)-(c_TMAP1IN)),2)))&lt;0,-1,0),IF(IF(o_WRAP=1,MOD(((c_TMAP2IN)-(c_TMAP1IN))*(((A32)-(c_TMAP1IN))*((c_TMAP2OUT)-(c_TMAP1OUT))+IF(((c_TMAP2OUT)-(c_TMAP1OUT))&gt;=0,1,-1)*QUOTIENT(((c_TMAP2IN)-(c_TMAP1IN)),2))+2147483648,4294967296)-2147483648,((c_TMAP2IN)-(c_TMAP1IN))*(((A32)-(c_TMAP1IN))*((c_TMAP2OUT)-(c_TMAP1OUT))+IF(((c_TMAP2OUT)-(c_TMAP1OUT))&gt;=0,1,-1)*QUOTIENT(((c_TMAP2IN)-(c_TMAP1IN)),2)))&gt;=0,1,0)))</f>
        <v>41</v>
      </c>
      <c r="F32" s="7" t="n">
        <f aca="false">IF(((c_TMAP3IN)-(c_TMAP2IN))=0,(c_TMAP2OUT)+QUOTIENT(((c_TMAP3OUT)-(c_TMAP2OUT)),2),QUOTIENT((((A32)-(c_TMAP2IN))*((c_TMAP3OUT)-(c_TMAP2OUT))+IF(((c_TMAP3OUT)-(c_TMAP2OUT))&gt;=0,1,-1)*QUOTIENT(((c_TMAP3IN)-(c_TMAP2IN)),2)),((c_TMAP3IN)-(c_TMAP2IN)))+(c_TMAP2OUT)+IF(((c_TMAP3OUT)-(c_TMAP2OUT))&gt;=0,IF(IF(o_WRAP=1,MOD(((c_TMAP3IN)-(c_TMAP2IN))*(((A32)-(c_TMAP2IN))*((c_TMAP3OUT)-(c_TMAP2OUT))+IF(((c_TMAP3OUT)-(c_TMAP2OUT))&gt;=0,1,-1)*QUOTIENT(((c_TMAP3IN)-(c_TMAP2IN)),2))+2147483648,4294967296)-2147483648,((c_TMAP3IN)-(c_TMAP2IN))*(((A32)-(c_TMAP2IN))*((c_TMAP3OUT)-(c_TMAP2OUT))+IF(((c_TMAP3OUT)-(c_TMAP2OUT))&gt;=0,1,-1)*QUOTIENT(((c_TMAP3IN)-(c_TMAP2IN)),2)))&lt;0,-1,0),IF(IF(o_WRAP=1,MOD(((c_TMAP3IN)-(c_TMAP2IN))*(((A32)-(c_TMAP2IN))*((c_TMAP3OUT)-(c_TMAP2OUT))+IF(((c_TMAP3OUT)-(c_TMAP2OUT))&gt;=0,1,-1)*QUOTIENT(((c_TMAP3IN)-(c_TMAP2IN)),2))+2147483648,4294967296)-2147483648,((c_TMAP3IN)-(c_TMAP2IN))*(((A32)-(c_TMAP2IN))*((c_TMAP3OUT)-(c_TMAP2OUT))+IF(((c_TMAP3OUT)-(c_TMAP2OUT))&gt;=0,1,-1)*QUOTIENT(((c_TMAP3IN)-(c_TMAP2IN)),2)))&gt;=0,1,0)))</f>
        <v>-26</v>
      </c>
      <c r="G32" s="7" t="n">
        <f aca="false">IF(((1000)-(c_TMAP3IN))=0,(c_TMAP3OUT)+QUOTIENT(((1000)-(c_TMAP3OUT)),2),QUOTIENT((((A32)-(c_TMAP3IN))*((1000)-(c_TMAP3OUT))+IF(((1000)-(c_TMAP3OUT))&gt;=0,1,-1)*QUOTIENT(((1000)-(c_TMAP3IN)),2)),((1000)-(c_TMAP3IN)))+(c_TMAP3OUT)+IF(((1000)-(c_TMAP3OUT))&gt;=0,IF(IF(o_WRAP=1,MOD(((1000)-(c_TMAP3IN))*(((A32)-(c_TMAP3IN))*((1000)-(c_TMAP3OUT))+IF(((1000)-(c_TMAP3OUT))&gt;=0,1,-1)*QUOTIENT(((1000)-(c_TMAP3IN)),2))+2147483648,4294967296)-2147483648,((1000)-(c_TMAP3IN))*(((A32)-(c_TMAP3IN))*((1000)-(c_TMAP3OUT))+IF(((1000)-(c_TMAP3OUT))&gt;=0,1,-1)*QUOTIENT(((1000)-(c_TMAP3IN)),2)))&lt;0,-1,0),IF(IF(o_WRAP=1,MOD(((1000)-(c_TMAP3IN))*(((A32)-(c_TMAP3IN))*((1000)-(c_TMAP3OUT))+IF(((1000)-(c_TMAP3OUT))&gt;=0,1,-1)*QUOTIENT(((1000)-(c_TMAP3IN)),2))+2147483648,4294967296)-2147483648,((1000)-(c_TMAP3IN))*(((A32)-(c_TMAP3IN))*((1000)-(c_TMAP3OUT))+IF(((1000)-(c_TMAP3OUT))&gt;=0,1,-1)*QUOTIENT(((1000)-(c_TMAP3IN)),2)))&gt;=0,1,0)))</f>
        <v>-198</v>
      </c>
      <c r="H32" s="7" t="str">
        <f aca="false">IF(A32&gt;=c_TFWD,IF(AND(A32&gt;=c_TMAP3IN,c_TMAP3IN&lt;1000),"Seg4 map3-100%",IF(AND(A32&gt;=c_TMAP2IN,c_TMAP3IN&gt;c_TMAP2IN),"Seg3 map2-map3",IF(AND(A32&gt;=c_TMAP1IN,c_TMAP2IN&gt;c_TMAP1IN),"Seg2 map1-map2","Seg1 TFWD-map1"))),IF(AND(A32=0,c_TCREEP&gt;0),"Creep",IF(AND(A32&lt;=c_TRNGMIN,A32&gt;=c_TRNGMAX,c_TRNGMIN-c_TRNGMAX&lt;&gt;0),"Regen ramp","Coast (0)")))</f>
        <v>Seg1 TFWD-map1</v>
      </c>
      <c r="I32" s="7" t="n">
        <f aca="false">IF(A32&gt;=c_TFWD,IF(AND(A32&gt;=c_TMAP3IN,c_TMAP3IN&lt;1000),G32,IF(AND(A32&gt;=c_TMAP2IN,c_TMAP3IN&gt;c_TMAP2IN),F32,IF(AND(A32&gt;=c_TMAP1IN,c_TMAP2IN&gt;c_TMAP1IN),E32,D32))),C32)</f>
        <v>13</v>
      </c>
      <c r="J32" s="7" t="str">
        <f aca="false">IF(I32&lt;-1090,"TOO LOW",IF(I32&gt;1090,"TOO HIGH",""))</f>
        <v/>
      </c>
      <c r="K32" s="15" t="n">
        <f aca="false">IF(J32&lt;&gt;"",0,IF(I32&gt;979,1000,I32))</f>
        <v>13</v>
      </c>
      <c r="L32" s="7" t="n">
        <f aca="false">K32/10</f>
        <v>1.3</v>
      </c>
    </row>
    <row r="33" customFormat="false" ht="15" hidden="false" customHeight="false" outlineLevel="0" collapsed="false">
      <c r="A33" s="7" t="n">
        <v>28</v>
      </c>
      <c r="B33" s="7" t="n">
        <f aca="false">A33/10</f>
        <v>2.8</v>
      </c>
      <c r="C33" s="7" t="n">
        <f aca="false">IF(AND(A33=0,c_TCREEP&gt;0),10*c_TCREEP,IF(AND(A33&lt;=c_TRNGMIN,A33&gt;=c_TRNGMAX,c_TRNGMIN-c_TRNGMAX&lt;&gt;0),-10*c_TMINRN+QUOTIENT((c_TMAXRN-c_TMINRN)*(100-QUOTIENT((A33-c_TRNGMAX)*100,c_TRNGMIN-c_TRNGMAX)),-10),0))</f>
        <v>0</v>
      </c>
      <c r="D33" s="7" t="n">
        <f aca="false">IF(((c_TMAP1IN)-(c_TFWD))=0,(0)+QUOTIENT(((c_TMAP1OUT)-(0)),2),QUOTIENT((((A33)-(c_TFWD))*((c_TMAP1OUT)-(0))+IF(((c_TMAP1OUT)-(0))&gt;=0,1,-1)*QUOTIENT(((c_TMAP1IN)-(c_TFWD)),2)),((c_TMAP1IN)-(c_TFWD)))+(0)+IF(((c_TMAP1OUT)-(0))&gt;=0,IF(IF(o_WRAP=1,MOD(((c_TMAP1IN)-(c_TFWD))*(((A33)-(c_TFWD))*((c_TMAP1OUT)-(0))+IF(((c_TMAP1OUT)-(0))&gt;=0,1,-1)*QUOTIENT(((c_TMAP1IN)-(c_TFWD)),2))+2147483648,4294967296)-2147483648,((c_TMAP1IN)-(c_TFWD))*(((A33)-(c_TFWD))*((c_TMAP1OUT)-(0))+IF(((c_TMAP1OUT)-(0))&gt;=0,1,-1)*QUOTIENT(((c_TMAP1IN)-(c_TFWD)),2)))&lt;0,-1,0),IF(IF(o_WRAP=1,MOD(((c_TMAP1IN)-(c_TFWD))*(((A33)-(c_TFWD))*((c_TMAP1OUT)-(0))+IF(((c_TMAP1OUT)-(0))&gt;=0,1,-1)*QUOTIENT(((c_TMAP1IN)-(c_TFWD)),2))+2147483648,4294967296)-2147483648,((c_TMAP1IN)-(c_TFWD))*(((A33)-(c_TFWD))*((c_TMAP1OUT)-(0))+IF(((c_TMAP1OUT)-(0))&gt;=0,1,-1)*QUOTIENT(((c_TMAP1IN)-(c_TFWD)),2)))&gt;=0,1,0)))</f>
        <v>14</v>
      </c>
      <c r="E33" s="7" t="n">
        <f aca="false">IF(((c_TMAP2IN)-(c_TMAP1IN))=0,(c_TMAP1OUT)+QUOTIENT(((c_TMAP2OUT)-(c_TMAP1OUT)),2),QUOTIENT((((A33)-(c_TMAP1IN))*((c_TMAP2OUT)-(c_TMAP1OUT))+IF(((c_TMAP2OUT)-(c_TMAP1OUT))&gt;=0,1,-1)*QUOTIENT(((c_TMAP2IN)-(c_TMAP1IN)),2)),((c_TMAP2IN)-(c_TMAP1IN)))+(c_TMAP1OUT)+IF(((c_TMAP2OUT)-(c_TMAP1OUT))&gt;=0,IF(IF(o_WRAP=1,MOD(((c_TMAP2IN)-(c_TMAP1IN))*(((A33)-(c_TMAP1IN))*((c_TMAP2OUT)-(c_TMAP1OUT))+IF(((c_TMAP2OUT)-(c_TMAP1OUT))&gt;=0,1,-1)*QUOTIENT(((c_TMAP2IN)-(c_TMAP1IN)),2))+2147483648,4294967296)-2147483648,((c_TMAP2IN)-(c_TMAP1IN))*(((A33)-(c_TMAP1IN))*((c_TMAP2OUT)-(c_TMAP1OUT))+IF(((c_TMAP2OUT)-(c_TMAP1OUT))&gt;=0,1,-1)*QUOTIENT(((c_TMAP2IN)-(c_TMAP1IN)),2)))&lt;0,-1,0),IF(IF(o_WRAP=1,MOD(((c_TMAP2IN)-(c_TMAP1IN))*(((A33)-(c_TMAP1IN))*((c_TMAP2OUT)-(c_TMAP1OUT))+IF(((c_TMAP2OUT)-(c_TMAP1OUT))&gt;=0,1,-1)*QUOTIENT(((c_TMAP2IN)-(c_TMAP1IN)),2))+2147483648,4294967296)-2147483648,((c_TMAP2IN)-(c_TMAP1IN))*(((A33)-(c_TMAP1IN))*((c_TMAP2OUT)-(c_TMAP1OUT))+IF(((c_TMAP2OUT)-(c_TMAP1OUT))&gt;=0,1,-1)*QUOTIENT(((c_TMAP2IN)-(c_TMAP1IN)),2)))&gt;=0,1,0)))</f>
        <v>41</v>
      </c>
      <c r="F33" s="7" t="n">
        <f aca="false">IF(((c_TMAP3IN)-(c_TMAP2IN))=0,(c_TMAP2OUT)+QUOTIENT(((c_TMAP3OUT)-(c_TMAP2OUT)),2),QUOTIENT((((A33)-(c_TMAP2IN))*((c_TMAP3OUT)-(c_TMAP2OUT))+IF(((c_TMAP3OUT)-(c_TMAP2OUT))&gt;=0,1,-1)*QUOTIENT(((c_TMAP3IN)-(c_TMAP2IN)),2)),((c_TMAP3IN)-(c_TMAP2IN)))+(c_TMAP2OUT)+IF(((c_TMAP3OUT)-(c_TMAP2OUT))&gt;=0,IF(IF(o_WRAP=1,MOD(((c_TMAP3IN)-(c_TMAP2IN))*(((A33)-(c_TMAP2IN))*((c_TMAP3OUT)-(c_TMAP2OUT))+IF(((c_TMAP3OUT)-(c_TMAP2OUT))&gt;=0,1,-1)*QUOTIENT(((c_TMAP3IN)-(c_TMAP2IN)),2))+2147483648,4294967296)-2147483648,((c_TMAP3IN)-(c_TMAP2IN))*(((A33)-(c_TMAP2IN))*((c_TMAP3OUT)-(c_TMAP2OUT))+IF(((c_TMAP3OUT)-(c_TMAP2OUT))&gt;=0,1,-1)*QUOTIENT(((c_TMAP3IN)-(c_TMAP2IN)),2)))&lt;0,-1,0),IF(IF(o_WRAP=1,MOD(((c_TMAP3IN)-(c_TMAP2IN))*(((A33)-(c_TMAP2IN))*((c_TMAP3OUT)-(c_TMAP2OUT))+IF(((c_TMAP3OUT)-(c_TMAP2OUT))&gt;=0,1,-1)*QUOTIENT(((c_TMAP3IN)-(c_TMAP2IN)),2))+2147483648,4294967296)-2147483648,((c_TMAP3IN)-(c_TMAP2IN))*(((A33)-(c_TMAP2IN))*((c_TMAP3OUT)-(c_TMAP2OUT))+IF(((c_TMAP3OUT)-(c_TMAP2OUT))&gt;=0,1,-1)*QUOTIENT(((c_TMAP3IN)-(c_TMAP2IN)),2)))&gt;=0,1,0)))</f>
        <v>-25</v>
      </c>
      <c r="G33" s="7" t="n">
        <f aca="false">IF(((1000)-(c_TMAP3IN))=0,(c_TMAP3OUT)+QUOTIENT(((1000)-(c_TMAP3OUT)),2),QUOTIENT((((A33)-(c_TMAP3IN))*((1000)-(c_TMAP3OUT))+IF(((1000)-(c_TMAP3OUT))&gt;=0,1,-1)*QUOTIENT(((1000)-(c_TMAP3IN)),2)),((1000)-(c_TMAP3IN)))+(c_TMAP3OUT)+IF(((1000)-(c_TMAP3OUT))&gt;=0,IF(IF(o_WRAP=1,MOD(((1000)-(c_TMAP3IN))*(((A33)-(c_TMAP3IN))*((1000)-(c_TMAP3OUT))+IF(((1000)-(c_TMAP3OUT))&gt;=0,1,-1)*QUOTIENT(((1000)-(c_TMAP3IN)),2))+2147483648,4294967296)-2147483648,((1000)-(c_TMAP3IN))*(((A33)-(c_TMAP3IN))*((1000)-(c_TMAP3OUT))+IF(((1000)-(c_TMAP3OUT))&gt;=0,1,-1)*QUOTIENT(((1000)-(c_TMAP3IN)),2)))&lt;0,-1,0),IF(IF(o_WRAP=1,MOD(((1000)-(c_TMAP3IN))*(((A33)-(c_TMAP3IN))*((1000)-(c_TMAP3OUT))+IF(((1000)-(c_TMAP3OUT))&gt;=0,1,-1)*QUOTIENT(((1000)-(c_TMAP3IN)),2))+2147483648,4294967296)-2147483648,((1000)-(c_TMAP3IN))*(((A33)-(c_TMAP3IN))*((1000)-(c_TMAP3OUT))+IF(((1000)-(c_TMAP3OUT))&gt;=0,1,-1)*QUOTIENT(((1000)-(c_TMAP3IN)),2)))&gt;=0,1,0)))</f>
        <v>-196</v>
      </c>
      <c r="H33" s="7" t="str">
        <f aca="false">IF(A33&gt;=c_TFWD,IF(AND(A33&gt;=c_TMAP3IN,c_TMAP3IN&lt;1000),"Seg4 map3-100%",IF(AND(A33&gt;=c_TMAP2IN,c_TMAP3IN&gt;c_TMAP2IN),"Seg3 map2-map3",IF(AND(A33&gt;=c_TMAP1IN,c_TMAP2IN&gt;c_TMAP1IN),"Seg2 map1-map2","Seg1 TFWD-map1"))),IF(AND(A33=0,c_TCREEP&gt;0),"Creep",IF(AND(A33&lt;=c_TRNGMIN,A33&gt;=c_TRNGMAX,c_TRNGMIN-c_TRNGMAX&lt;&gt;0),"Regen ramp","Coast (0)")))</f>
        <v>Seg1 TFWD-map1</v>
      </c>
      <c r="I33" s="7" t="n">
        <f aca="false">IF(A33&gt;=c_TFWD,IF(AND(A33&gt;=c_TMAP3IN,c_TMAP3IN&lt;1000),G33,IF(AND(A33&gt;=c_TMAP2IN,c_TMAP3IN&gt;c_TMAP2IN),F33,IF(AND(A33&gt;=c_TMAP1IN,c_TMAP2IN&gt;c_TMAP1IN),E33,D33))),C33)</f>
        <v>14</v>
      </c>
      <c r="J33" s="7" t="str">
        <f aca="false">IF(I33&lt;-1090,"TOO LOW",IF(I33&gt;1090,"TOO HIGH",""))</f>
        <v/>
      </c>
      <c r="K33" s="15" t="n">
        <f aca="false">IF(J33&lt;&gt;"",0,IF(I33&gt;979,1000,I33))</f>
        <v>14</v>
      </c>
      <c r="L33" s="7" t="n">
        <f aca="false">K33/10</f>
        <v>1.4</v>
      </c>
    </row>
    <row r="34" customFormat="false" ht="15" hidden="false" customHeight="false" outlineLevel="0" collapsed="false">
      <c r="A34" s="7" t="n">
        <v>29</v>
      </c>
      <c r="B34" s="7" t="n">
        <f aca="false">A34/10</f>
        <v>2.9</v>
      </c>
      <c r="C34" s="7" t="n">
        <f aca="false">IF(AND(A34=0,c_TCREEP&gt;0),10*c_TCREEP,IF(AND(A34&lt;=c_TRNGMIN,A34&gt;=c_TRNGMAX,c_TRNGMIN-c_TRNGMAX&lt;&gt;0),-10*c_TMINRN+QUOTIENT((c_TMAXRN-c_TMINRN)*(100-QUOTIENT((A34-c_TRNGMAX)*100,c_TRNGMIN-c_TRNGMAX)),-10),0))</f>
        <v>0</v>
      </c>
      <c r="D34" s="7" t="n">
        <f aca="false">IF(((c_TMAP1IN)-(c_TFWD))=0,(0)+QUOTIENT(((c_TMAP1OUT)-(0)),2),QUOTIENT((((A34)-(c_TFWD))*((c_TMAP1OUT)-(0))+IF(((c_TMAP1OUT)-(0))&gt;=0,1,-1)*QUOTIENT(((c_TMAP1IN)-(c_TFWD)),2)),((c_TMAP1IN)-(c_TFWD)))+(0)+IF(((c_TMAP1OUT)-(0))&gt;=0,IF(IF(o_WRAP=1,MOD(((c_TMAP1IN)-(c_TFWD))*(((A34)-(c_TFWD))*((c_TMAP1OUT)-(0))+IF(((c_TMAP1OUT)-(0))&gt;=0,1,-1)*QUOTIENT(((c_TMAP1IN)-(c_TFWD)),2))+2147483648,4294967296)-2147483648,((c_TMAP1IN)-(c_TFWD))*(((A34)-(c_TFWD))*((c_TMAP1OUT)-(0))+IF(((c_TMAP1OUT)-(0))&gt;=0,1,-1)*QUOTIENT(((c_TMAP1IN)-(c_TFWD)),2)))&lt;0,-1,0),IF(IF(o_WRAP=1,MOD(((c_TMAP1IN)-(c_TFWD))*(((A34)-(c_TFWD))*((c_TMAP1OUT)-(0))+IF(((c_TMAP1OUT)-(0))&gt;=0,1,-1)*QUOTIENT(((c_TMAP1IN)-(c_TFWD)),2))+2147483648,4294967296)-2147483648,((c_TMAP1IN)-(c_TFWD))*(((A34)-(c_TFWD))*((c_TMAP1OUT)-(0))+IF(((c_TMAP1OUT)-(0))&gt;=0,1,-1)*QUOTIENT(((c_TMAP1IN)-(c_TFWD)),2)))&gt;=0,1,0)))</f>
        <v>15</v>
      </c>
      <c r="E34" s="7" t="n">
        <f aca="false">IF(((c_TMAP2IN)-(c_TMAP1IN))=0,(c_TMAP1OUT)+QUOTIENT(((c_TMAP2OUT)-(c_TMAP1OUT)),2),QUOTIENT((((A34)-(c_TMAP1IN))*((c_TMAP2OUT)-(c_TMAP1OUT))+IF(((c_TMAP2OUT)-(c_TMAP1OUT))&gt;=0,1,-1)*QUOTIENT(((c_TMAP2IN)-(c_TMAP1IN)),2)),((c_TMAP2IN)-(c_TMAP1IN)))+(c_TMAP1OUT)+IF(((c_TMAP2OUT)-(c_TMAP1OUT))&gt;=0,IF(IF(o_WRAP=1,MOD(((c_TMAP2IN)-(c_TMAP1IN))*(((A34)-(c_TMAP1IN))*((c_TMAP2OUT)-(c_TMAP1OUT))+IF(((c_TMAP2OUT)-(c_TMAP1OUT))&gt;=0,1,-1)*QUOTIENT(((c_TMAP2IN)-(c_TMAP1IN)),2))+2147483648,4294967296)-2147483648,((c_TMAP2IN)-(c_TMAP1IN))*(((A34)-(c_TMAP1IN))*((c_TMAP2OUT)-(c_TMAP1OUT))+IF(((c_TMAP2OUT)-(c_TMAP1OUT))&gt;=0,1,-1)*QUOTIENT(((c_TMAP2IN)-(c_TMAP1IN)),2)))&lt;0,-1,0),IF(IF(o_WRAP=1,MOD(((c_TMAP2IN)-(c_TMAP1IN))*(((A34)-(c_TMAP1IN))*((c_TMAP2OUT)-(c_TMAP1OUT))+IF(((c_TMAP2OUT)-(c_TMAP1OUT))&gt;=0,1,-1)*QUOTIENT(((c_TMAP2IN)-(c_TMAP1IN)),2))+2147483648,4294967296)-2147483648,((c_TMAP2IN)-(c_TMAP1IN))*(((A34)-(c_TMAP1IN))*((c_TMAP2OUT)-(c_TMAP1OUT))+IF(((c_TMAP2OUT)-(c_TMAP1OUT))&gt;=0,1,-1)*QUOTIENT(((c_TMAP2IN)-(c_TMAP1IN)),2)))&gt;=0,1,0)))</f>
        <v>42</v>
      </c>
      <c r="F34" s="7" t="n">
        <f aca="false">IF(((c_TMAP3IN)-(c_TMAP2IN))=0,(c_TMAP2OUT)+QUOTIENT(((c_TMAP3OUT)-(c_TMAP2OUT)),2),QUOTIENT((((A34)-(c_TMAP2IN))*((c_TMAP3OUT)-(c_TMAP2OUT))+IF(((c_TMAP3OUT)-(c_TMAP2OUT))&gt;=0,1,-1)*QUOTIENT(((c_TMAP3IN)-(c_TMAP2IN)),2)),((c_TMAP3IN)-(c_TMAP2IN)))+(c_TMAP2OUT)+IF(((c_TMAP3OUT)-(c_TMAP2OUT))&gt;=0,IF(IF(o_WRAP=1,MOD(((c_TMAP3IN)-(c_TMAP2IN))*(((A34)-(c_TMAP2IN))*((c_TMAP3OUT)-(c_TMAP2OUT))+IF(((c_TMAP3OUT)-(c_TMAP2OUT))&gt;=0,1,-1)*QUOTIENT(((c_TMAP3IN)-(c_TMAP2IN)),2))+2147483648,4294967296)-2147483648,((c_TMAP3IN)-(c_TMAP2IN))*(((A34)-(c_TMAP2IN))*((c_TMAP3OUT)-(c_TMAP2OUT))+IF(((c_TMAP3OUT)-(c_TMAP2OUT))&gt;=0,1,-1)*QUOTIENT(((c_TMAP3IN)-(c_TMAP2IN)),2)))&lt;0,-1,0),IF(IF(o_WRAP=1,MOD(((c_TMAP3IN)-(c_TMAP2IN))*(((A34)-(c_TMAP2IN))*((c_TMAP3OUT)-(c_TMAP2OUT))+IF(((c_TMAP3OUT)-(c_TMAP2OUT))&gt;=0,1,-1)*QUOTIENT(((c_TMAP3IN)-(c_TMAP2IN)),2))+2147483648,4294967296)-2147483648,((c_TMAP3IN)-(c_TMAP2IN))*(((A34)-(c_TMAP2IN))*((c_TMAP3OUT)-(c_TMAP2OUT))+IF(((c_TMAP3OUT)-(c_TMAP2OUT))&gt;=0,1,-1)*QUOTIENT(((c_TMAP3IN)-(c_TMAP2IN)),2)))&gt;=0,1,0)))</f>
        <v>-25</v>
      </c>
      <c r="G34" s="7" t="n">
        <f aca="false">IF(((1000)-(c_TMAP3IN))=0,(c_TMAP3OUT)+QUOTIENT(((1000)-(c_TMAP3OUT)),2),QUOTIENT((((A34)-(c_TMAP3IN))*((1000)-(c_TMAP3OUT))+IF(((1000)-(c_TMAP3OUT))&gt;=0,1,-1)*QUOTIENT(((1000)-(c_TMAP3IN)),2)),((1000)-(c_TMAP3IN)))+(c_TMAP3OUT)+IF(((1000)-(c_TMAP3OUT))&gt;=0,IF(IF(o_WRAP=1,MOD(((1000)-(c_TMAP3IN))*(((A34)-(c_TMAP3IN))*((1000)-(c_TMAP3OUT))+IF(((1000)-(c_TMAP3OUT))&gt;=0,1,-1)*QUOTIENT(((1000)-(c_TMAP3IN)),2))+2147483648,4294967296)-2147483648,((1000)-(c_TMAP3IN))*(((A34)-(c_TMAP3IN))*((1000)-(c_TMAP3OUT))+IF(((1000)-(c_TMAP3OUT))&gt;=0,1,-1)*QUOTIENT(((1000)-(c_TMAP3IN)),2)))&lt;0,-1,0),IF(IF(o_WRAP=1,MOD(((1000)-(c_TMAP3IN))*(((A34)-(c_TMAP3IN))*((1000)-(c_TMAP3OUT))+IF(((1000)-(c_TMAP3OUT))&gt;=0,1,-1)*QUOTIENT(((1000)-(c_TMAP3IN)),2))+2147483648,4294967296)-2147483648,((1000)-(c_TMAP3IN))*(((A34)-(c_TMAP3IN))*((1000)-(c_TMAP3OUT))+IF(((1000)-(c_TMAP3OUT))&gt;=0,1,-1)*QUOTIENT(((1000)-(c_TMAP3IN)),2)))&gt;=0,1,0)))</f>
        <v>-195</v>
      </c>
      <c r="H34" s="7" t="str">
        <f aca="false">IF(A34&gt;=c_TFWD,IF(AND(A34&gt;=c_TMAP3IN,c_TMAP3IN&lt;1000),"Seg4 map3-100%",IF(AND(A34&gt;=c_TMAP2IN,c_TMAP3IN&gt;c_TMAP2IN),"Seg3 map2-map3",IF(AND(A34&gt;=c_TMAP1IN,c_TMAP2IN&gt;c_TMAP1IN),"Seg2 map1-map2","Seg1 TFWD-map1"))),IF(AND(A34=0,c_TCREEP&gt;0),"Creep",IF(AND(A34&lt;=c_TRNGMIN,A34&gt;=c_TRNGMAX,c_TRNGMIN-c_TRNGMAX&lt;&gt;0),"Regen ramp","Coast (0)")))</f>
        <v>Seg1 TFWD-map1</v>
      </c>
      <c r="I34" s="7" t="n">
        <f aca="false">IF(A34&gt;=c_TFWD,IF(AND(A34&gt;=c_TMAP3IN,c_TMAP3IN&lt;1000),G34,IF(AND(A34&gt;=c_TMAP2IN,c_TMAP3IN&gt;c_TMAP2IN),F34,IF(AND(A34&gt;=c_TMAP1IN,c_TMAP2IN&gt;c_TMAP1IN),E34,D34))),C34)</f>
        <v>15</v>
      </c>
      <c r="J34" s="7" t="str">
        <f aca="false">IF(I34&lt;-1090,"TOO LOW",IF(I34&gt;1090,"TOO HIGH",""))</f>
        <v/>
      </c>
      <c r="K34" s="15" t="n">
        <f aca="false">IF(J34&lt;&gt;"",0,IF(I34&gt;979,1000,I34))</f>
        <v>15</v>
      </c>
      <c r="L34" s="7" t="n">
        <f aca="false">K34/10</f>
        <v>1.5</v>
      </c>
    </row>
    <row r="35" customFormat="false" ht="15" hidden="false" customHeight="false" outlineLevel="0" collapsed="false">
      <c r="A35" s="7" t="n">
        <v>30</v>
      </c>
      <c r="B35" s="7" t="n">
        <f aca="false">A35/10</f>
        <v>3</v>
      </c>
      <c r="C35" s="7" t="n">
        <f aca="false">IF(AND(A35=0,c_TCREEP&gt;0),10*c_TCREEP,IF(AND(A35&lt;=c_TRNGMIN,A35&gt;=c_TRNGMAX,c_TRNGMIN-c_TRNGMAX&lt;&gt;0),-10*c_TMINRN+QUOTIENT((c_TMAXRN-c_TMINRN)*(100-QUOTIENT((A35-c_TRNGMAX)*100,c_TRNGMIN-c_TRNGMAX)),-10),0))</f>
        <v>0</v>
      </c>
      <c r="D35" s="7" t="n">
        <f aca="false">IF(((c_TMAP1IN)-(c_TFWD))=0,(0)+QUOTIENT(((c_TMAP1OUT)-(0)),2),QUOTIENT((((A35)-(c_TFWD))*((c_TMAP1OUT)-(0))+IF(((c_TMAP1OUT)-(0))&gt;=0,1,-1)*QUOTIENT(((c_TMAP1IN)-(c_TFWD)),2)),((c_TMAP1IN)-(c_TFWD)))+(0)+IF(((c_TMAP1OUT)-(0))&gt;=0,IF(IF(o_WRAP=1,MOD(((c_TMAP1IN)-(c_TFWD))*(((A35)-(c_TFWD))*((c_TMAP1OUT)-(0))+IF(((c_TMAP1OUT)-(0))&gt;=0,1,-1)*QUOTIENT(((c_TMAP1IN)-(c_TFWD)),2))+2147483648,4294967296)-2147483648,((c_TMAP1IN)-(c_TFWD))*(((A35)-(c_TFWD))*((c_TMAP1OUT)-(0))+IF(((c_TMAP1OUT)-(0))&gt;=0,1,-1)*QUOTIENT(((c_TMAP1IN)-(c_TFWD)),2)))&lt;0,-1,0),IF(IF(o_WRAP=1,MOD(((c_TMAP1IN)-(c_TFWD))*(((A35)-(c_TFWD))*((c_TMAP1OUT)-(0))+IF(((c_TMAP1OUT)-(0))&gt;=0,1,-1)*QUOTIENT(((c_TMAP1IN)-(c_TFWD)),2))+2147483648,4294967296)-2147483648,((c_TMAP1IN)-(c_TFWD))*(((A35)-(c_TFWD))*((c_TMAP1OUT)-(0))+IF(((c_TMAP1OUT)-(0))&gt;=0,1,-1)*QUOTIENT(((c_TMAP1IN)-(c_TFWD)),2)))&gt;=0,1,0)))</f>
        <v>16</v>
      </c>
      <c r="E35" s="7" t="n">
        <f aca="false">IF(((c_TMAP2IN)-(c_TMAP1IN))=0,(c_TMAP1OUT)+QUOTIENT(((c_TMAP2OUT)-(c_TMAP1OUT)),2),QUOTIENT((((A35)-(c_TMAP1IN))*((c_TMAP2OUT)-(c_TMAP1OUT))+IF(((c_TMAP2OUT)-(c_TMAP1OUT))&gt;=0,1,-1)*QUOTIENT(((c_TMAP2IN)-(c_TMAP1IN)),2)),((c_TMAP2IN)-(c_TMAP1IN)))+(c_TMAP1OUT)+IF(((c_TMAP2OUT)-(c_TMAP1OUT))&gt;=0,IF(IF(o_WRAP=1,MOD(((c_TMAP2IN)-(c_TMAP1IN))*(((A35)-(c_TMAP1IN))*((c_TMAP2OUT)-(c_TMAP1OUT))+IF(((c_TMAP2OUT)-(c_TMAP1OUT))&gt;=0,1,-1)*QUOTIENT(((c_TMAP2IN)-(c_TMAP1IN)),2))+2147483648,4294967296)-2147483648,((c_TMAP2IN)-(c_TMAP1IN))*(((A35)-(c_TMAP1IN))*((c_TMAP2OUT)-(c_TMAP1OUT))+IF(((c_TMAP2OUT)-(c_TMAP1OUT))&gt;=0,1,-1)*QUOTIENT(((c_TMAP2IN)-(c_TMAP1IN)),2)))&lt;0,-1,0),IF(IF(o_WRAP=1,MOD(((c_TMAP2IN)-(c_TMAP1IN))*(((A35)-(c_TMAP1IN))*((c_TMAP2OUT)-(c_TMAP1OUT))+IF(((c_TMAP2OUT)-(c_TMAP1OUT))&gt;=0,1,-1)*QUOTIENT(((c_TMAP2IN)-(c_TMAP1IN)),2))+2147483648,4294967296)-2147483648,((c_TMAP2IN)-(c_TMAP1IN))*(((A35)-(c_TMAP1IN))*((c_TMAP2OUT)-(c_TMAP1OUT))+IF(((c_TMAP2OUT)-(c_TMAP1OUT))&gt;=0,1,-1)*QUOTIENT(((c_TMAP2IN)-(c_TMAP1IN)),2)))&gt;=0,1,0)))</f>
        <v>42</v>
      </c>
      <c r="F35" s="7" t="n">
        <f aca="false">IF(((c_TMAP3IN)-(c_TMAP2IN))=0,(c_TMAP2OUT)+QUOTIENT(((c_TMAP3OUT)-(c_TMAP2OUT)),2),QUOTIENT((((A35)-(c_TMAP2IN))*((c_TMAP3OUT)-(c_TMAP2OUT))+IF(((c_TMAP3OUT)-(c_TMAP2OUT))&gt;=0,1,-1)*QUOTIENT(((c_TMAP3IN)-(c_TMAP2IN)),2)),((c_TMAP3IN)-(c_TMAP2IN)))+(c_TMAP2OUT)+IF(((c_TMAP3OUT)-(c_TMAP2OUT))&gt;=0,IF(IF(o_WRAP=1,MOD(((c_TMAP3IN)-(c_TMAP2IN))*(((A35)-(c_TMAP2IN))*((c_TMAP3OUT)-(c_TMAP2OUT))+IF(((c_TMAP3OUT)-(c_TMAP2OUT))&gt;=0,1,-1)*QUOTIENT(((c_TMAP3IN)-(c_TMAP2IN)),2))+2147483648,4294967296)-2147483648,((c_TMAP3IN)-(c_TMAP2IN))*(((A35)-(c_TMAP2IN))*((c_TMAP3OUT)-(c_TMAP2OUT))+IF(((c_TMAP3OUT)-(c_TMAP2OUT))&gt;=0,1,-1)*QUOTIENT(((c_TMAP3IN)-(c_TMAP2IN)),2)))&lt;0,-1,0),IF(IF(o_WRAP=1,MOD(((c_TMAP3IN)-(c_TMAP2IN))*(((A35)-(c_TMAP2IN))*((c_TMAP3OUT)-(c_TMAP2OUT))+IF(((c_TMAP3OUT)-(c_TMAP2OUT))&gt;=0,1,-1)*QUOTIENT(((c_TMAP3IN)-(c_TMAP2IN)),2))+2147483648,4294967296)-2147483648,((c_TMAP3IN)-(c_TMAP2IN))*(((A35)-(c_TMAP2IN))*((c_TMAP3OUT)-(c_TMAP2OUT))+IF(((c_TMAP3OUT)-(c_TMAP2OUT))&gt;=0,1,-1)*QUOTIENT(((c_TMAP3IN)-(c_TMAP2IN)),2)))&gt;=0,1,0)))</f>
        <v>-24</v>
      </c>
      <c r="G35" s="7" t="n">
        <f aca="false">IF(((1000)-(c_TMAP3IN))=0,(c_TMAP3OUT)+QUOTIENT(((1000)-(c_TMAP3OUT)),2),QUOTIENT((((A35)-(c_TMAP3IN))*((1000)-(c_TMAP3OUT))+IF(((1000)-(c_TMAP3OUT))&gt;=0,1,-1)*QUOTIENT(((1000)-(c_TMAP3IN)),2)),((1000)-(c_TMAP3IN)))+(c_TMAP3OUT)+IF(((1000)-(c_TMAP3OUT))&gt;=0,IF(IF(o_WRAP=1,MOD(((1000)-(c_TMAP3IN))*(((A35)-(c_TMAP3IN))*((1000)-(c_TMAP3OUT))+IF(((1000)-(c_TMAP3OUT))&gt;=0,1,-1)*QUOTIENT(((1000)-(c_TMAP3IN)),2))+2147483648,4294967296)-2147483648,((1000)-(c_TMAP3IN))*(((A35)-(c_TMAP3IN))*((1000)-(c_TMAP3OUT))+IF(((1000)-(c_TMAP3OUT))&gt;=0,1,-1)*QUOTIENT(((1000)-(c_TMAP3IN)),2)))&lt;0,-1,0),IF(IF(o_WRAP=1,MOD(((1000)-(c_TMAP3IN))*(((A35)-(c_TMAP3IN))*((1000)-(c_TMAP3OUT))+IF(((1000)-(c_TMAP3OUT))&gt;=0,1,-1)*QUOTIENT(((1000)-(c_TMAP3IN)),2))+2147483648,4294967296)-2147483648,((1000)-(c_TMAP3IN))*(((A35)-(c_TMAP3IN))*((1000)-(c_TMAP3OUT))+IF(((1000)-(c_TMAP3OUT))&gt;=0,1,-1)*QUOTIENT(((1000)-(c_TMAP3IN)),2)))&gt;=0,1,0)))</f>
        <v>-194</v>
      </c>
      <c r="H35" s="7" t="str">
        <f aca="false">IF(A35&gt;=c_TFWD,IF(AND(A35&gt;=c_TMAP3IN,c_TMAP3IN&lt;1000),"Seg4 map3-100%",IF(AND(A35&gt;=c_TMAP2IN,c_TMAP3IN&gt;c_TMAP2IN),"Seg3 map2-map3",IF(AND(A35&gt;=c_TMAP1IN,c_TMAP2IN&gt;c_TMAP1IN),"Seg2 map1-map2","Seg1 TFWD-map1"))),IF(AND(A35=0,c_TCREEP&gt;0),"Creep",IF(AND(A35&lt;=c_TRNGMIN,A35&gt;=c_TRNGMAX,c_TRNGMIN-c_TRNGMAX&lt;&gt;0),"Regen ramp","Coast (0)")))</f>
        <v>Seg1 TFWD-map1</v>
      </c>
      <c r="I35" s="7" t="n">
        <f aca="false">IF(A35&gt;=c_TFWD,IF(AND(A35&gt;=c_TMAP3IN,c_TMAP3IN&lt;1000),G35,IF(AND(A35&gt;=c_TMAP2IN,c_TMAP3IN&gt;c_TMAP2IN),F35,IF(AND(A35&gt;=c_TMAP1IN,c_TMAP2IN&gt;c_TMAP1IN),E35,D35))),C35)</f>
        <v>16</v>
      </c>
      <c r="J35" s="7" t="str">
        <f aca="false">IF(I35&lt;-1090,"TOO LOW",IF(I35&gt;1090,"TOO HIGH",""))</f>
        <v/>
      </c>
      <c r="K35" s="15" t="n">
        <f aca="false">IF(J35&lt;&gt;"",0,IF(I35&gt;979,1000,I35))</f>
        <v>16</v>
      </c>
      <c r="L35" s="7" t="n">
        <f aca="false">K35/10</f>
        <v>1.6</v>
      </c>
    </row>
    <row r="36" customFormat="false" ht="15" hidden="false" customHeight="false" outlineLevel="0" collapsed="false">
      <c r="A36" s="7" t="n">
        <v>31</v>
      </c>
      <c r="B36" s="7" t="n">
        <f aca="false">A36/10</f>
        <v>3.1</v>
      </c>
      <c r="C36" s="7" t="n">
        <f aca="false">IF(AND(A36=0,c_TCREEP&gt;0),10*c_TCREEP,IF(AND(A36&lt;=c_TRNGMIN,A36&gt;=c_TRNGMAX,c_TRNGMIN-c_TRNGMAX&lt;&gt;0),-10*c_TMINRN+QUOTIENT((c_TMAXRN-c_TMINRN)*(100-QUOTIENT((A36-c_TRNGMAX)*100,c_TRNGMIN-c_TRNGMAX)),-10),0))</f>
        <v>0</v>
      </c>
      <c r="D36" s="7" t="n">
        <f aca="false">IF(((c_TMAP1IN)-(c_TFWD))=0,(0)+QUOTIENT(((c_TMAP1OUT)-(0)),2),QUOTIENT((((A36)-(c_TFWD))*((c_TMAP1OUT)-(0))+IF(((c_TMAP1OUT)-(0))&gt;=0,1,-1)*QUOTIENT(((c_TMAP1IN)-(c_TFWD)),2)),((c_TMAP1IN)-(c_TFWD)))+(0)+IF(((c_TMAP1OUT)-(0))&gt;=0,IF(IF(o_WRAP=1,MOD(((c_TMAP1IN)-(c_TFWD))*(((A36)-(c_TFWD))*((c_TMAP1OUT)-(0))+IF(((c_TMAP1OUT)-(0))&gt;=0,1,-1)*QUOTIENT(((c_TMAP1IN)-(c_TFWD)),2))+2147483648,4294967296)-2147483648,((c_TMAP1IN)-(c_TFWD))*(((A36)-(c_TFWD))*((c_TMAP1OUT)-(0))+IF(((c_TMAP1OUT)-(0))&gt;=0,1,-1)*QUOTIENT(((c_TMAP1IN)-(c_TFWD)),2)))&lt;0,-1,0),IF(IF(o_WRAP=1,MOD(((c_TMAP1IN)-(c_TFWD))*(((A36)-(c_TFWD))*((c_TMAP1OUT)-(0))+IF(((c_TMAP1OUT)-(0))&gt;=0,1,-1)*QUOTIENT(((c_TMAP1IN)-(c_TFWD)),2))+2147483648,4294967296)-2147483648,((c_TMAP1IN)-(c_TFWD))*(((A36)-(c_TFWD))*((c_TMAP1OUT)-(0))+IF(((c_TMAP1OUT)-(0))&gt;=0,1,-1)*QUOTIENT(((c_TMAP1IN)-(c_TFWD)),2)))&gt;=0,1,0)))</f>
        <v>16</v>
      </c>
      <c r="E36" s="7" t="n">
        <f aca="false">IF(((c_TMAP2IN)-(c_TMAP1IN))=0,(c_TMAP1OUT)+QUOTIENT(((c_TMAP2OUT)-(c_TMAP1OUT)),2),QUOTIENT((((A36)-(c_TMAP1IN))*((c_TMAP2OUT)-(c_TMAP1OUT))+IF(((c_TMAP2OUT)-(c_TMAP1OUT))&gt;=0,1,-1)*QUOTIENT(((c_TMAP2IN)-(c_TMAP1IN)),2)),((c_TMAP2IN)-(c_TMAP1IN)))+(c_TMAP1OUT)+IF(((c_TMAP2OUT)-(c_TMAP1OUT))&gt;=0,IF(IF(o_WRAP=1,MOD(((c_TMAP2IN)-(c_TMAP1IN))*(((A36)-(c_TMAP1IN))*((c_TMAP2OUT)-(c_TMAP1OUT))+IF(((c_TMAP2OUT)-(c_TMAP1OUT))&gt;=0,1,-1)*QUOTIENT(((c_TMAP2IN)-(c_TMAP1IN)),2))+2147483648,4294967296)-2147483648,((c_TMAP2IN)-(c_TMAP1IN))*(((A36)-(c_TMAP1IN))*((c_TMAP2OUT)-(c_TMAP1OUT))+IF(((c_TMAP2OUT)-(c_TMAP1OUT))&gt;=0,1,-1)*QUOTIENT(((c_TMAP2IN)-(c_TMAP1IN)),2)))&lt;0,-1,0),IF(IF(o_WRAP=1,MOD(((c_TMAP2IN)-(c_TMAP1IN))*(((A36)-(c_TMAP1IN))*((c_TMAP2OUT)-(c_TMAP1OUT))+IF(((c_TMAP2OUT)-(c_TMAP1OUT))&gt;=0,1,-1)*QUOTIENT(((c_TMAP2IN)-(c_TMAP1IN)),2))+2147483648,4294967296)-2147483648,((c_TMAP2IN)-(c_TMAP1IN))*(((A36)-(c_TMAP1IN))*((c_TMAP2OUT)-(c_TMAP1OUT))+IF(((c_TMAP2OUT)-(c_TMAP1OUT))&gt;=0,1,-1)*QUOTIENT(((c_TMAP2IN)-(c_TMAP1IN)),2)))&gt;=0,1,0)))</f>
        <v>42</v>
      </c>
      <c r="F36" s="7" t="n">
        <f aca="false">IF(((c_TMAP3IN)-(c_TMAP2IN))=0,(c_TMAP2OUT)+QUOTIENT(((c_TMAP3OUT)-(c_TMAP2OUT)),2),QUOTIENT((((A36)-(c_TMAP2IN))*((c_TMAP3OUT)-(c_TMAP2OUT))+IF(((c_TMAP3OUT)-(c_TMAP2OUT))&gt;=0,1,-1)*QUOTIENT(((c_TMAP3IN)-(c_TMAP2IN)),2)),((c_TMAP3IN)-(c_TMAP2IN)))+(c_TMAP2OUT)+IF(((c_TMAP3OUT)-(c_TMAP2OUT))&gt;=0,IF(IF(o_WRAP=1,MOD(((c_TMAP3IN)-(c_TMAP2IN))*(((A36)-(c_TMAP2IN))*((c_TMAP3OUT)-(c_TMAP2OUT))+IF(((c_TMAP3OUT)-(c_TMAP2OUT))&gt;=0,1,-1)*QUOTIENT(((c_TMAP3IN)-(c_TMAP2IN)),2))+2147483648,4294967296)-2147483648,((c_TMAP3IN)-(c_TMAP2IN))*(((A36)-(c_TMAP2IN))*((c_TMAP3OUT)-(c_TMAP2OUT))+IF(((c_TMAP3OUT)-(c_TMAP2OUT))&gt;=0,1,-1)*QUOTIENT(((c_TMAP3IN)-(c_TMAP2IN)),2)))&lt;0,-1,0),IF(IF(o_WRAP=1,MOD(((c_TMAP3IN)-(c_TMAP2IN))*(((A36)-(c_TMAP2IN))*((c_TMAP3OUT)-(c_TMAP2OUT))+IF(((c_TMAP3OUT)-(c_TMAP2OUT))&gt;=0,1,-1)*QUOTIENT(((c_TMAP3IN)-(c_TMAP2IN)),2))+2147483648,4294967296)-2147483648,((c_TMAP3IN)-(c_TMAP2IN))*(((A36)-(c_TMAP2IN))*((c_TMAP3OUT)-(c_TMAP2OUT))+IF(((c_TMAP3OUT)-(c_TMAP2OUT))&gt;=0,1,-1)*QUOTIENT(((c_TMAP3IN)-(c_TMAP2IN)),2)))&gt;=0,1,0)))</f>
        <v>-23</v>
      </c>
      <c r="G36" s="7" t="n">
        <f aca="false">IF(((1000)-(c_TMAP3IN))=0,(c_TMAP3OUT)+QUOTIENT(((1000)-(c_TMAP3OUT)),2),QUOTIENT((((A36)-(c_TMAP3IN))*((1000)-(c_TMAP3OUT))+IF(((1000)-(c_TMAP3OUT))&gt;=0,1,-1)*QUOTIENT(((1000)-(c_TMAP3IN)),2)),((1000)-(c_TMAP3IN)))+(c_TMAP3OUT)+IF(((1000)-(c_TMAP3OUT))&gt;=0,IF(IF(o_WRAP=1,MOD(((1000)-(c_TMAP3IN))*(((A36)-(c_TMAP3IN))*((1000)-(c_TMAP3OUT))+IF(((1000)-(c_TMAP3OUT))&gt;=0,1,-1)*QUOTIENT(((1000)-(c_TMAP3IN)),2))+2147483648,4294967296)-2147483648,((1000)-(c_TMAP3IN))*(((A36)-(c_TMAP3IN))*((1000)-(c_TMAP3OUT))+IF(((1000)-(c_TMAP3OUT))&gt;=0,1,-1)*QUOTIENT(((1000)-(c_TMAP3IN)),2)))&lt;0,-1,0),IF(IF(o_WRAP=1,MOD(((1000)-(c_TMAP3IN))*(((A36)-(c_TMAP3IN))*((1000)-(c_TMAP3OUT))+IF(((1000)-(c_TMAP3OUT))&gt;=0,1,-1)*QUOTIENT(((1000)-(c_TMAP3IN)),2))+2147483648,4294967296)-2147483648,((1000)-(c_TMAP3IN))*(((A36)-(c_TMAP3IN))*((1000)-(c_TMAP3OUT))+IF(((1000)-(c_TMAP3OUT))&gt;=0,1,-1)*QUOTIENT(((1000)-(c_TMAP3IN)),2)))&gt;=0,1,0)))</f>
        <v>-193</v>
      </c>
      <c r="H36" s="7" t="str">
        <f aca="false">IF(A36&gt;=c_TFWD,IF(AND(A36&gt;=c_TMAP3IN,c_TMAP3IN&lt;1000),"Seg4 map3-100%",IF(AND(A36&gt;=c_TMAP2IN,c_TMAP3IN&gt;c_TMAP2IN),"Seg3 map2-map3",IF(AND(A36&gt;=c_TMAP1IN,c_TMAP2IN&gt;c_TMAP1IN),"Seg2 map1-map2","Seg1 TFWD-map1"))),IF(AND(A36=0,c_TCREEP&gt;0),"Creep",IF(AND(A36&lt;=c_TRNGMIN,A36&gt;=c_TRNGMAX,c_TRNGMIN-c_TRNGMAX&lt;&gt;0),"Regen ramp","Coast (0)")))</f>
        <v>Seg1 TFWD-map1</v>
      </c>
      <c r="I36" s="7" t="n">
        <f aca="false">IF(A36&gt;=c_TFWD,IF(AND(A36&gt;=c_TMAP3IN,c_TMAP3IN&lt;1000),G36,IF(AND(A36&gt;=c_TMAP2IN,c_TMAP3IN&gt;c_TMAP2IN),F36,IF(AND(A36&gt;=c_TMAP1IN,c_TMAP2IN&gt;c_TMAP1IN),E36,D36))),C36)</f>
        <v>16</v>
      </c>
      <c r="J36" s="7" t="str">
        <f aca="false">IF(I36&lt;-1090,"TOO LOW",IF(I36&gt;1090,"TOO HIGH",""))</f>
        <v/>
      </c>
      <c r="K36" s="15" t="n">
        <f aca="false">IF(J36&lt;&gt;"",0,IF(I36&gt;979,1000,I36))</f>
        <v>16</v>
      </c>
      <c r="L36" s="7" t="n">
        <f aca="false">K36/10</f>
        <v>1.6</v>
      </c>
    </row>
    <row r="37" customFormat="false" ht="15" hidden="false" customHeight="false" outlineLevel="0" collapsed="false">
      <c r="A37" s="7" t="n">
        <v>32</v>
      </c>
      <c r="B37" s="7" t="n">
        <f aca="false">A37/10</f>
        <v>3.2</v>
      </c>
      <c r="C37" s="7" t="n">
        <f aca="false">IF(AND(A37=0,c_TCREEP&gt;0),10*c_TCREEP,IF(AND(A37&lt;=c_TRNGMIN,A37&gt;=c_TRNGMAX,c_TRNGMIN-c_TRNGMAX&lt;&gt;0),-10*c_TMINRN+QUOTIENT((c_TMAXRN-c_TMINRN)*(100-QUOTIENT((A37-c_TRNGMAX)*100,c_TRNGMIN-c_TRNGMAX)),-10),0))</f>
        <v>0</v>
      </c>
      <c r="D37" s="7" t="n">
        <f aca="false">IF(((c_TMAP1IN)-(c_TFWD))=0,(0)+QUOTIENT(((c_TMAP1OUT)-(0)),2),QUOTIENT((((A37)-(c_TFWD))*((c_TMAP1OUT)-(0))+IF(((c_TMAP1OUT)-(0))&gt;=0,1,-1)*QUOTIENT(((c_TMAP1IN)-(c_TFWD)),2)),((c_TMAP1IN)-(c_TFWD)))+(0)+IF(((c_TMAP1OUT)-(0))&gt;=0,IF(IF(o_WRAP=1,MOD(((c_TMAP1IN)-(c_TFWD))*(((A37)-(c_TFWD))*((c_TMAP1OUT)-(0))+IF(((c_TMAP1OUT)-(0))&gt;=0,1,-1)*QUOTIENT(((c_TMAP1IN)-(c_TFWD)),2))+2147483648,4294967296)-2147483648,((c_TMAP1IN)-(c_TFWD))*(((A37)-(c_TFWD))*((c_TMAP1OUT)-(0))+IF(((c_TMAP1OUT)-(0))&gt;=0,1,-1)*QUOTIENT(((c_TMAP1IN)-(c_TFWD)),2)))&lt;0,-1,0),IF(IF(o_WRAP=1,MOD(((c_TMAP1IN)-(c_TFWD))*(((A37)-(c_TFWD))*((c_TMAP1OUT)-(0))+IF(((c_TMAP1OUT)-(0))&gt;=0,1,-1)*QUOTIENT(((c_TMAP1IN)-(c_TFWD)),2))+2147483648,4294967296)-2147483648,((c_TMAP1IN)-(c_TFWD))*(((A37)-(c_TFWD))*((c_TMAP1OUT)-(0))+IF(((c_TMAP1OUT)-(0))&gt;=0,1,-1)*QUOTIENT(((c_TMAP1IN)-(c_TFWD)),2)))&gt;=0,1,0)))</f>
        <v>17</v>
      </c>
      <c r="E37" s="7" t="n">
        <f aca="false">IF(((c_TMAP2IN)-(c_TMAP1IN))=0,(c_TMAP1OUT)+QUOTIENT(((c_TMAP2OUT)-(c_TMAP1OUT)),2),QUOTIENT((((A37)-(c_TMAP1IN))*((c_TMAP2OUT)-(c_TMAP1OUT))+IF(((c_TMAP2OUT)-(c_TMAP1OUT))&gt;=0,1,-1)*QUOTIENT(((c_TMAP2IN)-(c_TMAP1IN)),2)),((c_TMAP2IN)-(c_TMAP1IN)))+(c_TMAP1OUT)+IF(((c_TMAP2OUT)-(c_TMAP1OUT))&gt;=0,IF(IF(o_WRAP=1,MOD(((c_TMAP2IN)-(c_TMAP1IN))*(((A37)-(c_TMAP1IN))*((c_TMAP2OUT)-(c_TMAP1OUT))+IF(((c_TMAP2OUT)-(c_TMAP1OUT))&gt;=0,1,-1)*QUOTIENT(((c_TMAP2IN)-(c_TMAP1IN)),2))+2147483648,4294967296)-2147483648,((c_TMAP2IN)-(c_TMAP1IN))*(((A37)-(c_TMAP1IN))*((c_TMAP2OUT)-(c_TMAP1OUT))+IF(((c_TMAP2OUT)-(c_TMAP1OUT))&gt;=0,1,-1)*QUOTIENT(((c_TMAP2IN)-(c_TMAP1IN)),2)))&lt;0,-1,0),IF(IF(o_WRAP=1,MOD(((c_TMAP2IN)-(c_TMAP1IN))*(((A37)-(c_TMAP1IN))*((c_TMAP2OUT)-(c_TMAP1OUT))+IF(((c_TMAP2OUT)-(c_TMAP1OUT))&gt;=0,1,-1)*QUOTIENT(((c_TMAP2IN)-(c_TMAP1IN)),2))+2147483648,4294967296)-2147483648,((c_TMAP2IN)-(c_TMAP1IN))*(((A37)-(c_TMAP1IN))*((c_TMAP2OUT)-(c_TMAP1OUT))+IF(((c_TMAP2OUT)-(c_TMAP1OUT))&gt;=0,1,-1)*QUOTIENT(((c_TMAP2IN)-(c_TMAP1IN)),2)))&gt;=0,1,0)))</f>
        <v>43</v>
      </c>
      <c r="F37" s="7" t="n">
        <f aca="false">IF(((c_TMAP3IN)-(c_TMAP2IN))=0,(c_TMAP2OUT)+QUOTIENT(((c_TMAP3OUT)-(c_TMAP2OUT)),2),QUOTIENT((((A37)-(c_TMAP2IN))*((c_TMAP3OUT)-(c_TMAP2OUT))+IF(((c_TMAP3OUT)-(c_TMAP2OUT))&gt;=0,1,-1)*QUOTIENT(((c_TMAP3IN)-(c_TMAP2IN)),2)),((c_TMAP3IN)-(c_TMAP2IN)))+(c_TMAP2OUT)+IF(((c_TMAP3OUT)-(c_TMAP2OUT))&gt;=0,IF(IF(o_WRAP=1,MOD(((c_TMAP3IN)-(c_TMAP2IN))*(((A37)-(c_TMAP2IN))*((c_TMAP3OUT)-(c_TMAP2OUT))+IF(((c_TMAP3OUT)-(c_TMAP2OUT))&gt;=0,1,-1)*QUOTIENT(((c_TMAP3IN)-(c_TMAP2IN)),2))+2147483648,4294967296)-2147483648,((c_TMAP3IN)-(c_TMAP2IN))*(((A37)-(c_TMAP2IN))*((c_TMAP3OUT)-(c_TMAP2OUT))+IF(((c_TMAP3OUT)-(c_TMAP2OUT))&gt;=0,1,-1)*QUOTIENT(((c_TMAP3IN)-(c_TMAP2IN)),2)))&lt;0,-1,0),IF(IF(o_WRAP=1,MOD(((c_TMAP3IN)-(c_TMAP2IN))*(((A37)-(c_TMAP2IN))*((c_TMAP3OUT)-(c_TMAP2OUT))+IF(((c_TMAP3OUT)-(c_TMAP2OUT))&gt;=0,1,-1)*QUOTIENT(((c_TMAP3IN)-(c_TMAP2IN)),2))+2147483648,4294967296)-2147483648,((c_TMAP3IN)-(c_TMAP2IN))*(((A37)-(c_TMAP2IN))*((c_TMAP3OUT)-(c_TMAP2OUT))+IF(((c_TMAP3OUT)-(c_TMAP2OUT))&gt;=0,1,-1)*QUOTIENT(((c_TMAP3IN)-(c_TMAP2IN)),2)))&gt;=0,1,0)))</f>
        <v>-23</v>
      </c>
      <c r="G37" s="7" t="n">
        <f aca="false">IF(((1000)-(c_TMAP3IN))=0,(c_TMAP3OUT)+QUOTIENT(((1000)-(c_TMAP3OUT)),2),QUOTIENT((((A37)-(c_TMAP3IN))*((1000)-(c_TMAP3OUT))+IF(((1000)-(c_TMAP3OUT))&gt;=0,1,-1)*QUOTIENT(((1000)-(c_TMAP3IN)),2)),((1000)-(c_TMAP3IN)))+(c_TMAP3OUT)+IF(((1000)-(c_TMAP3OUT))&gt;=0,IF(IF(o_WRAP=1,MOD(((1000)-(c_TMAP3IN))*(((A37)-(c_TMAP3IN))*((1000)-(c_TMAP3OUT))+IF(((1000)-(c_TMAP3OUT))&gt;=0,1,-1)*QUOTIENT(((1000)-(c_TMAP3IN)),2))+2147483648,4294967296)-2147483648,((1000)-(c_TMAP3IN))*(((A37)-(c_TMAP3IN))*((1000)-(c_TMAP3OUT))+IF(((1000)-(c_TMAP3OUT))&gt;=0,1,-1)*QUOTIENT(((1000)-(c_TMAP3IN)),2)))&lt;0,-1,0),IF(IF(o_WRAP=1,MOD(((1000)-(c_TMAP3IN))*(((A37)-(c_TMAP3IN))*((1000)-(c_TMAP3OUT))+IF(((1000)-(c_TMAP3OUT))&gt;=0,1,-1)*QUOTIENT(((1000)-(c_TMAP3IN)),2))+2147483648,4294967296)-2147483648,((1000)-(c_TMAP3IN))*(((A37)-(c_TMAP3IN))*((1000)-(c_TMAP3OUT))+IF(((1000)-(c_TMAP3OUT))&gt;=0,1,-1)*QUOTIENT(((1000)-(c_TMAP3IN)),2)))&gt;=0,1,0)))</f>
        <v>-191</v>
      </c>
      <c r="H37" s="7" t="str">
        <f aca="false">IF(A37&gt;=c_TFWD,IF(AND(A37&gt;=c_TMAP3IN,c_TMAP3IN&lt;1000),"Seg4 map3-100%",IF(AND(A37&gt;=c_TMAP2IN,c_TMAP3IN&gt;c_TMAP2IN),"Seg3 map2-map3",IF(AND(A37&gt;=c_TMAP1IN,c_TMAP2IN&gt;c_TMAP1IN),"Seg2 map1-map2","Seg1 TFWD-map1"))),IF(AND(A37=0,c_TCREEP&gt;0),"Creep",IF(AND(A37&lt;=c_TRNGMIN,A37&gt;=c_TRNGMAX,c_TRNGMIN-c_TRNGMAX&lt;&gt;0),"Regen ramp","Coast (0)")))</f>
        <v>Seg1 TFWD-map1</v>
      </c>
      <c r="I37" s="7" t="n">
        <f aca="false">IF(A37&gt;=c_TFWD,IF(AND(A37&gt;=c_TMAP3IN,c_TMAP3IN&lt;1000),G37,IF(AND(A37&gt;=c_TMAP2IN,c_TMAP3IN&gt;c_TMAP2IN),F37,IF(AND(A37&gt;=c_TMAP1IN,c_TMAP2IN&gt;c_TMAP1IN),E37,D37))),C37)</f>
        <v>17</v>
      </c>
      <c r="J37" s="7" t="str">
        <f aca="false">IF(I37&lt;-1090,"TOO LOW",IF(I37&gt;1090,"TOO HIGH",""))</f>
        <v/>
      </c>
      <c r="K37" s="15" t="n">
        <f aca="false">IF(J37&lt;&gt;"",0,IF(I37&gt;979,1000,I37))</f>
        <v>17</v>
      </c>
      <c r="L37" s="7" t="n">
        <f aca="false">K37/10</f>
        <v>1.7</v>
      </c>
    </row>
    <row r="38" customFormat="false" ht="15" hidden="false" customHeight="false" outlineLevel="0" collapsed="false">
      <c r="A38" s="7" t="n">
        <v>33</v>
      </c>
      <c r="B38" s="7" t="n">
        <f aca="false">A38/10</f>
        <v>3.3</v>
      </c>
      <c r="C38" s="7" t="n">
        <f aca="false">IF(AND(A38=0,c_TCREEP&gt;0),10*c_TCREEP,IF(AND(A38&lt;=c_TRNGMIN,A38&gt;=c_TRNGMAX,c_TRNGMIN-c_TRNGMAX&lt;&gt;0),-10*c_TMINRN+QUOTIENT((c_TMAXRN-c_TMINRN)*(100-QUOTIENT((A38-c_TRNGMAX)*100,c_TRNGMIN-c_TRNGMAX)),-10),0))</f>
        <v>0</v>
      </c>
      <c r="D38" s="7" t="n">
        <f aca="false">IF(((c_TMAP1IN)-(c_TFWD))=0,(0)+QUOTIENT(((c_TMAP1OUT)-(0)),2),QUOTIENT((((A38)-(c_TFWD))*((c_TMAP1OUT)-(0))+IF(((c_TMAP1OUT)-(0))&gt;=0,1,-1)*QUOTIENT(((c_TMAP1IN)-(c_TFWD)),2)),((c_TMAP1IN)-(c_TFWD)))+(0)+IF(((c_TMAP1OUT)-(0))&gt;=0,IF(IF(o_WRAP=1,MOD(((c_TMAP1IN)-(c_TFWD))*(((A38)-(c_TFWD))*((c_TMAP1OUT)-(0))+IF(((c_TMAP1OUT)-(0))&gt;=0,1,-1)*QUOTIENT(((c_TMAP1IN)-(c_TFWD)),2))+2147483648,4294967296)-2147483648,((c_TMAP1IN)-(c_TFWD))*(((A38)-(c_TFWD))*((c_TMAP1OUT)-(0))+IF(((c_TMAP1OUT)-(0))&gt;=0,1,-1)*QUOTIENT(((c_TMAP1IN)-(c_TFWD)),2)))&lt;0,-1,0),IF(IF(o_WRAP=1,MOD(((c_TMAP1IN)-(c_TFWD))*(((A38)-(c_TFWD))*((c_TMAP1OUT)-(0))+IF(((c_TMAP1OUT)-(0))&gt;=0,1,-1)*QUOTIENT(((c_TMAP1IN)-(c_TFWD)),2))+2147483648,4294967296)-2147483648,((c_TMAP1IN)-(c_TFWD))*(((A38)-(c_TFWD))*((c_TMAP1OUT)-(0))+IF(((c_TMAP1OUT)-(0))&gt;=0,1,-1)*QUOTIENT(((c_TMAP1IN)-(c_TFWD)),2)))&gt;=0,1,0)))</f>
        <v>18</v>
      </c>
      <c r="E38" s="7" t="n">
        <f aca="false">IF(((c_TMAP2IN)-(c_TMAP1IN))=0,(c_TMAP1OUT)+QUOTIENT(((c_TMAP2OUT)-(c_TMAP1OUT)),2),QUOTIENT((((A38)-(c_TMAP1IN))*((c_TMAP2OUT)-(c_TMAP1OUT))+IF(((c_TMAP2OUT)-(c_TMAP1OUT))&gt;=0,1,-1)*QUOTIENT(((c_TMAP2IN)-(c_TMAP1IN)),2)),((c_TMAP2IN)-(c_TMAP1IN)))+(c_TMAP1OUT)+IF(((c_TMAP2OUT)-(c_TMAP1OUT))&gt;=0,IF(IF(o_WRAP=1,MOD(((c_TMAP2IN)-(c_TMAP1IN))*(((A38)-(c_TMAP1IN))*((c_TMAP2OUT)-(c_TMAP1OUT))+IF(((c_TMAP2OUT)-(c_TMAP1OUT))&gt;=0,1,-1)*QUOTIENT(((c_TMAP2IN)-(c_TMAP1IN)),2))+2147483648,4294967296)-2147483648,((c_TMAP2IN)-(c_TMAP1IN))*(((A38)-(c_TMAP1IN))*((c_TMAP2OUT)-(c_TMAP1OUT))+IF(((c_TMAP2OUT)-(c_TMAP1OUT))&gt;=0,1,-1)*QUOTIENT(((c_TMAP2IN)-(c_TMAP1IN)),2)))&lt;0,-1,0),IF(IF(o_WRAP=1,MOD(((c_TMAP2IN)-(c_TMAP1IN))*(((A38)-(c_TMAP1IN))*((c_TMAP2OUT)-(c_TMAP1OUT))+IF(((c_TMAP2OUT)-(c_TMAP1OUT))&gt;=0,1,-1)*QUOTIENT(((c_TMAP2IN)-(c_TMAP1IN)),2))+2147483648,4294967296)-2147483648,((c_TMAP2IN)-(c_TMAP1IN))*(((A38)-(c_TMAP1IN))*((c_TMAP2OUT)-(c_TMAP1OUT))+IF(((c_TMAP2OUT)-(c_TMAP1OUT))&gt;=0,1,-1)*QUOTIENT(((c_TMAP2IN)-(c_TMAP1IN)),2)))&gt;=0,1,0)))</f>
        <v>43</v>
      </c>
      <c r="F38" s="7" t="n">
        <f aca="false">IF(((c_TMAP3IN)-(c_TMAP2IN))=0,(c_TMAP2OUT)+QUOTIENT(((c_TMAP3OUT)-(c_TMAP2OUT)),2),QUOTIENT((((A38)-(c_TMAP2IN))*((c_TMAP3OUT)-(c_TMAP2OUT))+IF(((c_TMAP3OUT)-(c_TMAP2OUT))&gt;=0,1,-1)*QUOTIENT(((c_TMAP3IN)-(c_TMAP2IN)),2)),((c_TMAP3IN)-(c_TMAP2IN)))+(c_TMAP2OUT)+IF(((c_TMAP3OUT)-(c_TMAP2OUT))&gt;=0,IF(IF(o_WRAP=1,MOD(((c_TMAP3IN)-(c_TMAP2IN))*(((A38)-(c_TMAP2IN))*((c_TMAP3OUT)-(c_TMAP2OUT))+IF(((c_TMAP3OUT)-(c_TMAP2OUT))&gt;=0,1,-1)*QUOTIENT(((c_TMAP3IN)-(c_TMAP2IN)),2))+2147483648,4294967296)-2147483648,((c_TMAP3IN)-(c_TMAP2IN))*(((A38)-(c_TMAP2IN))*((c_TMAP3OUT)-(c_TMAP2OUT))+IF(((c_TMAP3OUT)-(c_TMAP2OUT))&gt;=0,1,-1)*QUOTIENT(((c_TMAP3IN)-(c_TMAP2IN)),2)))&lt;0,-1,0),IF(IF(o_WRAP=1,MOD(((c_TMAP3IN)-(c_TMAP2IN))*(((A38)-(c_TMAP2IN))*((c_TMAP3OUT)-(c_TMAP2OUT))+IF(((c_TMAP3OUT)-(c_TMAP2OUT))&gt;=0,1,-1)*QUOTIENT(((c_TMAP3IN)-(c_TMAP2IN)),2))+2147483648,4294967296)-2147483648,((c_TMAP3IN)-(c_TMAP2IN))*(((A38)-(c_TMAP2IN))*((c_TMAP3OUT)-(c_TMAP2OUT))+IF(((c_TMAP3OUT)-(c_TMAP2OUT))&gt;=0,1,-1)*QUOTIENT(((c_TMAP3IN)-(c_TMAP2IN)),2)))&gt;=0,1,0)))</f>
        <v>-22</v>
      </c>
      <c r="G38" s="7" t="n">
        <f aca="false">IF(((1000)-(c_TMAP3IN))=0,(c_TMAP3OUT)+QUOTIENT(((1000)-(c_TMAP3OUT)),2),QUOTIENT((((A38)-(c_TMAP3IN))*((1000)-(c_TMAP3OUT))+IF(((1000)-(c_TMAP3OUT))&gt;=0,1,-1)*QUOTIENT(((1000)-(c_TMAP3IN)),2)),((1000)-(c_TMAP3IN)))+(c_TMAP3OUT)+IF(((1000)-(c_TMAP3OUT))&gt;=0,IF(IF(o_WRAP=1,MOD(((1000)-(c_TMAP3IN))*(((A38)-(c_TMAP3IN))*((1000)-(c_TMAP3OUT))+IF(((1000)-(c_TMAP3OUT))&gt;=0,1,-1)*QUOTIENT(((1000)-(c_TMAP3IN)),2))+2147483648,4294967296)-2147483648,((1000)-(c_TMAP3IN))*(((A38)-(c_TMAP3IN))*((1000)-(c_TMAP3OUT))+IF(((1000)-(c_TMAP3OUT))&gt;=0,1,-1)*QUOTIENT(((1000)-(c_TMAP3IN)),2)))&lt;0,-1,0),IF(IF(o_WRAP=1,MOD(((1000)-(c_TMAP3IN))*(((A38)-(c_TMAP3IN))*((1000)-(c_TMAP3OUT))+IF(((1000)-(c_TMAP3OUT))&gt;=0,1,-1)*QUOTIENT(((1000)-(c_TMAP3IN)),2))+2147483648,4294967296)-2147483648,((1000)-(c_TMAP3IN))*(((A38)-(c_TMAP3IN))*((1000)-(c_TMAP3OUT))+IF(((1000)-(c_TMAP3OUT))&gt;=0,1,-1)*QUOTIENT(((1000)-(c_TMAP3IN)),2)))&gt;=0,1,0)))</f>
        <v>-190</v>
      </c>
      <c r="H38" s="7" t="str">
        <f aca="false">IF(A38&gt;=c_TFWD,IF(AND(A38&gt;=c_TMAP3IN,c_TMAP3IN&lt;1000),"Seg4 map3-100%",IF(AND(A38&gt;=c_TMAP2IN,c_TMAP3IN&gt;c_TMAP2IN),"Seg3 map2-map3",IF(AND(A38&gt;=c_TMAP1IN,c_TMAP2IN&gt;c_TMAP1IN),"Seg2 map1-map2","Seg1 TFWD-map1"))),IF(AND(A38=0,c_TCREEP&gt;0),"Creep",IF(AND(A38&lt;=c_TRNGMIN,A38&gt;=c_TRNGMAX,c_TRNGMIN-c_TRNGMAX&lt;&gt;0),"Regen ramp","Coast (0)")))</f>
        <v>Seg1 TFWD-map1</v>
      </c>
      <c r="I38" s="7" t="n">
        <f aca="false">IF(A38&gt;=c_TFWD,IF(AND(A38&gt;=c_TMAP3IN,c_TMAP3IN&lt;1000),G38,IF(AND(A38&gt;=c_TMAP2IN,c_TMAP3IN&gt;c_TMAP2IN),F38,IF(AND(A38&gt;=c_TMAP1IN,c_TMAP2IN&gt;c_TMAP1IN),E38,D38))),C38)</f>
        <v>18</v>
      </c>
      <c r="J38" s="7" t="str">
        <f aca="false">IF(I38&lt;-1090,"TOO LOW",IF(I38&gt;1090,"TOO HIGH",""))</f>
        <v/>
      </c>
      <c r="K38" s="15" t="n">
        <f aca="false">IF(J38&lt;&gt;"",0,IF(I38&gt;979,1000,I38))</f>
        <v>18</v>
      </c>
      <c r="L38" s="7" t="n">
        <f aca="false">K38/10</f>
        <v>1.8</v>
      </c>
    </row>
    <row r="39" customFormat="false" ht="15" hidden="false" customHeight="false" outlineLevel="0" collapsed="false">
      <c r="A39" s="7" t="n">
        <v>34</v>
      </c>
      <c r="B39" s="7" t="n">
        <f aca="false">A39/10</f>
        <v>3.4</v>
      </c>
      <c r="C39" s="7" t="n">
        <f aca="false">IF(AND(A39=0,c_TCREEP&gt;0),10*c_TCREEP,IF(AND(A39&lt;=c_TRNGMIN,A39&gt;=c_TRNGMAX,c_TRNGMIN-c_TRNGMAX&lt;&gt;0),-10*c_TMINRN+QUOTIENT((c_TMAXRN-c_TMINRN)*(100-QUOTIENT((A39-c_TRNGMAX)*100,c_TRNGMIN-c_TRNGMAX)),-10),0))</f>
        <v>0</v>
      </c>
      <c r="D39" s="7" t="n">
        <f aca="false">IF(((c_TMAP1IN)-(c_TFWD))=0,(0)+QUOTIENT(((c_TMAP1OUT)-(0)),2),QUOTIENT((((A39)-(c_TFWD))*((c_TMAP1OUT)-(0))+IF(((c_TMAP1OUT)-(0))&gt;=0,1,-1)*QUOTIENT(((c_TMAP1IN)-(c_TFWD)),2)),((c_TMAP1IN)-(c_TFWD)))+(0)+IF(((c_TMAP1OUT)-(0))&gt;=0,IF(IF(o_WRAP=1,MOD(((c_TMAP1IN)-(c_TFWD))*(((A39)-(c_TFWD))*((c_TMAP1OUT)-(0))+IF(((c_TMAP1OUT)-(0))&gt;=0,1,-1)*QUOTIENT(((c_TMAP1IN)-(c_TFWD)),2))+2147483648,4294967296)-2147483648,((c_TMAP1IN)-(c_TFWD))*(((A39)-(c_TFWD))*((c_TMAP1OUT)-(0))+IF(((c_TMAP1OUT)-(0))&gt;=0,1,-1)*QUOTIENT(((c_TMAP1IN)-(c_TFWD)),2)))&lt;0,-1,0),IF(IF(o_WRAP=1,MOD(((c_TMAP1IN)-(c_TFWD))*(((A39)-(c_TFWD))*((c_TMAP1OUT)-(0))+IF(((c_TMAP1OUT)-(0))&gt;=0,1,-1)*QUOTIENT(((c_TMAP1IN)-(c_TFWD)),2))+2147483648,4294967296)-2147483648,((c_TMAP1IN)-(c_TFWD))*(((A39)-(c_TFWD))*((c_TMAP1OUT)-(0))+IF(((c_TMAP1OUT)-(0))&gt;=0,1,-1)*QUOTIENT(((c_TMAP1IN)-(c_TFWD)),2)))&gt;=0,1,0)))</f>
        <v>19</v>
      </c>
      <c r="E39" s="7" t="n">
        <f aca="false">IF(((c_TMAP2IN)-(c_TMAP1IN))=0,(c_TMAP1OUT)+QUOTIENT(((c_TMAP2OUT)-(c_TMAP1OUT)),2),QUOTIENT((((A39)-(c_TMAP1IN))*((c_TMAP2OUT)-(c_TMAP1OUT))+IF(((c_TMAP2OUT)-(c_TMAP1OUT))&gt;=0,1,-1)*QUOTIENT(((c_TMAP2IN)-(c_TMAP1IN)),2)),((c_TMAP2IN)-(c_TMAP1IN)))+(c_TMAP1OUT)+IF(((c_TMAP2OUT)-(c_TMAP1OUT))&gt;=0,IF(IF(o_WRAP=1,MOD(((c_TMAP2IN)-(c_TMAP1IN))*(((A39)-(c_TMAP1IN))*((c_TMAP2OUT)-(c_TMAP1OUT))+IF(((c_TMAP2OUT)-(c_TMAP1OUT))&gt;=0,1,-1)*QUOTIENT(((c_TMAP2IN)-(c_TMAP1IN)),2))+2147483648,4294967296)-2147483648,((c_TMAP2IN)-(c_TMAP1IN))*(((A39)-(c_TMAP1IN))*((c_TMAP2OUT)-(c_TMAP1OUT))+IF(((c_TMAP2OUT)-(c_TMAP1OUT))&gt;=0,1,-1)*QUOTIENT(((c_TMAP2IN)-(c_TMAP1IN)),2)))&lt;0,-1,0),IF(IF(o_WRAP=1,MOD(((c_TMAP2IN)-(c_TMAP1IN))*(((A39)-(c_TMAP1IN))*((c_TMAP2OUT)-(c_TMAP1OUT))+IF(((c_TMAP2OUT)-(c_TMAP1OUT))&gt;=0,1,-1)*QUOTIENT(((c_TMAP2IN)-(c_TMAP1IN)),2))+2147483648,4294967296)-2147483648,((c_TMAP2IN)-(c_TMAP1IN))*(((A39)-(c_TMAP1IN))*((c_TMAP2OUT)-(c_TMAP1OUT))+IF(((c_TMAP2OUT)-(c_TMAP1OUT))&gt;=0,1,-1)*QUOTIENT(((c_TMAP2IN)-(c_TMAP1IN)),2)))&gt;=0,1,0)))</f>
        <v>44</v>
      </c>
      <c r="F39" s="7" t="n">
        <f aca="false">IF(((c_TMAP3IN)-(c_TMAP2IN))=0,(c_TMAP2OUT)+QUOTIENT(((c_TMAP3OUT)-(c_TMAP2OUT)),2),QUOTIENT((((A39)-(c_TMAP2IN))*((c_TMAP3OUT)-(c_TMAP2OUT))+IF(((c_TMAP3OUT)-(c_TMAP2OUT))&gt;=0,1,-1)*QUOTIENT(((c_TMAP3IN)-(c_TMAP2IN)),2)),((c_TMAP3IN)-(c_TMAP2IN)))+(c_TMAP2OUT)+IF(((c_TMAP3OUT)-(c_TMAP2OUT))&gt;=0,IF(IF(o_WRAP=1,MOD(((c_TMAP3IN)-(c_TMAP2IN))*(((A39)-(c_TMAP2IN))*((c_TMAP3OUT)-(c_TMAP2OUT))+IF(((c_TMAP3OUT)-(c_TMAP2OUT))&gt;=0,1,-1)*QUOTIENT(((c_TMAP3IN)-(c_TMAP2IN)),2))+2147483648,4294967296)-2147483648,((c_TMAP3IN)-(c_TMAP2IN))*(((A39)-(c_TMAP2IN))*((c_TMAP3OUT)-(c_TMAP2OUT))+IF(((c_TMAP3OUT)-(c_TMAP2OUT))&gt;=0,1,-1)*QUOTIENT(((c_TMAP3IN)-(c_TMAP2IN)),2)))&lt;0,-1,0),IF(IF(o_WRAP=1,MOD(((c_TMAP3IN)-(c_TMAP2IN))*(((A39)-(c_TMAP2IN))*((c_TMAP3OUT)-(c_TMAP2OUT))+IF(((c_TMAP3OUT)-(c_TMAP2OUT))&gt;=0,1,-1)*QUOTIENT(((c_TMAP3IN)-(c_TMAP2IN)),2))+2147483648,4294967296)-2147483648,((c_TMAP3IN)-(c_TMAP2IN))*(((A39)-(c_TMAP2IN))*((c_TMAP3OUT)-(c_TMAP2OUT))+IF(((c_TMAP3OUT)-(c_TMAP2OUT))&gt;=0,1,-1)*QUOTIENT(((c_TMAP3IN)-(c_TMAP2IN)),2)))&gt;=0,1,0)))</f>
        <v>-21</v>
      </c>
      <c r="G39" s="7" t="n">
        <f aca="false">IF(((1000)-(c_TMAP3IN))=0,(c_TMAP3OUT)+QUOTIENT(((1000)-(c_TMAP3OUT)),2),QUOTIENT((((A39)-(c_TMAP3IN))*((1000)-(c_TMAP3OUT))+IF(((1000)-(c_TMAP3OUT))&gt;=0,1,-1)*QUOTIENT(((1000)-(c_TMAP3IN)),2)),((1000)-(c_TMAP3IN)))+(c_TMAP3OUT)+IF(((1000)-(c_TMAP3OUT))&gt;=0,IF(IF(o_WRAP=1,MOD(((1000)-(c_TMAP3IN))*(((A39)-(c_TMAP3IN))*((1000)-(c_TMAP3OUT))+IF(((1000)-(c_TMAP3OUT))&gt;=0,1,-1)*QUOTIENT(((1000)-(c_TMAP3IN)),2))+2147483648,4294967296)-2147483648,((1000)-(c_TMAP3IN))*(((A39)-(c_TMAP3IN))*((1000)-(c_TMAP3OUT))+IF(((1000)-(c_TMAP3OUT))&gt;=0,1,-1)*QUOTIENT(((1000)-(c_TMAP3IN)),2)))&lt;0,-1,0),IF(IF(o_WRAP=1,MOD(((1000)-(c_TMAP3IN))*(((A39)-(c_TMAP3IN))*((1000)-(c_TMAP3OUT))+IF(((1000)-(c_TMAP3OUT))&gt;=0,1,-1)*QUOTIENT(((1000)-(c_TMAP3IN)),2))+2147483648,4294967296)-2147483648,((1000)-(c_TMAP3IN))*(((A39)-(c_TMAP3IN))*((1000)-(c_TMAP3OUT))+IF(((1000)-(c_TMAP3OUT))&gt;=0,1,-1)*QUOTIENT(((1000)-(c_TMAP3IN)),2)))&gt;=0,1,0)))</f>
        <v>-189</v>
      </c>
      <c r="H39" s="7" t="str">
        <f aca="false">IF(A39&gt;=c_TFWD,IF(AND(A39&gt;=c_TMAP3IN,c_TMAP3IN&lt;1000),"Seg4 map3-100%",IF(AND(A39&gt;=c_TMAP2IN,c_TMAP3IN&gt;c_TMAP2IN),"Seg3 map2-map3",IF(AND(A39&gt;=c_TMAP1IN,c_TMAP2IN&gt;c_TMAP1IN),"Seg2 map1-map2","Seg1 TFWD-map1"))),IF(AND(A39=0,c_TCREEP&gt;0),"Creep",IF(AND(A39&lt;=c_TRNGMIN,A39&gt;=c_TRNGMAX,c_TRNGMIN-c_TRNGMAX&lt;&gt;0),"Regen ramp","Coast (0)")))</f>
        <v>Seg1 TFWD-map1</v>
      </c>
      <c r="I39" s="7" t="n">
        <f aca="false">IF(A39&gt;=c_TFWD,IF(AND(A39&gt;=c_TMAP3IN,c_TMAP3IN&lt;1000),G39,IF(AND(A39&gt;=c_TMAP2IN,c_TMAP3IN&gt;c_TMAP2IN),F39,IF(AND(A39&gt;=c_TMAP1IN,c_TMAP2IN&gt;c_TMAP1IN),E39,D39))),C39)</f>
        <v>19</v>
      </c>
      <c r="J39" s="7" t="str">
        <f aca="false">IF(I39&lt;-1090,"TOO LOW",IF(I39&gt;1090,"TOO HIGH",""))</f>
        <v/>
      </c>
      <c r="K39" s="15" t="n">
        <f aca="false">IF(J39&lt;&gt;"",0,IF(I39&gt;979,1000,I39))</f>
        <v>19</v>
      </c>
      <c r="L39" s="7" t="n">
        <f aca="false">K39/10</f>
        <v>1.9</v>
      </c>
    </row>
    <row r="40" customFormat="false" ht="15" hidden="false" customHeight="false" outlineLevel="0" collapsed="false">
      <c r="A40" s="7" t="n">
        <v>35</v>
      </c>
      <c r="B40" s="7" t="n">
        <f aca="false">A40/10</f>
        <v>3.5</v>
      </c>
      <c r="C40" s="7" t="n">
        <f aca="false">IF(AND(A40=0,c_TCREEP&gt;0),10*c_TCREEP,IF(AND(A40&lt;=c_TRNGMIN,A40&gt;=c_TRNGMAX,c_TRNGMIN-c_TRNGMAX&lt;&gt;0),-10*c_TMINRN+QUOTIENT((c_TMAXRN-c_TMINRN)*(100-QUOTIENT((A40-c_TRNGMAX)*100,c_TRNGMIN-c_TRNGMAX)),-10),0))</f>
        <v>0</v>
      </c>
      <c r="D40" s="7" t="n">
        <f aca="false">IF(((c_TMAP1IN)-(c_TFWD))=0,(0)+QUOTIENT(((c_TMAP1OUT)-(0)),2),QUOTIENT((((A40)-(c_TFWD))*((c_TMAP1OUT)-(0))+IF(((c_TMAP1OUT)-(0))&gt;=0,1,-1)*QUOTIENT(((c_TMAP1IN)-(c_TFWD)),2)),((c_TMAP1IN)-(c_TFWD)))+(0)+IF(((c_TMAP1OUT)-(0))&gt;=0,IF(IF(o_WRAP=1,MOD(((c_TMAP1IN)-(c_TFWD))*(((A40)-(c_TFWD))*((c_TMAP1OUT)-(0))+IF(((c_TMAP1OUT)-(0))&gt;=0,1,-1)*QUOTIENT(((c_TMAP1IN)-(c_TFWD)),2))+2147483648,4294967296)-2147483648,((c_TMAP1IN)-(c_TFWD))*(((A40)-(c_TFWD))*((c_TMAP1OUT)-(0))+IF(((c_TMAP1OUT)-(0))&gt;=0,1,-1)*QUOTIENT(((c_TMAP1IN)-(c_TFWD)),2)))&lt;0,-1,0),IF(IF(o_WRAP=1,MOD(((c_TMAP1IN)-(c_TFWD))*(((A40)-(c_TFWD))*((c_TMAP1OUT)-(0))+IF(((c_TMAP1OUT)-(0))&gt;=0,1,-1)*QUOTIENT(((c_TMAP1IN)-(c_TFWD)),2))+2147483648,4294967296)-2147483648,((c_TMAP1IN)-(c_TFWD))*(((A40)-(c_TFWD))*((c_TMAP1OUT)-(0))+IF(((c_TMAP1OUT)-(0))&gt;=0,1,-1)*QUOTIENT(((c_TMAP1IN)-(c_TFWD)),2)))&gt;=0,1,0)))</f>
        <v>19</v>
      </c>
      <c r="E40" s="7" t="n">
        <f aca="false">IF(((c_TMAP2IN)-(c_TMAP1IN))=0,(c_TMAP1OUT)+QUOTIENT(((c_TMAP2OUT)-(c_TMAP1OUT)),2),QUOTIENT((((A40)-(c_TMAP1IN))*((c_TMAP2OUT)-(c_TMAP1OUT))+IF(((c_TMAP2OUT)-(c_TMAP1OUT))&gt;=0,1,-1)*QUOTIENT(((c_TMAP2IN)-(c_TMAP1IN)),2)),((c_TMAP2IN)-(c_TMAP1IN)))+(c_TMAP1OUT)+IF(((c_TMAP2OUT)-(c_TMAP1OUT))&gt;=0,IF(IF(o_WRAP=1,MOD(((c_TMAP2IN)-(c_TMAP1IN))*(((A40)-(c_TMAP1IN))*((c_TMAP2OUT)-(c_TMAP1OUT))+IF(((c_TMAP2OUT)-(c_TMAP1OUT))&gt;=0,1,-1)*QUOTIENT(((c_TMAP2IN)-(c_TMAP1IN)),2))+2147483648,4294967296)-2147483648,((c_TMAP2IN)-(c_TMAP1IN))*(((A40)-(c_TMAP1IN))*((c_TMAP2OUT)-(c_TMAP1OUT))+IF(((c_TMAP2OUT)-(c_TMAP1OUT))&gt;=0,1,-1)*QUOTIENT(((c_TMAP2IN)-(c_TMAP1IN)),2)))&lt;0,-1,0),IF(IF(o_WRAP=1,MOD(((c_TMAP2IN)-(c_TMAP1IN))*(((A40)-(c_TMAP1IN))*((c_TMAP2OUT)-(c_TMAP1OUT))+IF(((c_TMAP2OUT)-(c_TMAP1OUT))&gt;=0,1,-1)*QUOTIENT(((c_TMAP2IN)-(c_TMAP1IN)),2))+2147483648,4294967296)-2147483648,((c_TMAP2IN)-(c_TMAP1IN))*(((A40)-(c_TMAP1IN))*((c_TMAP2OUT)-(c_TMAP1OUT))+IF(((c_TMAP2OUT)-(c_TMAP1OUT))&gt;=0,1,-1)*QUOTIENT(((c_TMAP2IN)-(c_TMAP1IN)),2)))&gt;=0,1,0)))</f>
        <v>44</v>
      </c>
      <c r="F40" s="7" t="n">
        <f aca="false">IF(((c_TMAP3IN)-(c_TMAP2IN))=0,(c_TMAP2OUT)+QUOTIENT(((c_TMAP3OUT)-(c_TMAP2OUT)),2),QUOTIENT((((A40)-(c_TMAP2IN))*((c_TMAP3OUT)-(c_TMAP2OUT))+IF(((c_TMAP3OUT)-(c_TMAP2OUT))&gt;=0,1,-1)*QUOTIENT(((c_TMAP3IN)-(c_TMAP2IN)),2)),((c_TMAP3IN)-(c_TMAP2IN)))+(c_TMAP2OUT)+IF(((c_TMAP3OUT)-(c_TMAP2OUT))&gt;=0,IF(IF(o_WRAP=1,MOD(((c_TMAP3IN)-(c_TMAP2IN))*(((A40)-(c_TMAP2IN))*((c_TMAP3OUT)-(c_TMAP2OUT))+IF(((c_TMAP3OUT)-(c_TMAP2OUT))&gt;=0,1,-1)*QUOTIENT(((c_TMAP3IN)-(c_TMAP2IN)),2))+2147483648,4294967296)-2147483648,((c_TMAP3IN)-(c_TMAP2IN))*(((A40)-(c_TMAP2IN))*((c_TMAP3OUT)-(c_TMAP2OUT))+IF(((c_TMAP3OUT)-(c_TMAP2OUT))&gt;=0,1,-1)*QUOTIENT(((c_TMAP3IN)-(c_TMAP2IN)),2)))&lt;0,-1,0),IF(IF(o_WRAP=1,MOD(((c_TMAP3IN)-(c_TMAP2IN))*(((A40)-(c_TMAP2IN))*((c_TMAP3OUT)-(c_TMAP2OUT))+IF(((c_TMAP3OUT)-(c_TMAP2OUT))&gt;=0,1,-1)*QUOTIENT(((c_TMAP3IN)-(c_TMAP2IN)),2))+2147483648,4294967296)-2147483648,((c_TMAP3IN)-(c_TMAP2IN))*(((A40)-(c_TMAP2IN))*((c_TMAP3OUT)-(c_TMAP2OUT))+IF(((c_TMAP3OUT)-(c_TMAP2OUT))&gt;=0,1,-1)*QUOTIENT(((c_TMAP3IN)-(c_TMAP2IN)),2)))&gt;=0,1,0)))</f>
        <v>-21</v>
      </c>
      <c r="G40" s="7" t="n">
        <f aca="false">IF(((1000)-(c_TMAP3IN))=0,(c_TMAP3OUT)+QUOTIENT(((1000)-(c_TMAP3OUT)),2),QUOTIENT((((A40)-(c_TMAP3IN))*((1000)-(c_TMAP3OUT))+IF(((1000)-(c_TMAP3OUT))&gt;=0,1,-1)*QUOTIENT(((1000)-(c_TMAP3IN)),2)),((1000)-(c_TMAP3IN)))+(c_TMAP3OUT)+IF(((1000)-(c_TMAP3OUT))&gt;=0,IF(IF(o_WRAP=1,MOD(((1000)-(c_TMAP3IN))*(((A40)-(c_TMAP3IN))*((1000)-(c_TMAP3OUT))+IF(((1000)-(c_TMAP3OUT))&gt;=0,1,-1)*QUOTIENT(((1000)-(c_TMAP3IN)),2))+2147483648,4294967296)-2147483648,((1000)-(c_TMAP3IN))*(((A40)-(c_TMAP3IN))*((1000)-(c_TMAP3OUT))+IF(((1000)-(c_TMAP3OUT))&gt;=0,1,-1)*QUOTIENT(((1000)-(c_TMAP3IN)),2)))&lt;0,-1,0),IF(IF(o_WRAP=1,MOD(((1000)-(c_TMAP3IN))*(((A40)-(c_TMAP3IN))*((1000)-(c_TMAP3OUT))+IF(((1000)-(c_TMAP3OUT))&gt;=0,1,-1)*QUOTIENT(((1000)-(c_TMAP3IN)),2))+2147483648,4294967296)-2147483648,((1000)-(c_TMAP3IN))*(((A40)-(c_TMAP3IN))*((1000)-(c_TMAP3OUT))+IF(((1000)-(c_TMAP3OUT))&gt;=0,1,-1)*QUOTIENT(((1000)-(c_TMAP3IN)),2)))&gt;=0,1,0)))</f>
        <v>-188</v>
      </c>
      <c r="H40" s="7" t="str">
        <f aca="false">IF(A40&gt;=c_TFWD,IF(AND(A40&gt;=c_TMAP3IN,c_TMAP3IN&lt;1000),"Seg4 map3-100%",IF(AND(A40&gt;=c_TMAP2IN,c_TMAP3IN&gt;c_TMAP2IN),"Seg3 map2-map3",IF(AND(A40&gt;=c_TMAP1IN,c_TMAP2IN&gt;c_TMAP1IN),"Seg2 map1-map2","Seg1 TFWD-map1"))),IF(AND(A40=0,c_TCREEP&gt;0),"Creep",IF(AND(A40&lt;=c_TRNGMIN,A40&gt;=c_TRNGMAX,c_TRNGMIN-c_TRNGMAX&lt;&gt;0),"Regen ramp","Coast (0)")))</f>
        <v>Seg1 TFWD-map1</v>
      </c>
      <c r="I40" s="7" t="n">
        <f aca="false">IF(A40&gt;=c_TFWD,IF(AND(A40&gt;=c_TMAP3IN,c_TMAP3IN&lt;1000),G40,IF(AND(A40&gt;=c_TMAP2IN,c_TMAP3IN&gt;c_TMAP2IN),F40,IF(AND(A40&gt;=c_TMAP1IN,c_TMAP2IN&gt;c_TMAP1IN),E40,D40))),C40)</f>
        <v>19</v>
      </c>
      <c r="J40" s="7" t="str">
        <f aca="false">IF(I40&lt;-1090,"TOO LOW",IF(I40&gt;1090,"TOO HIGH",""))</f>
        <v/>
      </c>
      <c r="K40" s="15" t="n">
        <f aca="false">IF(J40&lt;&gt;"",0,IF(I40&gt;979,1000,I40))</f>
        <v>19</v>
      </c>
      <c r="L40" s="7" t="n">
        <f aca="false">K40/10</f>
        <v>1.9</v>
      </c>
    </row>
    <row r="41" customFormat="false" ht="15" hidden="false" customHeight="false" outlineLevel="0" collapsed="false">
      <c r="A41" s="7" t="n">
        <v>36</v>
      </c>
      <c r="B41" s="7" t="n">
        <f aca="false">A41/10</f>
        <v>3.6</v>
      </c>
      <c r="C41" s="7" t="n">
        <f aca="false">IF(AND(A41=0,c_TCREEP&gt;0),10*c_TCREEP,IF(AND(A41&lt;=c_TRNGMIN,A41&gt;=c_TRNGMAX,c_TRNGMIN-c_TRNGMAX&lt;&gt;0),-10*c_TMINRN+QUOTIENT((c_TMAXRN-c_TMINRN)*(100-QUOTIENT((A41-c_TRNGMAX)*100,c_TRNGMIN-c_TRNGMAX)),-10),0))</f>
        <v>0</v>
      </c>
      <c r="D41" s="7" t="n">
        <f aca="false">IF(((c_TMAP1IN)-(c_TFWD))=0,(0)+QUOTIENT(((c_TMAP1OUT)-(0)),2),QUOTIENT((((A41)-(c_TFWD))*((c_TMAP1OUT)-(0))+IF(((c_TMAP1OUT)-(0))&gt;=0,1,-1)*QUOTIENT(((c_TMAP1IN)-(c_TFWD)),2)),((c_TMAP1IN)-(c_TFWD)))+(0)+IF(((c_TMAP1OUT)-(0))&gt;=0,IF(IF(o_WRAP=1,MOD(((c_TMAP1IN)-(c_TFWD))*(((A41)-(c_TFWD))*((c_TMAP1OUT)-(0))+IF(((c_TMAP1OUT)-(0))&gt;=0,1,-1)*QUOTIENT(((c_TMAP1IN)-(c_TFWD)),2))+2147483648,4294967296)-2147483648,((c_TMAP1IN)-(c_TFWD))*(((A41)-(c_TFWD))*((c_TMAP1OUT)-(0))+IF(((c_TMAP1OUT)-(0))&gt;=0,1,-1)*QUOTIENT(((c_TMAP1IN)-(c_TFWD)),2)))&lt;0,-1,0),IF(IF(o_WRAP=1,MOD(((c_TMAP1IN)-(c_TFWD))*(((A41)-(c_TFWD))*((c_TMAP1OUT)-(0))+IF(((c_TMAP1OUT)-(0))&gt;=0,1,-1)*QUOTIENT(((c_TMAP1IN)-(c_TFWD)),2))+2147483648,4294967296)-2147483648,((c_TMAP1IN)-(c_TFWD))*(((A41)-(c_TFWD))*((c_TMAP1OUT)-(0))+IF(((c_TMAP1OUT)-(0))&gt;=0,1,-1)*QUOTIENT(((c_TMAP1IN)-(c_TFWD)),2)))&gt;=0,1,0)))</f>
        <v>20</v>
      </c>
      <c r="E41" s="7" t="n">
        <f aca="false">IF(((c_TMAP2IN)-(c_TMAP1IN))=0,(c_TMAP1OUT)+QUOTIENT(((c_TMAP2OUT)-(c_TMAP1OUT)),2),QUOTIENT((((A41)-(c_TMAP1IN))*((c_TMAP2OUT)-(c_TMAP1OUT))+IF(((c_TMAP2OUT)-(c_TMAP1OUT))&gt;=0,1,-1)*QUOTIENT(((c_TMAP2IN)-(c_TMAP1IN)),2)),((c_TMAP2IN)-(c_TMAP1IN)))+(c_TMAP1OUT)+IF(((c_TMAP2OUT)-(c_TMAP1OUT))&gt;=0,IF(IF(o_WRAP=1,MOD(((c_TMAP2IN)-(c_TMAP1IN))*(((A41)-(c_TMAP1IN))*((c_TMAP2OUT)-(c_TMAP1OUT))+IF(((c_TMAP2OUT)-(c_TMAP1OUT))&gt;=0,1,-1)*QUOTIENT(((c_TMAP2IN)-(c_TMAP1IN)),2))+2147483648,4294967296)-2147483648,((c_TMAP2IN)-(c_TMAP1IN))*(((A41)-(c_TMAP1IN))*((c_TMAP2OUT)-(c_TMAP1OUT))+IF(((c_TMAP2OUT)-(c_TMAP1OUT))&gt;=0,1,-1)*QUOTIENT(((c_TMAP2IN)-(c_TMAP1IN)),2)))&lt;0,-1,0),IF(IF(o_WRAP=1,MOD(((c_TMAP2IN)-(c_TMAP1IN))*(((A41)-(c_TMAP1IN))*((c_TMAP2OUT)-(c_TMAP1OUT))+IF(((c_TMAP2OUT)-(c_TMAP1OUT))&gt;=0,1,-1)*QUOTIENT(((c_TMAP2IN)-(c_TMAP1IN)),2))+2147483648,4294967296)-2147483648,((c_TMAP2IN)-(c_TMAP1IN))*(((A41)-(c_TMAP1IN))*((c_TMAP2OUT)-(c_TMAP1OUT))+IF(((c_TMAP2OUT)-(c_TMAP1OUT))&gt;=0,1,-1)*QUOTIENT(((c_TMAP2IN)-(c_TMAP1IN)),2)))&gt;=0,1,0)))</f>
        <v>44</v>
      </c>
      <c r="F41" s="7" t="n">
        <f aca="false">IF(((c_TMAP3IN)-(c_TMAP2IN))=0,(c_TMAP2OUT)+QUOTIENT(((c_TMAP3OUT)-(c_TMAP2OUT)),2),QUOTIENT((((A41)-(c_TMAP2IN))*((c_TMAP3OUT)-(c_TMAP2OUT))+IF(((c_TMAP3OUT)-(c_TMAP2OUT))&gt;=0,1,-1)*QUOTIENT(((c_TMAP3IN)-(c_TMAP2IN)),2)),((c_TMAP3IN)-(c_TMAP2IN)))+(c_TMAP2OUT)+IF(((c_TMAP3OUT)-(c_TMAP2OUT))&gt;=0,IF(IF(o_WRAP=1,MOD(((c_TMAP3IN)-(c_TMAP2IN))*(((A41)-(c_TMAP2IN))*((c_TMAP3OUT)-(c_TMAP2OUT))+IF(((c_TMAP3OUT)-(c_TMAP2OUT))&gt;=0,1,-1)*QUOTIENT(((c_TMAP3IN)-(c_TMAP2IN)),2))+2147483648,4294967296)-2147483648,((c_TMAP3IN)-(c_TMAP2IN))*(((A41)-(c_TMAP2IN))*((c_TMAP3OUT)-(c_TMAP2OUT))+IF(((c_TMAP3OUT)-(c_TMAP2OUT))&gt;=0,1,-1)*QUOTIENT(((c_TMAP3IN)-(c_TMAP2IN)),2)))&lt;0,-1,0),IF(IF(o_WRAP=1,MOD(((c_TMAP3IN)-(c_TMAP2IN))*(((A41)-(c_TMAP2IN))*((c_TMAP3OUT)-(c_TMAP2OUT))+IF(((c_TMAP3OUT)-(c_TMAP2OUT))&gt;=0,1,-1)*QUOTIENT(((c_TMAP3IN)-(c_TMAP2IN)),2))+2147483648,4294967296)-2147483648,((c_TMAP3IN)-(c_TMAP2IN))*(((A41)-(c_TMAP2IN))*((c_TMAP3OUT)-(c_TMAP2OUT))+IF(((c_TMAP3OUT)-(c_TMAP2OUT))&gt;=0,1,-1)*QUOTIENT(((c_TMAP3IN)-(c_TMAP2IN)),2)))&gt;=0,1,0)))</f>
        <v>-20</v>
      </c>
      <c r="G41" s="7" t="n">
        <f aca="false">IF(((1000)-(c_TMAP3IN))=0,(c_TMAP3OUT)+QUOTIENT(((1000)-(c_TMAP3OUT)),2),QUOTIENT((((A41)-(c_TMAP3IN))*((1000)-(c_TMAP3OUT))+IF(((1000)-(c_TMAP3OUT))&gt;=0,1,-1)*QUOTIENT(((1000)-(c_TMAP3IN)),2)),((1000)-(c_TMAP3IN)))+(c_TMAP3OUT)+IF(((1000)-(c_TMAP3OUT))&gt;=0,IF(IF(o_WRAP=1,MOD(((1000)-(c_TMAP3IN))*(((A41)-(c_TMAP3IN))*((1000)-(c_TMAP3OUT))+IF(((1000)-(c_TMAP3OUT))&gt;=0,1,-1)*QUOTIENT(((1000)-(c_TMAP3IN)),2))+2147483648,4294967296)-2147483648,((1000)-(c_TMAP3IN))*(((A41)-(c_TMAP3IN))*((1000)-(c_TMAP3OUT))+IF(((1000)-(c_TMAP3OUT))&gt;=0,1,-1)*QUOTIENT(((1000)-(c_TMAP3IN)),2)))&lt;0,-1,0),IF(IF(o_WRAP=1,MOD(((1000)-(c_TMAP3IN))*(((A41)-(c_TMAP3IN))*((1000)-(c_TMAP3OUT))+IF(((1000)-(c_TMAP3OUT))&gt;=0,1,-1)*QUOTIENT(((1000)-(c_TMAP3IN)),2))+2147483648,4294967296)-2147483648,((1000)-(c_TMAP3IN))*(((A41)-(c_TMAP3IN))*((1000)-(c_TMAP3OUT))+IF(((1000)-(c_TMAP3OUT))&gt;=0,1,-1)*QUOTIENT(((1000)-(c_TMAP3IN)),2)))&gt;=0,1,0)))</f>
        <v>-186</v>
      </c>
      <c r="H41" s="7" t="str">
        <f aca="false">IF(A41&gt;=c_TFWD,IF(AND(A41&gt;=c_TMAP3IN,c_TMAP3IN&lt;1000),"Seg4 map3-100%",IF(AND(A41&gt;=c_TMAP2IN,c_TMAP3IN&gt;c_TMAP2IN),"Seg3 map2-map3",IF(AND(A41&gt;=c_TMAP1IN,c_TMAP2IN&gt;c_TMAP1IN),"Seg2 map1-map2","Seg1 TFWD-map1"))),IF(AND(A41=0,c_TCREEP&gt;0),"Creep",IF(AND(A41&lt;=c_TRNGMIN,A41&gt;=c_TRNGMAX,c_TRNGMIN-c_TRNGMAX&lt;&gt;0),"Regen ramp","Coast (0)")))</f>
        <v>Seg1 TFWD-map1</v>
      </c>
      <c r="I41" s="7" t="n">
        <f aca="false">IF(A41&gt;=c_TFWD,IF(AND(A41&gt;=c_TMAP3IN,c_TMAP3IN&lt;1000),G41,IF(AND(A41&gt;=c_TMAP2IN,c_TMAP3IN&gt;c_TMAP2IN),F41,IF(AND(A41&gt;=c_TMAP1IN,c_TMAP2IN&gt;c_TMAP1IN),E41,D41))),C41)</f>
        <v>20</v>
      </c>
      <c r="J41" s="7" t="str">
        <f aca="false">IF(I41&lt;-1090,"TOO LOW",IF(I41&gt;1090,"TOO HIGH",""))</f>
        <v/>
      </c>
      <c r="K41" s="15" t="n">
        <f aca="false">IF(J41&lt;&gt;"",0,IF(I41&gt;979,1000,I41))</f>
        <v>20</v>
      </c>
      <c r="L41" s="7" t="n">
        <f aca="false">K41/10</f>
        <v>2</v>
      </c>
    </row>
    <row r="42" customFormat="false" ht="15" hidden="false" customHeight="false" outlineLevel="0" collapsed="false">
      <c r="A42" s="7" t="n">
        <v>37</v>
      </c>
      <c r="B42" s="7" t="n">
        <f aca="false">A42/10</f>
        <v>3.7</v>
      </c>
      <c r="C42" s="7" t="n">
        <f aca="false">IF(AND(A42=0,c_TCREEP&gt;0),10*c_TCREEP,IF(AND(A42&lt;=c_TRNGMIN,A42&gt;=c_TRNGMAX,c_TRNGMIN-c_TRNGMAX&lt;&gt;0),-10*c_TMINRN+QUOTIENT((c_TMAXRN-c_TMINRN)*(100-QUOTIENT((A42-c_TRNGMAX)*100,c_TRNGMIN-c_TRNGMAX)),-10),0))</f>
        <v>0</v>
      </c>
      <c r="D42" s="7" t="n">
        <f aca="false">IF(((c_TMAP1IN)-(c_TFWD))=0,(0)+QUOTIENT(((c_TMAP1OUT)-(0)),2),QUOTIENT((((A42)-(c_TFWD))*((c_TMAP1OUT)-(0))+IF(((c_TMAP1OUT)-(0))&gt;=0,1,-1)*QUOTIENT(((c_TMAP1IN)-(c_TFWD)),2)),((c_TMAP1IN)-(c_TFWD)))+(0)+IF(((c_TMAP1OUT)-(0))&gt;=0,IF(IF(o_WRAP=1,MOD(((c_TMAP1IN)-(c_TFWD))*(((A42)-(c_TFWD))*((c_TMAP1OUT)-(0))+IF(((c_TMAP1OUT)-(0))&gt;=0,1,-1)*QUOTIENT(((c_TMAP1IN)-(c_TFWD)),2))+2147483648,4294967296)-2147483648,((c_TMAP1IN)-(c_TFWD))*(((A42)-(c_TFWD))*((c_TMAP1OUT)-(0))+IF(((c_TMAP1OUT)-(0))&gt;=0,1,-1)*QUOTIENT(((c_TMAP1IN)-(c_TFWD)),2)))&lt;0,-1,0),IF(IF(o_WRAP=1,MOD(((c_TMAP1IN)-(c_TFWD))*(((A42)-(c_TFWD))*((c_TMAP1OUT)-(0))+IF(((c_TMAP1OUT)-(0))&gt;=0,1,-1)*QUOTIENT(((c_TMAP1IN)-(c_TFWD)),2))+2147483648,4294967296)-2147483648,((c_TMAP1IN)-(c_TFWD))*(((A42)-(c_TFWD))*((c_TMAP1OUT)-(0))+IF(((c_TMAP1OUT)-(0))&gt;=0,1,-1)*QUOTIENT(((c_TMAP1IN)-(c_TFWD)),2)))&gt;=0,1,0)))</f>
        <v>21</v>
      </c>
      <c r="E42" s="7" t="n">
        <f aca="false">IF(((c_TMAP2IN)-(c_TMAP1IN))=0,(c_TMAP1OUT)+QUOTIENT(((c_TMAP2OUT)-(c_TMAP1OUT)),2),QUOTIENT((((A42)-(c_TMAP1IN))*((c_TMAP2OUT)-(c_TMAP1OUT))+IF(((c_TMAP2OUT)-(c_TMAP1OUT))&gt;=0,1,-1)*QUOTIENT(((c_TMAP2IN)-(c_TMAP1IN)),2)),((c_TMAP2IN)-(c_TMAP1IN)))+(c_TMAP1OUT)+IF(((c_TMAP2OUT)-(c_TMAP1OUT))&gt;=0,IF(IF(o_WRAP=1,MOD(((c_TMAP2IN)-(c_TMAP1IN))*(((A42)-(c_TMAP1IN))*((c_TMAP2OUT)-(c_TMAP1OUT))+IF(((c_TMAP2OUT)-(c_TMAP1OUT))&gt;=0,1,-1)*QUOTIENT(((c_TMAP2IN)-(c_TMAP1IN)),2))+2147483648,4294967296)-2147483648,((c_TMAP2IN)-(c_TMAP1IN))*(((A42)-(c_TMAP1IN))*((c_TMAP2OUT)-(c_TMAP1OUT))+IF(((c_TMAP2OUT)-(c_TMAP1OUT))&gt;=0,1,-1)*QUOTIENT(((c_TMAP2IN)-(c_TMAP1IN)),2)))&lt;0,-1,0),IF(IF(o_WRAP=1,MOD(((c_TMAP2IN)-(c_TMAP1IN))*(((A42)-(c_TMAP1IN))*((c_TMAP2OUT)-(c_TMAP1OUT))+IF(((c_TMAP2OUT)-(c_TMAP1OUT))&gt;=0,1,-1)*QUOTIENT(((c_TMAP2IN)-(c_TMAP1IN)),2))+2147483648,4294967296)-2147483648,((c_TMAP2IN)-(c_TMAP1IN))*(((A42)-(c_TMAP1IN))*((c_TMAP2OUT)-(c_TMAP1OUT))+IF(((c_TMAP2OUT)-(c_TMAP1OUT))&gt;=0,1,-1)*QUOTIENT(((c_TMAP2IN)-(c_TMAP1IN)),2)))&gt;=0,1,0)))</f>
        <v>45</v>
      </c>
      <c r="F42" s="7" t="n">
        <f aca="false">IF(((c_TMAP3IN)-(c_TMAP2IN))=0,(c_TMAP2OUT)+QUOTIENT(((c_TMAP3OUT)-(c_TMAP2OUT)),2),QUOTIENT((((A42)-(c_TMAP2IN))*((c_TMAP3OUT)-(c_TMAP2OUT))+IF(((c_TMAP3OUT)-(c_TMAP2OUT))&gt;=0,1,-1)*QUOTIENT(((c_TMAP3IN)-(c_TMAP2IN)),2)),((c_TMAP3IN)-(c_TMAP2IN)))+(c_TMAP2OUT)+IF(((c_TMAP3OUT)-(c_TMAP2OUT))&gt;=0,IF(IF(o_WRAP=1,MOD(((c_TMAP3IN)-(c_TMAP2IN))*(((A42)-(c_TMAP2IN))*((c_TMAP3OUT)-(c_TMAP2OUT))+IF(((c_TMAP3OUT)-(c_TMAP2OUT))&gt;=0,1,-1)*QUOTIENT(((c_TMAP3IN)-(c_TMAP2IN)),2))+2147483648,4294967296)-2147483648,((c_TMAP3IN)-(c_TMAP2IN))*(((A42)-(c_TMAP2IN))*((c_TMAP3OUT)-(c_TMAP2OUT))+IF(((c_TMAP3OUT)-(c_TMAP2OUT))&gt;=0,1,-1)*QUOTIENT(((c_TMAP3IN)-(c_TMAP2IN)),2)))&lt;0,-1,0),IF(IF(o_WRAP=1,MOD(((c_TMAP3IN)-(c_TMAP2IN))*(((A42)-(c_TMAP2IN))*((c_TMAP3OUT)-(c_TMAP2OUT))+IF(((c_TMAP3OUT)-(c_TMAP2OUT))&gt;=0,1,-1)*QUOTIENT(((c_TMAP3IN)-(c_TMAP2IN)),2))+2147483648,4294967296)-2147483648,((c_TMAP3IN)-(c_TMAP2IN))*(((A42)-(c_TMAP2IN))*((c_TMAP3OUT)-(c_TMAP2OUT))+IF(((c_TMAP3OUT)-(c_TMAP2OUT))&gt;=0,1,-1)*QUOTIENT(((c_TMAP3IN)-(c_TMAP2IN)),2)))&gt;=0,1,0)))</f>
        <v>-19</v>
      </c>
      <c r="G42" s="7" t="n">
        <f aca="false">IF(((1000)-(c_TMAP3IN))=0,(c_TMAP3OUT)+QUOTIENT(((1000)-(c_TMAP3OUT)),2),QUOTIENT((((A42)-(c_TMAP3IN))*((1000)-(c_TMAP3OUT))+IF(((1000)-(c_TMAP3OUT))&gt;=0,1,-1)*QUOTIENT(((1000)-(c_TMAP3IN)),2)),((1000)-(c_TMAP3IN)))+(c_TMAP3OUT)+IF(((1000)-(c_TMAP3OUT))&gt;=0,IF(IF(o_WRAP=1,MOD(((1000)-(c_TMAP3IN))*(((A42)-(c_TMAP3IN))*((1000)-(c_TMAP3OUT))+IF(((1000)-(c_TMAP3OUT))&gt;=0,1,-1)*QUOTIENT(((1000)-(c_TMAP3IN)),2))+2147483648,4294967296)-2147483648,((1000)-(c_TMAP3IN))*(((A42)-(c_TMAP3IN))*((1000)-(c_TMAP3OUT))+IF(((1000)-(c_TMAP3OUT))&gt;=0,1,-1)*QUOTIENT(((1000)-(c_TMAP3IN)),2)))&lt;0,-1,0),IF(IF(o_WRAP=1,MOD(((1000)-(c_TMAP3IN))*(((A42)-(c_TMAP3IN))*((1000)-(c_TMAP3OUT))+IF(((1000)-(c_TMAP3OUT))&gt;=0,1,-1)*QUOTIENT(((1000)-(c_TMAP3IN)),2))+2147483648,4294967296)-2147483648,((1000)-(c_TMAP3IN))*(((A42)-(c_TMAP3IN))*((1000)-(c_TMAP3OUT))+IF(((1000)-(c_TMAP3OUT))&gt;=0,1,-1)*QUOTIENT(((1000)-(c_TMAP3IN)),2)))&gt;=0,1,0)))</f>
        <v>-185</v>
      </c>
      <c r="H42" s="7" t="str">
        <f aca="false">IF(A42&gt;=c_TFWD,IF(AND(A42&gt;=c_TMAP3IN,c_TMAP3IN&lt;1000),"Seg4 map3-100%",IF(AND(A42&gt;=c_TMAP2IN,c_TMAP3IN&gt;c_TMAP2IN),"Seg3 map2-map3",IF(AND(A42&gt;=c_TMAP1IN,c_TMAP2IN&gt;c_TMAP1IN),"Seg2 map1-map2","Seg1 TFWD-map1"))),IF(AND(A42=0,c_TCREEP&gt;0),"Creep",IF(AND(A42&lt;=c_TRNGMIN,A42&gt;=c_TRNGMAX,c_TRNGMIN-c_TRNGMAX&lt;&gt;0),"Regen ramp","Coast (0)")))</f>
        <v>Seg1 TFWD-map1</v>
      </c>
      <c r="I42" s="7" t="n">
        <f aca="false">IF(A42&gt;=c_TFWD,IF(AND(A42&gt;=c_TMAP3IN,c_TMAP3IN&lt;1000),G42,IF(AND(A42&gt;=c_TMAP2IN,c_TMAP3IN&gt;c_TMAP2IN),F42,IF(AND(A42&gt;=c_TMAP1IN,c_TMAP2IN&gt;c_TMAP1IN),E42,D42))),C42)</f>
        <v>21</v>
      </c>
      <c r="J42" s="7" t="str">
        <f aca="false">IF(I42&lt;-1090,"TOO LOW",IF(I42&gt;1090,"TOO HIGH",""))</f>
        <v/>
      </c>
      <c r="K42" s="15" t="n">
        <f aca="false">IF(J42&lt;&gt;"",0,IF(I42&gt;979,1000,I42))</f>
        <v>21</v>
      </c>
      <c r="L42" s="7" t="n">
        <f aca="false">K42/10</f>
        <v>2.1</v>
      </c>
    </row>
    <row r="43" customFormat="false" ht="15" hidden="false" customHeight="false" outlineLevel="0" collapsed="false">
      <c r="A43" s="7" t="n">
        <v>38</v>
      </c>
      <c r="B43" s="7" t="n">
        <f aca="false">A43/10</f>
        <v>3.8</v>
      </c>
      <c r="C43" s="7" t="n">
        <f aca="false">IF(AND(A43=0,c_TCREEP&gt;0),10*c_TCREEP,IF(AND(A43&lt;=c_TRNGMIN,A43&gt;=c_TRNGMAX,c_TRNGMIN-c_TRNGMAX&lt;&gt;0),-10*c_TMINRN+QUOTIENT((c_TMAXRN-c_TMINRN)*(100-QUOTIENT((A43-c_TRNGMAX)*100,c_TRNGMIN-c_TRNGMAX)),-10),0))</f>
        <v>0</v>
      </c>
      <c r="D43" s="7" t="n">
        <f aca="false">IF(((c_TMAP1IN)-(c_TFWD))=0,(0)+QUOTIENT(((c_TMAP1OUT)-(0)),2),QUOTIENT((((A43)-(c_TFWD))*((c_TMAP1OUT)-(0))+IF(((c_TMAP1OUT)-(0))&gt;=0,1,-1)*QUOTIENT(((c_TMAP1IN)-(c_TFWD)),2)),((c_TMAP1IN)-(c_TFWD)))+(0)+IF(((c_TMAP1OUT)-(0))&gt;=0,IF(IF(o_WRAP=1,MOD(((c_TMAP1IN)-(c_TFWD))*(((A43)-(c_TFWD))*((c_TMAP1OUT)-(0))+IF(((c_TMAP1OUT)-(0))&gt;=0,1,-1)*QUOTIENT(((c_TMAP1IN)-(c_TFWD)),2))+2147483648,4294967296)-2147483648,((c_TMAP1IN)-(c_TFWD))*(((A43)-(c_TFWD))*((c_TMAP1OUT)-(0))+IF(((c_TMAP1OUT)-(0))&gt;=0,1,-1)*QUOTIENT(((c_TMAP1IN)-(c_TFWD)),2)))&lt;0,-1,0),IF(IF(o_WRAP=1,MOD(((c_TMAP1IN)-(c_TFWD))*(((A43)-(c_TFWD))*((c_TMAP1OUT)-(0))+IF(((c_TMAP1OUT)-(0))&gt;=0,1,-1)*QUOTIENT(((c_TMAP1IN)-(c_TFWD)),2))+2147483648,4294967296)-2147483648,((c_TMAP1IN)-(c_TFWD))*(((A43)-(c_TFWD))*((c_TMAP1OUT)-(0))+IF(((c_TMAP1OUT)-(0))&gt;=0,1,-1)*QUOTIENT(((c_TMAP1IN)-(c_TFWD)),2)))&gt;=0,1,0)))</f>
        <v>22</v>
      </c>
      <c r="E43" s="7" t="n">
        <f aca="false">IF(((c_TMAP2IN)-(c_TMAP1IN))=0,(c_TMAP1OUT)+QUOTIENT(((c_TMAP2OUT)-(c_TMAP1OUT)),2),QUOTIENT((((A43)-(c_TMAP1IN))*((c_TMAP2OUT)-(c_TMAP1OUT))+IF(((c_TMAP2OUT)-(c_TMAP1OUT))&gt;=0,1,-1)*QUOTIENT(((c_TMAP2IN)-(c_TMAP1IN)),2)),((c_TMAP2IN)-(c_TMAP1IN)))+(c_TMAP1OUT)+IF(((c_TMAP2OUT)-(c_TMAP1OUT))&gt;=0,IF(IF(o_WRAP=1,MOD(((c_TMAP2IN)-(c_TMAP1IN))*(((A43)-(c_TMAP1IN))*((c_TMAP2OUT)-(c_TMAP1OUT))+IF(((c_TMAP2OUT)-(c_TMAP1OUT))&gt;=0,1,-1)*QUOTIENT(((c_TMAP2IN)-(c_TMAP1IN)),2))+2147483648,4294967296)-2147483648,((c_TMAP2IN)-(c_TMAP1IN))*(((A43)-(c_TMAP1IN))*((c_TMAP2OUT)-(c_TMAP1OUT))+IF(((c_TMAP2OUT)-(c_TMAP1OUT))&gt;=0,1,-1)*QUOTIENT(((c_TMAP2IN)-(c_TMAP1IN)),2)))&lt;0,-1,0),IF(IF(o_WRAP=1,MOD(((c_TMAP2IN)-(c_TMAP1IN))*(((A43)-(c_TMAP1IN))*((c_TMAP2OUT)-(c_TMAP1OUT))+IF(((c_TMAP2OUT)-(c_TMAP1OUT))&gt;=0,1,-1)*QUOTIENT(((c_TMAP2IN)-(c_TMAP1IN)),2))+2147483648,4294967296)-2147483648,((c_TMAP2IN)-(c_TMAP1IN))*(((A43)-(c_TMAP1IN))*((c_TMAP2OUT)-(c_TMAP1OUT))+IF(((c_TMAP2OUT)-(c_TMAP1OUT))&gt;=0,1,-1)*QUOTIENT(((c_TMAP2IN)-(c_TMAP1IN)),2)))&gt;=0,1,0)))</f>
        <v>45</v>
      </c>
      <c r="F43" s="7" t="n">
        <f aca="false">IF(((c_TMAP3IN)-(c_TMAP2IN))=0,(c_TMAP2OUT)+QUOTIENT(((c_TMAP3OUT)-(c_TMAP2OUT)),2),QUOTIENT((((A43)-(c_TMAP2IN))*((c_TMAP3OUT)-(c_TMAP2OUT))+IF(((c_TMAP3OUT)-(c_TMAP2OUT))&gt;=0,1,-1)*QUOTIENT(((c_TMAP3IN)-(c_TMAP2IN)),2)),((c_TMAP3IN)-(c_TMAP2IN)))+(c_TMAP2OUT)+IF(((c_TMAP3OUT)-(c_TMAP2OUT))&gt;=0,IF(IF(o_WRAP=1,MOD(((c_TMAP3IN)-(c_TMAP2IN))*(((A43)-(c_TMAP2IN))*((c_TMAP3OUT)-(c_TMAP2OUT))+IF(((c_TMAP3OUT)-(c_TMAP2OUT))&gt;=0,1,-1)*QUOTIENT(((c_TMAP3IN)-(c_TMAP2IN)),2))+2147483648,4294967296)-2147483648,((c_TMAP3IN)-(c_TMAP2IN))*(((A43)-(c_TMAP2IN))*((c_TMAP3OUT)-(c_TMAP2OUT))+IF(((c_TMAP3OUT)-(c_TMAP2OUT))&gt;=0,1,-1)*QUOTIENT(((c_TMAP3IN)-(c_TMAP2IN)),2)))&lt;0,-1,0),IF(IF(o_WRAP=1,MOD(((c_TMAP3IN)-(c_TMAP2IN))*(((A43)-(c_TMAP2IN))*((c_TMAP3OUT)-(c_TMAP2OUT))+IF(((c_TMAP3OUT)-(c_TMAP2OUT))&gt;=0,1,-1)*QUOTIENT(((c_TMAP3IN)-(c_TMAP2IN)),2))+2147483648,4294967296)-2147483648,((c_TMAP3IN)-(c_TMAP2IN))*(((A43)-(c_TMAP2IN))*((c_TMAP3OUT)-(c_TMAP2OUT))+IF(((c_TMAP3OUT)-(c_TMAP2OUT))&gt;=0,1,-1)*QUOTIENT(((c_TMAP3IN)-(c_TMAP2IN)),2)))&gt;=0,1,0)))</f>
        <v>-18</v>
      </c>
      <c r="G43" s="7" t="n">
        <f aca="false">IF(((1000)-(c_TMAP3IN))=0,(c_TMAP3OUT)+QUOTIENT(((1000)-(c_TMAP3OUT)),2),QUOTIENT((((A43)-(c_TMAP3IN))*((1000)-(c_TMAP3OUT))+IF(((1000)-(c_TMAP3OUT))&gt;=0,1,-1)*QUOTIENT(((1000)-(c_TMAP3IN)),2)),((1000)-(c_TMAP3IN)))+(c_TMAP3OUT)+IF(((1000)-(c_TMAP3OUT))&gt;=0,IF(IF(o_WRAP=1,MOD(((1000)-(c_TMAP3IN))*(((A43)-(c_TMAP3IN))*((1000)-(c_TMAP3OUT))+IF(((1000)-(c_TMAP3OUT))&gt;=0,1,-1)*QUOTIENT(((1000)-(c_TMAP3IN)),2))+2147483648,4294967296)-2147483648,((1000)-(c_TMAP3IN))*(((A43)-(c_TMAP3IN))*((1000)-(c_TMAP3OUT))+IF(((1000)-(c_TMAP3OUT))&gt;=0,1,-1)*QUOTIENT(((1000)-(c_TMAP3IN)),2)))&lt;0,-1,0),IF(IF(o_WRAP=1,MOD(((1000)-(c_TMAP3IN))*(((A43)-(c_TMAP3IN))*((1000)-(c_TMAP3OUT))+IF(((1000)-(c_TMAP3OUT))&gt;=0,1,-1)*QUOTIENT(((1000)-(c_TMAP3IN)),2))+2147483648,4294967296)-2147483648,((1000)-(c_TMAP3IN))*(((A43)-(c_TMAP3IN))*((1000)-(c_TMAP3OUT))+IF(((1000)-(c_TMAP3OUT))&gt;=0,1,-1)*QUOTIENT(((1000)-(c_TMAP3IN)),2)))&gt;=0,1,0)))</f>
        <v>-184</v>
      </c>
      <c r="H43" s="7" t="str">
        <f aca="false">IF(A43&gt;=c_TFWD,IF(AND(A43&gt;=c_TMAP3IN,c_TMAP3IN&lt;1000),"Seg4 map3-100%",IF(AND(A43&gt;=c_TMAP2IN,c_TMAP3IN&gt;c_TMAP2IN),"Seg3 map2-map3",IF(AND(A43&gt;=c_TMAP1IN,c_TMAP2IN&gt;c_TMAP1IN),"Seg2 map1-map2","Seg1 TFWD-map1"))),IF(AND(A43=0,c_TCREEP&gt;0),"Creep",IF(AND(A43&lt;=c_TRNGMIN,A43&gt;=c_TRNGMAX,c_TRNGMIN-c_TRNGMAX&lt;&gt;0),"Regen ramp","Coast (0)")))</f>
        <v>Seg1 TFWD-map1</v>
      </c>
      <c r="I43" s="7" t="n">
        <f aca="false">IF(A43&gt;=c_TFWD,IF(AND(A43&gt;=c_TMAP3IN,c_TMAP3IN&lt;1000),G43,IF(AND(A43&gt;=c_TMAP2IN,c_TMAP3IN&gt;c_TMAP2IN),F43,IF(AND(A43&gt;=c_TMAP1IN,c_TMAP2IN&gt;c_TMAP1IN),E43,D43))),C43)</f>
        <v>22</v>
      </c>
      <c r="J43" s="7" t="str">
        <f aca="false">IF(I43&lt;-1090,"TOO LOW",IF(I43&gt;1090,"TOO HIGH",""))</f>
        <v/>
      </c>
      <c r="K43" s="15" t="n">
        <f aca="false">IF(J43&lt;&gt;"",0,IF(I43&gt;979,1000,I43))</f>
        <v>22</v>
      </c>
      <c r="L43" s="7" t="n">
        <f aca="false">K43/10</f>
        <v>2.2</v>
      </c>
    </row>
    <row r="44" customFormat="false" ht="15" hidden="false" customHeight="false" outlineLevel="0" collapsed="false">
      <c r="A44" s="7" t="n">
        <v>39</v>
      </c>
      <c r="B44" s="7" t="n">
        <f aca="false">A44/10</f>
        <v>3.9</v>
      </c>
      <c r="C44" s="7" t="n">
        <f aca="false">IF(AND(A44=0,c_TCREEP&gt;0),10*c_TCREEP,IF(AND(A44&lt;=c_TRNGMIN,A44&gt;=c_TRNGMAX,c_TRNGMIN-c_TRNGMAX&lt;&gt;0),-10*c_TMINRN+QUOTIENT((c_TMAXRN-c_TMINRN)*(100-QUOTIENT((A44-c_TRNGMAX)*100,c_TRNGMIN-c_TRNGMAX)),-10),0))</f>
        <v>0</v>
      </c>
      <c r="D44" s="7" t="n">
        <f aca="false">IF(((c_TMAP1IN)-(c_TFWD))=0,(0)+QUOTIENT(((c_TMAP1OUT)-(0)),2),QUOTIENT((((A44)-(c_TFWD))*((c_TMAP1OUT)-(0))+IF(((c_TMAP1OUT)-(0))&gt;=0,1,-1)*QUOTIENT(((c_TMAP1IN)-(c_TFWD)),2)),((c_TMAP1IN)-(c_TFWD)))+(0)+IF(((c_TMAP1OUT)-(0))&gt;=0,IF(IF(o_WRAP=1,MOD(((c_TMAP1IN)-(c_TFWD))*(((A44)-(c_TFWD))*((c_TMAP1OUT)-(0))+IF(((c_TMAP1OUT)-(0))&gt;=0,1,-1)*QUOTIENT(((c_TMAP1IN)-(c_TFWD)),2))+2147483648,4294967296)-2147483648,((c_TMAP1IN)-(c_TFWD))*(((A44)-(c_TFWD))*((c_TMAP1OUT)-(0))+IF(((c_TMAP1OUT)-(0))&gt;=0,1,-1)*QUOTIENT(((c_TMAP1IN)-(c_TFWD)),2)))&lt;0,-1,0),IF(IF(o_WRAP=1,MOD(((c_TMAP1IN)-(c_TFWD))*(((A44)-(c_TFWD))*((c_TMAP1OUT)-(0))+IF(((c_TMAP1OUT)-(0))&gt;=0,1,-1)*QUOTIENT(((c_TMAP1IN)-(c_TFWD)),2))+2147483648,4294967296)-2147483648,((c_TMAP1IN)-(c_TFWD))*(((A44)-(c_TFWD))*((c_TMAP1OUT)-(0))+IF(((c_TMAP1OUT)-(0))&gt;=0,1,-1)*QUOTIENT(((c_TMAP1IN)-(c_TFWD)),2)))&gt;=0,1,0)))</f>
        <v>23</v>
      </c>
      <c r="E44" s="7" t="n">
        <f aca="false">IF(((c_TMAP2IN)-(c_TMAP1IN))=0,(c_TMAP1OUT)+QUOTIENT(((c_TMAP2OUT)-(c_TMAP1OUT)),2),QUOTIENT((((A44)-(c_TMAP1IN))*((c_TMAP2OUT)-(c_TMAP1OUT))+IF(((c_TMAP2OUT)-(c_TMAP1OUT))&gt;=0,1,-1)*QUOTIENT(((c_TMAP2IN)-(c_TMAP1IN)),2)),((c_TMAP2IN)-(c_TMAP1IN)))+(c_TMAP1OUT)+IF(((c_TMAP2OUT)-(c_TMAP1OUT))&gt;=0,IF(IF(o_WRAP=1,MOD(((c_TMAP2IN)-(c_TMAP1IN))*(((A44)-(c_TMAP1IN))*((c_TMAP2OUT)-(c_TMAP1OUT))+IF(((c_TMAP2OUT)-(c_TMAP1OUT))&gt;=0,1,-1)*QUOTIENT(((c_TMAP2IN)-(c_TMAP1IN)),2))+2147483648,4294967296)-2147483648,((c_TMAP2IN)-(c_TMAP1IN))*(((A44)-(c_TMAP1IN))*((c_TMAP2OUT)-(c_TMAP1OUT))+IF(((c_TMAP2OUT)-(c_TMAP1OUT))&gt;=0,1,-1)*QUOTIENT(((c_TMAP2IN)-(c_TMAP1IN)),2)))&lt;0,-1,0),IF(IF(o_WRAP=1,MOD(((c_TMAP2IN)-(c_TMAP1IN))*(((A44)-(c_TMAP1IN))*((c_TMAP2OUT)-(c_TMAP1OUT))+IF(((c_TMAP2OUT)-(c_TMAP1OUT))&gt;=0,1,-1)*QUOTIENT(((c_TMAP2IN)-(c_TMAP1IN)),2))+2147483648,4294967296)-2147483648,((c_TMAP2IN)-(c_TMAP1IN))*(((A44)-(c_TMAP1IN))*((c_TMAP2OUT)-(c_TMAP1OUT))+IF(((c_TMAP2OUT)-(c_TMAP1OUT))&gt;=0,1,-1)*QUOTIENT(((c_TMAP2IN)-(c_TMAP1IN)),2)))&gt;=0,1,0)))</f>
        <v>46</v>
      </c>
      <c r="F44" s="7" t="n">
        <f aca="false">IF(((c_TMAP3IN)-(c_TMAP2IN))=0,(c_TMAP2OUT)+QUOTIENT(((c_TMAP3OUT)-(c_TMAP2OUT)),2),QUOTIENT((((A44)-(c_TMAP2IN))*((c_TMAP3OUT)-(c_TMAP2OUT))+IF(((c_TMAP3OUT)-(c_TMAP2OUT))&gt;=0,1,-1)*QUOTIENT(((c_TMAP3IN)-(c_TMAP2IN)),2)),((c_TMAP3IN)-(c_TMAP2IN)))+(c_TMAP2OUT)+IF(((c_TMAP3OUT)-(c_TMAP2OUT))&gt;=0,IF(IF(o_WRAP=1,MOD(((c_TMAP3IN)-(c_TMAP2IN))*(((A44)-(c_TMAP2IN))*((c_TMAP3OUT)-(c_TMAP2OUT))+IF(((c_TMAP3OUT)-(c_TMAP2OUT))&gt;=0,1,-1)*QUOTIENT(((c_TMAP3IN)-(c_TMAP2IN)),2))+2147483648,4294967296)-2147483648,((c_TMAP3IN)-(c_TMAP2IN))*(((A44)-(c_TMAP2IN))*((c_TMAP3OUT)-(c_TMAP2OUT))+IF(((c_TMAP3OUT)-(c_TMAP2OUT))&gt;=0,1,-1)*QUOTIENT(((c_TMAP3IN)-(c_TMAP2IN)),2)))&lt;0,-1,0),IF(IF(o_WRAP=1,MOD(((c_TMAP3IN)-(c_TMAP2IN))*(((A44)-(c_TMAP2IN))*((c_TMAP3OUT)-(c_TMAP2OUT))+IF(((c_TMAP3OUT)-(c_TMAP2OUT))&gt;=0,1,-1)*QUOTIENT(((c_TMAP3IN)-(c_TMAP2IN)),2))+2147483648,4294967296)-2147483648,((c_TMAP3IN)-(c_TMAP2IN))*(((A44)-(c_TMAP2IN))*((c_TMAP3OUT)-(c_TMAP2OUT))+IF(((c_TMAP3OUT)-(c_TMAP2OUT))&gt;=0,1,-1)*QUOTIENT(((c_TMAP3IN)-(c_TMAP2IN)),2)))&gt;=0,1,0)))</f>
        <v>-18</v>
      </c>
      <c r="G44" s="7" t="n">
        <f aca="false">IF(((1000)-(c_TMAP3IN))=0,(c_TMAP3OUT)+QUOTIENT(((1000)-(c_TMAP3OUT)),2),QUOTIENT((((A44)-(c_TMAP3IN))*((1000)-(c_TMAP3OUT))+IF(((1000)-(c_TMAP3OUT))&gt;=0,1,-1)*QUOTIENT(((1000)-(c_TMAP3IN)),2)),((1000)-(c_TMAP3IN)))+(c_TMAP3OUT)+IF(((1000)-(c_TMAP3OUT))&gt;=0,IF(IF(o_WRAP=1,MOD(((1000)-(c_TMAP3IN))*(((A44)-(c_TMAP3IN))*((1000)-(c_TMAP3OUT))+IF(((1000)-(c_TMAP3OUT))&gt;=0,1,-1)*QUOTIENT(((1000)-(c_TMAP3IN)),2))+2147483648,4294967296)-2147483648,((1000)-(c_TMAP3IN))*(((A44)-(c_TMAP3IN))*((1000)-(c_TMAP3OUT))+IF(((1000)-(c_TMAP3OUT))&gt;=0,1,-1)*QUOTIENT(((1000)-(c_TMAP3IN)),2)))&lt;0,-1,0),IF(IF(o_WRAP=1,MOD(((1000)-(c_TMAP3IN))*(((A44)-(c_TMAP3IN))*((1000)-(c_TMAP3OUT))+IF(((1000)-(c_TMAP3OUT))&gt;=0,1,-1)*QUOTIENT(((1000)-(c_TMAP3IN)),2))+2147483648,4294967296)-2147483648,((1000)-(c_TMAP3IN))*(((A44)-(c_TMAP3IN))*((1000)-(c_TMAP3OUT))+IF(((1000)-(c_TMAP3OUT))&gt;=0,1,-1)*QUOTIENT(((1000)-(c_TMAP3IN)),2)))&gt;=0,1,0)))</f>
        <v>-183</v>
      </c>
      <c r="H44" s="7" t="str">
        <f aca="false">IF(A44&gt;=c_TFWD,IF(AND(A44&gt;=c_TMAP3IN,c_TMAP3IN&lt;1000),"Seg4 map3-100%",IF(AND(A44&gt;=c_TMAP2IN,c_TMAP3IN&gt;c_TMAP2IN),"Seg3 map2-map3",IF(AND(A44&gt;=c_TMAP1IN,c_TMAP2IN&gt;c_TMAP1IN),"Seg2 map1-map2","Seg1 TFWD-map1"))),IF(AND(A44=0,c_TCREEP&gt;0),"Creep",IF(AND(A44&lt;=c_TRNGMIN,A44&gt;=c_TRNGMAX,c_TRNGMIN-c_TRNGMAX&lt;&gt;0),"Regen ramp","Coast (0)")))</f>
        <v>Seg1 TFWD-map1</v>
      </c>
      <c r="I44" s="7" t="n">
        <f aca="false">IF(A44&gt;=c_TFWD,IF(AND(A44&gt;=c_TMAP3IN,c_TMAP3IN&lt;1000),G44,IF(AND(A44&gt;=c_TMAP2IN,c_TMAP3IN&gt;c_TMAP2IN),F44,IF(AND(A44&gt;=c_TMAP1IN,c_TMAP2IN&gt;c_TMAP1IN),E44,D44))),C44)</f>
        <v>23</v>
      </c>
      <c r="J44" s="7" t="str">
        <f aca="false">IF(I44&lt;-1090,"TOO LOW",IF(I44&gt;1090,"TOO HIGH",""))</f>
        <v/>
      </c>
      <c r="K44" s="15" t="n">
        <f aca="false">IF(J44&lt;&gt;"",0,IF(I44&gt;979,1000,I44))</f>
        <v>23</v>
      </c>
      <c r="L44" s="7" t="n">
        <f aca="false">K44/10</f>
        <v>2.3</v>
      </c>
    </row>
    <row r="45" customFormat="false" ht="15" hidden="false" customHeight="false" outlineLevel="0" collapsed="false">
      <c r="A45" s="7" t="n">
        <v>40</v>
      </c>
      <c r="B45" s="7" t="n">
        <f aca="false">A45/10</f>
        <v>4</v>
      </c>
      <c r="C45" s="7" t="n">
        <f aca="false">IF(AND(A45=0,c_TCREEP&gt;0),10*c_TCREEP,IF(AND(A45&lt;=c_TRNGMIN,A45&gt;=c_TRNGMAX,c_TRNGMIN-c_TRNGMAX&lt;&gt;0),-10*c_TMINRN+QUOTIENT((c_TMAXRN-c_TMINRN)*(100-QUOTIENT((A45-c_TRNGMAX)*100,c_TRNGMIN-c_TRNGMAX)),-10),0))</f>
        <v>0</v>
      </c>
      <c r="D45" s="7" t="n">
        <f aca="false">IF(((c_TMAP1IN)-(c_TFWD))=0,(0)+QUOTIENT(((c_TMAP1OUT)-(0)),2),QUOTIENT((((A45)-(c_TFWD))*((c_TMAP1OUT)-(0))+IF(((c_TMAP1OUT)-(0))&gt;=0,1,-1)*QUOTIENT(((c_TMAP1IN)-(c_TFWD)),2)),((c_TMAP1IN)-(c_TFWD)))+(0)+IF(((c_TMAP1OUT)-(0))&gt;=0,IF(IF(o_WRAP=1,MOD(((c_TMAP1IN)-(c_TFWD))*(((A45)-(c_TFWD))*((c_TMAP1OUT)-(0))+IF(((c_TMAP1OUT)-(0))&gt;=0,1,-1)*QUOTIENT(((c_TMAP1IN)-(c_TFWD)),2))+2147483648,4294967296)-2147483648,((c_TMAP1IN)-(c_TFWD))*(((A45)-(c_TFWD))*((c_TMAP1OUT)-(0))+IF(((c_TMAP1OUT)-(0))&gt;=0,1,-1)*QUOTIENT(((c_TMAP1IN)-(c_TFWD)),2)))&lt;0,-1,0),IF(IF(o_WRAP=1,MOD(((c_TMAP1IN)-(c_TFWD))*(((A45)-(c_TFWD))*((c_TMAP1OUT)-(0))+IF(((c_TMAP1OUT)-(0))&gt;=0,1,-1)*QUOTIENT(((c_TMAP1IN)-(c_TFWD)),2))+2147483648,4294967296)-2147483648,((c_TMAP1IN)-(c_TFWD))*(((A45)-(c_TFWD))*((c_TMAP1OUT)-(0))+IF(((c_TMAP1OUT)-(0))&gt;=0,1,-1)*QUOTIENT(((c_TMAP1IN)-(c_TFWD)),2)))&gt;=0,1,0)))</f>
        <v>23</v>
      </c>
      <c r="E45" s="7" t="n">
        <f aca="false">IF(((c_TMAP2IN)-(c_TMAP1IN))=0,(c_TMAP1OUT)+QUOTIENT(((c_TMAP2OUT)-(c_TMAP1OUT)),2),QUOTIENT((((A45)-(c_TMAP1IN))*((c_TMAP2OUT)-(c_TMAP1OUT))+IF(((c_TMAP2OUT)-(c_TMAP1OUT))&gt;=0,1,-1)*QUOTIENT(((c_TMAP2IN)-(c_TMAP1IN)),2)),((c_TMAP2IN)-(c_TMAP1IN)))+(c_TMAP1OUT)+IF(((c_TMAP2OUT)-(c_TMAP1OUT))&gt;=0,IF(IF(o_WRAP=1,MOD(((c_TMAP2IN)-(c_TMAP1IN))*(((A45)-(c_TMAP1IN))*((c_TMAP2OUT)-(c_TMAP1OUT))+IF(((c_TMAP2OUT)-(c_TMAP1OUT))&gt;=0,1,-1)*QUOTIENT(((c_TMAP2IN)-(c_TMAP1IN)),2))+2147483648,4294967296)-2147483648,((c_TMAP2IN)-(c_TMAP1IN))*(((A45)-(c_TMAP1IN))*((c_TMAP2OUT)-(c_TMAP1OUT))+IF(((c_TMAP2OUT)-(c_TMAP1OUT))&gt;=0,1,-1)*QUOTIENT(((c_TMAP2IN)-(c_TMAP1IN)),2)))&lt;0,-1,0),IF(IF(o_WRAP=1,MOD(((c_TMAP2IN)-(c_TMAP1IN))*(((A45)-(c_TMAP1IN))*((c_TMAP2OUT)-(c_TMAP1OUT))+IF(((c_TMAP2OUT)-(c_TMAP1OUT))&gt;=0,1,-1)*QUOTIENT(((c_TMAP2IN)-(c_TMAP1IN)),2))+2147483648,4294967296)-2147483648,((c_TMAP2IN)-(c_TMAP1IN))*(((A45)-(c_TMAP1IN))*((c_TMAP2OUT)-(c_TMAP1OUT))+IF(((c_TMAP2OUT)-(c_TMAP1OUT))&gt;=0,1,-1)*QUOTIENT(((c_TMAP2IN)-(c_TMAP1IN)),2)))&gt;=0,1,0)))</f>
        <v>46</v>
      </c>
      <c r="F45" s="7" t="n">
        <f aca="false">IF(((c_TMAP3IN)-(c_TMAP2IN))=0,(c_TMAP2OUT)+QUOTIENT(((c_TMAP3OUT)-(c_TMAP2OUT)),2),QUOTIENT((((A45)-(c_TMAP2IN))*((c_TMAP3OUT)-(c_TMAP2OUT))+IF(((c_TMAP3OUT)-(c_TMAP2OUT))&gt;=0,1,-1)*QUOTIENT(((c_TMAP3IN)-(c_TMAP2IN)),2)),((c_TMAP3IN)-(c_TMAP2IN)))+(c_TMAP2OUT)+IF(((c_TMAP3OUT)-(c_TMAP2OUT))&gt;=0,IF(IF(o_WRAP=1,MOD(((c_TMAP3IN)-(c_TMAP2IN))*(((A45)-(c_TMAP2IN))*((c_TMAP3OUT)-(c_TMAP2OUT))+IF(((c_TMAP3OUT)-(c_TMAP2OUT))&gt;=0,1,-1)*QUOTIENT(((c_TMAP3IN)-(c_TMAP2IN)),2))+2147483648,4294967296)-2147483648,((c_TMAP3IN)-(c_TMAP2IN))*(((A45)-(c_TMAP2IN))*((c_TMAP3OUT)-(c_TMAP2OUT))+IF(((c_TMAP3OUT)-(c_TMAP2OUT))&gt;=0,1,-1)*QUOTIENT(((c_TMAP3IN)-(c_TMAP2IN)),2)))&lt;0,-1,0),IF(IF(o_WRAP=1,MOD(((c_TMAP3IN)-(c_TMAP2IN))*(((A45)-(c_TMAP2IN))*((c_TMAP3OUT)-(c_TMAP2OUT))+IF(((c_TMAP3OUT)-(c_TMAP2OUT))&gt;=0,1,-1)*QUOTIENT(((c_TMAP3IN)-(c_TMAP2IN)),2))+2147483648,4294967296)-2147483648,((c_TMAP3IN)-(c_TMAP2IN))*(((A45)-(c_TMAP2IN))*((c_TMAP3OUT)-(c_TMAP2OUT))+IF(((c_TMAP3OUT)-(c_TMAP2OUT))&gt;=0,1,-1)*QUOTIENT(((c_TMAP3IN)-(c_TMAP2IN)),2)))&gt;=0,1,0)))</f>
        <v>-17</v>
      </c>
      <c r="G45" s="7" t="n">
        <f aca="false">IF(((1000)-(c_TMAP3IN))=0,(c_TMAP3OUT)+QUOTIENT(((1000)-(c_TMAP3OUT)),2),QUOTIENT((((A45)-(c_TMAP3IN))*((1000)-(c_TMAP3OUT))+IF(((1000)-(c_TMAP3OUT))&gt;=0,1,-1)*QUOTIENT(((1000)-(c_TMAP3IN)),2)),((1000)-(c_TMAP3IN)))+(c_TMAP3OUT)+IF(((1000)-(c_TMAP3OUT))&gt;=0,IF(IF(o_WRAP=1,MOD(((1000)-(c_TMAP3IN))*(((A45)-(c_TMAP3IN))*((1000)-(c_TMAP3OUT))+IF(((1000)-(c_TMAP3OUT))&gt;=0,1,-1)*QUOTIENT(((1000)-(c_TMAP3IN)),2))+2147483648,4294967296)-2147483648,((1000)-(c_TMAP3IN))*(((A45)-(c_TMAP3IN))*((1000)-(c_TMAP3OUT))+IF(((1000)-(c_TMAP3OUT))&gt;=0,1,-1)*QUOTIENT(((1000)-(c_TMAP3IN)),2)))&lt;0,-1,0),IF(IF(o_WRAP=1,MOD(((1000)-(c_TMAP3IN))*(((A45)-(c_TMAP3IN))*((1000)-(c_TMAP3OUT))+IF(((1000)-(c_TMAP3OUT))&gt;=0,1,-1)*QUOTIENT(((1000)-(c_TMAP3IN)),2))+2147483648,4294967296)-2147483648,((1000)-(c_TMAP3IN))*(((A45)-(c_TMAP3IN))*((1000)-(c_TMAP3OUT))+IF(((1000)-(c_TMAP3OUT))&gt;=0,1,-1)*QUOTIENT(((1000)-(c_TMAP3IN)),2)))&gt;=0,1,0)))</f>
        <v>-182</v>
      </c>
      <c r="H45" s="7" t="str">
        <f aca="false">IF(A45&gt;=c_TFWD,IF(AND(A45&gt;=c_TMAP3IN,c_TMAP3IN&lt;1000),"Seg4 map3-100%",IF(AND(A45&gt;=c_TMAP2IN,c_TMAP3IN&gt;c_TMAP2IN),"Seg3 map2-map3",IF(AND(A45&gt;=c_TMAP1IN,c_TMAP2IN&gt;c_TMAP1IN),"Seg2 map1-map2","Seg1 TFWD-map1"))),IF(AND(A45=0,c_TCREEP&gt;0),"Creep",IF(AND(A45&lt;=c_TRNGMIN,A45&gt;=c_TRNGMAX,c_TRNGMIN-c_TRNGMAX&lt;&gt;0),"Regen ramp","Coast (0)")))</f>
        <v>Seg1 TFWD-map1</v>
      </c>
      <c r="I45" s="7" t="n">
        <f aca="false">IF(A45&gt;=c_TFWD,IF(AND(A45&gt;=c_TMAP3IN,c_TMAP3IN&lt;1000),G45,IF(AND(A45&gt;=c_TMAP2IN,c_TMAP3IN&gt;c_TMAP2IN),F45,IF(AND(A45&gt;=c_TMAP1IN,c_TMAP2IN&gt;c_TMAP1IN),E45,D45))),C45)</f>
        <v>23</v>
      </c>
      <c r="J45" s="7" t="str">
        <f aca="false">IF(I45&lt;-1090,"TOO LOW",IF(I45&gt;1090,"TOO HIGH",""))</f>
        <v/>
      </c>
      <c r="K45" s="15" t="n">
        <f aca="false">IF(J45&lt;&gt;"",0,IF(I45&gt;979,1000,I45))</f>
        <v>23</v>
      </c>
      <c r="L45" s="7" t="n">
        <f aca="false">K45/10</f>
        <v>2.3</v>
      </c>
    </row>
    <row r="46" customFormat="false" ht="15" hidden="false" customHeight="false" outlineLevel="0" collapsed="false">
      <c r="A46" s="7" t="n">
        <v>41</v>
      </c>
      <c r="B46" s="7" t="n">
        <f aca="false">A46/10</f>
        <v>4.1</v>
      </c>
      <c r="C46" s="7" t="n">
        <f aca="false">IF(AND(A46=0,c_TCREEP&gt;0),10*c_TCREEP,IF(AND(A46&lt;=c_TRNGMIN,A46&gt;=c_TRNGMAX,c_TRNGMIN-c_TRNGMAX&lt;&gt;0),-10*c_TMINRN+QUOTIENT((c_TMAXRN-c_TMINRN)*(100-QUOTIENT((A46-c_TRNGMAX)*100,c_TRNGMIN-c_TRNGMAX)),-10),0))</f>
        <v>0</v>
      </c>
      <c r="D46" s="7" t="n">
        <f aca="false">IF(((c_TMAP1IN)-(c_TFWD))=0,(0)+QUOTIENT(((c_TMAP1OUT)-(0)),2),QUOTIENT((((A46)-(c_TFWD))*((c_TMAP1OUT)-(0))+IF(((c_TMAP1OUT)-(0))&gt;=0,1,-1)*QUOTIENT(((c_TMAP1IN)-(c_TFWD)),2)),((c_TMAP1IN)-(c_TFWD)))+(0)+IF(((c_TMAP1OUT)-(0))&gt;=0,IF(IF(o_WRAP=1,MOD(((c_TMAP1IN)-(c_TFWD))*(((A46)-(c_TFWD))*((c_TMAP1OUT)-(0))+IF(((c_TMAP1OUT)-(0))&gt;=0,1,-1)*QUOTIENT(((c_TMAP1IN)-(c_TFWD)),2))+2147483648,4294967296)-2147483648,((c_TMAP1IN)-(c_TFWD))*(((A46)-(c_TFWD))*((c_TMAP1OUT)-(0))+IF(((c_TMAP1OUT)-(0))&gt;=0,1,-1)*QUOTIENT(((c_TMAP1IN)-(c_TFWD)),2)))&lt;0,-1,0),IF(IF(o_WRAP=1,MOD(((c_TMAP1IN)-(c_TFWD))*(((A46)-(c_TFWD))*((c_TMAP1OUT)-(0))+IF(((c_TMAP1OUT)-(0))&gt;=0,1,-1)*QUOTIENT(((c_TMAP1IN)-(c_TFWD)),2))+2147483648,4294967296)-2147483648,((c_TMAP1IN)-(c_TFWD))*(((A46)-(c_TFWD))*((c_TMAP1OUT)-(0))+IF(((c_TMAP1OUT)-(0))&gt;=0,1,-1)*QUOTIENT(((c_TMAP1IN)-(c_TFWD)),2)))&gt;=0,1,0)))</f>
        <v>24</v>
      </c>
      <c r="E46" s="7" t="n">
        <f aca="false">IF(((c_TMAP2IN)-(c_TMAP1IN))=0,(c_TMAP1OUT)+QUOTIENT(((c_TMAP2OUT)-(c_TMAP1OUT)),2),QUOTIENT((((A46)-(c_TMAP1IN))*((c_TMAP2OUT)-(c_TMAP1OUT))+IF(((c_TMAP2OUT)-(c_TMAP1OUT))&gt;=0,1,-1)*QUOTIENT(((c_TMAP2IN)-(c_TMAP1IN)),2)),((c_TMAP2IN)-(c_TMAP1IN)))+(c_TMAP1OUT)+IF(((c_TMAP2OUT)-(c_TMAP1OUT))&gt;=0,IF(IF(o_WRAP=1,MOD(((c_TMAP2IN)-(c_TMAP1IN))*(((A46)-(c_TMAP1IN))*((c_TMAP2OUT)-(c_TMAP1OUT))+IF(((c_TMAP2OUT)-(c_TMAP1OUT))&gt;=0,1,-1)*QUOTIENT(((c_TMAP2IN)-(c_TMAP1IN)),2))+2147483648,4294967296)-2147483648,((c_TMAP2IN)-(c_TMAP1IN))*(((A46)-(c_TMAP1IN))*((c_TMAP2OUT)-(c_TMAP1OUT))+IF(((c_TMAP2OUT)-(c_TMAP1OUT))&gt;=0,1,-1)*QUOTIENT(((c_TMAP2IN)-(c_TMAP1IN)),2)))&lt;0,-1,0),IF(IF(o_WRAP=1,MOD(((c_TMAP2IN)-(c_TMAP1IN))*(((A46)-(c_TMAP1IN))*((c_TMAP2OUT)-(c_TMAP1OUT))+IF(((c_TMAP2OUT)-(c_TMAP1OUT))&gt;=0,1,-1)*QUOTIENT(((c_TMAP2IN)-(c_TMAP1IN)),2))+2147483648,4294967296)-2147483648,((c_TMAP2IN)-(c_TMAP1IN))*(((A46)-(c_TMAP1IN))*((c_TMAP2OUT)-(c_TMAP1OUT))+IF(((c_TMAP2OUT)-(c_TMAP1OUT))&gt;=0,1,-1)*QUOTIENT(((c_TMAP2IN)-(c_TMAP1IN)),2)))&gt;=0,1,0)))</f>
        <v>46</v>
      </c>
      <c r="F46" s="7" t="n">
        <f aca="false">IF(((c_TMAP3IN)-(c_TMAP2IN))=0,(c_TMAP2OUT)+QUOTIENT(((c_TMAP3OUT)-(c_TMAP2OUT)),2),QUOTIENT((((A46)-(c_TMAP2IN))*((c_TMAP3OUT)-(c_TMAP2OUT))+IF(((c_TMAP3OUT)-(c_TMAP2OUT))&gt;=0,1,-1)*QUOTIENT(((c_TMAP3IN)-(c_TMAP2IN)),2)),((c_TMAP3IN)-(c_TMAP2IN)))+(c_TMAP2OUT)+IF(((c_TMAP3OUT)-(c_TMAP2OUT))&gt;=0,IF(IF(o_WRAP=1,MOD(((c_TMAP3IN)-(c_TMAP2IN))*(((A46)-(c_TMAP2IN))*((c_TMAP3OUT)-(c_TMAP2OUT))+IF(((c_TMAP3OUT)-(c_TMAP2OUT))&gt;=0,1,-1)*QUOTIENT(((c_TMAP3IN)-(c_TMAP2IN)),2))+2147483648,4294967296)-2147483648,((c_TMAP3IN)-(c_TMAP2IN))*(((A46)-(c_TMAP2IN))*((c_TMAP3OUT)-(c_TMAP2OUT))+IF(((c_TMAP3OUT)-(c_TMAP2OUT))&gt;=0,1,-1)*QUOTIENT(((c_TMAP3IN)-(c_TMAP2IN)),2)))&lt;0,-1,0),IF(IF(o_WRAP=1,MOD(((c_TMAP3IN)-(c_TMAP2IN))*(((A46)-(c_TMAP2IN))*((c_TMAP3OUT)-(c_TMAP2OUT))+IF(((c_TMAP3OUT)-(c_TMAP2OUT))&gt;=0,1,-1)*QUOTIENT(((c_TMAP3IN)-(c_TMAP2IN)),2))+2147483648,4294967296)-2147483648,((c_TMAP3IN)-(c_TMAP2IN))*(((A46)-(c_TMAP2IN))*((c_TMAP3OUT)-(c_TMAP2OUT))+IF(((c_TMAP3OUT)-(c_TMAP2OUT))&gt;=0,1,-1)*QUOTIENT(((c_TMAP3IN)-(c_TMAP2IN)),2)))&gt;=0,1,0)))</f>
        <v>-16</v>
      </c>
      <c r="G46" s="7" t="n">
        <f aca="false">IF(((1000)-(c_TMAP3IN))=0,(c_TMAP3OUT)+QUOTIENT(((1000)-(c_TMAP3OUT)),2),QUOTIENT((((A46)-(c_TMAP3IN))*((1000)-(c_TMAP3OUT))+IF(((1000)-(c_TMAP3OUT))&gt;=0,1,-1)*QUOTIENT(((1000)-(c_TMAP3IN)),2)),((1000)-(c_TMAP3IN)))+(c_TMAP3OUT)+IF(((1000)-(c_TMAP3OUT))&gt;=0,IF(IF(o_WRAP=1,MOD(((1000)-(c_TMAP3IN))*(((A46)-(c_TMAP3IN))*((1000)-(c_TMAP3OUT))+IF(((1000)-(c_TMAP3OUT))&gt;=0,1,-1)*QUOTIENT(((1000)-(c_TMAP3IN)),2))+2147483648,4294967296)-2147483648,((1000)-(c_TMAP3IN))*(((A46)-(c_TMAP3IN))*((1000)-(c_TMAP3OUT))+IF(((1000)-(c_TMAP3OUT))&gt;=0,1,-1)*QUOTIENT(((1000)-(c_TMAP3IN)),2)))&lt;0,-1,0),IF(IF(o_WRAP=1,MOD(((1000)-(c_TMAP3IN))*(((A46)-(c_TMAP3IN))*((1000)-(c_TMAP3OUT))+IF(((1000)-(c_TMAP3OUT))&gt;=0,1,-1)*QUOTIENT(((1000)-(c_TMAP3IN)),2))+2147483648,4294967296)-2147483648,((1000)-(c_TMAP3IN))*(((A46)-(c_TMAP3IN))*((1000)-(c_TMAP3OUT))+IF(((1000)-(c_TMAP3OUT))&gt;=0,1,-1)*QUOTIENT(((1000)-(c_TMAP3IN)),2)))&gt;=0,1,0)))</f>
        <v>-180</v>
      </c>
      <c r="H46" s="7" t="str">
        <f aca="false">IF(A46&gt;=c_TFWD,IF(AND(A46&gt;=c_TMAP3IN,c_TMAP3IN&lt;1000),"Seg4 map3-100%",IF(AND(A46&gt;=c_TMAP2IN,c_TMAP3IN&gt;c_TMAP2IN),"Seg3 map2-map3",IF(AND(A46&gt;=c_TMAP1IN,c_TMAP2IN&gt;c_TMAP1IN),"Seg2 map1-map2","Seg1 TFWD-map1"))),IF(AND(A46=0,c_TCREEP&gt;0),"Creep",IF(AND(A46&lt;=c_TRNGMIN,A46&gt;=c_TRNGMAX,c_TRNGMIN-c_TRNGMAX&lt;&gt;0),"Regen ramp","Coast (0)")))</f>
        <v>Seg1 TFWD-map1</v>
      </c>
      <c r="I46" s="7" t="n">
        <f aca="false">IF(A46&gt;=c_TFWD,IF(AND(A46&gt;=c_TMAP3IN,c_TMAP3IN&lt;1000),G46,IF(AND(A46&gt;=c_TMAP2IN,c_TMAP3IN&gt;c_TMAP2IN),F46,IF(AND(A46&gt;=c_TMAP1IN,c_TMAP2IN&gt;c_TMAP1IN),E46,D46))),C46)</f>
        <v>24</v>
      </c>
      <c r="J46" s="7" t="str">
        <f aca="false">IF(I46&lt;-1090,"TOO LOW",IF(I46&gt;1090,"TOO HIGH",""))</f>
        <v/>
      </c>
      <c r="K46" s="15" t="n">
        <f aca="false">IF(J46&lt;&gt;"",0,IF(I46&gt;979,1000,I46))</f>
        <v>24</v>
      </c>
      <c r="L46" s="7" t="n">
        <f aca="false">K46/10</f>
        <v>2.4</v>
      </c>
    </row>
    <row r="47" customFormat="false" ht="15" hidden="false" customHeight="false" outlineLevel="0" collapsed="false">
      <c r="A47" s="7" t="n">
        <v>42</v>
      </c>
      <c r="B47" s="7" t="n">
        <f aca="false">A47/10</f>
        <v>4.2</v>
      </c>
      <c r="C47" s="7" t="n">
        <f aca="false">IF(AND(A47=0,c_TCREEP&gt;0),10*c_TCREEP,IF(AND(A47&lt;=c_TRNGMIN,A47&gt;=c_TRNGMAX,c_TRNGMIN-c_TRNGMAX&lt;&gt;0),-10*c_TMINRN+QUOTIENT((c_TMAXRN-c_TMINRN)*(100-QUOTIENT((A47-c_TRNGMAX)*100,c_TRNGMIN-c_TRNGMAX)),-10),0))</f>
        <v>0</v>
      </c>
      <c r="D47" s="7" t="n">
        <f aca="false">IF(((c_TMAP1IN)-(c_TFWD))=0,(0)+QUOTIENT(((c_TMAP1OUT)-(0)),2),QUOTIENT((((A47)-(c_TFWD))*((c_TMAP1OUT)-(0))+IF(((c_TMAP1OUT)-(0))&gt;=0,1,-1)*QUOTIENT(((c_TMAP1IN)-(c_TFWD)),2)),((c_TMAP1IN)-(c_TFWD)))+(0)+IF(((c_TMAP1OUT)-(0))&gt;=0,IF(IF(o_WRAP=1,MOD(((c_TMAP1IN)-(c_TFWD))*(((A47)-(c_TFWD))*((c_TMAP1OUT)-(0))+IF(((c_TMAP1OUT)-(0))&gt;=0,1,-1)*QUOTIENT(((c_TMAP1IN)-(c_TFWD)),2))+2147483648,4294967296)-2147483648,((c_TMAP1IN)-(c_TFWD))*(((A47)-(c_TFWD))*((c_TMAP1OUT)-(0))+IF(((c_TMAP1OUT)-(0))&gt;=0,1,-1)*QUOTIENT(((c_TMAP1IN)-(c_TFWD)),2)))&lt;0,-1,0),IF(IF(o_WRAP=1,MOD(((c_TMAP1IN)-(c_TFWD))*(((A47)-(c_TFWD))*((c_TMAP1OUT)-(0))+IF(((c_TMAP1OUT)-(0))&gt;=0,1,-1)*QUOTIENT(((c_TMAP1IN)-(c_TFWD)),2))+2147483648,4294967296)-2147483648,((c_TMAP1IN)-(c_TFWD))*(((A47)-(c_TFWD))*((c_TMAP1OUT)-(0))+IF(((c_TMAP1OUT)-(0))&gt;=0,1,-1)*QUOTIENT(((c_TMAP1IN)-(c_TFWD)),2)))&gt;=0,1,0)))</f>
        <v>25</v>
      </c>
      <c r="E47" s="7" t="n">
        <f aca="false">IF(((c_TMAP2IN)-(c_TMAP1IN))=0,(c_TMAP1OUT)+QUOTIENT(((c_TMAP2OUT)-(c_TMAP1OUT)),2),QUOTIENT((((A47)-(c_TMAP1IN))*((c_TMAP2OUT)-(c_TMAP1OUT))+IF(((c_TMAP2OUT)-(c_TMAP1OUT))&gt;=0,1,-1)*QUOTIENT(((c_TMAP2IN)-(c_TMAP1IN)),2)),((c_TMAP2IN)-(c_TMAP1IN)))+(c_TMAP1OUT)+IF(((c_TMAP2OUT)-(c_TMAP1OUT))&gt;=0,IF(IF(o_WRAP=1,MOD(((c_TMAP2IN)-(c_TMAP1IN))*(((A47)-(c_TMAP1IN))*((c_TMAP2OUT)-(c_TMAP1OUT))+IF(((c_TMAP2OUT)-(c_TMAP1OUT))&gt;=0,1,-1)*QUOTIENT(((c_TMAP2IN)-(c_TMAP1IN)),2))+2147483648,4294967296)-2147483648,((c_TMAP2IN)-(c_TMAP1IN))*(((A47)-(c_TMAP1IN))*((c_TMAP2OUT)-(c_TMAP1OUT))+IF(((c_TMAP2OUT)-(c_TMAP1OUT))&gt;=0,1,-1)*QUOTIENT(((c_TMAP2IN)-(c_TMAP1IN)),2)))&lt;0,-1,0),IF(IF(o_WRAP=1,MOD(((c_TMAP2IN)-(c_TMAP1IN))*(((A47)-(c_TMAP1IN))*((c_TMAP2OUT)-(c_TMAP1OUT))+IF(((c_TMAP2OUT)-(c_TMAP1OUT))&gt;=0,1,-1)*QUOTIENT(((c_TMAP2IN)-(c_TMAP1IN)),2))+2147483648,4294967296)-2147483648,((c_TMAP2IN)-(c_TMAP1IN))*(((A47)-(c_TMAP1IN))*((c_TMAP2OUT)-(c_TMAP1OUT))+IF(((c_TMAP2OUT)-(c_TMAP1OUT))&gt;=0,1,-1)*QUOTIENT(((c_TMAP2IN)-(c_TMAP1IN)),2)))&gt;=0,1,0)))</f>
        <v>47</v>
      </c>
      <c r="F47" s="7" t="n">
        <f aca="false">IF(((c_TMAP3IN)-(c_TMAP2IN))=0,(c_TMAP2OUT)+QUOTIENT(((c_TMAP3OUT)-(c_TMAP2OUT)),2),QUOTIENT((((A47)-(c_TMAP2IN))*((c_TMAP3OUT)-(c_TMAP2OUT))+IF(((c_TMAP3OUT)-(c_TMAP2OUT))&gt;=0,1,-1)*QUOTIENT(((c_TMAP3IN)-(c_TMAP2IN)),2)),((c_TMAP3IN)-(c_TMAP2IN)))+(c_TMAP2OUT)+IF(((c_TMAP3OUT)-(c_TMAP2OUT))&gt;=0,IF(IF(o_WRAP=1,MOD(((c_TMAP3IN)-(c_TMAP2IN))*(((A47)-(c_TMAP2IN))*((c_TMAP3OUT)-(c_TMAP2OUT))+IF(((c_TMAP3OUT)-(c_TMAP2OUT))&gt;=0,1,-1)*QUOTIENT(((c_TMAP3IN)-(c_TMAP2IN)),2))+2147483648,4294967296)-2147483648,((c_TMAP3IN)-(c_TMAP2IN))*(((A47)-(c_TMAP2IN))*((c_TMAP3OUT)-(c_TMAP2OUT))+IF(((c_TMAP3OUT)-(c_TMAP2OUT))&gt;=0,1,-1)*QUOTIENT(((c_TMAP3IN)-(c_TMAP2IN)),2)))&lt;0,-1,0),IF(IF(o_WRAP=1,MOD(((c_TMAP3IN)-(c_TMAP2IN))*(((A47)-(c_TMAP2IN))*((c_TMAP3OUT)-(c_TMAP2OUT))+IF(((c_TMAP3OUT)-(c_TMAP2OUT))&gt;=0,1,-1)*QUOTIENT(((c_TMAP3IN)-(c_TMAP2IN)),2))+2147483648,4294967296)-2147483648,((c_TMAP3IN)-(c_TMAP2IN))*(((A47)-(c_TMAP2IN))*((c_TMAP3OUT)-(c_TMAP2OUT))+IF(((c_TMAP3OUT)-(c_TMAP2OUT))&gt;=0,1,-1)*QUOTIENT(((c_TMAP3IN)-(c_TMAP2IN)),2)))&gt;=0,1,0)))</f>
        <v>-16</v>
      </c>
      <c r="G47" s="7" t="n">
        <f aca="false">IF(((1000)-(c_TMAP3IN))=0,(c_TMAP3OUT)+QUOTIENT(((1000)-(c_TMAP3OUT)),2),QUOTIENT((((A47)-(c_TMAP3IN))*((1000)-(c_TMAP3OUT))+IF(((1000)-(c_TMAP3OUT))&gt;=0,1,-1)*QUOTIENT(((1000)-(c_TMAP3IN)),2)),((1000)-(c_TMAP3IN)))+(c_TMAP3OUT)+IF(((1000)-(c_TMAP3OUT))&gt;=0,IF(IF(o_WRAP=1,MOD(((1000)-(c_TMAP3IN))*(((A47)-(c_TMAP3IN))*((1000)-(c_TMAP3OUT))+IF(((1000)-(c_TMAP3OUT))&gt;=0,1,-1)*QUOTIENT(((1000)-(c_TMAP3IN)),2))+2147483648,4294967296)-2147483648,((1000)-(c_TMAP3IN))*(((A47)-(c_TMAP3IN))*((1000)-(c_TMAP3OUT))+IF(((1000)-(c_TMAP3OUT))&gt;=0,1,-1)*QUOTIENT(((1000)-(c_TMAP3IN)),2)))&lt;0,-1,0),IF(IF(o_WRAP=1,MOD(((1000)-(c_TMAP3IN))*(((A47)-(c_TMAP3IN))*((1000)-(c_TMAP3OUT))+IF(((1000)-(c_TMAP3OUT))&gt;=0,1,-1)*QUOTIENT(((1000)-(c_TMAP3IN)),2))+2147483648,4294967296)-2147483648,((1000)-(c_TMAP3IN))*(((A47)-(c_TMAP3IN))*((1000)-(c_TMAP3OUT))+IF(((1000)-(c_TMAP3OUT))&gt;=0,1,-1)*QUOTIENT(((1000)-(c_TMAP3IN)),2)))&gt;=0,1,0)))</f>
        <v>-179</v>
      </c>
      <c r="H47" s="7" t="str">
        <f aca="false">IF(A47&gt;=c_TFWD,IF(AND(A47&gt;=c_TMAP3IN,c_TMAP3IN&lt;1000),"Seg4 map3-100%",IF(AND(A47&gt;=c_TMAP2IN,c_TMAP3IN&gt;c_TMAP2IN),"Seg3 map2-map3",IF(AND(A47&gt;=c_TMAP1IN,c_TMAP2IN&gt;c_TMAP1IN),"Seg2 map1-map2","Seg1 TFWD-map1"))),IF(AND(A47=0,c_TCREEP&gt;0),"Creep",IF(AND(A47&lt;=c_TRNGMIN,A47&gt;=c_TRNGMAX,c_TRNGMIN-c_TRNGMAX&lt;&gt;0),"Regen ramp","Coast (0)")))</f>
        <v>Seg1 TFWD-map1</v>
      </c>
      <c r="I47" s="7" t="n">
        <f aca="false">IF(A47&gt;=c_TFWD,IF(AND(A47&gt;=c_TMAP3IN,c_TMAP3IN&lt;1000),G47,IF(AND(A47&gt;=c_TMAP2IN,c_TMAP3IN&gt;c_TMAP2IN),F47,IF(AND(A47&gt;=c_TMAP1IN,c_TMAP2IN&gt;c_TMAP1IN),E47,D47))),C47)</f>
        <v>25</v>
      </c>
      <c r="J47" s="7" t="str">
        <f aca="false">IF(I47&lt;-1090,"TOO LOW",IF(I47&gt;1090,"TOO HIGH",""))</f>
        <v/>
      </c>
      <c r="K47" s="15" t="n">
        <f aca="false">IF(J47&lt;&gt;"",0,IF(I47&gt;979,1000,I47))</f>
        <v>25</v>
      </c>
      <c r="L47" s="7" t="n">
        <f aca="false">K47/10</f>
        <v>2.5</v>
      </c>
    </row>
    <row r="48" customFormat="false" ht="15" hidden="false" customHeight="false" outlineLevel="0" collapsed="false">
      <c r="A48" s="7" t="n">
        <v>43</v>
      </c>
      <c r="B48" s="7" t="n">
        <f aca="false">A48/10</f>
        <v>4.3</v>
      </c>
      <c r="C48" s="7" t="n">
        <f aca="false">IF(AND(A48=0,c_TCREEP&gt;0),10*c_TCREEP,IF(AND(A48&lt;=c_TRNGMIN,A48&gt;=c_TRNGMAX,c_TRNGMIN-c_TRNGMAX&lt;&gt;0),-10*c_TMINRN+QUOTIENT((c_TMAXRN-c_TMINRN)*(100-QUOTIENT((A48-c_TRNGMAX)*100,c_TRNGMIN-c_TRNGMAX)),-10),0))</f>
        <v>0</v>
      </c>
      <c r="D48" s="7" t="n">
        <f aca="false">IF(((c_TMAP1IN)-(c_TFWD))=0,(0)+QUOTIENT(((c_TMAP1OUT)-(0)),2),QUOTIENT((((A48)-(c_TFWD))*((c_TMAP1OUT)-(0))+IF(((c_TMAP1OUT)-(0))&gt;=0,1,-1)*QUOTIENT(((c_TMAP1IN)-(c_TFWD)),2)),((c_TMAP1IN)-(c_TFWD)))+(0)+IF(((c_TMAP1OUT)-(0))&gt;=0,IF(IF(o_WRAP=1,MOD(((c_TMAP1IN)-(c_TFWD))*(((A48)-(c_TFWD))*((c_TMAP1OUT)-(0))+IF(((c_TMAP1OUT)-(0))&gt;=0,1,-1)*QUOTIENT(((c_TMAP1IN)-(c_TFWD)),2))+2147483648,4294967296)-2147483648,((c_TMAP1IN)-(c_TFWD))*(((A48)-(c_TFWD))*((c_TMAP1OUT)-(0))+IF(((c_TMAP1OUT)-(0))&gt;=0,1,-1)*QUOTIENT(((c_TMAP1IN)-(c_TFWD)),2)))&lt;0,-1,0),IF(IF(o_WRAP=1,MOD(((c_TMAP1IN)-(c_TFWD))*(((A48)-(c_TFWD))*((c_TMAP1OUT)-(0))+IF(((c_TMAP1OUT)-(0))&gt;=0,1,-1)*QUOTIENT(((c_TMAP1IN)-(c_TFWD)),2))+2147483648,4294967296)-2147483648,((c_TMAP1IN)-(c_TFWD))*(((A48)-(c_TFWD))*((c_TMAP1OUT)-(0))+IF(((c_TMAP1OUT)-(0))&gt;=0,1,-1)*QUOTIENT(((c_TMAP1IN)-(c_TFWD)),2)))&gt;=0,1,0)))</f>
        <v>26</v>
      </c>
      <c r="E48" s="7" t="n">
        <f aca="false">IF(((c_TMAP2IN)-(c_TMAP1IN))=0,(c_TMAP1OUT)+QUOTIENT(((c_TMAP2OUT)-(c_TMAP1OUT)),2),QUOTIENT((((A48)-(c_TMAP1IN))*((c_TMAP2OUT)-(c_TMAP1OUT))+IF(((c_TMAP2OUT)-(c_TMAP1OUT))&gt;=0,1,-1)*QUOTIENT(((c_TMAP2IN)-(c_TMAP1IN)),2)),((c_TMAP2IN)-(c_TMAP1IN)))+(c_TMAP1OUT)+IF(((c_TMAP2OUT)-(c_TMAP1OUT))&gt;=0,IF(IF(o_WRAP=1,MOD(((c_TMAP2IN)-(c_TMAP1IN))*(((A48)-(c_TMAP1IN))*((c_TMAP2OUT)-(c_TMAP1OUT))+IF(((c_TMAP2OUT)-(c_TMAP1OUT))&gt;=0,1,-1)*QUOTIENT(((c_TMAP2IN)-(c_TMAP1IN)),2))+2147483648,4294967296)-2147483648,((c_TMAP2IN)-(c_TMAP1IN))*(((A48)-(c_TMAP1IN))*((c_TMAP2OUT)-(c_TMAP1OUT))+IF(((c_TMAP2OUT)-(c_TMAP1OUT))&gt;=0,1,-1)*QUOTIENT(((c_TMAP2IN)-(c_TMAP1IN)),2)))&lt;0,-1,0),IF(IF(o_WRAP=1,MOD(((c_TMAP2IN)-(c_TMAP1IN))*(((A48)-(c_TMAP1IN))*((c_TMAP2OUT)-(c_TMAP1OUT))+IF(((c_TMAP2OUT)-(c_TMAP1OUT))&gt;=0,1,-1)*QUOTIENT(((c_TMAP2IN)-(c_TMAP1IN)),2))+2147483648,4294967296)-2147483648,((c_TMAP2IN)-(c_TMAP1IN))*(((A48)-(c_TMAP1IN))*((c_TMAP2OUT)-(c_TMAP1OUT))+IF(((c_TMAP2OUT)-(c_TMAP1OUT))&gt;=0,1,-1)*QUOTIENT(((c_TMAP2IN)-(c_TMAP1IN)),2)))&gt;=0,1,0)))</f>
        <v>47</v>
      </c>
      <c r="F48" s="7" t="n">
        <f aca="false">IF(((c_TMAP3IN)-(c_TMAP2IN))=0,(c_TMAP2OUT)+QUOTIENT(((c_TMAP3OUT)-(c_TMAP2OUT)),2),QUOTIENT((((A48)-(c_TMAP2IN))*((c_TMAP3OUT)-(c_TMAP2OUT))+IF(((c_TMAP3OUT)-(c_TMAP2OUT))&gt;=0,1,-1)*QUOTIENT(((c_TMAP3IN)-(c_TMAP2IN)),2)),((c_TMAP3IN)-(c_TMAP2IN)))+(c_TMAP2OUT)+IF(((c_TMAP3OUT)-(c_TMAP2OUT))&gt;=0,IF(IF(o_WRAP=1,MOD(((c_TMAP3IN)-(c_TMAP2IN))*(((A48)-(c_TMAP2IN))*((c_TMAP3OUT)-(c_TMAP2OUT))+IF(((c_TMAP3OUT)-(c_TMAP2OUT))&gt;=0,1,-1)*QUOTIENT(((c_TMAP3IN)-(c_TMAP2IN)),2))+2147483648,4294967296)-2147483648,((c_TMAP3IN)-(c_TMAP2IN))*(((A48)-(c_TMAP2IN))*((c_TMAP3OUT)-(c_TMAP2OUT))+IF(((c_TMAP3OUT)-(c_TMAP2OUT))&gt;=0,1,-1)*QUOTIENT(((c_TMAP3IN)-(c_TMAP2IN)),2)))&lt;0,-1,0),IF(IF(o_WRAP=1,MOD(((c_TMAP3IN)-(c_TMAP2IN))*(((A48)-(c_TMAP2IN))*((c_TMAP3OUT)-(c_TMAP2OUT))+IF(((c_TMAP3OUT)-(c_TMAP2OUT))&gt;=0,1,-1)*QUOTIENT(((c_TMAP3IN)-(c_TMAP2IN)),2))+2147483648,4294967296)-2147483648,((c_TMAP3IN)-(c_TMAP2IN))*(((A48)-(c_TMAP2IN))*((c_TMAP3OUT)-(c_TMAP2OUT))+IF(((c_TMAP3OUT)-(c_TMAP2OUT))&gt;=0,1,-1)*QUOTIENT(((c_TMAP3IN)-(c_TMAP2IN)),2)))&gt;=0,1,0)))</f>
        <v>-15</v>
      </c>
      <c r="G48" s="7" t="n">
        <f aca="false">IF(((1000)-(c_TMAP3IN))=0,(c_TMAP3OUT)+QUOTIENT(((1000)-(c_TMAP3OUT)),2),QUOTIENT((((A48)-(c_TMAP3IN))*((1000)-(c_TMAP3OUT))+IF(((1000)-(c_TMAP3OUT))&gt;=0,1,-1)*QUOTIENT(((1000)-(c_TMAP3IN)),2)),((1000)-(c_TMAP3IN)))+(c_TMAP3OUT)+IF(((1000)-(c_TMAP3OUT))&gt;=0,IF(IF(o_WRAP=1,MOD(((1000)-(c_TMAP3IN))*(((A48)-(c_TMAP3IN))*((1000)-(c_TMAP3OUT))+IF(((1000)-(c_TMAP3OUT))&gt;=0,1,-1)*QUOTIENT(((1000)-(c_TMAP3IN)),2))+2147483648,4294967296)-2147483648,((1000)-(c_TMAP3IN))*(((A48)-(c_TMAP3IN))*((1000)-(c_TMAP3OUT))+IF(((1000)-(c_TMAP3OUT))&gt;=0,1,-1)*QUOTIENT(((1000)-(c_TMAP3IN)),2)))&lt;0,-1,0),IF(IF(o_WRAP=1,MOD(((1000)-(c_TMAP3IN))*(((A48)-(c_TMAP3IN))*((1000)-(c_TMAP3OUT))+IF(((1000)-(c_TMAP3OUT))&gt;=0,1,-1)*QUOTIENT(((1000)-(c_TMAP3IN)),2))+2147483648,4294967296)-2147483648,((1000)-(c_TMAP3IN))*(((A48)-(c_TMAP3IN))*((1000)-(c_TMAP3OUT))+IF(((1000)-(c_TMAP3OUT))&gt;=0,1,-1)*QUOTIENT(((1000)-(c_TMAP3IN)),2)))&gt;=0,1,0)))</f>
        <v>-178</v>
      </c>
      <c r="H48" s="7" t="str">
        <f aca="false">IF(A48&gt;=c_TFWD,IF(AND(A48&gt;=c_TMAP3IN,c_TMAP3IN&lt;1000),"Seg4 map3-100%",IF(AND(A48&gt;=c_TMAP2IN,c_TMAP3IN&gt;c_TMAP2IN),"Seg3 map2-map3",IF(AND(A48&gt;=c_TMAP1IN,c_TMAP2IN&gt;c_TMAP1IN),"Seg2 map1-map2","Seg1 TFWD-map1"))),IF(AND(A48=0,c_TCREEP&gt;0),"Creep",IF(AND(A48&lt;=c_TRNGMIN,A48&gt;=c_TRNGMAX,c_TRNGMIN-c_TRNGMAX&lt;&gt;0),"Regen ramp","Coast (0)")))</f>
        <v>Seg1 TFWD-map1</v>
      </c>
      <c r="I48" s="7" t="n">
        <f aca="false">IF(A48&gt;=c_TFWD,IF(AND(A48&gt;=c_TMAP3IN,c_TMAP3IN&lt;1000),G48,IF(AND(A48&gt;=c_TMAP2IN,c_TMAP3IN&gt;c_TMAP2IN),F48,IF(AND(A48&gt;=c_TMAP1IN,c_TMAP2IN&gt;c_TMAP1IN),E48,D48))),C48)</f>
        <v>26</v>
      </c>
      <c r="J48" s="7" t="str">
        <f aca="false">IF(I48&lt;-1090,"TOO LOW",IF(I48&gt;1090,"TOO HIGH",""))</f>
        <v/>
      </c>
      <c r="K48" s="15" t="n">
        <f aca="false">IF(J48&lt;&gt;"",0,IF(I48&gt;979,1000,I48))</f>
        <v>26</v>
      </c>
      <c r="L48" s="7" t="n">
        <f aca="false">K48/10</f>
        <v>2.6</v>
      </c>
    </row>
    <row r="49" customFormat="false" ht="15" hidden="false" customHeight="false" outlineLevel="0" collapsed="false">
      <c r="A49" s="7" t="n">
        <v>44</v>
      </c>
      <c r="B49" s="7" t="n">
        <f aca="false">A49/10</f>
        <v>4.4</v>
      </c>
      <c r="C49" s="7" t="n">
        <f aca="false">IF(AND(A49=0,c_TCREEP&gt;0),10*c_TCREEP,IF(AND(A49&lt;=c_TRNGMIN,A49&gt;=c_TRNGMAX,c_TRNGMIN-c_TRNGMAX&lt;&gt;0),-10*c_TMINRN+QUOTIENT((c_TMAXRN-c_TMINRN)*(100-QUOTIENT((A49-c_TRNGMAX)*100,c_TRNGMIN-c_TRNGMAX)),-10),0))</f>
        <v>0</v>
      </c>
      <c r="D49" s="7" t="n">
        <f aca="false">IF(((c_TMAP1IN)-(c_TFWD))=0,(0)+QUOTIENT(((c_TMAP1OUT)-(0)),2),QUOTIENT((((A49)-(c_TFWD))*((c_TMAP1OUT)-(0))+IF(((c_TMAP1OUT)-(0))&gt;=0,1,-1)*QUOTIENT(((c_TMAP1IN)-(c_TFWD)),2)),((c_TMAP1IN)-(c_TFWD)))+(0)+IF(((c_TMAP1OUT)-(0))&gt;=0,IF(IF(o_WRAP=1,MOD(((c_TMAP1IN)-(c_TFWD))*(((A49)-(c_TFWD))*((c_TMAP1OUT)-(0))+IF(((c_TMAP1OUT)-(0))&gt;=0,1,-1)*QUOTIENT(((c_TMAP1IN)-(c_TFWD)),2))+2147483648,4294967296)-2147483648,((c_TMAP1IN)-(c_TFWD))*(((A49)-(c_TFWD))*((c_TMAP1OUT)-(0))+IF(((c_TMAP1OUT)-(0))&gt;=0,1,-1)*QUOTIENT(((c_TMAP1IN)-(c_TFWD)),2)))&lt;0,-1,0),IF(IF(o_WRAP=1,MOD(((c_TMAP1IN)-(c_TFWD))*(((A49)-(c_TFWD))*((c_TMAP1OUT)-(0))+IF(((c_TMAP1OUT)-(0))&gt;=0,1,-1)*QUOTIENT(((c_TMAP1IN)-(c_TFWD)),2))+2147483648,4294967296)-2147483648,((c_TMAP1IN)-(c_TFWD))*(((A49)-(c_TFWD))*((c_TMAP1OUT)-(0))+IF(((c_TMAP1OUT)-(0))&gt;=0,1,-1)*QUOTIENT(((c_TMAP1IN)-(c_TFWD)),2)))&gt;=0,1,0)))</f>
        <v>26</v>
      </c>
      <c r="E49" s="7" t="n">
        <f aca="false">IF(((c_TMAP2IN)-(c_TMAP1IN))=0,(c_TMAP1OUT)+QUOTIENT(((c_TMAP2OUT)-(c_TMAP1OUT)),2),QUOTIENT((((A49)-(c_TMAP1IN))*((c_TMAP2OUT)-(c_TMAP1OUT))+IF(((c_TMAP2OUT)-(c_TMAP1OUT))&gt;=0,1,-1)*QUOTIENT(((c_TMAP2IN)-(c_TMAP1IN)),2)),((c_TMAP2IN)-(c_TMAP1IN)))+(c_TMAP1OUT)+IF(((c_TMAP2OUT)-(c_TMAP1OUT))&gt;=0,IF(IF(o_WRAP=1,MOD(((c_TMAP2IN)-(c_TMAP1IN))*(((A49)-(c_TMAP1IN))*((c_TMAP2OUT)-(c_TMAP1OUT))+IF(((c_TMAP2OUT)-(c_TMAP1OUT))&gt;=0,1,-1)*QUOTIENT(((c_TMAP2IN)-(c_TMAP1IN)),2))+2147483648,4294967296)-2147483648,((c_TMAP2IN)-(c_TMAP1IN))*(((A49)-(c_TMAP1IN))*((c_TMAP2OUT)-(c_TMAP1OUT))+IF(((c_TMAP2OUT)-(c_TMAP1OUT))&gt;=0,1,-1)*QUOTIENT(((c_TMAP2IN)-(c_TMAP1IN)),2)))&lt;0,-1,0),IF(IF(o_WRAP=1,MOD(((c_TMAP2IN)-(c_TMAP1IN))*(((A49)-(c_TMAP1IN))*((c_TMAP2OUT)-(c_TMAP1OUT))+IF(((c_TMAP2OUT)-(c_TMAP1OUT))&gt;=0,1,-1)*QUOTIENT(((c_TMAP2IN)-(c_TMAP1IN)),2))+2147483648,4294967296)-2147483648,((c_TMAP2IN)-(c_TMAP1IN))*(((A49)-(c_TMAP1IN))*((c_TMAP2OUT)-(c_TMAP1OUT))+IF(((c_TMAP2OUT)-(c_TMAP1OUT))&gt;=0,1,-1)*QUOTIENT(((c_TMAP2IN)-(c_TMAP1IN)),2)))&gt;=0,1,0)))</f>
        <v>48</v>
      </c>
      <c r="F49" s="7" t="n">
        <f aca="false">IF(((c_TMAP3IN)-(c_TMAP2IN))=0,(c_TMAP2OUT)+QUOTIENT(((c_TMAP3OUT)-(c_TMAP2OUT)),2),QUOTIENT((((A49)-(c_TMAP2IN))*((c_TMAP3OUT)-(c_TMAP2OUT))+IF(((c_TMAP3OUT)-(c_TMAP2OUT))&gt;=0,1,-1)*QUOTIENT(((c_TMAP3IN)-(c_TMAP2IN)),2)),((c_TMAP3IN)-(c_TMAP2IN)))+(c_TMAP2OUT)+IF(((c_TMAP3OUT)-(c_TMAP2OUT))&gt;=0,IF(IF(o_WRAP=1,MOD(((c_TMAP3IN)-(c_TMAP2IN))*(((A49)-(c_TMAP2IN))*((c_TMAP3OUT)-(c_TMAP2OUT))+IF(((c_TMAP3OUT)-(c_TMAP2OUT))&gt;=0,1,-1)*QUOTIENT(((c_TMAP3IN)-(c_TMAP2IN)),2))+2147483648,4294967296)-2147483648,((c_TMAP3IN)-(c_TMAP2IN))*(((A49)-(c_TMAP2IN))*((c_TMAP3OUT)-(c_TMAP2OUT))+IF(((c_TMAP3OUT)-(c_TMAP2OUT))&gt;=0,1,-1)*QUOTIENT(((c_TMAP3IN)-(c_TMAP2IN)),2)))&lt;0,-1,0),IF(IF(o_WRAP=1,MOD(((c_TMAP3IN)-(c_TMAP2IN))*(((A49)-(c_TMAP2IN))*((c_TMAP3OUT)-(c_TMAP2OUT))+IF(((c_TMAP3OUT)-(c_TMAP2OUT))&gt;=0,1,-1)*QUOTIENT(((c_TMAP3IN)-(c_TMAP2IN)),2))+2147483648,4294967296)-2147483648,((c_TMAP3IN)-(c_TMAP2IN))*(((A49)-(c_TMAP2IN))*((c_TMAP3OUT)-(c_TMAP2OUT))+IF(((c_TMAP3OUT)-(c_TMAP2OUT))&gt;=0,1,-1)*QUOTIENT(((c_TMAP3IN)-(c_TMAP2IN)),2)))&gt;=0,1,0)))</f>
        <v>-14</v>
      </c>
      <c r="G49" s="7" t="n">
        <f aca="false">IF(((1000)-(c_TMAP3IN))=0,(c_TMAP3OUT)+QUOTIENT(((1000)-(c_TMAP3OUT)),2),QUOTIENT((((A49)-(c_TMAP3IN))*((1000)-(c_TMAP3OUT))+IF(((1000)-(c_TMAP3OUT))&gt;=0,1,-1)*QUOTIENT(((1000)-(c_TMAP3IN)),2)),((1000)-(c_TMAP3IN)))+(c_TMAP3OUT)+IF(((1000)-(c_TMAP3OUT))&gt;=0,IF(IF(o_WRAP=1,MOD(((1000)-(c_TMAP3IN))*(((A49)-(c_TMAP3IN))*((1000)-(c_TMAP3OUT))+IF(((1000)-(c_TMAP3OUT))&gt;=0,1,-1)*QUOTIENT(((1000)-(c_TMAP3IN)),2))+2147483648,4294967296)-2147483648,((1000)-(c_TMAP3IN))*(((A49)-(c_TMAP3IN))*((1000)-(c_TMAP3OUT))+IF(((1000)-(c_TMAP3OUT))&gt;=0,1,-1)*QUOTIENT(((1000)-(c_TMAP3IN)),2)))&lt;0,-1,0),IF(IF(o_WRAP=1,MOD(((1000)-(c_TMAP3IN))*(((A49)-(c_TMAP3IN))*((1000)-(c_TMAP3OUT))+IF(((1000)-(c_TMAP3OUT))&gt;=0,1,-1)*QUOTIENT(((1000)-(c_TMAP3IN)),2))+2147483648,4294967296)-2147483648,((1000)-(c_TMAP3IN))*(((A49)-(c_TMAP3IN))*((1000)-(c_TMAP3OUT))+IF(((1000)-(c_TMAP3OUT))&gt;=0,1,-1)*QUOTIENT(((1000)-(c_TMAP3IN)),2)))&gt;=0,1,0)))</f>
        <v>-177</v>
      </c>
      <c r="H49" s="7" t="str">
        <f aca="false">IF(A49&gt;=c_TFWD,IF(AND(A49&gt;=c_TMAP3IN,c_TMAP3IN&lt;1000),"Seg4 map3-100%",IF(AND(A49&gt;=c_TMAP2IN,c_TMAP3IN&gt;c_TMAP2IN),"Seg3 map2-map3",IF(AND(A49&gt;=c_TMAP1IN,c_TMAP2IN&gt;c_TMAP1IN),"Seg2 map1-map2","Seg1 TFWD-map1"))),IF(AND(A49=0,c_TCREEP&gt;0),"Creep",IF(AND(A49&lt;=c_TRNGMIN,A49&gt;=c_TRNGMAX,c_TRNGMIN-c_TRNGMAX&lt;&gt;0),"Regen ramp","Coast (0)")))</f>
        <v>Seg1 TFWD-map1</v>
      </c>
      <c r="I49" s="7" t="n">
        <f aca="false">IF(A49&gt;=c_TFWD,IF(AND(A49&gt;=c_TMAP3IN,c_TMAP3IN&lt;1000),G49,IF(AND(A49&gt;=c_TMAP2IN,c_TMAP3IN&gt;c_TMAP2IN),F49,IF(AND(A49&gt;=c_TMAP1IN,c_TMAP2IN&gt;c_TMAP1IN),E49,D49))),C49)</f>
        <v>26</v>
      </c>
      <c r="J49" s="7" t="str">
        <f aca="false">IF(I49&lt;-1090,"TOO LOW",IF(I49&gt;1090,"TOO HIGH",""))</f>
        <v/>
      </c>
      <c r="K49" s="15" t="n">
        <f aca="false">IF(J49&lt;&gt;"",0,IF(I49&gt;979,1000,I49))</f>
        <v>26</v>
      </c>
      <c r="L49" s="7" t="n">
        <f aca="false">K49/10</f>
        <v>2.6</v>
      </c>
    </row>
    <row r="50" customFormat="false" ht="15" hidden="false" customHeight="false" outlineLevel="0" collapsed="false">
      <c r="A50" s="7" t="n">
        <v>45</v>
      </c>
      <c r="B50" s="7" t="n">
        <f aca="false">A50/10</f>
        <v>4.5</v>
      </c>
      <c r="C50" s="7" t="n">
        <f aca="false">IF(AND(A50=0,c_TCREEP&gt;0),10*c_TCREEP,IF(AND(A50&lt;=c_TRNGMIN,A50&gt;=c_TRNGMAX,c_TRNGMIN-c_TRNGMAX&lt;&gt;0),-10*c_TMINRN+QUOTIENT((c_TMAXRN-c_TMINRN)*(100-QUOTIENT((A50-c_TRNGMAX)*100,c_TRNGMIN-c_TRNGMAX)),-10),0))</f>
        <v>0</v>
      </c>
      <c r="D50" s="7" t="n">
        <f aca="false">IF(((c_TMAP1IN)-(c_TFWD))=0,(0)+QUOTIENT(((c_TMAP1OUT)-(0)),2),QUOTIENT((((A50)-(c_TFWD))*((c_TMAP1OUT)-(0))+IF(((c_TMAP1OUT)-(0))&gt;=0,1,-1)*QUOTIENT(((c_TMAP1IN)-(c_TFWD)),2)),((c_TMAP1IN)-(c_TFWD)))+(0)+IF(((c_TMAP1OUT)-(0))&gt;=0,IF(IF(o_WRAP=1,MOD(((c_TMAP1IN)-(c_TFWD))*(((A50)-(c_TFWD))*((c_TMAP1OUT)-(0))+IF(((c_TMAP1OUT)-(0))&gt;=0,1,-1)*QUOTIENT(((c_TMAP1IN)-(c_TFWD)),2))+2147483648,4294967296)-2147483648,((c_TMAP1IN)-(c_TFWD))*(((A50)-(c_TFWD))*((c_TMAP1OUT)-(0))+IF(((c_TMAP1OUT)-(0))&gt;=0,1,-1)*QUOTIENT(((c_TMAP1IN)-(c_TFWD)),2)))&lt;0,-1,0),IF(IF(o_WRAP=1,MOD(((c_TMAP1IN)-(c_TFWD))*(((A50)-(c_TFWD))*((c_TMAP1OUT)-(0))+IF(((c_TMAP1OUT)-(0))&gt;=0,1,-1)*QUOTIENT(((c_TMAP1IN)-(c_TFWD)),2))+2147483648,4294967296)-2147483648,((c_TMAP1IN)-(c_TFWD))*(((A50)-(c_TFWD))*((c_TMAP1OUT)-(0))+IF(((c_TMAP1OUT)-(0))&gt;=0,1,-1)*QUOTIENT(((c_TMAP1IN)-(c_TFWD)),2)))&gt;=0,1,0)))</f>
        <v>27</v>
      </c>
      <c r="E50" s="7" t="n">
        <f aca="false">IF(((c_TMAP2IN)-(c_TMAP1IN))=0,(c_TMAP1OUT)+QUOTIENT(((c_TMAP2OUT)-(c_TMAP1OUT)),2),QUOTIENT((((A50)-(c_TMAP1IN))*((c_TMAP2OUT)-(c_TMAP1OUT))+IF(((c_TMAP2OUT)-(c_TMAP1OUT))&gt;=0,1,-1)*QUOTIENT(((c_TMAP2IN)-(c_TMAP1IN)),2)),((c_TMAP2IN)-(c_TMAP1IN)))+(c_TMAP1OUT)+IF(((c_TMAP2OUT)-(c_TMAP1OUT))&gt;=0,IF(IF(o_WRAP=1,MOD(((c_TMAP2IN)-(c_TMAP1IN))*(((A50)-(c_TMAP1IN))*((c_TMAP2OUT)-(c_TMAP1OUT))+IF(((c_TMAP2OUT)-(c_TMAP1OUT))&gt;=0,1,-1)*QUOTIENT(((c_TMAP2IN)-(c_TMAP1IN)),2))+2147483648,4294967296)-2147483648,((c_TMAP2IN)-(c_TMAP1IN))*(((A50)-(c_TMAP1IN))*((c_TMAP2OUT)-(c_TMAP1OUT))+IF(((c_TMAP2OUT)-(c_TMAP1OUT))&gt;=0,1,-1)*QUOTIENT(((c_TMAP2IN)-(c_TMAP1IN)),2)))&lt;0,-1,0),IF(IF(o_WRAP=1,MOD(((c_TMAP2IN)-(c_TMAP1IN))*(((A50)-(c_TMAP1IN))*((c_TMAP2OUT)-(c_TMAP1OUT))+IF(((c_TMAP2OUT)-(c_TMAP1OUT))&gt;=0,1,-1)*QUOTIENT(((c_TMAP2IN)-(c_TMAP1IN)),2))+2147483648,4294967296)-2147483648,((c_TMAP2IN)-(c_TMAP1IN))*(((A50)-(c_TMAP1IN))*((c_TMAP2OUT)-(c_TMAP1OUT))+IF(((c_TMAP2OUT)-(c_TMAP1OUT))&gt;=0,1,-1)*QUOTIENT(((c_TMAP2IN)-(c_TMAP1IN)),2)))&gt;=0,1,0)))</f>
        <v>48</v>
      </c>
      <c r="F50" s="7" t="n">
        <f aca="false">IF(((c_TMAP3IN)-(c_TMAP2IN))=0,(c_TMAP2OUT)+QUOTIENT(((c_TMAP3OUT)-(c_TMAP2OUT)),2),QUOTIENT((((A50)-(c_TMAP2IN))*((c_TMAP3OUT)-(c_TMAP2OUT))+IF(((c_TMAP3OUT)-(c_TMAP2OUT))&gt;=0,1,-1)*QUOTIENT(((c_TMAP3IN)-(c_TMAP2IN)),2)),((c_TMAP3IN)-(c_TMAP2IN)))+(c_TMAP2OUT)+IF(((c_TMAP3OUT)-(c_TMAP2OUT))&gt;=0,IF(IF(o_WRAP=1,MOD(((c_TMAP3IN)-(c_TMAP2IN))*(((A50)-(c_TMAP2IN))*((c_TMAP3OUT)-(c_TMAP2OUT))+IF(((c_TMAP3OUT)-(c_TMAP2OUT))&gt;=0,1,-1)*QUOTIENT(((c_TMAP3IN)-(c_TMAP2IN)),2))+2147483648,4294967296)-2147483648,((c_TMAP3IN)-(c_TMAP2IN))*(((A50)-(c_TMAP2IN))*((c_TMAP3OUT)-(c_TMAP2OUT))+IF(((c_TMAP3OUT)-(c_TMAP2OUT))&gt;=0,1,-1)*QUOTIENT(((c_TMAP3IN)-(c_TMAP2IN)),2)))&lt;0,-1,0),IF(IF(o_WRAP=1,MOD(((c_TMAP3IN)-(c_TMAP2IN))*(((A50)-(c_TMAP2IN))*((c_TMAP3OUT)-(c_TMAP2OUT))+IF(((c_TMAP3OUT)-(c_TMAP2OUT))&gt;=0,1,-1)*QUOTIENT(((c_TMAP3IN)-(c_TMAP2IN)),2))+2147483648,4294967296)-2147483648,((c_TMAP3IN)-(c_TMAP2IN))*(((A50)-(c_TMAP2IN))*((c_TMAP3OUT)-(c_TMAP2OUT))+IF(((c_TMAP3OUT)-(c_TMAP2OUT))&gt;=0,1,-1)*QUOTIENT(((c_TMAP3IN)-(c_TMAP2IN)),2)))&gt;=0,1,0)))</f>
        <v>-14</v>
      </c>
      <c r="G50" s="7" t="n">
        <f aca="false">IF(((1000)-(c_TMAP3IN))=0,(c_TMAP3OUT)+QUOTIENT(((1000)-(c_TMAP3OUT)),2),QUOTIENT((((A50)-(c_TMAP3IN))*((1000)-(c_TMAP3OUT))+IF(((1000)-(c_TMAP3OUT))&gt;=0,1,-1)*QUOTIENT(((1000)-(c_TMAP3IN)),2)),((1000)-(c_TMAP3IN)))+(c_TMAP3OUT)+IF(((1000)-(c_TMAP3OUT))&gt;=0,IF(IF(o_WRAP=1,MOD(((1000)-(c_TMAP3IN))*(((A50)-(c_TMAP3IN))*((1000)-(c_TMAP3OUT))+IF(((1000)-(c_TMAP3OUT))&gt;=0,1,-1)*QUOTIENT(((1000)-(c_TMAP3IN)),2))+2147483648,4294967296)-2147483648,((1000)-(c_TMAP3IN))*(((A50)-(c_TMAP3IN))*((1000)-(c_TMAP3OUT))+IF(((1000)-(c_TMAP3OUT))&gt;=0,1,-1)*QUOTIENT(((1000)-(c_TMAP3IN)),2)))&lt;0,-1,0),IF(IF(o_WRAP=1,MOD(((1000)-(c_TMAP3IN))*(((A50)-(c_TMAP3IN))*((1000)-(c_TMAP3OUT))+IF(((1000)-(c_TMAP3OUT))&gt;=0,1,-1)*QUOTIENT(((1000)-(c_TMAP3IN)),2))+2147483648,4294967296)-2147483648,((1000)-(c_TMAP3IN))*(((A50)-(c_TMAP3IN))*((1000)-(c_TMAP3OUT))+IF(((1000)-(c_TMAP3OUT))&gt;=0,1,-1)*QUOTIENT(((1000)-(c_TMAP3IN)),2)))&gt;=0,1,0)))</f>
        <v>-175</v>
      </c>
      <c r="H50" s="7" t="str">
        <f aca="false">IF(A50&gt;=c_TFWD,IF(AND(A50&gt;=c_TMAP3IN,c_TMAP3IN&lt;1000),"Seg4 map3-100%",IF(AND(A50&gt;=c_TMAP2IN,c_TMAP3IN&gt;c_TMAP2IN),"Seg3 map2-map3",IF(AND(A50&gt;=c_TMAP1IN,c_TMAP2IN&gt;c_TMAP1IN),"Seg2 map1-map2","Seg1 TFWD-map1"))),IF(AND(A50=0,c_TCREEP&gt;0),"Creep",IF(AND(A50&lt;=c_TRNGMIN,A50&gt;=c_TRNGMAX,c_TRNGMIN-c_TRNGMAX&lt;&gt;0),"Regen ramp","Coast (0)")))</f>
        <v>Seg1 TFWD-map1</v>
      </c>
      <c r="I50" s="7" t="n">
        <f aca="false">IF(A50&gt;=c_TFWD,IF(AND(A50&gt;=c_TMAP3IN,c_TMAP3IN&lt;1000),G50,IF(AND(A50&gt;=c_TMAP2IN,c_TMAP3IN&gt;c_TMAP2IN),F50,IF(AND(A50&gt;=c_TMAP1IN,c_TMAP2IN&gt;c_TMAP1IN),E50,D50))),C50)</f>
        <v>27</v>
      </c>
      <c r="J50" s="7" t="str">
        <f aca="false">IF(I50&lt;-1090,"TOO LOW",IF(I50&gt;1090,"TOO HIGH",""))</f>
        <v/>
      </c>
      <c r="K50" s="15" t="n">
        <f aca="false">IF(J50&lt;&gt;"",0,IF(I50&gt;979,1000,I50))</f>
        <v>27</v>
      </c>
      <c r="L50" s="7" t="n">
        <f aca="false">K50/10</f>
        <v>2.7</v>
      </c>
    </row>
    <row r="51" customFormat="false" ht="15" hidden="false" customHeight="false" outlineLevel="0" collapsed="false">
      <c r="A51" s="7" t="n">
        <v>46</v>
      </c>
      <c r="B51" s="7" t="n">
        <f aca="false">A51/10</f>
        <v>4.6</v>
      </c>
      <c r="C51" s="7" t="n">
        <f aca="false">IF(AND(A51=0,c_TCREEP&gt;0),10*c_TCREEP,IF(AND(A51&lt;=c_TRNGMIN,A51&gt;=c_TRNGMAX,c_TRNGMIN-c_TRNGMAX&lt;&gt;0),-10*c_TMINRN+QUOTIENT((c_TMAXRN-c_TMINRN)*(100-QUOTIENT((A51-c_TRNGMAX)*100,c_TRNGMIN-c_TRNGMAX)),-10),0))</f>
        <v>0</v>
      </c>
      <c r="D51" s="7" t="n">
        <f aca="false">IF(((c_TMAP1IN)-(c_TFWD))=0,(0)+QUOTIENT(((c_TMAP1OUT)-(0)),2),QUOTIENT((((A51)-(c_TFWD))*((c_TMAP1OUT)-(0))+IF(((c_TMAP1OUT)-(0))&gt;=0,1,-1)*QUOTIENT(((c_TMAP1IN)-(c_TFWD)),2)),((c_TMAP1IN)-(c_TFWD)))+(0)+IF(((c_TMAP1OUT)-(0))&gt;=0,IF(IF(o_WRAP=1,MOD(((c_TMAP1IN)-(c_TFWD))*(((A51)-(c_TFWD))*((c_TMAP1OUT)-(0))+IF(((c_TMAP1OUT)-(0))&gt;=0,1,-1)*QUOTIENT(((c_TMAP1IN)-(c_TFWD)),2))+2147483648,4294967296)-2147483648,((c_TMAP1IN)-(c_TFWD))*(((A51)-(c_TFWD))*((c_TMAP1OUT)-(0))+IF(((c_TMAP1OUT)-(0))&gt;=0,1,-1)*QUOTIENT(((c_TMAP1IN)-(c_TFWD)),2)))&lt;0,-1,0),IF(IF(o_WRAP=1,MOD(((c_TMAP1IN)-(c_TFWD))*(((A51)-(c_TFWD))*((c_TMAP1OUT)-(0))+IF(((c_TMAP1OUT)-(0))&gt;=0,1,-1)*QUOTIENT(((c_TMAP1IN)-(c_TFWD)),2))+2147483648,4294967296)-2147483648,((c_TMAP1IN)-(c_TFWD))*(((A51)-(c_TFWD))*((c_TMAP1OUT)-(0))+IF(((c_TMAP1OUT)-(0))&gt;=0,1,-1)*QUOTIENT(((c_TMAP1IN)-(c_TFWD)),2)))&gt;=0,1,0)))</f>
        <v>28</v>
      </c>
      <c r="E51" s="7" t="n">
        <f aca="false">IF(((c_TMAP2IN)-(c_TMAP1IN))=0,(c_TMAP1OUT)+QUOTIENT(((c_TMAP2OUT)-(c_TMAP1OUT)),2),QUOTIENT((((A51)-(c_TMAP1IN))*((c_TMAP2OUT)-(c_TMAP1OUT))+IF(((c_TMAP2OUT)-(c_TMAP1OUT))&gt;=0,1,-1)*QUOTIENT(((c_TMAP2IN)-(c_TMAP1IN)),2)),((c_TMAP2IN)-(c_TMAP1IN)))+(c_TMAP1OUT)+IF(((c_TMAP2OUT)-(c_TMAP1OUT))&gt;=0,IF(IF(o_WRAP=1,MOD(((c_TMAP2IN)-(c_TMAP1IN))*(((A51)-(c_TMAP1IN))*((c_TMAP2OUT)-(c_TMAP1OUT))+IF(((c_TMAP2OUT)-(c_TMAP1OUT))&gt;=0,1,-1)*QUOTIENT(((c_TMAP2IN)-(c_TMAP1IN)),2))+2147483648,4294967296)-2147483648,((c_TMAP2IN)-(c_TMAP1IN))*(((A51)-(c_TMAP1IN))*((c_TMAP2OUT)-(c_TMAP1OUT))+IF(((c_TMAP2OUT)-(c_TMAP1OUT))&gt;=0,1,-1)*QUOTIENT(((c_TMAP2IN)-(c_TMAP1IN)),2)))&lt;0,-1,0),IF(IF(o_WRAP=1,MOD(((c_TMAP2IN)-(c_TMAP1IN))*(((A51)-(c_TMAP1IN))*((c_TMAP2OUT)-(c_TMAP1OUT))+IF(((c_TMAP2OUT)-(c_TMAP1OUT))&gt;=0,1,-1)*QUOTIENT(((c_TMAP2IN)-(c_TMAP1IN)),2))+2147483648,4294967296)-2147483648,((c_TMAP2IN)-(c_TMAP1IN))*(((A51)-(c_TMAP1IN))*((c_TMAP2OUT)-(c_TMAP1OUT))+IF(((c_TMAP2OUT)-(c_TMAP1OUT))&gt;=0,1,-1)*QUOTIENT(((c_TMAP2IN)-(c_TMAP1IN)),2)))&gt;=0,1,0)))</f>
        <v>48</v>
      </c>
      <c r="F51" s="7" t="n">
        <f aca="false">IF(((c_TMAP3IN)-(c_TMAP2IN))=0,(c_TMAP2OUT)+QUOTIENT(((c_TMAP3OUT)-(c_TMAP2OUT)),2),QUOTIENT((((A51)-(c_TMAP2IN))*((c_TMAP3OUT)-(c_TMAP2OUT))+IF(((c_TMAP3OUT)-(c_TMAP2OUT))&gt;=0,1,-1)*QUOTIENT(((c_TMAP3IN)-(c_TMAP2IN)),2)),((c_TMAP3IN)-(c_TMAP2IN)))+(c_TMAP2OUT)+IF(((c_TMAP3OUT)-(c_TMAP2OUT))&gt;=0,IF(IF(o_WRAP=1,MOD(((c_TMAP3IN)-(c_TMAP2IN))*(((A51)-(c_TMAP2IN))*((c_TMAP3OUT)-(c_TMAP2OUT))+IF(((c_TMAP3OUT)-(c_TMAP2OUT))&gt;=0,1,-1)*QUOTIENT(((c_TMAP3IN)-(c_TMAP2IN)),2))+2147483648,4294967296)-2147483648,((c_TMAP3IN)-(c_TMAP2IN))*(((A51)-(c_TMAP2IN))*((c_TMAP3OUT)-(c_TMAP2OUT))+IF(((c_TMAP3OUT)-(c_TMAP2OUT))&gt;=0,1,-1)*QUOTIENT(((c_TMAP3IN)-(c_TMAP2IN)),2)))&lt;0,-1,0),IF(IF(o_WRAP=1,MOD(((c_TMAP3IN)-(c_TMAP2IN))*(((A51)-(c_TMAP2IN))*((c_TMAP3OUT)-(c_TMAP2OUT))+IF(((c_TMAP3OUT)-(c_TMAP2OUT))&gt;=0,1,-1)*QUOTIENT(((c_TMAP3IN)-(c_TMAP2IN)),2))+2147483648,4294967296)-2147483648,((c_TMAP3IN)-(c_TMAP2IN))*(((A51)-(c_TMAP2IN))*((c_TMAP3OUT)-(c_TMAP2OUT))+IF(((c_TMAP3OUT)-(c_TMAP2OUT))&gt;=0,1,-1)*QUOTIENT(((c_TMAP3IN)-(c_TMAP2IN)),2)))&gt;=0,1,0)))</f>
        <v>-13</v>
      </c>
      <c r="G51" s="7" t="n">
        <f aca="false">IF(((1000)-(c_TMAP3IN))=0,(c_TMAP3OUT)+QUOTIENT(((1000)-(c_TMAP3OUT)),2),QUOTIENT((((A51)-(c_TMAP3IN))*((1000)-(c_TMAP3OUT))+IF(((1000)-(c_TMAP3OUT))&gt;=0,1,-1)*QUOTIENT(((1000)-(c_TMAP3IN)),2)),((1000)-(c_TMAP3IN)))+(c_TMAP3OUT)+IF(((1000)-(c_TMAP3OUT))&gt;=0,IF(IF(o_WRAP=1,MOD(((1000)-(c_TMAP3IN))*(((A51)-(c_TMAP3IN))*((1000)-(c_TMAP3OUT))+IF(((1000)-(c_TMAP3OUT))&gt;=0,1,-1)*QUOTIENT(((1000)-(c_TMAP3IN)),2))+2147483648,4294967296)-2147483648,((1000)-(c_TMAP3IN))*(((A51)-(c_TMAP3IN))*((1000)-(c_TMAP3OUT))+IF(((1000)-(c_TMAP3OUT))&gt;=0,1,-1)*QUOTIENT(((1000)-(c_TMAP3IN)),2)))&lt;0,-1,0),IF(IF(o_WRAP=1,MOD(((1000)-(c_TMAP3IN))*(((A51)-(c_TMAP3IN))*((1000)-(c_TMAP3OUT))+IF(((1000)-(c_TMAP3OUT))&gt;=0,1,-1)*QUOTIENT(((1000)-(c_TMAP3IN)),2))+2147483648,4294967296)-2147483648,((1000)-(c_TMAP3IN))*(((A51)-(c_TMAP3IN))*((1000)-(c_TMAP3OUT))+IF(((1000)-(c_TMAP3OUT))&gt;=0,1,-1)*QUOTIENT(((1000)-(c_TMAP3IN)),2)))&gt;=0,1,0)))</f>
        <v>-174</v>
      </c>
      <c r="H51" s="7" t="str">
        <f aca="false">IF(A51&gt;=c_TFWD,IF(AND(A51&gt;=c_TMAP3IN,c_TMAP3IN&lt;1000),"Seg4 map3-100%",IF(AND(A51&gt;=c_TMAP2IN,c_TMAP3IN&gt;c_TMAP2IN),"Seg3 map2-map3",IF(AND(A51&gt;=c_TMAP1IN,c_TMAP2IN&gt;c_TMAP1IN),"Seg2 map1-map2","Seg1 TFWD-map1"))),IF(AND(A51=0,c_TCREEP&gt;0),"Creep",IF(AND(A51&lt;=c_TRNGMIN,A51&gt;=c_TRNGMAX,c_TRNGMIN-c_TRNGMAX&lt;&gt;0),"Regen ramp","Coast (0)")))</f>
        <v>Seg1 TFWD-map1</v>
      </c>
      <c r="I51" s="7" t="n">
        <f aca="false">IF(A51&gt;=c_TFWD,IF(AND(A51&gt;=c_TMAP3IN,c_TMAP3IN&lt;1000),G51,IF(AND(A51&gt;=c_TMAP2IN,c_TMAP3IN&gt;c_TMAP2IN),F51,IF(AND(A51&gt;=c_TMAP1IN,c_TMAP2IN&gt;c_TMAP1IN),E51,D51))),C51)</f>
        <v>28</v>
      </c>
      <c r="J51" s="7" t="str">
        <f aca="false">IF(I51&lt;-1090,"TOO LOW",IF(I51&gt;1090,"TOO HIGH",""))</f>
        <v/>
      </c>
      <c r="K51" s="15" t="n">
        <f aca="false">IF(J51&lt;&gt;"",0,IF(I51&gt;979,1000,I51))</f>
        <v>28</v>
      </c>
      <c r="L51" s="7" t="n">
        <f aca="false">K51/10</f>
        <v>2.8</v>
      </c>
    </row>
    <row r="52" customFormat="false" ht="15" hidden="false" customHeight="false" outlineLevel="0" collapsed="false">
      <c r="A52" s="7" t="n">
        <v>47</v>
      </c>
      <c r="B52" s="7" t="n">
        <f aca="false">A52/10</f>
        <v>4.7</v>
      </c>
      <c r="C52" s="7" t="n">
        <f aca="false">IF(AND(A52=0,c_TCREEP&gt;0),10*c_TCREEP,IF(AND(A52&lt;=c_TRNGMIN,A52&gt;=c_TRNGMAX,c_TRNGMIN-c_TRNGMAX&lt;&gt;0),-10*c_TMINRN+QUOTIENT((c_TMAXRN-c_TMINRN)*(100-QUOTIENT((A52-c_TRNGMAX)*100,c_TRNGMIN-c_TRNGMAX)),-10),0))</f>
        <v>0</v>
      </c>
      <c r="D52" s="7" t="n">
        <f aca="false">IF(((c_TMAP1IN)-(c_TFWD))=0,(0)+QUOTIENT(((c_TMAP1OUT)-(0)),2),QUOTIENT((((A52)-(c_TFWD))*((c_TMAP1OUT)-(0))+IF(((c_TMAP1OUT)-(0))&gt;=0,1,-1)*QUOTIENT(((c_TMAP1IN)-(c_TFWD)),2)),((c_TMAP1IN)-(c_TFWD)))+(0)+IF(((c_TMAP1OUT)-(0))&gt;=0,IF(IF(o_WRAP=1,MOD(((c_TMAP1IN)-(c_TFWD))*(((A52)-(c_TFWD))*((c_TMAP1OUT)-(0))+IF(((c_TMAP1OUT)-(0))&gt;=0,1,-1)*QUOTIENT(((c_TMAP1IN)-(c_TFWD)),2))+2147483648,4294967296)-2147483648,((c_TMAP1IN)-(c_TFWD))*(((A52)-(c_TFWD))*((c_TMAP1OUT)-(0))+IF(((c_TMAP1OUT)-(0))&gt;=0,1,-1)*QUOTIENT(((c_TMAP1IN)-(c_TFWD)),2)))&lt;0,-1,0),IF(IF(o_WRAP=1,MOD(((c_TMAP1IN)-(c_TFWD))*(((A52)-(c_TFWD))*((c_TMAP1OUT)-(0))+IF(((c_TMAP1OUT)-(0))&gt;=0,1,-1)*QUOTIENT(((c_TMAP1IN)-(c_TFWD)),2))+2147483648,4294967296)-2147483648,((c_TMAP1IN)-(c_TFWD))*(((A52)-(c_TFWD))*((c_TMAP1OUT)-(0))+IF(((c_TMAP1OUT)-(0))&gt;=0,1,-1)*QUOTIENT(((c_TMAP1IN)-(c_TFWD)),2)))&gt;=0,1,0)))</f>
        <v>29</v>
      </c>
      <c r="E52" s="7" t="n">
        <f aca="false">IF(((c_TMAP2IN)-(c_TMAP1IN))=0,(c_TMAP1OUT)+QUOTIENT(((c_TMAP2OUT)-(c_TMAP1OUT)),2),QUOTIENT((((A52)-(c_TMAP1IN))*((c_TMAP2OUT)-(c_TMAP1OUT))+IF(((c_TMAP2OUT)-(c_TMAP1OUT))&gt;=0,1,-1)*QUOTIENT(((c_TMAP2IN)-(c_TMAP1IN)),2)),((c_TMAP2IN)-(c_TMAP1IN)))+(c_TMAP1OUT)+IF(((c_TMAP2OUT)-(c_TMAP1OUT))&gt;=0,IF(IF(o_WRAP=1,MOD(((c_TMAP2IN)-(c_TMAP1IN))*(((A52)-(c_TMAP1IN))*((c_TMAP2OUT)-(c_TMAP1OUT))+IF(((c_TMAP2OUT)-(c_TMAP1OUT))&gt;=0,1,-1)*QUOTIENT(((c_TMAP2IN)-(c_TMAP1IN)),2))+2147483648,4294967296)-2147483648,((c_TMAP2IN)-(c_TMAP1IN))*(((A52)-(c_TMAP1IN))*((c_TMAP2OUT)-(c_TMAP1OUT))+IF(((c_TMAP2OUT)-(c_TMAP1OUT))&gt;=0,1,-1)*QUOTIENT(((c_TMAP2IN)-(c_TMAP1IN)),2)))&lt;0,-1,0),IF(IF(o_WRAP=1,MOD(((c_TMAP2IN)-(c_TMAP1IN))*(((A52)-(c_TMAP1IN))*((c_TMAP2OUT)-(c_TMAP1OUT))+IF(((c_TMAP2OUT)-(c_TMAP1OUT))&gt;=0,1,-1)*QUOTIENT(((c_TMAP2IN)-(c_TMAP1IN)),2))+2147483648,4294967296)-2147483648,((c_TMAP2IN)-(c_TMAP1IN))*(((A52)-(c_TMAP1IN))*((c_TMAP2OUT)-(c_TMAP1OUT))+IF(((c_TMAP2OUT)-(c_TMAP1OUT))&gt;=0,1,-1)*QUOTIENT(((c_TMAP2IN)-(c_TMAP1IN)),2)))&gt;=0,1,0)))</f>
        <v>49</v>
      </c>
      <c r="F52" s="7" t="n">
        <f aca="false">IF(((c_TMAP3IN)-(c_TMAP2IN))=0,(c_TMAP2OUT)+QUOTIENT(((c_TMAP3OUT)-(c_TMAP2OUT)),2),QUOTIENT((((A52)-(c_TMAP2IN))*((c_TMAP3OUT)-(c_TMAP2OUT))+IF(((c_TMAP3OUT)-(c_TMAP2OUT))&gt;=0,1,-1)*QUOTIENT(((c_TMAP3IN)-(c_TMAP2IN)),2)),((c_TMAP3IN)-(c_TMAP2IN)))+(c_TMAP2OUT)+IF(((c_TMAP3OUT)-(c_TMAP2OUT))&gt;=0,IF(IF(o_WRAP=1,MOD(((c_TMAP3IN)-(c_TMAP2IN))*(((A52)-(c_TMAP2IN))*((c_TMAP3OUT)-(c_TMAP2OUT))+IF(((c_TMAP3OUT)-(c_TMAP2OUT))&gt;=0,1,-1)*QUOTIENT(((c_TMAP3IN)-(c_TMAP2IN)),2))+2147483648,4294967296)-2147483648,((c_TMAP3IN)-(c_TMAP2IN))*(((A52)-(c_TMAP2IN))*((c_TMAP3OUT)-(c_TMAP2OUT))+IF(((c_TMAP3OUT)-(c_TMAP2OUT))&gt;=0,1,-1)*QUOTIENT(((c_TMAP3IN)-(c_TMAP2IN)),2)))&lt;0,-1,0),IF(IF(o_WRAP=1,MOD(((c_TMAP3IN)-(c_TMAP2IN))*(((A52)-(c_TMAP2IN))*((c_TMAP3OUT)-(c_TMAP2OUT))+IF(((c_TMAP3OUT)-(c_TMAP2OUT))&gt;=0,1,-1)*QUOTIENT(((c_TMAP3IN)-(c_TMAP2IN)),2))+2147483648,4294967296)-2147483648,((c_TMAP3IN)-(c_TMAP2IN))*(((A52)-(c_TMAP2IN))*((c_TMAP3OUT)-(c_TMAP2OUT))+IF(((c_TMAP3OUT)-(c_TMAP2OUT))&gt;=0,1,-1)*QUOTIENT(((c_TMAP3IN)-(c_TMAP2IN)),2)))&gt;=0,1,0)))</f>
        <v>-12</v>
      </c>
      <c r="G52" s="7" t="n">
        <f aca="false">IF(((1000)-(c_TMAP3IN))=0,(c_TMAP3OUT)+QUOTIENT(((1000)-(c_TMAP3OUT)),2),QUOTIENT((((A52)-(c_TMAP3IN))*((1000)-(c_TMAP3OUT))+IF(((1000)-(c_TMAP3OUT))&gt;=0,1,-1)*QUOTIENT(((1000)-(c_TMAP3IN)),2)),((1000)-(c_TMAP3IN)))+(c_TMAP3OUT)+IF(((1000)-(c_TMAP3OUT))&gt;=0,IF(IF(o_WRAP=1,MOD(((1000)-(c_TMAP3IN))*(((A52)-(c_TMAP3IN))*((1000)-(c_TMAP3OUT))+IF(((1000)-(c_TMAP3OUT))&gt;=0,1,-1)*QUOTIENT(((1000)-(c_TMAP3IN)),2))+2147483648,4294967296)-2147483648,((1000)-(c_TMAP3IN))*(((A52)-(c_TMAP3IN))*((1000)-(c_TMAP3OUT))+IF(((1000)-(c_TMAP3OUT))&gt;=0,1,-1)*QUOTIENT(((1000)-(c_TMAP3IN)),2)))&lt;0,-1,0),IF(IF(o_WRAP=1,MOD(((1000)-(c_TMAP3IN))*(((A52)-(c_TMAP3IN))*((1000)-(c_TMAP3OUT))+IF(((1000)-(c_TMAP3OUT))&gt;=0,1,-1)*QUOTIENT(((1000)-(c_TMAP3IN)),2))+2147483648,4294967296)-2147483648,((1000)-(c_TMAP3IN))*(((A52)-(c_TMAP3IN))*((1000)-(c_TMAP3OUT))+IF(((1000)-(c_TMAP3OUT))&gt;=0,1,-1)*QUOTIENT(((1000)-(c_TMAP3IN)),2)))&gt;=0,1,0)))</f>
        <v>-173</v>
      </c>
      <c r="H52" s="7" t="str">
        <f aca="false">IF(A52&gt;=c_TFWD,IF(AND(A52&gt;=c_TMAP3IN,c_TMAP3IN&lt;1000),"Seg4 map3-100%",IF(AND(A52&gt;=c_TMAP2IN,c_TMAP3IN&gt;c_TMAP2IN),"Seg3 map2-map3",IF(AND(A52&gt;=c_TMAP1IN,c_TMAP2IN&gt;c_TMAP1IN),"Seg2 map1-map2","Seg1 TFWD-map1"))),IF(AND(A52=0,c_TCREEP&gt;0),"Creep",IF(AND(A52&lt;=c_TRNGMIN,A52&gt;=c_TRNGMAX,c_TRNGMIN-c_TRNGMAX&lt;&gt;0),"Regen ramp","Coast (0)")))</f>
        <v>Seg1 TFWD-map1</v>
      </c>
      <c r="I52" s="7" t="n">
        <f aca="false">IF(A52&gt;=c_TFWD,IF(AND(A52&gt;=c_TMAP3IN,c_TMAP3IN&lt;1000),G52,IF(AND(A52&gt;=c_TMAP2IN,c_TMAP3IN&gt;c_TMAP2IN),F52,IF(AND(A52&gt;=c_TMAP1IN,c_TMAP2IN&gt;c_TMAP1IN),E52,D52))),C52)</f>
        <v>29</v>
      </c>
      <c r="J52" s="7" t="str">
        <f aca="false">IF(I52&lt;-1090,"TOO LOW",IF(I52&gt;1090,"TOO HIGH",""))</f>
        <v/>
      </c>
      <c r="K52" s="15" t="n">
        <f aca="false">IF(J52&lt;&gt;"",0,IF(I52&gt;979,1000,I52))</f>
        <v>29</v>
      </c>
      <c r="L52" s="7" t="n">
        <f aca="false">K52/10</f>
        <v>2.9</v>
      </c>
    </row>
    <row r="53" customFormat="false" ht="15" hidden="false" customHeight="false" outlineLevel="0" collapsed="false">
      <c r="A53" s="7" t="n">
        <v>48</v>
      </c>
      <c r="B53" s="7" t="n">
        <f aca="false">A53/10</f>
        <v>4.8</v>
      </c>
      <c r="C53" s="7" t="n">
        <f aca="false">IF(AND(A53=0,c_TCREEP&gt;0),10*c_TCREEP,IF(AND(A53&lt;=c_TRNGMIN,A53&gt;=c_TRNGMAX,c_TRNGMIN-c_TRNGMAX&lt;&gt;0),-10*c_TMINRN+QUOTIENT((c_TMAXRN-c_TMINRN)*(100-QUOTIENT((A53-c_TRNGMAX)*100,c_TRNGMIN-c_TRNGMAX)),-10),0))</f>
        <v>0</v>
      </c>
      <c r="D53" s="7" t="n">
        <f aca="false">IF(((c_TMAP1IN)-(c_TFWD))=0,(0)+QUOTIENT(((c_TMAP1OUT)-(0)),2),QUOTIENT((((A53)-(c_TFWD))*((c_TMAP1OUT)-(0))+IF(((c_TMAP1OUT)-(0))&gt;=0,1,-1)*QUOTIENT(((c_TMAP1IN)-(c_TFWD)),2)),((c_TMAP1IN)-(c_TFWD)))+(0)+IF(((c_TMAP1OUT)-(0))&gt;=0,IF(IF(o_WRAP=1,MOD(((c_TMAP1IN)-(c_TFWD))*(((A53)-(c_TFWD))*((c_TMAP1OUT)-(0))+IF(((c_TMAP1OUT)-(0))&gt;=0,1,-1)*QUOTIENT(((c_TMAP1IN)-(c_TFWD)),2))+2147483648,4294967296)-2147483648,((c_TMAP1IN)-(c_TFWD))*(((A53)-(c_TFWD))*((c_TMAP1OUT)-(0))+IF(((c_TMAP1OUT)-(0))&gt;=0,1,-1)*QUOTIENT(((c_TMAP1IN)-(c_TFWD)),2)))&lt;0,-1,0),IF(IF(o_WRAP=1,MOD(((c_TMAP1IN)-(c_TFWD))*(((A53)-(c_TFWD))*((c_TMAP1OUT)-(0))+IF(((c_TMAP1OUT)-(0))&gt;=0,1,-1)*QUOTIENT(((c_TMAP1IN)-(c_TFWD)),2))+2147483648,4294967296)-2147483648,((c_TMAP1IN)-(c_TFWD))*(((A53)-(c_TFWD))*((c_TMAP1OUT)-(0))+IF(((c_TMAP1OUT)-(0))&gt;=0,1,-1)*QUOTIENT(((c_TMAP1IN)-(c_TFWD)),2)))&gt;=0,1,0)))</f>
        <v>30</v>
      </c>
      <c r="E53" s="7" t="n">
        <f aca="false">IF(((c_TMAP2IN)-(c_TMAP1IN))=0,(c_TMAP1OUT)+QUOTIENT(((c_TMAP2OUT)-(c_TMAP1OUT)),2),QUOTIENT((((A53)-(c_TMAP1IN))*((c_TMAP2OUT)-(c_TMAP1OUT))+IF(((c_TMAP2OUT)-(c_TMAP1OUT))&gt;=0,1,-1)*QUOTIENT(((c_TMAP2IN)-(c_TMAP1IN)),2)),((c_TMAP2IN)-(c_TMAP1IN)))+(c_TMAP1OUT)+IF(((c_TMAP2OUT)-(c_TMAP1OUT))&gt;=0,IF(IF(o_WRAP=1,MOD(((c_TMAP2IN)-(c_TMAP1IN))*(((A53)-(c_TMAP1IN))*((c_TMAP2OUT)-(c_TMAP1OUT))+IF(((c_TMAP2OUT)-(c_TMAP1OUT))&gt;=0,1,-1)*QUOTIENT(((c_TMAP2IN)-(c_TMAP1IN)),2))+2147483648,4294967296)-2147483648,((c_TMAP2IN)-(c_TMAP1IN))*(((A53)-(c_TMAP1IN))*((c_TMAP2OUT)-(c_TMAP1OUT))+IF(((c_TMAP2OUT)-(c_TMAP1OUT))&gt;=0,1,-1)*QUOTIENT(((c_TMAP2IN)-(c_TMAP1IN)),2)))&lt;0,-1,0),IF(IF(o_WRAP=1,MOD(((c_TMAP2IN)-(c_TMAP1IN))*(((A53)-(c_TMAP1IN))*((c_TMAP2OUT)-(c_TMAP1OUT))+IF(((c_TMAP2OUT)-(c_TMAP1OUT))&gt;=0,1,-1)*QUOTIENT(((c_TMAP2IN)-(c_TMAP1IN)),2))+2147483648,4294967296)-2147483648,((c_TMAP2IN)-(c_TMAP1IN))*(((A53)-(c_TMAP1IN))*((c_TMAP2OUT)-(c_TMAP1OUT))+IF(((c_TMAP2OUT)-(c_TMAP1OUT))&gt;=0,1,-1)*QUOTIENT(((c_TMAP2IN)-(c_TMAP1IN)),2)))&gt;=0,1,0)))</f>
        <v>49</v>
      </c>
      <c r="F53" s="7" t="n">
        <f aca="false">IF(((c_TMAP3IN)-(c_TMAP2IN))=0,(c_TMAP2OUT)+QUOTIENT(((c_TMAP3OUT)-(c_TMAP2OUT)),2),QUOTIENT((((A53)-(c_TMAP2IN))*((c_TMAP3OUT)-(c_TMAP2OUT))+IF(((c_TMAP3OUT)-(c_TMAP2OUT))&gt;=0,1,-1)*QUOTIENT(((c_TMAP3IN)-(c_TMAP2IN)),2)),((c_TMAP3IN)-(c_TMAP2IN)))+(c_TMAP2OUT)+IF(((c_TMAP3OUT)-(c_TMAP2OUT))&gt;=0,IF(IF(o_WRAP=1,MOD(((c_TMAP3IN)-(c_TMAP2IN))*(((A53)-(c_TMAP2IN))*((c_TMAP3OUT)-(c_TMAP2OUT))+IF(((c_TMAP3OUT)-(c_TMAP2OUT))&gt;=0,1,-1)*QUOTIENT(((c_TMAP3IN)-(c_TMAP2IN)),2))+2147483648,4294967296)-2147483648,((c_TMAP3IN)-(c_TMAP2IN))*(((A53)-(c_TMAP2IN))*((c_TMAP3OUT)-(c_TMAP2OUT))+IF(((c_TMAP3OUT)-(c_TMAP2OUT))&gt;=0,1,-1)*QUOTIENT(((c_TMAP3IN)-(c_TMAP2IN)),2)))&lt;0,-1,0),IF(IF(o_WRAP=1,MOD(((c_TMAP3IN)-(c_TMAP2IN))*(((A53)-(c_TMAP2IN))*((c_TMAP3OUT)-(c_TMAP2OUT))+IF(((c_TMAP3OUT)-(c_TMAP2OUT))&gt;=0,1,-1)*QUOTIENT(((c_TMAP3IN)-(c_TMAP2IN)),2))+2147483648,4294967296)-2147483648,((c_TMAP3IN)-(c_TMAP2IN))*(((A53)-(c_TMAP2IN))*((c_TMAP3OUT)-(c_TMAP2OUT))+IF(((c_TMAP3OUT)-(c_TMAP2OUT))&gt;=0,1,-1)*QUOTIENT(((c_TMAP3IN)-(c_TMAP2IN)),2)))&gt;=0,1,0)))</f>
        <v>-11</v>
      </c>
      <c r="G53" s="7" t="n">
        <f aca="false">IF(((1000)-(c_TMAP3IN))=0,(c_TMAP3OUT)+QUOTIENT(((1000)-(c_TMAP3OUT)),2),QUOTIENT((((A53)-(c_TMAP3IN))*((1000)-(c_TMAP3OUT))+IF(((1000)-(c_TMAP3OUT))&gt;=0,1,-1)*QUOTIENT(((1000)-(c_TMAP3IN)),2)),((1000)-(c_TMAP3IN)))+(c_TMAP3OUT)+IF(((1000)-(c_TMAP3OUT))&gt;=0,IF(IF(o_WRAP=1,MOD(((1000)-(c_TMAP3IN))*(((A53)-(c_TMAP3IN))*((1000)-(c_TMAP3OUT))+IF(((1000)-(c_TMAP3OUT))&gt;=0,1,-1)*QUOTIENT(((1000)-(c_TMAP3IN)),2))+2147483648,4294967296)-2147483648,((1000)-(c_TMAP3IN))*(((A53)-(c_TMAP3IN))*((1000)-(c_TMAP3OUT))+IF(((1000)-(c_TMAP3OUT))&gt;=0,1,-1)*QUOTIENT(((1000)-(c_TMAP3IN)),2)))&lt;0,-1,0),IF(IF(o_WRAP=1,MOD(((1000)-(c_TMAP3IN))*(((A53)-(c_TMAP3IN))*((1000)-(c_TMAP3OUT))+IF(((1000)-(c_TMAP3OUT))&gt;=0,1,-1)*QUOTIENT(((1000)-(c_TMAP3IN)),2))+2147483648,4294967296)-2147483648,((1000)-(c_TMAP3IN))*(((A53)-(c_TMAP3IN))*((1000)-(c_TMAP3OUT))+IF(((1000)-(c_TMAP3OUT))&gt;=0,1,-1)*QUOTIENT(((1000)-(c_TMAP3IN)),2)))&gt;=0,1,0)))</f>
        <v>-172</v>
      </c>
      <c r="H53" s="7" t="str">
        <f aca="false">IF(A53&gt;=c_TFWD,IF(AND(A53&gt;=c_TMAP3IN,c_TMAP3IN&lt;1000),"Seg4 map3-100%",IF(AND(A53&gt;=c_TMAP2IN,c_TMAP3IN&gt;c_TMAP2IN),"Seg3 map2-map3",IF(AND(A53&gt;=c_TMAP1IN,c_TMAP2IN&gt;c_TMAP1IN),"Seg2 map1-map2","Seg1 TFWD-map1"))),IF(AND(A53=0,c_TCREEP&gt;0),"Creep",IF(AND(A53&lt;=c_TRNGMIN,A53&gt;=c_TRNGMAX,c_TRNGMIN-c_TRNGMAX&lt;&gt;0),"Regen ramp","Coast (0)")))</f>
        <v>Seg1 TFWD-map1</v>
      </c>
      <c r="I53" s="7" t="n">
        <f aca="false">IF(A53&gt;=c_TFWD,IF(AND(A53&gt;=c_TMAP3IN,c_TMAP3IN&lt;1000),G53,IF(AND(A53&gt;=c_TMAP2IN,c_TMAP3IN&gt;c_TMAP2IN),F53,IF(AND(A53&gt;=c_TMAP1IN,c_TMAP2IN&gt;c_TMAP1IN),E53,D53))),C53)</f>
        <v>30</v>
      </c>
      <c r="J53" s="7" t="str">
        <f aca="false">IF(I53&lt;-1090,"TOO LOW",IF(I53&gt;1090,"TOO HIGH",""))</f>
        <v/>
      </c>
      <c r="K53" s="15" t="n">
        <f aca="false">IF(J53&lt;&gt;"",0,IF(I53&gt;979,1000,I53))</f>
        <v>30</v>
      </c>
      <c r="L53" s="7" t="n">
        <f aca="false">K53/10</f>
        <v>3</v>
      </c>
    </row>
    <row r="54" customFormat="false" ht="15" hidden="false" customHeight="false" outlineLevel="0" collapsed="false">
      <c r="A54" s="7" t="n">
        <v>49</v>
      </c>
      <c r="B54" s="7" t="n">
        <f aca="false">A54/10</f>
        <v>4.9</v>
      </c>
      <c r="C54" s="7" t="n">
        <f aca="false">IF(AND(A54=0,c_TCREEP&gt;0),10*c_TCREEP,IF(AND(A54&lt;=c_TRNGMIN,A54&gt;=c_TRNGMAX,c_TRNGMIN-c_TRNGMAX&lt;&gt;0),-10*c_TMINRN+QUOTIENT((c_TMAXRN-c_TMINRN)*(100-QUOTIENT((A54-c_TRNGMAX)*100,c_TRNGMIN-c_TRNGMAX)),-10),0))</f>
        <v>0</v>
      </c>
      <c r="D54" s="7" t="n">
        <f aca="false">IF(((c_TMAP1IN)-(c_TFWD))=0,(0)+QUOTIENT(((c_TMAP1OUT)-(0)),2),QUOTIENT((((A54)-(c_TFWD))*((c_TMAP1OUT)-(0))+IF(((c_TMAP1OUT)-(0))&gt;=0,1,-1)*QUOTIENT(((c_TMAP1IN)-(c_TFWD)),2)),((c_TMAP1IN)-(c_TFWD)))+(0)+IF(((c_TMAP1OUT)-(0))&gt;=0,IF(IF(o_WRAP=1,MOD(((c_TMAP1IN)-(c_TFWD))*(((A54)-(c_TFWD))*((c_TMAP1OUT)-(0))+IF(((c_TMAP1OUT)-(0))&gt;=0,1,-1)*QUOTIENT(((c_TMAP1IN)-(c_TFWD)),2))+2147483648,4294967296)-2147483648,((c_TMAP1IN)-(c_TFWD))*(((A54)-(c_TFWD))*((c_TMAP1OUT)-(0))+IF(((c_TMAP1OUT)-(0))&gt;=0,1,-1)*QUOTIENT(((c_TMAP1IN)-(c_TFWD)),2)))&lt;0,-1,0),IF(IF(o_WRAP=1,MOD(((c_TMAP1IN)-(c_TFWD))*(((A54)-(c_TFWD))*((c_TMAP1OUT)-(0))+IF(((c_TMAP1OUT)-(0))&gt;=0,1,-1)*QUOTIENT(((c_TMAP1IN)-(c_TFWD)),2))+2147483648,4294967296)-2147483648,((c_TMAP1IN)-(c_TFWD))*(((A54)-(c_TFWD))*((c_TMAP1OUT)-(0))+IF(((c_TMAP1OUT)-(0))&gt;=0,1,-1)*QUOTIENT(((c_TMAP1IN)-(c_TFWD)),2)))&gt;=0,1,0)))</f>
        <v>30</v>
      </c>
      <c r="E54" s="7" t="n">
        <f aca="false">IF(((c_TMAP2IN)-(c_TMAP1IN))=0,(c_TMAP1OUT)+QUOTIENT(((c_TMAP2OUT)-(c_TMAP1OUT)),2),QUOTIENT((((A54)-(c_TMAP1IN))*((c_TMAP2OUT)-(c_TMAP1OUT))+IF(((c_TMAP2OUT)-(c_TMAP1OUT))&gt;=0,1,-1)*QUOTIENT(((c_TMAP2IN)-(c_TMAP1IN)),2)),((c_TMAP2IN)-(c_TMAP1IN)))+(c_TMAP1OUT)+IF(((c_TMAP2OUT)-(c_TMAP1OUT))&gt;=0,IF(IF(o_WRAP=1,MOD(((c_TMAP2IN)-(c_TMAP1IN))*(((A54)-(c_TMAP1IN))*((c_TMAP2OUT)-(c_TMAP1OUT))+IF(((c_TMAP2OUT)-(c_TMAP1OUT))&gt;=0,1,-1)*QUOTIENT(((c_TMAP2IN)-(c_TMAP1IN)),2))+2147483648,4294967296)-2147483648,((c_TMAP2IN)-(c_TMAP1IN))*(((A54)-(c_TMAP1IN))*((c_TMAP2OUT)-(c_TMAP1OUT))+IF(((c_TMAP2OUT)-(c_TMAP1OUT))&gt;=0,1,-1)*QUOTIENT(((c_TMAP2IN)-(c_TMAP1IN)),2)))&lt;0,-1,0),IF(IF(o_WRAP=1,MOD(((c_TMAP2IN)-(c_TMAP1IN))*(((A54)-(c_TMAP1IN))*((c_TMAP2OUT)-(c_TMAP1OUT))+IF(((c_TMAP2OUT)-(c_TMAP1OUT))&gt;=0,1,-1)*QUOTIENT(((c_TMAP2IN)-(c_TMAP1IN)),2))+2147483648,4294967296)-2147483648,((c_TMAP2IN)-(c_TMAP1IN))*(((A54)-(c_TMAP1IN))*((c_TMAP2OUT)-(c_TMAP1OUT))+IF(((c_TMAP2OUT)-(c_TMAP1OUT))&gt;=0,1,-1)*QUOTIENT(((c_TMAP2IN)-(c_TMAP1IN)),2)))&gt;=0,1,0)))</f>
        <v>50</v>
      </c>
      <c r="F54" s="7" t="n">
        <f aca="false">IF(((c_TMAP3IN)-(c_TMAP2IN))=0,(c_TMAP2OUT)+QUOTIENT(((c_TMAP3OUT)-(c_TMAP2OUT)),2),QUOTIENT((((A54)-(c_TMAP2IN))*((c_TMAP3OUT)-(c_TMAP2OUT))+IF(((c_TMAP3OUT)-(c_TMAP2OUT))&gt;=0,1,-1)*QUOTIENT(((c_TMAP3IN)-(c_TMAP2IN)),2)),((c_TMAP3IN)-(c_TMAP2IN)))+(c_TMAP2OUT)+IF(((c_TMAP3OUT)-(c_TMAP2OUT))&gt;=0,IF(IF(o_WRAP=1,MOD(((c_TMAP3IN)-(c_TMAP2IN))*(((A54)-(c_TMAP2IN))*((c_TMAP3OUT)-(c_TMAP2OUT))+IF(((c_TMAP3OUT)-(c_TMAP2OUT))&gt;=0,1,-1)*QUOTIENT(((c_TMAP3IN)-(c_TMAP2IN)),2))+2147483648,4294967296)-2147483648,((c_TMAP3IN)-(c_TMAP2IN))*(((A54)-(c_TMAP2IN))*((c_TMAP3OUT)-(c_TMAP2OUT))+IF(((c_TMAP3OUT)-(c_TMAP2OUT))&gt;=0,1,-1)*QUOTIENT(((c_TMAP3IN)-(c_TMAP2IN)),2)))&lt;0,-1,0),IF(IF(o_WRAP=1,MOD(((c_TMAP3IN)-(c_TMAP2IN))*(((A54)-(c_TMAP2IN))*((c_TMAP3OUT)-(c_TMAP2OUT))+IF(((c_TMAP3OUT)-(c_TMAP2OUT))&gt;=0,1,-1)*QUOTIENT(((c_TMAP3IN)-(c_TMAP2IN)),2))+2147483648,4294967296)-2147483648,((c_TMAP3IN)-(c_TMAP2IN))*(((A54)-(c_TMAP2IN))*((c_TMAP3OUT)-(c_TMAP2OUT))+IF(((c_TMAP3OUT)-(c_TMAP2OUT))&gt;=0,1,-1)*QUOTIENT(((c_TMAP3IN)-(c_TMAP2IN)),2)))&gt;=0,1,0)))</f>
        <v>-11</v>
      </c>
      <c r="G54" s="7" t="n">
        <f aca="false">IF(((1000)-(c_TMAP3IN))=0,(c_TMAP3OUT)+QUOTIENT(((1000)-(c_TMAP3OUT)),2),QUOTIENT((((A54)-(c_TMAP3IN))*((1000)-(c_TMAP3OUT))+IF(((1000)-(c_TMAP3OUT))&gt;=0,1,-1)*QUOTIENT(((1000)-(c_TMAP3IN)),2)),((1000)-(c_TMAP3IN)))+(c_TMAP3OUT)+IF(((1000)-(c_TMAP3OUT))&gt;=0,IF(IF(o_WRAP=1,MOD(((1000)-(c_TMAP3IN))*(((A54)-(c_TMAP3IN))*((1000)-(c_TMAP3OUT))+IF(((1000)-(c_TMAP3OUT))&gt;=0,1,-1)*QUOTIENT(((1000)-(c_TMAP3IN)),2))+2147483648,4294967296)-2147483648,((1000)-(c_TMAP3IN))*(((A54)-(c_TMAP3IN))*((1000)-(c_TMAP3OUT))+IF(((1000)-(c_TMAP3OUT))&gt;=0,1,-1)*QUOTIENT(((1000)-(c_TMAP3IN)),2)))&lt;0,-1,0),IF(IF(o_WRAP=1,MOD(((1000)-(c_TMAP3IN))*(((A54)-(c_TMAP3IN))*((1000)-(c_TMAP3OUT))+IF(((1000)-(c_TMAP3OUT))&gt;=0,1,-1)*QUOTIENT(((1000)-(c_TMAP3IN)),2))+2147483648,4294967296)-2147483648,((1000)-(c_TMAP3IN))*(((A54)-(c_TMAP3IN))*((1000)-(c_TMAP3OUT))+IF(((1000)-(c_TMAP3OUT))&gt;=0,1,-1)*QUOTIENT(((1000)-(c_TMAP3IN)),2)))&gt;=0,1,0)))</f>
        <v>-170</v>
      </c>
      <c r="H54" s="7" t="str">
        <f aca="false">IF(A54&gt;=c_TFWD,IF(AND(A54&gt;=c_TMAP3IN,c_TMAP3IN&lt;1000),"Seg4 map3-100%",IF(AND(A54&gt;=c_TMAP2IN,c_TMAP3IN&gt;c_TMAP2IN),"Seg3 map2-map3",IF(AND(A54&gt;=c_TMAP1IN,c_TMAP2IN&gt;c_TMAP1IN),"Seg2 map1-map2","Seg1 TFWD-map1"))),IF(AND(A54=0,c_TCREEP&gt;0),"Creep",IF(AND(A54&lt;=c_TRNGMIN,A54&gt;=c_TRNGMAX,c_TRNGMIN-c_TRNGMAX&lt;&gt;0),"Regen ramp","Coast (0)")))</f>
        <v>Seg1 TFWD-map1</v>
      </c>
      <c r="I54" s="7" t="n">
        <f aca="false">IF(A54&gt;=c_TFWD,IF(AND(A54&gt;=c_TMAP3IN,c_TMAP3IN&lt;1000),G54,IF(AND(A54&gt;=c_TMAP2IN,c_TMAP3IN&gt;c_TMAP2IN),F54,IF(AND(A54&gt;=c_TMAP1IN,c_TMAP2IN&gt;c_TMAP1IN),E54,D54))),C54)</f>
        <v>30</v>
      </c>
      <c r="J54" s="7" t="str">
        <f aca="false">IF(I54&lt;-1090,"TOO LOW",IF(I54&gt;1090,"TOO HIGH",""))</f>
        <v/>
      </c>
      <c r="K54" s="15" t="n">
        <f aca="false">IF(J54&lt;&gt;"",0,IF(I54&gt;979,1000,I54))</f>
        <v>30</v>
      </c>
      <c r="L54" s="7" t="n">
        <f aca="false">K54/10</f>
        <v>3</v>
      </c>
    </row>
    <row r="55" customFormat="false" ht="15" hidden="false" customHeight="false" outlineLevel="0" collapsed="false">
      <c r="A55" s="7" t="n">
        <v>50</v>
      </c>
      <c r="B55" s="7" t="n">
        <f aca="false">A55/10</f>
        <v>5</v>
      </c>
      <c r="C55" s="7" t="n">
        <f aca="false">IF(AND(A55=0,c_TCREEP&gt;0),10*c_TCREEP,IF(AND(A55&lt;=c_TRNGMIN,A55&gt;=c_TRNGMAX,c_TRNGMIN-c_TRNGMAX&lt;&gt;0),-10*c_TMINRN+QUOTIENT((c_TMAXRN-c_TMINRN)*(100-QUOTIENT((A55-c_TRNGMAX)*100,c_TRNGMIN-c_TRNGMAX)),-10),0))</f>
        <v>0</v>
      </c>
      <c r="D55" s="7" t="n">
        <f aca="false">IF(((c_TMAP1IN)-(c_TFWD))=0,(0)+QUOTIENT(((c_TMAP1OUT)-(0)),2),QUOTIENT((((A55)-(c_TFWD))*((c_TMAP1OUT)-(0))+IF(((c_TMAP1OUT)-(0))&gt;=0,1,-1)*QUOTIENT(((c_TMAP1IN)-(c_TFWD)),2)),((c_TMAP1IN)-(c_TFWD)))+(0)+IF(((c_TMAP1OUT)-(0))&gt;=0,IF(IF(o_WRAP=1,MOD(((c_TMAP1IN)-(c_TFWD))*(((A55)-(c_TFWD))*((c_TMAP1OUT)-(0))+IF(((c_TMAP1OUT)-(0))&gt;=0,1,-1)*QUOTIENT(((c_TMAP1IN)-(c_TFWD)),2))+2147483648,4294967296)-2147483648,((c_TMAP1IN)-(c_TFWD))*(((A55)-(c_TFWD))*((c_TMAP1OUT)-(0))+IF(((c_TMAP1OUT)-(0))&gt;=0,1,-1)*QUOTIENT(((c_TMAP1IN)-(c_TFWD)),2)))&lt;0,-1,0),IF(IF(o_WRAP=1,MOD(((c_TMAP1IN)-(c_TFWD))*(((A55)-(c_TFWD))*((c_TMAP1OUT)-(0))+IF(((c_TMAP1OUT)-(0))&gt;=0,1,-1)*QUOTIENT(((c_TMAP1IN)-(c_TFWD)),2))+2147483648,4294967296)-2147483648,((c_TMAP1IN)-(c_TFWD))*(((A55)-(c_TFWD))*((c_TMAP1OUT)-(0))+IF(((c_TMAP1OUT)-(0))&gt;=0,1,-1)*QUOTIENT(((c_TMAP1IN)-(c_TFWD)),2)))&gt;=0,1,0)))</f>
        <v>31</v>
      </c>
      <c r="E55" s="7" t="n">
        <f aca="false">IF(((c_TMAP2IN)-(c_TMAP1IN))=0,(c_TMAP1OUT)+QUOTIENT(((c_TMAP2OUT)-(c_TMAP1OUT)),2),QUOTIENT((((A55)-(c_TMAP1IN))*((c_TMAP2OUT)-(c_TMAP1OUT))+IF(((c_TMAP2OUT)-(c_TMAP1OUT))&gt;=0,1,-1)*QUOTIENT(((c_TMAP2IN)-(c_TMAP1IN)),2)),((c_TMAP2IN)-(c_TMAP1IN)))+(c_TMAP1OUT)+IF(((c_TMAP2OUT)-(c_TMAP1OUT))&gt;=0,IF(IF(o_WRAP=1,MOD(((c_TMAP2IN)-(c_TMAP1IN))*(((A55)-(c_TMAP1IN))*((c_TMAP2OUT)-(c_TMAP1OUT))+IF(((c_TMAP2OUT)-(c_TMAP1OUT))&gt;=0,1,-1)*QUOTIENT(((c_TMAP2IN)-(c_TMAP1IN)),2))+2147483648,4294967296)-2147483648,((c_TMAP2IN)-(c_TMAP1IN))*(((A55)-(c_TMAP1IN))*((c_TMAP2OUT)-(c_TMAP1OUT))+IF(((c_TMAP2OUT)-(c_TMAP1OUT))&gt;=0,1,-1)*QUOTIENT(((c_TMAP2IN)-(c_TMAP1IN)),2)))&lt;0,-1,0),IF(IF(o_WRAP=1,MOD(((c_TMAP2IN)-(c_TMAP1IN))*(((A55)-(c_TMAP1IN))*((c_TMAP2OUT)-(c_TMAP1OUT))+IF(((c_TMAP2OUT)-(c_TMAP1OUT))&gt;=0,1,-1)*QUOTIENT(((c_TMAP2IN)-(c_TMAP1IN)),2))+2147483648,4294967296)-2147483648,((c_TMAP2IN)-(c_TMAP1IN))*(((A55)-(c_TMAP1IN))*((c_TMAP2OUT)-(c_TMAP1OUT))+IF(((c_TMAP2OUT)-(c_TMAP1OUT))&gt;=0,1,-1)*QUOTIENT(((c_TMAP2IN)-(c_TMAP1IN)),2)))&gt;=0,1,0)))</f>
        <v>50</v>
      </c>
      <c r="F55" s="7" t="n">
        <f aca="false">IF(((c_TMAP3IN)-(c_TMAP2IN))=0,(c_TMAP2OUT)+QUOTIENT(((c_TMAP3OUT)-(c_TMAP2OUT)),2),QUOTIENT((((A55)-(c_TMAP2IN))*((c_TMAP3OUT)-(c_TMAP2OUT))+IF(((c_TMAP3OUT)-(c_TMAP2OUT))&gt;=0,1,-1)*QUOTIENT(((c_TMAP3IN)-(c_TMAP2IN)),2)),((c_TMAP3IN)-(c_TMAP2IN)))+(c_TMAP2OUT)+IF(((c_TMAP3OUT)-(c_TMAP2OUT))&gt;=0,IF(IF(o_WRAP=1,MOD(((c_TMAP3IN)-(c_TMAP2IN))*(((A55)-(c_TMAP2IN))*((c_TMAP3OUT)-(c_TMAP2OUT))+IF(((c_TMAP3OUT)-(c_TMAP2OUT))&gt;=0,1,-1)*QUOTIENT(((c_TMAP3IN)-(c_TMAP2IN)),2))+2147483648,4294967296)-2147483648,((c_TMAP3IN)-(c_TMAP2IN))*(((A55)-(c_TMAP2IN))*((c_TMAP3OUT)-(c_TMAP2OUT))+IF(((c_TMAP3OUT)-(c_TMAP2OUT))&gt;=0,1,-1)*QUOTIENT(((c_TMAP3IN)-(c_TMAP2IN)),2)))&lt;0,-1,0),IF(IF(o_WRAP=1,MOD(((c_TMAP3IN)-(c_TMAP2IN))*(((A55)-(c_TMAP2IN))*((c_TMAP3OUT)-(c_TMAP2OUT))+IF(((c_TMAP3OUT)-(c_TMAP2OUT))&gt;=0,1,-1)*QUOTIENT(((c_TMAP3IN)-(c_TMAP2IN)),2))+2147483648,4294967296)-2147483648,((c_TMAP3IN)-(c_TMAP2IN))*(((A55)-(c_TMAP2IN))*((c_TMAP3OUT)-(c_TMAP2OUT))+IF(((c_TMAP3OUT)-(c_TMAP2OUT))&gt;=0,1,-1)*QUOTIENT(((c_TMAP3IN)-(c_TMAP2IN)),2)))&gt;=0,1,0)))</f>
        <v>-10</v>
      </c>
      <c r="G55" s="7" t="n">
        <f aca="false">IF(((1000)-(c_TMAP3IN))=0,(c_TMAP3OUT)+QUOTIENT(((1000)-(c_TMAP3OUT)),2),QUOTIENT((((A55)-(c_TMAP3IN))*((1000)-(c_TMAP3OUT))+IF(((1000)-(c_TMAP3OUT))&gt;=0,1,-1)*QUOTIENT(((1000)-(c_TMAP3IN)),2)),((1000)-(c_TMAP3IN)))+(c_TMAP3OUT)+IF(((1000)-(c_TMAP3OUT))&gt;=0,IF(IF(o_WRAP=1,MOD(((1000)-(c_TMAP3IN))*(((A55)-(c_TMAP3IN))*((1000)-(c_TMAP3OUT))+IF(((1000)-(c_TMAP3OUT))&gt;=0,1,-1)*QUOTIENT(((1000)-(c_TMAP3IN)),2))+2147483648,4294967296)-2147483648,((1000)-(c_TMAP3IN))*(((A55)-(c_TMAP3IN))*((1000)-(c_TMAP3OUT))+IF(((1000)-(c_TMAP3OUT))&gt;=0,1,-1)*QUOTIENT(((1000)-(c_TMAP3IN)),2)))&lt;0,-1,0),IF(IF(o_WRAP=1,MOD(((1000)-(c_TMAP3IN))*(((A55)-(c_TMAP3IN))*((1000)-(c_TMAP3OUT))+IF(((1000)-(c_TMAP3OUT))&gt;=0,1,-1)*QUOTIENT(((1000)-(c_TMAP3IN)),2))+2147483648,4294967296)-2147483648,((1000)-(c_TMAP3IN))*(((A55)-(c_TMAP3IN))*((1000)-(c_TMAP3OUT))+IF(((1000)-(c_TMAP3OUT))&gt;=0,1,-1)*QUOTIENT(((1000)-(c_TMAP3IN)),2)))&gt;=0,1,0)))</f>
        <v>-169</v>
      </c>
      <c r="H55" s="7" t="str">
        <f aca="false">IF(A55&gt;=c_TFWD,IF(AND(A55&gt;=c_TMAP3IN,c_TMAP3IN&lt;1000),"Seg4 map3-100%",IF(AND(A55&gt;=c_TMAP2IN,c_TMAP3IN&gt;c_TMAP2IN),"Seg3 map2-map3",IF(AND(A55&gt;=c_TMAP1IN,c_TMAP2IN&gt;c_TMAP1IN),"Seg2 map1-map2","Seg1 TFWD-map1"))),IF(AND(A55=0,c_TCREEP&gt;0),"Creep",IF(AND(A55&lt;=c_TRNGMIN,A55&gt;=c_TRNGMAX,c_TRNGMIN-c_TRNGMAX&lt;&gt;0),"Regen ramp","Coast (0)")))</f>
        <v>Seg1 TFWD-map1</v>
      </c>
      <c r="I55" s="7" t="n">
        <f aca="false">IF(A55&gt;=c_TFWD,IF(AND(A55&gt;=c_TMAP3IN,c_TMAP3IN&lt;1000),G55,IF(AND(A55&gt;=c_TMAP2IN,c_TMAP3IN&gt;c_TMAP2IN),F55,IF(AND(A55&gt;=c_TMAP1IN,c_TMAP2IN&gt;c_TMAP1IN),E55,D55))),C55)</f>
        <v>31</v>
      </c>
      <c r="J55" s="7" t="str">
        <f aca="false">IF(I55&lt;-1090,"TOO LOW",IF(I55&gt;1090,"TOO HIGH",""))</f>
        <v/>
      </c>
      <c r="K55" s="15" t="n">
        <f aca="false">IF(J55&lt;&gt;"",0,IF(I55&gt;979,1000,I55))</f>
        <v>31</v>
      </c>
      <c r="L55" s="7" t="n">
        <f aca="false">K55/10</f>
        <v>3.1</v>
      </c>
    </row>
    <row r="56" customFormat="false" ht="15" hidden="false" customHeight="false" outlineLevel="0" collapsed="false">
      <c r="A56" s="7" t="n">
        <v>51</v>
      </c>
      <c r="B56" s="7" t="n">
        <f aca="false">A56/10</f>
        <v>5.1</v>
      </c>
      <c r="C56" s="7" t="n">
        <f aca="false">IF(AND(A56=0,c_TCREEP&gt;0),10*c_TCREEP,IF(AND(A56&lt;=c_TRNGMIN,A56&gt;=c_TRNGMAX,c_TRNGMIN-c_TRNGMAX&lt;&gt;0),-10*c_TMINRN+QUOTIENT((c_TMAXRN-c_TMINRN)*(100-QUOTIENT((A56-c_TRNGMAX)*100,c_TRNGMIN-c_TRNGMAX)),-10),0))</f>
        <v>0</v>
      </c>
      <c r="D56" s="7" t="n">
        <f aca="false">IF(((c_TMAP1IN)-(c_TFWD))=0,(0)+QUOTIENT(((c_TMAP1OUT)-(0)),2),QUOTIENT((((A56)-(c_TFWD))*((c_TMAP1OUT)-(0))+IF(((c_TMAP1OUT)-(0))&gt;=0,1,-1)*QUOTIENT(((c_TMAP1IN)-(c_TFWD)),2)),((c_TMAP1IN)-(c_TFWD)))+(0)+IF(((c_TMAP1OUT)-(0))&gt;=0,IF(IF(o_WRAP=1,MOD(((c_TMAP1IN)-(c_TFWD))*(((A56)-(c_TFWD))*((c_TMAP1OUT)-(0))+IF(((c_TMAP1OUT)-(0))&gt;=0,1,-1)*QUOTIENT(((c_TMAP1IN)-(c_TFWD)),2))+2147483648,4294967296)-2147483648,((c_TMAP1IN)-(c_TFWD))*(((A56)-(c_TFWD))*((c_TMAP1OUT)-(0))+IF(((c_TMAP1OUT)-(0))&gt;=0,1,-1)*QUOTIENT(((c_TMAP1IN)-(c_TFWD)),2)))&lt;0,-1,0),IF(IF(o_WRAP=1,MOD(((c_TMAP1IN)-(c_TFWD))*(((A56)-(c_TFWD))*((c_TMAP1OUT)-(0))+IF(((c_TMAP1OUT)-(0))&gt;=0,1,-1)*QUOTIENT(((c_TMAP1IN)-(c_TFWD)),2))+2147483648,4294967296)-2147483648,((c_TMAP1IN)-(c_TFWD))*(((A56)-(c_TFWD))*((c_TMAP1OUT)-(0))+IF(((c_TMAP1OUT)-(0))&gt;=0,1,-1)*QUOTIENT(((c_TMAP1IN)-(c_TFWD)),2)))&gt;=0,1,0)))</f>
        <v>32</v>
      </c>
      <c r="E56" s="7" t="n">
        <f aca="false">IF(((c_TMAP2IN)-(c_TMAP1IN))=0,(c_TMAP1OUT)+QUOTIENT(((c_TMAP2OUT)-(c_TMAP1OUT)),2),QUOTIENT((((A56)-(c_TMAP1IN))*((c_TMAP2OUT)-(c_TMAP1OUT))+IF(((c_TMAP2OUT)-(c_TMAP1OUT))&gt;=0,1,-1)*QUOTIENT(((c_TMAP2IN)-(c_TMAP1IN)),2)),((c_TMAP2IN)-(c_TMAP1IN)))+(c_TMAP1OUT)+IF(((c_TMAP2OUT)-(c_TMAP1OUT))&gt;=0,IF(IF(o_WRAP=1,MOD(((c_TMAP2IN)-(c_TMAP1IN))*(((A56)-(c_TMAP1IN))*((c_TMAP2OUT)-(c_TMAP1OUT))+IF(((c_TMAP2OUT)-(c_TMAP1OUT))&gt;=0,1,-1)*QUOTIENT(((c_TMAP2IN)-(c_TMAP1IN)),2))+2147483648,4294967296)-2147483648,((c_TMAP2IN)-(c_TMAP1IN))*(((A56)-(c_TMAP1IN))*((c_TMAP2OUT)-(c_TMAP1OUT))+IF(((c_TMAP2OUT)-(c_TMAP1OUT))&gt;=0,1,-1)*QUOTIENT(((c_TMAP2IN)-(c_TMAP1IN)),2)))&lt;0,-1,0),IF(IF(o_WRAP=1,MOD(((c_TMAP2IN)-(c_TMAP1IN))*(((A56)-(c_TMAP1IN))*((c_TMAP2OUT)-(c_TMAP1OUT))+IF(((c_TMAP2OUT)-(c_TMAP1OUT))&gt;=0,1,-1)*QUOTIENT(((c_TMAP2IN)-(c_TMAP1IN)),2))+2147483648,4294967296)-2147483648,((c_TMAP2IN)-(c_TMAP1IN))*(((A56)-(c_TMAP1IN))*((c_TMAP2OUT)-(c_TMAP1OUT))+IF(((c_TMAP2OUT)-(c_TMAP1OUT))&gt;=0,1,-1)*QUOTIENT(((c_TMAP2IN)-(c_TMAP1IN)),2)))&gt;=0,1,0)))</f>
        <v>50</v>
      </c>
      <c r="F56" s="7" t="n">
        <f aca="false">IF(((c_TMAP3IN)-(c_TMAP2IN))=0,(c_TMAP2OUT)+QUOTIENT(((c_TMAP3OUT)-(c_TMAP2OUT)),2),QUOTIENT((((A56)-(c_TMAP2IN))*((c_TMAP3OUT)-(c_TMAP2OUT))+IF(((c_TMAP3OUT)-(c_TMAP2OUT))&gt;=0,1,-1)*QUOTIENT(((c_TMAP3IN)-(c_TMAP2IN)),2)),((c_TMAP3IN)-(c_TMAP2IN)))+(c_TMAP2OUT)+IF(((c_TMAP3OUT)-(c_TMAP2OUT))&gt;=0,IF(IF(o_WRAP=1,MOD(((c_TMAP3IN)-(c_TMAP2IN))*(((A56)-(c_TMAP2IN))*((c_TMAP3OUT)-(c_TMAP2OUT))+IF(((c_TMAP3OUT)-(c_TMAP2OUT))&gt;=0,1,-1)*QUOTIENT(((c_TMAP3IN)-(c_TMAP2IN)),2))+2147483648,4294967296)-2147483648,((c_TMAP3IN)-(c_TMAP2IN))*(((A56)-(c_TMAP2IN))*((c_TMAP3OUT)-(c_TMAP2OUT))+IF(((c_TMAP3OUT)-(c_TMAP2OUT))&gt;=0,1,-1)*QUOTIENT(((c_TMAP3IN)-(c_TMAP2IN)),2)))&lt;0,-1,0),IF(IF(o_WRAP=1,MOD(((c_TMAP3IN)-(c_TMAP2IN))*(((A56)-(c_TMAP2IN))*((c_TMAP3OUT)-(c_TMAP2OUT))+IF(((c_TMAP3OUT)-(c_TMAP2OUT))&gt;=0,1,-1)*QUOTIENT(((c_TMAP3IN)-(c_TMAP2IN)),2))+2147483648,4294967296)-2147483648,((c_TMAP3IN)-(c_TMAP2IN))*(((A56)-(c_TMAP2IN))*((c_TMAP3OUT)-(c_TMAP2OUT))+IF(((c_TMAP3OUT)-(c_TMAP2OUT))&gt;=0,1,-1)*QUOTIENT(((c_TMAP3IN)-(c_TMAP2IN)),2)))&gt;=0,1,0)))</f>
        <v>-9</v>
      </c>
      <c r="G56" s="7" t="n">
        <f aca="false">IF(((1000)-(c_TMAP3IN))=0,(c_TMAP3OUT)+QUOTIENT(((1000)-(c_TMAP3OUT)),2),QUOTIENT((((A56)-(c_TMAP3IN))*((1000)-(c_TMAP3OUT))+IF(((1000)-(c_TMAP3OUT))&gt;=0,1,-1)*QUOTIENT(((1000)-(c_TMAP3IN)),2)),((1000)-(c_TMAP3IN)))+(c_TMAP3OUT)+IF(((1000)-(c_TMAP3OUT))&gt;=0,IF(IF(o_WRAP=1,MOD(((1000)-(c_TMAP3IN))*(((A56)-(c_TMAP3IN))*((1000)-(c_TMAP3OUT))+IF(((1000)-(c_TMAP3OUT))&gt;=0,1,-1)*QUOTIENT(((1000)-(c_TMAP3IN)),2))+2147483648,4294967296)-2147483648,((1000)-(c_TMAP3IN))*(((A56)-(c_TMAP3IN))*((1000)-(c_TMAP3OUT))+IF(((1000)-(c_TMAP3OUT))&gt;=0,1,-1)*QUOTIENT(((1000)-(c_TMAP3IN)),2)))&lt;0,-1,0),IF(IF(o_WRAP=1,MOD(((1000)-(c_TMAP3IN))*(((A56)-(c_TMAP3IN))*((1000)-(c_TMAP3OUT))+IF(((1000)-(c_TMAP3OUT))&gt;=0,1,-1)*QUOTIENT(((1000)-(c_TMAP3IN)),2))+2147483648,4294967296)-2147483648,((1000)-(c_TMAP3IN))*(((A56)-(c_TMAP3IN))*((1000)-(c_TMAP3OUT))+IF(((1000)-(c_TMAP3OUT))&gt;=0,1,-1)*QUOTIENT(((1000)-(c_TMAP3IN)),2)))&gt;=0,1,0)))</f>
        <v>-168</v>
      </c>
      <c r="H56" s="7" t="str">
        <f aca="false">IF(A56&gt;=c_TFWD,IF(AND(A56&gt;=c_TMAP3IN,c_TMAP3IN&lt;1000),"Seg4 map3-100%",IF(AND(A56&gt;=c_TMAP2IN,c_TMAP3IN&gt;c_TMAP2IN),"Seg3 map2-map3",IF(AND(A56&gt;=c_TMAP1IN,c_TMAP2IN&gt;c_TMAP1IN),"Seg2 map1-map2","Seg1 TFWD-map1"))),IF(AND(A56=0,c_TCREEP&gt;0),"Creep",IF(AND(A56&lt;=c_TRNGMIN,A56&gt;=c_TRNGMAX,c_TRNGMIN-c_TRNGMAX&lt;&gt;0),"Regen ramp","Coast (0)")))</f>
        <v>Seg1 TFWD-map1</v>
      </c>
      <c r="I56" s="7" t="n">
        <f aca="false">IF(A56&gt;=c_TFWD,IF(AND(A56&gt;=c_TMAP3IN,c_TMAP3IN&lt;1000),G56,IF(AND(A56&gt;=c_TMAP2IN,c_TMAP3IN&gt;c_TMAP2IN),F56,IF(AND(A56&gt;=c_TMAP1IN,c_TMAP2IN&gt;c_TMAP1IN),E56,D56))),C56)</f>
        <v>32</v>
      </c>
      <c r="J56" s="7" t="str">
        <f aca="false">IF(I56&lt;-1090,"TOO LOW",IF(I56&gt;1090,"TOO HIGH",""))</f>
        <v/>
      </c>
      <c r="K56" s="15" t="n">
        <f aca="false">IF(J56&lt;&gt;"",0,IF(I56&gt;979,1000,I56))</f>
        <v>32</v>
      </c>
      <c r="L56" s="7" t="n">
        <f aca="false">K56/10</f>
        <v>3.2</v>
      </c>
    </row>
    <row r="57" customFormat="false" ht="15" hidden="false" customHeight="false" outlineLevel="0" collapsed="false">
      <c r="A57" s="7" t="n">
        <v>52</v>
      </c>
      <c r="B57" s="7" t="n">
        <f aca="false">A57/10</f>
        <v>5.2</v>
      </c>
      <c r="C57" s="7" t="n">
        <f aca="false">IF(AND(A57=0,c_TCREEP&gt;0),10*c_TCREEP,IF(AND(A57&lt;=c_TRNGMIN,A57&gt;=c_TRNGMAX,c_TRNGMIN-c_TRNGMAX&lt;&gt;0),-10*c_TMINRN+QUOTIENT((c_TMAXRN-c_TMINRN)*(100-QUOTIENT((A57-c_TRNGMAX)*100,c_TRNGMIN-c_TRNGMAX)),-10),0))</f>
        <v>0</v>
      </c>
      <c r="D57" s="7" t="n">
        <f aca="false">IF(((c_TMAP1IN)-(c_TFWD))=0,(0)+QUOTIENT(((c_TMAP1OUT)-(0)),2),QUOTIENT((((A57)-(c_TFWD))*((c_TMAP1OUT)-(0))+IF(((c_TMAP1OUT)-(0))&gt;=0,1,-1)*QUOTIENT(((c_TMAP1IN)-(c_TFWD)),2)),((c_TMAP1IN)-(c_TFWD)))+(0)+IF(((c_TMAP1OUT)-(0))&gt;=0,IF(IF(o_WRAP=1,MOD(((c_TMAP1IN)-(c_TFWD))*(((A57)-(c_TFWD))*((c_TMAP1OUT)-(0))+IF(((c_TMAP1OUT)-(0))&gt;=0,1,-1)*QUOTIENT(((c_TMAP1IN)-(c_TFWD)),2))+2147483648,4294967296)-2147483648,((c_TMAP1IN)-(c_TFWD))*(((A57)-(c_TFWD))*((c_TMAP1OUT)-(0))+IF(((c_TMAP1OUT)-(0))&gt;=0,1,-1)*QUOTIENT(((c_TMAP1IN)-(c_TFWD)),2)))&lt;0,-1,0),IF(IF(o_WRAP=1,MOD(((c_TMAP1IN)-(c_TFWD))*(((A57)-(c_TFWD))*((c_TMAP1OUT)-(0))+IF(((c_TMAP1OUT)-(0))&gt;=0,1,-1)*QUOTIENT(((c_TMAP1IN)-(c_TFWD)),2))+2147483648,4294967296)-2147483648,((c_TMAP1IN)-(c_TFWD))*(((A57)-(c_TFWD))*((c_TMAP1OUT)-(0))+IF(((c_TMAP1OUT)-(0))&gt;=0,1,-1)*QUOTIENT(((c_TMAP1IN)-(c_TFWD)),2)))&gt;=0,1,0)))</f>
        <v>33</v>
      </c>
      <c r="E57" s="7" t="n">
        <f aca="false">IF(((c_TMAP2IN)-(c_TMAP1IN))=0,(c_TMAP1OUT)+QUOTIENT(((c_TMAP2OUT)-(c_TMAP1OUT)),2),QUOTIENT((((A57)-(c_TMAP1IN))*((c_TMAP2OUT)-(c_TMAP1OUT))+IF(((c_TMAP2OUT)-(c_TMAP1OUT))&gt;=0,1,-1)*QUOTIENT(((c_TMAP2IN)-(c_TMAP1IN)),2)),((c_TMAP2IN)-(c_TMAP1IN)))+(c_TMAP1OUT)+IF(((c_TMAP2OUT)-(c_TMAP1OUT))&gt;=0,IF(IF(o_WRAP=1,MOD(((c_TMAP2IN)-(c_TMAP1IN))*(((A57)-(c_TMAP1IN))*((c_TMAP2OUT)-(c_TMAP1OUT))+IF(((c_TMAP2OUT)-(c_TMAP1OUT))&gt;=0,1,-1)*QUOTIENT(((c_TMAP2IN)-(c_TMAP1IN)),2))+2147483648,4294967296)-2147483648,((c_TMAP2IN)-(c_TMAP1IN))*(((A57)-(c_TMAP1IN))*((c_TMAP2OUT)-(c_TMAP1OUT))+IF(((c_TMAP2OUT)-(c_TMAP1OUT))&gt;=0,1,-1)*QUOTIENT(((c_TMAP2IN)-(c_TMAP1IN)),2)))&lt;0,-1,0),IF(IF(o_WRAP=1,MOD(((c_TMAP2IN)-(c_TMAP1IN))*(((A57)-(c_TMAP1IN))*((c_TMAP2OUT)-(c_TMAP1OUT))+IF(((c_TMAP2OUT)-(c_TMAP1OUT))&gt;=0,1,-1)*QUOTIENT(((c_TMAP2IN)-(c_TMAP1IN)),2))+2147483648,4294967296)-2147483648,((c_TMAP2IN)-(c_TMAP1IN))*(((A57)-(c_TMAP1IN))*((c_TMAP2OUT)-(c_TMAP1OUT))+IF(((c_TMAP2OUT)-(c_TMAP1OUT))&gt;=0,1,-1)*QUOTIENT(((c_TMAP2IN)-(c_TMAP1IN)),2)))&gt;=0,1,0)))</f>
        <v>51</v>
      </c>
      <c r="F57" s="7" t="n">
        <f aca="false">IF(((c_TMAP3IN)-(c_TMAP2IN))=0,(c_TMAP2OUT)+QUOTIENT(((c_TMAP3OUT)-(c_TMAP2OUT)),2),QUOTIENT((((A57)-(c_TMAP2IN))*((c_TMAP3OUT)-(c_TMAP2OUT))+IF(((c_TMAP3OUT)-(c_TMAP2OUT))&gt;=0,1,-1)*QUOTIENT(((c_TMAP3IN)-(c_TMAP2IN)),2)),((c_TMAP3IN)-(c_TMAP2IN)))+(c_TMAP2OUT)+IF(((c_TMAP3OUT)-(c_TMAP2OUT))&gt;=0,IF(IF(o_WRAP=1,MOD(((c_TMAP3IN)-(c_TMAP2IN))*(((A57)-(c_TMAP2IN))*((c_TMAP3OUT)-(c_TMAP2OUT))+IF(((c_TMAP3OUT)-(c_TMAP2OUT))&gt;=0,1,-1)*QUOTIENT(((c_TMAP3IN)-(c_TMAP2IN)),2))+2147483648,4294967296)-2147483648,((c_TMAP3IN)-(c_TMAP2IN))*(((A57)-(c_TMAP2IN))*((c_TMAP3OUT)-(c_TMAP2OUT))+IF(((c_TMAP3OUT)-(c_TMAP2OUT))&gt;=0,1,-1)*QUOTIENT(((c_TMAP3IN)-(c_TMAP2IN)),2)))&lt;0,-1,0),IF(IF(o_WRAP=1,MOD(((c_TMAP3IN)-(c_TMAP2IN))*(((A57)-(c_TMAP2IN))*((c_TMAP3OUT)-(c_TMAP2OUT))+IF(((c_TMAP3OUT)-(c_TMAP2OUT))&gt;=0,1,-1)*QUOTIENT(((c_TMAP3IN)-(c_TMAP2IN)),2))+2147483648,4294967296)-2147483648,((c_TMAP3IN)-(c_TMAP2IN))*(((A57)-(c_TMAP2IN))*((c_TMAP3OUT)-(c_TMAP2OUT))+IF(((c_TMAP3OUT)-(c_TMAP2OUT))&gt;=0,1,-1)*QUOTIENT(((c_TMAP3IN)-(c_TMAP2IN)),2)))&gt;=0,1,0)))</f>
        <v>-9</v>
      </c>
      <c r="G57" s="7" t="n">
        <f aca="false">IF(((1000)-(c_TMAP3IN))=0,(c_TMAP3OUT)+QUOTIENT(((1000)-(c_TMAP3OUT)),2),QUOTIENT((((A57)-(c_TMAP3IN))*((1000)-(c_TMAP3OUT))+IF(((1000)-(c_TMAP3OUT))&gt;=0,1,-1)*QUOTIENT(((1000)-(c_TMAP3IN)),2)),((1000)-(c_TMAP3IN)))+(c_TMAP3OUT)+IF(((1000)-(c_TMAP3OUT))&gt;=0,IF(IF(o_WRAP=1,MOD(((1000)-(c_TMAP3IN))*(((A57)-(c_TMAP3IN))*((1000)-(c_TMAP3OUT))+IF(((1000)-(c_TMAP3OUT))&gt;=0,1,-1)*QUOTIENT(((1000)-(c_TMAP3IN)),2))+2147483648,4294967296)-2147483648,((1000)-(c_TMAP3IN))*(((A57)-(c_TMAP3IN))*((1000)-(c_TMAP3OUT))+IF(((1000)-(c_TMAP3OUT))&gt;=0,1,-1)*QUOTIENT(((1000)-(c_TMAP3IN)),2)))&lt;0,-1,0),IF(IF(o_WRAP=1,MOD(((1000)-(c_TMAP3IN))*(((A57)-(c_TMAP3IN))*((1000)-(c_TMAP3OUT))+IF(((1000)-(c_TMAP3OUT))&gt;=0,1,-1)*QUOTIENT(((1000)-(c_TMAP3IN)),2))+2147483648,4294967296)-2147483648,((1000)-(c_TMAP3IN))*(((A57)-(c_TMAP3IN))*((1000)-(c_TMAP3OUT))+IF(((1000)-(c_TMAP3OUT))&gt;=0,1,-1)*QUOTIENT(((1000)-(c_TMAP3IN)),2)))&gt;=0,1,0)))</f>
        <v>-167</v>
      </c>
      <c r="H57" s="7" t="str">
        <f aca="false">IF(A57&gt;=c_TFWD,IF(AND(A57&gt;=c_TMAP3IN,c_TMAP3IN&lt;1000),"Seg4 map3-100%",IF(AND(A57&gt;=c_TMAP2IN,c_TMAP3IN&gt;c_TMAP2IN),"Seg3 map2-map3",IF(AND(A57&gt;=c_TMAP1IN,c_TMAP2IN&gt;c_TMAP1IN),"Seg2 map1-map2","Seg1 TFWD-map1"))),IF(AND(A57=0,c_TCREEP&gt;0),"Creep",IF(AND(A57&lt;=c_TRNGMIN,A57&gt;=c_TRNGMAX,c_TRNGMIN-c_TRNGMAX&lt;&gt;0),"Regen ramp","Coast (0)")))</f>
        <v>Seg1 TFWD-map1</v>
      </c>
      <c r="I57" s="7" t="n">
        <f aca="false">IF(A57&gt;=c_TFWD,IF(AND(A57&gt;=c_TMAP3IN,c_TMAP3IN&lt;1000),G57,IF(AND(A57&gt;=c_TMAP2IN,c_TMAP3IN&gt;c_TMAP2IN),F57,IF(AND(A57&gt;=c_TMAP1IN,c_TMAP2IN&gt;c_TMAP1IN),E57,D57))),C57)</f>
        <v>33</v>
      </c>
      <c r="J57" s="7" t="str">
        <f aca="false">IF(I57&lt;-1090,"TOO LOW",IF(I57&gt;1090,"TOO HIGH",""))</f>
        <v/>
      </c>
      <c r="K57" s="15" t="n">
        <f aca="false">IF(J57&lt;&gt;"",0,IF(I57&gt;979,1000,I57))</f>
        <v>33</v>
      </c>
      <c r="L57" s="7" t="n">
        <f aca="false">K57/10</f>
        <v>3.3</v>
      </c>
    </row>
    <row r="58" customFormat="false" ht="15" hidden="false" customHeight="false" outlineLevel="0" collapsed="false">
      <c r="A58" s="7" t="n">
        <v>53</v>
      </c>
      <c r="B58" s="7" t="n">
        <f aca="false">A58/10</f>
        <v>5.3</v>
      </c>
      <c r="C58" s="7" t="n">
        <f aca="false">IF(AND(A58=0,c_TCREEP&gt;0),10*c_TCREEP,IF(AND(A58&lt;=c_TRNGMIN,A58&gt;=c_TRNGMAX,c_TRNGMIN-c_TRNGMAX&lt;&gt;0),-10*c_TMINRN+QUOTIENT((c_TMAXRN-c_TMINRN)*(100-QUOTIENT((A58-c_TRNGMAX)*100,c_TRNGMIN-c_TRNGMAX)),-10),0))</f>
        <v>0</v>
      </c>
      <c r="D58" s="7" t="n">
        <f aca="false">IF(((c_TMAP1IN)-(c_TFWD))=0,(0)+QUOTIENT(((c_TMAP1OUT)-(0)),2),QUOTIENT((((A58)-(c_TFWD))*((c_TMAP1OUT)-(0))+IF(((c_TMAP1OUT)-(0))&gt;=0,1,-1)*QUOTIENT(((c_TMAP1IN)-(c_TFWD)),2)),((c_TMAP1IN)-(c_TFWD)))+(0)+IF(((c_TMAP1OUT)-(0))&gt;=0,IF(IF(o_WRAP=1,MOD(((c_TMAP1IN)-(c_TFWD))*(((A58)-(c_TFWD))*((c_TMAP1OUT)-(0))+IF(((c_TMAP1OUT)-(0))&gt;=0,1,-1)*QUOTIENT(((c_TMAP1IN)-(c_TFWD)),2))+2147483648,4294967296)-2147483648,((c_TMAP1IN)-(c_TFWD))*(((A58)-(c_TFWD))*((c_TMAP1OUT)-(0))+IF(((c_TMAP1OUT)-(0))&gt;=0,1,-1)*QUOTIENT(((c_TMAP1IN)-(c_TFWD)),2)))&lt;0,-1,0),IF(IF(o_WRAP=1,MOD(((c_TMAP1IN)-(c_TFWD))*(((A58)-(c_TFWD))*((c_TMAP1OUT)-(0))+IF(((c_TMAP1OUT)-(0))&gt;=0,1,-1)*QUOTIENT(((c_TMAP1IN)-(c_TFWD)),2))+2147483648,4294967296)-2147483648,((c_TMAP1IN)-(c_TFWD))*(((A58)-(c_TFWD))*((c_TMAP1OUT)-(0))+IF(((c_TMAP1OUT)-(0))&gt;=0,1,-1)*QUOTIENT(((c_TMAP1IN)-(c_TFWD)),2)))&gt;=0,1,0)))</f>
        <v>33</v>
      </c>
      <c r="E58" s="7" t="n">
        <f aca="false">IF(((c_TMAP2IN)-(c_TMAP1IN))=0,(c_TMAP1OUT)+QUOTIENT(((c_TMAP2OUT)-(c_TMAP1OUT)),2),QUOTIENT((((A58)-(c_TMAP1IN))*((c_TMAP2OUT)-(c_TMAP1OUT))+IF(((c_TMAP2OUT)-(c_TMAP1OUT))&gt;=0,1,-1)*QUOTIENT(((c_TMAP2IN)-(c_TMAP1IN)),2)),((c_TMAP2IN)-(c_TMAP1IN)))+(c_TMAP1OUT)+IF(((c_TMAP2OUT)-(c_TMAP1OUT))&gt;=0,IF(IF(o_WRAP=1,MOD(((c_TMAP2IN)-(c_TMAP1IN))*(((A58)-(c_TMAP1IN))*((c_TMAP2OUT)-(c_TMAP1OUT))+IF(((c_TMAP2OUT)-(c_TMAP1OUT))&gt;=0,1,-1)*QUOTIENT(((c_TMAP2IN)-(c_TMAP1IN)),2))+2147483648,4294967296)-2147483648,((c_TMAP2IN)-(c_TMAP1IN))*(((A58)-(c_TMAP1IN))*((c_TMAP2OUT)-(c_TMAP1OUT))+IF(((c_TMAP2OUT)-(c_TMAP1OUT))&gt;=0,1,-1)*QUOTIENT(((c_TMAP2IN)-(c_TMAP1IN)),2)))&lt;0,-1,0),IF(IF(o_WRAP=1,MOD(((c_TMAP2IN)-(c_TMAP1IN))*(((A58)-(c_TMAP1IN))*((c_TMAP2OUT)-(c_TMAP1OUT))+IF(((c_TMAP2OUT)-(c_TMAP1OUT))&gt;=0,1,-1)*QUOTIENT(((c_TMAP2IN)-(c_TMAP1IN)),2))+2147483648,4294967296)-2147483648,((c_TMAP2IN)-(c_TMAP1IN))*(((A58)-(c_TMAP1IN))*((c_TMAP2OUT)-(c_TMAP1OUT))+IF(((c_TMAP2OUT)-(c_TMAP1OUT))&gt;=0,1,-1)*QUOTIENT(((c_TMAP2IN)-(c_TMAP1IN)),2)))&gt;=0,1,0)))</f>
        <v>51</v>
      </c>
      <c r="F58" s="7" t="n">
        <f aca="false">IF(((c_TMAP3IN)-(c_TMAP2IN))=0,(c_TMAP2OUT)+QUOTIENT(((c_TMAP3OUT)-(c_TMAP2OUT)),2),QUOTIENT((((A58)-(c_TMAP2IN))*((c_TMAP3OUT)-(c_TMAP2OUT))+IF(((c_TMAP3OUT)-(c_TMAP2OUT))&gt;=0,1,-1)*QUOTIENT(((c_TMAP3IN)-(c_TMAP2IN)),2)),((c_TMAP3IN)-(c_TMAP2IN)))+(c_TMAP2OUT)+IF(((c_TMAP3OUT)-(c_TMAP2OUT))&gt;=0,IF(IF(o_WRAP=1,MOD(((c_TMAP3IN)-(c_TMAP2IN))*(((A58)-(c_TMAP2IN))*((c_TMAP3OUT)-(c_TMAP2OUT))+IF(((c_TMAP3OUT)-(c_TMAP2OUT))&gt;=0,1,-1)*QUOTIENT(((c_TMAP3IN)-(c_TMAP2IN)),2))+2147483648,4294967296)-2147483648,((c_TMAP3IN)-(c_TMAP2IN))*(((A58)-(c_TMAP2IN))*((c_TMAP3OUT)-(c_TMAP2OUT))+IF(((c_TMAP3OUT)-(c_TMAP2OUT))&gt;=0,1,-1)*QUOTIENT(((c_TMAP3IN)-(c_TMAP2IN)),2)))&lt;0,-1,0),IF(IF(o_WRAP=1,MOD(((c_TMAP3IN)-(c_TMAP2IN))*(((A58)-(c_TMAP2IN))*((c_TMAP3OUT)-(c_TMAP2OUT))+IF(((c_TMAP3OUT)-(c_TMAP2OUT))&gt;=0,1,-1)*QUOTIENT(((c_TMAP3IN)-(c_TMAP2IN)),2))+2147483648,4294967296)-2147483648,((c_TMAP3IN)-(c_TMAP2IN))*(((A58)-(c_TMAP2IN))*((c_TMAP3OUT)-(c_TMAP2OUT))+IF(((c_TMAP3OUT)-(c_TMAP2OUT))&gt;=0,1,-1)*QUOTIENT(((c_TMAP3IN)-(c_TMAP2IN)),2)))&gt;=0,1,0)))</f>
        <v>-8</v>
      </c>
      <c r="G58" s="7" t="n">
        <f aca="false">IF(((1000)-(c_TMAP3IN))=0,(c_TMAP3OUT)+QUOTIENT(((1000)-(c_TMAP3OUT)),2),QUOTIENT((((A58)-(c_TMAP3IN))*((1000)-(c_TMAP3OUT))+IF(((1000)-(c_TMAP3OUT))&gt;=0,1,-1)*QUOTIENT(((1000)-(c_TMAP3IN)),2)),((1000)-(c_TMAP3IN)))+(c_TMAP3OUT)+IF(((1000)-(c_TMAP3OUT))&gt;=0,IF(IF(o_WRAP=1,MOD(((1000)-(c_TMAP3IN))*(((A58)-(c_TMAP3IN))*((1000)-(c_TMAP3OUT))+IF(((1000)-(c_TMAP3OUT))&gt;=0,1,-1)*QUOTIENT(((1000)-(c_TMAP3IN)),2))+2147483648,4294967296)-2147483648,((1000)-(c_TMAP3IN))*(((A58)-(c_TMAP3IN))*((1000)-(c_TMAP3OUT))+IF(((1000)-(c_TMAP3OUT))&gt;=0,1,-1)*QUOTIENT(((1000)-(c_TMAP3IN)),2)))&lt;0,-1,0),IF(IF(o_WRAP=1,MOD(((1000)-(c_TMAP3IN))*(((A58)-(c_TMAP3IN))*((1000)-(c_TMAP3OUT))+IF(((1000)-(c_TMAP3OUT))&gt;=0,1,-1)*QUOTIENT(((1000)-(c_TMAP3IN)),2))+2147483648,4294967296)-2147483648,((1000)-(c_TMAP3IN))*(((A58)-(c_TMAP3IN))*((1000)-(c_TMAP3OUT))+IF(((1000)-(c_TMAP3OUT))&gt;=0,1,-1)*QUOTIENT(((1000)-(c_TMAP3IN)),2)))&gt;=0,1,0)))</f>
        <v>-166</v>
      </c>
      <c r="H58" s="7" t="str">
        <f aca="false">IF(A58&gt;=c_TFWD,IF(AND(A58&gt;=c_TMAP3IN,c_TMAP3IN&lt;1000),"Seg4 map3-100%",IF(AND(A58&gt;=c_TMAP2IN,c_TMAP3IN&gt;c_TMAP2IN),"Seg3 map2-map3",IF(AND(A58&gt;=c_TMAP1IN,c_TMAP2IN&gt;c_TMAP1IN),"Seg2 map1-map2","Seg1 TFWD-map1"))),IF(AND(A58=0,c_TCREEP&gt;0),"Creep",IF(AND(A58&lt;=c_TRNGMIN,A58&gt;=c_TRNGMAX,c_TRNGMIN-c_TRNGMAX&lt;&gt;0),"Regen ramp","Coast (0)")))</f>
        <v>Seg1 TFWD-map1</v>
      </c>
      <c r="I58" s="7" t="n">
        <f aca="false">IF(A58&gt;=c_TFWD,IF(AND(A58&gt;=c_TMAP3IN,c_TMAP3IN&lt;1000),G58,IF(AND(A58&gt;=c_TMAP2IN,c_TMAP3IN&gt;c_TMAP2IN),F58,IF(AND(A58&gt;=c_TMAP1IN,c_TMAP2IN&gt;c_TMAP1IN),E58,D58))),C58)</f>
        <v>33</v>
      </c>
      <c r="J58" s="7" t="str">
        <f aca="false">IF(I58&lt;-1090,"TOO LOW",IF(I58&gt;1090,"TOO HIGH",""))</f>
        <v/>
      </c>
      <c r="K58" s="15" t="n">
        <f aca="false">IF(J58&lt;&gt;"",0,IF(I58&gt;979,1000,I58))</f>
        <v>33</v>
      </c>
      <c r="L58" s="7" t="n">
        <f aca="false">K58/10</f>
        <v>3.3</v>
      </c>
    </row>
    <row r="59" customFormat="false" ht="15" hidden="false" customHeight="false" outlineLevel="0" collapsed="false">
      <c r="A59" s="7" t="n">
        <v>54</v>
      </c>
      <c r="B59" s="7" t="n">
        <f aca="false">A59/10</f>
        <v>5.4</v>
      </c>
      <c r="C59" s="7" t="n">
        <f aca="false">IF(AND(A59=0,c_TCREEP&gt;0),10*c_TCREEP,IF(AND(A59&lt;=c_TRNGMIN,A59&gt;=c_TRNGMAX,c_TRNGMIN-c_TRNGMAX&lt;&gt;0),-10*c_TMINRN+QUOTIENT((c_TMAXRN-c_TMINRN)*(100-QUOTIENT((A59-c_TRNGMAX)*100,c_TRNGMIN-c_TRNGMAX)),-10),0))</f>
        <v>0</v>
      </c>
      <c r="D59" s="7" t="n">
        <f aca="false">IF(((c_TMAP1IN)-(c_TFWD))=0,(0)+QUOTIENT(((c_TMAP1OUT)-(0)),2),QUOTIENT((((A59)-(c_TFWD))*((c_TMAP1OUT)-(0))+IF(((c_TMAP1OUT)-(0))&gt;=0,1,-1)*QUOTIENT(((c_TMAP1IN)-(c_TFWD)),2)),((c_TMAP1IN)-(c_TFWD)))+(0)+IF(((c_TMAP1OUT)-(0))&gt;=0,IF(IF(o_WRAP=1,MOD(((c_TMAP1IN)-(c_TFWD))*(((A59)-(c_TFWD))*((c_TMAP1OUT)-(0))+IF(((c_TMAP1OUT)-(0))&gt;=0,1,-1)*QUOTIENT(((c_TMAP1IN)-(c_TFWD)),2))+2147483648,4294967296)-2147483648,((c_TMAP1IN)-(c_TFWD))*(((A59)-(c_TFWD))*((c_TMAP1OUT)-(0))+IF(((c_TMAP1OUT)-(0))&gt;=0,1,-1)*QUOTIENT(((c_TMAP1IN)-(c_TFWD)),2)))&lt;0,-1,0),IF(IF(o_WRAP=1,MOD(((c_TMAP1IN)-(c_TFWD))*(((A59)-(c_TFWD))*((c_TMAP1OUT)-(0))+IF(((c_TMAP1OUT)-(0))&gt;=0,1,-1)*QUOTIENT(((c_TMAP1IN)-(c_TFWD)),2))+2147483648,4294967296)-2147483648,((c_TMAP1IN)-(c_TFWD))*(((A59)-(c_TFWD))*((c_TMAP1OUT)-(0))+IF(((c_TMAP1OUT)-(0))&gt;=0,1,-1)*QUOTIENT(((c_TMAP1IN)-(c_TFWD)),2)))&gt;=0,1,0)))</f>
        <v>34</v>
      </c>
      <c r="E59" s="7" t="n">
        <f aca="false">IF(((c_TMAP2IN)-(c_TMAP1IN))=0,(c_TMAP1OUT)+QUOTIENT(((c_TMAP2OUT)-(c_TMAP1OUT)),2),QUOTIENT((((A59)-(c_TMAP1IN))*((c_TMAP2OUT)-(c_TMAP1OUT))+IF(((c_TMAP2OUT)-(c_TMAP1OUT))&gt;=0,1,-1)*QUOTIENT(((c_TMAP2IN)-(c_TMAP1IN)),2)),((c_TMAP2IN)-(c_TMAP1IN)))+(c_TMAP1OUT)+IF(((c_TMAP2OUT)-(c_TMAP1OUT))&gt;=0,IF(IF(o_WRAP=1,MOD(((c_TMAP2IN)-(c_TMAP1IN))*(((A59)-(c_TMAP1IN))*((c_TMAP2OUT)-(c_TMAP1OUT))+IF(((c_TMAP2OUT)-(c_TMAP1OUT))&gt;=0,1,-1)*QUOTIENT(((c_TMAP2IN)-(c_TMAP1IN)),2))+2147483648,4294967296)-2147483648,((c_TMAP2IN)-(c_TMAP1IN))*(((A59)-(c_TMAP1IN))*((c_TMAP2OUT)-(c_TMAP1OUT))+IF(((c_TMAP2OUT)-(c_TMAP1OUT))&gt;=0,1,-1)*QUOTIENT(((c_TMAP2IN)-(c_TMAP1IN)),2)))&lt;0,-1,0),IF(IF(o_WRAP=1,MOD(((c_TMAP2IN)-(c_TMAP1IN))*(((A59)-(c_TMAP1IN))*((c_TMAP2OUT)-(c_TMAP1OUT))+IF(((c_TMAP2OUT)-(c_TMAP1OUT))&gt;=0,1,-1)*QUOTIENT(((c_TMAP2IN)-(c_TMAP1IN)),2))+2147483648,4294967296)-2147483648,((c_TMAP2IN)-(c_TMAP1IN))*(((A59)-(c_TMAP1IN))*((c_TMAP2OUT)-(c_TMAP1OUT))+IF(((c_TMAP2OUT)-(c_TMAP1OUT))&gt;=0,1,-1)*QUOTIENT(((c_TMAP2IN)-(c_TMAP1IN)),2)))&gt;=0,1,0)))</f>
        <v>52</v>
      </c>
      <c r="F59" s="7" t="n">
        <f aca="false">IF(((c_TMAP3IN)-(c_TMAP2IN))=0,(c_TMAP2OUT)+QUOTIENT(((c_TMAP3OUT)-(c_TMAP2OUT)),2),QUOTIENT((((A59)-(c_TMAP2IN))*((c_TMAP3OUT)-(c_TMAP2OUT))+IF(((c_TMAP3OUT)-(c_TMAP2OUT))&gt;=0,1,-1)*QUOTIENT(((c_TMAP3IN)-(c_TMAP2IN)),2)),((c_TMAP3IN)-(c_TMAP2IN)))+(c_TMAP2OUT)+IF(((c_TMAP3OUT)-(c_TMAP2OUT))&gt;=0,IF(IF(o_WRAP=1,MOD(((c_TMAP3IN)-(c_TMAP2IN))*(((A59)-(c_TMAP2IN))*((c_TMAP3OUT)-(c_TMAP2OUT))+IF(((c_TMAP3OUT)-(c_TMAP2OUT))&gt;=0,1,-1)*QUOTIENT(((c_TMAP3IN)-(c_TMAP2IN)),2))+2147483648,4294967296)-2147483648,((c_TMAP3IN)-(c_TMAP2IN))*(((A59)-(c_TMAP2IN))*((c_TMAP3OUT)-(c_TMAP2OUT))+IF(((c_TMAP3OUT)-(c_TMAP2OUT))&gt;=0,1,-1)*QUOTIENT(((c_TMAP3IN)-(c_TMAP2IN)),2)))&lt;0,-1,0),IF(IF(o_WRAP=1,MOD(((c_TMAP3IN)-(c_TMAP2IN))*(((A59)-(c_TMAP2IN))*((c_TMAP3OUT)-(c_TMAP2OUT))+IF(((c_TMAP3OUT)-(c_TMAP2OUT))&gt;=0,1,-1)*QUOTIENT(((c_TMAP3IN)-(c_TMAP2IN)),2))+2147483648,4294967296)-2147483648,((c_TMAP3IN)-(c_TMAP2IN))*(((A59)-(c_TMAP2IN))*((c_TMAP3OUT)-(c_TMAP2OUT))+IF(((c_TMAP3OUT)-(c_TMAP2OUT))&gt;=0,1,-1)*QUOTIENT(((c_TMAP3IN)-(c_TMAP2IN)),2)))&gt;=0,1,0)))</f>
        <v>-7</v>
      </c>
      <c r="G59" s="7" t="n">
        <f aca="false">IF(((1000)-(c_TMAP3IN))=0,(c_TMAP3OUT)+QUOTIENT(((1000)-(c_TMAP3OUT)),2),QUOTIENT((((A59)-(c_TMAP3IN))*((1000)-(c_TMAP3OUT))+IF(((1000)-(c_TMAP3OUT))&gt;=0,1,-1)*QUOTIENT(((1000)-(c_TMAP3IN)),2)),((1000)-(c_TMAP3IN)))+(c_TMAP3OUT)+IF(((1000)-(c_TMAP3OUT))&gt;=0,IF(IF(o_WRAP=1,MOD(((1000)-(c_TMAP3IN))*(((A59)-(c_TMAP3IN))*((1000)-(c_TMAP3OUT))+IF(((1000)-(c_TMAP3OUT))&gt;=0,1,-1)*QUOTIENT(((1000)-(c_TMAP3IN)),2))+2147483648,4294967296)-2147483648,((1000)-(c_TMAP3IN))*(((A59)-(c_TMAP3IN))*((1000)-(c_TMAP3OUT))+IF(((1000)-(c_TMAP3OUT))&gt;=0,1,-1)*QUOTIENT(((1000)-(c_TMAP3IN)),2)))&lt;0,-1,0),IF(IF(o_WRAP=1,MOD(((1000)-(c_TMAP3IN))*(((A59)-(c_TMAP3IN))*((1000)-(c_TMAP3OUT))+IF(((1000)-(c_TMAP3OUT))&gt;=0,1,-1)*QUOTIENT(((1000)-(c_TMAP3IN)),2))+2147483648,4294967296)-2147483648,((1000)-(c_TMAP3IN))*(((A59)-(c_TMAP3IN))*((1000)-(c_TMAP3OUT))+IF(((1000)-(c_TMAP3OUT))&gt;=0,1,-1)*QUOTIENT(((1000)-(c_TMAP3IN)),2)))&gt;=0,1,0)))</f>
        <v>-164</v>
      </c>
      <c r="H59" s="7" t="str">
        <f aca="false">IF(A59&gt;=c_TFWD,IF(AND(A59&gt;=c_TMAP3IN,c_TMAP3IN&lt;1000),"Seg4 map3-100%",IF(AND(A59&gt;=c_TMAP2IN,c_TMAP3IN&gt;c_TMAP2IN),"Seg3 map2-map3",IF(AND(A59&gt;=c_TMAP1IN,c_TMAP2IN&gt;c_TMAP1IN),"Seg2 map1-map2","Seg1 TFWD-map1"))),IF(AND(A59=0,c_TCREEP&gt;0),"Creep",IF(AND(A59&lt;=c_TRNGMIN,A59&gt;=c_TRNGMAX,c_TRNGMIN-c_TRNGMAX&lt;&gt;0),"Regen ramp","Coast (0)")))</f>
        <v>Seg1 TFWD-map1</v>
      </c>
      <c r="I59" s="7" t="n">
        <f aca="false">IF(A59&gt;=c_TFWD,IF(AND(A59&gt;=c_TMAP3IN,c_TMAP3IN&lt;1000),G59,IF(AND(A59&gt;=c_TMAP2IN,c_TMAP3IN&gt;c_TMAP2IN),F59,IF(AND(A59&gt;=c_TMAP1IN,c_TMAP2IN&gt;c_TMAP1IN),E59,D59))),C59)</f>
        <v>34</v>
      </c>
      <c r="J59" s="7" t="str">
        <f aca="false">IF(I59&lt;-1090,"TOO LOW",IF(I59&gt;1090,"TOO HIGH",""))</f>
        <v/>
      </c>
      <c r="K59" s="15" t="n">
        <f aca="false">IF(J59&lt;&gt;"",0,IF(I59&gt;979,1000,I59))</f>
        <v>34</v>
      </c>
      <c r="L59" s="7" t="n">
        <f aca="false">K59/10</f>
        <v>3.4</v>
      </c>
    </row>
    <row r="60" customFormat="false" ht="15" hidden="false" customHeight="false" outlineLevel="0" collapsed="false">
      <c r="A60" s="7" t="n">
        <v>55</v>
      </c>
      <c r="B60" s="7" t="n">
        <f aca="false">A60/10</f>
        <v>5.5</v>
      </c>
      <c r="C60" s="7" t="n">
        <f aca="false">IF(AND(A60=0,c_TCREEP&gt;0),10*c_TCREEP,IF(AND(A60&lt;=c_TRNGMIN,A60&gt;=c_TRNGMAX,c_TRNGMIN-c_TRNGMAX&lt;&gt;0),-10*c_TMINRN+QUOTIENT((c_TMAXRN-c_TMINRN)*(100-QUOTIENT((A60-c_TRNGMAX)*100,c_TRNGMIN-c_TRNGMAX)),-10),0))</f>
        <v>0</v>
      </c>
      <c r="D60" s="7" t="n">
        <f aca="false">IF(((c_TMAP1IN)-(c_TFWD))=0,(0)+QUOTIENT(((c_TMAP1OUT)-(0)),2),QUOTIENT((((A60)-(c_TFWD))*((c_TMAP1OUT)-(0))+IF(((c_TMAP1OUT)-(0))&gt;=0,1,-1)*QUOTIENT(((c_TMAP1IN)-(c_TFWD)),2)),((c_TMAP1IN)-(c_TFWD)))+(0)+IF(((c_TMAP1OUT)-(0))&gt;=0,IF(IF(o_WRAP=1,MOD(((c_TMAP1IN)-(c_TFWD))*(((A60)-(c_TFWD))*((c_TMAP1OUT)-(0))+IF(((c_TMAP1OUT)-(0))&gt;=0,1,-1)*QUOTIENT(((c_TMAP1IN)-(c_TFWD)),2))+2147483648,4294967296)-2147483648,((c_TMAP1IN)-(c_TFWD))*(((A60)-(c_TFWD))*((c_TMAP1OUT)-(0))+IF(((c_TMAP1OUT)-(0))&gt;=0,1,-1)*QUOTIENT(((c_TMAP1IN)-(c_TFWD)),2)))&lt;0,-1,0),IF(IF(o_WRAP=1,MOD(((c_TMAP1IN)-(c_TFWD))*(((A60)-(c_TFWD))*((c_TMAP1OUT)-(0))+IF(((c_TMAP1OUT)-(0))&gt;=0,1,-1)*QUOTIENT(((c_TMAP1IN)-(c_TFWD)),2))+2147483648,4294967296)-2147483648,((c_TMAP1IN)-(c_TFWD))*(((A60)-(c_TFWD))*((c_TMAP1OUT)-(0))+IF(((c_TMAP1OUT)-(0))&gt;=0,1,-1)*QUOTIENT(((c_TMAP1IN)-(c_TFWD)),2)))&gt;=0,1,0)))</f>
        <v>35</v>
      </c>
      <c r="E60" s="7" t="n">
        <f aca="false">IF(((c_TMAP2IN)-(c_TMAP1IN))=0,(c_TMAP1OUT)+QUOTIENT(((c_TMAP2OUT)-(c_TMAP1OUT)),2),QUOTIENT((((A60)-(c_TMAP1IN))*((c_TMAP2OUT)-(c_TMAP1OUT))+IF(((c_TMAP2OUT)-(c_TMAP1OUT))&gt;=0,1,-1)*QUOTIENT(((c_TMAP2IN)-(c_TMAP1IN)),2)),((c_TMAP2IN)-(c_TMAP1IN)))+(c_TMAP1OUT)+IF(((c_TMAP2OUT)-(c_TMAP1OUT))&gt;=0,IF(IF(o_WRAP=1,MOD(((c_TMAP2IN)-(c_TMAP1IN))*(((A60)-(c_TMAP1IN))*((c_TMAP2OUT)-(c_TMAP1OUT))+IF(((c_TMAP2OUT)-(c_TMAP1OUT))&gt;=0,1,-1)*QUOTIENT(((c_TMAP2IN)-(c_TMAP1IN)),2))+2147483648,4294967296)-2147483648,((c_TMAP2IN)-(c_TMAP1IN))*(((A60)-(c_TMAP1IN))*((c_TMAP2OUT)-(c_TMAP1OUT))+IF(((c_TMAP2OUT)-(c_TMAP1OUT))&gt;=0,1,-1)*QUOTIENT(((c_TMAP2IN)-(c_TMAP1IN)),2)))&lt;0,-1,0),IF(IF(o_WRAP=1,MOD(((c_TMAP2IN)-(c_TMAP1IN))*(((A60)-(c_TMAP1IN))*((c_TMAP2OUT)-(c_TMAP1OUT))+IF(((c_TMAP2OUT)-(c_TMAP1OUT))&gt;=0,1,-1)*QUOTIENT(((c_TMAP2IN)-(c_TMAP1IN)),2))+2147483648,4294967296)-2147483648,((c_TMAP2IN)-(c_TMAP1IN))*(((A60)-(c_TMAP1IN))*((c_TMAP2OUT)-(c_TMAP1OUT))+IF(((c_TMAP2OUT)-(c_TMAP1OUT))&gt;=0,1,-1)*QUOTIENT(((c_TMAP2IN)-(c_TMAP1IN)),2)))&gt;=0,1,0)))</f>
        <v>52</v>
      </c>
      <c r="F60" s="7" t="n">
        <f aca="false">IF(((c_TMAP3IN)-(c_TMAP2IN))=0,(c_TMAP2OUT)+QUOTIENT(((c_TMAP3OUT)-(c_TMAP2OUT)),2),QUOTIENT((((A60)-(c_TMAP2IN))*((c_TMAP3OUT)-(c_TMAP2OUT))+IF(((c_TMAP3OUT)-(c_TMAP2OUT))&gt;=0,1,-1)*QUOTIENT(((c_TMAP3IN)-(c_TMAP2IN)),2)),((c_TMAP3IN)-(c_TMAP2IN)))+(c_TMAP2OUT)+IF(((c_TMAP3OUT)-(c_TMAP2OUT))&gt;=0,IF(IF(o_WRAP=1,MOD(((c_TMAP3IN)-(c_TMAP2IN))*(((A60)-(c_TMAP2IN))*((c_TMAP3OUT)-(c_TMAP2OUT))+IF(((c_TMAP3OUT)-(c_TMAP2OUT))&gt;=0,1,-1)*QUOTIENT(((c_TMAP3IN)-(c_TMAP2IN)),2))+2147483648,4294967296)-2147483648,((c_TMAP3IN)-(c_TMAP2IN))*(((A60)-(c_TMAP2IN))*((c_TMAP3OUT)-(c_TMAP2OUT))+IF(((c_TMAP3OUT)-(c_TMAP2OUT))&gt;=0,1,-1)*QUOTIENT(((c_TMAP3IN)-(c_TMAP2IN)),2)))&lt;0,-1,0),IF(IF(o_WRAP=1,MOD(((c_TMAP3IN)-(c_TMAP2IN))*(((A60)-(c_TMAP2IN))*((c_TMAP3OUT)-(c_TMAP2OUT))+IF(((c_TMAP3OUT)-(c_TMAP2OUT))&gt;=0,1,-1)*QUOTIENT(((c_TMAP3IN)-(c_TMAP2IN)),2))+2147483648,4294967296)-2147483648,((c_TMAP3IN)-(c_TMAP2IN))*(((A60)-(c_TMAP2IN))*((c_TMAP3OUT)-(c_TMAP2OUT))+IF(((c_TMAP3OUT)-(c_TMAP2OUT))&gt;=0,1,-1)*QUOTIENT(((c_TMAP3IN)-(c_TMAP2IN)),2)))&gt;=0,1,0)))</f>
        <v>-7</v>
      </c>
      <c r="G60" s="7" t="n">
        <f aca="false">IF(((1000)-(c_TMAP3IN))=0,(c_TMAP3OUT)+QUOTIENT(((1000)-(c_TMAP3OUT)),2),QUOTIENT((((A60)-(c_TMAP3IN))*((1000)-(c_TMAP3OUT))+IF(((1000)-(c_TMAP3OUT))&gt;=0,1,-1)*QUOTIENT(((1000)-(c_TMAP3IN)),2)),((1000)-(c_TMAP3IN)))+(c_TMAP3OUT)+IF(((1000)-(c_TMAP3OUT))&gt;=0,IF(IF(o_WRAP=1,MOD(((1000)-(c_TMAP3IN))*(((A60)-(c_TMAP3IN))*((1000)-(c_TMAP3OUT))+IF(((1000)-(c_TMAP3OUT))&gt;=0,1,-1)*QUOTIENT(((1000)-(c_TMAP3IN)),2))+2147483648,4294967296)-2147483648,((1000)-(c_TMAP3IN))*(((A60)-(c_TMAP3IN))*((1000)-(c_TMAP3OUT))+IF(((1000)-(c_TMAP3OUT))&gt;=0,1,-1)*QUOTIENT(((1000)-(c_TMAP3IN)),2)))&lt;0,-1,0),IF(IF(o_WRAP=1,MOD(((1000)-(c_TMAP3IN))*(((A60)-(c_TMAP3IN))*((1000)-(c_TMAP3OUT))+IF(((1000)-(c_TMAP3OUT))&gt;=0,1,-1)*QUOTIENT(((1000)-(c_TMAP3IN)),2))+2147483648,4294967296)-2147483648,((1000)-(c_TMAP3IN))*(((A60)-(c_TMAP3IN))*((1000)-(c_TMAP3OUT))+IF(((1000)-(c_TMAP3OUT))&gt;=0,1,-1)*QUOTIENT(((1000)-(c_TMAP3IN)),2)))&gt;=0,1,0)))</f>
        <v>-163</v>
      </c>
      <c r="H60" s="7" t="str">
        <f aca="false">IF(A60&gt;=c_TFWD,IF(AND(A60&gt;=c_TMAP3IN,c_TMAP3IN&lt;1000),"Seg4 map3-100%",IF(AND(A60&gt;=c_TMAP2IN,c_TMAP3IN&gt;c_TMAP2IN),"Seg3 map2-map3",IF(AND(A60&gt;=c_TMAP1IN,c_TMAP2IN&gt;c_TMAP1IN),"Seg2 map1-map2","Seg1 TFWD-map1"))),IF(AND(A60=0,c_TCREEP&gt;0),"Creep",IF(AND(A60&lt;=c_TRNGMIN,A60&gt;=c_TRNGMAX,c_TRNGMIN-c_TRNGMAX&lt;&gt;0),"Regen ramp","Coast (0)")))</f>
        <v>Seg1 TFWD-map1</v>
      </c>
      <c r="I60" s="7" t="n">
        <f aca="false">IF(A60&gt;=c_TFWD,IF(AND(A60&gt;=c_TMAP3IN,c_TMAP3IN&lt;1000),G60,IF(AND(A60&gt;=c_TMAP2IN,c_TMAP3IN&gt;c_TMAP2IN),F60,IF(AND(A60&gt;=c_TMAP1IN,c_TMAP2IN&gt;c_TMAP1IN),E60,D60))),C60)</f>
        <v>35</v>
      </c>
      <c r="J60" s="7" t="str">
        <f aca="false">IF(I60&lt;-1090,"TOO LOW",IF(I60&gt;1090,"TOO HIGH",""))</f>
        <v/>
      </c>
      <c r="K60" s="15" t="n">
        <f aca="false">IF(J60&lt;&gt;"",0,IF(I60&gt;979,1000,I60))</f>
        <v>35</v>
      </c>
      <c r="L60" s="7" t="n">
        <f aca="false">K60/10</f>
        <v>3.5</v>
      </c>
    </row>
    <row r="61" customFormat="false" ht="15" hidden="false" customHeight="false" outlineLevel="0" collapsed="false">
      <c r="A61" s="7" t="n">
        <v>56</v>
      </c>
      <c r="B61" s="7" t="n">
        <f aca="false">A61/10</f>
        <v>5.6</v>
      </c>
      <c r="C61" s="7" t="n">
        <f aca="false">IF(AND(A61=0,c_TCREEP&gt;0),10*c_TCREEP,IF(AND(A61&lt;=c_TRNGMIN,A61&gt;=c_TRNGMAX,c_TRNGMIN-c_TRNGMAX&lt;&gt;0),-10*c_TMINRN+QUOTIENT((c_TMAXRN-c_TMINRN)*(100-QUOTIENT((A61-c_TRNGMAX)*100,c_TRNGMIN-c_TRNGMAX)),-10),0))</f>
        <v>0</v>
      </c>
      <c r="D61" s="7" t="n">
        <f aca="false">IF(((c_TMAP1IN)-(c_TFWD))=0,(0)+QUOTIENT(((c_TMAP1OUT)-(0)),2),QUOTIENT((((A61)-(c_TFWD))*((c_TMAP1OUT)-(0))+IF(((c_TMAP1OUT)-(0))&gt;=0,1,-1)*QUOTIENT(((c_TMAP1IN)-(c_TFWD)),2)),((c_TMAP1IN)-(c_TFWD)))+(0)+IF(((c_TMAP1OUT)-(0))&gt;=0,IF(IF(o_WRAP=1,MOD(((c_TMAP1IN)-(c_TFWD))*(((A61)-(c_TFWD))*((c_TMAP1OUT)-(0))+IF(((c_TMAP1OUT)-(0))&gt;=0,1,-1)*QUOTIENT(((c_TMAP1IN)-(c_TFWD)),2))+2147483648,4294967296)-2147483648,((c_TMAP1IN)-(c_TFWD))*(((A61)-(c_TFWD))*((c_TMAP1OUT)-(0))+IF(((c_TMAP1OUT)-(0))&gt;=0,1,-1)*QUOTIENT(((c_TMAP1IN)-(c_TFWD)),2)))&lt;0,-1,0),IF(IF(o_WRAP=1,MOD(((c_TMAP1IN)-(c_TFWD))*(((A61)-(c_TFWD))*((c_TMAP1OUT)-(0))+IF(((c_TMAP1OUT)-(0))&gt;=0,1,-1)*QUOTIENT(((c_TMAP1IN)-(c_TFWD)),2))+2147483648,4294967296)-2147483648,((c_TMAP1IN)-(c_TFWD))*(((A61)-(c_TFWD))*((c_TMAP1OUT)-(0))+IF(((c_TMAP1OUT)-(0))&gt;=0,1,-1)*QUOTIENT(((c_TMAP1IN)-(c_TFWD)),2)))&gt;=0,1,0)))</f>
        <v>36</v>
      </c>
      <c r="E61" s="7" t="n">
        <f aca="false">IF(((c_TMAP2IN)-(c_TMAP1IN))=0,(c_TMAP1OUT)+QUOTIENT(((c_TMAP2OUT)-(c_TMAP1OUT)),2),QUOTIENT((((A61)-(c_TMAP1IN))*((c_TMAP2OUT)-(c_TMAP1OUT))+IF(((c_TMAP2OUT)-(c_TMAP1OUT))&gt;=0,1,-1)*QUOTIENT(((c_TMAP2IN)-(c_TMAP1IN)),2)),((c_TMAP2IN)-(c_TMAP1IN)))+(c_TMAP1OUT)+IF(((c_TMAP2OUT)-(c_TMAP1OUT))&gt;=0,IF(IF(o_WRAP=1,MOD(((c_TMAP2IN)-(c_TMAP1IN))*(((A61)-(c_TMAP1IN))*((c_TMAP2OUT)-(c_TMAP1OUT))+IF(((c_TMAP2OUT)-(c_TMAP1OUT))&gt;=0,1,-1)*QUOTIENT(((c_TMAP2IN)-(c_TMAP1IN)),2))+2147483648,4294967296)-2147483648,((c_TMAP2IN)-(c_TMAP1IN))*(((A61)-(c_TMAP1IN))*((c_TMAP2OUT)-(c_TMAP1OUT))+IF(((c_TMAP2OUT)-(c_TMAP1OUT))&gt;=0,1,-1)*QUOTIENT(((c_TMAP2IN)-(c_TMAP1IN)),2)))&lt;0,-1,0),IF(IF(o_WRAP=1,MOD(((c_TMAP2IN)-(c_TMAP1IN))*(((A61)-(c_TMAP1IN))*((c_TMAP2OUT)-(c_TMAP1OUT))+IF(((c_TMAP2OUT)-(c_TMAP1OUT))&gt;=0,1,-1)*QUOTIENT(((c_TMAP2IN)-(c_TMAP1IN)),2))+2147483648,4294967296)-2147483648,((c_TMAP2IN)-(c_TMAP1IN))*(((A61)-(c_TMAP1IN))*((c_TMAP2OUT)-(c_TMAP1OUT))+IF(((c_TMAP2OUT)-(c_TMAP1OUT))&gt;=0,1,-1)*QUOTIENT(((c_TMAP2IN)-(c_TMAP1IN)),2)))&gt;=0,1,0)))</f>
        <v>52</v>
      </c>
      <c r="F61" s="7" t="n">
        <f aca="false">IF(((c_TMAP3IN)-(c_TMAP2IN))=0,(c_TMAP2OUT)+QUOTIENT(((c_TMAP3OUT)-(c_TMAP2OUT)),2),QUOTIENT((((A61)-(c_TMAP2IN))*((c_TMAP3OUT)-(c_TMAP2OUT))+IF(((c_TMAP3OUT)-(c_TMAP2OUT))&gt;=0,1,-1)*QUOTIENT(((c_TMAP3IN)-(c_TMAP2IN)),2)),((c_TMAP3IN)-(c_TMAP2IN)))+(c_TMAP2OUT)+IF(((c_TMAP3OUT)-(c_TMAP2OUT))&gt;=0,IF(IF(o_WRAP=1,MOD(((c_TMAP3IN)-(c_TMAP2IN))*(((A61)-(c_TMAP2IN))*((c_TMAP3OUT)-(c_TMAP2OUT))+IF(((c_TMAP3OUT)-(c_TMAP2OUT))&gt;=0,1,-1)*QUOTIENT(((c_TMAP3IN)-(c_TMAP2IN)),2))+2147483648,4294967296)-2147483648,((c_TMAP3IN)-(c_TMAP2IN))*(((A61)-(c_TMAP2IN))*((c_TMAP3OUT)-(c_TMAP2OUT))+IF(((c_TMAP3OUT)-(c_TMAP2OUT))&gt;=0,1,-1)*QUOTIENT(((c_TMAP3IN)-(c_TMAP2IN)),2)))&lt;0,-1,0),IF(IF(o_WRAP=1,MOD(((c_TMAP3IN)-(c_TMAP2IN))*(((A61)-(c_TMAP2IN))*((c_TMAP3OUT)-(c_TMAP2OUT))+IF(((c_TMAP3OUT)-(c_TMAP2OUT))&gt;=0,1,-1)*QUOTIENT(((c_TMAP3IN)-(c_TMAP2IN)),2))+2147483648,4294967296)-2147483648,((c_TMAP3IN)-(c_TMAP2IN))*(((A61)-(c_TMAP2IN))*((c_TMAP3OUT)-(c_TMAP2OUT))+IF(((c_TMAP3OUT)-(c_TMAP2OUT))&gt;=0,1,-1)*QUOTIENT(((c_TMAP3IN)-(c_TMAP2IN)),2)))&gt;=0,1,0)))</f>
        <v>-6</v>
      </c>
      <c r="G61" s="7" t="n">
        <f aca="false">IF(((1000)-(c_TMAP3IN))=0,(c_TMAP3OUT)+QUOTIENT(((1000)-(c_TMAP3OUT)),2),QUOTIENT((((A61)-(c_TMAP3IN))*((1000)-(c_TMAP3OUT))+IF(((1000)-(c_TMAP3OUT))&gt;=0,1,-1)*QUOTIENT(((1000)-(c_TMAP3IN)),2)),((1000)-(c_TMAP3IN)))+(c_TMAP3OUT)+IF(((1000)-(c_TMAP3OUT))&gt;=0,IF(IF(o_WRAP=1,MOD(((1000)-(c_TMAP3IN))*(((A61)-(c_TMAP3IN))*((1000)-(c_TMAP3OUT))+IF(((1000)-(c_TMAP3OUT))&gt;=0,1,-1)*QUOTIENT(((1000)-(c_TMAP3IN)),2))+2147483648,4294967296)-2147483648,((1000)-(c_TMAP3IN))*(((A61)-(c_TMAP3IN))*((1000)-(c_TMAP3OUT))+IF(((1000)-(c_TMAP3OUT))&gt;=0,1,-1)*QUOTIENT(((1000)-(c_TMAP3IN)),2)))&lt;0,-1,0),IF(IF(o_WRAP=1,MOD(((1000)-(c_TMAP3IN))*(((A61)-(c_TMAP3IN))*((1000)-(c_TMAP3OUT))+IF(((1000)-(c_TMAP3OUT))&gt;=0,1,-1)*QUOTIENT(((1000)-(c_TMAP3IN)),2))+2147483648,4294967296)-2147483648,((1000)-(c_TMAP3IN))*(((A61)-(c_TMAP3IN))*((1000)-(c_TMAP3OUT))+IF(((1000)-(c_TMAP3OUT))&gt;=0,1,-1)*QUOTIENT(((1000)-(c_TMAP3IN)),2)))&gt;=0,1,0)))</f>
        <v>-162</v>
      </c>
      <c r="H61" s="7" t="str">
        <f aca="false">IF(A61&gt;=c_TFWD,IF(AND(A61&gt;=c_TMAP3IN,c_TMAP3IN&lt;1000),"Seg4 map3-100%",IF(AND(A61&gt;=c_TMAP2IN,c_TMAP3IN&gt;c_TMAP2IN),"Seg3 map2-map3",IF(AND(A61&gt;=c_TMAP1IN,c_TMAP2IN&gt;c_TMAP1IN),"Seg2 map1-map2","Seg1 TFWD-map1"))),IF(AND(A61=0,c_TCREEP&gt;0),"Creep",IF(AND(A61&lt;=c_TRNGMIN,A61&gt;=c_TRNGMAX,c_TRNGMIN-c_TRNGMAX&lt;&gt;0),"Regen ramp","Coast (0)")))</f>
        <v>Seg1 TFWD-map1</v>
      </c>
      <c r="I61" s="7" t="n">
        <f aca="false">IF(A61&gt;=c_TFWD,IF(AND(A61&gt;=c_TMAP3IN,c_TMAP3IN&lt;1000),G61,IF(AND(A61&gt;=c_TMAP2IN,c_TMAP3IN&gt;c_TMAP2IN),F61,IF(AND(A61&gt;=c_TMAP1IN,c_TMAP2IN&gt;c_TMAP1IN),E61,D61))),C61)</f>
        <v>36</v>
      </c>
      <c r="J61" s="7" t="str">
        <f aca="false">IF(I61&lt;-1090,"TOO LOW",IF(I61&gt;1090,"TOO HIGH",""))</f>
        <v/>
      </c>
      <c r="K61" s="15" t="n">
        <f aca="false">IF(J61&lt;&gt;"",0,IF(I61&gt;979,1000,I61))</f>
        <v>36</v>
      </c>
      <c r="L61" s="7" t="n">
        <f aca="false">K61/10</f>
        <v>3.6</v>
      </c>
    </row>
    <row r="62" customFormat="false" ht="15" hidden="false" customHeight="false" outlineLevel="0" collapsed="false">
      <c r="A62" s="7" t="n">
        <v>57</v>
      </c>
      <c r="B62" s="7" t="n">
        <f aca="false">A62/10</f>
        <v>5.7</v>
      </c>
      <c r="C62" s="7" t="n">
        <f aca="false">IF(AND(A62=0,c_TCREEP&gt;0),10*c_TCREEP,IF(AND(A62&lt;=c_TRNGMIN,A62&gt;=c_TRNGMAX,c_TRNGMIN-c_TRNGMAX&lt;&gt;0),-10*c_TMINRN+QUOTIENT((c_TMAXRN-c_TMINRN)*(100-QUOTIENT((A62-c_TRNGMAX)*100,c_TRNGMIN-c_TRNGMAX)),-10),0))</f>
        <v>0</v>
      </c>
      <c r="D62" s="7" t="n">
        <f aca="false">IF(((c_TMAP1IN)-(c_TFWD))=0,(0)+QUOTIENT(((c_TMAP1OUT)-(0)),2),QUOTIENT((((A62)-(c_TFWD))*((c_TMAP1OUT)-(0))+IF(((c_TMAP1OUT)-(0))&gt;=0,1,-1)*QUOTIENT(((c_TMAP1IN)-(c_TFWD)),2)),((c_TMAP1IN)-(c_TFWD)))+(0)+IF(((c_TMAP1OUT)-(0))&gt;=0,IF(IF(o_WRAP=1,MOD(((c_TMAP1IN)-(c_TFWD))*(((A62)-(c_TFWD))*((c_TMAP1OUT)-(0))+IF(((c_TMAP1OUT)-(0))&gt;=0,1,-1)*QUOTIENT(((c_TMAP1IN)-(c_TFWD)),2))+2147483648,4294967296)-2147483648,((c_TMAP1IN)-(c_TFWD))*(((A62)-(c_TFWD))*((c_TMAP1OUT)-(0))+IF(((c_TMAP1OUT)-(0))&gt;=0,1,-1)*QUOTIENT(((c_TMAP1IN)-(c_TFWD)),2)))&lt;0,-1,0),IF(IF(o_WRAP=1,MOD(((c_TMAP1IN)-(c_TFWD))*(((A62)-(c_TFWD))*((c_TMAP1OUT)-(0))+IF(((c_TMAP1OUT)-(0))&gt;=0,1,-1)*QUOTIENT(((c_TMAP1IN)-(c_TFWD)),2))+2147483648,4294967296)-2147483648,((c_TMAP1IN)-(c_TFWD))*(((A62)-(c_TFWD))*((c_TMAP1OUT)-(0))+IF(((c_TMAP1OUT)-(0))&gt;=0,1,-1)*QUOTIENT(((c_TMAP1IN)-(c_TFWD)),2)))&gt;=0,1,0)))</f>
        <v>37</v>
      </c>
      <c r="E62" s="7" t="n">
        <f aca="false">IF(((c_TMAP2IN)-(c_TMAP1IN))=0,(c_TMAP1OUT)+QUOTIENT(((c_TMAP2OUT)-(c_TMAP1OUT)),2),QUOTIENT((((A62)-(c_TMAP1IN))*((c_TMAP2OUT)-(c_TMAP1OUT))+IF(((c_TMAP2OUT)-(c_TMAP1OUT))&gt;=0,1,-1)*QUOTIENT(((c_TMAP2IN)-(c_TMAP1IN)),2)),((c_TMAP2IN)-(c_TMAP1IN)))+(c_TMAP1OUT)+IF(((c_TMAP2OUT)-(c_TMAP1OUT))&gt;=0,IF(IF(o_WRAP=1,MOD(((c_TMAP2IN)-(c_TMAP1IN))*(((A62)-(c_TMAP1IN))*((c_TMAP2OUT)-(c_TMAP1OUT))+IF(((c_TMAP2OUT)-(c_TMAP1OUT))&gt;=0,1,-1)*QUOTIENT(((c_TMAP2IN)-(c_TMAP1IN)),2))+2147483648,4294967296)-2147483648,((c_TMAP2IN)-(c_TMAP1IN))*(((A62)-(c_TMAP1IN))*((c_TMAP2OUT)-(c_TMAP1OUT))+IF(((c_TMAP2OUT)-(c_TMAP1OUT))&gt;=0,1,-1)*QUOTIENT(((c_TMAP2IN)-(c_TMAP1IN)),2)))&lt;0,-1,0),IF(IF(o_WRAP=1,MOD(((c_TMAP2IN)-(c_TMAP1IN))*(((A62)-(c_TMAP1IN))*((c_TMAP2OUT)-(c_TMAP1OUT))+IF(((c_TMAP2OUT)-(c_TMAP1OUT))&gt;=0,1,-1)*QUOTIENT(((c_TMAP2IN)-(c_TMAP1IN)),2))+2147483648,4294967296)-2147483648,((c_TMAP2IN)-(c_TMAP1IN))*(((A62)-(c_TMAP1IN))*((c_TMAP2OUT)-(c_TMAP1OUT))+IF(((c_TMAP2OUT)-(c_TMAP1OUT))&gt;=0,1,-1)*QUOTIENT(((c_TMAP2IN)-(c_TMAP1IN)),2)))&gt;=0,1,0)))</f>
        <v>53</v>
      </c>
      <c r="F62" s="7" t="n">
        <f aca="false">IF(((c_TMAP3IN)-(c_TMAP2IN))=0,(c_TMAP2OUT)+QUOTIENT(((c_TMAP3OUT)-(c_TMAP2OUT)),2),QUOTIENT((((A62)-(c_TMAP2IN))*((c_TMAP3OUT)-(c_TMAP2OUT))+IF(((c_TMAP3OUT)-(c_TMAP2OUT))&gt;=0,1,-1)*QUOTIENT(((c_TMAP3IN)-(c_TMAP2IN)),2)),((c_TMAP3IN)-(c_TMAP2IN)))+(c_TMAP2OUT)+IF(((c_TMAP3OUT)-(c_TMAP2OUT))&gt;=0,IF(IF(o_WRAP=1,MOD(((c_TMAP3IN)-(c_TMAP2IN))*(((A62)-(c_TMAP2IN))*((c_TMAP3OUT)-(c_TMAP2OUT))+IF(((c_TMAP3OUT)-(c_TMAP2OUT))&gt;=0,1,-1)*QUOTIENT(((c_TMAP3IN)-(c_TMAP2IN)),2))+2147483648,4294967296)-2147483648,((c_TMAP3IN)-(c_TMAP2IN))*(((A62)-(c_TMAP2IN))*((c_TMAP3OUT)-(c_TMAP2OUT))+IF(((c_TMAP3OUT)-(c_TMAP2OUT))&gt;=0,1,-1)*QUOTIENT(((c_TMAP3IN)-(c_TMAP2IN)),2)))&lt;0,-1,0),IF(IF(o_WRAP=1,MOD(((c_TMAP3IN)-(c_TMAP2IN))*(((A62)-(c_TMAP2IN))*((c_TMAP3OUT)-(c_TMAP2OUT))+IF(((c_TMAP3OUT)-(c_TMAP2OUT))&gt;=0,1,-1)*QUOTIENT(((c_TMAP3IN)-(c_TMAP2IN)),2))+2147483648,4294967296)-2147483648,((c_TMAP3IN)-(c_TMAP2IN))*(((A62)-(c_TMAP2IN))*((c_TMAP3OUT)-(c_TMAP2OUT))+IF(((c_TMAP3OUT)-(c_TMAP2OUT))&gt;=0,1,-1)*QUOTIENT(((c_TMAP3IN)-(c_TMAP2IN)),2)))&gt;=0,1,0)))</f>
        <v>-5</v>
      </c>
      <c r="G62" s="7" t="n">
        <f aca="false">IF(((1000)-(c_TMAP3IN))=0,(c_TMAP3OUT)+QUOTIENT(((1000)-(c_TMAP3OUT)),2),QUOTIENT((((A62)-(c_TMAP3IN))*((1000)-(c_TMAP3OUT))+IF(((1000)-(c_TMAP3OUT))&gt;=0,1,-1)*QUOTIENT(((1000)-(c_TMAP3IN)),2)),((1000)-(c_TMAP3IN)))+(c_TMAP3OUT)+IF(((1000)-(c_TMAP3OUT))&gt;=0,IF(IF(o_WRAP=1,MOD(((1000)-(c_TMAP3IN))*(((A62)-(c_TMAP3IN))*((1000)-(c_TMAP3OUT))+IF(((1000)-(c_TMAP3OUT))&gt;=0,1,-1)*QUOTIENT(((1000)-(c_TMAP3IN)),2))+2147483648,4294967296)-2147483648,((1000)-(c_TMAP3IN))*(((A62)-(c_TMAP3IN))*((1000)-(c_TMAP3OUT))+IF(((1000)-(c_TMAP3OUT))&gt;=0,1,-1)*QUOTIENT(((1000)-(c_TMAP3IN)),2)))&lt;0,-1,0),IF(IF(o_WRAP=1,MOD(((1000)-(c_TMAP3IN))*(((A62)-(c_TMAP3IN))*((1000)-(c_TMAP3OUT))+IF(((1000)-(c_TMAP3OUT))&gt;=0,1,-1)*QUOTIENT(((1000)-(c_TMAP3IN)),2))+2147483648,4294967296)-2147483648,((1000)-(c_TMAP3IN))*(((A62)-(c_TMAP3IN))*((1000)-(c_TMAP3OUT))+IF(((1000)-(c_TMAP3OUT))&gt;=0,1,-1)*QUOTIENT(((1000)-(c_TMAP3IN)),2)))&gt;=0,1,0)))</f>
        <v>-161</v>
      </c>
      <c r="H62" s="7" t="str">
        <f aca="false">IF(A62&gt;=c_TFWD,IF(AND(A62&gt;=c_TMAP3IN,c_TMAP3IN&lt;1000),"Seg4 map3-100%",IF(AND(A62&gt;=c_TMAP2IN,c_TMAP3IN&gt;c_TMAP2IN),"Seg3 map2-map3",IF(AND(A62&gt;=c_TMAP1IN,c_TMAP2IN&gt;c_TMAP1IN),"Seg2 map1-map2","Seg1 TFWD-map1"))),IF(AND(A62=0,c_TCREEP&gt;0),"Creep",IF(AND(A62&lt;=c_TRNGMIN,A62&gt;=c_TRNGMAX,c_TRNGMIN-c_TRNGMAX&lt;&gt;0),"Regen ramp","Coast (0)")))</f>
        <v>Seg1 TFWD-map1</v>
      </c>
      <c r="I62" s="7" t="n">
        <f aca="false">IF(A62&gt;=c_TFWD,IF(AND(A62&gt;=c_TMAP3IN,c_TMAP3IN&lt;1000),G62,IF(AND(A62&gt;=c_TMAP2IN,c_TMAP3IN&gt;c_TMAP2IN),F62,IF(AND(A62&gt;=c_TMAP1IN,c_TMAP2IN&gt;c_TMAP1IN),E62,D62))),C62)</f>
        <v>37</v>
      </c>
      <c r="J62" s="7" t="str">
        <f aca="false">IF(I62&lt;-1090,"TOO LOW",IF(I62&gt;1090,"TOO HIGH",""))</f>
        <v/>
      </c>
      <c r="K62" s="15" t="n">
        <f aca="false">IF(J62&lt;&gt;"",0,IF(I62&gt;979,1000,I62))</f>
        <v>37</v>
      </c>
      <c r="L62" s="7" t="n">
        <f aca="false">K62/10</f>
        <v>3.7</v>
      </c>
    </row>
    <row r="63" customFormat="false" ht="15" hidden="false" customHeight="false" outlineLevel="0" collapsed="false">
      <c r="A63" s="7" t="n">
        <v>58</v>
      </c>
      <c r="B63" s="7" t="n">
        <f aca="false">A63/10</f>
        <v>5.8</v>
      </c>
      <c r="C63" s="7" t="n">
        <f aca="false">IF(AND(A63=0,c_TCREEP&gt;0),10*c_TCREEP,IF(AND(A63&lt;=c_TRNGMIN,A63&gt;=c_TRNGMAX,c_TRNGMIN-c_TRNGMAX&lt;&gt;0),-10*c_TMINRN+QUOTIENT((c_TMAXRN-c_TMINRN)*(100-QUOTIENT((A63-c_TRNGMAX)*100,c_TRNGMIN-c_TRNGMAX)),-10),0))</f>
        <v>0</v>
      </c>
      <c r="D63" s="7" t="n">
        <f aca="false">IF(((c_TMAP1IN)-(c_TFWD))=0,(0)+QUOTIENT(((c_TMAP1OUT)-(0)),2),QUOTIENT((((A63)-(c_TFWD))*((c_TMAP1OUT)-(0))+IF(((c_TMAP1OUT)-(0))&gt;=0,1,-1)*QUOTIENT(((c_TMAP1IN)-(c_TFWD)),2)),((c_TMAP1IN)-(c_TFWD)))+(0)+IF(((c_TMAP1OUT)-(0))&gt;=0,IF(IF(o_WRAP=1,MOD(((c_TMAP1IN)-(c_TFWD))*(((A63)-(c_TFWD))*((c_TMAP1OUT)-(0))+IF(((c_TMAP1OUT)-(0))&gt;=0,1,-1)*QUOTIENT(((c_TMAP1IN)-(c_TFWD)),2))+2147483648,4294967296)-2147483648,((c_TMAP1IN)-(c_TFWD))*(((A63)-(c_TFWD))*((c_TMAP1OUT)-(0))+IF(((c_TMAP1OUT)-(0))&gt;=0,1,-1)*QUOTIENT(((c_TMAP1IN)-(c_TFWD)),2)))&lt;0,-1,0),IF(IF(o_WRAP=1,MOD(((c_TMAP1IN)-(c_TFWD))*(((A63)-(c_TFWD))*((c_TMAP1OUT)-(0))+IF(((c_TMAP1OUT)-(0))&gt;=0,1,-1)*QUOTIENT(((c_TMAP1IN)-(c_TFWD)),2))+2147483648,4294967296)-2147483648,((c_TMAP1IN)-(c_TFWD))*(((A63)-(c_TFWD))*((c_TMAP1OUT)-(0))+IF(((c_TMAP1OUT)-(0))&gt;=0,1,-1)*QUOTIENT(((c_TMAP1IN)-(c_TFWD)),2)))&gt;=0,1,0)))</f>
        <v>37</v>
      </c>
      <c r="E63" s="7" t="n">
        <f aca="false">IF(((c_TMAP2IN)-(c_TMAP1IN))=0,(c_TMAP1OUT)+QUOTIENT(((c_TMAP2OUT)-(c_TMAP1OUT)),2),QUOTIENT((((A63)-(c_TMAP1IN))*((c_TMAP2OUT)-(c_TMAP1OUT))+IF(((c_TMAP2OUT)-(c_TMAP1OUT))&gt;=0,1,-1)*QUOTIENT(((c_TMAP2IN)-(c_TMAP1IN)),2)),((c_TMAP2IN)-(c_TMAP1IN)))+(c_TMAP1OUT)+IF(((c_TMAP2OUT)-(c_TMAP1OUT))&gt;=0,IF(IF(o_WRAP=1,MOD(((c_TMAP2IN)-(c_TMAP1IN))*(((A63)-(c_TMAP1IN))*((c_TMAP2OUT)-(c_TMAP1OUT))+IF(((c_TMAP2OUT)-(c_TMAP1OUT))&gt;=0,1,-1)*QUOTIENT(((c_TMAP2IN)-(c_TMAP1IN)),2))+2147483648,4294967296)-2147483648,((c_TMAP2IN)-(c_TMAP1IN))*(((A63)-(c_TMAP1IN))*((c_TMAP2OUT)-(c_TMAP1OUT))+IF(((c_TMAP2OUT)-(c_TMAP1OUT))&gt;=0,1,-1)*QUOTIENT(((c_TMAP2IN)-(c_TMAP1IN)),2)))&lt;0,-1,0),IF(IF(o_WRAP=1,MOD(((c_TMAP2IN)-(c_TMAP1IN))*(((A63)-(c_TMAP1IN))*((c_TMAP2OUT)-(c_TMAP1OUT))+IF(((c_TMAP2OUT)-(c_TMAP1OUT))&gt;=0,1,-1)*QUOTIENT(((c_TMAP2IN)-(c_TMAP1IN)),2))+2147483648,4294967296)-2147483648,((c_TMAP2IN)-(c_TMAP1IN))*(((A63)-(c_TMAP1IN))*((c_TMAP2OUT)-(c_TMAP1OUT))+IF(((c_TMAP2OUT)-(c_TMAP1OUT))&gt;=0,1,-1)*QUOTIENT(((c_TMAP2IN)-(c_TMAP1IN)),2)))&gt;=0,1,0)))</f>
        <v>53</v>
      </c>
      <c r="F63" s="7" t="n">
        <f aca="false">IF(((c_TMAP3IN)-(c_TMAP2IN))=0,(c_TMAP2OUT)+QUOTIENT(((c_TMAP3OUT)-(c_TMAP2OUT)),2),QUOTIENT((((A63)-(c_TMAP2IN))*((c_TMAP3OUT)-(c_TMAP2OUT))+IF(((c_TMAP3OUT)-(c_TMAP2OUT))&gt;=0,1,-1)*QUOTIENT(((c_TMAP3IN)-(c_TMAP2IN)),2)),((c_TMAP3IN)-(c_TMAP2IN)))+(c_TMAP2OUT)+IF(((c_TMAP3OUT)-(c_TMAP2OUT))&gt;=0,IF(IF(o_WRAP=1,MOD(((c_TMAP3IN)-(c_TMAP2IN))*(((A63)-(c_TMAP2IN))*((c_TMAP3OUT)-(c_TMAP2OUT))+IF(((c_TMAP3OUT)-(c_TMAP2OUT))&gt;=0,1,-1)*QUOTIENT(((c_TMAP3IN)-(c_TMAP2IN)),2))+2147483648,4294967296)-2147483648,((c_TMAP3IN)-(c_TMAP2IN))*(((A63)-(c_TMAP2IN))*((c_TMAP3OUT)-(c_TMAP2OUT))+IF(((c_TMAP3OUT)-(c_TMAP2OUT))&gt;=0,1,-1)*QUOTIENT(((c_TMAP3IN)-(c_TMAP2IN)),2)))&lt;0,-1,0),IF(IF(o_WRAP=1,MOD(((c_TMAP3IN)-(c_TMAP2IN))*(((A63)-(c_TMAP2IN))*((c_TMAP3OUT)-(c_TMAP2OUT))+IF(((c_TMAP3OUT)-(c_TMAP2OUT))&gt;=0,1,-1)*QUOTIENT(((c_TMAP3IN)-(c_TMAP2IN)),2))+2147483648,4294967296)-2147483648,((c_TMAP3IN)-(c_TMAP2IN))*(((A63)-(c_TMAP2IN))*((c_TMAP3OUT)-(c_TMAP2OUT))+IF(((c_TMAP3OUT)-(c_TMAP2OUT))&gt;=0,1,-1)*QUOTIENT(((c_TMAP3IN)-(c_TMAP2IN)),2)))&gt;=0,1,0)))</f>
        <v>-4</v>
      </c>
      <c r="G63" s="7" t="n">
        <f aca="false">IF(((1000)-(c_TMAP3IN))=0,(c_TMAP3OUT)+QUOTIENT(((1000)-(c_TMAP3OUT)),2),QUOTIENT((((A63)-(c_TMAP3IN))*((1000)-(c_TMAP3OUT))+IF(((1000)-(c_TMAP3OUT))&gt;=0,1,-1)*QUOTIENT(((1000)-(c_TMAP3IN)),2)),((1000)-(c_TMAP3IN)))+(c_TMAP3OUT)+IF(((1000)-(c_TMAP3OUT))&gt;=0,IF(IF(o_WRAP=1,MOD(((1000)-(c_TMAP3IN))*(((A63)-(c_TMAP3IN))*((1000)-(c_TMAP3OUT))+IF(((1000)-(c_TMAP3OUT))&gt;=0,1,-1)*QUOTIENT(((1000)-(c_TMAP3IN)),2))+2147483648,4294967296)-2147483648,((1000)-(c_TMAP3IN))*(((A63)-(c_TMAP3IN))*((1000)-(c_TMAP3OUT))+IF(((1000)-(c_TMAP3OUT))&gt;=0,1,-1)*QUOTIENT(((1000)-(c_TMAP3IN)),2)))&lt;0,-1,0),IF(IF(o_WRAP=1,MOD(((1000)-(c_TMAP3IN))*(((A63)-(c_TMAP3IN))*((1000)-(c_TMAP3OUT))+IF(((1000)-(c_TMAP3OUT))&gt;=0,1,-1)*QUOTIENT(((1000)-(c_TMAP3IN)),2))+2147483648,4294967296)-2147483648,((1000)-(c_TMAP3IN))*(((A63)-(c_TMAP3IN))*((1000)-(c_TMAP3OUT))+IF(((1000)-(c_TMAP3OUT))&gt;=0,1,-1)*QUOTIENT(((1000)-(c_TMAP3IN)),2)))&gt;=0,1,0)))</f>
        <v>-159</v>
      </c>
      <c r="H63" s="7" t="str">
        <f aca="false">IF(A63&gt;=c_TFWD,IF(AND(A63&gt;=c_TMAP3IN,c_TMAP3IN&lt;1000),"Seg4 map3-100%",IF(AND(A63&gt;=c_TMAP2IN,c_TMAP3IN&gt;c_TMAP2IN),"Seg3 map2-map3",IF(AND(A63&gt;=c_TMAP1IN,c_TMAP2IN&gt;c_TMAP1IN),"Seg2 map1-map2","Seg1 TFWD-map1"))),IF(AND(A63=0,c_TCREEP&gt;0),"Creep",IF(AND(A63&lt;=c_TRNGMIN,A63&gt;=c_TRNGMAX,c_TRNGMIN-c_TRNGMAX&lt;&gt;0),"Regen ramp","Coast (0)")))</f>
        <v>Seg1 TFWD-map1</v>
      </c>
      <c r="I63" s="7" t="n">
        <f aca="false">IF(A63&gt;=c_TFWD,IF(AND(A63&gt;=c_TMAP3IN,c_TMAP3IN&lt;1000),G63,IF(AND(A63&gt;=c_TMAP2IN,c_TMAP3IN&gt;c_TMAP2IN),F63,IF(AND(A63&gt;=c_TMAP1IN,c_TMAP2IN&gt;c_TMAP1IN),E63,D63))),C63)</f>
        <v>37</v>
      </c>
      <c r="J63" s="7" t="str">
        <f aca="false">IF(I63&lt;-1090,"TOO LOW",IF(I63&gt;1090,"TOO HIGH",""))</f>
        <v/>
      </c>
      <c r="K63" s="15" t="n">
        <f aca="false">IF(J63&lt;&gt;"",0,IF(I63&gt;979,1000,I63))</f>
        <v>37</v>
      </c>
      <c r="L63" s="7" t="n">
        <f aca="false">K63/10</f>
        <v>3.7</v>
      </c>
    </row>
    <row r="64" customFormat="false" ht="15" hidden="false" customHeight="false" outlineLevel="0" collapsed="false">
      <c r="A64" s="7" t="n">
        <v>59</v>
      </c>
      <c r="B64" s="7" t="n">
        <f aca="false">A64/10</f>
        <v>5.9</v>
      </c>
      <c r="C64" s="7" t="n">
        <f aca="false">IF(AND(A64=0,c_TCREEP&gt;0),10*c_TCREEP,IF(AND(A64&lt;=c_TRNGMIN,A64&gt;=c_TRNGMAX,c_TRNGMIN-c_TRNGMAX&lt;&gt;0),-10*c_TMINRN+QUOTIENT((c_TMAXRN-c_TMINRN)*(100-QUOTIENT((A64-c_TRNGMAX)*100,c_TRNGMIN-c_TRNGMAX)),-10),0))</f>
        <v>0</v>
      </c>
      <c r="D64" s="7" t="n">
        <f aca="false">IF(((c_TMAP1IN)-(c_TFWD))=0,(0)+QUOTIENT(((c_TMAP1OUT)-(0)),2),QUOTIENT((((A64)-(c_TFWD))*((c_TMAP1OUT)-(0))+IF(((c_TMAP1OUT)-(0))&gt;=0,1,-1)*QUOTIENT(((c_TMAP1IN)-(c_TFWD)),2)),((c_TMAP1IN)-(c_TFWD)))+(0)+IF(((c_TMAP1OUT)-(0))&gt;=0,IF(IF(o_WRAP=1,MOD(((c_TMAP1IN)-(c_TFWD))*(((A64)-(c_TFWD))*((c_TMAP1OUT)-(0))+IF(((c_TMAP1OUT)-(0))&gt;=0,1,-1)*QUOTIENT(((c_TMAP1IN)-(c_TFWD)),2))+2147483648,4294967296)-2147483648,((c_TMAP1IN)-(c_TFWD))*(((A64)-(c_TFWD))*((c_TMAP1OUT)-(0))+IF(((c_TMAP1OUT)-(0))&gt;=0,1,-1)*QUOTIENT(((c_TMAP1IN)-(c_TFWD)),2)))&lt;0,-1,0),IF(IF(o_WRAP=1,MOD(((c_TMAP1IN)-(c_TFWD))*(((A64)-(c_TFWD))*((c_TMAP1OUT)-(0))+IF(((c_TMAP1OUT)-(0))&gt;=0,1,-1)*QUOTIENT(((c_TMAP1IN)-(c_TFWD)),2))+2147483648,4294967296)-2147483648,((c_TMAP1IN)-(c_TFWD))*(((A64)-(c_TFWD))*((c_TMAP1OUT)-(0))+IF(((c_TMAP1OUT)-(0))&gt;=0,1,-1)*QUOTIENT(((c_TMAP1IN)-(c_TFWD)),2)))&gt;=0,1,0)))</f>
        <v>38</v>
      </c>
      <c r="E64" s="7" t="n">
        <f aca="false">IF(((c_TMAP2IN)-(c_TMAP1IN))=0,(c_TMAP1OUT)+QUOTIENT(((c_TMAP2OUT)-(c_TMAP1OUT)),2),QUOTIENT((((A64)-(c_TMAP1IN))*((c_TMAP2OUT)-(c_TMAP1OUT))+IF(((c_TMAP2OUT)-(c_TMAP1OUT))&gt;=0,1,-1)*QUOTIENT(((c_TMAP2IN)-(c_TMAP1IN)),2)),((c_TMAP2IN)-(c_TMAP1IN)))+(c_TMAP1OUT)+IF(((c_TMAP2OUT)-(c_TMAP1OUT))&gt;=0,IF(IF(o_WRAP=1,MOD(((c_TMAP2IN)-(c_TMAP1IN))*(((A64)-(c_TMAP1IN))*((c_TMAP2OUT)-(c_TMAP1OUT))+IF(((c_TMAP2OUT)-(c_TMAP1OUT))&gt;=0,1,-1)*QUOTIENT(((c_TMAP2IN)-(c_TMAP1IN)),2))+2147483648,4294967296)-2147483648,((c_TMAP2IN)-(c_TMAP1IN))*(((A64)-(c_TMAP1IN))*((c_TMAP2OUT)-(c_TMAP1OUT))+IF(((c_TMAP2OUT)-(c_TMAP1OUT))&gt;=0,1,-1)*QUOTIENT(((c_TMAP2IN)-(c_TMAP1IN)),2)))&lt;0,-1,0),IF(IF(o_WRAP=1,MOD(((c_TMAP2IN)-(c_TMAP1IN))*(((A64)-(c_TMAP1IN))*((c_TMAP2OUT)-(c_TMAP1OUT))+IF(((c_TMAP2OUT)-(c_TMAP1OUT))&gt;=0,1,-1)*QUOTIENT(((c_TMAP2IN)-(c_TMAP1IN)),2))+2147483648,4294967296)-2147483648,((c_TMAP2IN)-(c_TMAP1IN))*(((A64)-(c_TMAP1IN))*((c_TMAP2OUT)-(c_TMAP1OUT))+IF(((c_TMAP2OUT)-(c_TMAP1OUT))&gt;=0,1,-1)*QUOTIENT(((c_TMAP2IN)-(c_TMAP1IN)),2)))&gt;=0,1,0)))</f>
        <v>54</v>
      </c>
      <c r="F64" s="7" t="n">
        <f aca="false">IF(((c_TMAP3IN)-(c_TMAP2IN))=0,(c_TMAP2OUT)+QUOTIENT(((c_TMAP3OUT)-(c_TMAP2OUT)),2),QUOTIENT((((A64)-(c_TMAP2IN))*((c_TMAP3OUT)-(c_TMAP2OUT))+IF(((c_TMAP3OUT)-(c_TMAP2OUT))&gt;=0,1,-1)*QUOTIENT(((c_TMAP3IN)-(c_TMAP2IN)),2)),((c_TMAP3IN)-(c_TMAP2IN)))+(c_TMAP2OUT)+IF(((c_TMAP3OUT)-(c_TMAP2OUT))&gt;=0,IF(IF(o_WRAP=1,MOD(((c_TMAP3IN)-(c_TMAP2IN))*(((A64)-(c_TMAP2IN))*((c_TMAP3OUT)-(c_TMAP2OUT))+IF(((c_TMAP3OUT)-(c_TMAP2OUT))&gt;=0,1,-1)*QUOTIENT(((c_TMAP3IN)-(c_TMAP2IN)),2))+2147483648,4294967296)-2147483648,((c_TMAP3IN)-(c_TMAP2IN))*(((A64)-(c_TMAP2IN))*((c_TMAP3OUT)-(c_TMAP2OUT))+IF(((c_TMAP3OUT)-(c_TMAP2OUT))&gt;=0,1,-1)*QUOTIENT(((c_TMAP3IN)-(c_TMAP2IN)),2)))&lt;0,-1,0),IF(IF(o_WRAP=1,MOD(((c_TMAP3IN)-(c_TMAP2IN))*(((A64)-(c_TMAP2IN))*((c_TMAP3OUT)-(c_TMAP2OUT))+IF(((c_TMAP3OUT)-(c_TMAP2OUT))&gt;=0,1,-1)*QUOTIENT(((c_TMAP3IN)-(c_TMAP2IN)),2))+2147483648,4294967296)-2147483648,((c_TMAP3IN)-(c_TMAP2IN))*(((A64)-(c_TMAP2IN))*((c_TMAP3OUT)-(c_TMAP2OUT))+IF(((c_TMAP3OUT)-(c_TMAP2OUT))&gt;=0,1,-1)*QUOTIENT(((c_TMAP3IN)-(c_TMAP2IN)),2)))&gt;=0,1,0)))</f>
        <v>-4</v>
      </c>
      <c r="G64" s="7" t="n">
        <f aca="false">IF(((1000)-(c_TMAP3IN))=0,(c_TMAP3OUT)+QUOTIENT(((1000)-(c_TMAP3OUT)),2),QUOTIENT((((A64)-(c_TMAP3IN))*((1000)-(c_TMAP3OUT))+IF(((1000)-(c_TMAP3OUT))&gt;=0,1,-1)*QUOTIENT(((1000)-(c_TMAP3IN)),2)),((1000)-(c_TMAP3IN)))+(c_TMAP3OUT)+IF(((1000)-(c_TMAP3OUT))&gt;=0,IF(IF(o_WRAP=1,MOD(((1000)-(c_TMAP3IN))*(((A64)-(c_TMAP3IN))*((1000)-(c_TMAP3OUT))+IF(((1000)-(c_TMAP3OUT))&gt;=0,1,-1)*QUOTIENT(((1000)-(c_TMAP3IN)),2))+2147483648,4294967296)-2147483648,((1000)-(c_TMAP3IN))*(((A64)-(c_TMAP3IN))*((1000)-(c_TMAP3OUT))+IF(((1000)-(c_TMAP3OUT))&gt;=0,1,-1)*QUOTIENT(((1000)-(c_TMAP3IN)),2)))&lt;0,-1,0),IF(IF(o_WRAP=1,MOD(((1000)-(c_TMAP3IN))*(((A64)-(c_TMAP3IN))*((1000)-(c_TMAP3OUT))+IF(((1000)-(c_TMAP3OUT))&gt;=0,1,-1)*QUOTIENT(((1000)-(c_TMAP3IN)),2))+2147483648,4294967296)-2147483648,((1000)-(c_TMAP3IN))*(((A64)-(c_TMAP3IN))*((1000)-(c_TMAP3OUT))+IF(((1000)-(c_TMAP3OUT))&gt;=0,1,-1)*QUOTIENT(((1000)-(c_TMAP3IN)),2)))&gt;=0,1,0)))</f>
        <v>-158</v>
      </c>
      <c r="H64" s="7" t="str">
        <f aca="false">IF(A64&gt;=c_TFWD,IF(AND(A64&gt;=c_TMAP3IN,c_TMAP3IN&lt;1000),"Seg4 map3-100%",IF(AND(A64&gt;=c_TMAP2IN,c_TMAP3IN&gt;c_TMAP2IN),"Seg3 map2-map3",IF(AND(A64&gt;=c_TMAP1IN,c_TMAP2IN&gt;c_TMAP1IN),"Seg2 map1-map2","Seg1 TFWD-map1"))),IF(AND(A64=0,c_TCREEP&gt;0),"Creep",IF(AND(A64&lt;=c_TRNGMIN,A64&gt;=c_TRNGMAX,c_TRNGMIN-c_TRNGMAX&lt;&gt;0),"Regen ramp","Coast (0)")))</f>
        <v>Seg1 TFWD-map1</v>
      </c>
      <c r="I64" s="7" t="n">
        <f aca="false">IF(A64&gt;=c_TFWD,IF(AND(A64&gt;=c_TMAP3IN,c_TMAP3IN&lt;1000),G64,IF(AND(A64&gt;=c_TMAP2IN,c_TMAP3IN&gt;c_TMAP2IN),F64,IF(AND(A64&gt;=c_TMAP1IN,c_TMAP2IN&gt;c_TMAP1IN),E64,D64))),C64)</f>
        <v>38</v>
      </c>
      <c r="J64" s="7" t="str">
        <f aca="false">IF(I64&lt;-1090,"TOO LOW",IF(I64&gt;1090,"TOO HIGH",""))</f>
        <v/>
      </c>
      <c r="K64" s="15" t="n">
        <f aca="false">IF(J64&lt;&gt;"",0,IF(I64&gt;979,1000,I64))</f>
        <v>38</v>
      </c>
      <c r="L64" s="7" t="n">
        <f aca="false">K64/10</f>
        <v>3.8</v>
      </c>
    </row>
    <row r="65" customFormat="false" ht="15" hidden="false" customHeight="false" outlineLevel="0" collapsed="false">
      <c r="A65" s="7" t="n">
        <v>60</v>
      </c>
      <c r="B65" s="7" t="n">
        <f aca="false">A65/10</f>
        <v>6</v>
      </c>
      <c r="C65" s="7" t="n">
        <f aca="false">IF(AND(A65=0,c_TCREEP&gt;0),10*c_TCREEP,IF(AND(A65&lt;=c_TRNGMIN,A65&gt;=c_TRNGMAX,c_TRNGMIN-c_TRNGMAX&lt;&gt;0),-10*c_TMINRN+QUOTIENT((c_TMAXRN-c_TMINRN)*(100-QUOTIENT((A65-c_TRNGMAX)*100,c_TRNGMIN-c_TRNGMAX)),-10),0))</f>
        <v>0</v>
      </c>
      <c r="D65" s="7" t="n">
        <f aca="false">IF(((c_TMAP1IN)-(c_TFWD))=0,(0)+QUOTIENT(((c_TMAP1OUT)-(0)),2),QUOTIENT((((A65)-(c_TFWD))*((c_TMAP1OUT)-(0))+IF(((c_TMAP1OUT)-(0))&gt;=0,1,-1)*QUOTIENT(((c_TMAP1IN)-(c_TFWD)),2)),((c_TMAP1IN)-(c_TFWD)))+(0)+IF(((c_TMAP1OUT)-(0))&gt;=0,IF(IF(o_WRAP=1,MOD(((c_TMAP1IN)-(c_TFWD))*(((A65)-(c_TFWD))*((c_TMAP1OUT)-(0))+IF(((c_TMAP1OUT)-(0))&gt;=0,1,-1)*QUOTIENT(((c_TMAP1IN)-(c_TFWD)),2))+2147483648,4294967296)-2147483648,((c_TMAP1IN)-(c_TFWD))*(((A65)-(c_TFWD))*((c_TMAP1OUT)-(0))+IF(((c_TMAP1OUT)-(0))&gt;=0,1,-1)*QUOTIENT(((c_TMAP1IN)-(c_TFWD)),2)))&lt;0,-1,0),IF(IF(o_WRAP=1,MOD(((c_TMAP1IN)-(c_TFWD))*(((A65)-(c_TFWD))*((c_TMAP1OUT)-(0))+IF(((c_TMAP1OUT)-(0))&gt;=0,1,-1)*QUOTIENT(((c_TMAP1IN)-(c_TFWD)),2))+2147483648,4294967296)-2147483648,((c_TMAP1IN)-(c_TFWD))*(((A65)-(c_TFWD))*((c_TMAP1OUT)-(0))+IF(((c_TMAP1OUT)-(0))&gt;=0,1,-1)*QUOTIENT(((c_TMAP1IN)-(c_TFWD)),2)))&gt;=0,1,0)))</f>
        <v>39</v>
      </c>
      <c r="E65" s="7" t="n">
        <f aca="false">IF(((c_TMAP2IN)-(c_TMAP1IN))=0,(c_TMAP1OUT)+QUOTIENT(((c_TMAP2OUT)-(c_TMAP1OUT)),2),QUOTIENT((((A65)-(c_TMAP1IN))*((c_TMAP2OUT)-(c_TMAP1OUT))+IF(((c_TMAP2OUT)-(c_TMAP1OUT))&gt;=0,1,-1)*QUOTIENT(((c_TMAP2IN)-(c_TMAP1IN)),2)),((c_TMAP2IN)-(c_TMAP1IN)))+(c_TMAP1OUT)+IF(((c_TMAP2OUT)-(c_TMAP1OUT))&gt;=0,IF(IF(o_WRAP=1,MOD(((c_TMAP2IN)-(c_TMAP1IN))*(((A65)-(c_TMAP1IN))*((c_TMAP2OUT)-(c_TMAP1OUT))+IF(((c_TMAP2OUT)-(c_TMAP1OUT))&gt;=0,1,-1)*QUOTIENT(((c_TMAP2IN)-(c_TMAP1IN)),2))+2147483648,4294967296)-2147483648,((c_TMAP2IN)-(c_TMAP1IN))*(((A65)-(c_TMAP1IN))*((c_TMAP2OUT)-(c_TMAP1OUT))+IF(((c_TMAP2OUT)-(c_TMAP1OUT))&gt;=0,1,-1)*QUOTIENT(((c_TMAP2IN)-(c_TMAP1IN)),2)))&lt;0,-1,0),IF(IF(o_WRAP=1,MOD(((c_TMAP2IN)-(c_TMAP1IN))*(((A65)-(c_TMAP1IN))*((c_TMAP2OUT)-(c_TMAP1OUT))+IF(((c_TMAP2OUT)-(c_TMAP1OUT))&gt;=0,1,-1)*QUOTIENT(((c_TMAP2IN)-(c_TMAP1IN)),2))+2147483648,4294967296)-2147483648,((c_TMAP2IN)-(c_TMAP1IN))*(((A65)-(c_TMAP1IN))*((c_TMAP2OUT)-(c_TMAP1OUT))+IF(((c_TMAP2OUT)-(c_TMAP1OUT))&gt;=0,1,-1)*QUOTIENT(((c_TMAP2IN)-(c_TMAP1IN)),2)))&gt;=0,1,0)))</f>
        <v>54</v>
      </c>
      <c r="F65" s="7" t="n">
        <f aca="false">IF(((c_TMAP3IN)-(c_TMAP2IN))=0,(c_TMAP2OUT)+QUOTIENT(((c_TMAP3OUT)-(c_TMAP2OUT)),2),QUOTIENT((((A65)-(c_TMAP2IN))*((c_TMAP3OUT)-(c_TMAP2OUT))+IF(((c_TMAP3OUT)-(c_TMAP2OUT))&gt;=0,1,-1)*QUOTIENT(((c_TMAP3IN)-(c_TMAP2IN)),2)),((c_TMAP3IN)-(c_TMAP2IN)))+(c_TMAP2OUT)+IF(((c_TMAP3OUT)-(c_TMAP2OUT))&gt;=0,IF(IF(o_WRAP=1,MOD(((c_TMAP3IN)-(c_TMAP2IN))*(((A65)-(c_TMAP2IN))*((c_TMAP3OUT)-(c_TMAP2OUT))+IF(((c_TMAP3OUT)-(c_TMAP2OUT))&gt;=0,1,-1)*QUOTIENT(((c_TMAP3IN)-(c_TMAP2IN)),2))+2147483648,4294967296)-2147483648,((c_TMAP3IN)-(c_TMAP2IN))*(((A65)-(c_TMAP2IN))*((c_TMAP3OUT)-(c_TMAP2OUT))+IF(((c_TMAP3OUT)-(c_TMAP2OUT))&gt;=0,1,-1)*QUOTIENT(((c_TMAP3IN)-(c_TMAP2IN)),2)))&lt;0,-1,0),IF(IF(o_WRAP=1,MOD(((c_TMAP3IN)-(c_TMAP2IN))*(((A65)-(c_TMAP2IN))*((c_TMAP3OUT)-(c_TMAP2OUT))+IF(((c_TMAP3OUT)-(c_TMAP2OUT))&gt;=0,1,-1)*QUOTIENT(((c_TMAP3IN)-(c_TMAP2IN)),2))+2147483648,4294967296)-2147483648,((c_TMAP3IN)-(c_TMAP2IN))*(((A65)-(c_TMAP2IN))*((c_TMAP3OUT)-(c_TMAP2OUT))+IF(((c_TMAP3OUT)-(c_TMAP2OUT))&gt;=0,1,-1)*QUOTIENT(((c_TMAP3IN)-(c_TMAP2IN)),2)))&gt;=0,1,0)))</f>
        <v>-3</v>
      </c>
      <c r="G65" s="7" t="n">
        <f aca="false">IF(((1000)-(c_TMAP3IN))=0,(c_TMAP3OUT)+QUOTIENT(((1000)-(c_TMAP3OUT)),2),QUOTIENT((((A65)-(c_TMAP3IN))*((1000)-(c_TMAP3OUT))+IF(((1000)-(c_TMAP3OUT))&gt;=0,1,-1)*QUOTIENT(((1000)-(c_TMAP3IN)),2)),((1000)-(c_TMAP3IN)))+(c_TMAP3OUT)+IF(((1000)-(c_TMAP3OUT))&gt;=0,IF(IF(o_WRAP=1,MOD(((1000)-(c_TMAP3IN))*(((A65)-(c_TMAP3IN))*((1000)-(c_TMAP3OUT))+IF(((1000)-(c_TMAP3OUT))&gt;=0,1,-1)*QUOTIENT(((1000)-(c_TMAP3IN)),2))+2147483648,4294967296)-2147483648,((1000)-(c_TMAP3IN))*(((A65)-(c_TMAP3IN))*((1000)-(c_TMAP3OUT))+IF(((1000)-(c_TMAP3OUT))&gt;=0,1,-1)*QUOTIENT(((1000)-(c_TMAP3IN)),2)))&lt;0,-1,0),IF(IF(o_WRAP=1,MOD(((1000)-(c_TMAP3IN))*(((A65)-(c_TMAP3IN))*((1000)-(c_TMAP3OUT))+IF(((1000)-(c_TMAP3OUT))&gt;=0,1,-1)*QUOTIENT(((1000)-(c_TMAP3IN)),2))+2147483648,4294967296)-2147483648,((1000)-(c_TMAP3IN))*(((A65)-(c_TMAP3IN))*((1000)-(c_TMAP3OUT))+IF(((1000)-(c_TMAP3OUT))&gt;=0,1,-1)*QUOTIENT(((1000)-(c_TMAP3IN)),2)))&gt;=0,1,0)))</f>
        <v>-157</v>
      </c>
      <c r="H65" s="7" t="str">
        <f aca="false">IF(A65&gt;=c_TFWD,IF(AND(A65&gt;=c_TMAP3IN,c_TMAP3IN&lt;1000),"Seg4 map3-100%",IF(AND(A65&gt;=c_TMAP2IN,c_TMAP3IN&gt;c_TMAP2IN),"Seg3 map2-map3",IF(AND(A65&gt;=c_TMAP1IN,c_TMAP2IN&gt;c_TMAP1IN),"Seg2 map1-map2","Seg1 TFWD-map1"))),IF(AND(A65=0,c_TCREEP&gt;0),"Creep",IF(AND(A65&lt;=c_TRNGMIN,A65&gt;=c_TRNGMAX,c_TRNGMIN-c_TRNGMAX&lt;&gt;0),"Regen ramp","Coast (0)")))</f>
        <v>Seg1 TFWD-map1</v>
      </c>
      <c r="I65" s="7" t="n">
        <f aca="false">IF(A65&gt;=c_TFWD,IF(AND(A65&gt;=c_TMAP3IN,c_TMAP3IN&lt;1000),G65,IF(AND(A65&gt;=c_TMAP2IN,c_TMAP3IN&gt;c_TMAP2IN),F65,IF(AND(A65&gt;=c_TMAP1IN,c_TMAP2IN&gt;c_TMAP1IN),E65,D65))),C65)</f>
        <v>39</v>
      </c>
      <c r="J65" s="7" t="str">
        <f aca="false">IF(I65&lt;-1090,"TOO LOW",IF(I65&gt;1090,"TOO HIGH",""))</f>
        <v/>
      </c>
      <c r="K65" s="15" t="n">
        <f aca="false">IF(J65&lt;&gt;"",0,IF(I65&gt;979,1000,I65))</f>
        <v>39</v>
      </c>
      <c r="L65" s="7" t="n">
        <f aca="false">K65/10</f>
        <v>3.9</v>
      </c>
    </row>
    <row r="66" customFormat="false" ht="15" hidden="false" customHeight="false" outlineLevel="0" collapsed="false">
      <c r="A66" s="7" t="n">
        <v>61</v>
      </c>
      <c r="B66" s="7" t="n">
        <f aca="false">A66/10</f>
        <v>6.1</v>
      </c>
      <c r="C66" s="7" t="n">
        <f aca="false">IF(AND(A66=0,c_TCREEP&gt;0),10*c_TCREEP,IF(AND(A66&lt;=c_TRNGMIN,A66&gt;=c_TRNGMAX,c_TRNGMIN-c_TRNGMAX&lt;&gt;0),-10*c_TMINRN+QUOTIENT((c_TMAXRN-c_TMINRN)*(100-QUOTIENT((A66-c_TRNGMAX)*100,c_TRNGMIN-c_TRNGMAX)),-10),0))</f>
        <v>0</v>
      </c>
      <c r="D66" s="7" t="n">
        <f aca="false">IF(((c_TMAP1IN)-(c_TFWD))=0,(0)+QUOTIENT(((c_TMAP1OUT)-(0)),2),QUOTIENT((((A66)-(c_TFWD))*((c_TMAP1OUT)-(0))+IF(((c_TMAP1OUT)-(0))&gt;=0,1,-1)*QUOTIENT(((c_TMAP1IN)-(c_TFWD)),2)),((c_TMAP1IN)-(c_TFWD)))+(0)+IF(((c_TMAP1OUT)-(0))&gt;=0,IF(IF(o_WRAP=1,MOD(((c_TMAP1IN)-(c_TFWD))*(((A66)-(c_TFWD))*((c_TMAP1OUT)-(0))+IF(((c_TMAP1OUT)-(0))&gt;=0,1,-1)*QUOTIENT(((c_TMAP1IN)-(c_TFWD)),2))+2147483648,4294967296)-2147483648,((c_TMAP1IN)-(c_TFWD))*(((A66)-(c_TFWD))*((c_TMAP1OUT)-(0))+IF(((c_TMAP1OUT)-(0))&gt;=0,1,-1)*QUOTIENT(((c_TMAP1IN)-(c_TFWD)),2)))&lt;0,-1,0),IF(IF(o_WRAP=1,MOD(((c_TMAP1IN)-(c_TFWD))*(((A66)-(c_TFWD))*((c_TMAP1OUT)-(0))+IF(((c_TMAP1OUT)-(0))&gt;=0,1,-1)*QUOTIENT(((c_TMAP1IN)-(c_TFWD)),2))+2147483648,4294967296)-2147483648,((c_TMAP1IN)-(c_TFWD))*(((A66)-(c_TFWD))*((c_TMAP1OUT)-(0))+IF(((c_TMAP1OUT)-(0))&gt;=0,1,-1)*QUOTIENT(((c_TMAP1IN)-(c_TFWD)),2)))&gt;=0,1,0)))</f>
        <v>40</v>
      </c>
      <c r="E66" s="7" t="n">
        <f aca="false">IF(((c_TMAP2IN)-(c_TMAP1IN))=0,(c_TMAP1OUT)+QUOTIENT(((c_TMAP2OUT)-(c_TMAP1OUT)),2),QUOTIENT((((A66)-(c_TMAP1IN))*((c_TMAP2OUT)-(c_TMAP1OUT))+IF(((c_TMAP2OUT)-(c_TMAP1OUT))&gt;=0,1,-1)*QUOTIENT(((c_TMAP2IN)-(c_TMAP1IN)),2)),((c_TMAP2IN)-(c_TMAP1IN)))+(c_TMAP1OUT)+IF(((c_TMAP2OUT)-(c_TMAP1OUT))&gt;=0,IF(IF(o_WRAP=1,MOD(((c_TMAP2IN)-(c_TMAP1IN))*(((A66)-(c_TMAP1IN))*((c_TMAP2OUT)-(c_TMAP1OUT))+IF(((c_TMAP2OUT)-(c_TMAP1OUT))&gt;=0,1,-1)*QUOTIENT(((c_TMAP2IN)-(c_TMAP1IN)),2))+2147483648,4294967296)-2147483648,((c_TMAP2IN)-(c_TMAP1IN))*(((A66)-(c_TMAP1IN))*((c_TMAP2OUT)-(c_TMAP1OUT))+IF(((c_TMAP2OUT)-(c_TMAP1OUT))&gt;=0,1,-1)*QUOTIENT(((c_TMAP2IN)-(c_TMAP1IN)),2)))&lt;0,-1,0),IF(IF(o_WRAP=1,MOD(((c_TMAP2IN)-(c_TMAP1IN))*(((A66)-(c_TMAP1IN))*((c_TMAP2OUT)-(c_TMAP1OUT))+IF(((c_TMAP2OUT)-(c_TMAP1OUT))&gt;=0,1,-1)*QUOTIENT(((c_TMAP2IN)-(c_TMAP1IN)),2))+2147483648,4294967296)-2147483648,((c_TMAP2IN)-(c_TMAP1IN))*(((A66)-(c_TMAP1IN))*((c_TMAP2OUT)-(c_TMAP1OUT))+IF(((c_TMAP2OUT)-(c_TMAP1OUT))&gt;=0,1,-1)*QUOTIENT(((c_TMAP2IN)-(c_TMAP1IN)),2)))&gt;=0,1,0)))</f>
        <v>54</v>
      </c>
      <c r="F66" s="7" t="n">
        <f aca="false">IF(((c_TMAP3IN)-(c_TMAP2IN))=0,(c_TMAP2OUT)+QUOTIENT(((c_TMAP3OUT)-(c_TMAP2OUT)),2),QUOTIENT((((A66)-(c_TMAP2IN))*((c_TMAP3OUT)-(c_TMAP2OUT))+IF(((c_TMAP3OUT)-(c_TMAP2OUT))&gt;=0,1,-1)*QUOTIENT(((c_TMAP3IN)-(c_TMAP2IN)),2)),((c_TMAP3IN)-(c_TMAP2IN)))+(c_TMAP2OUT)+IF(((c_TMAP3OUT)-(c_TMAP2OUT))&gt;=0,IF(IF(o_WRAP=1,MOD(((c_TMAP3IN)-(c_TMAP2IN))*(((A66)-(c_TMAP2IN))*((c_TMAP3OUT)-(c_TMAP2OUT))+IF(((c_TMAP3OUT)-(c_TMAP2OUT))&gt;=0,1,-1)*QUOTIENT(((c_TMAP3IN)-(c_TMAP2IN)),2))+2147483648,4294967296)-2147483648,((c_TMAP3IN)-(c_TMAP2IN))*(((A66)-(c_TMAP2IN))*((c_TMAP3OUT)-(c_TMAP2OUT))+IF(((c_TMAP3OUT)-(c_TMAP2OUT))&gt;=0,1,-1)*QUOTIENT(((c_TMAP3IN)-(c_TMAP2IN)),2)))&lt;0,-1,0),IF(IF(o_WRAP=1,MOD(((c_TMAP3IN)-(c_TMAP2IN))*(((A66)-(c_TMAP2IN))*((c_TMAP3OUT)-(c_TMAP2OUT))+IF(((c_TMAP3OUT)-(c_TMAP2OUT))&gt;=0,1,-1)*QUOTIENT(((c_TMAP3IN)-(c_TMAP2IN)),2))+2147483648,4294967296)-2147483648,((c_TMAP3IN)-(c_TMAP2IN))*(((A66)-(c_TMAP2IN))*((c_TMAP3OUT)-(c_TMAP2OUT))+IF(((c_TMAP3OUT)-(c_TMAP2OUT))&gt;=0,1,-1)*QUOTIENT(((c_TMAP3IN)-(c_TMAP2IN)),2)))&gt;=0,1,0)))</f>
        <v>-2</v>
      </c>
      <c r="G66" s="7" t="n">
        <f aca="false">IF(((1000)-(c_TMAP3IN))=0,(c_TMAP3OUT)+QUOTIENT(((1000)-(c_TMAP3OUT)),2),QUOTIENT((((A66)-(c_TMAP3IN))*((1000)-(c_TMAP3OUT))+IF(((1000)-(c_TMAP3OUT))&gt;=0,1,-1)*QUOTIENT(((1000)-(c_TMAP3IN)),2)),((1000)-(c_TMAP3IN)))+(c_TMAP3OUT)+IF(((1000)-(c_TMAP3OUT))&gt;=0,IF(IF(o_WRAP=1,MOD(((1000)-(c_TMAP3IN))*(((A66)-(c_TMAP3IN))*((1000)-(c_TMAP3OUT))+IF(((1000)-(c_TMAP3OUT))&gt;=0,1,-1)*QUOTIENT(((1000)-(c_TMAP3IN)),2))+2147483648,4294967296)-2147483648,((1000)-(c_TMAP3IN))*(((A66)-(c_TMAP3IN))*((1000)-(c_TMAP3OUT))+IF(((1000)-(c_TMAP3OUT))&gt;=0,1,-1)*QUOTIENT(((1000)-(c_TMAP3IN)),2)))&lt;0,-1,0),IF(IF(o_WRAP=1,MOD(((1000)-(c_TMAP3IN))*(((A66)-(c_TMAP3IN))*((1000)-(c_TMAP3OUT))+IF(((1000)-(c_TMAP3OUT))&gt;=0,1,-1)*QUOTIENT(((1000)-(c_TMAP3IN)),2))+2147483648,4294967296)-2147483648,((1000)-(c_TMAP3IN))*(((A66)-(c_TMAP3IN))*((1000)-(c_TMAP3OUT))+IF(((1000)-(c_TMAP3OUT))&gt;=0,1,-1)*QUOTIENT(((1000)-(c_TMAP3IN)),2)))&gt;=0,1,0)))</f>
        <v>-156</v>
      </c>
      <c r="H66" s="7" t="str">
        <f aca="false">IF(A66&gt;=c_TFWD,IF(AND(A66&gt;=c_TMAP3IN,c_TMAP3IN&lt;1000),"Seg4 map3-100%",IF(AND(A66&gt;=c_TMAP2IN,c_TMAP3IN&gt;c_TMAP2IN),"Seg3 map2-map3",IF(AND(A66&gt;=c_TMAP1IN,c_TMAP2IN&gt;c_TMAP1IN),"Seg2 map1-map2","Seg1 TFWD-map1"))),IF(AND(A66=0,c_TCREEP&gt;0),"Creep",IF(AND(A66&lt;=c_TRNGMIN,A66&gt;=c_TRNGMAX,c_TRNGMIN-c_TRNGMAX&lt;&gt;0),"Regen ramp","Coast (0)")))</f>
        <v>Seg1 TFWD-map1</v>
      </c>
      <c r="I66" s="7" t="n">
        <f aca="false">IF(A66&gt;=c_TFWD,IF(AND(A66&gt;=c_TMAP3IN,c_TMAP3IN&lt;1000),G66,IF(AND(A66&gt;=c_TMAP2IN,c_TMAP3IN&gt;c_TMAP2IN),F66,IF(AND(A66&gt;=c_TMAP1IN,c_TMAP2IN&gt;c_TMAP1IN),E66,D66))),C66)</f>
        <v>40</v>
      </c>
      <c r="J66" s="7" t="str">
        <f aca="false">IF(I66&lt;-1090,"TOO LOW",IF(I66&gt;1090,"TOO HIGH",""))</f>
        <v/>
      </c>
      <c r="K66" s="15" t="n">
        <f aca="false">IF(J66&lt;&gt;"",0,IF(I66&gt;979,1000,I66))</f>
        <v>40</v>
      </c>
      <c r="L66" s="7" t="n">
        <f aca="false">K66/10</f>
        <v>4</v>
      </c>
    </row>
    <row r="67" customFormat="false" ht="15" hidden="false" customHeight="false" outlineLevel="0" collapsed="false">
      <c r="A67" s="7" t="n">
        <v>62</v>
      </c>
      <c r="B67" s="7" t="n">
        <f aca="false">A67/10</f>
        <v>6.2</v>
      </c>
      <c r="C67" s="7" t="n">
        <f aca="false">IF(AND(A67=0,c_TCREEP&gt;0),10*c_TCREEP,IF(AND(A67&lt;=c_TRNGMIN,A67&gt;=c_TRNGMAX,c_TRNGMIN-c_TRNGMAX&lt;&gt;0),-10*c_TMINRN+QUOTIENT((c_TMAXRN-c_TMINRN)*(100-QUOTIENT((A67-c_TRNGMAX)*100,c_TRNGMIN-c_TRNGMAX)),-10),0))</f>
        <v>0</v>
      </c>
      <c r="D67" s="7" t="n">
        <f aca="false">IF(((c_TMAP1IN)-(c_TFWD))=0,(0)+QUOTIENT(((c_TMAP1OUT)-(0)),2),QUOTIENT((((A67)-(c_TFWD))*((c_TMAP1OUT)-(0))+IF(((c_TMAP1OUT)-(0))&gt;=0,1,-1)*QUOTIENT(((c_TMAP1IN)-(c_TFWD)),2)),((c_TMAP1IN)-(c_TFWD)))+(0)+IF(((c_TMAP1OUT)-(0))&gt;=0,IF(IF(o_WRAP=1,MOD(((c_TMAP1IN)-(c_TFWD))*(((A67)-(c_TFWD))*((c_TMAP1OUT)-(0))+IF(((c_TMAP1OUT)-(0))&gt;=0,1,-1)*QUOTIENT(((c_TMAP1IN)-(c_TFWD)),2))+2147483648,4294967296)-2147483648,((c_TMAP1IN)-(c_TFWD))*(((A67)-(c_TFWD))*((c_TMAP1OUT)-(0))+IF(((c_TMAP1OUT)-(0))&gt;=0,1,-1)*QUOTIENT(((c_TMAP1IN)-(c_TFWD)),2)))&lt;0,-1,0),IF(IF(o_WRAP=1,MOD(((c_TMAP1IN)-(c_TFWD))*(((A67)-(c_TFWD))*((c_TMAP1OUT)-(0))+IF(((c_TMAP1OUT)-(0))&gt;=0,1,-1)*QUOTIENT(((c_TMAP1IN)-(c_TFWD)),2))+2147483648,4294967296)-2147483648,((c_TMAP1IN)-(c_TFWD))*(((A67)-(c_TFWD))*((c_TMAP1OUT)-(0))+IF(((c_TMAP1OUT)-(0))&gt;=0,1,-1)*QUOTIENT(((c_TMAP1IN)-(c_TFWD)),2)))&gt;=0,1,0)))</f>
        <v>40</v>
      </c>
      <c r="E67" s="7" t="n">
        <f aca="false">IF(((c_TMAP2IN)-(c_TMAP1IN))=0,(c_TMAP1OUT)+QUOTIENT(((c_TMAP2OUT)-(c_TMAP1OUT)),2),QUOTIENT((((A67)-(c_TMAP1IN))*((c_TMAP2OUT)-(c_TMAP1OUT))+IF(((c_TMAP2OUT)-(c_TMAP1OUT))&gt;=0,1,-1)*QUOTIENT(((c_TMAP2IN)-(c_TMAP1IN)),2)),((c_TMAP2IN)-(c_TMAP1IN)))+(c_TMAP1OUT)+IF(((c_TMAP2OUT)-(c_TMAP1OUT))&gt;=0,IF(IF(o_WRAP=1,MOD(((c_TMAP2IN)-(c_TMAP1IN))*(((A67)-(c_TMAP1IN))*((c_TMAP2OUT)-(c_TMAP1OUT))+IF(((c_TMAP2OUT)-(c_TMAP1OUT))&gt;=0,1,-1)*QUOTIENT(((c_TMAP2IN)-(c_TMAP1IN)),2))+2147483648,4294967296)-2147483648,((c_TMAP2IN)-(c_TMAP1IN))*(((A67)-(c_TMAP1IN))*((c_TMAP2OUT)-(c_TMAP1OUT))+IF(((c_TMAP2OUT)-(c_TMAP1OUT))&gt;=0,1,-1)*QUOTIENT(((c_TMAP2IN)-(c_TMAP1IN)),2)))&lt;0,-1,0),IF(IF(o_WRAP=1,MOD(((c_TMAP2IN)-(c_TMAP1IN))*(((A67)-(c_TMAP1IN))*((c_TMAP2OUT)-(c_TMAP1OUT))+IF(((c_TMAP2OUT)-(c_TMAP1OUT))&gt;=0,1,-1)*QUOTIENT(((c_TMAP2IN)-(c_TMAP1IN)),2))+2147483648,4294967296)-2147483648,((c_TMAP2IN)-(c_TMAP1IN))*(((A67)-(c_TMAP1IN))*((c_TMAP2OUT)-(c_TMAP1OUT))+IF(((c_TMAP2OUT)-(c_TMAP1OUT))&gt;=0,1,-1)*QUOTIENT(((c_TMAP2IN)-(c_TMAP1IN)),2)))&gt;=0,1,0)))</f>
        <v>55</v>
      </c>
      <c r="F67" s="7" t="n">
        <f aca="false">IF(((c_TMAP3IN)-(c_TMAP2IN))=0,(c_TMAP2OUT)+QUOTIENT(((c_TMAP3OUT)-(c_TMAP2OUT)),2),QUOTIENT((((A67)-(c_TMAP2IN))*((c_TMAP3OUT)-(c_TMAP2OUT))+IF(((c_TMAP3OUT)-(c_TMAP2OUT))&gt;=0,1,-1)*QUOTIENT(((c_TMAP3IN)-(c_TMAP2IN)),2)),((c_TMAP3IN)-(c_TMAP2IN)))+(c_TMAP2OUT)+IF(((c_TMAP3OUT)-(c_TMAP2OUT))&gt;=0,IF(IF(o_WRAP=1,MOD(((c_TMAP3IN)-(c_TMAP2IN))*(((A67)-(c_TMAP2IN))*((c_TMAP3OUT)-(c_TMAP2OUT))+IF(((c_TMAP3OUT)-(c_TMAP2OUT))&gt;=0,1,-1)*QUOTIENT(((c_TMAP3IN)-(c_TMAP2IN)),2))+2147483648,4294967296)-2147483648,((c_TMAP3IN)-(c_TMAP2IN))*(((A67)-(c_TMAP2IN))*((c_TMAP3OUT)-(c_TMAP2OUT))+IF(((c_TMAP3OUT)-(c_TMAP2OUT))&gt;=0,1,-1)*QUOTIENT(((c_TMAP3IN)-(c_TMAP2IN)),2)))&lt;0,-1,0),IF(IF(o_WRAP=1,MOD(((c_TMAP3IN)-(c_TMAP2IN))*(((A67)-(c_TMAP2IN))*((c_TMAP3OUT)-(c_TMAP2OUT))+IF(((c_TMAP3OUT)-(c_TMAP2OUT))&gt;=0,1,-1)*QUOTIENT(((c_TMAP3IN)-(c_TMAP2IN)),2))+2147483648,4294967296)-2147483648,((c_TMAP3IN)-(c_TMAP2IN))*(((A67)-(c_TMAP2IN))*((c_TMAP3OUT)-(c_TMAP2OUT))+IF(((c_TMAP3OUT)-(c_TMAP2OUT))&gt;=0,1,-1)*QUOTIENT(((c_TMAP3IN)-(c_TMAP2IN)),2)))&gt;=0,1,0)))</f>
        <v>-2</v>
      </c>
      <c r="G67" s="7" t="n">
        <f aca="false">IF(((1000)-(c_TMAP3IN))=0,(c_TMAP3OUT)+QUOTIENT(((1000)-(c_TMAP3OUT)),2),QUOTIENT((((A67)-(c_TMAP3IN))*((1000)-(c_TMAP3OUT))+IF(((1000)-(c_TMAP3OUT))&gt;=0,1,-1)*QUOTIENT(((1000)-(c_TMAP3IN)),2)),((1000)-(c_TMAP3IN)))+(c_TMAP3OUT)+IF(((1000)-(c_TMAP3OUT))&gt;=0,IF(IF(o_WRAP=1,MOD(((1000)-(c_TMAP3IN))*(((A67)-(c_TMAP3IN))*((1000)-(c_TMAP3OUT))+IF(((1000)-(c_TMAP3OUT))&gt;=0,1,-1)*QUOTIENT(((1000)-(c_TMAP3IN)),2))+2147483648,4294967296)-2147483648,((1000)-(c_TMAP3IN))*(((A67)-(c_TMAP3IN))*((1000)-(c_TMAP3OUT))+IF(((1000)-(c_TMAP3OUT))&gt;=0,1,-1)*QUOTIENT(((1000)-(c_TMAP3IN)),2)))&lt;0,-1,0),IF(IF(o_WRAP=1,MOD(((1000)-(c_TMAP3IN))*(((A67)-(c_TMAP3IN))*((1000)-(c_TMAP3OUT))+IF(((1000)-(c_TMAP3OUT))&gt;=0,1,-1)*QUOTIENT(((1000)-(c_TMAP3IN)),2))+2147483648,4294967296)-2147483648,((1000)-(c_TMAP3IN))*(((A67)-(c_TMAP3IN))*((1000)-(c_TMAP3OUT))+IF(((1000)-(c_TMAP3OUT))&gt;=0,1,-1)*QUOTIENT(((1000)-(c_TMAP3IN)),2)))&gt;=0,1,0)))</f>
        <v>-154</v>
      </c>
      <c r="H67" s="7" t="str">
        <f aca="false">IF(A67&gt;=c_TFWD,IF(AND(A67&gt;=c_TMAP3IN,c_TMAP3IN&lt;1000),"Seg4 map3-100%",IF(AND(A67&gt;=c_TMAP2IN,c_TMAP3IN&gt;c_TMAP2IN),"Seg3 map2-map3",IF(AND(A67&gt;=c_TMAP1IN,c_TMAP2IN&gt;c_TMAP1IN),"Seg2 map1-map2","Seg1 TFWD-map1"))),IF(AND(A67=0,c_TCREEP&gt;0),"Creep",IF(AND(A67&lt;=c_TRNGMIN,A67&gt;=c_TRNGMAX,c_TRNGMIN-c_TRNGMAX&lt;&gt;0),"Regen ramp","Coast (0)")))</f>
        <v>Seg1 TFWD-map1</v>
      </c>
      <c r="I67" s="7" t="n">
        <f aca="false">IF(A67&gt;=c_TFWD,IF(AND(A67&gt;=c_TMAP3IN,c_TMAP3IN&lt;1000),G67,IF(AND(A67&gt;=c_TMAP2IN,c_TMAP3IN&gt;c_TMAP2IN),F67,IF(AND(A67&gt;=c_TMAP1IN,c_TMAP2IN&gt;c_TMAP1IN),E67,D67))),C67)</f>
        <v>40</v>
      </c>
      <c r="J67" s="7" t="str">
        <f aca="false">IF(I67&lt;-1090,"TOO LOW",IF(I67&gt;1090,"TOO HIGH",""))</f>
        <v/>
      </c>
      <c r="K67" s="15" t="n">
        <f aca="false">IF(J67&lt;&gt;"",0,IF(I67&gt;979,1000,I67))</f>
        <v>40</v>
      </c>
      <c r="L67" s="7" t="n">
        <f aca="false">K67/10</f>
        <v>4</v>
      </c>
    </row>
    <row r="68" customFormat="false" ht="15" hidden="false" customHeight="false" outlineLevel="0" collapsed="false">
      <c r="A68" s="7" t="n">
        <v>63</v>
      </c>
      <c r="B68" s="7" t="n">
        <f aca="false">A68/10</f>
        <v>6.3</v>
      </c>
      <c r="C68" s="7" t="n">
        <f aca="false">IF(AND(A68=0,c_TCREEP&gt;0),10*c_TCREEP,IF(AND(A68&lt;=c_TRNGMIN,A68&gt;=c_TRNGMAX,c_TRNGMIN-c_TRNGMAX&lt;&gt;0),-10*c_TMINRN+QUOTIENT((c_TMAXRN-c_TMINRN)*(100-QUOTIENT((A68-c_TRNGMAX)*100,c_TRNGMIN-c_TRNGMAX)),-10),0))</f>
        <v>0</v>
      </c>
      <c r="D68" s="7" t="n">
        <f aca="false">IF(((c_TMAP1IN)-(c_TFWD))=0,(0)+QUOTIENT(((c_TMAP1OUT)-(0)),2),QUOTIENT((((A68)-(c_TFWD))*((c_TMAP1OUT)-(0))+IF(((c_TMAP1OUT)-(0))&gt;=0,1,-1)*QUOTIENT(((c_TMAP1IN)-(c_TFWD)),2)),((c_TMAP1IN)-(c_TFWD)))+(0)+IF(((c_TMAP1OUT)-(0))&gt;=0,IF(IF(o_WRAP=1,MOD(((c_TMAP1IN)-(c_TFWD))*(((A68)-(c_TFWD))*((c_TMAP1OUT)-(0))+IF(((c_TMAP1OUT)-(0))&gt;=0,1,-1)*QUOTIENT(((c_TMAP1IN)-(c_TFWD)),2))+2147483648,4294967296)-2147483648,((c_TMAP1IN)-(c_TFWD))*(((A68)-(c_TFWD))*((c_TMAP1OUT)-(0))+IF(((c_TMAP1OUT)-(0))&gt;=0,1,-1)*QUOTIENT(((c_TMAP1IN)-(c_TFWD)),2)))&lt;0,-1,0),IF(IF(o_WRAP=1,MOD(((c_TMAP1IN)-(c_TFWD))*(((A68)-(c_TFWD))*((c_TMAP1OUT)-(0))+IF(((c_TMAP1OUT)-(0))&gt;=0,1,-1)*QUOTIENT(((c_TMAP1IN)-(c_TFWD)),2))+2147483648,4294967296)-2147483648,((c_TMAP1IN)-(c_TFWD))*(((A68)-(c_TFWD))*((c_TMAP1OUT)-(0))+IF(((c_TMAP1OUT)-(0))&gt;=0,1,-1)*QUOTIENT(((c_TMAP1IN)-(c_TFWD)),2)))&gt;=0,1,0)))</f>
        <v>41</v>
      </c>
      <c r="E68" s="7" t="n">
        <f aca="false">IF(((c_TMAP2IN)-(c_TMAP1IN))=0,(c_TMAP1OUT)+QUOTIENT(((c_TMAP2OUT)-(c_TMAP1OUT)),2),QUOTIENT((((A68)-(c_TMAP1IN))*((c_TMAP2OUT)-(c_TMAP1OUT))+IF(((c_TMAP2OUT)-(c_TMAP1OUT))&gt;=0,1,-1)*QUOTIENT(((c_TMAP2IN)-(c_TMAP1IN)),2)),((c_TMAP2IN)-(c_TMAP1IN)))+(c_TMAP1OUT)+IF(((c_TMAP2OUT)-(c_TMAP1OUT))&gt;=0,IF(IF(o_WRAP=1,MOD(((c_TMAP2IN)-(c_TMAP1IN))*(((A68)-(c_TMAP1IN))*((c_TMAP2OUT)-(c_TMAP1OUT))+IF(((c_TMAP2OUT)-(c_TMAP1OUT))&gt;=0,1,-1)*QUOTIENT(((c_TMAP2IN)-(c_TMAP1IN)),2))+2147483648,4294967296)-2147483648,((c_TMAP2IN)-(c_TMAP1IN))*(((A68)-(c_TMAP1IN))*((c_TMAP2OUT)-(c_TMAP1OUT))+IF(((c_TMAP2OUT)-(c_TMAP1OUT))&gt;=0,1,-1)*QUOTIENT(((c_TMAP2IN)-(c_TMAP1IN)),2)))&lt;0,-1,0),IF(IF(o_WRAP=1,MOD(((c_TMAP2IN)-(c_TMAP1IN))*(((A68)-(c_TMAP1IN))*((c_TMAP2OUT)-(c_TMAP1OUT))+IF(((c_TMAP2OUT)-(c_TMAP1OUT))&gt;=0,1,-1)*QUOTIENT(((c_TMAP2IN)-(c_TMAP1IN)),2))+2147483648,4294967296)-2147483648,((c_TMAP2IN)-(c_TMAP1IN))*(((A68)-(c_TMAP1IN))*((c_TMAP2OUT)-(c_TMAP1OUT))+IF(((c_TMAP2OUT)-(c_TMAP1OUT))&gt;=0,1,-1)*QUOTIENT(((c_TMAP2IN)-(c_TMAP1IN)),2)))&gt;=0,1,0)))</f>
        <v>55</v>
      </c>
      <c r="F68" s="7" t="n">
        <f aca="false">IF(((c_TMAP3IN)-(c_TMAP2IN))=0,(c_TMAP2OUT)+QUOTIENT(((c_TMAP3OUT)-(c_TMAP2OUT)),2),QUOTIENT((((A68)-(c_TMAP2IN))*((c_TMAP3OUT)-(c_TMAP2OUT))+IF(((c_TMAP3OUT)-(c_TMAP2OUT))&gt;=0,1,-1)*QUOTIENT(((c_TMAP3IN)-(c_TMAP2IN)),2)),((c_TMAP3IN)-(c_TMAP2IN)))+(c_TMAP2OUT)+IF(((c_TMAP3OUT)-(c_TMAP2OUT))&gt;=0,IF(IF(o_WRAP=1,MOD(((c_TMAP3IN)-(c_TMAP2IN))*(((A68)-(c_TMAP2IN))*((c_TMAP3OUT)-(c_TMAP2OUT))+IF(((c_TMAP3OUT)-(c_TMAP2OUT))&gt;=0,1,-1)*QUOTIENT(((c_TMAP3IN)-(c_TMAP2IN)),2))+2147483648,4294967296)-2147483648,((c_TMAP3IN)-(c_TMAP2IN))*(((A68)-(c_TMAP2IN))*((c_TMAP3OUT)-(c_TMAP2OUT))+IF(((c_TMAP3OUT)-(c_TMAP2OUT))&gt;=0,1,-1)*QUOTIENT(((c_TMAP3IN)-(c_TMAP2IN)),2)))&lt;0,-1,0),IF(IF(o_WRAP=1,MOD(((c_TMAP3IN)-(c_TMAP2IN))*(((A68)-(c_TMAP2IN))*((c_TMAP3OUT)-(c_TMAP2OUT))+IF(((c_TMAP3OUT)-(c_TMAP2OUT))&gt;=0,1,-1)*QUOTIENT(((c_TMAP3IN)-(c_TMAP2IN)),2))+2147483648,4294967296)-2147483648,((c_TMAP3IN)-(c_TMAP2IN))*(((A68)-(c_TMAP2IN))*((c_TMAP3OUT)-(c_TMAP2OUT))+IF(((c_TMAP3OUT)-(c_TMAP2OUT))&gt;=0,1,-1)*QUOTIENT(((c_TMAP3IN)-(c_TMAP2IN)),2)))&gt;=0,1,0)))</f>
        <v>-1</v>
      </c>
      <c r="G68" s="7" t="n">
        <f aca="false">IF(((1000)-(c_TMAP3IN))=0,(c_TMAP3OUT)+QUOTIENT(((1000)-(c_TMAP3OUT)),2),QUOTIENT((((A68)-(c_TMAP3IN))*((1000)-(c_TMAP3OUT))+IF(((1000)-(c_TMAP3OUT))&gt;=0,1,-1)*QUOTIENT(((1000)-(c_TMAP3IN)),2)),((1000)-(c_TMAP3IN)))+(c_TMAP3OUT)+IF(((1000)-(c_TMAP3OUT))&gt;=0,IF(IF(o_WRAP=1,MOD(((1000)-(c_TMAP3IN))*(((A68)-(c_TMAP3IN))*((1000)-(c_TMAP3OUT))+IF(((1000)-(c_TMAP3OUT))&gt;=0,1,-1)*QUOTIENT(((1000)-(c_TMAP3IN)),2))+2147483648,4294967296)-2147483648,((1000)-(c_TMAP3IN))*(((A68)-(c_TMAP3IN))*((1000)-(c_TMAP3OUT))+IF(((1000)-(c_TMAP3OUT))&gt;=0,1,-1)*QUOTIENT(((1000)-(c_TMAP3IN)),2)))&lt;0,-1,0),IF(IF(o_WRAP=1,MOD(((1000)-(c_TMAP3IN))*(((A68)-(c_TMAP3IN))*((1000)-(c_TMAP3OUT))+IF(((1000)-(c_TMAP3OUT))&gt;=0,1,-1)*QUOTIENT(((1000)-(c_TMAP3IN)),2))+2147483648,4294967296)-2147483648,((1000)-(c_TMAP3IN))*(((A68)-(c_TMAP3IN))*((1000)-(c_TMAP3OUT))+IF(((1000)-(c_TMAP3OUT))&gt;=0,1,-1)*QUOTIENT(((1000)-(c_TMAP3IN)),2)))&gt;=0,1,0)))</f>
        <v>-153</v>
      </c>
      <c r="H68" s="7" t="str">
        <f aca="false">IF(A68&gt;=c_TFWD,IF(AND(A68&gt;=c_TMAP3IN,c_TMAP3IN&lt;1000),"Seg4 map3-100%",IF(AND(A68&gt;=c_TMAP2IN,c_TMAP3IN&gt;c_TMAP2IN),"Seg3 map2-map3",IF(AND(A68&gt;=c_TMAP1IN,c_TMAP2IN&gt;c_TMAP1IN),"Seg2 map1-map2","Seg1 TFWD-map1"))),IF(AND(A68=0,c_TCREEP&gt;0),"Creep",IF(AND(A68&lt;=c_TRNGMIN,A68&gt;=c_TRNGMAX,c_TRNGMIN-c_TRNGMAX&lt;&gt;0),"Regen ramp","Coast (0)")))</f>
        <v>Seg1 TFWD-map1</v>
      </c>
      <c r="I68" s="7" t="n">
        <f aca="false">IF(A68&gt;=c_TFWD,IF(AND(A68&gt;=c_TMAP3IN,c_TMAP3IN&lt;1000),G68,IF(AND(A68&gt;=c_TMAP2IN,c_TMAP3IN&gt;c_TMAP2IN),F68,IF(AND(A68&gt;=c_TMAP1IN,c_TMAP2IN&gt;c_TMAP1IN),E68,D68))),C68)</f>
        <v>41</v>
      </c>
      <c r="J68" s="7" t="str">
        <f aca="false">IF(I68&lt;-1090,"TOO LOW",IF(I68&gt;1090,"TOO HIGH",""))</f>
        <v/>
      </c>
      <c r="K68" s="15" t="n">
        <f aca="false">IF(J68&lt;&gt;"",0,IF(I68&gt;979,1000,I68))</f>
        <v>41</v>
      </c>
      <c r="L68" s="7" t="n">
        <f aca="false">K68/10</f>
        <v>4.1</v>
      </c>
    </row>
    <row r="69" customFormat="false" ht="15" hidden="false" customHeight="false" outlineLevel="0" collapsed="false">
      <c r="A69" s="7" t="n">
        <v>64</v>
      </c>
      <c r="B69" s="7" t="n">
        <f aca="false">A69/10</f>
        <v>6.4</v>
      </c>
      <c r="C69" s="7" t="n">
        <f aca="false">IF(AND(A69=0,c_TCREEP&gt;0),10*c_TCREEP,IF(AND(A69&lt;=c_TRNGMIN,A69&gt;=c_TRNGMAX,c_TRNGMIN-c_TRNGMAX&lt;&gt;0),-10*c_TMINRN+QUOTIENT((c_TMAXRN-c_TMINRN)*(100-QUOTIENT((A69-c_TRNGMAX)*100,c_TRNGMIN-c_TRNGMAX)),-10),0))</f>
        <v>0</v>
      </c>
      <c r="D69" s="7" t="n">
        <f aca="false">IF(((c_TMAP1IN)-(c_TFWD))=0,(0)+QUOTIENT(((c_TMAP1OUT)-(0)),2),QUOTIENT((((A69)-(c_TFWD))*((c_TMAP1OUT)-(0))+IF(((c_TMAP1OUT)-(0))&gt;=0,1,-1)*QUOTIENT(((c_TMAP1IN)-(c_TFWD)),2)),((c_TMAP1IN)-(c_TFWD)))+(0)+IF(((c_TMAP1OUT)-(0))&gt;=0,IF(IF(o_WRAP=1,MOD(((c_TMAP1IN)-(c_TFWD))*(((A69)-(c_TFWD))*((c_TMAP1OUT)-(0))+IF(((c_TMAP1OUT)-(0))&gt;=0,1,-1)*QUOTIENT(((c_TMAP1IN)-(c_TFWD)),2))+2147483648,4294967296)-2147483648,((c_TMAP1IN)-(c_TFWD))*(((A69)-(c_TFWD))*((c_TMAP1OUT)-(0))+IF(((c_TMAP1OUT)-(0))&gt;=0,1,-1)*QUOTIENT(((c_TMAP1IN)-(c_TFWD)),2)))&lt;0,-1,0),IF(IF(o_WRAP=1,MOD(((c_TMAP1IN)-(c_TFWD))*(((A69)-(c_TFWD))*((c_TMAP1OUT)-(0))+IF(((c_TMAP1OUT)-(0))&gt;=0,1,-1)*QUOTIENT(((c_TMAP1IN)-(c_TFWD)),2))+2147483648,4294967296)-2147483648,((c_TMAP1IN)-(c_TFWD))*(((A69)-(c_TFWD))*((c_TMAP1OUT)-(0))+IF(((c_TMAP1OUT)-(0))&gt;=0,1,-1)*QUOTIENT(((c_TMAP1IN)-(c_TFWD)),2)))&gt;=0,1,0)))</f>
        <v>42</v>
      </c>
      <c r="E69" s="7" t="n">
        <f aca="false">IF(((c_TMAP2IN)-(c_TMAP1IN))=0,(c_TMAP1OUT)+QUOTIENT(((c_TMAP2OUT)-(c_TMAP1OUT)),2),QUOTIENT((((A69)-(c_TMAP1IN))*((c_TMAP2OUT)-(c_TMAP1OUT))+IF(((c_TMAP2OUT)-(c_TMAP1OUT))&gt;=0,1,-1)*QUOTIENT(((c_TMAP2IN)-(c_TMAP1IN)),2)),((c_TMAP2IN)-(c_TMAP1IN)))+(c_TMAP1OUT)+IF(((c_TMAP2OUT)-(c_TMAP1OUT))&gt;=0,IF(IF(o_WRAP=1,MOD(((c_TMAP2IN)-(c_TMAP1IN))*(((A69)-(c_TMAP1IN))*((c_TMAP2OUT)-(c_TMAP1OUT))+IF(((c_TMAP2OUT)-(c_TMAP1OUT))&gt;=0,1,-1)*QUOTIENT(((c_TMAP2IN)-(c_TMAP1IN)),2))+2147483648,4294967296)-2147483648,((c_TMAP2IN)-(c_TMAP1IN))*(((A69)-(c_TMAP1IN))*((c_TMAP2OUT)-(c_TMAP1OUT))+IF(((c_TMAP2OUT)-(c_TMAP1OUT))&gt;=0,1,-1)*QUOTIENT(((c_TMAP2IN)-(c_TMAP1IN)),2)))&lt;0,-1,0),IF(IF(o_WRAP=1,MOD(((c_TMAP2IN)-(c_TMAP1IN))*(((A69)-(c_TMAP1IN))*((c_TMAP2OUT)-(c_TMAP1OUT))+IF(((c_TMAP2OUT)-(c_TMAP1OUT))&gt;=0,1,-1)*QUOTIENT(((c_TMAP2IN)-(c_TMAP1IN)),2))+2147483648,4294967296)-2147483648,((c_TMAP2IN)-(c_TMAP1IN))*(((A69)-(c_TMAP1IN))*((c_TMAP2OUT)-(c_TMAP1OUT))+IF(((c_TMAP2OUT)-(c_TMAP1OUT))&gt;=0,1,-1)*QUOTIENT(((c_TMAP2IN)-(c_TMAP1IN)),2)))&gt;=0,1,0)))</f>
        <v>56</v>
      </c>
      <c r="F69" s="7" t="n">
        <f aca="false">IF(((c_TMAP3IN)-(c_TMAP2IN))=0,(c_TMAP2OUT)+QUOTIENT(((c_TMAP3OUT)-(c_TMAP2OUT)),2),QUOTIENT((((A69)-(c_TMAP2IN))*((c_TMAP3OUT)-(c_TMAP2OUT))+IF(((c_TMAP3OUT)-(c_TMAP2OUT))&gt;=0,1,-1)*QUOTIENT(((c_TMAP3IN)-(c_TMAP2IN)),2)),((c_TMAP3IN)-(c_TMAP2IN)))+(c_TMAP2OUT)+IF(((c_TMAP3OUT)-(c_TMAP2OUT))&gt;=0,IF(IF(o_WRAP=1,MOD(((c_TMAP3IN)-(c_TMAP2IN))*(((A69)-(c_TMAP2IN))*((c_TMAP3OUT)-(c_TMAP2OUT))+IF(((c_TMAP3OUT)-(c_TMAP2OUT))&gt;=0,1,-1)*QUOTIENT(((c_TMAP3IN)-(c_TMAP2IN)),2))+2147483648,4294967296)-2147483648,((c_TMAP3IN)-(c_TMAP2IN))*(((A69)-(c_TMAP2IN))*((c_TMAP3OUT)-(c_TMAP2OUT))+IF(((c_TMAP3OUT)-(c_TMAP2OUT))&gt;=0,1,-1)*QUOTIENT(((c_TMAP3IN)-(c_TMAP2IN)),2)))&lt;0,-1,0),IF(IF(o_WRAP=1,MOD(((c_TMAP3IN)-(c_TMAP2IN))*(((A69)-(c_TMAP2IN))*((c_TMAP3OUT)-(c_TMAP2OUT))+IF(((c_TMAP3OUT)-(c_TMAP2OUT))&gt;=0,1,-1)*QUOTIENT(((c_TMAP3IN)-(c_TMAP2IN)),2))+2147483648,4294967296)-2147483648,((c_TMAP3IN)-(c_TMAP2IN))*(((A69)-(c_TMAP2IN))*((c_TMAP3OUT)-(c_TMAP2OUT))+IF(((c_TMAP3OUT)-(c_TMAP2OUT))&gt;=0,1,-1)*QUOTIENT(((c_TMAP3IN)-(c_TMAP2IN)),2)))&gt;=0,1,0)))</f>
        <v>0</v>
      </c>
      <c r="G69" s="7" t="n">
        <f aca="false">IF(((1000)-(c_TMAP3IN))=0,(c_TMAP3OUT)+QUOTIENT(((1000)-(c_TMAP3OUT)),2),QUOTIENT((((A69)-(c_TMAP3IN))*((1000)-(c_TMAP3OUT))+IF(((1000)-(c_TMAP3OUT))&gt;=0,1,-1)*QUOTIENT(((1000)-(c_TMAP3IN)),2)),((1000)-(c_TMAP3IN)))+(c_TMAP3OUT)+IF(((1000)-(c_TMAP3OUT))&gt;=0,IF(IF(o_WRAP=1,MOD(((1000)-(c_TMAP3IN))*(((A69)-(c_TMAP3IN))*((1000)-(c_TMAP3OUT))+IF(((1000)-(c_TMAP3OUT))&gt;=0,1,-1)*QUOTIENT(((1000)-(c_TMAP3IN)),2))+2147483648,4294967296)-2147483648,((1000)-(c_TMAP3IN))*(((A69)-(c_TMAP3IN))*((1000)-(c_TMAP3OUT))+IF(((1000)-(c_TMAP3OUT))&gt;=0,1,-1)*QUOTIENT(((1000)-(c_TMAP3IN)),2)))&lt;0,-1,0),IF(IF(o_WRAP=1,MOD(((1000)-(c_TMAP3IN))*(((A69)-(c_TMAP3IN))*((1000)-(c_TMAP3OUT))+IF(((1000)-(c_TMAP3OUT))&gt;=0,1,-1)*QUOTIENT(((1000)-(c_TMAP3IN)),2))+2147483648,4294967296)-2147483648,((1000)-(c_TMAP3IN))*(((A69)-(c_TMAP3IN))*((1000)-(c_TMAP3OUT))+IF(((1000)-(c_TMAP3OUT))&gt;=0,1,-1)*QUOTIENT(((1000)-(c_TMAP3IN)),2)))&gt;=0,1,0)))</f>
        <v>-152</v>
      </c>
      <c r="H69" s="7" t="str">
        <f aca="false">IF(A69&gt;=c_TFWD,IF(AND(A69&gt;=c_TMAP3IN,c_TMAP3IN&lt;1000),"Seg4 map3-100%",IF(AND(A69&gt;=c_TMAP2IN,c_TMAP3IN&gt;c_TMAP2IN),"Seg3 map2-map3",IF(AND(A69&gt;=c_TMAP1IN,c_TMAP2IN&gt;c_TMAP1IN),"Seg2 map1-map2","Seg1 TFWD-map1"))),IF(AND(A69=0,c_TCREEP&gt;0),"Creep",IF(AND(A69&lt;=c_TRNGMIN,A69&gt;=c_TRNGMAX,c_TRNGMIN-c_TRNGMAX&lt;&gt;0),"Regen ramp","Coast (0)")))</f>
        <v>Seg1 TFWD-map1</v>
      </c>
      <c r="I69" s="7" t="n">
        <f aca="false">IF(A69&gt;=c_TFWD,IF(AND(A69&gt;=c_TMAP3IN,c_TMAP3IN&lt;1000),G69,IF(AND(A69&gt;=c_TMAP2IN,c_TMAP3IN&gt;c_TMAP2IN),F69,IF(AND(A69&gt;=c_TMAP1IN,c_TMAP2IN&gt;c_TMAP1IN),E69,D69))),C69)</f>
        <v>42</v>
      </c>
      <c r="J69" s="7" t="str">
        <f aca="false">IF(I69&lt;-1090,"TOO LOW",IF(I69&gt;1090,"TOO HIGH",""))</f>
        <v/>
      </c>
      <c r="K69" s="15" t="n">
        <f aca="false">IF(J69&lt;&gt;"",0,IF(I69&gt;979,1000,I69))</f>
        <v>42</v>
      </c>
      <c r="L69" s="7" t="n">
        <f aca="false">K69/10</f>
        <v>4.2</v>
      </c>
    </row>
    <row r="70" customFormat="false" ht="15" hidden="false" customHeight="false" outlineLevel="0" collapsed="false">
      <c r="A70" s="7" t="n">
        <v>65</v>
      </c>
      <c r="B70" s="7" t="n">
        <f aca="false">A70/10</f>
        <v>6.5</v>
      </c>
      <c r="C70" s="7" t="n">
        <f aca="false">IF(AND(A70=0,c_TCREEP&gt;0),10*c_TCREEP,IF(AND(A70&lt;=c_TRNGMIN,A70&gt;=c_TRNGMAX,c_TRNGMIN-c_TRNGMAX&lt;&gt;0),-10*c_TMINRN+QUOTIENT((c_TMAXRN-c_TMINRN)*(100-QUOTIENT((A70-c_TRNGMAX)*100,c_TRNGMIN-c_TRNGMAX)),-10),0))</f>
        <v>0</v>
      </c>
      <c r="D70" s="7" t="n">
        <f aca="false">IF(((c_TMAP1IN)-(c_TFWD))=0,(0)+QUOTIENT(((c_TMAP1OUT)-(0)),2),QUOTIENT((((A70)-(c_TFWD))*((c_TMAP1OUT)-(0))+IF(((c_TMAP1OUT)-(0))&gt;=0,1,-1)*QUOTIENT(((c_TMAP1IN)-(c_TFWD)),2)),((c_TMAP1IN)-(c_TFWD)))+(0)+IF(((c_TMAP1OUT)-(0))&gt;=0,IF(IF(o_WRAP=1,MOD(((c_TMAP1IN)-(c_TFWD))*(((A70)-(c_TFWD))*((c_TMAP1OUT)-(0))+IF(((c_TMAP1OUT)-(0))&gt;=0,1,-1)*QUOTIENT(((c_TMAP1IN)-(c_TFWD)),2))+2147483648,4294967296)-2147483648,((c_TMAP1IN)-(c_TFWD))*(((A70)-(c_TFWD))*((c_TMAP1OUT)-(0))+IF(((c_TMAP1OUT)-(0))&gt;=0,1,-1)*QUOTIENT(((c_TMAP1IN)-(c_TFWD)),2)))&lt;0,-1,0),IF(IF(o_WRAP=1,MOD(((c_TMAP1IN)-(c_TFWD))*(((A70)-(c_TFWD))*((c_TMAP1OUT)-(0))+IF(((c_TMAP1OUT)-(0))&gt;=0,1,-1)*QUOTIENT(((c_TMAP1IN)-(c_TFWD)),2))+2147483648,4294967296)-2147483648,((c_TMAP1IN)-(c_TFWD))*(((A70)-(c_TFWD))*((c_TMAP1OUT)-(0))+IF(((c_TMAP1OUT)-(0))&gt;=0,1,-1)*QUOTIENT(((c_TMAP1IN)-(c_TFWD)),2)))&gt;=0,1,0)))</f>
        <v>43</v>
      </c>
      <c r="E70" s="7" t="n">
        <f aca="false">IF(((c_TMAP2IN)-(c_TMAP1IN))=0,(c_TMAP1OUT)+QUOTIENT(((c_TMAP2OUT)-(c_TMAP1OUT)),2),QUOTIENT((((A70)-(c_TMAP1IN))*((c_TMAP2OUT)-(c_TMAP1OUT))+IF(((c_TMAP2OUT)-(c_TMAP1OUT))&gt;=0,1,-1)*QUOTIENT(((c_TMAP2IN)-(c_TMAP1IN)),2)),((c_TMAP2IN)-(c_TMAP1IN)))+(c_TMAP1OUT)+IF(((c_TMAP2OUT)-(c_TMAP1OUT))&gt;=0,IF(IF(o_WRAP=1,MOD(((c_TMAP2IN)-(c_TMAP1IN))*(((A70)-(c_TMAP1IN))*((c_TMAP2OUT)-(c_TMAP1OUT))+IF(((c_TMAP2OUT)-(c_TMAP1OUT))&gt;=0,1,-1)*QUOTIENT(((c_TMAP2IN)-(c_TMAP1IN)),2))+2147483648,4294967296)-2147483648,((c_TMAP2IN)-(c_TMAP1IN))*(((A70)-(c_TMAP1IN))*((c_TMAP2OUT)-(c_TMAP1OUT))+IF(((c_TMAP2OUT)-(c_TMAP1OUT))&gt;=0,1,-1)*QUOTIENT(((c_TMAP2IN)-(c_TMAP1IN)),2)))&lt;0,-1,0),IF(IF(o_WRAP=1,MOD(((c_TMAP2IN)-(c_TMAP1IN))*(((A70)-(c_TMAP1IN))*((c_TMAP2OUT)-(c_TMAP1OUT))+IF(((c_TMAP2OUT)-(c_TMAP1OUT))&gt;=0,1,-1)*QUOTIENT(((c_TMAP2IN)-(c_TMAP1IN)),2))+2147483648,4294967296)-2147483648,((c_TMAP2IN)-(c_TMAP1IN))*(((A70)-(c_TMAP1IN))*((c_TMAP2OUT)-(c_TMAP1OUT))+IF(((c_TMAP2OUT)-(c_TMAP1OUT))&gt;=0,1,-1)*QUOTIENT(((c_TMAP2IN)-(c_TMAP1IN)),2)))&gt;=0,1,0)))</f>
        <v>56</v>
      </c>
      <c r="F70" s="7" t="n">
        <f aca="false">IF(((c_TMAP3IN)-(c_TMAP2IN))=0,(c_TMAP2OUT)+QUOTIENT(((c_TMAP3OUT)-(c_TMAP2OUT)),2),QUOTIENT((((A70)-(c_TMAP2IN))*((c_TMAP3OUT)-(c_TMAP2OUT))+IF(((c_TMAP3OUT)-(c_TMAP2OUT))&gt;=0,1,-1)*QUOTIENT(((c_TMAP3IN)-(c_TMAP2IN)),2)),((c_TMAP3IN)-(c_TMAP2IN)))+(c_TMAP2OUT)+IF(((c_TMAP3OUT)-(c_TMAP2OUT))&gt;=0,IF(IF(o_WRAP=1,MOD(((c_TMAP3IN)-(c_TMAP2IN))*(((A70)-(c_TMAP2IN))*((c_TMAP3OUT)-(c_TMAP2OUT))+IF(((c_TMAP3OUT)-(c_TMAP2OUT))&gt;=0,1,-1)*QUOTIENT(((c_TMAP3IN)-(c_TMAP2IN)),2))+2147483648,4294967296)-2147483648,((c_TMAP3IN)-(c_TMAP2IN))*(((A70)-(c_TMAP2IN))*((c_TMAP3OUT)-(c_TMAP2OUT))+IF(((c_TMAP3OUT)-(c_TMAP2OUT))&gt;=0,1,-1)*QUOTIENT(((c_TMAP3IN)-(c_TMAP2IN)),2)))&lt;0,-1,0),IF(IF(o_WRAP=1,MOD(((c_TMAP3IN)-(c_TMAP2IN))*(((A70)-(c_TMAP2IN))*((c_TMAP3OUT)-(c_TMAP2OUT))+IF(((c_TMAP3OUT)-(c_TMAP2OUT))&gt;=0,1,-1)*QUOTIENT(((c_TMAP3IN)-(c_TMAP2IN)),2))+2147483648,4294967296)-2147483648,((c_TMAP3IN)-(c_TMAP2IN))*(((A70)-(c_TMAP2IN))*((c_TMAP3OUT)-(c_TMAP2OUT))+IF(((c_TMAP3OUT)-(c_TMAP2OUT))&gt;=0,1,-1)*QUOTIENT(((c_TMAP3IN)-(c_TMAP2IN)),2)))&gt;=0,1,0)))</f>
        <v>0</v>
      </c>
      <c r="G70" s="7" t="n">
        <f aca="false">IF(((1000)-(c_TMAP3IN))=0,(c_TMAP3OUT)+QUOTIENT(((1000)-(c_TMAP3OUT)),2),QUOTIENT((((A70)-(c_TMAP3IN))*((1000)-(c_TMAP3OUT))+IF(((1000)-(c_TMAP3OUT))&gt;=0,1,-1)*QUOTIENT(((1000)-(c_TMAP3IN)),2)),((1000)-(c_TMAP3IN)))+(c_TMAP3OUT)+IF(((1000)-(c_TMAP3OUT))&gt;=0,IF(IF(o_WRAP=1,MOD(((1000)-(c_TMAP3IN))*(((A70)-(c_TMAP3IN))*((1000)-(c_TMAP3OUT))+IF(((1000)-(c_TMAP3OUT))&gt;=0,1,-1)*QUOTIENT(((1000)-(c_TMAP3IN)),2))+2147483648,4294967296)-2147483648,((1000)-(c_TMAP3IN))*(((A70)-(c_TMAP3IN))*((1000)-(c_TMAP3OUT))+IF(((1000)-(c_TMAP3OUT))&gt;=0,1,-1)*QUOTIENT(((1000)-(c_TMAP3IN)),2)))&lt;0,-1,0),IF(IF(o_WRAP=1,MOD(((1000)-(c_TMAP3IN))*(((A70)-(c_TMAP3IN))*((1000)-(c_TMAP3OUT))+IF(((1000)-(c_TMAP3OUT))&gt;=0,1,-1)*QUOTIENT(((1000)-(c_TMAP3IN)),2))+2147483648,4294967296)-2147483648,((1000)-(c_TMAP3IN))*(((A70)-(c_TMAP3IN))*((1000)-(c_TMAP3OUT))+IF(((1000)-(c_TMAP3OUT))&gt;=0,1,-1)*QUOTIENT(((1000)-(c_TMAP3IN)),2)))&gt;=0,1,0)))</f>
        <v>-151</v>
      </c>
      <c r="H70" s="7" t="str">
        <f aca="false">IF(A70&gt;=c_TFWD,IF(AND(A70&gt;=c_TMAP3IN,c_TMAP3IN&lt;1000),"Seg4 map3-100%",IF(AND(A70&gt;=c_TMAP2IN,c_TMAP3IN&gt;c_TMAP2IN),"Seg3 map2-map3",IF(AND(A70&gt;=c_TMAP1IN,c_TMAP2IN&gt;c_TMAP1IN),"Seg2 map1-map2","Seg1 TFWD-map1"))),IF(AND(A70=0,c_TCREEP&gt;0),"Creep",IF(AND(A70&lt;=c_TRNGMIN,A70&gt;=c_TRNGMAX,c_TRNGMIN-c_TRNGMAX&lt;&gt;0),"Regen ramp","Coast (0)")))</f>
        <v>Seg1 TFWD-map1</v>
      </c>
      <c r="I70" s="7" t="n">
        <f aca="false">IF(A70&gt;=c_TFWD,IF(AND(A70&gt;=c_TMAP3IN,c_TMAP3IN&lt;1000),G70,IF(AND(A70&gt;=c_TMAP2IN,c_TMAP3IN&gt;c_TMAP2IN),F70,IF(AND(A70&gt;=c_TMAP1IN,c_TMAP2IN&gt;c_TMAP1IN),E70,D70))),C70)</f>
        <v>43</v>
      </c>
      <c r="J70" s="7" t="str">
        <f aca="false">IF(I70&lt;-1090,"TOO LOW",IF(I70&gt;1090,"TOO HIGH",""))</f>
        <v/>
      </c>
      <c r="K70" s="15" t="n">
        <f aca="false">IF(J70&lt;&gt;"",0,IF(I70&gt;979,1000,I70))</f>
        <v>43</v>
      </c>
      <c r="L70" s="7" t="n">
        <f aca="false">K70/10</f>
        <v>4.3</v>
      </c>
    </row>
    <row r="71" customFormat="false" ht="15" hidden="false" customHeight="false" outlineLevel="0" collapsed="false">
      <c r="A71" s="7" t="n">
        <v>66</v>
      </c>
      <c r="B71" s="7" t="n">
        <f aca="false">A71/10</f>
        <v>6.6</v>
      </c>
      <c r="C71" s="7" t="n">
        <f aca="false">IF(AND(A71=0,c_TCREEP&gt;0),10*c_TCREEP,IF(AND(A71&lt;=c_TRNGMIN,A71&gt;=c_TRNGMAX,c_TRNGMIN-c_TRNGMAX&lt;&gt;0),-10*c_TMINRN+QUOTIENT((c_TMAXRN-c_TMINRN)*(100-QUOTIENT((A71-c_TRNGMAX)*100,c_TRNGMIN-c_TRNGMAX)),-10),0))</f>
        <v>0</v>
      </c>
      <c r="D71" s="7" t="n">
        <f aca="false">IF(((c_TMAP1IN)-(c_TFWD))=0,(0)+QUOTIENT(((c_TMAP1OUT)-(0)),2),QUOTIENT((((A71)-(c_TFWD))*((c_TMAP1OUT)-(0))+IF(((c_TMAP1OUT)-(0))&gt;=0,1,-1)*QUOTIENT(((c_TMAP1IN)-(c_TFWD)),2)),((c_TMAP1IN)-(c_TFWD)))+(0)+IF(((c_TMAP1OUT)-(0))&gt;=0,IF(IF(o_WRAP=1,MOD(((c_TMAP1IN)-(c_TFWD))*(((A71)-(c_TFWD))*((c_TMAP1OUT)-(0))+IF(((c_TMAP1OUT)-(0))&gt;=0,1,-1)*QUOTIENT(((c_TMAP1IN)-(c_TFWD)),2))+2147483648,4294967296)-2147483648,((c_TMAP1IN)-(c_TFWD))*(((A71)-(c_TFWD))*((c_TMAP1OUT)-(0))+IF(((c_TMAP1OUT)-(0))&gt;=0,1,-1)*QUOTIENT(((c_TMAP1IN)-(c_TFWD)),2)))&lt;0,-1,0),IF(IF(o_WRAP=1,MOD(((c_TMAP1IN)-(c_TFWD))*(((A71)-(c_TFWD))*((c_TMAP1OUT)-(0))+IF(((c_TMAP1OUT)-(0))&gt;=0,1,-1)*QUOTIENT(((c_TMAP1IN)-(c_TFWD)),2))+2147483648,4294967296)-2147483648,((c_TMAP1IN)-(c_TFWD))*(((A71)-(c_TFWD))*((c_TMAP1OUT)-(0))+IF(((c_TMAP1OUT)-(0))&gt;=0,1,-1)*QUOTIENT(((c_TMAP1IN)-(c_TFWD)),2)))&gt;=0,1,0)))</f>
        <v>44</v>
      </c>
      <c r="E71" s="7" t="n">
        <f aca="false">IF(((c_TMAP2IN)-(c_TMAP1IN))=0,(c_TMAP1OUT)+QUOTIENT(((c_TMAP2OUT)-(c_TMAP1OUT)),2),QUOTIENT((((A71)-(c_TMAP1IN))*((c_TMAP2OUT)-(c_TMAP1OUT))+IF(((c_TMAP2OUT)-(c_TMAP1OUT))&gt;=0,1,-1)*QUOTIENT(((c_TMAP2IN)-(c_TMAP1IN)),2)),((c_TMAP2IN)-(c_TMAP1IN)))+(c_TMAP1OUT)+IF(((c_TMAP2OUT)-(c_TMAP1OUT))&gt;=0,IF(IF(o_WRAP=1,MOD(((c_TMAP2IN)-(c_TMAP1IN))*(((A71)-(c_TMAP1IN))*((c_TMAP2OUT)-(c_TMAP1OUT))+IF(((c_TMAP2OUT)-(c_TMAP1OUT))&gt;=0,1,-1)*QUOTIENT(((c_TMAP2IN)-(c_TMAP1IN)),2))+2147483648,4294967296)-2147483648,((c_TMAP2IN)-(c_TMAP1IN))*(((A71)-(c_TMAP1IN))*((c_TMAP2OUT)-(c_TMAP1OUT))+IF(((c_TMAP2OUT)-(c_TMAP1OUT))&gt;=0,1,-1)*QUOTIENT(((c_TMAP2IN)-(c_TMAP1IN)),2)))&lt;0,-1,0),IF(IF(o_WRAP=1,MOD(((c_TMAP2IN)-(c_TMAP1IN))*(((A71)-(c_TMAP1IN))*((c_TMAP2OUT)-(c_TMAP1OUT))+IF(((c_TMAP2OUT)-(c_TMAP1OUT))&gt;=0,1,-1)*QUOTIENT(((c_TMAP2IN)-(c_TMAP1IN)),2))+2147483648,4294967296)-2147483648,((c_TMAP2IN)-(c_TMAP1IN))*(((A71)-(c_TMAP1IN))*((c_TMAP2OUT)-(c_TMAP1OUT))+IF(((c_TMAP2OUT)-(c_TMAP1OUT))&gt;=0,1,-1)*QUOTIENT(((c_TMAP2IN)-(c_TMAP1IN)),2)))&gt;=0,1,0)))</f>
        <v>56</v>
      </c>
      <c r="F71" s="7" t="n">
        <f aca="false">IF(((c_TMAP3IN)-(c_TMAP2IN))=0,(c_TMAP2OUT)+QUOTIENT(((c_TMAP3OUT)-(c_TMAP2OUT)),2),QUOTIENT((((A71)-(c_TMAP2IN))*((c_TMAP3OUT)-(c_TMAP2OUT))+IF(((c_TMAP3OUT)-(c_TMAP2OUT))&gt;=0,1,-1)*QUOTIENT(((c_TMAP3IN)-(c_TMAP2IN)),2)),((c_TMAP3IN)-(c_TMAP2IN)))+(c_TMAP2OUT)+IF(((c_TMAP3OUT)-(c_TMAP2OUT))&gt;=0,IF(IF(o_WRAP=1,MOD(((c_TMAP3IN)-(c_TMAP2IN))*(((A71)-(c_TMAP2IN))*((c_TMAP3OUT)-(c_TMAP2OUT))+IF(((c_TMAP3OUT)-(c_TMAP2OUT))&gt;=0,1,-1)*QUOTIENT(((c_TMAP3IN)-(c_TMAP2IN)),2))+2147483648,4294967296)-2147483648,((c_TMAP3IN)-(c_TMAP2IN))*(((A71)-(c_TMAP2IN))*((c_TMAP3OUT)-(c_TMAP2OUT))+IF(((c_TMAP3OUT)-(c_TMAP2OUT))&gt;=0,1,-1)*QUOTIENT(((c_TMAP3IN)-(c_TMAP2IN)),2)))&lt;0,-1,0),IF(IF(o_WRAP=1,MOD(((c_TMAP3IN)-(c_TMAP2IN))*(((A71)-(c_TMAP2IN))*((c_TMAP3OUT)-(c_TMAP2OUT))+IF(((c_TMAP3OUT)-(c_TMAP2OUT))&gt;=0,1,-1)*QUOTIENT(((c_TMAP3IN)-(c_TMAP2IN)),2))+2147483648,4294967296)-2147483648,((c_TMAP3IN)-(c_TMAP2IN))*(((A71)-(c_TMAP2IN))*((c_TMAP3OUT)-(c_TMAP2OUT))+IF(((c_TMAP3OUT)-(c_TMAP2OUT))&gt;=0,1,-1)*QUOTIENT(((c_TMAP3IN)-(c_TMAP2IN)),2)))&gt;=0,1,0)))</f>
        <v>1</v>
      </c>
      <c r="G71" s="7" t="n">
        <f aca="false">IF(((1000)-(c_TMAP3IN))=0,(c_TMAP3OUT)+QUOTIENT(((1000)-(c_TMAP3OUT)),2),QUOTIENT((((A71)-(c_TMAP3IN))*((1000)-(c_TMAP3OUT))+IF(((1000)-(c_TMAP3OUT))&gt;=0,1,-1)*QUOTIENT(((1000)-(c_TMAP3IN)),2)),((1000)-(c_TMAP3IN)))+(c_TMAP3OUT)+IF(((1000)-(c_TMAP3OUT))&gt;=0,IF(IF(o_WRAP=1,MOD(((1000)-(c_TMAP3IN))*(((A71)-(c_TMAP3IN))*((1000)-(c_TMAP3OUT))+IF(((1000)-(c_TMAP3OUT))&gt;=0,1,-1)*QUOTIENT(((1000)-(c_TMAP3IN)),2))+2147483648,4294967296)-2147483648,((1000)-(c_TMAP3IN))*(((A71)-(c_TMAP3IN))*((1000)-(c_TMAP3OUT))+IF(((1000)-(c_TMAP3OUT))&gt;=0,1,-1)*QUOTIENT(((1000)-(c_TMAP3IN)),2)))&lt;0,-1,0),IF(IF(o_WRAP=1,MOD(((1000)-(c_TMAP3IN))*(((A71)-(c_TMAP3IN))*((1000)-(c_TMAP3OUT))+IF(((1000)-(c_TMAP3OUT))&gt;=0,1,-1)*QUOTIENT(((1000)-(c_TMAP3IN)),2))+2147483648,4294967296)-2147483648,((1000)-(c_TMAP3IN))*(((A71)-(c_TMAP3IN))*((1000)-(c_TMAP3OUT))+IF(((1000)-(c_TMAP3OUT))&gt;=0,1,-1)*QUOTIENT(((1000)-(c_TMAP3IN)),2)))&gt;=0,1,0)))</f>
        <v>-150</v>
      </c>
      <c r="H71" s="7" t="str">
        <f aca="false">IF(A71&gt;=c_TFWD,IF(AND(A71&gt;=c_TMAP3IN,c_TMAP3IN&lt;1000),"Seg4 map3-100%",IF(AND(A71&gt;=c_TMAP2IN,c_TMAP3IN&gt;c_TMAP2IN),"Seg3 map2-map3",IF(AND(A71&gt;=c_TMAP1IN,c_TMAP2IN&gt;c_TMAP1IN),"Seg2 map1-map2","Seg1 TFWD-map1"))),IF(AND(A71=0,c_TCREEP&gt;0),"Creep",IF(AND(A71&lt;=c_TRNGMIN,A71&gt;=c_TRNGMAX,c_TRNGMIN-c_TRNGMAX&lt;&gt;0),"Regen ramp","Coast (0)")))</f>
        <v>Seg1 TFWD-map1</v>
      </c>
      <c r="I71" s="7" t="n">
        <f aca="false">IF(A71&gt;=c_TFWD,IF(AND(A71&gt;=c_TMAP3IN,c_TMAP3IN&lt;1000),G71,IF(AND(A71&gt;=c_TMAP2IN,c_TMAP3IN&gt;c_TMAP2IN),F71,IF(AND(A71&gt;=c_TMAP1IN,c_TMAP2IN&gt;c_TMAP1IN),E71,D71))),C71)</f>
        <v>44</v>
      </c>
      <c r="J71" s="7" t="str">
        <f aca="false">IF(I71&lt;-1090,"TOO LOW",IF(I71&gt;1090,"TOO HIGH",""))</f>
        <v/>
      </c>
      <c r="K71" s="15" t="n">
        <f aca="false">IF(J71&lt;&gt;"",0,IF(I71&gt;979,1000,I71))</f>
        <v>44</v>
      </c>
      <c r="L71" s="7" t="n">
        <f aca="false">K71/10</f>
        <v>4.4</v>
      </c>
    </row>
    <row r="72" customFormat="false" ht="15" hidden="false" customHeight="false" outlineLevel="0" collapsed="false">
      <c r="A72" s="7" t="n">
        <v>67</v>
      </c>
      <c r="B72" s="7" t="n">
        <f aca="false">A72/10</f>
        <v>6.7</v>
      </c>
      <c r="C72" s="7" t="n">
        <f aca="false">IF(AND(A72=0,c_TCREEP&gt;0),10*c_TCREEP,IF(AND(A72&lt;=c_TRNGMIN,A72&gt;=c_TRNGMAX,c_TRNGMIN-c_TRNGMAX&lt;&gt;0),-10*c_TMINRN+QUOTIENT((c_TMAXRN-c_TMINRN)*(100-QUOTIENT((A72-c_TRNGMAX)*100,c_TRNGMIN-c_TRNGMAX)),-10),0))</f>
        <v>0</v>
      </c>
      <c r="D72" s="7" t="n">
        <f aca="false">IF(((c_TMAP1IN)-(c_TFWD))=0,(0)+QUOTIENT(((c_TMAP1OUT)-(0)),2),QUOTIENT((((A72)-(c_TFWD))*((c_TMAP1OUT)-(0))+IF(((c_TMAP1OUT)-(0))&gt;=0,1,-1)*QUOTIENT(((c_TMAP1IN)-(c_TFWD)),2)),((c_TMAP1IN)-(c_TFWD)))+(0)+IF(((c_TMAP1OUT)-(0))&gt;=0,IF(IF(o_WRAP=1,MOD(((c_TMAP1IN)-(c_TFWD))*(((A72)-(c_TFWD))*((c_TMAP1OUT)-(0))+IF(((c_TMAP1OUT)-(0))&gt;=0,1,-1)*QUOTIENT(((c_TMAP1IN)-(c_TFWD)),2))+2147483648,4294967296)-2147483648,((c_TMAP1IN)-(c_TFWD))*(((A72)-(c_TFWD))*((c_TMAP1OUT)-(0))+IF(((c_TMAP1OUT)-(0))&gt;=0,1,-1)*QUOTIENT(((c_TMAP1IN)-(c_TFWD)),2)))&lt;0,-1,0),IF(IF(o_WRAP=1,MOD(((c_TMAP1IN)-(c_TFWD))*(((A72)-(c_TFWD))*((c_TMAP1OUT)-(0))+IF(((c_TMAP1OUT)-(0))&gt;=0,1,-1)*QUOTIENT(((c_TMAP1IN)-(c_TFWD)),2))+2147483648,4294967296)-2147483648,((c_TMAP1IN)-(c_TFWD))*(((A72)-(c_TFWD))*((c_TMAP1OUT)-(0))+IF(((c_TMAP1OUT)-(0))&gt;=0,1,-1)*QUOTIENT(((c_TMAP1IN)-(c_TFWD)),2)))&gt;=0,1,0)))</f>
        <v>44</v>
      </c>
      <c r="E72" s="7" t="n">
        <f aca="false">IF(((c_TMAP2IN)-(c_TMAP1IN))=0,(c_TMAP1OUT)+QUOTIENT(((c_TMAP2OUT)-(c_TMAP1OUT)),2),QUOTIENT((((A72)-(c_TMAP1IN))*((c_TMAP2OUT)-(c_TMAP1OUT))+IF(((c_TMAP2OUT)-(c_TMAP1OUT))&gt;=0,1,-1)*QUOTIENT(((c_TMAP2IN)-(c_TMAP1IN)),2)),((c_TMAP2IN)-(c_TMAP1IN)))+(c_TMAP1OUT)+IF(((c_TMAP2OUT)-(c_TMAP1OUT))&gt;=0,IF(IF(o_WRAP=1,MOD(((c_TMAP2IN)-(c_TMAP1IN))*(((A72)-(c_TMAP1IN))*((c_TMAP2OUT)-(c_TMAP1OUT))+IF(((c_TMAP2OUT)-(c_TMAP1OUT))&gt;=0,1,-1)*QUOTIENT(((c_TMAP2IN)-(c_TMAP1IN)),2))+2147483648,4294967296)-2147483648,((c_TMAP2IN)-(c_TMAP1IN))*(((A72)-(c_TMAP1IN))*((c_TMAP2OUT)-(c_TMAP1OUT))+IF(((c_TMAP2OUT)-(c_TMAP1OUT))&gt;=0,1,-1)*QUOTIENT(((c_TMAP2IN)-(c_TMAP1IN)),2)))&lt;0,-1,0),IF(IF(o_WRAP=1,MOD(((c_TMAP2IN)-(c_TMAP1IN))*(((A72)-(c_TMAP1IN))*((c_TMAP2OUT)-(c_TMAP1OUT))+IF(((c_TMAP2OUT)-(c_TMAP1OUT))&gt;=0,1,-1)*QUOTIENT(((c_TMAP2IN)-(c_TMAP1IN)),2))+2147483648,4294967296)-2147483648,((c_TMAP2IN)-(c_TMAP1IN))*(((A72)-(c_TMAP1IN))*((c_TMAP2OUT)-(c_TMAP1OUT))+IF(((c_TMAP2OUT)-(c_TMAP1OUT))&gt;=0,1,-1)*QUOTIENT(((c_TMAP2IN)-(c_TMAP1IN)),2)))&gt;=0,1,0)))</f>
        <v>57</v>
      </c>
      <c r="F72" s="7" t="n">
        <f aca="false">IF(((c_TMAP3IN)-(c_TMAP2IN))=0,(c_TMAP2OUT)+QUOTIENT(((c_TMAP3OUT)-(c_TMAP2OUT)),2),QUOTIENT((((A72)-(c_TMAP2IN))*((c_TMAP3OUT)-(c_TMAP2OUT))+IF(((c_TMAP3OUT)-(c_TMAP2OUT))&gt;=0,1,-1)*QUOTIENT(((c_TMAP3IN)-(c_TMAP2IN)),2)),((c_TMAP3IN)-(c_TMAP2IN)))+(c_TMAP2OUT)+IF(((c_TMAP3OUT)-(c_TMAP2OUT))&gt;=0,IF(IF(o_WRAP=1,MOD(((c_TMAP3IN)-(c_TMAP2IN))*(((A72)-(c_TMAP2IN))*((c_TMAP3OUT)-(c_TMAP2OUT))+IF(((c_TMAP3OUT)-(c_TMAP2OUT))&gt;=0,1,-1)*QUOTIENT(((c_TMAP3IN)-(c_TMAP2IN)),2))+2147483648,4294967296)-2147483648,((c_TMAP3IN)-(c_TMAP2IN))*(((A72)-(c_TMAP2IN))*((c_TMAP3OUT)-(c_TMAP2OUT))+IF(((c_TMAP3OUT)-(c_TMAP2OUT))&gt;=0,1,-1)*QUOTIENT(((c_TMAP3IN)-(c_TMAP2IN)),2)))&lt;0,-1,0),IF(IF(o_WRAP=1,MOD(((c_TMAP3IN)-(c_TMAP2IN))*(((A72)-(c_TMAP2IN))*((c_TMAP3OUT)-(c_TMAP2OUT))+IF(((c_TMAP3OUT)-(c_TMAP2OUT))&gt;=0,1,-1)*QUOTIENT(((c_TMAP3IN)-(c_TMAP2IN)),2))+2147483648,4294967296)-2147483648,((c_TMAP3IN)-(c_TMAP2IN))*(((A72)-(c_TMAP2IN))*((c_TMAP3OUT)-(c_TMAP2OUT))+IF(((c_TMAP3OUT)-(c_TMAP2OUT))&gt;=0,1,-1)*QUOTIENT(((c_TMAP3IN)-(c_TMAP2IN)),2)))&gt;=0,1,0)))</f>
        <v>2</v>
      </c>
      <c r="G72" s="7" t="n">
        <f aca="false">IF(((1000)-(c_TMAP3IN))=0,(c_TMAP3OUT)+QUOTIENT(((1000)-(c_TMAP3OUT)),2),QUOTIENT((((A72)-(c_TMAP3IN))*((1000)-(c_TMAP3OUT))+IF(((1000)-(c_TMAP3OUT))&gt;=0,1,-1)*QUOTIENT(((1000)-(c_TMAP3IN)),2)),((1000)-(c_TMAP3IN)))+(c_TMAP3OUT)+IF(((1000)-(c_TMAP3OUT))&gt;=0,IF(IF(o_WRAP=1,MOD(((1000)-(c_TMAP3IN))*(((A72)-(c_TMAP3IN))*((1000)-(c_TMAP3OUT))+IF(((1000)-(c_TMAP3OUT))&gt;=0,1,-1)*QUOTIENT(((1000)-(c_TMAP3IN)),2))+2147483648,4294967296)-2147483648,((1000)-(c_TMAP3IN))*(((A72)-(c_TMAP3IN))*((1000)-(c_TMAP3OUT))+IF(((1000)-(c_TMAP3OUT))&gt;=0,1,-1)*QUOTIENT(((1000)-(c_TMAP3IN)),2)))&lt;0,-1,0),IF(IF(o_WRAP=1,MOD(((1000)-(c_TMAP3IN))*(((A72)-(c_TMAP3IN))*((1000)-(c_TMAP3OUT))+IF(((1000)-(c_TMAP3OUT))&gt;=0,1,-1)*QUOTIENT(((1000)-(c_TMAP3IN)),2))+2147483648,4294967296)-2147483648,((1000)-(c_TMAP3IN))*(((A72)-(c_TMAP3IN))*((1000)-(c_TMAP3OUT))+IF(((1000)-(c_TMAP3OUT))&gt;=0,1,-1)*QUOTIENT(((1000)-(c_TMAP3IN)),2)))&gt;=0,1,0)))</f>
        <v>-148</v>
      </c>
      <c r="H72" s="7" t="str">
        <f aca="false">IF(A72&gt;=c_TFWD,IF(AND(A72&gt;=c_TMAP3IN,c_TMAP3IN&lt;1000),"Seg4 map3-100%",IF(AND(A72&gt;=c_TMAP2IN,c_TMAP3IN&gt;c_TMAP2IN),"Seg3 map2-map3",IF(AND(A72&gt;=c_TMAP1IN,c_TMAP2IN&gt;c_TMAP1IN),"Seg2 map1-map2","Seg1 TFWD-map1"))),IF(AND(A72=0,c_TCREEP&gt;0),"Creep",IF(AND(A72&lt;=c_TRNGMIN,A72&gt;=c_TRNGMAX,c_TRNGMIN-c_TRNGMAX&lt;&gt;0),"Regen ramp","Coast (0)")))</f>
        <v>Seg1 TFWD-map1</v>
      </c>
      <c r="I72" s="7" t="n">
        <f aca="false">IF(A72&gt;=c_TFWD,IF(AND(A72&gt;=c_TMAP3IN,c_TMAP3IN&lt;1000),G72,IF(AND(A72&gt;=c_TMAP2IN,c_TMAP3IN&gt;c_TMAP2IN),F72,IF(AND(A72&gt;=c_TMAP1IN,c_TMAP2IN&gt;c_TMAP1IN),E72,D72))),C72)</f>
        <v>44</v>
      </c>
      <c r="J72" s="7" t="str">
        <f aca="false">IF(I72&lt;-1090,"TOO LOW",IF(I72&gt;1090,"TOO HIGH",""))</f>
        <v/>
      </c>
      <c r="K72" s="15" t="n">
        <f aca="false">IF(J72&lt;&gt;"",0,IF(I72&gt;979,1000,I72))</f>
        <v>44</v>
      </c>
      <c r="L72" s="7" t="n">
        <f aca="false">K72/10</f>
        <v>4.4</v>
      </c>
    </row>
    <row r="73" customFormat="false" ht="15" hidden="false" customHeight="false" outlineLevel="0" collapsed="false">
      <c r="A73" s="7" t="n">
        <v>68</v>
      </c>
      <c r="B73" s="7" t="n">
        <f aca="false">A73/10</f>
        <v>6.8</v>
      </c>
      <c r="C73" s="7" t="n">
        <f aca="false">IF(AND(A73=0,c_TCREEP&gt;0),10*c_TCREEP,IF(AND(A73&lt;=c_TRNGMIN,A73&gt;=c_TRNGMAX,c_TRNGMIN-c_TRNGMAX&lt;&gt;0),-10*c_TMINRN+QUOTIENT((c_TMAXRN-c_TMINRN)*(100-QUOTIENT((A73-c_TRNGMAX)*100,c_TRNGMIN-c_TRNGMAX)),-10),0))</f>
        <v>0</v>
      </c>
      <c r="D73" s="7" t="n">
        <f aca="false">IF(((c_TMAP1IN)-(c_TFWD))=0,(0)+QUOTIENT(((c_TMAP1OUT)-(0)),2),QUOTIENT((((A73)-(c_TFWD))*((c_TMAP1OUT)-(0))+IF(((c_TMAP1OUT)-(0))&gt;=0,1,-1)*QUOTIENT(((c_TMAP1IN)-(c_TFWD)),2)),((c_TMAP1IN)-(c_TFWD)))+(0)+IF(((c_TMAP1OUT)-(0))&gt;=0,IF(IF(o_WRAP=1,MOD(((c_TMAP1IN)-(c_TFWD))*(((A73)-(c_TFWD))*((c_TMAP1OUT)-(0))+IF(((c_TMAP1OUT)-(0))&gt;=0,1,-1)*QUOTIENT(((c_TMAP1IN)-(c_TFWD)),2))+2147483648,4294967296)-2147483648,((c_TMAP1IN)-(c_TFWD))*(((A73)-(c_TFWD))*((c_TMAP1OUT)-(0))+IF(((c_TMAP1OUT)-(0))&gt;=0,1,-1)*QUOTIENT(((c_TMAP1IN)-(c_TFWD)),2)))&lt;0,-1,0),IF(IF(o_WRAP=1,MOD(((c_TMAP1IN)-(c_TFWD))*(((A73)-(c_TFWD))*((c_TMAP1OUT)-(0))+IF(((c_TMAP1OUT)-(0))&gt;=0,1,-1)*QUOTIENT(((c_TMAP1IN)-(c_TFWD)),2))+2147483648,4294967296)-2147483648,((c_TMAP1IN)-(c_TFWD))*(((A73)-(c_TFWD))*((c_TMAP1OUT)-(0))+IF(((c_TMAP1OUT)-(0))&gt;=0,1,-1)*QUOTIENT(((c_TMAP1IN)-(c_TFWD)),2)))&gt;=0,1,0)))</f>
        <v>45</v>
      </c>
      <c r="E73" s="7" t="n">
        <f aca="false">IF(((c_TMAP2IN)-(c_TMAP1IN))=0,(c_TMAP1OUT)+QUOTIENT(((c_TMAP2OUT)-(c_TMAP1OUT)),2),QUOTIENT((((A73)-(c_TMAP1IN))*((c_TMAP2OUT)-(c_TMAP1OUT))+IF(((c_TMAP2OUT)-(c_TMAP1OUT))&gt;=0,1,-1)*QUOTIENT(((c_TMAP2IN)-(c_TMAP1IN)),2)),((c_TMAP2IN)-(c_TMAP1IN)))+(c_TMAP1OUT)+IF(((c_TMAP2OUT)-(c_TMAP1OUT))&gt;=0,IF(IF(o_WRAP=1,MOD(((c_TMAP2IN)-(c_TMAP1IN))*(((A73)-(c_TMAP1IN))*((c_TMAP2OUT)-(c_TMAP1OUT))+IF(((c_TMAP2OUT)-(c_TMAP1OUT))&gt;=0,1,-1)*QUOTIENT(((c_TMAP2IN)-(c_TMAP1IN)),2))+2147483648,4294967296)-2147483648,((c_TMAP2IN)-(c_TMAP1IN))*(((A73)-(c_TMAP1IN))*((c_TMAP2OUT)-(c_TMAP1OUT))+IF(((c_TMAP2OUT)-(c_TMAP1OUT))&gt;=0,1,-1)*QUOTIENT(((c_TMAP2IN)-(c_TMAP1IN)),2)))&lt;0,-1,0),IF(IF(o_WRAP=1,MOD(((c_TMAP2IN)-(c_TMAP1IN))*(((A73)-(c_TMAP1IN))*((c_TMAP2OUT)-(c_TMAP1OUT))+IF(((c_TMAP2OUT)-(c_TMAP1OUT))&gt;=0,1,-1)*QUOTIENT(((c_TMAP2IN)-(c_TMAP1IN)),2))+2147483648,4294967296)-2147483648,((c_TMAP2IN)-(c_TMAP1IN))*(((A73)-(c_TMAP1IN))*((c_TMAP2OUT)-(c_TMAP1OUT))+IF(((c_TMAP2OUT)-(c_TMAP1OUT))&gt;=0,1,-1)*QUOTIENT(((c_TMAP2IN)-(c_TMAP1IN)),2)))&gt;=0,1,0)))</f>
        <v>57</v>
      </c>
      <c r="F73" s="7" t="n">
        <f aca="false">IF(((c_TMAP3IN)-(c_TMAP2IN))=0,(c_TMAP2OUT)+QUOTIENT(((c_TMAP3OUT)-(c_TMAP2OUT)),2),QUOTIENT((((A73)-(c_TMAP2IN))*((c_TMAP3OUT)-(c_TMAP2OUT))+IF(((c_TMAP3OUT)-(c_TMAP2OUT))&gt;=0,1,-1)*QUOTIENT(((c_TMAP3IN)-(c_TMAP2IN)),2)),((c_TMAP3IN)-(c_TMAP2IN)))+(c_TMAP2OUT)+IF(((c_TMAP3OUT)-(c_TMAP2OUT))&gt;=0,IF(IF(o_WRAP=1,MOD(((c_TMAP3IN)-(c_TMAP2IN))*(((A73)-(c_TMAP2IN))*((c_TMAP3OUT)-(c_TMAP2OUT))+IF(((c_TMAP3OUT)-(c_TMAP2OUT))&gt;=0,1,-1)*QUOTIENT(((c_TMAP3IN)-(c_TMAP2IN)),2))+2147483648,4294967296)-2147483648,((c_TMAP3IN)-(c_TMAP2IN))*(((A73)-(c_TMAP2IN))*((c_TMAP3OUT)-(c_TMAP2OUT))+IF(((c_TMAP3OUT)-(c_TMAP2OUT))&gt;=0,1,-1)*QUOTIENT(((c_TMAP3IN)-(c_TMAP2IN)),2)))&lt;0,-1,0),IF(IF(o_WRAP=1,MOD(((c_TMAP3IN)-(c_TMAP2IN))*(((A73)-(c_TMAP2IN))*((c_TMAP3OUT)-(c_TMAP2OUT))+IF(((c_TMAP3OUT)-(c_TMAP2OUT))&gt;=0,1,-1)*QUOTIENT(((c_TMAP3IN)-(c_TMAP2IN)),2))+2147483648,4294967296)-2147483648,((c_TMAP3IN)-(c_TMAP2IN))*(((A73)-(c_TMAP2IN))*((c_TMAP3OUT)-(c_TMAP2OUT))+IF(((c_TMAP3OUT)-(c_TMAP2OUT))&gt;=0,1,-1)*QUOTIENT(((c_TMAP3IN)-(c_TMAP2IN)),2)))&gt;=0,1,0)))</f>
        <v>3</v>
      </c>
      <c r="G73" s="7" t="n">
        <f aca="false">IF(((1000)-(c_TMAP3IN))=0,(c_TMAP3OUT)+QUOTIENT(((1000)-(c_TMAP3OUT)),2),QUOTIENT((((A73)-(c_TMAP3IN))*((1000)-(c_TMAP3OUT))+IF(((1000)-(c_TMAP3OUT))&gt;=0,1,-1)*QUOTIENT(((1000)-(c_TMAP3IN)),2)),((1000)-(c_TMAP3IN)))+(c_TMAP3OUT)+IF(((1000)-(c_TMAP3OUT))&gt;=0,IF(IF(o_WRAP=1,MOD(((1000)-(c_TMAP3IN))*(((A73)-(c_TMAP3IN))*((1000)-(c_TMAP3OUT))+IF(((1000)-(c_TMAP3OUT))&gt;=0,1,-1)*QUOTIENT(((1000)-(c_TMAP3IN)),2))+2147483648,4294967296)-2147483648,((1000)-(c_TMAP3IN))*(((A73)-(c_TMAP3IN))*((1000)-(c_TMAP3OUT))+IF(((1000)-(c_TMAP3OUT))&gt;=0,1,-1)*QUOTIENT(((1000)-(c_TMAP3IN)),2)))&lt;0,-1,0),IF(IF(o_WRAP=1,MOD(((1000)-(c_TMAP3IN))*(((A73)-(c_TMAP3IN))*((1000)-(c_TMAP3OUT))+IF(((1000)-(c_TMAP3OUT))&gt;=0,1,-1)*QUOTIENT(((1000)-(c_TMAP3IN)),2))+2147483648,4294967296)-2147483648,((1000)-(c_TMAP3IN))*(((A73)-(c_TMAP3IN))*((1000)-(c_TMAP3OUT))+IF(((1000)-(c_TMAP3OUT))&gt;=0,1,-1)*QUOTIENT(((1000)-(c_TMAP3IN)),2)))&gt;=0,1,0)))</f>
        <v>-147</v>
      </c>
      <c r="H73" s="7" t="str">
        <f aca="false">IF(A73&gt;=c_TFWD,IF(AND(A73&gt;=c_TMAP3IN,c_TMAP3IN&lt;1000),"Seg4 map3-100%",IF(AND(A73&gt;=c_TMAP2IN,c_TMAP3IN&gt;c_TMAP2IN),"Seg3 map2-map3",IF(AND(A73&gt;=c_TMAP1IN,c_TMAP2IN&gt;c_TMAP1IN),"Seg2 map1-map2","Seg1 TFWD-map1"))),IF(AND(A73=0,c_TCREEP&gt;0),"Creep",IF(AND(A73&lt;=c_TRNGMIN,A73&gt;=c_TRNGMAX,c_TRNGMIN-c_TRNGMAX&lt;&gt;0),"Regen ramp","Coast (0)")))</f>
        <v>Seg1 TFWD-map1</v>
      </c>
      <c r="I73" s="7" t="n">
        <f aca="false">IF(A73&gt;=c_TFWD,IF(AND(A73&gt;=c_TMAP3IN,c_TMAP3IN&lt;1000),G73,IF(AND(A73&gt;=c_TMAP2IN,c_TMAP3IN&gt;c_TMAP2IN),F73,IF(AND(A73&gt;=c_TMAP1IN,c_TMAP2IN&gt;c_TMAP1IN),E73,D73))),C73)</f>
        <v>45</v>
      </c>
      <c r="J73" s="7" t="str">
        <f aca="false">IF(I73&lt;-1090,"TOO LOW",IF(I73&gt;1090,"TOO HIGH",""))</f>
        <v/>
      </c>
      <c r="K73" s="15" t="n">
        <f aca="false">IF(J73&lt;&gt;"",0,IF(I73&gt;979,1000,I73))</f>
        <v>45</v>
      </c>
      <c r="L73" s="7" t="n">
        <f aca="false">K73/10</f>
        <v>4.5</v>
      </c>
    </row>
    <row r="74" customFormat="false" ht="15" hidden="false" customHeight="false" outlineLevel="0" collapsed="false">
      <c r="A74" s="7" t="n">
        <v>69</v>
      </c>
      <c r="B74" s="7" t="n">
        <f aca="false">A74/10</f>
        <v>6.9</v>
      </c>
      <c r="C74" s="7" t="n">
        <f aca="false">IF(AND(A74=0,c_TCREEP&gt;0),10*c_TCREEP,IF(AND(A74&lt;=c_TRNGMIN,A74&gt;=c_TRNGMAX,c_TRNGMIN-c_TRNGMAX&lt;&gt;0),-10*c_TMINRN+QUOTIENT((c_TMAXRN-c_TMINRN)*(100-QUOTIENT((A74-c_TRNGMAX)*100,c_TRNGMIN-c_TRNGMAX)),-10),0))</f>
        <v>0</v>
      </c>
      <c r="D74" s="7" t="n">
        <f aca="false">IF(((c_TMAP1IN)-(c_TFWD))=0,(0)+QUOTIENT(((c_TMAP1OUT)-(0)),2),QUOTIENT((((A74)-(c_TFWD))*((c_TMAP1OUT)-(0))+IF(((c_TMAP1OUT)-(0))&gt;=0,1,-1)*QUOTIENT(((c_TMAP1IN)-(c_TFWD)),2)),((c_TMAP1IN)-(c_TFWD)))+(0)+IF(((c_TMAP1OUT)-(0))&gt;=0,IF(IF(o_WRAP=1,MOD(((c_TMAP1IN)-(c_TFWD))*(((A74)-(c_TFWD))*((c_TMAP1OUT)-(0))+IF(((c_TMAP1OUT)-(0))&gt;=0,1,-1)*QUOTIENT(((c_TMAP1IN)-(c_TFWD)),2))+2147483648,4294967296)-2147483648,((c_TMAP1IN)-(c_TFWD))*(((A74)-(c_TFWD))*((c_TMAP1OUT)-(0))+IF(((c_TMAP1OUT)-(0))&gt;=0,1,-1)*QUOTIENT(((c_TMAP1IN)-(c_TFWD)),2)))&lt;0,-1,0),IF(IF(o_WRAP=1,MOD(((c_TMAP1IN)-(c_TFWD))*(((A74)-(c_TFWD))*((c_TMAP1OUT)-(0))+IF(((c_TMAP1OUT)-(0))&gt;=0,1,-1)*QUOTIENT(((c_TMAP1IN)-(c_TFWD)),2))+2147483648,4294967296)-2147483648,((c_TMAP1IN)-(c_TFWD))*(((A74)-(c_TFWD))*((c_TMAP1OUT)-(0))+IF(((c_TMAP1OUT)-(0))&gt;=0,1,-1)*QUOTIENT(((c_TMAP1IN)-(c_TFWD)),2)))&gt;=0,1,0)))</f>
        <v>46</v>
      </c>
      <c r="E74" s="7" t="n">
        <f aca="false">IF(((c_TMAP2IN)-(c_TMAP1IN))=0,(c_TMAP1OUT)+QUOTIENT(((c_TMAP2OUT)-(c_TMAP1OUT)),2),QUOTIENT((((A74)-(c_TMAP1IN))*((c_TMAP2OUT)-(c_TMAP1OUT))+IF(((c_TMAP2OUT)-(c_TMAP1OUT))&gt;=0,1,-1)*QUOTIENT(((c_TMAP2IN)-(c_TMAP1IN)),2)),((c_TMAP2IN)-(c_TMAP1IN)))+(c_TMAP1OUT)+IF(((c_TMAP2OUT)-(c_TMAP1OUT))&gt;=0,IF(IF(o_WRAP=1,MOD(((c_TMAP2IN)-(c_TMAP1IN))*(((A74)-(c_TMAP1IN))*((c_TMAP2OUT)-(c_TMAP1OUT))+IF(((c_TMAP2OUT)-(c_TMAP1OUT))&gt;=0,1,-1)*QUOTIENT(((c_TMAP2IN)-(c_TMAP1IN)),2))+2147483648,4294967296)-2147483648,((c_TMAP2IN)-(c_TMAP1IN))*(((A74)-(c_TMAP1IN))*((c_TMAP2OUT)-(c_TMAP1OUT))+IF(((c_TMAP2OUT)-(c_TMAP1OUT))&gt;=0,1,-1)*QUOTIENT(((c_TMAP2IN)-(c_TMAP1IN)),2)))&lt;0,-1,0),IF(IF(o_WRAP=1,MOD(((c_TMAP2IN)-(c_TMAP1IN))*(((A74)-(c_TMAP1IN))*((c_TMAP2OUT)-(c_TMAP1OUT))+IF(((c_TMAP2OUT)-(c_TMAP1OUT))&gt;=0,1,-1)*QUOTIENT(((c_TMAP2IN)-(c_TMAP1IN)),2))+2147483648,4294967296)-2147483648,((c_TMAP2IN)-(c_TMAP1IN))*(((A74)-(c_TMAP1IN))*((c_TMAP2OUT)-(c_TMAP1OUT))+IF(((c_TMAP2OUT)-(c_TMAP1OUT))&gt;=0,1,-1)*QUOTIENT(((c_TMAP2IN)-(c_TMAP1IN)),2)))&gt;=0,1,0)))</f>
        <v>58</v>
      </c>
      <c r="F74" s="7" t="n">
        <f aca="false">IF(((c_TMAP3IN)-(c_TMAP2IN))=0,(c_TMAP2OUT)+QUOTIENT(((c_TMAP3OUT)-(c_TMAP2OUT)),2),QUOTIENT((((A74)-(c_TMAP2IN))*((c_TMAP3OUT)-(c_TMAP2OUT))+IF(((c_TMAP3OUT)-(c_TMAP2OUT))&gt;=0,1,-1)*QUOTIENT(((c_TMAP3IN)-(c_TMAP2IN)),2)),((c_TMAP3IN)-(c_TMAP2IN)))+(c_TMAP2OUT)+IF(((c_TMAP3OUT)-(c_TMAP2OUT))&gt;=0,IF(IF(o_WRAP=1,MOD(((c_TMAP3IN)-(c_TMAP2IN))*(((A74)-(c_TMAP2IN))*((c_TMAP3OUT)-(c_TMAP2OUT))+IF(((c_TMAP3OUT)-(c_TMAP2OUT))&gt;=0,1,-1)*QUOTIENT(((c_TMAP3IN)-(c_TMAP2IN)),2))+2147483648,4294967296)-2147483648,((c_TMAP3IN)-(c_TMAP2IN))*(((A74)-(c_TMAP2IN))*((c_TMAP3OUT)-(c_TMAP2OUT))+IF(((c_TMAP3OUT)-(c_TMAP2OUT))&gt;=0,1,-1)*QUOTIENT(((c_TMAP3IN)-(c_TMAP2IN)),2)))&lt;0,-1,0),IF(IF(o_WRAP=1,MOD(((c_TMAP3IN)-(c_TMAP2IN))*(((A74)-(c_TMAP2IN))*((c_TMAP3OUT)-(c_TMAP2OUT))+IF(((c_TMAP3OUT)-(c_TMAP2OUT))&gt;=0,1,-1)*QUOTIENT(((c_TMAP3IN)-(c_TMAP2IN)),2))+2147483648,4294967296)-2147483648,((c_TMAP3IN)-(c_TMAP2IN))*(((A74)-(c_TMAP2IN))*((c_TMAP3OUT)-(c_TMAP2OUT))+IF(((c_TMAP3OUT)-(c_TMAP2OUT))&gt;=0,1,-1)*QUOTIENT(((c_TMAP3IN)-(c_TMAP2IN)),2)))&gt;=0,1,0)))</f>
        <v>3</v>
      </c>
      <c r="G74" s="7" t="n">
        <f aca="false">IF(((1000)-(c_TMAP3IN))=0,(c_TMAP3OUT)+QUOTIENT(((1000)-(c_TMAP3OUT)),2),QUOTIENT((((A74)-(c_TMAP3IN))*((1000)-(c_TMAP3OUT))+IF(((1000)-(c_TMAP3OUT))&gt;=0,1,-1)*QUOTIENT(((1000)-(c_TMAP3IN)),2)),((1000)-(c_TMAP3IN)))+(c_TMAP3OUT)+IF(((1000)-(c_TMAP3OUT))&gt;=0,IF(IF(o_WRAP=1,MOD(((1000)-(c_TMAP3IN))*(((A74)-(c_TMAP3IN))*((1000)-(c_TMAP3OUT))+IF(((1000)-(c_TMAP3OUT))&gt;=0,1,-1)*QUOTIENT(((1000)-(c_TMAP3IN)),2))+2147483648,4294967296)-2147483648,((1000)-(c_TMAP3IN))*(((A74)-(c_TMAP3IN))*((1000)-(c_TMAP3OUT))+IF(((1000)-(c_TMAP3OUT))&gt;=0,1,-1)*QUOTIENT(((1000)-(c_TMAP3IN)),2)))&lt;0,-1,0),IF(IF(o_WRAP=1,MOD(((1000)-(c_TMAP3IN))*(((A74)-(c_TMAP3IN))*((1000)-(c_TMAP3OUT))+IF(((1000)-(c_TMAP3OUT))&gt;=0,1,-1)*QUOTIENT(((1000)-(c_TMAP3IN)),2))+2147483648,4294967296)-2147483648,((1000)-(c_TMAP3IN))*(((A74)-(c_TMAP3IN))*((1000)-(c_TMAP3OUT))+IF(((1000)-(c_TMAP3OUT))&gt;=0,1,-1)*QUOTIENT(((1000)-(c_TMAP3IN)),2)))&gt;=0,1,0)))</f>
        <v>-146</v>
      </c>
      <c r="H74" s="7" t="str">
        <f aca="false">IF(A74&gt;=c_TFWD,IF(AND(A74&gt;=c_TMAP3IN,c_TMAP3IN&lt;1000),"Seg4 map3-100%",IF(AND(A74&gt;=c_TMAP2IN,c_TMAP3IN&gt;c_TMAP2IN),"Seg3 map2-map3",IF(AND(A74&gt;=c_TMAP1IN,c_TMAP2IN&gt;c_TMAP1IN),"Seg2 map1-map2","Seg1 TFWD-map1"))),IF(AND(A74=0,c_TCREEP&gt;0),"Creep",IF(AND(A74&lt;=c_TRNGMIN,A74&gt;=c_TRNGMAX,c_TRNGMIN-c_TRNGMAX&lt;&gt;0),"Regen ramp","Coast (0)")))</f>
        <v>Seg1 TFWD-map1</v>
      </c>
      <c r="I74" s="7" t="n">
        <f aca="false">IF(A74&gt;=c_TFWD,IF(AND(A74&gt;=c_TMAP3IN,c_TMAP3IN&lt;1000),G74,IF(AND(A74&gt;=c_TMAP2IN,c_TMAP3IN&gt;c_TMAP2IN),F74,IF(AND(A74&gt;=c_TMAP1IN,c_TMAP2IN&gt;c_TMAP1IN),E74,D74))),C74)</f>
        <v>46</v>
      </c>
      <c r="J74" s="7" t="str">
        <f aca="false">IF(I74&lt;-1090,"TOO LOW",IF(I74&gt;1090,"TOO HIGH",""))</f>
        <v/>
      </c>
      <c r="K74" s="15" t="n">
        <f aca="false">IF(J74&lt;&gt;"",0,IF(I74&gt;979,1000,I74))</f>
        <v>46</v>
      </c>
      <c r="L74" s="7" t="n">
        <f aca="false">K74/10</f>
        <v>4.6</v>
      </c>
    </row>
    <row r="75" customFormat="false" ht="15" hidden="false" customHeight="false" outlineLevel="0" collapsed="false">
      <c r="A75" s="7" t="n">
        <v>70</v>
      </c>
      <c r="B75" s="7" t="n">
        <f aca="false">A75/10</f>
        <v>7</v>
      </c>
      <c r="C75" s="7" t="n">
        <f aca="false">IF(AND(A75=0,c_TCREEP&gt;0),10*c_TCREEP,IF(AND(A75&lt;=c_TRNGMIN,A75&gt;=c_TRNGMAX,c_TRNGMIN-c_TRNGMAX&lt;&gt;0),-10*c_TMINRN+QUOTIENT((c_TMAXRN-c_TMINRN)*(100-QUOTIENT((A75-c_TRNGMAX)*100,c_TRNGMIN-c_TRNGMAX)),-10),0))</f>
        <v>0</v>
      </c>
      <c r="D75" s="7" t="n">
        <f aca="false">IF(((c_TMAP1IN)-(c_TFWD))=0,(0)+QUOTIENT(((c_TMAP1OUT)-(0)),2),QUOTIENT((((A75)-(c_TFWD))*((c_TMAP1OUT)-(0))+IF(((c_TMAP1OUT)-(0))&gt;=0,1,-1)*QUOTIENT(((c_TMAP1IN)-(c_TFWD)),2)),((c_TMAP1IN)-(c_TFWD)))+(0)+IF(((c_TMAP1OUT)-(0))&gt;=0,IF(IF(o_WRAP=1,MOD(((c_TMAP1IN)-(c_TFWD))*(((A75)-(c_TFWD))*((c_TMAP1OUT)-(0))+IF(((c_TMAP1OUT)-(0))&gt;=0,1,-1)*QUOTIENT(((c_TMAP1IN)-(c_TFWD)),2))+2147483648,4294967296)-2147483648,((c_TMAP1IN)-(c_TFWD))*(((A75)-(c_TFWD))*((c_TMAP1OUT)-(0))+IF(((c_TMAP1OUT)-(0))&gt;=0,1,-1)*QUOTIENT(((c_TMAP1IN)-(c_TFWD)),2)))&lt;0,-1,0),IF(IF(o_WRAP=1,MOD(((c_TMAP1IN)-(c_TFWD))*(((A75)-(c_TFWD))*((c_TMAP1OUT)-(0))+IF(((c_TMAP1OUT)-(0))&gt;=0,1,-1)*QUOTIENT(((c_TMAP1IN)-(c_TFWD)),2))+2147483648,4294967296)-2147483648,((c_TMAP1IN)-(c_TFWD))*(((A75)-(c_TFWD))*((c_TMAP1OUT)-(0))+IF(((c_TMAP1OUT)-(0))&gt;=0,1,-1)*QUOTIENT(((c_TMAP1IN)-(c_TFWD)),2)))&gt;=0,1,0)))</f>
        <v>47</v>
      </c>
      <c r="E75" s="7" t="n">
        <f aca="false">IF(((c_TMAP2IN)-(c_TMAP1IN))=0,(c_TMAP1OUT)+QUOTIENT(((c_TMAP2OUT)-(c_TMAP1OUT)),2),QUOTIENT((((A75)-(c_TMAP1IN))*((c_TMAP2OUT)-(c_TMAP1OUT))+IF(((c_TMAP2OUT)-(c_TMAP1OUT))&gt;=0,1,-1)*QUOTIENT(((c_TMAP2IN)-(c_TMAP1IN)),2)),((c_TMAP2IN)-(c_TMAP1IN)))+(c_TMAP1OUT)+IF(((c_TMAP2OUT)-(c_TMAP1OUT))&gt;=0,IF(IF(o_WRAP=1,MOD(((c_TMAP2IN)-(c_TMAP1IN))*(((A75)-(c_TMAP1IN))*((c_TMAP2OUT)-(c_TMAP1OUT))+IF(((c_TMAP2OUT)-(c_TMAP1OUT))&gt;=0,1,-1)*QUOTIENT(((c_TMAP2IN)-(c_TMAP1IN)),2))+2147483648,4294967296)-2147483648,((c_TMAP2IN)-(c_TMAP1IN))*(((A75)-(c_TMAP1IN))*((c_TMAP2OUT)-(c_TMAP1OUT))+IF(((c_TMAP2OUT)-(c_TMAP1OUT))&gt;=0,1,-1)*QUOTIENT(((c_TMAP2IN)-(c_TMAP1IN)),2)))&lt;0,-1,0),IF(IF(o_WRAP=1,MOD(((c_TMAP2IN)-(c_TMAP1IN))*(((A75)-(c_TMAP1IN))*((c_TMAP2OUT)-(c_TMAP1OUT))+IF(((c_TMAP2OUT)-(c_TMAP1OUT))&gt;=0,1,-1)*QUOTIENT(((c_TMAP2IN)-(c_TMAP1IN)),2))+2147483648,4294967296)-2147483648,((c_TMAP2IN)-(c_TMAP1IN))*(((A75)-(c_TMAP1IN))*((c_TMAP2OUT)-(c_TMAP1OUT))+IF(((c_TMAP2OUT)-(c_TMAP1OUT))&gt;=0,1,-1)*QUOTIENT(((c_TMAP2IN)-(c_TMAP1IN)),2)))&gt;=0,1,0)))</f>
        <v>58</v>
      </c>
      <c r="F75" s="7" t="n">
        <f aca="false">IF(((c_TMAP3IN)-(c_TMAP2IN))=0,(c_TMAP2OUT)+QUOTIENT(((c_TMAP3OUT)-(c_TMAP2OUT)),2),QUOTIENT((((A75)-(c_TMAP2IN))*((c_TMAP3OUT)-(c_TMAP2OUT))+IF(((c_TMAP3OUT)-(c_TMAP2OUT))&gt;=0,1,-1)*QUOTIENT(((c_TMAP3IN)-(c_TMAP2IN)),2)),((c_TMAP3IN)-(c_TMAP2IN)))+(c_TMAP2OUT)+IF(((c_TMAP3OUT)-(c_TMAP2OUT))&gt;=0,IF(IF(o_WRAP=1,MOD(((c_TMAP3IN)-(c_TMAP2IN))*(((A75)-(c_TMAP2IN))*((c_TMAP3OUT)-(c_TMAP2OUT))+IF(((c_TMAP3OUT)-(c_TMAP2OUT))&gt;=0,1,-1)*QUOTIENT(((c_TMAP3IN)-(c_TMAP2IN)),2))+2147483648,4294967296)-2147483648,((c_TMAP3IN)-(c_TMAP2IN))*(((A75)-(c_TMAP2IN))*((c_TMAP3OUT)-(c_TMAP2OUT))+IF(((c_TMAP3OUT)-(c_TMAP2OUT))&gt;=0,1,-1)*QUOTIENT(((c_TMAP3IN)-(c_TMAP2IN)),2)))&lt;0,-1,0),IF(IF(o_WRAP=1,MOD(((c_TMAP3IN)-(c_TMAP2IN))*(((A75)-(c_TMAP2IN))*((c_TMAP3OUT)-(c_TMAP2OUT))+IF(((c_TMAP3OUT)-(c_TMAP2OUT))&gt;=0,1,-1)*QUOTIENT(((c_TMAP3IN)-(c_TMAP2IN)),2))+2147483648,4294967296)-2147483648,((c_TMAP3IN)-(c_TMAP2IN))*(((A75)-(c_TMAP2IN))*((c_TMAP3OUT)-(c_TMAP2OUT))+IF(((c_TMAP3OUT)-(c_TMAP2OUT))&gt;=0,1,-1)*QUOTIENT(((c_TMAP3IN)-(c_TMAP2IN)),2)))&gt;=0,1,0)))</f>
        <v>4</v>
      </c>
      <c r="G75" s="7" t="n">
        <f aca="false">IF(((1000)-(c_TMAP3IN))=0,(c_TMAP3OUT)+QUOTIENT(((1000)-(c_TMAP3OUT)),2),QUOTIENT((((A75)-(c_TMAP3IN))*((1000)-(c_TMAP3OUT))+IF(((1000)-(c_TMAP3OUT))&gt;=0,1,-1)*QUOTIENT(((1000)-(c_TMAP3IN)),2)),((1000)-(c_TMAP3IN)))+(c_TMAP3OUT)+IF(((1000)-(c_TMAP3OUT))&gt;=0,IF(IF(o_WRAP=1,MOD(((1000)-(c_TMAP3IN))*(((A75)-(c_TMAP3IN))*((1000)-(c_TMAP3OUT))+IF(((1000)-(c_TMAP3OUT))&gt;=0,1,-1)*QUOTIENT(((1000)-(c_TMAP3IN)),2))+2147483648,4294967296)-2147483648,((1000)-(c_TMAP3IN))*(((A75)-(c_TMAP3IN))*((1000)-(c_TMAP3OUT))+IF(((1000)-(c_TMAP3OUT))&gt;=0,1,-1)*QUOTIENT(((1000)-(c_TMAP3IN)),2)))&lt;0,-1,0),IF(IF(o_WRAP=1,MOD(((1000)-(c_TMAP3IN))*(((A75)-(c_TMAP3IN))*((1000)-(c_TMAP3OUT))+IF(((1000)-(c_TMAP3OUT))&gt;=0,1,-1)*QUOTIENT(((1000)-(c_TMAP3IN)),2))+2147483648,4294967296)-2147483648,((1000)-(c_TMAP3IN))*(((A75)-(c_TMAP3IN))*((1000)-(c_TMAP3OUT))+IF(((1000)-(c_TMAP3OUT))&gt;=0,1,-1)*QUOTIENT(((1000)-(c_TMAP3IN)),2)))&gt;=0,1,0)))</f>
        <v>-145</v>
      </c>
      <c r="H75" s="7" t="str">
        <f aca="false">IF(A75&gt;=c_TFWD,IF(AND(A75&gt;=c_TMAP3IN,c_TMAP3IN&lt;1000),"Seg4 map3-100%",IF(AND(A75&gt;=c_TMAP2IN,c_TMAP3IN&gt;c_TMAP2IN),"Seg3 map2-map3",IF(AND(A75&gt;=c_TMAP1IN,c_TMAP2IN&gt;c_TMAP1IN),"Seg2 map1-map2","Seg1 TFWD-map1"))),IF(AND(A75=0,c_TCREEP&gt;0),"Creep",IF(AND(A75&lt;=c_TRNGMIN,A75&gt;=c_TRNGMAX,c_TRNGMIN-c_TRNGMAX&lt;&gt;0),"Regen ramp","Coast (0)")))</f>
        <v>Seg1 TFWD-map1</v>
      </c>
      <c r="I75" s="7" t="n">
        <f aca="false">IF(A75&gt;=c_TFWD,IF(AND(A75&gt;=c_TMAP3IN,c_TMAP3IN&lt;1000),G75,IF(AND(A75&gt;=c_TMAP2IN,c_TMAP3IN&gt;c_TMAP2IN),F75,IF(AND(A75&gt;=c_TMAP1IN,c_TMAP2IN&gt;c_TMAP1IN),E75,D75))),C75)</f>
        <v>47</v>
      </c>
      <c r="J75" s="7" t="str">
        <f aca="false">IF(I75&lt;-1090,"TOO LOW",IF(I75&gt;1090,"TOO HIGH",""))</f>
        <v/>
      </c>
      <c r="K75" s="15" t="n">
        <f aca="false">IF(J75&lt;&gt;"",0,IF(I75&gt;979,1000,I75))</f>
        <v>47</v>
      </c>
      <c r="L75" s="7" t="n">
        <f aca="false">K75/10</f>
        <v>4.7</v>
      </c>
    </row>
    <row r="76" customFormat="false" ht="15" hidden="false" customHeight="false" outlineLevel="0" collapsed="false">
      <c r="A76" s="7" t="n">
        <v>71</v>
      </c>
      <c r="B76" s="7" t="n">
        <f aca="false">A76/10</f>
        <v>7.1</v>
      </c>
      <c r="C76" s="7" t="n">
        <f aca="false">IF(AND(A76=0,c_TCREEP&gt;0),10*c_TCREEP,IF(AND(A76&lt;=c_TRNGMIN,A76&gt;=c_TRNGMAX,c_TRNGMIN-c_TRNGMAX&lt;&gt;0),-10*c_TMINRN+QUOTIENT((c_TMAXRN-c_TMINRN)*(100-QUOTIENT((A76-c_TRNGMAX)*100,c_TRNGMIN-c_TRNGMAX)),-10),0))</f>
        <v>0</v>
      </c>
      <c r="D76" s="7" t="n">
        <f aca="false">IF(((c_TMAP1IN)-(c_TFWD))=0,(0)+QUOTIENT(((c_TMAP1OUT)-(0)),2),QUOTIENT((((A76)-(c_TFWD))*((c_TMAP1OUT)-(0))+IF(((c_TMAP1OUT)-(0))&gt;=0,1,-1)*QUOTIENT(((c_TMAP1IN)-(c_TFWD)),2)),((c_TMAP1IN)-(c_TFWD)))+(0)+IF(((c_TMAP1OUT)-(0))&gt;=0,IF(IF(o_WRAP=1,MOD(((c_TMAP1IN)-(c_TFWD))*(((A76)-(c_TFWD))*((c_TMAP1OUT)-(0))+IF(((c_TMAP1OUT)-(0))&gt;=0,1,-1)*QUOTIENT(((c_TMAP1IN)-(c_TFWD)),2))+2147483648,4294967296)-2147483648,((c_TMAP1IN)-(c_TFWD))*(((A76)-(c_TFWD))*((c_TMAP1OUT)-(0))+IF(((c_TMAP1OUT)-(0))&gt;=0,1,-1)*QUOTIENT(((c_TMAP1IN)-(c_TFWD)),2)))&lt;0,-1,0),IF(IF(o_WRAP=1,MOD(((c_TMAP1IN)-(c_TFWD))*(((A76)-(c_TFWD))*((c_TMAP1OUT)-(0))+IF(((c_TMAP1OUT)-(0))&gt;=0,1,-1)*QUOTIENT(((c_TMAP1IN)-(c_TFWD)),2))+2147483648,4294967296)-2147483648,((c_TMAP1IN)-(c_TFWD))*(((A76)-(c_TFWD))*((c_TMAP1OUT)-(0))+IF(((c_TMAP1OUT)-(0))&gt;=0,1,-1)*QUOTIENT(((c_TMAP1IN)-(c_TFWD)),2)))&gt;=0,1,0)))</f>
        <v>47</v>
      </c>
      <c r="E76" s="7" t="n">
        <f aca="false">IF(((c_TMAP2IN)-(c_TMAP1IN))=0,(c_TMAP1OUT)+QUOTIENT(((c_TMAP2OUT)-(c_TMAP1OUT)),2),QUOTIENT((((A76)-(c_TMAP1IN))*((c_TMAP2OUT)-(c_TMAP1OUT))+IF(((c_TMAP2OUT)-(c_TMAP1OUT))&gt;=0,1,-1)*QUOTIENT(((c_TMAP2IN)-(c_TMAP1IN)),2)),((c_TMAP2IN)-(c_TMAP1IN)))+(c_TMAP1OUT)+IF(((c_TMAP2OUT)-(c_TMAP1OUT))&gt;=0,IF(IF(o_WRAP=1,MOD(((c_TMAP2IN)-(c_TMAP1IN))*(((A76)-(c_TMAP1IN))*((c_TMAP2OUT)-(c_TMAP1OUT))+IF(((c_TMAP2OUT)-(c_TMAP1OUT))&gt;=0,1,-1)*QUOTIENT(((c_TMAP2IN)-(c_TMAP1IN)),2))+2147483648,4294967296)-2147483648,((c_TMAP2IN)-(c_TMAP1IN))*(((A76)-(c_TMAP1IN))*((c_TMAP2OUT)-(c_TMAP1OUT))+IF(((c_TMAP2OUT)-(c_TMAP1OUT))&gt;=0,1,-1)*QUOTIENT(((c_TMAP2IN)-(c_TMAP1IN)),2)))&lt;0,-1,0),IF(IF(o_WRAP=1,MOD(((c_TMAP2IN)-(c_TMAP1IN))*(((A76)-(c_TMAP1IN))*((c_TMAP2OUT)-(c_TMAP1OUT))+IF(((c_TMAP2OUT)-(c_TMAP1OUT))&gt;=0,1,-1)*QUOTIENT(((c_TMAP2IN)-(c_TMAP1IN)),2))+2147483648,4294967296)-2147483648,((c_TMAP2IN)-(c_TMAP1IN))*(((A76)-(c_TMAP1IN))*((c_TMAP2OUT)-(c_TMAP1OUT))+IF(((c_TMAP2OUT)-(c_TMAP1OUT))&gt;=0,1,-1)*QUOTIENT(((c_TMAP2IN)-(c_TMAP1IN)),2)))&gt;=0,1,0)))</f>
        <v>58</v>
      </c>
      <c r="F76" s="7" t="n">
        <f aca="false">IF(((c_TMAP3IN)-(c_TMAP2IN))=0,(c_TMAP2OUT)+QUOTIENT(((c_TMAP3OUT)-(c_TMAP2OUT)),2),QUOTIENT((((A76)-(c_TMAP2IN))*((c_TMAP3OUT)-(c_TMAP2OUT))+IF(((c_TMAP3OUT)-(c_TMAP2OUT))&gt;=0,1,-1)*QUOTIENT(((c_TMAP3IN)-(c_TMAP2IN)),2)),((c_TMAP3IN)-(c_TMAP2IN)))+(c_TMAP2OUT)+IF(((c_TMAP3OUT)-(c_TMAP2OUT))&gt;=0,IF(IF(o_WRAP=1,MOD(((c_TMAP3IN)-(c_TMAP2IN))*(((A76)-(c_TMAP2IN))*((c_TMAP3OUT)-(c_TMAP2OUT))+IF(((c_TMAP3OUT)-(c_TMAP2OUT))&gt;=0,1,-1)*QUOTIENT(((c_TMAP3IN)-(c_TMAP2IN)),2))+2147483648,4294967296)-2147483648,((c_TMAP3IN)-(c_TMAP2IN))*(((A76)-(c_TMAP2IN))*((c_TMAP3OUT)-(c_TMAP2OUT))+IF(((c_TMAP3OUT)-(c_TMAP2OUT))&gt;=0,1,-1)*QUOTIENT(((c_TMAP3IN)-(c_TMAP2IN)),2)))&lt;0,-1,0),IF(IF(o_WRAP=1,MOD(((c_TMAP3IN)-(c_TMAP2IN))*(((A76)-(c_TMAP2IN))*((c_TMAP3OUT)-(c_TMAP2OUT))+IF(((c_TMAP3OUT)-(c_TMAP2OUT))&gt;=0,1,-1)*QUOTIENT(((c_TMAP3IN)-(c_TMAP2IN)),2))+2147483648,4294967296)-2147483648,((c_TMAP3IN)-(c_TMAP2IN))*(((A76)-(c_TMAP2IN))*((c_TMAP3OUT)-(c_TMAP2OUT))+IF(((c_TMAP3OUT)-(c_TMAP2OUT))&gt;=0,1,-1)*QUOTIENT(((c_TMAP3IN)-(c_TMAP2IN)),2)))&gt;=0,1,0)))</f>
        <v>5</v>
      </c>
      <c r="G76" s="7" t="n">
        <f aca="false">IF(((1000)-(c_TMAP3IN))=0,(c_TMAP3OUT)+QUOTIENT(((1000)-(c_TMAP3OUT)),2),QUOTIENT((((A76)-(c_TMAP3IN))*((1000)-(c_TMAP3OUT))+IF(((1000)-(c_TMAP3OUT))&gt;=0,1,-1)*QUOTIENT(((1000)-(c_TMAP3IN)),2)),((1000)-(c_TMAP3IN)))+(c_TMAP3OUT)+IF(((1000)-(c_TMAP3OUT))&gt;=0,IF(IF(o_WRAP=1,MOD(((1000)-(c_TMAP3IN))*(((A76)-(c_TMAP3IN))*((1000)-(c_TMAP3OUT))+IF(((1000)-(c_TMAP3OUT))&gt;=0,1,-1)*QUOTIENT(((1000)-(c_TMAP3IN)),2))+2147483648,4294967296)-2147483648,((1000)-(c_TMAP3IN))*(((A76)-(c_TMAP3IN))*((1000)-(c_TMAP3OUT))+IF(((1000)-(c_TMAP3OUT))&gt;=0,1,-1)*QUOTIENT(((1000)-(c_TMAP3IN)),2)))&lt;0,-1,0),IF(IF(o_WRAP=1,MOD(((1000)-(c_TMAP3IN))*(((A76)-(c_TMAP3IN))*((1000)-(c_TMAP3OUT))+IF(((1000)-(c_TMAP3OUT))&gt;=0,1,-1)*QUOTIENT(((1000)-(c_TMAP3IN)),2))+2147483648,4294967296)-2147483648,((1000)-(c_TMAP3IN))*(((A76)-(c_TMAP3IN))*((1000)-(c_TMAP3OUT))+IF(((1000)-(c_TMAP3OUT))&gt;=0,1,-1)*QUOTIENT(((1000)-(c_TMAP3IN)),2)))&gt;=0,1,0)))</f>
        <v>-143</v>
      </c>
      <c r="H76" s="7" t="str">
        <f aca="false">IF(A76&gt;=c_TFWD,IF(AND(A76&gt;=c_TMAP3IN,c_TMAP3IN&lt;1000),"Seg4 map3-100%",IF(AND(A76&gt;=c_TMAP2IN,c_TMAP3IN&gt;c_TMAP2IN),"Seg3 map2-map3",IF(AND(A76&gt;=c_TMAP1IN,c_TMAP2IN&gt;c_TMAP1IN),"Seg2 map1-map2","Seg1 TFWD-map1"))),IF(AND(A76=0,c_TCREEP&gt;0),"Creep",IF(AND(A76&lt;=c_TRNGMIN,A76&gt;=c_TRNGMAX,c_TRNGMIN-c_TRNGMAX&lt;&gt;0),"Regen ramp","Coast (0)")))</f>
        <v>Seg1 TFWD-map1</v>
      </c>
      <c r="I76" s="7" t="n">
        <f aca="false">IF(A76&gt;=c_TFWD,IF(AND(A76&gt;=c_TMAP3IN,c_TMAP3IN&lt;1000),G76,IF(AND(A76&gt;=c_TMAP2IN,c_TMAP3IN&gt;c_TMAP2IN),F76,IF(AND(A76&gt;=c_TMAP1IN,c_TMAP2IN&gt;c_TMAP1IN),E76,D76))),C76)</f>
        <v>47</v>
      </c>
      <c r="J76" s="7" t="str">
        <f aca="false">IF(I76&lt;-1090,"TOO LOW",IF(I76&gt;1090,"TOO HIGH",""))</f>
        <v/>
      </c>
      <c r="K76" s="15" t="n">
        <f aca="false">IF(J76&lt;&gt;"",0,IF(I76&gt;979,1000,I76))</f>
        <v>47</v>
      </c>
      <c r="L76" s="7" t="n">
        <f aca="false">K76/10</f>
        <v>4.7</v>
      </c>
    </row>
    <row r="77" customFormat="false" ht="15" hidden="false" customHeight="false" outlineLevel="0" collapsed="false">
      <c r="A77" s="7" t="n">
        <v>72</v>
      </c>
      <c r="B77" s="7" t="n">
        <f aca="false">A77/10</f>
        <v>7.2</v>
      </c>
      <c r="C77" s="7" t="n">
        <f aca="false">IF(AND(A77=0,c_TCREEP&gt;0),10*c_TCREEP,IF(AND(A77&lt;=c_TRNGMIN,A77&gt;=c_TRNGMAX,c_TRNGMIN-c_TRNGMAX&lt;&gt;0),-10*c_TMINRN+QUOTIENT((c_TMAXRN-c_TMINRN)*(100-QUOTIENT((A77-c_TRNGMAX)*100,c_TRNGMIN-c_TRNGMAX)),-10),0))</f>
        <v>0</v>
      </c>
      <c r="D77" s="7" t="n">
        <f aca="false">IF(((c_TMAP1IN)-(c_TFWD))=0,(0)+QUOTIENT(((c_TMAP1OUT)-(0)),2),QUOTIENT((((A77)-(c_TFWD))*((c_TMAP1OUT)-(0))+IF(((c_TMAP1OUT)-(0))&gt;=0,1,-1)*QUOTIENT(((c_TMAP1IN)-(c_TFWD)),2)),((c_TMAP1IN)-(c_TFWD)))+(0)+IF(((c_TMAP1OUT)-(0))&gt;=0,IF(IF(o_WRAP=1,MOD(((c_TMAP1IN)-(c_TFWD))*(((A77)-(c_TFWD))*((c_TMAP1OUT)-(0))+IF(((c_TMAP1OUT)-(0))&gt;=0,1,-1)*QUOTIENT(((c_TMAP1IN)-(c_TFWD)),2))+2147483648,4294967296)-2147483648,((c_TMAP1IN)-(c_TFWD))*(((A77)-(c_TFWD))*((c_TMAP1OUT)-(0))+IF(((c_TMAP1OUT)-(0))&gt;=0,1,-1)*QUOTIENT(((c_TMAP1IN)-(c_TFWD)),2)))&lt;0,-1,0),IF(IF(o_WRAP=1,MOD(((c_TMAP1IN)-(c_TFWD))*(((A77)-(c_TFWD))*((c_TMAP1OUT)-(0))+IF(((c_TMAP1OUT)-(0))&gt;=0,1,-1)*QUOTIENT(((c_TMAP1IN)-(c_TFWD)),2))+2147483648,4294967296)-2147483648,((c_TMAP1IN)-(c_TFWD))*(((A77)-(c_TFWD))*((c_TMAP1OUT)-(0))+IF(((c_TMAP1OUT)-(0))&gt;=0,1,-1)*QUOTIENT(((c_TMAP1IN)-(c_TFWD)),2)))&gt;=0,1,0)))</f>
        <v>48</v>
      </c>
      <c r="E77" s="7" t="n">
        <f aca="false">IF(((c_TMAP2IN)-(c_TMAP1IN))=0,(c_TMAP1OUT)+QUOTIENT(((c_TMAP2OUT)-(c_TMAP1OUT)),2),QUOTIENT((((A77)-(c_TMAP1IN))*((c_TMAP2OUT)-(c_TMAP1OUT))+IF(((c_TMAP2OUT)-(c_TMAP1OUT))&gt;=0,1,-1)*QUOTIENT(((c_TMAP2IN)-(c_TMAP1IN)),2)),((c_TMAP2IN)-(c_TMAP1IN)))+(c_TMAP1OUT)+IF(((c_TMAP2OUT)-(c_TMAP1OUT))&gt;=0,IF(IF(o_WRAP=1,MOD(((c_TMAP2IN)-(c_TMAP1IN))*(((A77)-(c_TMAP1IN))*((c_TMAP2OUT)-(c_TMAP1OUT))+IF(((c_TMAP2OUT)-(c_TMAP1OUT))&gt;=0,1,-1)*QUOTIENT(((c_TMAP2IN)-(c_TMAP1IN)),2))+2147483648,4294967296)-2147483648,((c_TMAP2IN)-(c_TMAP1IN))*(((A77)-(c_TMAP1IN))*((c_TMAP2OUT)-(c_TMAP1OUT))+IF(((c_TMAP2OUT)-(c_TMAP1OUT))&gt;=0,1,-1)*QUOTIENT(((c_TMAP2IN)-(c_TMAP1IN)),2)))&lt;0,-1,0),IF(IF(o_WRAP=1,MOD(((c_TMAP2IN)-(c_TMAP1IN))*(((A77)-(c_TMAP1IN))*((c_TMAP2OUT)-(c_TMAP1OUT))+IF(((c_TMAP2OUT)-(c_TMAP1OUT))&gt;=0,1,-1)*QUOTIENT(((c_TMAP2IN)-(c_TMAP1IN)),2))+2147483648,4294967296)-2147483648,((c_TMAP2IN)-(c_TMAP1IN))*(((A77)-(c_TMAP1IN))*((c_TMAP2OUT)-(c_TMAP1OUT))+IF(((c_TMAP2OUT)-(c_TMAP1OUT))&gt;=0,1,-1)*QUOTIENT(((c_TMAP2IN)-(c_TMAP1IN)),2)))&gt;=0,1,0)))</f>
        <v>59</v>
      </c>
      <c r="F77" s="7" t="n">
        <f aca="false">IF(((c_TMAP3IN)-(c_TMAP2IN))=0,(c_TMAP2OUT)+QUOTIENT(((c_TMAP3OUT)-(c_TMAP2OUT)),2),QUOTIENT((((A77)-(c_TMAP2IN))*((c_TMAP3OUT)-(c_TMAP2OUT))+IF(((c_TMAP3OUT)-(c_TMAP2OUT))&gt;=0,1,-1)*QUOTIENT(((c_TMAP3IN)-(c_TMAP2IN)),2)),((c_TMAP3IN)-(c_TMAP2IN)))+(c_TMAP2OUT)+IF(((c_TMAP3OUT)-(c_TMAP2OUT))&gt;=0,IF(IF(o_WRAP=1,MOD(((c_TMAP3IN)-(c_TMAP2IN))*(((A77)-(c_TMAP2IN))*((c_TMAP3OUT)-(c_TMAP2OUT))+IF(((c_TMAP3OUT)-(c_TMAP2OUT))&gt;=0,1,-1)*QUOTIENT(((c_TMAP3IN)-(c_TMAP2IN)),2))+2147483648,4294967296)-2147483648,((c_TMAP3IN)-(c_TMAP2IN))*(((A77)-(c_TMAP2IN))*((c_TMAP3OUT)-(c_TMAP2OUT))+IF(((c_TMAP3OUT)-(c_TMAP2OUT))&gt;=0,1,-1)*QUOTIENT(((c_TMAP3IN)-(c_TMAP2IN)),2)))&lt;0,-1,0),IF(IF(o_WRAP=1,MOD(((c_TMAP3IN)-(c_TMAP2IN))*(((A77)-(c_TMAP2IN))*((c_TMAP3OUT)-(c_TMAP2OUT))+IF(((c_TMAP3OUT)-(c_TMAP2OUT))&gt;=0,1,-1)*QUOTIENT(((c_TMAP3IN)-(c_TMAP2IN)),2))+2147483648,4294967296)-2147483648,((c_TMAP3IN)-(c_TMAP2IN))*(((A77)-(c_TMAP2IN))*((c_TMAP3OUT)-(c_TMAP2OUT))+IF(((c_TMAP3OUT)-(c_TMAP2OUT))&gt;=0,1,-1)*QUOTIENT(((c_TMAP3IN)-(c_TMAP2IN)),2)))&gt;=0,1,0)))</f>
        <v>5</v>
      </c>
      <c r="G77" s="7" t="n">
        <f aca="false">IF(((1000)-(c_TMAP3IN))=0,(c_TMAP3OUT)+QUOTIENT(((1000)-(c_TMAP3OUT)),2),QUOTIENT((((A77)-(c_TMAP3IN))*((1000)-(c_TMAP3OUT))+IF(((1000)-(c_TMAP3OUT))&gt;=0,1,-1)*QUOTIENT(((1000)-(c_TMAP3IN)),2)),((1000)-(c_TMAP3IN)))+(c_TMAP3OUT)+IF(((1000)-(c_TMAP3OUT))&gt;=0,IF(IF(o_WRAP=1,MOD(((1000)-(c_TMAP3IN))*(((A77)-(c_TMAP3IN))*((1000)-(c_TMAP3OUT))+IF(((1000)-(c_TMAP3OUT))&gt;=0,1,-1)*QUOTIENT(((1000)-(c_TMAP3IN)),2))+2147483648,4294967296)-2147483648,((1000)-(c_TMAP3IN))*(((A77)-(c_TMAP3IN))*((1000)-(c_TMAP3OUT))+IF(((1000)-(c_TMAP3OUT))&gt;=0,1,-1)*QUOTIENT(((1000)-(c_TMAP3IN)),2)))&lt;0,-1,0),IF(IF(o_WRAP=1,MOD(((1000)-(c_TMAP3IN))*(((A77)-(c_TMAP3IN))*((1000)-(c_TMAP3OUT))+IF(((1000)-(c_TMAP3OUT))&gt;=0,1,-1)*QUOTIENT(((1000)-(c_TMAP3IN)),2))+2147483648,4294967296)-2147483648,((1000)-(c_TMAP3IN))*(((A77)-(c_TMAP3IN))*((1000)-(c_TMAP3OUT))+IF(((1000)-(c_TMAP3OUT))&gt;=0,1,-1)*QUOTIENT(((1000)-(c_TMAP3IN)),2)))&gt;=0,1,0)))</f>
        <v>-142</v>
      </c>
      <c r="H77" s="7" t="str">
        <f aca="false">IF(A77&gt;=c_TFWD,IF(AND(A77&gt;=c_TMAP3IN,c_TMAP3IN&lt;1000),"Seg4 map3-100%",IF(AND(A77&gt;=c_TMAP2IN,c_TMAP3IN&gt;c_TMAP2IN),"Seg3 map2-map3",IF(AND(A77&gt;=c_TMAP1IN,c_TMAP2IN&gt;c_TMAP1IN),"Seg2 map1-map2","Seg1 TFWD-map1"))),IF(AND(A77=0,c_TCREEP&gt;0),"Creep",IF(AND(A77&lt;=c_TRNGMIN,A77&gt;=c_TRNGMAX,c_TRNGMIN-c_TRNGMAX&lt;&gt;0),"Regen ramp","Coast (0)")))</f>
        <v>Seg1 TFWD-map1</v>
      </c>
      <c r="I77" s="7" t="n">
        <f aca="false">IF(A77&gt;=c_TFWD,IF(AND(A77&gt;=c_TMAP3IN,c_TMAP3IN&lt;1000),G77,IF(AND(A77&gt;=c_TMAP2IN,c_TMAP3IN&gt;c_TMAP2IN),F77,IF(AND(A77&gt;=c_TMAP1IN,c_TMAP2IN&gt;c_TMAP1IN),E77,D77))),C77)</f>
        <v>48</v>
      </c>
      <c r="J77" s="7" t="str">
        <f aca="false">IF(I77&lt;-1090,"TOO LOW",IF(I77&gt;1090,"TOO HIGH",""))</f>
        <v/>
      </c>
      <c r="K77" s="15" t="n">
        <f aca="false">IF(J77&lt;&gt;"",0,IF(I77&gt;979,1000,I77))</f>
        <v>48</v>
      </c>
      <c r="L77" s="7" t="n">
        <f aca="false">K77/10</f>
        <v>4.8</v>
      </c>
    </row>
    <row r="78" customFormat="false" ht="15" hidden="false" customHeight="false" outlineLevel="0" collapsed="false">
      <c r="A78" s="7" t="n">
        <v>73</v>
      </c>
      <c r="B78" s="7" t="n">
        <f aca="false">A78/10</f>
        <v>7.3</v>
      </c>
      <c r="C78" s="7" t="n">
        <f aca="false">IF(AND(A78=0,c_TCREEP&gt;0),10*c_TCREEP,IF(AND(A78&lt;=c_TRNGMIN,A78&gt;=c_TRNGMAX,c_TRNGMIN-c_TRNGMAX&lt;&gt;0),-10*c_TMINRN+QUOTIENT((c_TMAXRN-c_TMINRN)*(100-QUOTIENT((A78-c_TRNGMAX)*100,c_TRNGMIN-c_TRNGMAX)),-10),0))</f>
        <v>0</v>
      </c>
      <c r="D78" s="7" t="n">
        <f aca="false">IF(((c_TMAP1IN)-(c_TFWD))=0,(0)+QUOTIENT(((c_TMAP1OUT)-(0)),2),QUOTIENT((((A78)-(c_TFWD))*((c_TMAP1OUT)-(0))+IF(((c_TMAP1OUT)-(0))&gt;=0,1,-1)*QUOTIENT(((c_TMAP1IN)-(c_TFWD)),2)),((c_TMAP1IN)-(c_TFWD)))+(0)+IF(((c_TMAP1OUT)-(0))&gt;=0,IF(IF(o_WRAP=1,MOD(((c_TMAP1IN)-(c_TFWD))*(((A78)-(c_TFWD))*((c_TMAP1OUT)-(0))+IF(((c_TMAP1OUT)-(0))&gt;=0,1,-1)*QUOTIENT(((c_TMAP1IN)-(c_TFWD)),2))+2147483648,4294967296)-2147483648,((c_TMAP1IN)-(c_TFWD))*(((A78)-(c_TFWD))*((c_TMAP1OUT)-(0))+IF(((c_TMAP1OUT)-(0))&gt;=0,1,-1)*QUOTIENT(((c_TMAP1IN)-(c_TFWD)),2)))&lt;0,-1,0),IF(IF(o_WRAP=1,MOD(((c_TMAP1IN)-(c_TFWD))*(((A78)-(c_TFWD))*((c_TMAP1OUT)-(0))+IF(((c_TMAP1OUT)-(0))&gt;=0,1,-1)*QUOTIENT(((c_TMAP1IN)-(c_TFWD)),2))+2147483648,4294967296)-2147483648,((c_TMAP1IN)-(c_TFWD))*(((A78)-(c_TFWD))*((c_TMAP1OUT)-(0))+IF(((c_TMAP1OUT)-(0))&gt;=0,1,-1)*QUOTIENT(((c_TMAP1IN)-(c_TFWD)),2)))&gt;=0,1,0)))</f>
        <v>49</v>
      </c>
      <c r="E78" s="7" t="n">
        <f aca="false">IF(((c_TMAP2IN)-(c_TMAP1IN))=0,(c_TMAP1OUT)+QUOTIENT(((c_TMAP2OUT)-(c_TMAP1OUT)),2),QUOTIENT((((A78)-(c_TMAP1IN))*((c_TMAP2OUT)-(c_TMAP1OUT))+IF(((c_TMAP2OUT)-(c_TMAP1OUT))&gt;=0,1,-1)*QUOTIENT(((c_TMAP2IN)-(c_TMAP1IN)),2)),((c_TMAP2IN)-(c_TMAP1IN)))+(c_TMAP1OUT)+IF(((c_TMAP2OUT)-(c_TMAP1OUT))&gt;=0,IF(IF(o_WRAP=1,MOD(((c_TMAP2IN)-(c_TMAP1IN))*(((A78)-(c_TMAP1IN))*((c_TMAP2OUT)-(c_TMAP1OUT))+IF(((c_TMAP2OUT)-(c_TMAP1OUT))&gt;=0,1,-1)*QUOTIENT(((c_TMAP2IN)-(c_TMAP1IN)),2))+2147483648,4294967296)-2147483648,((c_TMAP2IN)-(c_TMAP1IN))*(((A78)-(c_TMAP1IN))*((c_TMAP2OUT)-(c_TMAP1OUT))+IF(((c_TMAP2OUT)-(c_TMAP1OUT))&gt;=0,1,-1)*QUOTIENT(((c_TMAP2IN)-(c_TMAP1IN)),2)))&lt;0,-1,0),IF(IF(o_WRAP=1,MOD(((c_TMAP2IN)-(c_TMAP1IN))*(((A78)-(c_TMAP1IN))*((c_TMAP2OUT)-(c_TMAP1OUT))+IF(((c_TMAP2OUT)-(c_TMAP1OUT))&gt;=0,1,-1)*QUOTIENT(((c_TMAP2IN)-(c_TMAP1IN)),2))+2147483648,4294967296)-2147483648,((c_TMAP2IN)-(c_TMAP1IN))*(((A78)-(c_TMAP1IN))*((c_TMAP2OUT)-(c_TMAP1OUT))+IF(((c_TMAP2OUT)-(c_TMAP1OUT))&gt;=0,1,-1)*QUOTIENT(((c_TMAP2IN)-(c_TMAP1IN)),2)))&gt;=0,1,0)))</f>
        <v>59</v>
      </c>
      <c r="F78" s="7" t="n">
        <f aca="false">IF(((c_TMAP3IN)-(c_TMAP2IN))=0,(c_TMAP2OUT)+QUOTIENT(((c_TMAP3OUT)-(c_TMAP2OUT)),2),QUOTIENT((((A78)-(c_TMAP2IN))*((c_TMAP3OUT)-(c_TMAP2OUT))+IF(((c_TMAP3OUT)-(c_TMAP2OUT))&gt;=0,1,-1)*QUOTIENT(((c_TMAP3IN)-(c_TMAP2IN)),2)),((c_TMAP3IN)-(c_TMAP2IN)))+(c_TMAP2OUT)+IF(((c_TMAP3OUT)-(c_TMAP2OUT))&gt;=0,IF(IF(o_WRAP=1,MOD(((c_TMAP3IN)-(c_TMAP2IN))*(((A78)-(c_TMAP2IN))*((c_TMAP3OUT)-(c_TMAP2OUT))+IF(((c_TMAP3OUT)-(c_TMAP2OUT))&gt;=0,1,-1)*QUOTIENT(((c_TMAP3IN)-(c_TMAP2IN)),2))+2147483648,4294967296)-2147483648,((c_TMAP3IN)-(c_TMAP2IN))*(((A78)-(c_TMAP2IN))*((c_TMAP3OUT)-(c_TMAP2OUT))+IF(((c_TMAP3OUT)-(c_TMAP2OUT))&gt;=0,1,-1)*QUOTIENT(((c_TMAP3IN)-(c_TMAP2IN)),2)))&lt;0,-1,0),IF(IF(o_WRAP=1,MOD(((c_TMAP3IN)-(c_TMAP2IN))*(((A78)-(c_TMAP2IN))*((c_TMAP3OUT)-(c_TMAP2OUT))+IF(((c_TMAP3OUT)-(c_TMAP2OUT))&gt;=0,1,-1)*QUOTIENT(((c_TMAP3IN)-(c_TMAP2IN)),2))+2147483648,4294967296)-2147483648,((c_TMAP3IN)-(c_TMAP2IN))*(((A78)-(c_TMAP2IN))*((c_TMAP3OUT)-(c_TMAP2OUT))+IF(((c_TMAP3OUT)-(c_TMAP2OUT))&gt;=0,1,-1)*QUOTIENT(((c_TMAP3IN)-(c_TMAP2IN)),2)))&gt;=0,1,0)))</f>
        <v>6</v>
      </c>
      <c r="G78" s="7" t="n">
        <f aca="false">IF(((1000)-(c_TMAP3IN))=0,(c_TMAP3OUT)+QUOTIENT(((1000)-(c_TMAP3OUT)),2),QUOTIENT((((A78)-(c_TMAP3IN))*((1000)-(c_TMAP3OUT))+IF(((1000)-(c_TMAP3OUT))&gt;=0,1,-1)*QUOTIENT(((1000)-(c_TMAP3IN)),2)),((1000)-(c_TMAP3IN)))+(c_TMAP3OUT)+IF(((1000)-(c_TMAP3OUT))&gt;=0,IF(IF(o_WRAP=1,MOD(((1000)-(c_TMAP3IN))*(((A78)-(c_TMAP3IN))*((1000)-(c_TMAP3OUT))+IF(((1000)-(c_TMAP3OUT))&gt;=0,1,-1)*QUOTIENT(((1000)-(c_TMAP3IN)),2))+2147483648,4294967296)-2147483648,((1000)-(c_TMAP3IN))*(((A78)-(c_TMAP3IN))*((1000)-(c_TMAP3OUT))+IF(((1000)-(c_TMAP3OUT))&gt;=0,1,-1)*QUOTIENT(((1000)-(c_TMAP3IN)),2)))&lt;0,-1,0),IF(IF(o_WRAP=1,MOD(((1000)-(c_TMAP3IN))*(((A78)-(c_TMAP3IN))*((1000)-(c_TMAP3OUT))+IF(((1000)-(c_TMAP3OUT))&gt;=0,1,-1)*QUOTIENT(((1000)-(c_TMAP3IN)),2))+2147483648,4294967296)-2147483648,((1000)-(c_TMAP3IN))*(((A78)-(c_TMAP3IN))*((1000)-(c_TMAP3OUT))+IF(((1000)-(c_TMAP3OUT))&gt;=0,1,-1)*QUOTIENT(((1000)-(c_TMAP3IN)),2)))&gt;=0,1,0)))</f>
        <v>-141</v>
      </c>
      <c r="H78" s="7" t="str">
        <f aca="false">IF(A78&gt;=c_TFWD,IF(AND(A78&gt;=c_TMAP3IN,c_TMAP3IN&lt;1000),"Seg4 map3-100%",IF(AND(A78&gt;=c_TMAP2IN,c_TMAP3IN&gt;c_TMAP2IN),"Seg3 map2-map3",IF(AND(A78&gt;=c_TMAP1IN,c_TMAP2IN&gt;c_TMAP1IN),"Seg2 map1-map2","Seg1 TFWD-map1"))),IF(AND(A78=0,c_TCREEP&gt;0),"Creep",IF(AND(A78&lt;=c_TRNGMIN,A78&gt;=c_TRNGMAX,c_TRNGMIN-c_TRNGMAX&lt;&gt;0),"Regen ramp","Coast (0)")))</f>
        <v>Seg1 TFWD-map1</v>
      </c>
      <c r="I78" s="7" t="n">
        <f aca="false">IF(A78&gt;=c_TFWD,IF(AND(A78&gt;=c_TMAP3IN,c_TMAP3IN&lt;1000),G78,IF(AND(A78&gt;=c_TMAP2IN,c_TMAP3IN&gt;c_TMAP2IN),F78,IF(AND(A78&gt;=c_TMAP1IN,c_TMAP2IN&gt;c_TMAP1IN),E78,D78))),C78)</f>
        <v>49</v>
      </c>
      <c r="J78" s="7" t="str">
        <f aca="false">IF(I78&lt;-1090,"TOO LOW",IF(I78&gt;1090,"TOO HIGH",""))</f>
        <v/>
      </c>
      <c r="K78" s="15" t="n">
        <f aca="false">IF(J78&lt;&gt;"",0,IF(I78&gt;979,1000,I78))</f>
        <v>49</v>
      </c>
      <c r="L78" s="7" t="n">
        <f aca="false">K78/10</f>
        <v>4.9</v>
      </c>
    </row>
    <row r="79" customFormat="false" ht="15" hidden="false" customHeight="false" outlineLevel="0" collapsed="false">
      <c r="A79" s="7" t="n">
        <v>74</v>
      </c>
      <c r="B79" s="7" t="n">
        <f aca="false">A79/10</f>
        <v>7.4</v>
      </c>
      <c r="C79" s="7" t="n">
        <f aca="false">IF(AND(A79=0,c_TCREEP&gt;0),10*c_TCREEP,IF(AND(A79&lt;=c_TRNGMIN,A79&gt;=c_TRNGMAX,c_TRNGMIN-c_TRNGMAX&lt;&gt;0),-10*c_TMINRN+QUOTIENT((c_TMAXRN-c_TMINRN)*(100-QUOTIENT((A79-c_TRNGMAX)*100,c_TRNGMIN-c_TRNGMAX)),-10),0))</f>
        <v>0</v>
      </c>
      <c r="D79" s="7" t="n">
        <f aca="false">IF(((c_TMAP1IN)-(c_TFWD))=0,(0)+QUOTIENT(((c_TMAP1OUT)-(0)),2),QUOTIENT((((A79)-(c_TFWD))*((c_TMAP1OUT)-(0))+IF(((c_TMAP1OUT)-(0))&gt;=0,1,-1)*QUOTIENT(((c_TMAP1IN)-(c_TFWD)),2)),((c_TMAP1IN)-(c_TFWD)))+(0)+IF(((c_TMAP1OUT)-(0))&gt;=0,IF(IF(o_WRAP=1,MOD(((c_TMAP1IN)-(c_TFWD))*(((A79)-(c_TFWD))*((c_TMAP1OUT)-(0))+IF(((c_TMAP1OUT)-(0))&gt;=0,1,-1)*QUOTIENT(((c_TMAP1IN)-(c_TFWD)),2))+2147483648,4294967296)-2147483648,((c_TMAP1IN)-(c_TFWD))*(((A79)-(c_TFWD))*((c_TMAP1OUT)-(0))+IF(((c_TMAP1OUT)-(0))&gt;=0,1,-1)*QUOTIENT(((c_TMAP1IN)-(c_TFWD)),2)))&lt;0,-1,0),IF(IF(o_WRAP=1,MOD(((c_TMAP1IN)-(c_TFWD))*(((A79)-(c_TFWD))*((c_TMAP1OUT)-(0))+IF(((c_TMAP1OUT)-(0))&gt;=0,1,-1)*QUOTIENT(((c_TMAP1IN)-(c_TFWD)),2))+2147483648,4294967296)-2147483648,((c_TMAP1IN)-(c_TFWD))*(((A79)-(c_TFWD))*((c_TMAP1OUT)-(0))+IF(((c_TMAP1OUT)-(0))&gt;=0,1,-1)*QUOTIENT(((c_TMAP1IN)-(c_TFWD)),2)))&gt;=0,1,0)))</f>
        <v>50</v>
      </c>
      <c r="E79" s="7" t="n">
        <f aca="false">IF(((c_TMAP2IN)-(c_TMAP1IN))=0,(c_TMAP1OUT)+QUOTIENT(((c_TMAP2OUT)-(c_TMAP1OUT)),2),QUOTIENT((((A79)-(c_TMAP1IN))*((c_TMAP2OUT)-(c_TMAP1OUT))+IF(((c_TMAP2OUT)-(c_TMAP1OUT))&gt;=0,1,-1)*QUOTIENT(((c_TMAP2IN)-(c_TMAP1IN)),2)),((c_TMAP2IN)-(c_TMAP1IN)))+(c_TMAP1OUT)+IF(((c_TMAP2OUT)-(c_TMAP1OUT))&gt;=0,IF(IF(o_WRAP=1,MOD(((c_TMAP2IN)-(c_TMAP1IN))*(((A79)-(c_TMAP1IN))*((c_TMAP2OUT)-(c_TMAP1OUT))+IF(((c_TMAP2OUT)-(c_TMAP1OUT))&gt;=0,1,-1)*QUOTIENT(((c_TMAP2IN)-(c_TMAP1IN)),2))+2147483648,4294967296)-2147483648,((c_TMAP2IN)-(c_TMAP1IN))*(((A79)-(c_TMAP1IN))*((c_TMAP2OUT)-(c_TMAP1OUT))+IF(((c_TMAP2OUT)-(c_TMAP1OUT))&gt;=0,1,-1)*QUOTIENT(((c_TMAP2IN)-(c_TMAP1IN)),2)))&lt;0,-1,0),IF(IF(o_WRAP=1,MOD(((c_TMAP2IN)-(c_TMAP1IN))*(((A79)-(c_TMAP1IN))*((c_TMAP2OUT)-(c_TMAP1OUT))+IF(((c_TMAP2OUT)-(c_TMAP1OUT))&gt;=0,1,-1)*QUOTIENT(((c_TMAP2IN)-(c_TMAP1IN)),2))+2147483648,4294967296)-2147483648,((c_TMAP2IN)-(c_TMAP1IN))*(((A79)-(c_TMAP1IN))*((c_TMAP2OUT)-(c_TMAP1OUT))+IF(((c_TMAP2OUT)-(c_TMAP1OUT))&gt;=0,1,-1)*QUOTIENT(((c_TMAP2IN)-(c_TMAP1IN)),2)))&gt;=0,1,0)))</f>
        <v>60</v>
      </c>
      <c r="F79" s="7" t="n">
        <f aca="false">IF(((c_TMAP3IN)-(c_TMAP2IN))=0,(c_TMAP2OUT)+QUOTIENT(((c_TMAP3OUT)-(c_TMAP2OUT)),2),QUOTIENT((((A79)-(c_TMAP2IN))*((c_TMAP3OUT)-(c_TMAP2OUT))+IF(((c_TMAP3OUT)-(c_TMAP2OUT))&gt;=0,1,-1)*QUOTIENT(((c_TMAP3IN)-(c_TMAP2IN)),2)),((c_TMAP3IN)-(c_TMAP2IN)))+(c_TMAP2OUT)+IF(((c_TMAP3OUT)-(c_TMAP2OUT))&gt;=0,IF(IF(o_WRAP=1,MOD(((c_TMAP3IN)-(c_TMAP2IN))*(((A79)-(c_TMAP2IN))*((c_TMAP3OUT)-(c_TMAP2OUT))+IF(((c_TMAP3OUT)-(c_TMAP2OUT))&gt;=0,1,-1)*QUOTIENT(((c_TMAP3IN)-(c_TMAP2IN)),2))+2147483648,4294967296)-2147483648,((c_TMAP3IN)-(c_TMAP2IN))*(((A79)-(c_TMAP2IN))*((c_TMAP3OUT)-(c_TMAP2OUT))+IF(((c_TMAP3OUT)-(c_TMAP2OUT))&gt;=0,1,-1)*QUOTIENT(((c_TMAP3IN)-(c_TMAP2IN)),2)))&lt;0,-1,0),IF(IF(o_WRAP=1,MOD(((c_TMAP3IN)-(c_TMAP2IN))*(((A79)-(c_TMAP2IN))*((c_TMAP3OUT)-(c_TMAP2OUT))+IF(((c_TMAP3OUT)-(c_TMAP2OUT))&gt;=0,1,-1)*QUOTIENT(((c_TMAP3IN)-(c_TMAP2IN)),2))+2147483648,4294967296)-2147483648,((c_TMAP3IN)-(c_TMAP2IN))*(((A79)-(c_TMAP2IN))*((c_TMAP3OUT)-(c_TMAP2OUT))+IF(((c_TMAP3OUT)-(c_TMAP2OUT))&gt;=0,1,-1)*QUOTIENT(((c_TMAP3IN)-(c_TMAP2IN)),2)))&gt;=0,1,0)))</f>
        <v>7</v>
      </c>
      <c r="G79" s="7" t="n">
        <f aca="false">IF(((1000)-(c_TMAP3IN))=0,(c_TMAP3OUT)+QUOTIENT(((1000)-(c_TMAP3OUT)),2),QUOTIENT((((A79)-(c_TMAP3IN))*((1000)-(c_TMAP3OUT))+IF(((1000)-(c_TMAP3OUT))&gt;=0,1,-1)*QUOTIENT(((1000)-(c_TMAP3IN)),2)),((1000)-(c_TMAP3IN)))+(c_TMAP3OUT)+IF(((1000)-(c_TMAP3OUT))&gt;=0,IF(IF(o_WRAP=1,MOD(((1000)-(c_TMAP3IN))*(((A79)-(c_TMAP3IN))*((1000)-(c_TMAP3OUT))+IF(((1000)-(c_TMAP3OUT))&gt;=0,1,-1)*QUOTIENT(((1000)-(c_TMAP3IN)),2))+2147483648,4294967296)-2147483648,((1000)-(c_TMAP3IN))*(((A79)-(c_TMAP3IN))*((1000)-(c_TMAP3OUT))+IF(((1000)-(c_TMAP3OUT))&gt;=0,1,-1)*QUOTIENT(((1000)-(c_TMAP3IN)),2)))&lt;0,-1,0),IF(IF(o_WRAP=1,MOD(((1000)-(c_TMAP3IN))*(((A79)-(c_TMAP3IN))*((1000)-(c_TMAP3OUT))+IF(((1000)-(c_TMAP3OUT))&gt;=0,1,-1)*QUOTIENT(((1000)-(c_TMAP3IN)),2))+2147483648,4294967296)-2147483648,((1000)-(c_TMAP3IN))*(((A79)-(c_TMAP3IN))*((1000)-(c_TMAP3OUT))+IF(((1000)-(c_TMAP3OUT))&gt;=0,1,-1)*QUOTIENT(((1000)-(c_TMAP3IN)),2)))&gt;=0,1,0)))</f>
        <v>-140</v>
      </c>
      <c r="H79" s="7" t="str">
        <f aca="false">IF(A79&gt;=c_TFWD,IF(AND(A79&gt;=c_TMAP3IN,c_TMAP3IN&lt;1000),"Seg4 map3-100%",IF(AND(A79&gt;=c_TMAP2IN,c_TMAP3IN&gt;c_TMAP2IN),"Seg3 map2-map3",IF(AND(A79&gt;=c_TMAP1IN,c_TMAP2IN&gt;c_TMAP1IN),"Seg2 map1-map2","Seg1 TFWD-map1"))),IF(AND(A79=0,c_TCREEP&gt;0),"Creep",IF(AND(A79&lt;=c_TRNGMIN,A79&gt;=c_TRNGMAX,c_TRNGMIN-c_TRNGMAX&lt;&gt;0),"Regen ramp","Coast (0)")))</f>
        <v>Seg1 TFWD-map1</v>
      </c>
      <c r="I79" s="7" t="n">
        <f aca="false">IF(A79&gt;=c_TFWD,IF(AND(A79&gt;=c_TMAP3IN,c_TMAP3IN&lt;1000),G79,IF(AND(A79&gt;=c_TMAP2IN,c_TMAP3IN&gt;c_TMAP2IN),F79,IF(AND(A79&gt;=c_TMAP1IN,c_TMAP2IN&gt;c_TMAP1IN),E79,D79))),C79)</f>
        <v>50</v>
      </c>
      <c r="J79" s="7" t="str">
        <f aca="false">IF(I79&lt;-1090,"TOO LOW",IF(I79&gt;1090,"TOO HIGH",""))</f>
        <v/>
      </c>
      <c r="K79" s="15" t="n">
        <f aca="false">IF(J79&lt;&gt;"",0,IF(I79&gt;979,1000,I79))</f>
        <v>50</v>
      </c>
      <c r="L79" s="7" t="n">
        <f aca="false">K79/10</f>
        <v>5</v>
      </c>
    </row>
    <row r="80" customFormat="false" ht="15" hidden="false" customHeight="false" outlineLevel="0" collapsed="false">
      <c r="A80" s="7" t="n">
        <v>75</v>
      </c>
      <c r="B80" s="7" t="n">
        <f aca="false">A80/10</f>
        <v>7.5</v>
      </c>
      <c r="C80" s="7" t="n">
        <f aca="false">IF(AND(A80=0,c_TCREEP&gt;0),10*c_TCREEP,IF(AND(A80&lt;=c_TRNGMIN,A80&gt;=c_TRNGMAX,c_TRNGMIN-c_TRNGMAX&lt;&gt;0),-10*c_TMINRN+QUOTIENT((c_TMAXRN-c_TMINRN)*(100-QUOTIENT((A80-c_TRNGMAX)*100,c_TRNGMIN-c_TRNGMAX)),-10),0))</f>
        <v>0</v>
      </c>
      <c r="D80" s="7" t="n">
        <f aca="false">IF(((c_TMAP1IN)-(c_TFWD))=0,(0)+QUOTIENT(((c_TMAP1OUT)-(0)),2),QUOTIENT((((A80)-(c_TFWD))*((c_TMAP1OUT)-(0))+IF(((c_TMAP1OUT)-(0))&gt;=0,1,-1)*QUOTIENT(((c_TMAP1IN)-(c_TFWD)),2)),((c_TMAP1IN)-(c_TFWD)))+(0)+IF(((c_TMAP1OUT)-(0))&gt;=0,IF(IF(o_WRAP=1,MOD(((c_TMAP1IN)-(c_TFWD))*(((A80)-(c_TFWD))*((c_TMAP1OUT)-(0))+IF(((c_TMAP1OUT)-(0))&gt;=0,1,-1)*QUOTIENT(((c_TMAP1IN)-(c_TFWD)),2))+2147483648,4294967296)-2147483648,((c_TMAP1IN)-(c_TFWD))*(((A80)-(c_TFWD))*((c_TMAP1OUT)-(0))+IF(((c_TMAP1OUT)-(0))&gt;=0,1,-1)*QUOTIENT(((c_TMAP1IN)-(c_TFWD)),2)))&lt;0,-1,0),IF(IF(o_WRAP=1,MOD(((c_TMAP1IN)-(c_TFWD))*(((A80)-(c_TFWD))*((c_TMAP1OUT)-(0))+IF(((c_TMAP1OUT)-(0))&gt;=0,1,-1)*QUOTIENT(((c_TMAP1IN)-(c_TFWD)),2))+2147483648,4294967296)-2147483648,((c_TMAP1IN)-(c_TFWD))*(((A80)-(c_TFWD))*((c_TMAP1OUT)-(0))+IF(((c_TMAP1OUT)-(0))&gt;=0,1,-1)*QUOTIENT(((c_TMAP1IN)-(c_TFWD)),2)))&gt;=0,1,0)))</f>
        <v>51</v>
      </c>
      <c r="E80" s="7" t="n">
        <f aca="false">IF(((c_TMAP2IN)-(c_TMAP1IN))=0,(c_TMAP1OUT)+QUOTIENT(((c_TMAP2OUT)-(c_TMAP1OUT)),2),QUOTIENT((((A80)-(c_TMAP1IN))*((c_TMAP2OUT)-(c_TMAP1OUT))+IF(((c_TMAP2OUT)-(c_TMAP1OUT))&gt;=0,1,-1)*QUOTIENT(((c_TMAP2IN)-(c_TMAP1IN)),2)),((c_TMAP2IN)-(c_TMAP1IN)))+(c_TMAP1OUT)+IF(((c_TMAP2OUT)-(c_TMAP1OUT))&gt;=0,IF(IF(o_WRAP=1,MOD(((c_TMAP2IN)-(c_TMAP1IN))*(((A80)-(c_TMAP1IN))*((c_TMAP2OUT)-(c_TMAP1OUT))+IF(((c_TMAP2OUT)-(c_TMAP1OUT))&gt;=0,1,-1)*QUOTIENT(((c_TMAP2IN)-(c_TMAP1IN)),2))+2147483648,4294967296)-2147483648,((c_TMAP2IN)-(c_TMAP1IN))*(((A80)-(c_TMAP1IN))*((c_TMAP2OUT)-(c_TMAP1OUT))+IF(((c_TMAP2OUT)-(c_TMAP1OUT))&gt;=0,1,-1)*QUOTIENT(((c_TMAP2IN)-(c_TMAP1IN)),2)))&lt;0,-1,0),IF(IF(o_WRAP=1,MOD(((c_TMAP2IN)-(c_TMAP1IN))*(((A80)-(c_TMAP1IN))*((c_TMAP2OUT)-(c_TMAP1OUT))+IF(((c_TMAP2OUT)-(c_TMAP1OUT))&gt;=0,1,-1)*QUOTIENT(((c_TMAP2IN)-(c_TMAP1IN)),2))+2147483648,4294967296)-2147483648,((c_TMAP2IN)-(c_TMAP1IN))*(((A80)-(c_TMAP1IN))*((c_TMAP2OUT)-(c_TMAP1OUT))+IF(((c_TMAP2OUT)-(c_TMAP1OUT))&gt;=0,1,-1)*QUOTIENT(((c_TMAP2IN)-(c_TMAP1IN)),2)))&gt;=0,1,0)))</f>
        <v>60</v>
      </c>
      <c r="F80" s="7" t="n">
        <f aca="false">IF(((c_TMAP3IN)-(c_TMAP2IN))=0,(c_TMAP2OUT)+QUOTIENT(((c_TMAP3OUT)-(c_TMAP2OUT)),2),QUOTIENT((((A80)-(c_TMAP2IN))*((c_TMAP3OUT)-(c_TMAP2OUT))+IF(((c_TMAP3OUT)-(c_TMAP2OUT))&gt;=0,1,-1)*QUOTIENT(((c_TMAP3IN)-(c_TMAP2IN)),2)),((c_TMAP3IN)-(c_TMAP2IN)))+(c_TMAP2OUT)+IF(((c_TMAP3OUT)-(c_TMAP2OUT))&gt;=0,IF(IF(o_WRAP=1,MOD(((c_TMAP3IN)-(c_TMAP2IN))*(((A80)-(c_TMAP2IN))*((c_TMAP3OUT)-(c_TMAP2OUT))+IF(((c_TMAP3OUT)-(c_TMAP2OUT))&gt;=0,1,-1)*QUOTIENT(((c_TMAP3IN)-(c_TMAP2IN)),2))+2147483648,4294967296)-2147483648,((c_TMAP3IN)-(c_TMAP2IN))*(((A80)-(c_TMAP2IN))*((c_TMAP3OUT)-(c_TMAP2OUT))+IF(((c_TMAP3OUT)-(c_TMAP2OUT))&gt;=0,1,-1)*QUOTIENT(((c_TMAP3IN)-(c_TMAP2IN)),2)))&lt;0,-1,0),IF(IF(o_WRAP=1,MOD(((c_TMAP3IN)-(c_TMAP2IN))*(((A80)-(c_TMAP2IN))*((c_TMAP3OUT)-(c_TMAP2OUT))+IF(((c_TMAP3OUT)-(c_TMAP2OUT))&gt;=0,1,-1)*QUOTIENT(((c_TMAP3IN)-(c_TMAP2IN)),2))+2147483648,4294967296)-2147483648,((c_TMAP3IN)-(c_TMAP2IN))*(((A80)-(c_TMAP2IN))*((c_TMAP3OUT)-(c_TMAP2OUT))+IF(((c_TMAP3OUT)-(c_TMAP2OUT))&gt;=0,1,-1)*QUOTIENT(((c_TMAP3IN)-(c_TMAP2IN)),2)))&gt;=0,1,0)))</f>
        <v>7</v>
      </c>
      <c r="G80" s="7" t="n">
        <f aca="false">IF(((1000)-(c_TMAP3IN))=0,(c_TMAP3OUT)+QUOTIENT(((1000)-(c_TMAP3OUT)),2),QUOTIENT((((A80)-(c_TMAP3IN))*((1000)-(c_TMAP3OUT))+IF(((1000)-(c_TMAP3OUT))&gt;=0,1,-1)*QUOTIENT(((1000)-(c_TMAP3IN)),2)),((1000)-(c_TMAP3IN)))+(c_TMAP3OUT)+IF(((1000)-(c_TMAP3OUT))&gt;=0,IF(IF(o_WRAP=1,MOD(((1000)-(c_TMAP3IN))*(((A80)-(c_TMAP3IN))*((1000)-(c_TMAP3OUT))+IF(((1000)-(c_TMAP3OUT))&gt;=0,1,-1)*QUOTIENT(((1000)-(c_TMAP3IN)),2))+2147483648,4294967296)-2147483648,((1000)-(c_TMAP3IN))*(((A80)-(c_TMAP3IN))*((1000)-(c_TMAP3OUT))+IF(((1000)-(c_TMAP3OUT))&gt;=0,1,-1)*QUOTIENT(((1000)-(c_TMAP3IN)),2)))&lt;0,-1,0),IF(IF(o_WRAP=1,MOD(((1000)-(c_TMAP3IN))*(((A80)-(c_TMAP3IN))*((1000)-(c_TMAP3OUT))+IF(((1000)-(c_TMAP3OUT))&gt;=0,1,-1)*QUOTIENT(((1000)-(c_TMAP3IN)),2))+2147483648,4294967296)-2147483648,((1000)-(c_TMAP3IN))*(((A80)-(c_TMAP3IN))*((1000)-(c_TMAP3OUT))+IF(((1000)-(c_TMAP3OUT))&gt;=0,1,-1)*QUOTIENT(((1000)-(c_TMAP3IN)),2)))&gt;=0,1,0)))</f>
        <v>-138</v>
      </c>
      <c r="H80" s="7" t="str">
        <f aca="false">IF(A80&gt;=c_TFWD,IF(AND(A80&gt;=c_TMAP3IN,c_TMAP3IN&lt;1000),"Seg4 map3-100%",IF(AND(A80&gt;=c_TMAP2IN,c_TMAP3IN&gt;c_TMAP2IN),"Seg3 map2-map3",IF(AND(A80&gt;=c_TMAP1IN,c_TMAP2IN&gt;c_TMAP1IN),"Seg2 map1-map2","Seg1 TFWD-map1"))),IF(AND(A80=0,c_TCREEP&gt;0),"Creep",IF(AND(A80&lt;=c_TRNGMIN,A80&gt;=c_TRNGMAX,c_TRNGMIN-c_TRNGMAX&lt;&gt;0),"Regen ramp","Coast (0)")))</f>
        <v>Seg1 TFWD-map1</v>
      </c>
      <c r="I80" s="7" t="n">
        <f aca="false">IF(A80&gt;=c_TFWD,IF(AND(A80&gt;=c_TMAP3IN,c_TMAP3IN&lt;1000),G80,IF(AND(A80&gt;=c_TMAP2IN,c_TMAP3IN&gt;c_TMAP2IN),F80,IF(AND(A80&gt;=c_TMAP1IN,c_TMAP2IN&gt;c_TMAP1IN),E80,D80))),C80)</f>
        <v>51</v>
      </c>
      <c r="J80" s="7" t="str">
        <f aca="false">IF(I80&lt;-1090,"TOO LOW",IF(I80&gt;1090,"TOO HIGH",""))</f>
        <v/>
      </c>
      <c r="K80" s="15" t="n">
        <f aca="false">IF(J80&lt;&gt;"",0,IF(I80&gt;979,1000,I80))</f>
        <v>51</v>
      </c>
      <c r="L80" s="7" t="n">
        <f aca="false">K80/10</f>
        <v>5.1</v>
      </c>
    </row>
    <row r="81" customFormat="false" ht="15" hidden="false" customHeight="false" outlineLevel="0" collapsed="false">
      <c r="A81" s="7" t="n">
        <v>76</v>
      </c>
      <c r="B81" s="7" t="n">
        <f aca="false">A81/10</f>
        <v>7.6</v>
      </c>
      <c r="C81" s="7" t="n">
        <f aca="false">IF(AND(A81=0,c_TCREEP&gt;0),10*c_TCREEP,IF(AND(A81&lt;=c_TRNGMIN,A81&gt;=c_TRNGMAX,c_TRNGMIN-c_TRNGMAX&lt;&gt;0),-10*c_TMINRN+QUOTIENT((c_TMAXRN-c_TMINRN)*(100-QUOTIENT((A81-c_TRNGMAX)*100,c_TRNGMIN-c_TRNGMAX)),-10),0))</f>
        <v>0</v>
      </c>
      <c r="D81" s="7" t="n">
        <f aca="false">IF(((c_TMAP1IN)-(c_TFWD))=0,(0)+QUOTIENT(((c_TMAP1OUT)-(0)),2),QUOTIENT((((A81)-(c_TFWD))*((c_TMAP1OUT)-(0))+IF(((c_TMAP1OUT)-(0))&gt;=0,1,-1)*QUOTIENT(((c_TMAP1IN)-(c_TFWD)),2)),((c_TMAP1IN)-(c_TFWD)))+(0)+IF(((c_TMAP1OUT)-(0))&gt;=0,IF(IF(o_WRAP=1,MOD(((c_TMAP1IN)-(c_TFWD))*(((A81)-(c_TFWD))*((c_TMAP1OUT)-(0))+IF(((c_TMAP1OUT)-(0))&gt;=0,1,-1)*QUOTIENT(((c_TMAP1IN)-(c_TFWD)),2))+2147483648,4294967296)-2147483648,((c_TMAP1IN)-(c_TFWD))*(((A81)-(c_TFWD))*((c_TMAP1OUT)-(0))+IF(((c_TMAP1OUT)-(0))&gt;=0,1,-1)*QUOTIENT(((c_TMAP1IN)-(c_TFWD)),2)))&lt;0,-1,0),IF(IF(o_WRAP=1,MOD(((c_TMAP1IN)-(c_TFWD))*(((A81)-(c_TFWD))*((c_TMAP1OUT)-(0))+IF(((c_TMAP1OUT)-(0))&gt;=0,1,-1)*QUOTIENT(((c_TMAP1IN)-(c_TFWD)),2))+2147483648,4294967296)-2147483648,((c_TMAP1IN)-(c_TFWD))*(((A81)-(c_TFWD))*((c_TMAP1OUT)-(0))+IF(((c_TMAP1OUT)-(0))&gt;=0,1,-1)*QUOTIENT(((c_TMAP1IN)-(c_TFWD)),2)))&gt;=0,1,0)))</f>
        <v>51</v>
      </c>
      <c r="E81" s="7" t="n">
        <f aca="false">IF(((c_TMAP2IN)-(c_TMAP1IN))=0,(c_TMAP1OUT)+QUOTIENT(((c_TMAP2OUT)-(c_TMAP1OUT)),2),QUOTIENT((((A81)-(c_TMAP1IN))*((c_TMAP2OUT)-(c_TMAP1OUT))+IF(((c_TMAP2OUT)-(c_TMAP1OUT))&gt;=0,1,-1)*QUOTIENT(((c_TMAP2IN)-(c_TMAP1IN)),2)),((c_TMAP2IN)-(c_TMAP1IN)))+(c_TMAP1OUT)+IF(((c_TMAP2OUT)-(c_TMAP1OUT))&gt;=0,IF(IF(o_WRAP=1,MOD(((c_TMAP2IN)-(c_TMAP1IN))*(((A81)-(c_TMAP1IN))*((c_TMAP2OUT)-(c_TMAP1OUT))+IF(((c_TMAP2OUT)-(c_TMAP1OUT))&gt;=0,1,-1)*QUOTIENT(((c_TMAP2IN)-(c_TMAP1IN)),2))+2147483648,4294967296)-2147483648,((c_TMAP2IN)-(c_TMAP1IN))*(((A81)-(c_TMAP1IN))*((c_TMAP2OUT)-(c_TMAP1OUT))+IF(((c_TMAP2OUT)-(c_TMAP1OUT))&gt;=0,1,-1)*QUOTIENT(((c_TMAP2IN)-(c_TMAP1IN)),2)))&lt;0,-1,0),IF(IF(o_WRAP=1,MOD(((c_TMAP2IN)-(c_TMAP1IN))*(((A81)-(c_TMAP1IN))*((c_TMAP2OUT)-(c_TMAP1OUT))+IF(((c_TMAP2OUT)-(c_TMAP1OUT))&gt;=0,1,-1)*QUOTIENT(((c_TMAP2IN)-(c_TMAP1IN)),2))+2147483648,4294967296)-2147483648,((c_TMAP2IN)-(c_TMAP1IN))*(((A81)-(c_TMAP1IN))*((c_TMAP2OUT)-(c_TMAP1OUT))+IF(((c_TMAP2OUT)-(c_TMAP1OUT))&gt;=0,1,-1)*QUOTIENT(((c_TMAP2IN)-(c_TMAP1IN)),2)))&gt;=0,1,0)))</f>
        <v>60</v>
      </c>
      <c r="F81" s="7" t="n">
        <f aca="false">IF(((c_TMAP3IN)-(c_TMAP2IN))=0,(c_TMAP2OUT)+QUOTIENT(((c_TMAP3OUT)-(c_TMAP2OUT)),2),QUOTIENT((((A81)-(c_TMAP2IN))*((c_TMAP3OUT)-(c_TMAP2OUT))+IF(((c_TMAP3OUT)-(c_TMAP2OUT))&gt;=0,1,-1)*QUOTIENT(((c_TMAP3IN)-(c_TMAP2IN)),2)),((c_TMAP3IN)-(c_TMAP2IN)))+(c_TMAP2OUT)+IF(((c_TMAP3OUT)-(c_TMAP2OUT))&gt;=0,IF(IF(o_WRAP=1,MOD(((c_TMAP3IN)-(c_TMAP2IN))*(((A81)-(c_TMAP2IN))*((c_TMAP3OUT)-(c_TMAP2OUT))+IF(((c_TMAP3OUT)-(c_TMAP2OUT))&gt;=0,1,-1)*QUOTIENT(((c_TMAP3IN)-(c_TMAP2IN)),2))+2147483648,4294967296)-2147483648,((c_TMAP3IN)-(c_TMAP2IN))*(((A81)-(c_TMAP2IN))*((c_TMAP3OUT)-(c_TMAP2OUT))+IF(((c_TMAP3OUT)-(c_TMAP2OUT))&gt;=0,1,-1)*QUOTIENT(((c_TMAP3IN)-(c_TMAP2IN)),2)))&lt;0,-1,0),IF(IF(o_WRAP=1,MOD(((c_TMAP3IN)-(c_TMAP2IN))*(((A81)-(c_TMAP2IN))*((c_TMAP3OUT)-(c_TMAP2OUT))+IF(((c_TMAP3OUT)-(c_TMAP2OUT))&gt;=0,1,-1)*QUOTIENT(((c_TMAP3IN)-(c_TMAP2IN)),2))+2147483648,4294967296)-2147483648,((c_TMAP3IN)-(c_TMAP2IN))*(((A81)-(c_TMAP2IN))*((c_TMAP3OUT)-(c_TMAP2OUT))+IF(((c_TMAP3OUT)-(c_TMAP2OUT))&gt;=0,1,-1)*QUOTIENT(((c_TMAP3IN)-(c_TMAP2IN)),2)))&gt;=0,1,0)))</f>
        <v>8</v>
      </c>
      <c r="G81" s="7" t="n">
        <f aca="false">IF(((1000)-(c_TMAP3IN))=0,(c_TMAP3OUT)+QUOTIENT(((1000)-(c_TMAP3OUT)),2),QUOTIENT((((A81)-(c_TMAP3IN))*((1000)-(c_TMAP3OUT))+IF(((1000)-(c_TMAP3OUT))&gt;=0,1,-1)*QUOTIENT(((1000)-(c_TMAP3IN)),2)),((1000)-(c_TMAP3IN)))+(c_TMAP3OUT)+IF(((1000)-(c_TMAP3OUT))&gt;=0,IF(IF(o_WRAP=1,MOD(((1000)-(c_TMAP3IN))*(((A81)-(c_TMAP3IN))*((1000)-(c_TMAP3OUT))+IF(((1000)-(c_TMAP3OUT))&gt;=0,1,-1)*QUOTIENT(((1000)-(c_TMAP3IN)),2))+2147483648,4294967296)-2147483648,((1000)-(c_TMAP3IN))*(((A81)-(c_TMAP3IN))*((1000)-(c_TMAP3OUT))+IF(((1000)-(c_TMAP3OUT))&gt;=0,1,-1)*QUOTIENT(((1000)-(c_TMAP3IN)),2)))&lt;0,-1,0),IF(IF(o_WRAP=1,MOD(((1000)-(c_TMAP3IN))*(((A81)-(c_TMAP3IN))*((1000)-(c_TMAP3OUT))+IF(((1000)-(c_TMAP3OUT))&gt;=0,1,-1)*QUOTIENT(((1000)-(c_TMAP3IN)),2))+2147483648,4294967296)-2147483648,((1000)-(c_TMAP3IN))*(((A81)-(c_TMAP3IN))*((1000)-(c_TMAP3OUT))+IF(((1000)-(c_TMAP3OUT))&gt;=0,1,-1)*QUOTIENT(((1000)-(c_TMAP3IN)),2)))&gt;=0,1,0)))</f>
        <v>-137</v>
      </c>
      <c r="H81" s="7" t="str">
        <f aca="false">IF(A81&gt;=c_TFWD,IF(AND(A81&gt;=c_TMAP3IN,c_TMAP3IN&lt;1000),"Seg4 map3-100%",IF(AND(A81&gt;=c_TMAP2IN,c_TMAP3IN&gt;c_TMAP2IN),"Seg3 map2-map3",IF(AND(A81&gt;=c_TMAP1IN,c_TMAP2IN&gt;c_TMAP1IN),"Seg2 map1-map2","Seg1 TFWD-map1"))),IF(AND(A81=0,c_TCREEP&gt;0),"Creep",IF(AND(A81&lt;=c_TRNGMIN,A81&gt;=c_TRNGMAX,c_TRNGMIN-c_TRNGMAX&lt;&gt;0),"Regen ramp","Coast (0)")))</f>
        <v>Seg1 TFWD-map1</v>
      </c>
      <c r="I81" s="7" t="n">
        <f aca="false">IF(A81&gt;=c_TFWD,IF(AND(A81&gt;=c_TMAP3IN,c_TMAP3IN&lt;1000),G81,IF(AND(A81&gt;=c_TMAP2IN,c_TMAP3IN&gt;c_TMAP2IN),F81,IF(AND(A81&gt;=c_TMAP1IN,c_TMAP2IN&gt;c_TMAP1IN),E81,D81))),C81)</f>
        <v>51</v>
      </c>
      <c r="J81" s="7" t="str">
        <f aca="false">IF(I81&lt;-1090,"TOO LOW",IF(I81&gt;1090,"TOO HIGH",""))</f>
        <v/>
      </c>
      <c r="K81" s="15" t="n">
        <f aca="false">IF(J81&lt;&gt;"",0,IF(I81&gt;979,1000,I81))</f>
        <v>51</v>
      </c>
      <c r="L81" s="7" t="n">
        <f aca="false">K81/10</f>
        <v>5.1</v>
      </c>
    </row>
    <row r="82" customFormat="false" ht="15" hidden="false" customHeight="false" outlineLevel="0" collapsed="false">
      <c r="A82" s="7" t="n">
        <v>77</v>
      </c>
      <c r="B82" s="7" t="n">
        <f aca="false">A82/10</f>
        <v>7.7</v>
      </c>
      <c r="C82" s="7" t="n">
        <f aca="false">IF(AND(A82=0,c_TCREEP&gt;0),10*c_TCREEP,IF(AND(A82&lt;=c_TRNGMIN,A82&gt;=c_TRNGMAX,c_TRNGMIN-c_TRNGMAX&lt;&gt;0),-10*c_TMINRN+QUOTIENT((c_TMAXRN-c_TMINRN)*(100-QUOTIENT((A82-c_TRNGMAX)*100,c_TRNGMIN-c_TRNGMAX)),-10),0))</f>
        <v>0</v>
      </c>
      <c r="D82" s="7" t="n">
        <f aca="false">IF(((c_TMAP1IN)-(c_TFWD))=0,(0)+QUOTIENT(((c_TMAP1OUT)-(0)),2),QUOTIENT((((A82)-(c_TFWD))*((c_TMAP1OUT)-(0))+IF(((c_TMAP1OUT)-(0))&gt;=0,1,-1)*QUOTIENT(((c_TMAP1IN)-(c_TFWD)),2)),((c_TMAP1IN)-(c_TFWD)))+(0)+IF(((c_TMAP1OUT)-(0))&gt;=0,IF(IF(o_WRAP=1,MOD(((c_TMAP1IN)-(c_TFWD))*(((A82)-(c_TFWD))*((c_TMAP1OUT)-(0))+IF(((c_TMAP1OUT)-(0))&gt;=0,1,-1)*QUOTIENT(((c_TMAP1IN)-(c_TFWD)),2))+2147483648,4294967296)-2147483648,((c_TMAP1IN)-(c_TFWD))*(((A82)-(c_TFWD))*((c_TMAP1OUT)-(0))+IF(((c_TMAP1OUT)-(0))&gt;=0,1,-1)*QUOTIENT(((c_TMAP1IN)-(c_TFWD)),2)))&lt;0,-1,0),IF(IF(o_WRAP=1,MOD(((c_TMAP1IN)-(c_TFWD))*(((A82)-(c_TFWD))*((c_TMAP1OUT)-(0))+IF(((c_TMAP1OUT)-(0))&gt;=0,1,-1)*QUOTIENT(((c_TMAP1IN)-(c_TFWD)),2))+2147483648,4294967296)-2147483648,((c_TMAP1IN)-(c_TFWD))*(((A82)-(c_TFWD))*((c_TMAP1OUT)-(0))+IF(((c_TMAP1OUT)-(0))&gt;=0,1,-1)*QUOTIENT(((c_TMAP1IN)-(c_TFWD)),2)))&gt;=0,1,0)))</f>
        <v>52</v>
      </c>
      <c r="E82" s="7" t="n">
        <f aca="false">IF(((c_TMAP2IN)-(c_TMAP1IN))=0,(c_TMAP1OUT)+QUOTIENT(((c_TMAP2OUT)-(c_TMAP1OUT)),2),QUOTIENT((((A82)-(c_TMAP1IN))*((c_TMAP2OUT)-(c_TMAP1OUT))+IF(((c_TMAP2OUT)-(c_TMAP1OUT))&gt;=0,1,-1)*QUOTIENT(((c_TMAP2IN)-(c_TMAP1IN)),2)),((c_TMAP2IN)-(c_TMAP1IN)))+(c_TMAP1OUT)+IF(((c_TMAP2OUT)-(c_TMAP1OUT))&gt;=0,IF(IF(o_WRAP=1,MOD(((c_TMAP2IN)-(c_TMAP1IN))*(((A82)-(c_TMAP1IN))*((c_TMAP2OUT)-(c_TMAP1OUT))+IF(((c_TMAP2OUT)-(c_TMAP1OUT))&gt;=0,1,-1)*QUOTIENT(((c_TMAP2IN)-(c_TMAP1IN)),2))+2147483648,4294967296)-2147483648,((c_TMAP2IN)-(c_TMAP1IN))*(((A82)-(c_TMAP1IN))*((c_TMAP2OUT)-(c_TMAP1OUT))+IF(((c_TMAP2OUT)-(c_TMAP1OUT))&gt;=0,1,-1)*QUOTIENT(((c_TMAP2IN)-(c_TMAP1IN)),2)))&lt;0,-1,0),IF(IF(o_WRAP=1,MOD(((c_TMAP2IN)-(c_TMAP1IN))*(((A82)-(c_TMAP1IN))*((c_TMAP2OUT)-(c_TMAP1OUT))+IF(((c_TMAP2OUT)-(c_TMAP1OUT))&gt;=0,1,-1)*QUOTIENT(((c_TMAP2IN)-(c_TMAP1IN)),2))+2147483648,4294967296)-2147483648,((c_TMAP2IN)-(c_TMAP1IN))*(((A82)-(c_TMAP1IN))*((c_TMAP2OUT)-(c_TMAP1OUT))+IF(((c_TMAP2OUT)-(c_TMAP1OUT))&gt;=0,1,-1)*QUOTIENT(((c_TMAP2IN)-(c_TMAP1IN)),2)))&gt;=0,1,0)))</f>
        <v>61</v>
      </c>
      <c r="F82" s="7" t="n">
        <f aca="false">IF(((c_TMAP3IN)-(c_TMAP2IN))=0,(c_TMAP2OUT)+QUOTIENT(((c_TMAP3OUT)-(c_TMAP2OUT)),2),QUOTIENT((((A82)-(c_TMAP2IN))*((c_TMAP3OUT)-(c_TMAP2OUT))+IF(((c_TMAP3OUT)-(c_TMAP2OUT))&gt;=0,1,-1)*QUOTIENT(((c_TMAP3IN)-(c_TMAP2IN)),2)),((c_TMAP3IN)-(c_TMAP2IN)))+(c_TMAP2OUT)+IF(((c_TMAP3OUT)-(c_TMAP2OUT))&gt;=0,IF(IF(o_WRAP=1,MOD(((c_TMAP3IN)-(c_TMAP2IN))*(((A82)-(c_TMAP2IN))*((c_TMAP3OUT)-(c_TMAP2OUT))+IF(((c_TMAP3OUT)-(c_TMAP2OUT))&gt;=0,1,-1)*QUOTIENT(((c_TMAP3IN)-(c_TMAP2IN)),2))+2147483648,4294967296)-2147483648,((c_TMAP3IN)-(c_TMAP2IN))*(((A82)-(c_TMAP2IN))*((c_TMAP3OUT)-(c_TMAP2OUT))+IF(((c_TMAP3OUT)-(c_TMAP2OUT))&gt;=0,1,-1)*QUOTIENT(((c_TMAP3IN)-(c_TMAP2IN)),2)))&lt;0,-1,0),IF(IF(o_WRAP=1,MOD(((c_TMAP3IN)-(c_TMAP2IN))*(((A82)-(c_TMAP2IN))*((c_TMAP3OUT)-(c_TMAP2OUT))+IF(((c_TMAP3OUT)-(c_TMAP2OUT))&gt;=0,1,-1)*QUOTIENT(((c_TMAP3IN)-(c_TMAP2IN)),2))+2147483648,4294967296)-2147483648,((c_TMAP3IN)-(c_TMAP2IN))*(((A82)-(c_TMAP2IN))*((c_TMAP3OUT)-(c_TMAP2OUT))+IF(((c_TMAP3OUT)-(c_TMAP2OUT))&gt;=0,1,-1)*QUOTIENT(((c_TMAP3IN)-(c_TMAP2IN)),2)))&gt;=0,1,0)))</f>
        <v>9</v>
      </c>
      <c r="G82" s="7" t="n">
        <f aca="false">IF(((1000)-(c_TMAP3IN))=0,(c_TMAP3OUT)+QUOTIENT(((1000)-(c_TMAP3OUT)),2),QUOTIENT((((A82)-(c_TMAP3IN))*((1000)-(c_TMAP3OUT))+IF(((1000)-(c_TMAP3OUT))&gt;=0,1,-1)*QUOTIENT(((1000)-(c_TMAP3IN)),2)),((1000)-(c_TMAP3IN)))+(c_TMAP3OUT)+IF(((1000)-(c_TMAP3OUT))&gt;=0,IF(IF(o_WRAP=1,MOD(((1000)-(c_TMAP3IN))*(((A82)-(c_TMAP3IN))*((1000)-(c_TMAP3OUT))+IF(((1000)-(c_TMAP3OUT))&gt;=0,1,-1)*QUOTIENT(((1000)-(c_TMAP3IN)),2))+2147483648,4294967296)-2147483648,((1000)-(c_TMAP3IN))*(((A82)-(c_TMAP3IN))*((1000)-(c_TMAP3OUT))+IF(((1000)-(c_TMAP3OUT))&gt;=0,1,-1)*QUOTIENT(((1000)-(c_TMAP3IN)),2)))&lt;0,-1,0),IF(IF(o_WRAP=1,MOD(((1000)-(c_TMAP3IN))*(((A82)-(c_TMAP3IN))*((1000)-(c_TMAP3OUT))+IF(((1000)-(c_TMAP3OUT))&gt;=0,1,-1)*QUOTIENT(((1000)-(c_TMAP3IN)),2))+2147483648,4294967296)-2147483648,((1000)-(c_TMAP3IN))*(((A82)-(c_TMAP3IN))*((1000)-(c_TMAP3OUT))+IF(((1000)-(c_TMAP3OUT))&gt;=0,1,-1)*QUOTIENT(((1000)-(c_TMAP3IN)),2)))&gt;=0,1,0)))</f>
        <v>-136</v>
      </c>
      <c r="H82" s="7" t="str">
        <f aca="false">IF(A82&gt;=c_TFWD,IF(AND(A82&gt;=c_TMAP3IN,c_TMAP3IN&lt;1000),"Seg4 map3-100%",IF(AND(A82&gt;=c_TMAP2IN,c_TMAP3IN&gt;c_TMAP2IN),"Seg3 map2-map3",IF(AND(A82&gt;=c_TMAP1IN,c_TMAP2IN&gt;c_TMAP1IN),"Seg2 map1-map2","Seg1 TFWD-map1"))),IF(AND(A82=0,c_TCREEP&gt;0),"Creep",IF(AND(A82&lt;=c_TRNGMIN,A82&gt;=c_TRNGMAX,c_TRNGMIN-c_TRNGMAX&lt;&gt;0),"Regen ramp","Coast (0)")))</f>
        <v>Seg1 TFWD-map1</v>
      </c>
      <c r="I82" s="7" t="n">
        <f aca="false">IF(A82&gt;=c_TFWD,IF(AND(A82&gt;=c_TMAP3IN,c_TMAP3IN&lt;1000),G82,IF(AND(A82&gt;=c_TMAP2IN,c_TMAP3IN&gt;c_TMAP2IN),F82,IF(AND(A82&gt;=c_TMAP1IN,c_TMAP2IN&gt;c_TMAP1IN),E82,D82))),C82)</f>
        <v>52</v>
      </c>
      <c r="J82" s="7" t="str">
        <f aca="false">IF(I82&lt;-1090,"TOO LOW",IF(I82&gt;1090,"TOO HIGH",""))</f>
        <v/>
      </c>
      <c r="K82" s="15" t="n">
        <f aca="false">IF(J82&lt;&gt;"",0,IF(I82&gt;979,1000,I82))</f>
        <v>52</v>
      </c>
      <c r="L82" s="7" t="n">
        <f aca="false">K82/10</f>
        <v>5.2</v>
      </c>
    </row>
    <row r="83" customFormat="false" ht="15" hidden="false" customHeight="false" outlineLevel="0" collapsed="false">
      <c r="A83" s="7" t="n">
        <v>78</v>
      </c>
      <c r="B83" s="7" t="n">
        <f aca="false">A83/10</f>
        <v>7.8</v>
      </c>
      <c r="C83" s="7" t="n">
        <f aca="false">IF(AND(A83=0,c_TCREEP&gt;0),10*c_TCREEP,IF(AND(A83&lt;=c_TRNGMIN,A83&gt;=c_TRNGMAX,c_TRNGMIN-c_TRNGMAX&lt;&gt;0),-10*c_TMINRN+QUOTIENT((c_TMAXRN-c_TMINRN)*(100-QUOTIENT((A83-c_TRNGMAX)*100,c_TRNGMIN-c_TRNGMAX)),-10),0))</f>
        <v>0</v>
      </c>
      <c r="D83" s="7" t="n">
        <f aca="false">IF(((c_TMAP1IN)-(c_TFWD))=0,(0)+QUOTIENT(((c_TMAP1OUT)-(0)),2),QUOTIENT((((A83)-(c_TFWD))*((c_TMAP1OUT)-(0))+IF(((c_TMAP1OUT)-(0))&gt;=0,1,-1)*QUOTIENT(((c_TMAP1IN)-(c_TFWD)),2)),((c_TMAP1IN)-(c_TFWD)))+(0)+IF(((c_TMAP1OUT)-(0))&gt;=0,IF(IF(o_WRAP=1,MOD(((c_TMAP1IN)-(c_TFWD))*(((A83)-(c_TFWD))*((c_TMAP1OUT)-(0))+IF(((c_TMAP1OUT)-(0))&gt;=0,1,-1)*QUOTIENT(((c_TMAP1IN)-(c_TFWD)),2))+2147483648,4294967296)-2147483648,((c_TMAP1IN)-(c_TFWD))*(((A83)-(c_TFWD))*((c_TMAP1OUT)-(0))+IF(((c_TMAP1OUT)-(0))&gt;=0,1,-1)*QUOTIENT(((c_TMAP1IN)-(c_TFWD)),2)))&lt;0,-1,0),IF(IF(o_WRAP=1,MOD(((c_TMAP1IN)-(c_TFWD))*(((A83)-(c_TFWD))*((c_TMAP1OUT)-(0))+IF(((c_TMAP1OUT)-(0))&gt;=0,1,-1)*QUOTIENT(((c_TMAP1IN)-(c_TFWD)),2))+2147483648,4294967296)-2147483648,((c_TMAP1IN)-(c_TFWD))*(((A83)-(c_TFWD))*((c_TMAP1OUT)-(0))+IF(((c_TMAP1OUT)-(0))&gt;=0,1,-1)*QUOTIENT(((c_TMAP1IN)-(c_TFWD)),2)))&gt;=0,1,0)))</f>
        <v>53</v>
      </c>
      <c r="E83" s="7" t="n">
        <f aca="false">IF(((c_TMAP2IN)-(c_TMAP1IN))=0,(c_TMAP1OUT)+QUOTIENT(((c_TMAP2OUT)-(c_TMAP1OUT)),2),QUOTIENT((((A83)-(c_TMAP1IN))*((c_TMAP2OUT)-(c_TMAP1OUT))+IF(((c_TMAP2OUT)-(c_TMAP1OUT))&gt;=0,1,-1)*QUOTIENT(((c_TMAP2IN)-(c_TMAP1IN)),2)),((c_TMAP2IN)-(c_TMAP1IN)))+(c_TMAP1OUT)+IF(((c_TMAP2OUT)-(c_TMAP1OUT))&gt;=0,IF(IF(o_WRAP=1,MOD(((c_TMAP2IN)-(c_TMAP1IN))*(((A83)-(c_TMAP1IN))*((c_TMAP2OUT)-(c_TMAP1OUT))+IF(((c_TMAP2OUT)-(c_TMAP1OUT))&gt;=0,1,-1)*QUOTIENT(((c_TMAP2IN)-(c_TMAP1IN)),2))+2147483648,4294967296)-2147483648,((c_TMAP2IN)-(c_TMAP1IN))*(((A83)-(c_TMAP1IN))*((c_TMAP2OUT)-(c_TMAP1OUT))+IF(((c_TMAP2OUT)-(c_TMAP1OUT))&gt;=0,1,-1)*QUOTIENT(((c_TMAP2IN)-(c_TMAP1IN)),2)))&lt;0,-1,0),IF(IF(o_WRAP=1,MOD(((c_TMAP2IN)-(c_TMAP1IN))*(((A83)-(c_TMAP1IN))*((c_TMAP2OUT)-(c_TMAP1OUT))+IF(((c_TMAP2OUT)-(c_TMAP1OUT))&gt;=0,1,-1)*QUOTIENT(((c_TMAP2IN)-(c_TMAP1IN)),2))+2147483648,4294967296)-2147483648,((c_TMAP2IN)-(c_TMAP1IN))*(((A83)-(c_TMAP1IN))*((c_TMAP2OUT)-(c_TMAP1OUT))+IF(((c_TMAP2OUT)-(c_TMAP1OUT))&gt;=0,1,-1)*QUOTIENT(((c_TMAP2IN)-(c_TMAP1IN)),2)))&gt;=0,1,0)))</f>
        <v>61</v>
      </c>
      <c r="F83" s="7" t="n">
        <f aca="false">IF(((c_TMAP3IN)-(c_TMAP2IN))=0,(c_TMAP2OUT)+QUOTIENT(((c_TMAP3OUT)-(c_TMAP2OUT)),2),QUOTIENT((((A83)-(c_TMAP2IN))*((c_TMAP3OUT)-(c_TMAP2OUT))+IF(((c_TMAP3OUT)-(c_TMAP2OUT))&gt;=0,1,-1)*QUOTIENT(((c_TMAP3IN)-(c_TMAP2IN)),2)),((c_TMAP3IN)-(c_TMAP2IN)))+(c_TMAP2OUT)+IF(((c_TMAP3OUT)-(c_TMAP2OUT))&gt;=0,IF(IF(o_WRAP=1,MOD(((c_TMAP3IN)-(c_TMAP2IN))*(((A83)-(c_TMAP2IN))*((c_TMAP3OUT)-(c_TMAP2OUT))+IF(((c_TMAP3OUT)-(c_TMAP2OUT))&gt;=0,1,-1)*QUOTIENT(((c_TMAP3IN)-(c_TMAP2IN)),2))+2147483648,4294967296)-2147483648,((c_TMAP3IN)-(c_TMAP2IN))*(((A83)-(c_TMAP2IN))*((c_TMAP3OUT)-(c_TMAP2OUT))+IF(((c_TMAP3OUT)-(c_TMAP2OUT))&gt;=0,1,-1)*QUOTIENT(((c_TMAP3IN)-(c_TMAP2IN)),2)))&lt;0,-1,0),IF(IF(o_WRAP=1,MOD(((c_TMAP3IN)-(c_TMAP2IN))*(((A83)-(c_TMAP2IN))*((c_TMAP3OUT)-(c_TMAP2OUT))+IF(((c_TMAP3OUT)-(c_TMAP2OUT))&gt;=0,1,-1)*QUOTIENT(((c_TMAP3IN)-(c_TMAP2IN)),2))+2147483648,4294967296)-2147483648,((c_TMAP3IN)-(c_TMAP2IN))*(((A83)-(c_TMAP2IN))*((c_TMAP3OUT)-(c_TMAP2OUT))+IF(((c_TMAP3OUT)-(c_TMAP2OUT))&gt;=0,1,-1)*QUOTIENT(((c_TMAP3IN)-(c_TMAP2IN)),2)))&gt;=0,1,0)))</f>
        <v>10</v>
      </c>
      <c r="G83" s="7" t="n">
        <f aca="false">IF(((1000)-(c_TMAP3IN))=0,(c_TMAP3OUT)+QUOTIENT(((1000)-(c_TMAP3OUT)),2),QUOTIENT((((A83)-(c_TMAP3IN))*((1000)-(c_TMAP3OUT))+IF(((1000)-(c_TMAP3OUT))&gt;=0,1,-1)*QUOTIENT(((1000)-(c_TMAP3IN)),2)),((1000)-(c_TMAP3IN)))+(c_TMAP3OUT)+IF(((1000)-(c_TMAP3OUT))&gt;=0,IF(IF(o_WRAP=1,MOD(((1000)-(c_TMAP3IN))*(((A83)-(c_TMAP3IN))*((1000)-(c_TMAP3OUT))+IF(((1000)-(c_TMAP3OUT))&gt;=0,1,-1)*QUOTIENT(((1000)-(c_TMAP3IN)),2))+2147483648,4294967296)-2147483648,((1000)-(c_TMAP3IN))*(((A83)-(c_TMAP3IN))*((1000)-(c_TMAP3OUT))+IF(((1000)-(c_TMAP3OUT))&gt;=0,1,-1)*QUOTIENT(((1000)-(c_TMAP3IN)),2)))&lt;0,-1,0),IF(IF(o_WRAP=1,MOD(((1000)-(c_TMAP3IN))*(((A83)-(c_TMAP3IN))*((1000)-(c_TMAP3OUT))+IF(((1000)-(c_TMAP3OUT))&gt;=0,1,-1)*QUOTIENT(((1000)-(c_TMAP3IN)),2))+2147483648,4294967296)-2147483648,((1000)-(c_TMAP3IN))*(((A83)-(c_TMAP3IN))*((1000)-(c_TMAP3OUT))+IF(((1000)-(c_TMAP3OUT))&gt;=0,1,-1)*QUOTIENT(((1000)-(c_TMAP3IN)),2)))&gt;=0,1,0)))</f>
        <v>-135</v>
      </c>
      <c r="H83" s="7" t="str">
        <f aca="false">IF(A83&gt;=c_TFWD,IF(AND(A83&gt;=c_TMAP3IN,c_TMAP3IN&lt;1000),"Seg4 map3-100%",IF(AND(A83&gt;=c_TMAP2IN,c_TMAP3IN&gt;c_TMAP2IN),"Seg3 map2-map3",IF(AND(A83&gt;=c_TMAP1IN,c_TMAP2IN&gt;c_TMAP1IN),"Seg2 map1-map2","Seg1 TFWD-map1"))),IF(AND(A83=0,c_TCREEP&gt;0),"Creep",IF(AND(A83&lt;=c_TRNGMIN,A83&gt;=c_TRNGMAX,c_TRNGMIN-c_TRNGMAX&lt;&gt;0),"Regen ramp","Coast (0)")))</f>
        <v>Seg1 TFWD-map1</v>
      </c>
      <c r="I83" s="7" t="n">
        <f aca="false">IF(A83&gt;=c_TFWD,IF(AND(A83&gt;=c_TMAP3IN,c_TMAP3IN&lt;1000),G83,IF(AND(A83&gt;=c_TMAP2IN,c_TMAP3IN&gt;c_TMAP2IN),F83,IF(AND(A83&gt;=c_TMAP1IN,c_TMAP2IN&gt;c_TMAP1IN),E83,D83))),C83)</f>
        <v>53</v>
      </c>
      <c r="J83" s="7" t="str">
        <f aca="false">IF(I83&lt;-1090,"TOO LOW",IF(I83&gt;1090,"TOO HIGH",""))</f>
        <v/>
      </c>
      <c r="K83" s="15" t="n">
        <f aca="false">IF(J83&lt;&gt;"",0,IF(I83&gt;979,1000,I83))</f>
        <v>53</v>
      </c>
      <c r="L83" s="7" t="n">
        <f aca="false">K83/10</f>
        <v>5.3</v>
      </c>
    </row>
    <row r="84" customFormat="false" ht="15" hidden="false" customHeight="false" outlineLevel="0" collapsed="false">
      <c r="A84" s="7" t="n">
        <v>79</v>
      </c>
      <c r="B84" s="7" t="n">
        <f aca="false">A84/10</f>
        <v>7.9</v>
      </c>
      <c r="C84" s="7" t="n">
        <f aca="false">IF(AND(A84=0,c_TCREEP&gt;0),10*c_TCREEP,IF(AND(A84&lt;=c_TRNGMIN,A84&gt;=c_TRNGMAX,c_TRNGMIN-c_TRNGMAX&lt;&gt;0),-10*c_TMINRN+QUOTIENT((c_TMAXRN-c_TMINRN)*(100-QUOTIENT((A84-c_TRNGMAX)*100,c_TRNGMIN-c_TRNGMAX)),-10),0))</f>
        <v>0</v>
      </c>
      <c r="D84" s="7" t="n">
        <f aca="false">IF(((c_TMAP1IN)-(c_TFWD))=0,(0)+QUOTIENT(((c_TMAP1OUT)-(0)),2),QUOTIENT((((A84)-(c_TFWD))*((c_TMAP1OUT)-(0))+IF(((c_TMAP1OUT)-(0))&gt;=0,1,-1)*QUOTIENT(((c_TMAP1IN)-(c_TFWD)),2)),((c_TMAP1IN)-(c_TFWD)))+(0)+IF(((c_TMAP1OUT)-(0))&gt;=0,IF(IF(o_WRAP=1,MOD(((c_TMAP1IN)-(c_TFWD))*(((A84)-(c_TFWD))*((c_TMAP1OUT)-(0))+IF(((c_TMAP1OUT)-(0))&gt;=0,1,-1)*QUOTIENT(((c_TMAP1IN)-(c_TFWD)),2))+2147483648,4294967296)-2147483648,((c_TMAP1IN)-(c_TFWD))*(((A84)-(c_TFWD))*((c_TMAP1OUT)-(0))+IF(((c_TMAP1OUT)-(0))&gt;=0,1,-1)*QUOTIENT(((c_TMAP1IN)-(c_TFWD)),2)))&lt;0,-1,0),IF(IF(o_WRAP=1,MOD(((c_TMAP1IN)-(c_TFWD))*(((A84)-(c_TFWD))*((c_TMAP1OUT)-(0))+IF(((c_TMAP1OUT)-(0))&gt;=0,1,-1)*QUOTIENT(((c_TMAP1IN)-(c_TFWD)),2))+2147483648,4294967296)-2147483648,((c_TMAP1IN)-(c_TFWD))*(((A84)-(c_TFWD))*((c_TMAP1OUT)-(0))+IF(((c_TMAP1OUT)-(0))&gt;=0,1,-1)*QUOTIENT(((c_TMAP1IN)-(c_TFWD)),2)))&gt;=0,1,0)))</f>
        <v>54</v>
      </c>
      <c r="E84" s="7" t="n">
        <f aca="false">IF(((c_TMAP2IN)-(c_TMAP1IN))=0,(c_TMAP1OUT)+QUOTIENT(((c_TMAP2OUT)-(c_TMAP1OUT)),2),QUOTIENT((((A84)-(c_TMAP1IN))*((c_TMAP2OUT)-(c_TMAP1OUT))+IF(((c_TMAP2OUT)-(c_TMAP1OUT))&gt;=0,1,-1)*QUOTIENT(((c_TMAP2IN)-(c_TMAP1IN)),2)),((c_TMAP2IN)-(c_TMAP1IN)))+(c_TMAP1OUT)+IF(((c_TMAP2OUT)-(c_TMAP1OUT))&gt;=0,IF(IF(o_WRAP=1,MOD(((c_TMAP2IN)-(c_TMAP1IN))*(((A84)-(c_TMAP1IN))*((c_TMAP2OUT)-(c_TMAP1OUT))+IF(((c_TMAP2OUT)-(c_TMAP1OUT))&gt;=0,1,-1)*QUOTIENT(((c_TMAP2IN)-(c_TMAP1IN)),2))+2147483648,4294967296)-2147483648,((c_TMAP2IN)-(c_TMAP1IN))*(((A84)-(c_TMAP1IN))*((c_TMAP2OUT)-(c_TMAP1OUT))+IF(((c_TMAP2OUT)-(c_TMAP1OUT))&gt;=0,1,-1)*QUOTIENT(((c_TMAP2IN)-(c_TMAP1IN)),2)))&lt;0,-1,0),IF(IF(o_WRAP=1,MOD(((c_TMAP2IN)-(c_TMAP1IN))*(((A84)-(c_TMAP1IN))*((c_TMAP2OUT)-(c_TMAP1OUT))+IF(((c_TMAP2OUT)-(c_TMAP1OUT))&gt;=0,1,-1)*QUOTIENT(((c_TMAP2IN)-(c_TMAP1IN)),2))+2147483648,4294967296)-2147483648,((c_TMAP2IN)-(c_TMAP1IN))*(((A84)-(c_TMAP1IN))*((c_TMAP2OUT)-(c_TMAP1OUT))+IF(((c_TMAP2OUT)-(c_TMAP1OUT))&gt;=0,1,-1)*QUOTIENT(((c_TMAP2IN)-(c_TMAP1IN)),2)))&gt;=0,1,0)))</f>
        <v>62</v>
      </c>
      <c r="F84" s="7" t="n">
        <f aca="false">IF(((c_TMAP3IN)-(c_TMAP2IN))=0,(c_TMAP2OUT)+QUOTIENT(((c_TMAP3OUT)-(c_TMAP2OUT)),2),QUOTIENT((((A84)-(c_TMAP2IN))*((c_TMAP3OUT)-(c_TMAP2OUT))+IF(((c_TMAP3OUT)-(c_TMAP2OUT))&gt;=0,1,-1)*QUOTIENT(((c_TMAP3IN)-(c_TMAP2IN)),2)),((c_TMAP3IN)-(c_TMAP2IN)))+(c_TMAP2OUT)+IF(((c_TMAP3OUT)-(c_TMAP2OUT))&gt;=0,IF(IF(o_WRAP=1,MOD(((c_TMAP3IN)-(c_TMAP2IN))*(((A84)-(c_TMAP2IN))*((c_TMAP3OUT)-(c_TMAP2OUT))+IF(((c_TMAP3OUT)-(c_TMAP2OUT))&gt;=0,1,-1)*QUOTIENT(((c_TMAP3IN)-(c_TMAP2IN)),2))+2147483648,4294967296)-2147483648,((c_TMAP3IN)-(c_TMAP2IN))*(((A84)-(c_TMAP2IN))*((c_TMAP3OUT)-(c_TMAP2OUT))+IF(((c_TMAP3OUT)-(c_TMAP2OUT))&gt;=0,1,-1)*QUOTIENT(((c_TMAP3IN)-(c_TMAP2IN)),2)))&lt;0,-1,0),IF(IF(o_WRAP=1,MOD(((c_TMAP3IN)-(c_TMAP2IN))*(((A84)-(c_TMAP2IN))*((c_TMAP3OUT)-(c_TMAP2OUT))+IF(((c_TMAP3OUT)-(c_TMAP2OUT))&gt;=0,1,-1)*QUOTIENT(((c_TMAP3IN)-(c_TMAP2IN)),2))+2147483648,4294967296)-2147483648,((c_TMAP3IN)-(c_TMAP2IN))*(((A84)-(c_TMAP2IN))*((c_TMAP3OUT)-(c_TMAP2OUT))+IF(((c_TMAP3OUT)-(c_TMAP2OUT))&gt;=0,1,-1)*QUOTIENT(((c_TMAP3IN)-(c_TMAP2IN)),2)))&gt;=0,1,0)))</f>
        <v>10</v>
      </c>
      <c r="G84" s="7" t="n">
        <f aca="false">IF(((1000)-(c_TMAP3IN))=0,(c_TMAP3OUT)+QUOTIENT(((1000)-(c_TMAP3OUT)),2),QUOTIENT((((A84)-(c_TMAP3IN))*((1000)-(c_TMAP3OUT))+IF(((1000)-(c_TMAP3OUT))&gt;=0,1,-1)*QUOTIENT(((1000)-(c_TMAP3IN)),2)),((1000)-(c_TMAP3IN)))+(c_TMAP3OUT)+IF(((1000)-(c_TMAP3OUT))&gt;=0,IF(IF(o_WRAP=1,MOD(((1000)-(c_TMAP3IN))*(((A84)-(c_TMAP3IN))*((1000)-(c_TMAP3OUT))+IF(((1000)-(c_TMAP3OUT))&gt;=0,1,-1)*QUOTIENT(((1000)-(c_TMAP3IN)),2))+2147483648,4294967296)-2147483648,((1000)-(c_TMAP3IN))*(((A84)-(c_TMAP3IN))*((1000)-(c_TMAP3OUT))+IF(((1000)-(c_TMAP3OUT))&gt;=0,1,-1)*QUOTIENT(((1000)-(c_TMAP3IN)),2)))&lt;0,-1,0),IF(IF(o_WRAP=1,MOD(((1000)-(c_TMAP3IN))*(((A84)-(c_TMAP3IN))*((1000)-(c_TMAP3OUT))+IF(((1000)-(c_TMAP3OUT))&gt;=0,1,-1)*QUOTIENT(((1000)-(c_TMAP3IN)),2))+2147483648,4294967296)-2147483648,((1000)-(c_TMAP3IN))*(((A84)-(c_TMAP3IN))*((1000)-(c_TMAP3OUT))+IF(((1000)-(c_TMAP3OUT))&gt;=0,1,-1)*QUOTIENT(((1000)-(c_TMAP3IN)),2)))&gt;=0,1,0)))</f>
        <v>-134</v>
      </c>
      <c r="H84" s="7" t="str">
        <f aca="false">IF(A84&gt;=c_TFWD,IF(AND(A84&gt;=c_TMAP3IN,c_TMAP3IN&lt;1000),"Seg4 map3-100%",IF(AND(A84&gt;=c_TMAP2IN,c_TMAP3IN&gt;c_TMAP2IN),"Seg3 map2-map3",IF(AND(A84&gt;=c_TMAP1IN,c_TMAP2IN&gt;c_TMAP1IN),"Seg2 map1-map2","Seg1 TFWD-map1"))),IF(AND(A84=0,c_TCREEP&gt;0),"Creep",IF(AND(A84&lt;=c_TRNGMIN,A84&gt;=c_TRNGMAX,c_TRNGMIN-c_TRNGMAX&lt;&gt;0),"Regen ramp","Coast (0)")))</f>
        <v>Seg1 TFWD-map1</v>
      </c>
      <c r="I84" s="7" t="n">
        <f aca="false">IF(A84&gt;=c_TFWD,IF(AND(A84&gt;=c_TMAP3IN,c_TMAP3IN&lt;1000),G84,IF(AND(A84&gt;=c_TMAP2IN,c_TMAP3IN&gt;c_TMAP2IN),F84,IF(AND(A84&gt;=c_TMAP1IN,c_TMAP2IN&gt;c_TMAP1IN),E84,D84))),C84)</f>
        <v>54</v>
      </c>
      <c r="J84" s="7" t="str">
        <f aca="false">IF(I84&lt;-1090,"TOO LOW",IF(I84&gt;1090,"TOO HIGH",""))</f>
        <v/>
      </c>
      <c r="K84" s="15" t="n">
        <f aca="false">IF(J84&lt;&gt;"",0,IF(I84&gt;979,1000,I84))</f>
        <v>54</v>
      </c>
      <c r="L84" s="7" t="n">
        <f aca="false">K84/10</f>
        <v>5.4</v>
      </c>
    </row>
    <row r="85" customFormat="false" ht="15" hidden="false" customHeight="false" outlineLevel="0" collapsed="false">
      <c r="A85" s="7" t="n">
        <v>80</v>
      </c>
      <c r="B85" s="7" t="n">
        <f aca="false">A85/10</f>
        <v>8</v>
      </c>
      <c r="C85" s="7" t="n">
        <f aca="false">IF(AND(A85=0,c_TCREEP&gt;0),10*c_TCREEP,IF(AND(A85&lt;=c_TRNGMIN,A85&gt;=c_TRNGMAX,c_TRNGMIN-c_TRNGMAX&lt;&gt;0),-10*c_TMINRN+QUOTIENT((c_TMAXRN-c_TMINRN)*(100-QUOTIENT((A85-c_TRNGMAX)*100,c_TRNGMIN-c_TRNGMAX)),-10),0))</f>
        <v>0</v>
      </c>
      <c r="D85" s="7" t="n">
        <f aca="false">IF(((c_TMAP1IN)-(c_TFWD))=0,(0)+QUOTIENT(((c_TMAP1OUT)-(0)),2),QUOTIENT((((A85)-(c_TFWD))*((c_TMAP1OUT)-(0))+IF(((c_TMAP1OUT)-(0))&gt;=0,1,-1)*QUOTIENT(((c_TMAP1IN)-(c_TFWD)),2)),((c_TMAP1IN)-(c_TFWD)))+(0)+IF(((c_TMAP1OUT)-(0))&gt;=0,IF(IF(o_WRAP=1,MOD(((c_TMAP1IN)-(c_TFWD))*(((A85)-(c_TFWD))*((c_TMAP1OUT)-(0))+IF(((c_TMAP1OUT)-(0))&gt;=0,1,-1)*QUOTIENT(((c_TMAP1IN)-(c_TFWD)),2))+2147483648,4294967296)-2147483648,((c_TMAP1IN)-(c_TFWD))*(((A85)-(c_TFWD))*((c_TMAP1OUT)-(0))+IF(((c_TMAP1OUT)-(0))&gt;=0,1,-1)*QUOTIENT(((c_TMAP1IN)-(c_TFWD)),2)))&lt;0,-1,0),IF(IF(o_WRAP=1,MOD(((c_TMAP1IN)-(c_TFWD))*(((A85)-(c_TFWD))*((c_TMAP1OUT)-(0))+IF(((c_TMAP1OUT)-(0))&gt;=0,1,-1)*QUOTIENT(((c_TMAP1IN)-(c_TFWD)),2))+2147483648,4294967296)-2147483648,((c_TMAP1IN)-(c_TFWD))*(((A85)-(c_TFWD))*((c_TMAP1OUT)-(0))+IF(((c_TMAP1OUT)-(0))&gt;=0,1,-1)*QUOTIENT(((c_TMAP1IN)-(c_TFWD)),2)))&gt;=0,1,0)))</f>
        <v>54</v>
      </c>
      <c r="E85" s="7" t="n">
        <f aca="false">IF(((c_TMAP2IN)-(c_TMAP1IN))=0,(c_TMAP1OUT)+QUOTIENT(((c_TMAP2OUT)-(c_TMAP1OUT)),2),QUOTIENT((((A85)-(c_TMAP1IN))*((c_TMAP2OUT)-(c_TMAP1OUT))+IF(((c_TMAP2OUT)-(c_TMAP1OUT))&gt;=0,1,-1)*QUOTIENT(((c_TMAP2IN)-(c_TMAP1IN)),2)),((c_TMAP2IN)-(c_TMAP1IN)))+(c_TMAP1OUT)+IF(((c_TMAP2OUT)-(c_TMAP1OUT))&gt;=0,IF(IF(o_WRAP=1,MOD(((c_TMAP2IN)-(c_TMAP1IN))*(((A85)-(c_TMAP1IN))*((c_TMAP2OUT)-(c_TMAP1OUT))+IF(((c_TMAP2OUT)-(c_TMAP1OUT))&gt;=0,1,-1)*QUOTIENT(((c_TMAP2IN)-(c_TMAP1IN)),2))+2147483648,4294967296)-2147483648,((c_TMAP2IN)-(c_TMAP1IN))*(((A85)-(c_TMAP1IN))*((c_TMAP2OUT)-(c_TMAP1OUT))+IF(((c_TMAP2OUT)-(c_TMAP1OUT))&gt;=0,1,-1)*QUOTIENT(((c_TMAP2IN)-(c_TMAP1IN)),2)))&lt;0,-1,0),IF(IF(o_WRAP=1,MOD(((c_TMAP2IN)-(c_TMAP1IN))*(((A85)-(c_TMAP1IN))*((c_TMAP2OUT)-(c_TMAP1OUT))+IF(((c_TMAP2OUT)-(c_TMAP1OUT))&gt;=0,1,-1)*QUOTIENT(((c_TMAP2IN)-(c_TMAP1IN)),2))+2147483648,4294967296)-2147483648,((c_TMAP2IN)-(c_TMAP1IN))*(((A85)-(c_TMAP1IN))*((c_TMAP2OUT)-(c_TMAP1OUT))+IF(((c_TMAP2OUT)-(c_TMAP1OUT))&gt;=0,1,-1)*QUOTIENT(((c_TMAP2IN)-(c_TMAP1IN)),2)))&gt;=0,1,0)))</f>
        <v>62</v>
      </c>
      <c r="F85" s="7" t="n">
        <f aca="false">IF(((c_TMAP3IN)-(c_TMAP2IN))=0,(c_TMAP2OUT)+QUOTIENT(((c_TMAP3OUT)-(c_TMAP2OUT)),2),QUOTIENT((((A85)-(c_TMAP2IN))*((c_TMAP3OUT)-(c_TMAP2OUT))+IF(((c_TMAP3OUT)-(c_TMAP2OUT))&gt;=0,1,-1)*QUOTIENT(((c_TMAP3IN)-(c_TMAP2IN)),2)),((c_TMAP3IN)-(c_TMAP2IN)))+(c_TMAP2OUT)+IF(((c_TMAP3OUT)-(c_TMAP2OUT))&gt;=0,IF(IF(o_WRAP=1,MOD(((c_TMAP3IN)-(c_TMAP2IN))*(((A85)-(c_TMAP2IN))*((c_TMAP3OUT)-(c_TMAP2OUT))+IF(((c_TMAP3OUT)-(c_TMAP2OUT))&gt;=0,1,-1)*QUOTIENT(((c_TMAP3IN)-(c_TMAP2IN)),2))+2147483648,4294967296)-2147483648,((c_TMAP3IN)-(c_TMAP2IN))*(((A85)-(c_TMAP2IN))*((c_TMAP3OUT)-(c_TMAP2OUT))+IF(((c_TMAP3OUT)-(c_TMAP2OUT))&gt;=0,1,-1)*QUOTIENT(((c_TMAP3IN)-(c_TMAP2IN)),2)))&lt;0,-1,0),IF(IF(o_WRAP=1,MOD(((c_TMAP3IN)-(c_TMAP2IN))*(((A85)-(c_TMAP2IN))*((c_TMAP3OUT)-(c_TMAP2OUT))+IF(((c_TMAP3OUT)-(c_TMAP2OUT))&gt;=0,1,-1)*QUOTIENT(((c_TMAP3IN)-(c_TMAP2IN)),2))+2147483648,4294967296)-2147483648,((c_TMAP3IN)-(c_TMAP2IN))*(((A85)-(c_TMAP2IN))*((c_TMAP3OUT)-(c_TMAP2OUT))+IF(((c_TMAP3OUT)-(c_TMAP2OUT))&gt;=0,1,-1)*QUOTIENT(((c_TMAP3IN)-(c_TMAP2IN)),2)))&gt;=0,1,0)))</f>
        <v>11</v>
      </c>
      <c r="G85" s="7" t="n">
        <f aca="false">IF(((1000)-(c_TMAP3IN))=0,(c_TMAP3OUT)+QUOTIENT(((1000)-(c_TMAP3OUT)),2),QUOTIENT((((A85)-(c_TMAP3IN))*((1000)-(c_TMAP3OUT))+IF(((1000)-(c_TMAP3OUT))&gt;=0,1,-1)*QUOTIENT(((1000)-(c_TMAP3IN)),2)),((1000)-(c_TMAP3IN)))+(c_TMAP3OUT)+IF(((1000)-(c_TMAP3OUT))&gt;=0,IF(IF(o_WRAP=1,MOD(((1000)-(c_TMAP3IN))*(((A85)-(c_TMAP3IN))*((1000)-(c_TMAP3OUT))+IF(((1000)-(c_TMAP3OUT))&gt;=0,1,-1)*QUOTIENT(((1000)-(c_TMAP3IN)),2))+2147483648,4294967296)-2147483648,((1000)-(c_TMAP3IN))*(((A85)-(c_TMAP3IN))*((1000)-(c_TMAP3OUT))+IF(((1000)-(c_TMAP3OUT))&gt;=0,1,-1)*QUOTIENT(((1000)-(c_TMAP3IN)),2)))&lt;0,-1,0),IF(IF(o_WRAP=1,MOD(((1000)-(c_TMAP3IN))*(((A85)-(c_TMAP3IN))*((1000)-(c_TMAP3OUT))+IF(((1000)-(c_TMAP3OUT))&gt;=0,1,-1)*QUOTIENT(((1000)-(c_TMAP3IN)),2))+2147483648,4294967296)-2147483648,((1000)-(c_TMAP3IN))*(((A85)-(c_TMAP3IN))*((1000)-(c_TMAP3OUT))+IF(((1000)-(c_TMAP3OUT))&gt;=0,1,-1)*QUOTIENT(((1000)-(c_TMAP3IN)),2)))&gt;=0,1,0)))</f>
        <v>-132</v>
      </c>
      <c r="H85" s="7" t="str">
        <f aca="false">IF(A85&gt;=c_TFWD,IF(AND(A85&gt;=c_TMAP3IN,c_TMAP3IN&lt;1000),"Seg4 map3-100%",IF(AND(A85&gt;=c_TMAP2IN,c_TMAP3IN&gt;c_TMAP2IN),"Seg3 map2-map3",IF(AND(A85&gt;=c_TMAP1IN,c_TMAP2IN&gt;c_TMAP1IN),"Seg2 map1-map2","Seg1 TFWD-map1"))),IF(AND(A85=0,c_TCREEP&gt;0),"Creep",IF(AND(A85&lt;=c_TRNGMIN,A85&gt;=c_TRNGMAX,c_TRNGMIN-c_TRNGMAX&lt;&gt;0),"Regen ramp","Coast (0)")))</f>
        <v>Seg1 TFWD-map1</v>
      </c>
      <c r="I85" s="7" t="n">
        <f aca="false">IF(A85&gt;=c_TFWD,IF(AND(A85&gt;=c_TMAP3IN,c_TMAP3IN&lt;1000),G85,IF(AND(A85&gt;=c_TMAP2IN,c_TMAP3IN&gt;c_TMAP2IN),F85,IF(AND(A85&gt;=c_TMAP1IN,c_TMAP2IN&gt;c_TMAP1IN),E85,D85))),C85)</f>
        <v>54</v>
      </c>
      <c r="J85" s="7" t="str">
        <f aca="false">IF(I85&lt;-1090,"TOO LOW",IF(I85&gt;1090,"TOO HIGH",""))</f>
        <v/>
      </c>
      <c r="K85" s="15" t="n">
        <f aca="false">IF(J85&lt;&gt;"",0,IF(I85&gt;979,1000,I85))</f>
        <v>54</v>
      </c>
      <c r="L85" s="7" t="n">
        <f aca="false">K85/10</f>
        <v>5.4</v>
      </c>
    </row>
    <row r="86" customFormat="false" ht="15" hidden="false" customHeight="false" outlineLevel="0" collapsed="false">
      <c r="A86" s="7" t="n">
        <v>81</v>
      </c>
      <c r="B86" s="7" t="n">
        <f aca="false">A86/10</f>
        <v>8.1</v>
      </c>
      <c r="C86" s="7" t="n">
        <f aca="false">IF(AND(A86=0,c_TCREEP&gt;0),10*c_TCREEP,IF(AND(A86&lt;=c_TRNGMIN,A86&gt;=c_TRNGMAX,c_TRNGMIN-c_TRNGMAX&lt;&gt;0),-10*c_TMINRN+QUOTIENT((c_TMAXRN-c_TMINRN)*(100-QUOTIENT((A86-c_TRNGMAX)*100,c_TRNGMIN-c_TRNGMAX)),-10),0))</f>
        <v>0</v>
      </c>
      <c r="D86" s="7" t="n">
        <f aca="false">IF(((c_TMAP1IN)-(c_TFWD))=0,(0)+QUOTIENT(((c_TMAP1OUT)-(0)),2),QUOTIENT((((A86)-(c_TFWD))*((c_TMAP1OUT)-(0))+IF(((c_TMAP1OUT)-(0))&gt;=0,1,-1)*QUOTIENT(((c_TMAP1IN)-(c_TFWD)),2)),((c_TMAP1IN)-(c_TFWD)))+(0)+IF(((c_TMAP1OUT)-(0))&gt;=0,IF(IF(o_WRAP=1,MOD(((c_TMAP1IN)-(c_TFWD))*(((A86)-(c_TFWD))*((c_TMAP1OUT)-(0))+IF(((c_TMAP1OUT)-(0))&gt;=0,1,-1)*QUOTIENT(((c_TMAP1IN)-(c_TFWD)),2))+2147483648,4294967296)-2147483648,((c_TMAP1IN)-(c_TFWD))*(((A86)-(c_TFWD))*((c_TMAP1OUT)-(0))+IF(((c_TMAP1OUT)-(0))&gt;=0,1,-1)*QUOTIENT(((c_TMAP1IN)-(c_TFWD)),2)))&lt;0,-1,0),IF(IF(o_WRAP=1,MOD(((c_TMAP1IN)-(c_TFWD))*(((A86)-(c_TFWD))*((c_TMAP1OUT)-(0))+IF(((c_TMAP1OUT)-(0))&gt;=0,1,-1)*QUOTIENT(((c_TMAP1IN)-(c_TFWD)),2))+2147483648,4294967296)-2147483648,((c_TMAP1IN)-(c_TFWD))*(((A86)-(c_TFWD))*((c_TMAP1OUT)-(0))+IF(((c_TMAP1OUT)-(0))&gt;=0,1,-1)*QUOTIENT(((c_TMAP1IN)-(c_TFWD)),2)))&gt;=0,1,0)))</f>
        <v>55</v>
      </c>
      <c r="E86" s="7" t="n">
        <f aca="false">IF(((c_TMAP2IN)-(c_TMAP1IN))=0,(c_TMAP1OUT)+QUOTIENT(((c_TMAP2OUT)-(c_TMAP1OUT)),2),QUOTIENT((((A86)-(c_TMAP1IN))*((c_TMAP2OUT)-(c_TMAP1OUT))+IF(((c_TMAP2OUT)-(c_TMAP1OUT))&gt;=0,1,-1)*QUOTIENT(((c_TMAP2IN)-(c_TMAP1IN)),2)),((c_TMAP2IN)-(c_TMAP1IN)))+(c_TMAP1OUT)+IF(((c_TMAP2OUT)-(c_TMAP1OUT))&gt;=0,IF(IF(o_WRAP=1,MOD(((c_TMAP2IN)-(c_TMAP1IN))*(((A86)-(c_TMAP1IN))*((c_TMAP2OUT)-(c_TMAP1OUT))+IF(((c_TMAP2OUT)-(c_TMAP1OUT))&gt;=0,1,-1)*QUOTIENT(((c_TMAP2IN)-(c_TMAP1IN)),2))+2147483648,4294967296)-2147483648,((c_TMAP2IN)-(c_TMAP1IN))*(((A86)-(c_TMAP1IN))*((c_TMAP2OUT)-(c_TMAP1OUT))+IF(((c_TMAP2OUT)-(c_TMAP1OUT))&gt;=0,1,-1)*QUOTIENT(((c_TMAP2IN)-(c_TMAP1IN)),2)))&lt;0,-1,0),IF(IF(o_WRAP=1,MOD(((c_TMAP2IN)-(c_TMAP1IN))*(((A86)-(c_TMAP1IN))*((c_TMAP2OUT)-(c_TMAP1OUT))+IF(((c_TMAP2OUT)-(c_TMAP1OUT))&gt;=0,1,-1)*QUOTIENT(((c_TMAP2IN)-(c_TMAP1IN)),2))+2147483648,4294967296)-2147483648,((c_TMAP2IN)-(c_TMAP1IN))*(((A86)-(c_TMAP1IN))*((c_TMAP2OUT)-(c_TMAP1OUT))+IF(((c_TMAP2OUT)-(c_TMAP1OUT))&gt;=0,1,-1)*QUOTIENT(((c_TMAP2IN)-(c_TMAP1IN)),2)))&gt;=0,1,0)))</f>
        <v>62</v>
      </c>
      <c r="F86" s="7" t="n">
        <f aca="false">IF(((c_TMAP3IN)-(c_TMAP2IN))=0,(c_TMAP2OUT)+QUOTIENT(((c_TMAP3OUT)-(c_TMAP2OUT)),2),QUOTIENT((((A86)-(c_TMAP2IN))*((c_TMAP3OUT)-(c_TMAP2OUT))+IF(((c_TMAP3OUT)-(c_TMAP2OUT))&gt;=0,1,-1)*QUOTIENT(((c_TMAP3IN)-(c_TMAP2IN)),2)),((c_TMAP3IN)-(c_TMAP2IN)))+(c_TMAP2OUT)+IF(((c_TMAP3OUT)-(c_TMAP2OUT))&gt;=0,IF(IF(o_WRAP=1,MOD(((c_TMAP3IN)-(c_TMAP2IN))*(((A86)-(c_TMAP2IN))*((c_TMAP3OUT)-(c_TMAP2OUT))+IF(((c_TMAP3OUT)-(c_TMAP2OUT))&gt;=0,1,-1)*QUOTIENT(((c_TMAP3IN)-(c_TMAP2IN)),2))+2147483648,4294967296)-2147483648,((c_TMAP3IN)-(c_TMAP2IN))*(((A86)-(c_TMAP2IN))*((c_TMAP3OUT)-(c_TMAP2OUT))+IF(((c_TMAP3OUT)-(c_TMAP2OUT))&gt;=0,1,-1)*QUOTIENT(((c_TMAP3IN)-(c_TMAP2IN)),2)))&lt;0,-1,0),IF(IF(o_WRAP=1,MOD(((c_TMAP3IN)-(c_TMAP2IN))*(((A86)-(c_TMAP2IN))*((c_TMAP3OUT)-(c_TMAP2OUT))+IF(((c_TMAP3OUT)-(c_TMAP2OUT))&gt;=0,1,-1)*QUOTIENT(((c_TMAP3IN)-(c_TMAP2IN)),2))+2147483648,4294967296)-2147483648,((c_TMAP3IN)-(c_TMAP2IN))*(((A86)-(c_TMAP2IN))*((c_TMAP3OUT)-(c_TMAP2OUT))+IF(((c_TMAP3OUT)-(c_TMAP2OUT))&gt;=0,1,-1)*QUOTIENT(((c_TMAP3IN)-(c_TMAP2IN)),2)))&gt;=0,1,0)))</f>
        <v>12</v>
      </c>
      <c r="G86" s="7" t="n">
        <f aca="false">IF(((1000)-(c_TMAP3IN))=0,(c_TMAP3OUT)+QUOTIENT(((1000)-(c_TMAP3OUT)),2),QUOTIENT((((A86)-(c_TMAP3IN))*((1000)-(c_TMAP3OUT))+IF(((1000)-(c_TMAP3OUT))&gt;=0,1,-1)*QUOTIENT(((1000)-(c_TMAP3IN)),2)),((1000)-(c_TMAP3IN)))+(c_TMAP3OUT)+IF(((1000)-(c_TMAP3OUT))&gt;=0,IF(IF(o_WRAP=1,MOD(((1000)-(c_TMAP3IN))*(((A86)-(c_TMAP3IN))*((1000)-(c_TMAP3OUT))+IF(((1000)-(c_TMAP3OUT))&gt;=0,1,-1)*QUOTIENT(((1000)-(c_TMAP3IN)),2))+2147483648,4294967296)-2147483648,((1000)-(c_TMAP3IN))*(((A86)-(c_TMAP3IN))*((1000)-(c_TMAP3OUT))+IF(((1000)-(c_TMAP3OUT))&gt;=0,1,-1)*QUOTIENT(((1000)-(c_TMAP3IN)),2)))&lt;0,-1,0),IF(IF(o_WRAP=1,MOD(((1000)-(c_TMAP3IN))*(((A86)-(c_TMAP3IN))*((1000)-(c_TMAP3OUT))+IF(((1000)-(c_TMAP3OUT))&gt;=0,1,-1)*QUOTIENT(((1000)-(c_TMAP3IN)),2))+2147483648,4294967296)-2147483648,((1000)-(c_TMAP3IN))*(((A86)-(c_TMAP3IN))*((1000)-(c_TMAP3OUT))+IF(((1000)-(c_TMAP3OUT))&gt;=0,1,-1)*QUOTIENT(((1000)-(c_TMAP3IN)),2)))&gt;=0,1,0)))</f>
        <v>-131</v>
      </c>
      <c r="H86" s="7" t="str">
        <f aca="false">IF(A86&gt;=c_TFWD,IF(AND(A86&gt;=c_TMAP3IN,c_TMAP3IN&lt;1000),"Seg4 map3-100%",IF(AND(A86&gt;=c_TMAP2IN,c_TMAP3IN&gt;c_TMAP2IN),"Seg3 map2-map3",IF(AND(A86&gt;=c_TMAP1IN,c_TMAP2IN&gt;c_TMAP1IN),"Seg2 map1-map2","Seg1 TFWD-map1"))),IF(AND(A86=0,c_TCREEP&gt;0),"Creep",IF(AND(A86&lt;=c_TRNGMIN,A86&gt;=c_TRNGMAX,c_TRNGMIN-c_TRNGMAX&lt;&gt;0),"Regen ramp","Coast (0)")))</f>
        <v>Seg1 TFWD-map1</v>
      </c>
      <c r="I86" s="7" t="n">
        <f aca="false">IF(A86&gt;=c_TFWD,IF(AND(A86&gt;=c_TMAP3IN,c_TMAP3IN&lt;1000),G86,IF(AND(A86&gt;=c_TMAP2IN,c_TMAP3IN&gt;c_TMAP2IN),F86,IF(AND(A86&gt;=c_TMAP1IN,c_TMAP2IN&gt;c_TMAP1IN),E86,D86))),C86)</f>
        <v>55</v>
      </c>
      <c r="J86" s="7" t="str">
        <f aca="false">IF(I86&lt;-1090,"TOO LOW",IF(I86&gt;1090,"TOO HIGH",""))</f>
        <v/>
      </c>
      <c r="K86" s="15" t="n">
        <f aca="false">IF(J86&lt;&gt;"",0,IF(I86&gt;979,1000,I86))</f>
        <v>55</v>
      </c>
      <c r="L86" s="7" t="n">
        <f aca="false">K86/10</f>
        <v>5.5</v>
      </c>
    </row>
    <row r="87" customFormat="false" ht="15" hidden="false" customHeight="false" outlineLevel="0" collapsed="false">
      <c r="A87" s="7" t="n">
        <v>82</v>
      </c>
      <c r="B87" s="7" t="n">
        <f aca="false">A87/10</f>
        <v>8.2</v>
      </c>
      <c r="C87" s="7" t="n">
        <f aca="false">IF(AND(A87=0,c_TCREEP&gt;0),10*c_TCREEP,IF(AND(A87&lt;=c_TRNGMIN,A87&gt;=c_TRNGMAX,c_TRNGMIN-c_TRNGMAX&lt;&gt;0),-10*c_TMINRN+QUOTIENT((c_TMAXRN-c_TMINRN)*(100-QUOTIENT((A87-c_TRNGMAX)*100,c_TRNGMIN-c_TRNGMAX)),-10),0))</f>
        <v>0</v>
      </c>
      <c r="D87" s="7" t="n">
        <f aca="false">IF(((c_TMAP1IN)-(c_TFWD))=0,(0)+QUOTIENT(((c_TMAP1OUT)-(0)),2),QUOTIENT((((A87)-(c_TFWD))*((c_TMAP1OUT)-(0))+IF(((c_TMAP1OUT)-(0))&gt;=0,1,-1)*QUOTIENT(((c_TMAP1IN)-(c_TFWD)),2)),((c_TMAP1IN)-(c_TFWD)))+(0)+IF(((c_TMAP1OUT)-(0))&gt;=0,IF(IF(o_WRAP=1,MOD(((c_TMAP1IN)-(c_TFWD))*(((A87)-(c_TFWD))*((c_TMAP1OUT)-(0))+IF(((c_TMAP1OUT)-(0))&gt;=0,1,-1)*QUOTIENT(((c_TMAP1IN)-(c_TFWD)),2))+2147483648,4294967296)-2147483648,((c_TMAP1IN)-(c_TFWD))*(((A87)-(c_TFWD))*((c_TMAP1OUT)-(0))+IF(((c_TMAP1OUT)-(0))&gt;=0,1,-1)*QUOTIENT(((c_TMAP1IN)-(c_TFWD)),2)))&lt;0,-1,0),IF(IF(o_WRAP=1,MOD(((c_TMAP1IN)-(c_TFWD))*(((A87)-(c_TFWD))*((c_TMAP1OUT)-(0))+IF(((c_TMAP1OUT)-(0))&gt;=0,1,-1)*QUOTIENT(((c_TMAP1IN)-(c_TFWD)),2))+2147483648,4294967296)-2147483648,((c_TMAP1IN)-(c_TFWD))*(((A87)-(c_TFWD))*((c_TMAP1OUT)-(0))+IF(((c_TMAP1OUT)-(0))&gt;=0,1,-1)*QUOTIENT(((c_TMAP1IN)-(c_TFWD)),2)))&gt;=0,1,0)))</f>
        <v>56</v>
      </c>
      <c r="E87" s="7" t="n">
        <f aca="false">IF(((c_TMAP2IN)-(c_TMAP1IN))=0,(c_TMAP1OUT)+QUOTIENT(((c_TMAP2OUT)-(c_TMAP1OUT)),2),QUOTIENT((((A87)-(c_TMAP1IN))*((c_TMAP2OUT)-(c_TMAP1OUT))+IF(((c_TMAP2OUT)-(c_TMAP1OUT))&gt;=0,1,-1)*QUOTIENT(((c_TMAP2IN)-(c_TMAP1IN)),2)),((c_TMAP2IN)-(c_TMAP1IN)))+(c_TMAP1OUT)+IF(((c_TMAP2OUT)-(c_TMAP1OUT))&gt;=0,IF(IF(o_WRAP=1,MOD(((c_TMAP2IN)-(c_TMAP1IN))*(((A87)-(c_TMAP1IN))*((c_TMAP2OUT)-(c_TMAP1OUT))+IF(((c_TMAP2OUT)-(c_TMAP1OUT))&gt;=0,1,-1)*QUOTIENT(((c_TMAP2IN)-(c_TMAP1IN)),2))+2147483648,4294967296)-2147483648,((c_TMAP2IN)-(c_TMAP1IN))*(((A87)-(c_TMAP1IN))*((c_TMAP2OUT)-(c_TMAP1OUT))+IF(((c_TMAP2OUT)-(c_TMAP1OUT))&gt;=0,1,-1)*QUOTIENT(((c_TMAP2IN)-(c_TMAP1IN)),2)))&lt;0,-1,0),IF(IF(o_WRAP=1,MOD(((c_TMAP2IN)-(c_TMAP1IN))*(((A87)-(c_TMAP1IN))*((c_TMAP2OUT)-(c_TMAP1OUT))+IF(((c_TMAP2OUT)-(c_TMAP1OUT))&gt;=0,1,-1)*QUOTIENT(((c_TMAP2IN)-(c_TMAP1IN)),2))+2147483648,4294967296)-2147483648,((c_TMAP2IN)-(c_TMAP1IN))*(((A87)-(c_TMAP1IN))*((c_TMAP2OUT)-(c_TMAP1OUT))+IF(((c_TMAP2OUT)-(c_TMAP1OUT))&gt;=0,1,-1)*QUOTIENT(((c_TMAP2IN)-(c_TMAP1IN)),2)))&gt;=0,1,0)))</f>
        <v>63</v>
      </c>
      <c r="F87" s="7" t="n">
        <f aca="false">IF(((c_TMAP3IN)-(c_TMAP2IN))=0,(c_TMAP2OUT)+QUOTIENT(((c_TMAP3OUT)-(c_TMAP2OUT)),2),QUOTIENT((((A87)-(c_TMAP2IN))*((c_TMAP3OUT)-(c_TMAP2OUT))+IF(((c_TMAP3OUT)-(c_TMAP2OUT))&gt;=0,1,-1)*QUOTIENT(((c_TMAP3IN)-(c_TMAP2IN)),2)),((c_TMAP3IN)-(c_TMAP2IN)))+(c_TMAP2OUT)+IF(((c_TMAP3OUT)-(c_TMAP2OUT))&gt;=0,IF(IF(o_WRAP=1,MOD(((c_TMAP3IN)-(c_TMAP2IN))*(((A87)-(c_TMAP2IN))*((c_TMAP3OUT)-(c_TMAP2OUT))+IF(((c_TMAP3OUT)-(c_TMAP2OUT))&gt;=0,1,-1)*QUOTIENT(((c_TMAP3IN)-(c_TMAP2IN)),2))+2147483648,4294967296)-2147483648,((c_TMAP3IN)-(c_TMAP2IN))*(((A87)-(c_TMAP2IN))*((c_TMAP3OUT)-(c_TMAP2OUT))+IF(((c_TMAP3OUT)-(c_TMAP2OUT))&gt;=0,1,-1)*QUOTIENT(((c_TMAP3IN)-(c_TMAP2IN)),2)))&lt;0,-1,0),IF(IF(o_WRAP=1,MOD(((c_TMAP3IN)-(c_TMAP2IN))*(((A87)-(c_TMAP2IN))*((c_TMAP3OUT)-(c_TMAP2OUT))+IF(((c_TMAP3OUT)-(c_TMAP2OUT))&gt;=0,1,-1)*QUOTIENT(((c_TMAP3IN)-(c_TMAP2IN)),2))+2147483648,4294967296)-2147483648,((c_TMAP3IN)-(c_TMAP2IN))*(((A87)-(c_TMAP2IN))*((c_TMAP3OUT)-(c_TMAP2OUT))+IF(((c_TMAP3OUT)-(c_TMAP2OUT))&gt;=0,1,-1)*QUOTIENT(((c_TMAP3IN)-(c_TMAP2IN)),2)))&gt;=0,1,0)))</f>
        <v>12</v>
      </c>
      <c r="G87" s="7" t="n">
        <f aca="false">IF(((1000)-(c_TMAP3IN))=0,(c_TMAP3OUT)+QUOTIENT(((1000)-(c_TMAP3OUT)),2),QUOTIENT((((A87)-(c_TMAP3IN))*((1000)-(c_TMAP3OUT))+IF(((1000)-(c_TMAP3OUT))&gt;=0,1,-1)*QUOTIENT(((1000)-(c_TMAP3IN)),2)),((1000)-(c_TMAP3IN)))+(c_TMAP3OUT)+IF(((1000)-(c_TMAP3OUT))&gt;=0,IF(IF(o_WRAP=1,MOD(((1000)-(c_TMAP3IN))*(((A87)-(c_TMAP3IN))*((1000)-(c_TMAP3OUT))+IF(((1000)-(c_TMAP3OUT))&gt;=0,1,-1)*QUOTIENT(((1000)-(c_TMAP3IN)),2))+2147483648,4294967296)-2147483648,((1000)-(c_TMAP3IN))*(((A87)-(c_TMAP3IN))*((1000)-(c_TMAP3OUT))+IF(((1000)-(c_TMAP3OUT))&gt;=0,1,-1)*QUOTIENT(((1000)-(c_TMAP3IN)),2)))&lt;0,-1,0),IF(IF(o_WRAP=1,MOD(((1000)-(c_TMAP3IN))*(((A87)-(c_TMAP3IN))*((1000)-(c_TMAP3OUT))+IF(((1000)-(c_TMAP3OUT))&gt;=0,1,-1)*QUOTIENT(((1000)-(c_TMAP3IN)),2))+2147483648,4294967296)-2147483648,((1000)-(c_TMAP3IN))*(((A87)-(c_TMAP3IN))*((1000)-(c_TMAP3OUT))+IF(((1000)-(c_TMAP3OUT))&gt;=0,1,-1)*QUOTIENT(((1000)-(c_TMAP3IN)),2)))&gt;=0,1,0)))</f>
        <v>-130</v>
      </c>
      <c r="H87" s="7" t="str">
        <f aca="false">IF(A87&gt;=c_TFWD,IF(AND(A87&gt;=c_TMAP3IN,c_TMAP3IN&lt;1000),"Seg4 map3-100%",IF(AND(A87&gt;=c_TMAP2IN,c_TMAP3IN&gt;c_TMAP2IN),"Seg3 map2-map3",IF(AND(A87&gt;=c_TMAP1IN,c_TMAP2IN&gt;c_TMAP1IN),"Seg2 map1-map2","Seg1 TFWD-map1"))),IF(AND(A87=0,c_TCREEP&gt;0),"Creep",IF(AND(A87&lt;=c_TRNGMIN,A87&gt;=c_TRNGMAX,c_TRNGMIN-c_TRNGMAX&lt;&gt;0),"Regen ramp","Coast (0)")))</f>
        <v>Seg1 TFWD-map1</v>
      </c>
      <c r="I87" s="7" t="n">
        <f aca="false">IF(A87&gt;=c_TFWD,IF(AND(A87&gt;=c_TMAP3IN,c_TMAP3IN&lt;1000),G87,IF(AND(A87&gt;=c_TMAP2IN,c_TMAP3IN&gt;c_TMAP2IN),F87,IF(AND(A87&gt;=c_TMAP1IN,c_TMAP2IN&gt;c_TMAP1IN),E87,D87))),C87)</f>
        <v>56</v>
      </c>
      <c r="J87" s="7" t="str">
        <f aca="false">IF(I87&lt;-1090,"TOO LOW",IF(I87&gt;1090,"TOO HIGH",""))</f>
        <v/>
      </c>
      <c r="K87" s="15" t="n">
        <f aca="false">IF(J87&lt;&gt;"",0,IF(I87&gt;979,1000,I87))</f>
        <v>56</v>
      </c>
      <c r="L87" s="7" t="n">
        <f aca="false">K87/10</f>
        <v>5.6</v>
      </c>
    </row>
    <row r="88" customFormat="false" ht="15" hidden="false" customHeight="false" outlineLevel="0" collapsed="false">
      <c r="A88" s="7" t="n">
        <v>83</v>
      </c>
      <c r="B88" s="7" t="n">
        <f aca="false">A88/10</f>
        <v>8.3</v>
      </c>
      <c r="C88" s="7" t="n">
        <f aca="false">IF(AND(A88=0,c_TCREEP&gt;0),10*c_TCREEP,IF(AND(A88&lt;=c_TRNGMIN,A88&gt;=c_TRNGMAX,c_TRNGMIN-c_TRNGMAX&lt;&gt;0),-10*c_TMINRN+QUOTIENT((c_TMAXRN-c_TMINRN)*(100-QUOTIENT((A88-c_TRNGMAX)*100,c_TRNGMIN-c_TRNGMAX)),-10),0))</f>
        <v>0</v>
      </c>
      <c r="D88" s="7" t="n">
        <f aca="false">IF(((c_TMAP1IN)-(c_TFWD))=0,(0)+QUOTIENT(((c_TMAP1OUT)-(0)),2),QUOTIENT((((A88)-(c_TFWD))*((c_TMAP1OUT)-(0))+IF(((c_TMAP1OUT)-(0))&gt;=0,1,-1)*QUOTIENT(((c_TMAP1IN)-(c_TFWD)),2)),((c_TMAP1IN)-(c_TFWD)))+(0)+IF(((c_TMAP1OUT)-(0))&gt;=0,IF(IF(o_WRAP=1,MOD(((c_TMAP1IN)-(c_TFWD))*(((A88)-(c_TFWD))*((c_TMAP1OUT)-(0))+IF(((c_TMAP1OUT)-(0))&gt;=0,1,-1)*QUOTIENT(((c_TMAP1IN)-(c_TFWD)),2))+2147483648,4294967296)-2147483648,((c_TMAP1IN)-(c_TFWD))*(((A88)-(c_TFWD))*((c_TMAP1OUT)-(0))+IF(((c_TMAP1OUT)-(0))&gt;=0,1,-1)*QUOTIENT(((c_TMAP1IN)-(c_TFWD)),2)))&lt;0,-1,0),IF(IF(o_WRAP=1,MOD(((c_TMAP1IN)-(c_TFWD))*(((A88)-(c_TFWD))*((c_TMAP1OUT)-(0))+IF(((c_TMAP1OUT)-(0))&gt;=0,1,-1)*QUOTIENT(((c_TMAP1IN)-(c_TFWD)),2))+2147483648,4294967296)-2147483648,((c_TMAP1IN)-(c_TFWD))*(((A88)-(c_TFWD))*((c_TMAP1OUT)-(0))+IF(((c_TMAP1OUT)-(0))&gt;=0,1,-1)*QUOTIENT(((c_TMAP1IN)-(c_TFWD)),2)))&gt;=0,1,0)))</f>
        <v>57</v>
      </c>
      <c r="E88" s="7" t="n">
        <f aca="false">IF(((c_TMAP2IN)-(c_TMAP1IN))=0,(c_TMAP1OUT)+QUOTIENT(((c_TMAP2OUT)-(c_TMAP1OUT)),2),QUOTIENT((((A88)-(c_TMAP1IN))*((c_TMAP2OUT)-(c_TMAP1OUT))+IF(((c_TMAP2OUT)-(c_TMAP1OUT))&gt;=0,1,-1)*QUOTIENT(((c_TMAP2IN)-(c_TMAP1IN)),2)),((c_TMAP2IN)-(c_TMAP1IN)))+(c_TMAP1OUT)+IF(((c_TMAP2OUT)-(c_TMAP1OUT))&gt;=0,IF(IF(o_WRAP=1,MOD(((c_TMAP2IN)-(c_TMAP1IN))*(((A88)-(c_TMAP1IN))*((c_TMAP2OUT)-(c_TMAP1OUT))+IF(((c_TMAP2OUT)-(c_TMAP1OUT))&gt;=0,1,-1)*QUOTIENT(((c_TMAP2IN)-(c_TMAP1IN)),2))+2147483648,4294967296)-2147483648,((c_TMAP2IN)-(c_TMAP1IN))*(((A88)-(c_TMAP1IN))*((c_TMAP2OUT)-(c_TMAP1OUT))+IF(((c_TMAP2OUT)-(c_TMAP1OUT))&gt;=0,1,-1)*QUOTIENT(((c_TMAP2IN)-(c_TMAP1IN)),2)))&lt;0,-1,0),IF(IF(o_WRAP=1,MOD(((c_TMAP2IN)-(c_TMAP1IN))*(((A88)-(c_TMAP1IN))*((c_TMAP2OUT)-(c_TMAP1OUT))+IF(((c_TMAP2OUT)-(c_TMAP1OUT))&gt;=0,1,-1)*QUOTIENT(((c_TMAP2IN)-(c_TMAP1IN)),2))+2147483648,4294967296)-2147483648,((c_TMAP2IN)-(c_TMAP1IN))*(((A88)-(c_TMAP1IN))*((c_TMAP2OUT)-(c_TMAP1OUT))+IF(((c_TMAP2OUT)-(c_TMAP1OUT))&gt;=0,1,-1)*QUOTIENT(((c_TMAP2IN)-(c_TMAP1IN)),2)))&gt;=0,1,0)))</f>
        <v>63</v>
      </c>
      <c r="F88" s="7" t="n">
        <f aca="false">IF(((c_TMAP3IN)-(c_TMAP2IN))=0,(c_TMAP2OUT)+QUOTIENT(((c_TMAP3OUT)-(c_TMAP2OUT)),2),QUOTIENT((((A88)-(c_TMAP2IN))*((c_TMAP3OUT)-(c_TMAP2OUT))+IF(((c_TMAP3OUT)-(c_TMAP2OUT))&gt;=0,1,-1)*QUOTIENT(((c_TMAP3IN)-(c_TMAP2IN)),2)),((c_TMAP3IN)-(c_TMAP2IN)))+(c_TMAP2OUT)+IF(((c_TMAP3OUT)-(c_TMAP2OUT))&gt;=0,IF(IF(o_WRAP=1,MOD(((c_TMAP3IN)-(c_TMAP2IN))*(((A88)-(c_TMAP2IN))*((c_TMAP3OUT)-(c_TMAP2OUT))+IF(((c_TMAP3OUT)-(c_TMAP2OUT))&gt;=0,1,-1)*QUOTIENT(((c_TMAP3IN)-(c_TMAP2IN)),2))+2147483648,4294967296)-2147483648,((c_TMAP3IN)-(c_TMAP2IN))*(((A88)-(c_TMAP2IN))*((c_TMAP3OUT)-(c_TMAP2OUT))+IF(((c_TMAP3OUT)-(c_TMAP2OUT))&gt;=0,1,-1)*QUOTIENT(((c_TMAP3IN)-(c_TMAP2IN)),2)))&lt;0,-1,0),IF(IF(o_WRAP=1,MOD(((c_TMAP3IN)-(c_TMAP2IN))*(((A88)-(c_TMAP2IN))*((c_TMAP3OUT)-(c_TMAP2OUT))+IF(((c_TMAP3OUT)-(c_TMAP2OUT))&gt;=0,1,-1)*QUOTIENT(((c_TMAP3IN)-(c_TMAP2IN)),2))+2147483648,4294967296)-2147483648,((c_TMAP3IN)-(c_TMAP2IN))*(((A88)-(c_TMAP2IN))*((c_TMAP3OUT)-(c_TMAP2OUT))+IF(((c_TMAP3OUT)-(c_TMAP2OUT))&gt;=0,1,-1)*QUOTIENT(((c_TMAP3IN)-(c_TMAP2IN)),2)))&gt;=0,1,0)))</f>
        <v>13</v>
      </c>
      <c r="G88" s="7" t="n">
        <f aca="false">IF(((1000)-(c_TMAP3IN))=0,(c_TMAP3OUT)+QUOTIENT(((1000)-(c_TMAP3OUT)),2),QUOTIENT((((A88)-(c_TMAP3IN))*((1000)-(c_TMAP3OUT))+IF(((1000)-(c_TMAP3OUT))&gt;=0,1,-1)*QUOTIENT(((1000)-(c_TMAP3IN)),2)),((1000)-(c_TMAP3IN)))+(c_TMAP3OUT)+IF(((1000)-(c_TMAP3OUT))&gt;=0,IF(IF(o_WRAP=1,MOD(((1000)-(c_TMAP3IN))*(((A88)-(c_TMAP3IN))*((1000)-(c_TMAP3OUT))+IF(((1000)-(c_TMAP3OUT))&gt;=0,1,-1)*QUOTIENT(((1000)-(c_TMAP3IN)),2))+2147483648,4294967296)-2147483648,((1000)-(c_TMAP3IN))*(((A88)-(c_TMAP3IN))*((1000)-(c_TMAP3OUT))+IF(((1000)-(c_TMAP3OUT))&gt;=0,1,-1)*QUOTIENT(((1000)-(c_TMAP3IN)),2)))&lt;0,-1,0),IF(IF(o_WRAP=1,MOD(((1000)-(c_TMAP3IN))*(((A88)-(c_TMAP3IN))*((1000)-(c_TMAP3OUT))+IF(((1000)-(c_TMAP3OUT))&gt;=0,1,-1)*QUOTIENT(((1000)-(c_TMAP3IN)),2))+2147483648,4294967296)-2147483648,((1000)-(c_TMAP3IN))*(((A88)-(c_TMAP3IN))*((1000)-(c_TMAP3OUT))+IF(((1000)-(c_TMAP3OUT))&gt;=0,1,-1)*QUOTIENT(((1000)-(c_TMAP3IN)),2)))&gt;=0,1,0)))</f>
        <v>-129</v>
      </c>
      <c r="H88" s="7" t="str">
        <f aca="false">IF(A88&gt;=c_TFWD,IF(AND(A88&gt;=c_TMAP3IN,c_TMAP3IN&lt;1000),"Seg4 map3-100%",IF(AND(A88&gt;=c_TMAP2IN,c_TMAP3IN&gt;c_TMAP2IN),"Seg3 map2-map3",IF(AND(A88&gt;=c_TMAP1IN,c_TMAP2IN&gt;c_TMAP1IN),"Seg2 map1-map2","Seg1 TFWD-map1"))),IF(AND(A88=0,c_TCREEP&gt;0),"Creep",IF(AND(A88&lt;=c_TRNGMIN,A88&gt;=c_TRNGMAX,c_TRNGMIN-c_TRNGMAX&lt;&gt;0),"Regen ramp","Coast (0)")))</f>
        <v>Seg1 TFWD-map1</v>
      </c>
      <c r="I88" s="7" t="n">
        <f aca="false">IF(A88&gt;=c_TFWD,IF(AND(A88&gt;=c_TMAP3IN,c_TMAP3IN&lt;1000),G88,IF(AND(A88&gt;=c_TMAP2IN,c_TMAP3IN&gt;c_TMAP2IN),F88,IF(AND(A88&gt;=c_TMAP1IN,c_TMAP2IN&gt;c_TMAP1IN),E88,D88))),C88)</f>
        <v>57</v>
      </c>
      <c r="J88" s="7" t="str">
        <f aca="false">IF(I88&lt;-1090,"TOO LOW",IF(I88&gt;1090,"TOO HIGH",""))</f>
        <v/>
      </c>
      <c r="K88" s="15" t="n">
        <f aca="false">IF(J88&lt;&gt;"",0,IF(I88&gt;979,1000,I88))</f>
        <v>57</v>
      </c>
      <c r="L88" s="7" t="n">
        <f aca="false">K88/10</f>
        <v>5.7</v>
      </c>
    </row>
    <row r="89" customFormat="false" ht="15" hidden="false" customHeight="false" outlineLevel="0" collapsed="false">
      <c r="A89" s="7" t="n">
        <v>84</v>
      </c>
      <c r="B89" s="7" t="n">
        <f aca="false">A89/10</f>
        <v>8.4</v>
      </c>
      <c r="C89" s="7" t="n">
        <f aca="false">IF(AND(A89=0,c_TCREEP&gt;0),10*c_TCREEP,IF(AND(A89&lt;=c_TRNGMIN,A89&gt;=c_TRNGMAX,c_TRNGMIN-c_TRNGMAX&lt;&gt;0),-10*c_TMINRN+QUOTIENT((c_TMAXRN-c_TMINRN)*(100-QUOTIENT((A89-c_TRNGMAX)*100,c_TRNGMIN-c_TRNGMAX)),-10),0))</f>
        <v>0</v>
      </c>
      <c r="D89" s="7" t="n">
        <f aca="false">IF(((c_TMAP1IN)-(c_TFWD))=0,(0)+QUOTIENT(((c_TMAP1OUT)-(0)),2),QUOTIENT((((A89)-(c_TFWD))*((c_TMAP1OUT)-(0))+IF(((c_TMAP1OUT)-(0))&gt;=0,1,-1)*QUOTIENT(((c_TMAP1IN)-(c_TFWD)),2)),((c_TMAP1IN)-(c_TFWD)))+(0)+IF(((c_TMAP1OUT)-(0))&gt;=0,IF(IF(o_WRAP=1,MOD(((c_TMAP1IN)-(c_TFWD))*(((A89)-(c_TFWD))*((c_TMAP1OUT)-(0))+IF(((c_TMAP1OUT)-(0))&gt;=0,1,-1)*QUOTIENT(((c_TMAP1IN)-(c_TFWD)),2))+2147483648,4294967296)-2147483648,((c_TMAP1IN)-(c_TFWD))*(((A89)-(c_TFWD))*((c_TMAP1OUT)-(0))+IF(((c_TMAP1OUT)-(0))&gt;=0,1,-1)*QUOTIENT(((c_TMAP1IN)-(c_TFWD)),2)))&lt;0,-1,0),IF(IF(o_WRAP=1,MOD(((c_TMAP1IN)-(c_TFWD))*(((A89)-(c_TFWD))*((c_TMAP1OUT)-(0))+IF(((c_TMAP1OUT)-(0))&gt;=0,1,-1)*QUOTIENT(((c_TMAP1IN)-(c_TFWD)),2))+2147483648,4294967296)-2147483648,((c_TMAP1IN)-(c_TFWD))*(((A89)-(c_TFWD))*((c_TMAP1OUT)-(0))+IF(((c_TMAP1OUT)-(0))&gt;=0,1,-1)*QUOTIENT(((c_TMAP1IN)-(c_TFWD)),2)))&gt;=0,1,0)))</f>
        <v>58</v>
      </c>
      <c r="E89" s="7" t="n">
        <f aca="false">IF(((c_TMAP2IN)-(c_TMAP1IN))=0,(c_TMAP1OUT)+QUOTIENT(((c_TMAP2OUT)-(c_TMAP1OUT)),2),QUOTIENT((((A89)-(c_TMAP1IN))*((c_TMAP2OUT)-(c_TMAP1OUT))+IF(((c_TMAP2OUT)-(c_TMAP1OUT))&gt;=0,1,-1)*QUOTIENT(((c_TMAP2IN)-(c_TMAP1IN)),2)),((c_TMAP2IN)-(c_TMAP1IN)))+(c_TMAP1OUT)+IF(((c_TMAP2OUT)-(c_TMAP1OUT))&gt;=0,IF(IF(o_WRAP=1,MOD(((c_TMAP2IN)-(c_TMAP1IN))*(((A89)-(c_TMAP1IN))*((c_TMAP2OUT)-(c_TMAP1OUT))+IF(((c_TMAP2OUT)-(c_TMAP1OUT))&gt;=0,1,-1)*QUOTIENT(((c_TMAP2IN)-(c_TMAP1IN)),2))+2147483648,4294967296)-2147483648,((c_TMAP2IN)-(c_TMAP1IN))*(((A89)-(c_TMAP1IN))*((c_TMAP2OUT)-(c_TMAP1OUT))+IF(((c_TMAP2OUT)-(c_TMAP1OUT))&gt;=0,1,-1)*QUOTIENT(((c_TMAP2IN)-(c_TMAP1IN)),2)))&lt;0,-1,0),IF(IF(o_WRAP=1,MOD(((c_TMAP2IN)-(c_TMAP1IN))*(((A89)-(c_TMAP1IN))*((c_TMAP2OUT)-(c_TMAP1OUT))+IF(((c_TMAP2OUT)-(c_TMAP1OUT))&gt;=0,1,-1)*QUOTIENT(((c_TMAP2IN)-(c_TMAP1IN)),2))+2147483648,4294967296)-2147483648,((c_TMAP2IN)-(c_TMAP1IN))*(((A89)-(c_TMAP1IN))*((c_TMAP2OUT)-(c_TMAP1OUT))+IF(((c_TMAP2OUT)-(c_TMAP1OUT))&gt;=0,1,-1)*QUOTIENT(((c_TMAP2IN)-(c_TMAP1IN)),2)))&gt;=0,1,0)))</f>
        <v>64</v>
      </c>
      <c r="F89" s="7" t="n">
        <f aca="false">IF(((c_TMAP3IN)-(c_TMAP2IN))=0,(c_TMAP2OUT)+QUOTIENT(((c_TMAP3OUT)-(c_TMAP2OUT)),2),QUOTIENT((((A89)-(c_TMAP2IN))*((c_TMAP3OUT)-(c_TMAP2OUT))+IF(((c_TMAP3OUT)-(c_TMAP2OUT))&gt;=0,1,-1)*QUOTIENT(((c_TMAP3IN)-(c_TMAP2IN)),2)),((c_TMAP3IN)-(c_TMAP2IN)))+(c_TMAP2OUT)+IF(((c_TMAP3OUT)-(c_TMAP2OUT))&gt;=0,IF(IF(o_WRAP=1,MOD(((c_TMAP3IN)-(c_TMAP2IN))*(((A89)-(c_TMAP2IN))*((c_TMAP3OUT)-(c_TMAP2OUT))+IF(((c_TMAP3OUT)-(c_TMAP2OUT))&gt;=0,1,-1)*QUOTIENT(((c_TMAP3IN)-(c_TMAP2IN)),2))+2147483648,4294967296)-2147483648,((c_TMAP3IN)-(c_TMAP2IN))*(((A89)-(c_TMAP2IN))*((c_TMAP3OUT)-(c_TMAP2OUT))+IF(((c_TMAP3OUT)-(c_TMAP2OUT))&gt;=0,1,-1)*QUOTIENT(((c_TMAP3IN)-(c_TMAP2IN)),2)))&lt;0,-1,0),IF(IF(o_WRAP=1,MOD(((c_TMAP3IN)-(c_TMAP2IN))*(((A89)-(c_TMAP2IN))*((c_TMAP3OUT)-(c_TMAP2OUT))+IF(((c_TMAP3OUT)-(c_TMAP2OUT))&gt;=0,1,-1)*QUOTIENT(((c_TMAP3IN)-(c_TMAP2IN)),2))+2147483648,4294967296)-2147483648,((c_TMAP3IN)-(c_TMAP2IN))*(((A89)-(c_TMAP2IN))*((c_TMAP3OUT)-(c_TMAP2OUT))+IF(((c_TMAP3OUT)-(c_TMAP2OUT))&gt;=0,1,-1)*QUOTIENT(((c_TMAP3IN)-(c_TMAP2IN)),2)))&gt;=0,1,0)))</f>
        <v>14</v>
      </c>
      <c r="G89" s="7" t="n">
        <f aca="false">IF(((1000)-(c_TMAP3IN))=0,(c_TMAP3OUT)+QUOTIENT(((1000)-(c_TMAP3OUT)),2),QUOTIENT((((A89)-(c_TMAP3IN))*((1000)-(c_TMAP3OUT))+IF(((1000)-(c_TMAP3OUT))&gt;=0,1,-1)*QUOTIENT(((1000)-(c_TMAP3IN)),2)),((1000)-(c_TMAP3IN)))+(c_TMAP3OUT)+IF(((1000)-(c_TMAP3OUT))&gt;=0,IF(IF(o_WRAP=1,MOD(((1000)-(c_TMAP3IN))*(((A89)-(c_TMAP3IN))*((1000)-(c_TMAP3OUT))+IF(((1000)-(c_TMAP3OUT))&gt;=0,1,-1)*QUOTIENT(((1000)-(c_TMAP3IN)),2))+2147483648,4294967296)-2147483648,((1000)-(c_TMAP3IN))*(((A89)-(c_TMAP3IN))*((1000)-(c_TMAP3OUT))+IF(((1000)-(c_TMAP3OUT))&gt;=0,1,-1)*QUOTIENT(((1000)-(c_TMAP3IN)),2)))&lt;0,-1,0),IF(IF(o_WRAP=1,MOD(((1000)-(c_TMAP3IN))*(((A89)-(c_TMAP3IN))*((1000)-(c_TMAP3OUT))+IF(((1000)-(c_TMAP3OUT))&gt;=0,1,-1)*QUOTIENT(((1000)-(c_TMAP3IN)),2))+2147483648,4294967296)-2147483648,((1000)-(c_TMAP3IN))*(((A89)-(c_TMAP3IN))*((1000)-(c_TMAP3OUT))+IF(((1000)-(c_TMAP3OUT))&gt;=0,1,-1)*QUOTIENT(((1000)-(c_TMAP3IN)),2)))&gt;=0,1,0)))</f>
        <v>-127</v>
      </c>
      <c r="H89" s="7" t="str">
        <f aca="false">IF(A89&gt;=c_TFWD,IF(AND(A89&gt;=c_TMAP3IN,c_TMAP3IN&lt;1000),"Seg4 map3-100%",IF(AND(A89&gt;=c_TMAP2IN,c_TMAP3IN&gt;c_TMAP2IN),"Seg3 map2-map3",IF(AND(A89&gt;=c_TMAP1IN,c_TMAP2IN&gt;c_TMAP1IN),"Seg2 map1-map2","Seg1 TFWD-map1"))),IF(AND(A89=0,c_TCREEP&gt;0),"Creep",IF(AND(A89&lt;=c_TRNGMIN,A89&gt;=c_TRNGMAX,c_TRNGMIN-c_TRNGMAX&lt;&gt;0),"Regen ramp","Coast (0)")))</f>
        <v>Seg1 TFWD-map1</v>
      </c>
      <c r="I89" s="7" t="n">
        <f aca="false">IF(A89&gt;=c_TFWD,IF(AND(A89&gt;=c_TMAP3IN,c_TMAP3IN&lt;1000),G89,IF(AND(A89&gt;=c_TMAP2IN,c_TMAP3IN&gt;c_TMAP2IN),F89,IF(AND(A89&gt;=c_TMAP1IN,c_TMAP2IN&gt;c_TMAP1IN),E89,D89))),C89)</f>
        <v>58</v>
      </c>
      <c r="J89" s="7" t="str">
        <f aca="false">IF(I89&lt;-1090,"TOO LOW",IF(I89&gt;1090,"TOO HIGH",""))</f>
        <v/>
      </c>
      <c r="K89" s="15" t="n">
        <f aca="false">IF(J89&lt;&gt;"",0,IF(I89&gt;979,1000,I89))</f>
        <v>58</v>
      </c>
      <c r="L89" s="7" t="n">
        <f aca="false">K89/10</f>
        <v>5.8</v>
      </c>
    </row>
    <row r="90" customFormat="false" ht="15" hidden="false" customHeight="false" outlineLevel="0" collapsed="false">
      <c r="A90" s="7" t="n">
        <v>85</v>
      </c>
      <c r="B90" s="7" t="n">
        <f aca="false">A90/10</f>
        <v>8.5</v>
      </c>
      <c r="C90" s="7" t="n">
        <f aca="false">IF(AND(A90=0,c_TCREEP&gt;0),10*c_TCREEP,IF(AND(A90&lt;=c_TRNGMIN,A90&gt;=c_TRNGMAX,c_TRNGMIN-c_TRNGMAX&lt;&gt;0),-10*c_TMINRN+QUOTIENT((c_TMAXRN-c_TMINRN)*(100-QUOTIENT((A90-c_TRNGMAX)*100,c_TRNGMIN-c_TRNGMAX)),-10),0))</f>
        <v>0</v>
      </c>
      <c r="D90" s="7" t="n">
        <f aca="false">IF(((c_TMAP1IN)-(c_TFWD))=0,(0)+QUOTIENT(((c_TMAP1OUT)-(0)),2),QUOTIENT((((A90)-(c_TFWD))*((c_TMAP1OUT)-(0))+IF(((c_TMAP1OUT)-(0))&gt;=0,1,-1)*QUOTIENT(((c_TMAP1IN)-(c_TFWD)),2)),((c_TMAP1IN)-(c_TFWD)))+(0)+IF(((c_TMAP1OUT)-(0))&gt;=0,IF(IF(o_WRAP=1,MOD(((c_TMAP1IN)-(c_TFWD))*(((A90)-(c_TFWD))*((c_TMAP1OUT)-(0))+IF(((c_TMAP1OUT)-(0))&gt;=0,1,-1)*QUOTIENT(((c_TMAP1IN)-(c_TFWD)),2))+2147483648,4294967296)-2147483648,((c_TMAP1IN)-(c_TFWD))*(((A90)-(c_TFWD))*((c_TMAP1OUT)-(0))+IF(((c_TMAP1OUT)-(0))&gt;=0,1,-1)*QUOTIENT(((c_TMAP1IN)-(c_TFWD)),2)))&lt;0,-1,0),IF(IF(o_WRAP=1,MOD(((c_TMAP1IN)-(c_TFWD))*(((A90)-(c_TFWD))*((c_TMAP1OUT)-(0))+IF(((c_TMAP1OUT)-(0))&gt;=0,1,-1)*QUOTIENT(((c_TMAP1IN)-(c_TFWD)),2))+2147483648,4294967296)-2147483648,((c_TMAP1IN)-(c_TFWD))*(((A90)-(c_TFWD))*((c_TMAP1OUT)-(0))+IF(((c_TMAP1OUT)-(0))&gt;=0,1,-1)*QUOTIENT(((c_TMAP1IN)-(c_TFWD)),2)))&gt;=0,1,0)))</f>
        <v>58</v>
      </c>
      <c r="E90" s="7" t="n">
        <f aca="false">IF(((c_TMAP2IN)-(c_TMAP1IN))=0,(c_TMAP1OUT)+QUOTIENT(((c_TMAP2OUT)-(c_TMAP1OUT)),2),QUOTIENT((((A90)-(c_TMAP1IN))*((c_TMAP2OUT)-(c_TMAP1OUT))+IF(((c_TMAP2OUT)-(c_TMAP1OUT))&gt;=0,1,-1)*QUOTIENT(((c_TMAP2IN)-(c_TMAP1IN)),2)),((c_TMAP2IN)-(c_TMAP1IN)))+(c_TMAP1OUT)+IF(((c_TMAP2OUT)-(c_TMAP1OUT))&gt;=0,IF(IF(o_WRAP=1,MOD(((c_TMAP2IN)-(c_TMAP1IN))*(((A90)-(c_TMAP1IN))*((c_TMAP2OUT)-(c_TMAP1OUT))+IF(((c_TMAP2OUT)-(c_TMAP1OUT))&gt;=0,1,-1)*QUOTIENT(((c_TMAP2IN)-(c_TMAP1IN)),2))+2147483648,4294967296)-2147483648,((c_TMAP2IN)-(c_TMAP1IN))*(((A90)-(c_TMAP1IN))*((c_TMAP2OUT)-(c_TMAP1OUT))+IF(((c_TMAP2OUT)-(c_TMAP1OUT))&gt;=0,1,-1)*QUOTIENT(((c_TMAP2IN)-(c_TMAP1IN)),2)))&lt;0,-1,0),IF(IF(o_WRAP=1,MOD(((c_TMAP2IN)-(c_TMAP1IN))*(((A90)-(c_TMAP1IN))*((c_TMAP2OUT)-(c_TMAP1OUT))+IF(((c_TMAP2OUT)-(c_TMAP1OUT))&gt;=0,1,-1)*QUOTIENT(((c_TMAP2IN)-(c_TMAP1IN)),2))+2147483648,4294967296)-2147483648,((c_TMAP2IN)-(c_TMAP1IN))*(((A90)-(c_TMAP1IN))*((c_TMAP2OUT)-(c_TMAP1OUT))+IF(((c_TMAP2OUT)-(c_TMAP1OUT))&gt;=0,1,-1)*QUOTIENT(((c_TMAP2IN)-(c_TMAP1IN)),2)))&gt;=0,1,0)))</f>
        <v>64</v>
      </c>
      <c r="F90" s="7" t="n">
        <f aca="false">IF(((c_TMAP3IN)-(c_TMAP2IN))=0,(c_TMAP2OUT)+QUOTIENT(((c_TMAP3OUT)-(c_TMAP2OUT)),2),QUOTIENT((((A90)-(c_TMAP2IN))*((c_TMAP3OUT)-(c_TMAP2OUT))+IF(((c_TMAP3OUT)-(c_TMAP2OUT))&gt;=0,1,-1)*QUOTIENT(((c_TMAP3IN)-(c_TMAP2IN)),2)),((c_TMAP3IN)-(c_TMAP2IN)))+(c_TMAP2OUT)+IF(((c_TMAP3OUT)-(c_TMAP2OUT))&gt;=0,IF(IF(o_WRAP=1,MOD(((c_TMAP3IN)-(c_TMAP2IN))*(((A90)-(c_TMAP2IN))*((c_TMAP3OUT)-(c_TMAP2OUT))+IF(((c_TMAP3OUT)-(c_TMAP2OUT))&gt;=0,1,-1)*QUOTIENT(((c_TMAP3IN)-(c_TMAP2IN)),2))+2147483648,4294967296)-2147483648,((c_TMAP3IN)-(c_TMAP2IN))*(((A90)-(c_TMAP2IN))*((c_TMAP3OUT)-(c_TMAP2OUT))+IF(((c_TMAP3OUT)-(c_TMAP2OUT))&gt;=0,1,-1)*QUOTIENT(((c_TMAP3IN)-(c_TMAP2IN)),2)))&lt;0,-1,0),IF(IF(o_WRAP=1,MOD(((c_TMAP3IN)-(c_TMAP2IN))*(((A90)-(c_TMAP2IN))*((c_TMAP3OUT)-(c_TMAP2OUT))+IF(((c_TMAP3OUT)-(c_TMAP2OUT))&gt;=0,1,-1)*QUOTIENT(((c_TMAP3IN)-(c_TMAP2IN)),2))+2147483648,4294967296)-2147483648,((c_TMAP3IN)-(c_TMAP2IN))*(((A90)-(c_TMAP2IN))*((c_TMAP3OUT)-(c_TMAP2OUT))+IF(((c_TMAP3OUT)-(c_TMAP2OUT))&gt;=0,1,-1)*QUOTIENT(((c_TMAP3IN)-(c_TMAP2IN)),2)))&gt;=0,1,0)))</f>
        <v>14</v>
      </c>
      <c r="G90" s="7" t="n">
        <f aca="false">IF(((1000)-(c_TMAP3IN))=0,(c_TMAP3OUT)+QUOTIENT(((1000)-(c_TMAP3OUT)),2),QUOTIENT((((A90)-(c_TMAP3IN))*((1000)-(c_TMAP3OUT))+IF(((1000)-(c_TMAP3OUT))&gt;=0,1,-1)*QUOTIENT(((1000)-(c_TMAP3IN)),2)),((1000)-(c_TMAP3IN)))+(c_TMAP3OUT)+IF(((1000)-(c_TMAP3OUT))&gt;=0,IF(IF(o_WRAP=1,MOD(((1000)-(c_TMAP3IN))*(((A90)-(c_TMAP3IN))*((1000)-(c_TMAP3OUT))+IF(((1000)-(c_TMAP3OUT))&gt;=0,1,-1)*QUOTIENT(((1000)-(c_TMAP3IN)),2))+2147483648,4294967296)-2147483648,((1000)-(c_TMAP3IN))*(((A90)-(c_TMAP3IN))*((1000)-(c_TMAP3OUT))+IF(((1000)-(c_TMAP3OUT))&gt;=0,1,-1)*QUOTIENT(((1000)-(c_TMAP3IN)),2)))&lt;0,-1,0),IF(IF(o_WRAP=1,MOD(((1000)-(c_TMAP3IN))*(((A90)-(c_TMAP3IN))*((1000)-(c_TMAP3OUT))+IF(((1000)-(c_TMAP3OUT))&gt;=0,1,-1)*QUOTIENT(((1000)-(c_TMAP3IN)),2))+2147483648,4294967296)-2147483648,((1000)-(c_TMAP3IN))*(((A90)-(c_TMAP3IN))*((1000)-(c_TMAP3OUT))+IF(((1000)-(c_TMAP3OUT))&gt;=0,1,-1)*QUOTIENT(((1000)-(c_TMAP3IN)),2)))&gt;=0,1,0)))</f>
        <v>-126</v>
      </c>
      <c r="H90" s="7" t="str">
        <f aca="false">IF(A90&gt;=c_TFWD,IF(AND(A90&gt;=c_TMAP3IN,c_TMAP3IN&lt;1000),"Seg4 map3-100%",IF(AND(A90&gt;=c_TMAP2IN,c_TMAP3IN&gt;c_TMAP2IN),"Seg3 map2-map3",IF(AND(A90&gt;=c_TMAP1IN,c_TMAP2IN&gt;c_TMAP1IN),"Seg2 map1-map2","Seg1 TFWD-map1"))),IF(AND(A90=0,c_TCREEP&gt;0),"Creep",IF(AND(A90&lt;=c_TRNGMIN,A90&gt;=c_TRNGMAX,c_TRNGMIN-c_TRNGMAX&lt;&gt;0),"Regen ramp","Coast (0)")))</f>
        <v>Seg1 TFWD-map1</v>
      </c>
      <c r="I90" s="7" t="n">
        <f aca="false">IF(A90&gt;=c_TFWD,IF(AND(A90&gt;=c_TMAP3IN,c_TMAP3IN&lt;1000),G90,IF(AND(A90&gt;=c_TMAP2IN,c_TMAP3IN&gt;c_TMAP2IN),F90,IF(AND(A90&gt;=c_TMAP1IN,c_TMAP2IN&gt;c_TMAP1IN),E90,D90))),C90)</f>
        <v>58</v>
      </c>
      <c r="J90" s="7" t="str">
        <f aca="false">IF(I90&lt;-1090,"TOO LOW",IF(I90&gt;1090,"TOO HIGH",""))</f>
        <v/>
      </c>
      <c r="K90" s="15" t="n">
        <f aca="false">IF(J90&lt;&gt;"",0,IF(I90&gt;979,1000,I90))</f>
        <v>58</v>
      </c>
      <c r="L90" s="7" t="n">
        <f aca="false">K90/10</f>
        <v>5.8</v>
      </c>
    </row>
    <row r="91" customFormat="false" ht="15" hidden="false" customHeight="false" outlineLevel="0" collapsed="false">
      <c r="A91" s="7" t="n">
        <v>86</v>
      </c>
      <c r="B91" s="7" t="n">
        <f aca="false">A91/10</f>
        <v>8.6</v>
      </c>
      <c r="C91" s="7" t="n">
        <f aca="false">IF(AND(A91=0,c_TCREEP&gt;0),10*c_TCREEP,IF(AND(A91&lt;=c_TRNGMIN,A91&gt;=c_TRNGMAX,c_TRNGMIN-c_TRNGMAX&lt;&gt;0),-10*c_TMINRN+QUOTIENT((c_TMAXRN-c_TMINRN)*(100-QUOTIENT((A91-c_TRNGMAX)*100,c_TRNGMIN-c_TRNGMAX)),-10),0))</f>
        <v>0</v>
      </c>
      <c r="D91" s="7" t="n">
        <f aca="false">IF(((c_TMAP1IN)-(c_TFWD))=0,(0)+QUOTIENT(((c_TMAP1OUT)-(0)),2),QUOTIENT((((A91)-(c_TFWD))*((c_TMAP1OUT)-(0))+IF(((c_TMAP1OUT)-(0))&gt;=0,1,-1)*QUOTIENT(((c_TMAP1IN)-(c_TFWD)),2)),((c_TMAP1IN)-(c_TFWD)))+(0)+IF(((c_TMAP1OUT)-(0))&gt;=0,IF(IF(o_WRAP=1,MOD(((c_TMAP1IN)-(c_TFWD))*(((A91)-(c_TFWD))*((c_TMAP1OUT)-(0))+IF(((c_TMAP1OUT)-(0))&gt;=0,1,-1)*QUOTIENT(((c_TMAP1IN)-(c_TFWD)),2))+2147483648,4294967296)-2147483648,((c_TMAP1IN)-(c_TFWD))*(((A91)-(c_TFWD))*((c_TMAP1OUT)-(0))+IF(((c_TMAP1OUT)-(0))&gt;=0,1,-1)*QUOTIENT(((c_TMAP1IN)-(c_TFWD)),2)))&lt;0,-1,0),IF(IF(o_WRAP=1,MOD(((c_TMAP1IN)-(c_TFWD))*(((A91)-(c_TFWD))*((c_TMAP1OUT)-(0))+IF(((c_TMAP1OUT)-(0))&gt;=0,1,-1)*QUOTIENT(((c_TMAP1IN)-(c_TFWD)),2))+2147483648,4294967296)-2147483648,((c_TMAP1IN)-(c_TFWD))*(((A91)-(c_TFWD))*((c_TMAP1OUT)-(0))+IF(((c_TMAP1OUT)-(0))&gt;=0,1,-1)*QUOTIENT(((c_TMAP1IN)-(c_TFWD)),2)))&gt;=0,1,0)))</f>
        <v>59</v>
      </c>
      <c r="E91" s="7" t="n">
        <f aca="false">IF(((c_TMAP2IN)-(c_TMAP1IN))=0,(c_TMAP1OUT)+QUOTIENT(((c_TMAP2OUT)-(c_TMAP1OUT)),2),QUOTIENT((((A91)-(c_TMAP1IN))*((c_TMAP2OUT)-(c_TMAP1OUT))+IF(((c_TMAP2OUT)-(c_TMAP1OUT))&gt;=0,1,-1)*QUOTIENT(((c_TMAP2IN)-(c_TMAP1IN)),2)),((c_TMAP2IN)-(c_TMAP1IN)))+(c_TMAP1OUT)+IF(((c_TMAP2OUT)-(c_TMAP1OUT))&gt;=0,IF(IF(o_WRAP=1,MOD(((c_TMAP2IN)-(c_TMAP1IN))*(((A91)-(c_TMAP1IN))*((c_TMAP2OUT)-(c_TMAP1OUT))+IF(((c_TMAP2OUT)-(c_TMAP1OUT))&gt;=0,1,-1)*QUOTIENT(((c_TMAP2IN)-(c_TMAP1IN)),2))+2147483648,4294967296)-2147483648,((c_TMAP2IN)-(c_TMAP1IN))*(((A91)-(c_TMAP1IN))*((c_TMAP2OUT)-(c_TMAP1OUT))+IF(((c_TMAP2OUT)-(c_TMAP1OUT))&gt;=0,1,-1)*QUOTIENT(((c_TMAP2IN)-(c_TMAP1IN)),2)))&lt;0,-1,0),IF(IF(o_WRAP=1,MOD(((c_TMAP2IN)-(c_TMAP1IN))*(((A91)-(c_TMAP1IN))*((c_TMAP2OUT)-(c_TMAP1OUT))+IF(((c_TMAP2OUT)-(c_TMAP1OUT))&gt;=0,1,-1)*QUOTIENT(((c_TMAP2IN)-(c_TMAP1IN)),2))+2147483648,4294967296)-2147483648,((c_TMAP2IN)-(c_TMAP1IN))*(((A91)-(c_TMAP1IN))*((c_TMAP2OUT)-(c_TMAP1OUT))+IF(((c_TMAP2OUT)-(c_TMAP1OUT))&gt;=0,1,-1)*QUOTIENT(((c_TMAP2IN)-(c_TMAP1IN)),2)))&gt;=0,1,0)))</f>
        <v>64</v>
      </c>
      <c r="F91" s="7" t="n">
        <f aca="false">IF(((c_TMAP3IN)-(c_TMAP2IN))=0,(c_TMAP2OUT)+QUOTIENT(((c_TMAP3OUT)-(c_TMAP2OUT)),2),QUOTIENT((((A91)-(c_TMAP2IN))*((c_TMAP3OUT)-(c_TMAP2OUT))+IF(((c_TMAP3OUT)-(c_TMAP2OUT))&gt;=0,1,-1)*QUOTIENT(((c_TMAP3IN)-(c_TMAP2IN)),2)),((c_TMAP3IN)-(c_TMAP2IN)))+(c_TMAP2OUT)+IF(((c_TMAP3OUT)-(c_TMAP2OUT))&gt;=0,IF(IF(o_WRAP=1,MOD(((c_TMAP3IN)-(c_TMAP2IN))*(((A91)-(c_TMAP2IN))*((c_TMAP3OUT)-(c_TMAP2OUT))+IF(((c_TMAP3OUT)-(c_TMAP2OUT))&gt;=0,1,-1)*QUOTIENT(((c_TMAP3IN)-(c_TMAP2IN)),2))+2147483648,4294967296)-2147483648,((c_TMAP3IN)-(c_TMAP2IN))*(((A91)-(c_TMAP2IN))*((c_TMAP3OUT)-(c_TMAP2OUT))+IF(((c_TMAP3OUT)-(c_TMAP2OUT))&gt;=0,1,-1)*QUOTIENT(((c_TMAP3IN)-(c_TMAP2IN)),2)))&lt;0,-1,0),IF(IF(o_WRAP=1,MOD(((c_TMAP3IN)-(c_TMAP2IN))*(((A91)-(c_TMAP2IN))*((c_TMAP3OUT)-(c_TMAP2OUT))+IF(((c_TMAP3OUT)-(c_TMAP2OUT))&gt;=0,1,-1)*QUOTIENT(((c_TMAP3IN)-(c_TMAP2IN)),2))+2147483648,4294967296)-2147483648,((c_TMAP3IN)-(c_TMAP2IN))*(((A91)-(c_TMAP2IN))*((c_TMAP3OUT)-(c_TMAP2OUT))+IF(((c_TMAP3OUT)-(c_TMAP2OUT))&gt;=0,1,-1)*QUOTIENT(((c_TMAP3IN)-(c_TMAP2IN)),2)))&gt;=0,1,0)))</f>
        <v>15</v>
      </c>
      <c r="G91" s="7" t="n">
        <f aca="false">IF(((1000)-(c_TMAP3IN))=0,(c_TMAP3OUT)+QUOTIENT(((1000)-(c_TMAP3OUT)),2),QUOTIENT((((A91)-(c_TMAP3IN))*((1000)-(c_TMAP3OUT))+IF(((1000)-(c_TMAP3OUT))&gt;=0,1,-1)*QUOTIENT(((1000)-(c_TMAP3IN)),2)),((1000)-(c_TMAP3IN)))+(c_TMAP3OUT)+IF(((1000)-(c_TMAP3OUT))&gt;=0,IF(IF(o_WRAP=1,MOD(((1000)-(c_TMAP3IN))*(((A91)-(c_TMAP3IN))*((1000)-(c_TMAP3OUT))+IF(((1000)-(c_TMAP3OUT))&gt;=0,1,-1)*QUOTIENT(((1000)-(c_TMAP3IN)),2))+2147483648,4294967296)-2147483648,((1000)-(c_TMAP3IN))*(((A91)-(c_TMAP3IN))*((1000)-(c_TMAP3OUT))+IF(((1000)-(c_TMAP3OUT))&gt;=0,1,-1)*QUOTIENT(((1000)-(c_TMAP3IN)),2)))&lt;0,-1,0),IF(IF(o_WRAP=1,MOD(((1000)-(c_TMAP3IN))*(((A91)-(c_TMAP3IN))*((1000)-(c_TMAP3OUT))+IF(((1000)-(c_TMAP3OUT))&gt;=0,1,-1)*QUOTIENT(((1000)-(c_TMAP3IN)),2))+2147483648,4294967296)-2147483648,((1000)-(c_TMAP3IN))*(((A91)-(c_TMAP3IN))*((1000)-(c_TMAP3OUT))+IF(((1000)-(c_TMAP3OUT))&gt;=0,1,-1)*QUOTIENT(((1000)-(c_TMAP3IN)),2)))&gt;=0,1,0)))</f>
        <v>-125</v>
      </c>
      <c r="H91" s="7" t="str">
        <f aca="false">IF(A91&gt;=c_TFWD,IF(AND(A91&gt;=c_TMAP3IN,c_TMAP3IN&lt;1000),"Seg4 map3-100%",IF(AND(A91&gt;=c_TMAP2IN,c_TMAP3IN&gt;c_TMAP2IN),"Seg3 map2-map3",IF(AND(A91&gt;=c_TMAP1IN,c_TMAP2IN&gt;c_TMAP1IN),"Seg2 map1-map2","Seg1 TFWD-map1"))),IF(AND(A91=0,c_TCREEP&gt;0),"Creep",IF(AND(A91&lt;=c_TRNGMIN,A91&gt;=c_TRNGMAX,c_TRNGMIN-c_TRNGMAX&lt;&gt;0),"Regen ramp","Coast (0)")))</f>
        <v>Seg1 TFWD-map1</v>
      </c>
      <c r="I91" s="7" t="n">
        <f aca="false">IF(A91&gt;=c_TFWD,IF(AND(A91&gt;=c_TMAP3IN,c_TMAP3IN&lt;1000),G91,IF(AND(A91&gt;=c_TMAP2IN,c_TMAP3IN&gt;c_TMAP2IN),F91,IF(AND(A91&gt;=c_TMAP1IN,c_TMAP2IN&gt;c_TMAP1IN),E91,D91))),C91)</f>
        <v>59</v>
      </c>
      <c r="J91" s="7" t="str">
        <f aca="false">IF(I91&lt;-1090,"TOO LOW",IF(I91&gt;1090,"TOO HIGH",""))</f>
        <v/>
      </c>
      <c r="K91" s="15" t="n">
        <f aca="false">IF(J91&lt;&gt;"",0,IF(I91&gt;979,1000,I91))</f>
        <v>59</v>
      </c>
      <c r="L91" s="7" t="n">
        <f aca="false">K91/10</f>
        <v>5.9</v>
      </c>
    </row>
    <row r="92" customFormat="false" ht="15" hidden="false" customHeight="false" outlineLevel="0" collapsed="false">
      <c r="A92" s="7" t="n">
        <v>87</v>
      </c>
      <c r="B92" s="7" t="n">
        <f aca="false">A92/10</f>
        <v>8.7</v>
      </c>
      <c r="C92" s="7" t="n">
        <f aca="false">IF(AND(A92=0,c_TCREEP&gt;0),10*c_TCREEP,IF(AND(A92&lt;=c_TRNGMIN,A92&gt;=c_TRNGMAX,c_TRNGMIN-c_TRNGMAX&lt;&gt;0),-10*c_TMINRN+QUOTIENT((c_TMAXRN-c_TMINRN)*(100-QUOTIENT((A92-c_TRNGMAX)*100,c_TRNGMIN-c_TRNGMAX)),-10),0))</f>
        <v>0</v>
      </c>
      <c r="D92" s="7" t="n">
        <f aca="false">IF(((c_TMAP1IN)-(c_TFWD))=0,(0)+QUOTIENT(((c_TMAP1OUT)-(0)),2),QUOTIENT((((A92)-(c_TFWD))*((c_TMAP1OUT)-(0))+IF(((c_TMAP1OUT)-(0))&gt;=0,1,-1)*QUOTIENT(((c_TMAP1IN)-(c_TFWD)),2)),((c_TMAP1IN)-(c_TFWD)))+(0)+IF(((c_TMAP1OUT)-(0))&gt;=0,IF(IF(o_WRAP=1,MOD(((c_TMAP1IN)-(c_TFWD))*(((A92)-(c_TFWD))*((c_TMAP1OUT)-(0))+IF(((c_TMAP1OUT)-(0))&gt;=0,1,-1)*QUOTIENT(((c_TMAP1IN)-(c_TFWD)),2))+2147483648,4294967296)-2147483648,((c_TMAP1IN)-(c_TFWD))*(((A92)-(c_TFWD))*((c_TMAP1OUT)-(0))+IF(((c_TMAP1OUT)-(0))&gt;=0,1,-1)*QUOTIENT(((c_TMAP1IN)-(c_TFWD)),2)))&lt;0,-1,0),IF(IF(o_WRAP=1,MOD(((c_TMAP1IN)-(c_TFWD))*(((A92)-(c_TFWD))*((c_TMAP1OUT)-(0))+IF(((c_TMAP1OUT)-(0))&gt;=0,1,-1)*QUOTIENT(((c_TMAP1IN)-(c_TFWD)),2))+2147483648,4294967296)-2147483648,((c_TMAP1IN)-(c_TFWD))*(((A92)-(c_TFWD))*((c_TMAP1OUT)-(0))+IF(((c_TMAP1OUT)-(0))&gt;=0,1,-1)*QUOTIENT(((c_TMAP1IN)-(c_TFWD)),2)))&gt;=0,1,0)))</f>
        <v>60</v>
      </c>
      <c r="E92" s="7" t="n">
        <f aca="false">IF(((c_TMAP2IN)-(c_TMAP1IN))=0,(c_TMAP1OUT)+QUOTIENT(((c_TMAP2OUT)-(c_TMAP1OUT)),2),QUOTIENT((((A92)-(c_TMAP1IN))*((c_TMAP2OUT)-(c_TMAP1OUT))+IF(((c_TMAP2OUT)-(c_TMAP1OUT))&gt;=0,1,-1)*QUOTIENT(((c_TMAP2IN)-(c_TMAP1IN)),2)),((c_TMAP2IN)-(c_TMAP1IN)))+(c_TMAP1OUT)+IF(((c_TMAP2OUT)-(c_TMAP1OUT))&gt;=0,IF(IF(o_WRAP=1,MOD(((c_TMAP2IN)-(c_TMAP1IN))*(((A92)-(c_TMAP1IN))*((c_TMAP2OUT)-(c_TMAP1OUT))+IF(((c_TMAP2OUT)-(c_TMAP1OUT))&gt;=0,1,-1)*QUOTIENT(((c_TMAP2IN)-(c_TMAP1IN)),2))+2147483648,4294967296)-2147483648,((c_TMAP2IN)-(c_TMAP1IN))*(((A92)-(c_TMAP1IN))*((c_TMAP2OUT)-(c_TMAP1OUT))+IF(((c_TMAP2OUT)-(c_TMAP1OUT))&gt;=0,1,-1)*QUOTIENT(((c_TMAP2IN)-(c_TMAP1IN)),2)))&lt;0,-1,0),IF(IF(o_WRAP=1,MOD(((c_TMAP2IN)-(c_TMAP1IN))*(((A92)-(c_TMAP1IN))*((c_TMAP2OUT)-(c_TMAP1OUT))+IF(((c_TMAP2OUT)-(c_TMAP1OUT))&gt;=0,1,-1)*QUOTIENT(((c_TMAP2IN)-(c_TMAP1IN)),2))+2147483648,4294967296)-2147483648,((c_TMAP2IN)-(c_TMAP1IN))*(((A92)-(c_TMAP1IN))*((c_TMAP2OUT)-(c_TMAP1OUT))+IF(((c_TMAP2OUT)-(c_TMAP1OUT))&gt;=0,1,-1)*QUOTIENT(((c_TMAP2IN)-(c_TMAP1IN)),2)))&gt;=0,1,0)))</f>
        <v>65</v>
      </c>
      <c r="F92" s="7" t="n">
        <f aca="false">IF(((c_TMAP3IN)-(c_TMAP2IN))=0,(c_TMAP2OUT)+QUOTIENT(((c_TMAP3OUT)-(c_TMAP2OUT)),2),QUOTIENT((((A92)-(c_TMAP2IN))*((c_TMAP3OUT)-(c_TMAP2OUT))+IF(((c_TMAP3OUT)-(c_TMAP2OUT))&gt;=0,1,-1)*QUOTIENT(((c_TMAP3IN)-(c_TMAP2IN)),2)),((c_TMAP3IN)-(c_TMAP2IN)))+(c_TMAP2OUT)+IF(((c_TMAP3OUT)-(c_TMAP2OUT))&gt;=0,IF(IF(o_WRAP=1,MOD(((c_TMAP3IN)-(c_TMAP2IN))*(((A92)-(c_TMAP2IN))*((c_TMAP3OUT)-(c_TMAP2OUT))+IF(((c_TMAP3OUT)-(c_TMAP2OUT))&gt;=0,1,-1)*QUOTIENT(((c_TMAP3IN)-(c_TMAP2IN)),2))+2147483648,4294967296)-2147483648,((c_TMAP3IN)-(c_TMAP2IN))*(((A92)-(c_TMAP2IN))*((c_TMAP3OUT)-(c_TMAP2OUT))+IF(((c_TMAP3OUT)-(c_TMAP2OUT))&gt;=0,1,-1)*QUOTIENT(((c_TMAP3IN)-(c_TMAP2IN)),2)))&lt;0,-1,0),IF(IF(o_WRAP=1,MOD(((c_TMAP3IN)-(c_TMAP2IN))*(((A92)-(c_TMAP2IN))*((c_TMAP3OUT)-(c_TMAP2OUT))+IF(((c_TMAP3OUT)-(c_TMAP2OUT))&gt;=0,1,-1)*QUOTIENT(((c_TMAP3IN)-(c_TMAP2IN)),2))+2147483648,4294967296)-2147483648,((c_TMAP3IN)-(c_TMAP2IN))*(((A92)-(c_TMAP2IN))*((c_TMAP3OUT)-(c_TMAP2OUT))+IF(((c_TMAP3OUT)-(c_TMAP2OUT))&gt;=0,1,-1)*QUOTIENT(((c_TMAP3IN)-(c_TMAP2IN)),2)))&gt;=0,1,0)))</f>
        <v>16</v>
      </c>
      <c r="G92" s="7" t="n">
        <f aca="false">IF(((1000)-(c_TMAP3IN))=0,(c_TMAP3OUT)+QUOTIENT(((1000)-(c_TMAP3OUT)),2),QUOTIENT((((A92)-(c_TMAP3IN))*((1000)-(c_TMAP3OUT))+IF(((1000)-(c_TMAP3OUT))&gt;=0,1,-1)*QUOTIENT(((1000)-(c_TMAP3IN)),2)),((1000)-(c_TMAP3IN)))+(c_TMAP3OUT)+IF(((1000)-(c_TMAP3OUT))&gt;=0,IF(IF(o_WRAP=1,MOD(((1000)-(c_TMAP3IN))*(((A92)-(c_TMAP3IN))*((1000)-(c_TMAP3OUT))+IF(((1000)-(c_TMAP3OUT))&gt;=0,1,-1)*QUOTIENT(((1000)-(c_TMAP3IN)),2))+2147483648,4294967296)-2147483648,((1000)-(c_TMAP3IN))*(((A92)-(c_TMAP3IN))*((1000)-(c_TMAP3OUT))+IF(((1000)-(c_TMAP3OUT))&gt;=0,1,-1)*QUOTIENT(((1000)-(c_TMAP3IN)),2)))&lt;0,-1,0),IF(IF(o_WRAP=1,MOD(((1000)-(c_TMAP3IN))*(((A92)-(c_TMAP3IN))*((1000)-(c_TMAP3OUT))+IF(((1000)-(c_TMAP3OUT))&gt;=0,1,-1)*QUOTIENT(((1000)-(c_TMAP3IN)),2))+2147483648,4294967296)-2147483648,((1000)-(c_TMAP3IN))*(((A92)-(c_TMAP3IN))*((1000)-(c_TMAP3OUT))+IF(((1000)-(c_TMAP3OUT))&gt;=0,1,-1)*QUOTIENT(((1000)-(c_TMAP3IN)),2)))&gt;=0,1,0)))</f>
        <v>-124</v>
      </c>
      <c r="H92" s="7" t="str">
        <f aca="false">IF(A92&gt;=c_TFWD,IF(AND(A92&gt;=c_TMAP3IN,c_TMAP3IN&lt;1000),"Seg4 map3-100%",IF(AND(A92&gt;=c_TMAP2IN,c_TMAP3IN&gt;c_TMAP2IN),"Seg3 map2-map3",IF(AND(A92&gt;=c_TMAP1IN,c_TMAP2IN&gt;c_TMAP1IN),"Seg2 map1-map2","Seg1 TFWD-map1"))),IF(AND(A92=0,c_TCREEP&gt;0),"Creep",IF(AND(A92&lt;=c_TRNGMIN,A92&gt;=c_TRNGMAX,c_TRNGMIN-c_TRNGMAX&lt;&gt;0),"Regen ramp","Coast (0)")))</f>
        <v>Seg1 TFWD-map1</v>
      </c>
      <c r="I92" s="7" t="n">
        <f aca="false">IF(A92&gt;=c_TFWD,IF(AND(A92&gt;=c_TMAP3IN,c_TMAP3IN&lt;1000),G92,IF(AND(A92&gt;=c_TMAP2IN,c_TMAP3IN&gt;c_TMAP2IN),F92,IF(AND(A92&gt;=c_TMAP1IN,c_TMAP2IN&gt;c_TMAP1IN),E92,D92))),C92)</f>
        <v>60</v>
      </c>
      <c r="J92" s="7" t="str">
        <f aca="false">IF(I92&lt;-1090,"TOO LOW",IF(I92&gt;1090,"TOO HIGH",""))</f>
        <v/>
      </c>
      <c r="K92" s="15" t="n">
        <f aca="false">IF(J92&lt;&gt;"",0,IF(I92&gt;979,1000,I92))</f>
        <v>60</v>
      </c>
      <c r="L92" s="7" t="n">
        <f aca="false">K92/10</f>
        <v>6</v>
      </c>
    </row>
    <row r="93" customFormat="false" ht="15" hidden="false" customHeight="false" outlineLevel="0" collapsed="false">
      <c r="A93" s="7" t="n">
        <v>88</v>
      </c>
      <c r="B93" s="7" t="n">
        <f aca="false">A93/10</f>
        <v>8.8</v>
      </c>
      <c r="C93" s="7" t="n">
        <f aca="false">IF(AND(A93=0,c_TCREEP&gt;0),10*c_TCREEP,IF(AND(A93&lt;=c_TRNGMIN,A93&gt;=c_TRNGMAX,c_TRNGMIN-c_TRNGMAX&lt;&gt;0),-10*c_TMINRN+QUOTIENT((c_TMAXRN-c_TMINRN)*(100-QUOTIENT((A93-c_TRNGMAX)*100,c_TRNGMIN-c_TRNGMAX)),-10),0))</f>
        <v>0</v>
      </c>
      <c r="D93" s="7" t="n">
        <f aca="false">IF(((c_TMAP1IN)-(c_TFWD))=0,(0)+QUOTIENT(((c_TMAP1OUT)-(0)),2),QUOTIENT((((A93)-(c_TFWD))*((c_TMAP1OUT)-(0))+IF(((c_TMAP1OUT)-(0))&gt;=0,1,-1)*QUOTIENT(((c_TMAP1IN)-(c_TFWD)),2)),((c_TMAP1IN)-(c_TFWD)))+(0)+IF(((c_TMAP1OUT)-(0))&gt;=0,IF(IF(o_WRAP=1,MOD(((c_TMAP1IN)-(c_TFWD))*(((A93)-(c_TFWD))*((c_TMAP1OUT)-(0))+IF(((c_TMAP1OUT)-(0))&gt;=0,1,-1)*QUOTIENT(((c_TMAP1IN)-(c_TFWD)),2))+2147483648,4294967296)-2147483648,((c_TMAP1IN)-(c_TFWD))*(((A93)-(c_TFWD))*((c_TMAP1OUT)-(0))+IF(((c_TMAP1OUT)-(0))&gt;=0,1,-1)*QUOTIENT(((c_TMAP1IN)-(c_TFWD)),2)))&lt;0,-1,0),IF(IF(o_WRAP=1,MOD(((c_TMAP1IN)-(c_TFWD))*(((A93)-(c_TFWD))*((c_TMAP1OUT)-(0))+IF(((c_TMAP1OUT)-(0))&gt;=0,1,-1)*QUOTIENT(((c_TMAP1IN)-(c_TFWD)),2))+2147483648,4294967296)-2147483648,((c_TMAP1IN)-(c_TFWD))*(((A93)-(c_TFWD))*((c_TMAP1OUT)-(0))+IF(((c_TMAP1OUT)-(0))&gt;=0,1,-1)*QUOTIENT(((c_TMAP1IN)-(c_TFWD)),2)))&gt;=0,1,0)))</f>
        <v>61</v>
      </c>
      <c r="E93" s="7" t="n">
        <f aca="false">IF(((c_TMAP2IN)-(c_TMAP1IN))=0,(c_TMAP1OUT)+QUOTIENT(((c_TMAP2OUT)-(c_TMAP1OUT)),2),QUOTIENT((((A93)-(c_TMAP1IN))*((c_TMAP2OUT)-(c_TMAP1OUT))+IF(((c_TMAP2OUT)-(c_TMAP1OUT))&gt;=0,1,-1)*QUOTIENT(((c_TMAP2IN)-(c_TMAP1IN)),2)),((c_TMAP2IN)-(c_TMAP1IN)))+(c_TMAP1OUT)+IF(((c_TMAP2OUT)-(c_TMAP1OUT))&gt;=0,IF(IF(o_WRAP=1,MOD(((c_TMAP2IN)-(c_TMAP1IN))*(((A93)-(c_TMAP1IN))*((c_TMAP2OUT)-(c_TMAP1OUT))+IF(((c_TMAP2OUT)-(c_TMAP1OUT))&gt;=0,1,-1)*QUOTIENT(((c_TMAP2IN)-(c_TMAP1IN)),2))+2147483648,4294967296)-2147483648,((c_TMAP2IN)-(c_TMAP1IN))*(((A93)-(c_TMAP1IN))*((c_TMAP2OUT)-(c_TMAP1OUT))+IF(((c_TMAP2OUT)-(c_TMAP1OUT))&gt;=0,1,-1)*QUOTIENT(((c_TMAP2IN)-(c_TMAP1IN)),2)))&lt;0,-1,0),IF(IF(o_WRAP=1,MOD(((c_TMAP2IN)-(c_TMAP1IN))*(((A93)-(c_TMAP1IN))*((c_TMAP2OUT)-(c_TMAP1OUT))+IF(((c_TMAP2OUT)-(c_TMAP1OUT))&gt;=0,1,-1)*QUOTIENT(((c_TMAP2IN)-(c_TMAP1IN)),2))+2147483648,4294967296)-2147483648,((c_TMAP2IN)-(c_TMAP1IN))*(((A93)-(c_TMAP1IN))*((c_TMAP2OUT)-(c_TMAP1OUT))+IF(((c_TMAP2OUT)-(c_TMAP1OUT))&gt;=0,1,-1)*QUOTIENT(((c_TMAP2IN)-(c_TMAP1IN)),2)))&gt;=0,1,0)))</f>
        <v>65</v>
      </c>
      <c r="F93" s="7" t="n">
        <f aca="false">IF(((c_TMAP3IN)-(c_TMAP2IN))=0,(c_TMAP2OUT)+QUOTIENT(((c_TMAP3OUT)-(c_TMAP2OUT)),2),QUOTIENT((((A93)-(c_TMAP2IN))*((c_TMAP3OUT)-(c_TMAP2OUT))+IF(((c_TMAP3OUT)-(c_TMAP2OUT))&gt;=0,1,-1)*QUOTIENT(((c_TMAP3IN)-(c_TMAP2IN)),2)),((c_TMAP3IN)-(c_TMAP2IN)))+(c_TMAP2OUT)+IF(((c_TMAP3OUT)-(c_TMAP2OUT))&gt;=0,IF(IF(o_WRAP=1,MOD(((c_TMAP3IN)-(c_TMAP2IN))*(((A93)-(c_TMAP2IN))*((c_TMAP3OUT)-(c_TMAP2OUT))+IF(((c_TMAP3OUT)-(c_TMAP2OUT))&gt;=0,1,-1)*QUOTIENT(((c_TMAP3IN)-(c_TMAP2IN)),2))+2147483648,4294967296)-2147483648,((c_TMAP3IN)-(c_TMAP2IN))*(((A93)-(c_TMAP2IN))*((c_TMAP3OUT)-(c_TMAP2OUT))+IF(((c_TMAP3OUT)-(c_TMAP2OUT))&gt;=0,1,-1)*QUOTIENT(((c_TMAP3IN)-(c_TMAP2IN)),2)))&lt;0,-1,0),IF(IF(o_WRAP=1,MOD(((c_TMAP3IN)-(c_TMAP2IN))*(((A93)-(c_TMAP2IN))*((c_TMAP3OUT)-(c_TMAP2OUT))+IF(((c_TMAP3OUT)-(c_TMAP2OUT))&gt;=0,1,-1)*QUOTIENT(((c_TMAP3IN)-(c_TMAP2IN)),2))+2147483648,4294967296)-2147483648,((c_TMAP3IN)-(c_TMAP2IN))*(((A93)-(c_TMAP2IN))*((c_TMAP3OUT)-(c_TMAP2OUT))+IF(((c_TMAP3OUT)-(c_TMAP2OUT))&gt;=0,1,-1)*QUOTIENT(((c_TMAP3IN)-(c_TMAP2IN)),2)))&gt;=0,1,0)))</f>
        <v>17</v>
      </c>
      <c r="G93" s="7" t="n">
        <f aca="false">IF(((1000)-(c_TMAP3IN))=0,(c_TMAP3OUT)+QUOTIENT(((1000)-(c_TMAP3OUT)),2),QUOTIENT((((A93)-(c_TMAP3IN))*((1000)-(c_TMAP3OUT))+IF(((1000)-(c_TMAP3OUT))&gt;=0,1,-1)*QUOTIENT(((1000)-(c_TMAP3IN)),2)),((1000)-(c_TMAP3IN)))+(c_TMAP3OUT)+IF(((1000)-(c_TMAP3OUT))&gt;=0,IF(IF(o_WRAP=1,MOD(((1000)-(c_TMAP3IN))*(((A93)-(c_TMAP3IN))*((1000)-(c_TMAP3OUT))+IF(((1000)-(c_TMAP3OUT))&gt;=0,1,-1)*QUOTIENT(((1000)-(c_TMAP3IN)),2))+2147483648,4294967296)-2147483648,((1000)-(c_TMAP3IN))*(((A93)-(c_TMAP3IN))*((1000)-(c_TMAP3OUT))+IF(((1000)-(c_TMAP3OUT))&gt;=0,1,-1)*QUOTIENT(((1000)-(c_TMAP3IN)),2)))&lt;0,-1,0),IF(IF(o_WRAP=1,MOD(((1000)-(c_TMAP3IN))*(((A93)-(c_TMAP3IN))*((1000)-(c_TMAP3OUT))+IF(((1000)-(c_TMAP3OUT))&gt;=0,1,-1)*QUOTIENT(((1000)-(c_TMAP3IN)),2))+2147483648,4294967296)-2147483648,((1000)-(c_TMAP3IN))*(((A93)-(c_TMAP3IN))*((1000)-(c_TMAP3OUT))+IF(((1000)-(c_TMAP3OUT))&gt;=0,1,-1)*QUOTIENT(((1000)-(c_TMAP3IN)),2)))&gt;=0,1,0)))</f>
        <v>-122</v>
      </c>
      <c r="H93" s="7" t="str">
        <f aca="false">IF(A93&gt;=c_TFWD,IF(AND(A93&gt;=c_TMAP3IN,c_TMAP3IN&lt;1000),"Seg4 map3-100%",IF(AND(A93&gt;=c_TMAP2IN,c_TMAP3IN&gt;c_TMAP2IN),"Seg3 map2-map3",IF(AND(A93&gt;=c_TMAP1IN,c_TMAP2IN&gt;c_TMAP1IN),"Seg2 map1-map2","Seg1 TFWD-map1"))),IF(AND(A93=0,c_TCREEP&gt;0),"Creep",IF(AND(A93&lt;=c_TRNGMIN,A93&gt;=c_TRNGMAX,c_TRNGMIN-c_TRNGMAX&lt;&gt;0),"Regen ramp","Coast (0)")))</f>
        <v>Seg1 TFWD-map1</v>
      </c>
      <c r="I93" s="7" t="n">
        <f aca="false">IF(A93&gt;=c_TFWD,IF(AND(A93&gt;=c_TMAP3IN,c_TMAP3IN&lt;1000),G93,IF(AND(A93&gt;=c_TMAP2IN,c_TMAP3IN&gt;c_TMAP2IN),F93,IF(AND(A93&gt;=c_TMAP1IN,c_TMAP2IN&gt;c_TMAP1IN),E93,D93))),C93)</f>
        <v>61</v>
      </c>
      <c r="J93" s="7" t="str">
        <f aca="false">IF(I93&lt;-1090,"TOO LOW",IF(I93&gt;1090,"TOO HIGH",""))</f>
        <v/>
      </c>
      <c r="K93" s="15" t="n">
        <f aca="false">IF(J93&lt;&gt;"",0,IF(I93&gt;979,1000,I93))</f>
        <v>61</v>
      </c>
      <c r="L93" s="7" t="n">
        <f aca="false">K93/10</f>
        <v>6.1</v>
      </c>
    </row>
    <row r="94" customFormat="false" ht="15" hidden="false" customHeight="false" outlineLevel="0" collapsed="false">
      <c r="A94" s="7" t="n">
        <v>89</v>
      </c>
      <c r="B94" s="7" t="n">
        <f aca="false">A94/10</f>
        <v>8.9</v>
      </c>
      <c r="C94" s="7" t="n">
        <f aca="false">IF(AND(A94=0,c_TCREEP&gt;0),10*c_TCREEP,IF(AND(A94&lt;=c_TRNGMIN,A94&gt;=c_TRNGMAX,c_TRNGMIN-c_TRNGMAX&lt;&gt;0),-10*c_TMINRN+QUOTIENT((c_TMAXRN-c_TMINRN)*(100-QUOTIENT((A94-c_TRNGMAX)*100,c_TRNGMIN-c_TRNGMAX)),-10),0))</f>
        <v>0</v>
      </c>
      <c r="D94" s="7" t="n">
        <f aca="false">IF(((c_TMAP1IN)-(c_TFWD))=0,(0)+QUOTIENT(((c_TMAP1OUT)-(0)),2),QUOTIENT((((A94)-(c_TFWD))*((c_TMAP1OUT)-(0))+IF(((c_TMAP1OUT)-(0))&gt;=0,1,-1)*QUOTIENT(((c_TMAP1IN)-(c_TFWD)),2)),((c_TMAP1IN)-(c_TFWD)))+(0)+IF(((c_TMAP1OUT)-(0))&gt;=0,IF(IF(o_WRAP=1,MOD(((c_TMAP1IN)-(c_TFWD))*(((A94)-(c_TFWD))*((c_TMAP1OUT)-(0))+IF(((c_TMAP1OUT)-(0))&gt;=0,1,-1)*QUOTIENT(((c_TMAP1IN)-(c_TFWD)),2))+2147483648,4294967296)-2147483648,((c_TMAP1IN)-(c_TFWD))*(((A94)-(c_TFWD))*((c_TMAP1OUT)-(0))+IF(((c_TMAP1OUT)-(0))&gt;=0,1,-1)*QUOTIENT(((c_TMAP1IN)-(c_TFWD)),2)))&lt;0,-1,0),IF(IF(o_WRAP=1,MOD(((c_TMAP1IN)-(c_TFWD))*(((A94)-(c_TFWD))*((c_TMAP1OUT)-(0))+IF(((c_TMAP1OUT)-(0))&gt;=0,1,-1)*QUOTIENT(((c_TMAP1IN)-(c_TFWD)),2))+2147483648,4294967296)-2147483648,((c_TMAP1IN)-(c_TFWD))*(((A94)-(c_TFWD))*((c_TMAP1OUT)-(0))+IF(((c_TMAP1OUT)-(0))&gt;=0,1,-1)*QUOTIENT(((c_TMAP1IN)-(c_TFWD)),2)))&gt;=0,1,0)))</f>
        <v>61</v>
      </c>
      <c r="E94" s="7" t="n">
        <f aca="false">IF(((c_TMAP2IN)-(c_TMAP1IN))=0,(c_TMAP1OUT)+QUOTIENT(((c_TMAP2OUT)-(c_TMAP1OUT)),2),QUOTIENT((((A94)-(c_TMAP1IN))*((c_TMAP2OUT)-(c_TMAP1OUT))+IF(((c_TMAP2OUT)-(c_TMAP1OUT))&gt;=0,1,-1)*QUOTIENT(((c_TMAP2IN)-(c_TMAP1IN)),2)),((c_TMAP2IN)-(c_TMAP1IN)))+(c_TMAP1OUT)+IF(((c_TMAP2OUT)-(c_TMAP1OUT))&gt;=0,IF(IF(o_WRAP=1,MOD(((c_TMAP2IN)-(c_TMAP1IN))*(((A94)-(c_TMAP1IN))*((c_TMAP2OUT)-(c_TMAP1OUT))+IF(((c_TMAP2OUT)-(c_TMAP1OUT))&gt;=0,1,-1)*QUOTIENT(((c_TMAP2IN)-(c_TMAP1IN)),2))+2147483648,4294967296)-2147483648,((c_TMAP2IN)-(c_TMAP1IN))*(((A94)-(c_TMAP1IN))*((c_TMAP2OUT)-(c_TMAP1OUT))+IF(((c_TMAP2OUT)-(c_TMAP1OUT))&gt;=0,1,-1)*QUOTIENT(((c_TMAP2IN)-(c_TMAP1IN)),2)))&lt;0,-1,0),IF(IF(o_WRAP=1,MOD(((c_TMAP2IN)-(c_TMAP1IN))*(((A94)-(c_TMAP1IN))*((c_TMAP2OUT)-(c_TMAP1OUT))+IF(((c_TMAP2OUT)-(c_TMAP1OUT))&gt;=0,1,-1)*QUOTIENT(((c_TMAP2IN)-(c_TMAP1IN)),2))+2147483648,4294967296)-2147483648,((c_TMAP2IN)-(c_TMAP1IN))*(((A94)-(c_TMAP1IN))*((c_TMAP2OUT)-(c_TMAP1OUT))+IF(((c_TMAP2OUT)-(c_TMAP1OUT))&gt;=0,1,-1)*QUOTIENT(((c_TMAP2IN)-(c_TMAP1IN)),2)))&gt;=0,1,0)))</f>
        <v>66</v>
      </c>
      <c r="F94" s="7" t="n">
        <f aca="false">IF(((c_TMAP3IN)-(c_TMAP2IN))=0,(c_TMAP2OUT)+QUOTIENT(((c_TMAP3OUT)-(c_TMAP2OUT)),2),QUOTIENT((((A94)-(c_TMAP2IN))*((c_TMAP3OUT)-(c_TMAP2OUT))+IF(((c_TMAP3OUT)-(c_TMAP2OUT))&gt;=0,1,-1)*QUOTIENT(((c_TMAP3IN)-(c_TMAP2IN)),2)),((c_TMAP3IN)-(c_TMAP2IN)))+(c_TMAP2OUT)+IF(((c_TMAP3OUT)-(c_TMAP2OUT))&gt;=0,IF(IF(o_WRAP=1,MOD(((c_TMAP3IN)-(c_TMAP2IN))*(((A94)-(c_TMAP2IN))*((c_TMAP3OUT)-(c_TMAP2OUT))+IF(((c_TMAP3OUT)-(c_TMAP2OUT))&gt;=0,1,-1)*QUOTIENT(((c_TMAP3IN)-(c_TMAP2IN)),2))+2147483648,4294967296)-2147483648,((c_TMAP3IN)-(c_TMAP2IN))*(((A94)-(c_TMAP2IN))*((c_TMAP3OUT)-(c_TMAP2OUT))+IF(((c_TMAP3OUT)-(c_TMAP2OUT))&gt;=0,1,-1)*QUOTIENT(((c_TMAP3IN)-(c_TMAP2IN)),2)))&lt;0,-1,0),IF(IF(o_WRAP=1,MOD(((c_TMAP3IN)-(c_TMAP2IN))*(((A94)-(c_TMAP2IN))*((c_TMAP3OUT)-(c_TMAP2OUT))+IF(((c_TMAP3OUT)-(c_TMAP2OUT))&gt;=0,1,-1)*QUOTIENT(((c_TMAP3IN)-(c_TMAP2IN)),2))+2147483648,4294967296)-2147483648,((c_TMAP3IN)-(c_TMAP2IN))*(((A94)-(c_TMAP2IN))*((c_TMAP3OUT)-(c_TMAP2OUT))+IF(((c_TMAP3OUT)-(c_TMAP2OUT))&gt;=0,1,-1)*QUOTIENT(((c_TMAP3IN)-(c_TMAP2IN)),2)))&gt;=0,1,0)))</f>
        <v>17</v>
      </c>
      <c r="G94" s="7" t="n">
        <f aca="false">IF(((1000)-(c_TMAP3IN))=0,(c_TMAP3OUT)+QUOTIENT(((1000)-(c_TMAP3OUT)),2),QUOTIENT((((A94)-(c_TMAP3IN))*((1000)-(c_TMAP3OUT))+IF(((1000)-(c_TMAP3OUT))&gt;=0,1,-1)*QUOTIENT(((1000)-(c_TMAP3IN)),2)),((1000)-(c_TMAP3IN)))+(c_TMAP3OUT)+IF(((1000)-(c_TMAP3OUT))&gt;=0,IF(IF(o_WRAP=1,MOD(((1000)-(c_TMAP3IN))*(((A94)-(c_TMAP3IN))*((1000)-(c_TMAP3OUT))+IF(((1000)-(c_TMAP3OUT))&gt;=0,1,-1)*QUOTIENT(((1000)-(c_TMAP3IN)),2))+2147483648,4294967296)-2147483648,((1000)-(c_TMAP3IN))*(((A94)-(c_TMAP3IN))*((1000)-(c_TMAP3OUT))+IF(((1000)-(c_TMAP3OUT))&gt;=0,1,-1)*QUOTIENT(((1000)-(c_TMAP3IN)),2)))&lt;0,-1,0),IF(IF(o_WRAP=1,MOD(((1000)-(c_TMAP3IN))*(((A94)-(c_TMAP3IN))*((1000)-(c_TMAP3OUT))+IF(((1000)-(c_TMAP3OUT))&gt;=0,1,-1)*QUOTIENT(((1000)-(c_TMAP3IN)),2))+2147483648,4294967296)-2147483648,((1000)-(c_TMAP3IN))*(((A94)-(c_TMAP3IN))*((1000)-(c_TMAP3OUT))+IF(((1000)-(c_TMAP3OUT))&gt;=0,1,-1)*QUOTIENT(((1000)-(c_TMAP3IN)),2)))&gt;=0,1,0)))</f>
        <v>-121</v>
      </c>
      <c r="H94" s="7" t="str">
        <f aca="false">IF(A94&gt;=c_TFWD,IF(AND(A94&gt;=c_TMAP3IN,c_TMAP3IN&lt;1000),"Seg4 map3-100%",IF(AND(A94&gt;=c_TMAP2IN,c_TMAP3IN&gt;c_TMAP2IN),"Seg3 map2-map3",IF(AND(A94&gt;=c_TMAP1IN,c_TMAP2IN&gt;c_TMAP1IN),"Seg2 map1-map2","Seg1 TFWD-map1"))),IF(AND(A94=0,c_TCREEP&gt;0),"Creep",IF(AND(A94&lt;=c_TRNGMIN,A94&gt;=c_TRNGMAX,c_TRNGMIN-c_TRNGMAX&lt;&gt;0),"Regen ramp","Coast (0)")))</f>
        <v>Seg1 TFWD-map1</v>
      </c>
      <c r="I94" s="7" t="n">
        <f aca="false">IF(A94&gt;=c_TFWD,IF(AND(A94&gt;=c_TMAP3IN,c_TMAP3IN&lt;1000),G94,IF(AND(A94&gt;=c_TMAP2IN,c_TMAP3IN&gt;c_TMAP2IN),F94,IF(AND(A94&gt;=c_TMAP1IN,c_TMAP2IN&gt;c_TMAP1IN),E94,D94))),C94)</f>
        <v>61</v>
      </c>
      <c r="J94" s="7" t="str">
        <f aca="false">IF(I94&lt;-1090,"TOO LOW",IF(I94&gt;1090,"TOO HIGH",""))</f>
        <v/>
      </c>
      <c r="K94" s="15" t="n">
        <f aca="false">IF(J94&lt;&gt;"",0,IF(I94&gt;979,1000,I94))</f>
        <v>61</v>
      </c>
      <c r="L94" s="7" t="n">
        <f aca="false">K94/10</f>
        <v>6.1</v>
      </c>
    </row>
    <row r="95" customFormat="false" ht="15" hidden="false" customHeight="false" outlineLevel="0" collapsed="false">
      <c r="A95" s="7" t="n">
        <v>90</v>
      </c>
      <c r="B95" s="7" t="n">
        <f aca="false">A95/10</f>
        <v>9</v>
      </c>
      <c r="C95" s="7" t="n">
        <f aca="false">IF(AND(A95=0,c_TCREEP&gt;0),10*c_TCREEP,IF(AND(A95&lt;=c_TRNGMIN,A95&gt;=c_TRNGMAX,c_TRNGMIN-c_TRNGMAX&lt;&gt;0),-10*c_TMINRN+QUOTIENT((c_TMAXRN-c_TMINRN)*(100-QUOTIENT((A95-c_TRNGMAX)*100,c_TRNGMIN-c_TRNGMAX)),-10),0))</f>
        <v>0</v>
      </c>
      <c r="D95" s="7" t="n">
        <f aca="false">IF(((c_TMAP1IN)-(c_TFWD))=0,(0)+QUOTIENT(((c_TMAP1OUT)-(0)),2),QUOTIENT((((A95)-(c_TFWD))*((c_TMAP1OUT)-(0))+IF(((c_TMAP1OUT)-(0))&gt;=0,1,-1)*QUOTIENT(((c_TMAP1IN)-(c_TFWD)),2)),((c_TMAP1IN)-(c_TFWD)))+(0)+IF(((c_TMAP1OUT)-(0))&gt;=0,IF(IF(o_WRAP=1,MOD(((c_TMAP1IN)-(c_TFWD))*(((A95)-(c_TFWD))*((c_TMAP1OUT)-(0))+IF(((c_TMAP1OUT)-(0))&gt;=0,1,-1)*QUOTIENT(((c_TMAP1IN)-(c_TFWD)),2))+2147483648,4294967296)-2147483648,((c_TMAP1IN)-(c_TFWD))*(((A95)-(c_TFWD))*((c_TMAP1OUT)-(0))+IF(((c_TMAP1OUT)-(0))&gt;=0,1,-1)*QUOTIENT(((c_TMAP1IN)-(c_TFWD)),2)))&lt;0,-1,0),IF(IF(o_WRAP=1,MOD(((c_TMAP1IN)-(c_TFWD))*(((A95)-(c_TFWD))*((c_TMAP1OUT)-(0))+IF(((c_TMAP1OUT)-(0))&gt;=0,1,-1)*QUOTIENT(((c_TMAP1IN)-(c_TFWD)),2))+2147483648,4294967296)-2147483648,((c_TMAP1IN)-(c_TFWD))*(((A95)-(c_TFWD))*((c_TMAP1OUT)-(0))+IF(((c_TMAP1OUT)-(0))&gt;=0,1,-1)*QUOTIENT(((c_TMAP1IN)-(c_TFWD)),2)))&gt;=0,1,0)))</f>
        <v>62</v>
      </c>
      <c r="E95" s="7" t="n">
        <f aca="false">IF(((c_TMAP2IN)-(c_TMAP1IN))=0,(c_TMAP1OUT)+QUOTIENT(((c_TMAP2OUT)-(c_TMAP1OUT)),2),QUOTIENT((((A95)-(c_TMAP1IN))*((c_TMAP2OUT)-(c_TMAP1OUT))+IF(((c_TMAP2OUT)-(c_TMAP1OUT))&gt;=0,1,-1)*QUOTIENT(((c_TMAP2IN)-(c_TMAP1IN)),2)),((c_TMAP2IN)-(c_TMAP1IN)))+(c_TMAP1OUT)+IF(((c_TMAP2OUT)-(c_TMAP1OUT))&gt;=0,IF(IF(o_WRAP=1,MOD(((c_TMAP2IN)-(c_TMAP1IN))*(((A95)-(c_TMAP1IN))*((c_TMAP2OUT)-(c_TMAP1OUT))+IF(((c_TMAP2OUT)-(c_TMAP1OUT))&gt;=0,1,-1)*QUOTIENT(((c_TMAP2IN)-(c_TMAP1IN)),2))+2147483648,4294967296)-2147483648,((c_TMAP2IN)-(c_TMAP1IN))*(((A95)-(c_TMAP1IN))*((c_TMAP2OUT)-(c_TMAP1OUT))+IF(((c_TMAP2OUT)-(c_TMAP1OUT))&gt;=0,1,-1)*QUOTIENT(((c_TMAP2IN)-(c_TMAP1IN)),2)))&lt;0,-1,0),IF(IF(o_WRAP=1,MOD(((c_TMAP2IN)-(c_TMAP1IN))*(((A95)-(c_TMAP1IN))*((c_TMAP2OUT)-(c_TMAP1OUT))+IF(((c_TMAP2OUT)-(c_TMAP1OUT))&gt;=0,1,-1)*QUOTIENT(((c_TMAP2IN)-(c_TMAP1IN)),2))+2147483648,4294967296)-2147483648,((c_TMAP2IN)-(c_TMAP1IN))*(((A95)-(c_TMAP1IN))*((c_TMAP2OUT)-(c_TMAP1OUT))+IF(((c_TMAP2OUT)-(c_TMAP1OUT))&gt;=0,1,-1)*QUOTIENT(((c_TMAP2IN)-(c_TMAP1IN)),2)))&gt;=0,1,0)))</f>
        <v>66</v>
      </c>
      <c r="F95" s="7" t="n">
        <f aca="false">IF(((c_TMAP3IN)-(c_TMAP2IN))=0,(c_TMAP2OUT)+QUOTIENT(((c_TMAP3OUT)-(c_TMAP2OUT)),2),QUOTIENT((((A95)-(c_TMAP2IN))*((c_TMAP3OUT)-(c_TMAP2OUT))+IF(((c_TMAP3OUT)-(c_TMAP2OUT))&gt;=0,1,-1)*QUOTIENT(((c_TMAP3IN)-(c_TMAP2IN)),2)),((c_TMAP3IN)-(c_TMAP2IN)))+(c_TMAP2OUT)+IF(((c_TMAP3OUT)-(c_TMAP2OUT))&gt;=0,IF(IF(o_WRAP=1,MOD(((c_TMAP3IN)-(c_TMAP2IN))*(((A95)-(c_TMAP2IN))*((c_TMAP3OUT)-(c_TMAP2OUT))+IF(((c_TMAP3OUT)-(c_TMAP2OUT))&gt;=0,1,-1)*QUOTIENT(((c_TMAP3IN)-(c_TMAP2IN)),2))+2147483648,4294967296)-2147483648,((c_TMAP3IN)-(c_TMAP2IN))*(((A95)-(c_TMAP2IN))*((c_TMAP3OUT)-(c_TMAP2OUT))+IF(((c_TMAP3OUT)-(c_TMAP2OUT))&gt;=0,1,-1)*QUOTIENT(((c_TMAP3IN)-(c_TMAP2IN)),2)))&lt;0,-1,0),IF(IF(o_WRAP=1,MOD(((c_TMAP3IN)-(c_TMAP2IN))*(((A95)-(c_TMAP2IN))*((c_TMAP3OUT)-(c_TMAP2OUT))+IF(((c_TMAP3OUT)-(c_TMAP2OUT))&gt;=0,1,-1)*QUOTIENT(((c_TMAP3IN)-(c_TMAP2IN)),2))+2147483648,4294967296)-2147483648,((c_TMAP3IN)-(c_TMAP2IN))*(((A95)-(c_TMAP2IN))*((c_TMAP3OUT)-(c_TMAP2OUT))+IF(((c_TMAP3OUT)-(c_TMAP2OUT))&gt;=0,1,-1)*QUOTIENT(((c_TMAP3IN)-(c_TMAP2IN)),2)))&gt;=0,1,0)))</f>
        <v>18</v>
      </c>
      <c r="G95" s="7" t="n">
        <f aca="false">IF(((1000)-(c_TMAP3IN))=0,(c_TMAP3OUT)+QUOTIENT(((1000)-(c_TMAP3OUT)),2),QUOTIENT((((A95)-(c_TMAP3IN))*((1000)-(c_TMAP3OUT))+IF(((1000)-(c_TMAP3OUT))&gt;=0,1,-1)*QUOTIENT(((1000)-(c_TMAP3IN)),2)),((1000)-(c_TMAP3IN)))+(c_TMAP3OUT)+IF(((1000)-(c_TMAP3OUT))&gt;=0,IF(IF(o_WRAP=1,MOD(((1000)-(c_TMAP3IN))*(((A95)-(c_TMAP3IN))*((1000)-(c_TMAP3OUT))+IF(((1000)-(c_TMAP3OUT))&gt;=0,1,-1)*QUOTIENT(((1000)-(c_TMAP3IN)),2))+2147483648,4294967296)-2147483648,((1000)-(c_TMAP3IN))*(((A95)-(c_TMAP3IN))*((1000)-(c_TMAP3OUT))+IF(((1000)-(c_TMAP3OUT))&gt;=0,1,-1)*QUOTIENT(((1000)-(c_TMAP3IN)),2)))&lt;0,-1,0),IF(IF(o_WRAP=1,MOD(((1000)-(c_TMAP3IN))*(((A95)-(c_TMAP3IN))*((1000)-(c_TMAP3OUT))+IF(((1000)-(c_TMAP3OUT))&gt;=0,1,-1)*QUOTIENT(((1000)-(c_TMAP3IN)),2))+2147483648,4294967296)-2147483648,((1000)-(c_TMAP3IN))*(((A95)-(c_TMAP3IN))*((1000)-(c_TMAP3OUT))+IF(((1000)-(c_TMAP3OUT))&gt;=0,1,-1)*QUOTIENT(((1000)-(c_TMAP3IN)),2)))&gt;=0,1,0)))</f>
        <v>-120</v>
      </c>
      <c r="H95" s="7" t="str">
        <f aca="false">IF(A95&gt;=c_TFWD,IF(AND(A95&gt;=c_TMAP3IN,c_TMAP3IN&lt;1000),"Seg4 map3-100%",IF(AND(A95&gt;=c_TMAP2IN,c_TMAP3IN&gt;c_TMAP2IN),"Seg3 map2-map3",IF(AND(A95&gt;=c_TMAP1IN,c_TMAP2IN&gt;c_TMAP1IN),"Seg2 map1-map2","Seg1 TFWD-map1"))),IF(AND(A95=0,c_TCREEP&gt;0),"Creep",IF(AND(A95&lt;=c_TRNGMIN,A95&gt;=c_TRNGMAX,c_TRNGMIN-c_TRNGMAX&lt;&gt;0),"Regen ramp","Coast (0)")))</f>
        <v>Seg1 TFWD-map1</v>
      </c>
      <c r="I95" s="7" t="n">
        <f aca="false">IF(A95&gt;=c_TFWD,IF(AND(A95&gt;=c_TMAP3IN,c_TMAP3IN&lt;1000),G95,IF(AND(A95&gt;=c_TMAP2IN,c_TMAP3IN&gt;c_TMAP2IN),F95,IF(AND(A95&gt;=c_TMAP1IN,c_TMAP2IN&gt;c_TMAP1IN),E95,D95))),C95)</f>
        <v>62</v>
      </c>
      <c r="J95" s="7" t="str">
        <f aca="false">IF(I95&lt;-1090,"TOO LOW",IF(I95&gt;1090,"TOO HIGH",""))</f>
        <v/>
      </c>
      <c r="K95" s="15" t="n">
        <f aca="false">IF(J95&lt;&gt;"",0,IF(I95&gt;979,1000,I95))</f>
        <v>62</v>
      </c>
      <c r="L95" s="7" t="n">
        <f aca="false">K95/10</f>
        <v>6.2</v>
      </c>
    </row>
    <row r="96" customFormat="false" ht="15" hidden="false" customHeight="false" outlineLevel="0" collapsed="false">
      <c r="A96" s="7" t="n">
        <v>91</v>
      </c>
      <c r="B96" s="7" t="n">
        <f aca="false">A96/10</f>
        <v>9.1</v>
      </c>
      <c r="C96" s="7" t="n">
        <f aca="false">IF(AND(A96=0,c_TCREEP&gt;0),10*c_TCREEP,IF(AND(A96&lt;=c_TRNGMIN,A96&gt;=c_TRNGMAX,c_TRNGMIN-c_TRNGMAX&lt;&gt;0),-10*c_TMINRN+QUOTIENT((c_TMAXRN-c_TMINRN)*(100-QUOTIENT((A96-c_TRNGMAX)*100,c_TRNGMIN-c_TRNGMAX)),-10),0))</f>
        <v>0</v>
      </c>
      <c r="D96" s="7" t="n">
        <f aca="false">IF(((c_TMAP1IN)-(c_TFWD))=0,(0)+QUOTIENT(((c_TMAP1OUT)-(0)),2),QUOTIENT((((A96)-(c_TFWD))*((c_TMAP1OUT)-(0))+IF(((c_TMAP1OUT)-(0))&gt;=0,1,-1)*QUOTIENT(((c_TMAP1IN)-(c_TFWD)),2)),((c_TMAP1IN)-(c_TFWD)))+(0)+IF(((c_TMAP1OUT)-(0))&gt;=0,IF(IF(o_WRAP=1,MOD(((c_TMAP1IN)-(c_TFWD))*(((A96)-(c_TFWD))*((c_TMAP1OUT)-(0))+IF(((c_TMAP1OUT)-(0))&gt;=0,1,-1)*QUOTIENT(((c_TMAP1IN)-(c_TFWD)),2))+2147483648,4294967296)-2147483648,((c_TMAP1IN)-(c_TFWD))*(((A96)-(c_TFWD))*((c_TMAP1OUT)-(0))+IF(((c_TMAP1OUT)-(0))&gt;=0,1,-1)*QUOTIENT(((c_TMAP1IN)-(c_TFWD)),2)))&lt;0,-1,0),IF(IF(o_WRAP=1,MOD(((c_TMAP1IN)-(c_TFWD))*(((A96)-(c_TFWD))*((c_TMAP1OUT)-(0))+IF(((c_TMAP1OUT)-(0))&gt;=0,1,-1)*QUOTIENT(((c_TMAP1IN)-(c_TFWD)),2))+2147483648,4294967296)-2147483648,((c_TMAP1IN)-(c_TFWD))*(((A96)-(c_TFWD))*((c_TMAP1OUT)-(0))+IF(((c_TMAP1OUT)-(0))&gt;=0,1,-1)*QUOTIENT(((c_TMAP1IN)-(c_TFWD)),2)))&gt;=0,1,0)))</f>
        <v>63</v>
      </c>
      <c r="E96" s="7" t="n">
        <f aca="false">IF(((c_TMAP2IN)-(c_TMAP1IN))=0,(c_TMAP1OUT)+QUOTIENT(((c_TMAP2OUT)-(c_TMAP1OUT)),2),QUOTIENT((((A96)-(c_TMAP1IN))*((c_TMAP2OUT)-(c_TMAP1OUT))+IF(((c_TMAP2OUT)-(c_TMAP1OUT))&gt;=0,1,-1)*QUOTIENT(((c_TMAP2IN)-(c_TMAP1IN)),2)),((c_TMAP2IN)-(c_TMAP1IN)))+(c_TMAP1OUT)+IF(((c_TMAP2OUT)-(c_TMAP1OUT))&gt;=0,IF(IF(o_WRAP=1,MOD(((c_TMAP2IN)-(c_TMAP1IN))*(((A96)-(c_TMAP1IN))*((c_TMAP2OUT)-(c_TMAP1OUT))+IF(((c_TMAP2OUT)-(c_TMAP1OUT))&gt;=0,1,-1)*QUOTIENT(((c_TMAP2IN)-(c_TMAP1IN)),2))+2147483648,4294967296)-2147483648,((c_TMAP2IN)-(c_TMAP1IN))*(((A96)-(c_TMAP1IN))*((c_TMAP2OUT)-(c_TMAP1OUT))+IF(((c_TMAP2OUT)-(c_TMAP1OUT))&gt;=0,1,-1)*QUOTIENT(((c_TMAP2IN)-(c_TMAP1IN)),2)))&lt;0,-1,0),IF(IF(o_WRAP=1,MOD(((c_TMAP2IN)-(c_TMAP1IN))*(((A96)-(c_TMAP1IN))*((c_TMAP2OUT)-(c_TMAP1OUT))+IF(((c_TMAP2OUT)-(c_TMAP1OUT))&gt;=0,1,-1)*QUOTIENT(((c_TMAP2IN)-(c_TMAP1IN)),2))+2147483648,4294967296)-2147483648,((c_TMAP2IN)-(c_TMAP1IN))*(((A96)-(c_TMAP1IN))*((c_TMAP2OUT)-(c_TMAP1OUT))+IF(((c_TMAP2OUT)-(c_TMAP1OUT))&gt;=0,1,-1)*QUOTIENT(((c_TMAP2IN)-(c_TMAP1IN)),2)))&gt;=0,1,0)))</f>
        <v>66</v>
      </c>
      <c r="F96" s="7" t="n">
        <f aca="false">IF(((c_TMAP3IN)-(c_TMAP2IN))=0,(c_TMAP2OUT)+QUOTIENT(((c_TMAP3OUT)-(c_TMAP2OUT)),2),QUOTIENT((((A96)-(c_TMAP2IN))*((c_TMAP3OUT)-(c_TMAP2OUT))+IF(((c_TMAP3OUT)-(c_TMAP2OUT))&gt;=0,1,-1)*QUOTIENT(((c_TMAP3IN)-(c_TMAP2IN)),2)),((c_TMAP3IN)-(c_TMAP2IN)))+(c_TMAP2OUT)+IF(((c_TMAP3OUT)-(c_TMAP2OUT))&gt;=0,IF(IF(o_WRAP=1,MOD(((c_TMAP3IN)-(c_TMAP2IN))*(((A96)-(c_TMAP2IN))*((c_TMAP3OUT)-(c_TMAP2OUT))+IF(((c_TMAP3OUT)-(c_TMAP2OUT))&gt;=0,1,-1)*QUOTIENT(((c_TMAP3IN)-(c_TMAP2IN)),2))+2147483648,4294967296)-2147483648,((c_TMAP3IN)-(c_TMAP2IN))*(((A96)-(c_TMAP2IN))*((c_TMAP3OUT)-(c_TMAP2OUT))+IF(((c_TMAP3OUT)-(c_TMAP2OUT))&gt;=0,1,-1)*QUOTIENT(((c_TMAP3IN)-(c_TMAP2IN)),2)))&lt;0,-1,0),IF(IF(o_WRAP=1,MOD(((c_TMAP3IN)-(c_TMAP2IN))*(((A96)-(c_TMAP2IN))*((c_TMAP3OUT)-(c_TMAP2OUT))+IF(((c_TMAP3OUT)-(c_TMAP2OUT))&gt;=0,1,-1)*QUOTIENT(((c_TMAP3IN)-(c_TMAP2IN)),2))+2147483648,4294967296)-2147483648,((c_TMAP3IN)-(c_TMAP2IN))*(((A96)-(c_TMAP2IN))*((c_TMAP3OUT)-(c_TMAP2OUT))+IF(((c_TMAP3OUT)-(c_TMAP2OUT))&gt;=0,1,-1)*QUOTIENT(((c_TMAP3IN)-(c_TMAP2IN)),2)))&gt;=0,1,0)))</f>
        <v>19</v>
      </c>
      <c r="G96" s="7" t="n">
        <f aca="false">IF(((1000)-(c_TMAP3IN))=0,(c_TMAP3OUT)+QUOTIENT(((1000)-(c_TMAP3OUT)),2),QUOTIENT((((A96)-(c_TMAP3IN))*((1000)-(c_TMAP3OUT))+IF(((1000)-(c_TMAP3OUT))&gt;=0,1,-1)*QUOTIENT(((1000)-(c_TMAP3IN)),2)),((1000)-(c_TMAP3IN)))+(c_TMAP3OUT)+IF(((1000)-(c_TMAP3OUT))&gt;=0,IF(IF(o_WRAP=1,MOD(((1000)-(c_TMAP3IN))*(((A96)-(c_TMAP3IN))*((1000)-(c_TMAP3OUT))+IF(((1000)-(c_TMAP3OUT))&gt;=0,1,-1)*QUOTIENT(((1000)-(c_TMAP3IN)),2))+2147483648,4294967296)-2147483648,((1000)-(c_TMAP3IN))*(((A96)-(c_TMAP3IN))*((1000)-(c_TMAP3OUT))+IF(((1000)-(c_TMAP3OUT))&gt;=0,1,-1)*QUOTIENT(((1000)-(c_TMAP3IN)),2)))&lt;0,-1,0),IF(IF(o_WRAP=1,MOD(((1000)-(c_TMAP3IN))*(((A96)-(c_TMAP3IN))*((1000)-(c_TMAP3OUT))+IF(((1000)-(c_TMAP3OUT))&gt;=0,1,-1)*QUOTIENT(((1000)-(c_TMAP3IN)),2))+2147483648,4294967296)-2147483648,((1000)-(c_TMAP3IN))*(((A96)-(c_TMAP3IN))*((1000)-(c_TMAP3OUT))+IF(((1000)-(c_TMAP3OUT))&gt;=0,1,-1)*QUOTIENT(((1000)-(c_TMAP3IN)),2)))&gt;=0,1,0)))</f>
        <v>-119</v>
      </c>
      <c r="H96" s="7" t="str">
        <f aca="false">IF(A96&gt;=c_TFWD,IF(AND(A96&gt;=c_TMAP3IN,c_TMAP3IN&lt;1000),"Seg4 map3-100%",IF(AND(A96&gt;=c_TMAP2IN,c_TMAP3IN&gt;c_TMAP2IN),"Seg3 map2-map3",IF(AND(A96&gt;=c_TMAP1IN,c_TMAP2IN&gt;c_TMAP1IN),"Seg2 map1-map2","Seg1 TFWD-map1"))),IF(AND(A96=0,c_TCREEP&gt;0),"Creep",IF(AND(A96&lt;=c_TRNGMIN,A96&gt;=c_TRNGMAX,c_TRNGMIN-c_TRNGMAX&lt;&gt;0),"Regen ramp","Coast (0)")))</f>
        <v>Seg1 TFWD-map1</v>
      </c>
      <c r="I96" s="7" t="n">
        <f aca="false">IF(A96&gt;=c_TFWD,IF(AND(A96&gt;=c_TMAP3IN,c_TMAP3IN&lt;1000),G96,IF(AND(A96&gt;=c_TMAP2IN,c_TMAP3IN&gt;c_TMAP2IN),F96,IF(AND(A96&gt;=c_TMAP1IN,c_TMAP2IN&gt;c_TMAP1IN),E96,D96))),C96)</f>
        <v>63</v>
      </c>
      <c r="J96" s="7" t="str">
        <f aca="false">IF(I96&lt;-1090,"TOO LOW",IF(I96&gt;1090,"TOO HIGH",""))</f>
        <v/>
      </c>
      <c r="K96" s="15" t="n">
        <f aca="false">IF(J96&lt;&gt;"",0,IF(I96&gt;979,1000,I96))</f>
        <v>63</v>
      </c>
      <c r="L96" s="7" t="n">
        <f aca="false">K96/10</f>
        <v>6.3</v>
      </c>
    </row>
    <row r="97" customFormat="false" ht="15" hidden="false" customHeight="false" outlineLevel="0" collapsed="false">
      <c r="A97" s="7" t="n">
        <v>92</v>
      </c>
      <c r="B97" s="7" t="n">
        <f aca="false">A97/10</f>
        <v>9.2</v>
      </c>
      <c r="C97" s="7" t="n">
        <f aca="false">IF(AND(A97=0,c_TCREEP&gt;0),10*c_TCREEP,IF(AND(A97&lt;=c_TRNGMIN,A97&gt;=c_TRNGMAX,c_TRNGMIN-c_TRNGMAX&lt;&gt;0),-10*c_TMINRN+QUOTIENT((c_TMAXRN-c_TMINRN)*(100-QUOTIENT((A97-c_TRNGMAX)*100,c_TRNGMIN-c_TRNGMAX)),-10),0))</f>
        <v>0</v>
      </c>
      <c r="D97" s="7" t="n">
        <f aca="false">IF(((c_TMAP1IN)-(c_TFWD))=0,(0)+QUOTIENT(((c_TMAP1OUT)-(0)),2),QUOTIENT((((A97)-(c_TFWD))*((c_TMAP1OUT)-(0))+IF(((c_TMAP1OUT)-(0))&gt;=0,1,-1)*QUOTIENT(((c_TMAP1IN)-(c_TFWD)),2)),((c_TMAP1IN)-(c_TFWD)))+(0)+IF(((c_TMAP1OUT)-(0))&gt;=0,IF(IF(o_WRAP=1,MOD(((c_TMAP1IN)-(c_TFWD))*(((A97)-(c_TFWD))*((c_TMAP1OUT)-(0))+IF(((c_TMAP1OUT)-(0))&gt;=0,1,-1)*QUOTIENT(((c_TMAP1IN)-(c_TFWD)),2))+2147483648,4294967296)-2147483648,((c_TMAP1IN)-(c_TFWD))*(((A97)-(c_TFWD))*((c_TMAP1OUT)-(0))+IF(((c_TMAP1OUT)-(0))&gt;=0,1,-1)*QUOTIENT(((c_TMAP1IN)-(c_TFWD)),2)))&lt;0,-1,0),IF(IF(o_WRAP=1,MOD(((c_TMAP1IN)-(c_TFWD))*(((A97)-(c_TFWD))*((c_TMAP1OUT)-(0))+IF(((c_TMAP1OUT)-(0))&gt;=0,1,-1)*QUOTIENT(((c_TMAP1IN)-(c_TFWD)),2))+2147483648,4294967296)-2147483648,((c_TMAP1IN)-(c_TFWD))*(((A97)-(c_TFWD))*((c_TMAP1OUT)-(0))+IF(((c_TMAP1OUT)-(0))&gt;=0,1,-1)*QUOTIENT(((c_TMAP1IN)-(c_TFWD)),2)))&gt;=0,1,0)))</f>
        <v>64</v>
      </c>
      <c r="E97" s="7" t="n">
        <f aca="false">IF(((c_TMAP2IN)-(c_TMAP1IN))=0,(c_TMAP1OUT)+QUOTIENT(((c_TMAP2OUT)-(c_TMAP1OUT)),2),QUOTIENT((((A97)-(c_TMAP1IN))*((c_TMAP2OUT)-(c_TMAP1OUT))+IF(((c_TMAP2OUT)-(c_TMAP1OUT))&gt;=0,1,-1)*QUOTIENT(((c_TMAP2IN)-(c_TMAP1IN)),2)),((c_TMAP2IN)-(c_TMAP1IN)))+(c_TMAP1OUT)+IF(((c_TMAP2OUT)-(c_TMAP1OUT))&gt;=0,IF(IF(o_WRAP=1,MOD(((c_TMAP2IN)-(c_TMAP1IN))*(((A97)-(c_TMAP1IN))*((c_TMAP2OUT)-(c_TMAP1OUT))+IF(((c_TMAP2OUT)-(c_TMAP1OUT))&gt;=0,1,-1)*QUOTIENT(((c_TMAP2IN)-(c_TMAP1IN)),2))+2147483648,4294967296)-2147483648,((c_TMAP2IN)-(c_TMAP1IN))*(((A97)-(c_TMAP1IN))*((c_TMAP2OUT)-(c_TMAP1OUT))+IF(((c_TMAP2OUT)-(c_TMAP1OUT))&gt;=0,1,-1)*QUOTIENT(((c_TMAP2IN)-(c_TMAP1IN)),2)))&lt;0,-1,0),IF(IF(o_WRAP=1,MOD(((c_TMAP2IN)-(c_TMAP1IN))*(((A97)-(c_TMAP1IN))*((c_TMAP2OUT)-(c_TMAP1OUT))+IF(((c_TMAP2OUT)-(c_TMAP1OUT))&gt;=0,1,-1)*QUOTIENT(((c_TMAP2IN)-(c_TMAP1IN)),2))+2147483648,4294967296)-2147483648,((c_TMAP2IN)-(c_TMAP1IN))*(((A97)-(c_TMAP1IN))*((c_TMAP2OUT)-(c_TMAP1OUT))+IF(((c_TMAP2OUT)-(c_TMAP1OUT))&gt;=0,1,-1)*QUOTIENT(((c_TMAP2IN)-(c_TMAP1IN)),2)))&gt;=0,1,0)))</f>
        <v>67</v>
      </c>
      <c r="F97" s="7" t="n">
        <f aca="false">IF(((c_TMAP3IN)-(c_TMAP2IN))=0,(c_TMAP2OUT)+QUOTIENT(((c_TMAP3OUT)-(c_TMAP2OUT)),2),QUOTIENT((((A97)-(c_TMAP2IN))*((c_TMAP3OUT)-(c_TMAP2OUT))+IF(((c_TMAP3OUT)-(c_TMAP2OUT))&gt;=0,1,-1)*QUOTIENT(((c_TMAP3IN)-(c_TMAP2IN)),2)),((c_TMAP3IN)-(c_TMAP2IN)))+(c_TMAP2OUT)+IF(((c_TMAP3OUT)-(c_TMAP2OUT))&gt;=0,IF(IF(o_WRAP=1,MOD(((c_TMAP3IN)-(c_TMAP2IN))*(((A97)-(c_TMAP2IN))*((c_TMAP3OUT)-(c_TMAP2OUT))+IF(((c_TMAP3OUT)-(c_TMAP2OUT))&gt;=0,1,-1)*QUOTIENT(((c_TMAP3IN)-(c_TMAP2IN)),2))+2147483648,4294967296)-2147483648,((c_TMAP3IN)-(c_TMAP2IN))*(((A97)-(c_TMAP2IN))*((c_TMAP3OUT)-(c_TMAP2OUT))+IF(((c_TMAP3OUT)-(c_TMAP2OUT))&gt;=0,1,-1)*QUOTIENT(((c_TMAP3IN)-(c_TMAP2IN)),2)))&lt;0,-1,0),IF(IF(o_WRAP=1,MOD(((c_TMAP3IN)-(c_TMAP2IN))*(((A97)-(c_TMAP2IN))*((c_TMAP3OUT)-(c_TMAP2OUT))+IF(((c_TMAP3OUT)-(c_TMAP2OUT))&gt;=0,1,-1)*QUOTIENT(((c_TMAP3IN)-(c_TMAP2IN)),2))+2147483648,4294967296)-2147483648,((c_TMAP3IN)-(c_TMAP2IN))*(((A97)-(c_TMAP2IN))*((c_TMAP3OUT)-(c_TMAP2OUT))+IF(((c_TMAP3OUT)-(c_TMAP2OUT))&gt;=0,1,-1)*QUOTIENT(((c_TMAP3IN)-(c_TMAP2IN)),2)))&gt;=0,1,0)))</f>
        <v>19</v>
      </c>
      <c r="G97" s="7" t="n">
        <f aca="false">IF(((1000)-(c_TMAP3IN))=0,(c_TMAP3OUT)+QUOTIENT(((1000)-(c_TMAP3OUT)),2),QUOTIENT((((A97)-(c_TMAP3IN))*((1000)-(c_TMAP3OUT))+IF(((1000)-(c_TMAP3OUT))&gt;=0,1,-1)*QUOTIENT(((1000)-(c_TMAP3IN)),2)),((1000)-(c_TMAP3IN)))+(c_TMAP3OUT)+IF(((1000)-(c_TMAP3OUT))&gt;=0,IF(IF(o_WRAP=1,MOD(((1000)-(c_TMAP3IN))*(((A97)-(c_TMAP3IN))*((1000)-(c_TMAP3OUT))+IF(((1000)-(c_TMAP3OUT))&gt;=0,1,-1)*QUOTIENT(((1000)-(c_TMAP3IN)),2))+2147483648,4294967296)-2147483648,((1000)-(c_TMAP3IN))*(((A97)-(c_TMAP3IN))*((1000)-(c_TMAP3OUT))+IF(((1000)-(c_TMAP3OUT))&gt;=0,1,-1)*QUOTIENT(((1000)-(c_TMAP3IN)),2)))&lt;0,-1,0),IF(IF(o_WRAP=1,MOD(((1000)-(c_TMAP3IN))*(((A97)-(c_TMAP3IN))*((1000)-(c_TMAP3OUT))+IF(((1000)-(c_TMAP3OUT))&gt;=0,1,-1)*QUOTIENT(((1000)-(c_TMAP3IN)),2))+2147483648,4294967296)-2147483648,((1000)-(c_TMAP3IN))*(((A97)-(c_TMAP3IN))*((1000)-(c_TMAP3OUT))+IF(((1000)-(c_TMAP3OUT))&gt;=0,1,-1)*QUOTIENT(((1000)-(c_TMAP3IN)),2)))&gt;=0,1,0)))</f>
        <v>-118</v>
      </c>
      <c r="H97" s="7" t="str">
        <f aca="false">IF(A97&gt;=c_TFWD,IF(AND(A97&gt;=c_TMAP3IN,c_TMAP3IN&lt;1000),"Seg4 map3-100%",IF(AND(A97&gt;=c_TMAP2IN,c_TMAP3IN&gt;c_TMAP2IN),"Seg3 map2-map3",IF(AND(A97&gt;=c_TMAP1IN,c_TMAP2IN&gt;c_TMAP1IN),"Seg2 map1-map2","Seg1 TFWD-map1"))),IF(AND(A97=0,c_TCREEP&gt;0),"Creep",IF(AND(A97&lt;=c_TRNGMIN,A97&gt;=c_TRNGMAX,c_TRNGMIN-c_TRNGMAX&lt;&gt;0),"Regen ramp","Coast (0)")))</f>
        <v>Seg1 TFWD-map1</v>
      </c>
      <c r="I97" s="7" t="n">
        <f aca="false">IF(A97&gt;=c_TFWD,IF(AND(A97&gt;=c_TMAP3IN,c_TMAP3IN&lt;1000),G97,IF(AND(A97&gt;=c_TMAP2IN,c_TMAP3IN&gt;c_TMAP2IN),F97,IF(AND(A97&gt;=c_TMAP1IN,c_TMAP2IN&gt;c_TMAP1IN),E97,D97))),C97)</f>
        <v>64</v>
      </c>
      <c r="J97" s="7" t="str">
        <f aca="false">IF(I97&lt;-1090,"TOO LOW",IF(I97&gt;1090,"TOO HIGH",""))</f>
        <v/>
      </c>
      <c r="K97" s="15" t="n">
        <f aca="false">IF(J97&lt;&gt;"",0,IF(I97&gt;979,1000,I97))</f>
        <v>64</v>
      </c>
      <c r="L97" s="7" t="n">
        <f aca="false">K97/10</f>
        <v>6.4</v>
      </c>
    </row>
    <row r="98" customFormat="false" ht="15" hidden="false" customHeight="false" outlineLevel="0" collapsed="false">
      <c r="A98" s="7" t="n">
        <v>93</v>
      </c>
      <c r="B98" s="7" t="n">
        <f aca="false">A98/10</f>
        <v>9.3</v>
      </c>
      <c r="C98" s="7" t="n">
        <f aca="false">IF(AND(A98=0,c_TCREEP&gt;0),10*c_TCREEP,IF(AND(A98&lt;=c_TRNGMIN,A98&gt;=c_TRNGMAX,c_TRNGMIN-c_TRNGMAX&lt;&gt;0),-10*c_TMINRN+QUOTIENT((c_TMAXRN-c_TMINRN)*(100-QUOTIENT((A98-c_TRNGMAX)*100,c_TRNGMIN-c_TRNGMAX)),-10),0))</f>
        <v>0</v>
      </c>
      <c r="D98" s="7" t="n">
        <f aca="false">IF(((c_TMAP1IN)-(c_TFWD))=0,(0)+QUOTIENT(((c_TMAP1OUT)-(0)),2),QUOTIENT((((A98)-(c_TFWD))*((c_TMAP1OUT)-(0))+IF(((c_TMAP1OUT)-(0))&gt;=0,1,-1)*QUOTIENT(((c_TMAP1IN)-(c_TFWD)),2)),((c_TMAP1IN)-(c_TFWD)))+(0)+IF(((c_TMAP1OUT)-(0))&gt;=0,IF(IF(o_WRAP=1,MOD(((c_TMAP1IN)-(c_TFWD))*(((A98)-(c_TFWD))*((c_TMAP1OUT)-(0))+IF(((c_TMAP1OUT)-(0))&gt;=0,1,-1)*QUOTIENT(((c_TMAP1IN)-(c_TFWD)),2))+2147483648,4294967296)-2147483648,((c_TMAP1IN)-(c_TFWD))*(((A98)-(c_TFWD))*((c_TMAP1OUT)-(0))+IF(((c_TMAP1OUT)-(0))&gt;=0,1,-1)*QUOTIENT(((c_TMAP1IN)-(c_TFWD)),2)))&lt;0,-1,0),IF(IF(o_WRAP=1,MOD(((c_TMAP1IN)-(c_TFWD))*(((A98)-(c_TFWD))*((c_TMAP1OUT)-(0))+IF(((c_TMAP1OUT)-(0))&gt;=0,1,-1)*QUOTIENT(((c_TMAP1IN)-(c_TFWD)),2))+2147483648,4294967296)-2147483648,((c_TMAP1IN)-(c_TFWD))*(((A98)-(c_TFWD))*((c_TMAP1OUT)-(0))+IF(((c_TMAP1OUT)-(0))&gt;=0,1,-1)*QUOTIENT(((c_TMAP1IN)-(c_TFWD)),2)))&gt;=0,1,0)))</f>
        <v>65</v>
      </c>
      <c r="E98" s="7" t="n">
        <f aca="false">IF(((c_TMAP2IN)-(c_TMAP1IN))=0,(c_TMAP1OUT)+QUOTIENT(((c_TMAP2OUT)-(c_TMAP1OUT)),2),QUOTIENT((((A98)-(c_TMAP1IN))*((c_TMAP2OUT)-(c_TMAP1OUT))+IF(((c_TMAP2OUT)-(c_TMAP1OUT))&gt;=0,1,-1)*QUOTIENT(((c_TMAP2IN)-(c_TMAP1IN)),2)),((c_TMAP2IN)-(c_TMAP1IN)))+(c_TMAP1OUT)+IF(((c_TMAP2OUT)-(c_TMAP1OUT))&gt;=0,IF(IF(o_WRAP=1,MOD(((c_TMAP2IN)-(c_TMAP1IN))*(((A98)-(c_TMAP1IN))*((c_TMAP2OUT)-(c_TMAP1OUT))+IF(((c_TMAP2OUT)-(c_TMAP1OUT))&gt;=0,1,-1)*QUOTIENT(((c_TMAP2IN)-(c_TMAP1IN)),2))+2147483648,4294967296)-2147483648,((c_TMAP2IN)-(c_TMAP1IN))*(((A98)-(c_TMAP1IN))*((c_TMAP2OUT)-(c_TMAP1OUT))+IF(((c_TMAP2OUT)-(c_TMAP1OUT))&gt;=0,1,-1)*QUOTIENT(((c_TMAP2IN)-(c_TMAP1IN)),2)))&lt;0,-1,0),IF(IF(o_WRAP=1,MOD(((c_TMAP2IN)-(c_TMAP1IN))*(((A98)-(c_TMAP1IN))*((c_TMAP2OUT)-(c_TMAP1OUT))+IF(((c_TMAP2OUT)-(c_TMAP1OUT))&gt;=0,1,-1)*QUOTIENT(((c_TMAP2IN)-(c_TMAP1IN)),2))+2147483648,4294967296)-2147483648,((c_TMAP2IN)-(c_TMAP1IN))*(((A98)-(c_TMAP1IN))*((c_TMAP2OUT)-(c_TMAP1OUT))+IF(((c_TMAP2OUT)-(c_TMAP1OUT))&gt;=0,1,-1)*QUOTIENT(((c_TMAP2IN)-(c_TMAP1IN)),2)))&gt;=0,1,0)))</f>
        <v>67</v>
      </c>
      <c r="F98" s="7" t="n">
        <f aca="false">IF(((c_TMAP3IN)-(c_TMAP2IN))=0,(c_TMAP2OUT)+QUOTIENT(((c_TMAP3OUT)-(c_TMAP2OUT)),2),QUOTIENT((((A98)-(c_TMAP2IN))*((c_TMAP3OUT)-(c_TMAP2OUT))+IF(((c_TMAP3OUT)-(c_TMAP2OUT))&gt;=0,1,-1)*QUOTIENT(((c_TMAP3IN)-(c_TMAP2IN)),2)),((c_TMAP3IN)-(c_TMAP2IN)))+(c_TMAP2OUT)+IF(((c_TMAP3OUT)-(c_TMAP2OUT))&gt;=0,IF(IF(o_WRAP=1,MOD(((c_TMAP3IN)-(c_TMAP2IN))*(((A98)-(c_TMAP2IN))*((c_TMAP3OUT)-(c_TMAP2OUT))+IF(((c_TMAP3OUT)-(c_TMAP2OUT))&gt;=0,1,-1)*QUOTIENT(((c_TMAP3IN)-(c_TMAP2IN)),2))+2147483648,4294967296)-2147483648,((c_TMAP3IN)-(c_TMAP2IN))*(((A98)-(c_TMAP2IN))*((c_TMAP3OUT)-(c_TMAP2OUT))+IF(((c_TMAP3OUT)-(c_TMAP2OUT))&gt;=0,1,-1)*QUOTIENT(((c_TMAP3IN)-(c_TMAP2IN)),2)))&lt;0,-1,0),IF(IF(o_WRAP=1,MOD(((c_TMAP3IN)-(c_TMAP2IN))*(((A98)-(c_TMAP2IN))*((c_TMAP3OUT)-(c_TMAP2OUT))+IF(((c_TMAP3OUT)-(c_TMAP2OUT))&gt;=0,1,-1)*QUOTIENT(((c_TMAP3IN)-(c_TMAP2IN)),2))+2147483648,4294967296)-2147483648,((c_TMAP3IN)-(c_TMAP2IN))*(((A98)-(c_TMAP2IN))*((c_TMAP3OUT)-(c_TMAP2OUT))+IF(((c_TMAP3OUT)-(c_TMAP2OUT))&gt;=0,1,-1)*QUOTIENT(((c_TMAP3IN)-(c_TMAP2IN)),2)))&gt;=0,1,0)))</f>
        <v>20</v>
      </c>
      <c r="G98" s="7" t="n">
        <f aca="false">IF(((1000)-(c_TMAP3IN))=0,(c_TMAP3OUT)+QUOTIENT(((1000)-(c_TMAP3OUT)),2),QUOTIENT((((A98)-(c_TMAP3IN))*((1000)-(c_TMAP3OUT))+IF(((1000)-(c_TMAP3OUT))&gt;=0,1,-1)*QUOTIENT(((1000)-(c_TMAP3IN)),2)),((1000)-(c_TMAP3IN)))+(c_TMAP3OUT)+IF(((1000)-(c_TMAP3OUT))&gt;=0,IF(IF(o_WRAP=1,MOD(((1000)-(c_TMAP3IN))*(((A98)-(c_TMAP3IN))*((1000)-(c_TMAP3OUT))+IF(((1000)-(c_TMAP3OUT))&gt;=0,1,-1)*QUOTIENT(((1000)-(c_TMAP3IN)),2))+2147483648,4294967296)-2147483648,((1000)-(c_TMAP3IN))*(((A98)-(c_TMAP3IN))*((1000)-(c_TMAP3OUT))+IF(((1000)-(c_TMAP3OUT))&gt;=0,1,-1)*QUOTIENT(((1000)-(c_TMAP3IN)),2)))&lt;0,-1,0),IF(IF(o_WRAP=1,MOD(((1000)-(c_TMAP3IN))*(((A98)-(c_TMAP3IN))*((1000)-(c_TMAP3OUT))+IF(((1000)-(c_TMAP3OUT))&gt;=0,1,-1)*QUOTIENT(((1000)-(c_TMAP3IN)),2))+2147483648,4294967296)-2147483648,((1000)-(c_TMAP3IN))*(((A98)-(c_TMAP3IN))*((1000)-(c_TMAP3OUT))+IF(((1000)-(c_TMAP3OUT))&gt;=0,1,-1)*QUOTIENT(((1000)-(c_TMAP3IN)),2)))&gt;=0,1,0)))</f>
        <v>-116</v>
      </c>
      <c r="H98" s="7" t="str">
        <f aca="false">IF(A98&gt;=c_TFWD,IF(AND(A98&gt;=c_TMAP3IN,c_TMAP3IN&lt;1000),"Seg4 map3-100%",IF(AND(A98&gt;=c_TMAP2IN,c_TMAP3IN&gt;c_TMAP2IN),"Seg3 map2-map3",IF(AND(A98&gt;=c_TMAP1IN,c_TMAP2IN&gt;c_TMAP1IN),"Seg2 map1-map2","Seg1 TFWD-map1"))),IF(AND(A98=0,c_TCREEP&gt;0),"Creep",IF(AND(A98&lt;=c_TRNGMIN,A98&gt;=c_TRNGMAX,c_TRNGMIN-c_TRNGMAX&lt;&gt;0),"Regen ramp","Coast (0)")))</f>
        <v>Seg1 TFWD-map1</v>
      </c>
      <c r="I98" s="7" t="n">
        <f aca="false">IF(A98&gt;=c_TFWD,IF(AND(A98&gt;=c_TMAP3IN,c_TMAP3IN&lt;1000),G98,IF(AND(A98&gt;=c_TMAP2IN,c_TMAP3IN&gt;c_TMAP2IN),F98,IF(AND(A98&gt;=c_TMAP1IN,c_TMAP2IN&gt;c_TMAP1IN),E98,D98))),C98)</f>
        <v>65</v>
      </c>
      <c r="J98" s="7" t="str">
        <f aca="false">IF(I98&lt;-1090,"TOO LOW",IF(I98&gt;1090,"TOO HIGH",""))</f>
        <v/>
      </c>
      <c r="K98" s="15" t="n">
        <f aca="false">IF(J98&lt;&gt;"",0,IF(I98&gt;979,1000,I98))</f>
        <v>65</v>
      </c>
      <c r="L98" s="7" t="n">
        <f aca="false">K98/10</f>
        <v>6.5</v>
      </c>
    </row>
    <row r="99" customFormat="false" ht="15" hidden="false" customHeight="false" outlineLevel="0" collapsed="false">
      <c r="A99" s="7" t="n">
        <v>94</v>
      </c>
      <c r="B99" s="7" t="n">
        <f aca="false">A99/10</f>
        <v>9.4</v>
      </c>
      <c r="C99" s="7" t="n">
        <f aca="false">IF(AND(A99=0,c_TCREEP&gt;0),10*c_TCREEP,IF(AND(A99&lt;=c_TRNGMIN,A99&gt;=c_TRNGMAX,c_TRNGMIN-c_TRNGMAX&lt;&gt;0),-10*c_TMINRN+QUOTIENT((c_TMAXRN-c_TMINRN)*(100-QUOTIENT((A99-c_TRNGMAX)*100,c_TRNGMIN-c_TRNGMAX)),-10),0))</f>
        <v>0</v>
      </c>
      <c r="D99" s="7" t="n">
        <f aca="false">IF(((c_TMAP1IN)-(c_TFWD))=0,(0)+QUOTIENT(((c_TMAP1OUT)-(0)),2),QUOTIENT((((A99)-(c_TFWD))*((c_TMAP1OUT)-(0))+IF(((c_TMAP1OUT)-(0))&gt;=0,1,-1)*QUOTIENT(((c_TMAP1IN)-(c_TFWD)),2)),((c_TMAP1IN)-(c_TFWD)))+(0)+IF(((c_TMAP1OUT)-(0))&gt;=0,IF(IF(o_WRAP=1,MOD(((c_TMAP1IN)-(c_TFWD))*(((A99)-(c_TFWD))*((c_TMAP1OUT)-(0))+IF(((c_TMAP1OUT)-(0))&gt;=0,1,-1)*QUOTIENT(((c_TMAP1IN)-(c_TFWD)),2))+2147483648,4294967296)-2147483648,((c_TMAP1IN)-(c_TFWD))*(((A99)-(c_TFWD))*((c_TMAP1OUT)-(0))+IF(((c_TMAP1OUT)-(0))&gt;=0,1,-1)*QUOTIENT(((c_TMAP1IN)-(c_TFWD)),2)))&lt;0,-1,0),IF(IF(o_WRAP=1,MOD(((c_TMAP1IN)-(c_TFWD))*(((A99)-(c_TFWD))*((c_TMAP1OUT)-(0))+IF(((c_TMAP1OUT)-(0))&gt;=0,1,-1)*QUOTIENT(((c_TMAP1IN)-(c_TFWD)),2))+2147483648,4294967296)-2147483648,((c_TMAP1IN)-(c_TFWD))*(((A99)-(c_TFWD))*((c_TMAP1OUT)-(0))+IF(((c_TMAP1OUT)-(0))&gt;=0,1,-1)*QUOTIENT(((c_TMAP1IN)-(c_TFWD)),2)))&gt;=0,1,0)))</f>
        <v>65</v>
      </c>
      <c r="E99" s="7" t="n">
        <f aca="false">IF(((c_TMAP2IN)-(c_TMAP1IN))=0,(c_TMAP1OUT)+QUOTIENT(((c_TMAP2OUT)-(c_TMAP1OUT)),2),QUOTIENT((((A99)-(c_TMAP1IN))*((c_TMAP2OUT)-(c_TMAP1OUT))+IF(((c_TMAP2OUT)-(c_TMAP1OUT))&gt;=0,1,-1)*QUOTIENT(((c_TMAP2IN)-(c_TMAP1IN)),2)),((c_TMAP2IN)-(c_TMAP1IN)))+(c_TMAP1OUT)+IF(((c_TMAP2OUT)-(c_TMAP1OUT))&gt;=0,IF(IF(o_WRAP=1,MOD(((c_TMAP2IN)-(c_TMAP1IN))*(((A99)-(c_TMAP1IN))*((c_TMAP2OUT)-(c_TMAP1OUT))+IF(((c_TMAP2OUT)-(c_TMAP1OUT))&gt;=0,1,-1)*QUOTIENT(((c_TMAP2IN)-(c_TMAP1IN)),2))+2147483648,4294967296)-2147483648,((c_TMAP2IN)-(c_TMAP1IN))*(((A99)-(c_TMAP1IN))*((c_TMAP2OUT)-(c_TMAP1OUT))+IF(((c_TMAP2OUT)-(c_TMAP1OUT))&gt;=0,1,-1)*QUOTIENT(((c_TMAP2IN)-(c_TMAP1IN)),2)))&lt;0,-1,0),IF(IF(o_WRAP=1,MOD(((c_TMAP2IN)-(c_TMAP1IN))*(((A99)-(c_TMAP1IN))*((c_TMAP2OUT)-(c_TMAP1OUT))+IF(((c_TMAP2OUT)-(c_TMAP1OUT))&gt;=0,1,-1)*QUOTIENT(((c_TMAP2IN)-(c_TMAP1IN)),2))+2147483648,4294967296)-2147483648,((c_TMAP2IN)-(c_TMAP1IN))*(((A99)-(c_TMAP1IN))*((c_TMAP2OUT)-(c_TMAP1OUT))+IF(((c_TMAP2OUT)-(c_TMAP1OUT))&gt;=0,1,-1)*QUOTIENT(((c_TMAP2IN)-(c_TMAP1IN)),2)))&gt;=0,1,0)))</f>
        <v>68</v>
      </c>
      <c r="F99" s="7" t="n">
        <f aca="false">IF(((c_TMAP3IN)-(c_TMAP2IN))=0,(c_TMAP2OUT)+QUOTIENT(((c_TMAP3OUT)-(c_TMAP2OUT)),2),QUOTIENT((((A99)-(c_TMAP2IN))*((c_TMAP3OUT)-(c_TMAP2OUT))+IF(((c_TMAP3OUT)-(c_TMAP2OUT))&gt;=0,1,-1)*QUOTIENT(((c_TMAP3IN)-(c_TMAP2IN)),2)),((c_TMAP3IN)-(c_TMAP2IN)))+(c_TMAP2OUT)+IF(((c_TMAP3OUT)-(c_TMAP2OUT))&gt;=0,IF(IF(o_WRAP=1,MOD(((c_TMAP3IN)-(c_TMAP2IN))*(((A99)-(c_TMAP2IN))*((c_TMAP3OUT)-(c_TMAP2OUT))+IF(((c_TMAP3OUT)-(c_TMAP2OUT))&gt;=0,1,-1)*QUOTIENT(((c_TMAP3IN)-(c_TMAP2IN)),2))+2147483648,4294967296)-2147483648,((c_TMAP3IN)-(c_TMAP2IN))*(((A99)-(c_TMAP2IN))*((c_TMAP3OUT)-(c_TMAP2OUT))+IF(((c_TMAP3OUT)-(c_TMAP2OUT))&gt;=0,1,-1)*QUOTIENT(((c_TMAP3IN)-(c_TMAP2IN)),2)))&lt;0,-1,0),IF(IF(o_WRAP=1,MOD(((c_TMAP3IN)-(c_TMAP2IN))*(((A99)-(c_TMAP2IN))*((c_TMAP3OUT)-(c_TMAP2OUT))+IF(((c_TMAP3OUT)-(c_TMAP2OUT))&gt;=0,1,-1)*QUOTIENT(((c_TMAP3IN)-(c_TMAP2IN)),2))+2147483648,4294967296)-2147483648,((c_TMAP3IN)-(c_TMAP2IN))*(((A99)-(c_TMAP2IN))*((c_TMAP3OUT)-(c_TMAP2OUT))+IF(((c_TMAP3OUT)-(c_TMAP2OUT))&gt;=0,1,-1)*QUOTIENT(((c_TMAP3IN)-(c_TMAP2IN)),2)))&gt;=0,1,0)))</f>
        <v>21</v>
      </c>
      <c r="G99" s="7" t="n">
        <f aca="false">IF(((1000)-(c_TMAP3IN))=0,(c_TMAP3OUT)+QUOTIENT(((1000)-(c_TMAP3OUT)),2),QUOTIENT((((A99)-(c_TMAP3IN))*((1000)-(c_TMAP3OUT))+IF(((1000)-(c_TMAP3OUT))&gt;=0,1,-1)*QUOTIENT(((1000)-(c_TMAP3IN)),2)),((1000)-(c_TMAP3IN)))+(c_TMAP3OUT)+IF(((1000)-(c_TMAP3OUT))&gt;=0,IF(IF(o_WRAP=1,MOD(((1000)-(c_TMAP3IN))*(((A99)-(c_TMAP3IN))*((1000)-(c_TMAP3OUT))+IF(((1000)-(c_TMAP3OUT))&gt;=0,1,-1)*QUOTIENT(((1000)-(c_TMAP3IN)),2))+2147483648,4294967296)-2147483648,((1000)-(c_TMAP3IN))*(((A99)-(c_TMAP3IN))*((1000)-(c_TMAP3OUT))+IF(((1000)-(c_TMAP3OUT))&gt;=0,1,-1)*QUOTIENT(((1000)-(c_TMAP3IN)),2)))&lt;0,-1,0),IF(IF(o_WRAP=1,MOD(((1000)-(c_TMAP3IN))*(((A99)-(c_TMAP3IN))*((1000)-(c_TMAP3OUT))+IF(((1000)-(c_TMAP3OUT))&gt;=0,1,-1)*QUOTIENT(((1000)-(c_TMAP3IN)),2))+2147483648,4294967296)-2147483648,((1000)-(c_TMAP3IN))*(((A99)-(c_TMAP3IN))*((1000)-(c_TMAP3OUT))+IF(((1000)-(c_TMAP3OUT))&gt;=0,1,-1)*QUOTIENT(((1000)-(c_TMAP3IN)),2)))&gt;=0,1,0)))</f>
        <v>-115</v>
      </c>
      <c r="H99" s="7" t="str">
        <f aca="false">IF(A99&gt;=c_TFWD,IF(AND(A99&gt;=c_TMAP3IN,c_TMAP3IN&lt;1000),"Seg4 map3-100%",IF(AND(A99&gt;=c_TMAP2IN,c_TMAP3IN&gt;c_TMAP2IN),"Seg3 map2-map3",IF(AND(A99&gt;=c_TMAP1IN,c_TMAP2IN&gt;c_TMAP1IN),"Seg2 map1-map2","Seg1 TFWD-map1"))),IF(AND(A99=0,c_TCREEP&gt;0),"Creep",IF(AND(A99&lt;=c_TRNGMIN,A99&gt;=c_TRNGMAX,c_TRNGMIN-c_TRNGMAX&lt;&gt;0),"Regen ramp","Coast (0)")))</f>
        <v>Seg1 TFWD-map1</v>
      </c>
      <c r="I99" s="7" t="n">
        <f aca="false">IF(A99&gt;=c_TFWD,IF(AND(A99&gt;=c_TMAP3IN,c_TMAP3IN&lt;1000),G99,IF(AND(A99&gt;=c_TMAP2IN,c_TMAP3IN&gt;c_TMAP2IN),F99,IF(AND(A99&gt;=c_TMAP1IN,c_TMAP2IN&gt;c_TMAP1IN),E99,D99))),C99)</f>
        <v>65</v>
      </c>
      <c r="J99" s="7" t="str">
        <f aca="false">IF(I99&lt;-1090,"TOO LOW",IF(I99&gt;1090,"TOO HIGH",""))</f>
        <v/>
      </c>
      <c r="K99" s="15" t="n">
        <f aca="false">IF(J99&lt;&gt;"",0,IF(I99&gt;979,1000,I99))</f>
        <v>65</v>
      </c>
      <c r="L99" s="7" t="n">
        <f aca="false">K99/10</f>
        <v>6.5</v>
      </c>
    </row>
    <row r="100" customFormat="false" ht="15" hidden="false" customHeight="false" outlineLevel="0" collapsed="false">
      <c r="A100" s="7" t="n">
        <v>95</v>
      </c>
      <c r="B100" s="7" t="n">
        <f aca="false">A100/10</f>
        <v>9.5</v>
      </c>
      <c r="C100" s="7" t="n">
        <f aca="false">IF(AND(A100=0,c_TCREEP&gt;0),10*c_TCREEP,IF(AND(A100&lt;=c_TRNGMIN,A100&gt;=c_TRNGMAX,c_TRNGMIN-c_TRNGMAX&lt;&gt;0),-10*c_TMINRN+QUOTIENT((c_TMAXRN-c_TMINRN)*(100-QUOTIENT((A100-c_TRNGMAX)*100,c_TRNGMIN-c_TRNGMAX)),-10),0))</f>
        <v>0</v>
      </c>
      <c r="D100" s="7" t="n">
        <f aca="false">IF(((c_TMAP1IN)-(c_TFWD))=0,(0)+QUOTIENT(((c_TMAP1OUT)-(0)),2),QUOTIENT((((A100)-(c_TFWD))*((c_TMAP1OUT)-(0))+IF(((c_TMAP1OUT)-(0))&gt;=0,1,-1)*QUOTIENT(((c_TMAP1IN)-(c_TFWD)),2)),((c_TMAP1IN)-(c_TFWD)))+(0)+IF(((c_TMAP1OUT)-(0))&gt;=0,IF(IF(o_WRAP=1,MOD(((c_TMAP1IN)-(c_TFWD))*(((A100)-(c_TFWD))*((c_TMAP1OUT)-(0))+IF(((c_TMAP1OUT)-(0))&gt;=0,1,-1)*QUOTIENT(((c_TMAP1IN)-(c_TFWD)),2))+2147483648,4294967296)-2147483648,((c_TMAP1IN)-(c_TFWD))*(((A100)-(c_TFWD))*((c_TMAP1OUT)-(0))+IF(((c_TMAP1OUT)-(0))&gt;=0,1,-1)*QUOTIENT(((c_TMAP1IN)-(c_TFWD)),2)))&lt;0,-1,0),IF(IF(o_WRAP=1,MOD(((c_TMAP1IN)-(c_TFWD))*(((A100)-(c_TFWD))*((c_TMAP1OUT)-(0))+IF(((c_TMAP1OUT)-(0))&gt;=0,1,-1)*QUOTIENT(((c_TMAP1IN)-(c_TFWD)),2))+2147483648,4294967296)-2147483648,((c_TMAP1IN)-(c_TFWD))*(((A100)-(c_TFWD))*((c_TMAP1OUT)-(0))+IF(((c_TMAP1OUT)-(0))&gt;=0,1,-1)*QUOTIENT(((c_TMAP1IN)-(c_TFWD)),2)))&gt;=0,1,0)))</f>
        <v>66</v>
      </c>
      <c r="E100" s="7" t="n">
        <f aca="false">IF(((c_TMAP2IN)-(c_TMAP1IN))=0,(c_TMAP1OUT)+QUOTIENT(((c_TMAP2OUT)-(c_TMAP1OUT)),2),QUOTIENT((((A100)-(c_TMAP1IN))*((c_TMAP2OUT)-(c_TMAP1OUT))+IF(((c_TMAP2OUT)-(c_TMAP1OUT))&gt;=0,1,-1)*QUOTIENT(((c_TMAP2IN)-(c_TMAP1IN)),2)),((c_TMAP2IN)-(c_TMAP1IN)))+(c_TMAP1OUT)+IF(((c_TMAP2OUT)-(c_TMAP1OUT))&gt;=0,IF(IF(o_WRAP=1,MOD(((c_TMAP2IN)-(c_TMAP1IN))*(((A100)-(c_TMAP1IN))*((c_TMAP2OUT)-(c_TMAP1OUT))+IF(((c_TMAP2OUT)-(c_TMAP1OUT))&gt;=0,1,-1)*QUOTIENT(((c_TMAP2IN)-(c_TMAP1IN)),2))+2147483648,4294967296)-2147483648,((c_TMAP2IN)-(c_TMAP1IN))*(((A100)-(c_TMAP1IN))*((c_TMAP2OUT)-(c_TMAP1OUT))+IF(((c_TMAP2OUT)-(c_TMAP1OUT))&gt;=0,1,-1)*QUOTIENT(((c_TMAP2IN)-(c_TMAP1IN)),2)))&lt;0,-1,0),IF(IF(o_WRAP=1,MOD(((c_TMAP2IN)-(c_TMAP1IN))*(((A100)-(c_TMAP1IN))*((c_TMAP2OUT)-(c_TMAP1OUT))+IF(((c_TMAP2OUT)-(c_TMAP1OUT))&gt;=0,1,-1)*QUOTIENT(((c_TMAP2IN)-(c_TMAP1IN)),2))+2147483648,4294967296)-2147483648,((c_TMAP2IN)-(c_TMAP1IN))*(((A100)-(c_TMAP1IN))*((c_TMAP2OUT)-(c_TMAP1OUT))+IF(((c_TMAP2OUT)-(c_TMAP1OUT))&gt;=0,1,-1)*QUOTIENT(((c_TMAP2IN)-(c_TMAP1IN)),2)))&gt;=0,1,0)))</f>
        <v>68</v>
      </c>
      <c r="F100" s="7" t="n">
        <f aca="false">IF(((c_TMAP3IN)-(c_TMAP2IN))=0,(c_TMAP2OUT)+QUOTIENT(((c_TMAP3OUT)-(c_TMAP2OUT)),2),QUOTIENT((((A100)-(c_TMAP2IN))*((c_TMAP3OUT)-(c_TMAP2OUT))+IF(((c_TMAP3OUT)-(c_TMAP2OUT))&gt;=0,1,-1)*QUOTIENT(((c_TMAP3IN)-(c_TMAP2IN)),2)),((c_TMAP3IN)-(c_TMAP2IN)))+(c_TMAP2OUT)+IF(((c_TMAP3OUT)-(c_TMAP2OUT))&gt;=0,IF(IF(o_WRAP=1,MOD(((c_TMAP3IN)-(c_TMAP2IN))*(((A100)-(c_TMAP2IN))*((c_TMAP3OUT)-(c_TMAP2OUT))+IF(((c_TMAP3OUT)-(c_TMAP2OUT))&gt;=0,1,-1)*QUOTIENT(((c_TMAP3IN)-(c_TMAP2IN)),2))+2147483648,4294967296)-2147483648,((c_TMAP3IN)-(c_TMAP2IN))*(((A100)-(c_TMAP2IN))*((c_TMAP3OUT)-(c_TMAP2OUT))+IF(((c_TMAP3OUT)-(c_TMAP2OUT))&gt;=0,1,-1)*QUOTIENT(((c_TMAP3IN)-(c_TMAP2IN)),2)))&lt;0,-1,0),IF(IF(o_WRAP=1,MOD(((c_TMAP3IN)-(c_TMAP2IN))*(((A100)-(c_TMAP2IN))*((c_TMAP3OUT)-(c_TMAP2OUT))+IF(((c_TMAP3OUT)-(c_TMAP2OUT))&gt;=0,1,-1)*QUOTIENT(((c_TMAP3IN)-(c_TMAP2IN)),2))+2147483648,4294967296)-2147483648,((c_TMAP3IN)-(c_TMAP2IN))*(((A100)-(c_TMAP2IN))*((c_TMAP3OUT)-(c_TMAP2OUT))+IF(((c_TMAP3OUT)-(c_TMAP2OUT))&gt;=0,1,-1)*QUOTIENT(((c_TMAP3IN)-(c_TMAP2IN)),2)))&gt;=0,1,0)))</f>
        <v>21</v>
      </c>
      <c r="G100" s="7" t="n">
        <f aca="false">IF(((1000)-(c_TMAP3IN))=0,(c_TMAP3OUT)+QUOTIENT(((1000)-(c_TMAP3OUT)),2),QUOTIENT((((A100)-(c_TMAP3IN))*((1000)-(c_TMAP3OUT))+IF(((1000)-(c_TMAP3OUT))&gt;=0,1,-1)*QUOTIENT(((1000)-(c_TMAP3IN)),2)),((1000)-(c_TMAP3IN)))+(c_TMAP3OUT)+IF(((1000)-(c_TMAP3OUT))&gt;=0,IF(IF(o_WRAP=1,MOD(((1000)-(c_TMAP3IN))*(((A100)-(c_TMAP3IN))*((1000)-(c_TMAP3OUT))+IF(((1000)-(c_TMAP3OUT))&gt;=0,1,-1)*QUOTIENT(((1000)-(c_TMAP3IN)),2))+2147483648,4294967296)-2147483648,((1000)-(c_TMAP3IN))*(((A100)-(c_TMAP3IN))*((1000)-(c_TMAP3OUT))+IF(((1000)-(c_TMAP3OUT))&gt;=0,1,-1)*QUOTIENT(((1000)-(c_TMAP3IN)),2)))&lt;0,-1,0),IF(IF(o_WRAP=1,MOD(((1000)-(c_TMAP3IN))*(((A100)-(c_TMAP3IN))*((1000)-(c_TMAP3OUT))+IF(((1000)-(c_TMAP3OUT))&gt;=0,1,-1)*QUOTIENT(((1000)-(c_TMAP3IN)),2))+2147483648,4294967296)-2147483648,((1000)-(c_TMAP3IN))*(((A100)-(c_TMAP3IN))*((1000)-(c_TMAP3OUT))+IF(((1000)-(c_TMAP3OUT))&gt;=0,1,-1)*QUOTIENT(((1000)-(c_TMAP3IN)),2)))&gt;=0,1,0)))</f>
        <v>-114</v>
      </c>
      <c r="H100" s="7" t="str">
        <f aca="false">IF(A100&gt;=c_TFWD,IF(AND(A100&gt;=c_TMAP3IN,c_TMAP3IN&lt;1000),"Seg4 map3-100%",IF(AND(A100&gt;=c_TMAP2IN,c_TMAP3IN&gt;c_TMAP2IN),"Seg3 map2-map3",IF(AND(A100&gt;=c_TMAP1IN,c_TMAP2IN&gt;c_TMAP1IN),"Seg2 map1-map2","Seg1 TFWD-map1"))),IF(AND(A100=0,c_TCREEP&gt;0),"Creep",IF(AND(A100&lt;=c_TRNGMIN,A100&gt;=c_TRNGMAX,c_TRNGMIN-c_TRNGMAX&lt;&gt;0),"Regen ramp","Coast (0)")))</f>
        <v>Seg1 TFWD-map1</v>
      </c>
      <c r="I100" s="7" t="n">
        <f aca="false">IF(A100&gt;=c_TFWD,IF(AND(A100&gt;=c_TMAP3IN,c_TMAP3IN&lt;1000),G100,IF(AND(A100&gt;=c_TMAP2IN,c_TMAP3IN&gt;c_TMAP2IN),F100,IF(AND(A100&gt;=c_TMAP1IN,c_TMAP2IN&gt;c_TMAP1IN),E100,D100))),C100)</f>
        <v>66</v>
      </c>
      <c r="J100" s="7" t="str">
        <f aca="false">IF(I100&lt;-1090,"TOO LOW",IF(I100&gt;1090,"TOO HIGH",""))</f>
        <v/>
      </c>
      <c r="K100" s="15" t="n">
        <f aca="false">IF(J100&lt;&gt;"",0,IF(I100&gt;979,1000,I100))</f>
        <v>66</v>
      </c>
      <c r="L100" s="7" t="n">
        <f aca="false">K100/10</f>
        <v>6.6</v>
      </c>
    </row>
    <row r="101" customFormat="false" ht="15" hidden="false" customHeight="false" outlineLevel="0" collapsed="false">
      <c r="A101" s="7" t="n">
        <v>96</v>
      </c>
      <c r="B101" s="7" t="n">
        <f aca="false">A101/10</f>
        <v>9.6</v>
      </c>
      <c r="C101" s="7" t="n">
        <f aca="false">IF(AND(A101=0,c_TCREEP&gt;0),10*c_TCREEP,IF(AND(A101&lt;=c_TRNGMIN,A101&gt;=c_TRNGMAX,c_TRNGMIN-c_TRNGMAX&lt;&gt;0),-10*c_TMINRN+QUOTIENT((c_TMAXRN-c_TMINRN)*(100-QUOTIENT((A101-c_TRNGMAX)*100,c_TRNGMIN-c_TRNGMAX)),-10),0))</f>
        <v>0</v>
      </c>
      <c r="D101" s="7" t="n">
        <f aca="false">IF(((c_TMAP1IN)-(c_TFWD))=0,(0)+QUOTIENT(((c_TMAP1OUT)-(0)),2),QUOTIENT((((A101)-(c_TFWD))*((c_TMAP1OUT)-(0))+IF(((c_TMAP1OUT)-(0))&gt;=0,1,-1)*QUOTIENT(((c_TMAP1IN)-(c_TFWD)),2)),((c_TMAP1IN)-(c_TFWD)))+(0)+IF(((c_TMAP1OUT)-(0))&gt;=0,IF(IF(o_WRAP=1,MOD(((c_TMAP1IN)-(c_TFWD))*(((A101)-(c_TFWD))*((c_TMAP1OUT)-(0))+IF(((c_TMAP1OUT)-(0))&gt;=0,1,-1)*QUOTIENT(((c_TMAP1IN)-(c_TFWD)),2))+2147483648,4294967296)-2147483648,((c_TMAP1IN)-(c_TFWD))*(((A101)-(c_TFWD))*((c_TMAP1OUT)-(0))+IF(((c_TMAP1OUT)-(0))&gt;=0,1,-1)*QUOTIENT(((c_TMAP1IN)-(c_TFWD)),2)))&lt;0,-1,0),IF(IF(o_WRAP=1,MOD(((c_TMAP1IN)-(c_TFWD))*(((A101)-(c_TFWD))*((c_TMAP1OUT)-(0))+IF(((c_TMAP1OUT)-(0))&gt;=0,1,-1)*QUOTIENT(((c_TMAP1IN)-(c_TFWD)),2))+2147483648,4294967296)-2147483648,((c_TMAP1IN)-(c_TFWD))*(((A101)-(c_TFWD))*((c_TMAP1OUT)-(0))+IF(((c_TMAP1OUT)-(0))&gt;=0,1,-1)*QUOTIENT(((c_TMAP1IN)-(c_TFWD)),2)))&gt;=0,1,0)))</f>
        <v>67</v>
      </c>
      <c r="E101" s="7" t="n">
        <f aca="false">IF(((c_TMAP2IN)-(c_TMAP1IN))=0,(c_TMAP1OUT)+QUOTIENT(((c_TMAP2OUT)-(c_TMAP1OUT)),2),QUOTIENT((((A101)-(c_TMAP1IN))*((c_TMAP2OUT)-(c_TMAP1OUT))+IF(((c_TMAP2OUT)-(c_TMAP1OUT))&gt;=0,1,-1)*QUOTIENT(((c_TMAP2IN)-(c_TMAP1IN)),2)),((c_TMAP2IN)-(c_TMAP1IN)))+(c_TMAP1OUT)+IF(((c_TMAP2OUT)-(c_TMAP1OUT))&gt;=0,IF(IF(o_WRAP=1,MOD(((c_TMAP2IN)-(c_TMAP1IN))*(((A101)-(c_TMAP1IN))*((c_TMAP2OUT)-(c_TMAP1OUT))+IF(((c_TMAP2OUT)-(c_TMAP1OUT))&gt;=0,1,-1)*QUOTIENT(((c_TMAP2IN)-(c_TMAP1IN)),2))+2147483648,4294967296)-2147483648,((c_TMAP2IN)-(c_TMAP1IN))*(((A101)-(c_TMAP1IN))*((c_TMAP2OUT)-(c_TMAP1OUT))+IF(((c_TMAP2OUT)-(c_TMAP1OUT))&gt;=0,1,-1)*QUOTIENT(((c_TMAP2IN)-(c_TMAP1IN)),2)))&lt;0,-1,0),IF(IF(o_WRAP=1,MOD(((c_TMAP2IN)-(c_TMAP1IN))*(((A101)-(c_TMAP1IN))*((c_TMAP2OUT)-(c_TMAP1OUT))+IF(((c_TMAP2OUT)-(c_TMAP1OUT))&gt;=0,1,-1)*QUOTIENT(((c_TMAP2IN)-(c_TMAP1IN)),2))+2147483648,4294967296)-2147483648,((c_TMAP2IN)-(c_TMAP1IN))*(((A101)-(c_TMAP1IN))*((c_TMAP2OUT)-(c_TMAP1OUT))+IF(((c_TMAP2OUT)-(c_TMAP1OUT))&gt;=0,1,-1)*QUOTIENT(((c_TMAP2IN)-(c_TMAP1IN)),2)))&gt;=0,1,0)))</f>
        <v>68</v>
      </c>
      <c r="F101" s="7" t="n">
        <f aca="false">IF(((c_TMAP3IN)-(c_TMAP2IN))=0,(c_TMAP2OUT)+QUOTIENT(((c_TMAP3OUT)-(c_TMAP2OUT)),2),QUOTIENT((((A101)-(c_TMAP2IN))*((c_TMAP3OUT)-(c_TMAP2OUT))+IF(((c_TMAP3OUT)-(c_TMAP2OUT))&gt;=0,1,-1)*QUOTIENT(((c_TMAP3IN)-(c_TMAP2IN)),2)),((c_TMAP3IN)-(c_TMAP2IN)))+(c_TMAP2OUT)+IF(((c_TMAP3OUT)-(c_TMAP2OUT))&gt;=0,IF(IF(o_WRAP=1,MOD(((c_TMAP3IN)-(c_TMAP2IN))*(((A101)-(c_TMAP2IN))*((c_TMAP3OUT)-(c_TMAP2OUT))+IF(((c_TMAP3OUT)-(c_TMAP2OUT))&gt;=0,1,-1)*QUOTIENT(((c_TMAP3IN)-(c_TMAP2IN)),2))+2147483648,4294967296)-2147483648,((c_TMAP3IN)-(c_TMAP2IN))*(((A101)-(c_TMAP2IN))*((c_TMAP3OUT)-(c_TMAP2OUT))+IF(((c_TMAP3OUT)-(c_TMAP2OUT))&gt;=0,1,-1)*QUOTIENT(((c_TMAP3IN)-(c_TMAP2IN)),2)))&lt;0,-1,0),IF(IF(o_WRAP=1,MOD(((c_TMAP3IN)-(c_TMAP2IN))*(((A101)-(c_TMAP2IN))*((c_TMAP3OUT)-(c_TMAP2OUT))+IF(((c_TMAP3OUT)-(c_TMAP2OUT))&gt;=0,1,-1)*QUOTIENT(((c_TMAP3IN)-(c_TMAP2IN)),2))+2147483648,4294967296)-2147483648,((c_TMAP3IN)-(c_TMAP2IN))*(((A101)-(c_TMAP2IN))*((c_TMAP3OUT)-(c_TMAP2OUT))+IF(((c_TMAP3OUT)-(c_TMAP2OUT))&gt;=0,1,-1)*QUOTIENT(((c_TMAP3IN)-(c_TMAP2IN)),2)))&gt;=0,1,0)))</f>
        <v>22</v>
      </c>
      <c r="G101" s="7" t="n">
        <f aca="false">IF(((1000)-(c_TMAP3IN))=0,(c_TMAP3OUT)+QUOTIENT(((1000)-(c_TMAP3OUT)),2),QUOTIENT((((A101)-(c_TMAP3IN))*((1000)-(c_TMAP3OUT))+IF(((1000)-(c_TMAP3OUT))&gt;=0,1,-1)*QUOTIENT(((1000)-(c_TMAP3IN)),2)),((1000)-(c_TMAP3IN)))+(c_TMAP3OUT)+IF(((1000)-(c_TMAP3OUT))&gt;=0,IF(IF(o_WRAP=1,MOD(((1000)-(c_TMAP3IN))*(((A101)-(c_TMAP3IN))*((1000)-(c_TMAP3OUT))+IF(((1000)-(c_TMAP3OUT))&gt;=0,1,-1)*QUOTIENT(((1000)-(c_TMAP3IN)),2))+2147483648,4294967296)-2147483648,((1000)-(c_TMAP3IN))*(((A101)-(c_TMAP3IN))*((1000)-(c_TMAP3OUT))+IF(((1000)-(c_TMAP3OUT))&gt;=0,1,-1)*QUOTIENT(((1000)-(c_TMAP3IN)),2)))&lt;0,-1,0),IF(IF(o_WRAP=1,MOD(((1000)-(c_TMAP3IN))*(((A101)-(c_TMAP3IN))*((1000)-(c_TMAP3OUT))+IF(((1000)-(c_TMAP3OUT))&gt;=0,1,-1)*QUOTIENT(((1000)-(c_TMAP3IN)),2))+2147483648,4294967296)-2147483648,((1000)-(c_TMAP3IN))*(((A101)-(c_TMAP3IN))*((1000)-(c_TMAP3OUT))+IF(((1000)-(c_TMAP3OUT))&gt;=0,1,-1)*QUOTIENT(((1000)-(c_TMAP3IN)),2)))&gt;=0,1,0)))</f>
        <v>-113</v>
      </c>
      <c r="H101" s="7" t="str">
        <f aca="false">IF(A101&gt;=c_TFWD,IF(AND(A101&gt;=c_TMAP3IN,c_TMAP3IN&lt;1000),"Seg4 map3-100%",IF(AND(A101&gt;=c_TMAP2IN,c_TMAP3IN&gt;c_TMAP2IN),"Seg3 map2-map3",IF(AND(A101&gt;=c_TMAP1IN,c_TMAP2IN&gt;c_TMAP1IN),"Seg2 map1-map2","Seg1 TFWD-map1"))),IF(AND(A101=0,c_TCREEP&gt;0),"Creep",IF(AND(A101&lt;=c_TRNGMIN,A101&gt;=c_TRNGMAX,c_TRNGMIN-c_TRNGMAX&lt;&gt;0),"Regen ramp","Coast (0)")))</f>
        <v>Seg1 TFWD-map1</v>
      </c>
      <c r="I101" s="7" t="n">
        <f aca="false">IF(A101&gt;=c_TFWD,IF(AND(A101&gt;=c_TMAP3IN,c_TMAP3IN&lt;1000),G101,IF(AND(A101&gt;=c_TMAP2IN,c_TMAP3IN&gt;c_TMAP2IN),F101,IF(AND(A101&gt;=c_TMAP1IN,c_TMAP2IN&gt;c_TMAP1IN),E101,D101))),C101)</f>
        <v>67</v>
      </c>
      <c r="J101" s="7" t="str">
        <f aca="false">IF(I101&lt;-1090,"TOO LOW",IF(I101&gt;1090,"TOO HIGH",""))</f>
        <v/>
      </c>
      <c r="K101" s="15" t="n">
        <f aca="false">IF(J101&lt;&gt;"",0,IF(I101&gt;979,1000,I101))</f>
        <v>67</v>
      </c>
      <c r="L101" s="7" t="n">
        <f aca="false">K101/10</f>
        <v>6.7</v>
      </c>
    </row>
    <row r="102" customFormat="false" ht="15" hidden="false" customHeight="false" outlineLevel="0" collapsed="false">
      <c r="A102" s="7" t="n">
        <v>97</v>
      </c>
      <c r="B102" s="7" t="n">
        <f aca="false">A102/10</f>
        <v>9.7</v>
      </c>
      <c r="C102" s="7" t="n">
        <f aca="false">IF(AND(A102=0,c_TCREEP&gt;0),10*c_TCREEP,IF(AND(A102&lt;=c_TRNGMIN,A102&gt;=c_TRNGMAX,c_TRNGMIN-c_TRNGMAX&lt;&gt;0),-10*c_TMINRN+QUOTIENT((c_TMAXRN-c_TMINRN)*(100-QUOTIENT((A102-c_TRNGMAX)*100,c_TRNGMIN-c_TRNGMAX)),-10),0))</f>
        <v>0</v>
      </c>
      <c r="D102" s="7" t="n">
        <f aca="false">IF(((c_TMAP1IN)-(c_TFWD))=0,(0)+QUOTIENT(((c_TMAP1OUT)-(0)),2),QUOTIENT((((A102)-(c_TFWD))*((c_TMAP1OUT)-(0))+IF(((c_TMAP1OUT)-(0))&gt;=0,1,-1)*QUOTIENT(((c_TMAP1IN)-(c_TFWD)),2)),((c_TMAP1IN)-(c_TFWD)))+(0)+IF(((c_TMAP1OUT)-(0))&gt;=0,IF(IF(o_WRAP=1,MOD(((c_TMAP1IN)-(c_TFWD))*(((A102)-(c_TFWD))*((c_TMAP1OUT)-(0))+IF(((c_TMAP1OUT)-(0))&gt;=0,1,-1)*QUOTIENT(((c_TMAP1IN)-(c_TFWD)),2))+2147483648,4294967296)-2147483648,((c_TMAP1IN)-(c_TFWD))*(((A102)-(c_TFWD))*((c_TMAP1OUT)-(0))+IF(((c_TMAP1OUT)-(0))&gt;=0,1,-1)*QUOTIENT(((c_TMAP1IN)-(c_TFWD)),2)))&lt;0,-1,0),IF(IF(o_WRAP=1,MOD(((c_TMAP1IN)-(c_TFWD))*(((A102)-(c_TFWD))*((c_TMAP1OUT)-(0))+IF(((c_TMAP1OUT)-(0))&gt;=0,1,-1)*QUOTIENT(((c_TMAP1IN)-(c_TFWD)),2))+2147483648,4294967296)-2147483648,((c_TMAP1IN)-(c_TFWD))*(((A102)-(c_TFWD))*((c_TMAP1OUT)-(0))+IF(((c_TMAP1OUT)-(0))&gt;=0,1,-1)*QUOTIENT(((c_TMAP1IN)-(c_TFWD)),2)))&gt;=0,1,0)))</f>
        <v>68</v>
      </c>
      <c r="E102" s="7" t="n">
        <f aca="false">IF(((c_TMAP2IN)-(c_TMAP1IN))=0,(c_TMAP1OUT)+QUOTIENT(((c_TMAP2OUT)-(c_TMAP1OUT)),2),QUOTIENT((((A102)-(c_TMAP1IN))*((c_TMAP2OUT)-(c_TMAP1OUT))+IF(((c_TMAP2OUT)-(c_TMAP1OUT))&gt;=0,1,-1)*QUOTIENT(((c_TMAP2IN)-(c_TMAP1IN)),2)),((c_TMAP2IN)-(c_TMAP1IN)))+(c_TMAP1OUT)+IF(((c_TMAP2OUT)-(c_TMAP1OUT))&gt;=0,IF(IF(o_WRAP=1,MOD(((c_TMAP2IN)-(c_TMAP1IN))*(((A102)-(c_TMAP1IN))*((c_TMAP2OUT)-(c_TMAP1OUT))+IF(((c_TMAP2OUT)-(c_TMAP1OUT))&gt;=0,1,-1)*QUOTIENT(((c_TMAP2IN)-(c_TMAP1IN)),2))+2147483648,4294967296)-2147483648,((c_TMAP2IN)-(c_TMAP1IN))*(((A102)-(c_TMAP1IN))*((c_TMAP2OUT)-(c_TMAP1OUT))+IF(((c_TMAP2OUT)-(c_TMAP1OUT))&gt;=0,1,-1)*QUOTIENT(((c_TMAP2IN)-(c_TMAP1IN)),2)))&lt;0,-1,0),IF(IF(o_WRAP=1,MOD(((c_TMAP2IN)-(c_TMAP1IN))*(((A102)-(c_TMAP1IN))*((c_TMAP2OUT)-(c_TMAP1OUT))+IF(((c_TMAP2OUT)-(c_TMAP1OUT))&gt;=0,1,-1)*QUOTIENT(((c_TMAP2IN)-(c_TMAP1IN)),2))+2147483648,4294967296)-2147483648,((c_TMAP2IN)-(c_TMAP1IN))*(((A102)-(c_TMAP1IN))*((c_TMAP2OUT)-(c_TMAP1OUT))+IF(((c_TMAP2OUT)-(c_TMAP1OUT))&gt;=0,1,-1)*QUOTIENT(((c_TMAP2IN)-(c_TMAP1IN)),2)))&gt;=0,1,0)))</f>
        <v>69</v>
      </c>
      <c r="F102" s="7" t="n">
        <f aca="false">IF(((c_TMAP3IN)-(c_TMAP2IN))=0,(c_TMAP2OUT)+QUOTIENT(((c_TMAP3OUT)-(c_TMAP2OUT)),2),QUOTIENT((((A102)-(c_TMAP2IN))*((c_TMAP3OUT)-(c_TMAP2OUT))+IF(((c_TMAP3OUT)-(c_TMAP2OUT))&gt;=0,1,-1)*QUOTIENT(((c_TMAP3IN)-(c_TMAP2IN)),2)),((c_TMAP3IN)-(c_TMAP2IN)))+(c_TMAP2OUT)+IF(((c_TMAP3OUT)-(c_TMAP2OUT))&gt;=0,IF(IF(o_WRAP=1,MOD(((c_TMAP3IN)-(c_TMAP2IN))*(((A102)-(c_TMAP2IN))*((c_TMAP3OUT)-(c_TMAP2OUT))+IF(((c_TMAP3OUT)-(c_TMAP2OUT))&gt;=0,1,-1)*QUOTIENT(((c_TMAP3IN)-(c_TMAP2IN)),2))+2147483648,4294967296)-2147483648,((c_TMAP3IN)-(c_TMAP2IN))*(((A102)-(c_TMAP2IN))*((c_TMAP3OUT)-(c_TMAP2OUT))+IF(((c_TMAP3OUT)-(c_TMAP2OUT))&gt;=0,1,-1)*QUOTIENT(((c_TMAP3IN)-(c_TMAP2IN)),2)))&lt;0,-1,0),IF(IF(o_WRAP=1,MOD(((c_TMAP3IN)-(c_TMAP2IN))*(((A102)-(c_TMAP2IN))*((c_TMAP3OUT)-(c_TMAP2OUT))+IF(((c_TMAP3OUT)-(c_TMAP2OUT))&gt;=0,1,-1)*QUOTIENT(((c_TMAP3IN)-(c_TMAP2IN)),2))+2147483648,4294967296)-2147483648,((c_TMAP3IN)-(c_TMAP2IN))*(((A102)-(c_TMAP2IN))*((c_TMAP3OUT)-(c_TMAP2OUT))+IF(((c_TMAP3OUT)-(c_TMAP2OUT))&gt;=0,1,-1)*QUOTIENT(((c_TMAP3IN)-(c_TMAP2IN)),2)))&gt;=0,1,0)))</f>
        <v>23</v>
      </c>
      <c r="G102" s="7" t="n">
        <f aca="false">IF(((1000)-(c_TMAP3IN))=0,(c_TMAP3OUT)+QUOTIENT(((1000)-(c_TMAP3OUT)),2),QUOTIENT((((A102)-(c_TMAP3IN))*((1000)-(c_TMAP3OUT))+IF(((1000)-(c_TMAP3OUT))&gt;=0,1,-1)*QUOTIENT(((1000)-(c_TMAP3IN)),2)),((1000)-(c_TMAP3IN)))+(c_TMAP3OUT)+IF(((1000)-(c_TMAP3OUT))&gt;=0,IF(IF(o_WRAP=1,MOD(((1000)-(c_TMAP3IN))*(((A102)-(c_TMAP3IN))*((1000)-(c_TMAP3OUT))+IF(((1000)-(c_TMAP3OUT))&gt;=0,1,-1)*QUOTIENT(((1000)-(c_TMAP3IN)),2))+2147483648,4294967296)-2147483648,((1000)-(c_TMAP3IN))*(((A102)-(c_TMAP3IN))*((1000)-(c_TMAP3OUT))+IF(((1000)-(c_TMAP3OUT))&gt;=0,1,-1)*QUOTIENT(((1000)-(c_TMAP3IN)),2)))&lt;0,-1,0),IF(IF(o_WRAP=1,MOD(((1000)-(c_TMAP3IN))*(((A102)-(c_TMAP3IN))*((1000)-(c_TMAP3OUT))+IF(((1000)-(c_TMAP3OUT))&gt;=0,1,-1)*QUOTIENT(((1000)-(c_TMAP3IN)),2))+2147483648,4294967296)-2147483648,((1000)-(c_TMAP3IN))*(((A102)-(c_TMAP3IN))*((1000)-(c_TMAP3OUT))+IF(((1000)-(c_TMAP3OUT))&gt;=0,1,-1)*QUOTIENT(((1000)-(c_TMAP3IN)),2)))&gt;=0,1,0)))</f>
        <v>-111</v>
      </c>
      <c r="H102" s="7" t="str">
        <f aca="false">IF(A102&gt;=c_TFWD,IF(AND(A102&gt;=c_TMAP3IN,c_TMAP3IN&lt;1000),"Seg4 map3-100%",IF(AND(A102&gt;=c_TMAP2IN,c_TMAP3IN&gt;c_TMAP2IN),"Seg3 map2-map3",IF(AND(A102&gt;=c_TMAP1IN,c_TMAP2IN&gt;c_TMAP1IN),"Seg2 map1-map2","Seg1 TFWD-map1"))),IF(AND(A102=0,c_TCREEP&gt;0),"Creep",IF(AND(A102&lt;=c_TRNGMIN,A102&gt;=c_TRNGMAX,c_TRNGMIN-c_TRNGMAX&lt;&gt;0),"Regen ramp","Coast (0)")))</f>
        <v>Seg1 TFWD-map1</v>
      </c>
      <c r="I102" s="7" t="n">
        <f aca="false">IF(A102&gt;=c_TFWD,IF(AND(A102&gt;=c_TMAP3IN,c_TMAP3IN&lt;1000),G102,IF(AND(A102&gt;=c_TMAP2IN,c_TMAP3IN&gt;c_TMAP2IN),F102,IF(AND(A102&gt;=c_TMAP1IN,c_TMAP2IN&gt;c_TMAP1IN),E102,D102))),C102)</f>
        <v>68</v>
      </c>
      <c r="J102" s="7" t="str">
        <f aca="false">IF(I102&lt;-1090,"TOO LOW",IF(I102&gt;1090,"TOO HIGH",""))</f>
        <v/>
      </c>
      <c r="K102" s="15" t="n">
        <f aca="false">IF(J102&lt;&gt;"",0,IF(I102&gt;979,1000,I102))</f>
        <v>68</v>
      </c>
      <c r="L102" s="7" t="n">
        <f aca="false">K102/10</f>
        <v>6.8</v>
      </c>
    </row>
    <row r="103" customFormat="false" ht="15" hidden="false" customHeight="false" outlineLevel="0" collapsed="false">
      <c r="A103" s="7" t="n">
        <v>98</v>
      </c>
      <c r="B103" s="7" t="n">
        <f aca="false">A103/10</f>
        <v>9.8</v>
      </c>
      <c r="C103" s="7" t="n">
        <f aca="false">IF(AND(A103=0,c_TCREEP&gt;0),10*c_TCREEP,IF(AND(A103&lt;=c_TRNGMIN,A103&gt;=c_TRNGMAX,c_TRNGMIN-c_TRNGMAX&lt;&gt;0),-10*c_TMINRN+QUOTIENT((c_TMAXRN-c_TMINRN)*(100-QUOTIENT((A103-c_TRNGMAX)*100,c_TRNGMIN-c_TRNGMAX)),-10),0))</f>
        <v>0</v>
      </c>
      <c r="D103" s="7" t="n">
        <f aca="false">IF(((c_TMAP1IN)-(c_TFWD))=0,(0)+QUOTIENT(((c_TMAP1OUT)-(0)),2),QUOTIENT((((A103)-(c_TFWD))*((c_TMAP1OUT)-(0))+IF(((c_TMAP1OUT)-(0))&gt;=0,1,-1)*QUOTIENT(((c_TMAP1IN)-(c_TFWD)),2)),((c_TMAP1IN)-(c_TFWD)))+(0)+IF(((c_TMAP1OUT)-(0))&gt;=0,IF(IF(o_WRAP=1,MOD(((c_TMAP1IN)-(c_TFWD))*(((A103)-(c_TFWD))*((c_TMAP1OUT)-(0))+IF(((c_TMAP1OUT)-(0))&gt;=0,1,-1)*QUOTIENT(((c_TMAP1IN)-(c_TFWD)),2))+2147483648,4294967296)-2147483648,((c_TMAP1IN)-(c_TFWD))*(((A103)-(c_TFWD))*((c_TMAP1OUT)-(0))+IF(((c_TMAP1OUT)-(0))&gt;=0,1,-1)*QUOTIENT(((c_TMAP1IN)-(c_TFWD)),2)))&lt;0,-1,0),IF(IF(o_WRAP=1,MOD(((c_TMAP1IN)-(c_TFWD))*(((A103)-(c_TFWD))*((c_TMAP1OUT)-(0))+IF(((c_TMAP1OUT)-(0))&gt;=0,1,-1)*QUOTIENT(((c_TMAP1IN)-(c_TFWD)),2))+2147483648,4294967296)-2147483648,((c_TMAP1IN)-(c_TFWD))*(((A103)-(c_TFWD))*((c_TMAP1OUT)-(0))+IF(((c_TMAP1OUT)-(0))&gt;=0,1,-1)*QUOTIENT(((c_TMAP1IN)-(c_TFWD)),2)))&gt;=0,1,0)))</f>
        <v>68</v>
      </c>
      <c r="E103" s="7" t="n">
        <f aca="false">IF(((c_TMAP2IN)-(c_TMAP1IN))=0,(c_TMAP1OUT)+QUOTIENT(((c_TMAP2OUT)-(c_TMAP1OUT)),2),QUOTIENT((((A103)-(c_TMAP1IN))*((c_TMAP2OUT)-(c_TMAP1OUT))+IF(((c_TMAP2OUT)-(c_TMAP1OUT))&gt;=0,1,-1)*QUOTIENT(((c_TMAP2IN)-(c_TMAP1IN)),2)),((c_TMAP2IN)-(c_TMAP1IN)))+(c_TMAP1OUT)+IF(((c_TMAP2OUT)-(c_TMAP1OUT))&gt;=0,IF(IF(o_WRAP=1,MOD(((c_TMAP2IN)-(c_TMAP1IN))*(((A103)-(c_TMAP1IN))*((c_TMAP2OUT)-(c_TMAP1OUT))+IF(((c_TMAP2OUT)-(c_TMAP1OUT))&gt;=0,1,-1)*QUOTIENT(((c_TMAP2IN)-(c_TMAP1IN)),2))+2147483648,4294967296)-2147483648,((c_TMAP2IN)-(c_TMAP1IN))*(((A103)-(c_TMAP1IN))*((c_TMAP2OUT)-(c_TMAP1OUT))+IF(((c_TMAP2OUT)-(c_TMAP1OUT))&gt;=0,1,-1)*QUOTIENT(((c_TMAP2IN)-(c_TMAP1IN)),2)))&lt;0,-1,0),IF(IF(o_WRAP=1,MOD(((c_TMAP2IN)-(c_TMAP1IN))*(((A103)-(c_TMAP1IN))*((c_TMAP2OUT)-(c_TMAP1OUT))+IF(((c_TMAP2OUT)-(c_TMAP1OUT))&gt;=0,1,-1)*QUOTIENT(((c_TMAP2IN)-(c_TMAP1IN)),2))+2147483648,4294967296)-2147483648,((c_TMAP2IN)-(c_TMAP1IN))*(((A103)-(c_TMAP1IN))*((c_TMAP2OUT)-(c_TMAP1OUT))+IF(((c_TMAP2OUT)-(c_TMAP1OUT))&gt;=0,1,-1)*QUOTIENT(((c_TMAP2IN)-(c_TMAP1IN)),2)))&gt;=0,1,0)))</f>
        <v>69</v>
      </c>
      <c r="F103" s="7" t="n">
        <f aca="false">IF(((c_TMAP3IN)-(c_TMAP2IN))=0,(c_TMAP2OUT)+QUOTIENT(((c_TMAP3OUT)-(c_TMAP2OUT)),2),QUOTIENT((((A103)-(c_TMAP2IN))*((c_TMAP3OUT)-(c_TMAP2OUT))+IF(((c_TMAP3OUT)-(c_TMAP2OUT))&gt;=0,1,-1)*QUOTIENT(((c_TMAP3IN)-(c_TMAP2IN)),2)),((c_TMAP3IN)-(c_TMAP2IN)))+(c_TMAP2OUT)+IF(((c_TMAP3OUT)-(c_TMAP2OUT))&gt;=0,IF(IF(o_WRAP=1,MOD(((c_TMAP3IN)-(c_TMAP2IN))*(((A103)-(c_TMAP2IN))*((c_TMAP3OUT)-(c_TMAP2OUT))+IF(((c_TMAP3OUT)-(c_TMAP2OUT))&gt;=0,1,-1)*QUOTIENT(((c_TMAP3IN)-(c_TMAP2IN)),2))+2147483648,4294967296)-2147483648,((c_TMAP3IN)-(c_TMAP2IN))*(((A103)-(c_TMAP2IN))*((c_TMAP3OUT)-(c_TMAP2OUT))+IF(((c_TMAP3OUT)-(c_TMAP2OUT))&gt;=0,1,-1)*QUOTIENT(((c_TMAP3IN)-(c_TMAP2IN)),2)))&lt;0,-1,0),IF(IF(o_WRAP=1,MOD(((c_TMAP3IN)-(c_TMAP2IN))*(((A103)-(c_TMAP2IN))*((c_TMAP3OUT)-(c_TMAP2OUT))+IF(((c_TMAP3OUT)-(c_TMAP2OUT))&gt;=0,1,-1)*QUOTIENT(((c_TMAP3IN)-(c_TMAP2IN)),2))+2147483648,4294967296)-2147483648,((c_TMAP3IN)-(c_TMAP2IN))*(((A103)-(c_TMAP2IN))*((c_TMAP3OUT)-(c_TMAP2OUT))+IF(((c_TMAP3OUT)-(c_TMAP2OUT))&gt;=0,1,-1)*QUOTIENT(((c_TMAP3IN)-(c_TMAP2IN)),2)))&gt;=0,1,0)))</f>
        <v>24</v>
      </c>
      <c r="G103" s="7" t="n">
        <f aca="false">IF(((1000)-(c_TMAP3IN))=0,(c_TMAP3OUT)+QUOTIENT(((1000)-(c_TMAP3OUT)),2),QUOTIENT((((A103)-(c_TMAP3IN))*((1000)-(c_TMAP3OUT))+IF(((1000)-(c_TMAP3OUT))&gt;=0,1,-1)*QUOTIENT(((1000)-(c_TMAP3IN)),2)),((1000)-(c_TMAP3IN)))+(c_TMAP3OUT)+IF(((1000)-(c_TMAP3OUT))&gt;=0,IF(IF(o_WRAP=1,MOD(((1000)-(c_TMAP3IN))*(((A103)-(c_TMAP3IN))*((1000)-(c_TMAP3OUT))+IF(((1000)-(c_TMAP3OUT))&gt;=0,1,-1)*QUOTIENT(((1000)-(c_TMAP3IN)),2))+2147483648,4294967296)-2147483648,((1000)-(c_TMAP3IN))*(((A103)-(c_TMAP3IN))*((1000)-(c_TMAP3OUT))+IF(((1000)-(c_TMAP3OUT))&gt;=0,1,-1)*QUOTIENT(((1000)-(c_TMAP3IN)),2)))&lt;0,-1,0),IF(IF(o_WRAP=1,MOD(((1000)-(c_TMAP3IN))*(((A103)-(c_TMAP3IN))*((1000)-(c_TMAP3OUT))+IF(((1000)-(c_TMAP3OUT))&gt;=0,1,-1)*QUOTIENT(((1000)-(c_TMAP3IN)),2))+2147483648,4294967296)-2147483648,((1000)-(c_TMAP3IN))*(((A103)-(c_TMAP3IN))*((1000)-(c_TMAP3OUT))+IF(((1000)-(c_TMAP3OUT))&gt;=0,1,-1)*QUOTIENT(((1000)-(c_TMAP3IN)),2)))&gt;=0,1,0)))</f>
        <v>-110</v>
      </c>
      <c r="H103" s="7" t="str">
        <f aca="false">IF(A103&gt;=c_TFWD,IF(AND(A103&gt;=c_TMAP3IN,c_TMAP3IN&lt;1000),"Seg4 map3-100%",IF(AND(A103&gt;=c_TMAP2IN,c_TMAP3IN&gt;c_TMAP2IN),"Seg3 map2-map3",IF(AND(A103&gt;=c_TMAP1IN,c_TMAP2IN&gt;c_TMAP1IN),"Seg2 map1-map2","Seg1 TFWD-map1"))),IF(AND(A103=0,c_TCREEP&gt;0),"Creep",IF(AND(A103&lt;=c_TRNGMIN,A103&gt;=c_TRNGMAX,c_TRNGMIN-c_TRNGMAX&lt;&gt;0),"Regen ramp","Coast (0)")))</f>
        <v>Seg1 TFWD-map1</v>
      </c>
      <c r="I103" s="7" t="n">
        <f aca="false">IF(A103&gt;=c_TFWD,IF(AND(A103&gt;=c_TMAP3IN,c_TMAP3IN&lt;1000),G103,IF(AND(A103&gt;=c_TMAP2IN,c_TMAP3IN&gt;c_TMAP2IN),F103,IF(AND(A103&gt;=c_TMAP1IN,c_TMAP2IN&gt;c_TMAP1IN),E103,D103))),C103)</f>
        <v>68</v>
      </c>
      <c r="J103" s="7" t="str">
        <f aca="false">IF(I103&lt;-1090,"TOO LOW",IF(I103&gt;1090,"TOO HIGH",""))</f>
        <v/>
      </c>
      <c r="K103" s="15" t="n">
        <f aca="false">IF(J103&lt;&gt;"",0,IF(I103&gt;979,1000,I103))</f>
        <v>68</v>
      </c>
      <c r="L103" s="7" t="n">
        <f aca="false">K103/10</f>
        <v>6.8</v>
      </c>
    </row>
    <row r="104" customFormat="false" ht="15" hidden="false" customHeight="false" outlineLevel="0" collapsed="false">
      <c r="A104" s="7" t="n">
        <v>99</v>
      </c>
      <c r="B104" s="7" t="n">
        <f aca="false">A104/10</f>
        <v>9.9</v>
      </c>
      <c r="C104" s="7" t="n">
        <f aca="false">IF(AND(A104=0,c_TCREEP&gt;0),10*c_TCREEP,IF(AND(A104&lt;=c_TRNGMIN,A104&gt;=c_TRNGMAX,c_TRNGMIN-c_TRNGMAX&lt;&gt;0),-10*c_TMINRN+QUOTIENT((c_TMAXRN-c_TMINRN)*(100-QUOTIENT((A104-c_TRNGMAX)*100,c_TRNGMIN-c_TRNGMAX)),-10),0))</f>
        <v>0</v>
      </c>
      <c r="D104" s="7" t="n">
        <f aca="false">IF(((c_TMAP1IN)-(c_TFWD))=0,(0)+QUOTIENT(((c_TMAP1OUT)-(0)),2),QUOTIENT((((A104)-(c_TFWD))*((c_TMAP1OUT)-(0))+IF(((c_TMAP1OUT)-(0))&gt;=0,1,-1)*QUOTIENT(((c_TMAP1IN)-(c_TFWD)),2)),((c_TMAP1IN)-(c_TFWD)))+(0)+IF(((c_TMAP1OUT)-(0))&gt;=0,IF(IF(o_WRAP=1,MOD(((c_TMAP1IN)-(c_TFWD))*(((A104)-(c_TFWD))*((c_TMAP1OUT)-(0))+IF(((c_TMAP1OUT)-(0))&gt;=0,1,-1)*QUOTIENT(((c_TMAP1IN)-(c_TFWD)),2))+2147483648,4294967296)-2147483648,((c_TMAP1IN)-(c_TFWD))*(((A104)-(c_TFWD))*((c_TMAP1OUT)-(0))+IF(((c_TMAP1OUT)-(0))&gt;=0,1,-1)*QUOTIENT(((c_TMAP1IN)-(c_TFWD)),2)))&lt;0,-1,0),IF(IF(o_WRAP=1,MOD(((c_TMAP1IN)-(c_TFWD))*(((A104)-(c_TFWD))*((c_TMAP1OUT)-(0))+IF(((c_TMAP1OUT)-(0))&gt;=0,1,-1)*QUOTIENT(((c_TMAP1IN)-(c_TFWD)),2))+2147483648,4294967296)-2147483648,((c_TMAP1IN)-(c_TFWD))*(((A104)-(c_TFWD))*((c_TMAP1OUT)-(0))+IF(((c_TMAP1OUT)-(0))&gt;=0,1,-1)*QUOTIENT(((c_TMAP1IN)-(c_TFWD)),2)))&gt;=0,1,0)))</f>
        <v>69</v>
      </c>
      <c r="E104" s="7" t="n">
        <f aca="false">IF(((c_TMAP2IN)-(c_TMAP1IN))=0,(c_TMAP1OUT)+QUOTIENT(((c_TMAP2OUT)-(c_TMAP1OUT)),2),QUOTIENT((((A104)-(c_TMAP1IN))*((c_TMAP2OUT)-(c_TMAP1OUT))+IF(((c_TMAP2OUT)-(c_TMAP1OUT))&gt;=0,1,-1)*QUOTIENT(((c_TMAP2IN)-(c_TMAP1IN)),2)),((c_TMAP2IN)-(c_TMAP1IN)))+(c_TMAP1OUT)+IF(((c_TMAP2OUT)-(c_TMAP1OUT))&gt;=0,IF(IF(o_WRAP=1,MOD(((c_TMAP2IN)-(c_TMAP1IN))*(((A104)-(c_TMAP1IN))*((c_TMAP2OUT)-(c_TMAP1OUT))+IF(((c_TMAP2OUT)-(c_TMAP1OUT))&gt;=0,1,-1)*QUOTIENT(((c_TMAP2IN)-(c_TMAP1IN)),2))+2147483648,4294967296)-2147483648,((c_TMAP2IN)-(c_TMAP1IN))*(((A104)-(c_TMAP1IN))*((c_TMAP2OUT)-(c_TMAP1OUT))+IF(((c_TMAP2OUT)-(c_TMAP1OUT))&gt;=0,1,-1)*QUOTIENT(((c_TMAP2IN)-(c_TMAP1IN)),2)))&lt;0,-1,0),IF(IF(o_WRAP=1,MOD(((c_TMAP2IN)-(c_TMAP1IN))*(((A104)-(c_TMAP1IN))*((c_TMAP2OUT)-(c_TMAP1OUT))+IF(((c_TMAP2OUT)-(c_TMAP1OUT))&gt;=0,1,-1)*QUOTIENT(((c_TMAP2IN)-(c_TMAP1IN)),2))+2147483648,4294967296)-2147483648,((c_TMAP2IN)-(c_TMAP1IN))*(((A104)-(c_TMAP1IN))*((c_TMAP2OUT)-(c_TMAP1OUT))+IF(((c_TMAP2OUT)-(c_TMAP1OUT))&gt;=0,1,-1)*QUOTIENT(((c_TMAP2IN)-(c_TMAP1IN)),2)))&gt;=0,1,0)))</f>
        <v>70</v>
      </c>
      <c r="F104" s="7" t="n">
        <f aca="false">IF(((c_TMAP3IN)-(c_TMAP2IN))=0,(c_TMAP2OUT)+QUOTIENT(((c_TMAP3OUT)-(c_TMAP2OUT)),2),QUOTIENT((((A104)-(c_TMAP2IN))*((c_TMAP3OUT)-(c_TMAP2OUT))+IF(((c_TMAP3OUT)-(c_TMAP2OUT))&gt;=0,1,-1)*QUOTIENT(((c_TMAP3IN)-(c_TMAP2IN)),2)),((c_TMAP3IN)-(c_TMAP2IN)))+(c_TMAP2OUT)+IF(((c_TMAP3OUT)-(c_TMAP2OUT))&gt;=0,IF(IF(o_WRAP=1,MOD(((c_TMAP3IN)-(c_TMAP2IN))*(((A104)-(c_TMAP2IN))*((c_TMAP3OUT)-(c_TMAP2OUT))+IF(((c_TMAP3OUT)-(c_TMAP2OUT))&gt;=0,1,-1)*QUOTIENT(((c_TMAP3IN)-(c_TMAP2IN)),2))+2147483648,4294967296)-2147483648,((c_TMAP3IN)-(c_TMAP2IN))*(((A104)-(c_TMAP2IN))*((c_TMAP3OUT)-(c_TMAP2OUT))+IF(((c_TMAP3OUT)-(c_TMAP2OUT))&gt;=0,1,-1)*QUOTIENT(((c_TMAP3IN)-(c_TMAP2IN)),2)))&lt;0,-1,0),IF(IF(o_WRAP=1,MOD(((c_TMAP3IN)-(c_TMAP2IN))*(((A104)-(c_TMAP2IN))*((c_TMAP3OUT)-(c_TMAP2OUT))+IF(((c_TMAP3OUT)-(c_TMAP2OUT))&gt;=0,1,-1)*QUOTIENT(((c_TMAP3IN)-(c_TMAP2IN)),2))+2147483648,4294967296)-2147483648,((c_TMAP3IN)-(c_TMAP2IN))*(((A104)-(c_TMAP2IN))*((c_TMAP3OUT)-(c_TMAP2OUT))+IF(((c_TMAP3OUT)-(c_TMAP2OUT))&gt;=0,1,-1)*QUOTIENT(((c_TMAP3IN)-(c_TMAP2IN)),2)))&gt;=0,1,0)))</f>
        <v>24</v>
      </c>
      <c r="G104" s="7" t="n">
        <f aca="false">IF(((1000)-(c_TMAP3IN))=0,(c_TMAP3OUT)+QUOTIENT(((1000)-(c_TMAP3OUT)),2),QUOTIENT((((A104)-(c_TMAP3IN))*((1000)-(c_TMAP3OUT))+IF(((1000)-(c_TMAP3OUT))&gt;=0,1,-1)*QUOTIENT(((1000)-(c_TMAP3IN)),2)),((1000)-(c_TMAP3IN)))+(c_TMAP3OUT)+IF(((1000)-(c_TMAP3OUT))&gt;=0,IF(IF(o_WRAP=1,MOD(((1000)-(c_TMAP3IN))*(((A104)-(c_TMAP3IN))*((1000)-(c_TMAP3OUT))+IF(((1000)-(c_TMAP3OUT))&gt;=0,1,-1)*QUOTIENT(((1000)-(c_TMAP3IN)),2))+2147483648,4294967296)-2147483648,((1000)-(c_TMAP3IN))*(((A104)-(c_TMAP3IN))*((1000)-(c_TMAP3OUT))+IF(((1000)-(c_TMAP3OUT))&gt;=0,1,-1)*QUOTIENT(((1000)-(c_TMAP3IN)),2)))&lt;0,-1,0),IF(IF(o_WRAP=1,MOD(((1000)-(c_TMAP3IN))*(((A104)-(c_TMAP3IN))*((1000)-(c_TMAP3OUT))+IF(((1000)-(c_TMAP3OUT))&gt;=0,1,-1)*QUOTIENT(((1000)-(c_TMAP3IN)),2))+2147483648,4294967296)-2147483648,((1000)-(c_TMAP3IN))*(((A104)-(c_TMAP3IN))*((1000)-(c_TMAP3OUT))+IF(((1000)-(c_TMAP3OUT))&gt;=0,1,-1)*QUOTIENT(((1000)-(c_TMAP3IN)),2)))&gt;=0,1,0)))</f>
        <v>-109</v>
      </c>
      <c r="H104" s="7" t="str">
        <f aca="false">IF(A104&gt;=c_TFWD,IF(AND(A104&gt;=c_TMAP3IN,c_TMAP3IN&lt;1000),"Seg4 map3-100%",IF(AND(A104&gt;=c_TMAP2IN,c_TMAP3IN&gt;c_TMAP2IN),"Seg3 map2-map3",IF(AND(A104&gt;=c_TMAP1IN,c_TMAP2IN&gt;c_TMAP1IN),"Seg2 map1-map2","Seg1 TFWD-map1"))),IF(AND(A104=0,c_TCREEP&gt;0),"Creep",IF(AND(A104&lt;=c_TRNGMIN,A104&gt;=c_TRNGMAX,c_TRNGMIN-c_TRNGMAX&lt;&gt;0),"Regen ramp","Coast (0)")))</f>
        <v>Seg1 TFWD-map1</v>
      </c>
      <c r="I104" s="7" t="n">
        <f aca="false">IF(A104&gt;=c_TFWD,IF(AND(A104&gt;=c_TMAP3IN,c_TMAP3IN&lt;1000),G104,IF(AND(A104&gt;=c_TMAP2IN,c_TMAP3IN&gt;c_TMAP2IN),F104,IF(AND(A104&gt;=c_TMAP1IN,c_TMAP2IN&gt;c_TMAP1IN),E104,D104))),C104)</f>
        <v>69</v>
      </c>
      <c r="J104" s="7" t="str">
        <f aca="false">IF(I104&lt;-1090,"TOO LOW",IF(I104&gt;1090,"TOO HIGH",""))</f>
        <v/>
      </c>
      <c r="K104" s="15" t="n">
        <f aca="false">IF(J104&lt;&gt;"",0,IF(I104&gt;979,1000,I104))</f>
        <v>69</v>
      </c>
      <c r="L104" s="7" t="n">
        <f aca="false">K104/10</f>
        <v>6.9</v>
      </c>
    </row>
    <row r="105" customFormat="false" ht="15" hidden="false" customHeight="false" outlineLevel="0" collapsed="false">
      <c r="A105" s="7" t="n">
        <v>100</v>
      </c>
      <c r="B105" s="7" t="n">
        <f aca="false">A105/10</f>
        <v>10</v>
      </c>
      <c r="C105" s="7" t="n">
        <f aca="false">IF(AND(A105=0,c_TCREEP&gt;0),10*c_TCREEP,IF(AND(A105&lt;=c_TRNGMIN,A105&gt;=c_TRNGMAX,c_TRNGMIN-c_TRNGMAX&lt;&gt;0),-10*c_TMINRN+QUOTIENT((c_TMAXRN-c_TMINRN)*(100-QUOTIENT((A105-c_TRNGMAX)*100,c_TRNGMIN-c_TRNGMAX)),-10),0))</f>
        <v>0</v>
      </c>
      <c r="D105" s="7" t="n">
        <f aca="false">IF(((c_TMAP1IN)-(c_TFWD))=0,(0)+QUOTIENT(((c_TMAP1OUT)-(0)),2),QUOTIENT((((A105)-(c_TFWD))*((c_TMAP1OUT)-(0))+IF(((c_TMAP1OUT)-(0))&gt;=0,1,-1)*QUOTIENT(((c_TMAP1IN)-(c_TFWD)),2)),((c_TMAP1IN)-(c_TFWD)))+(0)+IF(((c_TMAP1OUT)-(0))&gt;=0,IF(IF(o_WRAP=1,MOD(((c_TMAP1IN)-(c_TFWD))*(((A105)-(c_TFWD))*((c_TMAP1OUT)-(0))+IF(((c_TMAP1OUT)-(0))&gt;=0,1,-1)*QUOTIENT(((c_TMAP1IN)-(c_TFWD)),2))+2147483648,4294967296)-2147483648,((c_TMAP1IN)-(c_TFWD))*(((A105)-(c_TFWD))*((c_TMAP1OUT)-(0))+IF(((c_TMAP1OUT)-(0))&gt;=0,1,-1)*QUOTIENT(((c_TMAP1IN)-(c_TFWD)),2)))&lt;0,-1,0),IF(IF(o_WRAP=1,MOD(((c_TMAP1IN)-(c_TFWD))*(((A105)-(c_TFWD))*((c_TMAP1OUT)-(0))+IF(((c_TMAP1OUT)-(0))&gt;=0,1,-1)*QUOTIENT(((c_TMAP1IN)-(c_TFWD)),2))+2147483648,4294967296)-2147483648,((c_TMAP1IN)-(c_TFWD))*(((A105)-(c_TFWD))*((c_TMAP1OUT)-(0))+IF(((c_TMAP1OUT)-(0))&gt;=0,1,-1)*QUOTIENT(((c_TMAP1IN)-(c_TFWD)),2)))&gt;=0,1,0)))</f>
        <v>70</v>
      </c>
      <c r="E105" s="7" t="n">
        <f aca="false">IF(((c_TMAP2IN)-(c_TMAP1IN))=0,(c_TMAP1OUT)+QUOTIENT(((c_TMAP2OUT)-(c_TMAP1OUT)),2),QUOTIENT((((A105)-(c_TMAP1IN))*((c_TMAP2OUT)-(c_TMAP1OUT))+IF(((c_TMAP2OUT)-(c_TMAP1OUT))&gt;=0,1,-1)*QUOTIENT(((c_TMAP2IN)-(c_TMAP1IN)),2)),((c_TMAP2IN)-(c_TMAP1IN)))+(c_TMAP1OUT)+IF(((c_TMAP2OUT)-(c_TMAP1OUT))&gt;=0,IF(IF(o_WRAP=1,MOD(((c_TMAP2IN)-(c_TMAP1IN))*(((A105)-(c_TMAP1IN))*((c_TMAP2OUT)-(c_TMAP1OUT))+IF(((c_TMAP2OUT)-(c_TMAP1OUT))&gt;=0,1,-1)*QUOTIENT(((c_TMAP2IN)-(c_TMAP1IN)),2))+2147483648,4294967296)-2147483648,((c_TMAP2IN)-(c_TMAP1IN))*(((A105)-(c_TMAP1IN))*((c_TMAP2OUT)-(c_TMAP1OUT))+IF(((c_TMAP2OUT)-(c_TMAP1OUT))&gt;=0,1,-1)*QUOTIENT(((c_TMAP2IN)-(c_TMAP1IN)),2)))&lt;0,-1,0),IF(IF(o_WRAP=1,MOD(((c_TMAP2IN)-(c_TMAP1IN))*(((A105)-(c_TMAP1IN))*((c_TMAP2OUT)-(c_TMAP1OUT))+IF(((c_TMAP2OUT)-(c_TMAP1OUT))&gt;=0,1,-1)*QUOTIENT(((c_TMAP2IN)-(c_TMAP1IN)),2))+2147483648,4294967296)-2147483648,((c_TMAP2IN)-(c_TMAP1IN))*(((A105)-(c_TMAP1IN))*((c_TMAP2OUT)-(c_TMAP1OUT))+IF(((c_TMAP2OUT)-(c_TMAP1OUT))&gt;=0,1,-1)*QUOTIENT(((c_TMAP2IN)-(c_TMAP1IN)),2)))&gt;=0,1,0)))</f>
        <v>70</v>
      </c>
      <c r="F105" s="7" t="n">
        <f aca="false">IF(((c_TMAP3IN)-(c_TMAP2IN))=0,(c_TMAP2OUT)+QUOTIENT(((c_TMAP3OUT)-(c_TMAP2OUT)),2),QUOTIENT((((A105)-(c_TMAP2IN))*((c_TMAP3OUT)-(c_TMAP2OUT))+IF(((c_TMAP3OUT)-(c_TMAP2OUT))&gt;=0,1,-1)*QUOTIENT(((c_TMAP3IN)-(c_TMAP2IN)),2)),((c_TMAP3IN)-(c_TMAP2IN)))+(c_TMAP2OUT)+IF(((c_TMAP3OUT)-(c_TMAP2OUT))&gt;=0,IF(IF(o_WRAP=1,MOD(((c_TMAP3IN)-(c_TMAP2IN))*(((A105)-(c_TMAP2IN))*((c_TMAP3OUT)-(c_TMAP2OUT))+IF(((c_TMAP3OUT)-(c_TMAP2OUT))&gt;=0,1,-1)*QUOTIENT(((c_TMAP3IN)-(c_TMAP2IN)),2))+2147483648,4294967296)-2147483648,((c_TMAP3IN)-(c_TMAP2IN))*(((A105)-(c_TMAP2IN))*((c_TMAP3OUT)-(c_TMAP2OUT))+IF(((c_TMAP3OUT)-(c_TMAP2OUT))&gt;=0,1,-1)*QUOTIENT(((c_TMAP3IN)-(c_TMAP2IN)),2)))&lt;0,-1,0),IF(IF(o_WRAP=1,MOD(((c_TMAP3IN)-(c_TMAP2IN))*(((A105)-(c_TMAP2IN))*((c_TMAP3OUT)-(c_TMAP2OUT))+IF(((c_TMAP3OUT)-(c_TMAP2OUT))&gt;=0,1,-1)*QUOTIENT(((c_TMAP3IN)-(c_TMAP2IN)),2))+2147483648,4294967296)-2147483648,((c_TMAP3IN)-(c_TMAP2IN))*(((A105)-(c_TMAP2IN))*((c_TMAP3OUT)-(c_TMAP2OUT))+IF(((c_TMAP3OUT)-(c_TMAP2OUT))&gt;=0,1,-1)*QUOTIENT(((c_TMAP3IN)-(c_TMAP2IN)),2)))&gt;=0,1,0)))</f>
        <v>25</v>
      </c>
      <c r="G105" s="7" t="n">
        <f aca="false">IF(((1000)-(c_TMAP3IN))=0,(c_TMAP3OUT)+QUOTIENT(((1000)-(c_TMAP3OUT)),2),QUOTIENT((((A105)-(c_TMAP3IN))*((1000)-(c_TMAP3OUT))+IF(((1000)-(c_TMAP3OUT))&gt;=0,1,-1)*QUOTIENT(((1000)-(c_TMAP3IN)),2)),((1000)-(c_TMAP3IN)))+(c_TMAP3OUT)+IF(((1000)-(c_TMAP3OUT))&gt;=0,IF(IF(o_WRAP=1,MOD(((1000)-(c_TMAP3IN))*(((A105)-(c_TMAP3IN))*((1000)-(c_TMAP3OUT))+IF(((1000)-(c_TMAP3OUT))&gt;=0,1,-1)*QUOTIENT(((1000)-(c_TMAP3IN)),2))+2147483648,4294967296)-2147483648,((1000)-(c_TMAP3IN))*(((A105)-(c_TMAP3IN))*((1000)-(c_TMAP3OUT))+IF(((1000)-(c_TMAP3OUT))&gt;=0,1,-1)*QUOTIENT(((1000)-(c_TMAP3IN)),2)))&lt;0,-1,0),IF(IF(o_WRAP=1,MOD(((1000)-(c_TMAP3IN))*(((A105)-(c_TMAP3IN))*((1000)-(c_TMAP3OUT))+IF(((1000)-(c_TMAP3OUT))&gt;=0,1,-1)*QUOTIENT(((1000)-(c_TMAP3IN)),2))+2147483648,4294967296)-2147483648,((1000)-(c_TMAP3IN))*(((A105)-(c_TMAP3IN))*((1000)-(c_TMAP3OUT))+IF(((1000)-(c_TMAP3OUT))&gt;=0,1,-1)*QUOTIENT(((1000)-(c_TMAP3IN)),2)))&gt;=0,1,0)))</f>
        <v>-108</v>
      </c>
      <c r="H105" s="7" t="str">
        <f aca="false">IF(A105&gt;=c_TFWD,IF(AND(A105&gt;=c_TMAP3IN,c_TMAP3IN&lt;1000),"Seg4 map3-100%",IF(AND(A105&gt;=c_TMAP2IN,c_TMAP3IN&gt;c_TMAP2IN),"Seg3 map2-map3",IF(AND(A105&gt;=c_TMAP1IN,c_TMAP2IN&gt;c_TMAP1IN),"Seg2 map1-map2","Seg1 TFWD-map1"))),IF(AND(A105=0,c_TCREEP&gt;0),"Creep",IF(AND(A105&lt;=c_TRNGMIN,A105&gt;=c_TRNGMAX,c_TRNGMIN-c_TRNGMAX&lt;&gt;0),"Regen ramp","Coast (0)")))</f>
        <v>Seg2 map1-map2</v>
      </c>
      <c r="I105" s="7" t="n">
        <f aca="false">IF(A105&gt;=c_TFWD,IF(AND(A105&gt;=c_TMAP3IN,c_TMAP3IN&lt;1000),G105,IF(AND(A105&gt;=c_TMAP2IN,c_TMAP3IN&gt;c_TMAP2IN),F105,IF(AND(A105&gt;=c_TMAP1IN,c_TMAP2IN&gt;c_TMAP1IN),E105,D105))),C105)</f>
        <v>70</v>
      </c>
      <c r="J105" s="7" t="str">
        <f aca="false">IF(I105&lt;-1090,"TOO LOW",IF(I105&gt;1090,"TOO HIGH",""))</f>
        <v/>
      </c>
      <c r="K105" s="15" t="n">
        <f aca="false">IF(J105&lt;&gt;"",0,IF(I105&gt;979,1000,I105))</f>
        <v>70</v>
      </c>
      <c r="L105" s="7" t="n">
        <f aca="false">K105/10</f>
        <v>7</v>
      </c>
    </row>
    <row r="106" customFormat="false" ht="15" hidden="false" customHeight="false" outlineLevel="0" collapsed="false">
      <c r="A106" s="7" t="n">
        <v>101</v>
      </c>
      <c r="B106" s="7" t="n">
        <f aca="false">A106/10</f>
        <v>10.1</v>
      </c>
      <c r="C106" s="7" t="n">
        <f aca="false">IF(AND(A106=0,c_TCREEP&gt;0),10*c_TCREEP,IF(AND(A106&lt;=c_TRNGMIN,A106&gt;=c_TRNGMAX,c_TRNGMIN-c_TRNGMAX&lt;&gt;0),-10*c_TMINRN+QUOTIENT((c_TMAXRN-c_TMINRN)*(100-QUOTIENT((A106-c_TRNGMAX)*100,c_TRNGMIN-c_TRNGMAX)),-10),0))</f>
        <v>0</v>
      </c>
      <c r="D106" s="7" t="n">
        <f aca="false">IF(((c_TMAP1IN)-(c_TFWD))=0,(0)+QUOTIENT(((c_TMAP1OUT)-(0)),2),QUOTIENT((((A106)-(c_TFWD))*((c_TMAP1OUT)-(0))+IF(((c_TMAP1OUT)-(0))&gt;=0,1,-1)*QUOTIENT(((c_TMAP1IN)-(c_TFWD)),2)),((c_TMAP1IN)-(c_TFWD)))+(0)+IF(((c_TMAP1OUT)-(0))&gt;=0,IF(IF(o_WRAP=1,MOD(((c_TMAP1IN)-(c_TFWD))*(((A106)-(c_TFWD))*((c_TMAP1OUT)-(0))+IF(((c_TMAP1OUT)-(0))&gt;=0,1,-1)*QUOTIENT(((c_TMAP1IN)-(c_TFWD)),2))+2147483648,4294967296)-2147483648,((c_TMAP1IN)-(c_TFWD))*(((A106)-(c_TFWD))*((c_TMAP1OUT)-(0))+IF(((c_TMAP1OUT)-(0))&gt;=0,1,-1)*QUOTIENT(((c_TMAP1IN)-(c_TFWD)),2)))&lt;0,-1,0),IF(IF(o_WRAP=1,MOD(((c_TMAP1IN)-(c_TFWD))*(((A106)-(c_TFWD))*((c_TMAP1OUT)-(0))+IF(((c_TMAP1OUT)-(0))&gt;=0,1,-1)*QUOTIENT(((c_TMAP1IN)-(c_TFWD)),2))+2147483648,4294967296)-2147483648,((c_TMAP1IN)-(c_TFWD))*(((A106)-(c_TFWD))*((c_TMAP1OUT)-(0))+IF(((c_TMAP1OUT)-(0))&gt;=0,1,-1)*QUOTIENT(((c_TMAP1IN)-(c_TFWD)),2)))&gt;=0,1,0)))</f>
        <v>71</v>
      </c>
      <c r="E106" s="7" t="n">
        <f aca="false">IF(((c_TMAP2IN)-(c_TMAP1IN))=0,(c_TMAP1OUT)+QUOTIENT(((c_TMAP2OUT)-(c_TMAP1OUT)),2),QUOTIENT((((A106)-(c_TMAP1IN))*((c_TMAP2OUT)-(c_TMAP1OUT))+IF(((c_TMAP2OUT)-(c_TMAP1OUT))&gt;=0,1,-1)*QUOTIENT(((c_TMAP2IN)-(c_TMAP1IN)),2)),((c_TMAP2IN)-(c_TMAP1IN)))+(c_TMAP1OUT)+IF(((c_TMAP2OUT)-(c_TMAP1OUT))&gt;=0,IF(IF(o_WRAP=1,MOD(((c_TMAP2IN)-(c_TMAP1IN))*(((A106)-(c_TMAP1IN))*((c_TMAP2OUT)-(c_TMAP1OUT))+IF(((c_TMAP2OUT)-(c_TMAP1OUT))&gt;=0,1,-1)*QUOTIENT(((c_TMAP2IN)-(c_TMAP1IN)),2))+2147483648,4294967296)-2147483648,((c_TMAP2IN)-(c_TMAP1IN))*(((A106)-(c_TMAP1IN))*((c_TMAP2OUT)-(c_TMAP1OUT))+IF(((c_TMAP2OUT)-(c_TMAP1OUT))&gt;=0,1,-1)*QUOTIENT(((c_TMAP2IN)-(c_TMAP1IN)),2)))&lt;0,-1,0),IF(IF(o_WRAP=1,MOD(((c_TMAP2IN)-(c_TMAP1IN))*(((A106)-(c_TMAP1IN))*((c_TMAP2OUT)-(c_TMAP1OUT))+IF(((c_TMAP2OUT)-(c_TMAP1OUT))&gt;=0,1,-1)*QUOTIENT(((c_TMAP2IN)-(c_TMAP1IN)),2))+2147483648,4294967296)-2147483648,((c_TMAP2IN)-(c_TMAP1IN))*(((A106)-(c_TMAP1IN))*((c_TMAP2OUT)-(c_TMAP1OUT))+IF(((c_TMAP2OUT)-(c_TMAP1OUT))&gt;=0,1,-1)*QUOTIENT(((c_TMAP2IN)-(c_TMAP1IN)),2)))&gt;=0,1,0)))</f>
        <v>70</v>
      </c>
      <c r="F106" s="7" t="n">
        <f aca="false">IF(((c_TMAP3IN)-(c_TMAP2IN))=0,(c_TMAP2OUT)+QUOTIENT(((c_TMAP3OUT)-(c_TMAP2OUT)),2),QUOTIENT((((A106)-(c_TMAP2IN))*((c_TMAP3OUT)-(c_TMAP2OUT))+IF(((c_TMAP3OUT)-(c_TMAP2OUT))&gt;=0,1,-1)*QUOTIENT(((c_TMAP3IN)-(c_TMAP2IN)),2)),((c_TMAP3IN)-(c_TMAP2IN)))+(c_TMAP2OUT)+IF(((c_TMAP3OUT)-(c_TMAP2OUT))&gt;=0,IF(IF(o_WRAP=1,MOD(((c_TMAP3IN)-(c_TMAP2IN))*(((A106)-(c_TMAP2IN))*((c_TMAP3OUT)-(c_TMAP2OUT))+IF(((c_TMAP3OUT)-(c_TMAP2OUT))&gt;=0,1,-1)*QUOTIENT(((c_TMAP3IN)-(c_TMAP2IN)),2))+2147483648,4294967296)-2147483648,((c_TMAP3IN)-(c_TMAP2IN))*(((A106)-(c_TMAP2IN))*((c_TMAP3OUT)-(c_TMAP2OUT))+IF(((c_TMAP3OUT)-(c_TMAP2OUT))&gt;=0,1,-1)*QUOTIENT(((c_TMAP3IN)-(c_TMAP2IN)),2)))&lt;0,-1,0),IF(IF(o_WRAP=1,MOD(((c_TMAP3IN)-(c_TMAP2IN))*(((A106)-(c_TMAP2IN))*((c_TMAP3OUT)-(c_TMAP2OUT))+IF(((c_TMAP3OUT)-(c_TMAP2OUT))&gt;=0,1,-1)*QUOTIENT(((c_TMAP3IN)-(c_TMAP2IN)),2))+2147483648,4294967296)-2147483648,((c_TMAP3IN)-(c_TMAP2IN))*(((A106)-(c_TMAP2IN))*((c_TMAP3OUT)-(c_TMAP2OUT))+IF(((c_TMAP3OUT)-(c_TMAP2OUT))&gt;=0,1,-1)*QUOTIENT(((c_TMAP3IN)-(c_TMAP2IN)),2)))&gt;=0,1,0)))</f>
        <v>26</v>
      </c>
      <c r="G106" s="7" t="n">
        <f aca="false">IF(((1000)-(c_TMAP3IN))=0,(c_TMAP3OUT)+QUOTIENT(((1000)-(c_TMAP3OUT)),2),QUOTIENT((((A106)-(c_TMAP3IN))*((1000)-(c_TMAP3OUT))+IF(((1000)-(c_TMAP3OUT))&gt;=0,1,-1)*QUOTIENT(((1000)-(c_TMAP3IN)),2)),((1000)-(c_TMAP3IN)))+(c_TMAP3OUT)+IF(((1000)-(c_TMAP3OUT))&gt;=0,IF(IF(o_WRAP=1,MOD(((1000)-(c_TMAP3IN))*(((A106)-(c_TMAP3IN))*((1000)-(c_TMAP3OUT))+IF(((1000)-(c_TMAP3OUT))&gt;=0,1,-1)*QUOTIENT(((1000)-(c_TMAP3IN)),2))+2147483648,4294967296)-2147483648,((1000)-(c_TMAP3IN))*(((A106)-(c_TMAP3IN))*((1000)-(c_TMAP3OUT))+IF(((1000)-(c_TMAP3OUT))&gt;=0,1,-1)*QUOTIENT(((1000)-(c_TMAP3IN)),2)))&lt;0,-1,0),IF(IF(o_WRAP=1,MOD(((1000)-(c_TMAP3IN))*(((A106)-(c_TMAP3IN))*((1000)-(c_TMAP3OUT))+IF(((1000)-(c_TMAP3OUT))&gt;=0,1,-1)*QUOTIENT(((1000)-(c_TMAP3IN)),2))+2147483648,4294967296)-2147483648,((1000)-(c_TMAP3IN))*(((A106)-(c_TMAP3IN))*((1000)-(c_TMAP3OUT))+IF(((1000)-(c_TMAP3OUT))&gt;=0,1,-1)*QUOTIENT(((1000)-(c_TMAP3IN)),2)))&gt;=0,1,0)))</f>
        <v>-106</v>
      </c>
      <c r="H106" s="7" t="str">
        <f aca="false">IF(A106&gt;=c_TFWD,IF(AND(A106&gt;=c_TMAP3IN,c_TMAP3IN&lt;1000),"Seg4 map3-100%",IF(AND(A106&gt;=c_TMAP2IN,c_TMAP3IN&gt;c_TMAP2IN),"Seg3 map2-map3",IF(AND(A106&gt;=c_TMAP1IN,c_TMAP2IN&gt;c_TMAP1IN),"Seg2 map1-map2","Seg1 TFWD-map1"))),IF(AND(A106=0,c_TCREEP&gt;0),"Creep",IF(AND(A106&lt;=c_TRNGMIN,A106&gt;=c_TRNGMAX,c_TRNGMIN-c_TRNGMAX&lt;&gt;0),"Regen ramp","Coast (0)")))</f>
        <v>Seg2 map1-map2</v>
      </c>
      <c r="I106" s="7" t="n">
        <f aca="false">IF(A106&gt;=c_TFWD,IF(AND(A106&gt;=c_TMAP3IN,c_TMAP3IN&lt;1000),G106,IF(AND(A106&gt;=c_TMAP2IN,c_TMAP3IN&gt;c_TMAP2IN),F106,IF(AND(A106&gt;=c_TMAP1IN,c_TMAP2IN&gt;c_TMAP1IN),E106,D106))),C106)</f>
        <v>70</v>
      </c>
      <c r="J106" s="7" t="str">
        <f aca="false">IF(I106&lt;-1090,"TOO LOW",IF(I106&gt;1090,"TOO HIGH",""))</f>
        <v/>
      </c>
      <c r="K106" s="15" t="n">
        <f aca="false">IF(J106&lt;&gt;"",0,IF(I106&gt;979,1000,I106))</f>
        <v>70</v>
      </c>
      <c r="L106" s="7" t="n">
        <f aca="false">K106/10</f>
        <v>7</v>
      </c>
    </row>
    <row r="107" customFormat="false" ht="15" hidden="false" customHeight="false" outlineLevel="0" collapsed="false">
      <c r="A107" s="7" t="n">
        <v>102</v>
      </c>
      <c r="B107" s="7" t="n">
        <f aca="false">A107/10</f>
        <v>10.2</v>
      </c>
      <c r="C107" s="7" t="n">
        <f aca="false">IF(AND(A107=0,c_TCREEP&gt;0),10*c_TCREEP,IF(AND(A107&lt;=c_TRNGMIN,A107&gt;=c_TRNGMAX,c_TRNGMIN-c_TRNGMAX&lt;&gt;0),-10*c_TMINRN+QUOTIENT((c_TMAXRN-c_TMINRN)*(100-QUOTIENT((A107-c_TRNGMAX)*100,c_TRNGMIN-c_TRNGMAX)),-10),0))</f>
        <v>0</v>
      </c>
      <c r="D107" s="7" t="n">
        <f aca="false">IF(((c_TMAP1IN)-(c_TFWD))=0,(0)+QUOTIENT(((c_TMAP1OUT)-(0)),2),QUOTIENT((((A107)-(c_TFWD))*((c_TMAP1OUT)-(0))+IF(((c_TMAP1OUT)-(0))&gt;=0,1,-1)*QUOTIENT(((c_TMAP1IN)-(c_TFWD)),2)),((c_TMAP1IN)-(c_TFWD)))+(0)+IF(((c_TMAP1OUT)-(0))&gt;=0,IF(IF(o_WRAP=1,MOD(((c_TMAP1IN)-(c_TFWD))*(((A107)-(c_TFWD))*((c_TMAP1OUT)-(0))+IF(((c_TMAP1OUT)-(0))&gt;=0,1,-1)*QUOTIENT(((c_TMAP1IN)-(c_TFWD)),2))+2147483648,4294967296)-2147483648,((c_TMAP1IN)-(c_TFWD))*(((A107)-(c_TFWD))*((c_TMAP1OUT)-(0))+IF(((c_TMAP1OUT)-(0))&gt;=0,1,-1)*QUOTIENT(((c_TMAP1IN)-(c_TFWD)),2)))&lt;0,-1,0),IF(IF(o_WRAP=1,MOD(((c_TMAP1IN)-(c_TFWD))*(((A107)-(c_TFWD))*((c_TMAP1OUT)-(0))+IF(((c_TMAP1OUT)-(0))&gt;=0,1,-1)*QUOTIENT(((c_TMAP1IN)-(c_TFWD)),2))+2147483648,4294967296)-2147483648,((c_TMAP1IN)-(c_TFWD))*(((A107)-(c_TFWD))*((c_TMAP1OUT)-(0))+IF(((c_TMAP1OUT)-(0))&gt;=0,1,-1)*QUOTIENT(((c_TMAP1IN)-(c_TFWD)),2)))&gt;=0,1,0)))</f>
        <v>72</v>
      </c>
      <c r="E107" s="7" t="n">
        <f aca="false">IF(((c_TMAP2IN)-(c_TMAP1IN))=0,(c_TMAP1OUT)+QUOTIENT(((c_TMAP2OUT)-(c_TMAP1OUT)),2),QUOTIENT((((A107)-(c_TMAP1IN))*((c_TMAP2OUT)-(c_TMAP1OUT))+IF(((c_TMAP2OUT)-(c_TMAP1OUT))&gt;=0,1,-1)*QUOTIENT(((c_TMAP2IN)-(c_TMAP1IN)),2)),((c_TMAP2IN)-(c_TMAP1IN)))+(c_TMAP1OUT)+IF(((c_TMAP2OUT)-(c_TMAP1OUT))&gt;=0,IF(IF(o_WRAP=1,MOD(((c_TMAP2IN)-(c_TMAP1IN))*(((A107)-(c_TMAP1IN))*((c_TMAP2OUT)-(c_TMAP1OUT))+IF(((c_TMAP2OUT)-(c_TMAP1OUT))&gt;=0,1,-1)*QUOTIENT(((c_TMAP2IN)-(c_TMAP1IN)),2))+2147483648,4294967296)-2147483648,((c_TMAP2IN)-(c_TMAP1IN))*(((A107)-(c_TMAP1IN))*((c_TMAP2OUT)-(c_TMAP1OUT))+IF(((c_TMAP2OUT)-(c_TMAP1OUT))&gt;=0,1,-1)*QUOTIENT(((c_TMAP2IN)-(c_TMAP1IN)),2)))&lt;0,-1,0),IF(IF(o_WRAP=1,MOD(((c_TMAP2IN)-(c_TMAP1IN))*(((A107)-(c_TMAP1IN))*((c_TMAP2OUT)-(c_TMAP1OUT))+IF(((c_TMAP2OUT)-(c_TMAP1OUT))&gt;=0,1,-1)*QUOTIENT(((c_TMAP2IN)-(c_TMAP1IN)),2))+2147483648,4294967296)-2147483648,((c_TMAP2IN)-(c_TMAP1IN))*(((A107)-(c_TMAP1IN))*((c_TMAP2OUT)-(c_TMAP1OUT))+IF(((c_TMAP2OUT)-(c_TMAP1OUT))&gt;=0,1,-1)*QUOTIENT(((c_TMAP2IN)-(c_TMAP1IN)),2)))&gt;=0,1,0)))</f>
        <v>71</v>
      </c>
      <c r="F107" s="7" t="n">
        <f aca="false">IF(((c_TMAP3IN)-(c_TMAP2IN))=0,(c_TMAP2OUT)+QUOTIENT(((c_TMAP3OUT)-(c_TMAP2OUT)),2),QUOTIENT((((A107)-(c_TMAP2IN))*((c_TMAP3OUT)-(c_TMAP2OUT))+IF(((c_TMAP3OUT)-(c_TMAP2OUT))&gt;=0,1,-1)*QUOTIENT(((c_TMAP3IN)-(c_TMAP2IN)),2)),((c_TMAP3IN)-(c_TMAP2IN)))+(c_TMAP2OUT)+IF(((c_TMAP3OUT)-(c_TMAP2OUT))&gt;=0,IF(IF(o_WRAP=1,MOD(((c_TMAP3IN)-(c_TMAP2IN))*(((A107)-(c_TMAP2IN))*((c_TMAP3OUT)-(c_TMAP2OUT))+IF(((c_TMAP3OUT)-(c_TMAP2OUT))&gt;=0,1,-1)*QUOTIENT(((c_TMAP3IN)-(c_TMAP2IN)),2))+2147483648,4294967296)-2147483648,((c_TMAP3IN)-(c_TMAP2IN))*(((A107)-(c_TMAP2IN))*((c_TMAP3OUT)-(c_TMAP2OUT))+IF(((c_TMAP3OUT)-(c_TMAP2OUT))&gt;=0,1,-1)*QUOTIENT(((c_TMAP3IN)-(c_TMAP2IN)),2)))&lt;0,-1,0),IF(IF(o_WRAP=1,MOD(((c_TMAP3IN)-(c_TMAP2IN))*(((A107)-(c_TMAP2IN))*((c_TMAP3OUT)-(c_TMAP2OUT))+IF(((c_TMAP3OUT)-(c_TMAP2OUT))&gt;=0,1,-1)*QUOTIENT(((c_TMAP3IN)-(c_TMAP2IN)),2))+2147483648,4294967296)-2147483648,((c_TMAP3IN)-(c_TMAP2IN))*(((A107)-(c_TMAP2IN))*((c_TMAP3OUT)-(c_TMAP2OUT))+IF(((c_TMAP3OUT)-(c_TMAP2OUT))&gt;=0,1,-1)*QUOTIENT(((c_TMAP3IN)-(c_TMAP2IN)),2)))&gt;=0,1,0)))</f>
        <v>26</v>
      </c>
      <c r="G107" s="7" t="n">
        <f aca="false">IF(((1000)-(c_TMAP3IN))=0,(c_TMAP3OUT)+QUOTIENT(((1000)-(c_TMAP3OUT)),2),QUOTIENT((((A107)-(c_TMAP3IN))*((1000)-(c_TMAP3OUT))+IF(((1000)-(c_TMAP3OUT))&gt;=0,1,-1)*QUOTIENT(((1000)-(c_TMAP3IN)),2)),((1000)-(c_TMAP3IN)))+(c_TMAP3OUT)+IF(((1000)-(c_TMAP3OUT))&gt;=0,IF(IF(o_WRAP=1,MOD(((1000)-(c_TMAP3IN))*(((A107)-(c_TMAP3IN))*((1000)-(c_TMAP3OUT))+IF(((1000)-(c_TMAP3OUT))&gt;=0,1,-1)*QUOTIENT(((1000)-(c_TMAP3IN)),2))+2147483648,4294967296)-2147483648,((1000)-(c_TMAP3IN))*(((A107)-(c_TMAP3IN))*((1000)-(c_TMAP3OUT))+IF(((1000)-(c_TMAP3OUT))&gt;=0,1,-1)*QUOTIENT(((1000)-(c_TMAP3IN)),2)))&lt;0,-1,0),IF(IF(o_WRAP=1,MOD(((1000)-(c_TMAP3IN))*(((A107)-(c_TMAP3IN))*((1000)-(c_TMAP3OUT))+IF(((1000)-(c_TMAP3OUT))&gt;=0,1,-1)*QUOTIENT(((1000)-(c_TMAP3IN)),2))+2147483648,4294967296)-2147483648,((1000)-(c_TMAP3IN))*(((A107)-(c_TMAP3IN))*((1000)-(c_TMAP3OUT))+IF(((1000)-(c_TMAP3OUT))&gt;=0,1,-1)*QUOTIENT(((1000)-(c_TMAP3IN)),2)))&gt;=0,1,0)))</f>
        <v>-105</v>
      </c>
      <c r="H107" s="7" t="str">
        <f aca="false">IF(A107&gt;=c_TFWD,IF(AND(A107&gt;=c_TMAP3IN,c_TMAP3IN&lt;1000),"Seg4 map3-100%",IF(AND(A107&gt;=c_TMAP2IN,c_TMAP3IN&gt;c_TMAP2IN),"Seg3 map2-map3",IF(AND(A107&gt;=c_TMAP1IN,c_TMAP2IN&gt;c_TMAP1IN),"Seg2 map1-map2","Seg1 TFWD-map1"))),IF(AND(A107=0,c_TCREEP&gt;0),"Creep",IF(AND(A107&lt;=c_TRNGMIN,A107&gt;=c_TRNGMAX,c_TRNGMIN-c_TRNGMAX&lt;&gt;0),"Regen ramp","Coast (0)")))</f>
        <v>Seg2 map1-map2</v>
      </c>
      <c r="I107" s="7" t="n">
        <f aca="false">IF(A107&gt;=c_TFWD,IF(AND(A107&gt;=c_TMAP3IN,c_TMAP3IN&lt;1000),G107,IF(AND(A107&gt;=c_TMAP2IN,c_TMAP3IN&gt;c_TMAP2IN),F107,IF(AND(A107&gt;=c_TMAP1IN,c_TMAP2IN&gt;c_TMAP1IN),E107,D107))),C107)</f>
        <v>71</v>
      </c>
      <c r="J107" s="7" t="str">
        <f aca="false">IF(I107&lt;-1090,"TOO LOW",IF(I107&gt;1090,"TOO HIGH",""))</f>
        <v/>
      </c>
      <c r="K107" s="15" t="n">
        <f aca="false">IF(J107&lt;&gt;"",0,IF(I107&gt;979,1000,I107))</f>
        <v>71</v>
      </c>
      <c r="L107" s="7" t="n">
        <f aca="false">K107/10</f>
        <v>7.1</v>
      </c>
    </row>
    <row r="108" customFormat="false" ht="15" hidden="false" customHeight="false" outlineLevel="0" collapsed="false">
      <c r="A108" s="7" t="n">
        <v>103</v>
      </c>
      <c r="B108" s="7" t="n">
        <f aca="false">A108/10</f>
        <v>10.3</v>
      </c>
      <c r="C108" s="7" t="n">
        <f aca="false">IF(AND(A108=0,c_TCREEP&gt;0),10*c_TCREEP,IF(AND(A108&lt;=c_TRNGMIN,A108&gt;=c_TRNGMAX,c_TRNGMIN-c_TRNGMAX&lt;&gt;0),-10*c_TMINRN+QUOTIENT((c_TMAXRN-c_TMINRN)*(100-QUOTIENT((A108-c_TRNGMAX)*100,c_TRNGMIN-c_TRNGMAX)),-10),0))</f>
        <v>0</v>
      </c>
      <c r="D108" s="7" t="n">
        <f aca="false">IF(((c_TMAP1IN)-(c_TFWD))=0,(0)+QUOTIENT(((c_TMAP1OUT)-(0)),2),QUOTIENT((((A108)-(c_TFWD))*((c_TMAP1OUT)-(0))+IF(((c_TMAP1OUT)-(0))&gt;=0,1,-1)*QUOTIENT(((c_TMAP1IN)-(c_TFWD)),2)),((c_TMAP1IN)-(c_TFWD)))+(0)+IF(((c_TMAP1OUT)-(0))&gt;=0,IF(IF(o_WRAP=1,MOD(((c_TMAP1IN)-(c_TFWD))*(((A108)-(c_TFWD))*((c_TMAP1OUT)-(0))+IF(((c_TMAP1OUT)-(0))&gt;=0,1,-1)*QUOTIENT(((c_TMAP1IN)-(c_TFWD)),2))+2147483648,4294967296)-2147483648,((c_TMAP1IN)-(c_TFWD))*(((A108)-(c_TFWD))*((c_TMAP1OUT)-(0))+IF(((c_TMAP1OUT)-(0))&gt;=0,1,-1)*QUOTIENT(((c_TMAP1IN)-(c_TFWD)),2)))&lt;0,-1,0),IF(IF(o_WRAP=1,MOD(((c_TMAP1IN)-(c_TFWD))*(((A108)-(c_TFWD))*((c_TMAP1OUT)-(0))+IF(((c_TMAP1OUT)-(0))&gt;=0,1,-1)*QUOTIENT(((c_TMAP1IN)-(c_TFWD)),2))+2147483648,4294967296)-2147483648,((c_TMAP1IN)-(c_TFWD))*(((A108)-(c_TFWD))*((c_TMAP1OUT)-(0))+IF(((c_TMAP1OUT)-(0))&gt;=0,1,-1)*QUOTIENT(((c_TMAP1IN)-(c_TFWD)),2)))&gt;=0,1,0)))</f>
        <v>72</v>
      </c>
      <c r="E108" s="7" t="n">
        <f aca="false">IF(((c_TMAP2IN)-(c_TMAP1IN))=0,(c_TMAP1OUT)+QUOTIENT(((c_TMAP2OUT)-(c_TMAP1OUT)),2),QUOTIENT((((A108)-(c_TMAP1IN))*((c_TMAP2OUT)-(c_TMAP1OUT))+IF(((c_TMAP2OUT)-(c_TMAP1OUT))&gt;=0,1,-1)*QUOTIENT(((c_TMAP2IN)-(c_TMAP1IN)),2)),((c_TMAP2IN)-(c_TMAP1IN)))+(c_TMAP1OUT)+IF(((c_TMAP2OUT)-(c_TMAP1OUT))&gt;=0,IF(IF(o_WRAP=1,MOD(((c_TMAP2IN)-(c_TMAP1IN))*(((A108)-(c_TMAP1IN))*((c_TMAP2OUT)-(c_TMAP1OUT))+IF(((c_TMAP2OUT)-(c_TMAP1OUT))&gt;=0,1,-1)*QUOTIENT(((c_TMAP2IN)-(c_TMAP1IN)),2))+2147483648,4294967296)-2147483648,((c_TMAP2IN)-(c_TMAP1IN))*(((A108)-(c_TMAP1IN))*((c_TMAP2OUT)-(c_TMAP1OUT))+IF(((c_TMAP2OUT)-(c_TMAP1OUT))&gt;=0,1,-1)*QUOTIENT(((c_TMAP2IN)-(c_TMAP1IN)),2)))&lt;0,-1,0),IF(IF(o_WRAP=1,MOD(((c_TMAP2IN)-(c_TMAP1IN))*(((A108)-(c_TMAP1IN))*((c_TMAP2OUT)-(c_TMAP1OUT))+IF(((c_TMAP2OUT)-(c_TMAP1OUT))&gt;=0,1,-1)*QUOTIENT(((c_TMAP2IN)-(c_TMAP1IN)),2))+2147483648,4294967296)-2147483648,((c_TMAP2IN)-(c_TMAP1IN))*(((A108)-(c_TMAP1IN))*((c_TMAP2OUT)-(c_TMAP1OUT))+IF(((c_TMAP2OUT)-(c_TMAP1OUT))&gt;=0,1,-1)*QUOTIENT(((c_TMAP2IN)-(c_TMAP1IN)),2)))&gt;=0,1,0)))</f>
        <v>71</v>
      </c>
      <c r="F108" s="7" t="n">
        <f aca="false">IF(((c_TMAP3IN)-(c_TMAP2IN))=0,(c_TMAP2OUT)+QUOTIENT(((c_TMAP3OUT)-(c_TMAP2OUT)),2),QUOTIENT((((A108)-(c_TMAP2IN))*((c_TMAP3OUT)-(c_TMAP2OUT))+IF(((c_TMAP3OUT)-(c_TMAP2OUT))&gt;=0,1,-1)*QUOTIENT(((c_TMAP3IN)-(c_TMAP2IN)),2)),((c_TMAP3IN)-(c_TMAP2IN)))+(c_TMAP2OUT)+IF(((c_TMAP3OUT)-(c_TMAP2OUT))&gt;=0,IF(IF(o_WRAP=1,MOD(((c_TMAP3IN)-(c_TMAP2IN))*(((A108)-(c_TMAP2IN))*((c_TMAP3OUT)-(c_TMAP2OUT))+IF(((c_TMAP3OUT)-(c_TMAP2OUT))&gt;=0,1,-1)*QUOTIENT(((c_TMAP3IN)-(c_TMAP2IN)),2))+2147483648,4294967296)-2147483648,((c_TMAP3IN)-(c_TMAP2IN))*(((A108)-(c_TMAP2IN))*((c_TMAP3OUT)-(c_TMAP2OUT))+IF(((c_TMAP3OUT)-(c_TMAP2OUT))&gt;=0,1,-1)*QUOTIENT(((c_TMAP3IN)-(c_TMAP2IN)),2)))&lt;0,-1,0),IF(IF(o_WRAP=1,MOD(((c_TMAP3IN)-(c_TMAP2IN))*(((A108)-(c_TMAP2IN))*((c_TMAP3OUT)-(c_TMAP2OUT))+IF(((c_TMAP3OUT)-(c_TMAP2OUT))&gt;=0,1,-1)*QUOTIENT(((c_TMAP3IN)-(c_TMAP2IN)),2))+2147483648,4294967296)-2147483648,((c_TMAP3IN)-(c_TMAP2IN))*(((A108)-(c_TMAP2IN))*((c_TMAP3OUT)-(c_TMAP2OUT))+IF(((c_TMAP3OUT)-(c_TMAP2OUT))&gt;=0,1,-1)*QUOTIENT(((c_TMAP3IN)-(c_TMAP2IN)),2)))&gt;=0,1,0)))</f>
        <v>27</v>
      </c>
      <c r="G108" s="7" t="n">
        <f aca="false">IF(((1000)-(c_TMAP3IN))=0,(c_TMAP3OUT)+QUOTIENT(((1000)-(c_TMAP3OUT)),2),QUOTIENT((((A108)-(c_TMAP3IN))*((1000)-(c_TMAP3OUT))+IF(((1000)-(c_TMAP3OUT))&gt;=0,1,-1)*QUOTIENT(((1000)-(c_TMAP3IN)),2)),((1000)-(c_TMAP3IN)))+(c_TMAP3OUT)+IF(((1000)-(c_TMAP3OUT))&gt;=0,IF(IF(o_WRAP=1,MOD(((1000)-(c_TMAP3IN))*(((A108)-(c_TMAP3IN))*((1000)-(c_TMAP3OUT))+IF(((1000)-(c_TMAP3OUT))&gt;=0,1,-1)*QUOTIENT(((1000)-(c_TMAP3IN)),2))+2147483648,4294967296)-2147483648,((1000)-(c_TMAP3IN))*(((A108)-(c_TMAP3IN))*((1000)-(c_TMAP3OUT))+IF(((1000)-(c_TMAP3OUT))&gt;=0,1,-1)*QUOTIENT(((1000)-(c_TMAP3IN)),2)))&lt;0,-1,0),IF(IF(o_WRAP=1,MOD(((1000)-(c_TMAP3IN))*(((A108)-(c_TMAP3IN))*((1000)-(c_TMAP3OUT))+IF(((1000)-(c_TMAP3OUT))&gt;=0,1,-1)*QUOTIENT(((1000)-(c_TMAP3IN)),2))+2147483648,4294967296)-2147483648,((1000)-(c_TMAP3IN))*(((A108)-(c_TMAP3IN))*((1000)-(c_TMAP3OUT))+IF(((1000)-(c_TMAP3OUT))&gt;=0,1,-1)*QUOTIENT(((1000)-(c_TMAP3IN)),2)))&gt;=0,1,0)))</f>
        <v>-104</v>
      </c>
      <c r="H108" s="7" t="str">
        <f aca="false">IF(A108&gt;=c_TFWD,IF(AND(A108&gt;=c_TMAP3IN,c_TMAP3IN&lt;1000),"Seg4 map3-100%",IF(AND(A108&gt;=c_TMAP2IN,c_TMAP3IN&gt;c_TMAP2IN),"Seg3 map2-map3",IF(AND(A108&gt;=c_TMAP1IN,c_TMAP2IN&gt;c_TMAP1IN),"Seg2 map1-map2","Seg1 TFWD-map1"))),IF(AND(A108=0,c_TCREEP&gt;0),"Creep",IF(AND(A108&lt;=c_TRNGMIN,A108&gt;=c_TRNGMAX,c_TRNGMIN-c_TRNGMAX&lt;&gt;0),"Regen ramp","Coast (0)")))</f>
        <v>Seg2 map1-map2</v>
      </c>
      <c r="I108" s="7" t="n">
        <f aca="false">IF(A108&gt;=c_TFWD,IF(AND(A108&gt;=c_TMAP3IN,c_TMAP3IN&lt;1000),G108,IF(AND(A108&gt;=c_TMAP2IN,c_TMAP3IN&gt;c_TMAP2IN),F108,IF(AND(A108&gt;=c_TMAP1IN,c_TMAP2IN&gt;c_TMAP1IN),E108,D108))),C108)</f>
        <v>71</v>
      </c>
      <c r="J108" s="7" t="str">
        <f aca="false">IF(I108&lt;-1090,"TOO LOW",IF(I108&gt;1090,"TOO HIGH",""))</f>
        <v/>
      </c>
      <c r="K108" s="15" t="n">
        <f aca="false">IF(J108&lt;&gt;"",0,IF(I108&gt;979,1000,I108))</f>
        <v>71</v>
      </c>
      <c r="L108" s="7" t="n">
        <f aca="false">K108/10</f>
        <v>7.1</v>
      </c>
    </row>
    <row r="109" customFormat="false" ht="15" hidden="false" customHeight="false" outlineLevel="0" collapsed="false">
      <c r="A109" s="7" t="n">
        <v>104</v>
      </c>
      <c r="B109" s="7" t="n">
        <f aca="false">A109/10</f>
        <v>10.4</v>
      </c>
      <c r="C109" s="7" t="n">
        <f aca="false">IF(AND(A109=0,c_TCREEP&gt;0),10*c_TCREEP,IF(AND(A109&lt;=c_TRNGMIN,A109&gt;=c_TRNGMAX,c_TRNGMIN-c_TRNGMAX&lt;&gt;0),-10*c_TMINRN+QUOTIENT((c_TMAXRN-c_TMINRN)*(100-QUOTIENT((A109-c_TRNGMAX)*100,c_TRNGMIN-c_TRNGMAX)),-10),0))</f>
        <v>0</v>
      </c>
      <c r="D109" s="7" t="n">
        <f aca="false">IF(((c_TMAP1IN)-(c_TFWD))=0,(0)+QUOTIENT(((c_TMAP1OUT)-(0)),2),QUOTIENT((((A109)-(c_TFWD))*((c_TMAP1OUT)-(0))+IF(((c_TMAP1OUT)-(0))&gt;=0,1,-1)*QUOTIENT(((c_TMAP1IN)-(c_TFWD)),2)),((c_TMAP1IN)-(c_TFWD)))+(0)+IF(((c_TMAP1OUT)-(0))&gt;=0,IF(IF(o_WRAP=1,MOD(((c_TMAP1IN)-(c_TFWD))*(((A109)-(c_TFWD))*((c_TMAP1OUT)-(0))+IF(((c_TMAP1OUT)-(0))&gt;=0,1,-1)*QUOTIENT(((c_TMAP1IN)-(c_TFWD)),2))+2147483648,4294967296)-2147483648,((c_TMAP1IN)-(c_TFWD))*(((A109)-(c_TFWD))*((c_TMAP1OUT)-(0))+IF(((c_TMAP1OUT)-(0))&gt;=0,1,-1)*QUOTIENT(((c_TMAP1IN)-(c_TFWD)),2)))&lt;0,-1,0),IF(IF(o_WRAP=1,MOD(((c_TMAP1IN)-(c_TFWD))*(((A109)-(c_TFWD))*((c_TMAP1OUT)-(0))+IF(((c_TMAP1OUT)-(0))&gt;=0,1,-1)*QUOTIENT(((c_TMAP1IN)-(c_TFWD)),2))+2147483648,4294967296)-2147483648,((c_TMAP1IN)-(c_TFWD))*(((A109)-(c_TFWD))*((c_TMAP1OUT)-(0))+IF(((c_TMAP1OUT)-(0))&gt;=0,1,-1)*QUOTIENT(((c_TMAP1IN)-(c_TFWD)),2)))&gt;=0,1,0)))</f>
        <v>73</v>
      </c>
      <c r="E109" s="7" t="n">
        <f aca="false">IF(((c_TMAP2IN)-(c_TMAP1IN))=0,(c_TMAP1OUT)+QUOTIENT(((c_TMAP2OUT)-(c_TMAP1OUT)),2),QUOTIENT((((A109)-(c_TMAP1IN))*((c_TMAP2OUT)-(c_TMAP1OUT))+IF(((c_TMAP2OUT)-(c_TMAP1OUT))&gt;=0,1,-1)*QUOTIENT(((c_TMAP2IN)-(c_TMAP1IN)),2)),((c_TMAP2IN)-(c_TMAP1IN)))+(c_TMAP1OUT)+IF(((c_TMAP2OUT)-(c_TMAP1OUT))&gt;=0,IF(IF(o_WRAP=1,MOD(((c_TMAP2IN)-(c_TMAP1IN))*(((A109)-(c_TMAP1IN))*((c_TMAP2OUT)-(c_TMAP1OUT))+IF(((c_TMAP2OUT)-(c_TMAP1OUT))&gt;=0,1,-1)*QUOTIENT(((c_TMAP2IN)-(c_TMAP1IN)),2))+2147483648,4294967296)-2147483648,((c_TMAP2IN)-(c_TMAP1IN))*(((A109)-(c_TMAP1IN))*((c_TMAP2OUT)-(c_TMAP1OUT))+IF(((c_TMAP2OUT)-(c_TMAP1OUT))&gt;=0,1,-1)*QUOTIENT(((c_TMAP2IN)-(c_TMAP1IN)),2)))&lt;0,-1,0),IF(IF(o_WRAP=1,MOD(((c_TMAP2IN)-(c_TMAP1IN))*(((A109)-(c_TMAP1IN))*((c_TMAP2OUT)-(c_TMAP1OUT))+IF(((c_TMAP2OUT)-(c_TMAP1OUT))&gt;=0,1,-1)*QUOTIENT(((c_TMAP2IN)-(c_TMAP1IN)),2))+2147483648,4294967296)-2147483648,((c_TMAP2IN)-(c_TMAP1IN))*(((A109)-(c_TMAP1IN))*((c_TMAP2OUT)-(c_TMAP1OUT))+IF(((c_TMAP2OUT)-(c_TMAP1OUT))&gt;=0,1,-1)*QUOTIENT(((c_TMAP2IN)-(c_TMAP1IN)),2)))&gt;=0,1,0)))</f>
        <v>72</v>
      </c>
      <c r="F109" s="7" t="n">
        <f aca="false">IF(((c_TMAP3IN)-(c_TMAP2IN))=0,(c_TMAP2OUT)+QUOTIENT(((c_TMAP3OUT)-(c_TMAP2OUT)),2),QUOTIENT((((A109)-(c_TMAP2IN))*((c_TMAP3OUT)-(c_TMAP2OUT))+IF(((c_TMAP3OUT)-(c_TMAP2OUT))&gt;=0,1,-1)*QUOTIENT(((c_TMAP3IN)-(c_TMAP2IN)),2)),((c_TMAP3IN)-(c_TMAP2IN)))+(c_TMAP2OUT)+IF(((c_TMAP3OUT)-(c_TMAP2OUT))&gt;=0,IF(IF(o_WRAP=1,MOD(((c_TMAP3IN)-(c_TMAP2IN))*(((A109)-(c_TMAP2IN))*((c_TMAP3OUT)-(c_TMAP2OUT))+IF(((c_TMAP3OUT)-(c_TMAP2OUT))&gt;=0,1,-1)*QUOTIENT(((c_TMAP3IN)-(c_TMAP2IN)),2))+2147483648,4294967296)-2147483648,((c_TMAP3IN)-(c_TMAP2IN))*(((A109)-(c_TMAP2IN))*((c_TMAP3OUT)-(c_TMAP2OUT))+IF(((c_TMAP3OUT)-(c_TMAP2OUT))&gt;=0,1,-1)*QUOTIENT(((c_TMAP3IN)-(c_TMAP2IN)),2)))&lt;0,-1,0),IF(IF(o_WRAP=1,MOD(((c_TMAP3IN)-(c_TMAP2IN))*(((A109)-(c_TMAP2IN))*((c_TMAP3OUT)-(c_TMAP2OUT))+IF(((c_TMAP3OUT)-(c_TMAP2OUT))&gt;=0,1,-1)*QUOTIENT(((c_TMAP3IN)-(c_TMAP2IN)),2))+2147483648,4294967296)-2147483648,((c_TMAP3IN)-(c_TMAP2IN))*(((A109)-(c_TMAP2IN))*((c_TMAP3OUT)-(c_TMAP2OUT))+IF(((c_TMAP3OUT)-(c_TMAP2OUT))&gt;=0,1,-1)*QUOTIENT(((c_TMAP3IN)-(c_TMAP2IN)),2)))&gt;=0,1,0)))</f>
        <v>28</v>
      </c>
      <c r="G109" s="7" t="n">
        <f aca="false">IF(((1000)-(c_TMAP3IN))=0,(c_TMAP3OUT)+QUOTIENT(((1000)-(c_TMAP3OUT)),2),QUOTIENT((((A109)-(c_TMAP3IN))*((1000)-(c_TMAP3OUT))+IF(((1000)-(c_TMAP3OUT))&gt;=0,1,-1)*QUOTIENT(((1000)-(c_TMAP3IN)),2)),((1000)-(c_TMAP3IN)))+(c_TMAP3OUT)+IF(((1000)-(c_TMAP3OUT))&gt;=0,IF(IF(o_WRAP=1,MOD(((1000)-(c_TMAP3IN))*(((A109)-(c_TMAP3IN))*((1000)-(c_TMAP3OUT))+IF(((1000)-(c_TMAP3OUT))&gt;=0,1,-1)*QUOTIENT(((1000)-(c_TMAP3IN)),2))+2147483648,4294967296)-2147483648,((1000)-(c_TMAP3IN))*(((A109)-(c_TMAP3IN))*((1000)-(c_TMAP3OUT))+IF(((1000)-(c_TMAP3OUT))&gt;=0,1,-1)*QUOTIENT(((1000)-(c_TMAP3IN)),2)))&lt;0,-1,0),IF(IF(o_WRAP=1,MOD(((1000)-(c_TMAP3IN))*(((A109)-(c_TMAP3IN))*((1000)-(c_TMAP3OUT))+IF(((1000)-(c_TMAP3OUT))&gt;=0,1,-1)*QUOTIENT(((1000)-(c_TMAP3IN)),2))+2147483648,4294967296)-2147483648,((1000)-(c_TMAP3IN))*(((A109)-(c_TMAP3IN))*((1000)-(c_TMAP3OUT))+IF(((1000)-(c_TMAP3OUT))&gt;=0,1,-1)*QUOTIENT(((1000)-(c_TMAP3IN)),2)))&gt;=0,1,0)))</f>
        <v>-103</v>
      </c>
      <c r="H109" s="7" t="str">
        <f aca="false">IF(A109&gt;=c_TFWD,IF(AND(A109&gt;=c_TMAP3IN,c_TMAP3IN&lt;1000),"Seg4 map3-100%",IF(AND(A109&gt;=c_TMAP2IN,c_TMAP3IN&gt;c_TMAP2IN),"Seg3 map2-map3",IF(AND(A109&gt;=c_TMAP1IN,c_TMAP2IN&gt;c_TMAP1IN),"Seg2 map1-map2","Seg1 TFWD-map1"))),IF(AND(A109=0,c_TCREEP&gt;0),"Creep",IF(AND(A109&lt;=c_TRNGMIN,A109&gt;=c_TRNGMAX,c_TRNGMIN-c_TRNGMAX&lt;&gt;0),"Regen ramp","Coast (0)")))</f>
        <v>Seg2 map1-map2</v>
      </c>
      <c r="I109" s="7" t="n">
        <f aca="false">IF(A109&gt;=c_TFWD,IF(AND(A109&gt;=c_TMAP3IN,c_TMAP3IN&lt;1000),G109,IF(AND(A109&gt;=c_TMAP2IN,c_TMAP3IN&gt;c_TMAP2IN),F109,IF(AND(A109&gt;=c_TMAP1IN,c_TMAP2IN&gt;c_TMAP1IN),E109,D109))),C109)</f>
        <v>72</v>
      </c>
      <c r="J109" s="7" t="str">
        <f aca="false">IF(I109&lt;-1090,"TOO LOW",IF(I109&gt;1090,"TOO HIGH",""))</f>
        <v/>
      </c>
      <c r="K109" s="15" t="n">
        <f aca="false">IF(J109&lt;&gt;"",0,IF(I109&gt;979,1000,I109))</f>
        <v>72</v>
      </c>
      <c r="L109" s="7" t="n">
        <f aca="false">K109/10</f>
        <v>7.2</v>
      </c>
    </row>
    <row r="110" customFormat="false" ht="15" hidden="false" customHeight="false" outlineLevel="0" collapsed="false">
      <c r="A110" s="7" t="n">
        <v>105</v>
      </c>
      <c r="B110" s="7" t="n">
        <f aca="false">A110/10</f>
        <v>10.5</v>
      </c>
      <c r="C110" s="7" t="n">
        <f aca="false">IF(AND(A110=0,c_TCREEP&gt;0),10*c_TCREEP,IF(AND(A110&lt;=c_TRNGMIN,A110&gt;=c_TRNGMAX,c_TRNGMIN-c_TRNGMAX&lt;&gt;0),-10*c_TMINRN+QUOTIENT((c_TMAXRN-c_TMINRN)*(100-QUOTIENT((A110-c_TRNGMAX)*100,c_TRNGMIN-c_TRNGMAX)),-10),0))</f>
        <v>0</v>
      </c>
      <c r="D110" s="7" t="n">
        <f aca="false">IF(((c_TMAP1IN)-(c_TFWD))=0,(0)+QUOTIENT(((c_TMAP1OUT)-(0)),2),QUOTIENT((((A110)-(c_TFWD))*((c_TMAP1OUT)-(0))+IF(((c_TMAP1OUT)-(0))&gt;=0,1,-1)*QUOTIENT(((c_TMAP1IN)-(c_TFWD)),2)),((c_TMAP1IN)-(c_TFWD)))+(0)+IF(((c_TMAP1OUT)-(0))&gt;=0,IF(IF(o_WRAP=1,MOD(((c_TMAP1IN)-(c_TFWD))*(((A110)-(c_TFWD))*((c_TMAP1OUT)-(0))+IF(((c_TMAP1OUT)-(0))&gt;=0,1,-1)*QUOTIENT(((c_TMAP1IN)-(c_TFWD)),2))+2147483648,4294967296)-2147483648,((c_TMAP1IN)-(c_TFWD))*(((A110)-(c_TFWD))*((c_TMAP1OUT)-(0))+IF(((c_TMAP1OUT)-(0))&gt;=0,1,-1)*QUOTIENT(((c_TMAP1IN)-(c_TFWD)),2)))&lt;0,-1,0),IF(IF(o_WRAP=1,MOD(((c_TMAP1IN)-(c_TFWD))*(((A110)-(c_TFWD))*((c_TMAP1OUT)-(0))+IF(((c_TMAP1OUT)-(0))&gt;=0,1,-1)*QUOTIENT(((c_TMAP1IN)-(c_TFWD)),2))+2147483648,4294967296)-2147483648,((c_TMAP1IN)-(c_TFWD))*(((A110)-(c_TFWD))*((c_TMAP1OUT)-(0))+IF(((c_TMAP1OUT)-(0))&gt;=0,1,-1)*QUOTIENT(((c_TMAP1IN)-(c_TFWD)),2)))&gt;=0,1,0)))</f>
        <v>74</v>
      </c>
      <c r="E110" s="7" t="n">
        <f aca="false">IF(((c_TMAP2IN)-(c_TMAP1IN))=0,(c_TMAP1OUT)+QUOTIENT(((c_TMAP2OUT)-(c_TMAP1OUT)),2),QUOTIENT((((A110)-(c_TMAP1IN))*((c_TMAP2OUT)-(c_TMAP1OUT))+IF(((c_TMAP2OUT)-(c_TMAP1OUT))&gt;=0,1,-1)*QUOTIENT(((c_TMAP2IN)-(c_TMAP1IN)),2)),((c_TMAP2IN)-(c_TMAP1IN)))+(c_TMAP1OUT)+IF(((c_TMAP2OUT)-(c_TMAP1OUT))&gt;=0,IF(IF(o_WRAP=1,MOD(((c_TMAP2IN)-(c_TMAP1IN))*(((A110)-(c_TMAP1IN))*((c_TMAP2OUT)-(c_TMAP1OUT))+IF(((c_TMAP2OUT)-(c_TMAP1OUT))&gt;=0,1,-1)*QUOTIENT(((c_TMAP2IN)-(c_TMAP1IN)),2))+2147483648,4294967296)-2147483648,((c_TMAP2IN)-(c_TMAP1IN))*(((A110)-(c_TMAP1IN))*((c_TMAP2OUT)-(c_TMAP1OUT))+IF(((c_TMAP2OUT)-(c_TMAP1OUT))&gt;=0,1,-1)*QUOTIENT(((c_TMAP2IN)-(c_TMAP1IN)),2)))&lt;0,-1,0),IF(IF(o_WRAP=1,MOD(((c_TMAP2IN)-(c_TMAP1IN))*(((A110)-(c_TMAP1IN))*((c_TMAP2OUT)-(c_TMAP1OUT))+IF(((c_TMAP2OUT)-(c_TMAP1OUT))&gt;=0,1,-1)*QUOTIENT(((c_TMAP2IN)-(c_TMAP1IN)),2))+2147483648,4294967296)-2147483648,((c_TMAP2IN)-(c_TMAP1IN))*(((A110)-(c_TMAP1IN))*((c_TMAP2OUT)-(c_TMAP1OUT))+IF(((c_TMAP2OUT)-(c_TMAP1OUT))&gt;=0,1,-1)*QUOTIENT(((c_TMAP2IN)-(c_TMAP1IN)),2)))&gt;=0,1,0)))</f>
        <v>72</v>
      </c>
      <c r="F110" s="7" t="n">
        <f aca="false">IF(((c_TMAP3IN)-(c_TMAP2IN))=0,(c_TMAP2OUT)+QUOTIENT(((c_TMAP3OUT)-(c_TMAP2OUT)),2),QUOTIENT((((A110)-(c_TMAP2IN))*((c_TMAP3OUT)-(c_TMAP2OUT))+IF(((c_TMAP3OUT)-(c_TMAP2OUT))&gt;=0,1,-1)*QUOTIENT(((c_TMAP3IN)-(c_TMAP2IN)),2)),((c_TMAP3IN)-(c_TMAP2IN)))+(c_TMAP2OUT)+IF(((c_TMAP3OUT)-(c_TMAP2OUT))&gt;=0,IF(IF(o_WRAP=1,MOD(((c_TMAP3IN)-(c_TMAP2IN))*(((A110)-(c_TMAP2IN))*((c_TMAP3OUT)-(c_TMAP2OUT))+IF(((c_TMAP3OUT)-(c_TMAP2OUT))&gt;=0,1,-1)*QUOTIENT(((c_TMAP3IN)-(c_TMAP2IN)),2))+2147483648,4294967296)-2147483648,((c_TMAP3IN)-(c_TMAP2IN))*(((A110)-(c_TMAP2IN))*((c_TMAP3OUT)-(c_TMAP2OUT))+IF(((c_TMAP3OUT)-(c_TMAP2OUT))&gt;=0,1,-1)*QUOTIENT(((c_TMAP3IN)-(c_TMAP2IN)),2)))&lt;0,-1,0),IF(IF(o_WRAP=1,MOD(((c_TMAP3IN)-(c_TMAP2IN))*(((A110)-(c_TMAP2IN))*((c_TMAP3OUT)-(c_TMAP2OUT))+IF(((c_TMAP3OUT)-(c_TMAP2OUT))&gt;=0,1,-1)*QUOTIENT(((c_TMAP3IN)-(c_TMAP2IN)),2))+2147483648,4294967296)-2147483648,((c_TMAP3IN)-(c_TMAP2IN))*(((A110)-(c_TMAP2IN))*((c_TMAP3OUT)-(c_TMAP2OUT))+IF(((c_TMAP3OUT)-(c_TMAP2OUT))&gt;=0,1,-1)*QUOTIENT(((c_TMAP3IN)-(c_TMAP2IN)),2)))&gt;=0,1,0)))</f>
        <v>28</v>
      </c>
      <c r="G110" s="7" t="n">
        <f aca="false">IF(((1000)-(c_TMAP3IN))=0,(c_TMAP3OUT)+QUOTIENT(((1000)-(c_TMAP3OUT)),2),QUOTIENT((((A110)-(c_TMAP3IN))*((1000)-(c_TMAP3OUT))+IF(((1000)-(c_TMAP3OUT))&gt;=0,1,-1)*QUOTIENT(((1000)-(c_TMAP3IN)),2)),((1000)-(c_TMAP3IN)))+(c_TMAP3OUT)+IF(((1000)-(c_TMAP3OUT))&gt;=0,IF(IF(o_WRAP=1,MOD(((1000)-(c_TMAP3IN))*(((A110)-(c_TMAP3IN))*((1000)-(c_TMAP3OUT))+IF(((1000)-(c_TMAP3OUT))&gt;=0,1,-1)*QUOTIENT(((1000)-(c_TMAP3IN)),2))+2147483648,4294967296)-2147483648,((1000)-(c_TMAP3IN))*(((A110)-(c_TMAP3IN))*((1000)-(c_TMAP3OUT))+IF(((1000)-(c_TMAP3OUT))&gt;=0,1,-1)*QUOTIENT(((1000)-(c_TMAP3IN)),2)))&lt;0,-1,0),IF(IF(o_WRAP=1,MOD(((1000)-(c_TMAP3IN))*(((A110)-(c_TMAP3IN))*((1000)-(c_TMAP3OUT))+IF(((1000)-(c_TMAP3OUT))&gt;=0,1,-1)*QUOTIENT(((1000)-(c_TMAP3IN)),2))+2147483648,4294967296)-2147483648,((1000)-(c_TMAP3IN))*(((A110)-(c_TMAP3IN))*((1000)-(c_TMAP3OUT))+IF(((1000)-(c_TMAP3OUT))&gt;=0,1,-1)*QUOTIENT(((1000)-(c_TMAP3IN)),2)))&gt;=0,1,0)))</f>
        <v>-102</v>
      </c>
      <c r="H110" s="7" t="str">
        <f aca="false">IF(A110&gt;=c_TFWD,IF(AND(A110&gt;=c_TMAP3IN,c_TMAP3IN&lt;1000),"Seg4 map3-100%",IF(AND(A110&gt;=c_TMAP2IN,c_TMAP3IN&gt;c_TMAP2IN),"Seg3 map2-map3",IF(AND(A110&gt;=c_TMAP1IN,c_TMAP2IN&gt;c_TMAP1IN),"Seg2 map1-map2","Seg1 TFWD-map1"))),IF(AND(A110=0,c_TCREEP&gt;0),"Creep",IF(AND(A110&lt;=c_TRNGMIN,A110&gt;=c_TRNGMAX,c_TRNGMIN-c_TRNGMAX&lt;&gt;0),"Regen ramp","Coast (0)")))</f>
        <v>Seg2 map1-map2</v>
      </c>
      <c r="I110" s="7" t="n">
        <f aca="false">IF(A110&gt;=c_TFWD,IF(AND(A110&gt;=c_TMAP3IN,c_TMAP3IN&lt;1000),G110,IF(AND(A110&gt;=c_TMAP2IN,c_TMAP3IN&gt;c_TMAP2IN),F110,IF(AND(A110&gt;=c_TMAP1IN,c_TMAP2IN&gt;c_TMAP1IN),E110,D110))),C110)</f>
        <v>72</v>
      </c>
      <c r="J110" s="7" t="str">
        <f aca="false">IF(I110&lt;-1090,"TOO LOW",IF(I110&gt;1090,"TOO HIGH",""))</f>
        <v/>
      </c>
      <c r="K110" s="15" t="n">
        <f aca="false">IF(J110&lt;&gt;"",0,IF(I110&gt;979,1000,I110))</f>
        <v>72</v>
      </c>
      <c r="L110" s="7" t="n">
        <f aca="false">K110/10</f>
        <v>7.2</v>
      </c>
    </row>
    <row r="111" customFormat="false" ht="15" hidden="false" customHeight="false" outlineLevel="0" collapsed="false">
      <c r="A111" s="7" t="n">
        <v>106</v>
      </c>
      <c r="B111" s="7" t="n">
        <f aca="false">A111/10</f>
        <v>10.6</v>
      </c>
      <c r="C111" s="7" t="n">
        <f aca="false">IF(AND(A111=0,c_TCREEP&gt;0),10*c_TCREEP,IF(AND(A111&lt;=c_TRNGMIN,A111&gt;=c_TRNGMAX,c_TRNGMIN-c_TRNGMAX&lt;&gt;0),-10*c_TMINRN+QUOTIENT((c_TMAXRN-c_TMINRN)*(100-QUOTIENT((A111-c_TRNGMAX)*100,c_TRNGMIN-c_TRNGMAX)),-10),0))</f>
        <v>0</v>
      </c>
      <c r="D111" s="7" t="n">
        <f aca="false">IF(((c_TMAP1IN)-(c_TFWD))=0,(0)+QUOTIENT(((c_TMAP1OUT)-(0)),2),QUOTIENT((((A111)-(c_TFWD))*((c_TMAP1OUT)-(0))+IF(((c_TMAP1OUT)-(0))&gt;=0,1,-1)*QUOTIENT(((c_TMAP1IN)-(c_TFWD)),2)),((c_TMAP1IN)-(c_TFWD)))+(0)+IF(((c_TMAP1OUT)-(0))&gt;=0,IF(IF(o_WRAP=1,MOD(((c_TMAP1IN)-(c_TFWD))*(((A111)-(c_TFWD))*((c_TMAP1OUT)-(0))+IF(((c_TMAP1OUT)-(0))&gt;=0,1,-1)*QUOTIENT(((c_TMAP1IN)-(c_TFWD)),2))+2147483648,4294967296)-2147483648,((c_TMAP1IN)-(c_TFWD))*(((A111)-(c_TFWD))*((c_TMAP1OUT)-(0))+IF(((c_TMAP1OUT)-(0))&gt;=0,1,-1)*QUOTIENT(((c_TMAP1IN)-(c_TFWD)),2)))&lt;0,-1,0),IF(IF(o_WRAP=1,MOD(((c_TMAP1IN)-(c_TFWD))*(((A111)-(c_TFWD))*((c_TMAP1OUT)-(0))+IF(((c_TMAP1OUT)-(0))&gt;=0,1,-1)*QUOTIENT(((c_TMAP1IN)-(c_TFWD)),2))+2147483648,4294967296)-2147483648,((c_TMAP1IN)-(c_TFWD))*(((A111)-(c_TFWD))*((c_TMAP1OUT)-(0))+IF(((c_TMAP1OUT)-(0))&gt;=0,1,-1)*QUOTIENT(((c_TMAP1IN)-(c_TFWD)),2)))&gt;=0,1,0)))</f>
        <v>75</v>
      </c>
      <c r="E111" s="7" t="n">
        <f aca="false">IF(((c_TMAP2IN)-(c_TMAP1IN))=0,(c_TMAP1OUT)+QUOTIENT(((c_TMAP2OUT)-(c_TMAP1OUT)),2),QUOTIENT((((A111)-(c_TMAP1IN))*((c_TMAP2OUT)-(c_TMAP1OUT))+IF(((c_TMAP2OUT)-(c_TMAP1OUT))&gt;=0,1,-1)*QUOTIENT(((c_TMAP2IN)-(c_TMAP1IN)),2)),((c_TMAP2IN)-(c_TMAP1IN)))+(c_TMAP1OUT)+IF(((c_TMAP2OUT)-(c_TMAP1OUT))&gt;=0,IF(IF(o_WRAP=1,MOD(((c_TMAP2IN)-(c_TMAP1IN))*(((A111)-(c_TMAP1IN))*((c_TMAP2OUT)-(c_TMAP1OUT))+IF(((c_TMAP2OUT)-(c_TMAP1OUT))&gt;=0,1,-1)*QUOTIENT(((c_TMAP2IN)-(c_TMAP1IN)),2))+2147483648,4294967296)-2147483648,((c_TMAP2IN)-(c_TMAP1IN))*(((A111)-(c_TMAP1IN))*((c_TMAP2OUT)-(c_TMAP1OUT))+IF(((c_TMAP2OUT)-(c_TMAP1OUT))&gt;=0,1,-1)*QUOTIENT(((c_TMAP2IN)-(c_TMAP1IN)),2)))&lt;0,-1,0),IF(IF(o_WRAP=1,MOD(((c_TMAP2IN)-(c_TMAP1IN))*(((A111)-(c_TMAP1IN))*((c_TMAP2OUT)-(c_TMAP1OUT))+IF(((c_TMAP2OUT)-(c_TMAP1OUT))&gt;=0,1,-1)*QUOTIENT(((c_TMAP2IN)-(c_TMAP1IN)),2))+2147483648,4294967296)-2147483648,((c_TMAP2IN)-(c_TMAP1IN))*(((A111)-(c_TMAP1IN))*((c_TMAP2OUT)-(c_TMAP1OUT))+IF(((c_TMAP2OUT)-(c_TMAP1OUT))&gt;=0,1,-1)*QUOTIENT(((c_TMAP2IN)-(c_TMAP1IN)),2)))&gt;=0,1,0)))</f>
        <v>72</v>
      </c>
      <c r="F111" s="7" t="n">
        <f aca="false">IF(((c_TMAP3IN)-(c_TMAP2IN))=0,(c_TMAP2OUT)+QUOTIENT(((c_TMAP3OUT)-(c_TMAP2OUT)),2),QUOTIENT((((A111)-(c_TMAP2IN))*((c_TMAP3OUT)-(c_TMAP2OUT))+IF(((c_TMAP3OUT)-(c_TMAP2OUT))&gt;=0,1,-1)*QUOTIENT(((c_TMAP3IN)-(c_TMAP2IN)),2)),((c_TMAP3IN)-(c_TMAP2IN)))+(c_TMAP2OUT)+IF(((c_TMAP3OUT)-(c_TMAP2OUT))&gt;=0,IF(IF(o_WRAP=1,MOD(((c_TMAP3IN)-(c_TMAP2IN))*(((A111)-(c_TMAP2IN))*((c_TMAP3OUT)-(c_TMAP2OUT))+IF(((c_TMAP3OUT)-(c_TMAP2OUT))&gt;=0,1,-1)*QUOTIENT(((c_TMAP3IN)-(c_TMAP2IN)),2))+2147483648,4294967296)-2147483648,((c_TMAP3IN)-(c_TMAP2IN))*(((A111)-(c_TMAP2IN))*((c_TMAP3OUT)-(c_TMAP2OUT))+IF(((c_TMAP3OUT)-(c_TMAP2OUT))&gt;=0,1,-1)*QUOTIENT(((c_TMAP3IN)-(c_TMAP2IN)),2)))&lt;0,-1,0),IF(IF(o_WRAP=1,MOD(((c_TMAP3IN)-(c_TMAP2IN))*(((A111)-(c_TMAP2IN))*((c_TMAP3OUT)-(c_TMAP2OUT))+IF(((c_TMAP3OUT)-(c_TMAP2OUT))&gt;=0,1,-1)*QUOTIENT(((c_TMAP3IN)-(c_TMAP2IN)),2))+2147483648,4294967296)-2147483648,((c_TMAP3IN)-(c_TMAP2IN))*(((A111)-(c_TMAP2IN))*((c_TMAP3OUT)-(c_TMAP2OUT))+IF(((c_TMAP3OUT)-(c_TMAP2OUT))&gt;=0,1,-1)*QUOTIENT(((c_TMAP3IN)-(c_TMAP2IN)),2)))&gt;=0,1,0)))</f>
        <v>29</v>
      </c>
      <c r="G111" s="7" t="n">
        <f aca="false">IF(((1000)-(c_TMAP3IN))=0,(c_TMAP3OUT)+QUOTIENT(((1000)-(c_TMAP3OUT)),2),QUOTIENT((((A111)-(c_TMAP3IN))*((1000)-(c_TMAP3OUT))+IF(((1000)-(c_TMAP3OUT))&gt;=0,1,-1)*QUOTIENT(((1000)-(c_TMAP3IN)),2)),((1000)-(c_TMAP3IN)))+(c_TMAP3OUT)+IF(((1000)-(c_TMAP3OUT))&gt;=0,IF(IF(o_WRAP=1,MOD(((1000)-(c_TMAP3IN))*(((A111)-(c_TMAP3IN))*((1000)-(c_TMAP3OUT))+IF(((1000)-(c_TMAP3OUT))&gt;=0,1,-1)*QUOTIENT(((1000)-(c_TMAP3IN)),2))+2147483648,4294967296)-2147483648,((1000)-(c_TMAP3IN))*(((A111)-(c_TMAP3IN))*((1000)-(c_TMAP3OUT))+IF(((1000)-(c_TMAP3OUT))&gt;=0,1,-1)*QUOTIENT(((1000)-(c_TMAP3IN)),2)))&lt;0,-1,0),IF(IF(o_WRAP=1,MOD(((1000)-(c_TMAP3IN))*(((A111)-(c_TMAP3IN))*((1000)-(c_TMAP3OUT))+IF(((1000)-(c_TMAP3OUT))&gt;=0,1,-1)*QUOTIENT(((1000)-(c_TMAP3IN)),2))+2147483648,4294967296)-2147483648,((1000)-(c_TMAP3IN))*(((A111)-(c_TMAP3IN))*((1000)-(c_TMAP3OUT))+IF(((1000)-(c_TMAP3OUT))&gt;=0,1,-1)*QUOTIENT(((1000)-(c_TMAP3IN)),2)))&gt;=0,1,0)))</f>
        <v>-100</v>
      </c>
      <c r="H111" s="7" t="str">
        <f aca="false">IF(A111&gt;=c_TFWD,IF(AND(A111&gt;=c_TMAP3IN,c_TMAP3IN&lt;1000),"Seg4 map3-100%",IF(AND(A111&gt;=c_TMAP2IN,c_TMAP3IN&gt;c_TMAP2IN),"Seg3 map2-map3",IF(AND(A111&gt;=c_TMAP1IN,c_TMAP2IN&gt;c_TMAP1IN),"Seg2 map1-map2","Seg1 TFWD-map1"))),IF(AND(A111=0,c_TCREEP&gt;0),"Creep",IF(AND(A111&lt;=c_TRNGMIN,A111&gt;=c_TRNGMAX,c_TRNGMIN-c_TRNGMAX&lt;&gt;0),"Regen ramp","Coast (0)")))</f>
        <v>Seg2 map1-map2</v>
      </c>
      <c r="I111" s="7" t="n">
        <f aca="false">IF(A111&gt;=c_TFWD,IF(AND(A111&gt;=c_TMAP3IN,c_TMAP3IN&lt;1000),G111,IF(AND(A111&gt;=c_TMAP2IN,c_TMAP3IN&gt;c_TMAP2IN),F111,IF(AND(A111&gt;=c_TMAP1IN,c_TMAP2IN&gt;c_TMAP1IN),E111,D111))),C111)</f>
        <v>72</v>
      </c>
      <c r="J111" s="7" t="str">
        <f aca="false">IF(I111&lt;-1090,"TOO LOW",IF(I111&gt;1090,"TOO HIGH",""))</f>
        <v/>
      </c>
      <c r="K111" s="15" t="n">
        <f aca="false">IF(J111&lt;&gt;"",0,IF(I111&gt;979,1000,I111))</f>
        <v>72</v>
      </c>
      <c r="L111" s="7" t="n">
        <f aca="false">K111/10</f>
        <v>7.2</v>
      </c>
    </row>
    <row r="112" customFormat="false" ht="15" hidden="false" customHeight="false" outlineLevel="0" collapsed="false">
      <c r="A112" s="7" t="n">
        <v>107</v>
      </c>
      <c r="B112" s="7" t="n">
        <f aca="false">A112/10</f>
        <v>10.7</v>
      </c>
      <c r="C112" s="7" t="n">
        <f aca="false">IF(AND(A112=0,c_TCREEP&gt;0),10*c_TCREEP,IF(AND(A112&lt;=c_TRNGMIN,A112&gt;=c_TRNGMAX,c_TRNGMIN-c_TRNGMAX&lt;&gt;0),-10*c_TMINRN+QUOTIENT((c_TMAXRN-c_TMINRN)*(100-QUOTIENT((A112-c_TRNGMAX)*100,c_TRNGMIN-c_TRNGMAX)),-10),0))</f>
        <v>0</v>
      </c>
      <c r="D112" s="7" t="n">
        <f aca="false">IF(((c_TMAP1IN)-(c_TFWD))=0,(0)+QUOTIENT(((c_TMAP1OUT)-(0)),2),QUOTIENT((((A112)-(c_TFWD))*((c_TMAP1OUT)-(0))+IF(((c_TMAP1OUT)-(0))&gt;=0,1,-1)*QUOTIENT(((c_TMAP1IN)-(c_TFWD)),2)),((c_TMAP1IN)-(c_TFWD)))+(0)+IF(((c_TMAP1OUT)-(0))&gt;=0,IF(IF(o_WRAP=1,MOD(((c_TMAP1IN)-(c_TFWD))*(((A112)-(c_TFWD))*((c_TMAP1OUT)-(0))+IF(((c_TMAP1OUT)-(0))&gt;=0,1,-1)*QUOTIENT(((c_TMAP1IN)-(c_TFWD)),2))+2147483648,4294967296)-2147483648,((c_TMAP1IN)-(c_TFWD))*(((A112)-(c_TFWD))*((c_TMAP1OUT)-(0))+IF(((c_TMAP1OUT)-(0))&gt;=0,1,-1)*QUOTIENT(((c_TMAP1IN)-(c_TFWD)),2)))&lt;0,-1,0),IF(IF(o_WRAP=1,MOD(((c_TMAP1IN)-(c_TFWD))*(((A112)-(c_TFWD))*((c_TMAP1OUT)-(0))+IF(((c_TMAP1OUT)-(0))&gt;=0,1,-1)*QUOTIENT(((c_TMAP1IN)-(c_TFWD)),2))+2147483648,4294967296)-2147483648,((c_TMAP1IN)-(c_TFWD))*(((A112)-(c_TFWD))*((c_TMAP1OUT)-(0))+IF(((c_TMAP1OUT)-(0))&gt;=0,1,-1)*QUOTIENT(((c_TMAP1IN)-(c_TFWD)),2)))&gt;=0,1,0)))</f>
        <v>75</v>
      </c>
      <c r="E112" s="7" t="n">
        <f aca="false">IF(((c_TMAP2IN)-(c_TMAP1IN))=0,(c_TMAP1OUT)+QUOTIENT(((c_TMAP2OUT)-(c_TMAP1OUT)),2),QUOTIENT((((A112)-(c_TMAP1IN))*((c_TMAP2OUT)-(c_TMAP1OUT))+IF(((c_TMAP2OUT)-(c_TMAP1OUT))&gt;=0,1,-1)*QUOTIENT(((c_TMAP2IN)-(c_TMAP1IN)),2)),((c_TMAP2IN)-(c_TMAP1IN)))+(c_TMAP1OUT)+IF(((c_TMAP2OUT)-(c_TMAP1OUT))&gt;=0,IF(IF(o_WRAP=1,MOD(((c_TMAP2IN)-(c_TMAP1IN))*(((A112)-(c_TMAP1IN))*((c_TMAP2OUT)-(c_TMAP1OUT))+IF(((c_TMAP2OUT)-(c_TMAP1OUT))&gt;=0,1,-1)*QUOTIENT(((c_TMAP2IN)-(c_TMAP1IN)),2))+2147483648,4294967296)-2147483648,((c_TMAP2IN)-(c_TMAP1IN))*(((A112)-(c_TMAP1IN))*((c_TMAP2OUT)-(c_TMAP1OUT))+IF(((c_TMAP2OUT)-(c_TMAP1OUT))&gt;=0,1,-1)*QUOTIENT(((c_TMAP2IN)-(c_TMAP1IN)),2)))&lt;0,-1,0),IF(IF(o_WRAP=1,MOD(((c_TMAP2IN)-(c_TMAP1IN))*(((A112)-(c_TMAP1IN))*((c_TMAP2OUT)-(c_TMAP1OUT))+IF(((c_TMAP2OUT)-(c_TMAP1OUT))&gt;=0,1,-1)*QUOTIENT(((c_TMAP2IN)-(c_TMAP1IN)),2))+2147483648,4294967296)-2147483648,((c_TMAP2IN)-(c_TMAP1IN))*(((A112)-(c_TMAP1IN))*((c_TMAP2OUT)-(c_TMAP1OUT))+IF(((c_TMAP2OUT)-(c_TMAP1OUT))&gt;=0,1,-1)*QUOTIENT(((c_TMAP2IN)-(c_TMAP1IN)),2)))&gt;=0,1,0)))</f>
        <v>73</v>
      </c>
      <c r="F112" s="7" t="n">
        <f aca="false">IF(((c_TMAP3IN)-(c_TMAP2IN))=0,(c_TMAP2OUT)+QUOTIENT(((c_TMAP3OUT)-(c_TMAP2OUT)),2),QUOTIENT((((A112)-(c_TMAP2IN))*((c_TMAP3OUT)-(c_TMAP2OUT))+IF(((c_TMAP3OUT)-(c_TMAP2OUT))&gt;=0,1,-1)*QUOTIENT(((c_TMAP3IN)-(c_TMAP2IN)),2)),((c_TMAP3IN)-(c_TMAP2IN)))+(c_TMAP2OUT)+IF(((c_TMAP3OUT)-(c_TMAP2OUT))&gt;=0,IF(IF(o_WRAP=1,MOD(((c_TMAP3IN)-(c_TMAP2IN))*(((A112)-(c_TMAP2IN))*((c_TMAP3OUT)-(c_TMAP2OUT))+IF(((c_TMAP3OUT)-(c_TMAP2OUT))&gt;=0,1,-1)*QUOTIENT(((c_TMAP3IN)-(c_TMAP2IN)),2))+2147483648,4294967296)-2147483648,((c_TMAP3IN)-(c_TMAP2IN))*(((A112)-(c_TMAP2IN))*((c_TMAP3OUT)-(c_TMAP2OUT))+IF(((c_TMAP3OUT)-(c_TMAP2OUT))&gt;=0,1,-1)*QUOTIENT(((c_TMAP3IN)-(c_TMAP2IN)),2)))&lt;0,-1,0),IF(IF(o_WRAP=1,MOD(((c_TMAP3IN)-(c_TMAP2IN))*(((A112)-(c_TMAP2IN))*((c_TMAP3OUT)-(c_TMAP2OUT))+IF(((c_TMAP3OUT)-(c_TMAP2OUT))&gt;=0,1,-1)*QUOTIENT(((c_TMAP3IN)-(c_TMAP2IN)),2))+2147483648,4294967296)-2147483648,((c_TMAP3IN)-(c_TMAP2IN))*(((A112)-(c_TMAP2IN))*((c_TMAP3OUT)-(c_TMAP2OUT))+IF(((c_TMAP3OUT)-(c_TMAP2OUT))&gt;=0,1,-1)*QUOTIENT(((c_TMAP3IN)-(c_TMAP2IN)),2)))&gt;=0,1,0)))</f>
        <v>30</v>
      </c>
      <c r="G112" s="7" t="n">
        <f aca="false">IF(((1000)-(c_TMAP3IN))=0,(c_TMAP3OUT)+QUOTIENT(((1000)-(c_TMAP3OUT)),2),QUOTIENT((((A112)-(c_TMAP3IN))*((1000)-(c_TMAP3OUT))+IF(((1000)-(c_TMAP3OUT))&gt;=0,1,-1)*QUOTIENT(((1000)-(c_TMAP3IN)),2)),((1000)-(c_TMAP3IN)))+(c_TMAP3OUT)+IF(((1000)-(c_TMAP3OUT))&gt;=0,IF(IF(o_WRAP=1,MOD(((1000)-(c_TMAP3IN))*(((A112)-(c_TMAP3IN))*((1000)-(c_TMAP3OUT))+IF(((1000)-(c_TMAP3OUT))&gt;=0,1,-1)*QUOTIENT(((1000)-(c_TMAP3IN)),2))+2147483648,4294967296)-2147483648,((1000)-(c_TMAP3IN))*(((A112)-(c_TMAP3IN))*((1000)-(c_TMAP3OUT))+IF(((1000)-(c_TMAP3OUT))&gt;=0,1,-1)*QUOTIENT(((1000)-(c_TMAP3IN)),2)))&lt;0,-1,0),IF(IF(o_WRAP=1,MOD(((1000)-(c_TMAP3IN))*(((A112)-(c_TMAP3IN))*((1000)-(c_TMAP3OUT))+IF(((1000)-(c_TMAP3OUT))&gt;=0,1,-1)*QUOTIENT(((1000)-(c_TMAP3IN)),2))+2147483648,4294967296)-2147483648,((1000)-(c_TMAP3IN))*(((A112)-(c_TMAP3IN))*((1000)-(c_TMAP3OUT))+IF(((1000)-(c_TMAP3OUT))&gt;=0,1,-1)*QUOTIENT(((1000)-(c_TMAP3IN)),2)))&gt;=0,1,0)))</f>
        <v>-99</v>
      </c>
      <c r="H112" s="7" t="str">
        <f aca="false">IF(A112&gt;=c_TFWD,IF(AND(A112&gt;=c_TMAP3IN,c_TMAP3IN&lt;1000),"Seg4 map3-100%",IF(AND(A112&gt;=c_TMAP2IN,c_TMAP3IN&gt;c_TMAP2IN),"Seg3 map2-map3",IF(AND(A112&gt;=c_TMAP1IN,c_TMAP2IN&gt;c_TMAP1IN),"Seg2 map1-map2","Seg1 TFWD-map1"))),IF(AND(A112=0,c_TCREEP&gt;0),"Creep",IF(AND(A112&lt;=c_TRNGMIN,A112&gt;=c_TRNGMAX,c_TRNGMIN-c_TRNGMAX&lt;&gt;0),"Regen ramp","Coast (0)")))</f>
        <v>Seg2 map1-map2</v>
      </c>
      <c r="I112" s="7" t="n">
        <f aca="false">IF(A112&gt;=c_TFWD,IF(AND(A112&gt;=c_TMAP3IN,c_TMAP3IN&lt;1000),G112,IF(AND(A112&gt;=c_TMAP2IN,c_TMAP3IN&gt;c_TMAP2IN),F112,IF(AND(A112&gt;=c_TMAP1IN,c_TMAP2IN&gt;c_TMAP1IN),E112,D112))),C112)</f>
        <v>73</v>
      </c>
      <c r="J112" s="7" t="str">
        <f aca="false">IF(I112&lt;-1090,"TOO LOW",IF(I112&gt;1090,"TOO HIGH",""))</f>
        <v/>
      </c>
      <c r="K112" s="15" t="n">
        <f aca="false">IF(J112&lt;&gt;"",0,IF(I112&gt;979,1000,I112))</f>
        <v>73</v>
      </c>
      <c r="L112" s="7" t="n">
        <f aca="false">K112/10</f>
        <v>7.3</v>
      </c>
    </row>
    <row r="113" customFormat="false" ht="15" hidden="false" customHeight="false" outlineLevel="0" collapsed="false">
      <c r="A113" s="7" t="n">
        <v>108</v>
      </c>
      <c r="B113" s="7" t="n">
        <f aca="false">A113/10</f>
        <v>10.8</v>
      </c>
      <c r="C113" s="7" t="n">
        <f aca="false">IF(AND(A113=0,c_TCREEP&gt;0),10*c_TCREEP,IF(AND(A113&lt;=c_TRNGMIN,A113&gt;=c_TRNGMAX,c_TRNGMIN-c_TRNGMAX&lt;&gt;0),-10*c_TMINRN+QUOTIENT((c_TMAXRN-c_TMINRN)*(100-QUOTIENT((A113-c_TRNGMAX)*100,c_TRNGMIN-c_TRNGMAX)),-10),0))</f>
        <v>0</v>
      </c>
      <c r="D113" s="7" t="n">
        <f aca="false">IF(((c_TMAP1IN)-(c_TFWD))=0,(0)+QUOTIENT(((c_TMAP1OUT)-(0)),2),QUOTIENT((((A113)-(c_TFWD))*((c_TMAP1OUT)-(0))+IF(((c_TMAP1OUT)-(0))&gt;=0,1,-1)*QUOTIENT(((c_TMAP1IN)-(c_TFWD)),2)),((c_TMAP1IN)-(c_TFWD)))+(0)+IF(((c_TMAP1OUT)-(0))&gt;=0,IF(IF(o_WRAP=1,MOD(((c_TMAP1IN)-(c_TFWD))*(((A113)-(c_TFWD))*((c_TMAP1OUT)-(0))+IF(((c_TMAP1OUT)-(0))&gt;=0,1,-1)*QUOTIENT(((c_TMAP1IN)-(c_TFWD)),2))+2147483648,4294967296)-2147483648,((c_TMAP1IN)-(c_TFWD))*(((A113)-(c_TFWD))*((c_TMAP1OUT)-(0))+IF(((c_TMAP1OUT)-(0))&gt;=0,1,-1)*QUOTIENT(((c_TMAP1IN)-(c_TFWD)),2)))&lt;0,-1,0),IF(IF(o_WRAP=1,MOD(((c_TMAP1IN)-(c_TFWD))*(((A113)-(c_TFWD))*((c_TMAP1OUT)-(0))+IF(((c_TMAP1OUT)-(0))&gt;=0,1,-1)*QUOTIENT(((c_TMAP1IN)-(c_TFWD)),2))+2147483648,4294967296)-2147483648,((c_TMAP1IN)-(c_TFWD))*(((A113)-(c_TFWD))*((c_TMAP1OUT)-(0))+IF(((c_TMAP1OUT)-(0))&gt;=0,1,-1)*QUOTIENT(((c_TMAP1IN)-(c_TFWD)),2)))&gt;=0,1,0)))</f>
        <v>76</v>
      </c>
      <c r="E113" s="7" t="n">
        <f aca="false">IF(((c_TMAP2IN)-(c_TMAP1IN))=0,(c_TMAP1OUT)+QUOTIENT(((c_TMAP2OUT)-(c_TMAP1OUT)),2),QUOTIENT((((A113)-(c_TMAP1IN))*((c_TMAP2OUT)-(c_TMAP1OUT))+IF(((c_TMAP2OUT)-(c_TMAP1OUT))&gt;=0,1,-1)*QUOTIENT(((c_TMAP2IN)-(c_TMAP1IN)),2)),((c_TMAP2IN)-(c_TMAP1IN)))+(c_TMAP1OUT)+IF(((c_TMAP2OUT)-(c_TMAP1OUT))&gt;=0,IF(IF(o_WRAP=1,MOD(((c_TMAP2IN)-(c_TMAP1IN))*(((A113)-(c_TMAP1IN))*((c_TMAP2OUT)-(c_TMAP1OUT))+IF(((c_TMAP2OUT)-(c_TMAP1OUT))&gt;=0,1,-1)*QUOTIENT(((c_TMAP2IN)-(c_TMAP1IN)),2))+2147483648,4294967296)-2147483648,((c_TMAP2IN)-(c_TMAP1IN))*(((A113)-(c_TMAP1IN))*((c_TMAP2OUT)-(c_TMAP1OUT))+IF(((c_TMAP2OUT)-(c_TMAP1OUT))&gt;=0,1,-1)*QUOTIENT(((c_TMAP2IN)-(c_TMAP1IN)),2)))&lt;0,-1,0),IF(IF(o_WRAP=1,MOD(((c_TMAP2IN)-(c_TMAP1IN))*(((A113)-(c_TMAP1IN))*((c_TMAP2OUT)-(c_TMAP1OUT))+IF(((c_TMAP2OUT)-(c_TMAP1OUT))&gt;=0,1,-1)*QUOTIENT(((c_TMAP2IN)-(c_TMAP1IN)),2))+2147483648,4294967296)-2147483648,((c_TMAP2IN)-(c_TMAP1IN))*(((A113)-(c_TMAP1IN))*((c_TMAP2OUT)-(c_TMAP1OUT))+IF(((c_TMAP2OUT)-(c_TMAP1OUT))&gt;=0,1,-1)*QUOTIENT(((c_TMAP2IN)-(c_TMAP1IN)),2)))&gt;=0,1,0)))</f>
        <v>73</v>
      </c>
      <c r="F113" s="7" t="n">
        <f aca="false">IF(((c_TMAP3IN)-(c_TMAP2IN))=0,(c_TMAP2OUT)+QUOTIENT(((c_TMAP3OUT)-(c_TMAP2OUT)),2),QUOTIENT((((A113)-(c_TMAP2IN))*((c_TMAP3OUT)-(c_TMAP2OUT))+IF(((c_TMAP3OUT)-(c_TMAP2OUT))&gt;=0,1,-1)*QUOTIENT(((c_TMAP3IN)-(c_TMAP2IN)),2)),((c_TMAP3IN)-(c_TMAP2IN)))+(c_TMAP2OUT)+IF(((c_TMAP3OUT)-(c_TMAP2OUT))&gt;=0,IF(IF(o_WRAP=1,MOD(((c_TMAP3IN)-(c_TMAP2IN))*(((A113)-(c_TMAP2IN))*((c_TMAP3OUT)-(c_TMAP2OUT))+IF(((c_TMAP3OUT)-(c_TMAP2OUT))&gt;=0,1,-1)*QUOTIENT(((c_TMAP3IN)-(c_TMAP2IN)),2))+2147483648,4294967296)-2147483648,((c_TMAP3IN)-(c_TMAP2IN))*(((A113)-(c_TMAP2IN))*((c_TMAP3OUT)-(c_TMAP2OUT))+IF(((c_TMAP3OUT)-(c_TMAP2OUT))&gt;=0,1,-1)*QUOTIENT(((c_TMAP3IN)-(c_TMAP2IN)),2)))&lt;0,-1,0),IF(IF(o_WRAP=1,MOD(((c_TMAP3IN)-(c_TMAP2IN))*(((A113)-(c_TMAP2IN))*((c_TMAP3OUT)-(c_TMAP2OUT))+IF(((c_TMAP3OUT)-(c_TMAP2OUT))&gt;=0,1,-1)*QUOTIENT(((c_TMAP3IN)-(c_TMAP2IN)),2))+2147483648,4294967296)-2147483648,((c_TMAP3IN)-(c_TMAP2IN))*(((A113)-(c_TMAP2IN))*((c_TMAP3OUT)-(c_TMAP2OUT))+IF(((c_TMAP3OUT)-(c_TMAP2OUT))&gt;=0,1,-1)*QUOTIENT(((c_TMAP3IN)-(c_TMAP2IN)),2)))&gt;=0,1,0)))</f>
        <v>31</v>
      </c>
      <c r="G113" s="7" t="n">
        <f aca="false">IF(((1000)-(c_TMAP3IN))=0,(c_TMAP3OUT)+QUOTIENT(((1000)-(c_TMAP3OUT)),2),QUOTIENT((((A113)-(c_TMAP3IN))*((1000)-(c_TMAP3OUT))+IF(((1000)-(c_TMAP3OUT))&gt;=0,1,-1)*QUOTIENT(((1000)-(c_TMAP3IN)),2)),((1000)-(c_TMAP3IN)))+(c_TMAP3OUT)+IF(((1000)-(c_TMAP3OUT))&gt;=0,IF(IF(o_WRAP=1,MOD(((1000)-(c_TMAP3IN))*(((A113)-(c_TMAP3IN))*((1000)-(c_TMAP3OUT))+IF(((1000)-(c_TMAP3OUT))&gt;=0,1,-1)*QUOTIENT(((1000)-(c_TMAP3IN)),2))+2147483648,4294967296)-2147483648,((1000)-(c_TMAP3IN))*(((A113)-(c_TMAP3IN))*((1000)-(c_TMAP3OUT))+IF(((1000)-(c_TMAP3OUT))&gt;=0,1,-1)*QUOTIENT(((1000)-(c_TMAP3IN)),2)))&lt;0,-1,0),IF(IF(o_WRAP=1,MOD(((1000)-(c_TMAP3IN))*(((A113)-(c_TMAP3IN))*((1000)-(c_TMAP3OUT))+IF(((1000)-(c_TMAP3OUT))&gt;=0,1,-1)*QUOTIENT(((1000)-(c_TMAP3IN)),2))+2147483648,4294967296)-2147483648,((1000)-(c_TMAP3IN))*(((A113)-(c_TMAP3IN))*((1000)-(c_TMAP3OUT))+IF(((1000)-(c_TMAP3OUT))&gt;=0,1,-1)*QUOTIENT(((1000)-(c_TMAP3IN)),2)))&gt;=0,1,0)))</f>
        <v>-98</v>
      </c>
      <c r="H113" s="7" t="str">
        <f aca="false">IF(A113&gt;=c_TFWD,IF(AND(A113&gt;=c_TMAP3IN,c_TMAP3IN&lt;1000),"Seg4 map3-100%",IF(AND(A113&gt;=c_TMAP2IN,c_TMAP3IN&gt;c_TMAP2IN),"Seg3 map2-map3",IF(AND(A113&gt;=c_TMAP1IN,c_TMAP2IN&gt;c_TMAP1IN),"Seg2 map1-map2","Seg1 TFWD-map1"))),IF(AND(A113=0,c_TCREEP&gt;0),"Creep",IF(AND(A113&lt;=c_TRNGMIN,A113&gt;=c_TRNGMAX,c_TRNGMIN-c_TRNGMAX&lt;&gt;0),"Regen ramp","Coast (0)")))</f>
        <v>Seg2 map1-map2</v>
      </c>
      <c r="I113" s="7" t="n">
        <f aca="false">IF(A113&gt;=c_TFWD,IF(AND(A113&gt;=c_TMAP3IN,c_TMAP3IN&lt;1000),G113,IF(AND(A113&gt;=c_TMAP2IN,c_TMAP3IN&gt;c_TMAP2IN),F113,IF(AND(A113&gt;=c_TMAP1IN,c_TMAP2IN&gt;c_TMAP1IN),E113,D113))),C113)</f>
        <v>73</v>
      </c>
      <c r="J113" s="7" t="str">
        <f aca="false">IF(I113&lt;-1090,"TOO LOW",IF(I113&gt;1090,"TOO HIGH",""))</f>
        <v/>
      </c>
      <c r="K113" s="15" t="n">
        <f aca="false">IF(J113&lt;&gt;"",0,IF(I113&gt;979,1000,I113))</f>
        <v>73</v>
      </c>
      <c r="L113" s="7" t="n">
        <f aca="false">K113/10</f>
        <v>7.3</v>
      </c>
    </row>
    <row r="114" customFormat="false" ht="15" hidden="false" customHeight="false" outlineLevel="0" collapsed="false">
      <c r="A114" s="7" t="n">
        <v>109</v>
      </c>
      <c r="B114" s="7" t="n">
        <f aca="false">A114/10</f>
        <v>10.9</v>
      </c>
      <c r="C114" s="7" t="n">
        <f aca="false">IF(AND(A114=0,c_TCREEP&gt;0),10*c_TCREEP,IF(AND(A114&lt;=c_TRNGMIN,A114&gt;=c_TRNGMAX,c_TRNGMIN-c_TRNGMAX&lt;&gt;0),-10*c_TMINRN+QUOTIENT((c_TMAXRN-c_TMINRN)*(100-QUOTIENT((A114-c_TRNGMAX)*100,c_TRNGMIN-c_TRNGMAX)),-10),0))</f>
        <v>0</v>
      </c>
      <c r="D114" s="7" t="n">
        <f aca="false">IF(((c_TMAP1IN)-(c_TFWD))=0,(0)+QUOTIENT(((c_TMAP1OUT)-(0)),2),QUOTIENT((((A114)-(c_TFWD))*((c_TMAP1OUT)-(0))+IF(((c_TMAP1OUT)-(0))&gt;=0,1,-1)*QUOTIENT(((c_TMAP1IN)-(c_TFWD)),2)),((c_TMAP1IN)-(c_TFWD)))+(0)+IF(((c_TMAP1OUT)-(0))&gt;=0,IF(IF(o_WRAP=1,MOD(((c_TMAP1IN)-(c_TFWD))*(((A114)-(c_TFWD))*((c_TMAP1OUT)-(0))+IF(((c_TMAP1OUT)-(0))&gt;=0,1,-1)*QUOTIENT(((c_TMAP1IN)-(c_TFWD)),2))+2147483648,4294967296)-2147483648,((c_TMAP1IN)-(c_TFWD))*(((A114)-(c_TFWD))*((c_TMAP1OUT)-(0))+IF(((c_TMAP1OUT)-(0))&gt;=0,1,-1)*QUOTIENT(((c_TMAP1IN)-(c_TFWD)),2)))&lt;0,-1,0),IF(IF(o_WRAP=1,MOD(((c_TMAP1IN)-(c_TFWD))*(((A114)-(c_TFWD))*((c_TMAP1OUT)-(0))+IF(((c_TMAP1OUT)-(0))&gt;=0,1,-1)*QUOTIENT(((c_TMAP1IN)-(c_TFWD)),2))+2147483648,4294967296)-2147483648,((c_TMAP1IN)-(c_TFWD))*(((A114)-(c_TFWD))*((c_TMAP1OUT)-(0))+IF(((c_TMAP1OUT)-(0))&gt;=0,1,-1)*QUOTIENT(((c_TMAP1IN)-(c_TFWD)),2)))&gt;=0,1,0)))</f>
        <v>77</v>
      </c>
      <c r="E114" s="7" t="n">
        <f aca="false">IF(((c_TMAP2IN)-(c_TMAP1IN))=0,(c_TMAP1OUT)+QUOTIENT(((c_TMAP2OUT)-(c_TMAP1OUT)),2),QUOTIENT((((A114)-(c_TMAP1IN))*((c_TMAP2OUT)-(c_TMAP1OUT))+IF(((c_TMAP2OUT)-(c_TMAP1OUT))&gt;=0,1,-1)*QUOTIENT(((c_TMAP2IN)-(c_TMAP1IN)),2)),((c_TMAP2IN)-(c_TMAP1IN)))+(c_TMAP1OUT)+IF(((c_TMAP2OUT)-(c_TMAP1OUT))&gt;=0,IF(IF(o_WRAP=1,MOD(((c_TMAP2IN)-(c_TMAP1IN))*(((A114)-(c_TMAP1IN))*((c_TMAP2OUT)-(c_TMAP1OUT))+IF(((c_TMAP2OUT)-(c_TMAP1OUT))&gt;=0,1,-1)*QUOTIENT(((c_TMAP2IN)-(c_TMAP1IN)),2))+2147483648,4294967296)-2147483648,((c_TMAP2IN)-(c_TMAP1IN))*(((A114)-(c_TMAP1IN))*((c_TMAP2OUT)-(c_TMAP1OUT))+IF(((c_TMAP2OUT)-(c_TMAP1OUT))&gt;=0,1,-1)*QUOTIENT(((c_TMAP2IN)-(c_TMAP1IN)),2)))&lt;0,-1,0),IF(IF(o_WRAP=1,MOD(((c_TMAP2IN)-(c_TMAP1IN))*(((A114)-(c_TMAP1IN))*((c_TMAP2OUT)-(c_TMAP1OUT))+IF(((c_TMAP2OUT)-(c_TMAP1OUT))&gt;=0,1,-1)*QUOTIENT(((c_TMAP2IN)-(c_TMAP1IN)),2))+2147483648,4294967296)-2147483648,((c_TMAP2IN)-(c_TMAP1IN))*(((A114)-(c_TMAP1IN))*((c_TMAP2OUT)-(c_TMAP1OUT))+IF(((c_TMAP2OUT)-(c_TMAP1OUT))&gt;=0,1,-1)*QUOTIENT(((c_TMAP2IN)-(c_TMAP1IN)),2)))&gt;=0,1,0)))</f>
        <v>74</v>
      </c>
      <c r="F114" s="7" t="n">
        <f aca="false">IF(((c_TMAP3IN)-(c_TMAP2IN))=0,(c_TMAP2OUT)+QUOTIENT(((c_TMAP3OUT)-(c_TMAP2OUT)),2),QUOTIENT((((A114)-(c_TMAP2IN))*((c_TMAP3OUT)-(c_TMAP2OUT))+IF(((c_TMAP3OUT)-(c_TMAP2OUT))&gt;=0,1,-1)*QUOTIENT(((c_TMAP3IN)-(c_TMAP2IN)),2)),((c_TMAP3IN)-(c_TMAP2IN)))+(c_TMAP2OUT)+IF(((c_TMAP3OUT)-(c_TMAP2OUT))&gt;=0,IF(IF(o_WRAP=1,MOD(((c_TMAP3IN)-(c_TMAP2IN))*(((A114)-(c_TMAP2IN))*((c_TMAP3OUT)-(c_TMAP2OUT))+IF(((c_TMAP3OUT)-(c_TMAP2OUT))&gt;=0,1,-1)*QUOTIENT(((c_TMAP3IN)-(c_TMAP2IN)),2))+2147483648,4294967296)-2147483648,((c_TMAP3IN)-(c_TMAP2IN))*(((A114)-(c_TMAP2IN))*((c_TMAP3OUT)-(c_TMAP2OUT))+IF(((c_TMAP3OUT)-(c_TMAP2OUT))&gt;=0,1,-1)*QUOTIENT(((c_TMAP3IN)-(c_TMAP2IN)),2)))&lt;0,-1,0),IF(IF(o_WRAP=1,MOD(((c_TMAP3IN)-(c_TMAP2IN))*(((A114)-(c_TMAP2IN))*((c_TMAP3OUT)-(c_TMAP2OUT))+IF(((c_TMAP3OUT)-(c_TMAP2OUT))&gt;=0,1,-1)*QUOTIENT(((c_TMAP3IN)-(c_TMAP2IN)),2))+2147483648,4294967296)-2147483648,((c_TMAP3IN)-(c_TMAP2IN))*(((A114)-(c_TMAP2IN))*((c_TMAP3OUT)-(c_TMAP2OUT))+IF(((c_TMAP3OUT)-(c_TMAP2OUT))&gt;=0,1,-1)*QUOTIENT(((c_TMAP3IN)-(c_TMAP2IN)),2)))&gt;=0,1,0)))</f>
        <v>31</v>
      </c>
      <c r="G114" s="7" t="n">
        <f aca="false">IF(((1000)-(c_TMAP3IN))=0,(c_TMAP3OUT)+QUOTIENT(((1000)-(c_TMAP3OUT)),2),QUOTIENT((((A114)-(c_TMAP3IN))*((1000)-(c_TMAP3OUT))+IF(((1000)-(c_TMAP3OUT))&gt;=0,1,-1)*QUOTIENT(((1000)-(c_TMAP3IN)),2)),((1000)-(c_TMAP3IN)))+(c_TMAP3OUT)+IF(((1000)-(c_TMAP3OUT))&gt;=0,IF(IF(o_WRAP=1,MOD(((1000)-(c_TMAP3IN))*(((A114)-(c_TMAP3IN))*((1000)-(c_TMAP3OUT))+IF(((1000)-(c_TMAP3OUT))&gt;=0,1,-1)*QUOTIENT(((1000)-(c_TMAP3IN)),2))+2147483648,4294967296)-2147483648,((1000)-(c_TMAP3IN))*(((A114)-(c_TMAP3IN))*((1000)-(c_TMAP3OUT))+IF(((1000)-(c_TMAP3OUT))&gt;=0,1,-1)*QUOTIENT(((1000)-(c_TMAP3IN)),2)))&lt;0,-1,0),IF(IF(o_WRAP=1,MOD(((1000)-(c_TMAP3IN))*(((A114)-(c_TMAP3IN))*((1000)-(c_TMAP3OUT))+IF(((1000)-(c_TMAP3OUT))&gt;=0,1,-1)*QUOTIENT(((1000)-(c_TMAP3IN)),2))+2147483648,4294967296)-2147483648,((1000)-(c_TMAP3IN))*(((A114)-(c_TMAP3IN))*((1000)-(c_TMAP3OUT))+IF(((1000)-(c_TMAP3OUT))&gt;=0,1,-1)*QUOTIENT(((1000)-(c_TMAP3IN)),2)))&gt;=0,1,0)))</f>
        <v>-97</v>
      </c>
      <c r="H114" s="7" t="str">
        <f aca="false">IF(A114&gt;=c_TFWD,IF(AND(A114&gt;=c_TMAP3IN,c_TMAP3IN&lt;1000),"Seg4 map3-100%",IF(AND(A114&gt;=c_TMAP2IN,c_TMAP3IN&gt;c_TMAP2IN),"Seg3 map2-map3",IF(AND(A114&gt;=c_TMAP1IN,c_TMAP2IN&gt;c_TMAP1IN),"Seg2 map1-map2","Seg1 TFWD-map1"))),IF(AND(A114=0,c_TCREEP&gt;0),"Creep",IF(AND(A114&lt;=c_TRNGMIN,A114&gt;=c_TRNGMAX,c_TRNGMIN-c_TRNGMAX&lt;&gt;0),"Regen ramp","Coast (0)")))</f>
        <v>Seg2 map1-map2</v>
      </c>
      <c r="I114" s="7" t="n">
        <f aca="false">IF(A114&gt;=c_TFWD,IF(AND(A114&gt;=c_TMAP3IN,c_TMAP3IN&lt;1000),G114,IF(AND(A114&gt;=c_TMAP2IN,c_TMAP3IN&gt;c_TMAP2IN),F114,IF(AND(A114&gt;=c_TMAP1IN,c_TMAP2IN&gt;c_TMAP1IN),E114,D114))),C114)</f>
        <v>74</v>
      </c>
      <c r="J114" s="7" t="str">
        <f aca="false">IF(I114&lt;-1090,"TOO LOW",IF(I114&gt;1090,"TOO HIGH",""))</f>
        <v/>
      </c>
      <c r="K114" s="15" t="n">
        <f aca="false">IF(J114&lt;&gt;"",0,IF(I114&gt;979,1000,I114))</f>
        <v>74</v>
      </c>
      <c r="L114" s="7" t="n">
        <f aca="false">K114/10</f>
        <v>7.4</v>
      </c>
    </row>
    <row r="115" customFormat="false" ht="15" hidden="false" customHeight="false" outlineLevel="0" collapsed="false">
      <c r="A115" s="7" t="n">
        <v>110</v>
      </c>
      <c r="B115" s="7" t="n">
        <f aca="false">A115/10</f>
        <v>11</v>
      </c>
      <c r="C115" s="7" t="n">
        <f aca="false">IF(AND(A115=0,c_TCREEP&gt;0),10*c_TCREEP,IF(AND(A115&lt;=c_TRNGMIN,A115&gt;=c_TRNGMAX,c_TRNGMIN-c_TRNGMAX&lt;&gt;0),-10*c_TMINRN+QUOTIENT((c_TMAXRN-c_TMINRN)*(100-QUOTIENT((A115-c_TRNGMAX)*100,c_TRNGMIN-c_TRNGMAX)),-10),0))</f>
        <v>0</v>
      </c>
      <c r="D115" s="7" t="n">
        <f aca="false">IF(((c_TMAP1IN)-(c_TFWD))=0,(0)+QUOTIENT(((c_TMAP1OUT)-(0)),2),QUOTIENT((((A115)-(c_TFWD))*((c_TMAP1OUT)-(0))+IF(((c_TMAP1OUT)-(0))&gt;=0,1,-1)*QUOTIENT(((c_TMAP1IN)-(c_TFWD)),2)),((c_TMAP1IN)-(c_TFWD)))+(0)+IF(((c_TMAP1OUT)-(0))&gt;=0,IF(IF(o_WRAP=1,MOD(((c_TMAP1IN)-(c_TFWD))*(((A115)-(c_TFWD))*((c_TMAP1OUT)-(0))+IF(((c_TMAP1OUT)-(0))&gt;=0,1,-1)*QUOTIENT(((c_TMAP1IN)-(c_TFWD)),2))+2147483648,4294967296)-2147483648,((c_TMAP1IN)-(c_TFWD))*(((A115)-(c_TFWD))*((c_TMAP1OUT)-(0))+IF(((c_TMAP1OUT)-(0))&gt;=0,1,-1)*QUOTIENT(((c_TMAP1IN)-(c_TFWD)),2)))&lt;0,-1,0),IF(IF(o_WRAP=1,MOD(((c_TMAP1IN)-(c_TFWD))*(((A115)-(c_TFWD))*((c_TMAP1OUT)-(0))+IF(((c_TMAP1OUT)-(0))&gt;=0,1,-1)*QUOTIENT(((c_TMAP1IN)-(c_TFWD)),2))+2147483648,4294967296)-2147483648,((c_TMAP1IN)-(c_TFWD))*(((A115)-(c_TFWD))*((c_TMAP1OUT)-(0))+IF(((c_TMAP1OUT)-(0))&gt;=0,1,-1)*QUOTIENT(((c_TMAP1IN)-(c_TFWD)),2)))&gt;=0,1,0)))</f>
        <v>78</v>
      </c>
      <c r="E115" s="7" t="n">
        <f aca="false">IF(((c_TMAP2IN)-(c_TMAP1IN))=0,(c_TMAP1OUT)+QUOTIENT(((c_TMAP2OUT)-(c_TMAP1OUT)),2),QUOTIENT((((A115)-(c_TMAP1IN))*((c_TMAP2OUT)-(c_TMAP1OUT))+IF(((c_TMAP2OUT)-(c_TMAP1OUT))&gt;=0,1,-1)*QUOTIENT(((c_TMAP2IN)-(c_TMAP1IN)),2)),((c_TMAP2IN)-(c_TMAP1IN)))+(c_TMAP1OUT)+IF(((c_TMAP2OUT)-(c_TMAP1OUT))&gt;=0,IF(IF(o_WRAP=1,MOD(((c_TMAP2IN)-(c_TMAP1IN))*(((A115)-(c_TMAP1IN))*((c_TMAP2OUT)-(c_TMAP1OUT))+IF(((c_TMAP2OUT)-(c_TMAP1OUT))&gt;=0,1,-1)*QUOTIENT(((c_TMAP2IN)-(c_TMAP1IN)),2))+2147483648,4294967296)-2147483648,((c_TMAP2IN)-(c_TMAP1IN))*(((A115)-(c_TMAP1IN))*((c_TMAP2OUT)-(c_TMAP1OUT))+IF(((c_TMAP2OUT)-(c_TMAP1OUT))&gt;=0,1,-1)*QUOTIENT(((c_TMAP2IN)-(c_TMAP1IN)),2)))&lt;0,-1,0),IF(IF(o_WRAP=1,MOD(((c_TMAP2IN)-(c_TMAP1IN))*(((A115)-(c_TMAP1IN))*((c_TMAP2OUT)-(c_TMAP1OUT))+IF(((c_TMAP2OUT)-(c_TMAP1OUT))&gt;=0,1,-1)*QUOTIENT(((c_TMAP2IN)-(c_TMAP1IN)),2))+2147483648,4294967296)-2147483648,((c_TMAP2IN)-(c_TMAP1IN))*(((A115)-(c_TMAP1IN))*((c_TMAP2OUT)-(c_TMAP1OUT))+IF(((c_TMAP2OUT)-(c_TMAP1OUT))&gt;=0,1,-1)*QUOTIENT(((c_TMAP2IN)-(c_TMAP1IN)),2)))&gt;=0,1,0)))</f>
        <v>74</v>
      </c>
      <c r="F115" s="7" t="n">
        <f aca="false">IF(((c_TMAP3IN)-(c_TMAP2IN))=0,(c_TMAP2OUT)+QUOTIENT(((c_TMAP3OUT)-(c_TMAP2OUT)),2),QUOTIENT((((A115)-(c_TMAP2IN))*((c_TMAP3OUT)-(c_TMAP2OUT))+IF(((c_TMAP3OUT)-(c_TMAP2OUT))&gt;=0,1,-1)*QUOTIENT(((c_TMAP3IN)-(c_TMAP2IN)),2)),((c_TMAP3IN)-(c_TMAP2IN)))+(c_TMAP2OUT)+IF(((c_TMAP3OUT)-(c_TMAP2OUT))&gt;=0,IF(IF(o_WRAP=1,MOD(((c_TMAP3IN)-(c_TMAP2IN))*(((A115)-(c_TMAP2IN))*((c_TMAP3OUT)-(c_TMAP2OUT))+IF(((c_TMAP3OUT)-(c_TMAP2OUT))&gt;=0,1,-1)*QUOTIENT(((c_TMAP3IN)-(c_TMAP2IN)),2))+2147483648,4294967296)-2147483648,((c_TMAP3IN)-(c_TMAP2IN))*(((A115)-(c_TMAP2IN))*((c_TMAP3OUT)-(c_TMAP2OUT))+IF(((c_TMAP3OUT)-(c_TMAP2OUT))&gt;=0,1,-1)*QUOTIENT(((c_TMAP3IN)-(c_TMAP2IN)),2)))&lt;0,-1,0),IF(IF(o_WRAP=1,MOD(((c_TMAP3IN)-(c_TMAP2IN))*(((A115)-(c_TMAP2IN))*((c_TMAP3OUT)-(c_TMAP2OUT))+IF(((c_TMAP3OUT)-(c_TMAP2OUT))&gt;=0,1,-1)*QUOTIENT(((c_TMAP3IN)-(c_TMAP2IN)),2))+2147483648,4294967296)-2147483648,((c_TMAP3IN)-(c_TMAP2IN))*(((A115)-(c_TMAP2IN))*((c_TMAP3OUT)-(c_TMAP2OUT))+IF(((c_TMAP3OUT)-(c_TMAP2OUT))&gt;=0,1,-1)*QUOTIENT(((c_TMAP3IN)-(c_TMAP2IN)),2)))&gt;=0,1,0)))</f>
        <v>32</v>
      </c>
      <c r="G115" s="7" t="n">
        <f aca="false">IF(((1000)-(c_TMAP3IN))=0,(c_TMAP3OUT)+QUOTIENT(((1000)-(c_TMAP3OUT)),2),QUOTIENT((((A115)-(c_TMAP3IN))*((1000)-(c_TMAP3OUT))+IF(((1000)-(c_TMAP3OUT))&gt;=0,1,-1)*QUOTIENT(((1000)-(c_TMAP3IN)),2)),((1000)-(c_TMAP3IN)))+(c_TMAP3OUT)+IF(((1000)-(c_TMAP3OUT))&gt;=0,IF(IF(o_WRAP=1,MOD(((1000)-(c_TMAP3IN))*(((A115)-(c_TMAP3IN))*((1000)-(c_TMAP3OUT))+IF(((1000)-(c_TMAP3OUT))&gt;=0,1,-1)*QUOTIENT(((1000)-(c_TMAP3IN)),2))+2147483648,4294967296)-2147483648,((1000)-(c_TMAP3IN))*(((A115)-(c_TMAP3IN))*((1000)-(c_TMAP3OUT))+IF(((1000)-(c_TMAP3OUT))&gt;=0,1,-1)*QUOTIENT(((1000)-(c_TMAP3IN)),2)))&lt;0,-1,0),IF(IF(o_WRAP=1,MOD(((1000)-(c_TMAP3IN))*(((A115)-(c_TMAP3IN))*((1000)-(c_TMAP3OUT))+IF(((1000)-(c_TMAP3OUT))&gt;=0,1,-1)*QUOTIENT(((1000)-(c_TMAP3IN)),2))+2147483648,4294967296)-2147483648,((1000)-(c_TMAP3IN))*(((A115)-(c_TMAP3IN))*((1000)-(c_TMAP3OUT))+IF(((1000)-(c_TMAP3OUT))&gt;=0,1,-1)*QUOTIENT(((1000)-(c_TMAP3IN)),2)))&gt;=0,1,0)))</f>
        <v>-95</v>
      </c>
      <c r="H115" s="7" t="str">
        <f aca="false">IF(A115&gt;=c_TFWD,IF(AND(A115&gt;=c_TMAP3IN,c_TMAP3IN&lt;1000),"Seg4 map3-100%",IF(AND(A115&gt;=c_TMAP2IN,c_TMAP3IN&gt;c_TMAP2IN),"Seg3 map2-map3",IF(AND(A115&gt;=c_TMAP1IN,c_TMAP2IN&gt;c_TMAP1IN),"Seg2 map1-map2","Seg1 TFWD-map1"))),IF(AND(A115=0,c_TCREEP&gt;0),"Creep",IF(AND(A115&lt;=c_TRNGMIN,A115&gt;=c_TRNGMAX,c_TRNGMIN-c_TRNGMAX&lt;&gt;0),"Regen ramp","Coast (0)")))</f>
        <v>Seg2 map1-map2</v>
      </c>
      <c r="I115" s="7" t="n">
        <f aca="false">IF(A115&gt;=c_TFWD,IF(AND(A115&gt;=c_TMAP3IN,c_TMAP3IN&lt;1000),G115,IF(AND(A115&gt;=c_TMAP2IN,c_TMAP3IN&gt;c_TMAP2IN),F115,IF(AND(A115&gt;=c_TMAP1IN,c_TMAP2IN&gt;c_TMAP1IN),E115,D115))),C115)</f>
        <v>74</v>
      </c>
      <c r="J115" s="7" t="str">
        <f aca="false">IF(I115&lt;-1090,"TOO LOW",IF(I115&gt;1090,"TOO HIGH",""))</f>
        <v/>
      </c>
      <c r="K115" s="15" t="n">
        <f aca="false">IF(J115&lt;&gt;"",0,IF(I115&gt;979,1000,I115))</f>
        <v>74</v>
      </c>
      <c r="L115" s="7" t="n">
        <f aca="false">K115/10</f>
        <v>7.4</v>
      </c>
    </row>
    <row r="116" customFormat="false" ht="15" hidden="false" customHeight="false" outlineLevel="0" collapsed="false">
      <c r="A116" s="7" t="n">
        <v>111</v>
      </c>
      <c r="B116" s="7" t="n">
        <f aca="false">A116/10</f>
        <v>11.1</v>
      </c>
      <c r="C116" s="7" t="n">
        <f aca="false">IF(AND(A116=0,c_TCREEP&gt;0),10*c_TCREEP,IF(AND(A116&lt;=c_TRNGMIN,A116&gt;=c_TRNGMAX,c_TRNGMIN-c_TRNGMAX&lt;&gt;0),-10*c_TMINRN+QUOTIENT((c_TMAXRN-c_TMINRN)*(100-QUOTIENT((A116-c_TRNGMAX)*100,c_TRNGMIN-c_TRNGMAX)),-10),0))</f>
        <v>0</v>
      </c>
      <c r="D116" s="7" t="n">
        <f aca="false">IF(((c_TMAP1IN)-(c_TFWD))=0,(0)+QUOTIENT(((c_TMAP1OUT)-(0)),2),QUOTIENT((((A116)-(c_TFWD))*((c_TMAP1OUT)-(0))+IF(((c_TMAP1OUT)-(0))&gt;=0,1,-1)*QUOTIENT(((c_TMAP1IN)-(c_TFWD)),2)),((c_TMAP1IN)-(c_TFWD)))+(0)+IF(((c_TMAP1OUT)-(0))&gt;=0,IF(IF(o_WRAP=1,MOD(((c_TMAP1IN)-(c_TFWD))*(((A116)-(c_TFWD))*((c_TMAP1OUT)-(0))+IF(((c_TMAP1OUT)-(0))&gt;=0,1,-1)*QUOTIENT(((c_TMAP1IN)-(c_TFWD)),2))+2147483648,4294967296)-2147483648,((c_TMAP1IN)-(c_TFWD))*(((A116)-(c_TFWD))*((c_TMAP1OUT)-(0))+IF(((c_TMAP1OUT)-(0))&gt;=0,1,-1)*QUOTIENT(((c_TMAP1IN)-(c_TFWD)),2)))&lt;0,-1,0),IF(IF(o_WRAP=1,MOD(((c_TMAP1IN)-(c_TFWD))*(((A116)-(c_TFWD))*((c_TMAP1OUT)-(0))+IF(((c_TMAP1OUT)-(0))&gt;=0,1,-1)*QUOTIENT(((c_TMAP1IN)-(c_TFWD)),2))+2147483648,4294967296)-2147483648,((c_TMAP1IN)-(c_TFWD))*(((A116)-(c_TFWD))*((c_TMAP1OUT)-(0))+IF(((c_TMAP1OUT)-(0))&gt;=0,1,-1)*QUOTIENT(((c_TMAP1IN)-(c_TFWD)),2)))&gt;=0,1,0)))</f>
        <v>79</v>
      </c>
      <c r="E116" s="7" t="n">
        <f aca="false">IF(((c_TMAP2IN)-(c_TMAP1IN))=0,(c_TMAP1OUT)+QUOTIENT(((c_TMAP2OUT)-(c_TMAP1OUT)),2),QUOTIENT((((A116)-(c_TMAP1IN))*((c_TMAP2OUT)-(c_TMAP1OUT))+IF(((c_TMAP2OUT)-(c_TMAP1OUT))&gt;=0,1,-1)*QUOTIENT(((c_TMAP2IN)-(c_TMAP1IN)),2)),((c_TMAP2IN)-(c_TMAP1IN)))+(c_TMAP1OUT)+IF(((c_TMAP2OUT)-(c_TMAP1OUT))&gt;=0,IF(IF(o_WRAP=1,MOD(((c_TMAP2IN)-(c_TMAP1IN))*(((A116)-(c_TMAP1IN))*((c_TMAP2OUT)-(c_TMAP1OUT))+IF(((c_TMAP2OUT)-(c_TMAP1OUT))&gt;=0,1,-1)*QUOTIENT(((c_TMAP2IN)-(c_TMAP1IN)),2))+2147483648,4294967296)-2147483648,((c_TMAP2IN)-(c_TMAP1IN))*(((A116)-(c_TMAP1IN))*((c_TMAP2OUT)-(c_TMAP1OUT))+IF(((c_TMAP2OUT)-(c_TMAP1OUT))&gt;=0,1,-1)*QUOTIENT(((c_TMAP2IN)-(c_TMAP1IN)),2)))&lt;0,-1,0),IF(IF(o_WRAP=1,MOD(((c_TMAP2IN)-(c_TMAP1IN))*(((A116)-(c_TMAP1IN))*((c_TMAP2OUT)-(c_TMAP1OUT))+IF(((c_TMAP2OUT)-(c_TMAP1OUT))&gt;=0,1,-1)*QUOTIENT(((c_TMAP2IN)-(c_TMAP1IN)),2))+2147483648,4294967296)-2147483648,((c_TMAP2IN)-(c_TMAP1IN))*(((A116)-(c_TMAP1IN))*((c_TMAP2OUT)-(c_TMAP1OUT))+IF(((c_TMAP2OUT)-(c_TMAP1OUT))&gt;=0,1,-1)*QUOTIENT(((c_TMAP2IN)-(c_TMAP1IN)),2)))&gt;=0,1,0)))</f>
        <v>74</v>
      </c>
      <c r="F116" s="7" t="n">
        <f aca="false">IF(((c_TMAP3IN)-(c_TMAP2IN))=0,(c_TMAP2OUT)+QUOTIENT(((c_TMAP3OUT)-(c_TMAP2OUT)),2),QUOTIENT((((A116)-(c_TMAP2IN))*((c_TMAP3OUT)-(c_TMAP2OUT))+IF(((c_TMAP3OUT)-(c_TMAP2OUT))&gt;=0,1,-1)*QUOTIENT(((c_TMAP3IN)-(c_TMAP2IN)),2)),((c_TMAP3IN)-(c_TMAP2IN)))+(c_TMAP2OUT)+IF(((c_TMAP3OUT)-(c_TMAP2OUT))&gt;=0,IF(IF(o_WRAP=1,MOD(((c_TMAP3IN)-(c_TMAP2IN))*(((A116)-(c_TMAP2IN))*((c_TMAP3OUT)-(c_TMAP2OUT))+IF(((c_TMAP3OUT)-(c_TMAP2OUT))&gt;=0,1,-1)*QUOTIENT(((c_TMAP3IN)-(c_TMAP2IN)),2))+2147483648,4294967296)-2147483648,((c_TMAP3IN)-(c_TMAP2IN))*(((A116)-(c_TMAP2IN))*((c_TMAP3OUT)-(c_TMAP2OUT))+IF(((c_TMAP3OUT)-(c_TMAP2OUT))&gt;=0,1,-1)*QUOTIENT(((c_TMAP3IN)-(c_TMAP2IN)),2)))&lt;0,-1,0),IF(IF(o_WRAP=1,MOD(((c_TMAP3IN)-(c_TMAP2IN))*(((A116)-(c_TMAP2IN))*((c_TMAP3OUT)-(c_TMAP2OUT))+IF(((c_TMAP3OUT)-(c_TMAP2OUT))&gt;=0,1,-1)*QUOTIENT(((c_TMAP3IN)-(c_TMAP2IN)),2))+2147483648,4294967296)-2147483648,((c_TMAP3IN)-(c_TMAP2IN))*(((A116)-(c_TMAP2IN))*((c_TMAP3OUT)-(c_TMAP2OUT))+IF(((c_TMAP3OUT)-(c_TMAP2OUT))&gt;=0,1,-1)*QUOTIENT(((c_TMAP3IN)-(c_TMAP2IN)),2)))&gt;=0,1,0)))</f>
        <v>33</v>
      </c>
      <c r="G116" s="7" t="n">
        <f aca="false">IF(((1000)-(c_TMAP3IN))=0,(c_TMAP3OUT)+QUOTIENT(((1000)-(c_TMAP3OUT)),2),QUOTIENT((((A116)-(c_TMAP3IN))*((1000)-(c_TMAP3OUT))+IF(((1000)-(c_TMAP3OUT))&gt;=0,1,-1)*QUOTIENT(((1000)-(c_TMAP3IN)),2)),((1000)-(c_TMAP3IN)))+(c_TMAP3OUT)+IF(((1000)-(c_TMAP3OUT))&gt;=0,IF(IF(o_WRAP=1,MOD(((1000)-(c_TMAP3IN))*(((A116)-(c_TMAP3IN))*((1000)-(c_TMAP3OUT))+IF(((1000)-(c_TMAP3OUT))&gt;=0,1,-1)*QUOTIENT(((1000)-(c_TMAP3IN)),2))+2147483648,4294967296)-2147483648,((1000)-(c_TMAP3IN))*(((A116)-(c_TMAP3IN))*((1000)-(c_TMAP3OUT))+IF(((1000)-(c_TMAP3OUT))&gt;=0,1,-1)*QUOTIENT(((1000)-(c_TMAP3IN)),2)))&lt;0,-1,0),IF(IF(o_WRAP=1,MOD(((1000)-(c_TMAP3IN))*(((A116)-(c_TMAP3IN))*((1000)-(c_TMAP3OUT))+IF(((1000)-(c_TMAP3OUT))&gt;=0,1,-1)*QUOTIENT(((1000)-(c_TMAP3IN)),2))+2147483648,4294967296)-2147483648,((1000)-(c_TMAP3IN))*(((A116)-(c_TMAP3IN))*((1000)-(c_TMAP3OUT))+IF(((1000)-(c_TMAP3OUT))&gt;=0,1,-1)*QUOTIENT(((1000)-(c_TMAP3IN)),2)))&gt;=0,1,0)))</f>
        <v>-94</v>
      </c>
      <c r="H116" s="7" t="str">
        <f aca="false">IF(A116&gt;=c_TFWD,IF(AND(A116&gt;=c_TMAP3IN,c_TMAP3IN&lt;1000),"Seg4 map3-100%",IF(AND(A116&gt;=c_TMAP2IN,c_TMAP3IN&gt;c_TMAP2IN),"Seg3 map2-map3",IF(AND(A116&gt;=c_TMAP1IN,c_TMAP2IN&gt;c_TMAP1IN),"Seg2 map1-map2","Seg1 TFWD-map1"))),IF(AND(A116=0,c_TCREEP&gt;0),"Creep",IF(AND(A116&lt;=c_TRNGMIN,A116&gt;=c_TRNGMAX,c_TRNGMIN-c_TRNGMAX&lt;&gt;0),"Regen ramp","Coast (0)")))</f>
        <v>Seg2 map1-map2</v>
      </c>
      <c r="I116" s="7" t="n">
        <f aca="false">IF(A116&gt;=c_TFWD,IF(AND(A116&gt;=c_TMAP3IN,c_TMAP3IN&lt;1000),G116,IF(AND(A116&gt;=c_TMAP2IN,c_TMAP3IN&gt;c_TMAP2IN),F116,IF(AND(A116&gt;=c_TMAP1IN,c_TMAP2IN&gt;c_TMAP1IN),E116,D116))),C116)</f>
        <v>74</v>
      </c>
      <c r="J116" s="7" t="str">
        <f aca="false">IF(I116&lt;-1090,"TOO LOW",IF(I116&gt;1090,"TOO HIGH",""))</f>
        <v/>
      </c>
      <c r="K116" s="15" t="n">
        <f aca="false">IF(J116&lt;&gt;"",0,IF(I116&gt;979,1000,I116))</f>
        <v>74</v>
      </c>
      <c r="L116" s="7" t="n">
        <f aca="false">K116/10</f>
        <v>7.4</v>
      </c>
    </row>
    <row r="117" customFormat="false" ht="15" hidden="false" customHeight="false" outlineLevel="0" collapsed="false">
      <c r="A117" s="7" t="n">
        <v>112</v>
      </c>
      <c r="B117" s="7" t="n">
        <f aca="false">A117/10</f>
        <v>11.2</v>
      </c>
      <c r="C117" s="7" t="n">
        <f aca="false">IF(AND(A117=0,c_TCREEP&gt;0),10*c_TCREEP,IF(AND(A117&lt;=c_TRNGMIN,A117&gt;=c_TRNGMAX,c_TRNGMIN-c_TRNGMAX&lt;&gt;0),-10*c_TMINRN+QUOTIENT((c_TMAXRN-c_TMINRN)*(100-QUOTIENT((A117-c_TRNGMAX)*100,c_TRNGMIN-c_TRNGMAX)),-10),0))</f>
        <v>0</v>
      </c>
      <c r="D117" s="7" t="n">
        <f aca="false">IF(((c_TMAP1IN)-(c_TFWD))=0,(0)+QUOTIENT(((c_TMAP1OUT)-(0)),2),QUOTIENT((((A117)-(c_TFWD))*((c_TMAP1OUT)-(0))+IF(((c_TMAP1OUT)-(0))&gt;=0,1,-1)*QUOTIENT(((c_TMAP1IN)-(c_TFWD)),2)),((c_TMAP1IN)-(c_TFWD)))+(0)+IF(((c_TMAP1OUT)-(0))&gt;=0,IF(IF(o_WRAP=1,MOD(((c_TMAP1IN)-(c_TFWD))*(((A117)-(c_TFWD))*((c_TMAP1OUT)-(0))+IF(((c_TMAP1OUT)-(0))&gt;=0,1,-1)*QUOTIENT(((c_TMAP1IN)-(c_TFWD)),2))+2147483648,4294967296)-2147483648,((c_TMAP1IN)-(c_TFWD))*(((A117)-(c_TFWD))*((c_TMAP1OUT)-(0))+IF(((c_TMAP1OUT)-(0))&gt;=0,1,-1)*QUOTIENT(((c_TMAP1IN)-(c_TFWD)),2)))&lt;0,-1,0),IF(IF(o_WRAP=1,MOD(((c_TMAP1IN)-(c_TFWD))*(((A117)-(c_TFWD))*((c_TMAP1OUT)-(0))+IF(((c_TMAP1OUT)-(0))&gt;=0,1,-1)*QUOTIENT(((c_TMAP1IN)-(c_TFWD)),2))+2147483648,4294967296)-2147483648,((c_TMAP1IN)-(c_TFWD))*(((A117)-(c_TFWD))*((c_TMAP1OUT)-(0))+IF(((c_TMAP1OUT)-(0))&gt;=0,1,-1)*QUOTIENT(((c_TMAP1IN)-(c_TFWD)),2)))&gt;=0,1,0)))</f>
        <v>79</v>
      </c>
      <c r="E117" s="7" t="n">
        <f aca="false">IF(((c_TMAP2IN)-(c_TMAP1IN))=0,(c_TMAP1OUT)+QUOTIENT(((c_TMAP2OUT)-(c_TMAP1OUT)),2),QUOTIENT((((A117)-(c_TMAP1IN))*((c_TMAP2OUT)-(c_TMAP1OUT))+IF(((c_TMAP2OUT)-(c_TMAP1OUT))&gt;=0,1,-1)*QUOTIENT(((c_TMAP2IN)-(c_TMAP1IN)),2)),((c_TMAP2IN)-(c_TMAP1IN)))+(c_TMAP1OUT)+IF(((c_TMAP2OUT)-(c_TMAP1OUT))&gt;=0,IF(IF(o_WRAP=1,MOD(((c_TMAP2IN)-(c_TMAP1IN))*(((A117)-(c_TMAP1IN))*((c_TMAP2OUT)-(c_TMAP1OUT))+IF(((c_TMAP2OUT)-(c_TMAP1OUT))&gt;=0,1,-1)*QUOTIENT(((c_TMAP2IN)-(c_TMAP1IN)),2))+2147483648,4294967296)-2147483648,((c_TMAP2IN)-(c_TMAP1IN))*(((A117)-(c_TMAP1IN))*((c_TMAP2OUT)-(c_TMAP1OUT))+IF(((c_TMAP2OUT)-(c_TMAP1OUT))&gt;=0,1,-1)*QUOTIENT(((c_TMAP2IN)-(c_TMAP1IN)),2)))&lt;0,-1,0),IF(IF(o_WRAP=1,MOD(((c_TMAP2IN)-(c_TMAP1IN))*(((A117)-(c_TMAP1IN))*((c_TMAP2OUT)-(c_TMAP1OUT))+IF(((c_TMAP2OUT)-(c_TMAP1OUT))&gt;=0,1,-1)*QUOTIENT(((c_TMAP2IN)-(c_TMAP1IN)),2))+2147483648,4294967296)-2147483648,((c_TMAP2IN)-(c_TMAP1IN))*(((A117)-(c_TMAP1IN))*((c_TMAP2OUT)-(c_TMAP1OUT))+IF(((c_TMAP2OUT)-(c_TMAP1OUT))&gt;=0,1,-1)*QUOTIENT(((c_TMAP2IN)-(c_TMAP1IN)),2)))&gt;=0,1,0)))</f>
        <v>75</v>
      </c>
      <c r="F117" s="7" t="n">
        <f aca="false">IF(((c_TMAP3IN)-(c_TMAP2IN))=0,(c_TMAP2OUT)+QUOTIENT(((c_TMAP3OUT)-(c_TMAP2OUT)),2),QUOTIENT((((A117)-(c_TMAP2IN))*((c_TMAP3OUT)-(c_TMAP2OUT))+IF(((c_TMAP3OUT)-(c_TMAP2OUT))&gt;=0,1,-1)*QUOTIENT(((c_TMAP3IN)-(c_TMAP2IN)),2)),((c_TMAP3IN)-(c_TMAP2IN)))+(c_TMAP2OUT)+IF(((c_TMAP3OUT)-(c_TMAP2OUT))&gt;=0,IF(IF(o_WRAP=1,MOD(((c_TMAP3IN)-(c_TMAP2IN))*(((A117)-(c_TMAP2IN))*((c_TMAP3OUT)-(c_TMAP2OUT))+IF(((c_TMAP3OUT)-(c_TMAP2OUT))&gt;=0,1,-1)*QUOTIENT(((c_TMAP3IN)-(c_TMAP2IN)),2))+2147483648,4294967296)-2147483648,((c_TMAP3IN)-(c_TMAP2IN))*(((A117)-(c_TMAP2IN))*((c_TMAP3OUT)-(c_TMAP2OUT))+IF(((c_TMAP3OUT)-(c_TMAP2OUT))&gt;=0,1,-1)*QUOTIENT(((c_TMAP3IN)-(c_TMAP2IN)),2)))&lt;0,-1,0),IF(IF(o_WRAP=1,MOD(((c_TMAP3IN)-(c_TMAP2IN))*(((A117)-(c_TMAP2IN))*((c_TMAP3OUT)-(c_TMAP2OUT))+IF(((c_TMAP3OUT)-(c_TMAP2OUT))&gt;=0,1,-1)*QUOTIENT(((c_TMAP3IN)-(c_TMAP2IN)),2))+2147483648,4294967296)-2147483648,((c_TMAP3IN)-(c_TMAP2IN))*(((A117)-(c_TMAP2IN))*((c_TMAP3OUT)-(c_TMAP2OUT))+IF(((c_TMAP3OUT)-(c_TMAP2OUT))&gt;=0,1,-1)*QUOTIENT(((c_TMAP3IN)-(c_TMAP2IN)),2)))&gt;=0,1,0)))</f>
        <v>33</v>
      </c>
      <c r="G117" s="7" t="n">
        <f aca="false">IF(((1000)-(c_TMAP3IN))=0,(c_TMAP3OUT)+QUOTIENT(((1000)-(c_TMAP3OUT)),2),QUOTIENT((((A117)-(c_TMAP3IN))*((1000)-(c_TMAP3OUT))+IF(((1000)-(c_TMAP3OUT))&gt;=0,1,-1)*QUOTIENT(((1000)-(c_TMAP3IN)),2)),((1000)-(c_TMAP3IN)))+(c_TMAP3OUT)+IF(((1000)-(c_TMAP3OUT))&gt;=0,IF(IF(o_WRAP=1,MOD(((1000)-(c_TMAP3IN))*(((A117)-(c_TMAP3IN))*((1000)-(c_TMAP3OUT))+IF(((1000)-(c_TMAP3OUT))&gt;=0,1,-1)*QUOTIENT(((1000)-(c_TMAP3IN)),2))+2147483648,4294967296)-2147483648,((1000)-(c_TMAP3IN))*(((A117)-(c_TMAP3IN))*((1000)-(c_TMAP3OUT))+IF(((1000)-(c_TMAP3OUT))&gt;=0,1,-1)*QUOTIENT(((1000)-(c_TMAP3IN)),2)))&lt;0,-1,0),IF(IF(o_WRAP=1,MOD(((1000)-(c_TMAP3IN))*(((A117)-(c_TMAP3IN))*((1000)-(c_TMAP3OUT))+IF(((1000)-(c_TMAP3OUT))&gt;=0,1,-1)*QUOTIENT(((1000)-(c_TMAP3IN)),2))+2147483648,4294967296)-2147483648,((1000)-(c_TMAP3IN))*(((A117)-(c_TMAP3IN))*((1000)-(c_TMAP3OUT))+IF(((1000)-(c_TMAP3OUT))&gt;=0,1,-1)*QUOTIENT(((1000)-(c_TMAP3IN)),2)))&gt;=0,1,0)))</f>
        <v>-93</v>
      </c>
      <c r="H117" s="7" t="str">
        <f aca="false">IF(A117&gt;=c_TFWD,IF(AND(A117&gt;=c_TMAP3IN,c_TMAP3IN&lt;1000),"Seg4 map3-100%",IF(AND(A117&gt;=c_TMAP2IN,c_TMAP3IN&gt;c_TMAP2IN),"Seg3 map2-map3",IF(AND(A117&gt;=c_TMAP1IN,c_TMAP2IN&gt;c_TMAP1IN),"Seg2 map1-map2","Seg1 TFWD-map1"))),IF(AND(A117=0,c_TCREEP&gt;0),"Creep",IF(AND(A117&lt;=c_TRNGMIN,A117&gt;=c_TRNGMAX,c_TRNGMIN-c_TRNGMAX&lt;&gt;0),"Regen ramp","Coast (0)")))</f>
        <v>Seg2 map1-map2</v>
      </c>
      <c r="I117" s="7" t="n">
        <f aca="false">IF(A117&gt;=c_TFWD,IF(AND(A117&gt;=c_TMAP3IN,c_TMAP3IN&lt;1000),G117,IF(AND(A117&gt;=c_TMAP2IN,c_TMAP3IN&gt;c_TMAP2IN),F117,IF(AND(A117&gt;=c_TMAP1IN,c_TMAP2IN&gt;c_TMAP1IN),E117,D117))),C117)</f>
        <v>75</v>
      </c>
      <c r="J117" s="7" t="str">
        <f aca="false">IF(I117&lt;-1090,"TOO LOW",IF(I117&gt;1090,"TOO HIGH",""))</f>
        <v/>
      </c>
      <c r="K117" s="15" t="n">
        <f aca="false">IF(J117&lt;&gt;"",0,IF(I117&gt;979,1000,I117))</f>
        <v>75</v>
      </c>
      <c r="L117" s="7" t="n">
        <f aca="false">K117/10</f>
        <v>7.5</v>
      </c>
    </row>
    <row r="118" customFormat="false" ht="15" hidden="false" customHeight="false" outlineLevel="0" collapsed="false">
      <c r="A118" s="7" t="n">
        <v>113</v>
      </c>
      <c r="B118" s="7" t="n">
        <f aca="false">A118/10</f>
        <v>11.3</v>
      </c>
      <c r="C118" s="7" t="n">
        <f aca="false">IF(AND(A118=0,c_TCREEP&gt;0),10*c_TCREEP,IF(AND(A118&lt;=c_TRNGMIN,A118&gt;=c_TRNGMAX,c_TRNGMIN-c_TRNGMAX&lt;&gt;0),-10*c_TMINRN+QUOTIENT((c_TMAXRN-c_TMINRN)*(100-QUOTIENT((A118-c_TRNGMAX)*100,c_TRNGMIN-c_TRNGMAX)),-10),0))</f>
        <v>0</v>
      </c>
      <c r="D118" s="7" t="n">
        <f aca="false">IF(((c_TMAP1IN)-(c_TFWD))=0,(0)+QUOTIENT(((c_TMAP1OUT)-(0)),2),QUOTIENT((((A118)-(c_TFWD))*((c_TMAP1OUT)-(0))+IF(((c_TMAP1OUT)-(0))&gt;=0,1,-1)*QUOTIENT(((c_TMAP1IN)-(c_TFWD)),2)),((c_TMAP1IN)-(c_TFWD)))+(0)+IF(((c_TMAP1OUT)-(0))&gt;=0,IF(IF(o_WRAP=1,MOD(((c_TMAP1IN)-(c_TFWD))*(((A118)-(c_TFWD))*((c_TMAP1OUT)-(0))+IF(((c_TMAP1OUT)-(0))&gt;=0,1,-1)*QUOTIENT(((c_TMAP1IN)-(c_TFWD)),2))+2147483648,4294967296)-2147483648,((c_TMAP1IN)-(c_TFWD))*(((A118)-(c_TFWD))*((c_TMAP1OUT)-(0))+IF(((c_TMAP1OUT)-(0))&gt;=0,1,-1)*QUOTIENT(((c_TMAP1IN)-(c_TFWD)),2)))&lt;0,-1,0),IF(IF(o_WRAP=1,MOD(((c_TMAP1IN)-(c_TFWD))*(((A118)-(c_TFWD))*((c_TMAP1OUT)-(0))+IF(((c_TMAP1OUT)-(0))&gt;=0,1,-1)*QUOTIENT(((c_TMAP1IN)-(c_TFWD)),2))+2147483648,4294967296)-2147483648,((c_TMAP1IN)-(c_TFWD))*(((A118)-(c_TFWD))*((c_TMAP1OUT)-(0))+IF(((c_TMAP1OUT)-(0))&gt;=0,1,-1)*QUOTIENT(((c_TMAP1IN)-(c_TFWD)),2)))&gt;=0,1,0)))</f>
        <v>80</v>
      </c>
      <c r="E118" s="7" t="n">
        <f aca="false">IF(((c_TMAP2IN)-(c_TMAP1IN))=0,(c_TMAP1OUT)+QUOTIENT(((c_TMAP2OUT)-(c_TMAP1OUT)),2),QUOTIENT((((A118)-(c_TMAP1IN))*((c_TMAP2OUT)-(c_TMAP1OUT))+IF(((c_TMAP2OUT)-(c_TMAP1OUT))&gt;=0,1,-1)*QUOTIENT(((c_TMAP2IN)-(c_TMAP1IN)),2)),((c_TMAP2IN)-(c_TMAP1IN)))+(c_TMAP1OUT)+IF(((c_TMAP2OUT)-(c_TMAP1OUT))&gt;=0,IF(IF(o_WRAP=1,MOD(((c_TMAP2IN)-(c_TMAP1IN))*(((A118)-(c_TMAP1IN))*((c_TMAP2OUT)-(c_TMAP1OUT))+IF(((c_TMAP2OUT)-(c_TMAP1OUT))&gt;=0,1,-1)*QUOTIENT(((c_TMAP2IN)-(c_TMAP1IN)),2))+2147483648,4294967296)-2147483648,((c_TMAP2IN)-(c_TMAP1IN))*(((A118)-(c_TMAP1IN))*((c_TMAP2OUT)-(c_TMAP1OUT))+IF(((c_TMAP2OUT)-(c_TMAP1OUT))&gt;=0,1,-1)*QUOTIENT(((c_TMAP2IN)-(c_TMAP1IN)),2)))&lt;0,-1,0),IF(IF(o_WRAP=1,MOD(((c_TMAP2IN)-(c_TMAP1IN))*(((A118)-(c_TMAP1IN))*((c_TMAP2OUT)-(c_TMAP1OUT))+IF(((c_TMAP2OUT)-(c_TMAP1OUT))&gt;=0,1,-1)*QUOTIENT(((c_TMAP2IN)-(c_TMAP1IN)),2))+2147483648,4294967296)-2147483648,((c_TMAP2IN)-(c_TMAP1IN))*(((A118)-(c_TMAP1IN))*((c_TMAP2OUT)-(c_TMAP1OUT))+IF(((c_TMAP2OUT)-(c_TMAP1OUT))&gt;=0,1,-1)*QUOTIENT(((c_TMAP2IN)-(c_TMAP1IN)),2)))&gt;=0,1,0)))</f>
        <v>75</v>
      </c>
      <c r="F118" s="7" t="n">
        <f aca="false">IF(((c_TMAP3IN)-(c_TMAP2IN))=0,(c_TMAP2OUT)+QUOTIENT(((c_TMAP3OUT)-(c_TMAP2OUT)),2),QUOTIENT((((A118)-(c_TMAP2IN))*((c_TMAP3OUT)-(c_TMAP2OUT))+IF(((c_TMAP3OUT)-(c_TMAP2OUT))&gt;=0,1,-1)*QUOTIENT(((c_TMAP3IN)-(c_TMAP2IN)),2)),((c_TMAP3IN)-(c_TMAP2IN)))+(c_TMAP2OUT)+IF(((c_TMAP3OUT)-(c_TMAP2OUT))&gt;=0,IF(IF(o_WRAP=1,MOD(((c_TMAP3IN)-(c_TMAP2IN))*(((A118)-(c_TMAP2IN))*((c_TMAP3OUT)-(c_TMAP2OUT))+IF(((c_TMAP3OUT)-(c_TMAP2OUT))&gt;=0,1,-1)*QUOTIENT(((c_TMAP3IN)-(c_TMAP2IN)),2))+2147483648,4294967296)-2147483648,((c_TMAP3IN)-(c_TMAP2IN))*(((A118)-(c_TMAP2IN))*((c_TMAP3OUT)-(c_TMAP2OUT))+IF(((c_TMAP3OUT)-(c_TMAP2OUT))&gt;=0,1,-1)*QUOTIENT(((c_TMAP3IN)-(c_TMAP2IN)),2)))&lt;0,-1,0),IF(IF(o_WRAP=1,MOD(((c_TMAP3IN)-(c_TMAP2IN))*(((A118)-(c_TMAP2IN))*((c_TMAP3OUT)-(c_TMAP2OUT))+IF(((c_TMAP3OUT)-(c_TMAP2OUT))&gt;=0,1,-1)*QUOTIENT(((c_TMAP3IN)-(c_TMAP2IN)),2))+2147483648,4294967296)-2147483648,((c_TMAP3IN)-(c_TMAP2IN))*(((A118)-(c_TMAP2IN))*((c_TMAP3OUT)-(c_TMAP2OUT))+IF(((c_TMAP3OUT)-(c_TMAP2OUT))&gt;=0,1,-1)*QUOTIENT(((c_TMAP3IN)-(c_TMAP2IN)),2)))&gt;=0,1,0)))</f>
        <v>34</v>
      </c>
      <c r="G118" s="7" t="n">
        <f aca="false">IF(((1000)-(c_TMAP3IN))=0,(c_TMAP3OUT)+QUOTIENT(((1000)-(c_TMAP3OUT)),2),QUOTIENT((((A118)-(c_TMAP3IN))*((1000)-(c_TMAP3OUT))+IF(((1000)-(c_TMAP3OUT))&gt;=0,1,-1)*QUOTIENT(((1000)-(c_TMAP3IN)),2)),((1000)-(c_TMAP3IN)))+(c_TMAP3OUT)+IF(((1000)-(c_TMAP3OUT))&gt;=0,IF(IF(o_WRAP=1,MOD(((1000)-(c_TMAP3IN))*(((A118)-(c_TMAP3IN))*((1000)-(c_TMAP3OUT))+IF(((1000)-(c_TMAP3OUT))&gt;=0,1,-1)*QUOTIENT(((1000)-(c_TMAP3IN)),2))+2147483648,4294967296)-2147483648,((1000)-(c_TMAP3IN))*(((A118)-(c_TMAP3IN))*((1000)-(c_TMAP3OUT))+IF(((1000)-(c_TMAP3OUT))&gt;=0,1,-1)*QUOTIENT(((1000)-(c_TMAP3IN)),2)))&lt;0,-1,0),IF(IF(o_WRAP=1,MOD(((1000)-(c_TMAP3IN))*(((A118)-(c_TMAP3IN))*((1000)-(c_TMAP3OUT))+IF(((1000)-(c_TMAP3OUT))&gt;=0,1,-1)*QUOTIENT(((1000)-(c_TMAP3IN)),2))+2147483648,4294967296)-2147483648,((1000)-(c_TMAP3IN))*(((A118)-(c_TMAP3IN))*((1000)-(c_TMAP3OUT))+IF(((1000)-(c_TMAP3OUT))&gt;=0,1,-1)*QUOTIENT(((1000)-(c_TMAP3IN)),2)))&gt;=0,1,0)))</f>
        <v>-92</v>
      </c>
      <c r="H118" s="7" t="str">
        <f aca="false">IF(A118&gt;=c_TFWD,IF(AND(A118&gt;=c_TMAP3IN,c_TMAP3IN&lt;1000),"Seg4 map3-100%",IF(AND(A118&gt;=c_TMAP2IN,c_TMAP3IN&gt;c_TMAP2IN),"Seg3 map2-map3",IF(AND(A118&gt;=c_TMAP1IN,c_TMAP2IN&gt;c_TMAP1IN),"Seg2 map1-map2","Seg1 TFWD-map1"))),IF(AND(A118=0,c_TCREEP&gt;0),"Creep",IF(AND(A118&lt;=c_TRNGMIN,A118&gt;=c_TRNGMAX,c_TRNGMIN-c_TRNGMAX&lt;&gt;0),"Regen ramp","Coast (0)")))</f>
        <v>Seg2 map1-map2</v>
      </c>
      <c r="I118" s="7" t="n">
        <f aca="false">IF(A118&gt;=c_TFWD,IF(AND(A118&gt;=c_TMAP3IN,c_TMAP3IN&lt;1000),G118,IF(AND(A118&gt;=c_TMAP2IN,c_TMAP3IN&gt;c_TMAP2IN),F118,IF(AND(A118&gt;=c_TMAP1IN,c_TMAP2IN&gt;c_TMAP1IN),E118,D118))),C118)</f>
        <v>75</v>
      </c>
      <c r="J118" s="7" t="str">
        <f aca="false">IF(I118&lt;-1090,"TOO LOW",IF(I118&gt;1090,"TOO HIGH",""))</f>
        <v/>
      </c>
      <c r="K118" s="15" t="n">
        <f aca="false">IF(J118&lt;&gt;"",0,IF(I118&gt;979,1000,I118))</f>
        <v>75</v>
      </c>
      <c r="L118" s="7" t="n">
        <f aca="false">K118/10</f>
        <v>7.5</v>
      </c>
    </row>
    <row r="119" customFormat="false" ht="15" hidden="false" customHeight="false" outlineLevel="0" collapsed="false">
      <c r="A119" s="7" t="n">
        <v>114</v>
      </c>
      <c r="B119" s="7" t="n">
        <f aca="false">A119/10</f>
        <v>11.4</v>
      </c>
      <c r="C119" s="7" t="n">
        <f aca="false">IF(AND(A119=0,c_TCREEP&gt;0),10*c_TCREEP,IF(AND(A119&lt;=c_TRNGMIN,A119&gt;=c_TRNGMAX,c_TRNGMIN-c_TRNGMAX&lt;&gt;0),-10*c_TMINRN+QUOTIENT((c_TMAXRN-c_TMINRN)*(100-QUOTIENT((A119-c_TRNGMAX)*100,c_TRNGMIN-c_TRNGMAX)),-10),0))</f>
        <v>0</v>
      </c>
      <c r="D119" s="7" t="n">
        <f aca="false">IF(((c_TMAP1IN)-(c_TFWD))=0,(0)+QUOTIENT(((c_TMAP1OUT)-(0)),2),QUOTIENT((((A119)-(c_TFWD))*((c_TMAP1OUT)-(0))+IF(((c_TMAP1OUT)-(0))&gt;=0,1,-1)*QUOTIENT(((c_TMAP1IN)-(c_TFWD)),2)),((c_TMAP1IN)-(c_TFWD)))+(0)+IF(((c_TMAP1OUT)-(0))&gt;=0,IF(IF(o_WRAP=1,MOD(((c_TMAP1IN)-(c_TFWD))*(((A119)-(c_TFWD))*((c_TMAP1OUT)-(0))+IF(((c_TMAP1OUT)-(0))&gt;=0,1,-1)*QUOTIENT(((c_TMAP1IN)-(c_TFWD)),2))+2147483648,4294967296)-2147483648,((c_TMAP1IN)-(c_TFWD))*(((A119)-(c_TFWD))*((c_TMAP1OUT)-(0))+IF(((c_TMAP1OUT)-(0))&gt;=0,1,-1)*QUOTIENT(((c_TMAP1IN)-(c_TFWD)),2)))&lt;0,-1,0),IF(IF(o_WRAP=1,MOD(((c_TMAP1IN)-(c_TFWD))*(((A119)-(c_TFWD))*((c_TMAP1OUT)-(0))+IF(((c_TMAP1OUT)-(0))&gt;=0,1,-1)*QUOTIENT(((c_TMAP1IN)-(c_TFWD)),2))+2147483648,4294967296)-2147483648,((c_TMAP1IN)-(c_TFWD))*(((A119)-(c_TFWD))*((c_TMAP1OUT)-(0))+IF(((c_TMAP1OUT)-(0))&gt;=0,1,-1)*QUOTIENT(((c_TMAP1IN)-(c_TFWD)),2)))&gt;=0,1,0)))</f>
        <v>81</v>
      </c>
      <c r="E119" s="7" t="n">
        <f aca="false">IF(((c_TMAP2IN)-(c_TMAP1IN))=0,(c_TMAP1OUT)+QUOTIENT(((c_TMAP2OUT)-(c_TMAP1OUT)),2),QUOTIENT((((A119)-(c_TMAP1IN))*((c_TMAP2OUT)-(c_TMAP1OUT))+IF(((c_TMAP2OUT)-(c_TMAP1OUT))&gt;=0,1,-1)*QUOTIENT(((c_TMAP2IN)-(c_TMAP1IN)),2)),((c_TMAP2IN)-(c_TMAP1IN)))+(c_TMAP1OUT)+IF(((c_TMAP2OUT)-(c_TMAP1OUT))&gt;=0,IF(IF(o_WRAP=1,MOD(((c_TMAP2IN)-(c_TMAP1IN))*(((A119)-(c_TMAP1IN))*((c_TMAP2OUT)-(c_TMAP1OUT))+IF(((c_TMAP2OUT)-(c_TMAP1OUT))&gt;=0,1,-1)*QUOTIENT(((c_TMAP2IN)-(c_TMAP1IN)),2))+2147483648,4294967296)-2147483648,((c_TMAP2IN)-(c_TMAP1IN))*(((A119)-(c_TMAP1IN))*((c_TMAP2OUT)-(c_TMAP1OUT))+IF(((c_TMAP2OUT)-(c_TMAP1OUT))&gt;=0,1,-1)*QUOTIENT(((c_TMAP2IN)-(c_TMAP1IN)),2)))&lt;0,-1,0),IF(IF(o_WRAP=1,MOD(((c_TMAP2IN)-(c_TMAP1IN))*(((A119)-(c_TMAP1IN))*((c_TMAP2OUT)-(c_TMAP1OUT))+IF(((c_TMAP2OUT)-(c_TMAP1OUT))&gt;=0,1,-1)*QUOTIENT(((c_TMAP2IN)-(c_TMAP1IN)),2))+2147483648,4294967296)-2147483648,((c_TMAP2IN)-(c_TMAP1IN))*(((A119)-(c_TMAP1IN))*((c_TMAP2OUT)-(c_TMAP1OUT))+IF(((c_TMAP2OUT)-(c_TMAP1OUT))&gt;=0,1,-1)*QUOTIENT(((c_TMAP2IN)-(c_TMAP1IN)),2)))&gt;=0,1,0)))</f>
        <v>76</v>
      </c>
      <c r="F119" s="7" t="n">
        <f aca="false">IF(((c_TMAP3IN)-(c_TMAP2IN))=0,(c_TMAP2OUT)+QUOTIENT(((c_TMAP3OUT)-(c_TMAP2OUT)),2),QUOTIENT((((A119)-(c_TMAP2IN))*((c_TMAP3OUT)-(c_TMAP2OUT))+IF(((c_TMAP3OUT)-(c_TMAP2OUT))&gt;=0,1,-1)*QUOTIENT(((c_TMAP3IN)-(c_TMAP2IN)),2)),((c_TMAP3IN)-(c_TMAP2IN)))+(c_TMAP2OUT)+IF(((c_TMAP3OUT)-(c_TMAP2OUT))&gt;=0,IF(IF(o_WRAP=1,MOD(((c_TMAP3IN)-(c_TMAP2IN))*(((A119)-(c_TMAP2IN))*((c_TMAP3OUT)-(c_TMAP2OUT))+IF(((c_TMAP3OUT)-(c_TMAP2OUT))&gt;=0,1,-1)*QUOTIENT(((c_TMAP3IN)-(c_TMAP2IN)),2))+2147483648,4294967296)-2147483648,((c_TMAP3IN)-(c_TMAP2IN))*(((A119)-(c_TMAP2IN))*((c_TMAP3OUT)-(c_TMAP2OUT))+IF(((c_TMAP3OUT)-(c_TMAP2OUT))&gt;=0,1,-1)*QUOTIENT(((c_TMAP3IN)-(c_TMAP2IN)),2)))&lt;0,-1,0),IF(IF(o_WRAP=1,MOD(((c_TMAP3IN)-(c_TMAP2IN))*(((A119)-(c_TMAP2IN))*((c_TMAP3OUT)-(c_TMAP2OUT))+IF(((c_TMAP3OUT)-(c_TMAP2OUT))&gt;=0,1,-1)*QUOTIENT(((c_TMAP3IN)-(c_TMAP2IN)),2))+2147483648,4294967296)-2147483648,((c_TMAP3IN)-(c_TMAP2IN))*(((A119)-(c_TMAP2IN))*((c_TMAP3OUT)-(c_TMAP2OUT))+IF(((c_TMAP3OUT)-(c_TMAP2OUT))&gt;=0,1,-1)*QUOTIENT(((c_TMAP3IN)-(c_TMAP2IN)),2)))&gt;=0,1,0)))</f>
        <v>35</v>
      </c>
      <c r="G119" s="7" t="n">
        <f aca="false">IF(((1000)-(c_TMAP3IN))=0,(c_TMAP3OUT)+QUOTIENT(((1000)-(c_TMAP3OUT)),2),QUOTIENT((((A119)-(c_TMAP3IN))*((1000)-(c_TMAP3OUT))+IF(((1000)-(c_TMAP3OUT))&gt;=0,1,-1)*QUOTIENT(((1000)-(c_TMAP3IN)),2)),((1000)-(c_TMAP3IN)))+(c_TMAP3OUT)+IF(((1000)-(c_TMAP3OUT))&gt;=0,IF(IF(o_WRAP=1,MOD(((1000)-(c_TMAP3IN))*(((A119)-(c_TMAP3IN))*((1000)-(c_TMAP3OUT))+IF(((1000)-(c_TMAP3OUT))&gt;=0,1,-1)*QUOTIENT(((1000)-(c_TMAP3IN)),2))+2147483648,4294967296)-2147483648,((1000)-(c_TMAP3IN))*(((A119)-(c_TMAP3IN))*((1000)-(c_TMAP3OUT))+IF(((1000)-(c_TMAP3OUT))&gt;=0,1,-1)*QUOTIENT(((1000)-(c_TMAP3IN)),2)))&lt;0,-1,0),IF(IF(o_WRAP=1,MOD(((1000)-(c_TMAP3IN))*(((A119)-(c_TMAP3IN))*((1000)-(c_TMAP3OUT))+IF(((1000)-(c_TMAP3OUT))&gt;=0,1,-1)*QUOTIENT(((1000)-(c_TMAP3IN)),2))+2147483648,4294967296)-2147483648,((1000)-(c_TMAP3IN))*(((A119)-(c_TMAP3IN))*((1000)-(c_TMAP3OUT))+IF(((1000)-(c_TMAP3OUT))&gt;=0,1,-1)*QUOTIENT(((1000)-(c_TMAP3IN)),2)))&gt;=0,1,0)))</f>
        <v>-90</v>
      </c>
      <c r="H119" s="7" t="str">
        <f aca="false">IF(A119&gt;=c_TFWD,IF(AND(A119&gt;=c_TMAP3IN,c_TMAP3IN&lt;1000),"Seg4 map3-100%",IF(AND(A119&gt;=c_TMAP2IN,c_TMAP3IN&gt;c_TMAP2IN),"Seg3 map2-map3",IF(AND(A119&gt;=c_TMAP1IN,c_TMAP2IN&gt;c_TMAP1IN),"Seg2 map1-map2","Seg1 TFWD-map1"))),IF(AND(A119=0,c_TCREEP&gt;0),"Creep",IF(AND(A119&lt;=c_TRNGMIN,A119&gt;=c_TRNGMAX,c_TRNGMIN-c_TRNGMAX&lt;&gt;0),"Regen ramp","Coast (0)")))</f>
        <v>Seg2 map1-map2</v>
      </c>
      <c r="I119" s="7" t="n">
        <f aca="false">IF(A119&gt;=c_TFWD,IF(AND(A119&gt;=c_TMAP3IN,c_TMAP3IN&lt;1000),G119,IF(AND(A119&gt;=c_TMAP2IN,c_TMAP3IN&gt;c_TMAP2IN),F119,IF(AND(A119&gt;=c_TMAP1IN,c_TMAP2IN&gt;c_TMAP1IN),E119,D119))),C119)</f>
        <v>76</v>
      </c>
      <c r="J119" s="7" t="str">
        <f aca="false">IF(I119&lt;-1090,"TOO LOW",IF(I119&gt;1090,"TOO HIGH",""))</f>
        <v/>
      </c>
      <c r="K119" s="15" t="n">
        <f aca="false">IF(J119&lt;&gt;"",0,IF(I119&gt;979,1000,I119))</f>
        <v>76</v>
      </c>
      <c r="L119" s="7" t="n">
        <f aca="false">K119/10</f>
        <v>7.6</v>
      </c>
    </row>
    <row r="120" customFormat="false" ht="15" hidden="false" customHeight="false" outlineLevel="0" collapsed="false">
      <c r="A120" s="7" t="n">
        <v>115</v>
      </c>
      <c r="B120" s="7" t="n">
        <f aca="false">A120/10</f>
        <v>11.5</v>
      </c>
      <c r="C120" s="7" t="n">
        <f aca="false">IF(AND(A120=0,c_TCREEP&gt;0),10*c_TCREEP,IF(AND(A120&lt;=c_TRNGMIN,A120&gt;=c_TRNGMAX,c_TRNGMIN-c_TRNGMAX&lt;&gt;0),-10*c_TMINRN+QUOTIENT((c_TMAXRN-c_TMINRN)*(100-QUOTIENT((A120-c_TRNGMAX)*100,c_TRNGMIN-c_TRNGMAX)),-10),0))</f>
        <v>0</v>
      </c>
      <c r="D120" s="7" t="n">
        <f aca="false">IF(((c_TMAP1IN)-(c_TFWD))=0,(0)+QUOTIENT(((c_TMAP1OUT)-(0)),2),QUOTIENT((((A120)-(c_TFWD))*((c_TMAP1OUT)-(0))+IF(((c_TMAP1OUT)-(0))&gt;=0,1,-1)*QUOTIENT(((c_TMAP1IN)-(c_TFWD)),2)),((c_TMAP1IN)-(c_TFWD)))+(0)+IF(((c_TMAP1OUT)-(0))&gt;=0,IF(IF(o_WRAP=1,MOD(((c_TMAP1IN)-(c_TFWD))*(((A120)-(c_TFWD))*((c_TMAP1OUT)-(0))+IF(((c_TMAP1OUT)-(0))&gt;=0,1,-1)*QUOTIENT(((c_TMAP1IN)-(c_TFWD)),2))+2147483648,4294967296)-2147483648,((c_TMAP1IN)-(c_TFWD))*(((A120)-(c_TFWD))*((c_TMAP1OUT)-(0))+IF(((c_TMAP1OUT)-(0))&gt;=0,1,-1)*QUOTIENT(((c_TMAP1IN)-(c_TFWD)),2)))&lt;0,-1,0),IF(IF(o_WRAP=1,MOD(((c_TMAP1IN)-(c_TFWD))*(((A120)-(c_TFWD))*((c_TMAP1OUT)-(0))+IF(((c_TMAP1OUT)-(0))&gt;=0,1,-1)*QUOTIENT(((c_TMAP1IN)-(c_TFWD)),2))+2147483648,4294967296)-2147483648,((c_TMAP1IN)-(c_TFWD))*(((A120)-(c_TFWD))*((c_TMAP1OUT)-(0))+IF(((c_TMAP1OUT)-(0))&gt;=0,1,-1)*QUOTIENT(((c_TMAP1IN)-(c_TFWD)),2)))&gt;=0,1,0)))</f>
        <v>82</v>
      </c>
      <c r="E120" s="7" t="n">
        <f aca="false">IF(((c_TMAP2IN)-(c_TMAP1IN))=0,(c_TMAP1OUT)+QUOTIENT(((c_TMAP2OUT)-(c_TMAP1OUT)),2),QUOTIENT((((A120)-(c_TMAP1IN))*((c_TMAP2OUT)-(c_TMAP1OUT))+IF(((c_TMAP2OUT)-(c_TMAP1OUT))&gt;=0,1,-1)*QUOTIENT(((c_TMAP2IN)-(c_TMAP1IN)),2)),((c_TMAP2IN)-(c_TMAP1IN)))+(c_TMAP1OUT)+IF(((c_TMAP2OUT)-(c_TMAP1OUT))&gt;=0,IF(IF(o_WRAP=1,MOD(((c_TMAP2IN)-(c_TMAP1IN))*(((A120)-(c_TMAP1IN))*((c_TMAP2OUT)-(c_TMAP1OUT))+IF(((c_TMAP2OUT)-(c_TMAP1OUT))&gt;=0,1,-1)*QUOTIENT(((c_TMAP2IN)-(c_TMAP1IN)),2))+2147483648,4294967296)-2147483648,((c_TMAP2IN)-(c_TMAP1IN))*(((A120)-(c_TMAP1IN))*((c_TMAP2OUT)-(c_TMAP1OUT))+IF(((c_TMAP2OUT)-(c_TMAP1OUT))&gt;=0,1,-1)*QUOTIENT(((c_TMAP2IN)-(c_TMAP1IN)),2)))&lt;0,-1,0),IF(IF(o_WRAP=1,MOD(((c_TMAP2IN)-(c_TMAP1IN))*(((A120)-(c_TMAP1IN))*((c_TMAP2OUT)-(c_TMAP1OUT))+IF(((c_TMAP2OUT)-(c_TMAP1OUT))&gt;=0,1,-1)*QUOTIENT(((c_TMAP2IN)-(c_TMAP1IN)),2))+2147483648,4294967296)-2147483648,((c_TMAP2IN)-(c_TMAP1IN))*(((A120)-(c_TMAP1IN))*((c_TMAP2OUT)-(c_TMAP1OUT))+IF(((c_TMAP2OUT)-(c_TMAP1OUT))&gt;=0,1,-1)*QUOTIENT(((c_TMAP2IN)-(c_TMAP1IN)),2)))&gt;=0,1,0)))</f>
        <v>76</v>
      </c>
      <c r="F120" s="7" t="n">
        <f aca="false">IF(((c_TMAP3IN)-(c_TMAP2IN))=0,(c_TMAP2OUT)+QUOTIENT(((c_TMAP3OUT)-(c_TMAP2OUT)),2),QUOTIENT((((A120)-(c_TMAP2IN))*((c_TMAP3OUT)-(c_TMAP2OUT))+IF(((c_TMAP3OUT)-(c_TMAP2OUT))&gt;=0,1,-1)*QUOTIENT(((c_TMAP3IN)-(c_TMAP2IN)),2)),((c_TMAP3IN)-(c_TMAP2IN)))+(c_TMAP2OUT)+IF(((c_TMAP3OUT)-(c_TMAP2OUT))&gt;=0,IF(IF(o_WRAP=1,MOD(((c_TMAP3IN)-(c_TMAP2IN))*(((A120)-(c_TMAP2IN))*((c_TMAP3OUT)-(c_TMAP2OUT))+IF(((c_TMAP3OUT)-(c_TMAP2OUT))&gt;=0,1,-1)*QUOTIENT(((c_TMAP3IN)-(c_TMAP2IN)),2))+2147483648,4294967296)-2147483648,((c_TMAP3IN)-(c_TMAP2IN))*(((A120)-(c_TMAP2IN))*((c_TMAP3OUT)-(c_TMAP2OUT))+IF(((c_TMAP3OUT)-(c_TMAP2OUT))&gt;=0,1,-1)*QUOTIENT(((c_TMAP3IN)-(c_TMAP2IN)),2)))&lt;0,-1,0),IF(IF(o_WRAP=1,MOD(((c_TMAP3IN)-(c_TMAP2IN))*(((A120)-(c_TMAP2IN))*((c_TMAP3OUT)-(c_TMAP2OUT))+IF(((c_TMAP3OUT)-(c_TMAP2OUT))&gt;=0,1,-1)*QUOTIENT(((c_TMAP3IN)-(c_TMAP2IN)),2))+2147483648,4294967296)-2147483648,((c_TMAP3IN)-(c_TMAP2IN))*(((A120)-(c_TMAP2IN))*((c_TMAP3OUT)-(c_TMAP2OUT))+IF(((c_TMAP3OUT)-(c_TMAP2OUT))&gt;=0,1,-1)*QUOTIENT(((c_TMAP3IN)-(c_TMAP2IN)),2)))&gt;=0,1,0)))</f>
        <v>35</v>
      </c>
      <c r="G120" s="7" t="n">
        <f aca="false">IF(((1000)-(c_TMAP3IN))=0,(c_TMAP3OUT)+QUOTIENT(((1000)-(c_TMAP3OUT)),2),QUOTIENT((((A120)-(c_TMAP3IN))*((1000)-(c_TMAP3OUT))+IF(((1000)-(c_TMAP3OUT))&gt;=0,1,-1)*QUOTIENT(((1000)-(c_TMAP3IN)),2)),((1000)-(c_TMAP3IN)))+(c_TMAP3OUT)+IF(((1000)-(c_TMAP3OUT))&gt;=0,IF(IF(o_WRAP=1,MOD(((1000)-(c_TMAP3IN))*(((A120)-(c_TMAP3IN))*((1000)-(c_TMAP3OUT))+IF(((1000)-(c_TMAP3OUT))&gt;=0,1,-1)*QUOTIENT(((1000)-(c_TMAP3IN)),2))+2147483648,4294967296)-2147483648,((1000)-(c_TMAP3IN))*(((A120)-(c_TMAP3IN))*((1000)-(c_TMAP3OUT))+IF(((1000)-(c_TMAP3OUT))&gt;=0,1,-1)*QUOTIENT(((1000)-(c_TMAP3IN)),2)))&lt;0,-1,0),IF(IF(o_WRAP=1,MOD(((1000)-(c_TMAP3IN))*(((A120)-(c_TMAP3IN))*((1000)-(c_TMAP3OUT))+IF(((1000)-(c_TMAP3OUT))&gt;=0,1,-1)*QUOTIENT(((1000)-(c_TMAP3IN)),2))+2147483648,4294967296)-2147483648,((1000)-(c_TMAP3IN))*(((A120)-(c_TMAP3IN))*((1000)-(c_TMAP3OUT))+IF(((1000)-(c_TMAP3OUT))&gt;=0,1,-1)*QUOTIENT(((1000)-(c_TMAP3IN)),2)))&gt;=0,1,0)))</f>
        <v>-89</v>
      </c>
      <c r="H120" s="7" t="str">
        <f aca="false">IF(A120&gt;=c_TFWD,IF(AND(A120&gt;=c_TMAP3IN,c_TMAP3IN&lt;1000),"Seg4 map3-100%",IF(AND(A120&gt;=c_TMAP2IN,c_TMAP3IN&gt;c_TMAP2IN),"Seg3 map2-map3",IF(AND(A120&gt;=c_TMAP1IN,c_TMAP2IN&gt;c_TMAP1IN),"Seg2 map1-map2","Seg1 TFWD-map1"))),IF(AND(A120=0,c_TCREEP&gt;0),"Creep",IF(AND(A120&lt;=c_TRNGMIN,A120&gt;=c_TRNGMAX,c_TRNGMIN-c_TRNGMAX&lt;&gt;0),"Regen ramp","Coast (0)")))</f>
        <v>Seg2 map1-map2</v>
      </c>
      <c r="I120" s="7" t="n">
        <f aca="false">IF(A120&gt;=c_TFWD,IF(AND(A120&gt;=c_TMAP3IN,c_TMAP3IN&lt;1000),G120,IF(AND(A120&gt;=c_TMAP2IN,c_TMAP3IN&gt;c_TMAP2IN),F120,IF(AND(A120&gt;=c_TMAP1IN,c_TMAP2IN&gt;c_TMAP1IN),E120,D120))),C120)</f>
        <v>76</v>
      </c>
      <c r="J120" s="7" t="str">
        <f aca="false">IF(I120&lt;-1090,"TOO LOW",IF(I120&gt;1090,"TOO HIGH",""))</f>
        <v/>
      </c>
      <c r="K120" s="15" t="n">
        <f aca="false">IF(J120&lt;&gt;"",0,IF(I120&gt;979,1000,I120))</f>
        <v>76</v>
      </c>
      <c r="L120" s="7" t="n">
        <f aca="false">K120/10</f>
        <v>7.6</v>
      </c>
    </row>
    <row r="121" customFormat="false" ht="15" hidden="false" customHeight="false" outlineLevel="0" collapsed="false">
      <c r="A121" s="7" t="n">
        <v>116</v>
      </c>
      <c r="B121" s="7" t="n">
        <f aca="false">A121/10</f>
        <v>11.6</v>
      </c>
      <c r="C121" s="7" t="n">
        <f aca="false">IF(AND(A121=0,c_TCREEP&gt;0),10*c_TCREEP,IF(AND(A121&lt;=c_TRNGMIN,A121&gt;=c_TRNGMAX,c_TRNGMIN-c_TRNGMAX&lt;&gt;0),-10*c_TMINRN+QUOTIENT((c_TMAXRN-c_TMINRN)*(100-QUOTIENT((A121-c_TRNGMAX)*100,c_TRNGMIN-c_TRNGMAX)),-10),0))</f>
        <v>0</v>
      </c>
      <c r="D121" s="7" t="n">
        <f aca="false">IF(((c_TMAP1IN)-(c_TFWD))=0,(0)+QUOTIENT(((c_TMAP1OUT)-(0)),2),QUOTIENT((((A121)-(c_TFWD))*((c_TMAP1OUT)-(0))+IF(((c_TMAP1OUT)-(0))&gt;=0,1,-1)*QUOTIENT(((c_TMAP1IN)-(c_TFWD)),2)),((c_TMAP1IN)-(c_TFWD)))+(0)+IF(((c_TMAP1OUT)-(0))&gt;=0,IF(IF(o_WRAP=1,MOD(((c_TMAP1IN)-(c_TFWD))*(((A121)-(c_TFWD))*((c_TMAP1OUT)-(0))+IF(((c_TMAP1OUT)-(0))&gt;=0,1,-1)*QUOTIENT(((c_TMAP1IN)-(c_TFWD)),2))+2147483648,4294967296)-2147483648,((c_TMAP1IN)-(c_TFWD))*(((A121)-(c_TFWD))*((c_TMAP1OUT)-(0))+IF(((c_TMAP1OUT)-(0))&gt;=0,1,-1)*QUOTIENT(((c_TMAP1IN)-(c_TFWD)),2)))&lt;0,-1,0),IF(IF(o_WRAP=1,MOD(((c_TMAP1IN)-(c_TFWD))*(((A121)-(c_TFWD))*((c_TMAP1OUT)-(0))+IF(((c_TMAP1OUT)-(0))&gt;=0,1,-1)*QUOTIENT(((c_TMAP1IN)-(c_TFWD)),2))+2147483648,4294967296)-2147483648,((c_TMAP1IN)-(c_TFWD))*(((A121)-(c_TFWD))*((c_TMAP1OUT)-(0))+IF(((c_TMAP1OUT)-(0))&gt;=0,1,-1)*QUOTIENT(((c_TMAP1IN)-(c_TFWD)),2)))&gt;=0,1,0)))</f>
        <v>82</v>
      </c>
      <c r="E121" s="7" t="n">
        <f aca="false">IF(((c_TMAP2IN)-(c_TMAP1IN))=0,(c_TMAP1OUT)+QUOTIENT(((c_TMAP2OUT)-(c_TMAP1OUT)),2),QUOTIENT((((A121)-(c_TMAP1IN))*((c_TMAP2OUT)-(c_TMAP1OUT))+IF(((c_TMAP2OUT)-(c_TMAP1OUT))&gt;=0,1,-1)*QUOTIENT(((c_TMAP2IN)-(c_TMAP1IN)),2)),((c_TMAP2IN)-(c_TMAP1IN)))+(c_TMAP1OUT)+IF(((c_TMAP2OUT)-(c_TMAP1OUT))&gt;=0,IF(IF(o_WRAP=1,MOD(((c_TMAP2IN)-(c_TMAP1IN))*(((A121)-(c_TMAP1IN))*((c_TMAP2OUT)-(c_TMAP1OUT))+IF(((c_TMAP2OUT)-(c_TMAP1OUT))&gt;=0,1,-1)*QUOTIENT(((c_TMAP2IN)-(c_TMAP1IN)),2))+2147483648,4294967296)-2147483648,((c_TMAP2IN)-(c_TMAP1IN))*(((A121)-(c_TMAP1IN))*((c_TMAP2OUT)-(c_TMAP1OUT))+IF(((c_TMAP2OUT)-(c_TMAP1OUT))&gt;=0,1,-1)*QUOTIENT(((c_TMAP2IN)-(c_TMAP1IN)),2)))&lt;0,-1,0),IF(IF(o_WRAP=1,MOD(((c_TMAP2IN)-(c_TMAP1IN))*(((A121)-(c_TMAP1IN))*((c_TMAP2OUT)-(c_TMAP1OUT))+IF(((c_TMAP2OUT)-(c_TMAP1OUT))&gt;=0,1,-1)*QUOTIENT(((c_TMAP2IN)-(c_TMAP1IN)),2))+2147483648,4294967296)-2147483648,((c_TMAP2IN)-(c_TMAP1IN))*(((A121)-(c_TMAP1IN))*((c_TMAP2OUT)-(c_TMAP1OUT))+IF(((c_TMAP2OUT)-(c_TMAP1OUT))&gt;=0,1,-1)*QUOTIENT(((c_TMAP2IN)-(c_TMAP1IN)),2)))&gt;=0,1,0)))</f>
        <v>76</v>
      </c>
      <c r="F121" s="7" t="n">
        <f aca="false">IF(((c_TMAP3IN)-(c_TMAP2IN))=0,(c_TMAP2OUT)+QUOTIENT(((c_TMAP3OUT)-(c_TMAP2OUT)),2),QUOTIENT((((A121)-(c_TMAP2IN))*((c_TMAP3OUT)-(c_TMAP2OUT))+IF(((c_TMAP3OUT)-(c_TMAP2OUT))&gt;=0,1,-1)*QUOTIENT(((c_TMAP3IN)-(c_TMAP2IN)),2)),((c_TMAP3IN)-(c_TMAP2IN)))+(c_TMAP2OUT)+IF(((c_TMAP3OUT)-(c_TMAP2OUT))&gt;=0,IF(IF(o_WRAP=1,MOD(((c_TMAP3IN)-(c_TMAP2IN))*(((A121)-(c_TMAP2IN))*((c_TMAP3OUT)-(c_TMAP2OUT))+IF(((c_TMAP3OUT)-(c_TMAP2OUT))&gt;=0,1,-1)*QUOTIENT(((c_TMAP3IN)-(c_TMAP2IN)),2))+2147483648,4294967296)-2147483648,((c_TMAP3IN)-(c_TMAP2IN))*(((A121)-(c_TMAP2IN))*((c_TMAP3OUT)-(c_TMAP2OUT))+IF(((c_TMAP3OUT)-(c_TMAP2OUT))&gt;=0,1,-1)*QUOTIENT(((c_TMAP3IN)-(c_TMAP2IN)),2)))&lt;0,-1,0),IF(IF(o_WRAP=1,MOD(((c_TMAP3IN)-(c_TMAP2IN))*(((A121)-(c_TMAP2IN))*((c_TMAP3OUT)-(c_TMAP2OUT))+IF(((c_TMAP3OUT)-(c_TMAP2OUT))&gt;=0,1,-1)*QUOTIENT(((c_TMAP3IN)-(c_TMAP2IN)),2))+2147483648,4294967296)-2147483648,((c_TMAP3IN)-(c_TMAP2IN))*(((A121)-(c_TMAP2IN))*((c_TMAP3OUT)-(c_TMAP2OUT))+IF(((c_TMAP3OUT)-(c_TMAP2OUT))&gt;=0,1,-1)*QUOTIENT(((c_TMAP3IN)-(c_TMAP2IN)),2)))&gt;=0,1,0)))</f>
        <v>36</v>
      </c>
      <c r="G121" s="7" t="n">
        <f aca="false">IF(((1000)-(c_TMAP3IN))=0,(c_TMAP3OUT)+QUOTIENT(((1000)-(c_TMAP3OUT)),2),QUOTIENT((((A121)-(c_TMAP3IN))*((1000)-(c_TMAP3OUT))+IF(((1000)-(c_TMAP3OUT))&gt;=0,1,-1)*QUOTIENT(((1000)-(c_TMAP3IN)),2)),((1000)-(c_TMAP3IN)))+(c_TMAP3OUT)+IF(((1000)-(c_TMAP3OUT))&gt;=0,IF(IF(o_WRAP=1,MOD(((1000)-(c_TMAP3IN))*(((A121)-(c_TMAP3IN))*((1000)-(c_TMAP3OUT))+IF(((1000)-(c_TMAP3OUT))&gt;=0,1,-1)*QUOTIENT(((1000)-(c_TMAP3IN)),2))+2147483648,4294967296)-2147483648,((1000)-(c_TMAP3IN))*(((A121)-(c_TMAP3IN))*((1000)-(c_TMAP3OUT))+IF(((1000)-(c_TMAP3OUT))&gt;=0,1,-1)*QUOTIENT(((1000)-(c_TMAP3IN)),2)))&lt;0,-1,0),IF(IF(o_WRAP=1,MOD(((1000)-(c_TMAP3IN))*(((A121)-(c_TMAP3IN))*((1000)-(c_TMAP3OUT))+IF(((1000)-(c_TMAP3OUT))&gt;=0,1,-1)*QUOTIENT(((1000)-(c_TMAP3IN)),2))+2147483648,4294967296)-2147483648,((1000)-(c_TMAP3IN))*(((A121)-(c_TMAP3IN))*((1000)-(c_TMAP3OUT))+IF(((1000)-(c_TMAP3OUT))&gt;=0,1,-1)*QUOTIENT(((1000)-(c_TMAP3IN)),2)))&gt;=0,1,0)))</f>
        <v>-88</v>
      </c>
      <c r="H121" s="7" t="str">
        <f aca="false">IF(A121&gt;=c_TFWD,IF(AND(A121&gt;=c_TMAP3IN,c_TMAP3IN&lt;1000),"Seg4 map3-100%",IF(AND(A121&gt;=c_TMAP2IN,c_TMAP3IN&gt;c_TMAP2IN),"Seg3 map2-map3",IF(AND(A121&gt;=c_TMAP1IN,c_TMAP2IN&gt;c_TMAP1IN),"Seg2 map1-map2","Seg1 TFWD-map1"))),IF(AND(A121=0,c_TCREEP&gt;0),"Creep",IF(AND(A121&lt;=c_TRNGMIN,A121&gt;=c_TRNGMAX,c_TRNGMIN-c_TRNGMAX&lt;&gt;0),"Regen ramp","Coast (0)")))</f>
        <v>Seg2 map1-map2</v>
      </c>
      <c r="I121" s="7" t="n">
        <f aca="false">IF(A121&gt;=c_TFWD,IF(AND(A121&gt;=c_TMAP3IN,c_TMAP3IN&lt;1000),G121,IF(AND(A121&gt;=c_TMAP2IN,c_TMAP3IN&gt;c_TMAP2IN),F121,IF(AND(A121&gt;=c_TMAP1IN,c_TMAP2IN&gt;c_TMAP1IN),E121,D121))),C121)</f>
        <v>76</v>
      </c>
      <c r="J121" s="7" t="str">
        <f aca="false">IF(I121&lt;-1090,"TOO LOW",IF(I121&gt;1090,"TOO HIGH",""))</f>
        <v/>
      </c>
      <c r="K121" s="15" t="n">
        <f aca="false">IF(J121&lt;&gt;"",0,IF(I121&gt;979,1000,I121))</f>
        <v>76</v>
      </c>
      <c r="L121" s="7" t="n">
        <f aca="false">K121/10</f>
        <v>7.6</v>
      </c>
    </row>
    <row r="122" customFormat="false" ht="15" hidden="false" customHeight="false" outlineLevel="0" collapsed="false">
      <c r="A122" s="7" t="n">
        <v>117</v>
      </c>
      <c r="B122" s="7" t="n">
        <f aca="false">A122/10</f>
        <v>11.7</v>
      </c>
      <c r="C122" s="7" t="n">
        <f aca="false">IF(AND(A122=0,c_TCREEP&gt;0),10*c_TCREEP,IF(AND(A122&lt;=c_TRNGMIN,A122&gt;=c_TRNGMAX,c_TRNGMIN-c_TRNGMAX&lt;&gt;0),-10*c_TMINRN+QUOTIENT((c_TMAXRN-c_TMINRN)*(100-QUOTIENT((A122-c_TRNGMAX)*100,c_TRNGMIN-c_TRNGMAX)),-10),0))</f>
        <v>0</v>
      </c>
      <c r="D122" s="7" t="n">
        <f aca="false">IF(((c_TMAP1IN)-(c_TFWD))=0,(0)+QUOTIENT(((c_TMAP1OUT)-(0)),2),QUOTIENT((((A122)-(c_TFWD))*((c_TMAP1OUT)-(0))+IF(((c_TMAP1OUT)-(0))&gt;=0,1,-1)*QUOTIENT(((c_TMAP1IN)-(c_TFWD)),2)),((c_TMAP1IN)-(c_TFWD)))+(0)+IF(((c_TMAP1OUT)-(0))&gt;=0,IF(IF(o_WRAP=1,MOD(((c_TMAP1IN)-(c_TFWD))*(((A122)-(c_TFWD))*((c_TMAP1OUT)-(0))+IF(((c_TMAP1OUT)-(0))&gt;=0,1,-1)*QUOTIENT(((c_TMAP1IN)-(c_TFWD)),2))+2147483648,4294967296)-2147483648,((c_TMAP1IN)-(c_TFWD))*(((A122)-(c_TFWD))*((c_TMAP1OUT)-(0))+IF(((c_TMAP1OUT)-(0))&gt;=0,1,-1)*QUOTIENT(((c_TMAP1IN)-(c_TFWD)),2)))&lt;0,-1,0),IF(IF(o_WRAP=1,MOD(((c_TMAP1IN)-(c_TFWD))*(((A122)-(c_TFWD))*((c_TMAP1OUT)-(0))+IF(((c_TMAP1OUT)-(0))&gt;=0,1,-1)*QUOTIENT(((c_TMAP1IN)-(c_TFWD)),2))+2147483648,4294967296)-2147483648,((c_TMAP1IN)-(c_TFWD))*(((A122)-(c_TFWD))*((c_TMAP1OUT)-(0))+IF(((c_TMAP1OUT)-(0))&gt;=0,1,-1)*QUOTIENT(((c_TMAP1IN)-(c_TFWD)),2)))&gt;=0,1,0)))</f>
        <v>83</v>
      </c>
      <c r="E122" s="7" t="n">
        <f aca="false">IF(((c_TMAP2IN)-(c_TMAP1IN))=0,(c_TMAP1OUT)+QUOTIENT(((c_TMAP2OUT)-(c_TMAP1OUT)),2),QUOTIENT((((A122)-(c_TMAP1IN))*((c_TMAP2OUT)-(c_TMAP1OUT))+IF(((c_TMAP2OUT)-(c_TMAP1OUT))&gt;=0,1,-1)*QUOTIENT(((c_TMAP2IN)-(c_TMAP1IN)),2)),((c_TMAP2IN)-(c_TMAP1IN)))+(c_TMAP1OUT)+IF(((c_TMAP2OUT)-(c_TMAP1OUT))&gt;=0,IF(IF(o_WRAP=1,MOD(((c_TMAP2IN)-(c_TMAP1IN))*(((A122)-(c_TMAP1IN))*((c_TMAP2OUT)-(c_TMAP1OUT))+IF(((c_TMAP2OUT)-(c_TMAP1OUT))&gt;=0,1,-1)*QUOTIENT(((c_TMAP2IN)-(c_TMAP1IN)),2))+2147483648,4294967296)-2147483648,((c_TMAP2IN)-(c_TMAP1IN))*(((A122)-(c_TMAP1IN))*((c_TMAP2OUT)-(c_TMAP1OUT))+IF(((c_TMAP2OUT)-(c_TMAP1OUT))&gt;=0,1,-1)*QUOTIENT(((c_TMAP2IN)-(c_TMAP1IN)),2)))&lt;0,-1,0),IF(IF(o_WRAP=1,MOD(((c_TMAP2IN)-(c_TMAP1IN))*(((A122)-(c_TMAP1IN))*((c_TMAP2OUT)-(c_TMAP1OUT))+IF(((c_TMAP2OUT)-(c_TMAP1OUT))&gt;=0,1,-1)*QUOTIENT(((c_TMAP2IN)-(c_TMAP1IN)),2))+2147483648,4294967296)-2147483648,((c_TMAP2IN)-(c_TMAP1IN))*(((A122)-(c_TMAP1IN))*((c_TMAP2OUT)-(c_TMAP1OUT))+IF(((c_TMAP2OUT)-(c_TMAP1OUT))&gt;=0,1,-1)*QUOTIENT(((c_TMAP2IN)-(c_TMAP1IN)),2)))&gt;=0,1,0)))</f>
        <v>77</v>
      </c>
      <c r="F122" s="7" t="n">
        <f aca="false">IF(((c_TMAP3IN)-(c_TMAP2IN))=0,(c_TMAP2OUT)+QUOTIENT(((c_TMAP3OUT)-(c_TMAP2OUT)),2),QUOTIENT((((A122)-(c_TMAP2IN))*((c_TMAP3OUT)-(c_TMAP2OUT))+IF(((c_TMAP3OUT)-(c_TMAP2OUT))&gt;=0,1,-1)*QUOTIENT(((c_TMAP3IN)-(c_TMAP2IN)),2)),((c_TMAP3IN)-(c_TMAP2IN)))+(c_TMAP2OUT)+IF(((c_TMAP3OUT)-(c_TMAP2OUT))&gt;=0,IF(IF(o_WRAP=1,MOD(((c_TMAP3IN)-(c_TMAP2IN))*(((A122)-(c_TMAP2IN))*((c_TMAP3OUT)-(c_TMAP2OUT))+IF(((c_TMAP3OUT)-(c_TMAP2OUT))&gt;=0,1,-1)*QUOTIENT(((c_TMAP3IN)-(c_TMAP2IN)),2))+2147483648,4294967296)-2147483648,((c_TMAP3IN)-(c_TMAP2IN))*(((A122)-(c_TMAP2IN))*((c_TMAP3OUT)-(c_TMAP2OUT))+IF(((c_TMAP3OUT)-(c_TMAP2OUT))&gt;=0,1,-1)*QUOTIENT(((c_TMAP3IN)-(c_TMAP2IN)),2)))&lt;0,-1,0),IF(IF(o_WRAP=1,MOD(((c_TMAP3IN)-(c_TMAP2IN))*(((A122)-(c_TMAP2IN))*((c_TMAP3OUT)-(c_TMAP2OUT))+IF(((c_TMAP3OUT)-(c_TMAP2OUT))&gt;=0,1,-1)*QUOTIENT(((c_TMAP3IN)-(c_TMAP2IN)),2))+2147483648,4294967296)-2147483648,((c_TMAP3IN)-(c_TMAP2IN))*(((A122)-(c_TMAP2IN))*((c_TMAP3OUT)-(c_TMAP2OUT))+IF(((c_TMAP3OUT)-(c_TMAP2OUT))&gt;=0,1,-1)*QUOTIENT(((c_TMAP3IN)-(c_TMAP2IN)),2)))&gt;=0,1,0)))</f>
        <v>37</v>
      </c>
      <c r="G122" s="7" t="n">
        <f aca="false">IF(((1000)-(c_TMAP3IN))=0,(c_TMAP3OUT)+QUOTIENT(((1000)-(c_TMAP3OUT)),2),QUOTIENT((((A122)-(c_TMAP3IN))*((1000)-(c_TMAP3OUT))+IF(((1000)-(c_TMAP3OUT))&gt;=0,1,-1)*QUOTIENT(((1000)-(c_TMAP3IN)),2)),((1000)-(c_TMAP3IN)))+(c_TMAP3OUT)+IF(((1000)-(c_TMAP3OUT))&gt;=0,IF(IF(o_WRAP=1,MOD(((1000)-(c_TMAP3IN))*(((A122)-(c_TMAP3IN))*((1000)-(c_TMAP3OUT))+IF(((1000)-(c_TMAP3OUT))&gt;=0,1,-1)*QUOTIENT(((1000)-(c_TMAP3IN)),2))+2147483648,4294967296)-2147483648,((1000)-(c_TMAP3IN))*(((A122)-(c_TMAP3IN))*((1000)-(c_TMAP3OUT))+IF(((1000)-(c_TMAP3OUT))&gt;=0,1,-1)*QUOTIENT(((1000)-(c_TMAP3IN)),2)))&lt;0,-1,0),IF(IF(o_WRAP=1,MOD(((1000)-(c_TMAP3IN))*(((A122)-(c_TMAP3IN))*((1000)-(c_TMAP3OUT))+IF(((1000)-(c_TMAP3OUT))&gt;=0,1,-1)*QUOTIENT(((1000)-(c_TMAP3IN)),2))+2147483648,4294967296)-2147483648,((1000)-(c_TMAP3IN))*(((A122)-(c_TMAP3IN))*((1000)-(c_TMAP3OUT))+IF(((1000)-(c_TMAP3OUT))&gt;=0,1,-1)*QUOTIENT(((1000)-(c_TMAP3IN)),2)))&gt;=0,1,0)))</f>
        <v>-87</v>
      </c>
      <c r="H122" s="7" t="str">
        <f aca="false">IF(A122&gt;=c_TFWD,IF(AND(A122&gt;=c_TMAP3IN,c_TMAP3IN&lt;1000),"Seg4 map3-100%",IF(AND(A122&gt;=c_TMAP2IN,c_TMAP3IN&gt;c_TMAP2IN),"Seg3 map2-map3",IF(AND(A122&gt;=c_TMAP1IN,c_TMAP2IN&gt;c_TMAP1IN),"Seg2 map1-map2","Seg1 TFWD-map1"))),IF(AND(A122=0,c_TCREEP&gt;0),"Creep",IF(AND(A122&lt;=c_TRNGMIN,A122&gt;=c_TRNGMAX,c_TRNGMIN-c_TRNGMAX&lt;&gt;0),"Regen ramp","Coast (0)")))</f>
        <v>Seg2 map1-map2</v>
      </c>
      <c r="I122" s="7" t="n">
        <f aca="false">IF(A122&gt;=c_TFWD,IF(AND(A122&gt;=c_TMAP3IN,c_TMAP3IN&lt;1000),G122,IF(AND(A122&gt;=c_TMAP2IN,c_TMAP3IN&gt;c_TMAP2IN),F122,IF(AND(A122&gt;=c_TMAP1IN,c_TMAP2IN&gt;c_TMAP1IN),E122,D122))),C122)</f>
        <v>77</v>
      </c>
      <c r="J122" s="7" t="str">
        <f aca="false">IF(I122&lt;-1090,"TOO LOW",IF(I122&gt;1090,"TOO HIGH",""))</f>
        <v/>
      </c>
      <c r="K122" s="15" t="n">
        <f aca="false">IF(J122&lt;&gt;"",0,IF(I122&gt;979,1000,I122))</f>
        <v>77</v>
      </c>
      <c r="L122" s="7" t="n">
        <f aca="false">K122/10</f>
        <v>7.7</v>
      </c>
    </row>
    <row r="123" customFormat="false" ht="15" hidden="false" customHeight="false" outlineLevel="0" collapsed="false">
      <c r="A123" s="7" t="n">
        <v>118</v>
      </c>
      <c r="B123" s="7" t="n">
        <f aca="false">A123/10</f>
        <v>11.8</v>
      </c>
      <c r="C123" s="7" t="n">
        <f aca="false">IF(AND(A123=0,c_TCREEP&gt;0),10*c_TCREEP,IF(AND(A123&lt;=c_TRNGMIN,A123&gt;=c_TRNGMAX,c_TRNGMIN-c_TRNGMAX&lt;&gt;0),-10*c_TMINRN+QUOTIENT((c_TMAXRN-c_TMINRN)*(100-QUOTIENT((A123-c_TRNGMAX)*100,c_TRNGMIN-c_TRNGMAX)),-10),0))</f>
        <v>0</v>
      </c>
      <c r="D123" s="7" t="n">
        <f aca="false">IF(((c_TMAP1IN)-(c_TFWD))=0,(0)+QUOTIENT(((c_TMAP1OUT)-(0)),2),QUOTIENT((((A123)-(c_TFWD))*((c_TMAP1OUT)-(0))+IF(((c_TMAP1OUT)-(0))&gt;=0,1,-1)*QUOTIENT(((c_TMAP1IN)-(c_TFWD)),2)),((c_TMAP1IN)-(c_TFWD)))+(0)+IF(((c_TMAP1OUT)-(0))&gt;=0,IF(IF(o_WRAP=1,MOD(((c_TMAP1IN)-(c_TFWD))*(((A123)-(c_TFWD))*((c_TMAP1OUT)-(0))+IF(((c_TMAP1OUT)-(0))&gt;=0,1,-1)*QUOTIENT(((c_TMAP1IN)-(c_TFWD)),2))+2147483648,4294967296)-2147483648,((c_TMAP1IN)-(c_TFWD))*(((A123)-(c_TFWD))*((c_TMAP1OUT)-(0))+IF(((c_TMAP1OUT)-(0))&gt;=0,1,-1)*QUOTIENT(((c_TMAP1IN)-(c_TFWD)),2)))&lt;0,-1,0),IF(IF(o_WRAP=1,MOD(((c_TMAP1IN)-(c_TFWD))*(((A123)-(c_TFWD))*((c_TMAP1OUT)-(0))+IF(((c_TMAP1OUT)-(0))&gt;=0,1,-1)*QUOTIENT(((c_TMAP1IN)-(c_TFWD)),2))+2147483648,4294967296)-2147483648,((c_TMAP1IN)-(c_TFWD))*(((A123)-(c_TFWD))*((c_TMAP1OUT)-(0))+IF(((c_TMAP1OUT)-(0))&gt;=0,1,-1)*QUOTIENT(((c_TMAP1IN)-(c_TFWD)),2)))&gt;=0,1,0)))</f>
        <v>84</v>
      </c>
      <c r="E123" s="7" t="n">
        <f aca="false">IF(((c_TMAP2IN)-(c_TMAP1IN))=0,(c_TMAP1OUT)+QUOTIENT(((c_TMAP2OUT)-(c_TMAP1OUT)),2),QUOTIENT((((A123)-(c_TMAP1IN))*((c_TMAP2OUT)-(c_TMAP1OUT))+IF(((c_TMAP2OUT)-(c_TMAP1OUT))&gt;=0,1,-1)*QUOTIENT(((c_TMAP2IN)-(c_TMAP1IN)),2)),((c_TMAP2IN)-(c_TMAP1IN)))+(c_TMAP1OUT)+IF(((c_TMAP2OUT)-(c_TMAP1OUT))&gt;=0,IF(IF(o_WRAP=1,MOD(((c_TMAP2IN)-(c_TMAP1IN))*(((A123)-(c_TMAP1IN))*((c_TMAP2OUT)-(c_TMAP1OUT))+IF(((c_TMAP2OUT)-(c_TMAP1OUT))&gt;=0,1,-1)*QUOTIENT(((c_TMAP2IN)-(c_TMAP1IN)),2))+2147483648,4294967296)-2147483648,((c_TMAP2IN)-(c_TMAP1IN))*(((A123)-(c_TMAP1IN))*((c_TMAP2OUT)-(c_TMAP1OUT))+IF(((c_TMAP2OUT)-(c_TMAP1OUT))&gt;=0,1,-1)*QUOTIENT(((c_TMAP2IN)-(c_TMAP1IN)),2)))&lt;0,-1,0),IF(IF(o_WRAP=1,MOD(((c_TMAP2IN)-(c_TMAP1IN))*(((A123)-(c_TMAP1IN))*((c_TMAP2OUT)-(c_TMAP1OUT))+IF(((c_TMAP2OUT)-(c_TMAP1OUT))&gt;=0,1,-1)*QUOTIENT(((c_TMAP2IN)-(c_TMAP1IN)),2))+2147483648,4294967296)-2147483648,((c_TMAP2IN)-(c_TMAP1IN))*(((A123)-(c_TMAP1IN))*((c_TMAP2OUT)-(c_TMAP1OUT))+IF(((c_TMAP2OUT)-(c_TMAP1OUT))&gt;=0,1,-1)*QUOTIENT(((c_TMAP2IN)-(c_TMAP1IN)),2)))&gt;=0,1,0)))</f>
        <v>77</v>
      </c>
      <c r="F123" s="7" t="n">
        <f aca="false">IF(((c_TMAP3IN)-(c_TMAP2IN))=0,(c_TMAP2OUT)+QUOTIENT(((c_TMAP3OUT)-(c_TMAP2OUT)),2),QUOTIENT((((A123)-(c_TMAP2IN))*((c_TMAP3OUT)-(c_TMAP2OUT))+IF(((c_TMAP3OUT)-(c_TMAP2OUT))&gt;=0,1,-1)*QUOTIENT(((c_TMAP3IN)-(c_TMAP2IN)),2)),((c_TMAP3IN)-(c_TMAP2IN)))+(c_TMAP2OUT)+IF(((c_TMAP3OUT)-(c_TMAP2OUT))&gt;=0,IF(IF(o_WRAP=1,MOD(((c_TMAP3IN)-(c_TMAP2IN))*(((A123)-(c_TMAP2IN))*((c_TMAP3OUT)-(c_TMAP2OUT))+IF(((c_TMAP3OUT)-(c_TMAP2OUT))&gt;=0,1,-1)*QUOTIENT(((c_TMAP3IN)-(c_TMAP2IN)),2))+2147483648,4294967296)-2147483648,((c_TMAP3IN)-(c_TMAP2IN))*(((A123)-(c_TMAP2IN))*((c_TMAP3OUT)-(c_TMAP2OUT))+IF(((c_TMAP3OUT)-(c_TMAP2OUT))&gt;=0,1,-1)*QUOTIENT(((c_TMAP3IN)-(c_TMAP2IN)),2)))&lt;0,-1,0),IF(IF(o_WRAP=1,MOD(((c_TMAP3IN)-(c_TMAP2IN))*(((A123)-(c_TMAP2IN))*((c_TMAP3OUT)-(c_TMAP2OUT))+IF(((c_TMAP3OUT)-(c_TMAP2OUT))&gt;=0,1,-1)*QUOTIENT(((c_TMAP3IN)-(c_TMAP2IN)),2))+2147483648,4294967296)-2147483648,((c_TMAP3IN)-(c_TMAP2IN))*(((A123)-(c_TMAP2IN))*((c_TMAP3OUT)-(c_TMAP2OUT))+IF(((c_TMAP3OUT)-(c_TMAP2OUT))&gt;=0,1,-1)*QUOTIENT(((c_TMAP3IN)-(c_TMAP2IN)),2)))&gt;=0,1,0)))</f>
        <v>38</v>
      </c>
      <c r="G123" s="7" t="n">
        <f aca="false">IF(((1000)-(c_TMAP3IN))=0,(c_TMAP3OUT)+QUOTIENT(((1000)-(c_TMAP3OUT)),2),QUOTIENT((((A123)-(c_TMAP3IN))*((1000)-(c_TMAP3OUT))+IF(((1000)-(c_TMAP3OUT))&gt;=0,1,-1)*QUOTIENT(((1000)-(c_TMAP3IN)),2)),((1000)-(c_TMAP3IN)))+(c_TMAP3OUT)+IF(((1000)-(c_TMAP3OUT))&gt;=0,IF(IF(o_WRAP=1,MOD(((1000)-(c_TMAP3IN))*(((A123)-(c_TMAP3IN))*((1000)-(c_TMAP3OUT))+IF(((1000)-(c_TMAP3OUT))&gt;=0,1,-1)*QUOTIENT(((1000)-(c_TMAP3IN)),2))+2147483648,4294967296)-2147483648,((1000)-(c_TMAP3IN))*(((A123)-(c_TMAP3IN))*((1000)-(c_TMAP3OUT))+IF(((1000)-(c_TMAP3OUT))&gt;=0,1,-1)*QUOTIENT(((1000)-(c_TMAP3IN)),2)))&lt;0,-1,0),IF(IF(o_WRAP=1,MOD(((1000)-(c_TMAP3IN))*(((A123)-(c_TMAP3IN))*((1000)-(c_TMAP3OUT))+IF(((1000)-(c_TMAP3OUT))&gt;=0,1,-1)*QUOTIENT(((1000)-(c_TMAP3IN)),2))+2147483648,4294967296)-2147483648,((1000)-(c_TMAP3IN))*(((A123)-(c_TMAP3IN))*((1000)-(c_TMAP3OUT))+IF(((1000)-(c_TMAP3OUT))&gt;=0,1,-1)*QUOTIENT(((1000)-(c_TMAP3IN)),2)))&gt;=0,1,0)))</f>
        <v>-86</v>
      </c>
      <c r="H123" s="7" t="str">
        <f aca="false">IF(A123&gt;=c_TFWD,IF(AND(A123&gt;=c_TMAP3IN,c_TMAP3IN&lt;1000),"Seg4 map3-100%",IF(AND(A123&gt;=c_TMAP2IN,c_TMAP3IN&gt;c_TMAP2IN),"Seg3 map2-map3",IF(AND(A123&gt;=c_TMAP1IN,c_TMAP2IN&gt;c_TMAP1IN),"Seg2 map1-map2","Seg1 TFWD-map1"))),IF(AND(A123=0,c_TCREEP&gt;0),"Creep",IF(AND(A123&lt;=c_TRNGMIN,A123&gt;=c_TRNGMAX,c_TRNGMIN-c_TRNGMAX&lt;&gt;0),"Regen ramp","Coast (0)")))</f>
        <v>Seg2 map1-map2</v>
      </c>
      <c r="I123" s="7" t="n">
        <f aca="false">IF(A123&gt;=c_TFWD,IF(AND(A123&gt;=c_TMAP3IN,c_TMAP3IN&lt;1000),G123,IF(AND(A123&gt;=c_TMAP2IN,c_TMAP3IN&gt;c_TMAP2IN),F123,IF(AND(A123&gt;=c_TMAP1IN,c_TMAP2IN&gt;c_TMAP1IN),E123,D123))),C123)</f>
        <v>77</v>
      </c>
      <c r="J123" s="7" t="str">
        <f aca="false">IF(I123&lt;-1090,"TOO LOW",IF(I123&gt;1090,"TOO HIGH",""))</f>
        <v/>
      </c>
      <c r="K123" s="15" t="n">
        <f aca="false">IF(J123&lt;&gt;"",0,IF(I123&gt;979,1000,I123))</f>
        <v>77</v>
      </c>
      <c r="L123" s="7" t="n">
        <f aca="false">K123/10</f>
        <v>7.7</v>
      </c>
    </row>
    <row r="124" customFormat="false" ht="15" hidden="false" customHeight="false" outlineLevel="0" collapsed="false">
      <c r="A124" s="7" t="n">
        <v>119</v>
      </c>
      <c r="B124" s="7" t="n">
        <f aca="false">A124/10</f>
        <v>11.9</v>
      </c>
      <c r="C124" s="7" t="n">
        <f aca="false">IF(AND(A124=0,c_TCREEP&gt;0),10*c_TCREEP,IF(AND(A124&lt;=c_TRNGMIN,A124&gt;=c_TRNGMAX,c_TRNGMIN-c_TRNGMAX&lt;&gt;0),-10*c_TMINRN+QUOTIENT((c_TMAXRN-c_TMINRN)*(100-QUOTIENT((A124-c_TRNGMAX)*100,c_TRNGMIN-c_TRNGMAX)),-10),0))</f>
        <v>0</v>
      </c>
      <c r="D124" s="7" t="n">
        <f aca="false">IF(((c_TMAP1IN)-(c_TFWD))=0,(0)+QUOTIENT(((c_TMAP1OUT)-(0)),2),QUOTIENT((((A124)-(c_TFWD))*((c_TMAP1OUT)-(0))+IF(((c_TMAP1OUT)-(0))&gt;=0,1,-1)*QUOTIENT(((c_TMAP1IN)-(c_TFWD)),2)),((c_TMAP1IN)-(c_TFWD)))+(0)+IF(((c_TMAP1OUT)-(0))&gt;=0,IF(IF(o_WRAP=1,MOD(((c_TMAP1IN)-(c_TFWD))*(((A124)-(c_TFWD))*((c_TMAP1OUT)-(0))+IF(((c_TMAP1OUT)-(0))&gt;=0,1,-1)*QUOTIENT(((c_TMAP1IN)-(c_TFWD)),2))+2147483648,4294967296)-2147483648,((c_TMAP1IN)-(c_TFWD))*(((A124)-(c_TFWD))*((c_TMAP1OUT)-(0))+IF(((c_TMAP1OUT)-(0))&gt;=0,1,-1)*QUOTIENT(((c_TMAP1IN)-(c_TFWD)),2)))&lt;0,-1,0),IF(IF(o_WRAP=1,MOD(((c_TMAP1IN)-(c_TFWD))*(((A124)-(c_TFWD))*((c_TMAP1OUT)-(0))+IF(((c_TMAP1OUT)-(0))&gt;=0,1,-1)*QUOTIENT(((c_TMAP1IN)-(c_TFWD)),2))+2147483648,4294967296)-2147483648,((c_TMAP1IN)-(c_TFWD))*(((A124)-(c_TFWD))*((c_TMAP1OUT)-(0))+IF(((c_TMAP1OUT)-(0))&gt;=0,1,-1)*QUOTIENT(((c_TMAP1IN)-(c_TFWD)),2)))&gt;=0,1,0)))</f>
        <v>85</v>
      </c>
      <c r="E124" s="7" t="n">
        <f aca="false">IF(((c_TMAP2IN)-(c_TMAP1IN))=0,(c_TMAP1OUT)+QUOTIENT(((c_TMAP2OUT)-(c_TMAP1OUT)),2),QUOTIENT((((A124)-(c_TMAP1IN))*((c_TMAP2OUT)-(c_TMAP1OUT))+IF(((c_TMAP2OUT)-(c_TMAP1OUT))&gt;=0,1,-1)*QUOTIENT(((c_TMAP2IN)-(c_TMAP1IN)),2)),((c_TMAP2IN)-(c_TMAP1IN)))+(c_TMAP1OUT)+IF(((c_TMAP2OUT)-(c_TMAP1OUT))&gt;=0,IF(IF(o_WRAP=1,MOD(((c_TMAP2IN)-(c_TMAP1IN))*(((A124)-(c_TMAP1IN))*((c_TMAP2OUT)-(c_TMAP1OUT))+IF(((c_TMAP2OUT)-(c_TMAP1OUT))&gt;=0,1,-1)*QUOTIENT(((c_TMAP2IN)-(c_TMAP1IN)),2))+2147483648,4294967296)-2147483648,((c_TMAP2IN)-(c_TMAP1IN))*(((A124)-(c_TMAP1IN))*((c_TMAP2OUT)-(c_TMAP1OUT))+IF(((c_TMAP2OUT)-(c_TMAP1OUT))&gt;=0,1,-1)*QUOTIENT(((c_TMAP2IN)-(c_TMAP1IN)),2)))&lt;0,-1,0),IF(IF(o_WRAP=1,MOD(((c_TMAP2IN)-(c_TMAP1IN))*(((A124)-(c_TMAP1IN))*((c_TMAP2OUT)-(c_TMAP1OUT))+IF(((c_TMAP2OUT)-(c_TMAP1OUT))&gt;=0,1,-1)*QUOTIENT(((c_TMAP2IN)-(c_TMAP1IN)),2))+2147483648,4294967296)-2147483648,((c_TMAP2IN)-(c_TMAP1IN))*(((A124)-(c_TMAP1IN))*((c_TMAP2OUT)-(c_TMAP1OUT))+IF(((c_TMAP2OUT)-(c_TMAP1OUT))&gt;=0,1,-1)*QUOTIENT(((c_TMAP2IN)-(c_TMAP1IN)),2)))&gt;=0,1,0)))</f>
        <v>78</v>
      </c>
      <c r="F124" s="7" t="n">
        <f aca="false">IF(((c_TMAP3IN)-(c_TMAP2IN))=0,(c_TMAP2OUT)+QUOTIENT(((c_TMAP3OUT)-(c_TMAP2OUT)),2),QUOTIENT((((A124)-(c_TMAP2IN))*((c_TMAP3OUT)-(c_TMAP2OUT))+IF(((c_TMAP3OUT)-(c_TMAP2OUT))&gt;=0,1,-1)*QUOTIENT(((c_TMAP3IN)-(c_TMAP2IN)),2)),((c_TMAP3IN)-(c_TMAP2IN)))+(c_TMAP2OUT)+IF(((c_TMAP3OUT)-(c_TMAP2OUT))&gt;=0,IF(IF(o_WRAP=1,MOD(((c_TMAP3IN)-(c_TMAP2IN))*(((A124)-(c_TMAP2IN))*((c_TMAP3OUT)-(c_TMAP2OUT))+IF(((c_TMAP3OUT)-(c_TMAP2OUT))&gt;=0,1,-1)*QUOTIENT(((c_TMAP3IN)-(c_TMAP2IN)),2))+2147483648,4294967296)-2147483648,((c_TMAP3IN)-(c_TMAP2IN))*(((A124)-(c_TMAP2IN))*((c_TMAP3OUT)-(c_TMAP2OUT))+IF(((c_TMAP3OUT)-(c_TMAP2OUT))&gt;=0,1,-1)*QUOTIENT(((c_TMAP3IN)-(c_TMAP2IN)),2)))&lt;0,-1,0),IF(IF(o_WRAP=1,MOD(((c_TMAP3IN)-(c_TMAP2IN))*(((A124)-(c_TMAP2IN))*((c_TMAP3OUT)-(c_TMAP2OUT))+IF(((c_TMAP3OUT)-(c_TMAP2OUT))&gt;=0,1,-1)*QUOTIENT(((c_TMAP3IN)-(c_TMAP2IN)),2))+2147483648,4294967296)-2147483648,((c_TMAP3IN)-(c_TMAP2IN))*(((A124)-(c_TMAP2IN))*((c_TMAP3OUT)-(c_TMAP2OUT))+IF(((c_TMAP3OUT)-(c_TMAP2OUT))&gt;=0,1,-1)*QUOTIENT(((c_TMAP3IN)-(c_TMAP2IN)),2)))&gt;=0,1,0)))</f>
        <v>38</v>
      </c>
      <c r="G124" s="7" t="n">
        <f aca="false">IF(((1000)-(c_TMAP3IN))=0,(c_TMAP3OUT)+QUOTIENT(((1000)-(c_TMAP3OUT)),2),QUOTIENT((((A124)-(c_TMAP3IN))*((1000)-(c_TMAP3OUT))+IF(((1000)-(c_TMAP3OUT))&gt;=0,1,-1)*QUOTIENT(((1000)-(c_TMAP3IN)),2)),((1000)-(c_TMAP3IN)))+(c_TMAP3OUT)+IF(((1000)-(c_TMAP3OUT))&gt;=0,IF(IF(o_WRAP=1,MOD(((1000)-(c_TMAP3IN))*(((A124)-(c_TMAP3IN))*((1000)-(c_TMAP3OUT))+IF(((1000)-(c_TMAP3OUT))&gt;=0,1,-1)*QUOTIENT(((1000)-(c_TMAP3IN)),2))+2147483648,4294967296)-2147483648,((1000)-(c_TMAP3IN))*(((A124)-(c_TMAP3IN))*((1000)-(c_TMAP3OUT))+IF(((1000)-(c_TMAP3OUT))&gt;=0,1,-1)*QUOTIENT(((1000)-(c_TMAP3IN)),2)))&lt;0,-1,0),IF(IF(o_WRAP=1,MOD(((1000)-(c_TMAP3IN))*(((A124)-(c_TMAP3IN))*((1000)-(c_TMAP3OUT))+IF(((1000)-(c_TMAP3OUT))&gt;=0,1,-1)*QUOTIENT(((1000)-(c_TMAP3IN)),2))+2147483648,4294967296)-2147483648,((1000)-(c_TMAP3IN))*(((A124)-(c_TMAP3IN))*((1000)-(c_TMAP3OUT))+IF(((1000)-(c_TMAP3OUT))&gt;=0,1,-1)*QUOTIENT(((1000)-(c_TMAP3IN)),2)))&gt;=0,1,0)))</f>
        <v>-84</v>
      </c>
      <c r="H124" s="7" t="str">
        <f aca="false">IF(A124&gt;=c_TFWD,IF(AND(A124&gt;=c_TMAP3IN,c_TMAP3IN&lt;1000),"Seg4 map3-100%",IF(AND(A124&gt;=c_TMAP2IN,c_TMAP3IN&gt;c_TMAP2IN),"Seg3 map2-map3",IF(AND(A124&gt;=c_TMAP1IN,c_TMAP2IN&gt;c_TMAP1IN),"Seg2 map1-map2","Seg1 TFWD-map1"))),IF(AND(A124=0,c_TCREEP&gt;0),"Creep",IF(AND(A124&lt;=c_TRNGMIN,A124&gt;=c_TRNGMAX,c_TRNGMIN-c_TRNGMAX&lt;&gt;0),"Regen ramp","Coast (0)")))</f>
        <v>Seg2 map1-map2</v>
      </c>
      <c r="I124" s="7" t="n">
        <f aca="false">IF(A124&gt;=c_TFWD,IF(AND(A124&gt;=c_TMAP3IN,c_TMAP3IN&lt;1000),G124,IF(AND(A124&gt;=c_TMAP2IN,c_TMAP3IN&gt;c_TMAP2IN),F124,IF(AND(A124&gt;=c_TMAP1IN,c_TMAP2IN&gt;c_TMAP1IN),E124,D124))),C124)</f>
        <v>78</v>
      </c>
      <c r="J124" s="7" t="str">
        <f aca="false">IF(I124&lt;-1090,"TOO LOW",IF(I124&gt;1090,"TOO HIGH",""))</f>
        <v/>
      </c>
      <c r="K124" s="15" t="n">
        <f aca="false">IF(J124&lt;&gt;"",0,IF(I124&gt;979,1000,I124))</f>
        <v>78</v>
      </c>
      <c r="L124" s="7" t="n">
        <f aca="false">K124/10</f>
        <v>7.8</v>
      </c>
    </row>
    <row r="125" customFormat="false" ht="15" hidden="false" customHeight="false" outlineLevel="0" collapsed="false">
      <c r="A125" s="7" t="n">
        <v>120</v>
      </c>
      <c r="B125" s="7" t="n">
        <f aca="false">A125/10</f>
        <v>12</v>
      </c>
      <c r="C125" s="7" t="n">
        <f aca="false">IF(AND(A125=0,c_TCREEP&gt;0),10*c_TCREEP,IF(AND(A125&lt;=c_TRNGMIN,A125&gt;=c_TRNGMAX,c_TRNGMIN-c_TRNGMAX&lt;&gt;0),-10*c_TMINRN+QUOTIENT((c_TMAXRN-c_TMINRN)*(100-QUOTIENT((A125-c_TRNGMAX)*100,c_TRNGMIN-c_TRNGMAX)),-10),0))</f>
        <v>0</v>
      </c>
      <c r="D125" s="7" t="n">
        <f aca="false">IF(((c_TMAP1IN)-(c_TFWD))=0,(0)+QUOTIENT(((c_TMAP1OUT)-(0)),2),QUOTIENT((((A125)-(c_TFWD))*((c_TMAP1OUT)-(0))+IF(((c_TMAP1OUT)-(0))&gt;=0,1,-1)*QUOTIENT(((c_TMAP1IN)-(c_TFWD)),2)),((c_TMAP1IN)-(c_TFWD)))+(0)+IF(((c_TMAP1OUT)-(0))&gt;=0,IF(IF(o_WRAP=1,MOD(((c_TMAP1IN)-(c_TFWD))*(((A125)-(c_TFWD))*((c_TMAP1OUT)-(0))+IF(((c_TMAP1OUT)-(0))&gt;=0,1,-1)*QUOTIENT(((c_TMAP1IN)-(c_TFWD)),2))+2147483648,4294967296)-2147483648,((c_TMAP1IN)-(c_TFWD))*(((A125)-(c_TFWD))*((c_TMAP1OUT)-(0))+IF(((c_TMAP1OUT)-(0))&gt;=0,1,-1)*QUOTIENT(((c_TMAP1IN)-(c_TFWD)),2)))&lt;0,-1,0),IF(IF(o_WRAP=1,MOD(((c_TMAP1IN)-(c_TFWD))*(((A125)-(c_TFWD))*((c_TMAP1OUT)-(0))+IF(((c_TMAP1OUT)-(0))&gt;=0,1,-1)*QUOTIENT(((c_TMAP1IN)-(c_TFWD)),2))+2147483648,4294967296)-2147483648,((c_TMAP1IN)-(c_TFWD))*(((A125)-(c_TFWD))*((c_TMAP1OUT)-(0))+IF(((c_TMAP1OUT)-(0))&gt;=0,1,-1)*QUOTIENT(((c_TMAP1IN)-(c_TFWD)),2)))&gt;=0,1,0)))</f>
        <v>86</v>
      </c>
      <c r="E125" s="7" t="n">
        <f aca="false">IF(((c_TMAP2IN)-(c_TMAP1IN))=0,(c_TMAP1OUT)+QUOTIENT(((c_TMAP2OUT)-(c_TMAP1OUT)),2),QUOTIENT((((A125)-(c_TMAP1IN))*((c_TMAP2OUT)-(c_TMAP1OUT))+IF(((c_TMAP2OUT)-(c_TMAP1OUT))&gt;=0,1,-1)*QUOTIENT(((c_TMAP2IN)-(c_TMAP1IN)),2)),((c_TMAP2IN)-(c_TMAP1IN)))+(c_TMAP1OUT)+IF(((c_TMAP2OUT)-(c_TMAP1OUT))&gt;=0,IF(IF(o_WRAP=1,MOD(((c_TMAP2IN)-(c_TMAP1IN))*(((A125)-(c_TMAP1IN))*((c_TMAP2OUT)-(c_TMAP1OUT))+IF(((c_TMAP2OUT)-(c_TMAP1OUT))&gt;=0,1,-1)*QUOTIENT(((c_TMAP2IN)-(c_TMAP1IN)),2))+2147483648,4294967296)-2147483648,((c_TMAP2IN)-(c_TMAP1IN))*(((A125)-(c_TMAP1IN))*((c_TMAP2OUT)-(c_TMAP1OUT))+IF(((c_TMAP2OUT)-(c_TMAP1OUT))&gt;=0,1,-1)*QUOTIENT(((c_TMAP2IN)-(c_TMAP1IN)),2)))&lt;0,-1,0),IF(IF(o_WRAP=1,MOD(((c_TMAP2IN)-(c_TMAP1IN))*(((A125)-(c_TMAP1IN))*((c_TMAP2OUT)-(c_TMAP1OUT))+IF(((c_TMAP2OUT)-(c_TMAP1OUT))&gt;=0,1,-1)*QUOTIENT(((c_TMAP2IN)-(c_TMAP1IN)),2))+2147483648,4294967296)-2147483648,((c_TMAP2IN)-(c_TMAP1IN))*(((A125)-(c_TMAP1IN))*((c_TMAP2OUT)-(c_TMAP1OUT))+IF(((c_TMAP2OUT)-(c_TMAP1OUT))&gt;=0,1,-1)*QUOTIENT(((c_TMAP2IN)-(c_TMAP1IN)),2)))&gt;=0,1,0)))</f>
        <v>78</v>
      </c>
      <c r="F125" s="7" t="n">
        <f aca="false">IF(((c_TMAP3IN)-(c_TMAP2IN))=0,(c_TMAP2OUT)+QUOTIENT(((c_TMAP3OUT)-(c_TMAP2OUT)),2),QUOTIENT((((A125)-(c_TMAP2IN))*((c_TMAP3OUT)-(c_TMAP2OUT))+IF(((c_TMAP3OUT)-(c_TMAP2OUT))&gt;=0,1,-1)*QUOTIENT(((c_TMAP3IN)-(c_TMAP2IN)),2)),((c_TMAP3IN)-(c_TMAP2IN)))+(c_TMAP2OUT)+IF(((c_TMAP3OUT)-(c_TMAP2OUT))&gt;=0,IF(IF(o_WRAP=1,MOD(((c_TMAP3IN)-(c_TMAP2IN))*(((A125)-(c_TMAP2IN))*((c_TMAP3OUT)-(c_TMAP2OUT))+IF(((c_TMAP3OUT)-(c_TMAP2OUT))&gt;=0,1,-1)*QUOTIENT(((c_TMAP3IN)-(c_TMAP2IN)),2))+2147483648,4294967296)-2147483648,((c_TMAP3IN)-(c_TMAP2IN))*(((A125)-(c_TMAP2IN))*((c_TMAP3OUT)-(c_TMAP2OUT))+IF(((c_TMAP3OUT)-(c_TMAP2OUT))&gt;=0,1,-1)*QUOTIENT(((c_TMAP3IN)-(c_TMAP2IN)),2)))&lt;0,-1,0),IF(IF(o_WRAP=1,MOD(((c_TMAP3IN)-(c_TMAP2IN))*(((A125)-(c_TMAP2IN))*((c_TMAP3OUT)-(c_TMAP2OUT))+IF(((c_TMAP3OUT)-(c_TMAP2OUT))&gt;=0,1,-1)*QUOTIENT(((c_TMAP3IN)-(c_TMAP2IN)),2))+2147483648,4294967296)-2147483648,((c_TMAP3IN)-(c_TMAP2IN))*(((A125)-(c_TMAP2IN))*((c_TMAP3OUT)-(c_TMAP2OUT))+IF(((c_TMAP3OUT)-(c_TMAP2OUT))&gt;=0,1,-1)*QUOTIENT(((c_TMAP3IN)-(c_TMAP2IN)),2)))&gt;=0,1,0)))</f>
        <v>39</v>
      </c>
      <c r="G125" s="7" t="n">
        <f aca="false">IF(((1000)-(c_TMAP3IN))=0,(c_TMAP3OUT)+QUOTIENT(((1000)-(c_TMAP3OUT)),2),QUOTIENT((((A125)-(c_TMAP3IN))*((1000)-(c_TMAP3OUT))+IF(((1000)-(c_TMAP3OUT))&gt;=0,1,-1)*QUOTIENT(((1000)-(c_TMAP3IN)),2)),((1000)-(c_TMAP3IN)))+(c_TMAP3OUT)+IF(((1000)-(c_TMAP3OUT))&gt;=0,IF(IF(o_WRAP=1,MOD(((1000)-(c_TMAP3IN))*(((A125)-(c_TMAP3IN))*((1000)-(c_TMAP3OUT))+IF(((1000)-(c_TMAP3OUT))&gt;=0,1,-1)*QUOTIENT(((1000)-(c_TMAP3IN)),2))+2147483648,4294967296)-2147483648,((1000)-(c_TMAP3IN))*(((A125)-(c_TMAP3IN))*((1000)-(c_TMAP3OUT))+IF(((1000)-(c_TMAP3OUT))&gt;=0,1,-1)*QUOTIENT(((1000)-(c_TMAP3IN)),2)))&lt;0,-1,0),IF(IF(o_WRAP=1,MOD(((1000)-(c_TMAP3IN))*(((A125)-(c_TMAP3IN))*((1000)-(c_TMAP3OUT))+IF(((1000)-(c_TMAP3OUT))&gt;=0,1,-1)*QUOTIENT(((1000)-(c_TMAP3IN)),2))+2147483648,4294967296)-2147483648,((1000)-(c_TMAP3IN))*(((A125)-(c_TMAP3IN))*((1000)-(c_TMAP3OUT))+IF(((1000)-(c_TMAP3OUT))&gt;=0,1,-1)*QUOTIENT(((1000)-(c_TMAP3IN)),2)))&gt;=0,1,0)))</f>
        <v>-83</v>
      </c>
      <c r="H125" s="7" t="str">
        <f aca="false">IF(A125&gt;=c_TFWD,IF(AND(A125&gt;=c_TMAP3IN,c_TMAP3IN&lt;1000),"Seg4 map3-100%",IF(AND(A125&gt;=c_TMAP2IN,c_TMAP3IN&gt;c_TMAP2IN),"Seg3 map2-map3",IF(AND(A125&gt;=c_TMAP1IN,c_TMAP2IN&gt;c_TMAP1IN),"Seg2 map1-map2","Seg1 TFWD-map1"))),IF(AND(A125=0,c_TCREEP&gt;0),"Creep",IF(AND(A125&lt;=c_TRNGMIN,A125&gt;=c_TRNGMAX,c_TRNGMIN-c_TRNGMAX&lt;&gt;0),"Regen ramp","Coast (0)")))</f>
        <v>Seg2 map1-map2</v>
      </c>
      <c r="I125" s="7" t="n">
        <f aca="false">IF(A125&gt;=c_TFWD,IF(AND(A125&gt;=c_TMAP3IN,c_TMAP3IN&lt;1000),G125,IF(AND(A125&gt;=c_TMAP2IN,c_TMAP3IN&gt;c_TMAP2IN),F125,IF(AND(A125&gt;=c_TMAP1IN,c_TMAP2IN&gt;c_TMAP1IN),E125,D125))),C125)</f>
        <v>78</v>
      </c>
      <c r="J125" s="7" t="str">
        <f aca="false">IF(I125&lt;-1090,"TOO LOW",IF(I125&gt;1090,"TOO HIGH",""))</f>
        <v/>
      </c>
      <c r="K125" s="15" t="n">
        <f aca="false">IF(J125&lt;&gt;"",0,IF(I125&gt;979,1000,I125))</f>
        <v>78</v>
      </c>
      <c r="L125" s="7" t="n">
        <f aca="false">K125/10</f>
        <v>7.8</v>
      </c>
    </row>
    <row r="126" customFormat="false" ht="15" hidden="false" customHeight="false" outlineLevel="0" collapsed="false">
      <c r="A126" s="7" t="n">
        <v>121</v>
      </c>
      <c r="B126" s="7" t="n">
        <f aca="false">A126/10</f>
        <v>12.1</v>
      </c>
      <c r="C126" s="7" t="n">
        <f aca="false">IF(AND(A126=0,c_TCREEP&gt;0),10*c_TCREEP,IF(AND(A126&lt;=c_TRNGMIN,A126&gt;=c_TRNGMAX,c_TRNGMIN-c_TRNGMAX&lt;&gt;0),-10*c_TMINRN+QUOTIENT((c_TMAXRN-c_TMINRN)*(100-QUOTIENT((A126-c_TRNGMAX)*100,c_TRNGMIN-c_TRNGMAX)),-10),0))</f>
        <v>0</v>
      </c>
      <c r="D126" s="7" t="n">
        <f aca="false">IF(((c_TMAP1IN)-(c_TFWD))=0,(0)+QUOTIENT(((c_TMAP1OUT)-(0)),2),QUOTIENT((((A126)-(c_TFWD))*((c_TMAP1OUT)-(0))+IF(((c_TMAP1OUT)-(0))&gt;=0,1,-1)*QUOTIENT(((c_TMAP1IN)-(c_TFWD)),2)),((c_TMAP1IN)-(c_TFWD)))+(0)+IF(((c_TMAP1OUT)-(0))&gt;=0,IF(IF(o_WRAP=1,MOD(((c_TMAP1IN)-(c_TFWD))*(((A126)-(c_TFWD))*((c_TMAP1OUT)-(0))+IF(((c_TMAP1OUT)-(0))&gt;=0,1,-1)*QUOTIENT(((c_TMAP1IN)-(c_TFWD)),2))+2147483648,4294967296)-2147483648,((c_TMAP1IN)-(c_TFWD))*(((A126)-(c_TFWD))*((c_TMAP1OUT)-(0))+IF(((c_TMAP1OUT)-(0))&gt;=0,1,-1)*QUOTIENT(((c_TMAP1IN)-(c_TFWD)),2)))&lt;0,-1,0),IF(IF(o_WRAP=1,MOD(((c_TMAP1IN)-(c_TFWD))*(((A126)-(c_TFWD))*((c_TMAP1OUT)-(0))+IF(((c_TMAP1OUT)-(0))&gt;=0,1,-1)*QUOTIENT(((c_TMAP1IN)-(c_TFWD)),2))+2147483648,4294967296)-2147483648,((c_TMAP1IN)-(c_TFWD))*(((A126)-(c_TFWD))*((c_TMAP1OUT)-(0))+IF(((c_TMAP1OUT)-(0))&gt;=0,1,-1)*QUOTIENT(((c_TMAP1IN)-(c_TFWD)),2)))&gt;=0,1,0)))</f>
        <v>86</v>
      </c>
      <c r="E126" s="7" t="n">
        <f aca="false">IF(((c_TMAP2IN)-(c_TMAP1IN))=0,(c_TMAP1OUT)+QUOTIENT(((c_TMAP2OUT)-(c_TMAP1OUT)),2),QUOTIENT((((A126)-(c_TMAP1IN))*((c_TMAP2OUT)-(c_TMAP1OUT))+IF(((c_TMAP2OUT)-(c_TMAP1OUT))&gt;=0,1,-1)*QUOTIENT(((c_TMAP2IN)-(c_TMAP1IN)),2)),((c_TMAP2IN)-(c_TMAP1IN)))+(c_TMAP1OUT)+IF(((c_TMAP2OUT)-(c_TMAP1OUT))&gt;=0,IF(IF(o_WRAP=1,MOD(((c_TMAP2IN)-(c_TMAP1IN))*(((A126)-(c_TMAP1IN))*((c_TMAP2OUT)-(c_TMAP1OUT))+IF(((c_TMAP2OUT)-(c_TMAP1OUT))&gt;=0,1,-1)*QUOTIENT(((c_TMAP2IN)-(c_TMAP1IN)),2))+2147483648,4294967296)-2147483648,((c_TMAP2IN)-(c_TMAP1IN))*(((A126)-(c_TMAP1IN))*((c_TMAP2OUT)-(c_TMAP1OUT))+IF(((c_TMAP2OUT)-(c_TMAP1OUT))&gt;=0,1,-1)*QUOTIENT(((c_TMAP2IN)-(c_TMAP1IN)),2)))&lt;0,-1,0),IF(IF(o_WRAP=1,MOD(((c_TMAP2IN)-(c_TMAP1IN))*(((A126)-(c_TMAP1IN))*((c_TMAP2OUT)-(c_TMAP1OUT))+IF(((c_TMAP2OUT)-(c_TMAP1OUT))&gt;=0,1,-1)*QUOTIENT(((c_TMAP2IN)-(c_TMAP1IN)),2))+2147483648,4294967296)-2147483648,((c_TMAP2IN)-(c_TMAP1IN))*(((A126)-(c_TMAP1IN))*((c_TMAP2OUT)-(c_TMAP1OUT))+IF(((c_TMAP2OUT)-(c_TMAP1OUT))&gt;=0,1,-1)*QUOTIENT(((c_TMAP2IN)-(c_TMAP1IN)),2)))&gt;=0,1,0)))</f>
        <v>78</v>
      </c>
      <c r="F126" s="7" t="n">
        <f aca="false">IF(((c_TMAP3IN)-(c_TMAP2IN))=0,(c_TMAP2OUT)+QUOTIENT(((c_TMAP3OUT)-(c_TMAP2OUT)),2),QUOTIENT((((A126)-(c_TMAP2IN))*((c_TMAP3OUT)-(c_TMAP2OUT))+IF(((c_TMAP3OUT)-(c_TMAP2OUT))&gt;=0,1,-1)*QUOTIENT(((c_TMAP3IN)-(c_TMAP2IN)),2)),((c_TMAP3IN)-(c_TMAP2IN)))+(c_TMAP2OUT)+IF(((c_TMAP3OUT)-(c_TMAP2OUT))&gt;=0,IF(IF(o_WRAP=1,MOD(((c_TMAP3IN)-(c_TMAP2IN))*(((A126)-(c_TMAP2IN))*((c_TMAP3OUT)-(c_TMAP2OUT))+IF(((c_TMAP3OUT)-(c_TMAP2OUT))&gt;=0,1,-1)*QUOTIENT(((c_TMAP3IN)-(c_TMAP2IN)),2))+2147483648,4294967296)-2147483648,((c_TMAP3IN)-(c_TMAP2IN))*(((A126)-(c_TMAP2IN))*((c_TMAP3OUT)-(c_TMAP2OUT))+IF(((c_TMAP3OUT)-(c_TMAP2OUT))&gt;=0,1,-1)*QUOTIENT(((c_TMAP3IN)-(c_TMAP2IN)),2)))&lt;0,-1,0),IF(IF(o_WRAP=1,MOD(((c_TMAP3IN)-(c_TMAP2IN))*(((A126)-(c_TMAP2IN))*((c_TMAP3OUT)-(c_TMAP2OUT))+IF(((c_TMAP3OUT)-(c_TMAP2OUT))&gt;=0,1,-1)*QUOTIENT(((c_TMAP3IN)-(c_TMAP2IN)),2))+2147483648,4294967296)-2147483648,((c_TMAP3IN)-(c_TMAP2IN))*(((A126)-(c_TMAP2IN))*((c_TMAP3OUT)-(c_TMAP2OUT))+IF(((c_TMAP3OUT)-(c_TMAP2OUT))&gt;=0,1,-1)*QUOTIENT(((c_TMAP3IN)-(c_TMAP2IN)),2)))&gt;=0,1,0)))</f>
        <v>40</v>
      </c>
      <c r="G126" s="7" t="n">
        <f aca="false">IF(((1000)-(c_TMAP3IN))=0,(c_TMAP3OUT)+QUOTIENT(((1000)-(c_TMAP3OUT)),2),QUOTIENT((((A126)-(c_TMAP3IN))*((1000)-(c_TMAP3OUT))+IF(((1000)-(c_TMAP3OUT))&gt;=0,1,-1)*QUOTIENT(((1000)-(c_TMAP3IN)),2)),((1000)-(c_TMAP3IN)))+(c_TMAP3OUT)+IF(((1000)-(c_TMAP3OUT))&gt;=0,IF(IF(o_WRAP=1,MOD(((1000)-(c_TMAP3IN))*(((A126)-(c_TMAP3IN))*((1000)-(c_TMAP3OUT))+IF(((1000)-(c_TMAP3OUT))&gt;=0,1,-1)*QUOTIENT(((1000)-(c_TMAP3IN)),2))+2147483648,4294967296)-2147483648,((1000)-(c_TMAP3IN))*(((A126)-(c_TMAP3IN))*((1000)-(c_TMAP3OUT))+IF(((1000)-(c_TMAP3OUT))&gt;=0,1,-1)*QUOTIENT(((1000)-(c_TMAP3IN)),2)))&lt;0,-1,0),IF(IF(o_WRAP=1,MOD(((1000)-(c_TMAP3IN))*(((A126)-(c_TMAP3IN))*((1000)-(c_TMAP3OUT))+IF(((1000)-(c_TMAP3OUT))&gt;=0,1,-1)*QUOTIENT(((1000)-(c_TMAP3IN)),2))+2147483648,4294967296)-2147483648,((1000)-(c_TMAP3IN))*(((A126)-(c_TMAP3IN))*((1000)-(c_TMAP3OUT))+IF(((1000)-(c_TMAP3OUT))&gt;=0,1,-1)*QUOTIENT(((1000)-(c_TMAP3IN)),2)))&gt;=0,1,0)))</f>
        <v>-82</v>
      </c>
      <c r="H126" s="7" t="str">
        <f aca="false">IF(A126&gt;=c_TFWD,IF(AND(A126&gt;=c_TMAP3IN,c_TMAP3IN&lt;1000),"Seg4 map3-100%",IF(AND(A126&gt;=c_TMAP2IN,c_TMAP3IN&gt;c_TMAP2IN),"Seg3 map2-map3",IF(AND(A126&gt;=c_TMAP1IN,c_TMAP2IN&gt;c_TMAP1IN),"Seg2 map1-map2","Seg1 TFWD-map1"))),IF(AND(A126=0,c_TCREEP&gt;0),"Creep",IF(AND(A126&lt;=c_TRNGMIN,A126&gt;=c_TRNGMAX,c_TRNGMIN-c_TRNGMAX&lt;&gt;0),"Regen ramp","Coast (0)")))</f>
        <v>Seg2 map1-map2</v>
      </c>
      <c r="I126" s="7" t="n">
        <f aca="false">IF(A126&gt;=c_TFWD,IF(AND(A126&gt;=c_TMAP3IN,c_TMAP3IN&lt;1000),G126,IF(AND(A126&gt;=c_TMAP2IN,c_TMAP3IN&gt;c_TMAP2IN),F126,IF(AND(A126&gt;=c_TMAP1IN,c_TMAP2IN&gt;c_TMAP1IN),E126,D126))),C126)</f>
        <v>78</v>
      </c>
      <c r="J126" s="7" t="str">
        <f aca="false">IF(I126&lt;-1090,"TOO LOW",IF(I126&gt;1090,"TOO HIGH",""))</f>
        <v/>
      </c>
      <c r="K126" s="15" t="n">
        <f aca="false">IF(J126&lt;&gt;"",0,IF(I126&gt;979,1000,I126))</f>
        <v>78</v>
      </c>
      <c r="L126" s="7" t="n">
        <f aca="false">K126/10</f>
        <v>7.8</v>
      </c>
    </row>
    <row r="127" customFormat="false" ht="15" hidden="false" customHeight="false" outlineLevel="0" collapsed="false">
      <c r="A127" s="7" t="n">
        <v>122</v>
      </c>
      <c r="B127" s="7" t="n">
        <f aca="false">A127/10</f>
        <v>12.2</v>
      </c>
      <c r="C127" s="7" t="n">
        <f aca="false">IF(AND(A127=0,c_TCREEP&gt;0),10*c_TCREEP,IF(AND(A127&lt;=c_TRNGMIN,A127&gt;=c_TRNGMAX,c_TRNGMIN-c_TRNGMAX&lt;&gt;0),-10*c_TMINRN+QUOTIENT((c_TMAXRN-c_TMINRN)*(100-QUOTIENT((A127-c_TRNGMAX)*100,c_TRNGMIN-c_TRNGMAX)),-10),0))</f>
        <v>0</v>
      </c>
      <c r="D127" s="7" t="n">
        <f aca="false">IF(((c_TMAP1IN)-(c_TFWD))=0,(0)+QUOTIENT(((c_TMAP1OUT)-(0)),2),QUOTIENT((((A127)-(c_TFWD))*((c_TMAP1OUT)-(0))+IF(((c_TMAP1OUT)-(0))&gt;=0,1,-1)*QUOTIENT(((c_TMAP1IN)-(c_TFWD)),2)),((c_TMAP1IN)-(c_TFWD)))+(0)+IF(((c_TMAP1OUT)-(0))&gt;=0,IF(IF(o_WRAP=1,MOD(((c_TMAP1IN)-(c_TFWD))*(((A127)-(c_TFWD))*((c_TMAP1OUT)-(0))+IF(((c_TMAP1OUT)-(0))&gt;=0,1,-1)*QUOTIENT(((c_TMAP1IN)-(c_TFWD)),2))+2147483648,4294967296)-2147483648,((c_TMAP1IN)-(c_TFWD))*(((A127)-(c_TFWD))*((c_TMAP1OUT)-(0))+IF(((c_TMAP1OUT)-(0))&gt;=0,1,-1)*QUOTIENT(((c_TMAP1IN)-(c_TFWD)),2)))&lt;0,-1,0),IF(IF(o_WRAP=1,MOD(((c_TMAP1IN)-(c_TFWD))*(((A127)-(c_TFWD))*((c_TMAP1OUT)-(0))+IF(((c_TMAP1OUT)-(0))&gt;=0,1,-1)*QUOTIENT(((c_TMAP1IN)-(c_TFWD)),2))+2147483648,4294967296)-2147483648,((c_TMAP1IN)-(c_TFWD))*(((A127)-(c_TFWD))*((c_TMAP1OUT)-(0))+IF(((c_TMAP1OUT)-(0))&gt;=0,1,-1)*QUOTIENT(((c_TMAP1IN)-(c_TFWD)),2)))&gt;=0,1,0)))</f>
        <v>87</v>
      </c>
      <c r="E127" s="7" t="n">
        <f aca="false">IF(((c_TMAP2IN)-(c_TMAP1IN))=0,(c_TMAP1OUT)+QUOTIENT(((c_TMAP2OUT)-(c_TMAP1OUT)),2),QUOTIENT((((A127)-(c_TMAP1IN))*((c_TMAP2OUT)-(c_TMAP1OUT))+IF(((c_TMAP2OUT)-(c_TMAP1OUT))&gt;=0,1,-1)*QUOTIENT(((c_TMAP2IN)-(c_TMAP1IN)),2)),((c_TMAP2IN)-(c_TMAP1IN)))+(c_TMAP1OUT)+IF(((c_TMAP2OUT)-(c_TMAP1OUT))&gt;=0,IF(IF(o_WRAP=1,MOD(((c_TMAP2IN)-(c_TMAP1IN))*(((A127)-(c_TMAP1IN))*((c_TMAP2OUT)-(c_TMAP1OUT))+IF(((c_TMAP2OUT)-(c_TMAP1OUT))&gt;=0,1,-1)*QUOTIENT(((c_TMAP2IN)-(c_TMAP1IN)),2))+2147483648,4294967296)-2147483648,((c_TMAP2IN)-(c_TMAP1IN))*(((A127)-(c_TMAP1IN))*((c_TMAP2OUT)-(c_TMAP1OUT))+IF(((c_TMAP2OUT)-(c_TMAP1OUT))&gt;=0,1,-1)*QUOTIENT(((c_TMAP2IN)-(c_TMAP1IN)),2)))&lt;0,-1,0),IF(IF(o_WRAP=1,MOD(((c_TMAP2IN)-(c_TMAP1IN))*(((A127)-(c_TMAP1IN))*((c_TMAP2OUT)-(c_TMAP1OUT))+IF(((c_TMAP2OUT)-(c_TMAP1OUT))&gt;=0,1,-1)*QUOTIENT(((c_TMAP2IN)-(c_TMAP1IN)),2))+2147483648,4294967296)-2147483648,((c_TMAP2IN)-(c_TMAP1IN))*(((A127)-(c_TMAP1IN))*((c_TMAP2OUT)-(c_TMAP1OUT))+IF(((c_TMAP2OUT)-(c_TMAP1OUT))&gt;=0,1,-1)*QUOTIENT(((c_TMAP2IN)-(c_TMAP1IN)),2)))&gt;=0,1,0)))</f>
        <v>79</v>
      </c>
      <c r="F127" s="7" t="n">
        <f aca="false">IF(((c_TMAP3IN)-(c_TMAP2IN))=0,(c_TMAP2OUT)+QUOTIENT(((c_TMAP3OUT)-(c_TMAP2OUT)),2),QUOTIENT((((A127)-(c_TMAP2IN))*((c_TMAP3OUT)-(c_TMAP2OUT))+IF(((c_TMAP3OUT)-(c_TMAP2OUT))&gt;=0,1,-1)*QUOTIENT(((c_TMAP3IN)-(c_TMAP2IN)),2)),((c_TMAP3IN)-(c_TMAP2IN)))+(c_TMAP2OUT)+IF(((c_TMAP3OUT)-(c_TMAP2OUT))&gt;=0,IF(IF(o_WRAP=1,MOD(((c_TMAP3IN)-(c_TMAP2IN))*(((A127)-(c_TMAP2IN))*((c_TMAP3OUT)-(c_TMAP2OUT))+IF(((c_TMAP3OUT)-(c_TMAP2OUT))&gt;=0,1,-1)*QUOTIENT(((c_TMAP3IN)-(c_TMAP2IN)),2))+2147483648,4294967296)-2147483648,((c_TMAP3IN)-(c_TMAP2IN))*(((A127)-(c_TMAP2IN))*((c_TMAP3OUT)-(c_TMAP2OUT))+IF(((c_TMAP3OUT)-(c_TMAP2OUT))&gt;=0,1,-1)*QUOTIENT(((c_TMAP3IN)-(c_TMAP2IN)),2)))&lt;0,-1,0),IF(IF(o_WRAP=1,MOD(((c_TMAP3IN)-(c_TMAP2IN))*(((A127)-(c_TMAP2IN))*((c_TMAP3OUT)-(c_TMAP2OUT))+IF(((c_TMAP3OUT)-(c_TMAP2OUT))&gt;=0,1,-1)*QUOTIENT(((c_TMAP3IN)-(c_TMAP2IN)),2))+2147483648,4294967296)-2147483648,((c_TMAP3IN)-(c_TMAP2IN))*(((A127)-(c_TMAP2IN))*((c_TMAP3OUT)-(c_TMAP2OUT))+IF(((c_TMAP3OUT)-(c_TMAP2OUT))&gt;=0,1,-1)*QUOTIENT(((c_TMAP3IN)-(c_TMAP2IN)),2)))&gt;=0,1,0)))</f>
        <v>40</v>
      </c>
      <c r="G127" s="7" t="n">
        <f aca="false">IF(((1000)-(c_TMAP3IN))=0,(c_TMAP3OUT)+QUOTIENT(((1000)-(c_TMAP3OUT)),2),QUOTIENT((((A127)-(c_TMAP3IN))*((1000)-(c_TMAP3OUT))+IF(((1000)-(c_TMAP3OUT))&gt;=0,1,-1)*QUOTIENT(((1000)-(c_TMAP3IN)),2)),((1000)-(c_TMAP3IN)))+(c_TMAP3OUT)+IF(((1000)-(c_TMAP3OUT))&gt;=0,IF(IF(o_WRAP=1,MOD(((1000)-(c_TMAP3IN))*(((A127)-(c_TMAP3IN))*((1000)-(c_TMAP3OUT))+IF(((1000)-(c_TMAP3OUT))&gt;=0,1,-1)*QUOTIENT(((1000)-(c_TMAP3IN)),2))+2147483648,4294967296)-2147483648,((1000)-(c_TMAP3IN))*(((A127)-(c_TMAP3IN))*((1000)-(c_TMAP3OUT))+IF(((1000)-(c_TMAP3OUT))&gt;=0,1,-1)*QUOTIENT(((1000)-(c_TMAP3IN)),2)))&lt;0,-1,0),IF(IF(o_WRAP=1,MOD(((1000)-(c_TMAP3IN))*(((A127)-(c_TMAP3IN))*((1000)-(c_TMAP3OUT))+IF(((1000)-(c_TMAP3OUT))&gt;=0,1,-1)*QUOTIENT(((1000)-(c_TMAP3IN)),2))+2147483648,4294967296)-2147483648,((1000)-(c_TMAP3IN))*(((A127)-(c_TMAP3IN))*((1000)-(c_TMAP3OUT))+IF(((1000)-(c_TMAP3OUT))&gt;=0,1,-1)*QUOTIENT(((1000)-(c_TMAP3IN)),2)))&gt;=0,1,0)))</f>
        <v>-81</v>
      </c>
      <c r="H127" s="7" t="str">
        <f aca="false">IF(A127&gt;=c_TFWD,IF(AND(A127&gt;=c_TMAP3IN,c_TMAP3IN&lt;1000),"Seg4 map3-100%",IF(AND(A127&gt;=c_TMAP2IN,c_TMAP3IN&gt;c_TMAP2IN),"Seg3 map2-map3",IF(AND(A127&gt;=c_TMAP1IN,c_TMAP2IN&gt;c_TMAP1IN),"Seg2 map1-map2","Seg1 TFWD-map1"))),IF(AND(A127=0,c_TCREEP&gt;0),"Creep",IF(AND(A127&lt;=c_TRNGMIN,A127&gt;=c_TRNGMAX,c_TRNGMIN-c_TRNGMAX&lt;&gt;0),"Regen ramp","Coast (0)")))</f>
        <v>Seg2 map1-map2</v>
      </c>
      <c r="I127" s="7" t="n">
        <f aca="false">IF(A127&gt;=c_TFWD,IF(AND(A127&gt;=c_TMAP3IN,c_TMAP3IN&lt;1000),G127,IF(AND(A127&gt;=c_TMAP2IN,c_TMAP3IN&gt;c_TMAP2IN),F127,IF(AND(A127&gt;=c_TMAP1IN,c_TMAP2IN&gt;c_TMAP1IN),E127,D127))),C127)</f>
        <v>79</v>
      </c>
      <c r="J127" s="7" t="str">
        <f aca="false">IF(I127&lt;-1090,"TOO LOW",IF(I127&gt;1090,"TOO HIGH",""))</f>
        <v/>
      </c>
      <c r="K127" s="15" t="n">
        <f aca="false">IF(J127&lt;&gt;"",0,IF(I127&gt;979,1000,I127))</f>
        <v>79</v>
      </c>
      <c r="L127" s="7" t="n">
        <f aca="false">K127/10</f>
        <v>7.9</v>
      </c>
    </row>
    <row r="128" customFormat="false" ht="15" hidden="false" customHeight="false" outlineLevel="0" collapsed="false">
      <c r="A128" s="7" t="n">
        <v>123</v>
      </c>
      <c r="B128" s="7" t="n">
        <f aca="false">A128/10</f>
        <v>12.3</v>
      </c>
      <c r="C128" s="7" t="n">
        <f aca="false">IF(AND(A128=0,c_TCREEP&gt;0),10*c_TCREEP,IF(AND(A128&lt;=c_TRNGMIN,A128&gt;=c_TRNGMAX,c_TRNGMIN-c_TRNGMAX&lt;&gt;0),-10*c_TMINRN+QUOTIENT((c_TMAXRN-c_TMINRN)*(100-QUOTIENT((A128-c_TRNGMAX)*100,c_TRNGMIN-c_TRNGMAX)),-10),0))</f>
        <v>0</v>
      </c>
      <c r="D128" s="7" t="n">
        <f aca="false">IF(((c_TMAP1IN)-(c_TFWD))=0,(0)+QUOTIENT(((c_TMAP1OUT)-(0)),2),QUOTIENT((((A128)-(c_TFWD))*((c_TMAP1OUT)-(0))+IF(((c_TMAP1OUT)-(0))&gt;=0,1,-1)*QUOTIENT(((c_TMAP1IN)-(c_TFWD)),2)),((c_TMAP1IN)-(c_TFWD)))+(0)+IF(((c_TMAP1OUT)-(0))&gt;=0,IF(IF(o_WRAP=1,MOD(((c_TMAP1IN)-(c_TFWD))*(((A128)-(c_TFWD))*((c_TMAP1OUT)-(0))+IF(((c_TMAP1OUT)-(0))&gt;=0,1,-1)*QUOTIENT(((c_TMAP1IN)-(c_TFWD)),2))+2147483648,4294967296)-2147483648,((c_TMAP1IN)-(c_TFWD))*(((A128)-(c_TFWD))*((c_TMAP1OUT)-(0))+IF(((c_TMAP1OUT)-(0))&gt;=0,1,-1)*QUOTIENT(((c_TMAP1IN)-(c_TFWD)),2)))&lt;0,-1,0),IF(IF(o_WRAP=1,MOD(((c_TMAP1IN)-(c_TFWD))*(((A128)-(c_TFWD))*((c_TMAP1OUT)-(0))+IF(((c_TMAP1OUT)-(0))&gt;=0,1,-1)*QUOTIENT(((c_TMAP1IN)-(c_TFWD)),2))+2147483648,4294967296)-2147483648,((c_TMAP1IN)-(c_TFWD))*(((A128)-(c_TFWD))*((c_TMAP1OUT)-(0))+IF(((c_TMAP1OUT)-(0))&gt;=0,1,-1)*QUOTIENT(((c_TMAP1IN)-(c_TFWD)),2)))&gt;=0,1,0)))</f>
        <v>88</v>
      </c>
      <c r="E128" s="7" t="n">
        <f aca="false">IF(((c_TMAP2IN)-(c_TMAP1IN))=0,(c_TMAP1OUT)+QUOTIENT(((c_TMAP2OUT)-(c_TMAP1OUT)),2),QUOTIENT((((A128)-(c_TMAP1IN))*((c_TMAP2OUT)-(c_TMAP1OUT))+IF(((c_TMAP2OUT)-(c_TMAP1OUT))&gt;=0,1,-1)*QUOTIENT(((c_TMAP2IN)-(c_TMAP1IN)),2)),((c_TMAP2IN)-(c_TMAP1IN)))+(c_TMAP1OUT)+IF(((c_TMAP2OUT)-(c_TMAP1OUT))&gt;=0,IF(IF(o_WRAP=1,MOD(((c_TMAP2IN)-(c_TMAP1IN))*(((A128)-(c_TMAP1IN))*((c_TMAP2OUT)-(c_TMAP1OUT))+IF(((c_TMAP2OUT)-(c_TMAP1OUT))&gt;=0,1,-1)*QUOTIENT(((c_TMAP2IN)-(c_TMAP1IN)),2))+2147483648,4294967296)-2147483648,((c_TMAP2IN)-(c_TMAP1IN))*(((A128)-(c_TMAP1IN))*((c_TMAP2OUT)-(c_TMAP1OUT))+IF(((c_TMAP2OUT)-(c_TMAP1OUT))&gt;=0,1,-1)*QUOTIENT(((c_TMAP2IN)-(c_TMAP1IN)),2)))&lt;0,-1,0),IF(IF(o_WRAP=1,MOD(((c_TMAP2IN)-(c_TMAP1IN))*(((A128)-(c_TMAP1IN))*((c_TMAP2OUT)-(c_TMAP1OUT))+IF(((c_TMAP2OUT)-(c_TMAP1OUT))&gt;=0,1,-1)*QUOTIENT(((c_TMAP2IN)-(c_TMAP1IN)),2))+2147483648,4294967296)-2147483648,((c_TMAP2IN)-(c_TMAP1IN))*(((A128)-(c_TMAP1IN))*((c_TMAP2OUT)-(c_TMAP1OUT))+IF(((c_TMAP2OUT)-(c_TMAP1OUT))&gt;=0,1,-1)*QUOTIENT(((c_TMAP2IN)-(c_TMAP1IN)),2)))&gt;=0,1,0)))</f>
        <v>79</v>
      </c>
      <c r="F128" s="7" t="n">
        <f aca="false">IF(((c_TMAP3IN)-(c_TMAP2IN))=0,(c_TMAP2OUT)+QUOTIENT(((c_TMAP3OUT)-(c_TMAP2OUT)),2),QUOTIENT((((A128)-(c_TMAP2IN))*((c_TMAP3OUT)-(c_TMAP2OUT))+IF(((c_TMAP3OUT)-(c_TMAP2OUT))&gt;=0,1,-1)*QUOTIENT(((c_TMAP3IN)-(c_TMAP2IN)),2)),((c_TMAP3IN)-(c_TMAP2IN)))+(c_TMAP2OUT)+IF(((c_TMAP3OUT)-(c_TMAP2OUT))&gt;=0,IF(IF(o_WRAP=1,MOD(((c_TMAP3IN)-(c_TMAP2IN))*(((A128)-(c_TMAP2IN))*((c_TMAP3OUT)-(c_TMAP2OUT))+IF(((c_TMAP3OUT)-(c_TMAP2OUT))&gt;=0,1,-1)*QUOTIENT(((c_TMAP3IN)-(c_TMAP2IN)),2))+2147483648,4294967296)-2147483648,((c_TMAP3IN)-(c_TMAP2IN))*(((A128)-(c_TMAP2IN))*((c_TMAP3OUT)-(c_TMAP2OUT))+IF(((c_TMAP3OUT)-(c_TMAP2OUT))&gt;=0,1,-1)*QUOTIENT(((c_TMAP3IN)-(c_TMAP2IN)),2)))&lt;0,-1,0),IF(IF(o_WRAP=1,MOD(((c_TMAP3IN)-(c_TMAP2IN))*(((A128)-(c_TMAP2IN))*((c_TMAP3OUT)-(c_TMAP2OUT))+IF(((c_TMAP3OUT)-(c_TMAP2OUT))&gt;=0,1,-1)*QUOTIENT(((c_TMAP3IN)-(c_TMAP2IN)),2))+2147483648,4294967296)-2147483648,((c_TMAP3IN)-(c_TMAP2IN))*(((A128)-(c_TMAP2IN))*((c_TMAP3OUT)-(c_TMAP2OUT))+IF(((c_TMAP3OUT)-(c_TMAP2OUT))&gt;=0,1,-1)*QUOTIENT(((c_TMAP3IN)-(c_TMAP2IN)),2)))&gt;=0,1,0)))</f>
        <v>41</v>
      </c>
      <c r="G128" s="7" t="n">
        <f aca="false">IF(((1000)-(c_TMAP3IN))=0,(c_TMAP3OUT)+QUOTIENT(((1000)-(c_TMAP3OUT)),2),QUOTIENT((((A128)-(c_TMAP3IN))*((1000)-(c_TMAP3OUT))+IF(((1000)-(c_TMAP3OUT))&gt;=0,1,-1)*QUOTIENT(((1000)-(c_TMAP3IN)),2)),((1000)-(c_TMAP3IN)))+(c_TMAP3OUT)+IF(((1000)-(c_TMAP3OUT))&gt;=0,IF(IF(o_WRAP=1,MOD(((1000)-(c_TMAP3IN))*(((A128)-(c_TMAP3IN))*((1000)-(c_TMAP3OUT))+IF(((1000)-(c_TMAP3OUT))&gt;=0,1,-1)*QUOTIENT(((1000)-(c_TMAP3IN)),2))+2147483648,4294967296)-2147483648,((1000)-(c_TMAP3IN))*(((A128)-(c_TMAP3IN))*((1000)-(c_TMAP3OUT))+IF(((1000)-(c_TMAP3OUT))&gt;=0,1,-1)*QUOTIENT(((1000)-(c_TMAP3IN)),2)))&lt;0,-1,0),IF(IF(o_WRAP=1,MOD(((1000)-(c_TMAP3IN))*(((A128)-(c_TMAP3IN))*((1000)-(c_TMAP3OUT))+IF(((1000)-(c_TMAP3OUT))&gt;=0,1,-1)*QUOTIENT(((1000)-(c_TMAP3IN)),2))+2147483648,4294967296)-2147483648,((1000)-(c_TMAP3IN))*(((A128)-(c_TMAP3IN))*((1000)-(c_TMAP3OUT))+IF(((1000)-(c_TMAP3OUT))&gt;=0,1,-1)*QUOTIENT(((1000)-(c_TMAP3IN)),2)))&gt;=0,1,0)))</f>
        <v>-79</v>
      </c>
      <c r="H128" s="7" t="str">
        <f aca="false">IF(A128&gt;=c_TFWD,IF(AND(A128&gt;=c_TMAP3IN,c_TMAP3IN&lt;1000),"Seg4 map3-100%",IF(AND(A128&gt;=c_TMAP2IN,c_TMAP3IN&gt;c_TMAP2IN),"Seg3 map2-map3",IF(AND(A128&gt;=c_TMAP1IN,c_TMAP2IN&gt;c_TMAP1IN),"Seg2 map1-map2","Seg1 TFWD-map1"))),IF(AND(A128=0,c_TCREEP&gt;0),"Creep",IF(AND(A128&lt;=c_TRNGMIN,A128&gt;=c_TRNGMAX,c_TRNGMIN-c_TRNGMAX&lt;&gt;0),"Regen ramp","Coast (0)")))</f>
        <v>Seg2 map1-map2</v>
      </c>
      <c r="I128" s="7" t="n">
        <f aca="false">IF(A128&gt;=c_TFWD,IF(AND(A128&gt;=c_TMAP3IN,c_TMAP3IN&lt;1000),G128,IF(AND(A128&gt;=c_TMAP2IN,c_TMAP3IN&gt;c_TMAP2IN),F128,IF(AND(A128&gt;=c_TMAP1IN,c_TMAP2IN&gt;c_TMAP1IN),E128,D128))),C128)</f>
        <v>79</v>
      </c>
      <c r="J128" s="7" t="str">
        <f aca="false">IF(I128&lt;-1090,"TOO LOW",IF(I128&gt;1090,"TOO HIGH",""))</f>
        <v/>
      </c>
      <c r="K128" s="15" t="n">
        <f aca="false">IF(J128&lt;&gt;"",0,IF(I128&gt;979,1000,I128))</f>
        <v>79</v>
      </c>
      <c r="L128" s="7" t="n">
        <f aca="false">K128/10</f>
        <v>7.9</v>
      </c>
    </row>
    <row r="129" customFormat="false" ht="15" hidden="false" customHeight="false" outlineLevel="0" collapsed="false">
      <c r="A129" s="7" t="n">
        <v>124</v>
      </c>
      <c r="B129" s="7" t="n">
        <f aca="false">A129/10</f>
        <v>12.4</v>
      </c>
      <c r="C129" s="7" t="n">
        <f aca="false">IF(AND(A129=0,c_TCREEP&gt;0),10*c_TCREEP,IF(AND(A129&lt;=c_TRNGMIN,A129&gt;=c_TRNGMAX,c_TRNGMIN-c_TRNGMAX&lt;&gt;0),-10*c_TMINRN+QUOTIENT((c_TMAXRN-c_TMINRN)*(100-QUOTIENT((A129-c_TRNGMAX)*100,c_TRNGMIN-c_TRNGMAX)),-10),0))</f>
        <v>0</v>
      </c>
      <c r="D129" s="7" t="n">
        <f aca="false">IF(((c_TMAP1IN)-(c_TFWD))=0,(0)+QUOTIENT(((c_TMAP1OUT)-(0)),2),QUOTIENT((((A129)-(c_TFWD))*((c_TMAP1OUT)-(0))+IF(((c_TMAP1OUT)-(0))&gt;=0,1,-1)*QUOTIENT(((c_TMAP1IN)-(c_TFWD)),2)),((c_TMAP1IN)-(c_TFWD)))+(0)+IF(((c_TMAP1OUT)-(0))&gt;=0,IF(IF(o_WRAP=1,MOD(((c_TMAP1IN)-(c_TFWD))*(((A129)-(c_TFWD))*((c_TMAP1OUT)-(0))+IF(((c_TMAP1OUT)-(0))&gt;=0,1,-1)*QUOTIENT(((c_TMAP1IN)-(c_TFWD)),2))+2147483648,4294967296)-2147483648,((c_TMAP1IN)-(c_TFWD))*(((A129)-(c_TFWD))*((c_TMAP1OUT)-(0))+IF(((c_TMAP1OUT)-(0))&gt;=0,1,-1)*QUOTIENT(((c_TMAP1IN)-(c_TFWD)),2)))&lt;0,-1,0),IF(IF(o_WRAP=1,MOD(((c_TMAP1IN)-(c_TFWD))*(((A129)-(c_TFWD))*((c_TMAP1OUT)-(0))+IF(((c_TMAP1OUT)-(0))&gt;=0,1,-1)*QUOTIENT(((c_TMAP1IN)-(c_TFWD)),2))+2147483648,4294967296)-2147483648,((c_TMAP1IN)-(c_TFWD))*(((A129)-(c_TFWD))*((c_TMAP1OUT)-(0))+IF(((c_TMAP1OUT)-(0))&gt;=0,1,-1)*QUOTIENT(((c_TMAP1IN)-(c_TFWD)),2)))&gt;=0,1,0)))</f>
        <v>89</v>
      </c>
      <c r="E129" s="7" t="n">
        <f aca="false">IF(((c_TMAP2IN)-(c_TMAP1IN))=0,(c_TMAP1OUT)+QUOTIENT(((c_TMAP2OUT)-(c_TMAP1OUT)),2),QUOTIENT((((A129)-(c_TMAP1IN))*((c_TMAP2OUT)-(c_TMAP1OUT))+IF(((c_TMAP2OUT)-(c_TMAP1OUT))&gt;=0,1,-1)*QUOTIENT(((c_TMAP2IN)-(c_TMAP1IN)),2)),((c_TMAP2IN)-(c_TMAP1IN)))+(c_TMAP1OUT)+IF(((c_TMAP2OUT)-(c_TMAP1OUT))&gt;=0,IF(IF(o_WRAP=1,MOD(((c_TMAP2IN)-(c_TMAP1IN))*(((A129)-(c_TMAP1IN))*((c_TMAP2OUT)-(c_TMAP1OUT))+IF(((c_TMAP2OUT)-(c_TMAP1OUT))&gt;=0,1,-1)*QUOTIENT(((c_TMAP2IN)-(c_TMAP1IN)),2))+2147483648,4294967296)-2147483648,((c_TMAP2IN)-(c_TMAP1IN))*(((A129)-(c_TMAP1IN))*((c_TMAP2OUT)-(c_TMAP1OUT))+IF(((c_TMAP2OUT)-(c_TMAP1OUT))&gt;=0,1,-1)*QUOTIENT(((c_TMAP2IN)-(c_TMAP1IN)),2)))&lt;0,-1,0),IF(IF(o_WRAP=1,MOD(((c_TMAP2IN)-(c_TMAP1IN))*(((A129)-(c_TMAP1IN))*((c_TMAP2OUT)-(c_TMAP1OUT))+IF(((c_TMAP2OUT)-(c_TMAP1OUT))&gt;=0,1,-1)*QUOTIENT(((c_TMAP2IN)-(c_TMAP1IN)),2))+2147483648,4294967296)-2147483648,((c_TMAP2IN)-(c_TMAP1IN))*(((A129)-(c_TMAP1IN))*((c_TMAP2OUT)-(c_TMAP1OUT))+IF(((c_TMAP2OUT)-(c_TMAP1OUT))&gt;=0,1,-1)*QUOTIENT(((c_TMAP2IN)-(c_TMAP1IN)),2)))&gt;=0,1,0)))</f>
        <v>80</v>
      </c>
      <c r="F129" s="7" t="n">
        <f aca="false">IF(((c_TMAP3IN)-(c_TMAP2IN))=0,(c_TMAP2OUT)+QUOTIENT(((c_TMAP3OUT)-(c_TMAP2OUT)),2),QUOTIENT((((A129)-(c_TMAP2IN))*((c_TMAP3OUT)-(c_TMAP2OUT))+IF(((c_TMAP3OUT)-(c_TMAP2OUT))&gt;=0,1,-1)*QUOTIENT(((c_TMAP3IN)-(c_TMAP2IN)),2)),((c_TMAP3IN)-(c_TMAP2IN)))+(c_TMAP2OUT)+IF(((c_TMAP3OUT)-(c_TMAP2OUT))&gt;=0,IF(IF(o_WRAP=1,MOD(((c_TMAP3IN)-(c_TMAP2IN))*(((A129)-(c_TMAP2IN))*((c_TMAP3OUT)-(c_TMAP2OUT))+IF(((c_TMAP3OUT)-(c_TMAP2OUT))&gt;=0,1,-1)*QUOTIENT(((c_TMAP3IN)-(c_TMAP2IN)),2))+2147483648,4294967296)-2147483648,((c_TMAP3IN)-(c_TMAP2IN))*(((A129)-(c_TMAP2IN))*((c_TMAP3OUT)-(c_TMAP2OUT))+IF(((c_TMAP3OUT)-(c_TMAP2OUT))&gt;=0,1,-1)*QUOTIENT(((c_TMAP3IN)-(c_TMAP2IN)),2)))&lt;0,-1,0),IF(IF(o_WRAP=1,MOD(((c_TMAP3IN)-(c_TMAP2IN))*(((A129)-(c_TMAP2IN))*((c_TMAP3OUT)-(c_TMAP2OUT))+IF(((c_TMAP3OUT)-(c_TMAP2OUT))&gt;=0,1,-1)*QUOTIENT(((c_TMAP3IN)-(c_TMAP2IN)),2))+2147483648,4294967296)-2147483648,((c_TMAP3IN)-(c_TMAP2IN))*(((A129)-(c_TMAP2IN))*((c_TMAP3OUT)-(c_TMAP2OUT))+IF(((c_TMAP3OUT)-(c_TMAP2OUT))&gt;=0,1,-1)*QUOTIENT(((c_TMAP3IN)-(c_TMAP2IN)),2)))&gt;=0,1,0)))</f>
        <v>42</v>
      </c>
      <c r="G129" s="7" t="n">
        <f aca="false">IF(((1000)-(c_TMAP3IN))=0,(c_TMAP3OUT)+QUOTIENT(((1000)-(c_TMAP3OUT)),2),QUOTIENT((((A129)-(c_TMAP3IN))*((1000)-(c_TMAP3OUT))+IF(((1000)-(c_TMAP3OUT))&gt;=0,1,-1)*QUOTIENT(((1000)-(c_TMAP3IN)),2)),((1000)-(c_TMAP3IN)))+(c_TMAP3OUT)+IF(((1000)-(c_TMAP3OUT))&gt;=0,IF(IF(o_WRAP=1,MOD(((1000)-(c_TMAP3IN))*(((A129)-(c_TMAP3IN))*((1000)-(c_TMAP3OUT))+IF(((1000)-(c_TMAP3OUT))&gt;=0,1,-1)*QUOTIENT(((1000)-(c_TMAP3IN)),2))+2147483648,4294967296)-2147483648,((1000)-(c_TMAP3IN))*(((A129)-(c_TMAP3IN))*((1000)-(c_TMAP3OUT))+IF(((1000)-(c_TMAP3OUT))&gt;=0,1,-1)*QUOTIENT(((1000)-(c_TMAP3IN)),2)))&lt;0,-1,0),IF(IF(o_WRAP=1,MOD(((1000)-(c_TMAP3IN))*(((A129)-(c_TMAP3IN))*((1000)-(c_TMAP3OUT))+IF(((1000)-(c_TMAP3OUT))&gt;=0,1,-1)*QUOTIENT(((1000)-(c_TMAP3IN)),2))+2147483648,4294967296)-2147483648,((1000)-(c_TMAP3IN))*(((A129)-(c_TMAP3IN))*((1000)-(c_TMAP3OUT))+IF(((1000)-(c_TMAP3OUT))&gt;=0,1,-1)*QUOTIENT(((1000)-(c_TMAP3IN)),2)))&gt;=0,1,0)))</f>
        <v>-78</v>
      </c>
      <c r="H129" s="7" t="str">
        <f aca="false">IF(A129&gt;=c_TFWD,IF(AND(A129&gt;=c_TMAP3IN,c_TMAP3IN&lt;1000),"Seg4 map3-100%",IF(AND(A129&gt;=c_TMAP2IN,c_TMAP3IN&gt;c_TMAP2IN),"Seg3 map2-map3",IF(AND(A129&gt;=c_TMAP1IN,c_TMAP2IN&gt;c_TMAP1IN),"Seg2 map1-map2","Seg1 TFWD-map1"))),IF(AND(A129=0,c_TCREEP&gt;0),"Creep",IF(AND(A129&lt;=c_TRNGMIN,A129&gt;=c_TRNGMAX,c_TRNGMIN-c_TRNGMAX&lt;&gt;0),"Regen ramp","Coast (0)")))</f>
        <v>Seg2 map1-map2</v>
      </c>
      <c r="I129" s="7" t="n">
        <f aca="false">IF(A129&gt;=c_TFWD,IF(AND(A129&gt;=c_TMAP3IN,c_TMAP3IN&lt;1000),G129,IF(AND(A129&gt;=c_TMAP2IN,c_TMAP3IN&gt;c_TMAP2IN),F129,IF(AND(A129&gt;=c_TMAP1IN,c_TMAP2IN&gt;c_TMAP1IN),E129,D129))),C129)</f>
        <v>80</v>
      </c>
      <c r="J129" s="7" t="str">
        <f aca="false">IF(I129&lt;-1090,"TOO LOW",IF(I129&gt;1090,"TOO HIGH",""))</f>
        <v/>
      </c>
      <c r="K129" s="15" t="n">
        <f aca="false">IF(J129&lt;&gt;"",0,IF(I129&gt;979,1000,I129))</f>
        <v>80</v>
      </c>
      <c r="L129" s="7" t="n">
        <f aca="false">K129/10</f>
        <v>8</v>
      </c>
    </row>
    <row r="130" customFormat="false" ht="15" hidden="false" customHeight="false" outlineLevel="0" collapsed="false">
      <c r="A130" s="7" t="n">
        <v>125</v>
      </c>
      <c r="B130" s="7" t="n">
        <f aca="false">A130/10</f>
        <v>12.5</v>
      </c>
      <c r="C130" s="7" t="n">
        <f aca="false">IF(AND(A130=0,c_TCREEP&gt;0),10*c_TCREEP,IF(AND(A130&lt;=c_TRNGMIN,A130&gt;=c_TRNGMAX,c_TRNGMIN-c_TRNGMAX&lt;&gt;0),-10*c_TMINRN+QUOTIENT((c_TMAXRN-c_TMINRN)*(100-QUOTIENT((A130-c_TRNGMAX)*100,c_TRNGMIN-c_TRNGMAX)),-10),0))</f>
        <v>0</v>
      </c>
      <c r="D130" s="7" t="n">
        <f aca="false">IF(((c_TMAP1IN)-(c_TFWD))=0,(0)+QUOTIENT(((c_TMAP1OUT)-(0)),2),QUOTIENT((((A130)-(c_TFWD))*((c_TMAP1OUT)-(0))+IF(((c_TMAP1OUT)-(0))&gt;=0,1,-1)*QUOTIENT(((c_TMAP1IN)-(c_TFWD)),2)),((c_TMAP1IN)-(c_TFWD)))+(0)+IF(((c_TMAP1OUT)-(0))&gt;=0,IF(IF(o_WRAP=1,MOD(((c_TMAP1IN)-(c_TFWD))*(((A130)-(c_TFWD))*((c_TMAP1OUT)-(0))+IF(((c_TMAP1OUT)-(0))&gt;=0,1,-1)*QUOTIENT(((c_TMAP1IN)-(c_TFWD)),2))+2147483648,4294967296)-2147483648,((c_TMAP1IN)-(c_TFWD))*(((A130)-(c_TFWD))*((c_TMAP1OUT)-(0))+IF(((c_TMAP1OUT)-(0))&gt;=0,1,-1)*QUOTIENT(((c_TMAP1IN)-(c_TFWD)),2)))&lt;0,-1,0),IF(IF(o_WRAP=1,MOD(((c_TMAP1IN)-(c_TFWD))*(((A130)-(c_TFWD))*((c_TMAP1OUT)-(0))+IF(((c_TMAP1OUT)-(0))&gt;=0,1,-1)*QUOTIENT(((c_TMAP1IN)-(c_TFWD)),2))+2147483648,4294967296)-2147483648,((c_TMAP1IN)-(c_TFWD))*(((A130)-(c_TFWD))*((c_TMAP1OUT)-(0))+IF(((c_TMAP1OUT)-(0))&gt;=0,1,-1)*QUOTIENT(((c_TMAP1IN)-(c_TFWD)),2)))&gt;=0,1,0)))</f>
        <v>89</v>
      </c>
      <c r="E130" s="7" t="n">
        <f aca="false">IF(((c_TMAP2IN)-(c_TMAP1IN))=0,(c_TMAP1OUT)+QUOTIENT(((c_TMAP2OUT)-(c_TMAP1OUT)),2),QUOTIENT((((A130)-(c_TMAP1IN))*((c_TMAP2OUT)-(c_TMAP1OUT))+IF(((c_TMAP2OUT)-(c_TMAP1OUT))&gt;=0,1,-1)*QUOTIENT(((c_TMAP2IN)-(c_TMAP1IN)),2)),((c_TMAP2IN)-(c_TMAP1IN)))+(c_TMAP1OUT)+IF(((c_TMAP2OUT)-(c_TMAP1OUT))&gt;=0,IF(IF(o_WRAP=1,MOD(((c_TMAP2IN)-(c_TMAP1IN))*(((A130)-(c_TMAP1IN))*((c_TMAP2OUT)-(c_TMAP1OUT))+IF(((c_TMAP2OUT)-(c_TMAP1OUT))&gt;=0,1,-1)*QUOTIENT(((c_TMAP2IN)-(c_TMAP1IN)),2))+2147483648,4294967296)-2147483648,((c_TMAP2IN)-(c_TMAP1IN))*(((A130)-(c_TMAP1IN))*((c_TMAP2OUT)-(c_TMAP1OUT))+IF(((c_TMAP2OUT)-(c_TMAP1OUT))&gt;=0,1,-1)*QUOTIENT(((c_TMAP2IN)-(c_TMAP1IN)),2)))&lt;0,-1,0),IF(IF(o_WRAP=1,MOD(((c_TMAP2IN)-(c_TMAP1IN))*(((A130)-(c_TMAP1IN))*((c_TMAP2OUT)-(c_TMAP1OUT))+IF(((c_TMAP2OUT)-(c_TMAP1OUT))&gt;=0,1,-1)*QUOTIENT(((c_TMAP2IN)-(c_TMAP1IN)),2))+2147483648,4294967296)-2147483648,((c_TMAP2IN)-(c_TMAP1IN))*(((A130)-(c_TMAP1IN))*((c_TMAP2OUT)-(c_TMAP1OUT))+IF(((c_TMAP2OUT)-(c_TMAP1OUT))&gt;=0,1,-1)*QUOTIENT(((c_TMAP2IN)-(c_TMAP1IN)),2)))&gt;=0,1,0)))</f>
        <v>80</v>
      </c>
      <c r="F130" s="7" t="n">
        <f aca="false">IF(((c_TMAP3IN)-(c_TMAP2IN))=0,(c_TMAP2OUT)+QUOTIENT(((c_TMAP3OUT)-(c_TMAP2OUT)),2),QUOTIENT((((A130)-(c_TMAP2IN))*((c_TMAP3OUT)-(c_TMAP2OUT))+IF(((c_TMAP3OUT)-(c_TMAP2OUT))&gt;=0,1,-1)*QUOTIENT(((c_TMAP3IN)-(c_TMAP2IN)),2)),((c_TMAP3IN)-(c_TMAP2IN)))+(c_TMAP2OUT)+IF(((c_TMAP3OUT)-(c_TMAP2OUT))&gt;=0,IF(IF(o_WRAP=1,MOD(((c_TMAP3IN)-(c_TMAP2IN))*(((A130)-(c_TMAP2IN))*((c_TMAP3OUT)-(c_TMAP2OUT))+IF(((c_TMAP3OUT)-(c_TMAP2OUT))&gt;=0,1,-1)*QUOTIENT(((c_TMAP3IN)-(c_TMAP2IN)),2))+2147483648,4294967296)-2147483648,((c_TMAP3IN)-(c_TMAP2IN))*(((A130)-(c_TMAP2IN))*((c_TMAP3OUT)-(c_TMAP2OUT))+IF(((c_TMAP3OUT)-(c_TMAP2OUT))&gt;=0,1,-1)*QUOTIENT(((c_TMAP3IN)-(c_TMAP2IN)),2)))&lt;0,-1,0),IF(IF(o_WRAP=1,MOD(((c_TMAP3IN)-(c_TMAP2IN))*(((A130)-(c_TMAP2IN))*((c_TMAP3OUT)-(c_TMAP2OUT))+IF(((c_TMAP3OUT)-(c_TMAP2OUT))&gt;=0,1,-1)*QUOTIENT(((c_TMAP3IN)-(c_TMAP2IN)),2))+2147483648,4294967296)-2147483648,((c_TMAP3IN)-(c_TMAP2IN))*(((A130)-(c_TMAP2IN))*((c_TMAP3OUT)-(c_TMAP2OUT))+IF(((c_TMAP3OUT)-(c_TMAP2OUT))&gt;=0,1,-1)*QUOTIENT(((c_TMAP3IN)-(c_TMAP2IN)),2)))&gt;=0,1,0)))</f>
        <v>42</v>
      </c>
      <c r="G130" s="7" t="n">
        <f aca="false">IF(((1000)-(c_TMAP3IN))=0,(c_TMAP3OUT)+QUOTIENT(((1000)-(c_TMAP3OUT)),2),QUOTIENT((((A130)-(c_TMAP3IN))*((1000)-(c_TMAP3OUT))+IF(((1000)-(c_TMAP3OUT))&gt;=0,1,-1)*QUOTIENT(((1000)-(c_TMAP3IN)),2)),((1000)-(c_TMAP3IN)))+(c_TMAP3OUT)+IF(((1000)-(c_TMAP3OUT))&gt;=0,IF(IF(o_WRAP=1,MOD(((1000)-(c_TMAP3IN))*(((A130)-(c_TMAP3IN))*((1000)-(c_TMAP3OUT))+IF(((1000)-(c_TMAP3OUT))&gt;=0,1,-1)*QUOTIENT(((1000)-(c_TMAP3IN)),2))+2147483648,4294967296)-2147483648,((1000)-(c_TMAP3IN))*(((A130)-(c_TMAP3IN))*((1000)-(c_TMAP3OUT))+IF(((1000)-(c_TMAP3OUT))&gt;=0,1,-1)*QUOTIENT(((1000)-(c_TMAP3IN)),2)))&lt;0,-1,0),IF(IF(o_WRAP=1,MOD(((1000)-(c_TMAP3IN))*(((A130)-(c_TMAP3IN))*((1000)-(c_TMAP3OUT))+IF(((1000)-(c_TMAP3OUT))&gt;=0,1,-1)*QUOTIENT(((1000)-(c_TMAP3IN)),2))+2147483648,4294967296)-2147483648,((1000)-(c_TMAP3IN))*(((A130)-(c_TMAP3IN))*((1000)-(c_TMAP3OUT))+IF(((1000)-(c_TMAP3OUT))&gt;=0,1,-1)*QUOTIENT(((1000)-(c_TMAP3IN)),2)))&gt;=0,1,0)))</f>
        <v>-77</v>
      </c>
      <c r="H130" s="7" t="str">
        <f aca="false">IF(A130&gt;=c_TFWD,IF(AND(A130&gt;=c_TMAP3IN,c_TMAP3IN&lt;1000),"Seg4 map3-100%",IF(AND(A130&gt;=c_TMAP2IN,c_TMAP3IN&gt;c_TMAP2IN),"Seg3 map2-map3",IF(AND(A130&gt;=c_TMAP1IN,c_TMAP2IN&gt;c_TMAP1IN),"Seg2 map1-map2","Seg1 TFWD-map1"))),IF(AND(A130=0,c_TCREEP&gt;0),"Creep",IF(AND(A130&lt;=c_TRNGMIN,A130&gt;=c_TRNGMAX,c_TRNGMIN-c_TRNGMAX&lt;&gt;0),"Regen ramp","Coast (0)")))</f>
        <v>Seg2 map1-map2</v>
      </c>
      <c r="I130" s="7" t="n">
        <f aca="false">IF(A130&gt;=c_TFWD,IF(AND(A130&gt;=c_TMAP3IN,c_TMAP3IN&lt;1000),G130,IF(AND(A130&gt;=c_TMAP2IN,c_TMAP3IN&gt;c_TMAP2IN),F130,IF(AND(A130&gt;=c_TMAP1IN,c_TMAP2IN&gt;c_TMAP1IN),E130,D130))),C130)</f>
        <v>80</v>
      </c>
      <c r="J130" s="7" t="str">
        <f aca="false">IF(I130&lt;-1090,"TOO LOW",IF(I130&gt;1090,"TOO HIGH",""))</f>
        <v/>
      </c>
      <c r="K130" s="15" t="n">
        <f aca="false">IF(J130&lt;&gt;"",0,IF(I130&gt;979,1000,I130))</f>
        <v>80</v>
      </c>
      <c r="L130" s="7" t="n">
        <f aca="false">K130/10</f>
        <v>8</v>
      </c>
    </row>
    <row r="131" customFormat="false" ht="15" hidden="false" customHeight="false" outlineLevel="0" collapsed="false">
      <c r="A131" s="7" t="n">
        <v>126</v>
      </c>
      <c r="B131" s="7" t="n">
        <f aca="false">A131/10</f>
        <v>12.6</v>
      </c>
      <c r="C131" s="7" t="n">
        <f aca="false">IF(AND(A131=0,c_TCREEP&gt;0),10*c_TCREEP,IF(AND(A131&lt;=c_TRNGMIN,A131&gt;=c_TRNGMAX,c_TRNGMIN-c_TRNGMAX&lt;&gt;0),-10*c_TMINRN+QUOTIENT((c_TMAXRN-c_TMINRN)*(100-QUOTIENT((A131-c_TRNGMAX)*100,c_TRNGMIN-c_TRNGMAX)),-10),0))</f>
        <v>0</v>
      </c>
      <c r="D131" s="7" t="n">
        <f aca="false">IF(((c_TMAP1IN)-(c_TFWD))=0,(0)+QUOTIENT(((c_TMAP1OUT)-(0)),2),QUOTIENT((((A131)-(c_TFWD))*((c_TMAP1OUT)-(0))+IF(((c_TMAP1OUT)-(0))&gt;=0,1,-1)*QUOTIENT(((c_TMAP1IN)-(c_TFWD)),2)),((c_TMAP1IN)-(c_TFWD)))+(0)+IF(((c_TMAP1OUT)-(0))&gt;=0,IF(IF(o_WRAP=1,MOD(((c_TMAP1IN)-(c_TFWD))*(((A131)-(c_TFWD))*((c_TMAP1OUT)-(0))+IF(((c_TMAP1OUT)-(0))&gt;=0,1,-1)*QUOTIENT(((c_TMAP1IN)-(c_TFWD)),2))+2147483648,4294967296)-2147483648,((c_TMAP1IN)-(c_TFWD))*(((A131)-(c_TFWD))*((c_TMAP1OUT)-(0))+IF(((c_TMAP1OUT)-(0))&gt;=0,1,-1)*QUOTIENT(((c_TMAP1IN)-(c_TFWD)),2)))&lt;0,-1,0),IF(IF(o_WRAP=1,MOD(((c_TMAP1IN)-(c_TFWD))*(((A131)-(c_TFWD))*((c_TMAP1OUT)-(0))+IF(((c_TMAP1OUT)-(0))&gt;=0,1,-1)*QUOTIENT(((c_TMAP1IN)-(c_TFWD)),2))+2147483648,4294967296)-2147483648,((c_TMAP1IN)-(c_TFWD))*(((A131)-(c_TFWD))*((c_TMAP1OUT)-(0))+IF(((c_TMAP1OUT)-(0))&gt;=0,1,-1)*QUOTIENT(((c_TMAP1IN)-(c_TFWD)),2)))&gt;=0,1,0)))</f>
        <v>90</v>
      </c>
      <c r="E131" s="7" t="n">
        <f aca="false">IF(((c_TMAP2IN)-(c_TMAP1IN))=0,(c_TMAP1OUT)+QUOTIENT(((c_TMAP2OUT)-(c_TMAP1OUT)),2),QUOTIENT((((A131)-(c_TMAP1IN))*((c_TMAP2OUT)-(c_TMAP1OUT))+IF(((c_TMAP2OUT)-(c_TMAP1OUT))&gt;=0,1,-1)*QUOTIENT(((c_TMAP2IN)-(c_TMAP1IN)),2)),((c_TMAP2IN)-(c_TMAP1IN)))+(c_TMAP1OUT)+IF(((c_TMAP2OUT)-(c_TMAP1OUT))&gt;=0,IF(IF(o_WRAP=1,MOD(((c_TMAP2IN)-(c_TMAP1IN))*(((A131)-(c_TMAP1IN))*((c_TMAP2OUT)-(c_TMAP1OUT))+IF(((c_TMAP2OUT)-(c_TMAP1OUT))&gt;=0,1,-1)*QUOTIENT(((c_TMAP2IN)-(c_TMAP1IN)),2))+2147483648,4294967296)-2147483648,((c_TMAP2IN)-(c_TMAP1IN))*(((A131)-(c_TMAP1IN))*((c_TMAP2OUT)-(c_TMAP1OUT))+IF(((c_TMAP2OUT)-(c_TMAP1OUT))&gt;=0,1,-1)*QUOTIENT(((c_TMAP2IN)-(c_TMAP1IN)),2)))&lt;0,-1,0),IF(IF(o_WRAP=1,MOD(((c_TMAP2IN)-(c_TMAP1IN))*(((A131)-(c_TMAP1IN))*((c_TMAP2OUT)-(c_TMAP1OUT))+IF(((c_TMAP2OUT)-(c_TMAP1OUT))&gt;=0,1,-1)*QUOTIENT(((c_TMAP2IN)-(c_TMAP1IN)),2))+2147483648,4294967296)-2147483648,((c_TMAP2IN)-(c_TMAP1IN))*(((A131)-(c_TMAP1IN))*((c_TMAP2OUT)-(c_TMAP1OUT))+IF(((c_TMAP2OUT)-(c_TMAP1OUT))&gt;=0,1,-1)*QUOTIENT(((c_TMAP2IN)-(c_TMAP1IN)),2)))&gt;=0,1,0)))</f>
        <v>80</v>
      </c>
      <c r="F131" s="7" t="n">
        <f aca="false">IF(((c_TMAP3IN)-(c_TMAP2IN))=0,(c_TMAP2OUT)+QUOTIENT(((c_TMAP3OUT)-(c_TMAP2OUT)),2),QUOTIENT((((A131)-(c_TMAP2IN))*((c_TMAP3OUT)-(c_TMAP2OUT))+IF(((c_TMAP3OUT)-(c_TMAP2OUT))&gt;=0,1,-1)*QUOTIENT(((c_TMAP3IN)-(c_TMAP2IN)),2)),((c_TMAP3IN)-(c_TMAP2IN)))+(c_TMAP2OUT)+IF(((c_TMAP3OUT)-(c_TMAP2OUT))&gt;=0,IF(IF(o_WRAP=1,MOD(((c_TMAP3IN)-(c_TMAP2IN))*(((A131)-(c_TMAP2IN))*((c_TMAP3OUT)-(c_TMAP2OUT))+IF(((c_TMAP3OUT)-(c_TMAP2OUT))&gt;=0,1,-1)*QUOTIENT(((c_TMAP3IN)-(c_TMAP2IN)),2))+2147483648,4294967296)-2147483648,((c_TMAP3IN)-(c_TMAP2IN))*(((A131)-(c_TMAP2IN))*((c_TMAP3OUT)-(c_TMAP2OUT))+IF(((c_TMAP3OUT)-(c_TMAP2OUT))&gt;=0,1,-1)*QUOTIENT(((c_TMAP3IN)-(c_TMAP2IN)),2)))&lt;0,-1,0),IF(IF(o_WRAP=1,MOD(((c_TMAP3IN)-(c_TMAP2IN))*(((A131)-(c_TMAP2IN))*((c_TMAP3OUT)-(c_TMAP2OUT))+IF(((c_TMAP3OUT)-(c_TMAP2OUT))&gt;=0,1,-1)*QUOTIENT(((c_TMAP3IN)-(c_TMAP2IN)),2))+2147483648,4294967296)-2147483648,((c_TMAP3IN)-(c_TMAP2IN))*(((A131)-(c_TMAP2IN))*((c_TMAP3OUT)-(c_TMAP2OUT))+IF(((c_TMAP3OUT)-(c_TMAP2OUT))&gt;=0,1,-1)*QUOTIENT(((c_TMAP3IN)-(c_TMAP2IN)),2)))&gt;=0,1,0)))</f>
        <v>43</v>
      </c>
      <c r="G131" s="7" t="n">
        <f aca="false">IF(((1000)-(c_TMAP3IN))=0,(c_TMAP3OUT)+QUOTIENT(((1000)-(c_TMAP3OUT)),2),QUOTIENT((((A131)-(c_TMAP3IN))*((1000)-(c_TMAP3OUT))+IF(((1000)-(c_TMAP3OUT))&gt;=0,1,-1)*QUOTIENT(((1000)-(c_TMAP3IN)),2)),((1000)-(c_TMAP3IN)))+(c_TMAP3OUT)+IF(((1000)-(c_TMAP3OUT))&gt;=0,IF(IF(o_WRAP=1,MOD(((1000)-(c_TMAP3IN))*(((A131)-(c_TMAP3IN))*((1000)-(c_TMAP3OUT))+IF(((1000)-(c_TMAP3OUT))&gt;=0,1,-1)*QUOTIENT(((1000)-(c_TMAP3IN)),2))+2147483648,4294967296)-2147483648,((1000)-(c_TMAP3IN))*(((A131)-(c_TMAP3IN))*((1000)-(c_TMAP3OUT))+IF(((1000)-(c_TMAP3OUT))&gt;=0,1,-1)*QUOTIENT(((1000)-(c_TMAP3IN)),2)))&lt;0,-1,0),IF(IF(o_WRAP=1,MOD(((1000)-(c_TMAP3IN))*(((A131)-(c_TMAP3IN))*((1000)-(c_TMAP3OUT))+IF(((1000)-(c_TMAP3OUT))&gt;=0,1,-1)*QUOTIENT(((1000)-(c_TMAP3IN)),2))+2147483648,4294967296)-2147483648,((1000)-(c_TMAP3IN))*(((A131)-(c_TMAP3IN))*((1000)-(c_TMAP3OUT))+IF(((1000)-(c_TMAP3OUT))&gt;=0,1,-1)*QUOTIENT(((1000)-(c_TMAP3IN)),2)))&gt;=0,1,0)))</f>
        <v>-76</v>
      </c>
      <c r="H131" s="7" t="str">
        <f aca="false">IF(A131&gt;=c_TFWD,IF(AND(A131&gt;=c_TMAP3IN,c_TMAP3IN&lt;1000),"Seg4 map3-100%",IF(AND(A131&gt;=c_TMAP2IN,c_TMAP3IN&gt;c_TMAP2IN),"Seg3 map2-map3",IF(AND(A131&gt;=c_TMAP1IN,c_TMAP2IN&gt;c_TMAP1IN),"Seg2 map1-map2","Seg1 TFWD-map1"))),IF(AND(A131=0,c_TCREEP&gt;0),"Creep",IF(AND(A131&lt;=c_TRNGMIN,A131&gt;=c_TRNGMAX,c_TRNGMIN-c_TRNGMAX&lt;&gt;0),"Regen ramp","Coast (0)")))</f>
        <v>Seg2 map1-map2</v>
      </c>
      <c r="I131" s="7" t="n">
        <f aca="false">IF(A131&gt;=c_TFWD,IF(AND(A131&gt;=c_TMAP3IN,c_TMAP3IN&lt;1000),G131,IF(AND(A131&gt;=c_TMAP2IN,c_TMAP3IN&gt;c_TMAP2IN),F131,IF(AND(A131&gt;=c_TMAP1IN,c_TMAP2IN&gt;c_TMAP1IN),E131,D131))),C131)</f>
        <v>80</v>
      </c>
      <c r="J131" s="7" t="str">
        <f aca="false">IF(I131&lt;-1090,"TOO LOW",IF(I131&gt;1090,"TOO HIGH",""))</f>
        <v/>
      </c>
      <c r="K131" s="15" t="n">
        <f aca="false">IF(J131&lt;&gt;"",0,IF(I131&gt;979,1000,I131))</f>
        <v>80</v>
      </c>
      <c r="L131" s="7" t="n">
        <f aca="false">K131/10</f>
        <v>8</v>
      </c>
    </row>
    <row r="132" customFormat="false" ht="15" hidden="false" customHeight="false" outlineLevel="0" collapsed="false">
      <c r="A132" s="7" t="n">
        <v>127</v>
      </c>
      <c r="B132" s="7" t="n">
        <f aca="false">A132/10</f>
        <v>12.7</v>
      </c>
      <c r="C132" s="7" t="n">
        <f aca="false">IF(AND(A132=0,c_TCREEP&gt;0),10*c_TCREEP,IF(AND(A132&lt;=c_TRNGMIN,A132&gt;=c_TRNGMAX,c_TRNGMIN-c_TRNGMAX&lt;&gt;0),-10*c_TMINRN+QUOTIENT((c_TMAXRN-c_TMINRN)*(100-QUOTIENT((A132-c_TRNGMAX)*100,c_TRNGMIN-c_TRNGMAX)),-10),0))</f>
        <v>0</v>
      </c>
      <c r="D132" s="7" t="n">
        <f aca="false">IF(((c_TMAP1IN)-(c_TFWD))=0,(0)+QUOTIENT(((c_TMAP1OUT)-(0)),2),QUOTIENT((((A132)-(c_TFWD))*((c_TMAP1OUT)-(0))+IF(((c_TMAP1OUT)-(0))&gt;=0,1,-1)*QUOTIENT(((c_TMAP1IN)-(c_TFWD)),2)),((c_TMAP1IN)-(c_TFWD)))+(0)+IF(((c_TMAP1OUT)-(0))&gt;=0,IF(IF(o_WRAP=1,MOD(((c_TMAP1IN)-(c_TFWD))*(((A132)-(c_TFWD))*((c_TMAP1OUT)-(0))+IF(((c_TMAP1OUT)-(0))&gt;=0,1,-1)*QUOTIENT(((c_TMAP1IN)-(c_TFWD)),2))+2147483648,4294967296)-2147483648,((c_TMAP1IN)-(c_TFWD))*(((A132)-(c_TFWD))*((c_TMAP1OUT)-(0))+IF(((c_TMAP1OUT)-(0))&gt;=0,1,-1)*QUOTIENT(((c_TMAP1IN)-(c_TFWD)),2)))&lt;0,-1,0),IF(IF(o_WRAP=1,MOD(((c_TMAP1IN)-(c_TFWD))*(((A132)-(c_TFWD))*((c_TMAP1OUT)-(0))+IF(((c_TMAP1OUT)-(0))&gt;=0,1,-1)*QUOTIENT(((c_TMAP1IN)-(c_TFWD)),2))+2147483648,4294967296)-2147483648,((c_TMAP1IN)-(c_TFWD))*(((A132)-(c_TFWD))*((c_TMAP1OUT)-(0))+IF(((c_TMAP1OUT)-(0))&gt;=0,1,-1)*QUOTIENT(((c_TMAP1IN)-(c_TFWD)),2)))&gt;=0,1,0)))</f>
        <v>91</v>
      </c>
      <c r="E132" s="7" t="n">
        <f aca="false">IF(((c_TMAP2IN)-(c_TMAP1IN))=0,(c_TMAP1OUT)+QUOTIENT(((c_TMAP2OUT)-(c_TMAP1OUT)),2),QUOTIENT((((A132)-(c_TMAP1IN))*((c_TMAP2OUT)-(c_TMAP1OUT))+IF(((c_TMAP2OUT)-(c_TMAP1OUT))&gt;=0,1,-1)*QUOTIENT(((c_TMAP2IN)-(c_TMAP1IN)),2)),((c_TMAP2IN)-(c_TMAP1IN)))+(c_TMAP1OUT)+IF(((c_TMAP2OUT)-(c_TMAP1OUT))&gt;=0,IF(IF(o_WRAP=1,MOD(((c_TMAP2IN)-(c_TMAP1IN))*(((A132)-(c_TMAP1IN))*((c_TMAP2OUT)-(c_TMAP1OUT))+IF(((c_TMAP2OUT)-(c_TMAP1OUT))&gt;=0,1,-1)*QUOTIENT(((c_TMAP2IN)-(c_TMAP1IN)),2))+2147483648,4294967296)-2147483648,((c_TMAP2IN)-(c_TMAP1IN))*(((A132)-(c_TMAP1IN))*((c_TMAP2OUT)-(c_TMAP1OUT))+IF(((c_TMAP2OUT)-(c_TMAP1OUT))&gt;=0,1,-1)*QUOTIENT(((c_TMAP2IN)-(c_TMAP1IN)),2)))&lt;0,-1,0),IF(IF(o_WRAP=1,MOD(((c_TMAP2IN)-(c_TMAP1IN))*(((A132)-(c_TMAP1IN))*((c_TMAP2OUT)-(c_TMAP1OUT))+IF(((c_TMAP2OUT)-(c_TMAP1OUT))&gt;=0,1,-1)*QUOTIENT(((c_TMAP2IN)-(c_TMAP1IN)),2))+2147483648,4294967296)-2147483648,((c_TMAP2IN)-(c_TMAP1IN))*(((A132)-(c_TMAP1IN))*((c_TMAP2OUT)-(c_TMAP1OUT))+IF(((c_TMAP2OUT)-(c_TMAP1OUT))&gt;=0,1,-1)*QUOTIENT(((c_TMAP2IN)-(c_TMAP1IN)),2)))&gt;=0,1,0)))</f>
        <v>81</v>
      </c>
      <c r="F132" s="7" t="n">
        <f aca="false">IF(((c_TMAP3IN)-(c_TMAP2IN))=0,(c_TMAP2OUT)+QUOTIENT(((c_TMAP3OUT)-(c_TMAP2OUT)),2),QUOTIENT((((A132)-(c_TMAP2IN))*((c_TMAP3OUT)-(c_TMAP2OUT))+IF(((c_TMAP3OUT)-(c_TMAP2OUT))&gt;=0,1,-1)*QUOTIENT(((c_TMAP3IN)-(c_TMAP2IN)),2)),((c_TMAP3IN)-(c_TMAP2IN)))+(c_TMAP2OUT)+IF(((c_TMAP3OUT)-(c_TMAP2OUT))&gt;=0,IF(IF(o_WRAP=1,MOD(((c_TMAP3IN)-(c_TMAP2IN))*(((A132)-(c_TMAP2IN))*((c_TMAP3OUT)-(c_TMAP2OUT))+IF(((c_TMAP3OUT)-(c_TMAP2OUT))&gt;=0,1,-1)*QUOTIENT(((c_TMAP3IN)-(c_TMAP2IN)),2))+2147483648,4294967296)-2147483648,((c_TMAP3IN)-(c_TMAP2IN))*(((A132)-(c_TMAP2IN))*((c_TMAP3OUT)-(c_TMAP2OUT))+IF(((c_TMAP3OUT)-(c_TMAP2OUT))&gt;=0,1,-1)*QUOTIENT(((c_TMAP3IN)-(c_TMAP2IN)),2)))&lt;0,-1,0),IF(IF(o_WRAP=1,MOD(((c_TMAP3IN)-(c_TMAP2IN))*(((A132)-(c_TMAP2IN))*((c_TMAP3OUT)-(c_TMAP2OUT))+IF(((c_TMAP3OUT)-(c_TMAP2OUT))&gt;=0,1,-1)*QUOTIENT(((c_TMAP3IN)-(c_TMAP2IN)),2))+2147483648,4294967296)-2147483648,((c_TMAP3IN)-(c_TMAP2IN))*(((A132)-(c_TMAP2IN))*((c_TMAP3OUT)-(c_TMAP2OUT))+IF(((c_TMAP3OUT)-(c_TMAP2OUT))&gt;=0,1,-1)*QUOTIENT(((c_TMAP3IN)-(c_TMAP2IN)),2)))&gt;=0,1,0)))</f>
        <v>44</v>
      </c>
      <c r="G132" s="7" t="n">
        <f aca="false">IF(((1000)-(c_TMAP3IN))=0,(c_TMAP3OUT)+QUOTIENT(((1000)-(c_TMAP3OUT)),2),QUOTIENT((((A132)-(c_TMAP3IN))*((1000)-(c_TMAP3OUT))+IF(((1000)-(c_TMAP3OUT))&gt;=0,1,-1)*QUOTIENT(((1000)-(c_TMAP3IN)),2)),((1000)-(c_TMAP3IN)))+(c_TMAP3OUT)+IF(((1000)-(c_TMAP3OUT))&gt;=0,IF(IF(o_WRAP=1,MOD(((1000)-(c_TMAP3IN))*(((A132)-(c_TMAP3IN))*((1000)-(c_TMAP3OUT))+IF(((1000)-(c_TMAP3OUT))&gt;=0,1,-1)*QUOTIENT(((1000)-(c_TMAP3IN)),2))+2147483648,4294967296)-2147483648,((1000)-(c_TMAP3IN))*(((A132)-(c_TMAP3IN))*((1000)-(c_TMAP3OUT))+IF(((1000)-(c_TMAP3OUT))&gt;=0,1,-1)*QUOTIENT(((1000)-(c_TMAP3IN)),2)))&lt;0,-1,0),IF(IF(o_WRAP=1,MOD(((1000)-(c_TMAP3IN))*(((A132)-(c_TMAP3IN))*((1000)-(c_TMAP3OUT))+IF(((1000)-(c_TMAP3OUT))&gt;=0,1,-1)*QUOTIENT(((1000)-(c_TMAP3IN)),2))+2147483648,4294967296)-2147483648,((1000)-(c_TMAP3IN))*(((A132)-(c_TMAP3IN))*((1000)-(c_TMAP3OUT))+IF(((1000)-(c_TMAP3OUT))&gt;=0,1,-1)*QUOTIENT(((1000)-(c_TMAP3IN)),2)))&gt;=0,1,0)))</f>
        <v>-74</v>
      </c>
      <c r="H132" s="7" t="str">
        <f aca="false">IF(A132&gt;=c_TFWD,IF(AND(A132&gt;=c_TMAP3IN,c_TMAP3IN&lt;1000),"Seg4 map3-100%",IF(AND(A132&gt;=c_TMAP2IN,c_TMAP3IN&gt;c_TMAP2IN),"Seg3 map2-map3",IF(AND(A132&gt;=c_TMAP1IN,c_TMAP2IN&gt;c_TMAP1IN),"Seg2 map1-map2","Seg1 TFWD-map1"))),IF(AND(A132=0,c_TCREEP&gt;0),"Creep",IF(AND(A132&lt;=c_TRNGMIN,A132&gt;=c_TRNGMAX,c_TRNGMIN-c_TRNGMAX&lt;&gt;0),"Regen ramp","Coast (0)")))</f>
        <v>Seg2 map1-map2</v>
      </c>
      <c r="I132" s="7" t="n">
        <f aca="false">IF(A132&gt;=c_TFWD,IF(AND(A132&gt;=c_TMAP3IN,c_TMAP3IN&lt;1000),G132,IF(AND(A132&gt;=c_TMAP2IN,c_TMAP3IN&gt;c_TMAP2IN),F132,IF(AND(A132&gt;=c_TMAP1IN,c_TMAP2IN&gt;c_TMAP1IN),E132,D132))),C132)</f>
        <v>81</v>
      </c>
      <c r="J132" s="7" t="str">
        <f aca="false">IF(I132&lt;-1090,"TOO LOW",IF(I132&gt;1090,"TOO HIGH",""))</f>
        <v/>
      </c>
      <c r="K132" s="15" t="n">
        <f aca="false">IF(J132&lt;&gt;"",0,IF(I132&gt;979,1000,I132))</f>
        <v>81</v>
      </c>
      <c r="L132" s="7" t="n">
        <f aca="false">K132/10</f>
        <v>8.1</v>
      </c>
    </row>
    <row r="133" customFormat="false" ht="15" hidden="false" customHeight="false" outlineLevel="0" collapsed="false">
      <c r="A133" s="7" t="n">
        <v>128</v>
      </c>
      <c r="B133" s="7" t="n">
        <f aca="false">A133/10</f>
        <v>12.8</v>
      </c>
      <c r="C133" s="7" t="n">
        <f aca="false">IF(AND(A133=0,c_TCREEP&gt;0),10*c_TCREEP,IF(AND(A133&lt;=c_TRNGMIN,A133&gt;=c_TRNGMAX,c_TRNGMIN-c_TRNGMAX&lt;&gt;0),-10*c_TMINRN+QUOTIENT((c_TMAXRN-c_TMINRN)*(100-QUOTIENT((A133-c_TRNGMAX)*100,c_TRNGMIN-c_TRNGMAX)),-10),0))</f>
        <v>0</v>
      </c>
      <c r="D133" s="7" t="n">
        <f aca="false">IF(((c_TMAP1IN)-(c_TFWD))=0,(0)+QUOTIENT(((c_TMAP1OUT)-(0)),2),QUOTIENT((((A133)-(c_TFWD))*((c_TMAP1OUT)-(0))+IF(((c_TMAP1OUT)-(0))&gt;=0,1,-1)*QUOTIENT(((c_TMAP1IN)-(c_TFWD)),2)),((c_TMAP1IN)-(c_TFWD)))+(0)+IF(((c_TMAP1OUT)-(0))&gt;=0,IF(IF(o_WRAP=1,MOD(((c_TMAP1IN)-(c_TFWD))*(((A133)-(c_TFWD))*((c_TMAP1OUT)-(0))+IF(((c_TMAP1OUT)-(0))&gt;=0,1,-1)*QUOTIENT(((c_TMAP1IN)-(c_TFWD)),2))+2147483648,4294967296)-2147483648,((c_TMAP1IN)-(c_TFWD))*(((A133)-(c_TFWD))*((c_TMAP1OUT)-(0))+IF(((c_TMAP1OUT)-(0))&gt;=0,1,-1)*QUOTIENT(((c_TMAP1IN)-(c_TFWD)),2)))&lt;0,-1,0),IF(IF(o_WRAP=1,MOD(((c_TMAP1IN)-(c_TFWD))*(((A133)-(c_TFWD))*((c_TMAP1OUT)-(0))+IF(((c_TMAP1OUT)-(0))&gt;=0,1,-1)*QUOTIENT(((c_TMAP1IN)-(c_TFWD)),2))+2147483648,4294967296)-2147483648,((c_TMAP1IN)-(c_TFWD))*(((A133)-(c_TFWD))*((c_TMAP1OUT)-(0))+IF(((c_TMAP1OUT)-(0))&gt;=0,1,-1)*QUOTIENT(((c_TMAP1IN)-(c_TFWD)),2)))&gt;=0,1,0)))</f>
        <v>92</v>
      </c>
      <c r="E133" s="7" t="n">
        <f aca="false">IF(((c_TMAP2IN)-(c_TMAP1IN))=0,(c_TMAP1OUT)+QUOTIENT(((c_TMAP2OUT)-(c_TMAP1OUT)),2),QUOTIENT((((A133)-(c_TMAP1IN))*((c_TMAP2OUT)-(c_TMAP1OUT))+IF(((c_TMAP2OUT)-(c_TMAP1OUT))&gt;=0,1,-1)*QUOTIENT(((c_TMAP2IN)-(c_TMAP1IN)),2)),((c_TMAP2IN)-(c_TMAP1IN)))+(c_TMAP1OUT)+IF(((c_TMAP2OUT)-(c_TMAP1OUT))&gt;=0,IF(IF(o_WRAP=1,MOD(((c_TMAP2IN)-(c_TMAP1IN))*(((A133)-(c_TMAP1IN))*((c_TMAP2OUT)-(c_TMAP1OUT))+IF(((c_TMAP2OUT)-(c_TMAP1OUT))&gt;=0,1,-1)*QUOTIENT(((c_TMAP2IN)-(c_TMAP1IN)),2))+2147483648,4294967296)-2147483648,((c_TMAP2IN)-(c_TMAP1IN))*(((A133)-(c_TMAP1IN))*((c_TMAP2OUT)-(c_TMAP1OUT))+IF(((c_TMAP2OUT)-(c_TMAP1OUT))&gt;=0,1,-1)*QUOTIENT(((c_TMAP2IN)-(c_TMAP1IN)),2)))&lt;0,-1,0),IF(IF(o_WRAP=1,MOD(((c_TMAP2IN)-(c_TMAP1IN))*(((A133)-(c_TMAP1IN))*((c_TMAP2OUT)-(c_TMAP1OUT))+IF(((c_TMAP2OUT)-(c_TMAP1OUT))&gt;=0,1,-1)*QUOTIENT(((c_TMAP2IN)-(c_TMAP1IN)),2))+2147483648,4294967296)-2147483648,((c_TMAP2IN)-(c_TMAP1IN))*(((A133)-(c_TMAP1IN))*((c_TMAP2OUT)-(c_TMAP1OUT))+IF(((c_TMAP2OUT)-(c_TMAP1OUT))&gt;=0,1,-1)*QUOTIENT(((c_TMAP2IN)-(c_TMAP1IN)),2)))&gt;=0,1,0)))</f>
        <v>81</v>
      </c>
      <c r="F133" s="7" t="n">
        <f aca="false">IF(((c_TMAP3IN)-(c_TMAP2IN))=0,(c_TMAP2OUT)+QUOTIENT(((c_TMAP3OUT)-(c_TMAP2OUT)),2),QUOTIENT((((A133)-(c_TMAP2IN))*((c_TMAP3OUT)-(c_TMAP2OUT))+IF(((c_TMAP3OUT)-(c_TMAP2OUT))&gt;=0,1,-1)*QUOTIENT(((c_TMAP3IN)-(c_TMAP2IN)),2)),((c_TMAP3IN)-(c_TMAP2IN)))+(c_TMAP2OUT)+IF(((c_TMAP3OUT)-(c_TMAP2OUT))&gt;=0,IF(IF(o_WRAP=1,MOD(((c_TMAP3IN)-(c_TMAP2IN))*(((A133)-(c_TMAP2IN))*((c_TMAP3OUT)-(c_TMAP2OUT))+IF(((c_TMAP3OUT)-(c_TMAP2OUT))&gt;=0,1,-1)*QUOTIENT(((c_TMAP3IN)-(c_TMAP2IN)),2))+2147483648,4294967296)-2147483648,((c_TMAP3IN)-(c_TMAP2IN))*(((A133)-(c_TMAP2IN))*((c_TMAP3OUT)-(c_TMAP2OUT))+IF(((c_TMAP3OUT)-(c_TMAP2OUT))&gt;=0,1,-1)*QUOTIENT(((c_TMAP3IN)-(c_TMAP2IN)),2)))&lt;0,-1,0),IF(IF(o_WRAP=1,MOD(((c_TMAP3IN)-(c_TMAP2IN))*(((A133)-(c_TMAP2IN))*((c_TMAP3OUT)-(c_TMAP2OUT))+IF(((c_TMAP3OUT)-(c_TMAP2OUT))&gt;=0,1,-1)*QUOTIENT(((c_TMAP3IN)-(c_TMAP2IN)),2))+2147483648,4294967296)-2147483648,((c_TMAP3IN)-(c_TMAP2IN))*(((A133)-(c_TMAP2IN))*((c_TMAP3OUT)-(c_TMAP2OUT))+IF(((c_TMAP3OUT)-(c_TMAP2OUT))&gt;=0,1,-1)*QUOTIENT(((c_TMAP3IN)-(c_TMAP2IN)),2)))&gt;=0,1,0)))</f>
        <v>45</v>
      </c>
      <c r="G133" s="7" t="n">
        <f aca="false">IF(((1000)-(c_TMAP3IN))=0,(c_TMAP3OUT)+QUOTIENT(((1000)-(c_TMAP3OUT)),2),QUOTIENT((((A133)-(c_TMAP3IN))*((1000)-(c_TMAP3OUT))+IF(((1000)-(c_TMAP3OUT))&gt;=0,1,-1)*QUOTIENT(((1000)-(c_TMAP3IN)),2)),((1000)-(c_TMAP3IN)))+(c_TMAP3OUT)+IF(((1000)-(c_TMAP3OUT))&gt;=0,IF(IF(o_WRAP=1,MOD(((1000)-(c_TMAP3IN))*(((A133)-(c_TMAP3IN))*((1000)-(c_TMAP3OUT))+IF(((1000)-(c_TMAP3OUT))&gt;=0,1,-1)*QUOTIENT(((1000)-(c_TMAP3IN)),2))+2147483648,4294967296)-2147483648,((1000)-(c_TMAP3IN))*(((A133)-(c_TMAP3IN))*((1000)-(c_TMAP3OUT))+IF(((1000)-(c_TMAP3OUT))&gt;=0,1,-1)*QUOTIENT(((1000)-(c_TMAP3IN)),2)))&lt;0,-1,0),IF(IF(o_WRAP=1,MOD(((1000)-(c_TMAP3IN))*(((A133)-(c_TMAP3IN))*((1000)-(c_TMAP3OUT))+IF(((1000)-(c_TMAP3OUT))&gt;=0,1,-1)*QUOTIENT(((1000)-(c_TMAP3IN)),2))+2147483648,4294967296)-2147483648,((1000)-(c_TMAP3IN))*(((A133)-(c_TMAP3IN))*((1000)-(c_TMAP3OUT))+IF(((1000)-(c_TMAP3OUT))&gt;=0,1,-1)*QUOTIENT(((1000)-(c_TMAP3IN)),2)))&gt;=0,1,0)))</f>
        <v>-73</v>
      </c>
      <c r="H133" s="7" t="str">
        <f aca="false">IF(A133&gt;=c_TFWD,IF(AND(A133&gt;=c_TMAP3IN,c_TMAP3IN&lt;1000),"Seg4 map3-100%",IF(AND(A133&gt;=c_TMAP2IN,c_TMAP3IN&gt;c_TMAP2IN),"Seg3 map2-map3",IF(AND(A133&gt;=c_TMAP1IN,c_TMAP2IN&gt;c_TMAP1IN),"Seg2 map1-map2","Seg1 TFWD-map1"))),IF(AND(A133=0,c_TCREEP&gt;0),"Creep",IF(AND(A133&lt;=c_TRNGMIN,A133&gt;=c_TRNGMAX,c_TRNGMIN-c_TRNGMAX&lt;&gt;0),"Regen ramp","Coast (0)")))</f>
        <v>Seg2 map1-map2</v>
      </c>
      <c r="I133" s="7" t="n">
        <f aca="false">IF(A133&gt;=c_TFWD,IF(AND(A133&gt;=c_TMAP3IN,c_TMAP3IN&lt;1000),G133,IF(AND(A133&gt;=c_TMAP2IN,c_TMAP3IN&gt;c_TMAP2IN),F133,IF(AND(A133&gt;=c_TMAP1IN,c_TMAP2IN&gt;c_TMAP1IN),E133,D133))),C133)</f>
        <v>81</v>
      </c>
      <c r="J133" s="7" t="str">
        <f aca="false">IF(I133&lt;-1090,"TOO LOW",IF(I133&gt;1090,"TOO HIGH",""))</f>
        <v/>
      </c>
      <c r="K133" s="15" t="n">
        <f aca="false">IF(J133&lt;&gt;"",0,IF(I133&gt;979,1000,I133))</f>
        <v>81</v>
      </c>
      <c r="L133" s="7" t="n">
        <f aca="false">K133/10</f>
        <v>8.1</v>
      </c>
    </row>
    <row r="134" customFormat="false" ht="15" hidden="false" customHeight="false" outlineLevel="0" collapsed="false">
      <c r="A134" s="7" t="n">
        <v>129</v>
      </c>
      <c r="B134" s="7" t="n">
        <f aca="false">A134/10</f>
        <v>12.9</v>
      </c>
      <c r="C134" s="7" t="n">
        <f aca="false">IF(AND(A134=0,c_TCREEP&gt;0),10*c_TCREEP,IF(AND(A134&lt;=c_TRNGMIN,A134&gt;=c_TRNGMAX,c_TRNGMIN-c_TRNGMAX&lt;&gt;0),-10*c_TMINRN+QUOTIENT((c_TMAXRN-c_TMINRN)*(100-QUOTIENT((A134-c_TRNGMAX)*100,c_TRNGMIN-c_TRNGMAX)),-10),0))</f>
        <v>0</v>
      </c>
      <c r="D134" s="7" t="n">
        <f aca="false">IF(((c_TMAP1IN)-(c_TFWD))=0,(0)+QUOTIENT(((c_TMAP1OUT)-(0)),2),QUOTIENT((((A134)-(c_TFWD))*((c_TMAP1OUT)-(0))+IF(((c_TMAP1OUT)-(0))&gt;=0,1,-1)*QUOTIENT(((c_TMAP1IN)-(c_TFWD)),2)),((c_TMAP1IN)-(c_TFWD)))+(0)+IF(((c_TMAP1OUT)-(0))&gt;=0,IF(IF(o_WRAP=1,MOD(((c_TMAP1IN)-(c_TFWD))*(((A134)-(c_TFWD))*((c_TMAP1OUT)-(0))+IF(((c_TMAP1OUT)-(0))&gt;=0,1,-1)*QUOTIENT(((c_TMAP1IN)-(c_TFWD)),2))+2147483648,4294967296)-2147483648,((c_TMAP1IN)-(c_TFWD))*(((A134)-(c_TFWD))*((c_TMAP1OUT)-(0))+IF(((c_TMAP1OUT)-(0))&gt;=0,1,-1)*QUOTIENT(((c_TMAP1IN)-(c_TFWD)),2)))&lt;0,-1,0),IF(IF(o_WRAP=1,MOD(((c_TMAP1IN)-(c_TFWD))*(((A134)-(c_TFWD))*((c_TMAP1OUT)-(0))+IF(((c_TMAP1OUT)-(0))&gt;=0,1,-1)*QUOTIENT(((c_TMAP1IN)-(c_TFWD)),2))+2147483648,4294967296)-2147483648,((c_TMAP1IN)-(c_TFWD))*(((A134)-(c_TFWD))*((c_TMAP1OUT)-(0))+IF(((c_TMAP1OUT)-(0))&gt;=0,1,-1)*QUOTIENT(((c_TMAP1IN)-(c_TFWD)),2)))&gt;=0,1,0)))</f>
        <v>93</v>
      </c>
      <c r="E134" s="7" t="n">
        <f aca="false">IF(((c_TMAP2IN)-(c_TMAP1IN))=0,(c_TMAP1OUT)+QUOTIENT(((c_TMAP2OUT)-(c_TMAP1OUT)),2),QUOTIENT((((A134)-(c_TMAP1IN))*((c_TMAP2OUT)-(c_TMAP1OUT))+IF(((c_TMAP2OUT)-(c_TMAP1OUT))&gt;=0,1,-1)*QUOTIENT(((c_TMAP2IN)-(c_TMAP1IN)),2)),((c_TMAP2IN)-(c_TMAP1IN)))+(c_TMAP1OUT)+IF(((c_TMAP2OUT)-(c_TMAP1OUT))&gt;=0,IF(IF(o_WRAP=1,MOD(((c_TMAP2IN)-(c_TMAP1IN))*(((A134)-(c_TMAP1IN))*((c_TMAP2OUT)-(c_TMAP1OUT))+IF(((c_TMAP2OUT)-(c_TMAP1OUT))&gt;=0,1,-1)*QUOTIENT(((c_TMAP2IN)-(c_TMAP1IN)),2))+2147483648,4294967296)-2147483648,((c_TMAP2IN)-(c_TMAP1IN))*(((A134)-(c_TMAP1IN))*((c_TMAP2OUT)-(c_TMAP1OUT))+IF(((c_TMAP2OUT)-(c_TMAP1OUT))&gt;=0,1,-1)*QUOTIENT(((c_TMAP2IN)-(c_TMAP1IN)),2)))&lt;0,-1,0),IF(IF(o_WRAP=1,MOD(((c_TMAP2IN)-(c_TMAP1IN))*(((A134)-(c_TMAP1IN))*((c_TMAP2OUT)-(c_TMAP1OUT))+IF(((c_TMAP2OUT)-(c_TMAP1OUT))&gt;=0,1,-1)*QUOTIENT(((c_TMAP2IN)-(c_TMAP1IN)),2))+2147483648,4294967296)-2147483648,((c_TMAP2IN)-(c_TMAP1IN))*(((A134)-(c_TMAP1IN))*((c_TMAP2OUT)-(c_TMAP1OUT))+IF(((c_TMAP2OUT)-(c_TMAP1OUT))&gt;=0,1,-1)*QUOTIENT(((c_TMAP2IN)-(c_TMAP1IN)),2)))&gt;=0,1,0)))</f>
        <v>82</v>
      </c>
      <c r="F134" s="7" t="n">
        <f aca="false">IF(((c_TMAP3IN)-(c_TMAP2IN))=0,(c_TMAP2OUT)+QUOTIENT(((c_TMAP3OUT)-(c_TMAP2OUT)),2),QUOTIENT((((A134)-(c_TMAP2IN))*((c_TMAP3OUT)-(c_TMAP2OUT))+IF(((c_TMAP3OUT)-(c_TMAP2OUT))&gt;=0,1,-1)*QUOTIENT(((c_TMAP3IN)-(c_TMAP2IN)),2)),((c_TMAP3IN)-(c_TMAP2IN)))+(c_TMAP2OUT)+IF(((c_TMAP3OUT)-(c_TMAP2OUT))&gt;=0,IF(IF(o_WRAP=1,MOD(((c_TMAP3IN)-(c_TMAP2IN))*(((A134)-(c_TMAP2IN))*((c_TMAP3OUT)-(c_TMAP2OUT))+IF(((c_TMAP3OUT)-(c_TMAP2OUT))&gt;=0,1,-1)*QUOTIENT(((c_TMAP3IN)-(c_TMAP2IN)),2))+2147483648,4294967296)-2147483648,((c_TMAP3IN)-(c_TMAP2IN))*(((A134)-(c_TMAP2IN))*((c_TMAP3OUT)-(c_TMAP2OUT))+IF(((c_TMAP3OUT)-(c_TMAP2OUT))&gt;=0,1,-1)*QUOTIENT(((c_TMAP3IN)-(c_TMAP2IN)),2)))&lt;0,-1,0),IF(IF(o_WRAP=1,MOD(((c_TMAP3IN)-(c_TMAP2IN))*(((A134)-(c_TMAP2IN))*((c_TMAP3OUT)-(c_TMAP2OUT))+IF(((c_TMAP3OUT)-(c_TMAP2OUT))&gt;=0,1,-1)*QUOTIENT(((c_TMAP3IN)-(c_TMAP2IN)),2))+2147483648,4294967296)-2147483648,((c_TMAP3IN)-(c_TMAP2IN))*(((A134)-(c_TMAP2IN))*((c_TMAP3OUT)-(c_TMAP2OUT))+IF(((c_TMAP3OUT)-(c_TMAP2OUT))&gt;=0,1,-1)*QUOTIENT(((c_TMAP3IN)-(c_TMAP2IN)),2)))&gt;=0,1,0)))</f>
        <v>45</v>
      </c>
      <c r="G134" s="7" t="n">
        <f aca="false">IF(((1000)-(c_TMAP3IN))=0,(c_TMAP3OUT)+QUOTIENT(((1000)-(c_TMAP3OUT)),2),QUOTIENT((((A134)-(c_TMAP3IN))*((1000)-(c_TMAP3OUT))+IF(((1000)-(c_TMAP3OUT))&gt;=0,1,-1)*QUOTIENT(((1000)-(c_TMAP3IN)),2)),((1000)-(c_TMAP3IN)))+(c_TMAP3OUT)+IF(((1000)-(c_TMAP3OUT))&gt;=0,IF(IF(o_WRAP=1,MOD(((1000)-(c_TMAP3IN))*(((A134)-(c_TMAP3IN))*((1000)-(c_TMAP3OUT))+IF(((1000)-(c_TMAP3OUT))&gt;=0,1,-1)*QUOTIENT(((1000)-(c_TMAP3IN)),2))+2147483648,4294967296)-2147483648,((1000)-(c_TMAP3IN))*(((A134)-(c_TMAP3IN))*((1000)-(c_TMAP3OUT))+IF(((1000)-(c_TMAP3OUT))&gt;=0,1,-1)*QUOTIENT(((1000)-(c_TMAP3IN)),2)))&lt;0,-1,0),IF(IF(o_WRAP=1,MOD(((1000)-(c_TMAP3IN))*(((A134)-(c_TMAP3IN))*((1000)-(c_TMAP3OUT))+IF(((1000)-(c_TMAP3OUT))&gt;=0,1,-1)*QUOTIENT(((1000)-(c_TMAP3IN)),2))+2147483648,4294967296)-2147483648,((1000)-(c_TMAP3IN))*(((A134)-(c_TMAP3IN))*((1000)-(c_TMAP3OUT))+IF(((1000)-(c_TMAP3OUT))&gt;=0,1,-1)*QUOTIENT(((1000)-(c_TMAP3IN)),2)))&gt;=0,1,0)))</f>
        <v>-72</v>
      </c>
      <c r="H134" s="7" t="str">
        <f aca="false">IF(A134&gt;=c_TFWD,IF(AND(A134&gt;=c_TMAP3IN,c_TMAP3IN&lt;1000),"Seg4 map3-100%",IF(AND(A134&gt;=c_TMAP2IN,c_TMAP3IN&gt;c_TMAP2IN),"Seg3 map2-map3",IF(AND(A134&gt;=c_TMAP1IN,c_TMAP2IN&gt;c_TMAP1IN),"Seg2 map1-map2","Seg1 TFWD-map1"))),IF(AND(A134=0,c_TCREEP&gt;0),"Creep",IF(AND(A134&lt;=c_TRNGMIN,A134&gt;=c_TRNGMAX,c_TRNGMIN-c_TRNGMAX&lt;&gt;0),"Regen ramp","Coast (0)")))</f>
        <v>Seg2 map1-map2</v>
      </c>
      <c r="I134" s="7" t="n">
        <f aca="false">IF(A134&gt;=c_TFWD,IF(AND(A134&gt;=c_TMAP3IN,c_TMAP3IN&lt;1000),G134,IF(AND(A134&gt;=c_TMAP2IN,c_TMAP3IN&gt;c_TMAP2IN),F134,IF(AND(A134&gt;=c_TMAP1IN,c_TMAP2IN&gt;c_TMAP1IN),E134,D134))),C134)</f>
        <v>82</v>
      </c>
      <c r="J134" s="7" t="str">
        <f aca="false">IF(I134&lt;-1090,"TOO LOW",IF(I134&gt;1090,"TOO HIGH",""))</f>
        <v/>
      </c>
      <c r="K134" s="15" t="n">
        <f aca="false">IF(J134&lt;&gt;"",0,IF(I134&gt;979,1000,I134))</f>
        <v>82</v>
      </c>
      <c r="L134" s="7" t="n">
        <f aca="false">K134/10</f>
        <v>8.2</v>
      </c>
    </row>
    <row r="135" customFormat="false" ht="15" hidden="false" customHeight="false" outlineLevel="0" collapsed="false">
      <c r="A135" s="7" t="n">
        <v>130</v>
      </c>
      <c r="B135" s="7" t="n">
        <f aca="false">A135/10</f>
        <v>13</v>
      </c>
      <c r="C135" s="7" t="n">
        <f aca="false">IF(AND(A135=0,c_TCREEP&gt;0),10*c_TCREEP,IF(AND(A135&lt;=c_TRNGMIN,A135&gt;=c_TRNGMAX,c_TRNGMIN-c_TRNGMAX&lt;&gt;0),-10*c_TMINRN+QUOTIENT((c_TMAXRN-c_TMINRN)*(100-QUOTIENT((A135-c_TRNGMAX)*100,c_TRNGMIN-c_TRNGMAX)),-10),0))</f>
        <v>0</v>
      </c>
      <c r="D135" s="7" t="n">
        <f aca="false">IF(((c_TMAP1IN)-(c_TFWD))=0,(0)+QUOTIENT(((c_TMAP1OUT)-(0)),2),QUOTIENT((((A135)-(c_TFWD))*((c_TMAP1OUT)-(0))+IF(((c_TMAP1OUT)-(0))&gt;=0,1,-1)*QUOTIENT(((c_TMAP1IN)-(c_TFWD)),2)),((c_TMAP1IN)-(c_TFWD)))+(0)+IF(((c_TMAP1OUT)-(0))&gt;=0,IF(IF(o_WRAP=1,MOD(((c_TMAP1IN)-(c_TFWD))*(((A135)-(c_TFWD))*((c_TMAP1OUT)-(0))+IF(((c_TMAP1OUT)-(0))&gt;=0,1,-1)*QUOTIENT(((c_TMAP1IN)-(c_TFWD)),2))+2147483648,4294967296)-2147483648,((c_TMAP1IN)-(c_TFWD))*(((A135)-(c_TFWD))*((c_TMAP1OUT)-(0))+IF(((c_TMAP1OUT)-(0))&gt;=0,1,-1)*QUOTIENT(((c_TMAP1IN)-(c_TFWD)),2)))&lt;0,-1,0),IF(IF(o_WRAP=1,MOD(((c_TMAP1IN)-(c_TFWD))*(((A135)-(c_TFWD))*((c_TMAP1OUT)-(0))+IF(((c_TMAP1OUT)-(0))&gt;=0,1,-1)*QUOTIENT(((c_TMAP1IN)-(c_TFWD)),2))+2147483648,4294967296)-2147483648,((c_TMAP1IN)-(c_TFWD))*(((A135)-(c_TFWD))*((c_TMAP1OUT)-(0))+IF(((c_TMAP1OUT)-(0))&gt;=0,1,-1)*QUOTIENT(((c_TMAP1IN)-(c_TFWD)),2)))&gt;=0,1,0)))</f>
        <v>93</v>
      </c>
      <c r="E135" s="7" t="n">
        <f aca="false">IF(((c_TMAP2IN)-(c_TMAP1IN))=0,(c_TMAP1OUT)+QUOTIENT(((c_TMAP2OUT)-(c_TMAP1OUT)),2),QUOTIENT((((A135)-(c_TMAP1IN))*((c_TMAP2OUT)-(c_TMAP1OUT))+IF(((c_TMAP2OUT)-(c_TMAP1OUT))&gt;=0,1,-1)*QUOTIENT(((c_TMAP2IN)-(c_TMAP1IN)),2)),((c_TMAP2IN)-(c_TMAP1IN)))+(c_TMAP1OUT)+IF(((c_TMAP2OUT)-(c_TMAP1OUT))&gt;=0,IF(IF(o_WRAP=1,MOD(((c_TMAP2IN)-(c_TMAP1IN))*(((A135)-(c_TMAP1IN))*((c_TMAP2OUT)-(c_TMAP1OUT))+IF(((c_TMAP2OUT)-(c_TMAP1OUT))&gt;=0,1,-1)*QUOTIENT(((c_TMAP2IN)-(c_TMAP1IN)),2))+2147483648,4294967296)-2147483648,((c_TMAP2IN)-(c_TMAP1IN))*(((A135)-(c_TMAP1IN))*((c_TMAP2OUT)-(c_TMAP1OUT))+IF(((c_TMAP2OUT)-(c_TMAP1OUT))&gt;=0,1,-1)*QUOTIENT(((c_TMAP2IN)-(c_TMAP1IN)),2)))&lt;0,-1,0),IF(IF(o_WRAP=1,MOD(((c_TMAP2IN)-(c_TMAP1IN))*(((A135)-(c_TMAP1IN))*((c_TMAP2OUT)-(c_TMAP1OUT))+IF(((c_TMAP2OUT)-(c_TMAP1OUT))&gt;=0,1,-1)*QUOTIENT(((c_TMAP2IN)-(c_TMAP1IN)),2))+2147483648,4294967296)-2147483648,((c_TMAP2IN)-(c_TMAP1IN))*(((A135)-(c_TMAP1IN))*((c_TMAP2OUT)-(c_TMAP1OUT))+IF(((c_TMAP2OUT)-(c_TMAP1OUT))&gt;=0,1,-1)*QUOTIENT(((c_TMAP2IN)-(c_TMAP1IN)),2)))&gt;=0,1,0)))</f>
        <v>82</v>
      </c>
      <c r="F135" s="7" t="n">
        <f aca="false">IF(((c_TMAP3IN)-(c_TMAP2IN))=0,(c_TMAP2OUT)+QUOTIENT(((c_TMAP3OUT)-(c_TMAP2OUT)),2),QUOTIENT((((A135)-(c_TMAP2IN))*((c_TMAP3OUT)-(c_TMAP2OUT))+IF(((c_TMAP3OUT)-(c_TMAP2OUT))&gt;=0,1,-1)*QUOTIENT(((c_TMAP3IN)-(c_TMAP2IN)),2)),((c_TMAP3IN)-(c_TMAP2IN)))+(c_TMAP2OUT)+IF(((c_TMAP3OUT)-(c_TMAP2OUT))&gt;=0,IF(IF(o_WRAP=1,MOD(((c_TMAP3IN)-(c_TMAP2IN))*(((A135)-(c_TMAP2IN))*((c_TMAP3OUT)-(c_TMAP2OUT))+IF(((c_TMAP3OUT)-(c_TMAP2OUT))&gt;=0,1,-1)*QUOTIENT(((c_TMAP3IN)-(c_TMAP2IN)),2))+2147483648,4294967296)-2147483648,((c_TMAP3IN)-(c_TMAP2IN))*(((A135)-(c_TMAP2IN))*((c_TMAP3OUT)-(c_TMAP2OUT))+IF(((c_TMAP3OUT)-(c_TMAP2OUT))&gt;=0,1,-1)*QUOTIENT(((c_TMAP3IN)-(c_TMAP2IN)),2)))&lt;0,-1,0),IF(IF(o_WRAP=1,MOD(((c_TMAP3IN)-(c_TMAP2IN))*(((A135)-(c_TMAP2IN))*((c_TMAP3OUT)-(c_TMAP2OUT))+IF(((c_TMAP3OUT)-(c_TMAP2OUT))&gt;=0,1,-1)*QUOTIENT(((c_TMAP3IN)-(c_TMAP2IN)),2))+2147483648,4294967296)-2147483648,((c_TMAP3IN)-(c_TMAP2IN))*(((A135)-(c_TMAP2IN))*((c_TMAP3OUT)-(c_TMAP2OUT))+IF(((c_TMAP3OUT)-(c_TMAP2OUT))&gt;=0,1,-1)*QUOTIENT(((c_TMAP3IN)-(c_TMAP2IN)),2)))&gt;=0,1,0)))</f>
        <v>46</v>
      </c>
      <c r="G135" s="7" t="n">
        <f aca="false">IF(((1000)-(c_TMAP3IN))=0,(c_TMAP3OUT)+QUOTIENT(((1000)-(c_TMAP3OUT)),2),QUOTIENT((((A135)-(c_TMAP3IN))*((1000)-(c_TMAP3OUT))+IF(((1000)-(c_TMAP3OUT))&gt;=0,1,-1)*QUOTIENT(((1000)-(c_TMAP3IN)),2)),((1000)-(c_TMAP3IN)))+(c_TMAP3OUT)+IF(((1000)-(c_TMAP3OUT))&gt;=0,IF(IF(o_WRAP=1,MOD(((1000)-(c_TMAP3IN))*(((A135)-(c_TMAP3IN))*((1000)-(c_TMAP3OUT))+IF(((1000)-(c_TMAP3OUT))&gt;=0,1,-1)*QUOTIENT(((1000)-(c_TMAP3IN)),2))+2147483648,4294967296)-2147483648,((1000)-(c_TMAP3IN))*(((A135)-(c_TMAP3IN))*((1000)-(c_TMAP3OUT))+IF(((1000)-(c_TMAP3OUT))&gt;=0,1,-1)*QUOTIENT(((1000)-(c_TMAP3IN)),2)))&lt;0,-1,0),IF(IF(o_WRAP=1,MOD(((1000)-(c_TMAP3IN))*(((A135)-(c_TMAP3IN))*((1000)-(c_TMAP3OUT))+IF(((1000)-(c_TMAP3OUT))&gt;=0,1,-1)*QUOTIENT(((1000)-(c_TMAP3IN)),2))+2147483648,4294967296)-2147483648,((1000)-(c_TMAP3IN))*(((A135)-(c_TMAP3IN))*((1000)-(c_TMAP3OUT))+IF(((1000)-(c_TMAP3OUT))&gt;=0,1,-1)*QUOTIENT(((1000)-(c_TMAP3IN)),2)))&gt;=0,1,0)))</f>
        <v>-71</v>
      </c>
      <c r="H135" s="7" t="str">
        <f aca="false">IF(A135&gt;=c_TFWD,IF(AND(A135&gt;=c_TMAP3IN,c_TMAP3IN&lt;1000),"Seg4 map3-100%",IF(AND(A135&gt;=c_TMAP2IN,c_TMAP3IN&gt;c_TMAP2IN),"Seg3 map2-map3",IF(AND(A135&gt;=c_TMAP1IN,c_TMAP2IN&gt;c_TMAP1IN),"Seg2 map1-map2","Seg1 TFWD-map1"))),IF(AND(A135=0,c_TCREEP&gt;0),"Creep",IF(AND(A135&lt;=c_TRNGMIN,A135&gt;=c_TRNGMAX,c_TRNGMIN-c_TRNGMAX&lt;&gt;0),"Regen ramp","Coast (0)")))</f>
        <v>Seg2 map1-map2</v>
      </c>
      <c r="I135" s="7" t="n">
        <f aca="false">IF(A135&gt;=c_TFWD,IF(AND(A135&gt;=c_TMAP3IN,c_TMAP3IN&lt;1000),G135,IF(AND(A135&gt;=c_TMAP2IN,c_TMAP3IN&gt;c_TMAP2IN),F135,IF(AND(A135&gt;=c_TMAP1IN,c_TMAP2IN&gt;c_TMAP1IN),E135,D135))),C135)</f>
        <v>82</v>
      </c>
      <c r="J135" s="7" t="str">
        <f aca="false">IF(I135&lt;-1090,"TOO LOW",IF(I135&gt;1090,"TOO HIGH",""))</f>
        <v/>
      </c>
      <c r="K135" s="15" t="n">
        <f aca="false">IF(J135&lt;&gt;"",0,IF(I135&gt;979,1000,I135))</f>
        <v>82</v>
      </c>
      <c r="L135" s="7" t="n">
        <f aca="false">K135/10</f>
        <v>8.2</v>
      </c>
    </row>
    <row r="136" customFormat="false" ht="15" hidden="false" customHeight="false" outlineLevel="0" collapsed="false">
      <c r="A136" s="7" t="n">
        <v>131</v>
      </c>
      <c r="B136" s="7" t="n">
        <f aca="false">A136/10</f>
        <v>13.1</v>
      </c>
      <c r="C136" s="7" t="n">
        <f aca="false">IF(AND(A136=0,c_TCREEP&gt;0),10*c_TCREEP,IF(AND(A136&lt;=c_TRNGMIN,A136&gt;=c_TRNGMAX,c_TRNGMIN-c_TRNGMAX&lt;&gt;0),-10*c_TMINRN+QUOTIENT((c_TMAXRN-c_TMINRN)*(100-QUOTIENT((A136-c_TRNGMAX)*100,c_TRNGMIN-c_TRNGMAX)),-10),0))</f>
        <v>0</v>
      </c>
      <c r="D136" s="7" t="n">
        <f aca="false">IF(((c_TMAP1IN)-(c_TFWD))=0,(0)+QUOTIENT(((c_TMAP1OUT)-(0)),2),QUOTIENT((((A136)-(c_TFWD))*((c_TMAP1OUT)-(0))+IF(((c_TMAP1OUT)-(0))&gt;=0,1,-1)*QUOTIENT(((c_TMAP1IN)-(c_TFWD)),2)),((c_TMAP1IN)-(c_TFWD)))+(0)+IF(((c_TMAP1OUT)-(0))&gt;=0,IF(IF(o_WRAP=1,MOD(((c_TMAP1IN)-(c_TFWD))*(((A136)-(c_TFWD))*((c_TMAP1OUT)-(0))+IF(((c_TMAP1OUT)-(0))&gt;=0,1,-1)*QUOTIENT(((c_TMAP1IN)-(c_TFWD)),2))+2147483648,4294967296)-2147483648,((c_TMAP1IN)-(c_TFWD))*(((A136)-(c_TFWD))*((c_TMAP1OUT)-(0))+IF(((c_TMAP1OUT)-(0))&gt;=0,1,-1)*QUOTIENT(((c_TMAP1IN)-(c_TFWD)),2)))&lt;0,-1,0),IF(IF(o_WRAP=1,MOD(((c_TMAP1IN)-(c_TFWD))*(((A136)-(c_TFWD))*((c_TMAP1OUT)-(0))+IF(((c_TMAP1OUT)-(0))&gt;=0,1,-1)*QUOTIENT(((c_TMAP1IN)-(c_TFWD)),2))+2147483648,4294967296)-2147483648,((c_TMAP1IN)-(c_TFWD))*(((A136)-(c_TFWD))*((c_TMAP1OUT)-(0))+IF(((c_TMAP1OUT)-(0))&gt;=0,1,-1)*QUOTIENT(((c_TMAP1IN)-(c_TFWD)),2)))&gt;=0,1,0)))</f>
        <v>94</v>
      </c>
      <c r="E136" s="7" t="n">
        <f aca="false">IF(((c_TMAP2IN)-(c_TMAP1IN))=0,(c_TMAP1OUT)+QUOTIENT(((c_TMAP2OUT)-(c_TMAP1OUT)),2),QUOTIENT((((A136)-(c_TMAP1IN))*((c_TMAP2OUT)-(c_TMAP1OUT))+IF(((c_TMAP2OUT)-(c_TMAP1OUT))&gt;=0,1,-1)*QUOTIENT(((c_TMAP2IN)-(c_TMAP1IN)),2)),((c_TMAP2IN)-(c_TMAP1IN)))+(c_TMAP1OUT)+IF(((c_TMAP2OUT)-(c_TMAP1OUT))&gt;=0,IF(IF(o_WRAP=1,MOD(((c_TMAP2IN)-(c_TMAP1IN))*(((A136)-(c_TMAP1IN))*((c_TMAP2OUT)-(c_TMAP1OUT))+IF(((c_TMAP2OUT)-(c_TMAP1OUT))&gt;=0,1,-1)*QUOTIENT(((c_TMAP2IN)-(c_TMAP1IN)),2))+2147483648,4294967296)-2147483648,((c_TMAP2IN)-(c_TMAP1IN))*(((A136)-(c_TMAP1IN))*((c_TMAP2OUT)-(c_TMAP1OUT))+IF(((c_TMAP2OUT)-(c_TMAP1OUT))&gt;=0,1,-1)*QUOTIENT(((c_TMAP2IN)-(c_TMAP1IN)),2)))&lt;0,-1,0),IF(IF(o_WRAP=1,MOD(((c_TMAP2IN)-(c_TMAP1IN))*(((A136)-(c_TMAP1IN))*((c_TMAP2OUT)-(c_TMAP1OUT))+IF(((c_TMAP2OUT)-(c_TMAP1OUT))&gt;=0,1,-1)*QUOTIENT(((c_TMAP2IN)-(c_TMAP1IN)),2))+2147483648,4294967296)-2147483648,((c_TMAP2IN)-(c_TMAP1IN))*(((A136)-(c_TMAP1IN))*((c_TMAP2OUT)-(c_TMAP1OUT))+IF(((c_TMAP2OUT)-(c_TMAP1OUT))&gt;=0,1,-1)*QUOTIENT(((c_TMAP2IN)-(c_TMAP1IN)),2)))&gt;=0,1,0)))</f>
        <v>82</v>
      </c>
      <c r="F136" s="7" t="n">
        <f aca="false">IF(((c_TMAP3IN)-(c_TMAP2IN))=0,(c_TMAP2OUT)+QUOTIENT(((c_TMAP3OUT)-(c_TMAP2OUT)),2),QUOTIENT((((A136)-(c_TMAP2IN))*((c_TMAP3OUT)-(c_TMAP2OUT))+IF(((c_TMAP3OUT)-(c_TMAP2OUT))&gt;=0,1,-1)*QUOTIENT(((c_TMAP3IN)-(c_TMAP2IN)),2)),((c_TMAP3IN)-(c_TMAP2IN)))+(c_TMAP2OUT)+IF(((c_TMAP3OUT)-(c_TMAP2OUT))&gt;=0,IF(IF(o_WRAP=1,MOD(((c_TMAP3IN)-(c_TMAP2IN))*(((A136)-(c_TMAP2IN))*((c_TMAP3OUT)-(c_TMAP2OUT))+IF(((c_TMAP3OUT)-(c_TMAP2OUT))&gt;=0,1,-1)*QUOTIENT(((c_TMAP3IN)-(c_TMAP2IN)),2))+2147483648,4294967296)-2147483648,((c_TMAP3IN)-(c_TMAP2IN))*(((A136)-(c_TMAP2IN))*((c_TMAP3OUT)-(c_TMAP2OUT))+IF(((c_TMAP3OUT)-(c_TMAP2OUT))&gt;=0,1,-1)*QUOTIENT(((c_TMAP3IN)-(c_TMAP2IN)),2)))&lt;0,-1,0),IF(IF(o_WRAP=1,MOD(((c_TMAP3IN)-(c_TMAP2IN))*(((A136)-(c_TMAP2IN))*((c_TMAP3OUT)-(c_TMAP2OUT))+IF(((c_TMAP3OUT)-(c_TMAP2OUT))&gt;=0,1,-1)*QUOTIENT(((c_TMAP3IN)-(c_TMAP2IN)),2))+2147483648,4294967296)-2147483648,((c_TMAP3IN)-(c_TMAP2IN))*(((A136)-(c_TMAP2IN))*((c_TMAP3OUT)-(c_TMAP2OUT))+IF(((c_TMAP3OUT)-(c_TMAP2OUT))&gt;=0,1,-1)*QUOTIENT(((c_TMAP3IN)-(c_TMAP2IN)),2)))&gt;=0,1,0)))</f>
        <v>47</v>
      </c>
      <c r="G136" s="7" t="n">
        <f aca="false">IF(((1000)-(c_TMAP3IN))=0,(c_TMAP3OUT)+QUOTIENT(((1000)-(c_TMAP3OUT)),2),QUOTIENT((((A136)-(c_TMAP3IN))*((1000)-(c_TMAP3OUT))+IF(((1000)-(c_TMAP3OUT))&gt;=0,1,-1)*QUOTIENT(((1000)-(c_TMAP3IN)),2)),((1000)-(c_TMAP3IN)))+(c_TMAP3OUT)+IF(((1000)-(c_TMAP3OUT))&gt;=0,IF(IF(o_WRAP=1,MOD(((1000)-(c_TMAP3IN))*(((A136)-(c_TMAP3IN))*((1000)-(c_TMAP3OUT))+IF(((1000)-(c_TMAP3OUT))&gt;=0,1,-1)*QUOTIENT(((1000)-(c_TMAP3IN)),2))+2147483648,4294967296)-2147483648,((1000)-(c_TMAP3IN))*(((A136)-(c_TMAP3IN))*((1000)-(c_TMAP3OUT))+IF(((1000)-(c_TMAP3OUT))&gt;=0,1,-1)*QUOTIENT(((1000)-(c_TMAP3IN)),2)))&lt;0,-1,0),IF(IF(o_WRAP=1,MOD(((1000)-(c_TMAP3IN))*(((A136)-(c_TMAP3IN))*((1000)-(c_TMAP3OUT))+IF(((1000)-(c_TMAP3OUT))&gt;=0,1,-1)*QUOTIENT(((1000)-(c_TMAP3IN)),2))+2147483648,4294967296)-2147483648,((1000)-(c_TMAP3IN))*(((A136)-(c_TMAP3IN))*((1000)-(c_TMAP3OUT))+IF(((1000)-(c_TMAP3OUT))&gt;=0,1,-1)*QUOTIENT(((1000)-(c_TMAP3IN)),2)))&gt;=0,1,0)))</f>
        <v>-70</v>
      </c>
      <c r="H136" s="7" t="str">
        <f aca="false">IF(A136&gt;=c_TFWD,IF(AND(A136&gt;=c_TMAP3IN,c_TMAP3IN&lt;1000),"Seg4 map3-100%",IF(AND(A136&gt;=c_TMAP2IN,c_TMAP3IN&gt;c_TMAP2IN),"Seg3 map2-map3",IF(AND(A136&gt;=c_TMAP1IN,c_TMAP2IN&gt;c_TMAP1IN),"Seg2 map1-map2","Seg1 TFWD-map1"))),IF(AND(A136=0,c_TCREEP&gt;0),"Creep",IF(AND(A136&lt;=c_TRNGMIN,A136&gt;=c_TRNGMAX,c_TRNGMIN-c_TRNGMAX&lt;&gt;0),"Regen ramp","Coast (0)")))</f>
        <v>Seg2 map1-map2</v>
      </c>
      <c r="I136" s="7" t="n">
        <f aca="false">IF(A136&gt;=c_TFWD,IF(AND(A136&gt;=c_TMAP3IN,c_TMAP3IN&lt;1000),G136,IF(AND(A136&gt;=c_TMAP2IN,c_TMAP3IN&gt;c_TMAP2IN),F136,IF(AND(A136&gt;=c_TMAP1IN,c_TMAP2IN&gt;c_TMAP1IN),E136,D136))),C136)</f>
        <v>82</v>
      </c>
      <c r="J136" s="7" t="str">
        <f aca="false">IF(I136&lt;-1090,"TOO LOW",IF(I136&gt;1090,"TOO HIGH",""))</f>
        <v/>
      </c>
      <c r="K136" s="15" t="n">
        <f aca="false">IF(J136&lt;&gt;"",0,IF(I136&gt;979,1000,I136))</f>
        <v>82</v>
      </c>
      <c r="L136" s="7" t="n">
        <f aca="false">K136/10</f>
        <v>8.2</v>
      </c>
    </row>
    <row r="137" customFormat="false" ht="15" hidden="false" customHeight="false" outlineLevel="0" collapsed="false">
      <c r="A137" s="7" t="n">
        <v>132</v>
      </c>
      <c r="B137" s="7" t="n">
        <f aca="false">A137/10</f>
        <v>13.2</v>
      </c>
      <c r="C137" s="7" t="n">
        <f aca="false">IF(AND(A137=0,c_TCREEP&gt;0),10*c_TCREEP,IF(AND(A137&lt;=c_TRNGMIN,A137&gt;=c_TRNGMAX,c_TRNGMIN-c_TRNGMAX&lt;&gt;0),-10*c_TMINRN+QUOTIENT((c_TMAXRN-c_TMINRN)*(100-QUOTIENT((A137-c_TRNGMAX)*100,c_TRNGMIN-c_TRNGMAX)),-10),0))</f>
        <v>0</v>
      </c>
      <c r="D137" s="7" t="n">
        <f aca="false">IF(((c_TMAP1IN)-(c_TFWD))=0,(0)+QUOTIENT(((c_TMAP1OUT)-(0)),2),QUOTIENT((((A137)-(c_TFWD))*((c_TMAP1OUT)-(0))+IF(((c_TMAP1OUT)-(0))&gt;=0,1,-1)*QUOTIENT(((c_TMAP1IN)-(c_TFWD)),2)),((c_TMAP1IN)-(c_TFWD)))+(0)+IF(((c_TMAP1OUT)-(0))&gt;=0,IF(IF(o_WRAP=1,MOD(((c_TMAP1IN)-(c_TFWD))*(((A137)-(c_TFWD))*((c_TMAP1OUT)-(0))+IF(((c_TMAP1OUT)-(0))&gt;=0,1,-1)*QUOTIENT(((c_TMAP1IN)-(c_TFWD)),2))+2147483648,4294967296)-2147483648,((c_TMAP1IN)-(c_TFWD))*(((A137)-(c_TFWD))*((c_TMAP1OUT)-(0))+IF(((c_TMAP1OUT)-(0))&gt;=0,1,-1)*QUOTIENT(((c_TMAP1IN)-(c_TFWD)),2)))&lt;0,-1,0),IF(IF(o_WRAP=1,MOD(((c_TMAP1IN)-(c_TFWD))*(((A137)-(c_TFWD))*((c_TMAP1OUT)-(0))+IF(((c_TMAP1OUT)-(0))&gt;=0,1,-1)*QUOTIENT(((c_TMAP1IN)-(c_TFWD)),2))+2147483648,4294967296)-2147483648,((c_TMAP1IN)-(c_TFWD))*(((A137)-(c_TFWD))*((c_TMAP1OUT)-(0))+IF(((c_TMAP1OUT)-(0))&gt;=0,1,-1)*QUOTIENT(((c_TMAP1IN)-(c_TFWD)),2)))&gt;=0,1,0)))</f>
        <v>95</v>
      </c>
      <c r="E137" s="7" t="n">
        <f aca="false">IF(((c_TMAP2IN)-(c_TMAP1IN))=0,(c_TMAP1OUT)+QUOTIENT(((c_TMAP2OUT)-(c_TMAP1OUT)),2),QUOTIENT((((A137)-(c_TMAP1IN))*((c_TMAP2OUT)-(c_TMAP1OUT))+IF(((c_TMAP2OUT)-(c_TMAP1OUT))&gt;=0,1,-1)*QUOTIENT(((c_TMAP2IN)-(c_TMAP1IN)),2)),((c_TMAP2IN)-(c_TMAP1IN)))+(c_TMAP1OUT)+IF(((c_TMAP2OUT)-(c_TMAP1OUT))&gt;=0,IF(IF(o_WRAP=1,MOD(((c_TMAP2IN)-(c_TMAP1IN))*(((A137)-(c_TMAP1IN))*((c_TMAP2OUT)-(c_TMAP1OUT))+IF(((c_TMAP2OUT)-(c_TMAP1OUT))&gt;=0,1,-1)*QUOTIENT(((c_TMAP2IN)-(c_TMAP1IN)),2))+2147483648,4294967296)-2147483648,((c_TMAP2IN)-(c_TMAP1IN))*(((A137)-(c_TMAP1IN))*((c_TMAP2OUT)-(c_TMAP1OUT))+IF(((c_TMAP2OUT)-(c_TMAP1OUT))&gt;=0,1,-1)*QUOTIENT(((c_TMAP2IN)-(c_TMAP1IN)),2)))&lt;0,-1,0),IF(IF(o_WRAP=1,MOD(((c_TMAP2IN)-(c_TMAP1IN))*(((A137)-(c_TMAP1IN))*((c_TMAP2OUT)-(c_TMAP1OUT))+IF(((c_TMAP2OUT)-(c_TMAP1OUT))&gt;=0,1,-1)*QUOTIENT(((c_TMAP2IN)-(c_TMAP1IN)),2))+2147483648,4294967296)-2147483648,((c_TMAP2IN)-(c_TMAP1IN))*(((A137)-(c_TMAP1IN))*((c_TMAP2OUT)-(c_TMAP1OUT))+IF(((c_TMAP2OUT)-(c_TMAP1OUT))&gt;=0,1,-1)*QUOTIENT(((c_TMAP2IN)-(c_TMAP1IN)),2)))&gt;=0,1,0)))</f>
        <v>83</v>
      </c>
      <c r="F137" s="7" t="n">
        <f aca="false">IF(((c_TMAP3IN)-(c_TMAP2IN))=0,(c_TMAP2OUT)+QUOTIENT(((c_TMAP3OUT)-(c_TMAP2OUT)),2),QUOTIENT((((A137)-(c_TMAP2IN))*((c_TMAP3OUT)-(c_TMAP2OUT))+IF(((c_TMAP3OUT)-(c_TMAP2OUT))&gt;=0,1,-1)*QUOTIENT(((c_TMAP3IN)-(c_TMAP2IN)),2)),((c_TMAP3IN)-(c_TMAP2IN)))+(c_TMAP2OUT)+IF(((c_TMAP3OUT)-(c_TMAP2OUT))&gt;=0,IF(IF(o_WRAP=1,MOD(((c_TMAP3IN)-(c_TMAP2IN))*(((A137)-(c_TMAP2IN))*((c_TMAP3OUT)-(c_TMAP2OUT))+IF(((c_TMAP3OUT)-(c_TMAP2OUT))&gt;=0,1,-1)*QUOTIENT(((c_TMAP3IN)-(c_TMAP2IN)),2))+2147483648,4294967296)-2147483648,((c_TMAP3IN)-(c_TMAP2IN))*(((A137)-(c_TMAP2IN))*((c_TMAP3OUT)-(c_TMAP2OUT))+IF(((c_TMAP3OUT)-(c_TMAP2OUT))&gt;=0,1,-1)*QUOTIENT(((c_TMAP3IN)-(c_TMAP2IN)),2)))&lt;0,-1,0),IF(IF(o_WRAP=1,MOD(((c_TMAP3IN)-(c_TMAP2IN))*(((A137)-(c_TMAP2IN))*((c_TMAP3OUT)-(c_TMAP2OUT))+IF(((c_TMAP3OUT)-(c_TMAP2OUT))&gt;=0,1,-1)*QUOTIENT(((c_TMAP3IN)-(c_TMAP2IN)),2))+2147483648,4294967296)-2147483648,((c_TMAP3IN)-(c_TMAP2IN))*(((A137)-(c_TMAP2IN))*((c_TMAP3OUT)-(c_TMAP2OUT))+IF(((c_TMAP3OUT)-(c_TMAP2OUT))&gt;=0,1,-1)*QUOTIENT(((c_TMAP3IN)-(c_TMAP2IN)),2)))&gt;=0,1,0)))</f>
        <v>47</v>
      </c>
      <c r="G137" s="7" t="n">
        <f aca="false">IF(((1000)-(c_TMAP3IN))=0,(c_TMAP3OUT)+QUOTIENT(((1000)-(c_TMAP3OUT)),2),QUOTIENT((((A137)-(c_TMAP3IN))*((1000)-(c_TMAP3OUT))+IF(((1000)-(c_TMAP3OUT))&gt;=0,1,-1)*QUOTIENT(((1000)-(c_TMAP3IN)),2)),((1000)-(c_TMAP3IN)))+(c_TMAP3OUT)+IF(((1000)-(c_TMAP3OUT))&gt;=0,IF(IF(o_WRAP=1,MOD(((1000)-(c_TMAP3IN))*(((A137)-(c_TMAP3IN))*((1000)-(c_TMAP3OUT))+IF(((1000)-(c_TMAP3OUT))&gt;=0,1,-1)*QUOTIENT(((1000)-(c_TMAP3IN)),2))+2147483648,4294967296)-2147483648,((1000)-(c_TMAP3IN))*(((A137)-(c_TMAP3IN))*((1000)-(c_TMAP3OUT))+IF(((1000)-(c_TMAP3OUT))&gt;=0,1,-1)*QUOTIENT(((1000)-(c_TMAP3IN)),2)))&lt;0,-1,0),IF(IF(o_WRAP=1,MOD(((1000)-(c_TMAP3IN))*(((A137)-(c_TMAP3IN))*((1000)-(c_TMAP3OUT))+IF(((1000)-(c_TMAP3OUT))&gt;=0,1,-1)*QUOTIENT(((1000)-(c_TMAP3IN)),2))+2147483648,4294967296)-2147483648,((1000)-(c_TMAP3IN))*(((A137)-(c_TMAP3IN))*((1000)-(c_TMAP3OUT))+IF(((1000)-(c_TMAP3OUT))&gt;=0,1,-1)*QUOTIENT(((1000)-(c_TMAP3IN)),2)))&gt;=0,1,0)))</f>
        <v>-68</v>
      </c>
      <c r="H137" s="7" t="str">
        <f aca="false">IF(A137&gt;=c_TFWD,IF(AND(A137&gt;=c_TMAP3IN,c_TMAP3IN&lt;1000),"Seg4 map3-100%",IF(AND(A137&gt;=c_TMAP2IN,c_TMAP3IN&gt;c_TMAP2IN),"Seg3 map2-map3",IF(AND(A137&gt;=c_TMAP1IN,c_TMAP2IN&gt;c_TMAP1IN),"Seg2 map1-map2","Seg1 TFWD-map1"))),IF(AND(A137=0,c_TCREEP&gt;0),"Creep",IF(AND(A137&lt;=c_TRNGMIN,A137&gt;=c_TRNGMAX,c_TRNGMIN-c_TRNGMAX&lt;&gt;0),"Regen ramp","Coast (0)")))</f>
        <v>Seg2 map1-map2</v>
      </c>
      <c r="I137" s="7" t="n">
        <f aca="false">IF(A137&gt;=c_TFWD,IF(AND(A137&gt;=c_TMAP3IN,c_TMAP3IN&lt;1000),G137,IF(AND(A137&gt;=c_TMAP2IN,c_TMAP3IN&gt;c_TMAP2IN),F137,IF(AND(A137&gt;=c_TMAP1IN,c_TMAP2IN&gt;c_TMAP1IN),E137,D137))),C137)</f>
        <v>83</v>
      </c>
      <c r="J137" s="7" t="str">
        <f aca="false">IF(I137&lt;-1090,"TOO LOW",IF(I137&gt;1090,"TOO HIGH",""))</f>
        <v/>
      </c>
      <c r="K137" s="15" t="n">
        <f aca="false">IF(J137&lt;&gt;"",0,IF(I137&gt;979,1000,I137))</f>
        <v>83</v>
      </c>
      <c r="L137" s="7" t="n">
        <f aca="false">K137/10</f>
        <v>8.3</v>
      </c>
    </row>
    <row r="138" customFormat="false" ht="15" hidden="false" customHeight="false" outlineLevel="0" collapsed="false">
      <c r="A138" s="7" t="n">
        <v>133</v>
      </c>
      <c r="B138" s="7" t="n">
        <f aca="false">A138/10</f>
        <v>13.3</v>
      </c>
      <c r="C138" s="7" t="n">
        <f aca="false">IF(AND(A138=0,c_TCREEP&gt;0),10*c_TCREEP,IF(AND(A138&lt;=c_TRNGMIN,A138&gt;=c_TRNGMAX,c_TRNGMIN-c_TRNGMAX&lt;&gt;0),-10*c_TMINRN+QUOTIENT((c_TMAXRN-c_TMINRN)*(100-QUOTIENT((A138-c_TRNGMAX)*100,c_TRNGMIN-c_TRNGMAX)),-10),0))</f>
        <v>0</v>
      </c>
      <c r="D138" s="7" t="n">
        <f aca="false">IF(((c_TMAP1IN)-(c_TFWD))=0,(0)+QUOTIENT(((c_TMAP1OUT)-(0)),2),QUOTIENT((((A138)-(c_TFWD))*((c_TMAP1OUT)-(0))+IF(((c_TMAP1OUT)-(0))&gt;=0,1,-1)*QUOTIENT(((c_TMAP1IN)-(c_TFWD)),2)),((c_TMAP1IN)-(c_TFWD)))+(0)+IF(((c_TMAP1OUT)-(0))&gt;=0,IF(IF(o_WRAP=1,MOD(((c_TMAP1IN)-(c_TFWD))*(((A138)-(c_TFWD))*((c_TMAP1OUT)-(0))+IF(((c_TMAP1OUT)-(0))&gt;=0,1,-1)*QUOTIENT(((c_TMAP1IN)-(c_TFWD)),2))+2147483648,4294967296)-2147483648,((c_TMAP1IN)-(c_TFWD))*(((A138)-(c_TFWD))*((c_TMAP1OUT)-(0))+IF(((c_TMAP1OUT)-(0))&gt;=0,1,-1)*QUOTIENT(((c_TMAP1IN)-(c_TFWD)),2)))&lt;0,-1,0),IF(IF(o_WRAP=1,MOD(((c_TMAP1IN)-(c_TFWD))*(((A138)-(c_TFWD))*((c_TMAP1OUT)-(0))+IF(((c_TMAP1OUT)-(0))&gt;=0,1,-1)*QUOTIENT(((c_TMAP1IN)-(c_TFWD)),2))+2147483648,4294967296)-2147483648,((c_TMAP1IN)-(c_TFWD))*(((A138)-(c_TFWD))*((c_TMAP1OUT)-(0))+IF(((c_TMAP1OUT)-(0))&gt;=0,1,-1)*QUOTIENT(((c_TMAP1IN)-(c_TFWD)),2)))&gt;=0,1,0)))</f>
        <v>96</v>
      </c>
      <c r="E138" s="7" t="n">
        <f aca="false">IF(((c_TMAP2IN)-(c_TMAP1IN))=0,(c_TMAP1OUT)+QUOTIENT(((c_TMAP2OUT)-(c_TMAP1OUT)),2),QUOTIENT((((A138)-(c_TMAP1IN))*((c_TMAP2OUT)-(c_TMAP1OUT))+IF(((c_TMAP2OUT)-(c_TMAP1OUT))&gt;=0,1,-1)*QUOTIENT(((c_TMAP2IN)-(c_TMAP1IN)),2)),((c_TMAP2IN)-(c_TMAP1IN)))+(c_TMAP1OUT)+IF(((c_TMAP2OUT)-(c_TMAP1OUT))&gt;=0,IF(IF(o_WRAP=1,MOD(((c_TMAP2IN)-(c_TMAP1IN))*(((A138)-(c_TMAP1IN))*((c_TMAP2OUT)-(c_TMAP1OUT))+IF(((c_TMAP2OUT)-(c_TMAP1OUT))&gt;=0,1,-1)*QUOTIENT(((c_TMAP2IN)-(c_TMAP1IN)),2))+2147483648,4294967296)-2147483648,((c_TMAP2IN)-(c_TMAP1IN))*(((A138)-(c_TMAP1IN))*((c_TMAP2OUT)-(c_TMAP1OUT))+IF(((c_TMAP2OUT)-(c_TMAP1OUT))&gt;=0,1,-1)*QUOTIENT(((c_TMAP2IN)-(c_TMAP1IN)),2)))&lt;0,-1,0),IF(IF(o_WRAP=1,MOD(((c_TMAP2IN)-(c_TMAP1IN))*(((A138)-(c_TMAP1IN))*((c_TMAP2OUT)-(c_TMAP1OUT))+IF(((c_TMAP2OUT)-(c_TMAP1OUT))&gt;=0,1,-1)*QUOTIENT(((c_TMAP2IN)-(c_TMAP1IN)),2))+2147483648,4294967296)-2147483648,((c_TMAP2IN)-(c_TMAP1IN))*(((A138)-(c_TMAP1IN))*((c_TMAP2OUT)-(c_TMAP1OUT))+IF(((c_TMAP2OUT)-(c_TMAP1OUT))&gt;=0,1,-1)*QUOTIENT(((c_TMAP2IN)-(c_TMAP1IN)),2)))&gt;=0,1,0)))</f>
        <v>83</v>
      </c>
      <c r="F138" s="7" t="n">
        <f aca="false">IF(((c_TMAP3IN)-(c_TMAP2IN))=0,(c_TMAP2OUT)+QUOTIENT(((c_TMAP3OUT)-(c_TMAP2OUT)),2),QUOTIENT((((A138)-(c_TMAP2IN))*((c_TMAP3OUT)-(c_TMAP2OUT))+IF(((c_TMAP3OUT)-(c_TMAP2OUT))&gt;=0,1,-1)*QUOTIENT(((c_TMAP3IN)-(c_TMAP2IN)),2)),((c_TMAP3IN)-(c_TMAP2IN)))+(c_TMAP2OUT)+IF(((c_TMAP3OUT)-(c_TMAP2OUT))&gt;=0,IF(IF(o_WRAP=1,MOD(((c_TMAP3IN)-(c_TMAP2IN))*(((A138)-(c_TMAP2IN))*((c_TMAP3OUT)-(c_TMAP2OUT))+IF(((c_TMAP3OUT)-(c_TMAP2OUT))&gt;=0,1,-1)*QUOTIENT(((c_TMAP3IN)-(c_TMAP2IN)),2))+2147483648,4294967296)-2147483648,((c_TMAP3IN)-(c_TMAP2IN))*(((A138)-(c_TMAP2IN))*((c_TMAP3OUT)-(c_TMAP2OUT))+IF(((c_TMAP3OUT)-(c_TMAP2OUT))&gt;=0,1,-1)*QUOTIENT(((c_TMAP3IN)-(c_TMAP2IN)),2)))&lt;0,-1,0),IF(IF(o_WRAP=1,MOD(((c_TMAP3IN)-(c_TMAP2IN))*(((A138)-(c_TMAP2IN))*((c_TMAP3OUT)-(c_TMAP2OUT))+IF(((c_TMAP3OUT)-(c_TMAP2OUT))&gt;=0,1,-1)*QUOTIENT(((c_TMAP3IN)-(c_TMAP2IN)),2))+2147483648,4294967296)-2147483648,((c_TMAP3IN)-(c_TMAP2IN))*(((A138)-(c_TMAP2IN))*((c_TMAP3OUT)-(c_TMAP2OUT))+IF(((c_TMAP3OUT)-(c_TMAP2OUT))&gt;=0,1,-1)*QUOTIENT(((c_TMAP3IN)-(c_TMAP2IN)),2)))&gt;=0,1,0)))</f>
        <v>48</v>
      </c>
      <c r="G138" s="7" t="n">
        <f aca="false">IF(((1000)-(c_TMAP3IN))=0,(c_TMAP3OUT)+QUOTIENT(((1000)-(c_TMAP3OUT)),2),QUOTIENT((((A138)-(c_TMAP3IN))*((1000)-(c_TMAP3OUT))+IF(((1000)-(c_TMAP3OUT))&gt;=0,1,-1)*QUOTIENT(((1000)-(c_TMAP3IN)),2)),((1000)-(c_TMAP3IN)))+(c_TMAP3OUT)+IF(((1000)-(c_TMAP3OUT))&gt;=0,IF(IF(o_WRAP=1,MOD(((1000)-(c_TMAP3IN))*(((A138)-(c_TMAP3IN))*((1000)-(c_TMAP3OUT))+IF(((1000)-(c_TMAP3OUT))&gt;=0,1,-1)*QUOTIENT(((1000)-(c_TMAP3IN)),2))+2147483648,4294967296)-2147483648,((1000)-(c_TMAP3IN))*(((A138)-(c_TMAP3IN))*((1000)-(c_TMAP3OUT))+IF(((1000)-(c_TMAP3OUT))&gt;=0,1,-1)*QUOTIENT(((1000)-(c_TMAP3IN)),2)))&lt;0,-1,0),IF(IF(o_WRAP=1,MOD(((1000)-(c_TMAP3IN))*(((A138)-(c_TMAP3IN))*((1000)-(c_TMAP3OUT))+IF(((1000)-(c_TMAP3OUT))&gt;=0,1,-1)*QUOTIENT(((1000)-(c_TMAP3IN)),2))+2147483648,4294967296)-2147483648,((1000)-(c_TMAP3IN))*(((A138)-(c_TMAP3IN))*((1000)-(c_TMAP3OUT))+IF(((1000)-(c_TMAP3OUT))&gt;=0,1,-1)*QUOTIENT(((1000)-(c_TMAP3IN)),2)))&gt;=0,1,0)))</f>
        <v>-67</v>
      </c>
      <c r="H138" s="7" t="str">
        <f aca="false">IF(A138&gt;=c_TFWD,IF(AND(A138&gt;=c_TMAP3IN,c_TMAP3IN&lt;1000),"Seg4 map3-100%",IF(AND(A138&gt;=c_TMAP2IN,c_TMAP3IN&gt;c_TMAP2IN),"Seg3 map2-map3",IF(AND(A138&gt;=c_TMAP1IN,c_TMAP2IN&gt;c_TMAP1IN),"Seg2 map1-map2","Seg1 TFWD-map1"))),IF(AND(A138=0,c_TCREEP&gt;0),"Creep",IF(AND(A138&lt;=c_TRNGMIN,A138&gt;=c_TRNGMAX,c_TRNGMIN-c_TRNGMAX&lt;&gt;0),"Regen ramp","Coast (0)")))</f>
        <v>Seg2 map1-map2</v>
      </c>
      <c r="I138" s="7" t="n">
        <f aca="false">IF(A138&gt;=c_TFWD,IF(AND(A138&gt;=c_TMAP3IN,c_TMAP3IN&lt;1000),G138,IF(AND(A138&gt;=c_TMAP2IN,c_TMAP3IN&gt;c_TMAP2IN),F138,IF(AND(A138&gt;=c_TMAP1IN,c_TMAP2IN&gt;c_TMAP1IN),E138,D138))),C138)</f>
        <v>83</v>
      </c>
      <c r="J138" s="7" t="str">
        <f aca="false">IF(I138&lt;-1090,"TOO LOW",IF(I138&gt;1090,"TOO HIGH",""))</f>
        <v/>
      </c>
      <c r="K138" s="15" t="n">
        <f aca="false">IF(J138&lt;&gt;"",0,IF(I138&gt;979,1000,I138))</f>
        <v>83</v>
      </c>
      <c r="L138" s="7" t="n">
        <f aca="false">K138/10</f>
        <v>8.3</v>
      </c>
    </row>
    <row r="139" customFormat="false" ht="15" hidden="false" customHeight="false" outlineLevel="0" collapsed="false">
      <c r="A139" s="7" t="n">
        <v>134</v>
      </c>
      <c r="B139" s="7" t="n">
        <f aca="false">A139/10</f>
        <v>13.4</v>
      </c>
      <c r="C139" s="7" t="n">
        <f aca="false">IF(AND(A139=0,c_TCREEP&gt;0),10*c_TCREEP,IF(AND(A139&lt;=c_TRNGMIN,A139&gt;=c_TRNGMAX,c_TRNGMIN-c_TRNGMAX&lt;&gt;0),-10*c_TMINRN+QUOTIENT((c_TMAXRN-c_TMINRN)*(100-QUOTIENT((A139-c_TRNGMAX)*100,c_TRNGMIN-c_TRNGMAX)),-10),0))</f>
        <v>0</v>
      </c>
      <c r="D139" s="7" t="n">
        <f aca="false">IF(((c_TMAP1IN)-(c_TFWD))=0,(0)+QUOTIENT(((c_TMAP1OUT)-(0)),2),QUOTIENT((((A139)-(c_TFWD))*((c_TMAP1OUT)-(0))+IF(((c_TMAP1OUT)-(0))&gt;=0,1,-1)*QUOTIENT(((c_TMAP1IN)-(c_TFWD)),2)),((c_TMAP1IN)-(c_TFWD)))+(0)+IF(((c_TMAP1OUT)-(0))&gt;=0,IF(IF(o_WRAP=1,MOD(((c_TMAP1IN)-(c_TFWD))*(((A139)-(c_TFWD))*((c_TMAP1OUT)-(0))+IF(((c_TMAP1OUT)-(0))&gt;=0,1,-1)*QUOTIENT(((c_TMAP1IN)-(c_TFWD)),2))+2147483648,4294967296)-2147483648,((c_TMAP1IN)-(c_TFWD))*(((A139)-(c_TFWD))*((c_TMAP1OUT)-(0))+IF(((c_TMAP1OUT)-(0))&gt;=0,1,-1)*QUOTIENT(((c_TMAP1IN)-(c_TFWD)),2)))&lt;0,-1,0),IF(IF(o_WRAP=1,MOD(((c_TMAP1IN)-(c_TFWD))*(((A139)-(c_TFWD))*((c_TMAP1OUT)-(0))+IF(((c_TMAP1OUT)-(0))&gt;=0,1,-1)*QUOTIENT(((c_TMAP1IN)-(c_TFWD)),2))+2147483648,4294967296)-2147483648,((c_TMAP1IN)-(c_TFWD))*(((A139)-(c_TFWD))*((c_TMAP1OUT)-(0))+IF(((c_TMAP1OUT)-(0))&gt;=0,1,-1)*QUOTIENT(((c_TMAP1IN)-(c_TFWD)),2)))&gt;=0,1,0)))</f>
        <v>96</v>
      </c>
      <c r="E139" s="7" t="n">
        <f aca="false">IF(((c_TMAP2IN)-(c_TMAP1IN))=0,(c_TMAP1OUT)+QUOTIENT(((c_TMAP2OUT)-(c_TMAP1OUT)),2),QUOTIENT((((A139)-(c_TMAP1IN))*((c_TMAP2OUT)-(c_TMAP1OUT))+IF(((c_TMAP2OUT)-(c_TMAP1OUT))&gt;=0,1,-1)*QUOTIENT(((c_TMAP2IN)-(c_TMAP1IN)),2)),((c_TMAP2IN)-(c_TMAP1IN)))+(c_TMAP1OUT)+IF(((c_TMAP2OUT)-(c_TMAP1OUT))&gt;=0,IF(IF(o_WRAP=1,MOD(((c_TMAP2IN)-(c_TMAP1IN))*(((A139)-(c_TMAP1IN))*((c_TMAP2OUT)-(c_TMAP1OUT))+IF(((c_TMAP2OUT)-(c_TMAP1OUT))&gt;=0,1,-1)*QUOTIENT(((c_TMAP2IN)-(c_TMAP1IN)),2))+2147483648,4294967296)-2147483648,((c_TMAP2IN)-(c_TMAP1IN))*(((A139)-(c_TMAP1IN))*((c_TMAP2OUT)-(c_TMAP1OUT))+IF(((c_TMAP2OUT)-(c_TMAP1OUT))&gt;=0,1,-1)*QUOTIENT(((c_TMAP2IN)-(c_TMAP1IN)),2)))&lt;0,-1,0),IF(IF(o_WRAP=1,MOD(((c_TMAP2IN)-(c_TMAP1IN))*(((A139)-(c_TMAP1IN))*((c_TMAP2OUT)-(c_TMAP1OUT))+IF(((c_TMAP2OUT)-(c_TMAP1OUT))&gt;=0,1,-1)*QUOTIENT(((c_TMAP2IN)-(c_TMAP1IN)),2))+2147483648,4294967296)-2147483648,((c_TMAP2IN)-(c_TMAP1IN))*(((A139)-(c_TMAP1IN))*((c_TMAP2OUT)-(c_TMAP1OUT))+IF(((c_TMAP2OUT)-(c_TMAP1OUT))&gt;=0,1,-1)*QUOTIENT(((c_TMAP2IN)-(c_TMAP1IN)),2)))&gt;=0,1,0)))</f>
        <v>84</v>
      </c>
      <c r="F139" s="7" t="n">
        <f aca="false">IF(((c_TMAP3IN)-(c_TMAP2IN))=0,(c_TMAP2OUT)+QUOTIENT(((c_TMAP3OUT)-(c_TMAP2OUT)),2),QUOTIENT((((A139)-(c_TMAP2IN))*((c_TMAP3OUT)-(c_TMAP2OUT))+IF(((c_TMAP3OUT)-(c_TMAP2OUT))&gt;=0,1,-1)*QUOTIENT(((c_TMAP3IN)-(c_TMAP2IN)),2)),((c_TMAP3IN)-(c_TMAP2IN)))+(c_TMAP2OUT)+IF(((c_TMAP3OUT)-(c_TMAP2OUT))&gt;=0,IF(IF(o_WRAP=1,MOD(((c_TMAP3IN)-(c_TMAP2IN))*(((A139)-(c_TMAP2IN))*((c_TMAP3OUT)-(c_TMAP2OUT))+IF(((c_TMAP3OUT)-(c_TMAP2OUT))&gt;=0,1,-1)*QUOTIENT(((c_TMAP3IN)-(c_TMAP2IN)),2))+2147483648,4294967296)-2147483648,((c_TMAP3IN)-(c_TMAP2IN))*(((A139)-(c_TMAP2IN))*((c_TMAP3OUT)-(c_TMAP2OUT))+IF(((c_TMAP3OUT)-(c_TMAP2OUT))&gt;=0,1,-1)*QUOTIENT(((c_TMAP3IN)-(c_TMAP2IN)),2)))&lt;0,-1,0),IF(IF(o_WRAP=1,MOD(((c_TMAP3IN)-(c_TMAP2IN))*(((A139)-(c_TMAP2IN))*((c_TMAP3OUT)-(c_TMAP2OUT))+IF(((c_TMAP3OUT)-(c_TMAP2OUT))&gt;=0,1,-1)*QUOTIENT(((c_TMAP3IN)-(c_TMAP2IN)),2))+2147483648,4294967296)-2147483648,((c_TMAP3IN)-(c_TMAP2IN))*(((A139)-(c_TMAP2IN))*((c_TMAP3OUT)-(c_TMAP2OUT))+IF(((c_TMAP3OUT)-(c_TMAP2OUT))&gt;=0,1,-1)*QUOTIENT(((c_TMAP3IN)-(c_TMAP2IN)),2)))&gt;=0,1,0)))</f>
        <v>49</v>
      </c>
      <c r="G139" s="7" t="n">
        <f aca="false">IF(((1000)-(c_TMAP3IN))=0,(c_TMAP3OUT)+QUOTIENT(((1000)-(c_TMAP3OUT)),2),QUOTIENT((((A139)-(c_TMAP3IN))*((1000)-(c_TMAP3OUT))+IF(((1000)-(c_TMAP3OUT))&gt;=0,1,-1)*QUOTIENT(((1000)-(c_TMAP3IN)),2)),((1000)-(c_TMAP3IN)))+(c_TMAP3OUT)+IF(((1000)-(c_TMAP3OUT))&gt;=0,IF(IF(o_WRAP=1,MOD(((1000)-(c_TMAP3IN))*(((A139)-(c_TMAP3IN))*((1000)-(c_TMAP3OUT))+IF(((1000)-(c_TMAP3OUT))&gt;=0,1,-1)*QUOTIENT(((1000)-(c_TMAP3IN)),2))+2147483648,4294967296)-2147483648,((1000)-(c_TMAP3IN))*(((A139)-(c_TMAP3IN))*((1000)-(c_TMAP3OUT))+IF(((1000)-(c_TMAP3OUT))&gt;=0,1,-1)*QUOTIENT(((1000)-(c_TMAP3IN)),2)))&lt;0,-1,0),IF(IF(o_WRAP=1,MOD(((1000)-(c_TMAP3IN))*(((A139)-(c_TMAP3IN))*((1000)-(c_TMAP3OUT))+IF(((1000)-(c_TMAP3OUT))&gt;=0,1,-1)*QUOTIENT(((1000)-(c_TMAP3IN)),2))+2147483648,4294967296)-2147483648,((1000)-(c_TMAP3IN))*(((A139)-(c_TMAP3IN))*((1000)-(c_TMAP3OUT))+IF(((1000)-(c_TMAP3OUT))&gt;=0,1,-1)*QUOTIENT(((1000)-(c_TMAP3IN)),2)))&gt;=0,1,0)))</f>
        <v>-66</v>
      </c>
      <c r="H139" s="7" t="str">
        <f aca="false">IF(A139&gt;=c_TFWD,IF(AND(A139&gt;=c_TMAP3IN,c_TMAP3IN&lt;1000),"Seg4 map3-100%",IF(AND(A139&gt;=c_TMAP2IN,c_TMAP3IN&gt;c_TMAP2IN),"Seg3 map2-map3",IF(AND(A139&gt;=c_TMAP1IN,c_TMAP2IN&gt;c_TMAP1IN),"Seg2 map1-map2","Seg1 TFWD-map1"))),IF(AND(A139=0,c_TCREEP&gt;0),"Creep",IF(AND(A139&lt;=c_TRNGMIN,A139&gt;=c_TRNGMAX,c_TRNGMIN-c_TRNGMAX&lt;&gt;0),"Regen ramp","Coast (0)")))</f>
        <v>Seg2 map1-map2</v>
      </c>
      <c r="I139" s="7" t="n">
        <f aca="false">IF(A139&gt;=c_TFWD,IF(AND(A139&gt;=c_TMAP3IN,c_TMAP3IN&lt;1000),G139,IF(AND(A139&gt;=c_TMAP2IN,c_TMAP3IN&gt;c_TMAP2IN),F139,IF(AND(A139&gt;=c_TMAP1IN,c_TMAP2IN&gt;c_TMAP1IN),E139,D139))),C139)</f>
        <v>84</v>
      </c>
      <c r="J139" s="7" t="str">
        <f aca="false">IF(I139&lt;-1090,"TOO LOW",IF(I139&gt;1090,"TOO HIGH",""))</f>
        <v/>
      </c>
      <c r="K139" s="15" t="n">
        <f aca="false">IF(J139&lt;&gt;"",0,IF(I139&gt;979,1000,I139))</f>
        <v>84</v>
      </c>
      <c r="L139" s="7" t="n">
        <f aca="false">K139/10</f>
        <v>8.4</v>
      </c>
    </row>
    <row r="140" customFormat="false" ht="15" hidden="false" customHeight="false" outlineLevel="0" collapsed="false">
      <c r="A140" s="7" t="n">
        <v>135</v>
      </c>
      <c r="B140" s="7" t="n">
        <f aca="false">A140/10</f>
        <v>13.5</v>
      </c>
      <c r="C140" s="7" t="n">
        <f aca="false">IF(AND(A140=0,c_TCREEP&gt;0),10*c_TCREEP,IF(AND(A140&lt;=c_TRNGMIN,A140&gt;=c_TRNGMAX,c_TRNGMIN-c_TRNGMAX&lt;&gt;0),-10*c_TMINRN+QUOTIENT((c_TMAXRN-c_TMINRN)*(100-QUOTIENT((A140-c_TRNGMAX)*100,c_TRNGMIN-c_TRNGMAX)),-10),0))</f>
        <v>0</v>
      </c>
      <c r="D140" s="7" t="n">
        <f aca="false">IF(((c_TMAP1IN)-(c_TFWD))=0,(0)+QUOTIENT(((c_TMAP1OUT)-(0)),2),QUOTIENT((((A140)-(c_TFWD))*((c_TMAP1OUT)-(0))+IF(((c_TMAP1OUT)-(0))&gt;=0,1,-1)*QUOTIENT(((c_TMAP1IN)-(c_TFWD)),2)),((c_TMAP1IN)-(c_TFWD)))+(0)+IF(((c_TMAP1OUT)-(0))&gt;=0,IF(IF(o_WRAP=1,MOD(((c_TMAP1IN)-(c_TFWD))*(((A140)-(c_TFWD))*((c_TMAP1OUT)-(0))+IF(((c_TMAP1OUT)-(0))&gt;=0,1,-1)*QUOTIENT(((c_TMAP1IN)-(c_TFWD)),2))+2147483648,4294967296)-2147483648,((c_TMAP1IN)-(c_TFWD))*(((A140)-(c_TFWD))*((c_TMAP1OUT)-(0))+IF(((c_TMAP1OUT)-(0))&gt;=0,1,-1)*QUOTIENT(((c_TMAP1IN)-(c_TFWD)),2)))&lt;0,-1,0),IF(IF(o_WRAP=1,MOD(((c_TMAP1IN)-(c_TFWD))*(((A140)-(c_TFWD))*((c_TMAP1OUT)-(0))+IF(((c_TMAP1OUT)-(0))&gt;=0,1,-1)*QUOTIENT(((c_TMAP1IN)-(c_TFWD)),2))+2147483648,4294967296)-2147483648,((c_TMAP1IN)-(c_TFWD))*(((A140)-(c_TFWD))*((c_TMAP1OUT)-(0))+IF(((c_TMAP1OUT)-(0))&gt;=0,1,-1)*QUOTIENT(((c_TMAP1IN)-(c_TFWD)),2)))&gt;=0,1,0)))</f>
        <v>97</v>
      </c>
      <c r="E140" s="7" t="n">
        <f aca="false">IF(((c_TMAP2IN)-(c_TMAP1IN))=0,(c_TMAP1OUT)+QUOTIENT(((c_TMAP2OUT)-(c_TMAP1OUT)),2),QUOTIENT((((A140)-(c_TMAP1IN))*((c_TMAP2OUT)-(c_TMAP1OUT))+IF(((c_TMAP2OUT)-(c_TMAP1OUT))&gt;=0,1,-1)*QUOTIENT(((c_TMAP2IN)-(c_TMAP1IN)),2)),((c_TMAP2IN)-(c_TMAP1IN)))+(c_TMAP1OUT)+IF(((c_TMAP2OUT)-(c_TMAP1OUT))&gt;=0,IF(IF(o_WRAP=1,MOD(((c_TMAP2IN)-(c_TMAP1IN))*(((A140)-(c_TMAP1IN))*((c_TMAP2OUT)-(c_TMAP1OUT))+IF(((c_TMAP2OUT)-(c_TMAP1OUT))&gt;=0,1,-1)*QUOTIENT(((c_TMAP2IN)-(c_TMAP1IN)),2))+2147483648,4294967296)-2147483648,((c_TMAP2IN)-(c_TMAP1IN))*(((A140)-(c_TMAP1IN))*((c_TMAP2OUT)-(c_TMAP1OUT))+IF(((c_TMAP2OUT)-(c_TMAP1OUT))&gt;=0,1,-1)*QUOTIENT(((c_TMAP2IN)-(c_TMAP1IN)),2)))&lt;0,-1,0),IF(IF(o_WRAP=1,MOD(((c_TMAP2IN)-(c_TMAP1IN))*(((A140)-(c_TMAP1IN))*((c_TMAP2OUT)-(c_TMAP1OUT))+IF(((c_TMAP2OUT)-(c_TMAP1OUT))&gt;=0,1,-1)*QUOTIENT(((c_TMAP2IN)-(c_TMAP1IN)),2))+2147483648,4294967296)-2147483648,((c_TMAP2IN)-(c_TMAP1IN))*(((A140)-(c_TMAP1IN))*((c_TMAP2OUT)-(c_TMAP1OUT))+IF(((c_TMAP2OUT)-(c_TMAP1OUT))&gt;=0,1,-1)*QUOTIENT(((c_TMAP2IN)-(c_TMAP1IN)),2)))&gt;=0,1,0)))</f>
        <v>84</v>
      </c>
      <c r="F140" s="7" t="n">
        <f aca="false">IF(((c_TMAP3IN)-(c_TMAP2IN))=0,(c_TMAP2OUT)+QUOTIENT(((c_TMAP3OUT)-(c_TMAP2OUT)),2),QUOTIENT((((A140)-(c_TMAP2IN))*((c_TMAP3OUT)-(c_TMAP2OUT))+IF(((c_TMAP3OUT)-(c_TMAP2OUT))&gt;=0,1,-1)*QUOTIENT(((c_TMAP3IN)-(c_TMAP2IN)),2)),((c_TMAP3IN)-(c_TMAP2IN)))+(c_TMAP2OUT)+IF(((c_TMAP3OUT)-(c_TMAP2OUT))&gt;=0,IF(IF(o_WRAP=1,MOD(((c_TMAP3IN)-(c_TMAP2IN))*(((A140)-(c_TMAP2IN))*((c_TMAP3OUT)-(c_TMAP2OUT))+IF(((c_TMAP3OUT)-(c_TMAP2OUT))&gt;=0,1,-1)*QUOTIENT(((c_TMAP3IN)-(c_TMAP2IN)),2))+2147483648,4294967296)-2147483648,((c_TMAP3IN)-(c_TMAP2IN))*(((A140)-(c_TMAP2IN))*((c_TMAP3OUT)-(c_TMAP2OUT))+IF(((c_TMAP3OUT)-(c_TMAP2OUT))&gt;=0,1,-1)*QUOTIENT(((c_TMAP3IN)-(c_TMAP2IN)),2)))&lt;0,-1,0),IF(IF(o_WRAP=1,MOD(((c_TMAP3IN)-(c_TMAP2IN))*(((A140)-(c_TMAP2IN))*((c_TMAP3OUT)-(c_TMAP2OUT))+IF(((c_TMAP3OUT)-(c_TMAP2OUT))&gt;=0,1,-1)*QUOTIENT(((c_TMAP3IN)-(c_TMAP2IN)),2))+2147483648,4294967296)-2147483648,((c_TMAP3IN)-(c_TMAP2IN))*(((A140)-(c_TMAP2IN))*((c_TMAP3OUT)-(c_TMAP2OUT))+IF(((c_TMAP3OUT)-(c_TMAP2OUT))&gt;=0,1,-1)*QUOTIENT(((c_TMAP3IN)-(c_TMAP2IN)),2)))&gt;=0,1,0)))</f>
        <v>49</v>
      </c>
      <c r="G140" s="7" t="n">
        <f aca="false">IF(((1000)-(c_TMAP3IN))=0,(c_TMAP3OUT)+QUOTIENT(((1000)-(c_TMAP3OUT)),2),QUOTIENT((((A140)-(c_TMAP3IN))*((1000)-(c_TMAP3OUT))+IF(((1000)-(c_TMAP3OUT))&gt;=0,1,-1)*QUOTIENT(((1000)-(c_TMAP3IN)),2)),((1000)-(c_TMAP3IN)))+(c_TMAP3OUT)+IF(((1000)-(c_TMAP3OUT))&gt;=0,IF(IF(o_WRAP=1,MOD(((1000)-(c_TMAP3IN))*(((A140)-(c_TMAP3IN))*((1000)-(c_TMAP3OUT))+IF(((1000)-(c_TMAP3OUT))&gt;=0,1,-1)*QUOTIENT(((1000)-(c_TMAP3IN)),2))+2147483648,4294967296)-2147483648,((1000)-(c_TMAP3IN))*(((A140)-(c_TMAP3IN))*((1000)-(c_TMAP3OUT))+IF(((1000)-(c_TMAP3OUT))&gt;=0,1,-1)*QUOTIENT(((1000)-(c_TMAP3IN)),2)))&lt;0,-1,0),IF(IF(o_WRAP=1,MOD(((1000)-(c_TMAP3IN))*(((A140)-(c_TMAP3IN))*((1000)-(c_TMAP3OUT))+IF(((1000)-(c_TMAP3OUT))&gt;=0,1,-1)*QUOTIENT(((1000)-(c_TMAP3IN)),2))+2147483648,4294967296)-2147483648,((1000)-(c_TMAP3IN))*(((A140)-(c_TMAP3IN))*((1000)-(c_TMAP3OUT))+IF(((1000)-(c_TMAP3OUT))&gt;=0,1,-1)*QUOTIENT(((1000)-(c_TMAP3IN)),2)))&gt;=0,1,0)))</f>
        <v>-65</v>
      </c>
      <c r="H140" s="7" t="str">
        <f aca="false">IF(A140&gt;=c_TFWD,IF(AND(A140&gt;=c_TMAP3IN,c_TMAP3IN&lt;1000),"Seg4 map3-100%",IF(AND(A140&gt;=c_TMAP2IN,c_TMAP3IN&gt;c_TMAP2IN),"Seg3 map2-map3",IF(AND(A140&gt;=c_TMAP1IN,c_TMAP2IN&gt;c_TMAP1IN),"Seg2 map1-map2","Seg1 TFWD-map1"))),IF(AND(A140=0,c_TCREEP&gt;0),"Creep",IF(AND(A140&lt;=c_TRNGMIN,A140&gt;=c_TRNGMAX,c_TRNGMIN-c_TRNGMAX&lt;&gt;0),"Regen ramp","Coast (0)")))</f>
        <v>Seg2 map1-map2</v>
      </c>
      <c r="I140" s="7" t="n">
        <f aca="false">IF(A140&gt;=c_TFWD,IF(AND(A140&gt;=c_TMAP3IN,c_TMAP3IN&lt;1000),G140,IF(AND(A140&gt;=c_TMAP2IN,c_TMAP3IN&gt;c_TMAP2IN),F140,IF(AND(A140&gt;=c_TMAP1IN,c_TMAP2IN&gt;c_TMAP1IN),E140,D140))),C140)</f>
        <v>84</v>
      </c>
      <c r="J140" s="7" t="str">
        <f aca="false">IF(I140&lt;-1090,"TOO LOW",IF(I140&gt;1090,"TOO HIGH",""))</f>
        <v/>
      </c>
      <c r="K140" s="15" t="n">
        <f aca="false">IF(J140&lt;&gt;"",0,IF(I140&gt;979,1000,I140))</f>
        <v>84</v>
      </c>
      <c r="L140" s="7" t="n">
        <f aca="false">K140/10</f>
        <v>8.4</v>
      </c>
    </row>
    <row r="141" customFormat="false" ht="15" hidden="false" customHeight="false" outlineLevel="0" collapsed="false">
      <c r="A141" s="7" t="n">
        <v>136</v>
      </c>
      <c r="B141" s="7" t="n">
        <f aca="false">A141/10</f>
        <v>13.6</v>
      </c>
      <c r="C141" s="7" t="n">
        <f aca="false">IF(AND(A141=0,c_TCREEP&gt;0),10*c_TCREEP,IF(AND(A141&lt;=c_TRNGMIN,A141&gt;=c_TRNGMAX,c_TRNGMIN-c_TRNGMAX&lt;&gt;0),-10*c_TMINRN+QUOTIENT((c_TMAXRN-c_TMINRN)*(100-QUOTIENT((A141-c_TRNGMAX)*100,c_TRNGMIN-c_TRNGMAX)),-10),0))</f>
        <v>0</v>
      </c>
      <c r="D141" s="7" t="n">
        <f aca="false">IF(((c_TMAP1IN)-(c_TFWD))=0,(0)+QUOTIENT(((c_TMAP1OUT)-(0)),2),QUOTIENT((((A141)-(c_TFWD))*((c_TMAP1OUT)-(0))+IF(((c_TMAP1OUT)-(0))&gt;=0,1,-1)*QUOTIENT(((c_TMAP1IN)-(c_TFWD)),2)),((c_TMAP1IN)-(c_TFWD)))+(0)+IF(((c_TMAP1OUT)-(0))&gt;=0,IF(IF(o_WRAP=1,MOD(((c_TMAP1IN)-(c_TFWD))*(((A141)-(c_TFWD))*((c_TMAP1OUT)-(0))+IF(((c_TMAP1OUT)-(0))&gt;=0,1,-1)*QUOTIENT(((c_TMAP1IN)-(c_TFWD)),2))+2147483648,4294967296)-2147483648,((c_TMAP1IN)-(c_TFWD))*(((A141)-(c_TFWD))*((c_TMAP1OUT)-(0))+IF(((c_TMAP1OUT)-(0))&gt;=0,1,-1)*QUOTIENT(((c_TMAP1IN)-(c_TFWD)),2)))&lt;0,-1,0),IF(IF(o_WRAP=1,MOD(((c_TMAP1IN)-(c_TFWD))*(((A141)-(c_TFWD))*((c_TMAP1OUT)-(0))+IF(((c_TMAP1OUT)-(0))&gt;=0,1,-1)*QUOTIENT(((c_TMAP1IN)-(c_TFWD)),2))+2147483648,4294967296)-2147483648,((c_TMAP1IN)-(c_TFWD))*(((A141)-(c_TFWD))*((c_TMAP1OUT)-(0))+IF(((c_TMAP1OUT)-(0))&gt;=0,1,-1)*QUOTIENT(((c_TMAP1IN)-(c_TFWD)),2)))&gt;=0,1,0)))</f>
        <v>98</v>
      </c>
      <c r="E141" s="7" t="n">
        <f aca="false">IF(((c_TMAP2IN)-(c_TMAP1IN))=0,(c_TMAP1OUT)+QUOTIENT(((c_TMAP2OUT)-(c_TMAP1OUT)),2),QUOTIENT((((A141)-(c_TMAP1IN))*((c_TMAP2OUT)-(c_TMAP1OUT))+IF(((c_TMAP2OUT)-(c_TMAP1OUT))&gt;=0,1,-1)*QUOTIENT(((c_TMAP2IN)-(c_TMAP1IN)),2)),((c_TMAP2IN)-(c_TMAP1IN)))+(c_TMAP1OUT)+IF(((c_TMAP2OUT)-(c_TMAP1OUT))&gt;=0,IF(IF(o_WRAP=1,MOD(((c_TMAP2IN)-(c_TMAP1IN))*(((A141)-(c_TMAP1IN))*((c_TMAP2OUT)-(c_TMAP1OUT))+IF(((c_TMAP2OUT)-(c_TMAP1OUT))&gt;=0,1,-1)*QUOTIENT(((c_TMAP2IN)-(c_TMAP1IN)),2))+2147483648,4294967296)-2147483648,((c_TMAP2IN)-(c_TMAP1IN))*(((A141)-(c_TMAP1IN))*((c_TMAP2OUT)-(c_TMAP1OUT))+IF(((c_TMAP2OUT)-(c_TMAP1OUT))&gt;=0,1,-1)*QUOTIENT(((c_TMAP2IN)-(c_TMAP1IN)),2)))&lt;0,-1,0),IF(IF(o_WRAP=1,MOD(((c_TMAP2IN)-(c_TMAP1IN))*(((A141)-(c_TMAP1IN))*((c_TMAP2OUT)-(c_TMAP1OUT))+IF(((c_TMAP2OUT)-(c_TMAP1OUT))&gt;=0,1,-1)*QUOTIENT(((c_TMAP2IN)-(c_TMAP1IN)),2))+2147483648,4294967296)-2147483648,((c_TMAP2IN)-(c_TMAP1IN))*(((A141)-(c_TMAP1IN))*((c_TMAP2OUT)-(c_TMAP1OUT))+IF(((c_TMAP2OUT)-(c_TMAP1OUT))&gt;=0,1,-1)*QUOTIENT(((c_TMAP2IN)-(c_TMAP1IN)),2)))&gt;=0,1,0)))</f>
        <v>84</v>
      </c>
      <c r="F141" s="7" t="n">
        <f aca="false">IF(((c_TMAP3IN)-(c_TMAP2IN))=0,(c_TMAP2OUT)+QUOTIENT(((c_TMAP3OUT)-(c_TMAP2OUT)),2),QUOTIENT((((A141)-(c_TMAP2IN))*((c_TMAP3OUT)-(c_TMAP2OUT))+IF(((c_TMAP3OUT)-(c_TMAP2OUT))&gt;=0,1,-1)*QUOTIENT(((c_TMAP3IN)-(c_TMAP2IN)),2)),((c_TMAP3IN)-(c_TMAP2IN)))+(c_TMAP2OUT)+IF(((c_TMAP3OUT)-(c_TMAP2OUT))&gt;=0,IF(IF(o_WRAP=1,MOD(((c_TMAP3IN)-(c_TMAP2IN))*(((A141)-(c_TMAP2IN))*((c_TMAP3OUT)-(c_TMAP2OUT))+IF(((c_TMAP3OUT)-(c_TMAP2OUT))&gt;=0,1,-1)*QUOTIENT(((c_TMAP3IN)-(c_TMAP2IN)),2))+2147483648,4294967296)-2147483648,((c_TMAP3IN)-(c_TMAP2IN))*(((A141)-(c_TMAP2IN))*((c_TMAP3OUT)-(c_TMAP2OUT))+IF(((c_TMAP3OUT)-(c_TMAP2OUT))&gt;=0,1,-1)*QUOTIENT(((c_TMAP3IN)-(c_TMAP2IN)),2)))&lt;0,-1,0),IF(IF(o_WRAP=1,MOD(((c_TMAP3IN)-(c_TMAP2IN))*(((A141)-(c_TMAP2IN))*((c_TMAP3OUT)-(c_TMAP2OUT))+IF(((c_TMAP3OUT)-(c_TMAP2OUT))&gt;=0,1,-1)*QUOTIENT(((c_TMAP3IN)-(c_TMAP2IN)),2))+2147483648,4294967296)-2147483648,((c_TMAP3IN)-(c_TMAP2IN))*(((A141)-(c_TMAP2IN))*((c_TMAP3OUT)-(c_TMAP2OUT))+IF(((c_TMAP3OUT)-(c_TMAP2OUT))&gt;=0,1,-1)*QUOTIENT(((c_TMAP3IN)-(c_TMAP2IN)),2)))&gt;=0,1,0)))</f>
        <v>50</v>
      </c>
      <c r="G141" s="7" t="n">
        <f aca="false">IF(((1000)-(c_TMAP3IN))=0,(c_TMAP3OUT)+QUOTIENT(((1000)-(c_TMAP3OUT)),2),QUOTIENT((((A141)-(c_TMAP3IN))*((1000)-(c_TMAP3OUT))+IF(((1000)-(c_TMAP3OUT))&gt;=0,1,-1)*QUOTIENT(((1000)-(c_TMAP3IN)),2)),((1000)-(c_TMAP3IN)))+(c_TMAP3OUT)+IF(((1000)-(c_TMAP3OUT))&gt;=0,IF(IF(o_WRAP=1,MOD(((1000)-(c_TMAP3IN))*(((A141)-(c_TMAP3IN))*((1000)-(c_TMAP3OUT))+IF(((1000)-(c_TMAP3OUT))&gt;=0,1,-1)*QUOTIENT(((1000)-(c_TMAP3IN)),2))+2147483648,4294967296)-2147483648,((1000)-(c_TMAP3IN))*(((A141)-(c_TMAP3IN))*((1000)-(c_TMAP3OUT))+IF(((1000)-(c_TMAP3OUT))&gt;=0,1,-1)*QUOTIENT(((1000)-(c_TMAP3IN)),2)))&lt;0,-1,0),IF(IF(o_WRAP=1,MOD(((1000)-(c_TMAP3IN))*(((A141)-(c_TMAP3IN))*((1000)-(c_TMAP3OUT))+IF(((1000)-(c_TMAP3OUT))&gt;=0,1,-1)*QUOTIENT(((1000)-(c_TMAP3IN)),2))+2147483648,4294967296)-2147483648,((1000)-(c_TMAP3IN))*(((A141)-(c_TMAP3IN))*((1000)-(c_TMAP3OUT))+IF(((1000)-(c_TMAP3OUT))&gt;=0,1,-1)*QUOTIENT(((1000)-(c_TMAP3IN)),2)))&gt;=0,1,0)))</f>
        <v>-63</v>
      </c>
      <c r="H141" s="7" t="str">
        <f aca="false">IF(A141&gt;=c_TFWD,IF(AND(A141&gt;=c_TMAP3IN,c_TMAP3IN&lt;1000),"Seg4 map3-100%",IF(AND(A141&gt;=c_TMAP2IN,c_TMAP3IN&gt;c_TMAP2IN),"Seg3 map2-map3",IF(AND(A141&gt;=c_TMAP1IN,c_TMAP2IN&gt;c_TMAP1IN),"Seg2 map1-map2","Seg1 TFWD-map1"))),IF(AND(A141=0,c_TCREEP&gt;0),"Creep",IF(AND(A141&lt;=c_TRNGMIN,A141&gt;=c_TRNGMAX,c_TRNGMIN-c_TRNGMAX&lt;&gt;0),"Regen ramp","Coast (0)")))</f>
        <v>Seg2 map1-map2</v>
      </c>
      <c r="I141" s="7" t="n">
        <f aca="false">IF(A141&gt;=c_TFWD,IF(AND(A141&gt;=c_TMAP3IN,c_TMAP3IN&lt;1000),G141,IF(AND(A141&gt;=c_TMAP2IN,c_TMAP3IN&gt;c_TMAP2IN),F141,IF(AND(A141&gt;=c_TMAP1IN,c_TMAP2IN&gt;c_TMAP1IN),E141,D141))),C141)</f>
        <v>84</v>
      </c>
      <c r="J141" s="7" t="str">
        <f aca="false">IF(I141&lt;-1090,"TOO LOW",IF(I141&gt;1090,"TOO HIGH",""))</f>
        <v/>
      </c>
      <c r="K141" s="15" t="n">
        <f aca="false">IF(J141&lt;&gt;"",0,IF(I141&gt;979,1000,I141))</f>
        <v>84</v>
      </c>
      <c r="L141" s="7" t="n">
        <f aca="false">K141/10</f>
        <v>8.4</v>
      </c>
    </row>
    <row r="142" customFormat="false" ht="15" hidden="false" customHeight="false" outlineLevel="0" collapsed="false">
      <c r="A142" s="7" t="n">
        <v>137</v>
      </c>
      <c r="B142" s="7" t="n">
        <f aca="false">A142/10</f>
        <v>13.7</v>
      </c>
      <c r="C142" s="7" t="n">
        <f aca="false">IF(AND(A142=0,c_TCREEP&gt;0),10*c_TCREEP,IF(AND(A142&lt;=c_TRNGMIN,A142&gt;=c_TRNGMAX,c_TRNGMIN-c_TRNGMAX&lt;&gt;0),-10*c_TMINRN+QUOTIENT((c_TMAXRN-c_TMINRN)*(100-QUOTIENT((A142-c_TRNGMAX)*100,c_TRNGMIN-c_TRNGMAX)),-10),0))</f>
        <v>0</v>
      </c>
      <c r="D142" s="7" t="n">
        <f aca="false">IF(((c_TMAP1IN)-(c_TFWD))=0,(0)+QUOTIENT(((c_TMAP1OUT)-(0)),2),QUOTIENT((((A142)-(c_TFWD))*((c_TMAP1OUT)-(0))+IF(((c_TMAP1OUT)-(0))&gt;=0,1,-1)*QUOTIENT(((c_TMAP1IN)-(c_TFWD)),2)),((c_TMAP1IN)-(c_TFWD)))+(0)+IF(((c_TMAP1OUT)-(0))&gt;=0,IF(IF(o_WRAP=1,MOD(((c_TMAP1IN)-(c_TFWD))*(((A142)-(c_TFWD))*((c_TMAP1OUT)-(0))+IF(((c_TMAP1OUT)-(0))&gt;=0,1,-1)*QUOTIENT(((c_TMAP1IN)-(c_TFWD)),2))+2147483648,4294967296)-2147483648,((c_TMAP1IN)-(c_TFWD))*(((A142)-(c_TFWD))*((c_TMAP1OUT)-(0))+IF(((c_TMAP1OUT)-(0))&gt;=0,1,-1)*QUOTIENT(((c_TMAP1IN)-(c_TFWD)),2)))&lt;0,-1,0),IF(IF(o_WRAP=1,MOD(((c_TMAP1IN)-(c_TFWD))*(((A142)-(c_TFWD))*((c_TMAP1OUT)-(0))+IF(((c_TMAP1OUT)-(0))&gt;=0,1,-1)*QUOTIENT(((c_TMAP1IN)-(c_TFWD)),2))+2147483648,4294967296)-2147483648,((c_TMAP1IN)-(c_TFWD))*(((A142)-(c_TFWD))*((c_TMAP1OUT)-(0))+IF(((c_TMAP1OUT)-(0))&gt;=0,1,-1)*QUOTIENT(((c_TMAP1IN)-(c_TFWD)),2)))&gt;=0,1,0)))</f>
        <v>99</v>
      </c>
      <c r="E142" s="7" t="n">
        <f aca="false">IF(((c_TMAP2IN)-(c_TMAP1IN))=0,(c_TMAP1OUT)+QUOTIENT(((c_TMAP2OUT)-(c_TMAP1OUT)),2),QUOTIENT((((A142)-(c_TMAP1IN))*((c_TMAP2OUT)-(c_TMAP1OUT))+IF(((c_TMAP2OUT)-(c_TMAP1OUT))&gt;=0,1,-1)*QUOTIENT(((c_TMAP2IN)-(c_TMAP1IN)),2)),((c_TMAP2IN)-(c_TMAP1IN)))+(c_TMAP1OUT)+IF(((c_TMAP2OUT)-(c_TMAP1OUT))&gt;=0,IF(IF(o_WRAP=1,MOD(((c_TMAP2IN)-(c_TMAP1IN))*(((A142)-(c_TMAP1IN))*((c_TMAP2OUT)-(c_TMAP1OUT))+IF(((c_TMAP2OUT)-(c_TMAP1OUT))&gt;=0,1,-1)*QUOTIENT(((c_TMAP2IN)-(c_TMAP1IN)),2))+2147483648,4294967296)-2147483648,((c_TMAP2IN)-(c_TMAP1IN))*(((A142)-(c_TMAP1IN))*((c_TMAP2OUT)-(c_TMAP1OUT))+IF(((c_TMAP2OUT)-(c_TMAP1OUT))&gt;=0,1,-1)*QUOTIENT(((c_TMAP2IN)-(c_TMAP1IN)),2)))&lt;0,-1,0),IF(IF(o_WRAP=1,MOD(((c_TMAP2IN)-(c_TMAP1IN))*(((A142)-(c_TMAP1IN))*((c_TMAP2OUT)-(c_TMAP1OUT))+IF(((c_TMAP2OUT)-(c_TMAP1OUT))&gt;=0,1,-1)*QUOTIENT(((c_TMAP2IN)-(c_TMAP1IN)),2))+2147483648,4294967296)-2147483648,((c_TMAP2IN)-(c_TMAP1IN))*(((A142)-(c_TMAP1IN))*((c_TMAP2OUT)-(c_TMAP1OUT))+IF(((c_TMAP2OUT)-(c_TMAP1OUT))&gt;=0,1,-1)*QUOTIENT(((c_TMAP2IN)-(c_TMAP1IN)),2)))&gt;=0,1,0)))</f>
        <v>85</v>
      </c>
      <c r="F142" s="7" t="n">
        <f aca="false">IF(((c_TMAP3IN)-(c_TMAP2IN))=0,(c_TMAP2OUT)+QUOTIENT(((c_TMAP3OUT)-(c_TMAP2OUT)),2),QUOTIENT((((A142)-(c_TMAP2IN))*((c_TMAP3OUT)-(c_TMAP2OUT))+IF(((c_TMAP3OUT)-(c_TMAP2OUT))&gt;=0,1,-1)*QUOTIENT(((c_TMAP3IN)-(c_TMAP2IN)),2)),((c_TMAP3IN)-(c_TMAP2IN)))+(c_TMAP2OUT)+IF(((c_TMAP3OUT)-(c_TMAP2OUT))&gt;=0,IF(IF(o_WRAP=1,MOD(((c_TMAP3IN)-(c_TMAP2IN))*(((A142)-(c_TMAP2IN))*((c_TMAP3OUT)-(c_TMAP2OUT))+IF(((c_TMAP3OUT)-(c_TMAP2OUT))&gt;=0,1,-1)*QUOTIENT(((c_TMAP3IN)-(c_TMAP2IN)),2))+2147483648,4294967296)-2147483648,((c_TMAP3IN)-(c_TMAP2IN))*(((A142)-(c_TMAP2IN))*((c_TMAP3OUT)-(c_TMAP2OUT))+IF(((c_TMAP3OUT)-(c_TMAP2OUT))&gt;=0,1,-1)*QUOTIENT(((c_TMAP3IN)-(c_TMAP2IN)),2)))&lt;0,-1,0),IF(IF(o_WRAP=1,MOD(((c_TMAP3IN)-(c_TMAP2IN))*(((A142)-(c_TMAP2IN))*((c_TMAP3OUT)-(c_TMAP2OUT))+IF(((c_TMAP3OUT)-(c_TMAP2OUT))&gt;=0,1,-1)*QUOTIENT(((c_TMAP3IN)-(c_TMAP2IN)),2))+2147483648,4294967296)-2147483648,((c_TMAP3IN)-(c_TMAP2IN))*(((A142)-(c_TMAP2IN))*((c_TMAP3OUT)-(c_TMAP2OUT))+IF(((c_TMAP3OUT)-(c_TMAP2OUT))&gt;=0,1,-1)*QUOTIENT(((c_TMAP3IN)-(c_TMAP2IN)),2)))&gt;=0,1,0)))</f>
        <v>51</v>
      </c>
      <c r="G142" s="7" t="n">
        <f aca="false">IF(((1000)-(c_TMAP3IN))=0,(c_TMAP3OUT)+QUOTIENT(((1000)-(c_TMAP3OUT)),2),QUOTIENT((((A142)-(c_TMAP3IN))*((1000)-(c_TMAP3OUT))+IF(((1000)-(c_TMAP3OUT))&gt;=0,1,-1)*QUOTIENT(((1000)-(c_TMAP3IN)),2)),((1000)-(c_TMAP3IN)))+(c_TMAP3OUT)+IF(((1000)-(c_TMAP3OUT))&gt;=0,IF(IF(o_WRAP=1,MOD(((1000)-(c_TMAP3IN))*(((A142)-(c_TMAP3IN))*((1000)-(c_TMAP3OUT))+IF(((1000)-(c_TMAP3OUT))&gt;=0,1,-1)*QUOTIENT(((1000)-(c_TMAP3IN)),2))+2147483648,4294967296)-2147483648,((1000)-(c_TMAP3IN))*(((A142)-(c_TMAP3IN))*((1000)-(c_TMAP3OUT))+IF(((1000)-(c_TMAP3OUT))&gt;=0,1,-1)*QUOTIENT(((1000)-(c_TMAP3IN)),2)))&lt;0,-1,0),IF(IF(o_WRAP=1,MOD(((1000)-(c_TMAP3IN))*(((A142)-(c_TMAP3IN))*((1000)-(c_TMAP3OUT))+IF(((1000)-(c_TMAP3OUT))&gt;=0,1,-1)*QUOTIENT(((1000)-(c_TMAP3IN)),2))+2147483648,4294967296)-2147483648,((1000)-(c_TMAP3IN))*(((A142)-(c_TMAP3IN))*((1000)-(c_TMAP3OUT))+IF(((1000)-(c_TMAP3OUT))&gt;=0,1,-1)*QUOTIENT(((1000)-(c_TMAP3IN)),2)))&gt;=0,1,0)))</f>
        <v>-62</v>
      </c>
      <c r="H142" s="7" t="str">
        <f aca="false">IF(A142&gt;=c_TFWD,IF(AND(A142&gt;=c_TMAP3IN,c_TMAP3IN&lt;1000),"Seg4 map3-100%",IF(AND(A142&gt;=c_TMAP2IN,c_TMAP3IN&gt;c_TMAP2IN),"Seg3 map2-map3",IF(AND(A142&gt;=c_TMAP1IN,c_TMAP2IN&gt;c_TMAP1IN),"Seg2 map1-map2","Seg1 TFWD-map1"))),IF(AND(A142=0,c_TCREEP&gt;0),"Creep",IF(AND(A142&lt;=c_TRNGMIN,A142&gt;=c_TRNGMAX,c_TRNGMIN-c_TRNGMAX&lt;&gt;0),"Regen ramp","Coast (0)")))</f>
        <v>Seg2 map1-map2</v>
      </c>
      <c r="I142" s="7" t="n">
        <f aca="false">IF(A142&gt;=c_TFWD,IF(AND(A142&gt;=c_TMAP3IN,c_TMAP3IN&lt;1000),G142,IF(AND(A142&gt;=c_TMAP2IN,c_TMAP3IN&gt;c_TMAP2IN),F142,IF(AND(A142&gt;=c_TMAP1IN,c_TMAP2IN&gt;c_TMAP1IN),E142,D142))),C142)</f>
        <v>85</v>
      </c>
      <c r="J142" s="7" t="str">
        <f aca="false">IF(I142&lt;-1090,"TOO LOW",IF(I142&gt;1090,"TOO HIGH",""))</f>
        <v/>
      </c>
      <c r="K142" s="15" t="n">
        <f aca="false">IF(J142&lt;&gt;"",0,IF(I142&gt;979,1000,I142))</f>
        <v>85</v>
      </c>
      <c r="L142" s="7" t="n">
        <f aca="false">K142/10</f>
        <v>8.5</v>
      </c>
    </row>
    <row r="143" customFormat="false" ht="15" hidden="false" customHeight="false" outlineLevel="0" collapsed="false">
      <c r="A143" s="7" t="n">
        <v>138</v>
      </c>
      <c r="B143" s="7" t="n">
        <f aca="false">A143/10</f>
        <v>13.8</v>
      </c>
      <c r="C143" s="7" t="n">
        <f aca="false">IF(AND(A143=0,c_TCREEP&gt;0),10*c_TCREEP,IF(AND(A143&lt;=c_TRNGMIN,A143&gt;=c_TRNGMAX,c_TRNGMIN-c_TRNGMAX&lt;&gt;0),-10*c_TMINRN+QUOTIENT((c_TMAXRN-c_TMINRN)*(100-QUOTIENT((A143-c_TRNGMAX)*100,c_TRNGMIN-c_TRNGMAX)),-10),0))</f>
        <v>0</v>
      </c>
      <c r="D143" s="7" t="n">
        <f aca="false">IF(((c_TMAP1IN)-(c_TFWD))=0,(0)+QUOTIENT(((c_TMAP1OUT)-(0)),2),QUOTIENT((((A143)-(c_TFWD))*((c_TMAP1OUT)-(0))+IF(((c_TMAP1OUT)-(0))&gt;=0,1,-1)*QUOTIENT(((c_TMAP1IN)-(c_TFWD)),2)),((c_TMAP1IN)-(c_TFWD)))+(0)+IF(((c_TMAP1OUT)-(0))&gt;=0,IF(IF(o_WRAP=1,MOD(((c_TMAP1IN)-(c_TFWD))*(((A143)-(c_TFWD))*((c_TMAP1OUT)-(0))+IF(((c_TMAP1OUT)-(0))&gt;=0,1,-1)*QUOTIENT(((c_TMAP1IN)-(c_TFWD)),2))+2147483648,4294967296)-2147483648,((c_TMAP1IN)-(c_TFWD))*(((A143)-(c_TFWD))*((c_TMAP1OUT)-(0))+IF(((c_TMAP1OUT)-(0))&gt;=0,1,-1)*QUOTIENT(((c_TMAP1IN)-(c_TFWD)),2)))&lt;0,-1,0),IF(IF(o_WRAP=1,MOD(((c_TMAP1IN)-(c_TFWD))*(((A143)-(c_TFWD))*((c_TMAP1OUT)-(0))+IF(((c_TMAP1OUT)-(0))&gt;=0,1,-1)*QUOTIENT(((c_TMAP1IN)-(c_TFWD)),2))+2147483648,4294967296)-2147483648,((c_TMAP1IN)-(c_TFWD))*(((A143)-(c_TFWD))*((c_TMAP1OUT)-(0))+IF(((c_TMAP1OUT)-(0))&gt;=0,1,-1)*QUOTIENT(((c_TMAP1IN)-(c_TFWD)),2)))&gt;=0,1,0)))</f>
        <v>100</v>
      </c>
      <c r="E143" s="7" t="n">
        <f aca="false">IF(((c_TMAP2IN)-(c_TMAP1IN))=0,(c_TMAP1OUT)+QUOTIENT(((c_TMAP2OUT)-(c_TMAP1OUT)),2),QUOTIENT((((A143)-(c_TMAP1IN))*((c_TMAP2OUT)-(c_TMAP1OUT))+IF(((c_TMAP2OUT)-(c_TMAP1OUT))&gt;=0,1,-1)*QUOTIENT(((c_TMAP2IN)-(c_TMAP1IN)),2)),((c_TMAP2IN)-(c_TMAP1IN)))+(c_TMAP1OUT)+IF(((c_TMAP2OUT)-(c_TMAP1OUT))&gt;=0,IF(IF(o_WRAP=1,MOD(((c_TMAP2IN)-(c_TMAP1IN))*(((A143)-(c_TMAP1IN))*((c_TMAP2OUT)-(c_TMAP1OUT))+IF(((c_TMAP2OUT)-(c_TMAP1OUT))&gt;=0,1,-1)*QUOTIENT(((c_TMAP2IN)-(c_TMAP1IN)),2))+2147483648,4294967296)-2147483648,((c_TMAP2IN)-(c_TMAP1IN))*(((A143)-(c_TMAP1IN))*((c_TMAP2OUT)-(c_TMAP1OUT))+IF(((c_TMAP2OUT)-(c_TMAP1OUT))&gt;=0,1,-1)*QUOTIENT(((c_TMAP2IN)-(c_TMAP1IN)),2)))&lt;0,-1,0),IF(IF(o_WRAP=1,MOD(((c_TMAP2IN)-(c_TMAP1IN))*(((A143)-(c_TMAP1IN))*((c_TMAP2OUT)-(c_TMAP1OUT))+IF(((c_TMAP2OUT)-(c_TMAP1OUT))&gt;=0,1,-1)*QUOTIENT(((c_TMAP2IN)-(c_TMAP1IN)),2))+2147483648,4294967296)-2147483648,((c_TMAP2IN)-(c_TMAP1IN))*(((A143)-(c_TMAP1IN))*((c_TMAP2OUT)-(c_TMAP1OUT))+IF(((c_TMAP2OUT)-(c_TMAP1OUT))&gt;=0,1,-1)*QUOTIENT(((c_TMAP2IN)-(c_TMAP1IN)),2)))&gt;=0,1,0)))</f>
        <v>85</v>
      </c>
      <c r="F143" s="7" t="n">
        <f aca="false">IF(((c_TMAP3IN)-(c_TMAP2IN))=0,(c_TMAP2OUT)+QUOTIENT(((c_TMAP3OUT)-(c_TMAP2OUT)),2),QUOTIENT((((A143)-(c_TMAP2IN))*((c_TMAP3OUT)-(c_TMAP2OUT))+IF(((c_TMAP3OUT)-(c_TMAP2OUT))&gt;=0,1,-1)*QUOTIENT(((c_TMAP3IN)-(c_TMAP2IN)),2)),((c_TMAP3IN)-(c_TMAP2IN)))+(c_TMAP2OUT)+IF(((c_TMAP3OUT)-(c_TMAP2OUT))&gt;=0,IF(IF(o_WRAP=1,MOD(((c_TMAP3IN)-(c_TMAP2IN))*(((A143)-(c_TMAP2IN))*((c_TMAP3OUT)-(c_TMAP2OUT))+IF(((c_TMAP3OUT)-(c_TMAP2OUT))&gt;=0,1,-1)*QUOTIENT(((c_TMAP3IN)-(c_TMAP2IN)),2))+2147483648,4294967296)-2147483648,((c_TMAP3IN)-(c_TMAP2IN))*(((A143)-(c_TMAP2IN))*((c_TMAP3OUT)-(c_TMAP2OUT))+IF(((c_TMAP3OUT)-(c_TMAP2OUT))&gt;=0,1,-1)*QUOTIENT(((c_TMAP3IN)-(c_TMAP2IN)),2)))&lt;0,-1,0),IF(IF(o_WRAP=1,MOD(((c_TMAP3IN)-(c_TMAP2IN))*(((A143)-(c_TMAP2IN))*((c_TMAP3OUT)-(c_TMAP2OUT))+IF(((c_TMAP3OUT)-(c_TMAP2OUT))&gt;=0,1,-1)*QUOTIENT(((c_TMAP3IN)-(c_TMAP2IN)),2))+2147483648,4294967296)-2147483648,((c_TMAP3IN)-(c_TMAP2IN))*(((A143)-(c_TMAP2IN))*((c_TMAP3OUT)-(c_TMAP2OUT))+IF(((c_TMAP3OUT)-(c_TMAP2OUT))&gt;=0,1,-1)*QUOTIENT(((c_TMAP3IN)-(c_TMAP2IN)),2)))&gt;=0,1,0)))</f>
        <v>52</v>
      </c>
      <c r="G143" s="7" t="n">
        <f aca="false">IF(((1000)-(c_TMAP3IN))=0,(c_TMAP3OUT)+QUOTIENT(((1000)-(c_TMAP3OUT)),2),QUOTIENT((((A143)-(c_TMAP3IN))*((1000)-(c_TMAP3OUT))+IF(((1000)-(c_TMAP3OUT))&gt;=0,1,-1)*QUOTIENT(((1000)-(c_TMAP3IN)),2)),((1000)-(c_TMAP3IN)))+(c_TMAP3OUT)+IF(((1000)-(c_TMAP3OUT))&gt;=0,IF(IF(o_WRAP=1,MOD(((1000)-(c_TMAP3IN))*(((A143)-(c_TMAP3IN))*((1000)-(c_TMAP3OUT))+IF(((1000)-(c_TMAP3OUT))&gt;=0,1,-1)*QUOTIENT(((1000)-(c_TMAP3IN)),2))+2147483648,4294967296)-2147483648,((1000)-(c_TMAP3IN))*(((A143)-(c_TMAP3IN))*((1000)-(c_TMAP3OUT))+IF(((1000)-(c_TMAP3OUT))&gt;=0,1,-1)*QUOTIENT(((1000)-(c_TMAP3IN)),2)))&lt;0,-1,0),IF(IF(o_WRAP=1,MOD(((1000)-(c_TMAP3IN))*(((A143)-(c_TMAP3IN))*((1000)-(c_TMAP3OUT))+IF(((1000)-(c_TMAP3OUT))&gt;=0,1,-1)*QUOTIENT(((1000)-(c_TMAP3IN)),2))+2147483648,4294967296)-2147483648,((1000)-(c_TMAP3IN))*(((A143)-(c_TMAP3IN))*((1000)-(c_TMAP3OUT))+IF(((1000)-(c_TMAP3OUT))&gt;=0,1,-1)*QUOTIENT(((1000)-(c_TMAP3IN)),2)))&gt;=0,1,0)))</f>
        <v>-61</v>
      </c>
      <c r="H143" s="7" t="str">
        <f aca="false">IF(A143&gt;=c_TFWD,IF(AND(A143&gt;=c_TMAP3IN,c_TMAP3IN&lt;1000),"Seg4 map3-100%",IF(AND(A143&gt;=c_TMAP2IN,c_TMAP3IN&gt;c_TMAP2IN),"Seg3 map2-map3",IF(AND(A143&gt;=c_TMAP1IN,c_TMAP2IN&gt;c_TMAP1IN),"Seg2 map1-map2","Seg1 TFWD-map1"))),IF(AND(A143=0,c_TCREEP&gt;0),"Creep",IF(AND(A143&lt;=c_TRNGMIN,A143&gt;=c_TRNGMAX,c_TRNGMIN-c_TRNGMAX&lt;&gt;0),"Regen ramp","Coast (0)")))</f>
        <v>Seg2 map1-map2</v>
      </c>
      <c r="I143" s="7" t="n">
        <f aca="false">IF(A143&gt;=c_TFWD,IF(AND(A143&gt;=c_TMAP3IN,c_TMAP3IN&lt;1000),G143,IF(AND(A143&gt;=c_TMAP2IN,c_TMAP3IN&gt;c_TMAP2IN),F143,IF(AND(A143&gt;=c_TMAP1IN,c_TMAP2IN&gt;c_TMAP1IN),E143,D143))),C143)</f>
        <v>85</v>
      </c>
      <c r="J143" s="7" t="str">
        <f aca="false">IF(I143&lt;-1090,"TOO LOW",IF(I143&gt;1090,"TOO HIGH",""))</f>
        <v/>
      </c>
      <c r="K143" s="15" t="n">
        <f aca="false">IF(J143&lt;&gt;"",0,IF(I143&gt;979,1000,I143))</f>
        <v>85</v>
      </c>
      <c r="L143" s="7" t="n">
        <f aca="false">K143/10</f>
        <v>8.5</v>
      </c>
    </row>
    <row r="144" customFormat="false" ht="15" hidden="false" customHeight="false" outlineLevel="0" collapsed="false">
      <c r="A144" s="7" t="n">
        <v>139</v>
      </c>
      <c r="B144" s="7" t="n">
        <f aca="false">A144/10</f>
        <v>13.9</v>
      </c>
      <c r="C144" s="7" t="n">
        <f aca="false">IF(AND(A144=0,c_TCREEP&gt;0),10*c_TCREEP,IF(AND(A144&lt;=c_TRNGMIN,A144&gt;=c_TRNGMAX,c_TRNGMIN-c_TRNGMAX&lt;&gt;0),-10*c_TMINRN+QUOTIENT((c_TMAXRN-c_TMINRN)*(100-QUOTIENT((A144-c_TRNGMAX)*100,c_TRNGMIN-c_TRNGMAX)),-10),0))</f>
        <v>0</v>
      </c>
      <c r="D144" s="7" t="n">
        <f aca="false">IF(((c_TMAP1IN)-(c_TFWD))=0,(0)+QUOTIENT(((c_TMAP1OUT)-(0)),2),QUOTIENT((((A144)-(c_TFWD))*((c_TMAP1OUT)-(0))+IF(((c_TMAP1OUT)-(0))&gt;=0,1,-1)*QUOTIENT(((c_TMAP1IN)-(c_TFWD)),2)),((c_TMAP1IN)-(c_TFWD)))+(0)+IF(((c_TMAP1OUT)-(0))&gt;=0,IF(IF(o_WRAP=1,MOD(((c_TMAP1IN)-(c_TFWD))*(((A144)-(c_TFWD))*((c_TMAP1OUT)-(0))+IF(((c_TMAP1OUT)-(0))&gt;=0,1,-1)*QUOTIENT(((c_TMAP1IN)-(c_TFWD)),2))+2147483648,4294967296)-2147483648,((c_TMAP1IN)-(c_TFWD))*(((A144)-(c_TFWD))*((c_TMAP1OUT)-(0))+IF(((c_TMAP1OUT)-(0))&gt;=0,1,-1)*QUOTIENT(((c_TMAP1IN)-(c_TFWD)),2)))&lt;0,-1,0),IF(IF(o_WRAP=1,MOD(((c_TMAP1IN)-(c_TFWD))*(((A144)-(c_TFWD))*((c_TMAP1OUT)-(0))+IF(((c_TMAP1OUT)-(0))&gt;=0,1,-1)*QUOTIENT(((c_TMAP1IN)-(c_TFWD)),2))+2147483648,4294967296)-2147483648,((c_TMAP1IN)-(c_TFWD))*(((A144)-(c_TFWD))*((c_TMAP1OUT)-(0))+IF(((c_TMAP1OUT)-(0))&gt;=0,1,-1)*QUOTIENT(((c_TMAP1IN)-(c_TFWD)),2)))&gt;=0,1,0)))</f>
        <v>100</v>
      </c>
      <c r="E144" s="7" t="n">
        <f aca="false">IF(((c_TMAP2IN)-(c_TMAP1IN))=0,(c_TMAP1OUT)+QUOTIENT(((c_TMAP2OUT)-(c_TMAP1OUT)),2),QUOTIENT((((A144)-(c_TMAP1IN))*((c_TMAP2OUT)-(c_TMAP1OUT))+IF(((c_TMAP2OUT)-(c_TMAP1OUT))&gt;=0,1,-1)*QUOTIENT(((c_TMAP2IN)-(c_TMAP1IN)),2)),((c_TMAP2IN)-(c_TMAP1IN)))+(c_TMAP1OUT)+IF(((c_TMAP2OUT)-(c_TMAP1OUT))&gt;=0,IF(IF(o_WRAP=1,MOD(((c_TMAP2IN)-(c_TMAP1IN))*(((A144)-(c_TMAP1IN))*((c_TMAP2OUT)-(c_TMAP1OUT))+IF(((c_TMAP2OUT)-(c_TMAP1OUT))&gt;=0,1,-1)*QUOTIENT(((c_TMAP2IN)-(c_TMAP1IN)),2))+2147483648,4294967296)-2147483648,((c_TMAP2IN)-(c_TMAP1IN))*(((A144)-(c_TMAP1IN))*((c_TMAP2OUT)-(c_TMAP1OUT))+IF(((c_TMAP2OUT)-(c_TMAP1OUT))&gt;=0,1,-1)*QUOTIENT(((c_TMAP2IN)-(c_TMAP1IN)),2)))&lt;0,-1,0),IF(IF(o_WRAP=1,MOD(((c_TMAP2IN)-(c_TMAP1IN))*(((A144)-(c_TMAP1IN))*((c_TMAP2OUT)-(c_TMAP1OUT))+IF(((c_TMAP2OUT)-(c_TMAP1OUT))&gt;=0,1,-1)*QUOTIENT(((c_TMAP2IN)-(c_TMAP1IN)),2))+2147483648,4294967296)-2147483648,((c_TMAP2IN)-(c_TMAP1IN))*(((A144)-(c_TMAP1IN))*((c_TMAP2OUT)-(c_TMAP1OUT))+IF(((c_TMAP2OUT)-(c_TMAP1OUT))&gt;=0,1,-1)*QUOTIENT(((c_TMAP2IN)-(c_TMAP1IN)),2)))&gt;=0,1,0)))</f>
        <v>86</v>
      </c>
      <c r="F144" s="7" t="n">
        <f aca="false">IF(((c_TMAP3IN)-(c_TMAP2IN))=0,(c_TMAP2OUT)+QUOTIENT(((c_TMAP3OUT)-(c_TMAP2OUT)),2),QUOTIENT((((A144)-(c_TMAP2IN))*((c_TMAP3OUT)-(c_TMAP2OUT))+IF(((c_TMAP3OUT)-(c_TMAP2OUT))&gt;=0,1,-1)*QUOTIENT(((c_TMAP3IN)-(c_TMAP2IN)),2)),((c_TMAP3IN)-(c_TMAP2IN)))+(c_TMAP2OUT)+IF(((c_TMAP3OUT)-(c_TMAP2OUT))&gt;=0,IF(IF(o_WRAP=1,MOD(((c_TMAP3IN)-(c_TMAP2IN))*(((A144)-(c_TMAP2IN))*((c_TMAP3OUT)-(c_TMAP2OUT))+IF(((c_TMAP3OUT)-(c_TMAP2OUT))&gt;=0,1,-1)*QUOTIENT(((c_TMAP3IN)-(c_TMAP2IN)),2))+2147483648,4294967296)-2147483648,((c_TMAP3IN)-(c_TMAP2IN))*(((A144)-(c_TMAP2IN))*((c_TMAP3OUT)-(c_TMAP2OUT))+IF(((c_TMAP3OUT)-(c_TMAP2OUT))&gt;=0,1,-1)*QUOTIENT(((c_TMAP3IN)-(c_TMAP2IN)),2)))&lt;0,-1,0),IF(IF(o_WRAP=1,MOD(((c_TMAP3IN)-(c_TMAP2IN))*(((A144)-(c_TMAP2IN))*((c_TMAP3OUT)-(c_TMAP2OUT))+IF(((c_TMAP3OUT)-(c_TMAP2OUT))&gt;=0,1,-1)*QUOTIENT(((c_TMAP3IN)-(c_TMAP2IN)),2))+2147483648,4294967296)-2147483648,((c_TMAP3IN)-(c_TMAP2IN))*(((A144)-(c_TMAP2IN))*((c_TMAP3OUT)-(c_TMAP2OUT))+IF(((c_TMAP3OUT)-(c_TMAP2OUT))&gt;=0,1,-1)*QUOTIENT(((c_TMAP3IN)-(c_TMAP2IN)),2)))&gt;=0,1,0)))</f>
        <v>52</v>
      </c>
      <c r="G144" s="7" t="n">
        <f aca="false">IF(((1000)-(c_TMAP3IN))=0,(c_TMAP3OUT)+QUOTIENT(((1000)-(c_TMAP3OUT)),2),QUOTIENT((((A144)-(c_TMAP3IN))*((1000)-(c_TMAP3OUT))+IF(((1000)-(c_TMAP3OUT))&gt;=0,1,-1)*QUOTIENT(((1000)-(c_TMAP3IN)),2)),((1000)-(c_TMAP3IN)))+(c_TMAP3OUT)+IF(((1000)-(c_TMAP3OUT))&gt;=0,IF(IF(o_WRAP=1,MOD(((1000)-(c_TMAP3IN))*(((A144)-(c_TMAP3IN))*((1000)-(c_TMAP3OUT))+IF(((1000)-(c_TMAP3OUT))&gt;=0,1,-1)*QUOTIENT(((1000)-(c_TMAP3IN)),2))+2147483648,4294967296)-2147483648,((1000)-(c_TMAP3IN))*(((A144)-(c_TMAP3IN))*((1000)-(c_TMAP3OUT))+IF(((1000)-(c_TMAP3OUT))&gt;=0,1,-1)*QUOTIENT(((1000)-(c_TMAP3IN)),2)))&lt;0,-1,0),IF(IF(o_WRAP=1,MOD(((1000)-(c_TMAP3IN))*(((A144)-(c_TMAP3IN))*((1000)-(c_TMAP3OUT))+IF(((1000)-(c_TMAP3OUT))&gt;=0,1,-1)*QUOTIENT(((1000)-(c_TMAP3IN)),2))+2147483648,4294967296)-2147483648,((1000)-(c_TMAP3IN))*(((A144)-(c_TMAP3IN))*((1000)-(c_TMAP3OUT))+IF(((1000)-(c_TMAP3OUT))&gt;=0,1,-1)*QUOTIENT(((1000)-(c_TMAP3IN)),2)))&gt;=0,1,0)))</f>
        <v>-60</v>
      </c>
      <c r="H144" s="7" t="str">
        <f aca="false">IF(A144&gt;=c_TFWD,IF(AND(A144&gt;=c_TMAP3IN,c_TMAP3IN&lt;1000),"Seg4 map3-100%",IF(AND(A144&gt;=c_TMAP2IN,c_TMAP3IN&gt;c_TMAP2IN),"Seg3 map2-map3",IF(AND(A144&gt;=c_TMAP1IN,c_TMAP2IN&gt;c_TMAP1IN),"Seg2 map1-map2","Seg1 TFWD-map1"))),IF(AND(A144=0,c_TCREEP&gt;0),"Creep",IF(AND(A144&lt;=c_TRNGMIN,A144&gt;=c_TRNGMAX,c_TRNGMIN-c_TRNGMAX&lt;&gt;0),"Regen ramp","Coast (0)")))</f>
        <v>Seg2 map1-map2</v>
      </c>
      <c r="I144" s="7" t="n">
        <f aca="false">IF(A144&gt;=c_TFWD,IF(AND(A144&gt;=c_TMAP3IN,c_TMAP3IN&lt;1000),G144,IF(AND(A144&gt;=c_TMAP2IN,c_TMAP3IN&gt;c_TMAP2IN),F144,IF(AND(A144&gt;=c_TMAP1IN,c_TMAP2IN&gt;c_TMAP1IN),E144,D144))),C144)</f>
        <v>86</v>
      </c>
      <c r="J144" s="7" t="str">
        <f aca="false">IF(I144&lt;-1090,"TOO LOW",IF(I144&gt;1090,"TOO HIGH",""))</f>
        <v/>
      </c>
      <c r="K144" s="15" t="n">
        <f aca="false">IF(J144&lt;&gt;"",0,IF(I144&gt;979,1000,I144))</f>
        <v>86</v>
      </c>
      <c r="L144" s="7" t="n">
        <f aca="false">K144/10</f>
        <v>8.6</v>
      </c>
    </row>
    <row r="145" customFormat="false" ht="15" hidden="false" customHeight="false" outlineLevel="0" collapsed="false">
      <c r="A145" s="7" t="n">
        <v>140</v>
      </c>
      <c r="B145" s="7" t="n">
        <f aca="false">A145/10</f>
        <v>14</v>
      </c>
      <c r="C145" s="7" t="n">
        <f aca="false">IF(AND(A145=0,c_TCREEP&gt;0),10*c_TCREEP,IF(AND(A145&lt;=c_TRNGMIN,A145&gt;=c_TRNGMAX,c_TRNGMIN-c_TRNGMAX&lt;&gt;0),-10*c_TMINRN+QUOTIENT((c_TMAXRN-c_TMINRN)*(100-QUOTIENT((A145-c_TRNGMAX)*100,c_TRNGMIN-c_TRNGMAX)),-10),0))</f>
        <v>0</v>
      </c>
      <c r="D145" s="7" t="n">
        <f aca="false">IF(((c_TMAP1IN)-(c_TFWD))=0,(0)+QUOTIENT(((c_TMAP1OUT)-(0)),2),QUOTIENT((((A145)-(c_TFWD))*((c_TMAP1OUT)-(0))+IF(((c_TMAP1OUT)-(0))&gt;=0,1,-1)*QUOTIENT(((c_TMAP1IN)-(c_TFWD)),2)),((c_TMAP1IN)-(c_TFWD)))+(0)+IF(((c_TMAP1OUT)-(0))&gt;=0,IF(IF(o_WRAP=1,MOD(((c_TMAP1IN)-(c_TFWD))*(((A145)-(c_TFWD))*((c_TMAP1OUT)-(0))+IF(((c_TMAP1OUT)-(0))&gt;=0,1,-1)*QUOTIENT(((c_TMAP1IN)-(c_TFWD)),2))+2147483648,4294967296)-2147483648,((c_TMAP1IN)-(c_TFWD))*(((A145)-(c_TFWD))*((c_TMAP1OUT)-(0))+IF(((c_TMAP1OUT)-(0))&gt;=0,1,-1)*QUOTIENT(((c_TMAP1IN)-(c_TFWD)),2)))&lt;0,-1,0),IF(IF(o_WRAP=1,MOD(((c_TMAP1IN)-(c_TFWD))*(((A145)-(c_TFWD))*((c_TMAP1OUT)-(0))+IF(((c_TMAP1OUT)-(0))&gt;=0,1,-1)*QUOTIENT(((c_TMAP1IN)-(c_TFWD)),2))+2147483648,4294967296)-2147483648,((c_TMAP1IN)-(c_TFWD))*(((A145)-(c_TFWD))*((c_TMAP1OUT)-(0))+IF(((c_TMAP1OUT)-(0))&gt;=0,1,-1)*QUOTIENT(((c_TMAP1IN)-(c_TFWD)),2)))&gt;=0,1,0)))</f>
        <v>101</v>
      </c>
      <c r="E145" s="7" t="n">
        <f aca="false">IF(((c_TMAP2IN)-(c_TMAP1IN))=0,(c_TMAP1OUT)+QUOTIENT(((c_TMAP2OUT)-(c_TMAP1OUT)),2),QUOTIENT((((A145)-(c_TMAP1IN))*((c_TMAP2OUT)-(c_TMAP1OUT))+IF(((c_TMAP2OUT)-(c_TMAP1OUT))&gt;=0,1,-1)*QUOTIENT(((c_TMAP2IN)-(c_TMAP1IN)),2)),((c_TMAP2IN)-(c_TMAP1IN)))+(c_TMAP1OUT)+IF(((c_TMAP2OUT)-(c_TMAP1OUT))&gt;=0,IF(IF(o_WRAP=1,MOD(((c_TMAP2IN)-(c_TMAP1IN))*(((A145)-(c_TMAP1IN))*((c_TMAP2OUT)-(c_TMAP1OUT))+IF(((c_TMAP2OUT)-(c_TMAP1OUT))&gt;=0,1,-1)*QUOTIENT(((c_TMAP2IN)-(c_TMAP1IN)),2))+2147483648,4294967296)-2147483648,((c_TMAP2IN)-(c_TMAP1IN))*(((A145)-(c_TMAP1IN))*((c_TMAP2OUT)-(c_TMAP1OUT))+IF(((c_TMAP2OUT)-(c_TMAP1OUT))&gt;=0,1,-1)*QUOTIENT(((c_TMAP2IN)-(c_TMAP1IN)),2)))&lt;0,-1,0),IF(IF(o_WRAP=1,MOD(((c_TMAP2IN)-(c_TMAP1IN))*(((A145)-(c_TMAP1IN))*((c_TMAP2OUT)-(c_TMAP1OUT))+IF(((c_TMAP2OUT)-(c_TMAP1OUT))&gt;=0,1,-1)*QUOTIENT(((c_TMAP2IN)-(c_TMAP1IN)),2))+2147483648,4294967296)-2147483648,((c_TMAP2IN)-(c_TMAP1IN))*(((A145)-(c_TMAP1IN))*((c_TMAP2OUT)-(c_TMAP1OUT))+IF(((c_TMAP2OUT)-(c_TMAP1OUT))&gt;=0,1,-1)*QUOTIENT(((c_TMAP2IN)-(c_TMAP1IN)),2)))&gt;=0,1,0)))</f>
        <v>86</v>
      </c>
      <c r="F145" s="7" t="n">
        <f aca="false">IF(((c_TMAP3IN)-(c_TMAP2IN))=0,(c_TMAP2OUT)+QUOTIENT(((c_TMAP3OUT)-(c_TMAP2OUT)),2),QUOTIENT((((A145)-(c_TMAP2IN))*((c_TMAP3OUT)-(c_TMAP2OUT))+IF(((c_TMAP3OUT)-(c_TMAP2OUT))&gt;=0,1,-1)*QUOTIENT(((c_TMAP3IN)-(c_TMAP2IN)),2)),((c_TMAP3IN)-(c_TMAP2IN)))+(c_TMAP2OUT)+IF(((c_TMAP3OUT)-(c_TMAP2OUT))&gt;=0,IF(IF(o_WRAP=1,MOD(((c_TMAP3IN)-(c_TMAP2IN))*(((A145)-(c_TMAP2IN))*((c_TMAP3OUT)-(c_TMAP2OUT))+IF(((c_TMAP3OUT)-(c_TMAP2OUT))&gt;=0,1,-1)*QUOTIENT(((c_TMAP3IN)-(c_TMAP2IN)),2))+2147483648,4294967296)-2147483648,((c_TMAP3IN)-(c_TMAP2IN))*(((A145)-(c_TMAP2IN))*((c_TMAP3OUT)-(c_TMAP2OUT))+IF(((c_TMAP3OUT)-(c_TMAP2OUT))&gt;=0,1,-1)*QUOTIENT(((c_TMAP3IN)-(c_TMAP2IN)),2)))&lt;0,-1,0),IF(IF(o_WRAP=1,MOD(((c_TMAP3IN)-(c_TMAP2IN))*(((A145)-(c_TMAP2IN))*((c_TMAP3OUT)-(c_TMAP2OUT))+IF(((c_TMAP3OUT)-(c_TMAP2OUT))&gt;=0,1,-1)*QUOTIENT(((c_TMAP3IN)-(c_TMAP2IN)),2))+2147483648,4294967296)-2147483648,((c_TMAP3IN)-(c_TMAP2IN))*(((A145)-(c_TMAP2IN))*((c_TMAP3OUT)-(c_TMAP2OUT))+IF(((c_TMAP3OUT)-(c_TMAP2OUT))&gt;=0,1,-1)*QUOTIENT(((c_TMAP3IN)-(c_TMAP2IN)),2)))&gt;=0,1,0)))</f>
        <v>53</v>
      </c>
      <c r="G145" s="7" t="n">
        <f aca="false">IF(((1000)-(c_TMAP3IN))=0,(c_TMAP3OUT)+QUOTIENT(((1000)-(c_TMAP3OUT)),2),QUOTIENT((((A145)-(c_TMAP3IN))*((1000)-(c_TMAP3OUT))+IF(((1000)-(c_TMAP3OUT))&gt;=0,1,-1)*QUOTIENT(((1000)-(c_TMAP3IN)),2)),((1000)-(c_TMAP3IN)))+(c_TMAP3OUT)+IF(((1000)-(c_TMAP3OUT))&gt;=0,IF(IF(o_WRAP=1,MOD(((1000)-(c_TMAP3IN))*(((A145)-(c_TMAP3IN))*((1000)-(c_TMAP3OUT))+IF(((1000)-(c_TMAP3OUT))&gt;=0,1,-1)*QUOTIENT(((1000)-(c_TMAP3IN)),2))+2147483648,4294967296)-2147483648,((1000)-(c_TMAP3IN))*(((A145)-(c_TMAP3IN))*((1000)-(c_TMAP3OUT))+IF(((1000)-(c_TMAP3OUT))&gt;=0,1,-1)*QUOTIENT(((1000)-(c_TMAP3IN)),2)))&lt;0,-1,0),IF(IF(o_WRAP=1,MOD(((1000)-(c_TMAP3IN))*(((A145)-(c_TMAP3IN))*((1000)-(c_TMAP3OUT))+IF(((1000)-(c_TMAP3OUT))&gt;=0,1,-1)*QUOTIENT(((1000)-(c_TMAP3IN)),2))+2147483648,4294967296)-2147483648,((1000)-(c_TMAP3IN))*(((A145)-(c_TMAP3IN))*((1000)-(c_TMAP3OUT))+IF(((1000)-(c_TMAP3OUT))&gt;=0,1,-1)*QUOTIENT(((1000)-(c_TMAP3IN)),2)))&gt;=0,1,0)))</f>
        <v>-58</v>
      </c>
      <c r="H145" s="7" t="str">
        <f aca="false">IF(A145&gt;=c_TFWD,IF(AND(A145&gt;=c_TMAP3IN,c_TMAP3IN&lt;1000),"Seg4 map3-100%",IF(AND(A145&gt;=c_TMAP2IN,c_TMAP3IN&gt;c_TMAP2IN),"Seg3 map2-map3",IF(AND(A145&gt;=c_TMAP1IN,c_TMAP2IN&gt;c_TMAP1IN),"Seg2 map1-map2","Seg1 TFWD-map1"))),IF(AND(A145=0,c_TCREEP&gt;0),"Creep",IF(AND(A145&lt;=c_TRNGMIN,A145&gt;=c_TRNGMAX,c_TRNGMIN-c_TRNGMAX&lt;&gt;0),"Regen ramp","Coast (0)")))</f>
        <v>Seg2 map1-map2</v>
      </c>
      <c r="I145" s="7" t="n">
        <f aca="false">IF(A145&gt;=c_TFWD,IF(AND(A145&gt;=c_TMAP3IN,c_TMAP3IN&lt;1000),G145,IF(AND(A145&gt;=c_TMAP2IN,c_TMAP3IN&gt;c_TMAP2IN),F145,IF(AND(A145&gt;=c_TMAP1IN,c_TMAP2IN&gt;c_TMAP1IN),E145,D145))),C145)</f>
        <v>86</v>
      </c>
      <c r="J145" s="7" t="str">
        <f aca="false">IF(I145&lt;-1090,"TOO LOW",IF(I145&gt;1090,"TOO HIGH",""))</f>
        <v/>
      </c>
      <c r="K145" s="15" t="n">
        <f aca="false">IF(J145&lt;&gt;"",0,IF(I145&gt;979,1000,I145))</f>
        <v>86</v>
      </c>
      <c r="L145" s="7" t="n">
        <f aca="false">K145/10</f>
        <v>8.6</v>
      </c>
    </row>
    <row r="146" customFormat="false" ht="15" hidden="false" customHeight="false" outlineLevel="0" collapsed="false">
      <c r="A146" s="7" t="n">
        <v>141</v>
      </c>
      <c r="B146" s="7" t="n">
        <f aca="false">A146/10</f>
        <v>14.1</v>
      </c>
      <c r="C146" s="7" t="n">
        <f aca="false">IF(AND(A146=0,c_TCREEP&gt;0),10*c_TCREEP,IF(AND(A146&lt;=c_TRNGMIN,A146&gt;=c_TRNGMAX,c_TRNGMIN-c_TRNGMAX&lt;&gt;0),-10*c_TMINRN+QUOTIENT((c_TMAXRN-c_TMINRN)*(100-QUOTIENT((A146-c_TRNGMAX)*100,c_TRNGMIN-c_TRNGMAX)),-10),0))</f>
        <v>0</v>
      </c>
      <c r="D146" s="7" t="n">
        <f aca="false">IF(((c_TMAP1IN)-(c_TFWD))=0,(0)+QUOTIENT(((c_TMAP1OUT)-(0)),2),QUOTIENT((((A146)-(c_TFWD))*((c_TMAP1OUT)-(0))+IF(((c_TMAP1OUT)-(0))&gt;=0,1,-1)*QUOTIENT(((c_TMAP1IN)-(c_TFWD)),2)),((c_TMAP1IN)-(c_TFWD)))+(0)+IF(((c_TMAP1OUT)-(0))&gt;=0,IF(IF(o_WRAP=1,MOD(((c_TMAP1IN)-(c_TFWD))*(((A146)-(c_TFWD))*((c_TMAP1OUT)-(0))+IF(((c_TMAP1OUT)-(0))&gt;=0,1,-1)*QUOTIENT(((c_TMAP1IN)-(c_TFWD)),2))+2147483648,4294967296)-2147483648,((c_TMAP1IN)-(c_TFWD))*(((A146)-(c_TFWD))*((c_TMAP1OUT)-(0))+IF(((c_TMAP1OUT)-(0))&gt;=0,1,-1)*QUOTIENT(((c_TMAP1IN)-(c_TFWD)),2)))&lt;0,-1,0),IF(IF(o_WRAP=1,MOD(((c_TMAP1IN)-(c_TFWD))*(((A146)-(c_TFWD))*((c_TMAP1OUT)-(0))+IF(((c_TMAP1OUT)-(0))&gt;=0,1,-1)*QUOTIENT(((c_TMAP1IN)-(c_TFWD)),2))+2147483648,4294967296)-2147483648,((c_TMAP1IN)-(c_TFWD))*(((A146)-(c_TFWD))*((c_TMAP1OUT)-(0))+IF(((c_TMAP1OUT)-(0))&gt;=0,1,-1)*QUOTIENT(((c_TMAP1IN)-(c_TFWD)),2)))&gt;=0,1,0)))</f>
        <v>102</v>
      </c>
      <c r="E146" s="7" t="n">
        <f aca="false">IF(((c_TMAP2IN)-(c_TMAP1IN))=0,(c_TMAP1OUT)+QUOTIENT(((c_TMAP2OUT)-(c_TMAP1OUT)),2),QUOTIENT((((A146)-(c_TMAP1IN))*((c_TMAP2OUT)-(c_TMAP1OUT))+IF(((c_TMAP2OUT)-(c_TMAP1OUT))&gt;=0,1,-1)*QUOTIENT(((c_TMAP2IN)-(c_TMAP1IN)),2)),((c_TMAP2IN)-(c_TMAP1IN)))+(c_TMAP1OUT)+IF(((c_TMAP2OUT)-(c_TMAP1OUT))&gt;=0,IF(IF(o_WRAP=1,MOD(((c_TMAP2IN)-(c_TMAP1IN))*(((A146)-(c_TMAP1IN))*((c_TMAP2OUT)-(c_TMAP1OUT))+IF(((c_TMAP2OUT)-(c_TMAP1OUT))&gt;=0,1,-1)*QUOTIENT(((c_TMAP2IN)-(c_TMAP1IN)),2))+2147483648,4294967296)-2147483648,((c_TMAP2IN)-(c_TMAP1IN))*(((A146)-(c_TMAP1IN))*((c_TMAP2OUT)-(c_TMAP1OUT))+IF(((c_TMAP2OUT)-(c_TMAP1OUT))&gt;=0,1,-1)*QUOTIENT(((c_TMAP2IN)-(c_TMAP1IN)),2)))&lt;0,-1,0),IF(IF(o_WRAP=1,MOD(((c_TMAP2IN)-(c_TMAP1IN))*(((A146)-(c_TMAP1IN))*((c_TMAP2OUT)-(c_TMAP1OUT))+IF(((c_TMAP2OUT)-(c_TMAP1OUT))&gt;=0,1,-1)*QUOTIENT(((c_TMAP2IN)-(c_TMAP1IN)),2))+2147483648,4294967296)-2147483648,((c_TMAP2IN)-(c_TMAP1IN))*(((A146)-(c_TMAP1IN))*((c_TMAP2OUT)-(c_TMAP1OUT))+IF(((c_TMAP2OUT)-(c_TMAP1OUT))&gt;=0,1,-1)*QUOTIENT(((c_TMAP2IN)-(c_TMAP1IN)),2)))&gt;=0,1,0)))</f>
        <v>86</v>
      </c>
      <c r="F146" s="7" t="n">
        <f aca="false">IF(((c_TMAP3IN)-(c_TMAP2IN))=0,(c_TMAP2OUT)+QUOTIENT(((c_TMAP3OUT)-(c_TMAP2OUT)),2),QUOTIENT((((A146)-(c_TMAP2IN))*((c_TMAP3OUT)-(c_TMAP2OUT))+IF(((c_TMAP3OUT)-(c_TMAP2OUT))&gt;=0,1,-1)*QUOTIENT(((c_TMAP3IN)-(c_TMAP2IN)),2)),((c_TMAP3IN)-(c_TMAP2IN)))+(c_TMAP2OUT)+IF(((c_TMAP3OUT)-(c_TMAP2OUT))&gt;=0,IF(IF(o_WRAP=1,MOD(((c_TMAP3IN)-(c_TMAP2IN))*(((A146)-(c_TMAP2IN))*((c_TMAP3OUT)-(c_TMAP2OUT))+IF(((c_TMAP3OUT)-(c_TMAP2OUT))&gt;=0,1,-1)*QUOTIENT(((c_TMAP3IN)-(c_TMAP2IN)),2))+2147483648,4294967296)-2147483648,((c_TMAP3IN)-(c_TMAP2IN))*(((A146)-(c_TMAP2IN))*((c_TMAP3OUT)-(c_TMAP2OUT))+IF(((c_TMAP3OUT)-(c_TMAP2OUT))&gt;=0,1,-1)*QUOTIENT(((c_TMAP3IN)-(c_TMAP2IN)),2)))&lt;0,-1,0),IF(IF(o_WRAP=1,MOD(((c_TMAP3IN)-(c_TMAP2IN))*(((A146)-(c_TMAP2IN))*((c_TMAP3OUT)-(c_TMAP2OUT))+IF(((c_TMAP3OUT)-(c_TMAP2OUT))&gt;=0,1,-1)*QUOTIENT(((c_TMAP3IN)-(c_TMAP2IN)),2))+2147483648,4294967296)-2147483648,((c_TMAP3IN)-(c_TMAP2IN))*(((A146)-(c_TMAP2IN))*((c_TMAP3OUT)-(c_TMAP2OUT))+IF(((c_TMAP3OUT)-(c_TMAP2OUT))&gt;=0,1,-1)*QUOTIENT(((c_TMAP3IN)-(c_TMAP2IN)),2)))&gt;=0,1,0)))</f>
        <v>54</v>
      </c>
      <c r="G146" s="7" t="n">
        <f aca="false">IF(((1000)-(c_TMAP3IN))=0,(c_TMAP3OUT)+QUOTIENT(((1000)-(c_TMAP3OUT)),2),QUOTIENT((((A146)-(c_TMAP3IN))*((1000)-(c_TMAP3OUT))+IF(((1000)-(c_TMAP3OUT))&gt;=0,1,-1)*QUOTIENT(((1000)-(c_TMAP3IN)),2)),((1000)-(c_TMAP3IN)))+(c_TMAP3OUT)+IF(((1000)-(c_TMAP3OUT))&gt;=0,IF(IF(o_WRAP=1,MOD(((1000)-(c_TMAP3IN))*(((A146)-(c_TMAP3IN))*((1000)-(c_TMAP3OUT))+IF(((1000)-(c_TMAP3OUT))&gt;=0,1,-1)*QUOTIENT(((1000)-(c_TMAP3IN)),2))+2147483648,4294967296)-2147483648,((1000)-(c_TMAP3IN))*(((A146)-(c_TMAP3IN))*((1000)-(c_TMAP3OUT))+IF(((1000)-(c_TMAP3OUT))&gt;=0,1,-1)*QUOTIENT(((1000)-(c_TMAP3IN)),2)))&lt;0,-1,0),IF(IF(o_WRAP=1,MOD(((1000)-(c_TMAP3IN))*(((A146)-(c_TMAP3IN))*((1000)-(c_TMAP3OUT))+IF(((1000)-(c_TMAP3OUT))&gt;=0,1,-1)*QUOTIENT(((1000)-(c_TMAP3IN)),2))+2147483648,4294967296)-2147483648,((1000)-(c_TMAP3IN))*(((A146)-(c_TMAP3IN))*((1000)-(c_TMAP3OUT))+IF(((1000)-(c_TMAP3OUT))&gt;=0,1,-1)*QUOTIENT(((1000)-(c_TMAP3IN)),2)))&gt;=0,1,0)))</f>
        <v>-57</v>
      </c>
      <c r="H146" s="7" t="str">
        <f aca="false">IF(A146&gt;=c_TFWD,IF(AND(A146&gt;=c_TMAP3IN,c_TMAP3IN&lt;1000),"Seg4 map3-100%",IF(AND(A146&gt;=c_TMAP2IN,c_TMAP3IN&gt;c_TMAP2IN),"Seg3 map2-map3",IF(AND(A146&gt;=c_TMAP1IN,c_TMAP2IN&gt;c_TMAP1IN),"Seg2 map1-map2","Seg1 TFWD-map1"))),IF(AND(A146=0,c_TCREEP&gt;0),"Creep",IF(AND(A146&lt;=c_TRNGMIN,A146&gt;=c_TRNGMAX,c_TRNGMIN-c_TRNGMAX&lt;&gt;0),"Regen ramp","Coast (0)")))</f>
        <v>Seg2 map1-map2</v>
      </c>
      <c r="I146" s="7" t="n">
        <f aca="false">IF(A146&gt;=c_TFWD,IF(AND(A146&gt;=c_TMAP3IN,c_TMAP3IN&lt;1000),G146,IF(AND(A146&gt;=c_TMAP2IN,c_TMAP3IN&gt;c_TMAP2IN),F146,IF(AND(A146&gt;=c_TMAP1IN,c_TMAP2IN&gt;c_TMAP1IN),E146,D146))),C146)</f>
        <v>86</v>
      </c>
      <c r="J146" s="7" t="str">
        <f aca="false">IF(I146&lt;-1090,"TOO LOW",IF(I146&gt;1090,"TOO HIGH",""))</f>
        <v/>
      </c>
      <c r="K146" s="15" t="n">
        <f aca="false">IF(J146&lt;&gt;"",0,IF(I146&gt;979,1000,I146))</f>
        <v>86</v>
      </c>
      <c r="L146" s="7" t="n">
        <f aca="false">K146/10</f>
        <v>8.6</v>
      </c>
    </row>
    <row r="147" customFormat="false" ht="15" hidden="false" customHeight="false" outlineLevel="0" collapsed="false">
      <c r="A147" s="7" t="n">
        <v>142</v>
      </c>
      <c r="B147" s="7" t="n">
        <f aca="false">A147/10</f>
        <v>14.2</v>
      </c>
      <c r="C147" s="7" t="n">
        <f aca="false">IF(AND(A147=0,c_TCREEP&gt;0),10*c_TCREEP,IF(AND(A147&lt;=c_TRNGMIN,A147&gt;=c_TRNGMAX,c_TRNGMIN-c_TRNGMAX&lt;&gt;0),-10*c_TMINRN+QUOTIENT((c_TMAXRN-c_TMINRN)*(100-QUOTIENT((A147-c_TRNGMAX)*100,c_TRNGMIN-c_TRNGMAX)),-10),0))</f>
        <v>0</v>
      </c>
      <c r="D147" s="7" t="n">
        <f aca="false">IF(((c_TMAP1IN)-(c_TFWD))=0,(0)+QUOTIENT(((c_TMAP1OUT)-(0)),2),QUOTIENT((((A147)-(c_TFWD))*((c_TMAP1OUT)-(0))+IF(((c_TMAP1OUT)-(0))&gt;=0,1,-1)*QUOTIENT(((c_TMAP1IN)-(c_TFWD)),2)),((c_TMAP1IN)-(c_TFWD)))+(0)+IF(((c_TMAP1OUT)-(0))&gt;=0,IF(IF(o_WRAP=1,MOD(((c_TMAP1IN)-(c_TFWD))*(((A147)-(c_TFWD))*((c_TMAP1OUT)-(0))+IF(((c_TMAP1OUT)-(0))&gt;=0,1,-1)*QUOTIENT(((c_TMAP1IN)-(c_TFWD)),2))+2147483648,4294967296)-2147483648,((c_TMAP1IN)-(c_TFWD))*(((A147)-(c_TFWD))*((c_TMAP1OUT)-(0))+IF(((c_TMAP1OUT)-(0))&gt;=0,1,-1)*QUOTIENT(((c_TMAP1IN)-(c_TFWD)),2)))&lt;0,-1,0),IF(IF(o_WRAP=1,MOD(((c_TMAP1IN)-(c_TFWD))*(((A147)-(c_TFWD))*((c_TMAP1OUT)-(0))+IF(((c_TMAP1OUT)-(0))&gt;=0,1,-1)*QUOTIENT(((c_TMAP1IN)-(c_TFWD)),2))+2147483648,4294967296)-2147483648,((c_TMAP1IN)-(c_TFWD))*(((A147)-(c_TFWD))*((c_TMAP1OUT)-(0))+IF(((c_TMAP1OUT)-(0))&gt;=0,1,-1)*QUOTIENT(((c_TMAP1IN)-(c_TFWD)),2)))&gt;=0,1,0)))</f>
        <v>103</v>
      </c>
      <c r="E147" s="7" t="n">
        <f aca="false">IF(((c_TMAP2IN)-(c_TMAP1IN))=0,(c_TMAP1OUT)+QUOTIENT(((c_TMAP2OUT)-(c_TMAP1OUT)),2),QUOTIENT((((A147)-(c_TMAP1IN))*((c_TMAP2OUT)-(c_TMAP1OUT))+IF(((c_TMAP2OUT)-(c_TMAP1OUT))&gt;=0,1,-1)*QUOTIENT(((c_TMAP2IN)-(c_TMAP1IN)),2)),((c_TMAP2IN)-(c_TMAP1IN)))+(c_TMAP1OUT)+IF(((c_TMAP2OUT)-(c_TMAP1OUT))&gt;=0,IF(IF(o_WRAP=1,MOD(((c_TMAP2IN)-(c_TMAP1IN))*(((A147)-(c_TMAP1IN))*((c_TMAP2OUT)-(c_TMAP1OUT))+IF(((c_TMAP2OUT)-(c_TMAP1OUT))&gt;=0,1,-1)*QUOTIENT(((c_TMAP2IN)-(c_TMAP1IN)),2))+2147483648,4294967296)-2147483648,((c_TMAP2IN)-(c_TMAP1IN))*(((A147)-(c_TMAP1IN))*((c_TMAP2OUT)-(c_TMAP1OUT))+IF(((c_TMAP2OUT)-(c_TMAP1OUT))&gt;=0,1,-1)*QUOTIENT(((c_TMAP2IN)-(c_TMAP1IN)),2)))&lt;0,-1,0),IF(IF(o_WRAP=1,MOD(((c_TMAP2IN)-(c_TMAP1IN))*(((A147)-(c_TMAP1IN))*((c_TMAP2OUT)-(c_TMAP1OUT))+IF(((c_TMAP2OUT)-(c_TMAP1OUT))&gt;=0,1,-1)*QUOTIENT(((c_TMAP2IN)-(c_TMAP1IN)),2))+2147483648,4294967296)-2147483648,((c_TMAP2IN)-(c_TMAP1IN))*(((A147)-(c_TMAP1IN))*((c_TMAP2OUT)-(c_TMAP1OUT))+IF(((c_TMAP2OUT)-(c_TMAP1OUT))&gt;=0,1,-1)*QUOTIENT(((c_TMAP2IN)-(c_TMAP1IN)),2)))&gt;=0,1,0)))</f>
        <v>87</v>
      </c>
      <c r="F147" s="7" t="n">
        <f aca="false">IF(((c_TMAP3IN)-(c_TMAP2IN))=0,(c_TMAP2OUT)+QUOTIENT(((c_TMAP3OUT)-(c_TMAP2OUT)),2),QUOTIENT((((A147)-(c_TMAP2IN))*((c_TMAP3OUT)-(c_TMAP2OUT))+IF(((c_TMAP3OUT)-(c_TMAP2OUT))&gt;=0,1,-1)*QUOTIENT(((c_TMAP3IN)-(c_TMAP2IN)),2)),((c_TMAP3IN)-(c_TMAP2IN)))+(c_TMAP2OUT)+IF(((c_TMAP3OUT)-(c_TMAP2OUT))&gt;=0,IF(IF(o_WRAP=1,MOD(((c_TMAP3IN)-(c_TMAP2IN))*(((A147)-(c_TMAP2IN))*((c_TMAP3OUT)-(c_TMAP2OUT))+IF(((c_TMAP3OUT)-(c_TMAP2OUT))&gt;=0,1,-1)*QUOTIENT(((c_TMAP3IN)-(c_TMAP2IN)),2))+2147483648,4294967296)-2147483648,((c_TMAP3IN)-(c_TMAP2IN))*(((A147)-(c_TMAP2IN))*((c_TMAP3OUT)-(c_TMAP2OUT))+IF(((c_TMAP3OUT)-(c_TMAP2OUT))&gt;=0,1,-1)*QUOTIENT(((c_TMAP3IN)-(c_TMAP2IN)),2)))&lt;0,-1,0),IF(IF(o_WRAP=1,MOD(((c_TMAP3IN)-(c_TMAP2IN))*(((A147)-(c_TMAP2IN))*((c_TMAP3OUT)-(c_TMAP2OUT))+IF(((c_TMAP3OUT)-(c_TMAP2OUT))&gt;=0,1,-1)*QUOTIENT(((c_TMAP3IN)-(c_TMAP2IN)),2))+2147483648,4294967296)-2147483648,((c_TMAP3IN)-(c_TMAP2IN))*(((A147)-(c_TMAP2IN))*((c_TMAP3OUT)-(c_TMAP2OUT))+IF(((c_TMAP3OUT)-(c_TMAP2OUT))&gt;=0,1,-1)*QUOTIENT(((c_TMAP3IN)-(c_TMAP2IN)),2)))&gt;=0,1,0)))</f>
        <v>54</v>
      </c>
      <c r="G147" s="7" t="n">
        <f aca="false">IF(((1000)-(c_TMAP3IN))=0,(c_TMAP3OUT)+QUOTIENT(((1000)-(c_TMAP3OUT)),2),QUOTIENT((((A147)-(c_TMAP3IN))*((1000)-(c_TMAP3OUT))+IF(((1000)-(c_TMAP3OUT))&gt;=0,1,-1)*QUOTIENT(((1000)-(c_TMAP3IN)),2)),((1000)-(c_TMAP3IN)))+(c_TMAP3OUT)+IF(((1000)-(c_TMAP3OUT))&gt;=0,IF(IF(o_WRAP=1,MOD(((1000)-(c_TMAP3IN))*(((A147)-(c_TMAP3IN))*((1000)-(c_TMAP3OUT))+IF(((1000)-(c_TMAP3OUT))&gt;=0,1,-1)*QUOTIENT(((1000)-(c_TMAP3IN)),2))+2147483648,4294967296)-2147483648,((1000)-(c_TMAP3IN))*(((A147)-(c_TMAP3IN))*((1000)-(c_TMAP3OUT))+IF(((1000)-(c_TMAP3OUT))&gt;=0,1,-1)*QUOTIENT(((1000)-(c_TMAP3IN)),2)))&lt;0,-1,0),IF(IF(o_WRAP=1,MOD(((1000)-(c_TMAP3IN))*(((A147)-(c_TMAP3IN))*((1000)-(c_TMAP3OUT))+IF(((1000)-(c_TMAP3OUT))&gt;=0,1,-1)*QUOTIENT(((1000)-(c_TMAP3IN)),2))+2147483648,4294967296)-2147483648,((1000)-(c_TMAP3IN))*(((A147)-(c_TMAP3IN))*((1000)-(c_TMAP3OUT))+IF(((1000)-(c_TMAP3OUT))&gt;=0,1,-1)*QUOTIENT(((1000)-(c_TMAP3IN)),2)))&gt;=0,1,0)))</f>
        <v>-56</v>
      </c>
      <c r="H147" s="7" t="str">
        <f aca="false">IF(A147&gt;=c_TFWD,IF(AND(A147&gt;=c_TMAP3IN,c_TMAP3IN&lt;1000),"Seg4 map3-100%",IF(AND(A147&gt;=c_TMAP2IN,c_TMAP3IN&gt;c_TMAP2IN),"Seg3 map2-map3",IF(AND(A147&gt;=c_TMAP1IN,c_TMAP2IN&gt;c_TMAP1IN),"Seg2 map1-map2","Seg1 TFWD-map1"))),IF(AND(A147=0,c_TCREEP&gt;0),"Creep",IF(AND(A147&lt;=c_TRNGMIN,A147&gt;=c_TRNGMAX,c_TRNGMIN-c_TRNGMAX&lt;&gt;0),"Regen ramp","Coast (0)")))</f>
        <v>Seg2 map1-map2</v>
      </c>
      <c r="I147" s="7" t="n">
        <f aca="false">IF(A147&gt;=c_TFWD,IF(AND(A147&gt;=c_TMAP3IN,c_TMAP3IN&lt;1000),G147,IF(AND(A147&gt;=c_TMAP2IN,c_TMAP3IN&gt;c_TMAP2IN),F147,IF(AND(A147&gt;=c_TMAP1IN,c_TMAP2IN&gt;c_TMAP1IN),E147,D147))),C147)</f>
        <v>87</v>
      </c>
      <c r="J147" s="7" t="str">
        <f aca="false">IF(I147&lt;-1090,"TOO LOW",IF(I147&gt;1090,"TOO HIGH",""))</f>
        <v/>
      </c>
      <c r="K147" s="15" t="n">
        <f aca="false">IF(J147&lt;&gt;"",0,IF(I147&gt;979,1000,I147))</f>
        <v>87</v>
      </c>
      <c r="L147" s="7" t="n">
        <f aca="false">K147/10</f>
        <v>8.7</v>
      </c>
    </row>
    <row r="148" customFormat="false" ht="15" hidden="false" customHeight="false" outlineLevel="0" collapsed="false">
      <c r="A148" s="7" t="n">
        <v>143</v>
      </c>
      <c r="B148" s="7" t="n">
        <f aca="false">A148/10</f>
        <v>14.3</v>
      </c>
      <c r="C148" s="7" t="n">
        <f aca="false">IF(AND(A148=0,c_TCREEP&gt;0),10*c_TCREEP,IF(AND(A148&lt;=c_TRNGMIN,A148&gt;=c_TRNGMAX,c_TRNGMIN-c_TRNGMAX&lt;&gt;0),-10*c_TMINRN+QUOTIENT((c_TMAXRN-c_TMINRN)*(100-QUOTIENT((A148-c_TRNGMAX)*100,c_TRNGMIN-c_TRNGMAX)),-10),0))</f>
        <v>0</v>
      </c>
      <c r="D148" s="7" t="n">
        <f aca="false">IF(((c_TMAP1IN)-(c_TFWD))=0,(0)+QUOTIENT(((c_TMAP1OUT)-(0)),2),QUOTIENT((((A148)-(c_TFWD))*((c_TMAP1OUT)-(0))+IF(((c_TMAP1OUT)-(0))&gt;=0,1,-1)*QUOTIENT(((c_TMAP1IN)-(c_TFWD)),2)),((c_TMAP1IN)-(c_TFWD)))+(0)+IF(((c_TMAP1OUT)-(0))&gt;=0,IF(IF(o_WRAP=1,MOD(((c_TMAP1IN)-(c_TFWD))*(((A148)-(c_TFWD))*((c_TMAP1OUT)-(0))+IF(((c_TMAP1OUT)-(0))&gt;=0,1,-1)*QUOTIENT(((c_TMAP1IN)-(c_TFWD)),2))+2147483648,4294967296)-2147483648,((c_TMAP1IN)-(c_TFWD))*(((A148)-(c_TFWD))*((c_TMAP1OUT)-(0))+IF(((c_TMAP1OUT)-(0))&gt;=0,1,-1)*QUOTIENT(((c_TMAP1IN)-(c_TFWD)),2)))&lt;0,-1,0),IF(IF(o_WRAP=1,MOD(((c_TMAP1IN)-(c_TFWD))*(((A148)-(c_TFWD))*((c_TMAP1OUT)-(0))+IF(((c_TMAP1OUT)-(0))&gt;=0,1,-1)*QUOTIENT(((c_TMAP1IN)-(c_TFWD)),2))+2147483648,4294967296)-2147483648,((c_TMAP1IN)-(c_TFWD))*(((A148)-(c_TFWD))*((c_TMAP1OUT)-(0))+IF(((c_TMAP1OUT)-(0))&gt;=0,1,-1)*QUOTIENT(((c_TMAP1IN)-(c_TFWD)),2)))&gt;=0,1,0)))</f>
        <v>103</v>
      </c>
      <c r="E148" s="7" t="n">
        <f aca="false">IF(((c_TMAP2IN)-(c_TMAP1IN))=0,(c_TMAP1OUT)+QUOTIENT(((c_TMAP2OUT)-(c_TMAP1OUT)),2),QUOTIENT((((A148)-(c_TMAP1IN))*((c_TMAP2OUT)-(c_TMAP1OUT))+IF(((c_TMAP2OUT)-(c_TMAP1OUT))&gt;=0,1,-1)*QUOTIENT(((c_TMAP2IN)-(c_TMAP1IN)),2)),((c_TMAP2IN)-(c_TMAP1IN)))+(c_TMAP1OUT)+IF(((c_TMAP2OUT)-(c_TMAP1OUT))&gt;=0,IF(IF(o_WRAP=1,MOD(((c_TMAP2IN)-(c_TMAP1IN))*(((A148)-(c_TMAP1IN))*((c_TMAP2OUT)-(c_TMAP1OUT))+IF(((c_TMAP2OUT)-(c_TMAP1OUT))&gt;=0,1,-1)*QUOTIENT(((c_TMAP2IN)-(c_TMAP1IN)),2))+2147483648,4294967296)-2147483648,((c_TMAP2IN)-(c_TMAP1IN))*(((A148)-(c_TMAP1IN))*((c_TMAP2OUT)-(c_TMAP1OUT))+IF(((c_TMAP2OUT)-(c_TMAP1OUT))&gt;=0,1,-1)*QUOTIENT(((c_TMAP2IN)-(c_TMAP1IN)),2)))&lt;0,-1,0),IF(IF(o_WRAP=1,MOD(((c_TMAP2IN)-(c_TMAP1IN))*(((A148)-(c_TMAP1IN))*((c_TMAP2OUT)-(c_TMAP1OUT))+IF(((c_TMAP2OUT)-(c_TMAP1OUT))&gt;=0,1,-1)*QUOTIENT(((c_TMAP2IN)-(c_TMAP1IN)),2))+2147483648,4294967296)-2147483648,((c_TMAP2IN)-(c_TMAP1IN))*(((A148)-(c_TMAP1IN))*((c_TMAP2OUT)-(c_TMAP1OUT))+IF(((c_TMAP2OUT)-(c_TMAP1OUT))&gt;=0,1,-1)*QUOTIENT(((c_TMAP2IN)-(c_TMAP1IN)),2)))&gt;=0,1,0)))</f>
        <v>87</v>
      </c>
      <c r="F148" s="7" t="n">
        <f aca="false">IF(((c_TMAP3IN)-(c_TMAP2IN))=0,(c_TMAP2OUT)+QUOTIENT(((c_TMAP3OUT)-(c_TMAP2OUT)),2),QUOTIENT((((A148)-(c_TMAP2IN))*((c_TMAP3OUT)-(c_TMAP2OUT))+IF(((c_TMAP3OUT)-(c_TMAP2OUT))&gt;=0,1,-1)*QUOTIENT(((c_TMAP3IN)-(c_TMAP2IN)),2)),((c_TMAP3IN)-(c_TMAP2IN)))+(c_TMAP2OUT)+IF(((c_TMAP3OUT)-(c_TMAP2OUT))&gt;=0,IF(IF(o_WRAP=1,MOD(((c_TMAP3IN)-(c_TMAP2IN))*(((A148)-(c_TMAP2IN))*((c_TMAP3OUT)-(c_TMAP2OUT))+IF(((c_TMAP3OUT)-(c_TMAP2OUT))&gt;=0,1,-1)*QUOTIENT(((c_TMAP3IN)-(c_TMAP2IN)),2))+2147483648,4294967296)-2147483648,((c_TMAP3IN)-(c_TMAP2IN))*(((A148)-(c_TMAP2IN))*((c_TMAP3OUT)-(c_TMAP2OUT))+IF(((c_TMAP3OUT)-(c_TMAP2OUT))&gt;=0,1,-1)*QUOTIENT(((c_TMAP3IN)-(c_TMAP2IN)),2)))&lt;0,-1,0),IF(IF(o_WRAP=1,MOD(((c_TMAP3IN)-(c_TMAP2IN))*(((A148)-(c_TMAP2IN))*((c_TMAP3OUT)-(c_TMAP2OUT))+IF(((c_TMAP3OUT)-(c_TMAP2OUT))&gt;=0,1,-1)*QUOTIENT(((c_TMAP3IN)-(c_TMAP2IN)),2))+2147483648,4294967296)-2147483648,((c_TMAP3IN)-(c_TMAP2IN))*(((A148)-(c_TMAP2IN))*((c_TMAP3OUT)-(c_TMAP2OUT))+IF(((c_TMAP3OUT)-(c_TMAP2OUT))&gt;=0,1,-1)*QUOTIENT(((c_TMAP3IN)-(c_TMAP2IN)),2)))&gt;=0,1,0)))</f>
        <v>55</v>
      </c>
      <c r="G148" s="7" t="n">
        <f aca="false">IF(((1000)-(c_TMAP3IN))=0,(c_TMAP3OUT)+QUOTIENT(((1000)-(c_TMAP3OUT)),2),QUOTIENT((((A148)-(c_TMAP3IN))*((1000)-(c_TMAP3OUT))+IF(((1000)-(c_TMAP3OUT))&gt;=0,1,-1)*QUOTIENT(((1000)-(c_TMAP3IN)),2)),((1000)-(c_TMAP3IN)))+(c_TMAP3OUT)+IF(((1000)-(c_TMAP3OUT))&gt;=0,IF(IF(o_WRAP=1,MOD(((1000)-(c_TMAP3IN))*(((A148)-(c_TMAP3IN))*((1000)-(c_TMAP3OUT))+IF(((1000)-(c_TMAP3OUT))&gt;=0,1,-1)*QUOTIENT(((1000)-(c_TMAP3IN)),2))+2147483648,4294967296)-2147483648,((1000)-(c_TMAP3IN))*(((A148)-(c_TMAP3IN))*((1000)-(c_TMAP3OUT))+IF(((1000)-(c_TMAP3OUT))&gt;=0,1,-1)*QUOTIENT(((1000)-(c_TMAP3IN)),2)))&lt;0,-1,0),IF(IF(o_WRAP=1,MOD(((1000)-(c_TMAP3IN))*(((A148)-(c_TMAP3IN))*((1000)-(c_TMAP3OUT))+IF(((1000)-(c_TMAP3OUT))&gt;=0,1,-1)*QUOTIENT(((1000)-(c_TMAP3IN)),2))+2147483648,4294967296)-2147483648,((1000)-(c_TMAP3IN))*(((A148)-(c_TMAP3IN))*((1000)-(c_TMAP3OUT))+IF(((1000)-(c_TMAP3OUT))&gt;=0,1,-1)*QUOTIENT(((1000)-(c_TMAP3IN)),2)))&gt;=0,1,0)))</f>
        <v>-55</v>
      </c>
      <c r="H148" s="7" t="str">
        <f aca="false">IF(A148&gt;=c_TFWD,IF(AND(A148&gt;=c_TMAP3IN,c_TMAP3IN&lt;1000),"Seg4 map3-100%",IF(AND(A148&gt;=c_TMAP2IN,c_TMAP3IN&gt;c_TMAP2IN),"Seg3 map2-map3",IF(AND(A148&gt;=c_TMAP1IN,c_TMAP2IN&gt;c_TMAP1IN),"Seg2 map1-map2","Seg1 TFWD-map1"))),IF(AND(A148=0,c_TCREEP&gt;0),"Creep",IF(AND(A148&lt;=c_TRNGMIN,A148&gt;=c_TRNGMAX,c_TRNGMIN-c_TRNGMAX&lt;&gt;0),"Regen ramp","Coast (0)")))</f>
        <v>Seg2 map1-map2</v>
      </c>
      <c r="I148" s="7" t="n">
        <f aca="false">IF(A148&gt;=c_TFWD,IF(AND(A148&gt;=c_TMAP3IN,c_TMAP3IN&lt;1000),G148,IF(AND(A148&gt;=c_TMAP2IN,c_TMAP3IN&gt;c_TMAP2IN),F148,IF(AND(A148&gt;=c_TMAP1IN,c_TMAP2IN&gt;c_TMAP1IN),E148,D148))),C148)</f>
        <v>87</v>
      </c>
      <c r="J148" s="7" t="str">
        <f aca="false">IF(I148&lt;-1090,"TOO LOW",IF(I148&gt;1090,"TOO HIGH",""))</f>
        <v/>
      </c>
      <c r="K148" s="15" t="n">
        <f aca="false">IF(J148&lt;&gt;"",0,IF(I148&gt;979,1000,I148))</f>
        <v>87</v>
      </c>
      <c r="L148" s="7" t="n">
        <f aca="false">K148/10</f>
        <v>8.7</v>
      </c>
    </row>
    <row r="149" customFormat="false" ht="15" hidden="false" customHeight="false" outlineLevel="0" collapsed="false">
      <c r="A149" s="7" t="n">
        <v>144</v>
      </c>
      <c r="B149" s="7" t="n">
        <f aca="false">A149/10</f>
        <v>14.4</v>
      </c>
      <c r="C149" s="7" t="n">
        <f aca="false">IF(AND(A149=0,c_TCREEP&gt;0),10*c_TCREEP,IF(AND(A149&lt;=c_TRNGMIN,A149&gt;=c_TRNGMAX,c_TRNGMIN-c_TRNGMAX&lt;&gt;0),-10*c_TMINRN+QUOTIENT((c_TMAXRN-c_TMINRN)*(100-QUOTIENT((A149-c_TRNGMAX)*100,c_TRNGMIN-c_TRNGMAX)),-10),0))</f>
        <v>0</v>
      </c>
      <c r="D149" s="7" t="n">
        <f aca="false">IF(((c_TMAP1IN)-(c_TFWD))=0,(0)+QUOTIENT(((c_TMAP1OUT)-(0)),2),QUOTIENT((((A149)-(c_TFWD))*((c_TMAP1OUT)-(0))+IF(((c_TMAP1OUT)-(0))&gt;=0,1,-1)*QUOTIENT(((c_TMAP1IN)-(c_TFWD)),2)),((c_TMAP1IN)-(c_TFWD)))+(0)+IF(((c_TMAP1OUT)-(0))&gt;=0,IF(IF(o_WRAP=1,MOD(((c_TMAP1IN)-(c_TFWD))*(((A149)-(c_TFWD))*((c_TMAP1OUT)-(0))+IF(((c_TMAP1OUT)-(0))&gt;=0,1,-1)*QUOTIENT(((c_TMAP1IN)-(c_TFWD)),2))+2147483648,4294967296)-2147483648,((c_TMAP1IN)-(c_TFWD))*(((A149)-(c_TFWD))*((c_TMAP1OUT)-(0))+IF(((c_TMAP1OUT)-(0))&gt;=0,1,-1)*QUOTIENT(((c_TMAP1IN)-(c_TFWD)),2)))&lt;0,-1,0),IF(IF(o_WRAP=1,MOD(((c_TMAP1IN)-(c_TFWD))*(((A149)-(c_TFWD))*((c_TMAP1OUT)-(0))+IF(((c_TMAP1OUT)-(0))&gt;=0,1,-1)*QUOTIENT(((c_TMAP1IN)-(c_TFWD)),2))+2147483648,4294967296)-2147483648,((c_TMAP1IN)-(c_TFWD))*(((A149)-(c_TFWD))*((c_TMAP1OUT)-(0))+IF(((c_TMAP1OUT)-(0))&gt;=0,1,-1)*QUOTIENT(((c_TMAP1IN)-(c_TFWD)),2)))&gt;=0,1,0)))</f>
        <v>104</v>
      </c>
      <c r="E149" s="7" t="n">
        <f aca="false">IF(((c_TMAP2IN)-(c_TMAP1IN))=0,(c_TMAP1OUT)+QUOTIENT(((c_TMAP2OUT)-(c_TMAP1OUT)),2),QUOTIENT((((A149)-(c_TMAP1IN))*((c_TMAP2OUT)-(c_TMAP1OUT))+IF(((c_TMAP2OUT)-(c_TMAP1OUT))&gt;=0,1,-1)*QUOTIENT(((c_TMAP2IN)-(c_TMAP1IN)),2)),((c_TMAP2IN)-(c_TMAP1IN)))+(c_TMAP1OUT)+IF(((c_TMAP2OUT)-(c_TMAP1OUT))&gt;=0,IF(IF(o_WRAP=1,MOD(((c_TMAP2IN)-(c_TMAP1IN))*(((A149)-(c_TMAP1IN))*((c_TMAP2OUT)-(c_TMAP1OUT))+IF(((c_TMAP2OUT)-(c_TMAP1OUT))&gt;=0,1,-1)*QUOTIENT(((c_TMAP2IN)-(c_TMAP1IN)),2))+2147483648,4294967296)-2147483648,((c_TMAP2IN)-(c_TMAP1IN))*(((A149)-(c_TMAP1IN))*((c_TMAP2OUT)-(c_TMAP1OUT))+IF(((c_TMAP2OUT)-(c_TMAP1OUT))&gt;=0,1,-1)*QUOTIENT(((c_TMAP2IN)-(c_TMAP1IN)),2)))&lt;0,-1,0),IF(IF(o_WRAP=1,MOD(((c_TMAP2IN)-(c_TMAP1IN))*(((A149)-(c_TMAP1IN))*((c_TMAP2OUT)-(c_TMAP1OUT))+IF(((c_TMAP2OUT)-(c_TMAP1OUT))&gt;=0,1,-1)*QUOTIENT(((c_TMAP2IN)-(c_TMAP1IN)),2))+2147483648,4294967296)-2147483648,((c_TMAP2IN)-(c_TMAP1IN))*(((A149)-(c_TMAP1IN))*((c_TMAP2OUT)-(c_TMAP1OUT))+IF(((c_TMAP2OUT)-(c_TMAP1OUT))&gt;=0,1,-1)*QUOTIENT(((c_TMAP2IN)-(c_TMAP1IN)),2)))&gt;=0,1,0)))</f>
        <v>88</v>
      </c>
      <c r="F149" s="7" t="n">
        <f aca="false">IF(((c_TMAP3IN)-(c_TMAP2IN))=0,(c_TMAP2OUT)+QUOTIENT(((c_TMAP3OUT)-(c_TMAP2OUT)),2),QUOTIENT((((A149)-(c_TMAP2IN))*((c_TMAP3OUT)-(c_TMAP2OUT))+IF(((c_TMAP3OUT)-(c_TMAP2OUT))&gt;=0,1,-1)*QUOTIENT(((c_TMAP3IN)-(c_TMAP2IN)),2)),((c_TMAP3IN)-(c_TMAP2IN)))+(c_TMAP2OUT)+IF(((c_TMAP3OUT)-(c_TMAP2OUT))&gt;=0,IF(IF(o_WRAP=1,MOD(((c_TMAP3IN)-(c_TMAP2IN))*(((A149)-(c_TMAP2IN))*((c_TMAP3OUT)-(c_TMAP2OUT))+IF(((c_TMAP3OUT)-(c_TMAP2OUT))&gt;=0,1,-1)*QUOTIENT(((c_TMAP3IN)-(c_TMAP2IN)),2))+2147483648,4294967296)-2147483648,((c_TMAP3IN)-(c_TMAP2IN))*(((A149)-(c_TMAP2IN))*((c_TMAP3OUT)-(c_TMAP2OUT))+IF(((c_TMAP3OUT)-(c_TMAP2OUT))&gt;=0,1,-1)*QUOTIENT(((c_TMAP3IN)-(c_TMAP2IN)),2)))&lt;0,-1,0),IF(IF(o_WRAP=1,MOD(((c_TMAP3IN)-(c_TMAP2IN))*(((A149)-(c_TMAP2IN))*((c_TMAP3OUT)-(c_TMAP2OUT))+IF(((c_TMAP3OUT)-(c_TMAP2OUT))&gt;=0,1,-1)*QUOTIENT(((c_TMAP3IN)-(c_TMAP2IN)),2))+2147483648,4294967296)-2147483648,((c_TMAP3IN)-(c_TMAP2IN))*(((A149)-(c_TMAP2IN))*((c_TMAP3OUT)-(c_TMAP2OUT))+IF(((c_TMAP3OUT)-(c_TMAP2OUT))&gt;=0,1,-1)*QUOTIENT(((c_TMAP3IN)-(c_TMAP2IN)),2)))&gt;=0,1,0)))</f>
        <v>56</v>
      </c>
      <c r="G149" s="7" t="n">
        <f aca="false">IF(((1000)-(c_TMAP3IN))=0,(c_TMAP3OUT)+QUOTIENT(((1000)-(c_TMAP3OUT)),2),QUOTIENT((((A149)-(c_TMAP3IN))*((1000)-(c_TMAP3OUT))+IF(((1000)-(c_TMAP3OUT))&gt;=0,1,-1)*QUOTIENT(((1000)-(c_TMAP3IN)),2)),((1000)-(c_TMAP3IN)))+(c_TMAP3OUT)+IF(((1000)-(c_TMAP3OUT))&gt;=0,IF(IF(o_WRAP=1,MOD(((1000)-(c_TMAP3IN))*(((A149)-(c_TMAP3IN))*((1000)-(c_TMAP3OUT))+IF(((1000)-(c_TMAP3OUT))&gt;=0,1,-1)*QUOTIENT(((1000)-(c_TMAP3IN)),2))+2147483648,4294967296)-2147483648,((1000)-(c_TMAP3IN))*(((A149)-(c_TMAP3IN))*((1000)-(c_TMAP3OUT))+IF(((1000)-(c_TMAP3OUT))&gt;=0,1,-1)*QUOTIENT(((1000)-(c_TMAP3IN)),2)))&lt;0,-1,0),IF(IF(o_WRAP=1,MOD(((1000)-(c_TMAP3IN))*(((A149)-(c_TMAP3IN))*((1000)-(c_TMAP3OUT))+IF(((1000)-(c_TMAP3OUT))&gt;=0,1,-1)*QUOTIENT(((1000)-(c_TMAP3IN)),2))+2147483648,4294967296)-2147483648,((1000)-(c_TMAP3IN))*(((A149)-(c_TMAP3IN))*((1000)-(c_TMAP3OUT))+IF(((1000)-(c_TMAP3OUT))&gt;=0,1,-1)*QUOTIENT(((1000)-(c_TMAP3IN)),2)))&gt;=0,1,0)))</f>
        <v>-54</v>
      </c>
      <c r="H149" s="7" t="str">
        <f aca="false">IF(A149&gt;=c_TFWD,IF(AND(A149&gt;=c_TMAP3IN,c_TMAP3IN&lt;1000),"Seg4 map3-100%",IF(AND(A149&gt;=c_TMAP2IN,c_TMAP3IN&gt;c_TMAP2IN),"Seg3 map2-map3",IF(AND(A149&gt;=c_TMAP1IN,c_TMAP2IN&gt;c_TMAP1IN),"Seg2 map1-map2","Seg1 TFWD-map1"))),IF(AND(A149=0,c_TCREEP&gt;0),"Creep",IF(AND(A149&lt;=c_TRNGMIN,A149&gt;=c_TRNGMAX,c_TRNGMIN-c_TRNGMAX&lt;&gt;0),"Regen ramp","Coast (0)")))</f>
        <v>Seg2 map1-map2</v>
      </c>
      <c r="I149" s="7" t="n">
        <f aca="false">IF(A149&gt;=c_TFWD,IF(AND(A149&gt;=c_TMAP3IN,c_TMAP3IN&lt;1000),G149,IF(AND(A149&gt;=c_TMAP2IN,c_TMAP3IN&gt;c_TMAP2IN),F149,IF(AND(A149&gt;=c_TMAP1IN,c_TMAP2IN&gt;c_TMAP1IN),E149,D149))),C149)</f>
        <v>88</v>
      </c>
      <c r="J149" s="7" t="str">
        <f aca="false">IF(I149&lt;-1090,"TOO LOW",IF(I149&gt;1090,"TOO HIGH",""))</f>
        <v/>
      </c>
      <c r="K149" s="15" t="n">
        <f aca="false">IF(J149&lt;&gt;"",0,IF(I149&gt;979,1000,I149))</f>
        <v>88</v>
      </c>
      <c r="L149" s="7" t="n">
        <f aca="false">K149/10</f>
        <v>8.8</v>
      </c>
    </row>
    <row r="150" customFormat="false" ht="15" hidden="false" customHeight="false" outlineLevel="0" collapsed="false">
      <c r="A150" s="7" t="n">
        <v>145</v>
      </c>
      <c r="B150" s="7" t="n">
        <f aca="false">A150/10</f>
        <v>14.5</v>
      </c>
      <c r="C150" s="7" t="n">
        <f aca="false">IF(AND(A150=0,c_TCREEP&gt;0),10*c_TCREEP,IF(AND(A150&lt;=c_TRNGMIN,A150&gt;=c_TRNGMAX,c_TRNGMIN-c_TRNGMAX&lt;&gt;0),-10*c_TMINRN+QUOTIENT((c_TMAXRN-c_TMINRN)*(100-QUOTIENT((A150-c_TRNGMAX)*100,c_TRNGMIN-c_TRNGMAX)),-10),0))</f>
        <v>0</v>
      </c>
      <c r="D150" s="7" t="n">
        <f aca="false">IF(((c_TMAP1IN)-(c_TFWD))=0,(0)+QUOTIENT(((c_TMAP1OUT)-(0)),2),QUOTIENT((((A150)-(c_TFWD))*((c_TMAP1OUT)-(0))+IF(((c_TMAP1OUT)-(0))&gt;=0,1,-1)*QUOTIENT(((c_TMAP1IN)-(c_TFWD)),2)),((c_TMAP1IN)-(c_TFWD)))+(0)+IF(((c_TMAP1OUT)-(0))&gt;=0,IF(IF(o_WRAP=1,MOD(((c_TMAP1IN)-(c_TFWD))*(((A150)-(c_TFWD))*((c_TMAP1OUT)-(0))+IF(((c_TMAP1OUT)-(0))&gt;=0,1,-1)*QUOTIENT(((c_TMAP1IN)-(c_TFWD)),2))+2147483648,4294967296)-2147483648,((c_TMAP1IN)-(c_TFWD))*(((A150)-(c_TFWD))*((c_TMAP1OUT)-(0))+IF(((c_TMAP1OUT)-(0))&gt;=0,1,-1)*QUOTIENT(((c_TMAP1IN)-(c_TFWD)),2)))&lt;0,-1,0),IF(IF(o_WRAP=1,MOD(((c_TMAP1IN)-(c_TFWD))*(((A150)-(c_TFWD))*((c_TMAP1OUT)-(0))+IF(((c_TMAP1OUT)-(0))&gt;=0,1,-1)*QUOTIENT(((c_TMAP1IN)-(c_TFWD)),2))+2147483648,4294967296)-2147483648,((c_TMAP1IN)-(c_TFWD))*(((A150)-(c_TFWD))*((c_TMAP1OUT)-(0))+IF(((c_TMAP1OUT)-(0))&gt;=0,1,-1)*QUOTIENT(((c_TMAP1IN)-(c_TFWD)),2)))&gt;=0,1,0)))</f>
        <v>105</v>
      </c>
      <c r="E150" s="7" t="n">
        <f aca="false">IF(((c_TMAP2IN)-(c_TMAP1IN))=0,(c_TMAP1OUT)+QUOTIENT(((c_TMAP2OUT)-(c_TMAP1OUT)),2),QUOTIENT((((A150)-(c_TMAP1IN))*((c_TMAP2OUT)-(c_TMAP1OUT))+IF(((c_TMAP2OUT)-(c_TMAP1OUT))&gt;=0,1,-1)*QUOTIENT(((c_TMAP2IN)-(c_TMAP1IN)),2)),((c_TMAP2IN)-(c_TMAP1IN)))+(c_TMAP1OUT)+IF(((c_TMAP2OUT)-(c_TMAP1OUT))&gt;=0,IF(IF(o_WRAP=1,MOD(((c_TMAP2IN)-(c_TMAP1IN))*(((A150)-(c_TMAP1IN))*((c_TMAP2OUT)-(c_TMAP1OUT))+IF(((c_TMAP2OUT)-(c_TMAP1OUT))&gt;=0,1,-1)*QUOTIENT(((c_TMAP2IN)-(c_TMAP1IN)),2))+2147483648,4294967296)-2147483648,((c_TMAP2IN)-(c_TMAP1IN))*(((A150)-(c_TMAP1IN))*((c_TMAP2OUT)-(c_TMAP1OUT))+IF(((c_TMAP2OUT)-(c_TMAP1OUT))&gt;=0,1,-1)*QUOTIENT(((c_TMAP2IN)-(c_TMAP1IN)),2)))&lt;0,-1,0),IF(IF(o_WRAP=1,MOD(((c_TMAP2IN)-(c_TMAP1IN))*(((A150)-(c_TMAP1IN))*((c_TMAP2OUT)-(c_TMAP1OUT))+IF(((c_TMAP2OUT)-(c_TMAP1OUT))&gt;=0,1,-1)*QUOTIENT(((c_TMAP2IN)-(c_TMAP1IN)),2))+2147483648,4294967296)-2147483648,((c_TMAP2IN)-(c_TMAP1IN))*(((A150)-(c_TMAP1IN))*((c_TMAP2OUT)-(c_TMAP1OUT))+IF(((c_TMAP2OUT)-(c_TMAP1OUT))&gt;=0,1,-1)*QUOTIENT(((c_TMAP2IN)-(c_TMAP1IN)),2)))&gt;=0,1,0)))</f>
        <v>88</v>
      </c>
      <c r="F150" s="7" t="n">
        <f aca="false">IF(((c_TMAP3IN)-(c_TMAP2IN))=0,(c_TMAP2OUT)+QUOTIENT(((c_TMAP3OUT)-(c_TMAP2OUT)),2),QUOTIENT((((A150)-(c_TMAP2IN))*((c_TMAP3OUT)-(c_TMAP2OUT))+IF(((c_TMAP3OUT)-(c_TMAP2OUT))&gt;=0,1,-1)*QUOTIENT(((c_TMAP3IN)-(c_TMAP2IN)),2)),((c_TMAP3IN)-(c_TMAP2IN)))+(c_TMAP2OUT)+IF(((c_TMAP3OUT)-(c_TMAP2OUT))&gt;=0,IF(IF(o_WRAP=1,MOD(((c_TMAP3IN)-(c_TMAP2IN))*(((A150)-(c_TMAP2IN))*((c_TMAP3OUT)-(c_TMAP2OUT))+IF(((c_TMAP3OUT)-(c_TMAP2OUT))&gt;=0,1,-1)*QUOTIENT(((c_TMAP3IN)-(c_TMAP2IN)),2))+2147483648,4294967296)-2147483648,((c_TMAP3IN)-(c_TMAP2IN))*(((A150)-(c_TMAP2IN))*((c_TMAP3OUT)-(c_TMAP2OUT))+IF(((c_TMAP3OUT)-(c_TMAP2OUT))&gt;=0,1,-1)*QUOTIENT(((c_TMAP3IN)-(c_TMAP2IN)),2)))&lt;0,-1,0),IF(IF(o_WRAP=1,MOD(((c_TMAP3IN)-(c_TMAP2IN))*(((A150)-(c_TMAP2IN))*((c_TMAP3OUT)-(c_TMAP2OUT))+IF(((c_TMAP3OUT)-(c_TMAP2OUT))&gt;=0,1,-1)*QUOTIENT(((c_TMAP3IN)-(c_TMAP2IN)),2))+2147483648,4294967296)-2147483648,((c_TMAP3IN)-(c_TMAP2IN))*(((A150)-(c_TMAP2IN))*((c_TMAP3OUT)-(c_TMAP2OUT))+IF(((c_TMAP3OUT)-(c_TMAP2OUT))&gt;=0,1,-1)*QUOTIENT(((c_TMAP3IN)-(c_TMAP2IN)),2)))&gt;=0,1,0)))</f>
        <v>56</v>
      </c>
      <c r="G150" s="7" t="n">
        <f aca="false">IF(((1000)-(c_TMAP3IN))=0,(c_TMAP3OUT)+QUOTIENT(((1000)-(c_TMAP3OUT)),2),QUOTIENT((((A150)-(c_TMAP3IN))*((1000)-(c_TMAP3OUT))+IF(((1000)-(c_TMAP3OUT))&gt;=0,1,-1)*QUOTIENT(((1000)-(c_TMAP3IN)),2)),((1000)-(c_TMAP3IN)))+(c_TMAP3OUT)+IF(((1000)-(c_TMAP3OUT))&gt;=0,IF(IF(o_WRAP=1,MOD(((1000)-(c_TMAP3IN))*(((A150)-(c_TMAP3IN))*((1000)-(c_TMAP3OUT))+IF(((1000)-(c_TMAP3OUT))&gt;=0,1,-1)*QUOTIENT(((1000)-(c_TMAP3IN)),2))+2147483648,4294967296)-2147483648,((1000)-(c_TMAP3IN))*(((A150)-(c_TMAP3IN))*((1000)-(c_TMAP3OUT))+IF(((1000)-(c_TMAP3OUT))&gt;=0,1,-1)*QUOTIENT(((1000)-(c_TMAP3IN)),2)))&lt;0,-1,0),IF(IF(o_WRAP=1,MOD(((1000)-(c_TMAP3IN))*(((A150)-(c_TMAP3IN))*((1000)-(c_TMAP3OUT))+IF(((1000)-(c_TMAP3OUT))&gt;=0,1,-1)*QUOTIENT(((1000)-(c_TMAP3IN)),2))+2147483648,4294967296)-2147483648,((1000)-(c_TMAP3IN))*(((A150)-(c_TMAP3IN))*((1000)-(c_TMAP3OUT))+IF(((1000)-(c_TMAP3OUT))&gt;=0,1,-1)*QUOTIENT(((1000)-(c_TMAP3IN)),2)))&gt;=0,1,0)))</f>
        <v>-52</v>
      </c>
      <c r="H150" s="7" t="str">
        <f aca="false">IF(A150&gt;=c_TFWD,IF(AND(A150&gt;=c_TMAP3IN,c_TMAP3IN&lt;1000),"Seg4 map3-100%",IF(AND(A150&gt;=c_TMAP2IN,c_TMAP3IN&gt;c_TMAP2IN),"Seg3 map2-map3",IF(AND(A150&gt;=c_TMAP1IN,c_TMAP2IN&gt;c_TMAP1IN),"Seg2 map1-map2","Seg1 TFWD-map1"))),IF(AND(A150=0,c_TCREEP&gt;0),"Creep",IF(AND(A150&lt;=c_TRNGMIN,A150&gt;=c_TRNGMAX,c_TRNGMIN-c_TRNGMAX&lt;&gt;0),"Regen ramp","Coast (0)")))</f>
        <v>Seg2 map1-map2</v>
      </c>
      <c r="I150" s="7" t="n">
        <f aca="false">IF(A150&gt;=c_TFWD,IF(AND(A150&gt;=c_TMAP3IN,c_TMAP3IN&lt;1000),G150,IF(AND(A150&gt;=c_TMAP2IN,c_TMAP3IN&gt;c_TMAP2IN),F150,IF(AND(A150&gt;=c_TMAP1IN,c_TMAP2IN&gt;c_TMAP1IN),E150,D150))),C150)</f>
        <v>88</v>
      </c>
      <c r="J150" s="7" t="str">
        <f aca="false">IF(I150&lt;-1090,"TOO LOW",IF(I150&gt;1090,"TOO HIGH",""))</f>
        <v/>
      </c>
      <c r="K150" s="15" t="n">
        <f aca="false">IF(J150&lt;&gt;"",0,IF(I150&gt;979,1000,I150))</f>
        <v>88</v>
      </c>
      <c r="L150" s="7" t="n">
        <f aca="false">K150/10</f>
        <v>8.8</v>
      </c>
    </row>
    <row r="151" customFormat="false" ht="15" hidden="false" customHeight="false" outlineLevel="0" collapsed="false">
      <c r="A151" s="7" t="n">
        <v>146</v>
      </c>
      <c r="B151" s="7" t="n">
        <f aca="false">A151/10</f>
        <v>14.6</v>
      </c>
      <c r="C151" s="7" t="n">
        <f aca="false">IF(AND(A151=0,c_TCREEP&gt;0),10*c_TCREEP,IF(AND(A151&lt;=c_TRNGMIN,A151&gt;=c_TRNGMAX,c_TRNGMIN-c_TRNGMAX&lt;&gt;0),-10*c_TMINRN+QUOTIENT((c_TMAXRN-c_TMINRN)*(100-QUOTIENT((A151-c_TRNGMAX)*100,c_TRNGMIN-c_TRNGMAX)),-10),0))</f>
        <v>0</v>
      </c>
      <c r="D151" s="7" t="n">
        <f aca="false">IF(((c_TMAP1IN)-(c_TFWD))=0,(0)+QUOTIENT(((c_TMAP1OUT)-(0)),2),QUOTIENT((((A151)-(c_TFWD))*((c_TMAP1OUT)-(0))+IF(((c_TMAP1OUT)-(0))&gt;=0,1,-1)*QUOTIENT(((c_TMAP1IN)-(c_TFWD)),2)),((c_TMAP1IN)-(c_TFWD)))+(0)+IF(((c_TMAP1OUT)-(0))&gt;=0,IF(IF(o_WRAP=1,MOD(((c_TMAP1IN)-(c_TFWD))*(((A151)-(c_TFWD))*((c_TMAP1OUT)-(0))+IF(((c_TMAP1OUT)-(0))&gt;=0,1,-1)*QUOTIENT(((c_TMAP1IN)-(c_TFWD)),2))+2147483648,4294967296)-2147483648,((c_TMAP1IN)-(c_TFWD))*(((A151)-(c_TFWD))*((c_TMAP1OUT)-(0))+IF(((c_TMAP1OUT)-(0))&gt;=0,1,-1)*QUOTIENT(((c_TMAP1IN)-(c_TFWD)),2)))&lt;0,-1,0),IF(IF(o_WRAP=1,MOD(((c_TMAP1IN)-(c_TFWD))*(((A151)-(c_TFWD))*((c_TMAP1OUT)-(0))+IF(((c_TMAP1OUT)-(0))&gt;=0,1,-1)*QUOTIENT(((c_TMAP1IN)-(c_TFWD)),2))+2147483648,4294967296)-2147483648,((c_TMAP1IN)-(c_TFWD))*(((A151)-(c_TFWD))*((c_TMAP1OUT)-(0))+IF(((c_TMAP1OUT)-(0))&gt;=0,1,-1)*QUOTIENT(((c_TMAP1IN)-(c_TFWD)),2)))&gt;=0,1,0)))</f>
        <v>106</v>
      </c>
      <c r="E151" s="7" t="n">
        <f aca="false">IF(((c_TMAP2IN)-(c_TMAP1IN))=0,(c_TMAP1OUT)+QUOTIENT(((c_TMAP2OUT)-(c_TMAP1OUT)),2),QUOTIENT((((A151)-(c_TMAP1IN))*((c_TMAP2OUT)-(c_TMAP1OUT))+IF(((c_TMAP2OUT)-(c_TMAP1OUT))&gt;=0,1,-1)*QUOTIENT(((c_TMAP2IN)-(c_TMAP1IN)),2)),((c_TMAP2IN)-(c_TMAP1IN)))+(c_TMAP1OUT)+IF(((c_TMAP2OUT)-(c_TMAP1OUT))&gt;=0,IF(IF(o_WRAP=1,MOD(((c_TMAP2IN)-(c_TMAP1IN))*(((A151)-(c_TMAP1IN))*((c_TMAP2OUT)-(c_TMAP1OUT))+IF(((c_TMAP2OUT)-(c_TMAP1OUT))&gt;=0,1,-1)*QUOTIENT(((c_TMAP2IN)-(c_TMAP1IN)),2))+2147483648,4294967296)-2147483648,((c_TMAP2IN)-(c_TMAP1IN))*(((A151)-(c_TMAP1IN))*((c_TMAP2OUT)-(c_TMAP1OUT))+IF(((c_TMAP2OUT)-(c_TMAP1OUT))&gt;=0,1,-1)*QUOTIENT(((c_TMAP2IN)-(c_TMAP1IN)),2)))&lt;0,-1,0),IF(IF(o_WRAP=1,MOD(((c_TMAP2IN)-(c_TMAP1IN))*(((A151)-(c_TMAP1IN))*((c_TMAP2OUT)-(c_TMAP1OUT))+IF(((c_TMAP2OUT)-(c_TMAP1OUT))&gt;=0,1,-1)*QUOTIENT(((c_TMAP2IN)-(c_TMAP1IN)),2))+2147483648,4294967296)-2147483648,((c_TMAP2IN)-(c_TMAP1IN))*(((A151)-(c_TMAP1IN))*((c_TMAP2OUT)-(c_TMAP1OUT))+IF(((c_TMAP2OUT)-(c_TMAP1OUT))&gt;=0,1,-1)*QUOTIENT(((c_TMAP2IN)-(c_TMAP1IN)),2)))&gt;=0,1,0)))</f>
        <v>88</v>
      </c>
      <c r="F151" s="7" t="n">
        <f aca="false">IF(((c_TMAP3IN)-(c_TMAP2IN))=0,(c_TMAP2OUT)+QUOTIENT(((c_TMAP3OUT)-(c_TMAP2OUT)),2),QUOTIENT((((A151)-(c_TMAP2IN))*((c_TMAP3OUT)-(c_TMAP2OUT))+IF(((c_TMAP3OUT)-(c_TMAP2OUT))&gt;=0,1,-1)*QUOTIENT(((c_TMAP3IN)-(c_TMAP2IN)),2)),((c_TMAP3IN)-(c_TMAP2IN)))+(c_TMAP2OUT)+IF(((c_TMAP3OUT)-(c_TMAP2OUT))&gt;=0,IF(IF(o_WRAP=1,MOD(((c_TMAP3IN)-(c_TMAP2IN))*(((A151)-(c_TMAP2IN))*((c_TMAP3OUT)-(c_TMAP2OUT))+IF(((c_TMAP3OUT)-(c_TMAP2OUT))&gt;=0,1,-1)*QUOTIENT(((c_TMAP3IN)-(c_TMAP2IN)),2))+2147483648,4294967296)-2147483648,((c_TMAP3IN)-(c_TMAP2IN))*(((A151)-(c_TMAP2IN))*((c_TMAP3OUT)-(c_TMAP2OUT))+IF(((c_TMAP3OUT)-(c_TMAP2OUT))&gt;=0,1,-1)*QUOTIENT(((c_TMAP3IN)-(c_TMAP2IN)),2)))&lt;0,-1,0),IF(IF(o_WRAP=1,MOD(((c_TMAP3IN)-(c_TMAP2IN))*(((A151)-(c_TMAP2IN))*((c_TMAP3OUT)-(c_TMAP2OUT))+IF(((c_TMAP3OUT)-(c_TMAP2OUT))&gt;=0,1,-1)*QUOTIENT(((c_TMAP3IN)-(c_TMAP2IN)),2))+2147483648,4294967296)-2147483648,((c_TMAP3IN)-(c_TMAP2IN))*(((A151)-(c_TMAP2IN))*((c_TMAP3OUT)-(c_TMAP2OUT))+IF(((c_TMAP3OUT)-(c_TMAP2OUT))&gt;=0,1,-1)*QUOTIENT(((c_TMAP3IN)-(c_TMAP2IN)),2)))&gt;=0,1,0)))</f>
        <v>57</v>
      </c>
      <c r="G151" s="7" t="n">
        <f aca="false">IF(((1000)-(c_TMAP3IN))=0,(c_TMAP3OUT)+QUOTIENT(((1000)-(c_TMAP3OUT)),2),QUOTIENT((((A151)-(c_TMAP3IN))*((1000)-(c_TMAP3OUT))+IF(((1000)-(c_TMAP3OUT))&gt;=0,1,-1)*QUOTIENT(((1000)-(c_TMAP3IN)),2)),((1000)-(c_TMAP3IN)))+(c_TMAP3OUT)+IF(((1000)-(c_TMAP3OUT))&gt;=0,IF(IF(o_WRAP=1,MOD(((1000)-(c_TMAP3IN))*(((A151)-(c_TMAP3IN))*((1000)-(c_TMAP3OUT))+IF(((1000)-(c_TMAP3OUT))&gt;=0,1,-1)*QUOTIENT(((1000)-(c_TMAP3IN)),2))+2147483648,4294967296)-2147483648,((1000)-(c_TMAP3IN))*(((A151)-(c_TMAP3IN))*((1000)-(c_TMAP3OUT))+IF(((1000)-(c_TMAP3OUT))&gt;=0,1,-1)*QUOTIENT(((1000)-(c_TMAP3IN)),2)))&lt;0,-1,0),IF(IF(o_WRAP=1,MOD(((1000)-(c_TMAP3IN))*(((A151)-(c_TMAP3IN))*((1000)-(c_TMAP3OUT))+IF(((1000)-(c_TMAP3OUT))&gt;=0,1,-1)*QUOTIENT(((1000)-(c_TMAP3IN)),2))+2147483648,4294967296)-2147483648,((1000)-(c_TMAP3IN))*(((A151)-(c_TMAP3IN))*((1000)-(c_TMAP3OUT))+IF(((1000)-(c_TMAP3OUT))&gt;=0,1,-1)*QUOTIENT(((1000)-(c_TMAP3IN)),2)))&gt;=0,1,0)))</f>
        <v>-51</v>
      </c>
      <c r="H151" s="7" t="str">
        <f aca="false">IF(A151&gt;=c_TFWD,IF(AND(A151&gt;=c_TMAP3IN,c_TMAP3IN&lt;1000),"Seg4 map3-100%",IF(AND(A151&gt;=c_TMAP2IN,c_TMAP3IN&gt;c_TMAP2IN),"Seg3 map2-map3",IF(AND(A151&gt;=c_TMAP1IN,c_TMAP2IN&gt;c_TMAP1IN),"Seg2 map1-map2","Seg1 TFWD-map1"))),IF(AND(A151=0,c_TCREEP&gt;0),"Creep",IF(AND(A151&lt;=c_TRNGMIN,A151&gt;=c_TRNGMAX,c_TRNGMIN-c_TRNGMAX&lt;&gt;0),"Regen ramp","Coast (0)")))</f>
        <v>Seg2 map1-map2</v>
      </c>
      <c r="I151" s="7" t="n">
        <f aca="false">IF(A151&gt;=c_TFWD,IF(AND(A151&gt;=c_TMAP3IN,c_TMAP3IN&lt;1000),G151,IF(AND(A151&gt;=c_TMAP2IN,c_TMAP3IN&gt;c_TMAP2IN),F151,IF(AND(A151&gt;=c_TMAP1IN,c_TMAP2IN&gt;c_TMAP1IN),E151,D151))),C151)</f>
        <v>88</v>
      </c>
      <c r="J151" s="7" t="str">
        <f aca="false">IF(I151&lt;-1090,"TOO LOW",IF(I151&gt;1090,"TOO HIGH",""))</f>
        <v/>
      </c>
      <c r="K151" s="15" t="n">
        <f aca="false">IF(J151&lt;&gt;"",0,IF(I151&gt;979,1000,I151))</f>
        <v>88</v>
      </c>
      <c r="L151" s="7" t="n">
        <f aca="false">K151/10</f>
        <v>8.8</v>
      </c>
    </row>
    <row r="152" customFormat="false" ht="15" hidden="false" customHeight="false" outlineLevel="0" collapsed="false">
      <c r="A152" s="7" t="n">
        <v>147</v>
      </c>
      <c r="B152" s="7" t="n">
        <f aca="false">A152/10</f>
        <v>14.7</v>
      </c>
      <c r="C152" s="7" t="n">
        <f aca="false">IF(AND(A152=0,c_TCREEP&gt;0),10*c_TCREEP,IF(AND(A152&lt;=c_TRNGMIN,A152&gt;=c_TRNGMAX,c_TRNGMIN-c_TRNGMAX&lt;&gt;0),-10*c_TMINRN+QUOTIENT((c_TMAXRN-c_TMINRN)*(100-QUOTIENT((A152-c_TRNGMAX)*100,c_TRNGMIN-c_TRNGMAX)),-10),0))</f>
        <v>0</v>
      </c>
      <c r="D152" s="7" t="n">
        <f aca="false">IF(((c_TMAP1IN)-(c_TFWD))=0,(0)+QUOTIENT(((c_TMAP1OUT)-(0)),2),QUOTIENT((((A152)-(c_TFWD))*((c_TMAP1OUT)-(0))+IF(((c_TMAP1OUT)-(0))&gt;=0,1,-1)*QUOTIENT(((c_TMAP1IN)-(c_TFWD)),2)),((c_TMAP1IN)-(c_TFWD)))+(0)+IF(((c_TMAP1OUT)-(0))&gt;=0,IF(IF(o_WRAP=1,MOD(((c_TMAP1IN)-(c_TFWD))*(((A152)-(c_TFWD))*((c_TMAP1OUT)-(0))+IF(((c_TMAP1OUT)-(0))&gt;=0,1,-1)*QUOTIENT(((c_TMAP1IN)-(c_TFWD)),2))+2147483648,4294967296)-2147483648,((c_TMAP1IN)-(c_TFWD))*(((A152)-(c_TFWD))*((c_TMAP1OUT)-(0))+IF(((c_TMAP1OUT)-(0))&gt;=0,1,-1)*QUOTIENT(((c_TMAP1IN)-(c_TFWD)),2)))&lt;0,-1,0),IF(IF(o_WRAP=1,MOD(((c_TMAP1IN)-(c_TFWD))*(((A152)-(c_TFWD))*((c_TMAP1OUT)-(0))+IF(((c_TMAP1OUT)-(0))&gt;=0,1,-1)*QUOTIENT(((c_TMAP1IN)-(c_TFWD)),2))+2147483648,4294967296)-2147483648,((c_TMAP1IN)-(c_TFWD))*(((A152)-(c_TFWD))*((c_TMAP1OUT)-(0))+IF(((c_TMAP1OUT)-(0))&gt;=0,1,-1)*QUOTIENT(((c_TMAP1IN)-(c_TFWD)),2)))&gt;=0,1,0)))</f>
        <v>107</v>
      </c>
      <c r="E152" s="7" t="n">
        <f aca="false">IF(((c_TMAP2IN)-(c_TMAP1IN))=0,(c_TMAP1OUT)+QUOTIENT(((c_TMAP2OUT)-(c_TMAP1OUT)),2),QUOTIENT((((A152)-(c_TMAP1IN))*((c_TMAP2OUT)-(c_TMAP1OUT))+IF(((c_TMAP2OUT)-(c_TMAP1OUT))&gt;=0,1,-1)*QUOTIENT(((c_TMAP2IN)-(c_TMAP1IN)),2)),((c_TMAP2IN)-(c_TMAP1IN)))+(c_TMAP1OUT)+IF(((c_TMAP2OUT)-(c_TMAP1OUT))&gt;=0,IF(IF(o_WRAP=1,MOD(((c_TMAP2IN)-(c_TMAP1IN))*(((A152)-(c_TMAP1IN))*((c_TMAP2OUT)-(c_TMAP1OUT))+IF(((c_TMAP2OUT)-(c_TMAP1OUT))&gt;=0,1,-1)*QUOTIENT(((c_TMAP2IN)-(c_TMAP1IN)),2))+2147483648,4294967296)-2147483648,((c_TMAP2IN)-(c_TMAP1IN))*(((A152)-(c_TMAP1IN))*((c_TMAP2OUT)-(c_TMAP1OUT))+IF(((c_TMAP2OUT)-(c_TMAP1OUT))&gt;=0,1,-1)*QUOTIENT(((c_TMAP2IN)-(c_TMAP1IN)),2)))&lt;0,-1,0),IF(IF(o_WRAP=1,MOD(((c_TMAP2IN)-(c_TMAP1IN))*(((A152)-(c_TMAP1IN))*((c_TMAP2OUT)-(c_TMAP1OUT))+IF(((c_TMAP2OUT)-(c_TMAP1OUT))&gt;=0,1,-1)*QUOTIENT(((c_TMAP2IN)-(c_TMAP1IN)),2))+2147483648,4294967296)-2147483648,((c_TMAP2IN)-(c_TMAP1IN))*(((A152)-(c_TMAP1IN))*((c_TMAP2OUT)-(c_TMAP1OUT))+IF(((c_TMAP2OUT)-(c_TMAP1OUT))&gt;=0,1,-1)*QUOTIENT(((c_TMAP2IN)-(c_TMAP1IN)),2)))&gt;=0,1,0)))</f>
        <v>89</v>
      </c>
      <c r="F152" s="7" t="n">
        <f aca="false">IF(((c_TMAP3IN)-(c_TMAP2IN))=0,(c_TMAP2OUT)+QUOTIENT(((c_TMAP3OUT)-(c_TMAP2OUT)),2),QUOTIENT((((A152)-(c_TMAP2IN))*((c_TMAP3OUT)-(c_TMAP2OUT))+IF(((c_TMAP3OUT)-(c_TMAP2OUT))&gt;=0,1,-1)*QUOTIENT(((c_TMAP3IN)-(c_TMAP2IN)),2)),((c_TMAP3IN)-(c_TMAP2IN)))+(c_TMAP2OUT)+IF(((c_TMAP3OUT)-(c_TMAP2OUT))&gt;=0,IF(IF(o_WRAP=1,MOD(((c_TMAP3IN)-(c_TMAP2IN))*(((A152)-(c_TMAP2IN))*((c_TMAP3OUT)-(c_TMAP2OUT))+IF(((c_TMAP3OUT)-(c_TMAP2OUT))&gt;=0,1,-1)*QUOTIENT(((c_TMAP3IN)-(c_TMAP2IN)),2))+2147483648,4294967296)-2147483648,((c_TMAP3IN)-(c_TMAP2IN))*(((A152)-(c_TMAP2IN))*((c_TMAP3OUT)-(c_TMAP2OUT))+IF(((c_TMAP3OUT)-(c_TMAP2OUT))&gt;=0,1,-1)*QUOTIENT(((c_TMAP3IN)-(c_TMAP2IN)),2)))&lt;0,-1,0),IF(IF(o_WRAP=1,MOD(((c_TMAP3IN)-(c_TMAP2IN))*(((A152)-(c_TMAP2IN))*((c_TMAP3OUT)-(c_TMAP2OUT))+IF(((c_TMAP3OUT)-(c_TMAP2OUT))&gt;=0,1,-1)*QUOTIENT(((c_TMAP3IN)-(c_TMAP2IN)),2))+2147483648,4294967296)-2147483648,((c_TMAP3IN)-(c_TMAP2IN))*(((A152)-(c_TMAP2IN))*((c_TMAP3OUT)-(c_TMAP2OUT))+IF(((c_TMAP3OUT)-(c_TMAP2OUT))&gt;=0,1,-1)*QUOTIENT(((c_TMAP3IN)-(c_TMAP2IN)),2)))&gt;=0,1,0)))</f>
        <v>58</v>
      </c>
      <c r="G152" s="7" t="n">
        <f aca="false">IF(((1000)-(c_TMAP3IN))=0,(c_TMAP3OUT)+QUOTIENT(((1000)-(c_TMAP3OUT)),2),QUOTIENT((((A152)-(c_TMAP3IN))*((1000)-(c_TMAP3OUT))+IF(((1000)-(c_TMAP3OUT))&gt;=0,1,-1)*QUOTIENT(((1000)-(c_TMAP3IN)),2)),((1000)-(c_TMAP3IN)))+(c_TMAP3OUT)+IF(((1000)-(c_TMAP3OUT))&gt;=0,IF(IF(o_WRAP=1,MOD(((1000)-(c_TMAP3IN))*(((A152)-(c_TMAP3IN))*((1000)-(c_TMAP3OUT))+IF(((1000)-(c_TMAP3OUT))&gt;=0,1,-1)*QUOTIENT(((1000)-(c_TMAP3IN)),2))+2147483648,4294967296)-2147483648,((1000)-(c_TMAP3IN))*(((A152)-(c_TMAP3IN))*((1000)-(c_TMAP3OUT))+IF(((1000)-(c_TMAP3OUT))&gt;=0,1,-1)*QUOTIENT(((1000)-(c_TMAP3IN)),2)))&lt;0,-1,0),IF(IF(o_WRAP=1,MOD(((1000)-(c_TMAP3IN))*(((A152)-(c_TMAP3IN))*((1000)-(c_TMAP3OUT))+IF(((1000)-(c_TMAP3OUT))&gt;=0,1,-1)*QUOTIENT(((1000)-(c_TMAP3IN)),2))+2147483648,4294967296)-2147483648,((1000)-(c_TMAP3IN))*(((A152)-(c_TMAP3IN))*((1000)-(c_TMAP3OUT))+IF(((1000)-(c_TMAP3OUT))&gt;=0,1,-1)*QUOTIENT(((1000)-(c_TMAP3IN)),2)))&gt;=0,1,0)))</f>
        <v>-50</v>
      </c>
      <c r="H152" s="7" t="str">
        <f aca="false">IF(A152&gt;=c_TFWD,IF(AND(A152&gt;=c_TMAP3IN,c_TMAP3IN&lt;1000),"Seg4 map3-100%",IF(AND(A152&gt;=c_TMAP2IN,c_TMAP3IN&gt;c_TMAP2IN),"Seg3 map2-map3",IF(AND(A152&gt;=c_TMAP1IN,c_TMAP2IN&gt;c_TMAP1IN),"Seg2 map1-map2","Seg1 TFWD-map1"))),IF(AND(A152=0,c_TCREEP&gt;0),"Creep",IF(AND(A152&lt;=c_TRNGMIN,A152&gt;=c_TRNGMAX,c_TRNGMIN-c_TRNGMAX&lt;&gt;0),"Regen ramp","Coast (0)")))</f>
        <v>Seg2 map1-map2</v>
      </c>
      <c r="I152" s="7" t="n">
        <f aca="false">IF(A152&gt;=c_TFWD,IF(AND(A152&gt;=c_TMAP3IN,c_TMAP3IN&lt;1000),G152,IF(AND(A152&gt;=c_TMAP2IN,c_TMAP3IN&gt;c_TMAP2IN),F152,IF(AND(A152&gt;=c_TMAP1IN,c_TMAP2IN&gt;c_TMAP1IN),E152,D152))),C152)</f>
        <v>89</v>
      </c>
      <c r="J152" s="7" t="str">
        <f aca="false">IF(I152&lt;-1090,"TOO LOW",IF(I152&gt;1090,"TOO HIGH",""))</f>
        <v/>
      </c>
      <c r="K152" s="15" t="n">
        <f aca="false">IF(J152&lt;&gt;"",0,IF(I152&gt;979,1000,I152))</f>
        <v>89</v>
      </c>
      <c r="L152" s="7" t="n">
        <f aca="false">K152/10</f>
        <v>8.9</v>
      </c>
    </row>
    <row r="153" customFormat="false" ht="15" hidden="false" customHeight="false" outlineLevel="0" collapsed="false">
      <c r="A153" s="7" t="n">
        <v>148</v>
      </c>
      <c r="B153" s="7" t="n">
        <f aca="false">A153/10</f>
        <v>14.8</v>
      </c>
      <c r="C153" s="7" t="n">
        <f aca="false">IF(AND(A153=0,c_TCREEP&gt;0),10*c_TCREEP,IF(AND(A153&lt;=c_TRNGMIN,A153&gt;=c_TRNGMAX,c_TRNGMIN-c_TRNGMAX&lt;&gt;0),-10*c_TMINRN+QUOTIENT((c_TMAXRN-c_TMINRN)*(100-QUOTIENT((A153-c_TRNGMAX)*100,c_TRNGMIN-c_TRNGMAX)),-10),0))</f>
        <v>0</v>
      </c>
      <c r="D153" s="7" t="n">
        <f aca="false">IF(((c_TMAP1IN)-(c_TFWD))=0,(0)+QUOTIENT(((c_TMAP1OUT)-(0)),2),QUOTIENT((((A153)-(c_TFWD))*((c_TMAP1OUT)-(0))+IF(((c_TMAP1OUT)-(0))&gt;=0,1,-1)*QUOTIENT(((c_TMAP1IN)-(c_TFWD)),2)),((c_TMAP1IN)-(c_TFWD)))+(0)+IF(((c_TMAP1OUT)-(0))&gt;=0,IF(IF(o_WRAP=1,MOD(((c_TMAP1IN)-(c_TFWD))*(((A153)-(c_TFWD))*((c_TMAP1OUT)-(0))+IF(((c_TMAP1OUT)-(0))&gt;=0,1,-1)*QUOTIENT(((c_TMAP1IN)-(c_TFWD)),2))+2147483648,4294967296)-2147483648,((c_TMAP1IN)-(c_TFWD))*(((A153)-(c_TFWD))*((c_TMAP1OUT)-(0))+IF(((c_TMAP1OUT)-(0))&gt;=0,1,-1)*QUOTIENT(((c_TMAP1IN)-(c_TFWD)),2)))&lt;0,-1,0),IF(IF(o_WRAP=1,MOD(((c_TMAP1IN)-(c_TFWD))*(((A153)-(c_TFWD))*((c_TMAP1OUT)-(0))+IF(((c_TMAP1OUT)-(0))&gt;=0,1,-1)*QUOTIENT(((c_TMAP1IN)-(c_TFWD)),2))+2147483648,4294967296)-2147483648,((c_TMAP1IN)-(c_TFWD))*(((A153)-(c_TFWD))*((c_TMAP1OUT)-(0))+IF(((c_TMAP1OUT)-(0))&gt;=0,1,-1)*QUOTIENT(((c_TMAP1IN)-(c_TFWD)),2)))&gt;=0,1,0)))</f>
        <v>107</v>
      </c>
      <c r="E153" s="7" t="n">
        <f aca="false">IF(((c_TMAP2IN)-(c_TMAP1IN))=0,(c_TMAP1OUT)+QUOTIENT(((c_TMAP2OUT)-(c_TMAP1OUT)),2),QUOTIENT((((A153)-(c_TMAP1IN))*((c_TMAP2OUT)-(c_TMAP1OUT))+IF(((c_TMAP2OUT)-(c_TMAP1OUT))&gt;=0,1,-1)*QUOTIENT(((c_TMAP2IN)-(c_TMAP1IN)),2)),((c_TMAP2IN)-(c_TMAP1IN)))+(c_TMAP1OUT)+IF(((c_TMAP2OUT)-(c_TMAP1OUT))&gt;=0,IF(IF(o_WRAP=1,MOD(((c_TMAP2IN)-(c_TMAP1IN))*(((A153)-(c_TMAP1IN))*((c_TMAP2OUT)-(c_TMAP1OUT))+IF(((c_TMAP2OUT)-(c_TMAP1OUT))&gt;=0,1,-1)*QUOTIENT(((c_TMAP2IN)-(c_TMAP1IN)),2))+2147483648,4294967296)-2147483648,((c_TMAP2IN)-(c_TMAP1IN))*(((A153)-(c_TMAP1IN))*((c_TMAP2OUT)-(c_TMAP1OUT))+IF(((c_TMAP2OUT)-(c_TMAP1OUT))&gt;=0,1,-1)*QUOTIENT(((c_TMAP2IN)-(c_TMAP1IN)),2)))&lt;0,-1,0),IF(IF(o_WRAP=1,MOD(((c_TMAP2IN)-(c_TMAP1IN))*(((A153)-(c_TMAP1IN))*((c_TMAP2OUT)-(c_TMAP1OUT))+IF(((c_TMAP2OUT)-(c_TMAP1OUT))&gt;=0,1,-1)*QUOTIENT(((c_TMAP2IN)-(c_TMAP1IN)),2))+2147483648,4294967296)-2147483648,((c_TMAP2IN)-(c_TMAP1IN))*(((A153)-(c_TMAP1IN))*((c_TMAP2OUT)-(c_TMAP1OUT))+IF(((c_TMAP2OUT)-(c_TMAP1OUT))&gt;=0,1,-1)*QUOTIENT(((c_TMAP2IN)-(c_TMAP1IN)),2)))&gt;=0,1,0)))</f>
        <v>89</v>
      </c>
      <c r="F153" s="7" t="n">
        <f aca="false">IF(((c_TMAP3IN)-(c_TMAP2IN))=0,(c_TMAP2OUT)+QUOTIENT(((c_TMAP3OUT)-(c_TMAP2OUT)),2),QUOTIENT((((A153)-(c_TMAP2IN))*((c_TMAP3OUT)-(c_TMAP2OUT))+IF(((c_TMAP3OUT)-(c_TMAP2OUT))&gt;=0,1,-1)*QUOTIENT(((c_TMAP3IN)-(c_TMAP2IN)),2)),((c_TMAP3IN)-(c_TMAP2IN)))+(c_TMAP2OUT)+IF(((c_TMAP3OUT)-(c_TMAP2OUT))&gt;=0,IF(IF(o_WRAP=1,MOD(((c_TMAP3IN)-(c_TMAP2IN))*(((A153)-(c_TMAP2IN))*((c_TMAP3OUT)-(c_TMAP2OUT))+IF(((c_TMAP3OUT)-(c_TMAP2OUT))&gt;=0,1,-1)*QUOTIENT(((c_TMAP3IN)-(c_TMAP2IN)),2))+2147483648,4294967296)-2147483648,((c_TMAP3IN)-(c_TMAP2IN))*(((A153)-(c_TMAP2IN))*((c_TMAP3OUT)-(c_TMAP2OUT))+IF(((c_TMAP3OUT)-(c_TMAP2OUT))&gt;=0,1,-1)*QUOTIENT(((c_TMAP3IN)-(c_TMAP2IN)),2)))&lt;0,-1,0),IF(IF(o_WRAP=1,MOD(((c_TMAP3IN)-(c_TMAP2IN))*(((A153)-(c_TMAP2IN))*((c_TMAP3OUT)-(c_TMAP2OUT))+IF(((c_TMAP3OUT)-(c_TMAP2OUT))&gt;=0,1,-1)*QUOTIENT(((c_TMAP3IN)-(c_TMAP2IN)),2))+2147483648,4294967296)-2147483648,((c_TMAP3IN)-(c_TMAP2IN))*(((A153)-(c_TMAP2IN))*((c_TMAP3OUT)-(c_TMAP2OUT))+IF(((c_TMAP3OUT)-(c_TMAP2OUT))&gt;=0,1,-1)*QUOTIENT(((c_TMAP3IN)-(c_TMAP2IN)),2)))&gt;=0,1,0)))</f>
        <v>59</v>
      </c>
      <c r="G153" s="7" t="n">
        <f aca="false">IF(((1000)-(c_TMAP3IN))=0,(c_TMAP3OUT)+QUOTIENT(((1000)-(c_TMAP3OUT)),2),QUOTIENT((((A153)-(c_TMAP3IN))*((1000)-(c_TMAP3OUT))+IF(((1000)-(c_TMAP3OUT))&gt;=0,1,-1)*QUOTIENT(((1000)-(c_TMAP3IN)),2)),((1000)-(c_TMAP3IN)))+(c_TMAP3OUT)+IF(((1000)-(c_TMAP3OUT))&gt;=0,IF(IF(o_WRAP=1,MOD(((1000)-(c_TMAP3IN))*(((A153)-(c_TMAP3IN))*((1000)-(c_TMAP3OUT))+IF(((1000)-(c_TMAP3OUT))&gt;=0,1,-1)*QUOTIENT(((1000)-(c_TMAP3IN)),2))+2147483648,4294967296)-2147483648,((1000)-(c_TMAP3IN))*(((A153)-(c_TMAP3IN))*((1000)-(c_TMAP3OUT))+IF(((1000)-(c_TMAP3OUT))&gt;=0,1,-1)*QUOTIENT(((1000)-(c_TMAP3IN)),2)))&lt;0,-1,0),IF(IF(o_WRAP=1,MOD(((1000)-(c_TMAP3IN))*(((A153)-(c_TMAP3IN))*((1000)-(c_TMAP3OUT))+IF(((1000)-(c_TMAP3OUT))&gt;=0,1,-1)*QUOTIENT(((1000)-(c_TMAP3IN)),2))+2147483648,4294967296)-2147483648,((1000)-(c_TMAP3IN))*(((A153)-(c_TMAP3IN))*((1000)-(c_TMAP3OUT))+IF(((1000)-(c_TMAP3OUT))&gt;=0,1,-1)*QUOTIENT(((1000)-(c_TMAP3IN)),2)))&gt;=0,1,0)))</f>
        <v>-49</v>
      </c>
      <c r="H153" s="7" t="str">
        <f aca="false">IF(A153&gt;=c_TFWD,IF(AND(A153&gt;=c_TMAP3IN,c_TMAP3IN&lt;1000),"Seg4 map3-100%",IF(AND(A153&gt;=c_TMAP2IN,c_TMAP3IN&gt;c_TMAP2IN),"Seg3 map2-map3",IF(AND(A153&gt;=c_TMAP1IN,c_TMAP2IN&gt;c_TMAP1IN),"Seg2 map1-map2","Seg1 TFWD-map1"))),IF(AND(A153=0,c_TCREEP&gt;0),"Creep",IF(AND(A153&lt;=c_TRNGMIN,A153&gt;=c_TRNGMAX,c_TRNGMIN-c_TRNGMAX&lt;&gt;0),"Regen ramp","Coast (0)")))</f>
        <v>Seg2 map1-map2</v>
      </c>
      <c r="I153" s="7" t="n">
        <f aca="false">IF(A153&gt;=c_TFWD,IF(AND(A153&gt;=c_TMAP3IN,c_TMAP3IN&lt;1000),G153,IF(AND(A153&gt;=c_TMAP2IN,c_TMAP3IN&gt;c_TMAP2IN),F153,IF(AND(A153&gt;=c_TMAP1IN,c_TMAP2IN&gt;c_TMAP1IN),E153,D153))),C153)</f>
        <v>89</v>
      </c>
      <c r="J153" s="7" t="str">
        <f aca="false">IF(I153&lt;-1090,"TOO LOW",IF(I153&gt;1090,"TOO HIGH",""))</f>
        <v/>
      </c>
      <c r="K153" s="15" t="n">
        <f aca="false">IF(J153&lt;&gt;"",0,IF(I153&gt;979,1000,I153))</f>
        <v>89</v>
      </c>
      <c r="L153" s="7" t="n">
        <f aca="false">K153/10</f>
        <v>8.9</v>
      </c>
    </row>
    <row r="154" customFormat="false" ht="15" hidden="false" customHeight="false" outlineLevel="0" collapsed="false">
      <c r="A154" s="7" t="n">
        <v>149</v>
      </c>
      <c r="B154" s="7" t="n">
        <f aca="false">A154/10</f>
        <v>14.9</v>
      </c>
      <c r="C154" s="7" t="n">
        <f aca="false">IF(AND(A154=0,c_TCREEP&gt;0),10*c_TCREEP,IF(AND(A154&lt;=c_TRNGMIN,A154&gt;=c_TRNGMAX,c_TRNGMIN-c_TRNGMAX&lt;&gt;0),-10*c_TMINRN+QUOTIENT((c_TMAXRN-c_TMINRN)*(100-QUOTIENT((A154-c_TRNGMAX)*100,c_TRNGMIN-c_TRNGMAX)),-10),0))</f>
        <v>0</v>
      </c>
      <c r="D154" s="7" t="n">
        <f aca="false">IF(((c_TMAP1IN)-(c_TFWD))=0,(0)+QUOTIENT(((c_TMAP1OUT)-(0)),2),QUOTIENT((((A154)-(c_TFWD))*((c_TMAP1OUT)-(0))+IF(((c_TMAP1OUT)-(0))&gt;=0,1,-1)*QUOTIENT(((c_TMAP1IN)-(c_TFWD)),2)),((c_TMAP1IN)-(c_TFWD)))+(0)+IF(((c_TMAP1OUT)-(0))&gt;=0,IF(IF(o_WRAP=1,MOD(((c_TMAP1IN)-(c_TFWD))*(((A154)-(c_TFWD))*((c_TMAP1OUT)-(0))+IF(((c_TMAP1OUT)-(0))&gt;=0,1,-1)*QUOTIENT(((c_TMAP1IN)-(c_TFWD)),2))+2147483648,4294967296)-2147483648,((c_TMAP1IN)-(c_TFWD))*(((A154)-(c_TFWD))*((c_TMAP1OUT)-(0))+IF(((c_TMAP1OUT)-(0))&gt;=0,1,-1)*QUOTIENT(((c_TMAP1IN)-(c_TFWD)),2)))&lt;0,-1,0),IF(IF(o_WRAP=1,MOD(((c_TMAP1IN)-(c_TFWD))*(((A154)-(c_TFWD))*((c_TMAP1OUT)-(0))+IF(((c_TMAP1OUT)-(0))&gt;=0,1,-1)*QUOTIENT(((c_TMAP1IN)-(c_TFWD)),2))+2147483648,4294967296)-2147483648,((c_TMAP1IN)-(c_TFWD))*(((A154)-(c_TFWD))*((c_TMAP1OUT)-(0))+IF(((c_TMAP1OUT)-(0))&gt;=0,1,-1)*QUOTIENT(((c_TMAP1IN)-(c_TFWD)),2)))&gt;=0,1,0)))</f>
        <v>108</v>
      </c>
      <c r="E154" s="7" t="n">
        <f aca="false">IF(((c_TMAP2IN)-(c_TMAP1IN))=0,(c_TMAP1OUT)+QUOTIENT(((c_TMAP2OUT)-(c_TMAP1OUT)),2),QUOTIENT((((A154)-(c_TMAP1IN))*((c_TMAP2OUT)-(c_TMAP1OUT))+IF(((c_TMAP2OUT)-(c_TMAP1OUT))&gt;=0,1,-1)*QUOTIENT(((c_TMAP2IN)-(c_TMAP1IN)),2)),((c_TMAP2IN)-(c_TMAP1IN)))+(c_TMAP1OUT)+IF(((c_TMAP2OUT)-(c_TMAP1OUT))&gt;=0,IF(IF(o_WRAP=1,MOD(((c_TMAP2IN)-(c_TMAP1IN))*(((A154)-(c_TMAP1IN))*((c_TMAP2OUT)-(c_TMAP1OUT))+IF(((c_TMAP2OUT)-(c_TMAP1OUT))&gt;=0,1,-1)*QUOTIENT(((c_TMAP2IN)-(c_TMAP1IN)),2))+2147483648,4294967296)-2147483648,((c_TMAP2IN)-(c_TMAP1IN))*(((A154)-(c_TMAP1IN))*((c_TMAP2OUT)-(c_TMAP1OUT))+IF(((c_TMAP2OUT)-(c_TMAP1OUT))&gt;=0,1,-1)*QUOTIENT(((c_TMAP2IN)-(c_TMAP1IN)),2)))&lt;0,-1,0),IF(IF(o_WRAP=1,MOD(((c_TMAP2IN)-(c_TMAP1IN))*(((A154)-(c_TMAP1IN))*((c_TMAP2OUT)-(c_TMAP1OUT))+IF(((c_TMAP2OUT)-(c_TMAP1OUT))&gt;=0,1,-1)*QUOTIENT(((c_TMAP2IN)-(c_TMAP1IN)),2))+2147483648,4294967296)-2147483648,((c_TMAP2IN)-(c_TMAP1IN))*(((A154)-(c_TMAP1IN))*((c_TMAP2OUT)-(c_TMAP1OUT))+IF(((c_TMAP2OUT)-(c_TMAP1OUT))&gt;=0,1,-1)*QUOTIENT(((c_TMAP2IN)-(c_TMAP1IN)),2)))&gt;=0,1,0)))</f>
        <v>90</v>
      </c>
      <c r="F154" s="7" t="n">
        <f aca="false">IF(((c_TMAP3IN)-(c_TMAP2IN))=0,(c_TMAP2OUT)+QUOTIENT(((c_TMAP3OUT)-(c_TMAP2OUT)),2),QUOTIENT((((A154)-(c_TMAP2IN))*((c_TMAP3OUT)-(c_TMAP2OUT))+IF(((c_TMAP3OUT)-(c_TMAP2OUT))&gt;=0,1,-1)*QUOTIENT(((c_TMAP3IN)-(c_TMAP2IN)),2)),((c_TMAP3IN)-(c_TMAP2IN)))+(c_TMAP2OUT)+IF(((c_TMAP3OUT)-(c_TMAP2OUT))&gt;=0,IF(IF(o_WRAP=1,MOD(((c_TMAP3IN)-(c_TMAP2IN))*(((A154)-(c_TMAP2IN))*((c_TMAP3OUT)-(c_TMAP2OUT))+IF(((c_TMAP3OUT)-(c_TMAP2OUT))&gt;=0,1,-1)*QUOTIENT(((c_TMAP3IN)-(c_TMAP2IN)),2))+2147483648,4294967296)-2147483648,((c_TMAP3IN)-(c_TMAP2IN))*(((A154)-(c_TMAP2IN))*((c_TMAP3OUT)-(c_TMAP2OUT))+IF(((c_TMAP3OUT)-(c_TMAP2OUT))&gt;=0,1,-1)*QUOTIENT(((c_TMAP3IN)-(c_TMAP2IN)),2)))&lt;0,-1,0),IF(IF(o_WRAP=1,MOD(((c_TMAP3IN)-(c_TMAP2IN))*(((A154)-(c_TMAP2IN))*((c_TMAP3OUT)-(c_TMAP2OUT))+IF(((c_TMAP3OUT)-(c_TMAP2OUT))&gt;=0,1,-1)*QUOTIENT(((c_TMAP3IN)-(c_TMAP2IN)),2))+2147483648,4294967296)-2147483648,((c_TMAP3IN)-(c_TMAP2IN))*(((A154)-(c_TMAP2IN))*((c_TMAP3OUT)-(c_TMAP2OUT))+IF(((c_TMAP3OUT)-(c_TMAP2OUT))&gt;=0,1,-1)*QUOTIENT(((c_TMAP3IN)-(c_TMAP2IN)),2)))&gt;=0,1,0)))</f>
        <v>59</v>
      </c>
      <c r="G154" s="7" t="n">
        <f aca="false">IF(((1000)-(c_TMAP3IN))=0,(c_TMAP3OUT)+QUOTIENT(((1000)-(c_TMAP3OUT)),2),QUOTIENT((((A154)-(c_TMAP3IN))*((1000)-(c_TMAP3OUT))+IF(((1000)-(c_TMAP3OUT))&gt;=0,1,-1)*QUOTIENT(((1000)-(c_TMAP3IN)),2)),((1000)-(c_TMAP3IN)))+(c_TMAP3OUT)+IF(((1000)-(c_TMAP3OUT))&gt;=0,IF(IF(o_WRAP=1,MOD(((1000)-(c_TMAP3IN))*(((A154)-(c_TMAP3IN))*((1000)-(c_TMAP3OUT))+IF(((1000)-(c_TMAP3OUT))&gt;=0,1,-1)*QUOTIENT(((1000)-(c_TMAP3IN)),2))+2147483648,4294967296)-2147483648,((1000)-(c_TMAP3IN))*(((A154)-(c_TMAP3IN))*((1000)-(c_TMAP3OUT))+IF(((1000)-(c_TMAP3OUT))&gt;=0,1,-1)*QUOTIENT(((1000)-(c_TMAP3IN)),2)))&lt;0,-1,0),IF(IF(o_WRAP=1,MOD(((1000)-(c_TMAP3IN))*(((A154)-(c_TMAP3IN))*((1000)-(c_TMAP3OUT))+IF(((1000)-(c_TMAP3OUT))&gt;=0,1,-1)*QUOTIENT(((1000)-(c_TMAP3IN)),2))+2147483648,4294967296)-2147483648,((1000)-(c_TMAP3IN))*(((A154)-(c_TMAP3IN))*((1000)-(c_TMAP3OUT))+IF(((1000)-(c_TMAP3OUT))&gt;=0,1,-1)*QUOTIENT(((1000)-(c_TMAP3IN)),2)))&gt;=0,1,0)))</f>
        <v>-47</v>
      </c>
      <c r="H154" s="7" t="str">
        <f aca="false">IF(A154&gt;=c_TFWD,IF(AND(A154&gt;=c_TMAP3IN,c_TMAP3IN&lt;1000),"Seg4 map3-100%",IF(AND(A154&gt;=c_TMAP2IN,c_TMAP3IN&gt;c_TMAP2IN),"Seg3 map2-map3",IF(AND(A154&gt;=c_TMAP1IN,c_TMAP2IN&gt;c_TMAP1IN),"Seg2 map1-map2","Seg1 TFWD-map1"))),IF(AND(A154=0,c_TCREEP&gt;0),"Creep",IF(AND(A154&lt;=c_TRNGMIN,A154&gt;=c_TRNGMAX,c_TRNGMIN-c_TRNGMAX&lt;&gt;0),"Regen ramp","Coast (0)")))</f>
        <v>Seg2 map1-map2</v>
      </c>
      <c r="I154" s="7" t="n">
        <f aca="false">IF(A154&gt;=c_TFWD,IF(AND(A154&gt;=c_TMAP3IN,c_TMAP3IN&lt;1000),G154,IF(AND(A154&gt;=c_TMAP2IN,c_TMAP3IN&gt;c_TMAP2IN),F154,IF(AND(A154&gt;=c_TMAP1IN,c_TMAP2IN&gt;c_TMAP1IN),E154,D154))),C154)</f>
        <v>90</v>
      </c>
      <c r="J154" s="7" t="str">
        <f aca="false">IF(I154&lt;-1090,"TOO LOW",IF(I154&gt;1090,"TOO HIGH",""))</f>
        <v/>
      </c>
      <c r="K154" s="15" t="n">
        <f aca="false">IF(J154&lt;&gt;"",0,IF(I154&gt;979,1000,I154))</f>
        <v>90</v>
      </c>
      <c r="L154" s="7" t="n">
        <f aca="false">K154/10</f>
        <v>9</v>
      </c>
    </row>
    <row r="155" customFormat="false" ht="15" hidden="false" customHeight="false" outlineLevel="0" collapsed="false">
      <c r="A155" s="7" t="n">
        <v>150</v>
      </c>
      <c r="B155" s="7" t="n">
        <f aca="false">A155/10</f>
        <v>15</v>
      </c>
      <c r="C155" s="7" t="n">
        <f aca="false">IF(AND(A155=0,c_TCREEP&gt;0),10*c_TCREEP,IF(AND(A155&lt;=c_TRNGMIN,A155&gt;=c_TRNGMAX,c_TRNGMIN-c_TRNGMAX&lt;&gt;0),-10*c_TMINRN+QUOTIENT((c_TMAXRN-c_TMINRN)*(100-QUOTIENT((A155-c_TRNGMAX)*100,c_TRNGMIN-c_TRNGMAX)),-10),0))</f>
        <v>0</v>
      </c>
      <c r="D155" s="7" t="n">
        <f aca="false">IF(((c_TMAP1IN)-(c_TFWD))=0,(0)+QUOTIENT(((c_TMAP1OUT)-(0)),2),QUOTIENT((((A155)-(c_TFWD))*((c_TMAP1OUT)-(0))+IF(((c_TMAP1OUT)-(0))&gt;=0,1,-1)*QUOTIENT(((c_TMAP1IN)-(c_TFWD)),2)),((c_TMAP1IN)-(c_TFWD)))+(0)+IF(((c_TMAP1OUT)-(0))&gt;=0,IF(IF(o_WRAP=1,MOD(((c_TMAP1IN)-(c_TFWD))*(((A155)-(c_TFWD))*((c_TMAP1OUT)-(0))+IF(((c_TMAP1OUT)-(0))&gt;=0,1,-1)*QUOTIENT(((c_TMAP1IN)-(c_TFWD)),2))+2147483648,4294967296)-2147483648,((c_TMAP1IN)-(c_TFWD))*(((A155)-(c_TFWD))*((c_TMAP1OUT)-(0))+IF(((c_TMAP1OUT)-(0))&gt;=0,1,-1)*QUOTIENT(((c_TMAP1IN)-(c_TFWD)),2)))&lt;0,-1,0),IF(IF(o_WRAP=1,MOD(((c_TMAP1IN)-(c_TFWD))*(((A155)-(c_TFWD))*((c_TMAP1OUT)-(0))+IF(((c_TMAP1OUT)-(0))&gt;=0,1,-1)*QUOTIENT(((c_TMAP1IN)-(c_TFWD)),2))+2147483648,4294967296)-2147483648,((c_TMAP1IN)-(c_TFWD))*(((A155)-(c_TFWD))*((c_TMAP1OUT)-(0))+IF(((c_TMAP1OUT)-(0))&gt;=0,1,-1)*QUOTIENT(((c_TMAP1IN)-(c_TFWD)),2)))&gt;=0,1,0)))</f>
        <v>109</v>
      </c>
      <c r="E155" s="7" t="n">
        <f aca="false">IF(((c_TMAP2IN)-(c_TMAP1IN))=0,(c_TMAP1OUT)+QUOTIENT(((c_TMAP2OUT)-(c_TMAP1OUT)),2),QUOTIENT((((A155)-(c_TMAP1IN))*((c_TMAP2OUT)-(c_TMAP1OUT))+IF(((c_TMAP2OUT)-(c_TMAP1OUT))&gt;=0,1,-1)*QUOTIENT(((c_TMAP2IN)-(c_TMAP1IN)),2)),((c_TMAP2IN)-(c_TMAP1IN)))+(c_TMAP1OUT)+IF(((c_TMAP2OUT)-(c_TMAP1OUT))&gt;=0,IF(IF(o_WRAP=1,MOD(((c_TMAP2IN)-(c_TMAP1IN))*(((A155)-(c_TMAP1IN))*((c_TMAP2OUT)-(c_TMAP1OUT))+IF(((c_TMAP2OUT)-(c_TMAP1OUT))&gt;=0,1,-1)*QUOTIENT(((c_TMAP2IN)-(c_TMAP1IN)),2))+2147483648,4294967296)-2147483648,((c_TMAP2IN)-(c_TMAP1IN))*(((A155)-(c_TMAP1IN))*((c_TMAP2OUT)-(c_TMAP1OUT))+IF(((c_TMAP2OUT)-(c_TMAP1OUT))&gt;=0,1,-1)*QUOTIENT(((c_TMAP2IN)-(c_TMAP1IN)),2)))&lt;0,-1,0),IF(IF(o_WRAP=1,MOD(((c_TMAP2IN)-(c_TMAP1IN))*(((A155)-(c_TMAP1IN))*((c_TMAP2OUT)-(c_TMAP1OUT))+IF(((c_TMAP2OUT)-(c_TMAP1OUT))&gt;=0,1,-1)*QUOTIENT(((c_TMAP2IN)-(c_TMAP1IN)),2))+2147483648,4294967296)-2147483648,((c_TMAP2IN)-(c_TMAP1IN))*(((A155)-(c_TMAP1IN))*((c_TMAP2OUT)-(c_TMAP1OUT))+IF(((c_TMAP2OUT)-(c_TMAP1OUT))&gt;=0,1,-1)*QUOTIENT(((c_TMAP2IN)-(c_TMAP1IN)),2)))&gt;=0,1,0)))</f>
        <v>90</v>
      </c>
      <c r="F155" s="7" t="n">
        <f aca="false">IF(((c_TMAP3IN)-(c_TMAP2IN))=0,(c_TMAP2OUT)+QUOTIENT(((c_TMAP3OUT)-(c_TMAP2OUT)),2),QUOTIENT((((A155)-(c_TMAP2IN))*((c_TMAP3OUT)-(c_TMAP2OUT))+IF(((c_TMAP3OUT)-(c_TMAP2OUT))&gt;=0,1,-1)*QUOTIENT(((c_TMAP3IN)-(c_TMAP2IN)),2)),((c_TMAP3IN)-(c_TMAP2IN)))+(c_TMAP2OUT)+IF(((c_TMAP3OUT)-(c_TMAP2OUT))&gt;=0,IF(IF(o_WRAP=1,MOD(((c_TMAP3IN)-(c_TMAP2IN))*(((A155)-(c_TMAP2IN))*((c_TMAP3OUT)-(c_TMAP2OUT))+IF(((c_TMAP3OUT)-(c_TMAP2OUT))&gt;=0,1,-1)*QUOTIENT(((c_TMAP3IN)-(c_TMAP2IN)),2))+2147483648,4294967296)-2147483648,((c_TMAP3IN)-(c_TMAP2IN))*(((A155)-(c_TMAP2IN))*((c_TMAP3OUT)-(c_TMAP2OUT))+IF(((c_TMAP3OUT)-(c_TMAP2OUT))&gt;=0,1,-1)*QUOTIENT(((c_TMAP3IN)-(c_TMAP2IN)),2)))&lt;0,-1,0),IF(IF(o_WRAP=1,MOD(((c_TMAP3IN)-(c_TMAP2IN))*(((A155)-(c_TMAP2IN))*((c_TMAP3OUT)-(c_TMAP2OUT))+IF(((c_TMAP3OUT)-(c_TMAP2OUT))&gt;=0,1,-1)*QUOTIENT(((c_TMAP3IN)-(c_TMAP2IN)),2))+2147483648,4294967296)-2147483648,((c_TMAP3IN)-(c_TMAP2IN))*(((A155)-(c_TMAP2IN))*((c_TMAP3OUT)-(c_TMAP2OUT))+IF(((c_TMAP3OUT)-(c_TMAP2OUT))&gt;=0,1,-1)*QUOTIENT(((c_TMAP3IN)-(c_TMAP2IN)),2)))&gt;=0,1,0)))</f>
        <v>60</v>
      </c>
      <c r="G155" s="7" t="n">
        <f aca="false">IF(((1000)-(c_TMAP3IN))=0,(c_TMAP3OUT)+QUOTIENT(((1000)-(c_TMAP3OUT)),2),QUOTIENT((((A155)-(c_TMAP3IN))*((1000)-(c_TMAP3OUT))+IF(((1000)-(c_TMAP3OUT))&gt;=0,1,-1)*QUOTIENT(((1000)-(c_TMAP3IN)),2)),((1000)-(c_TMAP3IN)))+(c_TMAP3OUT)+IF(((1000)-(c_TMAP3OUT))&gt;=0,IF(IF(o_WRAP=1,MOD(((1000)-(c_TMAP3IN))*(((A155)-(c_TMAP3IN))*((1000)-(c_TMAP3OUT))+IF(((1000)-(c_TMAP3OUT))&gt;=0,1,-1)*QUOTIENT(((1000)-(c_TMAP3IN)),2))+2147483648,4294967296)-2147483648,((1000)-(c_TMAP3IN))*(((A155)-(c_TMAP3IN))*((1000)-(c_TMAP3OUT))+IF(((1000)-(c_TMAP3OUT))&gt;=0,1,-1)*QUOTIENT(((1000)-(c_TMAP3IN)),2)))&lt;0,-1,0),IF(IF(o_WRAP=1,MOD(((1000)-(c_TMAP3IN))*(((A155)-(c_TMAP3IN))*((1000)-(c_TMAP3OUT))+IF(((1000)-(c_TMAP3OUT))&gt;=0,1,-1)*QUOTIENT(((1000)-(c_TMAP3IN)),2))+2147483648,4294967296)-2147483648,((1000)-(c_TMAP3IN))*(((A155)-(c_TMAP3IN))*((1000)-(c_TMAP3OUT))+IF(((1000)-(c_TMAP3OUT))&gt;=0,1,-1)*QUOTIENT(((1000)-(c_TMAP3IN)),2)))&gt;=0,1,0)))</f>
        <v>-46</v>
      </c>
      <c r="H155" s="7" t="str">
        <f aca="false">IF(A155&gt;=c_TFWD,IF(AND(A155&gt;=c_TMAP3IN,c_TMAP3IN&lt;1000),"Seg4 map3-100%",IF(AND(A155&gt;=c_TMAP2IN,c_TMAP3IN&gt;c_TMAP2IN),"Seg3 map2-map3",IF(AND(A155&gt;=c_TMAP1IN,c_TMAP2IN&gt;c_TMAP1IN),"Seg2 map1-map2","Seg1 TFWD-map1"))),IF(AND(A155=0,c_TCREEP&gt;0),"Creep",IF(AND(A155&lt;=c_TRNGMIN,A155&gt;=c_TRNGMAX,c_TRNGMIN-c_TRNGMAX&lt;&gt;0),"Regen ramp","Coast (0)")))</f>
        <v>Seg2 map1-map2</v>
      </c>
      <c r="I155" s="7" t="n">
        <f aca="false">IF(A155&gt;=c_TFWD,IF(AND(A155&gt;=c_TMAP3IN,c_TMAP3IN&lt;1000),G155,IF(AND(A155&gt;=c_TMAP2IN,c_TMAP3IN&gt;c_TMAP2IN),F155,IF(AND(A155&gt;=c_TMAP1IN,c_TMAP2IN&gt;c_TMAP1IN),E155,D155))),C155)</f>
        <v>90</v>
      </c>
      <c r="J155" s="7" t="str">
        <f aca="false">IF(I155&lt;-1090,"TOO LOW",IF(I155&gt;1090,"TOO HIGH",""))</f>
        <v/>
      </c>
      <c r="K155" s="15" t="n">
        <f aca="false">IF(J155&lt;&gt;"",0,IF(I155&gt;979,1000,I155))</f>
        <v>90</v>
      </c>
      <c r="L155" s="7" t="n">
        <f aca="false">K155/10</f>
        <v>9</v>
      </c>
    </row>
    <row r="156" customFormat="false" ht="15" hidden="false" customHeight="false" outlineLevel="0" collapsed="false">
      <c r="A156" s="7" t="n">
        <v>151</v>
      </c>
      <c r="B156" s="7" t="n">
        <f aca="false">A156/10</f>
        <v>15.1</v>
      </c>
      <c r="C156" s="7" t="n">
        <f aca="false">IF(AND(A156=0,c_TCREEP&gt;0),10*c_TCREEP,IF(AND(A156&lt;=c_TRNGMIN,A156&gt;=c_TRNGMAX,c_TRNGMIN-c_TRNGMAX&lt;&gt;0),-10*c_TMINRN+QUOTIENT((c_TMAXRN-c_TMINRN)*(100-QUOTIENT((A156-c_TRNGMAX)*100,c_TRNGMIN-c_TRNGMAX)),-10),0))</f>
        <v>0</v>
      </c>
      <c r="D156" s="7" t="n">
        <f aca="false">IF(((c_TMAP1IN)-(c_TFWD))=0,(0)+QUOTIENT(((c_TMAP1OUT)-(0)),2),QUOTIENT((((A156)-(c_TFWD))*((c_TMAP1OUT)-(0))+IF(((c_TMAP1OUT)-(0))&gt;=0,1,-1)*QUOTIENT(((c_TMAP1IN)-(c_TFWD)),2)),((c_TMAP1IN)-(c_TFWD)))+(0)+IF(((c_TMAP1OUT)-(0))&gt;=0,IF(IF(o_WRAP=1,MOD(((c_TMAP1IN)-(c_TFWD))*(((A156)-(c_TFWD))*((c_TMAP1OUT)-(0))+IF(((c_TMAP1OUT)-(0))&gt;=0,1,-1)*QUOTIENT(((c_TMAP1IN)-(c_TFWD)),2))+2147483648,4294967296)-2147483648,((c_TMAP1IN)-(c_TFWD))*(((A156)-(c_TFWD))*((c_TMAP1OUT)-(0))+IF(((c_TMAP1OUT)-(0))&gt;=0,1,-1)*QUOTIENT(((c_TMAP1IN)-(c_TFWD)),2)))&lt;0,-1,0),IF(IF(o_WRAP=1,MOD(((c_TMAP1IN)-(c_TFWD))*(((A156)-(c_TFWD))*((c_TMAP1OUT)-(0))+IF(((c_TMAP1OUT)-(0))&gt;=0,1,-1)*QUOTIENT(((c_TMAP1IN)-(c_TFWD)),2))+2147483648,4294967296)-2147483648,((c_TMAP1IN)-(c_TFWD))*(((A156)-(c_TFWD))*((c_TMAP1OUT)-(0))+IF(((c_TMAP1OUT)-(0))&gt;=0,1,-1)*QUOTIENT(((c_TMAP1IN)-(c_TFWD)),2)))&gt;=0,1,0)))</f>
        <v>110</v>
      </c>
      <c r="E156" s="7" t="n">
        <f aca="false">IF(((c_TMAP2IN)-(c_TMAP1IN))=0,(c_TMAP1OUT)+QUOTIENT(((c_TMAP2OUT)-(c_TMAP1OUT)),2),QUOTIENT((((A156)-(c_TMAP1IN))*((c_TMAP2OUT)-(c_TMAP1OUT))+IF(((c_TMAP2OUT)-(c_TMAP1OUT))&gt;=0,1,-1)*QUOTIENT(((c_TMAP2IN)-(c_TMAP1IN)),2)),((c_TMAP2IN)-(c_TMAP1IN)))+(c_TMAP1OUT)+IF(((c_TMAP2OUT)-(c_TMAP1OUT))&gt;=0,IF(IF(o_WRAP=1,MOD(((c_TMAP2IN)-(c_TMAP1IN))*(((A156)-(c_TMAP1IN))*((c_TMAP2OUT)-(c_TMAP1OUT))+IF(((c_TMAP2OUT)-(c_TMAP1OUT))&gt;=0,1,-1)*QUOTIENT(((c_TMAP2IN)-(c_TMAP1IN)),2))+2147483648,4294967296)-2147483648,((c_TMAP2IN)-(c_TMAP1IN))*(((A156)-(c_TMAP1IN))*((c_TMAP2OUT)-(c_TMAP1OUT))+IF(((c_TMAP2OUT)-(c_TMAP1OUT))&gt;=0,1,-1)*QUOTIENT(((c_TMAP2IN)-(c_TMAP1IN)),2)))&lt;0,-1,0),IF(IF(o_WRAP=1,MOD(((c_TMAP2IN)-(c_TMAP1IN))*(((A156)-(c_TMAP1IN))*((c_TMAP2OUT)-(c_TMAP1OUT))+IF(((c_TMAP2OUT)-(c_TMAP1OUT))&gt;=0,1,-1)*QUOTIENT(((c_TMAP2IN)-(c_TMAP1IN)),2))+2147483648,4294967296)-2147483648,((c_TMAP2IN)-(c_TMAP1IN))*(((A156)-(c_TMAP1IN))*((c_TMAP2OUT)-(c_TMAP1OUT))+IF(((c_TMAP2OUT)-(c_TMAP1OUT))&gt;=0,1,-1)*QUOTIENT(((c_TMAP2IN)-(c_TMAP1IN)),2)))&gt;=0,1,0)))</f>
        <v>90</v>
      </c>
      <c r="F156" s="7" t="n">
        <f aca="false">IF(((c_TMAP3IN)-(c_TMAP2IN))=0,(c_TMAP2OUT)+QUOTIENT(((c_TMAP3OUT)-(c_TMAP2OUT)),2),QUOTIENT((((A156)-(c_TMAP2IN))*((c_TMAP3OUT)-(c_TMAP2OUT))+IF(((c_TMAP3OUT)-(c_TMAP2OUT))&gt;=0,1,-1)*QUOTIENT(((c_TMAP3IN)-(c_TMAP2IN)),2)),((c_TMAP3IN)-(c_TMAP2IN)))+(c_TMAP2OUT)+IF(((c_TMAP3OUT)-(c_TMAP2OUT))&gt;=0,IF(IF(o_WRAP=1,MOD(((c_TMAP3IN)-(c_TMAP2IN))*(((A156)-(c_TMAP2IN))*((c_TMAP3OUT)-(c_TMAP2OUT))+IF(((c_TMAP3OUT)-(c_TMAP2OUT))&gt;=0,1,-1)*QUOTIENT(((c_TMAP3IN)-(c_TMAP2IN)),2))+2147483648,4294967296)-2147483648,((c_TMAP3IN)-(c_TMAP2IN))*(((A156)-(c_TMAP2IN))*((c_TMAP3OUT)-(c_TMAP2OUT))+IF(((c_TMAP3OUT)-(c_TMAP2OUT))&gt;=0,1,-1)*QUOTIENT(((c_TMAP3IN)-(c_TMAP2IN)),2)))&lt;0,-1,0),IF(IF(o_WRAP=1,MOD(((c_TMAP3IN)-(c_TMAP2IN))*(((A156)-(c_TMAP2IN))*((c_TMAP3OUT)-(c_TMAP2OUT))+IF(((c_TMAP3OUT)-(c_TMAP2OUT))&gt;=0,1,-1)*QUOTIENT(((c_TMAP3IN)-(c_TMAP2IN)),2))+2147483648,4294967296)-2147483648,((c_TMAP3IN)-(c_TMAP2IN))*(((A156)-(c_TMAP2IN))*((c_TMAP3OUT)-(c_TMAP2OUT))+IF(((c_TMAP3OUT)-(c_TMAP2OUT))&gt;=0,1,-1)*QUOTIENT(((c_TMAP3IN)-(c_TMAP2IN)),2)))&gt;=0,1,0)))</f>
        <v>61</v>
      </c>
      <c r="G156" s="7" t="n">
        <f aca="false">IF(((1000)-(c_TMAP3IN))=0,(c_TMAP3OUT)+QUOTIENT(((1000)-(c_TMAP3OUT)),2),QUOTIENT((((A156)-(c_TMAP3IN))*((1000)-(c_TMAP3OUT))+IF(((1000)-(c_TMAP3OUT))&gt;=0,1,-1)*QUOTIENT(((1000)-(c_TMAP3IN)),2)),((1000)-(c_TMAP3IN)))+(c_TMAP3OUT)+IF(((1000)-(c_TMAP3OUT))&gt;=0,IF(IF(o_WRAP=1,MOD(((1000)-(c_TMAP3IN))*(((A156)-(c_TMAP3IN))*((1000)-(c_TMAP3OUT))+IF(((1000)-(c_TMAP3OUT))&gt;=0,1,-1)*QUOTIENT(((1000)-(c_TMAP3IN)),2))+2147483648,4294967296)-2147483648,((1000)-(c_TMAP3IN))*(((A156)-(c_TMAP3IN))*((1000)-(c_TMAP3OUT))+IF(((1000)-(c_TMAP3OUT))&gt;=0,1,-1)*QUOTIENT(((1000)-(c_TMAP3IN)),2)))&lt;0,-1,0),IF(IF(o_WRAP=1,MOD(((1000)-(c_TMAP3IN))*(((A156)-(c_TMAP3IN))*((1000)-(c_TMAP3OUT))+IF(((1000)-(c_TMAP3OUT))&gt;=0,1,-1)*QUOTIENT(((1000)-(c_TMAP3IN)),2))+2147483648,4294967296)-2147483648,((1000)-(c_TMAP3IN))*(((A156)-(c_TMAP3IN))*((1000)-(c_TMAP3OUT))+IF(((1000)-(c_TMAP3OUT))&gt;=0,1,-1)*QUOTIENT(((1000)-(c_TMAP3IN)),2)))&gt;=0,1,0)))</f>
        <v>-45</v>
      </c>
      <c r="H156" s="7" t="str">
        <f aca="false">IF(A156&gt;=c_TFWD,IF(AND(A156&gt;=c_TMAP3IN,c_TMAP3IN&lt;1000),"Seg4 map3-100%",IF(AND(A156&gt;=c_TMAP2IN,c_TMAP3IN&gt;c_TMAP2IN),"Seg3 map2-map3",IF(AND(A156&gt;=c_TMAP1IN,c_TMAP2IN&gt;c_TMAP1IN),"Seg2 map1-map2","Seg1 TFWD-map1"))),IF(AND(A156=0,c_TCREEP&gt;0),"Creep",IF(AND(A156&lt;=c_TRNGMIN,A156&gt;=c_TRNGMAX,c_TRNGMIN-c_TRNGMAX&lt;&gt;0),"Regen ramp","Coast (0)")))</f>
        <v>Seg2 map1-map2</v>
      </c>
      <c r="I156" s="7" t="n">
        <f aca="false">IF(A156&gt;=c_TFWD,IF(AND(A156&gt;=c_TMAP3IN,c_TMAP3IN&lt;1000),G156,IF(AND(A156&gt;=c_TMAP2IN,c_TMAP3IN&gt;c_TMAP2IN),F156,IF(AND(A156&gt;=c_TMAP1IN,c_TMAP2IN&gt;c_TMAP1IN),E156,D156))),C156)</f>
        <v>90</v>
      </c>
      <c r="J156" s="7" t="str">
        <f aca="false">IF(I156&lt;-1090,"TOO LOW",IF(I156&gt;1090,"TOO HIGH",""))</f>
        <v/>
      </c>
      <c r="K156" s="15" t="n">
        <f aca="false">IF(J156&lt;&gt;"",0,IF(I156&gt;979,1000,I156))</f>
        <v>90</v>
      </c>
      <c r="L156" s="7" t="n">
        <f aca="false">K156/10</f>
        <v>9</v>
      </c>
    </row>
    <row r="157" customFormat="false" ht="15" hidden="false" customHeight="false" outlineLevel="0" collapsed="false">
      <c r="A157" s="7" t="n">
        <v>152</v>
      </c>
      <c r="B157" s="7" t="n">
        <f aca="false">A157/10</f>
        <v>15.2</v>
      </c>
      <c r="C157" s="7" t="n">
        <f aca="false">IF(AND(A157=0,c_TCREEP&gt;0),10*c_TCREEP,IF(AND(A157&lt;=c_TRNGMIN,A157&gt;=c_TRNGMAX,c_TRNGMIN-c_TRNGMAX&lt;&gt;0),-10*c_TMINRN+QUOTIENT((c_TMAXRN-c_TMINRN)*(100-QUOTIENT((A157-c_TRNGMAX)*100,c_TRNGMIN-c_TRNGMAX)),-10),0))</f>
        <v>0</v>
      </c>
      <c r="D157" s="7" t="n">
        <f aca="false">IF(((c_TMAP1IN)-(c_TFWD))=0,(0)+QUOTIENT(((c_TMAP1OUT)-(0)),2),QUOTIENT((((A157)-(c_TFWD))*((c_TMAP1OUT)-(0))+IF(((c_TMAP1OUT)-(0))&gt;=0,1,-1)*QUOTIENT(((c_TMAP1IN)-(c_TFWD)),2)),((c_TMAP1IN)-(c_TFWD)))+(0)+IF(((c_TMAP1OUT)-(0))&gt;=0,IF(IF(o_WRAP=1,MOD(((c_TMAP1IN)-(c_TFWD))*(((A157)-(c_TFWD))*((c_TMAP1OUT)-(0))+IF(((c_TMAP1OUT)-(0))&gt;=0,1,-1)*QUOTIENT(((c_TMAP1IN)-(c_TFWD)),2))+2147483648,4294967296)-2147483648,((c_TMAP1IN)-(c_TFWD))*(((A157)-(c_TFWD))*((c_TMAP1OUT)-(0))+IF(((c_TMAP1OUT)-(0))&gt;=0,1,-1)*QUOTIENT(((c_TMAP1IN)-(c_TFWD)),2)))&lt;0,-1,0),IF(IF(o_WRAP=1,MOD(((c_TMAP1IN)-(c_TFWD))*(((A157)-(c_TFWD))*((c_TMAP1OUT)-(0))+IF(((c_TMAP1OUT)-(0))&gt;=0,1,-1)*QUOTIENT(((c_TMAP1IN)-(c_TFWD)),2))+2147483648,4294967296)-2147483648,((c_TMAP1IN)-(c_TFWD))*(((A157)-(c_TFWD))*((c_TMAP1OUT)-(0))+IF(((c_TMAP1OUT)-(0))&gt;=0,1,-1)*QUOTIENT(((c_TMAP1IN)-(c_TFWD)),2)))&gt;=0,1,0)))</f>
        <v>110</v>
      </c>
      <c r="E157" s="7" t="n">
        <f aca="false">IF(((c_TMAP2IN)-(c_TMAP1IN))=0,(c_TMAP1OUT)+QUOTIENT(((c_TMAP2OUT)-(c_TMAP1OUT)),2),QUOTIENT((((A157)-(c_TMAP1IN))*((c_TMAP2OUT)-(c_TMAP1OUT))+IF(((c_TMAP2OUT)-(c_TMAP1OUT))&gt;=0,1,-1)*QUOTIENT(((c_TMAP2IN)-(c_TMAP1IN)),2)),((c_TMAP2IN)-(c_TMAP1IN)))+(c_TMAP1OUT)+IF(((c_TMAP2OUT)-(c_TMAP1OUT))&gt;=0,IF(IF(o_WRAP=1,MOD(((c_TMAP2IN)-(c_TMAP1IN))*(((A157)-(c_TMAP1IN))*((c_TMAP2OUT)-(c_TMAP1OUT))+IF(((c_TMAP2OUT)-(c_TMAP1OUT))&gt;=0,1,-1)*QUOTIENT(((c_TMAP2IN)-(c_TMAP1IN)),2))+2147483648,4294967296)-2147483648,((c_TMAP2IN)-(c_TMAP1IN))*(((A157)-(c_TMAP1IN))*((c_TMAP2OUT)-(c_TMAP1OUT))+IF(((c_TMAP2OUT)-(c_TMAP1OUT))&gt;=0,1,-1)*QUOTIENT(((c_TMAP2IN)-(c_TMAP1IN)),2)))&lt;0,-1,0),IF(IF(o_WRAP=1,MOD(((c_TMAP2IN)-(c_TMAP1IN))*(((A157)-(c_TMAP1IN))*((c_TMAP2OUT)-(c_TMAP1OUT))+IF(((c_TMAP2OUT)-(c_TMAP1OUT))&gt;=0,1,-1)*QUOTIENT(((c_TMAP2IN)-(c_TMAP1IN)),2))+2147483648,4294967296)-2147483648,((c_TMAP2IN)-(c_TMAP1IN))*(((A157)-(c_TMAP1IN))*((c_TMAP2OUT)-(c_TMAP1OUT))+IF(((c_TMAP2OUT)-(c_TMAP1OUT))&gt;=0,1,-1)*QUOTIENT(((c_TMAP2IN)-(c_TMAP1IN)),2)))&gt;=0,1,0)))</f>
        <v>91</v>
      </c>
      <c r="F157" s="7" t="n">
        <f aca="false">IF(((c_TMAP3IN)-(c_TMAP2IN))=0,(c_TMAP2OUT)+QUOTIENT(((c_TMAP3OUT)-(c_TMAP2OUT)),2),QUOTIENT((((A157)-(c_TMAP2IN))*((c_TMAP3OUT)-(c_TMAP2OUT))+IF(((c_TMAP3OUT)-(c_TMAP2OUT))&gt;=0,1,-1)*QUOTIENT(((c_TMAP3IN)-(c_TMAP2IN)),2)),((c_TMAP3IN)-(c_TMAP2IN)))+(c_TMAP2OUT)+IF(((c_TMAP3OUT)-(c_TMAP2OUT))&gt;=0,IF(IF(o_WRAP=1,MOD(((c_TMAP3IN)-(c_TMAP2IN))*(((A157)-(c_TMAP2IN))*((c_TMAP3OUT)-(c_TMAP2OUT))+IF(((c_TMAP3OUT)-(c_TMAP2OUT))&gt;=0,1,-1)*QUOTIENT(((c_TMAP3IN)-(c_TMAP2IN)),2))+2147483648,4294967296)-2147483648,((c_TMAP3IN)-(c_TMAP2IN))*(((A157)-(c_TMAP2IN))*((c_TMAP3OUT)-(c_TMAP2OUT))+IF(((c_TMAP3OUT)-(c_TMAP2OUT))&gt;=0,1,-1)*QUOTIENT(((c_TMAP3IN)-(c_TMAP2IN)),2)))&lt;0,-1,0),IF(IF(o_WRAP=1,MOD(((c_TMAP3IN)-(c_TMAP2IN))*(((A157)-(c_TMAP2IN))*((c_TMAP3OUT)-(c_TMAP2OUT))+IF(((c_TMAP3OUT)-(c_TMAP2OUT))&gt;=0,1,-1)*QUOTIENT(((c_TMAP3IN)-(c_TMAP2IN)),2))+2147483648,4294967296)-2147483648,((c_TMAP3IN)-(c_TMAP2IN))*(((A157)-(c_TMAP2IN))*((c_TMAP3OUT)-(c_TMAP2OUT))+IF(((c_TMAP3OUT)-(c_TMAP2OUT))&gt;=0,1,-1)*QUOTIENT(((c_TMAP3IN)-(c_TMAP2IN)),2)))&gt;=0,1,0)))</f>
        <v>61</v>
      </c>
      <c r="G157" s="7" t="n">
        <f aca="false">IF(((1000)-(c_TMAP3IN))=0,(c_TMAP3OUT)+QUOTIENT(((1000)-(c_TMAP3OUT)),2),QUOTIENT((((A157)-(c_TMAP3IN))*((1000)-(c_TMAP3OUT))+IF(((1000)-(c_TMAP3OUT))&gt;=0,1,-1)*QUOTIENT(((1000)-(c_TMAP3IN)),2)),((1000)-(c_TMAP3IN)))+(c_TMAP3OUT)+IF(((1000)-(c_TMAP3OUT))&gt;=0,IF(IF(o_WRAP=1,MOD(((1000)-(c_TMAP3IN))*(((A157)-(c_TMAP3IN))*((1000)-(c_TMAP3OUT))+IF(((1000)-(c_TMAP3OUT))&gt;=0,1,-1)*QUOTIENT(((1000)-(c_TMAP3IN)),2))+2147483648,4294967296)-2147483648,((1000)-(c_TMAP3IN))*(((A157)-(c_TMAP3IN))*((1000)-(c_TMAP3OUT))+IF(((1000)-(c_TMAP3OUT))&gt;=0,1,-1)*QUOTIENT(((1000)-(c_TMAP3IN)),2)))&lt;0,-1,0),IF(IF(o_WRAP=1,MOD(((1000)-(c_TMAP3IN))*(((A157)-(c_TMAP3IN))*((1000)-(c_TMAP3OUT))+IF(((1000)-(c_TMAP3OUT))&gt;=0,1,-1)*QUOTIENT(((1000)-(c_TMAP3IN)),2))+2147483648,4294967296)-2147483648,((1000)-(c_TMAP3IN))*(((A157)-(c_TMAP3IN))*((1000)-(c_TMAP3OUT))+IF(((1000)-(c_TMAP3OUT))&gt;=0,1,-1)*QUOTIENT(((1000)-(c_TMAP3IN)),2)))&gt;=0,1,0)))</f>
        <v>-44</v>
      </c>
      <c r="H157" s="7" t="str">
        <f aca="false">IF(A157&gt;=c_TFWD,IF(AND(A157&gt;=c_TMAP3IN,c_TMAP3IN&lt;1000),"Seg4 map3-100%",IF(AND(A157&gt;=c_TMAP2IN,c_TMAP3IN&gt;c_TMAP2IN),"Seg3 map2-map3",IF(AND(A157&gt;=c_TMAP1IN,c_TMAP2IN&gt;c_TMAP1IN),"Seg2 map1-map2","Seg1 TFWD-map1"))),IF(AND(A157=0,c_TCREEP&gt;0),"Creep",IF(AND(A157&lt;=c_TRNGMIN,A157&gt;=c_TRNGMAX,c_TRNGMIN-c_TRNGMAX&lt;&gt;0),"Regen ramp","Coast (0)")))</f>
        <v>Seg2 map1-map2</v>
      </c>
      <c r="I157" s="7" t="n">
        <f aca="false">IF(A157&gt;=c_TFWD,IF(AND(A157&gt;=c_TMAP3IN,c_TMAP3IN&lt;1000),G157,IF(AND(A157&gt;=c_TMAP2IN,c_TMAP3IN&gt;c_TMAP2IN),F157,IF(AND(A157&gt;=c_TMAP1IN,c_TMAP2IN&gt;c_TMAP1IN),E157,D157))),C157)</f>
        <v>91</v>
      </c>
      <c r="J157" s="7" t="str">
        <f aca="false">IF(I157&lt;-1090,"TOO LOW",IF(I157&gt;1090,"TOO HIGH",""))</f>
        <v/>
      </c>
      <c r="K157" s="15" t="n">
        <f aca="false">IF(J157&lt;&gt;"",0,IF(I157&gt;979,1000,I157))</f>
        <v>91</v>
      </c>
      <c r="L157" s="7" t="n">
        <f aca="false">K157/10</f>
        <v>9.1</v>
      </c>
    </row>
    <row r="158" customFormat="false" ht="15" hidden="false" customHeight="false" outlineLevel="0" collapsed="false">
      <c r="A158" s="7" t="n">
        <v>153</v>
      </c>
      <c r="B158" s="7" t="n">
        <f aca="false">A158/10</f>
        <v>15.3</v>
      </c>
      <c r="C158" s="7" t="n">
        <f aca="false">IF(AND(A158=0,c_TCREEP&gt;0),10*c_TCREEP,IF(AND(A158&lt;=c_TRNGMIN,A158&gt;=c_TRNGMAX,c_TRNGMIN-c_TRNGMAX&lt;&gt;0),-10*c_TMINRN+QUOTIENT((c_TMAXRN-c_TMINRN)*(100-QUOTIENT((A158-c_TRNGMAX)*100,c_TRNGMIN-c_TRNGMAX)),-10),0))</f>
        <v>0</v>
      </c>
      <c r="D158" s="7" t="n">
        <f aca="false">IF(((c_TMAP1IN)-(c_TFWD))=0,(0)+QUOTIENT(((c_TMAP1OUT)-(0)),2),QUOTIENT((((A158)-(c_TFWD))*((c_TMAP1OUT)-(0))+IF(((c_TMAP1OUT)-(0))&gt;=0,1,-1)*QUOTIENT(((c_TMAP1IN)-(c_TFWD)),2)),((c_TMAP1IN)-(c_TFWD)))+(0)+IF(((c_TMAP1OUT)-(0))&gt;=0,IF(IF(o_WRAP=1,MOD(((c_TMAP1IN)-(c_TFWD))*(((A158)-(c_TFWD))*((c_TMAP1OUT)-(0))+IF(((c_TMAP1OUT)-(0))&gt;=0,1,-1)*QUOTIENT(((c_TMAP1IN)-(c_TFWD)),2))+2147483648,4294967296)-2147483648,((c_TMAP1IN)-(c_TFWD))*(((A158)-(c_TFWD))*((c_TMAP1OUT)-(0))+IF(((c_TMAP1OUT)-(0))&gt;=0,1,-1)*QUOTIENT(((c_TMAP1IN)-(c_TFWD)),2)))&lt;0,-1,0),IF(IF(o_WRAP=1,MOD(((c_TMAP1IN)-(c_TFWD))*(((A158)-(c_TFWD))*((c_TMAP1OUT)-(0))+IF(((c_TMAP1OUT)-(0))&gt;=0,1,-1)*QUOTIENT(((c_TMAP1IN)-(c_TFWD)),2))+2147483648,4294967296)-2147483648,((c_TMAP1IN)-(c_TFWD))*(((A158)-(c_TFWD))*((c_TMAP1OUT)-(0))+IF(((c_TMAP1OUT)-(0))&gt;=0,1,-1)*QUOTIENT(((c_TMAP1IN)-(c_TFWD)),2)))&gt;=0,1,0)))</f>
        <v>111</v>
      </c>
      <c r="E158" s="7" t="n">
        <f aca="false">IF(((c_TMAP2IN)-(c_TMAP1IN))=0,(c_TMAP1OUT)+QUOTIENT(((c_TMAP2OUT)-(c_TMAP1OUT)),2),QUOTIENT((((A158)-(c_TMAP1IN))*((c_TMAP2OUT)-(c_TMAP1OUT))+IF(((c_TMAP2OUT)-(c_TMAP1OUT))&gt;=0,1,-1)*QUOTIENT(((c_TMAP2IN)-(c_TMAP1IN)),2)),((c_TMAP2IN)-(c_TMAP1IN)))+(c_TMAP1OUT)+IF(((c_TMAP2OUT)-(c_TMAP1OUT))&gt;=0,IF(IF(o_WRAP=1,MOD(((c_TMAP2IN)-(c_TMAP1IN))*(((A158)-(c_TMAP1IN))*((c_TMAP2OUT)-(c_TMAP1OUT))+IF(((c_TMAP2OUT)-(c_TMAP1OUT))&gt;=0,1,-1)*QUOTIENT(((c_TMAP2IN)-(c_TMAP1IN)),2))+2147483648,4294967296)-2147483648,((c_TMAP2IN)-(c_TMAP1IN))*(((A158)-(c_TMAP1IN))*((c_TMAP2OUT)-(c_TMAP1OUT))+IF(((c_TMAP2OUT)-(c_TMAP1OUT))&gt;=0,1,-1)*QUOTIENT(((c_TMAP2IN)-(c_TMAP1IN)),2)))&lt;0,-1,0),IF(IF(o_WRAP=1,MOD(((c_TMAP2IN)-(c_TMAP1IN))*(((A158)-(c_TMAP1IN))*((c_TMAP2OUT)-(c_TMAP1OUT))+IF(((c_TMAP2OUT)-(c_TMAP1OUT))&gt;=0,1,-1)*QUOTIENT(((c_TMAP2IN)-(c_TMAP1IN)),2))+2147483648,4294967296)-2147483648,((c_TMAP2IN)-(c_TMAP1IN))*(((A158)-(c_TMAP1IN))*((c_TMAP2OUT)-(c_TMAP1OUT))+IF(((c_TMAP2OUT)-(c_TMAP1OUT))&gt;=0,1,-1)*QUOTIENT(((c_TMAP2IN)-(c_TMAP1IN)),2)))&gt;=0,1,0)))</f>
        <v>91</v>
      </c>
      <c r="F158" s="7" t="n">
        <f aca="false">IF(((c_TMAP3IN)-(c_TMAP2IN))=0,(c_TMAP2OUT)+QUOTIENT(((c_TMAP3OUT)-(c_TMAP2OUT)),2),QUOTIENT((((A158)-(c_TMAP2IN))*((c_TMAP3OUT)-(c_TMAP2OUT))+IF(((c_TMAP3OUT)-(c_TMAP2OUT))&gt;=0,1,-1)*QUOTIENT(((c_TMAP3IN)-(c_TMAP2IN)),2)),((c_TMAP3IN)-(c_TMAP2IN)))+(c_TMAP2OUT)+IF(((c_TMAP3OUT)-(c_TMAP2OUT))&gt;=0,IF(IF(o_WRAP=1,MOD(((c_TMAP3IN)-(c_TMAP2IN))*(((A158)-(c_TMAP2IN))*((c_TMAP3OUT)-(c_TMAP2OUT))+IF(((c_TMAP3OUT)-(c_TMAP2OUT))&gt;=0,1,-1)*QUOTIENT(((c_TMAP3IN)-(c_TMAP2IN)),2))+2147483648,4294967296)-2147483648,((c_TMAP3IN)-(c_TMAP2IN))*(((A158)-(c_TMAP2IN))*((c_TMAP3OUT)-(c_TMAP2OUT))+IF(((c_TMAP3OUT)-(c_TMAP2OUT))&gt;=0,1,-1)*QUOTIENT(((c_TMAP3IN)-(c_TMAP2IN)),2)))&lt;0,-1,0),IF(IF(o_WRAP=1,MOD(((c_TMAP3IN)-(c_TMAP2IN))*(((A158)-(c_TMAP2IN))*((c_TMAP3OUT)-(c_TMAP2OUT))+IF(((c_TMAP3OUT)-(c_TMAP2OUT))&gt;=0,1,-1)*QUOTIENT(((c_TMAP3IN)-(c_TMAP2IN)),2))+2147483648,4294967296)-2147483648,((c_TMAP3IN)-(c_TMAP2IN))*(((A158)-(c_TMAP2IN))*((c_TMAP3OUT)-(c_TMAP2OUT))+IF(((c_TMAP3OUT)-(c_TMAP2OUT))&gt;=0,1,-1)*QUOTIENT(((c_TMAP3IN)-(c_TMAP2IN)),2)))&gt;=0,1,0)))</f>
        <v>62</v>
      </c>
      <c r="G158" s="7" t="n">
        <f aca="false">IF(((1000)-(c_TMAP3IN))=0,(c_TMAP3OUT)+QUOTIENT(((1000)-(c_TMAP3OUT)),2),QUOTIENT((((A158)-(c_TMAP3IN))*((1000)-(c_TMAP3OUT))+IF(((1000)-(c_TMAP3OUT))&gt;=0,1,-1)*QUOTIENT(((1000)-(c_TMAP3IN)),2)),((1000)-(c_TMAP3IN)))+(c_TMAP3OUT)+IF(((1000)-(c_TMAP3OUT))&gt;=0,IF(IF(o_WRAP=1,MOD(((1000)-(c_TMAP3IN))*(((A158)-(c_TMAP3IN))*((1000)-(c_TMAP3OUT))+IF(((1000)-(c_TMAP3OUT))&gt;=0,1,-1)*QUOTIENT(((1000)-(c_TMAP3IN)),2))+2147483648,4294967296)-2147483648,((1000)-(c_TMAP3IN))*(((A158)-(c_TMAP3IN))*((1000)-(c_TMAP3OUT))+IF(((1000)-(c_TMAP3OUT))&gt;=0,1,-1)*QUOTIENT(((1000)-(c_TMAP3IN)),2)))&lt;0,-1,0),IF(IF(o_WRAP=1,MOD(((1000)-(c_TMAP3IN))*(((A158)-(c_TMAP3IN))*((1000)-(c_TMAP3OUT))+IF(((1000)-(c_TMAP3OUT))&gt;=0,1,-1)*QUOTIENT(((1000)-(c_TMAP3IN)),2))+2147483648,4294967296)-2147483648,((1000)-(c_TMAP3IN))*(((A158)-(c_TMAP3IN))*((1000)-(c_TMAP3OUT))+IF(((1000)-(c_TMAP3OUT))&gt;=0,1,-1)*QUOTIENT(((1000)-(c_TMAP3IN)),2)))&gt;=0,1,0)))</f>
        <v>-42</v>
      </c>
      <c r="H158" s="7" t="str">
        <f aca="false">IF(A158&gt;=c_TFWD,IF(AND(A158&gt;=c_TMAP3IN,c_TMAP3IN&lt;1000),"Seg4 map3-100%",IF(AND(A158&gt;=c_TMAP2IN,c_TMAP3IN&gt;c_TMAP2IN),"Seg3 map2-map3",IF(AND(A158&gt;=c_TMAP1IN,c_TMAP2IN&gt;c_TMAP1IN),"Seg2 map1-map2","Seg1 TFWD-map1"))),IF(AND(A158=0,c_TCREEP&gt;0),"Creep",IF(AND(A158&lt;=c_TRNGMIN,A158&gt;=c_TRNGMAX,c_TRNGMIN-c_TRNGMAX&lt;&gt;0),"Regen ramp","Coast (0)")))</f>
        <v>Seg2 map1-map2</v>
      </c>
      <c r="I158" s="7" t="n">
        <f aca="false">IF(A158&gt;=c_TFWD,IF(AND(A158&gt;=c_TMAP3IN,c_TMAP3IN&lt;1000),G158,IF(AND(A158&gt;=c_TMAP2IN,c_TMAP3IN&gt;c_TMAP2IN),F158,IF(AND(A158&gt;=c_TMAP1IN,c_TMAP2IN&gt;c_TMAP1IN),E158,D158))),C158)</f>
        <v>91</v>
      </c>
      <c r="J158" s="7" t="str">
        <f aca="false">IF(I158&lt;-1090,"TOO LOW",IF(I158&gt;1090,"TOO HIGH",""))</f>
        <v/>
      </c>
      <c r="K158" s="15" t="n">
        <f aca="false">IF(J158&lt;&gt;"",0,IF(I158&gt;979,1000,I158))</f>
        <v>91</v>
      </c>
      <c r="L158" s="7" t="n">
        <f aca="false">K158/10</f>
        <v>9.1</v>
      </c>
    </row>
    <row r="159" customFormat="false" ht="15" hidden="false" customHeight="false" outlineLevel="0" collapsed="false">
      <c r="A159" s="7" t="n">
        <v>154</v>
      </c>
      <c r="B159" s="7" t="n">
        <f aca="false">A159/10</f>
        <v>15.4</v>
      </c>
      <c r="C159" s="7" t="n">
        <f aca="false">IF(AND(A159=0,c_TCREEP&gt;0),10*c_TCREEP,IF(AND(A159&lt;=c_TRNGMIN,A159&gt;=c_TRNGMAX,c_TRNGMIN-c_TRNGMAX&lt;&gt;0),-10*c_TMINRN+QUOTIENT((c_TMAXRN-c_TMINRN)*(100-QUOTIENT((A159-c_TRNGMAX)*100,c_TRNGMIN-c_TRNGMAX)),-10),0))</f>
        <v>0</v>
      </c>
      <c r="D159" s="7" t="n">
        <f aca="false">IF(((c_TMAP1IN)-(c_TFWD))=0,(0)+QUOTIENT(((c_TMAP1OUT)-(0)),2),QUOTIENT((((A159)-(c_TFWD))*((c_TMAP1OUT)-(0))+IF(((c_TMAP1OUT)-(0))&gt;=0,1,-1)*QUOTIENT(((c_TMAP1IN)-(c_TFWD)),2)),((c_TMAP1IN)-(c_TFWD)))+(0)+IF(((c_TMAP1OUT)-(0))&gt;=0,IF(IF(o_WRAP=1,MOD(((c_TMAP1IN)-(c_TFWD))*(((A159)-(c_TFWD))*((c_TMAP1OUT)-(0))+IF(((c_TMAP1OUT)-(0))&gt;=0,1,-1)*QUOTIENT(((c_TMAP1IN)-(c_TFWD)),2))+2147483648,4294967296)-2147483648,((c_TMAP1IN)-(c_TFWD))*(((A159)-(c_TFWD))*((c_TMAP1OUT)-(0))+IF(((c_TMAP1OUT)-(0))&gt;=0,1,-1)*QUOTIENT(((c_TMAP1IN)-(c_TFWD)),2)))&lt;0,-1,0),IF(IF(o_WRAP=1,MOD(((c_TMAP1IN)-(c_TFWD))*(((A159)-(c_TFWD))*((c_TMAP1OUT)-(0))+IF(((c_TMAP1OUT)-(0))&gt;=0,1,-1)*QUOTIENT(((c_TMAP1IN)-(c_TFWD)),2))+2147483648,4294967296)-2147483648,((c_TMAP1IN)-(c_TFWD))*(((A159)-(c_TFWD))*((c_TMAP1OUT)-(0))+IF(((c_TMAP1OUT)-(0))&gt;=0,1,-1)*QUOTIENT(((c_TMAP1IN)-(c_TFWD)),2)))&gt;=0,1,0)))</f>
        <v>112</v>
      </c>
      <c r="E159" s="7" t="n">
        <f aca="false">IF(((c_TMAP2IN)-(c_TMAP1IN))=0,(c_TMAP1OUT)+QUOTIENT(((c_TMAP2OUT)-(c_TMAP1OUT)),2),QUOTIENT((((A159)-(c_TMAP1IN))*((c_TMAP2OUT)-(c_TMAP1OUT))+IF(((c_TMAP2OUT)-(c_TMAP1OUT))&gt;=0,1,-1)*QUOTIENT(((c_TMAP2IN)-(c_TMAP1IN)),2)),((c_TMAP2IN)-(c_TMAP1IN)))+(c_TMAP1OUT)+IF(((c_TMAP2OUT)-(c_TMAP1OUT))&gt;=0,IF(IF(o_WRAP=1,MOD(((c_TMAP2IN)-(c_TMAP1IN))*(((A159)-(c_TMAP1IN))*((c_TMAP2OUT)-(c_TMAP1OUT))+IF(((c_TMAP2OUT)-(c_TMAP1OUT))&gt;=0,1,-1)*QUOTIENT(((c_TMAP2IN)-(c_TMAP1IN)),2))+2147483648,4294967296)-2147483648,((c_TMAP2IN)-(c_TMAP1IN))*(((A159)-(c_TMAP1IN))*((c_TMAP2OUT)-(c_TMAP1OUT))+IF(((c_TMAP2OUT)-(c_TMAP1OUT))&gt;=0,1,-1)*QUOTIENT(((c_TMAP2IN)-(c_TMAP1IN)),2)))&lt;0,-1,0),IF(IF(o_WRAP=1,MOD(((c_TMAP2IN)-(c_TMAP1IN))*(((A159)-(c_TMAP1IN))*((c_TMAP2OUT)-(c_TMAP1OUT))+IF(((c_TMAP2OUT)-(c_TMAP1OUT))&gt;=0,1,-1)*QUOTIENT(((c_TMAP2IN)-(c_TMAP1IN)),2))+2147483648,4294967296)-2147483648,((c_TMAP2IN)-(c_TMAP1IN))*(((A159)-(c_TMAP1IN))*((c_TMAP2OUT)-(c_TMAP1OUT))+IF(((c_TMAP2OUT)-(c_TMAP1OUT))&gt;=0,1,-1)*QUOTIENT(((c_TMAP2IN)-(c_TMAP1IN)),2)))&gt;=0,1,0)))</f>
        <v>92</v>
      </c>
      <c r="F159" s="7" t="n">
        <f aca="false">IF(((c_TMAP3IN)-(c_TMAP2IN))=0,(c_TMAP2OUT)+QUOTIENT(((c_TMAP3OUT)-(c_TMAP2OUT)),2),QUOTIENT((((A159)-(c_TMAP2IN))*((c_TMAP3OUT)-(c_TMAP2OUT))+IF(((c_TMAP3OUT)-(c_TMAP2OUT))&gt;=0,1,-1)*QUOTIENT(((c_TMAP3IN)-(c_TMAP2IN)),2)),((c_TMAP3IN)-(c_TMAP2IN)))+(c_TMAP2OUT)+IF(((c_TMAP3OUT)-(c_TMAP2OUT))&gt;=0,IF(IF(o_WRAP=1,MOD(((c_TMAP3IN)-(c_TMAP2IN))*(((A159)-(c_TMAP2IN))*((c_TMAP3OUT)-(c_TMAP2OUT))+IF(((c_TMAP3OUT)-(c_TMAP2OUT))&gt;=0,1,-1)*QUOTIENT(((c_TMAP3IN)-(c_TMAP2IN)),2))+2147483648,4294967296)-2147483648,((c_TMAP3IN)-(c_TMAP2IN))*(((A159)-(c_TMAP2IN))*((c_TMAP3OUT)-(c_TMAP2OUT))+IF(((c_TMAP3OUT)-(c_TMAP2OUT))&gt;=0,1,-1)*QUOTIENT(((c_TMAP3IN)-(c_TMAP2IN)),2)))&lt;0,-1,0),IF(IF(o_WRAP=1,MOD(((c_TMAP3IN)-(c_TMAP2IN))*(((A159)-(c_TMAP2IN))*((c_TMAP3OUT)-(c_TMAP2OUT))+IF(((c_TMAP3OUT)-(c_TMAP2OUT))&gt;=0,1,-1)*QUOTIENT(((c_TMAP3IN)-(c_TMAP2IN)),2))+2147483648,4294967296)-2147483648,((c_TMAP3IN)-(c_TMAP2IN))*(((A159)-(c_TMAP2IN))*((c_TMAP3OUT)-(c_TMAP2OUT))+IF(((c_TMAP3OUT)-(c_TMAP2OUT))&gt;=0,1,-1)*QUOTIENT(((c_TMAP3IN)-(c_TMAP2IN)),2)))&gt;=0,1,0)))</f>
        <v>63</v>
      </c>
      <c r="G159" s="7" t="n">
        <f aca="false">IF(((1000)-(c_TMAP3IN))=0,(c_TMAP3OUT)+QUOTIENT(((1000)-(c_TMAP3OUT)),2),QUOTIENT((((A159)-(c_TMAP3IN))*((1000)-(c_TMAP3OUT))+IF(((1000)-(c_TMAP3OUT))&gt;=0,1,-1)*QUOTIENT(((1000)-(c_TMAP3IN)),2)),((1000)-(c_TMAP3IN)))+(c_TMAP3OUT)+IF(((1000)-(c_TMAP3OUT))&gt;=0,IF(IF(o_WRAP=1,MOD(((1000)-(c_TMAP3IN))*(((A159)-(c_TMAP3IN))*((1000)-(c_TMAP3OUT))+IF(((1000)-(c_TMAP3OUT))&gt;=0,1,-1)*QUOTIENT(((1000)-(c_TMAP3IN)),2))+2147483648,4294967296)-2147483648,((1000)-(c_TMAP3IN))*(((A159)-(c_TMAP3IN))*((1000)-(c_TMAP3OUT))+IF(((1000)-(c_TMAP3OUT))&gt;=0,1,-1)*QUOTIENT(((1000)-(c_TMAP3IN)),2)))&lt;0,-1,0),IF(IF(o_WRAP=1,MOD(((1000)-(c_TMAP3IN))*(((A159)-(c_TMAP3IN))*((1000)-(c_TMAP3OUT))+IF(((1000)-(c_TMAP3OUT))&gt;=0,1,-1)*QUOTIENT(((1000)-(c_TMAP3IN)),2))+2147483648,4294967296)-2147483648,((1000)-(c_TMAP3IN))*(((A159)-(c_TMAP3IN))*((1000)-(c_TMAP3OUT))+IF(((1000)-(c_TMAP3OUT))&gt;=0,1,-1)*QUOTIENT(((1000)-(c_TMAP3IN)),2)))&gt;=0,1,0)))</f>
        <v>-41</v>
      </c>
      <c r="H159" s="7" t="str">
        <f aca="false">IF(A159&gt;=c_TFWD,IF(AND(A159&gt;=c_TMAP3IN,c_TMAP3IN&lt;1000),"Seg4 map3-100%",IF(AND(A159&gt;=c_TMAP2IN,c_TMAP3IN&gt;c_TMAP2IN),"Seg3 map2-map3",IF(AND(A159&gt;=c_TMAP1IN,c_TMAP2IN&gt;c_TMAP1IN),"Seg2 map1-map2","Seg1 TFWD-map1"))),IF(AND(A159=0,c_TCREEP&gt;0),"Creep",IF(AND(A159&lt;=c_TRNGMIN,A159&gt;=c_TRNGMAX,c_TRNGMIN-c_TRNGMAX&lt;&gt;0),"Regen ramp","Coast (0)")))</f>
        <v>Seg2 map1-map2</v>
      </c>
      <c r="I159" s="7" t="n">
        <f aca="false">IF(A159&gt;=c_TFWD,IF(AND(A159&gt;=c_TMAP3IN,c_TMAP3IN&lt;1000),G159,IF(AND(A159&gt;=c_TMAP2IN,c_TMAP3IN&gt;c_TMAP2IN),F159,IF(AND(A159&gt;=c_TMAP1IN,c_TMAP2IN&gt;c_TMAP1IN),E159,D159))),C159)</f>
        <v>92</v>
      </c>
      <c r="J159" s="7" t="str">
        <f aca="false">IF(I159&lt;-1090,"TOO LOW",IF(I159&gt;1090,"TOO HIGH",""))</f>
        <v/>
      </c>
      <c r="K159" s="15" t="n">
        <f aca="false">IF(J159&lt;&gt;"",0,IF(I159&gt;979,1000,I159))</f>
        <v>92</v>
      </c>
      <c r="L159" s="7" t="n">
        <f aca="false">K159/10</f>
        <v>9.2</v>
      </c>
    </row>
    <row r="160" customFormat="false" ht="15" hidden="false" customHeight="false" outlineLevel="0" collapsed="false">
      <c r="A160" s="7" t="n">
        <v>155</v>
      </c>
      <c r="B160" s="7" t="n">
        <f aca="false">A160/10</f>
        <v>15.5</v>
      </c>
      <c r="C160" s="7" t="n">
        <f aca="false">IF(AND(A160=0,c_TCREEP&gt;0),10*c_TCREEP,IF(AND(A160&lt;=c_TRNGMIN,A160&gt;=c_TRNGMAX,c_TRNGMIN-c_TRNGMAX&lt;&gt;0),-10*c_TMINRN+QUOTIENT((c_TMAXRN-c_TMINRN)*(100-QUOTIENT((A160-c_TRNGMAX)*100,c_TRNGMIN-c_TRNGMAX)),-10),0))</f>
        <v>0</v>
      </c>
      <c r="D160" s="7" t="n">
        <f aca="false">IF(((c_TMAP1IN)-(c_TFWD))=0,(0)+QUOTIENT(((c_TMAP1OUT)-(0)),2),QUOTIENT((((A160)-(c_TFWD))*((c_TMAP1OUT)-(0))+IF(((c_TMAP1OUT)-(0))&gt;=0,1,-1)*QUOTIENT(((c_TMAP1IN)-(c_TFWD)),2)),((c_TMAP1IN)-(c_TFWD)))+(0)+IF(((c_TMAP1OUT)-(0))&gt;=0,IF(IF(o_WRAP=1,MOD(((c_TMAP1IN)-(c_TFWD))*(((A160)-(c_TFWD))*((c_TMAP1OUT)-(0))+IF(((c_TMAP1OUT)-(0))&gt;=0,1,-1)*QUOTIENT(((c_TMAP1IN)-(c_TFWD)),2))+2147483648,4294967296)-2147483648,((c_TMAP1IN)-(c_TFWD))*(((A160)-(c_TFWD))*((c_TMAP1OUT)-(0))+IF(((c_TMAP1OUT)-(0))&gt;=0,1,-1)*QUOTIENT(((c_TMAP1IN)-(c_TFWD)),2)))&lt;0,-1,0),IF(IF(o_WRAP=1,MOD(((c_TMAP1IN)-(c_TFWD))*(((A160)-(c_TFWD))*((c_TMAP1OUT)-(0))+IF(((c_TMAP1OUT)-(0))&gt;=0,1,-1)*QUOTIENT(((c_TMAP1IN)-(c_TFWD)),2))+2147483648,4294967296)-2147483648,((c_TMAP1IN)-(c_TFWD))*(((A160)-(c_TFWD))*((c_TMAP1OUT)-(0))+IF(((c_TMAP1OUT)-(0))&gt;=0,1,-1)*QUOTIENT(((c_TMAP1IN)-(c_TFWD)),2)))&gt;=0,1,0)))</f>
        <v>113</v>
      </c>
      <c r="E160" s="7" t="n">
        <f aca="false">IF(((c_TMAP2IN)-(c_TMAP1IN))=0,(c_TMAP1OUT)+QUOTIENT(((c_TMAP2OUT)-(c_TMAP1OUT)),2),QUOTIENT((((A160)-(c_TMAP1IN))*((c_TMAP2OUT)-(c_TMAP1OUT))+IF(((c_TMAP2OUT)-(c_TMAP1OUT))&gt;=0,1,-1)*QUOTIENT(((c_TMAP2IN)-(c_TMAP1IN)),2)),((c_TMAP2IN)-(c_TMAP1IN)))+(c_TMAP1OUT)+IF(((c_TMAP2OUT)-(c_TMAP1OUT))&gt;=0,IF(IF(o_WRAP=1,MOD(((c_TMAP2IN)-(c_TMAP1IN))*(((A160)-(c_TMAP1IN))*((c_TMAP2OUT)-(c_TMAP1OUT))+IF(((c_TMAP2OUT)-(c_TMAP1OUT))&gt;=0,1,-1)*QUOTIENT(((c_TMAP2IN)-(c_TMAP1IN)),2))+2147483648,4294967296)-2147483648,((c_TMAP2IN)-(c_TMAP1IN))*(((A160)-(c_TMAP1IN))*((c_TMAP2OUT)-(c_TMAP1OUT))+IF(((c_TMAP2OUT)-(c_TMAP1OUT))&gt;=0,1,-1)*QUOTIENT(((c_TMAP2IN)-(c_TMAP1IN)),2)))&lt;0,-1,0),IF(IF(o_WRAP=1,MOD(((c_TMAP2IN)-(c_TMAP1IN))*(((A160)-(c_TMAP1IN))*((c_TMAP2OUT)-(c_TMAP1OUT))+IF(((c_TMAP2OUT)-(c_TMAP1OUT))&gt;=0,1,-1)*QUOTIENT(((c_TMAP2IN)-(c_TMAP1IN)),2))+2147483648,4294967296)-2147483648,((c_TMAP2IN)-(c_TMAP1IN))*(((A160)-(c_TMAP1IN))*((c_TMAP2OUT)-(c_TMAP1OUT))+IF(((c_TMAP2OUT)-(c_TMAP1OUT))&gt;=0,1,-1)*QUOTIENT(((c_TMAP2IN)-(c_TMAP1IN)),2)))&gt;=0,1,0)))</f>
        <v>92</v>
      </c>
      <c r="F160" s="7" t="n">
        <f aca="false">IF(((c_TMAP3IN)-(c_TMAP2IN))=0,(c_TMAP2OUT)+QUOTIENT(((c_TMAP3OUT)-(c_TMAP2OUT)),2),QUOTIENT((((A160)-(c_TMAP2IN))*((c_TMAP3OUT)-(c_TMAP2OUT))+IF(((c_TMAP3OUT)-(c_TMAP2OUT))&gt;=0,1,-1)*QUOTIENT(((c_TMAP3IN)-(c_TMAP2IN)),2)),((c_TMAP3IN)-(c_TMAP2IN)))+(c_TMAP2OUT)+IF(((c_TMAP3OUT)-(c_TMAP2OUT))&gt;=0,IF(IF(o_WRAP=1,MOD(((c_TMAP3IN)-(c_TMAP2IN))*(((A160)-(c_TMAP2IN))*((c_TMAP3OUT)-(c_TMAP2OUT))+IF(((c_TMAP3OUT)-(c_TMAP2OUT))&gt;=0,1,-1)*QUOTIENT(((c_TMAP3IN)-(c_TMAP2IN)),2))+2147483648,4294967296)-2147483648,((c_TMAP3IN)-(c_TMAP2IN))*(((A160)-(c_TMAP2IN))*((c_TMAP3OUT)-(c_TMAP2OUT))+IF(((c_TMAP3OUT)-(c_TMAP2OUT))&gt;=0,1,-1)*QUOTIENT(((c_TMAP3IN)-(c_TMAP2IN)),2)))&lt;0,-1,0),IF(IF(o_WRAP=1,MOD(((c_TMAP3IN)-(c_TMAP2IN))*(((A160)-(c_TMAP2IN))*((c_TMAP3OUT)-(c_TMAP2OUT))+IF(((c_TMAP3OUT)-(c_TMAP2OUT))&gt;=0,1,-1)*QUOTIENT(((c_TMAP3IN)-(c_TMAP2IN)),2))+2147483648,4294967296)-2147483648,((c_TMAP3IN)-(c_TMAP2IN))*(((A160)-(c_TMAP2IN))*((c_TMAP3OUT)-(c_TMAP2OUT))+IF(((c_TMAP3OUT)-(c_TMAP2OUT))&gt;=0,1,-1)*QUOTIENT(((c_TMAP3IN)-(c_TMAP2IN)),2)))&gt;=0,1,0)))</f>
        <v>63</v>
      </c>
      <c r="G160" s="7" t="n">
        <f aca="false">IF(((1000)-(c_TMAP3IN))=0,(c_TMAP3OUT)+QUOTIENT(((1000)-(c_TMAP3OUT)),2),QUOTIENT((((A160)-(c_TMAP3IN))*((1000)-(c_TMAP3OUT))+IF(((1000)-(c_TMAP3OUT))&gt;=0,1,-1)*QUOTIENT(((1000)-(c_TMAP3IN)),2)),((1000)-(c_TMAP3IN)))+(c_TMAP3OUT)+IF(((1000)-(c_TMAP3OUT))&gt;=0,IF(IF(o_WRAP=1,MOD(((1000)-(c_TMAP3IN))*(((A160)-(c_TMAP3IN))*((1000)-(c_TMAP3OUT))+IF(((1000)-(c_TMAP3OUT))&gt;=0,1,-1)*QUOTIENT(((1000)-(c_TMAP3IN)),2))+2147483648,4294967296)-2147483648,((1000)-(c_TMAP3IN))*(((A160)-(c_TMAP3IN))*((1000)-(c_TMAP3OUT))+IF(((1000)-(c_TMAP3OUT))&gt;=0,1,-1)*QUOTIENT(((1000)-(c_TMAP3IN)),2)))&lt;0,-1,0),IF(IF(o_WRAP=1,MOD(((1000)-(c_TMAP3IN))*(((A160)-(c_TMAP3IN))*((1000)-(c_TMAP3OUT))+IF(((1000)-(c_TMAP3OUT))&gt;=0,1,-1)*QUOTIENT(((1000)-(c_TMAP3IN)),2))+2147483648,4294967296)-2147483648,((1000)-(c_TMAP3IN))*(((A160)-(c_TMAP3IN))*((1000)-(c_TMAP3OUT))+IF(((1000)-(c_TMAP3OUT))&gt;=0,1,-1)*QUOTIENT(((1000)-(c_TMAP3IN)),2)))&gt;=0,1,0)))</f>
        <v>-40</v>
      </c>
      <c r="H160" s="7" t="str">
        <f aca="false">IF(A160&gt;=c_TFWD,IF(AND(A160&gt;=c_TMAP3IN,c_TMAP3IN&lt;1000),"Seg4 map3-100%",IF(AND(A160&gt;=c_TMAP2IN,c_TMAP3IN&gt;c_TMAP2IN),"Seg3 map2-map3",IF(AND(A160&gt;=c_TMAP1IN,c_TMAP2IN&gt;c_TMAP1IN),"Seg2 map1-map2","Seg1 TFWD-map1"))),IF(AND(A160=0,c_TCREEP&gt;0),"Creep",IF(AND(A160&lt;=c_TRNGMIN,A160&gt;=c_TRNGMAX,c_TRNGMIN-c_TRNGMAX&lt;&gt;0),"Regen ramp","Coast (0)")))</f>
        <v>Seg2 map1-map2</v>
      </c>
      <c r="I160" s="7" t="n">
        <f aca="false">IF(A160&gt;=c_TFWD,IF(AND(A160&gt;=c_TMAP3IN,c_TMAP3IN&lt;1000),G160,IF(AND(A160&gt;=c_TMAP2IN,c_TMAP3IN&gt;c_TMAP2IN),F160,IF(AND(A160&gt;=c_TMAP1IN,c_TMAP2IN&gt;c_TMAP1IN),E160,D160))),C160)</f>
        <v>92</v>
      </c>
      <c r="J160" s="7" t="str">
        <f aca="false">IF(I160&lt;-1090,"TOO LOW",IF(I160&gt;1090,"TOO HIGH",""))</f>
        <v/>
      </c>
      <c r="K160" s="15" t="n">
        <f aca="false">IF(J160&lt;&gt;"",0,IF(I160&gt;979,1000,I160))</f>
        <v>92</v>
      </c>
      <c r="L160" s="7" t="n">
        <f aca="false">K160/10</f>
        <v>9.2</v>
      </c>
    </row>
    <row r="161" customFormat="false" ht="15" hidden="false" customHeight="false" outlineLevel="0" collapsed="false">
      <c r="A161" s="7" t="n">
        <v>156</v>
      </c>
      <c r="B161" s="7" t="n">
        <f aca="false">A161/10</f>
        <v>15.6</v>
      </c>
      <c r="C161" s="7" t="n">
        <f aca="false">IF(AND(A161=0,c_TCREEP&gt;0),10*c_TCREEP,IF(AND(A161&lt;=c_TRNGMIN,A161&gt;=c_TRNGMAX,c_TRNGMIN-c_TRNGMAX&lt;&gt;0),-10*c_TMINRN+QUOTIENT((c_TMAXRN-c_TMINRN)*(100-QUOTIENT((A161-c_TRNGMAX)*100,c_TRNGMIN-c_TRNGMAX)),-10),0))</f>
        <v>0</v>
      </c>
      <c r="D161" s="7" t="n">
        <f aca="false">IF(((c_TMAP1IN)-(c_TFWD))=0,(0)+QUOTIENT(((c_TMAP1OUT)-(0)),2),QUOTIENT((((A161)-(c_TFWD))*((c_TMAP1OUT)-(0))+IF(((c_TMAP1OUT)-(0))&gt;=0,1,-1)*QUOTIENT(((c_TMAP1IN)-(c_TFWD)),2)),((c_TMAP1IN)-(c_TFWD)))+(0)+IF(((c_TMAP1OUT)-(0))&gt;=0,IF(IF(o_WRAP=1,MOD(((c_TMAP1IN)-(c_TFWD))*(((A161)-(c_TFWD))*((c_TMAP1OUT)-(0))+IF(((c_TMAP1OUT)-(0))&gt;=0,1,-1)*QUOTIENT(((c_TMAP1IN)-(c_TFWD)),2))+2147483648,4294967296)-2147483648,((c_TMAP1IN)-(c_TFWD))*(((A161)-(c_TFWD))*((c_TMAP1OUT)-(0))+IF(((c_TMAP1OUT)-(0))&gt;=0,1,-1)*QUOTIENT(((c_TMAP1IN)-(c_TFWD)),2)))&lt;0,-1,0),IF(IF(o_WRAP=1,MOD(((c_TMAP1IN)-(c_TFWD))*(((A161)-(c_TFWD))*((c_TMAP1OUT)-(0))+IF(((c_TMAP1OUT)-(0))&gt;=0,1,-1)*QUOTIENT(((c_TMAP1IN)-(c_TFWD)),2))+2147483648,4294967296)-2147483648,((c_TMAP1IN)-(c_TFWD))*(((A161)-(c_TFWD))*((c_TMAP1OUT)-(0))+IF(((c_TMAP1OUT)-(0))&gt;=0,1,-1)*QUOTIENT(((c_TMAP1IN)-(c_TFWD)),2)))&gt;=0,1,0)))</f>
        <v>114</v>
      </c>
      <c r="E161" s="7" t="n">
        <f aca="false">IF(((c_TMAP2IN)-(c_TMAP1IN))=0,(c_TMAP1OUT)+QUOTIENT(((c_TMAP2OUT)-(c_TMAP1OUT)),2),QUOTIENT((((A161)-(c_TMAP1IN))*((c_TMAP2OUT)-(c_TMAP1OUT))+IF(((c_TMAP2OUT)-(c_TMAP1OUT))&gt;=0,1,-1)*QUOTIENT(((c_TMAP2IN)-(c_TMAP1IN)),2)),((c_TMAP2IN)-(c_TMAP1IN)))+(c_TMAP1OUT)+IF(((c_TMAP2OUT)-(c_TMAP1OUT))&gt;=0,IF(IF(o_WRAP=1,MOD(((c_TMAP2IN)-(c_TMAP1IN))*(((A161)-(c_TMAP1IN))*((c_TMAP2OUT)-(c_TMAP1OUT))+IF(((c_TMAP2OUT)-(c_TMAP1OUT))&gt;=0,1,-1)*QUOTIENT(((c_TMAP2IN)-(c_TMAP1IN)),2))+2147483648,4294967296)-2147483648,((c_TMAP2IN)-(c_TMAP1IN))*(((A161)-(c_TMAP1IN))*((c_TMAP2OUT)-(c_TMAP1OUT))+IF(((c_TMAP2OUT)-(c_TMAP1OUT))&gt;=0,1,-1)*QUOTIENT(((c_TMAP2IN)-(c_TMAP1IN)),2)))&lt;0,-1,0),IF(IF(o_WRAP=1,MOD(((c_TMAP2IN)-(c_TMAP1IN))*(((A161)-(c_TMAP1IN))*((c_TMAP2OUT)-(c_TMAP1OUT))+IF(((c_TMAP2OUT)-(c_TMAP1OUT))&gt;=0,1,-1)*QUOTIENT(((c_TMAP2IN)-(c_TMAP1IN)),2))+2147483648,4294967296)-2147483648,((c_TMAP2IN)-(c_TMAP1IN))*(((A161)-(c_TMAP1IN))*((c_TMAP2OUT)-(c_TMAP1OUT))+IF(((c_TMAP2OUT)-(c_TMAP1OUT))&gt;=0,1,-1)*QUOTIENT(((c_TMAP2IN)-(c_TMAP1IN)),2)))&gt;=0,1,0)))</f>
        <v>92</v>
      </c>
      <c r="F161" s="7" t="n">
        <f aca="false">IF(((c_TMAP3IN)-(c_TMAP2IN))=0,(c_TMAP2OUT)+QUOTIENT(((c_TMAP3OUT)-(c_TMAP2OUT)),2),QUOTIENT((((A161)-(c_TMAP2IN))*((c_TMAP3OUT)-(c_TMAP2OUT))+IF(((c_TMAP3OUT)-(c_TMAP2OUT))&gt;=0,1,-1)*QUOTIENT(((c_TMAP3IN)-(c_TMAP2IN)),2)),((c_TMAP3IN)-(c_TMAP2IN)))+(c_TMAP2OUT)+IF(((c_TMAP3OUT)-(c_TMAP2OUT))&gt;=0,IF(IF(o_WRAP=1,MOD(((c_TMAP3IN)-(c_TMAP2IN))*(((A161)-(c_TMAP2IN))*((c_TMAP3OUT)-(c_TMAP2OUT))+IF(((c_TMAP3OUT)-(c_TMAP2OUT))&gt;=0,1,-1)*QUOTIENT(((c_TMAP3IN)-(c_TMAP2IN)),2))+2147483648,4294967296)-2147483648,((c_TMAP3IN)-(c_TMAP2IN))*(((A161)-(c_TMAP2IN))*((c_TMAP3OUT)-(c_TMAP2OUT))+IF(((c_TMAP3OUT)-(c_TMAP2OUT))&gt;=0,1,-1)*QUOTIENT(((c_TMAP3IN)-(c_TMAP2IN)),2)))&lt;0,-1,0),IF(IF(o_WRAP=1,MOD(((c_TMAP3IN)-(c_TMAP2IN))*(((A161)-(c_TMAP2IN))*((c_TMAP3OUT)-(c_TMAP2OUT))+IF(((c_TMAP3OUT)-(c_TMAP2OUT))&gt;=0,1,-1)*QUOTIENT(((c_TMAP3IN)-(c_TMAP2IN)),2))+2147483648,4294967296)-2147483648,((c_TMAP3IN)-(c_TMAP2IN))*(((A161)-(c_TMAP2IN))*((c_TMAP3OUT)-(c_TMAP2OUT))+IF(((c_TMAP3OUT)-(c_TMAP2OUT))&gt;=0,1,-1)*QUOTIENT(((c_TMAP3IN)-(c_TMAP2IN)),2)))&gt;=0,1,0)))</f>
        <v>64</v>
      </c>
      <c r="G161" s="7" t="n">
        <f aca="false">IF(((1000)-(c_TMAP3IN))=0,(c_TMAP3OUT)+QUOTIENT(((1000)-(c_TMAP3OUT)),2),QUOTIENT((((A161)-(c_TMAP3IN))*((1000)-(c_TMAP3OUT))+IF(((1000)-(c_TMAP3OUT))&gt;=0,1,-1)*QUOTIENT(((1000)-(c_TMAP3IN)),2)),((1000)-(c_TMAP3IN)))+(c_TMAP3OUT)+IF(((1000)-(c_TMAP3OUT))&gt;=0,IF(IF(o_WRAP=1,MOD(((1000)-(c_TMAP3IN))*(((A161)-(c_TMAP3IN))*((1000)-(c_TMAP3OUT))+IF(((1000)-(c_TMAP3OUT))&gt;=0,1,-1)*QUOTIENT(((1000)-(c_TMAP3IN)),2))+2147483648,4294967296)-2147483648,((1000)-(c_TMAP3IN))*(((A161)-(c_TMAP3IN))*((1000)-(c_TMAP3OUT))+IF(((1000)-(c_TMAP3OUT))&gt;=0,1,-1)*QUOTIENT(((1000)-(c_TMAP3IN)),2)))&lt;0,-1,0),IF(IF(o_WRAP=1,MOD(((1000)-(c_TMAP3IN))*(((A161)-(c_TMAP3IN))*((1000)-(c_TMAP3OUT))+IF(((1000)-(c_TMAP3OUT))&gt;=0,1,-1)*QUOTIENT(((1000)-(c_TMAP3IN)),2))+2147483648,4294967296)-2147483648,((1000)-(c_TMAP3IN))*(((A161)-(c_TMAP3IN))*((1000)-(c_TMAP3OUT))+IF(((1000)-(c_TMAP3OUT))&gt;=0,1,-1)*QUOTIENT(((1000)-(c_TMAP3IN)),2)))&gt;=0,1,0)))</f>
        <v>-39</v>
      </c>
      <c r="H161" s="7" t="str">
        <f aca="false">IF(A161&gt;=c_TFWD,IF(AND(A161&gt;=c_TMAP3IN,c_TMAP3IN&lt;1000),"Seg4 map3-100%",IF(AND(A161&gt;=c_TMAP2IN,c_TMAP3IN&gt;c_TMAP2IN),"Seg3 map2-map3",IF(AND(A161&gt;=c_TMAP1IN,c_TMAP2IN&gt;c_TMAP1IN),"Seg2 map1-map2","Seg1 TFWD-map1"))),IF(AND(A161=0,c_TCREEP&gt;0),"Creep",IF(AND(A161&lt;=c_TRNGMIN,A161&gt;=c_TRNGMAX,c_TRNGMIN-c_TRNGMAX&lt;&gt;0),"Regen ramp","Coast (0)")))</f>
        <v>Seg2 map1-map2</v>
      </c>
      <c r="I161" s="7" t="n">
        <f aca="false">IF(A161&gt;=c_TFWD,IF(AND(A161&gt;=c_TMAP3IN,c_TMAP3IN&lt;1000),G161,IF(AND(A161&gt;=c_TMAP2IN,c_TMAP3IN&gt;c_TMAP2IN),F161,IF(AND(A161&gt;=c_TMAP1IN,c_TMAP2IN&gt;c_TMAP1IN),E161,D161))),C161)</f>
        <v>92</v>
      </c>
      <c r="J161" s="7" t="str">
        <f aca="false">IF(I161&lt;-1090,"TOO LOW",IF(I161&gt;1090,"TOO HIGH",""))</f>
        <v/>
      </c>
      <c r="K161" s="15" t="n">
        <f aca="false">IF(J161&lt;&gt;"",0,IF(I161&gt;979,1000,I161))</f>
        <v>92</v>
      </c>
      <c r="L161" s="7" t="n">
        <f aca="false">K161/10</f>
        <v>9.2</v>
      </c>
    </row>
    <row r="162" customFormat="false" ht="15" hidden="false" customHeight="false" outlineLevel="0" collapsed="false">
      <c r="A162" s="7" t="n">
        <v>157</v>
      </c>
      <c r="B162" s="7" t="n">
        <f aca="false">A162/10</f>
        <v>15.7</v>
      </c>
      <c r="C162" s="7" t="n">
        <f aca="false">IF(AND(A162=0,c_TCREEP&gt;0),10*c_TCREEP,IF(AND(A162&lt;=c_TRNGMIN,A162&gt;=c_TRNGMAX,c_TRNGMIN-c_TRNGMAX&lt;&gt;0),-10*c_TMINRN+QUOTIENT((c_TMAXRN-c_TMINRN)*(100-QUOTIENT((A162-c_TRNGMAX)*100,c_TRNGMIN-c_TRNGMAX)),-10),0))</f>
        <v>0</v>
      </c>
      <c r="D162" s="7" t="n">
        <f aca="false">IF(((c_TMAP1IN)-(c_TFWD))=0,(0)+QUOTIENT(((c_TMAP1OUT)-(0)),2),QUOTIENT((((A162)-(c_TFWD))*((c_TMAP1OUT)-(0))+IF(((c_TMAP1OUT)-(0))&gt;=0,1,-1)*QUOTIENT(((c_TMAP1IN)-(c_TFWD)),2)),((c_TMAP1IN)-(c_TFWD)))+(0)+IF(((c_TMAP1OUT)-(0))&gt;=0,IF(IF(o_WRAP=1,MOD(((c_TMAP1IN)-(c_TFWD))*(((A162)-(c_TFWD))*((c_TMAP1OUT)-(0))+IF(((c_TMAP1OUT)-(0))&gt;=0,1,-1)*QUOTIENT(((c_TMAP1IN)-(c_TFWD)),2))+2147483648,4294967296)-2147483648,((c_TMAP1IN)-(c_TFWD))*(((A162)-(c_TFWD))*((c_TMAP1OUT)-(0))+IF(((c_TMAP1OUT)-(0))&gt;=0,1,-1)*QUOTIENT(((c_TMAP1IN)-(c_TFWD)),2)))&lt;0,-1,0),IF(IF(o_WRAP=1,MOD(((c_TMAP1IN)-(c_TFWD))*(((A162)-(c_TFWD))*((c_TMAP1OUT)-(0))+IF(((c_TMAP1OUT)-(0))&gt;=0,1,-1)*QUOTIENT(((c_TMAP1IN)-(c_TFWD)),2))+2147483648,4294967296)-2147483648,((c_TMAP1IN)-(c_TFWD))*(((A162)-(c_TFWD))*((c_TMAP1OUT)-(0))+IF(((c_TMAP1OUT)-(0))&gt;=0,1,-1)*QUOTIENT(((c_TMAP1IN)-(c_TFWD)),2)))&gt;=0,1,0)))</f>
        <v>114</v>
      </c>
      <c r="E162" s="7" t="n">
        <f aca="false">IF(((c_TMAP2IN)-(c_TMAP1IN))=0,(c_TMAP1OUT)+QUOTIENT(((c_TMAP2OUT)-(c_TMAP1OUT)),2),QUOTIENT((((A162)-(c_TMAP1IN))*((c_TMAP2OUT)-(c_TMAP1OUT))+IF(((c_TMAP2OUT)-(c_TMAP1OUT))&gt;=0,1,-1)*QUOTIENT(((c_TMAP2IN)-(c_TMAP1IN)),2)),((c_TMAP2IN)-(c_TMAP1IN)))+(c_TMAP1OUT)+IF(((c_TMAP2OUT)-(c_TMAP1OUT))&gt;=0,IF(IF(o_WRAP=1,MOD(((c_TMAP2IN)-(c_TMAP1IN))*(((A162)-(c_TMAP1IN))*((c_TMAP2OUT)-(c_TMAP1OUT))+IF(((c_TMAP2OUT)-(c_TMAP1OUT))&gt;=0,1,-1)*QUOTIENT(((c_TMAP2IN)-(c_TMAP1IN)),2))+2147483648,4294967296)-2147483648,((c_TMAP2IN)-(c_TMAP1IN))*(((A162)-(c_TMAP1IN))*((c_TMAP2OUT)-(c_TMAP1OUT))+IF(((c_TMAP2OUT)-(c_TMAP1OUT))&gt;=0,1,-1)*QUOTIENT(((c_TMAP2IN)-(c_TMAP1IN)),2)))&lt;0,-1,0),IF(IF(o_WRAP=1,MOD(((c_TMAP2IN)-(c_TMAP1IN))*(((A162)-(c_TMAP1IN))*((c_TMAP2OUT)-(c_TMAP1OUT))+IF(((c_TMAP2OUT)-(c_TMAP1OUT))&gt;=0,1,-1)*QUOTIENT(((c_TMAP2IN)-(c_TMAP1IN)),2))+2147483648,4294967296)-2147483648,((c_TMAP2IN)-(c_TMAP1IN))*(((A162)-(c_TMAP1IN))*((c_TMAP2OUT)-(c_TMAP1OUT))+IF(((c_TMAP2OUT)-(c_TMAP1OUT))&gt;=0,1,-1)*QUOTIENT(((c_TMAP2IN)-(c_TMAP1IN)),2)))&gt;=0,1,0)))</f>
        <v>93</v>
      </c>
      <c r="F162" s="7" t="n">
        <f aca="false">IF(((c_TMAP3IN)-(c_TMAP2IN))=0,(c_TMAP2OUT)+QUOTIENT(((c_TMAP3OUT)-(c_TMAP2OUT)),2),QUOTIENT((((A162)-(c_TMAP2IN))*((c_TMAP3OUT)-(c_TMAP2OUT))+IF(((c_TMAP3OUT)-(c_TMAP2OUT))&gt;=0,1,-1)*QUOTIENT(((c_TMAP3IN)-(c_TMAP2IN)),2)),((c_TMAP3IN)-(c_TMAP2IN)))+(c_TMAP2OUT)+IF(((c_TMAP3OUT)-(c_TMAP2OUT))&gt;=0,IF(IF(o_WRAP=1,MOD(((c_TMAP3IN)-(c_TMAP2IN))*(((A162)-(c_TMAP2IN))*((c_TMAP3OUT)-(c_TMAP2OUT))+IF(((c_TMAP3OUT)-(c_TMAP2OUT))&gt;=0,1,-1)*QUOTIENT(((c_TMAP3IN)-(c_TMAP2IN)),2))+2147483648,4294967296)-2147483648,((c_TMAP3IN)-(c_TMAP2IN))*(((A162)-(c_TMAP2IN))*((c_TMAP3OUT)-(c_TMAP2OUT))+IF(((c_TMAP3OUT)-(c_TMAP2OUT))&gt;=0,1,-1)*QUOTIENT(((c_TMAP3IN)-(c_TMAP2IN)),2)))&lt;0,-1,0),IF(IF(o_WRAP=1,MOD(((c_TMAP3IN)-(c_TMAP2IN))*(((A162)-(c_TMAP2IN))*((c_TMAP3OUT)-(c_TMAP2OUT))+IF(((c_TMAP3OUT)-(c_TMAP2OUT))&gt;=0,1,-1)*QUOTIENT(((c_TMAP3IN)-(c_TMAP2IN)),2))+2147483648,4294967296)-2147483648,((c_TMAP3IN)-(c_TMAP2IN))*(((A162)-(c_TMAP2IN))*((c_TMAP3OUT)-(c_TMAP2OUT))+IF(((c_TMAP3OUT)-(c_TMAP2OUT))&gt;=0,1,-1)*QUOTIENT(((c_TMAP3IN)-(c_TMAP2IN)),2)))&gt;=0,1,0)))</f>
        <v>65</v>
      </c>
      <c r="G162" s="7" t="n">
        <f aca="false">IF(((1000)-(c_TMAP3IN))=0,(c_TMAP3OUT)+QUOTIENT(((1000)-(c_TMAP3OUT)),2),QUOTIENT((((A162)-(c_TMAP3IN))*((1000)-(c_TMAP3OUT))+IF(((1000)-(c_TMAP3OUT))&gt;=0,1,-1)*QUOTIENT(((1000)-(c_TMAP3IN)),2)),((1000)-(c_TMAP3IN)))+(c_TMAP3OUT)+IF(((1000)-(c_TMAP3OUT))&gt;=0,IF(IF(o_WRAP=1,MOD(((1000)-(c_TMAP3IN))*(((A162)-(c_TMAP3IN))*((1000)-(c_TMAP3OUT))+IF(((1000)-(c_TMAP3OUT))&gt;=0,1,-1)*QUOTIENT(((1000)-(c_TMAP3IN)),2))+2147483648,4294967296)-2147483648,((1000)-(c_TMAP3IN))*(((A162)-(c_TMAP3IN))*((1000)-(c_TMAP3OUT))+IF(((1000)-(c_TMAP3OUT))&gt;=0,1,-1)*QUOTIENT(((1000)-(c_TMAP3IN)),2)))&lt;0,-1,0),IF(IF(o_WRAP=1,MOD(((1000)-(c_TMAP3IN))*(((A162)-(c_TMAP3IN))*((1000)-(c_TMAP3OUT))+IF(((1000)-(c_TMAP3OUT))&gt;=0,1,-1)*QUOTIENT(((1000)-(c_TMAP3IN)),2))+2147483648,4294967296)-2147483648,((1000)-(c_TMAP3IN))*(((A162)-(c_TMAP3IN))*((1000)-(c_TMAP3OUT))+IF(((1000)-(c_TMAP3OUT))&gt;=0,1,-1)*QUOTIENT(((1000)-(c_TMAP3IN)),2)))&gt;=0,1,0)))</f>
        <v>-38</v>
      </c>
      <c r="H162" s="7" t="str">
        <f aca="false">IF(A162&gt;=c_TFWD,IF(AND(A162&gt;=c_TMAP3IN,c_TMAP3IN&lt;1000),"Seg4 map3-100%",IF(AND(A162&gt;=c_TMAP2IN,c_TMAP3IN&gt;c_TMAP2IN),"Seg3 map2-map3",IF(AND(A162&gt;=c_TMAP1IN,c_TMAP2IN&gt;c_TMAP1IN),"Seg2 map1-map2","Seg1 TFWD-map1"))),IF(AND(A162=0,c_TCREEP&gt;0),"Creep",IF(AND(A162&lt;=c_TRNGMIN,A162&gt;=c_TRNGMAX,c_TRNGMIN-c_TRNGMAX&lt;&gt;0),"Regen ramp","Coast (0)")))</f>
        <v>Seg2 map1-map2</v>
      </c>
      <c r="I162" s="7" t="n">
        <f aca="false">IF(A162&gt;=c_TFWD,IF(AND(A162&gt;=c_TMAP3IN,c_TMAP3IN&lt;1000),G162,IF(AND(A162&gt;=c_TMAP2IN,c_TMAP3IN&gt;c_TMAP2IN),F162,IF(AND(A162&gt;=c_TMAP1IN,c_TMAP2IN&gt;c_TMAP1IN),E162,D162))),C162)</f>
        <v>93</v>
      </c>
      <c r="J162" s="7" t="str">
        <f aca="false">IF(I162&lt;-1090,"TOO LOW",IF(I162&gt;1090,"TOO HIGH",""))</f>
        <v/>
      </c>
      <c r="K162" s="15" t="n">
        <f aca="false">IF(J162&lt;&gt;"",0,IF(I162&gt;979,1000,I162))</f>
        <v>93</v>
      </c>
      <c r="L162" s="7" t="n">
        <f aca="false">K162/10</f>
        <v>9.3</v>
      </c>
    </row>
    <row r="163" customFormat="false" ht="15" hidden="false" customHeight="false" outlineLevel="0" collapsed="false">
      <c r="A163" s="7" t="n">
        <v>158</v>
      </c>
      <c r="B163" s="7" t="n">
        <f aca="false">A163/10</f>
        <v>15.8</v>
      </c>
      <c r="C163" s="7" t="n">
        <f aca="false">IF(AND(A163=0,c_TCREEP&gt;0),10*c_TCREEP,IF(AND(A163&lt;=c_TRNGMIN,A163&gt;=c_TRNGMAX,c_TRNGMIN-c_TRNGMAX&lt;&gt;0),-10*c_TMINRN+QUOTIENT((c_TMAXRN-c_TMINRN)*(100-QUOTIENT((A163-c_TRNGMAX)*100,c_TRNGMIN-c_TRNGMAX)),-10),0))</f>
        <v>0</v>
      </c>
      <c r="D163" s="7" t="n">
        <f aca="false">IF(((c_TMAP1IN)-(c_TFWD))=0,(0)+QUOTIENT(((c_TMAP1OUT)-(0)),2),QUOTIENT((((A163)-(c_TFWD))*((c_TMAP1OUT)-(0))+IF(((c_TMAP1OUT)-(0))&gt;=0,1,-1)*QUOTIENT(((c_TMAP1IN)-(c_TFWD)),2)),((c_TMAP1IN)-(c_TFWD)))+(0)+IF(((c_TMAP1OUT)-(0))&gt;=0,IF(IF(o_WRAP=1,MOD(((c_TMAP1IN)-(c_TFWD))*(((A163)-(c_TFWD))*((c_TMAP1OUT)-(0))+IF(((c_TMAP1OUT)-(0))&gt;=0,1,-1)*QUOTIENT(((c_TMAP1IN)-(c_TFWD)),2))+2147483648,4294967296)-2147483648,((c_TMAP1IN)-(c_TFWD))*(((A163)-(c_TFWD))*((c_TMAP1OUT)-(0))+IF(((c_TMAP1OUT)-(0))&gt;=0,1,-1)*QUOTIENT(((c_TMAP1IN)-(c_TFWD)),2)))&lt;0,-1,0),IF(IF(o_WRAP=1,MOD(((c_TMAP1IN)-(c_TFWD))*(((A163)-(c_TFWD))*((c_TMAP1OUT)-(0))+IF(((c_TMAP1OUT)-(0))&gt;=0,1,-1)*QUOTIENT(((c_TMAP1IN)-(c_TFWD)),2))+2147483648,4294967296)-2147483648,((c_TMAP1IN)-(c_TFWD))*(((A163)-(c_TFWD))*((c_TMAP1OUT)-(0))+IF(((c_TMAP1OUT)-(0))&gt;=0,1,-1)*QUOTIENT(((c_TMAP1IN)-(c_TFWD)),2)))&gt;=0,1,0)))</f>
        <v>115</v>
      </c>
      <c r="E163" s="7" t="n">
        <f aca="false">IF(((c_TMAP2IN)-(c_TMAP1IN))=0,(c_TMAP1OUT)+QUOTIENT(((c_TMAP2OUT)-(c_TMAP1OUT)),2),QUOTIENT((((A163)-(c_TMAP1IN))*((c_TMAP2OUT)-(c_TMAP1OUT))+IF(((c_TMAP2OUT)-(c_TMAP1OUT))&gt;=0,1,-1)*QUOTIENT(((c_TMAP2IN)-(c_TMAP1IN)),2)),((c_TMAP2IN)-(c_TMAP1IN)))+(c_TMAP1OUT)+IF(((c_TMAP2OUT)-(c_TMAP1OUT))&gt;=0,IF(IF(o_WRAP=1,MOD(((c_TMAP2IN)-(c_TMAP1IN))*(((A163)-(c_TMAP1IN))*((c_TMAP2OUT)-(c_TMAP1OUT))+IF(((c_TMAP2OUT)-(c_TMAP1OUT))&gt;=0,1,-1)*QUOTIENT(((c_TMAP2IN)-(c_TMAP1IN)),2))+2147483648,4294967296)-2147483648,((c_TMAP2IN)-(c_TMAP1IN))*(((A163)-(c_TMAP1IN))*((c_TMAP2OUT)-(c_TMAP1OUT))+IF(((c_TMAP2OUT)-(c_TMAP1OUT))&gt;=0,1,-1)*QUOTIENT(((c_TMAP2IN)-(c_TMAP1IN)),2)))&lt;0,-1,0),IF(IF(o_WRAP=1,MOD(((c_TMAP2IN)-(c_TMAP1IN))*(((A163)-(c_TMAP1IN))*((c_TMAP2OUT)-(c_TMAP1OUT))+IF(((c_TMAP2OUT)-(c_TMAP1OUT))&gt;=0,1,-1)*QUOTIENT(((c_TMAP2IN)-(c_TMAP1IN)),2))+2147483648,4294967296)-2147483648,((c_TMAP2IN)-(c_TMAP1IN))*(((A163)-(c_TMAP1IN))*((c_TMAP2OUT)-(c_TMAP1OUT))+IF(((c_TMAP2OUT)-(c_TMAP1OUT))&gt;=0,1,-1)*QUOTIENT(((c_TMAP2IN)-(c_TMAP1IN)),2)))&gt;=0,1,0)))</f>
        <v>93</v>
      </c>
      <c r="F163" s="7" t="n">
        <f aca="false">IF(((c_TMAP3IN)-(c_TMAP2IN))=0,(c_TMAP2OUT)+QUOTIENT(((c_TMAP3OUT)-(c_TMAP2OUT)),2),QUOTIENT((((A163)-(c_TMAP2IN))*((c_TMAP3OUT)-(c_TMAP2OUT))+IF(((c_TMAP3OUT)-(c_TMAP2OUT))&gt;=0,1,-1)*QUOTIENT(((c_TMAP3IN)-(c_TMAP2IN)),2)),((c_TMAP3IN)-(c_TMAP2IN)))+(c_TMAP2OUT)+IF(((c_TMAP3OUT)-(c_TMAP2OUT))&gt;=0,IF(IF(o_WRAP=1,MOD(((c_TMAP3IN)-(c_TMAP2IN))*(((A163)-(c_TMAP2IN))*((c_TMAP3OUT)-(c_TMAP2OUT))+IF(((c_TMAP3OUT)-(c_TMAP2OUT))&gt;=0,1,-1)*QUOTIENT(((c_TMAP3IN)-(c_TMAP2IN)),2))+2147483648,4294967296)-2147483648,((c_TMAP3IN)-(c_TMAP2IN))*(((A163)-(c_TMAP2IN))*((c_TMAP3OUT)-(c_TMAP2OUT))+IF(((c_TMAP3OUT)-(c_TMAP2OUT))&gt;=0,1,-1)*QUOTIENT(((c_TMAP3IN)-(c_TMAP2IN)),2)))&lt;0,-1,0),IF(IF(o_WRAP=1,MOD(((c_TMAP3IN)-(c_TMAP2IN))*(((A163)-(c_TMAP2IN))*((c_TMAP3OUT)-(c_TMAP2OUT))+IF(((c_TMAP3OUT)-(c_TMAP2OUT))&gt;=0,1,-1)*QUOTIENT(((c_TMAP3IN)-(c_TMAP2IN)),2))+2147483648,4294967296)-2147483648,((c_TMAP3IN)-(c_TMAP2IN))*(((A163)-(c_TMAP2IN))*((c_TMAP3OUT)-(c_TMAP2OUT))+IF(((c_TMAP3OUT)-(c_TMAP2OUT))&gt;=0,1,-1)*QUOTIENT(((c_TMAP3IN)-(c_TMAP2IN)),2)))&gt;=0,1,0)))</f>
        <v>66</v>
      </c>
      <c r="G163" s="7" t="n">
        <f aca="false">IF(((1000)-(c_TMAP3IN))=0,(c_TMAP3OUT)+QUOTIENT(((1000)-(c_TMAP3OUT)),2),QUOTIENT((((A163)-(c_TMAP3IN))*((1000)-(c_TMAP3OUT))+IF(((1000)-(c_TMAP3OUT))&gt;=0,1,-1)*QUOTIENT(((1000)-(c_TMAP3IN)),2)),((1000)-(c_TMAP3IN)))+(c_TMAP3OUT)+IF(((1000)-(c_TMAP3OUT))&gt;=0,IF(IF(o_WRAP=1,MOD(((1000)-(c_TMAP3IN))*(((A163)-(c_TMAP3IN))*((1000)-(c_TMAP3OUT))+IF(((1000)-(c_TMAP3OUT))&gt;=0,1,-1)*QUOTIENT(((1000)-(c_TMAP3IN)),2))+2147483648,4294967296)-2147483648,((1000)-(c_TMAP3IN))*(((A163)-(c_TMAP3IN))*((1000)-(c_TMAP3OUT))+IF(((1000)-(c_TMAP3OUT))&gt;=0,1,-1)*QUOTIENT(((1000)-(c_TMAP3IN)),2)))&lt;0,-1,0),IF(IF(o_WRAP=1,MOD(((1000)-(c_TMAP3IN))*(((A163)-(c_TMAP3IN))*((1000)-(c_TMAP3OUT))+IF(((1000)-(c_TMAP3OUT))&gt;=0,1,-1)*QUOTIENT(((1000)-(c_TMAP3IN)),2))+2147483648,4294967296)-2147483648,((1000)-(c_TMAP3IN))*(((A163)-(c_TMAP3IN))*((1000)-(c_TMAP3OUT))+IF(((1000)-(c_TMAP3OUT))&gt;=0,1,-1)*QUOTIENT(((1000)-(c_TMAP3IN)),2)))&gt;=0,1,0)))</f>
        <v>-36</v>
      </c>
      <c r="H163" s="7" t="str">
        <f aca="false">IF(A163&gt;=c_TFWD,IF(AND(A163&gt;=c_TMAP3IN,c_TMAP3IN&lt;1000),"Seg4 map3-100%",IF(AND(A163&gt;=c_TMAP2IN,c_TMAP3IN&gt;c_TMAP2IN),"Seg3 map2-map3",IF(AND(A163&gt;=c_TMAP1IN,c_TMAP2IN&gt;c_TMAP1IN),"Seg2 map1-map2","Seg1 TFWD-map1"))),IF(AND(A163=0,c_TCREEP&gt;0),"Creep",IF(AND(A163&lt;=c_TRNGMIN,A163&gt;=c_TRNGMAX,c_TRNGMIN-c_TRNGMAX&lt;&gt;0),"Regen ramp","Coast (0)")))</f>
        <v>Seg2 map1-map2</v>
      </c>
      <c r="I163" s="7" t="n">
        <f aca="false">IF(A163&gt;=c_TFWD,IF(AND(A163&gt;=c_TMAP3IN,c_TMAP3IN&lt;1000),G163,IF(AND(A163&gt;=c_TMAP2IN,c_TMAP3IN&gt;c_TMAP2IN),F163,IF(AND(A163&gt;=c_TMAP1IN,c_TMAP2IN&gt;c_TMAP1IN),E163,D163))),C163)</f>
        <v>93</v>
      </c>
      <c r="J163" s="7" t="str">
        <f aca="false">IF(I163&lt;-1090,"TOO LOW",IF(I163&gt;1090,"TOO HIGH",""))</f>
        <v/>
      </c>
      <c r="K163" s="15" t="n">
        <f aca="false">IF(J163&lt;&gt;"",0,IF(I163&gt;979,1000,I163))</f>
        <v>93</v>
      </c>
      <c r="L163" s="7" t="n">
        <f aca="false">K163/10</f>
        <v>9.3</v>
      </c>
    </row>
    <row r="164" customFormat="false" ht="15" hidden="false" customHeight="false" outlineLevel="0" collapsed="false">
      <c r="A164" s="7" t="n">
        <v>159</v>
      </c>
      <c r="B164" s="7" t="n">
        <f aca="false">A164/10</f>
        <v>15.9</v>
      </c>
      <c r="C164" s="7" t="n">
        <f aca="false">IF(AND(A164=0,c_TCREEP&gt;0),10*c_TCREEP,IF(AND(A164&lt;=c_TRNGMIN,A164&gt;=c_TRNGMAX,c_TRNGMIN-c_TRNGMAX&lt;&gt;0),-10*c_TMINRN+QUOTIENT((c_TMAXRN-c_TMINRN)*(100-QUOTIENT((A164-c_TRNGMAX)*100,c_TRNGMIN-c_TRNGMAX)),-10),0))</f>
        <v>0</v>
      </c>
      <c r="D164" s="7" t="n">
        <f aca="false">IF(((c_TMAP1IN)-(c_TFWD))=0,(0)+QUOTIENT(((c_TMAP1OUT)-(0)),2),QUOTIENT((((A164)-(c_TFWD))*((c_TMAP1OUT)-(0))+IF(((c_TMAP1OUT)-(0))&gt;=0,1,-1)*QUOTIENT(((c_TMAP1IN)-(c_TFWD)),2)),((c_TMAP1IN)-(c_TFWD)))+(0)+IF(((c_TMAP1OUT)-(0))&gt;=0,IF(IF(o_WRAP=1,MOD(((c_TMAP1IN)-(c_TFWD))*(((A164)-(c_TFWD))*((c_TMAP1OUT)-(0))+IF(((c_TMAP1OUT)-(0))&gt;=0,1,-1)*QUOTIENT(((c_TMAP1IN)-(c_TFWD)),2))+2147483648,4294967296)-2147483648,((c_TMAP1IN)-(c_TFWD))*(((A164)-(c_TFWD))*((c_TMAP1OUT)-(0))+IF(((c_TMAP1OUT)-(0))&gt;=0,1,-1)*QUOTIENT(((c_TMAP1IN)-(c_TFWD)),2)))&lt;0,-1,0),IF(IF(o_WRAP=1,MOD(((c_TMAP1IN)-(c_TFWD))*(((A164)-(c_TFWD))*((c_TMAP1OUT)-(0))+IF(((c_TMAP1OUT)-(0))&gt;=0,1,-1)*QUOTIENT(((c_TMAP1IN)-(c_TFWD)),2))+2147483648,4294967296)-2147483648,((c_TMAP1IN)-(c_TFWD))*(((A164)-(c_TFWD))*((c_TMAP1OUT)-(0))+IF(((c_TMAP1OUT)-(0))&gt;=0,1,-1)*QUOTIENT(((c_TMAP1IN)-(c_TFWD)),2)))&gt;=0,1,0)))</f>
        <v>116</v>
      </c>
      <c r="E164" s="7" t="n">
        <f aca="false">IF(((c_TMAP2IN)-(c_TMAP1IN))=0,(c_TMAP1OUT)+QUOTIENT(((c_TMAP2OUT)-(c_TMAP1OUT)),2),QUOTIENT((((A164)-(c_TMAP1IN))*((c_TMAP2OUT)-(c_TMAP1OUT))+IF(((c_TMAP2OUT)-(c_TMAP1OUT))&gt;=0,1,-1)*QUOTIENT(((c_TMAP2IN)-(c_TMAP1IN)),2)),((c_TMAP2IN)-(c_TMAP1IN)))+(c_TMAP1OUT)+IF(((c_TMAP2OUT)-(c_TMAP1OUT))&gt;=0,IF(IF(o_WRAP=1,MOD(((c_TMAP2IN)-(c_TMAP1IN))*(((A164)-(c_TMAP1IN))*((c_TMAP2OUT)-(c_TMAP1OUT))+IF(((c_TMAP2OUT)-(c_TMAP1OUT))&gt;=0,1,-1)*QUOTIENT(((c_TMAP2IN)-(c_TMAP1IN)),2))+2147483648,4294967296)-2147483648,((c_TMAP2IN)-(c_TMAP1IN))*(((A164)-(c_TMAP1IN))*((c_TMAP2OUT)-(c_TMAP1OUT))+IF(((c_TMAP2OUT)-(c_TMAP1OUT))&gt;=0,1,-1)*QUOTIENT(((c_TMAP2IN)-(c_TMAP1IN)),2)))&lt;0,-1,0),IF(IF(o_WRAP=1,MOD(((c_TMAP2IN)-(c_TMAP1IN))*(((A164)-(c_TMAP1IN))*((c_TMAP2OUT)-(c_TMAP1OUT))+IF(((c_TMAP2OUT)-(c_TMAP1OUT))&gt;=0,1,-1)*QUOTIENT(((c_TMAP2IN)-(c_TMAP1IN)),2))+2147483648,4294967296)-2147483648,((c_TMAP2IN)-(c_TMAP1IN))*(((A164)-(c_TMAP1IN))*((c_TMAP2OUT)-(c_TMAP1OUT))+IF(((c_TMAP2OUT)-(c_TMAP1OUT))&gt;=0,1,-1)*QUOTIENT(((c_TMAP2IN)-(c_TMAP1IN)),2)))&gt;=0,1,0)))</f>
        <v>94</v>
      </c>
      <c r="F164" s="7" t="n">
        <f aca="false">IF(((c_TMAP3IN)-(c_TMAP2IN))=0,(c_TMAP2OUT)+QUOTIENT(((c_TMAP3OUT)-(c_TMAP2OUT)),2),QUOTIENT((((A164)-(c_TMAP2IN))*((c_TMAP3OUT)-(c_TMAP2OUT))+IF(((c_TMAP3OUT)-(c_TMAP2OUT))&gt;=0,1,-1)*QUOTIENT(((c_TMAP3IN)-(c_TMAP2IN)),2)),((c_TMAP3IN)-(c_TMAP2IN)))+(c_TMAP2OUT)+IF(((c_TMAP3OUT)-(c_TMAP2OUT))&gt;=0,IF(IF(o_WRAP=1,MOD(((c_TMAP3IN)-(c_TMAP2IN))*(((A164)-(c_TMAP2IN))*((c_TMAP3OUT)-(c_TMAP2OUT))+IF(((c_TMAP3OUT)-(c_TMAP2OUT))&gt;=0,1,-1)*QUOTIENT(((c_TMAP3IN)-(c_TMAP2IN)),2))+2147483648,4294967296)-2147483648,((c_TMAP3IN)-(c_TMAP2IN))*(((A164)-(c_TMAP2IN))*((c_TMAP3OUT)-(c_TMAP2OUT))+IF(((c_TMAP3OUT)-(c_TMAP2OUT))&gt;=0,1,-1)*QUOTIENT(((c_TMAP3IN)-(c_TMAP2IN)),2)))&lt;0,-1,0),IF(IF(o_WRAP=1,MOD(((c_TMAP3IN)-(c_TMAP2IN))*(((A164)-(c_TMAP2IN))*((c_TMAP3OUT)-(c_TMAP2OUT))+IF(((c_TMAP3OUT)-(c_TMAP2OUT))&gt;=0,1,-1)*QUOTIENT(((c_TMAP3IN)-(c_TMAP2IN)),2))+2147483648,4294967296)-2147483648,((c_TMAP3IN)-(c_TMAP2IN))*(((A164)-(c_TMAP2IN))*((c_TMAP3OUT)-(c_TMAP2OUT))+IF(((c_TMAP3OUT)-(c_TMAP2OUT))&gt;=0,1,-1)*QUOTIENT(((c_TMAP3IN)-(c_TMAP2IN)),2)))&gt;=0,1,0)))</f>
        <v>66</v>
      </c>
      <c r="G164" s="7" t="n">
        <f aca="false">IF(((1000)-(c_TMAP3IN))=0,(c_TMAP3OUT)+QUOTIENT(((1000)-(c_TMAP3OUT)),2),QUOTIENT((((A164)-(c_TMAP3IN))*((1000)-(c_TMAP3OUT))+IF(((1000)-(c_TMAP3OUT))&gt;=0,1,-1)*QUOTIENT(((1000)-(c_TMAP3IN)),2)),((1000)-(c_TMAP3IN)))+(c_TMAP3OUT)+IF(((1000)-(c_TMAP3OUT))&gt;=0,IF(IF(o_WRAP=1,MOD(((1000)-(c_TMAP3IN))*(((A164)-(c_TMAP3IN))*((1000)-(c_TMAP3OUT))+IF(((1000)-(c_TMAP3OUT))&gt;=0,1,-1)*QUOTIENT(((1000)-(c_TMAP3IN)),2))+2147483648,4294967296)-2147483648,((1000)-(c_TMAP3IN))*(((A164)-(c_TMAP3IN))*((1000)-(c_TMAP3OUT))+IF(((1000)-(c_TMAP3OUT))&gt;=0,1,-1)*QUOTIENT(((1000)-(c_TMAP3IN)),2)))&lt;0,-1,0),IF(IF(o_WRAP=1,MOD(((1000)-(c_TMAP3IN))*(((A164)-(c_TMAP3IN))*((1000)-(c_TMAP3OUT))+IF(((1000)-(c_TMAP3OUT))&gt;=0,1,-1)*QUOTIENT(((1000)-(c_TMAP3IN)),2))+2147483648,4294967296)-2147483648,((1000)-(c_TMAP3IN))*(((A164)-(c_TMAP3IN))*((1000)-(c_TMAP3OUT))+IF(((1000)-(c_TMAP3OUT))&gt;=0,1,-1)*QUOTIENT(((1000)-(c_TMAP3IN)),2)))&gt;=0,1,0)))</f>
        <v>-35</v>
      </c>
      <c r="H164" s="7" t="str">
        <f aca="false">IF(A164&gt;=c_TFWD,IF(AND(A164&gt;=c_TMAP3IN,c_TMAP3IN&lt;1000),"Seg4 map3-100%",IF(AND(A164&gt;=c_TMAP2IN,c_TMAP3IN&gt;c_TMAP2IN),"Seg3 map2-map3",IF(AND(A164&gt;=c_TMAP1IN,c_TMAP2IN&gt;c_TMAP1IN),"Seg2 map1-map2","Seg1 TFWD-map1"))),IF(AND(A164=0,c_TCREEP&gt;0),"Creep",IF(AND(A164&lt;=c_TRNGMIN,A164&gt;=c_TRNGMAX,c_TRNGMIN-c_TRNGMAX&lt;&gt;0),"Regen ramp","Coast (0)")))</f>
        <v>Seg2 map1-map2</v>
      </c>
      <c r="I164" s="7" t="n">
        <f aca="false">IF(A164&gt;=c_TFWD,IF(AND(A164&gt;=c_TMAP3IN,c_TMAP3IN&lt;1000),G164,IF(AND(A164&gt;=c_TMAP2IN,c_TMAP3IN&gt;c_TMAP2IN),F164,IF(AND(A164&gt;=c_TMAP1IN,c_TMAP2IN&gt;c_TMAP1IN),E164,D164))),C164)</f>
        <v>94</v>
      </c>
      <c r="J164" s="7" t="str">
        <f aca="false">IF(I164&lt;-1090,"TOO LOW",IF(I164&gt;1090,"TOO HIGH",""))</f>
        <v/>
      </c>
      <c r="K164" s="15" t="n">
        <f aca="false">IF(J164&lt;&gt;"",0,IF(I164&gt;979,1000,I164))</f>
        <v>94</v>
      </c>
      <c r="L164" s="7" t="n">
        <f aca="false">K164/10</f>
        <v>9.4</v>
      </c>
    </row>
    <row r="165" customFormat="false" ht="15" hidden="false" customHeight="false" outlineLevel="0" collapsed="false">
      <c r="A165" s="7" t="n">
        <v>160</v>
      </c>
      <c r="B165" s="7" t="n">
        <f aca="false">A165/10</f>
        <v>16</v>
      </c>
      <c r="C165" s="7" t="n">
        <f aca="false">IF(AND(A165=0,c_TCREEP&gt;0),10*c_TCREEP,IF(AND(A165&lt;=c_TRNGMIN,A165&gt;=c_TRNGMAX,c_TRNGMIN-c_TRNGMAX&lt;&gt;0),-10*c_TMINRN+QUOTIENT((c_TMAXRN-c_TMINRN)*(100-QUOTIENT((A165-c_TRNGMAX)*100,c_TRNGMIN-c_TRNGMAX)),-10),0))</f>
        <v>0</v>
      </c>
      <c r="D165" s="7" t="n">
        <f aca="false">IF(((c_TMAP1IN)-(c_TFWD))=0,(0)+QUOTIENT(((c_TMAP1OUT)-(0)),2),QUOTIENT((((A165)-(c_TFWD))*((c_TMAP1OUT)-(0))+IF(((c_TMAP1OUT)-(0))&gt;=0,1,-1)*QUOTIENT(((c_TMAP1IN)-(c_TFWD)),2)),((c_TMAP1IN)-(c_TFWD)))+(0)+IF(((c_TMAP1OUT)-(0))&gt;=0,IF(IF(o_WRAP=1,MOD(((c_TMAP1IN)-(c_TFWD))*(((A165)-(c_TFWD))*((c_TMAP1OUT)-(0))+IF(((c_TMAP1OUT)-(0))&gt;=0,1,-1)*QUOTIENT(((c_TMAP1IN)-(c_TFWD)),2))+2147483648,4294967296)-2147483648,((c_TMAP1IN)-(c_TFWD))*(((A165)-(c_TFWD))*((c_TMAP1OUT)-(0))+IF(((c_TMAP1OUT)-(0))&gt;=0,1,-1)*QUOTIENT(((c_TMAP1IN)-(c_TFWD)),2)))&lt;0,-1,0),IF(IF(o_WRAP=1,MOD(((c_TMAP1IN)-(c_TFWD))*(((A165)-(c_TFWD))*((c_TMAP1OUT)-(0))+IF(((c_TMAP1OUT)-(0))&gt;=0,1,-1)*QUOTIENT(((c_TMAP1IN)-(c_TFWD)),2))+2147483648,4294967296)-2147483648,((c_TMAP1IN)-(c_TFWD))*(((A165)-(c_TFWD))*((c_TMAP1OUT)-(0))+IF(((c_TMAP1OUT)-(0))&gt;=0,1,-1)*QUOTIENT(((c_TMAP1IN)-(c_TFWD)),2)))&gt;=0,1,0)))</f>
        <v>117</v>
      </c>
      <c r="E165" s="7" t="n">
        <f aca="false">IF(((c_TMAP2IN)-(c_TMAP1IN))=0,(c_TMAP1OUT)+QUOTIENT(((c_TMAP2OUT)-(c_TMAP1OUT)),2),QUOTIENT((((A165)-(c_TMAP1IN))*((c_TMAP2OUT)-(c_TMAP1OUT))+IF(((c_TMAP2OUT)-(c_TMAP1OUT))&gt;=0,1,-1)*QUOTIENT(((c_TMAP2IN)-(c_TMAP1IN)),2)),((c_TMAP2IN)-(c_TMAP1IN)))+(c_TMAP1OUT)+IF(((c_TMAP2OUT)-(c_TMAP1OUT))&gt;=0,IF(IF(o_WRAP=1,MOD(((c_TMAP2IN)-(c_TMAP1IN))*(((A165)-(c_TMAP1IN))*((c_TMAP2OUT)-(c_TMAP1OUT))+IF(((c_TMAP2OUT)-(c_TMAP1OUT))&gt;=0,1,-1)*QUOTIENT(((c_TMAP2IN)-(c_TMAP1IN)),2))+2147483648,4294967296)-2147483648,((c_TMAP2IN)-(c_TMAP1IN))*(((A165)-(c_TMAP1IN))*((c_TMAP2OUT)-(c_TMAP1OUT))+IF(((c_TMAP2OUT)-(c_TMAP1OUT))&gt;=0,1,-1)*QUOTIENT(((c_TMAP2IN)-(c_TMAP1IN)),2)))&lt;0,-1,0),IF(IF(o_WRAP=1,MOD(((c_TMAP2IN)-(c_TMAP1IN))*(((A165)-(c_TMAP1IN))*((c_TMAP2OUT)-(c_TMAP1OUT))+IF(((c_TMAP2OUT)-(c_TMAP1OUT))&gt;=0,1,-1)*QUOTIENT(((c_TMAP2IN)-(c_TMAP1IN)),2))+2147483648,4294967296)-2147483648,((c_TMAP2IN)-(c_TMAP1IN))*(((A165)-(c_TMAP1IN))*((c_TMAP2OUT)-(c_TMAP1OUT))+IF(((c_TMAP2OUT)-(c_TMAP1OUT))&gt;=0,1,-1)*QUOTIENT(((c_TMAP2IN)-(c_TMAP1IN)),2)))&gt;=0,1,0)))</f>
        <v>94</v>
      </c>
      <c r="F165" s="7" t="n">
        <f aca="false">IF(((c_TMAP3IN)-(c_TMAP2IN))=0,(c_TMAP2OUT)+QUOTIENT(((c_TMAP3OUT)-(c_TMAP2OUT)),2),QUOTIENT((((A165)-(c_TMAP2IN))*((c_TMAP3OUT)-(c_TMAP2OUT))+IF(((c_TMAP3OUT)-(c_TMAP2OUT))&gt;=0,1,-1)*QUOTIENT(((c_TMAP3IN)-(c_TMAP2IN)),2)),((c_TMAP3IN)-(c_TMAP2IN)))+(c_TMAP2OUT)+IF(((c_TMAP3OUT)-(c_TMAP2OUT))&gt;=0,IF(IF(o_WRAP=1,MOD(((c_TMAP3IN)-(c_TMAP2IN))*(((A165)-(c_TMAP2IN))*((c_TMAP3OUT)-(c_TMAP2OUT))+IF(((c_TMAP3OUT)-(c_TMAP2OUT))&gt;=0,1,-1)*QUOTIENT(((c_TMAP3IN)-(c_TMAP2IN)),2))+2147483648,4294967296)-2147483648,((c_TMAP3IN)-(c_TMAP2IN))*(((A165)-(c_TMAP2IN))*((c_TMAP3OUT)-(c_TMAP2OUT))+IF(((c_TMAP3OUT)-(c_TMAP2OUT))&gt;=0,1,-1)*QUOTIENT(((c_TMAP3IN)-(c_TMAP2IN)),2)))&lt;0,-1,0),IF(IF(o_WRAP=1,MOD(((c_TMAP3IN)-(c_TMAP2IN))*(((A165)-(c_TMAP2IN))*((c_TMAP3OUT)-(c_TMAP2OUT))+IF(((c_TMAP3OUT)-(c_TMAP2OUT))&gt;=0,1,-1)*QUOTIENT(((c_TMAP3IN)-(c_TMAP2IN)),2))+2147483648,4294967296)-2147483648,((c_TMAP3IN)-(c_TMAP2IN))*(((A165)-(c_TMAP2IN))*((c_TMAP3OUT)-(c_TMAP2OUT))+IF(((c_TMAP3OUT)-(c_TMAP2OUT))&gt;=0,1,-1)*QUOTIENT(((c_TMAP3IN)-(c_TMAP2IN)),2)))&gt;=0,1,0)))</f>
        <v>67</v>
      </c>
      <c r="G165" s="7" t="n">
        <f aca="false">IF(((1000)-(c_TMAP3IN))=0,(c_TMAP3OUT)+QUOTIENT(((1000)-(c_TMAP3OUT)),2),QUOTIENT((((A165)-(c_TMAP3IN))*((1000)-(c_TMAP3OUT))+IF(((1000)-(c_TMAP3OUT))&gt;=0,1,-1)*QUOTIENT(((1000)-(c_TMAP3IN)),2)),((1000)-(c_TMAP3IN)))+(c_TMAP3OUT)+IF(((1000)-(c_TMAP3OUT))&gt;=0,IF(IF(o_WRAP=1,MOD(((1000)-(c_TMAP3IN))*(((A165)-(c_TMAP3IN))*((1000)-(c_TMAP3OUT))+IF(((1000)-(c_TMAP3OUT))&gt;=0,1,-1)*QUOTIENT(((1000)-(c_TMAP3IN)),2))+2147483648,4294967296)-2147483648,((1000)-(c_TMAP3IN))*(((A165)-(c_TMAP3IN))*((1000)-(c_TMAP3OUT))+IF(((1000)-(c_TMAP3OUT))&gt;=0,1,-1)*QUOTIENT(((1000)-(c_TMAP3IN)),2)))&lt;0,-1,0),IF(IF(o_WRAP=1,MOD(((1000)-(c_TMAP3IN))*(((A165)-(c_TMAP3IN))*((1000)-(c_TMAP3OUT))+IF(((1000)-(c_TMAP3OUT))&gt;=0,1,-1)*QUOTIENT(((1000)-(c_TMAP3IN)),2))+2147483648,4294967296)-2147483648,((1000)-(c_TMAP3IN))*(((A165)-(c_TMAP3IN))*((1000)-(c_TMAP3OUT))+IF(((1000)-(c_TMAP3OUT))&gt;=0,1,-1)*QUOTIENT(((1000)-(c_TMAP3IN)),2)))&gt;=0,1,0)))</f>
        <v>-34</v>
      </c>
      <c r="H165" s="7" t="str">
        <f aca="false">IF(A165&gt;=c_TFWD,IF(AND(A165&gt;=c_TMAP3IN,c_TMAP3IN&lt;1000),"Seg4 map3-100%",IF(AND(A165&gt;=c_TMAP2IN,c_TMAP3IN&gt;c_TMAP2IN),"Seg3 map2-map3",IF(AND(A165&gt;=c_TMAP1IN,c_TMAP2IN&gt;c_TMAP1IN),"Seg2 map1-map2","Seg1 TFWD-map1"))),IF(AND(A165=0,c_TCREEP&gt;0),"Creep",IF(AND(A165&lt;=c_TRNGMIN,A165&gt;=c_TRNGMAX,c_TRNGMIN-c_TRNGMAX&lt;&gt;0),"Regen ramp","Coast (0)")))</f>
        <v>Seg2 map1-map2</v>
      </c>
      <c r="I165" s="7" t="n">
        <f aca="false">IF(A165&gt;=c_TFWD,IF(AND(A165&gt;=c_TMAP3IN,c_TMAP3IN&lt;1000),G165,IF(AND(A165&gt;=c_TMAP2IN,c_TMAP3IN&gt;c_TMAP2IN),F165,IF(AND(A165&gt;=c_TMAP1IN,c_TMAP2IN&gt;c_TMAP1IN),E165,D165))),C165)</f>
        <v>94</v>
      </c>
      <c r="J165" s="7" t="str">
        <f aca="false">IF(I165&lt;-1090,"TOO LOW",IF(I165&gt;1090,"TOO HIGH",""))</f>
        <v/>
      </c>
      <c r="K165" s="15" t="n">
        <f aca="false">IF(J165&lt;&gt;"",0,IF(I165&gt;979,1000,I165))</f>
        <v>94</v>
      </c>
      <c r="L165" s="7" t="n">
        <f aca="false">K165/10</f>
        <v>9.4</v>
      </c>
    </row>
    <row r="166" customFormat="false" ht="15" hidden="false" customHeight="false" outlineLevel="0" collapsed="false">
      <c r="A166" s="7" t="n">
        <v>161</v>
      </c>
      <c r="B166" s="7" t="n">
        <f aca="false">A166/10</f>
        <v>16.1</v>
      </c>
      <c r="C166" s="7" t="n">
        <f aca="false">IF(AND(A166=0,c_TCREEP&gt;0),10*c_TCREEP,IF(AND(A166&lt;=c_TRNGMIN,A166&gt;=c_TRNGMAX,c_TRNGMIN-c_TRNGMAX&lt;&gt;0),-10*c_TMINRN+QUOTIENT((c_TMAXRN-c_TMINRN)*(100-QUOTIENT((A166-c_TRNGMAX)*100,c_TRNGMIN-c_TRNGMAX)),-10),0))</f>
        <v>0</v>
      </c>
      <c r="D166" s="7" t="n">
        <f aca="false">IF(((c_TMAP1IN)-(c_TFWD))=0,(0)+QUOTIENT(((c_TMAP1OUT)-(0)),2),QUOTIENT((((A166)-(c_TFWD))*((c_TMAP1OUT)-(0))+IF(((c_TMAP1OUT)-(0))&gt;=0,1,-1)*QUOTIENT(((c_TMAP1IN)-(c_TFWD)),2)),((c_TMAP1IN)-(c_TFWD)))+(0)+IF(((c_TMAP1OUT)-(0))&gt;=0,IF(IF(o_WRAP=1,MOD(((c_TMAP1IN)-(c_TFWD))*(((A166)-(c_TFWD))*((c_TMAP1OUT)-(0))+IF(((c_TMAP1OUT)-(0))&gt;=0,1,-1)*QUOTIENT(((c_TMAP1IN)-(c_TFWD)),2))+2147483648,4294967296)-2147483648,((c_TMAP1IN)-(c_TFWD))*(((A166)-(c_TFWD))*((c_TMAP1OUT)-(0))+IF(((c_TMAP1OUT)-(0))&gt;=0,1,-1)*QUOTIENT(((c_TMAP1IN)-(c_TFWD)),2)))&lt;0,-1,0),IF(IF(o_WRAP=1,MOD(((c_TMAP1IN)-(c_TFWD))*(((A166)-(c_TFWD))*((c_TMAP1OUT)-(0))+IF(((c_TMAP1OUT)-(0))&gt;=0,1,-1)*QUOTIENT(((c_TMAP1IN)-(c_TFWD)),2))+2147483648,4294967296)-2147483648,((c_TMAP1IN)-(c_TFWD))*(((A166)-(c_TFWD))*((c_TMAP1OUT)-(0))+IF(((c_TMAP1OUT)-(0))&gt;=0,1,-1)*QUOTIENT(((c_TMAP1IN)-(c_TFWD)),2)))&gt;=0,1,0)))</f>
        <v>117</v>
      </c>
      <c r="E166" s="7" t="n">
        <f aca="false">IF(((c_TMAP2IN)-(c_TMAP1IN))=0,(c_TMAP1OUT)+QUOTIENT(((c_TMAP2OUT)-(c_TMAP1OUT)),2),QUOTIENT((((A166)-(c_TMAP1IN))*((c_TMAP2OUT)-(c_TMAP1OUT))+IF(((c_TMAP2OUT)-(c_TMAP1OUT))&gt;=0,1,-1)*QUOTIENT(((c_TMAP2IN)-(c_TMAP1IN)),2)),((c_TMAP2IN)-(c_TMAP1IN)))+(c_TMAP1OUT)+IF(((c_TMAP2OUT)-(c_TMAP1OUT))&gt;=0,IF(IF(o_WRAP=1,MOD(((c_TMAP2IN)-(c_TMAP1IN))*(((A166)-(c_TMAP1IN))*((c_TMAP2OUT)-(c_TMAP1OUT))+IF(((c_TMAP2OUT)-(c_TMAP1OUT))&gt;=0,1,-1)*QUOTIENT(((c_TMAP2IN)-(c_TMAP1IN)),2))+2147483648,4294967296)-2147483648,((c_TMAP2IN)-(c_TMAP1IN))*(((A166)-(c_TMAP1IN))*((c_TMAP2OUT)-(c_TMAP1OUT))+IF(((c_TMAP2OUT)-(c_TMAP1OUT))&gt;=0,1,-1)*QUOTIENT(((c_TMAP2IN)-(c_TMAP1IN)),2)))&lt;0,-1,0),IF(IF(o_WRAP=1,MOD(((c_TMAP2IN)-(c_TMAP1IN))*(((A166)-(c_TMAP1IN))*((c_TMAP2OUT)-(c_TMAP1OUT))+IF(((c_TMAP2OUT)-(c_TMAP1OUT))&gt;=0,1,-1)*QUOTIENT(((c_TMAP2IN)-(c_TMAP1IN)),2))+2147483648,4294967296)-2147483648,((c_TMAP2IN)-(c_TMAP1IN))*(((A166)-(c_TMAP1IN))*((c_TMAP2OUT)-(c_TMAP1OUT))+IF(((c_TMAP2OUT)-(c_TMAP1OUT))&gt;=0,1,-1)*QUOTIENT(((c_TMAP2IN)-(c_TMAP1IN)),2)))&gt;=0,1,0)))</f>
        <v>94</v>
      </c>
      <c r="F166" s="7" t="n">
        <f aca="false">IF(((c_TMAP3IN)-(c_TMAP2IN))=0,(c_TMAP2OUT)+QUOTIENT(((c_TMAP3OUT)-(c_TMAP2OUT)),2),QUOTIENT((((A166)-(c_TMAP2IN))*((c_TMAP3OUT)-(c_TMAP2OUT))+IF(((c_TMAP3OUT)-(c_TMAP2OUT))&gt;=0,1,-1)*QUOTIENT(((c_TMAP3IN)-(c_TMAP2IN)),2)),((c_TMAP3IN)-(c_TMAP2IN)))+(c_TMAP2OUT)+IF(((c_TMAP3OUT)-(c_TMAP2OUT))&gt;=0,IF(IF(o_WRAP=1,MOD(((c_TMAP3IN)-(c_TMAP2IN))*(((A166)-(c_TMAP2IN))*((c_TMAP3OUT)-(c_TMAP2OUT))+IF(((c_TMAP3OUT)-(c_TMAP2OUT))&gt;=0,1,-1)*QUOTIENT(((c_TMAP3IN)-(c_TMAP2IN)),2))+2147483648,4294967296)-2147483648,((c_TMAP3IN)-(c_TMAP2IN))*(((A166)-(c_TMAP2IN))*((c_TMAP3OUT)-(c_TMAP2OUT))+IF(((c_TMAP3OUT)-(c_TMAP2OUT))&gt;=0,1,-1)*QUOTIENT(((c_TMAP3IN)-(c_TMAP2IN)),2)))&lt;0,-1,0),IF(IF(o_WRAP=1,MOD(((c_TMAP3IN)-(c_TMAP2IN))*(((A166)-(c_TMAP2IN))*((c_TMAP3OUT)-(c_TMAP2OUT))+IF(((c_TMAP3OUT)-(c_TMAP2OUT))&gt;=0,1,-1)*QUOTIENT(((c_TMAP3IN)-(c_TMAP2IN)),2))+2147483648,4294967296)-2147483648,((c_TMAP3IN)-(c_TMAP2IN))*(((A166)-(c_TMAP2IN))*((c_TMAP3OUT)-(c_TMAP2OUT))+IF(((c_TMAP3OUT)-(c_TMAP2OUT))&gt;=0,1,-1)*QUOTIENT(((c_TMAP3IN)-(c_TMAP2IN)),2)))&gt;=0,1,0)))</f>
        <v>68</v>
      </c>
      <c r="G166" s="7" t="n">
        <f aca="false">IF(((1000)-(c_TMAP3IN))=0,(c_TMAP3OUT)+QUOTIENT(((1000)-(c_TMAP3OUT)),2),QUOTIENT((((A166)-(c_TMAP3IN))*((1000)-(c_TMAP3OUT))+IF(((1000)-(c_TMAP3OUT))&gt;=0,1,-1)*QUOTIENT(((1000)-(c_TMAP3IN)),2)),((1000)-(c_TMAP3IN)))+(c_TMAP3OUT)+IF(((1000)-(c_TMAP3OUT))&gt;=0,IF(IF(o_WRAP=1,MOD(((1000)-(c_TMAP3IN))*(((A166)-(c_TMAP3IN))*((1000)-(c_TMAP3OUT))+IF(((1000)-(c_TMAP3OUT))&gt;=0,1,-1)*QUOTIENT(((1000)-(c_TMAP3IN)),2))+2147483648,4294967296)-2147483648,((1000)-(c_TMAP3IN))*(((A166)-(c_TMAP3IN))*((1000)-(c_TMAP3OUT))+IF(((1000)-(c_TMAP3OUT))&gt;=0,1,-1)*QUOTIENT(((1000)-(c_TMAP3IN)),2)))&lt;0,-1,0),IF(IF(o_WRAP=1,MOD(((1000)-(c_TMAP3IN))*(((A166)-(c_TMAP3IN))*((1000)-(c_TMAP3OUT))+IF(((1000)-(c_TMAP3OUT))&gt;=0,1,-1)*QUOTIENT(((1000)-(c_TMAP3IN)),2))+2147483648,4294967296)-2147483648,((1000)-(c_TMAP3IN))*(((A166)-(c_TMAP3IN))*((1000)-(c_TMAP3OUT))+IF(((1000)-(c_TMAP3OUT))&gt;=0,1,-1)*QUOTIENT(((1000)-(c_TMAP3IN)),2)))&gt;=0,1,0)))</f>
        <v>-33</v>
      </c>
      <c r="H166" s="7" t="str">
        <f aca="false">IF(A166&gt;=c_TFWD,IF(AND(A166&gt;=c_TMAP3IN,c_TMAP3IN&lt;1000),"Seg4 map3-100%",IF(AND(A166&gt;=c_TMAP2IN,c_TMAP3IN&gt;c_TMAP2IN),"Seg3 map2-map3",IF(AND(A166&gt;=c_TMAP1IN,c_TMAP2IN&gt;c_TMAP1IN),"Seg2 map1-map2","Seg1 TFWD-map1"))),IF(AND(A166=0,c_TCREEP&gt;0),"Creep",IF(AND(A166&lt;=c_TRNGMIN,A166&gt;=c_TRNGMAX,c_TRNGMIN-c_TRNGMAX&lt;&gt;0),"Regen ramp","Coast (0)")))</f>
        <v>Seg2 map1-map2</v>
      </c>
      <c r="I166" s="7" t="n">
        <f aca="false">IF(A166&gt;=c_TFWD,IF(AND(A166&gt;=c_TMAP3IN,c_TMAP3IN&lt;1000),G166,IF(AND(A166&gt;=c_TMAP2IN,c_TMAP3IN&gt;c_TMAP2IN),F166,IF(AND(A166&gt;=c_TMAP1IN,c_TMAP2IN&gt;c_TMAP1IN),E166,D166))),C166)</f>
        <v>94</v>
      </c>
      <c r="J166" s="7" t="str">
        <f aca="false">IF(I166&lt;-1090,"TOO LOW",IF(I166&gt;1090,"TOO HIGH",""))</f>
        <v/>
      </c>
      <c r="K166" s="15" t="n">
        <f aca="false">IF(J166&lt;&gt;"",0,IF(I166&gt;979,1000,I166))</f>
        <v>94</v>
      </c>
      <c r="L166" s="7" t="n">
        <f aca="false">K166/10</f>
        <v>9.4</v>
      </c>
    </row>
    <row r="167" customFormat="false" ht="15" hidden="false" customHeight="false" outlineLevel="0" collapsed="false">
      <c r="A167" s="7" t="n">
        <v>162</v>
      </c>
      <c r="B167" s="7" t="n">
        <f aca="false">A167/10</f>
        <v>16.2</v>
      </c>
      <c r="C167" s="7" t="n">
        <f aca="false">IF(AND(A167=0,c_TCREEP&gt;0),10*c_TCREEP,IF(AND(A167&lt;=c_TRNGMIN,A167&gt;=c_TRNGMAX,c_TRNGMIN-c_TRNGMAX&lt;&gt;0),-10*c_TMINRN+QUOTIENT((c_TMAXRN-c_TMINRN)*(100-QUOTIENT((A167-c_TRNGMAX)*100,c_TRNGMIN-c_TRNGMAX)),-10),0))</f>
        <v>0</v>
      </c>
      <c r="D167" s="7" t="n">
        <f aca="false">IF(((c_TMAP1IN)-(c_TFWD))=0,(0)+QUOTIENT(((c_TMAP1OUT)-(0)),2),QUOTIENT((((A167)-(c_TFWD))*((c_TMAP1OUT)-(0))+IF(((c_TMAP1OUT)-(0))&gt;=0,1,-1)*QUOTIENT(((c_TMAP1IN)-(c_TFWD)),2)),((c_TMAP1IN)-(c_TFWD)))+(0)+IF(((c_TMAP1OUT)-(0))&gt;=0,IF(IF(o_WRAP=1,MOD(((c_TMAP1IN)-(c_TFWD))*(((A167)-(c_TFWD))*((c_TMAP1OUT)-(0))+IF(((c_TMAP1OUT)-(0))&gt;=0,1,-1)*QUOTIENT(((c_TMAP1IN)-(c_TFWD)),2))+2147483648,4294967296)-2147483648,((c_TMAP1IN)-(c_TFWD))*(((A167)-(c_TFWD))*((c_TMAP1OUT)-(0))+IF(((c_TMAP1OUT)-(0))&gt;=0,1,-1)*QUOTIENT(((c_TMAP1IN)-(c_TFWD)),2)))&lt;0,-1,0),IF(IF(o_WRAP=1,MOD(((c_TMAP1IN)-(c_TFWD))*(((A167)-(c_TFWD))*((c_TMAP1OUT)-(0))+IF(((c_TMAP1OUT)-(0))&gt;=0,1,-1)*QUOTIENT(((c_TMAP1IN)-(c_TFWD)),2))+2147483648,4294967296)-2147483648,((c_TMAP1IN)-(c_TFWD))*(((A167)-(c_TFWD))*((c_TMAP1OUT)-(0))+IF(((c_TMAP1OUT)-(0))&gt;=0,1,-1)*QUOTIENT(((c_TMAP1IN)-(c_TFWD)),2)))&gt;=0,1,0)))</f>
        <v>118</v>
      </c>
      <c r="E167" s="7" t="n">
        <f aca="false">IF(((c_TMAP2IN)-(c_TMAP1IN))=0,(c_TMAP1OUT)+QUOTIENT(((c_TMAP2OUT)-(c_TMAP1OUT)),2),QUOTIENT((((A167)-(c_TMAP1IN))*((c_TMAP2OUT)-(c_TMAP1OUT))+IF(((c_TMAP2OUT)-(c_TMAP1OUT))&gt;=0,1,-1)*QUOTIENT(((c_TMAP2IN)-(c_TMAP1IN)),2)),((c_TMAP2IN)-(c_TMAP1IN)))+(c_TMAP1OUT)+IF(((c_TMAP2OUT)-(c_TMAP1OUT))&gt;=0,IF(IF(o_WRAP=1,MOD(((c_TMAP2IN)-(c_TMAP1IN))*(((A167)-(c_TMAP1IN))*((c_TMAP2OUT)-(c_TMAP1OUT))+IF(((c_TMAP2OUT)-(c_TMAP1OUT))&gt;=0,1,-1)*QUOTIENT(((c_TMAP2IN)-(c_TMAP1IN)),2))+2147483648,4294967296)-2147483648,((c_TMAP2IN)-(c_TMAP1IN))*(((A167)-(c_TMAP1IN))*((c_TMAP2OUT)-(c_TMAP1OUT))+IF(((c_TMAP2OUT)-(c_TMAP1OUT))&gt;=0,1,-1)*QUOTIENT(((c_TMAP2IN)-(c_TMAP1IN)),2)))&lt;0,-1,0),IF(IF(o_WRAP=1,MOD(((c_TMAP2IN)-(c_TMAP1IN))*(((A167)-(c_TMAP1IN))*((c_TMAP2OUT)-(c_TMAP1OUT))+IF(((c_TMAP2OUT)-(c_TMAP1OUT))&gt;=0,1,-1)*QUOTIENT(((c_TMAP2IN)-(c_TMAP1IN)),2))+2147483648,4294967296)-2147483648,((c_TMAP2IN)-(c_TMAP1IN))*(((A167)-(c_TMAP1IN))*((c_TMAP2OUT)-(c_TMAP1OUT))+IF(((c_TMAP2OUT)-(c_TMAP1OUT))&gt;=0,1,-1)*QUOTIENT(((c_TMAP2IN)-(c_TMAP1IN)),2)))&gt;=0,1,0)))</f>
        <v>95</v>
      </c>
      <c r="F167" s="7" t="n">
        <f aca="false">IF(((c_TMAP3IN)-(c_TMAP2IN))=0,(c_TMAP2OUT)+QUOTIENT(((c_TMAP3OUT)-(c_TMAP2OUT)),2),QUOTIENT((((A167)-(c_TMAP2IN))*((c_TMAP3OUT)-(c_TMAP2OUT))+IF(((c_TMAP3OUT)-(c_TMAP2OUT))&gt;=0,1,-1)*QUOTIENT(((c_TMAP3IN)-(c_TMAP2IN)),2)),((c_TMAP3IN)-(c_TMAP2IN)))+(c_TMAP2OUT)+IF(((c_TMAP3OUT)-(c_TMAP2OUT))&gt;=0,IF(IF(o_WRAP=1,MOD(((c_TMAP3IN)-(c_TMAP2IN))*(((A167)-(c_TMAP2IN))*((c_TMAP3OUT)-(c_TMAP2OUT))+IF(((c_TMAP3OUT)-(c_TMAP2OUT))&gt;=0,1,-1)*QUOTIENT(((c_TMAP3IN)-(c_TMAP2IN)),2))+2147483648,4294967296)-2147483648,((c_TMAP3IN)-(c_TMAP2IN))*(((A167)-(c_TMAP2IN))*((c_TMAP3OUT)-(c_TMAP2OUT))+IF(((c_TMAP3OUT)-(c_TMAP2OUT))&gt;=0,1,-1)*QUOTIENT(((c_TMAP3IN)-(c_TMAP2IN)),2)))&lt;0,-1,0),IF(IF(o_WRAP=1,MOD(((c_TMAP3IN)-(c_TMAP2IN))*(((A167)-(c_TMAP2IN))*((c_TMAP3OUT)-(c_TMAP2OUT))+IF(((c_TMAP3OUT)-(c_TMAP2OUT))&gt;=0,1,-1)*QUOTIENT(((c_TMAP3IN)-(c_TMAP2IN)),2))+2147483648,4294967296)-2147483648,((c_TMAP3IN)-(c_TMAP2IN))*(((A167)-(c_TMAP2IN))*((c_TMAP3OUT)-(c_TMAP2OUT))+IF(((c_TMAP3OUT)-(c_TMAP2OUT))&gt;=0,1,-1)*QUOTIENT(((c_TMAP3IN)-(c_TMAP2IN)),2)))&gt;=0,1,0)))</f>
        <v>68</v>
      </c>
      <c r="G167" s="7" t="n">
        <f aca="false">IF(((1000)-(c_TMAP3IN))=0,(c_TMAP3OUT)+QUOTIENT(((1000)-(c_TMAP3OUT)),2),QUOTIENT((((A167)-(c_TMAP3IN))*((1000)-(c_TMAP3OUT))+IF(((1000)-(c_TMAP3OUT))&gt;=0,1,-1)*QUOTIENT(((1000)-(c_TMAP3IN)),2)),((1000)-(c_TMAP3IN)))+(c_TMAP3OUT)+IF(((1000)-(c_TMAP3OUT))&gt;=0,IF(IF(o_WRAP=1,MOD(((1000)-(c_TMAP3IN))*(((A167)-(c_TMAP3IN))*((1000)-(c_TMAP3OUT))+IF(((1000)-(c_TMAP3OUT))&gt;=0,1,-1)*QUOTIENT(((1000)-(c_TMAP3IN)),2))+2147483648,4294967296)-2147483648,((1000)-(c_TMAP3IN))*(((A167)-(c_TMAP3IN))*((1000)-(c_TMAP3OUT))+IF(((1000)-(c_TMAP3OUT))&gt;=0,1,-1)*QUOTIENT(((1000)-(c_TMAP3IN)),2)))&lt;0,-1,0),IF(IF(o_WRAP=1,MOD(((1000)-(c_TMAP3IN))*(((A167)-(c_TMAP3IN))*((1000)-(c_TMAP3OUT))+IF(((1000)-(c_TMAP3OUT))&gt;=0,1,-1)*QUOTIENT(((1000)-(c_TMAP3IN)),2))+2147483648,4294967296)-2147483648,((1000)-(c_TMAP3IN))*(((A167)-(c_TMAP3IN))*((1000)-(c_TMAP3OUT))+IF(((1000)-(c_TMAP3OUT))&gt;=0,1,-1)*QUOTIENT(((1000)-(c_TMAP3IN)),2)))&gt;=0,1,0)))</f>
        <v>-31</v>
      </c>
      <c r="H167" s="7" t="str">
        <f aca="false">IF(A167&gt;=c_TFWD,IF(AND(A167&gt;=c_TMAP3IN,c_TMAP3IN&lt;1000),"Seg4 map3-100%",IF(AND(A167&gt;=c_TMAP2IN,c_TMAP3IN&gt;c_TMAP2IN),"Seg3 map2-map3",IF(AND(A167&gt;=c_TMAP1IN,c_TMAP2IN&gt;c_TMAP1IN),"Seg2 map1-map2","Seg1 TFWD-map1"))),IF(AND(A167=0,c_TCREEP&gt;0),"Creep",IF(AND(A167&lt;=c_TRNGMIN,A167&gt;=c_TRNGMAX,c_TRNGMIN-c_TRNGMAX&lt;&gt;0),"Regen ramp","Coast (0)")))</f>
        <v>Seg2 map1-map2</v>
      </c>
      <c r="I167" s="7" t="n">
        <f aca="false">IF(A167&gt;=c_TFWD,IF(AND(A167&gt;=c_TMAP3IN,c_TMAP3IN&lt;1000),G167,IF(AND(A167&gt;=c_TMAP2IN,c_TMAP3IN&gt;c_TMAP2IN),F167,IF(AND(A167&gt;=c_TMAP1IN,c_TMAP2IN&gt;c_TMAP1IN),E167,D167))),C167)</f>
        <v>95</v>
      </c>
      <c r="J167" s="7" t="str">
        <f aca="false">IF(I167&lt;-1090,"TOO LOW",IF(I167&gt;1090,"TOO HIGH",""))</f>
        <v/>
      </c>
      <c r="K167" s="15" t="n">
        <f aca="false">IF(J167&lt;&gt;"",0,IF(I167&gt;979,1000,I167))</f>
        <v>95</v>
      </c>
      <c r="L167" s="7" t="n">
        <f aca="false">K167/10</f>
        <v>9.5</v>
      </c>
    </row>
    <row r="168" customFormat="false" ht="15" hidden="false" customHeight="false" outlineLevel="0" collapsed="false">
      <c r="A168" s="7" t="n">
        <v>163</v>
      </c>
      <c r="B168" s="7" t="n">
        <f aca="false">A168/10</f>
        <v>16.3</v>
      </c>
      <c r="C168" s="7" t="n">
        <f aca="false">IF(AND(A168=0,c_TCREEP&gt;0),10*c_TCREEP,IF(AND(A168&lt;=c_TRNGMIN,A168&gt;=c_TRNGMAX,c_TRNGMIN-c_TRNGMAX&lt;&gt;0),-10*c_TMINRN+QUOTIENT((c_TMAXRN-c_TMINRN)*(100-QUOTIENT((A168-c_TRNGMAX)*100,c_TRNGMIN-c_TRNGMAX)),-10),0))</f>
        <v>0</v>
      </c>
      <c r="D168" s="7" t="n">
        <f aca="false">IF(((c_TMAP1IN)-(c_TFWD))=0,(0)+QUOTIENT(((c_TMAP1OUT)-(0)),2),QUOTIENT((((A168)-(c_TFWD))*((c_TMAP1OUT)-(0))+IF(((c_TMAP1OUT)-(0))&gt;=0,1,-1)*QUOTIENT(((c_TMAP1IN)-(c_TFWD)),2)),((c_TMAP1IN)-(c_TFWD)))+(0)+IF(((c_TMAP1OUT)-(0))&gt;=0,IF(IF(o_WRAP=1,MOD(((c_TMAP1IN)-(c_TFWD))*(((A168)-(c_TFWD))*((c_TMAP1OUT)-(0))+IF(((c_TMAP1OUT)-(0))&gt;=0,1,-1)*QUOTIENT(((c_TMAP1IN)-(c_TFWD)),2))+2147483648,4294967296)-2147483648,((c_TMAP1IN)-(c_TFWD))*(((A168)-(c_TFWD))*((c_TMAP1OUT)-(0))+IF(((c_TMAP1OUT)-(0))&gt;=0,1,-1)*QUOTIENT(((c_TMAP1IN)-(c_TFWD)),2)))&lt;0,-1,0),IF(IF(o_WRAP=1,MOD(((c_TMAP1IN)-(c_TFWD))*(((A168)-(c_TFWD))*((c_TMAP1OUT)-(0))+IF(((c_TMAP1OUT)-(0))&gt;=0,1,-1)*QUOTIENT(((c_TMAP1IN)-(c_TFWD)),2))+2147483648,4294967296)-2147483648,((c_TMAP1IN)-(c_TFWD))*(((A168)-(c_TFWD))*((c_TMAP1OUT)-(0))+IF(((c_TMAP1OUT)-(0))&gt;=0,1,-1)*QUOTIENT(((c_TMAP1IN)-(c_TFWD)),2)))&gt;=0,1,0)))</f>
        <v>119</v>
      </c>
      <c r="E168" s="7" t="n">
        <f aca="false">IF(((c_TMAP2IN)-(c_TMAP1IN))=0,(c_TMAP1OUT)+QUOTIENT(((c_TMAP2OUT)-(c_TMAP1OUT)),2),QUOTIENT((((A168)-(c_TMAP1IN))*((c_TMAP2OUT)-(c_TMAP1OUT))+IF(((c_TMAP2OUT)-(c_TMAP1OUT))&gt;=0,1,-1)*QUOTIENT(((c_TMAP2IN)-(c_TMAP1IN)),2)),((c_TMAP2IN)-(c_TMAP1IN)))+(c_TMAP1OUT)+IF(((c_TMAP2OUT)-(c_TMAP1OUT))&gt;=0,IF(IF(o_WRAP=1,MOD(((c_TMAP2IN)-(c_TMAP1IN))*(((A168)-(c_TMAP1IN))*((c_TMAP2OUT)-(c_TMAP1OUT))+IF(((c_TMAP2OUT)-(c_TMAP1OUT))&gt;=0,1,-1)*QUOTIENT(((c_TMAP2IN)-(c_TMAP1IN)),2))+2147483648,4294967296)-2147483648,((c_TMAP2IN)-(c_TMAP1IN))*(((A168)-(c_TMAP1IN))*((c_TMAP2OUT)-(c_TMAP1OUT))+IF(((c_TMAP2OUT)-(c_TMAP1OUT))&gt;=0,1,-1)*QUOTIENT(((c_TMAP2IN)-(c_TMAP1IN)),2)))&lt;0,-1,0),IF(IF(o_WRAP=1,MOD(((c_TMAP2IN)-(c_TMAP1IN))*(((A168)-(c_TMAP1IN))*((c_TMAP2OUT)-(c_TMAP1OUT))+IF(((c_TMAP2OUT)-(c_TMAP1OUT))&gt;=0,1,-1)*QUOTIENT(((c_TMAP2IN)-(c_TMAP1IN)),2))+2147483648,4294967296)-2147483648,((c_TMAP2IN)-(c_TMAP1IN))*(((A168)-(c_TMAP1IN))*((c_TMAP2OUT)-(c_TMAP1OUT))+IF(((c_TMAP2OUT)-(c_TMAP1OUT))&gt;=0,1,-1)*QUOTIENT(((c_TMAP2IN)-(c_TMAP1IN)),2)))&gt;=0,1,0)))</f>
        <v>95</v>
      </c>
      <c r="F168" s="7" t="n">
        <f aca="false">IF(((c_TMAP3IN)-(c_TMAP2IN))=0,(c_TMAP2OUT)+QUOTIENT(((c_TMAP3OUT)-(c_TMAP2OUT)),2),QUOTIENT((((A168)-(c_TMAP2IN))*((c_TMAP3OUT)-(c_TMAP2OUT))+IF(((c_TMAP3OUT)-(c_TMAP2OUT))&gt;=0,1,-1)*QUOTIENT(((c_TMAP3IN)-(c_TMAP2IN)),2)),((c_TMAP3IN)-(c_TMAP2IN)))+(c_TMAP2OUT)+IF(((c_TMAP3OUT)-(c_TMAP2OUT))&gt;=0,IF(IF(o_WRAP=1,MOD(((c_TMAP3IN)-(c_TMAP2IN))*(((A168)-(c_TMAP2IN))*((c_TMAP3OUT)-(c_TMAP2OUT))+IF(((c_TMAP3OUT)-(c_TMAP2OUT))&gt;=0,1,-1)*QUOTIENT(((c_TMAP3IN)-(c_TMAP2IN)),2))+2147483648,4294967296)-2147483648,((c_TMAP3IN)-(c_TMAP2IN))*(((A168)-(c_TMAP2IN))*((c_TMAP3OUT)-(c_TMAP2OUT))+IF(((c_TMAP3OUT)-(c_TMAP2OUT))&gt;=0,1,-1)*QUOTIENT(((c_TMAP3IN)-(c_TMAP2IN)),2)))&lt;0,-1,0),IF(IF(o_WRAP=1,MOD(((c_TMAP3IN)-(c_TMAP2IN))*(((A168)-(c_TMAP2IN))*((c_TMAP3OUT)-(c_TMAP2OUT))+IF(((c_TMAP3OUT)-(c_TMAP2OUT))&gt;=0,1,-1)*QUOTIENT(((c_TMAP3IN)-(c_TMAP2IN)),2))+2147483648,4294967296)-2147483648,((c_TMAP3IN)-(c_TMAP2IN))*(((A168)-(c_TMAP2IN))*((c_TMAP3OUT)-(c_TMAP2OUT))+IF(((c_TMAP3OUT)-(c_TMAP2OUT))&gt;=0,1,-1)*QUOTIENT(((c_TMAP3IN)-(c_TMAP2IN)),2)))&gt;=0,1,0)))</f>
        <v>69</v>
      </c>
      <c r="G168" s="7" t="n">
        <f aca="false">IF(((1000)-(c_TMAP3IN))=0,(c_TMAP3OUT)+QUOTIENT(((1000)-(c_TMAP3OUT)),2),QUOTIENT((((A168)-(c_TMAP3IN))*((1000)-(c_TMAP3OUT))+IF(((1000)-(c_TMAP3OUT))&gt;=0,1,-1)*QUOTIENT(((1000)-(c_TMAP3IN)),2)),((1000)-(c_TMAP3IN)))+(c_TMAP3OUT)+IF(((1000)-(c_TMAP3OUT))&gt;=0,IF(IF(o_WRAP=1,MOD(((1000)-(c_TMAP3IN))*(((A168)-(c_TMAP3IN))*((1000)-(c_TMAP3OUT))+IF(((1000)-(c_TMAP3OUT))&gt;=0,1,-1)*QUOTIENT(((1000)-(c_TMAP3IN)),2))+2147483648,4294967296)-2147483648,((1000)-(c_TMAP3IN))*(((A168)-(c_TMAP3IN))*((1000)-(c_TMAP3OUT))+IF(((1000)-(c_TMAP3OUT))&gt;=0,1,-1)*QUOTIENT(((1000)-(c_TMAP3IN)),2)))&lt;0,-1,0),IF(IF(o_WRAP=1,MOD(((1000)-(c_TMAP3IN))*(((A168)-(c_TMAP3IN))*((1000)-(c_TMAP3OUT))+IF(((1000)-(c_TMAP3OUT))&gt;=0,1,-1)*QUOTIENT(((1000)-(c_TMAP3IN)),2))+2147483648,4294967296)-2147483648,((1000)-(c_TMAP3IN))*(((A168)-(c_TMAP3IN))*((1000)-(c_TMAP3OUT))+IF(((1000)-(c_TMAP3OUT))&gt;=0,1,-1)*QUOTIENT(((1000)-(c_TMAP3IN)),2)))&gt;=0,1,0)))</f>
        <v>-30</v>
      </c>
      <c r="H168" s="7" t="str">
        <f aca="false">IF(A168&gt;=c_TFWD,IF(AND(A168&gt;=c_TMAP3IN,c_TMAP3IN&lt;1000),"Seg4 map3-100%",IF(AND(A168&gt;=c_TMAP2IN,c_TMAP3IN&gt;c_TMAP2IN),"Seg3 map2-map3",IF(AND(A168&gt;=c_TMAP1IN,c_TMAP2IN&gt;c_TMAP1IN),"Seg2 map1-map2","Seg1 TFWD-map1"))),IF(AND(A168=0,c_TCREEP&gt;0),"Creep",IF(AND(A168&lt;=c_TRNGMIN,A168&gt;=c_TRNGMAX,c_TRNGMIN-c_TRNGMAX&lt;&gt;0),"Regen ramp","Coast (0)")))</f>
        <v>Seg2 map1-map2</v>
      </c>
      <c r="I168" s="7" t="n">
        <f aca="false">IF(A168&gt;=c_TFWD,IF(AND(A168&gt;=c_TMAP3IN,c_TMAP3IN&lt;1000),G168,IF(AND(A168&gt;=c_TMAP2IN,c_TMAP3IN&gt;c_TMAP2IN),F168,IF(AND(A168&gt;=c_TMAP1IN,c_TMAP2IN&gt;c_TMAP1IN),E168,D168))),C168)</f>
        <v>95</v>
      </c>
      <c r="J168" s="7" t="str">
        <f aca="false">IF(I168&lt;-1090,"TOO LOW",IF(I168&gt;1090,"TOO HIGH",""))</f>
        <v/>
      </c>
      <c r="K168" s="15" t="n">
        <f aca="false">IF(J168&lt;&gt;"",0,IF(I168&gt;979,1000,I168))</f>
        <v>95</v>
      </c>
      <c r="L168" s="7" t="n">
        <f aca="false">K168/10</f>
        <v>9.5</v>
      </c>
    </row>
    <row r="169" customFormat="false" ht="15" hidden="false" customHeight="false" outlineLevel="0" collapsed="false">
      <c r="A169" s="7" t="n">
        <v>164</v>
      </c>
      <c r="B169" s="7" t="n">
        <f aca="false">A169/10</f>
        <v>16.4</v>
      </c>
      <c r="C169" s="7" t="n">
        <f aca="false">IF(AND(A169=0,c_TCREEP&gt;0),10*c_TCREEP,IF(AND(A169&lt;=c_TRNGMIN,A169&gt;=c_TRNGMAX,c_TRNGMIN-c_TRNGMAX&lt;&gt;0),-10*c_TMINRN+QUOTIENT((c_TMAXRN-c_TMINRN)*(100-QUOTIENT((A169-c_TRNGMAX)*100,c_TRNGMIN-c_TRNGMAX)),-10),0))</f>
        <v>0</v>
      </c>
      <c r="D169" s="7" t="n">
        <f aca="false">IF(((c_TMAP1IN)-(c_TFWD))=0,(0)+QUOTIENT(((c_TMAP1OUT)-(0)),2),QUOTIENT((((A169)-(c_TFWD))*((c_TMAP1OUT)-(0))+IF(((c_TMAP1OUT)-(0))&gt;=0,1,-1)*QUOTIENT(((c_TMAP1IN)-(c_TFWD)),2)),((c_TMAP1IN)-(c_TFWD)))+(0)+IF(((c_TMAP1OUT)-(0))&gt;=0,IF(IF(o_WRAP=1,MOD(((c_TMAP1IN)-(c_TFWD))*(((A169)-(c_TFWD))*((c_TMAP1OUT)-(0))+IF(((c_TMAP1OUT)-(0))&gt;=0,1,-1)*QUOTIENT(((c_TMAP1IN)-(c_TFWD)),2))+2147483648,4294967296)-2147483648,((c_TMAP1IN)-(c_TFWD))*(((A169)-(c_TFWD))*((c_TMAP1OUT)-(0))+IF(((c_TMAP1OUT)-(0))&gt;=0,1,-1)*QUOTIENT(((c_TMAP1IN)-(c_TFWD)),2)))&lt;0,-1,0),IF(IF(o_WRAP=1,MOD(((c_TMAP1IN)-(c_TFWD))*(((A169)-(c_TFWD))*((c_TMAP1OUT)-(0))+IF(((c_TMAP1OUT)-(0))&gt;=0,1,-1)*QUOTIENT(((c_TMAP1IN)-(c_TFWD)),2))+2147483648,4294967296)-2147483648,((c_TMAP1IN)-(c_TFWD))*(((A169)-(c_TFWD))*((c_TMAP1OUT)-(0))+IF(((c_TMAP1OUT)-(0))&gt;=0,1,-1)*QUOTIENT(((c_TMAP1IN)-(c_TFWD)),2)))&gt;=0,1,0)))</f>
        <v>120</v>
      </c>
      <c r="E169" s="7" t="n">
        <f aca="false">IF(((c_TMAP2IN)-(c_TMAP1IN))=0,(c_TMAP1OUT)+QUOTIENT(((c_TMAP2OUT)-(c_TMAP1OUT)),2),QUOTIENT((((A169)-(c_TMAP1IN))*((c_TMAP2OUT)-(c_TMAP1OUT))+IF(((c_TMAP2OUT)-(c_TMAP1OUT))&gt;=0,1,-1)*QUOTIENT(((c_TMAP2IN)-(c_TMAP1IN)),2)),((c_TMAP2IN)-(c_TMAP1IN)))+(c_TMAP1OUT)+IF(((c_TMAP2OUT)-(c_TMAP1OUT))&gt;=0,IF(IF(o_WRAP=1,MOD(((c_TMAP2IN)-(c_TMAP1IN))*(((A169)-(c_TMAP1IN))*((c_TMAP2OUT)-(c_TMAP1OUT))+IF(((c_TMAP2OUT)-(c_TMAP1OUT))&gt;=0,1,-1)*QUOTIENT(((c_TMAP2IN)-(c_TMAP1IN)),2))+2147483648,4294967296)-2147483648,((c_TMAP2IN)-(c_TMAP1IN))*(((A169)-(c_TMAP1IN))*((c_TMAP2OUT)-(c_TMAP1OUT))+IF(((c_TMAP2OUT)-(c_TMAP1OUT))&gt;=0,1,-1)*QUOTIENT(((c_TMAP2IN)-(c_TMAP1IN)),2)))&lt;0,-1,0),IF(IF(o_WRAP=1,MOD(((c_TMAP2IN)-(c_TMAP1IN))*(((A169)-(c_TMAP1IN))*((c_TMAP2OUT)-(c_TMAP1OUT))+IF(((c_TMAP2OUT)-(c_TMAP1OUT))&gt;=0,1,-1)*QUOTIENT(((c_TMAP2IN)-(c_TMAP1IN)),2))+2147483648,4294967296)-2147483648,((c_TMAP2IN)-(c_TMAP1IN))*(((A169)-(c_TMAP1IN))*((c_TMAP2OUT)-(c_TMAP1OUT))+IF(((c_TMAP2OUT)-(c_TMAP1OUT))&gt;=0,1,-1)*QUOTIENT(((c_TMAP2IN)-(c_TMAP1IN)),2)))&gt;=0,1,0)))</f>
        <v>96</v>
      </c>
      <c r="F169" s="7" t="n">
        <f aca="false">IF(((c_TMAP3IN)-(c_TMAP2IN))=0,(c_TMAP2OUT)+QUOTIENT(((c_TMAP3OUT)-(c_TMAP2OUT)),2),QUOTIENT((((A169)-(c_TMAP2IN))*((c_TMAP3OUT)-(c_TMAP2OUT))+IF(((c_TMAP3OUT)-(c_TMAP2OUT))&gt;=0,1,-1)*QUOTIENT(((c_TMAP3IN)-(c_TMAP2IN)),2)),((c_TMAP3IN)-(c_TMAP2IN)))+(c_TMAP2OUT)+IF(((c_TMAP3OUT)-(c_TMAP2OUT))&gt;=0,IF(IF(o_WRAP=1,MOD(((c_TMAP3IN)-(c_TMAP2IN))*(((A169)-(c_TMAP2IN))*((c_TMAP3OUT)-(c_TMAP2OUT))+IF(((c_TMAP3OUT)-(c_TMAP2OUT))&gt;=0,1,-1)*QUOTIENT(((c_TMAP3IN)-(c_TMAP2IN)),2))+2147483648,4294967296)-2147483648,((c_TMAP3IN)-(c_TMAP2IN))*(((A169)-(c_TMAP2IN))*((c_TMAP3OUT)-(c_TMAP2OUT))+IF(((c_TMAP3OUT)-(c_TMAP2OUT))&gt;=0,1,-1)*QUOTIENT(((c_TMAP3IN)-(c_TMAP2IN)),2)))&lt;0,-1,0),IF(IF(o_WRAP=1,MOD(((c_TMAP3IN)-(c_TMAP2IN))*(((A169)-(c_TMAP2IN))*((c_TMAP3OUT)-(c_TMAP2OUT))+IF(((c_TMAP3OUT)-(c_TMAP2OUT))&gt;=0,1,-1)*QUOTIENT(((c_TMAP3IN)-(c_TMAP2IN)),2))+2147483648,4294967296)-2147483648,((c_TMAP3IN)-(c_TMAP2IN))*(((A169)-(c_TMAP2IN))*((c_TMAP3OUT)-(c_TMAP2OUT))+IF(((c_TMAP3OUT)-(c_TMAP2OUT))&gt;=0,1,-1)*QUOTIENT(((c_TMAP3IN)-(c_TMAP2IN)),2)))&gt;=0,1,0)))</f>
        <v>70</v>
      </c>
      <c r="G169" s="7" t="n">
        <f aca="false">IF(((1000)-(c_TMAP3IN))=0,(c_TMAP3OUT)+QUOTIENT(((1000)-(c_TMAP3OUT)),2),QUOTIENT((((A169)-(c_TMAP3IN))*((1000)-(c_TMAP3OUT))+IF(((1000)-(c_TMAP3OUT))&gt;=0,1,-1)*QUOTIENT(((1000)-(c_TMAP3IN)),2)),((1000)-(c_TMAP3IN)))+(c_TMAP3OUT)+IF(((1000)-(c_TMAP3OUT))&gt;=0,IF(IF(o_WRAP=1,MOD(((1000)-(c_TMAP3IN))*(((A169)-(c_TMAP3IN))*((1000)-(c_TMAP3OUT))+IF(((1000)-(c_TMAP3OUT))&gt;=0,1,-1)*QUOTIENT(((1000)-(c_TMAP3IN)),2))+2147483648,4294967296)-2147483648,((1000)-(c_TMAP3IN))*(((A169)-(c_TMAP3IN))*((1000)-(c_TMAP3OUT))+IF(((1000)-(c_TMAP3OUT))&gt;=0,1,-1)*QUOTIENT(((1000)-(c_TMAP3IN)),2)))&lt;0,-1,0),IF(IF(o_WRAP=1,MOD(((1000)-(c_TMAP3IN))*(((A169)-(c_TMAP3IN))*((1000)-(c_TMAP3OUT))+IF(((1000)-(c_TMAP3OUT))&gt;=0,1,-1)*QUOTIENT(((1000)-(c_TMAP3IN)),2))+2147483648,4294967296)-2147483648,((1000)-(c_TMAP3IN))*(((A169)-(c_TMAP3IN))*((1000)-(c_TMAP3OUT))+IF(((1000)-(c_TMAP3OUT))&gt;=0,1,-1)*QUOTIENT(((1000)-(c_TMAP3IN)),2)))&gt;=0,1,0)))</f>
        <v>-29</v>
      </c>
      <c r="H169" s="7" t="str">
        <f aca="false">IF(A169&gt;=c_TFWD,IF(AND(A169&gt;=c_TMAP3IN,c_TMAP3IN&lt;1000),"Seg4 map3-100%",IF(AND(A169&gt;=c_TMAP2IN,c_TMAP3IN&gt;c_TMAP2IN),"Seg3 map2-map3",IF(AND(A169&gt;=c_TMAP1IN,c_TMAP2IN&gt;c_TMAP1IN),"Seg2 map1-map2","Seg1 TFWD-map1"))),IF(AND(A169=0,c_TCREEP&gt;0),"Creep",IF(AND(A169&lt;=c_TRNGMIN,A169&gt;=c_TRNGMAX,c_TRNGMIN-c_TRNGMAX&lt;&gt;0),"Regen ramp","Coast (0)")))</f>
        <v>Seg2 map1-map2</v>
      </c>
      <c r="I169" s="7" t="n">
        <f aca="false">IF(A169&gt;=c_TFWD,IF(AND(A169&gt;=c_TMAP3IN,c_TMAP3IN&lt;1000),G169,IF(AND(A169&gt;=c_TMAP2IN,c_TMAP3IN&gt;c_TMAP2IN),F169,IF(AND(A169&gt;=c_TMAP1IN,c_TMAP2IN&gt;c_TMAP1IN),E169,D169))),C169)</f>
        <v>96</v>
      </c>
      <c r="J169" s="7" t="str">
        <f aca="false">IF(I169&lt;-1090,"TOO LOW",IF(I169&gt;1090,"TOO HIGH",""))</f>
        <v/>
      </c>
      <c r="K169" s="15" t="n">
        <f aca="false">IF(J169&lt;&gt;"",0,IF(I169&gt;979,1000,I169))</f>
        <v>96</v>
      </c>
      <c r="L169" s="7" t="n">
        <f aca="false">K169/10</f>
        <v>9.6</v>
      </c>
    </row>
    <row r="170" customFormat="false" ht="15" hidden="false" customHeight="false" outlineLevel="0" collapsed="false">
      <c r="A170" s="7" t="n">
        <v>165</v>
      </c>
      <c r="B170" s="7" t="n">
        <f aca="false">A170/10</f>
        <v>16.5</v>
      </c>
      <c r="C170" s="7" t="n">
        <f aca="false">IF(AND(A170=0,c_TCREEP&gt;0),10*c_TCREEP,IF(AND(A170&lt;=c_TRNGMIN,A170&gt;=c_TRNGMAX,c_TRNGMIN-c_TRNGMAX&lt;&gt;0),-10*c_TMINRN+QUOTIENT((c_TMAXRN-c_TMINRN)*(100-QUOTIENT((A170-c_TRNGMAX)*100,c_TRNGMIN-c_TRNGMAX)),-10),0))</f>
        <v>0</v>
      </c>
      <c r="D170" s="7" t="n">
        <f aca="false">IF(((c_TMAP1IN)-(c_TFWD))=0,(0)+QUOTIENT(((c_TMAP1OUT)-(0)),2),QUOTIENT((((A170)-(c_TFWD))*((c_TMAP1OUT)-(0))+IF(((c_TMAP1OUT)-(0))&gt;=0,1,-1)*QUOTIENT(((c_TMAP1IN)-(c_TFWD)),2)),((c_TMAP1IN)-(c_TFWD)))+(0)+IF(((c_TMAP1OUT)-(0))&gt;=0,IF(IF(o_WRAP=1,MOD(((c_TMAP1IN)-(c_TFWD))*(((A170)-(c_TFWD))*((c_TMAP1OUT)-(0))+IF(((c_TMAP1OUT)-(0))&gt;=0,1,-1)*QUOTIENT(((c_TMAP1IN)-(c_TFWD)),2))+2147483648,4294967296)-2147483648,((c_TMAP1IN)-(c_TFWD))*(((A170)-(c_TFWD))*((c_TMAP1OUT)-(0))+IF(((c_TMAP1OUT)-(0))&gt;=0,1,-1)*QUOTIENT(((c_TMAP1IN)-(c_TFWD)),2)))&lt;0,-1,0),IF(IF(o_WRAP=1,MOD(((c_TMAP1IN)-(c_TFWD))*(((A170)-(c_TFWD))*((c_TMAP1OUT)-(0))+IF(((c_TMAP1OUT)-(0))&gt;=0,1,-1)*QUOTIENT(((c_TMAP1IN)-(c_TFWD)),2))+2147483648,4294967296)-2147483648,((c_TMAP1IN)-(c_TFWD))*(((A170)-(c_TFWD))*((c_TMAP1OUT)-(0))+IF(((c_TMAP1OUT)-(0))&gt;=0,1,-1)*QUOTIENT(((c_TMAP1IN)-(c_TFWD)),2)))&gt;=0,1,0)))</f>
        <v>121</v>
      </c>
      <c r="E170" s="7" t="n">
        <f aca="false">IF(((c_TMAP2IN)-(c_TMAP1IN))=0,(c_TMAP1OUT)+QUOTIENT(((c_TMAP2OUT)-(c_TMAP1OUT)),2),QUOTIENT((((A170)-(c_TMAP1IN))*((c_TMAP2OUT)-(c_TMAP1OUT))+IF(((c_TMAP2OUT)-(c_TMAP1OUT))&gt;=0,1,-1)*QUOTIENT(((c_TMAP2IN)-(c_TMAP1IN)),2)),((c_TMAP2IN)-(c_TMAP1IN)))+(c_TMAP1OUT)+IF(((c_TMAP2OUT)-(c_TMAP1OUT))&gt;=0,IF(IF(o_WRAP=1,MOD(((c_TMAP2IN)-(c_TMAP1IN))*(((A170)-(c_TMAP1IN))*((c_TMAP2OUT)-(c_TMAP1OUT))+IF(((c_TMAP2OUT)-(c_TMAP1OUT))&gt;=0,1,-1)*QUOTIENT(((c_TMAP2IN)-(c_TMAP1IN)),2))+2147483648,4294967296)-2147483648,((c_TMAP2IN)-(c_TMAP1IN))*(((A170)-(c_TMAP1IN))*((c_TMAP2OUT)-(c_TMAP1OUT))+IF(((c_TMAP2OUT)-(c_TMAP1OUT))&gt;=0,1,-1)*QUOTIENT(((c_TMAP2IN)-(c_TMAP1IN)),2)))&lt;0,-1,0),IF(IF(o_WRAP=1,MOD(((c_TMAP2IN)-(c_TMAP1IN))*(((A170)-(c_TMAP1IN))*((c_TMAP2OUT)-(c_TMAP1OUT))+IF(((c_TMAP2OUT)-(c_TMAP1OUT))&gt;=0,1,-1)*QUOTIENT(((c_TMAP2IN)-(c_TMAP1IN)),2))+2147483648,4294967296)-2147483648,((c_TMAP2IN)-(c_TMAP1IN))*(((A170)-(c_TMAP1IN))*((c_TMAP2OUT)-(c_TMAP1OUT))+IF(((c_TMAP2OUT)-(c_TMAP1OUT))&gt;=0,1,-1)*QUOTIENT(((c_TMAP2IN)-(c_TMAP1IN)),2)))&gt;=0,1,0)))</f>
        <v>96</v>
      </c>
      <c r="F170" s="7" t="n">
        <f aca="false">IF(((c_TMAP3IN)-(c_TMAP2IN))=0,(c_TMAP2OUT)+QUOTIENT(((c_TMAP3OUT)-(c_TMAP2OUT)),2),QUOTIENT((((A170)-(c_TMAP2IN))*((c_TMAP3OUT)-(c_TMAP2OUT))+IF(((c_TMAP3OUT)-(c_TMAP2OUT))&gt;=0,1,-1)*QUOTIENT(((c_TMAP3IN)-(c_TMAP2IN)),2)),((c_TMAP3IN)-(c_TMAP2IN)))+(c_TMAP2OUT)+IF(((c_TMAP3OUT)-(c_TMAP2OUT))&gt;=0,IF(IF(o_WRAP=1,MOD(((c_TMAP3IN)-(c_TMAP2IN))*(((A170)-(c_TMAP2IN))*((c_TMAP3OUT)-(c_TMAP2OUT))+IF(((c_TMAP3OUT)-(c_TMAP2OUT))&gt;=0,1,-1)*QUOTIENT(((c_TMAP3IN)-(c_TMAP2IN)),2))+2147483648,4294967296)-2147483648,((c_TMAP3IN)-(c_TMAP2IN))*(((A170)-(c_TMAP2IN))*((c_TMAP3OUT)-(c_TMAP2OUT))+IF(((c_TMAP3OUT)-(c_TMAP2OUT))&gt;=0,1,-1)*QUOTIENT(((c_TMAP3IN)-(c_TMAP2IN)),2)))&lt;0,-1,0),IF(IF(o_WRAP=1,MOD(((c_TMAP3IN)-(c_TMAP2IN))*(((A170)-(c_TMAP2IN))*((c_TMAP3OUT)-(c_TMAP2OUT))+IF(((c_TMAP3OUT)-(c_TMAP2OUT))&gt;=0,1,-1)*QUOTIENT(((c_TMAP3IN)-(c_TMAP2IN)),2))+2147483648,4294967296)-2147483648,((c_TMAP3IN)-(c_TMAP2IN))*(((A170)-(c_TMAP2IN))*((c_TMAP3OUT)-(c_TMAP2OUT))+IF(((c_TMAP3OUT)-(c_TMAP2OUT))&gt;=0,1,-1)*QUOTIENT(((c_TMAP3IN)-(c_TMAP2IN)),2)))&gt;=0,1,0)))</f>
        <v>70</v>
      </c>
      <c r="G170" s="7" t="n">
        <f aca="false">IF(((1000)-(c_TMAP3IN))=0,(c_TMAP3OUT)+QUOTIENT(((1000)-(c_TMAP3OUT)),2),QUOTIENT((((A170)-(c_TMAP3IN))*((1000)-(c_TMAP3OUT))+IF(((1000)-(c_TMAP3OUT))&gt;=0,1,-1)*QUOTIENT(((1000)-(c_TMAP3IN)),2)),((1000)-(c_TMAP3IN)))+(c_TMAP3OUT)+IF(((1000)-(c_TMAP3OUT))&gt;=0,IF(IF(o_WRAP=1,MOD(((1000)-(c_TMAP3IN))*(((A170)-(c_TMAP3IN))*((1000)-(c_TMAP3OUT))+IF(((1000)-(c_TMAP3OUT))&gt;=0,1,-1)*QUOTIENT(((1000)-(c_TMAP3IN)),2))+2147483648,4294967296)-2147483648,((1000)-(c_TMAP3IN))*(((A170)-(c_TMAP3IN))*((1000)-(c_TMAP3OUT))+IF(((1000)-(c_TMAP3OUT))&gt;=0,1,-1)*QUOTIENT(((1000)-(c_TMAP3IN)),2)))&lt;0,-1,0),IF(IF(o_WRAP=1,MOD(((1000)-(c_TMAP3IN))*(((A170)-(c_TMAP3IN))*((1000)-(c_TMAP3OUT))+IF(((1000)-(c_TMAP3OUT))&gt;=0,1,-1)*QUOTIENT(((1000)-(c_TMAP3IN)),2))+2147483648,4294967296)-2147483648,((1000)-(c_TMAP3IN))*(((A170)-(c_TMAP3IN))*((1000)-(c_TMAP3OUT))+IF(((1000)-(c_TMAP3OUT))&gt;=0,1,-1)*QUOTIENT(((1000)-(c_TMAP3IN)),2)))&gt;=0,1,0)))</f>
        <v>-28</v>
      </c>
      <c r="H170" s="7" t="str">
        <f aca="false">IF(A170&gt;=c_TFWD,IF(AND(A170&gt;=c_TMAP3IN,c_TMAP3IN&lt;1000),"Seg4 map3-100%",IF(AND(A170&gt;=c_TMAP2IN,c_TMAP3IN&gt;c_TMAP2IN),"Seg3 map2-map3",IF(AND(A170&gt;=c_TMAP1IN,c_TMAP2IN&gt;c_TMAP1IN),"Seg2 map1-map2","Seg1 TFWD-map1"))),IF(AND(A170=0,c_TCREEP&gt;0),"Creep",IF(AND(A170&lt;=c_TRNGMIN,A170&gt;=c_TRNGMAX,c_TRNGMIN-c_TRNGMAX&lt;&gt;0),"Regen ramp","Coast (0)")))</f>
        <v>Seg2 map1-map2</v>
      </c>
      <c r="I170" s="7" t="n">
        <f aca="false">IF(A170&gt;=c_TFWD,IF(AND(A170&gt;=c_TMAP3IN,c_TMAP3IN&lt;1000),G170,IF(AND(A170&gt;=c_TMAP2IN,c_TMAP3IN&gt;c_TMAP2IN),F170,IF(AND(A170&gt;=c_TMAP1IN,c_TMAP2IN&gt;c_TMAP1IN),E170,D170))),C170)</f>
        <v>96</v>
      </c>
      <c r="J170" s="7" t="str">
        <f aca="false">IF(I170&lt;-1090,"TOO LOW",IF(I170&gt;1090,"TOO HIGH",""))</f>
        <v/>
      </c>
      <c r="K170" s="15" t="n">
        <f aca="false">IF(J170&lt;&gt;"",0,IF(I170&gt;979,1000,I170))</f>
        <v>96</v>
      </c>
      <c r="L170" s="7" t="n">
        <f aca="false">K170/10</f>
        <v>9.6</v>
      </c>
    </row>
    <row r="171" customFormat="false" ht="15" hidden="false" customHeight="false" outlineLevel="0" collapsed="false">
      <c r="A171" s="7" t="n">
        <v>166</v>
      </c>
      <c r="B171" s="7" t="n">
        <f aca="false">A171/10</f>
        <v>16.6</v>
      </c>
      <c r="C171" s="7" t="n">
        <f aca="false">IF(AND(A171=0,c_TCREEP&gt;0),10*c_TCREEP,IF(AND(A171&lt;=c_TRNGMIN,A171&gt;=c_TRNGMAX,c_TRNGMIN-c_TRNGMAX&lt;&gt;0),-10*c_TMINRN+QUOTIENT((c_TMAXRN-c_TMINRN)*(100-QUOTIENT((A171-c_TRNGMAX)*100,c_TRNGMIN-c_TRNGMAX)),-10),0))</f>
        <v>0</v>
      </c>
      <c r="D171" s="7" t="n">
        <f aca="false">IF(((c_TMAP1IN)-(c_TFWD))=0,(0)+QUOTIENT(((c_TMAP1OUT)-(0)),2),QUOTIENT((((A171)-(c_TFWD))*((c_TMAP1OUT)-(0))+IF(((c_TMAP1OUT)-(0))&gt;=0,1,-1)*QUOTIENT(((c_TMAP1IN)-(c_TFWD)),2)),((c_TMAP1IN)-(c_TFWD)))+(0)+IF(((c_TMAP1OUT)-(0))&gt;=0,IF(IF(o_WRAP=1,MOD(((c_TMAP1IN)-(c_TFWD))*(((A171)-(c_TFWD))*((c_TMAP1OUT)-(0))+IF(((c_TMAP1OUT)-(0))&gt;=0,1,-1)*QUOTIENT(((c_TMAP1IN)-(c_TFWD)),2))+2147483648,4294967296)-2147483648,((c_TMAP1IN)-(c_TFWD))*(((A171)-(c_TFWD))*((c_TMAP1OUT)-(0))+IF(((c_TMAP1OUT)-(0))&gt;=0,1,-1)*QUOTIENT(((c_TMAP1IN)-(c_TFWD)),2)))&lt;0,-1,0),IF(IF(o_WRAP=1,MOD(((c_TMAP1IN)-(c_TFWD))*(((A171)-(c_TFWD))*((c_TMAP1OUT)-(0))+IF(((c_TMAP1OUT)-(0))&gt;=0,1,-1)*QUOTIENT(((c_TMAP1IN)-(c_TFWD)),2))+2147483648,4294967296)-2147483648,((c_TMAP1IN)-(c_TFWD))*(((A171)-(c_TFWD))*((c_TMAP1OUT)-(0))+IF(((c_TMAP1OUT)-(0))&gt;=0,1,-1)*QUOTIENT(((c_TMAP1IN)-(c_TFWD)),2)))&gt;=0,1,0)))</f>
        <v>121</v>
      </c>
      <c r="E171" s="7" t="n">
        <f aca="false">IF(((c_TMAP2IN)-(c_TMAP1IN))=0,(c_TMAP1OUT)+QUOTIENT(((c_TMAP2OUT)-(c_TMAP1OUT)),2),QUOTIENT((((A171)-(c_TMAP1IN))*((c_TMAP2OUT)-(c_TMAP1OUT))+IF(((c_TMAP2OUT)-(c_TMAP1OUT))&gt;=0,1,-1)*QUOTIENT(((c_TMAP2IN)-(c_TMAP1IN)),2)),((c_TMAP2IN)-(c_TMAP1IN)))+(c_TMAP1OUT)+IF(((c_TMAP2OUT)-(c_TMAP1OUT))&gt;=0,IF(IF(o_WRAP=1,MOD(((c_TMAP2IN)-(c_TMAP1IN))*(((A171)-(c_TMAP1IN))*((c_TMAP2OUT)-(c_TMAP1OUT))+IF(((c_TMAP2OUT)-(c_TMAP1OUT))&gt;=0,1,-1)*QUOTIENT(((c_TMAP2IN)-(c_TMAP1IN)),2))+2147483648,4294967296)-2147483648,((c_TMAP2IN)-(c_TMAP1IN))*(((A171)-(c_TMAP1IN))*((c_TMAP2OUT)-(c_TMAP1OUT))+IF(((c_TMAP2OUT)-(c_TMAP1OUT))&gt;=0,1,-1)*QUOTIENT(((c_TMAP2IN)-(c_TMAP1IN)),2)))&lt;0,-1,0),IF(IF(o_WRAP=1,MOD(((c_TMAP2IN)-(c_TMAP1IN))*(((A171)-(c_TMAP1IN))*((c_TMAP2OUT)-(c_TMAP1OUT))+IF(((c_TMAP2OUT)-(c_TMAP1OUT))&gt;=0,1,-1)*QUOTIENT(((c_TMAP2IN)-(c_TMAP1IN)),2))+2147483648,4294967296)-2147483648,((c_TMAP2IN)-(c_TMAP1IN))*(((A171)-(c_TMAP1IN))*((c_TMAP2OUT)-(c_TMAP1OUT))+IF(((c_TMAP2OUT)-(c_TMAP1OUT))&gt;=0,1,-1)*QUOTIENT(((c_TMAP2IN)-(c_TMAP1IN)),2)))&gt;=0,1,0)))</f>
        <v>96</v>
      </c>
      <c r="F171" s="7" t="n">
        <f aca="false">IF(((c_TMAP3IN)-(c_TMAP2IN))=0,(c_TMAP2OUT)+QUOTIENT(((c_TMAP3OUT)-(c_TMAP2OUT)),2),QUOTIENT((((A171)-(c_TMAP2IN))*((c_TMAP3OUT)-(c_TMAP2OUT))+IF(((c_TMAP3OUT)-(c_TMAP2OUT))&gt;=0,1,-1)*QUOTIENT(((c_TMAP3IN)-(c_TMAP2IN)),2)),((c_TMAP3IN)-(c_TMAP2IN)))+(c_TMAP2OUT)+IF(((c_TMAP3OUT)-(c_TMAP2OUT))&gt;=0,IF(IF(o_WRAP=1,MOD(((c_TMAP3IN)-(c_TMAP2IN))*(((A171)-(c_TMAP2IN))*((c_TMAP3OUT)-(c_TMAP2OUT))+IF(((c_TMAP3OUT)-(c_TMAP2OUT))&gt;=0,1,-1)*QUOTIENT(((c_TMAP3IN)-(c_TMAP2IN)),2))+2147483648,4294967296)-2147483648,((c_TMAP3IN)-(c_TMAP2IN))*(((A171)-(c_TMAP2IN))*((c_TMAP3OUT)-(c_TMAP2OUT))+IF(((c_TMAP3OUT)-(c_TMAP2OUT))&gt;=0,1,-1)*QUOTIENT(((c_TMAP3IN)-(c_TMAP2IN)),2)))&lt;0,-1,0),IF(IF(o_WRAP=1,MOD(((c_TMAP3IN)-(c_TMAP2IN))*(((A171)-(c_TMAP2IN))*((c_TMAP3OUT)-(c_TMAP2OUT))+IF(((c_TMAP3OUT)-(c_TMAP2OUT))&gt;=0,1,-1)*QUOTIENT(((c_TMAP3IN)-(c_TMAP2IN)),2))+2147483648,4294967296)-2147483648,((c_TMAP3IN)-(c_TMAP2IN))*(((A171)-(c_TMAP2IN))*((c_TMAP3OUT)-(c_TMAP2OUT))+IF(((c_TMAP3OUT)-(c_TMAP2OUT))&gt;=0,1,-1)*QUOTIENT(((c_TMAP3IN)-(c_TMAP2IN)),2)))&gt;=0,1,0)))</f>
        <v>71</v>
      </c>
      <c r="G171" s="7" t="n">
        <f aca="false">IF(((1000)-(c_TMAP3IN))=0,(c_TMAP3OUT)+QUOTIENT(((1000)-(c_TMAP3OUT)),2),QUOTIENT((((A171)-(c_TMAP3IN))*((1000)-(c_TMAP3OUT))+IF(((1000)-(c_TMAP3OUT))&gt;=0,1,-1)*QUOTIENT(((1000)-(c_TMAP3IN)),2)),((1000)-(c_TMAP3IN)))+(c_TMAP3OUT)+IF(((1000)-(c_TMAP3OUT))&gt;=0,IF(IF(o_WRAP=1,MOD(((1000)-(c_TMAP3IN))*(((A171)-(c_TMAP3IN))*((1000)-(c_TMAP3OUT))+IF(((1000)-(c_TMAP3OUT))&gt;=0,1,-1)*QUOTIENT(((1000)-(c_TMAP3IN)),2))+2147483648,4294967296)-2147483648,((1000)-(c_TMAP3IN))*(((A171)-(c_TMAP3IN))*((1000)-(c_TMAP3OUT))+IF(((1000)-(c_TMAP3OUT))&gt;=0,1,-1)*QUOTIENT(((1000)-(c_TMAP3IN)),2)))&lt;0,-1,0),IF(IF(o_WRAP=1,MOD(((1000)-(c_TMAP3IN))*(((A171)-(c_TMAP3IN))*((1000)-(c_TMAP3OUT))+IF(((1000)-(c_TMAP3OUT))&gt;=0,1,-1)*QUOTIENT(((1000)-(c_TMAP3IN)),2))+2147483648,4294967296)-2147483648,((1000)-(c_TMAP3IN))*(((A171)-(c_TMAP3IN))*((1000)-(c_TMAP3OUT))+IF(((1000)-(c_TMAP3OUT))&gt;=0,1,-1)*QUOTIENT(((1000)-(c_TMAP3IN)),2)))&gt;=0,1,0)))</f>
        <v>-26</v>
      </c>
      <c r="H171" s="7" t="str">
        <f aca="false">IF(A171&gt;=c_TFWD,IF(AND(A171&gt;=c_TMAP3IN,c_TMAP3IN&lt;1000),"Seg4 map3-100%",IF(AND(A171&gt;=c_TMAP2IN,c_TMAP3IN&gt;c_TMAP2IN),"Seg3 map2-map3",IF(AND(A171&gt;=c_TMAP1IN,c_TMAP2IN&gt;c_TMAP1IN),"Seg2 map1-map2","Seg1 TFWD-map1"))),IF(AND(A171=0,c_TCREEP&gt;0),"Creep",IF(AND(A171&lt;=c_TRNGMIN,A171&gt;=c_TRNGMAX,c_TRNGMIN-c_TRNGMAX&lt;&gt;0),"Regen ramp","Coast (0)")))</f>
        <v>Seg2 map1-map2</v>
      </c>
      <c r="I171" s="7" t="n">
        <f aca="false">IF(A171&gt;=c_TFWD,IF(AND(A171&gt;=c_TMAP3IN,c_TMAP3IN&lt;1000),G171,IF(AND(A171&gt;=c_TMAP2IN,c_TMAP3IN&gt;c_TMAP2IN),F171,IF(AND(A171&gt;=c_TMAP1IN,c_TMAP2IN&gt;c_TMAP1IN),E171,D171))),C171)</f>
        <v>96</v>
      </c>
      <c r="J171" s="7" t="str">
        <f aca="false">IF(I171&lt;-1090,"TOO LOW",IF(I171&gt;1090,"TOO HIGH",""))</f>
        <v/>
      </c>
      <c r="K171" s="15" t="n">
        <f aca="false">IF(J171&lt;&gt;"",0,IF(I171&gt;979,1000,I171))</f>
        <v>96</v>
      </c>
      <c r="L171" s="7" t="n">
        <f aca="false">K171/10</f>
        <v>9.6</v>
      </c>
    </row>
    <row r="172" customFormat="false" ht="15" hidden="false" customHeight="false" outlineLevel="0" collapsed="false">
      <c r="A172" s="7" t="n">
        <v>167</v>
      </c>
      <c r="B172" s="7" t="n">
        <f aca="false">A172/10</f>
        <v>16.7</v>
      </c>
      <c r="C172" s="7" t="n">
        <f aca="false">IF(AND(A172=0,c_TCREEP&gt;0),10*c_TCREEP,IF(AND(A172&lt;=c_TRNGMIN,A172&gt;=c_TRNGMAX,c_TRNGMIN-c_TRNGMAX&lt;&gt;0),-10*c_TMINRN+QUOTIENT((c_TMAXRN-c_TMINRN)*(100-QUOTIENT((A172-c_TRNGMAX)*100,c_TRNGMIN-c_TRNGMAX)),-10),0))</f>
        <v>0</v>
      </c>
      <c r="D172" s="7" t="n">
        <f aca="false">IF(((c_TMAP1IN)-(c_TFWD))=0,(0)+QUOTIENT(((c_TMAP1OUT)-(0)),2),QUOTIENT((((A172)-(c_TFWD))*((c_TMAP1OUT)-(0))+IF(((c_TMAP1OUT)-(0))&gt;=0,1,-1)*QUOTIENT(((c_TMAP1IN)-(c_TFWD)),2)),((c_TMAP1IN)-(c_TFWD)))+(0)+IF(((c_TMAP1OUT)-(0))&gt;=0,IF(IF(o_WRAP=1,MOD(((c_TMAP1IN)-(c_TFWD))*(((A172)-(c_TFWD))*((c_TMAP1OUT)-(0))+IF(((c_TMAP1OUT)-(0))&gt;=0,1,-1)*QUOTIENT(((c_TMAP1IN)-(c_TFWD)),2))+2147483648,4294967296)-2147483648,((c_TMAP1IN)-(c_TFWD))*(((A172)-(c_TFWD))*((c_TMAP1OUT)-(0))+IF(((c_TMAP1OUT)-(0))&gt;=0,1,-1)*QUOTIENT(((c_TMAP1IN)-(c_TFWD)),2)))&lt;0,-1,0),IF(IF(o_WRAP=1,MOD(((c_TMAP1IN)-(c_TFWD))*(((A172)-(c_TFWD))*((c_TMAP1OUT)-(0))+IF(((c_TMAP1OUT)-(0))&gt;=0,1,-1)*QUOTIENT(((c_TMAP1IN)-(c_TFWD)),2))+2147483648,4294967296)-2147483648,((c_TMAP1IN)-(c_TFWD))*(((A172)-(c_TFWD))*((c_TMAP1OUT)-(0))+IF(((c_TMAP1OUT)-(0))&gt;=0,1,-1)*QUOTIENT(((c_TMAP1IN)-(c_TFWD)),2)))&gt;=0,1,0)))</f>
        <v>122</v>
      </c>
      <c r="E172" s="7" t="n">
        <f aca="false">IF(((c_TMAP2IN)-(c_TMAP1IN))=0,(c_TMAP1OUT)+QUOTIENT(((c_TMAP2OUT)-(c_TMAP1OUT)),2),QUOTIENT((((A172)-(c_TMAP1IN))*((c_TMAP2OUT)-(c_TMAP1OUT))+IF(((c_TMAP2OUT)-(c_TMAP1OUT))&gt;=0,1,-1)*QUOTIENT(((c_TMAP2IN)-(c_TMAP1IN)),2)),((c_TMAP2IN)-(c_TMAP1IN)))+(c_TMAP1OUT)+IF(((c_TMAP2OUT)-(c_TMAP1OUT))&gt;=0,IF(IF(o_WRAP=1,MOD(((c_TMAP2IN)-(c_TMAP1IN))*(((A172)-(c_TMAP1IN))*((c_TMAP2OUT)-(c_TMAP1OUT))+IF(((c_TMAP2OUT)-(c_TMAP1OUT))&gt;=0,1,-1)*QUOTIENT(((c_TMAP2IN)-(c_TMAP1IN)),2))+2147483648,4294967296)-2147483648,((c_TMAP2IN)-(c_TMAP1IN))*(((A172)-(c_TMAP1IN))*((c_TMAP2OUT)-(c_TMAP1OUT))+IF(((c_TMAP2OUT)-(c_TMAP1OUT))&gt;=0,1,-1)*QUOTIENT(((c_TMAP2IN)-(c_TMAP1IN)),2)))&lt;0,-1,0),IF(IF(o_WRAP=1,MOD(((c_TMAP2IN)-(c_TMAP1IN))*(((A172)-(c_TMAP1IN))*((c_TMAP2OUT)-(c_TMAP1OUT))+IF(((c_TMAP2OUT)-(c_TMAP1OUT))&gt;=0,1,-1)*QUOTIENT(((c_TMAP2IN)-(c_TMAP1IN)),2))+2147483648,4294967296)-2147483648,((c_TMAP2IN)-(c_TMAP1IN))*(((A172)-(c_TMAP1IN))*((c_TMAP2OUT)-(c_TMAP1OUT))+IF(((c_TMAP2OUT)-(c_TMAP1OUT))&gt;=0,1,-1)*QUOTIENT(((c_TMAP2IN)-(c_TMAP1IN)),2)))&gt;=0,1,0)))</f>
        <v>97</v>
      </c>
      <c r="F172" s="7" t="n">
        <f aca="false">IF(((c_TMAP3IN)-(c_TMAP2IN))=0,(c_TMAP2OUT)+QUOTIENT(((c_TMAP3OUT)-(c_TMAP2OUT)),2),QUOTIENT((((A172)-(c_TMAP2IN))*((c_TMAP3OUT)-(c_TMAP2OUT))+IF(((c_TMAP3OUT)-(c_TMAP2OUT))&gt;=0,1,-1)*QUOTIENT(((c_TMAP3IN)-(c_TMAP2IN)),2)),((c_TMAP3IN)-(c_TMAP2IN)))+(c_TMAP2OUT)+IF(((c_TMAP3OUT)-(c_TMAP2OUT))&gt;=0,IF(IF(o_WRAP=1,MOD(((c_TMAP3IN)-(c_TMAP2IN))*(((A172)-(c_TMAP2IN))*((c_TMAP3OUT)-(c_TMAP2OUT))+IF(((c_TMAP3OUT)-(c_TMAP2OUT))&gt;=0,1,-1)*QUOTIENT(((c_TMAP3IN)-(c_TMAP2IN)),2))+2147483648,4294967296)-2147483648,((c_TMAP3IN)-(c_TMAP2IN))*(((A172)-(c_TMAP2IN))*((c_TMAP3OUT)-(c_TMAP2OUT))+IF(((c_TMAP3OUT)-(c_TMAP2OUT))&gt;=0,1,-1)*QUOTIENT(((c_TMAP3IN)-(c_TMAP2IN)),2)))&lt;0,-1,0),IF(IF(o_WRAP=1,MOD(((c_TMAP3IN)-(c_TMAP2IN))*(((A172)-(c_TMAP2IN))*((c_TMAP3OUT)-(c_TMAP2OUT))+IF(((c_TMAP3OUT)-(c_TMAP2OUT))&gt;=0,1,-1)*QUOTIENT(((c_TMAP3IN)-(c_TMAP2IN)),2))+2147483648,4294967296)-2147483648,((c_TMAP3IN)-(c_TMAP2IN))*(((A172)-(c_TMAP2IN))*((c_TMAP3OUT)-(c_TMAP2OUT))+IF(((c_TMAP3OUT)-(c_TMAP2OUT))&gt;=0,1,-1)*QUOTIENT(((c_TMAP3IN)-(c_TMAP2IN)),2)))&gt;=0,1,0)))</f>
        <v>72</v>
      </c>
      <c r="G172" s="7" t="n">
        <f aca="false">IF(((1000)-(c_TMAP3IN))=0,(c_TMAP3OUT)+QUOTIENT(((1000)-(c_TMAP3OUT)),2),QUOTIENT((((A172)-(c_TMAP3IN))*((1000)-(c_TMAP3OUT))+IF(((1000)-(c_TMAP3OUT))&gt;=0,1,-1)*QUOTIENT(((1000)-(c_TMAP3IN)),2)),((1000)-(c_TMAP3IN)))+(c_TMAP3OUT)+IF(((1000)-(c_TMAP3OUT))&gt;=0,IF(IF(o_WRAP=1,MOD(((1000)-(c_TMAP3IN))*(((A172)-(c_TMAP3IN))*((1000)-(c_TMAP3OUT))+IF(((1000)-(c_TMAP3OUT))&gt;=0,1,-1)*QUOTIENT(((1000)-(c_TMAP3IN)),2))+2147483648,4294967296)-2147483648,((1000)-(c_TMAP3IN))*(((A172)-(c_TMAP3IN))*((1000)-(c_TMAP3OUT))+IF(((1000)-(c_TMAP3OUT))&gt;=0,1,-1)*QUOTIENT(((1000)-(c_TMAP3IN)),2)))&lt;0,-1,0),IF(IF(o_WRAP=1,MOD(((1000)-(c_TMAP3IN))*(((A172)-(c_TMAP3IN))*((1000)-(c_TMAP3OUT))+IF(((1000)-(c_TMAP3OUT))&gt;=0,1,-1)*QUOTIENT(((1000)-(c_TMAP3IN)),2))+2147483648,4294967296)-2147483648,((1000)-(c_TMAP3IN))*(((A172)-(c_TMAP3IN))*((1000)-(c_TMAP3OUT))+IF(((1000)-(c_TMAP3OUT))&gt;=0,1,-1)*QUOTIENT(((1000)-(c_TMAP3IN)),2)))&gt;=0,1,0)))</f>
        <v>-25</v>
      </c>
      <c r="H172" s="7" t="str">
        <f aca="false">IF(A172&gt;=c_TFWD,IF(AND(A172&gt;=c_TMAP3IN,c_TMAP3IN&lt;1000),"Seg4 map3-100%",IF(AND(A172&gt;=c_TMAP2IN,c_TMAP3IN&gt;c_TMAP2IN),"Seg3 map2-map3",IF(AND(A172&gt;=c_TMAP1IN,c_TMAP2IN&gt;c_TMAP1IN),"Seg2 map1-map2","Seg1 TFWD-map1"))),IF(AND(A172=0,c_TCREEP&gt;0),"Creep",IF(AND(A172&lt;=c_TRNGMIN,A172&gt;=c_TRNGMAX,c_TRNGMIN-c_TRNGMAX&lt;&gt;0),"Regen ramp","Coast (0)")))</f>
        <v>Seg2 map1-map2</v>
      </c>
      <c r="I172" s="7" t="n">
        <f aca="false">IF(A172&gt;=c_TFWD,IF(AND(A172&gt;=c_TMAP3IN,c_TMAP3IN&lt;1000),G172,IF(AND(A172&gt;=c_TMAP2IN,c_TMAP3IN&gt;c_TMAP2IN),F172,IF(AND(A172&gt;=c_TMAP1IN,c_TMAP2IN&gt;c_TMAP1IN),E172,D172))),C172)</f>
        <v>97</v>
      </c>
      <c r="J172" s="7" t="str">
        <f aca="false">IF(I172&lt;-1090,"TOO LOW",IF(I172&gt;1090,"TOO HIGH",""))</f>
        <v/>
      </c>
      <c r="K172" s="15" t="n">
        <f aca="false">IF(J172&lt;&gt;"",0,IF(I172&gt;979,1000,I172))</f>
        <v>97</v>
      </c>
      <c r="L172" s="7" t="n">
        <f aca="false">K172/10</f>
        <v>9.7</v>
      </c>
    </row>
    <row r="173" customFormat="false" ht="15" hidden="false" customHeight="false" outlineLevel="0" collapsed="false">
      <c r="A173" s="7" t="n">
        <v>168</v>
      </c>
      <c r="B173" s="7" t="n">
        <f aca="false">A173/10</f>
        <v>16.8</v>
      </c>
      <c r="C173" s="7" t="n">
        <f aca="false">IF(AND(A173=0,c_TCREEP&gt;0),10*c_TCREEP,IF(AND(A173&lt;=c_TRNGMIN,A173&gt;=c_TRNGMAX,c_TRNGMIN-c_TRNGMAX&lt;&gt;0),-10*c_TMINRN+QUOTIENT((c_TMAXRN-c_TMINRN)*(100-QUOTIENT((A173-c_TRNGMAX)*100,c_TRNGMIN-c_TRNGMAX)),-10),0))</f>
        <v>0</v>
      </c>
      <c r="D173" s="7" t="n">
        <f aca="false">IF(((c_TMAP1IN)-(c_TFWD))=0,(0)+QUOTIENT(((c_TMAP1OUT)-(0)),2),QUOTIENT((((A173)-(c_TFWD))*((c_TMAP1OUT)-(0))+IF(((c_TMAP1OUT)-(0))&gt;=0,1,-1)*QUOTIENT(((c_TMAP1IN)-(c_TFWD)),2)),((c_TMAP1IN)-(c_TFWD)))+(0)+IF(((c_TMAP1OUT)-(0))&gt;=0,IF(IF(o_WRAP=1,MOD(((c_TMAP1IN)-(c_TFWD))*(((A173)-(c_TFWD))*((c_TMAP1OUT)-(0))+IF(((c_TMAP1OUT)-(0))&gt;=0,1,-1)*QUOTIENT(((c_TMAP1IN)-(c_TFWD)),2))+2147483648,4294967296)-2147483648,((c_TMAP1IN)-(c_TFWD))*(((A173)-(c_TFWD))*((c_TMAP1OUT)-(0))+IF(((c_TMAP1OUT)-(0))&gt;=0,1,-1)*QUOTIENT(((c_TMAP1IN)-(c_TFWD)),2)))&lt;0,-1,0),IF(IF(o_WRAP=1,MOD(((c_TMAP1IN)-(c_TFWD))*(((A173)-(c_TFWD))*((c_TMAP1OUT)-(0))+IF(((c_TMAP1OUT)-(0))&gt;=0,1,-1)*QUOTIENT(((c_TMAP1IN)-(c_TFWD)),2))+2147483648,4294967296)-2147483648,((c_TMAP1IN)-(c_TFWD))*(((A173)-(c_TFWD))*((c_TMAP1OUT)-(0))+IF(((c_TMAP1OUT)-(0))&gt;=0,1,-1)*QUOTIENT(((c_TMAP1IN)-(c_TFWD)),2)))&gt;=0,1,0)))</f>
        <v>123</v>
      </c>
      <c r="E173" s="7" t="n">
        <f aca="false">IF(((c_TMAP2IN)-(c_TMAP1IN))=0,(c_TMAP1OUT)+QUOTIENT(((c_TMAP2OUT)-(c_TMAP1OUT)),2),QUOTIENT((((A173)-(c_TMAP1IN))*((c_TMAP2OUT)-(c_TMAP1OUT))+IF(((c_TMAP2OUT)-(c_TMAP1OUT))&gt;=0,1,-1)*QUOTIENT(((c_TMAP2IN)-(c_TMAP1IN)),2)),((c_TMAP2IN)-(c_TMAP1IN)))+(c_TMAP1OUT)+IF(((c_TMAP2OUT)-(c_TMAP1OUT))&gt;=0,IF(IF(o_WRAP=1,MOD(((c_TMAP2IN)-(c_TMAP1IN))*(((A173)-(c_TMAP1IN))*((c_TMAP2OUT)-(c_TMAP1OUT))+IF(((c_TMAP2OUT)-(c_TMAP1OUT))&gt;=0,1,-1)*QUOTIENT(((c_TMAP2IN)-(c_TMAP1IN)),2))+2147483648,4294967296)-2147483648,((c_TMAP2IN)-(c_TMAP1IN))*(((A173)-(c_TMAP1IN))*((c_TMAP2OUT)-(c_TMAP1OUT))+IF(((c_TMAP2OUT)-(c_TMAP1OUT))&gt;=0,1,-1)*QUOTIENT(((c_TMAP2IN)-(c_TMAP1IN)),2)))&lt;0,-1,0),IF(IF(o_WRAP=1,MOD(((c_TMAP2IN)-(c_TMAP1IN))*(((A173)-(c_TMAP1IN))*((c_TMAP2OUT)-(c_TMAP1OUT))+IF(((c_TMAP2OUT)-(c_TMAP1OUT))&gt;=0,1,-1)*QUOTIENT(((c_TMAP2IN)-(c_TMAP1IN)),2))+2147483648,4294967296)-2147483648,((c_TMAP2IN)-(c_TMAP1IN))*(((A173)-(c_TMAP1IN))*((c_TMAP2OUT)-(c_TMAP1OUT))+IF(((c_TMAP2OUT)-(c_TMAP1OUT))&gt;=0,1,-1)*QUOTIENT(((c_TMAP2IN)-(c_TMAP1IN)),2)))&gt;=0,1,0)))</f>
        <v>97</v>
      </c>
      <c r="F173" s="7" t="n">
        <f aca="false">IF(((c_TMAP3IN)-(c_TMAP2IN))=0,(c_TMAP2OUT)+QUOTIENT(((c_TMAP3OUT)-(c_TMAP2OUT)),2),QUOTIENT((((A173)-(c_TMAP2IN))*((c_TMAP3OUT)-(c_TMAP2OUT))+IF(((c_TMAP3OUT)-(c_TMAP2OUT))&gt;=0,1,-1)*QUOTIENT(((c_TMAP3IN)-(c_TMAP2IN)),2)),((c_TMAP3IN)-(c_TMAP2IN)))+(c_TMAP2OUT)+IF(((c_TMAP3OUT)-(c_TMAP2OUT))&gt;=0,IF(IF(o_WRAP=1,MOD(((c_TMAP3IN)-(c_TMAP2IN))*(((A173)-(c_TMAP2IN))*((c_TMAP3OUT)-(c_TMAP2OUT))+IF(((c_TMAP3OUT)-(c_TMAP2OUT))&gt;=0,1,-1)*QUOTIENT(((c_TMAP3IN)-(c_TMAP2IN)),2))+2147483648,4294967296)-2147483648,((c_TMAP3IN)-(c_TMAP2IN))*(((A173)-(c_TMAP2IN))*((c_TMAP3OUT)-(c_TMAP2OUT))+IF(((c_TMAP3OUT)-(c_TMAP2OUT))&gt;=0,1,-1)*QUOTIENT(((c_TMAP3IN)-(c_TMAP2IN)),2)))&lt;0,-1,0),IF(IF(o_WRAP=1,MOD(((c_TMAP3IN)-(c_TMAP2IN))*(((A173)-(c_TMAP2IN))*((c_TMAP3OUT)-(c_TMAP2OUT))+IF(((c_TMAP3OUT)-(c_TMAP2OUT))&gt;=0,1,-1)*QUOTIENT(((c_TMAP3IN)-(c_TMAP2IN)),2))+2147483648,4294967296)-2147483648,((c_TMAP3IN)-(c_TMAP2IN))*(((A173)-(c_TMAP2IN))*((c_TMAP3OUT)-(c_TMAP2OUT))+IF(((c_TMAP3OUT)-(c_TMAP2OUT))&gt;=0,1,-1)*QUOTIENT(((c_TMAP3IN)-(c_TMAP2IN)),2)))&gt;=0,1,0)))</f>
        <v>73</v>
      </c>
      <c r="G173" s="7" t="n">
        <f aca="false">IF(((1000)-(c_TMAP3IN))=0,(c_TMAP3OUT)+QUOTIENT(((1000)-(c_TMAP3OUT)),2),QUOTIENT((((A173)-(c_TMAP3IN))*((1000)-(c_TMAP3OUT))+IF(((1000)-(c_TMAP3OUT))&gt;=0,1,-1)*QUOTIENT(((1000)-(c_TMAP3IN)),2)),((1000)-(c_TMAP3IN)))+(c_TMAP3OUT)+IF(((1000)-(c_TMAP3OUT))&gt;=0,IF(IF(o_WRAP=1,MOD(((1000)-(c_TMAP3IN))*(((A173)-(c_TMAP3IN))*((1000)-(c_TMAP3OUT))+IF(((1000)-(c_TMAP3OUT))&gt;=0,1,-1)*QUOTIENT(((1000)-(c_TMAP3IN)),2))+2147483648,4294967296)-2147483648,((1000)-(c_TMAP3IN))*(((A173)-(c_TMAP3IN))*((1000)-(c_TMAP3OUT))+IF(((1000)-(c_TMAP3OUT))&gt;=0,1,-1)*QUOTIENT(((1000)-(c_TMAP3IN)),2)))&lt;0,-1,0),IF(IF(o_WRAP=1,MOD(((1000)-(c_TMAP3IN))*(((A173)-(c_TMAP3IN))*((1000)-(c_TMAP3OUT))+IF(((1000)-(c_TMAP3OUT))&gt;=0,1,-1)*QUOTIENT(((1000)-(c_TMAP3IN)),2))+2147483648,4294967296)-2147483648,((1000)-(c_TMAP3IN))*(((A173)-(c_TMAP3IN))*((1000)-(c_TMAP3OUT))+IF(((1000)-(c_TMAP3OUT))&gt;=0,1,-1)*QUOTIENT(((1000)-(c_TMAP3IN)),2)))&gt;=0,1,0)))</f>
        <v>-24</v>
      </c>
      <c r="H173" s="7" t="str">
        <f aca="false">IF(A173&gt;=c_TFWD,IF(AND(A173&gt;=c_TMAP3IN,c_TMAP3IN&lt;1000),"Seg4 map3-100%",IF(AND(A173&gt;=c_TMAP2IN,c_TMAP3IN&gt;c_TMAP2IN),"Seg3 map2-map3",IF(AND(A173&gt;=c_TMAP1IN,c_TMAP2IN&gt;c_TMAP1IN),"Seg2 map1-map2","Seg1 TFWD-map1"))),IF(AND(A173=0,c_TCREEP&gt;0),"Creep",IF(AND(A173&lt;=c_TRNGMIN,A173&gt;=c_TRNGMAX,c_TRNGMIN-c_TRNGMAX&lt;&gt;0),"Regen ramp","Coast (0)")))</f>
        <v>Seg2 map1-map2</v>
      </c>
      <c r="I173" s="7" t="n">
        <f aca="false">IF(A173&gt;=c_TFWD,IF(AND(A173&gt;=c_TMAP3IN,c_TMAP3IN&lt;1000),G173,IF(AND(A173&gt;=c_TMAP2IN,c_TMAP3IN&gt;c_TMAP2IN),F173,IF(AND(A173&gt;=c_TMAP1IN,c_TMAP2IN&gt;c_TMAP1IN),E173,D173))),C173)</f>
        <v>97</v>
      </c>
      <c r="J173" s="7" t="str">
        <f aca="false">IF(I173&lt;-1090,"TOO LOW",IF(I173&gt;1090,"TOO HIGH",""))</f>
        <v/>
      </c>
      <c r="K173" s="15" t="n">
        <f aca="false">IF(J173&lt;&gt;"",0,IF(I173&gt;979,1000,I173))</f>
        <v>97</v>
      </c>
      <c r="L173" s="7" t="n">
        <f aca="false">K173/10</f>
        <v>9.7</v>
      </c>
    </row>
    <row r="174" customFormat="false" ht="15" hidden="false" customHeight="false" outlineLevel="0" collapsed="false">
      <c r="A174" s="7" t="n">
        <v>169</v>
      </c>
      <c r="B174" s="7" t="n">
        <f aca="false">A174/10</f>
        <v>16.9</v>
      </c>
      <c r="C174" s="7" t="n">
        <f aca="false">IF(AND(A174=0,c_TCREEP&gt;0),10*c_TCREEP,IF(AND(A174&lt;=c_TRNGMIN,A174&gt;=c_TRNGMAX,c_TRNGMIN-c_TRNGMAX&lt;&gt;0),-10*c_TMINRN+QUOTIENT((c_TMAXRN-c_TMINRN)*(100-QUOTIENT((A174-c_TRNGMAX)*100,c_TRNGMIN-c_TRNGMAX)),-10),0))</f>
        <v>0</v>
      </c>
      <c r="D174" s="7" t="n">
        <f aca="false">IF(((c_TMAP1IN)-(c_TFWD))=0,(0)+QUOTIENT(((c_TMAP1OUT)-(0)),2),QUOTIENT((((A174)-(c_TFWD))*((c_TMAP1OUT)-(0))+IF(((c_TMAP1OUT)-(0))&gt;=0,1,-1)*QUOTIENT(((c_TMAP1IN)-(c_TFWD)),2)),((c_TMAP1IN)-(c_TFWD)))+(0)+IF(((c_TMAP1OUT)-(0))&gt;=0,IF(IF(o_WRAP=1,MOD(((c_TMAP1IN)-(c_TFWD))*(((A174)-(c_TFWD))*((c_TMAP1OUT)-(0))+IF(((c_TMAP1OUT)-(0))&gt;=0,1,-1)*QUOTIENT(((c_TMAP1IN)-(c_TFWD)),2))+2147483648,4294967296)-2147483648,((c_TMAP1IN)-(c_TFWD))*(((A174)-(c_TFWD))*((c_TMAP1OUT)-(0))+IF(((c_TMAP1OUT)-(0))&gt;=0,1,-1)*QUOTIENT(((c_TMAP1IN)-(c_TFWD)),2)))&lt;0,-1,0),IF(IF(o_WRAP=1,MOD(((c_TMAP1IN)-(c_TFWD))*(((A174)-(c_TFWD))*((c_TMAP1OUT)-(0))+IF(((c_TMAP1OUT)-(0))&gt;=0,1,-1)*QUOTIENT(((c_TMAP1IN)-(c_TFWD)),2))+2147483648,4294967296)-2147483648,((c_TMAP1IN)-(c_TFWD))*(((A174)-(c_TFWD))*((c_TMAP1OUT)-(0))+IF(((c_TMAP1OUT)-(0))&gt;=0,1,-1)*QUOTIENT(((c_TMAP1IN)-(c_TFWD)),2)))&gt;=0,1,0)))</f>
        <v>124</v>
      </c>
      <c r="E174" s="7" t="n">
        <f aca="false">IF(((c_TMAP2IN)-(c_TMAP1IN))=0,(c_TMAP1OUT)+QUOTIENT(((c_TMAP2OUT)-(c_TMAP1OUT)),2),QUOTIENT((((A174)-(c_TMAP1IN))*((c_TMAP2OUT)-(c_TMAP1OUT))+IF(((c_TMAP2OUT)-(c_TMAP1OUT))&gt;=0,1,-1)*QUOTIENT(((c_TMAP2IN)-(c_TMAP1IN)),2)),((c_TMAP2IN)-(c_TMAP1IN)))+(c_TMAP1OUT)+IF(((c_TMAP2OUT)-(c_TMAP1OUT))&gt;=0,IF(IF(o_WRAP=1,MOD(((c_TMAP2IN)-(c_TMAP1IN))*(((A174)-(c_TMAP1IN))*((c_TMAP2OUT)-(c_TMAP1OUT))+IF(((c_TMAP2OUT)-(c_TMAP1OUT))&gt;=0,1,-1)*QUOTIENT(((c_TMAP2IN)-(c_TMAP1IN)),2))+2147483648,4294967296)-2147483648,((c_TMAP2IN)-(c_TMAP1IN))*(((A174)-(c_TMAP1IN))*((c_TMAP2OUT)-(c_TMAP1OUT))+IF(((c_TMAP2OUT)-(c_TMAP1OUT))&gt;=0,1,-1)*QUOTIENT(((c_TMAP2IN)-(c_TMAP1IN)),2)))&lt;0,-1,0),IF(IF(o_WRAP=1,MOD(((c_TMAP2IN)-(c_TMAP1IN))*(((A174)-(c_TMAP1IN))*((c_TMAP2OUT)-(c_TMAP1OUT))+IF(((c_TMAP2OUT)-(c_TMAP1OUT))&gt;=0,1,-1)*QUOTIENT(((c_TMAP2IN)-(c_TMAP1IN)),2))+2147483648,4294967296)-2147483648,((c_TMAP2IN)-(c_TMAP1IN))*(((A174)-(c_TMAP1IN))*((c_TMAP2OUT)-(c_TMAP1OUT))+IF(((c_TMAP2OUT)-(c_TMAP1OUT))&gt;=0,1,-1)*QUOTIENT(((c_TMAP2IN)-(c_TMAP1IN)),2)))&gt;=0,1,0)))</f>
        <v>98</v>
      </c>
      <c r="F174" s="7" t="n">
        <f aca="false">IF(((c_TMAP3IN)-(c_TMAP2IN))=0,(c_TMAP2OUT)+QUOTIENT(((c_TMAP3OUT)-(c_TMAP2OUT)),2),QUOTIENT((((A174)-(c_TMAP2IN))*((c_TMAP3OUT)-(c_TMAP2OUT))+IF(((c_TMAP3OUT)-(c_TMAP2OUT))&gt;=0,1,-1)*QUOTIENT(((c_TMAP3IN)-(c_TMAP2IN)),2)),((c_TMAP3IN)-(c_TMAP2IN)))+(c_TMAP2OUT)+IF(((c_TMAP3OUT)-(c_TMAP2OUT))&gt;=0,IF(IF(o_WRAP=1,MOD(((c_TMAP3IN)-(c_TMAP2IN))*(((A174)-(c_TMAP2IN))*((c_TMAP3OUT)-(c_TMAP2OUT))+IF(((c_TMAP3OUT)-(c_TMAP2OUT))&gt;=0,1,-1)*QUOTIENT(((c_TMAP3IN)-(c_TMAP2IN)),2))+2147483648,4294967296)-2147483648,((c_TMAP3IN)-(c_TMAP2IN))*(((A174)-(c_TMAP2IN))*((c_TMAP3OUT)-(c_TMAP2OUT))+IF(((c_TMAP3OUT)-(c_TMAP2OUT))&gt;=0,1,-1)*QUOTIENT(((c_TMAP3IN)-(c_TMAP2IN)),2)))&lt;0,-1,0),IF(IF(o_WRAP=1,MOD(((c_TMAP3IN)-(c_TMAP2IN))*(((A174)-(c_TMAP2IN))*((c_TMAP3OUT)-(c_TMAP2OUT))+IF(((c_TMAP3OUT)-(c_TMAP2OUT))&gt;=0,1,-1)*QUOTIENT(((c_TMAP3IN)-(c_TMAP2IN)),2))+2147483648,4294967296)-2147483648,((c_TMAP3IN)-(c_TMAP2IN))*(((A174)-(c_TMAP2IN))*((c_TMAP3OUT)-(c_TMAP2OUT))+IF(((c_TMAP3OUT)-(c_TMAP2OUT))&gt;=0,1,-1)*QUOTIENT(((c_TMAP3IN)-(c_TMAP2IN)),2)))&gt;=0,1,0)))</f>
        <v>73</v>
      </c>
      <c r="G174" s="7" t="n">
        <f aca="false">IF(((1000)-(c_TMAP3IN))=0,(c_TMAP3OUT)+QUOTIENT(((1000)-(c_TMAP3OUT)),2),QUOTIENT((((A174)-(c_TMAP3IN))*((1000)-(c_TMAP3OUT))+IF(((1000)-(c_TMAP3OUT))&gt;=0,1,-1)*QUOTIENT(((1000)-(c_TMAP3IN)),2)),((1000)-(c_TMAP3IN)))+(c_TMAP3OUT)+IF(((1000)-(c_TMAP3OUT))&gt;=0,IF(IF(o_WRAP=1,MOD(((1000)-(c_TMAP3IN))*(((A174)-(c_TMAP3IN))*((1000)-(c_TMAP3OUT))+IF(((1000)-(c_TMAP3OUT))&gt;=0,1,-1)*QUOTIENT(((1000)-(c_TMAP3IN)),2))+2147483648,4294967296)-2147483648,((1000)-(c_TMAP3IN))*(((A174)-(c_TMAP3IN))*((1000)-(c_TMAP3OUT))+IF(((1000)-(c_TMAP3OUT))&gt;=0,1,-1)*QUOTIENT(((1000)-(c_TMAP3IN)),2)))&lt;0,-1,0),IF(IF(o_WRAP=1,MOD(((1000)-(c_TMAP3IN))*(((A174)-(c_TMAP3IN))*((1000)-(c_TMAP3OUT))+IF(((1000)-(c_TMAP3OUT))&gt;=0,1,-1)*QUOTIENT(((1000)-(c_TMAP3IN)),2))+2147483648,4294967296)-2147483648,((1000)-(c_TMAP3IN))*(((A174)-(c_TMAP3IN))*((1000)-(c_TMAP3OUT))+IF(((1000)-(c_TMAP3OUT))&gt;=0,1,-1)*QUOTIENT(((1000)-(c_TMAP3IN)),2)))&gt;=0,1,0)))</f>
        <v>-23</v>
      </c>
      <c r="H174" s="7" t="str">
        <f aca="false">IF(A174&gt;=c_TFWD,IF(AND(A174&gt;=c_TMAP3IN,c_TMAP3IN&lt;1000),"Seg4 map3-100%",IF(AND(A174&gt;=c_TMAP2IN,c_TMAP3IN&gt;c_TMAP2IN),"Seg3 map2-map3",IF(AND(A174&gt;=c_TMAP1IN,c_TMAP2IN&gt;c_TMAP1IN),"Seg2 map1-map2","Seg1 TFWD-map1"))),IF(AND(A174=0,c_TCREEP&gt;0),"Creep",IF(AND(A174&lt;=c_TRNGMIN,A174&gt;=c_TRNGMAX,c_TRNGMIN-c_TRNGMAX&lt;&gt;0),"Regen ramp","Coast (0)")))</f>
        <v>Seg2 map1-map2</v>
      </c>
      <c r="I174" s="7" t="n">
        <f aca="false">IF(A174&gt;=c_TFWD,IF(AND(A174&gt;=c_TMAP3IN,c_TMAP3IN&lt;1000),G174,IF(AND(A174&gt;=c_TMAP2IN,c_TMAP3IN&gt;c_TMAP2IN),F174,IF(AND(A174&gt;=c_TMAP1IN,c_TMAP2IN&gt;c_TMAP1IN),E174,D174))),C174)</f>
        <v>98</v>
      </c>
      <c r="J174" s="7" t="str">
        <f aca="false">IF(I174&lt;-1090,"TOO LOW",IF(I174&gt;1090,"TOO HIGH",""))</f>
        <v/>
      </c>
      <c r="K174" s="15" t="n">
        <f aca="false">IF(J174&lt;&gt;"",0,IF(I174&gt;979,1000,I174))</f>
        <v>98</v>
      </c>
      <c r="L174" s="7" t="n">
        <f aca="false">K174/10</f>
        <v>9.8</v>
      </c>
    </row>
    <row r="175" customFormat="false" ht="15" hidden="false" customHeight="false" outlineLevel="0" collapsed="false">
      <c r="A175" s="7" t="n">
        <v>170</v>
      </c>
      <c r="B175" s="7" t="n">
        <f aca="false">A175/10</f>
        <v>17</v>
      </c>
      <c r="C175" s="7" t="n">
        <f aca="false">IF(AND(A175=0,c_TCREEP&gt;0),10*c_TCREEP,IF(AND(A175&lt;=c_TRNGMIN,A175&gt;=c_TRNGMAX,c_TRNGMIN-c_TRNGMAX&lt;&gt;0),-10*c_TMINRN+QUOTIENT((c_TMAXRN-c_TMINRN)*(100-QUOTIENT((A175-c_TRNGMAX)*100,c_TRNGMIN-c_TRNGMAX)),-10),0))</f>
        <v>0</v>
      </c>
      <c r="D175" s="7" t="n">
        <f aca="false">IF(((c_TMAP1IN)-(c_TFWD))=0,(0)+QUOTIENT(((c_TMAP1OUT)-(0)),2),QUOTIENT((((A175)-(c_TFWD))*((c_TMAP1OUT)-(0))+IF(((c_TMAP1OUT)-(0))&gt;=0,1,-1)*QUOTIENT(((c_TMAP1IN)-(c_TFWD)),2)),((c_TMAP1IN)-(c_TFWD)))+(0)+IF(((c_TMAP1OUT)-(0))&gt;=0,IF(IF(o_WRAP=1,MOD(((c_TMAP1IN)-(c_TFWD))*(((A175)-(c_TFWD))*((c_TMAP1OUT)-(0))+IF(((c_TMAP1OUT)-(0))&gt;=0,1,-1)*QUOTIENT(((c_TMAP1IN)-(c_TFWD)),2))+2147483648,4294967296)-2147483648,((c_TMAP1IN)-(c_TFWD))*(((A175)-(c_TFWD))*((c_TMAP1OUT)-(0))+IF(((c_TMAP1OUT)-(0))&gt;=0,1,-1)*QUOTIENT(((c_TMAP1IN)-(c_TFWD)),2)))&lt;0,-1,0),IF(IF(o_WRAP=1,MOD(((c_TMAP1IN)-(c_TFWD))*(((A175)-(c_TFWD))*((c_TMAP1OUT)-(0))+IF(((c_TMAP1OUT)-(0))&gt;=0,1,-1)*QUOTIENT(((c_TMAP1IN)-(c_TFWD)),2))+2147483648,4294967296)-2147483648,((c_TMAP1IN)-(c_TFWD))*(((A175)-(c_TFWD))*((c_TMAP1OUT)-(0))+IF(((c_TMAP1OUT)-(0))&gt;=0,1,-1)*QUOTIENT(((c_TMAP1IN)-(c_TFWD)),2)))&gt;=0,1,0)))</f>
        <v>124</v>
      </c>
      <c r="E175" s="7" t="n">
        <f aca="false">IF(((c_TMAP2IN)-(c_TMAP1IN))=0,(c_TMAP1OUT)+QUOTIENT(((c_TMAP2OUT)-(c_TMAP1OUT)),2),QUOTIENT((((A175)-(c_TMAP1IN))*((c_TMAP2OUT)-(c_TMAP1OUT))+IF(((c_TMAP2OUT)-(c_TMAP1OUT))&gt;=0,1,-1)*QUOTIENT(((c_TMAP2IN)-(c_TMAP1IN)),2)),((c_TMAP2IN)-(c_TMAP1IN)))+(c_TMAP1OUT)+IF(((c_TMAP2OUT)-(c_TMAP1OUT))&gt;=0,IF(IF(o_WRAP=1,MOD(((c_TMAP2IN)-(c_TMAP1IN))*(((A175)-(c_TMAP1IN))*((c_TMAP2OUT)-(c_TMAP1OUT))+IF(((c_TMAP2OUT)-(c_TMAP1OUT))&gt;=0,1,-1)*QUOTIENT(((c_TMAP2IN)-(c_TMAP1IN)),2))+2147483648,4294967296)-2147483648,((c_TMAP2IN)-(c_TMAP1IN))*(((A175)-(c_TMAP1IN))*((c_TMAP2OUT)-(c_TMAP1OUT))+IF(((c_TMAP2OUT)-(c_TMAP1OUT))&gt;=0,1,-1)*QUOTIENT(((c_TMAP2IN)-(c_TMAP1IN)),2)))&lt;0,-1,0),IF(IF(o_WRAP=1,MOD(((c_TMAP2IN)-(c_TMAP1IN))*(((A175)-(c_TMAP1IN))*((c_TMAP2OUT)-(c_TMAP1OUT))+IF(((c_TMAP2OUT)-(c_TMAP1OUT))&gt;=0,1,-1)*QUOTIENT(((c_TMAP2IN)-(c_TMAP1IN)),2))+2147483648,4294967296)-2147483648,((c_TMAP2IN)-(c_TMAP1IN))*(((A175)-(c_TMAP1IN))*((c_TMAP2OUT)-(c_TMAP1OUT))+IF(((c_TMAP2OUT)-(c_TMAP1OUT))&gt;=0,1,-1)*QUOTIENT(((c_TMAP2IN)-(c_TMAP1IN)),2)))&gt;=0,1,0)))</f>
        <v>98</v>
      </c>
      <c r="F175" s="7" t="n">
        <f aca="false">IF(((c_TMAP3IN)-(c_TMAP2IN))=0,(c_TMAP2OUT)+QUOTIENT(((c_TMAP3OUT)-(c_TMAP2OUT)),2),QUOTIENT((((A175)-(c_TMAP2IN))*((c_TMAP3OUT)-(c_TMAP2OUT))+IF(((c_TMAP3OUT)-(c_TMAP2OUT))&gt;=0,1,-1)*QUOTIENT(((c_TMAP3IN)-(c_TMAP2IN)),2)),((c_TMAP3IN)-(c_TMAP2IN)))+(c_TMAP2OUT)+IF(((c_TMAP3OUT)-(c_TMAP2OUT))&gt;=0,IF(IF(o_WRAP=1,MOD(((c_TMAP3IN)-(c_TMAP2IN))*(((A175)-(c_TMAP2IN))*((c_TMAP3OUT)-(c_TMAP2OUT))+IF(((c_TMAP3OUT)-(c_TMAP2OUT))&gt;=0,1,-1)*QUOTIENT(((c_TMAP3IN)-(c_TMAP2IN)),2))+2147483648,4294967296)-2147483648,((c_TMAP3IN)-(c_TMAP2IN))*(((A175)-(c_TMAP2IN))*((c_TMAP3OUT)-(c_TMAP2OUT))+IF(((c_TMAP3OUT)-(c_TMAP2OUT))&gt;=0,1,-1)*QUOTIENT(((c_TMAP3IN)-(c_TMAP2IN)),2)))&lt;0,-1,0),IF(IF(o_WRAP=1,MOD(((c_TMAP3IN)-(c_TMAP2IN))*(((A175)-(c_TMAP2IN))*((c_TMAP3OUT)-(c_TMAP2OUT))+IF(((c_TMAP3OUT)-(c_TMAP2OUT))&gt;=0,1,-1)*QUOTIENT(((c_TMAP3IN)-(c_TMAP2IN)),2))+2147483648,4294967296)-2147483648,((c_TMAP3IN)-(c_TMAP2IN))*(((A175)-(c_TMAP2IN))*((c_TMAP3OUT)-(c_TMAP2OUT))+IF(((c_TMAP3OUT)-(c_TMAP2OUT))&gt;=0,1,-1)*QUOTIENT(((c_TMAP3IN)-(c_TMAP2IN)),2)))&gt;=0,1,0)))</f>
        <v>74</v>
      </c>
      <c r="G175" s="7" t="n">
        <f aca="false">IF(((1000)-(c_TMAP3IN))=0,(c_TMAP3OUT)+QUOTIENT(((1000)-(c_TMAP3OUT)),2),QUOTIENT((((A175)-(c_TMAP3IN))*((1000)-(c_TMAP3OUT))+IF(((1000)-(c_TMAP3OUT))&gt;=0,1,-1)*QUOTIENT(((1000)-(c_TMAP3IN)),2)),((1000)-(c_TMAP3IN)))+(c_TMAP3OUT)+IF(((1000)-(c_TMAP3OUT))&gt;=0,IF(IF(o_WRAP=1,MOD(((1000)-(c_TMAP3IN))*(((A175)-(c_TMAP3IN))*((1000)-(c_TMAP3OUT))+IF(((1000)-(c_TMAP3OUT))&gt;=0,1,-1)*QUOTIENT(((1000)-(c_TMAP3IN)),2))+2147483648,4294967296)-2147483648,((1000)-(c_TMAP3IN))*(((A175)-(c_TMAP3IN))*((1000)-(c_TMAP3OUT))+IF(((1000)-(c_TMAP3OUT))&gt;=0,1,-1)*QUOTIENT(((1000)-(c_TMAP3IN)),2)))&lt;0,-1,0),IF(IF(o_WRAP=1,MOD(((1000)-(c_TMAP3IN))*(((A175)-(c_TMAP3IN))*((1000)-(c_TMAP3OUT))+IF(((1000)-(c_TMAP3OUT))&gt;=0,1,-1)*QUOTIENT(((1000)-(c_TMAP3IN)),2))+2147483648,4294967296)-2147483648,((1000)-(c_TMAP3IN))*(((A175)-(c_TMAP3IN))*((1000)-(c_TMAP3OUT))+IF(((1000)-(c_TMAP3OUT))&gt;=0,1,-1)*QUOTIENT(((1000)-(c_TMAP3IN)),2)))&gt;=0,1,0)))</f>
        <v>-22</v>
      </c>
      <c r="H175" s="7" t="str">
        <f aca="false">IF(A175&gt;=c_TFWD,IF(AND(A175&gt;=c_TMAP3IN,c_TMAP3IN&lt;1000),"Seg4 map3-100%",IF(AND(A175&gt;=c_TMAP2IN,c_TMAP3IN&gt;c_TMAP2IN),"Seg3 map2-map3",IF(AND(A175&gt;=c_TMAP1IN,c_TMAP2IN&gt;c_TMAP1IN),"Seg2 map1-map2","Seg1 TFWD-map1"))),IF(AND(A175=0,c_TCREEP&gt;0),"Creep",IF(AND(A175&lt;=c_TRNGMIN,A175&gt;=c_TRNGMAX,c_TRNGMIN-c_TRNGMAX&lt;&gt;0),"Regen ramp","Coast (0)")))</f>
        <v>Seg2 map1-map2</v>
      </c>
      <c r="I175" s="7" t="n">
        <f aca="false">IF(A175&gt;=c_TFWD,IF(AND(A175&gt;=c_TMAP3IN,c_TMAP3IN&lt;1000),G175,IF(AND(A175&gt;=c_TMAP2IN,c_TMAP3IN&gt;c_TMAP2IN),F175,IF(AND(A175&gt;=c_TMAP1IN,c_TMAP2IN&gt;c_TMAP1IN),E175,D175))),C175)</f>
        <v>98</v>
      </c>
      <c r="J175" s="7" t="str">
        <f aca="false">IF(I175&lt;-1090,"TOO LOW",IF(I175&gt;1090,"TOO HIGH",""))</f>
        <v/>
      </c>
      <c r="K175" s="15" t="n">
        <f aca="false">IF(J175&lt;&gt;"",0,IF(I175&gt;979,1000,I175))</f>
        <v>98</v>
      </c>
      <c r="L175" s="7" t="n">
        <f aca="false">K175/10</f>
        <v>9.8</v>
      </c>
    </row>
    <row r="176" customFormat="false" ht="15" hidden="false" customHeight="false" outlineLevel="0" collapsed="false">
      <c r="A176" s="7" t="n">
        <v>171</v>
      </c>
      <c r="B176" s="7" t="n">
        <f aca="false">A176/10</f>
        <v>17.1</v>
      </c>
      <c r="C176" s="7" t="n">
        <f aca="false">IF(AND(A176=0,c_TCREEP&gt;0),10*c_TCREEP,IF(AND(A176&lt;=c_TRNGMIN,A176&gt;=c_TRNGMAX,c_TRNGMIN-c_TRNGMAX&lt;&gt;0),-10*c_TMINRN+QUOTIENT((c_TMAXRN-c_TMINRN)*(100-QUOTIENT((A176-c_TRNGMAX)*100,c_TRNGMIN-c_TRNGMAX)),-10),0))</f>
        <v>0</v>
      </c>
      <c r="D176" s="7" t="n">
        <f aca="false">IF(((c_TMAP1IN)-(c_TFWD))=0,(0)+QUOTIENT(((c_TMAP1OUT)-(0)),2),QUOTIENT((((A176)-(c_TFWD))*((c_TMAP1OUT)-(0))+IF(((c_TMAP1OUT)-(0))&gt;=0,1,-1)*QUOTIENT(((c_TMAP1IN)-(c_TFWD)),2)),((c_TMAP1IN)-(c_TFWD)))+(0)+IF(((c_TMAP1OUT)-(0))&gt;=0,IF(IF(o_WRAP=1,MOD(((c_TMAP1IN)-(c_TFWD))*(((A176)-(c_TFWD))*((c_TMAP1OUT)-(0))+IF(((c_TMAP1OUT)-(0))&gt;=0,1,-1)*QUOTIENT(((c_TMAP1IN)-(c_TFWD)),2))+2147483648,4294967296)-2147483648,((c_TMAP1IN)-(c_TFWD))*(((A176)-(c_TFWD))*((c_TMAP1OUT)-(0))+IF(((c_TMAP1OUT)-(0))&gt;=0,1,-1)*QUOTIENT(((c_TMAP1IN)-(c_TFWD)),2)))&lt;0,-1,0),IF(IF(o_WRAP=1,MOD(((c_TMAP1IN)-(c_TFWD))*(((A176)-(c_TFWD))*((c_TMAP1OUT)-(0))+IF(((c_TMAP1OUT)-(0))&gt;=0,1,-1)*QUOTIENT(((c_TMAP1IN)-(c_TFWD)),2))+2147483648,4294967296)-2147483648,((c_TMAP1IN)-(c_TFWD))*(((A176)-(c_TFWD))*((c_TMAP1OUT)-(0))+IF(((c_TMAP1OUT)-(0))&gt;=0,1,-1)*QUOTIENT(((c_TMAP1IN)-(c_TFWD)),2)))&gt;=0,1,0)))</f>
        <v>125</v>
      </c>
      <c r="E176" s="7" t="n">
        <f aca="false">IF(((c_TMAP2IN)-(c_TMAP1IN))=0,(c_TMAP1OUT)+QUOTIENT(((c_TMAP2OUT)-(c_TMAP1OUT)),2),QUOTIENT((((A176)-(c_TMAP1IN))*((c_TMAP2OUT)-(c_TMAP1OUT))+IF(((c_TMAP2OUT)-(c_TMAP1OUT))&gt;=0,1,-1)*QUOTIENT(((c_TMAP2IN)-(c_TMAP1IN)),2)),((c_TMAP2IN)-(c_TMAP1IN)))+(c_TMAP1OUT)+IF(((c_TMAP2OUT)-(c_TMAP1OUT))&gt;=0,IF(IF(o_WRAP=1,MOD(((c_TMAP2IN)-(c_TMAP1IN))*(((A176)-(c_TMAP1IN))*((c_TMAP2OUT)-(c_TMAP1OUT))+IF(((c_TMAP2OUT)-(c_TMAP1OUT))&gt;=0,1,-1)*QUOTIENT(((c_TMAP2IN)-(c_TMAP1IN)),2))+2147483648,4294967296)-2147483648,((c_TMAP2IN)-(c_TMAP1IN))*(((A176)-(c_TMAP1IN))*((c_TMAP2OUT)-(c_TMAP1OUT))+IF(((c_TMAP2OUT)-(c_TMAP1OUT))&gt;=0,1,-1)*QUOTIENT(((c_TMAP2IN)-(c_TMAP1IN)),2)))&lt;0,-1,0),IF(IF(o_WRAP=1,MOD(((c_TMAP2IN)-(c_TMAP1IN))*(((A176)-(c_TMAP1IN))*((c_TMAP2OUT)-(c_TMAP1OUT))+IF(((c_TMAP2OUT)-(c_TMAP1OUT))&gt;=0,1,-1)*QUOTIENT(((c_TMAP2IN)-(c_TMAP1IN)),2))+2147483648,4294967296)-2147483648,((c_TMAP2IN)-(c_TMAP1IN))*(((A176)-(c_TMAP1IN))*((c_TMAP2OUT)-(c_TMAP1OUT))+IF(((c_TMAP2OUT)-(c_TMAP1OUT))&gt;=0,1,-1)*QUOTIENT(((c_TMAP2IN)-(c_TMAP1IN)),2)))&gt;=0,1,0)))</f>
        <v>98</v>
      </c>
      <c r="F176" s="7" t="n">
        <f aca="false">IF(((c_TMAP3IN)-(c_TMAP2IN))=0,(c_TMAP2OUT)+QUOTIENT(((c_TMAP3OUT)-(c_TMAP2OUT)),2),QUOTIENT((((A176)-(c_TMAP2IN))*((c_TMAP3OUT)-(c_TMAP2OUT))+IF(((c_TMAP3OUT)-(c_TMAP2OUT))&gt;=0,1,-1)*QUOTIENT(((c_TMAP3IN)-(c_TMAP2IN)),2)),((c_TMAP3IN)-(c_TMAP2IN)))+(c_TMAP2OUT)+IF(((c_TMAP3OUT)-(c_TMAP2OUT))&gt;=0,IF(IF(o_WRAP=1,MOD(((c_TMAP3IN)-(c_TMAP2IN))*(((A176)-(c_TMAP2IN))*((c_TMAP3OUT)-(c_TMAP2OUT))+IF(((c_TMAP3OUT)-(c_TMAP2OUT))&gt;=0,1,-1)*QUOTIENT(((c_TMAP3IN)-(c_TMAP2IN)),2))+2147483648,4294967296)-2147483648,((c_TMAP3IN)-(c_TMAP2IN))*(((A176)-(c_TMAP2IN))*((c_TMAP3OUT)-(c_TMAP2OUT))+IF(((c_TMAP3OUT)-(c_TMAP2OUT))&gt;=0,1,-1)*QUOTIENT(((c_TMAP3IN)-(c_TMAP2IN)),2)))&lt;0,-1,0),IF(IF(o_WRAP=1,MOD(((c_TMAP3IN)-(c_TMAP2IN))*(((A176)-(c_TMAP2IN))*((c_TMAP3OUT)-(c_TMAP2OUT))+IF(((c_TMAP3OUT)-(c_TMAP2OUT))&gt;=0,1,-1)*QUOTIENT(((c_TMAP3IN)-(c_TMAP2IN)),2))+2147483648,4294967296)-2147483648,((c_TMAP3IN)-(c_TMAP2IN))*(((A176)-(c_TMAP2IN))*((c_TMAP3OUT)-(c_TMAP2OUT))+IF(((c_TMAP3OUT)-(c_TMAP2OUT))&gt;=0,1,-1)*QUOTIENT(((c_TMAP3IN)-(c_TMAP2IN)),2)))&gt;=0,1,0)))</f>
        <v>75</v>
      </c>
      <c r="G176" s="7" t="n">
        <f aca="false">IF(((1000)-(c_TMAP3IN))=0,(c_TMAP3OUT)+QUOTIENT(((1000)-(c_TMAP3OUT)),2),QUOTIENT((((A176)-(c_TMAP3IN))*((1000)-(c_TMAP3OUT))+IF(((1000)-(c_TMAP3OUT))&gt;=0,1,-1)*QUOTIENT(((1000)-(c_TMAP3IN)),2)),((1000)-(c_TMAP3IN)))+(c_TMAP3OUT)+IF(((1000)-(c_TMAP3OUT))&gt;=0,IF(IF(o_WRAP=1,MOD(((1000)-(c_TMAP3IN))*(((A176)-(c_TMAP3IN))*((1000)-(c_TMAP3OUT))+IF(((1000)-(c_TMAP3OUT))&gt;=0,1,-1)*QUOTIENT(((1000)-(c_TMAP3IN)),2))+2147483648,4294967296)-2147483648,((1000)-(c_TMAP3IN))*(((A176)-(c_TMAP3IN))*((1000)-(c_TMAP3OUT))+IF(((1000)-(c_TMAP3OUT))&gt;=0,1,-1)*QUOTIENT(((1000)-(c_TMAP3IN)),2)))&lt;0,-1,0),IF(IF(o_WRAP=1,MOD(((1000)-(c_TMAP3IN))*(((A176)-(c_TMAP3IN))*((1000)-(c_TMAP3OUT))+IF(((1000)-(c_TMAP3OUT))&gt;=0,1,-1)*QUOTIENT(((1000)-(c_TMAP3IN)),2))+2147483648,4294967296)-2147483648,((1000)-(c_TMAP3IN))*(((A176)-(c_TMAP3IN))*((1000)-(c_TMAP3OUT))+IF(((1000)-(c_TMAP3OUT))&gt;=0,1,-1)*QUOTIENT(((1000)-(c_TMAP3IN)),2)))&gt;=0,1,0)))</f>
        <v>-20</v>
      </c>
      <c r="H176" s="7" t="str">
        <f aca="false">IF(A176&gt;=c_TFWD,IF(AND(A176&gt;=c_TMAP3IN,c_TMAP3IN&lt;1000),"Seg4 map3-100%",IF(AND(A176&gt;=c_TMAP2IN,c_TMAP3IN&gt;c_TMAP2IN),"Seg3 map2-map3",IF(AND(A176&gt;=c_TMAP1IN,c_TMAP2IN&gt;c_TMAP1IN),"Seg2 map1-map2","Seg1 TFWD-map1"))),IF(AND(A176=0,c_TCREEP&gt;0),"Creep",IF(AND(A176&lt;=c_TRNGMIN,A176&gt;=c_TRNGMAX,c_TRNGMIN-c_TRNGMAX&lt;&gt;0),"Regen ramp","Coast (0)")))</f>
        <v>Seg2 map1-map2</v>
      </c>
      <c r="I176" s="7" t="n">
        <f aca="false">IF(A176&gt;=c_TFWD,IF(AND(A176&gt;=c_TMAP3IN,c_TMAP3IN&lt;1000),G176,IF(AND(A176&gt;=c_TMAP2IN,c_TMAP3IN&gt;c_TMAP2IN),F176,IF(AND(A176&gt;=c_TMAP1IN,c_TMAP2IN&gt;c_TMAP1IN),E176,D176))),C176)</f>
        <v>98</v>
      </c>
      <c r="J176" s="7" t="str">
        <f aca="false">IF(I176&lt;-1090,"TOO LOW",IF(I176&gt;1090,"TOO HIGH",""))</f>
        <v/>
      </c>
      <c r="K176" s="15" t="n">
        <f aca="false">IF(J176&lt;&gt;"",0,IF(I176&gt;979,1000,I176))</f>
        <v>98</v>
      </c>
      <c r="L176" s="7" t="n">
        <f aca="false">K176/10</f>
        <v>9.8</v>
      </c>
    </row>
    <row r="177" customFormat="false" ht="15" hidden="false" customHeight="false" outlineLevel="0" collapsed="false">
      <c r="A177" s="7" t="n">
        <v>172</v>
      </c>
      <c r="B177" s="7" t="n">
        <f aca="false">A177/10</f>
        <v>17.2</v>
      </c>
      <c r="C177" s="7" t="n">
        <f aca="false">IF(AND(A177=0,c_TCREEP&gt;0),10*c_TCREEP,IF(AND(A177&lt;=c_TRNGMIN,A177&gt;=c_TRNGMAX,c_TRNGMIN-c_TRNGMAX&lt;&gt;0),-10*c_TMINRN+QUOTIENT((c_TMAXRN-c_TMINRN)*(100-QUOTIENT((A177-c_TRNGMAX)*100,c_TRNGMIN-c_TRNGMAX)),-10),0))</f>
        <v>0</v>
      </c>
      <c r="D177" s="7" t="n">
        <f aca="false">IF(((c_TMAP1IN)-(c_TFWD))=0,(0)+QUOTIENT(((c_TMAP1OUT)-(0)),2),QUOTIENT((((A177)-(c_TFWD))*((c_TMAP1OUT)-(0))+IF(((c_TMAP1OUT)-(0))&gt;=0,1,-1)*QUOTIENT(((c_TMAP1IN)-(c_TFWD)),2)),((c_TMAP1IN)-(c_TFWD)))+(0)+IF(((c_TMAP1OUT)-(0))&gt;=0,IF(IF(o_WRAP=1,MOD(((c_TMAP1IN)-(c_TFWD))*(((A177)-(c_TFWD))*((c_TMAP1OUT)-(0))+IF(((c_TMAP1OUT)-(0))&gt;=0,1,-1)*QUOTIENT(((c_TMAP1IN)-(c_TFWD)),2))+2147483648,4294967296)-2147483648,((c_TMAP1IN)-(c_TFWD))*(((A177)-(c_TFWD))*((c_TMAP1OUT)-(0))+IF(((c_TMAP1OUT)-(0))&gt;=0,1,-1)*QUOTIENT(((c_TMAP1IN)-(c_TFWD)),2)))&lt;0,-1,0),IF(IF(o_WRAP=1,MOD(((c_TMAP1IN)-(c_TFWD))*(((A177)-(c_TFWD))*((c_TMAP1OUT)-(0))+IF(((c_TMAP1OUT)-(0))&gt;=0,1,-1)*QUOTIENT(((c_TMAP1IN)-(c_TFWD)),2))+2147483648,4294967296)-2147483648,((c_TMAP1IN)-(c_TFWD))*(((A177)-(c_TFWD))*((c_TMAP1OUT)-(0))+IF(((c_TMAP1OUT)-(0))&gt;=0,1,-1)*QUOTIENT(((c_TMAP1IN)-(c_TFWD)),2)))&gt;=0,1,0)))</f>
        <v>126</v>
      </c>
      <c r="E177" s="7" t="n">
        <f aca="false">IF(((c_TMAP2IN)-(c_TMAP1IN))=0,(c_TMAP1OUT)+QUOTIENT(((c_TMAP2OUT)-(c_TMAP1OUT)),2),QUOTIENT((((A177)-(c_TMAP1IN))*((c_TMAP2OUT)-(c_TMAP1OUT))+IF(((c_TMAP2OUT)-(c_TMAP1OUT))&gt;=0,1,-1)*QUOTIENT(((c_TMAP2IN)-(c_TMAP1IN)),2)),((c_TMAP2IN)-(c_TMAP1IN)))+(c_TMAP1OUT)+IF(((c_TMAP2OUT)-(c_TMAP1OUT))&gt;=0,IF(IF(o_WRAP=1,MOD(((c_TMAP2IN)-(c_TMAP1IN))*(((A177)-(c_TMAP1IN))*((c_TMAP2OUT)-(c_TMAP1OUT))+IF(((c_TMAP2OUT)-(c_TMAP1OUT))&gt;=0,1,-1)*QUOTIENT(((c_TMAP2IN)-(c_TMAP1IN)),2))+2147483648,4294967296)-2147483648,((c_TMAP2IN)-(c_TMAP1IN))*(((A177)-(c_TMAP1IN))*((c_TMAP2OUT)-(c_TMAP1OUT))+IF(((c_TMAP2OUT)-(c_TMAP1OUT))&gt;=0,1,-1)*QUOTIENT(((c_TMAP2IN)-(c_TMAP1IN)),2)))&lt;0,-1,0),IF(IF(o_WRAP=1,MOD(((c_TMAP2IN)-(c_TMAP1IN))*(((A177)-(c_TMAP1IN))*((c_TMAP2OUT)-(c_TMAP1OUT))+IF(((c_TMAP2OUT)-(c_TMAP1OUT))&gt;=0,1,-1)*QUOTIENT(((c_TMAP2IN)-(c_TMAP1IN)),2))+2147483648,4294967296)-2147483648,((c_TMAP2IN)-(c_TMAP1IN))*(((A177)-(c_TMAP1IN))*((c_TMAP2OUT)-(c_TMAP1OUT))+IF(((c_TMAP2OUT)-(c_TMAP1OUT))&gt;=0,1,-1)*QUOTIENT(((c_TMAP2IN)-(c_TMAP1IN)),2)))&gt;=0,1,0)))</f>
        <v>99</v>
      </c>
      <c r="F177" s="7" t="n">
        <f aca="false">IF(((c_TMAP3IN)-(c_TMAP2IN))=0,(c_TMAP2OUT)+QUOTIENT(((c_TMAP3OUT)-(c_TMAP2OUT)),2),QUOTIENT((((A177)-(c_TMAP2IN))*((c_TMAP3OUT)-(c_TMAP2OUT))+IF(((c_TMAP3OUT)-(c_TMAP2OUT))&gt;=0,1,-1)*QUOTIENT(((c_TMAP3IN)-(c_TMAP2IN)),2)),((c_TMAP3IN)-(c_TMAP2IN)))+(c_TMAP2OUT)+IF(((c_TMAP3OUT)-(c_TMAP2OUT))&gt;=0,IF(IF(o_WRAP=1,MOD(((c_TMAP3IN)-(c_TMAP2IN))*(((A177)-(c_TMAP2IN))*((c_TMAP3OUT)-(c_TMAP2OUT))+IF(((c_TMAP3OUT)-(c_TMAP2OUT))&gt;=0,1,-1)*QUOTIENT(((c_TMAP3IN)-(c_TMAP2IN)),2))+2147483648,4294967296)-2147483648,((c_TMAP3IN)-(c_TMAP2IN))*(((A177)-(c_TMAP2IN))*((c_TMAP3OUT)-(c_TMAP2OUT))+IF(((c_TMAP3OUT)-(c_TMAP2OUT))&gt;=0,1,-1)*QUOTIENT(((c_TMAP3IN)-(c_TMAP2IN)),2)))&lt;0,-1,0),IF(IF(o_WRAP=1,MOD(((c_TMAP3IN)-(c_TMAP2IN))*(((A177)-(c_TMAP2IN))*((c_TMAP3OUT)-(c_TMAP2OUT))+IF(((c_TMAP3OUT)-(c_TMAP2OUT))&gt;=0,1,-1)*QUOTIENT(((c_TMAP3IN)-(c_TMAP2IN)),2))+2147483648,4294967296)-2147483648,((c_TMAP3IN)-(c_TMAP2IN))*(((A177)-(c_TMAP2IN))*((c_TMAP3OUT)-(c_TMAP2OUT))+IF(((c_TMAP3OUT)-(c_TMAP2OUT))&gt;=0,1,-1)*QUOTIENT(((c_TMAP3IN)-(c_TMAP2IN)),2)))&gt;=0,1,0)))</f>
        <v>75</v>
      </c>
      <c r="G177" s="7" t="n">
        <f aca="false">IF(((1000)-(c_TMAP3IN))=0,(c_TMAP3OUT)+QUOTIENT(((1000)-(c_TMAP3OUT)),2),QUOTIENT((((A177)-(c_TMAP3IN))*((1000)-(c_TMAP3OUT))+IF(((1000)-(c_TMAP3OUT))&gt;=0,1,-1)*QUOTIENT(((1000)-(c_TMAP3IN)),2)),((1000)-(c_TMAP3IN)))+(c_TMAP3OUT)+IF(((1000)-(c_TMAP3OUT))&gt;=0,IF(IF(o_WRAP=1,MOD(((1000)-(c_TMAP3IN))*(((A177)-(c_TMAP3IN))*((1000)-(c_TMAP3OUT))+IF(((1000)-(c_TMAP3OUT))&gt;=0,1,-1)*QUOTIENT(((1000)-(c_TMAP3IN)),2))+2147483648,4294967296)-2147483648,((1000)-(c_TMAP3IN))*(((A177)-(c_TMAP3IN))*((1000)-(c_TMAP3OUT))+IF(((1000)-(c_TMAP3OUT))&gt;=0,1,-1)*QUOTIENT(((1000)-(c_TMAP3IN)),2)))&lt;0,-1,0),IF(IF(o_WRAP=1,MOD(((1000)-(c_TMAP3IN))*(((A177)-(c_TMAP3IN))*((1000)-(c_TMAP3OUT))+IF(((1000)-(c_TMAP3OUT))&gt;=0,1,-1)*QUOTIENT(((1000)-(c_TMAP3IN)),2))+2147483648,4294967296)-2147483648,((1000)-(c_TMAP3IN))*(((A177)-(c_TMAP3IN))*((1000)-(c_TMAP3OUT))+IF(((1000)-(c_TMAP3OUT))&gt;=0,1,-1)*QUOTIENT(((1000)-(c_TMAP3IN)),2)))&gt;=0,1,0)))</f>
        <v>-19</v>
      </c>
      <c r="H177" s="7" t="str">
        <f aca="false">IF(A177&gt;=c_TFWD,IF(AND(A177&gt;=c_TMAP3IN,c_TMAP3IN&lt;1000),"Seg4 map3-100%",IF(AND(A177&gt;=c_TMAP2IN,c_TMAP3IN&gt;c_TMAP2IN),"Seg3 map2-map3",IF(AND(A177&gt;=c_TMAP1IN,c_TMAP2IN&gt;c_TMAP1IN),"Seg2 map1-map2","Seg1 TFWD-map1"))),IF(AND(A177=0,c_TCREEP&gt;0),"Creep",IF(AND(A177&lt;=c_TRNGMIN,A177&gt;=c_TRNGMAX,c_TRNGMIN-c_TRNGMAX&lt;&gt;0),"Regen ramp","Coast (0)")))</f>
        <v>Seg2 map1-map2</v>
      </c>
      <c r="I177" s="7" t="n">
        <f aca="false">IF(A177&gt;=c_TFWD,IF(AND(A177&gt;=c_TMAP3IN,c_TMAP3IN&lt;1000),G177,IF(AND(A177&gt;=c_TMAP2IN,c_TMAP3IN&gt;c_TMAP2IN),F177,IF(AND(A177&gt;=c_TMAP1IN,c_TMAP2IN&gt;c_TMAP1IN),E177,D177))),C177)</f>
        <v>99</v>
      </c>
      <c r="J177" s="7" t="str">
        <f aca="false">IF(I177&lt;-1090,"TOO LOW",IF(I177&gt;1090,"TOO HIGH",""))</f>
        <v/>
      </c>
      <c r="K177" s="15" t="n">
        <f aca="false">IF(J177&lt;&gt;"",0,IF(I177&gt;979,1000,I177))</f>
        <v>99</v>
      </c>
      <c r="L177" s="7" t="n">
        <f aca="false">K177/10</f>
        <v>9.9</v>
      </c>
    </row>
    <row r="178" customFormat="false" ht="15" hidden="false" customHeight="false" outlineLevel="0" collapsed="false">
      <c r="A178" s="7" t="n">
        <v>173</v>
      </c>
      <c r="B178" s="7" t="n">
        <f aca="false">A178/10</f>
        <v>17.3</v>
      </c>
      <c r="C178" s="7" t="n">
        <f aca="false">IF(AND(A178=0,c_TCREEP&gt;0),10*c_TCREEP,IF(AND(A178&lt;=c_TRNGMIN,A178&gt;=c_TRNGMAX,c_TRNGMIN-c_TRNGMAX&lt;&gt;0),-10*c_TMINRN+QUOTIENT((c_TMAXRN-c_TMINRN)*(100-QUOTIENT((A178-c_TRNGMAX)*100,c_TRNGMIN-c_TRNGMAX)),-10),0))</f>
        <v>0</v>
      </c>
      <c r="D178" s="7" t="n">
        <f aca="false">IF(((c_TMAP1IN)-(c_TFWD))=0,(0)+QUOTIENT(((c_TMAP1OUT)-(0)),2),QUOTIENT((((A178)-(c_TFWD))*((c_TMAP1OUT)-(0))+IF(((c_TMAP1OUT)-(0))&gt;=0,1,-1)*QUOTIENT(((c_TMAP1IN)-(c_TFWD)),2)),((c_TMAP1IN)-(c_TFWD)))+(0)+IF(((c_TMAP1OUT)-(0))&gt;=0,IF(IF(o_WRAP=1,MOD(((c_TMAP1IN)-(c_TFWD))*(((A178)-(c_TFWD))*((c_TMAP1OUT)-(0))+IF(((c_TMAP1OUT)-(0))&gt;=0,1,-1)*QUOTIENT(((c_TMAP1IN)-(c_TFWD)),2))+2147483648,4294967296)-2147483648,((c_TMAP1IN)-(c_TFWD))*(((A178)-(c_TFWD))*((c_TMAP1OUT)-(0))+IF(((c_TMAP1OUT)-(0))&gt;=0,1,-1)*QUOTIENT(((c_TMAP1IN)-(c_TFWD)),2)))&lt;0,-1,0),IF(IF(o_WRAP=1,MOD(((c_TMAP1IN)-(c_TFWD))*(((A178)-(c_TFWD))*((c_TMAP1OUT)-(0))+IF(((c_TMAP1OUT)-(0))&gt;=0,1,-1)*QUOTIENT(((c_TMAP1IN)-(c_TFWD)),2))+2147483648,4294967296)-2147483648,((c_TMAP1IN)-(c_TFWD))*(((A178)-(c_TFWD))*((c_TMAP1OUT)-(0))+IF(((c_TMAP1OUT)-(0))&gt;=0,1,-1)*QUOTIENT(((c_TMAP1IN)-(c_TFWD)),2)))&gt;=0,1,0)))</f>
        <v>127</v>
      </c>
      <c r="E178" s="7" t="n">
        <f aca="false">IF(((c_TMAP2IN)-(c_TMAP1IN))=0,(c_TMAP1OUT)+QUOTIENT(((c_TMAP2OUT)-(c_TMAP1OUT)),2),QUOTIENT((((A178)-(c_TMAP1IN))*((c_TMAP2OUT)-(c_TMAP1OUT))+IF(((c_TMAP2OUT)-(c_TMAP1OUT))&gt;=0,1,-1)*QUOTIENT(((c_TMAP2IN)-(c_TMAP1IN)),2)),((c_TMAP2IN)-(c_TMAP1IN)))+(c_TMAP1OUT)+IF(((c_TMAP2OUT)-(c_TMAP1OUT))&gt;=0,IF(IF(o_WRAP=1,MOD(((c_TMAP2IN)-(c_TMAP1IN))*(((A178)-(c_TMAP1IN))*((c_TMAP2OUT)-(c_TMAP1OUT))+IF(((c_TMAP2OUT)-(c_TMAP1OUT))&gt;=0,1,-1)*QUOTIENT(((c_TMAP2IN)-(c_TMAP1IN)),2))+2147483648,4294967296)-2147483648,((c_TMAP2IN)-(c_TMAP1IN))*(((A178)-(c_TMAP1IN))*((c_TMAP2OUT)-(c_TMAP1OUT))+IF(((c_TMAP2OUT)-(c_TMAP1OUT))&gt;=0,1,-1)*QUOTIENT(((c_TMAP2IN)-(c_TMAP1IN)),2)))&lt;0,-1,0),IF(IF(o_WRAP=1,MOD(((c_TMAP2IN)-(c_TMAP1IN))*(((A178)-(c_TMAP1IN))*((c_TMAP2OUT)-(c_TMAP1OUT))+IF(((c_TMAP2OUT)-(c_TMAP1OUT))&gt;=0,1,-1)*QUOTIENT(((c_TMAP2IN)-(c_TMAP1IN)),2))+2147483648,4294967296)-2147483648,((c_TMAP2IN)-(c_TMAP1IN))*(((A178)-(c_TMAP1IN))*((c_TMAP2OUT)-(c_TMAP1OUT))+IF(((c_TMAP2OUT)-(c_TMAP1OUT))&gt;=0,1,-1)*QUOTIENT(((c_TMAP2IN)-(c_TMAP1IN)),2)))&gt;=0,1,0)))</f>
        <v>99</v>
      </c>
      <c r="F178" s="7" t="n">
        <f aca="false">IF(((c_TMAP3IN)-(c_TMAP2IN))=0,(c_TMAP2OUT)+QUOTIENT(((c_TMAP3OUT)-(c_TMAP2OUT)),2),QUOTIENT((((A178)-(c_TMAP2IN))*((c_TMAP3OUT)-(c_TMAP2OUT))+IF(((c_TMAP3OUT)-(c_TMAP2OUT))&gt;=0,1,-1)*QUOTIENT(((c_TMAP3IN)-(c_TMAP2IN)),2)),((c_TMAP3IN)-(c_TMAP2IN)))+(c_TMAP2OUT)+IF(((c_TMAP3OUT)-(c_TMAP2OUT))&gt;=0,IF(IF(o_WRAP=1,MOD(((c_TMAP3IN)-(c_TMAP2IN))*(((A178)-(c_TMAP2IN))*((c_TMAP3OUT)-(c_TMAP2OUT))+IF(((c_TMAP3OUT)-(c_TMAP2OUT))&gt;=0,1,-1)*QUOTIENT(((c_TMAP3IN)-(c_TMAP2IN)),2))+2147483648,4294967296)-2147483648,((c_TMAP3IN)-(c_TMAP2IN))*(((A178)-(c_TMAP2IN))*((c_TMAP3OUT)-(c_TMAP2OUT))+IF(((c_TMAP3OUT)-(c_TMAP2OUT))&gt;=0,1,-1)*QUOTIENT(((c_TMAP3IN)-(c_TMAP2IN)),2)))&lt;0,-1,0),IF(IF(o_WRAP=1,MOD(((c_TMAP3IN)-(c_TMAP2IN))*(((A178)-(c_TMAP2IN))*((c_TMAP3OUT)-(c_TMAP2OUT))+IF(((c_TMAP3OUT)-(c_TMAP2OUT))&gt;=0,1,-1)*QUOTIENT(((c_TMAP3IN)-(c_TMAP2IN)),2))+2147483648,4294967296)-2147483648,((c_TMAP3IN)-(c_TMAP2IN))*(((A178)-(c_TMAP2IN))*((c_TMAP3OUT)-(c_TMAP2OUT))+IF(((c_TMAP3OUT)-(c_TMAP2OUT))&gt;=0,1,-1)*QUOTIENT(((c_TMAP3IN)-(c_TMAP2IN)),2)))&gt;=0,1,0)))</f>
        <v>76</v>
      </c>
      <c r="G178" s="7" t="n">
        <f aca="false">IF(((1000)-(c_TMAP3IN))=0,(c_TMAP3OUT)+QUOTIENT(((1000)-(c_TMAP3OUT)),2),QUOTIENT((((A178)-(c_TMAP3IN))*((1000)-(c_TMAP3OUT))+IF(((1000)-(c_TMAP3OUT))&gt;=0,1,-1)*QUOTIENT(((1000)-(c_TMAP3IN)),2)),((1000)-(c_TMAP3IN)))+(c_TMAP3OUT)+IF(((1000)-(c_TMAP3OUT))&gt;=0,IF(IF(o_WRAP=1,MOD(((1000)-(c_TMAP3IN))*(((A178)-(c_TMAP3IN))*((1000)-(c_TMAP3OUT))+IF(((1000)-(c_TMAP3OUT))&gt;=0,1,-1)*QUOTIENT(((1000)-(c_TMAP3IN)),2))+2147483648,4294967296)-2147483648,((1000)-(c_TMAP3IN))*(((A178)-(c_TMAP3IN))*((1000)-(c_TMAP3OUT))+IF(((1000)-(c_TMAP3OUT))&gt;=0,1,-1)*QUOTIENT(((1000)-(c_TMAP3IN)),2)))&lt;0,-1,0),IF(IF(o_WRAP=1,MOD(((1000)-(c_TMAP3IN))*(((A178)-(c_TMAP3IN))*((1000)-(c_TMAP3OUT))+IF(((1000)-(c_TMAP3OUT))&gt;=0,1,-1)*QUOTIENT(((1000)-(c_TMAP3IN)),2))+2147483648,4294967296)-2147483648,((1000)-(c_TMAP3IN))*(((A178)-(c_TMAP3IN))*((1000)-(c_TMAP3OUT))+IF(((1000)-(c_TMAP3OUT))&gt;=0,1,-1)*QUOTIENT(((1000)-(c_TMAP3IN)),2)))&gt;=0,1,0)))</f>
        <v>-18</v>
      </c>
      <c r="H178" s="7" t="str">
        <f aca="false">IF(A178&gt;=c_TFWD,IF(AND(A178&gt;=c_TMAP3IN,c_TMAP3IN&lt;1000),"Seg4 map3-100%",IF(AND(A178&gt;=c_TMAP2IN,c_TMAP3IN&gt;c_TMAP2IN),"Seg3 map2-map3",IF(AND(A178&gt;=c_TMAP1IN,c_TMAP2IN&gt;c_TMAP1IN),"Seg2 map1-map2","Seg1 TFWD-map1"))),IF(AND(A178=0,c_TCREEP&gt;0),"Creep",IF(AND(A178&lt;=c_TRNGMIN,A178&gt;=c_TRNGMAX,c_TRNGMIN-c_TRNGMAX&lt;&gt;0),"Regen ramp","Coast (0)")))</f>
        <v>Seg2 map1-map2</v>
      </c>
      <c r="I178" s="7" t="n">
        <f aca="false">IF(A178&gt;=c_TFWD,IF(AND(A178&gt;=c_TMAP3IN,c_TMAP3IN&lt;1000),G178,IF(AND(A178&gt;=c_TMAP2IN,c_TMAP3IN&gt;c_TMAP2IN),F178,IF(AND(A178&gt;=c_TMAP1IN,c_TMAP2IN&gt;c_TMAP1IN),E178,D178))),C178)</f>
        <v>99</v>
      </c>
      <c r="J178" s="7" t="str">
        <f aca="false">IF(I178&lt;-1090,"TOO LOW",IF(I178&gt;1090,"TOO HIGH",""))</f>
        <v/>
      </c>
      <c r="K178" s="15" t="n">
        <f aca="false">IF(J178&lt;&gt;"",0,IF(I178&gt;979,1000,I178))</f>
        <v>99</v>
      </c>
      <c r="L178" s="7" t="n">
        <f aca="false">K178/10</f>
        <v>9.9</v>
      </c>
    </row>
    <row r="179" customFormat="false" ht="15" hidden="false" customHeight="false" outlineLevel="0" collapsed="false">
      <c r="A179" s="7" t="n">
        <v>174</v>
      </c>
      <c r="B179" s="7" t="n">
        <f aca="false">A179/10</f>
        <v>17.4</v>
      </c>
      <c r="C179" s="7" t="n">
        <f aca="false">IF(AND(A179=0,c_TCREEP&gt;0),10*c_TCREEP,IF(AND(A179&lt;=c_TRNGMIN,A179&gt;=c_TRNGMAX,c_TRNGMIN-c_TRNGMAX&lt;&gt;0),-10*c_TMINRN+QUOTIENT((c_TMAXRN-c_TMINRN)*(100-QUOTIENT((A179-c_TRNGMAX)*100,c_TRNGMIN-c_TRNGMAX)),-10),0))</f>
        <v>0</v>
      </c>
      <c r="D179" s="7" t="n">
        <f aca="false">IF(((c_TMAP1IN)-(c_TFWD))=0,(0)+QUOTIENT(((c_TMAP1OUT)-(0)),2),QUOTIENT((((A179)-(c_TFWD))*((c_TMAP1OUT)-(0))+IF(((c_TMAP1OUT)-(0))&gt;=0,1,-1)*QUOTIENT(((c_TMAP1IN)-(c_TFWD)),2)),((c_TMAP1IN)-(c_TFWD)))+(0)+IF(((c_TMAP1OUT)-(0))&gt;=0,IF(IF(o_WRAP=1,MOD(((c_TMAP1IN)-(c_TFWD))*(((A179)-(c_TFWD))*((c_TMAP1OUT)-(0))+IF(((c_TMAP1OUT)-(0))&gt;=0,1,-1)*QUOTIENT(((c_TMAP1IN)-(c_TFWD)),2))+2147483648,4294967296)-2147483648,((c_TMAP1IN)-(c_TFWD))*(((A179)-(c_TFWD))*((c_TMAP1OUT)-(0))+IF(((c_TMAP1OUT)-(0))&gt;=0,1,-1)*QUOTIENT(((c_TMAP1IN)-(c_TFWD)),2)))&lt;0,-1,0),IF(IF(o_WRAP=1,MOD(((c_TMAP1IN)-(c_TFWD))*(((A179)-(c_TFWD))*((c_TMAP1OUT)-(0))+IF(((c_TMAP1OUT)-(0))&gt;=0,1,-1)*QUOTIENT(((c_TMAP1IN)-(c_TFWD)),2))+2147483648,4294967296)-2147483648,((c_TMAP1IN)-(c_TFWD))*(((A179)-(c_TFWD))*((c_TMAP1OUT)-(0))+IF(((c_TMAP1OUT)-(0))&gt;=0,1,-1)*QUOTIENT(((c_TMAP1IN)-(c_TFWD)),2)))&gt;=0,1,0)))</f>
        <v>128</v>
      </c>
      <c r="E179" s="7" t="n">
        <f aca="false">IF(((c_TMAP2IN)-(c_TMAP1IN))=0,(c_TMAP1OUT)+QUOTIENT(((c_TMAP2OUT)-(c_TMAP1OUT)),2),QUOTIENT((((A179)-(c_TMAP1IN))*((c_TMAP2OUT)-(c_TMAP1OUT))+IF(((c_TMAP2OUT)-(c_TMAP1OUT))&gt;=0,1,-1)*QUOTIENT(((c_TMAP2IN)-(c_TMAP1IN)),2)),((c_TMAP2IN)-(c_TMAP1IN)))+(c_TMAP1OUT)+IF(((c_TMAP2OUT)-(c_TMAP1OUT))&gt;=0,IF(IF(o_WRAP=1,MOD(((c_TMAP2IN)-(c_TMAP1IN))*(((A179)-(c_TMAP1IN))*((c_TMAP2OUT)-(c_TMAP1OUT))+IF(((c_TMAP2OUT)-(c_TMAP1OUT))&gt;=0,1,-1)*QUOTIENT(((c_TMAP2IN)-(c_TMAP1IN)),2))+2147483648,4294967296)-2147483648,((c_TMAP2IN)-(c_TMAP1IN))*(((A179)-(c_TMAP1IN))*((c_TMAP2OUT)-(c_TMAP1OUT))+IF(((c_TMAP2OUT)-(c_TMAP1OUT))&gt;=0,1,-1)*QUOTIENT(((c_TMAP2IN)-(c_TMAP1IN)),2)))&lt;0,-1,0),IF(IF(o_WRAP=1,MOD(((c_TMAP2IN)-(c_TMAP1IN))*(((A179)-(c_TMAP1IN))*((c_TMAP2OUT)-(c_TMAP1OUT))+IF(((c_TMAP2OUT)-(c_TMAP1OUT))&gt;=0,1,-1)*QUOTIENT(((c_TMAP2IN)-(c_TMAP1IN)),2))+2147483648,4294967296)-2147483648,((c_TMAP2IN)-(c_TMAP1IN))*(((A179)-(c_TMAP1IN))*((c_TMAP2OUT)-(c_TMAP1OUT))+IF(((c_TMAP2OUT)-(c_TMAP1OUT))&gt;=0,1,-1)*QUOTIENT(((c_TMAP2IN)-(c_TMAP1IN)),2)))&gt;=0,1,0)))</f>
        <v>100</v>
      </c>
      <c r="F179" s="7" t="n">
        <f aca="false">IF(((c_TMAP3IN)-(c_TMAP2IN))=0,(c_TMAP2OUT)+QUOTIENT(((c_TMAP3OUT)-(c_TMAP2OUT)),2),QUOTIENT((((A179)-(c_TMAP2IN))*((c_TMAP3OUT)-(c_TMAP2OUT))+IF(((c_TMAP3OUT)-(c_TMAP2OUT))&gt;=0,1,-1)*QUOTIENT(((c_TMAP3IN)-(c_TMAP2IN)),2)),((c_TMAP3IN)-(c_TMAP2IN)))+(c_TMAP2OUT)+IF(((c_TMAP3OUT)-(c_TMAP2OUT))&gt;=0,IF(IF(o_WRAP=1,MOD(((c_TMAP3IN)-(c_TMAP2IN))*(((A179)-(c_TMAP2IN))*((c_TMAP3OUT)-(c_TMAP2OUT))+IF(((c_TMAP3OUT)-(c_TMAP2OUT))&gt;=0,1,-1)*QUOTIENT(((c_TMAP3IN)-(c_TMAP2IN)),2))+2147483648,4294967296)-2147483648,((c_TMAP3IN)-(c_TMAP2IN))*(((A179)-(c_TMAP2IN))*((c_TMAP3OUT)-(c_TMAP2OUT))+IF(((c_TMAP3OUT)-(c_TMAP2OUT))&gt;=0,1,-1)*QUOTIENT(((c_TMAP3IN)-(c_TMAP2IN)),2)))&lt;0,-1,0),IF(IF(o_WRAP=1,MOD(((c_TMAP3IN)-(c_TMAP2IN))*(((A179)-(c_TMAP2IN))*((c_TMAP3OUT)-(c_TMAP2OUT))+IF(((c_TMAP3OUT)-(c_TMAP2OUT))&gt;=0,1,-1)*QUOTIENT(((c_TMAP3IN)-(c_TMAP2IN)),2))+2147483648,4294967296)-2147483648,((c_TMAP3IN)-(c_TMAP2IN))*(((A179)-(c_TMAP2IN))*((c_TMAP3OUT)-(c_TMAP2OUT))+IF(((c_TMAP3OUT)-(c_TMAP2OUT))&gt;=0,1,-1)*QUOTIENT(((c_TMAP3IN)-(c_TMAP2IN)),2)))&gt;=0,1,0)))</f>
        <v>77</v>
      </c>
      <c r="G179" s="7" t="n">
        <f aca="false">IF(((1000)-(c_TMAP3IN))=0,(c_TMAP3OUT)+QUOTIENT(((1000)-(c_TMAP3OUT)),2),QUOTIENT((((A179)-(c_TMAP3IN))*((1000)-(c_TMAP3OUT))+IF(((1000)-(c_TMAP3OUT))&gt;=0,1,-1)*QUOTIENT(((1000)-(c_TMAP3IN)),2)),((1000)-(c_TMAP3IN)))+(c_TMAP3OUT)+IF(((1000)-(c_TMAP3OUT))&gt;=0,IF(IF(o_WRAP=1,MOD(((1000)-(c_TMAP3IN))*(((A179)-(c_TMAP3IN))*((1000)-(c_TMAP3OUT))+IF(((1000)-(c_TMAP3OUT))&gt;=0,1,-1)*QUOTIENT(((1000)-(c_TMAP3IN)),2))+2147483648,4294967296)-2147483648,((1000)-(c_TMAP3IN))*(((A179)-(c_TMAP3IN))*((1000)-(c_TMAP3OUT))+IF(((1000)-(c_TMAP3OUT))&gt;=0,1,-1)*QUOTIENT(((1000)-(c_TMAP3IN)),2)))&lt;0,-1,0),IF(IF(o_WRAP=1,MOD(((1000)-(c_TMAP3IN))*(((A179)-(c_TMAP3IN))*((1000)-(c_TMAP3OUT))+IF(((1000)-(c_TMAP3OUT))&gt;=0,1,-1)*QUOTIENT(((1000)-(c_TMAP3IN)),2))+2147483648,4294967296)-2147483648,((1000)-(c_TMAP3IN))*(((A179)-(c_TMAP3IN))*((1000)-(c_TMAP3OUT))+IF(((1000)-(c_TMAP3OUT))&gt;=0,1,-1)*QUOTIENT(((1000)-(c_TMAP3IN)),2)))&gt;=0,1,0)))</f>
        <v>-17</v>
      </c>
      <c r="H179" s="7" t="str">
        <f aca="false">IF(A179&gt;=c_TFWD,IF(AND(A179&gt;=c_TMAP3IN,c_TMAP3IN&lt;1000),"Seg4 map3-100%",IF(AND(A179&gt;=c_TMAP2IN,c_TMAP3IN&gt;c_TMAP2IN),"Seg3 map2-map3",IF(AND(A179&gt;=c_TMAP1IN,c_TMAP2IN&gt;c_TMAP1IN),"Seg2 map1-map2","Seg1 TFWD-map1"))),IF(AND(A179=0,c_TCREEP&gt;0),"Creep",IF(AND(A179&lt;=c_TRNGMIN,A179&gt;=c_TRNGMAX,c_TRNGMIN-c_TRNGMAX&lt;&gt;0),"Regen ramp","Coast (0)")))</f>
        <v>Seg2 map1-map2</v>
      </c>
      <c r="I179" s="7" t="n">
        <f aca="false">IF(A179&gt;=c_TFWD,IF(AND(A179&gt;=c_TMAP3IN,c_TMAP3IN&lt;1000),G179,IF(AND(A179&gt;=c_TMAP2IN,c_TMAP3IN&gt;c_TMAP2IN),F179,IF(AND(A179&gt;=c_TMAP1IN,c_TMAP2IN&gt;c_TMAP1IN),E179,D179))),C179)</f>
        <v>100</v>
      </c>
      <c r="J179" s="7" t="str">
        <f aca="false">IF(I179&lt;-1090,"TOO LOW",IF(I179&gt;1090,"TOO HIGH",""))</f>
        <v/>
      </c>
      <c r="K179" s="15" t="n">
        <f aca="false">IF(J179&lt;&gt;"",0,IF(I179&gt;979,1000,I179))</f>
        <v>100</v>
      </c>
      <c r="L179" s="7" t="n">
        <f aca="false">K179/10</f>
        <v>10</v>
      </c>
    </row>
    <row r="180" customFormat="false" ht="15" hidden="false" customHeight="false" outlineLevel="0" collapsed="false">
      <c r="A180" s="7" t="n">
        <v>175</v>
      </c>
      <c r="B180" s="7" t="n">
        <f aca="false">A180/10</f>
        <v>17.5</v>
      </c>
      <c r="C180" s="7" t="n">
        <f aca="false">IF(AND(A180=0,c_TCREEP&gt;0),10*c_TCREEP,IF(AND(A180&lt;=c_TRNGMIN,A180&gt;=c_TRNGMAX,c_TRNGMIN-c_TRNGMAX&lt;&gt;0),-10*c_TMINRN+QUOTIENT((c_TMAXRN-c_TMINRN)*(100-QUOTIENT((A180-c_TRNGMAX)*100,c_TRNGMIN-c_TRNGMAX)),-10),0))</f>
        <v>0</v>
      </c>
      <c r="D180" s="7" t="n">
        <f aca="false">IF(((c_TMAP1IN)-(c_TFWD))=0,(0)+QUOTIENT(((c_TMAP1OUT)-(0)),2),QUOTIENT((((A180)-(c_TFWD))*((c_TMAP1OUT)-(0))+IF(((c_TMAP1OUT)-(0))&gt;=0,1,-1)*QUOTIENT(((c_TMAP1IN)-(c_TFWD)),2)),((c_TMAP1IN)-(c_TFWD)))+(0)+IF(((c_TMAP1OUT)-(0))&gt;=0,IF(IF(o_WRAP=1,MOD(((c_TMAP1IN)-(c_TFWD))*(((A180)-(c_TFWD))*((c_TMAP1OUT)-(0))+IF(((c_TMAP1OUT)-(0))&gt;=0,1,-1)*QUOTIENT(((c_TMAP1IN)-(c_TFWD)),2))+2147483648,4294967296)-2147483648,((c_TMAP1IN)-(c_TFWD))*(((A180)-(c_TFWD))*((c_TMAP1OUT)-(0))+IF(((c_TMAP1OUT)-(0))&gt;=0,1,-1)*QUOTIENT(((c_TMAP1IN)-(c_TFWD)),2)))&lt;0,-1,0),IF(IF(o_WRAP=1,MOD(((c_TMAP1IN)-(c_TFWD))*(((A180)-(c_TFWD))*((c_TMAP1OUT)-(0))+IF(((c_TMAP1OUT)-(0))&gt;=0,1,-1)*QUOTIENT(((c_TMAP1IN)-(c_TFWD)),2))+2147483648,4294967296)-2147483648,((c_TMAP1IN)-(c_TFWD))*(((A180)-(c_TFWD))*((c_TMAP1OUT)-(0))+IF(((c_TMAP1OUT)-(0))&gt;=0,1,-1)*QUOTIENT(((c_TMAP1IN)-(c_TFWD)),2)))&gt;=0,1,0)))</f>
        <v>128</v>
      </c>
      <c r="E180" s="7" t="n">
        <f aca="false">IF(((c_TMAP2IN)-(c_TMAP1IN))=0,(c_TMAP1OUT)+QUOTIENT(((c_TMAP2OUT)-(c_TMAP1OUT)),2),QUOTIENT((((A180)-(c_TMAP1IN))*((c_TMAP2OUT)-(c_TMAP1OUT))+IF(((c_TMAP2OUT)-(c_TMAP1OUT))&gt;=0,1,-1)*QUOTIENT(((c_TMAP2IN)-(c_TMAP1IN)),2)),((c_TMAP2IN)-(c_TMAP1IN)))+(c_TMAP1OUT)+IF(((c_TMAP2OUT)-(c_TMAP1OUT))&gt;=0,IF(IF(o_WRAP=1,MOD(((c_TMAP2IN)-(c_TMAP1IN))*(((A180)-(c_TMAP1IN))*((c_TMAP2OUT)-(c_TMAP1OUT))+IF(((c_TMAP2OUT)-(c_TMAP1OUT))&gt;=0,1,-1)*QUOTIENT(((c_TMAP2IN)-(c_TMAP1IN)),2))+2147483648,4294967296)-2147483648,((c_TMAP2IN)-(c_TMAP1IN))*(((A180)-(c_TMAP1IN))*((c_TMAP2OUT)-(c_TMAP1OUT))+IF(((c_TMAP2OUT)-(c_TMAP1OUT))&gt;=0,1,-1)*QUOTIENT(((c_TMAP2IN)-(c_TMAP1IN)),2)))&lt;0,-1,0),IF(IF(o_WRAP=1,MOD(((c_TMAP2IN)-(c_TMAP1IN))*(((A180)-(c_TMAP1IN))*((c_TMAP2OUT)-(c_TMAP1OUT))+IF(((c_TMAP2OUT)-(c_TMAP1OUT))&gt;=0,1,-1)*QUOTIENT(((c_TMAP2IN)-(c_TMAP1IN)),2))+2147483648,4294967296)-2147483648,((c_TMAP2IN)-(c_TMAP1IN))*(((A180)-(c_TMAP1IN))*((c_TMAP2OUT)-(c_TMAP1OUT))+IF(((c_TMAP2OUT)-(c_TMAP1OUT))&gt;=0,1,-1)*QUOTIENT(((c_TMAP2IN)-(c_TMAP1IN)),2)))&gt;=0,1,0)))</f>
        <v>100</v>
      </c>
      <c r="F180" s="7" t="n">
        <f aca="false">IF(((c_TMAP3IN)-(c_TMAP2IN))=0,(c_TMAP2OUT)+QUOTIENT(((c_TMAP3OUT)-(c_TMAP2OUT)),2),QUOTIENT((((A180)-(c_TMAP2IN))*((c_TMAP3OUT)-(c_TMAP2OUT))+IF(((c_TMAP3OUT)-(c_TMAP2OUT))&gt;=0,1,-1)*QUOTIENT(((c_TMAP3IN)-(c_TMAP2IN)),2)),((c_TMAP3IN)-(c_TMAP2IN)))+(c_TMAP2OUT)+IF(((c_TMAP3OUT)-(c_TMAP2OUT))&gt;=0,IF(IF(o_WRAP=1,MOD(((c_TMAP3IN)-(c_TMAP2IN))*(((A180)-(c_TMAP2IN))*((c_TMAP3OUT)-(c_TMAP2OUT))+IF(((c_TMAP3OUT)-(c_TMAP2OUT))&gt;=0,1,-1)*QUOTIENT(((c_TMAP3IN)-(c_TMAP2IN)),2))+2147483648,4294967296)-2147483648,((c_TMAP3IN)-(c_TMAP2IN))*(((A180)-(c_TMAP2IN))*((c_TMAP3OUT)-(c_TMAP2OUT))+IF(((c_TMAP3OUT)-(c_TMAP2OUT))&gt;=0,1,-1)*QUOTIENT(((c_TMAP3IN)-(c_TMAP2IN)),2)))&lt;0,-1,0),IF(IF(o_WRAP=1,MOD(((c_TMAP3IN)-(c_TMAP2IN))*(((A180)-(c_TMAP2IN))*((c_TMAP3OUT)-(c_TMAP2OUT))+IF(((c_TMAP3OUT)-(c_TMAP2OUT))&gt;=0,1,-1)*QUOTIENT(((c_TMAP3IN)-(c_TMAP2IN)),2))+2147483648,4294967296)-2147483648,((c_TMAP3IN)-(c_TMAP2IN))*(((A180)-(c_TMAP2IN))*((c_TMAP3OUT)-(c_TMAP2OUT))+IF(((c_TMAP3OUT)-(c_TMAP2OUT))&gt;=0,1,-1)*QUOTIENT(((c_TMAP3IN)-(c_TMAP2IN)),2)))&gt;=0,1,0)))</f>
        <v>77</v>
      </c>
      <c r="G180" s="7" t="n">
        <f aca="false">IF(((1000)-(c_TMAP3IN))=0,(c_TMAP3OUT)+QUOTIENT(((1000)-(c_TMAP3OUT)),2),QUOTIENT((((A180)-(c_TMAP3IN))*((1000)-(c_TMAP3OUT))+IF(((1000)-(c_TMAP3OUT))&gt;=0,1,-1)*QUOTIENT(((1000)-(c_TMAP3IN)),2)),((1000)-(c_TMAP3IN)))+(c_TMAP3OUT)+IF(((1000)-(c_TMAP3OUT))&gt;=0,IF(IF(o_WRAP=1,MOD(((1000)-(c_TMAP3IN))*(((A180)-(c_TMAP3IN))*((1000)-(c_TMAP3OUT))+IF(((1000)-(c_TMAP3OUT))&gt;=0,1,-1)*QUOTIENT(((1000)-(c_TMAP3IN)),2))+2147483648,4294967296)-2147483648,((1000)-(c_TMAP3IN))*(((A180)-(c_TMAP3IN))*((1000)-(c_TMAP3OUT))+IF(((1000)-(c_TMAP3OUT))&gt;=0,1,-1)*QUOTIENT(((1000)-(c_TMAP3IN)),2)))&lt;0,-1,0),IF(IF(o_WRAP=1,MOD(((1000)-(c_TMAP3IN))*(((A180)-(c_TMAP3IN))*((1000)-(c_TMAP3OUT))+IF(((1000)-(c_TMAP3OUT))&gt;=0,1,-1)*QUOTIENT(((1000)-(c_TMAP3IN)),2))+2147483648,4294967296)-2147483648,((1000)-(c_TMAP3IN))*(((A180)-(c_TMAP3IN))*((1000)-(c_TMAP3OUT))+IF(((1000)-(c_TMAP3OUT))&gt;=0,1,-1)*QUOTIENT(((1000)-(c_TMAP3IN)),2)))&gt;=0,1,0)))</f>
        <v>-15</v>
      </c>
      <c r="H180" s="7" t="str">
        <f aca="false">IF(A180&gt;=c_TFWD,IF(AND(A180&gt;=c_TMAP3IN,c_TMAP3IN&lt;1000),"Seg4 map3-100%",IF(AND(A180&gt;=c_TMAP2IN,c_TMAP3IN&gt;c_TMAP2IN),"Seg3 map2-map3",IF(AND(A180&gt;=c_TMAP1IN,c_TMAP2IN&gt;c_TMAP1IN),"Seg2 map1-map2","Seg1 TFWD-map1"))),IF(AND(A180=0,c_TCREEP&gt;0),"Creep",IF(AND(A180&lt;=c_TRNGMIN,A180&gt;=c_TRNGMAX,c_TRNGMIN-c_TRNGMAX&lt;&gt;0),"Regen ramp","Coast (0)")))</f>
        <v>Seg2 map1-map2</v>
      </c>
      <c r="I180" s="7" t="n">
        <f aca="false">IF(A180&gt;=c_TFWD,IF(AND(A180&gt;=c_TMAP3IN,c_TMAP3IN&lt;1000),G180,IF(AND(A180&gt;=c_TMAP2IN,c_TMAP3IN&gt;c_TMAP2IN),F180,IF(AND(A180&gt;=c_TMAP1IN,c_TMAP2IN&gt;c_TMAP1IN),E180,D180))),C180)</f>
        <v>100</v>
      </c>
      <c r="J180" s="7" t="str">
        <f aca="false">IF(I180&lt;-1090,"TOO LOW",IF(I180&gt;1090,"TOO HIGH",""))</f>
        <v/>
      </c>
      <c r="K180" s="15" t="n">
        <f aca="false">IF(J180&lt;&gt;"",0,IF(I180&gt;979,1000,I180))</f>
        <v>100</v>
      </c>
      <c r="L180" s="7" t="n">
        <f aca="false">K180/10</f>
        <v>10</v>
      </c>
    </row>
    <row r="181" customFormat="false" ht="15" hidden="false" customHeight="false" outlineLevel="0" collapsed="false">
      <c r="A181" s="7" t="n">
        <v>176</v>
      </c>
      <c r="B181" s="7" t="n">
        <f aca="false">A181/10</f>
        <v>17.6</v>
      </c>
      <c r="C181" s="7" t="n">
        <f aca="false">IF(AND(A181=0,c_TCREEP&gt;0),10*c_TCREEP,IF(AND(A181&lt;=c_TRNGMIN,A181&gt;=c_TRNGMAX,c_TRNGMIN-c_TRNGMAX&lt;&gt;0),-10*c_TMINRN+QUOTIENT((c_TMAXRN-c_TMINRN)*(100-QUOTIENT((A181-c_TRNGMAX)*100,c_TRNGMIN-c_TRNGMAX)),-10),0))</f>
        <v>0</v>
      </c>
      <c r="D181" s="7" t="n">
        <f aca="false">IF(((c_TMAP1IN)-(c_TFWD))=0,(0)+QUOTIENT(((c_TMAP1OUT)-(0)),2),QUOTIENT((((A181)-(c_TFWD))*((c_TMAP1OUT)-(0))+IF(((c_TMAP1OUT)-(0))&gt;=0,1,-1)*QUOTIENT(((c_TMAP1IN)-(c_TFWD)),2)),((c_TMAP1IN)-(c_TFWD)))+(0)+IF(((c_TMAP1OUT)-(0))&gt;=0,IF(IF(o_WRAP=1,MOD(((c_TMAP1IN)-(c_TFWD))*(((A181)-(c_TFWD))*((c_TMAP1OUT)-(0))+IF(((c_TMAP1OUT)-(0))&gt;=0,1,-1)*QUOTIENT(((c_TMAP1IN)-(c_TFWD)),2))+2147483648,4294967296)-2147483648,((c_TMAP1IN)-(c_TFWD))*(((A181)-(c_TFWD))*((c_TMAP1OUT)-(0))+IF(((c_TMAP1OUT)-(0))&gt;=0,1,-1)*QUOTIENT(((c_TMAP1IN)-(c_TFWD)),2)))&lt;0,-1,0),IF(IF(o_WRAP=1,MOD(((c_TMAP1IN)-(c_TFWD))*(((A181)-(c_TFWD))*((c_TMAP1OUT)-(0))+IF(((c_TMAP1OUT)-(0))&gt;=0,1,-1)*QUOTIENT(((c_TMAP1IN)-(c_TFWD)),2))+2147483648,4294967296)-2147483648,((c_TMAP1IN)-(c_TFWD))*(((A181)-(c_TFWD))*((c_TMAP1OUT)-(0))+IF(((c_TMAP1OUT)-(0))&gt;=0,1,-1)*QUOTIENT(((c_TMAP1IN)-(c_TFWD)),2)))&gt;=0,1,0)))</f>
        <v>129</v>
      </c>
      <c r="E181" s="7" t="n">
        <f aca="false">IF(((c_TMAP2IN)-(c_TMAP1IN))=0,(c_TMAP1OUT)+QUOTIENT(((c_TMAP2OUT)-(c_TMAP1OUT)),2),QUOTIENT((((A181)-(c_TMAP1IN))*((c_TMAP2OUT)-(c_TMAP1OUT))+IF(((c_TMAP2OUT)-(c_TMAP1OUT))&gt;=0,1,-1)*QUOTIENT(((c_TMAP2IN)-(c_TMAP1IN)),2)),((c_TMAP2IN)-(c_TMAP1IN)))+(c_TMAP1OUT)+IF(((c_TMAP2OUT)-(c_TMAP1OUT))&gt;=0,IF(IF(o_WRAP=1,MOD(((c_TMAP2IN)-(c_TMAP1IN))*(((A181)-(c_TMAP1IN))*((c_TMAP2OUT)-(c_TMAP1OUT))+IF(((c_TMAP2OUT)-(c_TMAP1OUT))&gt;=0,1,-1)*QUOTIENT(((c_TMAP2IN)-(c_TMAP1IN)),2))+2147483648,4294967296)-2147483648,((c_TMAP2IN)-(c_TMAP1IN))*(((A181)-(c_TMAP1IN))*((c_TMAP2OUT)-(c_TMAP1OUT))+IF(((c_TMAP2OUT)-(c_TMAP1OUT))&gt;=0,1,-1)*QUOTIENT(((c_TMAP2IN)-(c_TMAP1IN)),2)))&lt;0,-1,0),IF(IF(o_WRAP=1,MOD(((c_TMAP2IN)-(c_TMAP1IN))*(((A181)-(c_TMAP1IN))*((c_TMAP2OUT)-(c_TMAP1OUT))+IF(((c_TMAP2OUT)-(c_TMAP1OUT))&gt;=0,1,-1)*QUOTIENT(((c_TMAP2IN)-(c_TMAP1IN)),2))+2147483648,4294967296)-2147483648,((c_TMAP2IN)-(c_TMAP1IN))*(((A181)-(c_TMAP1IN))*((c_TMAP2OUT)-(c_TMAP1OUT))+IF(((c_TMAP2OUT)-(c_TMAP1OUT))&gt;=0,1,-1)*QUOTIENT(((c_TMAP2IN)-(c_TMAP1IN)),2)))&gt;=0,1,0)))</f>
        <v>100</v>
      </c>
      <c r="F181" s="7" t="n">
        <f aca="false">IF(((c_TMAP3IN)-(c_TMAP2IN))=0,(c_TMAP2OUT)+QUOTIENT(((c_TMAP3OUT)-(c_TMAP2OUT)),2),QUOTIENT((((A181)-(c_TMAP2IN))*((c_TMAP3OUT)-(c_TMAP2OUT))+IF(((c_TMAP3OUT)-(c_TMAP2OUT))&gt;=0,1,-1)*QUOTIENT(((c_TMAP3IN)-(c_TMAP2IN)),2)),((c_TMAP3IN)-(c_TMAP2IN)))+(c_TMAP2OUT)+IF(((c_TMAP3OUT)-(c_TMAP2OUT))&gt;=0,IF(IF(o_WRAP=1,MOD(((c_TMAP3IN)-(c_TMAP2IN))*(((A181)-(c_TMAP2IN))*((c_TMAP3OUT)-(c_TMAP2OUT))+IF(((c_TMAP3OUT)-(c_TMAP2OUT))&gt;=0,1,-1)*QUOTIENT(((c_TMAP3IN)-(c_TMAP2IN)),2))+2147483648,4294967296)-2147483648,((c_TMAP3IN)-(c_TMAP2IN))*(((A181)-(c_TMAP2IN))*((c_TMAP3OUT)-(c_TMAP2OUT))+IF(((c_TMAP3OUT)-(c_TMAP2OUT))&gt;=0,1,-1)*QUOTIENT(((c_TMAP3IN)-(c_TMAP2IN)),2)))&lt;0,-1,0),IF(IF(o_WRAP=1,MOD(((c_TMAP3IN)-(c_TMAP2IN))*(((A181)-(c_TMAP2IN))*((c_TMAP3OUT)-(c_TMAP2OUT))+IF(((c_TMAP3OUT)-(c_TMAP2OUT))&gt;=0,1,-1)*QUOTIENT(((c_TMAP3IN)-(c_TMAP2IN)),2))+2147483648,4294967296)-2147483648,((c_TMAP3IN)-(c_TMAP2IN))*(((A181)-(c_TMAP2IN))*((c_TMAP3OUT)-(c_TMAP2OUT))+IF(((c_TMAP3OUT)-(c_TMAP2OUT))&gt;=0,1,-1)*QUOTIENT(((c_TMAP3IN)-(c_TMAP2IN)),2)))&gt;=0,1,0)))</f>
        <v>78</v>
      </c>
      <c r="G181" s="7" t="n">
        <f aca="false">IF(((1000)-(c_TMAP3IN))=0,(c_TMAP3OUT)+QUOTIENT(((1000)-(c_TMAP3OUT)),2),QUOTIENT((((A181)-(c_TMAP3IN))*((1000)-(c_TMAP3OUT))+IF(((1000)-(c_TMAP3OUT))&gt;=0,1,-1)*QUOTIENT(((1000)-(c_TMAP3IN)),2)),((1000)-(c_TMAP3IN)))+(c_TMAP3OUT)+IF(((1000)-(c_TMAP3OUT))&gt;=0,IF(IF(o_WRAP=1,MOD(((1000)-(c_TMAP3IN))*(((A181)-(c_TMAP3IN))*((1000)-(c_TMAP3OUT))+IF(((1000)-(c_TMAP3OUT))&gt;=0,1,-1)*QUOTIENT(((1000)-(c_TMAP3IN)),2))+2147483648,4294967296)-2147483648,((1000)-(c_TMAP3IN))*(((A181)-(c_TMAP3IN))*((1000)-(c_TMAP3OUT))+IF(((1000)-(c_TMAP3OUT))&gt;=0,1,-1)*QUOTIENT(((1000)-(c_TMAP3IN)),2)))&lt;0,-1,0),IF(IF(o_WRAP=1,MOD(((1000)-(c_TMAP3IN))*(((A181)-(c_TMAP3IN))*((1000)-(c_TMAP3OUT))+IF(((1000)-(c_TMAP3OUT))&gt;=0,1,-1)*QUOTIENT(((1000)-(c_TMAP3IN)),2))+2147483648,4294967296)-2147483648,((1000)-(c_TMAP3IN))*(((A181)-(c_TMAP3IN))*((1000)-(c_TMAP3OUT))+IF(((1000)-(c_TMAP3OUT))&gt;=0,1,-1)*QUOTIENT(((1000)-(c_TMAP3IN)),2)))&gt;=0,1,0)))</f>
        <v>-14</v>
      </c>
      <c r="H181" s="7" t="str">
        <f aca="false">IF(A181&gt;=c_TFWD,IF(AND(A181&gt;=c_TMAP3IN,c_TMAP3IN&lt;1000),"Seg4 map3-100%",IF(AND(A181&gt;=c_TMAP2IN,c_TMAP3IN&gt;c_TMAP2IN),"Seg3 map2-map3",IF(AND(A181&gt;=c_TMAP1IN,c_TMAP2IN&gt;c_TMAP1IN),"Seg2 map1-map2","Seg1 TFWD-map1"))),IF(AND(A181=0,c_TCREEP&gt;0),"Creep",IF(AND(A181&lt;=c_TRNGMIN,A181&gt;=c_TRNGMAX,c_TRNGMIN-c_TRNGMAX&lt;&gt;0),"Regen ramp","Coast (0)")))</f>
        <v>Seg2 map1-map2</v>
      </c>
      <c r="I181" s="7" t="n">
        <f aca="false">IF(A181&gt;=c_TFWD,IF(AND(A181&gt;=c_TMAP3IN,c_TMAP3IN&lt;1000),G181,IF(AND(A181&gt;=c_TMAP2IN,c_TMAP3IN&gt;c_TMAP2IN),F181,IF(AND(A181&gt;=c_TMAP1IN,c_TMAP2IN&gt;c_TMAP1IN),E181,D181))),C181)</f>
        <v>100</v>
      </c>
      <c r="J181" s="7" t="str">
        <f aca="false">IF(I181&lt;-1090,"TOO LOW",IF(I181&gt;1090,"TOO HIGH",""))</f>
        <v/>
      </c>
      <c r="K181" s="15" t="n">
        <f aca="false">IF(J181&lt;&gt;"",0,IF(I181&gt;979,1000,I181))</f>
        <v>100</v>
      </c>
      <c r="L181" s="7" t="n">
        <f aca="false">K181/10</f>
        <v>10</v>
      </c>
    </row>
    <row r="182" customFormat="false" ht="15" hidden="false" customHeight="false" outlineLevel="0" collapsed="false">
      <c r="A182" s="7" t="n">
        <v>177</v>
      </c>
      <c r="B182" s="7" t="n">
        <f aca="false">A182/10</f>
        <v>17.7</v>
      </c>
      <c r="C182" s="7" t="n">
        <f aca="false">IF(AND(A182=0,c_TCREEP&gt;0),10*c_TCREEP,IF(AND(A182&lt;=c_TRNGMIN,A182&gt;=c_TRNGMAX,c_TRNGMIN-c_TRNGMAX&lt;&gt;0),-10*c_TMINRN+QUOTIENT((c_TMAXRN-c_TMINRN)*(100-QUOTIENT((A182-c_TRNGMAX)*100,c_TRNGMIN-c_TRNGMAX)),-10),0))</f>
        <v>0</v>
      </c>
      <c r="D182" s="7" t="n">
        <f aca="false">IF(((c_TMAP1IN)-(c_TFWD))=0,(0)+QUOTIENT(((c_TMAP1OUT)-(0)),2),QUOTIENT((((A182)-(c_TFWD))*((c_TMAP1OUT)-(0))+IF(((c_TMAP1OUT)-(0))&gt;=0,1,-1)*QUOTIENT(((c_TMAP1IN)-(c_TFWD)),2)),((c_TMAP1IN)-(c_TFWD)))+(0)+IF(((c_TMAP1OUT)-(0))&gt;=0,IF(IF(o_WRAP=1,MOD(((c_TMAP1IN)-(c_TFWD))*(((A182)-(c_TFWD))*((c_TMAP1OUT)-(0))+IF(((c_TMAP1OUT)-(0))&gt;=0,1,-1)*QUOTIENT(((c_TMAP1IN)-(c_TFWD)),2))+2147483648,4294967296)-2147483648,((c_TMAP1IN)-(c_TFWD))*(((A182)-(c_TFWD))*((c_TMAP1OUT)-(0))+IF(((c_TMAP1OUT)-(0))&gt;=0,1,-1)*QUOTIENT(((c_TMAP1IN)-(c_TFWD)),2)))&lt;0,-1,0),IF(IF(o_WRAP=1,MOD(((c_TMAP1IN)-(c_TFWD))*(((A182)-(c_TFWD))*((c_TMAP1OUT)-(0))+IF(((c_TMAP1OUT)-(0))&gt;=0,1,-1)*QUOTIENT(((c_TMAP1IN)-(c_TFWD)),2))+2147483648,4294967296)-2147483648,((c_TMAP1IN)-(c_TFWD))*(((A182)-(c_TFWD))*((c_TMAP1OUT)-(0))+IF(((c_TMAP1OUT)-(0))&gt;=0,1,-1)*QUOTIENT(((c_TMAP1IN)-(c_TFWD)),2)))&gt;=0,1,0)))</f>
        <v>130</v>
      </c>
      <c r="E182" s="7" t="n">
        <f aca="false">IF(((c_TMAP2IN)-(c_TMAP1IN))=0,(c_TMAP1OUT)+QUOTIENT(((c_TMAP2OUT)-(c_TMAP1OUT)),2),QUOTIENT((((A182)-(c_TMAP1IN))*((c_TMAP2OUT)-(c_TMAP1OUT))+IF(((c_TMAP2OUT)-(c_TMAP1OUT))&gt;=0,1,-1)*QUOTIENT(((c_TMAP2IN)-(c_TMAP1IN)),2)),((c_TMAP2IN)-(c_TMAP1IN)))+(c_TMAP1OUT)+IF(((c_TMAP2OUT)-(c_TMAP1OUT))&gt;=0,IF(IF(o_WRAP=1,MOD(((c_TMAP2IN)-(c_TMAP1IN))*(((A182)-(c_TMAP1IN))*((c_TMAP2OUT)-(c_TMAP1OUT))+IF(((c_TMAP2OUT)-(c_TMAP1OUT))&gt;=0,1,-1)*QUOTIENT(((c_TMAP2IN)-(c_TMAP1IN)),2))+2147483648,4294967296)-2147483648,((c_TMAP2IN)-(c_TMAP1IN))*(((A182)-(c_TMAP1IN))*((c_TMAP2OUT)-(c_TMAP1OUT))+IF(((c_TMAP2OUT)-(c_TMAP1OUT))&gt;=0,1,-1)*QUOTIENT(((c_TMAP2IN)-(c_TMAP1IN)),2)))&lt;0,-1,0),IF(IF(o_WRAP=1,MOD(((c_TMAP2IN)-(c_TMAP1IN))*(((A182)-(c_TMAP1IN))*((c_TMAP2OUT)-(c_TMAP1OUT))+IF(((c_TMAP2OUT)-(c_TMAP1OUT))&gt;=0,1,-1)*QUOTIENT(((c_TMAP2IN)-(c_TMAP1IN)),2))+2147483648,4294967296)-2147483648,((c_TMAP2IN)-(c_TMAP1IN))*(((A182)-(c_TMAP1IN))*((c_TMAP2OUT)-(c_TMAP1OUT))+IF(((c_TMAP2OUT)-(c_TMAP1OUT))&gt;=0,1,-1)*QUOTIENT(((c_TMAP2IN)-(c_TMAP1IN)),2)))&gt;=0,1,0)))</f>
        <v>101</v>
      </c>
      <c r="F182" s="7" t="n">
        <f aca="false">IF(((c_TMAP3IN)-(c_TMAP2IN))=0,(c_TMAP2OUT)+QUOTIENT(((c_TMAP3OUT)-(c_TMAP2OUT)),2),QUOTIENT((((A182)-(c_TMAP2IN))*((c_TMAP3OUT)-(c_TMAP2OUT))+IF(((c_TMAP3OUT)-(c_TMAP2OUT))&gt;=0,1,-1)*QUOTIENT(((c_TMAP3IN)-(c_TMAP2IN)),2)),((c_TMAP3IN)-(c_TMAP2IN)))+(c_TMAP2OUT)+IF(((c_TMAP3OUT)-(c_TMAP2OUT))&gt;=0,IF(IF(o_WRAP=1,MOD(((c_TMAP3IN)-(c_TMAP2IN))*(((A182)-(c_TMAP2IN))*((c_TMAP3OUT)-(c_TMAP2OUT))+IF(((c_TMAP3OUT)-(c_TMAP2OUT))&gt;=0,1,-1)*QUOTIENT(((c_TMAP3IN)-(c_TMAP2IN)),2))+2147483648,4294967296)-2147483648,((c_TMAP3IN)-(c_TMAP2IN))*(((A182)-(c_TMAP2IN))*((c_TMAP3OUT)-(c_TMAP2OUT))+IF(((c_TMAP3OUT)-(c_TMAP2OUT))&gt;=0,1,-1)*QUOTIENT(((c_TMAP3IN)-(c_TMAP2IN)),2)))&lt;0,-1,0),IF(IF(o_WRAP=1,MOD(((c_TMAP3IN)-(c_TMAP2IN))*(((A182)-(c_TMAP2IN))*((c_TMAP3OUT)-(c_TMAP2OUT))+IF(((c_TMAP3OUT)-(c_TMAP2OUT))&gt;=0,1,-1)*QUOTIENT(((c_TMAP3IN)-(c_TMAP2IN)),2))+2147483648,4294967296)-2147483648,((c_TMAP3IN)-(c_TMAP2IN))*(((A182)-(c_TMAP2IN))*((c_TMAP3OUT)-(c_TMAP2OUT))+IF(((c_TMAP3OUT)-(c_TMAP2OUT))&gt;=0,1,-1)*QUOTIENT(((c_TMAP3IN)-(c_TMAP2IN)),2)))&gt;=0,1,0)))</f>
        <v>79</v>
      </c>
      <c r="G182" s="7" t="n">
        <f aca="false">IF(((1000)-(c_TMAP3IN))=0,(c_TMAP3OUT)+QUOTIENT(((1000)-(c_TMAP3OUT)),2),QUOTIENT((((A182)-(c_TMAP3IN))*((1000)-(c_TMAP3OUT))+IF(((1000)-(c_TMAP3OUT))&gt;=0,1,-1)*QUOTIENT(((1000)-(c_TMAP3IN)),2)),((1000)-(c_TMAP3IN)))+(c_TMAP3OUT)+IF(((1000)-(c_TMAP3OUT))&gt;=0,IF(IF(o_WRAP=1,MOD(((1000)-(c_TMAP3IN))*(((A182)-(c_TMAP3IN))*((1000)-(c_TMAP3OUT))+IF(((1000)-(c_TMAP3OUT))&gt;=0,1,-1)*QUOTIENT(((1000)-(c_TMAP3IN)),2))+2147483648,4294967296)-2147483648,((1000)-(c_TMAP3IN))*(((A182)-(c_TMAP3IN))*((1000)-(c_TMAP3OUT))+IF(((1000)-(c_TMAP3OUT))&gt;=0,1,-1)*QUOTIENT(((1000)-(c_TMAP3IN)),2)))&lt;0,-1,0),IF(IF(o_WRAP=1,MOD(((1000)-(c_TMAP3IN))*(((A182)-(c_TMAP3IN))*((1000)-(c_TMAP3OUT))+IF(((1000)-(c_TMAP3OUT))&gt;=0,1,-1)*QUOTIENT(((1000)-(c_TMAP3IN)),2))+2147483648,4294967296)-2147483648,((1000)-(c_TMAP3IN))*(((A182)-(c_TMAP3IN))*((1000)-(c_TMAP3OUT))+IF(((1000)-(c_TMAP3OUT))&gt;=0,1,-1)*QUOTIENT(((1000)-(c_TMAP3IN)),2)))&gt;=0,1,0)))</f>
        <v>-13</v>
      </c>
      <c r="H182" s="7" t="str">
        <f aca="false">IF(A182&gt;=c_TFWD,IF(AND(A182&gt;=c_TMAP3IN,c_TMAP3IN&lt;1000),"Seg4 map3-100%",IF(AND(A182&gt;=c_TMAP2IN,c_TMAP3IN&gt;c_TMAP2IN),"Seg3 map2-map3",IF(AND(A182&gt;=c_TMAP1IN,c_TMAP2IN&gt;c_TMAP1IN),"Seg2 map1-map2","Seg1 TFWD-map1"))),IF(AND(A182=0,c_TCREEP&gt;0),"Creep",IF(AND(A182&lt;=c_TRNGMIN,A182&gt;=c_TRNGMAX,c_TRNGMIN-c_TRNGMAX&lt;&gt;0),"Regen ramp","Coast (0)")))</f>
        <v>Seg2 map1-map2</v>
      </c>
      <c r="I182" s="7" t="n">
        <f aca="false">IF(A182&gt;=c_TFWD,IF(AND(A182&gt;=c_TMAP3IN,c_TMAP3IN&lt;1000),G182,IF(AND(A182&gt;=c_TMAP2IN,c_TMAP3IN&gt;c_TMAP2IN),F182,IF(AND(A182&gt;=c_TMAP1IN,c_TMAP2IN&gt;c_TMAP1IN),E182,D182))),C182)</f>
        <v>101</v>
      </c>
      <c r="J182" s="7" t="str">
        <f aca="false">IF(I182&lt;-1090,"TOO LOW",IF(I182&gt;1090,"TOO HIGH",""))</f>
        <v/>
      </c>
      <c r="K182" s="15" t="n">
        <f aca="false">IF(J182&lt;&gt;"",0,IF(I182&gt;979,1000,I182))</f>
        <v>101</v>
      </c>
      <c r="L182" s="7" t="n">
        <f aca="false">K182/10</f>
        <v>10.1</v>
      </c>
    </row>
    <row r="183" customFormat="false" ht="15" hidden="false" customHeight="false" outlineLevel="0" collapsed="false">
      <c r="A183" s="7" t="n">
        <v>178</v>
      </c>
      <c r="B183" s="7" t="n">
        <f aca="false">A183/10</f>
        <v>17.8</v>
      </c>
      <c r="C183" s="7" t="n">
        <f aca="false">IF(AND(A183=0,c_TCREEP&gt;0),10*c_TCREEP,IF(AND(A183&lt;=c_TRNGMIN,A183&gt;=c_TRNGMAX,c_TRNGMIN-c_TRNGMAX&lt;&gt;0),-10*c_TMINRN+QUOTIENT((c_TMAXRN-c_TMINRN)*(100-QUOTIENT((A183-c_TRNGMAX)*100,c_TRNGMIN-c_TRNGMAX)),-10),0))</f>
        <v>0</v>
      </c>
      <c r="D183" s="7" t="n">
        <f aca="false">IF(((c_TMAP1IN)-(c_TFWD))=0,(0)+QUOTIENT(((c_TMAP1OUT)-(0)),2),QUOTIENT((((A183)-(c_TFWD))*((c_TMAP1OUT)-(0))+IF(((c_TMAP1OUT)-(0))&gt;=0,1,-1)*QUOTIENT(((c_TMAP1IN)-(c_TFWD)),2)),((c_TMAP1IN)-(c_TFWD)))+(0)+IF(((c_TMAP1OUT)-(0))&gt;=0,IF(IF(o_WRAP=1,MOD(((c_TMAP1IN)-(c_TFWD))*(((A183)-(c_TFWD))*((c_TMAP1OUT)-(0))+IF(((c_TMAP1OUT)-(0))&gt;=0,1,-1)*QUOTIENT(((c_TMAP1IN)-(c_TFWD)),2))+2147483648,4294967296)-2147483648,((c_TMAP1IN)-(c_TFWD))*(((A183)-(c_TFWD))*((c_TMAP1OUT)-(0))+IF(((c_TMAP1OUT)-(0))&gt;=0,1,-1)*QUOTIENT(((c_TMAP1IN)-(c_TFWD)),2)))&lt;0,-1,0),IF(IF(o_WRAP=1,MOD(((c_TMAP1IN)-(c_TFWD))*(((A183)-(c_TFWD))*((c_TMAP1OUT)-(0))+IF(((c_TMAP1OUT)-(0))&gt;=0,1,-1)*QUOTIENT(((c_TMAP1IN)-(c_TFWD)),2))+2147483648,4294967296)-2147483648,((c_TMAP1IN)-(c_TFWD))*(((A183)-(c_TFWD))*((c_TMAP1OUT)-(0))+IF(((c_TMAP1OUT)-(0))&gt;=0,1,-1)*QUOTIENT(((c_TMAP1IN)-(c_TFWD)),2)))&gt;=0,1,0)))</f>
        <v>131</v>
      </c>
      <c r="E183" s="7" t="n">
        <f aca="false">IF(((c_TMAP2IN)-(c_TMAP1IN))=0,(c_TMAP1OUT)+QUOTIENT(((c_TMAP2OUT)-(c_TMAP1OUT)),2),QUOTIENT((((A183)-(c_TMAP1IN))*((c_TMAP2OUT)-(c_TMAP1OUT))+IF(((c_TMAP2OUT)-(c_TMAP1OUT))&gt;=0,1,-1)*QUOTIENT(((c_TMAP2IN)-(c_TMAP1IN)),2)),((c_TMAP2IN)-(c_TMAP1IN)))+(c_TMAP1OUT)+IF(((c_TMAP2OUT)-(c_TMAP1OUT))&gt;=0,IF(IF(o_WRAP=1,MOD(((c_TMAP2IN)-(c_TMAP1IN))*(((A183)-(c_TMAP1IN))*((c_TMAP2OUT)-(c_TMAP1OUT))+IF(((c_TMAP2OUT)-(c_TMAP1OUT))&gt;=0,1,-1)*QUOTIENT(((c_TMAP2IN)-(c_TMAP1IN)),2))+2147483648,4294967296)-2147483648,((c_TMAP2IN)-(c_TMAP1IN))*(((A183)-(c_TMAP1IN))*((c_TMAP2OUT)-(c_TMAP1OUT))+IF(((c_TMAP2OUT)-(c_TMAP1OUT))&gt;=0,1,-1)*QUOTIENT(((c_TMAP2IN)-(c_TMAP1IN)),2)))&lt;0,-1,0),IF(IF(o_WRAP=1,MOD(((c_TMAP2IN)-(c_TMAP1IN))*(((A183)-(c_TMAP1IN))*((c_TMAP2OUT)-(c_TMAP1OUT))+IF(((c_TMAP2OUT)-(c_TMAP1OUT))&gt;=0,1,-1)*QUOTIENT(((c_TMAP2IN)-(c_TMAP1IN)),2))+2147483648,4294967296)-2147483648,((c_TMAP2IN)-(c_TMAP1IN))*(((A183)-(c_TMAP1IN))*((c_TMAP2OUT)-(c_TMAP1OUT))+IF(((c_TMAP2OUT)-(c_TMAP1OUT))&gt;=0,1,-1)*QUOTIENT(((c_TMAP2IN)-(c_TMAP1IN)),2)))&gt;=0,1,0)))</f>
        <v>101</v>
      </c>
      <c r="F183" s="7" t="n">
        <f aca="false">IF(((c_TMAP3IN)-(c_TMAP2IN))=0,(c_TMAP2OUT)+QUOTIENT(((c_TMAP3OUT)-(c_TMAP2OUT)),2),QUOTIENT((((A183)-(c_TMAP2IN))*((c_TMAP3OUT)-(c_TMAP2OUT))+IF(((c_TMAP3OUT)-(c_TMAP2OUT))&gt;=0,1,-1)*QUOTIENT(((c_TMAP3IN)-(c_TMAP2IN)),2)),((c_TMAP3IN)-(c_TMAP2IN)))+(c_TMAP2OUT)+IF(((c_TMAP3OUT)-(c_TMAP2OUT))&gt;=0,IF(IF(o_WRAP=1,MOD(((c_TMAP3IN)-(c_TMAP2IN))*(((A183)-(c_TMAP2IN))*((c_TMAP3OUT)-(c_TMAP2OUT))+IF(((c_TMAP3OUT)-(c_TMAP2OUT))&gt;=0,1,-1)*QUOTIENT(((c_TMAP3IN)-(c_TMAP2IN)),2))+2147483648,4294967296)-2147483648,((c_TMAP3IN)-(c_TMAP2IN))*(((A183)-(c_TMAP2IN))*((c_TMAP3OUT)-(c_TMAP2OUT))+IF(((c_TMAP3OUT)-(c_TMAP2OUT))&gt;=0,1,-1)*QUOTIENT(((c_TMAP3IN)-(c_TMAP2IN)),2)))&lt;0,-1,0),IF(IF(o_WRAP=1,MOD(((c_TMAP3IN)-(c_TMAP2IN))*(((A183)-(c_TMAP2IN))*((c_TMAP3OUT)-(c_TMAP2OUT))+IF(((c_TMAP3OUT)-(c_TMAP2OUT))&gt;=0,1,-1)*QUOTIENT(((c_TMAP3IN)-(c_TMAP2IN)),2))+2147483648,4294967296)-2147483648,((c_TMAP3IN)-(c_TMAP2IN))*(((A183)-(c_TMAP2IN))*((c_TMAP3OUT)-(c_TMAP2OUT))+IF(((c_TMAP3OUT)-(c_TMAP2OUT))&gt;=0,1,-1)*QUOTIENT(((c_TMAP3IN)-(c_TMAP2IN)),2)))&gt;=0,1,0)))</f>
        <v>80</v>
      </c>
      <c r="G183" s="7" t="n">
        <f aca="false">IF(((1000)-(c_TMAP3IN))=0,(c_TMAP3OUT)+QUOTIENT(((1000)-(c_TMAP3OUT)),2),QUOTIENT((((A183)-(c_TMAP3IN))*((1000)-(c_TMAP3OUT))+IF(((1000)-(c_TMAP3OUT))&gt;=0,1,-1)*QUOTIENT(((1000)-(c_TMAP3IN)),2)),((1000)-(c_TMAP3IN)))+(c_TMAP3OUT)+IF(((1000)-(c_TMAP3OUT))&gt;=0,IF(IF(o_WRAP=1,MOD(((1000)-(c_TMAP3IN))*(((A183)-(c_TMAP3IN))*((1000)-(c_TMAP3OUT))+IF(((1000)-(c_TMAP3OUT))&gt;=0,1,-1)*QUOTIENT(((1000)-(c_TMAP3IN)),2))+2147483648,4294967296)-2147483648,((1000)-(c_TMAP3IN))*(((A183)-(c_TMAP3IN))*((1000)-(c_TMAP3OUT))+IF(((1000)-(c_TMAP3OUT))&gt;=0,1,-1)*QUOTIENT(((1000)-(c_TMAP3IN)),2)))&lt;0,-1,0),IF(IF(o_WRAP=1,MOD(((1000)-(c_TMAP3IN))*(((A183)-(c_TMAP3IN))*((1000)-(c_TMAP3OUT))+IF(((1000)-(c_TMAP3OUT))&gt;=0,1,-1)*QUOTIENT(((1000)-(c_TMAP3IN)),2))+2147483648,4294967296)-2147483648,((1000)-(c_TMAP3IN))*(((A183)-(c_TMAP3IN))*((1000)-(c_TMAP3OUT))+IF(((1000)-(c_TMAP3OUT))&gt;=0,1,-1)*QUOTIENT(((1000)-(c_TMAP3IN)),2)))&gt;=0,1,0)))</f>
        <v>-12</v>
      </c>
      <c r="H183" s="7" t="str">
        <f aca="false">IF(A183&gt;=c_TFWD,IF(AND(A183&gt;=c_TMAP3IN,c_TMAP3IN&lt;1000),"Seg4 map3-100%",IF(AND(A183&gt;=c_TMAP2IN,c_TMAP3IN&gt;c_TMAP2IN),"Seg3 map2-map3",IF(AND(A183&gt;=c_TMAP1IN,c_TMAP2IN&gt;c_TMAP1IN),"Seg2 map1-map2","Seg1 TFWD-map1"))),IF(AND(A183=0,c_TCREEP&gt;0),"Creep",IF(AND(A183&lt;=c_TRNGMIN,A183&gt;=c_TRNGMAX,c_TRNGMIN-c_TRNGMAX&lt;&gt;0),"Regen ramp","Coast (0)")))</f>
        <v>Seg2 map1-map2</v>
      </c>
      <c r="I183" s="7" t="n">
        <f aca="false">IF(A183&gt;=c_TFWD,IF(AND(A183&gt;=c_TMAP3IN,c_TMAP3IN&lt;1000),G183,IF(AND(A183&gt;=c_TMAP2IN,c_TMAP3IN&gt;c_TMAP2IN),F183,IF(AND(A183&gt;=c_TMAP1IN,c_TMAP2IN&gt;c_TMAP1IN),E183,D183))),C183)</f>
        <v>101</v>
      </c>
      <c r="J183" s="7" t="str">
        <f aca="false">IF(I183&lt;-1090,"TOO LOW",IF(I183&gt;1090,"TOO HIGH",""))</f>
        <v/>
      </c>
      <c r="K183" s="15" t="n">
        <f aca="false">IF(J183&lt;&gt;"",0,IF(I183&gt;979,1000,I183))</f>
        <v>101</v>
      </c>
      <c r="L183" s="7" t="n">
        <f aca="false">K183/10</f>
        <v>10.1</v>
      </c>
    </row>
    <row r="184" customFormat="false" ht="15" hidden="false" customHeight="false" outlineLevel="0" collapsed="false">
      <c r="A184" s="7" t="n">
        <v>179</v>
      </c>
      <c r="B184" s="7" t="n">
        <f aca="false">A184/10</f>
        <v>17.9</v>
      </c>
      <c r="C184" s="7" t="n">
        <f aca="false">IF(AND(A184=0,c_TCREEP&gt;0),10*c_TCREEP,IF(AND(A184&lt;=c_TRNGMIN,A184&gt;=c_TRNGMAX,c_TRNGMIN-c_TRNGMAX&lt;&gt;0),-10*c_TMINRN+QUOTIENT((c_TMAXRN-c_TMINRN)*(100-QUOTIENT((A184-c_TRNGMAX)*100,c_TRNGMIN-c_TRNGMAX)),-10),0))</f>
        <v>0</v>
      </c>
      <c r="D184" s="7" t="n">
        <f aca="false">IF(((c_TMAP1IN)-(c_TFWD))=0,(0)+QUOTIENT(((c_TMAP1OUT)-(0)),2),QUOTIENT((((A184)-(c_TFWD))*((c_TMAP1OUT)-(0))+IF(((c_TMAP1OUT)-(0))&gt;=0,1,-1)*QUOTIENT(((c_TMAP1IN)-(c_TFWD)),2)),((c_TMAP1IN)-(c_TFWD)))+(0)+IF(((c_TMAP1OUT)-(0))&gt;=0,IF(IF(o_WRAP=1,MOD(((c_TMAP1IN)-(c_TFWD))*(((A184)-(c_TFWD))*((c_TMAP1OUT)-(0))+IF(((c_TMAP1OUT)-(0))&gt;=0,1,-1)*QUOTIENT(((c_TMAP1IN)-(c_TFWD)),2))+2147483648,4294967296)-2147483648,((c_TMAP1IN)-(c_TFWD))*(((A184)-(c_TFWD))*((c_TMAP1OUT)-(0))+IF(((c_TMAP1OUT)-(0))&gt;=0,1,-1)*QUOTIENT(((c_TMAP1IN)-(c_TFWD)),2)))&lt;0,-1,0),IF(IF(o_WRAP=1,MOD(((c_TMAP1IN)-(c_TFWD))*(((A184)-(c_TFWD))*((c_TMAP1OUT)-(0))+IF(((c_TMAP1OUT)-(0))&gt;=0,1,-1)*QUOTIENT(((c_TMAP1IN)-(c_TFWD)),2))+2147483648,4294967296)-2147483648,((c_TMAP1IN)-(c_TFWD))*(((A184)-(c_TFWD))*((c_TMAP1OUT)-(0))+IF(((c_TMAP1OUT)-(0))&gt;=0,1,-1)*QUOTIENT(((c_TMAP1IN)-(c_TFWD)),2)))&gt;=0,1,0)))</f>
        <v>131</v>
      </c>
      <c r="E184" s="7" t="n">
        <f aca="false">IF(((c_TMAP2IN)-(c_TMAP1IN))=0,(c_TMAP1OUT)+QUOTIENT(((c_TMAP2OUT)-(c_TMAP1OUT)),2),QUOTIENT((((A184)-(c_TMAP1IN))*((c_TMAP2OUT)-(c_TMAP1OUT))+IF(((c_TMAP2OUT)-(c_TMAP1OUT))&gt;=0,1,-1)*QUOTIENT(((c_TMAP2IN)-(c_TMAP1IN)),2)),((c_TMAP2IN)-(c_TMAP1IN)))+(c_TMAP1OUT)+IF(((c_TMAP2OUT)-(c_TMAP1OUT))&gt;=0,IF(IF(o_WRAP=1,MOD(((c_TMAP2IN)-(c_TMAP1IN))*(((A184)-(c_TMAP1IN))*((c_TMAP2OUT)-(c_TMAP1OUT))+IF(((c_TMAP2OUT)-(c_TMAP1OUT))&gt;=0,1,-1)*QUOTIENT(((c_TMAP2IN)-(c_TMAP1IN)),2))+2147483648,4294967296)-2147483648,((c_TMAP2IN)-(c_TMAP1IN))*(((A184)-(c_TMAP1IN))*((c_TMAP2OUT)-(c_TMAP1OUT))+IF(((c_TMAP2OUT)-(c_TMAP1OUT))&gt;=0,1,-1)*QUOTIENT(((c_TMAP2IN)-(c_TMAP1IN)),2)))&lt;0,-1,0),IF(IF(o_WRAP=1,MOD(((c_TMAP2IN)-(c_TMAP1IN))*(((A184)-(c_TMAP1IN))*((c_TMAP2OUT)-(c_TMAP1OUT))+IF(((c_TMAP2OUT)-(c_TMAP1OUT))&gt;=0,1,-1)*QUOTIENT(((c_TMAP2IN)-(c_TMAP1IN)),2))+2147483648,4294967296)-2147483648,((c_TMAP2IN)-(c_TMAP1IN))*(((A184)-(c_TMAP1IN))*((c_TMAP2OUT)-(c_TMAP1OUT))+IF(((c_TMAP2OUT)-(c_TMAP1OUT))&gt;=0,1,-1)*QUOTIENT(((c_TMAP2IN)-(c_TMAP1IN)),2)))&gt;=0,1,0)))</f>
        <v>102</v>
      </c>
      <c r="F184" s="7" t="n">
        <f aca="false">IF(((c_TMAP3IN)-(c_TMAP2IN))=0,(c_TMAP2OUT)+QUOTIENT(((c_TMAP3OUT)-(c_TMAP2OUT)),2),QUOTIENT((((A184)-(c_TMAP2IN))*((c_TMAP3OUT)-(c_TMAP2OUT))+IF(((c_TMAP3OUT)-(c_TMAP2OUT))&gt;=0,1,-1)*QUOTIENT(((c_TMAP3IN)-(c_TMAP2IN)),2)),((c_TMAP3IN)-(c_TMAP2IN)))+(c_TMAP2OUT)+IF(((c_TMAP3OUT)-(c_TMAP2OUT))&gt;=0,IF(IF(o_WRAP=1,MOD(((c_TMAP3IN)-(c_TMAP2IN))*(((A184)-(c_TMAP2IN))*((c_TMAP3OUT)-(c_TMAP2OUT))+IF(((c_TMAP3OUT)-(c_TMAP2OUT))&gt;=0,1,-1)*QUOTIENT(((c_TMAP3IN)-(c_TMAP2IN)),2))+2147483648,4294967296)-2147483648,((c_TMAP3IN)-(c_TMAP2IN))*(((A184)-(c_TMAP2IN))*((c_TMAP3OUT)-(c_TMAP2OUT))+IF(((c_TMAP3OUT)-(c_TMAP2OUT))&gt;=0,1,-1)*QUOTIENT(((c_TMAP3IN)-(c_TMAP2IN)),2)))&lt;0,-1,0),IF(IF(o_WRAP=1,MOD(((c_TMAP3IN)-(c_TMAP2IN))*(((A184)-(c_TMAP2IN))*((c_TMAP3OUT)-(c_TMAP2OUT))+IF(((c_TMAP3OUT)-(c_TMAP2OUT))&gt;=0,1,-1)*QUOTIENT(((c_TMAP3IN)-(c_TMAP2IN)),2))+2147483648,4294967296)-2147483648,((c_TMAP3IN)-(c_TMAP2IN))*(((A184)-(c_TMAP2IN))*((c_TMAP3OUT)-(c_TMAP2OUT))+IF(((c_TMAP3OUT)-(c_TMAP2OUT))&gt;=0,1,-1)*QUOTIENT(((c_TMAP3IN)-(c_TMAP2IN)),2)))&gt;=0,1,0)))</f>
        <v>80</v>
      </c>
      <c r="G184" s="7" t="n">
        <f aca="false">IF(((1000)-(c_TMAP3IN))=0,(c_TMAP3OUT)+QUOTIENT(((1000)-(c_TMAP3OUT)),2),QUOTIENT((((A184)-(c_TMAP3IN))*((1000)-(c_TMAP3OUT))+IF(((1000)-(c_TMAP3OUT))&gt;=0,1,-1)*QUOTIENT(((1000)-(c_TMAP3IN)),2)),((1000)-(c_TMAP3IN)))+(c_TMAP3OUT)+IF(((1000)-(c_TMAP3OUT))&gt;=0,IF(IF(o_WRAP=1,MOD(((1000)-(c_TMAP3IN))*(((A184)-(c_TMAP3IN))*((1000)-(c_TMAP3OUT))+IF(((1000)-(c_TMAP3OUT))&gt;=0,1,-1)*QUOTIENT(((1000)-(c_TMAP3IN)),2))+2147483648,4294967296)-2147483648,((1000)-(c_TMAP3IN))*(((A184)-(c_TMAP3IN))*((1000)-(c_TMAP3OUT))+IF(((1000)-(c_TMAP3OUT))&gt;=0,1,-1)*QUOTIENT(((1000)-(c_TMAP3IN)),2)))&lt;0,-1,0),IF(IF(o_WRAP=1,MOD(((1000)-(c_TMAP3IN))*(((A184)-(c_TMAP3IN))*((1000)-(c_TMAP3OUT))+IF(((1000)-(c_TMAP3OUT))&gt;=0,1,-1)*QUOTIENT(((1000)-(c_TMAP3IN)),2))+2147483648,4294967296)-2147483648,((1000)-(c_TMAP3IN))*(((A184)-(c_TMAP3IN))*((1000)-(c_TMAP3OUT))+IF(((1000)-(c_TMAP3OUT))&gt;=0,1,-1)*QUOTIENT(((1000)-(c_TMAP3IN)),2)))&gt;=0,1,0)))</f>
        <v>-10</v>
      </c>
      <c r="H184" s="7" t="str">
        <f aca="false">IF(A184&gt;=c_TFWD,IF(AND(A184&gt;=c_TMAP3IN,c_TMAP3IN&lt;1000),"Seg4 map3-100%",IF(AND(A184&gt;=c_TMAP2IN,c_TMAP3IN&gt;c_TMAP2IN),"Seg3 map2-map3",IF(AND(A184&gt;=c_TMAP1IN,c_TMAP2IN&gt;c_TMAP1IN),"Seg2 map1-map2","Seg1 TFWD-map1"))),IF(AND(A184=0,c_TCREEP&gt;0),"Creep",IF(AND(A184&lt;=c_TRNGMIN,A184&gt;=c_TRNGMAX,c_TRNGMIN-c_TRNGMAX&lt;&gt;0),"Regen ramp","Coast (0)")))</f>
        <v>Seg2 map1-map2</v>
      </c>
      <c r="I184" s="7" t="n">
        <f aca="false">IF(A184&gt;=c_TFWD,IF(AND(A184&gt;=c_TMAP3IN,c_TMAP3IN&lt;1000),G184,IF(AND(A184&gt;=c_TMAP2IN,c_TMAP3IN&gt;c_TMAP2IN),F184,IF(AND(A184&gt;=c_TMAP1IN,c_TMAP2IN&gt;c_TMAP1IN),E184,D184))),C184)</f>
        <v>102</v>
      </c>
      <c r="J184" s="7" t="str">
        <f aca="false">IF(I184&lt;-1090,"TOO LOW",IF(I184&gt;1090,"TOO HIGH",""))</f>
        <v/>
      </c>
      <c r="K184" s="15" t="n">
        <f aca="false">IF(J184&lt;&gt;"",0,IF(I184&gt;979,1000,I184))</f>
        <v>102</v>
      </c>
      <c r="L184" s="7" t="n">
        <f aca="false">K184/10</f>
        <v>10.2</v>
      </c>
    </row>
    <row r="185" customFormat="false" ht="15" hidden="false" customHeight="false" outlineLevel="0" collapsed="false">
      <c r="A185" s="7" t="n">
        <v>180</v>
      </c>
      <c r="B185" s="7" t="n">
        <f aca="false">A185/10</f>
        <v>18</v>
      </c>
      <c r="C185" s="7" t="n">
        <f aca="false">IF(AND(A185=0,c_TCREEP&gt;0),10*c_TCREEP,IF(AND(A185&lt;=c_TRNGMIN,A185&gt;=c_TRNGMAX,c_TRNGMIN-c_TRNGMAX&lt;&gt;0),-10*c_TMINRN+QUOTIENT((c_TMAXRN-c_TMINRN)*(100-QUOTIENT((A185-c_TRNGMAX)*100,c_TRNGMIN-c_TRNGMAX)),-10),0))</f>
        <v>0</v>
      </c>
      <c r="D185" s="7" t="n">
        <f aca="false">IF(((c_TMAP1IN)-(c_TFWD))=0,(0)+QUOTIENT(((c_TMAP1OUT)-(0)),2),QUOTIENT((((A185)-(c_TFWD))*((c_TMAP1OUT)-(0))+IF(((c_TMAP1OUT)-(0))&gt;=0,1,-1)*QUOTIENT(((c_TMAP1IN)-(c_TFWD)),2)),((c_TMAP1IN)-(c_TFWD)))+(0)+IF(((c_TMAP1OUT)-(0))&gt;=0,IF(IF(o_WRAP=1,MOD(((c_TMAP1IN)-(c_TFWD))*(((A185)-(c_TFWD))*((c_TMAP1OUT)-(0))+IF(((c_TMAP1OUT)-(0))&gt;=0,1,-1)*QUOTIENT(((c_TMAP1IN)-(c_TFWD)),2))+2147483648,4294967296)-2147483648,((c_TMAP1IN)-(c_TFWD))*(((A185)-(c_TFWD))*((c_TMAP1OUT)-(0))+IF(((c_TMAP1OUT)-(0))&gt;=0,1,-1)*QUOTIENT(((c_TMAP1IN)-(c_TFWD)),2)))&lt;0,-1,0),IF(IF(o_WRAP=1,MOD(((c_TMAP1IN)-(c_TFWD))*(((A185)-(c_TFWD))*((c_TMAP1OUT)-(0))+IF(((c_TMAP1OUT)-(0))&gt;=0,1,-1)*QUOTIENT(((c_TMAP1IN)-(c_TFWD)),2))+2147483648,4294967296)-2147483648,((c_TMAP1IN)-(c_TFWD))*(((A185)-(c_TFWD))*((c_TMAP1OUT)-(0))+IF(((c_TMAP1OUT)-(0))&gt;=0,1,-1)*QUOTIENT(((c_TMAP1IN)-(c_TFWD)),2)))&gt;=0,1,0)))</f>
        <v>132</v>
      </c>
      <c r="E185" s="7" t="n">
        <f aca="false">IF(((c_TMAP2IN)-(c_TMAP1IN))=0,(c_TMAP1OUT)+QUOTIENT(((c_TMAP2OUT)-(c_TMAP1OUT)),2),QUOTIENT((((A185)-(c_TMAP1IN))*((c_TMAP2OUT)-(c_TMAP1OUT))+IF(((c_TMAP2OUT)-(c_TMAP1OUT))&gt;=0,1,-1)*QUOTIENT(((c_TMAP2IN)-(c_TMAP1IN)),2)),((c_TMAP2IN)-(c_TMAP1IN)))+(c_TMAP1OUT)+IF(((c_TMAP2OUT)-(c_TMAP1OUT))&gt;=0,IF(IF(o_WRAP=1,MOD(((c_TMAP2IN)-(c_TMAP1IN))*(((A185)-(c_TMAP1IN))*((c_TMAP2OUT)-(c_TMAP1OUT))+IF(((c_TMAP2OUT)-(c_TMAP1OUT))&gt;=0,1,-1)*QUOTIENT(((c_TMAP2IN)-(c_TMAP1IN)),2))+2147483648,4294967296)-2147483648,((c_TMAP2IN)-(c_TMAP1IN))*(((A185)-(c_TMAP1IN))*((c_TMAP2OUT)-(c_TMAP1OUT))+IF(((c_TMAP2OUT)-(c_TMAP1OUT))&gt;=0,1,-1)*QUOTIENT(((c_TMAP2IN)-(c_TMAP1IN)),2)))&lt;0,-1,0),IF(IF(o_WRAP=1,MOD(((c_TMAP2IN)-(c_TMAP1IN))*(((A185)-(c_TMAP1IN))*((c_TMAP2OUT)-(c_TMAP1OUT))+IF(((c_TMAP2OUT)-(c_TMAP1OUT))&gt;=0,1,-1)*QUOTIENT(((c_TMAP2IN)-(c_TMAP1IN)),2))+2147483648,4294967296)-2147483648,((c_TMAP2IN)-(c_TMAP1IN))*(((A185)-(c_TMAP1IN))*((c_TMAP2OUT)-(c_TMAP1OUT))+IF(((c_TMAP2OUT)-(c_TMAP1OUT))&gt;=0,1,-1)*QUOTIENT(((c_TMAP2IN)-(c_TMAP1IN)),2)))&gt;=0,1,0)))</f>
        <v>102</v>
      </c>
      <c r="F185" s="7" t="n">
        <f aca="false">IF(((c_TMAP3IN)-(c_TMAP2IN))=0,(c_TMAP2OUT)+QUOTIENT(((c_TMAP3OUT)-(c_TMAP2OUT)),2),QUOTIENT((((A185)-(c_TMAP2IN))*((c_TMAP3OUT)-(c_TMAP2OUT))+IF(((c_TMAP3OUT)-(c_TMAP2OUT))&gt;=0,1,-1)*QUOTIENT(((c_TMAP3IN)-(c_TMAP2IN)),2)),((c_TMAP3IN)-(c_TMAP2IN)))+(c_TMAP2OUT)+IF(((c_TMAP3OUT)-(c_TMAP2OUT))&gt;=0,IF(IF(o_WRAP=1,MOD(((c_TMAP3IN)-(c_TMAP2IN))*(((A185)-(c_TMAP2IN))*((c_TMAP3OUT)-(c_TMAP2OUT))+IF(((c_TMAP3OUT)-(c_TMAP2OUT))&gt;=0,1,-1)*QUOTIENT(((c_TMAP3IN)-(c_TMAP2IN)),2))+2147483648,4294967296)-2147483648,((c_TMAP3IN)-(c_TMAP2IN))*(((A185)-(c_TMAP2IN))*((c_TMAP3OUT)-(c_TMAP2OUT))+IF(((c_TMAP3OUT)-(c_TMAP2OUT))&gt;=0,1,-1)*QUOTIENT(((c_TMAP3IN)-(c_TMAP2IN)),2)))&lt;0,-1,0),IF(IF(o_WRAP=1,MOD(((c_TMAP3IN)-(c_TMAP2IN))*(((A185)-(c_TMAP2IN))*((c_TMAP3OUT)-(c_TMAP2OUT))+IF(((c_TMAP3OUT)-(c_TMAP2OUT))&gt;=0,1,-1)*QUOTIENT(((c_TMAP3IN)-(c_TMAP2IN)),2))+2147483648,4294967296)-2147483648,((c_TMAP3IN)-(c_TMAP2IN))*(((A185)-(c_TMAP2IN))*((c_TMAP3OUT)-(c_TMAP2OUT))+IF(((c_TMAP3OUT)-(c_TMAP2OUT))&gt;=0,1,-1)*QUOTIENT(((c_TMAP3IN)-(c_TMAP2IN)),2)))&gt;=0,1,0)))</f>
        <v>81</v>
      </c>
      <c r="G185" s="7" t="n">
        <f aca="false">IF(((1000)-(c_TMAP3IN))=0,(c_TMAP3OUT)+QUOTIENT(((1000)-(c_TMAP3OUT)),2),QUOTIENT((((A185)-(c_TMAP3IN))*((1000)-(c_TMAP3OUT))+IF(((1000)-(c_TMAP3OUT))&gt;=0,1,-1)*QUOTIENT(((1000)-(c_TMAP3IN)),2)),((1000)-(c_TMAP3IN)))+(c_TMAP3OUT)+IF(((1000)-(c_TMAP3OUT))&gt;=0,IF(IF(o_WRAP=1,MOD(((1000)-(c_TMAP3IN))*(((A185)-(c_TMAP3IN))*((1000)-(c_TMAP3OUT))+IF(((1000)-(c_TMAP3OUT))&gt;=0,1,-1)*QUOTIENT(((1000)-(c_TMAP3IN)),2))+2147483648,4294967296)-2147483648,((1000)-(c_TMAP3IN))*(((A185)-(c_TMAP3IN))*((1000)-(c_TMAP3OUT))+IF(((1000)-(c_TMAP3OUT))&gt;=0,1,-1)*QUOTIENT(((1000)-(c_TMAP3IN)),2)))&lt;0,-1,0),IF(IF(o_WRAP=1,MOD(((1000)-(c_TMAP3IN))*(((A185)-(c_TMAP3IN))*((1000)-(c_TMAP3OUT))+IF(((1000)-(c_TMAP3OUT))&gt;=0,1,-1)*QUOTIENT(((1000)-(c_TMAP3IN)),2))+2147483648,4294967296)-2147483648,((1000)-(c_TMAP3IN))*(((A185)-(c_TMAP3IN))*((1000)-(c_TMAP3OUT))+IF(((1000)-(c_TMAP3OUT))&gt;=0,1,-1)*QUOTIENT(((1000)-(c_TMAP3IN)),2)))&gt;=0,1,0)))</f>
        <v>-9</v>
      </c>
      <c r="H185" s="7" t="str">
        <f aca="false">IF(A185&gt;=c_TFWD,IF(AND(A185&gt;=c_TMAP3IN,c_TMAP3IN&lt;1000),"Seg4 map3-100%",IF(AND(A185&gt;=c_TMAP2IN,c_TMAP3IN&gt;c_TMAP2IN),"Seg3 map2-map3",IF(AND(A185&gt;=c_TMAP1IN,c_TMAP2IN&gt;c_TMAP1IN),"Seg2 map1-map2","Seg1 TFWD-map1"))),IF(AND(A185=0,c_TCREEP&gt;0),"Creep",IF(AND(A185&lt;=c_TRNGMIN,A185&gt;=c_TRNGMAX,c_TRNGMIN-c_TRNGMAX&lt;&gt;0),"Regen ramp","Coast (0)")))</f>
        <v>Seg2 map1-map2</v>
      </c>
      <c r="I185" s="7" t="n">
        <f aca="false">IF(A185&gt;=c_TFWD,IF(AND(A185&gt;=c_TMAP3IN,c_TMAP3IN&lt;1000),G185,IF(AND(A185&gt;=c_TMAP2IN,c_TMAP3IN&gt;c_TMAP2IN),F185,IF(AND(A185&gt;=c_TMAP1IN,c_TMAP2IN&gt;c_TMAP1IN),E185,D185))),C185)</f>
        <v>102</v>
      </c>
      <c r="J185" s="7" t="str">
        <f aca="false">IF(I185&lt;-1090,"TOO LOW",IF(I185&gt;1090,"TOO HIGH",""))</f>
        <v/>
      </c>
      <c r="K185" s="15" t="n">
        <f aca="false">IF(J185&lt;&gt;"",0,IF(I185&gt;979,1000,I185))</f>
        <v>102</v>
      </c>
      <c r="L185" s="7" t="n">
        <f aca="false">K185/10</f>
        <v>10.2</v>
      </c>
    </row>
    <row r="186" customFormat="false" ht="15" hidden="false" customHeight="false" outlineLevel="0" collapsed="false">
      <c r="A186" s="7" t="n">
        <v>181</v>
      </c>
      <c r="B186" s="7" t="n">
        <f aca="false">A186/10</f>
        <v>18.1</v>
      </c>
      <c r="C186" s="7" t="n">
        <f aca="false">IF(AND(A186=0,c_TCREEP&gt;0),10*c_TCREEP,IF(AND(A186&lt;=c_TRNGMIN,A186&gt;=c_TRNGMAX,c_TRNGMIN-c_TRNGMAX&lt;&gt;0),-10*c_TMINRN+QUOTIENT((c_TMAXRN-c_TMINRN)*(100-QUOTIENT((A186-c_TRNGMAX)*100,c_TRNGMIN-c_TRNGMAX)),-10),0))</f>
        <v>0</v>
      </c>
      <c r="D186" s="7" t="n">
        <f aca="false">IF(((c_TMAP1IN)-(c_TFWD))=0,(0)+QUOTIENT(((c_TMAP1OUT)-(0)),2),QUOTIENT((((A186)-(c_TFWD))*((c_TMAP1OUT)-(0))+IF(((c_TMAP1OUT)-(0))&gt;=0,1,-1)*QUOTIENT(((c_TMAP1IN)-(c_TFWD)),2)),((c_TMAP1IN)-(c_TFWD)))+(0)+IF(((c_TMAP1OUT)-(0))&gt;=0,IF(IF(o_WRAP=1,MOD(((c_TMAP1IN)-(c_TFWD))*(((A186)-(c_TFWD))*((c_TMAP1OUT)-(0))+IF(((c_TMAP1OUT)-(0))&gt;=0,1,-1)*QUOTIENT(((c_TMAP1IN)-(c_TFWD)),2))+2147483648,4294967296)-2147483648,((c_TMAP1IN)-(c_TFWD))*(((A186)-(c_TFWD))*((c_TMAP1OUT)-(0))+IF(((c_TMAP1OUT)-(0))&gt;=0,1,-1)*QUOTIENT(((c_TMAP1IN)-(c_TFWD)),2)))&lt;0,-1,0),IF(IF(o_WRAP=1,MOD(((c_TMAP1IN)-(c_TFWD))*(((A186)-(c_TFWD))*((c_TMAP1OUT)-(0))+IF(((c_TMAP1OUT)-(0))&gt;=0,1,-1)*QUOTIENT(((c_TMAP1IN)-(c_TFWD)),2))+2147483648,4294967296)-2147483648,((c_TMAP1IN)-(c_TFWD))*(((A186)-(c_TFWD))*((c_TMAP1OUT)-(0))+IF(((c_TMAP1OUT)-(0))&gt;=0,1,-1)*QUOTIENT(((c_TMAP1IN)-(c_TFWD)),2)))&gt;=0,1,0)))</f>
        <v>133</v>
      </c>
      <c r="E186" s="7" t="n">
        <f aca="false">IF(((c_TMAP2IN)-(c_TMAP1IN))=0,(c_TMAP1OUT)+QUOTIENT(((c_TMAP2OUT)-(c_TMAP1OUT)),2),QUOTIENT((((A186)-(c_TMAP1IN))*((c_TMAP2OUT)-(c_TMAP1OUT))+IF(((c_TMAP2OUT)-(c_TMAP1OUT))&gt;=0,1,-1)*QUOTIENT(((c_TMAP2IN)-(c_TMAP1IN)),2)),((c_TMAP2IN)-(c_TMAP1IN)))+(c_TMAP1OUT)+IF(((c_TMAP2OUT)-(c_TMAP1OUT))&gt;=0,IF(IF(o_WRAP=1,MOD(((c_TMAP2IN)-(c_TMAP1IN))*(((A186)-(c_TMAP1IN))*((c_TMAP2OUT)-(c_TMAP1OUT))+IF(((c_TMAP2OUT)-(c_TMAP1OUT))&gt;=0,1,-1)*QUOTIENT(((c_TMAP2IN)-(c_TMAP1IN)),2))+2147483648,4294967296)-2147483648,((c_TMAP2IN)-(c_TMAP1IN))*(((A186)-(c_TMAP1IN))*((c_TMAP2OUT)-(c_TMAP1OUT))+IF(((c_TMAP2OUT)-(c_TMAP1OUT))&gt;=0,1,-1)*QUOTIENT(((c_TMAP2IN)-(c_TMAP1IN)),2)))&lt;0,-1,0),IF(IF(o_WRAP=1,MOD(((c_TMAP2IN)-(c_TMAP1IN))*(((A186)-(c_TMAP1IN))*((c_TMAP2OUT)-(c_TMAP1OUT))+IF(((c_TMAP2OUT)-(c_TMAP1OUT))&gt;=0,1,-1)*QUOTIENT(((c_TMAP2IN)-(c_TMAP1IN)),2))+2147483648,4294967296)-2147483648,((c_TMAP2IN)-(c_TMAP1IN))*(((A186)-(c_TMAP1IN))*((c_TMAP2OUT)-(c_TMAP1OUT))+IF(((c_TMAP2OUT)-(c_TMAP1OUT))&gt;=0,1,-1)*QUOTIENT(((c_TMAP2IN)-(c_TMAP1IN)),2)))&gt;=0,1,0)))</f>
        <v>102</v>
      </c>
      <c r="F186" s="7" t="n">
        <f aca="false">IF(((c_TMAP3IN)-(c_TMAP2IN))=0,(c_TMAP2OUT)+QUOTIENT(((c_TMAP3OUT)-(c_TMAP2OUT)),2),QUOTIENT((((A186)-(c_TMAP2IN))*((c_TMAP3OUT)-(c_TMAP2OUT))+IF(((c_TMAP3OUT)-(c_TMAP2OUT))&gt;=0,1,-1)*QUOTIENT(((c_TMAP3IN)-(c_TMAP2IN)),2)),((c_TMAP3IN)-(c_TMAP2IN)))+(c_TMAP2OUT)+IF(((c_TMAP3OUT)-(c_TMAP2OUT))&gt;=0,IF(IF(o_WRAP=1,MOD(((c_TMAP3IN)-(c_TMAP2IN))*(((A186)-(c_TMAP2IN))*((c_TMAP3OUT)-(c_TMAP2OUT))+IF(((c_TMAP3OUT)-(c_TMAP2OUT))&gt;=0,1,-1)*QUOTIENT(((c_TMAP3IN)-(c_TMAP2IN)),2))+2147483648,4294967296)-2147483648,((c_TMAP3IN)-(c_TMAP2IN))*(((A186)-(c_TMAP2IN))*((c_TMAP3OUT)-(c_TMAP2OUT))+IF(((c_TMAP3OUT)-(c_TMAP2OUT))&gt;=0,1,-1)*QUOTIENT(((c_TMAP3IN)-(c_TMAP2IN)),2)))&lt;0,-1,0),IF(IF(o_WRAP=1,MOD(((c_TMAP3IN)-(c_TMAP2IN))*(((A186)-(c_TMAP2IN))*((c_TMAP3OUT)-(c_TMAP2OUT))+IF(((c_TMAP3OUT)-(c_TMAP2OUT))&gt;=0,1,-1)*QUOTIENT(((c_TMAP3IN)-(c_TMAP2IN)),2))+2147483648,4294967296)-2147483648,((c_TMAP3IN)-(c_TMAP2IN))*(((A186)-(c_TMAP2IN))*((c_TMAP3OUT)-(c_TMAP2OUT))+IF(((c_TMAP3OUT)-(c_TMAP2OUT))&gt;=0,1,-1)*QUOTIENT(((c_TMAP3IN)-(c_TMAP2IN)),2)))&gt;=0,1,0)))</f>
        <v>82</v>
      </c>
      <c r="G186" s="7" t="n">
        <f aca="false">IF(((1000)-(c_TMAP3IN))=0,(c_TMAP3OUT)+QUOTIENT(((1000)-(c_TMAP3OUT)),2),QUOTIENT((((A186)-(c_TMAP3IN))*((1000)-(c_TMAP3OUT))+IF(((1000)-(c_TMAP3OUT))&gt;=0,1,-1)*QUOTIENT(((1000)-(c_TMAP3IN)),2)),((1000)-(c_TMAP3IN)))+(c_TMAP3OUT)+IF(((1000)-(c_TMAP3OUT))&gt;=0,IF(IF(o_WRAP=1,MOD(((1000)-(c_TMAP3IN))*(((A186)-(c_TMAP3IN))*((1000)-(c_TMAP3OUT))+IF(((1000)-(c_TMAP3OUT))&gt;=0,1,-1)*QUOTIENT(((1000)-(c_TMAP3IN)),2))+2147483648,4294967296)-2147483648,((1000)-(c_TMAP3IN))*(((A186)-(c_TMAP3IN))*((1000)-(c_TMAP3OUT))+IF(((1000)-(c_TMAP3OUT))&gt;=0,1,-1)*QUOTIENT(((1000)-(c_TMAP3IN)),2)))&lt;0,-1,0),IF(IF(o_WRAP=1,MOD(((1000)-(c_TMAP3IN))*(((A186)-(c_TMAP3IN))*((1000)-(c_TMAP3OUT))+IF(((1000)-(c_TMAP3OUT))&gt;=0,1,-1)*QUOTIENT(((1000)-(c_TMAP3IN)),2))+2147483648,4294967296)-2147483648,((1000)-(c_TMAP3IN))*(((A186)-(c_TMAP3IN))*((1000)-(c_TMAP3OUT))+IF(((1000)-(c_TMAP3OUT))&gt;=0,1,-1)*QUOTIENT(((1000)-(c_TMAP3IN)),2)))&gt;=0,1,0)))</f>
        <v>-8</v>
      </c>
      <c r="H186" s="7" t="str">
        <f aca="false">IF(A186&gt;=c_TFWD,IF(AND(A186&gt;=c_TMAP3IN,c_TMAP3IN&lt;1000),"Seg4 map3-100%",IF(AND(A186&gt;=c_TMAP2IN,c_TMAP3IN&gt;c_TMAP2IN),"Seg3 map2-map3",IF(AND(A186&gt;=c_TMAP1IN,c_TMAP2IN&gt;c_TMAP1IN),"Seg2 map1-map2","Seg1 TFWD-map1"))),IF(AND(A186=0,c_TCREEP&gt;0),"Creep",IF(AND(A186&lt;=c_TRNGMIN,A186&gt;=c_TRNGMAX,c_TRNGMIN-c_TRNGMAX&lt;&gt;0),"Regen ramp","Coast (0)")))</f>
        <v>Seg2 map1-map2</v>
      </c>
      <c r="I186" s="7" t="n">
        <f aca="false">IF(A186&gt;=c_TFWD,IF(AND(A186&gt;=c_TMAP3IN,c_TMAP3IN&lt;1000),G186,IF(AND(A186&gt;=c_TMAP2IN,c_TMAP3IN&gt;c_TMAP2IN),F186,IF(AND(A186&gt;=c_TMAP1IN,c_TMAP2IN&gt;c_TMAP1IN),E186,D186))),C186)</f>
        <v>102</v>
      </c>
      <c r="J186" s="7" t="str">
        <f aca="false">IF(I186&lt;-1090,"TOO LOW",IF(I186&gt;1090,"TOO HIGH",""))</f>
        <v/>
      </c>
      <c r="K186" s="15" t="n">
        <f aca="false">IF(J186&lt;&gt;"",0,IF(I186&gt;979,1000,I186))</f>
        <v>102</v>
      </c>
      <c r="L186" s="7" t="n">
        <f aca="false">K186/10</f>
        <v>10.2</v>
      </c>
    </row>
    <row r="187" customFormat="false" ht="15" hidden="false" customHeight="false" outlineLevel="0" collapsed="false">
      <c r="A187" s="7" t="n">
        <v>182</v>
      </c>
      <c r="B187" s="7" t="n">
        <f aca="false">A187/10</f>
        <v>18.2</v>
      </c>
      <c r="C187" s="7" t="n">
        <f aca="false">IF(AND(A187=0,c_TCREEP&gt;0),10*c_TCREEP,IF(AND(A187&lt;=c_TRNGMIN,A187&gt;=c_TRNGMAX,c_TRNGMIN-c_TRNGMAX&lt;&gt;0),-10*c_TMINRN+QUOTIENT((c_TMAXRN-c_TMINRN)*(100-QUOTIENT((A187-c_TRNGMAX)*100,c_TRNGMIN-c_TRNGMAX)),-10),0))</f>
        <v>0</v>
      </c>
      <c r="D187" s="7" t="n">
        <f aca="false">IF(((c_TMAP1IN)-(c_TFWD))=0,(0)+QUOTIENT(((c_TMAP1OUT)-(0)),2),QUOTIENT((((A187)-(c_TFWD))*((c_TMAP1OUT)-(0))+IF(((c_TMAP1OUT)-(0))&gt;=0,1,-1)*QUOTIENT(((c_TMAP1IN)-(c_TFWD)),2)),((c_TMAP1IN)-(c_TFWD)))+(0)+IF(((c_TMAP1OUT)-(0))&gt;=0,IF(IF(o_WRAP=1,MOD(((c_TMAP1IN)-(c_TFWD))*(((A187)-(c_TFWD))*((c_TMAP1OUT)-(0))+IF(((c_TMAP1OUT)-(0))&gt;=0,1,-1)*QUOTIENT(((c_TMAP1IN)-(c_TFWD)),2))+2147483648,4294967296)-2147483648,((c_TMAP1IN)-(c_TFWD))*(((A187)-(c_TFWD))*((c_TMAP1OUT)-(0))+IF(((c_TMAP1OUT)-(0))&gt;=0,1,-1)*QUOTIENT(((c_TMAP1IN)-(c_TFWD)),2)))&lt;0,-1,0),IF(IF(o_WRAP=1,MOD(((c_TMAP1IN)-(c_TFWD))*(((A187)-(c_TFWD))*((c_TMAP1OUT)-(0))+IF(((c_TMAP1OUT)-(0))&gt;=0,1,-1)*QUOTIENT(((c_TMAP1IN)-(c_TFWD)),2))+2147483648,4294967296)-2147483648,((c_TMAP1IN)-(c_TFWD))*(((A187)-(c_TFWD))*((c_TMAP1OUT)-(0))+IF(((c_TMAP1OUT)-(0))&gt;=0,1,-1)*QUOTIENT(((c_TMAP1IN)-(c_TFWD)),2)))&gt;=0,1,0)))</f>
        <v>134</v>
      </c>
      <c r="E187" s="7" t="n">
        <f aca="false">IF(((c_TMAP2IN)-(c_TMAP1IN))=0,(c_TMAP1OUT)+QUOTIENT(((c_TMAP2OUT)-(c_TMAP1OUT)),2),QUOTIENT((((A187)-(c_TMAP1IN))*((c_TMAP2OUT)-(c_TMAP1OUT))+IF(((c_TMAP2OUT)-(c_TMAP1OUT))&gt;=0,1,-1)*QUOTIENT(((c_TMAP2IN)-(c_TMAP1IN)),2)),((c_TMAP2IN)-(c_TMAP1IN)))+(c_TMAP1OUT)+IF(((c_TMAP2OUT)-(c_TMAP1OUT))&gt;=0,IF(IF(o_WRAP=1,MOD(((c_TMAP2IN)-(c_TMAP1IN))*(((A187)-(c_TMAP1IN))*((c_TMAP2OUT)-(c_TMAP1OUT))+IF(((c_TMAP2OUT)-(c_TMAP1OUT))&gt;=0,1,-1)*QUOTIENT(((c_TMAP2IN)-(c_TMAP1IN)),2))+2147483648,4294967296)-2147483648,((c_TMAP2IN)-(c_TMAP1IN))*(((A187)-(c_TMAP1IN))*((c_TMAP2OUT)-(c_TMAP1OUT))+IF(((c_TMAP2OUT)-(c_TMAP1OUT))&gt;=0,1,-1)*QUOTIENT(((c_TMAP2IN)-(c_TMAP1IN)),2)))&lt;0,-1,0),IF(IF(o_WRAP=1,MOD(((c_TMAP2IN)-(c_TMAP1IN))*(((A187)-(c_TMAP1IN))*((c_TMAP2OUT)-(c_TMAP1OUT))+IF(((c_TMAP2OUT)-(c_TMAP1OUT))&gt;=0,1,-1)*QUOTIENT(((c_TMAP2IN)-(c_TMAP1IN)),2))+2147483648,4294967296)-2147483648,((c_TMAP2IN)-(c_TMAP1IN))*(((A187)-(c_TMAP1IN))*((c_TMAP2OUT)-(c_TMAP1OUT))+IF(((c_TMAP2OUT)-(c_TMAP1OUT))&gt;=0,1,-1)*QUOTIENT(((c_TMAP2IN)-(c_TMAP1IN)),2)))&gt;=0,1,0)))</f>
        <v>103</v>
      </c>
      <c r="F187" s="7" t="n">
        <f aca="false">IF(((c_TMAP3IN)-(c_TMAP2IN))=0,(c_TMAP2OUT)+QUOTIENT(((c_TMAP3OUT)-(c_TMAP2OUT)),2),QUOTIENT((((A187)-(c_TMAP2IN))*((c_TMAP3OUT)-(c_TMAP2OUT))+IF(((c_TMAP3OUT)-(c_TMAP2OUT))&gt;=0,1,-1)*QUOTIENT(((c_TMAP3IN)-(c_TMAP2IN)),2)),((c_TMAP3IN)-(c_TMAP2IN)))+(c_TMAP2OUT)+IF(((c_TMAP3OUT)-(c_TMAP2OUT))&gt;=0,IF(IF(o_WRAP=1,MOD(((c_TMAP3IN)-(c_TMAP2IN))*(((A187)-(c_TMAP2IN))*((c_TMAP3OUT)-(c_TMAP2OUT))+IF(((c_TMAP3OUT)-(c_TMAP2OUT))&gt;=0,1,-1)*QUOTIENT(((c_TMAP3IN)-(c_TMAP2IN)),2))+2147483648,4294967296)-2147483648,((c_TMAP3IN)-(c_TMAP2IN))*(((A187)-(c_TMAP2IN))*((c_TMAP3OUT)-(c_TMAP2OUT))+IF(((c_TMAP3OUT)-(c_TMAP2OUT))&gt;=0,1,-1)*QUOTIENT(((c_TMAP3IN)-(c_TMAP2IN)),2)))&lt;0,-1,0),IF(IF(o_WRAP=1,MOD(((c_TMAP3IN)-(c_TMAP2IN))*(((A187)-(c_TMAP2IN))*((c_TMAP3OUT)-(c_TMAP2OUT))+IF(((c_TMAP3OUT)-(c_TMAP2OUT))&gt;=0,1,-1)*QUOTIENT(((c_TMAP3IN)-(c_TMAP2IN)),2))+2147483648,4294967296)-2147483648,((c_TMAP3IN)-(c_TMAP2IN))*(((A187)-(c_TMAP2IN))*((c_TMAP3OUT)-(c_TMAP2OUT))+IF(((c_TMAP3OUT)-(c_TMAP2OUT))&gt;=0,1,-1)*QUOTIENT(((c_TMAP3IN)-(c_TMAP2IN)),2)))&gt;=0,1,0)))</f>
        <v>82</v>
      </c>
      <c r="G187" s="7" t="n">
        <f aca="false">IF(((1000)-(c_TMAP3IN))=0,(c_TMAP3OUT)+QUOTIENT(((1000)-(c_TMAP3OUT)),2),QUOTIENT((((A187)-(c_TMAP3IN))*((1000)-(c_TMAP3OUT))+IF(((1000)-(c_TMAP3OUT))&gt;=0,1,-1)*QUOTIENT(((1000)-(c_TMAP3IN)),2)),((1000)-(c_TMAP3IN)))+(c_TMAP3OUT)+IF(((1000)-(c_TMAP3OUT))&gt;=0,IF(IF(o_WRAP=1,MOD(((1000)-(c_TMAP3IN))*(((A187)-(c_TMAP3IN))*((1000)-(c_TMAP3OUT))+IF(((1000)-(c_TMAP3OUT))&gt;=0,1,-1)*QUOTIENT(((1000)-(c_TMAP3IN)),2))+2147483648,4294967296)-2147483648,((1000)-(c_TMAP3IN))*(((A187)-(c_TMAP3IN))*((1000)-(c_TMAP3OUT))+IF(((1000)-(c_TMAP3OUT))&gt;=0,1,-1)*QUOTIENT(((1000)-(c_TMAP3IN)),2)))&lt;0,-1,0),IF(IF(o_WRAP=1,MOD(((1000)-(c_TMAP3IN))*(((A187)-(c_TMAP3IN))*((1000)-(c_TMAP3OUT))+IF(((1000)-(c_TMAP3OUT))&gt;=0,1,-1)*QUOTIENT(((1000)-(c_TMAP3IN)),2))+2147483648,4294967296)-2147483648,((1000)-(c_TMAP3IN))*(((A187)-(c_TMAP3IN))*((1000)-(c_TMAP3OUT))+IF(((1000)-(c_TMAP3OUT))&gt;=0,1,-1)*QUOTIENT(((1000)-(c_TMAP3IN)),2)))&gt;=0,1,0)))</f>
        <v>-7</v>
      </c>
      <c r="H187" s="7" t="str">
        <f aca="false">IF(A187&gt;=c_TFWD,IF(AND(A187&gt;=c_TMAP3IN,c_TMAP3IN&lt;1000),"Seg4 map3-100%",IF(AND(A187&gt;=c_TMAP2IN,c_TMAP3IN&gt;c_TMAP2IN),"Seg3 map2-map3",IF(AND(A187&gt;=c_TMAP1IN,c_TMAP2IN&gt;c_TMAP1IN),"Seg2 map1-map2","Seg1 TFWD-map1"))),IF(AND(A187=0,c_TCREEP&gt;0),"Creep",IF(AND(A187&lt;=c_TRNGMIN,A187&gt;=c_TRNGMAX,c_TRNGMIN-c_TRNGMAX&lt;&gt;0),"Regen ramp","Coast (0)")))</f>
        <v>Seg2 map1-map2</v>
      </c>
      <c r="I187" s="7" t="n">
        <f aca="false">IF(A187&gt;=c_TFWD,IF(AND(A187&gt;=c_TMAP3IN,c_TMAP3IN&lt;1000),G187,IF(AND(A187&gt;=c_TMAP2IN,c_TMAP3IN&gt;c_TMAP2IN),F187,IF(AND(A187&gt;=c_TMAP1IN,c_TMAP2IN&gt;c_TMAP1IN),E187,D187))),C187)</f>
        <v>103</v>
      </c>
      <c r="J187" s="7" t="str">
        <f aca="false">IF(I187&lt;-1090,"TOO LOW",IF(I187&gt;1090,"TOO HIGH",""))</f>
        <v/>
      </c>
      <c r="K187" s="15" t="n">
        <f aca="false">IF(J187&lt;&gt;"",0,IF(I187&gt;979,1000,I187))</f>
        <v>103</v>
      </c>
      <c r="L187" s="7" t="n">
        <f aca="false">K187/10</f>
        <v>10.3</v>
      </c>
    </row>
    <row r="188" customFormat="false" ht="15" hidden="false" customHeight="false" outlineLevel="0" collapsed="false">
      <c r="A188" s="7" t="n">
        <v>183</v>
      </c>
      <c r="B188" s="7" t="n">
        <f aca="false">A188/10</f>
        <v>18.3</v>
      </c>
      <c r="C188" s="7" t="n">
        <f aca="false">IF(AND(A188=0,c_TCREEP&gt;0),10*c_TCREEP,IF(AND(A188&lt;=c_TRNGMIN,A188&gt;=c_TRNGMAX,c_TRNGMIN-c_TRNGMAX&lt;&gt;0),-10*c_TMINRN+QUOTIENT((c_TMAXRN-c_TMINRN)*(100-QUOTIENT((A188-c_TRNGMAX)*100,c_TRNGMIN-c_TRNGMAX)),-10),0))</f>
        <v>0</v>
      </c>
      <c r="D188" s="7" t="n">
        <f aca="false">IF(((c_TMAP1IN)-(c_TFWD))=0,(0)+QUOTIENT(((c_TMAP1OUT)-(0)),2),QUOTIENT((((A188)-(c_TFWD))*((c_TMAP1OUT)-(0))+IF(((c_TMAP1OUT)-(0))&gt;=0,1,-1)*QUOTIENT(((c_TMAP1IN)-(c_TFWD)),2)),((c_TMAP1IN)-(c_TFWD)))+(0)+IF(((c_TMAP1OUT)-(0))&gt;=0,IF(IF(o_WRAP=1,MOD(((c_TMAP1IN)-(c_TFWD))*(((A188)-(c_TFWD))*((c_TMAP1OUT)-(0))+IF(((c_TMAP1OUT)-(0))&gt;=0,1,-1)*QUOTIENT(((c_TMAP1IN)-(c_TFWD)),2))+2147483648,4294967296)-2147483648,((c_TMAP1IN)-(c_TFWD))*(((A188)-(c_TFWD))*((c_TMAP1OUT)-(0))+IF(((c_TMAP1OUT)-(0))&gt;=0,1,-1)*QUOTIENT(((c_TMAP1IN)-(c_TFWD)),2)))&lt;0,-1,0),IF(IF(o_WRAP=1,MOD(((c_TMAP1IN)-(c_TFWD))*(((A188)-(c_TFWD))*((c_TMAP1OUT)-(0))+IF(((c_TMAP1OUT)-(0))&gt;=0,1,-1)*QUOTIENT(((c_TMAP1IN)-(c_TFWD)),2))+2147483648,4294967296)-2147483648,((c_TMAP1IN)-(c_TFWD))*(((A188)-(c_TFWD))*((c_TMAP1OUT)-(0))+IF(((c_TMAP1OUT)-(0))&gt;=0,1,-1)*QUOTIENT(((c_TMAP1IN)-(c_TFWD)),2)))&gt;=0,1,0)))</f>
        <v>135</v>
      </c>
      <c r="E188" s="7" t="n">
        <f aca="false">IF(((c_TMAP2IN)-(c_TMAP1IN))=0,(c_TMAP1OUT)+QUOTIENT(((c_TMAP2OUT)-(c_TMAP1OUT)),2),QUOTIENT((((A188)-(c_TMAP1IN))*((c_TMAP2OUT)-(c_TMAP1OUT))+IF(((c_TMAP2OUT)-(c_TMAP1OUT))&gt;=0,1,-1)*QUOTIENT(((c_TMAP2IN)-(c_TMAP1IN)),2)),((c_TMAP2IN)-(c_TMAP1IN)))+(c_TMAP1OUT)+IF(((c_TMAP2OUT)-(c_TMAP1OUT))&gt;=0,IF(IF(o_WRAP=1,MOD(((c_TMAP2IN)-(c_TMAP1IN))*(((A188)-(c_TMAP1IN))*((c_TMAP2OUT)-(c_TMAP1OUT))+IF(((c_TMAP2OUT)-(c_TMAP1OUT))&gt;=0,1,-1)*QUOTIENT(((c_TMAP2IN)-(c_TMAP1IN)),2))+2147483648,4294967296)-2147483648,((c_TMAP2IN)-(c_TMAP1IN))*(((A188)-(c_TMAP1IN))*((c_TMAP2OUT)-(c_TMAP1OUT))+IF(((c_TMAP2OUT)-(c_TMAP1OUT))&gt;=0,1,-1)*QUOTIENT(((c_TMAP2IN)-(c_TMAP1IN)),2)))&lt;0,-1,0),IF(IF(o_WRAP=1,MOD(((c_TMAP2IN)-(c_TMAP1IN))*(((A188)-(c_TMAP1IN))*((c_TMAP2OUT)-(c_TMAP1OUT))+IF(((c_TMAP2OUT)-(c_TMAP1OUT))&gt;=0,1,-1)*QUOTIENT(((c_TMAP2IN)-(c_TMAP1IN)),2))+2147483648,4294967296)-2147483648,((c_TMAP2IN)-(c_TMAP1IN))*(((A188)-(c_TMAP1IN))*((c_TMAP2OUT)-(c_TMAP1OUT))+IF(((c_TMAP2OUT)-(c_TMAP1OUT))&gt;=0,1,-1)*QUOTIENT(((c_TMAP2IN)-(c_TMAP1IN)),2)))&gt;=0,1,0)))</f>
        <v>103</v>
      </c>
      <c r="F188" s="7" t="n">
        <f aca="false">IF(((c_TMAP3IN)-(c_TMAP2IN))=0,(c_TMAP2OUT)+QUOTIENT(((c_TMAP3OUT)-(c_TMAP2OUT)),2),QUOTIENT((((A188)-(c_TMAP2IN))*((c_TMAP3OUT)-(c_TMAP2OUT))+IF(((c_TMAP3OUT)-(c_TMAP2OUT))&gt;=0,1,-1)*QUOTIENT(((c_TMAP3IN)-(c_TMAP2IN)),2)),((c_TMAP3IN)-(c_TMAP2IN)))+(c_TMAP2OUT)+IF(((c_TMAP3OUT)-(c_TMAP2OUT))&gt;=0,IF(IF(o_WRAP=1,MOD(((c_TMAP3IN)-(c_TMAP2IN))*(((A188)-(c_TMAP2IN))*((c_TMAP3OUT)-(c_TMAP2OUT))+IF(((c_TMAP3OUT)-(c_TMAP2OUT))&gt;=0,1,-1)*QUOTIENT(((c_TMAP3IN)-(c_TMAP2IN)),2))+2147483648,4294967296)-2147483648,((c_TMAP3IN)-(c_TMAP2IN))*(((A188)-(c_TMAP2IN))*((c_TMAP3OUT)-(c_TMAP2OUT))+IF(((c_TMAP3OUT)-(c_TMAP2OUT))&gt;=0,1,-1)*QUOTIENT(((c_TMAP3IN)-(c_TMAP2IN)),2)))&lt;0,-1,0),IF(IF(o_WRAP=1,MOD(((c_TMAP3IN)-(c_TMAP2IN))*(((A188)-(c_TMAP2IN))*((c_TMAP3OUT)-(c_TMAP2OUT))+IF(((c_TMAP3OUT)-(c_TMAP2OUT))&gt;=0,1,-1)*QUOTIENT(((c_TMAP3IN)-(c_TMAP2IN)),2))+2147483648,4294967296)-2147483648,((c_TMAP3IN)-(c_TMAP2IN))*(((A188)-(c_TMAP2IN))*((c_TMAP3OUT)-(c_TMAP2OUT))+IF(((c_TMAP3OUT)-(c_TMAP2OUT))&gt;=0,1,-1)*QUOTIENT(((c_TMAP3IN)-(c_TMAP2IN)),2)))&gt;=0,1,0)))</f>
        <v>83</v>
      </c>
      <c r="G188" s="7" t="n">
        <f aca="false">IF(((1000)-(c_TMAP3IN))=0,(c_TMAP3OUT)+QUOTIENT(((1000)-(c_TMAP3OUT)),2),QUOTIENT((((A188)-(c_TMAP3IN))*((1000)-(c_TMAP3OUT))+IF(((1000)-(c_TMAP3OUT))&gt;=0,1,-1)*QUOTIENT(((1000)-(c_TMAP3IN)),2)),((1000)-(c_TMAP3IN)))+(c_TMAP3OUT)+IF(((1000)-(c_TMAP3OUT))&gt;=0,IF(IF(o_WRAP=1,MOD(((1000)-(c_TMAP3IN))*(((A188)-(c_TMAP3IN))*((1000)-(c_TMAP3OUT))+IF(((1000)-(c_TMAP3OUT))&gt;=0,1,-1)*QUOTIENT(((1000)-(c_TMAP3IN)),2))+2147483648,4294967296)-2147483648,((1000)-(c_TMAP3IN))*(((A188)-(c_TMAP3IN))*((1000)-(c_TMAP3OUT))+IF(((1000)-(c_TMAP3OUT))&gt;=0,1,-1)*QUOTIENT(((1000)-(c_TMAP3IN)),2)))&lt;0,-1,0),IF(IF(o_WRAP=1,MOD(((1000)-(c_TMAP3IN))*(((A188)-(c_TMAP3IN))*((1000)-(c_TMAP3OUT))+IF(((1000)-(c_TMAP3OUT))&gt;=0,1,-1)*QUOTIENT(((1000)-(c_TMAP3IN)),2))+2147483648,4294967296)-2147483648,((1000)-(c_TMAP3IN))*(((A188)-(c_TMAP3IN))*((1000)-(c_TMAP3OUT))+IF(((1000)-(c_TMAP3OUT))&gt;=0,1,-1)*QUOTIENT(((1000)-(c_TMAP3IN)),2)))&gt;=0,1,0)))</f>
        <v>-6</v>
      </c>
      <c r="H188" s="7" t="str">
        <f aca="false">IF(A188&gt;=c_TFWD,IF(AND(A188&gt;=c_TMAP3IN,c_TMAP3IN&lt;1000),"Seg4 map3-100%",IF(AND(A188&gt;=c_TMAP2IN,c_TMAP3IN&gt;c_TMAP2IN),"Seg3 map2-map3",IF(AND(A188&gt;=c_TMAP1IN,c_TMAP2IN&gt;c_TMAP1IN),"Seg2 map1-map2","Seg1 TFWD-map1"))),IF(AND(A188=0,c_TCREEP&gt;0),"Creep",IF(AND(A188&lt;=c_TRNGMIN,A188&gt;=c_TRNGMAX,c_TRNGMIN-c_TRNGMAX&lt;&gt;0),"Regen ramp","Coast (0)")))</f>
        <v>Seg2 map1-map2</v>
      </c>
      <c r="I188" s="7" t="n">
        <f aca="false">IF(A188&gt;=c_TFWD,IF(AND(A188&gt;=c_TMAP3IN,c_TMAP3IN&lt;1000),G188,IF(AND(A188&gt;=c_TMAP2IN,c_TMAP3IN&gt;c_TMAP2IN),F188,IF(AND(A188&gt;=c_TMAP1IN,c_TMAP2IN&gt;c_TMAP1IN),E188,D188))),C188)</f>
        <v>103</v>
      </c>
      <c r="J188" s="7" t="str">
        <f aca="false">IF(I188&lt;-1090,"TOO LOW",IF(I188&gt;1090,"TOO HIGH",""))</f>
        <v/>
      </c>
      <c r="K188" s="15" t="n">
        <f aca="false">IF(J188&lt;&gt;"",0,IF(I188&gt;979,1000,I188))</f>
        <v>103</v>
      </c>
      <c r="L188" s="7" t="n">
        <f aca="false">K188/10</f>
        <v>10.3</v>
      </c>
    </row>
    <row r="189" customFormat="false" ht="15" hidden="false" customHeight="false" outlineLevel="0" collapsed="false">
      <c r="A189" s="7" t="n">
        <v>184</v>
      </c>
      <c r="B189" s="7" t="n">
        <f aca="false">A189/10</f>
        <v>18.4</v>
      </c>
      <c r="C189" s="7" t="n">
        <f aca="false">IF(AND(A189=0,c_TCREEP&gt;0),10*c_TCREEP,IF(AND(A189&lt;=c_TRNGMIN,A189&gt;=c_TRNGMAX,c_TRNGMIN-c_TRNGMAX&lt;&gt;0),-10*c_TMINRN+QUOTIENT((c_TMAXRN-c_TMINRN)*(100-QUOTIENT((A189-c_TRNGMAX)*100,c_TRNGMIN-c_TRNGMAX)),-10),0))</f>
        <v>0</v>
      </c>
      <c r="D189" s="7" t="n">
        <f aca="false">IF(((c_TMAP1IN)-(c_TFWD))=0,(0)+QUOTIENT(((c_TMAP1OUT)-(0)),2),QUOTIENT((((A189)-(c_TFWD))*((c_TMAP1OUT)-(0))+IF(((c_TMAP1OUT)-(0))&gt;=0,1,-1)*QUOTIENT(((c_TMAP1IN)-(c_TFWD)),2)),((c_TMAP1IN)-(c_TFWD)))+(0)+IF(((c_TMAP1OUT)-(0))&gt;=0,IF(IF(o_WRAP=1,MOD(((c_TMAP1IN)-(c_TFWD))*(((A189)-(c_TFWD))*((c_TMAP1OUT)-(0))+IF(((c_TMAP1OUT)-(0))&gt;=0,1,-1)*QUOTIENT(((c_TMAP1IN)-(c_TFWD)),2))+2147483648,4294967296)-2147483648,((c_TMAP1IN)-(c_TFWD))*(((A189)-(c_TFWD))*((c_TMAP1OUT)-(0))+IF(((c_TMAP1OUT)-(0))&gt;=0,1,-1)*QUOTIENT(((c_TMAP1IN)-(c_TFWD)),2)))&lt;0,-1,0),IF(IF(o_WRAP=1,MOD(((c_TMAP1IN)-(c_TFWD))*(((A189)-(c_TFWD))*((c_TMAP1OUT)-(0))+IF(((c_TMAP1OUT)-(0))&gt;=0,1,-1)*QUOTIENT(((c_TMAP1IN)-(c_TFWD)),2))+2147483648,4294967296)-2147483648,((c_TMAP1IN)-(c_TFWD))*(((A189)-(c_TFWD))*((c_TMAP1OUT)-(0))+IF(((c_TMAP1OUT)-(0))&gt;=0,1,-1)*QUOTIENT(((c_TMAP1IN)-(c_TFWD)),2)))&gt;=0,1,0)))</f>
        <v>135</v>
      </c>
      <c r="E189" s="7" t="n">
        <f aca="false">IF(((c_TMAP2IN)-(c_TMAP1IN))=0,(c_TMAP1OUT)+QUOTIENT(((c_TMAP2OUT)-(c_TMAP1OUT)),2),QUOTIENT((((A189)-(c_TMAP1IN))*((c_TMAP2OUT)-(c_TMAP1OUT))+IF(((c_TMAP2OUT)-(c_TMAP1OUT))&gt;=0,1,-1)*QUOTIENT(((c_TMAP2IN)-(c_TMAP1IN)),2)),((c_TMAP2IN)-(c_TMAP1IN)))+(c_TMAP1OUT)+IF(((c_TMAP2OUT)-(c_TMAP1OUT))&gt;=0,IF(IF(o_WRAP=1,MOD(((c_TMAP2IN)-(c_TMAP1IN))*(((A189)-(c_TMAP1IN))*((c_TMAP2OUT)-(c_TMAP1OUT))+IF(((c_TMAP2OUT)-(c_TMAP1OUT))&gt;=0,1,-1)*QUOTIENT(((c_TMAP2IN)-(c_TMAP1IN)),2))+2147483648,4294967296)-2147483648,((c_TMAP2IN)-(c_TMAP1IN))*(((A189)-(c_TMAP1IN))*((c_TMAP2OUT)-(c_TMAP1OUT))+IF(((c_TMAP2OUT)-(c_TMAP1OUT))&gt;=0,1,-1)*QUOTIENT(((c_TMAP2IN)-(c_TMAP1IN)),2)))&lt;0,-1,0),IF(IF(o_WRAP=1,MOD(((c_TMAP2IN)-(c_TMAP1IN))*(((A189)-(c_TMAP1IN))*((c_TMAP2OUT)-(c_TMAP1OUT))+IF(((c_TMAP2OUT)-(c_TMAP1OUT))&gt;=0,1,-1)*QUOTIENT(((c_TMAP2IN)-(c_TMAP1IN)),2))+2147483648,4294967296)-2147483648,((c_TMAP2IN)-(c_TMAP1IN))*(((A189)-(c_TMAP1IN))*((c_TMAP2OUT)-(c_TMAP1OUT))+IF(((c_TMAP2OUT)-(c_TMAP1OUT))&gt;=0,1,-1)*QUOTIENT(((c_TMAP2IN)-(c_TMAP1IN)),2)))&gt;=0,1,0)))</f>
        <v>104</v>
      </c>
      <c r="F189" s="7" t="n">
        <f aca="false">IF(((c_TMAP3IN)-(c_TMAP2IN))=0,(c_TMAP2OUT)+QUOTIENT(((c_TMAP3OUT)-(c_TMAP2OUT)),2),QUOTIENT((((A189)-(c_TMAP2IN))*((c_TMAP3OUT)-(c_TMAP2OUT))+IF(((c_TMAP3OUT)-(c_TMAP2OUT))&gt;=0,1,-1)*QUOTIENT(((c_TMAP3IN)-(c_TMAP2IN)),2)),((c_TMAP3IN)-(c_TMAP2IN)))+(c_TMAP2OUT)+IF(((c_TMAP3OUT)-(c_TMAP2OUT))&gt;=0,IF(IF(o_WRAP=1,MOD(((c_TMAP3IN)-(c_TMAP2IN))*(((A189)-(c_TMAP2IN))*((c_TMAP3OUT)-(c_TMAP2OUT))+IF(((c_TMAP3OUT)-(c_TMAP2OUT))&gt;=0,1,-1)*QUOTIENT(((c_TMAP3IN)-(c_TMAP2IN)),2))+2147483648,4294967296)-2147483648,((c_TMAP3IN)-(c_TMAP2IN))*(((A189)-(c_TMAP2IN))*((c_TMAP3OUT)-(c_TMAP2OUT))+IF(((c_TMAP3OUT)-(c_TMAP2OUT))&gt;=0,1,-1)*QUOTIENT(((c_TMAP3IN)-(c_TMAP2IN)),2)))&lt;0,-1,0),IF(IF(o_WRAP=1,MOD(((c_TMAP3IN)-(c_TMAP2IN))*(((A189)-(c_TMAP2IN))*((c_TMAP3OUT)-(c_TMAP2OUT))+IF(((c_TMAP3OUT)-(c_TMAP2OUT))&gt;=0,1,-1)*QUOTIENT(((c_TMAP3IN)-(c_TMAP2IN)),2))+2147483648,4294967296)-2147483648,((c_TMAP3IN)-(c_TMAP2IN))*(((A189)-(c_TMAP2IN))*((c_TMAP3OUT)-(c_TMAP2OUT))+IF(((c_TMAP3OUT)-(c_TMAP2OUT))&gt;=0,1,-1)*QUOTIENT(((c_TMAP3IN)-(c_TMAP2IN)),2)))&gt;=0,1,0)))</f>
        <v>84</v>
      </c>
      <c r="G189" s="7" t="n">
        <f aca="false">IF(((1000)-(c_TMAP3IN))=0,(c_TMAP3OUT)+QUOTIENT(((1000)-(c_TMAP3OUT)),2),QUOTIENT((((A189)-(c_TMAP3IN))*((1000)-(c_TMAP3OUT))+IF(((1000)-(c_TMAP3OUT))&gt;=0,1,-1)*QUOTIENT(((1000)-(c_TMAP3IN)),2)),((1000)-(c_TMAP3IN)))+(c_TMAP3OUT)+IF(((1000)-(c_TMAP3OUT))&gt;=0,IF(IF(o_WRAP=1,MOD(((1000)-(c_TMAP3IN))*(((A189)-(c_TMAP3IN))*((1000)-(c_TMAP3OUT))+IF(((1000)-(c_TMAP3OUT))&gt;=0,1,-1)*QUOTIENT(((1000)-(c_TMAP3IN)),2))+2147483648,4294967296)-2147483648,((1000)-(c_TMAP3IN))*(((A189)-(c_TMAP3IN))*((1000)-(c_TMAP3OUT))+IF(((1000)-(c_TMAP3OUT))&gt;=0,1,-1)*QUOTIENT(((1000)-(c_TMAP3IN)),2)))&lt;0,-1,0),IF(IF(o_WRAP=1,MOD(((1000)-(c_TMAP3IN))*(((A189)-(c_TMAP3IN))*((1000)-(c_TMAP3OUT))+IF(((1000)-(c_TMAP3OUT))&gt;=0,1,-1)*QUOTIENT(((1000)-(c_TMAP3IN)),2))+2147483648,4294967296)-2147483648,((1000)-(c_TMAP3IN))*(((A189)-(c_TMAP3IN))*((1000)-(c_TMAP3OUT))+IF(((1000)-(c_TMAP3OUT))&gt;=0,1,-1)*QUOTIENT(((1000)-(c_TMAP3IN)),2)))&gt;=0,1,0)))</f>
        <v>-4</v>
      </c>
      <c r="H189" s="7" t="str">
        <f aca="false">IF(A189&gt;=c_TFWD,IF(AND(A189&gt;=c_TMAP3IN,c_TMAP3IN&lt;1000),"Seg4 map3-100%",IF(AND(A189&gt;=c_TMAP2IN,c_TMAP3IN&gt;c_TMAP2IN),"Seg3 map2-map3",IF(AND(A189&gt;=c_TMAP1IN,c_TMAP2IN&gt;c_TMAP1IN),"Seg2 map1-map2","Seg1 TFWD-map1"))),IF(AND(A189=0,c_TCREEP&gt;0),"Creep",IF(AND(A189&lt;=c_TRNGMIN,A189&gt;=c_TRNGMAX,c_TRNGMIN-c_TRNGMAX&lt;&gt;0),"Regen ramp","Coast (0)")))</f>
        <v>Seg2 map1-map2</v>
      </c>
      <c r="I189" s="7" t="n">
        <f aca="false">IF(A189&gt;=c_TFWD,IF(AND(A189&gt;=c_TMAP3IN,c_TMAP3IN&lt;1000),G189,IF(AND(A189&gt;=c_TMAP2IN,c_TMAP3IN&gt;c_TMAP2IN),F189,IF(AND(A189&gt;=c_TMAP1IN,c_TMAP2IN&gt;c_TMAP1IN),E189,D189))),C189)</f>
        <v>104</v>
      </c>
      <c r="J189" s="7" t="str">
        <f aca="false">IF(I189&lt;-1090,"TOO LOW",IF(I189&gt;1090,"TOO HIGH",""))</f>
        <v/>
      </c>
      <c r="K189" s="15" t="n">
        <f aca="false">IF(J189&lt;&gt;"",0,IF(I189&gt;979,1000,I189))</f>
        <v>104</v>
      </c>
      <c r="L189" s="7" t="n">
        <f aca="false">K189/10</f>
        <v>10.4</v>
      </c>
    </row>
    <row r="190" customFormat="false" ht="15" hidden="false" customHeight="false" outlineLevel="0" collapsed="false">
      <c r="A190" s="7" t="n">
        <v>185</v>
      </c>
      <c r="B190" s="7" t="n">
        <f aca="false">A190/10</f>
        <v>18.5</v>
      </c>
      <c r="C190" s="7" t="n">
        <f aca="false">IF(AND(A190=0,c_TCREEP&gt;0),10*c_TCREEP,IF(AND(A190&lt;=c_TRNGMIN,A190&gt;=c_TRNGMAX,c_TRNGMIN-c_TRNGMAX&lt;&gt;0),-10*c_TMINRN+QUOTIENT((c_TMAXRN-c_TMINRN)*(100-QUOTIENT((A190-c_TRNGMAX)*100,c_TRNGMIN-c_TRNGMAX)),-10),0))</f>
        <v>0</v>
      </c>
      <c r="D190" s="7" t="n">
        <f aca="false">IF(((c_TMAP1IN)-(c_TFWD))=0,(0)+QUOTIENT(((c_TMAP1OUT)-(0)),2),QUOTIENT((((A190)-(c_TFWD))*((c_TMAP1OUT)-(0))+IF(((c_TMAP1OUT)-(0))&gt;=0,1,-1)*QUOTIENT(((c_TMAP1IN)-(c_TFWD)),2)),((c_TMAP1IN)-(c_TFWD)))+(0)+IF(((c_TMAP1OUT)-(0))&gt;=0,IF(IF(o_WRAP=1,MOD(((c_TMAP1IN)-(c_TFWD))*(((A190)-(c_TFWD))*((c_TMAP1OUT)-(0))+IF(((c_TMAP1OUT)-(0))&gt;=0,1,-1)*QUOTIENT(((c_TMAP1IN)-(c_TFWD)),2))+2147483648,4294967296)-2147483648,((c_TMAP1IN)-(c_TFWD))*(((A190)-(c_TFWD))*((c_TMAP1OUT)-(0))+IF(((c_TMAP1OUT)-(0))&gt;=0,1,-1)*QUOTIENT(((c_TMAP1IN)-(c_TFWD)),2)))&lt;0,-1,0),IF(IF(o_WRAP=1,MOD(((c_TMAP1IN)-(c_TFWD))*(((A190)-(c_TFWD))*((c_TMAP1OUT)-(0))+IF(((c_TMAP1OUT)-(0))&gt;=0,1,-1)*QUOTIENT(((c_TMAP1IN)-(c_TFWD)),2))+2147483648,4294967296)-2147483648,((c_TMAP1IN)-(c_TFWD))*(((A190)-(c_TFWD))*((c_TMAP1OUT)-(0))+IF(((c_TMAP1OUT)-(0))&gt;=0,1,-1)*QUOTIENT(((c_TMAP1IN)-(c_TFWD)),2)))&gt;=0,1,0)))</f>
        <v>136</v>
      </c>
      <c r="E190" s="7" t="n">
        <f aca="false">IF(((c_TMAP2IN)-(c_TMAP1IN))=0,(c_TMAP1OUT)+QUOTIENT(((c_TMAP2OUT)-(c_TMAP1OUT)),2),QUOTIENT((((A190)-(c_TMAP1IN))*((c_TMAP2OUT)-(c_TMAP1OUT))+IF(((c_TMAP2OUT)-(c_TMAP1OUT))&gt;=0,1,-1)*QUOTIENT(((c_TMAP2IN)-(c_TMAP1IN)),2)),((c_TMAP2IN)-(c_TMAP1IN)))+(c_TMAP1OUT)+IF(((c_TMAP2OUT)-(c_TMAP1OUT))&gt;=0,IF(IF(o_WRAP=1,MOD(((c_TMAP2IN)-(c_TMAP1IN))*(((A190)-(c_TMAP1IN))*((c_TMAP2OUT)-(c_TMAP1OUT))+IF(((c_TMAP2OUT)-(c_TMAP1OUT))&gt;=0,1,-1)*QUOTIENT(((c_TMAP2IN)-(c_TMAP1IN)),2))+2147483648,4294967296)-2147483648,((c_TMAP2IN)-(c_TMAP1IN))*(((A190)-(c_TMAP1IN))*((c_TMAP2OUT)-(c_TMAP1OUT))+IF(((c_TMAP2OUT)-(c_TMAP1OUT))&gt;=0,1,-1)*QUOTIENT(((c_TMAP2IN)-(c_TMAP1IN)),2)))&lt;0,-1,0),IF(IF(o_WRAP=1,MOD(((c_TMAP2IN)-(c_TMAP1IN))*(((A190)-(c_TMAP1IN))*((c_TMAP2OUT)-(c_TMAP1OUT))+IF(((c_TMAP2OUT)-(c_TMAP1OUT))&gt;=0,1,-1)*QUOTIENT(((c_TMAP2IN)-(c_TMAP1IN)),2))+2147483648,4294967296)-2147483648,((c_TMAP2IN)-(c_TMAP1IN))*(((A190)-(c_TMAP1IN))*((c_TMAP2OUT)-(c_TMAP1OUT))+IF(((c_TMAP2OUT)-(c_TMAP1OUT))&gt;=0,1,-1)*QUOTIENT(((c_TMAP2IN)-(c_TMAP1IN)),2)))&gt;=0,1,0)))</f>
        <v>104</v>
      </c>
      <c r="F190" s="7" t="n">
        <f aca="false">IF(((c_TMAP3IN)-(c_TMAP2IN))=0,(c_TMAP2OUT)+QUOTIENT(((c_TMAP3OUT)-(c_TMAP2OUT)),2),QUOTIENT((((A190)-(c_TMAP2IN))*((c_TMAP3OUT)-(c_TMAP2OUT))+IF(((c_TMAP3OUT)-(c_TMAP2OUT))&gt;=0,1,-1)*QUOTIENT(((c_TMAP3IN)-(c_TMAP2IN)),2)),((c_TMAP3IN)-(c_TMAP2IN)))+(c_TMAP2OUT)+IF(((c_TMAP3OUT)-(c_TMAP2OUT))&gt;=0,IF(IF(o_WRAP=1,MOD(((c_TMAP3IN)-(c_TMAP2IN))*(((A190)-(c_TMAP2IN))*((c_TMAP3OUT)-(c_TMAP2OUT))+IF(((c_TMAP3OUT)-(c_TMAP2OUT))&gt;=0,1,-1)*QUOTIENT(((c_TMAP3IN)-(c_TMAP2IN)),2))+2147483648,4294967296)-2147483648,((c_TMAP3IN)-(c_TMAP2IN))*(((A190)-(c_TMAP2IN))*((c_TMAP3OUT)-(c_TMAP2OUT))+IF(((c_TMAP3OUT)-(c_TMAP2OUT))&gt;=0,1,-1)*QUOTIENT(((c_TMAP3IN)-(c_TMAP2IN)),2)))&lt;0,-1,0),IF(IF(o_WRAP=1,MOD(((c_TMAP3IN)-(c_TMAP2IN))*(((A190)-(c_TMAP2IN))*((c_TMAP3OUT)-(c_TMAP2OUT))+IF(((c_TMAP3OUT)-(c_TMAP2OUT))&gt;=0,1,-1)*QUOTIENT(((c_TMAP3IN)-(c_TMAP2IN)),2))+2147483648,4294967296)-2147483648,((c_TMAP3IN)-(c_TMAP2IN))*(((A190)-(c_TMAP2IN))*((c_TMAP3OUT)-(c_TMAP2OUT))+IF(((c_TMAP3OUT)-(c_TMAP2OUT))&gt;=0,1,-1)*QUOTIENT(((c_TMAP3IN)-(c_TMAP2IN)),2)))&gt;=0,1,0)))</f>
        <v>84</v>
      </c>
      <c r="G190" s="7" t="n">
        <f aca="false">IF(((1000)-(c_TMAP3IN))=0,(c_TMAP3OUT)+QUOTIENT(((1000)-(c_TMAP3OUT)),2),QUOTIENT((((A190)-(c_TMAP3IN))*((1000)-(c_TMAP3OUT))+IF(((1000)-(c_TMAP3OUT))&gt;=0,1,-1)*QUOTIENT(((1000)-(c_TMAP3IN)),2)),((1000)-(c_TMAP3IN)))+(c_TMAP3OUT)+IF(((1000)-(c_TMAP3OUT))&gt;=0,IF(IF(o_WRAP=1,MOD(((1000)-(c_TMAP3IN))*(((A190)-(c_TMAP3IN))*((1000)-(c_TMAP3OUT))+IF(((1000)-(c_TMAP3OUT))&gt;=0,1,-1)*QUOTIENT(((1000)-(c_TMAP3IN)),2))+2147483648,4294967296)-2147483648,((1000)-(c_TMAP3IN))*(((A190)-(c_TMAP3IN))*((1000)-(c_TMAP3OUT))+IF(((1000)-(c_TMAP3OUT))&gt;=0,1,-1)*QUOTIENT(((1000)-(c_TMAP3IN)),2)))&lt;0,-1,0),IF(IF(o_WRAP=1,MOD(((1000)-(c_TMAP3IN))*(((A190)-(c_TMAP3IN))*((1000)-(c_TMAP3OUT))+IF(((1000)-(c_TMAP3OUT))&gt;=0,1,-1)*QUOTIENT(((1000)-(c_TMAP3IN)),2))+2147483648,4294967296)-2147483648,((1000)-(c_TMAP3IN))*(((A190)-(c_TMAP3IN))*((1000)-(c_TMAP3OUT))+IF(((1000)-(c_TMAP3OUT))&gt;=0,1,-1)*QUOTIENT(((1000)-(c_TMAP3IN)),2)))&gt;=0,1,0)))</f>
        <v>-3</v>
      </c>
      <c r="H190" s="7" t="str">
        <f aca="false">IF(A190&gt;=c_TFWD,IF(AND(A190&gt;=c_TMAP3IN,c_TMAP3IN&lt;1000),"Seg4 map3-100%",IF(AND(A190&gt;=c_TMAP2IN,c_TMAP3IN&gt;c_TMAP2IN),"Seg3 map2-map3",IF(AND(A190&gt;=c_TMAP1IN,c_TMAP2IN&gt;c_TMAP1IN),"Seg2 map1-map2","Seg1 TFWD-map1"))),IF(AND(A190=0,c_TCREEP&gt;0),"Creep",IF(AND(A190&lt;=c_TRNGMIN,A190&gt;=c_TRNGMAX,c_TRNGMIN-c_TRNGMAX&lt;&gt;0),"Regen ramp","Coast (0)")))</f>
        <v>Seg2 map1-map2</v>
      </c>
      <c r="I190" s="7" t="n">
        <f aca="false">IF(A190&gt;=c_TFWD,IF(AND(A190&gt;=c_TMAP3IN,c_TMAP3IN&lt;1000),G190,IF(AND(A190&gt;=c_TMAP2IN,c_TMAP3IN&gt;c_TMAP2IN),F190,IF(AND(A190&gt;=c_TMAP1IN,c_TMAP2IN&gt;c_TMAP1IN),E190,D190))),C190)</f>
        <v>104</v>
      </c>
      <c r="J190" s="7" t="str">
        <f aca="false">IF(I190&lt;-1090,"TOO LOW",IF(I190&gt;1090,"TOO HIGH",""))</f>
        <v/>
      </c>
      <c r="K190" s="15" t="n">
        <f aca="false">IF(J190&lt;&gt;"",0,IF(I190&gt;979,1000,I190))</f>
        <v>104</v>
      </c>
      <c r="L190" s="7" t="n">
        <f aca="false">K190/10</f>
        <v>10.4</v>
      </c>
    </row>
    <row r="191" customFormat="false" ht="15" hidden="false" customHeight="false" outlineLevel="0" collapsed="false">
      <c r="A191" s="7" t="n">
        <v>186</v>
      </c>
      <c r="B191" s="7" t="n">
        <f aca="false">A191/10</f>
        <v>18.6</v>
      </c>
      <c r="C191" s="7" t="n">
        <f aca="false">IF(AND(A191=0,c_TCREEP&gt;0),10*c_TCREEP,IF(AND(A191&lt;=c_TRNGMIN,A191&gt;=c_TRNGMAX,c_TRNGMIN-c_TRNGMAX&lt;&gt;0),-10*c_TMINRN+QUOTIENT((c_TMAXRN-c_TMINRN)*(100-QUOTIENT((A191-c_TRNGMAX)*100,c_TRNGMIN-c_TRNGMAX)),-10),0))</f>
        <v>0</v>
      </c>
      <c r="D191" s="7" t="n">
        <f aca="false">IF(((c_TMAP1IN)-(c_TFWD))=0,(0)+QUOTIENT(((c_TMAP1OUT)-(0)),2),QUOTIENT((((A191)-(c_TFWD))*((c_TMAP1OUT)-(0))+IF(((c_TMAP1OUT)-(0))&gt;=0,1,-1)*QUOTIENT(((c_TMAP1IN)-(c_TFWD)),2)),((c_TMAP1IN)-(c_TFWD)))+(0)+IF(((c_TMAP1OUT)-(0))&gt;=0,IF(IF(o_WRAP=1,MOD(((c_TMAP1IN)-(c_TFWD))*(((A191)-(c_TFWD))*((c_TMAP1OUT)-(0))+IF(((c_TMAP1OUT)-(0))&gt;=0,1,-1)*QUOTIENT(((c_TMAP1IN)-(c_TFWD)),2))+2147483648,4294967296)-2147483648,((c_TMAP1IN)-(c_TFWD))*(((A191)-(c_TFWD))*((c_TMAP1OUT)-(0))+IF(((c_TMAP1OUT)-(0))&gt;=0,1,-1)*QUOTIENT(((c_TMAP1IN)-(c_TFWD)),2)))&lt;0,-1,0),IF(IF(o_WRAP=1,MOD(((c_TMAP1IN)-(c_TFWD))*(((A191)-(c_TFWD))*((c_TMAP1OUT)-(0))+IF(((c_TMAP1OUT)-(0))&gt;=0,1,-1)*QUOTIENT(((c_TMAP1IN)-(c_TFWD)),2))+2147483648,4294967296)-2147483648,((c_TMAP1IN)-(c_TFWD))*(((A191)-(c_TFWD))*((c_TMAP1OUT)-(0))+IF(((c_TMAP1OUT)-(0))&gt;=0,1,-1)*QUOTIENT(((c_TMAP1IN)-(c_TFWD)),2)))&gt;=0,1,0)))</f>
        <v>137</v>
      </c>
      <c r="E191" s="7" t="n">
        <f aca="false">IF(((c_TMAP2IN)-(c_TMAP1IN))=0,(c_TMAP1OUT)+QUOTIENT(((c_TMAP2OUT)-(c_TMAP1OUT)),2),QUOTIENT((((A191)-(c_TMAP1IN))*((c_TMAP2OUT)-(c_TMAP1OUT))+IF(((c_TMAP2OUT)-(c_TMAP1OUT))&gt;=0,1,-1)*QUOTIENT(((c_TMAP2IN)-(c_TMAP1IN)),2)),((c_TMAP2IN)-(c_TMAP1IN)))+(c_TMAP1OUT)+IF(((c_TMAP2OUT)-(c_TMAP1OUT))&gt;=0,IF(IF(o_WRAP=1,MOD(((c_TMAP2IN)-(c_TMAP1IN))*(((A191)-(c_TMAP1IN))*((c_TMAP2OUT)-(c_TMAP1OUT))+IF(((c_TMAP2OUT)-(c_TMAP1OUT))&gt;=0,1,-1)*QUOTIENT(((c_TMAP2IN)-(c_TMAP1IN)),2))+2147483648,4294967296)-2147483648,((c_TMAP2IN)-(c_TMAP1IN))*(((A191)-(c_TMAP1IN))*((c_TMAP2OUT)-(c_TMAP1OUT))+IF(((c_TMAP2OUT)-(c_TMAP1OUT))&gt;=0,1,-1)*QUOTIENT(((c_TMAP2IN)-(c_TMAP1IN)),2)))&lt;0,-1,0),IF(IF(o_WRAP=1,MOD(((c_TMAP2IN)-(c_TMAP1IN))*(((A191)-(c_TMAP1IN))*((c_TMAP2OUT)-(c_TMAP1OUT))+IF(((c_TMAP2OUT)-(c_TMAP1OUT))&gt;=0,1,-1)*QUOTIENT(((c_TMAP2IN)-(c_TMAP1IN)),2))+2147483648,4294967296)-2147483648,((c_TMAP2IN)-(c_TMAP1IN))*(((A191)-(c_TMAP1IN))*((c_TMAP2OUT)-(c_TMAP1OUT))+IF(((c_TMAP2OUT)-(c_TMAP1OUT))&gt;=0,1,-1)*QUOTIENT(((c_TMAP2IN)-(c_TMAP1IN)),2)))&gt;=0,1,0)))</f>
        <v>104</v>
      </c>
      <c r="F191" s="7" t="n">
        <f aca="false">IF(((c_TMAP3IN)-(c_TMAP2IN))=0,(c_TMAP2OUT)+QUOTIENT(((c_TMAP3OUT)-(c_TMAP2OUT)),2),QUOTIENT((((A191)-(c_TMAP2IN))*((c_TMAP3OUT)-(c_TMAP2OUT))+IF(((c_TMAP3OUT)-(c_TMAP2OUT))&gt;=0,1,-1)*QUOTIENT(((c_TMAP3IN)-(c_TMAP2IN)),2)),((c_TMAP3IN)-(c_TMAP2IN)))+(c_TMAP2OUT)+IF(((c_TMAP3OUT)-(c_TMAP2OUT))&gt;=0,IF(IF(o_WRAP=1,MOD(((c_TMAP3IN)-(c_TMAP2IN))*(((A191)-(c_TMAP2IN))*((c_TMAP3OUT)-(c_TMAP2OUT))+IF(((c_TMAP3OUT)-(c_TMAP2OUT))&gt;=0,1,-1)*QUOTIENT(((c_TMAP3IN)-(c_TMAP2IN)),2))+2147483648,4294967296)-2147483648,((c_TMAP3IN)-(c_TMAP2IN))*(((A191)-(c_TMAP2IN))*((c_TMAP3OUT)-(c_TMAP2OUT))+IF(((c_TMAP3OUT)-(c_TMAP2OUT))&gt;=0,1,-1)*QUOTIENT(((c_TMAP3IN)-(c_TMAP2IN)),2)))&lt;0,-1,0),IF(IF(o_WRAP=1,MOD(((c_TMAP3IN)-(c_TMAP2IN))*(((A191)-(c_TMAP2IN))*((c_TMAP3OUT)-(c_TMAP2OUT))+IF(((c_TMAP3OUT)-(c_TMAP2OUT))&gt;=0,1,-1)*QUOTIENT(((c_TMAP3IN)-(c_TMAP2IN)),2))+2147483648,4294967296)-2147483648,((c_TMAP3IN)-(c_TMAP2IN))*(((A191)-(c_TMAP2IN))*((c_TMAP3OUT)-(c_TMAP2OUT))+IF(((c_TMAP3OUT)-(c_TMAP2OUT))&gt;=0,1,-1)*QUOTIENT(((c_TMAP3IN)-(c_TMAP2IN)),2)))&gt;=0,1,0)))</f>
        <v>85</v>
      </c>
      <c r="G191" s="7" t="n">
        <f aca="false">IF(((1000)-(c_TMAP3IN))=0,(c_TMAP3OUT)+QUOTIENT(((1000)-(c_TMAP3OUT)),2),QUOTIENT((((A191)-(c_TMAP3IN))*((1000)-(c_TMAP3OUT))+IF(((1000)-(c_TMAP3OUT))&gt;=0,1,-1)*QUOTIENT(((1000)-(c_TMAP3IN)),2)),((1000)-(c_TMAP3IN)))+(c_TMAP3OUT)+IF(((1000)-(c_TMAP3OUT))&gt;=0,IF(IF(o_WRAP=1,MOD(((1000)-(c_TMAP3IN))*(((A191)-(c_TMAP3IN))*((1000)-(c_TMAP3OUT))+IF(((1000)-(c_TMAP3OUT))&gt;=0,1,-1)*QUOTIENT(((1000)-(c_TMAP3IN)),2))+2147483648,4294967296)-2147483648,((1000)-(c_TMAP3IN))*(((A191)-(c_TMAP3IN))*((1000)-(c_TMAP3OUT))+IF(((1000)-(c_TMAP3OUT))&gt;=0,1,-1)*QUOTIENT(((1000)-(c_TMAP3IN)),2)))&lt;0,-1,0),IF(IF(o_WRAP=1,MOD(((1000)-(c_TMAP3IN))*(((A191)-(c_TMAP3IN))*((1000)-(c_TMAP3OUT))+IF(((1000)-(c_TMAP3OUT))&gt;=0,1,-1)*QUOTIENT(((1000)-(c_TMAP3IN)),2))+2147483648,4294967296)-2147483648,((1000)-(c_TMAP3IN))*(((A191)-(c_TMAP3IN))*((1000)-(c_TMAP3OUT))+IF(((1000)-(c_TMAP3OUT))&gt;=0,1,-1)*QUOTIENT(((1000)-(c_TMAP3IN)),2)))&gt;=0,1,0)))</f>
        <v>-2</v>
      </c>
      <c r="H191" s="7" t="str">
        <f aca="false">IF(A191&gt;=c_TFWD,IF(AND(A191&gt;=c_TMAP3IN,c_TMAP3IN&lt;1000),"Seg4 map3-100%",IF(AND(A191&gt;=c_TMAP2IN,c_TMAP3IN&gt;c_TMAP2IN),"Seg3 map2-map3",IF(AND(A191&gt;=c_TMAP1IN,c_TMAP2IN&gt;c_TMAP1IN),"Seg2 map1-map2","Seg1 TFWD-map1"))),IF(AND(A191=0,c_TCREEP&gt;0),"Creep",IF(AND(A191&lt;=c_TRNGMIN,A191&gt;=c_TRNGMAX,c_TRNGMIN-c_TRNGMAX&lt;&gt;0),"Regen ramp","Coast (0)")))</f>
        <v>Seg2 map1-map2</v>
      </c>
      <c r="I191" s="7" t="n">
        <f aca="false">IF(A191&gt;=c_TFWD,IF(AND(A191&gt;=c_TMAP3IN,c_TMAP3IN&lt;1000),G191,IF(AND(A191&gt;=c_TMAP2IN,c_TMAP3IN&gt;c_TMAP2IN),F191,IF(AND(A191&gt;=c_TMAP1IN,c_TMAP2IN&gt;c_TMAP1IN),E191,D191))),C191)</f>
        <v>104</v>
      </c>
      <c r="J191" s="7" t="str">
        <f aca="false">IF(I191&lt;-1090,"TOO LOW",IF(I191&gt;1090,"TOO HIGH",""))</f>
        <v/>
      </c>
      <c r="K191" s="15" t="n">
        <f aca="false">IF(J191&lt;&gt;"",0,IF(I191&gt;979,1000,I191))</f>
        <v>104</v>
      </c>
      <c r="L191" s="7" t="n">
        <f aca="false">K191/10</f>
        <v>10.4</v>
      </c>
    </row>
    <row r="192" customFormat="false" ht="15" hidden="false" customHeight="false" outlineLevel="0" collapsed="false">
      <c r="A192" s="7" t="n">
        <v>187</v>
      </c>
      <c r="B192" s="7" t="n">
        <f aca="false">A192/10</f>
        <v>18.7</v>
      </c>
      <c r="C192" s="7" t="n">
        <f aca="false">IF(AND(A192=0,c_TCREEP&gt;0),10*c_TCREEP,IF(AND(A192&lt;=c_TRNGMIN,A192&gt;=c_TRNGMAX,c_TRNGMIN-c_TRNGMAX&lt;&gt;0),-10*c_TMINRN+QUOTIENT((c_TMAXRN-c_TMINRN)*(100-QUOTIENT((A192-c_TRNGMAX)*100,c_TRNGMIN-c_TRNGMAX)),-10),0))</f>
        <v>0</v>
      </c>
      <c r="D192" s="7" t="n">
        <f aca="false">IF(((c_TMAP1IN)-(c_TFWD))=0,(0)+QUOTIENT(((c_TMAP1OUT)-(0)),2),QUOTIENT((((A192)-(c_TFWD))*((c_TMAP1OUT)-(0))+IF(((c_TMAP1OUT)-(0))&gt;=0,1,-1)*QUOTIENT(((c_TMAP1IN)-(c_TFWD)),2)),((c_TMAP1IN)-(c_TFWD)))+(0)+IF(((c_TMAP1OUT)-(0))&gt;=0,IF(IF(o_WRAP=1,MOD(((c_TMAP1IN)-(c_TFWD))*(((A192)-(c_TFWD))*((c_TMAP1OUT)-(0))+IF(((c_TMAP1OUT)-(0))&gt;=0,1,-1)*QUOTIENT(((c_TMAP1IN)-(c_TFWD)),2))+2147483648,4294967296)-2147483648,((c_TMAP1IN)-(c_TFWD))*(((A192)-(c_TFWD))*((c_TMAP1OUT)-(0))+IF(((c_TMAP1OUT)-(0))&gt;=0,1,-1)*QUOTIENT(((c_TMAP1IN)-(c_TFWD)),2)))&lt;0,-1,0),IF(IF(o_WRAP=1,MOD(((c_TMAP1IN)-(c_TFWD))*(((A192)-(c_TFWD))*((c_TMAP1OUT)-(0))+IF(((c_TMAP1OUT)-(0))&gt;=0,1,-1)*QUOTIENT(((c_TMAP1IN)-(c_TFWD)),2))+2147483648,4294967296)-2147483648,((c_TMAP1IN)-(c_TFWD))*(((A192)-(c_TFWD))*((c_TMAP1OUT)-(0))+IF(((c_TMAP1OUT)-(0))&gt;=0,1,-1)*QUOTIENT(((c_TMAP1IN)-(c_TFWD)),2)))&gt;=0,1,0)))</f>
        <v>138</v>
      </c>
      <c r="E192" s="7" t="n">
        <f aca="false">IF(((c_TMAP2IN)-(c_TMAP1IN))=0,(c_TMAP1OUT)+QUOTIENT(((c_TMAP2OUT)-(c_TMAP1OUT)),2),QUOTIENT((((A192)-(c_TMAP1IN))*((c_TMAP2OUT)-(c_TMAP1OUT))+IF(((c_TMAP2OUT)-(c_TMAP1OUT))&gt;=0,1,-1)*QUOTIENT(((c_TMAP2IN)-(c_TMAP1IN)),2)),((c_TMAP2IN)-(c_TMAP1IN)))+(c_TMAP1OUT)+IF(((c_TMAP2OUT)-(c_TMAP1OUT))&gt;=0,IF(IF(o_WRAP=1,MOD(((c_TMAP2IN)-(c_TMAP1IN))*(((A192)-(c_TMAP1IN))*((c_TMAP2OUT)-(c_TMAP1OUT))+IF(((c_TMAP2OUT)-(c_TMAP1OUT))&gt;=0,1,-1)*QUOTIENT(((c_TMAP2IN)-(c_TMAP1IN)),2))+2147483648,4294967296)-2147483648,((c_TMAP2IN)-(c_TMAP1IN))*(((A192)-(c_TMAP1IN))*((c_TMAP2OUT)-(c_TMAP1OUT))+IF(((c_TMAP2OUT)-(c_TMAP1OUT))&gt;=0,1,-1)*QUOTIENT(((c_TMAP2IN)-(c_TMAP1IN)),2)))&lt;0,-1,0),IF(IF(o_WRAP=1,MOD(((c_TMAP2IN)-(c_TMAP1IN))*(((A192)-(c_TMAP1IN))*((c_TMAP2OUT)-(c_TMAP1OUT))+IF(((c_TMAP2OUT)-(c_TMAP1OUT))&gt;=0,1,-1)*QUOTIENT(((c_TMAP2IN)-(c_TMAP1IN)),2))+2147483648,4294967296)-2147483648,((c_TMAP2IN)-(c_TMAP1IN))*(((A192)-(c_TMAP1IN))*((c_TMAP2OUT)-(c_TMAP1OUT))+IF(((c_TMAP2OUT)-(c_TMAP1OUT))&gt;=0,1,-1)*QUOTIENT(((c_TMAP2IN)-(c_TMAP1IN)),2)))&gt;=0,1,0)))</f>
        <v>105</v>
      </c>
      <c r="F192" s="7" t="n">
        <f aca="false">IF(((c_TMAP3IN)-(c_TMAP2IN))=0,(c_TMAP2OUT)+QUOTIENT(((c_TMAP3OUT)-(c_TMAP2OUT)),2),QUOTIENT((((A192)-(c_TMAP2IN))*((c_TMAP3OUT)-(c_TMAP2OUT))+IF(((c_TMAP3OUT)-(c_TMAP2OUT))&gt;=0,1,-1)*QUOTIENT(((c_TMAP3IN)-(c_TMAP2IN)),2)),((c_TMAP3IN)-(c_TMAP2IN)))+(c_TMAP2OUT)+IF(((c_TMAP3OUT)-(c_TMAP2OUT))&gt;=0,IF(IF(o_WRAP=1,MOD(((c_TMAP3IN)-(c_TMAP2IN))*(((A192)-(c_TMAP2IN))*((c_TMAP3OUT)-(c_TMAP2OUT))+IF(((c_TMAP3OUT)-(c_TMAP2OUT))&gt;=0,1,-1)*QUOTIENT(((c_TMAP3IN)-(c_TMAP2IN)),2))+2147483648,4294967296)-2147483648,((c_TMAP3IN)-(c_TMAP2IN))*(((A192)-(c_TMAP2IN))*((c_TMAP3OUT)-(c_TMAP2OUT))+IF(((c_TMAP3OUT)-(c_TMAP2OUT))&gt;=0,1,-1)*QUOTIENT(((c_TMAP3IN)-(c_TMAP2IN)),2)))&lt;0,-1,0),IF(IF(o_WRAP=1,MOD(((c_TMAP3IN)-(c_TMAP2IN))*(((A192)-(c_TMAP2IN))*((c_TMAP3OUT)-(c_TMAP2OUT))+IF(((c_TMAP3OUT)-(c_TMAP2OUT))&gt;=0,1,-1)*QUOTIENT(((c_TMAP3IN)-(c_TMAP2IN)),2))+2147483648,4294967296)-2147483648,((c_TMAP3IN)-(c_TMAP2IN))*(((A192)-(c_TMAP2IN))*((c_TMAP3OUT)-(c_TMAP2OUT))+IF(((c_TMAP3OUT)-(c_TMAP2OUT))&gt;=0,1,-1)*QUOTIENT(((c_TMAP3IN)-(c_TMAP2IN)),2)))&gt;=0,1,0)))</f>
        <v>86</v>
      </c>
      <c r="G192" s="7" t="n">
        <f aca="false">IF(((1000)-(c_TMAP3IN))=0,(c_TMAP3OUT)+QUOTIENT(((1000)-(c_TMAP3OUT)),2),QUOTIENT((((A192)-(c_TMAP3IN))*((1000)-(c_TMAP3OUT))+IF(((1000)-(c_TMAP3OUT))&gt;=0,1,-1)*QUOTIENT(((1000)-(c_TMAP3IN)),2)),((1000)-(c_TMAP3IN)))+(c_TMAP3OUT)+IF(((1000)-(c_TMAP3OUT))&gt;=0,IF(IF(o_WRAP=1,MOD(((1000)-(c_TMAP3IN))*(((A192)-(c_TMAP3IN))*((1000)-(c_TMAP3OUT))+IF(((1000)-(c_TMAP3OUT))&gt;=0,1,-1)*QUOTIENT(((1000)-(c_TMAP3IN)),2))+2147483648,4294967296)-2147483648,((1000)-(c_TMAP3IN))*(((A192)-(c_TMAP3IN))*((1000)-(c_TMAP3OUT))+IF(((1000)-(c_TMAP3OUT))&gt;=0,1,-1)*QUOTIENT(((1000)-(c_TMAP3IN)),2)))&lt;0,-1,0),IF(IF(o_WRAP=1,MOD(((1000)-(c_TMAP3IN))*(((A192)-(c_TMAP3IN))*((1000)-(c_TMAP3OUT))+IF(((1000)-(c_TMAP3OUT))&gt;=0,1,-1)*QUOTIENT(((1000)-(c_TMAP3IN)),2))+2147483648,4294967296)-2147483648,((1000)-(c_TMAP3IN))*(((A192)-(c_TMAP3IN))*((1000)-(c_TMAP3OUT))+IF(((1000)-(c_TMAP3OUT))&gt;=0,1,-1)*QUOTIENT(((1000)-(c_TMAP3IN)),2)))&gt;=0,1,0)))</f>
        <v>-1</v>
      </c>
      <c r="H192" s="7" t="str">
        <f aca="false">IF(A192&gt;=c_TFWD,IF(AND(A192&gt;=c_TMAP3IN,c_TMAP3IN&lt;1000),"Seg4 map3-100%",IF(AND(A192&gt;=c_TMAP2IN,c_TMAP3IN&gt;c_TMAP2IN),"Seg3 map2-map3",IF(AND(A192&gt;=c_TMAP1IN,c_TMAP2IN&gt;c_TMAP1IN),"Seg2 map1-map2","Seg1 TFWD-map1"))),IF(AND(A192=0,c_TCREEP&gt;0),"Creep",IF(AND(A192&lt;=c_TRNGMIN,A192&gt;=c_TRNGMAX,c_TRNGMIN-c_TRNGMAX&lt;&gt;0),"Regen ramp","Coast (0)")))</f>
        <v>Seg2 map1-map2</v>
      </c>
      <c r="I192" s="7" t="n">
        <f aca="false">IF(A192&gt;=c_TFWD,IF(AND(A192&gt;=c_TMAP3IN,c_TMAP3IN&lt;1000),G192,IF(AND(A192&gt;=c_TMAP2IN,c_TMAP3IN&gt;c_TMAP2IN),F192,IF(AND(A192&gt;=c_TMAP1IN,c_TMAP2IN&gt;c_TMAP1IN),E192,D192))),C192)</f>
        <v>105</v>
      </c>
      <c r="J192" s="7" t="str">
        <f aca="false">IF(I192&lt;-1090,"TOO LOW",IF(I192&gt;1090,"TOO HIGH",""))</f>
        <v/>
      </c>
      <c r="K192" s="15" t="n">
        <f aca="false">IF(J192&lt;&gt;"",0,IF(I192&gt;979,1000,I192))</f>
        <v>105</v>
      </c>
      <c r="L192" s="7" t="n">
        <f aca="false">K192/10</f>
        <v>10.5</v>
      </c>
    </row>
    <row r="193" customFormat="false" ht="15" hidden="false" customHeight="false" outlineLevel="0" collapsed="false">
      <c r="A193" s="7" t="n">
        <v>188</v>
      </c>
      <c r="B193" s="7" t="n">
        <f aca="false">A193/10</f>
        <v>18.8</v>
      </c>
      <c r="C193" s="7" t="n">
        <f aca="false">IF(AND(A193=0,c_TCREEP&gt;0),10*c_TCREEP,IF(AND(A193&lt;=c_TRNGMIN,A193&gt;=c_TRNGMAX,c_TRNGMIN-c_TRNGMAX&lt;&gt;0),-10*c_TMINRN+QUOTIENT((c_TMAXRN-c_TMINRN)*(100-QUOTIENT((A193-c_TRNGMAX)*100,c_TRNGMIN-c_TRNGMAX)),-10),0))</f>
        <v>0</v>
      </c>
      <c r="D193" s="7" t="n">
        <f aca="false">IF(((c_TMAP1IN)-(c_TFWD))=0,(0)+QUOTIENT(((c_TMAP1OUT)-(0)),2),QUOTIENT((((A193)-(c_TFWD))*((c_TMAP1OUT)-(0))+IF(((c_TMAP1OUT)-(0))&gt;=0,1,-1)*QUOTIENT(((c_TMAP1IN)-(c_TFWD)),2)),((c_TMAP1IN)-(c_TFWD)))+(0)+IF(((c_TMAP1OUT)-(0))&gt;=0,IF(IF(o_WRAP=1,MOD(((c_TMAP1IN)-(c_TFWD))*(((A193)-(c_TFWD))*((c_TMAP1OUT)-(0))+IF(((c_TMAP1OUT)-(0))&gt;=0,1,-1)*QUOTIENT(((c_TMAP1IN)-(c_TFWD)),2))+2147483648,4294967296)-2147483648,((c_TMAP1IN)-(c_TFWD))*(((A193)-(c_TFWD))*((c_TMAP1OUT)-(0))+IF(((c_TMAP1OUT)-(0))&gt;=0,1,-1)*QUOTIENT(((c_TMAP1IN)-(c_TFWD)),2)))&lt;0,-1,0),IF(IF(o_WRAP=1,MOD(((c_TMAP1IN)-(c_TFWD))*(((A193)-(c_TFWD))*((c_TMAP1OUT)-(0))+IF(((c_TMAP1OUT)-(0))&gt;=0,1,-1)*QUOTIENT(((c_TMAP1IN)-(c_TFWD)),2))+2147483648,4294967296)-2147483648,((c_TMAP1IN)-(c_TFWD))*(((A193)-(c_TFWD))*((c_TMAP1OUT)-(0))+IF(((c_TMAP1OUT)-(0))&gt;=0,1,-1)*QUOTIENT(((c_TMAP1IN)-(c_TFWD)),2)))&gt;=0,1,0)))</f>
        <v>138</v>
      </c>
      <c r="E193" s="7" t="n">
        <f aca="false">IF(((c_TMAP2IN)-(c_TMAP1IN))=0,(c_TMAP1OUT)+QUOTIENT(((c_TMAP2OUT)-(c_TMAP1OUT)),2),QUOTIENT((((A193)-(c_TMAP1IN))*((c_TMAP2OUT)-(c_TMAP1OUT))+IF(((c_TMAP2OUT)-(c_TMAP1OUT))&gt;=0,1,-1)*QUOTIENT(((c_TMAP2IN)-(c_TMAP1IN)),2)),((c_TMAP2IN)-(c_TMAP1IN)))+(c_TMAP1OUT)+IF(((c_TMAP2OUT)-(c_TMAP1OUT))&gt;=0,IF(IF(o_WRAP=1,MOD(((c_TMAP2IN)-(c_TMAP1IN))*(((A193)-(c_TMAP1IN))*((c_TMAP2OUT)-(c_TMAP1OUT))+IF(((c_TMAP2OUT)-(c_TMAP1OUT))&gt;=0,1,-1)*QUOTIENT(((c_TMAP2IN)-(c_TMAP1IN)),2))+2147483648,4294967296)-2147483648,((c_TMAP2IN)-(c_TMAP1IN))*(((A193)-(c_TMAP1IN))*((c_TMAP2OUT)-(c_TMAP1OUT))+IF(((c_TMAP2OUT)-(c_TMAP1OUT))&gt;=0,1,-1)*QUOTIENT(((c_TMAP2IN)-(c_TMAP1IN)),2)))&lt;0,-1,0),IF(IF(o_WRAP=1,MOD(((c_TMAP2IN)-(c_TMAP1IN))*(((A193)-(c_TMAP1IN))*((c_TMAP2OUT)-(c_TMAP1OUT))+IF(((c_TMAP2OUT)-(c_TMAP1OUT))&gt;=0,1,-1)*QUOTIENT(((c_TMAP2IN)-(c_TMAP1IN)),2))+2147483648,4294967296)-2147483648,((c_TMAP2IN)-(c_TMAP1IN))*(((A193)-(c_TMAP1IN))*((c_TMAP2OUT)-(c_TMAP1OUT))+IF(((c_TMAP2OUT)-(c_TMAP1OUT))&gt;=0,1,-1)*QUOTIENT(((c_TMAP2IN)-(c_TMAP1IN)),2)))&gt;=0,1,0)))</f>
        <v>105</v>
      </c>
      <c r="F193" s="7" t="n">
        <f aca="false">IF(((c_TMAP3IN)-(c_TMAP2IN))=0,(c_TMAP2OUT)+QUOTIENT(((c_TMAP3OUT)-(c_TMAP2OUT)),2),QUOTIENT((((A193)-(c_TMAP2IN))*((c_TMAP3OUT)-(c_TMAP2OUT))+IF(((c_TMAP3OUT)-(c_TMAP2OUT))&gt;=0,1,-1)*QUOTIENT(((c_TMAP3IN)-(c_TMAP2IN)),2)),((c_TMAP3IN)-(c_TMAP2IN)))+(c_TMAP2OUT)+IF(((c_TMAP3OUT)-(c_TMAP2OUT))&gt;=0,IF(IF(o_WRAP=1,MOD(((c_TMAP3IN)-(c_TMAP2IN))*(((A193)-(c_TMAP2IN))*((c_TMAP3OUT)-(c_TMAP2OUT))+IF(((c_TMAP3OUT)-(c_TMAP2OUT))&gt;=0,1,-1)*QUOTIENT(((c_TMAP3IN)-(c_TMAP2IN)),2))+2147483648,4294967296)-2147483648,((c_TMAP3IN)-(c_TMAP2IN))*(((A193)-(c_TMAP2IN))*((c_TMAP3OUT)-(c_TMAP2OUT))+IF(((c_TMAP3OUT)-(c_TMAP2OUT))&gt;=0,1,-1)*QUOTIENT(((c_TMAP3IN)-(c_TMAP2IN)),2)))&lt;0,-1,0),IF(IF(o_WRAP=1,MOD(((c_TMAP3IN)-(c_TMAP2IN))*(((A193)-(c_TMAP2IN))*((c_TMAP3OUT)-(c_TMAP2OUT))+IF(((c_TMAP3OUT)-(c_TMAP2OUT))&gt;=0,1,-1)*QUOTIENT(((c_TMAP3IN)-(c_TMAP2IN)),2))+2147483648,4294967296)-2147483648,((c_TMAP3IN)-(c_TMAP2IN))*(((A193)-(c_TMAP2IN))*((c_TMAP3OUT)-(c_TMAP2OUT))+IF(((c_TMAP3OUT)-(c_TMAP2OUT))&gt;=0,1,-1)*QUOTIENT(((c_TMAP3IN)-(c_TMAP2IN)),2)))&gt;=0,1,0)))</f>
        <v>87</v>
      </c>
      <c r="G193" s="7" t="n">
        <f aca="false">IF(((1000)-(c_TMAP3IN))=0,(c_TMAP3OUT)+QUOTIENT(((1000)-(c_TMAP3OUT)),2),QUOTIENT((((A193)-(c_TMAP3IN))*((1000)-(c_TMAP3OUT))+IF(((1000)-(c_TMAP3OUT))&gt;=0,1,-1)*QUOTIENT(((1000)-(c_TMAP3IN)),2)),((1000)-(c_TMAP3IN)))+(c_TMAP3OUT)+IF(((1000)-(c_TMAP3OUT))&gt;=0,IF(IF(o_WRAP=1,MOD(((1000)-(c_TMAP3IN))*(((A193)-(c_TMAP3IN))*((1000)-(c_TMAP3OUT))+IF(((1000)-(c_TMAP3OUT))&gt;=0,1,-1)*QUOTIENT(((1000)-(c_TMAP3IN)),2))+2147483648,4294967296)-2147483648,((1000)-(c_TMAP3IN))*(((A193)-(c_TMAP3IN))*((1000)-(c_TMAP3OUT))+IF(((1000)-(c_TMAP3OUT))&gt;=0,1,-1)*QUOTIENT(((1000)-(c_TMAP3IN)),2)))&lt;0,-1,0),IF(IF(o_WRAP=1,MOD(((1000)-(c_TMAP3IN))*(((A193)-(c_TMAP3IN))*((1000)-(c_TMAP3OUT))+IF(((1000)-(c_TMAP3OUT))&gt;=0,1,-1)*QUOTIENT(((1000)-(c_TMAP3IN)),2))+2147483648,4294967296)-2147483648,((1000)-(c_TMAP3IN))*(((A193)-(c_TMAP3IN))*((1000)-(c_TMAP3OUT))+IF(((1000)-(c_TMAP3OUT))&gt;=0,1,-1)*QUOTIENT(((1000)-(c_TMAP3IN)),2)))&gt;=0,1,0)))</f>
        <v>1</v>
      </c>
      <c r="H193" s="7" t="str">
        <f aca="false">IF(A193&gt;=c_TFWD,IF(AND(A193&gt;=c_TMAP3IN,c_TMAP3IN&lt;1000),"Seg4 map3-100%",IF(AND(A193&gt;=c_TMAP2IN,c_TMAP3IN&gt;c_TMAP2IN),"Seg3 map2-map3",IF(AND(A193&gt;=c_TMAP1IN,c_TMAP2IN&gt;c_TMAP1IN),"Seg2 map1-map2","Seg1 TFWD-map1"))),IF(AND(A193=0,c_TCREEP&gt;0),"Creep",IF(AND(A193&lt;=c_TRNGMIN,A193&gt;=c_TRNGMAX,c_TRNGMIN-c_TRNGMAX&lt;&gt;0),"Regen ramp","Coast (0)")))</f>
        <v>Seg2 map1-map2</v>
      </c>
      <c r="I193" s="7" t="n">
        <f aca="false">IF(A193&gt;=c_TFWD,IF(AND(A193&gt;=c_TMAP3IN,c_TMAP3IN&lt;1000),G193,IF(AND(A193&gt;=c_TMAP2IN,c_TMAP3IN&gt;c_TMAP2IN),F193,IF(AND(A193&gt;=c_TMAP1IN,c_TMAP2IN&gt;c_TMAP1IN),E193,D193))),C193)</f>
        <v>105</v>
      </c>
      <c r="J193" s="7" t="str">
        <f aca="false">IF(I193&lt;-1090,"TOO LOW",IF(I193&gt;1090,"TOO HIGH",""))</f>
        <v/>
      </c>
      <c r="K193" s="15" t="n">
        <f aca="false">IF(J193&lt;&gt;"",0,IF(I193&gt;979,1000,I193))</f>
        <v>105</v>
      </c>
      <c r="L193" s="7" t="n">
        <f aca="false">K193/10</f>
        <v>10.5</v>
      </c>
    </row>
    <row r="194" customFormat="false" ht="15" hidden="false" customHeight="false" outlineLevel="0" collapsed="false">
      <c r="A194" s="7" t="n">
        <v>189</v>
      </c>
      <c r="B194" s="7" t="n">
        <f aca="false">A194/10</f>
        <v>18.9</v>
      </c>
      <c r="C194" s="7" t="n">
        <f aca="false">IF(AND(A194=0,c_TCREEP&gt;0),10*c_TCREEP,IF(AND(A194&lt;=c_TRNGMIN,A194&gt;=c_TRNGMAX,c_TRNGMIN-c_TRNGMAX&lt;&gt;0),-10*c_TMINRN+QUOTIENT((c_TMAXRN-c_TMINRN)*(100-QUOTIENT((A194-c_TRNGMAX)*100,c_TRNGMIN-c_TRNGMAX)),-10),0))</f>
        <v>0</v>
      </c>
      <c r="D194" s="7" t="n">
        <f aca="false">IF(((c_TMAP1IN)-(c_TFWD))=0,(0)+QUOTIENT(((c_TMAP1OUT)-(0)),2),QUOTIENT((((A194)-(c_TFWD))*((c_TMAP1OUT)-(0))+IF(((c_TMAP1OUT)-(0))&gt;=0,1,-1)*QUOTIENT(((c_TMAP1IN)-(c_TFWD)),2)),((c_TMAP1IN)-(c_TFWD)))+(0)+IF(((c_TMAP1OUT)-(0))&gt;=0,IF(IF(o_WRAP=1,MOD(((c_TMAP1IN)-(c_TFWD))*(((A194)-(c_TFWD))*((c_TMAP1OUT)-(0))+IF(((c_TMAP1OUT)-(0))&gt;=0,1,-1)*QUOTIENT(((c_TMAP1IN)-(c_TFWD)),2))+2147483648,4294967296)-2147483648,((c_TMAP1IN)-(c_TFWD))*(((A194)-(c_TFWD))*((c_TMAP1OUT)-(0))+IF(((c_TMAP1OUT)-(0))&gt;=0,1,-1)*QUOTIENT(((c_TMAP1IN)-(c_TFWD)),2)))&lt;0,-1,0),IF(IF(o_WRAP=1,MOD(((c_TMAP1IN)-(c_TFWD))*(((A194)-(c_TFWD))*((c_TMAP1OUT)-(0))+IF(((c_TMAP1OUT)-(0))&gt;=0,1,-1)*QUOTIENT(((c_TMAP1IN)-(c_TFWD)),2))+2147483648,4294967296)-2147483648,((c_TMAP1IN)-(c_TFWD))*(((A194)-(c_TFWD))*((c_TMAP1OUT)-(0))+IF(((c_TMAP1OUT)-(0))&gt;=0,1,-1)*QUOTIENT(((c_TMAP1IN)-(c_TFWD)),2)))&gt;=0,1,0)))</f>
        <v>139</v>
      </c>
      <c r="E194" s="7" t="n">
        <f aca="false">IF(((c_TMAP2IN)-(c_TMAP1IN))=0,(c_TMAP1OUT)+QUOTIENT(((c_TMAP2OUT)-(c_TMAP1OUT)),2),QUOTIENT((((A194)-(c_TMAP1IN))*((c_TMAP2OUT)-(c_TMAP1OUT))+IF(((c_TMAP2OUT)-(c_TMAP1OUT))&gt;=0,1,-1)*QUOTIENT(((c_TMAP2IN)-(c_TMAP1IN)),2)),((c_TMAP2IN)-(c_TMAP1IN)))+(c_TMAP1OUT)+IF(((c_TMAP2OUT)-(c_TMAP1OUT))&gt;=0,IF(IF(o_WRAP=1,MOD(((c_TMAP2IN)-(c_TMAP1IN))*(((A194)-(c_TMAP1IN))*((c_TMAP2OUT)-(c_TMAP1OUT))+IF(((c_TMAP2OUT)-(c_TMAP1OUT))&gt;=0,1,-1)*QUOTIENT(((c_TMAP2IN)-(c_TMAP1IN)),2))+2147483648,4294967296)-2147483648,((c_TMAP2IN)-(c_TMAP1IN))*(((A194)-(c_TMAP1IN))*((c_TMAP2OUT)-(c_TMAP1OUT))+IF(((c_TMAP2OUT)-(c_TMAP1OUT))&gt;=0,1,-1)*QUOTIENT(((c_TMAP2IN)-(c_TMAP1IN)),2)))&lt;0,-1,0),IF(IF(o_WRAP=1,MOD(((c_TMAP2IN)-(c_TMAP1IN))*(((A194)-(c_TMAP1IN))*((c_TMAP2OUT)-(c_TMAP1OUT))+IF(((c_TMAP2OUT)-(c_TMAP1OUT))&gt;=0,1,-1)*QUOTIENT(((c_TMAP2IN)-(c_TMAP1IN)),2))+2147483648,4294967296)-2147483648,((c_TMAP2IN)-(c_TMAP1IN))*(((A194)-(c_TMAP1IN))*((c_TMAP2OUT)-(c_TMAP1OUT))+IF(((c_TMAP2OUT)-(c_TMAP1OUT))&gt;=0,1,-1)*QUOTIENT(((c_TMAP2IN)-(c_TMAP1IN)),2)))&gt;=0,1,0)))</f>
        <v>106</v>
      </c>
      <c r="F194" s="7" t="n">
        <f aca="false">IF(((c_TMAP3IN)-(c_TMAP2IN))=0,(c_TMAP2OUT)+QUOTIENT(((c_TMAP3OUT)-(c_TMAP2OUT)),2),QUOTIENT((((A194)-(c_TMAP2IN))*((c_TMAP3OUT)-(c_TMAP2OUT))+IF(((c_TMAP3OUT)-(c_TMAP2OUT))&gt;=0,1,-1)*QUOTIENT(((c_TMAP3IN)-(c_TMAP2IN)),2)),((c_TMAP3IN)-(c_TMAP2IN)))+(c_TMAP2OUT)+IF(((c_TMAP3OUT)-(c_TMAP2OUT))&gt;=0,IF(IF(o_WRAP=1,MOD(((c_TMAP3IN)-(c_TMAP2IN))*(((A194)-(c_TMAP2IN))*((c_TMAP3OUT)-(c_TMAP2OUT))+IF(((c_TMAP3OUT)-(c_TMAP2OUT))&gt;=0,1,-1)*QUOTIENT(((c_TMAP3IN)-(c_TMAP2IN)),2))+2147483648,4294967296)-2147483648,((c_TMAP3IN)-(c_TMAP2IN))*(((A194)-(c_TMAP2IN))*((c_TMAP3OUT)-(c_TMAP2OUT))+IF(((c_TMAP3OUT)-(c_TMAP2OUT))&gt;=0,1,-1)*QUOTIENT(((c_TMAP3IN)-(c_TMAP2IN)),2)))&lt;0,-1,0),IF(IF(o_WRAP=1,MOD(((c_TMAP3IN)-(c_TMAP2IN))*(((A194)-(c_TMAP2IN))*((c_TMAP3OUT)-(c_TMAP2OUT))+IF(((c_TMAP3OUT)-(c_TMAP2OUT))&gt;=0,1,-1)*QUOTIENT(((c_TMAP3IN)-(c_TMAP2IN)),2))+2147483648,4294967296)-2147483648,((c_TMAP3IN)-(c_TMAP2IN))*(((A194)-(c_TMAP2IN))*((c_TMAP3OUT)-(c_TMAP2OUT))+IF(((c_TMAP3OUT)-(c_TMAP2OUT))&gt;=0,1,-1)*QUOTIENT(((c_TMAP3IN)-(c_TMAP2IN)),2)))&gt;=0,1,0)))</f>
        <v>87</v>
      </c>
      <c r="G194" s="7" t="n">
        <f aca="false">IF(((1000)-(c_TMAP3IN))=0,(c_TMAP3OUT)+QUOTIENT(((1000)-(c_TMAP3OUT)),2),QUOTIENT((((A194)-(c_TMAP3IN))*((1000)-(c_TMAP3OUT))+IF(((1000)-(c_TMAP3OUT))&gt;=0,1,-1)*QUOTIENT(((1000)-(c_TMAP3IN)),2)),((1000)-(c_TMAP3IN)))+(c_TMAP3OUT)+IF(((1000)-(c_TMAP3OUT))&gt;=0,IF(IF(o_WRAP=1,MOD(((1000)-(c_TMAP3IN))*(((A194)-(c_TMAP3IN))*((1000)-(c_TMAP3OUT))+IF(((1000)-(c_TMAP3OUT))&gt;=0,1,-1)*QUOTIENT(((1000)-(c_TMAP3IN)),2))+2147483648,4294967296)-2147483648,((1000)-(c_TMAP3IN))*(((A194)-(c_TMAP3IN))*((1000)-(c_TMAP3OUT))+IF(((1000)-(c_TMAP3OUT))&gt;=0,1,-1)*QUOTIENT(((1000)-(c_TMAP3IN)),2)))&lt;0,-1,0),IF(IF(o_WRAP=1,MOD(((1000)-(c_TMAP3IN))*(((A194)-(c_TMAP3IN))*((1000)-(c_TMAP3OUT))+IF(((1000)-(c_TMAP3OUT))&gt;=0,1,-1)*QUOTIENT(((1000)-(c_TMAP3IN)),2))+2147483648,4294967296)-2147483648,((1000)-(c_TMAP3IN))*(((A194)-(c_TMAP3IN))*((1000)-(c_TMAP3OUT))+IF(((1000)-(c_TMAP3OUT))&gt;=0,1,-1)*QUOTIENT(((1000)-(c_TMAP3IN)),2)))&gt;=0,1,0)))</f>
        <v>2</v>
      </c>
      <c r="H194" s="7" t="str">
        <f aca="false">IF(A194&gt;=c_TFWD,IF(AND(A194&gt;=c_TMAP3IN,c_TMAP3IN&lt;1000),"Seg4 map3-100%",IF(AND(A194&gt;=c_TMAP2IN,c_TMAP3IN&gt;c_TMAP2IN),"Seg3 map2-map3",IF(AND(A194&gt;=c_TMAP1IN,c_TMAP2IN&gt;c_TMAP1IN),"Seg2 map1-map2","Seg1 TFWD-map1"))),IF(AND(A194=0,c_TCREEP&gt;0),"Creep",IF(AND(A194&lt;=c_TRNGMIN,A194&gt;=c_TRNGMAX,c_TRNGMIN-c_TRNGMAX&lt;&gt;0),"Regen ramp","Coast (0)")))</f>
        <v>Seg2 map1-map2</v>
      </c>
      <c r="I194" s="7" t="n">
        <f aca="false">IF(A194&gt;=c_TFWD,IF(AND(A194&gt;=c_TMAP3IN,c_TMAP3IN&lt;1000),G194,IF(AND(A194&gt;=c_TMAP2IN,c_TMAP3IN&gt;c_TMAP2IN),F194,IF(AND(A194&gt;=c_TMAP1IN,c_TMAP2IN&gt;c_TMAP1IN),E194,D194))),C194)</f>
        <v>106</v>
      </c>
      <c r="J194" s="7" t="str">
        <f aca="false">IF(I194&lt;-1090,"TOO LOW",IF(I194&gt;1090,"TOO HIGH",""))</f>
        <v/>
      </c>
      <c r="K194" s="15" t="n">
        <f aca="false">IF(J194&lt;&gt;"",0,IF(I194&gt;979,1000,I194))</f>
        <v>106</v>
      </c>
      <c r="L194" s="7" t="n">
        <f aca="false">K194/10</f>
        <v>10.6</v>
      </c>
    </row>
    <row r="195" customFormat="false" ht="15" hidden="false" customHeight="false" outlineLevel="0" collapsed="false">
      <c r="A195" s="7" t="n">
        <v>190</v>
      </c>
      <c r="B195" s="7" t="n">
        <f aca="false">A195/10</f>
        <v>19</v>
      </c>
      <c r="C195" s="7" t="n">
        <f aca="false">IF(AND(A195=0,c_TCREEP&gt;0),10*c_TCREEP,IF(AND(A195&lt;=c_TRNGMIN,A195&gt;=c_TRNGMAX,c_TRNGMIN-c_TRNGMAX&lt;&gt;0),-10*c_TMINRN+QUOTIENT((c_TMAXRN-c_TMINRN)*(100-QUOTIENT((A195-c_TRNGMAX)*100,c_TRNGMIN-c_TRNGMAX)),-10),0))</f>
        <v>0</v>
      </c>
      <c r="D195" s="7" t="n">
        <f aca="false">IF(((c_TMAP1IN)-(c_TFWD))=0,(0)+QUOTIENT(((c_TMAP1OUT)-(0)),2),QUOTIENT((((A195)-(c_TFWD))*((c_TMAP1OUT)-(0))+IF(((c_TMAP1OUT)-(0))&gt;=0,1,-1)*QUOTIENT(((c_TMAP1IN)-(c_TFWD)),2)),((c_TMAP1IN)-(c_TFWD)))+(0)+IF(((c_TMAP1OUT)-(0))&gt;=0,IF(IF(o_WRAP=1,MOD(((c_TMAP1IN)-(c_TFWD))*(((A195)-(c_TFWD))*((c_TMAP1OUT)-(0))+IF(((c_TMAP1OUT)-(0))&gt;=0,1,-1)*QUOTIENT(((c_TMAP1IN)-(c_TFWD)),2))+2147483648,4294967296)-2147483648,((c_TMAP1IN)-(c_TFWD))*(((A195)-(c_TFWD))*((c_TMAP1OUT)-(0))+IF(((c_TMAP1OUT)-(0))&gt;=0,1,-1)*QUOTIENT(((c_TMAP1IN)-(c_TFWD)),2)))&lt;0,-1,0),IF(IF(o_WRAP=1,MOD(((c_TMAP1IN)-(c_TFWD))*(((A195)-(c_TFWD))*((c_TMAP1OUT)-(0))+IF(((c_TMAP1OUT)-(0))&gt;=0,1,-1)*QUOTIENT(((c_TMAP1IN)-(c_TFWD)),2))+2147483648,4294967296)-2147483648,((c_TMAP1IN)-(c_TFWD))*(((A195)-(c_TFWD))*((c_TMAP1OUT)-(0))+IF(((c_TMAP1OUT)-(0))&gt;=0,1,-1)*QUOTIENT(((c_TMAP1IN)-(c_TFWD)),2)))&gt;=0,1,0)))</f>
        <v>140</v>
      </c>
      <c r="E195" s="7" t="n">
        <f aca="false">IF(((c_TMAP2IN)-(c_TMAP1IN))=0,(c_TMAP1OUT)+QUOTIENT(((c_TMAP2OUT)-(c_TMAP1OUT)),2),QUOTIENT((((A195)-(c_TMAP1IN))*((c_TMAP2OUT)-(c_TMAP1OUT))+IF(((c_TMAP2OUT)-(c_TMAP1OUT))&gt;=0,1,-1)*QUOTIENT(((c_TMAP2IN)-(c_TMAP1IN)),2)),((c_TMAP2IN)-(c_TMAP1IN)))+(c_TMAP1OUT)+IF(((c_TMAP2OUT)-(c_TMAP1OUT))&gt;=0,IF(IF(o_WRAP=1,MOD(((c_TMAP2IN)-(c_TMAP1IN))*(((A195)-(c_TMAP1IN))*((c_TMAP2OUT)-(c_TMAP1OUT))+IF(((c_TMAP2OUT)-(c_TMAP1OUT))&gt;=0,1,-1)*QUOTIENT(((c_TMAP2IN)-(c_TMAP1IN)),2))+2147483648,4294967296)-2147483648,((c_TMAP2IN)-(c_TMAP1IN))*(((A195)-(c_TMAP1IN))*((c_TMAP2OUT)-(c_TMAP1OUT))+IF(((c_TMAP2OUT)-(c_TMAP1OUT))&gt;=0,1,-1)*QUOTIENT(((c_TMAP2IN)-(c_TMAP1IN)),2)))&lt;0,-1,0),IF(IF(o_WRAP=1,MOD(((c_TMAP2IN)-(c_TMAP1IN))*(((A195)-(c_TMAP1IN))*((c_TMAP2OUT)-(c_TMAP1OUT))+IF(((c_TMAP2OUT)-(c_TMAP1OUT))&gt;=0,1,-1)*QUOTIENT(((c_TMAP2IN)-(c_TMAP1IN)),2))+2147483648,4294967296)-2147483648,((c_TMAP2IN)-(c_TMAP1IN))*(((A195)-(c_TMAP1IN))*((c_TMAP2OUT)-(c_TMAP1OUT))+IF(((c_TMAP2OUT)-(c_TMAP1OUT))&gt;=0,1,-1)*QUOTIENT(((c_TMAP2IN)-(c_TMAP1IN)),2)))&gt;=0,1,0)))</f>
        <v>106</v>
      </c>
      <c r="F195" s="7" t="n">
        <f aca="false">IF(((c_TMAP3IN)-(c_TMAP2IN))=0,(c_TMAP2OUT)+QUOTIENT(((c_TMAP3OUT)-(c_TMAP2OUT)),2),QUOTIENT((((A195)-(c_TMAP2IN))*((c_TMAP3OUT)-(c_TMAP2OUT))+IF(((c_TMAP3OUT)-(c_TMAP2OUT))&gt;=0,1,-1)*QUOTIENT(((c_TMAP3IN)-(c_TMAP2IN)),2)),((c_TMAP3IN)-(c_TMAP2IN)))+(c_TMAP2OUT)+IF(((c_TMAP3OUT)-(c_TMAP2OUT))&gt;=0,IF(IF(o_WRAP=1,MOD(((c_TMAP3IN)-(c_TMAP2IN))*(((A195)-(c_TMAP2IN))*((c_TMAP3OUT)-(c_TMAP2OUT))+IF(((c_TMAP3OUT)-(c_TMAP2OUT))&gt;=0,1,-1)*QUOTIENT(((c_TMAP3IN)-(c_TMAP2IN)),2))+2147483648,4294967296)-2147483648,((c_TMAP3IN)-(c_TMAP2IN))*(((A195)-(c_TMAP2IN))*((c_TMAP3OUT)-(c_TMAP2OUT))+IF(((c_TMAP3OUT)-(c_TMAP2OUT))&gt;=0,1,-1)*QUOTIENT(((c_TMAP3IN)-(c_TMAP2IN)),2)))&lt;0,-1,0),IF(IF(o_WRAP=1,MOD(((c_TMAP3IN)-(c_TMAP2IN))*(((A195)-(c_TMAP2IN))*((c_TMAP3OUT)-(c_TMAP2OUT))+IF(((c_TMAP3OUT)-(c_TMAP2OUT))&gt;=0,1,-1)*QUOTIENT(((c_TMAP3IN)-(c_TMAP2IN)),2))+2147483648,4294967296)-2147483648,((c_TMAP3IN)-(c_TMAP2IN))*(((A195)-(c_TMAP2IN))*((c_TMAP3OUT)-(c_TMAP2OUT))+IF(((c_TMAP3OUT)-(c_TMAP2OUT))&gt;=0,1,-1)*QUOTIENT(((c_TMAP3IN)-(c_TMAP2IN)),2)))&gt;=0,1,0)))</f>
        <v>88</v>
      </c>
      <c r="G195" s="7" t="n">
        <f aca="false">IF(((1000)-(c_TMAP3IN))=0,(c_TMAP3OUT)+QUOTIENT(((1000)-(c_TMAP3OUT)),2),QUOTIENT((((A195)-(c_TMAP3IN))*((1000)-(c_TMAP3OUT))+IF(((1000)-(c_TMAP3OUT))&gt;=0,1,-1)*QUOTIENT(((1000)-(c_TMAP3IN)),2)),((1000)-(c_TMAP3IN)))+(c_TMAP3OUT)+IF(((1000)-(c_TMAP3OUT))&gt;=0,IF(IF(o_WRAP=1,MOD(((1000)-(c_TMAP3IN))*(((A195)-(c_TMAP3IN))*((1000)-(c_TMAP3OUT))+IF(((1000)-(c_TMAP3OUT))&gt;=0,1,-1)*QUOTIENT(((1000)-(c_TMAP3IN)),2))+2147483648,4294967296)-2147483648,((1000)-(c_TMAP3IN))*(((A195)-(c_TMAP3IN))*((1000)-(c_TMAP3OUT))+IF(((1000)-(c_TMAP3OUT))&gt;=0,1,-1)*QUOTIENT(((1000)-(c_TMAP3IN)),2)))&lt;0,-1,0),IF(IF(o_WRAP=1,MOD(((1000)-(c_TMAP3IN))*(((A195)-(c_TMAP3IN))*((1000)-(c_TMAP3OUT))+IF(((1000)-(c_TMAP3OUT))&gt;=0,1,-1)*QUOTIENT(((1000)-(c_TMAP3IN)),2))+2147483648,4294967296)-2147483648,((1000)-(c_TMAP3IN))*(((A195)-(c_TMAP3IN))*((1000)-(c_TMAP3OUT))+IF(((1000)-(c_TMAP3OUT))&gt;=0,1,-1)*QUOTIENT(((1000)-(c_TMAP3IN)),2)))&gt;=0,1,0)))</f>
        <v>3</v>
      </c>
      <c r="H195" s="7" t="str">
        <f aca="false">IF(A195&gt;=c_TFWD,IF(AND(A195&gt;=c_TMAP3IN,c_TMAP3IN&lt;1000),"Seg4 map3-100%",IF(AND(A195&gt;=c_TMAP2IN,c_TMAP3IN&gt;c_TMAP2IN),"Seg3 map2-map3",IF(AND(A195&gt;=c_TMAP1IN,c_TMAP2IN&gt;c_TMAP1IN),"Seg2 map1-map2","Seg1 TFWD-map1"))),IF(AND(A195=0,c_TCREEP&gt;0),"Creep",IF(AND(A195&lt;=c_TRNGMIN,A195&gt;=c_TRNGMAX,c_TRNGMIN-c_TRNGMAX&lt;&gt;0),"Regen ramp","Coast (0)")))</f>
        <v>Seg2 map1-map2</v>
      </c>
      <c r="I195" s="7" t="n">
        <f aca="false">IF(A195&gt;=c_TFWD,IF(AND(A195&gt;=c_TMAP3IN,c_TMAP3IN&lt;1000),G195,IF(AND(A195&gt;=c_TMAP2IN,c_TMAP3IN&gt;c_TMAP2IN),F195,IF(AND(A195&gt;=c_TMAP1IN,c_TMAP2IN&gt;c_TMAP1IN),E195,D195))),C195)</f>
        <v>106</v>
      </c>
      <c r="J195" s="7" t="str">
        <f aca="false">IF(I195&lt;-1090,"TOO LOW",IF(I195&gt;1090,"TOO HIGH",""))</f>
        <v/>
      </c>
      <c r="K195" s="15" t="n">
        <f aca="false">IF(J195&lt;&gt;"",0,IF(I195&gt;979,1000,I195))</f>
        <v>106</v>
      </c>
      <c r="L195" s="7" t="n">
        <f aca="false">K195/10</f>
        <v>10.6</v>
      </c>
    </row>
    <row r="196" customFormat="false" ht="15" hidden="false" customHeight="false" outlineLevel="0" collapsed="false">
      <c r="A196" s="7" t="n">
        <v>191</v>
      </c>
      <c r="B196" s="7" t="n">
        <f aca="false">A196/10</f>
        <v>19.1</v>
      </c>
      <c r="C196" s="7" t="n">
        <f aca="false">IF(AND(A196=0,c_TCREEP&gt;0),10*c_TCREEP,IF(AND(A196&lt;=c_TRNGMIN,A196&gt;=c_TRNGMAX,c_TRNGMIN-c_TRNGMAX&lt;&gt;0),-10*c_TMINRN+QUOTIENT((c_TMAXRN-c_TMINRN)*(100-QUOTIENT((A196-c_TRNGMAX)*100,c_TRNGMIN-c_TRNGMAX)),-10),0))</f>
        <v>0</v>
      </c>
      <c r="D196" s="7" t="n">
        <f aca="false">IF(((c_TMAP1IN)-(c_TFWD))=0,(0)+QUOTIENT(((c_TMAP1OUT)-(0)),2),QUOTIENT((((A196)-(c_TFWD))*((c_TMAP1OUT)-(0))+IF(((c_TMAP1OUT)-(0))&gt;=0,1,-1)*QUOTIENT(((c_TMAP1IN)-(c_TFWD)),2)),((c_TMAP1IN)-(c_TFWD)))+(0)+IF(((c_TMAP1OUT)-(0))&gt;=0,IF(IF(o_WRAP=1,MOD(((c_TMAP1IN)-(c_TFWD))*(((A196)-(c_TFWD))*((c_TMAP1OUT)-(0))+IF(((c_TMAP1OUT)-(0))&gt;=0,1,-1)*QUOTIENT(((c_TMAP1IN)-(c_TFWD)),2))+2147483648,4294967296)-2147483648,((c_TMAP1IN)-(c_TFWD))*(((A196)-(c_TFWD))*((c_TMAP1OUT)-(0))+IF(((c_TMAP1OUT)-(0))&gt;=0,1,-1)*QUOTIENT(((c_TMAP1IN)-(c_TFWD)),2)))&lt;0,-1,0),IF(IF(o_WRAP=1,MOD(((c_TMAP1IN)-(c_TFWD))*(((A196)-(c_TFWD))*((c_TMAP1OUT)-(0))+IF(((c_TMAP1OUT)-(0))&gt;=0,1,-1)*QUOTIENT(((c_TMAP1IN)-(c_TFWD)),2))+2147483648,4294967296)-2147483648,((c_TMAP1IN)-(c_TFWD))*(((A196)-(c_TFWD))*((c_TMAP1OUT)-(0))+IF(((c_TMAP1OUT)-(0))&gt;=0,1,-1)*QUOTIENT(((c_TMAP1IN)-(c_TFWD)),2)))&gt;=0,1,0)))</f>
        <v>141</v>
      </c>
      <c r="E196" s="7" t="n">
        <f aca="false">IF(((c_TMAP2IN)-(c_TMAP1IN))=0,(c_TMAP1OUT)+QUOTIENT(((c_TMAP2OUT)-(c_TMAP1OUT)),2),QUOTIENT((((A196)-(c_TMAP1IN))*((c_TMAP2OUT)-(c_TMAP1OUT))+IF(((c_TMAP2OUT)-(c_TMAP1OUT))&gt;=0,1,-1)*QUOTIENT(((c_TMAP2IN)-(c_TMAP1IN)),2)),((c_TMAP2IN)-(c_TMAP1IN)))+(c_TMAP1OUT)+IF(((c_TMAP2OUT)-(c_TMAP1OUT))&gt;=0,IF(IF(o_WRAP=1,MOD(((c_TMAP2IN)-(c_TMAP1IN))*(((A196)-(c_TMAP1IN))*((c_TMAP2OUT)-(c_TMAP1OUT))+IF(((c_TMAP2OUT)-(c_TMAP1OUT))&gt;=0,1,-1)*QUOTIENT(((c_TMAP2IN)-(c_TMAP1IN)),2))+2147483648,4294967296)-2147483648,((c_TMAP2IN)-(c_TMAP1IN))*(((A196)-(c_TMAP1IN))*((c_TMAP2OUT)-(c_TMAP1OUT))+IF(((c_TMAP2OUT)-(c_TMAP1OUT))&gt;=0,1,-1)*QUOTIENT(((c_TMAP2IN)-(c_TMAP1IN)),2)))&lt;0,-1,0),IF(IF(o_WRAP=1,MOD(((c_TMAP2IN)-(c_TMAP1IN))*(((A196)-(c_TMAP1IN))*((c_TMAP2OUT)-(c_TMAP1OUT))+IF(((c_TMAP2OUT)-(c_TMAP1OUT))&gt;=0,1,-1)*QUOTIENT(((c_TMAP2IN)-(c_TMAP1IN)),2))+2147483648,4294967296)-2147483648,((c_TMAP2IN)-(c_TMAP1IN))*(((A196)-(c_TMAP1IN))*((c_TMAP2OUT)-(c_TMAP1OUT))+IF(((c_TMAP2OUT)-(c_TMAP1OUT))&gt;=0,1,-1)*QUOTIENT(((c_TMAP2IN)-(c_TMAP1IN)),2)))&gt;=0,1,0)))</f>
        <v>106</v>
      </c>
      <c r="F196" s="7" t="n">
        <f aca="false">IF(((c_TMAP3IN)-(c_TMAP2IN))=0,(c_TMAP2OUT)+QUOTIENT(((c_TMAP3OUT)-(c_TMAP2OUT)),2),QUOTIENT((((A196)-(c_TMAP2IN))*((c_TMAP3OUT)-(c_TMAP2OUT))+IF(((c_TMAP3OUT)-(c_TMAP2OUT))&gt;=0,1,-1)*QUOTIENT(((c_TMAP3IN)-(c_TMAP2IN)),2)),((c_TMAP3IN)-(c_TMAP2IN)))+(c_TMAP2OUT)+IF(((c_TMAP3OUT)-(c_TMAP2OUT))&gt;=0,IF(IF(o_WRAP=1,MOD(((c_TMAP3IN)-(c_TMAP2IN))*(((A196)-(c_TMAP2IN))*((c_TMAP3OUT)-(c_TMAP2OUT))+IF(((c_TMAP3OUT)-(c_TMAP2OUT))&gt;=0,1,-1)*QUOTIENT(((c_TMAP3IN)-(c_TMAP2IN)),2))+2147483648,4294967296)-2147483648,((c_TMAP3IN)-(c_TMAP2IN))*(((A196)-(c_TMAP2IN))*((c_TMAP3OUT)-(c_TMAP2OUT))+IF(((c_TMAP3OUT)-(c_TMAP2OUT))&gt;=0,1,-1)*QUOTIENT(((c_TMAP3IN)-(c_TMAP2IN)),2)))&lt;0,-1,0),IF(IF(o_WRAP=1,MOD(((c_TMAP3IN)-(c_TMAP2IN))*(((A196)-(c_TMAP2IN))*((c_TMAP3OUT)-(c_TMAP2OUT))+IF(((c_TMAP3OUT)-(c_TMAP2OUT))&gt;=0,1,-1)*QUOTIENT(((c_TMAP3IN)-(c_TMAP2IN)),2))+2147483648,4294967296)-2147483648,((c_TMAP3IN)-(c_TMAP2IN))*(((A196)-(c_TMAP2IN))*((c_TMAP3OUT)-(c_TMAP2OUT))+IF(((c_TMAP3OUT)-(c_TMAP2OUT))&gt;=0,1,-1)*QUOTIENT(((c_TMAP3IN)-(c_TMAP2IN)),2)))&gt;=0,1,0)))</f>
        <v>89</v>
      </c>
      <c r="G196" s="7" t="n">
        <f aca="false">IF(((1000)-(c_TMAP3IN))=0,(c_TMAP3OUT)+QUOTIENT(((1000)-(c_TMAP3OUT)),2),QUOTIENT((((A196)-(c_TMAP3IN))*((1000)-(c_TMAP3OUT))+IF(((1000)-(c_TMAP3OUT))&gt;=0,1,-1)*QUOTIENT(((1000)-(c_TMAP3IN)),2)),((1000)-(c_TMAP3IN)))+(c_TMAP3OUT)+IF(((1000)-(c_TMAP3OUT))&gt;=0,IF(IF(o_WRAP=1,MOD(((1000)-(c_TMAP3IN))*(((A196)-(c_TMAP3IN))*((1000)-(c_TMAP3OUT))+IF(((1000)-(c_TMAP3OUT))&gt;=0,1,-1)*QUOTIENT(((1000)-(c_TMAP3IN)),2))+2147483648,4294967296)-2147483648,((1000)-(c_TMAP3IN))*(((A196)-(c_TMAP3IN))*((1000)-(c_TMAP3OUT))+IF(((1000)-(c_TMAP3OUT))&gt;=0,1,-1)*QUOTIENT(((1000)-(c_TMAP3IN)),2)))&lt;0,-1,0),IF(IF(o_WRAP=1,MOD(((1000)-(c_TMAP3IN))*(((A196)-(c_TMAP3IN))*((1000)-(c_TMAP3OUT))+IF(((1000)-(c_TMAP3OUT))&gt;=0,1,-1)*QUOTIENT(((1000)-(c_TMAP3IN)),2))+2147483648,4294967296)-2147483648,((1000)-(c_TMAP3IN))*(((A196)-(c_TMAP3IN))*((1000)-(c_TMAP3OUT))+IF(((1000)-(c_TMAP3OUT))&gt;=0,1,-1)*QUOTIENT(((1000)-(c_TMAP3IN)),2)))&gt;=0,1,0)))</f>
        <v>4</v>
      </c>
      <c r="H196" s="7" t="str">
        <f aca="false">IF(A196&gt;=c_TFWD,IF(AND(A196&gt;=c_TMAP3IN,c_TMAP3IN&lt;1000),"Seg4 map3-100%",IF(AND(A196&gt;=c_TMAP2IN,c_TMAP3IN&gt;c_TMAP2IN),"Seg3 map2-map3",IF(AND(A196&gt;=c_TMAP1IN,c_TMAP2IN&gt;c_TMAP1IN),"Seg2 map1-map2","Seg1 TFWD-map1"))),IF(AND(A196=0,c_TCREEP&gt;0),"Creep",IF(AND(A196&lt;=c_TRNGMIN,A196&gt;=c_TRNGMAX,c_TRNGMIN-c_TRNGMAX&lt;&gt;0),"Regen ramp","Coast (0)")))</f>
        <v>Seg2 map1-map2</v>
      </c>
      <c r="I196" s="7" t="n">
        <f aca="false">IF(A196&gt;=c_TFWD,IF(AND(A196&gt;=c_TMAP3IN,c_TMAP3IN&lt;1000),G196,IF(AND(A196&gt;=c_TMAP2IN,c_TMAP3IN&gt;c_TMAP2IN),F196,IF(AND(A196&gt;=c_TMAP1IN,c_TMAP2IN&gt;c_TMAP1IN),E196,D196))),C196)</f>
        <v>106</v>
      </c>
      <c r="J196" s="7" t="str">
        <f aca="false">IF(I196&lt;-1090,"TOO LOW",IF(I196&gt;1090,"TOO HIGH",""))</f>
        <v/>
      </c>
      <c r="K196" s="15" t="n">
        <f aca="false">IF(J196&lt;&gt;"",0,IF(I196&gt;979,1000,I196))</f>
        <v>106</v>
      </c>
      <c r="L196" s="7" t="n">
        <f aca="false">K196/10</f>
        <v>10.6</v>
      </c>
    </row>
    <row r="197" customFormat="false" ht="15" hidden="false" customHeight="false" outlineLevel="0" collapsed="false">
      <c r="A197" s="7" t="n">
        <v>192</v>
      </c>
      <c r="B197" s="7" t="n">
        <f aca="false">A197/10</f>
        <v>19.2</v>
      </c>
      <c r="C197" s="7" t="n">
        <f aca="false">IF(AND(A197=0,c_TCREEP&gt;0),10*c_TCREEP,IF(AND(A197&lt;=c_TRNGMIN,A197&gt;=c_TRNGMAX,c_TRNGMIN-c_TRNGMAX&lt;&gt;0),-10*c_TMINRN+QUOTIENT((c_TMAXRN-c_TMINRN)*(100-QUOTIENT((A197-c_TRNGMAX)*100,c_TRNGMIN-c_TRNGMAX)),-10),0))</f>
        <v>0</v>
      </c>
      <c r="D197" s="7" t="n">
        <f aca="false">IF(((c_TMAP1IN)-(c_TFWD))=0,(0)+QUOTIENT(((c_TMAP1OUT)-(0)),2),QUOTIENT((((A197)-(c_TFWD))*((c_TMAP1OUT)-(0))+IF(((c_TMAP1OUT)-(0))&gt;=0,1,-1)*QUOTIENT(((c_TMAP1IN)-(c_TFWD)),2)),((c_TMAP1IN)-(c_TFWD)))+(0)+IF(((c_TMAP1OUT)-(0))&gt;=0,IF(IF(o_WRAP=1,MOD(((c_TMAP1IN)-(c_TFWD))*(((A197)-(c_TFWD))*((c_TMAP1OUT)-(0))+IF(((c_TMAP1OUT)-(0))&gt;=0,1,-1)*QUOTIENT(((c_TMAP1IN)-(c_TFWD)),2))+2147483648,4294967296)-2147483648,((c_TMAP1IN)-(c_TFWD))*(((A197)-(c_TFWD))*((c_TMAP1OUT)-(0))+IF(((c_TMAP1OUT)-(0))&gt;=0,1,-1)*QUOTIENT(((c_TMAP1IN)-(c_TFWD)),2)))&lt;0,-1,0),IF(IF(o_WRAP=1,MOD(((c_TMAP1IN)-(c_TFWD))*(((A197)-(c_TFWD))*((c_TMAP1OUT)-(0))+IF(((c_TMAP1OUT)-(0))&gt;=0,1,-1)*QUOTIENT(((c_TMAP1IN)-(c_TFWD)),2))+2147483648,4294967296)-2147483648,((c_TMAP1IN)-(c_TFWD))*(((A197)-(c_TFWD))*((c_TMAP1OUT)-(0))+IF(((c_TMAP1OUT)-(0))&gt;=0,1,-1)*QUOTIENT(((c_TMAP1IN)-(c_TFWD)),2)))&gt;=0,1,0)))</f>
        <v>142</v>
      </c>
      <c r="E197" s="7" t="n">
        <f aca="false">IF(((c_TMAP2IN)-(c_TMAP1IN))=0,(c_TMAP1OUT)+QUOTIENT(((c_TMAP2OUT)-(c_TMAP1OUT)),2),QUOTIENT((((A197)-(c_TMAP1IN))*((c_TMAP2OUT)-(c_TMAP1OUT))+IF(((c_TMAP2OUT)-(c_TMAP1OUT))&gt;=0,1,-1)*QUOTIENT(((c_TMAP2IN)-(c_TMAP1IN)),2)),((c_TMAP2IN)-(c_TMAP1IN)))+(c_TMAP1OUT)+IF(((c_TMAP2OUT)-(c_TMAP1OUT))&gt;=0,IF(IF(o_WRAP=1,MOD(((c_TMAP2IN)-(c_TMAP1IN))*(((A197)-(c_TMAP1IN))*((c_TMAP2OUT)-(c_TMAP1OUT))+IF(((c_TMAP2OUT)-(c_TMAP1OUT))&gt;=0,1,-1)*QUOTIENT(((c_TMAP2IN)-(c_TMAP1IN)),2))+2147483648,4294967296)-2147483648,((c_TMAP2IN)-(c_TMAP1IN))*(((A197)-(c_TMAP1IN))*((c_TMAP2OUT)-(c_TMAP1OUT))+IF(((c_TMAP2OUT)-(c_TMAP1OUT))&gt;=0,1,-1)*QUOTIENT(((c_TMAP2IN)-(c_TMAP1IN)),2)))&lt;0,-1,0),IF(IF(o_WRAP=1,MOD(((c_TMAP2IN)-(c_TMAP1IN))*(((A197)-(c_TMAP1IN))*((c_TMAP2OUT)-(c_TMAP1OUT))+IF(((c_TMAP2OUT)-(c_TMAP1OUT))&gt;=0,1,-1)*QUOTIENT(((c_TMAP2IN)-(c_TMAP1IN)),2))+2147483648,4294967296)-2147483648,((c_TMAP2IN)-(c_TMAP1IN))*(((A197)-(c_TMAP1IN))*((c_TMAP2OUT)-(c_TMAP1OUT))+IF(((c_TMAP2OUT)-(c_TMAP1OUT))&gt;=0,1,-1)*QUOTIENT(((c_TMAP2IN)-(c_TMAP1IN)),2)))&gt;=0,1,0)))</f>
        <v>107</v>
      </c>
      <c r="F197" s="7" t="n">
        <f aca="false">IF(((c_TMAP3IN)-(c_TMAP2IN))=0,(c_TMAP2OUT)+QUOTIENT(((c_TMAP3OUT)-(c_TMAP2OUT)),2),QUOTIENT((((A197)-(c_TMAP2IN))*((c_TMAP3OUT)-(c_TMAP2OUT))+IF(((c_TMAP3OUT)-(c_TMAP2OUT))&gt;=0,1,-1)*QUOTIENT(((c_TMAP3IN)-(c_TMAP2IN)),2)),((c_TMAP3IN)-(c_TMAP2IN)))+(c_TMAP2OUT)+IF(((c_TMAP3OUT)-(c_TMAP2OUT))&gt;=0,IF(IF(o_WRAP=1,MOD(((c_TMAP3IN)-(c_TMAP2IN))*(((A197)-(c_TMAP2IN))*((c_TMAP3OUT)-(c_TMAP2OUT))+IF(((c_TMAP3OUT)-(c_TMAP2OUT))&gt;=0,1,-1)*QUOTIENT(((c_TMAP3IN)-(c_TMAP2IN)),2))+2147483648,4294967296)-2147483648,((c_TMAP3IN)-(c_TMAP2IN))*(((A197)-(c_TMAP2IN))*((c_TMAP3OUT)-(c_TMAP2OUT))+IF(((c_TMAP3OUT)-(c_TMAP2OUT))&gt;=0,1,-1)*QUOTIENT(((c_TMAP3IN)-(c_TMAP2IN)),2)))&lt;0,-1,0),IF(IF(o_WRAP=1,MOD(((c_TMAP3IN)-(c_TMAP2IN))*(((A197)-(c_TMAP2IN))*((c_TMAP3OUT)-(c_TMAP2OUT))+IF(((c_TMAP3OUT)-(c_TMAP2OUT))&gt;=0,1,-1)*QUOTIENT(((c_TMAP3IN)-(c_TMAP2IN)),2))+2147483648,4294967296)-2147483648,((c_TMAP3IN)-(c_TMAP2IN))*(((A197)-(c_TMAP2IN))*((c_TMAP3OUT)-(c_TMAP2OUT))+IF(((c_TMAP3OUT)-(c_TMAP2OUT))&gt;=0,1,-1)*QUOTIENT(((c_TMAP3IN)-(c_TMAP2IN)),2)))&gt;=0,1,0)))</f>
        <v>89</v>
      </c>
      <c r="G197" s="7" t="n">
        <f aca="false">IF(((1000)-(c_TMAP3IN))=0,(c_TMAP3OUT)+QUOTIENT(((1000)-(c_TMAP3OUT)),2),QUOTIENT((((A197)-(c_TMAP3IN))*((1000)-(c_TMAP3OUT))+IF(((1000)-(c_TMAP3OUT))&gt;=0,1,-1)*QUOTIENT(((1000)-(c_TMAP3IN)),2)),((1000)-(c_TMAP3IN)))+(c_TMAP3OUT)+IF(((1000)-(c_TMAP3OUT))&gt;=0,IF(IF(o_WRAP=1,MOD(((1000)-(c_TMAP3IN))*(((A197)-(c_TMAP3IN))*((1000)-(c_TMAP3OUT))+IF(((1000)-(c_TMAP3OUT))&gt;=0,1,-1)*QUOTIENT(((1000)-(c_TMAP3IN)),2))+2147483648,4294967296)-2147483648,((1000)-(c_TMAP3IN))*(((A197)-(c_TMAP3IN))*((1000)-(c_TMAP3OUT))+IF(((1000)-(c_TMAP3OUT))&gt;=0,1,-1)*QUOTIENT(((1000)-(c_TMAP3IN)),2)))&lt;0,-1,0),IF(IF(o_WRAP=1,MOD(((1000)-(c_TMAP3IN))*(((A197)-(c_TMAP3IN))*((1000)-(c_TMAP3OUT))+IF(((1000)-(c_TMAP3OUT))&gt;=0,1,-1)*QUOTIENT(((1000)-(c_TMAP3IN)),2))+2147483648,4294967296)-2147483648,((1000)-(c_TMAP3IN))*(((A197)-(c_TMAP3IN))*((1000)-(c_TMAP3OUT))+IF(((1000)-(c_TMAP3OUT))&gt;=0,1,-1)*QUOTIENT(((1000)-(c_TMAP3IN)),2)))&gt;=0,1,0)))</f>
        <v>6</v>
      </c>
      <c r="H197" s="7" t="str">
        <f aca="false">IF(A197&gt;=c_TFWD,IF(AND(A197&gt;=c_TMAP3IN,c_TMAP3IN&lt;1000),"Seg4 map3-100%",IF(AND(A197&gt;=c_TMAP2IN,c_TMAP3IN&gt;c_TMAP2IN),"Seg3 map2-map3",IF(AND(A197&gt;=c_TMAP1IN,c_TMAP2IN&gt;c_TMAP1IN),"Seg2 map1-map2","Seg1 TFWD-map1"))),IF(AND(A197=0,c_TCREEP&gt;0),"Creep",IF(AND(A197&lt;=c_TRNGMIN,A197&gt;=c_TRNGMAX,c_TRNGMIN-c_TRNGMAX&lt;&gt;0),"Regen ramp","Coast (0)")))</f>
        <v>Seg2 map1-map2</v>
      </c>
      <c r="I197" s="7" t="n">
        <f aca="false">IF(A197&gt;=c_TFWD,IF(AND(A197&gt;=c_TMAP3IN,c_TMAP3IN&lt;1000),G197,IF(AND(A197&gt;=c_TMAP2IN,c_TMAP3IN&gt;c_TMAP2IN),F197,IF(AND(A197&gt;=c_TMAP1IN,c_TMAP2IN&gt;c_TMAP1IN),E197,D197))),C197)</f>
        <v>107</v>
      </c>
      <c r="J197" s="7" t="str">
        <f aca="false">IF(I197&lt;-1090,"TOO LOW",IF(I197&gt;1090,"TOO HIGH",""))</f>
        <v/>
      </c>
      <c r="K197" s="15" t="n">
        <f aca="false">IF(J197&lt;&gt;"",0,IF(I197&gt;979,1000,I197))</f>
        <v>107</v>
      </c>
      <c r="L197" s="7" t="n">
        <f aca="false">K197/10</f>
        <v>10.7</v>
      </c>
    </row>
    <row r="198" customFormat="false" ht="15" hidden="false" customHeight="false" outlineLevel="0" collapsed="false">
      <c r="A198" s="7" t="n">
        <v>193</v>
      </c>
      <c r="B198" s="7" t="n">
        <f aca="false">A198/10</f>
        <v>19.3</v>
      </c>
      <c r="C198" s="7" t="n">
        <f aca="false">IF(AND(A198=0,c_TCREEP&gt;0),10*c_TCREEP,IF(AND(A198&lt;=c_TRNGMIN,A198&gt;=c_TRNGMAX,c_TRNGMIN-c_TRNGMAX&lt;&gt;0),-10*c_TMINRN+QUOTIENT((c_TMAXRN-c_TMINRN)*(100-QUOTIENT((A198-c_TRNGMAX)*100,c_TRNGMIN-c_TRNGMAX)),-10),0))</f>
        <v>0</v>
      </c>
      <c r="D198" s="7" t="n">
        <f aca="false">IF(((c_TMAP1IN)-(c_TFWD))=0,(0)+QUOTIENT(((c_TMAP1OUT)-(0)),2),QUOTIENT((((A198)-(c_TFWD))*((c_TMAP1OUT)-(0))+IF(((c_TMAP1OUT)-(0))&gt;=0,1,-1)*QUOTIENT(((c_TMAP1IN)-(c_TFWD)),2)),((c_TMAP1IN)-(c_TFWD)))+(0)+IF(((c_TMAP1OUT)-(0))&gt;=0,IF(IF(o_WRAP=1,MOD(((c_TMAP1IN)-(c_TFWD))*(((A198)-(c_TFWD))*((c_TMAP1OUT)-(0))+IF(((c_TMAP1OUT)-(0))&gt;=0,1,-1)*QUOTIENT(((c_TMAP1IN)-(c_TFWD)),2))+2147483648,4294967296)-2147483648,((c_TMAP1IN)-(c_TFWD))*(((A198)-(c_TFWD))*((c_TMAP1OUT)-(0))+IF(((c_TMAP1OUT)-(0))&gt;=0,1,-1)*QUOTIENT(((c_TMAP1IN)-(c_TFWD)),2)))&lt;0,-1,0),IF(IF(o_WRAP=1,MOD(((c_TMAP1IN)-(c_TFWD))*(((A198)-(c_TFWD))*((c_TMAP1OUT)-(0))+IF(((c_TMAP1OUT)-(0))&gt;=0,1,-1)*QUOTIENT(((c_TMAP1IN)-(c_TFWD)),2))+2147483648,4294967296)-2147483648,((c_TMAP1IN)-(c_TFWD))*(((A198)-(c_TFWD))*((c_TMAP1OUT)-(0))+IF(((c_TMAP1OUT)-(0))&gt;=0,1,-1)*QUOTIENT(((c_TMAP1IN)-(c_TFWD)),2)))&gt;=0,1,0)))</f>
        <v>142</v>
      </c>
      <c r="E198" s="7" t="n">
        <f aca="false">IF(((c_TMAP2IN)-(c_TMAP1IN))=0,(c_TMAP1OUT)+QUOTIENT(((c_TMAP2OUT)-(c_TMAP1OUT)),2),QUOTIENT((((A198)-(c_TMAP1IN))*((c_TMAP2OUT)-(c_TMAP1OUT))+IF(((c_TMAP2OUT)-(c_TMAP1OUT))&gt;=0,1,-1)*QUOTIENT(((c_TMAP2IN)-(c_TMAP1IN)),2)),((c_TMAP2IN)-(c_TMAP1IN)))+(c_TMAP1OUT)+IF(((c_TMAP2OUT)-(c_TMAP1OUT))&gt;=0,IF(IF(o_WRAP=1,MOD(((c_TMAP2IN)-(c_TMAP1IN))*(((A198)-(c_TMAP1IN))*((c_TMAP2OUT)-(c_TMAP1OUT))+IF(((c_TMAP2OUT)-(c_TMAP1OUT))&gt;=0,1,-1)*QUOTIENT(((c_TMAP2IN)-(c_TMAP1IN)),2))+2147483648,4294967296)-2147483648,((c_TMAP2IN)-(c_TMAP1IN))*(((A198)-(c_TMAP1IN))*((c_TMAP2OUT)-(c_TMAP1OUT))+IF(((c_TMAP2OUT)-(c_TMAP1OUT))&gt;=0,1,-1)*QUOTIENT(((c_TMAP2IN)-(c_TMAP1IN)),2)))&lt;0,-1,0),IF(IF(o_WRAP=1,MOD(((c_TMAP2IN)-(c_TMAP1IN))*(((A198)-(c_TMAP1IN))*((c_TMAP2OUT)-(c_TMAP1OUT))+IF(((c_TMAP2OUT)-(c_TMAP1OUT))&gt;=0,1,-1)*QUOTIENT(((c_TMAP2IN)-(c_TMAP1IN)),2))+2147483648,4294967296)-2147483648,((c_TMAP2IN)-(c_TMAP1IN))*(((A198)-(c_TMAP1IN))*((c_TMAP2OUT)-(c_TMAP1OUT))+IF(((c_TMAP2OUT)-(c_TMAP1OUT))&gt;=0,1,-1)*QUOTIENT(((c_TMAP2IN)-(c_TMAP1IN)),2)))&gt;=0,1,0)))</f>
        <v>107</v>
      </c>
      <c r="F198" s="7" t="n">
        <f aca="false">IF(((c_TMAP3IN)-(c_TMAP2IN))=0,(c_TMAP2OUT)+QUOTIENT(((c_TMAP3OUT)-(c_TMAP2OUT)),2),QUOTIENT((((A198)-(c_TMAP2IN))*((c_TMAP3OUT)-(c_TMAP2OUT))+IF(((c_TMAP3OUT)-(c_TMAP2OUT))&gt;=0,1,-1)*QUOTIENT(((c_TMAP3IN)-(c_TMAP2IN)),2)),((c_TMAP3IN)-(c_TMAP2IN)))+(c_TMAP2OUT)+IF(((c_TMAP3OUT)-(c_TMAP2OUT))&gt;=0,IF(IF(o_WRAP=1,MOD(((c_TMAP3IN)-(c_TMAP2IN))*(((A198)-(c_TMAP2IN))*((c_TMAP3OUT)-(c_TMAP2OUT))+IF(((c_TMAP3OUT)-(c_TMAP2OUT))&gt;=0,1,-1)*QUOTIENT(((c_TMAP3IN)-(c_TMAP2IN)),2))+2147483648,4294967296)-2147483648,((c_TMAP3IN)-(c_TMAP2IN))*(((A198)-(c_TMAP2IN))*((c_TMAP3OUT)-(c_TMAP2OUT))+IF(((c_TMAP3OUT)-(c_TMAP2OUT))&gt;=0,1,-1)*QUOTIENT(((c_TMAP3IN)-(c_TMAP2IN)),2)))&lt;0,-1,0),IF(IF(o_WRAP=1,MOD(((c_TMAP3IN)-(c_TMAP2IN))*(((A198)-(c_TMAP2IN))*((c_TMAP3OUT)-(c_TMAP2OUT))+IF(((c_TMAP3OUT)-(c_TMAP2OUT))&gt;=0,1,-1)*QUOTIENT(((c_TMAP3IN)-(c_TMAP2IN)),2))+2147483648,4294967296)-2147483648,((c_TMAP3IN)-(c_TMAP2IN))*(((A198)-(c_TMAP2IN))*((c_TMAP3OUT)-(c_TMAP2OUT))+IF(((c_TMAP3OUT)-(c_TMAP2OUT))&gt;=0,1,-1)*QUOTIENT(((c_TMAP3IN)-(c_TMAP2IN)),2)))&gt;=0,1,0)))</f>
        <v>90</v>
      </c>
      <c r="G198" s="7" t="n">
        <f aca="false">IF(((1000)-(c_TMAP3IN))=0,(c_TMAP3OUT)+QUOTIENT(((1000)-(c_TMAP3OUT)),2),QUOTIENT((((A198)-(c_TMAP3IN))*((1000)-(c_TMAP3OUT))+IF(((1000)-(c_TMAP3OUT))&gt;=0,1,-1)*QUOTIENT(((1000)-(c_TMAP3IN)),2)),((1000)-(c_TMAP3IN)))+(c_TMAP3OUT)+IF(((1000)-(c_TMAP3OUT))&gt;=0,IF(IF(o_WRAP=1,MOD(((1000)-(c_TMAP3IN))*(((A198)-(c_TMAP3IN))*((1000)-(c_TMAP3OUT))+IF(((1000)-(c_TMAP3OUT))&gt;=0,1,-1)*QUOTIENT(((1000)-(c_TMAP3IN)),2))+2147483648,4294967296)-2147483648,((1000)-(c_TMAP3IN))*(((A198)-(c_TMAP3IN))*((1000)-(c_TMAP3OUT))+IF(((1000)-(c_TMAP3OUT))&gt;=0,1,-1)*QUOTIENT(((1000)-(c_TMAP3IN)),2)))&lt;0,-1,0),IF(IF(o_WRAP=1,MOD(((1000)-(c_TMAP3IN))*(((A198)-(c_TMAP3IN))*((1000)-(c_TMAP3OUT))+IF(((1000)-(c_TMAP3OUT))&gt;=0,1,-1)*QUOTIENT(((1000)-(c_TMAP3IN)),2))+2147483648,4294967296)-2147483648,((1000)-(c_TMAP3IN))*(((A198)-(c_TMAP3IN))*((1000)-(c_TMAP3OUT))+IF(((1000)-(c_TMAP3OUT))&gt;=0,1,-1)*QUOTIENT(((1000)-(c_TMAP3IN)),2)))&gt;=0,1,0)))</f>
        <v>7</v>
      </c>
      <c r="H198" s="7" t="str">
        <f aca="false">IF(A198&gt;=c_TFWD,IF(AND(A198&gt;=c_TMAP3IN,c_TMAP3IN&lt;1000),"Seg4 map3-100%",IF(AND(A198&gt;=c_TMAP2IN,c_TMAP3IN&gt;c_TMAP2IN),"Seg3 map2-map3",IF(AND(A198&gt;=c_TMAP1IN,c_TMAP2IN&gt;c_TMAP1IN),"Seg2 map1-map2","Seg1 TFWD-map1"))),IF(AND(A198=0,c_TCREEP&gt;0),"Creep",IF(AND(A198&lt;=c_TRNGMIN,A198&gt;=c_TRNGMAX,c_TRNGMIN-c_TRNGMAX&lt;&gt;0),"Regen ramp","Coast (0)")))</f>
        <v>Seg2 map1-map2</v>
      </c>
      <c r="I198" s="7" t="n">
        <f aca="false">IF(A198&gt;=c_TFWD,IF(AND(A198&gt;=c_TMAP3IN,c_TMAP3IN&lt;1000),G198,IF(AND(A198&gt;=c_TMAP2IN,c_TMAP3IN&gt;c_TMAP2IN),F198,IF(AND(A198&gt;=c_TMAP1IN,c_TMAP2IN&gt;c_TMAP1IN),E198,D198))),C198)</f>
        <v>107</v>
      </c>
      <c r="J198" s="7" t="str">
        <f aca="false">IF(I198&lt;-1090,"TOO LOW",IF(I198&gt;1090,"TOO HIGH",""))</f>
        <v/>
      </c>
      <c r="K198" s="15" t="n">
        <f aca="false">IF(J198&lt;&gt;"",0,IF(I198&gt;979,1000,I198))</f>
        <v>107</v>
      </c>
      <c r="L198" s="7" t="n">
        <f aca="false">K198/10</f>
        <v>10.7</v>
      </c>
    </row>
    <row r="199" customFormat="false" ht="15" hidden="false" customHeight="false" outlineLevel="0" collapsed="false">
      <c r="A199" s="7" t="n">
        <v>194</v>
      </c>
      <c r="B199" s="7" t="n">
        <f aca="false">A199/10</f>
        <v>19.4</v>
      </c>
      <c r="C199" s="7" t="n">
        <f aca="false">IF(AND(A199=0,c_TCREEP&gt;0),10*c_TCREEP,IF(AND(A199&lt;=c_TRNGMIN,A199&gt;=c_TRNGMAX,c_TRNGMIN-c_TRNGMAX&lt;&gt;0),-10*c_TMINRN+QUOTIENT((c_TMAXRN-c_TMINRN)*(100-QUOTIENT((A199-c_TRNGMAX)*100,c_TRNGMIN-c_TRNGMAX)),-10),0))</f>
        <v>0</v>
      </c>
      <c r="D199" s="7" t="n">
        <f aca="false">IF(((c_TMAP1IN)-(c_TFWD))=0,(0)+QUOTIENT(((c_TMAP1OUT)-(0)),2),QUOTIENT((((A199)-(c_TFWD))*((c_TMAP1OUT)-(0))+IF(((c_TMAP1OUT)-(0))&gt;=0,1,-1)*QUOTIENT(((c_TMAP1IN)-(c_TFWD)),2)),((c_TMAP1IN)-(c_TFWD)))+(0)+IF(((c_TMAP1OUT)-(0))&gt;=0,IF(IF(o_WRAP=1,MOD(((c_TMAP1IN)-(c_TFWD))*(((A199)-(c_TFWD))*((c_TMAP1OUT)-(0))+IF(((c_TMAP1OUT)-(0))&gt;=0,1,-1)*QUOTIENT(((c_TMAP1IN)-(c_TFWD)),2))+2147483648,4294967296)-2147483648,((c_TMAP1IN)-(c_TFWD))*(((A199)-(c_TFWD))*((c_TMAP1OUT)-(0))+IF(((c_TMAP1OUT)-(0))&gt;=0,1,-1)*QUOTIENT(((c_TMAP1IN)-(c_TFWD)),2)))&lt;0,-1,0),IF(IF(o_WRAP=1,MOD(((c_TMAP1IN)-(c_TFWD))*(((A199)-(c_TFWD))*((c_TMAP1OUT)-(0))+IF(((c_TMAP1OUT)-(0))&gt;=0,1,-1)*QUOTIENT(((c_TMAP1IN)-(c_TFWD)),2))+2147483648,4294967296)-2147483648,((c_TMAP1IN)-(c_TFWD))*(((A199)-(c_TFWD))*((c_TMAP1OUT)-(0))+IF(((c_TMAP1OUT)-(0))&gt;=0,1,-1)*QUOTIENT(((c_TMAP1IN)-(c_TFWD)),2)))&gt;=0,1,0)))</f>
        <v>143</v>
      </c>
      <c r="E199" s="7" t="n">
        <f aca="false">IF(((c_TMAP2IN)-(c_TMAP1IN))=0,(c_TMAP1OUT)+QUOTIENT(((c_TMAP2OUT)-(c_TMAP1OUT)),2),QUOTIENT((((A199)-(c_TMAP1IN))*((c_TMAP2OUT)-(c_TMAP1OUT))+IF(((c_TMAP2OUT)-(c_TMAP1OUT))&gt;=0,1,-1)*QUOTIENT(((c_TMAP2IN)-(c_TMAP1IN)),2)),((c_TMAP2IN)-(c_TMAP1IN)))+(c_TMAP1OUT)+IF(((c_TMAP2OUT)-(c_TMAP1OUT))&gt;=0,IF(IF(o_WRAP=1,MOD(((c_TMAP2IN)-(c_TMAP1IN))*(((A199)-(c_TMAP1IN))*((c_TMAP2OUT)-(c_TMAP1OUT))+IF(((c_TMAP2OUT)-(c_TMAP1OUT))&gt;=0,1,-1)*QUOTIENT(((c_TMAP2IN)-(c_TMAP1IN)),2))+2147483648,4294967296)-2147483648,((c_TMAP2IN)-(c_TMAP1IN))*(((A199)-(c_TMAP1IN))*((c_TMAP2OUT)-(c_TMAP1OUT))+IF(((c_TMAP2OUT)-(c_TMAP1OUT))&gt;=0,1,-1)*QUOTIENT(((c_TMAP2IN)-(c_TMAP1IN)),2)))&lt;0,-1,0),IF(IF(o_WRAP=1,MOD(((c_TMAP2IN)-(c_TMAP1IN))*(((A199)-(c_TMAP1IN))*((c_TMAP2OUT)-(c_TMAP1OUT))+IF(((c_TMAP2OUT)-(c_TMAP1OUT))&gt;=0,1,-1)*QUOTIENT(((c_TMAP2IN)-(c_TMAP1IN)),2))+2147483648,4294967296)-2147483648,((c_TMAP2IN)-(c_TMAP1IN))*(((A199)-(c_TMAP1IN))*((c_TMAP2OUT)-(c_TMAP1OUT))+IF(((c_TMAP2OUT)-(c_TMAP1OUT))&gt;=0,1,-1)*QUOTIENT(((c_TMAP2IN)-(c_TMAP1IN)),2)))&gt;=0,1,0)))</f>
        <v>108</v>
      </c>
      <c r="F199" s="7" t="n">
        <f aca="false">IF(((c_TMAP3IN)-(c_TMAP2IN))=0,(c_TMAP2OUT)+QUOTIENT(((c_TMAP3OUT)-(c_TMAP2OUT)),2),QUOTIENT((((A199)-(c_TMAP2IN))*((c_TMAP3OUT)-(c_TMAP2OUT))+IF(((c_TMAP3OUT)-(c_TMAP2OUT))&gt;=0,1,-1)*QUOTIENT(((c_TMAP3IN)-(c_TMAP2IN)),2)),((c_TMAP3IN)-(c_TMAP2IN)))+(c_TMAP2OUT)+IF(((c_TMAP3OUT)-(c_TMAP2OUT))&gt;=0,IF(IF(o_WRAP=1,MOD(((c_TMAP3IN)-(c_TMAP2IN))*(((A199)-(c_TMAP2IN))*((c_TMAP3OUT)-(c_TMAP2OUT))+IF(((c_TMAP3OUT)-(c_TMAP2OUT))&gt;=0,1,-1)*QUOTIENT(((c_TMAP3IN)-(c_TMAP2IN)),2))+2147483648,4294967296)-2147483648,((c_TMAP3IN)-(c_TMAP2IN))*(((A199)-(c_TMAP2IN))*((c_TMAP3OUT)-(c_TMAP2OUT))+IF(((c_TMAP3OUT)-(c_TMAP2OUT))&gt;=0,1,-1)*QUOTIENT(((c_TMAP3IN)-(c_TMAP2IN)),2)))&lt;0,-1,0),IF(IF(o_WRAP=1,MOD(((c_TMAP3IN)-(c_TMAP2IN))*(((A199)-(c_TMAP2IN))*((c_TMAP3OUT)-(c_TMAP2OUT))+IF(((c_TMAP3OUT)-(c_TMAP2OUT))&gt;=0,1,-1)*QUOTIENT(((c_TMAP3IN)-(c_TMAP2IN)),2))+2147483648,4294967296)-2147483648,((c_TMAP3IN)-(c_TMAP2IN))*(((A199)-(c_TMAP2IN))*((c_TMAP3OUT)-(c_TMAP2OUT))+IF(((c_TMAP3OUT)-(c_TMAP2OUT))&gt;=0,1,-1)*QUOTIENT(((c_TMAP3IN)-(c_TMAP2IN)),2)))&gt;=0,1,0)))</f>
        <v>91</v>
      </c>
      <c r="G199" s="7" t="n">
        <f aca="false">IF(((1000)-(c_TMAP3IN))=0,(c_TMAP3OUT)+QUOTIENT(((1000)-(c_TMAP3OUT)),2),QUOTIENT((((A199)-(c_TMAP3IN))*((1000)-(c_TMAP3OUT))+IF(((1000)-(c_TMAP3OUT))&gt;=0,1,-1)*QUOTIENT(((1000)-(c_TMAP3IN)),2)),((1000)-(c_TMAP3IN)))+(c_TMAP3OUT)+IF(((1000)-(c_TMAP3OUT))&gt;=0,IF(IF(o_WRAP=1,MOD(((1000)-(c_TMAP3IN))*(((A199)-(c_TMAP3IN))*((1000)-(c_TMAP3OUT))+IF(((1000)-(c_TMAP3OUT))&gt;=0,1,-1)*QUOTIENT(((1000)-(c_TMAP3IN)),2))+2147483648,4294967296)-2147483648,((1000)-(c_TMAP3IN))*(((A199)-(c_TMAP3IN))*((1000)-(c_TMAP3OUT))+IF(((1000)-(c_TMAP3OUT))&gt;=0,1,-1)*QUOTIENT(((1000)-(c_TMAP3IN)),2)))&lt;0,-1,0),IF(IF(o_WRAP=1,MOD(((1000)-(c_TMAP3IN))*(((A199)-(c_TMAP3IN))*((1000)-(c_TMAP3OUT))+IF(((1000)-(c_TMAP3OUT))&gt;=0,1,-1)*QUOTIENT(((1000)-(c_TMAP3IN)),2))+2147483648,4294967296)-2147483648,((1000)-(c_TMAP3IN))*(((A199)-(c_TMAP3IN))*((1000)-(c_TMAP3OUT))+IF(((1000)-(c_TMAP3OUT))&gt;=0,1,-1)*QUOTIENT(((1000)-(c_TMAP3IN)),2)))&gt;=0,1,0)))</f>
        <v>8</v>
      </c>
      <c r="H199" s="7" t="str">
        <f aca="false">IF(A199&gt;=c_TFWD,IF(AND(A199&gt;=c_TMAP3IN,c_TMAP3IN&lt;1000),"Seg4 map3-100%",IF(AND(A199&gt;=c_TMAP2IN,c_TMAP3IN&gt;c_TMAP2IN),"Seg3 map2-map3",IF(AND(A199&gt;=c_TMAP1IN,c_TMAP2IN&gt;c_TMAP1IN),"Seg2 map1-map2","Seg1 TFWD-map1"))),IF(AND(A199=0,c_TCREEP&gt;0),"Creep",IF(AND(A199&lt;=c_TRNGMIN,A199&gt;=c_TRNGMAX,c_TRNGMIN-c_TRNGMAX&lt;&gt;0),"Regen ramp","Coast (0)")))</f>
        <v>Seg2 map1-map2</v>
      </c>
      <c r="I199" s="7" t="n">
        <f aca="false">IF(A199&gt;=c_TFWD,IF(AND(A199&gt;=c_TMAP3IN,c_TMAP3IN&lt;1000),G199,IF(AND(A199&gt;=c_TMAP2IN,c_TMAP3IN&gt;c_TMAP2IN),F199,IF(AND(A199&gt;=c_TMAP1IN,c_TMAP2IN&gt;c_TMAP1IN),E199,D199))),C199)</f>
        <v>108</v>
      </c>
      <c r="J199" s="7" t="str">
        <f aca="false">IF(I199&lt;-1090,"TOO LOW",IF(I199&gt;1090,"TOO HIGH",""))</f>
        <v/>
      </c>
      <c r="K199" s="15" t="n">
        <f aca="false">IF(J199&lt;&gt;"",0,IF(I199&gt;979,1000,I199))</f>
        <v>108</v>
      </c>
      <c r="L199" s="7" t="n">
        <f aca="false">K199/10</f>
        <v>10.8</v>
      </c>
    </row>
    <row r="200" customFormat="false" ht="15" hidden="false" customHeight="false" outlineLevel="0" collapsed="false">
      <c r="A200" s="7" t="n">
        <v>195</v>
      </c>
      <c r="B200" s="7" t="n">
        <f aca="false">A200/10</f>
        <v>19.5</v>
      </c>
      <c r="C200" s="7" t="n">
        <f aca="false">IF(AND(A200=0,c_TCREEP&gt;0),10*c_TCREEP,IF(AND(A200&lt;=c_TRNGMIN,A200&gt;=c_TRNGMAX,c_TRNGMIN-c_TRNGMAX&lt;&gt;0),-10*c_TMINRN+QUOTIENT((c_TMAXRN-c_TMINRN)*(100-QUOTIENT((A200-c_TRNGMAX)*100,c_TRNGMIN-c_TRNGMAX)),-10),0))</f>
        <v>0</v>
      </c>
      <c r="D200" s="7" t="n">
        <f aca="false">IF(((c_TMAP1IN)-(c_TFWD))=0,(0)+QUOTIENT(((c_TMAP1OUT)-(0)),2),QUOTIENT((((A200)-(c_TFWD))*((c_TMAP1OUT)-(0))+IF(((c_TMAP1OUT)-(0))&gt;=0,1,-1)*QUOTIENT(((c_TMAP1IN)-(c_TFWD)),2)),((c_TMAP1IN)-(c_TFWD)))+(0)+IF(((c_TMAP1OUT)-(0))&gt;=0,IF(IF(o_WRAP=1,MOD(((c_TMAP1IN)-(c_TFWD))*(((A200)-(c_TFWD))*((c_TMAP1OUT)-(0))+IF(((c_TMAP1OUT)-(0))&gt;=0,1,-1)*QUOTIENT(((c_TMAP1IN)-(c_TFWD)),2))+2147483648,4294967296)-2147483648,((c_TMAP1IN)-(c_TFWD))*(((A200)-(c_TFWD))*((c_TMAP1OUT)-(0))+IF(((c_TMAP1OUT)-(0))&gt;=0,1,-1)*QUOTIENT(((c_TMAP1IN)-(c_TFWD)),2)))&lt;0,-1,0),IF(IF(o_WRAP=1,MOD(((c_TMAP1IN)-(c_TFWD))*(((A200)-(c_TFWD))*((c_TMAP1OUT)-(0))+IF(((c_TMAP1OUT)-(0))&gt;=0,1,-1)*QUOTIENT(((c_TMAP1IN)-(c_TFWD)),2))+2147483648,4294967296)-2147483648,((c_TMAP1IN)-(c_TFWD))*(((A200)-(c_TFWD))*((c_TMAP1OUT)-(0))+IF(((c_TMAP1OUT)-(0))&gt;=0,1,-1)*QUOTIENT(((c_TMAP1IN)-(c_TFWD)),2)))&gt;=0,1,0)))</f>
        <v>144</v>
      </c>
      <c r="E200" s="7" t="n">
        <f aca="false">IF(((c_TMAP2IN)-(c_TMAP1IN))=0,(c_TMAP1OUT)+QUOTIENT(((c_TMAP2OUT)-(c_TMAP1OUT)),2),QUOTIENT((((A200)-(c_TMAP1IN))*((c_TMAP2OUT)-(c_TMAP1OUT))+IF(((c_TMAP2OUT)-(c_TMAP1OUT))&gt;=0,1,-1)*QUOTIENT(((c_TMAP2IN)-(c_TMAP1IN)),2)),((c_TMAP2IN)-(c_TMAP1IN)))+(c_TMAP1OUT)+IF(((c_TMAP2OUT)-(c_TMAP1OUT))&gt;=0,IF(IF(o_WRAP=1,MOD(((c_TMAP2IN)-(c_TMAP1IN))*(((A200)-(c_TMAP1IN))*((c_TMAP2OUT)-(c_TMAP1OUT))+IF(((c_TMAP2OUT)-(c_TMAP1OUT))&gt;=0,1,-1)*QUOTIENT(((c_TMAP2IN)-(c_TMAP1IN)),2))+2147483648,4294967296)-2147483648,((c_TMAP2IN)-(c_TMAP1IN))*(((A200)-(c_TMAP1IN))*((c_TMAP2OUT)-(c_TMAP1OUT))+IF(((c_TMAP2OUT)-(c_TMAP1OUT))&gt;=0,1,-1)*QUOTIENT(((c_TMAP2IN)-(c_TMAP1IN)),2)))&lt;0,-1,0),IF(IF(o_WRAP=1,MOD(((c_TMAP2IN)-(c_TMAP1IN))*(((A200)-(c_TMAP1IN))*((c_TMAP2OUT)-(c_TMAP1OUT))+IF(((c_TMAP2OUT)-(c_TMAP1OUT))&gt;=0,1,-1)*QUOTIENT(((c_TMAP2IN)-(c_TMAP1IN)),2))+2147483648,4294967296)-2147483648,((c_TMAP2IN)-(c_TMAP1IN))*(((A200)-(c_TMAP1IN))*((c_TMAP2OUT)-(c_TMAP1OUT))+IF(((c_TMAP2OUT)-(c_TMAP1OUT))&gt;=0,1,-1)*QUOTIENT(((c_TMAP2IN)-(c_TMAP1IN)),2)))&gt;=0,1,0)))</f>
        <v>108</v>
      </c>
      <c r="F200" s="7" t="n">
        <f aca="false">IF(((c_TMAP3IN)-(c_TMAP2IN))=0,(c_TMAP2OUT)+QUOTIENT(((c_TMAP3OUT)-(c_TMAP2OUT)),2),QUOTIENT((((A200)-(c_TMAP2IN))*((c_TMAP3OUT)-(c_TMAP2OUT))+IF(((c_TMAP3OUT)-(c_TMAP2OUT))&gt;=0,1,-1)*QUOTIENT(((c_TMAP3IN)-(c_TMAP2IN)),2)),((c_TMAP3IN)-(c_TMAP2IN)))+(c_TMAP2OUT)+IF(((c_TMAP3OUT)-(c_TMAP2OUT))&gt;=0,IF(IF(o_WRAP=1,MOD(((c_TMAP3IN)-(c_TMAP2IN))*(((A200)-(c_TMAP2IN))*((c_TMAP3OUT)-(c_TMAP2OUT))+IF(((c_TMAP3OUT)-(c_TMAP2OUT))&gt;=0,1,-1)*QUOTIENT(((c_TMAP3IN)-(c_TMAP2IN)),2))+2147483648,4294967296)-2147483648,((c_TMAP3IN)-(c_TMAP2IN))*(((A200)-(c_TMAP2IN))*((c_TMAP3OUT)-(c_TMAP2OUT))+IF(((c_TMAP3OUT)-(c_TMAP2OUT))&gt;=0,1,-1)*QUOTIENT(((c_TMAP3IN)-(c_TMAP2IN)),2)))&lt;0,-1,0),IF(IF(o_WRAP=1,MOD(((c_TMAP3IN)-(c_TMAP2IN))*(((A200)-(c_TMAP2IN))*((c_TMAP3OUT)-(c_TMAP2OUT))+IF(((c_TMAP3OUT)-(c_TMAP2OUT))&gt;=0,1,-1)*QUOTIENT(((c_TMAP3IN)-(c_TMAP2IN)),2))+2147483648,4294967296)-2147483648,((c_TMAP3IN)-(c_TMAP2IN))*(((A200)-(c_TMAP2IN))*((c_TMAP3OUT)-(c_TMAP2OUT))+IF(((c_TMAP3OUT)-(c_TMAP2OUT))&gt;=0,1,-1)*QUOTIENT(((c_TMAP3IN)-(c_TMAP2IN)),2)))&gt;=0,1,0)))</f>
        <v>91</v>
      </c>
      <c r="G200" s="7" t="n">
        <f aca="false">IF(((1000)-(c_TMAP3IN))=0,(c_TMAP3OUT)+QUOTIENT(((1000)-(c_TMAP3OUT)),2),QUOTIENT((((A200)-(c_TMAP3IN))*((1000)-(c_TMAP3OUT))+IF(((1000)-(c_TMAP3OUT))&gt;=0,1,-1)*QUOTIENT(((1000)-(c_TMAP3IN)),2)),((1000)-(c_TMAP3IN)))+(c_TMAP3OUT)+IF(((1000)-(c_TMAP3OUT))&gt;=0,IF(IF(o_WRAP=1,MOD(((1000)-(c_TMAP3IN))*(((A200)-(c_TMAP3IN))*((1000)-(c_TMAP3OUT))+IF(((1000)-(c_TMAP3OUT))&gt;=0,1,-1)*QUOTIENT(((1000)-(c_TMAP3IN)),2))+2147483648,4294967296)-2147483648,((1000)-(c_TMAP3IN))*(((A200)-(c_TMAP3IN))*((1000)-(c_TMAP3OUT))+IF(((1000)-(c_TMAP3OUT))&gt;=0,1,-1)*QUOTIENT(((1000)-(c_TMAP3IN)),2)))&lt;0,-1,0),IF(IF(o_WRAP=1,MOD(((1000)-(c_TMAP3IN))*(((A200)-(c_TMAP3IN))*((1000)-(c_TMAP3OUT))+IF(((1000)-(c_TMAP3OUT))&gt;=0,1,-1)*QUOTIENT(((1000)-(c_TMAP3IN)),2))+2147483648,4294967296)-2147483648,((1000)-(c_TMAP3IN))*(((A200)-(c_TMAP3IN))*((1000)-(c_TMAP3OUT))+IF(((1000)-(c_TMAP3OUT))&gt;=0,1,-1)*QUOTIENT(((1000)-(c_TMAP3IN)),2)))&gt;=0,1,0)))</f>
        <v>9</v>
      </c>
      <c r="H200" s="7" t="str">
        <f aca="false">IF(A200&gt;=c_TFWD,IF(AND(A200&gt;=c_TMAP3IN,c_TMAP3IN&lt;1000),"Seg4 map3-100%",IF(AND(A200&gt;=c_TMAP2IN,c_TMAP3IN&gt;c_TMAP2IN),"Seg3 map2-map3",IF(AND(A200&gt;=c_TMAP1IN,c_TMAP2IN&gt;c_TMAP1IN),"Seg2 map1-map2","Seg1 TFWD-map1"))),IF(AND(A200=0,c_TCREEP&gt;0),"Creep",IF(AND(A200&lt;=c_TRNGMIN,A200&gt;=c_TRNGMAX,c_TRNGMIN-c_TRNGMAX&lt;&gt;0),"Regen ramp","Coast (0)")))</f>
        <v>Seg2 map1-map2</v>
      </c>
      <c r="I200" s="7" t="n">
        <f aca="false">IF(A200&gt;=c_TFWD,IF(AND(A200&gt;=c_TMAP3IN,c_TMAP3IN&lt;1000),G200,IF(AND(A200&gt;=c_TMAP2IN,c_TMAP3IN&gt;c_TMAP2IN),F200,IF(AND(A200&gt;=c_TMAP1IN,c_TMAP2IN&gt;c_TMAP1IN),E200,D200))),C200)</f>
        <v>108</v>
      </c>
      <c r="J200" s="7" t="str">
        <f aca="false">IF(I200&lt;-1090,"TOO LOW",IF(I200&gt;1090,"TOO HIGH",""))</f>
        <v/>
      </c>
      <c r="K200" s="15" t="n">
        <f aca="false">IF(J200&lt;&gt;"",0,IF(I200&gt;979,1000,I200))</f>
        <v>108</v>
      </c>
      <c r="L200" s="7" t="n">
        <f aca="false">K200/10</f>
        <v>10.8</v>
      </c>
    </row>
    <row r="201" customFormat="false" ht="15" hidden="false" customHeight="false" outlineLevel="0" collapsed="false">
      <c r="A201" s="7" t="n">
        <v>196</v>
      </c>
      <c r="B201" s="7" t="n">
        <f aca="false">A201/10</f>
        <v>19.6</v>
      </c>
      <c r="C201" s="7" t="n">
        <f aca="false">IF(AND(A201=0,c_TCREEP&gt;0),10*c_TCREEP,IF(AND(A201&lt;=c_TRNGMIN,A201&gt;=c_TRNGMAX,c_TRNGMIN-c_TRNGMAX&lt;&gt;0),-10*c_TMINRN+QUOTIENT((c_TMAXRN-c_TMINRN)*(100-QUOTIENT((A201-c_TRNGMAX)*100,c_TRNGMIN-c_TRNGMAX)),-10),0))</f>
        <v>0</v>
      </c>
      <c r="D201" s="7" t="n">
        <f aca="false">IF(((c_TMAP1IN)-(c_TFWD))=0,(0)+QUOTIENT(((c_TMAP1OUT)-(0)),2),QUOTIENT((((A201)-(c_TFWD))*((c_TMAP1OUT)-(0))+IF(((c_TMAP1OUT)-(0))&gt;=0,1,-1)*QUOTIENT(((c_TMAP1IN)-(c_TFWD)),2)),((c_TMAP1IN)-(c_TFWD)))+(0)+IF(((c_TMAP1OUT)-(0))&gt;=0,IF(IF(o_WRAP=1,MOD(((c_TMAP1IN)-(c_TFWD))*(((A201)-(c_TFWD))*((c_TMAP1OUT)-(0))+IF(((c_TMAP1OUT)-(0))&gt;=0,1,-1)*QUOTIENT(((c_TMAP1IN)-(c_TFWD)),2))+2147483648,4294967296)-2147483648,((c_TMAP1IN)-(c_TFWD))*(((A201)-(c_TFWD))*((c_TMAP1OUT)-(0))+IF(((c_TMAP1OUT)-(0))&gt;=0,1,-1)*QUOTIENT(((c_TMAP1IN)-(c_TFWD)),2)))&lt;0,-1,0),IF(IF(o_WRAP=1,MOD(((c_TMAP1IN)-(c_TFWD))*(((A201)-(c_TFWD))*((c_TMAP1OUT)-(0))+IF(((c_TMAP1OUT)-(0))&gt;=0,1,-1)*QUOTIENT(((c_TMAP1IN)-(c_TFWD)),2))+2147483648,4294967296)-2147483648,((c_TMAP1IN)-(c_TFWD))*(((A201)-(c_TFWD))*((c_TMAP1OUT)-(0))+IF(((c_TMAP1OUT)-(0))&gt;=0,1,-1)*QUOTIENT(((c_TMAP1IN)-(c_TFWD)),2)))&gt;=0,1,0)))</f>
        <v>145</v>
      </c>
      <c r="E201" s="7" t="n">
        <f aca="false">IF(((c_TMAP2IN)-(c_TMAP1IN))=0,(c_TMAP1OUT)+QUOTIENT(((c_TMAP2OUT)-(c_TMAP1OUT)),2),QUOTIENT((((A201)-(c_TMAP1IN))*((c_TMAP2OUT)-(c_TMAP1OUT))+IF(((c_TMAP2OUT)-(c_TMAP1OUT))&gt;=0,1,-1)*QUOTIENT(((c_TMAP2IN)-(c_TMAP1IN)),2)),((c_TMAP2IN)-(c_TMAP1IN)))+(c_TMAP1OUT)+IF(((c_TMAP2OUT)-(c_TMAP1OUT))&gt;=0,IF(IF(o_WRAP=1,MOD(((c_TMAP2IN)-(c_TMAP1IN))*(((A201)-(c_TMAP1IN))*((c_TMAP2OUT)-(c_TMAP1OUT))+IF(((c_TMAP2OUT)-(c_TMAP1OUT))&gt;=0,1,-1)*QUOTIENT(((c_TMAP2IN)-(c_TMAP1IN)),2))+2147483648,4294967296)-2147483648,((c_TMAP2IN)-(c_TMAP1IN))*(((A201)-(c_TMAP1IN))*((c_TMAP2OUT)-(c_TMAP1OUT))+IF(((c_TMAP2OUT)-(c_TMAP1OUT))&gt;=0,1,-1)*QUOTIENT(((c_TMAP2IN)-(c_TMAP1IN)),2)))&lt;0,-1,0),IF(IF(o_WRAP=1,MOD(((c_TMAP2IN)-(c_TMAP1IN))*(((A201)-(c_TMAP1IN))*((c_TMAP2OUT)-(c_TMAP1OUT))+IF(((c_TMAP2OUT)-(c_TMAP1OUT))&gt;=0,1,-1)*QUOTIENT(((c_TMAP2IN)-(c_TMAP1IN)),2))+2147483648,4294967296)-2147483648,((c_TMAP2IN)-(c_TMAP1IN))*(((A201)-(c_TMAP1IN))*((c_TMAP2OUT)-(c_TMAP1OUT))+IF(((c_TMAP2OUT)-(c_TMAP1OUT))&gt;=0,1,-1)*QUOTIENT(((c_TMAP2IN)-(c_TMAP1IN)),2)))&gt;=0,1,0)))</f>
        <v>108</v>
      </c>
      <c r="F201" s="7" t="n">
        <f aca="false">IF(((c_TMAP3IN)-(c_TMAP2IN))=0,(c_TMAP2OUT)+QUOTIENT(((c_TMAP3OUT)-(c_TMAP2OUT)),2),QUOTIENT((((A201)-(c_TMAP2IN))*((c_TMAP3OUT)-(c_TMAP2OUT))+IF(((c_TMAP3OUT)-(c_TMAP2OUT))&gt;=0,1,-1)*QUOTIENT(((c_TMAP3IN)-(c_TMAP2IN)),2)),((c_TMAP3IN)-(c_TMAP2IN)))+(c_TMAP2OUT)+IF(((c_TMAP3OUT)-(c_TMAP2OUT))&gt;=0,IF(IF(o_WRAP=1,MOD(((c_TMAP3IN)-(c_TMAP2IN))*(((A201)-(c_TMAP2IN))*((c_TMAP3OUT)-(c_TMAP2OUT))+IF(((c_TMAP3OUT)-(c_TMAP2OUT))&gt;=0,1,-1)*QUOTIENT(((c_TMAP3IN)-(c_TMAP2IN)),2))+2147483648,4294967296)-2147483648,((c_TMAP3IN)-(c_TMAP2IN))*(((A201)-(c_TMAP2IN))*((c_TMAP3OUT)-(c_TMAP2OUT))+IF(((c_TMAP3OUT)-(c_TMAP2OUT))&gt;=0,1,-1)*QUOTIENT(((c_TMAP3IN)-(c_TMAP2IN)),2)))&lt;0,-1,0),IF(IF(o_WRAP=1,MOD(((c_TMAP3IN)-(c_TMAP2IN))*(((A201)-(c_TMAP2IN))*((c_TMAP3OUT)-(c_TMAP2OUT))+IF(((c_TMAP3OUT)-(c_TMAP2OUT))&gt;=0,1,-1)*QUOTIENT(((c_TMAP3IN)-(c_TMAP2IN)),2))+2147483648,4294967296)-2147483648,((c_TMAP3IN)-(c_TMAP2IN))*(((A201)-(c_TMAP2IN))*((c_TMAP3OUT)-(c_TMAP2OUT))+IF(((c_TMAP3OUT)-(c_TMAP2OUT))&gt;=0,1,-1)*QUOTIENT(((c_TMAP3IN)-(c_TMAP2IN)),2)))&gt;=0,1,0)))</f>
        <v>92</v>
      </c>
      <c r="G201" s="7" t="n">
        <f aca="false">IF(((1000)-(c_TMAP3IN))=0,(c_TMAP3OUT)+QUOTIENT(((1000)-(c_TMAP3OUT)),2),QUOTIENT((((A201)-(c_TMAP3IN))*((1000)-(c_TMAP3OUT))+IF(((1000)-(c_TMAP3OUT))&gt;=0,1,-1)*QUOTIENT(((1000)-(c_TMAP3IN)),2)),((1000)-(c_TMAP3IN)))+(c_TMAP3OUT)+IF(((1000)-(c_TMAP3OUT))&gt;=0,IF(IF(o_WRAP=1,MOD(((1000)-(c_TMAP3IN))*(((A201)-(c_TMAP3IN))*((1000)-(c_TMAP3OUT))+IF(((1000)-(c_TMAP3OUT))&gt;=0,1,-1)*QUOTIENT(((1000)-(c_TMAP3IN)),2))+2147483648,4294967296)-2147483648,((1000)-(c_TMAP3IN))*(((A201)-(c_TMAP3IN))*((1000)-(c_TMAP3OUT))+IF(((1000)-(c_TMAP3OUT))&gt;=0,1,-1)*QUOTIENT(((1000)-(c_TMAP3IN)),2)))&lt;0,-1,0),IF(IF(o_WRAP=1,MOD(((1000)-(c_TMAP3IN))*(((A201)-(c_TMAP3IN))*((1000)-(c_TMAP3OUT))+IF(((1000)-(c_TMAP3OUT))&gt;=0,1,-1)*QUOTIENT(((1000)-(c_TMAP3IN)),2))+2147483648,4294967296)-2147483648,((1000)-(c_TMAP3IN))*(((A201)-(c_TMAP3IN))*((1000)-(c_TMAP3OUT))+IF(((1000)-(c_TMAP3OUT))&gt;=0,1,-1)*QUOTIENT(((1000)-(c_TMAP3IN)),2)))&gt;=0,1,0)))</f>
        <v>10</v>
      </c>
      <c r="H201" s="7" t="str">
        <f aca="false">IF(A201&gt;=c_TFWD,IF(AND(A201&gt;=c_TMAP3IN,c_TMAP3IN&lt;1000),"Seg4 map3-100%",IF(AND(A201&gt;=c_TMAP2IN,c_TMAP3IN&gt;c_TMAP2IN),"Seg3 map2-map3",IF(AND(A201&gt;=c_TMAP1IN,c_TMAP2IN&gt;c_TMAP1IN),"Seg2 map1-map2","Seg1 TFWD-map1"))),IF(AND(A201=0,c_TCREEP&gt;0),"Creep",IF(AND(A201&lt;=c_TRNGMIN,A201&gt;=c_TRNGMAX,c_TRNGMIN-c_TRNGMAX&lt;&gt;0),"Regen ramp","Coast (0)")))</f>
        <v>Seg2 map1-map2</v>
      </c>
      <c r="I201" s="7" t="n">
        <f aca="false">IF(A201&gt;=c_TFWD,IF(AND(A201&gt;=c_TMAP3IN,c_TMAP3IN&lt;1000),G201,IF(AND(A201&gt;=c_TMAP2IN,c_TMAP3IN&gt;c_TMAP2IN),F201,IF(AND(A201&gt;=c_TMAP1IN,c_TMAP2IN&gt;c_TMAP1IN),E201,D201))),C201)</f>
        <v>108</v>
      </c>
      <c r="J201" s="7" t="str">
        <f aca="false">IF(I201&lt;-1090,"TOO LOW",IF(I201&gt;1090,"TOO HIGH",""))</f>
        <v/>
      </c>
      <c r="K201" s="15" t="n">
        <f aca="false">IF(J201&lt;&gt;"",0,IF(I201&gt;979,1000,I201))</f>
        <v>108</v>
      </c>
      <c r="L201" s="7" t="n">
        <f aca="false">K201/10</f>
        <v>10.8</v>
      </c>
    </row>
    <row r="202" customFormat="false" ht="15" hidden="false" customHeight="false" outlineLevel="0" collapsed="false">
      <c r="A202" s="7" t="n">
        <v>197</v>
      </c>
      <c r="B202" s="7" t="n">
        <f aca="false">A202/10</f>
        <v>19.7</v>
      </c>
      <c r="C202" s="7" t="n">
        <f aca="false">IF(AND(A202=0,c_TCREEP&gt;0),10*c_TCREEP,IF(AND(A202&lt;=c_TRNGMIN,A202&gt;=c_TRNGMAX,c_TRNGMIN-c_TRNGMAX&lt;&gt;0),-10*c_TMINRN+QUOTIENT((c_TMAXRN-c_TMINRN)*(100-QUOTIENT((A202-c_TRNGMAX)*100,c_TRNGMIN-c_TRNGMAX)),-10),0))</f>
        <v>0</v>
      </c>
      <c r="D202" s="7" t="n">
        <f aca="false">IF(((c_TMAP1IN)-(c_TFWD))=0,(0)+QUOTIENT(((c_TMAP1OUT)-(0)),2),QUOTIENT((((A202)-(c_TFWD))*((c_TMAP1OUT)-(0))+IF(((c_TMAP1OUT)-(0))&gt;=0,1,-1)*QUOTIENT(((c_TMAP1IN)-(c_TFWD)),2)),((c_TMAP1IN)-(c_TFWD)))+(0)+IF(((c_TMAP1OUT)-(0))&gt;=0,IF(IF(o_WRAP=1,MOD(((c_TMAP1IN)-(c_TFWD))*(((A202)-(c_TFWD))*((c_TMAP1OUT)-(0))+IF(((c_TMAP1OUT)-(0))&gt;=0,1,-1)*QUOTIENT(((c_TMAP1IN)-(c_TFWD)),2))+2147483648,4294967296)-2147483648,((c_TMAP1IN)-(c_TFWD))*(((A202)-(c_TFWD))*((c_TMAP1OUT)-(0))+IF(((c_TMAP1OUT)-(0))&gt;=0,1,-1)*QUOTIENT(((c_TMAP1IN)-(c_TFWD)),2)))&lt;0,-1,0),IF(IF(o_WRAP=1,MOD(((c_TMAP1IN)-(c_TFWD))*(((A202)-(c_TFWD))*((c_TMAP1OUT)-(0))+IF(((c_TMAP1OUT)-(0))&gt;=0,1,-1)*QUOTIENT(((c_TMAP1IN)-(c_TFWD)),2))+2147483648,4294967296)-2147483648,((c_TMAP1IN)-(c_TFWD))*(((A202)-(c_TFWD))*((c_TMAP1OUT)-(0))+IF(((c_TMAP1OUT)-(0))&gt;=0,1,-1)*QUOTIENT(((c_TMAP1IN)-(c_TFWD)),2)))&gt;=0,1,0)))</f>
        <v>145</v>
      </c>
      <c r="E202" s="7" t="n">
        <f aca="false">IF(((c_TMAP2IN)-(c_TMAP1IN))=0,(c_TMAP1OUT)+QUOTIENT(((c_TMAP2OUT)-(c_TMAP1OUT)),2),QUOTIENT((((A202)-(c_TMAP1IN))*((c_TMAP2OUT)-(c_TMAP1OUT))+IF(((c_TMAP2OUT)-(c_TMAP1OUT))&gt;=0,1,-1)*QUOTIENT(((c_TMAP2IN)-(c_TMAP1IN)),2)),((c_TMAP2IN)-(c_TMAP1IN)))+(c_TMAP1OUT)+IF(((c_TMAP2OUT)-(c_TMAP1OUT))&gt;=0,IF(IF(o_WRAP=1,MOD(((c_TMAP2IN)-(c_TMAP1IN))*(((A202)-(c_TMAP1IN))*((c_TMAP2OUT)-(c_TMAP1OUT))+IF(((c_TMAP2OUT)-(c_TMAP1OUT))&gt;=0,1,-1)*QUOTIENT(((c_TMAP2IN)-(c_TMAP1IN)),2))+2147483648,4294967296)-2147483648,((c_TMAP2IN)-(c_TMAP1IN))*(((A202)-(c_TMAP1IN))*((c_TMAP2OUT)-(c_TMAP1OUT))+IF(((c_TMAP2OUT)-(c_TMAP1OUT))&gt;=0,1,-1)*QUOTIENT(((c_TMAP2IN)-(c_TMAP1IN)),2)))&lt;0,-1,0),IF(IF(o_WRAP=1,MOD(((c_TMAP2IN)-(c_TMAP1IN))*(((A202)-(c_TMAP1IN))*((c_TMAP2OUT)-(c_TMAP1OUT))+IF(((c_TMAP2OUT)-(c_TMAP1OUT))&gt;=0,1,-1)*QUOTIENT(((c_TMAP2IN)-(c_TMAP1IN)),2))+2147483648,4294967296)-2147483648,((c_TMAP2IN)-(c_TMAP1IN))*(((A202)-(c_TMAP1IN))*((c_TMAP2OUT)-(c_TMAP1OUT))+IF(((c_TMAP2OUT)-(c_TMAP1OUT))&gt;=0,1,-1)*QUOTIENT(((c_TMAP2IN)-(c_TMAP1IN)),2)))&gt;=0,1,0)))</f>
        <v>109</v>
      </c>
      <c r="F202" s="7" t="n">
        <f aca="false">IF(((c_TMAP3IN)-(c_TMAP2IN))=0,(c_TMAP2OUT)+QUOTIENT(((c_TMAP3OUT)-(c_TMAP2OUT)),2),QUOTIENT((((A202)-(c_TMAP2IN))*((c_TMAP3OUT)-(c_TMAP2OUT))+IF(((c_TMAP3OUT)-(c_TMAP2OUT))&gt;=0,1,-1)*QUOTIENT(((c_TMAP3IN)-(c_TMAP2IN)),2)),((c_TMAP3IN)-(c_TMAP2IN)))+(c_TMAP2OUT)+IF(((c_TMAP3OUT)-(c_TMAP2OUT))&gt;=0,IF(IF(o_WRAP=1,MOD(((c_TMAP3IN)-(c_TMAP2IN))*(((A202)-(c_TMAP2IN))*((c_TMAP3OUT)-(c_TMAP2OUT))+IF(((c_TMAP3OUT)-(c_TMAP2OUT))&gt;=0,1,-1)*QUOTIENT(((c_TMAP3IN)-(c_TMAP2IN)),2))+2147483648,4294967296)-2147483648,((c_TMAP3IN)-(c_TMAP2IN))*(((A202)-(c_TMAP2IN))*((c_TMAP3OUT)-(c_TMAP2OUT))+IF(((c_TMAP3OUT)-(c_TMAP2OUT))&gt;=0,1,-1)*QUOTIENT(((c_TMAP3IN)-(c_TMAP2IN)),2)))&lt;0,-1,0),IF(IF(o_WRAP=1,MOD(((c_TMAP3IN)-(c_TMAP2IN))*(((A202)-(c_TMAP2IN))*((c_TMAP3OUT)-(c_TMAP2OUT))+IF(((c_TMAP3OUT)-(c_TMAP2OUT))&gt;=0,1,-1)*QUOTIENT(((c_TMAP3IN)-(c_TMAP2IN)),2))+2147483648,4294967296)-2147483648,((c_TMAP3IN)-(c_TMAP2IN))*(((A202)-(c_TMAP2IN))*((c_TMAP3OUT)-(c_TMAP2OUT))+IF(((c_TMAP3OUT)-(c_TMAP2OUT))&gt;=0,1,-1)*QUOTIENT(((c_TMAP3IN)-(c_TMAP2IN)),2)))&gt;=0,1,0)))</f>
        <v>93</v>
      </c>
      <c r="G202" s="7" t="n">
        <f aca="false">IF(((1000)-(c_TMAP3IN))=0,(c_TMAP3OUT)+QUOTIENT(((1000)-(c_TMAP3OUT)),2),QUOTIENT((((A202)-(c_TMAP3IN))*((1000)-(c_TMAP3OUT))+IF(((1000)-(c_TMAP3OUT))&gt;=0,1,-1)*QUOTIENT(((1000)-(c_TMAP3IN)),2)),((1000)-(c_TMAP3IN)))+(c_TMAP3OUT)+IF(((1000)-(c_TMAP3OUT))&gt;=0,IF(IF(o_WRAP=1,MOD(((1000)-(c_TMAP3IN))*(((A202)-(c_TMAP3IN))*((1000)-(c_TMAP3OUT))+IF(((1000)-(c_TMAP3OUT))&gt;=0,1,-1)*QUOTIENT(((1000)-(c_TMAP3IN)),2))+2147483648,4294967296)-2147483648,((1000)-(c_TMAP3IN))*(((A202)-(c_TMAP3IN))*((1000)-(c_TMAP3OUT))+IF(((1000)-(c_TMAP3OUT))&gt;=0,1,-1)*QUOTIENT(((1000)-(c_TMAP3IN)),2)))&lt;0,-1,0),IF(IF(o_WRAP=1,MOD(((1000)-(c_TMAP3IN))*(((A202)-(c_TMAP3IN))*((1000)-(c_TMAP3OUT))+IF(((1000)-(c_TMAP3OUT))&gt;=0,1,-1)*QUOTIENT(((1000)-(c_TMAP3IN)),2))+2147483648,4294967296)-2147483648,((1000)-(c_TMAP3IN))*(((A202)-(c_TMAP3IN))*((1000)-(c_TMAP3OUT))+IF(((1000)-(c_TMAP3OUT))&gt;=0,1,-1)*QUOTIENT(((1000)-(c_TMAP3IN)),2)))&gt;=0,1,0)))</f>
        <v>12</v>
      </c>
      <c r="H202" s="7" t="str">
        <f aca="false">IF(A202&gt;=c_TFWD,IF(AND(A202&gt;=c_TMAP3IN,c_TMAP3IN&lt;1000),"Seg4 map3-100%",IF(AND(A202&gt;=c_TMAP2IN,c_TMAP3IN&gt;c_TMAP2IN),"Seg3 map2-map3",IF(AND(A202&gt;=c_TMAP1IN,c_TMAP2IN&gt;c_TMAP1IN),"Seg2 map1-map2","Seg1 TFWD-map1"))),IF(AND(A202=0,c_TCREEP&gt;0),"Creep",IF(AND(A202&lt;=c_TRNGMIN,A202&gt;=c_TRNGMAX,c_TRNGMIN-c_TRNGMAX&lt;&gt;0),"Regen ramp","Coast (0)")))</f>
        <v>Seg2 map1-map2</v>
      </c>
      <c r="I202" s="7" t="n">
        <f aca="false">IF(A202&gt;=c_TFWD,IF(AND(A202&gt;=c_TMAP3IN,c_TMAP3IN&lt;1000),G202,IF(AND(A202&gt;=c_TMAP2IN,c_TMAP3IN&gt;c_TMAP2IN),F202,IF(AND(A202&gt;=c_TMAP1IN,c_TMAP2IN&gt;c_TMAP1IN),E202,D202))),C202)</f>
        <v>109</v>
      </c>
      <c r="J202" s="7" t="str">
        <f aca="false">IF(I202&lt;-1090,"TOO LOW",IF(I202&gt;1090,"TOO HIGH",""))</f>
        <v/>
      </c>
      <c r="K202" s="15" t="n">
        <f aca="false">IF(J202&lt;&gt;"",0,IF(I202&gt;979,1000,I202))</f>
        <v>109</v>
      </c>
      <c r="L202" s="7" t="n">
        <f aca="false">K202/10</f>
        <v>10.9</v>
      </c>
    </row>
    <row r="203" customFormat="false" ht="15" hidden="false" customHeight="false" outlineLevel="0" collapsed="false">
      <c r="A203" s="7" t="n">
        <v>198</v>
      </c>
      <c r="B203" s="7" t="n">
        <f aca="false">A203/10</f>
        <v>19.8</v>
      </c>
      <c r="C203" s="7" t="n">
        <f aca="false">IF(AND(A203=0,c_TCREEP&gt;0),10*c_TCREEP,IF(AND(A203&lt;=c_TRNGMIN,A203&gt;=c_TRNGMAX,c_TRNGMIN-c_TRNGMAX&lt;&gt;0),-10*c_TMINRN+QUOTIENT((c_TMAXRN-c_TMINRN)*(100-QUOTIENT((A203-c_TRNGMAX)*100,c_TRNGMIN-c_TRNGMAX)),-10),0))</f>
        <v>0</v>
      </c>
      <c r="D203" s="7" t="n">
        <f aca="false">IF(((c_TMAP1IN)-(c_TFWD))=0,(0)+QUOTIENT(((c_TMAP1OUT)-(0)),2),QUOTIENT((((A203)-(c_TFWD))*((c_TMAP1OUT)-(0))+IF(((c_TMAP1OUT)-(0))&gt;=0,1,-1)*QUOTIENT(((c_TMAP1IN)-(c_TFWD)),2)),((c_TMAP1IN)-(c_TFWD)))+(0)+IF(((c_TMAP1OUT)-(0))&gt;=0,IF(IF(o_WRAP=1,MOD(((c_TMAP1IN)-(c_TFWD))*(((A203)-(c_TFWD))*((c_TMAP1OUT)-(0))+IF(((c_TMAP1OUT)-(0))&gt;=0,1,-1)*QUOTIENT(((c_TMAP1IN)-(c_TFWD)),2))+2147483648,4294967296)-2147483648,((c_TMAP1IN)-(c_TFWD))*(((A203)-(c_TFWD))*((c_TMAP1OUT)-(0))+IF(((c_TMAP1OUT)-(0))&gt;=0,1,-1)*QUOTIENT(((c_TMAP1IN)-(c_TFWD)),2)))&lt;0,-1,0),IF(IF(o_WRAP=1,MOD(((c_TMAP1IN)-(c_TFWD))*(((A203)-(c_TFWD))*((c_TMAP1OUT)-(0))+IF(((c_TMAP1OUT)-(0))&gt;=0,1,-1)*QUOTIENT(((c_TMAP1IN)-(c_TFWD)),2))+2147483648,4294967296)-2147483648,((c_TMAP1IN)-(c_TFWD))*(((A203)-(c_TFWD))*((c_TMAP1OUT)-(0))+IF(((c_TMAP1OUT)-(0))&gt;=0,1,-1)*QUOTIENT(((c_TMAP1IN)-(c_TFWD)),2)))&gt;=0,1,0)))</f>
        <v>146</v>
      </c>
      <c r="E203" s="7" t="n">
        <f aca="false">IF(((c_TMAP2IN)-(c_TMAP1IN))=0,(c_TMAP1OUT)+QUOTIENT(((c_TMAP2OUT)-(c_TMAP1OUT)),2),QUOTIENT((((A203)-(c_TMAP1IN))*((c_TMAP2OUT)-(c_TMAP1OUT))+IF(((c_TMAP2OUT)-(c_TMAP1OUT))&gt;=0,1,-1)*QUOTIENT(((c_TMAP2IN)-(c_TMAP1IN)),2)),((c_TMAP2IN)-(c_TMAP1IN)))+(c_TMAP1OUT)+IF(((c_TMAP2OUT)-(c_TMAP1OUT))&gt;=0,IF(IF(o_WRAP=1,MOD(((c_TMAP2IN)-(c_TMAP1IN))*(((A203)-(c_TMAP1IN))*((c_TMAP2OUT)-(c_TMAP1OUT))+IF(((c_TMAP2OUT)-(c_TMAP1OUT))&gt;=0,1,-1)*QUOTIENT(((c_TMAP2IN)-(c_TMAP1IN)),2))+2147483648,4294967296)-2147483648,((c_TMAP2IN)-(c_TMAP1IN))*(((A203)-(c_TMAP1IN))*((c_TMAP2OUT)-(c_TMAP1OUT))+IF(((c_TMAP2OUT)-(c_TMAP1OUT))&gt;=0,1,-1)*QUOTIENT(((c_TMAP2IN)-(c_TMAP1IN)),2)))&lt;0,-1,0),IF(IF(o_WRAP=1,MOD(((c_TMAP2IN)-(c_TMAP1IN))*(((A203)-(c_TMAP1IN))*((c_TMAP2OUT)-(c_TMAP1OUT))+IF(((c_TMAP2OUT)-(c_TMAP1OUT))&gt;=0,1,-1)*QUOTIENT(((c_TMAP2IN)-(c_TMAP1IN)),2))+2147483648,4294967296)-2147483648,((c_TMAP2IN)-(c_TMAP1IN))*(((A203)-(c_TMAP1IN))*((c_TMAP2OUT)-(c_TMAP1OUT))+IF(((c_TMAP2OUT)-(c_TMAP1OUT))&gt;=0,1,-1)*QUOTIENT(((c_TMAP2IN)-(c_TMAP1IN)),2)))&gt;=0,1,0)))</f>
        <v>109</v>
      </c>
      <c r="F203" s="7" t="n">
        <f aca="false">IF(((c_TMAP3IN)-(c_TMAP2IN))=0,(c_TMAP2OUT)+QUOTIENT(((c_TMAP3OUT)-(c_TMAP2OUT)),2),QUOTIENT((((A203)-(c_TMAP2IN))*((c_TMAP3OUT)-(c_TMAP2OUT))+IF(((c_TMAP3OUT)-(c_TMAP2OUT))&gt;=0,1,-1)*QUOTIENT(((c_TMAP3IN)-(c_TMAP2IN)),2)),((c_TMAP3IN)-(c_TMAP2IN)))+(c_TMAP2OUT)+IF(((c_TMAP3OUT)-(c_TMAP2OUT))&gt;=0,IF(IF(o_WRAP=1,MOD(((c_TMAP3IN)-(c_TMAP2IN))*(((A203)-(c_TMAP2IN))*((c_TMAP3OUT)-(c_TMAP2OUT))+IF(((c_TMAP3OUT)-(c_TMAP2OUT))&gt;=0,1,-1)*QUOTIENT(((c_TMAP3IN)-(c_TMAP2IN)),2))+2147483648,4294967296)-2147483648,((c_TMAP3IN)-(c_TMAP2IN))*(((A203)-(c_TMAP2IN))*((c_TMAP3OUT)-(c_TMAP2OUT))+IF(((c_TMAP3OUT)-(c_TMAP2OUT))&gt;=0,1,-1)*QUOTIENT(((c_TMAP3IN)-(c_TMAP2IN)),2)))&lt;0,-1,0),IF(IF(o_WRAP=1,MOD(((c_TMAP3IN)-(c_TMAP2IN))*(((A203)-(c_TMAP2IN))*((c_TMAP3OUT)-(c_TMAP2OUT))+IF(((c_TMAP3OUT)-(c_TMAP2OUT))&gt;=0,1,-1)*QUOTIENT(((c_TMAP3IN)-(c_TMAP2IN)),2))+2147483648,4294967296)-2147483648,((c_TMAP3IN)-(c_TMAP2IN))*(((A203)-(c_TMAP2IN))*((c_TMAP3OUT)-(c_TMAP2OUT))+IF(((c_TMAP3OUT)-(c_TMAP2OUT))&gt;=0,1,-1)*QUOTIENT(((c_TMAP3IN)-(c_TMAP2IN)),2)))&gt;=0,1,0)))</f>
        <v>94</v>
      </c>
      <c r="G203" s="7" t="n">
        <f aca="false">IF(((1000)-(c_TMAP3IN))=0,(c_TMAP3OUT)+QUOTIENT(((1000)-(c_TMAP3OUT)),2),QUOTIENT((((A203)-(c_TMAP3IN))*((1000)-(c_TMAP3OUT))+IF(((1000)-(c_TMAP3OUT))&gt;=0,1,-1)*QUOTIENT(((1000)-(c_TMAP3IN)),2)),((1000)-(c_TMAP3IN)))+(c_TMAP3OUT)+IF(((1000)-(c_TMAP3OUT))&gt;=0,IF(IF(o_WRAP=1,MOD(((1000)-(c_TMAP3IN))*(((A203)-(c_TMAP3IN))*((1000)-(c_TMAP3OUT))+IF(((1000)-(c_TMAP3OUT))&gt;=0,1,-1)*QUOTIENT(((1000)-(c_TMAP3IN)),2))+2147483648,4294967296)-2147483648,((1000)-(c_TMAP3IN))*(((A203)-(c_TMAP3IN))*((1000)-(c_TMAP3OUT))+IF(((1000)-(c_TMAP3OUT))&gt;=0,1,-1)*QUOTIENT(((1000)-(c_TMAP3IN)),2)))&lt;0,-1,0),IF(IF(o_WRAP=1,MOD(((1000)-(c_TMAP3IN))*(((A203)-(c_TMAP3IN))*((1000)-(c_TMAP3OUT))+IF(((1000)-(c_TMAP3OUT))&gt;=0,1,-1)*QUOTIENT(((1000)-(c_TMAP3IN)),2))+2147483648,4294967296)-2147483648,((1000)-(c_TMAP3IN))*(((A203)-(c_TMAP3IN))*((1000)-(c_TMAP3OUT))+IF(((1000)-(c_TMAP3OUT))&gt;=0,1,-1)*QUOTIENT(((1000)-(c_TMAP3IN)),2)))&gt;=0,1,0)))</f>
        <v>13</v>
      </c>
      <c r="H203" s="7" t="str">
        <f aca="false">IF(A203&gt;=c_TFWD,IF(AND(A203&gt;=c_TMAP3IN,c_TMAP3IN&lt;1000),"Seg4 map3-100%",IF(AND(A203&gt;=c_TMAP2IN,c_TMAP3IN&gt;c_TMAP2IN),"Seg3 map2-map3",IF(AND(A203&gt;=c_TMAP1IN,c_TMAP2IN&gt;c_TMAP1IN),"Seg2 map1-map2","Seg1 TFWD-map1"))),IF(AND(A203=0,c_TCREEP&gt;0),"Creep",IF(AND(A203&lt;=c_TRNGMIN,A203&gt;=c_TRNGMAX,c_TRNGMIN-c_TRNGMAX&lt;&gt;0),"Regen ramp","Coast (0)")))</f>
        <v>Seg2 map1-map2</v>
      </c>
      <c r="I203" s="7" t="n">
        <f aca="false">IF(A203&gt;=c_TFWD,IF(AND(A203&gt;=c_TMAP3IN,c_TMAP3IN&lt;1000),G203,IF(AND(A203&gt;=c_TMAP2IN,c_TMAP3IN&gt;c_TMAP2IN),F203,IF(AND(A203&gt;=c_TMAP1IN,c_TMAP2IN&gt;c_TMAP1IN),E203,D203))),C203)</f>
        <v>109</v>
      </c>
      <c r="J203" s="7" t="str">
        <f aca="false">IF(I203&lt;-1090,"TOO LOW",IF(I203&gt;1090,"TOO HIGH",""))</f>
        <v/>
      </c>
      <c r="K203" s="15" t="n">
        <f aca="false">IF(J203&lt;&gt;"",0,IF(I203&gt;979,1000,I203))</f>
        <v>109</v>
      </c>
      <c r="L203" s="7" t="n">
        <f aca="false">K203/10</f>
        <v>10.9</v>
      </c>
    </row>
    <row r="204" customFormat="false" ht="15" hidden="false" customHeight="false" outlineLevel="0" collapsed="false">
      <c r="A204" s="7" t="n">
        <v>199</v>
      </c>
      <c r="B204" s="7" t="n">
        <f aca="false">A204/10</f>
        <v>19.9</v>
      </c>
      <c r="C204" s="7" t="n">
        <f aca="false">IF(AND(A204=0,c_TCREEP&gt;0),10*c_TCREEP,IF(AND(A204&lt;=c_TRNGMIN,A204&gt;=c_TRNGMAX,c_TRNGMIN-c_TRNGMAX&lt;&gt;0),-10*c_TMINRN+QUOTIENT((c_TMAXRN-c_TMINRN)*(100-QUOTIENT((A204-c_TRNGMAX)*100,c_TRNGMIN-c_TRNGMAX)),-10),0))</f>
        <v>0</v>
      </c>
      <c r="D204" s="7" t="n">
        <f aca="false">IF(((c_TMAP1IN)-(c_TFWD))=0,(0)+QUOTIENT(((c_TMAP1OUT)-(0)),2),QUOTIENT((((A204)-(c_TFWD))*((c_TMAP1OUT)-(0))+IF(((c_TMAP1OUT)-(0))&gt;=0,1,-1)*QUOTIENT(((c_TMAP1IN)-(c_TFWD)),2)),((c_TMAP1IN)-(c_TFWD)))+(0)+IF(((c_TMAP1OUT)-(0))&gt;=0,IF(IF(o_WRAP=1,MOD(((c_TMAP1IN)-(c_TFWD))*(((A204)-(c_TFWD))*((c_TMAP1OUT)-(0))+IF(((c_TMAP1OUT)-(0))&gt;=0,1,-1)*QUOTIENT(((c_TMAP1IN)-(c_TFWD)),2))+2147483648,4294967296)-2147483648,((c_TMAP1IN)-(c_TFWD))*(((A204)-(c_TFWD))*((c_TMAP1OUT)-(0))+IF(((c_TMAP1OUT)-(0))&gt;=0,1,-1)*QUOTIENT(((c_TMAP1IN)-(c_TFWD)),2)))&lt;0,-1,0),IF(IF(o_WRAP=1,MOD(((c_TMAP1IN)-(c_TFWD))*(((A204)-(c_TFWD))*((c_TMAP1OUT)-(0))+IF(((c_TMAP1OUT)-(0))&gt;=0,1,-1)*QUOTIENT(((c_TMAP1IN)-(c_TFWD)),2))+2147483648,4294967296)-2147483648,((c_TMAP1IN)-(c_TFWD))*(((A204)-(c_TFWD))*((c_TMAP1OUT)-(0))+IF(((c_TMAP1OUT)-(0))&gt;=0,1,-1)*QUOTIENT(((c_TMAP1IN)-(c_TFWD)),2)))&gt;=0,1,0)))</f>
        <v>147</v>
      </c>
      <c r="E204" s="7" t="n">
        <f aca="false">IF(((c_TMAP2IN)-(c_TMAP1IN))=0,(c_TMAP1OUT)+QUOTIENT(((c_TMAP2OUT)-(c_TMAP1OUT)),2),QUOTIENT((((A204)-(c_TMAP1IN))*((c_TMAP2OUT)-(c_TMAP1OUT))+IF(((c_TMAP2OUT)-(c_TMAP1OUT))&gt;=0,1,-1)*QUOTIENT(((c_TMAP2IN)-(c_TMAP1IN)),2)),((c_TMAP2IN)-(c_TMAP1IN)))+(c_TMAP1OUT)+IF(((c_TMAP2OUT)-(c_TMAP1OUT))&gt;=0,IF(IF(o_WRAP=1,MOD(((c_TMAP2IN)-(c_TMAP1IN))*(((A204)-(c_TMAP1IN))*((c_TMAP2OUT)-(c_TMAP1OUT))+IF(((c_TMAP2OUT)-(c_TMAP1OUT))&gt;=0,1,-1)*QUOTIENT(((c_TMAP2IN)-(c_TMAP1IN)),2))+2147483648,4294967296)-2147483648,((c_TMAP2IN)-(c_TMAP1IN))*(((A204)-(c_TMAP1IN))*((c_TMAP2OUT)-(c_TMAP1OUT))+IF(((c_TMAP2OUT)-(c_TMAP1OUT))&gt;=0,1,-1)*QUOTIENT(((c_TMAP2IN)-(c_TMAP1IN)),2)))&lt;0,-1,0),IF(IF(o_WRAP=1,MOD(((c_TMAP2IN)-(c_TMAP1IN))*(((A204)-(c_TMAP1IN))*((c_TMAP2OUT)-(c_TMAP1OUT))+IF(((c_TMAP2OUT)-(c_TMAP1OUT))&gt;=0,1,-1)*QUOTIENT(((c_TMAP2IN)-(c_TMAP1IN)),2))+2147483648,4294967296)-2147483648,((c_TMAP2IN)-(c_TMAP1IN))*(((A204)-(c_TMAP1IN))*((c_TMAP2OUT)-(c_TMAP1OUT))+IF(((c_TMAP2OUT)-(c_TMAP1OUT))&gt;=0,1,-1)*QUOTIENT(((c_TMAP2IN)-(c_TMAP1IN)),2)))&gt;=0,1,0)))</f>
        <v>110</v>
      </c>
      <c r="F204" s="7" t="n">
        <f aca="false">IF(((c_TMAP3IN)-(c_TMAP2IN))=0,(c_TMAP2OUT)+QUOTIENT(((c_TMAP3OUT)-(c_TMAP2OUT)),2),QUOTIENT((((A204)-(c_TMAP2IN))*((c_TMAP3OUT)-(c_TMAP2OUT))+IF(((c_TMAP3OUT)-(c_TMAP2OUT))&gt;=0,1,-1)*QUOTIENT(((c_TMAP3IN)-(c_TMAP2IN)),2)),((c_TMAP3IN)-(c_TMAP2IN)))+(c_TMAP2OUT)+IF(((c_TMAP3OUT)-(c_TMAP2OUT))&gt;=0,IF(IF(o_WRAP=1,MOD(((c_TMAP3IN)-(c_TMAP2IN))*(((A204)-(c_TMAP2IN))*((c_TMAP3OUT)-(c_TMAP2OUT))+IF(((c_TMAP3OUT)-(c_TMAP2OUT))&gt;=0,1,-1)*QUOTIENT(((c_TMAP3IN)-(c_TMAP2IN)),2))+2147483648,4294967296)-2147483648,((c_TMAP3IN)-(c_TMAP2IN))*(((A204)-(c_TMAP2IN))*((c_TMAP3OUT)-(c_TMAP2OUT))+IF(((c_TMAP3OUT)-(c_TMAP2OUT))&gt;=0,1,-1)*QUOTIENT(((c_TMAP3IN)-(c_TMAP2IN)),2)))&lt;0,-1,0),IF(IF(o_WRAP=1,MOD(((c_TMAP3IN)-(c_TMAP2IN))*(((A204)-(c_TMAP2IN))*((c_TMAP3OUT)-(c_TMAP2OUT))+IF(((c_TMAP3OUT)-(c_TMAP2OUT))&gt;=0,1,-1)*QUOTIENT(((c_TMAP3IN)-(c_TMAP2IN)),2))+2147483648,4294967296)-2147483648,((c_TMAP3IN)-(c_TMAP2IN))*(((A204)-(c_TMAP2IN))*((c_TMAP3OUT)-(c_TMAP2OUT))+IF(((c_TMAP3OUT)-(c_TMAP2OUT))&gt;=0,1,-1)*QUOTIENT(((c_TMAP3IN)-(c_TMAP2IN)),2)))&gt;=0,1,0)))</f>
        <v>94</v>
      </c>
      <c r="G204" s="7" t="n">
        <f aca="false">IF(((1000)-(c_TMAP3IN))=0,(c_TMAP3OUT)+QUOTIENT(((1000)-(c_TMAP3OUT)),2),QUOTIENT((((A204)-(c_TMAP3IN))*((1000)-(c_TMAP3OUT))+IF(((1000)-(c_TMAP3OUT))&gt;=0,1,-1)*QUOTIENT(((1000)-(c_TMAP3IN)),2)),((1000)-(c_TMAP3IN)))+(c_TMAP3OUT)+IF(((1000)-(c_TMAP3OUT))&gt;=0,IF(IF(o_WRAP=1,MOD(((1000)-(c_TMAP3IN))*(((A204)-(c_TMAP3IN))*((1000)-(c_TMAP3OUT))+IF(((1000)-(c_TMAP3OUT))&gt;=0,1,-1)*QUOTIENT(((1000)-(c_TMAP3IN)),2))+2147483648,4294967296)-2147483648,((1000)-(c_TMAP3IN))*(((A204)-(c_TMAP3IN))*((1000)-(c_TMAP3OUT))+IF(((1000)-(c_TMAP3OUT))&gt;=0,1,-1)*QUOTIENT(((1000)-(c_TMAP3IN)),2)))&lt;0,-1,0),IF(IF(o_WRAP=1,MOD(((1000)-(c_TMAP3IN))*(((A204)-(c_TMAP3IN))*((1000)-(c_TMAP3OUT))+IF(((1000)-(c_TMAP3OUT))&gt;=0,1,-1)*QUOTIENT(((1000)-(c_TMAP3IN)),2))+2147483648,4294967296)-2147483648,((1000)-(c_TMAP3IN))*(((A204)-(c_TMAP3IN))*((1000)-(c_TMAP3OUT))+IF(((1000)-(c_TMAP3OUT))&gt;=0,1,-1)*QUOTIENT(((1000)-(c_TMAP3IN)),2)))&gt;=0,1,0)))</f>
        <v>14</v>
      </c>
      <c r="H204" s="7" t="str">
        <f aca="false">IF(A204&gt;=c_TFWD,IF(AND(A204&gt;=c_TMAP3IN,c_TMAP3IN&lt;1000),"Seg4 map3-100%",IF(AND(A204&gt;=c_TMAP2IN,c_TMAP3IN&gt;c_TMAP2IN),"Seg3 map2-map3",IF(AND(A204&gt;=c_TMAP1IN,c_TMAP2IN&gt;c_TMAP1IN),"Seg2 map1-map2","Seg1 TFWD-map1"))),IF(AND(A204=0,c_TCREEP&gt;0),"Creep",IF(AND(A204&lt;=c_TRNGMIN,A204&gt;=c_TRNGMAX,c_TRNGMIN-c_TRNGMAX&lt;&gt;0),"Regen ramp","Coast (0)")))</f>
        <v>Seg2 map1-map2</v>
      </c>
      <c r="I204" s="7" t="n">
        <f aca="false">IF(A204&gt;=c_TFWD,IF(AND(A204&gt;=c_TMAP3IN,c_TMAP3IN&lt;1000),G204,IF(AND(A204&gt;=c_TMAP2IN,c_TMAP3IN&gt;c_TMAP2IN),F204,IF(AND(A204&gt;=c_TMAP1IN,c_TMAP2IN&gt;c_TMAP1IN),E204,D204))),C204)</f>
        <v>110</v>
      </c>
      <c r="J204" s="7" t="str">
        <f aca="false">IF(I204&lt;-1090,"TOO LOW",IF(I204&gt;1090,"TOO HIGH",""))</f>
        <v/>
      </c>
      <c r="K204" s="15" t="n">
        <f aca="false">IF(J204&lt;&gt;"",0,IF(I204&gt;979,1000,I204))</f>
        <v>110</v>
      </c>
      <c r="L204" s="7" t="n">
        <f aca="false">K204/10</f>
        <v>11</v>
      </c>
    </row>
    <row r="205" customFormat="false" ht="15" hidden="false" customHeight="false" outlineLevel="0" collapsed="false">
      <c r="A205" s="7" t="n">
        <v>200</v>
      </c>
      <c r="B205" s="7" t="n">
        <f aca="false">A205/10</f>
        <v>20</v>
      </c>
      <c r="C205" s="7" t="n">
        <f aca="false">IF(AND(A205=0,c_TCREEP&gt;0),10*c_TCREEP,IF(AND(A205&lt;=c_TRNGMIN,A205&gt;=c_TRNGMAX,c_TRNGMIN-c_TRNGMAX&lt;&gt;0),-10*c_TMINRN+QUOTIENT((c_TMAXRN-c_TMINRN)*(100-QUOTIENT((A205-c_TRNGMAX)*100,c_TRNGMIN-c_TRNGMAX)),-10),0))</f>
        <v>0</v>
      </c>
      <c r="D205" s="7" t="n">
        <f aca="false">IF(((c_TMAP1IN)-(c_TFWD))=0,(0)+QUOTIENT(((c_TMAP1OUT)-(0)),2),QUOTIENT((((A205)-(c_TFWD))*((c_TMAP1OUT)-(0))+IF(((c_TMAP1OUT)-(0))&gt;=0,1,-1)*QUOTIENT(((c_TMAP1IN)-(c_TFWD)),2)),((c_TMAP1IN)-(c_TFWD)))+(0)+IF(((c_TMAP1OUT)-(0))&gt;=0,IF(IF(o_WRAP=1,MOD(((c_TMAP1IN)-(c_TFWD))*(((A205)-(c_TFWD))*((c_TMAP1OUT)-(0))+IF(((c_TMAP1OUT)-(0))&gt;=0,1,-1)*QUOTIENT(((c_TMAP1IN)-(c_TFWD)),2))+2147483648,4294967296)-2147483648,((c_TMAP1IN)-(c_TFWD))*(((A205)-(c_TFWD))*((c_TMAP1OUT)-(0))+IF(((c_TMAP1OUT)-(0))&gt;=0,1,-1)*QUOTIENT(((c_TMAP1IN)-(c_TFWD)),2)))&lt;0,-1,0),IF(IF(o_WRAP=1,MOD(((c_TMAP1IN)-(c_TFWD))*(((A205)-(c_TFWD))*((c_TMAP1OUT)-(0))+IF(((c_TMAP1OUT)-(0))&gt;=0,1,-1)*QUOTIENT(((c_TMAP1IN)-(c_TFWD)),2))+2147483648,4294967296)-2147483648,((c_TMAP1IN)-(c_TFWD))*(((A205)-(c_TFWD))*((c_TMAP1OUT)-(0))+IF(((c_TMAP1OUT)-(0))&gt;=0,1,-1)*QUOTIENT(((c_TMAP1IN)-(c_TFWD)),2)))&gt;=0,1,0)))</f>
        <v>148</v>
      </c>
      <c r="E205" s="7" t="n">
        <f aca="false">IF(((c_TMAP2IN)-(c_TMAP1IN))=0,(c_TMAP1OUT)+QUOTIENT(((c_TMAP2OUT)-(c_TMAP1OUT)),2),QUOTIENT((((A205)-(c_TMAP1IN))*((c_TMAP2OUT)-(c_TMAP1OUT))+IF(((c_TMAP2OUT)-(c_TMAP1OUT))&gt;=0,1,-1)*QUOTIENT(((c_TMAP2IN)-(c_TMAP1IN)),2)),((c_TMAP2IN)-(c_TMAP1IN)))+(c_TMAP1OUT)+IF(((c_TMAP2OUT)-(c_TMAP1OUT))&gt;=0,IF(IF(o_WRAP=1,MOD(((c_TMAP2IN)-(c_TMAP1IN))*(((A205)-(c_TMAP1IN))*((c_TMAP2OUT)-(c_TMAP1OUT))+IF(((c_TMAP2OUT)-(c_TMAP1OUT))&gt;=0,1,-1)*QUOTIENT(((c_TMAP2IN)-(c_TMAP1IN)),2))+2147483648,4294967296)-2147483648,((c_TMAP2IN)-(c_TMAP1IN))*(((A205)-(c_TMAP1IN))*((c_TMAP2OUT)-(c_TMAP1OUT))+IF(((c_TMAP2OUT)-(c_TMAP1OUT))&gt;=0,1,-1)*QUOTIENT(((c_TMAP2IN)-(c_TMAP1IN)),2)))&lt;0,-1,0),IF(IF(o_WRAP=1,MOD(((c_TMAP2IN)-(c_TMAP1IN))*(((A205)-(c_TMAP1IN))*((c_TMAP2OUT)-(c_TMAP1OUT))+IF(((c_TMAP2OUT)-(c_TMAP1OUT))&gt;=0,1,-1)*QUOTIENT(((c_TMAP2IN)-(c_TMAP1IN)),2))+2147483648,4294967296)-2147483648,((c_TMAP2IN)-(c_TMAP1IN))*(((A205)-(c_TMAP1IN))*((c_TMAP2OUT)-(c_TMAP1OUT))+IF(((c_TMAP2OUT)-(c_TMAP1OUT))&gt;=0,1,-1)*QUOTIENT(((c_TMAP2IN)-(c_TMAP1IN)),2)))&gt;=0,1,0)))</f>
        <v>110</v>
      </c>
      <c r="F205" s="7" t="n">
        <f aca="false">IF(((c_TMAP3IN)-(c_TMAP2IN))=0,(c_TMAP2OUT)+QUOTIENT(((c_TMAP3OUT)-(c_TMAP2OUT)),2),QUOTIENT((((A205)-(c_TMAP2IN))*((c_TMAP3OUT)-(c_TMAP2OUT))+IF(((c_TMAP3OUT)-(c_TMAP2OUT))&gt;=0,1,-1)*QUOTIENT(((c_TMAP3IN)-(c_TMAP2IN)),2)),((c_TMAP3IN)-(c_TMAP2IN)))+(c_TMAP2OUT)+IF(((c_TMAP3OUT)-(c_TMAP2OUT))&gt;=0,IF(IF(o_WRAP=1,MOD(((c_TMAP3IN)-(c_TMAP2IN))*(((A205)-(c_TMAP2IN))*((c_TMAP3OUT)-(c_TMAP2OUT))+IF(((c_TMAP3OUT)-(c_TMAP2OUT))&gt;=0,1,-1)*QUOTIENT(((c_TMAP3IN)-(c_TMAP2IN)),2))+2147483648,4294967296)-2147483648,((c_TMAP3IN)-(c_TMAP2IN))*(((A205)-(c_TMAP2IN))*((c_TMAP3OUT)-(c_TMAP2OUT))+IF(((c_TMAP3OUT)-(c_TMAP2OUT))&gt;=0,1,-1)*QUOTIENT(((c_TMAP3IN)-(c_TMAP2IN)),2)))&lt;0,-1,0),IF(IF(o_WRAP=1,MOD(((c_TMAP3IN)-(c_TMAP2IN))*(((A205)-(c_TMAP2IN))*((c_TMAP3OUT)-(c_TMAP2OUT))+IF(((c_TMAP3OUT)-(c_TMAP2OUT))&gt;=0,1,-1)*QUOTIENT(((c_TMAP3IN)-(c_TMAP2IN)),2))+2147483648,4294967296)-2147483648,((c_TMAP3IN)-(c_TMAP2IN))*(((A205)-(c_TMAP2IN))*((c_TMAP3OUT)-(c_TMAP2OUT))+IF(((c_TMAP3OUT)-(c_TMAP2OUT))&gt;=0,1,-1)*QUOTIENT(((c_TMAP3IN)-(c_TMAP2IN)),2)))&gt;=0,1,0)))</f>
        <v>95</v>
      </c>
      <c r="G205" s="7" t="n">
        <f aca="false">IF(((1000)-(c_TMAP3IN))=0,(c_TMAP3OUT)+QUOTIENT(((1000)-(c_TMAP3OUT)),2),QUOTIENT((((A205)-(c_TMAP3IN))*((1000)-(c_TMAP3OUT))+IF(((1000)-(c_TMAP3OUT))&gt;=0,1,-1)*QUOTIENT(((1000)-(c_TMAP3IN)),2)),((1000)-(c_TMAP3IN)))+(c_TMAP3OUT)+IF(((1000)-(c_TMAP3OUT))&gt;=0,IF(IF(o_WRAP=1,MOD(((1000)-(c_TMAP3IN))*(((A205)-(c_TMAP3IN))*((1000)-(c_TMAP3OUT))+IF(((1000)-(c_TMAP3OUT))&gt;=0,1,-1)*QUOTIENT(((1000)-(c_TMAP3IN)),2))+2147483648,4294967296)-2147483648,((1000)-(c_TMAP3IN))*(((A205)-(c_TMAP3IN))*((1000)-(c_TMAP3OUT))+IF(((1000)-(c_TMAP3OUT))&gt;=0,1,-1)*QUOTIENT(((1000)-(c_TMAP3IN)),2)))&lt;0,-1,0),IF(IF(o_WRAP=1,MOD(((1000)-(c_TMAP3IN))*(((A205)-(c_TMAP3IN))*((1000)-(c_TMAP3OUT))+IF(((1000)-(c_TMAP3OUT))&gt;=0,1,-1)*QUOTIENT(((1000)-(c_TMAP3IN)),2))+2147483648,4294967296)-2147483648,((1000)-(c_TMAP3IN))*(((A205)-(c_TMAP3IN))*((1000)-(c_TMAP3OUT))+IF(((1000)-(c_TMAP3OUT))&gt;=0,1,-1)*QUOTIENT(((1000)-(c_TMAP3IN)),2)))&gt;=0,1,0)))</f>
        <v>15</v>
      </c>
      <c r="H205" s="7" t="str">
        <f aca="false">IF(A205&gt;=c_TFWD,IF(AND(A205&gt;=c_TMAP3IN,c_TMAP3IN&lt;1000),"Seg4 map3-100%",IF(AND(A205&gt;=c_TMAP2IN,c_TMAP3IN&gt;c_TMAP2IN),"Seg3 map2-map3",IF(AND(A205&gt;=c_TMAP1IN,c_TMAP2IN&gt;c_TMAP1IN),"Seg2 map1-map2","Seg1 TFWD-map1"))),IF(AND(A205=0,c_TCREEP&gt;0),"Creep",IF(AND(A205&lt;=c_TRNGMIN,A205&gt;=c_TRNGMAX,c_TRNGMIN-c_TRNGMAX&lt;&gt;0),"Regen ramp","Coast (0)")))</f>
        <v>Seg2 map1-map2</v>
      </c>
      <c r="I205" s="7" t="n">
        <f aca="false">IF(A205&gt;=c_TFWD,IF(AND(A205&gt;=c_TMAP3IN,c_TMAP3IN&lt;1000),G205,IF(AND(A205&gt;=c_TMAP2IN,c_TMAP3IN&gt;c_TMAP2IN),F205,IF(AND(A205&gt;=c_TMAP1IN,c_TMAP2IN&gt;c_TMAP1IN),E205,D205))),C205)</f>
        <v>110</v>
      </c>
      <c r="J205" s="7" t="str">
        <f aca="false">IF(I205&lt;-1090,"TOO LOW",IF(I205&gt;1090,"TOO HIGH",""))</f>
        <v/>
      </c>
      <c r="K205" s="15" t="n">
        <f aca="false">IF(J205&lt;&gt;"",0,IF(I205&gt;979,1000,I205))</f>
        <v>110</v>
      </c>
      <c r="L205" s="7" t="n">
        <f aca="false">K205/10</f>
        <v>11</v>
      </c>
    </row>
    <row r="206" customFormat="false" ht="15" hidden="false" customHeight="false" outlineLevel="0" collapsed="false">
      <c r="A206" s="7" t="n">
        <v>201</v>
      </c>
      <c r="B206" s="7" t="n">
        <f aca="false">A206/10</f>
        <v>20.1</v>
      </c>
      <c r="C206" s="7" t="n">
        <f aca="false">IF(AND(A206=0,c_TCREEP&gt;0),10*c_TCREEP,IF(AND(A206&lt;=c_TRNGMIN,A206&gt;=c_TRNGMAX,c_TRNGMIN-c_TRNGMAX&lt;&gt;0),-10*c_TMINRN+QUOTIENT((c_TMAXRN-c_TMINRN)*(100-QUOTIENT((A206-c_TRNGMAX)*100,c_TRNGMIN-c_TRNGMAX)),-10),0))</f>
        <v>0</v>
      </c>
      <c r="D206" s="7" t="n">
        <f aca="false">IF(((c_TMAP1IN)-(c_TFWD))=0,(0)+QUOTIENT(((c_TMAP1OUT)-(0)),2),QUOTIENT((((A206)-(c_TFWD))*((c_TMAP1OUT)-(0))+IF(((c_TMAP1OUT)-(0))&gt;=0,1,-1)*QUOTIENT(((c_TMAP1IN)-(c_TFWD)),2)),((c_TMAP1IN)-(c_TFWD)))+(0)+IF(((c_TMAP1OUT)-(0))&gt;=0,IF(IF(o_WRAP=1,MOD(((c_TMAP1IN)-(c_TFWD))*(((A206)-(c_TFWD))*((c_TMAP1OUT)-(0))+IF(((c_TMAP1OUT)-(0))&gt;=0,1,-1)*QUOTIENT(((c_TMAP1IN)-(c_TFWD)),2))+2147483648,4294967296)-2147483648,((c_TMAP1IN)-(c_TFWD))*(((A206)-(c_TFWD))*((c_TMAP1OUT)-(0))+IF(((c_TMAP1OUT)-(0))&gt;=0,1,-1)*QUOTIENT(((c_TMAP1IN)-(c_TFWD)),2)))&lt;0,-1,0),IF(IF(o_WRAP=1,MOD(((c_TMAP1IN)-(c_TFWD))*(((A206)-(c_TFWD))*((c_TMAP1OUT)-(0))+IF(((c_TMAP1OUT)-(0))&gt;=0,1,-1)*QUOTIENT(((c_TMAP1IN)-(c_TFWD)),2))+2147483648,4294967296)-2147483648,((c_TMAP1IN)-(c_TFWD))*(((A206)-(c_TFWD))*((c_TMAP1OUT)-(0))+IF(((c_TMAP1OUT)-(0))&gt;=0,1,-1)*QUOTIENT(((c_TMAP1IN)-(c_TFWD)),2)))&gt;=0,1,0)))</f>
        <v>149</v>
      </c>
      <c r="E206" s="7" t="n">
        <f aca="false">IF(((c_TMAP2IN)-(c_TMAP1IN))=0,(c_TMAP1OUT)+QUOTIENT(((c_TMAP2OUT)-(c_TMAP1OUT)),2),QUOTIENT((((A206)-(c_TMAP1IN))*((c_TMAP2OUT)-(c_TMAP1OUT))+IF(((c_TMAP2OUT)-(c_TMAP1OUT))&gt;=0,1,-1)*QUOTIENT(((c_TMAP2IN)-(c_TMAP1IN)),2)),((c_TMAP2IN)-(c_TMAP1IN)))+(c_TMAP1OUT)+IF(((c_TMAP2OUT)-(c_TMAP1OUT))&gt;=0,IF(IF(o_WRAP=1,MOD(((c_TMAP2IN)-(c_TMAP1IN))*(((A206)-(c_TMAP1IN))*((c_TMAP2OUT)-(c_TMAP1OUT))+IF(((c_TMAP2OUT)-(c_TMAP1OUT))&gt;=0,1,-1)*QUOTIENT(((c_TMAP2IN)-(c_TMAP1IN)),2))+2147483648,4294967296)-2147483648,((c_TMAP2IN)-(c_TMAP1IN))*(((A206)-(c_TMAP1IN))*((c_TMAP2OUT)-(c_TMAP1OUT))+IF(((c_TMAP2OUT)-(c_TMAP1OUT))&gt;=0,1,-1)*QUOTIENT(((c_TMAP2IN)-(c_TMAP1IN)),2)))&lt;0,-1,0),IF(IF(o_WRAP=1,MOD(((c_TMAP2IN)-(c_TMAP1IN))*(((A206)-(c_TMAP1IN))*((c_TMAP2OUT)-(c_TMAP1OUT))+IF(((c_TMAP2OUT)-(c_TMAP1OUT))&gt;=0,1,-1)*QUOTIENT(((c_TMAP2IN)-(c_TMAP1IN)),2))+2147483648,4294967296)-2147483648,((c_TMAP2IN)-(c_TMAP1IN))*(((A206)-(c_TMAP1IN))*((c_TMAP2OUT)-(c_TMAP1OUT))+IF(((c_TMAP2OUT)-(c_TMAP1OUT))&gt;=0,1,-1)*QUOTIENT(((c_TMAP2IN)-(c_TMAP1IN)),2)))&gt;=0,1,0)))</f>
        <v>110</v>
      </c>
      <c r="F206" s="7" t="n">
        <f aca="false">IF(((c_TMAP3IN)-(c_TMAP2IN))=0,(c_TMAP2OUT)+QUOTIENT(((c_TMAP3OUT)-(c_TMAP2OUT)),2),QUOTIENT((((A206)-(c_TMAP2IN))*((c_TMAP3OUT)-(c_TMAP2OUT))+IF(((c_TMAP3OUT)-(c_TMAP2OUT))&gt;=0,1,-1)*QUOTIENT(((c_TMAP3IN)-(c_TMAP2IN)),2)),((c_TMAP3IN)-(c_TMAP2IN)))+(c_TMAP2OUT)+IF(((c_TMAP3OUT)-(c_TMAP2OUT))&gt;=0,IF(IF(o_WRAP=1,MOD(((c_TMAP3IN)-(c_TMAP2IN))*(((A206)-(c_TMAP2IN))*((c_TMAP3OUT)-(c_TMAP2OUT))+IF(((c_TMAP3OUT)-(c_TMAP2OUT))&gt;=0,1,-1)*QUOTIENT(((c_TMAP3IN)-(c_TMAP2IN)),2))+2147483648,4294967296)-2147483648,((c_TMAP3IN)-(c_TMAP2IN))*(((A206)-(c_TMAP2IN))*((c_TMAP3OUT)-(c_TMAP2OUT))+IF(((c_TMAP3OUT)-(c_TMAP2OUT))&gt;=0,1,-1)*QUOTIENT(((c_TMAP3IN)-(c_TMAP2IN)),2)))&lt;0,-1,0),IF(IF(o_WRAP=1,MOD(((c_TMAP3IN)-(c_TMAP2IN))*(((A206)-(c_TMAP2IN))*((c_TMAP3OUT)-(c_TMAP2OUT))+IF(((c_TMAP3OUT)-(c_TMAP2OUT))&gt;=0,1,-1)*QUOTIENT(((c_TMAP3IN)-(c_TMAP2IN)),2))+2147483648,4294967296)-2147483648,((c_TMAP3IN)-(c_TMAP2IN))*(((A206)-(c_TMAP2IN))*((c_TMAP3OUT)-(c_TMAP2OUT))+IF(((c_TMAP3OUT)-(c_TMAP2OUT))&gt;=0,1,-1)*QUOTIENT(((c_TMAP3IN)-(c_TMAP2IN)),2)))&gt;=0,1,0)))</f>
        <v>96</v>
      </c>
      <c r="G206" s="7" t="n">
        <f aca="false">IF(((1000)-(c_TMAP3IN))=0,(c_TMAP3OUT)+QUOTIENT(((1000)-(c_TMAP3OUT)),2),QUOTIENT((((A206)-(c_TMAP3IN))*((1000)-(c_TMAP3OUT))+IF(((1000)-(c_TMAP3OUT))&gt;=0,1,-1)*QUOTIENT(((1000)-(c_TMAP3IN)),2)),((1000)-(c_TMAP3IN)))+(c_TMAP3OUT)+IF(((1000)-(c_TMAP3OUT))&gt;=0,IF(IF(o_WRAP=1,MOD(((1000)-(c_TMAP3IN))*(((A206)-(c_TMAP3IN))*((1000)-(c_TMAP3OUT))+IF(((1000)-(c_TMAP3OUT))&gt;=0,1,-1)*QUOTIENT(((1000)-(c_TMAP3IN)),2))+2147483648,4294967296)-2147483648,((1000)-(c_TMAP3IN))*(((A206)-(c_TMAP3IN))*((1000)-(c_TMAP3OUT))+IF(((1000)-(c_TMAP3OUT))&gt;=0,1,-1)*QUOTIENT(((1000)-(c_TMAP3IN)),2)))&lt;0,-1,0),IF(IF(o_WRAP=1,MOD(((1000)-(c_TMAP3IN))*(((A206)-(c_TMAP3IN))*((1000)-(c_TMAP3OUT))+IF(((1000)-(c_TMAP3OUT))&gt;=0,1,-1)*QUOTIENT(((1000)-(c_TMAP3IN)),2))+2147483648,4294967296)-2147483648,((1000)-(c_TMAP3IN))*(((A206)-(c_TMAP3IN))*((1000)-(c_TMAP3OUT))+IF(((1000)-(c_TMAP3OUT))&gt;=0,1,-1)*QUOTIENT(((1000)-(c_TMAP3IN)),2)))&gt;=0,1,0)))</f>
        <v>17</v>
      </c>
      <c r="H206" s="7" t="str">
        <f aca="false">IF(A206&gt;=c_TFWD,IF(AND(A206&gt;=c_TMAP3IN,c_TMAP3IN&lt;1000),"Seg4 map3-100%",IF(AND(A206&gt;=c_TMAP2IN,c_TMAP3IN&gt;c_TMAP2IN),"Seg3 map2-map3",IF(AND(A206&gt;=c_TMAP1IN,c_TMAP2IN&gt;c_TMAP1IN),"Seg2 map1-map2","Seg1 TFWD-map1"))),IF(AND(A206=0,c_TCREEP&gt;0),"Creep",IF(AND(A206&lt;=c_TRNGMIN,A206&gt;=c_TRNGMAX,c_TRNGMIN-c_TRNGMAX&lt;&gt;0),"Regen ramp","Coast (0)")))</f>
        <v>Seg2 map1-map2</v>
      </c>
      <c r="I206" s="7" t="n">
        <f aca="false">IF(A206&gt;=c_TFWD,IF(AND(A206&gt;=c_TMAP3IN,c_TMAP3IN&lt;1000),G206,IF(AND(A206&gt;=c_TMAP2IN,c_TMAP3IN&gt;c_TMAP2IN),F206,IF(AND(A206&gt;=c_TMAP1IN,c_TMAP2IN&gt;c_TMAP1IN),E206,D206))),C206)</f>
        <v>110</v>
      </c>
      <c r="J206" s="7" t="str">
        <f aca="false">IF(I206&lt;-1090,"TOO LOW",IF(I206&gt;1090,"TOO HIGH",""))</f>
        <v/>
      </c>
      <c r="K206" s="15" t="n">
        <f aca="false">IF(J206&lt;&gt;"",0,IF(I206&gt;979,1000,I206))</f>
        <v>110</v>
      </c>
      <c r="L206" s="7" t="n">
        <f aca="false">K206/10</f>
        <v>11</v>
      </c>
    </row>
    <row r="207" customFormat="false" ht="15" hidden="false" customHeight="false" outlineLevel="0" collapsed="false">
      <c r="A207" s="7" t="n">
        <v>202</v>
      </c>
      <c r="B207" s="7" t="n">
        <f aca="false">A207/10</f>
        <v>20.2</v>
      </c>
      <c r="C207" s="7" t="n">
        <f aca="false">IF(AND(A207=0,c_TCREEP&gt;0),10*c_TCREEP,IF(AND(A207&lt;=c_TRNGMIN,A207&gt;=c_TRNGMAX,c_TRNGMIN-c_TRNGMAX&lt;&gt;0),-10*c_TMINRN+QUOTIENT((c_TMAXRN-c_TMINRN)*(100-QUOTIENT((A207-c_TRNGMAX)*100,c_TRNGMIN-c_TRNGMAX)),-10),0))</f>
        <v>0</v>
      </c>
      <c r="D207" s="7" t="n">
        <f aca="false">IF(((c_TMAP1IN)-(c_TFWD))=0,(0)+QUOTIENT(((c_TMAP1OUT)-(0)),2),QUOTIENT((((A207)-(c_TFWD))*((c_TMAP1OUT)-(0))+IF(((c_TMAP1OUT)-(0))&gt;=0,1,-1)*QUOTIENT(((c_TMAP1IN)-(c_TFWD)),2)),((c_TMAP1IN)-(c_TFWD)))+(0)+IF(((c_TMAP1OUT)-(0))&gt;=0,IF(IF(o_WRAP=1,MOD(((c_TMAP1IN)-(c_TFWD))*(((A207)-(c_TFWD))*((c_TMAP1OUT)-(0))+IF(((c_TMAP1OUT)-(0))&gt;=0,1,-1)*QUOTIENT(((c_TMAP1IN)-(c_TFWD)),2))+2147483648,4294967296)-2147483648,((c_TMAP1IN)-(c_TFWD))*(((A207)-(c_TFWD))*((c_TMAP1OUT)-(0))+IF(((c_TMAP1OUT)-(0))&gt;=0,1,-1)*QUOTIENT(((c_TMAP1IN)-(c_TFWD)),2)))&lt;0,-1,0),IF(IF(o_WRAP=1,MOD(((c_TMAP1IN)-(c_TFWD))*(((A207)-(c_TFWD))*((c_TMAP1OUT)-(0))+IF(((c_TMAP1OUT)-(0))&gt;=0,1,-1)*QUOTIENT(((c_TMAP1IN)-(c_TFWD)),2))+2147483648,4294967296)-2147483648,((c_TMAP1IN)-(c_TFWD))*(((A207)-(c_TFWD))*((c_TMAP1OUT)-(0))+IF(((c_TMAP1OUT)-(0))&gt;=0,1,-1)*QUOTIENT(((c_TMAP1IN)-(c_TFWD)),2)))&gt;=0,1,0)))</f>
        <v>149</v>
      </c>
      <c r="E207" s="7" t="n">
        <f aca="false">IF(((c_TMAP2IN)-(c_TMAP1IN))=0,(c_TMAP1OUT)+QUOTIENT(((c_TMAP2OUT)-(c_TMAP1OUT)),2),QUOTIENT((((A207)-(c_TMAP1IN))*((c_TMAP2OUT)-(c_TMAP1OUT))+IF(((c_TMAP2OUT)-(c_TMAP1OUT))&gt;=0,1,-1)*QUOTIENT(((c_TMAP2IN)-(c_TMAP1IN)),2)),((c_TMAP2IN)-(c_TMAP1IN)))+(c_TMAP1OUT)+IF(((c_TMAP2OUT)-(c_TMAP1OUT))&gt;=0,IF(IF(o_WRAP=1,MOD(((c_TMAP2IN)-(c_TMAP1IN))*(((A207)-(c_TMAP1IN))*((c_TMAP2OUT)-(c_TMAP1OUT))+IF(((c_TMAP2OUT)-(c_TMAP1OUT))&gt;=0,1,-1)*QUOTIENT(((c_TMAP2IN)-(c_TMAP1IN)),2))+2147483648,4294967296)-2147483648,((c_TMAP2IN)-(c_TMAP1IN))*(((A207)-(c_TMAP1IN))*((c_TMAP2OUT)-(c_TMAP1OUT))+IF(((c_TMAP2OUT)-(c_TMAP1OUT))&gt;=0,1,-1)*QUOTIENT(((c_TMAP2IN)-(c_TMAP1IN)),2)))&lt;0,-1,0),IF(IF(o_WRAP=1,MOD(((c_TMAP2IN)-(c_TMAP1IN))*(((A207)-(c_TMAP1IN))*((c_TMAP2OUT)-(c_TMAP1OUT))+IF(((c_TMAP2OUT)-(c_TMAP1OUT))&gt;=0,1,-1)*QUOTIENT(((c_TMAP2IN)-(c_TMAP1IN)),2))+2147483648,4294967296)-2147483648,((c_TMAP2IN)-(c_TMAP1IN))*(((A207)-(c_TMAP1IN))*((c_TMAP2OUT)-(c_TMAP1OUT))+IF(((c_TMAP2OUT)-(c_TMAP1OUT))&gt;=0,1,-1)*QUOTIENT(((c_TMAP2IN)-(c_TMAP1IN)),2)))&gt;=0,1,0)))</f>
        <v>111</v>
      </c>
      <c r="F207" s="7" t="n">
        <f aca="false">IF(((c_TMAP3IN)-(c_TMAP2IN))=0,(c_TMAP2OUT)+QUOTIENT(((c_TMAP3OUT)-(c_TMAP2OUT)),2),QUOTIENT((((A207)-(c_TMAP2IN))*((c_TMAP3OUT)-(c_TMAP2OUT))+IF(((c_TMAP3OUT)-(c_TMAP2OUT))&gt;=0,1,-1)*QUOTIENT(((c_TMAP3IN)-(c_TMAP2IN)),2)),((c_TMAP3IN)-(c_TMAP2IN)))+(c_TMAP2OUT)+IF(((c_TMAP3OUT)-(c_TMAP2OUT))&gt;=0,IF(IF(o_WRAP=1,MOD(((c_TMAP3IN)-(c_TMAP2IN))*(((A207)-(c_TMAP2IN))*((c_TMAP3OUT)-(c_TMAP2OUT))+IF(((c_TMAP3OUT)-(c_TMAP2OUT))&gt;=0,1,-1)*QUOTIENT(((c_TMAP3IN)-(c_TMAP2IN)),2))+2147483648,4294967296)-2147483648,((c_TMAP3IN)-(c_TMAP2IN))*(((A207)-(c_TMAP2IN))*((c_TMAP3OUT)-(c_TMAP2OUT))+IF(((c_TMAP3OUT)-(c_TMAP2OUT))&gt;=0,1,-1)*QUOTIENT(((c_TMAP3IN)-(c_TMAP2IN)),2)))&lt;0,-1,0),IF(IF(o_WRAP=1,MOD(((c_TMAP3IN)-(c_TMAP2IN))*(((A207)-(c_TMAP2IN))*((c_TMAP3OUT)-(c_TMAP2OUT))+IF(((c_TMAP3OUT)-(c_TMAP2OUT))&gt;=0,1,-1)*QUOTIENT(((c_TMAP3IN)-(c_TMAP2IN)),2))+2147483648,4294967296)-2147483648,((c_TMAP3IN)-(c_TMAP2IN))*(((A207)-(c_TMAP2IN))*((c_TMAP3OUT)-(c_TMAP2OUT))+IF(((c_TMAP3OUT)-(c_TMAP2OUT))&gt;=0,1,-1)*QUOTIENT(((c_TMAP3IN)-(c_TMAP2IN)),2)))&gt;=0,1,0)))</f>
        <v>96</v>
      </c>
      <c r="G207" s="7" t="n">
        <f aca="false">IF(((1000)-(c_TMAP3IN))=0,(c_TMAP3OUT)+QUOTIENT(((1000)-(c_TMAP3OUT)),2),QUOTIENT((((A207)-(c_TMAP3IN))*((1000)-(c_TMAP3OUT))+IF(((1000)-(c_TMAP3OUT))&gt;=0,1,-1)*QUOTIENT(((1000)-(c_TMAP3IN)),2)),((1000)-(c_TMAP3IN)))+(c_TMAP3OUT)+IF(((1000)-(c_TMAP3OUT))&gt;=0,IF(IF(o_WRAP=1,MOD(((1000)-(c_TMAP3IN))*(((A207)-(c_TMAP3IN))*((1000)-(c_TMAP3OUT))+IF(((1000)-(c_TMAP3OUT))&gt;=0,1,-1)*QUOTIENT(((1000)-(c_TMAP3IN)),2))+2147483648,4294967296)-2147483648,((1000)-(c_TMAP3IN))*(((A207)-(c_TMAP3IN))*((1000)-(c_TMAP3OUT))+IF(((1000)-(c_TMAP3OUT))&gt;=0,1,-1)*QUOTIENT(((1000)-(c_TMAP3IN)),2)))&lt;0,-1,0),IF(IF(o_WRAP=1,MOD(((1000)-(c_TMAP3IN))*(((A207)-(c_TMAP3IN))*((1000)-(c_TMAP3OUT))+IF(((1000)-(c_TMAP3OUT))&gt;=0,1,-1)*QUOTIENT(((1000)-(c_TMAP3IN)),2))+2147483648,4294967296)-2147483648,((1000)-(c_TMAP3IN))*(((A207)-(c_TMAP3IN))*((1000)-(c_TMAP3OUT))+IF(((1000)-(c_TMAP3OUT))&gt;=0,1,-1)*QUOTIENT(((1000)-(c_TMAP3IN)),2)))&gt;=0,1,0)))</f>
        <v>18</v>
      </c>
      <c r="H207" s="7" t="str">
        <f aca="false">IF(A207&gt;=c_TFWD,IF(AND(A207&gt;=c_TMAP3IN,c_TMAP3IN&lt;1000),"Seg4 map3-100%",IF(AND(A207&gt;=c_TMAP2IN,c_TMAP3IN&gt;c_TMAP2IN),"Seg3 map2-map3",IF(AND(A207&gt;=c_TMAP1IN,c_TMAP2IN&gt;c_TMAP1IN),"Seg2 map1-map2","Seg1 TFWD-map1"))),IF(AND(A207=0,c_TCREEP&gt;0),"Creep",IF(AND(A207&lt;=c_TRNGMIN,A207&gt;=c_TRNGMAX,c_TRNGMIN-c_TRNGMAX&lt;&gt;0),"Regen ramp","Coast (0)")))</f>
        <v>Seg2 map1-map2</v>
      </c>
      <c r="I207" s="7" t="n">
        <f aca="false">IF(A207&gt;=c_TFWD,IF(AND(A207&gt;=c_TMAP3IN,c_TMAP3IN&lt;1000),G207,IF(AND(A207&gt;=c_TMAP2IN,c_TMAP3IN&gt;c_TMAP2IN),F207,IF(AND(A207&gt;=c_TMAP1IN,c_TMAP2IN&gt;c_TMAP1IN),E207,D207))),C207)</f>
        <v>111</v>
      </c>
      <c r="J207" s="7" t="str">
        <f aca="false">IF(I207&lt;-1090,"TOO LOW",IF(I207&gt;1090,"TOO HIGH",""))</f>
        <v/>
      </c>
      <c r="K207" s="15" t="n">
        <f aca="false">IF(J207&lt;&gt;"",0,IF(I207&gt;979,1000,I207))</f>
        <v>111</v>
      </c>
      <c r="L207" s="7" t="n">
        <f aca="false">K207/10</f>
        <v>11.1</v>
      </c>
    </row>
    <row r="208" customFormat="false" ht="15" hidden="false" customHeight="false" outlineLevel="0" collapsed="false">
      <c r="A208" s="7" t="n">
        <v>203</v>
      </c>
      <c r="B208" s="7" t="n">
        <f aca="false">A208/10</f>
        <v>20.3</v>
      </c>
      <c r="C208" s="7" t="n">
        <f aca="false">IF(AND(A208=0,c_TCREEP&gt;0),10*c_TCREEP,IF(AND(A208&lt;=c_TRNGMIN,A208&gt;=c_TRNGMAX,c_TRNGMIN-c_TRNGMAX&lt;&gt;0),-10*c_TMINRN+QUOTIENT((c_TMAXRN-c_TMINRN)*(100-QUOTIENT((A208-c_TRNGMAX)*100,c_TRNGMIN-c_TRNGMAX)),-10),0))</f>
        <v>0</v>
      </c>
      <c r="D208" s="7" t="n">
        <f aca="false">IF(((c_TMAP1IN)-(c_TFWD))=0,(0)+QUOTIENT(((c_TMAP1OUT)-(0)),2),QUOTIENT((((A208)-(c_TFWD))*((c_TMAP1OUT)-(0))+IF(((c_TMAP1OUT)-(0))&gt;=0,1,-1)*QUOTIENT(((c_TMAP1IN)-(c_TFWD)),2)),((c_TMAP1IN)-(c_TFWD)))+(0)+IF(((c_TMAP1OUT)-(0))&gt;=0,IF(IF(o_WRAP=1,MOD(((c_TMAP1IN)-(c_TFWD))*(((A208)-(c_TFWD))*((c_TMAP1OUT)-(0))+IF(((c_TMAP1OUT)-(0))&gt;=0,1,-1)*QUOTIENT(((c_TMAP1IN)-(c_TFWD)),2))+2147483648,4294967296)-2147483648,((c_TMAP1IN)-(c_TFWD))*(((A208)-(c_TFWD))*((c_TMAP1OUT)-(0))+IF(((c_TMAP1OUT)-(0))&gt;=0,1,-1)*QUOTIENT(((c_TMAP1IN)-(c_TFWD)),2)))&lt;0,-1,0),IF(IF(o_WRAP=1,MOD(((c_TMAP1IN)-(c_TFWD))*(((A208)-(c_TFWD))*((c_TMAP1OUT)-(0))+IF(((c_TMAP1OUT)-(0))&gt;=0,1,-1)*QUOTIENT(((c_TMAP1IN)-(c_TFWD)),2))+2147483648,4294967296)-2147483648,((c_TMAP1IN)-(c_TFWD))*(((A208)-(c_TFWD))*((c_TMAP1OUT)-(0))+IF(((c_TMAP1OUT)-(0))&gt;=0,1,-1)*QUOTIENT(((c_TMAP1IN)-(c_TFWD)),2)))&gt;=0,1,0)))</f>
        <v>150</v>
      </c>
      <c r="E208" s="7" t="n">
        <f aca="false">IF(((c_TMAP2IN)-(c_TMAP1IN))=0,(c_TMAP1OUT)+QUOTIENT(((c_TMAP2OUT)-(c_TMAP1OUT)),2),QUOTIENT((((A208)-(c_TMAP1IN))*((c_TMAP2OUT)-(c_TMAP1OUT))+IF(((c_TMAP2OUT)-(c_TMAP1OUT))&gt;=0,1,-1)*QUOTIENT(((c_TMAP2IN)-(c_TMAP1IN)),2)),((c_TMAP2IN)-(c_TMAP1IN)))+(c_TMAP1OUT)+IF(((c_TMAP2OUT)-(c_TMAP1OUT))&gt;=0,IF(IF(o_WRAP=1,MOD(((c_TMAP2IN)-(c_TMAP1IN))*(((A208)-(c_TMAP1IN))*((c_TMAP2OUT)-(c_TMAP1OUT))+IF(((c_TMAP2OUT)-(c_TMAP1OUT))&gt;=0,1,-1)*QUOTIENT(((c_TMAP2IN)-(c_TMAP1IN)),2))+2147483648,4294967296)-2147483648,((c_TMAP2IN)-(c_TMAP1IN))*(((A208)-(c_TMAP1IN))*((c_TMAP2OUT)-(c_TMAP1OUT))+IF(((c_TMAP2OUT)-(c_TMAP1OUT))&gt;=0,1,-1)*QUOTIENT(((c_TMAP2IN)-(c_TMAP1IN)),2)))&lt;0,-1,0),IF(IF(o_WRAP=1,MOD(((c_TMAP2IN)-(c_TMAP1IN))*(((A208)-(c_TMAP1IN))*((c_TMAP2OUT)-(c_TMAP1OUT))+IF(((c_TMAP2OUT)-(c_TMAP1OUT))&gt;=0,1,-1)*QUOTIENT(((c_TMAP2IN)-(c_TMAP1IN)),2))+2147483648,4294967296)-2147483648,((c_TMAP2IN)-(c_TMAP1IN))*(((A208)-(c_TMAP1IN))*((c_TMAP2OUT)-(c_TMAP1OUT))+IF(((c_TMAP2OUT)-(c_TMAP1OUT))&gt;=0,1,-1)*QUOTIENT(((c_TMAP2IN)-(c_TMAP1IN)),2)))&gt;=0,1,0)))</f>
        <v>111</v>
      </c>
      <c r="F208" s="7" t="n">
        <f aca="false">IF(((c_TMAP3IN)-(c_TMAP2IN))=0,(c_TMAP2OUT)+QUOTIENT(((c_TMAP3OUT)-(c_TMAP2OUT)),2),QUOTIENT((((A208)-(c_TMAP2IN))*((c_TMAP3OUT)-(c_TMAP2OUT))+IF(((c_TMAP3OUT)-(c_TMAP2OUT))&gt;=0,1,-1)*QUOTIENT(((c_TMAP3IN)-(c_TMAP2IN)),2)),((c_TMAP3IN)-(c_TMAP2IN)))+(c_TMAP2OUT)+IF(((c_TMAP3OUT)-(c_TMAP2OUT))&gt;=0,IF(IF(o_WRAP=1,MOD(((c_TMAP3IN)-(c_TMAP2IN))*(((A208)-(c_TMAP2IN))*((c_TMAP3OUT)-(c_TMAP2OUT))+IF(((c_TMAP3OUT)-(c_TMAP2OUT))&gt;=0,1,-1)*QUOTIENT(((c_TMAP3IN)-(c_TMAP2IN)),2))+2147483648,4294967296)-2147483648,((c_TMAP3IN)-(c_TMAP2IN))*(((A208)-(c_TMAP2IN))*((c_TMAP3OUT)-(c_TMAP2OUT))+IF(((c_TMAP3OUT)-(c_TMAP2OUT))&gt;=0,1,-1)*QUOTIENT(((c_TMAP3IN)-(c_TMAP2IN)),2)))&lt;0,-1,0),IF(IF(o_WRAP=1,MOD(((c_TMAP3IN)-(c_TMAP2IN))*(((A208)-(c_TMAP2IN))*((c_TMAP3OUT)-(c_TMAP2OUT))+IF(((c_TMAP3OUT)-(c_TMAP2OUT))&gt;=0,1,-1)*QUOTIENT(((c_TMAP3IN)-(c_TMAP2IN)),2))+2147483648,4294967296)-2147483648,((c_TMAP3IN)-(c_TMAP2IN))*(((A208)-(c_TMAP2IN))*((c_TMAP3OUT)-(c_TMAP2OUT))+IF(((c_TMAP3OUT)-(c_TMAP2OUT))&gt;=0,1,-1)*QUOTIENT(((c_TMAP3IN)-(c_TMAP2IN)),2)))&gt;=0,1,0)))</f>
        <v>97</v>
      </c>
      <c r="G208" s="7" t="n">
        <f aca="false">IF(((1000)-(c_TMAP3IN))=0,(c_TMAP3OUT)+QUOTIENT(((1000)-(c_TMAP3OUT)),2),QUOTIENT((((A208)-(c_TMAP3IN))*((1000)-(c_TMAP3OUT))+IF(((1000)-(c_TMAP3OUT))&gt;=0,1,-1)*QUOTIENT(((1000)-(c_TMAP3IN)),2)),((1000)-(c_TMAP3IN)))+(c_TMAP3OUT)+IF(((1000)-(c_TMAP3OUT))&gt;=0,IF(IF(o_WRAP=1,MOD(((1000)-(c_TMAP3IN))*(((A208)-(c_TMAP3IN))*((1000)-(c_TMAP3OUT))+IF(((1000)-(c_TMAP3OUT))&gt;=0,1,-1)*QUOTIENT(((1000)-(c_TMAP3IN)),2))+2147483648,4294967296)-2147483648,((1000)-(c_TMAP3IN))*(((A208)-(c_TMAP3IN))*((1000)-(c_TMAP3OUT))+IF(((1000)-(c_TMAP3OUT))&gt;=0,1,-1)*QUOTIENT(((1000)-(c_TMAP3IN)),2)))&lt;0,-1,0),IF(IF(o_WRAP=1,MOD(((1000)-(c_TMAP3IN))*(((A208)-(c_TMAP3IN))*((1000)-(c_TMAP3OUT))+IF(((1000)-(c_TMAP3OUT))&gt;=0,1,-1)*QUOTIENT(((1000)-(c_TMAP3IN)),2))+2147483648,4294967296)-2147483648,((1000)-(c_TMAP3IN))*(((A208)-(c_TMAP3IN))*((1000)-(c_TMAP3OUT))+IF(((1000)-(c_TMAP3OUT))&gt;=0,1,-1)*QUOTIENT(((1000)-(c_TMAP3IN)),2)))&gt;=0,1,0)))</f>
        <v>19</v>
      </c>
      <c r="H208" s="7" t="str">
        <f aca="false">IF(A208&gt;=c_TFWD,IF(AND(A208&gt;=c_TMAP3IN,c_TMAP3IN&lt;1000),"Seg4 map3-100%",IF(AND(A208&gt;=c_TMAP2IN,c_TMAP3IN&gt;c_TMAP2IN),"Seg3 map2-map3",IF(AND(A208&gt;=c_TMAP1IN,c_TMAP2IN&gt;c_TMAP1IN),"Seg2 map1-map2","Seg1 TFWD-map1"))),IF(AND(A208=0,c_TCREEP&gt;0),"Creep",IF(AND(A208&lt;=c_TRNGMIN,A208&gt;=c_TRNGMAX,c_TRNGMIN-c_TRNGMAX&lt;&gt;0),"Regen ramp","Coast (0)")))</f>
        <v>Seg2 map1-map2</v>
      </c>
      <c r="I208" s="7" t="n">
        <f aca="false">IF(A208&gt;=c_TFWD,IF(AND(A208&gt;=c_TMAP3IN,c_TMAP3IN&lt;1000),G208,IF(AND(A208&gt;=c_TMAP2IN,c_TMAP3IN&gt;c_TMAP2IN),F208,IF(AND(A208&gt;=c_TMAP1IN,c_TMAP2IN&gt;c_TMAP1IN),E208,D208))),C208)</f>
        <v>111</v>
      </c>
      <c r="J208" s="7" t="str">
        <f aca="false">IF(I208&lt;-1090,"TOO LOW",IF(I208&gt;1090,"TOO HIGH",""))</f>
        <v/>
      </c>
      <c r="K208" s="15" t="n">
        <f aca="false">IF(J208&lt;&gt;"",0,IF(I208&gt;979,1000,I208))</f>
        <v>111</v>
      </c>
      <c r="L208" s="7" t="n">
        <f aca="false">K208/10</f>
        <v>11.1</v>
      </c>
    </row>
    <row r="209" customFormat="false" ht="15" hidden="false" customHeight="false" outlineLevel="0" collapsed="false">
      <c r="A209" s="7" t="n">
        <v>204</v>
      </c>
      <c r="B209" s="7" t="n">
        <f aca="false">A209/10</f>
        <v>20.4</v>
      </c>
      <c r="C209" s="7" t="n">
        <f aca="false">IF(AND(A209=0,c_TCREEP&gt;0),10*c_TCREEP,IF(AND(A209&lt;=c_TRNGMIN,A209&gt;=c_TRNGMAX,c_TRNGMIN-c_TRNGMAX&lt;&gt;0),-10*c_TMINRN+QUOTIENT((c_TMAXRN-c_TMINRN)*(100-QUOTIENT((A209-c_TRNGMAX)*100,c_TRNGMIN-c_TRNGMAX)),-10),0))</f>
        <v>0</v>
      </c>
      <c r="D209" s="7" t="n">
        <f aca="false">IF(((c_TMAP1IN)-(c_TFWD))=0,(0)+QUOTIENT(((c_TMAP1OUT)-(0)),2),QUOTIENT((((A209)-(c_TFWD))*((c_TMAP1OUT)-(0))+IF(((c_TMAP1OUT)-(0))&gt;=0,1,-1)*QUOTIENT(((c_TMAP1IN)-(c_TFWD)),2)),((c_TMAP1IN)-(c_TFWD)))+(0)+IF(((c_TMAP1OUT)-(0))&gt;=0,IF(IF(o_WRAP=1,MOD(((c_TMAP1IN)-(c_TFWD))*(((A209)-(c_TFWD))*((c_TMAP1OUT)-(0))+IF(((c_TMAP1OUT)-(0))&gt;=0,1,-1)*QUOTIENT(((c_TMAP1IN)-(c_TFWD)),2))+2147483648,4294967296)-2147483648,((c_TMAP1IN)-(c_TFWD))*(((A209)-(c_TFWD))*((c_TMAP1OUT)-(0))+IF(((c_TMAP1OUT)-(0))&gt;=0,1,-1)*QUOTIENT(((c_TMAP1IN)-(c_TFWD)),2)))&lt;0,-1,0),IF(IF(o_WRAP=1,MOD(((c_TMAP1IN)-(c_TFWD))*(((A209)-(c_TFWD))*((c_TMAP1OUT)-(0))+IF(((c_TMAP1OUT)-(0))&gt;=0,1,-1)*QUOTIENT(((c_TMAP1IN)-(c_TFWD)),2))+2147483648,4294967296)-2147483648,((c_TMAP1IN)-(c_TFWD))*(((A209)-(c_TFWD))*((c_TMAP1OUT)-(0))+IF(((c_TMAP1OUT)-(0))&gt;=0,1,-1)*QUOTIENT(((c_TMAP1IN)-(c_TFWD)),2)))&gt;=0,1,0)))</f>
        <v>151</v>
      </c>
      <c r="E209" s="7" t="n">
        <f aca="false">IF(((c_TMAP2IN)-(c_TMAP1IN))=0,(c_TMAP1OUT)+QUOTIENT(((c_TMAP2OUT)-(c_TMAP1OUT)),2),QUOTIENT((((A209)-(c_TMAP1IN))*((c_TMAP2OUT)-(c_TMAP1OUT))+IF(((c_TMAP2OUT)-(c_TMAP1OUT))&gt;=0,1,-1)*QUOTIENT(((c_TMAP2IN)-(c_TMAP1IN)),2)),((c_TMAP2IN)-(c_TMAP1IN)))+(c_TMAP1OUT)+IF(((c_TMAP2OUT)-(c_TMAP1OUT))&gt;=0,IF(IF(o_WRAP=1,MOD(((c_TMAP2IN)-(c_TMAP1IN))*(((A209)-(c_TMAP1IN))*((c_TMAP2OUT)-(c_TMAP1OUT))+IF(((c_TMAP2OUT)-(c_TMAP1OUT))&gt;=0,1,-1)*QUOTIENT(((c_TMAP2IN)-(c_TMAP1IN)),2))+2147483648,4294967296)-2147483648,((c_TMAP2IN)-(c_TMAP1IN))*(((A209)-(c_TMAP1IN))*((c_TMAP2OUT)-(c_TMAP1OUT))+IF(((c_TMAP2OUT)-(c_TMAP1OUT))&gt;=0,1,-1)*QUOTIENT(((c_TMAP2IN)-(c_TMAP1IN)),2)))&lt;0,-1,0),IF(IF(o_WRAP=1,MOD(((c_TMAP2IN)-(c_TMAP1IN))*(((A209)-(c_TMAP1IN))*((c_TMAP2OUT)-(c_TMAP1OUT))+IF(((c_TMAP2OUT)-(c_TMAP1OUT))&gt;=0,1,-1)*QUOTIENT(((c_TMAP2IN)-(c_TMAP1IN)),2))+2147483648,4294967296)-2147483648,((c_TMAP2IN)-(c_TMAP1IN))*(((A209)-(c_TMAP1IN))*((c_TMAP2OUT)-(c_TMAP1OUT))+IF(((c_TMAP2OUT)-(c_TMAP1OUT))&gt;=0,1,-1)*QUOTIENT(((c_TMAP2IN)-(c_TMAP1IN)),2)))&gt;=0,1,0)))</f>
        <v>112</v>
      </c>
      <c r="F209" s="7" t="n">
        <f aca="false">IF(((c_TMAP3IN)-(c_TMAP2IN))=0,(c_TMAP2OUT)+QUOTIENT(((c_TMAP3OUT)-(c_TMAP2OUT)),2),QUOTIENT((((A209)-(c_TMAP2IN))*((c_TMAP3OUT)-(c_TMAP2OUT))+IF(((c_TMAP3OUT)-(c_TMAP2OUT))&gt;=0,1,-1)*QUOTIENT(((c_TMAP3IN)-(c_TMAP2IN)),2)),((c_TMAP3IN)-(c_TMAP2IN)))+(c_TMAP2OUT)+IF(((c_TMAP3OUT)-(c_TMAP2OUT))&gt;=0,IF(IF(o_WRAP=1,MOD(((c_TMAP3IN)-(c_TMAP2IN))*(((A209)-(c_TMAP2IN))*((c_TMAP3OUT)-(c_TMAP2OUT))+IF(((c_TMAP3OUT)-(c_TMAP2OUT))&gt;=0,1,-1)*QUOTIENT(((c_TMAP3IN)-(c_TMAP2IN)),2))+2147483648,4294967296)-2147483648,((c_TMAP3IN)-(c_TMAP2IN))*(((A209)-(c_TMAP2IN))*((c_TMAP3OUT)-(c_TMAP2OUT))+IF(((c_TMAP3OUT)-(c_TMAP2OUT))&gt;=0,1,-1)*QUOTIENT(((c_TMAP3IN)-(c_TMAP2IN)),2)))&lt;0,-1,0),IF(IF(o_WRAP=1,MOD(((c_TMAP3IN)-(c_TMAP2IN))*(((A209)-(c_TMAP2IN))*((c_TMAP3OUT)-(c_TMAP2OUT))+IF(((c_TMAP3OUT)-(c_TMAP2OUT))&gt;=0,1,-1)*QUOTIENT(((c_TMAP3IN)-(c_TMAP2IN)),2))+2147483648,4294967296)-2147483648,((c_TMAP3IN)-(c_TMAP2IN))*(((A209)-(c_TMAP2IN))*((c_TMAP3OUT)-(c_TMAP2OUT))+IF(((c_TMAP3OUT)-(c_TMAP2OUT))&gt;=0,1,-1)*QUOTIENT(((c_TMAP3IN)-(c_TMAP2IN)),2)))&gt;=0,1,0)))</f>
        <v>98</v>
      </c>
      <c r="G209" s="7" t="n">
        <f aca="false">IF(((1000)-(c_TMAP3IN))=0,(c_TMAP3OUT)+QUOTIENT(((1000)-(c_TMAP3OUT)),2),QUOTIENT((((A209)-(c_TMAP3IN))*((1000)-(c_TMAP3OUT))+IF(((1000)-(c_TMAP3OUT))&gt;=0,1,-1)*QUOTIENT(((1000)-(c_TMAP3IN)),2)),((1000)-(c_TMAP3IN)))+(c_TMAP3OUT)+IF(((1000)-(c_TMAP3OUT))&gt;=0,IF(IF(o_WRAP=1,MOD(((1000)-(c_TMAP3IN))*(((A209)-(c_TMAP3IN))*((1000)-(c_TMAP3OUT))+IF(((1000)-(c_TMAP3OUT))&gt;=0,1,-1)*QUOTIENT(((1000)-(c_TMAP3IN)),2))+2147483648,4294967296)-2147483648,((1000)-(c_TMAP3IN))*(((A209)-(c_TMAP3IN))*((1000)-(c_TMAP3OUT))+IF(((1000)-(c_TMAP3OUT))&gt;=0,1,-1)*QUOTIENT(((1000)-(c_TMAP3IN)),2)))&lt;0,-1,0),IF(IF(o_WRAP=1,MOD(((1000)-(c_TMAP3IN))*(((A209)-(c_TMAP3IN))*((1000)-(c_TMAP3OUT))+IF(((1000)-(c_TMAP3OUT))&gt;=0,1,-1)*QUOTIENT(((1000)-(c_TMAP3IN)),2))+2147483648,4294967296)-2147483648,((1000)-(c_TMAP3IN))*(((A209)-(c_TMAP3IN))*((1000)-(c_TMAP3OUT))+IF(((1000)-(c_TMAP3OUT))&gt;=0,1,-1)*QUOTIENT(((1000)-(c_TMAP3IN)),2)))&gt;=0,1,0)))</f>
        <v>20</v>
      </c>
      <c r="H209" s="7" t="str">
        <f aca="false">IF(A209&gt;=c_TFWD,IF(AND(A209&gt;=c_TMAP3IN,c_TMAP3IN&lt;1000),"Seg4 map3-100%",IF(AND(A209&gt;=c_TMAP2IN,c_TMAP3IN&gt;c_TMAP2IN),"Seg3 map2-map3",IF(AND(A209&gt;=c_TMAP1IN,c_TMAP2IN&gt;c_TMAP1IN),"Seg2 map1-map2","Seg1 TFWD-map1"))),IF(AND(A209=0,c_TCREEP&gt;0),"Creep",IF(AND(A209&lt;=c_TRNGMIN,A209&gt;=c_TRNGMAX,c_TRNGMIN-c_TRNGMAX&lt;&gt;0),"Regen ramp","Coast (0)")))</f>
        <v>Seg2 map1-map2</v>
      </c>
      <c r="I209" s="7" t="n">
        <f aca="false">IF(A209&gt;=c_TFWD,IF(AND(A209&gt;=c_TMAP3IN,c_TMAP3IN&lt;1000),G209,IF(AND(A209&gt;=c_TMAP2IN,c_TMAP3IN&gt;c_TMAP2IN),F209,IF(AND(A209&gt;=c_TMAP1IN,c_TMAP2IN&gt;c_TMAP1IN),E209,D209))),C209)</f>
        <v>112</v>
      </c>
      <c r="J209" s="7" t="str">
        <f aca="false">IF(I209&lt;-1090,"TOO LOW",IF(I209&gt;1090,"TOO HIGH",""))</f>
        <v/>
      </c>
      <c r="K209" s="15" t="n">
        <f aca="false">IF(J209&lt;&gt;"",0,IF(I209&gt;979,1000,I209))</f>
        <v>112</v>
      </c>
      <c r="L209" s="7" t="n">
        <f aca="false">K209/10</f>
        <v>11.2</v>
      </c>
    </row>
    <row r="210" customFormat="false" ht="15" hidden="false" customHeight="false" outlineLevel="0" collapsed="false">
      <c r="A210" s="7" t="n">
        <v>205</v>
      </c>
      <c r="B210" s="7" t="n">
        <f aca="false">A210/10</f>
        <v>20.5</v>
      </c>
      <c r="C210" s="7" t="n">
        <f aca="false">IF(AND(A210=0,c_TCREEP&gt;0),10*c_TCREEP,IF(AND(A210&lt;=c_TRNGMIN,A210&gt;=c_TRNGMAX,c_TRNGMIN-c_TRNGMAX&lt;&gt;0),-10*c_TMINRN+QUOTIENT((c_TMAXRN-c_TMINRN)*(100-QUOTIENT((A210-c_TRNGMAX)*100,c_TRNGMIN-c_TRNGMAX)),-10),0))</f>
        <v>0</v>
      </c>
      <c r="D210" s="7" t="n">
        <f aca="false">IF(((c_TMAP1IN)-(c_TFWD))=0,(0)+QUOTIENT(((c_TMAP1OUT)-(0)),2),QUOTIENT((((A210)-(c_TFWD))*((c_TMAP1OUT)-(0))+IF(((c_TMAP1OUT)-(0))&gt;=0,1,-1)*QUOTIENT(((c_TMAP1IN)-(c_TFWD)),2)),((c_TMAP1IN)-(c_TFWD)))+(0)+IF(((c_TMAP1OUT)-(0))&gt;=0,IF(IF(o_WRAP=1,MOD(((c_TMAP1IN)-(c_TFWD))*(((A210)-(c_TFWD))*((c_TMAP1OUT)-(0))+IF(((c_TMAP1OUT)-(0))&gt;=0,1,-1)*QUOTIENT(((c_TMAP1IN)-(c_TFWD)),2))+2147483648,4294967296)-2147483648,((c_TMAP1IN)-(c_TFWD))*(((A210)-(c_TFWD))*((c_TMAP1OUT)-(0))+IF(((c_TMAP1OUT)-(0))&gt;=0,1,-1)*QUOTIENT(((c_TMAP1IN)-(c_TFWD)),2)))&lt;0,-1,0),IF(IF(o_WRAP=1,MOD(((c_TMAP1IN)-(c_TFWD))*(((A210)-(c_TFWD))*((c_TMAP1OUT)-(0))+IF(((c_TMAP1OUT)-(0))&gt;=0,1,-1)*QUOTIENT(((c_TMAP1IN)-(c_TFWD)),2))+2147483648,4294967296)-2147483648,((c_TMAP1IN)-(c_TFWD))*(((A210)-(c_TFWD))*((c_TMAP1OUT)-(0))+IF(((c_TMAP1OUT)-(0))&gt;=0,1,-1)*QUOTIENT(((c_TMAP1IN)-(c_TFWD)),2)))&gt;=0,1,0)))</f>
        <v>152</v>
      </c>
      <c r="E210" s="7" t="n">
        <f aca="false">IF(((c_TMAP2IN)-(c_TMAP1IN))=0,(c_TMAP1OUT)+QUOTIENT(((c_TMAP2OUT)-(c_TMAP1OUT)),2),QUOTIENT((((A210)-(c_TMAP1IN))*((c_TMAP2OUT)-(c_TMAP1OUT))+IF(((c_TMAP2OUT)-(c_TMAP1OUT))&gt;=0,1,-1)*QUOTIENT(((c_TMAP2IN)-(c_TMAP1IN)),2)),((c_TMAP2IN)-(c_TMAP1IN)))+(c_TMAP1OUT)+IF(((c_TMAP2OUT)-(c_TMAP1OUT))&gt;=0,IF(IF(o_WRAP=1,MOD(((c_TMAP2IN)-(c_TMAP1IN))*(((A210)-(c_TMAP1IN))*((c_TMAP2OUT)-(c_TMAP1OUT))+IF(((c_TMAP2OUT)-(c_TMAP1OUT))&gt;=0,1,-1)*QUOTIENT(((c_TMAP2IN)-(c_TMAP1IN)),2))+2147483648,4294967296)-2147483648,((c_TMAP2IN)-(c_TMAP1IN))*(((A210)-(c_TMAP1IN))*((c_TMAP2OUT)-(c_TMAP1OUT))+IF(((c_TMAP2OUT)-(c_TMAP1OUT))&gt;=0,1,-1)*QUOTIENT(((c_TMAP2IN)-(c_TMAP1IN)),2)))&lt;0,-1,0),IF(IF(o_WRAP=1,MOD(((c_TMAP2IN)-(c_TMAP1IN))*(((A210)-(c_TMAP1IN))*((c_TMAP2OUT)-(c_TMAP1OUT))+IF(((c_TMAP2OUT)-(c_TMAP1OUT))&gt;=0,1,-1)*QUOTIENT(((c_TMAP2IN)-(c_TMAP1IN)),2))+2147483648,4294967296)-2147483648,((c_TMAP2IN)-(c_TMAP1IN))*(((A210)-(c_TMAP1IN))*((c_TMAP2OUT)-(c_TMAP1OUT))+IF(((c_TMAP2OUT)-(c_TMAP1OUT))&gt;=0,1,-1)*QUOTIENT(((c_TMAP2IN)-(c_TMAP1IN)),2)))&gt;=0,1,0)))</f>
        <v>112</v>
      </c>
      <c r="F210" s="7" t="n">
        <f aca="false">IF(((c_TMAP3IN)-(c_TMAP2IN))=0,(c_TMAP2OUT)+QUOTIENT(((c_TMAP3OUT)-(c_TMAP2OUT)),2),QUOTIENT((((A210)-(c_TMAP2IN))*((c_TMAP3OUT)-(c_TMAP2OUT))+IF(((c_TMAP3OUT)-(c_TMAP2OUT))&gt;=0,1,-1)*QUOTIENT(((c_TMAP3IN)-(c_TMAP2IN)),2)),((c_TMAP3IN)-(c_TMAP2IN)))+(c_TMAP2OUT)+IF(((c_TMAP3OUT)-(c_TMAP2OUT))&gt;=0,IF(IF(o_WRAP=1,MOD(((c_TMAP3IN)-(c_TMAP2IN))*(((A210)-(c_TMAP2IN))*((c_TMAP3OUT)-(c_TMAP2OUT))+IF(((c_TMAP3OUT)-(c_TMAP2OUT))&gt;=0,1,-1)*QUOTIENT(((c_TMAP3IN)-(c_TMAP2IN)),2))+2147483648,4294967296)-2147483648,((c_TMAP3IN)-(c_TMAP2IN))*(((A210)-(c_TMAP2IN))*((c_TMAP3OUT)-(c_TMAP2OUT))+IF(((c_TMAP3OUT)-(c_TMAP2OUT))&gt;=0,1,-1)*QUOTIENT(((c_TMAP3IN)-(c_TMAP2IN)),2)))&lt;0,-1,0),IF(IF(o_WRAP=1,MOD(((c_TMAP3IN)-(c_TMAP2IN))*(((A210)-(c_TMAP2IN))*((c_TMAP3OUT)-(c_TMAP2OUT))+IF(((c_TMAP3OUT)-(c_TMAP2OUT))&gt;=0,1,-1)*QUOTIENT(((c_TMAP3IN)-(c_TMAP2IN)),2))+2147483648,4294967296)-2147483648,((c_TMAP3IN)-(c_TMAP2IN))*(((A210)-(c_TMAP2IN))*((c_TMAP3OUT)-(c_TMAP2OUT))+IF(((c_TMAP3OUT)-(c_TMAP2OUT))&gt;=0,1,-1)*QUOTIENT(((c_TMAP3IN)-(c_TMAP2IN)),2)))&gt;=0,1,0)))</f>
        <v>98</v>
      </c>
      <c r="G210" s="7" t="n">
        <f aca="false">IF(((1000)-(c_TMAP3IN))=0,(c_TMAP3OUT)+QUOTIENT(((1000)-(c_TMAP3OUT)),2),QUOTIENT((((A210)-(c_TMAP3IN))*((1000)-(c_TMAP3OUT))+IF(((1000)-(c_TMAP3OUT))&gt;=0,1,-1)*QUOTIENT(((1000)-(c_TMAP3IN)),2)),((1000)-(c_TMAP3IN)))+(c_TMAP3OUT)+IF(((1000)-(c_TMAP3OUT))&gt;=0,IF(IF(o_WRAP=1,MOD(((1000)-(c_TMAP3IN))*(((A210)-(c_TMAP3IN))*((1000)-(c_TMAP3OUT))+IF(((1000)-(c_TMAP3OUT))&gt;=0,1,-1)*QUOTIENT(((1000)-(c_TMAP3IN)),2))+2147483648,4294967296)-2147483648,((1000)-(c_TMAP3IN))*(((A210)-(c_TMAP3IN))*((1000)-(c_TMAP3OUT))+IF(((1000)-(c_TMAP3OUT))&gt;=0,1,-1)*QUOTIENT(((1000)-(c_TMAP3IN)),2)))&lt;0,-1,0),IF(IF(o_WRAP=1,MOD(((1000)-(c_TMAP3IN))*(((A210)-(c_TMAP3IN))*((1000)-(c_TMAP3OUT))+IF(((1000)-(c_TMAP3OUT))&gt;=0,1,-1)*QUOTIENT(((1000)-(c_TMAP3IN)),2))+2147483648,4294967296)-2147483648,((1000)-(c_TMAP3IN))*(((A210)-(c_TMAP3IN))*((1000)-(c_TMAP3OUT))+IF(((1000)-(c_TMAP3OUT))&gt;=0,1,-1)*QUOTIENT(((1000)-(c_TMAP3IN)),2)))&gt;=0,1,0)))</f>
        <v>22</v>
      </c>
      <c r="H210" s="7" t="str">
        <f aca="false">IF(A210&gt;=c_TFWD,IF(AND(A210&gt;=c_TMAP3IN,c_TMAP3IN&lt;1000),"Seg4 map3-100%",IF(AND(A210&gt;=c_TMAP2IN,c_TMAP3IN&gt;c_TMAP2IN),"Seg3 map2-map3",IF(AND(A210&gt;=c_TMAP1IN,c_TMAP2IN&gt;c_TMAP1IN),"Seg2 map1-map2","Seg1 TFWD-map1"))),IF(AND(A210=0,c_TCREEP&gt;0),"Creep",IF(AND(A210&lt;=c_TRNGMIN,A210&gt;=c_TRNGMAX,c_TRNGMIN-c_TRNGMAX&lt;&gt;0),"Regen ramp","Coast (0)")))</f>
        <v>Seg2 map1-map2</v>
      </c>
      <c r="I210" s="7" t="n">
        <f aca="false">IF(A210&gt;=c_TFWD,IF(AND(A210&gt;=c_TMAP3IN,c_TMAP3IN&lt;1000),G210,IF(AND(A210&gt;=c_TMAP2IN,c_TMAP3IN&gt;c_TMAP2IN),F210,IF(AND(A210&gt;=c_TMAP1IN,c_TMAP2IN&gt;c_TMAP1IN),E210,D210))),C210)</f>
        <v>112</v>
      </c>
      <c r="J210" s="7" t="str">
        <f aca="false">IF(I210&lt;-1090,"TOO LOW",IF(I210&gt;1090,"TOO HIGH",""))</f>
        <v/>
      </c>
      <c r="K210" s="15" t="n">
        <f aca="false">IF(J210&lt;&gt;"",0,IF(I210&gt;979,1000,I210))</f>
        <v>112</v>
      </c>
      <c r="L210" s="7" t="n">
        <f aca="false">K210/10</f>
        <v>11.2</v>
      </c>
    </row>
    <row r="211" customFormat="false" ht="15" hidden="false" customHeight="false" outlineLevel="0" collapsed="false">
      <c r="A211" s="7" t="n">
        <v>206</v>
      </c>
      <c r="B211" s="7" t="n">
        <f aca="false">A211/10</f>
        <v>20.6</v>
      </c>
      <c r="C211" s="7" t="n">
        <f aca="false">IF(AND(A211=0,c_TCREEP&gt;0),10*c_TCREEP,IF(AND(A211&lt;=c_TRNGMIN,A211&gt;=c_TRNGMAX,c_TRNGMIN-c_TRNGMAX&lt;&gt;0),-10*c_TMINRN+QUOTIENT((c_TMAXRN-c_TMINRN)*(100-QUOTIENT((A211-c_TRNGMAX)*100,c_TRNGMIN-c_TRNGMAX)),-10),0))</f>
        <v>0</v>
      </c>
      <c r="D211" s="7" t="n">
        <f aca="false">IF(((c_TMAP1IN)-(c_TFWD))=0,(0)+QUOTIENT(((c_TMAP1OUT)-(0)),2),QUOTIENT((((A211)-(c_TFWD))*((c_TMAP1OUT)-(0))+IF(((c_TMAP1OUT)-(0))&gt;=0,1,-1)*QUOTIENT(((c_TMAP1IN)-(c_TFWD)),2)),((c_TMAP1IN)-(c_TFWD)))+(0)+IF(((c_TMAP1OUT)-(0))&gt;=0,IF(IF(o_WRAP=1,MOD(((c_TMAP1IN)-(c_TFWD))*(((A211)-(c_TFWD))*((c_TMAP1OUT)-(0))+IF(((c_TMAP1OUT)-(0))&gt;=0,1,-1)*QUOTIENT(((c_TMAP1IN)-(c_TFWD)),2))+2147483648,4294967296)-2147483648,((c_TMAP1IN)-(c_TFWD))*(((A211)-(c_TFWD))*((c_TMAP1OUT)-(0))+IF(((c_TMAP1OUT)-(0))&gt;=0,1,-1)*QUOTIENT(((c_TMAP1IN)-(c_TFWD)),2)))&lt;0,-1,0),IF(IF(o_WRAP=1,MOD(((c_TMAP1IN)-(c_TFWD))*(((A211)-(c_TFWD))*((c_TMAP1OUT)-(0))+IF(((c_TMAP1OUT)-(0))&gt;=0,1,-1)*QUOTIENT(((c_TMAP1IN)-(c_TFWD)),2))+2147483648,4294967296)-2147483648,((c_TMAP1IN)-(c_TFWD))*(((A211)-(c_TFWD))*((c_TMAP1OUT)-(0))+IF(((c_TMAP1OUT)-(0))&gt;=0,1,-1)*QUOTIENT(((c_TMAP1IN)-(c_TFWD)),2)))&gt;=0,1,0)))</f>
        <v>152</v>
      </c>
      <c r="E211" s="7" t="n">
        <f aca="false">IF(((c_TMAP2IN)-(c_TMAP1IN))=0,(c_TMAP1OUT)+QUOTIENT(((c_TMAP2OUT)-(c_TMAP1OUT)),2),QUOTIENT((((A211)-(c_TMAP1IN))*((c_TMAP2OUT)-(c_TMAP1OUT))+IF(((c_TMAP2OUT)-(c_TMAP1OUT))&gt;=0,1,-1)*QUOTIENT(((c_TMAP2IN)-(c_TMAP1IN)),2)),((c_TMAP2IN)-(c_TMAP1IN)))+(c_TMAP1OUT)+IF(((c_TMAP2OUT)-(c_TMAP1OUT))&gt;=0,IF(IF(o_WRAP=1,MOD(((c_TMAP2IN)-(c_TMAP1IN))*(((A211)-(c_TMAP1IN))*((c_TMAP2OUT)-(c_TMAP1OUT))+IF(((c_TMAP2OUT)-(c_TMAP1OUT))&gt;=0,1,-1)*QUOTIENT(((c_TMAP2IN)-(c_TMAP1IN)),2))+2147483648,4294967296)-2147483648,((c_TMAP2IN)-(c_TMAP1IN))*(((A211)-(c_TMAP1IN))*((c_TMAP2OUT)-(c_TMAP1OUT))+IF(((c_TMAP2OUT)-(c_TMAP1OUT))&gt;=0,1,-1)*QUOTIENT(((c_TMAP2IN)-(c_TMAP1IN)),2)))&lt;0,-1,0),IF(IF(o_WRAP=1,MOD(((c_TMAP2IN)-(c_TMAP1IN))*(((A211)-(c_TMAP1IN))*((c_TMAP2OUT)-(c_TMAP1OUT))+IF(((c_TMAP2OUT)-(c_TMAP1OUT))&gt;=0,1,-1)*QUOTIENT(((c_TMAP2IN)-(c_TMAP1IN)),2))+2147483648,4294967296)-2147483648,((c_TMAP2IN)-(c_TMAP1IN))*(((A211)-(c_TMAP1IN))*((c_TMAP2OUT)-(c_TMAP1OUT))+IF(((c_TMAP2OUT)-(c_TMAP1OUT))&gt;=0,1,-1)*QUOTIENT(((c_TMAP2IN)-(c_TMAP1IN)),2)))&gt;=0,1,0)))</f>
        <v>112</v>
      </c>
      <c r="F211" s="7" t="n">
        <f aca="false">IF(((c_TMAP3IN)-(c_TMAP2IN))=0,(c_TMAP2OUT)+QUOTIENT(((c_TMAP3OUT)-(c_TMAP2OUT)),2),QUOTIENT((((A211)-(c_TMAP2IN))*((c_TMAP3OUT)-(c_TMAP2OUT))+IF(((c_TMAP3OUT)-(c_TMAP2OUT))&gt;=0,1,-1)*QUOTIENT(((c_TMAP3IN)-(c_TMAP2IN)),2)),((c_TMAP3IN)-(c_TMAP2IN)))+(c_TMAP2OUT)+IF(((c_TMAP3OUT)-(c_TMAP2OUT))&gt;=0,IF(IF(o_WRAP=1,MOD(((c_TMAP3IN)-(c_TMAP2IN))*(((A211)-(c_TMAP2IN))*((c_TMAP3OUT)-(c_TMAP2OUT))+IF(((c_TMAP3OUT)-(c_TMAP2OUT))&gt;=0,1,-1)*QUOTIENT(((c_TMAP3IN)-(c_TMAP2IN)),2))+2147483648,4294967296)-2147483648,((c_TMAP3IN)-(c_TMAP2IN))*(((A211)-(c_TMAP2IN))*((c_TMAP3OUT)-(c_TMAP2OUT))+IF(((c_TMAP3OUT)-(c_TMAP2OUT))&gt;=0,1,-1)*QUOTIENT(((c_TMAP3IN)-(c_TMAP2IN)),2)))&lt;0,-1,0),IF(IF(o_WRAP=1,MOD(((c_TMAP3IN)-(c_TMAP2IN))*(((A211)-(c_TMAP2IN))*((c_TMAP3OUT)-(c_TMAP2OUT))+IF(((c_TMAP3OUT)-(c_TMAP2OUT))&gt;=0,1,-1)*QUOTIENT(((c_TMAP3IN)-(c_TMAP2IN)),2))+2147483648,4294967296)-2147483648,((c_TMAP3IN)-(c_TMAP2IN))*(((A211)-(c_TMAP2IN))*((c_TMAP3OUT)-(c_TMAP2OUT))+IF(((c_TMAP3OUT)-(c_TMAP2OUT))&gt;=0,1,-1)*QUOTIENT(((c_TMAP3IN)-(c_TMAP2IN)),2)))&gt;=0,1,0)))</f>
        <v>99</v>
      </c>
      <c r="G211" s="7" t="n">
        <f aca="false">IF(((1000)-(c_TMAP3IN))=0,(c_TMAP3OUT)+QUOTIENT(((1000)-(c_TMAP3OUT)),2),QUOTIENT((((A211)-(c_TMAP3IN))*((1000)-(c_TMAP3OUT))+IF(((1000)-(c_TMAP3OUT))&gt;=0,1,-1)*QUOTIENT(((1000)-(c_TMAP3IN)),2)),((1000)-(c_TMAP3IN)))+(c_TMAP3OUT)+IF(((1000)-(c_TMAP3OUT))&gt;=0,IF(IF(o_WRAP=1,MOD(((1000)-(c_TMAP3IN))*(((A211)-(c_TMAP3IN))*((1000)-(c_TMAP3OUT))+IF(((1000)-(c_TMAP3OUT))&gt;=0,1,-1)*QUOTIENT(((1000)-(c_TMAP3IN)),2))+2147483648,4294967296)-2147483648,((1000)-(c_TMAP3IN))*(((A211)-(c_TMAP3IN))*((1000)-(c_TMAP3OUT))+IF(((1000)-(c_TMAP3OUT))&gt;=0,1,-1)*QUOTIENT(((1000)-(c_TMAP3IN)),2)))&lt;0,-1,0),IF(IF(o_WRAP=1,MOD(((1000)-(c_TMAP3IN))*(((A211)-(c_TMAP3IN))*((1000)-(c_TMAP3OUT))+IF(((1000)-(c_TMAP3OUT))&gt;=0,1,-1)*QUOTIENT(((1000)-(c_TMAP3IN)),2))+2147483648,4294967296)-2147483648,((1000)-(c_TMAP3IN))*(((A211)-(c_TMAP3IN))*((1000)-(c_TMAP3OUT))+IF(((1000)-(c_TMAP3OUT))&gt;=0,1,-1)*QUOTIENT(((1000)-(c_TMAP3IN)),2)))&gt;=0,1,0)))</f>
        <v>23</v>
      </c>
      <c r="H211" s="7" t="str">
        <f aca="false">IF(A211&gt;=c_TFWD,IF(AND(A211&gt;=c_TMAP3IN,c_TMAP3IN&lt;1000),"Seg4 map3-100%",IF(AND(A211&gt;=c_TMAP2IN,c_TMAP3IN&gt;c_TMAP2IN),"Seg3 map2-map3",IF(AND(A211&gt;=c_TMAP1IN,c_TMAP2IN&gt;c_TMAP1IN),"Seg2 map1-map2","Seg1 TFWD-map1"))),IF(AND(A211=0,c_TCREEP&gt;0),"Creep",IF(AND(A211&lt;=c_TRNGMIN,A211&gt;=c_TRNGMAX,c_TRNGMIN-c_TRNGMAX&lt;&gt;0),"Regen ramp","Coast (0)")))</f>
        <v>Seg2 map1-map2</v>
      </c>
      <c r="I211" s="7" t="n">
        <f aca="false">IF(A211&gt;=c_TFWD,IF(AND(A211&gt;=c_TMAP3IN,c_TMAP3IN&lt;1000),G211,IF(AND(A211&gt;=c_TMAP2IN,c_TMAP3IN&gt;c_TMAP2IN),F211,IF(AND(A211&gt;=c_TMAP1IN,c_TMAP2IN&gt;c_TMAP1IN),E211,D211))),C211)</f>
        <v>112</v>
      </c>
      <c r="J211" s="7" t="str">
        <f aca="false">IF(I211&lt;-1090,"TOO LOW",IF(I211&gt;1090,"TOO HIGH",""))</f>
        <v/>
      </c>
      <c r="K211" s="15" t="n">
        <f aca="false">IF(J211&lt;&gt;"",0,IF(I211&gt;979,1000,I211))</f>
        <v>112</v>
      </c>
      <c r="L211" s="7" t="n">
        <f aca="false">K211/10</f>
        <v>11.2</v>
      </c>
    </row>
    <row r="212" customFormat="false" ht="15" hidden="false" customHeight="false" outlineLevel="0" collapsed="false">
      <c r="A212" s="7" t="n">
        <v>207</v>
      </c>
      <c r="B212" s="7" t="n">
        <f aca="false">A212/10</f>
        <v>20.7</v>
      </c>
      <c r="C212" s="7" t="n">
        <f aca="false">IF(AND(A212=0,c_TCREEP&gt;0),10*c_TCREEP,IF(AND(A212&lt;=c_TRNGMIN,A212&gt;=c_TRNGMAX,c_TRNGMIN-c_TRNGMAX&lt;&gt;0),-10*c_TMINRN+QUOTIENT((c_TMAXRN-c_TMINRN)*(100-QUOTIENT((A212-c_TRNGMAX)*100,c_TRNGMIN-c_TRNGMAX)),-10),0))</f>
        <v>0</v>
      </c>
      <c r="D212" s="7" t="n">
        <f aca="false">IF(((c_TMAP1IN)-(c_TFWD))=0,(0)+QUOTIENT(((c_TMAP1OUT)-(0)),2),QUOTIENT((((A212)-(c_TFWD))*((c_TMAP1OUT)-(0))+IF(((c_TMAP1OUT)-(0))&gt;=0,1,-1)*QUOTIENT(((c_TMAP1IN)-(c_TFWD)),2)),((c_TMAP1IN)-(c_TFWD)))+(0)+IF(((c_TMAP1OUT)-(0))&gt;=0,IF(IF(o_WRAP=1,MOD(((c_TMAP1IN)-(c_TFWD))*(((A212)-(c_TFWD))*((c_TMAP1OUT)-(0))+IF(((c_TMAP1OUT)-(0))&gt;=0,1,-1)*QUOTIENT(((c_TMAP1IN)-(c_TFWD)),2))+2147483648,4294967296)-2147483648,((c_TMAP1IN)-(c_TFWD))*(((A212)-(c_TFWD))*((c_TMAP1OUT)-(0))+IF(((c_TMAP1OUT)-(0))&gt;=0,1,-1)*QUOTIENT(((c_TMAP1IN)-(c_TFWD)),2)))&lt;0,-1,0),IF(IF(o_WRAP=1,MOD(((c_TMAP1IN)-(c_TFWD))*(((A212)-(c_TFWD))*((c_TMAP1OUT)-(0))+IF(((c_TMAP1OUT)-(0))&gt;=0,1,-1)*QUOTIENT(((c_TMAP1IN)-(c_TFWD)),2))+2147483648,4294967296)-2147483648,((c_TMAP1IN)-(c_TFWD))*(((A212)-(c_TFWD))*((c_TMAP1OUT)-(0))+IF(((c_TMAP1OUT)-(0))&gt;=0,1,-1)*QUOTIENT(((c_TMAP1IN)-(c_TFWD)),2)))&gt;=0,1,0)))</f>
        <v>153</v>
      </c>
      <c r="E212" s="7" t="n">
        <f aca="false">IF(((c_TMAP2IN)-(c_TMAP1IN))=0,(c_TMAP1OUT)+QUOTIENT(((c_TMAP2OUT)-(c_TMAP1OUT)),2),QUOTIENT((((A212)-(c_TMAP1IN))*((c_TMAP2OUT)-(c_TMAP1OUT))+IF(((c_TMAP2OUT)-(c_TMAP1OUT))&gt;=0,1,-1)*QUOTIENT(((c_TMAP2IN)-(c_TMAP1IN)),2)),((c_TMAP2IN)-(c_TMAP1IN)))+(c_TMAP1OUT)+IF(((c_TMAP2OUT)-(c_TMAP1OUT))&gt;=0,IF(IF(o_WRAP=1,MOD(((c_TMAP2IN)-(c_TMAP1IN))*(((A212)-(c_TMAP1IN))*((c_TMAP2OUT)-(c_TMAP1OUT))+IF(((c_TMAP2OUT)-(c_TMAP1OUT))&gt;=0,1,-1)*QUOTIENT(((c_TMAP2IN)-(c_TMAP1IN)),2))+2147483648,4294967296)-2147483648,((c_TMAP2IN)-(c_TMAP1IN))*(((A212)-(c_TMAP1IN))*((c_TMAP2OUT)-(c_TMAP1OUT))+IF(((c_TMAP2OUT)-(c_TMAP1OUT))&gt;=0,1,-1)*QUOTIENT(((c_TMAP2IN)-(c_TMAP1IN)),2)))&lt;0,-1,0),IF(IF(o_WRAP=1,MOD(((c_TMAP2IN)-(c_TMAP1IN))*(((A212)-(c_TMAP1IN))*((c_TMAP2OUT)-(c_TMAP1OUT))+IF(((c_TMAP2OUT)-(c_TMAP1OUT))&gt;=0,1,-1)*QUOTIENT(((c_TMAP2IN)-(c_TMAP1IN)),2))+2147483648,4294967296)-2147483648,((c_TMAP2IN)-(c_TMAP1IN))*(((A212)-(c_TMAP1IN))*((c_TMAP2OUT)-(c_TMAP1OUT))+IF(((c_TMAP2OUT)-(c_TMAP1OUT))&gt;=0,1,-1)*QUOTIENT(((c_TMAP2IN)-(c_TMAP1IN)),2)))&gt;=0,1,0)))</f>
        <v>113</v>
      </c>
      <c r="F212" s="7" t="n">
        <f aca="false">IF(((c_TMAP3IN)-(c_TMAP2IN))=0,(c_TMAP2OUT)+QUOTIENT(((c_TMAP3OUT)-(c_TMAP2OUT)),2),QUOTIENT((((A212)-(c_TMAP2IN))*((c_TMAP3OUT)-(c_TMAP2OUT))+IF(((c_TMAP3OUT)-(c_TMAP2OUT))&gt;=0,1,-1)*QUOTIENT(((c_TMAP3IN)-(c_TMAP2IN)),2)),((c_TMAP3IN)-(c_TMAP2IN)))+(c_TMAP2OUT)+IF(((c_TMAP3OUT)-(c_TMAP2OUT))&gt;=0,IF(IF(o_WRAP=1,MOD(((c_TMAP3IN)-(c_TMAP2IN))*(((A212)-(c_TMAP2IN))*((c_TMAP3OUT)-(c_TMAP2OUT))+IF(((c_TMAP3OUT)-(c_TMAP2OUT))&gt;=0,1,-1)*QUOTIENT(((c_TMAP3IN)-(c_TMAP2IN)),2))+2147483648,4294967296)-2147483648,((c_TMAP3IN)-(c_TMAP2IN))*(((A212)-(c_TMAP2IN))*((c_TMAP3OUT)-(c_TMAP2OUT))+IF(((c_TMAP3OUT)-(c_TMAP2OUT))&gt;=0,1,-1)*QUOTIENT(((c_TMAP3IN)-(c_TMAP2IN)),2)))&lt;0,-1,0),IF(IF(o_WRAP=1,MOD(((c_TMAP3IN)-(c_TMAP2IN))*(((A212)-(c_TMAP2IN))*((c_TMAP3OUT)-(c_TMAP2OUT))+IF(((c_TMAP3OUT)-(c_TMAP2OUT))&gt;=0,1,-1)*QUOTIENT(((c_TMAP3IN)-(c_TMAP2IN)),2))+2147483648,4294967296)-2147483648,((c_TMAP3IN)-(c_TMAP2IN))*(((A212)-(c_TMAP2IN))*((c_TMAP3OUT)-(c_TMAP2OUT))+IF(((c_TMAP3OUT)-(c_TMAP2OUT))&gt;=0,1,-1)*QUOTIENT(((c_TMAP3IN)-(c_TMAP2IN)),2)))&gt;=0,1,0)))</f>
        <v>100</v>
      </c>
      <c r="G212" s="7" t="n">
        <f aca="false">IF(((1000)-(c_TMAP3IN))=0,(c_TMAP3OUT)+QUOTIENT(((1000)-(c_TMAP3OUT)),2),QUOTIENT((((A212)-(c_TMAP3IN))*((1000)-(c_TMAP3OUT))+IF(((1000)-(c_TMAP3OUT))&gt;=0,1,-1)*QUOTIENT(((1000)-(c_TMAP3IN)),2)),((1000)-(c_TMAP3IN)))+(c_TMAP3OUT)+IF(((1000)-(c_TMAP3OUT))&gt;=0,IF(IF(o_WRAP=1,MOD(((1000)-(c_TMAP3IN))*(((A212)-(c_TMAP3IN))*((1000)-(c_TMAP3OUT))+IF(((1000)-(c_TMAP3OUT))&gt;=0,1,-1)*QUOTIENT(((1000)-(c_TMAP3IN)),2))+2147483648,4294967296)-2147483648,((1000)-(c_TMAP3IN))*(((A212)-(c_TMAP3IN))*((1000)-(c_TMAP3OUT))+IF(((1000)-(c_TMAP3OUT))&gt;=0,1,-1)*QUOTIENT(((1000)-(c_TMAP3IN)),2)))&lt;0,-1,0),IF(IF(o_WRAP=1,MOD(((1000)-(c_TMAP3IN))*(((A212)-(c_TMAP3IN))*((1000)-(c_TMAP3OUT))+IF(((1000)-(c_TMAP3OUT))&gt;=0,1,-1)*QUOTIENT(((1000)-(c_TMAP3IN)),2))+2147483648,4294967296)-2147483648,((1000)-(c_TMAP3IN))*(((A212)-(c_TMAP3IN))*((1000)-(c_TMAP3OUT))+IF(((1000)-(c_TMAP3OUT))&gt;=0,1,-1)*QUOTIENT(((1000)-(c_TMAP3IN)),2)))&gt;=0,1,0)))</f>
        <v>24</v>
      </c>
      <c r="H212" s="7" t="str">
        <f aca="false">IF(A212&gt;=c_TFWD,IF(AND(A212&gt;=c_TMAP3IN,c_TMAP3IN&lt;1000),"Seg4 map3-100%",IF(AND(A212&gt;=c_TMAP2IN,c_TMAP3IN&gt;c_TMAP2IN),"Seg3 map2-map3",IF(AND(A212&gt;=c_TMAP1IN,c_TMAP2IN&gt;c_TMAP1IN),"Seg2 map1-map2","Seg1 TFWD-map1"))),IF(AND(A212=0,c_TCREEP&gt;0),"Creep",IF(AND(A212&lt;=c_TRNGMIN,A212&gt;=c_TRNGMAX,c_TRNGMIN-c_TRNGMAX&lt;&gt;0),"Regen ramp","Coast (0)")))</f>
        <v>Seg2 map1-map2</v>
      </c>
      <c r="I212" s="7" t="n">
        <f aca="false">IF(A212&gt;=c_TFWD,IF(AND(A212&gt;=c_TMAP3IN,c_TMAP3IN&lt;1000),G212,IF(AND(A212&gt;=c_TMAP2IN,c_TMAP3IN&gt;c_TMAP2IN),F212,IF(AND(A212&gt;=c_TMAP1IN,c_TMAP2IN&gt;c_TMAP1IN),E212,D212))),C212)</f>
        <v>113</v>
      </c>
      <c r="J212" s="7" t="str">
        <f aca="false">IF(I212&lt;-1090,"TOO LOW",IF(I212&gt;1090,"TOO HIGH",""))</f>
        <v/>
      </c>
      <c r="K212" s="15" t="n">
        <f aca="false">IF(J212&lt;&gt;"",0,IF(I212&gt;979,1000,I212))</f>
        <v>113</v>
      </c>
      <c r="L212" s="7" t="n">
        <f aca="false">K212/10</f>
        <v>11.3</v>
      </c>
    </row>
    <row r="213" customFormat="false" ht="15" hidden="false" customHeight="false" outlineLevel="0" collapsed="false">
      <c r="A213" s="7" t="n">
        <v>208</v>
      </c>
      <c r="B213" s="7" t="n">
        <f aca="false">A213/10</f>
        <v>20.8</v>
      </c>
      <c r="C213" s="7" t="n">
        <f aca="false">IF(AND(A213=0,c_TCREEP&gt;0),10*c_TCREEP,IF(AND(A213&lt;=c_TRNGMIN,A213&gt;=c_TRNGMAX,c_TRNGMIN-c_TRNGMAX&lt;&gt;0),-10*c_TMINRN+QUOTIENT((c_TMAXRN-c_TMINRN)*(100-QUOTIENT((A213-c_TRNGMAX)*100,c_TRNGMIN-c_TRNGMAX)),-10),0))</f>
        <v>0</v>
      </c>
      <c r="D213" s="7" t="n">
        <f aca="false">IF(((c_TMAP1IN)-(c_TFWD))=0,(0)+QUOTIENT(((c_TMAP1OUT)-(0)),2),QUOTIENT((((A213)-(c_TFWD))*((c_TMAP1OUT)-(0))+IF(((c_TMAP1OUT)-(0))&gt;=0,1,-1)*QUOTIENT(((c_TMAP1IN)-(c_TFWD)),2)),((c_TMAP1IN)-(c_TFWD)))+(0)+IF(((c_TMAP1OUT)-(0))&gt;=0,IF(IF(o_WRAP=1,MOD(((c_TMAP1IN)-(c_TFWD))*(((A213)-(c_TFWD))*((c_TMAP1OUT)-(0))+IF(((c_TMAP1OUT)-(0))&gt;=0,1,-1)*QUOTIENT(((c_TMAP1IN)-(c_TFWD)),2))+2147483648,4294967296)-2147483648,((c_TMAP1IN)-(c_TFWD))*(((A213)-(c_TFWD))*((c_TMAP1OUT)-(0))+IF(((c_TMAP1OUT)-(0))&gt;=0,1,-1)*QUOTIENT(((c_TMAP1IN)-(c_TFWD)),2)))&lt;0,-1,0),IF(IF(o_WRAP=1,MOD(((c_TMAP1IN)-(c_TFWD))*(((A213)-(c_TFWD))*((c_TMAP1OUT)-(0))+IF(((c_TMAP1OUT)-(0))&gt;=0,1,-1)*QUOTIENT(((c_TMAP1IN)-(c_TFWD)),2))+2147483648,4294967296)-2147483648,((c_TMAP1IN)-(c_TFWD))*(((A213)-(c_TFWD))*((c_TMAP1OUT)-(0))+IF(((c_TMAP1OUT)-(0))&gt;=0,1,-1)*QUOTIENT(((c_TMAP1IN)-(c_TFWD)),2)))&gt;=0,1,0)))</f>
        <v>154</v>
      </c>
      <c r="E213" s="7" t="n">
        <f aca="false">IF(((c_TMAP2IN)-(c_TMAP1IN))=0,(c_TMAP1OUT)+QUOTIENT(((c_TMAP2OUT)-(c_TMAP1OUT)),2),QUOTIENT((((A213)-(c_TMAP1IN))*((c_TMAP2OUT)-(c_TMAP1OUT))+IF(((c_TMAP2OUT)-(c_TMAP1OUT))&gt;=0,1,-1)*QUOTIENT(((c_TMAP2IN)-(c_TMAP1IN)),2)),((c_TMAP2IN)-(c_TMAP1IN)))+(c_TMAP1OUT)+IF(((c_TMAP2OUT)-(c_TMAP1OUT))&gt;=0,IF(IF(o_WRAP=1,MOD(((c_TMAP2IN)-(c_TMAP1IN))*(((A213)-(c_TMAP1IN))*((c_TMAP2OUT)-(c_TMAP1OUT))+IF(((c_TMAP2OUT)-(c_TMAP1OUT))&gt;=0,1,-1)*QUOTIENT(((c_TMAP2IN)-(c_TMAP1IN)),2))+2147483648,4294967296)-2147483648,((c_TMAP2IN)-(c_TMAP1IN))*(((A213)-(c_TMAP1IN))*((c_TMAP2OUT)-(c_TMAP1OUT))+IF(((c_TMAP2OUT)-(c_TMAP1OUT))&gt;=0,1,-1)*QUOTIENT(((c_TMAP2IN)-(c_TMAP1IN)),2)))&lt;0,-1,0),IF(IF(o_WRAP=1,MOD(((c_TMAP2IN)-(c_TMAP1IN))*(((A213)-(c_TMAP1IN))*((c_TMAP2OUT)-(c_TMAP1OUT))+IF(((c_TMAP2OUT)-(c_TMAP1OUT))&gt;=0,1,-1)*QUOTIENT(((c_TMAP2IN)-(c_TMAP1IN)),2))+2147483648,4294967296)-2147483648,((c_TMAP2IN)-(c_TMAP1IN))*(((A213)-(c_TMAP1IN))*((c_TMAP2OUT)-(c_TMAP1OUT))+IF(((c_TMAP2OUT)-(c_TMAP1OUT))&gt;=0,1,-1)*QUOTIENT(((c_TMAP2IN)-(c_TMAP1IN)),2)))&gt;=0,1,0)))</f>
        <v>113</v>
      </c>
      <c r="F213" s="7" t="n">
        <f aca="false">IF(((c_TMAP3IN)-(c_TMAP2IN))=0,(c_TMAP2OUT)+QUOTIENT(((c_TMAP3OUT)-(c_TMAP2OUT)),2),QUOTIENT((((A213)-(c_TMAP2IN))*((c_TMAP3OUT)-(c_TMAP2OUT))+IF(((c_TMAP3OUT)-(c_TMAP2OUT))&gt;=0,1,-1)*QUOTIENT(((c_TMAP3IN)-(c_TMAP2IN)),2)),((c_TMAP3IN)-(c_TMAP2IN)))+(c_TMAP2OUT)+IF(((c_TMAP3OUT)-(c_TMAP2OUT))&gt;=0,IF(IF(o_WRAP=1,MOD(((c_TMAP3IN)-(c_TMAP2IN))*(((A213)-(c_TMAP2IN))*((c_TMAP3OUT)-(c_TMAP2OUT))+IF(((c_TMAP3OUT)-(c_TMAP2OUT))&gt;=0,1,-1)*QUOTIENT(((c_TMAP3IN)-(c_TMAP2IN)),2))+2147483648,4294967296)-2147483648,((c_TMAP3IN)-(c_TMAP2IN))*(((A213)-(c_TMAP2IN))*((c_TMAP3OUT)-(c_TMAP2OUT))+IF(((c_TMAP3OUT)-(c_TMAP2OUT))&gt;=0,1,-1)*QUOTIENT(((c_TMAP3IN)-(c_TMAP2IN)),2)))&lt;0,-1,0),IF(IF(o_WRAP=1,MOD(((c_TMAP3IN)-(c_TMAP2IN))*(((A213)-(c_TMAP2IN))*((c_TMAP3OUT)-(c_TMAP2OUT))+IF(((c_TMAP3OUT)-(c_TMAP2OUT))&gt;=0,1,-1)*QUOTIENT(((c_TMAP3IN)-(c_TMAP2IN)),2))+2147483648,4294967296)-2147483648,((c_TMAP3IN)-(c_TMAP2IN))*(((A213)-(c_TMAP2IN))*((c_TMAP3OUT)-(c_TMAP2OUT))+IF(((c_TMAP3OUT)-(c_TMAP2OUT))&gt;=0,1,-1)*QUOTIENT(((c_TMAP3IN)-(c_TMAP2IN)),2)))&gt;=0,1,0)))</f>
        <v>101</v>
      </c>
      <c r="G213" s="7" t="n">
        <f aca="false">IF(((1000)-(c_TMAP3IN))=0,(c_TMAP3OUT)+QUOTIENT(((1000)-(c_TMAP3OUT)),2),QUOTIENT((((A213)-(c_TMAP3IN))*((1000)-(c_TMAP3OUT))+IF(((1000)-(c_TMAP3OUT))&gt;=0,1,-1)*QUOTIENT(((1000)-(c_TMAP3IN)),2)),((1000)-(c_TMAP3IN)))+(c_TMAP3OUT)+IF(((1000)-(c_TMAP3OUT))&gt;=0,IF(IF(o_WRAP=1,MOD(((1000)-(c_TMAP3IN))*(((A213)-(c_TMAP3IN))*((1000)-(c_TMAP3OUT))+IF(((1000)-(c_TMAP3OUT))&gt;=0,1,-1)*QUOTIENT(((1000)-(c_TMAP3IN)),2))+2147483648,4294967296)-2147483648,((1000)-(c_TMAP3IN))*(((A213)-(c_TMAP3IN))*((1000)-(c_TMAP3OUT))+IF(((1000)-(c_TMAP3OUT))&gt;=0,1,-1)*QUOTIENT(((1000)-(c_TMAP3IN)),2)))&lt;0,-1,0),IF(IF(o_WRAP=1,MOD(((1000)-(c_TMAP3IN))*(((A213)-(c_TMAP3IN))*((1000)-(c_TMAP3OUT))+IF(((1000)-(c_TMAP3OUT))&gt;=0,1,-1)*QUOTIENT(((1000)-(c_TMAP3IN)),2))+2147483648,4294967296)-2147483648,((1000)-(c_TMAP3IN))*(((A213)-(c_TMAP3IN))*((1000)-(c_TMAP3OUT))+IF(((1000)-(c_TMAP3OUT))&gt;=0,1,-1)*QUOTIENT(((1000)-(c_TMAP3IN)),2)))&gt;=0,1,0)))</f>
        <v>25</v>
      </c>
      <c r="H213" s="7" t="str">
        <f aca="false">IF(A213&gt;=c_TFWD,IF(AND(A213&gt;=c_TMAP3IN,c_TMAP3IN&lt;1000),"Seg4 map3-100%",IF(AND(A213&gt;=c_TMAP2IN,c_TMAP3IN&gt;c_TMAP2IN),"Seg3 map2-map3",IF(AND(A213&gt;=c_TMAP1IN,c_TMAP2IN&gt;c_TMAP1IN),"Seg2 map1-map2","Seg1 TFWD-map1"))),IF(AND(A213=0,c_TCREEP&gt;0),"Creep",IF(AND(A213&lt;=c_TRNGMIN,A213&gt;=c_TRNGMAX,c_TRNGMIN-c_TRNGMAX&lt;&gt;0),"Regen ramp","Coast (0)")))</f>
        <v>Seg2 map1-map2</v>
      </c>
      <c r="I213" s="7" t="n">
        <f aca="false">IF(A213&gt;=c_TFWD,IF(AND(A213&gt;=c_TMAP3IN,c_TMAP3IN&lt;1000),G213,IF(AND(A213&gt;=c_TMAP2IN,c_TMAP3IN&gt;c_TMAP2IN),F213,IF(AND(A213&gt;=c_TMAP1IN,c_TMAP2IN&gt;c_TMAP1IN),E213,D213))),C213)</f>
        <v>113</v>
      </c>
      <c r="J213" s="7" t="str">
        <f aca="false">IF(I213&lt;-1090,"TOO LOW",IF(I213&gt;1090,"TOO HIGH",""))</f>
        <v/>
      </c>
      <c r="K213" s="15" t="n">
        <f aca="false">IF(J213&lt;&gt;"",0,IF(I213&gt;979,1000,I213))</f>
        <v>113</v>
      </c>
      <c r="L213" s="7" t="n">
        <f aca="false">K213/10</f>
        <v>11.3</v>
      </c>
    </row>
    <row r="214" customFormat="false" ht="15" hidden="false" customHeight="false" outlineLevel="0" collapsed="false">
      <c r="A214" s="7" t="n">
        <v>209</v>
      </c>
      <c r="B214" s="7" t="n">
        <f aca="false">A214/10</f>
        <v>20.9</v>
      </c>
      <c r="C214" s="7" t="n">
        <f aca="false">IF(AND(A214=0,c_TCREEP&gt;0),10*c_TCREEP,IF(AND(A214&lt;=c_TRNGMIN,A214&gt;=c_TRNGMAX,c_TRNGMIN-c_TRNGMAX&lt;&gt;0),-10*c_TMINRN+QUOTIENT((c_TMAXRN-c_TMINRN)*(100-QUOTIENT((A214-c_TRNGMAX)*100,c_TRNGMIN-c_TRNGMAX)),-10),0))</f>
        <v>0</v>
      </c>
      <c r="D214" s="7" t="n">
        <f aca="false">IF(((c_TMAP1IN)-(c_TFWD))=0,(0)+QUOTIENT(((c_TMAP1OUT)-(0)),2),QUOTIENT((((A214)-(c_TFWD))*((c_TMAP1OUT)-(0))+IF(((c_TMAP1OUT)-(0))&gt;=0,1,-1)*QUOTIENT(((c_TMAP1IN)-(c_TFWD)),2)),((c_TMAP1IN)-(c_TFWD)))+(0)+IF(((c_TMAP1OUT)-(0))&gt;=0,IF(IF(o_WRAP=1,MOD(((c_TMAP1IN)-(c_TFWD))*(((A214)-(c_TFWD))*((c_TMAP1OUT)-(0))+IF(((c_TMAP1OUT)-(0))&gt;=0,1,-1)*QUOTIENT(((c_TMAP1IN)-(c_TFWD)),2))+2147483648,4294967296)-2147483648,((c_TMAP1IN)-(c_TFWD))*(((A214)-(c_TFWD))*((c_TMAP1OUT)-(0))+IF(((c_TMAP1OUT)-(0))&gt;=0,1,-1)*QUOTIENT(((c_TMAP1IN)-(c_TFWD)),2)))&lt;0,-1,0),IF(IF(o_WRAP=1,MOD(((c_TMAP1IN)-(c_TFWD))*(((A214)-(c_TFWD))*((c_TMAP1OUT)-(0))+IF(((c_TMAP1OUT)-(0))&gt;=0,1,-1)*QUOTIENT(((c_TMAP1IN)-(c_TFWD)),2))+2147483648,4294967296)-2147483648,((c_TMAP1IN)-(c_TFWD))*(((A214)-(c_TFWD))*((c_TMAP1OUT)-(0))+IF(((c_TMAP1OUT)-(0))&gt;=0,1,-1)*QUOTIENT(((c_TMAP1IN)-(c_TFWD)),2)))&gt;=0,1,0)))</f>
        <v>155</v>
      </c>
      <c r="E214" s="7" t="n">
        <f aca="false">IF(((c_TMAP2IN)-(c_TMAP1IN))=0,(c_TMAP1OUT)+QUOTIENT(((c_TMAP2OUT)-(c_TMAP1OUT)),2),QUOTIENT((((A214)-(c_TMAP1IN))*((c_TMAP2OUT)-(c_TMAP1OUT))+IF(((c_TMAP2OUT)-(c_TMAP1OUT))&gt;=0,1,-1)*QUOTIENT(((c_TMAP2IN)-(c_TMAP1IN)),2)),((c_TMAP2IN)-(c_TMAP1IN)))+(c_TMAP1OUT)+IF(((c_TMAP2OUT)-(c_TMAP1OUT))&gt;=0,IF(IF(o_WRAP=1,MOD(((c_TMAP2IN)-(c_TMAP1IN))*(((A214)-(c_TMAP1IN))*((c_TMAP2OUT)-(c_TMAP1OUT))+IF(((c_TMAP2OUT)-(c_TMAP1OUT))&gt;=0,1,-1)*QUOTIENT(((c_TMAP2IN)-(c_TMAP1IN)),2))+2147483648,4294967296)-2147483648,((c_TMAP2IN)-(c_TMAP1IN))*(((A214)-(c_TMAP1IN))*((c_TMAP2OUT)-(c_TMAP1OUT))+IF(((c_TMAP2OUT)-(c_TMAP1OUT))&gt;=0,1,-1)*QUOTIENT(((c_TMAP2IN)-(c_TMAP1IN)),2)))&lt;0,-1,0),IF(IF(o_WRAP=1,MOD(((c_TMAP2IN)-(c_TMAP1IN))*(((A214)-(c_TMAP1IN))*((c_TMAP2OUT)-(c_TMAP1OUT))+IF(((c_TMAP2OUT)-(c_TMAP1OUT))&gt;=0,1,-1)*QUOTIENT(((c_TMAP2IN)-(c_TMAP1IN)),2))+2147483648,4294967296)-2147483648,((c_TMAP2IN)-(c_TMAP1IN))*(((A214)-(c_TMAP1IN))*((c_TMAP2OUT)-(c_TMAP1OUT))+IF(((c_TMAP2OUT)-(c_TMAP1OUT))&gt;=0,1,-1)*QUOTIENT(((c_TMAP2IN)-(c_TMAP1IN)),2)))&gt;=0,1,0)))</f>
        <v>114</v>
      </c>
      <c r="F214" s="7" t="n">
        <f aca="false">IF(((c_TMAP3IN)-(c_TMAP2IN))=0,(c_TMAP2OUT)+QUOTIENT(((c_TMAP3OUT)-(c_TMAP2OUT)),2),QUOTIENT((((A214)-(c_TMAP2IN))*((c_TMAP3OUT)-(c_TMAP2OUT))+IF(((c_TMAP3OUT)-(c_TMAP2OUT))&gt;=0,1,-1)*QUOTIENT(((c_TMAP3IN)-(c_TMAP2IN)),2)),((c_TMAP3IN)-(c_TMAP2IN)))+(c_TMAP2OUT)+IF(((c_TMAP3OUT)-(c_TMAP2OUT))&gt;=0,IF(IF(o_WRAP=1,MOD(((c_TMAP3IN)-(c_TMAP2IN))*(((A214)-(c_TMAP2IN))*((c_TMAP3OUT)-(c_TMAP2OUT))+IF(((c_TMAP3OUT)-(c_TMAP2OUT))&gt;=0,1,-1)*QUOTIENT(((c_TMAP3IN)-(c_TMAP2IN)),2))+2147483648,4294967296)-2147483648,((c_TMAP3IN)-(c_TMAP2IN))*(((A214)-(c_TMAP2IN))*((c_TMAP3OUT)-(c_TMAP2OUT))+IF(((c_TMAP3OUT)-(c_TMAP2OUT))&gt;=0,1,-1)*QUOTIENT(((c_TMAP3IN)-(c_TMAP2IN)),2)))&lt;0,-1,0),IF(IF(o_WRAP=1,MOD(((c_TMAP3IN)-(c_TMAP2IN))*(((A214)-(c_TMAP2IN))*((c_TMAP3OUT)-(c_TMAP2OUT))+IF(((c_TMAP3OUT)-(c_TMAP2OUT))&gt;=0,1,-1)*QUOTIENT(((c_TMAP3IN)-(c_TMAP2IN)),2))+2147483648,4294967296)-2147483648,((c_TMAP3IN)-(c_TMAP2IN))*(((A214)-(c_TMAP2IN))*((c_TMAP3OUT)-(c_TMAP2OUT))+IF(((c_TMAP3OUT)-(c_TMAP2OUT))&gt;=0,1,-1)*QUOTIENT(((c_TMAP3IN)-(c_TMAP2IN)),2)))&gt;=0,1,0)))</f>
        <v>101</v>
      </c>
      <c r="G214" s="7" t="n">
        <f aca="false">IF(((1000)-(c_TMAP3IN))=0,(c_TMAP3OUT)+QUOTIENT(((1000)-(c_TMAP3OUT)),2),QUOTIENT((((A214)-(c_TMAP3IN))*((1000)-(c_TMAP3OUT))+IF(((1000)-(c_TMAP3OUT))&gt;=0,1,-1)*QUOTIENT(((1000)-(c_TMAP3IN)),2)),((1000)-(c_TMAP3IN)))+(c_TMAP3OUT)+IF(((1000)-(c_TMAP3OUT))&gt;=0,IF(IF(o_WRAP=1,MOD(((1000)-(c_TMAP3IN))*(((A214)-(c_TMAP3IN))*((1000)-(c_TMAP3OUT))+IF(((1000)-(c_TMAP3OUT))&gt;=0,1,-1)*QUOTIENT(((1000)-(c_TMAP3IN)),2))+2147483648,4294967296)-2147483648,((1000)-(c_TMAP3IN))*(((A214)-(c_TMAP3IN))*((1000)-(c_TMAP3OUT))+IF(((1000)-(c_TMAP3OUT))&gt;=0,1,-1)*QUOTIENT(((1000)-(c_TMAP3IN)),2)))&lt;0,-1,0),IF(IF(o_WRAP=1,MOD(((1000)-(c_TMAP3IN))*(((A214)-(c_TMAP3IN))*((1000)-(c_TMAP3OUT))+IF(((1000)-(c_TMAP3OUT))&gt;=0,1,-1)*QUOTIENT(((1000)-(c_TMAP3IN)),2))+2147483648,4294967296)-2147483648,((1000)-(c_TMAP3IN))*(((A214)-(c_TMAP3IN))*((1000)-(c_TMAP3OUT))+IF(((1000)-(c_TMAP3OUT))&gt;=0,1,-1)*QUOTIENT(((1000)-(c_TMAP3IN)),2)))&gt;=0,1,0)))</f>
        <v>26</v>
      </c>
      <c r="H214" s="7" t="str">
        <f aca="false">IF(A214&gt;=c_TFWD,IF(AND(A214&gt;=c_TMAP3IN,c_TMAP3IN&lt;1000),"Seg4 map3-100%",IF(AND(A214&gt;=c_TMAP2IN,c_TMAP3IN&gt;c_TMAP2IN),"Seg3 map2-map3",IF(AND(A214&gt;=c_TMAP1IN,c_TMAP2IN&gt;c_TMAP1IN),"Seg2 map1-map2","Seg1 TFWD-map1"))),IF(AND(A214=0,c_TCREEP&gt;0),"Creep",IF(AND(A214&lt;=c_TRNGMIN,A214&gt;=c_TRNGMAX,c_TRNGMIN-c_TRNGMAX&lt;&gt;0),"Regen ramp","Coast (0)")))</f>
        <v>Seg2 map1-map2</v>
      </c>
      <c r="I214" s="7" t="n">
        <f aca="false">IF(A214&gt;=c_TFWD,IF(AND(A214&gt;=c_TMAP3IN,c_TMAP3IN&lt;1000),G214,IF(AND(A214&gt;=c_TMAP2IN,c_TMAP3IN&gt;c_TMAP2IN),F214,IF(AND(A214&gt;=c_TMAP1IN,c_TMAP2IN&gt;c_TMAP1IN),E214,D214))),C214)</f>
        <v>114</v>
      </c>
      <c r="J214" s="7" t="str">
        <f aca="false">IF(I214&lt;-1090,"TOO LOW",IF(I214&gt;1090,"TOO HIGH",""))</f>
        <v/>
      </c>
      <c r="K214" s="15" t="n">
        <f aca="false">IF(J214&lt;&gt;"",0,IF(I214&gt;979,1000,I214))</f>
        <v>114</v>
      </c>
      <c r="L214" s="7" t="n">
        <f aca="false">K214/10</f>
        <v>11.4</v>
      </c>
    </row>
    <row r="215" customFormat="false" ht="15" hidden="false" customHeight="false" outlineLevel="0" collapsed="false">
      <c r="A215" s="7" t="n">
        <v>210</v>
      </c>
      <c r="B215" s="7" t="n">
        <f aca="false">A215/10</f>
        <v>21</v>
      </c>
      <c r="C215" s="7" t="n">
        <f aca="false">IF(AND(A215=0,c_TCREEP&gt;0),10*c_TCREEP,IF(AND(A215&lt;=c_TRNGMIN,A215&gt;=c_TRNGMAX,c_TRNGMIN-c_TRNGMAX&lt;&gt;0),-10*c_TMINRN+QUOTIENT((c_TMAXRN-c_TMINRN)*(100-QUOTIENT((A215-c_TRNGMAX)*100,c_TRNGMIN-c_TRNGMAX)),-10),0))</f>
        <v>0</v>
      </c>
      <c r="D215" s="7" t="n">
        <f aca="false">IF(((c_TMAP1IN)-(c_TFWD))=0,(0)+QUOTIENT(((c_TMAP1OUT)-(0)),2),QUOTIENT((((A215)-(c_TFWD))*((c_TMAP1OUT)-(0))+IF(((c_TMAP1OUT)-(0))&gt;=0,1,-1)*QUOTIENT(((c_TMAP1IN)-(c_TFWD)),2)),((c_TMAP1IN)-(c_TFWD)))+(0)+IF(((c_TMAP1OUT)-(0))&gt;=0,IF(IF(o_WRAP=1,MOD(((c_TMAP1IN)-(c_TFWD))*(((A215)-(c_TFWD))*((c_TMAP1OUT)-(0))+IF(((c_TMAP1OUT)-(0))&gt;=0,1,-1)*QUOTIENT(((c_TMAP1IN)-(c_TFWD)),2))+2147483648,4294967296)-2147483648,((c_TMAP1IN)-(c_TFWD))*(((A215)-(c_TFWD))*((c_TMAP1OUT)-(0))+IF(((c_TMAP1OUT)-(0))&gt;=0,1,-1)*QUOTIENT(((c_TMAP1IN)-(c_TFWD)),2)))&lt;0,-1,0),IF(IF(o_WRAP=1,MOD(((c_TMAP1IN)-(c_TFWD))*(((A215)-(c_TFWD))*((c_TMAP1OUT)-(0))+IF(((c_TMAP1OUT)-(0))&gt;=0,1,-1)*QUOTIENT(((c_TMAP1IN)-(c_TFWD)),2))+2147483648,4294967296)-2147483648,((c_TMAP1IN)-(c_TFWD))*(((A215)-(c_TFWD))*((c_TMAP1OUT)-(0))+IF(((c_TMAP1OUT)-(0))&gt;=0,1,-1)*QUOTIENT(((c_TMAP1IN)-(c_TFWD)),2)))&gt;=0,1,0)))</f>
        <v>156</v>
      </c>
      <c r="E215" s="7" t="n">
        <f aca="false">IF(((c_TMAP2IN)-(c_TMAP1IN))=0,(c_TMAP1OUT)+QUOTIENT(((c_TMAP2OUT)-(c_TMAP1OUT)),2),QUOTIENT((((A215)-(c_TMAP1IN))*((c_TMAP2OUT)-(c_TMAP1OUT))+IF(((c_TMAP2OUT)-(c_TMAP1OUT))&gt;=0,1,-1)*QUOTIENT(((c_TMAP2IN)-(c_TMAP1IN)),2)),((c_TMAP2IN)-(c_TMAP1IN)))+(c_TMAP1OUT)+IF(((c_TMAP2OUT)-(c_TMAP1OUT))&gt;=0,IF(IF(o_WRAP=1,MOD(((c_TMAP2IN)-(c_TMAP1IN))*(((A215)-(c_TMAP1IN))*((c_TMAP2OUT)-(c_TMAP1OUT))+IF(((c_TMAP2OUT)-(c_TMAP1OUT))&gt;=0,1,-1)*QUOTIENT(((c_TMAP2IN)-(c_TMAP1IN)),2))+2147483648,4294967296)-2147483648,((c_TMAP2IN)-(c_TMAP1IN))*(((A215)-(c_TMAP1IN))*((c_TMAP2OUT)-(c_TMAP1OUT))+IF(((c_TMAP2OUT)-(c_TMAP1OUT))&gt;=0,1,-1)*QUOTIENT(((c_TMAP2IN)-(c_TMAP1IN)),2)))&lt;0,-1,0),IF(IF(o_WRAP=1,MOD(((c_TMAP2IN)-(c_TMAP1IN))*(((A215)-(c_TMAP1IN))*((c_TMAP2OUT)-(c_TMAP1OUT))+IF(((c_TMAP2OUT)-(c_TMAP1OUT))&gt;=0,1,-1)*QUOTIENT(((c_TMAP2IN)-(c_TMAP1IN)),2))+2147483648,4294967296)-2147483648,((c_TMAP2IN)-(c_TMAP1IN))*(((A215)-(c_TMAP1IN))*((c_TMAP2OUT)-(c_TMAP1OUT))+IF(((c_TMAP2OUT)-(c_TMAP1OUT))&gt;=0,1,-1)*QUOTIENT(((c_TMAP2IN)-(c_TMAP1IN)),2)))&gt;=0,1,0)))</f>
        <v>114</v>
      </c>
      <c r="F215" s="7" t="n">
        <f aca="false">IF(((c_TMAP3IN)-(c_TMAP2IN))=0,(c_TMAP2OUT)+QUOTIENT(((c_TMAP3OUT)-(c_TMAP2OUT)),2),QUOTIENT((((A215)-(c_TMAP2IN))*((c_TMAP3OUT)-(c_TMAP2OUT))+IF(((c_TMAP3OUT)-(c_TMAP2OUT))&gt;=0,1,-1)*QUOTIENT(((c_TMAP3IN)-(c_TMAP2IN)),2)),((c_TMAP3IN)-(c_TMAP2IN)))+(c_TMAP2OUT)+IF(((c_TMAP3OUT)-(c_TMAP2OUT))&gt;=0,IF(IF(o_WRAP=1,MOD(((c_TMAP3IN)-(c_TMAP2IN))*(((A215)-(c_TMAP2IN))*((c_TMAP3OUT)-(c_TMAP2OUT))+IF(((c_TMAP3OUT)-(c_TMAP2OUT))&gt;=0,1,-1)*QUOTIENT(((c_TMAP3IN)-(c_TMAP2IN)),2))+2147483648,4294967296)-2147483648,((c_TMAP3IN)-(c_TMAP2IN))*(((A215)-(c_TMAP2IN))*((c_TMAP3OUT)-(c_TMAP2OUT))+IF(((c_TMAP3OUT)-(c_TMAP2OUT))&gt;=0,1,-1)*QUOTIENT(((c_TMAP3IN)-(c_TMAP2IN)),2)))&lt;0,-1,0),IF(IF(o_WRAP=1,MOD(((c_TMAP3IN)-(c_TMAP2IN))*(((A215)-(c_TMAP2IN))*((c_TMAP3OUT)-(c_TMAP2OUT))+IF(((c_TMAP3OUT)-(c_TMAP2OUT))&gt;=0,1,-1)*QUOTIENT(((c_TMAP3IN)-(c_TMAP2IN)),2))+2147483648,4294967296)-2147483648,((c_TMAP3IN)-(c_TMAP2IN))*(((A215)-(c_TMAP2IN))*((c_TMAP3OUT)-(c_TMAP2OUT))+IF(((c_TMAP3OUT)-(c_TMAP2OUT))&gt;=0,1,-1)*QUOTIENT(((c_TMAP3IN)-(c_TMAP2IN)),2)))&gt;=0,1,0)))</f>
        <v>102</v>
      </c>
      <c r="G215" s="7" t="n">
        <f aca="false">IF(((1000)-(c_TMAP3IN))=0,(c_TMAP3OUT)+QUOTIENT(((1000)-(c_TMAP3OUT)),2),QUOTIENT((((A215)-(c_TMAP3IN))*((1000)-(c_TMAP3OUT))+IF(((1000)-(c_TMAP3OUT))&gt;=0,1,-1)*QUOTIENT(((1000)-(c_TMAP3IN)),2)),((1000)-(c_TMAP3IN)))+(c_TMAP3OUT)+IF(((1000)-(c_TMAP3OUT))&gt;=0,IF(IF(o_WRAP=1,MOD(((1000)-(c_TMAP3IN))*(((A215)-(c_TMAP3IN))*((1000)-(c_TMAP3OUT))+IF(((1000)-(c_TMAP3OUT))&gt;=0,1,-1)*QUOTIENT(((1000)-(c_TMAP3IN)),2))+2147483648,4294967296)-2147483648,((1000)-(c_TMAP3IN))*(((A215)-(c_TMAP3IN))*((1000)-(c_TMAP3OUT))+IF(((1000)-(c_TMAP3OUT))&gt;=0,1,-1)*QUOTIENT(((1000)-(c_TMAP3IN)),2)))&lt;0,-1,0),IF(IF(o_WRAP=1,MOD(((1000)-(c_TMAP3IN))*(((A215)-(c_TMAP3IN))*((1000)-(c_TMAP3OUT))+IF(((1000)-(c_TMAP3OUT))&gt;=0,1,-1)*QUOTIENT(((1000)-(c_TMAP3IN)),2))+2147483648,4294967296)-2147483648,((1000)-(c_TMAP3IN))*(((A215)-(c_TMAP3IN))*((1000)-(c_TMAP3OUT))+IF(((1000)-(c_TMAP3OUT))&gt;=0,1,-1)*QUOTIENT(((1000)-(c_TMAP3IN)),2)))&gt;=0,1,0)))</f>
        <v>28</v>
      </c>
      <c r="H215" s="7" t="str">
        <f aca="false">IF(A215&gt;=c_TFWD,IF(AND(A215&gt;=c_TMAP3IN,c_TMAP3IN&lt;1000),"Seg4 map3-100%",IF(AND(A215&gt;=c_TMAP2IN,c_TMAP3IN&gt;c_TMAP2IN),"Seg3 map2-map3",IF(AND(A215&gt;=c_TMAP1IN,c_TMAP2IN&gt;c_TMAP1IN),"Seg2 map1-map2","Seg1 TFWD-map1"))),IF(AND(A215=0,c_TCREEP&gt;0),"Creep",IF(AND(A215&lt;=c_TRNGMIN,A215&gt;=c_TRNGMAX,c_TRNGMIN-c_TRNGMAX&lt;&gt;0),"Regen ramp","Coast (0)")))</f>
        <v>Seg2 map1-map2</v>
      </c>
      <c r="I215" s="7" t="n">
        <f aca="false">IF(A215&gt;=c_TFWD,IF(AND(A215&gt;=c_TMAP3IN,c_TMAP3IN&lt;1000),G215,IF(AND(A215&gt;=c_TMAP2IN,c_TMAP3IN&gt;c_TMAP2IN),F215,IF(AND(A215&gt;=c_TMAP1IN,c_TMAP2IN&gt;c_TMAP1IN),E215,D215))),C215)</f>
        <v>114</v>
      </c>
      <c r="J215" s="7" t="str">
        <f aca="false">IF(I215&lt;-1090,"TOO LOW",IF(I215&gt;1090,"TOO HIGH",""))</f>
        <v/>
      </c>
      <c r="K215" s="15" t="n">
        <f aca="false">IF(J215&lt;&gt;"",0,IF(I215&gt;979,1000,I215))</f>
        <v>114</v>
      </c>
      <c r="L215" s="7" t="n">
        <f aca="false">K215/10</f>
        <v>11.4</v>
      </c>
    </row>
    <row r="216" customFormat="false" ht="15" hidden="false" customHeight="false" outlineLevel="0" collapsed="false">
      <c r="A216" s="7" t="n">
        <v>211</v>
      </c>
      <c r="B216" s="7" t="n">
        <f aca="false">A216/10</f>
        <v>21.1</v>
      </c>
      <c r="C216" s="7" t="n">
        <f aca="false">IF(AND(A216=0,c_TCREEP&gt;0),10*c_TCREEP,IF(AND(A216&lt;=c_TRNGMIN,A216&gt;=c_TRNGMAX,c_TRNGMIN-c_TRNGMAX&lt;&gt;0),-10*c_TMINRN+QUOTIENT((c_TMAXRN-c_TMINRN)*(100-QUOTIENT((A216-c_TRNGMAX)*100,c_TRNGMIN-c_TRNGMAX)),-10),0))</f>
        <v>0</v>
      </c>
      <c r="D216" s="7" t="n">
        <f aca="false">IF(((c_TMAP1IN)-(c_TFWD))=0,(0)+QUOTIENT(((c_TMAP1OUT)-(0)),2),QUOTIENT((((A216)-(c_TFWD))*((c_TMAP1OUT)-(0))+IF(((c_TMAP1OUT)-(0))&gt;=0,1,-1)*QUOTIENT(((c_TMAP1IN)-(c_TFWD)),2)),((c_TMAP1IN)-(c_TFWD)))+(0)+IF(((c_TMAP1OUT)-(0))&gt;=0,IF(IF(o_WRAP=1,MOD(((c_TMAP1IN)-(c_TFWD))*(((A216)-(c_TFWD))*((c_TMAP1OUT)-(0))+IF(((c_TMAP1OUT)-(0))&gt;=0,1,-1)*QUOTIENT(((c_TMAP1IN)-(c_TFWD)),2))+2147483648,4294967296)-2147483648,((c_TMAP1IN)-(c_TFWD))*(((A216)-(c_TFWD))*((c_TMAP1OUT)-(0))+IF(((c_TMAP1OUT)-(0))&gt;=0,1,-1)*QUOTIENT(((c_TMAP1IN)-(c_TFWD)),2)))&lt;0,-1,0),IF(IF(o_WRAP=1,MOD(((c_TMAP1IN)-(c_TFWD))*(((A216)-(c_TFWD))*((c_TMAP1OUT)-(0))+IF(((c_TMAP1OUT)-(0))&gt;=0,1,-1)*QUOTIENT(((c_TMAP1IN)-(c_TFWD)),2))+2147483648,4294967296)-2147483648,((c_TMAP1IN)-(c_TFWD))*(((A216)-(c_TFWD))*((c_TMAP1OUT)-(0))+IF(((c_TMAP1OUT)-(0))&gt;=0,1,-1)*QUOTIENT(((c_TMAP1IN)-(c_TFWD)),2)))&gt;=0,1,0)))</f>
        <v>156</v>
      </c>
      <c r="E216" s="7" t="n">
        <f aca="false">IF(((c_TMAP2IN)-(c_TMAP1IN))=0,(c_TMAP1OUT)+QUOTIENT(((c_TMAP2OUT)-(c_TMAP1OUT)),2),QUOTIENT((((A216)-(c_TMAP1IN))*((c_TMAP2OUT)-(c_TMAP1OUT))+IF(((c_TMAP2OUT)-(c_TMAP1OUT))&gt;=0,1,-1)*QUOTIENT(((c_TMAP2IN)-(c_TMAP1IN)),2)),((c_TMAP2IN)-(c_TMAP1IN)))+(c_TMAP1OUT)+IF(((c_TMAP2OUT)-(c_TMAP1OUT))&gt;=0,IF(IF(o_WRAP=1,MOD(((c_TMAP2IN)-(c_TMAP1IN))*(((A216)-(c_TMAP1IN))*((c_TMAP2OUT)-(c_TMAP1OUT))+IF(((c_TMAP2OUT)-(c_TMAP1OUT))&gt;=0,1,-1)*QUOTIENT(((c_TMAP2IN)-(c_TMAP1IN)),2))+2147483648,4294967296)-2147483648,((c_TMAP2IN)-(c_TMAP1IN))*(((A216)-(c_TMAP1IN))*((c_TMAP2OUT)-(c_TMAP1OUT))+IF(((c_TMAP2OUT)-(c_TMAP1OUT))&gt;=0,1,-1)*QUOTIENT(((c_TMAP2IN)-(c_TMAP1IN)),2)))&lt;0,-1,0),IF(IF(o_WRAP=1,MOD(((c_TMAP2IN)-(c_TMAP1IN))*(((A216)-(c_TMAP1IN))*((c_TMAP2OUT)-(c_TMAP1OUT))+IF(((c_TMAP2OUT)-(c_TMAP1OUT))&gt;=0,1,-1)*QUOTIENT(((c_TMAP2IN)-(c_TMAP1IN)),2))+2147483648,4294967296)-2147483648,((c_TMAP2IN)-(c_TMAP1IN))*(((A216)-(c_TMAP1IN))*((c_TMAP2OUT)-(c_TMAP1OUT))+IF(((c_TMAP2OUT)-(c_TMAP1OUT))&gt;=0,1,-1)*QUOTIENT(((c_TMAP2IN)-(c_TMAP1IN)),2)))&gt;=0,1,0)))</f>
        <v>114</v>
      </c>
      <c r="F216" s="7" t="n">
        <f aca="false">IF(((c_TMAP3IN)-(c_TMAP2IN))=0,(c_TMAP2OUT)+QUOTIENT(((c_TMAP3OUT)-(c_TMAP2OUT)),2),QUOTIENT((((A216)-(c_TMAP2IN))*((c_TMAP3OUT)-(c_TMAP2OUT))+IF(((c_TMAP3OUT)-(c_TMAP2OUT))&gt;=0,1,-1)*QUOTIENT(((c_TMAP3IN)-(c_TMAP2IN)),2)),((c_TMAP3IN)-(c_TMAP2IN)))+(c_TMAP2OUT)+IF(((c_TMAP3OUT)-(c_TMAP2OUT))&gt;=0,IF(IF(o_WRAP=1,MOD(((c_TMAP3IN)-(c_TMAP2IN))*(((A216)-(c_TMAP2IN))*((c_TMAP3OUT)-(c_TMAP2OUT))+IF(((c_TMAP3OUT)-(c_TMAP2OUT))&gt;=0,1,-1)*QUOTIENT(((c_TMAP3IN)-(c_TMAP2IN)),2))+2147483648,4294967296)-2147483648,((c_TMAP3IN)-(c_TMAP2IN))*(((A216)-(c_TMAP2IN))*((c_TMAP3OUT)-(c_TMAP2OUT))+IF(((c_TMAP3OUT)-(c_TMAP2OUT))&gt;=0,1,-1)*QUOTIENT(((c_TMAP3IN)-(c_TMAP2IN)),2)))&lt;0,-1,0),IF(IF(o_WRAP=1,MOD(((c_TMAP3IN)-(c_TMAP2IN))*(((A216)-(c_TMAP2IN))*((c_TMAP3OUT)-(c_TMAP2OUT))+IF(((c_TMAP3OUT)-(c_TMAP2OUT))&gt;=0,1,-1)*QUOTIENT(((c_TMAP3IN)-(c_TMAP2IN)),2))+2147483648,4294967296)-2147483648,((c_TMAP3IN)-(c_TMAP2IN))*(((A216)-(c_TMAP2IN))*((c_TMAP3OUT)-(c_TMAP2OUT))+IF(((c_TMAP3OUT)-(c_TMAP2OUT))&gt;=0,1,-1)*QUOTIENT(((c_TMAP3IN)-(c_TMAP2IN)),2)))&gt;=0,1,0)))</f>
        <v>103</v>
      </c>
      <c r="G216" s="7" t="n">
        <f aca="false">IF(((1000)-(c_TMAP3IN))=0,(c_TMAP3OUT)+QUOTIENT(((1000)-(c_TMAP3OUT)),2),QUOTIENT((((A216)-(c_TMAP3IN))*((1000)-(c_TMAP3OUT))+IF(((1000)-(c_TMAP3OUT))&gt;=0,1,-1)*QUOTIENT(((1000)-(c_TMAP3IN)),2)),((1000)-(c_TMAP3IN)))+(c_TMAP3OUT)+IF(((1000)-(c_TMAP3OUT))&gt;=0,IF(IF(o_WRAP=1,MOD(((1000)-(c_TMAP3IN))*(((A216)-(c_TMAP3IN))*((1000)-(c_TMAP3OUT))+IF(((1000)-(c_TMAP3OUT))&gt;=0,1,-1)*QUOTIENT(((1000)-(c_TMAP3IN)),2))+2147483648,4294967296)-2147483648,((1000)-(c_TMAP3IN))*(((A216)-(c_TMAP3IN))*((1000)-(c_TMAP3OUT))+IF(((1000)-(c_TMAP3OUT))&gt;=0,1,-1)*QUOTIENT(((1000)-(c_TMAP3IN)),2)))&lt;0,-1,0),IF(IF(o_WRAP=1,MOD(((1000)-(c_TMAP3IN))*(((A216)-(c_TMAP3IN))*((1000)-(c_TMAP3OUT))+IF(((1000)-(c_TMAP3OUT))&gt;=0,1,-1)*QUOTIENT(((1000)-(c_TMAP3IN)),2))+2147483648,4294967296)-2147483648,((1000)-(c_TMAP3IN))*(((A216)-(c_TMAP3IN))*((1000)-(c_TMAP3OUT))+IF(((1000)-(c_TMAP3OUT))&gt;=0,1,-1)*QUOTIENT(((1000)-(c_TMAP3IN)),2)))&gt;=0,1,0)))</f>
        <v>29</v>
      </c>
      <c r="H216" s="7" t="str">
        <f aca="false">IF(A216&gt;=c_TFWD,IF(AND(A216&gt;=c_TMAP3IN,c_TMAP3IN&lt;1000),"Seg4 map3-100%",IF(AND(A216&gt;=c_TMAP2IN,c_TMAP3IN&gt;c_TMAP2IN),"Seg3 map2-map3",IF(AND(A216&gt;=c_TMAP1IN,c_TMAP2IN&gt;c_TMAP1IN),"Seg2 map1-map2","Seg1 TFWD-map1"))),IF(AND(A216=0,c_TCREEP&gt;0),"Creep",IF(AND(A216&lt;=c_TRNGMIN,A216&gt;=c_TRNGMAX,c_TRNGMIN-c_TRNGMAX&lt;&gt;0),"Regen ramp","Coast (0)")))</f>
        <v>Seg2 map1-map2</v>
      </c>
      <c r="I216" s="7" t="n">
        <f aca="false">IF(A216&gt;=c_TFWD,IF(AND(A216&gt;=c_TMAP3IN,c_TMAP3IN&lt;1000),G216,IF(AND(A216&gt;=c_TMAP2IN,c_TMAP3IN&gt;c_TMAP2IN),F216,IF(AND(A216&gt;=c_TMAP1IN,c_TMAP2IN&gt;c_TMAP1IN),E216,D216))),C216)</f>
        <v>114</v>
      </c>
      <c r="J216" s="7" t="str">
        <f aca="false">IF(I216&lt;-1090,"TOO LOW",IF(I216&gt;1090,"TOO HIGH",""))</f>
        <v/>
      </c>
      <c r="K216" s="15" t="n">
        <f aca="false">IF(J216&lt;&gt;"",0,IF(I216&gt;979,1000,I216))</f>
        <v>114</v>
      </c>
      <c r="L216" s="7" t="n">
        <f aca="false">K216/10</f>
        <v>11.4</v>
      </c>
    </row>
    <row r="217" customFormat="false" ht="15" hidden="false" customHeight="false" outlineLevel="0" collapsed="false">
      <c r="A217" s="7" t="n">
        <v>212</v>
      </c>
      <c r="B217" s="7" t="n">
        <f aca="false">A217/10</f>
        <v>21.2</v>
      </c>
      <c r="C217" s="7" t="n">
        <f aca="false">IF(AND(A217=0,c_TCREEP&gt;0),10*c_TCREEP,IF(AND(A217&lt;=c_TRNGMIN,A217&gt;=c_TRNGMAX,c_TRNGMIN-c_TRNGMAX&lt;&gt;0),-10*c_TMINRN+QUOTIENT((c_TMAXRN-c_TMINRN)*(100-QUOTIENT((A217-c_TRNGMAX)*100,c_TRNGMIN-c_TRNGMAX)),-10),0))</f>
        <v>0</v>
      </c>
      <c r="D217" s="7" t="n">
        <f aca="false">IF(((c_TMAP1IN)-(c_TFWD))=0,(0)+QUOTIENT(((c_TMAP1OUT)-(0)),2),QUOTIENT((((A217)-(c_TFWD))*((c_TMAP1OUT)-(0))+IF(((c_TMAP1OUT)-(0))&gt;=0,1,-1)*QUOTIENT(((c_TMAP1IN)-(c_TFWD)),2)),((c_TMAP1IN)-(c_TFWD)))+(0)+IF(((c_TMAP1OUT)-(0))&gt;=0,IF(IF(o_WRAP=1,MOD(((c_TMAP1IN)-(c_TFWD))*(((A217)-(c_TFWD))*((c_TMAP1OUT)-(0))+IF(((c_TMAP1OUT)-(0))&gt;=0,1,-1)*QUOTIENT(((c_TMAP1IN)-(c_TFWD)),2))+2147483648,4294967296)-2147483648,((c_TMAP1IN)-(c_TFWD))*(((A217)-(c_TFWD))*((c_TMAP1OUT)-(0))+IF(((c_TMAP1OUT)-(0))&gt;=0,1,-1)*QUOTIENT(((c_TMAP1IN)-(c_TFWD)),2)))&lt;0,-1,0),IF(IF(o_WRAP=1,MOD(((c_TMAP1IN)-(c_TFWD))*(((A217)-(c_TFWD))*((c_TMAP1OUT)-(0))+IF(((c_TMAP1OUT)-(0))&gt;=0,1,-1)*QUOTIENT(((c_TMAP1IN)-(c_TFWD)),2))+2147483648,4294967296)-2147483648,((c_TMAP1IN)-(c_TFWD))*(((A217)-(c_TFWD))*((c_TMAP1OUT)-(0))+IF(((c_TMAP1OUT)-(0))&gt;=0,1,-1)*QUOTIENT(((c_TMAP1IN)-(c_TFWD)),2)))&gt;=0,1,0)))</f>
        <v>157</v>
      </c>
      <c r="E217" s="7" t="n">
        <f aca="false">IF(((c_TMAP2IN)-(c_TMAP1IN))=0,(c_TMAP1OUT)+QUOTIENT(((c_TMAP2OUT)-(c_TMAP1OUT)),2),QUOTIENT((((A217)-(c_TMAP1IN))*((c_TMAP2OUT)-(c_TMAP1OUT))+IF(((c_TMAP2OUT)-(c_TMAP1OUT))&gt;=0,1,-1)*QUOTIENT(((c_TMAP2IN)-(c_TMAP1IN)),2)),((c_TMAP2IN)-(c_TMAP1IN)))+(c_TMAP1OUT)+IF(((c_TMAP2OUT)-(c_TMAP1OUT))&gt;=0,IF(IF(o_WRAP=1,MOD(((c_TMAP2IN)-(c_TMAP1IN))*(((A217)-(c_TMAP1IN))*((c_TMAP2OUT)-(c_TMAP1OUT))+IF(((c_TMAP2OUT)-(c_TMAP1OUT))&gt;=0,1,-1)*QUOTIENT(((c_TMAP2IN)-(c_TMAP1IN)),2))+2147483648,4294967296)-2147483648,((c_TMAP2IN)-(c_TMAP1IN))*(((A217)-(c_TMAP1IN))*((c_TMAP2OUT)-(c_TMAP1OUT))+IF(((c_TMAP2OUT)-(c_TMAP1OUT))&gt;=0,1,-1)*QUOTIENT(((c_TMAP2IN)-(c_TMAP1IN)),2)))&lt;0,-1,0),IF(IF(o_WRAP=1,MOD(((c_TMAP2IN)-(c_TMAP1IN))*(((A217)-(c_TMAP1IN))*((c_TMAP2OUT)-(c_TMAP1OUT))+IF(((c_TMAP2OUT)-(c_TMAP1OUT))&gt;=0,1,-1)*QUOTIENT(((c_TMAP2IN)-(c_TMAP1IN)),2))+2147483648,4294967296)-2147483648,((c_TMAP2IN)-(c_TMAP1IN))*(((A217)-(c_TMAP1IN))*((c_TMAP2OUT)-(c_TMAP1OUT))+IF(((c_TMAP2OUT)-(c_TMAP1OUT))&gt;=0,1,-1)*QUOTIENT(((c_TMAP2IN)-(c_TMAP1IN)),2)))&gt;=0,1,0)))</f>
        <v>115</v>
      </c>
      <c r="F217" s="7" t="n">
        <f aca="false">IF(((c_TMAP3IN)-(c_TMAP2IN))=0,(c_TMAP2OUT)+QUOTIENT(((c_TMAP3OUT)-(c_TMAP2OUT)),2),QUOTIENT((((A217)-(c_TMAP2IN))*((c_TMAP3OUT)-(c_TMAP2OUT))+IF(((c_TMAP3OUT)-(c_TMAP2OUT))&gt;=0,1,-1)*QUOTIENT(((c_TMAP3IN)-(c_TMAP2IN)),2)),((c_TMAP3IN)-(c_TMAP2IN)))+(c_TMAP2OUT)+IF(((c_TMAP3OUT)-(c_TMAP2OUT))&gt;=0,IF(IF(o_WRAP=1,MOD(((c_TMAP3IN)-(c_TMAP2IN))*(((A217)-(c_TMAP2IN))*((c_TMAP3OUT)-(c_TMAP2OUT))+IF(((c_TMAP3OUT)-(c_TMAP2OUT))&gt;=0,1,-1)*QUOTIENT(((c_TMAP3IN)-(c_TMAP2IN)),2))+2147483648,4294967296)-2147483648,((c_TMAP3IN)-(c_TMAP2IN))*(((A217)-(c_TMAP2IN))*((c_TMAP3OUT)-(c_TMAP2OUT))+IF(((c_TMAP3OUT)-(c_TMAP2OUT))&gt;=0,1,-1)*QUOTIENT(((c_TMAP3IN)-(c_TMAP2IN)),2)))&lt;0,-1,0),IF(IF(o_WRAP=1,MOD(((c_TMAP3IN)-(c_TMAP2IN))*(((A217)-(c_TMAP2IN))*((c_TMAP3OUT)-(c_TMAP2OUT))+IF(((c_TMAP3OUT)-(c_TMAP2OUT))&gt;=0,1,-1)*QUOTIENT(((c_TMAP3IN)-(c_TMAP2IN)),2))+2147483648,4294967296)-2147483648,((c_TMAP3IN)-(c_TMAP2IN))*(((A217)-(c_TMAP2IN))*((c_TMAP3OUT)-(c_TMAP2OUT))+IF(((c_TMAP3OUT)-(c_TMAP2OUT))&gt;=0,1,-1)*QUOTIENT(((c_TMAP3IN)-(c_TMAP2IN)),2)))&gt;=0,1,0)))</f>
        <v>103</v>
      </c>
      <c r="G217" s="7" t="n">
        <f aca="false">IF(((1000)-(c_TMAP3IN))=0,(c_TMAP3OUT)+QUOTIENT(((1000)-(c_TMAP3OUT)),2),QUOTIENT((((A217)-(c_TMAP3IN))*((1000)-(c_TMAP3OUT))+IF(((1000)-(c_TMAP3OUT))&gt;=0,1,-1)*QUOTIENT(((1000)-(c_TMAP3IN)),2)),((1000)-(c_TMAP3IN)))+(c_TMAP3OUT)+IF(((1000)-(c_TMAP3OUT))&gt;=0,IF(IF(o_WRAP=1,MOD(((1000)-(c_TMAP3IN))*(((A217)-(c_TMAP3IN))*((1000)-(c_TMAP3OUT))+IF(((1000)-(c_TMAP3OUT))&gt;=0,1,-1)*QUOTIENT(((1000)-(c_TMAP3IN)),2))+2147483648,4294967296)-2147483648,((1000)-(c_TMAP3IN))*(((A217)-(c_TMAP3IN))*((1000)-(c_TMAP3OUT))+IF(((1000)-(c_TMAP3OUT))&gt;=0,1,-1)*QUOTIENT(((1000)-(c_TMAP3IN)),2)))&lt;0,-1,0),IF(IF(o_WRAP=1,MOD(((1000)-(c_TMAP3IN))*(((A217)-(c_TMAP3IN))*((1000)-(c_TMAP3OUT))+IF(((1000)-(c_TMAP3OUT))&gt;=0,1,-1)*QUOTIENT(((1000)-(c_TMAP3IN)),2))+2147483648,4294967296)-2147483648,((1000)-(c_TMAP3IN))*(((A217)-(c_TMAP3IN))*((1000)-(c_TMAP3OUT))+IF(((1000)-(c_TMAP3OUT))&gt;=0,1,-1)*QUOTIENT(((1000)-(c_TMAP3IN)),2)))&gt;=0,1,0)))</f>
        <v>30</v>
      </c>
      <c r="H217" s="7" t="str">
        <f aca="false">IF(A217&gt;=c_TFWD,IF(AND(A217&gt;=c_TMAP3IN,c_TMAP3IN&lt;1000),"Seg4 map3-100%",IF(AND(A217&gt;=c_TMAP2IN,c_TMAP3IN&gt;c_TMAP2IN),"Seg3 map2-map3",IF(AND(A217&gt;=c_TMAP1IN,c_TMAP2IN&gt;c_TMAP1IN),"Seg2 map1-map2","Seg1 TFWD-map1"))),IF(AND(A217=0,c_TCREEP&gt;0),"Creep",IF(AND(A217&lt;=c_TRNGMIN,A217&gt;=c_TRNGMAX,c_TRNGMIN-c_TRNGMAX&lt;&gt;0),"Regen ramp","Coast (0)")))</f>
        <v>Seg2 map1-map2</v>
      </c>
      <c r="I217" s="7" t="n">
        <f aca="false">IF(A217&gt;=c_TFWD,IF(AND(A217&gt;=c_TMAP3IN,c_TMAP3IN&lt;1000),G217,IF(AND(A217&gt;=c_TMAP2IN,c_TMAP3IN&gt;c_TMAP2IN),F217,IF(AND(A217&gt;=c_TMAP1IN,c_TMAP2IN&gt;c_TMAP1IN),E217,D217))),C217)</f>
        <v>115</v>
      </c>
      <c r="J217" s="7" t="str">
        <f aca="false">IF(I217&lt;-1090,"TOO LOW",IF(I217&gt;1090,"TOO HIGH",""))</f>
        <v/>
      </c>
      <c r="K217" s="15" t="n">
        <f aca="false">IF(J217&lt;&gt;"",0,IF(I217&gt;979,1000,I217))</f>
        <v>115</v>
      </c>
      <c r="L217" s="7" t="n">
        <f aca="false">K217/10</f>
        <v>11.5</v>
      </c>
    </row>
    <row r="218" customFormat="false" ht="15" hidden="false" customHeight="false" outlineLevel="0" collapsed="false">
      <c r="A218" s="7" t="n">
        <v>213</v>
      </c>
      <c r="B218" s="7" t="n">
        <f aca="false">A218/10</f>
        <v>21.3</v>
      </c>
      <c r="C218" s="7" t="n">
        <f aca="false">IF(AND(A218=0,c_TCREEP&gt;0),10*c_TCREEP,IF(AND(A218&lt;=c_TRNGMIN,A218&gt;=c_TRNGMAX,c_TRNGMIN-c_TRNGMAX&lt;&gt;0),-10*c_TMINRN+QUOTIENT((c_TMAXRN-c_TMINRN)*(100-QUOTIENT((A218-c_TRNGMAX)*100,c_TRNGMIN-c_TRNGMAX)),-10),0))</f>
        <v>0</v>
      </c>
      <c r="D218" s="7" t="n">
        <f aca="false">IF(((c_TMAP1IN)-(c_TFWD))=0,(0)+QUOTIENT(((c_TMAP1OUT)-(0)),2),QUOTIENT((((A218)-(c_TFWD))*((c_TMAP1OUT)-(0))+IF(((c_TMAP1OUT)-(0))&gt;=0,1,-1)*QUOTIENT(((c_TMAP1IN)-(c_TFWD)),2)),((c_TMAP1IN)-(c_TFWD)))+(0)+IF(((c_TMAP1OUT)-(0))&gt;=0,IF(IF(o_WRAP=1,MOD(((c_TMAP1IN)-(c_TFWD))*(((A218)-(c_TFWD))*((c_TMAP1OUT)-(0))+IF(((c_TMAP1OUT)-(0))&gt;=0,1,-1)*QUOTIENT(((c_TMAP1IN)-(c_TFWD)),2))+2147483648,4294967296)-2147483648,((c_TMAP1IN)-(c_TFWD))*(((A218)-(c_TFWD))*((c_TMAP1OUT)-(0))+IF(((c_TMAP1OUT)-(0))&gt;=0,1,-1)*QUOTIENT(((c_TMAP1IN)-(c_TFWD)),2)))&lt;0,-1,0),IF(IF(o_WRAP=1,MOD(((c_TMAP1IN)-(c_TFWD))*(((A218)-(c_TFWD))*((c_TMAP1OUT)-(0))+IF(((c_TMAP1OUT)-(0))&gt;=0,1,-1)*QUOTIENT(((c_TMAP1IN)-(c_TFWD)),2))+2147483648,4294967296)-2147483648,((c_TMAP1IN)-(c_TFWD))*(((A218)-(c_TFWD))*((c_TMAP1OUT)-(0))+IF(((c_TMAP1OUT)-(0))&gt;=0,1,-1)*QUOTIENT(((c_TMAP1IN)-(c_TFWD)),2)))&gt;=0,1,0)))</f>
        <v>158</v>
      </c>
      <c r="E218" s="7" t="n">
        <f aca="false">IF(((c_TMAP2IN)-(c_TMAP1IN))=0,(c_TMAP1OUT)+QUOTIENT(((c_TMAP2OUT)-(c_TMAP1OUT)),2),QUOTIENT((((A218)-(c_TMAP1IN))*((c_TMAP2OUT)-(c_TMAP1OUT))+IF(((c_TMAP2OUT)-(c_TMAP1OUT))&gt;=0,1,-1)*QUOTIENT(((c_TMAP2IN)-(c_TMAP1IN)),2)),((c_TMAP2IN)-(c_TMAP1IN)))+(c_TMAP1OUT)+IF(((c_TMAP2OUT)-(c_TMAP1OUT))&gt;=0,IF(IF(o_WRAP=1,MOD(((c_TMAP2IN)-(c_TMAP1IN))*(((A218)-(c_TMAP1IN))*((c_TMAP2OUT)-(c_TMAP1OUT))+IF(((c_TMAP2OUT)-(c_TMAP1OUT))&gt;=0,1,-1)*QUOTIENT(((c_TMAP2IN)-(c_TMAP1IN)),2))+2147483648,4294967296)-2147483648,((c_TMAP2IN)-(c_TMAP1IN))*(((A218)-(c_TMAP1IN))*((c_TMAP2OUT)-(c_TMAP1OUT))+IF(((c_TMAP2OUT)-(c_TMAP1OUT))&gt;=0,1,-1)*QUOTIENT(((c_TMAP2IN)-(c_TMAP1IN)),2)))&lt;0,-1,0),IF(IF(o_WRAP=1,MOD(((c_TMAP2IN)-(c_TMAP1IN))*(((A218)-(c_TMAP1IN))*((c_TMAP2OUT)-(c_TMAP1OUT))+IF(((c_TMAP2OUT)-(c_TMAP1OUT))&gt;=0,1,-1)*QUOTIENT(((c_TMAP2IN)-(c_TMAP1IN)),2))+2147483648,4294967296)-2147483648,((c_TMAP2IN)-(c_TMAP1IN))*(((A218)-(c_TMAP1IN))*((c_TMAP2OUT)-(c_TMAP1OUT))+IF(((c_TMAP2OUT)-(c_TMAP1OUT))&gt;=0,1,-1)*QUOTIENT(((c_TMAP2IN)-(c_TMAP1IN)),2)))&gt;=0,1,0)))</f>
        <v>115</v>
      </c>
      <c r="F218" s="7" t="n">
        <f aca="false">IF(((c_TMAP3IN)-(c_TMAP2IN))=0,(c_TMAP2OUT)+QUOTIENT(((c_TMAP3OUT)-(c_TMAP2OUT)),2),QUOTIENT((((A218)-(c_TMAP2IN))*((c_TMAP3OUT)-(c_TMAP2OUT))+IF(((c_TMAP3OUT)-(c_TMAP2OUT))&gt;=0,1,-1)*QUOTIENT(((c_TMAP3IN)-(c_TMAP2IN)),2)),((c_TMAP3IN)-(c_TMAP2IN)))+(c_TMAP2OUT)+IF(((c_TMAP3OUT)-(c_TMAP2OUT))&gt;=0,IF(IF(o_WRAP=1,MOD(((c_TMAP3IN)-(c_TMAP2IN))*(((A218)-(c_TMAP2IN))*((c_TMAP3OUT)-(c_TMAP2OUT))+IF(((c_TMAP3OUT)-(c_TMAP2OUT))&gt;=0,1,-1)*QUOTIENT(((c_TMAP3IN)-(c_TMAP2IN)),2))+2147483648,4294967296)-2147483648,((c_TMAP3IN)-(c_TMAP2IN))*(((A218)-(c_TMAP2IN))*((c_TMAP3OUT)-(c_TMAP2OUT))+IF(((c_TMAP3OUT)-(c_TMAP2OUT))&gt;=0,1,-1)*QUOTIENT(((c_TMAP3IN)-(c_TMAP2IN)),2)))&lt;0,-1,0),IF(IF(o_WRAP=1,MOD(((c_TMAP3IN)-(c_TMAP2IN))*(((A218)-(c_TMAP2IN))*((c_TMAP3OUT)-(c_TMAP2OUT))+IF(((c_TMAP3OUT)-(c_TMAP2OUT))&gt;=0,1,-1)*QUOTIENT(((c_TMAP3IN)-(c_TMAP2IN)),2))+2147483648,4294967296)-2147483648,((c_TMAP3IN)-(c_TMAP2IN))*(((A218)-(c_TMAP2IN))*((c_TMAP3OUT)-(c_TMAP2OUT))+IF(((c_TMAP3OUT)-(c_TMAP2OUT))&gt;=0,1,-1)*QUOTIENT(((c_TMAP3IN)-(c_TMAP2IN)),2)))&gt;=0,1,0)))</f>
        <v>104</v>
      </c>
      <c r="G218" s="7" t="n">
        <f aca="false">IF(((1000)-(c_TMAP3IN))=0,(c_TMAP3OUT)+QUOTIENT(((1000)-(c_TMAP3OUT)),2),QUOTIENT((((A218)-(c_TMAP3IN))*((1000)-(c_TMAP3OUT))+IF(((1000)-(c_TMAP3OUT))&gt;=0,1,-1)*QUOTIENT(((1000)-(c_TMAP3IN)),2)),((1000)-(c_TMAP3IN)))+(c_TMAP3OUT)+IF(((1000)-(c_TMAP3OUT))&gt;=0,IF(IF(o_WRAP=1,MOD(((1000)-(c_TMAP3IN))*(((A218)-(c_TMAP3IN))*((1000)-(c_TMAP3OUT))+IF(((1000)-(c_TMAP3OUT))&gt;=0,1,-1)*QUOTIENT(((1000)-(c_TMAP3IN)),2))+2147483648,4294967296)-2147483648,((1000)-(c_TMAP3IN))*(((A218)-(c_TMAP3IN))*((1000)-(c_TMAP3OUT))+IF(((1000)-(c_TMAP3OUT))&gt;=0,1,-1)*QUOTIENT(((1000)-(c_TMAP3IN)),2)))&lt;0,-1,0),IF(IF(o_WRAP=1,MOD(((1000)-(c_TMAP3IN))*(((A218)-(c_TMAP3IN))*((1000)-(c_TMAP3OUT))+IF(((1000)-(c_TMAP3OUT))&gt;=0,1,-1)*QUOTIENT(((1000)-(c_TMAP3IN)),2))+2147483648,4294967296)-2147483648,((1000)-(c_TMAP3IN))*(((A218)-(c_TMAP3IN))*((1000)-(c_TMAP3OUT))+IF(((1000)-(c_TMAP3OUT))&gt;=0,1,-1)*QUOTIENT(((1000)-(c_TMAP3IN)),2)))&gt;=0,1,0)))</f>
        <v>31</v>
      </c>
      <c r="H218" s="7" t="str">
        <f aca="false">IF(A218&gt;=c_TFWD,IF(AND(A218&gt;=c_TMAP3IN,c_TMAP3IN&lt;1000),"Seg4 map3-100%",IF(AND(A218&gt;=c_TMAP2IN,c_TMAP3IN&gt;c_TMAP2IN),"Seg3 map2-map3",IF(AND(A218&gt;=c_TMAP1IN,c_TMAP2IN&gt;c_TMAP1IN),"Seg2 map1-map2","Seg1 TFWD-map1"))),IF(AND(A218=0,c_TCREEP&gt;0),"Creep",IF(AND(A218&lt;=c_TRNGMIN,A218&gt;=c_TRNGMAX,c_TRNGMIN-c_TRNGMAX&lt;&gt;0),"Regen ramp","Coast (0)")))</f>
        <v>Seg2 map1-map2</v>
      </c>
      <c r="I218" s="7" t="n">
        <f aca="false">IF(A218&gt;=c_TFWD,IF(AND(A218&gt;=c_TMAP3IN,c_TMAP3IN&lt;1000),G218,IF(AND(A218&gt;=c_TMAP2IN,c_TMAP3IN&gt;c_TMAP2IN),F218,IF(AND(A218&gt;=c_TMAP1IN,c_TMAP2IN&gt;c_TMAP1IN),E218,D218))),C218)</f>
        <v>115</v>
      </c>
      <c r="J218" s="7" t="str">
        <f aca="false">IF(I218&lt;-1090,"TOO LOW",IF(I218&gt;1090,"TOO HIGH",""))</f>
        <v/>
      </c>
      <c r="K218" s="15" t="n">
        <f aca="false">IF(J218&lt;&gt;"",0,IF(I218&gt;979,1000,I218))</f>
        <v>115</v>
      </c>
      <c r="L218" s="7" t="n">
        <f aca="false">K218/10</f>
        <v>11.5</v>
      </c>
    </row>
    <row r="219" customFormat="false" ht="15" hidden="false" customHeight="false" outlineLevel="0" collapsed="false">
      <c r="A219" s="7" t="n">
        <v>214</v>
      </c>
      <c r="B219" s="7" t="n">
        <f aca="false">A219/10</f>
        <v>21.4</v>
      </c>
      <c r="C219" s="7" t="n">
        <f aca="false">IF(AND(A219=0,c_TCREEP&gt;0),10*c_TCREEP,IF(AND(A219&lt;=c_TRNGMIN,A219&gt;=c_TRNGMAX,c_TRNGMIN-c_TRNGMAX&lt;&gt;0),-10*c_TMINRN+QUOTIENT((c_TMAXRN-c_TMINRN)*(100-QUOTIENT((A219-c_TRNGMAX)*100,c_TRNGMIN-c_TRNGMAX)),-10),0))</f>
        <v>0</v>
      </c>
      <c r="D219" s="7" t="n">
        <f aca="false">IF(((c_TMAP1IN)-(c_TFWD))=0,(0)+QUOTIENT(((c_TMAP1OUT)-(0)),2),QUOTIENT((((A219)-(c_TFWD))*((c_TMAP1OUT)-(0))+IF(((c_TMAP1OUT)-(0))&gt;=0,1,-1)*QUOTIENT(((c_TMAP1IN)-(c_TFWD)),2)),((c_TMAP1IN)-(c_TFWD)))+(0)+IF(((c_TMAP1OUT)-(0))&gt;=0,IF(IF(o_WRAP=1,MOD(((c_TMAP1IN)-(c_TFWD))*(((A219)-(c_TFWD))*((c_TMAP1OUT)-(0))+IF(((c_TMAP1OUT)-(0))&gt;=0,1,-1)*QUOTIENT(((c_TMAP1IN)-(c_TFWD)),2))+2147483648,4294967296)-2147483648,((c_TMAP1IN)-(c_TFWD))*(((A219)-(c_TFWD))*((c_TMAP1OUT)-(0))+IF(((c_TMAP1OUT)-(0))&gt;=0,1,-1)*QUOTIENT(((c_TMAP1IN)-(c_TFWD)),2)))&lt;0,-1,0),IF(IF(o_WRAP=1,MOD(((c_TMAP1IN)-(c_TFWD))*(((A219)-(c_TFWD))*((c_TMAP1OUT)-(0))+IF(((c_TMAP1OUT)-(0))&gt;=0,1,-1)*QUOTIENT(((c_TMAP1IN)-(c_TFWD)),2))+2147483648,4294967296)-2147483648,((c_TMAP1IN)-(c_TFWD))*(((A219)-(c_TFWD))*((c_TMAP1OUT)-(0))+IF(((c_TMAP1OUT)-(0))&gt;=0,1,-1)*QUOTIENT(((c_TMAP1IN)-(c_TFWD)),2)))&gt;=0,1,0)))</f>
        <v>159</v>
      </c>
      <c r="E219" s="7" t="n">
        <f aca="false">IF(((c_TMAP2IN)-(c_TMAP1IN))=0,(c_TMAP1OUT)+QUOTIENT(((c_TMAP2OUT)-(c_TMAP1OUT)),2),QUOTIENT((((A219)-(c_TMAP1IN))*((c_TMAP2OUT)-(c_TMAP1OUT))+IF(((c_TMAP2OUT)-(c_TMAP1OUT))&gt;=0,1,-1)*QUOTIENT(((c_TMAP2IN)-(c_TMAP1IN)),2)),((c_TMAP2IN)-(c_TMAP1IN)))+(c_TMAP1OUT)+IF(((c_TMAP2OUT)-(c_TMAP1OUT))&gt;=0,IF(IF(o_WRAP=1,MOD(((c_TMAP2IN)-(c_TMAP1IN))*(((A219)-(c_TMAP1IN))*((c_TMAP2OUT)-(c_TMAP1OUT))+IF(((c_TMAP2OUT)-(c_TMAP1OUT))&gt;=0,1,-1)*QUOTIENT(((c_TMAP2IN)-(c_TMAP1IN)),2))+2147483648,4294967296)-2147483648,((c_TMAP2IN)-(c_TMAP1IN))*(((A219)-(c_TMAP1IN))*((c_TMAP2OUT)-(c_TMAP1OUT))+IF(((c_TMAP2OUT)-(c_TMAP1OUT))&gt;=0,1,-1)*QUOTIENT(((c_TMAP2IN)-(c_TMAP1IN)),2)))&lt;0,-1,0),IF(IF(o_WRAP=1,MOD(((c_TMAP2IN)-(c_TMAP1IN))*(((A219)-(c_TMAP1IN))*((c_TMAP2OUT)-(c_TMAP1OUT))+IF(((c_TMAP2OUT)-(c_TMAP1OUT))&gt;=0,1,-1)*QUOTIENT(((c_TMAP2IN)-(c_TMAP1IN)),2))+2147483648,4294967296)-2147483648,((c_TMAP2IN)-(c_TMAP1IN))*(((A219)-(c_TMAP1IN))*((c_TMAP2OUT)-(c_TMAP1OUT))+IF(((c_TMAP2OUT)-(c_TMAP1OUT))&gt;=0,1,-1)*QUOTIENT(((c_TMAP2IN)-(c_TMAP1IN)),2)))&gt;=0,1,0)))</f>
        <v>116</v>
      </c>
      <c r="F219" s="7" t="n">
        <f aca="false">IF(((c_TMAP3IN)-(c_TMAP2IN))=0,(c_TMAP2OUT)+QUOTIENT(((c_TMAP3OUT)-(c_TMAP2OUT)),2),QUOTIENT((((A219)-(c_TMAP2IN))*((c_TMAP3OUT)-(c_TMAP2OUT))+IF(((c_TMAP3OUT)-(c_TMAP2OUT))&gt;=0,1,-1)*QUOTIENT(((c_TMAP3IN)-(c_TMAP2IN)),2)),((c_TMAP3IN)-(c_TMAP2IN)))+(c_TMAP2OUT)+IF(((c_TMAP3OUT)-(c_TMAP2OUT))&gt;=0,IF(IF(o_WRAP=1,MOD(((c_TMAP3IN)-(c_TMAP2IN))*(((A219)-(c_TMAP2IN))*((c_TMAP3OUT)-(c_TMAP2OUT))+IF(((c_TMAP3OUT)-(c_TMAP2OUT))&gt;=0,1,-1)*QUOTIENT(((c_TMAP3IN)-(c_TMAP2IN)),2))+2147483648,4294967296)-2147483648,((c_TMAP3IN)-(c_TMAP2IN))*(((A219)-(c_TMAP2IN))*((c_TMAP3OUT)-(c_TMAP2OUT))+IF(((c_TMAP3OUT)-(c_TMAP2OUT))&gt;=0,1,-1)*QUOTIENT(((c_TMAP3IN)-(c_TMAP2IN)),2)))&lt;0,-1,0),IF(IF(o_WRAP=1,MOD(((c_TMAP3IN)-(c_TMAP2IN))*(((A219)-(c_TMAP2IN))*((c_TMAP3OUT)-(c_TMAP2OUT))+IF(((c_TMAP3OUT)-(c_TMAP2OUT))&gt;=0,1,-1)*QUOTIENT(((c_TMAP3IN)-(c_TMAP2IN)),2))+2147483648,4294967296)-2147483648,((c_TMAP3IN)-(c_TMAP2IN))*(((A219)-(c_TMAP2IN))*((c_TMAP3OUT)-(c_TMAP2OUT))+IF(((c_TMAP3OUT)-(c_TMAP2OUT))&gt;=0,1,-1)*QUOTIENT(((c_TMAP3IN)-(c_TMAP2IN)),2)))&gt;=0,1,0)))</f>
        <v>105</v>
      </c>
      <c r="G219" s="7" t="n">
        <f aca="false">IF(((1000)-(c_TMAP3IN))=0,(c_TMAP3OUT)+QUOTIENT(((1000)-(c_TMAP3OUT)),2),QUOTIENT((((A219)-(c_TMAP3IN))*((1000)-(c_TMAP3OUT))+IF(((1000)-(c_TMAP3OUT))&gt;=0,1,-1)*QUOTIENT(((1000)-(c_TMAP3IN)),2)),((1000)-(c_TMAP3IN)))+(c_TMAP3OUT)+IF(((1000)-(c_TMAP3OUT))&gt;=0,IF(IF(o_WRAP=1,MOD(((1000)-(c_TMAP3IN))*(((A219)-(c_TMAP3IN))*((1000)-(c_TMAP3OUT))+IF(((1000)-(c_TMAP3OUT))&gt;=0,1,-1)*QUOTIENT(((1000)-(c_TMAP3IN)),2))+2147483648,4294967296)-2147483648,((1000)-(c_TMAP3IN))*(((A219)-(c_TMAP3IN))*((1000)-(c_TMAP3OUT))+IF(((1000)-(c_TMAP3OUT))&gt;=0,1,-1)*QUOTIENT(((1000)-(c_TMAP3IN)),2)))&lt;0,-1,0),IF(IF(o_WRAP=1,MOD(((1000)-(c_TMAP3IN))*(((A219)-(c_TMAP3IN))*((1000)-(c_TMAP3OUT))+IF(((1000)-(c_TMAP3OUT))&gt;=0,1,-1)*QUOTIENT(((1000)-(c_TMAP3IN)),2))+2147483648,4294967296)-2147483648,((1000)-(c_TMAP3IN))*(((A219)-(c_TMAP3IN))*((1000)-(c_TMAP3OUT))+IF(((1000)-(c_TMAP3OUT))&gt;=0,1,-1)*QUOTIENT(((1000)-(c_TMAP3IN)),2)))&gt;=0,1,0)))</f>
        <v>33</v>
      </c>
      <c r="H219" s="7" t="str">
        <f aca="false">IF(A219&gt;=c_TFWD,IF(AND(A219&gt;=c_TMAP3IN,c_TMAP3IN&lt;1000),"Seg4 map3-100%",IF(AND(A219&gt;=c_TMAP2IN,c_TMAP3IN&gt;c_TMAP2IN),"Seg3 map2-map3",IF(AND(A219&gt;=c_TMAP1IN,c_TMAP2IN&gt;c_TMAP1IN),"Seg2 map1-map2","Seg1 TFWD-map1"))),IF(AND(A219=0,c_TCREEP&gt;0),"Creep",IF(AND(A219&lt;=c_TRNGMIN,A219&gt;=c_TRNGMAX,c_TRNGMIN-c_TRNGMAX&lt;&gt;0),"Regen ramp","Coast (0)")))</f>
        <v>Seg2 map1-map2</v>
      </c>
      <c r="I219" s="7" t="n">
        <f aca="false">IF(A219&gt;=c_TFWD,IF(AND(A219&gt;=c_TMAP3IN,c_TMAP3IN&lt;1000),G219,IF(AND(A219&gt;=c_TMAP2IN,c_TMAP3IN&gt;c_TMAP2IN),F219,IF(AND(A219&gt;=c_TMAP1IN,c_TMAP2IN&gt;c_TMAP1IN),E219,D219))),C219)</f>
        <v>116</v>
      </c>
      <c r="J219" s="7" t="str">
        <f aca="false">IF(I219&lt;-1090,"TOO LOW",IF(I219&gt;1090,"TOO HIGH",""))</f>
        <v/>
      </c>
      <c r="K219" s="15" t="n">
        <f aca="false">IF(J219&lt;&gt;"",0,IF(I219&gt;979,1000,I219))</f>
        <v>116</v>
      </c>
      <c r="L219" s="7" t="n">
        <f aca="false">K219/10</f>
        <v>11.6</v>
      </c>
    </row>
    <row r="220" customFormat="false" ht="15" hidden="false" customHeight="false" outlineLevel="0" collapsed="false">
      <c r="A220" s="7" t="n">
        <v>215</v>
      </c>
      <c r="B220" s="7" t="n">
        <f aca="false">A220/10</f>
        <v>21.5</v>
      </c>
      <c r="C220" s="7" t="n">
        <f aca="false">IF(AND(A220=0,c_TCREEP&gt;0),10*c_TCREEP,IF(AND(A220&lt;=c_TRNGMIN,A220&gt;=c_TRNGMAX,c_TRNGMIN-c_TRNGMAX&lt;&gt;0),-10*c_TMINRN+QUOTIENT((c_TMAXRN-c_TMINRN)*(100-QUOTIENT((A220-c_TRNGMAX)*100,c_TRNGMIN-c_TRNGMAX)),-10),0))</f>
        <v>0</v>
      </c>
      <c r="D220" s="7" t="n">
        <f aca="false">IF(((c_TMAP1IN)-(c_TFWD))=0,(0)+QUOTIENT(((c_TMAP1OUT)-(0)),2),QUOTIENT((((A220)-(c_TFWD))*((c_TMAP1OUT)-(0))+IF(((c_TMAP1OUT)-(0))&gt;=0,1,-1)*QUOTIENT(((c_TMAP1IN)-(c_TFWD)),2)),((c_TMAP1IN)-(c_TFWD)))+(0)+IF(((c_TMAP1OUT)-(0))&gt;=0,IF(IF(o_WRAP=1,MOD(((c_TMAP1IN)-(c_TFWD))*(((A220)-(c_TFWD))*((c_TMAP1OUT)-(0))+IF(((c_TMAP1OUT)-(0))&gt;=0,1,-1)*QUOTIENT(((c_TMAP1IN)-(c_TFWD)),2))+2147483648,4294967296)-2147483648,((c_TMAP1IN)-(c_TFWD))*(((A220)-(c_TFWD))*((c_TMAP1OUT)-(0))+IF(((c_TMAP1OUT)-(0))&gt;=0,1,-1)*QUOTIENT(((c_TMAP1IN)-(c_TFWD)),2)))&lt;0,-1,0),IF(IF(o_WRAP=1,MOD(((c_TMAP1IN)-(c_TFWD))*(((A220)-(c_TFWD))*((c_TMAP1OUT)-(0))+IF(((c_TMAP1OUT)-(0))&gt;=0,1,-1)*QUOTIENT(((c_TMAP1IN)-(c_TFWD)),2))+2147483648,4294967296)-2147483648,((c_TMAP1IN)-(c_TFWD))*(((A220)-(c_TFWD))*((c_TMAP1OUT)-(0))+IF(((c_TMAP1OUT)-(0))&gt;=0,1,-1)*QUOTIENT(((c_TMAP1IN)-(c_TFWD)),2)))&gt;=0,1,0)))</f>
        <v>159</v>
      </c>
      <c r="E220" s="7" t="n">
        <f aca="false">IF(((c_TMAP2IN)-(c_TMAP1IN))=0,(c_TMAP1OUT)+QUOTIENT(((c_TMAP2OUT)-(c_TMAP1OUT)),2),QUOTIENT((((A220)-(c_TMAP1IN))*((c_TMAP2OUT)-(c_TMAP1OUT))+IF(((c_TMAP2OUT)-(c_TMAP1OUT))&gt;=0,1,-1)*QUOTIENT(((c_TMAP2IN)-(c_TMAP1IN)),2)),((c_TMAP2IN)-(c_TMAP1IN)))+(c_TMAP1OUT)+IF(((c_TMAP2OUT)-(c_TMAP1OUT))&gt;=0,IF(IF(o_WRAP=1,MOD(((c_TMAP2IN)-(c_TMAP1IN))*(((A220)-(c_TMAP1IN))*((c_TMAP2OUT)-(c_TMAP1OUT))+IF(((c_TMAP2OUT)-(c_TMAP1OUT))&gt;=0,1,-1)*QUOTIENT(((c_TMAP2IN)-(c_TMAP1IN)),2))+2147483648,4294967296)-2147483648,((c_TMAP2IN)-(c_TMAP1IN))*(((A220)-(c_TMAP1IN))*((c_TMAP2OUT)-(c_TMAP1OUT))+IF(((c_TMAP2OUT)-(c_TMAP1OUT))&gt;=0,1,-1)*QUOTIENT(((c_TMAP2IN)-(c_TMAP1IN)),2)))&lt;0,-1,0),IF(IF(o_WRAP=1,MOD(((c_TMAP2IN)-(c_TMAP1IN))*(((A220)-(c_TMAP1IN))*((c_TMAP2OUT)-(c_TMAP1OUT))+IF(((c_TMAP2OUT)-(c_TMAP1OUT))&gt;=0,1,-1)*QUOTIENT(((c_TMAP2IN)-(c_TMAP1IN)),2))+2147483648,4294967296)-2147483648,((c_TMAP2IN)-(c_TMAP1IN))*(((A220)-(c_TMAP1IN))*((c_TMAP2OUT)-(c_TMAP1OUT))+IF(((c_TMAP2OUT)-(c_TMAP1OUT))&gt;=0,1,-1)*QUOTIENT(((c_TMAP2IN)-(c_TMAP1IN)),2)))&gt;=0,1,0)))</f>
        <v>116</v>
      </c>
      <c r="F220" s="7" t="n">
        <f aca="false">IF(((c_TMAP3IN)-(c_TMAP2IN))=0,(c_TMAP2OUT)+QUOTIENT(((c_TMAP3OUT)-(c_TMAP2OUT)),2),QUOTIENT((((A220)-(c_TMAP2IN))*((c_TMAP3OUT)-(c_TMAP2OUT))+IF(((c_TMAP3OUT)-(c_TMAP2OUT))&gt;=0,1,-1)*QUOTIENT(((c_TMAP3IN)-(c_TMAP2IN)),2)),((c_TMAP3IN)-(c_TMAP2IN)))+(c_TMAP2OUT)+IF(((c_TMAP3OUT)-(c_TMAP2OUT))&gt;=0,IF(IF(o_WRAP=1,MOD(((c_TMAP3IN)-(c_TMAP2IN))*(((A220)-(c_TMAP2IN))*((c_TMAP3OUT)-(c_TMAP2OUT))+IF(((c_TMAP3OUT)-(c_TMAP2OUT))&gt;=0,1,-1)*QUOTIENT(((c_TMAP3IN)-(c_TMAP2IN)),2))+2147483648,4294967296)-2147483648,((c_TMAP3IN)-(c_TMAP2IN))*(((A220)-(c_TMAP2IN))*((c_TMAP3OUT)-(c_TMAP2OUT))+IF(((c_TMAP3OUT)-(c_TMAP2OUT))&gt;=0,1,-1)*QUOTIENT(((c_TMAP3IN)-(c_TMAP2IN)),2)))&lt;0,-1,0),IF(IF(o_WRAP=1,MOD(((c_TMAP3IN)-(c_TMAP2IN))*(((A220)-(c_TMAP2IN))*((c_TMAP3OUT)-(c_TMAP2OUT))+IF(((c_TMAP3OUT)-(c_TMAP2OUT))&gt;=0,1,-1)*QUOTIENT(((c_TMAP3IN)-(c_TMAP2IN)),2))+2147483648,4294967296)-2147483648,((c_TMAP3IN)-(c_TMAP2IN))*(((A220)-(c_TMAP2IN))*((c_TMAP3OUT)-(c_TMAP2OUT))+IF(((c_TMAP3OUT)-(c_TMAP2OUT))&gt;=0,1,-1)*QUOTIENT(((c_TMAP3IN)-(c_TMAP2IN)),2)))&gt;=0,1,0)))</f>
        <v>105</v>
      </c>
      <c r="G220" s="7" t="n">
        <f aca="false">IF(((1000)-(c_TMAP3IN))=0,(c_TMAP3OUT)+QUOTIENT(((1000)-(c_TMAP3OUT)),2),QUOTIENT((((A220)-(c_TMAP3IN))*((1000)-(c_TMAP3OUT))+IF(((1000)-(c_TMAP3OUT))&gt;=0,1,-1)*QUOTIENT(((1000)-(c_TMAP3IN)),2)),((1000)-(c_TMAP3IN)))+(c_TMAP3OUT)+IF(((1000)-(c_TMAP3OUT))&gt;=0,IF(IF(o_WRAP=1,MOD(((1000)-(c_TMAP3IN))*(((A220)-(c_TMAP3IN))*((1000)-(c_TMAP3OUT))+IF(((1000)-(c_TMAP3OUT))&gt;=0,1,-1)*QUOTIENT(((1000)-(c_TMAP3IN)),2))+2147483648,4294967296)-2147483648,((1000)-(c_TMAP3IN))*(((A220)-(c_TMAP3IN))*((1000)-(c_TMAP3OUT))+IF(((1000)-(c_TMAP3OUT))&gt;=0,1,-1)*QUOTIENT(((1000)-(c_TMAP3IN)),2)))&lt;0,-1,0),IF(IF(o_WRAP=1,MOD(((1000)-(c_TMAP3IN))*(((A220)-(c_TMAP3IN))*((1000)-(c_TMAP3OUT))+IF(((1000)-(c_TMAP3OUT))&gt;=0,1,-1)*QUOTIENT(((1000)-(c_TMAP3IN)),2))+2147483648,4294967296)-2147483648,((1000)-(c_TMAP3IN))*(((A220)-(c_TMAP3IN))*((1000)-(c_TMAP3OUT))+IF(((1000)-(c_TMAP3OUT))&gt;=0,1,-1)*QUOTIENT(((1000)-(c_TMAP3IN)),2)))&gt;=0,1,0)))</f>
        <v>34</v>
      </c>
      <c r="H220" s="7" t="str">
        <f aca="false">IF(A220&gt;=c_TFWD,IF(AND(A220&gt;=c_TMAP3IN,c_TMAP3IN&lt;1000),"Seg4 map3-100%",IF(AND(A220&gt;=c_TMAP2IN,c_TMAP3IN&gt;c_TMAP2IN),"Seg3 map2-map3",IF(AND(A220&gt;=c_TMAP1IN,c_TMAP2IN&gt;c_TMAP1IN),"Seg2 map1-map2","Seg1 TFWD-map1"))),IF(AND(A220=0,c_TCREEP&gt;0),"Creep",IF(AND(A220&lt;=c_TRNGMIN,A220&gt;=c_TRNGMAX,c_TRNGMIN-c_TRNGMAX&lt;&gt;0),"Regen ramp","Coast (0)")))</f>
        <v>Seg2 map1-map2</v>
      </c>
      <c r="I220" s="7" t="n">
        <f aca="false">IF(A220&gt;=c_TFWD,IF(AND(A220&gt;=c_TMAP3IN,c_TMAP3IN&lt;1000),G220,IF(AND(A220&gt;=c_TMAP2IN,c_TMAP3IN&gt;c_TMAP2IN),F220,IF(AND(A220&gt;=c_TMAP1IN,c_TMAP2IN&gt;c_TMAP1IN),E220,D220))),C220)</f>
        <v>116</v>
      </c>
      <c r="J220" s="7" t="str">
        <f aca="false">IF(I220&lt;-1090,"TOO LOW",IF(I220&gt;1090,"TOO HIGH",""))</f>
        <v/>
      </c>
      <c r="K220" s="15" t="n">
        <f aca="false">IF(J220&lt;&gt;"",0,IF(I220&gt;979,1000,I220))</f>
        <v>116</v>
      </c>
      <c r="L220" s="7" t="n">
        <f aca="false">K220/10</f>
        <v>11.6</v>
      </c>
    </row>
    <row r="221" customFormat="false" ht="15" hidden="false" customHeight="false" outlineLevel="0" collapsed="false">
      <c r="A221" s="7" t="n">
        <v>216</v>
      </c>
      <c r="B221" s="7" t="n">
        <f aca="false">A221/10</f>
        <v>21.6</v>
      </c>
      <c r="C221" s="7" t="n">
        <f aca="false">IF(AND(A221=0,c_TCREEP&gt;0),10*c_TCREEP,IF(AND(A221&lt;=c_TRNGMIN,A221&gt;=c_TRNGMAX,c_TRNGMIN-c_TRNGMAX&lt;&gt;0),-10*c_TMINRN+QUOTIENT((c_TMAXRN-c_TMINRN)*(100-QUOTIENT((A221-c_TRNGMAX)*100,c_TRNGMIN-c_TRNGMAX)),-10),0))</f>
        <v>0</v>
      </c>
      <c r="D221" s="7" t="n">
        <f aca="false">IF(((c_TMAP1IN)-(c_TFWD))=0,(0)+QUOTIENT(((c_TMAP1OUT)-(0)),2),QUOTIENT((((A221)-(c_TFWD))*((c_TMAP1OUT)-(0))+IF(((c_TMAP1OUT)-(0))&gt;=0,1,-1)*QUOTIENT(((c_TMAP1IN)-(c_TFWD)),2)),((c_TMAP1IN)-(c_TFWD)))+(0)+IF(((c_TMAP1OUT)-(0))&gt;=0,IF(IF(o_WRAP=1,MOD(((c_TMAP1IN)-(c_TFWD))*(((A221)-(c_TFWD))*((c_TMAP1OUT)-(0))+IF(((c_TMAP1OUT)-(0))&gt;=0,1,-1)*QUOTIENT(((c_TMAP1IN)-(c_TFWD)),2))+2147483648,4294967296)-2147483648,((c_TMAP1IN)-(c_TFWD))*(((A221)-(c_TFWD))*((c_TMAP1OUT)-(0))+IF(((c_TMAP1OUT)-(0))&gt;=0,1,-1)*QUOTIENT(((c_TMAP1IN)-(c_TFWD)),2)))&lt;0,-1,0),IF(IF(o_WRAP=1,MOD(((c_TMAP1IN)-(c_TFWD))*(((A221)-(c_TFWD))*((c_TMAP1OUT)-(0))+IF(((c_TMAP1OUT)-(0))&gt;=0,1,-1)*QUOTIENT(((c_TMAP1IN)-(c_TFWD)),2))+2147483648,4294967296)-2147483648,((c_TMAP1IN)-(c_TFWD))*(((A221)-(c_TFWD))*((c_TMAP1OUT)-(0))+IF(((c_TMAP1OUT)-(0))&gt;=0,1,-1)*QUOTIENT(((c_TMAP1IN)-(c_TFWD)),2)))&gt;=0,1,0)))</f>
        <v>160</v>
      </c>
      <c r="E221" s="7" t="n">
        <f aca="false">IF(((c_TMAP2IN)-(c_TMAP1IN))=0,(c_TMAP1OUT)+QUOTIENT(((c_TMAP2OUT)-(c_TMAP1OUT)),2),QUOTIENT((((A221)-(c_TMAP1IN))*((c_TMAP2OUT)-(c_TMAP1OUT))+IF(((c_TMAP2OUT)-(c_TMAP1OUT))&gt;=0,1,-1)*QUOTIENT(((c_TMAP2IN)-(c_TMAP1IN)),2)),((c_TMAP2IN)-(c_TMAP1IN)))+(c_TMAP1OUT)+IF(((c_TMAP2OUT)-(c_TMAP1OUT))&gt;=0,IF(IF(o_WRAP=1,MOD(((c_TMAP2IN)-(c_TMAP1IN))*(((A221)-(c_TMAP1IN))*((c_TMAP2OUT)-(c_TMAP1OUT))+IF(((c_TMAP2OUT)-(c_TMAP1OUT))&gt;=0,1,-1)*QUOTIENT(((c_TMAP2IN)-(c_TMAP1IN)),2))+2147483648,4294967296)-2147483648,((c_TMAP2IN)-(c_TMAP1IN))*(((A221)-(c_TMAP1IN))*((c_TMAP2OUT)-(c_TMAP1OUT))+IF(((c_TMAP2OUT)-(c_TMAP1OUT))&gt;=0,1,-1)*QUOTIENT(((c_TMAP2IN)-(c_TMAP1IN)),2)))&lt;0,-1,0),IF(IF(o_WRAP=1,MOD(((c_TMAP2IN)-(c_TMAP1IN))*(((A221)-(c_TMAP1IN))*((c_TMAP2OUT)-(c_TMAP1OUT))+IF(((c_TMAP2OUT)-(c_TMAP1OUT))&gt;=0,1,-1)*QUOTIENT(((c_TMAP2IN)-(c_TMAP1IN)),2))+2147483648,4294967296)-2147483648,((c_TMAP2IN)-(c_TMAP1IN))*(((A221)-(c_TMAP1IN))*((c_TMAP2OUT)-(c_TMAP1OUT))+IF(((c_TMAP2OUT)-(c_TMAP1OUT))&gt;=0,1,-1)*QUOTIENT(((c_TMAP2IN)-(c_TMAP1IN)),2)))&gt;=0,1,0)))</f>
        <v>116</v>
      </c>
      <c r="F221" s="7" t="n">
        <f aca="false">IF(((c_TMAP3IN)-(c_TMAP2IN))=0,(c_TMAP2OUT)+QUOTIENT(((c_TMAP3OUT)-(c_TMAP2OUT)),2),QUOTIENT((((A221)-(c_TMAP2IN))*((c_TMAP3OUT)-(c_TMAP2OUT))+IF(((c_TMAP3OUT)-(c_TMAP2OUT))&gt;=0,1,-1)*QUOTIENT(((c_TMAP3IN)-(c_TMAP2IN)),2)),((c_TMAP3IN)-(c_TMAP2IN)))+(c_TMAP2OUT)+IF(((c_TMAP3OUT)-(c_TMAP2OUT))&gt;=0,IF(IF(o_WRAP=1,MOD(((c_TMAP3IN)-(c_TMAP2IN))*(((A221)-(c_TMAP2IN))*((c_TMAP3OUT)-(c_TMAP2OUT))+IF(((c_TMAP3OUT)-(c_TMAP2OUT))&gt;=0,1,-1)*QUOTIENT(((c_TMAP3IN)-(c_TMAP2IN)),2))+2147483648,4294967296)-2147483648,((c_TMAP3IN)-(c_TMAP2IN))*(((A221)-(c_TMAP2IN))*((c_TMAP3OUT)-(c_TMAP2OUT))+IF(((c_TMAP3OUT)-(c_TMAP2OUT))&gt;=0,1,-1)*QUOTIENT(((c_TMAP3IN)-(c_TMAP2IN)),2)))&lt;0,-1,0),IF(IF(o_WRAP=1,MOD(((c_TMAP3IN)-(c_TMAP2IN))*(((A221)-(c_TMAP2IN))*((c_TMAP3OUT)-(c_TMAP2OUT))+IF(((c_TMAP3OUT)-(c_TMAP2OUT))&gt;=0,1,-1)*QUOTIENT(((c_TMAP3IN)-(c_TMAP2IN)),2))+2147483648,4294967296)-2147483648,((c_TMAP3IN)-(c_TMAP2IN))*(((A221)-(c_TMAP2IN))*((c_TMAP3OUT)-(c_TMAP2OUT))+IF(((c_TMAP3OUT)-(c_TMAP2OUT))&gt;=0,1,-1)*QUOTIENT(((c_TMAP3IN)-(c_TMAP2IN)),2)))&gt;=0,1,0)))</f>
        <v>106</v>
      </c>
      <c r="G221" s="7" t="n">
        <f aca="false">IF(((1000)-(c_TMAP3IN))=0,(c_TMAP3OUT)+QUOTIENT(((1000)-(c_TMAP3OUT)),2),QUOTIENT((((A221)-(c_TMAP3IN))*((1000)-(c_TMAP3OUT))+IF(((1000)-(c_TMAP3OUT))&gt;=0,1,-1)*QUOTIENT(((1000)-(c_TMAP3IN)),2)),((1000)-(c_TMAP3IN)))+(c_TMAP3OUT)+IF(((1000)-(c_TMAP3OUT))&gt;=0,IF(IF(o_WRAP=1,MOD(((1000)-(c_TMAP3IN))*(((A221)-(c_TMAP3IN))*((1000)-(c_TMAP3OUT))+IF(((1000)-(c_TMAP3OUT))&gt;=0,1,-1)*QUOTIENT(((1000)-(c_TMAP3IN)),2))+2147483648,4294967296)-2147483648,((1000)-(c_TMAP3IN))*(((A221)-(c_TMAP3IN))*((1000)-(c_TMAP3OUT))+IF(((1000)-(c_TMAP3OUT))&gt;=0,1,-1)*QUOTIENT(((1000)-(c_TMAP3IN)),2)))&lt;0,-1,0),IF(IF(o_WRAP=1,MOD(((1000)-(c_TMAP3IN))*(((A221)-(c_TMAP3IN))*((1000)-(c_TMAP3OUT))+IF(((1000)-(c_TMAP3OUT))&gt;=0,1,-1)*QUOTIENT(((1000)-(c_TMAP3IN)),2))+2147483648,4294967296)-2147483648,((1000)-(c_TMAP3IN))*(((A221)-(c_TMAP3IN))*((1000)-(c_TMAP3OUT))+IF(((1000)-(c_TMAP3OUT))&gt;=0,1,-1)*QUOTIENT(((1000)-(c_TMAP3IN)),2)))&gt;=0,1,0)))</f>
        <v>35</v>
      </c>
      <c r="H221" s="7" t="str">
        <f aca="false">IF(A221&gt;=c_TFWD,IF(AND(A221&gt;=c_TMAP3IN,c_TMAP3IN&lt;1000),"Seg4 map3-100%",IF(AND(A221&gt;=c_TMAP2IN,c_TMAP3IN&gt;c_TMAP2IN),"Seg3 map2-map3",IF(AND(A221&gt;=c_TMAP1IN,c_TMAP2IN&gt;c_TMAP1IN),"Seg2 map1-map2","Seg1 TFWD-map1"))),IF(AND(A221=0,c_TCREEP&gt;0),"Creep",IF(AND(A221&lt;=c_TRNGMIN,A221&gt;=c_TRNGMAX,c_TRNGMIN-c_TRNGMAX&lt;&gt;0),"Regen ramp","Coast (0)")))</f>
        <v>Seg2 map1-map2</v>
      </c>
      <c r="I221" s="7" t="n">
        <f aca="false">IF(A221&gt;=c_TFWD,IF(AND(A221&gt;=c_TMAP3IN,c_TMAP3IN&lt;1000),G221,IF(AND(A221&gt;=c_TMAP2IN,c_TMAP3IN&gt;c_TMAP2IN),F221,IF(AND(A221&gt;=c_TMAP1IN,c_TMAP2IN&gt;c_TMAP1IN),E221,D221))),C221)</f>
        <v>116</v>
      </c>
      <c r="J221" s="7" t="str">
        <f aca="false">IF(I221&lt;-1090,"TOO LOW",IF(I221&gt;1090,"TOO HIGH",""))</f>
        <v/>
      </c>
      <c r="K221" s="15" t="n">
        <f aca="false">IF(J221&lt;&gt;"",0,IF(I221&gt;979,1000,I221))</f>
        <v>116</v>
      </c>
      <c r="L221" s="7" t="n">
        <f aca="false">K221/10</f>
        <v>11.6</v>
      </c>
    </row>
    <row r="222" customFormat="false" ht="15" hidden="false" customHeight="false" outlineLevel="0" collapsed="false">
      <c r="A222" s="7" t="n">
        <v>217</v>
      </c>
      <c r="B222" s="7" t="n">
        <f aca="false">A222/10</f>
        <v>21.7</v>
      </c>
      <c r="C222" s="7" t="n">
        <f aca="false">IF(AND(A222=0,c_TCREEP&gt;0),10*c_TCREEP,IF(AND(A222&lt;=c_TRNGMIN,A222&gt;=c_TRNGMAX,c_TRNGMIN-c_TRNGMAX&lt;&gt;0),-10*c_TMINRN+QUOTIENT((c_TMAXRN-c_TMINRN)*(100-QUOTIENT((A222-c_TRNGMAX)*100,c_TRNGMIN-c_TRNGMAX)),-10),0))</f>
        <v>0</v>
      </c>
      <c r="D222" s="7" t="n">
        <f aca="false">IF(((c_TMAP1IN)-(c_TFWD))=0,(0)+QUOTIENT(((c_TMAP1OUT)-(0)),2),QUOTIENT((((A222)-(c_TFWD))*((c_TMAP1OUT)-(0))+IF(((c_TMAP1OUT)-(0))&gt;=0,1,-1)*QUOTIENT(((c_TMAP1IN)-(c_TFWD)),2)),((c_TMAP1IN)-(c_TFWD)))+(0)+IF(((c_TMAP1OUT)-(0))&gt;=0,IF(IF(o_WRAP=1,MOD(((c_TMAP1IN)-(c_TFWD))*(((A222)-(c_TFWD))*((c_TMAP1OUT)-(0))+IF(((c_TMAP1OUT)-(0))&gt;=0,1,-1)*QUOTIENT(((c_TMAP1IN)-(c_TFWD)),2))+2147483648,4294967296)-2147483648,((c_TMAP1IN)-(c_TFWD))*(((A222)-(c_TFWD))*((c_TMAP1OUT)-(0))+IF(((c_TMAP1OUT)-(0))&gt;=0,1,-1)*QUOTIENT(((c_TMAP1IN)-(c_TFWD)),2)))&lt;0,-1,0),IF(IF(o_WRAP=1,MOD(((c_TMAP1IN)-(c_TFWD))*(((A222)-(c_TFWD))*((c_TMAP1OUT)-(0))+IF(((c_TMAP1OUT)-(0))&gt;=0,1,-1)*QUOTIENT(((c_TMAP1IN)-(c_TFWD)),2))+2147483648,4294967296)-2147483648,((c_TMAP1IN)-(c_TFWD))*(((A222)-(c_TFWD))*((c_TMAP1OUT)-(0))+IF(((c_TMAP1OUT)-(0))&gt;=0,1,-1)*QUOTIENT(((c_TMAP1IN)-(c_TFWD)),2)))&gt;=0,1,0)))</f>
        <v>161</v>
      </c>
      <c r="E222" s="7" t="n">
        <f aca="false">IF(((c_TMAP2IN)-(c_TMAP1IN))=0,(c_TMAP1OUT)+QUOTIENT(((c_TMAP2OUT)-(c_TMAP1OUT)),2),QUOTIENT((((A222)-(c_TMAP1IN))*((c_TMAP2OUT)-(c_TMAP1OUT))+IF(((c_TMAP2OUT)-(c_TMAP1OUT))&gt;=0,1,-1)*QUOTIENT(((c_TMAP2IN)-(c_TMAP1IN)),2)),((c_TMAP2IN)-(c_TMAP1IN)))+(c_TMAP1OUT)+IF(((c_TMAP2OUT)-(c_TMAP1OUT))&gt;=0,IF(IF(o_WRAP=1,MOD(((c_TMAP2IN)-(c_TMAP1IN))*(((A222)-(c_TMAP1IN))*((c_TMAP2OUT)-(c_TMAP1OUT))+IF(((c_TMAP2OUT)-(c_TMAP1OUT))&gt;=0,1,-1)*QUOTIENT(((c_TMAP2IN)-(c_TMAP1IN)),2))+2147483648,4294967296)-2147483648,((c_TMAP2IN)-(c_TMAP1IN))*(((A222)-(c_TMAP1IN))*((c_TMAP2OUT)-(c_TMAP1OUT))+IF(((c_TMAP2OUT)-(c_TMAP1OUT))&gt;=0,1,-1)*QUOTIENT(((c_TMAP2IN)-(c_TMAP1IN)),2)))&lt;0,-1,0),IF(IF(o_WRAP=1,MOD(((c_TMAP2IN)-(c_TMAP1IN))*(((A222)-(c_TMAP1IN))*((c_TMAP2OUT)-(c_TMAP1OUT))+IF(((c_TMAP2OUT)-(c_TMAP1OUT))&gt;=0,1,-1)*QUOTIENT(((c_TMAP2IN)-(c_TMAP1IN)),2))+2147483648,4294967296)-2147483648,((c_TMAP2IN)-(c_TMAP1IN))*(((A222)-(c_TMAP1IN))*((c_TMAP2OUT)-(c_TMAP1OUT))+IF(((c_TMAP2OUT)-(c_TMAP1OUT))&gt;=0,1,-1)*QUOTIENT(((c_TMAP2IN)-(c_TMAP1IN)),2)))&gt;=0,1,0)))</f>
        <v>117</v>
      </c>
      <c r="F222" s="7" t="n">
        <f aca="false">IF(((c_TMAP3IN)-(c_TMAP2IN))=0,(c_TMAP2OUT)+QUOTIENT(((c_TMAP3OUT)-(c_TMAP2OUT)),2),QUOTIENT((((A222)-(c_TMAP2IN))*((c_TMAP3OUT)-(c_TMAP2OUT))+IF(((c_TMAP3OUT)-(c_TMAP2OUT))&gt;=0,1,-1)*QUOTIENT(((c_TMAP3IN)-(c_TMAP2IN)),2)),((c_TMAP3IN)-(c_TMAP2IN)))+(c_TMAP2OUT)+IF(((c_TMAP3OUT)-(c_TMAP2OUT))&gt;=0,IF(IF(o_WRAP=1,MOD(((c_TMAP3IN)-(c_TMAP2IN))*(((A222)-(c_TMAP2IN))*((c_TMAP3OUT)-(c_TMAP2OUT))+IF(((c_TMAP3OUT)-(c_TMAP2OUT))&gt;=0,1,-1)*QUOTIENT(((c_TMAP3IN)-(c_TMAP2IN)),2))+2147483648,4294967296)-2147483648,((c_TMAP3IN)-(c_TMAP2IN))*(((A222)-(c_TMAP2IN))*((c_TMAP3OUT)-(c_TMAP2OUT))+IF(((c_TMAP3OUT)-(c_TMAP2OUT))&gt;=0,1,-1)*QUOTIENT(((c_TMAP3IN)-(c_TMAP2IN)),2)))&lt;0,-1,0),IF(IF(o_WRAP=1,MOD(((c_TMAP3IN)-(c_TMAP2IN))*(((A222)-(c_TMAP2IN))*((c_TMAP3OUT)-(c_TMAP2OUT))+IF(((c_TMAP3OUT)-(c_TMAP2OUT))&gt;=0,1,-1)*QUOTIENT(((c_TMAP3IN)-(c_TMAP2IN)),2))+2147483648,4294967296)-2147483648,((c_TMAP3IN)-(c_TMAP2IN))*(((A222)-(c_TMAP2IN))*((c_TMAP3OUT)-(c_TMAP2OUT))+IF(((c_TMAP3OUT)-(c_TMAP2OUT))&gt;=0,1,-1)*QUOTIENT(((c_TMAP3IN)-(c_TMAP2IN)),2)))&gt;=0,1,0)))</f>
        <v>107</v>
      </c>
      <c r="G222" s="7" t="n">
        <f aca="false">IF(((1000)-(c_TMAP3IN))=0,(c_TMAP3OUT)+QUOTIENT(((1000)-(c_TMAP3OUT)),2),QUOTIENT((((A222)-(c_TMAP3IN))*((1000)-(c_TMAP3OUT))+IF(((1000)-(c_TMAP3OUT))&gt;=0,1,-1)*QUOTIENT(((1000)-(c_TMAP3IN)),2)),((1000)-(c_TMAP3IN)))+(c_TMAP3OUT)+IF(((1000)-(c_TMAP3OUT))&gt;=0,IF(IF(o_WRAP=1,MOD(((1000)-(c_TMAP3IN))*(((A222)-(c_TMAP3IN))*((1000)-(c_TMAP3OUT))+IF(((1000)-(c_TMAP3OUT))&gt;=0,1,-1)*QUOTIENT(((1000)-(c_TMAP3IN)),2))+2147483648,4294967296)-2147483648,((1000)-(c_TMAP3IN))*(((A222)-(c_TMAP3IN))*((1000)-(c_TMAP3OUT))+IF(((1000)-(c_TMAP3OUT))&gt;=0,1,-1)*QUOTIENT(((1000)-(c_TMAP3IN)),2)))&lt;0,-1,0),IF(IF(o_WRAP=1,MOD(((1000)-(c_TMAP3IN))*(((A222)-(c_TMAP3IN))*((1000)-(c_TMAP3OUT))+IF(((1000)-(c_TMAP3OUT))&gt;=0,1,-1)*QUOTIENT(((1000)-(c_TMAP3IN)),2))+2147483648,4294967296)-2147483648,((1000)-(c_TMAP3IN))*(((A222)-(c_TMAP3IN))*((1000)-(c_TMAP3OUT))+IF(((1000)-(c_TMAP3OUT))&gt;=0,1,-1)*QUOTIENT(((1000)-(c_TMAP3IN)),2)))&gt;=0,1,0)))</f>
        <v>36</v>
      </c>
      <c r="H222" s="7" t="str">
        <f aca="false">IF(A222&gt;=c_TFWD,IF(AND(A222&gt;=c_TMAP3IN,c_TMAP3IN&lt;1000),"Seg4 map3-100%",IF(AND(A222&gt;=c_TMAP2IN,c_TMAP3IN&gt;c_TMAP2IN),"Seg3 map2-map3",IF(AND(A222&gt;=c_TMAP1IN,c_TMAP2IN&gt;c_TMAP1IN),"Seg2 map1-map2","Seg1 TFWD-map1"))),IF(AND(A222=0,c_TCREEP&gt;0),"Creep",IF(AND(A222&lt;=c_TRNGMIN,A222&gt;=c_TRNGMAX,c_TRNGMIN-c_TRNGMAX&lt;&gt;0),"Regen ramp","Coast (0)")))</f>
        <v>Seg2 map1-map2</v>
      </c>
      <c r="I222" s="7" t="n">
        <f aca="false">IF(A222&gt;=c_TFWD,IF(AND(A222&gt;=c_TMAP3IN,c_TMAP3IN&lt;1000),G222,IF(AND(A222&gt;=c_TMAP2IN,c_TMAP3IN&gt;c_TMAP2IN),F222,IF(AND(A222&gt;=c_TMAP1IN,c_TMAP2IN&gt;c_TMAP1IN),E222,D222))),C222)</f>
        <v>117</v>
      </c>
      <c r="J222" s="7" t="str">
        <f aca="false">IF(I222&lt;-1090,"TOO LOW",IF(I222&gt;1090,"TOO HIGH",""))</f>
        <v/>
      </c>
      <c r="K222" s="15" t="n">
        <f aca="false">IF(J222&lt;&gt;"",0,IF(I222&gt;979,1000,I222))</f>
        <v>117</v>
      </c>
      <c r="L222" s="7" t="n">
        <f aca="false">K222/10</f>
        <v>11.7</v>
      </c>
    </row>
    <row r="223" customFormat="false" ht="15" hidden="false" customHeight="false" outlineLevel="0" collapsed="false">
      <c r="A223" s="7" t="n">
        <v>218</v>
      </c>
      <c r="B223" s="7" t="n">
        <f aca="false">A223/10</f>
        <v>21.8</v>
      </c>
      <c r="C223" s="7" t="n">
        <f aca="false">IF(AND(A223=0,c_TCREEP&gt;0),10*c_TCREEP,IF(AND(A223&lt;=c_TRNGMIN,A223&gt;=c_TRNGMAX,c_TRNGMIN-c_TRNGMAX&lt;&gt;0),-10*c_TMINRN+QUOTIENT((c_TMAXRN-c_TMINRN)*(100-QUOTIENT((A223-c_TRNGMAX)*100,c_TRNGMIN-c_TRNGMAX)),-10),0))</f>
        <v>0</v>
      </c>
      <c r="D223" s="7" t="n">
        <f aca="false">IF(((c_TMAP1IN)-(c_TFWD))=0,(0)+QUOTIENT(((c_TMAP1OUT)-(0)),2),QUOTIENT((((A223)-(c_TFWD))*((c_TMAP1OUT)-(0))+IF(((c_TMAP1OUT)-(0))&gt;=0,1,-1)*QUOTIENT(((c_TMAP1IN)-(c_TFWD)),2)),((c_TMAP1IN)-(c_TFWD)))+(0)+IF(((c_TMAP1OUT)-(0))&gt;=0,IF(IF(o_WRAP=1,MOD(((c_TMAP1IN)-(c_TFWD))*(((A223)-(c_TFWD))*((c_TMAP1OUT)-(0))+IF(((c_TMAP1OUT)-(0))&gt;=0,1,-1)*QUOTIENT(((c_TMAP1IN)-(c_TFWD)),2))+2147483648,4294967296)-2147483648,((c_TMAP1IN)-(c_TFWD))*(((A223)-(c_TFWD))*((c_TMAP1OUT)-(0))+IF(((c_TMAP1OUT)-(0))&gt;=0,1,-1)*QUOTIENT(((c_TMAP1IN)-(c_TFWD)),2)))&lt;0,-1,0),IF(IF(o_WRAP=1,MOD(((c_TMAP1IN)-(c_TFWD))*(((A223)-(c_TFWD))*((c_TMAP1OUT)-(0))+IF(((c_TMAP1OUT)-(0))&gt;=0,1,-1)*QUOTIENT(((c_TMAP1IN)-(c_TFWD)),2))+2147483648,4294967296)-2147483648,((c_TMAP1IN)-(c_TFWD))*(((A223)-(c_TFWD))*((c_TMAP1OUT)-(0))+IF(((c_TMAP1OUT)-(0))&gt;=0,1,-1)*QUOTIENT(((c_TMAP1IN)-(c_TFWD)),2)))&gt;=0,1,0)))</f>
        <v>162</v>
      </c>
      <c r="E223" s="7" t="n">
        <f aca="false">IF(((c_TMAP2IN)-(c_TMAP1IN))=0,(c_TMAP1OUT)+QUOTIENT(((c_TMAP2OUT)-(c_TMAP1OUT)),2),QUOTIENT((((A223)-(c_TMAP1IN))*((c_TMAP2OUT)-(c_TMAP1OUT))+IF(((c_TMAP2OUT)-(c_TMAP1OUT))&gt;=0,1,-1)*QUOTIENT(((c_TMAP2IN)-(c_TMAP1IN)),2)),((c_TMAP2IN)-(c_TMAP1IN)))+(c_TMAP1OUT)+IF(((c_TMAP2OUT)-(c_TMAP1OUT))&gt;=0,IF(IF(o_WRAP=1,MOD(((c_TMAP2IN)-(c_TMAP1IN))*(((A223)-(c_TMAP1IN))*((c_TMAP2OUT)-(c_TMAP1OUT))+IF(((c_TMAP2OUT)-(c_TMAP1OUT))&gt;=0,1,-1)*QUOTIENT(((c_TMAP2IN)-(c_TMAP1IN)),2))+2147483648,4294967296)-2147483648,((c_TMAP2IN)-(c_TMAP1IN))*(((A223)-(c_TMAP1IN))*((c_TMAP2OUT)-(c_TMAP1OUT))+IF(((c_TMAP2OUT)-(c_TMAP1OUT))&gt;=0,1,-1)*QUOTIENT(((c_TMAP2IN)-(c_TMAP1IN)),2)))&lt;0,-1,0),IF(IF(o_WRAP=1,MOD(((c_TMAP2IN)-(c_TMAP1IN))*(((A223)-(c_TMAP1IN))*((c_TMAP2OUT)-(c_TMAP1OUT))+IF(((c_TMAP2OUT)-(c_TMAP1OUT))&gt;=0,1,-1)*QUOTIENT(((c_TMAP2IN)-(c_TMAP1IN)),2))+2147483648,4294967296)-2147483648,((c_TMAP2IN)-(c_TMAP1IN))*(((A223)-(c_TMAP1IN))*((c_TMAP2OUT)-(c_TMAP1OUT))+IF(((c_TMAP2OUT)-(c_TMAP1OUT))&gt;=0,1,-1)*QUOTIENT(((c_TMAP2IN)-(c_TMAP1IN)),2)))&gt;=0,1,0)))</f>
        <v>117</v>
      </c>
      <c r="F223" s="7" t="n">
        <f aca="false">IF(((c_TMAP3IN)-(c_TMAP2IN))=0,(c_TMAP2OUT)+QUOTIENT(((c_TMAP3OUT)-(c_TMAP2OUT)),2),QUOTIENT((((A223)-(c_TMAP2IN))*((c_TMAP3OUT)-(c_TMAP2OUT))+IF(((c_TMAP3OUT)-(c_TMAP2OUT))&gt;=0,1,-1)*QUOTIENT(((c_TMAP3IN)-(c_TMAP2IN)),2)),((c_TMAP3IN)-(c_TMAP2IN)))+(c_TMAP2OUT)+IF(((c_TMAP3OUT)-(c_TMAP2OUT))&gt;=0,IF(IF(o_WRAP=1,MOD(((c_TMAP3IN)-(c_TMAP2IN))*(((A223)-(c_TMAP2IN))*((c_TMAP3OUT)-(c_TMAP2OUT))+IF(((c_TMAP3OUT)-(c_TMAP2OUT))&gt;=0,1,-1)*QUOTIENT(((c_TMAP3IN)-(c_TMAP2IN)),2))+2147483648,4294967296)-2147483648,((c_TMAP3IN)-(c_TMAP2IN))*(((A223)-(c_TMAP2IN))*((c_TMAP3OUT)-(c_TMAP2OUT))+IF(((c_TMAP3OUT)-(c_TMAP2OUT))&gt;=0,1,-1)*QUOTIENT(((c_TMAP3IN)-(c_TMAP2IN)),2)))&lt;0,-1,0),IF(IF(o_WRAP=1,MOD(((c_TMAP3IN)-(c_TMAP2IN))*(((A223)-(c_TMAP2IN))*((c_TMAP3OUT)-(c_TMAP2OUT))+IF(((c_TMAP3OUT)-(c_TMAP2OUT))&gt;=0,1,-1)*QUOTIENT(((c_TMAP3IN)-(c_TMAP2IN)),2))+2147483648,4294967296)-2147483648,((c_TMAP3IN)-(c_TMAP2IN))*(((A223)-(c_TMAP2IN))*((c_TMAP3OUT)-(c_TMAP2OUT))+IF(((c_TMAP3OUT)-(c_TMAP2OUT))&gt;=0,1,-1)*QUOTIENT(((c_TMAP3IN)-(c_TMAP2IN)),2)))&gt;=0,1,0)))</f>
        <v>108</v>
      </c>
      <c r="G223" s="7" t="n">
        <f aca="false">IF(((1000)-(c_TMAP3IN))=0,(c_TMAP3OUT)+QUOTIENT(((1000)-(c_TMAP3OUT)),2),QUOTIENT((((A223)-(c_TMAP3IN))*((1000)-(c_TMAP3OUT))+IF(((1000)-(c_TMAP3OUT))&gt;=0,1,-1)*QUOTIENT(((1000)-(c_TMAP3IN)),2)),((1000)-(c_TMAP3IN)))+(c_TMAP3OUT)+IF(((1000)-(c_TMAP3OUT))&gt;=0,IF(IF(o_WRAP=1,MOD(((1000)-(c_TMAP3IN))*(((A223)-(c_TMAP3IN))*((1000)-(c_TMAP3OUT))+IF(((1000)-(c_TMAP3OUT))&gt;=0,1,-1)*QUOTIENT(((1000)-(c_TMAP3IN)),2))+2147483648,4294967296)-2147483648,((1000)-(c_TMAP3IN))*(((A223)-(c_TMAP3IN))*((1000)-(c_TMAP3OUT))+IF(((1000)-(c_TMAP3OUT))&gt;=0,1,-1)*QUOTIENT(((1000)-(c_TMAP3IN)),2)))&lt;0,-1,0),IF(IF(o_WRAP=1,MOD(((1000)-(c_TMAP3IN))*(((A223)-(c_TMAP3IN))*((1000)-(c_TMAP3OUT))+IF(((1000)-(c_TMAP3OUT))&gt;=0,1,-1)*QUOTIENT(((1000)-(c_TMAP3IN)),2))+2147483648,4294967296)-2147483648,((1000)-(c_TMAP3IN))*(((A223)-(c_TMAP3IN))*((1000)-(c_TMAP3OUT))+IF(((1000)-(c_TMAP3OUT))&gt;=0,1,-1)*QUOTIENT(((1000)-(c_TMAP3IN)),2)))&gt;=0,1,0)))</f>
        <v>38</v>
      </c>
      <c r="H223" s="7" t="str">
        <f aca="false">IF(A223&gt;=c_TFWD,IF(AND(A223&gt;=c_TMAP3IN,c_TMAP3IN&lt;1000),"Seg4 map3-100%",IF(AND(A223&gt;=c_TMAP2IN,c_TMAP3IN&gt;c_TMAP2IN),"Seg3 map2-map3",IF(AND(A223&gt;=c_TMAP1IN,c_TMAP2IN&gt;c_TMAP1IN),"Seg2 map1-map2","Seg1 TFWD-map1"))),IF(AND(A223=0,c_TCREEP&gt;0),"Creep",IF(AND(A223&lt;=c_TRNGMIN,A223&gt;=c_TRNGMAX,c_TRNGMIN-c_TRNGMAX&lt;&gt;0),"Regen ramp","Coast (0)")))</f>
        <v>Seg2 map1-map2</v>
      </c>
      <c r="I223" s="7" t="n">
        <f aca="false">IF(A223&gt;=c_TFWD,IF(AND(A223&gt;=c_TMAP3IN,c_TMAP3IN&lt;1000),G223,IF(AND(A223&gt;=c_TMAP2IN,c_TMAP3IN&gt;c_TMAP2IN),F223,IF(AND(A223&gt;=c_TMAP1IN,c_TMAP2IN&gt;c_TMAP1IN),E223,D223))),C223)</f>
        <v>117</v>
      </c>
      <c r="J223" s="7" t="str">
        <f aca="false">IF(I223&lt;-1090,"TOO LOW",IF(I223&gt;1090,"TOO HIGH",""))</f>
        <v/>
      </c>
      <c r="K223" s="15" t="n">
        <f aca="false">IF(J223&lt;&gt;"",0,IF(I223&gt;979,1000,I223))</f>
        <v>117</v>
      </c>
      <c r="L223" s="7" t="n">
        <f aca="false">K223/10</f>
        <v>11.7</v>
      </c>
    </row>
    <row r="224" customFormat="false" ht="15" hidden="false" customHeight="false" outlineLevel="0" collapsed="false">
      <c r="A224" s="7" t="n">
        <v>219</v>
      </c>
      <c r="B224" s="7" t="n">
        <f aca="false">A224/10</f>
        <v>21.9</v>
      </c>
      <c r="C224" s="7" t="n">
        <f aca="false">IF(AND(A224=0,c_TCREEP&gt;0),10*c_TCREEP,IF(AND(A224&lt;=c_TRNGMIN,A224&gt;=c_TRNGMAX,c_TRNGMIN-c_TRNGMAX&lt;&gt;0),-10*c_TMINRN+QUOTIENT((c_TMAXRN-c_TMINRN)*(100-QUOTIENT((A224-c_TRNGMAX)*100,c_TRNGMIN-c_TRNGMAX)),-10),0))</f>
        <v>0</v>
      </c>
      <c r="D224" s="7" t="n">
        <f aca="false">IF(((c_TMAP1IN)-(c_TFWD))=0,(0)+QUOTIENT(((c_TMAP1OUT)-(0)),2),QUOTIENT((((A224)-(c_TFWD))*((c_TMAP1OUT)-(0))+IF(((c_TMAP1OUT)-(0))&gt;=0,1,-1)*QUOTIENT(((c_TMAP1IN)-(c_TFWD)),2)),((c_TMAP1IN)-(c_TFWD)))+(0)+IF(((c_TMAP1OUT)-(0))&gt;=0,IF(IF(o_WRAP=1,MOD(((c_TMAP1IN)-(c_TFWD))*(((A224)-(c_TFWD))*((c_TMAP1OUT)-(0))+IF(((c_TMAP1OUT)-(0))&gt;=0,1,-1)*QUOTIENT(((c_TMAP1IN)-(c_TFWD)),2))+2147483648,4294967296)-2147483648,((c_TMAP1IN)-(c_TFWD))*(((A224)-(c_TFWD))*((c_TMAP1OUT)-(0))+IF(((c_TMAP1OUT)-(0))&gt;=0,1,-1)*QUOTIENT(((c_TMAP1IN)-(c_TFWD)),2)))&lt;0,-1,0),IF(IF(o_WRAP=1,MOD(((c_TMAP1IN)-(c_TFWD))*(((A224)-(c_TFWD))*((c_TMAP1OUT)-(0))+IF(((c_TMAP1OUT)-(0))&gt;=0,1,-1)*QUOTIENT(((c_TMAP1IN)-(c_TFWD)),2))+2147483648,4294967296)-2147483648,((c_TMAP1IN)-(c_TFWD))*(((A224)-(c_TFWD))*((c_TMAP1OUT)-(0))+IF(((c_TMAP1OUT)-(0))&gt;=0,1,-1)*QUOTIENT(((c_TMAP1IN)-(c_TFWD)),2)))&gt;=0,1,0)))</f>
        <v>163</v>
      </c>
      <c r="E224" s="7" t="n">
        <f aca="false">IF(((c_TMAP2IN)-(c_TMAP1IN))=0,(c_TMAP1OUT)+QUOTIENT(((c_TMAP2OUT)-(c_TMAP1OUT)),2),QUOTIENT((((A224)-(c_TMAP1IN))*((c_TMAP2OUT)-(c_TMAP1OUT))+IF(((c_TMAP2OUT)-(c_TMAP1OUT))&gt;=0,1,-1)*QUOTIENT(((c_TMAP2IN)-(c_TMAP1IN)),2)),((c_TMAP2IN)-(c_TMAP1IN)))+(c_TMAP1OUT)+IF(((c_TMAP2OUT)-(c_TMAP1OUT))&gt;=0,IF(IF(o_WRAP=1,MOD(((c_TMAP2IN)-(c_TMAP1IN))*(((A224)-(c_TMAP1IN))*((c_TMAP2OUT)-(c_TMAP1OUT))+IF(((c_TMAP2OUT)-(c_TMAP1OUT))&gt;=0,1,-1)*QUOTIENT(((c_TMAP2IN)-(c_TMAP1IN)),2))+2147483648,4294967296)-2147483648,((c_TMAP2IN)-(c_TMAP1IN))*(((A224)-(c_TMAP1IN))*((c_TMAP2OUT)-(c_TMAP1OUT))+IF(((c_TMAP2OUT)-(c_TMAP1OUT))&gt;=0,1,-1)*QUOTIENT(((c_TMAP2IN)-(c_TMAP1IN)),2)))&lt;0,-1,0),IF(IF(o_WRAP=1,MOD(((c_TMAP2IN)-(c_TMAP1IN))*(((A224)-(c_TMAP1IN))*((c_TMAP2OUT)-(c_TMAP1OUT))+IF(((c_TMAP2OUT)-(c_TMAP1OUT))&gt;=0,1,-1)*QUOTIENT(((c_TMAP2IN)-(c_TMAP1IN)),2))+2147483648,4294967296)-2147483648,((c_TMAP2IN)-(c_TMAP1IN))*(((A224)-(c_TMAP1IN))*((c_TMAP2OUT)-(c_TMAP1OUT))+IF(((c_TMAP2OUT)-(c_TMAP1OUT))&gt;=0,1,-1)*QUOTIENT(((c_TMAP2IN)-(c_TMAP1IN)),2)))&gt;=0,1,0)))</f>
        <v>118</v>
      </c>
      <c r="F224" s="7" t="n">
        <f aca="false">IF(((c_TMAP3IN)-(c_TMAP2IN))=0,(c_TMAP2OUT)+QUOTIENT(((c_TMAP3OUT)-(c_TMAP2OUT)),2),QUOTIENT((((A224)-(c_TMAP2IN))*((c_TMAP3OUT)-(c_TMAP2OUT))+IF(((c_TMAP3OUT)-(c_TMAP2OUT))&gt;=0,1,-1)*QUOTIENT(((c_TMAP3IN)-(c_TMAP2IN)),2)),((c_TMAP3IN)-(c_TMAP2IN)))+(c_TMAP2OUT)+IF(((c_TMAP3OUT)-(c_TMAP2OUT))&gt;=0,IF(IF(o_WRAP=1,MOD(((c_TMAP3IN)-(c_TMAP2IN))*(((A224)-(c_TMAP2IN))*((c_TMAP3OUT)-(c_TMAP2OUT))+IF(((c_TMAP3OUT)-(c_TMAP2OUT))&gt;=0,1,-1)*QUOTIENT(((c_TMAP3IN)-(c_TMAP2IN)),2))+2147483648,4294967296)-2147483648,((c_TMAP3IN)-(c_TMAP2IN))*(((A224)-(c_TMAP2IN))*((c_TMAP3OUT)-(c_TMAP2OUT))+IF(((c_TMAP3OUT)-(c_TMAP2OUT))&gt;=0,1,-1)*QUOTIENT(((c_TMAP3IN)-(c_TMAP2IN)),2)))&lt;0,-1,0),IF(IF(o_WRAP=1,MOD(((c_TMAP3IN)-(c_TMAP2IN))*(((A224)-(c_TMAP2IN))*((c_TMAP3OUT)-(c_TMAP2OUT))+IF(((c_TMAP3OUT)-(c_TMAP2OUT))&gt;=0,1,-1)*QUOTIENT(((c_TMAP3IN)-(c_TMAP2IN)),2))+2147483648,4294967296)-2147483648,((c_TMAP3IN)-(c_TMAP2IN))*(((A224)-(c_TMAP2IN))*((c_TMAP3OUT)-(c_TMAP2OUT))+IF(((c_TMAP3OUT)-(c_TMAP2OUT))&gt;=0,1,-1)*QUOTIENT(((c_TMAP3IN)-(c_TMAP2IN)),2)))&gt;=0,1,0)))</f>
        <v>108</v>
      </c>
      <c r="G224" s="7" t="n">
        <f aca="false">IF(((1000)-(c_TMAP3IN))=0,(c_TMAP3OUT)+QUOTIENT(((1000)-(c_TMAP3OUT)),2),QUOTIENT((((A224)-(c_TMAP3IN))*((1000)-(c_TMAP3OUT))+IF(((1000)-(c_TMAP3OUT))&gt;=0,1,-1)*QUOTIENT(((1000)-(c_TMAP3IN)),2)),((1000)-(c_TMAP3IN)))+(c_TMAP3OUT)+IF(((1000)-(c_TMAP3OUT))&gt;=0,IF(IF(o_WRAP=1,MOD(((1000)-(c_TMAP3IN))*(((A224)-(c_TMAP3IN))*((1000)-(c_TMAP3OUT))+IF(((1000)-(c_TMAP3OUT))&gt;=0,1,-1)*QUOTIENT(((1000)-(c_TMAP3IN)),2))+2147483648,4294967296)-2147483648,((1000)-(c_TMAP3IN))*(((A224)-(c_TMAP3IN))*((1000)-(c_TMAP3OUT))+IF(((1000)-(c_TMAP3OUT))&gt;=0,1,-1)*QUOTIENT(((1000)-(c_TMAP3IN)),2)))&lt;0,-1,0),IF(IF(o_WRAP=1,MOD(((1000)-(c_TMAP3IN))*(((A224)-(c_TMAP3IN))*((1000)-(c_TMAP3OUT))+IF(((1000)-(c_TMAP3OUT))&gt;=0,1,-1)*QUOTIENT(((1000)-(c_TMAP3IN)),2))+2147483648,4294967296)-2147483648,((1000)-(c_TMAP3IN))*(((A224)-(c_TMAP3IN))*((1000)-(c_TMAP3OUT))+IF(((1000)-(c_TMAP3OUT))&gt;=0,1,-1)*QUOTIENT(((1000)-(c_TMAP3IN)),2)))&gt;=0,1,0)))</f>
        <v>39</v>
      </c>
      <c r="H224" s="7" t="str">
        <f aca="false">IF(A224&gt;=c_TFWD,IF(AND(A224&gt;=c_TMAP3IN,c_TMAP3IN&lt;1000),"Seg4 map3-100%",IF(AND(A224&gt;=c_TMAP2IN,c_TMAP3IN&gt;c_TMAP2IN),"Seg3 map2-map3",IF(AND(A224&gt;=c_TMAP1IN,c_TMAP2IN&gt;c_TMAP1IN),"Seg2 map1-map2","Seg1 TFWD-map1"))),IF(AND(A224=0,c_TCREEP&gt;0),"Creep",IF(AND(A224&lt;=c_TRNGMIN,A224&gt;=c_TRNGMAX,c_TRNGMIN-c_TRNGMAX&lt;&gt;0),"Regen ramp","Coast (0)")))</f>
        <v>Seg2 map1-map2</v>
      </c>
      <c r="I224" s="7" t="n">
        <f aca="false">IF(A224&gt;=c_TFWD,IF(AND(A224&gt;=c_TMAP3IN,c_TMAP3IN&lt;1000),G224,IF(AND(A224&gt;=c_TMAP2IN,c_TMAP3IN&gt;c_TMAP2IN),F224,IF(AND(A224&gt;=c_TMAP1IN,c_TMAP2IN&gt;c_TMAP1IN),E224,D224))),C224)</f>
        <v>118</v>
      </c>
      <c r="J224" s="7" t="str">
        <f aca="false">IF(I224&lt;-1090,"TOO LOW",IF(I224&gt;1090,"TOO HIGH",""))</f>
        <v/>
      </c>
      <c r="K224" s="15" t="n">
        <f aca="false">IF(J224&lt;&gt;"",0,IF(I224&gt;979,1000,I224))</f>
        <v>118</v>
      </c>
      <c r="L224" s="7" t="n">
        <f aca="false">K224/10</f>
        <v>11.8</v>
      </c>
    </row>
    <row r="225" customFormat="false" ht="15" hidden="false" customHeight="false" outlineLevel="0" collapsed="false">
      <c r="A225" s="7" t="n">
        <v>220</v>
      </c>
      <c r="B225" s="7" t="n">
        <f aca="false">A225/10</f>
        <v>22</v>
      </c>
      <c r="C225" s="7" t="n">
        <f aca="false">IF(AND(A225=0,c_TCREEP&gt;0),10*c_TCREEP,IF(AND(A225&lt;=c_TRNGMIN,A225&gt;=c_TRNGMAX,c_TRNGMIN-c_TRNGMAX&lt;&gt;0),-10*c_TMINRN+QUOTIENT((c_TMAXRN-c_TMINRN)*(100-QUOTIENT((A225-c_TRNGMAX)*100,c_TRNGMIN-c_TRNGMAX)),-10),0))</f>
        <v>0</v>
      </c>
      <c r="D225" s="7" t="n">
        <f aca="false">IF(((c_TMAP1IN)-(c_TFWD))=0,(0)+QUOTIENT(((c_TMAP1OUT)-(0)),2),QUOTIENT((((A225)-(c_TFWD))*((c_TMAP1OUT)-(0))+IF(((c_TMAP1OUT)-(0))&gt;=0,1,-1)*QUOTIENT(((c_TMAP1IN)-(c_TFWD)),2)),((c_TMAP1IN)-(c_TFWD)))+(0)+IF(((c_TMAP1OUT)-(0))&gt;=0,IF(IF(o_WRAP=1,MOD(((c_TMAP1IN)-(c_TFWD))*(((A225)-(c_TFWD))*((c_TMAP1OUT)-(0))+IF(((c_TMAP1OUT)-(0))&gt;=0,1,-1)*QUOTIENT(((c_TMAP1IN)-(c_TFWD)),2))+2147483648,4294967296)-2147483648,((c_TMAP1IN)-(c_TFWD))*(((A225)-(c_TFWD))*((c_TMAP1OUT)-(0))+IF(((c_TMAP1OUT)-(0))&gt;=0,1,-1)*QUOTIENT(((c_TMAP1IN)-(c_TFWD)),2)))&lt;0,-1,0),IF(IF(o_WRAP=1,MOD(((c_TMAP1IN)-(c_TFWD))*(((A225)-(c_TFWD))*((c_TMAP1OUT)-(0))+IF(((c_TMAP1OUT)-(0))&gt;=0,1,-1)*QUOTIENT(((c_TMAP1IN)-(c_TFWD)),2))+2147483648,4294967296)-2147483648,((c_TMAP1IN)-(c_TFWD))*(((A225)-(c_TFWD))*((c_TMAP1OUT)-(0))+IF(((c_TMAP1OUT)-(0))&gt;=0,1,-1)*QUOTIENT(((c_TMAP1IN)-(c_TFWD)),2)))&gt;=0,1,0)))</f>
        <v>163</v>
      </c>
      <c r="E225" s="7" t="n">
        <f aca="false">IF(((c_TMAP2IN)-(c_TMAP1IN))=0,(c_TMAP1OUT)+QUOTIENT(((c_TMAP2OUT)-(c_TMAP1OUT)),2),QUOTIENT((((A225)-(c_TMAP1IN))*((c_TMAP2OUT)-(c_TMAP1OUT))+IF(((c_TMAP2OUT)-(c_TMAP1OUT))&gt;=0,1,-1)*QUOTIENT(((c_TMAP2IN)-(c_TMAP1IN)),2)),((c_TMAP2IN)-(c_TMAP1IN)))+(c_TMAP1OUT)+IF(((c_TMAP2OUT)-(c_TMAP1OUT))&gt;=0,IF(IF(o_WRAP=1,MOD(((c_TMAP2IN)-(c_TMAP1IN))*(((A225)-(c_TMAP1IN))*((c_TMAP2OUT)-(c_TMAP1OUT))+IF(((c_TMAP2OUT)-(c_TMAP1OUT))&gt;=0,1,-1)*QUOTIENT(((c_TMAP2IN)-(c_TMAP1IN)),2))+2147483648,4294967296)-2147483648,((c_TMAP2IN)-(c_TMAP1IN))*(((A225)-(c_TMAP1IN))*((c_TMAP2OUT)-(c_TMAP1OUT))+IF(((c_TMAP2OUT)-(c_TMAP1OUT))&gt;=0,1,-1)*QUOTIENT(((c_TMAP2IN)-(c_TMAP1IN)),2)))&lt;0,-1,0),IF(IF(o_WRAP=1,MOD(((c_TMAP2IN)-(c_TMAP1IN))*(((A225)-(c_TMAP1IN))*((c_TMAP2OUT)-(c_TMAP1OUT))+IF(((c_TMAP2OUT)-(c_TMAP1OUT))&gt;=0,1,-1)*QUOTIENT(((c_TMAP2IN)-(c_TMAP1IN)),2))+2147483648,4294967296)-2147483648,((c_TMAP2IN)-(c_TMAP1IN))*(((A225)-(c_TMAP1IN))*((c_TMAP2OUT)-(c_TMAP1OUT))+IF(((c_TMAP2OUT)-(c_TMAP1OUT))&gt;=0,1,-1)*QUOTIENT(((c_TMAP2IN)-(c_TMAP1IN)),2)))&gt;=0,1,0)))</f>
        <v>118</v>
      </c>
      <c r="F225" s="7" t="n">
        <f aca="false">IF(((c_TMAP3IN)-(c_TMAP2IN))=0,(c_TMAP2OUT)+QUOTIENT(((c_TMAP3OUT)-(c_TMAP2OUT)),2),QUOTIENT((((A225)-(c_TMAP2IN))*((c_TMAP3OUT)-(c_TMAP2OUT))+IF(((c_TMAP3OUT)-(c_TMAP2OUT))&gt;=0,1,-1)*QUOTIENT(((c_TMAP3IN)-(c_TMAP2IN)),2)),((c_TMAP3IN)-(c_TMAP2IN)))+(c_TMAP2OUT)+IF(((c_TMAP3OUT)-(c_TMAP2OUT))&gt;=0,IF(IF(o_WRAP=1,MOD(((c_TMAP3IN)-(c_TMAP2IN))*(((A225)-(c_TMAP2IN))*((c_TMAP3OUT)-(c_TMAP2OUT))+IF(((c_TMAP3OUT)-(c_TMAP2OUT))&gt;=0,1,-1)*QUOTIENT(((c_TMAP3IN)-(c_TMAP2IN)),2))+2147483648,4294967296)-2147483648,((c_TMAP3IN)-(c_TMAP2IN))*(((A225)-(c_TMAP2IN))*((c_TMAP3OUT)-(c_TMAP2OUT))+IF(((c_TMAP3OUT)-(c_TMAP2OUT))&gt;=0,1,-1)*QUOTIENT(((c_TMAP3IN)-(c_TMAP2IN)),2)))&lt;0,-1,0),IF(IF(o_WRAP=1,MOD(((c_TMAP3IN)-(c_TMAP2IN))*(((A225)-(c_TMAP2IN))*((c_TMAP3OUT)-(c_TMAP2OUT))+IF(((c_TMAP3OUT)-(c_TMAP2OUT))&gt;=0,1,-1)*QUOTIENT(((c_TMAP3IN)-(c_TMAP2IN)),2))+2147483648,4294967296)-2147483648,((c_TMAP3IN)-(c_TMAP2IN))*(((A225)-(c_TMAP2IN))*((c_TMAP3OUT)-(c_TMAP2OUT))+IF(((c_TMAP3OUT)-(c_TMAP2OUT))&gt;=0,1,-1)*QUOTIENT(((c_TMAP3IN)-(c_TMAP2IN)),2)))&gt;=0,1,0)))</f>
        <v>109</v>
      </c>
      <c r="G225" s="7" t="n">
        <f aca="false">IF(((1000)-(c_TMAP3IN))=0,(c_TMAP3OUT)+QUOTIENT(((1000)-(c_TMAP3OUT)),2),QUOTIENT((((A225)-(c_TMAP3IN))*((1000)-(c_TMAP3OUT))+IF(((1000)-(c_TMAP3OUT))&gt;=0,1,-1)*QUOTIENT(((1000)-(c_TMAP3IN)),2)),((1000)-(c_TMAP3IN)))+(c_TMAP3OUT)+IF(((1000)-(c_TMAP3OUT))&gt;=0,IF(IF(o_WRAP=1,MOD(((1000)-(c_TMAP3IN))*(((A225)-(c_TMAP3IN))*((1000)-(c_TMAP3OUT))+IF(((1000)-(c_TMAP3OUT))&gt;=0,1,-1)*QUOTIENT(((1000)-(c_TMAP3IN)),2))+2147483648,4294967296)-2147483648,((1000)-(c_TMAP3IN))*(((A225)-(c_TMAP3IN))*((1000)-(c_TMAP3OUT))+IF(((1000)-(c_TMAP3OUT))&gt;=0,1,-1)*QUOTIENT(((1000)-(c_TMAP3IN)),2)))&lt;0,-1,0),IF(IF(o_WRAP=1,MOD(((1000)-(c_TMAP3IN))*(((A225)-(c_TMAP3IN))*((1000)-(c_TMAP3OUT))+IF(((1000)-(c_TMAP3OUT))&gt;=0,1,-1)*QUOTIENT(((1000)-(c_TMAP3IN)),2))+2147483648,4294967296)-2147483648,((1000)-(c_TMAP3IN))*(((A225)-(c_TMAP3IN))*((1000)-(c_TMAP3OUT))+IF(((1000)-(c_TMAP3OUT))&gt;=0,1,-1)*QUOTIENT(((1000)-(c_TMAP3IN)),2)))&gt;=0,1,0)))</f>
        <v>40</v>
      </c>
      <c r="H225" s="7" t="str">
        <f aca="false">IF(A225&gt;=c_TFWD,IF(AND(A225&gt;=c_TMAP3IN,c_TMAP3IN&lt;1000),"Seg4 map3-100%",IF(AND(A225&gt;=c_TMAP2IN,c_TMAP3IN&gt;c_TMAP2IN),"Seg3 map2-map3",IF(AND(A225&gt;=c_TMAP1IN,c_TMAP2IN&gt;c_TMAP1IN),"Seg2 map1-map2","Seg1 TFWD-map1"))),IF(AND(A225=0,c_TCREEP&gt;0),"Creep",IF(AND(A225&lt;=c_TRNGMIN,A225&gt;=c_TRNGMAX,c_TRNGMIN-c_TRNGMAX&lt;&gt;0),"Regen ramp","Coast (0)")))</f>
        <v>Seg2 map1-map2</v>
      </c>
      <c r="I225" s="7" t="n">
        <f aca="false">IF(A225&gt;=c_TFWD,IF(AND(A225&gt;=c_TMAP3IN,c_TMAP3IN&lt;1000),G225,IF(AND(A225&gt;=c_TMAP2IN,c_TMAP3IN&gt;c_TMAP2IN),F225,IF(AND(A225&gt;=c_TMAP1IN,c_TMAP2IN&gt;c_TMAP1IN),E225,D225))),C225)</f>
        <v>118</v>
      </c>
      <c r="J225" s="7" t="str">
        <f aca="false">IF(I225&lt;-1090,"TOO LOW",IF(I225&gt;1090,"TOO HIGH",""))</f>
        <v/>
      </c>
      <c r="K225" s="15" t="n">
        <f aca="false">IF(J225&lt;&gt;"",0,IF(I225&gt;979,1000,I225))</f>
        <v>118</v>
      </c>
      <c r="L225" s="7" t="n">
        <f aca="false">K225/10</f>
        <v>11.8</v>
      </c>
    </row>
    <row r="226" customFormat="false" ht="15" hidden="false" customHeight="false" outlineLevel="0" collapsed="false">
      <c r="A226" s="7" t="n">
        <v>221</v>
      </c>
      <c r="B226" s="7" t="n">
        <f aca="false">A226/10</f>
        <v>22.1</v>
      </c>
      <c r="C226" s="7" t="n">
        <f aca="false">IF(AND(A226=0,c_TCREEP&gt;0),10*c_TCREEP,IF(AND(A226&lt;=c_TRNGMIN,A226&gt;=c_TRNGMAX,c_TRNGMIN-c_TRNGMAX&lt;&gt;0),-10*c_TMINRN+QUOTIENT((c_TMAXRN-c_TMINRN)*(100-QUOTIENT((A226-c_TRNGMAX)*100,c_TRNGMIN-c_TRNGMAX)),-10),0))</f>
        <v>0</v>
      </c>
      <c r="D226" s="7" t="n">
        <f aca="false">IF(((c_TMAP1IN)-(c_TFWD))=0,(0)+QUOTIENT(((c_TMAP1OUT)-(0)),2),QUOTIENT((((A226)-(c_TFWD))*((c_TMAP1OUT)-(0))+IF(((c_TMAP1OUT)-(0))&gt;=0,1,-1)*QUOTIENT(((c_TMAP1IN)-(c_TFWD)),2)),((c_TMAP1IN)-(c_TFWD)))+(0)+IF(((c_TMAP1OUT)-(0))&gt;=0,IF(IF(o_WRAP=1,MOD(((c_TMAP1IN)-(c_TFWD))*(((A226)-(c_TFWD))*((c_TMAP1OUT)-(0))+IF(((c_TMAP1OUT)-(0))&gt;=0,1,-1)*QUOTIENT(((c_TMAP1IN)-(c_TFWD)),2))+2147483648,4294967296)-2147483648,((c_TMAP1IN)-(c_TFWD))*(((A226)-(c_TFWD))*((c_TMAP1OUT)-(0))+IF(((c_TMAP1OUT)-(0))&gt;=0,1,-1)*QUOTIENT(((c_TMAP1IN)-(c_TFWD)),2)))&lt;0,-1,0),IF(IF(o_WRAP=1,MOD(((c_TMAP1IN)-(c_TFWD))*(((A226)-(c_TFWD))*((c_TMAP1OUT)-(0))+IF(((c_TMAP1OUT)-(0))&gt;=0,1,-1)*QUOTIENT(((c_TMAP1IN)-(c_TFWD)),2))+2147483648,4294967296)-2147483648,((c_TMAP1IN)-(c_TFWD))*(((A226)-(c_TFWD))*((c_TMAP1OUT)-(0))+IF(((c_TMAP1OUT)-(0))&gt;=0,1,-1)*QUOTIENT(((c_TMAP1IN)-(c_TFWD)),2)))&gt;=0,1,0)))</f>
        <v>164</v>
      </c>
      <c r="E226" s="7" t="n">
        <f aca="false">IF(((c_TMAP2IN)-(c_TMAP1IN))=0,(c_TMAP1OUT)+QUOTIENT(((c_TMAP2OUT)-(c_TMAP1OUT)),2),QUOTIENT((((A226)-(c_TMAP1IN))*((c_TMAP2OUT)-(c_TMAP1OUT))+IF(((c_TMAP2OUT)-(c_TMAP1OUT))&gt;=0,1,-1)*QUOTIENT(((c_TMAP2IN)-(c_TMAP1IN)),2)),((c_TMAP2IN)-(c_TMAP1IN)))+(c_TMAP1OUT)+IF(((c_TMAP2OUT)-(c_TMAP1OUT))&gt;=0,IF(IF(o_WRAP=1,MOD(((c_TMAP2IN)-(c_TMAP1IN))*(((A226)-(c_TMAP1IN))*((c_TMAP2OUT)-(c_TMAP1OUT))+IF(((c_TMAP2OUT)-(c_TMAP1OUT))&gt;=0,1,-1)*QUOTIENT(((c_TMAP2IN)-(c_TMAP1IN)),2))+2147483648,4294967296)-2147483648,((c_TMAP2IN)-(c_TMAP1IN))*(((A226)-(c_TMAP1IN))*((c_TMAP2OUT)-(c_TMAP1OUT))+IF(((c_TMAP2OUT)-(c_TMAP1OUT))&gt;=0,1,-1)*QUOTIENT(((c_TMAP2IN)-(c_TMAP1IN)),2)))&lt;0,-1,0),IF(IF(o_WRAP=1,MOD(((c_TMAP2IN)-(c_TMAP1IN))*(((A226)-(c_TMAP1IN))*((c_TMAP2OUT)-(c_TMAP1OUT))+IF(((c_TMAP2OUT)-(c_TMAP1OUT))&gt;=0,1,-1)*QUOTIENT(((c_TMAP2IN)-(c_TMAP1IN)),2))+2147483648,4294967296)-2147483648,((c_TMAP2IN)-(c_TMAP1IN))*(((A226)-(c_TMAP1IN))*((c_TMAP2OUT)-(c_TMAP1OUT))+IF(((c_TMAP2OUT)-(c_TMAP1OUT))&gt;=0,1,-1)*QUOTIENT(((c_TMAP2IN)-(c_TMAP1IN)),2)))&gt;=0,1,0)))</f>
        <v>118</v>
      </c>
      <c r="F226" s="7" t="n">
        <f aca="false">IF(((c_TMAP3IN)-(c_TMAP2IN))=0,(c_TMAP2OUT)+QUOTIENT(((c_TMAP3OUT)-(c_TMAP2OUT)),2),QUOTIENT((((A226)-(c_TMAP2IN))*((c_TMAP3OUT)-(c_TMAP2OUT))+IF(((c_TMAP3OUT)-(c_TMAP2OUT))&gt;=0,1,-1)*QUOTIENT(((c_TMAP3IN)-(c_TMAP2IN)),2)),((c_TMAP3IN)-(c_TMAP2IN)))+(c_TMAP2OUT)+IF(((c_TMAP3OUT)-(c_TMAP2OUT))&gt;=0,IF(IF(o_WRAP=1,MOD(((c_TMAP3IN)-(c_TMAP2IN))*(((A226)-(c_TMAP2IN))*((c_TMAP3OUT)-(c_TMAP2OUT))+IF(((c_TMAP3OUT)-(c_TMAP2OUT))&gt;=0,1,-1)*QUOTIENT(((c_TMAP3IN)-(c_TMAP2IN)),2))+2147483648,4294967296)-2147483648,((c_TMAP3IN)-(c_TMAP2IN))*(((A226)-(c_TMAP2IN))*((c_TMAP3OUT)-(c_TMAP2OUT))+IF(((c_TMAP3OUT)-(c_TMAP2OUT))&gt;=0,1,-1)*QUOTIENT(((c_TMAP3IN)-(c_TMAP2IN)),2)))&lt;0,-1,0),IF(IF(o_WRAP=1,MOD(((c_TMAP3IN)-(c_TMAP2IN))*(((A226)-(c_TMAP2IN))*((c_TMAP3OUT)-(c_TMAP2OUT))+IF(((c_TMAP3OUT)-(c_TMAP2OUT))&gt;=0,1,-1)*QUOTIENT(((c_TMAP3IN)-(c_TMAP2IN)),2))+2147483648,4294967296)-2147483648,((c_TMAP3IN)-(c_TMAP2IN))*(((A226)-(c_TMAP2IN))*((c_TMAP3OUT)-(c_TMAP2OUT))+IF(((c_TMAP3OUT)-(c_TMAP2OUT))&gt;=0,1,-1)*QUOTIENT(((c_TMAP3IN)-(c_TMAP2IN)),2)))&gt;=0,1,0)))</f>
        <v>110</v>
      </c>
      <c r="G226" s="7" t="n">
        <f aca="false">IF(((1000)-(c_TMAP3IN))=0,(c_TMAP3OUT)+QUOTIENT(((1000)-(c_TMAP3OUT)),2),QUOTIENT((((A226)-(c_TMAP3IN))*((1000)-(c_TMAP3OUT))+IF(((1000)-(c_TMAP3OUT))&gt;=0,1,-1)*QUOTIENT(((1000)-(c_TMAP3IN)),2)),((1000)-(c_TMAP3IN)))+(c_TMAP3OUT)+IF(((1000)-(c_TMAP3OUT))&gt;=0,IF(IF(o_WRAP=1,MOD(((1000)-(c_TMAP3IN))*(((A226)-(c_TMAP3IN))*((1000)-(c_TMAP3OUT))+IF(((1000)-(c_TMAP3OUT))&gt;=0,1,-1)*QUOTIENT(((1000)-(c_TMAP3IN)),2))+2147483648,4294967296)-2147483648,((1000)-(c_TMAP3IN))*(((A226)-(c_TMAP3IN))*((1000)-(c_TMAP3OUT))+IF(((1000)-(c_TMAP3OUT))&gt;=0,1,-1)*QUOTIENT(((1000)-(c_TMAP3IN)),2)))&lt;0,-1,0),IF(IF(o_WRAP=1,MOD(((1000)-(c_TMAP3IN))*(((A226)-(c_TMAP3IN))*((1000)-(c_TMAP3OUT))+IF(((1000)-(c_TMAP3OUT))&gt;=0,1,-1)*QUOTIENT(((1000)-(c_TMAP3IN)),2))+2147483648,4294967296)-2147483648,((1000)-(c_TMAP3IN))*(((A226)-(c_TMAP3IN))*((1000)-(c_TMAP3OUT))+IF(((1000)-(c_TMAP3OUT))&gt;=0,1,-1)*QUOTIENT(((1000)-(c_TMAP3IN)),2)))&gt;=0,1,0)))</f>
        <v>41</v>
      </c>
      <c r="H226" s="7" t="str">
        <f aca="false">IF(A226&gt;=c_TFWD,IF(AND(A226&gt;=c_TMAP3IN,c_TMAP3IN&lt;1000),"Seg4 map3-100%",IF(AND(A226&gt;=c_TMAP2IN,c_TMAP3IN&gt;c_TMAP2IN),"Seg3 map2-map3",IF(AND(A226&gt;=c_TMAP1IN,c_TMAP2IN&gt;c_TMAP1IN),"Seg2 map1-map2","Seg1 TFWD-map1"))),IF(AND(A226=0,c_TCREEP&gt;0),"Creep",IF(AND(A226&lt;=c_TRNGMIN,A226&gt;=c_TRNGMAX,c_TRNGMIN-c_TRNGMAX&lt;&gt;0),"Regen ramp","Coast (0)")))</f>
        <v>Seg2 map1-map2</v>
      </c>
      <c r="I226" s="7" t="n">
        <f aca="false">IF(A226&gt;=c_TFWD,IF(AND(A226&gt;=c_TMAP3IN,c_TMAP3IN&lt;1000),G226,IF(AND(A226&gt;=c_TMAP2IN,c_TMAP3IN&gt;c_TMAP2IN),F226,IF(AND(A226&gt;=c_TMAP1IN,c_TMAP2IN&gt;c_TMAP1IN),E226,D226))),C226)</f>
        <v>118</v>
      </c>
      <c r="J226" s="7" t="str">
        <f aca="false">IF(I226&lt;-1090,"TOO LOW",IF(I226&gt;1090,"TOO HIGH",""))</f>
        <v/>
      </c>
      <c r="K226" s="15" t="n">
        <f aca="false">IF(J226&lt;&gt;"",0,IF(I226&gt;979,1000,I226))</f>
        <v>118</v>
      </c>
      <c r="L226" s="7" t="n">
        <f aca="false">K226/10</f>
        <v>11.8</v>
      </c>
    </row>
    <row r="227" customFormat="false" ht="15" hidden="false" customHeight="false" outlineLevel="0" collapsed="false">
      <c r="A227" s="7" t="n">
        <v>222</v>
      </c>
      <c r="B227" s="7" t="n">
        <f aca="false">A227/10</f>
        <v>22.2</v>
      </c>
      <c r="C227" s="7" t="n">
        <f aca="false">IF(AND(A227=0,c_TCREEP&gt;0),10*c_TCREEP,IF(AND(A227&lt;=c_TRNGMIN,A227&gt;=c_TRNGMAX,c_TRNGMIN-c_TRNGMAX&lt;&gt;0),-10*c_TMINRN+QUOTIENT((c_TMAXRN-c_TMINRN)*(100-QUOTIENT((A227-c_TRNGMAX)*100,c_TRNGMIN-c_TRNGMAX)),-10),0))</f>
        <v>0</v>
      </c>
      <c r="D227" s="7" t="n">
        <f aca="false">IF(((c_TMAP1IN)-(c_TFWD))=0,(0)+QUOTIENT(((c_TMAP1OUT)-(0)),2),QUOTIENT((((A227)-(c_TFWD))*((c_TMAP1OUT)-(0))+IF(((c_TMAP1OUT)-(0))&gt;=0,1,-1)*QUOTIENT(((c_TMAP1IN)-(c_TFWD)),2)),((c_TMAP1IN)-(c_TFWD)))+(0)+IF(((c_TMAP1OUT)-(0))&gt;=0,IF(IF(o_WRAP=1,MOD(((c_TMAP1IN)-(c_TFWD))*(((A227)-(c_TFWD))*((c_TMAP1OUT)-(0))+IF(((c_TMAP1OUT)-(0))&gt;=0,1,-1)*QUOTIENT(((c_TMAP1IN)-(c_TFWD)),2))+2147483648,4294967296)-2147483648,((c_TMAP1IN)-(c_TFWD))*(((A227)-(c_TFWD))*((c_TMAP1OUT)-(0))+IF(((c_TMAP1OUT)-(0))&gt;=0,1,-1)*QUOTIENT(((c_TMAP1IN)-(c_TFWD)),2)))&lt;0,-1,0),IF(IF(o_WRAP=1,MOD(((c_TMAP1IN)-(c_TFWD))*(((A227)-(c_TFWD))*((c_TMAP1OUT)-(0))+IF(((c_TMAP1OUT)-(0))&gt;=0,1,-1)*QUOTIENT(((c_TMAP1IN)-(c_TFWD)),2))+2147483648,4294967296)-2147483648,((c_TMAP1IN)-(c_TFWD))*(((A227)-(c_TFWD))*((c_TMAP1OUT)-(0))+IF(((c_TMAP1OUT)-(0))&gt;=0,1,-1)*QUOTIENT(((c_TMAP1IN)-(c_TFWD)),2)))&gt;=0,1,0)))</f>
        <v>165</v>
      </c>
      <c r="E227" s="7" t="n">
        <f aca="false">IF(((c_TMAP2IN)-(c_TMAP1IN))=0,(c_TMAP1OUT)+QUOTIENT(((c_TMAP2OUT)-(c_TMAP1OUT)),2),QUOTIENT((((A227)-(c_TMAP1IN))*((c_TMAP2OUT)-(c_TMAP1OUT))+IF(((c_TMAP2OUT)-(c_TMAP1OUT))&gt;=0,1,-1)*QUOTIENT(((c_TMAP2IN)-(c_TMAP1IN)),2)),((c_TMAP2IN)-(c_TMAP1IN)))+(c_TMAP1OUT)+IF(((c_TMAP2OUT)-(c_TMAP1OUT))&gt;=0,IF(IF(o_WRAP=1,MOD(((c_TMAP2IN)-(c_TMAP1IN))*(((A227)-(c_TMAP1IN))*((c_TMAP2OUT)-(c_TMAP1OUT))+IF(((c_TMAP2OUT)-(c_TMAP1OUT))&gt;=0,1,-1)*QUOTIENT(((c_TMAP2IN)-(c_TMAP1IN)),2))+2147483648,4294967296)-2147483648,((c_TMAP2IN)-(c_TMAP1IN))*(((A227)-(c_TMAP1IN))*((c_TMAP2OUT)-(c_TMAP1OUT))+IF(((c_TMAP2OUT)-(c_TMAP1OUT))&gt;=0,1,-1)*QUOTIENT(((c_TMAP2IN)-(c_TMAP1IN)),2)))&lt;0,-1,0),IF(IF(o_WRAP=1,MOD(((c_TMAP2IN)-(c_TMAP1IN))*(((A227)-(c_TMAP1IN))*((c_TMAP2OUT)-(c_TMAP1OUT))+IF(((c_TMAP2OUT)-(c_TMAP1OUT))&gt;=0,1,-1)*QUOTIENT(((c_TMAP2IN)-(c_TMAP1IN)),2))+2147483648,4294967296)-2147483648,((c_TMAP2IN)-(c_TMAP1IN))*(((A227)-(c_TMAP1IN))*((c_TMAP2OUT)-(c_TMAP1OUT))+IF(((c_TMAP2OUT)-(c_TMAP1OUT))&gt;=0,1,-1)*QUOTIENT(((c_TMAP2IN)-(c_TMAP1IN)),2)))&gt;=0,1,0)))</f>
        <v>119</v>
      </c>
      <c r="F227" s="7" t="n">
        <f aca="false">IF(((c_TMAP3IN)-(c_TMAP2IN))=0,(c_TMAP2OUT)+QUOTIENT(((c_TMAP3OUT)-(c_TMAP2OUT)),2),QUOTIENT((((A227)-(c_TMAP2IN))*((c_TMAP3OUT)-(c_TMAP2OUT))+IF(((c_TMAP3OUT)-(c_TMAP2OUT))&gt;=0,1,-1)*QUOTIENT(((c_TMAP3IN)-(c_TMAP2IN)),2)),((c_TMAP3IN)-(c_TMAP2IN)))+(c_TMAP2OUT)+IF(((c_TMAP3OUT)-(c_TMAP2OUT))&gt;=0,IF(IF(o_WRAP=1,MOD(((c_TMAP3IN)-(c_TMAP2IN))*(((A227)-(c_TMAP2IN))*((c_TMAP3OUT)-(c_TMAP2OUT))+IF(((c_TMAP3OUT)-(c_TMAP2OUT))&gt;=0,1,-1)*QUOTIENT(((c_TMAP3IN)-(c_TMAP2IN)),2))+2147483648,4294967296)-2147483648,((c_TMAP3IN)-(c_TMAP2IN))*(((A227)-(c_TMAP2IN))*((c_TMAP3OUT)-(c_TMAP2OUT))+IF(((c_TMAP3OUT)-(c_TMAP2OUT))&gt;=0,1,-1)*QUOTIENT(((c_TMAP3IN)-(c_TMAP2IN)),2)))&lt;0,-1,0),IF(IF(o_WRAP=1,MOD(((c_TMAP3IN)-(c_TMAP2IN))*(((A227)-(c_TMAP2IN))*((c_TMAP3OUT)-(c_TMAP2OUT))+IF(((c_TMAP3OUT)-(c_TMAP2OUT))&gt;=0,1,-1)*QUOTIENT(((c_TMAP3IN)-(c_TMAP2IN)),2))+2147483648,4294967296)-2147483648,((c_TMAP3IN)-(c_TMAP2IN))*(((A227)-(c_TMAP2IN))*((c_TMAP3OUT)-(c_TMAP2OUT))+IF(((c_TMAP3OUT)-(c_TMAP2OUT))&gt;=0,1,-1)*QUOTIENT(((c_TMAP3IN)-(c_TMAP2IN)),2)))&gt;=0,1,0)))</f>
        <v>110</v>
      </c>
      <c r="G227" s="7" t="n">
        <f aca="false">IF(((1000)-(c_TMAP3IN))=0,(c_TMAP3OUT)+QUOTIENT(((1000)-(c_TMAP3OUT)),2),QUOTIENT((((A227)-(c_TMAP3IN))*((1000)-(c_TMAP3OUT))+IF(((1000)-(c_TMAP3OUT))&gt;=0,1,-1)*QUOTIENT(((1000)-(c_TMAP3IN)),2)),((1000)-(c_TMAP3IN)))+(c_TMAP3OUT)+IF(((1000)-(c_TMAP3OUT))&gt;=0,IF(IF(o_WRAP=1,MOD(((1000)-(c_TMAP3IN))*(((A227)-(c_TMAP3IN))*((1000)-(c_TMAP3OUT))+IF(((1000)-(c_TMAP3OUT))&gt;=0,1,-1)*QUOTIENT(((1000)-(c_TMAP3IN)),2))+2147483648,4294967296)-2147483648,((1000)-(c_TMAP3IN))*(((A227)-(c_TMAP3IN))*((1000)-(c_TMAP3OUT))+IF(((1000)-(c_TMAP3OUT))&gt;=0,1,-1)*QUOTIENT(((1000)-(c_TMAP3IN)),2)))&lt;0,-1,0),IF(IF(o_WRAP=1,MOD(((1000)-(c_TMAP3IN))*(((A227)-(c_TMAP3IN))*((1000)-(c_TMAP3OUT))+IF(((1000)-(c_TMAP3OUT))&gt;=0,1,-1)*QUOTIENT(((1000)-(c_TMAP3IN)),2))+2147483648,4294967296)-2147483648,((1000)-(c_TMAP3IN))*(((A227)-(c_TMAP3IN))*((1000)-(c_TMAP3OUT))+IF(((1000)-(c_TMAP3OUT))&gt;=0,1,-1)*QUOTIENT(((1000)-(c_TMAP3IN)),2)))&gt;=0,1,0)))</f>
        <v>42</v>
      </c>
      <c r="H227" s="7" t="str">
        <f aca="false">IF(A227&gt;=c_TFWD,IF(AND(A227&gt;=c_TMAP3IN,c_TMAP3IN&lt;1000),"Seg4 map3-100%",IF(AND(A227&gt;=c_TMAP2IN,c_TMAP3IN&gt;c_TMAP2IN),"Seg3 map2-map3",IF(AND(A227&gt;=c_TMAP1IN,c_TMAP2IN&gt;c_TMAP1IN),"Seg2 map1-map2","Seg1 TFWD-map1"))),IF(AND(A227=0,c_TCREEP&gt;0),"Creep",IF(AND(A227&lt;=c_TRNGMIN,A227&gt;=c_TRNGMAX,c_TRNGMIN-c_TRNGMAX&lt;&gt;0),"Regen ramp","Coast (0)")))</f>
        <v>Seg2 map1-map2</v>
      </c>
      <c r="I227" s="7" t="n">
        <f aca="false">IF(A227&gt;=c_TFWD,IF(AND(A227&gt;=c_TMAP3IN,c_TMAP3IN&lt;1000),G227,IF(AND(A227&gt;=c_TMAP2IN,c_TMAP3IN&gt;c_TMAP2IN),F227,IF(AND(A227&gt;=c_TMAP1IN,c_TMAP2IN&gt;c_TMAP1IN),E227,D227))),C227)</f>
        <v>119</v>
      </c>
      <c r="J227" s="7" t="str">
        <f aca="false">IF(I227&lt;-1090,"TOO LOW",IF(I227&gt;1090,"TOO HIGH",""))</f>
        <v/>
      </c>
      <c r="K227" s="15" t="n">
        <f aca="false">IF(J227&lt;&gt;"",0,IF(I227&gt;979,1000,I227))</f>
        <v>119</v>
      </c>
      <c r="L227" s="7" t="n">
        <f aca="false">K227/10</f>
        <v>11.9</v>
      </c>
    </row>
    <row r="228" customFormat="false" ht="15" hidden="false" customHeight="false" outlineLevel="0" collapsed="false">
      <c r="A228" s="7" t="n">
        <v>223</v>
      </c>
      <c r="B228" s="7" t="n">
        <f aca="false">A228/10</f>
        <v>22.3</v>
      </c>
      <c r="C228" s="7" t="n">
        <f aca="false">IF(AND(A228=0,c_TCREEP&gt;0),10*c_TCREEP,IF(AND(A228&lt;=c_TRNGMIN,A228&gt;=c_TRNGMAX,c_TRNGMIN-c_TRNGMAX&lt;&gt;0),-10*c_TMINRN+QUOTIENT((c_TMAXRN-c_TMINRN)*(100-QUOTIENT((A228-c_TRNGMAX)*100,c_TRNGMIN-c_TRNGMAX)),-10),0))</f>
        <v>0</v>
      </c>
      <c r="D228" s="7" t="n">
        <f aca="false">IF(((c_TMAP1IN)-(c_TFWD))=0,(0)+QUOTIENT(((c_TMAP1OUT)-(0)),2),QUOTIENT((((A228)-(c_TFWD))*((c_TMAP1OUT)-(0))+IF(((c_TMAP1OUT)-(0))&gt;=0,1,-1)*QUOTIENT(((c_TMAP1IN)-(c_TFWD)),2)),((c_TMAP1IN)-(c_TFWD)))+(0)+IF(((c_TMAP1OUT)-(0))&gt;=0,IF(IF(o_WRAP=1,MOD(((c_TMAP1IN)-(c_TFWD))*(((A228)-(c_TFWD))*((c_TMAP1OUT)-(0))+IF(((c_TMAP1OUT)-(0))&gt;=0,1,-1)*QUOTIENT(((c_TMAP1IN)-(c_TFWD)),2))+2147483648,4294967296)-2147483648,((c_TMAP1IN)-(c_TFWD))*(((A228)-(c_TFWD))*((c_TMAP1OUT)-(0))+IF(((c_TMAP1OUT)-(0))&gt;=0,1,-1)*QUOTIENT(((c_TMAP1IN)-(c_TFWD)),2)))&lt;0,-1,0),IF(IF(o_WRAP=1,MOD(((c_TMAP1IN)-(c_TFWD))*(((A228)-(c_TFWD))*((c_TMAP1OUT)-(0))+IF(((c_TMAP1OUT)-(0))&gt;=0,1,-1)*QUOTIENT(((c_TMAP1IN)-(c_TFWD)),2))+2147483648,4294967296)-2147483648,((c_TMAP1IN)-(c_TFWD))*(((A228)-(c_TFWD))*((c_TMAP1OUT)-(0))+IF(((c_TMAP1OUT)-(0))&gt;=0,1,-1)*QUOTIENT(((c_TMAP1IN)-(c_TFWD)),2)))&gt;=0,1,0)))</f>
        <v>166</v>
      </c>
      <c r="E228" s="7" t="n">
        <f aca="false">IF(((c_TMAP2IN)-(c_TMAP1IN))=0,(c_TMAP1OUT)+QUOTIENT(((c_TMAP2OUT)-(c_TMAP1OUT)),2),QUOTIENT((((A228)-(c_TMAP1IN))*((c_TMAP2OUT)-(c_TMAP1OUT))+IF(((c_TMAP2OUT)-(c_TMAP1OUT))&gt;=0,1,-1)*QUOTIENT(((c_TMAP2IN)-(c_TMAP1IN)),2)),((c_TMAP2IN)-(c_TMAP1IN)))+(c_TMAP1OUT)+IF(((c_TMAP2OUT)-(c_TMAP1OUT))&gt;=0,IF(IF(o_WRAP=1,MOD(((c_TMAP2IN)-(c_TMAP1IN))*(((A228)-(c_TMAP1IN))*((c_TMAP2OUT)-(c_TMAP1OUT))+IF(((c_TMAP2OUT)-(c_TMAP1OUT))&gt;=0,1,-1)*QUOTIENT(((c_TMAP2IN)-(c_TMAP1IN)),2))+2147483648,4294967296)-2147483648,((c_TMAP2IN)-(c_TMAP1IN))*(((A228)-(c_TMAP1IN))*((c_TMAP2OUT)-(c_TMAP1OUT))+IF(((c_TMAP2OUT)-(c_TMAP1OUT))&gt;=0,1,-1)*QUOTIENT(((c_TMAP2IN)-(c_TMAP1IN)),2)))&lt;0,-1,0),IF(IF(o_WRAP=1,MOD(((c_TMAP2IN)-(c_TMAP1IN))*(((A228)-(c_TMAP1IN))*((c_TMAP2OUT)-(c_TMAP1OUT))+IF(((c_TMAP2OUT)-(c_TMAP1OUT))&gt;=0,1,-1)*QUOTIENT(((c_TMAP2IN)-(c_TMAP1IN)),2))+2147483648,4294967296)-2147483648,((c_TMAP2IN)-(c_TMAP1IN))*(((A228)-(c_TMAP1IN))*((c_TMAP2OUT)-(c_TMAP1OUT))+IF(((c_TMAP2OUT)-(c_TMAP1OUT))&gt;=0,1,-1)*QUOTIENT(((c_TMAP2IN)-(c_TMAP1IN)),2)))&gt;=0,1,0)))</f>
        <v>119</v>
      </c>
      <c r="F228" s="7" t="n">
        <f aca="false">IF(((c_TMAP3IN)-(c_TMAP2IN))=0,(c_TMAP2OUT)+QUOTIENT(((c_TMAP3OUT)-(c_TMAP2OUT)),2),QUOTIENT((((A228)-(c_TMAP2IN))*((c_TMAP3OUT)-(c_TMAP2OUT))+IF(((c_TMAP3OUT)-(c_TMAP2OUT))&gt;=0,1,-1)*QUOTIENT(((c_TMAP3IN)-(c_TMAP2IN)),2)),((c_TMAP3IN)-(c_TMAP2IN)))+(c_TMAP2OUT)+IF(((c_TMAP3OUT)-(c_TMAP2OUT))&gt;=0,IF(IF(o_WRAP=1,MOD(((c_TMAP3IN)-(c_TMAP2IN))*(((A228)-(c_TMAP2IN))*((c_TMAP3OUT)-(c_TMAP2OUT))+IF(((c_TMAP3OUT)-(c_TMAP2OUT))&gt;=0,1,-1)*QUOTIENT(((c_TMAP3IN)-(c_TMAP2IN)),2))+2147483648,4294967296)-2147483648,((c_TMAP3IN)-(c_TMAP2IN))*(((A228)-(c_TMAP2IN))*((c_TMAP3OUT)-(c_TMAP2OUT))+IF(((c_TMAP3OUT)-(c_TMAP2OUT))&gt;=0,1,-1)*QUOTIENT(((c_TMAP3IN)-(c_TMAP2IN)),2)))&lt;0,-1,0),IF(IF(o_WRAP=1,MOD(((c_TMAP3IN)-(c_TMAP2IN))*(((A228)-(c_TMAP2IN))*((c_TMAP3OUT)-(c_TMAP2OUT))+IF(((c_TMAP3OUT)-(c_TMAP2OUT))&gt;=0,1,-1)*QUOTIENT(((c_TMAP3IN)-(c_TMAP2IN)),2))+2147483648,4294967296)-2147483648,((c_TMAP3IN)-(c_TMAP2IN))*(((A228)-(c_TMAP2IN))*((c_TMAP3OUT)-(c_TMAP2OUT))+IF(((c_TMAP3OUT)-(c_TMAP2OUT))&gt;=0,1,-1)*QUOTIENT(((c_TMAP3IN)-(c_TMAP2IN)),2)))&gt;=0,1,0)))</f>
        <v>111</v>
      </c>
      <c r="G228" s="7" t="n">
        <f aca="false">IF(((1000)-(c_TMAP3IN))=0,(c_TMAP3OUT)+QUOTIENT(((1000)-(c_TMAP3OUT)),2),QUOTIENT((((A228)-(c_TMAP3IN))*((1000)-(c_TMAP3OUT))+IF(((1000)-(c_TMAP3OUT))&gt;=0,1,-1)*QUOTIENT(((1000)-(c_TMAP3IN)),2)),((1000)-(c_TMAP3IN)))+(c_TMAP3OUT)+IF(((1000)-(c_TMAP3OUT))&gt;=0,IF(IF(o_WRAP=1,MOD(((1000)-(c_TMAP3IN))*(((A228)-(c_TMAP3IN))*((1000)-(c_TMAP3OUT))+IF(((1000)-(c_TMAP3OUT))&gt;=0,1,-1)*QUOTIENT(((1000)-(c_TMAP3IN)),2))+2147483648,4294967296)-2147483648,((1000)-(c_TMAP3IN))*(((A228)-(c_TMAP3IN))*((1000)-(c_TMAP3OUT))+IF(((1000)-(c_TMAP3OUT))&gt;=0,1,-1)*QUOTIENT(((1000)-(c_TMAP3IN)),2)))&lt;0,-1,0),IF(IF(o_WRAP=1,MOD(((1000)-(c_TMAP3IN))*(((A228)-(c_TMAP3IN))*((1000)-(c_TMAP3OUT))+IF(((1000)-(c_TMAP3OUT))&gt;=0,1,-1)*QUOTIENT(((1000)-(c_TMAP3IN)),2))+2147483648,4294967296)-2147483648,((1000)-(c_TMAP3IN))*(((A228)-(c_TMAP3IN))*((1000)-(c_TMAP3OUT))+IF(((1000)-(c_TMAP3OUT))&gt;=0,1,-1)*QUOTIENT(((1000)-(c_TMAP3IN)),2)))&gt;=0,1,0)))</f>
        <v>44</v>
      </c>
      <c r="H228" s="7" t="str">
        <f aca="false">IF(A228&gt;=c_TFWD,IF(AND(A228&gt;=c_TMAP3IN,c_TMAP3IN&lt;1000),"Seg4 map3-100%",IF(AND(A228&gt;=c_TMAP2IN,c_TMAP3IN&gt;c_TMAP2IN),"Seg3 map2-map3",IF(AND(A228&gt;=c_TMAP1IN,c_TMAP2IN&gt;c_TMAP1IN),"Seg2 map1-map2","Seg1 TFWD-map1"))),IF(AND(A228=0,c_TCREEP&gt;0),"Creep",IF(AND(A228&lt;=c_TRNGMIN,A228&gt;=c_TRNGMAX,c_TRNGMIN-c_TRNGMAX&lt;&gt;0),"Regen ramp","Coast (0)")))</f>
        <v>Seg2 map1-map2</v>
      </c>
      <c r="I228" s="7" t="n">
        <f aca="false">IF(A228&gt;=c_TFWD,IF(AND(A228&gt;=c_TMAP3IN,c_TMAP3IN&lt;1000),G228,IF(AND(A228&gt;=c_TMAP2IN,c_TMAP3IN&gt;c_TMAP2IN),F228,IF(AND(A228&gt;=c_TMAP1IN,c_TMAP2IN&gt;c_TMAP1IN),E228,D228))),C228)</f>
        <v>119</v>
      </c>
      <c r="J228" s="7" t="str">
        <f aca="false">IF(I228&lt;-1090,"TOO LOW",IF(I228&gt;1090,"TOO HIGH",""))</f>
        <v/>
      </c>
      <c r="K228" s="15" t="n">
        <f aca="false">IF(J228&lt;&gt;"",0,IF(I228&gt;979,1000,I228))</f>
        <v>119</v>
      </c>
      <c r="L228" s="7" t="n">
        <f aca="false">K228/10</f>
        <v>11.9</v>
      </c>
    </row>
    <row r="229" customFormat="false" ht="15" hidden="false" customHeight="false" outlineLevel="0" collapsed="false">
      <c r="A229" s="7" t="n">
        <v>224</v>
      </c>
      <c r="B229" s="7" t="n">
        <f aca="false">A229/10</f>
        <v>22.4</v>
      </c>
      <c r="C229" s="7" t="n">
        <f aca="false">IF(AND(A229=0,c_TCREEP&gt;0),10*c_TCREEP,IF(AND(A229&lt;=c_TRNGMIN,A229&gt;=c_TRNGMAX,c_TRNGMIN-c_TRNGMAX&lt;&gt;0),-10*c_TMINRN+QUOTIENT((c_TMAXRN-c_TMINRN)*(100-QUOTIENT((A229-c_TRNGMAX)*100,c_TRNGMIN-c_TRNGMAX)),-10),0))</f>
        <v>0</v>
      </c>
      <c r="D229" s="7" t="n">
        <f aca="false">IF(((c_TMAP1IN)-(c_TFWD))=0,(0)+QUOTIENT(((c_TMAP1OUT)-(0)),2),QUOTIENT((((A229)-(c_TFWD))*((c_TMAP1OUT)-(0))+IF(((c_TMAP1OUT)-(0))&gt;=0,1,-1)*QUOTIENT(((c_TMAP1IN)-(c_TFWD)),2)),((c_TMAP1IN)-(c_TFWD)))+(0)+IF(((c_TMAP1OUT)-(0))&gt;=0,IF(IF(o_WRAP=1,MOD(((c_TMAP1IN)-(c_TFWD))*(((A229)-(c_TFWD))*((c_TMAP1OUT)-(0))+IF(((c_TMAP1OUT)-(0))&gt;=0,1,-1)*QUOTIENT(((c_TMAP1IN)-(c_TFWD)),2))+2147483648,4294967296)-2147483648,((c_TMAP1IN)-(c_TFWD))*(((A229)-(c_TFWD))*((c_TMAP1OUT)-(0))+IF(((c_TMAP1OUT)-(0))&gt;=0,1,-1)*QUOTIENT(((c_TMAP1IN)-(c_TFWD)),2)))&lt;0,-1,0),IF(IF(o_WRAP=1,MOD(((c_TMAP1IN)-(c_TFWD))*(((A229)-(c_TFWD))*((c_TMAP1OUT)-(0))+IF(((c_TMAP1OUT)-(0))&gt;=0,1,-1)*QUOTIENT(((c_TMAP1IN)-(c_TFWD)),2))+2147483648,4294967296)-2147483648,((c_TMAP1IN)-(c_TFWD))*(((A229)-(c_TFWD))*((c_TMAP1OUT)-(0))+IF(((c_TMAP1OUT)-(0))&gt;=0,1,-1)*QUOTIENT(((c_TMAP1IN)-(c_TFWD)),2)))&gt;=0,1,0)))</f>
        <v>166</v>
      </c>
      <c r="E229" s="7" t="n">
        <f aca="false">IF(((c_TMAP2IN)-(c_TMAP1IN))=0,(c_TMAP1OUT)+QUOTIENT(((c_TMAP2OUT)-(c_TMAP1OUT)),2),QUOTIENT((((A229)-(c_TMAP1IN))*((c_TMAP2OUT)-(c_TMAP1OUT))+IF(((c_TMAP2OUT)-(c_TMAP1OUT))&gt;=0,1,-1)*QUOTIENT(((c_TMAP2IN)-(c_TMAP1IN)),2)),((c_TMAP2IN)-(c_TMAP1IN)))+(c_TMAP1OUT)+IF(((c_TMAP2OUT)-(c_TMAP1OUT))&gt;=0,IF(IF(o_WRAP=1,MOD(((c_TMAP2IN)-(c_TMAP1IN))*(((A229)-(c_TMAP1IN))*((c_TMAP2OUT)-(c_TMAP1OUT))+IF(((c_TMAP2OUT)-(c_TMAP1OUT))&gt;=0,1,-1)*QUOTIENT(((c_TMAP2IN)-(c_TMAP1IN)),2))+2147483648,4294967296)-2147483648,((c_TMAP2IN)-(c_TMAP1IN))*(((A229)-(c_TMAP1IN))*((c_TMAP2OUT)-(c_TMAP1OUT))+IF(((c_TMAP2OUT)-(c_TMAP1OUT))&gt;=0,1,-1)*QUOTIENT(((c_TMAP2IN)-(c_TMAP1IN)),2)))&lt;0,-1,0),IF(IF(o_WRAP=1,MOD(((c_TMAP2IN)-(c_TMAP1IN))*(((A229)-(c_TMAP1IN))*((c_TMAP2OUT)-(c_TMAP1OUT))+IF(((c_TMAP2OUT)-(c_TMAP1OUT))&gt;=0,1,-1)*QUOTIENT(((c_TMAP2IN)-(c_TMAP1IN)),2))+2147483648,4294967296)-2147483648,((c_TMAP2IN)-(c_TMAP1IN))*(((A229)-(c_TMAP1IN))*((c_TMAP2OUT)-(c_TMAP1OUT))+IF(((c_TMAP2OUT)-(c_TMAP1OUT))&gt;=0,1,-1)*QUOTIENT(((c_TMAP2IN)-(c_TMAP1IN)),2)))&gt;=0,1,0)))</f>
        <v>120</v>
      </c>
      <c r="F229" s="7" t="n">
        <f aca="false">IF(((c_TMAP3IN)-(c_TMAP2IN))=0,(c_TMAP2OUT)+QUOTIENT(((c_TMAP3OUT)-(c_TMAP2OUT)),2),QUOTIENT((((A229)-(c_TMAP2IN))*((c_TMAP3OUT)-(c_TMAP2OUT))+IF(((c_TMAP3OUT)-(c_TMAP2OUT))&gt;=0,1,-1)*QUOTIENT(((c_TMAP3IN)-(c_TMAP2IN)),2)),((c_TMAP3IN)-(c_TMAP2IN)))+(c_TMAP2OUT)+IF(((c_TMAP3OUT)-(c_TMAP2OUT))&gt;=0,IF(IF(o_WRAP=1,MOD(((c_TMAP3IN)-(c_TMAP2IN))*(((A229)-(c_TMAP2IN))*((c_TMAP3OUT)-(c_TMAP2OUT))+IF(((c_TMAP3OUT)-(c_TMAP2OUT))&gt;=0,1,-1)*QUOTIENT(((c_TMAP3IN)-(c_TMAP2IN)),2))+2147483648,4294967296)-2147483648,((c_TMAP3IN)-(c_TMAP2IN))*(((A229)-(c_TMAP2IN))*((c_TMAP3OUT)-(c_TMAP2OUT))+IF(((c_TMAP3OUT)-(c_TMAP2OUT))&gt;=0,1,-1)*QUOTIENT(((c_TMAP3IN)-(c_TMAP2IN)),2)))&lt;0,-1,0),IF(IF(o_WRAP=1,MOD(((c_TMAP3IN)-(c_TMAP2IN))*(((A229)-(c_TMAP2IN))*((c_TMAP3OUT)-(c_TMAP2OUT))+IF(((c_TMAP3OUT)-(c_TMAP2OUT))&gt;=0,1,-1)*QUOTIENT(((c_TMAP3IN)-(c_TMAP2IN)),2))+2147483648,4294967296)-2147483648,((c_TMAP3IN)-(c_TMAP2IN))*(((A229)-(c_TMAP2IN))*((c_TMAP3OUT)-(c_TMAP2OUT))+IF(((c_TMAP3OUT)-(c_TMAP2OUT))&gt;=0,1,-1)*QUOTIENT(((c_TMAP3IN)-(c_TMAP2IN)),2)))&gt;=0,1,0)))</f>
        <v>112</v>
      </c>
      <c r="G229" s="7" t="n">
        <f aca="false">IF(((1000)-(c_TMAP3IN))=0,(c_TMAP3OUT)+QUOTIENT(((1000)-(c_TMAP3OUT)),2),QUOTIENT((((A229)-(c_TMAP3IN))*((1000)-(c_TMAP3OUT))+IF(((1000)-(c_TMAP3OUT))&gt;=0,1,-1)*QUOTIENT(((1000)-(c_TMAP3IN)),2)),((1000)-(c_TMAP3IN)))+(c_TMAP3OUT)+IF(((1000)-(c_TMAP3OUT))&gt;=0,IF(IF(o_WRAP=1,MOD(((1000)-(c_TMAP3IN))*(((A229)-(c_TMAP3IN))*((1000)-(c_TMAP3OUT))+IF(((1000)-(c_TMAP3OUT))&gt;=0,1,-1)*QUOTIENT(((1000)-(c_TMAP3IN)),2))+2147483648,4294967296)-2147483648,((1000)-(c_TMAP3IN))*(((A229)-(c_TMAP3IN))*((1000)-(c_TMAP3OUT))+IF(((1000)-(c_TMAP3OUT))&gt;=0,1,-1)*QUOTIENT(((1000)-(c_TMAP3IN)),2)))&lt;0,-1,0),IF(IF(o_WRAP=1,MOD(((1000)-(c_TMAP3IN))*(((A229)-(c_TMAP3IN))*((1000)-(c_TMAP3OUT))+IF(((1000)-(c_TMAP3OUT))&gt;=0,1,-1)*QUOTIENT(((1000)-(c_TMAP3IN)),2))+2147483648,4294967296)-2147483648,((1000)-(c_TMAP3IN))*(((A229)-(c_TMAP3IN))*((1000)-(c_TMAP3OUT))+IF(((1000)-(c_TMAP3OUT))&gt;=0,1,-1)*QUOTIENT(((1000)-(c_TMAP3IN)),2)))&gt;=0,1,0)))</f>
        <v>45</v>
      </c>
      <c r="H229" s="7" t="str">
        <f aca="false">IF(A229&gt;=c_TFWD,IF(AND(A229&gt;=c_TMAP3IN,c_TMAP3IN&lt;1000),"Seg4 map3-100%",IF(AND(A229&gt;=c_TMAP2IN,c_TMAP3IN&gt;c_TMAP2IN),"Seg3 map2-map3",IF(AND(A229&gt;=c_TMAP1IN,c_TMAP2IN&gt;c_TMAP1IN),"Seg2 map1-map2","Seg1 TFWD-map1"))),IF(AND(A229=0,c_TCREEP&gt;0),"Creep",IF(AND(A229&lt;=c_TRNGMIN,A229&gt;=c_TRNGMAX,c_TRNGMIN-c_TRNGMAX&lt;&gt;0),"Regen ramp","Coast (0)")))</f>
        <v>Seg2 map1-map2</v>
      </c>
      <c r="I229" s="7" t="n">
        <f aca="false">IF(A229&gt;=c_TFWD,IF(AND(A229&gt;=c_TMAP3IN,c_TMAP3IN&lt;1000),G229,IF(AND(A229&gt;=c_TMAP2IN,c_TMAP3IN&gt;c_TMAP2IN),F229,IF(AND(A229&gt;=c_TMAP1IN,c_TMAP2IN&gt;c_TMAP1IN),E229,D229))),C229)</f>
        <v>120</v>
      </c>
      <c r="J229" s="7" t="str">
        <f aca="false">IF(I229&lt;-1090,"TOO LOW",IF(I229&gt;1090,"TOO HIGH",""))</f>
        <v/>
      </c>
      <c r="K229" s="15" t="n">
        <f aca="false">IF(J229&lt;&gt;"",0,IF(I229&gt;979,1000,I229))</f>
        <v>120</v>
      </c>
      <c r="L229" s="7" t="n">
        <f aca="false">K229/10</f>
        <v>12</v>
      </c>
    </row>
    <row r="230" customFormat="false" ht="15" hidden="false" customHeight="false" outlineLevel="0" collapsed="false">
      <c r="A230" s="7" t="n">
        <v>225</v>
      </c>
      <c r="B230" s="7" t="n">
        <f aca="false">A230/10</f>
        <v>22.5</v>
      </c>
      <c r="C230" s="7" t="n">
        <f aca="false">IF(AND(A230=0,c_TCREEP&gt;0),10*c_TCREEP,IF(AND(A230&lt;=c_TRNGMIN,A230&gt;=c_TRNGMAX,c_TRNGMIN-c_TRNGMAX&lt;&gt;0),-10*c_TMINRN+QUOTIENT((c_TMAXRN-c_TMINRN)*(100-QUOTIENT((A230-c_TRNGMAX)*100,c_TRNGMIN-c_TRNGMAX)),-10),0))</f>
        <v>0</v>
      </c>
      <c r="D230" s="7" t="n">
        <f aca="false">IF(((c_TMAP1IN)-(c_TFWD))=0,(0)+QUOTIENT(((c_TMAP1OUT)-(0)),2),QUOTIENT((((A230)-(c_TFWD))*((c_TMAP1OUT)-(0))+IF(((c_TMAP1OUT)-(0))&gt;=0,1,-1)*QUOTIENT(((c_TMAP1IN)-(c_TFWD)),2)),((c_TMAP1IN)-(c_TFWD)))+(0)+IF(((c_TMAP1OUT)-(0))&gt;=0,IF(IF(o_WRAP=1,MOD(((c_TMAP1IN)-(c_TFWD))*(((A230)-(c_TFWD))*((c_TMAP1OUT)-(0))+IF(((c_TMAP1OUT)-(0))&gt;=0,1,-1)*QUOTIENT(((c_TMAP1IN)-(c_TFWD)),2))+2147483648,4294967296)-2147483648,((c_TMAP1IN)-(c_TFWD))*(((A230)-(c_TFWD))*((c_TMAP1OUT)-(0))+IF(((c_TMAP1OUT)-(0))&gt;=0,1,-1)*QUOTIENT(((c_TMAP1IN)-(c_TFWD)),2)))&lt;0,-1,0),IF(IF(o_WRAP=1,MOD(((c_TMAP1IN)-(c_TFWD))*(((A230)-(c_TFWD))*((c_TMAP1OUT)-(0))+IF(((c_TMAP1OUT)-(0))&gt;=0,1,-1)*QUOTIENT(((c_TMAP1IN)-(c_TFWD)),2))+2147483648,4294967296)-2147483648,((c_TMAP1IN)-(c_TFWD))*(((A230)-(c_TFWD))*((c_TMAP1OUT)-(0))+IF(((c_TMAP1OUT)-(0))&gt;=0,1,-1)*QUOTIENT(((c_TMAP1IN)-(c_TFWD)),2)))&gt;=0,1,0)))</f>
        <v>167</v>
      </c>
      <c r="E230" s="7" t="n">
        <f aca="false">IF(((c_TMAP2IN)-(c_TMAP1IN))=0,(c_TMAP1OUT)+QUOTIENT(((c_TMAP2OUT)-(c_TMAP1OUT)),2),QUOTIENT((((A230)-(c_TMAP1IN))*((c_TMAP2OUT)-(c_TMAP1OUT))+IF(((c_TMAP2OUT)-(c_TMAP1OUT))&gt;=0,1,-1)*QUOTIENT(((c_TMAP2IN)-(c_TMAP1IN)),2)),((c_TMAP2IN)-(c_TMAP1IN)))+(c_TMAP1OUT)+IF(((c_TMAP2OUT)-(c_TMAP1OUT))&gt;=0,IF(IF(o_WRAP=1,MOD(((c_TMAP2IN)-(c_TMAP1IN))*(((A230)-(c_TMAP1IN))*((c_TMAP2OUT)-(c_TMAP1OUT))+IF(((c_TMAP2OUT)-(c_TMAP1OUT))&gt;=0,1,-1)*QUOTIENT(((c_TMAP2IN)-(c_TMAP1IN)),2))+2147483648,4294967296)-2147483648,((c_TMAP2IN)-(c_TMAP1IN))*(((A230)-(c_TMAP1IN))*((c_TMAP2OUT)-(c_TMAP1OUT))+IF(((c_TMAP2OUT)-(c_TMAP1OUT))&gt;=0,1,-1)*QUOTIENT(((c_TMAP2IN)-(c_TMAP1IN)),2)))&lt;0,-1,0),IF(IF(o_WRAP=1,MOD(((c_TMAP2IN)-(c_TMAP1IN))*(((A230)-(c_TMAP1IN))*((c_TMAP2OUT)-(c_TMAP1OUT))+IF(((c_TMAP2OUT)-(c_TMAP1OUT))&gt;=0,1,-1)*QUOTIENT(((c_TMAP2IN)-(c_TMAP1IN)),2))+2147483648,4294967296)-2147483648,((c_TMAP2IN)-(c_TMAP1IN))*(((A230)-(c_TMAP1IN))*((c_TMAP2OUT)-(c_TMAP1OUT))+IF(((c_TMAP2OUT)-(c_TMAP1OUT))&gt;=0,1,-1)*QUOTIENT(((c_TMAP2IN)-(c_TMAP1IN)),2)))&gt;=0,1,0)))</f>
        <v>120</v>
      </c>
      <c r="F230" s="7" t="n">
        <f aca="false">IF(((c_TMAP3IN)-(c_TMAP2IN))=0,(c_TMAP2OUT)+QUOTIENT(((c_TMAP3OUT)-(c_TMAP2OUT)),2),QUOTIENT((((A230)-(c_TMAP2IN))*((c_TMAP3OUT)-(c_TMAP2OUT))+IF(((c_TMAP3OUT)-(c_TMAP2OUT))&gt;=0,1,-1)*QUOTIENT(((c_TMAP3IN)-(c_TMAP2IN)),2)),((c_TMAP3IN)-(c_TMAP2IN)))+(c_TMAP2OUT)+IF(((c_TMAP3OUT)-(c_TMAP2OUT))&gt;=0,IF(IF(o_WRAP=1,MOD(((c_TMAP3IN)-(c_TMAP2IN))*(((A230)-(c_TMAP2IN))*((c_TMAP3OUT)-(c_TMAP2OUT))+IF(((c_TMAP3OUT)-(c_TMAP2OUT))&gt;=0,1,-1)*QUOTIENT(((c_TMAP3IN)-(c_TMAP2IN)),2))+2147483648,4294967296)-2147483648,((c_TMAP3IN)-(c_TMAP2IN))*(((A230)-(c_TMAP2IN))*((c_TMAP3OUT)-(c_TMAP2OUT))+IF(((c_TMAP3OUT)-(c_TMAP2OUT))&gt;=0,1,-1)*QUOTIENT(((c_TMAP3IN)-(c_TMAP2IN)),2)))&lt;0,-1,0),IF(IF(o_WRAP=1,MOD(((c_TMAP3IN)-(c_TMAP2IN))*(((A230)-(c_TMAP2IN))*((c_TMAP3OUT)-(c_TMAP2OUT))+IF(((c_TMAP3OUT)-(c_TMAP2OUT))&gt;=0,1,-1)*QUOTIENT(((c_TMAP3IN)-(c_TMAP2IN)),2))+2147483648,4294967296)-2147483648,((c_TMAP3IN)-(c_TMAP2IN))*(((A230)-(c_TMAP2IN))*((c_TMAP3OUT)-(c_TMAP2OUT))+IF(((c_TMAP3OUT)-(c_TMAP2OUT))&gt;=0,1,-1)*QUOTIENT(((c_TMAP3IN)-(c_TMAP2IN)),2)))&gt;=0,1,0)))</f>
        <v>112</v>
      </c>
      <c r="G230" s="7" t="n">
        <f aca="false">IF(((1000)-(c_TMAP3IN))=0,(c_TMAP3OUT)+QUOTIENT(((1000)-(c_TMAP3OUT)),2),QUOTIENT((((A230)-(c_TMAP3IN))*((1000)-(c_TMAP3OUT))+IF(((1000)-(c_TMAP3OUT))&gt;=0,1,-1)*QUOTIENT(((1000)-(c_TMAP3IN)),2)),((1000)-(c_TMAP3IN)))+(c_TMAP3OUT)+IF(((1000)-(c_TMAP3OUT))&gt;=0,IF(IF(o_WRAP=1,MOD(((1000)-(c_TMAP3IN))*(((A230)-(c_TMAP3IN))*((1000)-(c_TMAP3OUT))+IF(((1000)-(c_TMAP3OUT))&gt;=0,1,-1)*QUOTIENT(((1000)-(c_TMAP3IN)),2))+2147483648,4294967296)-2147483648,((1000)-(c_TMAP3IN))*(((A230)-(c_TMAP3IN))*((1000)-(c_TMAP3OUT))+IF(((1000)-(c_TMAP3OUT))&gt;=0,1,-1)*QUOTIENT(((1000)-(c_TMAP3IN)),2)))&lt;0,-1,0),IF(IF(o_WRAP=1,MOD(((1000)-(c_TMAP3IN))*(((A230)-(c_TMAP3IN))*((1000)-(c_TMAP3OUT))+IF(((1000)-(c_TMAP3OUT))&gt;=0,1,-1)*QUOTIENT(((1000)-(c_TMAP3IN)),2))+2147483648,4294967296)-2147483648,((1000)-(c_TMAP3IN))*(((A230)-(c_TMAP3IN))*((1000)-(c_TMAP3OUT))+IF(((1000)-(c_TMAP3OUT))&gt;=0,1,-1)*QUOTIENT(((1000)-(c_TMAP3IN)),2)))&gt;=0,1,0)))</f>
        <v>46</v>
      </c>
      <c r="H230" s="7" t="str">
        <f aca="false">IF(A230&gt;=c_TFWD,IF(AND(A230&gt;=c_TMAP3IN,c_TMAP3IN&lt;1000),"Seg4 map3-100%",IF(AND(A230&gt;=c_TMAP2IN,c_TMAP3IN&gt;c_TMAP2IN),"Seg3 map2-map3",IF(AND(A230&gt;=c_TMAP1IN,c_TMAP2IN&gt;c_TMAP1IN),"Seg2 map1-map2","Seg1 TFWD-map1"))),IF(AND(A230=0,c_TCREEP&gt;0),"Creep",IF(AND(A230&lt;=c_TRNGMIN,A230&gt;=c_TRNGMAX,c_TRNGMIN-c_TRNGMAX&lt;&gt;0),"Regen ramp","Coast (0)")))</f>
        <v>Seg2 map1-map2</v>
      </c>
      <c r="I230" s="7" t="n">
        <f aca="false">IF(A230&gt;=c_TFWD,IF(AND(A230&gt;=c_TMAP3IN,c_TMAP3IN&lt;1000),G230,IF(AND(A230&gt;=c_TMAP2IN,c_TMAP3IN&gt;c_TMAP2IN),F230,IF(AND(A230&gt;=c_TMAP1IN,c_TMAP2IN&gt;c_TMAP1IN),E230,D230))),C230)</f>
        <v>120</v>
      </c>
      <c r="J230" s="7" t="str">
        <f aca="false">IF(I230&lt;-1090,"TOO LOW",IF(I230&gt;1090,"TOO HIGH",""))</f>
        <v/>
      </c>
      <c r="K230" s="15" t="n">
        <f aca="false">IF(J230&lt;&gt;"",0,IF(I230&gt;979,1000,I230))</f>
        <v>120</v>
      </c>
      <c r="L230" s="7" t="n">
        <f aca="false">K230/10</f>
        <v>12</v>
      </c>
    </row>
    <row r="231" customFormat="false" ht="15" hidden="false" customHeight="false" outlineLevel="0" collapsed="false">
      <c r="A231" s="7" t="n">
        <v>226</v>
      </c>
      <c r="B231" s="7" t="n">
        <f aca="false">A231/10</f>
        <v>22.6</v>
      </c>
      <c r="C231" s="7" t="n">
        <f aca="false">IF(AND(A231=0,c_TCREEP&gt;0),10*c_TCREEP,IF(AND(A231&lt;=c_TRNGMIN,A231&gt;=c_TRNGMAX,c_TRNGMIN-c_TRNGMAX&lt;&gt;0),-10*c_TMINRN+QUOTIENT((c_TMAXRN-c_TMINRN)*(100-QUOTIENT((A231-c_TRNGMAX)*100,c_TRNGMIN-c_TRNGMAX)),-10),0))</f>
        <v>0</v>
      </c>
      <c r="D231" s="7" t="n">
        <f aca="false">IF(((c_TMAP1IN)-(c_TFWD))=0,(0)+QUOTIENT(((c_TMAP1OUT)-(0)),2),QUOTIENT((((A231)-(c_TFWD))*((c_TMAP1OUT)-(0))+IF(((c_TMAP1OUT)-(0))&gt;=0,1,-1)*QUOTIENT(((c_TMAP1IN)-(c_TFWD)),2)),((c_TMAP1IN)-(c_TFWD)))+(0)+IF(((c_TMAP1OUT)-(0))&gt;=0,IF(IF(o_WRAP=1,MOD(((c_TMAP1IN)-(c_TFWD))*(((A231)-(c_TFWD))*((c_TMAP1OUT)-(0))+IF(((c_TMAP1OUT)-(0))&gt;=0,1,-1)*QUOTIENT(((c_TMAP1IN)-(c_TFWD)),2))+2147483648,4294967296)-2147483648,((c_TMAP1IN)-(c_TFWD))*(((A231)-(c_TFWD))*((c_TMAP1OUT)-(0))+IF(((c_TMAP1OUT)-(0))&gt;=0,1,-1)*QUOTIENT(((c_TMAP1IN)-(c_TFWD)),2)))&lt;0,-1,0),IF(IF(o_WRAP=1,MOD(((c_TMAP1IN)-(c_TFWD))*(((A231)-(c_TFWD))*((c_TMAP1OUT)-(0))+IF(((c_TMAP1OUT)-(0))&gt;=0,1,-1)*QUOTIENT(((c_TMAP1IN)-(c_TFWD)),2))+2147483648,4294967296)-2147483648,((c_TMAP1IN)-(c_TFWD))*(((A231)-(c_TFWD))*((c_TMAP1OUT)-(0))+IF(((c_TMAP1OUT)-(0))&gt;=0,1,-1)*QUOTIENT(((c_TMAP1IN)-(c_TFWD)),2)))&gt;=0,1,0)))</f>
        <v>168</v>
      </c>
      <c r="E231" s="7" t="n">
        <f aca="false">IF(((c_TMAP2IN)-(c_TMAP1IN))=0,(c_TMAP1OUT)+QUOTIENT(((c_TMAP2OUT)-(c_TMAP1OUT)),2),QUOTIENT((((A231)-(c_TMAP1IN))*((c_TMAP2OUT)-(c_TMAP1OUT))+IF(((c_TMAP2OUT)-(c_TMAP1OUT))&gt;=0,1,-1)*QUOTIENT(((c_TMAP2IN)-(c_TMAP1IN)),2)),((c_TMAP2IN)-(c_TMAP1IN)))+(c_TMAP1OUT)+IF(((c_TMAP2OUT)-(c_TMAP1OUT))&gt;=0,IF(IF(o_WRAP=1,MOD(((c_TMAP2IN)-(c_TMAP1IN))*(((A231)-(c_TMAP1IN))*((c_TMAP2OUT)-(c_TMAP1OUT))+IF(((c_TMAP2OUT)-(c_TMAP1OUT))&gt;=0,1,-1)*QUOTIENT(((c_TMAP2IN)-(c_TMAP1IN)),2))+2147483648,4294967296)-2147483648,((c_TMAP2IN)-(c_TMAP1IN))*(((A231)-(c_TMAP1IN))*((c_TMAP2OUT)-(c_TMAP1OUT))+IF(((c_TMAP2OUT)-(c_TMAP1OUT))&gt;=0,1,-1)*QUOTIENT(((c_TMAP2IN)-(c_TMAP1IN)),2)))&lt;0,-1,0),IF(IF(o_WRAP=1,MOD(((c_TMAP2IN)-(c_TMAP1IN))*(((A231)-(c_TMAP1IN))*((c_TMAP2OUT)-(c_TMAP1OUT))+IF(((c_TMAP2OUT)-(c_TMAP1OUT))&gt;=0,1,-1)*QUOTIENT(((c_TMAP2IN)-(c_TMAP1IN)),2))+2147483648,4294967296)-2147483648,((c_TMAP2IN)-(c_TMAP1IN))*(((A231)-(c_TMAP1IN))*((c_TMAP2OUT)-(c_TMAP1OUT))+IF(((c_TMAP2OUT)-(c_TMAP1OUT))&gt;=0,1,-1)*QUOTIENT(((c_TMAP2IN)-(c_TMAP1IN)),2)))&gt;=0,1,0)))</f>
        <v>120</v>
      </c>
      <c r="F231" s="7" t="n">
        <f aca="false">IF(((c_TMAP3IN)-(c_TMAP2IN))=0,(c_TMAP2OUT)+QUOTIENT(((c_TMAP3OUT)-(c_TMAP2OUT)),2),QUOTIENT((((A231)-(c_TMAP2IN))*((c_TMAP3OUT)-(c_TMAP2OUT))+IF(((c_TMAP3OUT)-(c_TMAP2OUT))&gt;=0,1,-1)*QUOTIENT(((c_TMAP3IN)-(c_TMAP2IN)),2)),((c_TMAP3IN)-(c_TMAP2IN)))+(c_TMAP2OUT)+IF(((c_TMAP3OUT)-(c_TMAP2OUT))&gt;=0,IF(IF(o_WRAP=1,MOD(((c_TMAP3IN)-(c_TMAP2IN))*(((A231)-(c_TMAP2IN))*((c_TMAP3OUT)-(c_TMAP2OUT))+IF(((c_TMAP3OUT)-(c_TMAP2OUT))&gt;=0,1,-1)*QUOTIENT(((c_TMAP3IN)-(c_TMAP2IN)),2))+2147483648,4294967296)-2147483648,((c_TMAP3IN)-(c_TMAP2IN))*(((A231)-(c_TMAP2IN))*((c_TMAP3OUT)-(c_TMAP2OUT))+IF(((c_TMAP3OUT)-(c_TMAP2OUT))&gt;=0,1,-1)*QUOTIENT(((c_TMAP3IN)-(c_TMAP2IN)),2)))&lt;0,-1,0),IF(IF(o_WRAP=1,MOD(((c_TMAP3IN)-(c_TMAP2IN))*(((A231)-(c_TMAP2IN))*((c_TMAP3OUT)-(c_TMAP2OUT))+IF(((c_TMAP3OUT)-(c_TMAP2OUT))&gt;=0,1,-1)*QUOTIENT(((c_TMAP3IN)-(c_TMAP2IN)),2))+2147483648,4294967296)-2147483648,((c_TMAP3IN)-(c_TMAP2IN))*(((A231)-(c_TMAP2IN))*((c_TMAP3OUT)-(c_TMAP2OUT))+IF(((c_TMAP3OUT)-(c_TMAP2OUT))&gt;=0,1,-1)*QUOTIENT(((c_TMAP3IN)-(c_TMAP2IN)),2)))&gt;=0,1,0)))</f>
        <v>113</v>
      </c>
      <c r="G231" s="7" t="n">
        <f aca="false">IF(((1000)-(c_TMAP3IN))=0,(c_TMAP3OUT)+QUOTIENT(((1000)-(c_TMAP3OUT)),2),QUOTIENT((((A231)-(c_TMAP3IN))*((1000)-(c_TMAP3OUT))+IF(((1000)-(c_TMAP3OUT))&gt;=0,1,-1)*QUOTIENT(((1000)-(c_TMAP3IN)),2)),((1000)-(c_TMAP3IN)))+(c_TMAP3OUT)+IF(((1000)-(c_TMAP3OUT))&gt;=0,IF(IF(o_WRAP=1,MOD(((1000)-(c_TMAP3IN))*(((A231)-(c_TMAP3IN))*((1000)-(c_TMAP3OUT))+IF(((1000)-(c_TMAP3OUT))&gt;=0,1,-1)*QUOTIENT(((1000)-(c_TMAP3IN)),2))+2147483648,4294967296)-2147483648,((1000)-(c_TMAP3IN))*(((A231)-(c_TMAP3IN))*((1000)-(c_TMAP3OUT))+IF(((1000)-(c_TMAP3OUT))&gt;=0,1,-1)*QUOTIENT(((1000)-(c_TMAP3IN)),2)))&lt;0,-1,0),IF(IF(o_WRAP=1,MOD(((1000)-(c_TMAP3IN))*(((A231)-(c_TMAP3IN))*((1000)-(c_TMAP3OUT))+IF(((1000)-(c_TMAP3OUT))&gt;=0,1,-1)*QUOTIENT(((1000)-(c_TMAP3IN)),2))+2147483648,4294967296)-2147483648,((1000)-(c_TMAP3IN))*(((A231)-(c_TMAP3IN))*((1000)-(c_TMAP3OUT))+IF(((1000)-(c_TMAP3OUT))&gt;=0,1,-1)*QUOTIENT(((1000)-(c_TMAP3IN)),2)))&gt;=0,1,0)))</f>
        <v>47</v>
      </c>
      <c r="H231" s="7" t="str">
        <f aca="false">IF(A231&gt;=c_TFWD,IF(AND(A231&gt;=c_TMAP3IN,c_TMAP3IN&lt;1000),"Seg4 map3-100%",IF(AND(A231&gt;=c_TMAP2IN,c_TMAP3IN&gt;c_TMAP2IN),"Seg3 map2-map3",IF(AND(A231&gt;=c_TMAP1IN,c_TMAP2IN&gt;c_TMAP1IN),"Seg2 map1-map2","Seg1 TFWD-map1"))),IF(AND(A231=0,c_TCREEP&gt;0),"Creep",IF(AND(A231&lt;=c_TRNGMIN,A231&gt;=c_TRNGMAX,c_TRNGMIN-c_TRNGMAX&lt;&gt;0),"Regen ramp","Coast (0)")))</f>
        <v>Seg2 map1-map2</v>
      </c>
      <c r="I231" s="7" t="n">
        <f aca="false">IF(A231&gt;=c_TFWD,IF(AND(A231&gt;=c_TMAP3IN,c_TMAP3IN&lt;1000),G231,IF(AND(A231&gt;=c_TMAP2IN,c_TMAP3IN&gt;c_TMAP2IN),F231,IF(AND(A231&gt;=c_TMAP1IN,c_TMAP2IN&gt;c_TMAP1IN),E231,D231))),C231)</f>
        <v>120</v>
      </c>
      <c r="J231" s="7" t="str">
        <f aca="false">IF(I231&lt;-1090,"TOO LOW",IF(I231&gt;1090,"TOO HIGH",""))</f>
        <v/>
      </c>
      <c r="K231" s="15" t="n">
        <f aca="false">IF(J231&lt;&gt;"",0,IF(I231&gt;979,1000,I231))</f>
        <v>120</v>
      </c>
      <c r="L231" s="7" t="n">
        <f aca="false">K231/10</f>
        <v>12</v>
      </c>
    </row>
    <row r="232" customFormat="false" ht="15" hidden="false" customHeight="false" outlineLevel="0" collapsed="false">
      <c r="A232" s="7" t="n">
        <v>227</v>
      </c>
      <c r="B232" s="7" t="n">
        <f aca="false">A232/10</f>
        <v>22.7</v>
      </c>
      <c r="C232" s="7" t="n">
        <f aca="false">IF(AND(A232=0,c_TCREEP&gt;0),10*c_TCREEP,IF(AND(A232&lt;=c_TRNGMIN,A232&gt;=c_TRNGMAX,c_TRNGMIN-c_TRNGMAX&lt;&gt;0),-10*c_TMINRN+QUOTIENT((c_TMAXRN-c_TMINRN)*(100-QUOTIENT((A232-c_TRNGMAX)*100,c_TRNGMIN-c_TRNGMAX)),-10),0))</f>
        <v>0</v>
      </c>
      <c r="D232" s="7" t="n">
        <f aca="false">IF(((c_TMAP1IN)-(c_TFWD))=0,(0)+QUOTIENT(((c_TMAP1OUT)-(0)),2),QUOTIENT((((A232)-(c_TFWD))*((c_TMAP1OUT)-(0))+IF(((c_TMAP1OUT)-(0))&gt;=0,1,-1)*QUOTIENT(((c_TMAP1IN)-(c_TFWD)),2)),((c_TMAP1IN)-(c_TFWD)))+(0)+IF(((c_TMAP1OUT)-(0))&gt;=0,IF(IF(o_WRAP=1,MOD(((c_TMAP1IN)-(c_TFWD))*(((A232)-(c_TFWD))*((c_TMAP1OUT)-(0))+IF(((c_TMAP1OUT)-(0))&gt;=0,1,-1)*QUOTIENT(((c_TMAP1IN)-(c_TFWD)),2))+2147483648,4294967296)-2147483648,((c_TMAP1IN)-(c_TFWD))*(((A232)-(c_TFWD))*((c_TMAP1OUT)-(0))+IF(((c_TMAP1OUT)-(0))&gt;=0,1,-1)*QUOTIENT(((c_TMAP1IN)-(c_TFWD)),2)))&lt;0,-1,0),IF(IF(o_WRAP=1,MOD(((c_TMAP1IN)-(c_TFWD))*(((A232)-(c_TFWD))*((c_TMAP1OUT)-(0))+IF(((c_TMAP1OUT)-(0))&gt;=0,1,-1)*QUOTIENT(((c_TMAP1IN)-(c_TFWD)),2))+2147483648,4294967296)-2147483648,((c_TMAP1IN)-(c_TFWD))*(((A232)-(c_TFWD))*((c_TMAP1OUT)-(0))+IF(((c_TMAP1OUT)-(0))&gt;=0,1,-1)*QUOTIENT(((c_TMAP1IN)-(c_TFWD)),2)))&gt;=0,1,0)))</f>
        <v>169</v>
      </c>
      <c r="E232" s="7" t="n">
        <f aca="false">IF(((c_TMAP2IN)-(c_TMAP1IN))=0,(c_TMAP1OUT)+QUOTIENT(((c_TMAP2OUT)-(c_TMAP1OUT)),2),QUOTIENT((((A232)-(c_TMAP1IN))*((c_TMAP2OUT)-(c_TMAP1OUT))+IF(((c_TMAP2OUT)-(c_TMAP1OUT))&gt;=0,1,-1)*QUOTIENT(((c_TMAP2IN)-(c_TMAP1IN)),2)),((c_TMAP2IN)-(c_TMAP1IN)))+(c_TMAP1OUT)+IF(((c_TMAP2OUT)-(c_TMAP1OUT))&gt;=0,IF(IF(o_WRAP=1,MOD(((c_TMAP2IN)-(c_TMAP1IN))*(((A232)-(c_TMAP1IN))*((c_TMAP2OUT)-(c_TMAP1OUT))+IF(((c_TMAP2OUT)-(c_TMAP1OUT))&gt;=0,1,-1)*QUOTIENT(((c_TMAP2IN)-(c_TMAP1IN)),2))+2147483648,4294967296)-2147483648,((c_TMAP2IN)-(c_TMAP1IN))*(((A232)-(c_TMAP1IN))*((c_TMAP2OUT)-(c_TMAP1OUT))+IF(((c_TMAP2OUT)-(c_TMAP1OUT))&gt;=0,1,-1)*QUOTIENT(((c_TMAP2IN)-(c_TMAP1IN)),2)))&lt;0,-1,0),IF(IF(o_WRAP=1,MOD(((c_TMAP2IN)-(c_TMAP1IN))*(((A232)-(c_TMAP1IN))*((c_TMAP2OUT)-(c_TMAP1OUT))+IF(((c_TMAP2OUT)-(c_TMAP1OUT))&gt;=0,1,-1)*QUOTIENT(((c_TMAP2IN)-(c_TMAP1IN)),2))+2147483648,4294967296)-2147483648,((c_TMAP2IN)-(c_TMAP1IN))*(((A232)-(c_TMAP1IN))*((c_TMAP2OUT)-(c_TMAP1OUT))+IF(((c_TMAP2OUT)-(c_TMAP1OUT))&gt;=0,1,-1)*QUOTIENT(((c_TMAP2IN)-(c_TMAP1IN)),2)))&gt;=0,1,0)))</f>
        <v>121</v>
      </c>
      <c r="F232" s="7" t="n">
        <f aca="false">IF(((c_TMAP3IN)-(c_TMAP2IN))=0,(c_TMAP2OUT)+QUOTIENT(((c_TMAP3OUT)-(c_TMAP2OUT)),2),QUOTIENT((((A232)-(c_TMAP2IN))*((c_TMAP3OUT)-(c_TMAP2OUT))+IF(((c_TMAP3OUT)-(c_TMAP2OUT))&gt;=0,1,-1)*QUOTIENT(((c_TMAP3IN)-(c_TMAP2IN)),2)),((c_TMAP3IN)-(c_TMAP2IN)))+(c_TMAP2OUT)+IF(((c_TMAP3OUT)-(c_TMAP2OUT))&gt;=0,IF(IF(o_WRAP=1,MOD(((c_TMAP3IN)-(c_TMAP2IN))*(((A232)-(c_TMAP2IN))*((c_TMAP3OUT)-(c_TMAP2OUT))+IF(((c_TMAP3OUT)-(c_TMAP2OUT))&gt;=0,1,-1)*QUOTIENT(((c_TMAP3IN)-(c_TMAP2IN)),2))+2147483648,4294967296)-2147483648,((c_TMAP3IN)-(c_TMAP2IN))*(((A232)-(c_TMAP2IN))*((c_TMAP3OUT)-(c_TMAP2OUT))+IF(((c_TMAP3OUT)-(c_TMAP2OUT))&gt;=0,1,-1)*QUOTIENT(((c_TMAP3IN)-(c_TMAP2IN)),2)))&lt;0,-1,0),IF(IF(o_WRAP=1,MOD(((c_TMAP3IN)-(c_TMAP2IN))*(((A232)-(c_TMAP2IN))*((c_TMAP3OUT)-(c_TMAP2OUT))+IF(((c_TMAP3OUT)-(c_TMAP2OUT))&gt;=0,1,-1)*QUOTIENT(((c_TMAP3IN)-(c_TMAP2IN)),2))+2147483648,4294967296)-2147483648,((c_TMAP3IN)-(c_TMAP2IN))*(((A232)-(c_TMAP2IN))*((c_TMAP3OUT)-(c_TMAP2OUT))+IF(((c_TMAP3OUT)-(c_TMAP2OUT))&gt;=0,1,-1)*QUOTIENT(((c_TMAP3IN)-(c_TMAP2IN)),2)))&gt;=0,1,0)))</f>
        <v>114</v>
      </c>
      <c r="G232" s="7" t="n">
        <f aca="false">IF(((1000)-(c_TMAP3IN))=0,(c_TMAP3OUT)+QUOTIENT(((1000)-(c_TMAP3OUT)),2),QUOTIENT((((A232)-(c_TMAP3IN))*((1000)-(c_TMAP3OUT))+IF(((1000)-(c_TMAP3OUT))&gt;=0,1,-1)*QUOTIENT(((1000)-(c_TMAP3IN)),2)),((1000)-(c_TMAP3IN)))+(c_TMAP3OUT)+IF(((1000)-(c_TMAP3OUT))&gt;=0,IF(IF(o_WRAP=1,MOD(((1000)-(c_TMAP3IN))*(((A232)-(c_TMAP3IN))*((1000)-(c_TMAP3OUT))+IF(((1000)-(c_TMAP3OUT))&gt;=0,1,-1)*QUOTIENT(((1000)-(c_TMAP3IN)),2))+2147483648,4294967296)-2147483648,((1000)-(c_TMAP3IN))*(((A232)-(c_TMAP3IN))*((1000)-(c_TMAP3OUT))+IF(((1000)-(c_TMAP3OUT))&gt;=0,1,-1)*QUOTIENT(((1000)-(c_TMAP3IN)),2)))&lt;0,-1,0),IF(IF(o_WRAP=1,MOD(((1000)-(c_TMAP3IN))*(((A232)-(c_TMAP3IN))*((1000)-(c_TMAP3OUT))+IF(((1000)-(c_TMAP3OUT))&gt;=0,1,-1)*QUOTIENT(((1000)-(c_TMAP3IN)),2))+2147483648,4294967296)-2147483648,((1000)-(c_TMAP3IN))*(((A232)-(c_TMAP3IN))*((1000)-(c_TMAP3OUT))+IF(((1000)-(c_TMAP3OUT))&gt;=0,1,-1)*QUOTIENT(((1000)-(c_TMAP3IN)),2)))&gt;=0,1,0)))</f>
        <v>49</v>
      </c>
      <c r="H232" s="7" t="str">
        <f aca="false">IF(A232&gt;=c_TFWD,IF(AND(A232&gt;=c_TMAP3IN,c_TMAP3IN&lt;1000),"Seg4 map3-100%",IF(AND(A232&gt;=c_TMAP2IN,c_TMAP3IN&gt;c_TMAP2IN),"Seg3 map2-map3",IF(AND(A232&gt;=c_TMAP1IN,c_TMAP2IN&gt;c_TMAP1IN),"Seg2 map1-map2","Seg1 TFWD-map1"))),IF(AND(A232=0,c_TCREEP&gt;0),"Creep",IF(AND(A232&lt;=c_TRNGMIN,A232&gt;=c_TRNGMAX,c_TRNGMIN-c_TRNGMAX&lt;&gt;0),"Regen ramp","Coast (0)")))</f>
        <v>Seg2 map1-map2</v>
      </c>
      <c r="I232" s="7" t="n">
        <f aca="false">IF(A232&gt;=c_TFWD,IF(AND(A232&gt;=c_TMAP3IN,c_TMAP3IN&lt;1000),G232,IF(AND(A232&gt;=c_TMAP2IN,c_TMAP3IN&gt;c_TMAP2IN),F232,IF(AND(A232&gt;=c_TMAP1IN,c_TMAP2IN&gt;c_TMAP1IN),E232,D232))),C232)</f>
        <v>121</v>
      </c>
      <c r="J232" s="7" t="str">
        <f aca="false">IF(I232&lt;-1090,"TOO LOW",IF(I232&gt;1090,"TOO HIGH",""))</f>
        <v/>
      </c>
      <c r="K232" s="15" t="n">
        <f aca="false">IF(J232&lt;&gt;"",0,IF(I232&gt;979,1000,I232))</f>
        <v>121</v>
      </c>
      <c r="L232" s="7" t="n">
        <f aca="false">K232/10</f>
        <v>12.1</v>
      </c>
    </row>
    <row r="233" customFormat="false" ht="15" hidden="false" customHeight="false" outlineLevel="0" collapsed="false">
      <c r="A233" s="7" t="n">
        <v>228</v>
      </c>
      <c r="B233" s="7" t="n">
        <f aca="false">A233/10</f>
        <v>22.8</v>
      </c>
      <c r="C233" s="7" t="n">
        <f aca="false">IF(AND(A233=0,c_TCREEP&gt;0),10*c_TCREEP,IF(AND(A233&lt;=c_TRNGMIN,A233&gt;=c_TRNGMAX,c_TRNGMIN-c_TRNGMAX&lt;&gt;0),-10*c_TMINRN+QUOTIENT((c_TMAXRN-c_TMINRN)*(100-QUOTIENT((A233-c_TRNGMAX)*100,c_TRNGMIN-c_TRNGMAX)),-10),0))</f>
        <v>0</v>
      </c>
      <c r="D233" s="7" t="n">
        <f aca="false">IF(((c_TMAP1IN)-(c_TFWD))=0,(0)+QUOTIENT(((c_TMAP1OUT)-(0)),2),QUOTIENT((((A233)-(c_TFWD))*((c_TMAP1OUT)-(0))+IF(((c_TMAP1OUT)-(0))&gt;=0,1,-1)*QUOTIENT(((c_TMAP1IN)-(c_TFWD)),2)),((c_TMAP1IN)-(c_TFWD)))+(0)+IF(((c_TMAP1OUT)-(0))&gt;=0,IF(IF(o_WRAP=1,MOD(((c_TMAP1IN)-(c_TFWD))*(((A233)-(c_TFWD))*((c_TMAP1OUT)-(0))+IF(((c_TMAP1OUT)-(0))&gt;=0,1,-1)*QUOTIENT(((c_TMAP1IN)-(c_TFWD)),2))+2147483648,4294967296)-2147483648,((c_TMAP1IN)-(c_TFWD))*(((A233)-(c_TFWD))*((c_TMAP1OUT)-(0))+IF(((c_TMAP1OUT)-(0))&gt;=0,1,-1)*QUOTIENT(((c_TMAP1IN)-(c_TFWD)),2)))&lt;0,-1,0),IF(IF(o_WRAP=1,MOD(((c_TMAP1IN)-(c_TFWD))*(((A233)-(c_TFWD))*((c_TMAP1OUT)-(0))+IF(((c_TMAP1OUT)-(0))&gt;=0,1,-1)*QUOTIENT(((c_TMAP1IN)-(c_TFWD)),2))+2147483648,4294967296)-2147483648,((c_TMAP1IN)-(c_TFWD))*(((A233)-(c_TFWD))*((c_TMAP1OUT)-(0))+IF(((c_TMAP1OUT)-(0))&gt;=0,1,-1)*QUOTIENT(((c_TMAP1IN)-(c_TFWD)),2)))&gt;=0,1,0)))</f>
        <v>170</v>
      </c>
      <c r="E233" s="7" t="n">
        <f aca="false">IF(((c_TMAP2IN)-(c_TMAP1IN))=0,(c_TMAP1OUT)+QUOTIENT(((c_TMAP2OUT)-(c_TMAP1OUT)),2),QUOTIENT((((A233)-(c_TMAP1IN))*((c_TMAP2OUT)-(c_TMAP1OUT))+IF(((c_TMAP2OUT)-(c_TMAP1OUT))&gt;=0,1,-1)*QUOTIENT(((c_TMAP2IN)-(c_TMAP1IN)),2)),((c_TMAP2IN)-(c_TMAP1IN)))+(c_TMAP1OUT)+IF(((c_TMAP2OUT)-(c_TMAP1OUT))&gt;=0,IF(IF(o_WRAP=1,MOD(((c_TMAP2IN)-(c_TMAP1IN))*(((A233)-(c_TMAP1IN))*((c_TMAP2OUT)-(c_TMAP1OUT))+IF(((c_TMAP2OUT)-(c_TMAP1OUT))&gt;=0,1,-1)*QUOTIENT(((c_TMAP2IN)-(c_TMAP1IN)),2))+2147483648,4294967296)-2147483648,((c_TMAP2IN)-(c_TMAP1IN))*(((A233)-(c_TMAP1IN))*((c_TMAP2OUT)-(c_TMAP1OUT))+IF(((c_TMAP2OUT)-(c_TMAP1OUT))&gt;=0,1,-1)*QUOTIENT(((c_TMAP2IN)-(c_TMAP1IN)),2)))&lt;0,-1,0),IF(IF(o_WRAP=1,MOD(((c_TMAP2IN)-(c_TMAP1IN))*(((A233)-(c_TMAP1IN))*((c_TMAP2OUT)-(c_TMAP1OUT))+IF(((c_TMAP2OUT)-(c_TMAP1OUT))&gt;=0,1,-1)*QUOTIENT(((c_TMAP2IN)-(c_TMAP1IN)),2))+2147483648,4294967296)-2147483648,((c_TMAP2IN)-(c_TMAP1IN))*(((A233)-(c_TMAP1IN))*((c_TMAP2OUT)-(c_TMAP1OUT))+IF(((c_TMAP2OUT)-(c_TMAP1OUT))&gt;=0,1,-1)*QUOTIENT(((c_TMAP2IN)-(c_TMAP1IN)),2)))&gt;=0,1,0)))</f>
        <v>121</v>
      </c>
      <c r="F233" s="7" t="n">
        <f aca="false">IF(((c_TMAP3IN)-(c_TMAP2IN))=0,(c_TMAP2OUT)+QUOTIENT(((c_TMAP3OUT)-(c_TMAP2OUT)),2),QUOTIENT((((A233)-(c_TMAP2IN))*((c_TMAP3OUT)-(c_TMAP2OUT))+IF(((c_TMAP3OUT)-(c_TMAP2OUT))&gt;=0,1,-1)*QUOTIENT(((c_TMAP3IN)-(c_TMAP2IN)),2)),((c_TMAP3IN)-(c_TMAP2IN)))+(c_TMAP2OUT)+IF(((c_TMAP3OUT)-(c_TMAP2OUT))&gt;=0,IF(IF(o_WRAP=1,MOD(((c_TMAP3IN)-(c_TMAP2IN))*(((A233)-(c_TMAP2IN))*((c_TMAP3OUT)-(c_TMAP2OUT))+IF(((c_TMAP3OUT)-(c_TMAP2OUT))&gt;=0,1,-1)*QUOTIENT(((c_TMAP3IN)-(c_TMAP2IN)),2))+2147483648,4294967296)-2147483648,((c_TMAP3IN)-(c_TMAP2IN))*(((A233)-(c_TMAP2IN))*((c_TMAP3OUT)-(c_TMAP2OUT))+IF(((c_TMAP3OUT)-(c_TMAP2OUT))&gt;=0,1,-1)*QUOTIENT(((c_TMAP3IN)-(c_TMAP2IN)),2)))&lt;0,-1,0),IF(IF(o_WRAP=1,MOD(((c_TMAP3IN)-(c_TMAP2IN))*(((A233)-(c_TMAP2IN))*((c_TMAP3OUT)-(c_TMAP2OUT))+IF(((c_TMAP3OUT)-(c_TMAP2OUT))&gt;=0,1,-1)*QUOTIENT(((c_TMAP3IN)-(c_TMAP2IN)),2))+2147483648,4294967296)-2147483648,((c_TMAP3IN)-(c_TMAP2IN))*(((A233)-(c_TMAP2IN))*((c_TMAP3OUT)-(c_TMAP2OUT))+IF(((c_TMAP3OUT)-(c_TMAP2OUT))&gt;=0,1,-1)*QUOTIENT(((c_TMAP3IN)-(c_TMAP2IN)),2)))&gt;=0,1,0)))</f>
        <v>115</v>
      </c>
      <c r="G233" s="7" t="n">
        <f aca="false">IF(((1000)-(c_TMAP3IN))=0,(c_TMAP3OUT)+QUOTIENT(((1000)-(c_TMAP3OUT)),2),QUOTIENT((((A233)-(c_TMAP3IN))*((1000)-(c_TMAP3OUT))+IF(((1000)-(c_TMAP3OUT))&gt;=0,1,-1)*QUOTIENT(((1000)-(c_TMAP3IN)),2)),((1000)-(c_TMAP3IN)))+(c_TMAP3OUT)+IF(((1000)-(c_TMAP3OUT))&gt;=0,IF(IF(o_WRAP=1,MOD(((1000)-(c_TMAP3IN))*(((A233)-(c_TMAP3IN))*((1000)-(c_TMAP3OUT))+IF(((1000)-(c_TMAP3OUT))&gt;=0,1,-1)*QUOTIENT(((1000)-(c_TMAP3IN)),2))+2147483648,4294967296)-2147483648,((1000)-(c_TMAP3IN))*(((A233)-(c_TMAP3IN))*((1000)-(c_TMAP3OUT))+IF(((1000)-(c_TMAP3OUT))&gt;=0,1,-1)*QUOTIENT(((1000)-(c_TMAP3IN)),2)))&lt;0,-1,0),IF(IF(o_WRAP=1,MOD(((1000)-(c_TMAP3IN))*(((A233)-(c_TMAP3IN))*((1000)-(c_TMAP3OUT))+IF(((1000)-(c_TMAP3OUT))&gt;=0,1,-1)*QUOTIENT(((1000)-(c_TMAP3IN)),2))+2147483648,4294967296)-2147483648,((1000)-(c_TMAP3IN))*(((A233)-(c_TMAP3IN))*((1000)-(c_TMAP3OUT))+IF(((1000)-(c_TMAP3OUT))&gt;=0,1,-1)*QUOTIENT(((1000)-(c_TMAP3IN)),2)))&gt;=0,1,0)))</f>
        <v>50</v>
      </c>
      <c r="H233" s="7" t="str">
        <f aca="false">IF(A233&gt;=c_TFWD,IF(AND(A233&gt;=c_TMAP3IN,c_TMAP3IN&lt;1000),"Seg4 map3-100%",IF(AND(A233&gt;=c_TMAP2IN,c_TMAP3IN&gt;c_TMAP2IN),"Seg3 map2-map3",IF(AND(A233&gt;=c_TMAP1IN,c_TMAP2IN&gt;c_TMAP1IN),"Seg2 map1-map2","Seg1 TFWD-map1"))),IF(AND(A233=0,c_TCREEP&gt;0),"Creep",IF(AND(A233&lt;=c_TRNGMIN,A233&gt;=c_TRNGMAX,c_TRNGMIN-c_TRNGMAX&lt;&gt;0),"Regen ramp","Coast (0)")))</f>
        <v>Seg2 map1-map2</v>
      </c>
      <c r="I233" s="7" t="n">
        <f aca="false">IF(A233&gt;=c_TFWD,IF(AND(A233&gt;=c_TMAP3IN,c_TMAP3IN&lt;1000),G233,IF(AND(A233&gt;=c_TMAP2IN,c_TMAP3IN&gt;c_TMAP2IN),F233,IF(AND(A233&gt;=c_TMAP1IN,c_TMAP2IN&gt;c_TMAP1IN),E233,D233))),C233)</f>
        <v>121</v>
      </c>
      <c r="J233" s="7" t="str">
        <f aca="false">IF(I233&lt;-1090,"TOO LOW",IF(I233&gt;1090,"TOO HIGH",""))</f>
        <v/>
      </c>
      <c r="K233" s="15" t="n">
        <f aca="false">IF(J233&lt;&gt;"",0,IF(I233&gt;979,1000,I233))</f>
        <v>121</v>
      </c>
      <c r="L233" s="7" t="n">
        <f aca="false">K233/10</f>
        <v>12.1</v>
      </c>
    </row>
    <row r="234" customFormat="false" ht="15" hidden="false" customHeight="false" outlineLevel="0" collapsed="false">
      <c r="A234" s="7" t="n">
        <v>229</v>
      </c>
      <c r="B234" s="7" t="n">
        <f aca="false">A234/10</f>
        <v>22.9</v>
      </c>
      <c r="C234" s="7" t="n">
        <f aca="false">IF(AND(A234=0,c_TCREEP&gt;0),10*c_TCREEP,IF(AND(A234&lt;=c_TRNGMIN,A234&gt;=c_TRNGMAX,c_TRNGMIN-c_TRNGMAX&lt;&gt;0),-10*c_TMINRN+QUOTIENT((c_TMAXRN-c_TMINRN)*(100-QUOTIENT((A234-c_TRNGMAX)*100,c_TRNGMIN-c_TRNGMAX)),-10),0))</f>
        <v>0</v>
      </c>
      <c r="D234" s="7" t="n">
        <f aca="false">IF(((c_TMAP1IN)-(c_TFWD))=0,(0)+QUOTIENT(((c_TMAP1OUT)-(0)),2),QUOTIENT((((A234)-(c_TFWD))*((c_TMAP1OUT)-(0))+IF(((c_TMAP1OUT)-(0))&gt;=0,1,-1)*QUOTIENT(((c_TMAP1IN)-(c_TFWD)),2)),((c_TMAP1IN)-(c_TFWD)))+(0)+IF(((c_TMAP1OUT)-(0))&gt;=0,IF(IF(o_WRAP=1,MOD(((c_TMAP1IN)-(c_TFWD))*(((A234)-(c_TFWD))*((c_TMAP1OUT)-(0))+IF(((c_TMAP1OUT)-(0))&gt;=0,1,-1)*QUOTIENT(((c_TMAP1IN)-(c_TFWD)),2))+2147483648,4294967296)-2147483648,((c_TMAP1IN)-(c_TFWD))*(((A234)-(c_TFWD))*((c_TMAP1OUT)-(0))+IF(((c_TMAP1OUT)-(0))&gt;=0,1,-1)*QUOTIENT(((c_TMAP1IN)-(c_TFWD)),2)))&lt;0,-1,0),IF(IF(o_WRAP=1,MOD(((c_TMAP1IN)-(c_TFWD))*(((A234)-(c_TFWD))*((c_TMAP1OUT)-(0))+IF(((c_TMAP1OUT)-(0))&gt;=0,1,-1)*QUOTIENT(((c_TMAP1IN)-(c_TFWD)),2))+2147483648,4294967296)-2147483648,((c_TMAP1IN)-(c_TFWD))*(((A234)-(c_TFWD))*((c_TMAP1OUT)-(0))+IF(((c_TMAP1OUT)-(0))&gt;=0,1,-1)*QUOTIENT(((c_TMAP1IN)-(c_TFWD)),2)))&gt;=0,1,0)))</f>
        <v>170</v>
      </c>
      <c r="E234" s="7" t="n">
        <f aca="false">IF(((c_TMAP2IN)-(c_TMAP1IN))=0,(c_TMAP1OUT)+QUOTIENT(((c_TMAP2OUT)-(c_TMAP1OUT)),2),QUOTIENT((((A234)-(c_TMAP1IN))*((c_TMAP2OUT)-(c_TMAP1OUT))+IF(((c_TMAP2OUT)-(c_TMAP1OUT))&gt;=0,1,-1)*QUOTIENT(((c_TMAP2IN)-(c_TMAP1IN)),2)),((c_TMAP2IN)-(c_TMAP1IN)))+(c_TMAP1OUT)+IF(((c_TMAP2OUT)-(c_TMAP1OUT))&gt;=0,IF(IF(o_WRAP=1,MOD(((c_TMAP2IN)-(c_TMAP1IN))*(((A234)-(c_TMAP1IN))*((c_TMAP2OUT)-(c_TMAP1OUT))+IF(((c_TMAP2OUT)-(c_TMAP1OUT))&gt;=0,1,-1)*QUOTIENT(((c_TMAP2IN)-(c_TMAP1IN)),2))+2147483648,4294967296)-2147483648,((c_TMAP2IN)-(c_TMAP1IN))*(((A234)-(c_TMAP1IN))*((c_TMAP2OUT)-(c_TMAP1OUT))+IF(((c_TMAP2OUT)-(c_TMAP1OUT))&gt;=0,1,-1)*QUOTIENT(((c_TMAP2IN)-(c_TMAP1IN)),2)))&lt;0,-1,0),IF(IF(o_WRAP=1,MOD(((c_TMAP2IN)-(c_TMAP1IN))*(((A234)-(c_TMAP1IN))*((c_TMAP2OUT)-(c_TMAP1OUT))+IF(((c_TMAP2OUT)-(c_TMAP1OUT))&gt;=0,1,-1)*QUOTIENT(((c_TMAP2IN)-(c_TMAP1IN)),2))+2147483648,4294967296)-2147483648,((c_TMAP2IN)-(c_TMAP1IN))*(((A234)-(c_TMAP1IN))*((c_TMAP2OUT)-(c_TMAP1OUT))+IF(((c_TMAP2OUT)-(c_TMAP1OUT))&gt;=0,1,-1)*QUOTIENT(((c_TMAP2IN)-(c_TMAP1IN)),2)))&gt;=0,1,0)))</f>
        <v>122</v>
      </c>
      <c r="F234" s="7" t="n">
        <f aca="false">IF(((c_TMAP3IN)-(c_TMAP2IN))=0,(c_TMAP2OUT)+QUOTIENT(((c_TMAP3OUT)-(c_TMAP2OUT)),2),QUOTIENT((((A234)-(c_TMAP2IN))*((c_TMAP3OUT)-(c_TMAP2OUT))+IF(((c_TMAP3OUT)-(c_TMAP2OUT))&gt;=0,1,-1)*QUOTIENT(((c_TMAP3IN)-(c_TMAP2IN)),2)),((c_TMAP3IN)-(c_TMAP2IN)))+(c_TMAP2OUT)+IF(((c_TMAP3OUT)-(c_TMAP2OUT))&gt;=0,IF(IF(o_WRAP=1,MOD(((c_TMAP3IN)-(c_TMAP2IN))*(((A234)-(c_TMAP2IN))*((c_TMAP3OUT)-(c_TMAP2OUT))+IF(((c_TMAP3OUT)-(c_TMAP2OUT))&gt;=0,1,-1)*QUOTIENT(((c_TMAP3IN)-(c_TMAP2IN)),2))+2147483648,4294967296)-2147483648,((c_TMAP3IN)-(c_TMAP2IN))*(((A234)-(c_TMAP2IN))*((c_TMAP3OUT)-(c_TMAP2OUT))+IF(((c_TMAP3OUT)-(c_TMAP2OUT))&gt;=0,1,-1)*QUOTIENT(((c_TMAP3IN)-(c_TMAP2IN)),2)))&lt;0,-1,0),IF(IF(o_WRAP=1,MOD(((c_TMAP3IN)-(c_TMAP2IN))*(((A234)-(c_TMAP2IN))*((c_TMAP3OUT)-(c_TMAP2OUT))+IF(((c_TMAP3OUT)-(c_TMAP2OUT))&gt;=0,1,-1)*QUOTIENT(((c_TMAP3IN)-(c_TMAP2IN)),2))+2147483648,4294967296)-2147483648,((c_TMAP3IN)-(c_TMAP2IN))*(((A234)-(c_TMAP2IN))*((c_TMAP3OUT)-(c_TMAP2OUT))+IF(((c_TMAP3OUT)-(c_TMAP2OUT))&gt;=0,1,-1)*QUOTIENT(((c_TMAP3IN)-(c_TMAP2IN)),2)))&gt;=0,1,0)))</f>
        <v>115</v>
      </c>
      <c r="G234" s="7" t="n">
        <f aca="false">IF(((1000)-(c_TMAP3IN))=0,(c_TMAP3OUT)+QUOTIENT(((1000)-(c_TMAP3OUT)),2),QUOTIENT((((A234)-(c_TMAP3IN))*((1000)-(c_TMAP3OUT))+IF(((1000)-(c_TMAP3OUT))&gt;=0,1,-1)*QUOTIENT(((1000)-(c_TMAP3IN)),2)),((1000)-(c_TMAP3IN)))+(c_TMAP3OUT)+IF(((1000)-(c_TMAP3OUT))&gt;=0,IF(IF(o_WRAP=1,MOD(((1000)-(c_TMAP3IN))*(((A234)-(c_TMAP3IN))*((1000)-(c_TMAP3OUT))+IF(((1000)-(c_TMAP3OUT))&gt;=0,1,-1)*QUOTIENT(((1000)-(c_TMAP3IN)),2))+2147483648,4294967296)-2147483648,((1000)-(c_TMAP3IN))*(((A234)-(c_TMAP3IN))*((1000)-(c_TMAP3OUT))+IF(((1000)-(c_TMAP3OUT))&gt;=0,1,-1)*QUOTIENT(((1000)-(c_TMAP3IN)),2)))&lt;0,-1,0),IF(IF(o_WRAP=1,MOD(((1000)-(c_TMAP3IN))*(((A234)-(c_TMAP3IN))*((1000)-(c_TMAP3OUT))+IF(((1000)-(c_TMAP3OUT))&gt;=0,1,-1)*QUOTIENT(((1000)-(c_TMAP3IN)),2))+2147483648,4294967296)-2147483648,((1000)-(c_TMAP3IN))*(((A234)-(c_TMAP3IN))*((1000)-(c_TMAP3OUT))+IF(((1000)-(c_TMAP3OUT))&gt;=0,1,-1)*QUOTIENT(((1000)-(c_TMAP3IN)),2)))&gt;=0,1,0)))</f>
        <v>51</v>
      </c>
      <c r="H234" s="7" t="str">
        <f aca="false">IF(A234&gt;=c_TFWD,IF(AND(A234&gt;=c_TMAP3IN,c_TMAP3IN&lt;1000),"Seg4 map3-100%",IF(AND(A234&gt;=c_TMAP2IN,c_TMAP3IN&gt;c_TMAP2IN),"Seg3 map2-map3",IF(AND(A234&gt;=c_TMAP1IN,c_TMAP2IN&gt;c_TMAP1IN),"Seg2 map1-map2","Seg1 TFWD-map1"))),IF(AND(A234=0,c_TCREEP&gt;0),"Creep",IF(AND(A234&lt;=c_TRNGMIN,A234&gt;=c_TRNGMAX,c_TRNGMIN-c_TRNGMAX&lt;&gt;0),"Regen ramp","Coast (0)")))</f>
        <v>Seg2 map1-map2</v>
      </c>
      <c r="I234" s="7" t="n">
        <f aca="false">IF(A234&gt;=c_TFWD,IF(AND(A234&gt;=c_TMAP3IN,c_TMAP3IN&lt;1000),G234,IF(AND(A234&gt;=c_TMAP2IN,c_TMAP3IN&gt;c_TMAP2IN),F234,IF(AND(A234&gt;=c_TMAP1IN,c_TMAP2IN&gt;c_TMAP1IN),E234,D234))),C234)</f>
        <v>122</v>
      </c>
      <c r="J234" s="7" t="str">
        <f aca="false">IF(I234&lt;-1090,"TOO LOW",IF(I234&gt;1090,"TOO HIGH",""))</f>
        <v/>
      </c>
      <c r="K234" s="15" t="n">
        <f aca="false">IF(J234&lt;&gt;"",0,IF(I234&gt;979,1000,I234))</f>
        <v>122</v>
      </c>
      <c r="L234" s="7" t="n">
        <f aca="false">K234/10</f>
        <v>12.2</v>
      </c>
    </row>
    <row r="235" customFormat="false" ht="15" hidden="false" customHeight="false" outlineLevel="0" collapsed="false">
      <c r="A235" s="7" t="n">
        <v>230</v>
      </c>
      <c r="B235" s="7" t="n">
        <f aca="false">A235/10</f>
        <v>23</v>
      </c>
      <c r="C235" s="7" t="n">
        <f aca="false">IF(AND(A235=0,c_TCREEP&gt;0),10*c_TCREEP,IF(AND(A235&lt;=c_TRNGMIN,A235&gt;=c_TRNGMAX,c_TRNGMIN-c_TRNGMAX&lt;&gt;0),-10*c_TMINRN+QUOTIENT((c_TMAXRN-c_TMINRN)*(100-QUOTIENT((A235-c_TRNGMAX)*100,c_TRNGMIN-c_TRNGMAX)),-10),0))</f>
        <v>0</v>
      </c>
      <c r="D235" s="7" t="n">
        <f aca="false">IF(((c_TMAP1IN)-(c_TFWD))=0,(0)+QUOTIENT(((c_TMAP1OUT)-(0)),2),QUOTIENT((((A235)-(c_TFWD))*((c_TMAP1OUT)-(0))+IF(((c_TMAP1OUT)-(0))&gt;=0,1,-1)*QUOTIENT(((c_TMAP1IN)-(c_TFWD)),2)),((c_TMAP1IN)-(c_TFWD)))+(0)+IF(((c_TMAP1OUT)-(0))&gt;=0,IF(IF(o_WRAP=1,MOD(((c_TMAP1IN)-(c_TFWD))*(((A235)-(c_TFWD))*((c_TMAP1OUT)-(0))+IF(((c_TMAP1OUT)-(0))&gt;=0,1,-1)*QUOTIENT(((c_TMAP1IN)-(c_TFWD)),2))+2147483648,4294967296)-2147483648,((c_TMAP1IN)-(c_TFWD))*(((A235)-(c_TFWD))*((c_TMAP1OUT)-(0))+IF(((c_TMAP1OUT)-(0))&gt;=0,1,-1)*QUOTIENT(((c_TMAP1IN)-(c_TFWD)),2)))&lt;0,-1,0),IF(IF(o_WRAP=1,MOD(((c_TMAP1IN)-(c_TFWD))*(((A235)-(c_TFWD))*((c_TMAP1OUT)-(0))+IF(((c_TMAP1OUT)-(0))&gt;=0,1,-1)*QUOTIENT(((c_TMAP1IN)-(c_TFWD)),2))+2147483648,4294967296)-2147483648,((c_TMAP1IN)-(c_TFWD))*(((A235)-(c_TFWD))*((c_TMAP1OUT)-(0))+IF(((c_TMAP1OUT)-(0))&gt;=0,1,-1)*QUOTIENT(((c_TMAP1IN)-(c_TFWD)),2)))&gt;=0,1,0)))</f>
        <v>171</v>
      </c>
      <c r="E235" s="7" t="n">
        <f aca="false">IF(((c_TMAP2IN)-(c_TMAP1IN))=0,(c_TMAP1OUT)+QUOTIENT(((c_TMAP2OUT)-(c_TMAP1OUT)),2),QUOTIENT((((A235)-(c_TMAP1IN))*((c_TMAP2OUT)-(c_TMAP1OUT))+IF(((c_TMAP2OUT)-(c_TMAP1OUT))&gt;=0,1,-1)*QUOTIENT(((c_TMAP2IN)-(c_TMAP1IN)),2)),((c_TMAP2IN)-(c_TMAP1IN)))+(c_TMAP1OUT)+IF(((c_TMAP2OUT)-(c_TMAP1OUT))&gt;=0,IF(IF(o_WRAP=1,MOD(((c_TMAP2IN)-(c_TMAP1IN))*(((A235)-(c_TMAP1IN))*((c_TMAP2OUT)-(c_TMAP1OUT))+IF(((c_TMAP2OUT)-(c_TMAP1OUT))&gt;=0,1,-1)*QUOTIENT(((c_TMAP2IN)-(c_TMAP1IN)),2))+2147483648,4294967296)-2147483648,((c_TMAP2IN)-(c_TMAP1IN))*(((A235)-(c_TMAP1IN))*((c_TMAP2OUT)-(c_TMAP1OUT))+IF(((c_TMAP2OUT)-(c_TMAP1OUT))&gt;=0,1,-1)*QUOTIENT(((c_TMAP2IN)-(c_TMAP1IN)),2)))&lt;0,-1,0),IF(IF(o_WRAP=1,MOD(((c_TMAP2IN)-(c_TMAP1IN))*(((A235)-(c_TMAP1IN))*((c_TMAP2OUT)-(c_TMAP1OUT))+IF(((c_TMAP2OUT)-(c_TMAP1OUT))&gt;=0,1,-1)*QUOTIENT(((c_TMAP2IN)-(c_TMAP1IN)),2))+2147483648,4294967296)-2147483648,((c_TMAP2IN)-(c_TMAP1IN))*(((A235)-(c_TMAP1IN))*((c_TMAP2OUT)-(c_TMAP1OUT))+IF(((c_TMAP2OUT)-(c_TMAP1OUT))&gt;=0,1,-1)*QUOTIENT(((c_TMAP2IN)-(c_TMAP1IN)),2)))&gt;=0,1,0)))</f>
        <v>122</v>
      </c>
      <c r="F235" s="7" t="n">
        <f aca="false">IF(((c_TMAP3IN)-(c_TMAP2IN))=0,(c_TMAP2OUT)+QUOTIENT(((c_TMAP3OUT)-(c_TMAP2OUT)),2),QUOTIENT((((A235)-(c_TMAP2IN))*((c_TMAP3OUT)-(c_TMAP2OUT))+IF(((c_TMAP3OUT)-(c_TMAP2OUT))&gt;=0,1,-1)*QUOTIENT(((c_TMAP3IN)-(c_TMAP2IN)),2)),((c_TMAP3IN)-(c_TMAP2IN)))+(c_TMAP2OUT)+IF(((c_TMAP3OUT)-(c_TMAP2OUT))&gt;=0,IF(IF(o_WRAP=1,MOD(((c_TMAP3IN)-(c_TMAP2IN))*(((A235)-(c_TMAP2IN))*((c_TMAP3OUT)-(c_TMAP2OUT))+IF(((c_TMAP3OUT)-(c_TMAP2OUT))&gt;=0,1,-1)*QUOTIENT(((c_TMAP3IN)-(c_TMAP2IN)),2))+2147483648,4294967296)-2147483648,((c_TMAP3IN)-(c_TMAP2IN))*(((A235)-(c_TMAP2IN))*((c_TMAP3OUT)-(c_TMAP2OUT))+IF(((c_TMAP3OUT)-(c_TMAP2OUT))&gt;=0,1,-1)*QUOTIENT(((c_TMAP3IN)-(c_TMAP2IN)),2)))&lt;0,-1,0),IF(IF(o_WRAP=1,MOD(((c_TMAP3IN)-(c_TMAP2IN))*(((A235)-(c_TMAP2IN))*((c_TMAP3OUT)-(c_TMAP2OUT))+IF(((c_TMAP3OUT)-(c_TMAP2OUT))&gt;=0,1,-1)*QUOTIENT(((c_TMAP3IN)-(c_TMAP2IN)),2))+2147483648,4294967296)-2147483648,((c_TMAP3IN)-(c_TMAP2IN))*(((A235)-(c_TMAP2IN))*((c_TMAP3OUT)-(c_TMAP2OUT))+IF(((c_TMAP3OUT)-(c_TMAP2OUT))&gt;=0,1,-1)*QUOTIENT(((c_TMAP3IN)-(c_TMAP2IN)),2)))&gt;=0,1,0)))</f>
        <v>116</v>
      </c>
      <c r="G235" s="7" t="n">
        <f aca="false">IF(((1000)-(c_TMAP3IN))=0,(c_TMAP3OUT)+QUOTIENT(((1000)-(c_TMAP3OUT)),2),QUOTIENT((((A235)-(c_TMAP3IN))*((1000)-(c_TMAP3OUT))+IF(((1000)-(c_TMAP3OUT))&gt;=0,1,-1)*QUOTIENT(((1000)-(c_TMAP3IN)),2)),((1000)-(c_TMAP3IN)))+(c_TMAP3OUT)+IF(((1000)-(c_TMAP3OUT))&gt;=0,IF(IF(o_WRAP=1,MOD(((1000)-(c_TMAP3IN))*(((A235)-(c_TMAP3IN))*((1000)-(c_TMAP3OUT))+IF(((1000)-(c_TMAP3OUT))&gt;=0,1,-1)*QUOTIENT(((1000)-(c_TMAP3IN)),2))+2147483648,4294967296)-2147483648,((1000)-(c_TMAP3IN))*(((A235)-(c_TMAP3IN))*((1000)-(c_TMAP3OUT))+IF(((1000)-(c_TMAP3OUT))&gt;=0,1,-1)*QUOTIENT(((1000)-(c_TMAP3IN)),2)))&lt;0,-1,0),IF(IF(o_WRAP=1,MOD(((1000)-(c_TMAP3IN))*(((A235)-(c_TMAP3IN))*((1000)-(c_TMAP3OUT))+IF(((1000)-(c_TMAP3OUT))&gt;=0,1,-1)*QUOTIENT(((1000)-(c_TMAP3IN)),2))+2147483648,4294967296)-2147483648,((1000)-(c_TMAP3IN))*(((A235)-(c_TMAP3IN))*((1000)-(c_TMAP3OUT))+IF(((1000)-(c_TMAP3OUT))&gt;=0,1,-1)*QUOTIENT(((1000)-(c_TMAP3IN)),2)))&gt;=0,1,0)))</f>
        <v>52</v>
      </c>
      <c r="H235" s="7" t="str">
        <f aca="false">IF(A235&gt;=c_TFWD,IF(AND(A235&gt;=c_TMAP3IN,c_TMAP3IN&lt;1000),"Seg4 map3-100%",IF(AND(A235&gt;=c_TMAP2IN,c_TMAP3IN&gt;c_TMAP2IN),"Seg3 map2-map3",IF(AND(A235&gt;=c_TMAP1IN,c_TMAP2IN&gt;c_TMAP1IN),"Seg2 map1-map2","Seg1 TFWD-map1"))),IF(AND(A235=0,c_TCREEP&gt;0),"Creep",IF(AND(A235&lt;=c_TRNGMIN,A235&gt;=c_TRNGMAX,c_TRNGMIN-c_TRNGMAX&lt;&gt;0),"Regen ramp","Coast (0)")))</f>
        <v>Seg2 map1-map2</v>
      </c>
      <c r="I235" s="7" t="n">
        <f aca="false">IF(A235&gt;=c_TFWD,IF(AND(A235&gt;=c_TMAP3IN,c_TMAP3IN&lt;1000),G235,IF(AND(A235&gt;=c_TMAP2IN,c_TMAP3IN&gt;c_TMAP2IN),F235,IF(AND(A235&gt;=c_TMAP1IN,c_TMAP2IN&gt;c_TMAP1IN),E235,D235))),C235)</f>
        <v>122</v>
      </c>
      <c r="J235" s="7" t="str">
        <f aca="false">IF(I235&lt;-1090,"TOO LOW",IF(I235&gt;1090,"TOO HIGH",""))</f>
        <v/>
      </c>
      <c r="K235" s="15" t="n">
        <f aca="false">IF(J235&lt;&gt;"",0,IF(I235&gt;979,1000,I235))</f>
        <v>122</v>
      </c>
      <c r="L235" s="7" t="n">
        <f aca="false">K235/10</f>
        <v>12.2</v>
      </c>
    </row>
    <row r="236" customFormat="false" ht="15" hidden="false" customHeight="false" outlineLevel="0" collapsed="false">
      <c r="A236" s="7" t="n">
        <v>231</v>
      </c>
      <c r="B236" s="7" t="n">
        <f aca="false">A236/10</f>
        <v>23.1</v>
      </c>
      <c r="C236" s="7" t="n">
        <f aca="false">IF(AND(A236=0,c_TCREEP&gt;0),10*c_TCREEP,IF(AND(A236&lt;=c_TRNGMIN,A236&gt;=c_TRNGMAX,c_TRNGMIN-c_TRNGMAX&lt;&gt;0),-10*c_TMINRN+QUOTIENT((c_TMAXRN-c_TMINRN)*(100-QUOTIENT((A236-c_TRNGMAX)*100,c_TRNGMIN-c_TRNGMAX)),-10),0))</f>
        <v>0</v>
      </c>
      <c r="D236" s="7" t="n">
        <f aca="false">IF(((c_TMAP1IN)-(c_TFWD))=0,(0)+QUOTIENT(((c_TMAP1OUT)-(0)),2),QUOTIENT((((A236)-(c_TFWD))*((c_TMAP1OUT)-(0))+IF(((c_TMAP1OUT)-(0))&gt;=0,1,-1)*QUOTIENT(((c_TMAP1IN)-(c_TFWD)),2)),((c_TMAP1IN)-(c_TFWD)))+(0)+IF(((c_TMAP1OUT)-(0))&gt;=0,IF(IF(o_WRAP=1,MOD(((c_TMAP1IN)-(c_TFWD))*(((A236)-(c_TFWD))*((c_TMAP1OUT)-(0))+IF(((c_TMAP1OUT)-(0))&gt;=0,1,-1)*QUOTIENT(((c_TMAP1IN)-(c_TFWD)),2))+2147483648,4294967296)-2147483648,((c_TMAP1IN)-(c_TFWD))*(((A236)-(c_TFWD))*((c_TMAP1OUT)-(0))+IF(((c_TMAP1OUT)-(0))&gt;=0,1,-1)*QUOTIENT(((c_TMAP1IN)-(c_TFWD)),2)))&lt;0,-1,0),IF(IF(o_WRAP=1,MOD(((c_TMAP1IN)-(c_TFWD))*(((A236)-(c_TFWD))*((c_TMAP1OUT)-(0))+IF(((c_TMAP1OUT)-(0))&gt;=0,1,-1)*QUOTIENT(((c_TMAP1IN)-(c_TFWD)),2))+2147483648,4294967296)-2147483648,((c_TMAP1IN)-(c_TFWD))*(((A236)-(c_TFWD))*((c_TMAP1OUT)-(0))+IF(((c_TMAP1OUT)-(0))&gt;=0,1,-1)*QUOTIENT(((c_TMAP1IN)-(c_TFWD)),2)))&gt;=0,1,0)))</f>
        <v>172</v>
      </c>
      <c r="E236" s="7" t="n">
        <f aca="false">IF(((c_TMAP2IN)-(c_TMAP1IN))=0,(c_TMAP1OUT)+QUOTIENT(((c_TMAP2OUT)-(c_TMAP1OUT)),2),QUOTIENT((((A236)-(c_TMAP1IN))*((c_TMAP2OUT)-(c_TMAP1OUT))+IF(((c_TMAP2OUT)-(c_TMAP1OUT))&gt;=0,1,-1)*QUOTIENT(((c_TMAP2IN)-(c_TMAP1IN)),2)),((c_TMAP2IN)-(c_TMAP1IN)))+(c_TMAP1OUT)+IF(((c_TMAP2OUT)-(c_TMAP1OUT))&gt;=0,IF(IF(o_WRAP=1,MOD(((c_TMAP2IN)-(c_TMAP1IN))*(((A236)-(c_TMAP1IN))*((c_TMAP2OUT)-(c_TMAP1OUT))+IF(((c_TMAP2OUT)-(c_TMAP1OUT))&gt;=0,1,-1)*QUOTIENT(((c_TMAP2IN)-(c_TMAP1IN)),2))+2147483648,4294967296)-2147483648,((c_TMAP2IN)-(c_TMAP1IN))*(((A236)-(c_TMAP1IN))*((c_TMAP2OUT)-(c_TMAP1OUT))+IF(((c_TMAP2OUT)-(c_TMAP1OUT))&gt;=0,1,-1)*QUOTIENT(((c_TMAP2IN)-(c_TMAP1IN)),2)))&lt;0,-1,0),IF(IF(o_WRAP=1,MOD(((c_TMAP2IN)-(c_TMAP1IN))*(((A236)-(c_TMAP1IN))*((c_TMAP2OUT)-(c_TMAP1OUT))+IF(((c_TMAP2OUT)-(c_TMAP1OUT))&gt;=0,1,-1)*QUOTIENT(((c_TMAP2IN)-(c_TMAP1IN)),2))+2147483648,4294967296)-2147483648,((c_TMAP2IN)-(c_TMAP1IN))*(((A236)-(c_TMAP1IN))*((c_TMAP2OUT)-(c_TMAP1OUT))+IF(((c_TMAP2OUT)-(c_TMAP1OUT))&gt;=0,1,-1)*QUOTIENT(((c_TMAP2IN)-(c_TMAP1IN)),2)))&gt;=0,1,0)))</f>
        <v>122</v>
      </c>
      <c r="F236" s="7" t="n">
        <f aca="false">IF(((c_TMAP3IN)-(c_TMAP2IN))=0,(c_TMAP2OUT)+QUOTIENT(((c_TMAP3OUT)-(c_TMAP2OUT)),2),QUOTIENT((((A236)-(c_TMAP2IN))*((c_TMAP3OUT)-(c_TMAP2OUT))+IF(((c_TMAP3OUT)-(c_TMAP2OUT))&gt;=0,1,-1)*QUOTIENT(((c_TMAP3IN)-(c_TMAP2IN)),2)),((c_TMAP3IN)-(c_TMAP2IN)))+(c_TMAP2OUT)+IF(((c_TMAP3OUT)-(c_TMAP2OUT))&gt;=0,IF(IF(o_WRAP=1,MOD(((c_TMAP3IN)-(c_TMAP2IN))*(((A236)-(c_TMAP2IN))*((c_TMAP3OUT)-(c_TMAP2OUT))+IF(((c_TMAP3OUT)-(c_TMAP2OUT))&gt;=0,1,-1)*QUOTIENT(((c_TMAP3IN)-(c_TMAP2IN)),2))+2147483648,4294967296)-2147483648,((c_TMAP3IN)-(c_TMAP2IN))*(((A236)-(c_TMAP2IN))*((c_TMAP3OUT)-(c_TMAP2OUT))+IF(((c_TMAP3OUT)-(c_TMAP2OUT))&gt;=0,1,-1)*QUOTIENT(((c_TMAP3IN)-(c_TMAP2IN)),2)))&lt;0,-1,0),IF(IF(o_WRAP=1,MOD(((c_TMAP3IN)-(c_TMAP2IN))*(((A236)-(c_TMAP2IN))*((c_TMAP3OUT)-(c_TMAP2OUT))+IF(((c_TMAP3OUT)-(c_TMAP2OUT))&gt;=0,1,-1)*QUOTIENT(((c_TMAP3IN)-(c_TMAP2IN)),2))+2147483648,4294967296)-2147483648,((c_TMAP3IN)-(c_TMAP2IN))*(((A236)-(c_TMAP2IN))*((c_TMAP3OUT)-(c_TMAP2OUT))+IF(((c_TMAP3OUT)-(c_TMAP2OUT))&gt;=0,1,-1)*QUOTIENT(((c_TMAP3IN)-(c_TMAP2IN)),2)))&gt;=0,1,0)))</f>
        <v>117</v>
      </c>
      <c r="G236" s="7" t="n">
        <f aca="false">IF(((1000)-(c_TMAP3IN))=0,(c_TMAP3OUT)+QUOTIENT(((1000)-(c_TMAP3OUT)),2),QUOTIENT((((A236)-(c_TMAP3IN))*((1000)-(c_TMAP3OUT))+IF(((1000)-(c_TMAP3OUT))&gt;=0,1,-1)*QUOTIENT(((1000)-(c_TMAP3IN)),2)),((1000)-(c_TMAP3IN)))+(c_TMAP3OUT)+IF(((1000)-(c_TMAP3OUT))&gt;=0,IF(IF(o_WRAP=1,MOD(((1000)-(c_TMAP3IN))*(((A236)-(c_TMAP3IN))*((1000)-(c_TMAP3OUT))+IF(((1000)-(c_TMAP3OUT))&gt;=0,1,-1)*QUOTIENT(((1000)-(c_TMAP3IN)),2))+2147483648,4294967296)-2147483648,((1000)-(c_TMAP3IN))*(((A236)-(c_TMAP3IN))*((1000)-(c_TMAP3OUT))+IF(((1000)-(c_TMAP3OUT))&gt;=0,1,-1)*QUOTIENT(((1000)-(c_TMAP3IN)),2)))&lt;0,-1,0),IF(IF(o_WRAP=1,MOD(((1000)-(c_TMAP3IN))*(((A236)-(c_TMAP3IN))*((1000)-(c_TMAP3OUT))+IF(((1000)-(c_TMAP3OUT))&gt;=0,1,-1)*QUOTIENT(((1000)-(c_TMAP3IN)),2))+2147483648,4294967296)-2147483648,((1000)-(c_TMAP3IN))*(((A236)-(c_TMAP3IN))*((1000)-(c_TMAP3OUT))+IF(((1000)-(c_TMAP3OUT))&gt;=0,1,-1)*QUOTIENT(((1000)-(c_TMAP3IN)),2)))&gt;=0,1,0)))</f>
        <v>54</v>
      </c>
      <c r="H236" s="7" t="str">
        <f aca="false">IF(A236&gt;=c_TFWD,IF(AND(A236&gt;=c_TMAP3IN,c_TMAP3IN&lt;1000),"Seg4 map3-100%",IF(AND(A236&gt;=c_TMAP2IN,c_TMAP3IN&gt;c_TMAP2IN),"Seg3 map2-map3",IF(AND(A236&gt;=c_TMAP1IN,c_TMAP2IN&gt;c_TMAP1IN),"Seg2 map1-map2","Seg1 TFWD-map1"))),IF(AND(A236=0,c_TCREEP&gt;0),"Creep",IF(AND(A236&lt;=c_TRNGMIN,A236&gt;=c_TRNGMAX,c_TRNGMIN-c_TRNGMAX&lt;&gt;0),"Regen ramp","Coast (0)")))</f>
        <v>Seg2 map1-map2</v>
      </c>
      <c r="I236" s="7" t="n">
        <f aca="false">IF(A236&gt;=c_TFWD,IF(AND(A236&gt;=c_TMAP3IN,c_TMAP3IN&lt;1000),G236,IF(AND(A236&gt;=c_TMAP2IN,c_TMAP3IN&gt;c_TMAP2IN),F236,IF(AND(A236&gt;=c_TMAP1IN,c_TMAP2IN&gt;c_TMAP1IN),E236,D236))),C236)</f>
        <v>122</v>
      </c>
      <c r="J236" s="7" t="str">
        <f aca="false">IF(I236&lt;-1090,"TOO LOW",IF(I236&gt;1090,"TOO HIGH",""))</f>
        <v/>
      </c>
      <c r="K236" s="15" t="n">
        <f aca="false">IF(J236&lt;&gt;"",0,IF(I236&gt;979,1000,I236))</f>
        <v>122</v>
      </c>
      <c r="L236" s="7" t="n">
        <f aca="false">K236/10</f>
        <v>12.2</v>
      </c>
    </row>
    <row r="237" customFormat="false" ht="15" hidden="false" customHeight="false" outlineLevel="0" collapsed="false">
      <c r="A237" s="7" t="n">
        <v>232</v>
      </c>
      <c r="B237" s="7" t="n">
        <f aca="false">A237/10</f>
        <v>23.2</v>
      </c>
      <c r="C237" s="7" t="n">
        <f aca="false">IF(AND(A237=0,c_TCREEP&gt;0),10*c_TCREEP,IF(AND(A237&lt;=c_TRNGMIN,A237&gt;=c_TRNGMAX,c_TRNGMIN-c_TRNGMAX&lt;&gt;0),-10*c_TMINRN+QUOTIENT((c_TMAXRN-c_TMINRN)*(100-QUOTIENT((A237-c_TRNGMAX)*100,c_TRNGMIN-c_TRNGMAX)),-10),0))</f>
        <v>0</v>
      </c>
      <c r="D237" s="7" t="n">
        <f aca="false">IF(((c_TMAP1IN)-(c_TFWD))=0,(0)+QUOTIENT(((c_TMAP1OUT)-(0)),2),QUOTIENT((((A237)-(c_TFWD))*((c_TMAP1OUT)-(0))+IF(((c_TMAP1OUT)-(0))&gt;=0,1,-1)*QUOTIENT(((c_TMAP1IN)-(c_TFWD)),2)),((c_TMAP1IN)-(c_TFWD)))+(0)+IF(((c_TMAP1OUT)-(0))&gt;=0,IF(IF(o_WRAP=1,MOD(((c_TMAP1IN)-(c_TFWD))*(((A237)-(c_TFWD))*((c_TMAP1OUT)-(0))+IF(((c_TMAP1OUT)-(0))&gt;=0,1,-1)*QUOTIENT(((c_TMAP1IN)-(c_TFWD)),2))+2147483648,4294967296)-2147483648,((c_TMAP1IN)-(c_TFWD))*(((A237)-(c_TFWD))*((c_TMAP1OUT)-(0))+IF(((c_TMAP1OUT)-(0))&gt;=0,1,-1)*QUOTIENT(((c_TMAP1IN)-(c_TFWD)),2)))&lt;0,-1,0),IF(IF(o_WRAP=1,MOD(((c_TMAP1IN)-(c_TFWD))*(((A237)-(c_TFWD))*((c_TMAP1OUT)-(0))+IF(((c_TMAP1OUT)-(0))&gt;=0,1,-1)*QUOTIENT(((c_TMAP1IN)-(c_TFWD)),2))+2147483648,4294967296)-2147483648,((c_TMAP1IN)-(c_TFWD))*(((A237)-(c_TFWD))*((c_TMAP1OUT)-(0))+IF(((c_TMAP1OUT)-(0))&gt;=0,1,-1)*QUOTIENT(((c_TMAP1IN)-(c_TFWD)),2)))&gt;=0,1,0)))</f>
        <v>173</v>
      </c>
      <c r="E237" s="7" t="n">
        <f aca="false">IF(((c_TMAP2IN)-(c_TMAP1IN))=0,(c_TMAP1OUT)+QUOTIENT(((c_TMAP2OUT)-(c_TMAP1OUT)),2),QUOTIENT((((A237)-(c_TMAP1IN))*((c_TMAP2OUT)-(c_TMAP1OUT))+IF(((c_TMAP2OUT)-(c_TMAP1OUT))&gt;=0,1,-1)*QUOTIENT(((c_TMAP2IN)-(c_TMAP1IN)),2)),((c_TMAP2IN)-(c_TMAP1IN)))+(c_TMAP1OUT)+IF(((c_TMAP2OUT)-(c_TMAP1OUT))&gt;=0,IF(IF(o_WRAP=1,MOD(((c_TMAP2IN)-(c_TMAP1IN))*(((A237)-(c_TMAP1IN))*((c_TMAP2OUT)-(c_TMAP1OUT))+IF(((c_TMAP2OUT)-(c_TMAP1OUT))&gt;=0,1,-1)*QUOTIENT(((c_TMAP2IN)-(c_TMAP1IN)),2))+2147483648,4294967296)-2147483648,((c_TMAP2IN)-(c_TMAP1IN))*(((A237)-(c_TMAP1IN))*((c_TMAP2OUT)-(c_TMAP1OUT))+IF(((c_TMAP2OUT)-(c_TMAP1OUT))&gt;=0,1,-1)*QUOTIENT(((c_TMAP2IN)-(c_TMAP1IN)),2)))&lt;0,-1,0),IF(IF(o_WRAP=1,MOD(((c_TMAP2IN)-(c_TMAP1IN))*(((A237)-(c_TMAP1IN))*((c_TMAP2OUT)-(c_TMAP1OUT))+IF(((c_TMAP2OUT)-(c_TMAP1OUT))&gt;=0,1,-1)*QUOTIENT(((c_TMAP2IN)-(c_TMAP1IN)),2))+2147483648,4294967296)-2147483648,((c_TMAP2IN)-(c_TMAP1IN))*(((A237)-(c_TMAP1IN))*((c_TMAP2OUT)-(c_TMAP1OUT))+IF(((c_TMAP2OUT)-(c_TMAP1OUT))&gt;=0,1,-1)*QUOTIENT(((c_TMAP2IN)-(c_TMAP1IN)),2)))&gt;=0,1,0)))</f>
        <v>123</v>
      </c>
      <c r="F237" s="7" t="n">
        <f aca="false">IF(((c_TMAP3IN)-(c_TMAP2IN))=0,(c_TMAP2OUT)+QUOTIENT(((c_TMAP3OUT)-(c_TMAP2OUT)),2),QUOTIENT((((A237)-(c_TMAP2IN))*((c_TMAP3OUT)-(c_TMAP2OUT))+IF(((c_TMAP3OUT)-(c_TMAP2OUT))&gt;=0,1,-1)*QUOTIENT(((c_TMAP3IN)-(c_TMAP2IN)),2)),((c_TMAP3IN)-(c_TMAP2IN)))+(c_TMAP2OUT)+IF(((c_TMAP3OUT)-(c_TMAP2OUT))&gt;=0,IF(IF(o_WRAP=1,MOD(((c_TMAP3IN)-(c_TMAP2IN))*(((A237)-(c_TMAP2IN))*((c_TMAP3OUT)-(c_TMAP2OUT))+IF(((c_TMAP3OUT)-(c_TMAP2OUT))&gt;=0,1,-1)*QUOTIENT(((c_TMAP3IN)-(c_TMAP2IN)),2))+2147483648,4294967296)-2147483648,((c_TMAP3IN)-(c_TMAP2IN))*(((A237)-(c_TMAP2IN))*((c_TMAP3OUT)-(c_TMAP2OUT))+IF(((c_TMAP3OUT)-(c_TMAP2OUT))&gt;=0,1,-1)*QUOTIENT(((c_TMAP3IN)-(c_TMAP2IN)),2)))&lt;0,-1,0),IF(IF(o_WRAP=1,MOD(((c_TMAP3IN)-(c_TMAP2IN))*(((A237)-(c_TMAP2IN))*((c_TMAP3OUT)-(c_TMAP2OUT))+IF(((c_TMAP3OUT)-(c_TMAP2OUT))&gt;=0,1,-1)*QUOTIENT(((c_TMAP3IN)-(c_TMAP2IN)),2))+2147483648,4294967296)-2147483648,((c_TMAP3IN)-(c_TMAP2IN))*(((A237)-(c_TMAP2IN))*((c_TMAP3OUT)-(c_TMAP2OUT))+IF(((c_TMAP3OUT)-(c_TMAP2OUT))&gt;=0,1,-1)*QUOTIENT(((c_TMAP3IN)-(c_TMAP2IN)),2)))&gt;=0,1,0)))</f>
        <v>117</v>
      </c>
      <c r="G237" s="7" t="n">
        <f aca="false">IF(((1000)-(c_TMAP3IN))=0,(c_TMAP3OUT)+QUOTIENT(((1000)-(c_TMAP3OUT)),2),QUOTIENT((((A237)-(c_TMAP3IN))*((1000)-(c_TMAP3OUT))+IF(((1000)-(c_TMAP3OUT))&gt;=0,1,-1)*QUOTIENT(((1000)-(c_TMAP3IN)),2)),((1000)-(c_TMAP3IN)))+(c_TMAP3OUT)+IF(((1000)-(c_TMAP3OUT))&gt;=0,IF(IF(o_WRAP=1,MOD(((1000)-(c_TMAP3IN))*(((A237)-(c_TMAP3IN))*((1000)-(c_TMAP3OUT))+IF(((1000)-(c_TMAP3OUT))&gt;=0,1,-1)*QUOTIENT(((1000)-(c_TMAP3IN)),2))+2147483648,4294967296)-2147483648,((1000)-(c_TMAP3IN))*(((A237)-(c_TMAP3IN))*((1000)-(c_TMAP3OUT))+IF(((1000)-(c_TMAP3OUT))&gt;=0,1,-1)*QUOTIENT(((1000)-(c_TMAP3IN)),2)))&lt;0,-1,0),IF(IF(o_WRAP=1,MOD(((1000)-(c_TMAP3IN))*(((A237)-(c_TMAP3IN))*((1000)-(c_TMAP3OUT))+IF(((1000)-(c_TMAP3OUT))&gt;=0,1,-1)*QUOTIENT(((1000)-(c_TMAP3IN)),2))+2147483648,4294967296)-2147483648,((1000)-(c_TMAP3IN))*(((A237)-(c_TMAP3IN))*((1000)-(c_TMAP3OUT))+IF(((1000)-(c_TMAP3OUT))&gt;=0,1,-1)*QUOTIENT(((1000)-(c_TMAP3IN)),2)))&gt;=0,1,0)))</f>
        <v>55</v>
      </c>
      <c r="H237" s="7" t="str">
        <f aca="false">IF(A237&gt;=c_TFWD,IF(AND(A237&gt;=c_TMAP3IN,c_TMAP3IN&lt;1000),"Seg4 map3-100%",IF(AND(A237&gt;=c_TMAP2IN,c_TMAP3IN&gt;c_TMAP2IN),"Seg3 map2-map3",IF(AND(A237&gt;=c_TMAP1IN,c_TMAP2IN&gt;c_TMAP1IN),"Seg2 map1-map2","Seg1 TFWD-map1"))),IF(AND(A237=0,c_TCREEP&gt;0),"Creep",IF(AND(A237&lt;=c_TRNGMIN,A237&gt;=c_TRNGMAX,c_TRNGMIN-c_TRNGMAX&lt;&gt;0),"Regen ramp","Coast (0)")))</f>
        <v>Seg2 map1-map2</v>
      </c>
      <c r="I237" s="7" t="n">
        <f aca="false">IF(A237&gt;=c_TFWD,IF(AND(A237&gt;=c_TMAP3IN,c_TMAP3IN&lt;1000),G237,IF(AND(A237&gt;=c_TMAP2IN,c_TMAP3IN&gt;c_TMAP2IN),F237,IF(AND(A237&gt;=c_TMAP1IN,c_TMAP2IN&gt;c_TMAP1IN),E237,D237))),C237)</f>
        <v>123</v>
      </c>
      <c r="J237" s="7" t="str">
        <f aca="false">IF(I237&lt;-1090,"TOO LOW",IF(I237&gt;1090,"TOO HIGH",""))</f>
        <v/>
      </c>
      <c r="K237" s="15" t="n">
        <f aca="false">IF(J237&lt;&gt;"",0,IF(I237&gt;979,1000,I237))</f>
        <v>123</v>
      </c>
      <c r="L237" s="7" t="n">
        <f aca="false">K237/10</f>
        <v>12.3</v>
      </c>
    </row>
    <row r="238" customFormat="false" ht="15" hidden="false" customHeight="false" outlineLevel="0" collapsed="false">
      <c r="A238" s="7" t="n">
        <v>233</v>
      </c>
      <c r="B238" s="7" t="n">
        <f aca="false">A238/10</f>
        <v>23.3</v>
      </c>
      <c r="C238" s="7" t="n">
        <f aca="false">IF(AND(A238=0,c_TCREEP&gt;0),10*c_TCREEP,IF(AND(A238&lt;=c_TRNGMIN,A238&gt;=c_TRNGMAX,c_TRNGMIN-c_TRNGMAX&lt;&gt;0),-10*c_TMINRN+QUOTIENT((c_TMAXRN-c_TMINRN)*(100-QUOTIENT((A238-c_TRNGMAX)*100,c_TRNGMIN-c_TRNGMAX)),-10),0))</f>
        <v>0</v>
      </c>
      <c r="D238" s="7" t="n">
        <f aca="false">IF(((c_TMAP1IN)-(c_TFWD))=0,(0)+QUOTIENT(((c_TMAP1OUT)-(0)),2),QUOTIENT((((A238)-(c_TFWD))*((c_TMAP1OUT)-(0))+IF(((c_TMAP1OUT)-(0))&gt;=0,1,-1)*QUOTIENT(((c_TMAP1IN)-(c_TFWD)),2)),((c_TMAP1IN)-(c_TFWD)))+(0)+IF(((c_TMAP1OUT)-(0))&gt;=0,IF(IF(o_WRAP=1,MOD(((c_TMAP1IN)-(c_TFWD))*(((A238)-(c_TFWD))*((c_TMAP1OUT)-(0))+IF(((c_TMAP1OUT)-(0))&gt;=0,1,-1)*QUOTIENT(((c_TMAP1IN)-(c_TFWD)),2))+2147483648,4294967296)-2147483648,((c_TMAP1IN)-(c_TFWD))*(((A238)-(c_TFWD))*((c_TMAP1OUT)-(0))+IF(((c_TMAP1OUT)-(0))&gt;=0,1,-1)*QUOTIENT(((c_TMAP1IN)-(c_TFWD)),2)))&lt;0,-1,0),IF(IF(o_WRAP=1,MOD(((c_TMAP1IN)-(c_TFWD))*(((A238)-(c_TFWD))*((c_TMAP1OUT)-(0))+IF(((c_TMAP1OUT)-(0))&gt;=0,1,-1)*QUOTIENT(((c_TMAP1IN)-(c_TFWD)),2))+2147483648,4294967296)-2147483648,((c_TMAP1IN)-(c_TFWD))*(((A238)-(c_TFWD))*((c_TMAP1OUT)-(0))+IF(((c_TMAP1OUT)-(0))&gt;=0,1,-1)*QUOTIENT(((c_TMAP1IN)-(c_TFWD)),2)))&gt;=0,1,0)))</f>
        <v>173</v>
      </c>
      <c r="E238" s="7" t="n">
        <f aca="false">IF(((c_TMAP2IN)-(c_TMAP1IN))=0,(c_TMAP1OUT)+QUOTIENT(((c_TMAP2OUT)-(c_TMAP1OUT)),2),QUOTIENT((((A238)-(c_TMAP1IN))*((c_TMAP2OUT)-(c_TMAP1OUT))+IF(((c_TMAP2OUT)-(c_TMAP1OUT))&gt;=0,1,-1)*QUOTIENT(((c_TMAP2IN)-(c_TMAP1IN)),2)),((c_TMAP2IN)-(c_TMAP1IN)))+(c_TMAP1OUT)+IF(((c_TMAP2OUT)-(c_TMAP1OUT))&gt;=0,IF(IF(o_WRAP=1,MOD(((c_TMAP2IN)-(c_TMAP1IN))*(((A238)-(c_TMAP1IN))*((c_TMAP2OUT)-(c_TMAP1OUT))+IF(((c_TMAP2OUT)-(c_TMAP1OUT))&gt;=0,1,-1)*QUOTIENT(((c_TMAP2IN)-(c_TMAP1IN)),2))+2147483648,4294967296)-2147483648,((c_TMAP2IN)-(c_TMAP1IN))*(((A238)-(c_TMAP1IN))*((c_TMAP2OUT)-(c_TMAP1OUT))+IF(((c_TMAP2OUT)-(c_TMAP1OUT))&gt;=0,1,-1)*QUOTIENT(((c_TMAP2IN)-(c_TMAP1IN)),2)))&lt;0,-1,0),IF(IF(o_WRAP=1,MOD(((c_TMAP2IN)-(c_TMAP1IN))*(((A238)-(c_TMAP1IN))*((c_TMAP2OUT)-(c_TMAP1OUT))+IF(((c_TMAP2OUT)-(c_TMAP1OUT))&gt;=0,1,-1)*QUOTIENT(((c_TMAP2IN)-(c_TMAP1IN)),2))+2147483648,4294967296)-2147483648,((c_TMAP2IN)-(c_TMAP1IN))*(((A238)-(c_TMAP1IN))*((c_TMAP2OUT)-(c_TMAP1OUT))+IF(((c_TMAP2OUT)-(c_TMAP1OUT))&gt;=0,1,-1)*QUOTIENT(((c_TMAP2IN)-(c_TMAP1IN)),2)))&gt;=0,1,0)))</f>
        <v>123</v>
      </c>
      <c r="F238" s="7" t="n">
        <f aca="false">IF(((c_TMAP3IN)-(c_TMAP2IN))=0,(c_TMAP2OUT)+QUOTIENT(((c_TMAP3OUT)-(c_TMAP2OUT)),2),QUOTIENT((((A238)-(c_TMAP2IN))*((c_TMAP3OUT)-(c_TMAP2OUT))+IF(((c_TMAP3OUT)-(c_TMAP2OUT))&gt;=0,1,-1)*QUOTIENT(((c_TMAP3IN)-(c_TMAP2IN)),2)),((c_TMAP3IN)-(c_TMAP2IN)))+(c_TMAP2OUT)+IF(((c_TMAP3OUT)-(c_TMAP2OUT))&gt;=0,IF(IF(o_WRAP=1,MOD(((c_TMAP3IN)-(c_TMAP2IN))*(((A238)-(c_TMAP2IN))*((c_TMAP3OUT)-(c_TMAP2OUT))+IF(((c_TMAP3OUT)-(c_TMAP2OUT))&gt;=0,1,-1)*QUOTIENT(((c_TMAP3IN)-(c_TMAP2IN)),2))+2147483648,4294967296)-2147483648,((c_TMAP3IN)-(c_TMAP2IN))*(((A238)-(c_TMAP2IN))*((c_TMAP3OUT)-(c_TMAP2OUT))+IF(((c_TMAP3OUT)-(c_TMAP2OUT))&gt;=0,1,-1)*QUOTIENT(((c_TMAP3IN)-(c_TMAP2IN)),2)))&lt;0,-1,0),IF(IF(o_WRAP=1,MOD(((c_TMAP3IN)-(c_TMAP2IN))*(((A238)-(c_TMAP2IN))*((c_TMAP3OUT)-(c_TMAP2OUT))+IF(((c_TMAP3OUT)-(c_TMAP2OUT))&gt;=0,1,-1)*QUOTIENT(((c_TMAP3IN)-(c_TMAP2IN)),2))+2147483648,4294967296)-2147483648,((c_TMAP3IN)-(c_TMAP2IN))*(((A238)-(c_TMAP2IN))*((c_TMAP3OUT)-(c_TMAP2OUT))+IF(((c_TMAP3OUT)-(c_TMAP2OUT))&gt;=0,1,-1)*QUOTIENT(((c_TMAP3IN)-(c_TMAP2IN)),2)))&gt;=0,1,0)))</f>
        <v>118</v>
      </c>
      <c r="G238" s="7" t="n">
        <f aca="false">IF(((1000)-(c_TMAP3IN))=0,(c_TMAP3OUT)+QUOTIENT(((1000)-(c_TMAP3OUT)),2),QUOTIENT((((A238)-(c_TMAP3IN))*((1000)-(c_TMAP3OUT))+IF(((1000)-(c_TMAP3OUT))&gt;=0,1,-1)*QUOTIENT(((1000)-(c_TMAP3IN)),2)),((1000)-(c_TMAP3IN)))+(c_TMAP3OUT)+IF(((1000)-(c_TMAP3OUT))&gt;=0,IF(IF(o_WRAP=1,MOD(((1000)-(c_TMAP3IN))*(((A238)-(c_TMAP3IN))*((1000)-(c_TMAP3OUT))+IF(((1000)-(c_TMAP3OUT))&gt;=0,1,-1)*QUOTIENT(((1000)-(c_TMAP3IN)),2))+2147483648,4294967296)-2147483648,((1000)-(c_TMAP3IN))*(((A238)-(c_TMAP3IN))*((1000)-(c_TMAP3OUT))+IF(((1000)-(c_TMAP3OUT))&gt;=0,1,-1)*QUOTIENT(((1000)-(c_TMAP3IN)),2)))&lt;0,-1,0),IF(IF(o_WRAP=1,MOD(((1000)-(c_TMAP3IN))*(((A238)-(c_TMAP3IN))*((1000)-(c_TMAP3OUT))+IF(((1000)-(c_TMAP3OUT))&gt;=0,1,-1)*QUOTIENT(((1000)-(c_TMAP3IN)),2))+2147483648,4294967296)-2147483648,((1000)-(c_TMAP3IN))*(((A238)-(c_TMAP3IN))*((1000)-(c_TMAP3OUT))+IF(((1000)-(c_TMAP3OUT))&gt;=0,1,-1)*QUOTIENT(((1000)-(c_TMAP3IN)),2)))&gt;=0,1,0)))</f>
        <v>56</v>
      </c>
      <c r="H238" s="7" t="str">
        <f aca="false">IF(A238&gt;=c_TFWD,IF(AND(A238&gt;=c_TMAP3IN,c_TMAP3IN&lt;1000),"Seg4 map3-100%",IF(AND(A238&gt;=c_TMAP2IN,c_TMAP3IN&gt;c_TMAP2IN),"Seg3 map2-map3",IF(AND(A238&gt;=c_TMAP1IN,c_TMAP2IN&gt;c_TMAP1IN),"Seg2 map1-map2","Seg1 TFWD-map1"))),IF(AND(A238=0,c_TCREEP&gt;0),"Creep",IF(AND(A238&lt;=c_TRNGMIN,A238&gt;=c_TRNGMAX,c_TRNGMIN-c_TRNGMAX&lt;&gt;0),"Regen ramp","Coast (0)")))</f>
        <v>Seg2 map1-map2</v>
      </c>
      <c r="I238" s="7" t="n">
        <f aca="false">IF(A238&gt;=c_TFWD,IF(AND(A238&gt;=c_TMAP3IN,c_TMAP3IN&lt;1000),G238,IF(AND(A238&gt;=c_TMAP2IN,c_TMAP3IN&gt;c_TMAP2IN),F238,IF(AND(A238&gt;=c_TMAP1IN,c_TMAP2IN&gt;c_TMAP1IN),E238,D238))),C238)</f>
        <v>123</v>
      </c>
      <c r="J238" s="7" t="str">
        <f aca="false">IF(I238&lt;-1090,"TOO LOW",IF(I238&gt;1090,"TOO HIGH",""))</f>
        <v/>
      </c>
      <c r="K238" s="15" t="n">
        <f aca="false">IF(J238&lt;&gt;"",0,IF(I238&gt;979,1000,I238))</f>
        <v>123</v>
      </c>
      <c r="L238" s="7" t="n">
        <f aca="false">K238/10</f>
        <v>12.3</v>
      </c>
    </row>
    <row r="239" customFormat="false" ht="15" hidden="false" customHeight="false" outlineLevel="0" collapsed="false">
      <c r="A239" s="7" t="n">
        <v>234</v>
      </c>
      <c r="B239" s="7" t="n">
        <f aca="false">A239/10</f>
        <v>23.4</v>
      </c>
      <c r="C239" s="7" t="n">
        <f aca="false">IF(AND(A239=0,c_TCREEP&gt;0),10*c_TCREEP,IF(AND(A239&lt;=c_TRNGMIN,A239&gt;=c_TRNGMAX,c_TRNGMIN-c_TRNGMAX&lt;&gt;0),-10*c_TMINRN+QUOTIENT((c_TMAXRN-c_TMINRN)*(100-QUOTIENT((A239-c_TRNGMAX)*100,c_TRNGMIN-c_TRNGMAX)),-10),0))</f>
        <v>0</v>
      </c>
      <c r="D239" s="7" t="n">
        <f aca="false">IF(((c_TMAP1IN)-(c_TFWD))=0,(0)+QUOTIENT(((c_TMAP1OUT)-(0)),2),QUOTIENT((((A239)-(c_TFWD))*((c_TMAP1OUT)-(0))+IF(((c_TMAP1OUT)-(0))&gt;=0,1,-1)*QUOTIENT(((c_TMAP1IN)-(c_TFWD)),2)),((c_TMAP1IN)-(c_TFWD)))+(0)+IF(((c_TMAP1OUT)-(0))&gt;=0,IF(IF(o_WRAP=1,MOD(((c_TMAP1IN)-(c_TFWD))*(((A239)-(c_TFWD))*((c_TMAP1OUT)-(0))+IF(((c_TMAP1OUT)-(0))&gt;=0,1,-1)*QUOTIENT(((c_TMAP1IN)-(c_TFWD)),2))+2147483648,4294967296)-2147483648,((c_TMAP1IN)-(c_TFWD))*(((A239)-(c_TFWD))*((c_TMAP1OUT)-(0))+IF(((c_TMAP1OUT)-(0))&gt;=0,1,-1)*QUOTIENT(((c_TMAP1IN)-(c_TFWD)),2)))&lt;0,-1,0),IF(IF(o_WRAP=1,MOD(((c_TMAP1IN)-(c_TFWD))*(((A239)-(c_TFWD))*((c_TMAP1OUT)-(0))+IF(((c_TMAP1OUT)-(0))&gt;=0,1,-1)*QUOTIENT(((c_TMAP1IN)-(c_TFWD)),2))+2147483648,4294967296)-2147483648,((c_TMAP1IN)-(c_TFWD))*(((A239)-(c_TFWD))*((c_TMAP1OUT)-(0))+IF(((c_TMAP1OUT)-(0))&gt;=0,1,-1)*QUOTIENT(((c_TMAP1IN)-(c_TFWD)),2)))&gt;=0,1,0)))</f>
        <v>174</v>
      </c>
      <c r="E239" s="7" t="n">
        <f aca="false">IF(((c_TMAP2IN)-(c_TMAP1IN))=0,(c_TMAP1OUT)+QUOTIENT(((c_TMAP2OUT)-(c_TMAP1OUT)),2),QUOTIENT((((A239)-(c_TMAP1IN))*((c_TMAP2OUT)-(c_TMAP1OUT))+IF(((c_TMAP2OUT)-(c_TMAP1OUT))&gt;=0,1,-1)*QUOTIENT(((c_TMAP2IN)-(c_TMAP1IN)),2)),((c_TMAP2IN)-(c_TMAP1IN)))+(c_TMAP1OUT)+IF(((c_TMAP2OUT)-(c_TMAP1OUT))&gt;=0,IF(IF(o_WRAP=1,MOD(((c_TMAP2IN)-(c_TMAP1IN))*(((A239)-(c_TMAP1IN))*((c_TMAP2OUT)-(c_TMAP1OUT))+IF(((c_TMAP2OUT)-(c_TMAP1OUT))&gt;=0,1,-1)*QUOTIENT(((c_TMAP2IN)-(c_TMAP1IN)),2))+2147483648,4294967296)-2147483648,((c_TMAP2IN)-(c_TMAP1IN))*(((A239)-(c_TMAP1IN))*((c_TMAP2OUT)-(c_TMAP1OUT))+IF(((c_TMAP2OUT)-(c_TMAP1OUT))&gt;=0,1,-1)*QUOTIENT(((c_TMAP2IN)-(c_TMAP1IN)),2)))&lt;0,-1,0),IF(IF(o_WRAP=1,MOD(((c_TMAP2IN)-(c_TMAP1IN))*(((A239)-(c_TMAP1IN))*((c_TMAP2OUT)-(c_TMAP1OUT))+IF(((c_TMAP2OUT)-(c_TMAP1OUT))&gt;=0,1,-1)*QUOTIENT(((c_TMAP2IN)-(c_TMAP1IN)),2))+2147483648,4294967296)-2147483648,((c_TMAP2IN)-(c_TMAP1IN))*(((A239)-(c_TMAP1IN))*((c_TMAP2OUT)-(c_TMAP1OUT))+IF(((c_TMAP2OUT)-(c_TMAP1OUT))&gt;=0,1,-1)*QUOTIENT(((c_TMAP2IN)-(c_TMAP1IN)),2)))&gt;=0,1,0)))</f>
        <v>124</v>
      </c>
      <c r="F239" s="7" t="n">
        <f aca="false">IF(((c_TMAP3IN)-(c_TMAP2IN))=0,(c_TMAP2OUT)+QUOTIENT(((c_TMAP3OUT)-(c_TMAP2OUT)),2),QUOTIENT((((A239)-(c_TMAP2IN))*((c_TMAP3OUT)-(c_TMAP2OUT))+IF(((c_TMAP3OUT)-(c_TMAP2OUT))&gt;=0,1,-1)*QUOTIENT(((c_TMAP3IN)-(c_TMAP2IN)),2)),((c_TMAP3IN)-(c_TMAP2IN)))+(c_TMAP2OUT)+IF(((c_TMAP3OUT)-(c_TMAP2OUT))&gt;=0,IF(IF(o_WRAP=1,MOD(((c_TMAP3IN)-(c_TMAP2IN))*(((A239)-(c_TMAP2IN))*((c_TMAP3OUT)-(c_TMAP2OUT))+IF(((c_TMAP3OUT)-(c_TMAP2OUT))&gt;=0,1,-1)*QUOTIENT(((c_TMAP3IN)-(c_TMAP2IN)),2))+2147483648,4294967296)-2147483648,((c_TMAP3IN)-(c_TMAP2IN))*(((A239)-(c_TMAP2IN))*((c_TMAP3OUT)-(c_TMAP2OUT))+IF(((c_TMAP3OUT)-(c_TMAP2OUT))&gt;=0,1,-1)*QUOTIENT(((c_TMAP3IN)-(c_TMAP2IN)),2)))&lt;0,-1,0),IF(IF(o_WRAP=1,MOD(((c_TMAP3IN)-(c_TMAP2IN))*(((A239)-(c_TMAP2IN))*((c_TMAP3OUT)-(c_TMAP2OUT))+IF(((c_TMAP3OUT)-(c_TMAP2OUT))&gt;=0,1,-1)*QUOTIENT(((c_TMAP3IN)-(c_TMAP2IN)),2))+2147483648,4294967296)-2147483648,((c_TMAP3IN)-(c_TMAP2IN))*(((A239)-(c_TMAP2IN))*((c_TMAP3OUT)-(c_TMAP2OUT))+IF(((c_TMAP3OUT)-(c_TMAP2OUT))&gt;=0,1,-1)*QUOTIENT(((c_TMAP3IN)-(c_TMAP2IN)),2)))&gt;=0,1,0)))</f>
        <v>119</v>
      </c>
      <c r="G239" s="7" t="n">
        <f aca="false">IF(((1000)-(c_TMAP3IN))=0,(c_TMAP3OUT)+QUOTIENT(((1000)-(c_TMAP3OUT)),2),QUOTIENT((((A239)-(c_TMAP3IN))*((1000)-(c_TMAP3OUT))+IF(((1000)-(c_TMAP3OUT))&gt;=0,1,-1)*QUOTIENT(((1000)-(c_TMAP3IN)),2)),((1000)-(c_TMAP3IN)))+(c_TMAP3OUT)+IF(((1000)-(c_TMAP3OUT))&gt;=0,IF(IF(o_WRAP=1,MOD(((1000)-(c_TMAP3IN))*(((A239)-(c_TMAP3IN))*((1000)-(c_TMAP3OUT))+IF(((1000)-(c_TMAP3OUT))&gt;=0,1,-1)*QUOTIENT(((1000)-(c_TMAP3IN)),2))+2147483648,4294967296)-2147483648,((1000)-(c_TMAP3IN))*(((A239)-(c_TMAP3IN))*((1000)-(c_TMAP3OUT))+IF(((1000)-(c_TMAP3OUT))&gt;=0,1,-1)*QUOTIENT(((1000)-(c_TMAP3IN)),2)))&lt;0,-1,0),IF(IF(o_WRAP=1,MOD(((1000)-(c_TMAP3IN))*(((A239)-(c_TMAP3IN))*((1000)-(c_TMAP3OUT))+IF(((1000)-(c_TMAP3OUT))&gt;=0,1,-1)*QUOTIENT(((1000)-(c_TMAP3IN)),2))+2147483648,4294967296)-2147483648,((1000)-(c_TMAP3IN))*(((A239)-(c_TMAP3IN))*((1000)-(c_TMAP3OUT))+IF(((1000)-(c_TMAP3OUT))&gt;=0,1,-1)*QUOTIENT(((1000)-(c_TMAP3IN)),2)))&gt;=0,1,0)))</f>
        <v>57</v>
      </c>
      <c r="H239" s="7" t="str">
        <f aca="false">IF(A239&gt;=c_TFWD,IF(AND(A239&gt;=c_TMAP3IN,c_TMAP3IN&lt;1000),"Seg4 map3-100%",IF(AND(A239&gt;=c_TMAP2IN,c_TMAP3IN&gt;c_TMAP2IN),"Seg3 map2-map3",IF(AND(A239&gt;=c_TMAP1IN,c_TMAP2IN&gt;c_TMAP1IN),"Seg2 map1-map2","Seg1 TFWD-map1"))),IF(AND(A239=0,c_TCREEP&gt;0),"Creep",IF(AND(A239&lt;=c_TRNGMIN,A239&gt;=c_TRNGMAX,c_TRNGMIN-c_TRNGMAX&lt;&gt;0),"Regen ramp","Coast (0)")))</f>
        <v>Seg2 map1-map2</v>
      </c>
      <c r="I239" s="7" t="n">
        <f aca="false">IF(A239&gt;=c_TFWD,IF(AND(A239&gt;=c_TMAP3IN,c_TMAP3IN&lt;1000),G239,IF(AND(A239&gt;=c_TMAP2IN,c_TMAP3IN&gt;c_TMAP2IN),F239,IF(AND(A239&gt;=c_TMAP1IN,c_TMAP2IN&gt;c_TMAP1IN),E239,D239))),C239)</f>
        <v>124</v>
      </c>
      <c r="J239" s="7" t="str">
        <f aca="false">IF(I239&lt;-1090,"TOO LOW",IF(I239&gt;1090,"TOO HIGH",""))</f>
        <v/>
      </c>
      <c r="K239" s="15" t="n">
        <f aca="false">IF(J239&lt;&gt;"",0,IF(I239&gt;979,1000,I239))</f>
        <v>124</v>
      </c>
      <c r="L239" s="7" t="n">
        <f aca="false">K239/10</f>
        <v>12.4</v>
      </c>
    </row>
    <row r="240" customFormat="false" ht="15" hidden="false" customHeight="false" outlineLevel="0" collapsed="false">
      <c r="A240" s="7" t="n">
        <v>235</v>
      </c>
      <c r="B240" s="7" t="n">
        <f aca="false">A240/10</f>
        <v>23.5</v>
      </c>
      <c r="C240" s="7" t="n">
        <f aca="false">IF(AND(A240=0,c_TCREEP&gt;0),10*c_TCREEP,IF(AND(A240&lt;=c_TRNGMIN,A240&gt;=c_TRNGMAX,c_TRNGMIN-c_TRNGMAX&lt;&gt;0),-10*c_TMINRN+QUOTIENT((c_TMAXRN-c_TMINRN)*(100-QUOTIENT((A240-c_TRNGMAX)*100,c_TRNGMIN-c_TRNGMAX)),-10),0))</f>
        <v>0</v>
      </c>
      <c r="D240" s="7" t="n">
        <f aca="false">IF(((c_TMAP1IN)-(c_TFWD))=0,(0)+QUOTIENT(((c_TMAP1OUT)-(0)),2),QUOTIENT((((A240)-(c_TFWD))*((c_TMAP1OUT)-(0))+IF(((c_TMAP1OUT)-(0))&gt;=0,1,-1)*QUOTIENT(((c_TMAP1IN)-(c_TFWD)),2)),((c_TMAP1IN)-(c_TFWD)))+(0)+IF(((c_TMAP1OUT)-(0))&gt;=0,IF(IF(o_WRAP=1,MOD(((c_TMAP1IN)-(c_TFWD))*(((A240)-(c_TFWD))*((c_TMAP1OUT)-(0))+IF(((c_TMAP1OUT)-(0))&gt;=0,1,-1)*QUOTIENT(((c_TMAP1IN)-(c_TFWD)),2))+2147483648,4294967296)-2147483648,((c_TMAP1IN)-(c_TFWD))*(((A240)-(c_TFWD))*((c_TMAP1OUT)-(0))+IF(((c_TMAP1OUT)-(0))&gt;=0,1,-1)*QUOTIENT(((c_TMAP1IN)-(c_TFWD)),2)))&lt;0,-1,0),IF(IF(o_WRAP=1,MOD(((c_TMAP1IN)-(c_TFWD))*(((A240)-(c_TFWD))*((c_TMAP1OUT)-(0))+IF(((c_TMAP1OUT)-(0))&gt;=0,1,-1)*QUOTIENT(((c_TMAP1IN)-(c_TFWD)),2))+2147483648,4294967296)-2147483648,((c_TMAP1IN)-(c_TFWD))*(((A240)-(c_TFWD))*((c_TMAP1OUT)-(0))+IF(((c_TMAP1OUT)-(0))&gt;=0,1,-1)*QUOTIENT(((c_TMAP1IN)-(c_TFWD)),2)))&gt;=0,1,0)))</f>
        <v>175</v>
      </c>
      <c r="E240" s="7" t="n">
        <f aca="false">IF(((c_TMAP2IN)-(c_TMAP1IN))=0,(c_TMAP1OUT)+QUOTIENT(((c_TMAP2OUT)-(c_TMAP1OUT)),2),QUOTIENT((((A240)-(c_TMAP1IN))*((c_TMAP2OUT)-(c_TMAP1OUT))+IF(((c_TMAP2OUT)-(c_TMAP1OUT))&gt;=0,1,-1)*QUOTIENT(((c_TMAP2IN)-(c_TMAP1IN)),2)),((c_TMAP2IN)-(c_TMAP1IN)))+(c_TMAP1OUT)+IF(((c_TMAP2OUT)-(c_TMAP1OUT))&gt;=0,IF(IF(o_WRAP=1,MOD(((c_TMAP2IN)-(c_TMAP1IN))*(((A240)-(c_TMAP1IN))*((c_TMAP2OUT)-(c_TMAP1OUT))+IF(((c_TMAP2OUT)-(c_TMAP1OUT))&gt;=0,1,-1)*QUOTIENT(((c_TMAP2IN)-(c_TMAP1IN)),2))+2147483648,4294967296)-2147483648,((c_TMAP2IN)-(c_TMAP1IN))*(((A240)-(c_TMAP1IN))*((c_TMAP2OUT)-(c_TMAP1OUT))+IF(((c_TMAP2OUT)-(c_TMAP1OUT))&gt;=0,1,-1)*QUOTIENT(((c_TMAP2IN)-(c_TMAP1IN)),2)))&lt;0,-1,0),IF(IF(o_WRAP=1,MOD(((c_TMAP2IN)-(c_TMAP1IN))*(((A240)-(c_TMAP1IN))*((c_TMAP2OUT)-(c_TMAP1OUT))+IF(((c_TMAP2OUT)-(c_TMAP1OUT))&gt;=0,1,-1)*QUOTIENT(((c_TMAP2IN)-(c_TMAP1IN)),2))+2147483648,4294967296)-2147483648,((c_TMAP2IN)-(c_TMAP1IN))*(((A240)-(c_TMAP1IN))*((c_TMAP2OUT)-(c_TMAP1OUT))+IF(((c_TMAP2OUT)-(c_TMAP1OUT))&gt;=0,1,-1)*QUOTIENT(((c_TMAP2IN)-(c_TMAP1IN)),2)))&gt;=0,1,0)))</f>
        <v>124</v>
      </c>
      <c r="F240" s="7" t="n">
        <f aca="false">IF(((c_TMAP3IN)-(c_TMAP2IN))=0,(c_TMAP2OUT)+QUOTIENT(((c_TMAP3OUT)-(c_TMAP2OUT)),2),QUOTIENT((((A240)-(c_TMAP2IN))*((c_TMAP3OUT)-(c_TMAP2OUT))+IF(((c_TMAP3OUT)-(c_TMAP2OUT))&gt;=0,1,-1)*QUOTIENT(((c_TMAP3IN)-(c_TMAP2IN)),2)),((c_TMAP3IN)-(c_TMAP2IN)))+(c_TMAP2OUT)+IF(((c_TMAP3OUT)-(c_TMAP2OUT))&gt;=0,IF(IF(o_WRAP=1,MOD(((c_TMAP3IN)-(c_TMAP2IN))*(((A240)-(c_TMAP2IN))*((c_TMAP3OUT)-(c_TMAP2OUT))+IF(((c_TMAP3OUT)-(c_TMAP2OUT))&gt;=0,1,-1)*QUOTIENT(((c_TMAP3IN)-(c_TMAP2IN)),2))+2147483648,4294967296)-2147483648,((c_TMAP3IN)-(c_TMAP2IN))*(((A240)-(c_TMAP2IN))*((c_TMAP3OUT)-(c_TMAP2OUT))+IF(((c_TMAP3OUT)-(c_TMAP2OUT))&gt;=0,1,-1)*QUOTIENT(((c_TMAP3IN)-(c_TMAP2IN)),2)))&lt;0,-1,0),IF(IF(o_WRAP=1,MOD(((c_TMAP3IN)-(c_TMAP2IN))*(((A240)-(c_TMAP2IN))*((c_TMAP3OUT)-(c_TMAP2OUT))+IF(((c_TMAP3OUT)-(c_TMAP2OUT))&gt;=0,1,-1)*QUOTIENT(((c_TMAP3IN)-(c_TMAP2IN)),2))+2147483648,4294967296)-2147483648,((c_TMAP3IN)-(c_TMAP2IN))*(((A240)-(c_TMAP2IN))*((c_TMAP3OUT)-(c_TMAP2OUT))+IF(((c_TMAP3OUT)-(c_TMAP2OUT))&gt;=0,1,-1)*QUOTIENT(((c_TMAP3IN)-(c_TMAP2IN)),2)))&gt;=0,1,0)))</f>
        <v>119</v>
      </c>
      <c r="G240" s="7" t="n">
        <f aca="false">IF(((1000)-(c_TMAP3IN))=0,(c_TMAP3OUT)+QUOTIENT(((1000)-(c_TMAP3OUT)),2),QUOTIENT((((A240)-(c_TMAP3IN))*((1000)-(c_TMAP3OUT))+IF(((1000)-(c_TMAP3OUT))&gt;=0,1,-1)*QUOTIENT(((1000)-(c_TMAP3IN)),2)),((1000)-(c_TMAP3IN)))+(c_TMAP3OUT)+IF(((1000)-(c_TMAP3OUT))&gt;=0,IF(IF(o_WRAP=1,MOD(((1000)-(c_TMAP3IN))*(((A240)-(c_TMAP3IN))*((1000)-(c_TMAP3OUT))+IF(((1000)-(c_TMAP3OUT))&gt;=0,1,-1)*QUOTIENT(((1000)-(c_TMAP3IN)),2))+2147483648,4294967296)-2147483648,((1000)-(c_TMAP3IN))*(((A240)-(c_TMAP3IN))*((1000)-(c_TMAP3OUT))+IF(((1000)-(c_TMAP3OUT))&gt;=0,1,-1)*QUOTIENT(((1000)-(c_TMAP3IN)),2)))&lt;0,-1,0),IF(IF(o_WRAP=1,MOD(((1000)-(c_TMAP3IN))*(((A240)-(c_TMAP3IN))*((1000)-(c_TMAP3OUT))+IF(((1000)-(c_TMAP3OUT))&gt;=0,1,-1)*QUOTIENT(((1000)-(c_TMAP3IN)),2))+2147483648,4294967296)-2147483648,((1000)-(c_TMAP3IN))*(((A240)-(c_TMAP3IN))*((1000)-(c_TMAP3OUT))+IF(((1000)-(c_TMAP3OUT))&gt;=0,1,-1)*QUOTIENT(((1000)-(c_TMAP3IN)),2)))&gt;=0,1,0)))</f>
        <v>58</v>
      </c>
      <c r="H240" s="7" t="str">
        <f aca="false">IF(A240&gt;=c_TFWD,IF(AND(A240&gt;=c_TMAP3IN,c_TMAP3IN&lt;1000),"Seg4 map3-100%",IF(AND(A240&gt;=c_TMAP2IN,c_TMAP3IN&gt;c_TMAP2IN),"Seg3 map2-map3",IF(AND(A240&gt;=c_TMAP1IN,c_TMAP2IN&gt;c_TMAP1IN),"Seg2 map1-map2","Seg1 TFWD-map1"))),IF(AND(A240=0,c_TCREEP&gt;0),"Creep",IF(AND(A240&lt;=c_TRNGMIN,A240&gt;=c_TRNGMAX,c_TRNGMIN-c_TRNGMAX&lt;&gt;0),"Regen ramp","Coast (0)")))</f>
        <v>Seg2 map1-map2</v>
      </c>
      <c r="I240" s="7" t="n">
        <f aca="false">IF(A240&gt;=c_TFWD,IF(AND(A240&gt;=c_TMAP3IN,c_TMAP3IN&lt;1000),G240,IF(AND(A240&gt;=c_TMAP2IN,c_TMAP3IN&gt;c_TMAP2IN),F240,IF(AND(A240&gt;=c_TMAP1IN,c_TMAP2IN&gt;c_TMAP1IN),E240,D240))),C240)</f>
        <v>124</v>
      </c>
      <c r="J240" s="7" t="str">
        <f aca="false">IF(I240&lt;-1090,"TOO LOW",IF(I240&gt;1090,"TOO HIGH",""))</f>
        <v/>
      </c>
      <c r="K240" s="15" t="n">
        <f aca="false">IF(J240&lt;&gt;"",0,IF(I240&gt;979,1000,I240))</f>
        <v>124</v>
      </c>
      <c r="L240" s="7" t="n">
        <f aca="false">K240/10</f>
        <v>12.4</v>
      </c>
    </row>
    <row r="241" customFormat="false" ht="15" hidden="false" customHeight="false" outlineLevel="0" collapsed="false">
      <c r="A241" s="7" t="n">
        <v>236</v>
      </c>
      <c r="B241" s="7" t="n">
        <f aca="false">A241/10</f>
        <v>23.6</v>
      </c>
      <c r="C241" s="7" t="n">
        <f aca="false">IF(AND(A241=0,c_TCREEP&gt;0),10*c_TCREEP,IF(AND(A241&lt;=c_TRNGMIN,A241&gt;=c_TRNGMAX,c_TRNGMIN-c_TRNGMAX&lt;&gt;0),-10*c_TMINRN+QUOTIENT((c_TMAXRN-c_TMINRN)*(100-QUOTIENT((A241-c_TRNGMAX)*100,c_TRNGMIN-c_TRNGMAX)),-10),0))</f>
        <v>0</v>
      </c>
      <c r="D241" s="7" t="n">
        <f aca="false">IF(((c_TMAP1IN)-(c_TFWD))=0,(0)+QUOTIENT(((c_TMAP1OUT)-(0)),2),QUOTIENT((((A241)-(c_TFWD))*((c_TMAP1OUT)-(0))+IF(((c_TMAP1OUT)-(0))&gt;=0,1,-1)*QUOTIENT(((c_TMAP1IN)-(c_TFWD)),2)),((c_TMAP1IN)-(c_TFWD)))+(0)+IF(((c_TMAP1OUT)-(0))&gt;=0,IF(IF(o_WRAP=1,MOD(((c_TMAP1IN)-(c_TFWD))*(((A241)-(c_TFWD))*((c_TMAP1OUT)-(0))+IF(((c_TMAP1OUT)-(0))&gt;=0,1,-1)*QUOTIENT(((c_TMAP1IN)-(c_TFWD)),2))+2147483648,4294967296)-2147483648,((c_TMAP1IN)-(c_TFWD))*(((A241)-(c_TFWD))*((c_TMAP1OUT)-(0))+IF(((c_TMAP1OUT)-(0))&gt;=0,1,-1)*QUOTIENT(((c_TMAP1IN)-(c_TFWD)),2)))&lt;0,-1,0),IF(IF(o_WRAP=1,MOD(((c_TMAP1IN)-(c_TFWD))*(((A241)-(c_TFWD))*((c_TMAP1OUT)-(0))+IF(((c_TMAP1OUT)-(0))&gt;=0,1,-1)*QUOTIENT(((c_TMAP1IN)-(c_TFWD)),2))+2147483648,4294967296)-2147483648,((c_TMAP1IN)-(c_TFWD))*(((A241)-(c_TFWD))*((c_TMAP1OUT)-(0))+IF(((c_TMAP1OUT)-(0))&gt;=0,1,-1)*QUOTIENT(((c_TMAP1IN)-(c_TFWD)),2)))&gt;=0,1,0)))</f>
        <v>176</v>
      </c>
      <c r="E241" s="7" t="n">
        <f aca="false">IF(((c_TMAP2IN)-(c_TMAP1IN))=0,(c_TMAP1OUT)+QUOTIENT(((c_TMAP2OUT)-(c_TMAP1OUT)),2),QUOTIENT((((A241)-(c_TMAP1IN))*((c_TMAP2OUT)-(c_TMAP1OUT))+IF(((c_TMAP2OUT)-(c_TMAP1OUT))&gt;=0,1,-1)*QUOTIENT(((c_TMAP2IN)-(c_TMAP1IN)),2)),((c_TMAP2IN)-(c_TMAP1IN)))+(c_TMAP1OUT)+IF(((c_TMAP2OUT)-(c_TMAP1OUT))&gt;=0,IF(IF(o_WRAP=1,MOD(((c_TMAP2IN)-(c_TMAP1IN))*(((A241)-(c_TMAP1IN))*((c_TMAP2OUT)-(c_TMAP1OUT))+IF(((c_TMAP2OUT)-(c_TMAP1OUT))&gt;=0,1,-1)*QUOTIENT(((c_TMAP2IN)-(c_TMAP1IN)),2))+2147483648,4294967296)-2147483648,((c_TMAP2IN)-(c_TMAP1IN))*(((A241)-(c_TMAP1IN))*((c_TMAP2OUT)-(c_TMAP1OUT))+IF(((c_TMAP2OUT)-(c_TMAP1OUT))&gt;=0,1,-1)*QUOTIENT(((c_TMAP2IN)-(c_TMAP1IN)),2)))&lt;0,-1,0),IF(IF(o_WRAP=1,MOD(((c_TMAP2IN)-(c_TMAP1IN))*(((A241)-(c_TMAP1IN))*((c_TMAP2OUT)-(c_TMAP1OUT))+IF(((c_TMAP2OUT)-(c_TMAP1OUT))&gt;=0,1,-1)*QUOTIENT(((c_TMAP2IN)-(c_TMAP1IN)),2))+2147483648,4294967296)-2147483648,((c_TMAP2IN)-(c_TMAP1IN))*(((A241)-(c_TMAP1IN))*((c_TMAP2OUT)-(c_TMAP1OUT))+IF(((c_TMAP2OUT)-(c_TMAP1OUT))&gt;=0,1,-1)*QUOTIENT(((c_TMAP2IN)-(c_TMAP1IN)),2)))&gt;=0,1,0)))</f>
        <v>124</v>
      </c>
      <c r="F241" s="7" t="n">
        <f aca="false">IF(((c_TMAP3IN)-(c_TMAP2IN))=0,(c_TMAP2OUT)+QUOTIENT(((c_TMAP3OUT)-(c_TMAP2OUT)),2),QUOTIENT((((A241)-(c_TMAP2IN))*((c_TMAP3OUT)-(c_TMAP2OUT))+IF(((c_TMAP3OUT)-(c_TMAP2OUT))&gt;=0,1,-1)*QUOTIENT(((c_TMAP3IN)-(c_TMAP2IN)),2)),((c_TMAP3IN)-(c_TMAP2IN)))+(c_TMAP2OUT)+IF(((c_TMAP3OUT)-(c_TMAP2OUT))&gt;=0,IF(IF(o_WRAP=1,MOD(((c_TMAP3IN)-(c_TMAP2IN))*(((A241)-(c_TMAP2IN))*((c_TMAP3OUT)-(c_TMAP2OUT))+IF(((c_TMAP3OUT)-(c_TMAP2OUT))&gt;=0,1,-1)*QUOTIENT(((c_TMAP3IN)-(c_TMAP2IN)),2))+2147483648,4294967296)-2147483648,((c_TMAP3IN)-(c_TMAP2IN))*(((A241)-(c_TMAP2IN))*((c_TMAP3OUT)-(c_TMAP2OUT))+IF(((c_TMAP3OUT)-(c_TMAP2OUT))&gt;=0,1,-1)*QUOTIENT(((c_TMAP3IN)-(c_TMAP2IN)),2)))&lt;0,-1,0),IF(IF(o_WRAP=1,MOD(((c_TMAP3IN)-(c_TMAP2IN))*(((A241)-(c_TMAP2IN))*((c_TMAP3OUT)-(c_TMAP2OUT))+IF(((c_TMAP3OUT)-(c_TMAP2OUT))&gt;=0,1,-1)*QUOTIENT(((c_TMAP3IN)-(c_TMAP2IN)),2))+2147483648,4294967296)-2147483648,((c_TMAP3IN)-(c_TMAP2IN))*(((A241)-(c_TMAP2IN))*((c_TMAP3OUT)-(c_TMAP2OUT))+IF(((c_TMAP3OUT)-(c_TMAP2OUT))&gt;=0,1,-1)*QUOTIENT(((c_TMAP3IN)-(c_TMAP2IN)),2)))&gt;=0,1,0)))</f>
        <v>120</v>
      </c>
      <c r="G241" s="7" t="n">
        <f aca="false">IF(((1000)-(c_TMAP3IN))=0,(c_TMAP3OUT)+QUOTIENT(((1000)-(c_TMAP3OUT)),2),QUOTIENT((((A241)-(c_TMAP3IN))*((1000)-(c_TMAP3OUT))+IF(((1000)-(c_TMAP3OUT))&gt;=0,1,-1)*QUOTIENT(((1000)-(c_TMAP3IN)),2)),((1000)-(c_TMAP3IN)))+(c_TMAP3OUT)+IF(((1000)-(c_TMAP3OUT))&gt;=0,IF(IF(o_WRAP=1,MOD(((1000)-(c_TMAP3IN))*(((A241)-(c_TMAP3IN))*((1000)-(c_TMAP3OUT))+IF(((1000)-(c_TMAP3OUT))&gt;=0,1,-1)*QUOTIENT(((1000)-(c_TMAP3IN)),2))+2147483648,4294967296)-2147483648,((1000)-(c_TMAP3IN))*(((A241)-(c_TMAP3IN))*((1000)-(c_TMAP3OUT))+IF(((1000)-(c_TMAP3OUT))&gt;=0,1,-1)*QUOTIENT(((1000)-(c_TMAP3IN)),2)))&lt;0,-1,0),IF(IF(o_WRAP=1,MOD(((1000)-(c_TMAP3IN))*(((A241)-(c_TMAP3IN))*((1000)-(c_TMAP3OUT))+IF(((1000)-(c_TMAP3OUT))&gt;=0,1,-1)*QUOTIENT(((1000)-(c_TMAP3IN)),2))+2147483648,4294967296)-2147483648,((1000)-(c_TMAP3IN))*(((A241)-(c_TMAP3IN))*((1000)-(c_TMAP3OUT))+IF(((1000)-(c_TMAP3OUT))&gt;=0,1,-1)*QUOTIENT(((1000)-(c_TMAP3IN)),2)))&gt;=0,1,0)))</f>
        <v>60</v>
      </c>
      <c r="H241" s="7" t="str">
        <f aca="false">IF(A241&gt;=c_TFWD,IF(AND(A241&gt;=c_TMAP3IN,c_TMAP3IN&lt;1000),"Seg4 map3-100%",IF(AND(A241&gt;=c_TMAP2IN,c_TMAP3IN&gt;c_TMAP2IN),"Seg3 map2-map3",IF(AND(A241&gt;=c_TMAP1IN,c_TMAP2IN&gt;c_TMAP1IN),"Seg2 map1-map2","Seg1 TFWD-map1"))),IF(AND(A241=0,c_TCREEP&gt;0),"Creep",IF(AND(A241&lt;=c_TRNGMIN,A241&gt;=c_TRNGMAX,c_TRNGMIN-c_TRNGMAX&lt;&gt;0),"Regen ramp","Coast (0)")))</f>
        <v>Seg2 map1-map2</v>
      </c>
      <c r="I241" s="7" t="n">
        <f aca="false">IF(A241&gt;=c_TFWD,IF(AND(A241&gt;=c_TMAP3IN,c_TMAP3IN&lt;1000),G241,IF(AND(A241&gt;=c_TMAP2IN,c_TMAP3IN&gt;c_TMAP2IN),F241,IF(AND(A241&gt;=c_TMAP1IN,c_TMAP2IN&gt;c_TMAP1IN),E241,D241))),C241)</f>
        <v>124</v>
      </c>
      <c r="J241" s="7" t="str">
        <f aca="false">IF(I241&lt;-1090,"TOO LOW",IF(I241&gt;1090,"TOO HIGH",""))</f>
        <v/>
      </c>
      <c r="K241" s="15" t="n">
        <f aca="false">IF(J241&lt;&gt;"",0,IF(I241&gt;979,1000,I241))</f>
        <v>124</v>
      </c>
      <c r="L241" s="7" t="n">
        <f aca="false">K241/10</f>
        <v>12.4</v>
      </c>
    </row>
    <row r="242" customFormat="false" ht="15" hidden="false" customHeight="false" outlineLevel="0" collapsed="false">
      <c r="A242" s="7" t="n">
        <v>237</v>
      </c>
      <c r="B242" s="7" t="n">
        <f aca="false">A242/10</f>
        <v>23.7</v>
      </c>
      <c r="C242" s="7" t="n">
        <f aca="false">IF(AND(A242=0,c_TCREEP&gt;0),10*c_TCREEP,IF(AND(A242&lt;=c_TRNGMIN,A242&gt;=c_TRNGMAX,c_TRNGMIN-c_TRNGMAX&lt;&gt;0),-10*c_TMINRN+QUOTIENT((c_TMAXRN-c_TMINRN)*(100-QUOTIENT((A242-c_TRNGMAX)*100,c_TRNGMIN-c_TRNGMAX)),-10),0))</f>
        <v>0</v>
      </c>
      <c r="D242" s="7" t="n">
        <f aca="false">IF(((c_TMAP1IN)-(c_TFWD))=0,(0)+QUOTIENT(((c_TMAP1OUT)-(0)),2),QUOTIENT((((A242)-(c_TFWD))*((c_TMAP1OUT)-(0))+IF(((c_TMAP1OUT)-(0))&gt;=0,1,-1)*QUOTIENT(((c_TMAP1IN)-(c_TFWD)),2)),((c_TMAP1IN)-(c_TFWD)))+(0)+IF(((c_TMAP1OUT)-(0))&gt;=0,IF(IF(o_WRAP=1,MOD(((c_TMAP1IN)-(c_TFWD))*(((A242)-(c_TFWD))*((c_TMAP1OUT)-(0))+IF(((c_TMAP1OUT)-(0))&gt;=0,1,-1)*QUOTIENT(((c_TMAP1IN)-(c_TFWD)),2))+2147483648,4294967296)-2147483648,((c_TMAP1IN)-(c_TFWD))*(((A242)-(c_TFWD))*((c_TMAP1OUT)-(0))+IF(((c_TMAP1OUT)-(0))&gt;=0,1,-1)*QUOTIENT(((c_TMAP1IN)-(c_TFWD)),2)))&lt;0,-1,0),IF(IF(o_WRAP=1,MOD(((c_TMAP1IN)-(c_TFWD))*(((A242)-(c_TFWD))*((c_TMAP1OUT)-(0))+IF(((c_TMAP1OUT)-(0))&gt;=0,1,-1)*QUOTIENT(((c_TMAP1IN)-(c_TFWD)),2))+2147483648,4294967296)-2147483648,((c_TMAP1IN)-(c_TFWD))*(((A242)-(c_TFWD))*((c_TMAP1OUT)-(0))+IF(((c_TMAP1OUT)-(0))&gt;=0,1,-1)*QUOTIENT(((c_TMAP1IN)-(c_TFWD)),2)))&gt;=0,1,0)))</f>
        <v>177</v>
      </c>
      <c r="E242" s="7" t="n">
        <f aca="false">IF(((c_TMAP2IN)-(c_TMAP1IN))=0,(c_TMAP1OUT)+QUOTIENT(((c_TMAP2OUT)-(c_TMAP1OUT)),2),QUOTIENT((((A242)-(c_TMAP1IN))*((c_TMAP2OUT)-(c_TMAP1OUT))+IF(((c_TMAP2OUT)-(c_TMAP1OUT))&gt;=0,1,-1)*QUOTIENT(((c_TMAP2IN)-(c_TMAP1IN)),2)),((c_TMAP2IN)-(c_TMAP1IN)))+(c_TMAP1OUT)+IF(((c_TMAP2OUT)-(c_TMAP1OUT))&gt;=0,IF(IF(o_WRAP=1,MOD(((c_TMAP2IN)-(c_TMAP1IN))*(((A242)-(c_TMAP1IN))*((c_TMAP2OUT)-(c_TMAP1OUT))+IF(((c_TMAP2OUT)-(c_TMAP1OUT))&gt;=0,1,-1)*QUOTIENT(((c_TMAP2IN)-(c_TMAP1IN)),2))+2147483648,4294967296)-2147483648,((c_TMAP2IN)-(c_TMAP1IN))*(((A242)-(c_TMAP1IN))*((c_TMAP2OUT)-(c_TMAP1OUT))+IF(((c_TMAP2OUT)-(c_TMAP1OUT))&gt;=0,1,-1)*QUOTIENT(((c_TMAP2IN)-(c_TMAP1IN)),2)))&lt;0,-1,0),IF(IF(o_WRAP=1,MOD(((c_TMAP2IN)-(c_TMAP1IN))*(((A242)-(c_TMAP1IN))*((c_TMAP2OUT)-(c_TMAP1OUT))+IF(((c_TMAP2OUT)-(c_TMAP1OUT))&gt;=0,1,-1)*QUOTIENT(((c_TMAP2IN)-(c_TMAP1IN)),2))+2147483648,4294967296)-2147483648,((c_TMAP2IN)-(c_TMAP1IN))*(((A242)-(c_TMAP1IN))*((c_TMAP2OUT)-(c_TMAP1OUT))+IF(((c_TMAP2OUT)-(c_TMAP1OUT))&gt;=0,1,-1)*QUOTIENT(((c_TMAP2IN)-(c_TMAP1IN)),2)))&gt;=0,1,0)))</f>
        <v>125</v>
      </c>
      <c r="F242" s="7" t="n">
        <f aca="false">IF(((c_TMAP3IN)-(c_TMAP2IN))=0,(c_TMAP2OUT)+QUOTIENT(((c_TMAP3OUT)-(c_TMAP2OUT)),2),QUOTIENT((((A242)-(c_TMAP2IN))*((c_TMAP3OUT)-(c_TMAP2OUT))+IF(((c_TMAP3OUT)-(c_TMAP2OUT))&gt;=0,1,-1)*QUOTIENT(((c_TMAP3IN)-(c_TMAP2IN)),2)),((c_TMAP3IN)-(c_TMAP2IN)))+(c_TMAP2OUT)+IF(((c_TMAP3OUT)-(c_TMAP2OUT))&gt;=0,IF(IF(o_WRAP=1,MOD(((c_TMAP3IN)-(c_TMAP2IN))*(((A242)-(c_TMAP2IN))*((c_TMAP3OUT)-(c_TMAP2OUT))+IF(((c_TMAP3OUT)-(c_TMAP2OUT))&gt;=0,1,-1)*QUOTIENT(((c_TMAP3IN)-(c_TMAP2IN)),2))+2147483648,4294967296)-2147483648,((c_TMAP3IN)-(c_TMAP2IN))*(((A242)-(c_TMAP2IN))*((c_TMAP3OUT)-(c_TMAP2OUT))+IF(((c_TMAP3OUT)-(c_TMAP2OUT))&gt;=0,1,-1)*QUOTIENT(((c_TMAP3IN)-(c_TMAP2IN)),2)))&lt;0,-1,0),IF(IF(o_WRAP=1,MOD(((c_TMAP3IN)-(c_TMAP2IN))*(((A242)-(c_TMAP2IN))*((c_TMAP3OUT)-(c_TMAP2OUT))+IF(((c_TMAP3OUT)-(c_TMAP2OUT))&gt;=0,1,-1)*QUOTIENT(((c_TMAP3IN)-(c_TMAP2IN)),2))+2147483648,4294967296)-2147483648,((c_TMAP3IN)-(c_TMAP2IN))*(((A242)-(c_TMAP2IN))*((c_TMAP3OUT)-(c_TMAP2OUT))+IF(((c_TMAP3OUT)-(c_TMAP2OUT))&gt;=0,1,-1)*QUOTIENT(((c_TMAP3IN)-(c_TMAP2IN)),2)))&gt;=0,1,0)))</f>
        <v>121</v>
      </c>
      <c r="G242" s="7" t="n">
        <f aca="false">IF(((1000)-(c_TMAP3IN))=0,(c_TMAP3OUT)+QUOTIENT(((1000)-(c_TMAP3OUT)),2),QUOTIENT((((A242)-(c_TMAP3IN))*((1000)-(c_TMAP3OUT))+IF(((1000)-(c_TMAP3OUT))&gt;=0,1,-1)*QUOTIENT(((1000)-(c_TMAP3IN)),2)),((1000)-(c_TMAP3IN)))+(c_TMAP3OUT)+IF(((1000)-(c_TMAP3OUT))&gt;=0,IF(IF(o_WRAP=1,MOD(((1000)-(c_TMAP3IN))*(((A242)-(c_TMAP3IN))*((1000)-(c_TMAP3OUT))+IF(((1000)-(c_TMAP3OUT))&gt;=0,1,-1)*QUOTIENT(((1000)-(c_TMAP3IN)),2))+2147483648,4294967296)-2147483648,((1000)-(c_TMAP3IN))*(((A242)-(c_TMAP3IN))*((1000)-(c_TMAP3OUT))+IF(((1000)-(c_TMAP3OUT))&gt;=0,1,-1)*QUOTIENT(((1000)-(c_TMAP3IN)),2)))&lt;0,-1,0),IF(IF(o_WRAP=1,MOD(((1000)-(c_TMAP3IN))*(((A242)-(c_TMAP3IN))*((1000)-(c_TMAP3OUT))+IF(((1000)-(c_TMAP3OUT))&gt;=0,1,-1)*QUOTIENT(((1000)-(c_TMAP3IN)),2))+2147483648,4294967296)-2147483648,((1000)-(c_TMAP3IN))*(((A242)-(c_TMAP3IN))*((1000)-(c_TMAP3OUT))+IF(((1000)-(c_TMAP3OUT))&gt;=0,1,-1)*QUOTIENT(((1000)-(c_TMAP3IN)),2)))&gt;=0,1,0)))</f>
        <v>61</v>
      </c>
      <c r="H242" s="7" t="str">
        <f aca="false">IF(A242&gt;=c_TFWD,IF(AND(A242&gt;=c_TMAP3IN,c_TMAP3IN&lt;1000),"Seg4 map3-100%",IF(AND(A242&gt;=c_TMAP2IN,c_TMAP3IN&gt;c_TMAP2IN),"Seg3 map2-map3",IF(AND(A242&gt;=c_TMAP1IN,c_TMAP2IN&gt;c_TMAP1IN),"Seg2 map1-map2","Seg1 TFWD-map1"))),IF(AND(A242=0,c_TCREEP&gt;0),"Creep",IF(AND(A242&lt;=c_TRNGMIN,A242&gt;=c_TRNGMAX,c_TRNGMIN-c_TRNGMAX&lt;&gt;0),"Regen ramp","Coast (0)")))</f>
        <v>Seg2 map1-map2</v>
      </c>
      <c r="I242" s="7" t="n">
        <f aca="false">IF(A242&gt;=c_TFWD,IF(AND(A242&gt;=c_TMAP3IN,c_TMAP3IN&lt;1000),G242,IF(AND(A242&gt;=c_TMAP2IN,c_TMAP3IN&gt;c_TMAP2IN),F242,IF(AND(A242&gt;=c_TMAP1IN,c_TMAP2IN&gt;c_TMAP1IN),E242,D242))),C242)</f>
        <v>125</v>
      </c>
      <c r="J242" s="7" t="str">
        <f aca="false">IF(I242&lt;-1090,"TOO LOW",IF(I242&gt;1090,"TOO HIGH",""))</f>
        <v/>
      </c>
      <c r="K242" s="15" t="n">
        <f aca="false">IF(J242&lt;&gt;"",0,IF(I242&gt;979,1000,I242))</f>
        <v>125</v>
      </c>
      <c r="L242" s="7" t="n">
        <f aca="false">K242/10</f>
        <v>12.5</v>
      </c>
    </row>
    <row r="243" customFormat="false" ht="15" hidden="false" customHeight="false" outlineLevel="0" collapsed="false">
      <c r="A243" s="7" t="n">
        <v>238</v>
      </c>
      <c r="B243" s="7" t="n">
        <f aca="false">A243/10</f>
        <v>23.8</v>
      </c>
      <c r="C243" s="7" t="n">
        <f aca="false">IF(AND(A243=0,c_TCREEP&gt;0),10*c_TCREEP,IF(AND(A243&lt;=c_TRNGMIN,A243&gt;=c_TRNGMAX,c_TRNGMIN-c_TRNGMAX&lt;&gt;0),-10*c_TMINRN+QUOTIENT((c_TMAXRN-c_TMINRN)*(100-QUOTIENT((A243-c_TRNGMAX)*100,c_TRNGMIN-c_TRNGMAX)),-10),0))</f>
        <v>0</v>
      </c>
      <c r="D243" s="7" t="n">
        <f aca="false">IF(((c_TMAP1IN)-(c_TFWD))=0,(0)+QUOTIENT(((c_TMAP1OUT)-(0)),2),QUOTIENT((((A243)-(c_TFWD))*((c_TMAP1OUT)-(0))+IF(((c_TMAP1OUT)-(0))&gt;=0,1,-1)*QUOTIENT(((c_TMAP1IN)-(c_TFWD)),2)),((c_TMAP1IN)-(c_TFWD)))+(0)+IF(((c_TMAP1OUT)-(0))&gt;=0,IF(IF(o_WRAP=1,MOD(((c_TMAP1IN)-(c_TFWD))*(((A243)-(c_TFWD))*((c_TMAP1OUT)-(0))+IF(((c_TMAP1OUT)-(0))&gt;=0,1,-1)*QUOTIENT(((c_TMAP1IN)-(c_TFWD)),2))+2147483648,4294967296)-2147483648,((c_TMAP1IN)-(c_TFWD))*(((A243)-(c_TFWD))*((c_TMAP1OUT)-(0))+IF(((c_TMAP1OUT)-(0))&gt;=0,1,-1)*QUOTIENT(((c_TMAP1IN)-(c_TFWD)),2)))&lt;0,-1,0),IF(IF(o_WRAP=1,MOD(((c_TMAP1IN)-(c_TFWD))*(((A243)-(c_TFWD))*((c_TMAP1OUT)-(0))+IF(((c_TMAP1OUT)-(0))&gt;=0,1,-1)*QUOTIENT(((c_TMAP1IN)-(c_TFWD)),2))+2147483648,4294967296)-2147483648,((c_TMAP1IN)-(c_TFWD))*(((A243)-(c_TFWD))*((c_TMAP1OUT)-(0))+IF(((c_TMAP1OUT)-(0))&gt;=0,1,-1)*QUOTIENT(((c_TMAP1IN)-(c_TFWD)),2)))&gt;=0,1,0)))</f>
        <v>177</v>
      </c>
      <c r="E243" s="7" t="n">
        <f aca="false">IF(((c_TMAP2IN)-(c_TMAP1IN))=0,(c_TMAP1OUT)+QUOTIENT(((c_TMAP2OUT)-(c_TMAP1OUT)),2),QUOTIENT((((A243)-(c_TMAP1IN))*((c_TMAP2OUT)-(c_TMAP1OUT))+IF(((c_TMAP2OUT)-(c_TMAP1OUT))&gt;=0,1,-1)*QUOTIENT(((c_TMAP2IN)-(c_TMAP1IN)),2)),((c_TMAP2IN)-(c_TMAP1IN)))+(c_TMAP1OUT)+IF(((c_TMAP2OUT)-(c_TMAP1OUT))&gt;=0,IF(IF(o_WRAP=1,MOD(((c_TMAP2IN)-(c_TMAP1IN))*(((A243)-(c_TMAP1IN))*((c_TMAP2OUT)-(c_TMAP1OUT))+IF(((c_TMAP2OUT)-(c_TMAP1OUT))&gt;=0,1,-1)*QUOTIENT(((c_TMAP2IN)-(c_TMAP1IN)),2))+2147483648,4294967296)-2147483648,((c_TMAP2IN)-(c_TMAP1IN))*(((A243)-(c_TMAP1IN))*((c_TMAP2OUT)-(c_TMAP1OUT))+IF(((c_TMAP2OUT)-(c_TMAP1OUT))&gt;=0,1,-1)*QUOTIENT(((c_TMAP2IN)-(c_TMAP1IN)),2)))&lt;0,-1,0),IF(IF(o_WRAP=1,MOD(((c_TMAP2IN)-(c_TMAP1IN))*(((A243)-(c_TMAP1IN))*((c_TMAP2OUT)-(c_TMAP1OUT))+IF(((c_TMAP2OUT)-(c_TMAP1OUT))&gt;=0,1,-1)*QUOTIENT(((c_TMAP2IN)-(c_TMAP1IN)),2))+2147483648,4294967296)-2147483648,((c_TMAP2IN)-(c_TMAP1IN))*(((A243)-(c_TMAP1IN))*((c_TMAP2OUT)-(c_TMAP1OUT))+IF(((c_TMAP2OUT)-(c_TMAP1OUT))&gt;=0,1,-1)*QUOTIENT(((c_TMAP2IN)-(c_TMAP1IN)),2)))&gt;=0,1,0)))</f>
        <v>125</v>
      </c>
      <c r="F243" s="7" t="n">
        <f aca="false">IF(((c_TMAP3IN)-(c_TMAP2IN))=0,(c_TMAP2OUT)+QUOTIENT(((c_TMAP3OUT)-(c_TMAP2OUT)),2),QUOTIENT((((A243)-(c_TMAP2IN))*((c_TMAP3OUT)-(c_TMAP2OUT))+IF(((c_TMAP3OUT)-(c_TMAP2OUT))&gt;=0,1,-1)*QUOTIENT(((c_TMAP3IN)-(c_TMAP2IN)),2)),((c_TMAP3IN)-(c_TMAP2IN)))+(c_TMAP2OUT)+IF(((c_TMAP3OUT)-(c_TMAP2OUT))&gt;=0,IF(IF(o_WRAP=1,MOD(((c_TMAP3IN)-(c_TMAP2IN))*(((A243)-(c_TMAP2IN))*((c_TMAP3OUT)-(c_TMAP2OUT))+IF(((c_TMAP3OUT)-(c_TMAP2OUT))&gt;=0,1,-1)*QUOTIENT(((c_TMAP3IN)-(c_TMAP2IN)),2))+2147483648,4294967296)-2147483648,((c_TMAP3IN)-(c_TMAP2IN))*(((A243)-(c_TMAP2IN))*((c_TMAP3OUT)-(c_TMAP2OUT))+IF(((c_TMAP3OUT)-(c_TMAP2OUT))&gt;=0,1,-1)*QUOTIENT(((c_TMAP3IN)-(c_TMAP2IN)),2)))&lt;0,-1,0),IF(IF(o_WRAP=1,MOD(((c_TMAP3IN)-(c_TMAP2IN))*(((A243)-(c_TMAP2IN))*((c_TMAP3OUT)-(c_TMAP2OUT))+IF(((c_TMAP3OUT)-(c_TMAP2OUT))&gt;=0,1,-1)*QUOTIENT(((c_TMAP3IN)-(c_TMAP2IN)),2))+2147483648,4294967296)-2147483648,((c_TMAP3IN)-(c_TMAP2IN))*(((A243)-(c_TMAP2IN))*((c_TMAP3OUT)-(c_TMAP2OUT))+IF(((c_TMAP3OUT)-(c_TMAP2OUT))&gt;=0,1,-1)*QUOTIENT(((c_TMAP3IN)-(c_TMAP2IN)),2)))&gt;=0,1,0)))</f>
        <v>122</v>
      </c>
      <c r="G243" s="7" t="n">
        <f aca="false">IF(((1000)-(c_TMAP3IN))=0,(c_TMAP3OUT)+QUOTIENT(((1000)-(c_TMAP3OUT)),2),QUOTIENT((((A243)-(c_TMAP3IN))*((1000)-(c_TMAP3OUT))+IF(((1000)-(c_TMAP3OUT))&gt;=0,1,-1)*QUOTIENT(((1000)-(c_TMAP3IN)),2)),((1000)-(c_TMAP3IN)))+(c_TMAP3OUT)+IF(((1000)-(c_TMAP3OUT))&gt;=0,IF(IF(o_WRAP=1,MOD(((1000)-(c_TMAP3IN))*(((A243)-(c_TMAP3IN))*((1000)-(c_TMAP3OUT))+IF(((1000)-(c_TMAP3OUT))&gt;=0,1,-1)*QUOTIENT(((1000)-(c_TMAP3IN)),2))+2147483648,4294967296)-2147483648,((1000)-(c_TMAP3IN))*(((A243)-(c_TMAP3IN))*((1000)-(c_TMAP3OUT))+IF(((1000)-(c_TMAP3OUT))&gt;=0,1,-1)*QUOTIENT(((1000)-(c_TMAP3IN)),2)))&lt;0,-1,0),IF(IF(o_WRAP=1,MOD(((1000)-(c_TMAP3IN))*(((A243)-(c_TMAP3IN))*((1000)-(c_TMAP3OUT))+IF(((1000)-(c_TMAP3OUT))&gt;=0,1,-1)*QUOTIENT(((1000)-(c_TMAP3IN)),2))+2147483648,4294967296)-2147483648,((1000)-(c_TMAP3IN))*(((A243)-(c_TMAP3IN))*((1000)-(c_TMAP3OUT))+IF(((1000)-(c_TMAP3OUT))&gt;=0,1,-1)*QUOTIENT(((1000)-(c_TMAP3IN)),2)))&gt;=0,1,0)))</f>
        <v>62</v>
      </c>
      <c r="H243" s="7" t="str">
        <f aca="false">IF(A243&gt;=c_TFWD,IF(AND(A243&gt;=c_TMAP3IN,c_TMAP3IN&lt;1000),"Seg4 map3-100%",IF(AND(A243&gt;=c_TMAP2IN,c_TMAP3IN&gt;c_TMAP2IN),"Seg3 map2-map3",IF(AND(A243&gt;=c_TMAP1IN,c_TMAP2IN&gt;c_TMAP1IN),"Seg2 map1-map2","Seg1 TFWD-map1"))),IF(AND(A243=0,c_TCREEP&gt;0),"Creep",IF(AND(A243&lt;=c_TRNGMIN,A243&gt;=c_TRNGMAX,c_TRNGMIN-c_TRNGMAX&lt;&gt;0),"Regen ramp","Coast (0)")))</f>
        <v>Seg2 map1-map2</v>
      </c>
      <c r="I243" s="7" t="n">
        <f aca="false">IF(A243&gt;=c_TFWD,IF(AND(A243&gt;=c_TMAP3IN,c_TMAP3IN&lt;1000),G243,IF(AND(A243&gt;=c_TMAP2IN,c_TMAP3IN&gt;c_TMAP2IN),F243,IF(AND(A243&gt;=c_TMAP1IN,c_TMAP2IN&gt;c_TMAP1IN),E243,D243))),C243)</f>
        <v>125</v>
      </c>
      <c r="J243" s="7" t="str">
        <f aca="false">IF(I243&lt;-1090,"TOO LOW",IF(I243&gt;1090,"TOO HIGH",""))</f>
        <v/>
      </c>
      <c r="K243" s="15" t="n">
        <f aca="false">IF(J243&lt;&gt;"",0,IF(I243&gt;979,1000,I243))</f>
        <v>125</v>
      </c>
      <c r="L243" s="7" t="n">
        <f aca="false">K243/10</f>
        <v>12.5</v>
      </c>
    </row>
    <row r="244" customFormat="false" ht="15" hidden="false" customHeight="false" outlineLevel="0" collapsed="false">
      <c r="A244" s="7" t="n">
        <v>239</v>
      </c>
      <c r="B244" s="7" t="n">
        <f aca="false">A244/10</f>
        <v>23.9</v>
      </c>
      <c r="C244" s="7" t="n">
        <f aca="false">IF(AND(A244=0,c_TCREEP&gt;0),10*c_TCREEP,IF(AND(A244&lt;=c_TRNGMIN,A244&gt;=c_TRNGMAX,c_TRNGMIN-c_TRNGMAX&lt;&gt;0),-10*c_TMINRN+QUOTIENT((c_TMAXRN-c_TMINRN)*(100-QUOTIENT((A244-c_TRNGMAX)*100,c_TRNGMIN-c_TRNGMAX)),-10),0))</f>
        <v>0</v>
      </c>
      <c r="D244" s="7" t="n">
        <f aca="false">IF(((c_TMAP1IN)-(c_TFWD))=0,(0)+QUOTIENT(((c_TMAP1OUT)-(0)),2),QUOTIENT((((A244)-(c_TFWD))*((c_TMAP1OUT)-(0))+IF(((c_TMAP1OUT)-(0))&gt;=0,1,-1)*QUOTIENT(((c_TMAP1IN)-(c_TFWD)),2)),((c_TMAP1IN)-(c_TFWD)))+(0)+IF(((c_TMAP1OUT)-(0))&gt;=0,IF(IF(o_WRAP=1,MOD(((c_TMAP1IN)-(c_TFWD))*(((A244)-(c_TFWD))*((c_TMAP1OUT)-(0))+IF(((c_TMAP1OUT)-(0))&gt;=0,1,-1)*QUOTIENT(((c_TMAP1IN)-(c_TFWD)),2))+2147483648,4294967296)-2147483648,((c_TMAP1IN)-(c_TFWD))*(((A244)-(c_TFWD))*((c_TMAP1OUT)-(0))+IF(((c_TMAP1OUT)-(0))&gt;=0,1,-1)*QUOTIENT(((c_TMAP1IN)-(c_TFWD)),2)))&lt;0,-1,0),IF(IF(o_WRAP=1,MOD(((c_TMAP1IN)-(c_TFWD))*(((A244)-(c_TFWD))*((c_TMAP1OUT)-(0))+IF(((c_TMAP1OUT)-(0))&gt;=0,1,-1)*QUOTIENT(((c_TMAP1IN)-(c_TFWD)),2))+2147483648,4294967296)-2147483648,((c_TMAP1IN)-(c_TFWD))*(((A244)-(c_TFWD))*((c_TMAP1OUT)-(0))+IF(((c_TMAP1OUT)-(0))&gt;=0,1,-1)*QUOTIENT(((c_TMAP1IN)-(c_TFWD)),2)))&gt;=0,1,0)))</f>
        <v>178</v>
      </c>
      <c r="E244" s="7" t="n">
        <f aca="false">IF(((c_TMAP2IN)-(c_TMAP1IN))=0,(c_TMAP1OUT)+QUOTIENT(((c_TMAP2OUT)-(c_TMAP1OUT)),2),QUOTIENT((((A244)-(c_TMAP1IN))*((c_TMAP2OUT)-(c_TMAP1OUT))+IF(((c_TMAP2OUT)-(c_TMAP1OUT))&gt;=0,1,-1)*QUOTIENT(((c_TMAP2IN)-(c_TMAP1IN)),2)),((c_TMAP2IN)-(c_TMAP1IN)))+(c_TMAP1OUT)+IF(((c_TMAP2OUT)-(c_TMAP1OUT))&gt;=0,IF(IF(o_WRAP=1,MOD(((c_TMAP2IN)-(c_TMAP1IN))*(((A244)-(c_TMAP1IN))*((c_TMAP2OUT)-(c_TMAP1OUT))+IF(((c_TMAP2OUT)-(c_TMAP1OUT))&gt;=0,1,-1)*QUOTIENT(((c_TMAP2IN)-(c_TMAP1IN)),2))+2147483648,4294967296)-2147483648,((c_TMAP2IN)-(c_TMAP1IN))*(((A244)-(c_TMAP1IN))*((c_TMAP2OUT)-(c_TMAP1OUT))+IF(((c_TMAP2OUT)-(c_TMAP1OUT))&gt;=0,1,-1)*QUOTIENT(((c_TMAP2IN)-(c_TMAP1IN)),2)))&lt;0,-1,0),IF(IF(o_WRAP=1,MOD(((c_TMAP2IN)-(c_TMAP1IN))*(((A244)-(c_TMAP1IN))*((c_TMAP2OUT)-(c_TMAP1OUT))+IF(((c_TMAP2OUT)-(c_TMAP1OUT))&gt;=0,1,-1)*QUOTIENT(((c_TMAP2IN)-(c_TMAP1IN)),2))+2147483648,4294967296)-2147483648,((c_TMAP2IN)-(c_TMAP1IN))*(((A244)-(c_TMAP1IN))*((c_TMAP2OUT)-(c_TMAP1OUT))+IF(((c_TMAP2OUT)-(c_TMAP1OUT))&gt;=0,1,-1)*QUOTIENT(((c_TMAP2IN)-(c_TMAP1IN)),2)))&gt;=0,1,0)))</f>
        <v>126</v>
      </c>
      <c r="F244" s="7" t="n">
        <f aca="false">IF(((c_TMAP3IN)-(c_TMAP2IN))=0,(c_TMAP2OUT)+QUOTIENT(((c_TMAP3OUT)-(c_TMAP2OUT)),2),QUOTIENT((((A244)-(c_TMAP2IN))*((c_TMAP3OUT)-(c_TMAP2OUT))+IF(((c_TMAP3OUT)-(c_TMAP2OUT))&gt;=0,1,-1)*QUOTIENT(((c_TMAP3IN)-(c_TMAP2IN)),2)),((c_TMAP3IN)-(c_TMAP2IN)))+(c_TMAP2OUT)+IF(((c_TMAP3OUT)-(c_TMAP2OUT))&gt;=0,IF(IF(o_WRAP=1,MOD(((c_TMAP3IN)-(c_TMAP2IN))*(((A244)-(c_TMAP2IN))*((c_TMAP3OUT)-(c_TMAP2OUT))+IF(((c_TMAP3OUT)-(c_TMAP2OUT))&gt;=0,1,-1)*QUOTIENT(((c_TMAP3IN)-(c_TMAP2IN)),2))+2147483648,4294967296)-2147483648,((c_TMAP3IN)-(c_TMAP2IN))*(((A244)-(c_TMAP2IN))*((c_TMAP3OUT)-(c_TMAP2OUT))+IF(((c_TMAP3OUT)-(c_TMAP2OUT))&gt;=0,1,-1)*QUOTIENT(((c_TMAP3IN)-(c_TMAP2IN)),2)))&lt;0,-1,0),IF(IF(o_WRAP=1,MOD(((c_TMAP3IN)-(c_TMAP2IN))*(((A244)-(c_TMAP2IN))*((c_TMAP3OUT)-(c_TMAP2OUT))+IF(((c_TMAP3OUT)-(c_TMAP2OUT))&gt;=0,1,-1)*QUOTIENT(((c_TMAP3IN)-(c_TMAP2IN)),2))+2147483648,4294967296)-2147483648,((c_TMAP3IN)-(c_TMAP2IN))*(((A244)-(c_TMAP2IN))*((c_TMAP3OUT)-(c_TMAP2OUT))+IF(((c_TMAP3OUT)-(c_TMAP2OUT))&gt;=0,1,-1)*QUOTIENT(((c_TMAP3IN)-(c_TMAP2IN)),2)))&gt;=0,1,0)))</f>
        <v>122</v>
      </c>
      <c r="G244" s="7" t="n">
        <f aca="false">IF(((1000)-(c_TMAP3IN))=0,(c_TMAP3OUT)+QUOTIENT(((1000)-(c_TMAP3OUT)),2),QUOTIENT((((A244)-(c_TMAP3IN))*((1000)-(c_TMAP3OUT))+IF(((1000)-(c_TMAP3OUT))&gt;=0,1,-1)*QUOTIENT(((1000)-(c_TMAP3IN)),2)),((1000)-(c_TMAP3IN)))+(c_TMAP3OUT)+IF(((1000)-(c_TMAP3OUT))&gt;=0,IF(IF(o_WRAP=1,MOD(((1000)-(c_TMAP3IN))*(((A244)-(c_TMAP3IN))*((1000)-(c_TMAP3OUT))+IF(((1000)-(c_TMAP3OUT))&gt;=0,1,-1)*QUOTIENT(((1000)-(c_TMAP3IN)),2))+2147483648,4294967296)-2147483648,((1000)-(c_TMAP3IN))*(((A244)-(c_TMAP3IN))*((1000)-(c_TMAP3OUT))+IF(((1000)-(c_TMAP3OUT))&gt;=0,1,-1)*QUOTIENT(((1000)-(c_TMAP3IN)),2)))&lt;0,-1,0),IF(IF(o_WRAP=1,MOD(((1000)-(c_TMAP3IN))*(((A244)-(c_TMAP3IN))*((1000)-(c_TMAP3OUT))+IF(((1000)-(c_TMAP3OUT))&gt;=0,1,-1)*QUOTIENT(((1000)-(c_TMAP3IN)),2))+2147483648,4294967296)-2147483648,((1000)-(c_TMAP3IN))*(((A244)-(c_TMAP3IN))*((1000)-(c_TMAP3OUT))+IF(((1000)-(c_TMAP3OUT))&gt;=0,1,-1)*QUOTIENT(((1000)-(c_TMAP3IN)),2)))&gt;=0,1,0)))</f>
        <v>63</v>
      </c>
      <c r="H244" s="7" t="str">
        <f aca="false">IF(A244&gt;=c_TFWD,IF(AND(A244&gt;=c_TMAP3IN,c_TMAP3IN&lt;1000),"Seg4 map3-100%",IF(AND(A244&gt;=c_TMAP2IN,c_TMAP3IN&gt;c_TMAP2IN),"Seg3 map2-map3",IF(AND(A244&gt;=c_TMAP1IN,c_TMAP2IN&gt;c_TMAP1IN),"Seg2 map1-map2","Seg1 TFWD-map1"))),IF(AND(A244=0,c_TCREEP&gt;0),"Creep",IF(AND(A244&lt;=c_TRNGMIN,A244&gt;=c_TRNGMAX,c_TRNGMIN-c_TRNGMAX&lt;&gt;0),"Regen ramp","Coast (0)")))</f>
        <v>Seg2 map1-map2</v>
      </c>
      <c r="I244" s="7" t="n">
        <f aca="false">IF(A244&gt;=c_TFWD,IF(AND(A244&gt;=c_TMAP3IN,c_TMAP3IN&lt;1000),G244,IF(AND(A244&gt;=c_TMAP2IN,c_TMAP3IN&gt;c_TMAP2IN),F244,IF(AND(A244&gt;=c_TMAP1IN,c_TMAP2IN&gt;c_TMAP1IN),E244,D244))),C244)</f>
        <v>126</v>
      </c>
      <c r="J244" s="7" t="str">
        <f aca="false">IF(I244&lt;-1090,"TOO LOW",IF(I244&gt;1090,"TOO HIGH",""))</f>
        <v/>
      </c>
      <c r="K244" s="15" t="n">
        <f aca="false">IF(J244&lt;&gt;"",0,IF(I244&gt;979,1000,I244))</f>
        <v>126</v>
      </c>
      <c r="L244" s="7" t="n">
        <f aca="false">K244/10</f>
        <v>12.6</v>
      </c>
    </row>
    <row r="245" customFormat="false" ht="15" hidden="false" customHeight="false" outlineLevel="0" collapsed="false">
      <c r="A245" s="7" t="n">
        <v>240</v>
      </c>
      <c r="B245" s="7" t="n">
        <f aca="false">A245/10</f>
        <v>24</v>
      </c>
      <c r="C245" s="7" t="n">
        <f aca="false">IF(AND(A245=0,c_TCREEP&gt;0),10*c_TCREEP,IF(AND(A245&lt;=c_TRNGMIN,A245&gt;=c_TRNGMAX,c_TRNGMIN-c_TRNGMAX&lt;&gt;0),-10*c_TMINRN+QUOTIENT((c_TMAXRN-c_TMINRN)*(100-QUOTIENT((A245-c_TRNGMAX)*100,c_TRNGMIN-c_TRNGMAX)),-10),0))</f>
        <v>0</v>
      </c>
      <c r="D245" s="7" t="n">
        <f aca="false">IF(((c_TMAP1IN)-(c_TFWD))=0,(0)+QUOTIENT(((c_TMAP1OUT)-(0)),2),QUOTIENT((((A245)-(c_TFWD))*((c_TMAP1OUT)-(0))+IF(((c_TMAP1OUT)-(0))&gt;=0,1,-1)*QUOTIENT(((c_TMAP1IN)-(c_TFWD)),2)),((c_TMAP1IN)-(c_TFWD)))+(0)+IF(((c_TMAP1OUT)-(0))&gt;=0,IF(IF(o_WRAP=1,MOD(((c_TMAP1IN)-(c_TFWD))*(((A245)-(c_TFWD))*((c_TMAP1OUT)-(0))+IF(((c_TMAP1OUT)-(0))&gt;=0,1,-1)*QUOTIENT(((c_TMAP1IN)-(c_TFWD)),2))+2147483648,4294967296)-2147483648,((c_TMAP1IN)-(c_TFWD))*(((A245)-(c_TFWD))*((c_TMAP1OUT)-(0))+IF(((c_TMAP1OUT)-(0))&gt;=0,1,-1)*QUOTIENT(((c_TMAP1IN)-(c_TFWD)),2)))&lt;0,-1,0),IF(IF(o_WRAP=1,MOD(((c_TMAP1IN)-(c_TFWD))*(((A245)-(c_TFWD))*((c_TMAP1OUT)-(0))+IF(((c_TMAP1OUT)-(0))&gt;=0,1,-1)*QUOTIENT(((c_TMAP1IN)-(c_TFWD)),2))+2147483648,4294967296)-2147483648,((c_TMAP1IN)-(c_TFWD))*(((A245)-(c_TFWD))*((c_TMAP1OUT)-(0))+IF(((c_TMAP1OUT)-(0))&gt;=0,1,-1)*QUOTIENT(((c_TMAP1IN)-(c_TFWD)),2)))&gt;=0,1,0)))</f>
        <v>179</v>
      </c>
      <c r="E245" s="7" t="n">
        <f aca="false">IF(((c_TMAP2IN)-(c_TMAP1IN))=0,(c_TMAP1OUT)+QUOTIENT(((c_TMAP2OUT)-(c_TMAP1OUT)),2),QUOTIENT((((A245)-(c_TMAP1IN))*((c_TMAP2OUT)-(c_TMAP1OUT))+IF(((c_TMAP2OUT)-(c_TMAP1OUT))&gt;=0,1,-1)*QUOTIENT(((c_TMAP2IN)-(c_TMAP1IN)),2)),((c_TMAP2IN)-(c_TMAP1IN)))+(c_TMAP1OUT)+IF(((c_TMAP2OUT)-(c_TMAP1OUT))&gt;=0,IF(IF(o_WRAP=1,MOD(((c_TMAP2IN)-(c_TMAP1IN))*(((A245)-(c_TMAP1IN))*((c_TMAP2OUT)-(c_TMAP1OUT))+IF(((c_TMAP2OUT)-(c_TMAP1OUT))&gt;=0,1,-1)*QUOTIENT(((c_TMAP2IN)-(c_TMAP1IN)),2))+2147483648,4294967296)-2147483648,((c_TMAP2IN)-(c_TMAP1IN))*(((A245)-(c_TMAP1IN))*((c_TMAP2OUT)-(c_TMAP1OUT))+IF(((c_TMAP2OUT)-(c_TMAP1OUT))&gt;=0,1,-1)*QUOTIENT(((c_TMAP2IN)-(c_TMAP1IN)),2)))&lt;0,-1,0),IF(IF(o_WRAP=1,MOD(((c_TMAP2IN)-(c_TMAP1IN))*(((A245)-(c_TMAP1IN))*((c_TMAP2OUT)-(c_TMAP1OUT))+IF(((c_TMAP2OUT)-(c_TMAP1OUT))&gt;=0,1,-1)*QUOTIENT(((c_TMAP2IN)-(c_TMAP1IN)),2))+2147483648,4294967296)-2147483648,((c_TMAP2IN)-(c_TMAP1IN))*(((A245)-(c_TMAP1IN))*((c_TMAP2OUT)-(c_TMAP1OUT))+IF(((c_TMAP2OUT)-(c_TMAP1OUT))&gt;=0,1,-1)*QUOTIENT(((c_TMAP2IN)-(c_TMAP1IN)),2)))&gt;=0,1,0)))</f>
        <v>126</v>
      </c>
      <c r="F245" s="7" t="n">
        <f aca="false">IF(((c_TMAP3IN)-(c_TMAP2IN))=0,(c_TMAP2OUT)+QUOTIENT(((c_TMAP3OUT)-(c_TMAP2OUT)),2),QUOTIENT((((A245)-(c_TMAP2IN))*((c_TMAP3OUT)-(c_TMAP2OUT))+IF(((c_TMAP3OUT)-(c_TMAP2OUT))&gt;=0,1,-1)*QUOTIENT(((c_TMAP3IN)-(c_TMAP2IN)),2)),((c_TMAP3IN)-(c_TMAP2IN)))+(c_TMAP2OUT)+IF(((c_TMAP3OUT)-(c_TMAP2OUT))&gt;=0,IF(IF(o_WRAP=1,MOD(((c_TMAP3IN)-(c_TMAP2IN))*(((A245)-(c_TMAP2IN))*((c_TMAP3OUT)-(c_TMAP2OUT))+IF(((c_TMAP3OUT)-(c_TMAP2OUT))&gt;=0,1,-1)*QUOTIENT(((c_TMAP3IN)-(c_TMAP2IN)),2))+2147483648,4294967296)-2147483648,((c_TMAP3IN)-(c_TMAP2IN))*(((A245)-(c_TMAP2IN))*((c_TMAP3OUT)-(c_TMAP2OUT))+IF(((c_TMAP3OUT)-(c_TMAP2OUT))&gt;=0,1,-1)*QUOTIENT(((c_TMAP3IN)-(c_TMAP2IN)),2)))&lt;0,-1,0),IF(IF(o_WRAP=1,MOD(((c_TMAP3IN)-(c_TMAP2IN))*(((A245)-(c_TMAP2IN))*((c_TMAP3OUT)-(c_TMAP2OUT))+IF(((c_TMAP3OUT)-(c_TMAP2OUT))&gt;=0,1,-1)*QUOTIENT(((c_TMAP3IN)-(c_TMAP2IN)),2))+2147483648,4294967296)-2147483648,((c_TMAP3IN)-(c_TMAP2IN))*(((A245)-(c_TMAP2IN))*((c_TMAP3OUT)-(c_TMAP2OUT))+IF(((c_TMAP3OUT)-(c_TMAP2OUT))&gt;=0,1,-1)*QUOTIENT(((c_TMAP3IN)-(c_TMAP2IN)),2)))&gt;=0,1,0)))</f>
        <v>123</v>
      </c>
      <c r="G245" s="7" t="n">
        <f aca="false">IF(((1000)-(c_TMAP3IN))=0,(c_TMAP3OUT)+QUOTIENT(((1000)-(c_TMAP3OUT)),2),QUOTIENT((((A245)-(c_TMAP3IN))*((1000)-(c_TMAP3OUT))+IF(((1000)-(c_TMAP3OUT))&gt;=0,1,-1)*QUOTIENT(((1000)-(c_TMAP3IN)),2)),((1000)-(c_TMAP3IN)))+(c_TMAP3OUT)+IF(((1000)-(c_TMAP3OUT))&gt;=0,IF(IF(o_WRAP=1,MOD(((1000)-(c_TMAP3IN))*(((A245)-(c_TMAP3IN))*((1000)-(c_TMAP3OUT))+IF(((1000)-(c_TMAP3OUT))&gt;=0,1,-1)*QUOTIENT(((1000)-(c_TMAP3IN)),2))+2147483648,4294967296)-2147483648,((1000)-(c_TMAP3IN))*(((A245)-(c_TMAP3IN))*((1000)-(c_TMAP3OUT))+IF(((1000)-(c_TMAP3OUT))&gt;=0,1,-1)*QUOTIENT(((1000)-(c_TMAP3IN)),2)))&lt;0,-1,0),IF(IF(o_WRAP=1,MOD(((1000)-(c_TMAP3IN))*(((A245)-(c_TMAP3IN))*((1000)-(c_TMAP3OUT))+IF(((1000)-(c_TMAP3OUT))&gt;=0,1,-1)*QUOTIENT(((1000)-(c_TMAP3IN)),2))+2147483648,4294967296)-2147483648,((1000)-(c_TMAP3IN))*(((A245)-(c_TMAP3IN))*((1000)-(c_TMAP3OUT))+IF(((1000)-(c_TMAP3OUT))&gt;=0,1,-1)*QUOTIENT(((1000)-(c_TMAP3IN)),2)))&gt;=0,1,0)))</f>
        <v>65</v>
      </c>
      <c r="H245" s="7" t="str">
        <f aca="false">IF(A245&gt;=c_TFWD,IF(AND(A245&gt;=c_TMAP3IN,c_TMAP3IN&lt;1000),"Seg4 map3-100%",IF(AND(A245&gt;=c_TMAP2IN,c_TMAP3IN&gt;c_TMAP2IN),"Seg3 map2-map3",IF(AND(A245&gt;=c_TMAP1IN,c_TMAP2IN&gt;c_TMAP1IN),"Seg2 map1-map2","Seg1 TFWD-map1"))),IF(AND(A245=0,c_TCREEP&gt;0),"Creep",IF(AND(A245&lt;=c_TRNGMIN,A245&gt;=c_TRNGMAX,c_TRNGMIN-c_TRNGMAX&lt;&gt;0),"Regen ramp","Coast (0)")))</f>
        <v>Seg2 map1-map2</v>
      </c>
      <c r="I245" s="7" t="n">
        <f aca="false">IF(A245&gt;=c_TFWD,IF(AND(A245&gt;=c_TMAP3IN,c_TMAP3IN&lt;1000),G245,IF(AND(A245&gt;=c_TMAP2IN,c_TMAP3IN&gt;c_TMAP2IN),F245,IF(AND(A245&gt;=c_TMAP1IN,c_TMAP2IN&gt;c_TMAP1IN),E245,D245))),C245)</f>
        <v>126</v>
      </c>
      <c r="J245" s="7" t="str">
        <f aca="false">IF(I245&lt;-1090,"TOO LOW",IF(I245&gt;1090,"TOO HIGH",""))</f>
        <v/>
      </c>
      <c r="K245" s="15" t="n">
        <f aca="false">IF(J245&lt;&gt;"",0,IF(I245&gt;979,1000,I245))</f>
        <v>126</v>
      </c>
      <c r="L245" s="7" t="n">
        <f aca="false">K245/10</f>
        <v>12.6</v>
      </c>
    </row>
    <row r="246" customFormat="false" ht="15" hidden="false" customHeight="false" outlineLevel="0" collapsed="false">
      <c r="A246" s="7" t="n">
        <v>241</v>
      </c>
      <c r="B246" s="7" t="n">
        <f aca="false">A246/10</f>
        <v>24.1</v>
      </c>
      <c r="C246" s="7" t="n">
        <f aca="false">IF(AND(A246=0,c_TCREEP&gt;0),10*c_TCREEP,IF(AND(A246&lt;=c_TRNGMIN,A246&gt;=c_TRNGMAX,c_TRNGMIN-c_TRNGMAX&lt;&gt;0),-10*c_TMINRN+QUOTIENT((c_TMAXRN-c_TMINRN)*(100-QUOTIENT((A246-c_TRNGMAX)*100,c_TRNGMIN-c_TRNGMAX)),-10),0))</f>
        <v>0</v>
      </c>
      <c r="D246" s="7" t="n">
        <f aca="false">IF(((c_TMAP1IN)-(c_TFWD))=0,(0)+QUOTIENT(((c_TMAP1OUT)-(0)),2),QUOTIENT((((A246)-(c_TFWD))*((c_TMAP1OUT)-(0))+IF(((c_TMAP1OUT)-(0))&gt;=0,1,-1)*QUOTIENT(((c_TMAP1IN)-(c_TFWD)),2)),((c_TMAP1IN)-(c_TFWD)))+(0)+IF(((c_TMAP1OUT)-(0))&gt;=0,IF(IF(o_WRAP=1,MOD(((c_TMAP1IN)-(c_TFWD))*(((A246)-(c_TFWD))*((c_TMAP1OUT)-(0))+IF(((c_TMAP1OUT)-(0))&gt;=0,1,-1)*QUOTIENT(((c_TMAP1IN)-(c_TFWD)),2))+2147483648,4294967296)-2147483648,((c_TMAP1IN)-(c_TFWD))*(((A246)-(c_TFWD))*((c_TMAP1OUT)-(0))+IF(((c_TMAP1OUT)-(0))&gt;=0,1,-1)*QUOTIENT(((c_TMAP1IN)-(c_TFWD)),2)))&lt;0,-1,0),IF(IF(o_WRAP=1,MOD(((c_TMAP1IN)-(c_TFWD))*(((A246)-(c_TFWD))*((c_TMAP1OUT)-(0))+IF(((c_TMAP1OUT)-(0))&gt;=0,1,-1)*QUOTIENT(((c_TMAP1IN)-(c_TFWD)),2))+2147483648,4294967296)-2147483648,((c_TMAP1IN)-(c_TFWD))*(((A246)-(c_TFWD))*((c_TMAP1OUT)-(0))+IF(((c_TMAP1OUT)-(0))&gt;=0,1,-1)*QUOTIENT(((c_TMAP1IN)-(c_TFWD)),2)))&gt;=0,1,0)))</f>
        <v>180</v>
      </c>
      <c r="E246" s="7" t="n">
        <f aca="false">IF(((c_TMAP2IN)-(c_TMAP1IN))=0,(c_TMAP1OUT)+QUOTIENT(((c_TMAP2OUT)-(c_TMAP1OUT)),2),QUOTIENT((((A246)-(c_TMAP1IN))*((c_TMAP2OUT)-(c_TMAP1OUT))+IF(((c_TMAP2OUT)-(c_TMAP1OUT))&gt;=0,1,-1)*QUOTIENT(((c_TMAP2IN)-(c_TMAP1IN)),2)),((c_TMAP2IN)-(c_TMAP1IN)))+(c_TMAP1OUT)+IF(((c_TMAP2OUT)-(c_TMAP1OUT))&gt;=0,IF(IF(o_WRAP=1,MOD(((c_TMAP2IN)-(c_TMAP1IN))*(((A246)-(c_TMAP1IN))*((c_TMAP2OUT)-(c_TMAP1OUT))+IF(((c_TMAP2OUT)-(c_TMAP1OUT))&gt;=0,1,-1)*QUOTIENT(((c_TMAP2IN)-(c_TMAP1IN)),2))+2147483648,4294967296)-2147483648,((c_TMAP2IN)-(c_TMAP1IN))*(((A246)-(c_TMAP1IN))*((c_TMAP2OUT)-(c_TMAP1OUT))+IF(((c_TMAP2OUT)-(c_TMAP1OUT))&gt;=0,1,-1)*QUOTIENT(((c_TMAP2IN)-(c_TMAP1IN)),2)))&lt;0,-1,0),IF(IF(o_WRAP=1,MOD(((c_TMAP2IN)-(c_TMAP1IN))*(((A246)-(c_TMAP1IN))*((c_TMAP2OUT)-(c_TMAP1OUT))+IF(((c_TMAP2OUT)-(c_TMAP1OUT))&gt;=0,1,-1)*QUOTIENT(((c_TMAP2IN)-(c_TMAP1IN)),2))+2147483648,4294967296)-2147483648,((c_TMAP2IN)-(c_TMAP1IN))*(((A246)-(c_TMAP1IN))*((c_TMAP2OUT)-(c_TMAP1OUT))+IF(((c_TMAP2OUT)-(c_TMAP1OUT))&gt;=0,1,-1)*QUOTIENT(((c_TMAP2IN)-(c_TMAP1IN)),2)))&gt;=0,1,0)))</f>
        <v>126</v>
      </c>
      <c r="F246" s="7" t="n">
        <f aca="false">IF(((c_TMAP3IN)-(c_TMAP2IN))=0,(c_TMAP2OUT)+QUOTIENT(((c_TMAP3OUT)-(c_TMAP2OUT)),2),QUOTIENT((((A246)-(c_TMAP2IN))*((c_TMAP3OUT)-(c_TMAP2OUT))+IF(((c_TMAP3OUT)-(c_TMAP2OUT))&gt;=0,1,-1)*QUOTIENT(((c_TMAP3IN)-(c_TMAP2IN)),2)),((c_TMAP3IN)-(c_TMAP2IN)))+(c_TMAP2OUT)+IF(((c_TMAP3OUT)-(c_TMAP2OUT))&gt;=0,IF(IF(o_WRAP=1,MOD(((c_TMAP3IN)-(c_TMAP2IN))*(((A246)-(c_TMAP2IN))*((c_TMAP3OUT)-(c_TMAP2OUT))+IF(((c_TMAP3OUT)-(c_TMAP2OUT))&gt;=0,1,-1)*QUOTIENT(((c_TMAP3IN)-(c_TMAP2IN)),2))+2147483648,4294967296)-2147483648,((c_TMAP3IN)-(c_TMAP2IN))*(((A246)-(c_TMAP2IN))*((c_TMAP3OUT)-(c_TMAP2OUT))+IF(((c_TMAP3OUT)-(c_TMAP2OUT))&gt;=0,1,-1)*QUOTIENT(((c_TMAP3IN)-(c_TMAP2IN)),2)))&lt;0,-1,0),IF(IF(o_WRAP=1,MOD(((c_TMAP3IN)-(c_TMAP2IN))*(((A246)-(c_TMAP2IN))*((c_TMAP3OUT)-(c_TMAP2OUT))+IF(((c_TMAP3OUT)-(c_TMAP2OUT))&gt;=0,1,-1)*QUOTIENT(((c_TMAP3IN)-(c_TMAP2IN)),2))+2147483648,4294967296)-2147483648,((c_TMAP3IN)-(c_TMAP2IN))*(((A246)-(c_TMAP2IN))*((c_TMAP3OUT)-(c_TMAP2OUT))+IF(((c_TMAP3OUT)-(c_TMAP2OUT))&gt;=0,1,-1)*QUOTIENT(((c_TMAP3IN)-(c_TMAP2IN)),2)))&gt;=0,1,0)))</f>
        <v>124</v>
      </c>
      <c r="G246" s="7" t="n">
        <f aca="false">IF(((1000)-(c_TMAP3IN))=0,(c_TMAP3OUT)+QUOTIENT(((1000)-(c_TMAP3OUT)),2),QUOTIENT((((A246)-(c_TMAP3IN))*((1000)-(c_TMAP3OUT))+IF(((1000)-(c_TMAP3OUT))&gt;=0,1,-1)*QUOTIENT(((1000)-(c_TMAP3IN)),2)),((1000)-(c_TMAP3IN)))+(c_TMAP3OUT)+IF(((1000)-(c_TMAP3OUT))&gt;=0,IF(IF(o_WRAP=1,MOD(((1000)-(c_TMAP3IN))*(((A246)-(c_TMAP3IN))*((1000)-(c_TMAP3OUT))+IF(((1000)-(c_TMAP3OUT))&gt;=0,1,-1)*QUOTIENT(((1000)-(c_TMAP3IN)),2))+2147483648,4294967296)-2147483648,((1000)-(c_TMAP3IN))*(((A246)-(c_TMAP3IN))*((1000)-(c_TMAP3OUT))+IF(((1000)-(c_TMAP3OUT))&gt;=0,1,-1)*QUOTIENT(((1000)-(c_TMAP3IN)),2)))&lt;0,-1,0),IF(IF(o_WRAP=1,MOD(((1000)-(c_TMAP3IN))*(((A246)-(c_TMAP3IN))*((1000)-(c_TMAP3OUT))+IF(((1000)-(c_TMAP3OUT))&gt;=0,1,-1)*QUOTIENT(((1000)-(c_TMAP3IN)),2))+2147483648,4294967296)-2147483648,((1000)-(c_TMAP3IN))*(((A246)-(c_TMAP3IN))*((1000)-(c_TMAP3OUT))+IF(((1000)-(c_TMAP3OUT))&gt;=0,1,-1)*QUOTIENT(((1000)-(c_TMAP3IN)),2)))&gt;=0,1,0)))</f>
        <v>66</v>
      </c>
      <c r="H246" s="7" t="str">
        <f aca="false">IF(A246&gt;=c_TFWD,IF(AND(A246&gt;=c_TMAP3IN,c_TMAP3IN&lt;1000),"Seg4 map3-100%",IF(AND(A246&gt;=c_TMAP2IN,c_TMAP3IN&gt;c_TMAP2IN),"Seg3 map2-map3",IF(AND(A246&gt;=c_TMAP1IN,c_TMAP2IN&gt;c_TMAP1IN),"Seg2 map1-map2","Seg1 TFWD-map1"))),IF(AND(A246=0,c_TCREEP&gt;0),"Creep",IF(AND(A246&lt;=c_TRNGMIN,A246&gt;=c_TRNGMAX,c_TRNGMIN-c_TRNGMAX&lt;&gt;0),"Regen ramp","Coast (0)")))</f>
        <v>Seg2 map1-map2</v>
      </c>
      <c r="I246" s="7" t="n">
        <f aca="false">IF(A246&gt;=c_TFWD,IF(AND(A246&gt;=c_TMAP3IN,c_TMAP3IN&lt;1000),G246,IF(AND(A246&gt;=c_TMAP2IN,c_TMAP3IN&gt;c_TMAP2IN),F246,IF(AND(A246&gt;=c_TMAP1IN,c_TMAP2IN&gt;c_TMAP1IN),E246,D246))),C246)</f>
        <v>126</v>
      </c>
      <c r="J246" s="7" t="str">
        <f aca="false">IF(I246&lt;-1090,"TOO LOW",IF(I246&gt;1090,"TOO HIGH",""))</f>
        <v/>
      </c>
      <c r="K246" s="15" t="n">
        <f aca="false">IF(J246&lt;&gt;"",0,IF(I246&gt;979,1000,I246))</f>
        <v>126</v>
      </c>
      <c r="L246" s="7" t="n">
        <f aca="false">K246/10</f>
        <v>12.6</v>
      </c>
    </row>
    <row r="247" customFormat="false" ht="15" hidden="false" customHeight="false" outlineLevel="0" collapsed="false">
      <c r="A247" s="7" t="n">
        <v>242</v>
      </c>
      <c r="B247" s="7" t="n">
        <f aca="false">A247/10</f>
        <v>24.2</v>
      </c>
      <c r="C247" s="7" t="n">
        <f aca="false">IF(AND(A247=0,c_TCREEP&gt;0),10*c_TCREEP,IF(AND(A247&lt;=c_TRNGMIN,A247&gt;=c_TRNGMAX,c_TRNGMIN-c_TRNGMAX&lt;&gt;0),-10*c_TMINRN+QUOTIENT((c_TMAXRN-c_TMINRN)*(100-QUOTIENT((A247-c_TRNGMAX)*100,c_TRNGMIN-c_TRNGMAX)),-10),0))</f>
        <v>0</v>
      </c>
      <c r="D247" s="7" t="n">
        <f aca="false">IF(((c_TMAP1IN)-(c_TFWD))=0,(0)+QUOTIENT(((c_TMAP1OUT)-(0)),2),QUOTIENT((((A247)-(c_TFWD))*((c_TMAP1OUT)-(0))+IF(((c_TMAP1OUT)-(0))&gt;=0,1,-1)*QUOTIENT(((c_TMAP1IN)-(c_TFWD)),2)),((c_TMAP1IN)-(c_TFWD)))+(0)+IF(((c_TMAP1OUT)-(0))&gt;=0,IF(IF(o_WRAP=1,MOD(((c_TMAP1IN)-(c_TFWD))*(((A247)-(c_TFWD))*((c_TMAP1OUT)-(0))+IF(((c_TMAP1OUT)-(0))&gt;=0,1,-1)*QUOTIENT(((c_TMAP1IN)-(c_TFWD)),2))+2147483648,4294967296)-2147483648,((c_TMAP1IN)-(c_TFWD))*(((A247)-(c_TFWD))*((c_TMAP1OUT)-(0))+IF(((c_TMAP1OUT)-(0))&gt;=0,1,-1)*QUOTIENT(((c_TMAP1IN)-(c_TFWD)),2)))&lt;0,-1,0),IF(IF(o_WRAP=1,MOD(((c_TMAP1IN)-(c_TFWD))*(((A247)-(c_TFWD))*((c_TMAP1OUT)-(0))+IF(((c_TMAP1OUT)-(0))&gt;=0,1,-1)*QUOTIENT(((c_TMAP1IN)-(c_TFWD)),2))+2147483648,4294967296)-2147483648,((c_TMAP1IN)-(c_TFWD))*(((A247)-(c_TFWD))*((c_TMAP1OUT)-(0))+IF(((c_TMAP1OUT)-(0))&gt;=0,1,-1)*QUOTIENT(((c_TMAP1IN)-(c_TFWD)),2)))&gt;=0,1,0)))</f>
        <v>180</v>
      </c>
      <c r="E247" s="7" t="n">
        <f aca="false">IF(((c_TMAP2IN)-(c_TMAP1IN))=0,(c_TMAP1OUT)+QUOTIENT(((c_TMAP2OUT)-(c_TMAP1OUT)),2),QUOTIENT((((A247)-(c_TMAP1IN))*((c_TMAP2OUT)-(c_TMAP1OUT))+IF(((c_TMAP2OUT)-(c_TMAP1OUT))&gt;=0,1,-1)*QUOTIENT(((c_TMAP2IN)-(c_TMAP1IN)),2)),((c_TMAP2IN)-(c_TMAP1IN)))+(c_TMAP1OUT)+IF(((c_TMAP2OUT)-(c_TMAP1OUT))&gt;=0,IF(IF(o_WRAP=1,MOD(((c_TMAP2IN)-(c_TMAP1IN))*(((A247)-(c_TMAP1IN))*((c_TMAP2OUT)-(c_TMAP1OUT))+IF(((c_TMAP2OUT)-(c_TMAP1OUT))&gt;=0,1,-1)*QUOTIENT(((c_TMAP2IN)-(c_TMAP1IN)),2))+2147483648,4294967296)-2147483648,((c_TMAP2IN)-(c_TMAP1IN))*(((A247)-(c_TMAP1IN))*((c_TMAP2OUT)-(c_TMAP1OUT))+IF(((c_TMAP2OUT)-(c_TMAP1OUT))&gt;=0,1,-1)*QUOTIENT(((c_TMAP2IN)-(c_TMAP1IN)),2)))&lt;0,-1,0),IF(IF(o_WRAP=1,MOD(((c_TMAP2IN)-(c_TMAP1IN))*(((A247)-(c_TMAP1IN))*((c_TMAP2OUT)-(c_TMAP1OUT))+IF(((c_TMAP2OUT)-(c_TMAP1OUT))&gt;=0,1,-1)*QUOTIENT(((c_TMAP2IN)-(c_TMAP1IN)),2))+2147483648,4294967296)-2147483648,((c_TMAP2IN)-(c_TMAP1IN))*(((A247)-(c_TMAP1IN))*((c_TMAP2OUT)-(c_TMAP1OUT))+IF(((c_TMAP2OUT)-(c_TMAP1OUT))&gt;=0,1,-1)*QUOTIENT(((c_TMAP2IN)-(c_TMAP1IN)),2)))&gt;=0,1,0)))</f>
        <v>127</v>
      </c>
      <c r="F247" s="7" t="n">
        <f aca="false">IF(((c_TMAP3IN)-(c_TMAP2IN))=0,(c_TMAP2OUT)+QUOTIENT(((c_TMAP3OUT)-(c_TMAP2OUT)),2),QUOTIENT((((A247)-(c_TMAP2IN))*((c_TMAP3OUT)-(c_TMAP2OUT))+IF(((c_TMAP3OUT)-(c_TMAP2OUT))&gt;=0,1,-1)*QUOTIENT(((c_TMAP3IN)-(c_TMAP2IN)),2)),((c_TMAP3IN)-(c_TMAP2IN)))+(c_TMAP2OUT)+IF(((c_TMAP3OUT)-(c_TMAP2OUT))&gt;=0,IF(IF(o_WRAP=1,MOD(((c_TMAP3IN)-(c_TMAP2IN))*(((A247)-(c_TMAP2IN))*((c_TMAP3OUT)-(c_TMAP2OUT))+IF(((c_TMAP3OUT)-(c_TMAP2OUT))&gt;=0,1,-1)*QUOTIENT(((c_TMAP3IN)-(c_TMAP2IN)),2))+2147483648,4294967296)-2147483648,((c_TMAP3IN)-(c_TMAP2IN))*(((A247)-(c_TMAP2IN))*((c_TMAP3OUT)-(c_TMAP2OUT))+IF(((c_TMAP3OUT)-(c_TMAP2OUT))&gt;=0,1,-1)*QUOTIENT(((c_TMAP3IN)-(c_TMAP2IN)),2)))&lt;0,-1,0),IF(IF(o_WRAP=1,MOD(((c_TMAP3IN)-(c_TMAP2IN))*(((A247)-(c_TMAP2IN))*((c_TMAP3OUT)-(c_TMAP2OUT))+IF(((c_TMAP3OUT)-(c_TMAP2OUT))&gt;=0,1,-1)*QUOTIENT(((c_TMAP3IN)-(c_TMAP2IN)),2))+2147483648,4294967296)-2147483648,((c_TMAP3IN)-(c_TMAP2IN))*(((A247)-(c_TMAP2IN))*((c_TMAP3OUT)-(c_TMAP2OUT))+IF(((c_TMAP3OUT)-(c_TMAP2OUT))&gt;=0,1,-1)*QUOTIENT(((c_TMAP3IN)-(c_TMAP2IN)),2)))&gt;=0,1,0)))</f>
        <v>124</v>
      </c>
      <c r="G247" s="7" t="n">
        <f aca="false">IF(((1000)-(c_TMAP3IN))=0,(c_TMAP3OUT)+QUOTIENT(((1000)-(c_TMAP3OUT)),2),QUOTIENT((((A247)-(c_TMAP3IN))*((1000)-(c_TMAP3OUT))+IF(((1000)-(c_TMAP3OUT))&gt;=0,1,-1)*QUOTIENT(((1000)-(c_TMAP3IN)),2)),((1000)-(c_TMAP3IN)))+(c_TMAP3OUT)+IF(((1000)-(c_TMAP3OUT))&gt;=0,IF(IF(o_WRAP=1,MOD(((1000)-(c_TMAP3IN))*(((A247)-(c_TMAP3IN))*((1000)-(c_TMAP3OUT))+IF(((1000)-(c_TMAP3OUT))&gt;=0,1,-1)*QUOTIENT(((1000)-(c_TMAP3IN)),2))+2147483648,4294967296)-2147483648,((1000)-(c_TMAP3IN))*(((A247)-(c_TMAP3IN))*((1000)-(c_TMAP3OUT))+IF(((1000)-(c_TMAP3OUT))&gt;=0,1,-1)*QUOTIENT(((1000)-(c_TMAP3IN)),2)))&lt;0,-1,0),IF(IF(o_WRAP=1,MOD(((1000)-(c_TMAP3IN))*(((A247)-(c_TMAP3IN))*((1000)-(c_TMAP3OUT))+IF(((1000)-(c_TMAP3OUT))&gt;=0,1,-1)*QUOTIENT(((1000)-(c_TMAP3IN)),2))+2147483648,4294967296)-2147483648,((1000)-(c_TMAP3IN))*(((A247)-(c_TMAP3IN))*((1000)-(c_TMAP3OUT))+IF(((1000)-(c_TMAP3OUT))&gt;=0,1,-1)*QUOTIENT(((1000)-(c_TMAP3IN)),2)))&gt;=0,1,0)))</f>
        <v>67</v>
      </c>
      <c r="H247" s="7" t="str">
        <f aca="false">IF(A247&gt;=c_TFWD,IF(AND(A247&gt;=c_TMAP3IN,c_TMAP3IN&lt;1000),"Seg4 map3-100%",IF(AND(A247&gt;=c_TMAP2IN,c_TMAP3IN&gt;c_TMAP2IN),"Seg3 map2-map3",IF(AND(A247&gt;=c_TMAP1IN,c_TMAP2IN&gt;c_TMAP1IN),"Seg2 map1-map2","Seg1 TFWD-map1"))),IF(AND(A247=0,c_TCREEP&gt;0),"Creep",IF(AND(A247&lt;=c_TRNGMIN,A247&gt;=c_TRNGMAX,c_TRNGMIN-c_TRNGMAX&lt;&gt;0),"Regen ramp","Coast (0)")))</f>
        <v>Seg2 map1-map2</v>
      </c>
      <c r="I247" s="7" t="n">
        <f aca="false">IF(A247&gt;=c_TFWD,IF(AND(A247&gt;=c_TMAP3IN,c_TMAP3IN&lt;1000),G247,IF(AND(A247&gt;=c_TMAP2IN,c_TMAP3IN&gt;c_TMAP2IN),F247,IF(AND(A247&gt;=c_TMAP1IN,c_TMAP2IN&gt;c_TMAP1IN),E247,D247))),C247)</f>
        <v>127</v>
      </c>
      <c r="J247" s="7" t="str">
        <f aca="false">IF(I247&lt;-1090,"TOO LOW",IF(I247&gt;1090,"TOO HIGH",""))</f>
        <v/>
      </c>
      <c r="K247" s="15" t="n">
        <f aca="false">IF(J247&lt;&gt;"",0,IF(I247&gt;979,1000,I247))</f>
        <v>127</v>
      </c>
      <c r="L247" s="7" t="n">
        <f aca="false">K247/10</f>
        <v>12.7</v>
      </c>
    </row>
    <row r="248" customFormat="false" ht="15" hidden="false" customHeight="false" outlineLevel="0" collapsed="false">
      <c r="A248" s="7" t="n">
        <v>243</v>
      </c>
      <c r="B248" s="7" t="n">
        <f aca="false">A248/10</f>
        <v>24.3</v>
      </c>
      <c r="C248" s="7" t="n">
        <f aca="false">IF(AND(A248=0,c_TCREEP&gt;0),10*c_TCREEP,IF(AND(A248&lt;=c_TRNGMIN,A248&gt;=c_TRNGMAX,c_TRNGMIN-c_TRNGMAX&lt;&gt;0),-10*c_TMINRN+QUOTIENT((c_TMAXRN-c_TMINRN)*(100-QUOTIENT((A248-c_TRNGMAX)*100,c_TRNGMIN-c_TRNGMAX)),-10),0))</f>
        <v>0</v>
      </c>
      <c r="D248" s="7" t="n">
        <f aca="false">IF(((c_TMAP1IN)-(c_TFWD))=0,(0)+QUOTIENT(((c_TMAP1OUT)-(0)),2),QUOTIENT((((A248)-(c_TFWD))*((c_TMAP1OUT)-(0))+IF(((c_TMAP1OUT)-(0))&gt;=0,1,-1)*QUOTIENT(((c_TMAP1IN)-(c_TFWD)),2)),((c_TMAP1IN)-(c_TFWD)))+(0)+IF(((c_TMAP1OUT)-(0))&gt;=0,IF(IF(o_WRAP=1,MOD(((c_TMAP1IN)-(c_TFWD))*(((A248)-(c_TFWD))*((c_TMAP1OUT)-(0))+IF(((c_TMAP1OUT)-(0))&gt;=0,1,-1)*QUOTIENT(((c_TMAP1IN)-(c_TFWD)),2))+2147483648,4294967296)-2147483648,((c_TMAP1IN)-(c_TFWD))*(((A248)-(c_TFWD))*((c_TMAP1OUT)-(0))+IF(((c_TMAP1OUT)-(0))&gt;=0,1,-1)*QUOTIENT(((c_TMAP1IN)-(c_TFWD)),2)))&lt;0,-1,0),IF(IF(o_WRAP=1,MOD(((c_TMAP1IN)-(c_TFWD))*(((A248)-(c_TFWD))*((c_TMAP1OUT)-(0))+IF(((c_TMAP1OUT)-(0))&gt;=0,1,-1)*QUOTIENT(((c_TMAP1IN)-(c_TFWD)),2))+2147483648,4294967296)-2147483648,((c_TMAP1IN)-(c_TFWD))*(((A248)-(c_TFWD))*((c_TMAP1OUT)-(0))+IF(((c_TMAP1OUT)-(0))&gt;=0,1,-1)*QUOTIENT(((c_TMAP1IN)-(c_TFWD)),2)))&gt;=0,1,0)))</f>
        <v>181</v>
      </c>
      <c r="E248" s="7" t="n">
        <f aca="false">IF(((c_TMAP2IN)-(c_TMAP1IN))=0,(c_TMAP1OUT)+QUOTIENT(((c_TMAP2OUT)-(c_TMAP1OUT)),2),QUOTIENT((((A248)-(c_TMAP1IN))*((c_TMAP2OUT)-(c_TMAP1OUT))+IF(((c_TMAP2OUT)-(c_TMAP1OUT))&gt;=0,1,-1)*QUOTIENT(((c_TMAP2IN)-(c_TMAP1IN)),2)),((c_TMAP2IN)-(c_TMAP1IN)))+(c_TMAP1OUT)+IF(((c_TMAP2OUT)-(c_TMAP1OUT))&gt;=0,IF(IF(o_WRAP=1,MOD(((c_TMAP2IN)-(c_TMAP1IN))*(((A248)-(c_TMAP1IN))*((c_TMAP2OUT)-(c_TMAP1OUT))+IF(((c_TMAP2OUT)-(c_TMAP1OUT))&gt;=0,1,-1)*QUOTIENT(((c_TMAP2IN)-(c_TMAP1IN)),2))+2147483648,4294967296)-2147483648,((c_TMAP2IN)-(c_TMAP1IN))*(((A248)-(c_TMAP1IN))*((c_TMAP2OUT)-(c_TMAP1OUT))+IF(((c_TMAP2OUT)-(c_TMAP1OUT))&gt;=0,1,-1)*QUOTIENT(((c_TMAP2IN)-(c_TMAP1IN)),2)))&lt;0,-1,0),IF(IF(o_WRAP=1,MOD(((c_TMAP2IN)-(c_TMAP1IN))*(((A248)-(c_TMAP1IN))*((c_TMAP2OUT)-(c_TMAP1OUT))+IF(((c_TMAP2OUT)-(c_TMAP1OUT))&gt;=0,1,-1)*QUOTIENT(((c_TMAP2IN)-(c_TMAP1IN)),2))+2147483648,4294967296)-2147483648,((c_TMAP2IN)-(c_TMAP1IN))*(((A248)-(c_TMAP1IN))*((c_TMAP2OUT)-(c_TMAP1OUT))+IF(((c_TMAP2OUT)-(c_TMAP1OUT))&gt;=0,1,-1)*QUOTIENT(((c_TMAP2IN)-(c_TMAP1IN)),2)))&gt;=0,1,0)))</f>
        <v>127</v>
      </c>
      <c r="F248" s="7" t="n">
        <f aca="false">IF(((c_TMAP3IN)-(c_TMAP2IN))=0,(c_TMAP2OUT)+QUOTIENT(((c_TMAP3OUT)-(c_TMAP2OUT)),2),QUOTIENT((((A248)-(c_TMAP2IN))*((c_TMAP3OUT)-(c_TMAP2OUT))+IF(((c_TMAP3OUT)-(c_TMAP2OUT))&gt;=0,1,-1)*QUOTIENT(((c_TMAP3IN)-(c_TMAP2IN)),2)),((c_TMAP3IN)-(c_TMAP2IN)))+(c_TMAP2OUT)+IF(((c_TMAP3OUT)-(c_TMAP2OUT))&gt;=0,IF(IF(o_WRAP=1,MOD(((c_TMAP3IN)-(c_TMAP2IN))*(((A248)-(c_TMAP2IN))*((c_TMAP3OUT)-(c_TMAP2OUT))+IF(((c_TMAP3OUT)-(c_TMAP2OUT))&gt;=0,1,-1)*QUOTIENT(((c_TMAP3IN)-(c_TMAP2IN)),2))+2147483648,4294967296)-2147483648,((c_TMAP3IN)-(c_TMAP2IN))*(((A248)-(c_TMAP2IN))*((c_TMAP3OUT)-(c_TMAP2OUT))+IF(((c_TMAP3OUT)-(c_TMAP2OUT))&gt;=0,1,-1)*QUOTIENT(((c_TMAP3IN)-(c_TMAP2IN)),2)))&lt;0,-1,0),IF(IF(o_WRAP=1,MOD(((c_TMAP3IN)-(c_TMAP2IN))*(((A248)-(c_TMAP2IN))*((c_TMAP3OUT)-(c_TMAP2OUT))+IF(((c_TMAP3OUT)-(c_TMAP2OUT))&gt;=0,1,-1)*QUOTIENT(((c_TMAP3IN)-(c_TMAP2IN)),2))+2147483648,4294967296)-2147483648,((c_TMAP3IN)-(c_TMAP2IN))*(((A248)-(c_TMAP2IN))*((c_TMAP3OUT)-(c_TMAP2OUT))+IF(((c_TMAP3OUT)-(c_TMAP2OUT))&gt;=0,1,-1)*QUOTIENT(((c_TMAP3IN)-(c_TMAP2IN)),2)))&gt;=0,1,0)))</f>
        <v>125</v>
      </c>
      <c r="G248" s="7" t="n">
        <f aca="false">IF(((1000)-(c_TMAP3IN))=0,(c_TMAP3OUT)+QUOTIENT(((1000)-(c_TMAP3OUT)),2),QUOTIENT((((A248)-(c_TMAP3IN))*((1000)-(c_TMAP3OUT))+IF(((1000)-(c_TMAP3OUT))&gt;=0,1,-1)*QUOTIENT(((1000)-(c_TMAP3IN)),2)),((1000)-(c_TMAP3IN)))+(c_TMAP3OUT)+IF(((1000)-(c_TMAP3OUT))&gt;=0,IF(IF(o_WRAP=1,MOD(((1000)-(c_TMAP3IN))*(((A248)-(c_TMAP3IN))*((1000)-(c_TMAP3OUT))+IF(((1000)-(c_TMAP3OUT))&gt;=0,1,-1)*QUOTIENT(((1000)-(c_TMAP3IN)),2))+2147483648,4294967296)-2147483648,((1000)-(c_TMAP3IN))*(((A248)-(c_TMAP3IN))*((1000)-(c_TMAP3OUT))+IF(((1000)-(c_TMAP3OUT))&gt;=0,1,-1)*QUOTIENT(((1000)-(c_TMAP3IN)),2)))&lt;0,-1,0),IF(IF(o_WRAP=1,MOD(((1000)-(c_TMAP3IN))*(((A248)-(c_TMAP3IN))*((1000)-(c_TMAP3OUT))+IF(((1000)-(c_TMAP3OUT))&gt;=0,1,-1)*QUOTIENT(((1000)-(c_TMAP3IN)),2))+2147483648,4294967296)-2147483648,((1000)-(c_TMAP3IN))*(((A248)-(c_TMAP3IN))*((1000)-(c_TMAP3OUT))+IF(((1000)-(c_TMAP3OUT))&gt;=0,1,-1)*QUOTIENT(((1000)-(c_TMAP3IN)),2)))&gt;=0,1,0)))</f>
        <v>68</v>
      </c>
      <c r="H248" s="7" t="str">
        <f aca="false">IF(A248&gt;=c_TFWD,IF(AND(A248&gt;=c_TMAP3IN,c_TMAP3IN&lt;1000),"Seg4 map3-100%",IF(AND(A248&gt;=c_TMAP2IN,c_TMAP3IN&gt;c_TMAP2IN),"Seg3 map2-map3",IF(AND(A248&gt;=c_TMAP1IN,c_TMAP2IN&gt;c_TMAP1IN),"Seg2 map1-map2","Seg1 TFWD-map1"))),IF(AND(A248=0,c_TCREEP&gt;0),"Creep",IF(AND(A248&lt;=c_TRNGMIN,A248&gt;=c_TRNGMAX,c_TRNGMIN-c_TRNGMAX&lt;&gt;0),"Regen ramp","Coast (0)")))</f>
        <v>Seg2 map1-map2</v>
      </c>
      <c r="I248" s="7" t="n">
        <f aca="false">IF(A248&gt;=c_TFWD,IF(AND(A248&gt;=c_TMAP3IN,c_TMAP3IN&lt;1000),G248,IF(AND(A248&gt;=c_TMAP2IN,c_TMAP3IN&gt;c_TMAP2IN),F248,IF(AND(A248&gt;=c_TMAP1IN,c_TMAP2IN&gt;c_TMAP1IN),E248,D248))),C248)</f>
        <v>127</v>
      </c>
      <c r="J248" s="7" t="str">
        <f aca="false">IF(I248&lt;-1090,"TOO LOW",IF(I248&gt;1090,"TOO HIGH",""))</f>
        <v/>
      </c>
      <c r="K248" s="15" t="n">
        <f aca="false">IF(J248&lt;&gt;"",0,IF(I248&gt;979,1000,I248))</f>
        <v>127</v>
      </c>
      <c r="L248" s="7" t="n">
        <f aca="false">K248/10</f>
        <v>12.7</v>
      </c>
    </row>
    <row r="249" customFormat="false" ht="15" hidden="false" customHeight="false" outlineLevel="0" collapsed="false">
      <c r="A249" s="7" t="n">
        <v>244</v>
      </c>
      <c r="B249" s="7" t="n">
        <f aca="false">A249/10</f>
        <v>24.4</v>
      </c>
      <c r="C249" s="7" t="n">
        <f aca="false">IF(AND(A249=0,c_TCREEP&gt;0),10*c_TCREEP,IF(AND(A249&lt;=c_TRNGMIN,A249&gt;=c_TRNGMAX,c_TRNGMIN-c_TRNGMAX&lt;&gt;0),-10*c_TMINRN+QUOTIENT((c_TMAXRN-c_TMINRN)*(100-QUOTIENT((A249-c_TRNGMAX)*100,c_TRNGMIN-c_TRNGMAX)),-10),0))</f>
        <v>0</v>
      </c>
      <c r="D249" s="7" t="n">
        <f aca="false">IF(((c_TMAP1IN)-(c_TFWD))=0,(0)+QUOTIENT(((c_TMAP1OUT)-(0)),2),QUOTIENT((((A249)-(c_TFWD))*((c_TMAP1OUT)-(0))+IF(((c_TMAP1OUT)-(0))&gt;=0,1,-1)*QUOTIENT(((c_TMAP1IN)-(c_TFWD)),2)),((c_TMAP1IN)-(c_TFWD)))+(0)+IF(((c_TMAP1OUT)-(0))&gt;=0,IF(IF(o_WRAP=1,MOD(((c_TMAP1IN)-(c_TFWD))*(((A249)-(c_TFWD))*((c_TMAP1OUT)-(0))+IF(((c_TMAP1OUT)-(0))&gt;=0,1,-1)*QUOTIENT(((c_TMAP1IN)-(c_TFWD)),2))+2147483648,4294967296)-2147483648,((c_TMAP1IN)-(c_TFWD))*(((A249)-(c_TFWD))*((c_TMAP1OUT)-(0))+IF(((c_TMAP1OUT)-(0))&gt;=0,1,-1)*QUOTIENT(((c_TMAP1IN)-(c_TFWD)),2)))&lt;0,-1,0),IF(IF(o_WRAP=1,MOD(((c_TMAP1IN)-(c_TFWD))*(((A249)-(c_TFWD))*((c_TMAP1OUT)-(0))+IF(((c_TMAP1OUT)-(0))&gt;=0,1,-1)*QUOTIENT(((c_TMAP1IN)-(c_TFWD)),2))+2147483648,4294967296)-2147483648,((c_TMAP1IN)-(c_TFWD))*(((A249)-(c_TFWD))*((c_TMAP1OUT)-(0))+IF(((c_TMAP1OUT)-(0))&gt;=0,1,-1)*QUOTIENT(((c_TMAP1IN)-(c_TFWD)),2)))&gt;=0,1,0)))</f>
        <v>182</v>
      </c>
      <c r="E249" s="7" t="n">
        <f aca="false">IF(((c_TMAP2IN)-(c_TMAP1IN))=0,(c_TMAP1OUT)+QUOTIENT(((c_TMAP2OUT)-(c_TMAP1OUT)),2),QUOTIENT((((A249)-(c_TMAP1IN))*((c_TMAP2OUT)-(c_TMAP1OUT))+IF(((c_TMAP2OUT)-(c_TMAP1OUT))&gt;=0,1,-1)*QUOTIENT(((c_TMAP2IN)-(c_TMAP1IN)),2)),((c_TMAP2IN)-(c_TMAP1IN)))+(c_TMAP1OUT)+IF(((c_TMAP2OUT)-(c_TMAP1OUT))&gt;=0,IF(IF(o_WRAP=1,MOD(((c_TMAP2IN)-(c_TMAP1IN))*(((A249)-(c_TMAP1IN))*((c_TMAP2OUT)-(c_TMAP1OUT))+IF(((c_TMAP2OUT)-(c_TMAP1OUT))&gt;=0,1,-1)*QUOTIENT(((c_TMAP2IN)-(c_TMAP1IN)),2))+2147483648,4294967296)-2147483648,((c_TMAP2IN)-(c_TMAP1IN))*(((A249)-(c_TMAP1IN))*((c_TMAP2OUT)-(c_TMAP1OUT))+IF(((c_TMAP2OUT)-(c_TMAP1OUT))&gt;=0,1,-1)*QUOTIENT(((c_TMAP2IN)-(c_TMAP1IN)),2)))&lt;0,-1,0),IF(IF(o_WRAP=1,MOD(((c_TMAP2IN)-(c_TMAP1IN))*(((A249)-(c_TMAP1IN))*((c_TMAP2OUT)-(c_TMAP1OUT))+IF(((c_TMAP2OUT)-(c_TMAP1OUT))&gt;=0,1,-1)*QUOTIENT(((c_TMAP2IN)-(c_TMAP1IN)),2))+2147483648,4294967296)-2147483648,((c_TMAP2IN)-(c_TMAP1IN))*(((A249)-(c_TMAP1IN))*((c_TMAP2OUT)-(c_TMAP1OUT))+IF(((c_TMAP2OUT)-(c_TMAP1OUT))&gt;=0,1,-1)*QUOTIENT(((c_TMAP2IN)-(c_TMAP1IN)),2)))&gt;=0,1,0)))</f>
        <v>128</v>
      </c>
      <c r="F249" s="7" t="n">
        <f aca="false">IF(((c_TMAP3IN)-(c_TMAP2IN))=0,(c_TMAP2OUT)+QUOTIENT(((c_TMAP3OUT)-(c_TMAP2OUT)),2),QUOTIENT((((A249)-(c_TMAP2IN))*((c_TMAP3OUT)-(c_TMAP2OUT))+IF(((c_TMAP3OUT)-(c_TMAP2OUT))&gt;=0,1,-1)*QUOTIENT(((c_TMAP3IN)-(c_TMAP2IN)),2)),((c_TMAP3IN)-(c_TMAP2IN)))+(c_TMAP2OUT)+IF(((c_TMAP3OUT)-(c_TMAP2OUT))&gt;=0,IF(IF(o_WRAP=1,MOD(((c_TMAP3IN)-(c_TMAP2IN))*(((A249)-(c_TMAP2IN))*((c_TMAP3OUT)-(c_TMAP2OUT))+IF(((c_TMAP3OUT)-(c_TMAP2OUT))&gt;=0,1,-1)*QUOTIENT(((c_TMAP3IN)-(c_TMAP2IN)),2))+2147483648,4294967296)-2147483648,((c_TMAP3IN)-(c_TMAP2IN))*(((A249)-(c_TMAP2IN))*((c_TMAP3OUT)-(c_TMAP2OUT))+IF(((c_TMAP3OUT)-(c_TMAP2OUT))&gt;=0,1,-1)*QUOTIENT(((c_TMAP3IN)-(c_TMAP2IN)),2)))&lt;0,-1,0),IF(IF(o_WRAP=1,MOD(((c_TMAP3IN)-(c_TMAP2IN))*(((A249)-(c_TMAP2IN))*((c_TMAP3OUT)-(c_TMAP2OUT))+IF(((c_TMAP3OUT)-(c_TMAP2OUT))&gt;=0,1,-1)*QUOTIENT(((c_TMAP3IN)-(c_TMAP2IN)),2))+2147483648,4294967296)-2147483648,((c_TMAP3IN)-(c_TMAP2IN))*(((A249)-(c_TMAP2IN))*((c_TMAP3OUT)-(c_TMAP2OUT))+IF(((c_TMAP3OUT)-(c_TMAP2OUT))&gt;=0,1,-1)*QUOTIENT(((c_TMAP3IN)-(c_TMAP2IN)),2)))&gt;=0,1,0)))</f>
        <v>126</v>
      </c>
      <c r="G249" s="7" t="n">
        <f aca="false">IF(((1000)-(c_TMAP3IN))=0,(c_TMAP3OUT)+QUOTIENT(((1000)-(c_TMAP3OUT)),2),QUOTIENT((((A249)-(c_TMAP3IN))*((1000)-(c_TMAP3OUT))+IF(((1000)-(c_TMAP3OUT))&gt;=0,1,-1)*QUOTIENT(((1000)-(c_TMAP3IN)),2)),((1000)-(c_TMAP3IN)))+(c_TMAP3OUT)+IF(((1000)-(c_TMAP3OUT))&gt;=0,IF(IF(o_WRAP=1,MOD(((1000)-(c_TMAP3IN))*(((A249)-(c_TMAP3IN))*((1000)-(c_TMAP3OUT))+IF(((1000)-(c_TMAP3OUT))&gt;=0,1,-1)*QUOTIENT(((1000)-(c_TMAP3IN)),2))+2147483648,4294967296)-2147483648,((1000)-(c_TMAP3IN))*(((A249)-(c_TMAP3IN))*((1000)-(c_TMAP3OUT))+IF(((1000)-(c_TMAP3OUT))&gt;=0,1,-1)*QUOTIENT(((1000)-(c_TMAP3IN)),2)))&lt;0,-1,0),IF(IF(o_WRAP=1,MOD(((1000)-(c_TMAP3IN))*(((A249)-(c_TMAP3IN))*((1000)-(c_TMAP3OUT))+IF(((1000)-(c_TMAP3OUT))&gt;=0,1,-1)*QUOTIENT(((1000)-(c_TMAP3IN)),2))+2147483648,4294967296)-2147483648,((1000)-(c_TMAP3IN))*(((A249)-(c_TMAP3IN))*((1000)-(c_TMAP3OUT))+IF(((1000)-(c_TMAP3OUT))&gt;=0,1,-1)*QUOTIENT(((1000)-(c_TMAP3IN)),2)))&gt;=0,1,0)))</f>
        <v>70</v>
      </c>
      <c r="H249" s="7" t="str">
        <f aca="false">IF(A249&gt;=c_TFWD,IF(AND(A249&gt;=c_TMAP3IN,c_TMAP3IN&lt;1000),"Seg4 map3-100%",IF(AND(A249&gt;=c_TMAP2IN,c_TMAP3IN&gt;c_TMAP2IN),"Seg3 map2-map3",IF(AND(A249&gt;=c_TMAP1IN,c_TMAP2IN&gt;c_TMAP1IN),"Seg2 map1-map2","Seg1 TFWD-map1"))),IF(AND(A249=0,c_TCREEP&gt;0),"Creep",IF(AND(A249&lt;=c_TRNGMIN,A249&gt;=c_TRNGMAX,c_TRNGMIN-c_TRNGMAX&lt;&gt;0),"Regen ramp","Coast (0)")))</f>
        <v>Seg2 map1-map2</v>
      </c>
      <c r="I249" s="7" t="n">
        <f aca="false">IF(A249&gt;=c_TFWD,IF(AND(A249&gt;=c_TMAP3IN,c_TMAP3IN&lt;1000),G249,IF(AND(A249&gt;=c_TMAP2IN,c_TMAP3IN&gt;c_TMAP2IN),F249,IF(AND(A249&gt;=c_TMAP1IN,c_TMAP2IN&gt;c_TMAP1IN),E249,D249))),C249)</f>
        <v>128</v>
      </c>
      <c r="J249" s="7" t="str">
        <f aca="false">IF(I249&lt;-1090,"TOO LOW",IF(I249&gt;1090,"TOO HIGH",""))</f>
        <v/>
      </c>
      <c r="K249" s="15" t="n">
        <f aca="false">IF(J249&lt;&gt;"",0,IF(I249&gt;979,1000,I249))</f>
        <v>128</v>
      </c>
      <c r="L249" s="7" t="n">
        <f aca="false">K249/10</f>
        <v>12.8</v>
      </c>
    </row>
    <row r="250" customFormat="false" ht="15" hidden="false" customHeight="false" outlineLevel="0" collapsed="false">
      <c r="A250" s="7" t="n">
        <v>245</v>
      </c>
      <c r="B250" s="7" t="n">
        <f aca="false">A250/10</f>
        <v>24.5</v>
      </c>
      <c r="C250" s="7" t="n">
        <f aca="false">IF(AND(A250=0,c_TCREEP&gt;0),10*c_TCREEP,IF(AND(A250&lt;=c_TRNGMIN,A250&gt;=c_TRNGMAX,c_TRNGMIN-c_TRNGMAX&lt;&gt;0),-10*c_TMINRN+QUOTIENT((c_TMAXRN-c_TMINRN)*(100-QUOTIENT((A250-c_TRNGMAX)*100,c_TRNGMIN-c_TRNGMAX)),-10),0))</f>
        <v>0</v>
      </c>
      <c r="D250" s="7" t="n">
        <f aca="false">IF(((c_TMAP1IN)-(c_TFWD))=0,(0)+QUOTIENT(((c_TMAP1OUT)-(0)),2),QUOTIENT((((A250)-(c_TFWD))*((c_TMAP1OUT)-(0))+IF(((c_TMAP1OUT)-(0))&gt;=0,1,-1)*QUOTIENT(((c_TMAP1IN)-(c_TFWD)),2)),((c_TMAP1IN)-(c_TFWD)))+(0)+IF(((c_TMAP1OUT)-(0))&gt;=0,IF(IF(o_WRAP=1,MOD(((c_TMAP1IN)-(c_TFWD))*(((A250)-(c_TFWD))*((c_TMAP1OUT)-(0))+IF(((c_TMAP1OUT)-(0))&gt;=0,1,-1)*QUOTIENT(((c_TMAP1IN)-(c_TFWD)),2))+2147483648,4294967296)-2147483648,((c_TMAP1IN)-(c_TFWD))*(((A250)-(c_TFWD))*((c_TMAP1OUT)-(0))+IF(((c_TMAP1OUT)-(0))&gt;=0,1,-1)*QUOTIENT(((c_TMAP1IN)-(c_TFWD)),2)))&lt;0,-1,0),IF(IF(o_WRAP=1,MOD(((c_TMAP1IN)-(c_TFWD))*(((A250)-(c_TFWD))*((c_TMAP1OUT)-(0))+IF(((c_TMAP1OUT)-(0))&gt;=0,1,-1)*QUOTIENT(((c_TMAP1IN)-(c_TFWD)),2))+2147483648,4294967296)-2147483648,((c_TMAP1IN)-(c_TFWD))*(((A250)-(c_TFWD))*((c_TMAP1OUT)-(0))+IF(((c_TMAP1OUT)-(0))&gt;=0,1,-1)*QUOTIENT(((c_TMAP1IN)-(c_TFWD)),2)))&gt;=0,1,0)))</f>
        <v>183</v>
      </c>
      <c r="E250" s="7" t="n">
        <f aca="false">IF(((c_TMAP2IN)-(c_TMAP1IN))=0,(c_TMAP1OUT)+QUOTIENT(((c_TMAP2OUT)-(c_TMAP1OUT)),2),QUOTIENT((((A250)-(c_TMAP1IN))*((c_TMAP2OUT)-(c_TMAP1OUT))+IF(((c_TMAP2OUT)-(c_TMAP1OUT))&gt;=0,1,-1)*QUOTIENT(((c_TMAP2IN)-(c_TMAP1IN)),2)),((c_TMAP2IN)-(c_TMAP1IN)))+(c_TMAP1OUT)+IF(((c_TMAP2OUT)-(c_TMAP1OUT))&gt;=0,IF(IF(o_WRAP=1,MOD(((c_TMAP2IN)-(c_TMAP1IN))*(((A250)-(c_TMAP1IN))*((c_TMAP2OUT)-(c_TMAP1OUT))+IF(((c_TMAP2OUT)-(c_TMAP1OUT))&gt;=0,1,-1)*QUOTIENT(((c_TMAP2IN)-(c_TMAP1IN)),2))+2147483648,4294967296)-2147483648,((c_TMAP2IN)-(c_TMAP1IN))*(((A250)-(c_TMAP1IN))*((c_TMAP2OUT)-(c_TMAP1OUT))+IF(((c_TMAP2OUT)-(c_TMAP1OUT))&gt;=0,1,-1)*QUOTIENT(((c_TMAP2IN)-(c_TMAP1IN)),2)))&lt;0,-1,0),IF(IF(o_WRAP=1,MOD(((c_TMAP2IN)-(c_TMAP1IN))*(((A250)-(c_TMAP1IN))*((c_TMAP2OUT)-(c_TMAP1OUT))+IF(((c_TMAP2OUT)-(c_TMAP1OUT))&gt;=0,1,-1)*QUOTIENT(((c_TMAP2IN)-(c_TMAP1IN)),2))+2147483648,4294967296)-2147483648,((c_TMAP2IN)-(c_TMAP1IN))*(((A250)-(c_TMAP1IN))*((c_TMAP2OUT)-(c_TMAP1OUT))+IF(((c_TMAP2OUT)-(c_TMAP1OUT))&gt;=0,1,-1)*QUOTIENT(((c_TMAP2IN)-(c_TMAP1IN)),2)))&gt;=0,1,0)))</f>
        <v>128</v>
      </c>
      <c r="F250" s="7" t="n">
        <f aca="false">IF(((c_TMAP3IN)-(c_TMAP2IN))=0,(c_TMAP2OUT)+QUOTIENT(((c_TMAP3OUT)-(c_TMAP2OUT)),2),QUOTIENT((((A250)-(c_TMAP2IN))*((c_TMAP3OUT)-(c_TMAP2OUT))+IF(((c_TMAP3OUT)-(c_TMAP2OUT))&gt;=0,1,-1)*QUOTIENT(((c_TMAP3IN)-(c_TMAP2IN)),2)),((c_TMAP3IN)-(c_TMAP2IN)))+(c_TMAP2OUT)+IF(((c_TMAP3OUT)-(c_TMAP2OUT))&gt;=0,IF(IF(o_WRAP=1,MOD(((c_TMAP3IN)-(c_TMAP2IN))*(((A250)-(c_TMAP2IN))*((c_TMAP3OUT)-(c_TMAP2OUT))+IF(((c_TMAP3OUT)-(c_TMAP2OUT))&gt;=0,1,-1)*QUOTIENT(((c_TMAP3IN)-(c_TMAP2IN)),2))+2147483648,4294967296)-2147483648,((c_TMAP3IN)-(c_TMAP2IN))*(((A250)-(c_TMAP2IN))*((c_TMAP3OUT)-(c_TMAP2OUT))+IF(((c_TMAP3OUT)-(c_TMAP2OUT))&gt;=0,1,-1)*QUOTIENT(((c_TMAP3IN)-(c_TMAP2IN)),2)))&lt;0,-1,0),IF(IF(o_WRAP=1,MOD(((c_TMAP3IN)-(c_TMAP2IN))*(((A250)-(c_TMAP2IN))*((c_TMAP3OUT)-(c_TMAP2OUT))+IF(((c_TMAP3OUT)-(c_TMAP2OUT))&gt;=0,1,-1)*QUOTIENT(((c_TMAP3IN)-(c_TMAP2IN)),2))+2147483648,4294967296)-2147483648,((c_TMAP3IN)-(c_TMAP2IN))*(((A250)-(c_TMAP2IN))*((c_TMAP3OUT)-(c_TMAP2OUT))+IF(((c_TMAP3OUT)-(c_TMAP2OUT))&gt;=0,1,-1)*QUOTIENT(((c_TMAP3IN)-(c_TMAP2IN)),2)))&gt;=0,1,0)))</f>
        <v>126</v>
      </c>
      <c r="G250" s="7" t="n">
        <f aca="false">IF(((1000)-(c_TMAP3IN))=0,(c_TMAP3OUT)+QUOTIENT(((1000)-(c_TMAP3OUT)),2),QUOTIENT((((A250)-(c_TMAP3IN))*((1000)-(c_TMAP3OUT))+IF(((1000)-(c_TMAP3OUT))&gt;=0,1,-1)*QUOTIENT(((1000)-(c_TMAP3IN)),2)),((1000)-(c_TMAP3IN)))+(c_TMAP3OUT)+IF(((1000)-(c_TMAP3OUT))&gt;=0,IF(IF(o_WRAP=1,MOD(((1000)-(c_TMAP3IN))*(((A250)-(c_TMAP3IN))*((1000)-(c_TMAP3OUT))+IF(((1000)-(c_TMAP3OUT))&gt;=0,1,-1)*QUOTIENT(((1000)-(c_TMAP3IN)),2))+2147483648,4294967296)-2147483648,((1000)-(c_TMAP3IN))*(((A250)-(c_TMAP3IN))*((1000)-(c_TMAP3OUT))+IF(((1000)-(c_TMAP3OUT))&gt;=0,1,-1)*QUOTIENT(((1000)-(c_TMAP3IN)),2)))&lt;0,-1,0),IF(IF(o_WRAP=1,MOD(((1000)-(c_TMAP3IN))*(((A250)-(c_TMAP3IN))*((1000)-(c_TMAP3OUT))+IF(((1000)-(c_TMAP3OUT))&gt;=0,1,-1)*QUOTIENT(((1000)-(c_TMAP3IN)),2))+2147483648,4294967296)-2147483648,((1000)-(c_TMAP3IN))*(((A250)-(c_TMAP3IN))*((1000)-(c_TMAP3OUT))+IF(((1000)-(c_TMAP3OUT))&gt;=0,1,-1)*QUOTIENT(((1000)-(c_TMAP3IN)),2)))&gt;=0,1,0)))</f>
        <v>71</v>
      </c>
      <c r="H250" s="7" t="str">
        <f aca="false">IF(A250&gt;=c_TFWD,IF(AND(A250&gt;=c_TMAP3IN,c_TMAP3IN&lt;1000),"Seg4 map3-100%",IF(AND(A250&gt;=c_TMAP2IN,c_TMAP3IN&gt;c_TMAP2IN),"Seg3 map2-map3",IF(AND(A250&gt;=c_TMAP1IN,c_TMAP2IN&gt;c_TMAP1IN),"Seg2 map1-map2","Seg1 TFWD-map1"))),IF(AND(A250=0,c_TCREEP&gt;0),"Creep",IF(AND(A250&lt;=c_TRNGMIN,A250&gt;=c_TRNGMAX,c_TRNGMIN-c_TRNGMAX&lt;&gt;0),"Regen ramp","Coast (0)")))</f>
        <v>Seg2 map1-map2</v>
      </c>
      <c r="I250" s="7" t="n">
        <f aca="false">IF(A250&gt;=c_TFWD,IF(AND(A250&gt;=c_TMAP3IN,c_TMAP3IN&lt;1000),G250,IF(AND(A250&gt;=c_TMAP2IN,c_TMAP3IN&gt;c_TMAP2IN),F250,IF(AND(A250&gt;=c_TMAP1IN,c_TMAP2IN&gt;c_TMAP1IN),E250,D250))),C250)</f>
        <v>128</v>
      </c>
      <c r="J250" s="7" t="str">
        <f aca="false">IF(I250&lt;-1090,"TOO LOW",IF(I250&gt;1090,"TOO HIGH",""))</f>
        <v/>
      </c>
      <c r="K250" s="15" t="n">
        <f aca="false">IF(J250&lt;&gt;"",0,IF(I250&gt;979,1000,I250))</f>
        <v>128</v>
      </c>
      <c r="L250" s="7" t="n">
        <f aca="false">K250/10</f>
        <v>12.8</v>
      </c>
    </row>
    <row r="251" customFormat="false" ht="15" hidden="false" customHeight="false" outlineLevel="0" collapsed="false">
      <c r="A251" s="7" t="n">
        <v>246</v>
      </c>
      <c r="B251" s="7" t="n">
        <f aca="false">A251/10</f>
        <v>24.6</v>
      </c>
      <c r="C251" s="7" t="n">
        <f aca="false">IF(AND(A251=0,c_TCREEP&gt;0),10*c_TCREEP,IF(AND(A251&lt;=c_TRNGMIN,A251&gt;=c_TRNGMAX,c_TRNGMIN-c_TRNGMAX&lt;&gt;0),-10*c_TMINRN+QUOTIENT((c_TMAXRN-c_TMINRN)*(100-QUOTIENT((A251-c_TRNGMAX)*100,c_TRNGMIN-c_TRNGMAX)),-10),0))</f>
        <v>0</v>
      </c>
      <c r="D251" s="7" t="n">
        <f aca="false">IF(((c_TMAP1IN)-(c_TFWD))=0,(0)+QUOTIENT(((c_TMAP1OUT)-(0)),2),QUOTIENT((((A251)-(c_TFWD))*((c_TMAP1OUT)-(0))+IF(((c_TMAP1OUT)-(0))&gt;=0,1,-1)*QUOTIENT(((c_TMAP1IN)-(c_TFWD)),2)),((c_TMAP1IN)-(c_TFWD)))+(0)+IF(((c_TMAP1OUT)-(0))&gt;=0,IF(IF(o_WRAP=1,MOD(((c_TMAP1IN)-(c_TFWD))*(((A251)-(c_TFWD))*((c_TMAP1OUT)-(0))+IF(((c_TMAP1OUT)-(0))&gt;=0,1,-1)*QUOTIENT(((c_TMAP1IN)-(c_TFWD)),2))+2147483648,4294967296)-2147483648,((c_TMAP1IN)-(c_TFWD))*(((A251)-(c_TFWD))*((c_TMAP1OUT)-(0))+IF(((c_TMAP1OUT)-(0))&gt;=0,1,-1)*QUOTIENT(((c_TMAP1IN)-(c_TFWD)),2)))&lt;0,-1,0),IF(IF(o_WRAP=1,MOD(((c_TMAP1IN)-(c_TFWD))*(((A251)-(c_TFWD))*((c_TMAP1OUT)-(0))+IF(((c_TMAP1OUT)-(0))&gt;=0,1,-1)*QUOTIENT(((c_TMAP1IN)-(c_TFWD)),2))+2147483648,4294967296)-2147483648,((c_TMAP1IN)-(c_TFWD))*(((A251)-(c_TFWD))*((c_TMAP1OUT)-(0))+IF(((c_TMAP1OUT)-(0))&gt;=0,1,-1)*QUOTIENT(((c_TMAP1IN)-(c_TFWD)),2)))&gt;=0,1,0)))</f>
        <v>184</v>
      </c>
      <c r="E251" s="7" t="n">
        <f aca="false">IF(((c_TMAP2IN)-(c_TMAP1IN))=0,(c_TMAP1OUT)+QUOTIENT(((c_TMAP2OUT)-(c_TMAP1OUT)),2),QUOTIENT((((A251)-(c_TMAP1IN))*((c_TMAP2OUT)-(c_TMAP1OUT))+IF(((c_TMAP2OUT)-(c_TMAP1OUT))&gt;=0,1,-1)*QUOTIENT(((c_TMAP2IN)-(c_TMAP1IN)),2)),((c_TMAP2IN)-(c_TMAP1IN)))+(c_TMAP1OUT)+IF(((c_TMAP2OUT)-(c_TMAP1OUT))&gt;=0,IF(IF(o_WRAP=1,MOD(((c_TMAP2IN)-(c_TMAP1IN))*(((A251)-(c_TMAP1IN))*((c_TMAP2OUT)-(c_TMAP1OUT))+IF(((c_TMAP2OUT)-(c_TMAP1OUT))&gt;=0,1,-1)*QUOTIENT(((c_TMAP2IN)-(c_TMAP1IN)),2))+2147483648,4294967296)-2147483648,((c_TMAP2IN)-(c_TMAP1IN))*(((A251)-(c_TMAP1IN))*((c_TMAP2OUT)-(c_TMAP1OUT))+IF(((c_TMAP2OUT)-(c_TMAP1OUT))&gt;=0,1,-1)*QUOTIENT(((c_TMAP2IN)-(c_TMAP1IN)),2)))&lt;0,-1,0),IF(IF(o_WRAP=1,MOD(((c_TMAP2IN)-(c_TMAP1IN))*(((A251)-(c_TMAP1IN))*((c_TMAP2OUT)-(c_TMAP1OUT))+IF(((c_TMAP2OUT)-(c_TMAP1OUT))&gt;=0,1,-1)*QUOTIENT(((c_TMAP2IN)-(c_TMAP1IN)),2))+2147483648,4294967296)-2147483648,((c_TMAP2IN)-(c_TMAP1IN))*(((A251)-(c_TMAP1IN))*((c_TMAP2OUT)-(c_TMAP1OUT))+IF(((c_TMAP2OUT)-(c_TMAP1OUT))&gt;=0,1,-1)*QUOTIENT(((c_TMAP2IN)-(c_TMAP1IN)),2)))&gt;=0,1,0)))</f>
        <v>128</v>
      </c>
      <c r="F251" s="7" t="n">
        <f aca="false">IF(((c_TMAP3IN)-(c_TMAP2IN))=0,(c_TMAP2OUT)+QUOTIENT(((c_TMAP3OUT)-(c_TMAP2OUT)),2),QUOTIENT((((A251)-(c_TMAP2IN))*((c_TMAP3OUT)-(c_TMAP2OUT))+IF(((c_TMAP3OUT)-(c_TMAP2OUT))&gt;=0,1,-1)*QUOTIENT(((c_TMAP3IN)-(c_TMAP2IN)),2)),((c_TMAP3IN)-(c_TMAP2IN)))+(c_TMAP2OUT)+IF(((c_TMAP3OUT)-(c_TMAP2OUT))&gt;=0,IF(IF(o_WRAP=1,MOD(((c_TMAP3IN)-(c_TMAP2IN))*(((A251)-(c_TMAP2IN))*((c_TMAP3OUT)-(c_TMAP2OUT))+IF(((c_TMAP3OUT)-(c_TMAP2OUT))&gt;=0,1,-1)*QUOTIENT(((c_TMAP3IN)-(c_TMAP2IN)),2))+2147483648,4294967296)-2147483648,((c_TMAP3IN)-(c_TMAP2IN))*(((A251)-(c_TMAP2IN))*((c_TMAP3OUT)-(c_TMAP2OUT))+IF(((c_TMAP3OUT)-(c_TMAP2OUT))&gt;=0,1,-1)*QUOTIENT(((c_TMAP3IN)-(c_TMAP2IN)),2)))&lt;0,-1,0),IF(IF(o_WRAP=1,MOD(((c_TMAP3IN)-(c_TMAP2IN))*(((A251)-(c_TMAP2IN))*((c_TMAP3OUT)-(c_TMAP2OUT))+IF(((c_TMAP3OUT)-(c_TMAP2OUT))&gt;=0,1,-1)*QUOTIENT(((c_TMAP3IN)-(c_TMAP2IN)),2))+2147483648,4294967296)-2147483648,((c_TMAP3IN)-(c_TMAP2IN))*(((A251)-(c_TMAP2IN))*((c_TMAP3OUT)-(c_TMAP2OUT))+IF(((c_TMAP3OUT)-(c_TMAP2OUT))&gt;=0,1,-1)*QUOTIENT(((c_TMAP3IN)-(c_TMAP2IN)),2)))&gt;=0,1,0)))</f>
        <v>127</v>
      </c>
      <c r="G251" s="7" t="n">
        <f aca="false">IF(((1000)-(c_TMAP3IN))=0,(c_TMAP3OUT)+QUOTIENT(((1000)-(c_TMAP3OUT)),2),QUOTIENT((((A251)-(c_TMAP3IN))*((1000)-(c_TMAP3OUT))+IF(((1000)-(c_TMAP3OUT))&gt;=0,1,-1)*QUOTIENT(((1000)-(c_TMAP3IN)),2)),((1000)-(c_TMAP3IN)))+(c_TMAP3OUT)+IF(((1000)-(c_TMAP3OUT))&gt;=0,IF(IF(o_WRAP=1,MOD(((1000)-(c_TMAP3IN))*(((A251)-(c_TMAP3IN))*((1000)-(c_TMAP3OUT))+IF(((1000)-(c_TMAP3OUT))&gt;=0,1,-1)*QUOTIENT(((1000)-(c_TMAP3IN)),2))+2147483648,4294967296)-2147483648,((1000)-(c_TMAP3IN))*(((A251)-(c_TMAP3IN))*((1000)-(c_TMAP3OUT))+IF(((1000)-(c_TMAP3OUT))&gt;=0,1,-1)*QUOTIENT(((1000)-(c_TMAP3IN)),2)))&lt;0,-1,0),IF(IF(o_WRAP=1,MOD(((1000)-(c_TMAP3IN))*(((A251)-(c_TMAP3IN))*((1000)-(c_TMAP3OUT))+IF(((1000)-(c_TMAP3OUT))&gt;=0,1,-1)*QUOTIENT(((1000)-(c_TMAP3IN)),2))+2147483648,4294967296)-2147483648,((1000)-(c_TMAP3IN))*(((A251)-(c_TMAP3IN))*((1000)-(c_TMAP3OUT))+IF(((1000)-(c_TMAP3OUT))&gt;=0,1,-1)*QUOTIENT(((1000)-(c_TMAP3IN)),2)))&gt;=0,1,0)))</f>
        <v>72</v>
      </c>
      <c r="H251" s="7" t="str">
        <f aca="false">IF(A251&gt;=c_TFWD,IF(AND(A251&gt;=c_TMAP3IN,c_TMAP3IN&lt;1000),"Seg4 map3-100%",IF(AND(A251&gt;=c_TMAP2IN,c_TMAP3IN&gt;c_TMAP2IN),"Seg3 map2-map3",IF(AND(A251&gt;=c_TMAP1IN,c_TMAP2IN&gt;c_TMAP1IN),"Seg2 map1-map2","Seg1 TFWD-map1"))),IF(AND(A251=0,c_TCREEP&gt;0),"Creep",IF(AND(A251&lt;=c_TRNGMIN,A251&gt;=c_TRNGMAX,c_TRNGMIN-c_TRNGMAX&lt;&gt;0),"Regen ramp","Coast (0)")))</f>
        <v>Seg2 map1-map2</v>
      </c>
      <c r="I251" s="7" t="n">
        <f aca="false">IF(A251&gt;=c_TFWD,IF(AND(A251&gt;=c_TMAP3IN,c_TMAP3IN&lt;1000),G251,IF(AND(A251&gt;=c_TMAP2IN,c_TMAP3IN&gt;c_TMAP2IN),F251,IF(AND(A251&gt;=c_TMAP1IN,c_TMAP2IN&gt;c_TMAP1IN),E251,D251))),C251)</f>
        <v>128</v>
      </c>
      <c r="J251" s="7" t="str">
        <f aca="false">IF(I251&lt;-1090,"TOO LOW",IF(I251&gt;1090,"TOO HIGH",""))</f>
        <v/>
      </c>
      <c r="K251" s="15" t="n">
        <f aca="false">IF(J251&lt;&gt;"",0,IF(I251&gt;979,1000,I251))</f>
        <v>128</v>
      </c>
      <c r="L251" s="7" t="n">
        <f aca="false">K251/10</f>
        <v>12.8</v>
      </c>
    </row>
    <row r="252" customFormat="false" ht="15" hidden="false" customHeight="false" outlineLevel="0" collapsed="false">
      <c r="A252" s="7" t="n">
        <v>247</v>
      </c>
      <c r="B252" s="7" t="n">
        <f aca="false">A252/10</f>
        <v>24.7</v>
      </c>
      <c r="C252" s="7" t="n">
        <f aca="false">IF(AND(A252=0,c_TCREEP&gt;0),10*c_TCREEP,IF(AND(A252&lt;=c_TRNGMIN,A252&gt;=c_TRNGMAX,c_TRNGMIN-c_TRNGMAX&lt;&gt;0),-10*c_TMINRN+QUOTIENT((c_TMAXRN-c_TMINRN)*(100-QUOTIENT((A252-c_TRNGMAX)*100,c_TRNGMIN-c_TRNGMAX)),-10),0))</f>
        <v>0</v>
      </c>
      <c r="D252" s="7" t="n">
        <f aca="false">IF(((c_TMAP1IN)-(c_TFWD))=0,(0)+QUOTIENT(((c_TMAP1OUT)-(0)),2),QUOTIENT((((A252)-(c_TFWD))*((c_TMAP1OUT)-(0))+IF(((c_TMAP1OUT)-(0))&gt;=0,1,-1)*QUOTIENT(((c_TMAP1IN)-(c_TFWD)),2)),((c_TMAP1IN)-(c_TFWD)))+(0)+IF(((c_TMAP1OUT)-(0))&gt;=0,IF(IF(o_WRAP=1,MOD(((c_TMAP1IN)-(c_TFWD))*(((A252)-(c_TFWD))*((c_TMAP1OUT)-(0))+IF(((c_TMAP1OUT)-(0))&gt;=0,1,-1)*QUOTIENT(((c_TMAP1IN)-(c_TFWD)),2))+2147483648,4294967296)-2147483648,((c_TMAP1IN)-(c_TFWD))*(((A252)-(c_TFWD))*((c_TMAP1OUT)-(0))+IF(((c_TMAP1OUT)-(0))&gt;=0,1,-1)*QUOTIENT(((c_TMAP1IN)-(c_TFWD)),2)))&lt;0,-1,0),IF(IF(o_WRAP=1,MOD(((c_TMAP1IN)-(c_TFWD))*(((A252)-(c_TFWD))*((c_TMAP1OUT)-(0))+IF(((c_TMAP1OUT)-(0))&gt;=0,1,-1)*QUOTIENT(((c_TMAP1IN)-(c_TFWD)),2))+2147483648,4294967296)-2147483648,((c_TMAP1IN)-(c_TFWD))*(((A252)-(c_TFWD))*((c_TMAP1OUT)-(0))+IF(((c_TMAP1OUT)-(0))&gt;=0,1,-1)*QUOTIENT(((c_TMAP1IN)-(c_TFWD)),2)))&gt;=0,1,0)))</f>
        <v>184</v>
      </c>
      <c r="E252" s="7" t="n">
        <f aca="false">IF(((c_TMAP2IN)-(c_TMAP1IN))=0,(c_TMAP1OUT)+QUOTIENT(((c_TMAP2OUT)-(c_TMAP1OUT)),2),QUOTIENT((((A252)-(c_TMAP1IN))*((c_TMAP2OUT)-(c_TMAP1OUT))+IF(((c_TMAP2OUT)-(c_TMAP1OUT))&gt;=0,1,-1)*QUOTIENT(((c_TMAP2IN)-(c_TMAP1IN)),2)),((c_TMAP2IN)-(c_TMAP1IN)))+(c_TMAP1OUT)+IF(((c_TMAP2OUT)-(c_TMAP1OUT))&gt;=0,IF(IF(o_WRAP=1,MOD(((c_TMAP2IN)-(c_TMAP1IN))*(((A252)-(c_TMAP1IN))*((c_TMAP2OUT)-(c_TMAP1OUT))+IF(((c_TMAP2OUT)-(c_TMAP1OUT))&gt;=0,1,-1)*QUOTIENT(((c_TMAP2IN)-(c_TMAP1IN)),2))+2147483648,4294967296)-2147483648,((c_TMAP2IN)-(c_TMAP1IN))*(((A252)-(c_TMAP1IN))*((c_TMAP2OUT)-(c_TMAP1OUT))+IF(((c_TMAP2OUT)-(c_TMAP1OUT))&gt;=0,1,-1)*QUOTIENT(((c_TMAP2IN)-(c_TMAP1IN)),2)))&lt;0,-1,0),IF(IF(o_WRAP=1,MOD(((c_TMAP2IN)-(c_TMAP1IN))*(((A252)-(c_TMAP1IN))*((c_TMAP2OUT)-(c_TMAP1OUT))+IF(((c_TMAP2OUT)-(c_TMAP1OUT))&gt;=0,1,-1)*QUOTIENT(((c_TMAP2IN)-(c_TMAP1IN)),2))+2147483648,4294967296)-2147483648,((c_TMAP2IN)-(c_TMAP1IN))*(((A252)-(c_TMAP1IN))*((c_TMAP2OUT)-(c_TMAP1OUT))+IF(((c_TMAP2OUT)-(c_TMAP1OUT))&gt;=0,1,-1)*QUOTIENT(((c_TMAP2IN)-(c_TMAP1IN)),2)))&gt;=0,1,0)))</f>
        <v>129</v>
      </c>
      <c r="F252" s="7" t="n">
        <f aca="false">IF(((c_TMAP3IN)-(c_TMAP2IN))=0,(c_TMAP2OUT)+QUOTIENT(((c_TMAP3OUT)-(c_TMAP2OUT)),2),QUOTIENT((((A252)-(c_TMAP2IN))*((c_TMAP3OUT)-(c_TMAP2OUT))+IF(((c_TMAP3OUT)-(c_TMAP2OUT))&gt;=0,1,-1)*QUOTIENT(((c_TMAP3IN)-(c_TMAP2IN)),2)),((c_TMAP3IN)-(c_TMAP2IN)))+(c_TMAP2OUT)+IF(((c_TMAP3OUT)-(c_TMAP2OUT))&gt;=0,IF(IF(o_WRAP=1,MOD(((c_TMAP3IN)-(c_TMAP2IN))*(((A252)-(c_TMAP2IN))*((c_TMAP3OUT)-(c_TMAP2OUT))+IF(((c_TMAP3OUT)-(c_TMAP2OUT))&gt;=0,1,-1)*QUOTIENT(((c_TMAP3IN)-(c_TMAP2IN)),2))+2147483648,4294967296)-2147483648,((c_TMAP3IN)-(c_TMAP2IN))*(((A252)-(c_TMAP2IN))*((c_TMAP3OUT)-(c_TMAP2OUT))+IF(((c_TMAP3OUT)-(c_TMAP2OUT))&gt;=0,1,-1)*QUOTIENT(((c_TMAP3IN)-(c_TMAP2IN)),2)))&lt;0,-1,0),IF(IF(o_WRAP=1,MOD(((c_TMAP3IN)-(c_TMAP2IN))*(((A252)-(c_TMAP2IN))*((c_TMAP3OUT)-(c_TMAP2OUT))+IF(((c_TMAP3OUT)-(c_TMAP2OUT))&gt;=0,1,-1)*QUOTIENT(((c_TMAP3IN)-(c_TMAP2IN)),2))+2147483648,4294967296)-2147483648,((c_TMAP3IN)-(c_TMAP2IN))*(((A252)-(c_TMAP2IN))*((c_TMAP3OUT)-(c_TMAP2OUT))+IF(((c_TMAP3OUT)-(c_TMAP2OUT))&gt;=0,1,-1)*QUOTIENT(((c_TMAP3IN)-(c_TMAP2IN)),2)))&gt;=0,1,0)))</f>
        <v>128</v>
      </c>
      <c r="G252" s="7" t="n">
        <f aca="false">IF(((1000)-(c_TMAP3IN))=0,(c_TMAP3OUT)+QUOTIENT(((1000)-(c_TMAP3OUT)),2),QUOTIENT((((A252)-(c_TMAP3IN))*((1000)-(c_TMAP3OUT))+IF(((1000)-(c_TMAP3OUT))&gt;=0,1,-1)*QUOTIENT(((1000)-(c_TMAP3IN)),2)),((1000)-(c_TMAP3IN)))+(c_TMAP3OUT)+IF(((1000)-(c_TMAP3OUT))&gt;=0,IF(IF(o_WRAP=1,MOD(((1000)-(c_TMAP3IN))*(((A252)-(c_TMAP3IN))*((1000)-(c_TMAP3OUT))+IF(((1000)-(c_TMAP3OUT))&gt;=0,1,-1)*QUOTIENT(((1000)-(c_TMAP3IN)),2))+2147483648,4294967296)-2147483648,((1000)-(c_TMAP3IN))*(((A252)-(c_TMAP3IN))*((1000)-(c_TMAP3OUT))+IF(((1000)-(c_TMAP3OUT))&gt;=0,1,-1)*QUOTIENT(((1000)-(c_TMAP3IN)),2)))&lt;0,-1,0),IF(IF(o_WRAP=1,MOD(((1000)-(c_TMAP3IN))*(((A252)-(c_TMAP3IN))*((1000)-(c_TMAP3OUT))+IF(((1000)-(c_TMAP3OUT))&gt;=0,1,-1)*QUOTIENT(((1000)-(c_TMAP3IN)),2))+2147483648,4294967296)-2147483648,((1000)-(c_TMAP3IN))*(((A252)-(c_TMAP3IN))*((1000)-(c_TMAP3OUT))+IF(((1000)-(c_TMAP3OUT))&gt;=0,1,-1)*QUOTIENT(((1000)-(c_TMAP3IN)),2)))&gt;=0,1,0)))</f>
        <v>73</v>
      </c>
      <c r="H252" s="7" t="str">
        <f aca="false">IF(A252&gt;=c_TFWD,IF(AND(A252&gt;=c_TMAP3IN,c_TMAP3IN&lt;1000),"Seg4 map3-100%",IF(AND(A252&gt;=c_TMAP2IN,c_TMAP3IN&gt;c_TMAP2IN),"Seg3 map2-map3",IF(AND(A252&gt;=c_TMAP1IN,c_TMAP2IN&gt;c_TMAP1IN),"Seg2 map1-map2","Seg1 TFWD-map1"))),IF(AND(A252=0,c_TCREEP&gt;0),"Creep",IF(AND(A252&lt;=c_TRNGMIN,A252&gt;=c_TRNGMAX,c_TRNGMIN-c_TRNGMAX&lt;&gt;0),"Regen ramp","Coast (0)")))</f>
        <v>Seg2 map1-map2</v>
      </c>
      <c r="I252" s="7" t="n">
        <f aca="false">IF(A252&gt;=c_TFWD,IF(AND(A252&gt;=c_TMAP3IN,c_TMAP3IN&lt;1000),G252,IF(AND(A252&gt;=c_TMAP2IN,c_TMAP3IN&gt;c_TMAP2IN),F252,IF(AND(A252&gt;=c_TMAP1IN,c_TMAP2IN&gt;c_TMAP1IN),E252,D252))),C252)</f>
        <v>129</v>
      </c>
      <c r="J252" s="7" t="str">
        <f aca="false">IF(I252&lt;-1090,"TOO LOW",IF(I252&gt;1090,"TOO HIGH",""))</f>
        <v/>
      </c>
      <c r="K252" s="15" t="n">
        <f aca="false">IF(J252&lt;&gt;"",0,IF(I252&gt;979,1000,I252))</f>
        <v>129</v>
      </c>
      <c r="L252" s="7" t="n">
        <f aca="false">K252/10</f>
        <v>12.9</v>
      </c>
    </row>
    <row r="253" customFormat="false" ht="15" hidden="false" customHeight="false" outlineLevel="0" collapsed="false">
      <c r="A253" s="7" t="n">
        <v>248</v>
      </c>
      <c r="B253" s="7" t="n">
        <f aca="false">A253/10</f>
        <v>24.8</v>
      </c>
      <c r="C253" s="7" t="n">
        <f aca="false">IF(AND(A253=0,c_TCREEP&gt;0),10*c_TCREEP,IF(AND(A253&lt;=c_TRNGMIN,A253&gt;=c_TRNGMAX,c_TRNGMIN-c_TRNGMAX&lt;&gt;0),-10*c_TMINRN+QUOTIENT((c_TMAXRN-c_TMINRN)*(100-QUOTIENT((A253-c_TRNGMAX)*100,c_TRNGMIN-c_TRNGMAX)),-10),0))</f>
        <v>0</v>
      </c>
      <c r="D253" s="7" t="n">
        <f aca="false">IF(((c_TMAP1IN)-(c_TFWD))=0,(0)+QUOTIENT(((c_TMAP1OUT)-(0)),2),QUOTIENT((((A253)-(c_TFWD))*((c_TMAP1OUT)-(0))+IF(((c_TMAP1OUT)-(0))&gt;=0,1,-1)*QUOTIENT(((c_TMAP1IN)-(c_TFWD)),2)),((c_TMAP1IN)-(c_TFWD)))+(0)+IF(((c_TMAP1OUT)-(0))&gt;=0,IF(IF(o_WRAP=1,MOD(((c_TMAP1IN)-(c_TFWD))*(((A253)-(c_TFWD))*((c_TMAP1OUT)-(0))+IF(((c_TMAP1OUT)-(0))&gt;=0,1,-1)*QUOTIENT(((c_TMAP1IN)-(c_TFWD)),2))+2147483648,4294967296)-2147483648,((c_TMAP1IN)-(c_TFWD))*(((A253)-(c_TFWD))*((c_TMAP1OUT)-(0))+IF(((c_TMAP1OUT)-(0))&gt;=0,1,-1)*QUOTIENT(((c_TMAP1IN)-(c_TFWD)),2)))&lt;0,-1,0),IF(IF(o_WRAP=1,MOD(((c_TMAP1IN)-(c_TFWD))*(((A253)-(c_TFWD))*((c_TMAP1OUT)-(0))+IF(((c_TMAP1OUT)-(0))&gt;=0,1,-1)*QUOTIENT(((c_TMAP1IN)-(c_TFWD)),2))+2147483648,4294967296)-2147483648,((c_TMAP1IN)-(c_TFWD))*(((A253)-(c_TFWD))*((c_TMAP1OUT)-(0))+IF(((c_TMAP1OUT)-(0))&gt;=0,1,-1)*QUOTIENT(((c_TMAP1IN)-(c_TFWD)),2)))&gt;=0,1,0)))</f>
        <v>185</v>
      </c>
      <c r="E253" s="7" t="n">
        <f aca="false">IF(((c_TMAP2IN)-(c_TMAP1IN))=0,(c_TMAP1OUT)+QUOTIENT(((c_TMAP2OUT)-(c_TMAP1OUT)),2),QUOTIENT((((A253)-(c_TMAP1IN))*((c_TMAP2OUT)-(c_TMAP1OUT))+IF(((c_TMAP2OUT)-(c_TMAP1OUT))&gt;=0,1,-1)*QUOTIENT(((c_TMAP2IN)-(c_TMAP1IN)),2)),((c_TMAP2IN)-(c_TMAP1IN)))+(c_TMAP1OUT)+IF(((c_TMAP2OUT)-(c_TMAP1OUT))&gt;=0,IF(IF(o_WRAP=1,MOD(((c_TMAP2IN)-(c_TMAP1IN))*(((A253)-(c_TMAP1IN))*((c_TMAP2OUT)-(c_TMAP1OUT))+IF(((c_TMAP2OUT)-(c_TMAP1OUT))&gt;=0,1,-1)*QUOTIENT(((c_TMAP2IN)-(c_TMAP1IN)),2))+2147483648,4294967296)-2147483648,((c_TMAP2IN)-(c_TMAP1IN))*(((A253)-(c_TMAP1IN))*((c_TMAP2OUT)-(c_TMAP1OUT))+IF(((c_TMAP2OUT)-(c_TMAP1OUT))&gt;=0,1,-1)*QUOTIENT(((c_TMAP2IN)-(c_TMAP1IN)),2)))&lt;0,-1,0),IF(IF(o_WRAP=1,MOD(((c_TMAP2IN)-(c_TMAP1IN))*(((A253)-(c_TMAP1IN))*((c_TMAP2OUT)-(c_TMAP1OUT))+IF(((c_TMAP2OUT)-(c_TMAP1OUT))&gt;=0,1,-1)*QUOTIENT(((c_TMAP2IN)-(c_TMAP1IN)),2))+2147483648,4294967296)-2147483648,((c_TMAP2IN)-(c_TMAP1IN))*(((A253)-(c_TMAP1IN))*((c_TMAP2OUT)-(c_TMAP1OUT))+IF(((c_TMAP2OUT)-(c_TMAP1OUT))&gt;=0,1,-1)*QUOTIENT(((c_TMAP2IN)-(c_TMAP1IN)),2)))&gt;=0,1,0)))</f>
        <v>129</v>
      </c>
      <c r="F253" s="7" t="n">
        <f aca="false">IF(((c_TMAP3IN)-(c_TMAP2IN))=0,(c_TMAP2OUT)+QUOTIENT(((c_TMAP3OUT)-(c_TMAP2OUT)),2),QUOTIENT((((A253)-(c_TMAP2IN))*((c_TMAP3OUT)-(c_TMAP2OUT))+IF(((c_TMAP3OUT)-(c_TMAP2OUT))&gt;=0,1,-1)*QUOTIENT(((c_TMAP3IN)-(c_TMAP2IN)),2)),((c_TMAP3IN)-(c_TMAP2IN)))+(c_TMAP2OUT)+IF(((c_TMAP3OUT)-(c_TMAP2OUT))&gt;=0,IF(IF(o_WRAP=1,MOD(((c_TMAP3IN)-(c_TMAP2IN))*(((A253)-(c_TMAP2IN))*((c_TMAP3OUT)-(c_TMAP2OUT))+IF(((c_TMAP3OUT)-(c_TMAP2OUT))&gt;=0,1,-1)*QUOTIENT(((c_TMAP3IN)-(c_TMAP2IN)),2))+2147483648,4294967296)-2147483648,((c_TMAP3IN)-(c_TMAP2IN))*(((A253)-(c_TMAP2IN))*((c_TMAP3OUT)-(c_TMAP2OUT))+IF(((c_TMAP3OUT)-(c_TMAP2OUT))&gt;=0,1,-1)*QUOTIENT(((c_TMAP3IN)-(c_TMAP2IN)),2)))&lt;0,-1,0),IF(IF(o_WRAP=1,MOD(((c_TMAP3IN)-(c_TMAP2IN))*(((A253)-(c_TMAP2IN))*((c_TMAP3OUT)-(c_TMAP2OUT))+IF(((c_TMAP3OUT)-(c_TMAP2OUT))&gt;=0,1,-1)*QUOTIENT(((c_TMAP3IN)-(c_TMAP2IN)),2))+2147483648,4294967296)-2147483648,((c_TMAP3IN)-(c_TMAP2IN))*(((A253)-(c_TMAP2IN))*((c_TMAP3OUT)-(c_TMAP2OUT))+IF(((c_TMAP3OUT)-(c_TMAP2OUT))&gt;=0,1,-1)*QUOTIENT(((c_TMAP3IN)-(c_TMAP2IN)),2)))&gt;=0,1,0)))</f>
        <v>129</v>
      </c>
      <c r="G253" s="7" t="n">
        <f aca="false">IF(((1000)-(c_TMAP3IN))=0,(c_TMAP3OUT)+QUOTIENT(((1000)-(c_TMAP3OUT)),2),QUOTIENT((((A253)-(c_TMAP3IN))*((1000)-(c_TMAP3OUT))+IF(((1000)-(c_TMAP3OUT))&gt;=0,1,-1)*QUOTIENT(((1000)-(c_TMAP3IN)),2)),((1000)-(c_TMAP3IN)))+(c_TMAP3OUT)+IF(((1000)-(c_TMAP3OUT))&gt;=0,IF(IF(o_WRAP=1,MOD(((1000)-(c_TMAP3IN))*(((A253)-(c_TMAP3IN))*((1000)-(c_TMAP3OUT))+IF(((1000)-(c_TMAP3OUT))&gt;=0,1,-1)*QUOTIENT(((1000)-(c_TMAP3IN)),2))+2147483648,4294967296)-2147483648,((1000)-(c_TMAP3IN))*(((A253)-(c_TMAP3IN))*((1000)-(c_TMAP3OUT))+IF(((1000)-(c_TMAP3OUT))&gt;=0,1,-1)*QUOTIENT(((1000)-(c_TMAP3IN)),2)))&lt;0,-1,0),IF(IF(o_WRAP=1,MOD(((1000)-(c_TMAP3IN))*(((A253)-(c_TMAP3IN))*((1000)-(c_TMAP3OUT))+IF(((1000)-(c_TMAP3OUT))&gt;=0,1,-1)*QUOTIENT(((1000)-(c_TMAP3IN)),2))+2147483648,4294967296)-2147483648,((1000)-(c_TMAP3IN))*(((A253)-(c_TMAP3IN))*((1000)-(c_TMAP3OUT))+IF(((1000)-(c_TMAP3OUT))&gt;=0,1,-1)*QUOTIENT(((1000)-(c_TMAP3IN)),2)))&gt;=0,1,0)))</f>
        <v>74</v>
      </c>
      <c r="H253" s="7" t="str">
        <f aca="false">IF(A253&gt;=c_TFWD,IF(AND(A253&gt;=c_TMAP3IN,c_TMAP3IN&lt;1000),"Seg4 map3-100%",IF(AND(A253&gt;=c_TMAP2IN,c_TMAP3IN&gt;c_TMAP2IN),"Seg3 map2-map3",IF(AND(A253&gt;=c_TMAP1IN,c_TMAP2IN&gt;c_TMAP1IN),"Seg2 map1-map2","Seg1 TFWD-map1"))),IF(AND(A253=0,c_TCREEP&gt;0),"Creep",IF(AND(A253&lt;=c_TRNGMIN,A253&gt;=c_TRNGMAX,c_TRNGMIN-c_TRNGMAX&lt;&gt;0),"Regen ramp","Coast (0)")))</f>
        <v>Seg2 map1-map2</v>
      </c>
      <c r="I253" s="7" t="n">
        <f aca="false">IF(A253&gt;=c_TFWD,IF(AND(A253&gt;=c_TMAP3IN,c_TMAP3IN&lt;1000),G253,IF(AND(A253&gt;=c_TMAP2IN,c_TMAP3IN&gt;c_TMAP2IN),F253,IF(AND(A253&gt;=c_TMAP1IN,c_TMAP2IN&gt;c_TMAP1IN),E253,D253))),C253)</f>
        <v>129</v>
      </c>
      <c r="J253" s="7" t="str">
        <f aca="false">IF(I253&lt;-1090,"TOO LOW",IF(I253&gt;1090,"TOO HIGH",""))</f>
        <v/>
      </c>
      <c r="K253" s="15" t="n">
        <f aca="false">IF(J253&lt;&gt;"",0,IF(I253&gt;979,1000,I253))</f>
        <v>129</v>
      </c>
      <c r="L253" s="7" t="n">
        <f aca="false">K253/10</f>
        <v>12.9</v>
      </c>
    </row>
    <row r="254" customFormat="false" ht="15" hidden="false" customHeight="false" outlineLevel="0" collapsed="false">
      <c r="A254" s="7" t="n">
        <v>249</v>
      </c>
      <c r="B254" s="7" t="n">
        <f aca="false">A254/10</f>
        <v>24.9</v>
      </c>
      <c r="C254" s="7" t="n">
        <f aca="false">IF(AND(A254=0,c_TCREEP&gt;0),10*c_TCREEP,IF(AND(A254&lt;=c_TRNGMIN,A254&gt;=c_TRNGMAX,c_TRNGMIN-c_TRNGMAX&lt;&gt;0),-10*c_TMINRN+QUOTIENT((c_TMAXRN-c_TMINRN)*(100-QUOTIENT((A254-c_TRNGMAX)*100,c_TRNGMIN-c_TRNGMAX)),-10),0))</f>
        <v>0</v>
      </c>
      <c r="D254" s="7" t="n">
        <f aca="false">IF(((c_TMAP1IN)-(c_TFWD))=0,(0)+QUOTIENT(((c_TMAP1OUT)-(0)),2),QUOTIENT((((A254)-(c_TFWD))*((c_TMAP1OUT)-(0))+IF(((c_TMAP1OUT)-(0))&gt;=0,1,-1)*QUOTIENT(((c_TMAP1IN)-(c_TFWD)),2)),((c_TMAP1IN)-(c_TFWD)))+(0)+IF(((c_TMAP1OUT)-(0))&gt;=0,IF(IF(o_WRAP=1,MOD(((c_TMAP1IN)-(c_TFWD))*(((A254)-(c_TFWD))*((c_TMAP1OUT)-(0))+IF(((c_TMAP1OUT)-(0))&gt;=0,1,-1)*QUOTIENT(((c_TMAP1IN)-(c_TFWD)),2))+2147483648,4294967296)-2147483648,((c_TMAP1IN)-(c_TFWD))*(((A254)-(c_TFWD))*((c_TMAP1OUT)-(0))+IF(((c_TMAP1OUT)-(0))&gt;=0,1,-1)*QUOTIENT(((c_TMAP1IN)-(c_TFWD)),2)))&lt;0,-1,0),IF(IF(o_WRAP=1,MOD(((c_TMAP1IN)-(c_TFWD))*(((A254)-(c_TFWD))*((c_TMAP1OUT)-(0))+IF(((c_TMAP1OUT)-(0))&gt;=0,1,-1)*QUOTIENT(((c_TMAP1IN)-(c_TFWD)),2))+2147483648,4294967296)-2147483648,((c_TMAP1IN)-(c_TFWD))*(((A254)-(c_TFWD))*((c_TMAP1OUT)-(0))+IF(((c_TMAP1OUT)-(0))&gt;=0,1,-1)*QUOTIENT(((c_TMAP1IN)-(c_TFWD)),2)))&gt;=0,1,0)))</f>
        <v>186</v>
      </c>
      <c r="E254" s="7" t="n">
        <f aca="false">IF(((c_TMAP2IN)-(c_TMAP1IN))=0,(c_TMAP1OUT)+QUOTIENT(((c_TMAP2OUT)-(c_TMAP1OUT)),2),QUOTIENT((((A254)-(c_TMAP1IN))*((c_TMAP2OUT)-(c_TMAP1OUT))+IF(((c_TMAP2OUT)-(c_TMAP1OUT))&gt;=0,1,-1)*QUOTIENT(((c_TMAP2IN)-(c_TMAP1IN)),2)),((c_TMAP2IN)-(c_TMAP1IN)))+(c_TMAP1OUT)+IF(((c_TMAP2OUT)-(c_TMAP1OUT))&gt;=0,IF(IF(o_WRAP=1,MOD(((c_TMAP2IN)-(c_TMAP1IN))*(((A254)-(c_TMAP1IN))*((c_TMAP2OUT)-(c_TMAP1OUT))+IF(((c_TMAP2OUT)-(c_TMAP1OUT))&gt;=0,1,-1)*QUOTIENT(((c_TMAP2IN)-(c_TMAP1IN)),2))+2147483648,4294967296)-2147483648,((c_TMAP2IN)-(c_TMAP1IN))*(((A254)-(c_TMAP1IN))*((c_TMAP2OUT)-(c_TMAP1OUT))+IF(((c_TMAP2OUT)-(c_TMAP1OUT))&gt;=0,1,-1)*QUOTIENT(((c_TMAP2IN)-(c_TMAP1IN)),2)))&lt;0,-1,0),IF(IF(o_WRAP=1,MOD(((c_TMAP2IN)-(c_TMAP1IN))*(((A254)-(c_TMAP1IN))*((c_TMAP2OUT)-(c_TMAP1OUT))+IF(((c_TMAP2OUT)-(c_TMAP1OUT))&gt;=0,1,-1)*QUOTIENT(((c_TMAP2IN)-(c_TMAP1IN)),2))+2147483648,4294967296)-2147483648,((c_TMAP2IN)-(c_TMAP1IN))*(((A254)-(c_TMAP1IN))*((c_TMAP2OUT)-(c_TMAP1OUT))+IF(((c_TMAP2OUT)-(c_TMAP1OUT))&gt;=0,1,-1)*QUOTIENT(((c_TMAP2IN)-(c_TMAP1IN)),2)))&gt;=0,1,0)))</f>
        <v>130</v>
      </c>
      <c r="F254" s="7" t="n">
        <f aca="false">IF(((c_TMAP3IN)-(c_TMAP2IN))=0,(c_TMAP2OUT)+QUOTIENT(((c_TMAP3OUT)-(c_TMAP2OUT)),2),QUOTIENT((((A254)-(c_TMAP2IN))*((c_TMAP3OUT)-(c_TMAP2OUT))+IF(((c_TMAP3OUT)-(c_TMAP2OUT))&gt;=0,1,-1)*QUOTIENT(((c_TMAP3IN)-(c_TMAP2IN)),2)),((c_TMAP3IN)-(c_TMAP2IN)))+(c_TMAP2OUT)+IF(((c_TMAP3OUT)-(c_TMAP2OUT))&gt;=0,IF(IF(o_WRAP=1,MOD(((c_TMAP3IN)-(c_TMAP2IN))*(((A254)-(c_TMAP2IN))*((c_TMAP3OUT)-(c_TMAP2OUT))+IF(((c_TMAP3OUT)-(c_TMAP2OUT))&gt;=0,1,-1)*QUOTIENT(((c_TMAP3IN)-(c_TMAP2IN)),2))+2147483648,4294967296)-2147483648,((c_TMAP3IN)-(c_TMAP2IN))*(((A254)-(c_TMAP2IN))*((c_TMAP3OUT)-(c_TMAP2OUT))+IF(((c_TMAP3OUT)-(c_TMAP2OUT))&gt;=0,1,-1)*QUOTIENT(((c_TMAP3IN)-(c_TMAP2IN)),2)))&lt;0,-1,0),IF(IF(o_WRAP=1,MOD(((c_TMAP3IN)-(c_TMAP2IN))*(((A254)-(c_TMAP2IN))*((c_TMAP3OUT)-(c_TMAP2OUT))+IF(((c_TMAP3OUT)-(c_TMAP2OUT))&gt;=0,1,-1)*QUOTIENT(((c_TMAP3IN)-(c_TMAP2IN)),2))+2147483648,4294967296)-2147483648,((c_TMAP3IN)-(c_TMAP2IN))*(((A254)-(c_TMAP2IN))*((c_TMAP3OUT)-(c_TMAP2OUT))+IF(((c_TMAP3OUT)-(c_TMAP2OUT))&gt;=0,1,-1)*QUOTIENT(((c_TMAP3IN)-(c_TMAP2IN)),2)))&gt;=0,1,0)))</f>
        <v>129</v>
      </c>
      <c r="G254" s="7" t="n">
        <f aca="false">IF(((1000)-(c_TMAP3IN))=0,(c_TMAP3OUT)+QUOTIENT(((1000)-(c_TMAP3OUT)),2),QUOTIENT((((A254)-(c_TMAP3IN))*((1000)-(c_TMAP3OUT))+IF(((1000)-(c_TMAP3OUT))&gt;=0,1,-1)*QUOTIENT(((1000)-(c_TMAP3IN)),2)),((1000)-(c_TMAP3IN)))+(c_TMAP3OUT)+IF(((1000)-(c_TMAP3OUT))&gt;=0,IF(IF(o_WRAP=1,MOD(((1000)-(c_TMAP3IN))*(((A254)-(c_TMAP3IN))*((1000)-(c_TMAP3OUT))+IF(((1000)-(c_TMAP3OUT))&gt;=0,1,-1)*QUOTIENT(((1000)-(c_TMAP3IN)),2))+2147483648,4294967296)-2147483648,((1000)-(c_TMAP3IN))*(((A254)-(c_TMAP3IN))*((1000)-(c_TMAP3OUT))+IF(((1000)-(c_TMAP3OUT))&gt;=0,1,-1)*QUOTIENT(((1000)-(c_TMAP3IN)),2)))&lt;0,-1,0),IF(IF(o_WRAP=1,MOD(((1000)-(c_TMAP3IN))*(((A254)-(c_TMAP3IN))*((1000)-(c_TMAP3OUT))+IF(((1000)-(c_TMAP3OUT))&gt;=0,1,-1)*QUOTIENT(((1000)-(c_TMAP3IN)),2))+2147483648,4294967296)-2147483648,((1000)-(c_TMAP3IN))*(((A254)-(c_TMAP3IN))*((1000)-(c_TMAP3OUT))+IF(((1000)-(c_TMAP3OUT))&gt;=0,1,-1)*QUOTIENT(((1000)-(c_TMAP3IN)),2)))&gt;=0,1,0)))</f>
        <v>76</v>
      </c>
      <c r="H254" s="7" t="str">
        <f aca="false">IF(A254&gt;=c_TFWD,IF(AND(A254&gt;=c_TMAP3IN,c_TMAP3IN&lt;1000),"Seg4 map3-100%",IF(AND(A254&gt;=c_TMAP2IN,c_TMAP3IN&gt;c_TMAP2IN),"Seg3 map2-map3",IF(AND(A254&gt;=c_TMAP1IN,c_TMAP2IN&gt;c_TMAP1IN),"Seg2 map1-map2","Seg1 TFWD-map1"))),IF(AND(A254=0,c_TCREEP&gt;0),"Creep",IF(AND(A254&lt;=c_TRNGMIN,A254&gt;=c_TRNGMAX,c_TRNGMIN-c_TRNGMAX&lt;&gt;0),"Regen ramp","Coast (0)")))</f>
        <v>Seg2 map1-map2</v>
      </c>
      <c r="I254" s="7" t="n">
        <f aca="false">IF(A254&gt;=c_TFWD,IF(AND(A254&gt;=c_TMAP3IN,c_TMAP3IN&lt;1000),G254,IF(AND(A254&gt;=c_TMAP2IN,c_TMAP3IN&gt;c_TMAP2IN),F254,IF(AND(A254&gt;=c_TMAP1IN,c_TMAP2IN&gt;c_TMAP1IN),E254,D254))),C254)</f>
        <v>130</v>
      </c>
      <c r="J254" s="7" t="str">
        <f aca="false">IF(I254&lt;-1090,"TOO LOW",IF(I254&gt;1090,"TOO HIGH",""))</f>
        <v/>
      </c>
      <c r="K254" s="15" t="n">
        <f aca="false">IF(J254&lt;&gt;"",0,IF(I254&gt;979,1000,I254))</f>
        <v>130</v>
      </c>
      <c r="L254" s="7" t="n">
        <f aca="false">K254/10</f>
        <v>13</v>
      </c>
    </row>
    <row r="255" customFormat="false" ht="15" hidden="false" customHeight="false" outlineLevel="0" collapsed="false">
      <c r="A255" s="7" t="n">
        <v>250</v>
      </c>
      <c r="B255" s="7" t="n">
        <f aca="false">A255/10</f>
        <v>25</v>
      </c>
      <c r="C255" s="7" t="n">
        <f aca="false">IF(AND(A255=0,c_TCREEP&gt;0),10*c_TCREEP,IF(AND(A255&lt;=c_TRNGMIN,A255&gt;=c_TRNGMAX,c_TRNGMIN-c_TRNGMAX&lt;&gt;0),-10*c_TMINRN+QUOTIENT((c_TMAXRN-c_TMINRN)*(100-QUOTIENT((A255-c_TRNGMAX)*100,c_TRNGMIN-c_TRNGMAX)),-10),0))</f>
        <v>0</v>
      </c>
      <c r="D255" s="7" t="n">
        <f aca="false">IF(((c_TMAP1IN)-(c_TFWD))=0,(0)+QUOTIENT(((c_TMAP1OUT)-(0)),2),QUOTIENT((((A255)-(c_TFWD))*((c_TMAP1OUT)-(0))+IF(((c_TMAP1OUT)-(0))&gt;=0,1,-1)*QUOTIENT(((c_TMAP1IN)-(c_TFWD)),2)),((c_TMAP1IN)-(c_TFWD)))+(0)+IF(((c_TMAP1OUT)-(0))&gt;=0,IF(IF(o_WRAP=1,MOD(((c_TMAP1IN)-(c_TFWD))*(((A255)-(c_TFWD))*((c_TMAP1OUT)-(0))+IF(((c_TMAP1OUT)-(0))&gt;=0,1,-1)*QUOTIENT(((c_TMAP1IN)-(c_TFWD)),2))+2147483648,4294967296)-2147483648,((c_TMAP1IN)-(c_TFWD))*(((A255)-(c_TFWD))*((c_TMAP1OUT)-(0))+IF(((c_TMAP1OUT)-(0))&gt;=0,1,-1)*QUOTIENT(((c_TMAP1IN)-(c_TFWD)),2)))&lt;0,-1,0),IF(IF(o_WRAP=1,MOD(((c_TMAP1IN)-(c_TFWD))*(((A255)-(c_TFWD))*((c_TMAP1OUT)-(0))+IF(((c_TMAP1OUT)-(0))&gt;=0,1,-1)*QUOTIENT(((c_TMAP1IN)-(c_TFWD)),2))+2147483648,4294967296)-2147483648,((c_TMAP1IN)-(c_TFWD))*(((A255)-(c_TFWD))*((c_TMAP1OUT)-(0))+IF(((c_TMAP1OUT)-(0))&gt;=0,1,-1)*QUOTIENT(((c_TMAP1IN)-(c_TFWD)),2)))&gt;=0,1,0)))</f>
        <v>187</v>
      </c>
      <c r="E255" s="7" t="n">
        <f aca="false">IF(((c_TMAP2IN)-(c_TMAP1IN))=0,(c_TMAP1OUT)+QUOTIENT(((c_TMAP2OUT)-(c_TMAP1OUT)),2),QUOTIENT((((A255)-(c_TMAP1IN))*((c_TMAP2OUT)-(c_TMAP1OUT))+IF(((c_TMAP2OUT)-(c_TMAP1OUT))&gt;=0,1,-1)*QUOTIENT(((c_TMAP2IN)-(c_TMAP1IN)),2)),((c_TMAP2IN)-(c_TMAP1IN)))+(c_TMAP1OUT)+IF(((c_TMAP2OUT)-(c_TMAP1OUT))&gt;=0,IF(IF(o_WRAP=1,MOD(((c_TMAP2IN)-(c_TMAP1IN))*(((A255)-(c_TMAP1IN))*((c_TMAP2OUT)-(c_TMAP1OUT))+IF(((c_TMAP2OUT)-(c_TMAP1OUT))&gt;=0,1,-1)*QUOTIENT(((c_TMAP2IN)-(c_TMAP1IN)),2))+2147483648,4294967296)-2147483648,((c_TMAP2IN)-(c_TMAP1IN))*(((A255)-(c_TMAP1IN))*((c_TMAP2OUT)-(c_TMAP1OUT))+IF(((c_TMAP2OUT)-(c_TMAP1OUT))&gt;=0,1,-1)*QUOTIENT(((c_TMAP2IN)-(c_TMAP1IN)),2)))&lt;0,-1,0),IF(IF(o_WRAP=1,MOD(((c_TMAP2IN)-(c_TMAP1IN))*(((A255)-(c_TMAP1IN))*((c_TMAP2OUT)-(c_TMAP1OUT))+IF(((c_TMAP2OUT)-(c_TMAP1OUT))&gt;=0,1,-1)*QUOTIENT(((c_TMAP2IN)-(c_TMAP1IN)),2))+2147483648,4294967296)-2147483648,((c_TMAP2IN)-(c_TMAP1IN))*(((A255)-(c_TMAP1IN))*((c_TMAP2OUT)-(c_TMAP1OUT))+IF(((c_TMAP2OUT)-(c_TMAP1OUT))&gt;=0,1,-1)*QUOTIENT(((c_TMAP2IN)-(c_TMAP1IN)),2)))&gt;=0,1,0)))</f>
        <v>130</v>
      </c>
      <c r="F255" s="7" t="n">
        <f aca="false">IF(((c_TMAP3IN)-(c_TMAP2IN))=0,(c_TMAP2OUT)+QUOTIENT(((c_TMAP3OUT)-(c_TMAP2OUT)),2),QUOTIENT((((A255)-(c_TMAP2IN))*((c_TMAP3OUT)-(c_TMAP2OUT))+IF(((c_TMAP3OUT)-(c_TMAP2OUT))&gt;=0,1,-1)*QUOTIENT(((c_TMAP3IN)-(c_TMAP2IN)),2)),((c_TMAP3IN)-(c_TMAP2IN)))+(c_TMAP2OUT)+IF(((c_TMAP3OUT)-(c_TMAP2OUT))&gt;=0,IF(IF(o_WRAP=1,MOD(((c_TMAP3IN)-(c_TMAP2IN))*(((A255)-(c_TMAP2IN))*((c_TMAP3OUT)-(c_TMAP2OUT))+IF(((c_TMAP3OUT)-(c_TMAP2OUT))&gt;=0,1,-1)*QUOTIENT(((c_TMAP3IN)-(c_TMAP2IN)),2))+2147483648,4294967296)-2147483648,((c_TMAP3IN)-(c_TMAP2IN))*(((A255)-(c_TMAP2IN))*((c_TMAP3OUT)-(c_TMAP2OUT))+IF(((c_TMAP3OUT)-(c_TMAP2OUT))&gt;=0,1,-1)*QUOTIENT(((c_TMAP3IN)-(c_TMAP2IN)),2)))&lt;0,-1,0),IF(IF(o_WRAP=1,MOD(((c_TMAP3IN)-(c_TMAP2IN))*(((A255)-(c_TMAP2IN))*((c_TMAP3OUT)-(c_TMAP2OUT))+IF(((c_TMAP3OUT)-(c_TMAP2OUT))&gt;=0,1,-1)*QUOTIENT(((c_TMAP3IN)-(c_TMAP2IN)),2))+2147483648,4294967296)-2147483648,((c_TMAP3IN)-(c_TMAP2IN))*(((A255)-(c_TMAP2IN))*((c_TMAP3OUT)-(c_TMAP2OUT))+IF(((c_TMAP3OUT)-(c_TMAP2OUT))&gt;=0,1,-1)*QUOTIENT(((c_TMAP3IN)-(c_TMAP2IN)),2)))&gt;=0,1,0)))</f>
        <v>130</v>
      </c>
      <c r="G255" s="7" t="n">
        <f aca="false">IF(((1000)-(c_TMAP3IN))=0,(c_TMAP3OUT)+QUOTIENT(((1000)-(c_TMAP3OUT)),2),QUOTIENT((((A255)-(c_TMAP3IN))*((1000)-(c_TMAP3OUT))+IF(((1000)-(c_TMAP3OUT))&gt;=0,1,-1)*QUOTIENT(((1000)-(c_TMAP3IN)),2)),((1000)-(c_TMAP3IN)))+(c_TMAP3OUT)+IF(((1000)-(c_TMAP3OUT))&gt;=0,IF(IF(o_WRAP=1,MOD(((1000)-(c_TMAP3IN))*(((A255)-(c_TMAP3IN))*((1000)-(c_TMAP3OUT))+IF(((1000)-(c_TMAP3OUT))&gt;=0,1,-1)*QUOTIENT(((1000)-(c_TMAP3IN)),2))+2147483648,4294967296)-2147483648,((1000)-(c_TMAP3IN))*(((A255)-(c_TMAP3IN))*((1000)-(c_TMAP3OUT))+IF(((1000)-(c_TMAP3OUT))&gt;=0,1,-1)*QUOTIENT(((1000)-(c_TMAP3IN)),2)))&lt;0,-1,0),IF(IF(o_WRAP=1,MOD(((1000)-(c_TMAP3IN))*(((A255)-(c_TMAP3IN))*((1000)-(c_TMAP3OUT))+IF(((1000)-(c_TMAP3OUT))&gt;=0,1,-1)*QUOTIENT(((1000)-(c_TMAP3IN)),2))+2147483648,4294967296)-2147483648,((1000)-(c_TMAP3IN))*(((A255)-(c_TMAP3IN))*((1000)-(c_TMAP3OUT))+IF(((1000)-(c_TMAP3OUT))&gt;=0,1,-1)*QUOTIENT(((1000)-(c_TMAP3IN)),2)))&gt;=0,1,0)))</f>
        <v>77</v>
      </c>
      <c r="H255" s="7" t="str">
        <f aca="false">IF(A255&gt;=c_TFWD,IF(AND(A255&gt;=c_TMAP3IN,c_TMAP3IN&lt;1000),"Seg4 map3-100%",IF(AND(A255&gt;=c_TMAP2IN,c_TMAP3IN&gt;c_TMAP2IN),"Seg3 map2-map3",IF(AND(A255&gt;=c_TMAP1IN,c_TMAP2IN&gt;c_TMAP1IN),"Seg2 map1-map2","Seg1 TFWD-map1"))),IF(AND(A255=0,c_TCREEP&gt;0),"Creep",IF(AND(A255&lt;=c_TRNGMIN,A255&gt;=c_TRNGMAX,c_TRNGMIN-c_TRNGMAX&lt;&gt;0),"Regen ramp","Coast (0)")))</f>
        <v>Seg3 map2-map3</v>
      </c>
      <c r="I255" s="7" t="n">
        <f aca="false">IF(A255&gt;=c_TFWD,IF(AND(A255&gt;=c_TMAP3IN,c_TMAP3IN&lt;1000),G255,IF(AND(A255&gt;=c_TMAP2IN,c_TMAP3IN&gt;c_TMAP2IN),F255,IF(AND(A255&gt;=c_TMAP1IN,c_TMAP2IN&gt;c_TMAP1IN),E255,D255))),C255)</f>
        <v>130</v>
      </c>
      <c r="J255" s="7" t="str">
        <f aca="false">IF(I255&lt;-1090,"TOO LOW",IF(I255&gt;1090,"TOO HIGH",""))</f>
        <v/>
      </c>
      <c r="K255" s="15" t="n">
        <f aca="false">IF(J255&lt;&gt;"",0,IF(I255&gt;979,1000,I255))</f>
        <v>130</v>
      </c>
      <c r="L255" s="7" t="n">
        <f aca="false">K255/10</f>
        <v>13</v>
      </c>
    </row>
    <row r="256" customFormat="false" ht="15" hidden="false" customHeight="false" outlineLevel="0" collapsed="false">
      <c r="A256" s="7" t="n">
        <v>251</v>
      </c>
      <c r="B256" s="7" t="n">
        <f aca="false">A256/10</f>
        <v>25.1</v>
      </c>
      <c r="C256" s="7" t="n">
        <f aca="false">IF(AND(A256=0,c_TCREEP&gt;0),10*c_TCREEP,IF(AND(A256&lt;=c_TRNGMIN,A256&gt;=c_TRNGMAX,c_TRNGMIN-c_TRNGMAX&lt;&gt;0),-10*c_TMINRN+QUOTIENT((c_TMAXRN-c_TMINRN)*(100-QUOTIENT((A256-c_TRNGMAX)*100,c_TRNGMIN-c_TRNGMAX)),-10),0))</f>
        <v>0</v>
      </c>
      <c r="D256" s="7" t="n">
        <f aca="false">IF(((c_TMAP1IN)-(c_TFWD))=0,(0)+QUOTIENT(((c_TMAP1OUT)-(0)),2),QUOTIENT((((A256)-(c_TFWD))*((c_TMAP1OUT)-(0))+IF(((c_TMAP1OUT)-(0))&gt;=0,1,-1)*QUOTIENT(((c_TMAP1IN)-(c_TFWD)),2)),((c_TMAP1IN)-(c_TFWD)))+(0)+IF(((c_TMAP1OUT)-(0))&gt;=0,IF(IF(o_WRAP=1,MOD(((c_TMAP1IN)-(c_TFWD))*(((A256)-(c_TFWD))*((c_TMAP1OUT)-(0))+IF(((c_TMAP1OUT)-(0))&gt;=0,1,-1)*QUOTIENT(((c_TMAP1IN)-(c_TFWD)),2))+2147483648,4294967296)-2147483648,((c_TMAP1IN)-(c_TFWD))*(((A256)-(c_TFWD))*((c_TMAP1OUT)-(0))+IF(((c_TMAP1OUT)-(0))&gt;=0,1,-1)*QUOTIENT(((c_TMAP1IN)-(c_TFWD)),2)))&lt;0,-1,0),IF(IF(o_WRAP=1,MOD(((c_TMAP1IN)-(c_TFWD))*(((A256)-(c_TFWD))*((c_TMAP1OUT)-(0))+IF(((c_TMAP1OUT)-(0))&gt;=0,1,-1)*QUOTIENT(((c_TMAP1IN)-(c_TFWD)),2))+2147483648,4294967296)-2147483648,((c_TMAP1IN)-(c_TFWD))*(((A256)-(c_TFWD))*((c_TMAP1OUT)-(0))+IF(((c_TMAP1OUT)-(0))&gt;=0,1,-1)*QUOTIENT(((c_TMAP1IN)-(c_TFWD)),2)))&gt;=0,1,0)))</f>
        <v>187</v>
      </c>
      <c r="E256" s="7" t="n">
        <f aca="false">IF(((c_TMAP2IN)-(c_TMAP1IN))=0,(c_TMAP1OUT)+QUOTIENT(((c_TMAP2OUT)-(c_TMAP1OUT)),2),QUOTIENT((((A256)-(c_TMAP1IN))*((c_TMAP2OUT)-(c_TMAP1OUT))+IF(((c_TMAP2OUT)-(c_TMAP1OUT))&gt;=0,1,-1)*QUOTIENT(((c_TMAP2IN)-(c_TMAP1IN)),2)),((c_TMAP2IN)-(c_TMAP1IN)))+(c_TMAP1OUT)+IF(((c_TMAP2OUT)-(c_TMAP1OUT))&gt;=0,IF(IF(o_WRAP=1,MOD(((c_TMAP2IN)-(c_TMAP1IN))*(((A256)-(c_TMAP1IN))*((c_TMAP2OUT)-(c_TMAP1OUT))+IF(((c_TMAP2OUT)-(c_TMAP1OUT))&gt;=0,1,-1)*QUOTIENT(((c_TMAP2IN)-(c_TMAP1IN)),2))+2147483648,4294967296)-2147483648,((c_TMAP2IN)-(c_TMAP1IN))*(((A256)-(c_TMAP1IN))*((c_TMAP2OUT)-(c_TMAP1OUT))+IF(((c_TMAP2OUT)-(c_TMAP1OUT))&gt;=0,1,-1)*QUOTIENT(((c_TMAP2IN)-(c_TMAP1IN)),2)))&lt;0,-1,0),IF(IF(o_WRAP=1,MOD(((c_TMAP2IN)-(c_TMAP1IN))*(((A256)-(c_TMAP1IN))*((c_TMAP2OUT)-(c_TMAP1OUT))+IF(((c_TMAP2OUT)-(c_TMAP1OUT))&gt;=0,1,-1)*QUOTIENT(((c_TMAP2IN)-(c_TMAP1IN)),2))+2147483648,4294967296)-2147483648,((c_TMAP2IN)-(c_TMAP1IN))*(((A256)-(c_TMAP1IN))*((c_TMAP2OUT)-(c_TMAP1OUT))+IF(((c_TMAP2OUT)-(c_TMAP1OUT))&gt;=0,1,-1)*QUOTIENT(((c_TMAP2IN)-(c_TMAP1IN)),2)))&gt;=0,1,0)))</f>
        <v>130</v>
      </c>
      <c r="F256" s="7" t="n">
        <f aca="false">IF(((c_TMAP3IN)-(c_TMAP2IN))=0,(c_TMAP2OUT)+QUOTIENT(((c_TMAP3OUT)-(c_TMAP2OUT)),2),QUOTIENT((((A256)-(c_TMAP2IN))*((c_TMAP3OUT)-(c_TMAP2OUT))+IF(((c_TMAP3OUT)-(c_TMAP2OUT))&gt;=0,1,-1)*QUOTIENT(((c_TMAP3IN)-(c_TMAP2IN)),2)),((c_TMAP3IN)-(c_TMAP2IN)))+(c_TMAP2OUT)+IF(((c_TMAP3OUT)-(c_TMAP2OUT))&gt;=0,IF(IF(o_WRAP=1,MOD(((c_TMAP3IN)-(c_TMAP2IN))*(((A256)-(c_TMAP2IN))*((c_TMAP3OUT)-(c_TMAP2OUT))+IF(((c_TMAP3OUT)-(c_TMAP2OUT))&gt;=0,1,-1)*QUOTIENT(((c_TMAP3IN)-(c_TMAP2IN)),2))+2147483648,4294967296)-2147483648,((c_TMAP3IN)-(c_TMAP2IN))*(((A256)-(c_TMAP2IN))*((c_TMAP3OUT)-(c_TMAP2OUT))+IF(((c_TMAP3OUT)-(c_TMAP2OUT))&gt;=0,1,-1)*QUOTIENT(((c_TMAP3IN)-(c_TMAP2IN)),2)))&lt;0,-1,0),IF(IF(o_WRAP=1,MOD(((c_TMAP3IN)-(c_TMAP2IN))*(((A256)-(c_TMAP2IN))*((c_TMAP3OUT)-(c_TMAP2OUT))+IF(((c_TMAP3OUT)-(c_TMAP2OUT))&gt;=0,1,-1)*QUOTIENT(((c_TMAP3IN)-(c_TMAP2IN)),2))+2147483648,4294967296)-2147483648,((c_TMAP3IN)-(c_TMAP2IN))*(((A256)-(c_TMAP2IN))*((c_TMAP3OUT)-(c_TMAP2OUT))+IF(((c_TMAP3OUT)-(c_TMAP2OUT))&gt;=0,1,-1)*QUOTIENT(((c_TMAP3IN)-(c_TMAP2IN)),2)))&gt;=0,1,0)))</f>
        <v>131</v>
      </c>
      <c r="G256" s="7" t="n">
        <f aca="false">IF(((1000)-(c_TMAP3IN))=0,(c_TMAP3OUT)+QUOTIENT(((1000)-(c_TMAP3OUT)),2),QUOTIENT((((A256)-(c_TMAP3IN))*((1000)-(c_TMAP3OUT))+IF(((1000)-(c_TMAP3OUT))&gt;=0,1,-1)*QUOTIENT(((1000)-(c_TMAP3IN)),2)),((1000)-(c_TMAP3IN)))+(c_TMAP3OUT)+IF(((1000)-(c_TMAP3OUT))&gt;=0,IF(IF(o_WRAP=1,MOD(((1000)-(c_TMAP3IN))*(((A256)-(c_TMAP3IN))*((1000)-(c_TMAP3OUT))+IF(((1000)-(c_TMAP3OUT))&gt;=0,1,-1)*QUOTIENT(((1000)-(c_TMAP3IN)),2))+2147483648,4294967296)-2147483648,((1000)-(c_TMAP3IN))*(((A256)-(c_TMAP3IN))*((1000)-(c_TMAP3OUT))+IF(((1000)-(c_TMAP3OUT))&gt;=0,1,-1)*QUOTIENT(((1000)-(c_TMAP3IN)),2)))&lt;0,-1,0),IF(IF(o_WRAP=1,MOD(((1000)-(c_TMAP3IN))*(((A256)-(c_TMAP3IN))*((1000)-(c_TMAP3OUT))+IF(((1000)-(c_TMAP3OUT))&gt;=0,1,-1)*QUOTIENT(((1000)-(c_TMAP3IN)),2))+2147483648,4294967296)-2147483648,((1000)-(c_TMAP3IN))*(((A256)-(c_TMAP3IN))*((1000)-(c_TMAP3OUT))+IF(((1000)-(c_TMAP3OUT))&gt;=0,1,-1)*QUOTIENT(((1000)-(c_TMAP3IN)),2)))&gt;=0,1,0)))</f>
        <v>78</v>
      </c>
      <c r="H256" s="7" t="str">
        <f aca="false">IF(A256&gt;=c_TFWD,IF(AND(A256&gt;=c_TMAP3IN,c_TMAP3IN&lt;1000),"Seg4 map3-100%",IF(AND(A256&gt;=c_TMAP2IN,c_TMAP3IN&gt;c_TMAP2IN),"Seg3 map2-map3",IF(AND(A256&gt;=c_TMAP1IN,c_TMAP2IN&gt;c_TMAP1IN),"Seg2 map1-map2","Seg1 TFWD-map1"))),IF(AND(A256=0,c_TCREEP&gt;0),"Creep",IF(AND(A256&lt;=c_TRNGMIN,A256&gt;=c_TRNGMAX,c_TRNGMIN-c_TRNGMAX&lt;&gt;0),"Regen ramp","Coast (0)")))</f>
        <v>Seg3 map2-map3</v>
      </c>
      <c r="I256" s="7" t="n">
        <f aca="false">IF(A256&gt;=c_TFWD,IF(AND(A256&gt;=c_TMAP3IN,c_TMAP3IN&lt;1000),G256,IF(AND(A256&gt;=c_TMAP2IN,c_TMAP3IN&gt;c_TMAP2IN),F256,IF(AND(A256&gt;=c_TMAP1IN,c_TMAP2IN&gt;c_TMAP1IN),E256,D256))),C256)</f>
        <v>131</v>
      </c>
      <c r="J256" s="7" t="str">
        <f aca="false">IF(I256&lt;-1090,"TOO LOW",IF(I256&gt;1090,"TOO HIGH",""))</f>
        <v/>
      </c>
      <c r="K256" s="15" t="n">
        <f aca="false">IF(J256&lt;&gt;"",0,IF(I256&gt;979,1000,I256))</f>
        <v>131</v>
      </c>
      <c r="L256" s="7" t="n">
        <f aca="false">K256/10</f>
        <v>13.1</v>
      </c>
    </row>
    <row r="257" customFormat="false" ht="15" hidden="false" customHeight="false" outlineLevel="0" collapsed="false">
      <c r="A257" s="7" t="n">
        <v>252</v>
      </c>
      <c r="B257" s="7" t="n">
        <f aca="false">A257/10</f>
        <v>25.2</v>
      </c>
      <c r="C257" s="7" t="n">
        <f aca="false">IF(AND(A257=0,c_TCREEP&gt;0),10*c_TCREEP,IF(AND(A257&lt;=c_TRNGMIN,A257&gt;=c_TRNGMAX,c_TRNGMIN-c_TRNGMAX&lt;&gt;0),-10*c_TMINRN+QUOTIENT((c_TMAXRN-c_TMINRN)*(100-QUOTIENT((A257-c_TRNGMAX)*100,c_TRNGMIN-c_TRNGMAX)),-10),0))</f>
        <v>0</v>
      </c>
      <c r="D257" s="7" t="n">
        <f aca="false">IF(((c_TMAP1IN)-(c_TFWD))=0,(0)+QUOTIENT(((c_TMAP1OUT)-(0)),2),QUOTIENT((((A257)-(c_TFWD))*((c_TMAP1OUT)-(0))+IF(((c_TMAP1OUT)-(0))&gt;=0,1,-1)*QUOTIENT(((c_TMAP1IN)-(c_TFWD)),2)),((c_TMAP1IN)-(c_TFWD)))+(0)+IF(((c_TMAP1OUT)-(0))&gt;=0,IF(IF(o_WRAP=1,MOD(((c_TMAP1IN)-(c_TFWD))*(((A257)-(c_TFWD))*((c_TMAP1OUT)-(0))+IF(((c_TMAP1OUT)-(0))&gt;=0,1,-1)*QUOTIENT(((c_TMAP1IN)-(c_TFWD)),2))+2147483648,4294967296)-2147483648,((c_TMAP1IN)-(c_TFWD))*(((A257)-(c_TFWD))*((c_TMAP1OUT)-(0))+IF(((c_TMAP1OUT)-(0))&gt;=0,1,-1)*QUOTIENT(((c_TMAP1IN)-(c_TFWD)),2)))&lt;0,-1,0),IF(IF(o_WRAP=1,MOD(((c_TMAP1IN)-(c_TFWD))*(((A257)-(c_TFWD))*((c_TMAP1OUT)-(0))+IF(((c_TMAP1OUT)-(0))&gt;=0,1,-1)*QUOTIENT(((c_TMAP1IN)-(c_TFWD)),2))+2147483648,4294967296)-2147483648,((c_TMAP1IN)-(c_TFWD))*(((A257)-(c_TFWD))*((c_TMAP1OUT)-(0))+IF(((c_TMAP1OUT)-(0))&gt;=0,1,-1)*QUOTIENT(((c_TMAP1IN)-(c_TFWD)),2)))&gt;=0,1,0)))</f>
        <v>188</v>
      </c>
      <c r="E257" s="7" t="n">
        <f aca="false">IF(((c_TMAP2IN)-(c_TMAP1IN))=0,(c_TMAP1OUT)+QUOTIENT(((c_TMAP2OUT)-(c_TMAP1OUT)),2),QUOTIENT((((A257)-(c_TMAP1IN))*((c_TMAP2OUT)-(c_TMAP1OUT))+IF(((c_TMAP2OUT)-(c_TMAP1OUT))&gt;=0,1,-1)*QUOTIENT(((c_TMAP2IN)-(c_TMAP1IN)),2)),((c_TMAP2IN)-(c_TMAP1IN)))+(c_TMAP1OUT)+IF(((c_TMAP2OUT)-(c_TMAP1OUT))&gt;=0,IF(IF(o_WRAP=1,MOD(((c_TMAP2IN)-(c_TMAP1IN))*(((A257)-(c_TMAP1IN))*((c_TMAP2OUT)-(c_TMAP1OUT))+IF(((c_TMAP2OUT)-(c_TMAP1OUT))&gt;=0,1,-1)*QUOTIENT(((c_TMAP2IN)-(c_TMAP1IN)),2))+2147483648,4294967296)-2147483648,((c_TMAP2IN)-(c_TMAP1IN))*(((A257)-(c_TMAP1IN))*((c_TMAP2OUT)-(c_TMAP1OUT))+IF(((c_TMAP2OUT)-(c_TMAP1OUT))&gt;=0,1,-1)*QUOTIENT(((c_TMAP2IN)-(c_TMAP1IN)),2)))&lt;0,-1,0),IF(IF(o_WRAP=1,MOD(((c_TMAP2IN)-(c_TMAP1IN))*(((A257)-(c_TMAP1IN))*((c_TMAP2OUT)-(c_TMAP1OUT))+IF(((c_TMAP2OUT)-(c_TMAP1OUT))&gt;=0,1,-1)*QUOTIENT(((c_TMAP2IN)-(c_TMAP1IN)),2))+2147483648,4294967296)-2147483648,((c_TMAP2IN)-(c_TMAP1IN))*(((A257)-(c_TMAP1IN))*((c_TMAP2OUT)-(c_TMAP1OUT))+IF(((c_TMAP2OUT)-(c_TMAP1OUT))&gt;=0,1,-1)*QUOTIENT(((c_TMAP2IN)-(c_TMAP1IN)),2)))&gt;=0,1,0)))</f>
        <v>131</v>
      </c>
      <c r="F257" s="7" t="n">
        <f aca="false">IF(((c_TMAP3IN)-(c_TMAP2IN))=0,(c_TMAP2OUT)+QUOTIENT(((c_TMAP3OUT)-(c_TMAP2OUT)),2),QUOTIENT((((A257)-(c_TMAP2IN))*((c_TMAP3OUT)-(c_TMAP2OUT))+IF(((c_TMAP3OUT)-(c_TMAP2OUT))&gt;=0,1,-1)*QUOTIENT(((c_TMAP3IN)-(c_TMAP2IN)),2)),((c_TMAP3IN)-(c_TMAP2IN)))+(c_TMAP2OUT)+IF(((c_TMAP3OUT)-(c_TMAP2OUT))&gt;=0,IF(IF(o_WRAP=1,MOD(((c_TMAP3IN)-(c_TMAP2IN))*(((A257)-(c_TMAP2IN))*((c_TMAP3OUT)-(c_TMAP2OUT))+IF(((c_TMAP3OUT)-(c_TMAP2OUT))&gt;=0,1,-1)*QUOTIENT(((c_TMAP3IN)-(c_TMAP2IN)),2))+2147483648,4294967296)-2147483648,((c_TMAP3IN)-(c_TMAP2IN))*(((A257)-(c_TMAP2IN))*((c_TMAP3OUT)-(c_TMAP2OUT))+IF(((c_TMAP3OUT)-(c_TMAP2OUT))&gt;=0,1,-1)*QUOTIENT(((c_TMAP3IN)-(c_TMAP2IN)),2)))&lt;0,-1,0),IF(IF(o_WRAP=1,MOD(((c_TMAP3IN)-(c_TMAP2IN))*(((A257)-(c_TMAP2IN))*((c_TMAP3OUT)-(c_TMAP2OUT))+IF(((c_TMAP3OUT)-(c_TMAP2OUT))&gt;=0,1,-1)*QUOTIENT(((c_TMAP3IN)-(c_TMAP2IN)),2))+2147483648,4294967296)-2147483648,((c_TMAP3IN)-(c_TMAP2IN))*(((A257)-(c_TMAP2IN))*((c_TMAP3OUT)-(c_TMAP2OUT))+IF(((c_TMAP3OUT)-(c_TMAP2OUT))&gt;=0,1,-1)*QUOTIENT(((c_TMAP3IN)-(c_TMAP2IN)),2)))&gt;=0,1,0)))</f>
        <v>131</v>
      </c>
      <c r="G257" s="7" t="n">
        <f aca="false">IF(((1000)-(c_TMAP3IN))=0,(c_TMAP3OUT)+QUOTIENT(((1000)-(c_TMAP3OUT)),2),QUOTIENT((((A257)-(c_TMAP3IN))*((1000)-(c_TMAP3OUT))+IF(((1000)-(c_TMAP3OUT))&gt;=0,1,-1)*QUOTIENT(((1000)-(c_TMAP3IN)),2)),((1000)-(c_TMAP3IN)))+(c_TMAP3OUT)+IF(((1000)-(c_TMAP3OUT))&gt;=0,IF(IF(o_WRAP=1,MOD(((1000)-(c_TMAP3IN))*(((A257)-(c_TMAP3IN))*((1000)-(c_TMAP3OUT))+IF(((1000)-(c_TMAP3OUT))&gt;=0,1,-1)*QUOTIENT(((1000)-(c_TMAP3IN)),2))+2147483648,4294967296)-2147483648,((1000)-(c_TMAP3IN))*(((A257)-(c_TMAP3IN))*((1000)-(c_TMAP3OUT))+IF(((1000)-(c_TMAP3OUT))&gt;=0,1,-1)*QUOTIENT(((1000)-(c_TMAP3IN)),2)))&lt;0,-1,0),IF(IF(o_WRAP=1,MOD(((1000)-(c_TMAP3IN))*(((A257)-(c_TMAP3IN))*((1000)-(c_TMAP3OUT))+IF(((1000)-(c_TMAP3OUT))&gt;=0,1,-1)*QUOTIENT(((1000)-(c_TMAP3IN)),2))+2147483648,4294967296)-2147483648,((1000)-(c_TMAP3IN))*(((A257)-(c_TMAP3IN))*((1000)-(c_TMAP3OUT))+IF(((1000)-(c_TMAP3OUT))&gt;=0,1,-1)*QUOTIENT(((1000)-(c_TMAP3IN)),2)))&gt;=0,1,0)))</f>
        <v>79</v>
      </c>
      <c r="H257" s="7" t="str">
        <f aca="false">IF(A257&gt;=c_TFWD,IF(AND(A257&gt;=c_TMAP3IN,c_TMAP3IN&lt;1000),"Seg4 map3-100%",IF(AND(A257&gt;=c_TMAP2IN,c_TMAP3IN&gt;c_TMAP2IN),"Seg3 map2-map3",IF(AND(A257&gt;=c_TMAP1IN,c_TMAP2IN&gt;c_TMAP1IN),"Seg2 map1-map2","Seg1 TFWD-map1"))),IF(AND(A257=0,c_TCREEP&gt;0),"Creep",IF(AND(A257&lt;=c_TRNGMIN,A257&gt;=c_TRNGMAX,c_TRNGMIN-c_TRNGMAX&lt;&gt;0),"Regen ramp","Coast (0)")))</f>
        <v>Seg3 map2-map3</v>
      </c>
      <c r="I257" s="7" t="n">
        <f aca="false">IF(A257&gt;=c_TFWD,IF(AND(A257&gt;=c_TMAP3IN,c_TMAP3IN&lt;1000),G257,IF(AND(A257&gt;=c_TMAP2IN,c_TMAP3IN&gt;c_TMAP2IN),F257,IF(AND(A257&gt;=c_TMAP1IN,c_TMAP2IN&gt;c_TMAP1IN),E257,D257))),C257)</f>
        <v>131</v>
      </c>
      <c r="J257" s="7" t="str">
        <f aca="false">IF(I257&lt;-1090,"TOO LOW",IF(I257&gt;1090,"TOO HIGH",""))</f>
        <v/>
      </c>
      <c r="K257" s="15" t="n">
        <f aca="false">IF(J257&lt;&gt;"",0,IF(I257&gt;979,1000,I257))</f>
        <v>131</v>
      </c>
      <c r="L257" s="7" t="n">
        <f aca="false">K257/10</f>
        <v>13.1</v>
      </c>
    </row>
    <row r="258" customFormat="false" ht="15" hidden="false" customHeight="false" outlineLevel="0" collapsed="false">
      <c r="A258" s="7" t="n">
        <v>253</v>
      </c>
      <c r="B258" s="7" t="n">
        <f aca="false">A258/10</f>
        <v>25.3</v>
      </c>
      <c r="C258" s="7" t="n">
        <f aca="false">IF(AND(A258=0,c_TCREEP&gt;0),10*c_TCREEP,IF(AND(A258&lt;=c_TRNGMIN,A258&gt;=c_TRNGMAX,c_TRNGMIN-c_TRNGMAX&lt;&gt;0),-10*c_TMINRN+QUOTIENT((c_TMAXRN-c_TMINRN)*(100-QUOTIENT((A258-c_TRNGMAX)*100,c_TRNGMIN-c_TRNGMAX)),-10),0))</f>
        <v>0</v>
      </c>
      <c r="D258" s="7" t="n">
        <f aca="false">IF(((c_TMAP1IN)-(c_TFWD))=0,(0)+QUOTIENT(((c_TMAP1OUT)-(0)),2),QUOTIENT((((A258)-(c_TFWD))*((c_TMAP1OUT)-(0))+IF(((c_TMAP1OUT)-(0))&gt;=0,1,-1)*QUOTIENT(((c_TMAP1IN)-(c_TFWD)),2)),((c_TMAP1IN)-(c_TFWD)))+(0)+IF(((c_TMAP1OUT)-(0))&gt;=0,IF(IF(o_WRAP=1,MOD(((c_TMAP1IN)-(c_TFWD))*(((A258)-(c_TFWD))*((c_TMAP1OUT)-(0))+IF(((c_TMAP1OUT)-(0))&gt;=0,1,-1)*QUOTIENT(((c_TMAP1IN)-(c_TFWD)),2))+2147483648,4294967296)-2147483648,((c_TMAP1IN)-(c_TFWD))*(((A258)-(c_TFWD))*((c_TMAP1OUT)-(0))+IF(((c_TMAP1OUT)-(0))&gt;=0,1,-1)*QUOTIENT(((c_TMAP1IN)-(c_TFWD)),2)))&lt;0,-1,0),IF(IF(o_WRAP=1,MOD(((c_TMAP1IN)-(c_TFWD))*(((A258)-(c_TFWD))*((c_TMAP1OUT)-(0))+IF(((c_TMAP1OUT)-(0))&gt;=0,1,-1)*QUOTIENT(((c_TMAP1IN)-(c_TFWD)),2))+2147483648,4294967296)-2147483648,((c_TMAP1IN)-(c_TFWD))*(((A258)-(c_TFWD))*((c_TMAP1OUT)-(0))+IF(((c_TMAP1OUT)-(0))&gt;=0,1,-1)*QUOTIENT(((c_TMAP1IN)-(c_TFWD)),2)))&gt;=0,1,0)))</f>
        <v>189</v>
      </c>
      <c r="E258" s="7" t="n">
        <f aca="false">IF(((c_TMAP2IN)-(c_TMAP1IN))=0,(c_TMAP1OUT)+QUOTIENT(((c_TMAP2OUT)-(c_TMAP1OUT)),2),QUOTIENT((((A258)-(c_TMAP1IN))*((c_TMAP2OUT)-(c_TMAP1OUT))+IF(((c_TMAP2OUT)-(c_TMAP1OUT))&gt;=0,1,-1)*QUOTIENT(((c_TMAP2IN)-(c_TMAP1IN)),2)),((c_TMAP2IN)-(c_TMAP1IN)))+(c_TMAP1OUT)+IF(((c_TMAP2OUT)-(c_TMAP1OUT))&gt;=0,IF(IF(o_WRAP=1,MOD(((c_TMAP2IN)-(c_TMAP1IN))*(((A258)-(c_TMAP1IN))*((c_TMAP2OUT)-(c_TMAP1OUT))+IF(((c_TMAP2OUT)-(c_TMAP1OUT))&gt;=0,1,-1)*QUOTIENT(((c_TMAP2IN)-(c_TMAP1IN)),2))+2147483648,4294967296)-2147483648,((c_TMAP2IN)-(c_TMAP1IN))*(((A258)-(c_TMAP1IN))*((c_TMAP2OUT)-(c_TMAP1OUT))+IF(((c_TMAP2OUT)-(c_TMAP1OUT))&gt;=0,1,-1)*QUOTIENT(((c_TMAP2IN)-(c_TMAP1IN)),2)))&lt;0,-1,0),IF(IF(o_WRAP=1,MOD(((c_TMAP2IN)-(c_TMAP1IN))*(((A258)-(c_TMAP1IN))*((c_TMAP2OUT)-(c_TMAP1OUT))+IF(((c_TMAP2OUT)-(c_TMAP1OUT))&gt;=0,1,-1)*QUOTIENT(((c_TMAP2IN)-(c_TMAP1IN)),2))+2147483648,4294967296)-2147483648,((c_TMAP2IN)-(c_TMAP1IN))*(((A258)-(c_TMAP1IN))*((c_TMAP2OUT)-(c_TMAP1OUT))+IF(((c_TMAP2OUT)-(c_TMAP1OUT))&gt;=0,1,-1)*QUOTIENT(((c_TMAP2IN)-(c_TMAP1IN)),2)))&gt;=0,1,0)))</f>
        <v>131</v>
      </c>
      <c r="F258" s="7" t="n">
        <f aca="false">IF(((c_TMAP3IN)-(c_TMAP2IN))=0,(c_TMAP2OUT)+QUOTIENT(((c_TMAP3OUT)-(c_TMAP2OUT)),2),QUOTIENT((((A258)-(c_TMAP2IN))*((c_TMAP3OUT)-(c_TMAP2OUT))+IF(((c_TMAP3OUT)-(c_TMAP2OUT))&gt;=0,1,-1)*QUOTIENT(((c_TMAP3IN)-(c_TMAP2IN)),2)),((c_TMAP3IN)-(c_TMAP2IN)))+(c_TMAP2OUT)+IF(((c_TMAP3OUT)-(c_TMAP2OUT))&gt;=0,IF(IF(o_WRAP=1,MOD(((c_TMAP3IN)-(c_TMAP2IN))*(((A258)-(c_TMAP2IN))*((c_TMAP3OUT)-(c_TMAP2OUT))+IF(((c_TMAP3OUT)-(c_TMAP2OUT))&gt;=0,1,-1)*QUOTIENT(((c_TMAP3IN)-(c_TMAP2IN)),2))+2147483648,4294967296)-2147483648,((c_TMAP3IN)-(c_TMAP2IN))*(((A258)-(c_TMAP2IN))*((c_TMAP3OUT)-(c_TMAP2OUT))+IF(((c_TMAP3OUT)-(c_TMAP2OUT))&gt;=0,1,-1)*QUOTIENT(((c_TMAP3IN)-(c_TMAP2IN)),2)))&lt;0,-1,0),IF(IF(o_WRAP=1,MOD(((c_TMAP3IN)-(c_TMAP2IN))*(((A258)-(c_TMAP2IN))*((c_TMAP3OUT)-(c_TMAP2OUT))+IF(((c_TMAP3OUT)-(c_TMAP2OUT))&gt;=0,1,-1)*QUOTIENT(((c_TMAP3IN)-(c_TMAP2IN)),2))+2147483648,4294967296)-2147483648,((c_TMAP3IN)-(c_TMAP2IN))*(((A258)-(c_TMAP2IN))*((c_TMAP3OUT)-(c_TMAP2OUT))+IF(((c_TMAP3OUT)-(c_TMAP2OUT))&gt;=0,1,-1)*QUOTIENT(((c_TMAP3IN)-(c_TMAP2IN)),2)))&gt;=0,1,0)))</f>
        <v>132</v>
      </c>
      <c r="G258" s="7" t="n">
        <f aca="false">IF(((1000)-(c_TMAP3IN))=0,(c_TMAP3OUT)+QUOTIENT(((1000)-(c_TMAP3OUT)),2),QUOTIENT((((A258)-(c_TMAP3IN))*((1000)-(c_TMAP3OUT))+IF(((1000)-(c_TMAP3OUT))&gt;=0,1,-1)*QUOTIENT(((1000)-(c_TMAP3IN)),2)),((1000)-(c_TMAP3IN)))+(c_TMAP3OUT)+IF(((1000)-(c_TMAP3OUT))&gt;=0,IF(IF(o_WRAP=1,MOD(((1000)-(c_TMAP3IN))*(((A258)-(c_TMAP3IN))*((1000)-(c_TMAP3OUT))+IF(((1000)-(c_TMAP3OUT))&gt;=0,1,-1)*QUOTIENT(((1000)-(c_TMAP3IN)),2))+2147483648,4294967296)-2147483648,((1000)-(c_TMAP3IN))*(((A258)-(c_TMAP3IN))*((1000)-(c_TMAP3OUT))+IF(((1000)-(c_TMAP3OUT))&gt;=0,1,-1)*QUOTIENT(((1000)-(c_TMAP3IN)),2)))&lt;0,-1,0),IF(IF(o_WRAP=1,MOD(((1000)-(c_TMAP3IN))*(((A258)-(c_TMAP3IN))*((1000)-(c_TMAP3OUT))+IF(((1000)-(c_TMAP3OUT))&gt;=0,1,-1)*QUOTIENT(((1000)-(c_TMAP3IN)),2))+2147483648,4294967296)-2147483648,((1000)-(c_TMAP3IN))*(((A258)-(c_TMAP3IN))*((1000)-(c_TMAP3OUT))+IF(((1000)-(c_TMAP3OUT))&gt;=0,1,-1)*QUOTIENT(((1000)-(c_TMAP3IN)),2)))&gt;=0,1,0)))</f>
        <v>81</v>
      </c>
      <c r="H258" s="7" t="str">
        <f aca="false">IF(A258&gt;=c_TFWD,IF(AND(A258&gt;=c_TMAP3IN,c_TMAP3IN&lt;1000),"Seg4 map3-100%",IF(AND(A258&gt;=c_TMAP2IN,c_TMAP3IN&gt;c_TMAP2IN),"Seg3 map2-map3",IF(AND(A258&gt;=c_TMAP1IN,c_TMAP2IN&gt;c_TMAP1IN),"Seg2 map1-map2","Seg1 TFWD-map1"))),IF(AND(A258=0,c_TCREEP&gt;0),"Creep",IF(AND(A258&lt;=c_TRNGMIN,A258&gt;=c_TRNGMAX,c_TRNGMIN-c_TRNGMAX&lt;&gt;0),"Regen ramp","Coast (0)")))</f>
        <v>Seg3 map2-map3</v>
      </c>
      <c r="I258" s="7" t="n">
        <f aca="false">IF(A258&gt;=c_TFWD,IF(AND(A258&gt;=c_TMAP3IN,c_TMAP3IN&lt;1000),G258,IF(AND(A258&gt;=c_TMAP2IN,c_TMAP3IN&gt;c_TMAP2IN),F258,IF(AND(A258&gt;=c_TMAP1IN,c_TMAP2IN&gt;c_TMAP1IN),E258,D258))),C258)</f>
        <v>132</v>
      </c>
      <c r="J258" s="7" t="str">
        <f aca="false">IF(I258&lt;-1090,"TOO LOW",IF(I258&gt;1090,"TOO HIGH",""))</f>
        <v/>
      </c>
      <c r="K258" s="15" t="n">
        <f aca="false">IF(J258&lt;&gt;"",0,IF(I258&gt;979,1000,I258))</f>
        <v>132</v>
      </c>
      <c r="L258" s="7" t="n">
        <f aca="false">K258/10</f>
        <v>13.2</v>
      </c>
    </row>
    <row r="259" customFormat="false" ht="15" hidden="false" customHeight="false" outlineLevel="0" collapsed="false">
      <c r="A259" s="7" t="n">
        <v>254</v>
      </c>
      <c r="B259" s="7" t="n">
        <f aca="false">A259/10</f>
        <v>25.4</v>
      </c>
      <c r="C259" s="7" t="n">
        <f aca="false">IF(AND(A259=0,c_TCREEP&gt;0),10*c_TCREEP,IF(AND(A259&lt;=c_TRNGMIN,A259&gt;=c_TRNGMAX,c_TRNGMIN-c_TRNGMAX&lt;&gt;0),-10*c_TMINRN+QUOTIENT((c_TMAXRN-c_TMINRN)*(100-QUOTIENT((A259-c_TRNGMAX)*100,c_TRNGMIN-c_TRNGMAX)),-10),0))</f>
        <v>0</v>
      </c>
      <c r="D259" s="7" t="n">
        <f aca="false">IF(((c_TMAP1IN)-(c_TFWD))=0,(0)+QUOTIENT(((c_TMAP1OUT)-(0)),2),QUOTIENT((((A259)-(c_TFWD))*((c_TMAP1OUT)-(0))+IF(((c_TMAP1OUT)-(0))&gt;=0,1,-1)*QUOTIENT(((c_TMAP1IN)-(c_TFWD)),2)),((c_TMAP1IN)-(c_TFWD)))+(0)+IF(((c_TMAP1OUT)-(0))&gt;=0,IF(IF(o_WRAP=1,MOD(((c_TMAP1IN)-(c_TFWD))*(((A259)-(c_TFWD))*((c_TMAP1OUT)-(0))+IF(((c_TMAP1OUT)-(0))&gt;=0,1,-1)*QUOTIENT(((c_TMAP1IN)-(c_TFWD)),2))+2147483648,4294967296)-2147483648,((c_TMAP1IN)-(c_TFWD))*(((A259)-(c_TFWD))*((c_TMAP1OUT)-(0))+IF(((c_TMAP1OUT)-(0))&gt;=0,1,-1)*QUOTIENT(((c_TMAP1IN)-(c_TFWD)),2)))&lt;0,-1,0),IF(IF(o_WRAP=1,MOD(((c_TMAP1IN)-(c_TFWD))*(((A259)-(c_TFWD))*((c_TMAP1OUT)-(0))+IF(((c_TMAP1OUT)-(0))&gt;=0,1,-1)*QUOTIENT(((c_TMAP1IN)-(c_TFWD)),2))+2147483648,4294967296)-2147483648,((c_TMAP1IN)-(c_TFWD))*(((A259)-(c_TFWD))*((c_TMAP1OUT)-(0))+IF(((c_TMAP1OUT)-(0))&gt;=0,1,-1)*QUOTIENT(((c_TMAP1IN)-(c_TFWD)),2)))&gt;=0,1,0)))</f>
        <v>190</v>
      </c>
      <c r="E259" s="7" t="n">
        <f aca="false">IF(((c_TMAP2IN)-(c_TMAP1IN))=0,(c_TMAP1OUT)+QUOTIENT(((c_TMAP2OUT)-(c_TMAP1OUT)),2),QUOTIENT((((A259)-(c_TMAP1IN))*((c_TMAP2OUT)-(c_TMAP1OUT))+IF(((c_TMAP2OUT)-(c_TMAP1OUT))&gt;=0,1,-1)*QUOTIENT(((c_TMAP2IN)-(c_TMAP1IN)),2)),((c_TMAP2IN)-(c_TMAP1IN)))+(c_TMAP1OUT)+IF(((c_TMAP2OUT)-(c_TMAP1OUT))&gt;=0,IF(IF(o_WRAP=1,MOD(((c_TMAP2IN)-(c_TMAP1IN))*(((A259)-(c_TMAP1IN))*((c_TMAP2OUT)-(c_TMAP1OUT))+IF(((c_TMAP2OUT)-(c_TMAP1OUT))&gt;=0,1,-1)*QUOTIENT(((c_TMAP2IN)-(c_TMAP1IN)),2))+2147483648,4294967296)-2147483648,((c_TMAP2IN)-(c_TMAP1IN))*(((A259)-(c_TMAP1IN))*((c_TMAP2OUT)-(c_TMAP1OUT))+IF(((c_TMAP2OUT)-(c_TMAP1OUT))&gt;=0,1,-1)*QUOTIENT(((c_TMAP2IN)-(c_TMAP1IN)),2)))&lt;0,-1,0),IF(IF(o_WRAP=1,MOD(((c_TMAP2IN)-(c_TMAP1IN))*(((A259)-(c_TMAP1IN))*((c_TMAP2OUT)-(c_TMAP1OUT))+IF(((c_TMAP2OUT)-(c_TMAP1OUT))&gt;=0,1,-1)*QUOTIENT(((c_TMAP2IN)-(c_TMAP1IN)),2))+2147483648,4294967296)-2147483648,((c_TMAP2IN)-(c_TMAP1IN))*(((A259)-(c_TMAP1IN))*((c_TMAP2OUT)-(c_TMAP1OUT))+IF(((c_TMAP2OUT)-(c_TMAP1OUT))&gt;=0,1,-1)*QUOTIENT(((c_TMAP2IN)-(c_TMAP1IN)),2)))&gt;=0,1,0)))</f>
        <v>132</v>
      </c>
      <c r="F259" s="7" t="n">
        <f aca="false">IF(((c_TMAP3IN)-(c_TMAP2IN))=0,(c_TMAP2OUT)+QUOTIENT(((c_TMAP3OUT)-(c_TMAP2OUT)),2),QUOTIENT((((A259)-(c_TMAP2IN))*((c_TMAP3OUT)-(c_TMAP2OUT))+IF(((c_TMAP3OUT)-(c_TMAP2OUT))&gt;=0,1,-1)*QUOTIENT(((c_TMAP3IN)-(c_TMAP2IN)),2)),((c_TMAP3IN)-(c_TMAP2IN)))+(c_TMAP2OUT)+IF(((c_TMAP3OUT)-(c_TMAP2OUT))&gt;=0,IF(IF(o_WRAP=1,MOD(((c_TMAP3IN)-(c_TMAP2IN))*(((A259)-(c_TMAP2IN))*((c_TMAP3OUT)-(c_TMAP2OUT))+IF(((c_TMAP3OUT)-(c_TMAP2OUT))&gt;=0,1,-1)*QUOTIENT(((c_TMAP3IN)-(c_TMAP2IN)),2))+2147483648,4294967296)-2147483648,((c_TMAP3IN)-(c_TMAP2IN))*(((A259)-(c_TMAP2IN))*((c_TMAP3OUT)-(c_TMAP2OUT))+IF(((c_TMAP3OUT)-(c_TMAP2OUT))&gt;=0,1,-1)*QUOTIENT(((c_TMAP3IN)-(c_TMAP2IN)),2)))&lt;0,-1,0),IF(IF(o_WRAP=1,MOD(((c_TMAP3IN)-(c_TMAP2IN))*(((A259)-(c_TMAP2IN))*((c_TMAP3OUT)-(c_TMAP2OUT))+IF(((c_TMAP3OUT)-(c_TMAP2OUT))&gt;=0,1,-1)*QUOTIENT(((c_TMAP3IN)-(c_TMAP2IN)),2))+2147483648,4294967296)-2147483648,((c_TMAP3IN)-(c_TMAP2IN))*(((A259)-(c_TMAP2IN))*((c_TMAP3OUT)-(c_TMAP2OUT))+IF(((c_TMAP3OUT)-(c_TMAP2OUT))&gt;=0,1,-1)*QUOTIENT(((c_TMAP3IN)-(c_TMAP2IN)),2)))&gt;=0,1,0)))</f>
        <v>133</v>
      </c>
      <c r="G259" s="7" t="n">
        <f aca="false">IF(((1000)-(c_TMAP3IN))=0,(c_TMAP3OUT)+QUOTIENT(((1000)-(c_TMAP3OUT)),2),QUOTIENT((((A259)-(c_TMAP3IN))*((1000)-(c_TMAP3OUT))+IF(((1000)-(c_TMAP3OUT))&gt;=0,1,-1)*QUOTIENT(((1000)-(c_TMAP3IN)),2)),((1000)-(c_TMAP3IN)))+(c_TMAP3OUT)+IF(((1000)-(c_TMAP3OUT))&gt;=0,IF(IF(o_WRAP=1,MOD(((1000)-(c_TMAP3IN))*(((A259)-(c_TMAP3IN))*((1000)-(c_TMAP3OUT))+IF(((1000)-(c_TMAP3OUT))&gt;=0,1,-1)*QUOTIENT(((1000)-(c_TMAP3IN)),2))+2147483648,4294967296)-2147483648,((1000)-(c_TMAP3IN))*(((A259)-(c_TMAP3IN))*((1000)-(c_TMAP3OUT))+IF(((1000)-(c_TMAP3OUT))&gt;=0,1,-1)*QUOTIENT(((1000)-(c_TMAP3IN)),2)))&lt;0,-1,0),IF(IF(o_WRAP=1,MOD(((1000)-(c_TMAP3IN))*(((A259)-(c_TMAP3IN))*((1000)-(c_TMAP3OUT))+IF(((1000)-(c_TMAP3OUT))&gt;=0,1,-1)*QUOTIENT(((1000)-(c_TMAP3IN)),2))+2147483648,4294967296)-2147483648,((1000)-(c_TMAP3IN))*(((A259)-(c_TMAP3IN))*((1000)-(c_TMAP3OUT))+IF(((1000)-(c_TMAP3OUT))&gt;=0,1,-1)*QUOTIENT(((1000)-(c_TMAP3IN)),2)))&gt;=0,1,0)))</f>
        <v>82</v>
      </c>
      <c r="H259" s="7" t="str">
        <f aca="false">IF(A259&gt;=c_TFWD,IF(AND(A259&gt;=c_TMAP3IN,c_TMAP3IN&lt;1000),"Seg4 map3-100%",IF(AND(A259&gt;=c_TMAP2IN,c_TMAP3IN&gt;c_TMAP2IN),"Seg3 map2-map3",IF(AND(A259&gt;=c_TMAP1IN,c_TMAP2IN&gt;c_TMAP1IN),"Seg2 map1-map2","Seg1 TFWD-map1"))),IF(AND(A259=0,c_TCREEP&gt;0),"Creep",IF(AND(A259&lt;=c_TRNGMIN,A259&gt;=c_TRNGMAX,c_TRNGMIN-c_TRNGMAX&lt;&gt;0),"Regen ramp","Coast (0)")))</f>
        <v>Seg3 map2-map3</v>
      </c>
      <c r="I259" s="7" t="n">
        <f aca="false">IF(A259&gt;=c_TFWD,IF(AND(A259&gt;=c_TMAP3IN,c_TMAP3IN&lt;1000),G259,IF(AND(A259&gt;=c_TMAP2IN,c_TMAP3IN&gt;c_TMAP2IN),F259,IF(AND(A259&gt;=c_TMAP1IN,c_TMAP2IN&gt;c_TMAP1IN),E259,D259))),C259)</f>
        <v>133</v>
      </c>
      <c r="J259" s="7" t="str">
        <f aca="false">IF(I259&lt;-1090,"TOO LOW",IF(I259&gt;1090,"TOO HIGH",""))</f>
        <v/>
      </c>
      <c r="K259" s="15" t="n">
        <f aca="false">IF(J259&lt;&gt;"",0,IF(I259&gt;979,1000,I259))</f>
        <v>133</v>
      </c>
      <c r="L259" s="7" t="n">
        <f aca="false">K259/10</f>
        <v>13.3</v>
      </c>
    </row>
    <row r="260" customFormat="false" ht="15" hidden="false" customHeight="false" outlineLevel="0" collapsed="false">
      <c r="A260" s="7" t="n">
        <v>255</v>
      </c>
      <c r="B260" s="7" t="n">
        <f aca="false">A260/10</f>
        <v>25.5</v>
      </c>
      <c r="C260" s="7" t="n">
        <f aca="false">IF(AND(A260=0,c_TCREEP&gt;0),10*c_TCREEP,IF(AND(A260&lt;=c_TRNGMIN,A260&gt;=c_TRNGMAX,c_TRNGMIN-c_TRNGMAX&lt;&gt;0),-10*c_TMINRN+QUOTIENT((c_TMAXRN-c_TMINRN)*(100-QUOTIENT((A260-c_TRNGMAX)*100,c_TRNGMIN-c_TRNGMAX)),-10),0))</f>
        <v>0</v>
      </c>
      <c r="D260" s="7" t="n">
        <f aca="false">IF(((c_TMAP1IN)-(c_TFWD))=0,(0)+QUOTIENT(((c_TMAP1OUT)-(0)),2),QUOTIENT((((A260)-(c_TFWD))*((c_TMAP1OUT)-(0))+IF(((c_TMAP1OUT)-(0))&gt;=0,1,-1)*QUOTIENT(((c_TMAP1IN)-(c_TFWD)),2)),((c_TMAP1IN)-(c_TFWD)))+(0)+IF(((c_TMAP1OUT)-(0))&gt;=0,IF(IF(o_WRAP=1,MOD(((c_TMAP1IN)-(c_TFWD))*(((A260)-(c_TFWD))*((c_TMAP1OUT)-(0))+IF(((c_TMAP1OUT)-(0))&gt;=0,1,-1)*QUOTIENT(((c_TMAP1IN)-(c_TFWD)),2))+2147483648,4294967296)-2147483648,((c_TMAP1IN)-(c_TFWD))*(((A260)-(c_TFWD))*((c_TMAP1OUT)-(0))+IF(((c_TMAP1OUT)-(0))&gt;=0,1,-1)*QUOTIENT(((c_TMAP1IN)-(c_TFWD)),2)))&lt;0,-1,0),IF(IF(o_WRAP=1,MOD(((c_TMAP1IN)-(c_TFWD))*(((A260)-(c_TFWD))*((c_TMAP1OUT)-(0))+IF(((c_TMAP1OUT)-(0))&gt;=0,1,-1)*QUOTIENT(((c_TMAP1IN)-(c_TFWD)),2))+2147483648,4294967296)-2147483648,((c_TMAP1IN)-(c_TFWD))*(((A260)-(c_TFWD))*((c_TMAP1OUT)-(0))+IF(((c_TMAP1OUT)-(0))&gt;=0,1,-1)*QUOTIENT(((c_TMAP1IN)-(c_TFWD)),2)))&gt;=0,1,0)))</f>
        <v>191</v>
      </c>
      <c r="E260" s="7" t="n">
        <f aca="false">IF(((c_TMAP2IN)-(c_TMAP1IN))=0,(c_TMAP1OUT)+QUOTIENT(((c_TMAP2OUT)-(c_TMAP1OUT)),2),QUOTIENT((((A260)-(c_TMAP1IN))*((c_TMAP2OUT)-(c_TMAP1OUT))+IF(((c_TMAP2OUT)-(c_TMAP1OUT))&gt;=0,1,-1)*QUOTIENT(((c_TMAP2IN)-(c_TMAP1IN)),2)),((c_TMAP2IN)-(c_TMAP1IN)))+(c_TMAP1OUT)+IF(((c_TMAP2OUT)-(c_TMAP1OUT))&gt;=0,IF(IF(o_WRAP=1,MOD(((c_TMAP2IN)-(c_TMAP1IN))*(((A260)-(c_TMAP1IN))*((c_TMAP2OUT)-(c_TMAP1OUT))+IF(((c_TMAP2OUT)-(c_TMAP1OUT))&gt;=0,1,-1)*QUOTIENT(((c_TMAP2IN)-(c_TMAP1IN)),2))+2147483648,4294967296)-2147483648,((c_TMAP2IN)-(c_TMAP1IN))*(((A260)-(c_TMAP1IN))*((c_TMAP2OUT)-(c_TMAP1OUT))+IF(((c_TMAP2OUT)-(c_TMAP1OUT))&gt;=0,1,-1)*QUOTIENT(((c_TMAP2IN)-(c_TMAP1IN)),2)))&lt;0,-1,0),IF(IF(o_WRAP=1,MOD(((c_TMAP2IN)-(c_TMAP1IN))*(((A260)-(c_TMAP1IN))*((c_TMAP2OUT)-(c_TMAP1OUT))+IF(((c_TMAP2OUT)-(c_TMAP1OUT))&gt;=0,1,-1)*QUOTIENT(((c_TMAP2IN)-(c_TMAP1IN)),2))+2147483648,4294967296)-2147483648,((c_TMAP2IN)-(c_TMAP1IN))*(((A260)-(c_TMAP1IN))*((c_TMAP2OUT)-(c_TMAP1OUT))+IF(((c_TMAP2OUT)-(c_TMAP1OUT))&gt;=0,1,-1)*QUOTIENT(((c_TMAP2IN)-(c_TMAP1IN)),2)))&gt;=0,1,0)))</f>
        <v>132</v>
      </c>
      <c r="F260" s="7" t="n">
        <f aca="false">IF(((c_TMAP3IN)-(c_TMAP2IN))=0,(c_TMAP2OUT)+QUOTIENT(((c_TMAP3OUT)-(c_TMAP2OUT)),2),QUOTIENT((((A260)-(c_TMAP2IN))*((c_TMAP3OUT)-(c_TMAP2OUT))+IF(((c_TMAP3OUT)-(c_TMAP2OUT))&gt;=0,1,-1)*QUOTIENT(((c_TMAP3IN)-(c_TMAP2IN)),2)),((c_TMAP3IN)-(c_TMAP2IN)))+(c_TMAP2OUT)+IF(((c_TMAP3OUT)-(c_TMAP2OUT))&gt;=0,IF(IF(o_WRAP=1,MOD(((c_TMAP3IN)-(c_TMAP2IN))*(((A260)-(c_TMAP2IN))*((c_TMAP3OUT)-(c_TMAP2OUT))+IF(((c_TMAP3OUT)-(c_TMAP2OUT))&gt;=0,1,-1)*QUOTIENT(((c_TMAP3IN)-(c_TMAP2IN)),2))+2147483648,4294967296)-2147483648,((c_TMAP3IN)-(c_TMAP2IN))*(((A260)-(c_TMAP2IN))*((c_TMAP3OUT)-(c_TMAP2OUT))+IF(((c_TMAP3OUT)-(c_TMAP2OUT))&gt;=0,1,-1)*QUOTIENT(((c_TMAP3IN)-(c_TMAP2IN)),2)))&lt;0,-1,0),IF(IF(o_WRAP=1,MOD(((c_TMAP3IN)-(c_TMAP2IN))*(((A260)-(c_TMAP2IN))*((c_TMAP3OUT)-(c_TMAP2OUT))+IF(((c_TMAP3OUT)-(c_TMAP2OUT))&gt;=0,1,-1)*QUOTIENT(((c_TMAP3IN)-(c_TMAP2IN)),2))+2147483648,4294967296)-2147483648,((c_TMAP3IN)-(c_TMAP2IN))*(((A260)-(c_TMAP2IN))*((c_TMAP3OUT)-(c_TMAP2OUT))+IF(((c_TMAP3OUT)-(c_TMAP2OUT))&gt;=0,1,-1)*QUOTIENT(((c_TMAP3IN)-(c_TMAP2IN)),2)))&gt;=0,1,0)))</f>
        <v>134</v>
      </c>
      <c r="G260" s="7" t="n">
        <f aca="false">IF(((1000)-(c_TMAP3IN))=0,(c_TMAP3OUT)+QUOTIENT(((1000)-(c_TMAP3OUT)),2),QUOTIENT((((A260)-(c_TMAP3IN))*((1000)-(c_TMAP3OUT))+IF(((1000)-(c_TMAP3OUT))&gt;=0,1,-1)*QUOTIENT(((1000)-(c_TMAP3IN)),2)),((1000)-(c_TMAP3IN)))+(c_TMAP3OUT)+IF(((1000)-(c_TMAP3OUT))&gt;=0,IF(IF(o_WRAP=1,MOD(((1000)-(c_TMAP3IN))*(((A260)-(c_TMAP3IN))*((1000)-(c_TMAP3OUT))+IF(((1000)-(c_TMAP3OUT))&gt;=0,1,-1)*QUOTIENT(((1000)-(c_TMAP3IN)),2))+2147483648,4294967296)-2147483648,((1000)-(c_TMAP3IN))*(((A260)-(c_TMAP3IN))*((1000)-(c_TMAP3OUT))+IF(((1000)-(c_TMAP3OUT))&gt;=0,1,-1)*QUOTIENT(((1000)-(c_TMAP3IN)),2)))&lt;0,-1,0),IF(IF(o_WRAP=1,MOD(((1000)-(c_TMAP3IN))*(((A260)-(c_TMAP3IN))*((1000)-(c_TMAP3OUT))+IF(((1000)-(c_TMAP3OUT))&gt;=0,1,-1)*QUOTIENT(((1000)-(c_TMAP3IN)),2))+2147483648,4294967296)-2147483648,((1000)-(c_TMAP3IN))*(((A260)-(c_TMAP3IN))*((1000)-(c_TMAP3OUT))+IF(((1000)-(c_TMAP3OUT))&gt;=0,1,-1)*QUOTIENT(((1000)-(c_TMAP3IN)),2)))&gt;=0,1,0)))</f>
        <v>83</v>
      </c>
      <c r="H260" s="7" t="str">
        <f aca="false">IF(A260&gt;=c_TFWD,IF(AND(A260&gt;=c_TMAP3IN,c_TMAP3IN&lt;1000),"Seg4 map3-100%",IF(AND(A260&gt;=c_TMAP2IN,c_TMAP3IN&gt;c_TMAP2IN),"Seg3 map2-map3",IF(AND(A260&gt;=c_TMAP1IN,c_TMAP2IN&gt;c_TMAP1IN),"Seg2 map1-map2","Seg1 TFWD-map1"))),IF(AND(A260=0,c_TCREEP&gt;0),"Creep",IF(AND(A260&lt;=c_TRNGMIN,A260&gt;=c_TRNGMAX,c_TRNGMIN-c_TRNGMAX&lt;&gt;0),"Regen ramp","Coast (0)")))</f>
        <v>Seg3 map2-map3</v>
      </c>
      <c r="I260" s="7" t="n">
        <f aca="false">IF(A260&gt;=c_TFWD,IF(AND(A260&gt;=c_TMAP3IN,c_TMAP3IN&lt;1000),G260,IF(AND(A260&gt;=c_TMAP2IN,c_TMAP3IN&gt;c_TMAP2IN),F260,IF(AND(A260&gt;=c_TMAP1IN,c_TMAP2IN&gt;c_TMAP1IN),E260,D260))),C260)</f>
        <v>134</v>
      </c>
      <c r="J260" s="7" t="str">
        <f aca="false">IF(I260&lt;-1090,"TOO LOW",IF(I260&gt;1090,"TOO HIGH",""))</f>
        <v/>
      </c>
      <c r="K260" s="15" t="n">
        <f aca="false">IF(J260&lt;&gt;"",0,IF(I260&gt;979,1000,I260))</f>
        <v>134</v>
      </c>
      <c r="L260" s="7" t="n">
        <f aca="false">K260/10</f>
        <v>13.4</v>
      </c>
    </row>
    <row r="261" customFormat="false" ht="15" hidden="false" customHeight="false" outlineLevel="0" collapsed="false">
      <c r="A261" s="7" t="n">
        <v>256</v>
      </c>
      <c r="B261" s="7" t="n">
        <f aca="false">A261/10</f>
        <v>25.6</v>
      </c>
      <c r="C261" s="7" t="n">
        <f aca="false">IF(AND(A261=0,c_TCREEP&gt;0),10*c_TCREEP,IF(AND(A261&lt;=c_TRNGMIN,A261&gt;=c_TRNGMAX,c_TRNGMIN-c_TRNGMAX&lt;&gt;0),-10*c_TMINRN+QUOTIENT((c_TMAXRN-c_TMINRN)*(100-QUOTIENT((A261-c_TRNGMAX)*100,c_TRNGMIN-c_TRNGMAX)),-10),0))</f>
        <v>0</v>
      </c>
      <c r="D261" s="7" t="n">
        <f aca="false">IF(((c_TMAP1IN)-(c_TFWD))=0,(0)+QUOTIENT(((c_TMAP1OUT)-(0)),2),QUOTIENT((((A261)-(c_TFWD))*((c_TMAP1OUT)-(0))+IF(((c_TMAP1OUT)-(0))&gt;=0,1,-1)*QUOTIENT(((c_TMAP1IN)-(c_TFWD)),2)),((c_TMAP1IN)-(c_TFWD)))+(0)+IF(((c_TMAP1OUT)-(0))&gt;=0,IF(IF(o_WRAP=1,MOD(((c_TMAP1IN)-(c_TFWD))*(((A261)-(c_TFWD))*((c_TMAP1OUT)-(0))+IF(((c_TMAP1OUT)-(0))&gt;=0,1,-1)*QUOTIENT(((c_TMAP1IN)-(c_TFWD)),2))+2147483648,4294967296)-2147483648,((c_TMAP1IN)-(c_TFWD))*(((A261)-(c_TFWD))*((c_TMAP1OUT)-(0))+IF(((c_TMAP1OUT)-(0))&gt;=0,1,-1)*QUOTIENT(((c_TMAP1IN)-(c_TFWD)),2)))&lt;0,-1,0),IF(IF(o_WRAP=1,MOD(((c_TMAP1IN)-(c_TFWD))*(((A261)-(c_TFWD))*((c_TMAP1OUT)-(0))+IF(((c_TMAP1OUT)-(0))&gt;=0,1,-1)*QUOTIENT(((c_TMAP1IN)-(c_TFWD)),2))+2147483648,4294967296)-2147483648,((c_TMAP1IN)-(c_TFWD))*(((A261)-(c_TFWD))*((c_TMAP1OUT)-(0))+IF(((c_TMAP1OUT)-(0))&gt;=0,1,-1)*QUOTIENT(((c_TMAP1IN)-(c_TFWD)),2)))&gt;=0,1,0)))</f>
        <v>191</v>
      </c>
      <c r="E261" s="7" t="n">
        <f aca="false">IF(((c_TMAP2IN)-(c_TMAP1IN))=0,(c_TMAP1OUT)+QUOTIENT(((c_TMAP2OUT)-(c_TMAP1OUT)),2),QUOTIENT((((A261)-(c_TMAP1IN))*((c_TMAP2OUT)-(c_TMAP1OUT))+IF(((c_TMAP2OUT)-(c_TMAP1OUT))&gt;=0,1,-1)*QUOTIENT(((c_TMAP2IN)-(c_TMAP1IN)),2)),((c_TMAP2IN)-(c_TMAP1IN)))+(c_TMAP1OUT)+IF(((c_TMAP2OUT)-(c_TMAP1OUT))&gt;=0,IF(IF(o_WRAP=1,MOD(((c_TMAP2IN)-(c_TMAP1IN))*(((A261)-(c_TMAP1IN))*((c_TMAP2OUT)-(c_TMAP1OUT))+IF(((c_TMAP2OUT)-(c_TMAP1OUT))&gt;=0,1,-1)*QUOTIENT(((c_TMAP2IN)-(c_TMAP1IN)),2))+2147483648,4294967296)-2147483648,((c_TMAP2IN)-(c_TMAP1IN))*(((A261)-(c_TMAP1IN))*((c_TMAP2OUT)-(c_TMAP1OUT))+IF(((c_TMAP2OUT)-(c_TMAP1OUT))&gt;=0,1,-1)*QUOTIENT(((c_TMAP2IN)-(c_TMAP1IN)),2)))&lt;0,-1,0),IF(IF(o_WRAP=1,MOD(((c_TMAP2IN)-(c_TMAP1IN))*(((A261)-(c_TMAP1IN))*((c_TMAP2OUT)-(c_TMAP1OUT))+IF(((c_TMAP2OUT)-(c_TMAP1OUT))&gt;=0,1,-1)*QUOTIENT(((c_TMAP2IN)-(c_TMAP1IN)),2))+2147483648,4294967296)-2147483648,((c_TMAP2IN)-(c_TMAP1IN))*(((A261)-(c_TMAP1IN))*((c_TMAP2OUT)-(c_TMAP1OUT))+IF(((c_TMAP2OUT)-(c_TMAP1OUT))&gt;=0,1,-1)*QUOTIENT(((c_TMAP2IN)-(c_TMAP1IN)),2)))&gt;=0,1,0)))</f>
        <v>132</v>
      </c>
      <c r="F261" s="7" t="n">
        <f aca="false">IF(((c_TMAP3IN)-(c_TMAP2IN))=0,(c_TMAP2OUT)+QUOTIENT(((c_TMAP3OUT)-(c_TMAP2OUT)),2),QUOTIENT((((A261)-(c_TMAP2IN))*((c_TMAP3OUT)-(c_TMAP2OUT))+IF(((c_TMAP3OUT)-(c_TMAP2OUT))&gt;=0,1,-1)*QUOTIENT(((c_TMAP3IN)-(c_TMAP2IN)),2)),((c_TMAP3IN)-(c_TMAP2IN)))+(c_TMAP2OUT)+IF(((c_TMAP3OUT)-(c_TMAP2OUT))&gt;=0,IF(IF(o_WRAP=1,MOD(((c_TMAP3IN)-(c_TMAP2IN))*(((A261)-(c_TMAP2IN))*((c_TMAP3OUT)-(c_TMAP2OUT))+IF(((c_TMAP3OUT)-(c_TMAP2OUT))&gt;=0,1,-1)*QUOTIENT(((c_TMAP3IN)-(c_TMAP2IN)),2))+2147483648,4294967296)-2147483648,((c_TMAP3IN)-(c_TMAP2IN))*(((A261)-(c_TMAP2IN))*((c_TMAP3OUT)-(c_TMAP2OUT))+IF(((c_TMAP3OUT)-(c_TMAP2OUT))&gt;=0,1,-1)*QUOTIENT(((c_TMAP3IN)-(c_TMAP2IN)),2)))&lt;0,-1,0),IF(IF(o_WRAP=1,MOD(((c_TMAP3IN)-(c_TMAP2IN))*(((A261)-(c_TMAP2IN))*((c_TMAP3OUT)-(c_TMAP2OUT))+IF(((c_TMAP3OUT)-(c_TMAP2OUT))&gt;=0,1,-1)*QUOTIENT(((c_TMAP3IN)-(c_TMAP2IN)),2))+2147483648,4294967296)-2147483648,((c_TMAP3IN)-(c_TMAP2IN))*(((A261)-(c_TMAP2IN))*((c_TMAP3OUT)-(c_TMAP2OUT))+IF(((c_TMAP3OUT)-(c_TMAP2OUT))&gt;=0,1,-1)*QUOTIENT(((c_TMAP3IN)-(c_TMAP2IN)),2)))&gt;=0,1,0)))</f>
        <v>134</v>
      </c>
      <c r="G261" s="7" t="n">
        <f aca="false">IF(((1000)-(c_TMAP3IN))=0,(c_TMAP3OUT)+QUOTIENT(((1000)-(c_TMAP3OUT)),2),QUOTIENT((((A261)-(c_TMAP3IN))*((1000)-(c_TMAP3OUT))+IF(((1000)-(c_TMAP3OUT))&gt;=0,1,-1)*QUOTIENT(((1000)-(c_TMAP3IN)),2)),((1000)-(c_TMAP3IN)))+(c_TMAP3OUT)+IF(((1000)-(c_TMAP3OUT))&gt;=0,IF(IF(o_WRAP=1,MOD(((1000)-(c_TMAP3IN))*(((A261)-(c_TMAP3IN))*((1000)-(c_TMAP3OUT))+IF(((1000)-(c_TMAP3OUT))&gt;=0,1,-1)*QUOTIENT(((1000)-(c_TMAP3IN)),2))+2147483648,4294967296)-2147483648,((1000)-(c_TMAP3IN))*(((A261)-(c_TMAP3IN))*((1000)-(c_TMAP3OUT))+IF(((1000)-(c_TMAP3OUT))&gt;=0,1,-1)*QUOTIENT(((1000)-(c_TMAP3IN)),2)))&lt;0,-1,0),IF(IF(o_WRAP=1,MOD(((1000)-(c_TMAP3IN))*(((A261)-(c_TMAP3IN))*((1000)-(c_TMAP3OUT))+IF(((1000)-(c_TMAP3OUT))&gt;=0,1,-1)*QUOTIENT(((1000)-(c_TMAP3IN)),2))+2147483648,4294967296)-2147483648,((1000)-(c_TMAP3IN))*(((A261)-(c_TMAP3IN))*((1000)-(c_TMAP3OUT))+IF(((1000)-(c_TMAP3OUT))&gt;=0,1,-1)*QUOTIENT(((1000)-(c_TMAP3IN)),2)))&gt;=0,1,0)))</f>
        <v>84</v>
      </c>
      <c r="H261" s="7" t="str">
        <f aca="false">IF(A261&gt;=c_TFWD,IF(AND(A261&gt;=c_TMAP3IN,c_TMAP3IN&lt;1000),"Seg4 map3-100%",IF(AND(A261&gt;=c_TMAP2IN,c_TMAP3IN&gt;c_TMAP2IN),"Seg3 map2-map3",IF(AND(A261&gt;=c_TMAP1IN,c_TMAP2IN&gt;c_TMAP1IN),"Seg2 map1-map2","Seg1 TFWD-map1"))),IF(AND(A261=0,c_TCREEP&gt;0),"Creep",IF(AND(A261&lt;=c_TRNGMIN,A261&gt;=c_TRNGMAX,c_TRNGMIN-c_TRNGMAX&lt;&gt;0),"Regen ramp","Coast (0)")))</f>
        <v>Seg3 map2-map3</v>
      </c>
      <c r="I261" s="7" t="n">
        <f aca="false">IF(A261&gt;=c_TFWD,IF(AND(A261&gt;=c_TMAP3IN,c_TMAP3IN&lt;1000),G261,IF(AND(A261&gt;=c_TMAP2IN,c_TMAP3IN&gt;c_TMAP2IN),F261,IF(AND(A261&gt;=c_TMAP1IN,c_TMAP2IN&gt;c_TMAP1IN),E261,D261))),C261)</f>
        <v>134</v>
      </c>
      <c r="J261" s="7" t="str">
        <f aca="false">IF(I261&lt;-1090,"TOO LOW",IF(I261&gt;1090,"TOO HIGH",""))</f>
        <v/>
      </c>
      <c r="K261" s="15" t="n">
        <f aca="false">IF(J261&lt;&gt;"",0,IF(I261&gt;979,1000,I261))</f>
        <v>134</v>
      </c>
      <c r="L261" s="7" t="n">
        <f aca="false">K261/10</f>
        <v>13.4</v>
      </c>
    </row>
    <row r="262" customFormat="false" ht="15" hidden="false" customHeight="false" outlineLevel="0" collapsed="false">
      <c r="A262" s="7" t="n">
        <v>257</v>
      </c>
      <c r="B262" s="7" t="n">
        <f aca="false">A262/10</f>
        <v>25.7</v>
      </c>
      <c r="C262" s="7" t="n">
        <f aca="false">IF(AND(A262=0,c_TCREEP&gt;0),10*c_TCREEP,IF(AND(A262&lt;=c_TRNGMIN,A262&gt;=c_TRNGMAX,c_TRNGMIN-c_TRNGMAX&lt;&gt;0),-10*c_TMINRN+QUOTIENT((c_TMAXRN-c_TMINRN)*(100-QUOTIENT((A262-c_TRNGMAX)*100,c_TRNGMIN-c_TRNGMAX)),-10),0))</f>
        <v>0</v>
      </c>
      <c r="D262" s="7" t="n">
        <f aca="false">IF(((c_TMAP1IN)-(c_TFWD))=0,(0)+QUOTIENT(((c_TMAP1OUT)-(0)),2),QUOTIENT((((A262)-(c_TFWD))*((c_TMAP1OUT)-(0))+IF(((c_TMAP1OUT)-(0))&gt;=0,1,-1)*QUOTIENT(((c_TMAP1IN)-(c_TFWD)),2)),((c_TMAP1IN)-(c_TFWD)))+(0)+IF(((c_TMAP1OUT)-(0))&gt;=0,IF(IF(o_WRAP=1,MOD(((c_TMAP1IN)-(c_TFWD))*(((A262)-(c_TFWD))*((c_TMAP1OUT)-(0))+IF(((c_TMAP1OUT)-(0))&gt;=0,1,-1)*QUOTIENT(((c_TMAP1IN)-(c_TFWD)),2))+2147483648,4294967296)-2147483648,((c_TMAP1IN)-(c_TFWD))*(((A262)-(c_TFWD))*((c_TMAP1OUT)-(0))+IF(((c_TMAP1OUT)-(0))&gt;=0,1,-1)*QUOTIENT(((c_TMAP1IN)-(c_TFWD)),2)))&lt;0,-1,0),IF(IF(o_WRAP=1,MOD(((c_TMAP1IN)-(c_TFWD))*(((A262)-(c_TFWD))*((c_TMAP1OUT)-(0))+IF(((c_TMAP1OUT)-(0))&gt;=0,1,-1)*QUOTIENT(((c_TMAP1IN)-(c_TFWD)),2))+2147483648,4294967296)-2147483648,((c_TMAP1IN)-(c_TFWD))*(((A262)-(c_TFWD))*((c_TMAP1OUT)-(0))+IF(((c_TMAP1OUT)-(0))&gt;=0,1,-1)*QUOTIENT(((c_TMAP1IN)-(c_TFWD)),2)))&gt;=0,1,0)))</f>
        <v>192</v>
      </c>
      <c r="E262" s="7" t="n">
        <f aca="false">IF(((c_TMAP2IN)-(c_TMAP1IN))=0,(c_TMAP1OUT)+QUOTIENT(((c_TMAP2OUT)-(c_TMAP1OUT)),2),QUOTIENT((((A262)-(c_TMAP1IN))*((c_TMAP2OUT)-(c_TMAP1OUT))+IF(((c_TMAP2OUT)-(c_TMAP1OUT))&gt;=0,1,-1)*QUOTIENT(((c_TMAP2IN)-(c_TMAP1IN)),2)),((c_TMAP2IN)-(c_TMAP1IN)))+(c_TMAP1OUT)+IF(((c_TMAP2OUT)-(c_TMAP1OUT))&gt;=0,IF(IF(o_WRAP=1,MOD(((c_TMAP2IN)-(c_TMAP1IN))*(((A262)-(c_TMAP1IN))*((c_TMAP2OUT)-(c_TMAP1OUT))+IF(((c_TMAP2OUT)-(c_TMAP1OUT))&gt;=0,1,-1)*QUOTIENT(((c_TMAP2IN)-(c_TMAP1IN)),2))+2147483648,4294967296)-2147483648,((c_TMAP2IN)-(c_TMAP1IN))*(((A262)-(c_TMAP1IN))*((c_TMAP2OUT)-(c_TMAP1OUT))+IF(((c_TMAP2OUT)-(c_TMAP1OUT))&gt;=0,1,-1)*QUOTIENT(((c_TMAP2IN)-(c_TMAP1IN)),2)))&lt;0,-1,0),IF(IF(o_WRAP=1,MOD(((c_TMAP2IN)-(c_TMAP1IN))*(((A262)-(c_TMAP1IN))*((c_TMAP2OUT)-(c_TMAP1OUT))+IF(((c_TMAP2OUT)-(c_TMAP1OUT))&gt;=0,1,-1)*QUOTIENT(((c_TMAP2IN)-(c_TMAP1IN)),2))+2147483648,4294967296)-2147483648,((c_TMAP2IN)-(c_TMAP1IN))*(((A262)-(c_TMAP1IN))*((c_TMAP2OUT)-(c_TMAP1OUT))+IF(((c_TMAP2OUT)-(c_TMAP1OUT))&gt;=0,1,-1)*QUOTIENT(((c_TMAP2IN)-(c_TMAP1IN)),2)))&gt;=0,1,0)))</f>
        <v>133</v>
      </c>
      <c r="F262" s="7" t="n">
        <f aca="false">IF(((c_TMAP3IN)-(c_TMAP2IN))=0,(c_TMAP2OUT)+QUOTIENT(((c_TMAP3OUT)-(c_TMAP2OUT)),2),QUOTIENT((((A262)-(c_TMAP2IN))*((c_TMAP3OUT)-(c_TMAP2OUT))+IF(((c_TMAP3OUT)-(c_TMAP2OUT))&gt;=0,1,-1)*QUOTIENT(((c_TMAP3IN)-(c_TMAP2IN)),2)),((c_TMAP3IN)-(c_TMAP2IN)))+(c_TMAP2OUT)+IF(((c_TMAP3OUT)-(c_TMAP2OUT))&gt;=0,IF(IF(o_WRAP=1,MOD(((c_TMAP3IN)-(c_TMAP2IN))*(((A262)-(c_TMAP2IN))*((c_TMAP3OUT)-(c_TMAP2OUT))+IF(((c_TMAP3OUT)-(c_TMAP2OUT))&gt;=0,1,-1)*QUOTIENT(((c_TMAP3IN)-(c_TMAP2IN)),2))+2147483648,4294967296)-2147483648,((c_TMAP3IN)-(c_TMAP2IN))*(((A262)-(c_TMAP2IN))*((c_TMAP3OUT)-(c_TMAP2OUT))+IF(((c_TMAP3OUT)-(c_TMAP2OUT))&gt;=0,1,-1)*QUOTIENT(((c_TMAP3IN)-(c_TMAP2IN)),2)))&lt;0,-1,0),IF(IF(o_WRAP=1,MOD(((c_TMAP3IN)-(c_TMAP2IN))*(((A262)-(c_TMAP2IN))*((c_TMAP3OUT)-(c_TMAP2OUT))+IF(((c_TMAP3OUT)-(c_TMAP2OUT))&gt;=0,1,-1)*QUOTIENT(((c_TMAP3IN)-(c_TMAP2IN)),2))+2147483648,4294967296)-2147483648,((c_TMAP3IN)-(c_TMAP2IN))*(((A262)-(c_TMAP2IN))*((c_TMAP3OUT)-(c_TMAP2OUT))+IF(((c_TMAP3OUT)-(c_TMAP2OUT))&gt;=0,1,-1)*QUOTIENT(((c_TMAP3IN)-(c_TMAP2IN)),2)))&gt;=0,1,0)))</f>
        <v>135</v>
      </c>
      <c r="G262" s="7" t="n">
        <f aca="false">IF(((1000)-(c_TMAP3IN))=0,(c_TMAP3OUT)+QUOTIENT(((1000)-(c_TMAP3OUT)),2),QUOTIENT((((A262)-(c_TMAP3IN))*((1000)-(c_TMAP3OUT))+IF(((1000)-(c_TMAP3OUT))&gt;=0,1,-1)*QUOTIENT(((1000)-(c_TMAP3IN)),2)),((1000)-(c_TMAP3IN)))+(c_TMAP3OUT)+IF(((1000)-(c_TMAP3OUT))&gt;=0,IF(IF(o_WRAP=1,MOD(((1000)-(c_TMAP3IN))*(((A262)-(c_TMAP3IN))*((1000)-(c_TMAP3OUT))+IF(((1000)-(c_TMAP3OUT))&gt;=0,1,-1)*QUOTIENT(((1000)-(c_TMAP3IN)),2))+2147483648,4294967296)-2147483648,((1000)-(c_TMAP3IN))*(((A262)-(c_TMAP3IN))*((1000)-(c_TMAP3OUT))+IF(((1000)-(c_TMAP3OUT))&gt;=0,1,-1)*QUOTIENT(((1000)-(c_TMAP3IN)),2)))&lt;0,-1,0),IF(IF(o_WRAP=1,MOD(((1000)-(c_TMAP3IN))*(((A262)-(c_TMAP3IN))*((1000)-(c_TMAP3OUT))+IF(((1000)-(c_TMAP3OUT))&gt;=0,1,-1)*QUOTIENT(((1000)-(c_TMAP3IN)),2))+2147483648,4294967296)-2147483648,((1000)-(c_TMAP3IN))*(((A262)-(c_TMAP3IN))*((1000)-(c_TMAP3OUT))+IF(((1000)-(c_TMAP3OUT))&gt;=0,1,-1)*QUOTIENT(((1000)-(c_TMAP3IN)),2)))&gt;=0,1,0)))</f>
        <v>86</v>
      </c>
      <c r="H262" s="7" t="str">
        <f aca="false">IF(A262&gt;=c_TFWD,IF(AND(A262&gt;=c_TMAP3IN,c_TMAP3IN&lt;1000),"Seg4 map3-100%",IF(AND(A262&gt;=c_TMAP2IN,c_TMAP3IN&gt;c_TMAP2IN),"Seg3 map2-map3",IF(AND(A262&gt;=c_TMAP1IN,c_TMAP2IN&gt;c_TMAP1IN),"Seg2 map1-map2","Seg1 TFWD-map1"))),IF(AND(A262=0,c_TCREEP&gt;0),"Creep",IF(AND(A262&lt;=c_TRNGMIN,A262&gt;=c_TRNGMAX,c_TRNGMIN-c_TRNGMAX&lt;&gt;0),"Regen ramp","Coast (0)")))</f>
        <v>Seg3 map2-map3</v>
      </c>
      <c r="I262" s="7" t="n">
        <f aca="false">IF(A262&gt;=c_TFWD,IF(AND(A262&gt;=c_TMAP3IN,c_TMAP3IN&lt;1000),G262,IF(AND(A262&gt;=c_TMAP2IN,c_TMAP3IN&gt;c_TMAP2IN),F262,IF(AND(A262&gt;=c_TMAP1IN,c_TMAP2IN&gt;c_TMAP1IN),E262,D262))),C262)</f>
        <v>135</v>
      </c>
      <c r="J262" s="7" t="str">
        <f aca="false">IF(I262&lt;-1090,"TOO LOW",IF(I262&gt;1090,"TOO HIGH",""))</f>
        <v/>
      </c>
      <c r="K262" s="15" t="n">
        <f aca="false">IF(J262&lt;&gt;"",0,IF(I262&gt;979,1000,I262))</f>
        <v>135</v>
      </c>
      <c r="L262" s="7" t="n">
        <f aca="false">K262/10</f>
        <v>13.5</v>
      </c>
    </row>
    <row r="263" customFormat="false" ht="15" hidden="false" customHeight="false" outlineLevel="0" collapsed="false">
      <c r="A263" s="7" t="n">
        <v>258</v>
      </c>
      <c r="B263" s="7" t="n">
        <f aca="false">A263/10</f>
        <v>25.8</v>
      </c>
      <c r="C263" s="7" t="n">
        <f aca="false">IF(AND(A263=0,c_TCREEP&gt;0),10*c_TCREEP,IF(AND(A263&lt;=c_TRNGMIN,A263&gt;=c_TRNGMAX,c_TRNGMIN-c_TRNGMAX&lt;&gt;0),-10*c_TMINRN+QUOTIENT((c_TMAXRN-c_TMINRN)*(100-QUOTIENT((A263-c_TRNGMAX)*100,c_TRNGMIN-c_TRNGMAX)),-10),0))</f>
        <v>0</v>
      </c>
      <c r="D263" s="7" t="n">
        <f aca="false">IF(((c_TMAP1IN)-(c_TFWD))=0,(0)+QUOTIENT(((c_TMAP1OUT)-(0)),2),QUOTIENT((((A263)-(c_TFWD))*((c_TMAP1OUT)-(0))+IF(((c_TMAP1OUT)-(0))&gt;=0,1,-1)*QUOTIENT(((c_TMAP1IN)-(c_TFWD)),2)),((c_TMAP1IN)-(c_TFWD)))+(0)+IF(((c_TMAP1OUT)-(0))&gt;=0,IF(IF(o_WRAP=1,MOD(((c_TMAP1IN)-(c_TFWD))*(((A263)-(c_TFWD))*((c_TMAP1OUT)-(0))+IF(((c_TMAP1OUT)-(0))&gt;=0,1,-1)*QUOTIENT(((c_TMAP1IN)-(c_TFWD)),2))+2147483648,4294967296)-2147483648,((c_TMAP1IN)-(c_TFWD))*(((A263)-(c_TFWD))*((c_TMAP1OUT)-(0))+IF(((c_TMAP1OUT)-(0))&gt;=0,1,-1)*QUOTIENT(((c_TMAP1IN)-(c_TFWD)),2)))&lt;0,-1,0),IF(IF(o_WRAP=1,MOD(((c_TMAP1IN)-(c_TFWD))*(((A263)-(c_TFWD))*((c_TMAP1OUT)-(0))+IF(((c_TMAP1OUT)-(0))&gt;=0,1,-1)*QUOTIENT(((c_TMAP1IN)-(c_TFWD)),2))+2147483648,4294967296)-2147483648,((c_TMAP1IN)-(c_TFWD))*(((A263)-(c_TFWD))*((c_TMAP1OUT)-(0))+IF(((c_TMAP1OUT)-(0))&gt;=0,1,-1)*QUOTIENT(((c_TMAP1IN)-(c_TFWD)),2)))&gt;=0,1,0)))</f>
        <v>193</v>
      </c>
      <c r="E263" s="7" t="n">
        <f aca="false">IF(((c_TMAP2IN)-(c_TMAP1IN))=0,(c_TMAP1OUT)+QUOTIENT(((c_TMAP2OUT)-(c_TMAP1OUT)),2),QUOTIENT((((A263)-(c_TMAP1IN))*((c_TMAP2OUT)-(c_TMAP1OUT))+IF(((c_TMAP2OUT)-(c_TMAP1OUT))&gt;=0,1,-1)*QUOTIENT(((c_TMAP2IN)-(c_TMAP1IN)),2)),((c_TMAP2IN)-(c_TMAP1IN)))+(c_TMAP1OUT)+IF(((c_TMAP2OUT)-(c_TMAP1OUT))&gt;=0,IF(IF(o_WRAP=1,MOD(((c_TMAP2IN)-(c_TMAP1IN))*(((A263)-(c_TMAP1IN))*((c_TMAP2OUT)-(c_TMAP1OUT))+IF(((c_TMAP2OUT)-(c_TMAP1OUT))&gt;=0,1,-1)*QUOTIENT(((c_TMAP2IN)-(c_TMAP1IN)),2))+2147483648,4294967296)-2147483648,((c_TMAP2IN)-(c_TMAP1IN))*(((A263)-(c_TMAP1IN))*((c_TMAP2OUT)-(c_TMAP1OUT))+IF(((c_TMAP2OUT)-(c_TMAP1OUT))&gt;=0,1,-1)*QUOTIENT(((c_TMAP2IN)-(c_TMAP1IN)),2)))&lt;0,-1,0),IF(IF(o_WRAP=1,MOD(((c_TMAP2IN)-(c_TMAP1IN))*(((A263)-(c_TMAP1IN))*((c_TMAP2OUT)-(c_TMAP1OUT))+IF(((c_TMAP2OUT)-(c_TMAP1OUT))&gt;=0,1,-1)*QUOTIENT(((c_TMAP2IN)-(c_TMAP1IN)),2))+2147483648,4294967296)-2147483648,((c_TMAP2IN)-(c_TMAP1IN))*(((A263)-(c_TMAP1IN))*((c_TMAP2OUT)-(c_TMAP1OUT))+IF(((c_TMAP2OUT)-(c_TMAP1OUT))&gt;=0,1,-1)*QUOTIENT(((c_TMAP2IN)-(c_TMAP1IN)),2)))&gt;=0,1,0)))</f>
        <v>133</v>
      </c>
      <c r="F263" s="7" t="n">
        <f aca="false">IF(((c_TMAP3IN)-(c_TMAP2IN))=0,(c_TMAP2OUT)+QUOTIENT(((c_TMAP3OUT)-(c_TMAP2OUT)),2),QUOTIENT((((A263)-(c_TMAP2IN))*((c_TMAP3OUT)-(c_TMAP2OUT))+IF(((c_TMAP3OUT)-(c_TMAP2OUT))&gt;=0,1,-1)*QUOTIENT(((c_TMAP3IN)-(c_TMAP2IN)),2)),((c_TMAP3IN)-(c_TMAP2IN)))+(c_TMAP2OUT)+IF(((c_TMAP3OUT)-(c_TMAP2OUT))&gt;=0,IF(IF(o_WRAP=1,MOD(((c_TMAP3IN)-(c_TMAP2IN))*(((A263)-(c_TMAP2IN))*((c_TMAP3OUT)-(c_TMAP2OUT))+IF(((c_TMAP3OUT)-(c_TMAP2OUT))&gt;=0,1,-1)*QUOTIENT(((c_TMAP3IN)-(c_TMAP2IN)),2))+2147483648,4294967296)-2147483648,((c_TMAP3IN)-(c_TMAP2IN))*(((A263)-(c_TMAP2IN))*((c_TMAP3OUT)-(c_TMAP2OUT))+IF(((c_TMAP3OUT)-(c_TMAP2OUT))&gt;=0,1,-1)*QUOTIENT(((c_TMAP3IN)-(c_TMAP2IN)),2)))&lt;0,-1,0),IF(IF(o_WRAP=1,MOD(((c_TMAP3IN)-(c_TMAP2IN))*(((A263)-(c_TMAP2IN))*((c_TMAP3OUT)-(c_TMAP2OUT))+IF(((c_TMAP3OUT)-(c_TMAP2OUT))&gt;=0,1,-1)*QUOTIENT(((c_TMAP3IN)-(c_TMAP2IN)),2))+2147483648,4294967296)-2147483648,((c_TMAP3IN)-(c_TMAP2IN))*(((A263)-(c_TMAP2IN))*((c_TMAP3OUT)-(c_TMAP2OUT))+IF(((c_TMAP3OUT)-(c_TMAP2OUT))&gt;=0,1,-1)*QUOTIENT(((c_TMAP3IN)-(c_TMAP2IN)),2)))&gt;=0,1,0)))</f>
        <v>136</v>
      </c>
      <c r="G263" s="7" t="n">
        <f aca="false">IF(((1000)-(c_TMAP3IN))=0,(c_TMAP3OUT)+QUOTIENT(((1000)-(c_TMAP3OUT)),2),QUOTIENT((((A263)-(c_TMAP3IN))*((1000)-(c_TMAP3OUT))+IF(((1000)-(c_TMAP3OUT))&gt;=0,1,-1)*QUOTIENT(((1000)-(c_TMAP3IN)),2)),((1000)-(c_TMAP3IN)))+(c_TMAP3OUT)+IF(((1000)-(c_TMAP3OUT))&gt;=0,IF(IF(o_WRAP=1,MOD(((1000)-(c_TMAP3IN))*(((A263)-(c_TMAP3IN))*((1000)-(c_TMAP3OUT))+IF(((1000)-(c_TMAP3OUT))&gt;=0,1,-1)*QUOTIENT(((1000)-(c_TMAP3IN)),2))+2147483648,4294967296)-2147483648,((1000)-(c_TMAP3IN))*(((A263)-(c_TMAP3IN))*((1000)-(c_TMAP3OUT))+IF(((1000)-(c_TMAP3OUT))&gt;=0,1,-1)*QUOTIENT(((1000)-(c_TMAP3IN)),2)))&lt;0,-1,0),IF(IF(o_WRAP=1,MOD(((1000)-(c_TMAP3IN))*(((A263)-(c_TMAP3IN))*((1000)-(c_TMAP3OUT))+IF(((1000)-(c_TMAP3OUT))&gt;=0,1,-1)*QUOTIENT(((1000)-(c_TMAP3IN)),2))+2147483648,4294967296)-2147483648,((1000)-(c_TMAP3IN))*(((A263)-(c_TMAP3IN))*((1000)-(c_TMAP3OUT))+IF(((1000)-(c_TMAP3OUT))&gt;=0,1,-1)*QUOTIENT(((1000)-(c_TMAP3IN)),2)))&gt;=0,1,0)))</f>
        <v>87</v>
      </c>
      <c r="H263" s="7" t="str">
        <f aca="false">IF(A263&gt;=c_TFWD,IF(AND(A263&gt;=c_TMAP3IN,c_TMAP3IN&lt;1000),"Seg4 map3-100%",IF(AND(A263&gt;=c_TMAP2IN,c_TMAP3IN&gt;c_TMAP2IN),"Seg3 map2-map3",IF(AND(A263&gt;=c_TMAP1IN,c_TMAP2IN&gt;c_TMAP1IN),"Seg2 map1-map2","Seg1 TFWD-map1"))),IF(AND(A263=0,c_TCREEP&gt;0),"Creep",IF(AND(A263&lt;=c_TRNGMIN,A263&gt;=c_TRNGMAX,c_TRNGMIN-c_TRNGMAX&lt;&gt;0),"Regen ramp","Coast (0)")))</f>
        <v>Seg3 map2-map3</v>
      </c>
      <c r="I263" s="7" t="n">
        <f aca="false">IF(A263&gt;=c_TFWD,IF(AND(A263&gt;=c_TMAP3IN,c_TMAP3IN&lt;1000),G263,IF(AND(A263&gt;=c_TMAP2IN,c_TMAP3IN&gt;c_TMAP2IN),F263,IF(AND(A263&gt;=c_TMAP1IN,c_TMAP2IN&gt;c_TMAP1IN),E263,D263))),C263)</f>
        <v>136</v>
      </c>
      <c r="J263" s="7" t="str">
        <f aca="false">IF(I263&lt;-1090,"TOO LOW",IF(I263&gt;1090,"TOO HIGH",""))</f>
        <v/>
      </c>
      <c r="K263" s="15" t="n">
        <f aca="false">IF(J263&lt;&gt;"",0,IF(I263&gt;979,1000,I263))</f>
        <v>136</v>
      </c>
      <c r="L263" s="7" t="n">
        <f aca="false">K263/10</f>
        <v>13.6</v>
      </c>
    </row>
    <row r="264" customFormat="false" ht="15" hidden="false" customHeight="false" outlineLevel="0" collapsed="false">
      <c r="A264" s="7" t="n">
        <v>259</v>
      </c>
      <c r="B264" s="7" t="n">
        <f aca="false">A264/10</f>
        <v>25.9</v>
      </c>
      <c r="C264" s="7" t="n">
        <f aca="false">IF(AND(A264=0,c_TCREEP&gt;0),10*c_TCREEP,IF(AND(A264&lt;=c_TRNGMIN,A264&gt;=c_TRNGMAX,c_TRNGMIN-c_TRNGMAX&lt;&gt;0),-10*c_TMINRN+QUOTIENT((c_TMAXRN-c_TMINRN)*(100-QUOTIENT((A264-c_TRNGMAX)*100,c_TRNGMIN-c_TRNGMAX)),-10),0))</f>
        <v>0</v>
      </c>
      <c r="D264" s="7" t="n">
        <f aca="false">IF(((c_TMAP1IN)-(c_TFWD))=0,(0)+QUOTIENT(((c_TMAP1OUT)-(0)),2),QUOTIENT((((A264)-(c_TFWD))*((c_TMAP1OUT)-(0))+IF(((c_TMAP1OUT)-(0))&gt;=0,1,-1)*QUOTIENT(((c_TMAP1IN)-(c_TFWD)),2)),((c_TMAP1IN)-(c_TFWD)))+(0)+IF(((c_TMAP1OUT)-(0))&gt;=0,IF(IF(o_WRAP=1,MOD(((c_TMAP1IN)-(c_TFWD))*(((A264)-(c_TFWD))*((c_TMAP1OUT)-(0))+IF(((c_TMAP1OUT)-(0))&gt;=0,1,-1)*QUOTIENT(((c_TMAP1IN)-(c_TFWD)),2))+2147483648,4294967296)-2147483648,((c_TMAP1IN)-(c_TFWD))*(((A264)-(c_TFWD))*((c_TMAP1OUT)-(0))+IF(((c_TMAP1OUT)-(0))&gt;=0,1,-1)*QUOTIENT(((c_TMAP1IN)-(c_TFWD)),2)))&lt;0,-1,0),IF(IF(o_WRAP=1,MOD(((c_TMAP1IN)-(c_TFWD))*(((A264)-(c_TFWD))*((c_TMAP1OUT)-(0))+IF(((c_TMAP1OUT)-(0))&gt;=0,1,-1)*QUOTIENT(((c_TMAP1IN)-(c_TFWD)),2))+2147483648,4294967296)-2147483648,((c_TMAP1IN)-(c_TFWD))*(((A264)-(c_TFWD))*((c_TMAP1OUT)-(0))+IF(((c_TMAP1OUT)-(0))&gt;=0,1,-1)*QUOTIENT(((c_TMAP1IN)-(c_TFWD)),2)))&gt;=0,1,0)))</f>
        <v>194</v>
      </c>
      <c r="E264" s="7" t="n">
        <f aca="false">IF(((c_TMAP2IN)-(c_TMAP1IN))=0,(c_TMAP1OUT)+QUOTIENT(((c_TMAP2OUT)-(c_TMAP1OUT)),2),QUOTIENT((((A264)-(c_TMAP1IN))*((c_TMAP2OUT)-(c_TMAP1OUT))+IF(((c_TMAP2OUT)-(c_TMAP1OUT))&gt;=0,1,-1)*QUOTIENT(((c_TMAP2IN)-(c_TMAP1IN)),2)),((c_TMAP2IN)-(c_TMAP1IN)))+(c_TMAP1OUT)+IF(((c_TMAP2OUT)-(c_TMAP1OUT))&gt;=0,IF(IF(o_WRAP=1,MOD(((c_TMAP2IN)-(c_TMAP1IN))*(((A264)-(c_TMAP1IN))*((c_TMAP2OUT)-(c_TMAP1OUT))+IF(((c_TMAP2OUT)-(c_TMAP1OUT))&gt;=0,1,-1)*QUOTIENT(((c_TMAP2IN)-(c_TMAP1IN)),2))+2147483648,4294967296)-2147483648,((c_TMAP2IN)-(c_TMAP1IN))*(((A264)-(c_TMAP1IN))*((c_TMAP2OUT)-(c_TMAP1OUT))+IF(((c_TMAP2OUT)-(c_TMAP1OUT))&gt;=0,1,-1)*QUOTIENT(((c_TMAP2IN)-(c_TMAP1IN)),2)))&lt;0,-1,0),IF(IF(o_WRAP=1,MOD(((c_TMAP2IN)-(c_TMAP1IN))*(((A264)-(c_TMAP1IN))*((c_TMAP2OUT)-(c_TMAP1OUT))+IF(((c_TMAP2OUT)-(c_TMAP1OUT))&gt;=0,1,-1)*QUOTIENT(((c_TMAP2IN)-(c_TMAP1IN)),2))+2147483648,4294967296)-2147483648,((c_TMAP2IN)-(c_TMAP1IN))*(((A264)-(c_TMAP1IN))*((c_TMAP2OUT)-(c_TMAP1OUT))+IF(((c_TMAP2OUT)-(c_TMAP1OUT))&gt;=0,1,-1)*QUOTIENT(((c_TMAP2IN)-(c_TMAP1IN)),2)))&gt;=0,1,0)))</f>
        <v>134</v>
      </c>
      <c r="F264" s="7" t="n">
        <f aca="false">IF(((c_TMAP3IN)-(c_TMAP2IN))=0,(c_TMAP2OUT)+QUOTIENT(((c_TMAP3OUT)-(c_TMAP2OUT)),2),QUOTIENT((((A264)-(c_TMAP2IN))*((c_TMAP3OUT)-(c_TMAP2OUT))+IF(((c_TMAP3OUT)-(c_TMAP2OUT))&gt;=0,1,-1)*QUOTIENT(((c_TMAP3IN)-(c_TMAP2IN)),2)),((c_TMAP3IN)-(c_TMAP2IN)))+(c_TMAP2OUT)+IF(((c_TMAP3OUT)-(c_TMAP2OUT))&gt;=0,IF(IF(o_WRAP=1,MOD(((c_TMAP3IN)-(c_TMAP2IN))*(((A264)-(c_TMAP2IN))*((c_TMAP3OUT)-(c_TMAP2OUT))+IF(((c_TMAP3OUT)-(c_TMAP2OUT))&gt;=0,1,-1)*QUOTIENT(((c_TMAP3IN)-(c_TMAP2IN)),2))+2147483648,4294967296)-2147483648,((c_TMAP3IN)-(c_TMAP2IN))*(((A264)-(c_TMAP2IN))*((c_TMAP3OUT)-(c_TMAP2OUT))+IF(((c_TMAP3OUT)-(c_TMAP2OUT))&gt;=0,1,-1)*QUOTIENT(((c_TMAP3IN)-(c_TMAP2IN)),2)))&lt;0,-1,0),IF(IF(o_WRAP=1,MOD(((c_TMAP3IN)-(c_TMAP2IN))*(((A264)-(c_TMAP2IN))*((c_TMAP3OUT)-(c_TMAP2OUT))+IF(((c_TMAP3OUT)-(c_TMAP2OUT))&gt;=0,1,-1)*QUOTIENT(((c_TMAP3IN)-(c_TMAP2IN)),2))+2147483648,4294967296)-2147483648,((c_TMAP3IN)-(c_TMAP2IN))*(((A264)-(c_TMAP2IN))*((c_TMAP3OUT)-(c_TMAP2OUT))+IF(((c_TMAP3OUT)-(c_TMAP2OUT))&gt;=0,1,-1)*QUOTIENT(((c_TMAP3IN)-(c_TMAP2IN)),2)))&gt;=0,1,0)))</f>
        <v>136</v>
      </c>
      <c r="G264" s="7" t="n">
        <f aca="false">IF(((1000)-(c_TMAP3IN))=0,(c_TMAP3OUT)+QUOTIENT(((1000)-(c_TMAP3OUT)),2),QUOTIENT((((A264)-(c_TMAP3IN))*((1000)-(c_TMAP3OUT))+IF(((1000)-(c_TMAP3OUT))&gt;=0,1,-1)*QUOTIENT(((1000)-(c_TMAP3IN)),2)),((1000)-(c_TMAP3IN)))+(c_TMAP3OUT)+IF(((1000)-(c_TMAP3OUT))&gt;=0,IF(IF(o_WRAP=1,MOD(((1000)-(c_TMAP3IN))*(((A264)-(c_TMAP3IN))*((1000)-(c_TMAP3OUT))+IF(((1000)-(c_TMAP3OUT))&gt;=0,1,-1)*QUOTIENT(((1000)-(c_TMAP3IN)),2))+2147483648,4294967296)-2147483648,((1000)-(c_TMAP3IN))*(((A264)-(c_TMAP3IN))*((1000)-(c_TMAP3OUT))+IF(((1000)-(c_TMAP3OUT))&gt;=0,1,-1)*QUOTIENT(((1000)-(c_TMAP3IN)),2)))&lt;0,-1,0),IF(IF(o_WRAP=1,MOD(((1000)-(c_TMAP3IN))*(((A264)-(c_TMAP3IN))*((1000)-(c_TMAP3OUT))+IF(((1000)-(c_TMAP3OUT))&gt;=0,1,-1)*QUOTIENT(((1000)-(c_TMAP3IN)),2))+2147483648,4294967296)-2147483648,((1000)-(c_TMAP3IN))*(((A264)-(c_TMAP3IN))*((1000)-(c_TMAP3OUT))+IF(((1000)-(c_TMAP3OUT))&gt;=0,1,-1)*QUOTIENT(((1000)-(c_TMAP3IN)),2)))&gt;=0,1,0)))</f>
        <v>88</v>
      </c>
      <c r="H264" s="7" t="str">
        <f aca="false">IF(A264&gt;=c_TFWD,IF(AND(A264&gt;=c_TMAP3IN,c_TMAP3IN&lt;1000),"Seg4 map3-100%",IF(AND(A264&gt;=c_TMAP2IN,c_TMAP3IN&gt;c_TMAP2IN),"Seg3 map2-map3",IF(AND(A264&gt;=c_TMAP1IN,c_TMAP2IN&gt;c_TMAP1IN),"Seg2 map1-map2","Seg1 TFWD-map1"))),IF(AND(A264=0,c_TCREEP&gt;0),"Creep",IF(AND(A264&lt;=c_TRNGMIN,A264&gt;=c_TRNGMAX,c_TRNGMIN-c_TRNGMAX&lt;&gt;0),"Regen ramp","Coast (0)")))</f>
        <v>Seg3 map2-map3</v>
      </c>
      <c r="I264" s="7" t="n">
        <f aca="false">IF(A264&gt;=c_TFWD,IF(AND(A264&gt;=c_TMAP3IN,c_TMAP3IN&lt;1000),G264,IF(AND(A264&gt;=c_TMAP2IN,c_TMAP3IN&gt;c_TMAP2IN),F264,IF(AND(A264&gt;=c_TMAP1IN,c_TMAP2IN&gt;c_TMAP1IN),E264,D264))),C264)</f>
        <v>136</v>
      </c>
      <c r="J264" s="7" t="str">
        <f aca="false">IF(I264&lt;-1090,"TOO LOW",IF(I264&gt;1090,"TOO HIGH",""))</f>
        <v/>
      </c>
      <c r="K264" s="15" t="n">
        <f aca="false">IF(J264&lt;&gt;"",0,IF(I264&gt;979,1000,I264))</f>
        <v>136</v>
      </c>
      <c r="L264" s="7" t="n">
        <f aca="false">K264/10</f>
        <v>13.6</v>
      </c>
    </row>
    <row r="265" customFormat="false" ht="15" hidden="false" customHeight="false" outlineLevel="0" collapsed="false">
      <c r="A265" s="7" t="n">
        <v>260</v>
      </c>
      <c r="B265" s="7" t="n">
        <f aca="false">A265/10</f>
        <v>26</v>
      </c>
      <c r="C265" s="7" t="n">
        <f aca="false">IF(AND(A265=0,c_TCREEP&gt;0),10*c_TCREEP,IF(AND(A265&lt;=c_TRNGMIN,A265&gt;=c_TRNGMAX,c_TRNGMIN-c_TRNGMAX&lt;&gt;0),-10*c_TMINRN+QUOTIENT((c_TMAXRN-c_TMINRN)*(100-QUOTIENT((A265-c_TRNGMAX)*100,c_TRNGMIN-c_TRNGMAX)),-10),0))</f>
        <v>0</v>
      </c>
      <c r="D265" s="7" t="n">
        <f aca="false">IF(((c_TMAP1IN)-(c_TFWD))=0,(0)+QUOTIENT(((c_TMAP1OUT)-(0)),2),QUOTIENT((((A265)-(c_TFWD))*((c_TMAP1OUT)-(0))+IF(((c_TMAP1OUT)-(0))&gt;=0,1,-1)*QUOTIENT(((c_TMAP1IN)-(c_TFWD)),2)),((c_TMAP1IN)-(c_TFWD)))+(0)+IF(((c_TMAP1OUT)-(0))&gt;=0,IF(IF(o_WRAP=1,MOD(((c_TMAP1IN)-(c_TFWD))*(((A265)-(c_TFWD))*((c_TMAP1OUT)-(0))+IF(((c_TMAP1OUT)-(0))&gt;=0,1,-1)*QUOTIENT(((c_TMAP1IN)-(c_TFWD)),2))+2147483648,4294967296)-2147483648,((c_TMAP1IN)-(c_TFWD))*(((A265)-(c_TFWD))*((c_TMAP1OUT)-(0))+IF(((c_TMAP1OUT)-(0))&gt;=0,1,-1)*QUOTIENT(((c_TMAP1IN)-(c_TFWD)),2)))&lt;0,-1,0),IF(IF(o_WRAP=1,MOD(((c_TMAP1IN)-(c_TFWD))*(((A265)-(c_TFWD))*((c_TMAP1OUT)-(0))+IF(((c_TMAP1OUT)-(0))&gt;=0,1,-1)*QUOTIENT(((c_TMAP1IN)-(c_TFWD)),2))+2147483648,4294967296)-2147483648,((c_TMAP1IN)-(c_TFWD))*(((A265)-(c_TFWD))*((c_TMAP1OUT)-(0))+IF(((c_TMAP1OUT)-(0))&gt;=0,1,-1)*QUOTIENT(((c_TMAP1IN)-(c_TFWD)),2)))&gt;=0,1,0)))</f>
        <v>194</v>
      </c>
      <c r="E265" s="7" t="n">
        <f aca="false">IF(((c_TMAP2IN)-(c_TMAP1IN))=0,(c_TMAP1OUT)+QUOTIENT(((c_TMAP2OUT)-(c_TMAP1OUT)),2),QUOTIENT((((A265)-(c_TMAP1IN))*((c_TMAP2OUT)-(c_TMAP1OUT))+IF(((c_TMAP2OUT)-(c_TMAP1OUT))&gt;=0,1,-1)*QUOTIENT(((c_TMAP2IN)-(c_TMAP1IN)),2)),((c_TMAP2IN)-(c_TMAP1IN)))+(c_TMAP1OUT)+IF(((c_TMAP2OUT)-(c_TMAP1OUT))&gt;=0,IF(IF(o_WRAP=1,MOD(((c_TMAP2IN)-(c_TMAP1IN))*(((A265)-(c_TMAP1IN))*((c_TMAP2OUT)-(c_TMAP1OUT))+IF(((c_TMAP2OUT)-(c_TMAP1OUT))&gt;=0,1,-1)*QUOTIENT(((c_TMAP2IN)-(c_TMAP1IN)),2))+2147483648,4294967296)-2147483648,((c_TMAP2IN)-(c_TMAP1IN))*(((A265)-(c_TMAP1IN))*((c_TMAP2OUT)-(c_TMAP1OUT))+IF(((c_TMAP2OUT)-(c_TMAP1OUT))&gt;=0,1,-1)*QUOTIENT(((c_TMAP2IN)-(c_TMAP1IN)),2)))&lt;0,-1,0),IF(IF(o_WRAP=1,MOD(((c_TMAP2IN)-(c_TMAP1IN))*(((A265)-(c_TMAP1IN))*((c_TMAP2OUT)-(c_TMAP1OUT))+IF(((c_TMAP2OUT)-(c_TMAP1OUT))&gt;=0,1,-1)*QUOTIENT(((c_TMAP2IN)-(c_TMAP1IN)),2))+2147483648,4294967296)-2147483648,((c_TMAP2IN)-(c_TMAP1IN))*(((A265)-(c_TMAP1IN))*((c_TMAP2OUT)-(c_TMAP1OUT))+IF(((c_TMAP2OUT)-(c_TMAP1OUT))&gt;=0,1,-1)*QUOTIENT(((c_TMAP2IN)-(c_TMAP1IN)),2)))&gt;=0,1,0)))</f>
        <v>134</v>
      </c>
      <c r="F265" s="7" t="n">
        <f aca="false">IF(((c_TMAP3IN)-(c_TMAP2IN))=0,(c_TMAP2OUT)+QUOTIENT(((c_TMAP3OUT)-(c_TMAP2OUT)),2),QUOTIENT((((A265)-(c_TMAP2IN))*((c_TMAP3OUT)-(c_TMAP2OUT))+IF(((c_TMAP3OUT)-(c_TMAP2OUT))&gt;=0,1,-1)*QUOTIENT(((c_TMAP3IN)-(c_TMAP2IN)),2)),((c_TMAP3IN)-(c_TMAP2IN)))+(c_TMAP2OUT)+IF(((c_TMAP3OUT)-(c_TMAP2OUT))&gt;=0,IF(IF(o_WRAP=1,MOD(((c_TMAP3IN)-(c_TMAP2IN))*(((A265)-(c_TMAP2IN))*((c_TMAP3OUT)-(c_TMAP2OUT))+IF(((c_TMAP3OUT)-(c_TMAP2OUT))&gt;=0,1,-1)*QUOTIENT(((c_TMAP3IN)-(c_TMAP2IN)),2))+2147483648,4294967296)-2147483648,((c_TMAP3IN)-(c_TMAP2IN))*(((A265)-(c_TMAP2IN))*((c_TMAP3OUT)-(c_TMAP2OUT))+IF(((c_TMAP3OUT)-(c_TMAP2OUT))&gt;=0,1,-1)*QUOTIENT(((c_TMAP3IN)-(c_TMAP2IN)),2)))&lt;0,-1,0),IF(IF(o_WRAP=1,MOD(((c_TMAP3IN)-(c_TMAP2IN))*(((A265)-(c_TMAP2IN))*((c_TMAP3OUT)-(c_TMAP2OUT))+IF(((c_TMAP3OUT)-(c_TMAP2OUT))&gt;=0,1,-1)*QUOTIENT(((c_TMAP3IN)-(c_TMAP2IN)),2))+2147483648,4294967296)-2147483648,((c_TMAP3IN)-(c_TMAP2IN))*(((A265)-(c_TMAP2IN))*((c_TMAP3OUT)-(c_TMAP2OUT))+IF(((c_TMAP3OUT)-(c_TMAP2OUT))&gt;=0,1,-1)*QUOTIENT(((c_TMAP3IN)-(c_TMAP2IN)),2)))&gt;=0,1,0)))</f>
        <v>137</v>
      </c>
      <c r="G265" s="7" t="n">
        <f aca="false">IF(((1000)-(c_TMAP3IN))=0,(c_TMAP3OUT)+QUOTIENT(((1000)-(c_TMAP3OUT)),2),QUOTIENT((((A265)-(c_TMAP3IN))*((1000)-(c_TMAP3OUT))+IF(((1000)-(c_TMAP3OUT))&gt;=0,1,-1)*QUOTIENT(((1000)-(c_TMAP3IN)),2)),((1000)-(c_TMAP3IN)))+(c_TMAP3OUT)+IF(((1000)-(c_TMAP3OUT))&gt;=0,IF(IF(o_WRAP=1,MOD(((1000)-(c_TMAP3IN))*(((A265)-(c_TMAP3IN))*((1000)-(c_TMAP3OUT))+IF(((1000)-(c_TMAP3OUT))&gt;=0,1,-1)*QUOTIENT(((1000)-(c_TMAP3IN)),2))+2147483648,4294967296)-2147483648,((1000)-(c_TMAP3IN))*(((A265)-(c_TMAP3IN))*((1000)-(c_TMAP3OUT))+IF(((1000)-(c_TMAP3OUT))&gt;=0,1,-1)*QUOTIENT(((1000)-(c_TMAP3IN)),2)))&lt;0,-1,0),IF(IF(o_WRAP=1,MOD(((1000)-(c_TMAP3IN))*(((A265)-(c_TMAP3IN))*((1000)-(c_TMAP3OUT))+IF(((1000)-(c_TMAP3OUT))&gt;=0,1,-1)*QUOTIENT(((1000)-(c_TMAP3IN)),2))+2147483648,4294967296)-2147483648,((1000)-(c_TMAP3IN))*(((A265)-(c_TMAP3IN))*((1000)-(c_TMAP3OUT))+IF(((1000)-(c_TMAP3OUT))&gt;=0,1,-1)*QUOTIENT(((1000)-(c_TMAP3IN)),2)))&gt;=0,1,0)))</f>
        <v>89</v>
      </c>
      <c r="H265" s="7" t="str">
        <f aca="false">IF(A265&gt;=c_TFWD,IF(AND(A265&gt;=c_TMAP3IN,c_TMAP3IN&lt;1000),"Seg4 map3-100%",IF(AND(A265&gt;=c_TMAP2IN,c_TMAP3IN&gt;c_TMAP2IN),"Seg3 map2-map3",IF(AND(A265&gt;=c_TMAP1IN,c_TMAP2IN&gt;c_TMAP1IN),"Seg2 map1-map2","Seg1 TFWD-map1"))),IF(AND(A265=0,c_TCREEP&gt;0),"Creep",IF(AND(A265&lt;=c_TRNGMIN,A265&gt;=c_TRNGMAX,c_TRNGMIN-c_TRNGMAX&lt;&gt;0),"Regen ramp","Coast (0)")))</f>
        <v>Seg3 map2-map3</v>
      </c>
      <c r="I265" s="7" t="n">
        <f aca="false">IF(A265&gt;=c_TFWD,IF(AND(A265&gt;=c_TMAP3IN,c_TMAP3IN&lt;1000),G265,IF(AND(A265&gt;=c_TMAP2IN,c_TMAP3IN&gt;c_TMAP2IN),F265,IF(AND(A265&gt;=c_TMAP1IN,c_TMAP2IN&gt;c_TMAP1IN),E265,D265))),C265)</f>
        <v>137</v>
      </c>
      <c r="J265" s="7" t="str">
        <f aca="false">IF(I265&lt;-1090,"TOO LOW",IF(I265&gt;1090,"TOO HIGH",""))</f>
        <v/>
      </c>
      <c r="K265" s="15" t="n">
        <f aca="false">IF(J265&lt;&gt;"",0,IF(I265&gt;979,1000,I265))</f>
        <v>137</v>
      </c>
      <c r="L265" s="7" t="n">
        <f aca="false">K265/10</f>
        <v>13.7</v>
      </c>
    </row>
    <row r="266" customFormat="false" ht="15" hidden="false" customHeight="false" outlineLevel="0" collapsed="false">
      <c r="A266" s="7" t="n">
        <v>261</v>
      </c>
      <c r="B266" s="7" t="n">
        <f aca="false">A266/10</f>
        <v>26.1</v>
      </c>
      <c r="C266" s="7" t="n">
        <f aca="false">IF(AND(A266=0,c_TCREEP&gt;0),10*c_TCREEP,IF(AND(A266&lt;=c_TRNGMIN,A266&gt;=c_TRNGMAX,c_TRNGMIN-c_TRNGMAX&lt;&gt;0),-10*c_TMINRN+QUOTIENT((c_TMAXRN-c_TMINRN)*(100-QUOTIENT((A266-c_TRNGMAX)*100,c_TRNGMIN-c_TRNGMAX)),-10),0))</f>
        <v>0</v>
      </c>
      <c r="D266" s="7" t="n">
        <f aca="false">IF(((c_TMAP1IN)-(c_TFWD))=0,(0)+QUOTIENT(((c_TMAP1OUT)-(0)),2),QUOTIENT((((A266)-(c_TFWD))*((c_TMAP1OUT)-(0))+IF(((c_TMAP1OUT)-(0))&gt;=0,1,-1)*QUOTIENT(((c_TMAP1IN)-(c_TFWD)),2)),((c_TMAP1IN)-(c_TFWD)))+(0)+IF(((c_TMAP1OUT)-(0))&gt;=0,IF(IF(o_WRAP=1,MOD(((c_TMAP1IN)-(c_TFWD))*(((A266)-(c_TFWD))*((c_TMAP1OUT)-(0))+IF(((c_TMAP1OUT)-(0))&gt;=0,1,-1)*QUOTIENT(((c_TMAP1IN)-(c_TFWD)),2))+2147483648,4294967296)-2147483648,((c_TMAP1IN)-(c_TFWD))*(((A266)-(c_TFWD))*((c_TMAP1OUT)-(0))+IF(((c_TMAP1OUT)-(0))&gt;=0,1,-1)*QUOTIENT(((c_TMAP1IN)-(c_TFWD)),2)))&lt;0,-1,0),IF(IF(o_WRAP=1,MOD(((c_TMAP1IN)-(c_TFWD))*(((A266)-(c_TFWD))*((c_TMAP1OUT)-(0))+IF(((c_TMAP1OUT)-(0))&gt;=0,1,-1)*QUOTIENT(((c_TMAP1IN)-(c_TFWD)),2))+2147483648,4294967296)-2147483648,((c_TMAP1IN)-(c_TFWD))*(((A266)-(c_TFWD))*((c_TMAP1OUT)-(0))+IF(((c_TMAP1OUT)-(0))&gt;=0,1,-1)*QUOTIENT(((c_TMAP1IN)-(c_TFWD)),2)))&gt;=0,1,0)))</f>
        <v>195</v>
      </c>
      <c r="E266" s="7" t="n">
        <f aca="false">IF(((c_TMAP2IN)-(c_TMAP1IN))=0,(c_TMAP1OUT)+QUOTIENT(((c_TMAP2OUT)-(c_TMAP1OUT)),2),QUOTIENT((((A266)-(c_TMAP1IN))*((c_TMAP2OUT)-(c_TMAP1OUT))+IF(((c_TMAP2OUT)-(c_TMAP1OUT))&gt;=0,1,-1)*QUOTIENT(((c_TMAP2IN)-(c_TMAP1IN)),2)),((c_TMAP2IN)-(c_TMAP1IN)))+(c_TMAP1OUT)+IF(((c_TMAP2OUT)-(c_TMAP1OUT))&gt;=0,IF(IF(o_WRAP=1,MOD(((c_TMAP2IN)-(c_TMAP1IN))*(((A266)-(c_TMAP1IN))*((c_TMAP2OUT)-(c_TMAP1OUT))+IF(((c_TMAP2OUT)-(c_TMAP1OUT))&gt;=0,1,-1)*QUOTIENT(((c_TMAP2IN)-(c_TMAP1IN)),2))+2147483648,4294967296)-2147483648,((c_TMAP2IN)-(c_TMAP1IN))*(((A266)-(c_TMAP1IN))*((c_TMAP2OUT)-(c_TMAP1OUT))+IF(((c_TMAP2OUT)-(c_TMAP1OUT))&gt;=0,1,-1)*QUOTIENT(((c_TMAP2IN)-(c_TMAP1IN)),2)))&lt;0,-1,0),IF(IF(o_WRAP=1,MOD(((c_TMAP2IN)-(c_TMAP1IN))*(((A266)-(c_TMAP1IN))*((c_TMAP2OUT)-(c_TMAP1OUT))+IF(((c_TMAP2OUT)-(c_TMAP1OUT))&gt;=0,1,-1)*QUOTIENT(((c_TMAP2IN)-(c_TMAP1IN)),2))+2147483648,4294967296)-2147483648,((c_TMAP2IN)-(c_TMAP1IN))*(((A266)-(c_TMAP1IN))*((c_TMAP2OUT)-(c_TMAP1OUT))+IF(((c_TMAP2OUT)-(c_TMAP1OUT))&gt;=0,1,-1)*QUOTIENT(((c_TMAP2IN)-(c_TMAP1IN)),2)))&gt;=0,1,0)))</f>
        <v>134</v>
      </c>
      <c r="F266" s="7" t="n">
        <f aca="false">IF(((c_TMAP3IN)-(c_TMAP2IN))=0,(c_TMAP2OUT)+QUOTIENT(((c_TMAP3OUT)-(c_TMAP2OUT)),2),QUOTIENT((((A266)-(c_TMAP2IN))*((c_TMAP3OUT)-(c_TMAP2OUT))+IF(((c_TMAP3OUT)-(c_TMAP2OUT))&gt;=0,1,-1)*QUOTIENT(((c_TMAP3IN)-(c_TMAP2IN)),2)),((c_TMAP3IN)-(c_TMAP2IN)))+(c_TMAP2OUT)+IF(((c_TMAP3OUT)-(c_TMAP2OUT))&gt;=0,IF(IF(o_WRAP=1,MOD(((c_TMAP3IN)-(c_TMAP2IN))*(((A266)-(c_TMAP2IN))*((c_TMAP3OUT)-(c_TMAP2OUT))+IF(((c_TMAP3OUT)-(c_TMAP2OUT))&gt;=0,1,-1)*QUOTIENT(((c_TMAP3IN)-(c_TMAP2IN)),2))+2147483648,4294967296)-2147483648,((c_TMAP3IN)-(c_TMAP2IN))*(((A266)-(c_TMAP2IN))*((c_TMAP3OUT)-(c_TMAP2OUT))+IF(((c_TMAP3OUT)-(c_TMAP2OUT))&gt;=0,1,-1)*QUOTIENT(((c_TMAP3IN)-(c_TMAP2IN)),2)))&lt;0,-1,0),IF(IF(o_WRAP=1,MOD(((c_TMAP3IN)-(c_TMAP2IN))*(((A266)-(c_TMAP2IN))*((c_TMAP3OUT)-(c_TMAP2OUT))+IF(((c_TMAP3OUT)-(c_TMAP2OUT))&gt;=0,1,-1)*QUOTIENT(((c_TMAP3IN)-(c_TMAP2IN)),2))+2147483648,4294967296)-2147483648,((c_TMAP3IN)-(c_TMAP2IN))*(((A266)-(c_TMAP2IN))*((c_TMAP3OUT)-(c_TMAP2OUT))+IF(((c_TMAP3OUT)-(c_TMAP2OUT))&gt;=0,1,-1)*QUOTIENT(((c_TMAP3IN)-(c_TMAP2IN)),2)))&gt;=0,1,0)))</f>
        <v>138</v>
      </c>
      <c r="G266" s="7" t="n">
        <f aca="false">IF(((1000)-(c_TMAP3IN))=0,(c_TMAP3OUT)+QUOTIENT(((1000)-(c_TMAP3OUT)),2),QUOTIENT((((A266)-(c_TMAP3IN))*((1000)-(c_TMAP3OUT))+IF(((1000)-(c_TMAP3OUT))&gt;=0,1,-1)*QUOTIENT(((1000)-(c_TMAP3IN)),2)),((1000)-(c_TMAP3IN)))+(c_TMAP3OUT)+IF(((1000)-(c_TMAP3OUT))&gt;=0,IF(IF(o_WRAP=1,MOD(((1000)-(c_TMAP3IN))*(((A266)-(c_TMAP3IN))*((1000)-(c_TMAP3OUT))+IF(((1000)-(c_TMAP3OUT))&gt;=0,1,-1)*QUOTIENT(((1000)-(c_TMAP3IN)),2))+2147483648,4294967296)-2147483648,((1000)-(c_TMAP3IN))*(((A266)-(c_TMAP3IN))*((1000)-(c_TMAP3OUT))+IF(((1000)-(c_TMAP3OUT))&gt;=0,1,-1)*QUOTIENT(((1000)-(c_TMAP3IN)),2)))&lt;0,-1,0),IF(IF(o_WRAP=1,MOD(((1000)-(c_TMAP3IN))*(((A266)-(c_TMAP3IN))*((1000)-(c_TMAP3OUT))+IF(((1000)-(c_TMAP3OUT))&gt;=0,1,-1)*QUOTIENT(((1000)-(c_TMAP3IN)),2))+2147483648,4294967296)-2147483648,((1000)-(c_TMAP3IN))*(((A266)-(c_TMAP3IN))*((1000)-(c_TMAP3OUT))+IF(((1000)-(c_TMAP3OUT))&gt;=0,1,-1)*QUOTIENT(((1000)-(c_TMAP3IN)),2)))&gt;=0,1,0)))</f>
        <v>90</v>
      </c>
      <c r="H266" s="7" t="str">
        <f aca="false">IF(A266&gt;=c_TFWD,IF(AND(A266&gt;=c_TMAP3IN,c_TMAP3IN&lt;1000),"Seg4 map3-100%",IF(AND(A266&gt;=c_TMAP2IN,c_TMAP3IN&gt;c_TMAP2IN),"Seg3 map2-map3",IF(AND(A266&gt;=c_TMAP1IN,c_TMAP2IN&gt;c_TMAP1IN),"Seg2 map1-map2","Seg1 TFWD-map1"))),IF(AND(A266=0,c_TCREEP&gt;0),"Creep",IF(AND(A266&lt;=c_TRNGMIN,A266&gt;=c_TRNGMAX,c_TRNGMIN-c_TRNGMAX&lt;&gt;0),"Regen ramp","Coast (0)")))</f>
        <v>Seg3 map2-map3</v>
      </c>
      <c r="I266" s="7" t="n">
        <f aca="false">IF(A266&gt;=c_TFWD,IF(AND(A266&gt;=c_TMAP3IN,c_TMAP3IN&lt;1000),G266,IF(AND(A266&gt;=c_TMAP2IN,c_TMAP3IN&gt;c_TMAP2IN),F266,IF(AND(A266&gt;=c_TMAP1IN,c_TMAP2IN&gt;c_TMAP1IN),E266,D266))),C266)</f>
        <v>138</v>
      </c>
      <c r="J266" s="7" t="str">
        <f aca="false">IF(I266&lt;-1090,"TOO LOW",IF(I266&gt;1090,"TOO HIGH",""))</f>
        <v/>
      </c>
      <c r="K266" s="15" t="n">
        <f aca="false">IF(J266&lt;&gt;"",0,IF(I266&gt;979,1000,I266))</f>
        <v>138</v>
      </c>
      <c r="L266" s="7" t="n">
        <f aca="false">K266/10</f>
        <v>13.8</v>
      </c>
    </row>
    <row r="267" customFormat="false" ht="15" hidden="false" customHeight="false" outlineLevel="0" collapsed="false">
      <c r="A267" s="7" t="n">
        <v>262</v>
      </c>
      <c r="B267" s="7" t="n">
        <f aca="false">A267/10</f>
        <v>26.2</v>
      </c>
      <c r="C267" s="7" t="n">
        <f aca="false">IF(AND(A267=0,c_TCREEP&gt;0),10*c_TCREEP,IF(AND(A267&lt;=c_TRNGMIN,A267&gt;=c_TRNGMAX,c_TRNGMIN-c_TRNGMAX&lt;&gt;0),-10*c_TMINRN+QUOTIENT((c_TMAXRN-c_TMINRN)*(100-QUOTIENT((A267-c_TRNGMAX)*100,c_TRNGMIN-c_TRNGMAX)),-10),0))</f>
        <v>0</v>
      </c>
      <c r="D267" s="7" t="n">
        <f aca="false">IF(((c_TMAP1IN)-(c_TFWD))=0,(0)+QUOTIENT(((c_TMAP1OUT)-(0)),2),QUOTIENT((((A267)-(c_TFWD))*((c_TMAP1OUT)-(0))+IF(((c_TMAP1OUT)-(0))&gt;=0,1,-1)*QUOTIENT(((c_TMAP1IN)-(c_TFWD)),2)),((c_TMAP1IN)-(c_TFWD)))+(0)+IF(((c_TMAP1OUT)-(0))&gt;=0,IF(IF(o_WRAP=1,MOD(((c_TMAP1IN)-(c_TFWD))*(((A267)-(c_TFWD))*((c_TMAP1OUT)-(0))+IF(((c_TMAP1OUT)-(0))&gt;=0,1,-1)*QUOTIENT(((c_TMAP1IN)-(c_TFWD)),2))+2147483648,4294967296)-2147483648,((c_TMAP1IN)-(c_TFWD))*(((A267)-(c_TFWD))*((c_TMAP1OUT)-(0))+IF(((c_TMAP1OUT)-(0))&gt;=0,1,-1)*QUOTIENT(((c_TMAP1IN)-(c_TFWD)),2)))&lt;0,-1,0),IF(IF(o_WRAP=1,MOD(((c_TMAP1IN)-(c_TFWD))*(((A267)-(c_TFWD))*((c_TMAP1OUT)-(0))+IF(((c_TMAP1OUT)-(0))&gt;=0,1,-1)*QUOTIENT(((c_TMAP1IN)-(c_TFWD)),2))+2147483648,4294967296)-2147483648,((c_TMAP1IN)-(c_TFWD))*(((A267)-(c_TFWD))*((c_TMAP1OUT)-(0))+IF(((c_TMAP1OUT)-(0))&gt;=0,1,-1)*QUOTIENT(((c_TMAP1IN)-(c_TFWD)),2)))&gt;=0,1,0)))</f>
        <v>196</v>
      </c>
      <c r="E267" s="7" t="n">
        <f aca="false">IF(((c_TMAP2IN)-(c_TMAP1IN))=0,(c_TMAP1OUT)+QUOTIENT(((c_TMAP2OUT)-(c_TMAP1OUT)),2),QUOTIENT((((A267)-(c_TMAP1IN))*((c_TMAP2OUT)-(c_TMAP1OUT))+IF(((c_TMAP2OUT)-(c_TMAP1OUT))&gt;=0,1,-1)*QUOTIENT(((c_TMAP2IN)-(c_TMAP1IN)),2)),((c_TMAP2IN)-(c_TMAP1IN)))+(c_TMAP1OUT)+IF(((c_TMAP2OUT)-(c_TMAP1OUT))&gt;=0,IF(IF(o_WRAP=1,MOD(((c_TMAP2IN)-(c_TMAP1IN))*(((A267)-(c_TMAP1IN))*((c_TMAP2OUT)-(c_TMAP1OUT))+IF(((c_TMAP2OUT)-(c_TMAP1OUT))&gt;=0,1,-1)*QUOTIENT(((c_TMAP2IN)-(c_TMAP1IN)),2))+2147483648,4294967296)-2147483648,((c_TMAP2IN)-(c_TMAP1IN))*(((A267)-(c_TMAP1IN))*((c_TMAP2OUT)-(c_TMAP1OUT))+IF(((c_TMAP2OUT)-(c_TMAP1OUT))&gt;=0,1,-1)*QUOTIENT(((c_TMAP2IN)-(c_TMAP1IN)),2)))&lt;0,-1,0),IF(IF(o_WRAP=1,MOD(((c_TMAP2IN)-(c_TMAP1IN))*(((A267)-(c_TMAP1IN))*((c_TMAP2OUT)-(c_TMAP1OUT))+IF(((c_TMAP2OUT)-(c_TMAP1OUT))&gt;=0,1,-1)*QUOTIENT(((c_TMAP2IN)-(c_TMAP1IN)),2))+2147483648,4294967296)-2147483648,((c_TMAP2IN)-(c_TMAP1IN))*(((A267)-(c_TMAP1IN))*((c_TMAP2OUT)-(c_TMAP1OUT))+IF(((c_TMAP2OUT)-(c_TMAP1OUT))&gt;=0,1,-1)*QUOTIENT(((c_TMAP2IN)-(c_TMAP1IN)),2)))&gt;=0,1,0)))</f>
        <v>135</v>
      </c>
      <c r="F267" s="7" t="n">
        <f aca="false">IF(((c_TMAP3IN)-(c_TMAP2IN))=0,(c_TMAP2OUT)+QUOTIENT(((c_TMAP3OUT)-(c_TMAP2OUT)),2),QUOTIENT((((A267)-(c_TMAP2IN))*((c_TMAP3OUT)-(c_TMAP2OUT))+IF(((c_TMAP3OUT)-(c_TMAP2OUT))&gt;=0,1,-1)*QUOTIENT(((c_TMAP3IN)-(c_TMAP2IN)),2)),((c_TMAP3IN)-(c_TMAP2IN)))+(c_TMAP2OUT)+IF(((c_TMAP3OUT)-(c_TMAP2OUT))&gt;=0,IF(IF(o_WRAP=1,MOD(((c_TMAP3IN)-(c_TMAP2IN))*(((A267)-(c_TMAP2IN))*((c_TMAP3OUT)-(c_TMAP2OUT))+IF(((c_TMAP3OUT)-(c_TMAP2OUT))&gt;=0,1,-1)*QUOTIENT(((c_TMAP3IN)-(c_TMAP2IN)),2))+2147483648,4294967296)-2147483648,((c_TMAP3IN)-(c_TMAP2IN))*(((A267)-(c_TMAP2IN))*((c_TMAP3OUT)-(c_TMAP2OUT))+IF(((c_TMAP3OUT)-(c_TMAP2OUT))&gt;=0,1,-1)*QUOTIENT(((c_TMAP3IN)-(c_TMAP2IN)),2)))&lt;0,-1,0),IF(IF(o_WRAP=1,MOD(((c_TMAP3IN)-(c_TMAP2IN))*(((A267)-(c_TMAP2IN))*((c_TMAP3OUT)-(c_TMAP2OUT))+IF(((c_TMAP3OUT)-(c_TMAP2OUT))&gt;=0,1,-1)*QUOTIENT(((c_TMAP3IN)-(c_TMAP2IN)),2))+2147483648,4294967296)-2147483648,((c_TMAP3IN)-(c_TMAP2IN))*(((A267)-(c_TMAP2IN))*((c_TMAP3OUT)-(c_TMAP2OUT))+IF(((c_TMAP3OUT)-(c_TMAP2OUT))&gt;=0,1,-1)*QUOTIENT(((c_TMAP3IN)-(c_TMAP2IN)),2)))&gt;=0,1,0)))</f>
        <v>138</v>
      </c>
      <c r="G267" s="7" t="n">
        <f aca="false">IF(((1000)-(c_TMAP3IN))=0,(c_TMAP3OUT)+QUOTIENT(((1000)-(c_TMAP3OUT)),2),QUOTIENT((((A267)-(c_TMAP3IN))*((1000)-(c_TMAP3OUT))+IF(((1000)-(c_TMAP3OUT))&gt;=0,1,-1)*QUOTIENT(((1000)-(c_TMAP3IN)),2)),((1000)-(c_TMAP3IN)))+(c_TMAP3OUT)+IF(((1000)-(c_TMAP3OUT))&gt;=0,IF(IF(o_WRAP=1,MOD(((1000)-(c_TMAP3IN))*(((A267)-(c_TMAP3IN))*((1000)-(c_TMAP3OUT))+IF(((1000)-(c_TMAP3OUT))&gt;=0,1,-1)*QUOTIENT(((1000)-(c_TMAP3IN)),2))+2147483648,4294967296)-2147483648,((1000)-(c_TMAP3IN))*(((A267)-(c_TMAP3IN))*((1000)-(c_TMAP3OUT))+IF(((1000)-(c_TMAP3OUT))&gt;=0,1,-1)*QUOTIENT(((1000)-(c_TMAP3IN)),2)))&lt;0,-1,0),IF(IF(o_WRAP=1,MOD(((1000)-(c_TMAP3IN))*(((A267)-(c_TMAP3IN))*((1000)-(c_TMAP3OUT))+IF(((1000)-(c_TMAP3OUT))&gt;=0,1,-1)*QUOTIENT(((1000)-(c_TMAP3IN)),2))+2147483648,4294967296)-2147483648,((1000)-(c_TMAP3IN))*(((A267)-(c_TMAP3IN))*((1000)-(c_TMAP3OUT))+IF(((1000)-(c_TMAP3OUT))&gt;=0,1,-1)*QUOTIENT(((1000)-(c_TMAP3IN)),2)))&gt;=0,1,0)))</f>
        <v>92</v>
      </c>
      <c r="H267" s="7" t="str">
        <f aca="false">IF(A267&gt;=c_TFWD,IF(AND(A267&gt;=c_TMAP3IN,c_TMAP3IN&lt;1000),"Seg4 map3-100%",IF(AND(A267&gt;=c_TMAP2IN,c_TMAP3IN&gt;c_TMAP2IN),"Seg3 map2-map3",IF(AND(A267&gt;=c_TMAP1IN,c_TMAP2IN&gt;c_TMAP1IN),"Seg2 map1-map2","Seg1 TFWD-map1"))),IF(AND(A267=0,c_TCREEP&gt;0),"Creep",IF(AND(A267&lt;=c_TRNGMIN,A267&gt;=c_TRNGMAX,c_TRNGMIN-c_TRNGMAX&lt;&gt;0),"Regen ramp","Coast (0)")))</f>
        <v>Seg3 map2-map3</v>
      </c>
      <c r="I267" s="7" t="n">
        <f aca="false">IF(A267&gt;=c_TFWD,IF(AND(A267&gt;=c_TMAP3IN,c_TMAP3IN&lt;1000),G267,IF(AND(A267&gt;=c_TMAP2IN,c_TMAP3IN&gt;c_TMAP2IN),F267,IF(AND(A267&gt;=c_TMAP1IN,c_TMAP2IN&gt;c_TMAP1IN),E267,D267))),C267)</f>
        <v>138</v>
      </c>
      <c r="J267" s="7" t="str">
        <f aca="false">IF(I267&lt;-1090,"TOO LOW",IF(I267&gt;1090,"TOO HIGH",""))</f>
        <v/>
      </c>
      <c r="K267" s="15" t="n">
        <f aca="false">IF(J267&lt;&gt;"",0,IF(I267&gt;979,1000,I267))</f>
        <v>138</v>
      </c>
      <c r="L267" s="7" t="n">
        <f aca="false">K267/10</f>
        <v>13.8</v>
      </c>
    </row>
    <row r="268" customFormat="false" ht="15" hidden="false" customHeight="false" outlineLevel="0" collapsed="false">
      <c r="A268" s="7" t="n">
        <v>263</v>
      </c>
      <c r="B268" s="7" t="n">
        <f aca="false">A268/10</f>
        <v>26.3</v>
      </c>
      <c r="C268" s="7" t="n">
        <f aca="false">IF(AND(A268=0,c_TCREEP&gt;0),10*c_TCREEP,IF(AND(A268&lt;=c_TRNGMIN,A268&gt;=c_TRNGMAX,c_TRNGMIN-c_TRNGMAX&lt;&gt;0),-10*c_TMINRN+QUOTIENT((c_TMAXRN-c_TMINRN)*(100-QUOTIENT((A268-c_TRNGMAX)*100,c_TRNGMIN-c_TRNGMAX)),-10),0))</f>
        <v>0</v>
      </c>
      <c r="D268" s="7" t="n">
        <f aca="false">IF(((c_TMAP1IN)-(c_TFWD))=0,(0)+QUOTIENT(((c_TMAP1OUT)-(0)),2),QUOTIENT((((A268)-(c_TFWD))*((c_TMAP1OUT)-(0))+IF(((c_TMAP1OUT)-(0))&gt;=0,1,-1)*QUOTIENT(((c_TMAP1IN)-(c_TFWD)),2)),((c_TMAP1IN)-(c_TFWD)))+(0)+IF(((c_TMAP1OUT)-(0))&gt;=0,IF(IF(o_WRAP=1,MOD(((c_TMAP1IN)-(c_TFWD))*(((A268)-(c_TFWD))*((c_TMAP1OUT)-(0))+IF(((c_TMAP1OUT)-(0))&gt;=0,1,-1)*QUOTIENT(((c_TMAP1IN)-(c_TFWD)),2))+2147483648,4294967296)-2147483648,((c_TMAP1IN)-(c_TFWD))*(((A268)-(c_TFWD))*((c_TMAP1OUT)-(0))+IF(((c_TMAP1OUT)-(0))&gt;=0,1,-1)*QUOTIENT(((c_TMAP1IN)-(c_TFWD)),2)))&lt;0,-1,0),IF(IF(o_WRAP=1,MOD(((c_TMAP1IN)-(c_TFWD))*(((A268)-(c_TFWD))*((c_TMAP1OUT)-(0))+IF(((c_TMAP1OUT)-(0))&gt;=0,1,-1)*QUOTIENT(((c_TMAP1IN)-(c_TFWD)),2))+2147483648,4294967296)-2147483648,((c_TMAP1IN)-(c_TFWD))*(((A268)-(c_TFWD))*((c_TMAP1OUT)-(0))+IF(((c_TMAP1OUT)-(0))&gt;=0,1,-1)*QUOTIENT(((c_TMAP1IN)-(c_TFWD)),2)))&gt;=0,1,0)))</f>
        <v>197</v>
      </c>
      <c r="E268" s="7" t="n">
        <f aca="false">IF(((c_TMAP2IN)-(c_TMAP1IN))=0,(c_TMAP1OUT)+QUOTIENT(((c_TMAP2OUT)-(c_TMAP1OUT)),2),QUOTIENT((((A268)-(c_TMAP1IN))*((c_TMAP2OUT)-(c_TMAP1OUT))+IF(((c_TMAP2OUT)-(c_TMAP1OUT))&gt;=0,1,-1)*QUOTIENT(((c_TMAP2IN)-(c_TMAP1IN)),2)),((c_TMAP2IN)-(c_TMAP1IN)))+(c_TMAP1OUT)+IF(((c_TMAP2OUT)-(c_TMAP1OUT))&gt;=0,IF(IF(o_WRAP=1,MOD(((c_TMAP2IN)-(c_TMAP1IN))*(((A268)-(c_TMAP1IN))*((c_TMAP2OUT)-(c_TMAP1OUT))+IF(((c_TMAP2OUT)-(c_TMAP1OUT))&gt;=0,1,-1)*QUOTIENT(((c_TMAP2IN)-(c_TMAP1IN)),2))+2147483648,4294967296)-2147483648,((c_TMAP2IN)-(c_TMAP1IN))*(((A268)-(c_TMAP1IN))*((c_TMAP2OUT)-(c_TMAP1OUT))+IF(((c_TMAP2OUT)-(c_TMAP1OUT))&gt;=0,1,-1)*QUOTIENT(((c_TMAP2IN)-(c_TMAP1IN)),2)))&lt;0,-1,0),IF(IF(o_WRAP=1,MOD(((c_TMAP2IN)-(c_TMAP1IN))*(((A268)-(c_TMAP1IN))*((c_TMAP2OUT)-(c_TMAP1OUT))+IF(((c_TMAP2OUT)-(c_TMAP1OUT))&gt;=0,1,-1)*QUOTIENT(((c_TMAP2IN)-(c_TMAP1IN)),2))+2147483648,4294967296)-2147483648,((c_TMAP2IN)-(c_TMAP1IN))*(((A268)-(c_TMAP1IN))*((c_TMAP2OUT)-(c_TMAP1OUT))+IF(((c_TMAP2OUT)-(c_TMAP1OUT))&gt;=0,1,-1)*QUOTIENT(((c_TMAP2IN)-(c_TMAP1IN)),2)))&gt;=0,1,0)))</f>
        <v>135</v>
      </c>
      <c r="F268" s="7" t="n">
        <f aca="false">IF(((c_TMAP3IN)-(c_TMAP2IN))=0,(c_TMAP2OUT)+QUOTIENT(((c_TMAP3OUT)-(c_TMAP2OUT)),2),QUOTIENT((((A268)-(c_TMAP2IN))*((c_TMAP3OUT)-(c_TMAP2OUT))+IF(((c_TMAP3OUT)-(c_TMAP2OUT))&gt;=0,1,-1)*QUOTIENT(((c_TMAP3IN)-(c_TMAP2IN)),2)),((c_TMAP3IN)-(c_TMAP2IN)))+(c_TMAP2OUT)+IF(((c_TMAP3OUT)-(c_TMAP2OUT))&gt;=0,IF(IF(o_WRAP=1,MOD(((c_TMAP3IN)-(c_TMAP2IN))*(((A268)-(c_TMAP2IN))*((c_TMAP3OUT)-(c_TMAP2OUT))+IF(((c_TMAP3OUT)-(c_TMAP2OUT))&gt;=0,1,-1)*QUOTIENT(((c_TMAP3IN)-(c_TMAP2IN)),2))+2147483648,4294967296)-2147483648,((c_TMAP3IN)-(c_TMAP2IN))*(((A268)-(c_TMAP2IN))*((c_TMAP3OUT)-(c_TMAP2OUT))+IF(((c_TMAP3OUT)-(c_TMAP2OUT))&gt;=0,1,-1)*QUOTIENT(((c_TMAP3IN)-(c_TMAP2IN)),2)))&lt;0,-1,0),IF(IF(o_WRAP=1,MOD(((c_TMAP3IN)-(c_TMAP2IN))*(((A268)-(c_TMAP2IN))*((c_TMAP3OUT)-(c_TMAP2OUT))+IF(((c_TMAP3OUT)-(c_TMAP2OUT))&gt;=0,1,-1)*QUOTIENT(((c_TMAP3IN)-(c_TMAP2IN)),2))+2147483648,4294967296)-2147483648,((c_TMAP3IN)-(c_TMAP2IN))*(((A268)-(c_TMAP2IN))*((c_TMAP3OUT)-(c_TMAP2OUT))+IF(((c_TMAP3OUT)-(c_TMAP2OUT))&gt;=0,1,-1)*QUOTIENT(((c_TMAP3IN)-(c_TMAP2IN)),2)))&gt;=0,1,0)))</f>
        <v>139</v>
      </c>
      <c r="G268" s="7" t="n">
        <f aca="false">IF(((1000)-(c_TMAP3IN))=0,(c_TMAP3OUT)+QUOTIENT(((1000)-(c_TMAP3OUT)),2),QUOTIENT((((A268)-(c_TMAP3IN))*((1000)-(c_TMAP3OUT))+IF(((1000)-(c_TMAP3OUT))&gt;=0,1,-1)*QUOTIENT(((1000)-(c_TMAP3IN)),2)),((1000)-(c_TMAP3IN)))+(c_TMAP3OUT)+IF(((1000)-(c_TMAP3OUT))&gt;=0,IF(IF(o_WRAP=1,MOD(((1000)-(c_TMAP3IN))*(((A268)-(c_TMAP3IN))*((1000)-(c_TMAP3OUT))+IF(((1000)-(c_TMAP3OUT))&gt;=0,1,-1)*QUOTIENT(((1000)-(c_TMAP3IN)),2))+2147483648,4294967296)-2147483648,((1000)-(c_TMAP3IN))*(((A268)-(c_TMAP3IN))*((1000)-(c_TMAP3OUT))+IF(((1000)-(c_TMAP3OUT))&gt;=0,1,-1)*QUOTIENT(((1000)-(c_TMAP3IN)),2)))&lt;0,-1,0),IF(IF(o_WRAP=1,MOD(((1000)-(c_TMAP3IN))*(((A268)-(c_TMAP3IN))*((1000)-(c_TMAP3OUT))+IF(((1000)-(c_TMAP3OUT))&gt;=0,1,-1)*QUOTIENT(((1000)-(c_TMAP3IN)),2))+2147483648,4294967296)-2147483648,((1000)-(c_TMAP3IN))*(((A268)-(c_TMAP3IN))*((1000)-(c_TMAP3OUT))+IF(((1000)-(c_TMAP3OUT))&gt;=0,1,-1)*QUOTIENT(((1000)-(c_TMAP3IN)),2)))&gt;=0,1,0)))</f>
        <v>93</v>
      </c>
      <c r="H268" s="7" t="str">
        <f aca="false">IF(A268&gt;=c_TFWD,IF(AND(A268&gt;=c_TMAP3IN,c_TMAP3IN&lt;1000),"Seg4 map3-100%",IF(AND(A268&gt;=c_TMAP2IN,c_TMAP3IN&gt;c_TMAP2IN),"Seg3 map2-map3",IF(AND(A268&gt;=c_TMAP1IN,c_TMAP2IN&gt;c_TMAP1IN),"Seg2 map1-map2","Seg1 TFWD-map1"))),IF(AND(A268=0,c_TCREEP&gt;0),"Creep",IF(AND(A268&lt;=c_TRNGMIN,A268&gt;=c_TRNGMAX,c_TRNGMIN-c_TRNGMAX&lt;&gt;0),"Regen ramp","Coast (0)")))</f>
        <v>Seg3 map2-map3</v>
      </c>
      <c r="I268" s="7" t="n">
        <f aca="false">IF(A268&gt;=c_TFWD,IF(AND(A268&gt;=c_TMAP3IN,c_TMAP3IN&lt;1000),G268,IF(AND(A268&gt;=c_TMAP2IN,c_TMAP3IN&gt;c_TMAP2IN),F268,IF(AND(A268&gt;=c_TMAP1IN,c_TMAP2IN&gt;c_TMAP1IN),E268,D268))),C268)</f>
        <v>139</v>
      </c>
      <c r="J268" s="7" t="str">
        <f aca="false">IF(I268&lt;-1090,"TOO LOW",IF(I268&gt;1090,"TOO HIGH",""))</f>
        <v/>
      </c>
      <c r="K268" s="15" t="n">
        <f aca="false">IF(J268&lt;&gt;"",0,IF(I268&gt;979,1000,I268))</f>
        <v>139</v>
      </c>
      <c r="L268" s="7" t="n">
        <f aca="false">K268/10</f>
        <v>13.9</v>
      </c>
    </row>
    <row r="269" customFormat="false" ht="15" hidden="false" customHeight="false" outlineLevel="0" collapsed="false">
      <c r="A269" s="7" t="n">
        <v>264</v>
      </c>
      <c r="B269" s="7" t="n">
        <f aca="false">A269/10</f>
        <v>26.4</v>
      </c>
      <c r="C269" s="7" t="n">
        <f aca="false">IF(AND(A269=0,c_TCREEP&gt;0),10*c_TCREEP,IF(AND(A269&lt;=c_TRNGMIN,A269&gt;=c_TRNGMAX,c_TRNGMIN-c_TRNGMAX&lt;&gt;0),-10*c_TMINRN+QUOTIENT((c_TMAXRN-c_TMINRN)*(100-QUOTIENT((A269-c_TRNGMAX)*100,c_TRNGMIN-c_TRNGMAX)),-10),0))</f>
        <v>0</v>
      </c>
      <c r="D269" s="7" t="n">
        <f aca="false">IF(((c_TMAP1IN)-(c_TFWD))=0,(0)+QUOTIENT(((c_TMAP1OUT)-(0)),2),QUOTIENT((((A269)-(c_TFWD))*((c_TMAP1OUT)-(0))+IF(((c_TMAP1OUT)-(0))&gt;=0,1,-1)*QUOTIENT(((c_TMAP1IN)-(c_TFWD)),2)),((c_TMAP1IN)-(c_TFWD)))+(0)+IF(((c_TMAP1OUT)-(0))&gt;=0,IF(IF(o_WRAP=1,MOD(((c_TMAP1IN)-(c_TFWD))*(((A269)-(c_TFWD))*((c_TMAP1OUT)-(0))+IF(((c_TMAP1OUT)-(0))&gt;=0,1,-1)*QUOTIENT(((c_TMAP1IN)-(c_TFWD)),2))+2147483648,4294967296)-2147483648,((c_TMAP1IN)-(c_TFWD))*(((A269)-(c_TFWD))*((c_TMAP1OUT)-(0))+IF(((c_TMAP1OUT)-(0))&gt;=0,1,-1)*QUOTIENT(((c_TMAP1IN)-(c_TFWD)),2)))&lt;0,-1,0),IF(IF(o_WRAP=1,MOD(((c_TMAP1IN)-(c_TFWD))*(((A269)-(c_TFWD))*((c_TMAP1OUT)-(0))+IF(((c_TMAP1OUT)-(0))&gt;=0,1,-1)*QUOTIENT(((c_TMAP1IN)-(c_TFWD)),2))+2147483648,4294967296)-2147483648,((c_TMAP1IN)-(c_TFWD))*(((A269)-(c_TFWD))*((c_TMAP1OUT)-(0))+IF(((c_TMAP1OUT)-(0))&gt;=0,1,-1)*QUOTIENT(((c_TMAP1IN)-(c_TFWD)),2)))&gt;=0,1,0)))</f>
        <v>198</v>
      </c>
      <c r="E269" s="7" t="n">
        <f aca="false">IF(((c_TMAP2IN)-(c_TMAP1IN))=0,(c_TMAP1OUT)+QUOTIENT(((c_TMAP2OUT)-(c_TMAP1OUT)),2),QUOTIENT((((A269)-(c_TMAP1IN))*((c_TMAP2OUT)-(c_TMAP1OUT))+IF(((c_TMAP2OUT)-(c_TMAP1OUT))&gt;=0,1,-1)*QUOTIENT(((c_TMAP2IN)-(c_TMAP1IN)),2)),((c_TMAP2IN)-(c_TMAP1IN)))+(c_TMAP1OUT)+IF(((c_TMAP2OUT)-(c_TMAP1OUT))&gt;=0,IF(IF(o_WRAP=1,MOD(((c_TMAP2IN)-(c_TMAP1IN))*(((A269)-(c_TMAP1IN))*((c_TMAP2OUT)-(c_TMAP1OUT))+IF(((c_TMAP2OUT)-(c_TMAP1OUT))&gt;=0,1,-1)*QUOTIENT(((c_TMAP2IN)-(c_TMAP1IN)),2))+2147483648,4294967296)-2147483648,((c_TMAP2IN)-(c_TMAP1IN))*(((A269)-(c_TMAP1IN))*((c_TMAP2OUT)-(c_TMAP1OUT))+IF(((c_TMAP2OUT)-(c_TMAP1OUT))&gt;=0,1,-1)*QUOTIENT(((c_TMAP2IN)-(c_TMAP1IN)),2)))&lt;0,-1,0),IF(IF(o_WRAP=1,MOD(((c_TMAP2IN)-(c_TMAP1IN))*(((A269)-(c_TMAP1IN))*((c_TMAP2OUT)-(c_TMAP1OUT))+IF(((c_TMAP2OUT)-(c_TMAP1OUT))&gt;=0,1,-1)*QUOTIENT(((c_TMAP2IN)-(c_TMAP1IN)),2))+2147483648,4294967296)-2147483648,((c_TMAP2IN)-(c_TMAP1IN))*(((A269)-(c_TMAP1IN))*((c_TMAP2OUT)-(c_TMAP1OUT))+IF(((c_TMAP2OUT)-(c_TMAP1OUT))&gt;=0,1,-1)*QUOTIENT(((c_TMAP2IN)-(c_TMAP1IN)),2)))&gt;=0,1,0)))</f>
        <v>136</v>
      </c>
      <c r="F269" s="7" t="n">
        <f aca="false">IF(((c_TMAP3IN)-(c_TMAP2IN))=0,(c_TMAP2OUT)+QUOTIENT(((c_TMAP3OUT)-(c_TMAP2OUT)),2),QUOTIENT((((A269)-(c_TMAP2IN))*((c_TMAP3OUT)-(c_TMAP2OUT))+IF(((c_TMAP3OUT)-(c_TMAP2OUT))&gt;=0,1,-1)*QUOTIENT(((c_TMAP3IN)-(c_TMAP2IN)),2)),((c_TMAP3IN)-(c_TMAP2IN)))+(c_TMAP2OUT)+IF(((c_TMAP3OUT)-(c_TMAP2OUT))&gt;=0,IF(IF(o_WRAP=1,MOD(((c_TMAP3IN)-(c_TMAP2IN))*(((A269)-(c_TMAP2IN))*((c_TMAP3OUT)-(c_TMAP2OUT))+IF(((c_TMAP3OUT)-(c_TMAP2OUT))&gt;=0,1,-1)*QUOTIENT(((c_TMAP3IN)-(c_TMAP2IN)),2))+2147483648,4294967296)-2147483648,((c_TMAP3IN)-(c_TMAP2IN))*(((A269)-(c_TMAP2IN))*((c_TMAP3OUT)-(c_TMAP2OUT))+IF(((c_TMAP3OUT)-(c_TMAP2OUT))&gt;=0,1,-1)*QUOTIENT(((c_TMAP3IN)-(c_TMAP2IN)),2)))&lt;0,-1,0),IF(IF(o_WRAP=1,MOD(((c_TMAP3IN)-(c_TMAP2IN))*(((A269)-(c_TMAP2IN))*((c_TMAP3OUT)-(c_TMAP2OUT))+IF(((c_TMAP3OUT)-(c_TMAP2OUT))&gt;=0,1,-1)*QUOTIENT(((c_TMAP3IN)-(c_TMAP2IN)),2))+2147483648,4294967296)-2147483648,((c_TMAP3IN)-(c_TMAP2IN))*(((A269)-(c_TMAP2IN))*((c_TMAP3OUT)-(c_TMAP2OUT))+IF(((c_TMAP3OUT)-(c_TMAP2OUT))&gt;=0,1,-1)*QUOTIENT(((c_TMAP3IN)-(c_TMAP2IN)),2)))&gt;=0,1,0)))</f>
        <v>140</v>
      </c>
      <c r="G269" s="7" t="n">
        <f aca="false">IF(((1000)-(c_TMAP3IN))=0,(c_TMAP3OUT)+QUOTIENT(((1000)-(c_TMAP3OUT)),2),QUOTIENT((((A269)-(c_TMAP3IN))*((1000)-(c_TMAP3OUT))+IF(((1000)-(c_TMAP3OUT))&gt;=0,1,-1)*QUOTIENT(((1000)-(c_TMAP3IN)),2)),((1000)-(c_TMAP3IN)))+(c_TMAP3OUT)+IF(((1000)-(c_TMAP3OUT))&gt;=0,IF(IF(o_WRAP=1,MOD(((1000)-(c_TMAP3IN))*(((A269)-(c_TMAP3IN))*((1000)-(c_TMAP3OUT))+IF(((1000)-(c_TMAP3OUT))&gt;=0,1,-1)*QUOTIENT(((1000)-(c_TMAP3IN)),2))+2147483648,4294967296)-2147483648,((1000)-(c_TMAP3IN))*(((A269)-(c_TMAP3IN))*((1000)-(c_TMAP3OUT))+IF(((1000)-(c_TMAP3OUT))&gt;=0,1,-1)*QUOTIENT(((1000)-(c_TMAP3IN)),2)))&lt;0,-1,0),IF(IF(o_WRAP=1,MOD(((1000)-(c_TMAP3IN))*(((A269)-(c_TMAP3IN))*((1000)-(c_TMAP3OUT))+IF(((1000)-(c_TMAP3OUT))&gt;=0,1,-1)*QUOTIENT(((1000)-(c_TMAP3IN)),2))+2147483648,4294967296)-2147483648,((1000)-(c_TMAP3IN))*(((A269)-(c_TMAP3IN))*((1000)-(c_TMAP3OUT))+IF(((1000)-(c_TMAP3OUT))&gt;=0,1,-1)*QUOTIENT(((1000)-(c_TMAP3IN)),2)))&gt;=0,1,0)))</f>
        <v>94</v>
      </c>
      <c r="H269" s="7" t="str">
        <f aca="false">IF(A269&gt;=c_TFWD,IF(AND(A269&gt;=c_TMAP3IN,c_TMAP3IN&lt;1000),"Seg4 map3-100%",IF(AND(A269&gt;=c_TMAP2IN,c_TMAP3IN&gt;c_TMAP2IN),"Seg3 map2-map3",IF(AND(A269&gt;=c_TMAP1IN,c_TMAP2IN&gt;c_TMAP1IN),"Seg2 map1-map2","Seg1 TFWD-map1"))),IF(AND(A269=0,c_TCREEP&gt;0),"Creep",IF(AND(A269&lt;=c_TRNGMIN,A269&gt;=c_TRNGMAX,c_TRNGMIN-c_TRNGMAX&lt;&gt;0),"Regen ramp","Coast (0)")))</f>
        <v>Seg3 map2-map3</v>
      </c>
      <c r="I269" s="7" t="n">
        <f aca="false">IF(A269&gt;=c_TFWD,IF(AND(A269&gt;=c_TMAP3IN,c_TMAP3IN&lt;1000),G269,IF(AND(A269&gt;=c_TMAP2IN,c_TMAP3IN&gt;c_TMAP2IN),F269,IF(AND(A269&gt;=c_TMAP1IN,c_TMAP2IN&gt;c_TMAP1IN),E269,D269))),C269)</f>
        <v>140</v>
      </c>
      <c r="J269" s="7" t="str">
        <f aca="false">IF(I269&lt;-1090,"TOO LOW",IF(I269&gt;1090,"TOO HIGH",""))</f>
        <v/>
      </c>
      <c r="K269" s="15" t="n">
        <f aca="false">IF(J269&lt;&gt;"",0,IF(I269&gt;979,1000,I269))</f>
        <v>140</v>
      </c>
      <c r="L269" s="7" t="n">
        <f aca="false">K269/10</f>
        <v>14</v>
      </c>
    </row>
    <row r="270" customFormat="false" ht="15" hidden="false" customHeight="false" outlineLevel="0" collapsed="false">
      <c r="A270" s="7" t="n">
        <v>265</v>
      </c>
      <c r="B270" s="7" t="n">
        <f aca="false">A270/10</f>
        <v>26.5</v>
      </c>
      <c r="C270" s="7" t="n">
        <f aca="false">IF(AND(A270=0,c_TCREEP&gt;0),10*c_TCREEP,IF(AND(A270&lt;=c_TRNGMIN,A270&gt;=c_TRNGMAX,c_TRNGMIN-c_TRNGMAX&lt;&gt;0),-10*c_TMINRN+QUOTIENT((c_TMAXRN-c_TMINRN)*(100-QUOTIENT((A270-c_TRNGMAX)*100,c_TRNGMIN-c_TRNGMAX)),-10),0))</f>
        <v>0</v>
      </c>
      <c r="D270" s="7" t="n">
        <f aca="false">IF(((c_TMAP1IN)-(c_TFWD))=0,(0)+QUOTIENT(((c_TMAP1OUT)-(0)),2),QUOTIENT((((A270)-(c_TFWD))*((c_TMAP1OUT)-(0))+IF(((c_TMAP1OUT)-(0))&gt;=0,1,-1)*QUOTIENT(((c_TMAP1IN)-(c_TFWD)),2)),((c_TMAP1IN)-(c_TFWD)))+(0)+IF(((c_TMAP1OUT)-(0))&gt;=0,IF(IF(o_WRAP=1,MOD(((c_TMAP1IN)-(c_TFWD))*(((A270)-(c_TFWD))*((c_TMAP1OUT)-(0))+IF(((c_TMAP1OUT)-(0))&gt;=0,1,-1)*QUOTIENT(((c_TMAP1IN)-(c_TFWD)),2))+2147483648,4294967296)-2147483648,((c_TMAP1IN)-(c_TFWD))*(((A270)-(c_TFWD))*((c_TMAP1OUT)-(0))+IF(((c_TMAP1OUT)-(0))&gt;=0,1,-1)*QUOTIENT(((c_TMAP1IN)-(c_TFWD)),2)))&lt;0,-1,0),IF(IF(o_WRAP=1,MOD(((c_TMAP1IN)-(c_TFWD))*(((A270)-(c_TFWD))*((c_TMAP1OUT)-(0))+IF(((c_TMAP1OUT)-(0))&gt;=0,1,-1)*QUOTIENT(((c_TMAP1IN)-(c_TFWD)),2))+2147483648,4294967296)-2147483648,((c_TMAP1IN)-(c_TFWD))*(((A270)-(c_TFWD))*((c_TMAP1OUT)-(0))+IF(((c_TMAP1OUT)-(0))&gt;=0,1,-1)*QUOTIENT(((c_TMAP1IN)-(c_TFWD)),2)))&gt;=0,1,0)))</f>
        <v>198</v>
      </c>
      <c r="E270" s="7" t="n">
        <f aca="false">IF(((c_TMAP2IN)-(c_TMAP1IN))=0,(c_TMAP1OUT)+QUOTIENT(((c_TMAP2OUT)-(c_TMAP1OUT)),2),QUOTIENT((((A270)-(c_TMAP1IN))*((c_TMAP2OUT)-(c_TMAP1OUT))+IF(((c_TMAP2OUT)-(c_TMAP1OUT))&gt;=0,1,-1)*QUOTIENT(((c_TMAP2IN)-(c_TMAP1IN)),2)),((c_TMAP2IN)-(c_TMAP1IN)))+(c_TMAP1OUT)+IF(((c_TMAP2OUT)-(c_TMAP1OUT))&gt;=0,IF(IF(o_WRAP=1,MOD(((c_TMAP2IN)-(c_TMAP1IN))*(((A270)-(c_TMAP1IN))*((c_TMAP2OUT)-(c_TMAP1OUT))+IF(((c_TMAP2OUT)-(c_TMAP1OUT))&gt;=0,1,-1)*QUOTIENT(((c_TMAP2IN)-(c_TMAP1IN)),2))+2147483648,4294967296)-2147483648,((c_TMAP2IN)-(c_TMAP1IN))*(((A270)-(c_TMAP1IN))*((c_TMAP2OUT)-(c_TMAP1OUT))+IF(((c_TMAP2OUT)-(c_TMAP1OUT))&gt;=0,1,-1)*QUOTIENT(((c_TMAP2IN)-(c_TMAP1IN)),2)))&lt;0,-1,0),IF(IF(o_WRAP=1,MOD(((c_TMAP2IN)-(c_TMAP1IN))*(((A270)-(c_TMAP1IN))*((c_TMAP2OUT)-(c_TMAP1OUT))+IF(((c_TMAP2OUT)-(c_TMAP1OUT))&gt;=0,1,-1)*QUOTIENT(((c_TMAP2IN)-(c_TMAP1IN)),2))+2147483648,4294967296)-2147483648,((c_TMAP2IN)-(c_TMAP1IN))*(((A270)-(c_TMAP1IN))*((c_TMAP2OUT)-(c_TMAP1OUT))+IF(((c_TMAP2OUT)-(c_TMAP1OUT))&gt;=0,1,-1)*QUOTIENT(((c_TMAP2IN)-(c_TMAP1IN)),2)))&gt;=0,1,0)))</f>
        <v>136</v>
      </c>
      <c r="F270" s="7" t="n">
        <f aca="false">IF(((c_TMAP3IN)-(c_TMAP2IN))=0,(c_TMAP2OUT)+QUOTIENT(((c_TMAP3OUT)-(c_TMAP2OUT)),2),QUOTIENT((((A270)-(c_TMAP2IN))*((c_TMAP3OUT)-(c_TMAP2OUT))+IF(((c_TMAP3OUT)-(c_TMAP2OUT))&gt;=0,1,-1)*QUOTIENT(((c_TMAP3IN)-(c_TMAP2IN)),2)),((c_TMAP3IN)-(c_TMAP2IN)))+(c_TMAP2OUT)+IF(((c_TMAP3OUT)-(c_TMAP2OUT))&gt;=0,IF(IF(o_WRAP=1,MOD(((c_TMAP3IN)-(c_TMAP2IN))*(((A270)-(c_TMAP2IN))*((c_TMAP3OUT)-(c_TMAP2OUT))+IF(((c_TMAP3OUT)-(c_TMAP2OUT))&gt;=0,1,-1)*QUOTIENT(((c_TMAP3IN)-(c_TMAP2IN)),2))+2147483648,4294967296)-2147483648,((c_TMAP3IN)-(c_TMAP2IN))*(((A270)-(c_TMAP2IN))*((c_TMAP3OUT)-(c_TMAP2OUT))+IF(((c_TMAP3OUT)-(c_TMAP2OUT))&gt;=0,1,-1)*QUOTIENT(((c_TMAP3IN)-(c_TMAP2IN)),2)))&lt;0,-1,0),IF(IF(o_WRAP=1,MOD(((c_TMAP3IN)-(c_TMAP2IN))*(((A270)-(c_TMAP2IN))*((c_TMAP3OUT)-(c_TMAP2OUT))+IF(((c_TMAP3OUT)-(c_TMAP2OUT))&gt;=0,1,-1)*QUOTIENT(((c_TMAP3IN)-(c_TMAP2IN)),2))+2147483648,4294967296)-2147483648,((c_TMAP3IN)-(c_TMAP2IN))*(((A270)-(c_TMAP2IN))*((c_TMAP3OUT)-(c_TMAP2OUT))+IF(((c_TMAP3OUT)-(c_TMAP2OUT))&gt;=0,1,-1)*QUOTIENT(((c_TMAP3IN)-(c_TMAP2IN)),2)))&gt;=0,1,0)))</f>
        <v>141</v>
      </c>
      <c r="G270" s="7" t="n">
        <f aca="false">IF(((1000)-(c_TMAP3IN))=0,(c_TMAP3OUT)+QUOTIENT(((1000)-(c_TMAP3OUT)),2),QUOTIENT((((A270)-(c_TMAP3IN))*((1000)-(c_TMAP3OUT))+IF(((1000)-(c_TMAP3OUT))&gt;=0,1,-1)*QUOTIENT(((1000)-(c_TMAP3IN)),2)),((1000)-(c_TMAP3IN)))+(c_TMAP3OUT)+IF(((1000)-(c_TMAP3OUT))&gt;=0,IF(IF(o_WRAP=1,MOD(((1000)-(c_TMAP3IN))*(((A270)-(c_TMAP3IN))*((1000)-(c_TMAP3OUT))+IF(((1000)-(c_TMAP3OUT))&gt;=0,1,-1)*QUOTIENT(((1000)-(c_TMAP3IN)),2))+2147483648,4294967296)-2147483648,((1000)-(c_TMAP3IN))*(((A270)-(c_TMAP3IN))*((1000)-(c_TMAP3OUT))+IF(((1000)-(c_TMAP3OUT))&gt;=0,1,-1)*QUOTIENT(((1000)-(c_TMAP3IN)),2)))&lt;0,-1,0),IF(IF(o_WRAP=1,MOD(((1000)-(c_TMAP3IN))*(((A270)-(c_TMAP3IN))*((1000)-(c_TMAP3OUT))+IF(((1000)-(c_TMAP3OUT))&gt;=0,1,-1)*QUOTIENT(((1000)-(c_TMAP3IN)),2))+2147483648,4294967296)-2147483648,((1000)-(c_TMAP3IN))*(((A270)-(c_TMAP3IN))*((1000)-(c_TMAP3OUT))+IF(((1000)-(c_TMAP3OUT))&gt;=0,1,-1)*QUOTIENT(((1000)-(c_TMAP3IN)),2)))&gt;=0,1,0)))</f>
        <v>95</v>
      </c>
      <c r="H270" s="7" t="str">
        <f aca="false">IF(A270&gt;=c_TFWD,IF(AND(A270&gt;=c_TMAP3IN,c_TMAP3IN&lt;1000),"Seg4 map3-100%",IF(AND(A270&gt;=c_TMAP2IN,c_TMAP3IN&gt;c_TMAP2IN),"Seg3 map2-map3",IF(AND(A270&gt;=c_TMAP1IN,c_TMAP2IN&gt;c_TMAP1IN),"Seg2 map1-map2","Seg1 TFWD-map1"))),IF(AND(A270=0,c_TCREEP&gt;0),"Creep",IF(AND(A270&lt;=c_TRNGMIN,A270&gt;=c_TRNGMAX,c_TRNGMIN-c_TRNGMAX&lt;&gt;0),"Regen ramp","Coast (0)")))</f>
        <v>Seg3 map2-map3</v>
      </c>
      <c r="I270" s="7" t="n">
        <f aca="false">IF(A270&gt;=c_TFWD,IF(AND(A270&gt;=c_TMAP3IN,c_TMAP3IN&lt;1000),G270,IF(AND(A270&gt;=c_TMAP2IN,c_TMAP3IN&gt;c_TMAP2IN),F270,IF(AND(A270&gt;=c_TMAP1IN,c_TMAP2IN&gt;c_TMAP1IN),E270,D270))),C270)</f>
        <v>141</v>
      </c>
      <c r="J270" s="7" t="str">
        <f aca="false">IF(I270&lt;-1090,"TOO LOW",IF(I270&gt;1090,"TOO HIGH",""))</f>
        <v/>
      </c>
      <c r="K270" s="15" t="n">
        <f aca="false">IF(J270&lt;&gt;"",0,IF(I270&gt;979,1000,I270))</f>
        <v>141</v>
      </c>
      <c r="L270" s="7" t="n">
        <f aca="false">K270/10</f>
        <v>14.1</v>
      </c>
    </row>
    <row r="271" customFormat="false" ht="15" hidden="false" customHeight="false" outlineLevel="0" collapsed="false">
      <c r="A271" s="7" t="n">
        <v>266</v>
      </c>
      <c r="B271" s="7" t="n">
        <f aca="false">A271/10</f>
        <v>26.6</v>
      </c>
      <c r="C271" s="7" t="n">
        <f aca="false">IF(AND(A271=0,c_TCREEP&gt;0),10*c_TCREEP,IF(AND(A271&lt;=c_TRNGMIN,A271&gt;=c_TRNGMAX,c_TRNGMIN-c_TRNGMAX&lt;&gt;0),-10*c_TMINRN+QUOTIENT((c_TMAXRN-c_TMINRN)*(100-QUOTIENT((A271-c_TRNGMAX)*100,c_TRNGMIN-c_TRNGMAX)),-10),0))</f>
        <v>0</v>
      </c>
      <c r="D271" s="7" t="n">
        <f aca="false">IF(((c_TMAP1IN)-(c_TFWD))=0,(0)+QUOTIENT(((c_TMAP1OUT)-(0)),2),QUOTIENT((((A271)-(c_TFWD))*((c_TMAP1OUT)-(0))+IF(((c_TMAP1OUT)-(0))&gt;=0,1,-1)*QUOTIENT(((c_TMAP1IN)-(c_TFWD)),2)),((c_TMAP1IN)-(c_TFWD)))+(0)+IF(((c_TMAP1OUT)-(0))&gt;=0,IF(IF(o_WRAP=1,MOD(((c_TMAP1IN)-(c_TFWD))*(((A271)-(c_TFWD))*((c_TMAP1OUT)-(0))+IF(((c_TMAP1OUT)-(0))&gt;=0,1,-1)*QUOTIENT(((c_TMAP1IN)-(c_TFWD)),2))+2147483648,4294967296)-2147483648,((c_TMAP1IN)-(c_TFWD))*(((A271)-(c_TFWD))*((c_TMAP1OUT)-(0))+IF(((c_TMAP1OUT)-(0))&gt;=0,1,-1)*QUOTIENT(((c_TMAP1IN)-(c_TFWD)),2)))&lt;0,-1,0),IF(IF(o_WRAP=1,MOD(((c_TMAP1IN)-(c_TFWD))*(((A271)-(c_TFWD))*((c_TMAP1OUT)-(0))+IF(((c_TMAP1OUT)-(0))&gt;=0,1,-1)*QUOTIENT(((c_TMAP1IN)-(c_TFWD)),2))+2147483648,4294967296)-2147483648,((c_TMAP1IN)-(c_TFWD))*(((A271)-(c_TFWD))*((c_TMAP1OUT)-(0))+IF(((c_TMAP1OUT)-(0))&gt;=0,1,-1)*QUOTIENT(((c_TMAP1IN)-(c_TFWD)),2)))&gt;=0,1,0)))</f>
        <v>199</v>
      </c>
      <c r="E271" s="7" t="n">
        <f aca="false">IF(((c_TMAP2IN)-(c_TMAP1IN))=0,(c_TMAP1OUT)+QUOTIENT(((c_TMAP2OUT)-(c_TMAP1OUT)),2),QUOTIENT((((A271)-(c_TMAP1IN))*((c_TMAP2OUT)-(c_TMAP1OUT))+IF(((c_TMAP2OUT)-(c_TMAP1OUT))&gt;=0,1,-1)*QUOTIENT(((c_TMAP2IN)-(c_TMAP1IN)),2)),((c_TMAP2IN)-(c_TMAP1IN)))+(c_TMAP1OUT)+IF(((c_TMAP2OUT)-(c_TMAP1OUT))&gt;=0,IF(IF(o_WRAP=1,MOD(((c_TMAP2IN)-(c_TMAP1IN))*(((A271)-(c_TMAP1IN))*((c_TMAP2OUT)-(c_TMAP1OUT))+IF(((c_TMAP2OUT)-(c_TMAP1OUT))&gt;=0,1,-1)*QUOTIENT(((c_TMAP2IN)-(c_TMAP1IN)),2))+2147483648,4294967296)-2147483648,((c_TMAP2IN)-(c_TMAP1IN))*(((A271)-(c_TMAP1IN))*((c_TMAP2OUT)-(c_TMAP1OUT))+IF(((c_TMAP2OUT)-(c_TMAP1OUT))&gt;=0,1,-1)*QUOTIENT(((c_TMAP2IN)-(c_TMAP1IN)),2)))&lt;0,-1,0),IF(IF(o_WRAP=1,MOD(((c_TMAP2IN)-(c_TMAP1IN))*(((A271)-(c_TMAP1IN))*((c_TMAP2OUT)-(c_TMAP1OUT))+IF(((c_TMAP2OUT)-(c_TMAP1OUT))&gt;=0,1,-1)*QUOTIENT(((c_TMAP2IN)-(c_TMAP1IN)),2))+2147483648,4294967296)-2147483648,((c_TMAP2IN)-(c_TMAP1IN))*(((A271)-(c_TMAP1IN))*((c_TMAP2OUT)-(c_TMAP1OUT))+IF(((c_TMAP2OUT)-(c_TMAP1OUT))&gt;=0,1,-1)*QUOTIENT(((c_TMAP2IN)-(c_TMAP1IN)),2)))&gt;=0,1,0)))</f>
        <v>136</v>
      </c>
      <c r="F271" s="7" t="n">
        <f aca="false">IF(((c_TMAP3IN)-(c_TMAP2IN))=0,(c_TMAP2OUT)+QUOTIENT(((c_TMAP3OUT)-(c_TMAP2OUT)),2),QUOTIENT((((A271)-(c_TMAP2IN))*((c_TMAP3OUT)-(c_TMAP2OUT))+IF(((c_TMAP3OUT)-(c_TMAP2OUT))&gt;=0,1,-1)*QUOTIENT(((c_TMAP3IN)-(c_TMAP2IN)),2)),((c_TMAP3IN)-(c_TMAP2IN)))+(c_TMAP2OUT)+IF(((c_TMAP3OUT)-(c_TMAP2OUT))&gt;=0,IF(IF(o_WRAP=1,MOD(((c_TMAP3IN)-(c_TMAP2IN))*(((A271)-(c_TMAP2IN))*((c_TMAP3OUT)-(c_TMAP2OUT))+IF(((c_TMAP3OUT)-(c_TMAP2OUT))&gt;=0,1,-1)*QUOTIENT(((c_TMAP3IN)-(c_TMAP2IN)),2))+2147483648,4294967296)-2147483648,((c_TMAP3IN)-(c_TMAP2IN))*(((A271)-(c_TMAP2IN))*((c_TMAP3OUT)-(c_TMAP2OUT))+IF(((c_TMAP3OUT)-(c_TMAP2OUT))&gt;=0,1,-1)*QUOTIENT(((c_TMAP3IN)-(c_TMAP2IN)),2)))&lt;0,-1,0),IF(IF(o_WRAP=1,MOD(((c_TMAP3IN)-(c_TMAP2IN))*(((A271)-(c_TMAP2IN))*((c_TMAP3OUT)-(c_TMAP2OUT))+IF(((c_TMAP3OUT)-(c_TMAP2OUT))&gt;=0,1,-1)*QUOTIENT(((c_TMAP3IN)-(c_TMAP2IN)),2))+2147483648,4294967296)-2147483648,((c_TMAP3IN)-(c_TMAP2IN))*(((A271)-(c_TMAP2IN))*((c_TMAP3OUT)-(c_TMAP2OUT))+IF(((c_TMAP3OUT)-(c_TMAP2OUT))&gt;=0,1,-1)*QUOTIENT(((c_TMAP3IN)-(c_TMAP2IN)),2)))&gt;=0,1,0)))</f>
        <v>141</v>
      </c>
      <c r="G271" s="7" t="n">
        <f aca="false">IF(((1000)-(c_TMAP3IN))=0,(c_TMAP3OUT)+QUOTIENT(((1000)-(c_TMAP3OUT)),2),QUOTIENT((((A271)-(c_TMAP3IN))*((1000)-(c_TMAP3OUT))+IF(((1000)-(c_TMAP3OUT))&gt;=0,1,-1)*QUOTIENT(((1000)-(c_TMAP3IN)),2)),((1000)-(c_TMAP3IN)))+(c_TMAP3OUT)+IF(((1000)-(c_TMAP3OUT))&gt;=0,IF(IF(o_WRAP=1,MOD(((1000)-(c_TMAP3IN))*(((A271)-(c_TMAP3IN))*((1000)-(c_TMAP3OUT))+IF(((1000)-(c_TMAP3OUT))&gt;=0,1,-1)*QUOTIENT(((1000)-(c_TMAP3IN)),2))+2147483648,4294967296)-2147483648,((1000)-(c_TMAP3IN))*(((A271)-(c_TMAP3IN))*((1000)-(c_TMAP3OUT))+IF(((1000)-(c_TMAP3OUT))&gt;=0,1,-1)*QUOTIENT(((1000)-(c_TMAP3IN)),2)))&lt;0,-1,0),IF(IF(o_WRAP=1,MOD(((1000)-(c_TMAP3IN))*(((A271)-(c_TMAP3IN))*((1000)-(c_TMAP3OUT))+IF(((1000)-(c_TMAP3OUT))&gt;=0,1,-1)*QUOTIENT(((1000)-(c_TMAP3IN)),2))+2147483648,4294967296)-2147483648,((1000)-(c_TMAP3IN))*(((A271)-(c_TMAP3IN))*((1000)-(c_TMAP3OUT))+IF(((1000)-(c_TMAP3OUT))&gt;=0,1,-1)*QUOTIENT(((1000)-(c_TMAP3IN)),2)))&gt;=0,1,0)))</f>
        <v>97</v>
      </c>
      <c r="H271" s="7" t="str">
        <f aca="false">IF(A271&gt;=c_TFWD,IF(AND(A271&gt;=c_TMAP3IN,c_TMAP3IN&lt;1000),"Seg4 map3-100%",IF(AND(A271&gt;=c_TMAP2IN,c_TMAP3IN&gt;c_TMAP2IN),"Seg3 map2-map3",IF(AND(A271&gt;=c_TMAP1IN,c_TMAP2IN&gt;c_TMAP1IN),"Seg2 map1-map2","Seg1 TFWD-map1"))),IF(AND(A271=0,c_TCREEP&gt;0),"Creep",IF(AND(A271&lt;=c_TRNGMIN,A271&gt;=c_TRNGMAX,c_TRNGMIN-c_TRNGMAX&lt;&gt;0),"Regen ramp","Coast (0)")))</f>
        <v>Seg3 map2-map3</v>
      </c>
      <c r="I271" s="7" t="n">
        <f aca="false">IF(A271&gt;=c_TFWD,IF(AND(A271&gt;=c_TMAP3IN,c_TMAP3IN&lt;1000),G271,IF(AND(A271&gt;=c_TMAP2IN,c_TMAP3IN&gt;c_TMAP2IN),F271,IF(AND(A271&gt;=c_TMAP1IN,c_TMAP2IN&gt;c_TMAP1IN),E271,D271))),C271)</f>
        <v>141</v>
      </c>
      <c r="J271" s="7" t="str">
        <f aca="false">IF(I271&lt;-1090,"TOO LOW",IF(I271&gt;1090,"TOO HIGH",""))</f>
        <v/>
      </c>
      <c r="K271" s="15" t="n">
        <f aca="false">IF(J271&lt;&gt;"",0,IF(I271&gt;979,1000,I271))</f>
        <v>141</v>
      </c>
      <c r="L271" s="7" t="n">
        <f aca="false">K271/10</f>
        <v>14.1</v>
      </c>
    </row>
    <row r="272" customFormat="false" ht="15" hidden="false" customHeight="false" outlineLevel="0" collapsed="false">
      <c r="A272" s="7" t="n">
        <v>267</v>
      </c>
      <c r="B272" s="7" t="n">
        <f aca="false">A272/10</f>
        <v>26.7</v>
      </c>
      <c r="C272" s="7" t="n">
        <f aca="false">IF(AND(A272=0,c_TCREEP&gt;0),10*c_TCREEP,IF(AND(A272&lt;=c_TRNGMIN,A272&gt;=c_TRNGMAX,c_TRNGMIN-c_TRNGMAX&lt;&gt;0),-10*c_TMINRN+QUOTIENT((c_TMAXRN-c_TMINRN)*(100-QUOTIENT((A272-c_TRNGMAX)*100,c_TRNGMIN-c_TRNGMAX)),-10),0))</f>
        <v>0</v>
      </c>
      <c r="D272" s="7" t="n">
        <f aca="false">IF(((c_TMAP1IN)-(c_TFWD))=0,(0)+QUOTIENT(((c_TMAP1OUT)-(0)),2),QUOTIENT((((A272)-(c_TFWD))*((c_TMAP1OUT)-(0))+IF(((c_TMAP1OUT)-(0))&gt;=0,1,-1)*QUOTIENT(((c_TMAP1IN)-(c_TFWD)),2)),((c_TMAP1IN)-(c_TFWD)))+(0)+IF(((c_TMAP1OUT)-(0))&gt;=0,IF(IF(o_WRAP=1,MOD(((c_TMAP1IN)-(c_TFWD))*(((A272)-(c_TFWD))*((c_TMAP1OUT)-(0))+IF(((c_TMAP1OUT)-(0))&gt;=0,1,-1)*QUOTIENT(((c_TMAP1IN)-(c_TFWD)),2))+2147483648,4294967296)-2147483648,((c_TMAP1IN)-(c_TFWD))*(((A272)-(c_TFWD))*((c_TMAP1OUT)-(0))+IF(((c_TMAP1OUT)-(0))&gt;=0,1,-1)*QUOTIENT(((c_TMAP1IN)-(c_TFWD)),2)))&lt;0,-1,0),IF(IF(o_WRAP=1,MOD(((c_TMAP1IN)-(c_TFWD))*(((A272)-(c_TFWD))*((c_TMAP1OUT)-(0))+IF(((c_TMAP1OUT)-(0))&gt;=0,1,-1)*QUOTIENT(((c_TMAP1IN)-(c_TFWD)),2))+2147483648,4294967296)-2147483648,((c_TMAP1IN)-(c_TFWD))*(((A272)-(c_TFWD))*((c_TMAP1OUT)-(0))+IF(((c_TMAP1OUT)-(0))&gt;=0,1,-1)*QUOTIENT(((c_TMAP1IN)-(c_TFWD)),2)))&gt;=0,1,0)))</f>
        <v>200</v>
      </c>
      <c r="E272" s="7" t="n">
        <f aca="false">IF(((c_TMAP2IN)-(c_TMAP1IN))=0,(c_TMAP1OUT)+QUOTIENT(((c_TMAP2OUT)-(c_TMAP1OUT)),2),QUOTIENT((((A272)-(c_TMAP1IN))*((c_TMAP2OUT)-(c_TMAP1OUT))+IF(((c_TMAP2OUT)-(c_TMAP1OUT))&gt;=0,1,-1)*QUOTIENT(((c_TMAP2IN)-(c_TMAP1IN)),2)),((c_TMAP2IN)-(c_TMAP1IN)))+(c_TMAP1OUT)+IF(((c_TMAP2OUT)-(c_TMAP1OUT))&gt;=0,IF(IF(o_WRAP=1,MOD(((c_TMAP2IN)-(c_TMAP1IN))*(((A272)-(c_TMAP1IN))*((c_TMAP2OUT)-(c_TMAP1OUT))+IF(((c_TMAP2OUT)-(c_TMAP1OUT))&gt;=0,1,-1)*QUOTIENT(((c_TMAP2IN)-(c_TMAP1IN)),2))+2147483648,4294967296)-2147483648,((c_TMAP2IN)-(c_TMAP1IN))*(((A272)-(c_TMAP1IN))*((c_TMAP2OUT)-(c_TMAP1OUT))+IF(((c_TMAP2OUT)-(c_TMAP1OUT))&gt;=0,1,-1)*QUOTIENT(((c_TMAP2IN)-(c_TMAP1IN)),2)))&lt;0,-1,0),IF(IF(o_WRAP=1,MOD(((c_TMAP2IN)-(c_TMAP1IN))*(((A272)-(c_TMAP1IN))*((c_TMAP2OUT)-(c_TMAP1OUT))+IF(((c_TMAP2OUT)-(c_TMAP1OUT))&gt;=0,1,-1)*QUOTIENT(((c_TMAP2IN)-(c_TMAP1IN)),2))+2147483648,4294967296)-2147483648,((c_TMAP2IN)-(c_TMAP1IN))*(((A272)-(c_TMAP1IN))*((c_TMAP2OUT)-(c_TMAP1OUT))+IF(((c_TMAP2OUT)-(c_TMAP1OUT))&gt;=0,1,-1)*QUOTIENT(((c_TMAP2IN)-(c_TMAP1IN)),2)))&gt;=0,1,0)))</f>
        <v>137</v>
      </c>
      <c r="F272" s="7" t="n">
        <f aca="false">IF(((c_TMAP3IN)-(c_TMAP2IN))=0,(c_TMAP2OUT)+QUOTIENT(((c_TMAP3OUT)-(c_TMAP2OUT)),2),QUOTIENT((((A272)-(c_TMAP2IN))*((c_TMAP3OUT)-(c_TMAP2OUT))+IF(((c_TMAP3OUT)-(c_TMAP2OUT))&gt;=0,1,-1)*QUOTIENT(((c_TMAP3IN)-(c_TMAP2IN)),2)),((c_TMAP3IN)-(c_TMAP2IN)))+(c_TMAP2OUT)+IF(((c_TMAP3OUT)-(c_TMAP2OUT))&gt;=0,IF(IF(o_WRAP=1,MOD(((c_TMAP3IN)-(c_TMAP2IN))*(((A272)-(c_TMAP2IN))*((c_TMAP3OUT)-(c_TMAP2OUT))+IF(((c_TMAP3OUT)-(c_TMAP2OUT))&gt;=0,1,-1)*QUOTIENT(((c_TMAP3IN)-(c_TMAP2IN)),2))+2147483648,4294967296)-2147483648,((c_TMAP3IN)-(c_TMAP2IN))*(((A272)-(c_TMAP2IN))*((c_TMAP3OUT)-(c_TMAP2OUT))+IF(((c_TMAP3OUT)-(c_TMAP2OUT))&gt;=0,1,-1)*QUOTIENT(((c_TMAP3IN)-(c_TMAP2IN)),2)))&lt;0,-1,0),IF(IF(o_WRAP=1,MOD(((c_TMAP3IN)-(c_TMAP2IN))*(((A272)-(c_TMAP2IN))*((c_TMAP3OUT)-(c_TMAP2OUT))+IF(((c_TMAP3OUT)-(c_TMAP2OUT))&gt;=0,1,-1)*QUOTIENT(((c_TMAP3IN)-(c_TMAP2IN)),2))+2147483648,4294967296)-2147483648,((c_TMAP3IN)-(c_TMAP2IN))*(((A272)-(c_TMAP2IN))*((c_TMAP3OUT)-(c_TMAP2OUT))+IF(((c_TMAP3OUT)-(c_TMAP2OUT))&gt;=0,1,-1)*QUOTIENT(((c_TMAP3IN)-(c_TMAP2IN)),2)))&gt;=0,1,0)))</f>
        <v>142</v>
      </c>
      <c r="G272" s="7" t="n">
        <f aca="false">IF(((1000)-(c_TMAP3IN))=0,(c_TMAP3OUT)+QUOTIENT(((1000)-(c_TMAP3OUT)),2),QUOTIENT((((A272)-(c_TMAP3IN))*((1000)-(c_TMAP3OUT))+IF(((1000)-(c_TMAP3OUT))&gt;=0,1,-1)*QUOTIENT(((1000)-(c_TMAP3IN)),2)),((1000)-(c_TMAP3IN)))+(c_TMAP3OUT)+IF(((1000)-(c_TMAP3OUT))&gt;=0,IF(IF(o_WRAP=1,MOD(((1000)-(c_TMAP3IN))*(((A272)-(c_TMAP3IN))*((1000)-(c_TMAP3OUT))+IF(((1000)-(c_TMAP3OUT))&gt;=0,1,-1)*QUOTIENT(((1000)-(c_TMAP3IN)),2))+2147483648,4294967296)-2147483648,((1000)-(c_TMAP3IN))*(((A272)-(c_TMAP3IN))*((1000)-(c_TMAP3OUT))+IF(((1000)-(c_TMAP3OUT))&gt;=0,1,-1)*QUOTIENT(((1000)-(c_TMAP3IN)),2)))&lt;0,-1,0),IF(IF(o_WRAP=1,MOD(((1000)-(c_TMAP3IN))*(((A272)-(c_TMAP3IN))*((1000)-(c_TMAP3OUT))+IF(((1000)-(c_TMAP3OUT))&gt;=0,1,-1)*QUOTIENT(((1000)-(c_TMAP3IN)),2))+2147483648,4294967296)-2147483648,((1000)-(c_TMAP3IN))*(((A272)-(c_TMAP3IN))*((1000)-(c_TMAP3OUT))+IF(((1000)-(c_TMAP3OUT))&gt;=0,1,-1)*QUOTIENT(((1000)-(c_TMAP3IN)),2)))&gt;=0,1,0)))</f>
        <v>98</v>
      </c>
      <c r="H272" s="7" t="str">
        <f aca="false">IF(A272&gt;=c_TFWD,IF(AND(A272&gt;=c_TMAP3IN,c_TMAP3IN&lt;1000),"Seg4 map3-100%",IF(AND(A272&gt;=c_TMAP2IN,c_TMAP3IN&gt;c_TMAP2IN),"Seg3 map2-map3",IF(AND(A272&gt;=c_TMAP1IN,c_TMAP2IN&gt;c_TMAP1IN),"Seg2 map1-map2","Seg1 TFWD-map1"))),IF(AND(A272=0,c_TCREEP&gt;0),"Creep",IF(AND(A272&lt;=c_TRNGMIN,A272&gt;=c_TRNGMAX,c_TRNGMIN-c_TRNGMAX&lt;&gt;0),"Regen ramp","Coast (0)")))</f>
        <v>Seg3 map2-map3</v>
      </c>
      <c r="I272" s="7" t="n">
        <f aca="false">IF(A272&gt;=c_TFWD,IF(AND(A272&gt;=c_TMAP3IN,c_TMAP3IN&lt;1000),G272,IF(AND(A272&gt;=c_TMAP2IN,c_TMAP3IN&gt;c_TMAP2IN),F272,IF(AND(A272&gt;=c_TMAP1IN,c_TMAP2IN&gt;c_TMAP1IN),E272,D272))),C272)</f>
        <v>142</v>
      </c>
      <c r="J272" s="7" t="str">
        <f aca="false">IF(I272&lt;-1090,"TOO LOW",IF(I272&gt;1090,"TOO HIGH",""))</f>
        <v/>
      </c>
      <c r="K272" s="15" t="n">
        <f aca="false">IF(J272&lt;&gt;"",0,IF(I272&gt;979,1000,I272))</f>
        <v>142</v>
      </c>
      <c r="L272" s="7" t="n">
        <f aca="false">K272/10</f>
        <v>14.2</v>
      </c>
    </row>
    <row r="273" customFormat="false" ht="15" hidden="false" customHeight="false" outlineLevel="0" collapsed="false">
      <c r="A273" s="7" t="n">
        <v>268</v>
      </c>
      <c r="B273" s="7" t="n">
        <f aca="false">A273/10</f>
        <v>26.8</v>
      </c>
      <c r="C273" s="7" t="n">
        <f aca="false">IF(AND(A273=0,c_TCREEP&gt;0),10*c_TCREEP,IF(AND(A273&lt;=c_TRNGMIN,A273&gt;=c_TRNGMAX,c_TRNGMIN-c_TRNGMAX&lt;&gt;0),-10*c_TMINRN+QUOTIENT((c_TMAXRN-c_TMINRN)*(100-QUOTIENT((A273-c_TRNGMAX)*100,c_TRNGMIN-c_TRNGMAX)),-10),0))</f>
        <v>0</v>
      </c>
      <c r="D273" s="7" t="n">
        <f aca="false">IF(((c_TMAP1IN)-(c_TFWD))=0,(0)+QUOTIENT(((c_TMAP1OUT)-(0)),2),QUOTIENT((((A273)-(c_TFWD))*((c_TMAP1OUT)-(0))+IF(((c_TMAP1OUT)-(0))&gt;=0,1,-1)*QUOTIENT(((c_TMAP1IN)-(c_TFWD)),2)),((c_TMAP1IN)-(c_TFWD)))+(0)+IF(((c_TMAP1OUT)-(0))&gt;=0,IF(IF(o_WRAP=1,MOD(((c_TMAP1IN)-(c_TFWD))*(((A273)-(c_TFWD))*((c_TMAP1OUT)-(0))+IF(((c_TMAP1OUT)-(0))&gt;=0,1,-1)*QUOTIENT(((c_TMAP1IN)-(c_TFWD)),2))+2147483648,4294967296)-2147483648,((c_TMAP1IN)-(c_TFWD))*(((A273)-(c_TFWD))*((c_TMAP1OUT)-(0))+IF(((c_TMAP1OUT)-(0))&gt;=0,1,-1)*QUOTIENT(((c_TMAP1IN)-(c_TFWD)),2)))&lt;0,-1,0),IF(IF(o_WRAP=1,MOD(((c_TMAP1IN)-(c_TFWD))*(((A273)-(c_TFWD))*((c_TMAP1OUT)-(0))+IF(((c_TMAP1OUT)-(0))&gt;=0,1,-1)*QUOTIENT(((c_TMAP1IN)-(c_TFWD)),2))+2147483648,4294967296)-2147483648,((c_TMAP1IN)-(c_TFWD))*(((A273)-(c_TFWD))*((c_TMAP1OUT)-(0))+IF(((c_TMAP1OUT)-(0))&gt;=0,1,-1)*QUOTIENT(((c_TMAP1IN)-(c_TFWD)),2)))&gt;=0,1,0)))</f>
        <v>201</v>
      </c>
      <c r="E273" s="7" t="n">
        <f aca="false">IF(((c_TMAP2IN)-(c_TMAP1IN))=0,(c_TMAP1OUT)+QUOTIENT(((c_TMAP2OUT)-(c_TMAP1OUT)),2),QUOTIENT((((A273)-(c_TMAP1IN))*((c_TMAP2OUT)-(c_TMAP1OUT))+IF(((c_TMAP2OUT)-(c_TMAP1OUT))&gt;=0,1,-1)*QUOTIENT(((c_TMAP2IN)-(c_TMAP1IN)),2)),((c_TMAP2IN)-(c_TMAP1IN)))+(c_TMAP1OUT)+IF(((c_TMAP2OUT)-(c_TMAP1OUT))&gt;=0,IF(IF(o_WRAP=1,MOD(((c_TMAP2IN)-(c_TMAP1IN))*(((A273)-(c_TMAP1IN))*((c_TMAP2OUT)-(c_TMAP1OUT))+IF(((c_TMAP2OUT)-(c_TMAP1OUT))&gt;=0,1,-1)*QUOTIENT(((c_TMAP2IN)-(c_TMAP1IN)),2))+2147483648,4294967296)-2147483648,((c_TMAP2IN)-(c_TMAP1IN))*(((A273)-(c_TMAP1IN))*((c_TMAP2OUT)-(c_TMAP1OUT))+IF(((c_TMAP2OUT)-(c_TMAP1OUT))&gt;=0,1,-1)*QUOTIENT(((c_TMAP2IN)-(c_TMAP1IN)),2)))&lt;0,-1,0),IF(IF(o_WRAP=1,MOD(((c_TMAP2IN)-(c_TMAP1IN))*(((A273)-(c_TMAP1IN))*((c_TMAP2OUT)-(c_TMAP1OUT))+IF(((c_TMAP2OUT)-(c_TMAP1OUT))&gt;=0,1,-1)*QUOTIENT(((c_TMAP2IN)-(c_TMAP1IN)),2))+2147483648,4294967296)-2147483648,((c_TMAP2IN)-(c_TMAP1IN))*(((A273)-(c_TMAP1IN))*((c_TMAP2OUT)-(c_TMAP1OUT))+IF(((c_TMAP2OUT)-(c_TMAP1OUT))&gt;=0,1,-1)*QUOTIENT(((c_TMAP2IN)-(c_TMAP1IN)),2)))&gt;=0,1,0)))</f>
        <v>137</v>
      </c>
      <c r="F273" s="7" t="n">
        <f aca="false">IF(((c_TMAP3IN)-(c_TMAP2IN))=0,(c_TMAP2OUT)+QUOTIENT(((c_TMAP3OUT)-(c_TMAP2OUT)),2),QUOTIENT((((A273)-(c_TMAP2IN))*((c_TMAP3OUT)-(c_TMAP2OUT))+IF(((c_TMAP3OUT)-(c_TMAP2OUT))&gt;=0,1,-1)*QUOTIENT(((c_TMAP3IN)-(c_TMAP2IN)),2)),((c_TMAP3IN)-(c_TMAP2IN)))+(c_TMAP2OUT)+IF(((c_TMAP3OUT)-(c_TMAP2OUT))&gt;=0,IF(IF(o_WRAP=1,MOD(((c_TMAP3IN)-(c_TMAP2IN))*(((A273)-(c_TMAP2IN))*((c_TMAP3OUT)-(c_TMAP2OUT))+IF(((c_TMAP3OUT)-(c_TMAP2OUT))&gt;=0,1,-1)*QUOTIENT(((c_TMAP3IN)-(c_TMAP2IN)),2))+2147483648,4294967296)-2147483648,((c_TMAP3IN)-(c_TMAP2IN))*(((A273)-(c_TMAP2IN))*((c_TMAP3OUT)-(c_TMAP2OUT))+IF(((c_TMAP3OUT)-(c_TMAP2OUT))&gt;=0,1,-1)*QUOTIENT(((c_TMAP3IN)-(c_TMAP2IN)),2)))&lt;0,-1,0),IF(IF(o_WRAP=1,MOD(((c_TMAP3IN)-(c_TMAP2IN))*(((A273)-(c_TMAP2IN))*((c_TMAP3OUT)-(c_TMAP2OUT))+IF(((c_TMAP3OUT)-(c_TMAP2OUT))&gt;=0,1,-1)*QUOTIENT(((c_TMAP3IN)-(c_TMAP2IN)),2))+2147483648,4294967296)-2147483648,((c_TMAP3IN)-(c_TMAP2IN))*(((A273)-(c_TMAP2IN))*((c_TMAP3OUT)-(c_TMAP2OUT))+IF(((c_TMAP3OUT)-(c_TMAP2OUT))&gt;=0,1,-1)*QUOTIENT(((c_TMAP3IN)-(c_TMAP2IN)),2)))&gt;=0,1,0)))</f>
        <v>143</v>
      </c>
      <c r="G273" s="7" t="n">
        <f aca="false">IF(((1000)-(c_TMAP3IN))=0,(c_TMAP3OUT)+QUOTIENT(((1000)-(c_TMAP3OUT)),2),QUOTIENT((((A273)-(c_TMAP3IN))*((1000)-(c_TMAP3OUT))+IF(((1000)-(c_TMAP3OUT))&gt;=0,1,-1)*QUOTIENT(((1000)-(c_TMAP3IN)),2)),((1000)-(c_TMAP3IN)))+(c_TMAP3OUT)+IF(((1000)-(c_TMAP3OUT))&gt;=0,IF(IF(o_WRAP=1,MOD(((1000)-(c_TMAP3IN))*(((A273)-(c_TMAP3IN))*((1000)-(c_TMAP3OUT))+IF(((1000)-(c_TMAP3OUT))&gt;=0,1,-1)*QUOTIENT(((1000)-(c_TMAP3IN)),2))+2147483648,4294967296)-2147483648,((1000)-(c_TMAP3IN))*(((A273)-(c_TMAP3IN))*((1000)-(c_TMAP3OUT))+IF(((1000)-(c_TMAP3OUT))&gt;=0,1,-1)*QUOTIENT(((1000)-(c_TMAP3IN)),2)))&lt;0,-1,0),IF(IF(o_WRAP=1,MOD(((1000)-(c_TMAP3IN))*(((A273)-(c_TMAP3IN))*((1000)-(c_TMAP3OUT))+IF(((1000)-(c_TMAP3OUT))&gt;=0,1,-1)*QUOTIENT(((1000)-(c_TMAP3IN)),2))+2147483648,4294967296)-2147483648,((1000)-(c_TMAP3IN))*(((A273)-(c_TMAP3IN))*((1000)-(c_TMAP3OUT))+IF(((1000)-(c_TMAP3OUT))&gt;=0,1,-1)*QUOTIENT(((1000)-(c_TMAP3IN)),2)))&gt;=0,1,0)))</f>
        <v>99</v>
      </c>
      <c r="H273" s="7" t="str">
        <f aca="false">IF(A273&gt;=c_TFWD,IF(AND(A273&gt;=c_TMAP3IN,c_TMAP3IN&lt;1000),"Seg4 map3-100%",IF(AND(A273&gt;=c_TMAP2IN,c_TMAP3IN&gt;c_TMAP2IN),"Seg3 map2-map3",IF(AND(A273&gt;=c_TMAP1IN,c_TMAP2IN&gt;c_TMAP1IN),"Seg2 map1-map2","Seg1 TFWD-map1"))),IF(AND(A273=0,c_TCREEP&gt;0),"Creep",IF(AND(A273&lt;=c_TRNGMIN,A273&gt;=c_TRNGMAX,c_TRNGMIN-c_TRNGMAX&lt;&gt;0),"Regen ramp","Coast (0)")))</f>
        <v>Seg3 map2-map3</v>
      </c>
      <c r="I273" s="7" t="n">
        <f aca="false">IF(A273&gt;=c_TFWD,IF(AND(A273&gt;=c_TMAP3IN,c_TMAP3IN&lt;1000),G273,IF(AND(A273&gt;=c_TMAP2IN,c_TMAP3IN&gt;c_TMAP2IN),F273,IF(AND(A273&gt;=c_TMAP1IN,c_TMAP2IN&gt;c_TMAP1IN),E273,D273))),C273)</f>
        <v>143</v>
      </c>
      <c r="J273" s="7" t="str">
        <f aca="false">IF(I273&lt;-1090,"TOO LOW",IF(I273&gt;1090,"TOO HIGH",""))</f>
        <v/>
      </c>
      <c r="K273" s="15" t="n">
        <f aca="false">IF(J273&lt;&gt;"",0,IF(I273&gt;979,1000,I273))</f>
        <v>143</v>
      </c>
      <c r="L273" s="7" t="n">
        <f aca="false">K273/10</f>
        <v>14.3</v>
      </c>
    </row>
    <row r="274" customFormat="false" ht="15" hidden="false" customHeight="false" outlineLevel="0" collapsed="false">
      <c r="A274" s="7" t="n">
        <v>269</v>
      </c>
      <c r="B274" s="7" t="n">
        <f aca="false">A274/10</f>
        <v>26.9</v>
      </c>
      <c r="C274" s="7" t="n">
        <f aca="false">IF(AND(A274=0,c_TCREEP&gt;0),10*c_TCREEP,IF(AND(A274&lt;=c_TRNGMIN,A274&gt;=c_TRNGMAX,c_TRNGMIN-c_TRNGMAX&lt;&gt;0),-10*c_TMINRN+QUOTIENT((c_TMAXRN-c_TMINRN)*(100-QUOTIENT((A274-c_TRNGMAX)*100,c_TRNGMIN-c_TRNGMAX)),-10),0))</f>
        <v>0</v>
      </c>
      <c r="D274" s="7" t="n">
        <f aca="false">IF(((c_TMAP1IN)-(c_TFWD))=0,(0)+QUOTIENT(((c_TMAP1OUT)-(0)),2),QUOTIENT((((A274)-(c_TFWD))*((c_TMAP1OUT)-(0))+IF(((c_TMAP1OUT)-(0))&gt;=0,1,-1)*QUOTIENT(((c_TMAP1IN)-(c_TFWD)),2)),((c_TMAP1IN)-(c_TFWD)))+(0)+IF(((c_TMAP1OUT)-(0))&gt;=0,IF(IF(o_WRAP=1,MOD(((c_TMAP1IN)-(c_TFWD))*(((A274)-(c_TFWD))*((c_TMAP1OUT)-(0))+IF(((c_TMAP1OUT)-(0))&gt;=0,1,-1)*QUOTIENT(((c_TMAP1IN)-(c_TFWD)),2))+2147483648,4294967296)-2147483648,((c_TMAP1IN)-(c_TFWD))*(((A274)-(c_TFWD))*((c_TMAP1OUT)-(0))+IF(((c_TMAP1OUT)-(0))&gt;=0,1,-1)*QUOTIENT(((c_TMAP1IN)-(c_TFWD)),2)))&lt;0,-1,0),IF(IF(o_WRAP=1,MOD(((c_TMAP1IN)-(c_TFWD))*(((A274)-(c_TFWD))*((c_TMAP1OUT)-(0))+IF(((c_TMAP1OUT)-(0))&gt;=0,1,-1)*QUOTIENT(((c_TMAP1IN)-(c_TFWD)),2))+2147483648,4294967296)-2147483648,((c_TMAP1IN)-(c_TFWD))*(((A274)-(c_TFWD))*((c_TMAP1OUT)-(0))+IF(((c_TMAP1OUT)-(0))&gt;=0,1,-1)*QUOTIENT(((c_TMAP1IN)-(c_TFWD)),2)))&gt;=0,1,0)))</f>
        <v>201</v>
      </c>
      <c r="E274" s="7" t="n">
        <f aca="false">IF(((c_TMAP2IN)-(c_TMAP1IN))=0,(c_TMAP1OUT)+QUOTIENT(((c_TMAP2OUT)-(c_TMAP1OUT)),2),QUOTIENT((((A274)-(c_TMAP1IN))*((c_TMAP2OUT)-(c_TMAP1OUT))+IF(((c_TMAP2OUT)-(c_TMAP1OUT))&gt;=0,1,-1)*QUOTIENT(((c_TMAP2IN)-(c_TMAP1IN)),2)),((c_TMAP2IN)-(c_TMAP1IN)))+(c_TMAP1OUT)+IF(((c_TMAP2OUT)-(c_TMAP1OUT))&gt;=0,IF(IF(o_WRAP=1,MOD(((c_TMAP2IN)-(c_TMAP1IN))*(((A274)-(c_TMAP1IN))*((c_TMAP2OUT)-(c_TMAP1OUT))+IF(((c_TMAP2OUT)-(c_TMAP1OUT))&gt;=0,1,-1)*QUOTIENT(((c_TMAP2IN)-(c_TMAP1IN)),2))+2147483648,4294967296)-2147483648,((c_TMAP2IN)-(c_TMAP1IN))*(((A274)-(c_TMAP1IN))*((c_TMAP2OUT)-(c_TMAP1OUT))+IF(((c_TMAP2OUT)-(c_TMAP1OUT))&gt;=0,1,-1)*QUOTIENT(((c_TMAP2IN)-(c_TMAP1IN)),2)))&lt;0,-1,0),IF(IF(o_WRAP=1,MOD(((c_TMAP2IN)-(c_TMAP1IN))*(((A274)-(c_TMAP1IN))*((c_TMAP2OUT)-(c_TMAP1OUT))+IF(((c_TMAP2OUT)-(c_TMAP1OUT))&gt;=0,1,-1)*QUOTIENT(((c_TMAP2IN)-(c_TMAP1IN)),2))+2147483648,4294967296)-2147483648,((c_TMAP2IN)-(c_TMAP1IN))*(((A274)-(c_TMAP1IN))*((c_TMAP2OUT)-(c_TMAP1OUT))+IF(((c_TMAP2OUT)-(c_TMAP1OUT))&gt;=0,1,-1)*QUOTIENT(((c_TMAP2IN)-(c_TMAP1IN)),2)))&gt;=0,1,0)))</f>
        <v>138</v>
      </c>
      <c r="F274" s="7" t="n">
        <f aca="false">IF(((c_TMAP3IN)-(c_TMAP2IN))=0,(c_TMAP2OUT)+QUOTIENT(((c_TMAP3OUT)-(c_TMAP2OUT)),2),QUOTIENT((((A274)-(c_TMAP2IN))*((c_TMAP3OUT)-(c_TMAP2OUT))+IF(((c_TMAP3OUT)-(c_TMAP2OUT))&gt;=0,1,-1)*QUOTIENT(((c_TMAP3IN)-(c_TMAP2IN)),2)),((c_TMAP3IN)-(c_TMAP2IN)))+(c_TMAP2OUT)+IF(((c_TMAP3OUT)-(c_TMAP2OUT))&gt;=0,IF(IF(o_WRAP=1,MOD(((c_TMAP3IN)-(c_TMAP2IN))*(((A274)-(c_TMAP2IN))*((c_TMAP3OUT)-(c_TMAP2OUT))+IF(((c_TMAP3OUT)-(c_TMAP2OUT))&gt;=0,1,-1)*QUOTIENT(((c_TMAP3IN)-(c_TMAP2IN)),2))+2147483648,4294967296)-2147483648,((c_TMAP3IN)-(c_TMAP2IN))*(((A274)-(c_TMAP2IN))*((c_TMAP3OUT)-(c_TMAP2OUT))+IF(((c_TMAP3OUT)-(c_TMAP2OUT))&gt;=0,1,-1)*QUOTIENT(((c_TMAP3IN)-(c_TMAP2IN)),2)))&lt;0,-1,0),IF(IF(o_WRAP=1,MOD(((c_TMAP3IN)-(c_TMAP2IN))*(((A274)-(c_TMAP2IN))*((c_TMAP3OUT)-(c_TMAP2OUT))+IF(((c_TMAP3OUT)-(c_TMAP2OUT))&gt;=0,1,-1)*QUOTIENT(((c_TMAP3IN)-(c_TMAP2IN)),2))+2147483648,4294967296)-2147483648,((c_TMAP3IN)-(c_TMAP2IN))*(((A274)-(c_TMAP2IN))*((c_TMAP3OUT)-(c_TMAP2OUT))+IF(((c_TMAP3OUT)-(c_TMAP2OUT))&gt;=0,1,-1)*QUOTIENT(((c_TMAP3IN)-(c_TMAP2IN)),2)))&gt;=0,1,0)))</f>
        <v>143</v>
      </c>
      <c r="G274" s="7" t="n">
        <f aca="false">IF(((1000)-(c_TMAP3IN))=0,(c_TMAP3OUT)+QUOTIENT(((1000)-(c_TMAP3OUT)),2),QUOTIENT((((A274)-(c_TMAP3IN))*((1000)-(c_TMAP3OUT))+IF(((1000)-(c_TMAP3OUT))&gt;=0,1,-1)*QUOTIENT(((1000)-(c_TMAP3IN)),2)),((1000)-(c_TMAP3IN)))+(c_TMAP3OUT)+IF(((1000)-(c_TMAP3OUT))&gt;=0,IF(IF(o_WRAP=1,MOD(((1000)-(c_TMAP3IN))*(((A274)-(c_TMAP3IN))*((1000)-(c_TMAP3OUT))+IF(((1000)-(c_TMAP3OUT))&gt;=0,1,-1)*QUOTIENT(((1000)-(c_TMAP3IN)),2))+2147483648,4294967296)-2147483648,((1000)-(c_TMAP3IN))*(((A274)-(c_TMAP3IN))*((1000)-(c_TMAP3OUT))+IF(((1000)-(c_TMAP3OUT))&gt;=0,1,-1)*QUOTIENT(((1000)-(c_TMAP3IN)),2)))&lt;0,-1,0),IF(IF(o_WRAP=1,MOD(((1000)-(c_TMAP3IN))*(((A274)-(c_TMAP3IN))*((1000)-(c_TMAP3OUT))+IF(((1000)-(c_TMAP3OUT))&gt;=0,1,-1)*QUOTIENT(((1000)-(c_TMAP3IN)),2))+2147483648,4294967296)-2147483648,((1000)-(c_TMAP3IN))*(((A274)-(c_TMAP3IN))*((1000)-(c_TMAP3OUT))+IF(((1000)-(c_TMAP3OUT))&gt;=0,1,-1)*QUOTIENT(((1000)-(c_TMAP3IN)),2)))&gt;=0,1,0)))</f>
        <v>100</v>
      </c>
      <c r="H274" s="7" t="str">
        <f aca="false">IF(A274&gt;=c_TFWD,IF(AND(A274&gt;=c_TMAP3IN,c_TMAP3IN&lt;1000),"Seg4 map3-100%",IF(AND(A274&gt;=c_TMAP2IN,c_TMAP3IN&gt;c_TMAP2IN),"Seg3 map2-map3",IF(AND(A274&gt;=c_TMAP1IN,c_TMAP2IN&gt;c_TMAP1IN),"Seg2 map1-map2","Seg1 TFWD-map1"))),IF(AND(A274=0,c_TCREEP&gt;0),"Creep",IF(AND(A274&lt;=c_TRNGMIN,A274&gt;=c_TRNGMAX,c_TRNGMIN-c_TRNGMAX&lt;&gt;0),"Regen ramp","Coast (0)")))</f>
        <v>Seg3 map2-map3</v>
      </c>
      <c r="I274" s="7" t="n">
        <f aca="false">IF(A274&gt;=c_TFWD,IF(AND(A274&gt;=c_TMAP3IN,c_TMAP3IN&lt;1000),G274,IF(AND(A274&gt;=c_TMAP2IN,c_TMAP3IN&gt;c_TMAP2IN),F274,IF(AND(A274&gt;=c_TMAP1IN,c_TMAP2IN&gt;c_TMAP1IN),E274,D274))),C274)</f>
        <v>143</v>
      </c>
      <c r="J274" s="7" t="str">
        <f aca="false">IF(I274&lt;-1090,"TOO LOW",IF(I274&gt;1090,"TOO HIGH",""))</f>
        <v/>
      </c>
      <c r="K274" s="15" t="n">
        <f aca="false">IF(J274&lt;&gt;"",0,IF(I274&gt;979,1000,I274))</f>
        <v>143</v>
      </c>
      <c r="L274" s="7" t="n">
        <f aca="false">K274/10</f>
        <v>14.3</v>
      </c>
    </row>
    <row r="275" customFormat="false" ht="15" hidden="false" customHeight="false" outlineLevel="0" collapsed="false">
      <c r="A275" s="7" t="n">
        <v>270</v>
      </c>
      <c r="B275" s="7" t="n">
        <f aca="false">A275/10</f>
        <v>27</v>
      </c>
      <c r="C275" s="7" t="n">
        <f aca="false">IF(AND(A275=0,c_TCREEP&gt;0),10*c_TCREEP,IF(AND(A275&lt;=c_TRNGMIN,A275&gt;=c_TRNGMAX,c_TRNGMIN-c_TRNGMAX&lt;&gt;0),-10*c_TMINRN+QUOTIENT((c_TMAXRN-c_TMINRN)*(100-QUOTIENT((A275-c_TRNGMAX)*100,c_TRNGMIN-c_TRNGMAX)),-10),0))</f>
        <v>0</v>
      </c>
      <c r="D275" s="7" t="n">
        <f aca="false">IF(((c_TMAP1IN)-(c_TFWD))=0,(0)+QUOTIENT(((c_TMAP1OUT)-(0)),2),QUOTIENT((((A275)-(c_TFWD))*((c_TMAP1OUT)-(0))+IF(((c_TMAP1OUT)-(0))&gt;=0,1,-1)*QUOTIENT(((c_TMAP1IN)-(c_TFWD)),2)),((c_TMAP1IN)-(c_TFWD)))+(0)+IF(((c_TMAP1OUT)-(0))&gt;=0,IF(IF(o_WRAP=1,MOD(((c_TMAP1IN)-(c_TFWD))*(((A275)-(c_TFWD))*((c_TMAP1OUT)-(0))+IF(((c_TMAP1OUT)-(0))&gt;=0,1,-1)*QUOTIENT(((c_TMAP1IN)-(c_TFWD)),2))+2147483648,4294967296)-2147483648,((c_TMAP1IN)-(c_TFWD))*(((A275)-(c_TFWD))*((c_TMAP1OUT)-(0))+IF(((c_TMAP1OUT)-(0))&gt;=0,1,-1)*QUOTIENT(((c_TMAP1IN)-(c_TFWD)),2)))&lt;0,-1,0),IF(IF(o_WRAP=1,MOD(((c_TMAP1IN)-(c_TFWD))*(((A275)-(c_TFWD))*((c_TMAP1OUT)-(0))+IF(((c_TMAP1OUT)-(0))&gt;=0,1,-1)*QUOTIENT(((c_TMAP1IN)-(c_TFWD)),2))+2147483648,4294967296)-2147483648,((c_TMAP1IN)-(c_TFWD))*(((A275)-(c_TFWD))*((c_TMAP1OUT)-(0))+IF(((c_TMAP1OUT)-(0))&gt;=0,1,-1)*QUOTIENT(((c_TMAP1IN)-(c_TFWD)),2)))&gt;=0,1,0)))</f>
        <v>202</v>
      </c>
      <c r="E275" s="7" t="n">
        <f aca="false">IF(((c_TMAP2IN)-(c_TMAP1IN))=0,(c_TMAP1OUT)+QUOTIENT(((c_TMAP2OUT)-(c_TMAP1OUT)),2),QUOTIENT((((A275)-(c_TMAP1IN))*((c_TMAP2OUT)-(c_TMAP1OUT))+IF(((c_TMAP2OUT)-(c_TMAP1OUT))&gt;=0,1,-1)*QUOTIENT(((c_TMAP2IN)-(c_TMAP1IN)),2)),((c_TMAP2IN)-(c_TMAP1IN)))+(c_TMAP1OUT)+IF(((c_TMAP2OUT)-(c_TMAP1OUT))&gt;=0,IF(IF(o_WRAP=1,MOD(((c_TMAP2IN)-(c_TMAP1IN))*(((A275)-(c_TMAP1IN))*((c_TMAP2OUT)-(c_TMAP1OUT))+IF(((c_TMAP2OUT)-(c_TMAP1OUT))&gt;=0,1,-1)*QUOTIENT(((c_TMAP2IN)-(c_TMAP1IN)),2))+2147483648,4294967296)-2147483648,((c_TMAP2IN)-(c_TMAP1IN))*(((A275)-(c_TMAP1IN))*((c_TMAP2OUT)-(c_TMAP1OUT))+IF(((c_TMAP2OUT)-(c_TMAP1OUT))&gt;=0,1,-1)*QUOTIENT(((c_TMAP2IN)-(c_TMAP1IN)),2)))&lt;0,-1,0),IF(IF(o_WRAP=1,MOD(((c_TMAP2IN)-(c_TMAP1IN))*(((A275)-(c_TMAP1IN))*((c_TMAP2OUT)-(c_TMAP1OUT))+IF(((c_TMAP2OUT)-(c_TMAP1OUT))&gt;=0,1,-1)*QUOTIENT(((c_TMAP2IN)-(c_TMAP1IN)),2))+2147483648,4294967296)-2147483648,((c_TMAP2IN)-(c_TMAP1IN))*(((A275)-(c_TMAP1IN))*((c_TMAP2OUT)-(c_TMAP1OUT))+IF(((c_TMAP2OUT)-(c_TMAP1OUT))&gt;=0,1,-1)*QUOTIENT(((c_TMAP2IN)-(c_TMAP1IN)),2)))&gt;=0,1,0)))</f>
        <v>138</v>
      </c>
      <c r="F275" s="7" t="n">
        <f aca="false">IF(((c_TMAP3IN)-(c_TMAP2IN))=0,(c_TMAP2OUT)+QUOTIENT(((c_TMAP3OUT)-(c_TMAP2OUT)),2),QUOTIENT((((A275)-(c_TMAP2IN))*((c_TMAP3OUT)-(c_TMAP2OUT))+IF(((c_TMAP3OUT)-(c_TMAP2OUT))&gt;=0,1,-1)*QUOTIENT(((c_TMAP3IN)-(c_TMAP2IN)),2)),((c_TMAP3IN)-(c_TMAP2IN)))+(c_TMAP2OUT)+IF(((c_TMAP3OUT)-(c_TMAP2OUT))&gt;=0,IF(IF(o_WRAP=1,MOD(((c_TMAP3IN)-(c_TMAP2IN))*(((A275)-(c_TMAP2IN))*((c_TMAP3OUT)-(c_TMAP2OUT))+IF(((c_TMAP3OUT)-(c_TMAP2OUT))&gt;=0,1,-1)*QUOTIENT(((c_TMAP3IN)-(c_TMAP2IN)),2))+2147483648,4294967296)-2147483648,((c_TMAP3IN)-(c_TMAP2IN))*(((A275)-(c_TMAP2IN))*((c_TMAP3OUT)-(c_TMAP2OUT))+IF(((c_TMAP3OUT)-(c_TMAP2OUT))&gt;=0,1,-1)*QUOTIENT(((c_TMAP3IN)-(c_TMAP2IN)),2)))&lt;0,-1,0),IF(IF(o_WRAP=1,MOD(((c_TMAP3IN)-(c_TMAP2IN))*(((A275)-(c_TMAP2IN))*((c_TMAP3OUT)-(c_TMAP2OUT))+IF(((c_TMAP3OUT)-(c_TMAP2OUT))&gt;=0,1,-1)*QUOTIENT(((c_TMAP3IN)-(c_TMAP2IN)),2))+2147483648,4294967296)-2147483648,((c_TMAP3IN)-(c_TMAP2IN))*(((A275)-(c_TMAP2IN))*((c_TMAP3OUT)-(c_TMAP2OUT))+IF(((c_TMAP3OUT)-(c_TMAP2OUT))&gt;=0,1,-1)*QUOTIENT(((c_TMAP3IN)-(c_TMAP2IN)),2)))&gt;=0,1,0)))</f>
        <v>144</v>
      </c>
      <c r="G275" s="7" t="n">
        <f aca="false">IF(((1000)-(c_TMAP3IN))=0,(c_TMAP3OUT)+QUOTIENT(((1000)-(c_TMAP3OUT)),2),QUOTIENT((((A275)-(c_TMAP3IN))*((1000)-(c_TMAP3OUT))+IF(((1000)-(c_TMAP3OUT))&gt;=0,1,-1)*QUOTIENT(((1000)-(c_TMAP3IN)),2)),((1000)-(c_TMAP3IN)))+(c_TMAP3OUT)+IF(((1000)-(c_TMAP3OUT))&gt;=0,IF(IF(o_WRAP=1,MOD(((1000)-(c_TMAP3IN))*(((A275)-(c_TMAP3IN))*((1000)-(c_TMAP3OUT))+IF(((1000)-(c_TMAP3OUT))&gt;=0,1,-1)*QUOTIENT(((1000)-(c_TMAP3IN)),2))+2147483648,4294967296)-2147483648,((1000)-(c_TMAP3IN))*(((A275)-(c_TMAP3IN))*((1000)-(c_TMAP3OUT))+IF(((1000)-(c_TMAP3OUT))&gt;=0,1,-1)*QUOTIENT(((1000)-(c_TMAP3IN)),2)))&lt;0,-1,0),IF(IF(o_WRAP=1,MOD(((1000)-(c_TMAP3IN))*(((A275)-(c_TMAP3IN))*((1000)-(c_TMAP3OUT))+IF(((1000)-(c_TMAP3OUT))&gt;=0,1,-1)*QUOTIENT(((1000)-(c_TMAP3IN)),2))+2147483648,4294967296)-2147483648,((1000)-(c_TMAP3IN))*(((A275)-(c_TMAP3IN))*((1000)-(c_TMAP3OUT))+IF(((1000)-(c_TMAP3OUT))&gt;=0,1,-1)*QUOTIENT(((1000)-(c_TMAP3IN)),2)))&gt;=0,1,0)))</f>
        <v>102</v>
      </c>
      <c r="H275" s="7" t="str">
        <f aca="false">IF(A275&gt;=c_TFWD,IF(AND(A275&gt;=c_TMAP3IN,c_TMAP3IN&lt;1000),"Seg4 map3-100%",IF(AND(A275&gt;=c_TMAP2IN,c_TMAP3IN&gt;c_TMAP2IN),"Seg3 map2-map3",IF(AND(A275&gt;=c_TMAP1IN,c_TMAP2IN&gt;c_TMAP1IN),"Seg2 map1-map2","Seg1 TFWD-map1"))),IF(AND(A275=0,c_TCREEP&gt;0),"Creep",IF(AND(A275&lt;=c_TRNGMIN,A275&gt;=c_TRNGMAX,c_TRNGMIN-c_TRNGMAX&lt;&gt;0),"Regen ramp","Coast (0)")))</f>
        <v>Seg3 map2-map3</v>
      </c>
      <c r="I275" s="7" t="n">
        <f aca="false">IF(A275&gt;=c_TFWD,IF(AND(A275&gt;=c_TMAP3IN,c_TMAP3IN&lt;1000),G275,IF(AND(A275&gt;=c_TMAP2IN,c_TMAP3IN&gt;c_TMAP2IN),F275,IF(AND(A275&gt;=c_TMAP1IN,c_TMAP2IN&gt;c_TMAP1IN),E275,D275))),C275)</f>
        <v>144</v>
      </c>
      <c r="J275" s="7" t="str">
        <f aca="false">IF(I275&lt;-1090,"TOO LOW",IF(I275&gt;1090,"TOO HIGH",""))</f>
        <v/>
      </c>
      <c r="K275" s="15" t="n">
        <f aca="false">IF(J275&lt;&gt;"",0,IF(I275&gt;979,1000,I275))</f>
        <v>144</v>
      </c>
      <c r="L275" s="7" t="n">
        <f aca="false">K275/10</f>
        <v>14.4</v>
      </c>
    </row>
    <row r="276" customFormat="false" ht="15" hidden="false" customHeight="false" outlineLevel="0" collapsed="false">
      <c r="A276" s="7" t="n">
        <v>271</v>
      </c>
      <c r="B276" s="7" t="n">
        <f aca="false">A276/10</f>
        <v>27.1</v>
      </c>
      <c r="C276" s="7" t="n">
        <f aca="false">IF(AND(A276=0,c_TCREEP&gt;0),10*c_TCREEP,IF(AND(A276&lt;=c_TRNGMIN,A276&gt;=c_TRNGMAX,c_TRNGMIN-c_TRNGMAX&lt;&gt;0),-10*c_TMINRN+QUOTIENT((c_TMAXRN-c_TMINRN)*(100-QUOTIENT((A276-c_TRNGMAX)*100,c_TRNGMIN-c_TRNGMAX)),-10),0))</f>
        <v>0</v>
      </c>
      <c r="D276" s="7" t="n">
        <f aca="false">IF(((c_TMAP1IN)-(c_TFWD))=0,(0)+QUOTIENT(((c_TMAP1OUT)-(0)),2),QUOTIENT((((A276)-(c_TFWD))*((c_TMAP1OUT)-(0))+IF(((c_TMAP1OUT)-(0))&gt;=0,1,-1)*QUOTIENT(((c_TMAP1IN)-(c_TFWD)),2)),((c_TMAP1IN)-(c_TFWD)))+(0)+IF(((c_TMAP1OUT)-(0))&gt;=0,IF(IF(o_WRAP=1,MOD(((c_TMAP1IN)-(c_TFWD))*(((A276)-(c_TFWD))*((c_TMAP1OUT)-(0))+IF(((c_TMAP1OUT)-(0))&gt;=0,1,-1)*QUOTIENT(((c_TMAP1IN)-(c_TFWD)),2))+2147483648,4294967296)-2147483648,((c_TMAP1IN)-(c_TFWD))*(((A276)-(c_TFWD))*((c_TMAP1OUT)-(0))+IF(((c_TMAP1OUT)-(0))&gt;=0,1,-1)*QUOTIENT(((c_TMAP1IN)-(c_TFWD)),2)))&lt;0,-1,0),IF(IF(o_WRAP=1,MOD(((c_TMAP1IN)-(c_TFWD))*(((A276)-(c_TFWD))*((c_TMAP1OUT)-(0))+IF(((c_TMAP1OUT)-(0))&gt;=0,1,-1)*QUOTIENT(((c_TMAP1IN)-(c_TFWD)),2))+2147483648,4294967296)-2147483648,((c_TMAP1IN)-(c_TFWD))*(((A276)-(c_TFWD))*((c_TMAP1OUT)-(0))+IF(((c_TMAP1OUT)-(0))&gt;=0,1,-1)*QUOTIENT(((c_TMAP1IN)-(c_TFWD)),2)))&gt;=0,1,0)))</f>
        <v>203</v>
      </c>
      <c r="E276" s="7" t="n">
        <f aca="false">IF(((c_TMAP2IN)-(c_TMAP1IN))=0,(c_TMAP1OUT)+QUOTIENT(((c_TMAP2OUT)-(c_TMAP1OUT)),2),QUOTIENT((((A276)-(c_TMAP1IN))*((c_TMAP2OUT)-(c_TMAP1OUT))+IF(((c_TMAP2OUT)-(c_TMAP1OUT))&gt;=0,1,-1)*QUOTIENT(((c_TMAP2IN)-(c_TMAP1IN)),2)),((c_TMAP2IN)-(c_TMAP1IN)))+(c_TMAP1OUT)+IF(((c_TMAP2OUT)-(c_TMAP1OUT))&gt;=0,IF(IF(o_WRAP=1,MOD(((c_TMAP2IN)-(c_TMAP1IN))*(((A276)-(c_TMAP1IN))*((c_TMAP2OUT)-(c_TMAP1OUT))+IF(((c_TMAP2OUT)-(c_TMAP1OUT))&gt;=0,1,-1)*QUOTIENT(((c_TMAP2IN)-(c_TMAP1IN)),2))+2147483648,4294967296)-2147483648,((c_TMAP2IN)-(c_TMAP1IN))*(((A276)-(c_TMAP1IN))*((c_TMAP2OUT)-(c_TMAP1OUT))+IF(((c_TMAP2OUT)-(c_TMAP1OUT))&gt;=0,1,-1)*QUOTIENT(((c_TMAP2IN)-(c_TMAP1IN)),2)))&lt;0,-1,0),IF(IF(o_WRAP=1,MOD(((c_TMAP2IN)-(c_TMAP1IN))*(((A276)-(c_TMAP1IN))*((c_TMAP2OUT)-(c_TMAP1OUT))+IF(((c_TMAP2OUT)-(c_TMAP1OUT))&gt;=0,1,-1)*QUOTIENT(((c_TMAP2IN)-(c_TMAP1IN)),2))+2147483648,4294967296)-2147483648,((c_TMAP2IN)-(c_TMAP1IN))*(((A276)-(c_TMAP1IN))*((c_TMAP2OUT)-(c_TMAP1OUT))+IF(((c_TMAP2OUT)-(c_TMAP1OUT))&gt;=0,1,-1)*QUOTIENT(((c_TMAP2IN)-(c_TMAP1IN)),2)))&gt;=0,1,0)))</f>
        <v>138</v>
      </c>
      <c r="F276" s="7" t="n">
        <f aca="false">IF(((c_TMAP3IN)-(c_TMAP2IN))=0,(c_TMAP2OUT)+QUOTIENT(((c_TMAP3OUT)-(c_TMAP2OUT)),2),QUOTIENT((((A276)-(c_TMAP2IN))*((c_TMAP3OUT)-(c_TMAP2OUT))+IF(((c_TMAP3OUT)-(c_TMAP2OUT))&gt;=0,1,-1)*QUOTIENT(((c_TMAP3IN)-(c_TMAP2IN)),2)),((c_TMAP3IN)-(c_TMAP2IN)))+(c_TMAP2OUT)+IF(((c_TMAP3OUT)-(c_TMAP2OUT))&gt;=0,IF(IF(o_WRAP=1,MOD(((c_TMAP3IN)-(c_TMAP2IN))*(((A276)-(c_TMAP2IN))*((c_TMAP3OUT)-(c_TMAP2OUT))+IF(((c_TMAP3OUT)-(c_TMAP2OUT))&gt;=0,1,-1)*QUOTIENT(((c_TMAP3IN)-(c_TMAP2IN)),2))+2147483648,4294967296)-2147483648,((c_TMAP3IN)-(c_TMAP2IN))*(((A276)-(c_TMAP2IN))*((c_TMAP3OUT)-(c_TMAP2OUT))+IF(((c_TMAP3OUT)-(c_TMAP2OUT))&gt;=0,1,-1)*QUOTIENT(((c_TMAP3IN)-(c_TMAP2IN)),2)))&lt;0,-1,0),IF(IF(o_WRAP=1,MOD(((c_TMAP3IN)-(c_TMAP2IN))*(((A276)-(c_TMAP2IN))*((c_TMAP3OUT)-(c_TMAP2OUT))+IF(((c_TMAP3OUT)-(c_TMAP2OUT))&gt;=0,1,-1)*QUOTIENT(((c_TMAP3IN)-(c_TMAP2IN)),2))+2147483648,4294967296)-2147483648,((c_TMAP3IN)-(c_TMAP2IN))*(((A276)-(c_TMAP2IN))*((c_TMAP3OUT)-(c_TMAP2OUT))+IF(((c_TMAP3OUT)-(c_TMAP2OUT))&gt;=0,1,-1)*QUOTIENT(((c_TMAP3IN)-(c_TMAP2IN)),2)))&gt;=0,1,0)))</f>
        <v>145</v>
      </c>
      <c r="G276" s="7" t="n">
        <f aca="false">IF(((1000)-(c_TMAP3IN))=0,(c_TMAP3OUT)+QUOTIENT(((1000)-(c_TMAP3OUT)),2),QUOTIENT((((A276)-(c_TMAP3IN))*((1000)-(c_TMAP3OUT))+IF(((1000)-(c_TMAP3OUT))&gt;=0,1,-1)*QUOTIENT(((1000)-(c_TMAP3IN)),2)),((1000)-(c_TMAP3IN)))+(c_TMAP3OUT)+IF(((1000)-(c_TMAP3OUT))&gt;=0,IF(IF(o_WRAP=1,MOD(((1000)-(c_TMAP3IN))*(((A276)-(c_TMAP3IN))*((1000)-(c_TMAP3OUT))+IF(((1000)-(c_TMAP3OUT))&gt;=0,1,-1)*QUOTIENT(((1000)-(c_TMAP3IN)),2))+2147483648,4294967296)-2147483648,((1000)-(c_TMAP3IN))*(((A276)-(c_TMAP3IN))*((1000)-(c_TMAP3OUT))+IF(((1000)-(c_TMAP3OUT))&gt;=0,1,-1)*QUOTIENT(((1000)-(c_TMAP3IN)),2)))&lt;0,-1,0),IF(IF(o_WRAP=1,MOD(((1000)-(c_TMAP3IN))*(((A276)-(c_TMAP3IN))*((1000)-(c_TMAP3OUT))+IF(((1000)-(c_TMAP3OUT))&gt;=0,1,-1)*QUOTIENT(((1000)-(c_TMAP3IN)),2))+2147483648,4294967296)-2147483648,((1000)-(c_TMAP3IN))*(((A276)-(c_TMAP3IN))*((1000)-(c_TMAP3OUT))+IF(((1000)-(c_TMAP3OUT))&gt;=0,1,-1)*QUOTIENT(((1000)-(c_TMAP3IN)),2)))&gt;=0,1,0)))</f>
        <v>103</v>
      </c>
      <c r="H276" s="7" t="str">
        <f aca="false">IF(A276&gt;=c_TFWD,IF(AND(A276&gt;=c_TMAP3IN,c_TMAP3IN&lt;1000),"Seg4 map3-100%",IF(AND(A276&gt;=c_TMAP2IN,c_TMAP3IN&gt;c_TMAP2IN),"Seg3 map2-map3",IF(AND(A276&gt;=c_TMAP1IN,c_TMAP2IN&gt;c_TMAP1IN),"Seg2 map1-map2","Seg1 TFWD-map1"))),IF(AND(A276=0,c_TCREEP&gt;0),"Creep",IF(AND(A276&lt;=c_TRNGMIN,A276&gt;=c_TRNGMAX,c_TRNGMIN-c_TRNGMAX&lt;&gt;0),"Regen ramp","Coast (0)")))</f>
        <v>Seg3 map2-map3</v>
      </c>
      <c r="I276" s="7" t="n">
        <f aca="false">IF(A276&gt;=c_TFWD,IF(AND(A276&gt;=c_TMAP3IN,c_TMAP3IN&lt;1000),G276,IF(AND(A276&gt;=c_TMAP2IN,c_TMAP3IN&gt;c_TMAP2IN),F276,IF(AND(A276&gt;=c_TMAP1IN,c_TMAP2IN&gt;c_TMAP1IN),E276,D276))),C276)</f>
        <v>145</v>
      </c>
      <c r="J276" s="7" t="str">
        <f aca="false">IF(I276&lt;-1090,"TOO LOW",IF(I276&gt;1090,"TOO HIGH",""))</f>
        <v/>
      </c>
      <c r="K276" s="15" t="n">
        <f aca="false">IF(J276&lt;&gt;"",0,IF(I276&gt;979,1000,I276))</f>
        <v>145</v>
      </c>
      <c r="L276" s="7" t="n">
        <f aca="false">K276/10</f>
        <v>14.5</v>
      </c>
    </row>
    <row r="277" customFormat="false" ht="15" hidden="false" customHeight="false" outlineLevel="0" collapsed="false">
      <c r="A277" s="7" t="n">
        <v>272</v>
      </c>
      <c r="B277" s="7" t="n">
        <f aca="false">A277/10</f>
        <v>27.2</v>
      </c>
      <c r="C277" s="7" t="n">
        <f aca="false">IF(AND(A277=0,c_TCREEP&gt;0),10*c_TCREEP,IF(AND(A277&lt;=c_TRNGMIN,A277&gt;=c_TRNGMAX,c_TRNGMIN-c_TRNGMAX&lt;&gt;0),-10*c_TMINRN+QUOTIENT((c_TMAXRN-c_TMINRN)*(100-QUOTIENT((A277-c_TRNGMAX)*100,c_TRNGMIN-c_TRNGMAX)),-10),0))</f>
        <v>0</v>
      </c>
      <c r="D277" s="7" t="n">
        <f aca="false">IF(((c_TMAP1IN)-(c_TFWD))=0,(0)+QUOTIENT(((c_TMAP1OUT)-(0)),2),QUOTIENT((((A277)-(c_TFWD))*((c_TMAP1OUT)-(0))+IF(((c_TMAP1OUT)-(0))&gt;=0,1,-1)*QUOTIENT(((c_TMAP1IN)-(c_TFWD)),2)),((c_TMAP1IN)-(c_TFWD)))+(0)+IF(((c_TMAP1OUT)-(0))&gt;=0,IF(IF(o_WRAP=1,MOD(((c_TMAP1IN)-(c_TFWD))*(((A277)-(c_TFWD))*((c_TMAP1OUT)-(0))+IF(((c_TMAP1OUT)-(0))&gt;=0,1,-1)*QUOTIENT(((c_TMAP1IN)-(c_TFWD)),2))+2147483648,4294967296)-2147483648,((c_TMAP1IN)-(c_TFWD))*(((A277)-(c_TFWD))*((c_TMAP1OUT)-(0))+IF(((c_TMAP1OUT)-(0))&gt;=0,1,-1)*QUOTIENT(((c_TMAP1IN)-(c_TFWD)),2)))&lt;0,-1,0),IF(IF(o_WRAP=1,MOD(((c_TMAP1IN)-(c_TFWD))*(((A277)-(c_TFWD))*((c_TMAP1OUT)-(0))+IF(((c_TMAP1OUT)-(0))&gt;=0,1,-1)*QUOTIENT(((c_TMAP1IN)-(c_TFWD)),2))+2147483648,4294967296)-2147483648,((c_TMAP1IN)-(c_TFWD))*(((A277)-(c_TFWD))*((c_TMAP1OUT)-(0))+IF(((c_TMAP1OUT)-(0))&gt;=0,1,-1)*QUOTIENT(((c_TMAP1IN)-(c_TFWD)),2)))&gt;=0,1,0)))</f>
        <v>204</v>
      </c>
      <c r="E277" s="7" t="n">
        <f aca="false">IF(((c_TMAP2IN)-(c_TMAP1IN))=0,(c_TMAP1OUT)+QUOTIENT(((c_TMAP2OUT)-(c_TMAP1OUT)),2),QUOTIENT((((A277)-(c_TMAP1IN))*((c_TMAP2OUT)-(c_TMAP1OUT))+IF(((c_TMAP2OUT)-(c_TMAP1OUT))&gt;=0,1,-1)*QUOTIENT(((c_TMAP2IN)-(c_TMAP1IN)),2)),((c_TMAP2IN)-(c_TMAP1IN)))+(c_TMAP1OUT)+IF(((c_TMAP2OUT)-(c_TMAP1OUT))&gt;=0,IF(IF(o_WRAP=1,MOD(((c_TMAP2IN)-(c_TMAP1IN))*(((A277)-(c_TMAP1IN))*((c_TMAP2OUT)-(c_TMAP1OUT))+IF(((c_TMAP2OUT)-(c_TMAP1OUT))&gt;=0,1,-1)*QUOTIENT(((c_TMAP2IN)-(c_TMAP1IN)),2))+2147483648,4294967296)-2147483648,((c_TMAP2IN)-(c_TMAP1IN))*(((A277)-(c_TMAP1IN))*((c_TMAP2OUT)-(c_TMAP1OUT))+IF(((c_TMAP2OUT)-(c_TMAP1OUT))&gt;=0,1,-1)*QUOTIENT(((c_TMAP2IN)-(c_TMAP1IN)),2)))&lt;0,-1,0),IF(IF(o_WRAP=1,MOD(((c_TMAP2IN)-(c_TMAP1IN))*(((A277)-(c_TMAP1IN))*((c_TMAP2OUT)-(c_TMAP1OUT))+IF(((c_TMAP2OUT)-(c_TMAP1OUT))&gt;=0,1,-1)*QUOTIENT(((c_TMAP2IN)-(c_TMAP1IN)),2))+2147483648,4294967296)-2147483648,((c_TMAP2IN)-(c_TMAP1IN))*(((A277)-(c_TMAP1IN))*((c_TMAP2OUT)-(c_TMAP1OUT))+IF(((c_TMAP2OUT)-(c_TMAP1OUT))&gt;=0,1,-1)*QUOTIENT(((c_TMAP2IN)-(c_TMAP1IN)),2)))&gt;=0,1,0)))</f>
        <v>139</v>
      </c>
      <c r="F277" s="7" t="n">
        <f aca="false">IF(((c_TMAP3IN)-(c_TMAP2IN))=0,(c_TMAP2OUT)+QUOTIENT(((c_TMAP3OUT)-(c_TMAP2OUT)),2),QUOTIENT((((A277)-(c_TMAP2IN))*((c_TMAP3OUT)-(c_TMAP2OUT))+IF(((c_TMAP3OUT)-(c_TMAP2OUT))&gt;=0,1,-1)*QUOTIENT(((c_TMAP3IN)-(c_TMAP2IN)),2)),((c_TMAP3IN)-(c_TMAP2IN)))+(c_TMAP2OUT)+IF(((c_TMAP3OUT)-(c_TMAP2OUT))&gt;=0,IF(IF(o_WRAP=1,MOD(((c_TMAP3IN)-(c_TMAP2IN))*(((A277)-(c_TMAP2IN))*((c_TMAP3OUT)-(c_TMAP2OUT))+IF(((c_TMAP3OUT)-(c_TMAP2OUT))&gt;=0,1,-1)*QUOTIENT(((c_TMAP3IN)-(c_TMAP2IN)),2))+2147483648,4294967296)-2147483648,((c_TMAP3IN)-(c_TMAP2IN))*(((A277)-(c_TMAP2IN))*((c_TMAP3OUT)-(c_TMAP2OUT))+IF(((c_TMAP3OUT)-(c_TMAP2OUT))&gt;=0,1,-1)*QUOTIENT(((c_TMAP3IN)-(c_TMAP2IN)),2)))&lt;0,-1,0),IF(IF(o_WRAP=1,MOD(((c_TMAP3IN)-(c_TMAP2IN))*(((A277)-(c_TMAP2IN))*((c_TMAP3OUT)-(c_TMAP2OUT))+IF(((c_TMAP3OUT)-(c_TMAP2OUT))&gt;=0,1,-1)*QUOTIENT(((c_TMAP3IN)-(c_TMAP2IN)),2))+2147483648,4294967296)-2147483648,((c_TMAP3IN)-(c_TMAP2IN))*(((A277)-(c_TMAP2IN))*((c_TMAP3OUT)-(c_TMAP2OUT))+IF(((c_TMAP3OUT)-(c_TMAP2OUT))&gt;=0,1,-1)*QUOTIENT(((c_TMAP3IN)-(c_TMAP2IN)),2)))&gt;=0,1,0)))</f>
        <v>145</v>
      </c>
      <c r="G277" s="7" t="n">
        <f aca="false">IF(((1000)-(c_TMAP3IN))=0,(c_TMAP3OUT)+QUOTIENT(((1000)-(c_TMAP3OUT)),2),QUOTIENT((((A277)-(c_TMAP3IN))*((1000)-(c_TMAP3OUT))+IF(((1000)-(c_TMAP3OUT))&gt;=0,1,-1)*QUOTIENT(((1000)-(c_TMAP3IN)),2)),((1000)-(c_TMAP3IN)))+(c_TMAP3OUT)+IF(((1000)-(c_TMAP3OUT))&gt;=0,IF(IF(o_WRAP=1,MOD(((1000)-(c_TMAP3IN))*(((A277)-(c_TMAP3IN))*((1000)-(c_TMAP3OUT))+IF(((1000)-(c_TMAP3OUT))&gt;=0,1,-1)*QUOTIENT(((1000)-(c_TMAP3IN)),2))+2147483648,4294967296)-2147483648,((1000)-(c_TMAP3IN))*(((A277)-(c_TMAP3IN))*((1000)-(c_TMAP3OUT))+IF(((1000)-(c_TMAP3OUT))&gt;=0,1,-1)*QUOTIENT(((1000)-(c_TMAP3IN)),2)))&lt;0,-1,0),IF(IF(o_WRAP=1,MOD(((1000)-(c_TMAP3IN))*(((A277)-(c_TMAP3IN))*((1000)-(c_TMAP3OUT))+IF(((1000)-(c_TMAP3OUT))&gt;=0,1,-1)*QUOTIENT(((1000)-(c_TMAP3IN)),2))+2147483648,4294967296)-2147483648,((1000)-(c_TMAP3IN))*(((A277)-(c_TMAP3IN))*((1000)-(c_TMAP3OUT))+IF(((1000)-(c_TMAP3OUT))&gt;=0,1,-1)*QUOTIENT(((1000)-(c_TMAP3IN)),2)))&gt;=0,1,0)))</f>
        <v>104</v>
      </c>
      <c r="H277" s="7" t="str">
        <f aca="false">IF(A277&gt;=c_TFWD,IF(AND(A277&gt;=c_TMAP3IN,c_TMAP3IN&lt;1000),"Seg4 map3-100%",IF(AND(A277&gt;=c_TMAP2IN,c_TMAP3IN&gt;c_TMAP2IN),"Seg3 map2-map3",IF(AND(A277&gt;=c_TMAP1IN,c_TMAP2IN&gt;c_TMAP1IN),"Seg2 map1-map2","Seg1 TFWD-map1"))),IF(AND(A277=0,c_TCREEP&gt;0),"Creep",IF(AND(A277&lt;=c_TRNGMIN,A277&gt;=c_TRNGMAX,c_TRNGMIN-c_TRNGMAX&lt;&gt;0),"Regen ramp","Coast (0)")))</f>
        <v>Seg3 map2-map3</v>
      </c>
      <c r="I277" s="7" t="n">
        <f aca="false">IF(A277&gt;=c_TFWD,IF(AND(A277&gt;=c_TMAP3IN,c_TMAP3IN&lt;1000),G277,IF(AND(A277&gt;=c_TMAP2IN,c_TMAP3IN&gt;c_TMAP2IN),F277,IF(AND(A277&gt;=c_TMAP1IN,c_TMAP2IN&gt;c_TMAP1IN),E277,D277))),C277)</f>
        <v>145</v>
      </c>
      <c r="J277" s="7" t="str">
        <f aca="false">IF(I277&lt;-1090,"TOO LOW",IF(I277&gt;1090,"TOO HIGH",""))</f>
        <v/>
      </c>
      <c r="K277" s="15" t="n">
        <f aca="false">IF(J277&lt;&gt;"",0,IF(I277&gt;979,1000,I277))</f>
        <v>145</v>
      </c>
      <c r="L277" s="7" t="n">
        <f aca="false">K277/10</f>
        <v>14.5</v>
      </c>
    </row>
    <row r="278" customFormat="false" ht="15" hidden="false" customHeight="false" outlineLevel="0" collapsed="false">
      <c r="A278" s="7" t="n">
        <v>273</v>
      </c>
      <c r="B278" s="7" t="n">
        <f aca="false">A278/10</f>
        <v>27.3</v>
      </c>
      <c r="C278" s="7" t="n">
        <f aca="false">IF(AND(A278=0,c_TCREEP&gt;0),10*c_TCREEP,IF(AND(A278&lt;=c_TRNGMIN,A278&gt;=c_TRNGMAX,c_TRNGMIN-c_TRNGMAX&lt;&gt;0),-10*c_TMINRN+QUOTIENT((c_TMAXRN-c_TMINRN)*(100-QUOTIENT((A278-c_TRNGMAX)*100,c_TRNGMIN-c_TRNGMAX)),-10),0))</f>
        <v>0</v>
      </c>
      <c r="D278" s="7" t="n">
        <f aca="false">IF(((c_TMAP1IN)-(c_TFWD))=0,(0)+QUOTIENT(((c_TMAP1OUT)-(0)),2),QUOTIENT((((A278)-(c_TFWD))*((c_TMAP1OUT)-(0))+IF(((c_TMAP1OUT)-(0))&gt;=0,1,-1)*QUOTIENT(((c_TMAP1IN)-(c_TFWD)),2)),((c_TMAP1IN)-(c_TFWD)))+(0)+IF(((c_TMAP1OUT)-(0))&gt;=0,IF(IF(o_WRAP=1,MOD(((c_TMAP1IN)-(c_TFWD))*(((A278)-(c_TFWD))*((c_TMAP1OUT)-(0))+IF(((c_TMAP1OUT)-(0))&gt;=0,1,-1)*QUOTIENT(((c_TMAP1IN)-(c_TFWD)),2))+2147483648,4294967296)-2147483648,((c_TMAP1IN)-(c_TFWD))*(((A278)-(c_TFWD))*((c_TMAP1OUT)-(0))+IF(((c_TMAP1OUT)-(0))&gt;=0,1,-1)*QUOTIENT(((c_TMAP1IN)-(c_TFWD)),2)))&lt;0,-1,0),IF(IF(o_WRAP=1,MOD(((c_TMAP1IN)-(c_TFWD))*(((A278)-(c_TFWD))*((c_TMAP1OUT)-(0))+IF(((c_TMAP1OUT)-(0))&gt;=0,1,-1)*QUOTIENT(((c_TMAP1IN)-(c_TFWD)),2))+2147483648,4294967296)-2147483648,((c_TMAP1IN)-(c_TFWD))*(((A278)-(c_TFWD))*((c_TMAP1OUT)-(0))+IF(((c_TMAP1OUT)-(0))&gt;=0,1,-1)*QUOTIENT(((c_TMAP1IN)-(c_TFWD)),2)))&gt;=0,1,0)))</f>
        <v>205</v>
      </c>
      <c r="E278" s="7" t="n">
        <f aca="false">IF(((c_TMAP2IN)-(c_TMAP1IN))=0,(c_TMAP1OUT)+QUOTIENT(((c_TMAP2OUT)-(c_TMAP1OUT)),2),QUOTIENT((((A278)-(c_TMAP1IN))*((c_TMAP2OUT)-(c_TMAP1OUT))+IF(((c_TMAP2OUT)-(c_TMAP1OUT))&gt;=0,1,-1)*QUOTIENT(((c_TMAP2IN)-(c_TMAP1IN)),2)),((c_TMAP2IN)-(c_TMAP1IN)))+(c_TMAP1OUT)+IF(((c_TMAP2OUT)-(c_TMAP1OUT))&gt;=0,IF(IF(o_WRAP=1,MOD(((c_TMAP2IN)-(c_TMAP1IN))*(((A278)-(c_TMAP1IN))*((c_TMAP2OUT)-(c_TMAP1OUT))+IF(((c_TMAP2OUT)-(c_TMAP1OUT))&gt;=0,1,-1)*QUOTIENT(((c_TMAP2IN)-(c_TMAP1IN)),2))+2147483648,4294967296)-2147483648,((c_TMAP2IN)-(c_TMAP1IN))*(((A278)-(c_TMAP1IN))*((c_TMAP2OUT)-(c_TMAP1OUT))+IF(((c_TMAP2OUT)-(c_TMAP1OUT))&gt;=0,1,-1)*QUOTIENT(((c_TMAP2IN)-(c_TMAP1IN)),2)))&lt;0,-1,0),IF(IF(o_WRAP=1,MOD(((c_TMAP2IN)-(c_TMAP1IN))*(((A278)-(c_TMAP1IN))*((c_TMAP2OUT)-(c_TMAP1OUT))+IF(((c_TMAP2OUT)-(c_TMAP1OUT))&gt;=0,1,-1)*QUOTIENT(((c_TMAP2IN)-(c_TMAP1IN)),2))+2147483648,4294967296)-2147483648,((c_TMAP2IN)-(c_TMAP1IN))*(((A278)-(c_TMAP1IN))*((c_TMAP2OUT)-(c_TMAP1OUT))+IF(((c_TMAP2OUT)-(c_TMAP1OUT))&gt;=0,1,-1)*QUOTIENT(((c_TMAP2IN)-(c_TMAP1IN)),2)))&gt;=0,1,0)))</f>
        <v>139</v>
      </c>
      <c r="F278" s="7" t="n">
        <f aca="false">IF(((c_TMAP3IN)-(c_TMAP2IN))=0,(c_TMAP2OUT)+QUOTIENT(((c_TMAP3OUT)-(c_TMAP2OUT)),2),QUOTIENT((((A278)-(c_TMAP2IN))*((c_TMAP3OUT)-(c_TMAP2OUT))+IF(((c_TMAP3OUT)-(c_TMAP2OUT))&gt;=0,1,-1)*QUOTIENT(((c_TMAP3IN)-(c_TMAP2IN)),2)),((c_TMAP3IN)-(c_TMAP2IN)))+(c_TMAP2OUT)+IF(((c_TMAP3OUT)-(c_TMAP2OUT))&gt;=0,IF(IF(o_WRAP=1,MOD(((c_TMAP3IN)-(c_TMAP2IN))*(((A278)-(c_TMAP2IN))*((c_TMAP3OUT)-(c_TMAP2OUT))+IF(((c_TMAP3OUT)-(c_TMAP2OUT))&gt;=0,1,-1)*QUOTIENT(((c_TMAP3IN)-(c_TMAP2IN)),2))+2147483648,4294967296)-2147483648,((c_TMAP3IN)-(c_TMAP2IN))*(((A278)-(c_TMAP2IN))*((c_TMAP3OUT)-(c_TMAP2OUT))+IF(((c_TMAP3OUT)-(c_TMAP2OUT))&gt;=0,1,-1)*QUOTIENT(((c_TMAP3IN)-(c_TMAP2IN)),2)))&lt;0,-1,0),IF(IF(o_WRAP=1,MOD(((c_TMAP3IN)-(c_TMAP2IN))*(((A278)-(c_TMAP2IN))*((c_TMAP3OUT)-(c_TMAP2OUT))+IF(((c_TMAP3OUT)-(c_TMAP2OUT))&gt;=0,1,-1)*QUOTIENT(((c_TMAP3IN)-(c_TMAP2IN)),2))+2147483648,4294967296)-2147483648,((c_TMAP3IN)-(c_TMAP2IN))*(((A278)-(c_TMAP2IN))*((c_TMAP3OUT)-(c_TMAP2OUT))+IF(((c_TMAP3OUT)-(c_TMAP2OUT))&gt;=0,1,-1)*QUOTIENT(((c_TMAP3IN)-(c_TMAP2IN)),2)))&gt;=0,1,0)))</f>
        <v>146</v>
      </c>
      <c r="G278" s="7" t="n">
        <f aca="false">IF(((1000)-(c_TMAP3IN))=0,(c_TMAP3OUT)+QUOTIENT(((1000)-(c_TMAP3OUT)),2),QUOTIENT((((A278)-(c_TMAP3IN))*((1000)-(c_TMAP3OUT))+IF(((1000)-(c_TMAP3OUT))&gt;=0,1,-1)*QUOTIENT(((1000)-(c_TMAP3IN)),2)),((1000)-(c_TMAP3IN)))+(c_TMAP3OUT)+IF(((1000)-(c_TMAP3OUT))&gt;=0,IF(IF(o_WRAP=1,MOD(((1000)-(c_TMAP3IN))*(((A278)-(c_TMAP3IN))*((1000)-(c_TMAP3OUT))+IF(((1000)-(c_TMAP3OUT))&gt;=0,1,-1)*QUOTIENT(((1000)-(c_TMAP3IN)),2))+2147483648,4294967296)-2147483648,((1000)-(c_TMAP3IN))*(((A278)-(c_TMAP3IN))*((1000)-(c_TMAP3OUT))+IF(((1000)-(c_TMAP3OUT))&gt;=0,1,-1)*QUOTIENT(((1000)-(c_TMAP3IN)),2)))&lt;0,-1,0),IF(IF(o_WRAP=1,MOD(((1000)-(c_TMAP3IN))*(((A278)-(c_TMAP3IN))*((1000)-(c_TMAP3OUT))+IF(((1000)-(c_TMAP3OUT))&gt;=0,1,-1)*QUOTIENT(((1000)-(c_TMAP3IN)),2))+2147483648,4294967296)-2147483648,((1000)-(c_TMAP3IN))*(((A278)-(c_TMAP3IN))*((1000)-(c_TMAP3OUT))+IF(((1000)-(c_TMAP3OUT))&gt;=0,1,-1)*QUOTIENT(((1000)-(c_TMAP3IN)),2)))&gt;=0,1,0)))</f>
        <v>105</v>
      </c>
      <c r="H278" s="7" t="str">
        <f aca="false">IF(A278&gt;=c_TFWD,IF(AND(A278&gt;=c_TMAP3IN,c_TMAP3IN&lt;1000),"Seg4 map3-100%",IF(AND(A278&gt;=c_TMAP2IN,c_TMAP3IN&gt;c_TMAP2IN),"Seg3 map2-map3",IF(AND(A278&gt;=c_TMAP1IN,c_TMAP2IN&gt;c_TMAP1IN),"Seg2 map1-map2","Seg1 TFWD-map1"))),IF(AND(A278=0,c_TCREEP&gt;0),"Creep",IF(AND(A278&lt;=c_TRNGMIN,A278&gt;=c_TRNGMAX,c_TRNGMIN-c_TRNGMAX&lt;&gt;0),"Regen ramp","Coast (0)")))</f>
        <v>Seg3 map2-map3</v>
      </c>
      <c r="I278" s="7" t="n">
        <f aca="false">IF(A278&gt;=c_TFWD,IF(AND(A278&gt;=c_TMAP3IN,c_TMAP3IN&lt;1000),G278,IF(AND(A278&gt;=c_TMAP2IN,c_TMAP3IN&gt;c_TMAP2IN),F278,IF(AND(A278&gt;=c_TMAP1IN,c_TMAP2IN&gt;c_TMAP1IN),E278,D278))),C278)</f>
        <v>146</v>
      </c>
      <c r="J278" s="7" t="str">
        <f aca="false">IF(I278&lt;-1090,"TOO LOW",IF(I278&gt;1090,"TOO HIGH",""))</f>
        <v/>
      </c>
      <c r="K278" s="15" t="n">
        <f aca="false">IF(J278&lt;&gt;"",0,IF(I278&gt;979,1000,I278))</f>
        <v>146</v>
      </c>
      <c r="L278" s="7" t="n">
        <f aca="false">K278/10</f>
        <v>14.6</v>
      </c>
    </row>
    <row r="279" customFormat="false" ht="15" hidden="false" customHeight="false" outlineLevel="0" collapsed="false">
      <c r="A279" s="7" t="n">
        <v>274</v>
      </c>
      <c r="B279" s="7" t="n">
        <f aca="false">A279/10</f>
        <v>27.4</v>
      </c>
      <c r="C279" s="7" t="n">
        <f aca="false">IF(AND(A279=0,c_TCREEP&gt;0),10*c_TCREEP,IF(AND(A279&lt;=c_TRNGMIN,A279&gt;=c_TRNGMAX,c_TRNGMIN-c_TRNGMAX&lt;&gt;0),-10*c_TMINRN+QUOTIENT((c_TMAXRN-c_TMINRN)*(100-QUOTIENT((A279-c_TRNGMAX)*100,c_TRNGMIN-c_TRNGMAX)),-10),0))</f>
        <v>0</v>
      </c>
      <c r="D279" s="7" t="n">
        <f aca="false">IF(((c_TMAP1IN)-(c_TFWD))=0,(0)+QUOTIENT(((c_TMAP1OUT)-(0)),2),QUOTIENT((((A279)-(c_TFWD))*((c_TMAP1OUT)-(0))+IF(((c_TMAP1OUT)-(0))&gt;=0,1,-1)*QUOTIENT(((c_TMAP1IN)-(c_TFWD)),2)),((c_TMAP1IN)-(c_TFWD)))+(0)+IF(((c_TMAP1OUT)-(0))&gt;=0,IF(IF(o_WRAP=1,MOD(((c_TMAP1IN)-(c_TFWD))*(((A279)-(c_TFWD))*((c_TMAP1OUT)-(0))+IF(((c_TMAP1OUT)-(0))&gt;=0,1,-1)*QUOTIENT(((c_TMAP1IN)-(c_TFWD)),2))+2147483648,4294967296)-2147483648,((c_TMAP1IN)-(c_TFWD))*(((A279)-(c_TFWD))*((c_TMAP1OUT)-(0))+IF(((c_TMAP1OUT)-(0))&gt;=0,1,-1)*QUOTIENT(((c_TMAP1IN)-(c_TFWD)),2)))&lt;0,-1,0),IF(IF(o_WRAP=1,MOD(((c_TMAP1IN)-(c_TFWD))*(((A279)-(c_TFWD))*((c_TMAP1OUT)-(0))+IF(((c_TMAP1OUT)-(0))&gt;=0,1,-1)*QUOTIENT(((c_TMAP1IN)-(c_TFWD)),2))+2147483648,4294967296)-2147483648,((c_TMAP1IN)-(c_TFWD))*(((A279)-(c_TFWD))*((c_TMAP1OUT)-(0))+IF(((c_TMAP1OUT)-(0))&gt;=0,1,-1)*QUOTIENT(((c_TMAP1IN)-(c_TFWD)),2)))&gt;=0,1,0)))</f>
        <v>205</v>
      </c>
      <c r="E279" s="7" t="n">
        <f aca="false">IF(((c_TMAP2IN)-(c_TMAP1IN))=0,(c_TMAP1OUT)+QUOTIENT(((c_TMAP2OUT)-(c_TMAP1OUT)),2),QUOTIENT((((A279)-(c_TMAP1IN))*((c_TMAP2OUT)-(c_TMAP1OUT))+IF(((c_TMAP2OUT)-(c_TMAP1OUT))&gt;=0,1,-1)*QUOTIENT(((c_TMAP2IN)-(c_TMAP1IN)),2)),((c_TMAP2IN)-(c_TMAP1IN)))+(c_TMAP1OUT)+IF(((c_TMAP2OUT)-(c_TMAP1OUT))&gt;=0,IF(IF(o_WRAP=1,MOD(((c_TMAP2IN)-(c_TMAP1IN))*(((A279)-(c_TMAP1IN))*((c_TMAP2OUT)-(c_TMAP1OUT))+IF(((c_TMAP2OUT)-(c_TMAP1OUT))&gt;=0,1,-1)*QUOTIENT(((c_TMAP2IN)-(c_TMAP1IN)),2))+2147483648,4294967296)-2147483648,((c_TMAP2IN)-(c_TMAP1IN))*(((A279)-(c_TMAP1IN))*((c_TMAP2OUT)-(c_TMAP1OUT))+IF(((c_TMAP2OUT)-(c_TMAP1OUT))&gt;=0,1,-1)*QUOTIENT(((c_TMAP2IN)-(c_TMAP1IN)),2)))&lt;0,-1,0),IF(IF(o_WRAP=1,MOD(((c_TMAP2IN)-(c_TMAP1IN))*(((A279)-(c_TMAP1IN))*((c_TMAP2OUT)-(c_TMAP1OUT))+IF(((c_TMAP2OUT)-(c_TMAP1OUT))&gt;=0,1,-1)*QUOTIENT(((c_TMAP2IN)-(c_TMAP1IN)),2))+2147483648,4294967296)-2147483648,((c_TMAP2IN)-(c_TMAP1IN))*(((A279)-(c_TMAP1IN))*((c_TMAP2OUT)-(c_TMAP1OUT))+IF(((c_TMAP2OUT)-(c_TMAP1OUT))&gt;=0,1,-1)*QUOTIENT(((c_TMAP2IN)-(c_TMAP1IN)),2)))&gt;=0,1,0)))</f>
        <v>140</v>
      </c>
      <c r="F279" s="7" t="n">
        <f aca="false">IF(((c_TMAP3IN)-(c_TMAP2IN))=0,(c_TMAP2OUT)+QUOTIENT(((c_TMAP3OUT)-(c_TMAP2OUT)),2),QUOTIENT((((A279)-(c_TMAP2IN))*((c_TMAP3OUT)-(c_TMAP2OUT))+IF(((c_TMAP3OUT)-(c_TMAP2OUT))&gt;=0,1,-1)*QUOTIENT(((c_TMAP3IN)-(c_TMAP2IN)),2)),((c_TMAP3IN)-(c_TMAP2IN)))+(c_TMAP2OUT)+IF(((c_TMAP3OUT)-(c_TMAP2OUT))&gt;=0,IF(IF(o_WRAP=1,MOD(((c_TMAP3IN)-(c_TMAP2IN))*(((A279)-(c_TMAP2IN))*((c_TMAP3OUT)-(c_TMAP2OUT))+IF(((c_TMAP3OUT)-(c_TMAP2OUT))&gt;=0,1,-1)*QUOTIENT(((c_TMAP3IN)-(c_TMAP2IN)),2))+2147483648,4294967296)-2147483648,((c_TMAP3IN)-(c_TMAP2IN))*(((A279)-(c_TMAP2IN))*((c_TMAP3OUT)-(c_TMAP2OUT))+IF(((c_TMAP3OUT)-(c_TMAP2OUT))&gt;=0,1,-1)*QUOTIENT(((c_TMAP3IN)-(c_TMAP2IN)),2)))&lt;0,-1,0),IF(IF(o_WRAP=1,MOD(((c_TMAP3IN)-(c_TMAP2IN))*(((A279)-(c_TMAP2IN))*((c_TMAP3OUT)-(c_TMAP2OUT))+IF(((c_TMAP3OUT)-(c_TMAP2OUT))&gt;=0,1,-1)*QUOTIENT(((c_TMAP3IN)-(c_TMAP2IN)),2))+2147483648,4294967296)-2147483648,((c_TMAP3IN)-(c_TMAP2IN))*(((A279)-(c_TMAP2IN))*((c_TMAP3OUT)-(c_TMAP2OUT))+IF(((c_TMAP3OUT)-(c_TMAP2OUT))&gt;=0,1,-1)*QUOTIENT(((c_TMAP3IN)-(c_TMAP2IN)),2)))&gt;=0,1,0)))</f>
        <v>147</v>
      </c>
      <c r="G279" s="7" t="n">
        <f aca="false">IF(((1000)-(c_TMAP3IN))=0,(c_TMAP3OUT)+QUOTIENT(((1000)-(c_TMAP3OUT)),2),QUOTIENT((((A279)-(c_TMAP3IN))*((1000)-(c_TMAP3OUT))+IF(((1000)-(c_TMAP3OUT))&gt;=0,1,-1)*QUOTIENT(((1000)-(c_TMAP3IN)),2)),((1000)-(c_TMAP3IN)))+(c_TMAP3OUT)+IF(((1000)-(c_TMAP3OUT))&gt;=0,IF(IF(o_WRAP=1,MOD(((1000)-(c_TMAP3IN))*(((A279)-(c_TMAP3IN))*((1000)-(c_TMAP3OUT))+IF(((1000)-(c_TMAP3OUT))&gt;=0,1,-1)*QUOTIENT(((1000)-(c_TMAP3IN)),2))+2147483648,4294967296)-2147483648,((1000)-(c_TMAP3IN))*(((A279)-(c_TMAP3IN))*((1000)-(c_TMAP3OUT))+IF(((1000)-(c_TMAP3OUT))&gt;=0,1,-1)*QUOTIENT(((1000)-(c_TMAP3IN)),2)))&lt;0,-1,0),IF(IF(o_WRAP=1,MOD(((1000)-(c_TMAP3IN))*(((A279)-(c_TMAP3IN))*((1000)-(c_TMAP3OUT))+IF(((1000)-(c_TMAP3OUT))&gt;=0,1,-1)*QUOTIENT(((1000)-(c_TMAP3IN)),2))+2147483648,4294967296)-2147483648,((1000)-(c_TMAP3IN))*(((A279)-(c_TMAP3IN))*((1000)-(c_TMAP3OUT))+IF(((1000)-(c_TMAP3OUT))&gt;=0,1,-1)*QUOTIENT(((1000)-(c_TMAP3IN)),2)))&gt;=0,1,0)))</f>
        <v>106</v>
      </c>
      <c r="H279" s="7" t="str">
        <f aca="false">IF(A279&gt;=c_TFWD,IF(AND(A279&gt;=c_TMAP3IN,c_TMAP3IN&lt;1000),"Seg4 map3-100%",IF(AND(A279&gt;=c_TMAP2IN,c_TMAP3IN&gt;c_TMAP2IN),"Seg3 map2-map3",IF(AND(A279&gt;=c_TMAP1IN,c_TMAP2IN&gt;c_TMAP1IN),"Seg2 map1-map2","Seg1 TFWD-map1"))),IF(AND(A279=0,c_TCREEP&gt;0),"Creep",IF(AND(A279&lt;=c_TRNGMIN,A279&gt;=c_TRNGMAX,c_TRNGMIN-c_TRNGMAX&lt;&gt;0),"Regen ramp","Coast (0)")))</f>
        <v>Seg3 map2-map3</v>
      </c>
      <c r="I279" s="7" t="n">
        <f aca="false">IF(A279&gt;=c_TFWD,IF(AND(A279&gt;=c_TMAP3IN,c_TMAP3IN&lt;1000),G279,IF(AND(A279&gt;=c_TMAP2IN,c_TMAP3IN&gt;c_TMAP2IN),F279,IF(AND(A279&gt;=c_TMAP1IN,c_TMAP2IN&gt;c_TMAP1IN),E279,D279))),C279)</f>
        <v>147</v>
      </c>
      <c r="J279" s="7" t="str">
        <f aca="false">IF(I279&lt;-1090,"TOO LOW",IF(I279&gt;1090,"TOO HIGH",""))</f>
        <v/>
      </c>
      <c r="K279" s="15" t="n">
        <f aca="false">IF(J279&lt;&gt;"",0,IF(I279&gt;979,1000,I279))</f>
        <v>147</v>
      </c>
      <c r="L279" s="7" t="n">
        <f aca="false">K279/10</f>
        <v>14.7</v>
      </c>
    </row>
    <row r="280" customFormat="false" ht="15" hidden="false" customHeight="false" outlineLevel="0" collapsed="false">
      <c r="A280" s="7" t="n">
        <v>275</v>
      </c>
      <c r="B280" s="7" t="n">
        <f aca="false">A280/10</f>
        <v>27.5</v>
      </c>
      <c r="C280" s="7" t="n">
        <f aca="false">IF(AND(A280=0,c_TCREEP&gt;0),10*c_TCREEP,IF(AND(A280&lt;=c_TRNGMIN,A280&gt;=c_TRNGMAX,c_TRNGMIN-c_TRNGMAX&lt;&gt;0),-10*c_TMINRN+QUOTIENT((c_TMAXRN-c_TMINRN)*(100-QUOTIENT((A280-c_TRNGMAX)*100,c_TRNGMIN-c_TRNGMAX)),-10),0))</f>
        <v>0</v>
      </c>
      <c r="D280" s="7" t="n">
        <f aca="false">IF(((c_TMAP1IN)-(c_TFWD))=0,(0)+QUOTIENT(((c_TMAP1OUT)-(0)),2),QUOTIENT((((A280)-(c_TFWD))*((c_TMAP1OUT)-(0))+IF(((c_TMAP1OUT)-(0))&gt;=0,1,-1)*QUOTIENT(((c_TMAP1IN)-(c_TFWD)),2)),((c_TMAP1IN)-(c_TFWD)))+(0)+IF(((c_TMAP1OUT)-(0))&gt;=0,IF(IF(o_WRAP=1,MOD(((c_TMAP1IN)-(c_TFWD))*(((A280)-(c_TFWD))*((c_TMAP1OUT)-(0))+IF(((c_TMAP1OUT)-(0))&gt;=0,1,-1)*QUOTIENT(((c_TMAP1IN)-(c_TFWD)),2))+2147483648,4294967296)-2147483648,((c_TMAP1IN)-(c_TFWD))*(((A280)-(c_TFWD))*((c_TMAP1OUT)-(0))+IF(((c_TMAP1OUT)-(0))&gt;=0,1,-1)*QUOTIENT(((c_TMAP1IN)-(c_TFWD)),2)))&lt;0,-1,0),IF(IF(o_WRAP=1,MOD(((c_TMAP1IN)-(c_TFWD))*(((A280)-(c_TFWD))*((c_TMAP1OUT)-(0))+IF(((c_TMAP1OUT)-(0))&gt;=0,1,-1)*QUOTIENT(((c_TMAP1IN)-(c_TFWD)),2))+2147483648,4294967296)-2147483648,((c_TMAP1IN)-(c_TFWD))*(((A280)-(c_TFWD))*((c_TMAP1OUT)-(0))+IF(((c_TMAP1OUT)-(0))&gt;=0,1,-1)*QUOTIENT(((c_TMAP1IN)-(c_TFWD)),2)))&gt;=0,1,0)))</f>
        <v>206</v>
      </c>
      <c r="E280" s="7" t="n">
        <f aca="false">IF(((c_TMAP2IN)-(c_TMAP1IN))=0,(c_TMAP1OUT)+QUOTIENT(((c_TMAP2OUT)-(c_TMAP1OUT)),2),QUOTIENT((((A280)-(c_TMAP1IN))*((c_TMAP2OUT)-(c_TMAP1OUT))+IF(((c_TMAP2OUT)-(c_TMAP1OUT))&gt;=0,1,-1)*QUOTIENT(((c_TMAP2IN)-(c_TMAP1IN)),2)),((c_TMAP2IN)-(c_TMAP1IN)))+(c_TMAP1OUT)+IF(((c_TMAP2OUT)-(c_TMAP1OUT))&gt;=0,IF(IF(o_WRAP=1,MOD(((c_TMAP2IN)-(c_TMAP1IN))*(((A280)-(c_TMAP1IN))*((c_TMAP2OUT)-(c_TMAP1OUT))+IF(((c_TMAP2OUT)-(c_TMAP1OUT))&gt;=0,1,-1)*QUOTIENT(((c_TMAP2IN)-(c_TMAP1IN)),2))+2147483648,4294967296)-2147483648,((c_TMAP2IN)-(c_TMAP1IN))*(((A280)-(c_TMAP1IN))*((c_TMAP2OUT)-(c_TMAP1OUT))+IF(((c_TMAP2OUT)-(c_TMAP1OUT))&gt;=0,1,-1)*QUOTIENT(((c_TMAP2IN)-(c_TMAP1IN)),2)))&lt;0,-1,0),IF(IF(o_WRAP=1,MOD(((c_TMAP2IN)-(c_TMAP1IN))*(((A280)-(c_TMAP1IN))*((c_TMAP2OUT)-(c_TMAP1OUT))+IF(((c_TMAP2OUT)-(c_TMAP1OUT))&gt;=0,1,-1)*QUOTIENT(((c_TMAP2IN)-(c_TMAP1IN)),2))+2147483648,4294967296)-2147483648,((c_TMAP2IN)-(c_TMAP1IN))*(((A280)-(c_TMAP1IN))*((c_TMAP2OUT)-(c_TMAP1OUT))+IF(((c_TMAP2OUT)-(c_TMAP1OUT))&gt;=0,1,-1)*QUOTIENT(((c_TMAP2IN)-(c_TMAP1IN)),2)))&gt;=0,1,0)))</f>
        <v>140</v>
      </c>
      <c r="F280" s="7" t="n">
        <f aca="false">IF(((c_TMAP3IN)-(c_TMAP2IN))=0,(c_TMAP2OUT)+QUOTIENT(((c_TMAP3OUT)-(c_TMAP2OUT)),2),QUOTIENT((((A280)-(c_TMAP2IN))*((c_TMAP3OUT)-(c_TMAP2OUT))+IF(((c_TMAP3OUT)-(c_TMAP2OUT))&gt;=0,1,-1)*QUOTIENT(((c_TMAP3IN)-(c_TMAP2IN)),2)),((c_TMAP3IN)-(c_TMAP2IN)))+(c_TMAP2OUT)+IF(((c_TMAP3OUT)-(c_TMAP2OUT))&gt;=0,IF(IF(o_WRAP=1,MOD(((c_TMAP3IN)-(c_TMAP2IN))*(((A280)-(c_TMAP2IN))*((c_TMAP3OUT)-(c_TMAP2OUT))+IF(((c_TMAP3OUT)-(c_TMAP2OUT))&gt;=0,1,-1)*QUOTIENT(((c_TMAP3IN)-(c_TMAP2IN)),2))+2147483648,4294967296)-2147483648,((c_TMAP3IN)-(c_TMAP2IN))*(((A280)-(c_TMAP2IN))*((c_TMAP3OUT)-(c_TMAP2OUT))+IF(((c_TMAP3OUT)-(c_TMAP2OUT))&gt;=0,1,-1)*QUOTIENT(((c_TMAP3IN)-(c_TMAP2IN)),2)))&lt;0,-1,0),IF(IF(o_WRAP=1,MOD(((c_TMAP3IN)-(c_TMAP2IN))*(((A280)-(c_TMAP2IN))*((c_TMAP3OUT)-(c_TMAP2OUT))+IF(((c_TMAP3OUT)-(c_TMAP2OUT))&gt;=0,1,-1)*QUOTIENT(((c_TMAP3IN)-(c_TMAP2IN)),2))+2147483648,4294967296)-2147483648,((c_TMAP3IN)-(c_TMAP2IN))*(((A280)-(c_TMAP2IN))*((c_TMAP3OUT)-(c_TMAP2OUT))+IF(((c_TMAP3OUT)-(c_TMAP2OUT))&gt;=0,1,-1)*QUOTIENT(((c_TMAP3IN)-(c_TMAP2IN)),2)))&gt;=0,1,0)))</f>
        <v>148</v>
      </c>
      <c r="G280" s="7" t="n">
        <f aca="false">IF(((1000)-(c_TMAP3IN))=0,(c_TMAP3OUT)+QUOTIENT(((1000)-(c_TMAP3OUT)),2),QUOTIENT((((A280)-(c_TMAP3IN))*((1000)-(c_TMAP3OUT))+IF(((1000)-(c_TMAP3OUT))&gt;=0,1,-1)*QUOTIENT(((1000)-(c_TMAP3IN)),2)),((1000)-(c_TMAP3IN)))+(c_TMAP3OUT)+IF(((1000)-(c_TMAP3OUT))&gt;=0,IF(IF(o_WRAP=1,MOD(((1000)-(c_TMAP3IN))*(((A280)-(c_TMAP3IN))*((1000)-(c_TMAP3OUT))+IF(((1000)-(c_TMAP3OUT))&gt;=0,1,-1)*QUOTIENT(((1000)-(c_TMAP3IN)),2))+2147483648,4294967296)-2147483648,((1000)-(c_TMAP3IN))*(((A280)-(c_TMAP3IN))*((1000)-(c_TMAP3OUT))+IF(((1000)-(c_TMAP3OUT))&gt;=0,1,-1)*QUOTIENT(((1000)-(c_TMAP3IN)),2)))&lt;0,-1,0),IF(IF(o_WRAP=1,MOD(((1000)-(c_TMAP3IN))*(((A280)-(c_TMAP3IN))*((1000)-(c_TMAP3OUT))+IF(((1000)-(c_TMAP3OUT))&gt;=0,1,-1)*QUOTIENT(((1000)-(c_TMAP3IN)),2))+2147483648,4294967296)-2147483648,((1000)-(c_TMAP3IN))*(((A280)-(c_TMAP3IN))*((1000)-(c_TMAP3OUT))+IF(((1000)-(c_TMAP3OUT))&gt;=0,1,-1)*QUOTIENT(((1000)-(c_TMAP3IN)),2)))&gt;=0,1,0)))</f>
        <v>108</v>
      </c>
      <c r="H280" s="7" t="str">
        <f aca="false">IF(A280&gt;=c_TFWD,IF(AND(A280&gt;=c_TMAP3IN,c_TMAP3IN&lt;1000),"Seg4 map3-100%",IF(AND(A280&gt;=c_TMAP2IN,c_TMAP3IN&gt;c_TMAP2IN),"Seg3 map2-map3",IF(AND(A280&gt;=c_TMAP1IN,c_TMAP2IN&gt;c_TMAP1IN),"Seg2 map1-map2","Seg1 TFWD-map1"))),IF(AND(A280=0,c_TCREEP&gt;0),"Creep",IF(AND(A280&lt;=c_TRNGMIN,A280&gt;=c_TRNGMAX,c_TRNGMIN-c_TRNGMAX&lt;&gt;0),"Regen ramp","Coast (0)")))</f>
        <v>Seg3 map2-map3</v>
      </c>
      <c r="I280" s="7" t="n">
        <f aca="false">IF(A280&gt;=c_TFWD,IF(AND(A280&gt;=c_TMAP3IN,c_TMAP3IN&lt;1000),G280,IF(AND(A280&gt;=c_TMAP2IN,c_TMAP3IN&gt;c_TMAP2IN),F280,IF(AND(A280&gt;=c_TMAP1IN,c_TMAP2IN&gt;c_TMAP1IN),E280,D280))),C280)</f>
        <v>148</v>
      </c>
      <c r="J280" s="7" t="str">
        <f aca="false">IF(I280&lt;-1090,"TOO LOW",IF(I280&gt;1090,"TOO HIGH",""))</f>
        <v/>
      </c>
      <c r="K280" s="15" t="n">
        <f aca="false">IF(J280&lt;&gt;"",0,IF(I280&gt;979,1000,I280))</f>
        <v>148</v>
      </c>
      <c r="L280" s="7" t="n">
        <f aca="false">K280/10</f>
        <v>14.8</v>
      </c>
    </row>
    <row r="281" customFormat="false" ht="15" hidden="false" customHeight="false" outlineLevel="0" collapsed="false">
      <c r="A281" s="7" t="n">
        <v>276</v>
      </c>
      <c r="B281" s="7" t="n">
        <f aca="false">A281/10</f>
        <v>27.6</v>
      </c>
      <c r="C281" s="7" t="n">
        <f aca="false">IF(AND(A281=0,c_TCREEP&gt;0),10*c_TCREEP,IF(AND(A281&lt;=c_TRNGMIN,A281&gt;=c_TRNGMAX,c_TRNGMIN-c_TRNGMAX&lt;&gt;0),-10*c_TMINRN+QUOTIENT((c_TMAXRN-c_TMINRN)*(100-QUOTIENT((A281-c_TRNGMAX)*100,c_TRNGMIN-c_TRNGMAX)),-10),0))</f>
        <v>0</v>
      </c>
      <c r="D281" s="7" t="n">
        <f aca="false">IF(((c_TMAP1IN)-(c_TFWD))=0,(0)+QUOTIENT(((c_TMAP1OUT)-(0)),2),QUOTIENT((((A281)-(c_TFWD))*((c_TMAP1OUT)-(0))+IF(((c_TMAP1OUT)-(0))&gt;=0,1,-1)*QUOTIENT(((c_TMAP1IN)-(c_TFWD)),2)),((c_TMAP1IN)-(c_TFWD)))+(0)+IF(((c_TMAP1OUT)-(0))&gt;=0,IF(IF(o_WRAP=1,MOD(((c_TMAP1IN)-(c_TFWD))*(((A281)-(c_TFWD))*((c_TMAP1OUT)-(0))+IF(((c_TMAP1OUT)-(0))&gt;=0,1,-1)*QUOTIENT(((c_TMAP1IN)-(c_TFWD)),2))+2147483648,4294967296)-2147483648,((c_TMAP1IN)-(c_TFWD))*(((A281)-(c_TFWD))*((c_TMAP1OUT)-(0))+IF(((c_TMAP1OUT)-(0))&gt;=0,1,-1)*QUOTIENT(((c_TMAP1IN)-(c_TFWD)),2)))&lt;0,-1,0),IF(IF(o_WRAP=1,MOD(((c_TMAP1IN)-(c_TFWD))*(((A281)-(c_TFWD))*((c_TMAP1OUT)-(0))+IF(((c_TMAP1OUT)-(0))&gt;=0,1,-1)*QUOTIENT(((c_TMAP1IN)-(c_TFWD)),2))+2147483648,4294967296)-2147483648,((c_TMAP1IN)-(c_TFWD))*(((A281)-(c_TFWD))*((c_TMAP1OUT)-(0))+IF(((c_TMAP1OUT)-(0))&gt;=0,1,-1)*QUOTIENT(((c_TMAP1IN)-(c_TFWD)),2)))&gt;=0,1,0)))</f>
        <v>207</v>
      </c>
      <c r="E281" s="7" t="n">
        <f aca="false">IF(((c_TMAP2IN)-(c_TMAP1IN))=0,(c_TMAP1OUT)+QUOTIENT(((c_TMAP2OUT)-(c_TMAP1OUT)),2),QUOTIENT((((A281)-(c_TMAP1IN))*((c_TMAP2OUT)-(c_TMAP1OUT))+IF(((c_TMAP2OUT)-(c_TMAP1OUT))&gt;=0,1,-1)*QUOTIENT(((c_TMAP2IN)-(c_TMAP1IN)),2)),((c_TMAP2IN)-(c_TMAP1IN)))+(c_TMAP1OUT)+IF(((c_TMAP2OUT)-(c_TMAP1OUT))&gt;=0,IF(IF(o_WRAP=1,MOD(((c_TMAP2IN)-(c_TMAP1IN))*(((A281)-(c_TMAP1IN))*((c_TMAP2OUT)-(c_TMAP1OUT))+IF(((c_TMAP2OUT)-(c_TMAP1OUT))&gt;=0,1,-1)*QUOTIENT(((c_TMAP2IN)-(c_TMAP1IN)),2))+2147483648,4294967296)-2147483648,((c_TMAP2IN)-(c_TMAP1IN))*(((A281)-(c_TMAP1IN))*((c_TMAP2OUT)-(c_TMAP1OUT))+IF(((c_TMAP2OUT)-(c_TMAP1OUT))&gt;=0,1,-1)*QUOTIENT(((c_TMAP2IN)-(c_TMAP1IN)),2)))&lt;0,-1,0),IF(IF(o_WRAP=1,MOD(((c_TMAP2IN)-(c_TMAP1IN))*(((A281)-(c_TMAP1IN))*((c_TMAP2OUT)-(c_TMAP1OUT))+IF(((c_TMAP2OUT)-(c_TMAP1OUT))&gt;=0,1,-1)*QUOTIENT(((c_TMAP2IN)-(c_TMAP1IN)),2))+2147483648,4294967296)-2147483648,((c_TMAP2IN)-(c_TMAP1IN))*(((A281)-(c_TMAP1IN))*((c_TMAP2OUT)-(c_TMAP1OUT))+IF(((c_TMAP2OUT)-(c_TMAP1OUT))&gt;=0,1,-1)*QUOTIENT(((c_TMAP2IN)-(c_TMAP1IN)),2)))&gt;=0,1,0)))</f>
        <v>140</v>
      </c>
      <c r="F281" s="7" t="n">
        <f aca="false">IF(((c_TMAP3IN)-(c_TMAP2IN))=0,(c_TMAP2OUT)+QUOTIENT(((c_TMAP3OUT)-(c_TMAP2OUT)),2),QUOTIENT((((A281)-(c_TMAP2IN))*((c_TMAP3OUT)-(c_TMAP2OUT))+IF(((c_TMAP3OUT)-(c_TMAP2OUT))&gt;=0,1,-1)*QUOTIENT(((c_TMAP3IN)-(c_TMAP2IN)),2)),((c_TMAP3IN)-(c_TMAP2IN)))+(c_TMAP2OUT)+IF(((c_TMAP3OUT)-(c_TMAP2OUT))&gt;=0,IF(IF(o_WRAP=1,MOD(((c_TMAP3IN)-(c_TMAP2IN))*(((A281)-(c_TMAP2IN))*((c_TMAP3OUT)-(c_TMAP2OUT))+IF(((c_TMAP3OUT)-(c_TMAP2OUT))&gt;=0,1,-1)*QUOTIENT(((c_TMAP3IN)-(c_TMAP2IN)),2))+2147483648,4294967296)-2147483648,((c_TMAP3IN)-(c_TMAP2IN))*(((A281)-(c_TMAP2IN))*((c_TMAP3OUT)-(c_TMAP2OUT))+IF(((c_TMAP3OUT)-(c_TMAP2OUT))&gt;=0,1,-1)*QUOTIENT(((c_TMAP3IN)-(c_TMAP2IN)),2)))&lt;0,-1,0),IF(IF(o_WRAP=1,MOD(((c_TMAP3IN)-(c_TMAP2IN))*(((A281)-(c_TMAP2IN))*((c_TMAP3OUT)-(c_TMAP2OUT))+IF(((c_TMAP3OUT)-(c_TMAP2OUT))&gt;=0,1,-1)*QUOTIENT(((c_TMAP3IN)-(c_TMAP2IN)),2))+2147483648,4294967296)-2147483648,((c_TMAP3IN)-(c_TMAP2IN))*(((A281)-(c_TMAP2IN))*((c_TMAP3OUT)-(c_TMAP2OUT))+IF(((c_TMAP3OUT)-(c_TMAP2OUT))&gt;=0,1,-1)*QUOTIENT(((c_TMAP3IN)-(c_TMAP2IN)),2)))&gt;=0,1,0)))</f>
        <v>148</v>
      </c>
      <c r="G281" s="7" t="n">
        <f aca="false">IF(((1000)-(c_TMAP3IN))=0,(c_TMAP3OUT)+QUOTIENT(((1000)-(c_TMAP3OUT)),2),QUOTIENT((((A281)-(c_TMAP3IN))*((1000)-(c_TMAP3OUT))+IF(((1000)-(c_TMAP3OUT))&gt;=0,1,-1)*QUOTIENT(((1000)-(c_TMAP3IN)),2)),((1000)-(c_TMAP3IN)))+(c_TMAP3OUT)+IF(((1000)-(c_TMAP3OUT))&gt;=0,IF(IF(o_WRAP=1,MOD(((1000)-(c_TMAP3IN))*(((A281)-(c_TMAP3IN))*((1000)-(c_TMAP3OUT))+IF(((1000)-(c_TMAP3OUT))&gt;=0,1,-1)*QUOTIENT(((1000)-(c_TMAP3IN)),2))+2147483648,4294967296)-2147483648,((1000)-(c_TMAP3IN))*(((A281)-(c_TMAP3IN))*((1000)-(c_TMAP3OUT))+IF(((1000)-(c_TMAP3OUT))&gt;=0,1,-1)*QUOTIENT(((1000)-(c_TMAP3IN)),2)))&lt;0,-1,0),IF(IF(o_WRAP=1,MOD(((1000)-(c_TMAP3IN))*(((A281)-(c_TMAP3IN))*((1000)-(c_TMAP3OUT))+IF(((1000)-(c_TMAP3OUT))&gt;=0,1,-1)*QUOTIENT(((1000)-(c_TMAP3IN)),2))+2147483648,4294967296)-2147483648,((1000)-(c_TMAP3IN))*(((A281)-(c_TMAP3IN))*((1000)-(c_TMAP3OUT))+IF(((1000)-(c_TMAP3OUT))&gt;=0,1,-1)*QUOTIENT(((1000)-(c_TMAP3IN)),2)))&gt;=0,1,0)))</f>
        <v>109</v>
      </c>
      <c r="H281" s="7" t="str">
        <f aca="false">IF(A281&gt;=c_TFWD,IF(AND(A281&gt;=c_TMAP3IN,c_TMAP3IN&lt;1000),"Seg4 map3-100%",IF(AND(A281&gt;=c_TMAP2IN,c_TMAP3IN&gt;c_TMAP2IN),"Seg3 map2-map3",IF(AND(A281&gt;=c_TMAP1IN,c_TMAP2IN&gt;c_TMAP1IN),"Seg2 map1-map2","Seg1 TFWD-map1"))),IF(AND(A281=0,c_TCREEP&gt;0),"Creep",IF(AND(A281&lt;=c_TRNGMIN,A281&gt;=c_TRNGMAX,c_TRNGMIN-c_TRNGMAX&lt;&gt;0),"Regen ramp","Coast (0)")))</f>
        <v>Seg3 map2-map3</v>
      </c>
      <c r="I281" s="7" t="n">
        <f aca="false">IF(A281&gt;=c_TFWD,IF(AND(A281&gt;=c_TMAP3IN,c_TMAP3IN&lt;1000),G281,IF(AND(A281&gt;=c_TMAP2IN,c_TMAP3IN&gt;c_TMAP2IN),F281,IF(AND(A281&gt;=c_TMAP1IN,c_TMAP2IN&gt;c_TMAP1IN),E281,D281))),C281)</f>
        <v>148</v>
      </c>
      <c r="J281" s="7" t="str">
        <f aca="false">IF(I281&lt;-1090,"TOO LOW",IF(I281&gt;1090,"TOO HIGH",""))</f>
        <v/>
      </c>
      <c r="K281" s="15" t="n">
        <f aca="false">IF(J281&lt;&gt;"",0,IF(I281&gt;979,1000,I281))</f>
        <v>148</v>
      </c>
      <c r="L281" s="7" t="n">
        <f aca="false">K281/10</f>
        <v>14.8</v>
      </c>
    </row>
    <row r="282" customFormat="false" ht="15" hidden="false" customHeight="false" outlineLevel="0" collapsed="false">
      <c r="A282" s="7" t="n">
        <v>277</v>
      </c>
      <c r="B282" s="7" t="n">
        <f aca="false">A282/10</f>
        <v>27.7</v>
      </c>
      <c r="C282" s="7" t="n">
        <f aca="false">IF(AND(A282=0,c_TCREEP&gt;0),10*c_TCREEP,IF(AND(A282&lt;=c_TRNGMIN,A282&gt;=c_TRNGMAX,c_TRNGMIN-c_TRNGMAX&lt;&gt;0),-10*c_TMINRN+QUOTIENT((c_TMAXRN-c_TMINRN)*(100-QUOTIENT((A282-c_TRNGMAX)*100,c_TRNGMIN-c_TRNGMAX)),-10),0))</f>
        <v>0</v>
      </c>
      <c r="D282" s="7" t="n">
        <f aca="false">IF(((c_TMAP1IN)-(c_TFWD))=0,(0)+QUOTIENT(((c_TMAP1OUT)-(0)),2),QUOTIENT((((A282)-(c_TFWD))*((c_TMAP1OUT)-(0))+IF(((c_TMAP1OUT)-(0))&gt;=0,1,-1)*QUOTIENT(((c_TMAP1IN)-(c_TFWD)),2)),((c_TMAP1IN)-(c_TFWD)))+(0)+IF(((c_TMAP1OUT)-(0))&gt;=0,IF(IF(o_WRAP=1,MOD(((c_TMAP1IN)-(c_TFWD))*(((A282)-(c_TFWD))*((c_TMAP1OUT)-(0))+IF(((c_TMAP1OUT)-(0))&gt;=0,1,-1)*QUOTIENT(((c_TMAP1IN)-(c_TFWD)),2))+2147483648,4294967296)-2147483648,((c_TMAP1IN)-(c_TFWD))*(((A282)-(c_TFWD))*((c_TMAP1OUT)-(0))+IF(((c_TMAP1OUT)-(0))&gt;=0,1,-1)*QUOTIENT(((c_TMAP1IN)-(c_TFWD)),2)))&lt;0,-1,0),IF(IF(o_WRAP=1,MOD(((c_TMAP1IN)-(c_TFWD))*(((A282)-(c_TFWD))*((c_TMAP1OUT)-(0))+IF(((c_TMAP1OUT)-(0))&gt;=0,1,-1)*QUOTIENT(((c_TMAP1IN)-(c_TFWD)),2))+2147483648,4294967296)-2147483648,((c_TMAP1IN)-(c_TFWD))*(((A282)-(c_TFWD))*((c_TMAP1OUT)-(0))+IF(((c_TMAP1OUT)-(0))&gt;=0,1,-1)*QUOTIENT(((c_TMAP1IN)-(c_TFWD)),2)))&gt;=0,1,0)))</f>
        <v>208</v>
      </c>
      <c r="E282" s="7" t="n">
        <f aca="false">IF(((c_TMAP2IN)-(c_TMAP1IN))=0,(c_TMAP1OUT)+QUOTIENT(((c_TMAP2OUT)-(c_TMAP1OUT)),2),QUOTIENT((((A282)-(c_TMAP1IN))*((c_TMAP2OUT)-(c_TMAP1OUT))+IF(((c_TMAP2OUT)-(c_TMAP1OUT))&gt;=0,1,-1)*QUOTIENT(((c_TMAP2IN)-(c_TMAP1IN)),2)),((c_TMAP2IN)-(c_TMAP1IN)))+(c_TMAP1OUT)+IF(((c_TMAP2OUT)-(c_TMAP1OUT))&gt;=0,IF(IF(o_WRAP=1,MOD(((c_TMAP2IN)-(c_TMAP1IN))*(((A282)-(c_TMAP1IN))*((c_TMAP2OUT)-(c_TMAP1OUT))+IF(((c_TMAP2OUT)-(c_TMAP1OUT))&gt;=0,1,-1)*QUOTIENT(((c_TMAP2IN)-(c_TMAP1IN)),2))+2147483648,4294967296)-2147483648,((c_TMAP2IN)-(c_TMAP1IN))*(((A282)-(c_TMAP1IN))*((c_TMAP2OUT)-(c_TMAP1OUT))+IF(((c_TMAP2OUT)-(c_TMAP1OUT))&gt;=0,1,-1)*QUOTIENT(((c_TMAP2IN)-(c_TMAP1IN)),2)))&lt;0,-1,0),IF(IF(o_WRAP=1,MOD(((c_TMAP2IN)-(c_TMAP1IN))*(((A282)-(c_TMAP1IN))*((c_TMAP2OUT)-(c_TMAP1OUT))+IF(((c_TMAP2OUT)-(c_TMAP1OUT))&gt;=0,1,-1)*QUOTIENT(((c_TMAP2IN)-(c_TMAP1IN)),2))+2147483648,4294967296)-2147483648,((c_TMAP2IN)-(c_TMAP1IN))*(((A282)-(c_TMAP1IN))*((c_TMAP2OUT)-(c_TMAP1OUT))+IF(((c_TMAP2OUT)-(c_TMAP1OUT))&gt;=0,1,-1)*QUOTIENT(((c_TMAP2IN)-(c_TMAP1IN)),2)))&gt;=0,1,0)))</f>
        <v>141</v>
      </c>
      <c r="F282" s="7" t="n">
        <f aca="false">IF(((c_TMAP3IN)-(c_TMAP2IN))=0,(c_TMAP2OUT)+QUOTIENT(((c_TMAP3OUT)-(c_TMAP2OUT)),2),QUOTIENT((((A282)-(c_TMAP2IN))*((c_TMAP3OUT)-(c_TMAP2OUT))+IF(((c_TMAP3OUT)-(c_TMAP2OUT))&gt;=0,1,-1)*QUOTIENT(((c_TMAP3IN)-(c_TMAP2IN)),2)),((c_TMAP3IN)-(c_TMAP2IN)))+(c_TMAP2OUT)+IF(((c_TMAP3OUT)-(c_TMAP2OUT))&gt;=0,IF(IF(o_WRAP=1,MOD(((c_TMAP3IN)-(c_TMAP2IN))*(((A282)-(c_TMAP2IN))*((c_TMAP3OUT)-(c_TMAP2OUT))+IF(((c_TMAP3OUT)-(c_TMAP2OUT))&gt;=0,1,-1)*QUOTIENT(((c_TMAP3IN)-(c_TMAP2IN)),2))+2147483648,4294967296)-2147483648,((c_TMAP3IN)-(c_TMAP2IN))*(((A282)-(c_TMAP2IN))*((c_TMAP3OUT)-(c_TMAP2OUT))+IF(((c_TMAP3OUT)-(c_TMAP2OUT))&gt;=0,1,-1)*QUOTIENT(((c_TMAP3IN)-(c_TMAP2IN)),2)))&lt;0,-1,0),IF(IF(o_WRAP=1,MOD(((c_TMAP3IN)-(c_TMAP2IN))*(((A282)-(c_TMAP2IN))*((c_TMAP3OUT)-(c_TMAP2OUT))+IF(((c_TMAP3OUT)-(c_TMAP2OUT))&gt;=0,1,-1)*QUOTIENT(((c_TMAP3IN)-(c_TMAP2IN)),2))+2147483648,4294967296)-2147483648,((c_TMAP3IN)-(c_TMAP2IN))*(((A282)-(c_TMAP2IN))*((c_TMAP3OUT)-(c_TMAP2OUT))+IF(((c_TMAP3OUT)-(c_TMAP2OUT))&gt;=0,1,-1)*QUOTIENT(((c_TMAP3IN)-(c_TMAP2IN)),2)))&gt;=0,1,0)))</f>
        <v>149</v>
      </c>
      <c r="G282" s="7" t="n">
        <f aca="false">IF(((1000)-(c_TMAP3IN))=0,(c_TMAP3OUT)+QUOTIENT(((1000)-(c_TMAP3OUT)),2),QUOTIENT((((A282)-(c_TMAP3IN))*((1000)-(c_TMAP3OUT))+IF(((1000)-(c_TMAP3OUT))&gt;=0,1,-1)*QUOTIENT(((1000)-(c_TMAP3IN)),2)),((1000)-(c_TMAP3IN)))+(c_TMAP3OUT)+IF(((1000)-(c_TMAP3OUT))&gt;=0,IF(IF(o_WRAP=1,MOD(((1000)-(c_TMAP3IN))*(((A282)-(c_TMAP3IN))*((1000)-(c_TMAP3OUT))+IF(((1000)-(c_TMAP3OUT))&gt;=0,1,-1)*QUOTIENT(((1000)-(c_TMAP3IN)),2))+2147483648,4294967296)-2147483648,((1000)-(c_TMAP3IN))*(((A282)-(c_TMAP3IN))*((1000)-(c_TMAP3OUT))+IF(((1000)-(c_TMAP3OUT))&gt;=0,1,-1)*QUOTIENT(((1000)-(c_TMAP3IN)),2)))&lt;0,-1,0),IF(IF(o_WRAP=1,MOD(((1000)-(c_TMAP3IN))*(((A282)-(c_TMAP3IN))*((1000)-(c_TMAP3OUT))+IF(((1000)-(c_TMAP3OUT))&gt;=0,1,-1)*QUOTIENT(((1000)-(c_TMAP3IN)),2))+2147483648,4294967296)-2147483648,((1000)-(c_TMAP3IN))*(((A282)-(c_TMAP3IN))*((1000)-(c_TMAP3OUT))+IF(((1000)-(c_TMAP3OUT))&gt;=0,1,-1)*QUOTIENT(((1000)-(c_TMAP3IN)),2)))&gt;=0,1,0)))</f>
        <v>110</v>
      </c>
      <c r="H282" s="7" t="str">
        <f aca="false">IF(A282&gt;=c_TFWD,IF(AND(A282&gt;=c_TMAP3IN,c_TMAP3IN&lt;1000),"Seg4 map3-100%",IF(AND(A282&gt;=c_TMAP2IN,c_TMAP3IN&gt;c_TMAP2IN),"Seg3 map2-map3",IF(AND(A282&gt;=c_TMAP1IN,c_TMAP2IN&gt;c_TMAP1IN),"Seg2 map1-map2","Seg1 TFWD-map1"))),IF(AND(A282=0,c_TCREEP&gt;0),"Creep",IF(AND(A282&lt;=c_TRNGMIN,A282&gt;=c_TRNGMAX,c_TRNGMIN-c_TRNGMAX&lt;&gt;0),"Regen ramp","Coast (0)")))</f>
        <v>Seg3 map2-map3</v>
      </c>
      <c r="I282" s="7" t="n">
        <f aca="false">IF(A282&gt;=c_TFWD,IF(AND(A282&gt;=c_TMAP3IN,c_TMAP3IN&lt;1000),G282,IF(AND(A282&gt;=c_TMAP2IN,c_TMAP3IN&gt;c_TMAP2IN),F282,IF(AND(A282&gt;=c_TMAP1IN,c_TMAP2IN&gt;c_TMAP1IN),E282,D282))),C282)</f>
        <v>149</v>
      </c>
      <c r="J282" s="7" t="str">
        <f aca="false">IF(I282&lt;-1090,"TOO LOW",IF(I282&gt;1090,"TOO HIGH",""))</f>
        <v/>
      </c>
      <c r="K282" s="15" t="n">
        <f aca="false">IF(J282&lt;&gt;"",0,IF(I282&gt;979,1000,I282))</f>
        <v>149</v>
      </c>
      <c r="L282" s="7" t="n">
        <f aca="false">K282/10</f>
        <v>14.9</v>
      </c>
    </row>
    <row r="283" customFormat="false" ht="15" hidden="false" customHeight="false" outlineLevel="0" collapsed="false">
      <c r="A283" s="7" t="n">
        <v>278</v>
      </c>
      <c r="B283" s="7" t="n">
        <f aca="false">A283/10</f>
        <v>27.8</v>
      </c>
      <c r="C283" s="7" t="n">
        <f aca="false">IF(AND(A283=0,c_TCREEP&gt;0),10*c_TCREEP,IF(AND(A283&lt;=c_TRNGMIN,A283&gt;=c_TRNGMAX,c_TRNGMIN-c_TRNGMAX&lt;&gt;0),-10*c_TMINRN+QUOTIENT((c_TMAXRN-c_TMINRN)*(100-QUOTIENT((A283-c_TRNGMAX)*100,c_TRNGMIN-c_TRNGMAX)),-10),0))</f>
        <v>0</v>
      </c>
      <c r="D283" s="7" t="n">
        <f aca="false">IF(((c_TMAP1IN)-(c_TFWD))=0,(0)+QUOTIENT(((c_TMAP1OUT)-(0)),2),QUOTIENT((((A283)-(c_TFWD))*((c_TMAP1OUT)-(0))+IF(((c_TMAP1OUT)-(0))&gt;=0,1,-1)*QUOTIENT(((c_TMAP1IN)-(c_TFWD)),2)),((c_TMAP1IN)-(c_TFWD)))+(0)+IF(((c_TMAP1OUT)-(0))&gt;=0,IF(IF(o_WRAP=1,MOD(((c_TMAP1IN)-(c_TFWD))*(((A283)-(c_TFWD))*((c_TMAP1OUT)-(0))+IF(((c_TMAP1OUT)-(0))&gt;=0,1,-1)*QUOTIENT(((c_TMAP1IN)-(c_TFWD)),2))+2147483648,4294967296)-2147483648,((c_TMAP1IN)-(c_TFWD))*(((A283)-(c_TFWD))*((c_TMAP1OUT)-(0))+IF(((c_TMAP1OUT)-(0))&gt;=0,1,-1)*QUOTIENT(((c_TMAP1IN)-(c_TFWD)),2)))&lt;0,-1,0),IF(IF(o_WRAP=1,MOD(((c_TMAP1IN)-(c_TFWD))*(((A283)-(c_TFWD))*((c_TMAP1OUT)-(0))+IF(((c_TMAP1OUT)-(0))&gt;=0,1,-1)*QUOTIENT(((c_TMAP1IN)-(c_TFWD)),2))+2147483648,4294967296)-2147483648,((c_TMAP1IN)-(c_TFWD))*(((A283)-(c_TFWD))*((c_TMAP1OUT)-(0))+IF(((c_TMAP1OUT)-(0))&gt;=0,1,-1)*QUOTIENT(((c_TMAP1IN)-(c_TFWD)),2)))&gt;=0,1,0)))</f>
        <v>208</v>
      </c>
      <c r="E283" s="7" t="n">
        <f aca="false">IF(((c_TMAP2IN)-(c_TMAP1IN))=0,(c_TMAP1OUT)+QUOTIENT(((c_TMAP2OUT)-(c_TMAP1OUT)),2),QUOTIENT((((A283)-(c_TMAP1IN))*((c_TMAP2OUT)-(c_TMAP1OUT))+IF(((c_TMAP2OUT)-(c_TMAP1OUT))&gt;=0,1,-1)*QUOTIENT(((c_TMAP2IN)-(c_TMAP1IN)),2)),((c_TMAP2IN)-(c_TMAP1IN)))+(c_TMAP1OUT)+IF(((c_TMAP2OUT)-(c_TMAP1OUT))&gt;=0,IF(IF(o_WRAP=1,MOD(((c_TMAP2IN)-(c_TMAP1IN))*(((A283)-(c_TMAP1IN))*((c_TMAP2OUT)-(c_TMAP1OUT))+IF(((c_TMAP2OUT)-(c_TMAP1OUT))&gt;=0,1,-1)*QUOTIENT(((c_TMAP2IN)-(c_TMAP1IN)),2))+2147483648,4294967296)-2147483648,((c_TMAP2IN)-(c_TMAP1IN))*(((A283)-(c_TMAP1IN))*((c_TMAP2OUT)-(c_TMAP1OUT))+IF(((c_TMAP2OUT)-(c_TMAP1OUT))&gt;=0,1,-1)*QUOTIENT(((c_TMAP2IN)-(c_TMAP1IN)),2)))&lt;0,-1,0),IF(IF(o_WRAP=1,MOD(((c_TMAP2IN)-(c_TMAP1IN))*(((A283)-(c_TMAP1IN))*((c_TMAP2OUT)-(c_TMAP1OUT))+IF(((c_TMAP2OUT)-(c_TMAP1OUT))&gt;=0,1,-1)*QUOTIENT(((c_TMAP2IN)-(c_TMAP1IN)),2))+2147483648,4294967296)-2147483648,((c_TMAP2IN)-(c_TMAP1IN))*(((A283)-(c_TMAP1IN))*((c_TMAP2OUT)-(c_TMAP1OUT))+IF(((c_TMAP2OUT)-(c_TMAP1OUT))&gt;=0,1,-1)*QUOTIENT(((c_TMAP2IN)-(c_TMAP1IN)),2)))&gt;=0,1,0)))</f>
        <v>141</v>
      </c>
      <c r="F283" s="7" t="n">
        <f aca="false">IF(((c_TMAP3IN)-(c_TMAP2IN))=0,(c_TMAP2OUT)+QUOTIENT(((c_TMAP3OUT)-(c_TMAP2OUT)),2),QUOTIENT((((A283)-(c_TMAP2IN))*((c_TMAP3OUT)-(c_TMAP2OUT))+IF(((c_TMAP3OUT)-(c_TMAP2OUT))&gt;=0,1,-1)*QUOTIENT(((c_TMAP3IN)-(c_TMAP2IN)),2)),((c_TMAP3IN)-(c_TMAP2IN)))+(c_TMAP2OUT)+IF(((c_TMAP3OUT)-(c_TMAP2OUT))&gt;=0,IF(IF(o_WRAP=1,MOD(((c_TMAP3IN)-(c_TMAP2IN))*(((A283)-(c_TMAP2IN))*((c_TMAP3OUT)-(c_TMAP2OUT))+IF(((c_TMAP3OUT)-(c_TMAP2OUT))&gt;=0,1,-1)*QUOTIENT(((c_TMAP3IN)-(c_TMAP2IN)),2))+2147483648,4294967296)-2147483648,((c_TMAP3IN)-(c_TMAP2IN))*(((A283)-(c_TMAP2IN))*((c_TMAP3OUT)-(c_TMAP2OUT))+IF(((c_TMAP3OUT)-(c_TMAP2OUT))&gt;=0,1,-1)*QUOTIENT(((c_TMAP3IN)-(c_TMAP2IN)),2)))&lt;0,-1,0),IF(IF(o_WRAP=1,MOD(((c_TMAP3IN)-(c_TMAP2IN))*(((A283)-(c_TMAP2IN))*((c_TMAP3OUT)-(c_TMAP2OUT))+IF(((c_TMAP3OUT)-(c_TMAP2OUT))&gt;=0,1,-1)*QUOTIENT(((c_TMAP3IN)-(c_TMAP2IN)),2))+2147483648,4294967296)-2147483648,((c_TMAP3IN)-(c_TMAP2IN))*(((A283)-(c_TMAP2IN))*((c_TMAP3OUT)-(c_TMAP2OUT))+IF(((c_TMAP3OUT)-(c_TMAP2OUT))&gt;=0,1,-1)*QUOTIENT(((c_TMAP3IN)-(c_TMAP2IN)),2)))&gt;=0,1,0)))</f>
        <v>150</v>
      </c>
      <c r="G283" s="7" t="n">
        <f aca="false">IF(((1000)-(c_TMAP3IN))=0,(c_TMAP3OUT)+QUOTIENT(((1000)-(c_TMAP3OUT)),2),QUOTIENT((((A283)-(c_TMAP3IN))*((1000)-(c_TMAP3OUT))+IF(((1000)-(c_TMAP3OUT))&gt;=0,1,-1)*QUOTIENT(((1000)-(c_TMAP3IN)),2)),((1000)-(c_TMAP3IN)))+(c_TMAP3OUT)+IF(((1000)-(c_TMAP3OUT))&gt;=0,IF(IF(o_WRAP=1,MOD(((1000)-(c_TMAP3IN))*(((A283)-(c_TMAP3IN))*((1000)-(c_TMAP3OUT))+IF(((1000)-(c_TMAP3OUT))&gt;=0,1,-1)*QUOTIENT(((1000)-(c_TMAP3IN)),2))+2147483648,4294967296)-2147483648,((1000)-(c_TMAP3IN))*(((A283)-(c_TMAP3IN))*((1000)-(c_TMAP3OUT))+IF(((1000)-(c_TMAP3OUT))&gt;=0,1,-1)*QUOTIENT(((1000)-(c_TMAP3IN)),2)))&lt;0,-1,0),IF(IF(o_WRAP=1,MOD(((1000)-(c_TMAP3IN))*(((A283)-(c_TMAP3IN))*((1000)-(c_TMAP3OUT))+IF(((1000)-(c_TMAP3OUT))&gt;=0,1,-1)*QUOTIENT(((1000)-(c_TMAP3IN)),2))+2147483648,4294967296)-2147483648,((1000)-(c_TMAP3IN))*(((A283)-(c_TMAP3IN))*((1000)-(c_TMAP3OUT))+IF(((1000)-(c_TMAP3OUT))&gt;=0,1,-1)*QUOTIENT(((1000)-(c_TMAP3IN)),2)))&gt;=0,1,0)))</f>
        <v>111</v>
      </c>
      <c r="H283" s="7" t="str">
        <f aca="false">IF(A283&gt;=c_TFWD,IF(AND(A283&gt;=c_TMAP3IN,c_TMAP3IN&lt;1000),"Seg4 map3-100%",IF(AND(A283&gt;=c_TMAP2IN,c_TMAP3IN&gt;c_TMAP2IN),"Seg3 map2-map3",IF(AND(A283&gt;=c_TMAP1IN,c_TMAP2IN&gt;c_TMAP1IN),"Seg2 map1-map2","Seg1 TFWD-map1"))),IF(AND(A283=0,c_TCREEP&gt;0),"Creep",IF(AND(A283&lt;=c_TRNGMIN,A283&gt;=c_TRNGMAX,c_TRNGMIN-c_TRNGMAX&lt;&gt;0),"Regen ramp","Coast (0)")))</f>
        <v>Seg3 map2-map3</v>
      </c>
      <c r="I283" s="7" t="n">
        <f aca="false">IF(A283&gt;=c_TFWD,IF(AND(A283&gt;=c_TMAP3IN,c_TMAP3IN&lt;1000),G283,IF(AND(A283&gt;=c_TMAP2IN,c_TMAP3IN&gt;c_TMAP2IN),F283,IF(AND(A283&gt;=c_TMAP1IN,c_TMAP2IN&gt;c_TMAP1IN),E283,D283))),C283)</f>
        <v>150</v>
      </c>
      <c r="J283" s="7" t="str">
        <f aca="false">IF(I283&lt;-1090,"TOO LOW",IF(I283&gt;1090,"TOO HIGH",""))</f>
        <v/>
      </c>
      <c r="K283" s="15" t="n">
        <f aca="false">IF(J283&lt;&gt;"",0,IF(I283&gt;979,1000,I283))</f>
        <v>150</v>
      </c>
      <c r="L283" s="7" t="n">
        <f aca="false">K283/10</f>
        <v>15</v>
      </c>
    </row>
    <row r="284" customFormat="false" ht="15" hidden="false" customHeight="false" outlineLevel="0" collapsed="false">
      <c r="A284" s="7" t="n">
        <v>279</v>
      </c>
      <c r="B284" s="7" t="n">
        <f aca="false">A284/10</f>
        <v>27.9</v>
      </c>
      <c r="C284" s="7" t="n">
        <f aca="false">IF(AND(A284=0,c_TCREEP&gt;0),10*c_TCREEP,IF(AND(A284&lt;=c_TRNGMIN,A284&gt;=c_TRNGMAX,c_TRNGMIN-c_TRNGMAX&lt;&gt;0),-10*c_TMINRN+QUOTIENT((c_TMAXRN-c_TMINRN)*(100-QUOTIENT((A284-c_TRNGMAX)*100,c_TRNGMIN-c_TRNGMAX)),-10),0))</f>
        <v>0</v>
      </c>
      <c r="D284" s="7" t="n">
        <f aca="false">IF(((c_TMAP1IN)-(c_TFWD))=0,(0)+QUOTIENT(((c_TMAP1OUT)-(0)),2),QUOTIENT((((A284)-(c_TFWD))*((c_TMAP1OUT)-(0))+IF(((c_TMAP1OUT)-(0))&gt;=0,1,-1)*QUOTIENT(((c_TMAP1IN)-(c_TFWD)),2)),((c_TMAP1IN)-(c_TFWD)))+(0)+IF(((c_TMAP1OUT)-(0))&gt;=0,IF(IF(o_WRAP=1,MOD(((c_TMAP1IN)-(c_TFWD))*(((A284)-(c_TFWD))*((c_TMAP1OUT)-(0))+IF(((c_TMAP1OUT)-(0))&gt;=0,1,-1)*QUOTIENT(((c_TMAP1IN)-(c_TFWD)),2))+2147483648,4294967296)-2147483648,((c_TMAP1IN)-(c_TFWD))*(((A284)-(c_TFWD))*((c_TMAP1OUT)-(0))+IF(((c_TMAP1OUT)-(0))&gt;=0,1,-1)*QUOTIENT(((c_TMAP1IN)-(c_TFWD)),2)))&lt;0,-1,0),IF(IF(o_WRAP=1,MOD(((c_TMAP1IN)-(c_TFWD))*(((A284)-(c_TFWD))*((c_TMAP1OUT)-(0))+IF(((c_TMAP1OUT)-(0))&gt;=0,1,-1)*QUOTIENT(((c_TMAP1IN)-(c_TFWD)),2))+2147483648,4294967296)-2147483648,((c_TMAP1IN)-(c_TFWD))*(((A284)-(c_TFWD))*((c_TMAP1OUT)-(0))+IF(((c_TMAP1OUT)-(0))&gt;=0,1,-1)*QUOTIENT(((c_TMAP1IN)-(c_TFWD)),2)))&gt;=0,1,0)))</f>
        <v>209</v>
      </c>
      <c r="E284" s="7" t="n">
        <f aca="false">IF(((c_TMAP2IN)-(c_TMAP1IN))=0,(c_TMAP1OUT)+QUOTIENT(((c_TMAP2OUT)-(c_TMAP1OUT)),2),QUOTIENT((((A284)-(c_TMAP1IN))*((c_TMAP2OUT)-(c_TMAP1OUT))+IF(((c_TMAP2OUT)-(c_TMAP1OUT))&gt;=0,1,-1)*QUOTIENT(((c_TMAP2IN)-(c_TMAP1IN)),2)),((c_TMAP2IN)-(c_TMAP1IN)))+(c_TMAP1OUT)+IF(((c_TMAP2OUT)-(c_TMAP1OUT))&gt;=0,IF(IF(o_WRAP=1,MOD(((c_TMAP2IN)-(c_TMAP1IN))*(((A284)-(c_TMAP1IN))*((c_TMAP2OUT)-(c_TMAP1OUT))+IF(((c_TMAP2OUT)-(c_TMAP1OUT))&gt;=0,1,-1)*QUOTIENT(((c_TMAP2IN)-(c_TMAP1IN)),2))+2147483648,4294967296)-2147483648,((c_TMAP2IN)-(c_TMAP1IN))*(((A284)-(c_TMAP1IN))*((c_TMAP2OUT)-(c_TMAP1OUT))+IF(((c_TMAP2OUT)-(c_TMAP1OUT))&gt;=0,1,-1)*QUOTIENT(((c_TMAP2IN)-(c_TMAP1IN)),2)))&lt;0,-1,0),IF(IF(o_WRAP=1,MOD(((c_TMAP2IN)-(c_TMAP1IN))*(((A284)-(c_TMAP1IN))*((c_TMAP2OUT)-(c_TMAP1OUT))+IF(((c_TMAP2OUT)-(c_TMAP1OUT))&gt;=0,1,-1)*QUOTIENT(((c_TMAP2IN)-(c_TMAP1IN)),2))+2147483648,4294967296)-2147483648,((c_TMAP2IN)-(c_TMAP1IN))*(((A284)-(c_TMAP1IN))*((c_TMAP2OUT)-(c_TMAP1OUT))+IF(((c_TMAP2OUT)-(c_TMAP1OUT))&gt;=0,1,-1)*QUOTIENT(((c_TMAP2IN)-(c_TMAP1IN)),2)))&gt;=0,1,0)))</f>
        <v>142</v>
      </c>
      <c r="F284" s="7" t="n">
        <f aca="false">IF(((c_TMAP3IN)-(c_TMAP2IN))=0,(c_TMAP2OUT)+QUOTIENT(((c_TMAP3OUT)-(c_TMAP2OUT)),2),QUOTIENT((((A284)-(c_TMAP2IN))*((c_TMAP3OUT)-(c_TMAP2OUT))+IF(((c_TMAP3OUT)-(c_TMAP2OUT))&gt;=0,1,-1)*QUOTIENT(((c_TMAP3IN)-(c_TMAP2IN)),2)),((c_TMAP3IN)-(c_TMAP2IN)))+(c_TMAP2OUT)+IF(((c_TMAP3OUT)-(c_TMAP2OUT))&gt;=0,IF(IF(o_WRAP=1,MOD(((c_TMAP3IN)-(c_TMAP2IN))*(((A284)-(c_TMAP2IN))*((c_TMAP3OUT)-(c_TMAP2OUT))+IF(((c_TMAP3OUT)-(c_TMAP2OUT))&gt;=0,1,-1)*QUOTIENT(((c_TMAP3IN)-(c_TMAP2IN)),2))+2147483648,4294967296)-2147483648,((c_TMAP3IN)-(c_TMAP2IN))*(((A284)-(c_TMAP2IN))*((c_TMAP3OUT)-(c_TMAP2OUT))+IF(((c_TMAP3OUT)-(c_TMAP2OUT))&gt;=0,1,-1)*QUOTIENT(((c_TMAP3IN)-(c_TMAP2IN)),2)))&lt;0,-1,0),IF(IF(o_WRAP=1,MOD(((c_TMAP3IN)-(c_TMAP2IN))*(((A284)-(c_TMAP2IN))*((c_TMAP3OUT)-(c_TMAP2OUT))+IF(((c_TMAP3OUT)-(c_TMAP2OUT))&gt;=0,1,-1)*QUOTIENT(((c_TMAP3IN)-(c_TMAP2IN)),2))+2147483648,4294967296)-2147483648,((c_TMAP3IN)-(c_TMAP2IN))*(((A284)-(c_TMAP2IN))*((c_TMAP3OUT)-(c_TMAP2OUT))+IF(((c_TMAP3OUT)-(c_TMAP2OUT))&gt;=0,1,-1)*QUOTIENT(((c_TMAP3IN)-(c_TMAP2IN)),2)))&gt;=0,1,0)))</f>
        <v>150</v>
      </c>
      <c r="G284" s="7" t="n">
        <f aca="false">IF(((1000)-(c_TMAP3IN))=0,(c_TMAP3OUT)+QUOTIENT(((1000)-(c_TMAP3OUT)),2),QUOTIENT((((A284)-(c_TMAP3IN))*((1000)-(c_TMAP3OUT))+IF(((1000)-(c_TMAP3OUT))&gt;=0,1,-1)*QUOTIENT(((1000)-(c_TMAP3IN)),2)),((1000)-(c_TMAP3IN)))+(c_TMAP3OUT)+IF(((1000)-(c_TMAP3OUT))&gt;=0,IF(IF(o_WRAP=1,MOD(((1000)-(c_TMAP3IN))*(((A284)-(c_TMAP3IN))*((1000)-(c_TMAP3OUT))+IF(((1000)-(c_TMAP3OUT))&gt;=0,1,-1)*QUOTIENT(((1000)-(c_TMAP3IN)),2))+2147483648,4294967296)-2147483648,((1000)-(c_TMAP3IN))*(((A284)-(c_TMAP3IN))*((1000)-(c_TMAP3OUT))+IF(((1000)-(c_TMAP3OUT))&gt;=0,1,-1)*QUOTIENT(((1000)-(c_TMAP3IN)),2)))&lt;0,-1,0),IF(IF(o_WRAP=1,MOD(((1000)-(c_TMAP3IN))*(((A284)-(c_TMAP3IN))*((1000)-(c_TMAP3OUT))+IF(((1000)-(c_TMAP3OUT))&gt;=0,1,-1)*QUOTIENT(((1000)-(c_TMAP3IN)),2))+2147483648,4294967296)-2147483648,((1000)-(c_TMAP3IN))*(((A284)-(c_TMAP3IN))*((1000)-(c_TMAP3OUT))+IF(((1000)-(c_TMAP3OUT))&gt;=0,1,-1)*QUOTIENT(((1000)-(c_TMAP3IN)),2)))&gt;=0,1,0)))</f>
        <v>113</v>
      </c>
      <c r="H284" s="7" t="str">
        <f aca="false">IF(A284&gt;=c_TFWD,IF(AND(A284&gt;=c_TMAP3IN,c_TMAP3IN&lt;1000),"Seg4 map3-100%",IF(AND(A284&gt;=c_TMAP2IN,c_TMAP3IN&gt;c_TMAP2IN),"Seg3 map2-map3",IF(AND(A284&gt;=c_TMAP1IN,c_TMAP2IN&gt;c_TMAP1IN),"Seg2 map1-map2","Seg1 TFWD-map1"))),IF(AND(A284=0,c_TCREEP&gt;0),"Creep",IF(AND(A284&lt;=c_TRNGMIN,A284&gt;=c_TRNGMAX,c_TRNGMIN-c_TRNGMAX&lt;&gt;0),"Regen ramp","Coast (0)")))</f>
        <v>Seg3 map2-map3</v>
      </c>
      <c r="I284" s="7" t="n">
        <f aca="false">IF(A284&gt;=c_TFWD,IF(AND(A284&gt;=c_TMAP3IN,c_TMAP3IN&lt;1000),G284,IF(AND(A284&gt;=c_TMAP2IN,c_TMAP3IN&gt;c_TMAP2IN),F284,IF(AND(A284&gt;=c_TMAP1IN,c_TMAP2IN&gt;c_TMAP1IN),E284,D284))),C284)</f>
        <v>150</v>
      </c>
      <c r="J284" s="7" t="str">
        <f aca="false">IF(I284&lt;-1090,"TOO LOW",IF(I284&gt;1090,"TOO HIGH",""))</f>
        <v/>
      </c>
      <c r="K284" s="15" t="n">
        <f aca="false">IF(J284&lt;&gt;"",0,IF(I284&gt;979,1000,I284))</f>
        <v>150</v>
      </c>
      <c r="L284" s="7" t="n">
        <f aca="false">K284/10</f>
        <v>15</v>
      </c>
    </row>
    <row r="285" customFormat="false" ht="15" hidden="false" customHeight="false" outlineLevel="0" collapsed="false">
      <c r="A285" s="7" t="n">
        <v>280</v>
      </c>
      <c r="B285" s="7" t="n">
        <f aca="false">A285/10</f>
        <v>28</v>
      </c>
      <c r="C285" s="7" t="n">
        <f aca="false">IF(AND(A285=0,c_TCREEP&gt;0),10*c_TCREEP,IF(AND(A285&lt;=c_TRNGMIN,A285&gt;=c_TRNGMAX,c_TRNGMIN-c_TRNGMAX&lt;&gt;0),-10*c_TMINRN+QUOTIENT((c_TMAXRN-c_TMINRN)*(100-QUOTIENT((A285-c_TRNGMAX)*100,c_TRNGMIN-c_TRNGMAX)),-10),0))</f>
        <v>0</v>
      </c>
      <c r="D285" s="7" t="n">
        <f aca="false">IF(((c_TMAP1IN)-(c_TFWD))=0,(0)+QUOTIENT(((c_TMAP1OUT)-(0)),2),QUOTIENT((((A285)-(c_TFWD))*((c_TMAP1OUT)-(0))+IF(((c_TMAP1OUT)-(0))&gt;=0,1,-1)*QUOTIENT(((c_TMAP1IN)-(c_TFWD)),2)),((c_TMAP1IN)-(c_TFWD)))+(0)+IF(((c_TMAP1OUT)-(0))&gt;=0,IF(IF(o_WRAP=1,MOD(((c_TMAP1IN)-(c_TFWD))*(((A285)-(c_TFWD))*((c_TMAP1OUT)-(0))+IF(((c_TMAP1OUT)-(0))&gt;=0,1,-1)*QUOTIENT(((c_TMAP1IN)-(c_TFWD)),2))+2147483648,4294967296)-2147483648,((c_TMAP1IN)-(c_TFWD))*(((A285)-(c_TFWD))*((c_TMAP1OUT)-(0))+IF(((c_TMAP1OUT)-(0))&gt;=0,1,-1)*QUOTIENT(((c_TMAP1IN)-(c_TFWD)),2)))&lt;0,-1,0),IF(IF(o_WRAP=1,MOD(((c_TMAP1IN)-(c_TFWD))*(((A285)-(c_TFWD))*((c_TMAP1OUT)-(0))+IF(((c_TMAP1OUT)-(0))&gt;=0,1,-1)*QUOTIENT(((c_TMAP1IN)-(c_TFWD)),2))+2147483648,4294967296)-2147483648,((c_TMAP1IN)-(c_TFWD))*(((A285)-(c_TFWD))*((c_TMAP1OUT)-(0))+IF(((c_TMAP1OUT)-(0))&gt;=0,1,-1)*QUOTIENT(((c_TMAP1IN)-(c_TFWD)),2)))&gt;=0,1,0)))</f>
        <v>210</v>
      </c>
      <c r="E285" s="7" t="n">
        <f aca="false">IF(((c_TMAP2IN)-(c_TMAP1IN))=0,(c_TMAP1OUT)+QUOTIENT(((c_TMAP2OUT)-(c_TMAP1OUT)),2),QUOTIENT((((A285)-(c_TMAP1IN))*((c_TMAP2OUT)-(c_TMAP1OUT))+IF(((c_TMAP2OUT)-(c_TMAP1OUT))&gt;=0,1,-1)*QUOTIENT(((c_TMAP2IN)-(c_TMAP1IN)),2)),((c_TMAP2IN)-(c_TMAP1IN)))+(c_TMAP1OUT)+IF(((c_TMAP2OUT)-(c_TMAP1OUT))&gt;=0,IF(IF(o_WRAP=1,MOD(((c_TMAP2IN)-(c_TMAP1IN))*(((A285)-(c_TMAP1IN))*((c_TMAP2OUT)-(c_TMAP1OUT))+IF(((c_TMAP2OUT)-(c_TMAP1OUT))&gt;=0,1,-1)*QUOTIENT(((c_TMAP2IN)-(c_TMAP1IN)),2))+2147483648,4294967296)-2147483648,((c_TMAP2IN)-(c_TMAP1IN))*(((A285)-(c_TMAP1IN))*((c_TMAP2OUT)-(c_TMAP1OUT))+IF(((c_TMAP2OUT)-(c_TMAP1OUT))&gt;=0,1,-1)*QUOTIENT(((c_TMAP2IN)-(c_TMAP1IN)),2)))&lt;0,-1,0),IF(IF(o_WRAP=1,MOD(((c_TMAP2IN)-(c_TMAP1IN))*(((A285)-(c_TMAP1IN))*((c_TMAP2OUT)-(c_TMAP1OUT))+IF(((c_TMAP2OUT)-(c_TMAP1OUT))&gt;=0,1,-1)*QUOTIENT(((c_TMAP2IN)-(c_TMAP1IN)),2))+2147483648,4294967296)-2147483648,((c_TMAP2IN)-(c_TMAP1IN))*(((A285)-(c_TMAP1IN))*((c_TMAP2OUT)-(c_TMAP1OUT))+IF(((c_TMAP2OUT)-(c_TMAP1OUT))&gt;=0,1,-1)*QUOTIENT(((c_TMAP2IN)-(c_TMAP1IN)),2)))&gt;=0,1,0)))</f>
        <v>142</v>
      </c>
      <c r="F285" s="7" t="n">
        <f aca="false">IF(((c_TMAP3IN)-(c_TMAP2IN))=0,(c_TMAP2OUT)+QUOTIENT(((c_TMAP3OUT)-(c_TMAP2OUT)),2),QUOTIENT((((A285)-(c_TMAP2IN))*((c_TMAP3OUT)-(c_TMAP2OUT))+IF(((c_TMAP3OUT)-(c_TMAP2OUT))&gt;=0,1,-1)*QUOTIENT(((c_TMAP3IN)-(c_TMAP2IN)),2)),((c_TMAP3IN)-(c_TMAP2IN)))+(c_TMAP2OUT)+IF(((c_TMAP3OUT)-(c_TMAP2OUT))&gt;=0,IF(IF(o_WRAP=1,MOD(((c_TMAP3IN)-(c_TMAP2IN))*(((A285)-(c_TMAP2IN))*((c_TMAP3OUT)-(c_TMAP2OUT))+IF(((c_TMAP3OUT)-(c_TMAP2OUT))&gt;=0,1,-1)*QUOTIENT(((c_TMAP3IN)-(c_TMAP2IN)),2))+2147483648,4294967296)-2147483648,((c_TMAP3IN)-(c_TMAP2IN))*(((A285)-(c_TMAP2IN))*((c_TMAP3OUT)-(c_TMAP2OUT))+IF(((c_TMAP3OUT)-(c_TMAP2OUT))&gt;=0,1,-1)*QUOTIENT(((c_TMAP3IN)-(c_TMAP2IN)),2)))&lt;0,-1,0),IF(IF(o_WRAP=1,MOD(((c_TMAP3IN)-(c_TMAP2IN))*(((A285)-(c_TMAP2IN))*((c_TMAP3OUT)-(c_TMAP2OUT))+IF(((c_TMAP3OUT)-(c_TMAP2OUT))&gt;=0,1,-1)*QUOTIENT(((c_TMAP3IN)-(c_TMAP2IN)),2))+2147483648,4294967296)-2147483648,((c_TMAP3IN)-(c_TMAP2IN))*(((A285)-(c_TMAP2IN))*((c_TMAP3OUT)-(c_TMAP2OUT))+IF(((c_TMAP3OUT)-(c_TMAP2OUT))&gt;=0,1,-1)*QUOTIENT(((c_TMAP3IN)-(c_TMAP2IN)),2)))&gt;=0,1,0)))</f>
        <v>151</v>
      </c>
      <c r="G285" s="7" t="n">
        <f aca="false">IF(((1000)-(c_TMAP3IN))=0,(c_TMAP3OUT)+QUOTIENT(((1000)-(c_TMAP3OUT)),2),QUOTIENT((((A285)-(c_TMAP3IN))*((1000)-(c_TMAP3OUT))+IF(((1000)-(c_TMAP3OUT))&gt;=0,1,-1)*QUOTIENT(((1000)-(c_TMAP3IN)),2)),((1000)-(c_TMAP3IN)))+(c_TMAP3OUT)+IF(((1000)-(c_TMAP3OUT))&gt;=0,IF(IF(o_WRAP=1,MOD(((1000)-(c_TMAP3IN))*(((A285)-(c_TMAP3IN))*((1000)-(c_TMAP3OUT))+IF(((1000)-(c_TMAP3OUT))&gt;=0,1,-1)*QUOTIENT(((1000)-(c_TMAP3IN)),2))+2147483648,4294967296)-2147483648,((1000)-(c_TMAP3IN))*(((A285)-(c_TMAP3IN))*((1000)-(c_TMAP3OUT))+IF(((1000)-(c_TMAP3OUT))&gt;=0,1,-1)*QUOTIENT(((1000)-(c_TMAP3IN)),2)))&lt;0,-1,0),IF(IF(o_WRAP=1,MOD(((1000)-(c_TMAP3IN))*(((A285)-(c_TMAP3IN))*((1000)-(c_TMAP3OUT))+IF(((1000)-(c_TMAP3OUT))&gt;=0,1,-1)*QUOTIENT(((1000)-(c_TMAP3IN)),2))+2147483648,4294967296)-2147483648,((1000)-(c_TMAP3IN))*(((A285)-(c_TMAP3IN))*((1000)-(c_TMAP3OUT))+IF(((1000)-(c_TMAP3OUT))&gt;=0,1,-1)*QUOTIENT(((1000)-(c_TMAP3IN)),2)))&gt;=0,1,0)))</f>
        <v>114</v>
      </c>
      <c r="H285" s="7" t="str">
        <f aca="false">IF(A285&gt;=c_TFWD,IF(AND(A285&gt;=c_TMAP3IN,c_TMAP3IN&lt;1000),"Seg4 map3-100%",IF(AND(A285&gt;=c_TMAP2IN,c_TMAP3IN&gt;c_TMAP2IN),"Seg3 map2-map3",IF(AND(A285&gt;=c_TMAP1IN,c_TMAP2IN&gt;c_TMAP1IN),"Seg2 map1-map2","Seg1 TFWD-map1"))),IF(AND(A285=0,c_TCREEP&gt;0),"Creep",IF(AND(A285&lt;=c_TRNGMIN,A285&gt;=c_TRNGMAX,c_TRNGMIN-c_TRNGMAX&lt;&gt;0),"Regen ramp","Coast (0)")))</f>
        <v>Seg3 map2-map3</v>
      </c>
      <c r="I285" s="7" t="n">
        <f aca="false">IF(A285&gt;=c_TFWD,IF(AND(A285&gt;=c_TMAP3IN,c_TMAP3IN&lt;1000),G285,IF(AND(A285&gt;=c_TMAP2IN,c_TMAP3IN&gt;c_TMAP2IN),F285,IF(AND(A285&gt;=c_TMAP1IN,c_TMAP2IN&gt;c_TMAP1IN),E285,D285))),C285)</f>
        <v>151</v>
      </c>
      <c r="J285" s="7" t="str">
        <f aca="false">IF(I285&lt;-1090,"TOO LOW",IF(I285&gt;1090,"TOO HIGH",""))</f>
        <v/>
      </c>
      <c r="K285" s="15" t="n">
        <f aca="false">IF(J285&lt;&gt;"",0,IF(I285&gt;979,1000,I285))</f>
        <v>151</v>
      </c>
      <c r="L285" s="7" t="n">
        <f aca="false">K285/10</f>
        <v>15.1</v>
      </c>
    </row>
    <row r="286" customFormat="false" ht="15" hidden="false" customHeight="false" outlineLevel="0" collapsed="false">
      <c r="A286" s="7" t="n">
        <v>281</v>
      </c>
      <c r="B286" s="7" t="n">
        <f aca="false">A286/10</f>
        <v>28.1</v>
      </c>
      <c r="C286" s="7" t="n">
        <f aca="false">IF(AND(A286=0,c_TCREEP&gt;0),10*c_TCREEP,IF(AND(A286&lt;=c_TRNGMIN,A286&gt;=c_TRNGMAX,c_TRNGMIN-c_TRNGMAX&lt;&gt;0),-10*c_TMINRN+QUOTIENT((c_TMAXRN-c_TMINRN)*(100-QUOTIENT((A286-c_TRNGMAX)*100,c_TRNGMIN-c_TRNGMAX)),-10),0))</f>
        <v>0</v>
      </c>
      <c r="D286" s="7" t="n">
        <f aca="false">IF(((c_TMAP1IN)-(c_TFWD))=0,(0)+QUOTIENT(((c_TMAP1OUT)-(0)),2),QUOTIENT((((A286)-(c_TFWD))*((c_TMAP1OUT)-(0))+IF(((c_TMAP1OUT)-(0))&gt;=0,1,-1)*QUOTIENT(((c_TMAP1IN)-(c_TFWD)),2)),((c_TMAP1IN)-(c_TFWD)))+(0)+IF(((c_TMAP1OUT)-(0))&gt;=0,IF(IF(o_WRAP=1,MOD(((c_TMAP1IN)-(c_TFWD))*(((A286)-(c_TFWD))*((c_TMAP1OUT)-(0))+IF(((c_TMAP1OUT)-(0))&gt;=0,1,-1)*QUOTIENT(((c_TMAP1IN)-(c_TFWD)),2))+2147483648,4294967296)-2147483648,((c_TMAP1IN)-(c_TFWD))*(((A286)-(c_TFWD))*((c_TMAP1OUT)-(0))+IF(((c_TMAP1OUT)-(0))&gt;=0,1,-1)*QUOTIENT(((c_TMAP1IN)-(c_TFWD)),2)))&lt;0,-1,0),IF(IF(o_WRAP=1,MOD(((c_TMAP1IN)-(c_TFWD))*(((A286)-(c_TFWD))*((c_TMAP1OUT)-(0))+IF(((c_TMAP1OUT)-(0))&gt;=0,1,-1)*QUOTIENT(((c_TMAP1IN)-(c_TFWD)),2))+2147483648,4294967296)-2147483648,((c_TMAP1IN)-(c_TFWD))*(((A286)-(c_TFWD))*((c_TMAP1OUT)-(0))+IF(((c_TMAP1OUT)-(0))&gt;=0,1,-1)*QUOTIENT(((c_TMAP1IN)-(c_TFWD)),2)))&gt;=0,1,0)))</f>
        <v>211</v>
      </c>
      <c r="E286" s="7" t="n">
        <f aca="false">IF(((c_TMAP2IN)-(c_TMAP1IN))=0,(c_TMAP1OUT)+QUOTIENT(((c_TMAP2OUT)-(c_TMAP1OUT)),2),QUOTIENT((((A286)-(c_TMAP1IN))*((c_TMAP2OUT)-(c_TMAP1OUT))+IF(((c_TMAP2OUT)-(c_TMAP1OUT))&gt;=0,1,-1)*QUOTIENT(((c_TMAP2IN)-(c_TMAP1IN)),2)),((c_TMAP2IN)-(c_TMAP1IN)))+(c_TMAP1OUT)+IF(((c_TMAP2OUT)-(c_TMAP1OUT))&gt;=0,IF(IF(o_WRAP=1,MOD(((c_TMAP2IN)-(c_TMAP1IN))*(((A286)-(c_TMAP1IN))*((c_TMAP2OUT)-(c_TMAP1OUT))+IF(((c_TMAP2OUT)-(c_TMAP1OUT))&gt;=0,1,-1)*QUOTIENT(((c_TMAP2IN)-(c_TMAP1IN)),2))+2147483648,4294967296)-2147483648,((c_TMAP2IN)-(c_TMAP1IN))*(((A286)-(c_TMAP1IN))*((c_TMAP2OUT)-(c_TMAP1OUT))+IF(((c_TMAP2OUT)-(c_TMAP1OUT))&gt;=0,1,-1)*QUOTIENT(((c_TMAP2IN)-(c_TMAP1IN)),2)))&lt;0,-1,0),IF(IF(o_WRAP=1,MOD(((c_TMAP2IN)-(c_TMAP1IN))*(((A286)-(c_TMAP1IN))*((c_TMAP2OUT)-(c_TMAP1OUT))+IF(((c_TMAP2OUT)-(c_TMAP1OUT))&gt;=0,1,-1)*QUOTIENT(((c_TMAP2IN)-(c_TMAP1IN)),2))+2147483648,4294967296)-2147483648,((c_TMAP2IN)-(c_TMAP1IN))*(((A286)-(c_TMAP1IN))*((c_TMAP2OUT)-(c_TMAP1OUT))+IF(((c_TMAP2OUT)-(c_TMAP1OUT))&gt;=0,1,-1)*QUOTIENT(((c_TMAP2IN)-(c_TMAP1IN)),2)))&gt;=0,1,0)))</f>
        <v>142</v>
      </c>
      <c r="F286" s="7" t="n">
        <f aca="false">IF(((c_TMAP3IN)-(c_TMAP2IN))=0,(c_TMAP2OUT)+QUOTIENT(((c_TMAP3OUT)-(c_TMAP2OUT)),2),QUOTIENT((((A286)-(c_TMAP2IN))*((c_TMAP3OUT)-(c_TMAP2OUT))+IF(((c_TMAP3OUT)-(c_TMAP2OUT))&gt;=0,1,-1)*QUOTIENT(((c_TMAP3IN)-(c_TMAP2IN)),2)),((c_TMAP3IN)-(c_TMAP2IN)))+(c_TMAP2OUT)+IF(((c_TMAP3OUT)-(c_TMAP2OUT))&gt;=0,IF(IF(o_WRAP=1,MOD(((c_TMAP3IN)-(c_TMAP2IN))*(((A286)-(c_TMAP2IN))*((c_TMAP3OUT)-(c_TMAP2OUT))+IF(((c_TMAP3OUT)-(c_TMAP2OUT))&gt;=0,1,-1)*QUOTIENT(((c_TMAP3IN)-(c_TMAP2IN)),2))+2147483648,4294967296)-2147483648,((c_TMAP3IN)-(c_TMAP2IN))*(((A286)-(c_TMAP2IN))*((c_TMAP3OUT)-(c_TMAP2OUT))+IF(((c_TMAP3OUT)-(c_TMAP2OUT))&gt;=0,1,-1)*QUOTIENT(((c_TMAP3IN)-(c_TMAP2IN)),2)))&lt;0,-1,0),IF(IF(o_WRAP=1,MOD(((c_TMAP3IN)-(c_TMAP2IN))*(((A286)-(c_TMAP2IN))*((c_TMAP3OUT)-(c_TMAP2OUT))+IF(((c_TMAP3OUT)-(c_TMAP2OUT))&gt;=0,1,-1)*QUOTIENT(((c_TMAP3IN)-(c_TMAP2IN)),2))+2147483648,4294967296)-2147483648,((c_TMAP3IN)-(c_TMAP2IN))*(((A286)-(c_TMAP2IN))*((c_TMAP3OUT)-(c_TMAP2OUT))+IF(((c_TMAP3OUT)-(c_TMAP2OUT))&gt;=0,1,-1)*QUOTIENT(((c_TMAP3IN)-(c_TMAP2IN)),2)))&gt;=0,1,0)))</f>
        <v>152</v>
      </c>
      <c r="G286" s="7" t="n">
        <f aca="false">IF(((1000)-(c_TMAP3IN))=0,(c_TMAP3OUT)+QUOTIENT(((1000)-(c_TMAP3OUT)),2),QUOTIENT((((A286)-(c_TMAP3IN))*((1000)-(c_TMAP3OUT))+IF(((1000)-(c_TMAP3OUT))&gt;=0,1,-1)*QUOTIENT(((1000)-(c_TMAP3IN)),2)),((1000)-(c_TMAP3IN)))+(c_TMAP3OUT)+IF(((1000)-(c_TMAP3OUT))&gt;=0,IF(IF(o_WRAP=1,MOD(((1000)-(c_TMAP3IN))*(((A286)-(c_TMAP3IN))*((1000)-(c_TMAP3OUT))+IF(((1000)-(c_TMAP3OUT))&gt;=0,1,-1)*QUOTIENT(((1000)-(c_TMAP3IN)),2))+2147483648,4294967296)-2147483648,((1000)-(c_TMAP3IN))*(((A286)-(c_TMAP3IN))*((1000)-(c_TMAP3OUT))+IF(((1000)-(c_TMAP3OUT))&gt;=0,1,-1)*QUOTIENT(((1000)-(c_TMAP3IN)),2)))&lt;0,-1,0),IF(IF(o_WRAP=1,MOD(((1000)-(c_TMAP3IN))*(((A286)-(c_TMAP3IN))*((1000)-(c_TMAP3OUT))+IF(((1000)-(c_TMAP3OUT))&gt;=0,1,-1)*QUOTIENT(((1000)-(c_TMAP3IN)),2))+2147483648,4294967296)-2147483648,((1000)-(c_TMAP3IN))*(((A286)-(c_TMAP3IN))*((1000)-(c_TMAP3OUT))+IF(((1000)-(c_TMAP3OUT))&gt;=0,1,-1)*QUOTIENT(((1000)-(c_TMAP3IN)),2)))&gt;=0,1,0)))</f>
        <v>115</v>
      </c>
      <c r="H286" s="7" t="str">
        <f aca="false">IF(A286&gt;=c_TFWD,IF(AND(A286&gt;=c_TMAP3IN,c_TMAP3IN&lt;1000),"Seg4 map3-100%",IF(AND(A286&gt;=c_TMAP2IN,c_TMAP3IN&gt;c_TMAP2IN),"Seg3 map2-map3",IF(AND(A286&gt;=c_TMAP1IN,c_TMAP2IN&gt;c_TMAP1IN),"Seg2 map1-map2","Seg1 TFWD-map1"))),IF(AND(A286=0,c_TCREEP&gt;0),"Creep",IF(AND(A286&lt;=c_TRNGMIN,A286&gt;=c_TRNGMAX,c_TRNGMIN-c_TRNGMAX&lt;&gt;0),"Regen ramp","Coast (0)")))</f>
        <v>Seg3 map2-map3</v>
      </c>
      <c r="I286" s="7" t="n">
        <f aca="false">IF(A286&gt;=c_TFWD,IF(AND(A286&gt;=c_TMAP3IN,c_TMAP3IN&lt;1000),G286,IF(AND(A286&gt;=c_TMAP2IN,c_TMAP3IN&gt;c_TMAP2IN),F286,IF(AND(A286&gt;=c_TMAP1IN,c_TMAP2IN&gt;c_TMAP1IN),E286,D286))),C286)</f>
        <v>152</v>
      </c>
      <c r="J286" s="7" t="str">
        <f aca="false">IF(I286&lt;-1090,"TOO LOW",IF(I286&gt;1090,"TOO HIGH",""))</f>
        <v/>
      </c>
      <c r="K286" s="15" t="n">
        <f aca="false">IF(J286&lt;&gt;"",0,IF(I286&gt;979,1000,I286))</f>
        <v>152</v>
      </c>
      <c r="L286" s="7" t="n">
        <f aca="false">K286/10</f>
        <v>15.2</v>
      </c>
    </row>
    <row r="287" customFormat="false" ht="15" hidden="false" customHeight="false" outlineLevel="0" collapsed="false">
      <c r="A287" s="7" t="n">
        <v>282</v>
      </c>
      <c r="B287" s="7" t="n">
        <f aca="false">A287/10</f>
        <v>28.2</v>
      </c>
      <c r="C287" s="7" t="n">
        <f aca="false">IF(AND(A287=0,c_TCREEP&gt;0),10*c_TCREEP,IF(AND(A287&lt;=c_TRNGMIN,A287&gt;=c_TRNGMAX,c_TRNGMIN-c_TRNGMAX&lt;&gt;0),-10*c_TMINRN+QUOTIENT((c_TMAXRN-c_TMINRN)*(100-QUOTIENT((A287-c_TRNGMAX)*100,c_TRNGMIN-c_TRNGMAX)),-10),0))</f>
        <v>0</v>
      </c>
      <c r="D287" s="7" t="n">
        <f aca="false">IF(((c_TMAP1IN)-(c_TFWD))=0,(0)+QUOTIENT(((c_TMAP1OUT)-(0)),2),QUOTIENT((((A287)-(c_TFWD))*((c_TMAP1OUT)-(0))+IF(((c_TMAP1OUT)-(0))&gt;=0,1,-1)*QUOTIENT(((c_TMAP1IN)-(c_TFWD)),2)),((c_TMAP1IN)-(c_TFWD)))+(0)+IF(((c_TMAP1OUT)-(0))&gt;=0,IF(IF(o_WRAP=1,MOD(((c_TMAP1IN)-(c_TFWD))*(((A287)-(c_TFWD))*((c_TMAP1OUT)-(0))+IF(((c_TMAP1OUT)-(0))&gt;=0,1,-1)*QUOTIENT(((c_TMAP1IN)-(c_TFWD)),2))+2147483648,4294967296)-2147483648,((c_TMAP1IN)-(c_TFWD))*(((A287)-(c_TFWD))*((c_TMAP1OUT)-(0))+IF(((c_TMAP1OUT)-(0))&gt;=0,1,-1)*QUOTIENT(((c_TMAP1IN)-(c_TFWD)),2)))&lt;0,-1,0),IF(IF(o_WRAP=1,MOD(((c_TMAP1IN)-(c_TFWD))*(((A287)-(c_TFWD))*((c_TMAP1OUT)-(0))+IF(((c_TMAP1OUT)-(0))&gt;=0,1,-1)*QUOTIENT(((c_TMAP1IN)-(c_TFWD)),2))+2147483648,4294967296)-2147483648,((c_TMAP1IN)-(c_TFWD))*(((A287)-(c_TFWD))*((c_TMAP1OUT)-(0))+IF(((c_TMAP1OUT)-(0))&gt;=0,1,-1)*QUOTIENT(((c_TMAP1IN)-(c_TFWD)),2)))&gt;=0,1,0)))</f>
        <v>212</v>
      </c>
      <c r="E287" s="7" t="n">
        <f aca="false">IF(((c_TMAP2IN)-(c_TMAP1IN))=0,(c_TMAP1OUT)+QUOTIENT(((c_TMAP2OUT)-(c_TMAP1OUT)),2),QUOTIENT((((A287)-(c_TMAP1IN))*((c_TMAP2OUT)-(c_TMAP1OUT))+IF(((c_TMAP2OUT)-(c_TMAP1OUT))&gt;=0,1,-1)*QUOTIENT(((c_TMAP2IN)-(c_TMAP1IN)),2)),((c_TMAP2IN)-(c_TMAP1IN)))+(c_TMAP1OUT)+IF(((c_TMAP2OUT)-(c_TMAP1OUT))&gt;=0,IF(IF(o_WRAP=1,MOD(((c_TMAP2IN)-(c_TMAP1IN))*(((A287)-(c_TMAP1IN))*((c_TMAP2OUT)-(c_TMAP1OUT))+IF(((c_TMAP2OUT)-(c_TMAP1OUT))&gt;=0,1,-1)*QUOTIENT(((c_TMAP2IN)-(c_TMAP1IN)),2))+2147483648,4294967296)-2147483648,((c_TMAP2IN)-(c_TMAP1IN))*(((A287)-(c_TMAP1IN))*((c_TMAP2OUT)-(c_TMAP1OUT))+IF(((c_TMAP2OUT)-(c_TMAP1OUT))&gt;=0,1,-1)*QUOTIENT(((c_TMAP2IN)-(c_TMAP1IN)),2)))&lt;0,-1,0),IF(IF(o_WRAP=1,MOD(((c_TMAP2IN)-(c_TMAP1IN))*(((A287)-(c_TMAP1IN))*((c_TMAP2OUT)-(c_TMAP1OUT))+IF(((c_TMAP2OUT)-(c_TMAP1OUT))&gt;=0,1,-1)*QUOTIENT(((c_TMAP2IN)-(c_TMAP1IN)),2))+2147483648,4294967296)-2147483648,((c_TMAP2IN)-(c_TMAP1IN))*(((A287)-(c_TMAP1IN))*((c_TMAP2OUT)-(c_TMAP1OUT))+IF(((c_TMAP2OUT)-(c_TMAP1OUT))&gt;=0,1,-1)*QUOTIENT(((c_TMAP2IN)-(c_TMAP1IN)),2)))&gt;=0,1,0)))</f>
        <v>143</v>
      </c>
      <c r="F287" s="7" t="n">
        <f aca="false">IF(((c_TMAP3IN)-(c_TMAP2IN))=0,(c_TMAP2OUT)+QUOTIENT(((c_TMAP3OUT)-(c_TMAP2OUT)),2),QUOTIENT((((A287)-(c_TMAP2IN))*((c_TMAP3OUT)-(c_TMAP2OUT))+IF(((c_TMAP3OUT)-(c_TMAP2OUT))&gt;=0,1,-1)*QUOTIENT(((c_TMAP3IN)-(c_TMAP2IN)),2)),((c_TMAP3IN)-(c_TMAP2IN)))+(c_TMAP2OUT)+IF(((c_TMAP3OUT)-(c_TMAP2OUT))&gt;=0,IF(IF(o_WRAP=1,MOD(((c_TMAP3IN)-(c_TMAP2IN))*(((A287)-(c_TMAP2IN))*((c_TMAP3OUT)-(c_TMAP2OUT))+IF(((c_TMAP3OUT)-(c_TMAP2OUT))&gt;=0,1,-1)*QUOTIENT(((c_TMAP3IN)-(c_TMAP2IN)),2))+2147483648,4294967296)-2147483648,((c_TMAP3IN)-(c_TMAP2IN))*(((A287)-(c_TMAP2IN))*((c_TMAP3OUT)-(c_TMAP2OUT))+IF(((c_TMAP3OUT)-(c_TMAP2OUT))&gt;=0,1,-1)*QUOTIENT(((c_TMAP3IN)-(c_TMAP2IN)),2)))&lt;0,-1,0),IF(IF(o_WRAP=1,MOD(((c_TMAP3IN)-(c_TMAP2IN))*(((A287)-(c_TMAP2IN))*((c_TMAP3OUT)-(c_TMAP2OUT))+IF(((c_TMAP3OUT)-(c_TMAP2OUT))&gt;=0,1,-1)*QUOTIENT(((c_TMAP3IN)-(c_TMAP2IN)),2))+2147483648,4294967296)-2147483648,((c_TMAP3IN)-(c_TMAP2IN))*(((A287)-(c_TMAP2IN))*((c_TMAP3OUT)-(c_TMAP2OUT))+IF(((c_TMAP3OUT)-(c_TMAP2OUT))&gt;=0,1,-1)*QUOTIENT(((c_TMAP3IN)-(c_TMAP2IN)),2)))&gt;=0,1,0)))</f>
        <v>152</v>
      </c>
      <c r="G287" s="7" t="n">
        <f aca="false">IF(((1000)-(c_TMAP3IN))=0,(c_TMAP3OUT)+QUOTIENT(((1000)-(c_TMAP3OUT)),2),QUOTIENT((((A287)-(c_TMAP3IN))*((1000)-(c_TMAP3OUT))+IF(((1000)-(c_TMAP3OUT))&gt;=0,1,-1)*QUOTIENT(((1000)-(c_TMAP3IN)),2)),((1000)-(c_TMAP3IN)))+(c_TMAP3OUT)+IF(((1000)-(c_TMAP3OUT))&gt;=0,IF(IF(o_WRAP=1,MOD(((1000)-(c_TMAP3IN))*(((A287)-(c_TMAP3IN))*((1000)-(c_TMAP3OUT))+IF(((1000)-(c_TMAP3OUT))&gt;=0,1,-1)*QUOTIENT(((1000)-(c_TMAP3IN)),2))+2147483648,4294967296)-2147483648,((1000)-(c_TMAP3IN))*(((A287)-(c_TMAP3IN))*((1000)-(c_TMAP3OUT))+IF(((1000)-(c_TMAP3OUT))&gt;=0,1,-1)*QUOTIENT(((1000)-(c_TMAP3IN)),2)))&lt;0,-1,0),IF(IF(o_WRAP=1,MOD(((1000)-(c_TMAP3IN))*(((A287)-(c_TMAP3IN))*((1000)-(c_TMAP3OUT))+IF(((1000)-(c_TMAP3OUT))&gt;=0,1,-1)*QUOTIENT(((1000)-(c_TMAP3IN)),2))+2147483648,4294967296)-2147483648,((1000)-(c_TMAP3IN))*(((A287)-(c_TMAP3IN))*((1000)-(c_TMAP3OUT))+IF(((1000)-(c_TMAP3OUT))&gt;=0,1,-1)*QUOTIENT(((1000)-(c_TMAP3IN)),2)))&gt;=0,1,0)))</f>
        <v>116</v>
      </c>
      <c r="H287" s="7" t="str">
        <f aca="false">IF(A287&gt;=c_TFWD,IF(AND(A287&gt;=c_TMAP3IN,c_TMAP3IN&lt;1000),"Seg4 map3-100%",IF(AND(A287&gt;=c_TMAP2IN,c_TMAP3IN&gt;c_TMAP2IN),"Seg3 map2-map3",IF(AND(A287&gt;=c_TMAP1IN,c_TMAP2IN&gt;c_TMAP1IN),"Seg2 map1-map2","Seg1 TFWD-map1"))),IF(AND(A287=0,c_TCREEP&gt;0),"Creep",IF(AND(A287&lt;=c_TRNGMIN,A287&gt;=c_TRNGMAX,c_TRNGMIN-c_TRNGMAX&lt;&gt;0),"Regen ramp","Coast (0)")))</f>
        <v>Seg3 map2-map3</v>
      </c>
      <c r="I287" s="7" t="n">
        <f aca="false">IF(A287&gt;=c_TFWD,IF(AND(A287&gt;=c_TMAP3IN,c_TMAP3IN&lt;1000),G287,IF(AND(A287&gt;=c_TMAP2IN,c_TMAP3IN&gt;c_TMAP2IN),F287,IF(AND(A287&gt;=c_TMAP1IN,c_TMAP2IN&gt;c_TMAP1IN),E287,D287))),C287)</f>
        <v>152</v>
      </c>
      <c r="J287" s="7" t="str">
        <f aca="false">IF(I287&lt;-1090,"TOO LOW",IF(I287&gt;1090,"TOO HIGH",""))</f>
        <v/>
      </c>
      <c r="K287" s="15" t="n">
        <f aca="false">IF(J287&lt;&gt;"",0,IF(I287&gt;979,1000,I287))</f>
        <v>152</v>
      </c>
      <c r="L287" s="7" t="n">
        <f aca="false">K287/10</f>
        <v>15.2</v>
      </c>
    </row>
    <row r="288" customFormat="false" ht="15" hidden="false" customHeight="false" outlineLevel="0" collapsed="false">
      <c r="A288" s="7" t="n">
        <v>283</v>
      </c>
      <c r="B288" s="7" t="n">
        <f aca="false">A288/10</f>
        <v>28.3</v>
      </c>
      <c r="C288" s="7" t="n">
        <f aca="false">IF(AND(A288=0,c_TCREEP&gt;0),10*c_TCREEP,IF(AND(A288&lt;=c_TRNGMIN,A288&gt;=c_TRNGMAX,c_TRNGMIN-c_TRNGMAX&lt;&gt;0),-10*c_TMINRN+QUOTIENT((c_TMAXRN-c_TMINRN)*(100-QUOTIENT((A288-c_TRNGMAX)*100,c_TRNGMIN-c_TRNGMAX)),-10),0))</f>
        <v>0</v>
      </c>
      <c r="D288" s="7" t="n">
        <f aca="false">IF(((c_TMAP1IN)-(c_TFWD))=0,(0)+QUOTIENT(((c_TMAP1OUT)-(0)),2),QUOTIENT((((A288)-(c_TFWD))*((c_TMAP1OUT)-(0))+IF(((c_TMAP1OUT)-(0))&gt;=0,1,-1)*QUOTIENT(((c_TMAP1IN)-(c_TFWD)),2)),((c_TMAP1IN)-(c_TFWD)))+(0)+IF(((c_TMAP1OUT)-(0))&gt;=0,IF(IF(o_WRAP=1,MOD(((c_TMAP1IN)-(c_TFWD))*(((A288)-(c_TFWD))*((c_TMAP1OUT)-(0))+IF(((c_TMAP1OUT)-(0))&gt;=0,1,-1)*QUOTIENT(((c_TMAP1IN)-(c_TFWD)),2))+2147483648,4294967296)-2147483648,((c_TMAP1IN)-(c_TFWD))*(((A288)-(c_TFWD))*((c_TMAP1OUT)-(0))+IF(((c_TMAP1OUT)-(0))&gt;=0,1,-1)*QUOTIENT(((c_TMAP1IN)-(c_TFWD)),2)))&lt;0,-1,0),IF(IF(o_WRAP=1,MOD(((c_TMAP1IN)-(c_TFWD))*(((A288)-(c_TFWD))*((c_TMAP1OUT)-(0))+IF(((c_TMAP1OUT)-(0))&gt;=0,1,-1)*QUOTIENT(((c_TMAP1IN)-(c_TFWD)),2))+2147483648,4294967296)-2147483648,((c_TMAP1IN)-(c_TFWD))*(((A288)-(c_TFWD))*((c_TMAP1OUT)-(0))+IF(((c_TMAP1OUT)-(0))&gt;=0,1,-1)*QUOTIENT(((c_TMAP1IN)-(c_TFWD)),2)))&gt;=0,1,0)))</f>
        <v>212</v>
      </c>
      <c r="E288" s="7" t="n">
        <f aca="false">IF(((c_TMAP2IN)-(c_TMAP1IN))=0,(c_TMAP1OUT)+QUOTIENT(((c_TMAP2OUT)-(c_TMAP1OUT)),2),QUOTIENT((((A288)-(c_TMAP1IN))*((c_TMAP2OUT)-(c_TMAP1OUT))+IF(((c_TMAP2OUT)-(c_TMAP1OUT))&gt;=0,1,-1)*QUOTIENT(((c_TMAP2IN)-(c_TMAP1IN)),2)),((c_TMAP2IN)-(c_TMAP1IN)))+(c_TMAP1OUT)+IF(((c_TMAP2OUT)-(c_TMAP1OUT))&gt;=0,IF(IF(o_WRAP=1,MOD(((c_TMAP2IN)-(c_TMAP1IN))*(((A288)-(c_TMAP1IN))*((c_TMAP2OUT)-(c_TMAP1OUT))+IF(((c_TMAP2OUT)-(c_TMAP1OUT))&gt;=0,1,-1)*QUOTIENT(((c_TMAP2IN)-(c_TMAP1IN)),2))+2147483648,4294967296)-2147483648,((c_TMAP2IN)-(c_TMAP1IN))*(((A288)-(c_TMAP1IN))*((c_TMAP2OUT)-(c_TMAP1OUT))+IF(((c_TMAP2OUT)-(c_TMAP1OUT))&gt;=0,1,-1)*QUOTIENT(((c_TMAP2IN)-(c_TMAP1IN)),2)))&lt;0,-1,0),IF(IF(o_WRAP=1,MOD(((c_TMAP2IN)-(c_TMAP1IN))*(((A288)-(c_TMAP1IN))*((c_TMAP2OUT)-(c_TMAP1OUT))+IF(((c_TMAP2OUT)-(c_TMAP1OUT))&gt;=0,1,-1)*QUOTIENT(((c_TMAP2IN)-(c_TMAP1IN)),2))+2147483648,4294967296)-2147483648,((c_TMAP2IN)-(c_TMAP1IN))*(((A288)-(c_TMAP1IN))*((c_TMAP2OUT)-(c_TMAP1OUT))+IF(((c_TMAP2OUT)-(c_TMAP1OUT))&gt;=0,1,-1)*QUOTIENT(((c_TMAP2IN)-(c_TMAP1IN)),2)))&gt;=0,1,0)))</f>
        <v>143</v>
      </c>
      <c r="F288" s="7" t="n">
        <f aca="false">IF(((c_TMAP3IN)-(c_TMAP2IN))=0,(c_TMAP2OUT)+QUOTIENT(((c_TMAP3OUT)-(c_TMAP2OUT)),2),QUOTIENT((((A288)-(c_TMAP2IN))*((c_TMAP3OUT)-(c_TMAP2OUT))+IF(((c_TMAP3OUT)-(c_TMAP2OUT))&gt;=0,1,-1)*QUOTIENT(((c_TMAP3IN)-(c_TMAP2IN)),2)),((c_TMAP3IN)-(c_TMAP2IN)))+(c_TMAP2OUT)+IF(((c_TMAP3OUT)-(c_TMAP2OUT))&gt;=0,IF(IF(o_WRAP=1,MOD(((c_TMAP3IN)-(c_TMAP2IN))*(((A288)-(c_TMAP2IN))*((c_TMAP3OUT)-(c_TMAP2OUT))+IF(((c_TMAP3OUT)-(c_TMAP2OUT))&gt;=0,1,-1)*QUOTIENT(((c_TMAP3IN)-(c_TMAP2IN)),2))+2147483648,4294967296)-2147483648,((c_TMAP3IN)-(c_TMAP2IN))*(((A288)-(c_TMAP2IN))*((c_TMAP3OUT)-(c_TMAP2OUT))+IF(((c_TMAP3OUT)-(c_TMAP2OUT))&gt;=0,1,-1)*QUOTIENT(((c_TMAP3IN)-(c_TMAP2IN)),2)))&lt;0,-1,0),IF(IF(o_WRAP=1,MOD(((c_TMAP3IN)-(c_TMAP2IN))*(((A288)-(c_TMAP2IN))*((c_TMAP3OUT)-(c_TMAP2OUT))+IF(((c_TMAP3OUT)-(c_TMAP2OUT))&gt;=0,1,-1)*QUOTIENT(((c_TMAP3IN)-(c_TMAP2IN)),2))+2147483648,4294967296)-2147483648,((c_TMAP3IN)-(c_TMAP2IN))*(((A288)-(c_TMAP2IN))*((c_TMAP3OUT)-(c_TMAP2OUT))+IF(((c_TMAP3OUT)-(c_TMAP2OUT))&gt;=0,1,-1)*QUOTIENT(((c_TMAP3IN)-(c_TMAP2IN)),2)))&gt;=0,1,0)))</f>
        <v>153</v>
      </c>
      <c r="G288" s="7" t="n">
        <f aca="false">IF(((1000)-(c_TMAP3IN))=0,(c_TMAP3OUT)+QUOTIENT(((1000)-(c_TMAP3OUT)),2),QUOTIENT((((A288)-(c_TMAP3IN))*((1000)-(c_TMAP3OUT))+IF(((1000)-(c_TMAP3OUT))&gt;=0,1,-1)*QUOTIENT(((1000)-(c_TMAP3IN)),2)),((1000)-(c_TMAP3IN)))+(c_TMAP3OUT)+IF(((1000)-(c_TMAP3OUT))&gt;=0,IF(IF(o_WRAP=1,MOD(((1000)-(c_TMAP3IN))*(((A288)-(c_TMAP3IN))*((1000)-(c_TMAP3OUT))+IF(((1000)-(c_TMAP3OUT))&gt;=0,1,-1)*QUOTIENT(((1000)-(c_TMAP3IN)),2))+2147483648,4294967296)-2147483648,((1000)-(c_TMAP3IN))*(((A288)-(c_TMAP3IN))*((1000)-(c_TMAP3OUT))+IF(((1000)-(c_TMAP3OUT))&gt;=0,1,-1)*QUOTIENT(((1000)-(c_TMAP3IN)),2)))&lt;0,-1,0),IF(IF(o_WRAP=1,MOD(((1000)-(c_TMAP3IN))*(((A288)-(c_TMAP3IN))*((1000)-(c_TMAP3OUT))+IF(((1000)-(c_TMAP3OUT))&gt;=0,1,-1)*QUOTIENT(((1000)-(c_TMAP3IN)),2))+2147483648,4294967296)-2147483648,((1000)-(c_TMAP3IN))*(((A288)-(c_TMAP3IN))*((1000)-(c_TMAP3OUT))+IF(((1000)-(c_TMAP3OUT))&gt;=0,1,-1)*QUOTIENT(((1000)-(c_TMAP3IN)),2)))&gt;=0,1,0)))</f>
        <v>118</v>
      </c>
      <c r="H288" s="7" t="str">
        <f aca="false">IF(A288&gt;=c_TFWD,IF(AND(A288&gt;=c_TMAP3IN,c_TMAP3IN&lt;1000),"Seg4 map3-100%",IF(AND(A288&gt;=c_TMAP2IN,c_TMAP3IN&gt;c_TMAP2IN),"Seg3 map2-map3",IF(AND(A288&gt;=c_TMAP1IN,c_TMAP2IN&gt;c_TMAP1IN),"Seg2 map1-map2","Seg1 TFWD-map1"))),IF(AND(A288=0,c_TCREEP&gt;0),"Creep",IF(AND(A288&lt;=c_TRNGMIN,A288&gt;=c_TRNGMAX,c_TRNGMIN-c_TRNGMAX&lt;&gt;0),"Regen ramp","Coast (0)")))</f>
        <v>Seg3 map2-map3</v>
      </c>
      <c r="I288" s="7" t="n">
        <f aca="false">IF(A288&gt;=c_TFWD,IF(AND(A288&gt;=c_TMAP3IN,c_TMAP3IN&lt;1000),G288,IF(AND(A288&gt;=c_TMAP2IN,c_TMAP3IN&gt;c_TMAP2IN),F288,IF(AND(A288&gt;=c_TMAP1IN,c_TMAP2IN&gt;c_TMAP1IN),E288,D288))),C288)</f>
        <v>153</v>
      </c>
      <c r="J288" s="7" t="str">
        <f aca="false">IF(I288&lt;-1090,"TOO LOW",IF(I288&gt;1090,"TOO HIGH",""))</f>
        <v/>
      </c>
      <c r="K288" s="15" t="n">
        <f aca="false">IF(J288&lt;&gt;"",0,IF(I288&gt;979,1000,I288))</f>
        <v>153</v>
      </c>
      <c r="L288" s="7" t="n">
        <f aca="false">K288/10</f>
        <v>15.3</v>
      </c>
    </row>
    <row r="289" customFormat="false" ht="15" hidden="false" customHeight="false" outlineLevel="0" collapsed="false">
      <c r="A289" s="7" t="n">
        <v>284</v>
      </c>
      <c r="B289" s="7" t="n">
        <f aca="false">A289/10</f>
        <v>28.4</v>
      </c>
      <c r="C289" s="7" t="n">
        <f aca="false">IF(AND(A289=0,c_TCREEP&gt;0),10*c_TCREEP,IF(AND(A289&lt;=c_TRNGMIN,A289&gt;=c_TRNGMAX,c_TRNGMIN-c_TRNGMAX&lt;&gt;0),-10*c_TMINRN+QUOTIENT((c_TMAXRN-c_TMINRN)*(100-QUOTIENT((A289-c_TRNGMAX)*100,c_TRNGMIN-c_TRNGMAX)),-10),0))</f>
        <v>0</v>
      </c>
      <c r="D289" s="7" t="n">
        <f aca="false">IF(((c_TMAP1IN)-(c_TFWD))=0,(0)+QUOTIENT(((c_TMAP1OUT)-(0)),2),QUOTIENT((((A289)-(c_TFWD))*((c_TMAP1OUT)-(0))+IF(((c_TMAP1OUT)-(0))&gt;=0,1,-1)*QUOTIENT(((c_TMAP1IN)-(c_TFWD)),2)),((c_TMAP1IN)-(c_TFWD)))+(0)+IF(((c_TMAP1OUT)-(0))&gt;=0,IF(IF(o_WRAP=1,MOD(((c_TMAP1IN)-(c_TFWD))*(((A289)-(c_TFWD))*((c_TMAP1OUT)-(0))+IF(((c_TMAP1OUT)-(0))&gt;=0,1,-1)*QUOTIENT(((c_TMAP1IN)-(c_TFWD)),2))+2147483648,4294967296)-2147483648,((c_TMAP1IN)-(c_TFWD))*(((A289)-(c_TFWD))*((c_TMAP1OUT)-(0))+IF(((c_TMAP1OUT)-(0))&gt;=0,1,-1)*QUOTIENT(((c_TMAP1IN)-(c_TFWD)),2)))&lt;0,-1,0),IF(IF(o_WRAP=1,MOD(((c_TMAP1IN)-(c_TFWD))*(((A289)-(c_TFWD))*((c_TMAP1OUT)-(0))+IF(((c_TMAP1OUT)-(0))&gt;=0,1,-1)*QUOTIENT(((c_TMAP1IN)-(c_TFWD)),2))+2147483648,4294967296)-2147483648,((c_TMAP1IN)-(c_TFWD))*(((A289)-(c_TFWD))*((c_TMAP1OUT)-(0))+IF(((c_TMAP1OUT)-(0))&gt;=0,1,-1)*QUOTIENT(((c_TMAP1IN)-(c_TFWD)),2)))&gt;=0,1,0)))</f>
        <v>213</v>
      </c>
      <c r="E289" s="7" t="n">
        <f aca="false">IF(((c_TMAP2IN)-(c_TMAP1IN))=0,(c_TMAP1OUT)+QUOTIENT(((c_TMAP2OUT)-(c_TMAP1OUT)),2),QUOTIENT((((A289)-(c_TMAP1IN))*((c_TMAP2OUT)-(c_TMAP1OUT))+IF(((c_TMAP2OUT)-(c_TMAP1OUT))&gt;=0,1,-1)*QUOTIENT(((c_TMAP2IN)-(c_TMAP1IN)),2)),((c_TMAP2IN)-(c_TMAP1IN)))+(c_TMAP1OUT)+IF(((c_TMAP2OUT)-(c_TMAP1OUT))&gt;=0,IF(IF(o_WRAP=1,MOD(((c_TMAP2IN)-(c_TMAP1IN))*(((A289)-(c_TMAP1IN))*((c_TMAP2OUT)-(c_TMAP1OUT))+IF(((c_TMAP2OUT)-(c_TMAP1OUT))&gt;=0,1,-1)*QUOTIENT(((c_TMAP2IN)-(c_TMAP1IN)),2))+2147483648,4294967296)-2147483648,((c_TMAP2IN)-(c_TMAP1IN))*(((A289)-(c_TMAP1IN))*((c_TMAP2OUT)-(c_TMAP1OUT))+IF(((c_TMAP2OUT)-(c_TMAP1OUT))&gt;=0,1,-1)*QUOTIENT(((c_TMAP2IN)-(c_TMAP1IN)),2)))&lt;0,-1,0),IF(IF(o_WRAP=1,MOD(((c_TMAP2IN)-(c_TMAP1IN))*(((A289)-(c_TMAP1IN))*((c_TMAP2OUT)-(c_TMAP1OUT))+IF(((c_TMAP2OUT)-(c_TMAP1OUT))&gt;=0,1,-1)*QUOTIENT(((c_TMAP2IN)-(c_TMAP1IN)),2))+2147483648,4294967296)-2147483648,((c_TMAP2IN)-(c_TMAP1IN))*(((A289)-(c_TMAP1IN))*((c_TMAP2OUT)-(c_TMAP1OUT))+IF(((c_TMAP2OUT)-(c_TMAP1OUT))&gt;=0,1,-1)*QUOTIENT(((c_TMAP2IN)-(c_TMAP1IN)),2)))&gt;=0,1,0)))</f>
        <v>144</v>
      </c>
      <c r="F289" s="7" t="n">
        <f aca="false">IF(((c_TMAP3IN)-(c_TMAP2IN))=0,(c_TMAP2OUT)+QUOTIENT(((c_TMAP3OUT)-(c_TMAP2OUT)),2),QUOTIENT((((A289)-(c_TMAP2IN))*((c_TMAP3OUT)-(c_TMAP2OUT))+IF(((c_TMAP3OUT)-(c_TMAP2OUT))&gt;=0,1,-1)*QUOTIENT(((c_TMAP3IN)-(c_TMAP2IN)),2)),((c_TMAP3IN)-(c_TMAP2IN)))+(c_TMAP2OUT)+IF(((c_TMAP3OUT)-(c_TMAP2OUT))&gt;=0,IF(IF(o_WRAP=1,MOD(((c_TMAP3IN)-(c_TMAP2IN))*(((A289)-(c_TMAP2IN))*((c_TMAP3OUT)-(c_TMAP2OUT))+IF(((c_TMAP3OUT)-(c_TMAP2OUT))&gt;=0,1,-1)*QUOTIENT(((c_TMAP3IN)-(c_TMAP2IN)),2))+2147483648,4294967296)-2147483648,((c_TMAP3IN)-(c_TMAP2IN))*(((A289)-(c_TMAP2IN))*((c_TMAP3OUT)-(c_TMAP2OUT))+IF(((c_TMAP3OUT)-(c_TMAP2OUT))&gt;=0,1,-1)*QUOTIENT(((c_TMAP3IN)-(c_TMAP2IN)),2)))&lt;0,-1,0),IF(IF(o_WRAP=1,MOD(((c_TMAP3IN)-(c_TMAP2IN))*(((A289)-(c_TMAP2IN))*((c_TMAP3OUT)-(c_TMAP2OUT))+IF(((c_TMAP3OUT)-(c_TMAP2OUT))&gt;=0,1,-1)*QUOTIENT(((c_TMAP3IN)-(c_TMAP2IN)),2))+2147483648,4294967296)-2147483648,((c_TMAP3IN)-(c_TMAP2IN))*(((A289)-(c_TMAP2IN))*((c_TMAP3OUT)-(c_TMAP2OUT))+IF(((c_TMAP3OUT)-(c_TMAP2OUT))&gt;=0,1,-1)*QUOTIENT(((c_TMAP3IN)-(c_TMAP2IN)),2)))&gt;=0,1,0)))</f>
        <v>154</v>
      </c>
      <c r="G289" s="7" t="n">
        <f aca="false">IF(((1000)-(c_TMAP3IN))=0,(c_TMAP3OUT)+QUOTIENT(((1000)-(c_TMAP3OUT)),2),QUOTIENT((((A289)-(c_TMAP3IN))*((1000)-(c_TMAP3OUT))+IF(((1000)-(c_TMAP3OUT))&gt;=0,1,-1)*QUOTIENT(((1000)-(c_TMAP3IN)),2)),((1000)-(c_TMAP3IN)))+(c_TMAP3OUT)+IF(((1000)-(c_TMAP3OUT))&gt;=0,IF(IF(o_WRAP=1,MOD(((1000)-(c_TMAP3IN))*(((A289)-(c_TMAP3IN))*((1000)-(c_TMAP3OUT))+IF(((1000)-(c_TMAP3OUT))&gt;=0,1,-1)*QUOTIENT(((1000)-(c_TMAP3IN)),2))+2147483648,4294967296)-2147483648,((1000)-(c_TMAP3IN))*(((A289)-(c_TMAP3IN))*((1000)-(c_TMAP3OUT))+IF(((1000)-(c_TMAP3OUT))&gt;=0,1,-1)*QUOTIENT(((1000)-(c_TMAP3IN)),2)))&lt;0,-1,0),IF(IF(o_WRAP=1,MOD(((1000)-(c_TMAP3IN))*(((A289)-(c_TMAP3IN))*((1000)-(c_TMAP3OUT))+IF(((1000)-(c_TMAP3OUT))&gt;=0,1,-1)*QUOTIENT(((1000)-(c_TMAP3IN)),2))+2147483648,4294967296)-2147483648,((1000)-(c_TMAP3IN))*(((A289)-(c_TMAP3IN))*((1000)-(c_TMAP3OUT))+IF(((1000)-(c_TMAP3OUT))&gt;=0,1,-1)*QUOTIENT(((1000)-(c_TMAP3IN)),2)))&gt;=0,1,0)))</f>
        <v>119</v>
      </c>
      <c r="H289" s="7" t="str">
        <f aca="false">IF(A289&gt;=c_TFWD,IF(AND(A289&gt;=c_TMAP3IN,c_TMAP3IN&lt;1000),"Seg4 map3-100%",IF(AND(A289&gt;=c_TMAP2IN,c_TMAP3IN&gt;c_TMAP2IN),"Seg3 map2-map3",IF(AND(A289&gt;=c_TMAP1IN,c_TMAP2IN&gt;c_TMAP1IN),"Seg2 map1-map2","Seg1 TFWD-map1"))),IF(AND(A289=0,c_TCREEP&gt;0),"Creep",IF(AND(A289&lt;=c_TRNGMIN,A289&gt;=c_TRNGMAX,c_TRNGMIN-c_TRNGMAX&lt;&gt;0),"Regen ramp","Coast (0)")))</f>
        <v>Seg3 map2-map3</v>
      </c>
      <c r="I289" s="7" t="n">
        <f aca="false">IF(A289&gt;=c_TFWD,IF(AND(A289&gt;=c_TMAP3IN,c_TMAP3IN&lt;1000),G289,IF(AND(A289&gt;=c_TMAP2IN,c_TMAP3IN&gt;c_TMAP2IN),F289,IF(AND(A289&gt;=c_TMAP1IN,c_TMAP2IN&gt;c_TMAP1IN),E289,D289))),C289)</f>
        <v>154</v>
      </c>
      <c r="J289" s="7" t="str">
        <f aca="false">IF(I289&lt;-1090,"TOO LOW",IF(I289&gt;1090,"TOO HIGH",""))</f>
        <v/>
      </c>
      <c r="K289" s="15" t="n">
        <f aca="false">IF(J289&lt;&gt;"",0,IF(I289&gt;979,1000,I289))</f>
        <v>154</v>
      </c>
      <c r="L289" s="7" t="n">
        <f aca="false">K289/10</f>
        <v>15.4</v>
      </c>
    </row>
    <row r="290" customFormat="false" ht="15" hidden="false" customHeight="false" outlineLevel="0" collapsed="false">
      <c r="A290" s="7" t="n">
        <v>285</v>
      </c>
      <c r="B290" s="7" t="n">
        <f aca="false">A290/10</f>
        <v>28.5</v>
      </c>
      <c r="C290" s="7" t="n">
        <f aca="false">IF(AND(A290=0,c_TCREEP&gt;0),10*c_TCREEP,IF(AND(A290&lt;=c_TRNGMIN,A290&gt;=c_TRNGMAX,c_TRNGMIN-c_TRNGMAX&lt;&gt;0),-10*c_TMINRN+QUOTIENT((c_TMAXRN-c_TMINRN)*(100-QUOTIENT((A290-c_TRNGMAX)*100,c_TRNGMIN-c_TRNGMAX)),-10),0))</f>
        <v>0</v>
      </c>
      <c r="D290" s="7" t="n">
        <f aca="false">IF(((c_TMAP1IN)-(c_TFWD))=0,(0)+QUOTIENT(((c_TMAP1OUT)-(0)),2),QUOTIENT((((A290)-(c_TFWD))*((c_TMAP1OUT)-(0))+IF(((c_TMAP1OUT)-(0))&gt;=0,1,-1)*QUOTIENT(((c_TMAP1IN)-(c_TFWD)),2)),((c_TMAP1IN)-(c_TFWD)))+(0)+IF(((c_TMAP1OUT)-(0))&gt;=0,IF(IF(o_WRAP=1,MOD(((c_TMAP1IN)-(c_TFWD))*(((A290)-(c_TFWD))*((c_TMAP1OUT)-(0))+IF(((c_TMAP1OUT)-(0))&gt;=0,1,-1)*QUOTIENT(((c_TMAP1IN)-(c_TFWD)),2))+2147483648,4294967296)-2147483648,((c_TMAP1IN)-(c_TFWD))*(((A290)-(c_TFWD))*((c_TMAP1OUT)-(0))+IF(((c_TMAP1OUT)-(0))&gt;=0,1,-1)*QUOTIENT(((c_TMAP1IN)-(c_TFWD)),2)))&lt;0,-1,0),IF(IF(o_WRAP=1,MOD(((c_TMAP1IN)-(c_TFWD))*(((A290)-(c_TFWD))*((c_TMAP1OUT)-(0))+IF(((c_TMAP1OUT)-(0))&gt;=0,1,-1)*QUOTIENT(((c_TMAP1IN)-(c_TFWD)),2))+2147483648,4294967296)-2147483648,((c_TMAP1IN)-(c_TFWD))*(((A290)-(c_TFWD))*((c_TMAP1OUT)-(0))+IF(((c_TMAP1OUT)-(0))&gt;=0,1,-1)*QUOTIENT(((c_TMAP1IN)-(c_TFWD)),2)))&gt;=0,1,0)))</f>
        <v>214</v>
      </c>
      <c r="E290" s="7" t="n">
        <f aca="false">IF(((c_TMAP2IN)-(c_TMAP1IN))=0,(c_TMAP1OUT)+QUOTIENT(((c_TMAP2OUT)-(c_TMAP1OUT)),2),QUOTIENT((((A290)-(c_TMAP1IN))*((c_TMAP2OUT)-(c_TMAP1OUT))+IF(((c_TMAP2OUT)-(c_TMAP1OUT))&gt;=0,1,-1)*QUOTIENT(((c_TMAP2IN)-(c_TMAP1IN)),2)),((c_TMAP2IN)-(c_TMAP1IN)))+(c_TMAP1OUT)+IF(((c_TMAP2OUT)-(c_TMAP1OUT))&gt;=0,IF(IF(o_WRAP=1,MOD(((c_TMAP2IN)-(c_TMAP1IN))*(((A290)-(c_TMAP1IN))*((c_TMAP2OUT)-(c_TMAP1OUT))+IF(((c_TMAP2OUT)-(c_TMAP1OUT))&gt;=0,1,-1)*QUOTIENT(((c_TMAP2IN)-(c_TMAP1IN)),2))+2147483648,4294967296)-2147483648,((c_TMAP2IN)-(c_TMAP1IN))*(((A290)-(c_TMAP1IN))*((c_TMAP2OUT)-(c_TMAP1OUT))+IF(((c_TMAP2OUT)-(c_TMAP1OUT))&gt;=0,1,-1)*QUOTIENT(((c_TMAP2IN)-(c_TMAP1IN)),2)))&lt;0,-1,0),IF(IF(o_WRAP=1,MOD(((c_TMAP2IN)-(c_TMAP1IN))*(((A290)-(c_TMAP1IN))*((c_TMAP2OUT)-(c_TMAP1OUT))+IF(((c_TMAP2OUT)-(c_TMAP1OUT))&gt;=0,1,-1)*QUOTIENT(((c_TMAP2IN)-(c_TMAP1IN)),2))+2147483648,4294967296)-2147483648,((c_TMAP2IN)-(c_TMAP1IN))*(((A290)-(c_TMAP1IN))*((c_TMAP2OUT)-(c_TMAP1OUT))+IF(((c_TMAP2OUT)-(c_TMAP1OUT))&gt;=0,1,-1)*QUOTIENT(((c_TMAP2IN)-(c_TMAP1IN)),2)))&gt;=0,1,0)))</f>
        <v>144</v>
      </c>
      <c r="F290" s="7" t="n">
        <f aca="false">IF(((c_TMAP3IN)-(c_TMAP2IN))=0,(c_TMAP2OUT)+QUOTIENT(((c_TMAP3OUT)-(c_TMAP2OUT)),2),QUOTIENT((((A290)-(c_TMAP2IN))*((c_TMAP3OUT)-(c_TMAP2OUT))+IF(((c_TMAP3OUT)-(c_TMAP2OUT))&gt;=0,1,-1)*QUOTIENT(((c_TMAP3IN)-(c_TMAP2IN)),2)),((c_TMAP3IN)-(c_TMAP2IN)))+(c_TMAP2OUT)+IF(((c_TMAP3OUT)-(c_TMAP2OUT))&gt;=0,IF(IF(o_WRAP=1,MOD(((c_TMAP3IN)-(c_TMAP2IN))*(((A290)-(c_TMAP2IN))*((c_TMAP3OUT)-(c_TMAP2OUT))+IF(((c_TMAP3OUT)-(c_TMAP2OUT))&gt;=0,1,-1)*QUOTIENT(((c_TMAP3IN)-(c_TMAP2IN)),2))+2147483648,4294967296)-2147483648,((c_TMAP3IN)-(c_TMAP2IN))*(((A290)-(c_TMAP2IN))*((c_TMAP3OUT)-(c_TMAP2OUT))+IF(((c_TMAP3OUT)-(c_TMAP2OUT))&gt;=0,1,-1)*QUOTIENT(((c_TMAP3IN)-(c_TMAP2IN)),2)))&lt;0,-1,0),IF(IF(o_WRAP=1,MOD(((c_TMAP3IN)-(c_TMAP2IN))*(((A290)-(c_TMAP2IN))*((c_TMAP3OUT)-(c_TMAP2OUT))+IF(((c_TMAP3OUT)-(c_TMAP2OUT))&gt;=0,1,-1)*QUOTIENT(((c_TMAP3IN)-(c_TMAP2IN)),2))+2147483648,4294967296)-2147483648,((c_TMAP3IN)-(c_TMAP2IN))*(((A290)-(c_TMAP2IN))*((c_TMAP3OUT)-(c_TMAP2OUT))+IF(((c_TMAP3OUT)-(c_TMAP2OUT))&gt;=0,1,-1)*QUOTIENT(((c_TMAP3IN)-(c_TMAP2IN)),2)))&gt;=0,1,0)))</f>
        <v>155</v>
      </c>
      <c r="G290" s="7" t="n">
        <f aca="false">IF(((1000)-(c_TMAP3IN))=0,(c_TMAP3OUT)+QUOTIENT(((1000)-(c_TMAP3OUT)),2),QUOTIENT((((A290)-(c_TMAP3IN))*((1000)-(c_TMAP3OUT))+IF(((1000)-(c_TMAP3OUT))&gt;=0,1,-1)*QUOTIENT(((1000)-(c_TMAP3IN)),2)),((1000)-(c_TMAP3IN)))+(c_TMAP3OUT)+IF(((1000)-(c_TMAP3OUT))&gt;=0,IF(IF(o_WRAP=1,MOD(((1000)-(c_TMAP3IN))*(((A290)-(c_TMAP3IN))*((1000)-(c_TMAP3OUT))+IF(((1000)-(c_TMAP3OUT))&gt;=0,1,-1)*QUOTIENT(((1000)-(c_TMAP3IN)),2))+2147483648,4294967296)-2147483648,((1000)-(c_TMAP3IN))*(((A290)-(c_TMAP3IN))*((1000)-(c_TMAP3OUT))+IF(((1000)-(c_TMAP3OUT))&gt;=0,1,-1)*QUOTIENT(((1000)-(c_TMAP3IN)),2)))&lt;0,-1,0),IF(IF(o_WRAP=1,MOD(((1000)-(c_TMAP3IN))*(((A290)-(c_TMAP3IN))*((1000)-(c_TMAP3OUT))+IF(((1000)-(c_TMAP3OUT))&gt;=0,1,-1)*QUOTIENT(((1000)-(c_TMAP3IN)),2))+2147483648,4294967296)-2147483648,((1000)-(c_TMAP3IN))*(((A290)-(c_TMAP3IN))*((1000)-(c_TMAP3OUT))+IF(((1000)-(c_TMAP3OUT))&gt;=0,1,-1)*QUOTIENT(((1000)-(c_TMAP3IN)),2)))&gt;=0,1,0)))</f>
        <v>120</v>
      </c>
      <c r="H290" s="7" t="str">
        <f aca="false">IF(A290&gt;=c_TFWD,IF(AND(A290&gt;=c_TMAP3IN,c_TMAP3IN&lt;1000),"Seg4 map3-100%",IF(AND(A290&gt;=c_TMAP2IN,c_TMAP3IN&gt;c_TMAP2IN),"Seg3 map2-map3",IF(AND(A290&gt;=c_TMAP1IN,c_TMAP2IN&gt;c_TMAP1IN),"Seg2 map1-map2","Seg1 TFWD-map1"))),IF(AND(A290=0,c_TCREEP&gt;0),"Creep",IF(AND(A290&lt;=c_TRNGMIN,A290&gt;=c_TRNGMAX,c_TRNGMIN-c_TRNGMAX&lt;&gt;0),"Regen ramp","Coast (0)")))</f>
        <v>Seg3 map2-map3</v>
      </c>
      <c r="I290" s="7" t="n">
        <f aca="false">IF(A290&gt;=c_TFWD,IF(AND(A290&gt;=c_TMAP3IN,c_TMAP3IN&lt;1000),G290,IF(AND(A290&gt;=c_TMAP2IN,c_TMAP3IN&gt;c_TMAP2IN),F290,IF(AND(A290&gt;=c_TMAP1IN,c_TMAP2IN&gt;c_TMAP1IN),E290,D290))),C290)</f>
        <v>155</v>
      </c>
      <c r="J290" s="7" t="str">
        <f aca="false">IF(I290&lt;-1090,"TOO LOW",IF(I290&gt;1090,"TOO HIGH",""))</f>
        <v/>
      </c>
      <c r="K290" s="15" t="n">
        <f aca="false">IF(J290&lt;&gt;"",0,IF(I290&gt;979,1000,I290))</f>
        <v>155</v>
      </c>
      <c r="L290" s="7" t="n">
        <f aca="false">K290/10</f>
        <v>15.5</v>
      </c>
    </row>
    <row r="291" customFormat="false" ht="15" hidden="false" customHeight="false" outlineLevel="0" collapsed="false">
      <c r="A291" s="7" t="n">
        <v>286</v>
      </c>
      <c r="B291" s="7" t="n">
        <f aca="false">A291/10</f>
        <v>28.6</v>
      </c>
      <c r="C291" s="7" t="n">
        <f aca="false">IF(AND(A291=0,c_TCREEP&gt;0),10*c_TCREEP,IF(AND(A291&lt;=c_TRNGMIN,A291&gt;=c_TRNGMAX,c_TRNGMIN-c_TRNGMAX&lt;&gt;0),-10*c_TMINRN+QUOTIENT((c_TMAXRN-c_TMINRN)*(100-QUOTIENT((A291-c_TRNGMAX)*100,c_TRNGMIN-c_TRNGMAX)),-10),0))</f>
        <v>0</v>
      </c>
      <c r="D291" s="7" t="n">
        <f aca="false">IF(((c_TMAP1IN)-(c_TFWD))=0,(0)+QUOTIENT(((c_TMAP1OUT)-(0)),2),QUOTIENT((((A291)-(c_TFWD))*((c_TMAP1OUT)-(0))+IF(((c_TMAP1OUT)-(0))&gt;=0,1,-1)*QUOTIENT(((c_TMAP1IN)-(c_TFWD)),2)),((c_TMAP1IN)-(c_TFWD)))+(0)+IF(((c_TMAP1OUT)-(0))&gt;=0,IF(IF(o_WRAP=1,MOD(((c_TMAP1IN)-(c_TFWD))*(((A291)-(c_TFWD))*((c_TMAP1OUT)-(0))+IF(((c_TMAP1OUT)-(0))&gt;=0,1,-1)*QUOTIENT(((c_TMAP1IN)-(c_TFWD)),2))+2147483648,4294967296)-2147483648,((c_TMAP1IN)-(c_TFWD))*(((A291)-(c_TFWD))*((c_TMAP1OUT)-(0))+IF(((c_TMAP1OUT)-(0))&gt;=0,1,-1)*QUOTIENT(((c_TMAP1IN)-(c_TFWD)),2)))&lt;0,-1,0),IF(IF(o_WRAP=1,MOD(((c_TMAP1IN)-(c_TFWD))*(((A291)-(c_TFWD))*((c_TMAP1OUT)-(0))+IF(((c_TMAP1OUT)-(0))&gt;=0,1,-1)*QUOTIENT(((c_TMAP1IN)-(c_TFWD)),2))+2147483648,4294967296)-2147483648,((c_TMAP1IN)-(c_TFWD))*(((A291)-(c_TFWD))*((c_TMAP1OUT)-(0))+IF(((c_TMAP1OUT)-(0))&gt;=0,1,-1)*QUOTIENT(((c_TMAP1IN)-(c_TFWD)),2)))&gt;=0,1,0)))</f>
        <v>215</v>
      </c>
      <c r="E291" s="7" t="n">
        <f aca="false">IF(((c_TMAP2IN)-(c_TMAP1IN))=0,(c_TMAP1OUT)+QUOTIENT(((c_TMAP2OUT)-(c_TMAP1OUT)),2),QUOTIENT((((A291)-(c_TMAP1IN))*((c_TMAP2OUT)-(c_TMAP1OUT))+IF(((c_TMAP2OUT)-(c_TMAP1OUT))&gt;=0,1,-1)*QUOTIENT(((c_TMAP2IN)-(c_TMAP1IN)),2)),((c_TMAP2IN)-(c_TMAP1IN)))+(c_TMAP1OUT)+IF(((c_TMAP2OUT)-(c_TMAP1OUT))&gt;=0,IF(IF(o_WRAP=1,MOD(((c_TMAP2IN)-(c_TMAP1IN))*(((A291)-(c_TMAP1IN))*((c_TMAP2OUT)-(c_TMAP1OUT))+IF(((c_TMAP2OUT)-(c_TMAP1OUT))&gt;=0,1,-1)*QUOTIENT(((c_TMAP2IN)-(c_TMAP1IN)),2))+2147483648,4294967296)-2147483648,((c_TMAP2IN)-(c_TMAP1IN))*(((A291)-(c_TMAP1IN))*((c_TMAP2OUT)-(c_TMAP1OUT))+IF(((c_TMAP2OUT)-(c_TMAP1OUT))&gt;=0,1,-1)*QUOTIENT(((c_TMAP2IN)-(c_TMAP1IN)),2)))&lt;0,-1,0),IF(IF(o_WRAP=1,MOD(((c_TMAP2IN)-(c_TMAP1IN))*(((A291)-(c_TMAP1IN))*((c_TMAP2OUT)-(c_TMAP1OUT))+IF(((c_TMAP2OUT)-(c_TMAP1OUT))&gt;=0,1,-1)*QUOTIENT(((c_TMAP2IN)-(c_TMAP1IN)),2))+2147483648,4294967296)-2147483648,((c_TMAP2IN)-(c_TMAP1IN))*(((A291)-(c_TMAP1IN))*((c_TMAP2OUT)-(c_TMAP1OUT))+IF(((c_TMAP2OUT)-(c_TMAP1OUT))&gt;=0,1,-1)*QUOTIENT(((c_TMAP2IN)-(c_TMAP1IN)),2)))&gt;=0,1,0)))</f>
        <v>144</v>
      </c>
      <c r="F291" s="7" t="n">
        <f aca="false">IF(((c_TMAP3IN)-(c_TMAP2IN))=0,(c_TMAP2OUT)+QUOTIENT(((c_TMAP3OUT)-(c_TMAP2OUT)),2),QUOTIENT((((A291)-(c_TMAP2IN))*((c_TMAP3OUT)-(c_TMAP2OUT))+IF(((c_TMAP3OUT)-(c_TMAP2OUT))&gt;=0,1,-1)*QUOTIENT(((c_TMAP3IN)-(c_TMAP2IN)),2)),((c_TMAP3IN)-(c_TMAP2IN)))+(c_TMAP2OUT)+IF(((c_TMAP3OUT)-(c_TMAP2OUT))&gt;=0,IF(IF(o_WRAP=1,MOD(((c_TMAP3IN)-(c_TMAP2IN))*(((A291)-(c_TMAP2IN))*((c_TMAP3OUT)-(c_TMAP2OUT))+IF(((c_TMAP3OUT)-(c_TMAP2OUT))&gt;=0,1,-1)*QUOTIENT(((c_TMAP3IN)-(c_TMAP2IN)),2))+2147483648,4294967296)-2147483648,((c_TMAP3IN)-(c_TMAP2IN))*(((A291)-(c_TMAP2IN))*((c_TMAP3OUT)-(c_TMAP2OUT))+IF(((c_TMAP3OUT)-(c_TMAP2OUT))&gt;=0,1,-1)*QUOTIENT(((c_TMAP3IN)-(c_TMAP2IN)),2)))&lt;0,-1,0),IF(IF(o_WRAP=1,MOD(((c_TMAP3IN)-(c_TMAP2IN))*(((A291)-(c_TMAP2IN))*((c_TMAP3OUT)-(c_TMAP2OUT))+IF(((c_TMAP3OUT)-(c_TMAP2OUT))&gt;=0,1,-1)*QUOTIENT(((c_TMAP3IN)-(c_TMAP2IN)),2))+2147483648,4294967296)-2147483648,((c_TMAP3IN)-(c_TMAP2IN))*(((A291)-(c_TMAP2IN))*((c_TMAP3OUT)-(c_TMAP2OUT))+IF(((c_TMAP3OUT)-(c_TMAP2OUT))&gt;=0,1,-1)*QUOTIENT(((c_TMAP3IN)-(c_TMAP2IN)),2)))&gt;=0,1,0)))</f>
        <v>155</v>
      </c>
      <c r="G291" s="7" t="n">
        <f aca="false">IF(((1000)-(c_TMAP3IN))=0,(c_TMAP3OUT)+QUOTIENT(((1000)-(c_TMAP3OUT)),2),QUOTIENT((((A291)-(c_TMAP3IN))*((1000)-(c_TMAP3OUT))+IF(((1000)-(c_TMAP3OUT))&gt;=0,1,-1)*QUOTIENT(((1000)-(c_TMAP3IN)),2)),((1000)-(c_TMAP3IN)))+(c_TMAP3OUT)+IF(((1000)-(c_TMAP3OUT))&gt;=0,IF(IF(o_WRAP=1,MOD(((1000)-(c_TMAP3IN))*(((A291)-(c_TMAP3IN))*((1000)-(c_TMAP3OUT))+IF(((1000)-(c_TMAP3OUT))&gt;=0,1,-1)*QUOTIENT(((1000)-(c_TMAP3IN)),2))+2147483648,4294967296)-2147483648,((1000)-(c_TMAP3IN))*(((A291)-(c_TMAP3IN))*((1000)-(c_TMAP3OUT))+IF(((1000)-(c_TMAP3OUT))&gt;=0,1,-1)*QUOTIENT(((1000)-(c_TMAP3IN)),2)))&lt;0,-1,0),IF(IF(o_WRAP=1,MOD(((1000)-(c_TMAP3IN))*(((A291)-(c_TMAP3IN))*((1000)-(c_TMAP3OUT))+IF(((1000)-(c_TMAP3OUT))&gt;=0,1,-1)*QUOTIENT(((1000)-(c_TMAP3IN)),2))+2147483648,4294967296)-2147483648,((1000)-(c_TMAP3IN))*(((A291)-(c_TMAP3IN))*((1000)-(c_TMAP3OUT))+IF(((1000)-(c_TMAP3OUT))&gt;=0,1,-1)*QUOTIENT(((1000)-(c_TMAP3IN)),2)))&gt;=0,1,0)))</f>
        <v>121</v>
      </c>
      <c r="H291" s="7" t="str">
        <f aca="false">IF(A291&gt;=c_TFWD,IF(AND(A291&gt;=c_TMAP3IN,c_TMAP3IN&lt;1000),"Seg4 map3-100%",IF(AND(A291&gt;=c_TMAP2IN,c_TMAP3IN&gt;c_TMAP2IN),"Seg3 map2-map3",IF(AND(A291&gt;=c_TMAP1IN,c_TMAP2IN&gt;c_TMAP1IN),"Seg2 map1-map2","Seg1 TFWD-map1"))),IF(AND(A291=0,c_TCREEP&gt;0),"Creep",IF(AND(A291&lt;=c_TRNGMIN,A291&gt;=c_TRNGMAX,c_TRNGMIN-c_TRNGMAX&lt;&gt;0),"Regen ramp","Coast (0)")))</f>
        <v>Seg3 map2-map3</v>
      </c>
      <c r="I291" s="7" t="n">
        <f aca="false">IF(A291&gt;=c_TFWD,IF(AND(A291&gt;=c_TMAP3IN,c_TMAP3IN&lt;1000),G291,IF(AND(A291&gt;=c_TMAP2IN,c_TMAP3IN&gt;c_TMAP2IN),F291,IF(AND(A291&gt;=c_TMAP1IN,c_TMAP2IN&gt;c_TMAP1IN),E291,D291))),C291)</f>
        <v>155</v>
      </c>
      <c r="J291" s="7" t="str">
        <f aca="false">IF(I291&lt;-1090,"TOO LOW",IF(I291&gt;1090,"TOO HIGH",""))</f>
        <v/>
      </c>
      <c r="K291" s="15" t="n">
        <f aca="false">IF(J291&lt;&gt;"",0,IF(I291&gt;979,1000,I291))</f>
        <v>155</v>
      </c>
      <c r="L291" s="7" t="n">
        <f aca="false">K291/10</f>
        <v>15.5</v>
      </c>
    </row>
    <row r="292" customFormat="false" ht="15" hidden="false" customHeight="false" outlineLevel="0" collapsed="false">
      <c r="A292" s="7" t="n">
        <v>287</v>
      </c>
      <c r="B292" s="7" t="n">
        <f aca="false">A292/10</f>
        <v>28.7</v>
      </c>
      <c r="C292" s="7" t="n">
        <f aca="false">IF(AND(A292=0,c_TCREEP&gt;0),10*c_TCREEP,IF(AND(A292&lt;=c_TRNGMIN,A292&gt;=c_TRNGMAX,c_TRNGMIN-c_TRNGMAX&lt;&gt;0),-10*c_TMINRN+QUOTIENT((c_TMAXRN-c_TMINRN)*(100-QUOTIENT((A292-c_TRNGMAX)*100,c_TRNGMIN-c_TRNGMAX)),-10),0))</f>
        <v>0</v>
      </c>
      <c r="D292" s="7" t="n">
        <f aca="false">IF(((c_TMAP1IN)-(c_TFWD))=0,(0)+QUOTIENT(((c_TMAP1OUT)-(0)),2),QUOTIENT((((A292)-(c_TFWD))*((c_TMAP1OUT)-(0))+IF(((c_TMAP1OUT)-(0))&gt;=0,1,-1)*QUOTIENT(((c_TMAP1IN)-(c_TFWD)),2)),((c_TMAP1IN)-(c_TFWD)))+(0)+IF(((c_TMAP1OUT)-(0))&gt;=0,IF(IF(o_WRAP=1,MOD(((c_TMAP1IN)-(c_TFWD))*(((A292)-(c_TFWD))*((c_TMAP1OUT)-(0))+IF(((c_TMAP1OUT)-(0))&gt;=0,1,-1)*QUOTIENT(((c_TMAP1IN)-(c_TFWD)),2))+2147483648,4294967296)-2147483648,((c_TMAP1IN)-(c_TFWD))*(((A292)-(c_TFWD))*((c_TMAP1OUT)-(0))+IF(((c_TMAP1OUT)-(0))&gt;=0,1,-1)*QUOTIENT(((c_TMAP1IN)-(c_TFWD)),2)))&lt;0,-1,0),IF(IF(o_WRAP=1,MOD(((c_TMAP1IN)-(c_TFWD))*(((A292)-(c_TFWD))*((c_TMAP1OUT)-(0))+IF(((c_TMAP1OUT)-(0))&gt;=0,1,-1)*QUOTIENT(((c_TMAP1IN)-(c_TFWD)),2))+2147483648,4294967296)-2147483648,((c_TMAP1IN)-(c_TFWD))*(((A292)-(c_TFWD))*((c_TMAP1OUT)-(0))+IF(((c_TMAP1OUT)-(0))&gt;=0,1,-1)*QUOTIENT(((c_TMAP1IN)-(c_TFWD)),2)))&gt;=0,1,0)))</f>
        <v>215</v>
      </c>
      <c r="E292" s="7" t="n">
        <f aca="false">IF(((c_TMAP2IN)-(c_TMAP1IN))=0,(c_TMAP1OUT)+QUOTIENT(((c_TMAP2OUT)-(c_TMAP1OUT)),2),QUOTIENT((((A292)-(c_TMAP1IN))*((c_TMAP2OUT)-(c_TMAP1OUT))+IF(((c_TMAP2OUT)-(c_TMAP1OUT))&gt;=0,1,-1)*QUOTIENT(((c_TMAP2IN)-(c_TMAP1IN)),2)),((c_TMAP2IN)-(c_TMAP1IN)))+(c_TMAP1OUT)+IF(((c_TMAP2OUT)-(c_TMAP1OUT))&gt;=0,IF(IF(o_WRAP=1,MOD(((c_TMAP2IN)-(c_TMAP1IN))*(((A292)-(c_TMAP1IN))*((c_TMAP2OUT)-(c_TMAP1OUT))+IF(((c_TMAP2OUT)-(c_TMAP1OUT))&gt;=0,1,-1)*QUOTIENT(((c_TMAP2IN)-(c_TMAP1IN)),2))+2147483648,4294967296)-2147483648,((c_TMAP2IN)-(c_TMAP1IN))*(((A292)-(c_TMAP1IN))*((c_TMAP2OUT)-(c_TMAP1OUT))+IF(((c_TMAP2OUT)-(c_TMAP1OUT))&gt;=0,1,-1)*QUOTIENT(((c_TMAP2IN)-(c_TMAP1IN)),2)))&lt;0,-1,0),IF(IF(o_WRAP=1,MOD(((c_TMAP2IN)-(c_TMAP1IN))*(((A292)-(c_TMAP1IN))*((c_TMAP2OUT)-(c_TMAP1OUT))+IF(((c_TMAP2OUT)-(c_TMAP1OUT))&gt;=0,1,-1)*QUOTIENT(((c_TMAP2IN)-(c_TMAP1IN)),2))+2147483648,4294967296)-2147483648,((c_TMAP2IN)-(c_TMAP1IN))*(((A292)-(c_TMAP1IN))*((c_TMAP2OUT)-(c_TMAP1OUT))+IF(((c_TMAP2OUT)-(c_TMAP1OUT))&gt;=0,1,-1)*QUOTIENT(((c_TMAP2IN)-(c_TMAP1IN)),2)))&gt;=0,1,0)))</f>
        <v>145</v>
      </c>
      <c r="F292" s="7" t="n">
        <f aca="false">IF(((c_TMAP3IN)-(c_TMAP2IN))=0,(c_TMAP2OUT)+QUOTIENT(((c_TMAP3OUT)-(c_TMAP2OUT)),2),QUOTIENT((((A292)-(c_TMAP2IN))*((c_TMAP3OUT)-(c_TMAP2OUT))+IF(((c_TMAP3OUT)-(c_TMAP2OUT))&gt;=0,1,-1)*QUOTIENT(((c_TMAP3IN)-(c_TMAP2IN)),2)),((c_TMAP3IN)-(c_TMAP2IN)))+(c_TMAP2OUT)+IF(((c_TMAP3OUT)-(c_TMAP2OUT))&gt;=0,IF(IF(o_WRAP=1,MOD(((c_TMAP3IN)-(c_TMAP2IN))*(((A292)-(c_TMAP2IN))*((c_TMAP3OUT)-(c_TMAP2OUT))+IF(((c_TMAP3OUT)-(c_TMAP2OUT))&gt;=0,1,-1)*QUOTIENT(((c_TMAP3IN)-(c_TMAP2IN)),2))+2147483648,4294967296)-2147483648,((c_TMAP3IN)-(c_TMAP2IN))*(((A292)-(c_TMAP2IN))*((c_TMAP3OUT)-(c_TMAP2OUT))+IF(((c_TMAP3OUT)-(c_TMAP2OUT))&gt;=0,1,-1)*QUOTIENT(((c_TMAP3IN)-(c_TMAP2IN)),2)))&lt;0,-1,0),IF(IF(o_WRAP=1,MOD(((c_TMAP3IN)-(c_TMAP2IN))*(((A292)-(c_TMAP2IN))*((c_TMAP3OUT)-(c_TMAP2OUT))+IF(((c_TMAP3OUT)-(c_TMAP2OUT))&gt;=0,1,-1)*QUOTIENT(((c_TMAP3IN)-(c_TMAP2IN)),2))+2147483648,4294967296)-2147483648,((c_TMAP3IN)-(c_TMAP2IN))*(((A292)-(c_TMAP2IN))*((c_TMAP3OUT)-(c_TMAP2OUT))+IF(((c_TMAP3OUT)-(c_TMAP2OUT))&gt;=0,1,-1)*QUOTIENT(((c_TMAP3IN)-(c_TMAP2IN)),2)))&gt;=0,1,0)))</f>
        <v>156</v>
      </c>
      <c r="G292" s="7" t="n">
        <f aca="false">IF(((1000)-(c_TMAP3IN))=0,(c_TMAP3OUT)+QUOTIENT(((1000)-(c_TMAP3OUT)),2),QUOTIENT((((A292)-(c_TMAP3IN))*((1000)-(c_TMAP3OUT))+IF(((1000)-(c_TMAP3OUT))&gt;=0,1,-1)*QUOTIENT(((1000)-(c_TMAP3IN)),2)),((1000)-(c_TMAP3IN)))+(c_TMAP3OUT)+IF(((1000)-(c_TMAP3OUT))&gt;=0,IF(IF(o_WRAP=1,MOD(((1000)-(c_TMAP3IN))*(((A292)-(c_TMAP3IN))*((1000)-(c_TMAP3OUT))+IF(((1000)-(c_TMAP3OUT))&gt;=0,1,-1)*QUOTIENT(((1000)-(c_TMAP3IN)),2))+2147483648,4294967296)-2147483648,((1000)-(c_TMAP3IN))*(((A292)-(c_TMAP3IN))*((1000)-(c_TMAP3OUT))+IF(((1000)-(c_TMAP3OUT))&gt;=0,1,-1)*QUOTIENT(((1000)-(c_TMAP3IN)),2)))&lt;0,-1,0),IF(IF(o_WRAP=1,MOD(((1000)-(c_TMAP3IN))*(((A292)-(c_TMAP3IN))*((1000)-(c_TMAP3OUT))+IF(((1000)-(c_TMAP3OUT))&gt;=0,1,-1)*QUOTIENT(((1000)-(c_TMAP3IN)),2))+2147483648,4294967296)-2147483648,((1000)-(c_TMAP3IN))*(((A292)-(c_TMAP3IN))*((1000)-(c_TMAP3OUT))+IF(((1000)-(c_TMAP3OUT))&gt;=0,1,-1)*QUOTIENT(((1000)-(c_TMAP3IN)),2)))&gt;=0,1,0)))</f>
        <v>122</v>
      </c>
      <c r="H292" s="7" t="str">
        <f aca="false">IF(A292&gt;=c_TFWD,IF(AND(A292&gt;=c_TMAP3IN,c_TMAP3IN&lt;1000),"Seg4 map3-100%",IF(AND(A292&gt;=c_TMAP2IN,c_TMAP3IN&gt;c_TMAP2IN),"Seg3 map2-map3",IF(AND(A292&gt;=c_TMAP1IN,c_TMAP2IN&gt;c_TMAP1IN),"Seg2 map1-map2","Seg1 TFWD-map1"))),IF(AND(A292=0,c_TCREEP&gt;0),"Creep",IF(AND(A292&lt;=c_TRNGMIN,A292&gt;=c_TRNGMAX,c_TRNGMIN-c_TRNGMAX&lt;&gt;0),"Regen ramp","Coast (0)")))</f>
        <v>Seg3 map2-map3</v>
      </c>
      <c r="I292" s="7" t="n">
        <f aca="false">IF(A292&gt;=c_TFWD,IF(AND(A292&gt;=c_TMAP3IN,c_TMAP3IN&lt;1000),G292,IF(AND(A292&gt;=c_TMAP2IN,c_TMAP3IN&gt;c_TMAP2IN),F292,IF(AND(A292&gt;=c_TMAP1IN,c_TMAP2IN&gt;c_TMAP1IN),E292,D292))),C292)</f>
        <v>156</v>
      </c>
      <c r="J292" s="7" t="str">
        <f aca="false">IF(I292&lt;-1090,"TOO LOW",IF(I292&gt;1090,"TOO HIGH",""))</f>
        <v/>
      </c>
      <c r="K292" s="15" t="n">
        <f aca="false">IF(J292&lt;&gt;"",0,IF(I292&gt;979,1000,I292))</f>
        <v>156</v>
      </c>
      <c r="L292" s="7" t="n">
        <f aca="false">K292/10</f>
        <v>15.6</v>
      </c>
    </row>
    <row r="293" customFormat="false" ht="15" hidden="false" customHeight="false" outlineLevel="0" collapsed="false">
      <c r="A293" s="7" t="n">
        <v>288</v>
      </c>
      <c r="B293" s="7" t="n">
        <f aca="false">A293/10</f>
        <v>28.8</v>
      </c>
      <c r="C293" s="7" t="n">
        <f aca="false">IF(AND(A293=0,c_TCREEP&gt;0),10*c_TCREEP,IF(AND(A293&lt;=c_TRNGMIN,A293&gt;=c_TRNGMAX,c_TRNGMIN-c_TRNGMAX&lt;&gt;0),-10*c_TMINRN+QUOTIENT((c_TMAXRN-c_TMINRN)*(100-QUOTIENT((A293-c_TRNGMAX)*100,c_TRNGMIN-c_TRNGMAX)),-10),0))</f>
        <v>0</v>
      </c>
      <c r="D293" s="7" t="n">
        <f aca="false">IF(((c_TMAP1IN)-(c_TFWD))=0,(0)+QUOTIENT(((c_TMAP1OUT)-(0)),2),QUOTIENT((((A293)-(c_TFWD))*((c_TMAP1OUT)-(0))+IF(((c_TMAP1OUT)-(0))&gt;=0,1,-1)*QUOTIENT(((c_TMAP1IN)-(c_TFWD)),2)),((c_TMAP1IN)-(c_TFWD)))+(0)+IF(((c_TMAP1OUT)-(0))&gt;=0,IF(IF(o_WRAP=1,MOD(((c_TMAP1IN)-(c_TFWD))*(((A293)-(c_TFWD))*((c_TMAP1OUT)-(0))+IF(((c_TMAP1OUT)-(0))&gt;=0,1,-1)*QUOTIENT(((c_TMAP1IN)-(c_TFWD)),2))+2147483648,4294967296)-2147483648,((c_TMAP1IN)-(c_TFWD))*(((A293)-(c_TFWD))*((c_TMAP1OUT)-(0))+IF(((c_TMAP1OUT)-(0))&gt;=0,1,-1)*QUOTIENT(((c_TMAP1IN)-(c_TFWD)),2)))&lt;0,-1,0),IF(IF(o_WRAP=1,MOD(((c_TMAP1IN)-(c_TFWD))*(((A293)-(c_TFWD))*((c_TMAP1OUT)-(0))+IF(((c_TMAP1OUT)-(0))&gt;=0,1,-1)*QUOTIENT(((c_TMAP1IN)-(c_TFWD)),2))+2147483648,4294967296)-2147483648,((c_TMAP1IN)-(c_TFWD))*(((A293)-(c_TFWD))*((c_TMAP1OUT)-(0))+IF(((c_TMAP1OUT)-(0))&gt;=0,1,-1)*QUOTIENT(((c_TMAP1IN)-(c_TFWD)),2)))&gt;=0,1,0)))</f>
        <v>216</v>
      </c>
      <c r="E293" s="7" t="n">
        <f aca="false">IF(((c_TMAP2IN)-(c_TMAP1IN))=0,(c_TMAP1OUT)+QUOTIENT(((c_TMAP2OUT)-(c_TMAP1OUT)),2),QUOTIENT((((A293)-(c_TMAP1IN))*((c_TMAP2OUT)-(c_TMAP1OUT))+IF(((c_TMAP2OUT)-(c_TMAP1OUT))&gt;=0,1,-1)*QUOTIENT(((c_TMAP2IN)-(c_TMAP1IN)),2)),((c_TMAP2IN)-(c_TMAP1IN)))+(c_TMAP1OUT)+IF(((c_TMAP2OUT)-(c_TMAP1OUT))&gt;=0,IF(IF(o_WRAP=1,MOD(((c_TMAP2IN)-(c_TMAP1IN))*(((A293)-(c_TMAP1IN))*((c_TMAP2OUT)-(c_TMAP1OUT))+IF(((c_TMAP2OUT)-(c_TMAP1OUT))&gt;=0,1,-1)*QUOTIENT(((c_TMAP2IN)-(c_TMAP1IN)),2))+2147483648,4294967296)-2147483648,((c_TMAP2IN)-(c_TMAP1IN))*(((A293)-(c_TMAP1IN))*((c_TMAP2OUT)-(c_TMAP1OUT))+IF(((c_TMAP2OUT)-(c_TMAP1OUT))&gt;=0,1,-1)*QUOTIENT(((c_TMAP2IN)-(c_TMAP1IN)),2)))&lt;0,-1,0),IF(IF(o_WRAP=1,MOD(((c_TMAP2IN)-(c_TMAP1IN))*(((A293)-(c_TMAP1IN))*((c_TMAP2OUT)-(c_TMAP1OUT))+IF(((c_TMAP2OUT)-(c_TMAP1OUT))&gt;=0,1,-1)*QUOTIENT(((c_TMAP2IN)-(c_TMAP1IN)),2))+2147483648,4294967296)-2147483648,((c_TMAP2IN)-(c_TMAP1IN))*(((A293)-(c_TMAP1IN))*((c_TMAP2OUT)-(c_TMAP1OUT))+IF(((c_TMAP2OUT)-(c_TMAP1OUT))&gt;=0,1,-1)*QUOTIENT(((c_TMAP2IN)-(c_TMAP1IN)),2)))&gt;=0,1,0)))</f>
        <v>145</v>
      </c>
      <c r="F293" s="7" t="n">
        <f aca="false">IF(((c_TMAP3IN)-(c_TMAP2IN))=0,(c_TMAP2OUT)+QUOTIENT(((c_TMAP3OUT)-(c_TMAP2OUT)),2),QUOTIENT((((A293)-(c_TMAP2IN))*((c_TMAP3OUT)-(c_TMAP2OUT))+IF(((c_TMAP3OUT)-(c_TMAP2OUT))&gt;=0,1,-1)*QUOTIENT(((c_TMAP3IN)-(c_TMAP2IN)),2)),((c_TMAP3IN)-(c_TMAP2IN)))+(c_TMAP2OUT)+IF(((c_TMAP3OUT)-(c_TMAP2OUT))&gt;=0,IF(IF(o_WRAP=1,MOD(((c_TMAP3IN)-(c_TMAP2IN))*(((A293)-(c_TMAP2IN))*((c_TMAP3OUT)-(c_TMAP2OUT))+IF(((c_TMAP3OUT)-(c_TMAP2OUT))&gt;=0,1,-1)*QUOTIENT(((c_TMAP3IN)-(c_TMAP2IN)),2))+2147483648,4294967296)-2147483648,((c_TMAP3IN)-(c_TMAP2IN))*(((A293)-(c_TMAP2IN))*((c_TMAP3OUT)-(c_TMAP2OUT))+IF(((c_TMAP3OUT)-(c_TMAP2OUT))&gt;=0,1,-1)*QUOTIENT(((c_TMAP3IN)-(c_TMAP2IN)),2)))&lt;0,-1,0),IF(IF(o_WRAP=1,MOD(((c_TMAP3IN)-(c_TMAP2IN))*(((A293)-(c_TMAP2IN))*((c_TMAP3OUT)-(c_TMAP2OUT))+IF(((c_TMAP3OUT)-(c_TMAP2OUT))&gt;=0,1,-1)*QUOTIENT(((c_TMAP3IN)-(c_TMAP2IN)),2))+2147483648,4294967296)-2147483648,((c_TMAP3IN)-(c_TMAP2IN))*(((A293)-(c_TMAP2IN))*((c_TMAP3OUT)-(c_TMAP2OUT))+IF(((c_TMAP3OUT)-(c_TMAP2OUT))&gt;=0,1,-1)*QUOTIENT(((c_TMAP3IN)-(c_TMAP2IN)),2)))&gt;=0,1,0)))</f>
        <v>157</v>
      </c>
      <c r="G293" s="7" t="n">
        <f aca="false">IF(((1000)-(c_TMAP3IN))=0,(c_TMAP3OUT)+QUOTIENT(((1000)-(c_TMAP3OUT)),2),QUOTIENT((((A293)-(c_TMAP3IN))*((1000)-(c_TMAP3OUT))+IF(((1000)-(c_TMAP3OUT))&gt;=0,1,-1)*QUOTIENT(((1000)-(c_TMAP3IN)),2)),((1000)-(c_TMAP3IN)))+(c_TMAP3OUT)+IF(((1000)-(c_TMAP3OUT))&gt;=0,IF(IF(o_WRAP=1,MOD(((1000)-(c_TMAP3IN))*(((A293)-(c_TMAP3IN))*((1000)-(c_TMAP3OUT))+IF(((1000)-(c_TMAP3OUT))&gt;=0,1,-1)*QUOTIENT(((1000)-(c_TMAP3IN)),2))+2147483648,4294967296)-2147483648,((1000)-(c_TMAP3IN))*(((A293)-(c_TMAP3IN))*((1000)-(c_TMAP3OUT))+IF(((1000)-(c_TMAP3OUT))&gt;=0,1,-1)*QUOTIENT(((1000)-(c_TMAP3IN)),2)))&lt;0,-1,0),IF(IF(o_WRAP=1,MOD(((1000)-(c_TMAP3IN))*(((A293)-(c_TMAP3IN))*((1000)-(c_TMAP3OUT))+IF(((1000)-(c_TMAP3OUT))&gt;=0,1,-1)*QUOTIENT(((1000)-(c_TMAP3IN)),2))+2147483648,4294967296)-2147483648,((1000)-(c_TMAP3IN))*(((A293)-(c_TMAP3IN))*((1000)-(c_TMAP3OUT))+IF(((1000)-(c_TMAP3OUT))&gt;=0,1,-1)*QUOTIENT(((1000)-(c_TMAP3IN)),2)))&gt;=0,1,0)))</f>
        <v>124</v>
      </c>
      <c r="H293" s="7" t="str">
        <f aca="false">IF(A293&gt;=c_TFWD,IF(AND(A293&gt;=c_TMAP3IN,c_TMAP3IN&lt;1000),"Seg4 map3-100%",IF(AND(A293&gt;=c_TMAP2IN,c_TMAP3IN&gt;c_TMAP2IN),"Seg3 map2-map3",IF(AND(A293&gt;=c_TMAP1IN,c_TMAP2IN&gt;c_TMAP1IN),"Seg2 map1-map2","Seg1 TFWD-map1"))),IF(AND(A293=0,c_TCREEP&gt;0),"Creep",IF(AND(A293&lt;=c_TRNGMIN,A293&gt;=c_TRNGMAX,c_TRNGMIN-c_TRNGMAX&lt;&gt;0),"Regen ramp","Coast (0)")))</f>
        <v>Seg3 map2-map3</v>
      </c>
      <c r="I293" s="7" t="n">
        <f aca="false">IF(A293&gt;=c_TFWD,IF(AND(A293&gt;=c_TMAP3IN,c_TMAP3IN&lt;1000),G293,IF(AND(A293&gt;=c_TMAP2IN,c_TMAP3IN&gt;c_TMAP2IN),F293,IF(AND(A293&gt;=c_TMAP1IN,c_TMAP2IN&gt;c_TMAP1IN),E293,D293))),C293)</f>
        <v>157</v>
      </c>
      <c r="J293" s="7" t="str">
        <f aca="false">IF(I293&lt;-1090,"TOO LOW",IF(I293&gt;1090,"TOO HIGH",""))</f>
        <v/>
      </c>
      <c r="K293" s="15" t="n">
        <f aca="false">IF(J293&lt;&gt;"",0,IF(I293&gt;979,1000,I293))</f>
        <v>157</v>
      </c>
      <c r="L293" s="7" t="n">
        <f aca="false">K293/10</f>
        <v>15.7</v>
      </c>
    </row>
    <row r="294" customFormat="false" ht="15" hidden="false" customHeight="false" outlineLevel="0" collapsed="false">
      <c r="A294" s="7" t="n">
        <v>289</v>
      </c>
      <c r="B294" s="7" t="n">
        <f aca="false">A294/10</f>
        <v>28.9</v>
      </c>
      <c r="C294" s="7" t="n">
        <f aca="false">IF(AND(A294=0,c_TCREEP&gt;0),10*c_TCREEP,IF(AND(A294&lt;=c_TRNGMIN,A294&gt;=c_TRNGMAX,c_TRNGMIN-c_TRNGMAX&lt;&gt;0),-10*c_TMINRN+QUOTIENT((c_TMAXRN-c_TMINRN)*(100-QUOTIENT((A294-c_TRNGMAX)*100,c_TRNGMIN-c_TRNGMAX)),-10),0))</f>
        <v>0</v>
      </c>
      <c r="D294" s="7" t="n">
        <f aca="false">IF(((c_TMAP1IN)-(c_TFWD))=0,(0)+QUOTIENT(((c_TMAP1OUT)-(0)),2),QUOTIENT((((A294)-(c_TFWD))*((c_TMAP1OUT)-(0))+IF(((c_TMAP1OUT)-(0))&gt;=0,1,-1)*QUOTIENT(((c_TMAP1IN)-(c_TFWD)),2)),((c_TMAP1IN)-(c_TFWD)))+(0)+IF(((c_TMAP1OUT)-(0))&gt;=0,IF(IF(o_WRAP=1,MOD(((c_TMAP1IN)-(c_TFWD))*(((A294)-(c_TFWD))*((c_TMAP1OUT)-(0))+IF(((c_TMAP1OUT)-(0))&gt;=0,1,-1)*QUOTIENT(((c_TMAP1IN)-(c_TFWD)),2))+2147483648,4294967296)-2147483648,((c_TMAP1IN)-(c_TFWD))*(((A294)-(c_TFWD))*((c_TMAP1OUT)-(0))+IF(((c_TMAP1OUT)-(0))&gt;=0,1,-1)*QUOTIENT(((c_TMAP1IN)-(c_TFWD)),2)))&lt;0,-1,0),IF(IF(o_WRAP=1,MOD(((c_TMAP1IN)-(c_TFWD))*(((A294)-(c_TFWD))*((c_TMAP1OUT)-(0))+IF(((c_TMAP1OUT)-(0))&gt;=0,1,-1)*QUOTIENT(((c_TMAP1IN)-(c_TFWD)),2))+2147483648,4294967296)-2147483648,((c_TMAP1IN)-(c_TFWD))*(((A294)-(c_TFWD))*((c_TMAP1OUT)-(0))+IF(((c_TMAP1OUT)-(0))&gt;=0,1,-1)*QUOTIENT(((c_TMAP1IN)-(c_TFWD)),2)))&gt;=0,1,0)))</f>
        <v>217</v>
      </c>
      <c r="E294" s="7" t="n">
        <f aca="false">IF(((c_TMAP2IN)-(c_TMAP1IN))=0,(c_TMAP1OUT)+QUOTIENT(((c_TMAP2OUT)-(c_TMAP1OUT)),2),QUOTIENT((((A294)-(c_TMAP1IN))*((c_TMAP2OUT)-(c_TMAP1OUT))+IF(((c_TMAP2OUT)-(c_TMAP1OUT))&gt;=0,1,-1)*QUOTIENT(((c_TMAP2IN)-(c_TMAP1IN)),2)),((c_TMAP2IN)-(c_TMAP1IN)))+(c_TMAP1OUT)+IF(((c_TMAP2OUT)-(c_TMAP1OUT))&gt;=0,IF(IF(o_WRAP=1,MOD(((c_TMAP2IN)-(c_TMAP1IN))*(((A294)-(c_TMAP1IN))*((c_TMAP2OUT)-(c_TMAP1OUT))+IF(((c_TMAP2OUT)-(c_TMAP1OUT))&gt;=0,1,-1)*QUOTIENT(((c_TMAP2IN)-(c_TMAP1IN)),2))+2147483648,4294967296)-2147483648,((c_TMAP2IN)-(c_TMAP1IN))*(((A294)-(c_TMAP1IN))*((c_TMAP2OUT)-(c_TMAP1OUT))+IF(((c_TMAP2OUT)-(c_TMAP1OUT))&gt;=0,1,-1)*QUOTIENT(((c_TMAP2IN)-(c_TMAP1IN)),2)))&lt;0,-1,0),IF(IF(o_WRAP=1,MOD(((c_TMAP2IN)-(c_TMAP1IN))*(((A294)-(c_TMAP1IN))*((c_TMAP2OUT)-(c_TMAP1OUT))+IF(((c_TMAP2OUT)-(c_TMAP1OUT))&gt;=0,1,-1)*QUOTIENT(((c_TMAP2IN)-(c_TMAP1IN)),2))+2147483648,4294967296)-2147483648,((c_TMAP2IN)-(c_TMAP1IN))*(((A294)-(c_TMAP1IN))*((c_TMAP2OUT)-(c_TMAP1OUT))+IF(((c_TMAP2OUT)-(c_TMAP1OUT))&gt;=0,1,-1)*QUOTIENT(((c_TMAP2IN)-(c_TMAP1IN)),2)))&gt;=0,1,0)))</f>
        <v>146</v>
      </c>
      <c r="F294" s="7" t="n">
        <f aca="false">IF(((c_TMAP3IN)-(c_TMAP2IN))=0,(c_TMAP2OUT)+QUOTIENT(((c_TMAP3OUT)-(c_TMAP2OUT)),2),QUOTIENT((((A294)-(c_TMAP2IN))*((c_TMAP3OUT)-(c_TMAP2OUT))+IF(((c_TMAP3OUT)-(c_TMAP2OUT))&gt;=0,1,-1)*QUOTIENT(((c_TMAP3IN)-(c_TMAP2IN)),2)),((c_TMAP3IN)-(c_TMAP2IN)))+(c_TMAP2OUT)+IF(((c_TMAP3OUT)-(c_TMAP2OUT))&gt;=0,IF(IF(o_WRAP=1,MOD(((c_TMAP3IN)-(c_TMAP2IN))*(((A294)-(c_TMAP2IN))*((c_TMAP3OUT)-(c_TMAP2OUT))+IF(((c_TMAP3OUT)-(c_TMAP2OUT))&gt;=0,1,-1)*QUOTIENT(((c_TMAP3IN)-(c_TMAP2IN)),2))+2147483648,4294967296)-2147483648,((c_TMAP3IN)-(c_TMAP2IN))*(((A294)-(c_TMAP2IN))*((c_TMAP3OUT)-(c_TMAP2OUT))+IF(((c_TMAP3OUT)-(c_TMAP2OUT))&gt;=0,1,-1)*QUOTIENT(((c_TMAP3IN)-(c_TMAP2IN)),2)))&lt;0,-1,0),IF(IF(o_WRAP=1,MOD(((c_TMAP3IN)-(c_TMAP2IN))*(((A294)-(c_TMAP2IN))*((c_TMAP3OUT)-(c_TMAP2OUT))+IF(((c_TMAP3OUT)-(c_TMAP2OUT))&gt;=0,1,-1)*QUOTIENT(((c_TMAP3IN)-(c_TMAP2IN)),2))+2147483648,4294967296)-2147483648,((c_TMAP3IN)-(c_TMAP2IN))*(((A294)-(c_TMAP2IN))*((c_TMAP3OUT)-(c_TMAP2OUT))+IF(((c_TMAP3OUT)-(c_TMAP2OUT))&gt;=0,1,-1)*QUOTIENT(((c_TMAP3IN)-(c_TMAP2IN)),2)))&gt;=0,1,0)))</f>
        <v>157</v>
      </c>
      <c r="G294" s="7" t="n">
        <f aca="false">IF(((1000)-(c_TMAP3IN))=0,(c_TMAP3OUT)+QUOTIENT(((1000)-(c_TMAP3OUT)),2),QUOTIENT((((A294)-(c_TMAP3IN))*((1000)-(c_TMAP3OUT))+IF(((1000)-(c_TMAP3OUT))&gt;=0,1,-1)*QUOTIENT(((1000)-(c_TMAP3IN)),2)),((1000)-(c_TMAP3IN)))+(c_TMAP3OUT)+IF(((1000)-(c_TMAP3OUT))&gt;=0,IF(IF(o_WRAP=1,MOD(((1000)-(c_TMAP3IN))*(((A294)-(c_TMAP3IN))*((1000)-(c_TMAP3OUT))+IF(((1000)-(c_TMAP3OUT))&gt;=0,1,-1)*QUOTIENT(((1000)-(c_TMAP3IN)),2))+2147483648,4294967296)-2147483648,((1000)-(c_TMAP3IN))*(((A294)-(c_TMAP3IN))*((1000)-(c_TMAP3OUT))+IF(((1000)-(c_TMAP3OUT))&gt;=0,1,-1)*QUOTIENT(((1000)-(c_TMAP3IN)),2)))&lt;0,-1,0),IF(IF(o_WRAP=1,MOD(((1000)-(c_TMAP3IN))*(((A294)-(c_TMAP3IN))*((1000)-(c_TMAP3OUT))+IF(((1000)-(c_TMAP3OUT))&gt;=0,1,-1)*QUOTIENT(((1000)-(c_TMAP3IN)),2))+2147483648,4294967296)-2147483648,((1000)-(c_TMAP3IN))*(((A294)-(c_TMAP3IN))*((1000)-(c_TMAP3OUT))+IF(((1000)-(c_TMAP3OUT))&gt;=0,1,-1)*QUOTIENT(((1000)-(c_TMAP3IN)),2)))&gt;=0,1,0)))</f>
        <v>125</v>
      </c>
      <c r="H294" s="7" t="str">
        <f aca="false">IF(A294&gt;=c_TFWD,IF(AND(A294&gt;=c_TMAP3IN,c_TMAP3IN&lt;1000),"Seg4 map3-100%",IF(AND(A294&gt;=c_TMAP2IN,c_TMAP3IN&gt;c_TMAP2IN),"Seg3 map2-map3",IF(AND(A294&gt;=c_TMAP1IN,c_TMAP2IN&gt;c_TMAP1IN),"Seg2 map1-map2","Seg1 TFWD-map1"))),IF(AND(A294=0,c_TCREEP&gt;0),"Creep",IF(AND(A294&lt;=c_TRNGMIN,A294&gt;=c_TRNGMAX,c_TRNGMIN-c_TRNGMAX&lt;&gt;0),"Regen ramp","Coast (0)")))</f>
        <v>Seg3 map2-map3</v>
      </c>
      <c r="I294" s="7" t="n">
        <f aca="false">IF(A294&gt;=c_TFWD,IF(AND(A294&gt;=c_TMAP3IN,c_TMAP3IN&lt;1000),G294,IF(AND(A294&gt;=c_TMAP2IN,c_TMAP3IN&gt;c_TMAP2IN),F294,IF(AND(A294&gt;=c_TMAP1IN,c_TMAP2IN&gt;c_TMAP1IN),E294,D294))),C294)</f>
        <v>157</v>
      </c>
      <c r="J294" s="7" t="str">
        <f aca="false">IF(I294&lt;-1090,"TOO LOW",IF(I294&gt;1090,"TOO HIGH",""))</f>
        <v/>
      </c>
      <c r="K294" s="15" t="n">
        <f aca="false">IF(J294&lt;&gt;"",0,IF(I294&gt;979,1000,I294))</f>
        <v>157</v>
      </c>
      <c r="L294" s="7" t="n">
        <f aca="false">K294/10</f>
        <v>15.7</v>
      </c>
    </row>
    <row r="295" customFormat="false" ht="15" hidden="false" customHeight="false" outlineLevel="0" collapsed="false">
      <c r="A295" s="7" t="n">
        <v>290</v>
      </c>
      <c r="B295" s="7" t="n">
        <f aca="false">A295/10</f>
        <v>29</v>
      </c>
      <c r="C295" s="7" t="n">
        <f aca="false">IF(AND(A295=0,c_TCREEP&gt;0),10*c_TCREEP,IF(AND(A295&lt;=c_TRNGMIN,A295&gt;=c_TRNGMAX,c_TRNGMIN-c_TRNGMAX&lt;&gt;0),-10*c_TMINRN+QUOTIENT((c_TMAXRN-c_TMINRN)*(100-QUOTIENT((A295-c_TRNGMAX)*100,c_TRNGMIN-c_TRNGMAX)),-10),0))</f>
        <v>0</v>
      </c>
      <c r="D295" s="7" t="n">
        <f aca="false">IF(((c_TMAP1IN)-(c_TFWD))=0,(0)+QUOTIENT(((c_TMAP1OUT)-(0)),2),QUOTIENT((((A295)-(c_TFWD))*((c_TMAP1OUT)-(0))+IF(((c_TMAP1OUT)-(0))&gt;=0,1,-1)*QUOTIENT(((c_TMAP1IN)-(c_TFWD)),2)),((c_TMAP1IN)-(c_TFWD)))+(0)+IF(((c_TMAP1OUT)-(0))&gt;=0,IF(IF(o_WRAP=1,MOD(((c_TMAP1IN)-(c_TFWD))*(((A295)-(c_TFWD))*((c_TMAP1OUT)-(0))+IF(((c_TMAP1OUT)-(0))&gt;=0,1,-1)*QUOTIENT(((c_TMAP1IN)-(c_TFWD)),2))+2147483648,4294967296)-2147483648,((c_TMAP1IN)-(c_TFWD))*(((A295)-(c_TFWD))*((c_TMAP1OUT)-(0))+IF(((c_TMAP1OUT)-(0))&gt;=0,1,-1)*QUOTIENT(((c_TMAP1IN)-(c_TFWD)),2)))&lt;0,-1,0),IF(IF(o_WRAP=1,MOD(((c_TMAP1IN)-(c_TFWD))*(((A295)-(c_TFWD))*((c_TMAP1OUT)-(0))+IF(((c_TMAP1OUT)-(0))&gt;=0,1,-1)*QUOTIENT(((c_TMAP1IN)-(c_TFWD)),2))+2147483648,4294967296)-2147483648,((c_TMAP1IN)-(c_TFWD))*(((A295)-(c_TFWD))*((c_TMAP1OUT)-(0))+IF(((c_TMAP1OUT)-(0))&gt;=0,1,-1)*QUOTIENT(((c_TMAP1IN)-(c_TFWD)),2)))&gt;=0,1,0)))</f>
        <v>218</v>
      </c>
      <c r="E295" s="7" t="n">
        <f aca="false">IF(((c_TMAP2IN)-(c_TMAP1IN))=0,(c_TMAP1OUT)+QUOTIENT(((c_TMAP2OUT)-(c_TMAP1OUT)),2),QUOTIENT((((A295)-(c_TMAP1IN))*((c_TMAP2OUT)-(c_TMAP1OUT))+IF(((c_TMAP2OUT)-(c_TMAP1OUT))&gt;=0,1,-1)*QUOTIENT(((c_TMAP2IN)-(c_TMAP1IN)),2)),((c_TMAP2IN)-(c_TMAP1IN)))+(c_TMAP1OUT)+IF(((c_TMAP2OUT)-(c_TMAP1OUT))&gt;=0,IF(IF(o_WRAP=1,MOD(((c_TMAP2IN)-(c_TMAP1IN))*(((A295)-(c_TMAP1IN))*((c_TMAP2OUT)-(c_TMAP1OUT))+IF(((c_TMAP2OUT)-(c_TMAP1OUT))&gt;=0,1,-1)*QUOTIENT(((c_TMAP2IN)-(c_TMAP1IN)),2))+2147483648,4294967296)-2147483648,((c_TMAP2IN)-(c_TMAP1IN))*(((A295)-(c_TMAP1IN))*((c_TMAP2OUT)-(c_TMAP1OUT))+IF(((c_TMAP2OUT)-(c_TMAP1OUT))&gt;=0,1,-1)*QUOTIENT(((c_TMAP2IN)-(c_TMAP1IN)),2)))&lt;0,-1,0),IF(IF(o_WRAP=1,MOD(((c_TMAP2IN)-(c_TMAP1IN))*(((A295)-(c_TMAP1IN))*((c_TMAP2OUT)-(c_TMAP1OUT))+IF(((c_TMAP2OUT)-(c_TMAP1OUT))&gt;=0,1,-1)*QUOTIENT(((c_TMAP2IN)-(c_TMAP1IN)),2))+2147483648,4294967296)-2147483648,((c_TMAP2IN)-(c_TMAP1IN))*(((A295)-(c_TMAP1IN))*((c_TMAP2OUT)-(c_TMAP1OUT))+IF(((c_TMAP2OUT)-(c_TMAP1OUT))&gt;=0,1,-1)*QUOTIENT(((c_TMAP2IN)-(c_TMAP1IN)),2)))&gt;=0,1,0)))</f>
        <v>146</v>
      </c>
      <c r="F295" s="7" t="n">
        <f aca="false">IF(((c_TMAP3IN)-(c_TMAP2IN))=0,(c_TMAP2OUT)+QUOTIENT(((c_TMAP3OUT)-(c_TMAP2OUT)),2),QUOTIENT((((A295)-(c_TMAP2IN))*((c_TMAP3OUT)-(c_TMAP2OUT))+IF(((c_TMAP3OUT)-(c_TMAP2OUT))&gt;=0,1,-1)*QUOTIENT(((c_TMAP3IN)-(c_TMAP2IN)),2)),((c_TMAP3IN)-(c_TMAP2IN)))+(c_TMAP2OUT)+IF(((c_TMAP3OUT)-(c_TMAP2OUT))&gt;=0,IF(IF(o_WRAP=1,MOD(((c_TMAP3IN)-(c_TMAP2IN))*(((A295)-(c_TMAP2IN))*((c_TMAP3OUT)-(c_TMAP2OUT))+IF(((c_TMAP3OUT)-(c_TMAP2OUT))&gt;=0,1,-1)*QUOTIENT(((c_TMAP3IN)-(c_TMAP2IN)),2))+2147483648,4294967296)-2147483648,((c_TMAP3IN)-(c_TMAP2IN))*(((A295)-(c_TMAP2IN))*((c_TMAP3OUT)-(c_TMAP2OUT))+IF(((c_TMAP3OUT)-(c_TMAP2OUT))&gt;=0,1,-1)*QUOTIENT(((c_TMAP3IN)-(c_TMAP2IN)),2)))&lt;0,-1,0),IF(IF(o_WRAP=1,MOD(((c_TMAP3IN)-(c_TMAP2IN))*(((A295)-(c_TMAP2IN))*((c_TMAP3OUT)-(c_TMAP2OUT))+IF(((c_TMAP3OUT)-(c_TMAP2OUT))&gt;=0,1,-1)*QUOTIENT(((c_TMAP3IN)-(c_TMAP2IN)),2))+2147483648,4294967296)-2147483648,((c_TMAP3IN)-(c_TMAP2IN))*(((A295)-(c_TMAP2IN))*((c_TMAP3OUT)-(c_TMAP2OUT))+IF(((c_TMAP3OUT)-(c_TMAP2OUT))&gt;=0,1,-1)*QUOTIENT(((c_TMAP3IN)-(c_TMAP2IN)),2)))&gt;=0,1,0)))</f>
        <v>158</v>
      </c>
      <c r="G295" s="7" t="n">
        <f aca="false">IF(((1000)-(c_TMAP3IN))=0,(c_TMAP3OUT)+QUOTIENT(((1000)-(c_TMAP3OUT)),2),QUOTIENT((((A295)-(c_TMAP3IN))*((1000)-(c_TMAP3OUT))+IF(((1000)-(c_TMAP3OUT))&gt;=0,1,-1)*QUOTIENT(((1000)-(c_TMAP3IN)),2)),((1000)-(c_TMAP3IN)))+(c_TMAP3OUT)+IF(((1000)-(c_TMAP3OUT))&gt;=0,IF(IF(o_WRAP=1,MOD(((1000)-(c_TMAP3IN))*(((A295)-(c_TMAP3IN))*((1000)-(c_TMAP3OUT))+IF(((1000)-(c_TMAP3OUT))&gt;=0,1,-1)*QUOTIENT(((1000)-(c_TMAP3IN)),2))+2147483648,4294967296)-2147483648,((1000)-(c_TMAP3IN))*(((A295)-(c_TMAP3IN))*((1000)-(c_TMAP3OUT))+IF(((1000)-(c_TMAP3OUT))&gt;=0,1,-1)*QUOTIENT(((1000)-(c_TMAP3IN)),2)))&lt;0,-1,0),IF(IF(o_WRAP=1,MOD(((1000)-(c_TMAP3IN))*(((A295)-(c_TMAP3IN))*((1000)-(c_TMAP3OUT))+IF(((1000)-(c_TMAP3OUT))&gt;=0,1,-1)*QUOTIENT(((1000)-(c_TMAP3IN)),2))+2147483648,4294967296)-2147483648,((1000)-(c_TMAP3IN))*(((A295)-(c_TMAP3IN))*((1000)-(c_TMAP3OUT))+IF(((1000)-(c_TMAP3OUT))&gt;=0,1,-1)*QUOTIENT(((1000)-(c_TMAP3IN)),2)))&gt;=0,1,0)))</f>
        <v>126</v>
      </c>
      <c r="H295" s="7" t="str">
        <f aca="false">IF(A295&gt;=c_TFWD,IF(AND(A295&gt;=c_TMAP3IN,c_TMAP3IN&lt;1000),"Seg4 map3-100%",IF(AND(A295&gt;=c_TMAP2IN,c_TMAP3IN&gt;c_TMAP2IN),"Seg3 map2-map3",IF(AND(A295&gt;=c_TMAP1IN,c_TMAP2IN&gt;c_TMAP1IN),"Seg2 map1-map2","Seg1 TFWD-map1"))),IF(AND(A295=0,c_TCREEP&gt;0),"Creep",IF(AND(A295&lt;=c_TRNGMIN,A295&gt;=c_TRNGMAX,c_TRNGMIN-c_TRNGMAX&lt;&gt;0),"Regen ramp","Coast (0)")))</f>
        <v>Seg3 map2-map3</v>
      </c>
      <c r="I295" s="7" t="n">
        <f aca="false">IF(A295&gt;=c_TFWD,IF(AND(A295&gt;=c_TMAP3IN,c_TMAP3IN&lt;1000),G295,IF(AND(A295&gt;=c_TMAP2IN,c_TMAP3IN&gt;c_TMAP2IN),F295,IF(AND(A295&gt;=c_TMAP1IN,c_TMAP2IN&gt;c_TMAP1IN),E295,D295))),C295)</f>
        <v>158</v>
      </c>
      <c r="J295" s="7" t="str">
        <f aca="false">IF(I295&lt;-1090,"TOO LOW",IF(I295&gt;1090,"TOO HIGH",""))</f>
        <v/>
      </c>
      <c r="K295" s="15" t="n">
        <f aca="false">IF(J295&lt;&gt;"",0,IF(I295&gt;979,1000,I295))</f>
        <v>158</v>
      </c>
      <c r="L295" s="7" t="n">
        <f aca="false">K295/10</f>
        <v>15.8</v>
      </c>
    </row>
    <row r="296" customFormat="false" ht="15" hidden="false" customHeight="false" outlineLevel="0" collapsed="false">
      <c r="A296" s="7" t="n">
        <v>291</v>
      </c>
      <c r="B296" s="7" t="n">
        <f aca="false">A296/10</f>
        <v>29.1</v>
      </c>
      <c r="C296" s="7" t="n">
        <f aca="false">IF(AND(A296=0,c_TCREEP&gt;0),10*c_TCREEP,IF(AND(A296&lt;=c_TRNGMIN,A296&gt;=c_TRNGMAX,c_TRNGMIN-c_TRNGMAX&lt;&gt;0),-10*c_TMINRN+QUOTIENT((c_TMAXRN-c_TMINRN)*(100-QUOTIENT((A296-c_TRNGMAX)*100,c_TRNGMIN-c_TRNGMAX)),-10),0))</f>
        <v>0</v>
      </c>
      <c r="D296" s="7" t="n">
        <f aca="false">IF(((c_TMAP1IN)-(c_TFWD))=0,(0)+QUOTIENT(((c_TMAP1OUT)-(0)),2),QUOTIENT((((A296)-(c_TFWD))*((c_TMAP1OUT)-(0))+IF(((c_TMAP1OUT)-(0))&gt;=0,1,-1)*QUOTIENT(((c_TMAP1IN)-(c_TFWD)),2)),((c_TMAP1IN)-(c_TFWD)))+(0)+IF(((c_TMAP1OUT)-(0))&gt;=0,IF(IF(o_WRAP=1,MOD(((c_TMAP1IN)-(c_TFWD))*(((A296)-(c_TFWD))*((c_TMAP1OUT)-(0))+IF(((c_TMAP1OUT)-(0))&gt;=0,1,-1)*QUOTIENT(((c_TMAP1IN)-(c_TFWD)),2))+2147483648,4294967296)-2147483648,((c_TMAP1IN)-(c_TFWD))*(((A296)-(c_TFWD))*((c_TMAP1OUT)-(0))+IF(((c_TMAP1OUT)-(0))&gt;=0,1,-1)*QUOTIENT(((c_TMAP1IN)-(c_TFWD)),2)))&lt;0,-1,0),IF(IF(o_WRAP=1,MOD(((c_TMAP1IN)-(c_TFWD))*(((A296)-(c_TFWD))*((c_TMAP1OUT)-(0))+IF(((c_TMAP1OUT)-(0))&gt;=0,1,-1)*QUOTIENT(((c_TMAP1IN)-(c_TFWD)),2))+2147483648,4294967296)-2147483648,((c_TMAP1IN)-(c_TFWD))*(((A296)-(c_TFWD))*((c_TMAP1OUT)-(0))+IF(((c_TMAP1OUT)-(0))&gt;=0,1,-1)*QUOTIENT(((c_TMAP1IN)-(c_TFWD)),2)))&gt;=0,1,0)))</f>
        <v>219</v>
      </c>
      <c r="E296" s="7" t="n">
        <f aca="false">IF(((c_TMAP2IN)-(c_TMAP1IN))=0,(c_TMAP1OUT)+QUOTIENT(((c_TMAP2OUT)-(c_TMAP1OUT)),2),QUOTIENT((((A296)-(c_TMAP1IN))*((c_TMAP2OUT)-(c_TMAP1OUT))+IF(((c_TMAP2OUT)-(c_TMAP1OUT))&gt;=0,1,-1)*QUOTIENT(((c_TMAP2IN)-(c_TMAP1IN)),2)),((c_TMAP2IN)-(c_TMAP1IN)))+(c_TMAP1OUT)+IF(((c_TMAP2OUT)-(c_TMAP1OUT))&gt;=0,IF(IF(o_WRAP=1,MOD(((c_TMAP2IN)-(c_TMAP1IN))*(((A296)-(c_TMAP1IN))*((c_TMAP2OUT)-(c_TMAP1OUT))+IF(((c_TMAP2OUT)-(c_TMAP1OUT))&gt;=0,1,-1)*QUOTIENT(((c_TMAP2IN)-(c_TMAP1IN)),2))+2147483648,4294967296)-2147483648,((c_TMAP2IN)-(c_TMAP1IN))*(((A296)-(c_TMAP1IN))*((c_TMAP2OUT)-(c_TMAP1OUT))+IF(((c_TMAP2OUT)-(c_TMAP1OUT))&gt;=0,1,-1)*QUOTIENT(((c_TMAP2IN)-(c_TMAP1IN)),2)))&lt;0,-1,0),IF(IF(o_WRAP=1,MOD(((c_TMAP2IN)-(c_TMAP1IN))*(((A296)-(c_TMAP1IN))*((c_TMAP2OUT)-(c_TMAP1OUT))+IF(((c_TMAP2OUT)-(c_TMAP1OUT))&gt;=0,1,-1)*QUOTIENT(((c_TMAP2IN)-(c_TMAP1IN)),2))+2147483648,4294967296)-2147483648,((c_TMAP2IN)-(c_TMAP1IN))*(((A296)-(c_TMAP1IN))*((c_TMAP2OUT)-(c_TMAP1OUT))+IF(((c_TMAP2OUT)-(c_TMAP1OUT))&gt;=0,1,-1)*QUOTIENT(((c_TMAP2IN)-(c_TMAP1IN)),2)))&gt;=0,1,0)))</f>
        <v>146</v>
      </c>
      <c r="F296" s="7" t="n">
        <f aca="false">IF(((c_TMAP3IN)-(c_TMAP2IN))=0,(c_TMAP2OUT)+QUOTIENT(((c_TMAP3OUT)-(c_TMAP2OUT)),2),QUOTIENT((((A296)-(c_TMAP2IN))*((c_TMAP3OUT)-(c_TMAP2OUT))+IF(((c_TMAP3OUT)-(c_TMAP2OUT))&gt;=0,1,-1)*QUOTIENT(((c_TMAP3IN)-(c_TMAP2IN)),2)),((c_TMAP3IN)-(c_TMAP2IN)))+(c_TMAP2OUT)+IF(((c_TMAP3OUT)-(c_TMAP2OUT))&gt;=0,IF(IF(o_WRAP=1,MOD(((c_TMAP3IN)-(c_TMAP2IN))*(((A296)-(c_TMAP2IN))*((c_TMAP3OUT)-(c_TMAP2OUT))+IF(((c_TMAP3OUT)-(c_TMAP2OUT))&gt;=0,1,-1)*QUOTIENT(((c_TMAP3IN)-(c_TMAP2IN)),2))+2147483648,4294967296)-2147483648,((c_TMAP3IN)-(c_TMAP2IN))*(((A296)-(c_TMAP2IN))*((c_TMAP3OUT)-(c_TMAP2OUT))+IF(((c_TMAP3OUT)-(c_TMAP2OUT))&gt;=0,1,-1)*QUOTIENT(((c_TMAP3IN)-(c_TMAP2IN)),2)))&lt;0,-1,0),IF(IF(o_WRAP=1,MOD(((c_TMAP3IN)-(c_TMAP2IN))*(((A296)-(c_TMAP2IN))*((c_TMAP3OUT)-(c_TMAP2OUT))+IF(((c_TMAP3OUT)-(c_TMAP2OUT))&gt;=0,1,-1)*QUOTIENT(((c_TMAP3IN)-(c_TMAP2IN)),2))+2147483648,4294967296)-2147483648,((c_TMAP3IN)-(c_TMAP2IN))*(((A296)-(c_TMAP2IN))*((c_TMAP3OUT)-(c_TMAP2OUT))+IF(((c_TMAP3OUT)-(c_TMAP2OUT))&gt;=0,1,-1)*QUOTIENT(((c_TMAP3IN)-(c_TMAP2IN)),2)))&gt;=0,1,0)))</f>
        <v>159</v>
      </c>
      <c r="G296" s="7" t="n">
        <f aca="false">IF(((1000)-(c_TMAP3IN))=0,(c_TMAP3OUT)+QUOTIENT(((1000)-(c_TMAP3OUT)),2),QUOTIENT((((A296)-(c_TMAP3IN))*((1000)-(c_TMAP3OUT))+IF(((1000)-(c_TMAP3OUT))&gt;=0,1,-1)*QUOTIENT(((1000)-(c_TMAP3IN)),2)),((1000)-(c_TMAP3IN)))+(c_TMAP3OUT)+IF(((1000)-(c_TMAP3OUT))&gt;=0,IF(IF(o_WRAP=1,MOD(((1000)-(c_TMAP3IN))*(((A296)-(c_TMAP3IN))*((1000)-(c_TMAP3OUT))+IF(((1000)-(c_TMAP3OUT))&gt;=0,1,-1)*QUOTIENT(((1000)-(c_TMAP3IN)),2))+2147483648,4294967296)-2147483648,((1000)-(c_TMAP3IN))*(((A296)-(c_TMAP3IN))*((1000)-(c_TMAP3OUT))+IF(((1000)-(c_TMAP3OUT))&gt;=0,1,-1)*QUOTIENT(((1000)-(c_TMAP3IN)),2)))&lt;0,-1,0),IF(IF(o_WRAP=1,MOD(((1000)-(c_TMAP3IN))*(((A296)-(c_TMAP3IN))*((1000)-(c_TMAP3OUT))+IF(((1000)-(c_TMAP3OUT))&gt;=0,1,-1)*QUOTIENT(((1000)-(c_TMAP3IN)),2))+2147483648,4294967296)-2147483648,((1000)-(c_TMAP3IN))*(((A296)-(c_TMAP3IN))*((1000)-(c_TMAP3OUT))+IF(((1000)-(c_TMAP3OUT))&gt;=0,1,-1)*QUOTIENT(((1000)-(c_TMAP3IN)),2)))&gt;=0,1,0)))</f>
        <v>127</v>
      </c>
      <c r="H296" s="7" t="str">
        <f aca="false">IF(A296&gt;=c_TFWD,IF(AND(A296&gt;=c_TMAP3IN,c_TMAP3IN&lt;1000),"Seg4 map3-100%",IF(AND(A296&gt;=c_TMAP2IN,c_TMAP3IN&gt;c_TMAP2IN),"Seg3 map2-map3",IF(AND(A296&gt;=c_TMAP1IN,c_TMAP2IN&gt;c_TMAP1IN),"Seg2 map1-map2","Seg1 TFWD-map1"))),IF(AND(A296=0,c_TCREEP&gt;0),"Creep",IF(AND(A296&lt;=c_TRNGMIN,A296&gt;=c_TRNGMAX,c_TRNGMIN-c_TRNGMAX&lt;&gt;0),"Regen ramp","Coast (0)")))</f>
        <v>Seg3 map2-map3</v>
      </c>
      <c r="I296" s="7" t="n">
        <f aca="false">IF(A296&gt;=c_TFWD,IF(AND(A296&gt;=c_TMAP3IN,c_TMAP3IN&lt;1000),G296,IF(AND(A296&gt;=c_TMAP2IN,c_TMAP3IN&gt;c_TMAP2IN),F296,IF(AND(A296&gt;=c_TMAP1IN,c_TMAP2IN&gt;c_TMAP1IN),E296,D296))),C296)</f>
        <v>159</v>
      </c>
      <c r="J296" s="7" t="str">
        <f aca="false">IF(I296&lt;-1090,"TOO LOW",IF(I296&gt;1090,"TOO HIGH",""))</f>
        <v/>
      </c>
      <c r="K296" s="15" t="n">
        <f aca="false">IF(J296&lt;&gt;"",0,IF(I296&gt;979,1000,I296))</f>
        <v>159</v>
      </c>
      <c r="L296" s="7" t="n">
        <f aca="false">K296/10</f>
        <v>15.9</v>
      </c>
    </row>
    <row r="297" customFormat="false" ht="15" hidden="false" customHeight="false" outlineLevel="0" collapsed="false">
      <c r="A297" s="7" t="n">
        <v>292</v>
      </c>
      <c r="B297" s="7" t="n">
        <f aca="false">A297/10</f>
        <v>29.2</v>
      </c>
      <c r="C297" s="7" t="n">
        <f aca="false">IF(AND(A297=0,c_TCREEP&gt;0),10*c_TCREEP,IF(AND(A297&lt;=c_TRNGMIN,A297&gt;=c_TRNGMAX,c_TRNGMIN-c_TRNGMAX&lt;&gt;0),-10*c_TMINRN+QUOTIENT((c_TMAXRN-c_TMINRN)*(100-QUOTIENT((A297-c_TRNGMAX)*100,c_TRNGMIN-c_TRNGMAX)),-10),0))</f>
        <v>0</v>
      </c>
      <c r="D297" s="7" t="n">
        <f aca="false">IF(((c_TMAP1IN)-(c_TFWD))=0,(0)+QUOTIENT(((c_TMAP1OUT)-(0)),2),QUOTIENT((((A297)-(c_TFWD))*((c_TMAP1OUT)-(0))+IF(((c_TMAP1OUT)-(0))&gt;=0,1,-1)*QUOTIENT(((c_TMAP1IN)-(c_TFWD)),2)),((c_TMAP1IN)-(c_TFWD)))+(0)+IF(((c_TMAP1OUT)-(0))&gt;=0,IF(IF(o_WRAP=1,MOD(((c_TMAP1IN)-(c_TFWD))*(((A297)-(c_TFWD))*((c_TMAP1OUT)-(0))+IF(((c_TMAP1OUT)-(0))&gt;=0,1,-1)*QUOTIENT(((c_TMAP1IN)-(c_TFWD)),2))+2147483648,4294967296)-2147483648,((c_TMAP1IN)-(c_TFWD))*(((A297)-(c_TFWD))*((c_TMAP1OUT)-(0))+IF(((c_TMAP1OUT)-(0))&gt;=0,1,-1)*QUOTIENT(((c_TMAP1IN)-(c_TFWD)),2)))&lt;0,-1,0),IF(IF(o_WRAP=1,MOD(((c_TMAP1IN)-(c_TFWD))*(((A297)-(c_TFWD))*((c_TMAP1OUT)-(0))+IF(((c_TMAP1OUT)-(0))&gt;=0,1,-1)*QUOTIENT(((c_TMAP1IN)-(c_TFWD)),2))+2147483648,4294967296)-2147483648,((c_TMAP1IN)-(c_TFWD))*(((A297)-(c_TFWD))*((c_TMAP1OUT)-(0))+IF(((c_TMAP1OUT)-(0))&gt;=0,1,-1)*QUOTIENT(((c_TMAP1IN)-(c_TFWD)),2)))&gt;=0,1,0)))</f>
        <v>219</v>
      </c>
      <c r="E297" s="7" t="n">
        <f aca="false">IF(((c_TMAP2IN)-(c_TMAP1IN))=0,(c_TMAP1OUT)+QUOTIENT(((c_TMAP2OUT)-(c_TMAP1OUT)),2),QUOTIENT((((A297)-(c_TMAP1IN))*((c_TMAP2OUT)-(c_TMAP1OUT))+IF(((c_TMAP2OUT)-(c_TMAP1OUT))&gt;=0,1,-1)*QUOTIENT(((c_TMAP2IN)-(c_TMAP1IN)),2)),((c_TMAP2IN)-(c_TMAP1IN)))+(c_TMAP1OUT)+IF(((c_TMAP2OUT)-(c_TMAP1OUT))&gt;=0,IF(IF(o_WRAP=1,MOD(((c_TMAP2IN)-(c_TMAP1IN))*(((A297)-(c_TMAP1IN))*((c_TMAP2OUT)-(c_TMAP1OUT))+IF(((c_TMAP2OUT)-(c_TMAP1OUT))&gt;=0,1,-1)*QUOTIENT(((c_TMAP2IN)-(c_TMAP1IN)),2))+2147483648,4294967296)-2147483648,((c_TMAP2IN)-(c_TMAP1IN))*(((A297)-(c_TMAP1IN))*((c_TMAP2OUT)-(c_TMAP1OUT))+IF(((c_TMAP2OUT)-(c_TMAP1OUT))&gt;=0,1,-1)*QUOTIENT(((c_TMAP2IN)-(c_TMAP1IN)),2)))&lt;0,-1,0),IF(IF(o_WRAP=1,MOD(((c_TMAP2IN)-(c_TMAP1IN))*(((A297)-(c_TMAP1IN))*((c_TMAP2OUT)-(c_TMAP1OUT))+IF(((c_TMAP2OUT)-(c_TMAP1OUT))&gt;=0,1,-1)*QUOTIENT(((c_TMAP2IN)-(c_TMAP1IN)),2))+2147483648,4294967296)-2147483648,((c_TMAP2IN)-(c_TMAP1IN))*(((A297)-(c_TMAP1IN))*((c_TMAP2OUT)-(c_TMAP1OUT))+IF(((c_TMAP2OUT)-(c_TMAP1OUT))&gt;=0,1,-1)*QUOTIENT(((c_TMAP2IN)-(c_TMAP1IN)),2)))&gt;=0,1,0)))</f>
        <v>147</v>
      </c>
      <c r="F297" s="7" t="n">
        <f aca="false">IF(((c_TMAP3IN)-(c_TMAP2IN))=0,(c_TMAP2OUT)+QUOTIENT(((c_TMAP3OUT)-(c_TMAP2OUT)),2),QUOTIENT((((A297)-(c_TMAP2IN))*((c_TMAP3OUT)-(c_TMAP2OUT))+IF(((c_TMAP3OUT)-(c_TMAP2OUT))&gt;=0,1,-1)*QUOTIENT(((c_TMAP3IN)-(c_TMAP2IN)),2)),((c_TMAP3IN)-(c_TMAP2IN)))+(c_TMAP2OUT)+IF(((c_TMAP3OUT)-(c_TMAP2OUT))&gt;=0,IF(IF(o_WRAP=1,MOD(((c_TMAP3IN)-(c_TMAP2IN))*(((A297)-(c_TMAP2IN))*((c_TMAP3OUT)-(c_TMAP2OUT))+IF(((c_TMAP3OUT)-(c_TMAP2OUT))&gt;=0,1,-1)*QUOTIENT(((c_TMAP3IN)-(c_TMAP2IN)),2))+2147483648,4294967296)-2147483648,((c_TMAP3IN)-(c_TMAP2IN))*(((A297)-(c_TMAP2IN))*((c_TMAP3OUT)-(c_TMAP2OUT))+IF(((c_TMAP3OUT)-(c_TMAP2OUT))&gt;=0,1,-1)*QUOTIENT(((c_TMAP3IN)-(c_TMAP2IN)),2)))&lt;0,-1,0),IF(IF(o_WRAP=1,MOD(((c_TMAP3IN)-(c_TMAP2IN))*(((A297)-(c_TMAP2IN))*((c_TMAP3OUT)-(c_TMAP2OUT))+IF(((c_TMAP3OUT)-(c_TMAP2OUT))&gt;=0,1,-1)*QUOTIENT(((c_TMAP3IN)-(c_TMAP2IN)),2))+2147483648,4294967296)-2147483648,((c_TMAP3IN)-(c_TMAP2IN))*(((A297)-(c_TMAP2IN))*((c_TMAP3OUT)-(c_TMAP2OUT))+IF(((c_TMAP3OUT)-(c_TMAP2OUT))&gt;=0,1,-1)*QUOTIENT(((c_TMAP3IN)-(c_TMAP2IN)),2)))&gt;=0,1,0)))</f>
        <v>159</v>
      </c>
      <c r="G297" s="7" t="n">
        <f aca="false">IF(((1000)-(c_TMAP3IN))=0,(c_TMAP3OUT)+QUOTIENT(((1000)-(c_TMAP3OUT)),2),QUOTIENT((((A297)-(c_TMAP3IN))*((1000)-(c_TMAP3OUT))+IF(((1000)-(c_TMAP3OUT))&gt;=0,1,-1)*QUOTIENT(((1000)-(c_TMAP3IN)),2)),((1000)-(c_TMAP3IN)))+(c_TMAP3OUT)+IF(((1000)-(c_TMAP3OUT))&gt;=0,IF(IF(o_WRAP=1,MOD(((1000)-(c_TMAP3IN))*(((A297)-(c_TMAP3IN))*((1000)-(c_TMAP3OUT))+IF(((1000)-(c_TMAP3OUT))&gt;=0,1,-1)*QUOTIENT(((1000)-(c_TMAP3IN)),2))+2147483648,4294967296)-2147483648,((1000)-(c_TMAP3IN))*(((A297)-(c_TMAP3IN))*((1000)-(c_TMAP3OUT))+IF(((1000)-(c_TMAP3OUT))&gt;=0,1,-1)*QUOTIENT(((1000)-(c_TMAP3IN)),2)))&lt;0,-1,0),IF(IF(o_WRAP=1,MOD(((1000)-(c_TMAP3IN))*(((A297)-(c_TMAP3IN))*((1000)-(c_TMAP3OUT))+IF(((1000)-(c_TMAP3OUT))&gt;=0,1,-1)*QUOTIENT(((1000)-(c_TMAP3IN)),2))+2147483648,4294967296)-2147483648,((1000)-(c_TMAP3IN))*(((A297)-(c_TMAP3IN))*((1000)-(c_TMAP3OUT))+IF(((1000)-(c_TMAP3OUT))&gt;=0,1,-1)*QUOTIENT(((1000)-(c_TMAP3IN)),2)))&gt;=0,1,0)))</f>
        <v>129</v>
      </c>
      <c r="H297" s="7" t="str">
        <f aca="false">IF(A297&gt;=c_TFWD,IF(AND(A297&gt;=c_TMAP3IN,c_TMAP3IN&lt;1000),"Seg4 map3-100%",IF(AND(A297&gt;=c_TMAP2IN,c_TMAP3IN&gt;c_TMAP2IN),"Seg3 map2-map3",IF(AND(A297&gt;=c_TMAP1IN,c_TMAP2IN&gt;c_TMAP1IN),"Seg2 map1-map2","Seg1 TFWD-map1"))),IF(AND(A297=0,c_TCREEP&gt;0),"Creep",IF(AND(A297&lt;=c_TRNGMIN,A297&gt;=c_TRNGMAX,c_TRNGMIN-c_TRNGMAX&lt;&gt;0),"Regen ramp","Coast (0)")))</f>
        <v>Seg3 map2-map3</v>
      </c>
      <c r="I297" s="7" t="n">
        <f aca="false">IF(A297&gt;=c_TFWD,IF(AND(A297&gt;=c_TMAP3IN,c_TMAP3IN&lt;1000),G297,IF(AND(A297&gt;=c_TMAP2IN,c_TMAP3IN&gt;c_TMAP2IN),F297,IF(AND(A297&gt;=c_TMAP1IN,c_TMAP2IN&gt;c_TMAP1IN),E297,D297))),C297)</f>
        <v>159</v>
      </c>
      <c r="J297" s="7" t="str">
        <f aca="false">IF(I297&lt;-1090,"TOO LOW",IF(I297&gt;1090,"TOO HIGH",""))</f>
        <v/>
      </c>
      <c r="K297" s="15" t="n">
        <f aca="false">IF(J297&lt;&gt;"",0,IF(I297&gt;979,1000,I297))</f>
        <v>159</v>
      </c>
      <c r="L297" s="7" t="n">
        <f aca="false">K297/10</f>
        <v>15.9</v>
      </c>
    </row>
    <row r="298" customFormat="false" ht="15" hidden="false" customHeight="false" outlineLevel="0" collapsed="false">
      <c r="A298" s="7" t="n">
        <v>293</v>
      </c>
      <c r="B298" s="7" t="n">
        <f aca="false">A298/10</f>
        <v>29.3</v>
      </c>
      <c r="C298" s="7" t="n">
        <f aca="false">IF(AND(A298=0,c_TCREEP&gt;0),10*c_TCREEP,IF(AND(A298&lt;=c_TRNGMIN,A298&gt;=c_TRNGMAX,c_TRNGMIN-c_TRNGMAX&lt;&gt;0),-10*c_TMINRN+QUOTIENT((c_TMAXRN-c_TMINRN)*(100-QUOTIENT((A298-c_TRNGMAX)*100,c_TRNGMIN-c_TRNGMAX)),-10),0))</f>
        <v>0</v>
      </c>
      <c r="D298" s="7" t="n">
        <f aca="false">IF(((c_TMAP1IN)-(c_TFWD))=0,(0)+QUOTIENT(((c_TMAP1OUT)-(0)),2),QUOTIENT((((A298)-(c_TFWD))*((c_TMAP1OUT)-(0))+IF(((c_TMAP1OUT)-(0))&gt;=0,1,-1)*QUOTIENT(((c_TMAP1IN)-(c_TFWD)),2)),((c_TMAP1IN)-(c_TFWD)))+(0)+IF(((c_TMAP1OUT)-(0))&gt;=0,IF(IF(o_WRAP=1,MOD(((c_TMAP1IN)-(c_TFWD))*(((A298)-(c_TFWD))*((c_TMAP1OUT)-(0))+IF(((c_TMAP1OUT)-(0))&gt;=0,1,-1)*QUOTIENT(((c_TMAP1IN)-(c_TFWD)),2))+2147483648,4294967296)-2147483648,((c_TMAP1IN)-(c_TFWD))*(((A298)-(c_TFWD))*((c_TMAP1OUT)-(0))+IF(((c_TMAP1OUT)-(0))&gt;=0,1,-1)*QUOTIENT(((c_TMAP1IN)-(c_TFWD)),2)))&lt;0,-1,0),IF(IF(o_WRAP=1,MOD(((c_TMAP1IN)-(c_TFWD))*(((A298)-(c_TFWD))*((c_TMAP1OUT)-(0))+IF(((c_TMAP1OUT)-(0))&gt;=0,1,-1)*QUOTIENT(((c_TMAP1IN)-(c_TFWD)),2))+2147483648,4294967296)-2147483648,((c_TMAP1IN)-(c_TFWD))*(((A298)-(c_TFWD))*((c_TMAP1OUT)-(0))+IF(((c_TMAP1OUT)-(0))&gt;=0,1,-1)*QUOTIENT(((c_TMAP1IN)-(c_TFWD)),2)))&gt;=0,1,0)))</f>
        <v>220</v>
      </c>
      <c r="E298" s="7" t="n">
        <f aca="false">IF(((c_TMAP2IN)-(c_TMAP1IN))=0,(c_TMAP1OUT)+QUOTIENT(((c_TMAP2OUT)-(c_TMAP1OUT)),2),QUOTIENT((((A298)-(c_TMAP1IN))*((c_TMAP2OUT)-(c_TMAP1OUT))+IF(((c_TMAP2OUT)-(c_TMAP1OUT))&gt;=0,1,-1)*QUOTIENT(((c_TMAP2IN)-(c_TMAP1IN)),2)),((c_TMAP2IN)-(c_TMAP1IN)))+(c_TMAP1OUT)+IF(((c_TMAP2OUT)-(c_TMAP1OUT))&gt;=0,IF(IF(o_WRAP=1,MOD(((c_TMAP2IN)-(c_TMAP1IN))*(((A298)-(c_TMAP1IN))*((c_TMAP2OUT)-(c_TMAP1OUT))+IF(((c_TMAP2OUT)-(c_TMAP1OUT))&gt;=0,1,-1)*QUOTIENT(((c_TMAP2IN)-(c_TMAP1IN)),2))+2147483648,4294967296)-2147483648,((c_TMAP2IN)-(c_TMAP1IN))*(((A298)-(c_TMAP1IN))*((c_TMAP2OUT)-(c_TMAP1OUT))+IF(((c_TMAP2OUT)-(c_TMAP1OUT))&gt;=0,1,-1)*QUOTIENT(((c_TMAP2IN)-(c_TMAP1IN)),2)))&lt;0,-1,0),IF(IF(o_WRAP=1,MOD(((c_TMAP2IN)-(c_TMAP1IN))*(((A298)-(c_TMAP1IN))*((c_TMAP2OUT)-(c_TMAP1OUT))+IF(((c_TMAP2OUT)-(c_TMAP1OUT))&gt;=0,1,-1)*QUOTIENT(((c_TMAP2IN)-(c_TMAP1IN)),2))+2147483648,4294967296)-2147483648,((c_TMAP2IN)-(c_TMAP1IN))*(((A298)-(c_TMAP1IN))*((c_TMAP2OUT)-(c_TMAP1OUT))+IF(((c_TMAP2OUT)-(c_TMAP1OUT))&gt;=0,1,-1)*QUOTIENT(((c_TMAP2IN)-(c_TMAP1IN)),2)))&gt;=0,1,0)))</f>
        <v>147</v>
      </c>
      <c r="F298" s="7" t="n">
        <f aca="false">IF(((c_TMAP3IN)-(c_TMAP2IN))=0,(c_TMAP2OUT)+QUOTIENT(((c_TMAP3OUT)-(c_TMAP2OUT)),2),QUOTIENT((((A298)-(c_TMAP2IN))*((c_TMAP3OUT)-(c_TMAP2OUT))+IF(((c_TMAP3OUT)-(c_TMAP2OUT))&gt;=0,1,-1)*QUOTIENT(((c_TMAP3IN)-(c_TMAP2IN)),2)),((c_TMAP3IN)-(c_TMAP2IN)))+(c_TMAP2OUT)+IF(((c_TMAP3OUT)-(c_TMAP2OUT))&gt;=0,IF(IF(o_WRAP=1,MOD(((c_TMAP3IN)-(c_TMAP2IN))*(((A298)-(c_TMAP2IN))*((c_TMAP3OUT)-(c_TMAP2OUT))+IF(((c_TMAP3OUT)-(c_TMAP2OUT))&gt;=0,1,-1)*QUOTIENT(((c_TMAP3IN)-(c_TMAP2IN)),2))+2147483648,4294967296)-2147483648,((c_TMAP3IN)-(c_TMAP2IN))*(((A298)-(c_TMAP2IN))*((c_TMAP3OUT)-(c_TMAP2OUT))+IF(((c_TMAP3OUT)-(c_TMAP2OUT))&gt;=0,1,-1)*QUOTIENT(((c_TMAP3IN)-(c_TMAP2IN)),2)))&lt;0,-1,0),IF(IF(o_WRAP=1,MOD(((c_TMAP3IN)-(c_TMAP2IN))*(((A298)-(c_TMAP2IN))*((c_TMAP3OUT)-(c_TMAP2OUT))+IF(((c_TMAP3OUT)-(c_TMAP2OUT))&gt;=0,1,-1)*QUOTIENT(((c_TMAP3IN)-(c_TMAP2IN)),2))+2147483648,4294967296)-2147483648,((c_TMAP3IN)-(c_TMAP2IN))*(((A298)-(c_TMAP2IN))*((c_TMAP3OUT)-(c_TMAP2OUT))+IF(((c_TMAP3OUT)-(c_TMAP2OUT))&gt;=0,1,-1)*QUOTIENT(((c_TMAP3IN)-(c_TMAP2IN)),2)))&gt;=0,1,0)))</f>
        <v>160</v>
      </c>
      <c r="G298" s="7" t="n">
        <f aca="false">IF(((1000)-(c_TMAP3IN))=0,(c_TMAP3OUT)+QUOTIENT(((1000)-(c_TMAP3OUT)),2),QUOTIENT((((A298)-(c_TMAP3IN))*((1000)-(c_TMAP3OUT))+IF(((1000)-(c_TMAP3OUT))&gt;=0,1,-1)*QUOTIENT(((1000)-(c_TMAP3IN)),2)),((1000)-(c_TMAP3IN)))+(c_TMAP3OUT)+IF(((1000)-(c_TMAP3OUT))&gt;=0,IF(IF(o_WRAP=1,MOD(((1000)-(c_TMAP3IN))*(((A298)-(c_TMAP3IN))*((1000)-(c_TMAP3OUT))+IF(((1000)-(c_TMAP3OUT))&gt;=0,1,-1)*QUOTIENT(((1000)-(c_TMAP3IN)),2))+2147483648,4294967296)-2147483648,((1000)-(c_TMAP3IN))*(((A298)-(c_TMAP3IN))*((1000)-(c_TMAP3OUT))+IF(((1000)-(c_TMAP3OUT))&gt;=0,1,-1)*QUOTIENT(((1000)-(c_TMAP3IN)),2)))&lt;0,-1,0),IF(IF(o_WRAP=1,MOD(((1000)-(c_TMAP3IN))*(((A298)-(c_TMAP3IN))*((1000)-(c_TMAP3OUT))+IF(((1000)-(c_TMAP3OUT))&gt;=0,1,-1)*QUOTIENT(((1000)-(c_TMAP3IN)),2))+2147483648,4294967296)-2147483648,((1000)-(c_TMAP3IN))*(((A298)-(c_TMAP3IN))*((1000)-(c_TMAP3OUT))+IF(((1000)-(c_TMAP3OUT))&gt;=0,1,-1)*QUOTIENT(((1000)-(c_TMAP3IN)),2)))&gt;=0,1,0)))</f>
        <v>130</v>
      </c>
      <c r="H298" s="7" t="str">
        <f aca="false">IF(A298&gt;=c_TFWD,IF(AND(A298&gt;=c_TMAP3IN,c_TMAP3IN&lt;1000),"Seg4 map3-100%",IF(AND(A298&gt;=c_TMAP2IN,c_TMAP3IN&gt;c_TMAP2IN),"Seg3 map2-map3",IF(AND(A298&gt;=c_TMAP1IN,c_TMAP2IN&gt;c_TMAP1IN),"Seg2 map1-map2","Seg1 TFWD-map1"))),IF(AND(A298=0,c_TCREEP&gt;0),"Creep",IF(AND(A298&lt;=c_TRNGMIN,A298&gt;=c_TRNGMAX,c_TRNGMIN-c_TRNGMAX&lt;&gt;0),"Regen ramp","Coast (0)")))</f>
        <v>Seg3 map2-map3</v>
      </c>
      <c r="I298" s="7" t="n">
        <f aca="false">IF(A298&gt;=c_TFWD,IF(AND(A298&gt;=c_TMAP3IN,c_TMAP3IN&lt;1000),G298,IF(AND(A298&gt;=c_TMAP2IN,c_TMAP3IN&gt;c_TMAP2IN),F298,IF(AND(A298&gt;=c_TMAP1IN,c_TMAP2IN&gt;c_TMAP1IN),E298,D298))),C298)</f>
        <v>160</v>
      </c>
      <c r="J298" s="7" t="str">
        <f aca="false">IF(I298&lt;-1090,"TOO LOW",IF(I298&gt;1090,"TOO HIGH",""))</f>
        <v/>
      </c>
      <c r="K298" s="15" t="n">
        <f aca="false">IF(J298&lt;&gt;"",0,IF(I298&gt;979,1000,I298))</f>
        <v>160</v>
      </c>
      <c r="L298" s="7" t="n">
        <f aca="false">K298/10</f>
        <v>16</v>
      </c>
    </row>
    <row r="299" customFormat="false" ht="15" hidden="false" customHeight="false" outlineLevel="0" collapsed="false">
      <c r="A299" s="7" t="n">
        <v>294</v>
      </c>
      <c r="B299" s="7" t="n">
        <f aca="false">A299/10</f>
        <v>29.4</v>
      </c>
      <c r="C299" s="7" t="n">
        <f aca="false">IF(AND(A299=0,c_TCREEP&gt;0),10*c_TCREEP,IF(AND(A299&lt;=c_TRNGMIN,A299&gt;=c_TRNGMAX,c_TRNGMIN-c_TRNGMAX&lt;&gt;0),-10*c_TMINRN+QUOTIENT((c_TMAXRN-c_TMINRN)*(100-QUOTIENT((A299-c_TRNGMAX)*100,c_TRNGMIN-c_TRNGMAX)),-10),0))</f>
        <v>0</v>
      </c>
      <c r="D299" s="7" t="n">
        <f aca="false">IF(((c_TMAP1IN)-(c_TFWD))=0,(0)+QUOTIENT(((c_TMAP1OUT)-(0)),2),QUOTIENT((((A299)-(c_TFWD))*((c_TMAP1OUT)-(0))+IF(((c_TMAP1OUT)-(0))&gt;=0,1,-1)*QUOTIENT(((c_TMAP1IN)-(c_TFWD)),2)),((c_TMAP1IN)-(c_TFWD)))+(0)+IF(((c_TMAP1OUT)-(0))&gt;=0,IF(IF(o_WRAP=1,MOD(((c_TMAP1IN)-(c_TFWD))*(((A299)-(c_TFWD))*((c_TMAP1OUT)-(0))+IF(((c_TMAP1OUT)-(0))&gt;=0,1,-1)*QUOTIENT(((c_TMAP1IN)-(c_TFWD)),2))+2147483648,4294967296)-2147483648,((c_TMAP1IN)-(c_TFWD))*(((A299)-(c_TFWD))*((c_TMAP1OUT)-(0))+IF(((c_TMAP1OUT)-(0))&gt;=0,1,-1)*QUOTIENT(((c_TMAP1IN)-(c_TFWD)),2)))&lt;0,-1,0),IF(IF(o_WRAP=1,MOD(((c_TMAP1IN)-(c_TFWD))*(((A299)-(c_TFWD))*((c_TMAP1OUT)-(0))+IF(((c_TMAP1OUT)-(0))&gt;=0,1,-1)*QUOTIENT(((c_TMAP1IN)-(c_TFWD)),2))+2147483648,4294967296)-2147483648,((c_TMAP1IN)-(c_TFWD))*(((A299)-(c_TFWD))*((c_TMAP1OUT)-(0))+IF(((c_TMAP1OUT)-(0))&gt;=0,1,-1)*QUOTIENT(((c_TMAP1IN)-(c_TFWD)),2)))&gt;=0,1,0)))</f>
        <v>221</v>
      </c>
      <c r="E299" s="7" t="n">
        <f aca="false">IF(((c_TMAP2IN)-(c_TMAP1IN))=0,(c_TMAP1OUT)+QUOTIENT(((c_TMAP2OUT)-(c_TMAP1OUT)),2),QUOTIENT((((A299)-(c_TMAP1IN))*((c_TMAP2OUT)-(c_TMAP1OUT))+IF(((c_TMAP2OUT)-(c_TMAP1OUT))&gt;=0,1,-1)*QUOTIENT(((c_TMAP2IN)-(c_TMAP1IN)),2)),((c_TMAP2IN)-(c_TMAP1IN)))+(c_TMAP1OUT)+IF(((c_TMAP2OUT)-(c_TMAP1OUT))&gt;=0,IF(IF(o_WRAP=1,MOD(((c_TMAP2IN)-(c_TMAP1IN))*(((A299)-(c_TMAP1IN))*((c_TMAP2OUT)-(c_TMAP1OUT))+IF(((c_TMAP2OUT)-(c_TMAP1OUT))&gt;=0,1,-1)*QUOTIENT(((c_TMAP2IN)-(c_TMAP1IN)),2))+2147483648,4294967296)-2147483648,((c_TMAP2IN)-(c_TMAP1IN))*(((A299)-(c_TMAP1IN))*((c_TMAP2OUT)-(c_TMAP1OUT))+IF(((c_TMAP2OUT)-(c_TMAP1OUT))&gt;=0,1,-1)*QUOTIENT(((c_TMAP2IN)-(c_TMAP1IN)),2)))&lt;0,-1,0),IF(IF(o_WRAP=1,MOD(((c_TMAP2IN)-(c_TMAP1IN))*(((A299)-(c_TMAP1IN))*((c_TMAP2OUT)-(c_TMAP1OUT))+IF(((c_TMAP2OUT)-(c_TMAP1OUT))&gt;=0,1,-1)*QUOTIENT(((c_TMAP2IN)-(c_TMAP1IN)),2))+2147483648,4294967296)-2147483648,((c_TMAP2IN)-(c_TMAP1IN))*(((A299)-(c_TMAP1IN))*((c_TMAP2OUT)-(c_TMAP1OUT))+IF(((c_TMAP2OUT)-(c_TMAP1OUT))&gt;=0,1,-1)*QUOTIENT(((c_TMAP2IN)-(c_TMAP1IN)),2)))&gt;=0,1,0)))</f>
        <v>148</v>
      </c>
      <c r="F299" s="7" t="n">
        <f aca="false">IF(((c_TMAP3IN)-(c_TMAP2IN))=0,(c_TMAP2OUT)+QUOTIENT(((c_TMAP3OUT)-(c_TMAP2OUT)),2),QUOTIENT((((A299)-(c_TMAP2IN))*((c_TMAP3OUT)-(c_TMAP2OUT))+IF(((c_TMAP3OUT)-(c_TMAP2OUT))&gt;=0,1,-1)*QUOTIENT(((c_TMAP3IN)-(c_TMAP2IN)),2)),((c_TMAP3IN)-(c_TMAP2IN)))+(c_TMAP2OUT)+IF(((c_TMAP3OUT)-(c_TMAP2OUT))&gt;=0,IF(IF(o_WRAP=1,MOD(((c_TMAP3IN)-(c_TMAP2IN))*(((A299)-(c_TMAP2IN))*((c_TMAP3OUT)-(c_TMAP2OUT))+IF(((c_TMAP3OUT)-(c_TMAP2OUT))&gt;=0,1,-1)*QUOTIENT(((c_TMAP3IN)-(c_TMAP2IN)),2))+2147483648,4294967296)-2147483648,((c_TMAP3IN)-(c_TMAP2IN))*(((A299)-(c_TMAP2IN))*((c_TMAP3OUT)-(c_TMAP2OUT))+IF(((c_TMAP3OUT)-(c_TMAP2OUT))&gt;=0,1,-1)*QUOTIENT(((c_TMAP3IN)-(c_TMAP2IN)),2)))&lt;0,-1,0),IF(IF(o_WRAP=1,MOD(((c_TMAP3IN)-(c_TMAP2IN))*(((A299)-(c_TMAP2IN))*((c_TMAP3OUT)-(c_TMAP2OUT))+IF(((c_TMAP3OUT)-(c_TMAP2OUT))&gt;=0,1,-1)*QUOTIENT(((c_TMAP3IN)-(c_TMAP2IN)),2))+2147483648,4294967296)-2147483648,((c_TMAP3IN)-(c_TMAP2IN))*(((A299)-(c_TMAP2IN))*((c_TMAP3OUT)-(c_TMAP2OUT))+IF(((c_TMAP3OUT)-(c_TMAP2OUT))&gt;=0,1,-1)*QUOTIENT(((c_TMAP3IN)-(c_TMAP2IN)),2)))&gt;=0,1,0)))</f>
        <v>161</v>
      </c>
      <c r="G299" s="7" t="n">
        <f aca="false">IF(((1000)-(c_TMAP3IN))=0,(c_TMAP3OUT)+QUOTIENT(((1000)-(c_TMAP3OUT)),2),QUOTIENT((((A299)-(c_TMAP3IN))*((1000)-(c_TMAP3OUT))+IF(((1000)-(c_TMAP3OUT))&gt;=0,1,-1)*QUOTIENT(((1000)-(c_TMAP3IN)),2)),((1000)-(c_TMAP3IN)))+(c_TMAP3OUT)+IF(((1000)-(c_TMAP3OUT))&gt;=0,IF(IF(o_WRAP=1,MOD(((1000)-(c_TMAP3IN))*(((A299)-(c_TMAP3IN))*((1000)-(c_TMAP3OUT))+IF(((1000)-(c_TMAP3OUT))&gt;=0,1,-1)*QUOTIENT(((1000)-(c_TMAP3IN)),2))+2147483648,4294967296)-2147483648,((1000)-(c_TMAP3IN))*(((A299)-(c_TMAP3IN))*((1000)-(c_TMAP3OUT))+IF(((1000)-(c_TMAP3OUT))&gt;=0,1,-1)*QUOTIENT(((1000)-(c_TMAP3IN)),2)))&lt;0,-1,0),IF(IF(o_WRAP=1,MOD(((1000)-(c_TMAP3IN))*(((A299)-(c_TMAP3IN))*((1000)-(c_TMAP3OUT))+IF(((1000)-(c_TMAP3OUT))&gt;=0,1,-1)*QUOTIENT(((1000)-(c_TMAP3IN)),2))+2147483648,4294967296)-2147483648,((1000)-(c_TMAP3IN))*(((A299)-(c_TMAP3IN))*((1000)-(c_TMAP3OUT))+IF(((1000)-(c_TMAP3OUT))&gt;=0,1,-1)*QUOTIENT(((1000)-(c_TMAP3IN)),2)))&gt;=0,1,0)))</f>
        <v>131</v>
      </c>
      <c r="H299" s="7" t="str">
        <f aca="false">IF(A299&gt;=c_TFWD,IF(AND(A299&gt;=c_TMAP3IN,c_TMAP3IN&lt;1000),"Seg4 map3-100%",IF(AND(A299&gt;=c_TMAP2IN,c_TMAP3IN&gt;c_TMAP2IN),"Seg3 map2-map3",IF(AND(A299&gt;=c_TMAP1IN,c_TMAP2IN&gt;c_TMAP1IN),"Seg2 map1-map2","Seg1 TFWD-map1"))),IF(AND(A299=0,c_TCREEP&gt;0),"Creep",IF(AND(A299&lt;=c_TRNGMIN,A299&gt;=c_TRNGMAX,c_TRNGMIN-c_TRNGMAX&lt;&gt;0),"Regen ramp","Coast (0)")))</f>
        <v>Seg3 map2-map3</v>
      </c>
      <c r="I299" s="7" t="n">
        <f aca="false">IF(A299&gt;=c_TFWD,IF(AND(A299&gt;=c_TMAP3IN,c_TMAP3IN&lt;1000),G299,IF(AND(A299&gt;=c_TMAP2IN,c_TMAP3IN&gt;c_TMAP2IN),F299,IF(AND(A299&gt;=c_TMAP1IN,c_TMAP2IN&gt;c_TMAP1IN),E299,D299))),C299)</f>
        <v>161</v>
      </c>
      <c r="J299" s="7" t="str">
        <f aca="false">IF(I299&lt;-1090,"TOO LOW",IF(I299&gt;1090,"TOO HIGH",""))</f>
        <v/>
      </c>
      <c r="K299" s="15" t="n">
        <f aca="false">IF(J299&lt;&gt;"",0,IF(I299&gt;979,1000,I299))</f>
        <v>161</v>
      </c>
      <c r="L299" s="7" t="n">
        <f aca="false">K299/10</f>
        <v>16.1</v>
      </c>
    </row>
    <row r="300" customFormat="false" ht="15" hidden="false" customHeight="false" outlineLevel="0" collapsed="false">
      <c r="A300" s="7" t="n">
        <v>295</v>
      </c>
      <c r="B300" s="7" t="n">
        <f aca="false">A300/10</f>
        <v>29.5</v>
      </c>
      <c r="C300" s="7" t="n">
        <f aca="false">IF(AND(A300=0,c_TCREEP&gt;0),10*c_TCREEP,IF(AND(A300&lt;=c_TRNGMIN,A300&gt;=c_TRNGMAX,c_TRNGMIN-c_TRNGMAX&lt;&gt;0),-10*c_TMINRN+QUOTIENT((c_TMAXRN-c_TMINRN)*(100-QUOTIENT((A300-c_TRNGMAX)*100,c_TRNGMIN-c_TRNGMAX)),-10),0))</f>
        <v>0</v>
      </c>
      <c r="D300" s="7" t="n">
        <f aca="false">IF(((c_TMAP1IN)-(c_TFWD))=0,(0)+QUOTIENT(((c_TMAP1OUT)-(0)),2),QUOTIENT((((A300)-(c_TFWD))*((c_TMAP1OUT)-(0))+IF(((c_TMAP1OUT)-(0))&gt;=0,1,-1)*QUOTIENT(((c_TMAP1IN)-(c_TFWD)),2)),((c_TMAP1IN)-(c_TFWD)))+(0)+IF(((c_TMAP1OUT)-(0))&gt;=0,IF(IF(o_WRAP=1,MOD(((c_TMAP1IN)-(c_TFWD))*(((A300)-(c_TFWD))*((c_TMAP1OUT)-(0))+IF(((c_TMAP1OUT)-(0))&gt;=0,1,-1)*QUOTIENT(((c_TMAP1IN)-(c_TFWD)),2))+2147483648,4294967296)-2147483648,((c_TMAP1IN)-(c_TFWD))*(((A300)-(c_TFWD))*((c_TMAP1OUT)-(0))+IF(((c_TMAP1OUT)-(0))&gt;=0,1,-1)*QUOTIENT(((c_TMAP1IN)-(c_TFWD)),2)))&lt;0,-1,0),IF(IF(o_WRAP=1,MOD(((c_TMAP1IN)-(c_TFWD))*(((A300)-(c_TFWD))*((c_TMAP1OUT)-(0))+IF(((c_TMAP1OUT)-(0))&gt;=0,1,-1)*QUOTIENT(((c_TMAP1IN)-(c_TFWD)),2))+2147483648,4294967296)-2147483648,((c_TMAP1IN)-(c_TFWD))*(((A300)-(c_TFWD))*((c_TMAP1OUT)-(0))+IF(((c_TMAP1OUT)-(0))&gt;=0,1,-1)*QUOTIENT(((c_TMAP1IN)-(c_TFWD)),2)))&gt;=0,1,0)))</f>
        <v>222</v>
      </c>
      <c r="E300" s="7" t="n">
        <f aca="false">IF(((c_TMAP2IN)-(c_TMAP1IN))=0,(c_TMAP1OUT)+QUOTIENT(((c_TMAP2OUT)-(c_TMAP1OUT)),2),QUOTIENT((((A300)-(c_TMAP1IN))*((c_TMAP2OUT)-(c_TMAP1OUT))+IF(((c_TMAP2OUT)-(c_TMAP1OUT))&gt;=0,1,-1)*QUOTIENT(((c_TMAP2IN)-(c_TMAP1IN)),2)),((c_TMAP2IN)-(c_TMAP1IN)))+(c_TMAP1OUT)+IF(((c_TMAP2OUT)-(c_TMAP1OUT))&gt;=0,IF(IF(o_WRAP=1,MOD(((c_TMAP2IN)-(c_TMAP1IN))*(((A300)-(c_TMAP1IN))*((c_TMAP2OUT)-(c_TMAP1OUT))+IF(((c_TMAP2OUT)-(c_TMAP1OUT))&gt;=0,1,-1)*QUOTIENT(((c_TMAP2IN)-(c_TMAP1IN)),2))+2147483648,4294967296)-2147483648,((c_TMAP2IN)-(c_TMAP1IN))*(((A300)-(c_TMAP1IN))*((c_TMAP2OUT)-(c_TMAP1OUT))+IF(((c_TMAP2OUT)-(c_TMAP1OUT))&gt;=0,1,-1)*QUOTIENT(((c_TMAP2IN)-(c_TMAP1IN)),2)))&lt;0,-1,0),IF(IF(o_WRAP=1,MOD(((c_TMAP2IN)-(c_TMAP1IN))*(((A300)-(c_TMAP1IN))*((c_TMAP2OUT)-(c_TMAP1OUT))+IF(((c_TMAP2OUT)-(c_TMAP1OUT))&gt;=0,1,-1)*QUOTIENT(((c_TMAP2IN)-(c_TMAP1IN)),2))+2147483648,4294967296)-2147483648,((c_TMAP2IN)-(c_TMAP1IN))*(((A300)-(c_TMAP1IN))*((c_TMAP2OUT)-(c_TMAP1OUT))+IF(((c_TMAP2OUT)-(c_TMAP1OUT))&gt;=0,1,-1)*QUOTIENT(((c_TMAP2IN)-(c_TMAP1IN)),2)))&gt;=0,1,0)))</f>
        <v>148</v>
      </c>
      <c r="F300" s="7" t="n">
        <f aca="false">IF(((c_TMAP3IN)-(c_TMAP2IN))=0,(c_TMAP2OUT)+QUOTIENT(((c_TMAP3OUT)-(c_TMAP2OUT)),2),QUOTIENT((((A300)-(c_TMAP2IN))*((c_TMAP3OUT)-(c_TMAP2OUT))+IF(((c_TMAP3OUT)-(c_TMAP2OUT))&gt;=0,1,-1)*QUOTIENT(((c_TMAP3IN)-(c_TMAP2IN)),2)),((c_TMAP3IN)-(c_TMAP2IN)))+(c_TMAP2OUT)+IF(((c_TMAP3OUT)-(c_TMAP2OUT))&gt;=0,IF(IF(o_WRAP=1,MOD(((c_TMAP3IN)-(c_TMAP2IN))*(((A300)-(c_TMAP2IN))*((c_TMAP3OUT)-(c_TMAP2OUT))+IF(((c_TMAP3OUT)-(c_TMAP2OUT))&gt;=0,1,-1)*QUOTIENT(((c_TMAP3IN)-(c_TMAP2IN)),2))+2147483648,4294967296)-2147483648,((c_TMAP3IN)-(c_TMAP2IN))*(((A300)-(c_TMAP2IN))*((c_TMAP3OUT)-(c_TMAP2OUT))+IF(((c_TMAP3OUT)-(c_TMAP2OUT))&gt;=0,1,-1)*QUOTIENT(((c_TMAP3IN)-(c_TMAP2IN)),2)))&lt;0,-1,0),IF(IF(o_WRAP=1,MOD(((c_TMAP3IN)-(c_TMAP2IN))*(((A300)-(c_TMAP2IN))*((c_TMAP3OUT)-(c_TMAP2OUT))+IF(((c_TMAP3OUT)-(c_TMAP2OUT))&gt;=0,1,-1)*QUOTIENT(((c_TMAP3IN)-(c_TMAP2IN)),2))+2147483648,4294967296)-2147483648,((c_TMAP3IN)-(c_TMAP2IN))*(((A300)-(c_TMAP2IN))*((c_TMAP3OUT)-(c_TMAP2OUT))+IF(((c_TMAP3OUT)-(c_TMAP2OUT))&gt;=0,1,-1)*QUOTIENT(((c_TMAP3IN)-(c_TMAP2IN)),2)))&gt;=0,1,0)))</f>
        <v>162</v>
      </c>
      <c r="G300" s="7" t="n">
        <f aca="false">IF(((1000)-(c_TMAP3IN))=0,(c_TMAP3OUT)+QUOTIENT(((1000)-(c_TMAP3OUT)),2),QUOTIENT((((A300)-(c_TMAP3IN))*((1000)-(c_TMAP3OUT))+IF(((1000)-(c_TMAP3OUT))&gt;=0,1,-1)*QUOTIENT(((1000)-(c_TMAP3IN)),2)),((1000)-(c_TMAP3IN)))+(c_TMAP3OUT)+IF(((1000)-(c_TMAP3OUT))&gt;=0,IF(IF(o_WRAP=1,MOD(((1000)-(c_TMAP3IN))*(((A300)-(c_TMAP3IN))*((1000)-(c_TMAP3OUT))+IF(((1000)-(c_TMAP3OUT))&gt;=0,1,-1)*QUOTIENT(((1000)-(c_TMAP3IN)),2))+2147483648,4294967296)-2147483648,((1000)-(c_TMAP3IN))*(((A300)-(c_TMAP3IN))*((1000)-(c_TMAP3OUT))+IF(((1000)-(c_TMAP3OUT))&gt;=0,1,-1)*QUOTIENT(((1000)-(c_TMAP3IN)),2)))&lt;0,-1,0),IF(IF(o_WRAP=1,MOD(((1000)-(c_TMAP3IN))*(((A300)-(c_TMAP3IN))*((1000)-(c_TMAP3OUT))+IF(((1000)-(c_TMAP3OUT))&gt;=0,1,-1)*QUOTIENT(((1000)-(c_TMAP3IN)),2))+2147483648,4294967296)-2147483648,((1000)-(c_TMAP3IN))*(((A300)-(c_TMAP3IN))*((1000)-(c_TMAP3OUT))+IF(((1000)-(c_TMAP3OUT))&gt;=0,1,-1)*QUOTIENT(((1000)-(c_TMAP3IN)),2)))&gt;=0,1,0)))</f>
        <v>132</v>
      </c>
      <c r="H300" s="7" t="str">
        <f aca="false">IF(A300&gt;=c_TFWD,IF(AND(A300&gt;=c_TMAP3IN,c_TMAP3IN&lt;1000),"Seg4 map3-100%",IF(AND(A300&gt;=c_TMAP2IN,c_TMAP3IN&gt;c_TMAP2IN),"Seg3 map2-map3",IF(AND(A300&gt;=c_TMAP1IN,c_TMAP2IN&gt;c_TMAP1IN),"Seg2 map1-map2","Seg1 TFWD-map1"))),IF(AND(A300=0,c_TCREEP&gt;0),"Creep",IF(AND(A300&lt;=c_TRNGMIN,A300&gt;=c_TRNGMAX,c_TRNGMIN-c_TRNGMAX&lt;&gt;0),"Regen ramp","Coast (0)")))</f>
        <v>Seg3 map2-map3</v>
      </c>
      <c r="I300" s="7" t="n">
        <f aca="false">IF(A300&gt;=c_TFWD,IF(AND(A300&gt;=c_TMAP3IN,c_TMAP3IN&lt;1000),G300,IF(AND(A300&gt;=c_TMAP2IN,c_TMAP3IN&gt;c_TMAP2IN),F300,IF(AND(A300&gt;=c_TMAP1IN,c_TMAP2IN&gt;c_TMAP1IN),E300,D300))),C300)</f>
        <v>162</v>
      </c>
      <c r="J300" s="7" t="str">
        <f aca="false">IF(I300&lt;-1090,"TOO LOW",IF(I300&gt;1090,"TOO HIGH",""))</f>
        <v/>
      </c>
      <c r="K300" s="15" t="n">
        <f aca="false">IF(J300&lt;&gt;"",0,IF(I300&gt;979,1000,I300))</f>
        <v>162</v>
      </c>
      <c r="L300" s="7" t="n">
        <f aca="false">K300/10</f>
        <v>16.2</v>
      </c>
    </row>
    <row r="301" customFormat="false" ht="15" hidden="false" customHeight="false" outlineLevel="0" collapsed="false">
      <c r="A301" s="7" t="n">
        <v>296</v>
      </c>
      <c r="B301" s="7" t="n">
        <f aca="false">A301/10</f>
        <v>29.6</v>
      </c>
      <c r="C301" s="7" t="n">
        <f aca="false">IF(AND(A301=0,c_TCREEP&gt;0),10*c_TCREEP,IF(AND(A301&lt;=c_TRNGMIN,A301&gt;=c_TRNGMAX,c_TRNGMIN-c_TRNGMAX&lt;&gt;0),-10*c_TMINRN+QUOTIENT((c_TMAXRN-c_TMINRN)*(100-QUOTIENT((A301-c_TRNGMAX)*100,c_TRNGMIN-c_TRNGMAX)),-10),0))</f>
        <v>0</v>
      </c>
      <c r="D301" s="7" t="n">
        <f aca="false">IF(((c_TMAP1IN)-(c_TFWD))=0,(0)+QUOTIENT(((c_TMAP1OUT)-(0)),2),QUOTIENT((((A301)-(c_TFWD))*((c_TMAP1OUT)-(0))+IF(((c_TMAP1OUT)-(0))&gt;=0,1,-1)*QUOTIENT(((c_TMAP1IN)-(c_TFWD)),2)),((c_TMAP1IN)-(c_TFWD)))+(0)+IF(((c_TMAP1OUT)-(0))&gt;=0,IF(IF(o_WRAP=1,MOD(((c_TMAP1IN)-(c_TFWD))*(((A301)-(c_TFWD))*((c_TMAP1OUT)-(0))+IF(((c_TMAP1OUT)-(0))&gt;=0,1,-1)*QUOTIENT(((c_TMAP1IN)-(c_TFWD)),2))+2147483648,4294967296)-2147483648,((c_TMAP1IN)-(c_TFWD))*(((A301)-(c_TFWD))*((c_TMAP1OUT)-(0))+IF(((c_TMAP1OUT)-(0))&gt;=0,1,-1)*QUOTIENT(((c_TMAP1IN)-(c_TFWD)),2)))&lt;0,-1,0),IF(IF(o_WRAP=1,MOD(((c_TMAP1IN)-(c_TFWD))*(((A301)-(c_TFWD))*((c_TMAP1OUT)-(0))+IF(((c_TMAP1OUT)-(0))&gt;=0,1,-1)*QUOTIENT(((c_TMAP1IN)-(c_TFWD)),2))+2147483648,4294967296)-2147483648,((c_TMAP1IN)-(c_TFWD))*(((A301)-(c_TFWD))*((c_TMAP1OUT)-(0))+IF(((c_TMAP1OUT)-(0))&gt;=0,1,-1)*QUOTIENT(((c_TMAP1IN)-(c_TFWD)),2)))&gt;=0,1,0)))</f>
        <v>222</v>
      </c>
      <c r="E301" s="7" t="n">
        <f aca="false">IF(((c_TMAP2IN)-(c_TMAP1IN))=0,(c_TMAP1OUT)+QUOTIENT(((c_TMAP2OUT)-(c_TMAP1OUT)),2),QUOTIENT((((A301)-(c_TMAP1IN))*((c_TMAP2OUT)-(c_TMAP1OUT))+IF(((c_TMAP2OUT)-(c_TMAP1OUT))&gt;=0,1,-1)*QUOTIENT(((c_TMAP2IN)-(c_TMAP1IN)),2)),((c_TMAP2IN)-(c_TMAP1IN)))+(c_TMAP1OUT)+IF(((c_TMAP2OUT)-(c_TMAP1OUT))&gt;=0,IF(IF(o_WRAP=1,MOD(((c_TMAP2IN)-(c_TMAP1IN))*(((A301)-(c_TMAP1IN))*((c_TMAP2OUT)-(c_TMAP1OUT))+IF(((c_TMAP2OUT)-(c_TMAP1OUT))&gt;=0,1,-1)*QUOTIENT(((c_TMAP2IN)-(c_TMAP1IN)),2))+2147483648,4294967296)-2147483648,((c_TMAP2IN)-(c_TMAP1IN))*(((A301)-(c_TMAP1IN))*((c_TMAP2OUT)-(c_TMAP1OUT))+IF(((c_TMAP2OUT)-(c_TMAP1OUT))&gt;=0,1,-1)*QUOTIENT(((c_TMAP2IN)-(c_TMAP1IN)),2)))&lt;0,-1,0),IF(IF(o_WRAP=1,MOD(((c_TMAP2IN)-(c_TMAP1IN))*(((A301)-(c_TMAP1IN))*((c_TMAP2OUT)-(c_TMAP1OUT))+IF(((c_TMAP2OUT)-(c_TMAP1OUT))&gt;=0,1,-1)*QUOTIENT(((c_TMAP2IN)-(c_TMAP1IN)),2))+2147483648,4294967296)-2147483648,((c_TMAP2IN)-(c_TMAP1IN))*(((A301)-(c_TMAP1IN))*((c_TMAP2OUT)-(c_TMAP1OUT))+IF(((c_TMAP2OUT)-(c_TMAP1OUT))&gt;=0,1,-1)*QUOTIENT(((c_TMAP2IN)-(c_TMAP1IN)),2)))&gt;=0,1,0)))</f>
        <v>148</v>
      </c>
      <c r="F301" s="7" t="n">
        <f aca="false">IF(((c_TMAP3IN)-(c_TMAP2IN))=0,(c_TMAP2OUT)+QUOTIENT(((c_TMAP3OUT)-(c_TMAP2OUT)),2),QUOTIENT((((A301)-(c_TMAP2IN))*((c_TMAP3OUT)-(c_TMAP2OUT))+IF(((c_TMAP3OUT)-(c_TMAP2OUT))&gt;=0,1,-1)*QUOTIENT(((c_TMAP3IN)-(c_TMAP2IN)),2)),((c_TMAP3IN)-(c_TMAP2IN)))+(c_TMAP2OUT)+IF(((c_TMAP3OUT)-(c_TMAP2OUT))&gt;=0,IF(IF(o_WRAP=1,MOD(((c_TMAP3IN)-(c_TMAP2IN))*(((A301)-(c_TMAP2IN))*((c_TMAP3OUT)-(c_TMAP2OUT))+IF(((c_TMAP3OUT)-(c_TMAP2OUT))&gt;=0,1,-1)*QUOTIENT(((c_TMAP3IN)-(c_TMAP2IN)),2))+2147483648,4294967296)-2147483648,((c_TMAP3IN)-(c_TMAP2IN))*(((A301)-(c_TMAP2IN))*((c_TMAP3OUT)-(c_TMAP2OUT))+IF(((c_TMAP3OUT)-(c_TMAP2OUT))&gt;=0,1,-1)*QUOTIENT(((c_TMAP3IN)-(c_TMAP2IN)),2)))&lt;0,-1,0),IF(IF(o_WRAP=1,MOD(((c_TMAP3IN)-(c_TMAP2IN))*(((A301)-(c_TMAP2IN))*((c_TMAP3OUT)-(c_TMAP2OUT))+IF(((c_TMAP3OUT)-(c_TMAP2OUT))&gt;=0,1,-1)*QUOTIENT(((c_TMAP3IN)-(c_TMAP2IN)),2))+2147483648,4294967296)-2147483648,((c_TMAP3IN)-(c_TMAP2IN))*(((A301)-(c_TMAP2IN))*((c_TMAP3OUT)-(c_TMAP2OUT))+IF(((c_TMAP3OUT)-(c_TMAP2OUT))&gt;=0,1,-1)*QUOTIENT(((c_TMAP3IN)-(c_TMAP2IN)),2)))&gt;=0,1,0)))</f>
        <v>162</v>
      </c>
      <c r="G301" s="7" t="n">
        <f aca="false">IF(((1000)-(c_TMAP3IN))=0,(c_TMAP3OUT)+QUOTIENT(((1000)-(c_TMAP3OUT)),2),QUOTIENT((((A301)-(c_TMAP3IN))*((1000)-(c_TMAP3OUT))+IF(((1000)-(c_TMAP3OUT))&gt;=0,1,-1)*QUOTIENT(((1000)-(c_TMAP3IN)),2)),((1000)-(c_TMAP3IN)))+(c_TMAP3OUT)+IF(((1000)-(c_TMAP3OUT))&gt;=0,IF(IF(o_WRAP=1,MOD(((1000)-(c_TMAP3IN))*(((A301)-(c_TMAP3IN))*((1000)-(c_TMAP3OUT))+IF(((1000)-(c_TMAP3OUT))&gt;=0,1,-1)*QUOTIENT(((1000)-(c_TMAP3IN)),2))+2147483648,4294967296)-2147483648,((1000)-(c_TMAP3IN))*(((A301)-(c_TMAP3IN))*((1000)-(c_TMAP3OUT))+IF(((1000)-(c_TMAP3OUT))&gt;=0,1,-1)*QUOTIENT(((1000)-(c_TMAP3IN)),2)))&lt;0,-1,0),IF(IF(o_WRAP=1,MOD(((1000)-(c_TMAP3IN))*(((A301)-(c_TMAP3IN))*((1000)-(c_TMAP3OUT))+IF(((1000)-(c_TMAP3OUT))&gt;=0,1,-1)*QUOTIENT(((1000)-(c_TMAP3IN)),2))+2147483648,4294967296)-2147483648,((1000)-(c_TMAP3IN))*(((A301)-(c_TMAP3IN))*((1000)-(c_TMAP3OUT))+IF(((1000)-(c_TMAP3OUT))&gt;=0,1,-1)*QUOTIENT(((1000)-(c_TMAP3IN)),2)))&gt;=0,1,0)))</f>
        <v>134</v>
      </c>
      <c r="H301" s="7" t="str">
        <f aca="false">IF(A301&gt;=c_TFWD,IF(AND(A301&gt;=c_TMAP3IN,c_TMAP3IN&lt;1000),"Seg4 map3-100%",IF(AND(A301&gt;=c_TMAP2IN,c_TMAP3IN&gt;c_TMAP2IN),"Seg3 map2-map3",IF(AND(A301&gt;=c_TMAP1IN,c_TMAP2IN&gt;c_TMAP1IN),"Seg2 map1-map2","Seg1 TFWD-map1"))),IF(AND(A301=0,c_TCREEP&gt;0),"Creep",IF(AND(A301&lt;=c_TRNGMIN,A301&gt;=c_TRNGMAX,c_TRNGMIN-c_TRNGMAX&lt;&gt;0),"Regen ramp","Coast (0)")))</f>
        <v>Seg3 map2-map3</v>
      </c>
      <c r="I301" s="7" t="n">
        <f aca="false">IF(A301&gt;=c_TFWD,IF(AND(A301&gt;=c_TMAP3IN,c_TMAP3IN&lt;1000),G301,IF(AND(A301&gt;=c_TMAP2IN,c_TMAP3IN&gt;c_TMAP2IN),F301,IF(AND(A301&gt;=c_TMAP1IN,c_TMAP2IN&gt;c_TMAP1IN),E301,D301))),C301)</f>
        <v>162</v>
      </c>
      <c r="J301" s="7" t="str">
        <f aca="false">IF(I301&lt;-1090,"TOO LOW",IF(I301&gt;1090,"TOO HIGH",""))</f>
        <v/>
      </c>
      <c r="K301" s="15" t="n">
        <f aca="false">IF(J301&lt;&gt;"",0,IF(I301&gt;979,1000,I301))</f>
        <v>162</v>
      </c>
      <c r="L301" s="7" t="n">
        <f aca="false">K301/10</f>
        <v>16.2</v>
      </c>
    </row>
    <row r="302" customFormat="false" ht="15" hidden="false" customHeight="false" outlineLevel="0" collapsed="false">
      <c r="A302" s="7" t="n">
        <v>297</v>
      </c>
      <c r="B302" s="7" t="n">
        <f aca="false">A302/10</f>
        <v>29.7</v>
      </c>
      <c r="C302" s="7" t="n">
        <f aca="false">IF(AND(A302=0,c_TCREEP&gt;0),10*c_TCREEP,IF(AND(A302&lt;=c_TRNGMIN,A302&gt;=c_TRNGMAX,c_TRNGMIN-c_TRNGMAX&lt;&gt;0),-10*c_TMINRN+QUOTIENT((c_TMAXRN-c_TMINRN)*(100-QUOTIENT((A302-c_TRNGMAX)*100,c_TRNGMIN-c_TRNGMAX)),-10),0))</f>
        <v>0</v>
      </c>
      <c r="D302" s="7" t="n">
        <f aca="false">IF(((c_TMAP1IN)-(c_TFWD))=0,(0)+QUOTIENT(((c_TMAP1OUT)-(0)),2),QUOTIENT((((A302)-(c_TFWD))*((c_TMAP1OUT)-(0))+IF(((c_TMAP1OUT)-(0))&gt;=0,1,-1)*QUOTIENT(((c_TMAP1IN)-(c_TFWD)),2)),((c_TMAP1IN)-(c_TFWD)))+(0)+IF(((c_TMAP1OUT)-(0))&gt;=0,IF(IF(o_WRAP=1,MOD(((c_TMAP1IN)-(c_TFWD))*(((A302)-(c_TFWD))*((c_TMAP1OUT)-(0))+IF(((c_TMAP1OUT)-(0))&gt;=0,1,-1)*QUOTIENT(((c_TMAP1IN)-(c_TFWD)),2))+2147483648,4294967296)-2147483648,((c_TMAP1IN)-(c_TFWD))*(((A302)-(c_TFWD))*((c_TMAP1OUT)-(0))+IF(((c_TMAP1OUT)-(0))&gt;=0,1,-1)*QUOTIENT(((c_TMAP1IN)-(c_TFWD)),2)))&lt;0,-1,0),IF(IF(o_WRAP=1,MOD(((c_TMAP1IN)-(c_TFWD))*(((A302)-(c_TFWD))*((c_TMAP1OUT)-(0))+IF(((c_TMAP1OUT)-(0))&gt;=0,1,-1)*QUOTIENT(((c_TMAP1IN)-(c_TFWD)),2))+2147483648,4294967296)-2147483648,((c_TMAP1IN)-(c_TFWD))*(((A302)-(c_TFWD))*((c_TMAP1OUT)-(0))+IF(((c_TMAP1OUT)-(0))&gt;=0,1,-1)*QUOTIENT(((c_TMAP1IN)-(c_TFWD)),2)))&gt;=0,1,0)))</f>
        <v>223</v>
      </c>
      <c r="E302" s="7" t="n">
        <f aca="false">IF(((c_TMAP2IN)-(c_TMAP1IN))=0,(c_TMAP1OUT)+QUOTIENT(((c_TMAP2OUT)-(c_TMAP1OUT)),2),QUOTIENT((((A302)-(c_TMAP1IN))*((c_TMAP2OUT)-(c_TMAP1OUT))+IF(((c_TMAP2OUT)-(c_TMAP1OUT))&gt;=0,1,-1)*QUOTIENT(((c_TMAP2IN)-(c_TMAP1IN)),2)),((c_TMAP2IN)-(c_TMAP1IN)))+(c_TMAP1OUT)+IF(((c_TMAP2OUT)-(c_TMAP1OUT))&gt;=0,IF(IF(o_WRAP=1,MOD(((c_TMAP2IN)-(c_TMAP1IN))*(((A302)-(c_TMAP1IN))*((c_TMAP2OUT)-(c_TMAP1OUT))+IF(((c_TMAP2OUT)-(c_TMAP1OUT))&gt;=0,1,-1)*QUOTIENT(((c_TMAP2IN)-(c_TMAP1IN)),2))+2147483648,4294967296)-2147483648,((c_TMAP2IN)-(c_TMAP1IN))*(((A302)-(c_TMAP1IN))*((c_TMAP2OUT)-(c_TMAP1OUT))+IF(((c_TMAP2OUT)-(c_TMAP1OUT))&gt;=0,1,-1)*QUOTIENT(((c_TMAP2IN)-(c_TMAP1IN)),2)))&lt;0,-1,0),IF(IF(o_WRAP=1,MOD(((c_TMAP2IN)-(c_TMAP1IN))*(((A302)-(c_TMAP1IN))*((c_TMAP2OUT)-(c_TMAP1OUT))+IF(((c_TMAP2OUT)-(c_TMAP1OUT))&gt;=0,1,-1)*QUOTIENT(((c_TMAP2IN)-(c_TMAP1IN)),2))+2147483648,4294967296)-2147483648,((c_TMAP2IN)-(c_TMAP1IN))*(((A302)-(c_TMAP1IN))*((c_TMAP2OUT)-(c_TMAP1OUT))+IF(((c_TMAP2OUT)-(c_TMAP1OUT))&gt;=0,1,-1)*QUOTIENT(((c_TMAP2IN)-(c_TMAP1IN)),2)))&gt;=0,1,0)))</f>
        <v>149</v>
      </c>
      <c r="F302" s="7" t="n">
        <f aca="false">IF(((c_TMAP3IN)-(c_TMAP2IN))=0,(c_TMAP2OUT)+QUOTIENT(((c_TMAP3OUT)-(c_TMAP2OUT)),2),QUOTIENT((((A302)-(c_TMAP2IN))*((c_TMAP3OUT)-(c_TMAP2OUT))+IF(((c_TMAP3OUT)-(c_TMAP2OUT))&gt;=0,1,-1)*QUOTIENT(((c_TMAP3IN)-(c_TMAP2IN)),2)),((c_TMAP3IN)-(c_TMAP2IN)))+(c_TMAP2OUT)+IF(((c_TMAP3OUT)-(c_TMAP2OUT))&gt;=0,IF(IF(o_WRAP=1,MOD(((c_TMAP3IN)-(c_TMAP2IN))*(((A302)-(c_TMAP2IN))*((c_TMAP3OUT)-(c_TMAP2OUT))+IF(((c_TMAP3OUT)-(c_TMAP2OUT))&gt;=0,1,-1)*QUOTIENT(((c_TMAP3IN)-(c_TMAP2IN)),2))+2147483648,4294967296)-2147483648,((c_TMAP3IN)-(c_TMAP2IN))*(((A302)-(c_TMAP2IN))*((c_TMAP3OUT)-(c_TMAP2OUT))+IF(((c_TMAP3OUT)-(c_TMAP2OUT))&gt;=0,1,-1)*QUOTIENT(((c_TMAP3IN)-(c_TMAP2IN)),2)))&lt;0,-1,0),IF(IF(o_WRAP=1,MOD(((c_TMAP3IN)-(c_TMAP2IN))*(((A302)-(c_TMAP2IN))*((c_TMAP3OUT)-(c_TMAP2OUT))+IF(((c_TMAP3OUT)-(c_TMAP2OUT))&gt;=0,1,-1)*QUOTIENT(((c_TMAP3IN)-(c_TMAP2IN)),2))+2147483648,4294967296)-2147483648,((c_TMAP3IN)-(c_TMAP2IN))*(((A302)-(c_TMAP2IN))*((c_TMAP3OUT)-(c_TMAP2OUT))+IF(((c_TMAP3OUT)-(c_TMAP2OUT))&gt;=0,1,-1)*QUOTIENT(((c_TMAP3IN)-(c_TMAP2IN)),2)))&gt;=0,1,0)))</f>
        <v>163</v>
      </c>
      <c r="G302" s="7" t="n">
        <f aca="false">IF(((1000)-(c_TMAP3IN))=0,(c_TMAP3OUT)+QUOTIENT(((1000)-(c_TMAP3OUT)),2),QUOTIENT((((A302)-(c_TMAP3IN))*((1000)-(c_TMAP3OUT))+IF(((1000)-(c_TMAP3OUT))&gt;=0,1,-1)*QUOTIENT(((1000)-(c_TMAP3IN)),2)),((1000)-(c_TMAP3IN)))+(c_TMAP3OUT)+IF(((1000)-(c_TMAP3OUT))&gt;=0,IF(IF(o_WRAP=1,MOD(((1000)-(c_TMAP3IN))*(((A302)-(c_TMAP3IN))*((1000)-(c_TMAP3OUT))+IF(((1000)-(c_TMAP3OUT))&gt;=0,1,-1)*QUOTIENT(((1000)-(c_TMAP3IN)),2))+2147483648,4294967296)-2147483648,((1000)-(c_TMAP3IN))*(((A302)-(c_TMAP3IN))*((1000)-(c_TMAP3OUT))+IF(((1000)-(c_TMAP3OUT))&gt;=0,1,-1)*QUOTIENT(((1000)-(c_TMAP3IN)),2)))&lt;0,-1,0),IF(IF(o_WRAP=1,MOD(((1000)-(c_TMAP3IN))*(((A302)-(c_TMAP3IN))*((1000)-(c_TMAP3OUT))+IF(((1000)-(c_TMAP3OUT))&gt;=0,1,-1)*QUOTIENT(((1000)-(c_TMAP3IN)),2))+2147483648,4294967296)-2147483648,((1000)-(c_TMAP3IN))*(((A302)-(c_TMAP3IN))*((1000)-(c_TMAP3OUT))+IF(((1000)-(c_TMAP3OUT))&gt;=0,1,-1)*QUOTIENT(((1000)-(c_TMAP3IN)),2)))&gt;=0,1,0)))</f>
        <v>135</v>
      </c>
      <c r="H302" s="7" t="str">
        <f aca="false">IF(A302&gt;=c_TFWD,IF(AND(A302&gt;=c_TMAP3IN,c_TMAP3IN&lt;1000),"Seg4 map3-100%",IF(AND(A302&gt;=c_TMAP2IN,c_TMAP3IN&gt;c_TMAP2IN),"Seg3 map2-map3",IF(AND(A302&gt;=c_TMAP1IN,c_TMAP2IN&gt;c_TMAP1IN),"Seg2 map1-map2","Seg1 TFWD-map1"))),IF(AND(A302=0,c_TCREEP&gt;0),"Creep",IF(AND(A302&lt;=c_TRNGMIN,A302&gt;=c_TRNGMAX,c_TRNGMIN-c_TRNGMAX&lt;&gt;0),"Regen ramp","Coast (0)")))</f>
        <v>Seg3 map2-map3</v>
      </c>
      <c r="I302" s="7" t="n">
        <f aca="false">IF(A302&gt;=c_TFWD,IF(AND(A302&gt;=c_TMAP3IN,c_TMAP3IN&lt;1000),G302,IF(AND(A302&gt;=c_TMAP2IN,c_TMAP3IN&gt;c_TMAP2IN),F302,IF(AND(A302&gt;=c_TMAP1IN,c_TMAP2IN&gt;c_TMAP1IN),E302,D302))),C302)</f>
        <v>163</v>
      </c>
      <c r="J302" s="7" t="str">
        <f aca="false">IF(I302&lt;-1090,"TOO LOW",IF(I302&gt;1090,"TOO HIGH",""))</f>
        <v/>
      </c>
      <c r="K302" s="15" t="n">
        <f aca="false">IF(J302&lt;&gt;"",0,IF(I302&gt;979,1000,I302))</f>
        <v>163</v>
      </c>
      <c r="L302" s="7" t="n">
        <f aca="false">K302/10</f>
        <v>16.3</v>
      </c>
    </row>
    <row r="303" customFormat="false" ht="15" hidden="false" customHeight="false" outlineLevel="0" collapsed="false">
      <c r="A303" s="7" t="n">
        <v>298</v>
      </c>
      <c r="B303" s="7" t="n">
        <f aca="false">A303/10</f>
        <v>29.8</v>
      </c>
      <c r="C303" s="7" t="n">
        <f aca="false">IF(AND(A303=0,c_TCREEP&gt;0),10*c_TCREEP,IF(AND(A303&lt;=c_TRNGMIN,A303&gt;=c_TRNGMAX,c_TRNGMIN-c_TRNGMAX&lt;&gt;0),-10*c_TMINRN+QUOTIENT((c_TMAXRN-c_TMINRN)*(100-QUOTIENT((A303-c_TRNGMAX)*100,c_TRNGMIN-c_TRNGMAX)),-10),0))</f>
        <v>0</v>
      </c>
      <c r="D303" s="7" t="n">
        <f aca="false">IF(((c_TMAP1IN)-(c_TFWD))=0,(0)+QUOTIENT(((c_TMAP1OUT)-(0)),2),QUOTIENT((((A303)-(c_TFWD))*((c_TMAP1OUT)-(0))+IF(((c_TMAP1OUT)-(0))&gt;=0,1,-1)*QUOTIENT(((c_TMAP1IN)-(c_TFWD)),2)),((c_TMAP1IN)-(c_TFWD)))+(0)+IF(((c_TMAP1OUT)-(0))&gt;=0,IF(IF(o_WRAP=1,MOD(((c_TMAP1IN)-(c_TFWD))*(((A303)-(c_TFWD))*((c_TMAP1OUT)-(0))+IF(((c_TMAP1OUT)-(0))&gt;=0,1,-1)*QUOTIENT(((c_TMAP1IN)-(c_TFWD)),2))+2147483648,4294967296)-2147483648,((c_TMAP1IN)-(c_TFWD))*(((A303)-(c_TFWD))*((c_TMAP1OUT)-(0))+IF(((c_TMAP1OUT)-(0))&gt;=0,1,-1)*QUOTIENT(((c_TMAP1IN)-(c_TFWD)),2)))&lt;0,-1,0),IF(IF(o_WRAP=1,MOD(((c_TMAP1IN)-(c_TFWD))*(((A303)-(c_TFWD))*((c_TMAP1OUT)-(0))+IF(((c_TMAP1OUT)-(0))&gt;=0,1,-1)*QUOTIENT(((c_TMAP1IN)-(c_TFWD)),2))+2147483648,4294967296)-2147483648,((c_TMAP1IN)-(c_TFWD))*(((A303)-(c_TFWD))*((c_TMAP1OUT)-(0))+IF(((c_TMAP1OUT)-(0))&gt;=0,1,-1)*QUOTIENT(((c_TMAP1IN)-(c_TFWD)),2)))&gt;=0,1,0)))</f>
        <v>224</v>
      </c>
      <c r="E303" s="7" t="n">
        <f aca="false">IF(((c_TMAP2IN)-(c_TMAP1IN))=0,(c_TMAP1OUT)+QUOTIENT(((c_TMAP2OUT)-(c_TMAP1OUT)),2),QUOTIENT((((A303)-(c_TMAP1IN))*((c_TMAP2OUT)-(c_TMAP1OUT))+IF(((c_TMAP2OUT)-(c_TMAP1OUT))&gt;=0,1,-1)*QUOTIENT(((c_TMAP2IN)-(c_TMAP1IN)),2)),((c_TMAP2IN)-(c_TMAP1IN)))+(c_TMAP1OUT)+IF(((c_TMAP2OUT)-(c_TMAP1OUT))&gt;=0,IF(IF(o_WRAP=1,MOD(((c_TMAP2IN)-(c_TMAP1IN))*(((A303)-(c_TMAP1IN))*((c_TMAP2OUT)-(c_TMAP1OUT))+IF(((c_TMAP2OUT)-(c_TMAP1OUT))&gt;=0,1,-1)*QUOTIENT(((c_TMAP2IN)-(c_TMAP1IN)),2))+2147483648,4294967296)-2147483648,((c_TMAP2IN)-(c_TMAP1IN))*(((A303)-(c_TMAP1IN))*((c_TMAP2OUT)-(c_TMAP1OUT))+IF(((c_TMAP2OUT)-(c_TMAP1OUT))&gt;=0,1,-1)*QUOTIENT(((c_TMAP2IN)-(c_TMAP1IN)),2)))&lt;0,-1,0),IF(IF(o_WRAP=1,MOD(((c_TMAP2IN)-(c_TMAP1IN))*(((A303)-(c_TMAP1IN))*((c_TMAP2OUT)-(c_TMAP1OUT))+IF(((c_TMAP2OUT)-(c_TMAP1OUT))&gt;=0,1,-1)*QUOTIENT(((c_TMAP2IN)-(c_TMAP1IN)),2))+2147483648,4294967296)-2147483648,((c_TMAP2IN)-(c_TMAP1IN))*(((A303)-(c_TMAP1IN))*((c_TMAP2OUT)-(c_TMAP1OUT))+IF(((c_TMAP2OUT)-(c_TMAP1OUT))&gt;=0,1,-1)*QUOTIENT(((c_TMAP2IN)-(c_TMAP1IN)),2)))&gt;=0,1,0)))</f>
        <v>149</v>
      </c>
      <c r="F303" s="7" t="n">
        <f aca="false">IF(((c_TMAP3IN)-(c_TMAP2IN))=0,(c_TMAP2OUT)+QUOTIENT(((c_TMAP3OUT)-(c_TMAP2OUT)),2),QUOTIENT((((A303)-(c_TMAP2IN))*((c_TMAP3OUT)-(c_TMAP2OUT))+IF(((c_TMAP3OUT)-(c_TMAP2OUT))&gt;=0,1,-1)*QUOTIENT(((c_TMAP3IN)-(c_TMAP2IN)),2)),((c_TMAP3IN)-(c_TMAP2IN)))+(c_TMAP2OUT)+IF(((c_TMAP3OUT)-(c_TMAP2OUT))&gt;=0,IF(IF(o_WRAP=1,MOD(((c_TMAP3IN)-(c_TMAP2IN))*(((A303)-(c_TMAP2IN))*((c_TMAP3OUT)-(c_TMAP2OUT))+IF(((c_TMAP3OUT)-(c_TMAP2OUT))&gt;=0,1,-1)*QUOTIENT(((c_TMAP3IN)-(c_TMAP2IN)),2))+2147483648,4294967296)-2147483648,((c_TMAP3IN)-(c_TMAP2IN))*(((A303)-(c_TMAP2IN))*((c_TMAP3OUT)-(c_TMAP2OUT))+IF(((c_TMAP3OUT)-(c_TMAP2OUT))&gt;=0,1,-1)*QUOTIENT(((c_TMAP3IN)-(c_TMAP2IN)),2)))&lt;0,-1,0),IF(IF(o_WRAP=1,MOD(((c_TMAP3IN)-(c_TMAP2IN))*(((A303)-(c_TMAP2IN))*((c_TMAP3OUT)-(c_TMAP2OUT))+IF(((c_TMAP3OUT)-(c_TMAP2OUT))&gt;=0,1,-1)*QUOTIENT(((c_TMAP3IN)-(c_TMAP2IN)),2))+2147483648,4294967296)-2147483648,((c_TMAP3IN)-(c_TMAP2IN))*(((A303)-(c_TMAP2IN))*((c_TMAP3OUT)-(c_TMAP2OUT))+IF(((c_TMAP3OUT)-(c_TMAP2OUT))&gt;=0,1,-1)*QUOTIENT(((c_TMAP3IN)-(c_TMAP2IN)),2)))&gt;=0,1,0)))</f>
        <v>164</v>
      </c>
      <c r="G303" s="7" t="n">
        <f aca="false">IF(((1000)-(c_TMAP3IN))=0,(c_TMAP3OUT)+QUOTIENT(((1000)-(c_TMAP3OUT)),2),QUOTIENT((((A303)-(c_TMAP3IN))*((1000)-(c_TMAP3OUT))+IF(((1000)-(c_TMAP3OUT))&gt;=0,1,-1)*QUOTIENT(((1000)-(c_TMAP3IN)),2)),((1000)-(c_TMAP3IN)))+(c_TMAP3OUT)+IF(((1000)-(c_TMAP3OUT))&gt;=0,IF(IF(o_WRAP=1,MOD(((1000)-(c_TMAP3IN))*(((A303)-(c_TMAP3IN))*((1000)-(c_TMAP3OUT))+IF(((1000)-(c_TMAP3OUT))&gt;=0,1,-1)*QUOTIENT(((1000)-(c_TMAP3IN)),2))+2147483648,4294967296)-2147483648,((1000)-(c_TMAP3IN))*(((A303)-(c_TMAP3IN))*((1000)-(c_TMAP3OUT))+IF(((1000)-(c_TMAP3OUT))&gt;=0,1,-1)*QUOTIENT(((1000)-(c_TMAP3IN)),2)))&lt;0,-1,0),IF(IF(o_WRAP=1,MOD(((1000)-(c_TMAP3IN))*(((A303)-(c_TMAP3IN))*((1000)-(c_TMAP3OUT))+IF(((1000)-(c_TMAP3OUT))&gt;=0,1,-1)*QUOTIENT(((1000)-(c_TMAP3IN)),2))+2147483648,4294967296)-2147483648,((1000)-(c_TMAP3IN))*(((A303)-(c_TMAP3IN))*((1000)-(c_TMAP3OUT))+IF(((1000)-(c_TMAP3OUT))&gt;=0,1,-1)*QUOTIENT(((1000)-(c_TMAP3IN)),2)))&gt;=0,1,0)))</f>
        <v>136</v>
      </c>
      <c r="H303" s="7" t="str">
        <f aca="false">IF(A303&gt;=c_TFWD,IF(AND(A303&gt;=c_TMAP3IN,c_TMAP3IN&lt;1000),"Seg4 map3-100%",IF(AND(A303&gt;=c_TMAP2IN,c_TMAP3IN&gt;c_TMAP2IN),"Seg3 map2-map3",IF(AND(A303&gt;=c_TMAP1IN,c_TMAP2IN&gt;c_TMAP1IN),"Seg2 map1-map2","Seg1 TFWD-map1"))),IF(AND(A303=0,c_TCREEP&gt;0),"Creep",IF(AND(A303&lt;=c_TRNGMIN,A303&gt;=c_TRNGMAX,c_TRNGMIN-c_TRNGMAX&lt;&gt;0),"Regen ramp","Coast (0)")))</f>
        <v>Seg3 map2-map3</v>
      </c>
      <c r="I303" s="7" t="n">
        <f aca="false">IF(A303&gt;=c_TFWD,IF(AND(A303&gt;=c_TMAP3IN,c_TMAP3IN&lt;1000),G303,IF(AND(A303&gt;=c_TMAP2IN,c_TMAP3IN&gt;c_TMAP2IN),F303,IF(AND(A303&gt;=c_TMAP1IN,c_TMAP2IN&gt;c_TMAP1IN),E303,D303))),C303)</f>
        <v>164</v>
      </c>
      <c r="J303" s="7" t="str">
        <f aca="false">IF(I303&lt;-1090,"TOO LOW",IF(I303&gt;1090,"TOO HIGH",""))</f>
        <v/>
      </c>
      <c r="K303" s="15" t="n">
        <f aca="false">IF(J303&lt;&gt;"",0,IF(I303&gt;979,1000,I303))</f>
        <v>164</v>
      </c>
      <c r="L303" s="7" t="n">
        <f aca="false">K303/10</f>
        <v>16.4</v>
      </c>
    </row>
    <row r="304" customFormat="false" ht="15" hidden="false" customHeight="false" outlineLevel="0" collapsed="false">
      <c r="A304" s="7" t="n">
        <v>299</v>
      </c>
      <c r="B304" s="7" t="n">
        <f aca="false">A304/10</f>
        <v>29.9</v>
      </c>
      <c r="C304" s="7" t="n">
        <f aca="false">IF(AND(A304=0,c_TCREEP&gt;0),10*c_TCREEP,IF(AND(A304&lt;=c_TRNGMIN,A304&gt;=c_TRNGMAX,c_TRNGMIN-c_TRNGMAX&lt;&gt;0),-10*c_TMINRN+QUOTIENT((c_TMAXRN-c_TMINRN)*(100-QUOTIENT((A304-c_TRNGMAX)*100,c_TRNGMIN-c_TRNGMAX)),-10),0))</f>
        <v>0</v>
      </c>
      <c r="D304" s="7" t="n">
        <f aca="false">IF(((c_TMAP1IN)-(c_TFWD))=0,(0)+QUOTIENT(((c_TMAP1OUT)-(0)),2),QUOTIENT((((A304)-(c_TFWD))*((c_TMAP1OUT)-(0))+IF(((c_TMAP1OUT)-(0))&gt;=0,1,-1)*QUOTIENT(((c_TMAP1IN)-(c_TFWD)),2)),((c_TMAP1IN)-(c_TFWD)))+(0)+IF(((c_TMAP1OUT)-(0))&gt;=0,IF(IF(o_WRAP=1,MOD(((c_TMAP1IN)-(c_TFWD))*(((A304)-(c_TFWD))*((c_TMAP1OUT)-(0))+IF(((c_TMAP1OUT)-(0))&gt;=0,1,-1)*QUOTIENT(((c_TMAP1IN)-(c_TFWD)),2))+2147483648,4294967296)-2147483648,((c_TMAP1IN)-(c_TFWD))*(((A304)-(c_TFWD))*((c_TMAP1OUT)-(0))+IF(((c_TMAP1OUT)-(0))&gt;=0,1,-1)*QUOTIENT(((c_TMAP1IN)-(c_TFWD)),2)))&lt;0,-1,0),IF(IF(o_WRAP=1,MOD(((c_TMAP1IN)-(c_TFWD))*(((A304)-(c_TFWD))*((c_TMAP1OUT)-(0))+IF(((c_TMAP1OUT)-(0))&gt;=0,1,-1)*QUOTIENT(((c_TMAP1IN)-(c_TFWD)),2))+2147483648,4294967296)-2147483648,((c_TMAP1IN)-(c_TFWD))*(((A304)-(c_TFWD))*((c_TMAP1OUT)-(0))+IF(((c_TMAP1OUT)-(0))&gt;=0,1,-1)*QUOTIENT(((c_TMAP1IN)-(c_TFWD)),2)))&gt;=0,1,0)))</f>
        <v>225</v>
      </c>
      <c r="E304" s="7" t="n">
        <f aca="false">IF(((c_TMAP2IN)-(c_TMAP1IN))=0,(c_TMAP1OUT)+QUOTIENT(((c_TMAP2OUT)-(c_TMAP1OUT)),2),QUOTIENT((((A304)-(c_TMAP1IN))*((c_TMAP2OUT)-(c_TMAP1OUT))+IF(((c_TMAP2OUT)-(c_TMAP1OUT))&gt;=0,1,-1)*QUOTIENT(((c_TMAP2IN)-(c_TMAP1IN)),2)),((c_TMAP2IN)-(c_TMAP1IN)))+(c_TMAP1OUT)+IF(((c_TMAP2OUT)-(c_TMAP1OUT))&gt;=0,IF(IF(o_WRAP=1,MOD(((c_TMAP2IN)-(c_TMAP1IN))*(((A304)-(c_TMAP1IN))*((c_TMAP2OUT)-(c_TMAP1OUT))+IF(((c_TMAP2OUT)-(c_TMAP1OUT))&gt;=0,1,-1)*QUOTIENT(((c_TMAP2IN)-(c_TMAP1IN)),2))+2147483648,4294967296)-2147483648,((c_TMAP2IN)-(c_TMAP1IN))*(((A304)-(c_TMAP1IN))*((c_TMAP2OUT)-(c_TMAP1OUT))+IF(((c_TMAP2OUT)-(c_TMAP1OUT))&gt;=0,1,-1)*QUOTIENT(((c_TMAP2IN)-(c_TMAP1IN)),2)))&lt;0,-1,0),IF(IF(o_WRAP=1,MOD(((c_TMAP2IN)-(c_TMAP1IN))*(((A304)-(c_TMAP1IN))*((c_TMAP2OUT)-(c_TMAP1OUT))+IF(((c_TMAP2OUT)-(c_TMAP1OUT))&gt;=0,1,-1)*QUOTIENT(((c_TMAP2IN)-(c_TMAP1IN)),2))+2147483648,4294967296)-2147483648,((c_TMAP2IN)-(c_TMAP1IN))*(((A304)-(c_TMAP1IN))*((c_TMAP2OUT)-(c_TMAP1OUT))+IF(((c_TMAP2OUT)-(c_TMAP1OUT))&gt;=0,1,-1)*QUOTIENT(((c_TMAP2IN)-(c_TMAP1IN)),2)))&gt;=0,1,0)))</f>
        <v>150</v>
      </c>
      <c r="F304" s="7" t="n">
        <f aca="false">IF(((c_TMAP3IN)-(c_TMAP2IN))=0,(c_TMAP2OUT)+QUOTIENT(((c_TMAP3OUT)-(c_TMAP2OUT)),2),QUOTIENT((((A304)-(c_TMAP2IN))*((c_TMAP3OUT)-(c_TMAP2OUT))+IF(((c_TMAP3OUT)-(c_TMAP2OUT))&gt;=0,1,-1)*QUOTIENT(((c_TMAP3IN)-(c_TMAP2IN)),2)),((c_TMAP3IN)-(c_TMAP2IN)))+(c_TMAP2OUT)+IF(((c_TMAP3OUT)-(c_TMAP2OUT))&gt;=0,IF(IF(o_WRAP=1,MOD(((c_TMAP3IN)-(c_TMAP2IN))*(((A304)-(c_TMAP2IN))*((c_TMAP3OUT)-(c_TMAP2OUT))+IF(((c_TMAP3OUT)-(c_TMAP2OUT))&gt;=0,1,-1)*QUOTIENT(((c_TMAP3IN)-(c_TMAP2IN)),2))+2147483648,4294967296)-2147483648,((c_TMAP3IN)-(c_TMAP2IN))*(((A304)-(c_TMAP2IN))*((c_TMAP3OUT)-(c_TMAP2OUT))+IF(((c_TMAP3OUT)-(c_TMAP2OUT))&gt;=0,1,-1)*QUOTIENT(((c_TMAP3IN)-(c_TMAP2IN)),2)))&lt;0,-1,0),IF(IF(o_WRAP=1,MOD(((c_TMAP3IN)-(c_TMAP2IN))*(((A304)-(c_TMAP2IN))*((c_TMAP3OUT)-(c_TMAP2OUT))+IF(((c_TMAP3OUT)-(c_TMAP2OUT))&gt;=0,1,-1)*QUOTIENT(((c_TMAP3IN)-(c_TMAP2IN)),2))+2147483648,4294967296)-2147483648,((c_TMAP3IN)-(c_TMAP2IN))*(((A304)-(c_TMAP2IN))*((c_TMAP3OUT)-(c_TMAP2OUT))+IF(((c_TMAP3OUT)-(c_TMAP2OUT))&gt;=0,1,-1)*QUOTIENT(((c_TMAP3IN)-(c_TMAP2IN)),2)))&gt;=0,1,0)))</f>
        <v>164</v>
      </c>
      <c r="G304" s="7" t="n">
        <f aca="false">IF(((1000)-(c_TMAP3IN))=0,(c_TMAP3OUT)+QUOTIENT(((1000)-(c_TMAP3OUT)),2),QUOTIENT((((A304)-(c_TMAP3IN))*((1000)-(c_TMAP3OUT))+IF(((1000)-(c_TMAP3OUT))&gt;=0,1,-1)*QUOTIENT(((1000)-(c_TMAP3IN)),2)),((1000)-(c_TMAP3IN)))+(c_TMAP3OUT)+IF(((1000)-(c_TMAP3OUT))&gt;=0,IF(IF(o_WRAP=1,MOD(((1000)-(c_TMAP3IN))*(((A304)-(c_TMAP3IN))*((1000)-(c_TMAP3OUT))+IF(((1000)-(c_TMAP3OUT))&gt;=0,1,-1)*QUOTIENT(((1000)-(c_TMAP3IN)),2))+2147483648,4294967296)-2147483648,((1000)-(c_TMAP3IN))*(((A304)-(c_TMAP3IN))*((1000)-(c_TMAP3OUT))+IF(((1000)-(c_TMAP3OUT))&gt;=0,1,-1)*QUOTIENT(((1000)-(c_TMAP3IN)),2)))&lt;0,-1,0),IF(IF(o_WRAP=1,MOD(((1000)-(c_TMAP3IN))*(((A304)-(c_TMAP3IN))*((1000)-(c_TMAP3OUT))+IF(((1000)-(c_TMAP3OUT))&gt;=0,1,-1)*QUOTIENT(((1000)-(c_TMAP3IN)),2))+2147483648,4294967296)-2147483648,((1000)-(c_TMAP3IN))*(((A304)-(c_TMAP3IN))*((1000)-(c_TMAP3OUT))+IF(((1000)-(c_TMAP3OUT))&gt;=0,1,-1)*QUOTIENT(((1000)-(c_TMAP3IN)),2)))&gt;=0,1,0)))</f>
        <v>137</v>
      </c>
      <c r="H304" s="7" t="str">
        <f aca="false">IF(A304&gt;=c_TFWD,IF(AND(A304&gt;=c_TMAP3IN,c_TMAP3IN&lt;1000),"Seg4 map3-100%",IF(AND(A304&gt;=c_TMAP2IN,c_TMAP3IN&gt;c_TMAP2IN),"Seg3 map2-map3",IF(AND(A304&gt;=c_TMAP1IN,c_TMAP2IN&gt;c_TMAP1IN),"Seg2 map1-map2","Seg1 TFWD-map1"))),IF(AND(A304=0,c_TCREEP&gt;0),"Creep",IF(AND(A304&lt;=c_TRNGMIN,A304&gt;=c_TRNGMAX,c_TRNGMIN-c_TRNGMAX&lt;&gt;0),"Regen ramp","Coast (0)")))</f>
        <v>Seg3 map2-map3</v>
      </c>
      <c r="I304" s="7" t="n">
        <f aca="false">IF(A304&gt;=c_TFWD,IF(AND(A304&gt;=c_TMAP3IN,c_TMAP3IN&lt;1000),G304,IF(AND(A304&gt;=c_TMAP2IN,c_TMAP3IN&gt;c_TMAP2IN),F304,IF(AND(A304&gt;=c_TMAP1IN,c_TMAP2IN&gt;c_TMAP1IN),E304,D304))),C304)</f>
        <v>164</v>
      </c>
      <c r="J304" s="7" t="str">
        <f aca="false">IF(I304&lt;-1090,"TOO LOW",IF(I304&gt;1090,"TOO HIGH",""))</f>
        <v/>
      </c>
      <c r="K304" s="15" t="n">
        <f aca="false">IF(J304&lt;&gt;"",0,IF(I304&gt;979,1000,I304))</f>
        <v>164</v>
      </c>
      <c r="L304" s="7" t="n">
        <f aca="false">K304/10</f>
        <v>16.4</v>
      </c>
    </row>
    <row r="305" customFormat="false" ht="15" hidden="false" customHeight="false" outlineLevel="0" collapsed="false">
      <c r="A305" s="7" t="n">
        <v>300</v>
      </c>
      <c r="B305" s="7" t="n">
        <f aca="false">A305/10</f>
        <v>30</v>
      </c>
      <c r="C305" s="7" t="n">
        <f aca="false">IF(AND(A305=0,c_TCREEP&gt;0),10*c_TCREEP,IF(AND(A305&lt;=c_TRNGMIN,A305&gt;=c_TRNGMAX,c_TRNGMIN-c_TRNGMAX&lt;&gt;0),-10*c_TMINRN+QUOTIENT((c_TMAXRN-c_TMINRN)*(100-QUOTIENT((A305-c_TRNGMAX)*100,c_TRNGMIN-c_TRNGMAX)),-10),0))</f>
        <v>0</v>
      </c>
      <c r="D305" s="7" t="n">
        <f aca="false">IF(((c_TMAP1IN)-(c_TFWD))=0,(0)+QUOTIENT(((c_TMAP1OUT)-(0)),2),QUOTIENT((((A305)-(c_TFWD))*((c_TMAP1OUT)-(0))+IF(((c_TMAP1OUT)-(0))&gt;=0,1,-1)*QUOTIENT(((c_TMAP1IN)-(c_TFWD)),2)),((c_TMAP1IN)-(c_TFWD)))+(0)+IF(((c_TMAP1OUT)-(0))&gt;=0,IF(IF(o_WRAP=1,MOD(((c_TMAP1IN)-(c_TFWD))*(((A305)-(c_TFWD))*((c_TMAP1OUT)-(0))+IF(((c_TMAP1OUT)-(0))&gt;=0,1,-1)*QUOTIENT(((c_TMAP1IN)-(c_TFWD)),2))+2147483648,4294967296)-2147483648,((c_TMAP1IN)-(c_TFWD))*(((A305)-(c_TFWD))*((c_TMAP1OUT)-(0))+IF(((c_TMAP1OUT)-(0))&gt;=0,1,-1)*QUOTIENT(((c_TMAP1IN)-(c_TFWD)),2)))&lt;0,-1,0),IF(IF(o_WRAP=1,MOD(((c_TMAP1IN)-(c_TFWD))*(((A305)-(c_TFWD))*((c_TMAP1OUT)-(0))+IF(((c_TMAP1OUT)-(0))&gt;=0,1,-1)*QUOTIENT(((c_TMAP1IN)-(c_TFWD)),2))+2147483648,4294967296)-2147483648,((c_TMAP1IN)-(c_TFWD))*(((A305)-(c_TFWD))*((c_TMAP1OUT)-(0))+IF(((c_TMAP1OUT)-(0))&gt;=0,1,-1)*QUOTIENT(((c_TMAP1IN)-(c_TFWD)),2)))&gt;=0,1,0)))</f>
        <v>226</v>
      </c>
      <c r="E305" s="7" t="n">
        <f aca="false">IF(((c_TMAP2IN)-(c_TMAP1IN))=0,(c_TMAP1OUT)+QUOTIENT(((c_TMAP2OUT)-(c_TMAP1OUT)),2),QUOTIENT((((A305)-(c_TMAP1IN))*((c_TMAP2OUT)-(c_TMAP1OUT))+IF(((c_TMAP2OUT)-(c_TMAP1OUT))&gt;=0,1,-1)*QUOTIENT(((c_TMAP2IN)-(c_TMAP1IN)),2)),((c_TMAP2IN)-(c_TMAP1IN)))+(c_TMAP1OUT)+IF(((c_TMAP2OUT)-(c_TMAP1OUT))&gt;=0,IF(IF(o_WRAP=1,MOD(((c_TMAP2IN)-(c_TMAP1IN))*(((A305)-(c_TMAP1IN))*((c_TMAP2OUT)-(c_TMAP1OUT))+IF(((c_TMAP2OUT)-(c_TMAP1OUT))&gt;=0,1,-1)*QUOTIENT(((c_TMAP2IN)-(c_TMAP1IN)),2))+2147483648,4294967296)-2147483648,((c_TMAP2IN)-(c_TMAP1IN))*(((A305)-(c_TMAP1IN))*((c_TMAP2OUT)-(c_TMAP1OUT))+IF(((c_TMAP2OUT)-(c_TMAP1OUT))&gt;=0,1,-1)*QUOTIENT(((c_TMAP2IN)-(c_TMAP1IN)),2)))&lt;0,-1,0),IF(IF(o_WRAP=1,MOD(((c_TMAP2IN)-(c_TMAP1IN))*(((A305)-(c_TMAP1IN))*((c_TMAP2OUT)-(c_TMAP1OUT))+IF(((c_TMAP2OUT)-(c_TMAP1OUT))&gt;=0,1,-1)*QUOTIENT(((c_TMAP2IN)-(c_TMAP1IN)),2))+2147483648,4294967296)-2147483648,((c_TMAP2IN)-(c_TMAP1IN))*(((A305)-(c_TMAP1IN))*((c_TMAP2OUT)-(c_TMAP1OUT))+IF(((c_TMAP2OUT)-(c_TMAP1OUT))&gt;=0,1,-1)*QUOTIENT(((c_TMAP2IN)-(c_TMAP1IN)),2)))&gt;=0,1,0)))</f>
        <v>150</v>
      </c>
      <c r="F305" s="7" t="n">
        <f aca="false">IF(((c_TMAP3IN)-(c_TMAP2IN))=0,(c_TMAP2OUT)+QUOTIENT(((c_TMAP3OUT)-(c_TMAP2OUT)),2),QUOTIENT((((A305)-(c_TMAP2IN))*((c_TMAP3OUT)-(c_TMAP2OUT))+IF(((c_TMAP3OUT)-(c_TMAP2OUT))&gt;=0,1,-1)*QUOTIENT(((c_TMAP3IN)-(c_TMAP2IN)),2)),((c_TMAP3IN)-(c_TMAP2IN)))+(c_TMAP2OUT)+IF(((c_TMAP3OUT)-(c_TMAP2OUT))&gt;=0,IF(IF(o_WRAP=1,MOD(((c_TMAP3IN)-(c_TMAP2IN))*(((A305)-(c_TMAP2IN))*((c_TMAP3OUT)-(c_TMAP2OUT))+IF(((c_TMAP3OUT)-(c_TMAP2OUT))&gt;=0,1,-1)*QUOTIENT(((c_TMAP3IN)-(c_TMAP2IN)),2))+2147483648,4294967296)-2147483648,((c_TMAP3IN)-(c_TMAP2IN))*(((A305)-(c_TMAP2IN))*((c_TMAP3OUT)-(c_TMAP2OUT))+IF(((c_TMAP3OUT)-(c_TMAP2OUT))&gt;=0,1,-1)*QUOTIENT(((c_TMAP3IN)-(c_TMAP2IN)),2)))&lt;0,-1,0),IF(IF(o_WRAP=1,MOD(((c_TMAP3IN)-(c_TMAP2IN))*(((A305)-(c_TMAP2IN))*((c_TMAP3OUT)-(c_TMAP2OUT))+IF(((c_TMAP3OUT)-(c_TMAP2OUT))&gt;=0,1,-1)*QUOTIENT(((c_TMAP3IN)-(c_TMAP2IN)),2))+2147483648,4294967296)-2147483648,((c_TMAP3IN)-(c_TMAP2IN))*(((A305)-(c_TMAP2IN))*((c_TMAP3OUT)-(c_TMAP2OUT))+IF(((c_TMAP3OUT)-(c_TMAP2OUT))&gt;=0,1,-1)*QUOTIENT(((c_TMAP3IN)-(c_TMAP2IN)),2)))&gt;=0,1,0)))</f>
        <v>165</v>
      </c>
      <c r="G305" s="7" t="n">
        <f aca="false">IF(((1000)-(c_TMAP3IN))=0,(c_TMAP3OUT)+QUOTIENT(((1000)-(c_TMAP3OUT)),2),QUOTIENT((((A305)-(c_TMAP3IN))*((1000)-(c_TMAP3OUT))+IF(((1000)-(c_TMAP3OUT))&gt;=0,1,-1)*QUOTIENT(((1000)-(c_TMAP3IN)),2)),((1000)-(c_TMAP3IN)))+(c_TMAP3OUT)+IF(((1000)-(c_TMAP3OUT))&gt;=0,IF(IF(o_WRAP=1,MOD(((1000)-(c_TMAP3IN))*(((A305)-(c_TMAP3IN))*((1000)-(c_TMAP3OUT))+IF(((1000)-(c_TMAP3OUT))&gt;=0,1,-1)*QUOTIENT(((1000)-(c_TMAP3IN)),2))+2147483648,4294967296)-2147483648,((1000)-(c_TMAP3IN))*(((A305)-(c_TMAP3IN))*((1000)-(c_TMAP3OUT))+IF(((1000)-(c_TMAP3OUT))&gt;=0,1,-1)*QUOTIENT(((1000)-(c_TMAP3IN)),2)))&lt;0,-1,0),IF(IF(o_WRAP=1,MOD(((1000)-(c_TMAP3IN))*(((A305)-(c_TMAP3IN))*((1000)-(c_TMAP3OUT))+IF(((1000)-(c_TMAP3OUT))&gt;=0,1,-1)*QUOTIENT(((1000)-(c_TMAP3IN)),2))+2147483648,4294967296)-2147483648,((1000)-(c_TMAP3IN))*(((A305)-(c_TMAP3IN))*((1000)-(c_TMAP3OUT))+IF(((1000)-(c_TMAP3OUT))&gt;=0,1,-1)*QUOTIENT(((1000)-(c_TMAP3IN)),2)))&gt;=0,1,0)))</f>
        <v>138</v>
      </c>
      <c r="H305" s="7" t="str">
        <f aca="false">IF(A305&gt;=c_TFWD,IF(AND(A305&gt;=c_TMAP3IN,c_TMAP3IN&lt;1000),"Seg4 map3-100%",IF(AND(A305&gt;=c_TMAP2IN,c_TMAP3IN&gt;c_TMAP2IN),"Seg3 map2-map3",IF(AND(A305&gt;=c_TMAP1IN,c_TMAP2IN&gt;c_TMAP1IN),"Seg2 map1-map2","Seg1 TFWD-map1"))),IF(AND(A305=0,c_TCREEP&gt;0),"Creep",IF(AND(A305&lt;=c_TRNGMIN,A305&gt;=c_TRNGMAX,c_TRNGMIN-c_TRNGMAX&lt;&gt;0),"Regen ramp","Coast (0)")))</f>
        <v>Seg3 map2-map3</v>
      </c>
      <c r="I305" s="7" t="n">
        <f aca="false">IF(A305&gt;=c_TFWD,IF(AND(A305&gt;=c_TMAP3IN,c_TMAP3IN&lt;1000),G305,IF(AND(A305&gt;=c_TMAP2IN,c_TMAP3IN&gt;c_TMAP2IN),F305,IF(AND(A305&gt;=c_TMAP1IN,c_TMAP2IN&gt;c_TMAP1IN),E305,D305))),C305)</f>
        <v>165</v>
      </c>
      <c r="J305" s="7" t="str">
        <f aca="false">IF(I305&lt;-1090,"TOO LOW",IF(I305&gt;1090,"TOO HIGH",""))</f>
        <v/>
      </c>
      <c r="K305" s="15" t="n">
        <f aca="false">IF(J305&lt;&gt;"",0,IF(I305&gt;979,1000,I305))</f>
        <v>165</v>
      </c>
      <c r="L305" s="7" t="n">
        <f aca="false">K305/10</f>
        <v>16.5</v>
      </c>
    </row>
    <row r="306" customFormat="false" ht="15" hidden="false" customHeight="false" outlineLevel="0" collapsed="false">
      <c r="A306" s="7" t="n">
        <v>301</v>
      </c>
      <c r="B306" s="7" t="n">
        <f aca="false">A306/10</f>
        <v>30.1</v>
      </c>
      <c r="C306" s="7" t="n">
        <f aca="false">IF(AND(A306=0,c_TCREEP&gt;0),10*c_TCREEP,IF(AND(A306&lt;=c_TRNGMIN,A306&gt;=c_TRNGMAX,c_TRNGMIN-c_TRNGMAX&lt;&gt;0),-10*c_TMINRN+QUOTIENT((c_TMAXRN-c_TMINRN)*(100-QUOTIENT((A306-c_TRNGMAX)*100,c_TRNGMIN-c_TRNGMAX)),-10),0))</f>
        <v>0</v>
      </c>
      <c r="D306" s="7" t="n">
        <f aca="false">IF(((c_TMAP1IN)-(c_TFWD))=0,(0)+QUOTIENT(((c_TMAP1OUT)-(0)),2),QUOTIENT((((A306)-(c_TFWD))*((c_TMAP1OUT)-(0))+IF(((c_TMAP1OUT)-(0))&gt;=0,1,-1)*QUOTIENT(((c_TMAP1IN)-(c_TFWD)),2)),((c_TMAP1IN)-(c_TFWD)))+(0)+IF(((c_TMAP1OUT)-(0))&gt;=0,IF(IF(o_WRAP=1,MOD(((c_TMAP1IN)-(c_TFWD))*(((A306)-(c_TFWD))*((c_TMAP1OUT)-(0))+IF(((c_TMAP1OUT)-(0))&gt;=0,1,-1)*QUOTIENT(((c_TMAP1IN)-(c_TFWD)),2))+2147483648,4294967296)-2147483648,((c_TMAP1IN)-(c_TFWD))*(((A306)-(c_TFWD))*((c_TMAP1OUT)-(0))+IF(((c_TMAP1OUT)-(0))&gt;=0,1,-1)*QUOTIENT(((c_TMAP1IN)-(c_TFWD)),2)))&lt;0,-1,0),IF(IF(o_WRAP=1,MOD(((c_TMAP1IN)-(c_TFWD))*(((A306)-(c_TFWD))*((c_TMAP1OUT)-(0))+IF(((c_TMAP1OUT)-(0))&gt;=0,1,-1)*QUOTIENT(((c_TMAP1IN)-(c_TFWD)),2))+2147483648,4294967296)-2147483648,((c_TMAP1IN)-(c_TFWD))*(((A306)-(c_TFWD))*((c_TMAP1OUT)-(0))+IF(((c_TMAP1OUT)-(0))&gt;=0,1,-1)*QUOTIENT(((c_TMAP1IN)-(c_TFWD)),2)))&gt;=0,1,0)))</f>
        <v>226</v>
      </c>
      <c r="E306" s="7" t="n">
        <f aca="false">IF(((c_TMAP2IN)-(c_TMAP1IN))=0,(c_TMAP1OUT)+QUOTIENT(((c_TMAP2OUT)-(c_TMAP1OUT)),2),QUOTIENT((((A306)-(c_TMAP1IN))*((c_TMAP2OUT)-(c_TMAP1OUT))+IF(((c_TMAP2OUT)-(c_TMAP1OUT))&gt;=0,1,-1)*QUOTIENT(((c_TMAP2IN)-(c_TMAP1IN)),2)),((c_TMAP2IN)-(c_TMAP1IN)))+(c_TMAP1OUT)+IF(((c_TMAP2OUT)-(c_TMAP1OUT))&gt;=0,IF(IF(o_WRAP=1,MOD(((c_TMAP2IN)-(c_TMAP1IN))*(((A306)-(c_TMAP1IN))*((c_TMAP2OUT)-(c_TMAP1OUT))+IF(((c_TMAP2OUT)-(c_TMAP1OUT))&gt;=0,1,-1)*QUOTIENT(((c_TMAP2IN)-(c_TMAP1IN)),2))+2147483648,4294967296)-2147483648,((c_TMAP2IN)-(c_TMAP1IN))*(((A306)-(c_TMAP1IN))*((c_TMAP2OUT)-(c_TMAP1OUT))+IF(((c_TMAP2OUT)-(c_TMAP1OUT))&gt;=0,1,-1)*QUOTIENT(((c_TMAP2IN)-(c_TMAP1IN)),2)))&lt;0,-1,0),IF(IF(o_WRAP=1,MOD(((c_TMAP2IN)-(c_TMAP1IN))*(((A306)-(c_TMAP1IN))*((c_TMAP2OUT)-(c_TMAP1OUT))+IF(((c_TMAP2OUT)-(c_TMAP1OUT))&gt;=0,1,-1)*QUOTIENT(((c_TMAP2IN)-(c_TMAP1IN)),2))+2147483648,4294967296)-2147483648,((c_TMAP2IN)-(c_TMAP1IN))*(((A306)-(c_TMAP1IN))*((c_TMAP2OUT)-(c_TMAP1OUT))+IF(((c_TMAP2OUT)-(c_TMAP1OUT))&gt;=0,1,-1)*QUOTIENT(((c_TMAP2IN)-(c_TMAP1IN)),2)))&gt;=0,1,0)))</f>
        <v>150</v>
      </c>
      <c r="F306" s="7" t="n">
        <f aca="false">IF(((c_TMAP3IN)-(c_TMAP2IN))=0,(c_TMAP2OUT)+QUOTIENT(((c_TMAP3OUT)-(c_TMAP2OUT)),2),QUOTIENT((((A306)-(c_TMAP2IN))*((c_TMAP3OUT)-(c_TMAP2OUT))+IF(((c_TMAP3OUT)-(c_TMAP2OUT))&gt;=0,1,-1)*QUOTIENT(((c_TMAP3IN)-(c_TMAP2IN)),2)),((c_TMAP3IN)-(c_TMAP2IN)))+(c_TMAP2OUT)+IF(((c_TMAP3OUT)-(c_TMAP2OUT))&gt;=0,IF(IF(o_WRAP=1,MOD(((c_TMAP3IN)-(c_TMAP2IN))*(((A306)-(c_TMAP2IN))*((c_TMAP3OUT)-(c_TMAP2OUT))+IF(((c_TMAP3OUT)-(c_TMAP2OUT))&gt;=0,1,-1)*QUOTIENT(((c_TMAP3IN)-(c_TMAP2IN)),2))+2147483648,4294967296)-2147483648,((c_TMAP3IN)-(c_TMAP2IN))*(((A306)-(c_TMAP2IN))*((c_TMAP3OUT)-(c_TMAP2OUT))+IF(((c_TMAP3OUT)-(c_TMAP2OUT))&gt;=0,1,-1)*QUOTIENT(((c_TMAP3IN)-(c_TMAP2IN)),2)))&lt;0,-1,0),IF(IF(o_WRAP=1,MOD(((c_TMAP3IN)-(c_TMAP2IN))*(((A306)-(c_TMAP2IN))*((c_TMAP3OUT)-(c_TMAP2OUT))+IF(((c_TMAP3OUT)-(c_TMAP2OUT))&gt;=0,1,-1)*QUOTIENT(((c_TMAP3IN)-(c_TMAP2IN)),2))+2147483648,4294967296)-2147483648,((c_TMAP3IN)-(c_TMAP2IN))*(((A306)-(c_TMAP2IN))*((c_TMAP3OUT)-(c_TMAP2OUT))+IF(((c_TMAP3OUT)-(c_TMAP2OUT))&gt;=0,1,-1)*QUOTIENT(((c_TMAP3IN)-(c_TMAP2IN)),2)))&gt;=0,1,0)))</f>
        <v>166</v>
      </c>
      <c r="G306" s="7" t="n">
        <f aca="false">IF(((1000)-(c_TMAP3IN))=0,(c_TMAP3OUT)+QUOTIENT(((1000)-(c_TMAP3OUT)),2),QUOTIENT((((A306)-(c_TMAP3IN))*((1000)-(c_TMAP3OUT))+IF(((1000)-(c_TMAP3OUT))&gt;=0,1,-1)*QUOTIENT(((1000)-(c_TMAP3IN)),2)),((1000)-(c_TMAP3IN)))+(c_TMAP3OUT)+IF(((1000)-(c_TMAP3OUT))&gt;=0,IF(IF(o_WRAP=1,MOD(((1000)-(c_TMAP3IN))*(((A306)-(c_TMAP3IN))*((1000)-(c_TMAP3OUT))+IF(((1000)-(c_TMAP3OUT))&gt;=0,1,-1)*QUOTIENT(((1000)-(c_TMAP3IN)),2))+2147483648,4294967296)-2147483648,((1000)-(c_TMAP3IN))*(((A306)-(c_TMAP3IN))*((1000)-(c_TMAP3OUT))+IF(((1000)-(c_TMAP3OUT))&gt;=0,1,-1)*QUOTIENT(((1000)-(c_TMAP3IN)),2)))&lt;0,-1,0),IF(IF(o_WRAP=1,MOD(((1000)-(c_TMAP3IN))*(((A306)-(c_TMAP3IN))*((1000)-(c_TMAP3OUT))+IF(((1000)-(c_TMAP3OUT))&gt;=0,1,-1)*QUOTIENT(((1000)-(c_TMAP3IN)),2))+2147483648,4294967296)-2147483648,((1000)-(c_TMAP3IN))*(((A306)-(c_TMAP3IN))*((1000)-(c_TMAP3OUT))+IF(((1000)-(c_TMAP3OUT))&gt;=0,1,-1)*QUOTIENT(((1000)-(c_TMAP3IN)),2)))&gt;=0,1,0)))</f>
        <v>140</v>
      </c>
      <c r="H306" s="7" t="str">
        <f aca="false">IF(A306&gt;=c_TFWD,IF(AND(A306&gt;=c_TMAP3IN,c_TMAP3IN&lt;1000),"Seg4 map3-100%",IF(AND(A306&gt;=c_TMAP2IN,c_TMAP3IN&gt;c_TMAP2IN),"Seg3 map2-map3",IF(AND(A306&gt;=c_TMAP1IN,c_TMAP2IN&gt;c_TMAP1IN),"Seg2 map1-map2","Seg1 TFWD-map1"))),IF(AND(A306=0,c_TCREEP&gt;0),"Creep",IF(AND(A306&lt;=c_TRNGMIN,A306&gt;=c_TRNGMAX,c_TRNGMIN-c_TRNGMAX&lt;&gt;0),"Regen ramp","Coast (0)")))</f>
        <v>Seg3 map2-map3</v>
      </c>
      <c r="I306" s="7" t="n">
        <f aca="false">IF(A306&gt;=c_TFWD,IF(AND(A306&gt;=c_TMAP3IN,c_TMAP3IN&lt;1000),G306,IF(AND(A306&gt;=c_TMAP2IN,c_TMAP3IN&gt;c_TMAP2IN),F306,IF(AND(A306&gt;=c_TMAP1IN,c_TMAP2IN&gt;c_TMAP1IN),E306,D306))),C306)</f>
        <v>166</v>
      </c>
      <c r="J306" s="7" t="str">
        <f aca="false">IF(I306&lt;-1090,"TOO LOW",IF(I306&gt;1090,"TOO HIGH",""))</f>
        <v/>
      </c>
      <c r="K306" s="15" t="n">
        <f aca="false">IF(J306&lt;&gt;"",0,IF(I306&gt;979,1000,I306))</f>
        <v>166</v>
      </c>
      <c r="L306" s="7" t="n">
        <f aca="false">K306/10</f>
        <v>16.6</v>
      </c>
    </row>
    <row r="307" customFormat="false" ht="15" hidden="false" customHeight="false" outlineLevel="0" collapsed="false">
      <c r="A307" s="7" t="n">
        <v>302</v>
      </c>
      <c r="B307" s="7" t="n">
        <f aca="false">A307/10</f>
        <v>30.2</v>
      </c>
      <c r="C307" s="7" t="n">
        <f aca="false">IF(AND(A307=0,c_TCREEP&gt;0),10*c_TCREEP,IF(AND(A307&lt;=c_TRNGMIN,A307&gt;=c_TRNGMAX,c_TRNGMIN-c_TRNGMAX&lt;&gt;0),-10*c_TMINRN+QUOTIENT((c_TMAXRN-c_TMINRN)*(100-QUOTIENT((A307-c_TRNGMAX)*100,c_TRNGMIN-c_TRNGMAX)),-10),0))</f>
        <v>0</v>
      </c>
      <c r="D307" s="7" t="n">
        <f aca="false">IF(((c_TMAP1IN)-(c_TFWD))=0,(0)+QUOTIENT(((c_TMAP1OUT)-(0)),2),QUOTIENT((((A307)-(c_TFWD))*((c_TMAP1OUT)-(0))+IF(((c_TMAP1OUT)-(0))&gt;=0,1,-1)*QUOTIENT(((c_TMAP1IN)-(c_TFWD)),2)),((c_TMAP1IN)-(c_TFWD)))+(0)+IF(((c_TMAP1OUT)-(0))&gt;=0,IF(IF(o_WRAP=1,MOD(((c_TMAP1IN)-(c_TFWD))*(((A307)-(c_TFWD))*((c_TMAP1OUT)-(0))+IF(((c_TMAP1OUT)-(0))&gt;=0,1,-1)*QUOTIENT(((c_TMAP1IN)-(c_TFWD)),2))+2147483648,4294967296)-2147483648,((c_TMAP1IN)-(c_TFWD))*(((A307)-(c_TFWD))*((c_TMAP1OUT)-(0))+IF(((c_TMAP1OUT)-(0))&gt;=0,1,-1)*QUOTIENT(((c_TMAP1IN)-(c_TFWD)),2)))&lt;0,-1,0),IF(IF(o_WRAP=1,MOD(((c_TMAP1IN)-(c_TFWD))*(((A307)-(c_TFWD))*((c_TMAP1OUT)-(0))+IF(((c_TMAP1OUT)-(0))&gt;=0,1,-1)*QUOTIENT(((c_TMAP1IN)-(c_TFWD)),2))+2147483648,4294967296)-2147483648,((c_TMAP1IN)-(c_TFWD))*(((A307)-(c_TFWD))*((c_TMAP1OUT)-(0))+IF(((c_TMAP1OUT)-(0))&gt;=0,1,-1)*QUOTIENT(((c_TMAP1IN)-(c_TFWD)),2)))&gt;=0,1,0)))</f>
        <v>227</v>
      </c>
      <c r="E307" s="7" t="n">
        <f aca="false">IF(((c_TMAP2IN)-(c_TMAP1IN))=0,(c_TMAP1OUT)+QUOTIENT(((c_TMAP2OUT)-(c_TMAP1OUT)),2),QUOTIENT((((A307)-(c_TMAP1IN))*((c_TMAP2OUT)-(c_TMAP1OUT))+IF(((c_TMAP2OUT)-(c_TMAP1OUT))&gt;=0,1,-1)*QUOTIENT(((c_TMAP2IN)-(c_TMAP1IN)),2)),((c_TMAP2IN)-(c_TMAP1IN)))+(c_TMAP1OUT)+IF(((c_TMAP2OUT)-(c_TMAP1OUT))&gt;=0,IF(IF(o_WRAP=1,MOD(((c_TMAP2IN)-(c_TMAP1IN))*(((A307)-(c_TMAP1IN))*((c_TMAP2OUT)-(c_TMAP1OUT))+IF(((c_TMAP2OUT)-(c_TMAP1OUT))&gt;=0,1,-1)*QUOTIENT(((c_TMAP2IN)-(c_TMAP1IN)),2))+2147483648,4294967296)-2147483648,((c_TMAP2IN)-(c_TMAP1IN))*(((A307)-(c_TMAP1IN))*((c_TMAP2OUT)-(c_TMAP1OUT))+IF(((c_TMAP2OUT)-(c_TMAP1OUT))&gt;=0,1,-1)*QUOTIENT(((c_TMAP2IN)-(c_TMAP1IN)),2)))&lt;0,-1,0),IF(IF(o_WRAP=1,MOD(((c_TMAP2IN)-(c_TMAP1IN))*(((A307)-(c_TMAP1IN))*((c_TMAP2OUT)-(c_TMAP1OUT))+IF(((c_TMAP2OUT)-(c_TMAP1OUT))&gt;=0,1,-1)*QUOTIENT(((c_TMAP2IN)-(c_TMAP1IN)),2))+2147483648,4294967296)-2147483648,((c_TMAP2IN)-(c_TMAP1IN))*(((A307)-(c_TMAP1IN))*((c_TMAP2OUT)-(c_TMAP1OUT))+IF(((c_TMAP2OUT)-(c_TMAP1OUT))&gt;=0,1,-1)*QUOTIENT(((c_TMAP2IN)-(c_TMAP1IN)),2)))&gt;=0,1,0)))</f>
        <v>151</v>
      </c>
      <c r="F307" s="7" t="n">
        <f aca="false">IF(((c_TMAP3IN)-(c_TMAP2IN))=0,(c_TMAP2OUT)+QUOTIENT(((c_TMAP3OUT)-(c_TMAP2OUT)),2),QUOTIENT((((A307)-(c_TMAP2IN))*((c_TMAP3OUT)-(c_TMAP2OUT))+IF(((c_TMAP3OUT)-(c_TMAP2OUT))&gt;=0,1,-1)*QUOTIENT(((c_TMAP3IN)-(c_TMAP2IN)),2)),((c_TMAP3IN)-(c_TMAP2IN)))+(c_TMAP2OUT)+IF(((c_TMAP3OUT)-(c_TMAP2OUT))&gt;=0,IF(IF(o_WRAP=1,MOD(((c_TMAP3IN)-(c_TMAP2IN))*(((A307)-(c_TMAP2IN))*((c_TMAP3OUT)-(c_TMAP2OUT))+IF(((c_TMAP3OUT)-(c_TMAP2OUT))&gt;=0,1,-1)*QUOTIENT(((c_TMAP3IN)-(c_TMAP2IN)),2))+2147483648,4294967296)-2147483648,((c_TMAP3IN)-(c_TMAP2IN))*(((A307)-(c_TMAP2IN))*((c_TMAP3OUT)-(c_TMAP2OUT))+IF(((c_TMAP3OUT)-(c_TMAP2OUT))&gt;=0,1,-1)*QUOTIENT(((c_TMAP3IN)-(c_TMAP2IN)),2)))&lt;0,-1,0),IF(IF(o_WRAP=1,MOD(((c_TMAP3IN)-(c_TMAP2IN))*(((A307)-(c_TMAP2IN))*((c_TMAP3OUT)-(c_TMAP2OUT))+IF(((c_TMAP3OUT)-(c_TMAP2OUT))&gt;=0,1,-1)*QUOTIENT(((c_TMAP3IN)-(c_TMAP2IN)),2))+2147483648,4294967296)-2147483648,((c_TMAP3IN)-(c_TMAP2IN))*(((A307)-(c_TMAP2IN))*((c_TMAP3OUT)-(c_TMAP2OUT))+IF(((c_TMAP3OUT)-(c_TMAP2OUT))&gt;=0,1,-1)*QUOTIENT(((c_TMAP3IN)-(c_TMAP2IN)),2)))&gt;=0,1,0)))</f>
        <v>166</v>
      </c>
      <c r="G307" s="7" t="n">
        <f aca="false">IF(((1000)-(c_TMAP3IN))=0,(c_TMAP3OUT)+QUOTIENT(((1000)-(c_TMAP3OUT)),2),QUOTIENT((((A307)-(c_TMAP3IN))*((1000)-(c_TMAP3OUT))+IF(((1000)-(c_TMAP3OUT))&gt;=0,1,-1)*QUOTIENT(((1000)-(c_TMAP3IN)),2)),((1000)-(c_TMAP3IN)))+(c_TMAP3OUT)+IF(((1000)-(c_TMAP3OUT))&gt;=0,IF(IF(o_WRAP=1,MOD(((1000)-(c_TMAP3IN))*(((A307)-(c_TMAP3IN))*((1000)-(c_TMAP3OUT))+IF(((1000)-(c_TMAP3OUT))&gt;=0,1,-1)*QUOTIENT(((1000)-(c_TMAP3IN)),2))+2147483648,4294967296)-2147483648,((1000)-(c_TMAP3IN))*(((A307)-(c_TMAP3IN))*((1000)-(c_TMAP3OUT))+IF(((1000)-(c_TMAP3OUT))&gt;=0,1,-1)*QUOTIENT(((1000)-(c_TMAP3IN)),2)))&lt;0,-1,0),IF(IF(o_WRAP=1,MOD(((1000)-(c_TMAP3IN))*(((A307)-(c_TMAP3IN))*((1000)-(c_TMAP3OUT))+IF(((1000)-(c_TMAP3OUT))&gt;=0,1,-1)*QUOTIENT(((1000)-(c_TMAP3IN)),2))+2147483648,4294967296)-2147483648,((1000)-(c_TMAP3IN))*(((A307)-(c_TMAP3IN))*((1000)-(c_TMAP3OUT))+IF(((1000)-(c_TMAP3OUT))&gt;=0,1,-1)*QUOTIENT(((1000)-(c_TMAP3IN)),2)))&gt;=0,1,0)))</f>
        <v>141</v>
      </c>
      <c r="H307" s="7" t="str">
        <f aca="false">IF(A307&gt;=c_TFWD,IF(AND(A307&gt;=c_TMAP3IN,c_TMAP3IN&lt;1000),"Seg4 map3-100%",IF(AND(A307&gt;=c_TMAP2IN,c_TMAP3IN&gt;c_TMAP2IN),"Seg3 map2-map3",IF(AND(A307&gt;=c_TMAP1IN,c_TMAP2IN&gt;c_TMAP1IN),"Seg2 map1-map2","Seg1 TFWD-map1"))),IF(AND(A307=0,c_TCREEP&gt;0),"Creep",IF(AND(A307&lt;=c_TRNGMIN,A307&gt;=c_TRNGMAX,c_TRNGMIN-c_TRNGMAX&lt;&gt;0),"Regen ramp","Coast (0)")))</f>
        <v>Seg3 map2-map3</v>
      </c>
      <c r="I307" s="7" t="n">
        <f aca="false">IF(A307&gt;=c_TFWD,IF(AND(A307&gt;=c_TMAP3IN,c_TMAP3IN&lt;1000),G307,IF(AND(A307&gt;=c_TMAP2IN,c_TMAP3IN&gt;c_TMAP2IN),F307,IF(AND(A307&gt;=c_TMAP1IN,c_TMAP2IN&gt;c_TMAP1IN),E307,D307))),C307)</f>
        <v>166</v>
      </c>
      <c r="J307" s="7" t="str">
        <f aca="false">IF(I307&lt;-1090,"TOO LOW",IF(I307&gt;1090,"TOO HIGH",""))</f>
        <v/>
      </c>
      <c r="K307" s="15" t="n">
        <f aca="false">IF(J307&lt;&gt;"",0,IF(I307&gt;979,1000,I307))</f>
        <v>166</v>
      </c>
      <c r="L307" s="7" t="n">
        <f aca="false">K307/10</f>
        <v>16.6</v>
      </c>
    </row>
    <row r="308" customFormat="false" ht="15" hidden="false" customHeight="false" outlineLevel="0" collapsed="false">
      <c r="A308" s="7" t="n">
        <v>303</v>
      </c>
      <c r="B308" s="7" t="n">
        <f aca="false">A308/10</f>
        <v>30.3</v>
      </c>
      <c r="C308" s="7" t="n">
        <f aca="false">IF(AND(A308=0,c_TCREEP&gt;0),10*c_TCREEP,IF(AND(A308&lt;=c_TRNGMIN,A308&gt;=c_TRNGMAX,c_TRNGMIN-c_TRNGMAX&lt;&gt;0),-10*c_TMINRN+QUOTIENT((c_TMAXRN-c_TMINRN)*(100-QUOTIENT((A308-c_TRNGMAX)*100,c_TRNGMIN-c_TRNGMAX)),-10),0))</f>
        <v>0</v>
      </c>
      <c r="D308" s="7" t="n">
        <f aca="false">IF(((c_TMAP1IN)-(c_TFWD))=0,(0)+QUOTIENT(((c_TMAP1OUT)-(0)),2),QUOTIENT((((A308)-(c_TFWD))*((c_TMAP1OUT)-(0))+IF(((c_TMAP1OUT)-(0))&gt;=0,1,-1)*QUOTIENT(((c_TMAP1IN)-(c_TFWD)),2)),((c_TMAP1IN)-(c_TFWD)))+(0)+IF(((c_TMAP1OUT)-(0))&gt;=0,IF(IF(o_WRAP=1,MOD(((c_TMAP1IN)-(c_TFWD))*(((A308)-(c_TFWD))*((c_TMAP1OUT)-(0))+IF(((c_TMAP1OUT)-(0))&gt;=0,1,-1)*QUOTIENT(((c_TMAP1IN)-(c_TFWD)),2))+2147483648,4294967296)-2147483648,((c_TMAP1IN)-(c_TFWD))*(((A308)-(c_TFWD))*((c_TMAP1OUT)-(0))+IF(((c_TMAP1OUT)-(0))&gt;=0,1,-1)*QUOTIENT(((c_TMAP1IN)-(c_TFWD)),2)))&lt;0,-1,0),IF(IF(o_WRAP=1,MOD(((c_TMAP1IN)-(c_TFWD))*(((A308)-(c_TFWD))*((c_TMAP1OUT)-(0))+IF(((c_TMAP1OUT)-(0))&gt;=0,1,-1)*QUOTIENT(((c_TMAP1IN)-(c_TFWD)),2))+2147483648,4294967296)-2147483648,((c_TMAP1IN)-(c_TFWD))*(((A308)-(c_TFWD))*((c_TMAP1OUT)-(0))+IF(((c_TMAP1OUT)-(0))&gt;=0,1,-1)*QUOTIENT(((c_TMAP1IN)-(c_TFWD)),2)))&gt;=0,1,0)))</f>
        <v>228</v>
      </c>
      <c r="E308" s="7" t="n">
        <f aca="false">IF(((c_TMAP2IN)-(c_TMAP1IN))=0,(c_TMAP1OUT)+QUOTIENT(((c_TMAP2OUT)-(c_TMAP1OUT)),2),QUOTIENT((((A308)-(c_TMAP1IN))*((c_TMAP2OUT)-(c_TMAP1OUT))+IF(((c_TMAP2OUT)-(c_TMAP1OUT))&gt;=0,1,-1)*QUOTIENT(((c_TMAP2IN)-(c_TMAP1IN)),2)),((c_TMAP2IN)-(c_TMAP1IN)))+(c_TMAP1OUT)+IF(((c_TMAP2OUT)-(c_TMAP1OUT))&gt;=0,IF(IF(o_WRAP=1,MOD(((c_TMAP2IN)-(c_TMAP1IN))*(((A308)-(c_TMAP1IN))*((c_TMAP2OUT)-(c_TMAP1OUT))+IF(((c_TMAP2OUT)-(c_TMAP1OUT))&gt;=0,1,-1)*QUOTIENT(((c_TMAP2IN)-(c_TMAP1IN)),2))+2147483648,4294967296)-2147483648,((c_TMAP2IN)-(c_TMAP1IN))*(((A308)-(c_TMAP1IN))*((c_TMAP2OUT)-(c_TMAP1OUT))+IF(((c_TMAP2OUT)-(c_TMAP1OUT))&gt;=0,1,-1)*QUOTIENT(((c_TMAP2IN)-(c_TMAP1IN)),2)))&lt;0,-1,0),IF(IF(o_WRAP=1,MOD(((c_TMAP2IN)-(c_TMAP1IN))*(((A308)-(c_TMAP1IN))*((c_TMAP2OUT)-(c_TMAP1OUT))+IF(((c_TMAP2OUT)-(c_TMAP1OUT))&gt;=0,1,-1)*QUOTIENT(((c_TMAP2IN)-(c_TMAP1IN)),2))+2147483648,4294967296)-2147483648,((c_TMAP2IN)-(c_TMAP1IN))*(((A308)-(c_TMAP1IN))*((c_TMAP2OUT)-(c_TMAP1OUT))+IF(((c_TMAP2OUT)-(c_TMAP1OUT))&gt;=0,1,-1)*QUOTIENT(((c_TMAP2IN)-(c_TMAP1IN)),2)))&gt;=0,1,0)))</f>
        <v>151</v>
      </c>
      <c r="F308" s="7" t="n">
        <f aca="false">IF(((c_TMAP3IN)-(c_TMAP2IN))=0,(c_TMAP2OUT)+QUOTIENT(((c_TMAP3OUT)-(c_TMAP2OUT)),2),QUOTIENT((((A308)-(c_TMAP2IN))*((c_TMAP3OUT)-(c_TMAP2OUT))+IF(((c_TMAP3OUT)-(c_TMAP2OUT))&gt;=0,1,-1)*QUOTIENT(((c_TMAP3IN)-(c_TMAP2IN)),2)),((c_TMAP3IN)-(c_TMAP2IN)))+(c_TMAP2OUT)+IF(((c_TMAP3OUT)-(c_TMAP2OUT))&gt;=0,IF(IF(o_WRAP=1,MOD(((c_TMAP3IN)-(c_TMAP2IN))*(((A308)-(c_TMAP2IN))*((c_TMAP3OUT)-(c_TMAP2OUT))+IF(((c_TMAP3OUT)-(c_TMAP2OUT))&gt;=0,1,-1)*QUOTIENT(((c_TMAP3IN)-(c_TMAP2IN)),2))+2147483648,4294967296)-2147483648,((c_TMAP3IN)-(c_TMAP2IN))*(((A308)-(c_TMAP2IN))*((c_TMAP3OUT)-(c_TMAP2OUT))+IF(((c_TMAP3OUT)-(c_TMAP2OUT))&gt;=0,1,-1)*QUOTIENT(((c_TMAP3IN)-(c_TMAP2IN)),2)))&lt;0,-1,0),IF(IF(o_WRAP=1,MOD(((c_TMAP3IN)-(c_TMAP2IN))*(((A308)-(c_TMAP2IN))*((c_TMAP3OUT)-(c_TMAP2OUT))+IF(((c_TMAP3OUT)-(c_TMAP2OUT))&gt;=0,1,-1)*QUOTIENT(((c_TMAP3IN)-(c_TMAP2IN)),2))+2147483648,4294967296)-2147483648,((c_TMAP3IN)-(c_TMAP2IN))*(((A308)-(c_TMAP2IN))*((c_TMAP3OUT)-(c_TMAP2OUT))+IF(((c_TMAP3OUT)-(c_TMAP2OUT))&gt;=0,1,-1)*QUOTIENT(((c_TMAP3IN)-(c_TMAP2IN)),2)))&gt;=0,1,0)))</f>
        <v>167</v>
      </c>
      <c r="G308" s="7" t="n">
        <f aca="false">IF(((1000)-(c_TMAP3IN))=0,(c_TMAP3OUT)+QUOTIENT(((1000)-(c_TMAP3OUT)),2),QUOTIENT((((A308)-(c_TMAP3IN))*((1000)-(c_TMAP3OUT))+IF(((1000)-(c_TMAP3OUT))&gt;=0,1,-1)*QUOTIENT(((1000)-(c_TMAP3IN)),2)),((1000)-(c_TMAP3IN)))+(c_TMAP3OUT)+IF(((1000)-(c_TMAP3OUT))&gt;=0,IF(IF(o_WRAP=1,MOD(((1000)-(c_TMAP3IN))*(((A308)-(c_TMAP3IN))*((1000)-(c_TMAP3OUT))+IF(((1000)-(c_TMAP3OUT))&gt;=0,1,-1)*QUOTIENT(((1000)-(c_TMAP3IN)),2))+2147483648,4294967296)-2147483648,((1000)-(c_TMAP3IN))*(((A308)-(c_TMAP3IN))*((1000)-(c_TMAP3OUT))+IF(((1000)-(c_TMAP3OUT))&gt;=0,1,-1)*QUOTIENT(((1000)-(c_TMAP3IN)),2)))&lt;0,-1,0),IF(IF(o_WRAP=1,MOD(((1000)-(c_TMAP3IN))*(((A308)-(c_TMAP3IN))*((1000)-(c_TMAP3OUT))+IF(((1000)-(c_TMAP3OUT))&gt;=0,1,-1)*QUOTIENT(((1000)-(c_TMAP3IN)),2))+2147483648,4294967296)-2147483648,((1000)-(c_TMAP3IN))*(((A308)-(c_TMAP3IN))*((1000)-(c_TMAP3OUT))+IF(((1000)-(c_TMAP3OUT))&gt;=0,1,-1)*QUOTIENT(((1000)-(c_TMAP3IN)),2)))&gt;=0,1,0)))</f>
        <v>142</v>
      </c>
      <c r="H308" s="7" t="str">
        <f aca="false">IF(A308&gt;=c_TFWD,IF(AND(A308&gt;=c_TMAP3IN,c_TMAP3IN&lt;1000),"Seg4 map3-100%",IF(AND(A308&gt;=c_TMAP2IN,c_TMAP3IN&gt;c_TMAP2IN),"Seg3 map2-map3",IF(AND(A308&gt;=c_TMAP1IN,c_TMAP2IN&gt;c_TMAP1IN),"Seg2 map1-map2","Seg1 TFWD-map1"))),IF(AND(A308=0,c_TCREEP&gt;0),"Creep",IF(AND(A308&lt;=c_TRNGMIN,A308&gt;=c_TRNGMAX,c_TRNGMIN-c_TRNGMAX&lt;&gt;0),"Regen ramp","Coast (0)")))</f>
        <v>Seg3 map2-map3</v>
      </c>
      <c r="I308" s="7" t="n">
        <f aca="false">IF(A308&gt;=c_TFWD,IF(AND(A308&gt;=c_TMAP3IN,c_TMAP3IN&lt;1000),G308,IF(AND(A308&gt;=c_TMAP2IN,c_TMAP3IN&gt;c_TMAP2IN),F308,IF(AND(A308&gt;=c_TMAP1IN,c_TMAP2IN&gt;c_TMAP1IN),E308,D308))),C308)</f>
        <v>167</v>
      </c>
      <c r="J308" s="7" t="str">
        <f aca="false">IF(I308&lt;-1090,"TOO LOW",IF(I308&gt;1090,"TOO HIGH",""))</f>
        <v/>
      </c>
      <c r="K308" s="15" t="n">
        <f aca="false">IF(J308&lt;&gt;"",0,IF(I308&gt;979,1000,I308))</f>
        <v>167</v>
      </c>
      <c r="L308" s="7" t="n">
        <f aca="false">K308/10</f>
        <v>16.7</v>
      </c>
    </row>
    <row r="309" customFormat="false" ht="15" hidden="false" customHeight="false" outlineLevel="0" collapsed="false">
      <c r="A309" s="7" t="n">
        <v>304</v>
      </c>
      <c r="B309" s="7" t="n">
        <f aca="false">A309/10</f>
        <v>30.4</v>
      </c>
      <c r="C309" s="7" t="n">
        <f aca="false">IF(AND(A309=0,c_TCREEP&gt;0),10*c_TCREEP,IF(AND(A309&lt;=c_TRNGMIN,A309&gt;=c_TRNGMAX,c_TRNGMIN-c_TRNGMAX&lt;&gt;0),-10*c_TMINRN+QUOTIENT((c_TMAXRN-c_TMINRN)*(100-QUOTIENT((A309-c_TRNGMAX)*100,c_TRNGMIN-c_TRNGMAX)),-10),0))</f>
        <v>0</v>
      </c>
      <c r="D309" s="7" t="n">
        <f aca="false">IF(((c_TMAP1IN)-(c_TFWD))=0,(0)+QUOTIENT(((c_TMAP1OUT)-(0)),2),QUOTIENT((((A309)-(c_TFWD))*((c_TMAP1OUT)-(0))+IF(((c_TMAP1OUT)-(0))&gt;=0,1,-1)*QUOTIENT(((c_TMAP1IN)-(c_TFWD)),2)),((c_TMAP1IN)-(c_TFWD)))+(0)+IF(((c_TMAP1OUT)-(0))&gt;=0,IF(IF(o_WRAP=1,MOD(((c_TMAP1IN)-(c_TFWD))*(((A309)-(c_TFWD))*((c_TMAP1OUT)-(0))+IF(((c_TMAP1OUT)-(0))&gt;=0,1,-1)*QUOTIENT(((c_TMAP1IN)-(c_TFWD)),2))+2147483648,4294967296)-2147483648,((c_TMAP1IN)-(c_TFWD))*(((A309)-(c_TFWD))*((c_TMAP1OUT)-(0))+IF(((c_TMAP1OUT)-(0))&gt;=0,1,-1)*QUOTIENT(((c_TMAP1IN)-(c_TFWD)),2)))&lt;0,-1,0),IF(IF(o_WRAP=1,MOD(((c_TMAP1IN)-(c_TFWD))*(((A309)-(c_TFWD))*((c_TMAP1OUT)-(0))+IF(((c_TMAP1OUT)-(0))&gt;=0,1,-1)*QUOTIENT(((c_TMAP1IN)-(c_TFWD)),2))+2147483648,4294967296)-2147483648,((c_TMAP1IN)-(c_TFWD))*(((A309)-(c_TFWD))*((c_TMAP1OUT)-(0))+IF(((c_TMAP1OUT)-(0))&gt;=0,1,-1)*QUOTIENT(((c_TMAP1IN)-(c_TFWD)),2)))&gt;=0,1,0)))</f>
        <v>229</v>
      </c>
      <c r="E309" s="7" t="n">
        <f aca="false">IF(((c_TMAP2IN)-(c_TMAP1IN))=0,(c_TMAP1OUT)+QUOTIENT(((c_TMAP2OUT)-(c_TMAP1OUT)),2),QUOTIENT((((A309)-(c_TMAP1IN))*((c_TMAP2OUT)-(c_TMAP1OUT))+IF(((c_TMAP2OUT)-(c_TMAP1OUT))&gt;=0,1,-1)*QUOTIENT(((c_TMAP2IN)-(c_TMAP1IN)),2)),((c_TMAP2IN)-(c_TMAP1IN)))+(c_TMAP1OUT)+IF(((c_TMAP2OUT)-(c_TMAP1OUT))&gt;=0,IF(IF(o_WRAP=1,MOD(((c_TMAP2IN)-(c_TMAP1IN))*(((A309)-(c_TMAP1IN))*((c_TMAP2OUT)-(c_TMAP1OUT))+IF(((c_TMAP2OUT)-(c_TMAP1OUT))&gt;=0,1,-1)*QUOTIENT(((c_TMAP2IN)-(c_TMAP1IN)),2))+2147483648,4294967296)-2147483648,((c_TMAP2IN)-(c_TMAP1IN))*(((A309)-(c_TMAP1IN))*((c_TMAP2OUT)-(c_TMAP1OUT))+IF(((c_TMAP2OUT)-(c_TMAP1OUT))&gt;=0,1,-1)*QUOTIENT(((c_TMAP2IN)-(c_TMAP1IN)),2)))&lt;0,-1,0),IF(IF(o_WRAP=1,MOD(((c_TMAP2IN)-(c_TMAP1IN))*(((A309)-(c_TMAP1IN))*((c_TMAP2OUT)-(c_TMAP1OUT))+IF(((c_TMAP2OUT)-(c_TMAP1OUT))&gt;=0,1,-1)*QUOTIENT(((c_TMAP2IN)-(c_TMAP1IN)),2))+2147483648,4294967296)-2147483648,((c_TMAP2IN)-(c_TMAP1IN))*(((A309)-(c_TMAP1IN))*((c_TMAP2OUT)-(c_TMAP1OUT))+IF(((c_TMAP2OUT)-(c_TMAP1OUT))&gt;=0,1,-1)*QUOTIENT(((c_TMAP2IN)-(c_TMAP1IN)),2)))&gt;=0,1,0)))</f>
        <v>152</v>
      </c>
      <c r="F309" s="7" t="n">
        <f aca="false">IF(((c_TMAP3IN)-(c_TMAP2IN))=0,(c_TMAP2OUT)+QUOTIENT(((c_TMAP3OUT)-(c_TMAP2OUT)),2),QUOTIENT((((A309)-(c_TMAP2IN))*((c_TMAP3OUT)-(c_TMAP2OUT))+IF(((c_TMAP3OUT)-(c_TMAP2OUT))&gt;=0,1,-1)*QUOTIENT(((c_TMAP3IN)-(c_TMAP2IN)),2)),((c_TMAP3IN)-(c_TMAP2IN)))+(c_TMAP2OUT)+IF(((c_TMAP3OUT)-(c_TMAP2OUT))&gt;=0,IF(IF(o_WRAP=1,MOD(((c_TMAP3IN)-(c_TMAP2IN))*(((A309)-(c_TMAP2IN))*((c_TMAP3OUT)-(c_TMAP2OUT))+IF(((c_TMAP3OUT)-(c_TMAP2OUT))&gt;=0,1,-1)*QUOTIENT(((c_TMAP3IN)-(c_TMAP2IN)),2))+2147483648,4294967296)-2147483648,((c_TMAP3IN)-(c_TMAP2IN))*(((A309)-(c_TMAP2IN))*((c_TMAP3OUT)-(c_TMAP2OUT))+IF(((c_TMAP3OUT)-(c_TMAP2OUT))&gt;=0,1,-1)*QUOTIENT(((c_TMAP3IN)-(c_TMAP2IN)),2)))&lt;0,-1,0),IF(IF(o_WRAP=1,MOD(((c_TMAP3IN)-(c_TMAP2IN))*(((A309)-(c_TMAP2IN))*((c_TMAP3OUT)-(c_TMAP2OUT))+IF(((c_TMAP3OUT)-(c_TMAP2OUT))&gt;=0,1,-1)*QUOTIENT(((c_TMAP3IN)-(c_TMAP2IN)),2))+2147483648,4294967296)-2147483648,((c_TMAP3IN)-(c_TMAP2IN))*(((A309)-(c_TMAP2IN))*((c_TMAP3OUT)-(c_TMAP2OUT))+IF(((c_TMAP3OUT)-(c_TMAP2OUT))&gt;=0,1,-1)*QUOTIENT(((c_TMAP3IN)-(c_TMAP2IN)),2)))&gt;=0,1,0)))</f>
        <v>168</v>
      </c>
      <c r="G309" s="7" t="n">
        <f aca="false">IF(((1000)-(c_TMAP3IN))=0,(c_TMAP3OUT)+QUOTIENT(((1000)-(c_TMAP3OUT)),2),QUOTIENT((((A309)-(c_TMAP3IN))*((1000)-(c_TMAP3OUT))+IF(((1000)-(c_TMAP3OUT))&gt;=0,1,-1)*QUOTIENT(((1000)-(c_TMAP3IN)),2)),((1000)-(c_TMAP3IN)))+(c_TMAP3OUT)+IF(((1000)-(c_TMAP3OUT))&gt;=0,IF(IF(o_WRAP=1,MOD(((1000)-(c_TMAP3IN))*(((A309)-(c_TMAP3IN))*((1000)-(c_TMAP3OUT))+IF(((1000)-(c_TMAP3OUT))&gt;=0,1,-1)*QUOTIENT(((1000)-(c_TMAP3IN)),2))+2147483648,4294967296)-2147483648,((1000)-(c_TMAP3IN))*(((A309)-(c_TMAP3IN))*((1000)-(c_TMAP3OUT))+IF(((1000)-(c_TMAP3OUT))&gt;=0,1,-1)*QUOTIENT(((1000)-(c_TMAP3IN)),2)))&lt;0,-1,0),IF(IF(o_WRAP=1,MOD(((1000)-(c_TMAP3IN))*(((A309)-(c_TMAP3IN))*((1000)-(c_TMAP3OUT))+IF(((1000)-(c_TMAP3OUT))&gt;=0,1,-1)*QUOTIENT(((1000)-(c_TMAP3IN)),2))+2147483648,4294967296)-2147483648,((1000)-(c_TMAP3IN))*(((A309)-(c_TMAP3IN))*((1000)-(c_TMAP3OUT))+IF(((1000)-(c_TMAP3OUT))&gt;=0,1,-1)*QUOTIENT(((1000)-(c_TMAP3IN)),2)))&gt;=0,1,0)))</f>
        <v>143</v>
      </c>
      <c r="H309" s="7" t="str">
        <f aca="false">IF(A309&gt;=c_TFWD,IF(AND(A309&gt;=c_TMAP3IN,c_TMAP3IN&lt;1000),"Seg4 map3-100%",IF(AND(A309&gt;=c_TMAP2IN,c_TMAP3IN&gt;c_TMAP2IN),"Seg3 map2-map3",IF(AND(A309&gt;=c_TMAP1IN,c_TMAP2IN&gt;c_TMAP1IN),"Seg2 map1-map2","Seg1 TFWD-map1"))),IF(AND(A309=0,c_TCREEP&gt;0),"Creep",IF(AND(A309&lt;=c_TRNGMIN,A309&gt;=c_TRNGMAX,c_TRNGMIN-c_TRNGMAX&lt;&gt;0),"Regen ramp","Coast (0)")))</f>
        <v>Seg3 map2-map3</v>
      </c>
      <c r="I309" s="7" t="n">
        <f aca="false">IF(A309&gt;=c_TFWD,IF(AND(A309&gt;=c_TMAP3IN,c_TMAP3IN&lt;1000),G309,IF(AND(A309&gt;=c_TMAP2IN,c_TMAP3IN&gt;c_TMAP2IN),F309,IF(AND(A309&gt;=c_TMAP1IN,c_TMAP2IN&gt;c_TMAP1IN),E309,D309))),C309)</f>
        <v>168</v>
      </c>
      <c r="J309" s="7" t="str">
        <f aca="false">IF(I309&lt;-1090,"TOO LOW",IF(I309&gt;1090,"TOO HIGH",""))</f>
        <v/>
      </c>
      <c r="K309" s="15" t="n">
        <f aca="false">IF(J309&lt;&gt;"",0,IF(I309&gt;979,1000,I309))</f>
        <v>168</v>
      </c>
      <c r="L309" s="7" t="n">
        <f aca="false">K309/10</f>
        <v>16.8</v>
      </c>
    </row>
    <row r="310" customFormat="false" ht="15" hidden="false" customHeight="false" outlineLevel="0" collapsed="false">
      <c r="A310" s="7" t="n">
        <v>305</v>
      </c>
      <c r="B310" s="7" t="n">
        <f aca="false">A310/10</f>
        <v>30.5</v>
      </c>
      <c r="C310" s="7" t="n">
        <f aca="false">IF(AND(A310=0,c_TCREEP&gt;0),10*c_TCREEP,IF(AND(A310&lt;=c_TRNGMIN,A310&gt;=c_TRNGMAX,c_TRNGMIN-c_TRNGMAX&lt;&gt;0),-10*c_TMINRN+QUOTIENT((c_TMAXRN-c_TMINRN)*(100-QUOTIENT((A310-c_TRNGMAX)*100,c_TRNGMIN-c_TRNGMAX)),-10),0))</f>
        <v>0</v>
      </c>
      <c r="D310" s="7" t="n">
        <f aca="false">IF(((c_TMAP1IN)-(c_TFWD))=0,(0)+QUOTIENT(((c_TMAP1OUT)-(0)),2),QUOTIENT((((A310)-(c_TFWD))*((c_TMAP1OUT)-(0))+IF(((c_TMAP1OUT)-(0))&gt;=0,1,-1)*QUOTIENT(((c_TMAP1IN)-(c_TFWD)),2)),((c_TMAP1IN)-(c_TFWD)))+(0)+IF(((c_TMAP1OUT)-(0))&gt;=0,IF(IF(o_WRAP=1,MOD(((c_TMAP1IN)-(c_TFWD))*(((A310)-(c_TFWD))*((c_TMAP1OUT)-(0))+IF(((c_TMAP1OUT)-(0))&gt;=0,1,-1)*QUOTIENT(((c_TMAP1IN)-(c_TFWD)),2))+2147483648,4294967296)-2147483648,((c_TMAP1IN)-(c_TFWD))*(((A310)-(c_TFWD))*((c_TMAP1OUT)-(0))+IF(((c_TMAP1OUT)-(0))&gt;=0,1,-1)*QUOTIENT(((c_TMAP1IN)-(c_TFWD)),2)))&lt;0,-1,0),IF(IF(o_WRAP=1,MOD(((c_TMAP1IN)-(c_TFWD))*(((A310)-(c_TFWD))*((c_TMAP1OUT)-(0))+IF(((c_TMAP1OUT)-(0))&gt;=0,1,-1)*QUOTIENT(((c_TMAP1IN)-(c_TFWD)),2))+2147483648,4294967296)-2147483648,((c_TMAP1IN)-(c_TFWD))*(((A310)-(c_TFWD))*((c_TMAP1OUT)-(0))+IF(((c_TMAP1OUT)-(0))&gt;=0,1,-1)*QUOTIENT(((c_TMAP1IN)-(c_TFWD)),2)))&gt;=0,1,0)))</f>
        <v>229</v>
      </c>
      <c r="E310" s="7" t="n">
        <f aca="false">IF(((c_TMAP2IN)-(c_TMAP1IN))=0,(c_TMAP1OUT)+QUOTIENT(((c_TMAP2OUT)-(c_TMAP1OUT)),2),QUOTIENT((((A310)-(c_TMAP1IN))*((c_TMAP2OUT)-(c_TMAP1OUT))+IF(((c_TMAP2OUT)-(c_TMAP1OUT))&gt;=0,1,-1)*QUOTIENT(((c_TMAP2IN)-(c_TMAP1IN)),2)),((c_TMAP2IN)-(c_TMAP1IN)))+(c_TMAP1OUT)+IF(((c_TMAP2OUT)-(c_TMAP1OUT))&gt;=0,IF(IF(o_WRAP=1,MOD(((c_TMAP2IN)-(c_TMAP1IN))*(((A310)-(c_TMAP1IN))*((c_TMAP2OUT)-(c_TMAP1OUT))+IF(((c_TMAP2OUT)-(c_TMAP1OUT))&gt;=0,1,-1)*QUOTIENT(((c_TMAP2IN)-(c_TMAP1IN)),2))+2147483648,4294967296)-2147483648,((c_TMAP2IN)-(c_TMAP1IN))*(((A310)-(c_TMAP1IN))*((c_TMAP2OUT)-(c_TMAP1OUT))+IF(((c_TMAP2OUT)-(c_TMAP1OUT))&gt;=0,1,-1)*QUOTIENT(((c_TMAP2IN)-(c_TMAP1IN)),2)))&lt;0,-1,0),IF(IF(o_WRAP=1,MOD(((c_TMAP2IN)-(c_TMAP1IN))*(((A310)-(c_TMAP1IN))*((c_TMAP2OUT)-(c_TMAP1OUT))+IF(((c_TMAP2OUT)-(c_TMAP1OUT))&gt;=0,1,-1)*QUOTIENT(((c_TMAP2IN)-(c_TMAP1IN)),2))+2147483648,4294967296)-2147483648,((c_TMAP2IN)-(c_TMAP1IN))*(((A310)-(c_TMAP1IN))*((c_TMAP2OUT)-(c_TMAP1OUT))+IF(((c_TMAP2OUT)-(c_TMAP1OUT))&gt;=0,1,-1)*QUOTIENT(((c_TMAP2IN)-(c_TMAP1IN)),2)))&gt;=0,1,0)))</f>
        <v>152</v>
      </c>
      <c r="F310" s="7" t="n">
        <f aca="false">IF(((c_TMAP3IN)-(c_TMAP2IN))=0,(c_TMAP2OUT)+QUOTIENT(((c_TMAP3OUT)-(c_TMAP2OUT)),2),QUOTIENT((((A310)-(c_TMAP2IN))*((c_TMAP3OUT)-(c_TMAP2OUT))+IF(((c_TMAP3OUT)-(c_TMAP2OUT))&gt;=0,1,-1)*QUOTIENT(((c_TMAP3IN)-(c_TMAP2IN)),2)),((c_TMAP3IN)-(c_TMAP2IN)))+(c_TMAP2OUT)+IF(((c_TMAP3OUT)-(c_TMAP2OUT))&gt;=0,IF(IF(o_WRAP=1,MOD(((c_TMAP3IN)-(c_TMAP2IN))*(((A310)-(c_TMAP2IN))*((c_TMAP3OUT)-(c_TMAP2OUT))+IF(((c_TMAP3OUT)-(c_TMAP2OUT))&gt;=0,1,-1)*QUOTIENT(((c_TMAP3IN)-(c_TMAP2IN)),2))+2147483648,4294967296)-2147483648,((c_TMAP3IN)-(c_TMAP2IN))*(((A310)-(c_TMAP2IN))*((c_TMAP3OUT)-(c_TMAP2OUT))+IF(((c_TMAP3OUT)-(c_TMAP2OUT))&gt;=0,1,-1)*QUOTIENT(((c_TMAP3IN)-(c_TMAP2IN)),2)))&lt;0,-1,0),IF(IF(o_WRAP=1,MOD(((c_TMAP3IN)-(c_TMAP2IN))*(((A310)-(c_TMAP2IN))*((c_TMAP3OUT)-(c_TMAP2OUT))+IF(((c_TMAP3OUT)-(c_TMAP2OUT))&gt;=0,1,-1)*QUOTIENT(((c_TMAP3IN)-(c_TMAP2IN)),2))+2147483648,4294967296)-2147483648,((c_TMAP3IN)-(c_TMAP2IN))*(((A310)-(c_TMAP2IN))*((c_TMAP3OUT)-(c_TMAP2OUT))+IF(((c_TMAP3OUT)-(c_TMAP2OUT))&gt;=0,1,-1)*QUOTIENT(((c_TMAP3IN)-(c_TMAP2IN)),2)))&gt;=0,1,0)))</f>
        <v>169</v>
      </c>
      <c r="G310" s="7" t="n">
        <f aca="false">IF(((1000)-(c_TMAP3IN))=0,(c_TMAP3OUT)+QUOTIENT(((1000)-(c_TMAP3OUT)),2),QUOTIENT((((A310)-(c_TMAP3IN))*((1000)-(c_TMAP3OUT))+IF(((1000)-(c_TMAP3OUT))&gt;=0,1,-1)*QUOTIENT(((1000)-(c_TMAP3IN)),2)),((1000)-(c_TMAP3IN)))+(c_TMAP3OUT)+IF(((1000)-(c_TMAP3OUT))&gt;=0,IF(IF(o_WRAP=1,MOD(((1000)-(c_TMAP3IN))*(((A310)-(c_TMAP3IN))*((1000)-(c_TMAP3OUT))+IF(((1000)-(c_TMAP3OUT))&gt;=0,1,-1)*QUOTIENT(((1000)-(c_TMAP3IN)),2))+2147483648,4294967296)-2147483648,((1000)-(c_TMAP3IN))*(((A310)-(c_TMAP3IN))*((1000)-(c_TMAP3OUT))+IF(((1000)-(c_TMAP3OUT))&gt;=0,1,-1)*QUOTIENT(((1000)-(c_TMAP3IN)),2)))&lt;0,-1,0),IF(IF(o_WRAP=1,MOD(((1000)-(c_TMAP3IN))*(((A310)-(c_TMAP3IN))*((1000)-(c_TMAP3OUT))+IF(((1000)-(c_TMAP3OUT))&gt;=0,1,-1)*QUOTIENT(((1000)-(c_TMAP3IN)),2))+2147483648,4294967296)-2147483648,((1000)-(c_TMAP3IN))*(((A310)-(c_TMAP3IN))*((1000)-(c_TMAP3OUT))+IF(((1000)-(c_TMAP3OUT))&gt;=0,1,-1)*QUOTIENT(((1000)-(c_TMAP3IN)),2)))&gt;=0,1,0)))</f>
        <v>145</v>
      </c>
      <c r="H310" s="7" t="str">
        <f aca="false">IF(A310&gt;=c_TFWD,IF(AND(A310&gt;=c_TMAP3IN,c_TMAP3IN&lt;1000),"Seg4 map3-100%",IF(AND(A310&gt;=c_TMAP2IN,c_TMAP3IN&gt;c_TMAP2IN),"Seg3 map2-map3",IF(AND(A310&gt;=c_TMAP1IN,c_TMAP2IN&gt;c_TMAP1IN),"Seg2 map1-map2","Seg1 TFWD-map1"))),IF(AND(A310=0,c_TCREEP&gt;0),"Creep",IF(AND(A310&lt;=c_TRNGMIN,A310&gt;=c_TRNGMAX,c_TRNGMIN-c_TRNGMAX&lt;&gt;0),"Regen ramp","Coast (0)")))</f>
        <v>Seg3 map2-map3</v>
      </c>
      <c r="I310" s="7" t="n">
        <f aca="false">IF(A310&gt;=c_TFWD,IF(AND(A310&gt;=c_TMAP3IN,c_TMAP3IN&lt;1000),G310,IF(AND(A310&gt;=c_TMAP2IN,c_TMAP3IN&gt;c_TMAP2IN),F310,IF(AND(A310&gt;=c_TMAP1IN,c_TMAP2IN&gt;c_TMAP1IN),E310,D310))),C310)</f>
        <v>169</v>
      </c>
      <c r="J310" s="7" t="str">
        <f aca="false">IF(I310&lt;-1090,"TOO LOW",IF(I310&gt;1090,"TOO HIGH",""))</f>
        <v/>
      </c>
      <c r="K310" s="15" t="n">
        <f aca="false">IF(J310&lt;&gt;"",0,IF(I310&gt;979,1000,I310))</f>
        <v>169</v>
      </c>
      <c r="L310" s="7" t="n">
        <f aca="false">K310/10</f>
        <v>16.9</v>
      </c>
    </row>
    <row r="311" customFormat="false" ht="15" hidden="false" customHeight="false" outlineLevel="0" collapsed="false">
      <c r="A311" s="7" t="n">
        <v>306</v>
      </c>
      <c r="B311" s="7" t="n">
        <f aca="false">A311/10</f>
        <v>30.6</v>
      </c>
      <c r="C311" s="7" t="n">
        <f aca="false">IF(AND(A311=0,c_TCREEP&gt;0),10*c_TCREEP,IF(AND(A311&lt;=c_TRNGMIN,A311&gt;=c_TRNGMAX,c_TRNGMIN-c_TRNGMAX&lt;&gt;0),-10*c_TMINRN+QUOTIENT((c_TMAXRN-c_TMINRN)*(100-QUOTIENT((A311-c_TRNGMAX)*100,c_TRNGMIN-c_TRNGMAX)),-10),0))</f>
        <v>0</v>
      </c>
      <c r="D311" s="7" t="n">
        <f aca="false">IF(((c_TMAP1IN)-(c_TFWD))=0,(0)+QUOTIENT(((c_TMAP1OUT)-(0)),2),QUOTIENT((((A311)-(c_TFWD))*((c_TMAP1OUT)-(0))+IF(((c_TMAP1OUT)-(0))&gt;=0,1,-1)*QUOTIENT(((c_TMAP1IN)-(c_TFWD)),2)),((c_TMAP1IN)-(c_TFWD)))+(0)+IF(((c_TMAP1OUT)-(0))&gt;=0,IF(IF(o_WRAP=1,MOD(((c_TMAP1IN)-(c_TFWD))*(((A311)-(c_TFWD))*((c_TMAP1OUT)-(0))+IF(((c_TMAP1OUT)-(0))&gt;=0,1,-1)*QUOTIENT(((c_TMAP1IN)-(c_TFWD)),2))+2147483648,4294967296)-2147483648,((c_TMAP1IN)-(c_TFWD))*(((A311)-(c_TFWD))*((c_TMAP1OUT)-(0))+IF(((c_TMAP1OUT)-(0))&gt;=0,1,-1)*QUOTIENT(((c_TMAP1IN)-(c_TFWD)),2)))&lt;0,-1,0),IF(IF(o_WRAP=1,MOD(((c_TMAP1IN)-(c_TFWD))*(((A311)-(c_TFWD))*((c_TMAP1OUT)-(0))+IF(((c_TMAP1OUT)-(0))&gt;=0,1,-1)*QUOTIENT(((c_TMAP1IN)-(c_TFWD)),2))+2147483648,4294967296)-2147483648,((c_TMAP1IN)-(c_TFWD))*(((A311)-(c_TFWD))*((c_TMAP1OUT)-(0))+IF(((c_TMAP1OUT)-(0))&gt;=0,1,-1)*QUOTIENT(((c_TMAP1IN)-(c_TFWD)),2)))&gt;=0,1,0)))</f>
        <v>230</v>
      </c>
      <c r="E311" s="7" t="n">
        <f aca="false">IF(((c_TMAP2IN)-(c_TMAP1IN))=0,(c_TMAP1OUT)+QUOTIENT(((c_TMAP2OUT)-(c_TMAP1OUT)),2),QUOTIENT((((A311)-(c_TMAP1IN))*((c_TMAP2OUT)-(c_TMAP1OUT))+IF(((c_TMAP2OUT)-(c_TMAP1OUT))&gt;=0,1,-1)*QUOTIENT(((c_TMAP2IN)-(c_TMAP1IN)),2)),((c_TMAP2IN)-(c_TMAP1IN)))+(c_TMAP1OUT)+IF(((c_TMAP2OUT)-(c_TMAP1OUT))&gt;=0,IF(IF(o_WRAP=1,MOD(((c_TMAP2IN)-(c_TMAP1IN))*(((A311)-(c_TMAP1IN))*((c_TMAP2OUT)-(c_TMAP1OUT))+IF(((c_TMAP2OUT)-(c_TMAP1OUT))&gt;=0,1,-1)*QUOTIENT(((c_TMAP2IN)-(c_TMAP1IN)),2))+2147483648,4294967296)-2147483648,((c_TMAP2IN)-(c_TMAP1IN))*(((A311)-(c_TMAP1IN))*((c_TMAP2OUT)-(c_TMAP1OUT))+IF(((c_TMAP2OUT)-(c_TMAP1OUT))&gt;=0,1,-1)*QUOTIENT(((c_TMAP2IN)-(c_TMAP1IN)),2)))&lt;0,-1,0),IF(IF(o_WRAP=1,MOD(((c_TMAP2IN)-(c_TMAP1IN))*(((A311)-(c_TMAP1IN))*((c_TMAP2OUT)-(c_TMAP1OUT))+IF(((c_TMAP2OUT)-(c_TMAP1OUT))&gt;=0,1,-1)*QUOTIENT(((c_TMAP2IN)-(c_TMAP1IN)),2))+2147483648,4294967296)-2147483648,((c_TMAP2IN)-(c_TMAP1IN))*(((A311)-(c_TMAP1IN))*((c_TMAP2OUT)-(c_TMAP1OUT))+IF(((c_TMAP2OUT)-(c_TMAP1OUT))&gt;=0,1,-1)*QUOTIENT(((c_TMAP2IN)-(c_TMAP1IN)),2)))&gt;=0,1,0)))</f>
        <v>152</v>
      </c>
      <c r="F311" s="7" t="n">
        <f aca="false">IF(((c_TMAP3IN)-(c_TMAP2IN))=0,(c_TMAP2OUT)+QUOTIENT(((c_TMAP3OUT)-(c_TMAP2OUT)),2),QUOTIENT((((A311)-(c_TMAP2IN))*((c_TMAP3OUT)-(c_TMAP2OUT))+IF(((c_TMAP3OUT)-(c_TMAP2OUT))&gt;=0,1,-1)*QUOTIENT(((c_TMAP3IN)-(c_TMAP2IN)),2)),((c_TMAP3IN)-(c_TMAP2IN)))+(c_TMAP2OUT)+IF(((c_TMAP3OUT)-(c_TMAP2OUT))&gt;=0,IF(IF(o_WRAP=1,MOD(((c_TMAP3IN)-(c_TMAP2IN))*(((A311)-(c_TMAP2IN))*((c_TMAP3OUT)-(c_TMAP2OUT))+IF(((c_TMAP3OUT)-(c_TMAP2OUT))&gt;=0,1,-1)*QUOTIENT(((c_TMAP3IN)-(c_TMAP2IN)),2))+2147483648,4294967296)-2147483648,((c_TMAP3IN)-(c_TMAP2IN))*(((A311)-(c_TMAP2IN))*((c_TMAP3OUT)-(c_TMAP2OUT))+IF(((c_TMAP3OUT)-(c_TMAP2OUT))&gt;=0,1,-1)*QUOTIENT(((c_TMAP3IN)-(c_TMAP2IN)),2)))&lt;0,-1,0),IF(IF(o_WRAP=1,MOD(((c_TMAP3IN)-(c_TMAP2IN))*(((A311)-(c_TMAP2IN))*((c_TMAP3OUT)-(c_TMAP2OUT))+IF(((c_TMAP3OUT)-(c_TMAP2OUT))&gt;=0,1,-1)*QUOTIENT(((c_TMAP3IN)-(c_TMAP2IN)),2))+2147483648,4294967296)-2147483648,((c_TMAP3IN)-(c_TMAP2IN))*(((A311)-(c_TMAP2IN))*((c_TMAP3OUT)-(c_TMAP2OUT))+IF(((c_TMAP3OUT)-(c_TMAP2OUT))&gt;=0,1,-1)*QUOTIENT(((c_TMAP3IN)-(c_TMAP2IN)),2)))&gt;=0,1,0)))</f>
        <v>169</v>
      </c>
      <c r="G311" s="7" t="n">
        <f aca="false">IF(((1000)-(c_TMAP3IN))=0,(c_TMAP3OUT)+QUOTIENT(((1000)-(c_TMAP3OUT)),2),QUOTIENT((((A311)-(c_TMAP3IN))*((1000)-(c_TMAP3OUT))+IF(((1000)-(c_TMAP3OUT))&gt;=0,1,-1)*QUOTIENT(((1000)-(c_TMAP3IN)),2)),((1000)-(c_TMAP3IN)))+(c_TMAP3OUT)+IF(((1000)-(c_TMAP3OUT))&gt;=0,IF(IF(o_WRAP=1,MOD(((1000)-(c_TMAP3IN))*(((A311)-(c_TMAP3IN))*((1000)-(c_TMAP3OUT))+IF(((1000)-(c_TMAP3OUT))&gt;=0,1,-1)*QUOTIENT(((1000)-(c_TMAP3IN)),2))+2147483648,4294967296)-2147483648,((1000)-(c_TMAP3IN))*(((A311)-(c_TMAP3IN))*((1000)-(c_TMAP3OUT))+IF(((1000)-(c_TMAP3OUT))&gt;=0,1,-1)*QUOTIENT(((1000)-(c_TMAP3IN)),2)))&lt;0,-1,0),IF(IF(o_WRAP=1,MOD(((1000)-(c_TMAP3IN))*(((A311)-(c_TMAP3IN))*((1000)-(c_TMAP3OUT))+IF(((1000)-(c_TMAP3OUT))&gt;=0,1,-1)*QUOTIENT(((1000)-(c_TMAP3IN)),2))+2147483648,4294967296)-2147483648,((1000)-(c_TMAP3IN))*(((A311)-(c_TMAP3IN))*((1000)-(c_TMAP3OUT))+IF(((1000)-(c_TMAP3OUT))&gt;=0,1,-1)*QUOTIENT(((1000)-(c_TMAP3IN)),2)))&gt;=0,1,0)))</f>
        <v>146</v>
      </c>
      <c r="H311" s="7" t="str">
        <f aca="false">IF(A311&gt;=c_TFWD,IF(AND(A311&gt;=c_TMAP3IN,c_TMAP3IN&lt;1000),"Seg4 map3-100%",IF(AND(A311&gt;=c_TMAP2IN,c_TMAP3IN&gt;c_TMAP2IN),"Seg3 map2-map3",IF(AND(A311&gt;=c_TMAP1IN,c_TMAP2IN&gt;c_TMAP1IN),"Seg2 map1-map2","Seg1 TFWD-map1"))),IF(AND(A311=0,c_TCREEP&gt;0),"Creep",IF(AND(A311&lt;=c_TRNGMIN,A311&gt;=c_TRNGMAX,c_TRNGMIN-c_TRNGMAX&lt;&gt;0),"Regen ramp","Coast (0)")))</f>
        <v>Seg3 map2-map3</v>
      </c>
      <c r="I311" s="7" t="n">
        <f aca="false">IF(A311&gt;=c_TFWD,IF(AND(A311&gt;=c_TMAP3IN,c_TMAP3IN&lt;1000),G311,IF(AND(A311&gt;=c_TMAP2IN,c_TMAP3IN&gt;c_TMAP2IN),F311,IF(AND(A311&gt;=c_TMAP1IN,c_TMAP2IN&gt;c_TMAP1IN),E311,D311))),C311)</f>
        <v>169</v>
      </c>
      <c r="J311" s="7" t="str">
        <f aca="false">IF(I311&lt;-1090,"TOO LOW",IF(I311&gt;1090,"TOO HIGH",""))</f>
        <v/>
      </c>
      <c r="K311" s="15" t="n">
        <f aca="false">IF(J311&lt;&gt;"",0,IF(I311&gt;979,1000,I311))</f>
        <v>169</v>
      </c>
      <c r="L311" s="7" t="n">
        <f aca="false">K311/10</f>
        <v>16.9</v>
      </c>
    </row>
    <row r="312" customFormat="false" ht="15" hidden="false" customHeight="false" outlineLevel="0" collapsed="false">
      <c r="A312" s="7" t="n">
        <v>307</v>
      </c>
      <c r="B312" s="7" t="n">
        <f aca="false">A312/10</f>
        <v>30.7</v>
      </c>
      <c r="C312" s="7" t="n">
        <f aca="false">IF(AND(A312=0,c_TCREEP&gt;0),10*c_TCREEP,IF(AND(A312&lt;=c_TRNGMIN,A312&gt;=c_TRNGMAX,c_TRNGMIN-c_TRNGMAX&lt;&gt;0),-10*c_TMINRN+QUOTIENT((c_TMAXRN-c_TMINRN)*(100-QUOTIENT((A312-c_TRNGMAX)*100,c_TRNGMIN-c_TRNGMAX)),-10),0))</f>
        <v>0</v>
      </c>
      <c r="D312" s="7" t="n">
        <f aca="false">IF(((c_TMAP1IN)-(c_TFWD))=0,(0)+QUOTIENT(((c_TMAP1OUT)-(0)),2),QUOTIENT((((A312)-(c_TFWD))*((c_TMAP1OUT)-(0))+IF(((c_TMAP1OUT)-(0))&gt;=0,1,-1)*QUOTIENT(((c_TMAP1IN)-(c_TFWD)),2)),((c_TMAP1IN)-(c_TFWD)))+(0)+IF(((c_TMAP1OUT)-(0))&gt;=0,IF(IF(o_WRAP=1,MOD(((c_TMAP1IN)-(c_TFWD))*(((A312)-(c_TFWD))*((c_TMAP1OUT)-(0))+IF(((c_TMAP1OUT)-(0))&gt;=0,1,-1)*QUOTIENT(((c_TMAP1IN)-(c_TFWD)),2))+2147483648,4294967296)-2147483648,((c_TMAP1IN)-(c_TFWD))*(((A312)-(c_TFWD))*((c_TMAP1OUT)-(0))+IF(((c_TMAP1OUT)-(0))&gt;=0,1,-1)*QUOTIENT(((c_TMAP1IN)-(c_TFWD)),2)))&lt;0,-1,0),IF(IF(o_WRAP=1,MOD(((c_TMAP1IN)-(c_TFWD))*(((A312)-(c_TFWD))*((c_TMAP1OUT)-(0))+IF(((c_TMAP1OUT)-(0))&gt;=0,1,-1)*QUOTIENT(((c_TMAP1IN)-(c_TFWD)),2))+2147483648,4294967296)-2147483648,((c_TMAP1IN)-(c_TFWD))*(((A312)-(c_TFWD))*((c_TMAP1OUT)-(0))+IF(((c_TMAP1OUT)-(0))&gt;=0,1,-1)*QUOTIENT(((c_TMAP1IN)-(c_TFWD)),2)))&gt;=0,1,0)))</f>
        <v>231</v>
      </c>
      <c r="E312" s="7" t="n">
        <f aca="false">IF(((c_TMAP2IN)-(c_TMAP1IN))=0,(c_TMAP1OUT)+QUOTIENT(((c_TMAP2OUT)-(c_TMAP1OUT)),2),QUOTIENT((((A312)-(c_TMAP1IN))*((c_TMAP2OUT)-(c_TMAP1OUT))+IF(((c_TMAP2OUT)-(c_TMAP1OUT))&gt;=0,1,-1)*QUOTIENT(((c_TMAP2IN)-(c_TMAP1IN)),2)),((c_TMAP2IN)-(c_TMAP1IN)))+(c_TMAP1OUT)+IF(((c_TMAP2OUT)-(c_TMAP1OUT))&gt;=0,IF(IF(o_WRAP=1,MOD(((c_TMAP2IN)-(c_TMAP1IN))*(((A312)-(c_TMAP1IN))*((c_TMAP2OUT)-(c_TMAP1OUT))+IF(((c_TMAP2OUT)-(c_TMAP1OUT))&gt;=0,1,-1)*QUOTIENT(((c_TMAP2IN)-(c_TMAP1IN)),2))+2147483648,4294967296)-2147483648,((c_TMAP2IN)-(c_TMAP1IN))*(((A312)-(c_TMAP1IN))*((c_TMAP2OUT)-(c_TMAP1OUT))+IF(((c_TMAP2OUT)-(c_TMAP1OUT))&gt;=0,1,-1)*QUOTIENT(((c_TMAP2IN)-(c_TMAP1IN)),2)))&lt;0,-1,0),IF(IF(o_WRAP=1,MOD(((c_TMAP2IN)-(c_TMAP1IN))*(((A312)-(c_TMAP1IN))*((c_TMAP2OUT)-(c_TMAP1OUT))+IF(((c_TMAP2OUT)-(c_TMAP1OUT))&gt;=0,1,-1)*QUOTIENT(((c_TMAP2IN)-(c_TMAP1IN)),2))+2147483648,4294967296)-2147483648,((c_TMAP2IN)-(c_TMAP1IN))*(((A312)-(c_TMAP1IN))*((c_TMAP2OUT)-(c_TMAP1OUT))+IF(((c_TMAP2OUT)-(c_TMAP1OUT))&gt;=0,1,-1)*QUOTIENT(((c_TMAP2IN)-(c_TMAP1IN)),2)))&gt;=0,1,0)))</f>
        <v>153</v>
      </c>
      <c r="F312" s="7" t="n">
        <f aca="false">IF(((c_TMAP3IN)-(c_TMAP2IN))=0,(c_TMAP2OUT)+QUOTIENT(((c_TMAP3OUT)-(c_TMAP2OUT)),2),QUOTIENT((((A312)-(c_TMAP2IN))*((c_TMAP3OUT)-(c_TMAP2OUT))+IF(((c_TMAP3OUT)-(c_TMAP2OUT))&gt;=0,1,-1)*QUOTIENT(((c_TMAP3IN)-(c_TMAP2IN)),2)),((c_TMAP3IN)-(c_TMAP2IN)))+(c_TMAP2OUT)+IF(((c_TMAP3OUT)-(c_TMAP2OUT))&gt;=0,IF(IF(o_WRAP=1,MOD(((c_TMAP3IN)-(c_TMAP2IN))*(((A312)-(c_TMAP2IN))*((c_TMAP3OUT)-(c_TMAP2OUT))+IF(((c_TMAP3OUT)-(c_TMAP2OUT))&gt;=0,1,-1)*QUOTIENT(((c_TMAP3IN)-(c_TMAP2IN)),2))+2147483648,4294967296)-2147483648,((c_TMAP3IN)-(c_TMAP2IN))*(((A312)-(c_TMAP2IN))*((c_TMAP3OUT)-(c_TMAP2OUT))+IF(((c_TMAP3OUT)-(c_TMAP2OUT))&gt;=0,1,-1)*QUOTIENT(((c_TMAP3IN)-(c_TMAP2IN)),2)))&lt;0,-1,0),IF(IF(o_WRAP=1,MOD(((c_TMAP3IN)-(c_TMAP2IN))*(((A312)-(c_TMAP2IN))*((c_TMAP3OUT)-(c_TMAP2OUT))+IF(((c_TMAP3OUT)-(c_TMAP2OUT))&gt;=0,1,-1)*QUOTIENT(((c_TMAP3IN)-(c_TMAP2IN)),2))+2147483648,4294967296)-2147483648,((c_TMAP3IN)-(c_TMAP2IN))*(((A312)-(c_TMAP2IN))*((c_TMAP3OUT)-(c_TMAP2OUT))+IF(((c_TMAP3OUT)-(c_TMAP2OUT))&gt;=0,1,-1)*QUOTIENT(((c_TMAP3IN)-(c_TMAP2IN)),2)))&gt;=0,1,0)))</f>
        <v>170</v>
      </c>
      <c r="G312" s="7" t="n">
        <f aca="false">IF(((1000)-(c_TMAP3IN))=0,(c_TMAP3OUT)+QUOTIENT(((1000)-(c_TMAP3OUT)),2),QUOTIENT((((A312)-(c_TMAP3IN))*((1000)-(c_TMAP3OUT))+IF(((1000)-(c_TMAP3OUT))&gt;=0,1,-1)*QUOTIENT(((1000)-(c_TMAP3IN)),2)),((1000)-(c_TMAP3IN)))+(c_TMAP3OUT)+IF(((1000)-(c_TMAP3OUT))&gt;=0,IF(IF(o_WRAP=1,MOD(((1000)-(c_TMAP3IN))*(((A312)-(c_TMAP3IN))*((1000)-(c_TMAP3OUT))+IF(((1000)-(c_TMAP3OUT))&gt;=0,1,-1)*QUOTIENT(((1000)-(c_TMAP3IN)),2))+2147483648,4294967296)-2147483648,((1000)-(c_TMAP3IN))*(((A312)-(c_TMAP3IN))*((1000)-(c_TMAP3OUT))+IF(((1000)-(c_TMAP3OUT))&gt;=0,1,-1)*QUOTIENT(((1000)-(c_TMAP3IN)),2)))&lt;0,-1,0),IF(IF(o_WRAP=1,MOD(((1000)-(c_TMAP3IN))*(((A312)-(c_TMAP3IN))*((1000)-(c_TMAP3OUT))+IF(((1000)-(c_TMAP3OUT))&gt;=0,1,-1)*QUOTIENT(((1000)-(c_TMAP3IN)),2))+2147483648,4294967296)-2147483648,((1000)-(c_TMAP3IN))*(((A312)-(c_TMAP3IN))*((1000)-(c_TMAP3OUT))+IF(((1000)-(c_TMAP3OUT))&gt;=0,1,-1)*QUOTIENT(((1000)-(c_TMAP3IN)),2)))&gt;=0,1,0)))</f>
        <v>147</v>
      </c>
      <c r="H312" s="7" t="str">
        <f aca="false">IF(A312&gt;=c_TFWD,IF(AND(A312&gt;=c_TMAP3IN,c_TMAP3IN&lt;1000),"Seg4 map3-100%",IF(AND(A312&gt;=c_TMAP2IN,c_TMAP3IN&gt;c_TMAP2IN),"Seg3 map2-map3",IF(AND(A312&gt;=c_TMAP1IN,c_TMAP2IN&gt;c_TMAP1IN),"Seg2 map1-map2","Seg1 TFWD-map1"))),IF(AND(A312=0,c_TCREEP&gt;0),"Creep",IF(AND(A312&lt;=c_TRNGMIN,A312&gt;=c_TRNGMAX,c_TRNGMIN-c_TRNGMAX&lt;&gt;0),"Regen ramp","Coast (0)")))</f>
        <v>Seg3 map2-map3</v>
      </c>
      <c r="I312" s="7" t="n">
        <f aca="false">IF(A312&gt;=c_TFWD,IF(AND(A312&gt;=c_TMAP3IN,c_TMAP3IN&lt;1000),G312,IF(AND(A312&gt;=c_TMAP2IN,c_TMAP3IN&gt;c_TMAP2IN),F312,IF(AND(A312&gt;=c_TMAP1IN,c_TMAP2IN&gt;c_TMAP1IN),E312,D312))),C312)</f>
        <v>170</v>
      </c>
      <c r="J312" s="7" t="str">
        <f aca="false">IF(I312&lt;-1090,"TOO LOW",IF(I312&gt;1090,"TOO HIGH",""))</f>
        <v/>
      </c>
      <c r="K312" s="15" t="n">
        <f aca="false">IF(J312&lt;&gt;"",0,IF(I312&gt;979,1000,I312))</f>
        <v>170</v>
      </c>
      <c r="L312" s="7" t="n">
        <f aca="false">K312/10</f>
        <v>17</v>
      </c>
    </row>
    <row r="313" customFormat="false" ht="15" hidden="false" customHeight="false" outlineLevel="0" collapsed="false">
      <c r="A313" s="7" t="n">
        <v>308</v>
      </c>
      <c r="B313" s="7" t="n">
        <f aca="false">A313/10</f>
        <v>30.8</v>
      </c>
      <c r="C313" s="7" t="n">
        <f aca="false">IF(AND(A313=0,c_TCREEP&gt;0),10*c_TCREEP,IF(AND(A313&lt;=c_TRNGMIN,A313&gt;=c_TRNGMAX,c_TRNGMIN-c_TRNGMAX&lt;&gt;0),-10*c_TMINRN+QUOTIENT((c_TMAXRN-c_TMINRN)*(100-QUOTIENT((A313-c_TRNGMAX)*100,c_TRNGMIN-c_TRNGMAX)),-10),0))</f>
        <v>0</v>
      </c>
      <c r="D313" s="7" t="n">
        <f aca="false">IF(((c_TMAP1IN)-(c_TFWD))=0,(0)+QUOTIENT(((c_TMAP1OUT)-(0)),2),QUOTIENT((((A313)-(c_TFWD))*((c_TMAP1OUT)-(0))+IF(((c_TMAP1OUT)-(0))&gt;=0,1,-1)*QUOTIENT(((c_TMAP1IN)-(c_TFWD)),2)),((c_TMAP1IN)-(c_TFWD)))+(0)+IF(((c_TMAP1OUT)-(0))&gt;=0,IF(IF(o_WRAP=1,MOD(((c_TMAP1IN)-(c_TFWD))*(((A313)-(c_TFWD))*((c_TMAP1OUT)-(0))+IF(((c_TMAP1OUT)-(0))&gt;=0,1,-1)*QUOTIENT(((c_TMAP1IN)-(c_TFWD)),2))+2147483648,4294967296)-2147483648,((c_TMAP1IN)-(c_TFWD))*(((A313)-(c_TFWD))*((c_TMAP1OUT)-(0))+IF(((c_TMAP1OUT)-(0))&gt;=0,1,-1)*QUOTIENT(((c_TMAP1IN)-(c_TFWD)),2)))&lt;0,-1,0),IF(IF(o_WRAP=1,MOD(((c_TMAP1IN)-(c_TFWD))*(((A313)-(c_TFWD))*((c_TMAP1OUT)-(0))+IF(((c_TMAP1OUT)-(0))&gt;=0,1,-1)*QUOTIENT(((c_TMAP1IN)-(c_TFWD)),2))+2147483648,4294967296)-2147483648,((c_TMAP1IN)-(c_TFWD))*(((A313)-(c_TFWD))*((c_TMAP1OUT)-(0))+IF(((c_TMAP1OUT)-(0))&gt;=0,1,-1)*QUOTIENT(((c_TMAP1IN)-(c_TFWD)),2)))&gt;=0,1,0)))</f>
        <v>232</v>
      </c>
      <c r="E313" s="7" t="n">
        <f aca="false">IF(((c_TMAP2IN)-(c_TMAP1IN))=0,(c_TMAP1OUT)+QUOTIENT(((c_TMAP2OUT)-(c_TMAP1OUT)),2),QUOTIENT((((A313)-(c_TMAP1IN))*((c_TMAP2OUT)-(c_TMAP1OUT))+IF(((c_TMAP2OUT)-(c_TMAP1OUT))&gt;=0,1,-1)*QUOTIENT(((c_TMAP2IN)-(c_TMAP1IN)),2)),((c_TMAP2IN)-(c_TMAP1IN)))+(c_TMAP1OUT)+IF(((c_TMAP2OUT)-(c_TMAP1OUT))&gt;=0,IF(IF(o_WRAP=1,MOD(((c_TMAP2IN)-(c_TMAP1IN))*(((A313)-(c_TMAP1IN))*((c_TMAP2OUT)-(c_TMAP1OUT))+IF(((c_TMAP2OUT)-(c_TMAP1OUT))&gt;=0,1,-1)*QUOTIENT(((c_TMAP2IN)-(c_TMAP1IN)),2))+2147483648,4294967296)-2147483648,((c_TMAP2IN)-(c_TMAP1IN))*(((A313)-(c_TMAP1IN))*((c_TMAP2OUT)-(c_TMAP1OUT))+IF(((c_TMAP2OUT)-(c_TMAP1OUT))&gt;=0,1,-1)*QUOTIENT(((c_TMAP2IN)-(c_TMAP1IN)),2)))&lt;0,-1,0),IF(IF(o_WRAP=1,MOD(((c_TMAP2IN)-(c_TMAP1IN))*(((A313)-(c_TMAP1IN))*((c_TMAP2OUT)-(c_TMAP1OUT))+IF(((c_TMAP2OUT)-(c_TMAP1OUT))&gt;=0,1,-1)*QUOTIENT(((c_TMAP2IN)-(c_TMAP1IN)),2))+2147483648,4294967296)-2147483648,((c_TMAP2IN)-(c_TMAP1IN))*(((A313)-(c_TMAP1IN))*((c_TMAP2OUT)-(c_TMAP1OUT))+IF(((c_TMAP2OUT)-(c_TMAP1OUT))&gt;=0,1,-1)*QUOTIENT(((c_TMAP2IN)-(c_TMAP1IN)),2)))&gt;=0,1,0)))</f>
        <v>153</v>
      </c>
      <c r="F313" s="7" t="n">
        <f aca="false">IF(((c_TMAP3IN)-(c_TMAP2IN))=0,(c_TMAP2OUT)+QUOTIENT(((c_TMAP3OUT)-(c_TMAP2OUT)),2),QUOTIENT((((A313)-(c_TMAP2IN))*((c_TMAP3OUT)-(c_TMAP2OUT))+IF(((c_TMAP3OUT)-(c_TMAP2OUT))&gt;=0,1,-1)*QUOTIENT(((c_TMAP3IN)-(c_TMAP2IN)),2)),((c_TMAP3IN)-(c_TMAP2IN)))+(c_TMAP2OUT)+IF(((c_TMAP3OUT)-(c_TMAP2OUT))&gt;=0,IF(IF(o_WRAP=1,MOD(((c_TMAP3IN)-(c_TMAP2IN))*(((A313)-(c_TMAP2IN))*((c_TMAP3OUT)-(c_TMAP2OUT))+IF(((c_TMAP3OUT)-(c_TMAP2OUT))&gt;=0,1,-1)*QUOTIENT(((c_TMAP3IN)-(c_TMAP2IN)),2))+2147483648,4294967296)-2147483648,((c_TMAP3IN)-(c_TMAP2IN))*(((A313)-(c_TMAP2IN))*((c_TMAP3OUT)-(c_TMAP2OUT))+IF(((c_TMAP3OUT)-(c_TMAP2OUT))&gt;=0,1,-1)*QUOTIENT(((c_TMAP3IN)-(c_TMAP2IN)),2)))&lt;0,-1,0),IF(IF(o_WRAP=1,MOD(((c_TMAP3IN)-(c_TMAP2IN))*(((A313)-(c_TMAP2IN))*((c_TMAP3OUT)-(c_TMAP2OUT))+IF(((c_TMAP3OUT)-(c_TMAP2OUT))&gt;=0,1,-1)*QUOTIENT(((c_TMAP3IN)-(c_TMAP2IN)),2))+2147483648,4294967296)-2147483648,((c_TMAP3IN)-(c_TMAP2IN))*(((A313)-(c_TMAP2IN))*((c_TMAP3OUT)-(c_TMAP2OUT))+IF(((c_TMAP3OUT)-(c_TMAP2OUT))&gt;=0,1,-1)*QUOTIENT(((c_TMAP3IN)-(c_TMAP2IN)),2)))&gt;=0,1,0)))</f>
        <v>171</v>
      </c>
      <c r="G313" s="7" t="n">
        <f aca="false">IF(((1000)-(c_TMAP3IN))=0,(c_TMAP3OUT)+QUOTIENT(((1000)-(c_TMAP3OUT)),2),QUOTIENT((((A313)-(c_TMAP3IN))*((1000)-(c_TMAP3OUT))+IF(((1000)-(c_TMAP3OUT))&gt;=0,1,-1)*QUOTIENT(((1000)-(c_TMAP3IN)),2)),((1000)-(c_TMAP3IN)))+(c_TMAP3OUT)+IF(((1000)-(c_TMAP3OUT))&gt;=0,IF(IF(o_WRAP=1,MOD(((1000)-(c_TMAP3IN))*(((A313)-(c_TMAP3IN))*((1000)-(c_TMAP3OUT))+IF(((1000)-(c_TMAP3OUT))&gt;=0,1,-1)*QUOTIENT(((1000)-(c_TMAP3IN)),2))+2147483648,4294967296)-2147483648,((1000)-(c_TMAP3IN))*(((A313)-(c_TMAP3IN))*((1000)-(c_TMAP3OUT))+IF(((1000)-(c_TMAP3OUT))&gt;=0,1,-1)*QUOTIENT(((1000)-(c_TMAP3IN)),2)))&lt;0,-1,0),IF(IF(o_WRAP=1,MOD(((1000)-(c_TMAP3IN))*(((A313)-(c_TMAP3IN))*((1000)-(c_TMAP3OUT))+IF(((1000)-(c_TMAP3OUT))&gt;=0,1,-1)*QUOTIENT(((1000)-(c_TMAP3IN)),2))+2147483648,4294967296)-2147483648,((1000)-(c_TMAP3IN))*(((A313)-(c_TMAP3IN))*((1000)-(c_TMAP3OUT))+IF(((1000)-(c_TMAP3OUT))&gt;=0,1,-1)*QUOTIENT(((1000)-(c_TMAP3IN)),2)))&gt;=0,1,0)))</f>
        <v>148</v>
      </c>
      <c r="H313" s="7" t="str">
        <f aca="false">IF(A313&gt;=c_TFWD,IF(AND(A313&gt;=c_TMAP3IN,c_TMAP3IN&lt;1000),"Seg4 map3-100%",IF(AND(A313&gt;=c_TMAP2IN,c_TMAP3IN&gt;c_TMAP2IN),"Seg3 map2-map3",IF(AND(A313&gt;=c_TMAP1IN,c_TMAP2IN&gt;c_TMAP1IN),"Seg2 map1-map2","Seg1 TFWD-map1"))),IF(AND(A313=0,c_TCREEP&gt;0),"Creep",IF(AND(A313&lt;=c_TRNGMIN,A313&gt;=c_TRNGMAX,c_TRNGMIN-c_TRNGMAX&lt;&gt;0),"Regen ramp","Coast (0)")))</f>
        <v>Seg3 map2-map3</v>
      </c>
      <c r="I313" s="7" t="n">
        <f aca="false">IF(A313&gt;=c_TFWD,IF(AND(A313&gt;=c_TMAP3IN,c_TMAP3IN&lt;1000),G313,IF(AND(A313&gt;=c_TMAP2IN,c_TMAP3IN&gt;c_TMAP2IN),F313,IF(AND(A313&gt;=c_TMAP1IN,c_TMAP2IN&gt;c_TMAP1IN),E313,D313))),C313)</f>
        <v>171</v>
      </c>
      <c r="J313" s="7" t="str">
        <f aca="false">IF(I313&lt;-1090,"TOO LOW",IF(I313&gt;1090,"TOO HIGH",""))</f>
        <v/>
      </c>
      <c r="K313" s="15" t="n">
        <f aca="false">IF(J313&lt;&gt;"",0,IF(I313&gt;979,1000,I313))</f>
        <v>171</v>
      </c>
      <c r="L313" s="7" t="n">
        <f aca="false">K313/10</f>
        <v>17.1</v>
      </c>
    </row>
    <row r="314" customFormat="false" ht="15" hidden="false" customHeight="false" outlineLevel="0" collapsed="false">
      <c r="A314" s="7" t="n">
        <v>309</v>
      </c>
      <c r="B314" s="7" t="n">
        <f aca="false">A314/10</f>
        <v>30.9</v>
      </c>
      <c r="C314" s="7" t="n">
        <f aca="false">IF(AND(A314=0,c_TCREEP&gt;0),10*c_TCREEP,IF(AND(A314&lt;=c_TRNGMIN,A314&gt;=c_TRNGMAX,c_TRNGMIN-c_TRNGMAX&lt;&gt;0),-10*c_TMINRN+QUOTIENT((c_TMAXRN-c_TMINRN)*(100-QUOTIENT((A314-c_TRNGMAX)*100,c_TRNGMIN-c_TRNGMAX)),-10),0))</f>
        <v>0</v>
      </c>
      <c r="D314" s="7" t="n">
        <f aca="false">IF(((c_TMAP1IN)-(c_TFWD))=0,(0)+QUOTIENT(((c_TMAP1OUT)-(0)),2),QUOTIENT((((A314)-(c_TFWD))*((c_TMAP1OUT)-(0))+IF(((c_TMAP1OUT)-(0))&gt;=0,1,-1)*QUOTIENT(((c_TMAP1IN)-(c_TFWD)),2)),((c_TMAP1IN)-(c_TFWD)))+(0)+IF(((c_TMAP1OUT)-(0))&gt;=0,IF(IF(o_WRAP=1,MOD(((c_TMAP1IN)-(c_TFWD))*(((A314)-(c_TFWD))*((c_TMAP1OUT)-(0))+IF(((c_TMAP1OUT)-(0))&gt;=0,1,-1)*QUOTIENT(((c_TMAP1IN)-(c_TFWD)),2))+2147483648,4294967296)-2147483648,((c_TMAP1IN)-(c_TFWD))*(((A314)-(c_TFWD))*((c_TMAP1OUT)-(0))+IF(((c_TMAP1OUT)-(0))&gt;=0,1,-1)*QUOTIENT(((c_TMAP1IN)-(c_TFWD)),2)))&lt;0,-1,0),IF(IF(o_WRAP=1,MOD(((c_TMAP1IN)-(c_TFWD))*(((A314)-(c_TFWD))*((c_TMAP1OUT)-(0))+IF(((c_TMAP1OUT)-(0))&gt;=0,1,-1)*QUOTIENT(((c_TMAP1IN)-(c_TFWD)),2))+2147483648,4294967296)-2147483648,((c_TMAP1IN)-(c_TFWD))*(((A314)-(c_TFWD))*((c_TMAP1OUT)-(0))+IF(((c_TMAP1OUT)-(0))&gt;=0,1,-1)*QUOTIENT(((c_TMAP1IN)-(c_TFWD)),2)))&gt;=0,1,0)))</f>
        <v>233</v>
      </c>
      <c r="E314" s="7" t="n">
        <f aca="false">IF(((c_TMAP2IN)-(c_TMAP1IN))=0,(c_TMAP1OUT)+QUOTIENT(((c_TMAP2OUT)-(c_TMAP1OUT)),2),QUOTIENT((((A314)-(c_TMAP1IN))*((c_TMAP2OUT)-(c_TMAP1OUT))+IF(((c_TMAP2OUT)-(c_TMAP1OUT))&gt;=0,1,-1)*QUOTIENT(((c_TMAP2IN)-(c_TMAP1IN)),2)),((c_TMAP2IN)-(c_TMAP1IN)))+(c_TMAP1OUT)+IF(((c_TMAP2OUT)-(c_TMAP1OUT))&gt;=0,IF(IF(o_WRAP=1,MOD(((c_TMAP2IN)-(c_TMAP1IN))*(((A314)-(c_TMAP1IN))*((c_TMAP2OUT)-(c_TMAP1OUT))+IF(((c_TMAP2OUT)-(c_TMAP1OUT))&gt;=0,1,-1)*QUOTIENT(((c_TMAP2IN)-(c_TMAP1IN)),2))+2147483648,4294967296)-2147483648,((c_TMAP2IN)-(c_TMAP1IN))*(((A314)-(c_TMAP1IN))*((c_TMAP2OUT)-(c_TMAP1OUT))+IF(((c_TMAP2OUT)-(c_TMAP1OUT))&gt;=0,1,-1)*QUOTIENT(((c_TMAP2IN)-(c_TMAP1IN)),2)))&lt;0,-1,0),IF(IF(o_WRAP=1,MOD(((c_TMAP2IN)-(c_TMAP1IN))*(((A314)-(c_TMAP1IN))*((c_TMAP2OUT)-(c_TMAP1OUT))+IF(((c_TMAP2OUT)-(c_TMAP1OUT))&gt;=0,1,-1)*QUOTIENT(((c_TMAP2IN)-(c_TMAP1IN)),2))+2147483648,4294967296)-2147483648,((c_TMAP2IN)-(c_TMAP1IN))*(((A314)-(c_TMAP1IN))*((c_TMAP2OUT)-(c_TMAP1OUT))+IF(((c_TMAP2OUT)-(c_TMAP1OUT))&gt;=0,1,-1)*QUOTIENT(((c_TMAP2IN)-(c_TMAP1IN)),2)))&gt;=0,1,0)))</f>
        <v>154</v>
      </c>
      <c r="F314" s="7" t="n">
        <f aca="false">IF(((c_TMAP3IN)-(c_TMAP2IN))=0,(c_TMAP2OUT)+QUOTIENT(((c_TMAP3OUT)-(c_TMAP2OUT)),2),QUOTIENT((((A314)-(c_TMAP2IN))*((c_TMAP3OUT)-(c_TMAP2OUT))+IF(((c_TMAP3OUT)-(c_TMAP2OUT))&gt;=0,1,-1)*QUOTIENT(((c_TMAP3IN)-(c_TMAP2IN)),2)),((c_TMAP3IN)-(c_TMAP2IN)))+(c_TMAP2OUT)+IF(((c_TMAP3OUT)-(c_TMAP2OUT))&gt;=0,IF(IF(o_WRAP=1,MOD(((c_TMAP3IN)-(c_TMAP2IN))*(((A314)-(c_TMAP2IN))*((c_TMAP3OUT)-(c_TMAP2OUT))+IF(((c_TMAP3OUT)-(c_TMAP2OUT))&gt;=0,1,-1)*QUOTIENT(((c_TMAP3IN)-(c_TMAP2IN)),2))+2147483648,4294967296)-2147483648,((c_TMAP3IN)-(c_TMAP2IN))*(((A314)-(c_TMAP2IN))*((c_TMAP3OUT)-(c_TMAP2OUT))+IF(((c_TMAP3OUT)-(c_TMAP2OUT))&gt;=0,1,-1)*QUOTIENT(((c_TMAP3IN)-(c_TMAP2IN)),2)))&lt;0,-1,0),IF(IF(o_WRAP=1,MOD(((c_TMAP3IN)-(c_TMAP2IN))*(((A314)-(c_TMAP2IN))*((c_TMAP3OUT)-(c_TMAP2OUT))+IF(((c_TMAP3OUT)-(c_TMAP2OUT))&gt;=0,1,-1)*QUOTIENT(((c_TMAP3IN)-(c_TMAP2IN)),2))+2147483648,4294967296)-2147483648,((c_TMAP3IN)-(c_TMAP2IN))*(((A314)-(c_TMAP2IN))*((c_TMAP3OUT)-(c_TMAP2OUT))+IF(((c_TMAP3OUT)-(c_TMAP2OUT))&gt;=0,1,-1)*QUOTIENT(((c_TMAP3IN)-(c_TMAP2IN)),2)))&gt;=0,1,0)))</f>
        <v>171</v>
      </c>
      <c r="G314" s="7" t="n">
        <f aca="false">IF(((1000)-(c_TMAP3IN))=0,(c_TMAP3OUT)+QUOTIENT(((1000)-(c_TMAP3OUT)),2),QUOTIENT((((A314)-(c_TMAP3IN))*((1000)-(c_TMAP3OUT))+IF(((1000)-(c_TMAP3OUT))&gt;=0,1,-1)*QUOTIENT(((1000)-(c_TMAP3IN)),2)),((1000)-(c_TMAP3IN)))+(c_TMAP3OUT)+IF(((1000)-(c_TMAP3OUT))&gt;=0,IF(IF(o_WRAP=1,MOD(((1000)-(c_TMAP3IN))*(((A314)-(c_TMAP3IN))*((1000)-(c_TMAP3OUT))+IF(((1000)-(c_TMAP3OUT))&gt;=0,1,-1)*QUOTIENT(((1000)-(c_TMAP3IN)),2))+2147483648,4294967296)-2147483648,((1000)-(c_TMAP3IN))*(((A314)-(c_TMAP3IN))*((1000)-(c_TMAP3OUT))+IF(((1000)-(c_TMAP3OUT))&gt;=0,1,-1)*QUOTIENT(((1000)-(c_TMAP3IN)),2)))&lt;0,-1,0),IF(IF(o_WRAP=1,MOD(((1000)-(c_TMAP3IN))*(((A314)-(c_TMAP3IN))*((1000)-(c_TMAP3OUT))+IF(((1000)-(c_TMAP3OUT))&gt;=0,1,-1)*QUOTIENT(((1000)-(c_TMAP3IN)),2))+2147483648,4294967296)-2147483648,((1000)-(c_TMAP3IN))*(((A314)-(c_TMAP3IN))*((1000)-(c_TMAP3OUT))+IF(((1000)-(c_TMAP3OUT))&gt;=0,1,-1)*QUOTIENT(((1000)-(c_TMAP3IN)),2)))&gt;=0,1,0)))</f>
        <v>150</v>
      </c>
      <c r="H314" s="7" t="str">
        <f aca="false">IF(A314&gt;=c_TFWD,IF(AND(A314&gt;=c_TMAP3IN,c_TMAP3IN&lt;1000),"Seg4 map3-100%",IF(AND(A314&gt;=c_TMAP2IN,c_TMAP3IN&gt;c_TMAP2IN),"Seg3 map2-map3",IF(AND(A314&gt;=c_TMAP1IN,c_TMAP2IN&gt;c_TMAP1IN),"Seg2 map1-map2","Seg1 TFWD-map1"))),IF(AND(A314=0,c_TCREEP&gt;0),"Creep",IF(AND(A314&lt;=c_TRNGMIN,A314&gt;=c_TRNGMAX,c_TRNGMIN-c_TRNGMAX&lt;&gt;0),"Regen ramp","Coast (0)")))</f>
        <v>Seg3 map2-map3</v>
      </c>
      <c r="I314" s="7" t="n">
        <f aca="false">IF(A314&gt;=c_TFWD,IF(AND(A314&gt;=c_TMAP3IN,c_TMAP3IN&lt;1000),G314,IF(AND(A314&gt;=c_TMAP2IN,c_TMAP3IN&gt;c_TMAP2IN),F314,IF(AND(A314&gt;=c_TMAP1IN,c_TMAP2IN&gt;c_TMAP1IN),E314,D314))),C314)</f>
        <v>171</v>
      </c>
      <c r="J314" s="7" t="str">
        <f aca="false">IF(I314&lt;-1090,"TOO LOW",IF(I314&gt;1090,"TOO HIGH",""))</f>
        <v/>
      </c>
      <c r="K314" s="15" t="n">
        <f aca="false">IF(J314&lt;&gt;"",0,IF(I314&gt;979,1000,I314))</f>
        <v>171</v>
      </c>
      <c r="L314" s="7" t="n">
        <f aca="false">K314/10</f>
        <v>17.1</v>
      </c>
    </row>
    <row r="315" customFormat="false" ht="15" hidden="false" customHeight="false" outlineLevel="0" collapsed="false">
      <c r="A315" s="7" t="n">
        <v>310</v>
      </c>
      <c r="B315" s="7" t="n">
        <f aca="false">A315/10</f>
        <v>31</v>
      </c>
      <c r="C315" s="7" t="n">
        <f aca="false">IF(AND(A315=0,c_TCREEP&gt;0),10*c_TCREEP,IF(AND(A315&lt;=c_TRNGMIN,A315&gt;=c_TRNGMAX,c_TRNGMIN-c_TRNGMAX&lt;&gt;0),-10*c_TMINRN+QUOTIENT((c_TMAXRN-c_TMINRN)*(100-QUOTIENT((A315-c_TRNGMAX)*100,c_TRNGMIN-c_TRNGMAX)),-10),0))</f>
        <v>0</v>
      </c>
      <c r="D315" s="7" t="n">
        <f aca="false">IF(((c_TMAP1IN)-(c_TFWD))=0,(0)+QUOTIENT(((c_TMAP1OUT)-(0)),2),QUOTIENT((((A315)-(c_TFWD))*((c_TMAP1OUT)-(0))+IF(((c_TMAP1OUT)-(0))&gt;=0,1,-1)*QUOTIENT(((c_TMAP1IN)-(c_TFWD)),2)),((c_TMAP1IN)-(c_TFWD)))+(0)+IF(((c_TMAP1OUT)-(0))&gt;=0,IF(IF(o_WRAP=1,MOD(((c_TMAP1IN)-(c_TFWD))*(((A315)-(c_TFWD))*((c_TMAP1OUT)-(0))+IF(((c_TMAP1OUT)-(0))&gt;=0,1,-1)*QUOTIENT(((c_TMAP1IN)-(c_TFWD)),2))+2147483648,4294967296)-2147483648,((c_TMAP1IN)-(c_TFWD))*(((A315)-(c_TFWD))*((c_TMAP1OUT)-(0))+IF(((c_TMAP1OUT)-(0))&gt;=0,1,-1)*QUOTIENT(((c_TMAP1IN)-(c_TFWD)),2)))&lt;0,-1,0),IF(IF(o_WRAP=1,MOD(((c_TMAP1IN)-(c_TFWD))*(((A315)-(c_TFWD))*((c_TMAP1OUT)-(0))+IF(((c_TMAP1OUT)-(0))&gt;=0,1,-1)*QUOTIENT(((c_TMAP1IN)-(c_TFWD)),2))+2147483648,4294967296)-2147483648,((c_TMAP1IN)-(c_TFWD))*(((A315)-(c_TFWD))*((c_TMAP1OUT)-(0))+IF(((c_TMAP1OUT)-(0))&gt;=0,1,-1)*QUOTIENT(((c_TMAP1IN)-(c_TFWD)),2)))&gt;=0,1,0)))</f>
        <v>233</v>
      </c>
      <c r="E315" s="7" t="n">
        <f aca="false">IF(((c_TMAP2IN)-(c_TMAP1IN))=0,(c_TMAP1OUT)+QUOTIENT(((c_TMAP2OUT)-(c_TMAP1OUT)),2),QUOTIENT((((A315)-(c_TMAP1IN))*((c_TMAP2OUT)-(c_TMAP1OUT))+IF(((c_TMAP2OUT)-(c_TMAP1OUT))&gt;=0,1,-1)*QUOTIENT(((c_TMAP2IN)-(c_TMAP1IN)),2)),((c_TMAP2IN)-(c_TMAP1IN)))+(c_TMAP1OUT)+IF(((c_TMAP2OUT)-(c_TMAP1OUT))&gt;=0,IF(IF(o_WRAP=1,MOD(((c_TMAP2IN)-(c_TMAP1IN))*(((A315)-(c_TMAP1IN))*((c_TMAP2OUT)-(c_TMAP1OUT))+IF(((c_TMAP2OUT)-(c_TMAP1OUT))&gt;=0,1,-1)*QUOTIENT(((c_TMAP2IN)-(c_TMAP1IN)),2))+2147483648,4294967296)-2147483648,((c_TMAP2IN)-(c_TMAP1IN))*(((A315)-(c_TMAP1IN))*((c_TMAP2OUT)-(c_TMAP1OUT))+IF(((c_TMAP2OUT)-(c_TMAP1OUT))&gt;=0,1,-1)*QUOTIENT(((c_TMAP2IN)-(c_TMAP1IN)),2)))&lt;0,-1,0),IF(IF(o_WRAP=1,MOD(((c_TMAP2IN)-(c_TMAP1IN))*(((A315)-(c_TMAP1IN))*((c_TMAP2OUT)-(c_TMAP1OUT))+IF(((c_TMAP2OUT)-(c_TMAP1OUT))&gt;=0,1,-1)*QUOTIENT(((c_TMAP2IN)-(c_TMAP1IN)),2))+2147483648,4294967296)-2147483648,((c_TMAP2IN)-(c_TMAP1IN))*(((A315)-(c_TMAP1IN))*((c_TMAP2OUT)-(c_TMAP1OUT))+IF(((c_TMAP2OUT)-(c_TMAP1OUT))&gt;=0,1,-1)*QUOTIENT(((c_TMAP2IN)-(c_TMAP1IN)),2)))&gt;=0,1,0)))</f>
        <v>154</v>
      </c>
      <c r="F315" s="7" t="n">
        <f aca="false">IF(((c_TMAP3IN)-(c_TMAP2IN))=0,(c_TMAP2OUT)+QUOTIENT(((c_TMAP3OUT)-(c_TMAP2OUT)),2),QUOTIENT((((A315)-(c_TMAP2IN))*((c_TMAP3OUT)-(c_TMAP2OUT))+IF(((c_TMAP3OUT)-(c_TMAP2OUT))&gt;=0,1,-1)*QUOTIENT(((c_TMAP3IN)-(c_TMAP2IN)),2)),((c_TMAP3IN)-(c_TMAP2IN)))+(c_TMAP2OUT)+IF(((c_TMAP3OUT)-(c_TMAP2OUT))&gt;=0,IF(IF(o_WRAP=1,MOD(((c_TMAP3IN)-(c_TMAP2IN))*(((A315)-(c_TMAP2IN))*((c_TMAP3OUT)-(c_TMAP2OUT))+IF(((c_TMAP3OUT)-(c_TMAP2OUT))&gt;=0,1,-1)*QUOTIENT(((c_TMAP3IN)-(c_TMAP2IN)),2))+2147483648,4294967296)-2147483648,((c_TMAP3IN)-(c_TMAP2IN))*(((A315)-(c_TMAP2IN))*((c_TMAP3OUT)-(c_TMAP2OUT))+IF(((c_TMAP3OUT)-(c_TMAP2OUT))&gt;=0,1,-1)*QUOTIENT(((c_TMAP3IN)-(c_TMAP2IN)),2)))&lt;0,-1,0),IF(IF(o_WRAP=1,MOD(((c_TMAP3IN)-(c_TMAP2IN))*(((A315)-(c_TMAP2IN))*((c_TMAP3OUT)-(c_TMAP2OUT))+IF(((c_TMAP3OUT)-(c_TMAP2OUT))&gt;=0,1,-1)*QUOTIENT(((c_TMAP3IN)-(c_TMAP2IN)),2))+2147483648,4294967296)-2147483648,((c_TMAP3IN)-(c_TMAP2IN))*(((A315)-(c_TMAP2IN))*((c_TMAP3OUT)-(c_TMAP2OUT))+IF(((c_TMAP3OUT)-(c_TMAP2OUT))&gt;=0,1,-1)*QUOTIENT(((c_TMAP3IN)-(c_TMAP2IN)),2)))&gt;=0,1,0)))</f>
        <v>172</v>
      </c>
      <c r="G315" s="7" t="n">
        <f aca="false">IF(((1000)-(c_TMAP3IN))=0,(c_TMAP3OUT)+QUOTIENT(((1000)-(c_TMAP3OUT)),2),QUOTIENT((((A315)-(c_TMAP3IN))*((1000)-(c_TMAP3OUT))+IF(((1000)-(c_TMAP3OUT))&gt;=0,1,-1)*QUOTIENT(((1000)-(c_TMAP3IN)),2)),((1000)-(c_TMAP3IN)))+(c_TMAP3OUT)+IF(((1000)-(c_TMAP3OUT))&gt;=0,IF(IF(o_WRAP=1,MOD(((1000)-(c_TMAP3IN))*(((A315)-(c_TMAP3IN))*((1000)-(c_TMAP3OUT))+IF(((1000)-(c_TMAP3OUT))&gt;=0,1,-1)*QUOTIENT(((1000)-(c_TMAP3IN)),2))+2147483648,4294967296)-2147483648,((1000)-(c_TMAP3IN))*(((A315)-(c_TMAP3IN))*((1000)-(c_TMAP3OUT))+IF(((1000)-(c_TMAP3OUT))&gt;=0,1,-1)*QUOTIENT(((1000)-(c_TMAP3IN)),2)))&lt;0,-1,0),IF(IF(o_WRAP=1,MOD(((1000)-(c_TMAP3IN))*(((A315)-(c_TMAP3IN))*((1000)-(c_TMAP3OUT))+IF(((1000)-(c_TMAP3OUT))&gt;=0,1,-1)*QUOTIENT(((1000)-(c_TMAP3IN)),2))+2147483648,4294967296)-2147483648,((1000)-(c_TMAP3IN))*(((A315)-(c_TMAP3IN))*((1000)-(c_TMAP3OUT))+IF(((1000)-(c_TMAP3OUT))&gt;=0,1,-1)*QUOTIENT(((1000)-(c_TMAP3IN)),2)))&gt;=0,1,0)))</f>
        <v>151</v>
      </c>
      <c r="H315" s="7" t="str">
        <f aca="false">IF(A315&gt;=c_TFWD,IF(AND(A315&gt;=c_TMAP3IN,c_TMAP3IN&lt;1000),"Seg4 map3-100%",IF(AND(A315&gt;=c_TMAP2IN,c_TMAP3IN&gt;c_TMAP2IN),"Seg3 map2-map3",IF(AND(A315&gt;=c_TMAP1IN,c_TMAP2IN&gt;c_TMAP1IN),"Seg2 map1-map2","Seg1 TFWD-map1"))),IF(AND(A315=0,c_TCREEP&gt;0),"Creep",IF(AND(A315&lt;=c_TRNGMIN,A315&gt;=c_TRNGMAX,c_TRNGMIN-c_TRNGMAX&lt;&gt;0),"Regen ramp","Coast (0)")))</f>
        <v>Seg3 map2-map3</v>
      </c>
      <c r="I315" s="7" t="n">
        <f aca="false">IF(A315&gt;=c_TFWD,IF(AND(A315&gt;=c_TMAP3IN,c_TMAP3IN&lt;1000),G315,IF(AND(A315&gt;=c_TMAP2IN,c_TMAP3IN&gt;c_TMAP2IN),F315,IF(AND(A315&gt;=c_TMAP1IN,c_TMAP2IN&gt;c_TMAP1IN),E315,D315))),C315)</f>
        <v>172</v>
      </c>
      <c r="J315" s="7" t="str">
        <f aca="false">IF(I315&lt;-1090,"TOO LOW",IF(I315&gt;1090,"TOO HIGH",""))</f>
        <v/>
      </c>
      <c r="K315" s="15" t="n">
        <f aca="false">IF(J315&lt;&gt;"",0,IF(I315&gt;979,1000,I315))</f>
        <v>172</v>
      </c>
      <c r="L315" s="7" t="n">
        <f aca="false">K315/10</f>
        <v>17.2</v>
      </c>
    </row>
    <row r="316" customFormat="false" ht="15" hidden="false" customHeight="false" outlineLevel="0" collapsed="false">
      <c r="A316" s="7" t="n">
        <v>311</v>
      </c>
      <c r="B316" s="7" t="n">
        <f aca="false">A316/10</f>
        <v>31.1</v>
      </c>
      <c r="C316" s="7" t="n">
        <f aca="false">IF(AND(A316=0,c_TCREEP&gt;0),10*c_TCREEP,IF(AND(A316&lt;=c_TRNGMIN,A316&gt;=c_TRNGMAX,c_TRNGMIN-c_TRNGMAX&lt;&gt;0),-10*c_TMINRN+QUOTIENT((c_TMAXRN-c_TMINRN)*(100-QUOTIENT((A316-c_TRNGMAX)*100,c_TRNGMIN-c_TRNGMAX)),-10),0))</f>
        <v>0</v>
      </c>
      <c r="D316" s="7" t="n">
        <f aca="false">IF(((c_TMAP1IN)-(c_TFWD))=0,(0)+QUOTIENT(((c_TMAP1OUT)-(0)),2),QUOTIENT((((A316)-(c_TFWD))*((c_TMAP1OUT)-(0))+IF(((c_TMAP1OUT)-(0))&gt;=0,1,-1)*QUOTIENT(((c_TMAP1IN)-(c_TFWD)),2)),((c_TMAP1IN)-(c_TFWD)))+(0)+IF(((c_TMAP1OUT)-(0))&gt;=0,IF(IF(o_WRAP=1,MOD(((c_TMAP1IN)-(c_TFWD))*(((A316)-(c_TFWD))*((c_TMAP1OUT)-(0))+IF(((c_TMAP1OUT)-(0))&gt;=0,1,-1)*QUOTIENT(((c_TMAP1IN)-(c_TFWD)),2))+2147483648,4294967296)-2147483648,((c_TMAP1IN)-(c_TFWD))*(((A316)-(c_TFWD))*((c_TMAP1OUT)-(0))+IF(((c_TMAP1OUT)-(0))&gt;=0,1,-1)*QUOTIENT(((c_TMAP1IN)-(c_TFWD)),2)))&lt;0,-1,0),IF(IF(o_WRAP=1,MOD(((c_TMAP1IN)-(c_TFWD))*(((A316)-(c_TFWD))*((c_TMAP1OUT)-(0))+IF(((c_TMAP1OUT)-(0))&gt;=0,1,-1)*QUOTIENT(((c_TMAP1IN)-(c_TFWD)),2))+2147483648,4294967296)-2147483648,((c_TMAP1IN)-(c_TFWD))*(((A316)-(c_TFWD))*((c_TMAP1OUT)-(0))+IF(((c_TMAP1OUT)-(0))&gt;=0,1,-1)*QUOTIENT(((c_TMAP1IN)-(c_TFWD)),2)))&gt;=0,1,0)))</f>
        <v>234</v>
      </c>
      <c r="E316" s="7" t="n">
        <f aca="false">IF(((c_TMAP2IN)-(c_TMAP1IN))=0,(c_TMAP1OUT)+QUOTIENT(((c_TMAP2OUT)-(c_TMAP1OUT)),2),QUOTIENT((((A316)-(c_TMAP1IN))*((c_TMAP2OUT)-(c_TMAP1OUT))+IF(((c_TMAP2OUT)-(c_TMAP1OUT))&gt;=0,1,-1)*QUOTIENT(((c_TMAP2IN)-(c_TMAP1IN)),2)),((c_TMAP2IN)-(c_TMAP1IN)))+(c_TMAP1OUT)+IF(((c_TMAP2OUT)-(c_TMAP1OUT))&gt;=0,IF(IF(o_WRAP=1,MOD(((c_TMAP2IN)-(c_TMAP1IN))*(((A316)-(c_TMAP1IN))*((c_TMAP2OUT)-(c_TMAP1OUT))+IF(((c_TMAP2OUT)-(c_TMAP1OUT))&gt;=0,1,-1)*QUOTIENT(((c_TMAP2IN)-(c_TMAP1IN)),2))+2147483648,4294967296)-2147483648,((c_TMAP2IN)-(c_TMAP1IN))*(((A316)-(c_TMAP1IN))*((c_TMAP2OUT)-(c_TMAP1OUT))+IF(((c_TMAP2OUT)-(c_TMAP1OUT))&gt;=0,1,-1)*QUOTIENT(((c_TMAP2IN)-(c_TMAP1IN)),2)))&lt;0,-1,0),IF(IF(o_WRAP=1,MOD(((c_TMAP2IN)-(c_TMAP1IN))*(((A316)-(c_TMAP1IN))*((c_TMAP2OUT)-(c_TMAP1OUT))+IF(((c_TMAP2OUT)-(c_TMAP1OUT))&gt;=0,1,-1)*QUOTIENT(((c_TMAP2IN)-(c_TMAP1IN)),2))+2147483648,4294967296)-2147483648,((c_TMAP2IN)-(c_TMAP1IN))*(((A316)-(c_TMAP1IN))*((c_TMAP2OUT)-(c_TMAP1OUT))+IF(((c_TMAP2OUT)-(c_TMAP1OUT))&gt;=0,1,-1)*QUOTIENT(((c_TMAP2IN)-(c_TMAP1IN)),2)))&gt;=0,1,0)))</f>
        <v>154</v>
      </c>
      <c r="F316" s="7" t="n">
        <f aca="false">IF(((c_TMAP3IN)-(c_TMAP2IN))=0,(c_TMAP2OUT)+QUOTIENT(((c_TMAP3OUT)-(c_TMAP2OUT)),2),QUOTIENT((((A316)-(c_TMAP2IN))*((c_TMAP3OUT)-(c_TMAP2OUT))+IF(((c_TMAP3OUT)-(c_TMAP2OUT))&gt;=0,1,-1)*QUOTIENT(((c_TMAP3IN)-(c_TMAP2IN)),2)),((c_TMAP3IN)-(c_TMAP2IN)))+(c_TMAP2OUT)+IF(((c_TMAP3OUT)-(c_TMAP2OUT))&gt;=0,IF(IF(o_WRAP=1,MOD(((c_TMAP3IN)-(c_TMAP2IN))*(((A316)-(c_TMAP2IN))*((c_TMAP3OUT)-(c_TMAP2OUT))+IF(((c_TMAP3OUT)-(c_TMAP2OUT))&gt;=0,1,-1)*QUOTIENT(((c_TMAP3IN)-(c_TMAP2IN)),2))+2147483648,4294967296)-2147483648,((c_TMAP3IN)-(c_TMAP2IN))*(((A316)-(c_TMAP2IN))*((c_TMAP3OUT)-(c_TMAP2OUT))+IF(((c_TMAP3OUT)-(c_TMAP2OUT))&gt;=0,1,-1)*QUOTIENT(((c_TMAP3IN)-(c_TMAP2IN)),2)))&lt;0,-1,0),IF(IF(o_WRAP=1,MOD(((c_TMAP3IN)-(c_TMAP2IN))*(((A316)-(c_TMAP2IN))*((c_TMAP3OUT)-(c_TMAP2OUT))+IF(((c_TMAP3OUT)-(c_TMAP2OUT))&gt;=0,1,-1)*QUOTIENT(((c_TMAP3IN)-(c_TMAP2IN)),2))+2147483648,4294967296)-2147483648,((c_TMAP3IN)-(c_TMAP2IN))*(((A316)-(c_TMAP2IN))*((c_TMAP3OUT)-(c_TMAP2OUT))+IF(((c_TMAP3OUT)-(c_TMAP2OUT))&gt;=0,1,-1)*QUOTIENT(((c_TMAP3IN)-(c_TMAP2IN)),2)))&gt;=0,1,0)))</f>
        <v>173</v>
      </c>
      <c r="G316" s="7" t="n">
        <f aca="false">IF(((1000)-(c_TMAP3IN))=0,(c_TMAP3OUT)+QUOTIENT(((1000)-(c_TMAP3OUT)),2),QUOTIENT((((A316)-(c_TMAP3IN))*((1000)-(c_TMAP3OUT))+IF(((1000)-(c_TMAP3OUT))&gt;=0,1,-1)*QUOTIENT(((1000)-(c_TMAP3IN)),2)),((1000)-(c_TMAP3IN)))+(c_TMAP3OUT)+IF(((1000)-(c_TMAP3OUT))&gt;=0,IF(IF(o_WRAP=1,MOD(((1000)-(c_TMAP3IN))*(((A316)-(c_TMAP3IN))*((1000)-(c_TMAP3OUT))+IF(((1000)-(c_TMAP3OUT))&gt;=0,1,-1)*QUOTIENT(((1000)-(c_TMAP3IN)),2))+2147483648,4294967296)-2147483648,((1000)-(c_TMAP3IN))*(((A316)-(c_TMAP3IN))*((1000)-(c_TMAP3OUT))+IF(((1000)-(c_TMAP3OUT))&gt;=0,1,-1)*QUOTIENT(((1000)-(c_TMAP3IN)),2)))&lt;0,-1,0),IF(IF(o_WRAP=1,MOD(((1000)-(c_TMAP3IN))*(((A316)-(c_TMAP3IN))*((1000)-(c_TMAP3OUT))+IF(((1000)-(c_TMAP3OUT))&gt;=0,1,-1)*QUOTIENT(((1000)-(c_TMAP3IN)),2))+2147483648,4294967296)-2147483648,((1000)-(c_TMAP3IN))*(((A316)-(c_TMAP3IN))*((1000)-(c_TMAP3OUT))+IF(((1000)-(c_TMAP3OUT))&gt;=0,1,-1)*QUOTIENT(((1000)-(c_TMAP3IN)),2)))&gt;=0,1,0)))</f>
        <v>152</v>
      </c>
      <c r="H316" s="7" t="str">
        <f aca="false">IF(A316&gt;=c_TFWD,IF(AND(A316&gt;=c_TMAP3IN,c_TMAP3IN&lt;1000),"Seg4 map3-100%",IF(AND(A316&gt;=c_TMAP2IN,c_TMAP3IN&gt;c_TMAP2IN),"Seg3 map2-map3",IF(AND(A316&gt;=c_TMAP1IN,c_TMAP2IN&gt;c_TMAP1IN),"Seg2 map1-map2","Seg1 TFWD-map1"))),IF(AND(A316=0,c_TCREEP&gt;0),"Creep",IF(AND(A316&lt;=c_TRNGMIN,A316&gt;=c_TRNGMAX,c_TRNGMIN-c_TRNGMAX&lt;&gt;0),"Regen ramp","Coast (0)")))</f>
        <v>Seg3 map2-map3</v>
      </c>
      <c r="I316" s="7" t="n">
        <f aca="false">IF(A316&gt;=c_TFWD,IF(AND(A316&gt;=c_TMAP3IN,c_TMAP3IN&lt;1000),G316,IF(AND(A316&gt;=c_TMAP2IN,c_TMAP3IN&gt;c_TMAP2IN),F316,IF(AND(A316&gt;=c_TMAP1IN,c_TMAP2IN&gt;c_TMAP1IN),E316,D316))),C316)</f>
        <v>173</v>
      </c>
      <c r="J316" s="7" t="str">
        <f aca="false">IF(I316&lt;-1090,"TOO LOW",IF(I316&gt;1090,"TOO HIGH",""))</f>
        <v/>
      </c>
      <c r="K316" s="15" t="n">
        <f aca="false">IF(J316&lt;&gt;"",0,IF(I316&gt;979,1000,I316))</f>
        <v>173</v>
      </c>
      <c r="L316" s="7" t="n">
        <f aca="false">K316/10</f>
        <v>17.3</v>
      </c>
    </row>
    <row r="317" customFormat="false" ht="15" hidden="false" customHeight="false" outlineLevel="0" collapsed="false">
      <c r="A317" s="7" t="n">
        <v>312</v>
      </c>
      <c r="B317" s="7" t="n">
        <f aca="false">A317/10</f>
        <v>31.2</v>
      </c>
      <c r="C317" s="7" t="n">
        <f aca="false">IF(AND(A317=0,c_TCREEP&gt;0),10*c_TCREEP,IF(AND(A317&lt;=c_TRNGMIN,A317&gt;=c_TRNGMAX,c_TRNGMIN-c_TRNGMAX&lt;&gt;0),-10*c_TMINRN+QUOTIENT((c_TMAXRN-c_TMINRN)*(100-QUOTIENT((A317-c_TRNGMAX)*100,c_TRNGMIN-c_TRNGMAX)),-10),0))</f>
        <v>0</v>
      </c>
      <c r="D317" s="7" t="n">
        <f aca="false">IF(((c_TMAP1IN)-(c_TFWD))=0,(0)+QUOTIENT(((c_TMAP1OUT)-(0)),2),QUOTIENT((((A317)-(c_TFWD))*((c_TMAP1OUT)-(0))+IF(((c_TMAP1OUT)-(0))&gt;=0,1,-1)*QUOTIENT(((c_TMAP1IN)-(c_TFWD)),2)),((c_TMAP1IN)-(c_TFWD)))+(0)+IF(((c_TMAP1OUT)-(0))&gt;=0,IF(IF(o_WRAP=1,MOD(((c_TMAP1IN)-(c_TFWD))*(((A317)-(c_TFWD))*((c_TMAP1OUT)-(0))+IF(((c_TMAP1OUT)-(0))&gt;=0,1,-1)*QUOTIENT(((c_TMAP1IN)-(c_TFWD)),2))+2147483648,4294967296)-2147483648,((c_TMAP1IN)-(c_TFWD))*(((A317)-(c_TFWD))*((c_TMAP1OUT)-(0))+IF(((c_TMAP1OUT)-(0))&gt;=0,1,-1)*QUOTIENT(((c_TMAP1IN)-(c_TFWD)),2)))&lt;0,-1,0),IF(IF(o_WRAP=1,MOD(((c_TMAP1IN)-(c_TFWD))*(((A317)-(c_TFWD))*((c_TMAP1OUT)-(0))+IF(((c_TMAP1OUT)-(0))&gt;=0,1,-1)*QUOTIENT(((c_TMAP1IN)-(c_TFWD)),2))+2147483648,4294967296)-2147483648,((c_TMAP1IN)-(c_TFWD))*(((A317)-(c_TFWD))*((c_TMAP1OUT)-(0))+IF(((c_TMAP1OUT)-(0))&gt;=0,1,-1)*QUOTIENT(((c_TMAP1IN)-(c_TFWD)),2)))&gt;=0,1,0)))</f>
        <v>235</v>
      </c>
      <c r="E317" s="7" t="n">
        <f aca="false">IF(((c_TMAP2IN)-(c_TMAP1IN))=0,(c_TMAP1OUT)+QUOTIENT(((c_TMAP2OUT)-(c_TMAP1OUT)),2),QUOTIENT((((A317)-(c_TMAP1IN))*((c_TMAP2OUT)-(c_TMAP1OUT))+IF(((c_TMAP2OUT)-(c_TMAP1OUT))&gt;=0,1,-1)*QUOTIENT(((c_TMAP2IN)-(c_TMAP1IN)),2)),((c_TMAP2IN)-(c_TMAP1IN)))+(c_TMAP1OUT)+IF(((c_TMAP2OUT)-(c_TMAP1OUT))&gt;=0,IF(IF(o_WRAP=1,MOD(((c_TMAP2IN)-(c_TMAP1IN))*(((A317)-(c_TMAP1IN))*((c_TMAP2OUT)-(c_TMAP1OUT))+IF(((c_TMAP2OUT)-(c_TMAP1OUT))&gt;=0,1,-1)*QUOTIENT(((c_TMAP2IN)-(c_TMAP1IN)),2))+2147483648,4294967296)-2147483648,((c_TMAP2IN)-(c_TMAP1IN))*(((A317)-(c_TMAP1IN))*((c_TMAP2OUT)-(c_TMAP1OUT))+IF(((c_TMAP2OUT)-(c_TMAP1OUT))&gt;=0,1,-1)*QUOTIENT(((c_TMAP2IN)-(c_TMAP1IN)),2)))&lt;0,-1,0),IF(IF(o_WRAP=1,MOD(((c_TMAP2IN)-(c_TMAP1IN))*(((A317)-(c_TMAP1IN))*((c_TMAP2OUT)-(c_TMAP1OUT))+IF(((c_TMAP2OUT)-(c_TMAP1OUT))&gt;=0,1,-1)*QUOTIENT(((c_TMAP2IN)-(c_TMAP1IN)),2))+2147483648,4294967296)-2147483648,((c_TMAP2IN)-(c_TMAP1IN))*(((A317)-(c_TMAP1IN))*((c_TMAP2OUT)-(c_TMAP1OUT))+IF(((c_TMAP2OUT)-(c_TMAP1OUT))&gt;=0,1,-1)*QUOTIENT(((c_TMAP2IN)-(c_TMAP1IN)),2)))&gt;=0,1,0)))</f>
        <v>155</v>
      </c>
      <c r="F317" s="7" t="n">
        <f aca="false">IF(((c_TMAP3IN)-(c_TMAP2IN))=0,(c_TMAP2OUT)+QUOTIENT(((c_TMAP3OUT)-(c_TMAP2OUT)),2),QUOTIENT((((A317)-(c_TMAP2IN))*((c_TMAP3OUT)-(c_TMAP2OUT))+IF(((c_TMAP3OUT)-(c_TMAP2OUT))&gt;=0,1,-1)*QUOTIENT(((c_TMAP3IN)-(c_TMAP2IN)),2)),((c_TMAP3IN)-(c_TMAP2IN)))+(c_TMAP2OUT)+IF(((c_TMAP3OUT)-(c_TMAP2OUT))&gt;=0,IF(IF(o_WRAP=1,MOD(((c_TMAP3IN)-(c_TMAP2IN))*(((A317)-(c_TMAP2IN))*((c_TMAP3OUT)-(c_TMAP2OUT))+IF(((c_TMAP3OUT)-(c_TMAP2OUT))&gt;=0,1,-1)*QUOTIENT(((c_TMAP3IN)-(c_TMAP2IN)),2))+2147483648,4294967296)-2147483648,((c_TMAP3IN)-(c_TMAP2IN))*(((A317)-(c_TMAP2IN))*((c_TMAP3OUT)-(c_TMAP2OUT))+IF(((c_TMAP3OUT)-(c_TMAP2OUT))&gt;=0,1,-1)*QUOTIENT(((c_TMAP3IN)-(c_TMAP2IN)),2)))&lt;0,-1,0),IF(IF(o_WRAP=1,MOD(((c_TMAP3IN)-(c_TMAP2IN))*(((A317)-(c_TMAP2IN))*((c_TMAP3OUT)-(c_TMAP2OUT))+IF(((c_TMAP3OUT)-(c_TMAP2OUT))&gt;=0,1,-1)*QUOTIENT(((c_TMAP3IN)-(c_TMAP2IN)),2))+2147483648,4294967296)-2147483648,((c_TMAP3IN)-(c_TMAP2IN))*(((A317)-(c_TMAP2IN))*((c_TMAP3OUT)-(c_TMAP2OUT))+IF(((c_TMAP3OUT)-(c_TMAP2OUT))&gt;=0,1,-1)*QUOTIENT(((c_TMAP3IN)-(c_TMAP2IN)),2)))&gt;=0,1,0)))</f>
        <v>173</v>
      </c>
      <c r="G317" s="7" t="n">
        <f aca="false">IF(((1000)-(c_TMAP3IN))=0,(c_TMAP3OUT)+QUOTIENT(((1000)-(c_TMAP3OUT)),2),QUOTIENT((((A317)-(c_TMAP3IN))*((1000)-(c_TMAP3OUT))+IF(((1000)-(c_TMAP3OUT))&gt;=0,1,-1)*QUOTIENT(((1000)-(c_TMAP3IN)),2)),((1000)-(c_TMAP3IN)))+(c_TMAP3OUT)+IF(((1000)-(c_TMAP3OUT))&gt;=0,IF(IF(o_WRAP=1,MOD(((1000)-(c_TMAP3IN))*(((A317)-(c_TMAP3IN))*((1000)-(c_TMAP3OUT))+IF(((1000)-(c_TMAP3OUT))&gt;=0,1,-1)*QUOTIENT(((1000)-(c_TMAP3IN)),2))+2147483648,4294967296)-2147483648,((1000)-(c_TMAP3IN))*(((A317)-(c_TMAP3IN))*((1000)-(c_TMAP3OUT))+IF(((1000)-(c_TMAP3OUT))&gt;=0,1,-1)*QUOTIENT(((1000)-(c_TMAP3IN)),2)))&lt;0,-1,0),IF(IF(o_WRAP=1,MOD(((1000)-(c_TMAP3IN))*(((A317)-(c_TMAP3IN))*((1000)-(c_TMAP3OUT))+IF(((1000)-(c_TMAP3OUT))&gt;=0,1,-1)*QUOTIENT(((1000)-(c_TMAP3IN)),2))+2147483648,4294967296)-2147483648,((1000)-(c_TMAP3IN))*(((A317)-(c_TMAP3IN))*((1000)-(c_TMAP3OUT))+IF(((1000)-(c_TMAP3OUT))&gt;=0,1,-1)*QUOTIENT(((1000)-(c_TMAP3IN)),2)))&gt;=0,1,0)))</f>
        <v>153</v>
      </c>
      <c r="H317" s="7" t="str">
        <f aca="false">IF(A317&gt;=c_TFWD,IF(AND(A317&gt;=c_TMAP3IN,c_TMAP3IN&lt;1000),"Seg4 map3-100%",IF(AND(A317&gt;=c_TMAP2IN,c_TMAP3IN&gt;c_TMAP2IN),"Seg3 map2-map3",IF(AND(A317&gt;=c_TMAP1IN,c_TMAP2IN&gt;c_TMAP1IN),"Seg2 map1-map2","Seg1 TFWD-map1"))),IF(AND(A317=0,c_TCREEP&gt;0),"Creep",IF(AND(A317&lt;=c_TRNGMIN,A317&gt;=c_TRNGMAX,c_TRNGMIN-c_TRNGMAX&lt;&gt;0),"Regen ramp","Coast (0)")))</f>
        <v>Seg3 map2-map3</v>
      </c>
      <c r="I317" s="7" t="n">
        <f aca="false">IF(A317&gt;=c_TFWD,IF(AND(A317&gt;=c_TMAP3IN,c_TMAP3IN&lt;1000),G317,IF(AND(A317&gt;=c_TMAP2IN,c_TMAP3IN&gt;c_TMAP2IN),F317,IF(AND(A317&gt;=c_TMAP1IN,c_TMAP2IN&gt;c_TMAP1IN),E317,D317))),C317)</f>
        <v>173</v>
      </c>
      <c r="J317" s="7" t="str">
        <f aca="false">IF(I317&lt;-1090,"TOO LOW",IF(I317&gt;1090,"TOO HIGH",""))</f>
        <v/>
      </c>
      <c r="K317" s="15" t="n">
        <f aca="false">IF(J317&lt;&gt;"",0,IF(I317&gt;979,1000,I317))</f>
        <v>173</v>
      </c>
      <c r="L317" s="7" t="n">
        <f aca="false">K317/10</f>
        <v>17.3</v>
      </c>
    </row>
    <row r="318" customFormat="false" ht="15" hidden="false" customHeight="false" outlineLevel="0" collapsed="false">
      <c r="A318" s="7" t="n">
        <v>313</v>
      </c>
      <c r="B318" s="7" t="n">
        <f aca="false">A318/10</f>
        <v>31.3</v>
      </c>
      <c r="C318" s="7" t="n">
        <f aca="false">IF(AND(A318=0,c_TCREEP&gt;0),10*c_TCREEP,IF(AND(A318&lt;=c_TRNGMIN,A318&gt;=c_TRNGMAX,c_TRNGMIN-c_TRNGMAX&lt;&gt;0),-10*c_TMINRN+QUOTIENT((c_TMAXRN-c_TMINRN)*(100-QUOTIENT((A318-c_TRNGMAX)*100,c_TRNGMIN-c_TRNGMAX)),-10),0))</f>
        <v>0</v>
      </c>
      <c r="D318" s="7" t="n">
        <f aca="false">IF(((c_TMAP1IN)-(c_TFWD))=0,(0)+QUOTIENT(((c_TMAP1OUT)-(0)),2),QUOTIENT((((A318)-(c_TFWD))*((c_TMAP1OUT)-(0))+IF(((c_TMAP1OUT)-(0))&gt;=0,1,-1)*QUOTIENT(((c_TMAP1IN)-(c_TFWD)),2)),((c_TMAP1IN)-(c_TFWD)))+(0)+IF(((c_TMAP1OUT)-(0))&gt;=0,IF(IF(o_WRAP=1,MOD(((c_TMAP1IN)-(c_TFWD))*(((A318)-(c_TFWD))*((c_TMAP1OUT)-(0))+IF(((c_TMAP1OUT)-(0))&gt;=0,1,-1)*QUOTIENT(((c_TMAP1IN)-(c_TFWD)),2))+2147483648,4294967296)-2147483648,((c_TMAP1IN)-(c_TFWD))*(((A318)-(c_TFWD))*((c_TMAP1OUT)-(0))+IF(((c_TMAP1OUT)-(0))&gt;=0,1,-1)*QUOTIENT(((c_TMAP1IN)-(c_TFWD)),2)))&lt;0,-1,0),IF(IF(o_WRAP=1,MOD(((c_TMAP1IN)-(c_TFWD))*(((A318)-(c_TFWD))*((c_TMAP1OUT)-(0))+IF(((c_TMAP1OUT)-(0))&gt;=0,1,-1)*QUOTIENT(((c_TMAP1IN)-(c_TFWD)),2))+2147483648,4294967296)-2147483648,((c_TMAP1IN)-(c_TFWD))*(((A318)-(c_TFWD))*((c_TMAP1OUT)-(0))+IF(((c_TMAP1OUT)-(0))&gt;=0,1,-1)*QUOTIENT(((c_TMAP1IN)-(c_TFWD)),2)))&gt;=0,1,0)))</f>
        <v>236</v>
      </c>
      <c r="E318" s="7" t="n">
        <f aca="false">IF(((c_TMAP2IN)-(c_TMAP1IN))=0,(c_TMAP1OUT)+QUOTIENT(((c_TMAP2OUT)-(c_TMAP1OUT)),2),QUOTIENT((((A318)-(c_TMAP1IN))*((c_TMAP2OUT)-(c_TMAP1OUT))+IF(((c_TMAP2OUT)-(c_TMAP1OUT))&gt;=0,1,-1)*QUOTIENT(((c_TMAP2IN)-(c_TMAP1IN)),2)),((c_TMAP2IN)-(c_TMAP1IN)))+(c_TMAP1OUT)+IF(((c_TMAP2OUT)-(c_TMAP1OUT))&gt;=0,IF(IF(o_WRAP=1,MOD(((c_TMAP2IN)-(c_TMAP1IN))*(((A318)-(c_TMAP1IN))*((c_TMAP2OUT)-(c_TMAP1OUT))+IF(((c_TMAP2OUT)-(c_TMAP1OUT))&gt;=0,1,-1)*QUOTIENT(((c_TMAP2IN)-(c_TMAP1IN)),2))+2147483648,4294967296)-2147483648,((c_TMAP2IN)-(c_TMAP1IN))*(((A318)-(c_TMAP1IN))*((c_TMAP2OUT)-(c_TMAP1OUT))+IF(((c_TMAP2OUT)-(c_TMAP1OUT))&gt;=0,1,-1)*QUOTIENT(((c_TMAP2IN)-(c_TMAP1IN)),2)))&lt;0,-1,0),IF(IF(o_WRAP=1,MOD(((c_TMAP2IN)-(c_TMAP1IN))*(((A318)-(c_TMAP1IN))*((c_TMAP2OUT)-(c_TMAP1OUT))+IF(((c_TMAP2OUT)-(c_TMAP1OUT))&gt;=0,1,-1)*QUOTIENT(((c_TMAP2IN)-(c_TMAP1IN)),2))+2147483648,4294967296)-2147483648,((c_TMAP2IN)-(c_TMAP1IN))*(((A318)-(c_TMAP1IN))*((c_TMAP2OUT)-(c_TMAP1OUT))+IF(((c_TMAP2OUT)-(c_TMAP1OUT))&gt;=0,1,-1)*QUOTIENT(((c_TMAP2IN)-(c_TMAP1IN)),2)))&gt;=0,1,0)))</f>
        <v>155</v>
      </c>
      <c r="F318" s="7" t="n">
        <f aca="false">IF(((c_TMAP3IN)-(c_TMAP2IN))=0,(c_TMAP2OUT)+QUOTIENT(((c_TMAP3OUT)-(c_TMAP2OUT)),2),QUOTIENT((((A318)-(c_TMAP2IN))*((c_TMAP3OUT)-(c_TMAP2OUT))+IF(((c_TMAP3OUT)-(c_TMAP2OUT))&gt;=0,1,-1)*QUOTIENT(((c_TMAP3IN)-(c_TMAP2IN)),2)),((c_TMAP3IN)-(c_TMAP2IN)))+(c_TMAP2OUT)+IF(((c_TMAP3OUT)-(c_TMAP2OUT))&gt;=0,IF(IF(o_WRAP=1,MOD(((c_TMAP3IN)-(c_TMAP2IN))*(((A318)-(c_TMAP2IN))*((c_TMAP3OUT)-(c_TMAP2OUT))+IF(((c_TMAP3OUT)-(c_TMAP2OUT))&gt;=0,1,-1)*QUOTIENT(((c_TMAP3IN)-(c_TMAP2IN)),2))+2147483648,4294967296)-2147483648,((c_TMAP3IN)-(c_TMAP2IN))*(((A318)-(c_TMAP2IN))*((c_TMAP3OUT)-(c_TMAP2OUT))+IF(((c_TMAP3OUT)-(c_TMAP2OUT))&gt;=0,1,-1)*QUOTIENT(((c_TMAP3IN)-(c_TMAP2IN)),2)))&lt;0,-1,0),IF(IF(o_WRAP=1,MOD(((c_TMAP3IN)-(c_TMAP2IN))*(((A318)-(c_TMAP2IN))*((c_TMAP3OUT)-(c_TMAP2OUT))+IF(((c_TMAP3OUT)-(c_TMAP2OUT))&gt;=0,1,-1)*QUOTIENT(((c_TMAP3IN)-(c_TMAP2IN)),2))+2147483648,4294967296)-2147483648,((c_TMAP3IN)-(c_TMAP2IN))*(((A318)-(c_TMAP2IN))*((c_TMAP3OUT)-(c_TMAP2OUT))+IF(((c_TMAP3OUT)-(c_TMAP2OUT))&gt;=0,1,-1)*QUOTIENT(((c_TMAP3IN)-(c_TMAP2IN)),2)))&gt;=0,1,0)))</f>
        <v>174</v>
      </c>
      <c r="G318" s="7" t="n">
        <f aca="false">IF(((1000)-(c_TMAP3IN))=0,(c_TMAP3OUT)+QUOTIENT(((1000)-(c_TMAP3OUT)),2),QUOTIENT((((A318)-(c_TMAP3IN))*((1000)-(c_TMAP3OUT))+IF(((1000)-(c_TMAP3OUT))&gt;=0,1,-1)*QUOTIENT(((1000)-(c_TMAP3IN)),2)),((1000)-(c_TMAP3IN)))+(c_TMAP3OUT)+IF(((1000)-(c_TMAP3OUT))&gt;=0,IF(IF(o_WRAP=1,MOD(((1000)-(c_TMAP3IN))*(((A318)-(c_TMAP3IN))*((1000)-(c_TMAP3OUT))+IF(((1000)-(c_TMAP3OUT))&gt;=0,1,-1)*QUOTIENT(((1000)-(c_TMAP3IN)),2))+2147483648,4294967296)-2147483648,((1000)-(c_TMAP3IN))*(((A318)-(c_TMAP3IN))*((1000)-(c_TMAP3OUT))+IF(((1000)-(c_TMAP3OUT))&gt;=0,1,-1)*QUOTIENT(((1000)-(c_TMAP3IN)),2)))&lt;0,-1,0),IF(IF(o_WRAP=1,MOD(((1000)-(c_TMAP3IN))*(((A318)-(c_TMAP3IN))*((1000)-(c_TMAP3OUT))+IF(((1000)-(c_TMAP3OUT))&gt;=0,1,-1)*QUOTIENT(((1000)-(c_TMAP3IN)),2))+2147483648,4294967296)-2147483648,((1000)-(c_TMAP3IN))*(((A318)-(c_TMAP3IN))*((1000)-(c_TMAP3OUT))+IF(((1000)-(c_TMAP3OUT))&gt;=0,1,-1)*QUOTIENT(((1000)-(c_TMAP3IN)),2)))&gt;=0,1,0)))</f>
        <v>154</v>
      </c>
      <c r="H318" s="7" t="str">
        <f aca="false">IF(A318&gt;=c_TFWD,IF(AND(A318&gt;=c_TMAP3IN,c_TMAP3IN&lt;1000),"Seg4 map3-100%",IF(AND(A318&gt;=c_TMAP2IN,c_TMAP3IN&gt;c_TMAP2IN),"Seg3 map2-map3",IF(AND(A318&gt;=c_TMAP1IN,c_TMAP2IN&gt;c_TMAP1IN),"Seg2 map1-map2","Seg1 TFWD-map1"))),IF(AND(A318=0,c_TCREEP&gt;0),"Creep",IF(AND(A318&lt;=c_TRNGMIN,A318&gt;=c_TRNGMAX,c_TRNGMIN-c_TRNGMAX&lt;&gt;0),"Regen ramp","Coast (0)")))</f>
        <v>Seg3 map2-map3</v>
      </c>
      <c r="I318" s="7" t="n">
        <f aca="false">IF(A318&gt;=c_TFWD,IF(AND(A318&gt;=c_TMAP3IN,c_TMAP3IN&lt;1000),G318,IF(AND(A318&gt;=c_TMAP2IN,c_TMAP3IN&gt;c_TMAP2IN),F318,IF(AND(A318&gt;=c_TMAP1IN,c_TMAP2IN&gt;c_TMAP1IN),E318,D318))),C318)</f>
        <v>174</v>
      </c>
      <c r="J318" s="7" t="str">
        <f aca="false">IF(I318&lt;-1090,"TOO LOW",IF(I318&gt;1090,"TOO HIGH",""))</f>
        <v/>
      </c>
      <c r="K318" s="15" t="n">
        <f aca="false">IF(J318&lt;&gt;"",0,IF(I318&gt;979,1000,I318))</f>
        <v>174</v>
      </c>
      <c r="L318" s="7" t="n">
        <f aca="false">K318/10</f>
        <v>17.4</v>
      </c>
    </row>
    <row r="319" customFormat="false" ht="15" hidden="false" customHeight="false" outlineLevel="0" collapsed="false">
      <c r="A319" s="7" t="n">
        <v>314</v>
      </c>
      <c r="B319" s="7" t="n">
        <f aca="false">A319/10</f>
        <v>31.4</v>
      </c>
      <c r="C319" s="7" t="n">
        <f aca="false">IF(AND(A319=0,c_TCREEP&gt;0),10*c_TCREEP,IF(AND(A319&lt;=c_TRNGMIN,A319&gt;=c_TRNGMAX,c_TRNGMIN-c_TRNGMAX&lt;&gt;0),-10*c_TMINRN+QUOTIENT((c_TMAXRN-c_TMINRN)*(100-QUOTIENT((A319-c_TRNGMAX)*100,c_TRNGMIN-c_TRNGMAX)),-10),0))</f>
        <v>0</v>
      </c>
      <c r="D319" s="7" t="n">
        <f aca="false">IF(((c_TMAP1IN)-(c_TFWD))=0,(0)+QUOTIENT(((c_TMAP1OUT)-(0)),2),QUOTIENT((((A319)-(c_TFWD))*((c_TMAP1OUT)-(0))+IF(((c_TMAP1OUT)-(0))&gt;=0,1,-1)*QUOTIENT(((c_TMAP1IN)-(c_TFWD)),2)),((c_TMAP1IN)-(c_TFWD)))+(0)+IF(((c_TMAP1OUT)-(0))&gt;=0,IF(IF(o_WRAP=1,MOD(((c_TMAP1IN)-(c_TFWD))*(((A319)-(c_TFWD))*((c_TMAP1OUT)-(0))+IF(((c_TMAP1OUT)-(0))&gt;=0,1,-1)*QUOTIENT(((c_TMAP1IN)-(c_TFWD)),2))+2147483648,4294967296)-2147483648,((c_TMAP1IN)-(c_TFWD))*(((A319)-(c_TFWD))*((c_TMAP1OUT)-(0))+IF(((c_TMAP1OUT)-(0))&gt;=0,1,-1)*QUOTIENT(((c_TMAP1IN)-(c_TFWD)),2)))&lt;0,-1,0),IF(IF(o_WRAP=1,MOD(((c_TMAP1IN)-(c_TFWD))*(((A319)-(c_TFWD))*((c_TMAP1OUT)-(0))+IF(((c_TMAP1OUT)-(0))&gt;=0,1,-1)*QUOTIENT(((c_TMAP1IN)-(c_TFWD)),2))+2147483648,4294967296)-2147483648,((c_TMAP1IN)-(c_TFWD))*(((A319)-(c_TFWD))*((c_TMAP1OUT)-(0))+IF(((c_TMAP1OUT)-(0))&gt;=0,1,-1)*QUOTIENT(((c_TMAP1IN)-(c_TFWD)),2)))&gt;=0,1,0)))</f>
        <v>236</v>
      </c>
      <c r="E319" s="7" t="n">
        <f aca="false">IF(((c_TMAP2IN)-(c_TMAP1IN))=0,(c_TMAP1OUT)+QUOTIENT(((c_TMAP2OUT)-(c_TMAP1OUT)),2),QUOTIENT((((A319)-(c_TMAP1IN))*((c_TMAP2OUT)-(c_TMAP1OUT))+IF(((c_TMAP2OUT)-(c_TMAP1OUT))&gt;=0,1,-1)*QUOTIENT(((c_TMAP2IN)-(c_TMAP1IN)),2)),((c_TMAP2IN)-(c_TMAP1IN)))+(c_TMAP1OUT)+IF(((c_TMAP2OUT)-(c_TMAP1OUT))&gt;=0,IF(IF(o_WRAP=1,MOD(((c_TMAP2IN)-(c_TMAP1IN))*(((A319)-(c_TMAP1IN))*((c_TMAP2OUT)-(c_TMAP1OUT))+IF(((c_TMAP2OUT)-(c_TMAP1OUT))&gt;=0,1,-1)*QUOTIENT(((c_TMAP2IN)-(c_TMAP1IN)),2))+2147483648,4294967296)-2147483648,((c_TMAP2IN)-(c_TMAP1IN))*(((A319)-(c_TMAP1IN))*((c_TMAP2OUT)-(c_TMAP1OUT))+IF(((c_TMAP2OUT)-(c_TMAP1OUT))&gt;=0,1,-1)*QUOTIENT(((c_TMAP2IN)-(c_TMAP1IN)),2)))&lt;0,-1,0),IF(IF(o_WRAP=1,MOD(((c_TMAP2IN)-(c_TMAP1IN))*(((A319)-(c_TMAP1IN))*((c_TMAP2OUT)-(c_TMAP1OUT))+IF(((c_TMAP2OUT)-(c_TMAP1OUT))&gt;=0,1,-1)*QUOTIENT(((c_TMAP2IN)-(c_TMAP1IN)),2))+2147483648,4294967296)-2147483648,((c_TMAP2IN)-(c_TMAP1IN))*(((A319)-(c_TMAP1IN))*((c_TMAP2OUT)-(c_TMAP1OUT))+IF(((c_TMAP2OUT)-(c_TMAP1OUT))&gt;=0,1,-1)*QUOTIENT(((c_TMAP2IN)-(c_TMAP1IN)),2)))&gt;=0,1,0)))</f>
        <v>156</v>
      </c>
      <c r="F319" s="7" t="n">
        <f aca="false">IF(((c_TMAP3IN)-(c_TMAP2IN))=0,(c_TMAP2OUT)+QUOTIENT(((c_TMAP3OUT)-(c_TMAP2OUT)),2),QUOTIENT((((A319)-(c_TMAP2IN))*((c_TMAP3OUT)-(c_TMAP2OUT))+IF(((c_TMAP3OUT)-(c_TMAP2OUT))&gt;=0,1,-1)*QUOTIENT(((c_TMAP3IN)-(c_TMAP2IN)),2)),((c_TMAP3IN)-(c_TMAP2IN)))+(c_TMAP2OUT)+IF(((c_TMAP3OUT)-(c_TMAP2OUT))&gt;=0,IF(IF(o_WRAP=1,MOD(((c_TMAP3IN)-(c_TMAP2IN))*(((A319)-(c_TMAP2IN))*((c_TMAP3OUT)-(c_TMAP2OUT))+IF(((c_TMAP3OUT)-(c_TMAP2OUT))&gt;=0,1,-1)*QUOTIENT(((c_TMAP3IN)-(c_TMAP2IN)),2))+2147483648,4294967296)-2147483648,((c_TMAP3IN)-(c_TMAP2IN))*(((A319)-(c_TMAP2IN))*((c_TMAP3OUT)-(c_TMAP2OUT))+IF(((c_TMAP3OUT)-(c_TMAP2OUT))&gt;=0,1,-1)*QUOTIENT(((c_TMAP3IN)-(c_TMAP2IN)),2)))&lt;0,-1,0),IF(IF(o_WRAP=1,MOD(((c_TMAP3IN)-(c_TMAP2IN))*(((A319)-(c_TMAP2IN))*((c_TMAP3OUT)-(c_TMAP2OUT))+IF(((c_TMAP3OUT)-(c_TMAP2OUT))&gt;=0,1,-1)*QUOTIENT(((c_TMAP3IN)-(c_TMAP2IN)),2))+2147483648,4294967296)-2147483648,((c_TMAP3IN)-(c_TMAP2IN))*(((A319)-(c_TMAP2IN))*((c_TMAP3OUT)-(c_TMAP2OUT))+IF(((c_TMAP3OUT)-(c_TMAP2OUT))&gt;=0,1,-1)*QUOTIENT(((c_TMAP3IN)-(c_TMAP2IN)),2)))&gt;=0,1,0)))</f>
        <v>175</v>
      </c>
      <c r="G319" s="7" t="n">
        <f aca="false">IF(((1000)-(c_TMAP3IN))=0,(c_TMAP3OUT)+QUOTIENT(((1000)-(c_TMAP3OUT)),2),QUOTIENT((((A319)-(c_TMAP3IN))*((1000)-(c_TMAP3OUT))+IF(((1000)-(c_TMAP3OUT))&gt;=0,1,-1)*QUOTIENT(((1000)-(c_TMAP3IN)),2)),((1000)-(c_TMAP3IN)))+(c_TMAP3OUT)+IF(((1000)-(c_TMAP3OUT))&gt;=0,IF(IF(o_WRAP=1,MOD(((1000)-(c_TMAP3IN))*(((A319)-(c_TMAP3IN))*((1000)-(c_TMAP3OUT))+IF(((1000)-(c_TMAP3OUT))&gt;=0,1,-1)*QUOTIENT(((1000)-(c_TMAP3IN)),2))+2147483648,4294967296)-2147483648,((1000)-(c_TMAP3IN))*(((A319)-(c_TMAP3IN))*((1000)-(c_TMAP3OUT))+IF(((1000)-(c_TMAP3OUT))&gt;=0,1,-1)*QUOTIENT(((1000)-(c_TMAP3IN)),2)))&lt;0,-1,0),IF(IF(o_WRAP=1,MOD(((1000)-(c_TMAP3IN))*(((A319)-(c_TMAP3IN))*((1000)-(c_TMAP3OUT))+IF(((1000)-(c_TMAP3OUT))&gt;=0,1,-1)*QUOTIENT(((1000)-(c_TMAP3IN)),2))+2147483648,4294967296)-2147483648,((1000)-(c_TMAP3IN))*(((A319)-(c_TMAP3IN))*((1000)-(c_TMAP3OUT))+IF(((1000)-(c_TMAP3OUT))&gt;=0,1,-1)*QUOTIENT(((1000)-(c_TMAP3IN)),2)))&gt;=0,1,0)))</f>
        <v>156</v>
      </c>
      <c r="H319" s="7" t="str">
        <f aca="false">IF(A319&gt;=c_TFWD,IF(AND(A319&gt;=c_TMAP3IN,c_TMAP3IN&lt;1000),"Seg4 map3-100%",IF(AND(A319&gt;=c_TMAP2IN,c_TMAP3IN&gt;c_TMAP2IN),"Seg3 map2-map3",IF(AND(A319&gt;=c_TMAP1IN,c_TMAP2IN&gt;c_TMAP1IN),"Seg2 map1-map2","Seg1 TFWD-map1"))),IF(AND(A319=0,c_TCREEP&gt;0),"Creep",IF(AND(A319&lt;=c_TRNGMIN,A319&gt;=c_TRNGMAX,c_TRNGMIN-c_TRNGMAX&lt;&gt;0),"Regen ramp","Coast (0)")))</f>
        <v>Seg3 map2-map3</v>
      </c>
      <c r="I319" s="7" t="n">
        <f aca="false">IF(A319&gt;=c_TFWD,IF(AND(A319&gt;=c_TMAP3IN,c_TMAP3IN&lt;1000),G319,IF(AND(A319&gt;=c_TMAP2IN,c_TMAP3IN&gt;c_TMAP2IN),F319,IF(AND(A319&gt;=c_TMAP1IN,c_TMAP2IN&gt;c_TMAP1IN),E319,D319))),C319)</f>
        <v>175</v>
      </c>
      <c r="J319" s="7" t="str">
        <f aca="false">IF(I319&lt;-1090,"TOO LOW",IF(I319&gt;1090,"TOO HIGH",""))</f>
        <v/>
      </c>
      <c r="K319" s="15" t="n">
        <f aca="false">IF(J319&lt;&gt;"",0,IF(I319&gt;979,1000,I319))</f>
        <v>175</v>
      </c>
      <c r="L319" s="7" t="n">
        <f aca="false">K319/10</f>
        <v>17.5</v>
      </c>
    </row>
    <row r="320" customFormat="false" ht="15" hidden="false" customHeight="false" outlineLevel="0" collapsed="false">
      <c r="A320" s="7" t="n">
        <v>315</v>
      </c>
      <c r="B320" s="7" t="n">
        <f aca="false">A320/10</f>
        <v>31.5</v>
      </c>
      <c r="C320" s="7" t="n">
        <f aca="false">IF(AND(A320=0,c_TCREEP&gt;0),10*c_TCREEP,IF(AND(A320&lt;=c_TRNGMIN,A320&gt;=c_TRNGMAX,c_TRNGMIN-c_TRNGMAX&lt;&gt;0),-10*c_TMINRN+QUOTIENT((c_TMAXRN-c_TMINRN)*(100-QUOTIENT((A320-c_TRNGMAX)*100,c_TRNGMIN-c_TRNGMAX)),-10),0))</f>
        <v>0</v>
      </c>
      <c r="D320" s="7" t="n">
        <f aca="false">IF(((c_TMAP1IN)-(c_TFWD))=0,(0)+QUOTIENT(((c_TMAP1OUT)-(0)),2),QUOTIENT((((A320)-(c_TFWD))*((c_TMAP1OUT)-(0))+IF(((c_TMAP1OUT)-(0))&gt;=0,1,-1)*QUOTIENT(((c_TMAP1IN)-(c_TFWD)),2)),((c_TMAP1IN)-(c_TFWD)))+(0)+IF(((c_TMAP1OUT)-(0))&gt;=0,IF(IF(o_WRAP=1,MOD(((c_TMAP1IN)-(c_TFWD))*(((A320)-(c_TFWD))*((c_TMAP1OUT)-(0))+IF(((c_TMAP1OUT)-(0))&gt;=0,1,-1)*QUOTIENT(((c_TMAP1IN)-(c_TFWD)),2))+2147483648,4294967296)-2147483648,((c_TMAP1IN)-(c_TFWD))*(((A320)-(c_TFWD))*((c_TMAP1OUT)-(0))+IF(((c_TMAP1OUT)-(0))&gt;=0,1,-1)*QUOTIENT(((c_TMAP1IN)-(c_TFWD)),2)))&lt;0,-1,0),IF(IF(o_WRAP=1,MOD(((c_TMAP1IN)-(c_TFWD))*(((A320)-(c_TFWD))*((c_TMAP1OUT)-(0))+IF(((c_TMAP1OUT)-(0))&gt;=0,1,-1)*QUOTIENT(((c_TMAP1IN)-(c_TFWD)),2))+2147483648,4294967296)-2147483648,((c_TMAP1IN)-(c_TFWD))*(((A320)-(c_TFWD))*((c_TMAP1OUT)-(0))+IF(((c_TMAP1OUT)-(0))&gt;=0,1,-1)*QUOTIENT(((c_TMAP1IN)-(c_TFWD)),2)))&gt;=0,1,0)))</f>
        <v>237</v>
      </c>
      <c r="E320" s="7" t="n">
        <f aca="false">IF(((c_TMAP2IN)-(c_TMAP1IN))=0,(c_TMAP1OUT)+QUOTIENT(((c_TMAP2OUT)-(c_TMAP1OUT)),2),QUOTIENT((((A320)-(c_TMAP1IN))*((c_TMAP2OUT)-(c_TMAP1OUT))+IF(((c_TMAP2OUT)-(c_TMAP1OUT))&gt;=0,1,-1)*QUOTIENT(((c_TMAP2IN)-(c_TMAP1IN)),2)),((c_TMAP2IN)-(c_TMAP1IN)))+(c_TMAP1OUT)+IF(((c_TMAP2OUT)-(c_TMAP1OUT))&gt;=0,IF(IF(o_WRAP=1,MOD(((c_TMAP2IN)-(c_TMAP1IN))*(((A320)-(c_TMAP1IN))*((c_TMAP2OUT)-(c_TMAP1OUT))+IF(((c_TMAP2OUT)-(c_TMAP1OUT))&gt;=0,1,-1)*QUOTIENT(((c_TMAP2IN)-(c_TMAP1IN)),2))+2147483648,4294967296)-2147483648,((c_TMAP2IN)-(c_TMAP1IN))*(((A320)-(c_TMAP1IN))*((c_TMAP2OUT)-(c_TMAP1OUT))+IF(((c_TMAP2OUT)-(c_TMAP1OUT))&gt;=0,1,-1)*QUOTIENT(((c_TMAP2IN)-(c_TMAP1IN)),2)))&lt;0,-1,0),IF(IF(o_WRAP=1,MOD(((c_TMAP2IN)-(c_TMAP1IN))*(((A320)-(c_TMAP1IN))*((c_TMAP2OUT)-(c_TMAP1OUT))+IF(((c_TMAP2OUT)-(c_TMAP1OUT))&gt;=0,1,-1)*QUOTIENT(((c_TMAP2IN)-(c_TMAP1IN)),2))+2147483648,4294967296)-2147483648,((c_TMAP2IN)-(c_TMAP1IN))*(((A320)-(c_TMAP1IN))*((c_TMAP2OUT)-(c_TMAP1OUT))+IF(((c_TMAP2OUT)-(c_TMAP1OUT))&gt;=0,1,-1)*QUOTIENT(((c_TMAP2IN)-(c_TMAP1IN)),2)))&gt;=0,1,0)))</f>
        <v>156</v>
      </c>
      <c r="F320" s="7" t="n">
        <f aca="false">IF(((c_TMAP3IN)-(c_TMAP2IN))=0,(c_TMAP2OUT)+QUOTIENT(((c_TMAP3OUT)-(c_TMAP2OUT)),2),QUOTIENT((((A320)-(c_TMAP2IN))*((c_TMAP3OUT)-(c_TMAP2OUT))+IF(((c_TMAP3OUT)-(c_TMAP2OUT))&gt;=0,1,-1)*QUOTIENT(((c_TMAP3IN)-(c_TMAP2IN)),2)),((c_TMAP3IN)-(c_TMAP2IN)))+(c_TMAP2OUT)+IF(((c_TMAP3OUT)-(c_TMAP2OUT))&gt;=0,IF(IF(o_WRAP=1,MOD(((c_TMAP3IN)-(c_TMAP2IN))*(((A320)-(c_TMAP2IN))*((c_TMAP3OUT)-(c_TMAP2OUT))+IF(((c_TMAP3OUT)-(c_TMAP2OUT))&gt;=0,1,-1)*QUOTIENT(((c_TMAP3IN)-(c_TMAP2IN)),2))+2147483648,4294967296)-2147483648,((c_TMAP3IN)-(c_TMAP2IN))*(((A320)-(c_TMAP2IN))*((c_TMAP3OUT)-(c_TMAP2OUT))+IF(((c_TMAP3OUT)-(c_TMAP2OUT))&gt;=0,1,-1)*QUOTIENT(((c_TMAP3IN)-(c_TMAP2IN)),2)))&lt;0,-1,0),IF(IF(o_WRAP=1,MOD(((c_TMAP3IN)-(c_TMAP2IN))*(((A320)-(c_TMAP2IN))*((c_TMAP3OUT)-(c_TMAP2OUT))+IF(((c_TMAP3OUT)-(c_TMAP2OUT))&gt;=0,1,-1)*QUOTIENT(((c_TMAP3IN)-(c_TMAP2IN)),2))+2147483648,4294967296)-2147483648,((c_TMAP3IN)-(c_TMAP2IN))*(((A320)-(c_TMAP2IN))*((c_TMAP3OUT)-(c_TMAP2OUT))+IF(((c_TMAP3OUT)-(c_TMAP2OUT))&gt;=0,1,-1)*QUOTIENT(((c_TMAP3IN)-(c_TMAP2IN)),2)))&gt;=0,1,0)))</f>
        <v>176</v>
      </c>
      <c r="G320" s="7" t="n">
        <f aca="false">IF(((1000)-(c_TMAP3IN))=0,(c_TMAP3OUT)+QUOTIENT(((1000)-(c_TMAP3OUT)),2),QUOTIENT((((A320)-(c_TMAP3IN))*((1000)-(c_TMAP3OUT))+IF(((1000)-(c_TMAP3OUT))&gt;=0,1,-1)*QUOTIENT(((1000)-(c_TMAP3IN)),2)),((1000)-(c_TMAP3IN)))+(c_TMAP3OUT)+IF(((1000)-(c_TMAP3OUT))&gt;=0,IF(IF(o_WRAP=1,MOD(((1000)-(c_TMAP3IN))*(((A320)-(c_TMAP3IN))*((1000)-(c_TMAP3OUT))+IF(((1000)-(c_TMAP3OUT))&gt;=0,1,-1)*QUOTIENT(((1000)-(c_TMAP3IN)),2))+2147483648,4294967296)-2147483648,((1000)-(c_TMAP3IN))*(((A320)-(c_TMAP3IN))*((1000)-(c_TMAP3OUT))+IF(((1000)-(c_TMAP3OUT))&gt;=0,1,-1)*QUOTIENT(((1000)-(c_TMAP3IN)),2)))&lt;0,-1,0),IF(IF(o_WRAP=1,MOD(((1000)-(c_TMAP3IN))*(((A320)-(c_TMAP3IN))*((1000)-(c_TMAP3OUT))+IF(((1000)-(c_TMAP3OUT))&gt;=0,1,-1)*QUOTIENT(((1000)-(c_TMAP3IN)),2))+2147483648,4294967296)-2147483648,((1000)-(c_TMAP3IN))*(((A320)-(c_TMAP3IN))*((1000)-(c_TMAP3OUT))+IF(((1000)-(c_TMAP3OUT))&gt;=0,1,-1)*QUOTIENT(((1000)-(c_TMAP3IN)),2)))&gt;=0,1,0)))</f>
        <v>157</v>
      </c>
      <c r="H320" s="7" t="str">
        <f aca="false">IF(A320&gt;=c_TFWD,IF(AND(A320&gt;=c_TMAP3IN,c_TMAP3IN&lt;1000),"Seg4 map3-100%",IF(AND(A320&gt;=c_TMAP2IN,c_TMAP3IN&gt;c_TMAP2IN),"Seg3 map2-map3",IF(AND(A320&gt;=c_TMAP1IN,c_TMAP2IN&gt;c_TMAP1IN),"Seg2 map1-map2","Seg1 TFWD-map1"))),IF(AND(A320=0,c_TCREEP&gt;0),"Creep",IF(AND(A320&lt;=c_TRNGMIN,A320&gt;=c_TRNGMAX,c_TRNGMIN-c_TRNGMAX&lt;&gt;0),"Regen ramp","Coast (0)")))</f>
        <v>Seg3 map2-map3</v>
      </c>
      <c r="I320" s="7" t="n">
        <f aca="false">IF(A320&gt;=c_TFWD,IF(AND(A320&gt;=c_TMAP3IN,c_TMAP3IN&lt;1000),G320,IF(AND(A320&gt;=c_TMAP2IN,c_TMAP3IN&gt;c_TMAP2IN),F320,IF(AND(A320&gt;=c_TMAP1IN,c_TMAP2IN&gt;c_TMAP1IN),E320,D320))),C320)</f>
        <v>176</v>
      </c>
      <c r="J320" s="7" t="str">
        <f aca="false">IF(I320&lt;-1090,"TOO LOW",IF(I320&gt;1090,"TOO HIGH",""))</f>
        <v/>
      </c>
      <c r="K320" s="15" t="n">
        <f aca="false">IF(J320&lt;&gt;"",0,IF(I320&gt;979,1000,I320))</f>
        <v>176</v>
      </c>
      <c r="L320" s="7" t="n">
        <f aca="false">K320/10</f>
        <v>17.6</v>
      </c>
    </row>
    <row r="321" customFormat="false" ht="15" hidden="false" customHeight="false" outlineLevel="0" collapsed="false">
      <c r="A321" s="7" t="n">
        <v>316</v>
      </c>
      <c r="B321" s="7" t="n">
        <f aca="false">A321/10</f>
        <v>31.6</v>
      </c>
      <c r="C321" s="7" t="n">
        <f aca="false">IF(AND(A321=0,c_TCREEP&gt;0),10*c_TCREEP,IF(AND(A321&lt;=c_TRNGMIN,A321&gt;=c_TRNGMAX,c_TRNGMIN-c_TRNGMAX&lt;&gt;0),-10*c_TMINRN+QUOTIENT((c_TMAXRN-c_TMINRN)*(100-QUOTIENT((A321-c_TRNGMAX)*100,c_TRNGMIN-c_TRNGMAX)),-10),0))</f>
        <v>0</v>
      </c>
      <c r="D321" s="7" t="n">
        <f aca="false">IF(((c_TMAP1IN)-(c_TFWD))=0,(0)+QUOTIENT(((c_TMAP1OUT)-(0)),2),QUOTIENT((((A321)-(c_TFWD))*((c_TMAP1OUT)-(0))+IF(((c_TMAP1OUT)-(0))&gt;=0,1,-1)*QUOTIENT(((c_TMAP1IN)-(c_TFWD)),2)),((c_TMAP1IN)-(c_TFWD)))+(0)+IF(((c_TMAP1OUT)-(0))&gt;=0,IF(IF(o_WRAP=1,MOD(((c_TMAP1IN)-(c_TFWD))*(((A321)-(c_TFWD))*((c_TMAP1OUT)-(0))+IF(((c_TMAP1OUT)-(0))&gt;=0,1,-1)*QUOTIENT(((c_TMAP1IN)-(c_TFWD)),2))+2147483648,4294967296)-2147483648,((c_TMAP1IN)-(c_TFWD))*(((A321)-(c_TFWD))*((c_TMAP1OUT)-(0))+IF(((c_TMAP1OUT)-(0))&gt;=0,1,-1)*QUOTIENT(((c_TMAP1IN)-(c_TFWD)),2)))&lt;0,-1,0),IF(IF(o_WRAP=1,MOD(((c_TMAP1IN)-(c_TFWD))*(((A321)-(c_TFWD))*((c_TMAP1OUT)-(0))+IF(((c_TMAP1OUT)-(0))&gt;=0,1,-1)*QUOTIENT(((c_TMAP1IN)-(c_TFWD)),2))+2147483648,4294967296)-2147483648,((c_TMAP1IN)-(c_TFWD))*(((A321)-(c_TFWD))*((c_TMAP1OUT)-(0))+IF(((c_TMAP1OUT)-(0))&gt;=0,1,-1)*QUOTIENT(((c_TMAP1IN)-(c_TFWD)),2)))&gt;=0,1,0)))</f>
        <v>238</v>
      </c>
      <c r="E321" s="7" t="n">
        <f aca="false">IF(((c_TMAP2IN)-(c_TMAP1IN))=0,(c_TMAP1OUT)+QUOTIENT(((c_TMAP2OUT)-(c_TMAP1OUT)),2),QUOTIENT((((A321)-(c_TMAP1IN))*((c_TMAP2OUT)-(c_TMAP1OUT))+IF(((c_TMAP2OUT)-(c_TMAP1OUT))&gt;=0,1,-1)*QUOTIENT(((c_TMAP2IN)-(c_TMAP1IN)),2)),((c_TMAP2IN)-(c_TMAP1IN)))+(c_TMAP1OUT)+IF(((c_TMAP2OUT)-(c_TMAP1OUT))&gt;=0,IF(IF(o_WRAP=1,MOD(((c_TMAP2IN)-(c_TMAP1IN))*(((A321)-(c_TMAP1IN))*((c_TMAP2OUT)-(c_TMAP1OUT))+IF(((c_TMAP2OUT)-(c_TMAP1OUT))&gt;=0,1,-1)*QUOTIENT(((c_TMAP2IN)-(c_TMAP1IN)),2))+2147483648,4294967296)-2147483648,((c_TMAP2IN)-(c_TMAP1IN))*(((A321)-(c_TMAP1IN))*((c_TMAP2OUT)-(c_TMAP1OUT))+IF(((c_TMAP2OUT)-(c_TMAP1OUT))&gt;=0,1,-1)*QUOTIENT(((c_TMAP2IN)-(c_TMAP1IN)),2)))&lt;0,-1,0),IF(IF(o_WRAP=1,MOD(((c_TMAP2IN)-(c_TMAP1IN))*(((A321)-(c_TMAP1IN))*((c_TMAP2OUT)-(c_TMAP1OUT))+IF(((c_TMAP2OUT)-(c_TMAP1OUT))&gt;=0,1,-1)*QUOTIENT(((c_TMAP2IN)-(c_TMAP1IN)),2))+2147483648,4294967296)-2147483648,((c_TMAP2IN)-(c_TMAP1IN))*(((A321)-(c_TMAP1IN))*((c_TMAP2OUT)-(c_TMAP1OUT))+IF(((c_TMAP2OUT)-(c_TMAP1OUT))&gt;=0,1,-1)*QUOTIENT(((c_TMAP2IN)-(c_TMAP1IN)),2)))&gt;=0,1,0)))</f>
        <v>156</v>
      </c>
      <c r="F321" s="7" t="n">
        <f aca="false">IF(((c_TMAP3IN)-(c_TMAP2IN))=0,(c_TMAP2OUT)+QUOTIENT(((c_TMAP3OUT)-(c_TMAP2OUT)),2),QUOTIENT((((A321)-(c_TMAP2IN))*((c_TMAP3OUT)-(c_TMAP2OUT))+IF(((c_TMAP3OUT)-(c_TMAP2OUT))&gt;=0,1,-1)*QUOTIENT(((c_TMAP3IN)-(c_TMAP2IN)),2)),((c_TMAP3IN)-(c_TMAP2IN)))+(c_TMAP2OUT)+IF(((c_TMAP3OUT)-(c_TMAP2OUT))&gt;=0,IF(IF(o_WRAP=1,MOD(((c_TMAP3IN)-(c_TMAP2IN))*(((A321)-(c_TMAP2IN))*((c_TMAP3OUT)-(c_TMAP2OUT))+IF(((c_TMAP3OUT)-(c_TMAP2OUT))&gt;=0,1,-1)*QUOTIENT(((c_TMAP3IN)-(c_TMAP2IN)),2))+2147483648,4294967296)-2147483648,((c_TMAP3IN)-(c_TMAP2IN))*(((A321)-(c_TMAP2IN))*((c_TMAP3OUT)-(c_TMAP2OUT))+IF(((c_TMAP3OUT)-(c_TMAP2OUT))&gt;=0,1,-1)*QUOTIENT(((c_TMAP3IN)-(c_TMAP2IN)),2)))&lt;0,-1,0),IF(IF(o_WRAP=1,MOD(((c_TMAP3IN)-(c_TMAP2IN))*(((A321)-(c_TMAP2IN))*((c_TMAP3OUT)-(c_TMAP2OUT))+IF(((c_TMAP3OUT)-(c_TMAP2OUT))&gt;=0,1,-1)*QUOTIENT(((c_TMAP3IN)-(c_TMAP2IN)),2))+2147483648,4294967296)-2147483648,((c_TMAP3IN)-(c_TMAP2IN))*(((A321)-(c_TMAP2IN))*((c_TMAP3OUT)-(c_TMAP2OUT))+IF(((c_TMAP3OUT)-(c_TMAP2OUT))&gt;=0,1,-1)*QUOTIENT(((c_TMAP3IN)-(c_TMAP2IN)),2)))&gt;=0,1,0)))</f>
        <v>176</v>
      </c>
      <c r="G321" s="7" t="n">
        <f aca="false">IF(((1000)-(c_TMAP3IN))=0,(c_TMAP3OUT)+QUOTIENT(((1000)-(c_TMAP3OUT)),2),QUOTIENT((((A321)-(c_TMAP3IN))*((1000)-(c_TMAP3OUT))+IF(((1000)-(c_TMAP3OUT))&gt;=0,1,-1)*QUOTIENT(((1000)-(c_TMAP3IN)),2)),((1000)-(c_TMAP3IN)))+(c_TMAP3OUT)+IF(((1000)-(c_TMAP3OUT))&gt;=0,IF(IF(o_WRAP=1,MOD(((1000)-(c_TMAP3IN))*(((A321)-(c_TMAP3IN))*((1000)-(c_TMAP3OUT))+IF(((1000)-(c_TMAP3OUT))&gt;=0,1,-1)*QUOTIENT(((1000)-(c_TMAP3IN)),2))+2147483648,4294967296)-2147483648,((1000)-(c_TMAP3IN))*(((A321)-(c_TMAP3IN))*((1000)-(c_TMAP3OUT))+IF(((1000)-(c_TMAP3OUT))&gt;=0,1,-1)*QUOTIENT(((1000)-(c_TMAP3IN)),2)))&lt;0,-1,0),IF(IF(o_WRAP=1,MOD(((1000)-(c_TMAP3IN))*(((A321)-(c_TMAP3IN))*((1000)-(c_TMAP3OUT))+IF(((1000)-(c_TMAP3OUT))&gt;=0,1,-1)*QUOTIENT(((1000)-(c_TMAP3IN)),2))+2147483648,4294967296)-2147483648,((1000)-(c_TMAP3IN))*(((A321)-(c_TMAP3IN))*((1000)-(c_TMAP3OUT))+IF(((1000)-(c_TMAP3OUT))&gt;=0,1,-1)*QUOTIENT(((1000)-(c_TMAP3IN)),2)))&gt;=0,1,0)))</f>
        <v>158</v>
      </c>
      <c r="H321" s="7" t="str">
        <f aca="false">IF(A321&gt;=c_TFWD,IF(AND(A321&gt;=c_TMAP3IN,c_TMAP3IN&lt;1000),"Seg4 map3-100%",IF(AND(A321&gt;=c_TMAP2IN,c_TMAP3IN&gt;c_TMAP2IN),"Seg3 map2-map3",IF(AND(A321&gt;=c_TMAP1IN,c_TMAP2IN&gt;c_TMAP1IN),"Seg2 map1-map2","Seg1 TFWD-map1"))),IF(AND(A321=0,c_TCREEP&gt;0),"Creep",IF(AND(A321&lt;=c_TRNGMIN,A321&gt;=c_TRNGMAX,c_TRNGMIN-c_TRNGMAX&lt;&gt;0),"Regen ramp","Coast (0)")))</f>
        <v>Seg3 map2-map3</v>
      </c>
      <c r="I321" s="7" t="n">
        <f aca="false">IF(A321&gt;=c_TFWD,IF(AND(A321&gt;=c_TMAP3IN,c_TMAP3IN&lt;1000),G321,IF(AND(A321&gt;=c_TMAP2IN,c_TMAP3IN&gt;c_TMAP2IN),F321,IF(AND(A321&gt;=c_TMAP1IN,c_TMAP2IN&gt;c_TMAP1IN),E321,D321))),C321)</f>
        <v>176</v>
      </c>
      <c r="J321" s="7" t="str">
        <f aca="false">IF(I321&lt;-1090,"TOO LOW",IF(I321&gt;1090,"TOO HIGH",""))</f>
        <v/>
      </c>
      <c r="K321" s="15" t="n">
        <f aca="false">IF(J321&lt;&gt;"",0,IF(I321&gt;979,1000,I321))</f>
        <v>176</v>
      </c>
      <c r="L321" s="7" t="n">
        <f aca="false">K321/10</f>
        <v>17.6</v>
      </c>
    </row>
    <row r="322" customFormat="false" ht="15" hidden="false" customHeight="false" outlineLevel="0" collapsed="false">
      <c r="A322" s="7" t="n">
        <v>317</v>
      </c>
      <c r="B322" s="7" t="n">
        <f aca="false">A322/10</f>
        <v>31.7</v>
      </c>
      <c r="C322" s="7" t="n">
        <f aca="false">IF(AND(A322=0,c_TCREEP&gt;0),10*c_TCREEP,IF(AND(A322&lt;=c_TRNGMIN,A322&gt;=c_TRNGMAX,c_TRNGMIN-c_TRNGMAX&lt;&gt;0),-10*c_TMINRN+QUOTIENT((c_TMAXRN-c_TMINRN)*(100-QUOTIENT((A322-c_TRNGMAX)*100,c_TRNGMIN-c_TRNGMAX)),-10),0))</f>
        <v>0</v>
      </c>
      <c r="D322" s="7" t="n">
        <f aca="false">IF(((c_TMAP1IN)-(c_TFWD))=0,(0)+QUOTIENT(((c_TMAP1OUT)-(0)),2),QUOTIENT((((A322)-(c_TFWD))*((c_TMAP1OUT)-(0))+IF(((c_TMAP1OUT)-(0))&gt;=0,1,-1)*QUOTIENT(((c_TMAP1IN)-(c_TFWD)),2)),((c_TMAP1IN)-(c_TFWD)))+(0)+IF(((c_TMAP1OUT)-(0))&gt;=0,IF(IF(o_WRAP=1,MOD(((c_TMAP1IN)-(c_TFWD))*(((A322)-(c_TFWD))*((c_TMAP1OUT)-(0))+IF(((c_TMAP1OUT)-(0))&gt;=0,1,-1)*QUOTIENT(((c_TMAP1IN)-(c_TFWD)),2))+2147483648,4294967296)-2147483648,((c_TMAP1IN)-(c_TFWD))*(((A322)-(c_TFWD))*((c_TMAP1OUT)-(0))+IF(((c_TMAP1OUT)-(0))&gt;=0,1,-1)*QUOTIENT(((c_TMAP1IN)-(c_TFWD)),2)))&lt;0,-1,0),IF(IF(o_WRAP=1,MOD(((c_TMAP1IN)-(c_TFWD))*(((A322)-(c_TFWD))*((c_TMAP1OUT)-(0))+IF(((c_TMAP1OUT)-(0))&gt;=0,1,-1)*QUOTIENT(((c_TMAP1IN)-(c_TFWD)),2))+2147483648,4294967296)-2147483648,((c_TMAP1IN)-(c_TFWD))*(((A322)-(c_TFWD))*((c_TMAP1OUT)-(0))+IF(((c_TMAP1OUT)-(0))&gt;=0,1,-1)*QUOTIENT(((c_TMAP1IN)-(c_TFWD)),2)))&gt;=0,1,0)))</f>
        <v>239</v>
      </c>
      <c r="E322" s="7" t="n">
        <f aca="false">IF(((c_TMAP2IN)-(c_TMAP1IN))=0,(c_TMAP1OUT)+QUOTIENT(((c_TMAP2OUT)-(c_TMAP1OUT)),2),QUOTIENT((((A322)-(c_TMAP1IN))*((c_TMAP2OUT)-(c_TMAP1OUT))+IF(((c_TMAP2OUT)-(c_TMAP1OUT))&gt;=0,1,-1)*QUOTIENT(((c_TMAP2IN)-(c_TMAP1IN)),2)),((c_TMAP2IN)-(c_TMAP1IN)))+(c_TMAP1OUT)+IF(((c_TMAP2OUT)-(c_TMAP1OUT))&gt;=0,IF(IF(o_WRAP=1,MOD(((c_TMAP2IN)-(c_TMAP1IN))*(((A322)-(c_TMAP1IN))*((c_TMAP2OUT)-(c_TMAP1OUT))+IF(((c_TMAP2OUT)-(c_TMAP1OUT))&gt;=0,1,-1)*QUOTIENT(((c_TMAP2IN)-(c_TMAP1IN)),2))+2147483648,4294967296)-2147483648,((c_TMAP2IN)-(c_TMAP1IN))*(((A322)-(c_TMAP1IN))*((c_TMAP2OUT)-(c_TMAP1OUT))+IF(((c_TMAP2OUT)-(c_TMAP1OUT))&gt;=0,1,-1)*QUOTIENT(((c_TMAP2IN)-(c_TMAP1IN)),2)))&lt;0,-1,0),IF(IF(o_WRAP=1,MOD(((c_TMAP2IN)-(c_TMAP1IN))*(((A322)-(c_TMAP1IN))*((c_TMAP2OUT)-(c_TMAP1OUT))+IF(((c_TMAP2OUT)-(c_TMAP1OUT))&gt;=0,1,-1)*QUOTIENT(((c_TMAP2IN)-(c_TMAP1IN)),2))+2147483648,4294967296)-2147483648,((c_TMAP2IN)-(c_TMAP1IN))*(((A322)-(c_TMAP1IN))*((c_TMAP2OUT)-(c_TMAP1OUT))+IF(((c_TMAP2OUT)-(c_TMAP1OUT))&gt;=0,1,-1)*QUOTIENT(((c_TMAP2IN)-(c_TMAP1IN)),2)))&gt;=0,1,0)))</f>
        <v>157</v>
      </c>
      <c r="F322" s="7" t="n">
        <f aca="false">IF(((c_TMAP3IN)-(c_TMAP2IN))=0,(c_TMAP2OUT)+QUOTIENT(((c_TMAP3OUT)-(c_TMAP2OUT)),2),QUOTIENT((((A322)-(c_TMAP2IN))*((c_TMAP3OUT)-(c_TMAP2OUT))+IF(((c_TMAP3OUT)-(c_TMAP2OUT))&gt;=0,1,-1)*QUOTIENT(((c_TMAP3IN)-(c_TMAP2IN)),2)),((c_TMAP3IN)-(c_TMAP2IN)))+(c_TMAP2OUT)+IF(((c_TMAP3OUT)-(c_TMAP2OUT))&gt;=0,IF(IF(o_WRAP=1,MOD(((c_TMAP3IN)-(c_TMAP2IN))*(((A322)-(c_TMAP2IN))*((c_TMAP3OUT)-(c_TMAP2OUT))+IF(((c_TMAP3OUT)-(c_TMAP2OUT))&gt;=0,1,-1)*QUOTIENT(((c_TMAP3IN)-(c_TMAP2IN)),2))+2147483648,4294967296)-2147483648,((c_TMAP3IN)-(c_TMAP2IN))*(((A322)-(c_TMAP2IN))*((c_TMAP3OUT)-(c_TMAP2OUT))+IF(((c_TMAP3OUT)-(c_TMAP2OUT))&gt;=0,1,-1)*QUOTIENT(((c_TMAP3IN)-(c_TMAP2IN)),2)))&lt;0,-1,0),IF(IF(o_WRAP=1,MOD(((c_TMAP3IN)-(c_TMAP2IN))*(((A322)-(c_TMAP2IN))*((c_TMAP3OUT)-(c_TMAP2OUT))+IF(((c_TMAP3OUT)-(c_TMAP2OUT))&gt;=0,1,-1)*QUOTIENT(((c_TMAP3IN)-(c_TMAP2IN)),2))+2147483648,4294967296)-2147483648,((c_TMAP3IN)-(c_TMAP2IN))*(((A322)-(c_TMAP2IN))*((c_TMAP3OUT)-(c_TMAP2OUT))+IF(((c_TMAP3OUT)-(c_TMAP2OUT))&gt;=0,1,-1)*QUOTIENT(((c_TMAP3IN)-(c_TMAP2IN)),2)))&gt;=0,1,0)))</f>
        <v>177</v>
      </c>
      <c r="G322" s="7" t="n">
        <f aca="false">IF(((1000)-(c_TMAP3IN))=0,(c_TMAP3OUT)+QUOTIENT(((1000)-(c_TMAP3OUT)),2),QUOTIENT((((A322)-(c_TMAP3IN))*((1000)-(c_TMAP3OUT))+IF(((1000)-(c_TMAP3OUT))&gt;=0,1,-1)*QUOTIENT(((1000)-(c_TMAP3IN)),2)),((1000)-(c_TMAP3IN)))+(c_TMAP3OUT)+IF(((1000)-(c_TMAP3OUT))&gt;=0,IF(IF(o_WRAP=1,MOD(((1000)-(c_TMAP3IN))*(((A322)-(c_TMAP3IN))*((1000)-(c_TMAP3OUT))+IF(((1000)-(c_TMAP3OUT))&gt;=0,1,-1)*QUOTIENT(((1000)-(c_TMAP3IN)),2))+2147483648,4294967296)-2147483648,((1000)-(c_TMAP3IN))*(((A322)-(c_TMAP3IN))*((1000)-(c_TMAP3OUT))+IF(((1000)-(c_TMAP3OUT))&gt;=0,1,-1)*QUOTIENT(((1000)-(c_TMAP3IN)),2)))&lt;0,-1,0),IF(IF(o_WRAP=1,MOD(((1000)-(c_TMAP3IN))*(((A322)-(c_TMAP3IN))*((1000)-(c_TMAP3OUT))+IF(((1000)-(c_TMAP3OUT))&gt;=0,1,-1)*QUOTIENT(((1000)-(c_TMAP3IN)),2))+2147483648,4294967296)-2147483648,((1000)-(c_TMAP3IN))*(((A322)-(c_TMAP3IN))*((1000)-(c_TMAP3OUT))+IF(((1000)-(c_TMAP3OUT))&gt;=0,1,-1)*QUOTIENT(((1000)-(c_TMAP3IN)),2)))&gt;=0,1,0)))</f>
        <v>159</v>
      </c>
      <c r="H322" s="7" t="str">
        <f aca="false">IF(A322&gt;=c_TFWD,IF(AND(A322&gt;=c_TMAP3IN,c_TMAP3IN&lt;1000),"Seg4 map3-100%",IF(AND(A322&gt;=c_TMAP2IN,c_TMAP3IN&gt;c_TMAP2IN),"Seg3 map2-map3",IF(AND(A322&gt;=c_TMAP1IN,c_TMAP2IN&gt;c_TMAP1IN),"Seg2 map1-map2","Seg1 TFWD-map1"))),IF(AND(A322=0,c_TCREEP&gt;0),"Creep",IF(AND(A322&lt;=c_TRNGMIN,A322&gt;=c_TRNGMAX,c_TRNGMIN-c_TRNGMAX&lt;&gt;0),"Regen ramp","Coast (0)")))</f>
        <v>Seg3 map2-map3</v>
      </c>
      <c r="I322" s="7" t="n">
        <f aca="false">IF(A322&gt;=c_TFWD,IF(AND(A322&gt;=c_TMAP3IN,c_TMAP3IN&lt;1000),G322,IF(AND(A322&gt;=c_TMAP2IN,c_TMAP3IN&gt;c_TMAP2IN),F322,IF(AND(A322&gt;=c_TMAP1IN,c_TMAP2IN&gt;c_TMAP1IN),E322,D322))),C322)</f>
        <v>177</v>
      </c>
      <c r="J322" s="7" t="str">
        <f aca="false">IF(I322&lt;-1090,"TOO LOW",IF(I322&gt;1090,"TOO HIGH",""))</f>
        <v/>
      </c>
      <c r="K322" s="15" t="n">
        <f aca="false">IF(J322&lt;&gt;"",0,IF(I322&gt;979,1000,I322))</f>
        <v>177</v>
      </c>
      <c r="L322" s="7" t="n">
        <f aca="false">K322/10</f>
        <v>17.7</v>
      </c>
    </row>
    <row r="323" customFormat="false" ht="15" hidden="false" customHeight="false" outlineLevel="0" collapsed="false">
      <c r="A323" s="7" t="n">
        <v>318</v>
      </c>
      <c r="B323" s="7" t="n">
        <f aca="false">A323/10</f>
        <v>31.8</v>
      </c>
      <c r="C323" s="7" t="n">
        <f aca="false">IF(AND(A323=0,c_TCREEP&gt;0),10*c_TCREEP,IF(AND(A323&lt;=c_TRNGMIN,A323&gt;=c_TRNGMAX,c_TRNGMIN-c_TRNGMAX&lt;&gt;0),-10*c_TMINRN+QUOTIENT((c_TMAXRN-c_TMINRN)*(100-QUOTIENT((A323-c_TRNGMAX)*100,c_TRNGMIN-c_TRNGMAX)),-10),0))</f>
        <v>0</v>
      </c>
      <c r="D323" s="7" t="n">
        <f aca="false">IF(((c_TMAP1IN)-(c_TFWD))=0,(0)+QUOTIENT(((c_TMAP1OUT)-(0)),2),QUOTIENT((((A323)-(c_TFWD))*((c_TMAP1OUT)-(0))+IF(((c_TMAP1OUT)-(0))&gt;=0,1,-1)*QUOTIENT(((c_TMAP1IN)-(c_TFWD)),2)),((c_TMAP1IN)-(c_TFWD)))+(0)+IF(((c_TMAP1OUT)-(0))&gt;=0,IF(IF(o_WRAP=1,MOD(((c_TMAP1IN)-(c_TFWD))*(((A323)-(c_TFWD))*((c_TMAP1OUT)-(0))+IF(((c_TMAP1OUT)-(0))&gt;=0,1,-1)*QUOTIENT(((c_TMAP1IN)-(c_TFWD)),2))+2147483648,4294967296)-2147483648,((c_TMAP1IN)-(c_TFWD))*(((A323)-(c_TFWD))*((c_TMAP1OUT)-(0))+IF(((c_TMAP1OUT)-(0))&gt;=0,1,-1)*QUOTIENT(((c_TMAP1IN)-(c_TFWD)),2)))&lt;0,-1,0),IF(IF(o_WRAP=1,MOD(((c_TMAP1IN)-(c_TFWD))*(((A323)-(c_TFWD))*((c_TMAP1OUT)-(0))+IF(((c_TMAP1OUT)-(0))&gt;=0,1,-1)*QUOTIENT(((c_TMAP1IN)-(c_TFWD)),2))+2147483648,4294967296)-2147483648,((c_TMAP1IN)-(c_TFWD))*(((A323)-(c_TFWD))*((c_TMAP1OUT)-(0))+IF(((c_TMAP1OUT)-(0))&gt;=0,1,-1)*QUOTIENT(((c_TMAP1IN)-(c_TFWD)),2)))&gt;=0,1,0)))</f>
        <v>240</v>
      </c>
      <c r="E323" s="7" t="n">
        <f aca="false">IF(((c_TMAP2IN)-(c_TMAP1IN))=0,(c_TMAP1OUT)+QUOTIENT(((c_TMAP2OUT)-(c_TMAP1OUT)),2),QUOTIENT((((A323)-(c_TMAP1IN))*((c_TMAP2OUT)-(c_TMAP1OUT))+IF(((c_TMAP2OUT)-(c_TMAP1OUT))&gt;=0,1,-1)*QUOTIENT(((c_TMAP2IN)-(c_TMAP1IN)),2)),((c_TMAP2IN)-(c_TMAP1IN)))+(c_TMAP1OUT)+IF(((c_TMAP2OUT)-(c_TMAP1OUT))&gt;=0,IF(IF(o_WRAP=1,MOD(((c_TMAP2IN)-(c_TMAP1IN))*(((A323)-(c_TMAP1IN))*((c_TMAP2OUT)-(c_TMAP1OUT))+IF(((c_TMAP2OUT)-(c_TMAP1OUT))&gt;=0,1,-1)*QUOTIENT(((c_TMAP2IN)-(c_TMAP1IN)),2))+2147483648,4294967296)-2147483648,((c_TMAP2IN)-(c_TMAP1IN))*(((A323)-(c_TMAP1IN))*((c_TMAP2OUT)-(c_TMAP1OUT))+IF(((c_TMAP2OUT)-(c_TMAP1OUT))&gt;=0,1,-1)*QUOTIENT(((c_TMAP2IN)-(c_TMAP1IN)),2)))&lt;0,-1,0),IF(IF(o_WRAP=1,MOD(((c_TMAP2IN)-(c_TMAP1IN))*(((A323)-(c_TMAP1IN))*((c_TMAP2OUT)-(c_TMAP1OUT))+IF(((c_TMAP2OUT)-(c_TMAP1OUT))&gt;=0,1,-1)*QUOTIENT(((c_TMAP2IN)-(c_TMAP1IN)),2))+2147483648,4294967296)-2147483648,((c_TMAP2IN)-(c_TMAP1IN))*(((A323)-(c_TMAP1IN))*((c_TMAP2OUT)-(c_TMAP1OUT))+IF(((c_TMAP2OUT)-(c_TMAP1OUT))&gt;=0,1,-1)*QUOTIENT(((c_TMAP2IN)-(c_TMAP1IN)),2)))&gt;=0,1,0)))</f>
        <v>157</v>
      </c>
      <c r="F323" s="7" t="n">
        <f aca="false">IF(((c_TMAP3IN)-(c_TMAP2IN))=0,(c_TMAP2OUT)+QUOTIENT(((c_TMAP3OUT)-(c_TMAP2OUT)),2),QUOTIENT((((A323)-(c_TMAP2IN))*((c_TMAP3OUT)-(c_TMAP2OUT))+IF(((c_TMAP3OUT)-(c_TMAP2OUT))&gt;=0,1,-1)*QUOTIENT(((c_TMAP3IN)-(c_TMAP2IN)),2)),((c_TMAP3IN)-(c_TMAP2IN)))+(c_TMAP2OUT)+IF(((c_TMAP3OUT)-(c_TMAP2OUT))&gt;=0,IF(IF(o_WRAP=1,MOD(((c_TMAP3IN)-(c_TMAP2IN))*(((A323)-(c_TMAP2IN))*((c_TMAP3OUT)-(c_TMAP2OUT))+IF(((c_TMAP3OUT)-(c_TMAP2OUT))&gt;=0,1,-1)*QUOTIENT(((c_TMAP3IN)-(c_TMAP2IN)),2))+2147483648,4294967296)-2147483648,((c_TMAP3IN)-(c_TMAP2IN))*(((A323)-(c_TMAP2IN))*((c_TMAP3OUT)-(c_TMAP2OUT))+IF(((c_TMAP3OUT)-(c_TMAP2OUT))&gt;=0,1,-1)*QUOTIENT(((c_TMAP3IN)-(c_TMAP2IN)),2)))&lt;0,-1,0),IF(IF(o_WRAP=1,MOD(((c_TMAP3IN)-(c_TMAP2IN))*(((A323)-(c_TMAP2IN))*((c_TMAP3OUT)-(c_TMAP2OUT))+IF(((c_TMAP3OUT)-(c_TMAP2OUT))&gt;=0,1,-1)*QUOTIENT(((c_TMAP3IN)-(c_TMAP2IN)),2))+2147483648,4294967296)-2147483648,((c_TMAP3IN)-(c_TMAP2IN))*(((A323)-(c_TMAP2IN))*((c_TMAP3OUT)-(c_TMAP2OUT))+IF(((c_TMAP3OUT)-(c_TMAP2OUT))&gt;=0,1,-1)*QUOTIENT(((c_TMAP3IN)-(c_TMAP2IN)),2)))&gt;=0,1,0)))</f>
        <v>178</v>
      </c>
      <c r="G323" s="7" t="n">
        <f aca="false">IF(((1000)-(c_TMAP3IN))=0,(c_TMAP3OUT)+QUOTIENT(((1000)-(c_TMAP3OUT)),2),QUOTIENT((((A323)-(c_TMAP3IN))*((1000)-(c_TMAP3OUT))+IF(((1000)-(c_TMAP3OUT))&gt;=0,1,-1)*QUOTIENT(((1000)-(c_TMAP3IN)),2)),((1000)-(c_TMAP3IN)))+(c_TMAP3OUT)+IF(((1000)-(c_TMAP3OUT))&gt;=0,IF(IF(o_WRAP=1,MOD(((1000)-(c_TMAP3IN))*(((A323)-(c_TMAP3IN))*((1000)-(c_TMAP3OUT))+IF(((1000)-(c_TMAP3OUT))&gt;=0,1,-1)*QUOTIENT(((1000)-(c_TMAP3IN)),2))+2147483648,4294967296)-2147483648,((1000)-(c_TMAP3IN))*(((A323)-(c_TMAP3IN))*((1000)-(c_TMAP3OUT))+IF(((1000)-(c_TMAP3OUT))&gt;=0,1,-1)*QUOTIENT(((1000)-(c_TMAP3IN)),2)))&lt;0,-1,0),IF(IF(o_WRAP=1,MOD(((1000)-(c_TMAP3IN))*(((A323)-(c_TMAP3IN))*((1000)-(c_TMAP3OUT))+IF(((1000)-(c_TMAP3OUT))&gt;=0,1,-1)*QUOTIENT(((1000)-(c_TMAP3IN)),2))+2147483648,4294967296)-2147483648,((1000)-(c_TMAP3IN))*(((A323)-(c_TMAP3IN))*((1000)-(c_TMAP3OUT))+IF(((1000)-(c_TMAP3OUT))&gt;=0,1,-1)*QUOTIENT(((1000)-(c_TMAP3IN)),2)))&gt;=0,1,0)))</f>
        <v>161</v>
      </c>
      <c r="H323" s="7" t="str">
        <f aca="false">IF(A323&gt;=c_TFWD,IF(AND(A323&gt;=c_TMAP3IN,c_TMAP3IN&lt;1000),"Seg4 map3-100%",IF(AND(A323&gt;=c_TMAP2IN,c_TMAP3IN&gt;c_TMAP2IN),"Seg3 map2-map3",IF(AND(A323&gt;=c_TMAP1IN,c_TMAP2IN&gt;c_TMAP1IN),"Seg2 map1-map2","Seg1 TFWD-map1"))),IF(AND(A323=0,c_TCREEP&gt;0),"Creep",IF(AND(A323&lt;=c_TRNGMIN,A323&gt;=c_TRNGMAX,c_TRNGMIN-c_TRNGMAX&lt;&gt;0),"Regen ramp","Coast (0)")))</f>
        <v>Seg3 map2-map3</v>
      </c>
      <c r="I323" s="7" t="n">
        <f aca="false">IF(A323&gt;=c_TFWD,IF(AND(A323&gt;=c_TMAP3IN,c_TMAP3IN&lt;1000),G323,IF(AND(A323&gt;=c_TMAP2IN,c_TMAP3IN&gt;c_TMAP2IN),F323,IF(AND(A323&gt;=c_TMAP1IN,c_TMAP2IN&gt;c_TMAP1IN),E323,D323))),C323)</f>
        <v>178</v>
      </c>
      <c r="J323" s="7" t="str">
        <f aca="false">IF(I323&lt;-1090,"TOO LOW",IF(I323&gt;1090,"TOO HIGH",""))</f>
        <v/>
      </c>
      <c r="K323" s="15" t="n">
        <f aca="false">IF(J323&lt;&gt;"",0,IF(I323&gt;979,1000,I323))</f>
        <v>178</v>
      </c>
      <c r="L323" s="7" t="n">
        <f aca="false">K323/10</f>
        <v>17.8</v>
      </c>
    </row>
    <row r="324" customFormat="false" ht="15" hidden="false" customHeight="false" outlineLevel="0" collapsed="false">
      <c r="A324" s="7" t="n">
        <v>319</v>
      </c>
      <c r="B324" s="7" t="n">
        <f aca="false">A324/10</f>
        <v>31.9</v>
      </c>
      <c r="C324" s="7" t="n">
        <f aca="false">IF(AND(A324=0,c_TCREEP&gt;0),10*c_TCREEP,IF(AND(A324&lt;=c_TRNGMIN,A324&gt;=c_TRNGMAX,c_TRNGMIN-c_TRNGMAX&lt;&gt;0),-10*c_TMINRN+QUOTIENT((c_TMAXRN-c_TMINRN)*(100-QUOTIENT((A324-c_TRNGMAX)*100,c_TRNGMIN-c_TRNGMAX)),-10),0))</f>
        <v>0</v>
      </c>
      <c r="D324" s="7" t="n">
        <f aca="false">IF(((c_TMAP1IN)-(c_TFWD))=0,(0)+QUOTIENT(((c_TMAP1OUT)-(0)),2),QUOTIENT((((A324)-(c_TFWD))*((c_TMAP1OUT)-(0))+IF(((c_TMAP1OUT)-(0))&gt;=0,1,-1)*QUOTIENT(((c_TMAP1IN)-(c_TFWD)),2)),((c_TMAP1IN)-(c_TFWD)))+(0)+IF(((c_TMAP1OUT)-(0))&gt;=0,IF(IF(o_WRAP=1,MOD(((c_TMAP1IN)-(c_TFWD))*(((A324)-(c_TFWD))*((c_TMAP1OUT)-(0))+IF(((c_TMAP1OUT)-(0))&gt;=0,1,-1)*QUOTIENT(((c_TMAP1IN)-(c_TFWD)),2))+2147483648,4294967296)-2147483648,((c_TMAP1IN)-(c_TFWD))*(((A324)-(c_TFWD))*((c_TMAP1OUT)-(0))+IF(((c_TMAP1OUT)-(0))&gt;=0,1,-1)*QUOTIENT(((c_TMAP1IN)-(c_TFWD)),2)))&lt;0,-1,0),IF(IF(o_WRAP=1,MOD(((c_TMAP1IN)-(c_TFWD))*(((A324)-(c_TFWD))*((c_TMAP1OUT)-(0))+IF(((c_TMAP1OUT)-(0))&gt;=0,1,-1)*QUOTIENT(((c_TMAP1IN)-(c_TFWD)),2))+2147483648,4294967296)-2147483648,((c_TMAP1IN)-(c_TFWD))*(((A324)-(c_TFWD))*((c_TMAP1OUT)-(0))+IF(((c_TMAP1OUT)-(0))&gt;=0,1,-1)*QUOTIENT(((c_TMAP1IN)-(c_TFWD)),2)))&gt;=0,1,0)))</f>
        <v>240</v>
      </c>
      <c r="E324" s="7" t="n">
        <f aca="false">IF(((c_TMAP2IN)-(c_TMAP1IN))=0,(c_TMAP1OUT)+QUOTIENT(((c_TMAP2OUT)-(c_TMAP1OUT)),2),QUOTIENT((((A324)-(c_TMAP1IN))*((c_TMAP2OUT)-(c_TMAP1OUT))+IF(((c_TMAP2OUT)-(c_TMAP1OUT))&gt;=0,1,-1)*QUOTIENT(((c_TMAP2IN)-(c_TMAP1IN)),2)),((c_TMAP2IN)-(c_TMAP1IN)))+(c_TMAP1OUT)+IF(((c_TMAP2OUT)-(c_TMAP1OUT))&gt;=0,IF(IF(o_WRAP=1,MOD(((c_TMAP2IN)-(c_TMAP1IN))*(((A324)-(c_TMAP1IN))*((c_TMAP2OUT)-(c_TMAP1OUT))+IF(((c_TMAP2OUT)-(c_TMAP1OUT))&gt;=0,1,-1)*QUOTIENT(((c_TMAP2IN)-(c_TMAP1IN)),2))+2147483648,4294967296)-2147483648,((c_TMAP2IN)-(c_TMAP1IN))*(((A324)-(c_TMAP1IN))*((c_TMAP2OUT)-(c_TMAP1OUT))+IF(((c_TMAP2OUT)-(c_TMAP1OUT))&gt;=0,1,-1)*QUOTIENT(((c_TMAP2IN)-(c_TMAP1IN)),2)))&lt;0,-1,0),IF(IF(o_WRAP=1,MOD(((c_TMAP2IN)-(c_TMAP1IN))*(((A324)-(c_TMAP1IN))*((c_TMAP2OUT)-(c_TMAP1OUT))+IF(((c_TMAP2OUT)-(c_TMAP1OUT))&gt;=0,1,-1)*QUOTIENT(((c_TMAP2IN)-(c_TMAP1IN)),2))+2147483648,4294967296)-2147483648,((c_TMAP2IN)-(c_TMAP1IN))*(((A324)-(c_TMAP1IN))*((c_TMAP2OUT)-(c_TMAP1OUT))+IF(((c_TMAP2OUT)-(c_TMAP1OUT))&gt;=0,1,-1)*QUOTIENT(((c_TMAP2IN)-(c_TMAP1IN)),2)))&gt;=0,1,0)))</f>
        <v>158</v>
      </c>
      <c r="F324" s="7" t="n">
        <f aca="false">IF(((c_TMAP3IN)-(c_TMAP2IN))=0,(c_TMAP2OUT)+QUOTIENT(((c_TMAP3OUT)-(c_TMAP2OUT)),2),QUOTIENT((((A324)-(c_TMAP2IN))*((c_TMAP3OUT)-(c_TMAP2OUT))+IF(((c_TMAP3OUT)-(c_TMAP2OUT))&gt;=0,1,-1)*QUOTIENT(((c_TMAP3IN)-(c_TMAP2IN)),2)),((c_TMAP3IN)-(c_TMAP2IN)))+(c_TMAP2OUT)+IF(((c_TMAP3OUT)-(c_TMAP2OUT))&gt;=0,IF(IF(o_WRAP=1,MOD(((c_TMAP3IN)-(c_TMAP2IN))*(((A324)-(c_TMAP2IN))*((c_TMAP3OUT)-(c_TMAP2OUT))+IF(((c_TMAP3OUT)-(c_TMAP2OUT))&gt;=0,1,-1)*QUOTIENT(((c_TMAP3IN)-(c_TMAP2IN)),2))+2147483648,4294967296)-2147483648,((c_TMAP3IN)-(c_TMAP2IN))*(((A324)-(c_TMAP2IN))*((c_TMAP3OUT)-(c_TMAP2OUT))+IF(((c_TMAP3OUT)-(c_TMAP2OUT))&gt;=0,1,-1)*QUOTIENT(((c_TMAP3IN)-(c_TMAP2IN)),2)))&lt;0,-1,0),IF(IF(o_WRAP=1,MOD(((c_TMAP3IN)-(c_TMAP2IN))*(((A324)-(c_TMAP2IN))*((c_TMAP3OUT)-(c_TMAP2OUT))+IF(((c_TMAP3OUT)-(c_TMAP2OUT))&gt;=0,1,-1)*QUOTIENT(((c_TMAP3IN)-(c_TMAP2IN)),2))+2147483648,4294967296)-2147483648,((c_TMAP3IN)-(c_TMAP2IN))*(((A324)-(c_TMAP2IN))*((c_TMAP3OUT)-(c_TMAP2OUT))+IF(((c_TMAP3OUT)-(c_TMAP2OUT))&gt;=0,1,-1)*QUOTIENT(((c_TMAP3IN)-(c_TMAP2IN)),2)))&gt;=0,1,0)))</f>
        <v>178</v>
      </c>
      <c r="G324" s="7" t="n">
        <f aca="false">IF(((1000)-(c_TMAP3IN))=0,(c_TMAP3OUT)+QUOTIENT(((1000)-(c_TMAP3OUT)),2),QUOTIENT((((A324)-(c_TMAP3IN))*((1000)-(c_TMAP3OUT))+IF(((1000)-(c_TMAP3OUT))&gt;=0,1,-1)*QUOTIENT(((1000)-(c_TMAP3IN)),2)),((1000)-(c_TMAP3IN)))+(c_TMAP3OUT)+IF(((1000)-(c_TMAP3OUT))&gt;=0,IF(IF(o_WRAP=1,MOD(((1000)-(c_TMAP3IN))*(((A324)-(c_TMAP3IN))*((1000)-(c_TMAP3OUT))+IF(((1000)-(c_TMAP3OUT))&gt;=0,1,-1)*QUOTIENT(((1000)-(c_TMAP3IN)),2))+2147483648,4294967296)-2147483648,((1000)-(c_TMAP3IN))*(((A324)-(c_TMAP3IN))*((1000)-(c_TMAP3OUT))+IF(((1000)-(c_TMAP3OUT))&gt;=0,1,-1)*QUOTIENT(((1000)-(c_TMAP3IN)),2)))&lt;0,-1,0),IF(IF(o_WRAP=1,MOD(((1000)-(c_TMAP3IN))*(((A324)-(c_TMAP3IN))*((1000)-(c_TMAP3OUT))+IF(((1000)-(c_TMAP3OUT))&gt;=0,1,-1)*QUOTIENT(((1000)-(c_TMAP3IN)),2))+2147483648,4294967296)-2147483648,((1000)-(c_TMAP3IN))*(((A324)-(c_TMAP3IN))*((1000)-(c_TMAP3OUT))+IF(((1000)-(c_TMAP3OUT))&gt;=0,1,-1)*QUOTIENT(((1000)-(c_TMAP3IN)),2)))&gt;=0,1,0)))</f>
        <v>162</v>
      </c>
      <c r="H324" s="7" t="str">
        <f aca="false">IF(A324&gt;=c_TFWD,IF(AND(A324&gt;=c_TMAP3IN,c_TMAP3IN&lt;1000),"Seg4 map3-100%",IF(AND(A324&gt;=c_TMAP2IN,c_TMAP3IN&gt;c_TMAP2IN),"Seg3 map2-map3",IF(AND(A324&gt;=c_TMAP1IN,c_TMAP2IN&gt;c_TMAP1IN),"Seg2 map1-map2","Seg1 TFWD-map1"))),IF(AND(A324=0,c_TCREEP&gt;0),"Creep",IF(AND(A324&lt;=c_TRNGMIN,A324&gt;=c_TRNGMAX,c_TRNGMIN-c_TRNGMAX&lt;&gt;0),"Regen ramp","Coast (0)")))</f>
        <v>Seg3 map2-map3</v>
      </c>
      <c r="I324" s="7" t="n">
        <f aca="false">IF(A324&gt;=c_TFWD,IF(AND(A324&gt;=c_TMAP3IN,c_TMAP3IN&lt;1000),G324,IF(AND(A324&gt;=c_TMAP2IN,c_TMAP3IN&gt;c_TMAP2IN),F324,IF(AND(A324&gt;=c_TMAP1IN,c_TMAP2IN&gt;c_TMAP1IN),E324,D324))),C324)</f>
        <v>178</v>
      </c>
      <c r="J324" s="7" t="str">
        <f aca="false">IF(I324&lt;-1090,"TOO LOW",IF(I324&gt;1090,"TOO HIGH",""))</f>
        <v/>
      </c>
      <c r="K324" s="15" t="n">
        <f aca="false">IF(J324&lt;&gt;"",0,IF(I324&gt;979,1000,I324))</f>
        <v>178</v>
      </c>
      <c r="L324" s="7" t="n">
        <f aca="false">K324/10</f>
        <v>17.8</v>
      </c>
    </row>
    <row r="325" customFormat="false" ht="15" hidden="false" customHeight="false" outlineLevel="0" collapsed="false">
      <c r="A325" s="7" t="n">
        <v>320</v>
      </c>
      <c r="B325" s="7" t="n">
        <f aca="false">A325/10</f>
        <v>32</v>
      </c>
      <c r="C325" s="7" t="n">
        <f aca="false">IF(AND(A325=0,c_TCREEP&gt;0),10*c_TCREEP,IF(AND(A325&lt;=c_TRNGMIN,A325&gt;=c_TRNGMAX,c_TRNGMIN-c_TRNGMAX&lt;&gt;0),-10*c_TMINRN+QUOTIENT((c_TMAXRN-c_TMINRN)*(100-QUOTIENT((A325-c_TRNGMAX)*100,c_TRNGMIN-c_TRNGMAX)),-10),0))</f>
        <v>0</v>
      </c>
      <c r="D325" s="7" t="n">
        <f aca="false">IF(((c_TMAP1IN)-(c_TFWD))=0,(0)+QUOTIENT(((c_TMAP1OUT)-(0)),2),QUOTIENT((((A325)-(c_TFWD))*((c_TMAP1OUT)-(0))+IF(((c_TMAP1OUT)-(0))&gt;=0,1,-1)*QUOTIENT(((c_TMAP1IN)-(c_TFWD)),2)),((c_TMAP1IN)-(c_TFWD)))+(0)+IF(((c_TMAP1OUT)-(0))&gt;=0,IF(IF(o_WRAP=1,MOD(((c_TMAP1IN)-(c_TFWD))*(((A325)-(c_TFWD))*((c_TMAP1OUT)-(0))+IF(((c_TMAP1OUT)-(0))&gt;=0,1,-1)*QUOTIENT(((c_TMAP1IN)-(c_TFWD)),2))+2147483648,4294967296)-2147483648,((c_TMAP1IN)-(c_TFWD))*(((A325)-(c_TFWD))*((c_TMAP1OUT)-(0))+IF(((c_TMAP1OUT)-(0))&gt;=0,1,-1)*QUOTIENT(((c_TMAP1IN)-(c_TFWD)),2)))&lt;0,-1,0),IF(IF(o_WRAP=1,MOD(((c_TMAP1IN)-(c_TFWD))*(((A325)-(c_TFWD))*((c_TMAP1OUT)-(0))+IF(((c_TMAP1OUT)-(0))&gt;=0,1,-1)*QUOTIENT(((c_TMAP1IN)-(c_TFWD)),2))+2147483648,4294967296)-2147483648,((c_TMAP1IN)-(c_TFWD))*(((A325)-(c_TFWD))*((c_TMAP1OUT)-(0))+IF(((c_TMAP1OUT)-(0))&gt;=0,1,-1)*QUOTIENT(((c_TMAP1IN)-(c_TFWD)),2)))&gt;=0,1,0)))</f>
        <v>241</v>
      </c>
      <c r="E325" s="7" t="n">
        <f aca="false">IF(((c_TMAP2IN)-(c_TMAP1IN))=0,(c_TMAP1OUT)+QUOTIENT(((c_TMAP2OUT)-(c_TMAP1OUT)),2),QUOTIENT((((A325)-(c_TMAP1IN))*((c_TMAP2OUT)-(c_TMAP1OUT))+IF(((c_TMAP2OUT)-(c_TMAP1OUT))&gt;=0,1,-1)*QUOTIENT(((c_TMAP2IN)-(c_TMAP1IN)),2)),((c_TMAP2IN)-(c_TMAP1IN)))+(c_TMAP1OUT)+IF(((c_TMAP2OUT)-(c_TMAP1OUT))&gt;=0,IF(IF(o_WRAP=1,MOD(((c_TMAP2IN)-(c_TMAP1IN))*(((A325)-(c_TMAP1IN))*((c_TMAP2OUT)-(c_TMAP1OUT))+IF(((c_TMAP2OUT)-(c_TMAP1OUT))&gt;=0,1,-1)*QUOTIENT(((c_TMAP2IN)-(c_TMAP1IN)),2))+2147483648,4294967296)-2147483648,((c_TMAP2IN)-(c_TMAP1IN))*(((A325)-(c_TMAP1IN))*((c_TMAP2OUT)-(c_TMAP1OUT))+IF(((c_TMAP2OUT)-(c_TMAP1OUT))&gt;=0,1,-1)*QUOTIENT(((c_TMAP2IN)-(c_TMAP1IN)),2)))&lt;0,-1,0),IF(IF(o_WRAP=1,MOD(((c_TMAP2IN)-(c_TMAP1IN))*(((A325)-(c_TMAP1IN))*((c_TMAP2OUT)-(c_TMAP1OUT))+IF(((c_TMAP2OUT)-(c_TMAP1OUT))&gt;=0,1,-1)*QUOTIENT(((c_TMAP2IN)-(c_TMAP1IN)),2))+2147483648,4294967296)-2147483648,((c_TMAP2IN)-(c_TMAP1IN))*(((A325)-(c_TMAP1IN))*((c_TMAP2OUT)-(c_TMAP1OUT))+IF(((c_TMAP2OUT)-(c_TMAP1OUT))&gt;=0,1,-1)*QUOTIENT(((c_TMAP2IN)-(c_TMAP1IN)),2)))&gt;=0,1,0)))</f>
        <v>158</v>
      </c>
      <c r="F325" s="7" t="n">
        <f aca="false">IF(((c_TMAP3IN)-(c_TMAP2IN))=0,(c_TMAP2OUT)+QUOTIENT(((c_TMAP3OUT)-(c_TMAP2OUT)),2),QUOTIENT((((A325)-(c_TMAP2IN))*((c_TMAP3OUT)-(c_TMAP2OUT))+IF(((c_TMAP3OUT)-(c_TMAP2OUT))&gt;=0,1,-1)*QUOTIENT(((c_TMAP3IN)-(c_TMAP2IN)),2)),((c_TMAP3IN)-(c_TMAP2IN)))+(c_TMAP2OUT)+IF(((c_TMAP3OUT)-(c_TMAP2OUT))&gt;=0,IF(IF(o_WRAP=1,MOD(((c_TMAP3IN)-(c_TMAP2IN))*(((A325)-(c_TMAP2IN))*((c_TMAP3OUT)-(c_TMAP2OUT))+IF(((c_TMAP3OUT)-(c_TMAP2OUT))&gt;=0,1,-1)*QUOTIENT(((c_TMAP3IN)-(c_TMAP2IN)),2))+2147483648,4294967296)-2147483648,((c_TMAP3IN)-(c_TMAP2IN))*(((A325)-(c_TMAP2IN))*((c_TMAP3OUT)-(c_TMAP2OUT))+IF(((c_TMAP3OUT)-(c_TMAP2OUT))&gt;=0,1,-1)*QUOTIENT(((c_TMAP3IN)-(c_TMAP2IN)),2)))&lt;0,-1,0),IF(IF(o_WRAP=1,MOD(((c_TMAP3IN)-(c_TMAP2IN))*(((A325)-(c_TMAP2IN))*((c_TMAP3OUT)-(c_TMAP2OUT))+IF(((c_TMAP3OUT)-(c_TMAP2OUT))&gt;=0,1,-1)*QUOTIENT(((c_TMAP3IN)-(c_TMAP2IN)),2))+2147483648,4294967296)-2147483648,((c_TMAP3IN)-(c_TMAP2IN))*(((A325)-(c_TMAP2IN))*((c_TMAP3OUT)-(c_TMAP2OUT))+IF(((c_TMAP3OUT)-(c_TMAP2OUT))&gt;=0,1,-1)*QUOTIENT(((c_TMAP3IN)-(c_TMAP2IN)),2)))&gt;=0,1,0)))</f>
        <v>179</v>
      </c>
      <c r="G325" s="7" t="n">
        <f aca="false">IF(((1000)-(c_TMAP3IN))=0,(c_TMAP3OUT)+QUOTIENT(((1000)-(c_TMAP3OUT)),2),QUOTIENT((((A325)-(c_TMAP3IN))*((1000)-(c_TMAP3OUT))+IF(((1000)-(c_TMAP3OUT))&gt;=0,1,-1)*QUOTIENT(((1000)-(c_TMAP3IN)),2)),((1000)-(c_TMAP3IN)))+(c_TMAP3OUT)+IF(((1000)-(c_TMAP3OUT))&gt;=0,IF(IF(o_WRAP=1,MOD(((1000)-(c_TMAP3IN))*(((A325)-(c_TMAP3IN))*((1000)-(c_TMAP3OUT))+IF(((1000)-(c_TMAP3OUT))&gt;=0,1,-1)*QUOTIENT(((1000)-(c_TMAP3IN)),2))+2147483648,4294967296)-2147483648,((1000)-(c_TMAP3IN))*(((A325)-(c_TMAP3IN))*((1000)-(c_TMAP3OUT))+IF(((1000)-(c_TMAP3OUT))&gt;=0,1,-1)*QUOTIENT(((1000)-(c_TMAP3IN)),2)))&lt;0,-1,0),IF(IF(o_WRAP=1,MOD(((1000)-(c_TMAP3IN))*(((A325)-(c_TMAP3IN))*((1000)-(c_TMAP3OUT))+IF(((1000)-(c_TMAP3OUT))&gt;=0,1,-1)*QUOTIENT(((1000)-(c_TMAP3IN)),2))+2147483648,4294967296)-2147483648,((1000)-(c_TMAP3IN))*(((A325)-(c_TMAP3IN))*((1000)-(c_TMAP3OUT))+IF(((1000)-(c_TMAP3OUT))&gt;=0,1,-1)*QUOTIENT(((1000)-(c_TMAP3IN)),2)))&gt;=0,1,0)))</f>
        <v>163</v>
      </c>
      <c r="H325" s="7" t="str">
        <f aca="false">IF(A325&gt;=c_TFWD,IF(AND(A325&gt;=c_TMAP3IN,c_TMAP3IN&lt;1000),"Seg4 map3-100%",IF(AND(A325&gt;=c_TMAP2IN,c_TMAP3IN&gt;c_TMAP2IN),"Seg3 map2-map3",IF(AND(A325&gt;=c_TMAP1IN,c_TMAP2IN&gt;c_TMAP1IN),"Seg2 map1-map2","Seg1 TFWD-map1"))),IF(AND(A325=0,c_TCREEP&gt;0),"Creep",IF(AND(A325&lt;=c_TRNGMIN,A325&gt;=c_TRNGMAX,c_TRNGMIN-c_TRNGMAX&lt;&gt;0),"Regen ramp","Coast (0)")))</f>
        <v>Seg3 map2-map3</v>
      </c>
      <c r="I325" s="7" t="n">
        <f aca="false">IF(A325&gt;=c_TFWD,IF(AND(A325&gt;=c_TMAP3IN,c_TMAP3IN&lt;1000),G325,IF(AND(A325&gt;=c_TMAP2IN,c_TMAP3IN&gt;c_TMAP2IN),F325,IF(AND(A325&gt;=c_TMAP1IN,c_TMAP2IN&gt;c_TMAP1IN),E325,D325))),C325)</f>
        <v>179</v>
      </c>
      <c r="J325" s="7" t="str">
        <f aca="false">IF(I325&lt;-1090,"TOO LOW",IF(I325&gt;1090,"TOO HIGH",""))</f>
        <v/>
      </c>
      <c r="K325" s="15" t="n">
        <f aca="false">IF(J325&lt;&gt;"",0,IF(I325&gt;979,1000,I325))</f>
        <v>179</v>
      </c>
      <c r="L325" s="7" t="n">
        <f aca="false">K325/10</f>
        <v>17.9</v>
      </c>
    </row>
    <row r="326" customFormat="false" ht="15" hidden="false" customHeight="false" outlineLevel="0" collapsed="false">
      <c r="A326" s="7" t="n">
        <v>321</v>
      </c>
      <c r="B326" s="7" t="n">
        <f aca="false">A326/10</f>
        <v>32.1</v>
      </c>
      <c r="C326" s="7" t="n">
        <f aca="false">IF(AND(A326=0,c_TCREEP&gt;0),10*c_TCREEP,IF(AND(A326&lt;=c_TRNGMIN,A326&gt;=c_TRNGMAX,c_TRNGMIN-c_TRNGMAX&lt;&gt;0),-10*c_TMINRN+QUOTIENT((c_TMAXRN-c_TMINRN)*(100-QUOTIENT((A326-c_TRNGMAX)*100,c_TRNGMIN-c_TRNGMAX)),-10),0))</f>
        <v>0</v>
      </c>
      <c r="D326" s="7" t="n">
        <f aca="false">IF(((c_TMAP1IN)-(c_TFWD))=0,(0)+QUOTIENT(((c_TMAP1OUT)-(0)),2),QUOTIENT((((A326)-(c_TFWD))*((c_TMAP1OUT)-(0))+IF(((c_TMAP1OUT)-(0))&gt;=0,1,-1)*QUOTIENT(((c_TMAP1IN)-(c_TFWD)),2)),((c_TMAP1IN)-(c_TFWD)))+(0)+IF(((c_TMAP1OUT)-(0))&gt;=0,IF(IF(o_WRAP=1,MOD(((c_TMAP1IN)-(c_TFWD))*(((A326)-(c_TFWD))*((c_TMAP1OUT)-(0))+IF(((c_TMAP1OUT)-(0))&gt;=0,1,-1)*QUOTIENT(((c_TMAP1IN)-(c_TFWD)),2))+2147483648,4294967296)-2147483648,((c_TMAP1IN)-(c_TFWD))*(((A326)-(c_TFWD))*((c_TMAP1OUT)-(0))+IF(((c_TMAP1OUT)-(0))&gt;=0,1,-1)*QUOTIENT(((c_TMAP1IN)-(c_TFWD)),2)))&lt;0,-1,0),IF(IF(o_WRAP=1,MOD(((c_TMAP1IN)-(c_TFWD))*(((A326)-(c_TFWD))*((c_TMAP1OUT)-(0))+IF(((c_TMAP1OUT)-(0))&gt;=0,1,-1)*QUOTIENT(((c_TMAP1IN)-(c_TFWD)),2))+2147483648,4294967296)-2147483648,((c_TMAP1IN)-(c_TFWD))*(((A326)-(c_TFWD))*((c_TMAP1OUT)-(0))+IF(((c_TMAP1OUT)-(0))&gt;=0,1,-1)*QUOTIENT(((c_TMAP1IN)-(c_TFWD)),2)))&gt;=0,1,0)))</f>
        <v>242</v>
      </c>
      <c r="E326" s="7" t="n">
        <f aca="false">IF(((c_TMAP2IN)-(c_TMAP1IN))=0,(c_TMAP1OUT)+QUOTIENT(((c_TMAP2OUT)-(c_TMAP1OUT)),2),QUOTIENT((((A326)-(c_TMAP1IN))*((c_TMAP2OUT)-(c_TMAP1OUT))+IF(((c_TMAP2OUT)-(c_TMAP1OUT))&gt;=0,1,-1)*QUOTIENT(((c_TMAP2IN)-(c_TMAP1IN)),2)),((c_TMAP2IN)-(c_TMAP1IN)))+(c_TMAP1OUT)+IF(((c_TMAP2OUT)-(c_TMAP1OUT))&gt;=0,IF(IF(o_WRAP=1,MOD(((c_TMAP2IN)-(c_TMAP1IN))*(((A326)-(c_TMAP1IN))*((c_TMAP2OUT)-(c_TMAP1OUT))+IF(((c_TMAP2OUT)-(c_TMAP1OUT))&gt;=0,1,-1)*QUOTIENT(((c_TMAP2IN)-(c_TMAP1IN)),2))+2147483648,4294967296)-2147483648,((c_TMAP2IN)-(c_TMAP1IN))*(((A326)-(c_TMAP1IN))*((c_TMAP2OUT)-(c_TMAP1OUT))+IF(((c_TMAP2OUT)-(c_TMAP1OUT))&gt;=0,1,-1)*QUOTIENT(((c_TMAP2IN)-(c_TMAP1IN)),2)))&lt;0,-1,0),IF(IF(o_WRAP=1,MOD(((c_TMAP2IN)-(c_TMAP1IN))*(((A326)-(c_TMAP1IN))*((c_TMAP2OUT)-(c_TMAP1OUT))+IF(((c_TMAP2OUT)-(c_TMAP1OUT))&gt;=0,1,-1)*QUOTIENT(((c_TMAP2IN)-(c_TMAP1IN)),2))+2147483648,4294967296)-2147483648,((c_TMAP2IN)-(c_TMAP1IN))*(((A326)-(c_TMAP1IN))*((c_TMAP2OUT)-(c_TMAP1OUT))+IF(((c_TMAP2OUT)-(c_TMAP1OUT))&gt;=0,1,-1)*QUOTIENT(((c_TMAP2IN)-(c_TMAP1IN)),2)))&gt;=0,1,0)))</f>
        <v>158</v>
      </c>
      <c r="F326" s="7" t="n">
        <f aca="false">IF(((c_TMAP3IN)-(c_TMAP2IN))=0,(c_TMAP2OUT)+QUOTIENT(((c_TMAP3OUT)-(c_TMAP2OUT)),2),QUOTIENT((((A326)-(c_TMAP2IN))*((c_TMAP3OUT)-(c_TMAP2OUT))+IF(((c_TMAP3OUT)-(c_TMAP2OUT))&gt;=0,1,-1)*QUOTIENT(((c_TMAP3IN)-(c_TMAP2IN)),2)),((c_TMAP3IN)-(c_TMAP2IN)))+(c_TMAP2OUT)+IF(((c_TMAP3OUT)-(c_TMAP2OUT))&gt;=0,IF(IF(o_WRAP=1,MOD(((c_TMAP3IN)-(c_TMAP2IN))*(((A326)-(c_TMAP2IN))*((c_TMAP3OUT)-(c_TMAP2OUT))+IF(((c_TMAP3OUT)-(c_TMAP2OUT))&gt;=0,1,-1)*QUOTIENT(((c_TMAP3IN)-(c_TMAP2IN)),2))+2147483648,4294967296)-2147483648,((c_TMAP3IN)-(c_TMAP2IN))*(((A326)-(c_TMAP2IN))*((c_TMAP3OUT)-(c_TMAP2OUT))+IF(((c_TMAP3OUT)-(c_TMAP2OUT))&gt;=0,1,-1)*QUOTIENT(((c_TMAP3IN)-(c_TMAP2IN)),2)))&lt;0,-1,0),IF(IF(o_WRAP=1,MOD(((c_TMAP3IN)-(c_TMAP2IN))*(((A326)-(c_TMAP2IN))*((c_TMAP3OUT)-(c_TMAP2OUT))+IF(((c_TMAP3OUT)-(c_TMAP2OUT))&gt;=0,1,-1)*QUOTIENT(((c_TMAP3IN)-(c_TMAP2IN)),2))+2147483648,4294967296)-2147483648,((c_TMAP3IN)-(c_TMAP2IN))*(((A326)-(c_TMAP2IN))*((c_TMAP3OUT)-(c_TMAP2OUT))+IF(((c_TMAP3OUT)-(c_TMAP2OUT))&gt;=0,1,-1)*QUOTIENT(((c_TMAP3IN)-(c_TMAP2IN)),2)))&gt;=0,1,0)))</f>
        <v>180</v>
      </c>
      <c r="G326" s="7" t="n">
        <f aca="false">IF(((1000)-(c_TMAP3IN))=0,(c_TMAP3OUT)+QUOTIENT(((1000)-(c_TMAP3OUT)),2),QUOTIENT((((A326)-(c_TMAP3IN))*((1000)-(c_TMAP3OUT))+IF(((1000)-(c_TMAP3OUT))&gt;=0,1,-1)*QUOTIENT(((1000)-(c_TMAP3IN)),2)),((1000)-(c_TMAP3IN)))+(c_TMAP3OUT)+IF(((1000)-(c_TMAP3OUT))&gt;=0,IF(IF(o_WRAP=1,MOD(((1000)-(c_TMAP3IN))*(((A326)-(c_TMAP3IN))*((1000)-(c_TMAP3OUT))+IF(((1000)-(c_TMAP3OUT))&gt;=0,1,-1)*QUOTIENT(((1000)-(c_TMAP3IN)),2))+2147483648,4294967296)-2147483648,((1000)-(c_TMAP3IN))*(((A326)-(c_TMAP3IN))*((1000)-(c_TMAP3OUT))+IF(((1000)-(c_TMAP3OUT))&gt;=0,1,-1)*QUOTIENT(((1000)-(c_TMAP3IN)),2)))&lt;0,-1,0),IF(IF(o_WRAP=1,MOD(((1000)-(c_TMAP3IN))*(((A326)-(c_TMAP3IN))*((1000)-(c_TMAP3OUT))+IF(((1000)-(c_TMAP3OUT))&gt;=0,1,-1)*QUOTIENT(((1000)-(c_TMAP3IN)),2))+2147483648,4294967296)-2147483648,((1000)-(c_TMAP3IN))*(((A326)-(c_TMAP3IN))*((1000)-(c_TMAP3OUT))+IF(((1000)-(c_TMAP3OUT))&gt;=0,1,-1)*QUOTIENT(((1000)-(c_TMAP3IN)),2)))&gt;=0,1,0)))</f>
        <v>164</v>
      </c>
      <c r="H326" s="7" t="str">
        <f aca="false">IF(A326&gt;=c_TFWD,IF(AND(A326&gt;=c_TMAP3IN,c_TMAP3IN&lt;1000),"Seg4 map3-100%",IF(AND(A326&gt;=c_TMAP2IN,c_TMAP3IN&gt;c_TMAP2IN),"Seg3 map2-map3",IF(AND(A326&gt;=c_TMAP1IN,c_TMAP2IN&gt;c_TMAP1IN),"Seg2 map1-map2","Seg1 TFWD-map1"))),IF(AND(A326=0,c_TCREEP&gt;0),"Creep",IF(AND(A326&lt;=c_TRNGMIN,A326&gt;=c_TRNGMAX,c_TRNGMIN-c_TRNGMAX&lt;&gt;0),"Regen ramp","Coast (0)")))</f>
        <v>Seg3 map2-map3</v>
      </c>
      <c r="I326" s="7" t="n">
        <f aca="false">IF(A326&gt;=c_TFWD,IF(AND(A326&gt;=c_TMAP3IN,c_TMAP3IN&lt;1000),G326,IF(AND(A326&gt;=c_TMAP2IN,c_TMAP3IN&gt;c_TMAP2IN),F326,IF(AND(A326&gt;=c_TMAP1IN,c_TMAP2IN&gt;c_TMAP1IN),E326,D326))),C326)</f>
        <v>180</v>
      </c>
      <c r="J326" s="7" t="str">
        <f aca="false">IF(I326&lt;-1090,"TOO LOW",IF(I326&gt;1090,"TOO HIGH",""))</f>
        <v/>
      </c>
      <c r="K326" s="15" t="n">
        <f aca="false">IF(J326&lt;&gt;"",0,IF(I326&gt;979,1000,I326))</f>
        <v>180</v>
      </c>
      <c r="L326" s="7" t="n">
        <f aca="false">K326/10</f>
        <v>18</v>
      </c>
    </row>
    <row r="327" customFormat="false" ht="15" hidden="false" customHeight="false" outlineLevel="0" collapsed="false">
      <c r="A327" s="7" t="n">
        <v>322</v>
      </c>
      <c r="B327" s="7" t="n">
        <f aca="false">A327/10</f>
        <v>32.2</v>
      </c>
      <c r="C327" s="7" t="n">
        <f aca="false">IF(AND(A327=0,c_TCREEP&gt;0),10*c_TCREEP,IF(AND(A327&lt;=c_TRNGMIN,A327&gt;=c_TRNGMAX,c_TRNGMIN-c_TRNGMAX&lt;&gt;0),-10*c_TMINRN+QUOTIENT((c_TMAXRN-c_TMINRN)*(100-QUOTIENT((A327-c_TRNGMAX)*100,c_TRNGMIN-c_TRNGMAX)),-10),0))</f>
        <v>0</v>
      </c>
      <c r="D327" s="7" t="n">
        <f aca="false">IF(((c_TMAP1IN)-(c_TFWD))=0,(0)+QUOTIENT(((c_TMAP1OUT)-(0)),2),QUOTIENT((((A327)-(c_TFWD))*((c_TMAP1OUT)-(0))+IF(((c_TMAP1OUT)-(0))&gt;=0,1,-1)*QUOTIENT(((c_TMAP1IN)-(c_TFWD)),2)),((c_TMAP1IN)-(c_TFWD)))+(0)+IF(((c_TMAP1OUT)-(0))&gt;=0,IF(IF(o_WRAP=1,MOD(((c_TMAP1IN)-(c_TFWD))*(((A327)-(c_TFWD))*((c_TMAP1OUT)-(0))+IF(((c_TMAP1OUT)-(0))&gt;=0,1,-1)*QUOTIENT(((c_TMAP1IN)-(c_TFWD)),2))+2147483648,4294967296)-2147483648,((c_TMAP1IN)-(c_TFWD))*(((A327)-(c_TFWD))*((c_TMAP1OUT)-(0))+IF(((c_TMAP1OUT)-(0))&gt;=0,1,-1)*QUOTIENT(((c_TMAP1IN)-(c_TFWD)),2)))&lt;0,-1,0),IF(IF(o_WRAP=1,MOD(((c_TMAP1IN)-(c_TFWD))*(((A327)-(c_TFWD))*((c_TMAP1OUT)-(0))+IF(((c_TMAP1OUT)-(0))&gt;=0,1,-1)*QUOTIENT(((c_TMAP1IN)-(c_TFWD)),2))+2147483648,4294967296)-2147483648,((c_TMAP1IN)-(c_TFWD))*(((A327)-(c_TFWD))*((c_TMAP1OUT)-(0))+IF(((c_TMAP1OUT)-(0))&gt;=0,1,-1)*QUOTIENT(((c_TMAP1IN)-(c_TFWD)),2)))&gt;=0,1,0)))</f>
        <v>243</v>
      </c>
      <c r="E327" s="7" t="n">
        <f aca="false">IF(((c_TMAP2IN)-(c_TMAP1IN))=0,(c_TMAP1OUT)+QUOTIENT(((c_TMAP2OUT)-(c_TMAP1OUT)),2),QUOTIENT((((A327)-(c_TMAP1IN))*((c_TMAP2OUT)-(c_TMAP1OUT))+IF(((c_TMAP2OUT)-(c_TMAP1OUT))&gt;=0,1,-1)*QUOTIENT(((c_TMAP2IN)-(c_TMAP1IN)),2)),((c_TMAP2IN)-(c_TMAP1IN)))+(c_TMAP1OUT)+IF(((c_TMAP2OUT)-(c_TMAP1OUT))&gt;=0,IF(IF(o_WRAP=1,MOD(((c_TMAP2IN)-(c_TMAP1IN))*(((A327)-(c_TMAP1IN))*((c_TMAP2OUT)-(c_TMAP1OUT))+IF(((c_TMAP2OUT)-(c_TMAP1OUT))&gt;=0,1,-1)*QUOTIENT(((c_TMAP2IN)-(c_TMAP1IN)),2))+2147483648,4294967296)-2147483648,((c_TMAP2IN)-(c_TMAP1IN))*(((A327)-(c_TMAP1IN))*((c_TMAP2OUT)-(c_TMAP1OUT))+IF(((c_TMAP2OUT)-(c_TMAP1OUT))&gt;=0,1,-1)*QUOTIENT(((c_TMAP2IN)-(c_TMAP1IN)),2)))&lt;0,-1,0),IF(IF(o_WRAP=1,MOD(((c_TMAP2IN)-(c_TMAP1IN))*(((A327)-(c_TMAP1IN))*((c_TMAP2OUT)-(c_TMAP1OUT))+IF(((c_TMAP2OUT)-(c_TMAP1OUT))&gt;=0,1,-1)*QUOTIENT(((c_TMAP2IN)-(c_TMAP1IN)),2))+2147483648,4294967296)-2147483648,((c_TMAP2IN)-(c_TMAP1IN))*(((A327)-(c_TMAP1IN))*((c_TMAP2OUT)-(c_TMAP1OUT))+IF(((c_TMAP2OUT)-(c_TMAP1OUT))&gt;=0,1,-1)*QUOTIENT(((c_TMAP2IN)-(c_TMAP1IN)),2)))&gt;=0,1,0)))</f>
        <v>159</v>
      </c>
      <c r="F327" s="7" t="n">
        <f aca="false">IF(((c_TMAP3IN)-(c_TMAP2IN))=0,(c_TMAP2OUT)+QUOTIENT(((c_TMAP3OUT)-(c_TMAP2OUT)),2),QUOTIENT((((A327)-(c_TMAP2IN))*((c_TMAP3OUT)-(c_TMAP2OUT))+IF(((c_TMAP3OUT)-(c_TMAP2OUT))&gt;=0,1,-1)*QUOTIENT(((c_TMAP3IN)-(c_TMAP2IN)),2)),((c_TMAP3IN)-(c_TMAP2IN)))+(c_TMAP2OUT)+IF(((c_TMAP3OUT)-(c_TMAP2OUT))&gt;=0,IF(IF(o_WRAP=1,MOD(((c_TMAP3IN)-(c_TMAP2IN))*(((A327)-(c_TMAP2IN))*((c_TMAP3OUT)-(c_TMAP2OUT))+IF(((c_TMAP3OUT)-(c_TMAP2OUT))&gt;=0,1,-1)*QUOTIENT(((c_TMAP3IN)-(c_TMAP2IN)),2))+2147483648,4294967296)-2147483648,((c_TMAP3IN)-(c_TMAP2IN))*(((A327)-(c_TMAP2IN))*((c_TMAP3OUT)-(c_TMAP2OUT))+IF(((c_TMAP3OUT)-(c_TMAP2OUT))&gt;=0,1,-1)*QUOTIENT(((c_TMAP3IN)-(c_TMAP2IN)),2)))&lt;0,-1,0),IF(IF(o_WRAP=1,MOD(((c_TMAP3IN)-(c_TMAP2IN))*(((A327)-(c_TMAP2IN))*((c_TMAP3OUT)-(c_TMAP2OUT))+IF(((c_TMAP3OUT)-(c_TMAP2OUT))&gt;=0,1,-1)*QUOTIENT(((c_TMAP3IN)-(c_TMAP2IN)),2))+2147483648,4294967296)-2147483648,((c_TMAP3IN)-(c_TMAP2IN))*(((A327)-(c_TMAP2IN))*((c_TMAP3OUT)-(c_TMAP2OUT))+IF(((c_TMAP3OUT)-(c_TMAP2OUT))&gt;=0,1,-1)*QUOTIENT(((c_TMAP3IN)-(c_TMAP2IN)),2)))&gt;=0,1,0)))</f>
        <v>180</v>
      </c>
      <c r="G327" s="7" t="n">
        <f aca="false">IF(((1000)-(c_TMAP3IN))=0,(c_TMAP3OUT)+QUOTIENT(((1000)-(c_TMAP3OUT)),2),QUOTIENT((((A327)-(c_TMAP3IN))*((1000)-(c_TMAP3OUT))+IF(((1000)-(c_TMAP3OUT))&gt;=0,1,-1)*QUOTIENT(((1000)-(c_TMAP3IN)),2)),((1000)-(c_TMAP3IN)))+(c_TMAP3OUT)+IF(((1000)-(c_TMAP3OUT))&gt;=0,IF(IF(o_WRAP=1,MOD(((1000)-(c_TMAP3IN))*(((A327)-(c_TMAP3IN))*((1000)-(c_TMAP3OUT))+IF(((1000)-(c_TMAP3OUT))&gt;=0,1,-1)*QUOTIENT(((1000)-(c_TMAP3IN)),2))+2147483648,4294967296)-2147483648,((1000)-(c_TMAP3IN))*(((A327)-(c_TMAP3IN))*((1000)-(c_TMAP3OUT))+IF(((1000)-(c_TMAP3OUT))&gt;=0,1,-1)*QUOTIENT(((1000)-(c_TMAP3IN)),2)))&lt;0,-1,0),IF(IF(o_WRAP=1,MOD(((1000)-(c_TMAP3IN))*(((A327)-(c_TMAP3IN))*((1000)-(c_TMAP3OUT))+IF(((1000)-(c_TMAP3OUT))&gt;=0,1,-1)*QUOTIENT(((1000)-(c_TMAP3IN)),2))+2147483648,4294967296)-2147483648,((1000)-(c_TMAP3IN))*(((A327)-(c_TMAP3IN))*((1000)-(c_TMAP3OUT))+IF(((1000)-(c_TMAP3OUT))&gt;=0,1,-1)*QUOTIENT(((1000)-(c_TMAP3IN)),2)))&gt;=0,1,0)))</f>
        <v>166</v>
      </c>
      <c r="H327" s="7" t="str">
        <f aca="false">IF(A327&gt;=c_TFWD,IF(AND(A327&gt;=c_TMAP3IN,c_TMAP3IN&lt;1000),"Seg4 map3-100%",IF(AND(A327&gt;=c_TMAP2IN,c_TMAP3IN&gt;c_TMAP2IN),"Seg3 map2-map3",IF(AND(A327&gt;=c_TMAP1IN,c_TMAP2IN&gt;c_TMAP1IN),"Seg2 map1-map2","Seg1 TFWD-map1"))),IF(AND(A327=0,c_TCREEP&gt;0),"Creep",IF(AND(A327&lt;=c_TRNGMIN,A327&gt;=c_TRNGMAX,c_TRNGMIN-c_TRNGMAX&lt;&gt;0),"Regen ramp","Coast (0)")))</f>
        <v>Seg3 map2-map3</v>
      </c>
      <c r="I327" s="7" t="n">
        <f aca="false">IF(A327&gt;=c_TFWD,IF(AND(A327&gt;=c_TMAP3IN,c_TMAP3IN&lt;1000),G327,IF(AND(A327&gt;=c_TMAP2IN,c_TMAP3IN&gt;c_TMAP2IN),F327,IF(AND(A327&gt;=c_TMAP1IN,c_TMAP2IN&gt;c_TMAP1IN),E327,D327))),C327)</f>
        <v>180</v>
      </c>
      <c r="J327" s="7" t="str">
        <f aca="false">IF(I327&lt;-1090,"TOO LOW",IF(I327&gt;1090,"TOO HIGH",""))</f>
        <v/>
      </c>
      <c r="K327" s="15" t="n">
        <f aca="false">IF(J327&lt;&gt;"",0,IF(I327&gt;979,1000,I327))</f>
        <v>180</v>
      </c>
      <c r="L327" s="7" t="n">
        <f aca="false">K327/10</f>
        <v>18</v>
      </c>
    </row>
    <row r="328" customFormat="false" ht="15" hidden="false" customHeight="false" outlineLevel="0" collapsed="false">
      <c r="A328" s="7" t="n">
        <v>323</v>
      </c>
      <c r="B328" s="7" t="n">
        <f aca="false">A328/10</f>
        <v>32.3</v>
      </c>
      <c r="C328" s="7" t="n">
        <f aca="false">IF(AND(A328=0,c_TCREEP&gt;0),10*c_TCREEP,IF(AND(A328&lt;=c_TRNGMIN,A328&gt;=c_TRNGMAX,c_TRNGMIN-c_TRNGMAX&lt;&gt;0),-10*c_TMINRN+QUOTIENT((c_TMAXRN-c_TMINRN)*(100-QUOTIENT((A328-c_TRNGMAX)*100,c_TRNGMIN-c_TRNGMAX)),-10),0))</f>
        <v>0</v>
      </c>
      <c r="D328" s="7" t="n">
        <f aca="false">IF(((c_TMAP1IN)-(c_TFWD))=0,(0)+QUOTIENT(((c_TMAP1OUT)-(0)),2),QUOTIENT((((A328)-(c_TFWD))*((c_TMAP1OUT)-(0))+IF(((c_TMAP1OUT)-(0))&gt;=0,1,-1)*QUOTIENT(((c_TMAP1IN)-(c_TFWD)),2)),((c_TMAP1IN)-(c_TFWD)))+(0)+IF(((c_TMAP1OUT)-(0))&gt;=0,IF(IF(o_WRAP=1,MOD(((c_TMAP1IN)-(c_TFWD))*(((A328)-(c_TFWD))*((c_TMAP1OUT)-(0))+IF(((c_TMAP1OUT)-(0))&gt;=0,1,-1)*QUOTIENT(((c_TMAP1IN)-(c_TFWD)),2))+2147483648,4294967296)-2147483648,((c_TMAP1IN)-(c_TFWD))*(((A328)-(c_TFWD))*((c_TMAP1OUT)-(0))+IF(((c_TMAP1OUT)-(0))&gt;=0,1,-1)*QUOTIENT(((c_TMAP1IN)-(c_TFWD)),2)))&lt;0,-1,0),IF(IF(o_WRAP=1,MOD(((c_TMAP1IN)-(c_TFWD))*(((A328)-(c_TFWD))*((c_TMAP1OUT)-(0))+IF(((c_TMAP1OUT)-(0))&gt;=0,1,-1)*QUOTIENT(((c_TMAP1IN)-(c_TFWD)),2))+2147483648,4294967296)-2147483648,((c_TMAP1IN)-(c_TFWD))*(((A328)-(c_TFWD))*((c_TMAP1OUT)-(0))+IF(((c_TMAP1OUT)-(0))&gt;=0,1,-1)*QUOTIENT(((c_TMAP1IN)-(c_TFWD)),2)))&gt;=0,1,0)))</f>
        <v>243</v>
      </c>
      <c r="E328" s="7" t="n">
        <f aca="false">IF(((c_TMAP2IN)-(c_TMAP1IN))=0,(c_TMAP1OUT)+QUOTIENT(((c_TMAP2OUT)-(c_TMAP1OUT)),2),QUOTIENT((((A328)-(c_TMAP1IN))*((c_TMAP2OUT)-(c_TMAP1OUT))+IF(((c_TMAP2OUT)-(c_TMAP1OUT))&gt;=0,1,-1)*QUOTIENT(((c_TMAP2IN)-(c_TMAP1IN)),2)),((c_TMAP2IN)-(c_TMAP1IN)))+(c_TMAP1OUT)+IF(((c_TMAP2OUT)-(c_TMAP1OUT))&gt;=0,IF(IF(o_WRAP=1,MOD(((c_TMAP2IN)-(c_TMAP1IN))*(((A328)-(c_TMAP1IN))*((c_TMAP2OUT)-(c_TMAP1OUT))+IF(((c_TMAP2OUT)-(c_TMAP1OUT))&gt;=0,1,-1)*QUOTIENT(((c_TMAP2IN)-(c_TMAP1IN)),2))+2147483648,4294967296)-2147483648,((c_TMAP2IN)-(c_TMAP1IN))*(((A328)-(c_TMAP1IN))*((c_TMAP2OUT)-(c_TMAP1OUT))+IF(((c_TMAP2OUT)-(c_TMAP1OUT))&gt;=0,1,-1)*QUOTIENT(((c_TMAP2IN)-(c_TMAP1IN)),2)))&lt;0,-1,0),IF(IF(o_WRAP=1,MOD(((c_TMAP2IN)-(c_TMAP1IN))*(((A328)-(c_TMAP1IN))*((c_TMAP2OUT)-(c_TMAP1OUT))+IF(((c_TMAP2OUT)-(c_TMAP1OUT))&gt;=0,1,-1)*QUOTIENT(((c_TMAP2IN)-(c_TMAP1IN)),2))+2147483648,4294967296)-2147483648,((c_TMAP2IN)-(c_TMAP1IN))*(((A328)-(c_TMAP1IN))*((c_TMAP2OUT)-(c_TMAP1OUT))+IF(((c_TMAP2OUT)-(c_TMAP1OUT))&gt;=0,1,-1)*QUOTIENT(((c_TMAP2IN)-(c_TMAP1IN)),2)))&gt;=0,1,0)))</f>
        <v>159</v>
      </c>
      <c r="F328" s="7" t="n">
        <f aca="false">IF(((c_TMAP3IN)-(c_TMAP2IN))=0,(c_TMAP2OUT)+QUOTIENT(((c_TMAP3OUT)-(c_TMAP2OUT)),2),QUOTIENT((((A328)-(c_TMAP2IN))*((c_TMAP3OUT)-(c_TMAP2OUT))+IF(((c_TMAP3OUT)-(c_TMAP2OUT))&gt;=0,1,-1)*QUOTIENT(((c_TMAP3IN)-(c_TMAP2IN)),2)),((c_TMAP3IN)-(c_TMAP2IN)))+(c_TMAP2OUT)+IF(((c_TMAP3OUT)-(c_TMAP2OUT))&gt;=0,IF(IF(o_WRAP=1,MOD(((c_TMAP3IN)-(c_TMAP2IN))*(((A328)-(c_TMAP2IN))*((c_TMAP3OUT)-(c_TMAP2OUT))+IF(((c_TMAP3OUT)-(c_TMAP2OUT))&gt;=0,1,-1)*QUOTIENT(((c_TMAP3IN)-(c_TMAP2IN)),2))+2147483648,4294967296)-2147483648,((c_TMAP3IN)-(c_TMAP2IN))*(((A328)-(c_TMAP2IN))*((c_TMAP3OUT)-(c_TMAP2OUT))+IF(((c_TMAP3OUT)-(c_TMAP2OUT))&gt;=0,1,-1)*QUOTIENT(((c_TMAP3IN)-(c_TMAP2IN)),2)))&lt;0,-1,0),IF(IF(o_WRAP=1,MOD(((c_TMAP3IN)-(c_TMAP2IN))*(((A328)-(c_TMAP2IN))*((c_TMAP3OUT)-(c_TMAP2OUT))+IF(((c_TMAP3OUT)-(c_TMAP2OUT))&gt;=0,1,-1)*QUOTIENT(((c_TMAP3IN)-(c_TMAP2IN)),2))+2147483648,4294967296)-2147483648,((c_TMAP3IN)-(c_TMAP2IN))*(((A328)-(c_TMAP2IN))*((c_TMAP3OUT)-(c_TMAP2OUT))+IF(((c_TMAP3OUT)-(c_TMAP2OUT))&gt;=0,1,-1)*QUOTIENT(((c_TMAP3IN)-(c_TMAP2IN)),2)))&gt;=0,1,0)))</f>
        <v>181</v>
      </c>
      <c r="G328" s="7" t="n">
        <f aca="false">IF(((1000)-(c_TMAP3IN))=0,(c_TMAP3OUT)+QUOTIENT(((1000)-(c_TMAP3OUT)),2),QUOTIENT((((A328)-(c_TMAP3IN))*((1000)-(c_TMAP3OUT))+IF(((1000)-(c_TMAP3OUT))&gt;=0,1,-1)*QUOTIENT(((1000)-(c_TMAP3IN)),2)),((1000)-(c_TMAP3IN)))+(c_TMAP3OUT)+IF(((1000)-(c_TMAP3OUT))&gt;=0,IF(IF(o_WRAP=1,MOD(((1000)-(c_TMAP3IN))*(((A328)-(c_TMAP3IN))*((1000)-(c_TMAP3OUT))+IF(((1000)-(c_TMAP3OUT))&gt;=0,1,-1)*QUOTIENT(((1000)-(c_TMAP3IN)),2))+2147483648,4294967296)-2147483648,((1000)-(c_TMAP3IN))*(((A328)-(c_TMAP3IN))*((1000)-(c_TMAP3OUT))+IF(((1000)-(c_TMAP3OUT))&gt;=0,1,-1)*QUOTIENT(((1000)-(c_TMAP3IN)),2)))&lt;0,-1,0),IF(IF(o_WRAP=1,MOD(((1000)-(c_TMAP3IN))*(((A328)-(c_TMAP3IN))*((1000)-(c_TMAP3OUT))+IF(((1000)-(c_TMAP3OUT))&gt;=0,1,-1)*QUOTIENT(((1000)-(c_TMAP3IN)),2))+2147483648,4294967296)-2147483648,((1000)-(c_TMAP3IN))*(((A328)-(c_TMAP3IN))*((1000)-(c_TMAP3OUT))+IF(((1000)-(c_TMAP3OUT))&gt;=0,1,-1)*QUOTIENT(((1000)-(c_TMAP3IN)),2)))&gt;=0,1,0)))</f>
        <v>167</v>
      </c>
      <c r="H328" s="7" t="str">
        <f aca="false">IF(A328&gt;=c_TFWD,IF(AND(A328&gt;=c_TMAP3IN,c_TMAP3IN&lt;1000),"Seg4 map3-100%",IF(AND(A328&gt;=c_TMAP2IN,c_TMAP3IN&gt;c_TMAP2IN),"Seg3 map2-map3",IF(AND(A328&gt;=c_TMAP1IN,c_TMAP2IN&gt;c_TMAP1IN),"Seg2 map1-map2","Seg1 TFWD-map1"))),IF(AND(A328=0,c_TCREEP&gt;0),"Creep",IF(AND(A328&lt;=c_TRNGMIN,A328&gt;=c_TRNGMAX,c_TRNGMIN-c_TRNGMAX&lt;&gt;0),"Regen ramp","Coast (0)")))</f>
        <v>Seg3 map2-map3</v>
      </c>
      <c r="I328" s="7" t="n">
        <f aca="false">IF(A328&gt;=c_TFWD,IF(AND(A328&gt;=c_TMAP3IN,c_TMAP3IN&lt;1000),G328,IF(AND(A328&gt;=c_TMAP2IN,c_TMAP3IN&gt;c_TMAP2IN),F328,IF(AND(A328&gt;=c_TMAP1IN,c_TMAP2IN&gt;c_TMAP1IN),E328,D328))),C328)</f>
        <v>181</v>
      </c>
      <c r="J328" s="7" t="str">
        <f aca="false">IF(I328&lt;-1090,"TOO LOW",IF(I328&gt;1090,"TOO HIGH",""))</f>
        <v/>
      </c>
      <c r="K328" s="15" t="n">
        <f aca="false">IF(J328&lt;&gt;"",0,IF(I328&gt;979,1000,I328))</f>
        <v>181</v>
      </c>
      <c r="L328" s="7" t="n">
        <f aca="false">K328/10</f>
        <v>18.1</v>
      </c>
    </row>
    <row r="329" customFormat="false" ht="15" hidden="false" customHeight="false" outlineLevel="0" collapsed="false">
      <c r="A329" s="7" t="n">
        <v>324</v>
      </c>
      <c r="B329" s="7" t="n">
        <f aca="false">A329/10</f>
        <v>32.4</v>
      </c>
      <c r="C329" s="7" t="n">
        <f aca="false">IF(AND(A329=0,c_TCREEP&gt;0),10*c_TCREEP,IF(AND(A329&lt;=c_TRNGMIN,A329&gt;=c_TRNGMAX,c_TRNGMIN-c_TRNGMAX&lt;&gt;0),-10*c_TMINRN+QUOTIENT((c_TMAXRN-c_TMINRN)*(100-QUOTIENT((A329-c_TRNGMAX)*100,c_TRNGMIN-c_TRNGMAX)),-10),0))</f>
        <v>0</v>
      </c>
      <c r="D329" s="7" t="n">
        <f aca="false">IF(((c_TMAP1IN)-(c_TFWD))=0,(0)+QUOTIENT(((c_TMAP1OUT)-(0)),2),QUOTIENT((((A329)-(c_TFWD))*((c_TMAP1OUT)-(0))+IF(((c_TMAP1OUT)-(0))&gt;=0,1,-1)*QUOTIENT(((c_TMAP1IN)-(c_TFWD)),2)),((c_TMAP1IN)-(c_TFWD)))+(0)+IF(((c_TMAP1OUT)-(0))&gt;=0,IF(IF(o_WRAP=1,MOD(((c_TMAP1IN)-(c_TFWD))*(((A329)-(c_TFWD))*((c_TMAP1OUT)-(0))+IF(((c_TMAP1OUT)-(0))&gt;=0,1,-1)*QUOTIENT(((c_TMAP1IN)-(c_TFWD)),2))+2147483648,4294967296)-2147483648,((c_TMAP1IN)-(c_TFWD))*(((A329)-(c_TFWD))*((c_TMAP1OUT)-(0))+IF(((c_TMAP1OUT)-(0))&gt;=0,1,-1)*QUOTIENT(((c_TMAP1IN)-(c_TFWD)),2)))&lt;0,-1,0),IF(IF(o_WRAP=1,MOD(((c_TMAP1IN)-(c_TFWD))*(((A329)-(c_TFWD))*((c_TMAP1OUT)-(0))+IF(((c_TMAP1OUT)-(0))&gt;=0,1,-1)*QUOTIENT(((c_TMAP1IN)-(c_TFWD)),2))+2147483648,4294967296)-2147483648,((c_TMAP1IN)-(c_TFWD))*(((A329)-(c_TFWD))*((c_TMAP1OUT)-(0))+IF(((c_TMAP1OUT)-(0))&gt;=0,1,-1)*QUOTIENT(((c_TMAP1IN)-(c_TFWD)),2)))&gt;=0,1,0)))</f>
        <v>244</v>
      </c>
      <c r="E329" s="7" t="n">
        <f aca="false">IF(((c_TMAP2IN)-(c_TMAP1IN))=0,(c_TMAP1OUT)+QUOTIENT(((c_TMAP2OUT)-(c_TMAP1OUT)),2),QUOTIENT((((A329)-(c_TMAP1IN))*((c_TMAP2OUT)-(c_TMAP1OUT))+IF(((c_TMAP2OUT)-(c_TMAP1OUT))&gt;=0,1,-1)*QUOTIENT(((c_TMAP2IN)-(c_TMAP1IN)),2)),((c_TMAP2IN)-(c_TMAP1IN)))+(c_TMAP1OUT)+IF(((c_TMAP2OUT)-(c_TMAP1OUT))&gt;=0,IF(IF(o_WRAP=1,MOD(((c_TMAP2IN)-(c_TMAP1IN))*(((A329)-(c_TMAP1IN))*((c_TMAP2OUT)-(c_TMAP1OUT))+IF(((c_TMAP2OUT)-(c_TMAP1OUT))&gt;=0,1,-1)*QUOTIENT(((c_TMAP2IN)-(c_TMAP1IN)),2))+2147483648,4294967296)-2147483648,((c_TMAP2IN)-(c_TMAP1IN))*(((A329)-(c_TMAP1IN))*((c_TMAP2OUT)-(c_TMAP1OUT))+IF(((c_TMAP2OUT)-(c_TMAP1OUT))&gt;=0,1,-1)*QUOTIENT(((c_TMAP2IN)-(c_TMAP1IN)),2)))&lt;0,-1,0),IF(IF(o_WRAP=1,MOD(((c_TMAP2IN)-(c_TMAP1IN))*(((A329)-(c_TMAP1IN))*((c_TMAP2OUT)-(c_TMAP1OUT))+IF(((c_TMAP2OUT)-(c_TMAP1OUT))&gt;=0,1,-1)*QUOTIENT(((c_TMAP2IN)-(c_TMAP1IN)),2))+2147483648,4294967296)-2147483648,((c_TMAP2IN)-(c_TMAP1IN))*(((A329)-(c_TMAP1IN))*((c_TMAP2OUT)-(c_TMAP1OUT))+IF(((c_TMAP2OUT)-(c_TMAP1OUT))&gt;=0,1,-1)*QUOTIENT(((c_TMAP2IN)-(c_TMAP1IN)),2)))&gt;=0,1,0)))</f>
        <v>160</v>
      </c>
      <c r="F329" s="7" t="n">
        <f aca="false">IF(((c_TMAP3IN)-(c_TMAP2IN))=0,(c_TMAP2OUT)+QUOTIENT(((c_TMAP3OUT)-(c_TMAP2OUT)),2),QUOTIENT((((A329)-(c_TMAP2IN))*((c_TMAP3OUT)-(c_TMAP2OUT))+IF(((c_TMAP3OUT)-(c_TMAP2OUT))&gt;=0,1,-1)*QUOTIENT(((c_TMAP3IN)-(c_TMAP2IN)),2)),((c_TMAP3IN)-(c_TMAP2IN)))+(c_TMAP2OUT)+IF(((c_TMAP3OUT)-(c_TMAP2OUT))&gt;=0,IF(IF(o_WRAP=1,MOD(((c_TMAP3IN)-(c_TMAP2IN))*(((A329)-(c_TMAP2IN))*((c_TMAP3OUT)-(c_TMAP2OUT))+IF(((c_TMAP3OUT)-(c_TMAP2OUT))&gt;=0,1,-1)*QUOTIENT(((c_TMAP3IN)-(c_TMAP2IN)),2))+2147483648,4294967296)-2147483648,((c_TMAP3IN)-(c_TMAP2IN))*(((A329)-(c_TMAP2IN))*((c_TMAP3OUT)-(c_TMAP2OUT))+IF(((c_TMAP3OUT)-(c_TMAP2OUT))&gt;=0,1,-1)*QUOTIENT(((c_TMAP3IN)-(c_TMAP2IN)),2)))&lt;0,-1,0),IF(IF(o_WRAP=1,MOD(((c_TMAP3IN)-(c_TMAP2IN))*(((A329)-(c_TMAP2IN))*((c_TMAP3OUT)-(c_TMAP2OUT))+IF(((c_TMAP3OUT)-(c_TMAP2OUT))&gt;=0,1,-1)*QUOTIENT(((c_TMAP3IN)-(c_TMAP2IN)),2))+2147483648,4294967296)-2147483648,((c_TMAP3IN)-(c_TMAP2IN))*(((A329)-(c_TMAP2IN))*((c_TMAP3OUT)-(c_TMAP2OUT))+IF(((c_TMAP3OUT)-(c_TMAP2OUT))&gt;=0,1,-1)*QUOTIENT(((c_TMAP3IN)-(c_TMAP2IN)),2)))&gt;=0,1,0)))</f>
        <v>182</v>
      </c>
      <c r="G329" s="7" t="n">
        <f aca="false">IF(((1000)-(c_TMAP3IN))=0,(c_TMAP3OUT)+QUOTIENT(((1000)-(c_TMAP3OUT)),2),QUOTIENT((((A329)-(c_TMAP3IN))*((1000)-(c_TMAP3OUT))+IF(((1000)-(c_TMAP3OUT))&gt;=0,1,-1)*QUOTIENT(((1000)-(c_TMAP3IN)),2)),((1000)-(c_TMAP3IN)))+(c_TMAP3OUT)+IF(((1000)-(c_TMAP3OUT))&gt;=0,IF(IF(o_WRAP=1,MOD(((1000)-(c_TMAP3IN))*(((A329)-(c_TMAP3IN))*((1000)-(c_TMAP3OUT))+IF(((1000)-(c_TMAP3OUT))&gt;=0,1,-1)*QUOTIENT(((1000)-(c_TMAP3IN)),2))+2147483648,4294967296)-2147483648,((1000)-(c_TMAP3IN))*(((A329)-(c_TMAP3IN))*((1000)-(c_TMAP3OUT))+IF(((1000)-(c_TMAP3OUT))&gt;=0,1,-1)*QUOTIENT(((1000)-(c_TMAP3IN)),2)))&lt;0,-1,0),IF(IF(o_WRAP=1,MOD(((1000)-(c_TMAP3IN))*(((A329)-(c_TMAP3IN))*((1000)-(c_TMAP3OUT))+IF(((1000)-(c_TMAP3OUT))&gt;=0,1,-1)*QUOTIENT(((1000)-(c_TMAP3IN)),2))+2147483648,4294967296)-2147483648,((1000)-(c_TMAP3IN))*(((A329)-(c_TMAP3IN))*((1000)-(c_TMAP3OUT))+IF(((1000)-(c_TMAP3OUT))&gt;=0,1,-1)*QUOTIENT(((1000)-(c_TMAP3IN)),2)))&gt;=0,1,0)))</f>
        <v>168</v>
      </c>
      <c r="H329" s="7" t="str">
        <f aca="false">IF(A329&gt;=c_TFWD,IF(AND(A329&gt;=c_TMAP3IN,c_TMAP3IN&lt;1000),"Seg4 map3-100%",IF(AND(A329&gt;=c_TMAP2IN,c_TMAP3IN&gt;c_TMAP2IN),"Seg3 map2-map3",IF(AND(A329&gt;=c_TMAP1IN,c_TMAP2IN&gt;c_TMAP1IN),"Seg2 map1-map2","Seg1 TFWD-map1"))),IF(AND(A329=0,c_TCREEP&gt;0),"Creep",IF(AND(A329&lt;=c_TRNGMIN,A329&gt;=c_TRNGMAX,c_TRNGMIN-c_TRNGMAX&lt;&gt;0),"Regen ramp","Coast (0)")))</f>
        <v>Seg3 map2-map3</v>
      </c>
      <c r="I329" s="7" t="n">
        <f aca="false">IF(A329&gt;=c_TFWD,IF(AND(A329&gt;=c_TMAP3IN,c_TMAP3IN&lt;1000),G329,IF(AND(A329&gt;=c_TMAP2IN,c_TMAP3IN&gt;c_TMAP2IN),F329,IF(AND(A329&gt;=c_TMAP1IN,c_TMAP2IN&gt;c_TMAP1IN),E329,D329))),C329)</f>
        <v>182</v>
      </c>
      <c r="J329" s="7" t="str">
        <f aca="false">IF(I329&lt;-1090,"TOO LOW",IF(I329&gt;1090,"TOO HIGH",""))</f>
        <v/>
      </c>
      <c r="K329" s="15" t="n">
        <f aca="false">IF(J329&lt;&gt;"",0,IF(I329&gt;979,1000,I329))</f>
        <v>182</v>
      </c>
      <c r="L329" s="7" t="n">
        <f aca="false">K329/10</f>
        <v>18.2</v>
      </c>
    </row>
    <row r="330" customFormat="false" ht="15" hidden="false" customHeight="false" outlineLevel="0" collapsed="false">
      <c r="A330" s="7" t="n">
        <v>325</v>
      </c>
      <c r="B330" s="7" t="n">
        <f aca="false">A330/10</f>
        <v>32.5</v>
      </c>
      <c r="C330" s="7" t="n">
        <f aca="false">IF(AND(A330=0,c_TCREEP&gt;0),10*c_TCREEP,IF(AND(A330&lt;=c_TRNGMIN,A330&gt;=c_TRNGMAX,c_TRNGMIN-c_TRNGMAX&lt;&gt;0),-10*c_TMINRN+QUOTIENT((c_TMAXRN-c_TMINRN)*(100-QUOTIENT((A330-c_TRNGMAX)*100,c_TRNGMIN-c_TRNGMAX)),-10),0))</f>
        <v>0</v>
      </c>
      <c r="D330" s="7" t="n">
        <f aca="false">IF(((c_TMAP1IN)-(c_TFWD))=0,(0)+QUOTIENT(((c_TMAP1OUT)-(0)),2),QUOTIENT((((A330)-(c_TFWD))*((c_TMAP1OUT)-(0))+IF(((c_TMAP1OUT)-(0))&gt;=0,1,-1)*QUOTIENT(((c_TMAP1IN)-(c_TFWD)),2)),((c_TMAP1IN)-(c_TFWD)))+(0)+IF(((c_TMAP1OUT)-(0))&gt;=0,IF(IF(o_WRAP=1,MOD(((c_TMAP1IN)-(c_TFWD))*(((A330)-(c_TFWD))*((c_TMAP1OUT)-(0))+IF(((c_TMAP1OUT)-(0))&gt;=0,1,-1)*QUOTIENT(((c_TMAP1IN)-(c_TFWD)),2))+2147483648,4294967296)-2147483648,((c_TMAP1IN)-(c_TFWD))*(((A330)-(c_TFWD))*((c_TMAP1OUT)-(0))+IF(((c_TMAP1OUT)-(0))&gt;=0,1,-1)*QUOTIENT(((c_TMAP1IN)-(c_TFWD)),2)))&lt;0,-1,0),IF(IF(o_WRAP=1,MOD(((c_TMAP1IN)-(c_TFWD))*(((A330)-(c_TFWD))*((c_TMAP1OUT)-(0))+IF(((c_TMAP1OUT)-(0))&gt;=0,1,-1)*QUOTIENT(((c_TMAP1IN)-(c_TFWD)),2))+2147483648,4294967296)-2147483648,((c_TMAP1IN)-(c_TFWD))*(((A330)-(c_TFWD))*((c_TMAP1OUT)-(0))+IF(((c_TMAP1OUT)-(0))&gt;=0,1,-1)*QUOTIENT(((c_TMAP1IN)-(c_TFWD)),2)))&gt;=0,1,0)))</f>
        <v>245</v>
      </c>
      <c r="E330" s="7" t="n">
        <f aca="false">IF(((c_TMAP2IN)-(c_TMAP1IN))=0,(c_TMAP1OUT)+QUOTIENT(((c_TMAP2OUT)-(c_TMAP1OUT)),2),QUOTIENT((((A330)-(c_TMAP1IN))*((c_TMAP2OUT)-(c_TMAP1OUT))+IF(((c_TMAP2OUT)-(c_TMAP1OUT))&gt;=0,1,-1)*QUOTIENT(((c_TMAP2IN)-(c_TMAP1IN)),2)),((c_TMAP2IN)-(c_TMAP1IN)))+(c_TMAP1OUT)+IF(((c_TMAP2OUT)-(c_TMAP1OUT))&gt;=0,IF(IF(o_WRAP=1,MOD(((c_TMAP2IN)-(c_TMAP1IN))*(((A330)-(c_TMAP1IN))*((c_TMAP2OUT)-(c_TMAP1OUT))+IF(((c_TMAP2OUT)-(c_TMAP1OUT))&gt;=0,1,-1)*QUOTIENT(((c_TMAP2IN)-(c_TMAP1IN)),2))+2147483648,4294967296)-2147483648,((c_TMAP2IN)-(c_TMAP1IN))*(((A330)-(c_TMAP1IN))*((c_TMAP2OUT)-(c_TMAP1OUT))+IF(((c_TMAP2OUT)-(c_TMAP1OUT))&gt;=0,1,-1)*QUOTIENT(((c_TMAP2IN)-(c_TMAP1IN)),2)))&lt;0,-1,0),IF(IF(o_WRAP=1,MOD(((c_TMAP2IN)-(c_TMAP1IN))*(((A330)-(c_TMAP1IN))*((c_TMAP2OUT)-(c_TMAP1OUT))+IF(((c_TMAP2OUT)-(c_TMAP1OUT))&gt;=0,1,-1)*QUOTIENT(((c_TMAP2IN)-(c_TMAP1IN)),2))+2147483648,4294967296)-2147483648,((c_TMAP2IN)-(c_TMAP1IN))*(((A330)-(c_TMAP1IN))*((c_TMAP2OUT)-(c_TMAP1OUT))+IF(((c_TMAP2OUT)-(c_TMAP1OUT))&gt;=0,1,-1)*QUOTIENT(((c_TMAP2IN)-(c_TMAP1IN)),2)))&gt;=0,1,0)))</f>
        <v>160</v>
      </c>
      <c r="F330" s="7" t="n">
        <f aca="false">IF(((c_TMAP3IN)-(c_TMAP2IN))=0,(c_TMAP2OUT)+QUOTIENT(((c_TMAP3OUT)-(c_TMAP2OUT)),2),QUOTIENT((((A330)-(c_TMAP2IN))*((c_TMAP3OUT)-(c_TMAP2OUT))+IF(((c_TMAP3OUT)-(c_TMAP2OUT))&gt;=0,1,-1)*QUOTIENT(((c_TMAP3IN)-(c_TMAP2IN)),2)),((c_TMAP3IN)-(c_TMAP2IN)))+(c_TMAP2OUT)+IF(((c_TMAP3OUT)-(c_TMAP2OUT))&gt;=0,IF(IF(o_WRAP=1,MOD(((c_TMAP3IN)-(c_TMAP2IN))*(((A330)-(c_TMAP2IN))*((c_TMAP3OUT)-(c_TMAP2OUT))+IF(((c_TMAP3OUT)-(c_TMAP2OUT))&gt;=0,1,-1)*QUOTIENT(((c_TMAP3IN)-(c_TMAP2IN)),2))+2147483648,4294967296)-2147483648,((c_TMAP3IN)-(c_TMAP2IN))*(((A330)-(c_TMAP2IN))*((c_TMAP3OUT)-(c_TMAP2OUT))+IF(((c_TMAP3OUT)-(c_TMAP2OUT))&gt;=0,1,-1)*QUOTIENT(((c_TMAP3IN)-(c_TMAP2IN)),2)))&lt;0,-1,0),IF(IF(o_WRAP=1,MOD(((c_TMAP3IN)-(c_TMAP2IN))*(((A330)-(c_TMAP2IN))*((c_TMAP3OUT)-(c_TMAP2OUT))+IF(((c_TMAP3OUT)-(c_TMAP2OUT))&gt;=0,1,-1)*QUOTIENT(((c_TMAP3IN)-(c_TMAP2IN)),2))+2147483648,4294967296)-2147483648,((c_TMAP3IN)-(c_TMAP2IN))*(((A330)-(c_TMAP2IN))*((c_TMAP3OUT)-(c_TMAP2OUT))+IF(((c_TMAP3OUT)-(c_TMAP2OUT))&gt;=0,1,-1)*QUOTIENT(((c_TMAP3IN)-(c_TMAP2IN)),2)))&gt;=0,1,0)))</f>
        <v>183</v>
      </c>
      <c r="G330" s="7" t="n">
        <f aca="false">IF(((1000)-(c_TMAP3IN))=0,(c_TMAP3OUT)+QUOTIENT(((1000)-(c_TMAP3OUT)),2),QUOTIENT((((A330)-(c_TMAP3IN))*((1000)-(c_TMAP3OUT))+IF(((1000)-(c_TMAP3OUT))&gt;=0,1,-1)*QUOTIENT(((1000)-(c_TMAP3IN)),2)),((1000)-(c_TMAP3IN)))+(c_TMAP3OUT)+IF(((1000)-(c_TMAP3OUT))&gt;=0,IF(IF(o_WRAP=1,MOD(((1000)-(c_TMAP3IN))*(((A330)-(c_TMAP3IN))*((1000)-(c_TMAP3OUT))+IF(((1000)-(c_TMAP3OUT))&gt;=0,1,-1)*QUOTIENT(((1000)-(c_TMAP3IN)),2))+2147483648,4294967296)-2147483648,((1000)-(c_TMAP3IN))*(((A330)-(c_TMAP3IN))*((1000)-(c_TMAP3OUT))+IF(((1000)-(c_TMAP3OUT))&gt;=0,1,-1)*QUOTIENT(((1000)-(c_TMAP3IN)),2)))&lt;0,-1,0),IF(IF(o_WRAP=1,MOD(((1000)-(c_TMAP3IN))*(((A330)-(c_TMAP3IN))*((1000)-(c_TMAP3OUT))+IF(((1000)-(c_TMAP3OUT))&gt;=0,1,-1)*QUOTIENT(((1000)-(c_TMAP3IN)),2))+2147483648,4294967296)-2147483648,((1000)-(c_TMAP3IN))*(((A330)-(c_TMAP3IN))*((1000)-(c_TMAP3OUT))+IF(((1000)-(c_TMAP3OUT))&gt;=0,1,-1)*QUOTIENT(((1000)-(c_TMAP3IN)),2)))&gt;=0,1,0)))</f>
        <v>169</v>
      </c>
      <c r="H330" s="7" t="str">
        <f aca="false">IF(A330&gt;=c_TFWD,IF(AND(A330&gt;=c_TMAP3IN,c_TMAP3IN&lt;1000),"Seg4 map3-100%",IF(AND(A330&gt;=c_TMAP2IN,c_TMAP3IN&gt;c_TMAP2IN),"Seg3 map2-map3",IF(AND(A330&gt;=c_TMAP1IN,c_TMAP2IN&gt;c_TMAP1IN),"Seg2 map1-map2","Seg1 TFWD-map1"))),IF(AND(A330=0,c_TCREEP&gt;0),"Creep",IF(AND(A330&lt;=c_TRNGMIN,A330&gt;=c_TRNGMAX,c_TRNGMIN-c_TRNGMAX&lt;&gt;0),"Regen ramp","Coast (0)")))</f>
        <v>Seg3 map2-map3</v>
      </c>
      <c r="I330" s="7" t="n">
        <f aca="false">IF(A330&gt;=c_TFWD,IF(AND(A330&gt;=c_TMAP3IN,c_TMAP3IN&lt;1000),G330,IF(AND(A330&gt;=c_TMAP2IN,c_TMAP3IN&gt;c_TMAP2IN),F330,IF(AND(A330&gt;=c_TMAP1IN,c_TMAP2IN&gt;c_TMAP1IN),E330,D330))),C330)</f>
        <v>183</v>
      </c>
      <c r="J330" s="7" t="str">
        <f aca="false">IF(I330&lt;-1090,"TOO LOW",IF(I330&gt;1090,"TOO HIGH",""))</f>
        <v/>
      </c>
      <c r="K330" s="15" t="n">
        <f aca="false">IF(J330&lt;&gt;"",0,IF(I330&gt;979,1000,I330))</f>
        <v>183</v>
      </c>
      <c r="L330" s="7" t="n">
        <f aca="false">K330/10</f>
        <v>18.3</v>
      </c>
    </row>
    <row r="331" customFormat="false" ht="15" hidden="false" customHeight="false" outlineLevel="0" collapsed="false">
      <c r="A331" s="7" t="n">
        <v>326</v>
      </c>
      <c r="B331" s="7" t="n">
        <f aca="false">A331/10</f>
        <v>32.6</v>
      </c>
      <c r="C331" s="7" t="n">
        <f aca="false">IF(AND(A331=0,c_TCREEP&gt;0),10*c_TCREEP,IF(AND(A331&lt;=c_TRNGMIN,A331&gt;=c_TRNGMAX,c_TRNGMIN-c_TRNGMAX&lt;&gt;0),-10*c_TMINRN+QUOTIENT((c_TMAXRN-c_TMINRN)*(100-QUOTIENT((A331-c_TRNGMAX)*100,c_TRNGMIN-c_TRNGMAX)),-10),0))</f>
        <v>0</v>
      </c>
      <c r="D331" s="7" t="n">
        <f aca="false">IF(((c_TMAP1IN)-(c_TFWD))=0,(0)+QUOTIENT(((c_TMAP1OUT)-(0)),2),QUOTIENT((((A331)-(c_TFWD))*((c_TMAP1OUT)-(0))+IF(((c_TMAP1OUT)-(0))&gt;=0,1,-1)*QUOTIENT(((c_TMAP1IN)-(c_TFWD)),2)),((c_TMAP1IN)-(c_TFWD)))+(0)+IF(((c_TMAP1OUT)-(0))&gt;=0,IF(IF(o_WRAP=1,MOD(((c_TMAP1IN)-(c_TFWD))*(((A331)-(c_TFWD))*((c_TMAP1OUT)-(0))+IF(((c_TMAP1OUT)-(0))&gt;=0,1,-1)*QUOTIENT(((c_TMAP1IN)-(c_TFWD)),2))+2147483648,4294967296)-2147483648,((c_TMAP1IN)-(c_TFWD))*(((A331)-(c_TFWD))*((c_TMAP1OUT)-(0))+IF(((c_TMAP1OUT)-(0))&gt;=0,1,-1)*QUOTIENT(((c_TMAP1IN)-(c_TFWD)),2)))&lt;0,-1,0),IF(IF(o_WRAP=1,MOD(((c_TMAP1IN)-(c_TFWD))*(((A331)-(c_TFWD))*((c_TMAP1OUT)-(0))+IF(((c_TMAP1OUT)-(0))&gt;=0,1,-1)*QUOTIENT(((c_TMAP1IN)-(c_TFWD)),2))+2147483648,4294967296)-2147483648,((c_TMAP1IN)-(c_TFWD))*(((A331)-(c_TFWD))*((c_TMAP1OUT)-(0))+IF(((c_TMAP1OUT)-(0))&gt;=0,1,-1)*QUOTIENT(((c_TMAP1IN)-(c_TFWD)),2)))&gt;=0,1,0)))</f>
        <v>246</v>
      </c>
      <c r="E331" s="7" t="n">
        <f aca="false">IF(((c_TMAP2IN)-(c_TMAP1IN))=0,(c_TMAP1OUT)+QUOTIENT(((c_TMAP2OUT)-(c_TMAP1OUT)),2),QUOTIENT((((A331)-(c_TMAP1IN))*((c_TMAP2OUT)-(c_TMAP1OUT))+IF(((c_TMAP2OUT)-(c_TMAP1OUT))&gt;=0,1,-1)*QUOTIENT(((c_TMAP2IN)-(c_TMAP1IN)),2)),((c_TMAP2IN)-(c_TMAP1IN)))+(c_TMAP1OUT)+IF(((c_TMAP2OUT)-(c_TMAP1OUT))&gt;=0,IF(IF(o_WRAP=1,MOD(((c_TMAP2IN)-(c_TMAP1IN))*(((A331)-(c_TMAP1IN))*((c_TMAP2OUT)-(c_TMAP1OUT))+IF(((c_TMAP2OUT)-(c_TMAP1OUT))&gt;=0,1,-1)*QUOTIENT(((c_TMAP2IN)-(c_TMAP1IN)),2))+2147483648,4294967296)-2147483648,((c_TMAP2IN)-(c_TMAP1IN))*(((A331)-(c_TMAP1IN))*((c_TMAP2OUT)-(c_TMAP1OUT))+IF(((c_TMAP2OUT)-(c_TMAP1OUT))&gt;=0,1,-1)*QUOTIENT(((c_TMAP2IN)-(c_TMAP1IN)),2)))&lt;0,-1,0),IF(IF(o_WRAP=1,MOD(((c_TMAP2IN)-(c_TMAP1IN))*(((A331)-(c_TMAP1IN))*((c_TMAP2OUT)-(c_TMAP1OUT))+IF(((c_TMAP2OUT)-(c_TMAP1OUT))&gt;=0,1,-1)*QUOTIENT(((c_TMAP2IN)-(c_TMAP1IN)),2))+2147483648,4294967296)-2147483648,((c_TMAP2IN)-(c_TMAP1IN))*(((A331)-(c_TMAP1IN))*((c_TMAP2OUT)-(c_TMAP1OUT))+IF(((c_TMAP2OUT)-(c_TMAP1OUT))&gt;=0,1,-1)*QUOTIENT(((c_TMAP2IN)-(c_TMAP1IN)),2)))&gt;=0,1,0)))</f>
        <v>160</v>
      </c>
      <c r="F331" s="7" t="n">
        <f aca="false">IF(((c_TMAP3IN)-(c_TMAP2IN))=0,(c_TMAP2OUT)+QUOTIENT(((c_TMAP3OUT)-(c_TMAP2OUT)),2),QUOTIENT((((A331)-(c_TMAP2IN))*((c_TMAP3OUT)-(c_TMAP2OUT))+IF(((c_TMAP3OUT)-(c_TMAP2OUT))&gt;=0,1,-1)*QUOTIENT(((c_TMAP3IN)-(c_TMAP2IN)),2)),((c_TMAP3IN)-(c_TMAP2IN)))+(c_TMAP2OUT)+IF(((c_TMAP3OUT)-(c_TMAP2OUT))&gt;=0,IF(IF(o_WRAP=1,MOD(((c_TMAP3IN)-(c_TMAP2IN))*(((A331)-(c_TMAP2IN))*((c_TMAP3OUT)-(c_TMAP2OUT))+IF(((c_TMAP3OUT)-(c_TMAP2OUT))&gt;=0,1,-1)*QUOTIENT(((c_TMAP3IN)-(c_TMAP2IN)),2))+2147483648,4294967296)-2147483648,((c_TMAP3IN)-(c_TMAP2IN))*(((A331)-(c_TMAP2IN))*((c_TMAP3OUT)-(c_TMAP2OUT))+IF(((c_TMAP3OUT)-(c_TMAP2OUT))&gt;=0,1,-1)*QUOTIENT(((c_TMAP3IN)-(c_TMAP2IN)),2)))&lt;0,-1,0),IF(IF(o_WRAP=1,MOD(((c_TMAP3IN)-(c_TMAP2IN))*(((A331)-(c_TMAP2IN))*((c_TMAP3OUT)-(c_TMAP2OUT))+IF(((c_TMAP3OUT)-(c_TMAP2OUT))&gt;=0,1,-1)*QUOTIENT(((c_TMAP3IN)-(c_TMAP2IN)),2))+2147483648,4294967296)-2147483648,((c_TMAP3IN)-(c_TMAP2IN))*(((A331)-(c_TMAP2IN))*((c_TMAP3OUT)-(c_TMAP2OUT))+IF(((c_TMAP3OUT)-(c_TMAP2OUT))&gt;=0,1,-1)*QUOTIENT(((c_TMAP3IN)-(c_TMAP2IN)),2)))&gt;=0,1,0)))</f>
        <v>183</v>
      </c>
      <c r="G331" s="7" t="n">
        <f aca="false">IF(((1000)-(c_TMAP3IN))=0,(c_TMAP3OUT)+QUOTIENT(((1000)-(c_TMAP3OUT)),2),QUOTIENT((((A331)-(c_TMAP3IN))*((1000)-(c_TMAP3OUT))+IF(((1000)-(c_TMAP3OUT))&gt;=0,1,-1)*QUOTIENT(((1000)-(c_TMAP3IN)),2)),((1000)-(c_TMAP3IN)))+(c_TMAP3OUT)+IF(((1000)-(c_TMAP3OUT))&gt;=0,IF(IF(o_WRAP=1,MOD(((1000)-(c_TMAP3IN))*(((A331)-(c_TMAP3IN))*((1000)-(c_TMAP3OUT))+IF(((1000)-(c_TMAP3OUT))&gt;=0,1,-1)*QUOTIENT(((1000)-(c_TMAP3IN)),2))+2147483648,4294967296)-2147483648,((1000)-(c_TMAP3IN))*(((A331)-(c_TMAP3IN))*((1000)-(c_TMAP3OUT))+IF(((1000)-(c_TMAP3OUT))&gt;=0,1,-1)*QUOTIENT(((1000)-(c_TMAP3IN)),2)))&lt;0,-1,0),IF(IF(o_WRAP=1,MOD(((1000)-(c_TMAP3IN))*(((A331)-(c_TMAP3IN))*((1000)-(c_TMAP3OUT))+IF(((1000)-(c_TMAP3OUT))&gt;=0,1,-1)*QUOTIENT(((1000)-(c_TMAP3IN)),2))+2147483648,4294967296)-2147483648,((1000)-(c_TMAP3IN))*(((A331)-(c_TMAP3IN))*((1000)-(c_TMAP3OUT))+IF(((1000)-(c_TMAP3OUT))&gt;=0,1,-1)*QUOTIENT(((1000)-(c_TMAP3IN)),2)))&gt;=0,1,0)))</f>
        <v>170</v>
      </c>
      <c r="H331" s="7" t="str">
        <f aca="false">IF(A331&gt;=c_TFWD,IF(AND(A331&gt;=c_TMAP3IN,c_TMAP3IN&lt;1000),"Seg4 map3-100%",IF(AND(A331&gt;=c_TMAP2IN,c_TMAP3IN&gt;c_TMAP2IN),"Seg3 map2-map3",IF(AND(A331&gt;=c_TMAP1IN,c_TMAP2IN&gt;c_TMAP1IN),"Seg2 map1-map2","Seg1 TFWD-map1"))),IF(AND(A331=0,c_TCREEP&gt;0),"Creep",IF(AND(A331&lt;=c_TRNGMIN,A331&gt;=c_TRNGMAX,c_TRNGMIN-c_TRNGMAX&lt;&gt;0),"Regen ramp","Coast (0)")))</f>
        <v>Seg3 map2-map3</v>
      </c>
      <c r="I331" s="7" t="n">
        <f aca="false">IF(A331&gt;=c_TFWD,IF(AND(A331&gt;=c_TMAP3IN,c_TMAP3IN&lt;1000),G331,IF(AND(A331&gt;=c_TMAP2IN,c_TMAP3IN&gt;c_TMAP2IN),F331,IF(AND(A331&gt;=c_TMAP1IN,c_TMAP2IN&gt;c_TMAP1IN),E331,D331))),C331)</f>
        <v>183</v>
      </c>
      <c r="J331" s="7" t="str">
        <f aca="false">IF(I331&lt;-1090,"TOO LOW",IF(I331&gt;1090,"TOO HIGH",""))</f>
        <v/>
      </c>
      <c r="K331" s="15" t="n">
        <f aca="false">IF(J331&lt;&gt;"",0,IF(I331&gt;979,1000,I331))</f>
        <v>183</v>
      </c>
      <c r="L331" s="7" t="n">
        <f aca="false">K331/10</f>
        <v>18.3</v>
      </c>
    </row>
    <row r="332" customFormat="false" ht="15" hidden="false" customHeight="false" outlineLevel="0" collapsed="false">
      <c r="A332" s="7" t="n">
        <v>327</v>
      </c>
      <c r="B332" s="7" t="n">
        <f aca="false">A332/10</f>
        <v>32.7</v>
      </c>
      <c r="C332" s="7" t="n">
        <f aca="false">IF(AND(A332=0,c_TCREEP&gt;0),10*c_TCREEP,IF(AND(A332&lt;=c_TRNGMIN,A332&gt;=c_TRNGMAX,c_TRNGMIN-c_TRNGMAX&lt;&gt;0),-10*c_TMINRN+QUOTIENT((c_TMAXRN-c_TMINRN)*(100-QUOTIENT((A332-c_TRNGMAX)*100,c_TRNGMIN-c_TRNGMAX)),-10),0))</f>
        <v>0</v>
      </c>
      <c r="D332" s="7" t="n">
        <f aca="false">IF(((c_TMAP1IN)-(c_TFWD))=0,(0)+QUOTIENT(((c_TMAP1OUT)-(0)),2),QUOTIENT((((A332)-(c_TFWD))*((c_TMAP1OUT)-(0))+IF(((c_TMAP1OUT)-(0))&gt;=0,1,-1)*QUOTIENT(((c_TMAP1IN)-(c_TFWD)),2)),((c_TMAP1IN)-(c_TFWD)))+(0)+IF(((c_TMAP1OUT)-(0))&gt;=0,IF(IF(o_WRAP=1,MOD(((c_TMAP1IN)-(c_TFWD))*(((A332)-(c_TFWD))*((c_TMAP1OUT)-(0))+IF(((c_TMAP1OUT)-(0))&gt;=0,1,-1)*QUOTIENT(((c_TMAP1IN)-(c_TFWD)),2))+2147483648,4294967296)-2147483648,((c_TMAP1IN)-(c_TFWD))*(((A332)-(c_TFWD))*((c_TMAP1OUT)-(0))+IF(((c_TMAP1OUT)-(0))&gt;=0,1,-1)*QUOTIENT(((c_TMAP1IN)-(c_TFWD)),2)))&lt;0,-1,0),IF(IF(o_WRAP=1,MOD(((c_TMAP1IN)-(c_TFWD))*(((A332)-(c_TFWD))*((c_TMAP1OUT)-(0))+IF(((c_TMAP1OUT)-(0))&gt;=0,1,-1)*QUOTIENT(((c_TMAP1IN)-(c_TFWD)),2))+2147483648,4294967296)-2147483648,((c_TMAP1IN)-(c_TFWD))*(((A332)-(c_TFWD))*((c_TMAP1OUT)-(0))+IF(((c_TMAP1OUT)-(0))&gt;=0,1,-1)*QUOTIENT(((c_TMAP1IN)-(c_TFWD)),2)))&gt;=0,1,0)))</f>
        <v>247</v>
      </c>
      <c r="E332" s="7" t="n">
        <f aca="false">IF(((c_TMAP2IN)-(c_TMAP1IN))=0,(c_TMAP1OUT)+QUOTIENT(((c_TMAP2OUT)-(c_TMAP1OUT)),2),QUOTIENT((((A332)-(c_TMAP1IN))*((c_TMAP2OUT)-(c_TMAP1OUT))+IF(((c_TMAP2OUT)-(c_TMAP1OUT))&gt;=0,1,-1)*QUOTIENT(((c_TMAP2IN)-(c_TMAP1IN)),2)),((c_TMAP2IN)-(c_TMAP1IN)))+(c_TMAP1OUT)+IF(((c_TMAP2OUT)-(c_TMAP1OUT))&gt;=0,IF(IF(o_WRAP=1,MOD(((c_TMAP2IN)-(c_TMAP1IN))*(((A332)-(c_TMAP1IN))*((c_TMAP2OUT)-(c_TMAP1OUT))+IF(((c_TMAP2OUT)-(c_TMAP1OUT))&gt;=0,1,-1)*QUOTIENT(((c_TMAP2IN)-(c_TMAP1IN)),2))+2147483648,4294967296)-2147483648,((c_TMAP2IN)-(c_TMAP1IN))*(((A332)-(c_TMAP1IN))*((c_TMAP2OUT)-(c_TMAP1OUT))+IF(((c_TMAP2OUT)-(c_TMAP1OUT))&gt;=0,1,-1)*QUOTIENT(((c_TMAP2IN)-(c_TMAP1IN)),2)))&lt;0,-1,0),IF(IF(o_WRAP=1,MOD(((c_TMAP2IN)-(c_TMAP1IN))*(((A332)-(c_TMAP1IN))*((c_TMAP2OUT)-(c_TMAP1OUT))+IF(((c_TMAP2OUT)-(c_TMAP1OUT))&gt;=0,1,-1)*QUOTIENT(((c_TMAP2IN)-(c_TMAP1IN)),2))+2147483648,4294967296)-2147483648,((c_TMAP2IN)-(c_TMAP1IN))*(((A332)-(c_TMAP1IN))*((c_TMAP2OUT)-(c_TMAP1OUT))+IF(((c_TMAP2OUT)-(c_TMAP1OUT))&gt;=0,1,-1)*QUOTIENT(((c_TMAP2IN)-(c_TMAP1IN)),2)))&gt;=0,1,0)))</f>
        <v>161</v>
      </c>
      <c r="F332" s="7" t="n">
        <f aca="false">IF(((c_TMAP3IN)-(c_TMAP2IN))=0,(c_TMAP2OUT)+QUOTIENT(((c_TMAP3OUT)-(c_TMAP2OUT)),2),QUOTIENT((((A332)-(c_TMAP2IN))*((c_TMAP3OUT)-(c_TMAP2OUT))+IF(((c_TMAP3OUT)-(c_TMAP2OUT))&gt;=0,1,-1)*QUOTIENT(((c_TMAP3IN)-(c_TMAP2IN)),2)),((c_TMAP3IN)-(c_TMAP2IN)))+(c_TMAP2OUT)+IF(((c_TMAP3OUT)-(c_TMAP2OUT))&gt;=0,IF(IF(o_WRAP=1,MOD(((c_TMAP3IN)-(c_TMAP2IN))*(((A332)-(c_TMAP2IN))*((c_TMAP3OUT)-(c_TMAP2OUT))+IF(((c_TMAP3OUT)-(c_TMAP2OUT))&gt;=0,1,-1)*QUOTIENT(((c_TMAP3IN)-(c_TMAP2IN)),2))+2147483648,4294967296)-2147483648,((c_TMAP3IN)-(c_TMAP2IN))*(((A332)-(c_TMAP2IN))*((c_TMAP3OUT)-(c_TMAP2OUT))+IF(((c_TMAP3OUT)-(c_TMAP2OUT))&gt;=0,1,-1)*QUOTIENT(((c_TMAP3IN)-(c_TMAP2IN)),2)))&lt;0,-1,0),IF(IF(o_WRAP=1,MOD(((c_TMAP3IN)-(c_TMAP2IN))*(((A332)-(c_TMAP2IN))*((c_TMAP3OUT)-(c_TMAP2OUT))+IF(((c_TMAP3OUT)-(c_TMAP2OUT))&gt;=0,1,-1)*QUOTIENT(((c_TMAP3IN)-(c_TMAP2IN)),2))+2147483648,4294967296)-2147483648,((c_TMAP3IN)-(c_TMAP2IN))*(((A332)-(c_TMAP2IN))*((c_TMAP3OUT)-(c_TMAP2OUT))+IF(((c_TMAP3OUT)-(c_TMAP2OUT))&gt;=0,1,-1)*QUOTIENT(((c_TMAP3IN)-(c_TMAP2IN)),2)))&gt;=0,1,0)))</f>
        <v>184</v>
      </c>
      <c r="G332" s="7" t="n">
        <f aca="false">IF(((1000)-(c_TMAP3IN))=0,(c_TMAP3OUT)+QUOTIENT(((1000)-(c_TMAP3OUT)),2),QUOTIENT((((A332)-(c_TMAP3IN))*((1000)-(c_TMAP3OUT))+IF(((1000)-(c_TMAP3OUT))&gt;=0,1,-1)*QUOTIENT(((1000)-(c_TMAP3IN)),2)),((1000)-(c_TMAP3IN)))+(c_TMAP3OUT)+IF(((1000)-(c_TMAP3OUT))&gt;=0,IF(IF(o_WRAP=1,MOD(((1000)-(c_TMAP3IN))*(((A332)-(c_TMAP3IN))*((1000)-(c_TMAP3OUT))+IF(((1000)-(c_TMAP3OUT))&gt;=0,1,-1)*QUOTIENT(((1000)-(c_TMAP3IN)),2))+2147483648,4294967296)-2147483648,((1000)-(c_TMAP3IN))*(((A332)-(c_TMAP3IN))*((1000)-(c_TMAP3OUT))+IF(((1000)-(c_TMAP3OUT))&gt;=0,1,-1)*QUOTIENT(((1000)-(c_TMAP3IN)),2)))&lt;0,-1,0),IF(IF(o_WRAP=1,MOD(((1000)-(c_TMAP3IN))*(((A332)-(c_TMAP3IN))*((1000)-(c_TMAP3OUT))+IF(((1000)-(c_TMAP3OUT))&gt;=0,1,-1)*QUOTIENT(((1000)-(c_TMAP3IN)),2))+2147483648,4294967296)-2147483648,((1000)-(c_TMAP3IN))*(((A332)-(c_TMAP3IN))*((1000)-(c_TMAP3OUT))+IF(((1000)-(c_TMAP3OUT))&gt;=0,1,-1)*QUOTIENT(((1000)-(c_TMAP3IN)),2)))&gt;=0,1,0)))</f>
        <v>172</v>
      </c>
      <c r="H332" s="7" t="str">
        <f aca="false">IF(A332&gt;=c_TFWD,IF(AND(A332&gt;=c_TMAP3IN,c_TMAP3IN&lt;1000),"Seg4 map3-100%",IF(AND(A332&gt;=c_TMAP2IN,c_TMAP3IN&gt;c_TMAP2IN),"Seg3 map2-map3",IF(AND(A332&gt;=c_TMAP1IN,c_TMAP2IN&gt;c_TMAP1IN),"Seg2 map1-map2","Seg1 TFWD-map1"))),IF(AND(A332=0,c_TCREEP&gt;0),"Creep",IF(AND(A332&lt;=c_TRNGMIN,A332&gt;=c_TRNGMAX,c_TRNGMIN-c_TRNGMAX&lt;&gt;0),"Regen ramp","Coast (0)")))</f>
        <v>Seg3 map2-map3</v>
      </c>
      <c r="I332" s="7" t="n">
        <f aca="false">IF(A332&gt;=c_TFWD,IF(AND(A332&gt;=c_TMAP3IN,c_TMAP3IN&lt;1000),G332,IF(AND(A332&gt;=c_TMAP2IN,c_TMAP3IN&gt;c_TMAP2IN),F332,IF(AND(A332&gt;=c_TMAP1IN,c_TMAP2IN&gt;c_TMAP1IN),E332,D332))),C332)</f>
        <v>184</v>
      </c>
      <c r="J332" s="7" t="str">
        <f aca="false">IF(I332&lt;-1090,"TOO LOW",IF(I332&gt;1090,"TOO HIGH",""))</f>
        <v/>
      </c>
      <c r="K332" s="15" t="n">
        <f aca="false">IF(J332&lt;&gt;"",0,IF(I332&gt;979,1000,I332))</f>
        <v>184</v>
      </c>
      <c r="L332" s="7" t="n">
        <f aca="false">K332/10</f>
        <v>18.4</v>
      </c>
    </row>
    <row r="333" customFormat="false" ht="15" hidden="false" customHeight="false" outlineLevel="0" collapsed="false">
      <c r="A333" s="7" t="n">
        <v>328</v>
      </c>
      <c r="B333" s="7" t="n">
        <f aca="false">A333/10</f>
        <v>32.8</v>
      </c>
      <c r="C333" s="7" t="n">
        <f aca="false">IF(AND(A333=0,c_TCREEP&gt;0),10*c_TCREEP,IF(AND(A333&lt;=c_TRNGMIN,A333&gt;=c_TRNGMAX,c_TRNGMIN-c_TRNGMAX&lt;&gt;0),-10*c_TMINRN+QUOTIENT((c_TMAXRN-c_TMINRN)*(100-QUOTIENT((A333-c_TRNGMAX)*100,c_TRNGMIN-c_TRNGMAX)),-10),0))</f>
        <v>0</v>
      </c>
      <c r="D333" s="7" t="n">
        <f aca="false">IF(((c_TMAP1IN)-(c_TFWD))=0,(0)+QUOTIENT(((c_TMAP1OUT)-(0)),2),QUOTIENT((((A333)-(c_TFWD))*((c_TMAP1OUT)-(0))+IF(((c_TMAP1OUT)-(0))&gt;=0,1,-1)*QUOTIENT(((c_TMAP1IN)-(c_TFWD)),2)),((c_TMAP1IN)-(c_TFWD)))+(0)+IF(((c_TMAP1OUT)-(0))&gt;=0,IF(IF(o_WRAP=1,MOD(((c_TMAP1IN)-(c_TFWD))*(((A333)-(c_TFWD))*((c_TMAP1OUT)-(0))+IF(((c_TMAP1OUT)-(0))&gt;=0,1,-1)*QUOTIENT(((c_TMAP1IN)-(c_TFWD)),2))+2147483648,4294967296)-2147483648,((c_TMAP1IN)-(c_TFWD))*(((A333)-(c_TFWD))*((c_TMAP1OUT)-(0))+IF(((c_TMAP1OUT)-(0))&gt;=0,1,-1)*QUOTIENT(((c_TMAP1IN)-(c_TFWD)),2)))&lt;0,-1,0),IF(IF(o_WRAP=1,MOD(((c_TMAP1IN)-(c_TFWD))*(((A333)-(c_TFWD))*((c_TMAP1OUT)-(0))+IF(((c_TMAP1OUT)-(0))&gt;=0,1,-1)*QUOTIENT(((c_TMAP1IN)-(c_TFWD)),2))+2147483648,4294967296)-2147483648,((c_TMAP1IN)-(c_TFWD))*(((A333)-(c_TFWD))*((c_TMAP1OUT)-(0))+IF(((c_TMAP1OUT)-(0))&gt;=0,1,-1)*QUOTIENT(((c_TMAP1IN)-(c_TFWD)),2)))&gt;=0,1,0)))</f>
        <v>247</v>
      </c>
      <c r="E333" s="7" t="n">
        <f aca="false">IF(((c_TMAP2IN)-(c_TMAP1IN))=0,(c_TMAP1OUT)+QUOTIENT(((c_TMAP2OUT)-(c_TMAP1OUT)),2),QUOTIENT((((A333)-(c_TMAP1IN))*((c_TMAP2OUT)-(c_TMAP1OUT))+IF(((c_TMAP2OUT)-(c_TMAP1OUT))&gt;=0,1,-1)*QUOTIENT(((c_TMAP2IN)-(c_TMAP1IN)),2)),((c_TMAP2IN)-(c_TMAP1IN)))+(c_TMAP1OUT)+IF(((c_TMAP2OUT)-(c_TMAP1OUT))&gt;=0,IF(IF(o_WRAP=1,MOD(((c_TMAP2IN)-(c_TMAP1IN))*(((A333)-(c_TMAP1IN))*((c_TMAP2OUT)-(c_TMAP1OUT))+IF(((c_TMAP2OUT)-(c_TMAP1OUT))&gt;=0,1,-1)*QUOTIENT(((c_TMAP2IN)-(c_TMAP1IN)),2))+2147483648,4294967296)-2147483648,((c_TMAP2IN)-(c_TMAP1IN))*(((A333)-(c_TMAP1IN))*((c_TMAP2OUT)-(c_TMAP1OUT))+IF(((c_TMAP2OUT)-(c_TMAP1OUT))&gt;=0,1,-1)*QUOTIENT(((c_TMAP2IN)-(c_TMAP1IN)),2)))&lt;0,-1,0),IF(IF(o_WRAP=1,MOD(((c_TMAP2IN)-(c_TMAP1IN))*(((A333)-(c_TMAP1IN))*((c_TMAP2OUT)-(c_TMAP1OUT))+IF(((c_TMAP2OUT)-(c_TMAP1OUT))&gt;=0,1,-1)*QUOTIENT(((c_TMAP2IN)-(c_TMAP1IN)),2))+2147483648,4294967296)-2147483648,((c_TMAP2IN)-(c_TMAP1IN))*(((A333)-(c_TMAP1IN))*((c_TMAP2OUT)-(c_TMAP1OUT))+IF(((c_TMAP2OUT)-(c_TMAP1OUT))&gt;=0,1,-1)*QUOTIENT(((c_TMAP2IN)-(c_TMAP1IN)),2)))&gt;=0,1,0)))</f>
        <v>161</v>
      </c>
      <c r="F333" s="7" t="n">
        <f aca="false">IF(((c_TMAP3IN)-(c_TMAP2IN))=0,(c_TMAP2OUT)+QUOTIENT(((c_TMAP3OUT)-(c_TMAP2OUT)),2),QUOTIENT((((A333)-(c_TMAP2IN))*((c_TMAP3OUT)-(c_TMAP2OUT))+IF(((c_TMAP3OUT)-(c_TMAP2OUT))&gt;=0,1,-1)*QUOTIENT(((c_TMAP3IN)-(c_TMAP2IN)),2)),((c_TMAP3IN)-(c_TMAP2IN)))+(c_TMAP2OUT)+IF(((c_TMAP3OUT)-(c_TMAP2OUT))&gt;=0,IF(IF(o_WRAP=1,MOD(((c_TMAP3IN)-(c_TMAP2IN))*(((A333)-(c_TMAP2IN))*((c_TMAP3OUT)-(c_TMAP2OUT))+IF(((c_TMAP3OUT)-(c_TMAP2OUT))&gt;=0,1,-1)*QUOTIENT(((c_TMAP3IN)-(c_TMAP2IN)),2))+2147483648,4294967296)-2147483648,((c_TMAP3IN)-(c_TMAP2IN))*(((A333)-(c_TMAP2IN))*((c_TMAP3OUT)-(c_TMAP2OUT))+IF(((c_TMAP3OUT)-(c_TMAP2OUT))&gt;=0,1,-1)*QUOTIENT(((c_TMAP3IN)-(c_TMAP2IN)),2)))&lt;0,-1,0),IF(IF(o_WRAP=1,MOD(((c_TMAP3IN)-(c_TMAP2IN))*(((A333)-(c_TMAP2IN))*((c_TMAP3OUT)-(c_TMAP2OUT))+IF(((c_TMAP3OUT)-(c_TMAP2OUT))&gt;=0,1,-1)*QUOTIENT(((c_TMAP3IN)-(c_TMAP2IN)),2))+2147483648,4294967296)-2147483648,((c_TMAP3IN)-(c_TMAP2IN))*(((A333)-(c_TMAP2IN))*((c_TMAP3OUT)-(c_TMAP2OUT))+IF(((c_TMAP3OUT)-(c_TMAP2OUT))&gt;=0,1,-1)*QUOTIENT(((c_TMAP3IN)-(c_TMAP2IN)),2)))&gt;=0,1,0)))</f>
        <v>185</v>
      </c>
      <c r="G333" s="7" t="n">
        <f aca="false">IF(((1000)-(c_TMAP3IN))=0,(c_TMAP3OUT)+QUOTIENT(((1000)-(c_TMAP3OUT)),2),QUOTIENT((((A333)-(c_TMAP3IN))*((1000)-(c_TMAP3OUT))+IF(((1000)-(c_TMAP3OUT))&gt;=0,1,-1)*QUOTIENT(((1000)-(c_TMAP3IN)),2)),((1000)-(c_TMAP3IN)))+(c_TMAP3OUT)+IF(((1000)-(c_TMAP3OUT))&gt;=0,IF(IF(o_WRAP=1,MOD(((1000)-(c_TMAP3IN))*(((A333)-(c_TMAP3IN))*((1000)-(c_TMAP3OUT))+IF(((1000)-(c_TMAP3OUT))&gt;=0,1,-1)*QUOTIENT(((1000)-(c_TMAP3IN)),2))+2147483648,4294967296)-2147483648,((1000)-(c_TMAP3IN))*(((A333)-(c_TMAP3IN))*((1000)-(c_TMAP3OUT))+IF(((1000)-(c_TMAP3OUT))&gt;=0,1,-1)*QUOTIENT(((1000)-(c_TMAP3IN)),2)))&lt;0,-1,0),IF(IF(o_WRAP=1,MOD(((1000)-(c_TMAP3IN))*(((A333)-(c_TMAP3IN))*((1000)-(c_TMAP3OUT))+IF(((1000)-(c_TMAP3OUT))&gt;=0,1,-1)*QUOTIENT(((1000)-(c_TMAP3IN)),2))+2147483648,4294967296)-2147483648,((1000)-(c_TMAP3IN))*(((A333)-(c_TMAP3IN))*((1000)-(c_TMAP3OUT))+IF(((1000)-(c_TMAP3OUT))&gt;=0,1,-1)*QUOTIENT(((1000)-(c_TMAP3IN)),2)))&gt;=0,1,0)))</f>
        <v>173</v>
      </c>
      <c r="H333" s="7" t="str">
        <f aca="false">IF(A333&gt;=c_TFWD,IF(AND(A333&gt;=c_TMAP3IN,c_TMAP3IN&lt;1000),"Seg4 map3-100%",IF(AND(A333&gt;=c_TMAP2IN,c_TMAP3IN&gt;c_TMAP2IN),"Seg3 map2-map3",IF(AND(A333&gt;=c_TMAP1IN,c_TMAP2IN&gt;c_TMAP1IN),"Seg2 map1-map2","Seg1 TFWD-map1"))),IF(AND(A333=0,c_TCREEP&gt;0),"Creep",IF(AND(A333&lt;=c_TRNGMIN,A333&gt;=c_TRNGMAX,c_TRNGMIN-c_TRNGMAX&lt;&gt;0),"Regen ramp","Coast (0)")))</f>
        <v>Seg3 map2-map3</v>
      </c>
      <c r="I333" s="7" t="n">
        <f aca="false">IF(A333&gt;=c_TFWD,IF(AND(A333&gt;=c_TMAP3IN,c_TMAP3IN&lt;1000),G333,IF(AND(A333&gt;=c_TMAP2IN,c_TMAP3IN&gt;c_TMAP2IN),F333,IF(AND(A333&gt;=c_TMAP1IN,c_TMAP2IN&gt;c_TMAP1IN),E333,D333))),C333)</f>
        <v>185</v>
      </c>
      <c r="J333" s="7" t="str">
        <f aca="false">IF(I333&lt;-1090,"TOO LOW",IF(I333&gt;1090,"TOO HIGH",""))</f>
        <v/>
      </c>
      <c r="K333" s="15" t="n">
        <f aca="false">IF(J333&lt;&gt;"",0,IF(I333&gt;979,1000,I333))</f>
        <v>185</v>
      </c>
      <c r="L333" s="7" t="n">
        <f aca="false">K333/10</f>
        <v>18.5</v>
      </c>
    </row>
    <row r="334" customFormat="false" ht="15" hidden="false" customHeight="false" outlineLevel="0" collapsed="false">
      <c r="A334" s="7" t="n">
        <v>329</v>
      </c>
      <c r="B334" s="7" t="n">
        <f aca="false">A334/10</f>
        <v>32.9</v>
      </c>
      <c r="C334" s="7" t="n">
        <f aca="false">IF(AND(A334=0,c_TCREEP&gt;0),10*c_TCREEP,IF(AND(A334&lt;=c_TRNGMIN,A334&gt;=c_TRNGMAX,c_TRNGMIN-c_TRNGMAX&lt;&gt;0),-10*c_TMINRN+QUOTIENT((c_TMAXRN-c_TMINRN)*(100-QUOTIENT((A334-c_TRNGMAX)*100,c_TRNGMIN-c_TRNGMAX)),-10),0))</f>
        <v>0</v>
      </c>
      <c r="D334" s="7" t="n">
        <f aca="false">IF(((c_TMAP1IN)-(c_TFWD))=0,(0)+QUOTIENT(((c_TMAP1OUT)-(0)),2),QUOTIENT((((A334)-(c_TFWD))*((c_TMAP1OUT)-(0))+IF(((c_TMAP1OUT)-(0))&gt;=0,1,-1)*QUOTIENT(((c_TMAP1IN)-(c_TFWD)),2)),((c_TMAP1IN)-(c_TFWD)))+(0)+IF(((c_TMAP1OUT)-(0))&gt;=0,IF(IF(o_WRAP=1,MOD(((c_TMAP1IN)-(c_TFWD))*(((A334)-(c_TFWD))*((c_TMAP1OUT)-(0))+IF(((c_TMAP1OUT)-(0))&gt;=0,1,-1)*QUOTIENT(((c_TMAP1IN)-(c_TFWD)),2))+2147483648,4294967296)-2147483648,((c_TMAP1IN)-(c_TFWD))*(((A334)-(c_TFWD))*((c_TMAP1OUT)-(0))+IF(((c_TMAP1OUT)-(0))&gt;=0,1,-1)*QUOTIENT(((c_TMAP1IN)-(c_TFWD)),2)))&lt;0,-1,0),IF(IF(o_WRAP=1,MOD(((c_TMAP1IN)-(c_TFWD))*(((A334)-(c_TFWD))*((c_TMAP1OUT)-(0))+IF(((c_TMAP1OUT)-(0))&gt;=0,1,-1)*QUOTIENT(((c_TMAP1IN)-(c_TFWD)),2))+2147483648,4294967296)-2147483648,((c_TMAP1IN)-(c_TFWD))*(((A334)-(c_TFWD))*((c_TMAP1OUT)-(0))+IF(((c_TMAP1OUT)-(0))&gt;=0,1,-1)*QUOTIENT(((c_TMAP1IN)-(c_TFWD)),2)))&gt;=0,1,0)))</f>
        <v>248</v>
      </c>
      <c r="E334" s="7" t="n">
        <f aca="false">IF(((c_TMAP2IN)-(c_TMAP1IN))=0,(c_TMAP1OUT)+QUOTIENT(((c_TMAP2OUT)-(c_TMAP1OUT)),2),QUOTIENT((((A334)-(c_TMAP1IN))*((c_TMAP2OUT)-(c_TMAP1OUT))+IF(((c_TMAP2OUT)-(c_TMAP1OUT))&gt;=0,1,-1)*QUOTIENT(((c_TMAP2IN)-(c_TMAP1IN)),2)),((c_TMAP2IN)-(c_TMAP1IN)))+(c_TMAP1OUT)+IF(((c_TMAP2OUT)-(c_TMAP1OUT))&gt;=0,IF(IF(o_WRAP=1,MOD(((c_TMAP2IN)-(c_TMAP1IN))*(((A334)-(c_TMAP1IN))*((c_TMAP2OUT)-(c_TMAP1OUT))+IF(((c_TMAP2OUT)-(c_TMAP1OUT))&gt;=0,1,-1)*QUOTIENT(((c_TMAP2IN)-(c_TMAP1IN)),2))+2147483648,4294967296)-2147483648,((c_TMAP2IN)-(c_TMAP1IN))*(((A334)-(c_TMAP1IN))*((c_TMAP2OUT)-(c_TMAP1OUT))+IF(((c_TMAP2OUT)-(c_TMAP1OUT))&gt;=0,1,-1)*QUOTIENT(((c_TMAP2IN)-(c_TMAP1IN)),2)))&lt;0,-1,0),IF(IF(o_WRAP=1,MOD(((c_TMAP2IN)-(c_TMAP1IN))*(((A334)-(c_TMAP1IN))*((c_TMAP2OUT)-(c_TMAP1OUT))+IF(((c_TMAP2OUT)-(c_TMAP1OUT))&gt;=0,1,-1)*QUOTIENT(((c_TMAP2IN)-(c_TMAP1IN)),2))+2147483648,4294967296)-2147483648,((c_TMAP2IN)-(c_TMAP1IN))*(((A334)-(c_TMAP1IN))*((c_TMAP2OUT)-(c_TMAP1OUT))+IF(((c_TMAP2OUT)-(c_TMAP1OUT))&gt;=0,1,-1)*QUOTIENT(((c_TMAP2IN)-(c_TMAP1IN)),2)))&gt;=0,1,0)))</f>
        <v>162</v>
      </c>
      <c r="F334" s="7" t="n">
        <f aca="false">IF(((c_TMAP3IN)-(c_TMAP2IN))=0,(c_TMAP2OUT)+QUOTIENT(((c_TMAP3OUT)-(c_TMAP2OUT)),2),QUOTIENT((((A334)-(c_TMAP2IN))*((c_TMAP3OUT)-(c_TMAP2OUT))+IF(((c_TMAP3OUT)-(c_TMAP2OUT))&gt;=0,1,-1)*QUOTIENT(((c_TMAP3IN)-(c_TMAP2IN)),2)),((c_TMAP3IN)-(c_TMAP2IN)))+(c_TMAP2OUT)+IF(((c_TMAP3OUT)-(c_TMAP2OUT))&gt;=0,IF(IF(o_WRAP=1,MOD(((c_TMAP3IN)-(c_TMAP2IN))*(((A334)-(c_TMAP2IN))*((c_TMAP3OUT)-(c_TMAP2OUT))+IF(((c_TMAP3OUT)-(c_TMAP2OUT))&gt;=0,1,-1)*QUOTIENT(((c_TMAP3IN)-(c_TMAP2IN)),2))+2147483648,4294967296)-2147483648,((c_TMAP3IN)-(c_TMAP2IN))*(((A334)-(c_TMAP2IN))*((c_TMAP3OUT)-(c_TMAP2OUT))+IF(((c_TMAP3OUT)-(c_TMAP2OUT))&gt;=0,1,-1)*QUOTIENT(((c_TMAP3IN)-(c_TMAP2IN)),2)))&lt;0,-1,0),IF(IF(o_WRAP=1,MOD(((c_TMAP3IN)-(c_TMAP2IN))*(((A334)-(c_TMAP2IN))*((c_TMAP3OUT)-(c_TMAP2OUT))+IF(((c_TMAP3OUT)-(c_TMAP2OUT))&gt;=0,1,-1)*QUOTIENT(((c_TMAP3IN)-(c_TMAP2IN)),2))+2147483648,4294967296)-2147483648,((c_TMAP3IN)-(c_TMAP2IN))*(((A334)-(c_TMAP2IN))*((c_TMAP3OUT)-(c_TMAP2OUT))+IF(((c_TMAP3OUT)-(c_TMAP2OUT))&gt;=0,1,-1)*QUOTIENT(((c_TMAP3IN)-(c_TMAP2IN)),2)))&gt;=0,1,0)))</f>
        <v>185</v>
      </c>
      <c r="G334" s="7" t="n">
        <f aca="false">IF(((1000)-(c_TMAP3IN))=0,(c_TMAP3OUT)+QUOTIENT(((1000)-(c_TMAP3OUT)),2),QUOTIENT((((A334)-(c_TMAP3IN))*((1000)-(c_TMAP3OUT))+IF(((1000)-(c_TMAP3OUT))&gt;=0,1,-1)*QUOTIENT(((1000)-(c_TMAP3IN)),2)),((1000)-(c_TMAP3IN)))+(c_TMAP3OUT)+IF(((1000)-(c_TMAP3OUT))&gt;=0,IF(IF(o_WRAP=1,MOD(((1000)-(c_TMAP3IN))*(((A334)-(c_TMAP3IN))*((1000)-(c_TMAP3OUT))+IF(((1000)-(c_TMAP3OUT))&gt;=0,1,-1)*QUOTIENT(((1000)-(c_TMAP3IN)),2))+2147483648,4294967296)-2147483648,((1000)-(c_TMAP3IN))*(((A334)-(c_TMAP3IN))*((1000)-(c_TMAP3OUT))+IF(((1000)-(c_TMAP3OUT))&gt;=0,1,-1)*QUOTIENT(((1000)-(c_TMAP3IN)),2)))&lt;0,-1,0),IF(IF(o_WRAP=1,MOD(((1000)-(c_TMAP3IN))*(((A334)-(c_TMAP3IN))*((1000)-(c_TMAP3OUT))+IF(((1000)-(c_TMAP3OUT))&gt;=0,1,-1)*QUOTIENT(((1000)-(c_TMAP3IN)),2))+2147483648,4294967296)-2147483648,((1000)-(c_TMAP3IN))*(((A334)-(c_TMAP3IN))*((1000)-(c_TMAP3OUT))+IF(((1000)-(c_TMAP3OUT))&gt;=0,1,-1)*QUOTIENT(((1000)-(c_TMAP3IN)),2)))&gt;=0,1,0)))</f>
        <v>174</v>
      </c>
      <c r="H334" s="7" t="str">
        <f aca="false">IF(A334&gt;=c_TFWD,IF(AND(A334&gt;=c_TMAP3IN,c_TMAP3IN&lt;1000),"Seg4 map3-100%",IF(AND(A334&gt;=c_TMAP2IN,c_TMAP3IN&gt;c_TMAP2IN),"Seg3 map2-map3",IF(AND(A334&gt;=c_TMAP1IN,c_TMAP2IN&gt;c_TMAP1IN),"Seg2 map1-map2","Seg1 TFWD-map1"))),IF(AND(A334=0,c_TCREEP&gt;0),"Creep",IF(AND(A334&lt;=c_TRNGMIN,A334&gt;=c_TRNGMAX,c_TRNGMIN-c_TRNGMAX&lt;&gt;0),"Regen ramp","Coast (0)")))</f>
        <v>Seg3 map2-map3</v>
      </c>
      <c r="I334" s="7" t="n">
        <f aca="false">IF(A334&gt;=c_TFWD,IF(AND(A334&gt;=c_TMAP3IN,c_TMAP3IN&lt;1000),G334,IF(AND(A334&gt;=c_TMAP2IN,c_TMAP3IN&gt;c_TMAP2IN),F334,IF(AND(A334&gt;=c_TMAP1IN,c_TMAP2IN&gt;c_TMAP1IN),E334,D334))),C334)</f>
        <v>185</v>
      </c>
      <c r="J334" s="7" t="str">
        <f aca="false">IF(I334&lt;-1090,"TOO LOW",IF(I334&gt;1090,"TOO HIGH",""))</f>
        <v/>
      </c>
      <c r="K334" s="15" t="n">
        <f aca="false">IF(J334&lt;&gt;"",0,IF(I334&gt;979,1000,I334))</f>
        <v>185</v>
      </c>
      <c r="L334" s="7" t="n">
        <f aca="false">K334/10</f>
        <v>18.5</v>
      </c>
    </row>
    <row r="335" customFormat="false" ht="15" hidden="false" customHeight="false" outlineLevel="0" collapsed="false">
      <c r="A335" s="7" t="n">
        <v>330</v>
      </c>
      <c r="B335" s="7" t="n">
        <f aca="false">A335/10</f>
        <v>33</v>
      </c>
      <c r="C335" s="7" t="n">
        <f aca="false">IF(AND(A335=0,c_TCREEP&gt;0),10*c_TCREEP,IF(AND(A335&lt;=c_TRNGMIN,A335&gt;=c_TRNGMAX,c_TRNGMIN-c_TRNGMAX&lt;&gt;0),-10*c_TMINRN+QUOTIENT((c_TMAXRN-c_TMINRN)*(100-QUOTIENT((A335-c_TRNGMAX)*100,c_TRNGMIN-c_TRNGMAX)),-10),0))</f>
        <v>0</v>
      </c>
      <c r="D335" s="7" t="n">
        <f aca="false">IF(((c_TMAP1IN)-(c_TFWD))=0,(0)+QUOTIENT(((c_TMAP1OUT)-(0)),2),QUOTIENT((((A335)-(c_TFWD))*((c_TMAP1OUT)-(0))+IF(((c_TMAP1OUT)-(0))&gt;=0,1,-1)*QUOTIENT(((c_TMAP1IN)-(c_TFWD)),2)),((c_TMAP1IN)-(c_TFWD)))+(0)+IF(((c_TMAP1OUT)-(0))&gt;=0,IF(IF(o_WRAP=1,MOD(((c_TMAP1IN)-(c_TFWD))*(((A335)-(c_TFWD))*((c_TMAP1OUT)-(0))+IF(((c_TMAP1OUT)-(0))&gt;=0,1,-1)*QUOTIENT(((c_TMAP1IN)-(c_TFWD)),2))+2147483648,4294967296)-2147483648,((c_TMAP1IN)-(c_TFWD))*(((A335)-(c_TFWD))*((c_TMAP1OUT)-(0))+IF(((c_TMAP1OUT)-(0))&gt;=0,1,-1)*QUOTIENT(((c_TMAP1IN)-(c_TFWD)),2)))&lt;0,-1,0),IF(IF(o_WRAP=1,MOD(((c_TMAP1IN)-(c_TFWD))*(((A335)-(c_TFWD))*((c_TMAP1OUT)-(0))+IF(((c_TMAP1OUT)-(0))&gt;=0,1,-1)*QUOTIENT(((c_TMAP1IN)-(c_TFWD)),2))+2147483648,4294967296)-2147483648,((c_TMAP1IN)-(c_TFWD))*(((A335)-(c_TFWD))*((c_TMAP1OUT)-(0))+IF(((c_TMAP1OUT)-(0))&gt;=0,1,-1)*QUOTIENT(((c_TMAP1IN)-(c_TFWD)),2)))&gt;=0,1,0)))</f>
        <v>249</v>
      </c>
      <c r="E335" s="7" t="n">
        <f aca="false">IF(((c_TMAP2IN)-(c_TMAP1IN))=0,(c_TMAP1OUT)+QUOTIENT(((c_TMAP2OUT)-(c_TMAP1OUT)),2),QUOTIENT((((A335)-(c_TMAP1IN))*((c_TMAP2OUT)-(c_TMAP1OUT))+IF(((c_TMAP2OUT)-(c_TMAP1OUT))&gt;=0,1,-1)*QUOTIENT(((c_TMAP2IN)-(c_TMAP1IN)),2)),((c_TMAP2IN)-(c_TMAP1IN)))+(c_TMAP1OUT)+IF(((c_TMAP2OUT)-(c_TMAP1OUT))&gt;=0,IF(IF(o_WRAP=1,MOD(((c_TMAP2IN)-(c_TMAP1IN))*(((A335)-(c_TMAP1IN))*((c_TMAP2OUT)-(c_TMAP1OUT))+IF(((c_TMAP2OUT)-(c_TMAP1OUT))&gt;=0,1,-1)*QUOTIENT(((c_TMAP2IN)-(c_TMAP1IN)),2))+2147483648,4294967296)-2147483648,((c_TMAP2IN)-(c_TMAP1IN))*(((A335)-(c_TMAP1IN))*((c_TMAP2OUT)-(c_TMAP1OUT))+IF(((c_TMAP2OUT)-(c_TMAP1OUT))&gt;=0,1,-1)*QUOTIENT(((c_TMAP2IN)-(c_TMAP1IN)),2)))&lt;0,-1,0),IF(IF(o_WRAP=1,MOD(((c_TMAP2IN)-(c_TMAP1IN))*(((A335)-(c_TMAP1IN))*((c_TMAP2OUT)-(c_TMAP1OUT))+IF(((c_TMAP2OUT)-(c_TMAP1OUT))&gt;=0,1,-1)*QUOTIENT(((c_TMAP2IN)-(c_TMAP1IN)),2))+2147483648,4294967296)-2147483648,((c_TMAP2IN)-(c_TMAP1IN))*(((A335)-(c_TMAP1IN))*((c_TMAP2OUT)-(c_TMAP1OUT))+IF(((c_TMAP2OUT)-(c_TMAP1OUT))&gt;=0,1,-1)*QUOTIENT(((c_TMAP2IN)-(c_TMAP1IN)),2)))&gt;=0,1,0)))</f>
        <v>162</v>
      </c>
      <c r="F335" s="7" t="n">
        <f aca="false">IF(((c_TMAP3IN)-(c_TMAP2IN))=0,(c_TMAP2OUT)+QUOTIENT(((c_TMAP3OUT)-(c_TMAP2OUT)),2),QUOTIENT((((A335)-(c_TMAP2IN))*((c_TMAP3OUT)-(c_TMAP2OUT))+IF(((c_TMAP3OUT)-(c_TMAP2OUT))&gt;=0,1,-1)*QUOTIENT(((c_TMAP3IN)-(c_TMAP2IN)),2)),((c_TMAP3IN)-(c_TMAP2IN)))+(c_TMAP2OUT)+IF(((c_TMAP3OUT)-(c_TMAP2OUT))&gt;=0,IF(IF(o_WRAP=1,MOD(((c_TMAP3IN)-(c_TMAP2IN))*(((A335)-(c_TMAP2IN))*((c_TMAP3OUT)-(c_TMAP2OUT))+IF(((c_TMAP3OUT)-(c_TMAP2OUT))&gt;=0,1,-1)*QUOTIENT(((c_TMAP3IN)-(c_TMAP2IN)),2))+2147483648,4294967296)-2147483648,((c_TMAP3IN)-(c_TMAP2IN))*(((A335)-(c_TMAP2IN))*((c_TMAP3OUT)-(c_TMAP2OUT))+IF(((c_TMAP3OUT)-(c_TMAP2OUT))&gt;=0,1,-1)*QUOTIENT(((c_TMAP3IN)-(c_TMAP2IN)),2)))&lt;0,-1,0),IF(IF(o_WRAP=1,MOD(((c_TMAP3IN)-(c_TMAP2IN))*(((A335)-(c_TMAP2IN))*((c_TMAP3OUT)-(c_TMAP2OUT))+IF(((c_TMAP3OUT)-(c_TMAP2OUT))&gt;=0,1,-1)*QUOTIENT(((c_TMAP3IN)-(c_TMAP2IN)),2))+2147483648,4294967296)-2147483648,((c_TMAP3IN)-(c_TMAP2IN))*(((A335)-(c_TMAP2IN))*((c_TMAP3OUT)-(c_TMAP2OUT))+IF(((c_TMAP3OUT)-(c_TMAP2OUT))&gt;=0,1,-1)*QUOTIENT(((c_TMAP3IN)-(c_TMAP2IN)),2)))&gt;=0,1,0)))</f>
        <v>186</v>
      </c>
      <c r="G335" s="7" t="n">
        <f aca="false">IF(((1000)-(c_TMAP3IN))=0,(c_TMAP3OUT)+QUOTIENT(((1000)-(c_TMAP3OUT)),2),QUOTIENT((((A335)-(c_TMAP3IN))*((1000)-(c_TMAP3OUT))+IF(((1000)-(c_TMAP3OUT))&gt;=0,1,-1)*QUOTIENT(((1000)-(c_TMAP3IN)),2)),((1000)-(c_TMAP3IN)))+(c_TMAP3OUT)+IF(((1000)-(c_TMAP3OUT))&gt;=0,IF(IF(o_WRAP=1,MOD(((1000)-(c_TMAP3IN))*(((A335)-(c_TMAP3IN))*((1000)-(c_TMAP3OUT))+IF(((1000)-(c_TMAP3OUT))&gt;=0,1,-1)*QUOTIENT(((1000)-(c_TMAP3IN)),2))+2147483648,4294967296)-2147483648,((1000)-(c_TMAP3IN))*(((A335)-(c_TMAP3IN))*((1000)-(c_TMAP3OUT))+IF(((1000)-(c_TMAP3OUT))&gt;=0,1,-1)*QUOTIENT(((1000)-(c_TMAP3IN)),2)))&lt;0,-1,0),IF(IF(o_WRAP=1,MOD(((1000)-(c_TMAP3IN))*(((A335)-(c_TMAP3IN))*((1000)-(c_TMAP3OUT))+IF(((1000)-(c_TMAP3OUT))&gt;=0,1,-1)*QUOTIENT(((1000)-(c_TMAP3IN)),2))+2147483648,4294967296)-2147483648,((1000)-(c_TMAP3IN))*(((A335)-(c_TMAP3IN))*((1000)-(c_TMAP3OUT))+IF(((1000)-(c_TMAP3OUT))&gt;=0,1,-1)*QUOTIENT(((1000)-(c_TMAP3IN)),2)))&gt;=0,1,0)))</f>
        <v>175</v>
      </c>
      <c r="H335" s="7" t="str">
        <f aca="false">IF(A335&gt;=c_TFWD,IF(AND(A335&gt;=c_TMAP3IN,c_TMAP3IN&lt;1000),"Seg4 map3-100%",IF(AND(A335&gt;=c_TMAP2IN,c_TMAP3IN&gt;c_TMAP2IN),"Seg3 map2-map3",IF(AND(A335&gt;=c_TMAP1IN,c_TMAP2IN&gt;c_TMAP1IN),"Seg2 map1-map2","Seg1 TFWD-map1"))),IF(AND(A335=0,c_TCREEP&gt;0),"Creep",IF(AND(A335&lt;=c_TRNGMIN,A335&gt;=c_TRNGMAX,c_TRNGMIN-c_TRNGMAX&lt;&gt;0),"Regen ramp","Coast (0)")))</f>
        <v>Seg3 map2-map3</v>
      </c>
      <c r="I335" s="7" t="n">
        <f aca="false">IF(A335&gt;=c_TFWD,IF(AND(A335&gt;=c_TMAP3IN,c_TMAP3IN&lt;1000),G335,IF(AND(A335&gt;=c_TMAP2IN,c_TMAP3IN&gt;c_TMAP2IN),F335,IF(AND(A335&gt;=c_TMAP1IN,c_TMAP2IN&gt;c_TMAP1IN),E335,D335))),C335)</f>
        <v>186</v>
      </c>
      <c r="J335" s="7" t="str">
        <f aca="false">IF(I335&lt;-1090,"TOO LOW",IF(I335&gt;1090,"TOO HIGH",""))</f>
        <v/>
      </c>
      <c r="K335" s="15" t="n">
        <f aca="false">IF(J335&lt;&gt;"",0,IF(I335&gt;979,1000,I335))</f>
        <v>186</v>
      </c>
      <c r="L335" s="7" t="n">
        <f aca="false">K335/10</f>
        <v>18.6</v>
      </c>
    </row>
    <row r="336" customFormat="false" ht="15" hidden="false" customHeight="false" outlineLevel="0" collapsed="false">
      <c r="A336" s="7" t="n">
        <v>331</v>
      </c>
      <c r="B336" s="7" t="n">
        <f aca="false">A336/10</f>
        <v>33.1</v>
      </c>
      <c r="C336" s="7" t="n">
        <f aca="false">IF(AND(A336=0,c_TCREEP&gt;0),10*c_TCREEP,IF(AND(A336&lt;=c_TRNGMIN,A336&gt;=c_TRNGMAX,c_TRNGMIN-c_TRNGMAX&lt;&gt;0),-10*c_TMINRN+QUOTIENT((c_TMAXRN-c_TMINRN)*(100-QUOTIENT((A336-c_TRNGMAX)*100,c_TRNGMIN-c_TRNGMAX)),-10),0))</f>
        <v>0</v>
      </c>
      <c r="D336" s="7" t="n">
        <f aca="false">IF(((c_TMAP1IN)-(c_TFWD))=0,(0)+QUOTIENT(((c_TMAP1OUT)-(0)),2),QUOTIENT((((A336)-(c_TFWD))*((c_TMAP1OUT)-(0))+IF(((c_TMAP1OUT)-(0))&gt;=0,1,-1)*QUOTIENT(((c_TMAP1IN)-(c_TFWD)),2)),((c_TMAP1IN)-(c_TFWD)))+(0)+IF(((c_TMAP1OUT)-(0))&gt;=0,IF(IF(o_WRAP=1,MOD(((c_TMAP1IN)-(c_TFWD))*(((A336)-(c_TFWD))*((c_TMAP1OUT)-(0))+IF(((c_TMAP1OUT)-(0))&gt;=0,1,-1)*QUOTIENT(((c_TMAP1IN)-(c_TFWD)),2))+2147483648,4294967296)-2147483648,((c_TMAP1IN)-(c_TFWD))*(((A336)-(c_TFWD))*((c_TMAP1OUT)-(0))+IF(((c_TMAP1OUT)-(0))&gt;=0,1,-1)*QUOTIENT(((c_TMAP1IN)-(c_TFWD)),2)))&lt;0,-1,0),IF(IF(o_WRAP=1,MOD(((c_TMAP1IN)-(c_TFWD))*(((A336)-(c_TFWD))*((c_TMAP1OUT)-(0))+IF(((c_TMAP1OUT)-(0))&gt;=0,1,-1)*QUOTIENT(((c_TMAP1IN)-(c_TFWD)),2))+2147483648,4294967296)-2147483648,((c_TMAP1IN)-(c_TFWD))*(((A336)-(c_TFWD))*((c_TMAP1OUT)-(0))+IF(((c_TMAP1OUT)-(0))&gt;=0,1,-1)*QUOTIENT(((c_TMAP1IN)-(c_TFWD)),2)))&gt;=0,1,0)))</f>
        <v>250</v>
      </c>
      <c r="E336" s="7" t="n">
        <f aca="false">IF(((c_TMAP2IN)-(c_TMAP1IN))=0,(c_TMAP1OUT)+QUOTIENT(((c_TMAP2OUT)-(c_TMAP1OUT)),2),QUOTIENT((((A336)-(c_TMAP1IN))*((c_TMAP2OUT)-(c_TMAP1OUT))+IF(((c_TMAP2OUT)-(c_TMAP1OUT))&gt;=0,1,-1)*QUOTIENT(((c_TMAP2IN)-(c_TMAP1IN)),2)),((c_TMAP2IN)-(c_TMAP1IN)))+(c_TMAP1OUT)+IF(((c_TMAP2OUT)-(c_TMAP1OUT))&gt;=0,IF(IF(o_WRAP=1,MOD(((c_TMAP2IN)-(c_TMAP1IN))*(((A336)-(c_TMAP1IN))*((c_TMAP2OUT)-(c_TMAP1OUT))+IF(((c_TMAP2OUT)-(c_TMAP1OUT))&gt;=0,1,-1)*QUOTIENT(((c_TMAP2IN)-(c_TMAP1IN)),2))+2147483648,4294967296)-2147483648,((c_TMAP2IN)-(c_TMAP1IN))*(((A336)-(c_TMAP1IN))*((c_TMAP2OUT)-(c_TMAP1OUT))+IF(((c_TMAP2OUT)-(c_TMAP1OUT))&gt;=0,1,-1)*QUOTIENT(((c_TMAP2IN)-(c_TMAP1IN)),2)))&lt;0,-1,0),IF(IF(o_WRAP=1,MOD(((c_TMAP2IN)-(c_TMAP1IN))*(((A336)-(c_TMAP1IN))*((c_TMAP2OUT)-(c_TMAP1OUT))+IF(((c_TMAP2OUT)-(c_TMAP1OUT))&gt;=0,1,-1)*QUOTIENT(((c_TMAP2IN)-(c_TMAP1IN)),2))+2147483648,4294967296)-2147483648,((c_TMAP2IN)-(c_TMAP1IN))*(((A336)-(c_TMAP1IN))*((c_TMAP2OUT)-(c_TMAP1OUT))+IF(((c_TMAP2OUT)-(c_TMAP1OUT))&gt;=0,1,-1)*QUOTIENT(((c_TMAP2IN)-(c_TMAP1IN)),2)))&gt;=0,1,0)))</f>
        <v>162</v>
      </c>
      <c r="F336" s="7" t="n">
        <f aca="false">IF(((c_TMAP3IN)-(c_TMAP2IN))=0,(c_TMAP2OUT)+QUOTIENT(((c_TMAP3OUT)-(c_TMAP2OUT)),2),QUOTIENT((((A336)-(c_TMAP2IN))*((c_TMAP3OUT)-(c_TMAP2OUT))+IF(((c_TMAP3OUT)-(c_TMAP2OUT))&gt;=0,1,-1)*QUOTIENT(((c_TMAP3IN)-(c_TMAP2IN)),2)),((c_TMAP3IN)-(c_TMAP2IN)))+(c_TMAP2OUT)+IF(((c_TMAP3OUT)-(c_TMAP2OUT))&gt;=0,IF(IF(o_WRAP=1,MOD(((c_TMAP3IN)-(c_TMAP2IN))*(((A336)-(c_TMAP2IN))*((c_TMAP3OUT)-(c_TMAP2OUT))+IF(((c_TMAP3OUT)-(c_TMAP2OUT))&gt;=0,1,-1)*QUOTIENT(((c_TMAP3IN)-(c_TMAP2IN)),2))+2147483648,4294967296)-2147483648,((c_TMAP3IN)-(c_TMAP2IN))*(((A336)-(c_TMAP2IN))*((c_TMAP3OUT)-(c_TMAP2OUT))+IF(((c_TMAP3OUT)-(c_TMAP2OUT))&gt;=0,1,-1)*QUOTIENT(((c_TMAP3IN)-(c_TMAP2IN)),2)))&lt;0,-1,0),IF(IF(o_WRAP=1,MOD(((c_TMAP3IN)-(c_TMAP2IN))*(((A336)-(c_TMAP2IN))*((c_TMAP3OUT)-(c_TMAP2OUT))+IF(((c_TMAP3OUT)-(c_TMAP2OUT))&gt;=0,1,-1)*QUOTIENT(((c_TMAP3IN)-(c_TMAP2IN)),2))+2147483648,4294967296)-2147483648,((c_TMAP3IN)-(c_TMAP2IN))*(((A336)-(c_TMAP2IN))*((c_TMAP3OUT)-(c_TMAP2OUT))+IF(((c_TMAP3OUT)-(c_TMAP2OUT))&gt;=0,1,-1)*QUOTIENT(((c_TMAP3IN)-(c_TMAP2IN)),2)))&gt;=0,1,0)))</f>
        <v>187</v>
      </c>
      <c r="G336" s="7" t="n">
        <f aca="false">IF(((1000)-(c_TMAP3IN))=0,(c_TMAP3OUT)+QUOTIENT(((1000)-(c_TMAP3OUT)),2),QUOTIENT((((A336)-(c_TMAP3IN))*((1000)-(c_TMAP3OUT))+IF(((1000)-(c_TMAP3OUT))&gt;=0,1,-1)*QUOTIENT(((1000)-(c_TMAP3IN)),2)),((1000)-(c_TMAP3IN)))+(c_TMAP3OUT)+IF(((1000)-(c_TMAP3OUT))&gt;=0,IF(IF(o_WRAP=1,MOD(((1000)-(c_TMAP3IN))*(((A336)-(c_TMAP3IN))*((1000)-(c_TMAP3OUT))+IF(((1000)-(c_TMAP3OUT))&gt;=0,1,-1)*QUOTIENT(((1000)-(c_TMAP3IN)),2))+2147483648,4294967296)-2147483648,((1000)-(c_TMAP3IN))*(((A336)-(c_TMAP3IN))*((1000)-(c_TMAP3OUT))+IF(((1000)-(c_TMAP3OUT))&gt;=0,1,-1)*QUOTIENT(((1000)-(c_TMAP3IN)),2)))&lt;0,-1,0),IF(IF(o_WRAP=1,MOD(((1000)-(c_TMAP3IN))*(((A336)-(c_TMAP3IN))*((1000)-(c_TMAP3OUT))+IF(((1000)-(c_TMAP3OUT))&gt;=0,1,-1)*QUOTIENT(((1000)-(c_TMAP3IN)),2))+2147483648,4294967296)-2147483648,((1000)-(c_TMAP3IN))*(((A336)-(c_TMAP3IN))*((1000)-(c_TMAP3OUT))+IF(((1000)-(c_TMAP3OUT))&gt;=0,1,-1)*QUOTIENT(((1000)-(c_TMAP3IN)),2)))&gt;=0,1,0)))</f>
        <v>177</v>
      </c>
      <c r="H336" s="7" t="str">
        <f aca="false">IF(A336&gt;=c_TFWD,IF(AND(A336&gt;=c_TMAP3IN,c_TMAP3IN&lt;1000),"Seg4 map3-100%",IF(AND(A336&gt;=c_TMAP2IN,c_TMAP3IN&gt;c_TMAP2IN),"Seg3 map2-map3",IF(AND(A336&gt;=c_TMAP1IN,c_TMAP2IN&gt;c_TMAP1IN),"Seg2 map1-map2","Seg1 TFWD-map1"))),IF(AND(A336=0,c_TCREEP&gt;0),"Creep",IF(AND(A336&lt;=c_TRNGMIN,A336&gt;=c_TRNGMAX,c_TRNGMIN-c_TRNGMAX&lt;&gt;0),"Regen ramp","Coast (0)")))</f>
        <v>Seg3 map2-map3</v>
      </c>
      <c r="I336" s="7" t="n">
        <f aca="false">IF(A336&gt;=c_TFWD,IF(AND(A336&gt;=c_TMAP3IN,c_TMAP3IN&lt;1000),G336,IF(AND(A336&gt;=c_TMAP2IN,c_TMAP3IN&gt;c_TMAP2IN),F336,IF(AND(A336&gt;=c_TMAP1IN,c_TMAP2IN&gt;c_TMAP1IN),E336,D336))),C336)</f>
        <v>187</v>
      </c>
      <c r="J336" s="7" t="str">
        <f aca="false">IF(I336&lt;-1090,"TOO LOW",IF(I336&gt;1090,"TOO HIGH",""))</f>
        <v/>
      </c>
      <c r="K336" s="15" t="n">
        <f aca="false">IF(J336&lt;&gt;"",0,IF(I336&gt;979,1000,I336))</f>
        <v>187</v>
      </c>
      <c r="L336" s="7" t="n">
        <f aca="false">K336/10</f>
        <v>18.7</v>
      </c>
    </row>
    <row r="337" customFormat="false" ht="15" hidden="false" customHeight="false" outlineLevel="0" collapsed="false">
      <c r="A337" s="7" t="n">
        <v>332</v>
      </c>
      <c r="B337" s="7" t="n">
        <f aca="false">A337/10</f>
        <v>33.2</v>
      </c>
      <c r="C337" s="7" t="n">
        <f aca="false">IF(AND(A337=0,c_TCREEP&gt;0),10*c_TCREEP,IF(AND(A337&lt;=c_TRNGMIN,A337&gt;=c_TRNGMAX,c_TRNGMIN-c_TRNGMAX&lt;&gt;0),-10*c_TMINRN+QUOTIENT((c_TMAXRN-c_TMINRN)*(100-QUOTIENT((A337-c_TRNGMAX)*100,c_TRNGMIN-c_TRNGMAX)),-10),0))</f>
        <v>0</v>
      </c>
      <c r="D337" s="7" t="n">
        <f aca="false">IF(((c_TMAP1IN)-(c_TFWD))=0,(0)+QUOTIENT(((c_TMAP1OUT)-(0)),2),QUOTIENT((((A337)-(c_TFWD))*((c_TMAP1OUT)-(0))+IF(((c_TMAP1OUT)-(0))&gt;=0,1,-1)*QUOTIENT(((c_TMAP1IN)-(c_TFWD)),2)),((c_TMAP1IN)-(c_TFWD)))+(0)+IF(((c_TMAP1OUT)-(0))&gt;=0,IF(IF(o_WRAP=1,MOD(((c_TMAP1IN)-(c_TFWD))*(((A337)-(c_TFWD))*((c_TMAP1OUT)-(0))+IF(((c_TMAP1OUT)-(0))&gt;=0,1,-1)*QUOTIENT(((c_TMAP1IN)-(c_TFWD)),2))+2147483648,4294967296)-2147483648,((c_TMAP1IN)-(c_TFWD))*(((A337)-(c_TFWD))*((c_TMAP1OUT)-(0))+IF(((c_TMAP1OUT)-(0))&gt;=0,1,-1)*QUOTIENT(((c_TMAP1IN)-(c_TFWD)),2)))&lt;0,-1,0),IF(IF(o_WRAP=1,MOD(((c_TMAP1IN)-(c_TFWD))*(((A337)-(c_TFWD))*((c_TMAP1OUT)-(0))+IF(((c_TMAP1OUT)-(0))&gt;=0,1,-1)*QUOTIENT(((c_TMAP1IN)-(c_TFWD)),2))+2147483648,4294967296)-2147483648,((c_TMAP1IN)-(c_TFWD))*(((A337)-(c_TFWD))*((c_TMAP1OUT)-(0))+IF(((c_TMAP1OUT)-(0))&gt;=0,1,-1)*QUOTIENT(((c_TMAP1IN)-(c_TFWD)),2)))&gt;=0,1,0)))</f>
        <v>250</v>
      </c>
      <c r="E337" s="7" t="n">
        <f aca="false">IF(((c_TMAP2IN)-(c_TMAP1IN))=0,(c_TMAP1OUT)+QUOTIENT(((c_TMAP2OUT)-(c_TMAP1OUT)),2),QUOTIENT((((A337)-(c_TMAP1IN))*((c_TMAP2OUT)-(c_TMAP1OUT))+IF(((c_TMAP2OUT)-(c_TMAP1OUT))&gt;=0,1,-1)*QUOTIENT(((c_TMAP2IN)-(c_TMAP1IN)),2)),((c_TMAP2IN)-(c_TMAP1IN)))+(c_TMAP1OUT)+IF(((c_TMAP2OUT)-(c_TMAP1OUT))&gt;=0,IF(IF(o_WRAP=1,MOD(((c_TMAP2IN)-(c_TMAP1IN))*(((A337)-(c_TMAP1IN))*((c_TMAP2OUT)-(c_TMAP1OUT))+IF(((c_TMAP2OUT)-(c_TMAP1OUT))&gt;=0,1,-1)*QUOTIENT(((c_TMAP2IN)-(c_TMAP1IN)),2))+2147483648,4294967296)-2147483648,((c_TMAP2IN)-(c_TMAP1IN))*(((A337)-(c_TMAP1IN))*((c_TMAP2OUT)-(c_TMAP1OUT))+IF(((c_TMAP2OUT)-(c_TMAP1OUT))&gt;=0,1,-1)*QUOTIENT(((c_TMAP2IN)-(c_TMAP1IN)),2)))&lt;0,-1,0),IF(IF(o_WRAP=1,MOD(((c_TMAP2IN)-(c_TMAP1IN))*(((A337)-(c_TMAP1IN))*((c_TMAP2OUT)-(c_TMAP1OUT))+IF(((c_TMAP2OUT)-(c_TMAP1OUT))&gt;=0,1,-1)*QUOTIENT(((c_TMAP2IN)-(c_TMAP1IN)),2))+2147483648,4294967296)-2147483648,((c_TMAP2IN)-(c_TMAP1IN))*(((A337)-(c_TMAP1IN))*((c_TMAP2OUT)-(c_TMAP1OUT))+IF(((c_TMAP2OUT)-(c_TMAP1OUT))&gt;=0,1,-1)*QUOTIENT(((c_TMAP2IN)-(c_TMAP1IN)),2)))&gt;=0,1,0)))</f>
        <v>163</v>
      </c>
      <c r="F337" s="7" t="n">
        <f aca="false">IF(((c_TMAP3IN)-(c_TMAP2IN))=0,(c_TMAP2OUT)+QUOTIENT(((c_TMAP3OUT)-(c_TMAP2OUT)),2),QUOTIENT((((A337)-(c_TMAP2IN))*((c_TMAP3OUT)-(c_TMAP2OUT))+IF(((c_TMAP3OUT)-(c_TMAP2OUT))&gt;=0,1,-1)*QUOTIENT(((c_TMAP3IN)-(c_TMAP2IN)),2)),((c_TMAP3IN)-(c_TMAP2IN)))+(c_TMAP2OUT)+IF(((c_TMAP3OUT)-(c_TMAP2OUT))&gt;=0,IF(IF(o_WRAP=1,MOD(((c_TMAP3IN)-(c_TMAP2IN))*(((A337)-(c_TMAP2IN))*((c_TMAP3OUT)-(c_TMAP2OUT))+IF(((c_TMAP3OUT)-(c_TMAP2OUT))&gt;=0,1,-1)*QUOTIENT(((c_TMAP3IN)-(c_TMAP2IN)),2))+2147483648,4294967296)-2147483648,((c_TMAP3IN)-(c_TMAP2IN))*(((A337)-(c_TMAP2IN))*((c_TMAP3OUT)-(c_TMAP2OUT))+IF(((c_TMAP3OUT)-(c_TMAP2OUT))&gt;=0,1,-1)*QUOTIENT(((c_TMAP3IN)-(c_TMAP2IN)),2)))&lt;0,-1,0),IF(IF(o_WRAP=1,MOD(((c_TMAP3IN)-(c_TMAP2IN))*(((A337)-(c_TMAP2IN))*((c_TMAP3OUT)-(c_TMAP2OUT))+IF(((c_TMAP3OUT)-(c_TMAP2OUT))&gt;=0,1,-1)*QUOTIENT(((c_TMAP3IN)-(c_TMAP2IN)),2))+2147483648,4294967296)-2147483648,((c_TMAP3IN)-(c_TMAP2IN))*(((A337)-(c_TMAP2IN))*((c_TMAP3OUT)-(c_TMAP2OUT))+IF(((c_TMAP3OUT)-(c_TMAP2OUT))&gt;=0,1,-1)*QUOTIENT(((c_TMAP3IN)-(c_TMAP2IN)),2)))&gt;=0,1,0)))</f>
        <v>187</v>
      </c>
      <c r="G337" s="7" t="n">
        <f aca="false">IF(((1000)-(c_TMAP3IN))=0,(c_TMAP3OUT)+QUOTIENT(((1000)-(c_TMAP3OUT)),2),QUOTIENT((((A337)-(c_TMAP3IN))*((1000)-(c_TMAP3OUT))+IF(((1000)-(c_TMAP3OUT))&gt;=0,1,-1)*QUOTIENT(((1000)-(c_TMAP3IN)),2)),((1000)-(c_TMAP3IN)))+(c_TMAP3OUT)+IF(((1000)-(c_TMAP3OUT))&gt;=0,IF(IF(o_WRAP=1,MOD(((1000)-(c_TMAP3IN))*(((A337)-(c_TMAP3IN))*((1000)-(c_TMAP3OUT))+IF(((1000)-(c_TMAP3OUT))&gt;=0,1,-1)*QUOTIENT(((1000)-(c_TMAP3IN)),2))+2147483648,4294967296)-2147483648,((1000)-(c_TMAP3IN))*(((A337)-(c_TMAP3IN))*((1000)-(c_TMAP3OUT))+IF(((1000)-(c_TMAP3OUT))&gt;=0,1,-1)*QUOTIENT(((1000)-(c_TMAP3IN)),2)))&lt;0,-1,0),IF(IF(o_WRAP=1,MOD(((1000)-(c_TMAP3IN))*(((A337)-(c_TMAP3IN))*((1000)-(c_TMAP3OUT))+IF(((1000)-(c_TMAP3OUT))&gt;=0,1,-1)*QUOTIENT(((1000)-(c_TMAP3IN)),2))+2147483648,4294967296)-2147483648,((1000)-(c_TMAP3IN))*(((A337)-(c_TMAP3IN))*((1000)-(c_TMAP3OUT))+IF(((1000)-(c_TMAP3OUT))&gt;=0,1,-1)*QUOTIENT(((1000)-(c_TMAP3IN)),2)))&gt;=0,1,0)))</f>
        <v>178</v>
      </c>
      <c r="H337" s="7" t="str">
        <f aca="false">IF(A337&gt;=c_TFWD,IF(AND(A337&gt;=c_TMAP3IN,c_TMAP3IN&lt;1000),"Seg4 map3-100%",IF(AND(A337&gt;=c_TMAP2IN,c_TMAP3IN&gt;c_TMAP2IN),"Seg3 map2-map3",IF(AND(A337&gt;=c_TMAP1IN,c_TMAP2IN&gt;c_TMAP1IN),"Seg2 map1-map2","Seg1 TFWD-map1"))),IF(AND(A337=0,c_TCREEP&gt;0),"Creep",IF(AND(A337&lt;=c_TRNGMIN,A337&gt;=c_TRNGMAX,c_TRNGMIN-c_TRNGMAX&lt;&gt;0),"Regen ramp","Coast (0)")))</f>
        <v>Seg3 map2-map3</v>
      </c>
      <c r="I337" s="7" t="n">
        <f aca="false">IF(A337&gt;=c_TFWD,IF(AND(A337&gt;=c_TMAP3IN,c_TMAP3IN&lt;1000),G337,IF(AND(A337&gt;=c_TMAP2IN,c_TMAP3IN&gt;c_TMAP2IN),F337,IF(AND(A337&gt;=c_TMAP1IN,c_TMAP2IN&gt;c_TMAP1IN),E337,D337))),C337)</f>
        <v>187</v>
      </c>
      <c r="J337" s="7" t="str">
        <f aca="false">IF(I337&lt;-1090,"TOO LOW",IF(I337&gt;1090,"TOO HIGH",""))</f>
        <v/>
      </c>
      <c r="K337" s="15" t="n">
        <f aca="false">IF(J337&lt;&gt;"",0,IF(I337&gt;979,1000,I337))</f>
        <v>187</v>
      </c>
      <c r="L337" s="7" t="n">
        <f aca="false">K337/10</f>
        <v>18.7</v>
      </c>
    </row>
    <row r="338" customFormat="false" ht="15" hidden="false" customHeight="false" outlineLevel="0" collapsed="false">
      <c r="A338" s="7" t="n">
        <v>333</v>
      </c>
      <c r="B338" s="7" t="n">
        <f aca="false">A338/10</f>
        <v>33.3</v>
      </c>
      <c r="C338" s="7" t="n">
        <f aca="false">IF(AND(A338=0,c_TCREEP&gt;0),10*c_TCREEP,IF(AND(A338&lt;=c_TRNGMIN,A338&gt;=c_TRNGMAX,c_TRNGMIN-c_TRNGMAX&lt;&gt;0),-10*c_TMINRN+QUOTIENT((c_TMAXRN-c_TMINRN)*(100-QUOTIENT((A338-c_TRNGMAX)*100,c_TRNGMIN-c_TRNGMAX)),-10),0))</f>
        <v>0</v>
      </c>
      <c r="D338" s="7" t="n">
        <f aca="false">IF(((c_TMAP1IN)-(c_TFWD))=0,(0)+QUOTIENT(((c_TMAP1OUT)-(0)),2),QUOTIENT((((A338)-(c_TFWD))*((c_TMAP1OUT)-(0))+IF(((c_TMAP1OUT)-(0))&gt;=0,1,-1)*QUOTIENT(((c_TMAP1IN)-(c_TFWD)),2)),((c_TMAP1IN)-(c_TFWD)))+(0)+IF(((c_TMAP1OUT)-(0))&gt;=0,IF(IF(o_WRAP=1,MOD(((c_TMAP1IN)-(c_TFWD))*(((A338)-(c_TFWD))*((c_TMAP1OUT)-(0))+IF(((c_TMAP1OUT)-(0))&gt;=0,1,-1)*QUOTIENT(((c_TMAP1IN)-(c_TFWD)),2))+2147483648,4294967296)-2147483648,((c_TMAP1IN)-(c_TFWD))*(((A338)-(c_TFWD))*((c_TMAP1OUT)-(0))+IF(((c_TMAP1OUT)-(0))&gt;=0,1,-1)*QUOTIENT(((c_TMAP1IN)-(c_TFWD)),2)))&lt;0,-1,0),IF(IF(o_WRAP=1,MOD(((c_TMAP1IN)-(c_TFWD))*(((A338)-(c_TFWD))*((c_TMAP1OUT)-(0))+IF(((c_TMAP1OUT)-(0))&gt;=0,1,-1)*QUOTIENT(((c_TMAP1IN)-(c_TFWD)),2))+2147483648,4294967296)-2147483648,((c_TMAP1IN)-(c_TFWD))*(((A338)-(c_TFWD))*((c_TMAP1OUT)-(0))+IF(((c_TMAP1OUT)-(0))&gt;=0,1,-1)*QUOTIENT(((c_TMAP1IN)-(c_TFWD)),2)))&gt;=0,1,0)))</f>
        <v>251</v>
      </c>
      <c r="E338" s="7" t="n">
        <f aca="false">IF(((c_TMAP2IN)-(c_TMAP1IN))=0,(c_TMAP1OUT)+QUOTIENT(((c_TMAP2OUT)-(c_TMAP1OUT)),2),QUOTIENT((((A338)-(c_TMAP1IN))*((c_TMAP2OUT)-(c_TMAP1OUT))+IF(((c_TMAP2OUT)-(c_TMAP1OUT))&gt;=0,1,-1)*QUOTIENT(((c_TMAP2IN)-(c_TMAP1IN)),2)),((c_TMAP2IN)-(c_TMAP1IN)))+(c_TMAP1OUT)+IF(((c_TMAP2OUT)-(c_TMAP1OUT))&gt;=0,IF(IF(o_WRAP=1,MOD(((c_TMAP2IN)-(c_TMAP1IN))*(((A338)-(c_TMAP1IN))*((c_TMAP2OUT)-(c_TMAP1OUT))+IF(((c_TMAP2OUT)-(c_TMAP1OUT))&gt;=0,1,-1)*QUOTIENT(((c_TMAP2IN)-(c_TMAP1IN)),2))+2147483648,4294967296)-2147483648,((c_TMAP2IN)-(c_TMAP1IN))*(((A338)-(c_TMAP1IN))*((c_TMAP2OUT)-(c_TMAP1OUT))+IF(((c_TMAP2OUT)-(c_TMAP1OUT))&gt;=0,1,-1)*QUOTIENT(((c_TMAP2IN)-(c_TMAP1IN)),2)))&lt;0,-1,0),IF(IF(o_WRAP=1,MOD(((c_TMAP2IN)-(c_TMAP1IN))*(((A338)-(c_TMAP1IN))*((c_TMAP2OUT)-(c_TMAP1OUT))+IF(((c_TMAP2OUT)-(c_TMAP1OUT))&gt;=0,1,-1)*QUOTIENT(((c_TMAP2IN)-(c_TMAP1IN)),2))+2147483648,4294967296)-2147483648,((c_TMAP2IN)-(c_TMAP1IN))*(((A338)-(c_TMAP1IN))*((c_TMAP2OUT)-(c_TMAP1OUT))+IF(((c_TMAP2OUT)-(c_TMAP1OUT))&gt;=0,1,-1)*QUOTIENT(((c_TMAP2IN)-(c_TMAP1IN)),2)))&gt;=0,1,0)))</f>
        <v>163</v>
      </c>
      <c r="F338" s="7" t="n">
        <f aca="false">IF(((c_TMAP3IN)-(c_TMAP2IN))=0,(c_TMAP2OUT)+QUOTIENT(((c_TMAP3OUT)-(c_TMAP2OUT)),2),QUOTIENT((((A338)-(c_TMAP2IN))*((c_TMAP3OUT)-(c_TMAP2OUT))+IF(((c_TMAP3OUT)-(c_TMAP2OUT))&gt;=0,1,-1)*QUOTIENT(((c_TMAP3IN)-(c_TMAP2IN)),2)),((c_TMAP3IN)-(c_TMAP2IN)))+(c_TMAP2OUT)+IF(((c_TMAP3OUT)-(c_TMAP2OUT))&gt;=0,IF(IF(o_WRAP=1,MOD(((c_TMAP3IN)-(c_TMAP2IN))*(((A338)-(c_TMAP2IN))*((c_TMAP3OUT)-(c_TMAP2OUT))+IF(((c_TMAP3OUT)-(c_TMAP2OUT))&gt;=0,1,-1)*QUOTIENT(((c_TMAP3IN)-(c_TMAP2IN)),2))+2147483648,4294967296)-2147483648,((c_TMAP3IN)-(c_TMAP2IN))*(((A338)-(c_TMAP2IN))*((c_TMAP3OUT)-(c_TMAP2OUT))+IF(((c_TMAP3OUT)-(c_TMAP2OUT))&gt;=0,1,-1)*QUOTIENT(((c_TMAP3IN)-(c_TMAP2IN)),2)))&lt;0,-1,0),IF(IF(o_WRAP=1,MOD(((c_TMAP3IN)-(c_TMAP2IN))*(((A338)-(c_TMAP2IN))*((c_TMAP3OUT)-(c_TMAP2OUT))+IF(((c_TMAP3OUT)-(c_TMAP2OUT))&gt;=0,1,-1)*QUOTIENT(((c_TMAP3IN)-(c_TMAP2IN)),2))+2147483648,4294967296)-2147483648,((c_TMAP3IN)-(c_TMAP2IN))*(((A338)-(c_TMAP2IN))*((c_TMAP3OUT)-(c_TMAP2OUT))+IF(((c_TMAP3OUT)-(c_TMAP2OUT))&gt;=0,1,-1)*QUOTIENT(((c_TMAP3IN)-(c_TMAP2IN)),2)))&gt;=0,1,0)))</f>
        <v>188</v>
      </c>
      <c r="G338" s="7" t="n">
        <f aca="false">IF(((1000)-(c_TMAP3IN))=0,(c_TMAP3OUT)+QUOTIENT(((1000)-(c_TMAP3OUT)),2),QUOTIENT((((A338)-(c_TMAP3IN))*((1000)-(c_TMAP3OUT))+IF(((1000)-(c_TMAP3OUT))&gt;=0,1,-1)*QUOTIENT(((1000)-(c_TMAP3IN)),2)),((1000)-(c_TMAP3IN)))+(c_TMAP3OUT)+IF(((1000)-(c_TMAP3OUT))&gt;=0,IF(IF(o_WRAP=1,MOD(((1000)-(c_TMAP3IN))*(((A338)-(c_TMAP3IN))*((1000)-(c_TMAP3OUT))+IF(((1000)-(c_TMAP3OUT))&gt;=0,1,-1)*QUOTIENT(((1000)-(c_TMAP3IN)),2))+2147483648,4294967296)-2147483648,((1000)-(c_TMAP3IN))*(((A338)-(c_TMAP3IN))*((1000)-(c_TMAP3OUT))+IF(((1000)-(c_TMAP3OUT))&gt;=0,1,-1)*QUOTIENT(((1000)-(c_TMAP3IN)),2)))&lt;0,-1,0),IF(IF(o_WRAP=1,MOD(((1000)-(c_TMAP3IN))*(((A338)-(c_TMAP3IN))*((1000)-(c_TMAP3OUT))+IF(((1000)-(c_TMAP3OUT))&gt;=0,1,-1)*QUOTIENT(((1000)-(c_TMAP3IN)),2))+2147483648,4294967296)-2147483648,((1000)-(c_TMAP3IN))*(((A338)-(c_TMAP3IN))*((1000)-(c_TMAP3OUT))+IF(((1000)-(c_TMAP3OUT))&gt;=0,1,-1)*QUOTIENT(((1000)-(c_TMAP3IN)),2)))&gt;=0,1,0)))</f>
        <v>179</v>
      </c>
      <c r="H338" s="7" t="str">
        <f aca="false">IF(A338&gt;=c_TFWD,IF(AND(A338&gt;=c_TMAP3IN,c_TMAP3IN&lt;1000),"Seg4 map3-100%",IF(AND(A338&gt;=c_TMAP2IN,c_TMAP3IN&gt;c_TMAP2IN),"Seg3 map2-map3",IF(AND(A338&gt;=c_TMAP1IN,c_TMAP2IN&gt;c_TMAP1IN),"Seg2 map1-map2","Seg1 TFWD-map1"))),IF(AND(A338=0,c_TCREEP&gt;0),"Creep",IF(AND(A338&lt;=c_TRNGMIN,A338&gt;=c_TRNGMAX,c_TRNGMIN-c_TRNGMAX&lt;&gt;0),"Regen ramp","Coast (0)")))</f>
        <v>Seg3 map2-map3</v>
      </c>
      <c r="I338" s="7" t="n">
        <f aca="false">IF(A338&gt;=c_TFWD,IF(AND(A338&gt;=c_TMAP3IN,c_TMAP3IN&lt;1000),G338,IF(AND(A338&gt;=c_TMAP2IN,c_TMAP3IN&gt;c_TMAP2IN),F338,IF(AND(A338&gt;=c_TMAP1IN,c_TMAP2IN&gt;c_TMAP1IN),E338,D338))),C338)</f>
        <v>188</v>
      </c>
      <c r="J338" s="7" t="str">
        <f aca="false">IF(I338&lt;-1090,"TOO LOW",IF(I338&gt;1090,"TOO HIGH",""))</f>
        <v/>
      </c>
      <c r="K338" s="15" t="n">
        <f aca="false">IF(J338&lt;&gt;"",0,IF(I338&gt;979,1000,I338))</f>
        <v>188</v>
      </c>
      <c r="L338" s="7" t="n">
        <f aca="false">K338/10</f>
        <v>18.8</v>
      </c>
    </row>
    <row r="339" customFormat="false" ht="15" hidden="false" customHeight="false" outlineLevel="0" collapsed="false">
      <c r="A339" s="7" t="n">
        <v>334</v>
      </c>
      <c r="B339" s="7" t="n">
        <f aca="false">A339/10</f>
        <v>33.4</v>
      </c>
      <c r="C339" s="7" t="n">
        <f aca="false">IF(AND(A339=0,c_TCREEP&gt;0),10*c_TCREEP,IF(AND(A339&lt;=c_TRNGMIN,A339&gt;=c_TRNGMAX,c_TRNGMIN-c_TRNGMAX&lt;&gt;0),-10*c_TMINRN+QUOTIENT((c_TMAXRN-c_TMINRN)*(100-QUOTIENT((A339-c_TRNGMAX)*100,c_TRNGMIN-c_TRNGMAX)),-10),0))</f>
        <v>0</v>
      </c>
      <c r="D339" s="7" t="n">
        <f aca="false">IF(((c_TMAP1IN)-(c_TFWD))=0,(0)+QUOTIENT(((c_TMAP1OUT)-(0)),2),QUOTIENT((((A339)-(c_TFWD))*((c_TMAP1OUT)-(0))+IF(((c_TMAP1OUT)-(0))&gt;=0,1,-1)*QUOTIENT(((c_TMAP1IN)-(c_TFWD)),2)),((c_TMAP1IN)-(c_TFWD)))+(0)+IF(((c_TMAP1OUT)-(0))&gt;=0,IF(IF(o_WRAP=1,MOD(((c_TMAP1IN)-(c_TFWD))*(((A339)-(c_TFWD))*((c_TMAP1OUT)-(0))+IF(((c_TMAP1OUT)-(0))&gt;=0,1,-1)*QUOTIENT(((c_TMAP1IN)-(c_TFWD)),2))+2147483648,4294967296)-2147483648,((c_TMAP1IN)-(c_TFWD))*(((A339)-(c_TFWD))*((c_TMAP1OUT)-(0))+IF(((c_TMAP1OUT)-(0))&gt;=0,1,-1)*QUOTIENT(((c_TMAP1IN)-(c_TFWD)),2)))&lt;0,-1,0),IF(IF(o_WRAP=1,MOD(((c_TMAP1IN)-(c_TFWD))*(((A339)-(c_TFWD))*((c_TMAP1OUT)-(0))+IF(((c_TMAP1OUT)-(0))&gt;=0,1,-1)*QUOTIENT(((c_TMAP1IN)-(c_TFWD)),2))+2147483648,4294967296)-2147483648,((c_TMAP1IN)-(c_TFWD))*(((A339)-(c_TFWD))*((c_TMAP1OUT)-(0))+IF(((c_TMAP1OUT)-(0))&gt;=0,1,-1)*QUOTIENT(((c_TMAP1IN)-(c_TFWD)),2)))&gt;=0,1,0)))</f>
        <v>252</v>
      </c>
      <c r="E339" s="7" t="n">
        <f aca="false">IF(((c_TMAP2IN)-(c_TMAP1IN))=0,(c_TMAP1OUT)+QUOTIENT(((c_TMAP2OUT)-(c_TMAP1OUT)),2),QUOTIENT((((A339)-(c_TMAP1IN))*((c_TMAP2OUT)-(c_TMAP1OUT))+IF(((c_TMAP2OUT)-(c_TMAP1OUT))&gt;=0,1,-1)*QUOTIENT(((c_TMAP2IN)-(c_TMAP1IN)),2)),((c_TMAP2IN)-(c_TMAP1IN)))+(c_TMAP1OUT)+IF(((c_TMAP2OUT)-(c_TMAP1OUT))&gt;=0,IF(IF(o_WRAP=1,MOD(((c_TMAP2IN)-(c_TMAP1IN))*(((A339)-(c_TMAP1IN))*((c_TMAP2OUT)-(c_TMAP1OUT))+IF(((c_TMAP2OUT)-(c_TMAP1OUT))&gt;=0,1,-1)*QUOTIENT(((c_TMAP2IN)-(c_TMAP1IN)),2))+2147483648,4294967296)-2147483648,((c_TMAP2IN)-(c_TMAP1IN))*(((A339)-(c_TMAP1IN))*((c_TMAP2OUT)-(c_TMAP1OUT))+IF(((c_TMAP2OUT)-(c_TMAP1OUT))&gt;=0,1,-1)*QUOTIENT(((c_TMAP2IN)-(c_TMAP1IN)),2)))&lt;0,-1,0),IF(IF(o_WRAP=1,MOD(((c_TMAP2IN)-(c_TMAP1IN))*(((A339)-(c_TMAP1IN))*((c_TMAP2OUT)-(c_TMAP1OUT))+IF(((c_TMAP2OUT)-(c_TMAP1OUT))&gt;=0,1,-1)*QUOTIENT(((c_TMAP2IN)-(c_TMAP1IN)),2))+2147483648,4294967296)-2147483648,((c_TMAP2IN)-(c_TMAP1IN))*(((A339)-(c_TMAP1IN))*((c_TMAP2OUT)-(c_TMAP1OUT))+IF(((c_TMAP2OUT)-(c_TMAP1OUT))&gt;=0,1,-1)*QUOTIENT(((c_TMAP2IN)-(c_TMAP1IN)),2)))&gt;=0,1,0)))</f>
        <v>164</v>
      </c>
      <c r="F339" s="7" t="n">
        <f aca="false">IF(((c_TMAP3IN)-(c_TMAP2IN))=0,(c_TMAP2OUT)+QUOTIENT(((c_TMAP3OUT)-(c_TMAP2OUT)),2),QUOTIENT((((A339)-(c_TMAP2IN))*((c_TMAP3OUT)-(c_TMAP2OUT))+IF(((c_TMAP3OUT)-(c_TMAP2OUT))&gt;=0,1,-1)*QUOTIENT(((c_TMAP3IN)-(c_TMAP2IN)),2)),((c_TMAP3IN)-(c_TMAP2IN)))+(c_TMAP2OUT)+IF(((c_TMAP3OUT)-(c_TMAP2OUT))&gt;=0,IF(IF(o_WRAP=1,MOD(((c_TMAP3IN)-(c_TMAP2IN))*(((A339)-(c_TMAP2IN))*((c_TMAP3OUT)-(c_TMAP2OUT))+IF(((c_TMAP3OUT)-(c_TMAP2OUT))&gt;=0,1,-1)*QUOTIENT(((c_TMAP3IN)-(c_TMAP2IN)),2))+2147483648,4294967296)-2147483648,((c_TMAP3IN)-(c_TMAP2IN))*(((A339)-(c_TMAP2IN))*((c_TMAP3OUT)-(c_TMAP2OUT))+IF(((c_TMAP3OUT)-(c_TMAP2OUT))&gt;=0,1,-1)*QUOTIENT(((c_TMAP3IN)-(c_TMAP2IN)),2)))&lt;0,-1,0),IF(IF(o_WRAP=1,MOD(((c_TMAP3IN)-(c_TMAP2IN))*(((A339)-(c_TMAP2IN))*((c_TMAP3OUT)-(c_TMAP2OUT))+IF(((c_TMAP3OUT)-(c_TMAP2OUT))&gt;=0,1,-1)*QUOTIENT(((c_TMAP3IN)-(c_TMAP2IN)),2))+2147483648,4294967296)-2147483648,((c_TMAP3IN)-(c_TMAP2IN))*(((A339)-(c_TMAP2IN))*((c_TMAP3OUT)-(c_TMAP2OUT))+IF(((c_TMAP3OUT)-(c_TMAP2OUT))&gt;=0,1,-1)*QUOTIENT(((c_TMAP3IN)-(c_TMAP2IN)),2)))&gt;=0,1,0)))</f>
        <v>189</v>
      </c>
      <c r="G339" s="7" t="n">
        <f aca="false">IF(((1000)-(c_TMAP3IN))=0,(c_TMAP3OUT)+QUOTIENT(((1000)-(c_TMAP3OUT)),2),QUOTIENT((((A339)-(c_TMAP3IN))*((1000)-(c_TMAP3OUT))+IF(((1000)-(c_TMAP3OUT))&gt;=0,1,-1)*QUOTIENT(((1000)-(c_TMAP3IN)),2)),((1000)-(c_TMAP3IN)))+(c_TMAP3OUT)+IF(((1000)-(c_TMAP3OUT))&gt;=0,IF(IF(o_WRAP=1,MOD(((1000)-(c_TMAP3IN))*(((A339)-(c_TMAP3IN))*((1000)-(c_TMAP3OUT))+IF(((1000)-(c_TMAP3OUT))&gt;=0,1,-1)*QUOTIENT(((1000)-(c_TMAP3IN)),2))+2147483648,4294967296)-2147483648,((1000)-(c_TMAP3IN))*(((A339)-(c_TMAP3IN))*((1000)-(c_TMAP3OUT))+IF(((1000)-(c_TMAP3OUT))&gt;=0,1,-1)*QUOTIENT(((1000)-(c_TMAP3IN)),2)))&lt;0,-1,0),IF(IF(o_WRAP=1,MOD(((1000)-(c_TMAP3IN))*(((A339)-(c_TMAP3IN))*((1000)-(c_TMAP3OUT))+IF(((1000)-(c_TMAP3OUT))&gt;=0,1,-1)*QUOTIENT(((1000)-(c_TMAP3IN)),2))+2147483648,4294967296)-2147483648,((1000)-(c_TMAP3IN))*(((A339)-(c_TMAP3IN))*((1000)-(c_TMAP3OUT))+IF(((1000)-(c_TMAP3OUT))&gt;=0,1,-1)*QUOTIENT(((1000)-(c_TMAP3IN)),2)))&gt;=0,1,0)))</f>
        <v>180</v>
      </c>
      <c r="H339" s="7" t="str">
        <f aca="false">IF(A339&gt;=c_TFWD,IF(AND(A339&gt;=c_TMAP3IN,c_TMAP3IN&lt;1000),"Seg4 map3-100%",IF(AND(A339&gt;=c_TMAP2IN,c_TMAP3IN&gt;c_TMAP2IN),"Seg3 map2-map3",IF(AND(A339&gt;=c_TMAP1IN,c_TMAP2IN&gt;c_TMAP1IN),"Seg2 map1-map2","Seg1 TFWD-map1"))),IF(AND(A339=0,c_TCREEP&gt;0),"Creep",IF(AND(A339&lt;=c_TRNGMIN,A339&gt;=c_TRNGMAX,c_TRNGMIN-c_TRNGMAX&lt;&gt;0),"Regen ramp","Coast (0)")))</f>
        <v>Seg3 map2-map3</v>
      </c>
      <c r="I339" s="7" t="n">
        <f aca="false">IF(A339&gt;=c_TFWD,IF(AND(A339&gt;=c_TMAP3IN,c_TMAP3IN&lt;1000),G339,IF(AND(A339&gt;=c_TMAP2IN,c_TMAP3IN&gt;c_TMAP2IN),F339,IF(AND(A339&gt;=c_TMAP1IN,c_TMAP2IN&gt;c_TMAP1IN),E339,D339))),C339)</f>
        <v>189</v>
      </c>
      <c r="J339" s="7" t="str">
        <f aca="false">IF(I339&lt;-1090,"TOO LOW",IF(I339&gt;1090,"TOO HIGH",""))</f>
        <v/>
      </c>
      <c r="K339" s="15" t="n">
        <f aca="false">IF(J339&lt;&gt;"",0,IF(I339&gt;979,1000,I339))</f>
        <v>189</v>
      </c>
      <c r="L339" s="7" t="n">
        <f aca="false">K339/10</f>
        <v>18.9</v>
      </c>
    </row>
    <row r="340" customFormat="false" ht="15" hidden="false" customHeight="false" outlineLevel="0" collapsed="false">
      <c r="A340" s="7" t="n">
        <v>335</v>
      </c>
      <c r="B340" s="7" t="n">
        <f aca="false">A340/10</f>
        <v>33.5</v>
      </c>
      <c r="C340" s="7" t="n">
        <f aca="false">IF(AND(A340=0,c_TCREEP&gt;0),10*c_TCREEP,IF(AND(A340&lt;=c_TRNGMIN,A340&gt;=c_TRNGMAX,c_TRNGMIN-c_TRNGMAX&lt;&gt;0),-10*c_TMINRN+QUOTIENT((c_TMAXRN-c_TMINRN)*(100-QUOTIENT((A340-c_TRNGMAX)*100,c_TRNGMIN-c_TRNGMAX)),-10),0))</f>
        <v>0</v>
      </c>
      <c r="D340" s="7" t="n">
        <f aca="false">IF(((c_TMAP1IN)-(c_TFWD))=0,(0)+QUOTIENT(((c_TMAP1OUT)-(0)),2),QUOTIENT((((A340)-(c_TFWD))*((c_TMAP1OUT)-(0))+IF(((c_TMAP1OUT)-(0))&gt;=0,1,-1)*QUOTIENT(((c_TMAP1IN)-(c_TFWD)),2)),((c_TMAP1IN)-(c_TFWD)))+(0)+IF(((c_TMAP1OUT)-(0))&gt;=0,IF(IF(o_WRAP=1,MOD(((c_TMAP1IN)-(c_TFWD))*(((A340)-(c_TFWD))*((c_TMAP1OUT)-(0))+IF(((c_TMAP1OUT)-(0))&gt;=0,1,-1)*QUOTIENT(((c_TMAP1IN)-(c_TFWD)),2))+2147483648,4294967296)-2147483648,((c_TMAP1IN)-(c_TFWD))*(((A340)-(c_TFWD))*((c_TMAP1OUT)-(0))+IF(((c_TMAP1OUT)-(0))&gt;=0,1,-1)*QUOTIENT(((c_TMAP1IN)-(c_TFWD)),2)))&lt;0,-1,0),IF(IF(o_WRAP=1,MOD(((c_TMAP1IN)-(c_TFWD))*(((A340)-(c_TFWD))*((c_TMAP1OUT)-(0))+IF(((c_TMAP1OUT)-(0))&gt;=0,1,-1)*QUOTIENT(((c_TMAP1IN)-(c_TFWD)),2))+2147483648,4294967296)-2147483648,((c_TMAP1IN)-(c_TFWD))*(((A340)-(c_TFWD))*((c_TMAP1OUT)-(0))+IF(((c_TMAP1OUT)-(0))&gt;=0,1,-1)*QUOTIENT(((c_TMAP1IN)-(c_TFWD)),2)))&gt;=0,1,0)))</f>
        <v>253</v>
      </c>
      <c r="E340" s="7" t="n">
        <f aca="false">IF(((c_TMAP2IN)-(c_TMAP1IN))=0,(c_TMAP1OUT)+QUOTIENT(((c_TMAP2OUT)-(c_TMAP1OUT)),2),QUOTIENT((((A340)-(c_TMAP1IN))*((c_TMAP2OUT)-(c_TMAP1OUT))+IF(((c_TMAP2OUT)-(c_TMAP1OUT))&gt;=0,1,-1)*QUOTIENT(((c_TMAP2IN)-(c_TMAP1IN)),2)),((c_TMAP2IN)-(c_TMAP1IN)))+(c_TMAP1OUT)+IF(((c_TMAP2OUT)-(c_TMAP1OUT))&gt;=0,IF(IF(o_WRAP=1,MOD(((c_TMAP2IN)-(c_TMAP1IN))*(((A340)-(c_TMAP1IN))*((c_TMAP2OUT)-(c_TMAP1OUT))+IF(((c_TMAP2OUT)-(c_TMAP1OUT))&gt;=0,1,-1)*QUOTIENT(((c_TMAP2IN)-(c_TMAP1IN)),2))+2147483648,4294967296)-2147483648,((c_TMAP2IN)-(c_TMAP1IN))*(((A340)-(c_TMAP1IN))*((c_TMAP2OUT)-(c_TMAP1OUT))+IF(((c_TMAP2OUT)-(c_TMAP1OUT))&gt;=0,1,-1)*QUOTIENT(((c_TMAP2IN)-(c_TMAP1IN)),2)))&lt;0,-1,0),IF(IF(o_WRAP=1,MOD(((c_TMAP2IN)-(c_TMAP1IN))*(((A340)-(c_TMAP1IN))*((c_TMAP2OUT)-(c_TMAP1OUT))+IF(((c_TMAP2OUT)-(c_TMAP1OUT))&gt;=0,1,-1)*QUOTIENT(((c_TMAP2IN)-(c_TMAP1IN)),2))+2147483648,4294967296)-2147483648,((c_TMAP2IN)-(c_TMAP1IN))*(((A340)-(c_TMAP1IN))*((c_TMAP2OUT)-(c_TMAP1OUT))+IF(((c_TMAP2OUT)-(c_TMAP1OUT))&gt;=0,1,-1)*QUOTIENT(((c_TMAP2IN)-(c_TMAP1IN)),2)))&gt;=0,1,0)))</f>
        <v>164</v>
      </c>
      <c r="F340" s="7" t="n">
        <f aca="false">IF(((c_TMAP3IN)-(c_TMAP2IN))=0,(c_TMAP2OUT)+QUOTIENT(((c_TMAP3OUT)-(c_TMAP2OUT)),2),QUOTIENT((((A340)-(c_TMAP2IN))*((c_TMAP3OUT)-(c_TMAP2OUT))+IF(((c_TMAP3OUT)-(c_TMAP2OUT))&gt;=0,1,-1)*QUOTIENT(((c_TMAP3IN)-(c_TMAP2IN)),2)),((c_TMAP3IN)-(c_TMAP2IN)))+(c_TMAP2OUT)+IF(((c_TMAP3OUT)-(c_TMAP2OUT))&gt;=0,IF(IF(o_WRAP=1,MOD(((c_TMAP3IN)-(c_TMAP2IN))*(((A340)-(c_TMAP2IN))*((c_TMAP3OUT)-(c_TMAP2OUT))+IF(((c_TMAP3OUT)-(c_TMAP2OUT))&gt;=0,1,-1)*QUOTIENT(((c_TMAP3IN)-(c_TMAP2IN)),2))+2147483648,4294967296)-2147483648,((c_TMAP3IN)-(c_TMAP2IN))*(((A340)-(c_TMAP2IN))*((c_TMAP3OUT)-(c_TMAP2OUT))+IF(((c_TMAP3OUT)-(c_TMAP2OUT))&gt;=0,1,-1)*QUOTIENT(((c_TMAP3IN)-(c_TMAP2IN)),2)))&lt;0,-1,0),IF(IF(o_WRAP=1,MOD(((c_TMAP3IN)-(c_TMAP2IN))*(((A340)-(c_TMAP2IN))*((c_TMAP3OUT)-(c_TMAP2OUT))+IF(((c_TMAP3OUT)-(c_TMAP2OUT))&gt;=0,1,-1)*QUOTIENT(((c_TMAP3IN)-(c_TMAP2IN)),2))+2147483648,4294967296)-2147483648,((c_TMAP3IN)-(c_TMAP2IN))*(((A340)-(c_TMAP2IN))*((c_TMAP3OUT)-(c_TMAP2OUT))+IF(((c_TMAP3OUT)-(c_TMAP2OUT))&gt;=0,1,-1)*QUOTIENT(((c_TMAP3IN)-(c_TMAP2IN)),2)))&gt;=0,1,0)))</f>
        <v>190</v>
      </c>
      <c r="G340" s="7" t="n">
        <f aca="false">IF(((1000)-(c_TMAP3IN))=0,(c_TMAP3OUT)+QUOTIENT(((1000)-(c_TMAP3OUT)),2),QUOTIENT((((A340)-(c_TMAP3IN))*((1000)-(c_TMAP3OUT))+IF(((1000)-(c_TMAP3OUT))&gt;=0,1,-1)*QUOTIENT(((1000)-(c_TMAP3IN)),2)),((1000)-(c_TMAP3IN)))+(c_TMAP3OUT)+IF(((1000)-(c_TMAP3OUT))&gt;=0,IF(IF(o_WRAP=1,MOD(((1000)-(c_TMAP3IN))*(((A340)-(c_TMAP3IN))*((1000)-(c_TMAP3OUT))+IF(((1000)-(c_TMAP3OUT))&gt;=0,1,-1)*QUOTIENT(((1000)-(c_TMAP3IN)),2))+2147483648,4294967296)-2147483648,((1000)-(c_TMAP3IN))*(((A340)-(c_TMAP3IN))*((1000)-(c_TMAP3OUT))+IF(((1000)-(c_TMAP3OUT))&gt;=0,1,-1)*QUOTIENT(((1000)-(c_TMAP3IN)),2)))&lt;0,-1,0),IF(IF(o_WRAP=1,MOD(((1000)-(c_TMAP3IN))*(((A340)-(c_TMAP3IN))*((1000)-(c_TMAP3OUT))+IF(((1000)-(c_TMAP3OUT))&gt;=0,1,-1)*QUOTIENT(((1000)-(c_TMAP3IN)),2))+2147483648,4294967296)-2147483648,((1000)-(c_TMAP3IN))*(((A340)-(c_TMAP3IN))*((1000)-(c_TMAP3OUT))+IF(((1000)-(c_TMAP3OUT))&gt;=0,1,-1)*QUOTIENT(((1000)-(c_TMAP3IN)),2)))&gt;=0,1,0)))</f>
        <v>182</v>
      </c>
      <c r="H340" s="7" t="str">
        <f aca="false">IF(A340&gt;=c_TFWD,IF(AND(A340&gt;=c_TMAP3IN,c_TMAP3IN&lt;1000),"Seg4 map3-100%",IF(AND(A340&gt;=c_TMAP2IN,c_TMAP3IN&gt;c_TMAP2IN),"Seg3 map2-map3",IF(AND(A340&gt;=c_TMAP1IN,c_TMAP2IN&gt;c_TMAP1IN),"Seg2 map1-map2","Seg1 TFWD-map1"))),IF(AND(A340=0,c_TCREEP&gt;0),"Creep",IF(AND(A340&lt;=c_TRNGMIN,A340&gt;=c_TRNGMAX,c_TRNGMIN-c_TRNGMAX&lt;&gt;0),"Regen ramp","Coast (0)")))</f>
        <v>Seg3 map2-map3</v>
      </c>
      <c r="I340" s="7" t="n">
        <f aca="false">IF(A340&gt;=c_TFWD,IF(AND(A340&gt;=c_TMAP3IN,c_TMAP3IN&lt;1000),G340,IF(AND(A340&gt;=c_TMAP2IN,c_TMAP3IN&gt;c_TMAP2IN),F340,IF(AND(A340&gt;=c_TMAP1IN,c_TMAP2IN&gt;c_TMAP1IN),E340,D340))),C340)</f>
        <v>190</v>
      </c>
      <c r="J340" s="7" t="str">
        <f aca="false">IF(I340&lt;-1090,"TOO LOW",IF(I340&gt;1090,"TOO HIGH",""))</f>
        <v/>
      </c>
      <c r="K340" s="15" t="n">
        <f aca="false">IF(J340&lt;&gt;"",0,IF(I340&gt;979,1000,I340))</f>
        <v>190</v>
      </c>
      <c r="L340" s="7" t="n">
        <f aca="false">K340/10</f>
        <v>19</v>
      </c>
    </row>
    <row r="341" customFormat="false" ht="15" hidden="false" customHeight="false" outlineLevel="0" collapsed="false">
      <c r="A341" s="7" t="n">
        <v>336</v>
      </c>
      <c r="B341" s="7" t="n">
        <f aca="false">A341/10</f>
        <v>33.6</v>
      </c>
      <c r="C341" s="7" t="n">
        <f aca="false">IF(AND(A341=0,c_TCREEP&gt;0),10*c_TCREEP,IF(AND(A341&lt;=c_TRNGMIN,A341&gt;=c_TRNGMAX,c_TRNGMIN-c_TRNGMAX&lt;&gt;0),-10*c_TMINRN+QUOTIENT((c_TMAXRN-c_TMINRN)*(100-QUOTIENT((A341-c_TRNGMAX)*100,c_TRNGMIN-c_TRNGMAX)),-10),0))</f>
        <v>0</v>
      </c>
      <c r="D341" s="7" t="n">
        <f aca="false">IF(((c_TMAP1IN)-(c_TFWD))=0,(0)+QUOTIENT(((c_TMAP1OUT)-(0)),2),QUOTIENT((((A341)-(c_TFWD))*((c_TMAP1OUT)-(0))+IF(((c_TMAP1OUT)-(0))&gt;=0,1,-1)*QUOTIENT(((c_TMAP1IN)-(c_TFWD)),2)),((c_TMAP1IN)-(c_TFWD)))+(0)+IF(((c_TMAP1OUT)-(0))&gt;=0,IF(IF(o_WRAP=1,MOD(((c_TMAP1IN)-(c_TFWD))*(((A341)-(c_TFWD))*((c_TMAP1OUT)-(0))+IF(((c_TMAP1OUT)-(0))&gt;=0,1,-1)*QUOTIENT(((c_TMAP1IN)-(c_TFWD)),2))+2147483648,4294967296)-2147483648,((c_TMAP1IN)-(c_TFWD))*(((A341)-(c_TFWD))*((c_TMAP1OUT)-(0))+IF(((c_TMAP1OUT)-(0))&gt;=0,1,-1)*QUOTIENT(((c_TMAP1IN)-(c_TFWD)),2)))&lt;0,-1,0),IF(IF(o_WRAP=1,MOD(((c_TMAP1IN)-(c_TFWD))*(((A341)-(c_TFWD))*((c_TMAP1OUT)-(0))+IF(((c_TMAP1OUT)-(0))&gt;=0,1,-1)*QUOTIENT(((c_TMAP1IN)-(c_TFWD)),2))+2147483648,4294967296)-2147483648,((c_TMAP1IN)-(c_TFWD))*(((A341)-(c_TFWD))*((c_TMAP1OUT)-(0))+IF(((c_TMAP1OUT)-(0))&gt;=0,1,-1)*QUOTIENT(((c_TMAP1IN)-(c_TFWD)),2)))&gt;=0,1,0)))</f>
        <v>254</v>
      </c>
      <c r="E341" s="7" t="n">
        <f aca="false">IF(((c_TMAP2IN)-(c_TMAP1IN))=0,(c_TMAP1OUT)+QUOTIENT(((c_TMAP2OUT)-(c_TMAP1OUT)),2),QUOTIENT((((A341)-(c_TMAP1IN))*((c_TMAP2OUT)-(c_TMAP1OUT))+IF(((c_TMAP2OUT)-(c_TMAP1OUT))&gt;=0,1,-1)*QUOTIENT(((c_TMAP2IN)-(c_TMAP1IN)),2)),((c_TMAP2IN)-(c_TMAP1IN)))+(c_TMAP1OUT)+IF(((c_TMAP2OUT)-(c_TMAP1OUT))&gt;=0,IF(IF(o_WRAP=1,MOD(((c_TMAP2IN)-(c_TMAP1IN))*(((A341)-(c_TMAP1IN))*((c_TMAP2OUT)-(c_TMAP1OUT))+IF(((c_TMAP2OUT)-(c_TMAP1OUT))&gt;=0,1,-1)*QUOTIENT(((c_TMAP2IN)-(c_TMAP1IN)),2))+2147483648,4294967296)-2147483648,((c_TMAP2IN)-(c_TMAP1IN))*(((A341)-(c_TMAP1IN))*((c_TMAP2OUT)-(c_TMAP1OUT))+IF(((c_TMAP2OUT)-(c_TMAP1OUT))&gt;=0,1,-1)*QUOTIENT(((c_TMAP2IN)-(c_TMAP1IN)),2)))&lt;0,-1,0),IF(IF(o_WRAP=1,MOD(((c_TMAP2IN)-(c_TMAP1IN))*(((A341)-(c_TMAP1IN))*((c_TMAP2OUT)-(c_TMAP1OUT))+IF(((c_TMAP2OUT)-(c_TMAP1OUT))&gt;=0,1,-1)*QUOTIENT(((c_TMAP2IN)-(c_TMAP1IN)),2))+2147483648,4294967296)-2147483648,((c_TMAP2IN)-(c_TMAP1IN))*(((A341)-(c_TMAP1IN))*((c_TMAP2OUT)-(c_TMAP1OUT))+IF(((c_TMAP2OUT)-(c_TMAP1OUT))&gt;=0,1,-1)*QUOTIENT(((c_TMAP2IN)-(c_TMAP1IN)),2)))&gt;=0,1,0)))</f>
        <v>164</v>
      </c>
      <c r="F341" s="7" t="n">
        <f aca="false">IF(((c_TMAP3IN)-(c_TMAP2IN))=0,(c_TMAP2OUT)+QUOTIENT(((c_TMAP3OUT)-(c_TMAP2OUT)),2),QUOTIENT((((A341)-(c_TMAP2IN))*((c_TMAP3OUT)-(c_TMAP2OUT))+IF(((c_TMAP3OUT)-(c_TMAP2OUT))&gt;=0,1,-1)*QUOTIENT(((c_TMAP3IN)-(c_TMAP2IN)),2)),((c_TMAP3IN)-(c_TMAP2IN)))+(c_TMAP2OUT)+IF(((c_TMAP3OUT)-(c_TMAP2OUT))&gt;=0,IF(IF(o_WRAP=1,MOD(((c_TMAP3IN)-(c_TMAP2IN))*(((A341)-(c_TMAP2IN))*((c_TMAP3OUT)-(c_TMAP2OUT))+IF(((c_TMAP3OUT)-(c_TMAP2OUT))&gt;=0,1,-1)*QUOTIENT(((c_TMAP3IN)-(c_TMAP2IN)),2))+2147483648,4294967296)-2147483648,((c_TMAP3IN)-(c_TMAP2IN))*(((A341)-(c_TMAP2IN))*((c_TMAP3OUT)-(c_TMAP2OUT))+IF(((c_TMAP3OUT)-(c_TMAP2OUT))&gt;=0,1,-1)*QUOTIENT(((c_TMAP3IN)-(c_TMAP2IN)),2)))&lt;0,-1,0),IF(IF(o_WRAP=1,MOD(((c_TMAP3IN)-(c_TMAP2IN))*(((A341)-(c_TMAP2IN))*((c_TMAP3OUT)-(c_TMAP2OUT))+IF(((c_TMAP3OUT)-(c_TMAP2OUT))&gt;=0,1,-1)*QUOTIENT(((c_TMAP3IN)-(c_TMAP2IN)),2))+2147483648,4294967296)-2147483648,((c_TMAP3IN)-(c_TMAP2IN))*(((A341)-(c_TMAP2IN))*((c_TMAP3OUT)-(c_TMAP2OUT))+IF(((c_TMAP3OUT)-(c_TMAP2OUT))&gt;=0,1,-1)*QUOTIENT(((c_TMAP3IN)-(c_TMAP2IN)),2)))&gt;=0,1,0)))</f>
        <v>190</v>
      </c>
      <c r="G341" s="7" t="n">
        <f aca="false">IF(((1000)-(c_TMAP3IN))=0,(c_TMAP3OUT)+QUOTIENT(((1000)-(c_TMAP3OUT)),2),QUOTIENT((((A341)-(c_TMAP3IN))*((1000)-(c_TMAP3OUT))+IF(((1000)-(c_TMAP3OUT))&gt;=0,1,-1)*QUOTIENT(((1000)-(c_TMAP3IN)),2)),((1000)-(c_TMAP3IN)))+(c_TMAP3OUT)+IF(((1000)-(c_TMAP3OUT))&gt;=0,IF(IF(o_WRAP=1,MOD(((1000)-(c_TMAP3IN))*(((A341)-(c_TMAP3IN))*((1000)-(c_TMAP3OUT))+IF(((1000)-(c_TMAP3OUT))&gt;=0,1,-1)*QUOTIENT(((1000)-(c_TMAP3IN)),2))+2147483648,4294967296)-2147483648,((1000)-(c_TMAP3IN))*(((A341)-(c_TMAP3IN))*((1000)-(c_TMAP3OUT))+IF(((1000)-(c_TMAP3OUT))&gt;=0,1,-1)*QUOTIENT(((1000)-(c_TMAP3IN)),2)))&lt;0,-1,0),IF(IF(o_WRAP=1,MOD(((1000)-(c_TMAP3IN))*(((A341)-(c_TMAP3IN))*((1000)-(c_TMAP3OUT))+IF(((1000)-(c_TMAP3OUT))&gt;=0,1,-1)*QUOTIENT(((1000)-(c_TMAP3IN)),2))+2147483648,4294967296)-2147483648,((1000)-(c_TMAP3IN))*(((A341)-(c_TMAP3IN))*((1000)-(c_TMAP3OUT))+IF(((1000)-(c_TMAP3OUT))&gt;=0,1,-1)*QUOTIENT(((1000)-(c_TMAP3IN)),2)))&gt;=0,1,0)))</f>
        <v>183</v>
      </c>
      <c r="H341" s="7" t="str">
        <f aca="false">IF(A341&gt;=c_TFWD,IF(AND(A341&gt;=c_TMAP3IN,c_TMAP3IN&lt;1000),"Seg4 map3-100%",IF(AND(A341&gt;=c_TMAP2IN,c_TMAP3IN&gt;c_TMAP2IN),"Seg3 map2-map3",IF(AND(A341&gt;=c_TMAP1IN,c_TMAP2IN&gt;c_TMAP1IN),"Seg2 map1-map2","Seg1 TFWD-map1"))),IF(AND(A341=0,c_TCREEP&gt;0),"Creep",IF(AND(A341&lt;=c_TRNGMIN,A341&gt;=c_TRNGMAX,c_TRNGMIN-c_TRNGMAX&lt;&gt;0),"Regen ramp","Coast (0)")))</f>
        <v>Seg3 map2-map3</v>
      </c>
      <c r="I341" s="7" t="n">
        <f aca="false">IF(A341&gt;=c_TFWD,IF(AND(A341&gt;=c_TMAP3IN,c_TMAP3IN&lt;1000),G341,IF(AND(A341&gt;=c_TMAP2IN,c_TMAP3IN&gt;c_TMAP2IN),F341,IF(AND(A341&gt;=c_TMAP1IN,c_TMAP2IN&gt;c_TMAP1IN),E341,D341))),C341)</f>
        <v>190</v>
      </c>
      <c r="J341" s="7" t="str">
        <f aca="false">IF(I341&lt;-1090,"TOO LOW",IF(I341&gt;1090,"TOO HIGH",""))</f>
        <v/>
      </c>
      <c r="K341" s="15" t="n">
        <f aca="false">IF(J341&lt;&gt;"",0,IF(I341&gt;979,1000,I341))</f>
        <v>190</v>
      </c>
      <c r="L341" s="7" t="n">
        <f aca="false">K341/10</f>
        <v>19</v>
      </c>
    </row>
    <row r="342" customFormat="false" ht="15" hidden="false" customHeight="false" outlineLevel="0" collapsed="false">
      <c r="A342" s="7" t="n">
        <v>337</v>
      </c>
      <c r="B342" s="7" t="n">
        <f aca="false">A342/10</f>
        <v>33.7</v>
      </c>
      <c r="C342" s="7" t="n">
        <f aca="false">IF(AND(A342=0,c_TCREEP&gt;0),10*c_TCREEP,IF(AND(A342&lt;=c_TRNGMIN,A342&gt;=c_TRNGMAX,c_TRNGMIN-c_TRNGMAX&lt;&gt;0),-10*c_TMINRN+QUOTIENT((c_TMAXRN-c_TMINRN)*(100-QUOTIENT((A342-c_TRNGMAX)*100,c_TRNGMIN-c_TRNGMAX)),-10),0))</f>
        <v>0</v>
      </c>
      <c r="D342" s="7" t="n">
        <f aca="false">IF(((c_TMAP1IN)-(c_TFWD))=0,(0)+QUOTIENT(((c_TMAP1OUT)-(0)),2),QUOTIENT((((A342)-(c_TFWD))*((c_TMAP1OUT)-(0))+IF(((c_TMAP1OUT)-(0))&gt;=0,1,-1)*QUOTIENT(((c_TMAP1IN)-(c_TFWD)),2)),((c_TMAP1IN)-(c_TFWD)))+(0)+IF(((c_TMAP1OUT)-(0))&gt;=0,IF(IF(o_WRAP=1,MOD(((c_TMAP1IN)-(c_TFWD))*(((A342)-(c_TFWD))*((c_TMAP1OUT)-(0))+IF(((c_TMAP1OUT)-(0))&gt;=0,1,-1)*QUOTIENT(((c_TMAP1IN)-(c_TFWD)),2))+2147483648,4294967296)-2147483648,((c_TMAP1IN)-(c_TFWD))*(((A342)-(c_TFWD))*((c_TMAP1OUT)-(0))+IF(((c_TMAP1OUT)-(0))&gt;=0,1,-1)*QUOTIENT(((c_TMAP1IN)-(c_TFWD)),2)))&lt;0,-1,0),IF(IF(o_WRAP=1,MOD(((c_TMAP1IN)-(c_TFWD))*(((A342)-(c_TFWD))*((c_TMAP1OUT)-(0))+IF(((c_TMAP1OUT)-(0))&gt;=0,1,-1)*QUOTIENT(((c_TMAP1IN)-(c_TFWD)),2))+2147483648,4294967296)-2147483648,((c_TMAP1IN)-(c_TFWD))*(((A342)-(c_TFWD))*((c_TMAP1OUT)-(0))+IF(((c_TMAP1OUT)-(0))&gt;=0,1,-1)*QUOTIENT(((c_TMAP1IN)-(c_TFWD)),2)))&gt;=0,1,0)))</f>
        <v>254</v>
      </c>
      <c r="E342" s="7" t="n">
        <f aca="false">IF(((c_TMAP2IN)-(c_TMAP1IN))=0,(c_TMAP1OUT)+QUOTIENT(((c_TMAP2OUT)-(c_TMAP1OUT)),2),QUOTIENT((((A342)-(c_TMAP1IN))*((c_TMAP2OUT)-(c_TMAP1OUT))+IF(((c_TMAP2OUT)-(c_TMAP1OUT))&gt;=0,1,-1)*QUOTIENT(((c_TMAP2IN)-(c_TMAP1IN)),2)),((c_TMAP2IN)-(c_TMAP1IN)))+(c_TMAP1OUT)+IF(((c_TMAP2OUT)-(c_TMAP1OUT))&gt;=0,IF(IF(o_WRAP=1,MOD(((c_TMAP2IN)-(c_TMAP1IN))*(((A342)-(c_TMAP1IN))*((c_TMAP2OUT)-(c_TMAP1OUT))+IF(((c_TMAP2OUT)-(c_TMAP1OUT))&gt;=0,1,-1)*QUOTIENT(((c_TMAP2IN)-(c_TMAP1IN)),2))+2147483648,4294967296)-2147483648,((c_TMAP2IN)-(c_TMAP1IN))*(((A342)-(c_TMAP1IN))*((c_TMAP2OUT)-(c_TMAP1OUT))+IF(((c_TMAP2OUT)-(c_TMAP1OUT))&gt;=0,1,-1)*QUOTIENT(((c_TMAP2IN)-(c_TMAP1IN)),2)))&lt;0,-1,0),IF(IF(o_WRAP=1,MOD(((c_TMAP2IN)-(c_TMAP1IN))*(((A342)-(c_TMAP1IN))*((c_TMAP2OUT)-(c_TMAP1OUT))+IF(((c_TMAP2OUT)-(c_TMAP1OUT))&gt;=0,1,-1)*QUOTIENT(((c_TMAP2IN)-(c_TMAP1IN)),2))+2147483648,4294967296)-2147483648,((c_TMAP2IN)-(c_TMAP1IN))*(((A342)-(c_TMAP1IN))*((c_TMAP2OUT)-(c_TMAP1OUT))+IF(((c_TMAP2OUT)-(c_TMAP1OUT))&gt;=0,1,-1)*QUOTIENT(((c_TMAP2IN)-(c_TMAP1IN)),2)))&gt;=0,1,0)))</f>
        <v>165</v>
      </c>
      <c r="F342" s="7" t="n">
        <f aca="false">IF(((c_TMAP3IN)-(c_TMAP2IN))=0,(c_TMAP2OUT)+QUOTIENT(((c_TMAP3OUT)-(c_TMAP2OUT)),2),QUOTIENT((((A342)-(c_TMAP2IN))*((c_TMAP3OUT)-(c_TMAP2OUT))+IF(((c_TMAP3OUT)-(c_TMAP2OUT))&gt;=0,1,-1)*QUOTIENT(((c_TMAP3IN)-(c_TMAP2IN)),2)),((c_TMAP3IN)-(c_TMAP2IN)))+(c_TMAP2OUT)+IF(((c_TMAP3OUT)-(c_TMAP2OUT))&gt;=0,IF(IF(o_WRAP=1,MOD(((c_TMAP3IN)-(c_TMAP2IN))*(((A342)-(c_TMAP2IN))*((c_TMAP3OUT)-(c_TMAP2OUT))+IF(((c_TMAP3OUT)-(c_TMAP2OUT))&gt;=0,1,-1)*QUOTIENT(((c_TMAP3IN)-(c_TMAP2IN)),2))+2147483648,4294967296)-2147483648,((c_TMAP3IN)-(c_TMAP2IN))*(((A342)-(c_TMAP2IN))*((c_TMAP3OUT)-(c_TMAP2OUT))+IF(((c_TMAP3OUT)-(c_TMAP2OUT))&gt;=0,1,-1)*QUOTIENT(((c_TMAP3IN)-(c_TMAP2IN)),2)))&lt;0,-1,0),IF(IF(o_WRAP=1,MOD(((c_TMAP3IN)-(c_TMAP2IN))*(((A342)-(c_TMAP2IN))*((c_TMAP3OUT)-(c_TMAP2OUT))+IF(((c_TMAP3OUT)-(c_TMAP2OUT))&gt;=0,1,-1)*QUOTIENT(((c_TMAP3IN)-(c_TMAP2IN)),2))+2147483648,4294967296)-2147483648,((c_TMAP3IN)-(c_TMAP2IN))*(((A342)-(c_TMAP2IN))*((c_TMAP3OUT)-(c_TMAP2OUT))+IF(((c_TMAP3OUT)-(c_TMAP2OUT))&gt;=0,1,-1)*QUOTIENT(((c_TMAP3IN)-(c_TMAP2IN)),2)))&gt;=0,1,0)))</f>
        <v>191</v>
      </c>
      <c r="G342" s="7" t="n">
        <f aca="false">IF(((1000)-(c_TMAP3IN))=0,(c_TMAP3OUT)+QUOTIENT(((1000)-(c_TMAP3OUT)),2),QUOTIENT((((A342)-(c_TMAP3IN))*((1000)-(c_TMAP3OUT))+IF(((1000)-(c_TMAP3OUT))&gt;=0,1,-1)*QUOTIENT(((1000)-(c_TMAP3IN)),2)),((1000)-(c_TMAP3IN)))+(c_TMAP3OUT)+IF(((1000)-(c_TMAP3OUT))&gt;=0,IF(IF(o_WRAP=1,MOD(((1000)-(c_TMAP3IN))*(((A342)-(c_TMAP3IN))*((1000)-(c_TMAP3OUT))+IF(((1000)-(c_TMAP3OUT))&gt;=0,1,-1)*QUOTIENT(((1000)-(c_TMAP3IN)),2))+2147483648,4294967296)-2147483648,((1000)-(c_TMAP3IN))*(((A342)-(c_TMAP3IN))*((1000)-(c_TMAP3OUT))+IF(((1000)-(c_TMAP3OUT))&gt;=0,1,-1)*QUOTIENT(((1000)-(c_TMAP3IN)),2)))&lt;0,-1,0),IF(IF(o_WRAP=1,MOD(((1000)-(c_TMAP3IN))*(((A342)-(c_TMAP3IN))*((1000)-(c_TMAP3OUT))+IF(((1000)-(c_TMAP3OUT))&gt;=0,1,-1)*QUOTIENT(((1000)-(c_TMAP3IN)),2))+2147483648,4294967296)-2147483648,((1000)-(c_TMAP3IN))*(((A342)-(c_TMAP3IN))*((1000)-(c_TMAP3OUT))+IF(((1000)-(c_TMAP3OUT))&gt;=0,1,-1)*QUOTIENT(((1000)-(c_TMAP3IN)),2)))&gt;=0,1,0)))</f>
        <v>184</v>
      </c>
      <c r="H342" s="7" t="str">
        <f aca="false">IF(A342&gt;=c_TFWD,IF(AND(A342&gt;=c_TMAP3IN,c_TMAP3IN&lt;1000),"Seg4 map3-100%",IF(AND(A342&gt;=c_TMAP2IN,c_TMAP3IN&gt;c_TMAP2IN),"Seg3 map2-map3",IF(AND(A342&gt;=c_TMAP1IN,c_TMAP2IN&gt;c_TMAP1IN),"Seg2 map1-map2","Seg1 TFWD-map1"))),IF(AND(A342=0,c_TCREEP&gt;0),"Creep",IF(AND(A342&lt;=c_TRNGMIN,A342&gt;=c_TRNGMAX,c_TRNGMIN-c_TRNGMAX&lt;&gt;0),"Regen ramp","Coast (0)")))</f>
        <v>Seg3 map2-map3</v>
      </c>
      <c r="I342" s="7" t="n">
        <f aca="false">IF(A342&gt;=c_TFWD,IF(AND(A342&gt;=c_TMAP3IN,c_TMAP3IN&lt;1000),G342,IF(AND(A342&gt;=c_TMAP2IN,c_TMAP3IN&gt;c_TMAP2IN),F342,IF(AND(A342&gt;=c_TMAP1IN,c_TMAP2IN&gt;c_TMAP1IN),E342,D342))),C342)</f>
        <v>191</v>
      </c>
      <c r="J342" s="7" t="str">
        <f aca="false">IF(I342&lt;-1090,"TOO LOW",IF(I342&gt;1090,"TOO HIGH",""))</f>
        <v/>
      </c>
      <c r="K342" s="15" t="n">
        <f aca="false">IF(J342&lt;&gt;"",0,IF(I342&gt;979,1000,I342))</f>
        <v>191</v>
      </c>
      <c r="L342" s="7" t="n">
        <f aca="false">K342/10</f>
        <v>19.1</v>
      </c>
    </row>
    <row r="343" customFormat="false" ht="15" hidden="false" customHeight="false" outlineLevel="0" collapsed="false">
      <c r="A343" s="7" t="n">
        <v>338</v>
      </c>
      <c r="B343" s="7" t="n">
        <f aca="false">A343/10</f>
        <v>33.8</v>
      </c>
      <c r="C343" s="7" t="n">
        <f aca="false">IF(AND(A343=0,c_TCREEP&gt;0),10*c_TCREEP,IF(AND(A343&lt;=c_TRNGMIN,A343&gt;=c_TRNGMAX,c_TRNGMIN-c_TRNGMAX&lt;&gt;0),-10*c_TMINRN+QUOTIENT((c_TMAXRN-c_TMINRN)*(100-QUOTIENT((A343-c_TRNGMAX)*100,c_TRNGMIN-c_TRNGMAX)),-10),0))</f>
        <v>0</v>
      </c>
      <c r="D343" s="7" t="n">
        <f aca="false">IF(((c_TMAP1IN)-(c_TFWD))=0,(0)+QUOTIENT(((c_TMAP1OUT)-(0)),2),QUOTIENT((((A343)-(c_TFWD))*((c_TMAP1OUT)-(0))+IF(((c_TMAP1OUT)-(0))&gt;=0,1,-1)*QUOTIENT(((c_TMAP1IN)-(c_TFWD)),2)),((c_TMAP1IN)-(c_TFWD)))+(0)+IF(((c_TMAP1OUT)-(0))&gt;=0,IF(IF(o_WRAP=1,MOD(((c_TMAP1IN)-(c_TFWD))*(((A343)-(c_TFWD))*((c_TMAP1OUT)-(0))+IF(((c_TMAP1OUT)-(0))&gt;=0,1,-1)*QUOTIENT(((c_TMAP1IN)-(c_TFWD)),2))+2147483648,4294967296)-2147483648,((c_TMAP1IN)-(c_TFWD))*(((A343)-(c_TFWD))*((c_TMAP1OUT)-(0))+IF(((c_TMAP1OUT)-(0))&gt;=0,1,-1)*QUOTIENT(((c_TMAP1IN)-(c_TFWD)),2)))&lt;0,-1,0),IF(IF(o_WRAP=1,MOD(((c_TMAP1IN)-(c_TFWD))*(((A343)-(c_TFWD))*((c_TMAP1OUT)-(0))+IF(((c_TMAP1OUT)-(0))&gt;=0,1,-1)*QUOTIENT(((c_TMAP1IN)-(c_TFWD)),2))+2147483648,4294967296)-2147483648,((c_TMAP1IN)-(c_TFWD))*(((A343)-(c_TFWD))*((c_TMAP1OUT)-(0))+IF(((c_TMAP1OUT)-(0))&gt;=0,1,-1)*QUOTIENT(((c_TMAP1IN)-(c_TFWD)),2)))&gt;=0,1,0)))</f>
        <v>255</v>
      </c>
      <c r="E343" s="7" t="n">
        <f aca="false">IF(((c_TMAP2IN)-(c_TMAP1IN))=0,(c_TMAP1OUT)+QUOTIENT(((c_TMAP2OUT)-(c_TMAP1OUT)),2),QUOTIENT((((A343)-(c_TMAP1IN))*((c_TMAP2OUT)-(c_TMAP1OUT))+IF(((c_TMAP2OUT)-(c_TMAP1OUT))&gt;=0,1,-1)*QUOTIENT(((c_TMAP2IN)-(c_TMAP1IN)),2)),((c_TMAP2IN)-(c_TMAP1IN)))+(c_TMAP1OUT)+IF(((c_TMAP2OUT)-(c_TMAP1OUT))&gt;=0,IF(IF(o_WRAP=1,MOD(((c_TMAP2IN)-(c_TMAP1IN))*(((A343)-(c_TMAP1IN))*((c_TMAP2OUT)-(c_TMAP1OUT))+IF(((c_TMAP2OUT)-(c_TMAP1OUT))&gt;=0,1,-1)*QUOTIENT(((c_TMAP2IN)-(c_TMAP1IN)),2))+2147483648,4294967296)-2147483648,((c_TMAP2IN)-(c_TMAP1IN))*(((A343)-(c_TMAP1IN))*((c_TMAP2OUT)-(c_TMAP1OUT))+IF(((c_TMAP2OUT)-(c_TMAP1OUT))&gt;=0,1,-1)*QUOTIENT(((c_TMAP2IN)-(c_TMAP1IN)),2)))&lt;0,-1,0),IF(IF(o_WRAP=1,MOD(((c_TMAP2IN)-(c_TMAP1IN))*(((A343)-(c_TMAP1IN))*((c_TMAP2OUT)-(c_TMAP1OUT))+IF(((c_TMAP2OUT)-(c_TMAP1OUT))&gt;=0,1,-1)*QUOTIENT(((c_TMAP2IN)-(c_TMAP1IN)),2))+2147483648,4294967296)-2147483648,((c_TMAP2IN)-(c_TMAP1IN))*(((A343)-(c_TMAP1IN))*((c_TMAP2OUT)-(c_TMAP1OUT))+IF(((c_TMAP2OUT)-(c_TMAP1OUT))&gt;=0,1,-1)*QUOTIENT(((c_TMAP2IN)-(c_TMAP1IN)),2)))&gt;=0,1,0)))</f>
        <v>165</v>
      </c>
      <c r="F343" s="7" t="n">
        <f aca="false">IF(((c_TMAP3IN)-(c_TMAP2IN))=0,(c_TMAP2OUT)+QUOTIENT(((c_TMAP3OUT)-(c_TMAP2OUT)),2),QUOTIENT((((A343)-(c_TMAP2IN))*((c_TMAP3OUT)-(c_TMAP2OUT))+IF(((c_TMAP3OUT)-(c_TMAP2OUT))&gt;=0,1,-1)*QUOTIENT(((c_TMAP3IN)-(c_TMAP2IN)),2)),((c_TMAP3IN)-(c_TMAP2IN)))+(c_TMAP2OUT)+IF(((c_TMAP3OUT)-(c_TMAP2OUT))&gt;=0,IF(IF(o_WRAP=1,MOD(((c_TMAP3IN)-(c_TMAP2IN))*(((A343)-(c_TMAP2IN))*((c_TMAP3OUT)-(c_TMAP2OUT))+IF(((c_TMAP3OUT)-(c_TMAP2OUT))&gt;=0,1,-1)*QUOTIENT(((c_TMAP3IN)-(c_TMAP2IN)),2))+2147483648,4294967296)-2147483648,((c_TMAP3IN)-(c_TMAP2IN))*(((A343)-(c_TMAP2IN))*((c_TMAP3OUT)-(c_TMAP2OUT))+IF(((c_TMAP3OUT)-(c_TMAP2OUT))&gt;=0,1,-1)*QUOTIENT(((c_TMAP3IN)-(c_TMAP2IN)),2)))&lt;0,-1,0),IF(IF(o_WRAP=1,MOD(((c_TMAP3IN)-(c_TMAP2IN))*(((A343)-(c_TMAP2IN))*((c_TMAP3OUT)-(c_TMAP2OUT))+IF(((c_TMAP3OUT)-(c_TMAP2OUT))&gt;=0,1,-1)*QUOTIENT(((c_TMAP3IN)-(c_TMAP2IN)),2))+2147483648,4294967296)-2147483648,((c_TMAP3IN)-(c_TMAP2IN))*(((A343)-(c_TMAP2IN))*((c_TMAP3OUT)-(c_TMAP2OUT))+IF(((c_TMAP3OUT)-(c_TMAP2OUT))&gt;=0,1,-1)*QUOTIENT(((c_TMAP3IN)-(c_TMAP2IN)),2)))&gt;=0,1,0)))</f>
        <v>192</v>
      </c>
      <c r="G343" s="7" t="n">
        <f aca="false">IF(((1000)-(c_TMAP3IN))=0,(c_TMAP3OUT)+QUOTIENT(((1000)-(c_TMAP3OUT)),2),QUOTIENT((((A343)-(c_TMAP3IN))*((1000)-(c_TMAP3OUT))+IF(((1000)-(c_TMAP3OUT))&gt;=0,1,-1)*QUOTIENT(((1000)-(c_TMAP3IN)),2)),((1000)-(c_TMAP3IN)))+(c_TMAP3OUT)+IF(((1000)-(c_TMAP3OUT))&gt;=0,IF(IF(o_WRAP=1,MOD(((1000)-(c_TMAP3IN))*(((A343)-(c_TMAP3IN))*((1000)-(c_TMAP3OUT))+IF(((1000)-(c_TMAP3OUT))&gt;=0,1,-1)*QUOTIENT(((1000)-(c_TMAP3IN)),2))+2147483648,4294967296)-2147483648,((1000)-(c_TMAP3IN))*(((A343)-(c_TMAP3IN))*((1000)-(c_TMAP3OUT))+IF(((1000)-(c_TMAP3OUT))&gt;=0,1,-1)*QUOTIENT(((1000)-(c_TMAP3IN)),2)))&lt;0,-1,0),IF(IF(o_WRAP=1,MOD(((1000)-(c_TMAP3IN))*(((A343)-(c_TMAP3IN))*((1000)-(c_TMAP3OUT))+IF(((1000)-(c_TMAP3OUT))&gt;=0,1,-1)*QUOTIENT(((1000)-(c_TMAP3IN)),2))+2147483648,4294967296)-2147483648,((1000)-(c_TMAP3IN))*(((A343)-(c_TMAP3IN))*((1000)-(c_TMAP3OUT))+IF(((1000)-(c_TMAP3OUT))&gt;=0,1,-1)*QUOTIENT(((1000)-(c_TMAP3IN)),2)))&gt;=0,1,0)))</f>
        <v>185</v>
      </c>
      <c r="H343" s="7" t="str">
        <f aca="false">IF(A343&gt;=c_TFWD,IF(AND(A343&gt;=c_TMAP3IN,c_TMAP3IN&lt;1000),"Seg4 map3-100%",IF(AND(A343&gt;=c_TMAP2IN,c_TMAP3IN&gt;c_TMAP2IN),"Seg3 map2-map3",IF(AND(A343&gt;=c_TMAP1IN,c_TMAP2IN&gt;c_TMAP1IN),"Seg2 map1-map2","Seg1 TFWD-map1"))),IF(AND(A343=0,c_TCREEP&gt;0),"Creep",IF(AND(A343&lt;=c_TRNGMIN,A343&gt;=c_TRNGMAX,c_TRNGMIN-c_TRNGMAX&lt;&gt;0),"Regen ramp","Coast (0)")))</f>
        <v>Seg3 map2-map3</v>
      </c>
      <c r="I343" s="7" t="n">
        <f aca="false">IF(A343&gt;=c_TFWD,IF(AND(A343&gt;=c_TMAP3IN,c_TMAP3IN&lt;1000),G343,IF(AND(A343&gt;=c_TMAP2IN,c_TMAP3IN&gt;c_TMAP2IN),F343,IF(AND(A343&gt;=c_TMAP1IN,c_TMAP2IN&gt;c_TMAP1IN),E343,D343))),C343)</f>
        <v>192</v>
      </c>
      <c r="J343" s="7" t="str">
        <f aca="false">IF(I343&lt;-1090,"TOO LOW",IF(I343&gt;1090,"TOO HIGH",""))</f>
        <v/>
      </c>
      <c r="K343" s="15" t="n">
        <f aca="false">IF(J343&lt;&gt;"",0,IF(I343&gt;979,1000,I343))</f>
        <v>192</v>
      </c>
      <c r="L343" s="7" t="n">
        <f aca="false">K343/10</f>
        <v>19.2</v>
      </c>
    </row>
    <row r="344" customFormat="false" ht="15" hidden="false" customHeight="false" outlineLevel="0" collapsed="false">
      <c r="A344" s="7" t="n">
        <v>339</v>
      </c>
      <c r="B344" s="7" t="n">
        <f aca="false">A344/10</f>
        <v>33.9</v>
      </c>
      <c r="C344" s="7" t="n">
        <f aca="false">IF(AND(A344=0,c_TCREEP&gt;0),10*c_TCREEP,IF(AND(A344&lt;=c_TRNGMIN,A344&gt;=c_TRNGMAX,c_TRNGMIN-c_TRNGMAX&lt;&gt;0),-10*c_TMINRN+QUOTIENT((c_TMAXRN-c_TMINRN)*(100-QUOTIENT((A344-c_TRNGMAX)*100,c_TRNGMIN-c_TRNGMAX)),-10),0))</f>
        <v>0</v>
      </c>
      <c r="D344" s="7" t="n">
        <f aca="false">IF(((c_TMAP1IN)-(c_TFWD))=0,(0)+QUOTIENT(((c_TMAP1OUT)-(0)),2),QUOTIENT((((A344)-(c_TFWD))*((c_TMAP1OUT)-(0))+IF(((c_TMAP1OUT)-(0))&gt;=0,1,-1)*QUOTIENT(((c_TMAP1IN)-(c_TFWD)),2)),((c_TMAP1IN)-(c_TFWD)))+(0)+IF(((c_TMAP1OUT)-(0))&gt;=0,IF(IF(o_WRAP=1,MOD(((c_TMAP1IN)-(c_TFWD))*(((A344)-(c_TFWD))*((c_TMAP1OUT)-(0))+IF(((c_TMAP1OUT)-(0))&gt;=0,1,-1)*QUOTIENT(((c_TMAP1IN)-(c_TFWD)),2))+2147483648,4294967296)-2147483648,((c_TMAP1IN)-(c_TFWD))*(((A344)-(c_TFWD))*((c_TMAP1OUT)-(0))+IF(((c_TMAP1OUT)-(0))&gt;=0,1,-1)*QUOTIENT(((c_TMAP1IN)-(c_TFWD)),2)))&lt;0,-1,0),IF(IF(o_WRAP=1,MOD(((c_TMAP1IN)-(c_TFWD))*(((A344)-(c_TFWD))*((c_TMAP1OUT)-(0))+IF(((c_TMAP1OUT)-(0))&gt;=0,1,-1)*QUOTIENT(((c_TMAP1IN)-(c_TFWD)),2))+2147483648,4294967296)-2147483648,((c_TMAP1IN)-(c_TFWD))*(((A344)-(c_TFWD))*((c_TMAP1OUT)-(0))+IF(((c_TMAP1OUT)-(0))&gt;=0,1,-1)*QUOTIENT(((c_TMAP1IN)-(c_TFWD)),2)))&gt;=0,1,0)))</f>
        <v>256</v>
      </c>
      <c r="E344" s="7" t="n">
        <f aca="false">IF(((c_TMAP2IN)-(c_TMAP1IN))=0,(c_TMAP1OUT)+QUOTIENT(((c_TMAP2OUT)-(c_TMAP1OUT)),2),QUOTIENT((((A344)-(c_TMAP1IN))*((c_TMAP2OUT)-(c_TMAP1OUT))+IF(((c_TMAP2OUT)-(c_TMAP1OUT))&gt;=0,1,-1)*QUOTIENT(((c_TMAP2IN)-(c_TMAP1IN)),2)),((c_TMAP2IN)-(c_TMAP1IN)))+(c_TMAP1OUT)+IF(((c_TMAP2OUT)-(c_TMAP1OUT))&gt;=0,IF(IF(o_WRAP=1,MOD(((c_TMAP2IN)-(c_TMAP1IN))*(((A344)-(c_TMAP1IN))*((c_TMAP2OUT)-(c_TMAP1OUT))+IF(((c_TMAP2OUT)-(c_TMAP1OUT))&gt;=0,1,-1)*QUOTIENT(((c_TMAP2IN)-(c_TMAP1IN)),2))+2147483648,4294967296)-2147483648,((c_TMAP2IN)-(c_TMAP1IN))*(((A344)-(c_TMAP1IN))*((c_TMAP2OUT)-(c_TMAP1OUT))+IF(((c_TMAP2OUT)-(c_TMAP1OUT))&gt;=0,1,-1)*QUOTIENT(((c_TMAP2IN)-(c_TMAP1IN)),2)))&lt;0,-1,0),IF(IF(o_WRAP=1,MOD(((c_TMAP2IN)-(c_TMAP1IN))*(((A344)-(c_TMAP1IN))*((c_TMAP2OUT)-(c_TMAP1OUT))+IF(((c_TMAP2OUT)-(c_TMAP1OUT))&gt;=0,1,-1)*QUOTIENT(((c_TMAP2IN)-(c_TMAP1IN)),2))+2147483648,4294967296)-2147483648,((c_TMAP2IN)-(c_TMAP1IN))*(((A344)-(c_TMAP1IN))*((c_TMAP2OUT)-(c_TMAP1OUT))+IF(((c_TMAP2OUT)-(c_TMAP1OUT))&gt;=0,1,-1)*QUOTIENT(((c_TMAP2IN)-(c_TMAP1IN)),2)))&gt;=0,1,0)))</f>
        <v>166</v>
      </c>
      <c r="F344" s="7" t="n">
        <f aca="false">IF(((c_TMAP3IN)-(c_TMAP2IN))=0,(c_TMAP2OUT)+QUOTIENT(((c_TMAP3OUT)-(c_TMAP2OUT)),2),QUOTIENT((((A344)-(c_TMAP2IN))*((c_TMAP3OUT)-(c_TMAP2OUT))+IF(((c_TMAP3OUT)-(c_TMAP2OUT))&gt;=0,1,-1)*QUOTIENT(((c_TMAP3IN)-(c_TMAP2IN)),2)),((c_TMAP3IN)-(c_TMAP2IN)))+(c_TMAP2OUT)+IF(((c_TMAP3OUT)-(c_TMAP2OUT))&gt;=0,IF(IF(o_WRAP=1,MOD(((c_TMAP3IN)-(c_TMAP2IN))*(((A344)-(c_TMAP2IN))*((c_TMAP3OUT)-(c_TMAP2OUT))+IF(((c_TMAP3OUT)-(c_TMAP2OUT))&gt;=0,1,-1)*QUOTIENT(((c_TMAP3IN)-(c_TMAP2IN)),2))+2147483648,4294967296)-2147483648,((c_TMAP3IN)-(c_TMAP2IN))*(((A344)-(c_TMAP2IN))*((c_TMAP3OUT)-(c_TMAP2OUT))+IF(((c_TMAP3OUT)-(c_TMAP2OUT))&gt;=0,1,-1)*QUOTIENT(((c_TMAP3IN)-(c_TMAP2IN)),2)))&lt;0,-1,0),IF(IF(o_WRAP=1,MOD(((c_TMAP3IN)-(c_TMAP2IN))*(((A344)-(c_TMAP2IN))*((c_TMAP3OUT)-(c_TMAP2OUT))+IF(((c_TMAP3OUT)-(c_TMAP2OUT))&gt;=0,1,-1)*QUOTIENT(((c_TMAP3IN)-(c_TMAP2IN)),2))+2147483648,4294967296)-2147483648,((c_TMAP3IN)-(c_TMAP2IN))*(((A344)-(c_TMAP2IN))*((c_TMAP3OUT)-(c_TMAP2OUT))+IF(((c_TMAP3OUT)-(c_TMAP2OUT))&gt;=0,1,-1)*QUOTIENT(((c_TMAP3IN)-(c_TMAP2IN)),2)))&gt;=0,1,0)))</f>
        <v>192</v>
      </c>
      <c r="G344" s="7" t="n">
        <f aca="false">IF(((1000)-(c_TMAP3IN))=0,(c_TMAP3OUT)+QUOTIENT(((1000)-(c_TMAP3OUT)),2),QUOTIENT((((A344)-(c_TMAP3IN))*((1000)-(c_TMAP3OUT))+IF(((1000)-(c_TMAP3OUT))&gt;=0,1,-1)*QUOTIENT(((1000)-(c_TMAP3IN)),2)),((1000)-(c_TMAP3IN)))+(c_TMAP3OUT)+IF(((1000)-(c_TMAP3OUT))&gt;=0,IF(IF(o_WRAP=1,MOD(((1000)-(c_TMAP3IN))*(((A344)-(c_TMAP3IN))*((1000)-(c_TMAP3OUT))+IF(((1000)-(c_TMAP3OUT))&gt;=0,1,-1)*QUOTIENT(((1000)-(c_TMAP3IN)),2))+2147483648,4294967296)-2147483648,((1000)-(c_TMAP3IN))*(((A344)-(c_TMAP3IN))*((1000)-(c_TMAP3OUT))+IF(((1000)-(c_TMAP3OUT))&gt;=0,1,-1)*QUOTIENT(((1000)-(c_TMAP3IN)),2)))&lt;0,-1,0),IF(IF(o_WRAP=1,MOD(((1000)-(c_TMAP3IN))*(((A344)-(c_TMAP3IN))*((1000)-(c_TMAP3OUT))+IF(((1000)-(c_TMAP3OUT))&gt;=0,1,-1)*QUOTIENT(((1000)-(c_TMAP3IN)),2))+2147483648,4294967296)-2147483648,((1000)-(c_TMAP3IN))*(((A344)-(c_TMAP3IN))*((1000)-(c_TMAP3OUT))+IF(((1000)-(c_TMAP3OUT))&gt;=0,1,-1)*QUOTIENT(((1000)-(c_TMAP3IN)),2)))&gt;=0,1,0)))</f>
        <v>186</v>
      </c>
      <c r="H344" s="7" t="str">
        <f aca="false">IF(A344&gt;=c_TFWD,IF(AND(A344&gt;=c_TMAP3IN,c_TMAP3IN&lt;1000),"Seg4 map3-100%",IF(AND(A344&gt;=c_TMAP2IN,c_TMAP3IN&gt;c_TMAP2IN),"Seg3 map2-map3",IF(AND(A344&gt;=c_TMAP1IN,c_TMAP2IN&gt;c_TMAP1IN),"Seg2 map1-map2","Seg1 TFWD-map1"))),IF(AND(A344=0,c_TCREEP&gt;0),"Creep",IF(AND(A344&lt;=c_TRNGMIN,A344&gt;=c_TRNGMAX,c_TRNGMIN-c_TRNGMAX&lt;&gt;0),"Regen ramp","Coast (0)")))</f>
        <v>Seg3 map2-map3</v>
      </c>
      <c r="I344" s="7" t="n">
        <f aca="false">IF(A344&gt;=c_TFWD,IF(AND(A344&gt;=c_TMAP3IN,c_TMAP3IN&lt;1000),G344,IF(AND(A344&gt;=c_TMAP2IN,c_TMAP3IN&gt;c_TMAP2IN),F344,IF(AND(A344&gt;=c_TMAP1IN,c_TMAP2IN&gt;c_TMAP1IN),E344,D344))),C344)</f>
        <v>192</v>
      </c>
      <c r="J344" s="7" t="str">
        <f aca="false">IF(I344&lt;-1090,"TOO LOW",IF(I344&gt;1090,"TOO HIGH",""))</f>
        <v/>
      </c>
      <c r="K344" s="15" t="n">
        <f aca="false">IF(J344&lt;&gt;"",0,IF(I344&gt;979,1000,I344))</f>
        <v>192</v>
      </c>
      <c r="L344" s="7" t="n">
        <f aca="false">K344/10</f>
        <v>19.2</v>
      </c>
    </row>
    <row r="345" customFormat="false" ht="15" hidden="false" customHeight="false" outlineLevel="0" collapsed="false">
      <c r="A345" s="7" t="n">
        <v>340</v>
      </c>
      <c r="B345" s="7" t="n">
        <f aca="false">A345/10</f>
        <v>34</v>
      </c>
      <c r="C345" s="7" t="n">
        <f aca="false">IF(AND(A345=0,c_TCREEP&gt;0),10*c_TCREEP,IF(AND(A345&lt;=c_TRNGMIN,A345&gt;=c_TRNGMAX,c_TRNGMIN-c_TRNGMAX&lt;&gt;0),-10*c_TMINRN+QUOTIENT((c_TMAXRN-c_TMINRN)*(100-QUOTIENT((A345-c_TRNGMAX)*100,c_TRNGMIN-c_TRNGMAX)),-10),0))</f>
        <v>0</v>
      </c>
      <c r="D345" s="7" t="n">
        <f aca="false">IF(((c_TMAP1IN)-(c_TFWD))=0,(0)+QUOTIENT(((c_TMAP1OUT)-(0)),2),QUOTIENT((((A345)-(c_TFWD))*((c_TMAP1OUT)-(0))+IF(((c_TMAP1OUT)-(0))&gt;=0,1,-1)*QUOTIENT(((c_TMAP1IN)-(c_TFWD)),2)),((c_TMAP1IN)-(c_TFWD)))+(0)+IF(((c_TMAP1OUT)-(0))&gt;=0,IF(IF(o_WRAP=1,MOD(((c_TMAP1IN)-(c_TFWD))*(((A345)-(c_TFWD))*((c_TMAP1OUT)-(0))+IF(((c_TMAP1OUT)-(0))&gt;=0,1,-1)*QUOTIENT(((c_TMAP1IN)-(c_TFWD)),2))+2147483648,4294967296)-2147483648,((c_TMAP1IN)-(c_TFWD))*(((A345)-(c_TFWD))*((c_TMAP1OUT)-(0))+IF(((c_TMAP1OUT)-(0))&gt;=0,1,-1)*QUOTIENT(((c_TMAP1IN)-(c_TFWD)),2)))&lt;0,-1,0),IF(IF(o_WRAP=1,MOD(((c_TMAP1IN)-(c_TFWD))*(((A345)-(c_TFWD))*((c_TMAP1OUT)-(0))+IF(((c_TMAP1OUT)-(0))&gt;=0,1,-1)*QUOTIENT(((c_TMAP1IN)-(c_TFWD)),2))+2147483648,4294967296)-2147483648,((c_TMAP1IN)-(c_TFWD))*(((A345)-(c_TFWD))*((c_TMAP1OUT)-(0))+IF(((c_TMAP1OUT)-(0))&gt;=0,1,-1)*QUOTIENT(((c_TMAP1IN)-(c_TFWD)),2)))&gt;=0,1,0)))</f>
        <v>257</v>
      </c>
      <c r="E345" s="7" t="n">
        <f aca="false">IF(((c_TMAP2IN)-(c_TMAP1IN))=0,(c_TMAP1OUT)+QUOTIENT(((c_TMAP2OUT)-(c_TMAP1OUT)),2),QUOTIENT((((A345)-(c_TMAP1IN))*((c_TMAP2OUT)-(c_TMAP1OUT))+IF(((c_TMAP2OUT)-(c_TMAP1OUT))&gt;=0,1,-1)*QUOTIENT(((c_TMAP2IN)-(c_TMAP1IN)),2)),((c_TMAP2IN)-(c_TMAP1IN)))+(c_TMAP1OUT)+IF(((c_TMAP2OUT)-(c_TMAP1OUT))&gt;=0,IF(IF(o_WRAP=1,MOD(((c_TMAP2IN)-(c_TMAP1IN))*(((A345)-(c_TMAP1IN))*((c_TMAP2OUT)-(c_TMAP1OUT))+IF(((c_TMAP2OUT)-(c_TMAP1OUT))&gt;=0,1,-1)*QUOTIENT(((c_TMAP2IN)-(c_TMAP1IN)),2))+2147483648,4294967296)-2147483648,((c_TMAP2IN)-(c_TMAP1IN))*(((A345)-(c_TMAP1IN))*((c_TMAP2OUT)-(c_TMAP1OUT))+IF(((c_TMAP2OUT)-(c_TMAP1OUT))&gt;=0,1,-1)*QUOTIENT(((c_TMAP2IN)-(c_TMAP1IN)),2)))&lt;0,-1,0),IF(IF(o_WRAP=1,MOD(((c_TMAP2IN)-(c_TMAP1IN))*(((A345)-(c_TMAP1IN))*((c_TMAP2OUT)-(c_TMAP1OUT))+IF(((c_TMAP2OUT)-(c_TMAP1OUT))&gt;=0,1,-1)*QUOTIENT(((c_TMAP2IN)-(c_TMAP1IN)),2))+2147483648,4294967296)-2147483648,((c_TMAP2IN)-(c_TMAP1IN))*(((A345)-(c_TMAP1IN))*((c_TMAP2OUT)-(c_TMAP1OUT))+IF(((c_TMAP2OUT)-(c_TMAP1OUT))&gt;=0,1,-1)*QUOTIENT(((c_TMAP2IN)-(c_TMAP1IN)),2)))&gt;=0,1,0)))</f>
        <v>166</v>
      </c>
      <c r="F345" s="7" t="n">
        <f aca="false">IF(((c_TMAP3IN)-(c_TMAP2IN))=0,(c_TMAP2OUT)+QUOTIENT(((c_TMAP3OUT)-(c_TMAP2OUT)),2),QUOTIENT((((A345)-(c_TMAP2IN))*((c_TMAP3OUT)-(c_TMAP2OUT))+IF(((c_TMAP3OUT)-(c_TMAP2OUT))&gt;=0,1,-1)*QUOTIENT(((c_TMAP3IN)-(c_TMAP2IN)),2)),((c_TMAP3IN)-(c_TMAP2IN)))+(c_TMAP2OUT)+IF(((c_TMAP3OUT)-(c_TMAP2OUT))&gt;=0,IF(IF(o_WRAP=1,MOD(((c_TMAP3IN)-(c_TMAP2IN))*(((A345)-(c_TMAP2IN))*((c_TMAP3OUT)-(c_TMAP2OUT))+IF(((c_TMAP3OUT)-(c_TMAP2OUT))&gt;=0,1,-1)*QUOTIENT(((c_TMAP3IN)-(c_TMAP2IN)),2))+2147483648,4294967296)-2147483648,((c_TMAP3IN)-(c_TMAP2IN))*(((A345)-(c_TMAP2IN))*((c_TMAP3OUT)-(c_TMAP2OUT))+IF(((c_TMAP3OUT)-(c_TMAP2OUT))&gt;=0,1,-1)*QUOTIENT(((c_TMAP3IN)-(c_TMAP2IN)),2)))&lt;0,-1,0),IF(IF(o_WRAP=1,MOD(((c_TMAP3IN)-(c_TMAP2IN))*(((A345)-(c_TMAP2IN))*((c_TMAP3OUT)-(c_TMAP2OUT))+IF(((c_TMAP3OUT)-(c_TMAP2OUT))&gt;=0,1,-1)*QUOTIENT(((c_TMAP3IN)-(c_TMAP2IN)),2))+2147483648,4294967296)-2147483648,((c_TMAP3IN)-(c_TMAP2IN))*(((A345)-(c_TMAP2IN))*((c_TMAP3OUT)-(c_TMAP2OUT))+IF(((c_TMAP3OUT)-(c_TMAP2OUT))&gt;=0,1,-1)*QUOTIENT(((c_TMAP3IN)-(c_TMAP2IN)),2)))&gt;=0,1,0)))</f>
        <v>193</v>
      </c>
      <c r="G345" s="7" t="n">
        <f aca="false">IF(((1000)-(c_TMAP3IN))=0,(c_TMAP3OUT)+QUOTIENT(((1000)-(c_TMAP3OUT)),2),QUOTIENT((((A345)-(c_TMAP3IN))*((1000)-(c_TMAP3OUT))+IF(((1000)-(c_TMAP3OUT))&gt;=0,1,-1)*QUOTIENT(((1000)-(c_TMAP3IN)),2)),((1000)-(c_TMAP3IN)))+(c_TMAP3OUT)+IF(((1000)-(c_TMAP3OUT))&gt;=0,IF(IF(o_WRAP=1,MOD(((1000)-(c_TMAP3IN))*(((A345)-(c_TMAP3IN))*((1000)-(c_TMAP3OUT))+IF(((1000)-(c_TMAP3OUT))&gt;=0,1,-1)*QUOTIENT(((1000)-(c_TMAP3IN)),2))+2147483648,4294967296)-2147483648,((1000)-(c_TMAP3IN))*(((A345)-(c_TMAP3IN))*((1000)-(c_TMAP3OUT))+IF(((1000)-(c_TMAP3OUT))&gt;=0,1,-1)*QUOTIENT(((1000)-(c_TMAP3IN)),2)))&lt;0,-1,0),IF(IF(o_WRAP=1,MOD(((1000)-(c_TMAP3IN))*(((A345)-(c_TMAP3IN))*((1000)-(c_TMAP3OUT))+IF(((1000)-(c_TMAP3OUT))&gt;=0,1,-1)*QUOTIENT(((1000)-(c_TMAP3IN)),2))+2147483648,4294967296)-2147483648,((1000)-(c_TMAP3IN))*(((A345)-(c_TMAP3IN))*((1000)-(c_TMAP3OUT))+IF(((1000)-(c_TMAP3OUT))&gt;=0,1,-1)*QUOTIENT(((1000)-(c_TMAP3IN)),2)))&gt;=0,1,0)))</f>
        <v>188</v>
      </c>
      <c r="H345" s="7" t="str">
        <f aca="false">IF(A345&gt;=c_TFWD,IF(AND(A345&gt;=c_TMAP3IN,c_TMAP3IN&lt;1000),"Seg4 map3-100%",IF(AND(A345&gt;=c_TMAP2IN,c_TMAP3IN&gt;c_TMAP2IN),"Seg3 map2-map3",IF(AND(A345&gt;=c_TMAP1IN,c_TMAP2IN&gt;c_TMAP1IN),"Seg2 map1-map2","Seg1 TFWD-map1"))),IF(AND(A345=0,c_TCREEP&gt;0),"Creep",IF(AND(A345&lt;=c_TRNGMIN,A345&gt;=c_TRNGMAX,c_TRNGMIN-c_TRNGMAX&lt;&gt;0),"Regen ramp","Coast (0)")))</f>
        <v>Seg3 map2-map3</v>
      </c>
      <c r="I345" s="7" t="n">
        <f aca="false">IF(A345&gt;=c_TFWD,IF(AND(A345&gt;=c_TMAP3IN,c_TMAP3IN&lt;1000),G345,IF(AND(A345&gt;=c_TMAP2IN,c_TMAP3IN&gt;c_TMAP2IN),F345,IF(AND(A345&gt;=c_TMAP1IN,c_TMAP2IN&gt;c_TMAP1IN),E345,D345))),C345)</f>
        <v>193</v>
      </c>
      <c r="J345" s="7" t="str">
        <f aca="false">IF(I345&lt;-1090,"TOO LOW",IF(I345&gt;1090,"TOO HIGH",""))</f>
        <v/>
      </c>
      <c r="K345" s="15" t="n">
        <f aca="false">IF(J345&lt;&gt;"",0,IF(I345&gt;979,1000,I345))</f>
        <v>193</v>
      </c>
      <c r="L345" s="7" t="n">
        <f aca="false">K345/10</f>
        <v>19.3</v>
      </c>
    </row>
    <row r="346" customFormat="false" ht="15" hidden="false" customHeight="false" outlineLevel="0" collapsed="false">
      <c r="A346" s="7" t="n">
        <v>341</v>
      </c>
      <c r="B346" s="7" t="n">
        <f aca="false">A346/10</f>
        <v>34.1</v>
      </c>
      <c r="C346" s="7" t="n">
        <f aca="false">IF(AND(A346=0,c_TCREEP&gt;0),10*c_TCREEP,IF(AND(A346&lt;=c_TRNGMIN,A346&gt;=c_TRNGMAX,c_TRNGMIN-c_TRNGMAX&lt;&gt;0),-10*c_TMINRN+QUOTIENT((c_TMAXRN-c_TMINRN)*(100-QUOTIENT((A346-c_TRNGMAX)*100,c_TRNGMIN-c_TRNGMAX)),-10),0))</f>
        <v>0</v>
      </c>
      <c r="D346" s="7" t="n">
        <f aca="false">IF(((c_TMAP1IN)-(c_TFWD))=0,(0)+QUOTIENT(((c_TMAP1OUT)-(0)),2),QUOTIENT((((A346)-(c_TFWD))*((c_TMAP1OUT)-(0))+IF(((c_TMAP1OUT)-(0))&gt;=0,1,-1)*QUOTIENT(((c_TMAP1IN)-(c_TFWD)),2)),((c_TMAP1IN)-(c_TFWD)))+(0)+IF(((c_TMAP1OUT)-(0))&gt;=0,IF(IF(o_WRAP=1,MOD(((c_TMAP1IN)-(c_TFWD))*(((A346)-(c_TFWD))*((c_TMAP1OUT)-(0))+IF(((c_TMAP1OUT)-(0))&gt;=0,1,-1)*QUOTIENT(((c_TMAP1IN)-(c_TFWD)),2))+2147483648,4294967296)-2147483648,((c_TMAP1IN)-(c_TFWD))*(((A346)-(c_TFWD))*((c_TMAP1OUT)-(0))+IF(((c_TMAP1OUT)-(0))&gt;=0,1,-1)*QUOTIENT(((c_TMAP1IN)-(c_TFWD)),2)))&lt;0,-1,0),IF(IF(o_WRAP=1,MOD(((c_TMAP1IN)-(c_TFWD))*(((A346)-(c_TFWD))*((c_TMAP1OUT)-(0))+IF(((c_TMAP1OUT)-(0))&gt;=0,1,-1)*QUOTIENT(((c_TMAP1IN)-(c_TFWD)),2))+2147483648,4294967296)-2147483648,((c_TMAP1IN)-(c_TFWD))*(((A346)-(c_TFWD))*((c_TMAP1OUT)-(0))+IF(((c_TMAP1OUT)-(0))&gt;=0,1,-1)*QUOTIENT(((c_TMAP1IN)-(c_TFWD)),2)))&gt;=0,1,0)))</f>
        <v>257</v>
      </c>
      <c r="E346" s="7" t="n">
        <f aca="false">IF(((c_TMAP2IN)-(c_TMAP1IN))=0,(c_TMAP1OUT)+QUOTIENT(((c_TMAP2OUT)-(c_TMAP1OUT)),2),QUOTIENT((((A346)-(c_TMAP1IN))*((c_TMAP2OUT)-(c_TMAP1OUT))+IF(((c_TMAP2OUT)-(c_TMAP1OUT))&gt;=0,1,-1)*QUOTIENT(((c_TMAP2IN)-(c_TMAP1IN)),2)),((c_TMAP2IN)-(c_TMAP1IN)))+(c_TMAP1OUT)+IF(((c_TMAP2OUT)-(c_TMAP1OUT))&gt;=0,IF(IF(o_WRAP=1,MOD(((c_TMAP2IN)-(c_TMAP1IN))*(((A346)-(c_TMAP1IN))*((c_TMAP2OUT)-(c_TMAP1OUT))+IF(((c_TMAP2OUT)-(c_TMAP1OUT))&gt;=0,1,-1)*QUOTIENT(((c_TMAP2IN)-(c_TMAP1IN)),2))+2147483648,4294967296)-2147483648,((c_TMAP2IN)-(c_TMAP1IN))*(((A346)-(c_TMAP1IN))*((c_TMAP2OUT)-(c_TMAP1OUT))+IF(((c_TMAP2OUT)-(c_TMAP1OUT))&gt;=0,1,-1)*QUOTIENT(((c_TMAP2IN)-(c_TMAP1IN)),2)))&lt;0,-1,0),IF(IF(o_WRAP=1,MOD(((c_TMAP2IN)-(c_TMAP1IN))*(((A346)-(c_TMAP1IN))*((c_TMAP2OUT)-(c_TMAP1OUT))+IF(((c_TMAP2OUT)-(c_TMAP1OUT))&gt;=0,1,-1)*QUOTIENT(((c_TMAP2IN)-(c_TMAP1IN)),2))+2147483648,4294967296)-2147483648,((c_TMAP2IN)-(c_TMAP1IN))*(((A346)-(c_TMAP1IN))*((c_TMAP2OUT)-(c_TMAP1OUT))+IF(((c_TMAP2OUT)-(c_TMAP1OUT))&gt;=0,1,-1)*QUOTIENT(((c_TMAP2IN)-(c_TMAP1IN)),2)))&gt;=0,1,0)))</f>
        <v>166</v>
      </c>
      <c r="F346" s="7" t="n">
        <f aca="false">IF(((c_TMAP3IN)-(c_TMAP2IN))=0,(c_TMAP2OUT)+QUOTIENT(((c_TMAP3OUT)-(c_TMAP2OUT)),2),QUOTIENT((((A346)-(c_TMAP2IN))*((c_TMAP3OUT)-(c_TMAP2OUT))+IF(((c_TMAP3OUT)-(c_TMAP2OUT))&gt;=0,1,-1)*QUOTIENT(((c_TMAP3IN)-(c_TMAP2IN)),2)),((c_TMAP3IN)-(c_TMAP2IN)))+(c_TMAP2OUT)+IF(((c_TMAP3OUT)-(c_TMAP2OUT))&gt;=0,IF(IF(o_WRAP=1,MOD(((c_TMAP3IN)-(c_TMAP2IN))*(((A346)-(c_TMAP2IN))*((c_TMAP3OUT)-(c_TMAP2OUT))+IF(((c_TMAP3OUT)-(c_TMAP2OUT))&gt;=0,1,-1)*QUOTIENT(((c_TMAP3IN)-(c_TMAP2IN)),2))+2147483648,4294967296)-2147483648,((c_TMAP3IN)-(c_TMAP2IN))*(((A346)-(c_TMAP2IN))*((c_TMAP3OUT)-(c_TMAP2OUT))+IF(((c_TMAP3OUT)-(c_TMAP2OUT))&gt;=0,1,-1)*QUOTIENT(((c_TMAP3IN)-(c_TMAP2IN)),2)))&lt;0,-1,0),IF(IF(o_WRAP=1,MOD(((c_TMAP3IN)-(c_TMAP2IN))*(((A346)-(c_TMAP2IN))*((c_TMAP3OUT)-(c_TMAP2OUT))+IF(((c_TMAP3OUT)-(c_TMAP2OUT))&gt;=0,1,-1)*QUOTIENT(((c_TMAP3IN)-(c_TMAP2IN)),2))+2147483648,4294967296)-2147483648,((c_TMAP3IN)-(c_TMAP2IN))*(((A346)-(c_TMAP2IN))*((c_TMAP3OUT)-(c_TMAP2OUT))+IF(((c_TMAP3OUT)-(c_TMAP2OUT))&gt;=0,1,-1)*QUOTIENT(((c_TMAP3IN)-(c_TMAP2IN)),2)))&gt;=0,1,0)))</f>
        <v>194</v>
      </c>
      <c r="G346" s="7" t="n">
        <f aca="false">IF(((1000)-(c_TMAP3IN))=0,(c_TMAP3OUT)+QUOTIENT(((1000)-(c_TMAP3OUT)),2),QUOTIENT((((A346)-(c_TMAP3IN))*((1000)-(c_TMAP3OUT))+IF(((1000)-(c_TMAP3OUT))&gt;=0,1,-1)*QUOTIENT(((1000)-(c_TMAP3IN)),2)),((1000)-(c_TMAP3IN)))+(c_TMAP3OUT)+IF(((1000)-(c_TMAP3OUT))&gt;=0,IF(IF(o_WRAP=1,MOD(((1000)-(c_TMAP3IN))*(((A346)-(c_TMAP3IN))*((1000)-(c_TMAP3OUT))+IF(((1000)-(c_TMAP3OUT))&gt;=0,1,-1)*QUOTIENT(((1000)-(c_TMAP3IN)),2))+2147483648,4294967296)-2147483648,((1000)-(c_TMAP3IN))*(((A346)-(c_TMAP3IN))*((1000)-(c_TMAP3OUT))+IF(((1000)-(c_TMAP3OUT))&gt;=0,1,-1)*QUOTIENT(((1000)-(c_TMAP3IN)),2)))&lt;0,-1,0),IF(IF(o_WRAP=1,MOD(((1000)-(c_TMAP3IN))*(((A346)-(c_TMAP3IN))*((1000)-(c_TMAP3OUT))+IF(((1000)-(c_TMAP3OUT))&gt;=0,1,-1)*QUOTIENT(((1000)-(c_TMAP3IN)),2))+2147483648,4294967296)-2147483648,((1000)-(c_TMAP3IN))*(((A346)-(c_TMAP3IN))*((1000)-(c_TMAP3OUT))+IF(((1000)-(c_TMAP3OUT))&gt;=0,1,-1)*QUOTIENT(((1000)-(c_TMAP3IN)),2)))&gt;=0,1,0)))</f>
        <v>189</v>
      </c>
      <c r="H346" s="7" t="str">
        <f aca="false">IF(A346&gt;=c_TFWD,IF(AND(A346&gt;=c_TMAP3IN,c_TMAP3IN&lt;1000),"Seg4 map3-100%",IF(AND(A346&gt;=c_TMAP2IN,c_TMAP3IN&gt;c_TMAP2IN),"Seg3 map2-map3",IF(AND(A346&gt;=c_TMAP1IN,c_TMAP2IN&gt;c_TMAP1IN),"Seg2 map1-map2","Seg1 TFWD-map1"))),IF(AND(A346=0,c_TCREEP&gt;0),"Creep",IF(AND(A346&lt;=c_TRNGMIN,A346&gt;=c_TRNGMAX,c_TRNGMIN-c_TRNGMAX&lt;&gt;0),"Regen ramp","Coast (0)")))</f>
        <v>Seg3 map2-map3</v>
      </c>
      <c r="I346" s="7" t="n">
        <f aca="false">IF(A346&gt;=c_TFWD,IF(AND(A346&gt;=c_TMAP3IN,c_TMAP3IN&lt;1000),G346,IF(AND(A346&gt;=c_TMAP2IN,c_TMAP3IN&gt;c_TMAP2IN),F346,IF(AND(A346&gt;=c_TMAP1IN,c_TMAP2IN&gt;c_TMAP1IN),E346,D346))),C346)</f>
        <v>194</v>
      </c>
      <c r="J346" s="7" t="str">
        <f aca="false">IF(I346&lt;-1090,"TOO LOW",IF(I346&gt;1090,"TOO HIGH",""))</f>
        <v/>
      </c>
      <c r="K346" s="15" t="n">
        <f aca="false">IF(J346&lt;&gt;"",0,IF(I346&gt;979,1000,I346))</f>
        <v>194</v>
      </c>
      <c r="L346" s="7" t="n">
        <f aca="false">K346/10</f>
        <v>19.4</v>
      </c>
    </row>
    <row r="347" customFormat="false" ht="15" hidden="false" customHeight="false" outlineLevel="0" collapsed="false">
      <c r="A347" s="7" t="n">
        <v>342</v>
      </c>
      <c r="B347" s="7" t="n">
        <f aca="false">A347/10</f>
        <v>34.2</v>
      </c>
      <c r="C347" s="7" t="n">
        <f aca="false">IF(AND(A347=0,c_TCREEP&gt;0),10*c_TCREEP,IF(AND(A347&lt;=c_TRNGMIN,A347&gt;=c_TRNGMAX,c_TRNGMIN-c_TRNGMAX&lt;&gt;0),-10*c_TMINRN+QUOTIENT((c_TMAXRN-c_TMINRN)*(100-QUOTIENT((A347-c_TRNGMAX)*100,c_TRNGMIN-c_TRNGMAX)),-10),0))</f>
        <v>0</v>
      </c>
      <c r="D347" s="7" t="n">
        <f aca="false">IF(((c_TMAP1IN)-(c_TFWD))=0,(0)+QUOTIENT(((c_TMAP1OUT)-(0)),2),QUOTIENT((((A347)-(c_TFWD))*((c_TMAP1OUT)-(0))+IF(((c_TMAP1OUT)-(0))&gt;=0,1,-1)*QUOTIENT(((c_TMAP1IN)-(c_TFWD)),2)),((c_TMAP1IN)-(c_TFWD)))+(0)+IF(((c_TMAP1OUT)-(0))&gt;=0,IF(IF(o_WRAP=1,MOD(((c_TMAP1IN)-(c_TFWD))*(((A347)-(c_TFWD))*((c_TMAP1OUT)-(0))+IF(((c_TMAP1OUT)-(0))&gt;=0,1,-1)*QUOTIENT(((c_TMAP1IN)-(c_TFWD)),2))+2147483648,4294967296)-2147483648,((c_TMAP1IN)-(c_TFWD))*(((A347)-(c_TFWD))*((c_TMAP1OUT)-(0))+IF(((c_TMAP1OUT)-(0))&gt;=0,1,-1)*QUOTIENT(((c_TMAP1IN)-(c_TFWD)),2)))&lt;0,-1,0),IF(IF(o_WRAP=1,MOD(((c_TMAP1IN)-(c_TFWD))*(((A347)-(c_TFWD))*((c_TMAP1OUT)-(0))+IF(((c_TMAP1OUT)-(0))&gt;=0,1,-1)*QUOTIENT(((c_TMAP1IN)-(c_TFWD)),2))+2147483648,4294967296)-2147483648,((c_TMAP1IN)-(c_TFWD))*(((A347)-(c_TFWD))*((c_TMAP1OUT)-(0))+IF(((c_TMAP1OUT)-(0))&gt;=0,1,-1)*QUOTIENT(((c_TMAP1IN)-(c_TFWD)),2)))&gt;=0,1,0)))</f>
        <v>258</v>
      </c>
      <c r="E347" s="7" t="n">
        <f aca="false">IF(((c_TMAP2IN)-(c_TMAP1IN))=0,(c_TMAP1OUT)+QUOTIENT(((c_TMAP2OUT)-(c_TMAP1OUT)),2),QUOTIENT((((A347)-(c_TMAP1IN))*((c_TMAP2OUT)-(c_TMAP1OUT))+IF(((c_TMAP2OUT)-(c_TMAP1OUT))&gt;=0,1,-1)*QUOTIENT(((c_TMAP2IN)-(c_TMAP1IN)),2)),((c_TMAP2IN)-(c_TMAP1IN)))+(c_TMAP1OUT)+IF(((c_TMAP2OUT)-(c_TMAP1OUT))&gt;=0,IF(IF(o_WRAP=1,MOD(((c_TMAP2IN)-(c_TMAP1IN))*(((A347)-(c_TMAP1IN))*((c_TMAP2OUT)-(c_TMAP1OUT))+IF(((c_TMAP2OUT)-(c_TMAP1OUT))&gt;=0,1,-1)*QUOTIENT(((c_TMAP2IN)-(c_TMAP1IN)),2))+2147483648,4294967296)-2147483648,((c_TMAP2IN)-(c_TMAP1IN))*(((A347)-(c_TMAP1IN))*((c_TMAP2OUT)-(c_TMAP1OUT))+IF(((c_TMAP2OUT)-(c_TMAP1OUT))&gt;=0,1,-1)*QUOTIENT(((c_TMAP2IN)-(c_TMAP1IN)),2)))&lt;0,-1,0),IF(IF(o_WRAP=1,MOD(((c_TMAP2IN)-(c_TMAP1IN))*(((A347)-(c_TMAP1IN))*((c_TMAP2OUT)-(c_TMAP1OUT))+IF(((c_TMAP2OUT)-(c_TMAP1OUT))&gt;=0,1,-1)*QUOTIENT(((c_TMAP2IN)-(c_TMAP1IN)),2))+2147483648,4294967296)-2147483648,((c_TMAP2IN)-(c_TMAP1IN))*(((A347)-(c_TMAP1IN))*((c_TMAP2OUT)-(c_TMAP1OUT))+IF(((c_TMAP2OUT)-(c_TMAP1OUT))&gt;=0,1,-1)*QUOTIENT(((c_TMAP2IN)-(c_TMAP1IN)),2)))&gt;=0,1,0)))</f>
        <v>167</v>
      </c>
      <c r="F347" s="7" t="n">
        <f aca="false">IF(((c_TMAP3IN)-(c_TMAP2IN))=0,(c_TMAP2OUT)+QUOTIENT(((c_TMAP3OUT)-(c_TMAP2OUT)),2),QUOTIENT((((A347)-(c_TMAP2IN))*((c_TMAP3OUT)-(c_TMAP2OUT))+IF(((c_TMAP3OUT)-(c_TMAP2OUT))&gt;=0,1,-1)*QUOTIENT(((c_TMAP3IN)-(c_TMAP2IN)),2)),((c_TMAP3IN)-(c_TMAP2IN)))+(c_TMAP2OUT)+IF(((c_TMAP3OUT)-(c_TMAP2OUT))&gt;=0,IF(IF(o_WRAP=1,MOD(((c_TMAP3IN)-(c_TMAP2IN))*(((A347)-(c_TMAP2IN))*((c_TMAP3OUT)-(c_TMAP2OUT))+IF(((c_TMAP3OUT)-(c_TMAP2OUT))&gt;=0,1,-1)*QUOTIENT(((c_TMAP3IN)-(c_TMAP2IN)),2))+2147483648,4294967296)-2147483648,((c_TMAP3IN)-(c_TMAP2IN))*(((A347)-(c_TMAP2IN))*((c_TMAP3OUT)-(c_TMAP2OUT))+IF(((c_TMAP3OUT)-(c_TMAP2OUT))&gt;=0,1,-1)*QUOTIENT(((c_TMAP3IN)-(c_TMAP2IN)),2)))&lt;0,-1,0),IF(IF(o_WRAP=1,MOD(((c_TMAP3IN)-(c_TMAP2IN))*(((A347)-(c_TMAP2IN))*((c_TMAP3OUT)-(c_TMAP2OUT))+IF(((c_TMAP3OUT)-(c_TMAP2OUT))&gt;=0,1,-1)*QUOTIENT(((c_TMAP3IN)-(c_TMAP2IN)),2))+2147483648,4294967296)-2147483648,((c_TMAP3IN)-(c_TMAP2IN))*(((A347)-(c_TMAP2IN))*((c_TMAP3OUT)-(c_TMAP2OUT))+IF(((c_TMAP3OUT)-(c_TMAP2OUT))&gt;=0,1,-1)*QUOTIENT(((c_TMAP3IN)-(c_TMAP2IN)),2)))&gt;=0,1,0)))</f>
        <v>194</v>
      </c>
      <c r="G347" s="7" t="n">
        <f aca="false">IF(((1000)-(c_TMAP3IN))=0,(c_TMAP3OUT)+QUOTIENT(((1000)-(c_TMAP3OUT)),2),QUOTIENT((((A347)-(c_TMAP3IN))*((1000)-(c_TMAP3OUT))+IF(((1000)-(c_TMAP3OUT))&gt;=0,1,-1)*QUOTIENT(((1000)-(c_TMAP3IN)),2)),((1000)-(c_TMAP3IN)))+(c_TMAP3OUT)+IF(((1000)-(c_TMAP3OUT))&gt;=0,IF(IF(o_WRAP=1,MOD(((1000)-(c_TMAP3IN))*(((A347)-(c_TMAP3IN))*((1000)-(c_TMAP3OUT))+IF(((1000)-(c_TMAP3OUT))&gt;=0,1,-1)*QUOTIENT(((1000)-(c_TMAP3IN)),2))+2147483648,4294967296)-2147483648,((1000)-(c_TMAP3IN))*(((A347)-(c_TMAP3IN))*((1000)-(c_TMAP3OUT))+IF(((1000)-(c_TMAP3OUT))&gt;=0,1,-1)*QUOTIENT(((1000)-(c_TMAP3IN)),2)))&lt;0,-1,0),IF(IF(o_WRAP=1,MOD(((1000)-(c_TMAP3IN))*(((A347)-(c_TMAP3IN))*((1000)-(c_TMAP3OUT))+IF(((1000)-(c_TMAP3OUT))&gt;=0,1,-1)*QUOTIENT(((1000)-(c_TMAP3IN)),2))+2147483648,4294967296)-2147483648,((1000)-(c_TMAP3IN))*(((A347)-(c_TMAP3IN))*((1000)-(c_TMAP3OUT))+IF(((1000)-(c_TMAP3OUT))&gt;=0,1,-1)*QUOTIENT(((1000)-(c_TMAP3IN)),2)))&gt;=0,1,0)))</f>
        <v>190</v>
      </c>
      <c r="H347" s="7" t="str">
        <f aca="false">IF(A347&gt;=c_TFWD,IF(AND(A347&gt;=c_TMAP3IN,c_TMAP3IN&lt;1000),"Seg4 map3-100%",IF(AND(A347&gt;=c_TMAP2IN,c_TMAP3IN&gt;c_TMAP2IN),"Seg3 map2-map3",IF(AND(A347&gt;=c_TMAP1IN,c_TMAP2IN&gt;c_TMAP1IN),"Seg2 map1-map2","Seg1 TFWD-map1"))),IF(AND(A347=0,c_TCREEP&gt;0),"Creep",IF(AND(A347&lt;=c_TRNGMIN,A347&gt;=c_TRNGMAX,c_TRNGMIN-c_TRNGMAX&lt;&gt;0),"Regen ramp","Coast (0)")))</f>
        <v>Seg3 map2-map3</v>
      </c>
      <c r="I347" s="7" t="n">
        <f aca="false">IF(A347&gt;=c_TFWD,IF(AND(A347&gt;=c_TMAP3IN,c_TMAP3IN&lt;1000),G347,IF(AND(A347&gt;=c_TMAP2IN,c_TMAP3IN&gt;c_TMAP2IN),F347,IF(AND(A347&gt;=c_TMAP1IN,c_TMAP2IN&gt;c_TMAP1IN),E347,D347))),C347)</f>
        <v>194</v>
      </c>
      <c r="J347" s="7" t="str">
        <f aca="false">IF(I347&lt;-1090,"TOO LOW",IF(I347&gt;1090,"TOO HIGH",""))</f>
        <v/>
      </c>
      <c r="K347" s="15" t="n">
        <f aca="false">IF(J347&lt;&gt;"",0,IF(I347&gt;979,1000,I347))</f>
        <v>194</v>
      </c>
      <c r="L347" s="7" t="n">
        <f aca="false">K347/10</f>
        <v>19.4</v>
      </c>
    </row>
    <row r="348" customFormat="false" ht="15" hidden="false" customHeight="false" outlineLevel="0" collapsed="false">
      <c r="A348" s="7" t="n">
        <v>343</v>
      </c>
      <c r="B348" s="7" t="n">
        <f aca="false">A348/10</f>
        <v>34.3</v>
      </c>
      <c r="C348" s="7" t="n">
        <f aca="false">IF(AND(A348=0,c_TCREEP&gt;0),10*c_TCREEP,IF(AND(A348&lt;=c_TRNGMIN,A348&gt;=c_TRNGMAX,c_TRNGMIN-c_TRNGMAX&lt;&gt;0),-10*c_TMINRN+QUOTIENT((c_TMAXRN-c_TMINRN)*(100-QUOTIENT((A348-c_TRNGMAX)*100,c_TRNGMIN-c_TRNGMAX)),-10),0))</f>
        <v>0</v>
      </c>
      <c r="D348" s="7" t="n">
        <f aca="false">IF(((c_TMAP1IN)-(c_TFWD))=0,(0)+QUOTIENT(((c_TMAP1OUT)-(0)),2),QUOTIENT((((A348)-(c_TFWD))*((c_TMAP1OUT)-(0))+IF(((c_TMAP1OUT)-(0))&gt;=0,1,-1)*QUOTIENT(((c_TMAP1IN)-(c_TFWD)),2)),((c_TMAP1IN)-(c_TFWD)))+(0)+IF(((c_TMAP1OUT)-(0))&gt;=0,IF(IF(o_WRAP=1,MOD(((c_TMAP1IN)-(c_TFWD))*(((A348)-(c_TFWD))*((c_TMAP1OUT)-(0))+IF(((c_TMAP1OUT)-(0))&gt;=0,1,-1)*QUOTIENT(((c_TMAP1IN)-(c_TFWD)),2))+2147483648,4294967296)-2147483648,((c_TMAP1IN)-(c_TFWD))*(((A348)-(c_TFWD))*((c_TMAP1OUT)-(0))+IF(((c_TMAP1OUT)-(0))&gt;=0,1,-1)*QUOTIENT(((c_TMAP1IN)-(c_TFWD)),2)))&lt;0,-1,0),IF(IF(o_WRAP=1,MOD(((c_TMAP1IN)-(c_TFWD))*(((A348)-(c_TFWD))*((c_TMAP1OUT)-(0))+IF(((c_TMAP1OUT)-(0))&gt;=0,1,-1)*QUOTIENT(((c_TMAP1IN)-(c_TFWD)),2))+2147483648,4294967296)-2147483648,((c_TMAP1IN)-(c_TFWD))*(((A348)-(c_TFWD))*((c_TMAP1OUT)-(0))+IF(((c_TMAP1OUT)-(0))&gt;=0,1,-1)*QUOTIENT(((c_TMAP1IN)-(c_TFWD)),2)))&gt;=0,1,0)))</f>
        <v>259</v>
      </c>
      <c r="E348" s="7" t="n">
        <f aca="false">IF(((c_TMAP2IN)-(c_TMAP1IN))=0,(c_TMAP1OUT)+QUOTIENT(((c_TMAP2OUT)-(c_TMAP1OUT)),2),QUOTIENT((((A348)-(c_TMAP1IN))*((c_TMAP2OUT)-(c_TMAP1OUT))+IF(((c_TMAP2OUT)-(c_TMAP1OUT))&gt;=0,1,-1)*QUOTIENT(((c_TMAP2IN)-(c_TMAP1IN)),2)),((c_TMAP2IN)-(c_TMAP1IN)))+(c_TMAP1OUT)+IF(((c_TMAP2OUT)-(c_TMAP1OUT))&gt;=0,IF(IF(o_WRAP=1,MOD(((c_TMAP2IN)-(c_TMAP1IN))*(((A348)-(c_TMAP1IN))*((c_TMAP2OUT)-(c_TMAP1OUT))+IF(((c_TMAP2OUT)-(c_TMAP1OUT))&gt;=0,1,-1)*QUOTIENT(((c_TMAP2IN)-(c_TMAP1IN)),2))+2147483648,4294967296)-2147483648,((c_TMAP2IN)-(c_TMAP1IN))*(((A348)-(c_TMAP1IN))*((c_TMAP2OUT)-(c_TMAP1OUT))+IF(((c_TMAP2OUT)-(c_TMAP1OUT))&gt;=0,1,-1)*QUOTIENT(((c_TMAP2IN)-(c_TMAP1IN)),2)))&lt;0,-1,0),IF(IF(o_WRAP=1,MOD(((c_TMAP2IN)-(c_TMAP1IN))*(((A348)-(c_TMAP1IN))*((c_TMAP2OUT)-(c_TMAP1OUT))+IF(((c_TMAP2OUT)-(c_TMAP1OUT))&gt;=0,1,-1)*QUOTIENT(((c_TMAP2IN)-(c_TMAP1IN)),2))+2147483648,4294967296)-2147483648,((c_TMAP2IN)-(c_TMAP1IN))*(((A348)-(c_TMAP1IN))*((c_TMAP2OUT)-(c_TMAP1OUT))+IF(((c_TMAP2OUT)-(c_TMAP1OUT))&gt;=0,1,-1)*QUOTIENT(((c_TMAP2IN)-(c_TMAP1IN)),2)))&gt;=0,1,0)))</f>
        <v>167</v>
      </c>
      <c r="F348" s="7" t="n">
        <f aca="false">IF(((c_TMAP3IN)-(c_TMAP2IN))=0,(c_TMAP2OUT)+QUOTIENT(((c_TMAP3OUT)-(c_TMAP2OUT)),2),QUOTIENT((((A348)-(c_TMAP2IN))*((c_TMAP3OUT)-(c_TMAP2OUT))+IF(((c_TMAP3OUT)-(c_TMAP2OUT))&gt;=0,1,-1)*QUOTIENT(((c_TMAP3IN)-(c_TMAP2IN)),2)),((c_TMAP3IN)-(c_TMAP2IN)))+(c_TMAP2OUT)+IF(((c_TMAP3OUT)-(c_TMAP2OUT))&gt;=0,IF(IF(o_WRAP=1,MOD(((c_TMAP3IN)-(c_TMAP2IN))*(((A348)-(c_TMAP2IN))*((c_TMAP3OUT)-(c_TMAP2OUT))+IF(((c_TMAP3OUT)-(c_TMAP2OUT))&gt;=0,1,-1)*QUOTIENT(((c_TMAP3IN)-(c_TMAP2IN)),2))+2147483648,4294967296)-2147483648,((c_TMAP3IN)-(c_TMAP2IN))*(((A348)-(c_TMAP2IN))*((c_TMAP3OUT)-(c_TMAP2OUT))+IF(((c_TMAP3OUT)-(c_TMAP2OUT))&gt;=0,1,-1)*QUOTIENT(((c_TMAP3IN)-(c_TMAP2IN)),2)))&lt;0,-1,0),IF(IF(o_WRAP=1,MOD(((c_TMAP3IN)-(c_TMAP2IN))*(((A348)-(c_TMAP2IN))*((c_TMAP3OUT)-(c_TMAP2OUT))+IF(((c_TMAP3OUT)-(c_TMAP2OUT))&gt;=0,1,-1)*QUOTIENT(((c_TMAP3IN)-(c_TMAP2IN)),2))+2147483648,4294967296)-2147483648,((c_TMAP3IN)-(c_TMAP2IN))*(((A348)-(c_TMAP2IN))*((c_TMAP3OUT)-(c_TMAP2OUT))+IF(((c_TMAP3OUT)-(c_TMAP2OUT))&gt;=0,1,-1)*QUOTIENT(((c_TMAP3IN)-(c_TMAP2IN)),2)))&gt;=0,1,0)))</f>
        <v>195</v>
      </c>
      <c r="G348" s="7" t="n">
        <f aca="false">IF(((1000)-(c_TMAP3IN))=0,(c_TMAP3OUT)+QUOTIENT(((1000)-(c_TMAP3OUT)),2),QUOTIENT((((A348)-(c_TMAP3IN))*((1000)-(c_TMAP3OUT))+IF(((1000)-(c_TMAP3OUT))&gt;=0,1,-1)*QUOTIENT(((1000)-(c_TMAP3IN)),2)),((1000)-(c_TMAP3IN)))+(c_TMAP3OUT)+IF(((1000)-(c_TMAP3OUT))&gt;=0,IF(IF(o_WRAP=1,MOD(((1000)-(c_TMAP3IN))*(((A348)-(c_TMAP3IN))*((1000)-(c_TMAP3OUT))+IF(((1000)-(c_TMAP3OUT))&gt;=0,1,-1)*QUOTIENT(((1000)-(c_TMAP3IN)),2))+2147483648,4294967296)-2147483648,((1000)-(c_TMAP3IN))*(((A348)-(c_TMAP3IN))*((1000)-(c_TMAP3OUT))+IF(((1000)-(c_TMAP3OUT))&gt;=0,1,-1)*QUOTIENT(((1000)-(c_TMAP3IN)),2)))&lt;0,-1,0),IF(IF(o_WRAP=1,MOD(((1000)-(c_TMAP3IN))*(((A348)-(c_TMAP3IN))*((1000)-(c_TMAP3OUT))+IF(((1000)-(c_TMAP3OUT))&gt;=0,1,-1)*QUOTIENT(((1000)-(c_TMAP3IN)),2))+2147483648,4294967296)-2147483648,((1000)-(c_TMAP3IN))*(((A348)-(c_TMAP3IN))*((1000)-(c_TMAP3OUT))+IF(((1000)-(c_TMAP3OUT))&gt;=0,1,-1)*QUOTIENT(((1000)-(c_TMAP3IN)),2)))&gt;=0,1,0)))</f>
        <v>191</v>
      </c>
      <c r="H348" s="7" t="str">
        <f aca="false">IF(A348&gt;=c_TFWD,IF(AND(A348&gt;=c_TMAP3IN,c_TMAP3IN&lt;1000),"Seg4 map3-100%",IF(AND(A348&gt;=c_TMAP2IN,c_TMAP3IN&gt;c_TMAP2IN),"Seg3 map2-map3",IF(AND(A348&gt;=c_TMAP1IN,c_TMAP2IN&gt;c_TMAP1IN),"Seg2 map1-map2","Seg1 TFWD-map1"))),IF(AND(A348=0,c_TCREEP&gt;0),"Creep",IF(AND(A348&lt;=c_TRNGMIN,A348&gt;=c_TRNGMAX,c_TRNGMIN-c_TRNGMAX&lt;&gt;0),"Regen ramp","Coast (0)")))</f>
        <v>Seg3 map2-map3</v>
      </c>
      <c r="I348" s="7" t="n">
        <f aca="false">IF(A348&gt;=c_TFWD,IF(AND(A348&gt;=c_TMAP3IN,c_TMAP3IN&lt;1000),G348,IF(AND(A348&gt;=c_TMAP2IN,c_TMAP3IN&gt;c_TMAP2IN),F348,IF(AND(A348&gt;=c_TMAP1IN,c_TMAP2IN&gt;c_TMAP1IN),E348,D348))),C348)</f>
        <v>195</v>
      </c>
      <c r="J348" s="7" t="str">
        <f aca="false">IF(I348&lt;-1090,"TOO LOW",IF(I348&gt;1090,"TOO HIGH",""))</f>
        <v/>
      </c>
      <c r="K348" s="15" t="n">
        <f aca="false">IF(J348&lt;&gt;"",0,IF(I348&gt;979,1000,I348))</f>
        <v>195</v>
      </c>
      <c r="L348" s="7" t="n">
        <f aca="false">K348/10</f>
        <v>19.5</v>
      </c>
    </row>
    <row r="349" customFormat="false" ht="15" hidden="false" customHeight="false" outlineLevel="0" collapsed="false">
      <c r="A349" s="7" t="n">
        <v>344</v>
      </c>
      <c r="B349" s="7" t="n">
        <f aca="false">A349/10</f>
        <v>34.4</v>
      </c>
      <c r="C349" s="7" t="n">
        <f aca="false">IF(AND(A349=0,c_TCREEP&gt;0),10*c_TCREEP,IF(AND(A349&lt;=c_TRNGMIN,A349&gt;=c_TRNGMAX,c_TRNGMIN-c_TRNGMAX&lt;&gt;0),-10*c_TMINRN+QUOTIENT((c_TMAXRN-c_TMINRN)*(100-QUOTIENT((A349-c_TRNGMAX)*100,c_TRNGMIN-c_TRNGMAX)),-10),0))</f>
        <v>0</v>
      </c>
      <c r="D349" s="7" t="n">
        <f aca="false">IF(((c_TMAP1IN)-(c_TFWD))=0,(0)+QUOTIENT(((c_TMAP1OUT)-(0)),2),QUOTIENT((((A349)-(c_TFWD))*((c_TMAP1OUT)-(0))+IF(((c_TMAP1OUT)-(0))&gt;=0,1,-1)*QUOTIENT(((c_TMAP1IN)-(c_TFWD)),2)),((c_TMAP1IN)-(c_TFWD)))+(0)+IF(((c_TMAP1OUT)-(0))&gt;=0,IF(IF(o_WRAP=1,MOD(((c_TMAP1IN)-(c_TFWD))*(((A349)-(c_TFWD))*((c_TMAP1OUT)-(0))+IF(((c_TMAP1OUT)-(0))&gt;=0,1,-1)*QUOTIENT(((c_TMAP1IN)-(c_TFWD)),2))+2147483648,4294967296)-2147483648,((c_TMAP1IN)-(c_TFWD))*(((A349)-(c_TFWD))*((c_TMAP1OUT)-(0))+IF(((c_TMAP1OUT)-(0))&gt;=0,1,-1)*QUOTIENT(((c_TMAP1IN)-(c_TFWD)),2)))&lt;0,-1,0),IF(IF(o_WRAP=1,MOD(((c_TMAP1IN)-(c_TFWD))*(((A349)-(c_TFWD))*((c_TMAP1OUT)-(0))+IF(((c_TMAP1OUT)-(0))&gt;=0,1,-1)*QUOTIENT(((c_TMAP1IN)-(c_TFWD)),2))+2147483648,4294967296)-2147483648,((c_TMAP1IN)-(c_TFWD))*(((A349)-(c_TFWD))*((c_TMAP1OUT)-(0))+IF(((c_TMAP1OUT)-(0))&gt;=0,1,-1)*QUOTIENT(((c_TMAP1IN)-(c_TFWD)),2)))&gt;=0,1,0)))</f>
        <v>260</v>
      </c>
      <c r="E349" s="7" t="n">
        <f aca="false">IF(((c_TMAP2IN)-(c_TMAP1IN))=0,(c_TMAP1OUT)+QUOTIENT(((c_TMAP2OUT)-(c_TMAP1OUT)),2),QUOTIENT((((A349)-(c_TMAP1IN))*((c_TMAP2OUT)-(c_TMAP1OUT))+IF(((c_TMAP2OUT)-(c_TMAP1OUT))&gt;=0,1,-1)*QUOTIENT(((c_TMAP2IN)-(c_TMAP1IN)),2)),((c_TMAP2IN)-(c_TMAP1IN)))+(c_TMAP1OUT)+IF(((c_TMAP2OUT)-(c_TMAP1OUT))&gt;=0,IF(IF(o_WRAP=1,MOD(((c_TMAP2IN)-(c_TMAP1IN))*(((A349)-(c_TMAP1IN))*((c_TMAP2OUT)-(c_TMAP1OUT))+IF(((c_TMAP2OUT)-(c_TMAP1OUT))&gt;=0,1,-1)*QUOTIENT(((c_TMAP2IN)-(c_TMAP1IN)),2))+2147483648,4294967296)-2147483648,((c_TMAP2IN)-(c_TMAP1IN))*(((A349)-(c_TMAP1IN))*((c_TMAP2OUT)-(c_TMAP1OUT))+IF(((c_TMAP2OUT)-(c_TMAP1OUT))&gt;=0,1,-1)*QUOTIENT(((c_TMAP2IN)-(c_TMAP1IN)),2)))&lt;0,-1,0),IF(IF(o_WRAP=1,MOD(((c_TMAP2IN)-(c_TMAP1IN))*(((A349)-(c_TMAP1IN))*((c_TMAP2OUT)-(c_TMAP1OUT))+IF(((c_TMAP2OUT)-(c_TMAP1OUT))&gt;=0,1,-1)*QUOTIENT(((c_TMAP2IN)-(c_TMAP1IN)),2))+2147483648,4294967296)-2147483648,((c_TMAP2IN)-(c_TMAP1IN))*(((A349)-(c_TMAP1IN))*((c_TMAP2OUT)-(c_TMAP1OUT))+IF(((c_TMAP2OUT)-(c_TMAP1OUT))&gt;=0,1,-1)*QUOTIENT(((c_TMAP2IN)-(c_TMAP1IN)),2)))&gt;=0,1,0)))</f>
        <v>168</v>
      </c>
      <c r="F349" s="7" t="n">
        <f aca="false">IF(((c_TMAP3IN)-(c_TMAP2IN))=0,(c_TMAP2OUT)+QUOTIENT(((c_TMAP3OUT)-(c_TMAP2OUT)),2),QUOTIENT((((A349)-(c_TMAP2IN))*((c_TMAP3OUT)-(c_TMAP2OUT))+IF(((c_TMAP3OUT)-(c_TMAP2OUT))&gt;=0,1,-1)*QUOTIENT(((c_TMAP3IN)-(c_TMAP2IN)),2)),((c_TMAP3IN)-(c_TMAP2IN)))+(c_TMAP2OUT)+IF(((c_TMAP3OUT)-(c_TMAP2OUT))&gt;=0,IF(IF(o_WRAP=1,MOD(((c_TMAP3IN)-(c_TMAP2IN))*(((A349)-(c_TMAP2IN))*((c_TMAP3OUT)-(c_TMAP2OUT))+IF(((c_TMAP3OUT)-(c_TMAP2OUT))&gt;=0,1,-1)*QUOTIENT(((c_TMAP3IN)-(c_TMAP2IN)),2))+2147483648,4294967296)-2147483648,((c_TMAP3IN)-(c_TMAP2IN))*(((A349)-(c_TMAP2IN))*((c_TMAP3OUT)-(c_TMAP2OUT))+IF(((c_TMAP3OUT)-(c_TMAP2OUT))&gt;=0,1,-1)*QUOTIENT(((c_TMAP3IN)-(c_TMAP2IN)),2)))&lt;0,-1,0),IF(IF(o_WRAP=1,MOD(((c_TMAP3IN)-(c_TMAP2IN))*(((A349)-(c_TMAP2IN))*((c_TMAP3OUT)-(c_TMAP2OUT))+IF(((c_TMAP3OUT)-(c_TMAP2OUT))&gt;=0,1,-1)*QUOTIENT(((c_TMAP3IN)-(c_TMAP2IN)),2))+2147483648,4294967296)-2147483648,((c_TMAP3IN)-(c_TMAP2IN))*(((A349)-(c_TMAP2IN))*((c_TMAP3OUT)-(c_TMAP2OUT))+IF(((c_TMAP3OUT)-(c_TMAP2OUT))&gt;=0,1,-1)*QUOTIENT(((c_TMAP3IN)-(c_TMAP2IN)),2)))&gt;=0,1,0)))</f>
        <v>196</v>
      </c>
      <c r="G349" s="7" t="n">
        <f aca="false">IF(((1000)-(c_TMAP3IN))=0,(c_TMAP3OUT)+QUOTIENT(((1000)-(c_TMAP3OUT)),2),QUOTIENT((((A349)-(c_TMAP3IN))*((1000)-(c_TMAP3OUT))+IF(((1000)-(c_TMAP3OUT))&gt;=0,1,-1)*QUOTIENT(((1000)-(c_TMAP3IN)),2)),((1000)-(c_TMAP3IN)))+(c_TMAP3OUT)+IF(((1000)-(c_TMAP3OUT))&gt;=0,IF(IF(o_WRAP=1,MOD(((1000)-(c_TMAP3IN))*(((A349)-(c_TMAP3IN))*((1000)-(c_TMAP3OUT))+IF(((1000)-(c_TMAP3OUT))&gt;=0,1,-1)*QUOTIENT(((1000)-(c_TMAP3IN)),2))+2147483648,4294967296)-2147483648,((1000)-(c_TMAP3IN))*(((A349)-(c_TMAP3IN))*((1000)-(c_TMAP3OUT))+IF(((1000)-(c_TMAP3OUT))&gt;=0,1,-1)*QUOTIENT(((1000)-(c_TMAP3IN)),2)))&lt;0,-1,0),IF(IF(o_WRAP=1,MOD(((1000)-(c_TMAP3IN))*(((A349)-(c_TMAP3IN))*((1000)-(c_TMAP3OUT))+IF(((1000)-(c_TMAP3OUT))&gt;=0,1,-1)*QUOTIENT(((1000)-(c_TMAP3IN)),2))+2147483648,4294967296)-2147483648,((1000)-(c_TMAP3IN))*(((A349)-(c_TMAP3IN))*((1000)-(c_TMAP3OUT))+IF(((1000)-(c_TMAP3OUT))&gt;=0,1,-1)*QUOTIENT(((1000)-(c_TMAP3IN)),2)))&gt;=0,1,0)))</f>
        <v>193</v>
      </c>
      <c r="H349" s="7" t="str">
        <f aca="false">IF(A349&gt;=c_TFWD,IF(AND(A349&gt;=c_TMAP3IN,c_TMAP3IN&lt;1000),"Seg4 map3-100%",IF(AND(A349&gt;=c_TMAP2IN,c_TMAP3IN&gt;c_TMAP2IN),"Seg3 map2-map3",IF(AND(A349&gt;=c_TMAP1IN,c_TMAP2IN&gt;c_TMAP1IN),"Seg2 map1-map2","Seg1 TFWD-map1"))),IF(AND(A349=0,c_TCREEP&gt;0),"Creep",IF(AND(A349&lt;=c_TRNGMIN,A349&gt;=c_TRNGMAX,c_TRNGMIN-c_TRNGMAX&lt;&gt;0),"Regen ramp","Coast (0)")))</f>
        <v>Seg3 map2-map3</v>
      </c>
      <c r="I349" s="7" t="n">
        <f aca="false">IF(A349&gt;=c_TFWD,IF(AND(A349&gt;=c_TMAP3IN,c_TMAP3IN&lt;1000),G349,IF(AND(A349&gt;=c_TMAP2IN,c_TMAP3IN&gt;c_TMAP2IN),F349,IF(AND(A349&gt;=c_TMAP1IN,c_TMAP2IN&gt;c_TMAP1IN),E349,D349))),C349)</f>
        <v>196</v>
      </c>
      <c r="J349" s="7" t="str">
        <f aca="false">IF(I349&lt;-1090,"TOO LOW",IF(I349&gt;1090,"TOO HIGH",""))</f>
        <v/>
      </c>
      <c r="K349" s="15" t="n">
        <f aca="false">IF(J349&lt;&gt;"",0,IF(I349&gt;979,1000,I349))</f>
        <v>196</v>
      </c>
      <c r="L349" s="7" t="n">
        <f aca="false">K349/10</f>
        <v>19.6</v>
      </c>
    </row>
    <row r="350" customFormat="false" ht="15" hidden="false" customHeight="false" outlineLevel="0" collapsed="false">
      <c r="A350" s="7" t="n">
        <v>345</v>
      </c>
      <c r="B350" s="7" t="n">
        <f aca="false">A350/10</f>
        <v>34.5</v>
      </c>
      <c r="C350" s="7" t="n">
        <f aca="false">IF(AND(A350=0,c_TCREEP&gt;0),10*c_TCREEP,IF(AND(A350&lt;=c_TRNGMIN,A350&gt;=c_TRNGMAX,c_TRNGMIN-c_TRNGMAX&lt;&gt;0),-10*c_TMINRN+QUOTIENT((c_TMAXRN-c_TMINRN)*(100-QUOTIENT((A350-c_TRNGMAX)*100,c_TRNGMIN-c_TRNGMAX)),-10),0))</f>
        <v>0</v>
      </c>
      <c r="D350" s="7" t="n">
        <f aca="false">IF(((c_TMAP1IN)-(c_TFWD))=0,(0)+QUOTIENT(((c_TMAP1OUT)-(0)),2),QUOTIENT((((A350)-(c_TFWD))*((c_TMAP1OUT)-(0))+IF(((c_TMAP1OUT)-(0))&gt;=0,1,-1)*QUOTIENT(((c_TMAP1IN)-(c_TFWD)),2)),((c_TMAP1IN)-(c_TFWD)))+(0)+IF(((c_TMAP1OUT)-(0))&gt;=0,IF(IF(o_WRAP=1,MOD(((c_TMAP1IN)-(c_TFWD))*(((A350)-(c_TFWD))*((c_TMAP1OUT)-(0))+IF(((c_TMAP1OUT)-(0))&gt;=0,1,-1)*QUOTIENT(((c_TMAP1IN)-(c_TFWD)),2))+2147483648,4294967296)-2147483648,((c_TMAP1IN)-(c_TFWD))*(((A350)-(c_TFWD))*((c_TMAP1OUT)-(0))+IF(((c_TMAP1OUT)-(0))&gt;=0,1,-1)*QUOTIENT(((c_TMAP1IN)-(c_TFWD)),2)))&lt;0,-1,0),IF(IF(o_WRAP=1,MOD(((c_TMAP1IN)-(c_TFWD))*(((A350)-(c_TFWD))*((c_TMAP1OUT)-(0))+IF(((c_TMAP1OUT)-(0))&gt;=0,1,-1)*QUOTIENT(((c_TMAP1IN)-(c_TFWD)),2))+2147483648,4294967296)-2147483648,((c_TMAP1IN)-(c_TFWD))*(((A350)-(c_TFWD))*((c_TMAP1OUT)-(0))+IF(((c_TMAP1OUT)-(0))&gt;=0,1,-1)*QUOTIENT(((c_TMAP1IN)-(c_TFWD)),2)))&gt;=0,1,0)))</f>
        <v>261</v>
      </c>
      <c r="E350" s="7" t="n">
        <f aca="false">IF(((c_TMAP2IN)-(c_TMAP1IN))=0,(c_TMAP1OUT)+QUOTIENT(((c_TMAP2OUT)-(c_TMAP1OUT)),2),QUOTIENT((((A350)-(c_TMAP1IN))*((c_TMAP2OUT)-(c_TMAP1OUT))+IF(((c_TMAP2OUT)-(c_TMAP1OUT))&gt;=0,1,-1)*QUOTIENT(((c_TMAP2IN)-(c_TMAP1IN)),2)),((c_TMAP2IN)-(c_TMAP1IN)))+(c_TMAP1OUT)+IF(((c_TMAP2OUT)-(c_TMAP1OUT))&gt;=0,IF(IF(o_WRAP=1,MOD(((c_TMAP2IN)-(c_TMAP1IN))*(((A350)-(c_TMAP1IN))*((c_TMAP2OUT)-(c_TMAP1OUT))+IF(((c_TMAP2OUT)-(c_TMAP1OUT))&gt;=0,1,-1)*QUOTIENT(((c_TMAP2IN)-(c_TMAP1IN)),2))+2147483648,4294967296)-2147483648,((c_TMAP2IN)-(c_TMAP1IN))*(((A350)-(c_TMAP1IN))*((c_TMAP2OUT)-(c_TMAP1OUT))+IF(((c_TMAP2OUT)-(c_TMAP1OUT))&gt;=0,1,-1)*QUOTIENT(((c_TMAP2IN)-(c_TMAP1IN)),2)))&lt;0,-1,0),IF(IF(o_WRAP=1,MOD(((c_TMAP2IN)-(c_TMAP1IN))*(((A350)-(c_TMAP1IN))*((c_TMAP2OUT)-(c_TMAP1OUT))+IF(((c_TMAP2OUT)-(c_TMAP1OUT))&gt;=0,1,-1)*QUOTIENT(((c_TMAP2IN)-(c_TMAP1IN)),2))+2147483648,4294967296)-2147483648,((c_TMAP2IN)-(c_TMAP1IN))*(((A350)-(c_TMAP1IN))*((c_TMAP2OUT)-(c_TMAP1OUT))+IF(((c_TMAP2OUT)-(c_TMAP1OUT))&gt;=0,1,-1)*QUOTIENT(((c_TMAP2IN)-(c_TMAP1IN)),2)))&gt;=0,1,0)))</f>
        <v>168</v>
      </c>
      <c r="F350" s="7" t="n">
        <f aca="false">IF(((c_TMAP3IN)-(c_TMAP2IN))=0,(c_TMAP2OUT)+QUOTIENT(((c_TMAP3OUT)-(c_TMAP2OUT)),2),QUOTIENT((((A350)-(c_TMAP2IN))*((c_TMAP3OUT)-(c_TMAP2OUT))+IF(((c_TMAP3OUT)-(c_TMAP2OUT))&gt;=0,1,-1)*QUOTIENT(((c_TMAP3IN)-(c_TMAP2IN)),2)),((c_TMAP3IN)-(c_TMAP2IN)))+(c_TMAP2OUT)+IF(((c_TMAP3OUT)-(c_TMAP2OUT))&gt;=0,IF(IF(o_WRAP=1,MOD(((c_TMAP3IN)-(c_TMAP2IN))*(((A350)-(c_TMAP2IN))*((c_TMAP3OUT)-(c_TMAP2OUT))+IF(((c_TMAP3OUT)-(c_TMAP2OUT))&gt;=0,1,-1)*QUOTIENT(((c_TMAP3IN)-(c_TMAP2IN)),2))+2147483648,4294967296)-2147483648,((c_TMAP3IN)-(c_TMAP2IN))*(((A350)-(c_TMAP2IN))*((c_TMAP3OUT)-(c_TMAP2OUT))+IF(((c_TMAP3OUT)-(c_TMAP2OUT))&gt;=0,1,-1)*QUOTIENT(((c_TMAP3IN)-(c_TMAP2IN)),2)))&lt;0,-1,0),IF(IF(o_WRAP=1,MOD(((c_TMAP3IN)-(c_TMAP2IN))*(((A350)-(c_TMAP2IN))*((c_TMAP3OUT)-(c_TMAP2OUT))+IF(((c_TMAP3OUT)-(c_TMAP2OUT))&gt;=0,1,-1)*QUOTIENT(((c_TMAP3IN)-(c_TMAP2IN)),2))+2147483648,4294967296)-2147483648,((c_TMAP3IN)-(c_TMAP2IN))*(((A350)-(c_TMAP2IN))*((c_TMAP3OUT)-(c_TMAP2OUT))+IF(((c_TMAP3OUT)-(c_TMAP2OUT))&gt;=0,1,-1)*QUOTIENT(((c_TMAP3IN)-(c_TMAP2IN)),2)))&gt;=0,1,0)))</f>
        <v>197</v>
      </c>
      <c r="G350" s="7" t="n">
        <f aca="false">IF(((1000)-(c_TMAP3IN))=0,(c_TMAP3OUT)+QUOTIENT(((1000)-(c_TMAP3OUT)),2),QUOTIENT((((A350)-(c_TMAP3IN))*((1000)-(c_TMAP3OUT))+IF(((1000)-(c_TMAP3OUT))&gt;=0,1,-1)*QUOTIENT(((1000)-(c_TMAP3IN)),2)),((1000)-(c_TMAP3IN)))+(c_TMAP3OUT)+IF(((1000)-(c_TMAP3OUT))&gt;=0,IF(IF(o_WRAP=1,MOD(((1000)-(c_TMAP3IN))*(((A350)-(c_TMAP3IN))*((1000)-(c_TMAP3OUT))+IF(((1000)-(c_TMAP3OUT))&gt;=0,1,-1)*QUOTIENT(((1000)-(c_TMAP3IN)),2))+2147483648,4294967296)-2147483648,((1000)-(c_TMAP3IN))*(((A350)-(c_TMAP3IN))*((1000)-(c_TMAP3OUT))+IF(((1000)-(c_TMAP3OUT))&gt;=0,1,-1)*QUOTIENT(((1000)-(c_TMAP3IN)),2)))&lt;0,-1,0),IF(IF(o_WRAP=1,MOD(((1000)-(c_TMAP3IN))*(((A350)-(c_TMAP3IN))*((1000)-(c_TMAP3OUT))+IF(((1000)-(c_TMAP3OUT))&gt;=0,1,-1)*QUOTIENT(((1000)-(c_TMAP3IN)),2))+2147483648,4294967296)-2147483648,((1000)-(c_TMAP3IN))*(((A350)-(c_TMAP3IN))*((1000)-(c_TMAP3OUT))+IF(((1000)-(c_TMAP3OUT))&gt;=0,1,-1)*QUOTIENT(((1000)-(c_TMAP3IN)),2)))&gt;=0,1,0)))</f>
        <v>194</v>
      </c>
      <c r="H350" s="7" t="str">
        <f aca="false">IF(A350&gt;=c_TFWD,IF(AND(A350&gt;=c_TMAP3IN,c_TMAP3IN&lt;1000),"Seg4 map3-100%",IF(AND(A350&gt;=c_TMAP2IN,c_TMAP3IN&gt;c_TMAP2IN),"Seg3 map2-map3",IF(AND(A350&gt;=c_TMAP1IN,c_TMAP2IN&gt;c_TMAP1IN),"Seg2 map1-map2","Seg1 TFWD-map1"))),IF(AND(A350=0,c_TCREEP&gt;0),"Creep",IF(AND(A350&lt;=c_TRNGMIN,A350&gt;=c_TRNGMAX,c_TRNGMIN-c_TRNGMAX&lt;&gt;0),"Regen ramp","Coast (0)")))</f>
        <v>Seg3 map2-map3</v>
      </c>
      <c r="I350" s="7" t="n">
        <f aca="false">IF(A350&gt;=c_TFWD,IF(AND(A350&gt;=c_TMAP3IN,c_TMAP3IN&lt;1000),G350,IF(AND(A350&gt;=c_TMAP2IN,c_TMAP3IN&gt;c_TMAP2IN),F350,IF(AND(A350&gt;=c_TMAP1IN,c_TMAP2IN&gt;c_TMAP1IN),E350,D350))),C350)</f>
        <v>197</v>
      </c>
      <c r="J350" s="7" t="str">
        <f aca="false">IF(I350&lt;-1090,"TOO LOW",IF(I350&gt;1090,"TOO HIGH",""))</f>
        <v/>
      </c>
      <c r="K350" s="15" t="n">
        <f aca="false">IF(J350&lt;&gt;"",0,IF(I350&gt;979,1000,I350))</f>
        <v>197</v>
      </c>
      <c r="L350" s="7" t="n">
        <f aca="false">K350/10</f>
        <v>19.7</v>
      </c>
    </row>
    <row r="351" customFormat="false" ht="15" hidden="false" customHeight="false" outlineLevel="0" collapsed="false">
      <c r="A351" s="7" t="n">
        <v>346</v>
      </c>
      <c r="B351" s="7" t="n">
        <f aca="false">A351/10</f>
        <v>34.6</v>
      </c>
      <c r="C351" s="7" t="n">
        <f aca="false">IF(AND(A351=0,c_TCREEP&gt;0),10*c_TCREEP,IF(AND(A351&lt;=c_TRNGMIN,A351&gt;=c_TRNGMAX,c_TRNGMIN-c_TRNGMAX&lt;&gt;0),-10*c_TMINRN+QUOTIENT((c_TMAXRN-c_TMINRN)*(100-QUOTIENT((A351-c_TRNGMAX)*100,c_TRNGMIN-c_TRNGMAX)),-10),0))</f>
        <v>0</v>
      </c>
      <c r="D351" s="7" t="n">
        <f aca="false">IF(((c_TMAP1IN)-(c_TFWD))=0,(0)+QUOTIENT(((c_TMAP1OUT)-(0)),2),QUOTIENT((((A351)-(c_TFWD))*((c_TMAP1OUT)-(0))+IF(((c_TMAP1OUT)-(0))&gt;=0,1,-1)*QUOTIENT(((c_TMAP1IN)-(c_TFWD)),2)),((c_TMAP1IN)-(c_TFWD)))+(0)+IF(((c_TMAP1OUT)-(0))&gt;=0,IF(IF(o_WRAP=1,MOD(((c_TMAP1IN)-(c_TFWD))*(((A351)-(c_TFWD))*((c_TMAP1OUT)-(0))+IF(((c_TMAP1OUT)-(0))&gt;=0,1,-1)*QUOTIENT(((c_TMAP1IN)-(c_TFWD)),2))+2147483648,4294967296)-2147483648,((c_TMAP1IN)-(c_TFWD))*(((A351)-(c_TFWD))*((c_TMAP1OUT)-(0))+IF(((c_TMAP1OUT)-(0))&gt;=0,1,-1)*QUOTIENT(((c_TMAP1IN)-(c_TFWD)),2)))&lt;0,-1,0),IF(IF(o_WRAP=1,MOD(((c_TMAP1IN)-(c_TFWD))*(((A351)-(c_TFWD))*((c_TMAP1OUT)-(0))+IF(((c_TMAP1OUT)-(0))&gt;=0,1,-1)*QUOTIENT(((c_TMAP1IN)-(c_TFWD)),2))+2147483648,4294967296)-2147483648,((c_TMAP1IN)-(c_TFWD))*(((A351)-(c_TFWD))*((c_TMAP1OUT)-(0))+IF(((c_TMAP1OUT)-(0))&gt;=0,1,-1)*QUOTIENT(((c_TMAP1IN)-(c_TFWD)),2)))&gt;=0,1,0)))</f>
        <v>261</v>
      </c>
      <c r="E351" s="7" t="n">
        <f aca="false">IF(((c_TMAP2IN)-(c_TMAP1IN))=0,(c_TMAP1OUT)+QUOTIENT(((c_TMAP2OUT)-(c_TMAP1OUT)),2),QUOTIENT((((A351)-(c_TMAP1IN))*((c_TMAP2OUT)-(c_TMAP1OUT))+IF(((c_TMAP2OUT)-(c_TMAP1OUT))&gt;=0,1,-1)*QUOTIENT(((c_TMAP2IN)-(c_TMAP1IN)),2)),((c_TMAP2IN)-(c_TMAP1IN)))+(c_TMAP1OUT)+IF(((c_TMAP2OUT)-(c_TMAP1OUT))&gt;=0,IF(IF(o_WRAP=1,MOD(((c_TMAP2IN)-(c_TMAP1IN))*(((A351)-(c_TMAP1IN))*((c_TMAP2OUT)-(c_TMAP1OUT))+IF(((c_TMAP2OUT)-(c_TMAP1OUT))&gt;=0,1,-1)*QUOTIENT(((c_TMAP2IN)-(c_TMAP1IN)),2))+2147483648,4294967296)-2147483648,((c_TMAP2IN)-(c_TMAP1IN))*(((A351)-(c_TMAP1IN))*((c_TMAP2OUT)-(c_TMAP1OUT))+IF(((c_TMAP2OUT)-(c_TMAP1OUT))&gt;=0,1,-1)*QUOTIENT(((c_TMAP2IN)-(c_TMAP1IN)),2)))&lt;0,-1,0),IF(IF(o_WRAP=1,MOD(((c_TMAP2IN)-(c_TMAP1IN))*(((A351)-(c_TMAP1IN))*((c_TMAP2OUT)-(c_TMAP1OUT))+IF(((c_TMAP2OUT)-(c_TMAP1OUT))&gt;=0,1,-1)*QUOTIENT(((c_TMAP2IN)-(c_TMAP1IN)),2))+2147483648,4294967296)-2147483648,((c_TMAP2IN)-(c_TMAP1IN))*(((A351)-(c_TMAP1IN))*((c_TMAP2OUT)-(c_TMAP1OUT))+IF(((c_TMAP2OUT)-(c_TMAP1OUT))&gt;=0,1,-1)*QUOTIENT(((c_TMAP2IN)-(c_TMAP1IN)),2)))&gt;=0,1,0)))</f>
        <v>168</v>
      </c>
      <c r="F351" s="7" t="n">
        <f aca="false">IF(((c_TMAP3IN)-(c_TMAP2IN))=0,(c_TMAP2OUT)+QUOTIENT(((c_TMAP3OUT)-(c_TMAP2OUT)),2),QUOTIENT((((A351)-(c_TMAP2IN))*((c_TMAP3OUT)-(c_TMAP2OUT))+IF(((c_TMAP3OUT)-(c_TMAP2OUT))&gt;=0,1,-1)*QUOTIENT(((c_TMAP3IN)-(c_TMAP2IN)),2)),((c_TMAP3IN)-(c_TMAP2IN)))+(c_TMAP2OUT)+IF(((c_TMAP3OUT)-(c_TMAP2OUT))&gt;=0,IF(IF(o_WRAP=1,MOD(((c_TMAP3IN)-(c_TMAP2IN))*(((A351)-(c_TMAP2IN))*((c_TMAP3OUT)-(c_TMAP2OUT))+IF(((c_TMAP3OUT)-(c_TMAP2OUT))&gt;=0,1,-1)*QUOTIENT(((c_TMAP3IN)-(c_TMAP2IN)),2))+2147483648,4294967296)-2147483648,((c_TMAP3IN)-(c_TMAP2IN))*(((A351)-(c_TMAP2IN))*((c_TMAP3OUT)-(c_TMAP2OUT))+IF(((c_TMAP3OUT)-(c_TMAP2OUT))&gt;=0,1,-1)*QUOTIENT(((c_TMAP3IN)-(c_TMAP2IN)),2)))&lt;0,-1,0),IF(IF(o_WRAP=1,MOD(((c_TMAP3IN)-(c_TMAP2IN))*(((A351)-(c_TMAP2IN))*((c_TMAP3OUT)-(c_TMAP2OUT))+IF(((c_TMAP3OUT)-(c_TMAP2OUT))&gt;=0,1,-1)*QUOTIENT(((c_TMAP3IN)-(c_TMAP2IN)),2))+2147483648,4294967296)-2147483648,((c_TMAP3IN)-(c_TMAP2IN))*(((A351)-(c_TMAP2IN))*((c_TMAP3OUT)-(c_TMAP2OUT))+IF(((c_TMAP3OUT)-(c_TMAP2OUT))&gt;=0,1,-1)*QUOTIENT(((c_TMAP3IN)-(c_TMAP2IN)),2)))&gt;=0,1,0)))</f>
        <v>197</v>
      </c>
      <c r="G351" s="7" t="n">
        <f aca="false">IF(((1000)-(c_TMAP3IN))=0,(c_TMAP3OUT)+QUOTIENT(((1000)-(c_TMAP3OUT)),2),QUOTIENT((((A351)-(c_TMAP3IN))*((1000)-(c_TMAP3OUT))+IF(((1000)-(c_TMAP3OUT))&gt;=0,1,-1)*QUOTIENT(((1000)-(c_TMAP3IN)),2)),((1000)-(c_TMAP3IN)))+(c_TMAP3OUT)+IF(((1000)-(c_TMAP3OUT))&gt;=0,IF(IF(o_WRAP=1,MOD(((1000)-(c_TMAP3IN))*(((A351)-(c_TMAP3IN))*((1000)-(c_TMAP3OUT))+IF(((1000)-(c_TMAP3OUT))&gt;=0,1,-1)*QUOTIENT(((1000)-(c_TMAP3IN)),2))+2147483648,4294967296)-2147483648,((1000)-(c_TMAP3IN))*(((A351)-(c_TMAP3IN))*((1000)-(c_TMAP3OUT))+IF(((1000)-(c_TMAP3OUT))&gt;=0,1,-1)*QUOTIENT(((1000)-(c_TMAP3IN)),2)))&lt;0,-1,0),IF(IF(o_WRAP=1,MOD(((1000)-(c_TMAP3IN))*(((A351)-(c_TMAP3IN))*((1000)-(c_TMAP3OUT))+IF(((1000)-(c_TMAP3OUT))&gt;=0,1,-1)*QUOTIENT(((1000)-(c_TMAP3IN)),2))+2147483648,4294967296)-2147483648,((1000)-(c_TMAP3IN))*(((A351)-(c_TMAP3IN))*((1000)-(c_TMAP3OUT))+IF(((1000)-(c_TMAP3OUT))&gt;=0,1,-1)*QUOTIENT(((1000)-(c_TMAP3IN)),2)))&gt;=0,1,0)))</f>
        <v>195</v>
      </c>
      <c r="H351" s="7" t="str">
        <f aca="false">IF(A351&gt;=c_TFWD,IF(AND(A351&gt;=c_TMAP3IN,c_TMAP3IN&lt;1000),"Seg4 map3-100%",IF(AND(A351&gt;=c_TMAP2IN,c_TMAP3IN&gt;c_TMAP2IN),"Seg3 map2-map3",IF(AND(A351&gt;=c_TMAP1IN,c_TMAP2IN&gt;c_TMAP1IN),"Seg2 map1-map2","Seg1 TFWD-map1"))),IF(AND(A351=0,c_TCREEP&gt;0),"Creep",IF(AND(A351&lt;=c_TRNGMIN,A351&gt;=c_TRNGMAX,c_TRNGMIN-c_TRNGMAX&lt;&gt;0),"Regen ramp","Coast (0)")))</f>
        <v>Seg3 map2-map3</v>
      </c>
      <c r="I351" s="7" t="n">
        <f aca="false">IF(A351&gt;=c_TFWD,IF(AND(A351&gt;=c_TMAP3IN,c_TMAP3IN&lt;1000),G351,IF(AND(A351&gt;=c_TMAP2IN,c_TMAP3IN&gt;c_TMAP2IN),F351,IF(AND(A351&gt;=c_TMAP1IN,c_TMAP2IN&gt;c_TMAP1IN),E351,D351))),C351)</f>
        <v>197</v>
      </c>
      <c r="J351" s="7" t="str">
        <f aca="false">IF(I351&lt;-1090,"TOO LOW",IF(I351&gt;1090,"TOO HIGH",""))</f>
        <v/>
      </c>
      <c r="K351" s="15" t="n">
        <f aca="false">IF(J351&lt;&gt;"",0,IF(I351&gt;979,1000,I351))</f>
        <v>197</v>
      </c>
      <c r="L351" s="7" t="n">
        <f aca="false">K351/10</f>
        <v>19.7</v>
      </c>
    </row>
    <row r="352" customFormat="false" ht="15" hidden="false" customHeight="false" outlineLevel="0" collapsed="false">
      <c r="A352" s="7" t="n">
        <v>347</v>
      </c>
      <c r="B352" s="7" t="n">
        <f aca="false">A352/10</f>
        <v>34.7</v>
      </c>
      <c r="C352" s="7" t="n">
        <f aca="false">IF(AND(A352=0,c_TCREEP&gt;0),10*c_TCREEP,IF(AND(A352&lt;=c_TRNGMIN,A352&gt;=c_TRNGMAX,c_TRNGMIN-c_TRNGMAX&lt;&gt;0),-10*c_TMINRN+QUOTIENT((c_TMAXRN-c_TMINRN)*(100-QUOTIENT((A352-c_TRNGMAX)*100,c_TRNGMIN-c_TRNGMAX)),-10),0))</f>
        <v>0</v>
      </c>
      <c r="D352" s="7" t="n">
        <f aca="false">IF(((c_TMAP1IN)-(c_TFWD))=0,(0)+QUOTIENT(((c_TMAP1OUT)-(0)),2),QUOTIENT((((A352)-(c_TFWD))*((c_TMAP1OUT)-(0))+IF(((c_TMAP1OUT)-(0))&gt;=0,1,-1)*QUOTIENT(((c_TMAP1IN)-(c_TFWD)),2)),((c_TMAP1IN)-(c_TFWD)))+(0)+IF(((c_TMAP1OUT)-(0))&gt;=0,IF(IF(o_WRAP=1,MOD(((c_TMAP1IN)-(c_TFWD))*(((A352)-(c_TFWD))*((c_TMAP1OUT)-(0))+IF(((c_TMAP1OUT)-(0))&gt;=0,1,-1)*QUOTIENT(((c_TMAP1IN)-(c_TFWD)),2))+2147483648,4294967296)-2147483648,((c_TMAP1IN)-(c_TFWD))*(((A352)-(c_TFWD))*((c_TMAP1OUT)-(0))+IF(((c_TMAP1OUT)-(0))&gt;=0,1,-1)*QUOTIENT(((c_TMAP1IN)-(c_TFWD)),2)))&lt;0,-1,0),IF(IF(o_WRAP=1,MOD(((c_TMAP1IN)-(c_TFWD))*(((A352)-(c_TFWD))*((c_TMAP1OUT)-(0))+IF(((c_TMAP1OUT)-(0))&gt;=0,1,-1)*QUOTIENT(((c_TMAP1IN)-(c_TFWD)),2))+2147483648,4294967296)-2147483648,((c_TMAP1IN)-(c_TFWD))*(((A352)-(c_TFWD))*((c_TMAP1OUT)-(0))+IF(((c_TMAP1OUT)-(0))&gt;=0,1,-1)*QUOTIENT(((c_TMAP1IN)-(c_TFWD)),2)))&gt;=0,1,0)))</f>
        <v>262</v>
      </c>
      <c r="E352" s="7" t="n">
        <f aca="false">IF(((c_TMAP2IN)-(c_TMAP1IN))=0,(c_TMAP1OUT)+QUOTIENT(((c_TMAP2OUT)-(c_TMAP1OUT)),2),QUOTIENT((((A352)-(c_TMAP1IN))*((c_TMAP2OUT)-(c_TMAP1OUT))+IF(((c_TMAP2OUT)-(c_TMAP1OUT))&gt;=0,1,-1)*QUOTIENT(((c_TMAP2IN)-(c_TMAP1IN)),2)),((c_TMAP2IN)-(c_TMAP1IN)))+(c_TMAP1OUT)+IF(((c_TMAP2OUT)-(c_TMAP1OUT))&gt;=0,IF(IF(o_WRAP=1,MOD(((c_TMAP2IN)-(c_TMAP1IN))*(((A352)-(c_TMAP1IN))*((c_TMAP2OUT)-(c_TMAP1OUT))+IF(((c_TMAP2OUT)-(c_TMAP1OUT))&gt;=0,1,-1)*QUOTIENT(((c_TMAP2IN)-(c_TMAP1IN)),2))+2147483648,4294967296)-2147483648,((c_TMAP2IN)-(c_TMAP1IN))*(((A352)-(c_TMAP1IN))*((c_TMAP2OUT)-(c_TMAP1OUT))+IF(((c_TMAP2OUT)-(c_TMAP1OUT))&gt;=0,1,-1)*QUOTIENT(((c_TMAP2IN)-(c_TMAP1IN)),2)))&lt;0,-1,0),IF(IF(o_WRAP=1,MOD(((c_TMAP2IN)-(c_TMAP1IN))*(((A352)-(c_TMAP1IN))*((c_TMAP2OUT)-(c_TMAP1OUT))+IF(((c_TMAP2OUT)-(c_TMAP1OUT))&gt;=0,1,-1)*QUOTIENT(((c_TMAP2IN)-(c_TMAP1IN)),2))+2147483648,4294967296)-2147483648,((c_TMAP2IN)-(c_TMAP1IN))*(((A352)-(c_TMAP1IN))*((c_TMAP2OUT)-(c_TMAP1OUT))+IF(((c_TMAP2OUT)-(c_TMAP1OUT))&gt;=0,1,-1)*QUOTIENT(((c_TMAP2IN)-(c_TMAP1IN)),2)))&gt;=0,1,0)))</f>
        <v>169</v>
      </c>
      <c r="F352" s="7" t="n">
        <f aca="false">IF(((c_TMAP3IN)-(c_TMAP2IN))=0,(c_TMAP2OUT)+QUOTIENT(((c_TMAP3OUT)-(c_TMAP2OUT)),2),QUOTIENT((((A352)-(c_TMAP2IN))*((c_TMAP3OUT)-(c_TMAP2OUT))+IF(((c_TMAP3OUT)-(c_TMAP2OUT))&gt;=0,1,-1)*QUOTIENT(((c_TMAP3IN)-(c_TMAP2IN)),2)),((c_TMAP3IN)-(c_TMAP2IN)))+(c_TMAP2OUT)+IF(((c_TMAP3OUT)-(c_TMAP2OUT))&gt;=0,IF(IF(o_WRAP=1,MOD(((c_TMAP3IN)-(c_TMAP2IN))*(((A352)-(c_TMAP2IN))*((c_TMAP3OUT)-(c_TMAP2OUT))+IF(((c_TMAP3OUT)-(c_TMAP2OUT))&gt;=0,1,-1)*QUOTIENT(((c_TMAP3IN)-(c_TMAP2IN)),2))+2147483648,4294967296)-2147483648,((c_TMAP3IN)-(c_TMAP2IN))*(((A352)-(c_TMAP2IN))*((c_TMAP3OUT)-(c_TMAP2OUT))+IF(((c_TMAP3OUT)-(c_TMAP2OUT))&gt;=0,1,-1)*QUOTIENT(((c_TMAP3IN)-(c_TMAP2IN)),2)))&lt;0,-1,0),IF(IF(o_WRAP=1,MOD(((c_TMAP3IN)-(c_TMAP2IN))*(((A352)-(c_TMAP2IN))*((c_TMAP3OUT)-(c_TMAP2OUT))+IF(((c_TMAP3OUT)-(c_TMAP2OUT))&gt;=0,1,-1)*QUOTIENT(((c_TMAP3IN)-(c_TMAP2IN)),2))+2147483648,4294967296)-2147483648,((c_TMAP3IN)-(c_TMAP2IN))*(((A352)-(c_TMAP2IN))*((c_TMAP3OUT)-(c_TMAP2OUT))+IF(((c_TMAP3OUT)-(c_TMAP2OUT))&gt;=0,1,-1)*QUOTIENT(((c_TMAP3IN)-(c_TMAP2IN)),2)))&gt;=0,1,0)))</f>
        <v>198</v>
      </c>
      <c r="G352" s="7" t="n">
        <f aca="false">IF(((1000)-(c_TMAP3IN))=0,(c_TMAP3OUT)+QUOTIENT(((1000)-(c_TMAP3OUT)),2),QUOTIENT((((A352)-(c_TMAP3IN))*((1000)-(c_TMAP3OUT))+IF(((1000)-(c_TMAP3OUT))&gt;=0,1,-1)*QUOTIENT(((1000)-(c_TMAP3IN)),2)),((1000)-(c_TMAP3IN)))+(c_TMAP3OUT)+IF(((1000)-(c_TMAP3OUT))&gt;=0,IF(IF(o_WRAP=1,MOD(((1000)-(c_TMAP3IN))*(((A352)-(c_TMAP3IN))*((1000)-(c_TMAP3OUT))+IF(((1000)-(c_TMAP3OUT))&gt;=0,1,-1)*QUOTIENT(((1000)-(c_TMAP3IN)),2))+2147483648,4294967296)-2147483648,((1000)-(c_TMAP3IN))*(((A352)-(c_TMAP3IN))*((1000)-(c_TMAP3OUT))+IF(((1000)-(c_TMAP3OUT))&gt;=0,1,-1)*QUOTIENT(((1000)-(c_TMAP3IN)),2)))&lt;0,-1,0),IF(IF(o_WRAP=1,MOD(((1000)-(c_TMAP3IN))*(((A352)-(c_TMAP3IN))*((1000)-(c_TMAP3OUT))+IF(((1000)-(c_TMAP3OUT))&gt;=0,1,-1)*QUOTIENT(((1000)-(c_TMAP3IN)),2))+2147483648,4294967296)-2147483648,((1000)-(c_TMAP3IN))*(((A352)-(c_TMAP3IN))*((1000)-(c_TMAP3OUT))+IF(((1000)-(c_TMAP3OUT))&gt;=0,1,-1)*QUOTIENT(((1000)-(c_TMAP3IN)),2)))&gt;=0,1,0)))</f>
        <v>196</v>
      </c>
      <c r="H352" s="7" t="str">
        <f aca="false">IF(A352&gt;=c_TFWD,IF(AND(A352&gt;=c_TMAP3IN,c_TMAP3IN&lt;1000),"Seg4 map3-100%",IF(AND(A352&gt;=c_TMAP2IN,c_TMAP3IN&gt;c_TMAP2IN),"Seg3 map2-map3",IF(AND(A352&gt;=c_TMAP1IN,c_TMAP2IN&gt;c_TMAP1IN),"Seg2 map1-map2","Seg1 TFWD-map1"))),IF(AND(A352=0,c_TCREEP&gt;0),"Creep",IF(AND(A352&lt;=c_TRNGMIN,A352&gt;=c_TRNGMAX,c_TRNGMIN-c_TRNGMAX&lt;&gt;0),"Regen ramp","Coast (0)")))</f>
        <v>Seg3 map2-map3</v>
      </c>
      <c r="I352" s="7" t="n">
        <f aca="false">IF(A352&gt;=c_TFWD,IF(AND(A352&gt;=c_TMAP3IN,c_TMAP3IN&lt;1000),G352,IF(AND(A352&gt;=c_TMAP2IN,c_TMAP3IN&gt;c_TMAP2IN),F352,IF(AND(A352&gt;=c_TMAP1IN,c_TMAP2IN&gt;c_TMAP1IN),E352,D352))),C352)</f>
        <v>198</v>
      </c>
      <c r="J352" s="7" t="str">
        <f aca="false">IF(I352&lt;-1090,"TOO LOW",IF(I352&gt;1090,"TOO HIGH",""))</f>
        <v/>
      </c>
      <c r="K352" s="15" t="n">
        <f aca="false">IF(J352&lt;&gt;"",0,IF(I352&gt;979,1000,I352))</f>
        <v>198</v>
      </c>
      <c r="L352" s="7" t="n">
        <f aca="false">K352/10</f>
        <v>19.8</v>
      </c>
    </row>
    <row r="353" customFormat="false" ht="15" hidden="false" customHeight="false" outlineLevel="0" collapsed="false">
      <c r="A353" s="7" t="n">
        <v>348</v>
      </c>
      <c r="B353" s="7" t="n">
        <f aca="false">A353/10</f>
        <v>34.8</v>
      </c>
      <c r="C353" s="7" t="n">
        <f aca="false">IF(AND(A353=0,c_TCREEP&gt;0),10*c_TCREEP,IF(AND(A353&lt;=c_TRNGMIN,A353&gt;=c_TRNGMAX,c_TRNGMIN-c_TRNGMAX&lt;&gt;0),-10*c_TMINRN+QUOTIENT((c_TMAXRN-c_TMINRN)*(100-QUOTIENT((A353-c_TRNGMAX)*100,c_TRNGMIN-c_TRNGMAX)),-10),0))</f>
        <v>0</v>
      </c>
      <c r="D353" s="7" t="n">
        <f aca="false">IF(((c_TMAP1IN)-(c_TFWD))=0,(0)+QUOTIENT(((c_TMAP1OUT)-(0)),2),QUOTIENT((((A353)-(c_TFWD))*((c_TMAP1OUT)-(0))+IF(((c_TMAP1OUT)-(0))&gt;=0,1,-1)*QUOTIENT(((c_TMAP1IN)-(c_TFWD)),2)),((c_TMAP1IN)-(c_TFWD)))+(0)+IF(((c_TMAP1OUT)-(0))&gt;=0,IF(IF(o_WRAP=1,MOD(((c_TMAP1IN)-(c_TFWD))*(((A353)-(c_TFWD))*((c_TMAP1OUT)-(0))+IF(((c_TMAP1OUT)-(0))&gt;=0,1,-1)*QUOTIENT(((c_TMAP1IN)-(c_TFWD)),2))+2147483648,4294967296)-2147483648,((c_TMAP1IN)-(c_TFWD))*(((A353)-(c_TFWD))*((c_TMAP1OUT)-(0))+IF(((c_TMAP1OUT)-(0))&gt;=0,1,-1)*QUOTIENT(((c_TMAP1IN)-(c_TFWD)),2)))&lt;0,-1,0),IF(IF(o_WRAP=1,MOD(((c_TMAP1IN)-(c_TFWD))*(((A353)-(c_TFWD))*((c_TMAP1OUT)-(0))+IF(((c_TMAP1OUT)-(0))&gt;=0,1,-1)*QUOTIENT(((c_TMAP1IN)-(c_TFWD)),2))+2147483648,4294967296)-2147483648,((c_TMAP1IN)-(c_TFWD))*(((A353)-(c_TFWD))*((c_TMAP1OUT)-(0))+IF(((c_TMAP1OUT)-(0))&gt;=0,1,-1)*QUOTIENT(((c_TMAP1IN)-(c_TFWD)),2)))&gt;=0,1,0)))</f>
        <v>263</v>
      </c>
      <c r="E353" s="7" t="n">
        <f aca="false">IF(((c_TMAP2IN)-(c_TMAP1IN))=0,(c_TMAP1OUT)+QUOTIENT(((c_TMAP2OUT)-(c_TMAP1OUT)),2),QUOTIENT((((A353)-(c_TMAP1IN))*((c_TMAP2OUT)-(c_TMAP1OUT))+IF(((c_TMAP2OUT)-(c_TMAP1OUT))&gt;=0,1,-1)*QUOTIENT(((c_TMAP2IN)-(c_TMAP1IN)),2)),((c_TMAP2IN)-(c_TMAP1IN)))+(c_TMAP1OUT)+IF(((c_TMAP2OUT)-(c_TMAP1OUT))&gt;=0,IF(IF(o_WRAP=1,MOD(((c_TMAP2IN)-(c_TMAP1IN))*(((A353)-(c_TMAP1IN))*((c_TMAP2OUT)-(c_TMAP1OUT))+IF(((c_TMAP2OUT)-(c_TMAP1OUT))&gt;=0,1,-1)*QUOTIENT(((c_TMAP2IN)-(c_TMAP1IN)),2))+2147483648,4294967296)-2147483648,((c_TMAP2IN)-(c_TMAP1IN))*(((A353)-(c_TMAP1IN))*((c_TMAP2OUT)-(c_TMAP1OUT))+IF(((c_TMAP2OUT)-(c_TMAP1OUT))&gt;=0,1,-1)*QUOTIENT(((c_TMAP2IN)-(c_TMAP1IN)),2)))&lt;0,-1,0),IF(IF(o_WRAP=1,MOD(((c_TMAP2IN)-(c_TMAP1IN))*(((A353)-(c_TMAP1IN))*((c_TMAP2OUT)-(c_TMAP1OUT))+IF(((c_TMAP2OUT)-(c_TMAP1OUT))&gt;=0,1,-1)*QUOTIENT(((c_TMAP2IN)-(c_TMAP1IN)),2))+2147483648,4294967296)-2147483648,((c_TMAP2IN)-(c_TMAP1IN))*(((A353)-(c_TMAP1IN))*((c_TMAP2OUT)-(c_TMAP1OUT))+IF(((c_TMAP2OUT)-(c_TMAP1OUT))&gt;=0,1,-1)*QUOTIENT(((c_TMAP2IN)-(c_TMAP1IN)),2)))&gt;=0,1,0)))</f>
        <v>169</v>
      </c>
      <c r="F353" s="7" t="n">
        <f aca="false">IF(((c_TMAP3IN)-(c_TMAP2IN))=0,(c_TMAP2OUT)+QUOTIENT(((c_TMAP3OUT)-(c_TMAP2OUT)),2),QUOTIENT((((A353)-(c_TMAP2IN))*((c_TMAP3OUT)-(c_TMAP2OUT))+IF(((c_TMAP3OUT)-(c_TMAP2OUT))&gt;=0,1,-1)*QUOTIENT(((c_TMAP3IN)-(c_TMAP2IN)),2)),((c_TMAP3IN)-(c_TMAP2IN)))+(c_TMAP2OUT)+IF(((c_TMAP3OUT)-(c_TMAP2OUT))&gt;=0,IF(IF(o_WRAP=1,MOD(((c_TMAP3IN)-(c_TMAP2IN))*(((A353)-(c_TMAP2IN))*((c_TMAP3OUT)-(c_TMAP2OUT))+IF(((c_TMAP3OUT)-(c_TMAP2OUT))&gt;=0,1,-1)*QUOTIENT(((c_TMAP3IN)-(c_TMAP2IN)),2))+2147483648,4294967296)-2147483648,((c_TMAP3IN)-(c_TMAP2IN))*(((A353)-(c_TMAP2IN))*((c_TMAP3OUT)-(c_TMAP2OUT))+IF(((c_TMAP3OUT)-(c_TMAP2OUT))&gt;=0,1,-1)*QUOTIENT(((c_TMAP3IN)-(c_TMAP2IN)),2)))&lt;0,-1,0),IF(IF(o_WRAP=1,MOD(((c_TMAP3IN)-(c_TMAP2IN))*(((A353)-(c_TMAP2IN))*((c_TMAP3OUT)-(c_TMAP2OUT))+IF(((c_TMAP3OUT)-(c_TMAP2OUT))&gt;=0,1,-1)*QUOTIENT(((c_TMAP3IN)-(c_TMAP2IN)),2))+2147483648,4294967296)-2147483648,((c_TMAP3IN)-(c_TMAP2IN))*(((A353)-(c_TMAP2IN))*((c_TMAP3OUT)-(c_TMAP2OUT))+IF(((c_TMAP3OUT)-(c_TMAP2OUT))&gt;=0,1,-1)*QUOTIENT(((c_TMAP3IN)-(c_TMAP2IN)),2)))&gt;=0,1,0)))</f>
        <v>199</v>
      </c>
      <c r="G353" s="7" t="n">
        <f aca="false">IF(((1000)-(c_TMAP3IN))=0,(c_TMAP3OUT)+QUOTIENT(((1000)-(c_TMAP3OUT)),2),QUOTIENT((((A353)-(c_TMAP3IN))*((1000)-(c_TMAP3OUT))+IF(((1000)-(c_TMAP3OUT))&gt;=0,1,-1)*QUOTIENT(((1000)-(c_TMAP3IN)),2)),((1000)-(c_TMAP3IN)))+(c_TMAP3OUT)+IF(((1000)-(c_TMAP3OUT))&gt;=0,IF(IF(o_WRAP=1,MOD(((1000)-(c_TMAP3IN))*(((A353)-(c_TMAP3IN))*((1000)-(c_TMAP3OUT))+IF(((1000)-(c_TMAP3OUT))&gt;=0,1,-1)*QUOTIENT(((1000)-(c_TMAP3IN)),2))+2147483648,4294967296)-2147483648,((1000)-(c_TMAP3IN))*(((A353)-(c_TMAP3IN))*((1000)-(c_TMAP3OUT))+IF(((1000)-(c_TMAP3OUT))&gt;=0,1,-1)*QUOTIENT(((1000)-(c_TMAP3IN)),2)))&lt;0,-1,0),IF(IF(o_WRAP=1,MOD(((1000)-(c_TMAP3IN))*(((A353)-(c_TMAP3IN))*((1000)-(c_TMAP3OUT))+IF(((1000)-(c_TMAP3OUT))&gt;=0,1,-1)*QUOTIENT(((1000)-(c_TMAP3IN)),2))+2147483648,4294967296)-2147483648,((1000)-(c_TMAP3IN))*(((A353)-(c_TMAP3IN))*((1000)-(c_TMAP3OUT))+IF(((1000)-(c_TMAP3OUT))&gt;=0,1,-1)*QUOTIENT(((1000)-(c_TMAP3IN)),2)))&gt;=0,1,0)))</f>
        <v>198</v>
      </c>
      <c r="H353" s="7" t="str">
        <f aca="false">IF(A353&gt;=c_TFWD,IF(AND(A353&gt;=c_TMAP3IN,c_TMAP3IN&lt;1000),"Seg4 map3-100%",IF(AND(A353&gt;=c_TMAP2IN,c_TMAP3IN&gt;c_TMAP2IN),"Seg3 map2-map3",IF(AND(A353&gt;=c_TMAP1IN,c_TMAP2IN&gt;c_TMAP1IN),"Seg2 map1-map2","Seg1 TFWD-map1"))),IF(AND(A353=0,c_TCREEP&gt;0),"Creep",IF(AND(A353&lt;=c_TRNGMIN,A353&gt;=c_TRNGMAX,c_TRNGMIN-c_TRNGMAX&lt;&gt;0),"Regen ramp","Coast (0)")))</f>
        <v>Seg3 map2-map3</v>
      </c>
      <c r="I353" s="7" t="n">
        <f aca="false">IF(A353&gt;=c_TFWD,IF(AND(A353&gt;=c_TMAP3IN,c_TMAP3IN&lt;1000),G353,IF(AND(A353&gt;=c_TMAP2IN,c_TMAP3IN&gt;c_TMAP2IN),F353,IF(AND(A353&gt;=c_TMAP1IN,c_TMAP2IN&gt;c_TMAP1IN),E353,D353))),C353)</f>
        <v>199</v>
      </c>
      <c r="J353" s="7" t="str">
        <f aca="false">IF(I353&lt;-1090,"TOO LOW",IF(I353&gt;1090,"TOO HIGH",""))</f>
        <v/>
      </c>
      <c r="K353" s="15" t="n">
        <f aca="false">IF(J353&lt;&gt;"",0,IF(I353&gt;979,1000,I353))</f>
        <v>199</v>
      </c>
      <c r="L353" s="7" t="n">
        <f aca="false">K353/10</f>
        <v>19.9</v>
      </c>
    </row>
    <row r="354" customFormat="false" ht="15" hidden="false" customHeight="false" outlineLevel="0" collapsed="false">
      <c r="A354" s="7" t="n">
        <v>349</v>
      </c>
      <c r="B354" s="7" t="n">
        <f aca="false">A354/10</f>
        <v>34.9</v>
      </c>
      <c r="C354" s="7" t="n">
        <f aca="false">IF(AND(A354=0,c_TCREEP&gt;0),10*c_TCREEP,IF(AND(A354&lt;=c_TRNGMIN,A354&gt;=c_TRNGMAX,c_TRNGMIN-c_TRNGMAX&lt;&gt;0),-10*c_TMINRN+QUOTIENT((c_TMAXRN-c_TMINRN)*(100-QUOTIENT((A354-c_TRNGMAX)*100,c_TRNGMIN-c_TRNGMAX)),-10),0))</f>
        <v>0</v>
      </c>
      <c r="D354" s="7" t="n">
        <f aca="false">IF(((c_TMAP1IN)-(c_TFWD))=0,(0)+QUOTIENT(((c_TMAP1OUT)-(0)),2),QUOTIENT((((A354)-(c_TFWD))*((c_TMAP1OUT)-(0))+IF(((c_TMAP1OUT)-(0))&gt;=0,1,-1)*QUOTIENT(((c_TMAP1IN)-(c_TFWD)),2)),((c_TMAP1IN)-(c_TFWD)))+(0)+IF(((c_TMAP1OUT)-(0))&gt;=0,IF(IF(o_WRAP=1,MOD(((c_TMAP1IN)-(c_TFWD))*(((A354)-(c_TFWD))*((c_TMAP1OUT)-(0))+IF(((c_TMAP1OUT)-(0))&gt;=0,1,-1)*QUOTIENT(((c_TMAP1IN)-(c_TFWD)),2))+2147483648,4294967296)-2147483648,((c_TMAP1IN)-(c_TFWD))*(((A354)-(c_TFWD))*((c_TMAP1OUT)-(0))+IF(((c_TMAP1OUT)-(0))&gt;=0,1,-1)*QUOTIENT(((c_TMAP1IN)-(c_TFWD)),2)))&lt;0,-1,0),IF(IF(o_WRAP=1,MOD(((c_TMAP1IN)-(c_TFWD))*(((A354)-(c_TFWD))*((c_TMAP1OUT)-(0))+IF(((c_TMAP1OUT)-(0))&gt;=0,1,-1)*QUOTIENT(((c_TMAP1IN)-(c_TFWD)),2))+2147483648,4294967296)-2147483648,((c_TMAP1IN)-(c_TFWD))*(((A354)-(c_TFWD))*((c_TMAP1OUT)-(0))+IF(((c_TMAP1OUT)-(0))&gt;=0,1,-1)*QUOTIENT(((c_TMAP1IN)-(c_TFWD)),2)))&gt;=0,1,0)))</f>
        <v>264</v>
      </c>
      <c r="E354" s="7" t="n">
        <f aca="false">IF(((c_TMAP2IN)-(c_TMAP1IN))=0,(c_TMAP1OUT)+QUOTIENT(((c_TMAP2OUT)-(c_TMAP1OUT)),2),QUOTIENT((((A354)-(c_TMAP1IN))*((c_TMAP2OUT)-(c_TMAP1OUT))+IF(((c_TMAP2OUT)-(c_TMAP1OUT))&gt;=0,1,-1)*QUOTIENT(((c_TMAP2IN)-(c_TMAP1IN)),2)),((c_TMAP2IN)-(c_TMAP1IN)))+(c_TMAP1OUT)+IF(((c_TMAP2OUT)-(c_TMAP1OUT))&gt;=0,IF(IF(o_WRAP=1,MOD(((c_TMAP2IN)-(c_TMAP1IN))*(((A354)-(c_TMAP1IN))*((c_TMAP2OUT)-(c_TMAP1OUT))+IF(((c_TMAP2OUT)-(c_TMAP1OUT))&gt;=0,1,-1)*QUOTIENT(((c_TMAP2IN)-(c_TMAP1IN)),2))+2147483648,4294967296)-2147483648,((c_TMAP2IN)-(c_TMAP1IN))*(((A354)-(c_TMAP1IN))*((c_TMAP2OUT)-(c_TMAP1OUT))+IF(((c_TMAP2OUT)-(c_TMAP1OUT))&gt;=0,1,-1)*QUOTIENT(((c_TMAP2IN)-(c_TMAP1IN)),2)))&lt;0,-1,0),IF(IF(o_WRAP=1,MOD(((c_TMAP2IN)-(c_TMAP1IN))*(((A354)-(c_TMAP1IN))*((c_TMAP2OUT)-(c_TMAP1OUT))+IF(((c_TMAP2OUT)-(c_TMAP1OUT))&gt;=0,1,-1)*QUOTIENT(((c_TMAP2IN)-(c_TMAP1IN)),2))+2147483648,4294967296)-2147483648,((c_TMAP2IN)-(c_TMAP1IN))*(((A354)-(c_TMAP1IN))*((c_TMAP2OUT)-(c_TMAP1OUT))+IF(((c_TMAP2OUT)-(c_TMAP1OUT))&gt;=0,1,-1)*QUOTIENT(((c_TMAP2IN)-(c_TMAP1IN)),2)))&gt;=0,1,0)))</f>
        <v>170</v>
      </c>
      <c r="F354" s="7" t="n">
        <f aca="false">IF(((c_TMAP3IN)-(c_TMAP2IN))=0,(c_TMAP2OUT)+QUOTIENT(((c_TMAP3OUT)-(c_TMAP2OUT)),2),QUOTIENT((((A354)-(c_TMAP2IN))*((c_TMAP3OUT)-(c_TMAP2OUT))+IF(((c_TMAP3OUT)-(c_TMAP2OUT))&gt;=0,1,-1)*QUOTIENT(((c_TMAP3IN)-(c_TMAP2IN)),2)),((c_TMAP3IN)-(c_TMAP2IN)))+(c_TMAP2OUT)+IF(((c_TMAP3OUT)-(c_TMAP2OUT))&gt;=0,IF(IF(o_WRAP=1,MOD(((c_TMAP3IN)-(c_TMAP2IN))*(((A354)-(c_TMAP2IN))*((c_TMAP3OUT)-(c_TMAP2OUT))+IF(((c_TMAP3OUT)-(c_TMAP2OUT))&gt;=0,1,-1)*QUOTIENT(((c_TMAP3IN)-(c_TMAP2IN)),2))+2147483648,4294967296)-2147483648,((c_TMAP3IN)-(c_TMAP2IN))*(((A354)-(c_TMAP2IN))*((c_TMAP3OUT)-(c_TMAP2OUT))+IF(((c_TMAP3OUT)-(c_TMAP2OUT))&gt;=0,1,-1)*QUOTIENT(((c_TMAP3IN)-(c_TMAP2IN)),2)))&lt;0,-1,0),IF(IF(o_WRAP=1,MOD(((c_TMAP3IN)-(c_TMAP2IN))*(((A354)-(c_TMAP2IN))*((c_TMAP3OUT)-(c_TMAP2OUT))+IF(((c_TMAP3OUT)-(c_TMAP2OUT))&gt;=0,1,-1)*QUOTIENT(((c_TMAP3IN)-(c_TMAP2IN)),2))+2147483648,4294967296)-2147483648,((c_TMAP3IN)-(c_TMAP2IN))*(((A354)-(c_TMAP2IN))*((c_TMAP3OUT)-(c_TMAP2OUT))+IF(((c_TMAP3OUT)-(c_TMAP2OUT))&gt;=0,1,-1)*QUOTIENT(((c_TMAP3IN)-(c_TMAP2IN)),2)))&gt;=0,1,0)))</f>
        <v>199</v>
      </c>
      <c r="G354" s="7" t="n">
        <f aca="false">IF(((1000)-(c_TMAP3IN))=0,(c_TMAP3OUT)+QUOTIENT(((1000)-(c_TMAP3OUT)),2),QUOTIENT((((A354)-(c_TMAP3IN))*((1000)-(c_TMAP3OUT))+IF(((1000)-(c_TMAP3OUT))&gt;=0,1,-1)*QUOTIENT(((1000)-(c_TMAP3IN)),2)),((1000)-(c_TMAP3IN)))+(c_TMAP3OUT)+IF(((1000)-(c_TMAP3OUT))&gt;=0,IF(IF(o_WRAP=1,MOD(((1000)-(c_TMAP3IN))*(((A354)-(c_TMAP3IN))*((1000)-(c_TMAP3OUT))+IF(((1000)-(c_TMAP3OUT))&gt;=0,1,-1)*QUOTIENT(((1000)-(c_TMAP3IN)),2))+2147483648,4294967296)-2147483648,((1000)-(c_TMAP3IN))*(((A354)-(c_TMAP3IN))*((1000)-(c_TMAP3OUT))+IF(((1000)-(c_TMAP3OUT))&gt;=0,1,-1)*QUOTIENT(((1000)-(c_TMAP3IN)),2)))&lt;0,-1,0),IF(IF(o_WRAP=1,MOD(((1000)-(c_TMAP3IN))*(((A354)-(c_TMAP3IN))*((1000)-(c_TMAP3OUT))+IF(((1000)-(c_TMAP3OUT))&gt;=0,1,-1)*QUOTIENT(((1000)-(c_TMAP3IN)),2))+2147483648,4294967296)-2147483648,((1000)-(c_TMAP3IN))*(((A354)-(c_TMAP3IN))*((1000)-(c_TMAP3OUT))+IF(((1000)-(c_TMAP3OUT))&gt;=0,1,-1)*QUOTIENT(((1000)-(c_TMAP3IN)),2)))&gt;=0,1,0)))</f>
        <v>199</v>
      </c>
      <c r="H354" s="7" t="str">
        <f aca="false">IF(A354&gt;=c_TFWD,IF(AND(A354&gt;=c_TMAP3IN,c_TMAP3IN&lt;1000),"Seg4 map3-100%",IF(AND(A354&gt;=c_TMAP2IN,c_TMAP3IN&gt;c_TMAP2IN),"Seg3 map2-map3",IF(AND(A354&gt;=c_TMAP1IN,c_TMAP2IN&gt;c_TMAP1IN),"Seg2 map1-map2","Seg1 TFWD-map1"))),IF(AND(A354=0,c_TCREEP&gt;0),"Creep",IF(AND(A354&lt;=c_TRNGMIN,A354&gt;=c_TRNGMAX,c_TRNGMIN-c_TRNGMAX&lt;&gt;0),"Regen ramp","Coast (0)")))</f>
        <v>Seg3 map2-map3</v>
      </c>
      <c r="I354" s="7" t="n">
        <f aca="false">IF(A354&gt;=c_TFWD,IF(AND(A354&gt;=c_TMAP3IN,c_TMAP3IN&lt;1000),G354,IF(AND(A354&gt;=c_TMAP2IN,c_TMAP3IN&gt;c_TMAP2IN),F354,IF(AND(A354&gt;=c_TMAP1IN,c_TMAP2IN&gt;c_TMAP1IN),E354,D354))),C354)</f>
        <v>199</v>
      </c>
      <c r="J354" s="7" t="str">
        <f aca="false">IF(I354&lt;-1090,"TOO LOW",IF(I354&gt;1090,"TOO HIGH",""))</f>
        <v/>
      </c>
      <c r="K354" s="15" t="n">
        <f aca="false">IF(J354&lt;&gt;"",0,IF(I354&gt;979,1000,I354))</f>
        <v>199</v>
      </c>
      <c r="L354" s="7" t="n">
        <f aca="false">K354/10</f>
        <v>19.9</v>
      </c>
    </row>
    <row r="355" customFormat="false" ht="15" hidden="false" customHeight="false" outlineLevel="0" collapsed="false">
      <c r="A355" s="7" t="n">
        <v>350</v>
      </c>
      <c r="B355" s="7" t="n">
        <f aca="false">A355/10</f>
        <v>35</v>
      </c>
      <c r="C355" s="7" t="n">
        <f aca="false">IF(AND(A355=0,c_TCREEP&gt;0),10*c_TCREEP,IF(AND(A355&lt;=c_TRNGMIN,A355&gt;=c_TRNGMAX,c_TRNGMIN-c_TRNGMAX&lt;&gt;0),-10*c_TMINRN+QUOTIENT((c_TMAXRN-c_TMINRN)*(100-QUOTIENT((A355-c_TRNGMAX)*100,c_TRNGMIN-c_TRNGMAX)),-10),0))</f>
        <v>0</v>
      </c>
      <c r="D355" s="7" t="n">
        <f aca="false">IF(((c_TMAP1IN)-(c_TFWD))=0,(0)+QUOTIENT(((c_TMAP1OUT)-(0)),2),QUOTIENT((((A355)-(c_TFWD))*((c_TMAP1OUT)-(0))+IF(((c_TMAP1OUT)-(0))&gt;=0,1,-1)*QUOTIENT(((c_TMAP1IN)-(c_TFWD)),2)),((c_TMAP1IN)-(c_TFWD)))+(0)+IF(((c_TMAP1OUT)-(0))&gt;=0,IF(IF(o_WRAP=1,MOD(((c_TMAP1IN)-(c_TFWD))*(((A355)-(c_TFWD))*((c_TMAP1OUT)-(0))+IF(((c_TMAP1OUT)-(0))&gt;=0,1,-1)*QUOTIENT(((c_TMAP1IN)-(c_TFWD)),2))+2147483648,4294967296)-2147483648,((c_TMAP1IN)-(c_TFWD))*(((A355)-(c_TFWD))*((c_TMAP1OUT)-(0))+IF(((c_TMAP1OUT)-(0))&gt;=0,1,-1)*QUOTIENT(((c_TMAP1IN)-(c_TFWD)),2)))&lt;0,-1,0),IF(IF(o_WRAP=1,MOD(((c_TMAP1IN)-(c_TFWD))*(((A355)-(c_TFWD))*((c_TMAP1OUT)-(0))+IF(((c_TMAP1OUT)-(0))&gt;=0,1,-1)*QUOTIENT(((c_TMAP1IN)-(c_TFWD)),2))+2147483648,4294967296)-2147483648,((c_TMAP1IN)-(c_TFWD))*(((A355)-(c_TFWD))*((c_TMAP1OUT)-(0))+IF(((c_TMAP1OUT)-(0))&gt;=0,1,-1)*QUOTIENT(((c_TMAP1IN)-(c_TFWD)),2)))&gt;=0,1,0)))</f>
        <v>264</v>
      </c>
      <c r="E355" s="7" t="n">
        <f aca="false">IF(((c_TMAP2IN)-(c_TMAP1IN))=0,(c_TMAP1OUT)+QUOTIENT(((c_TMAP2OUT)-(c_TMAP1OUT)),2),QUOTIENT((((A355)-(c_TMAP1IN))*((c_TMAP2OUT)-(c_TMAP1OUT))+IF(((c_TMAP2OUT)-(c_TMAP1OUT))&gt;=0,1,-1)*QUOTIENT(((c_TMAP2IN)-(c_TMAP1IN)),2)),((c_TMAP2IN)-(c_TMAP1IN)))+(c_TMAP1OUT)+IF(((c_TMAP2OUT)-(c_TMAP1OUT))&gt;=0,IF(IF(o_WRAP=1,MOD(((c_TMAP2IN)-(c_TMAP1IN))*(((A355)-(c_TMAP1IN))*((c_TMAP2OUT)-(c_TMAP1OUT))+IF(((c_TMAP2OUT)-(c_TMAP1OUT))&gt;=0,1,-1)*QUOTIENT(((c_TMAP2IN)-(c_TMAP1IN)),2))+2147483648,4294967296)-2147483648,((c_TMAP2IN)-(c_TMAP1IN))*(((A355)-(c_TMAP1IN))*((c_TMAP2OUT)-(c_TMAP1OUT))+IF(((c_TMAP2OUT)-(c_TMAP1OUT))&gt;=0,1,-1)*QUOTIENT(((c_TMAP2IN)-(c_TMAP1IN)),2)))&lt;0,-1,0),IF(IF(o_WRAP=1,MOD(((c_TMAP2IN)-(c_TMAP1IN))*(((A355)-(c_TMAP1IN))*((c_TMAP2OUT)-(c_TMAP1OUT))+IF(((c_TMAP2OUT)-(c_TMAP1OUT))&gt;=0,1,-1)*QUOTIENT(((c_TMAP2IN)-(c_TMAP1IN)),2))+2147483648,4294967296)-2147483648,((c_TMAP2IN)-(c_TMAP1IN))*(((A355)-(c_TMAP1IN))*((c_TMAP2OUT)-(c_TMAP1OUT))+IF(((c_TMAP2OUT)-(c_TMAP1OUT))&gt;=0,1,-1)*QUOTIENT(((c_TMAP2IN)-(c_TMAP1IN)),2)))&gt;=0,1,0)))</f>
        <v>170</v>
      </c>
      <c r="F355" s="7" t="n">
        <f aca="false">IF(((c_TMAP3IN)-(c_TMAP2IN))=0,(c_TMAP2OUT)+QUOTIENT(((c_TMAP3OUT)-(c_TMAP2OUT)),2),QUOTIENT((((A355)-(c_TMAP2IN))*((c_TMAP3OUT)-(c_TMAP2OUT))+IF(((c_TMAP3OUT)-(c_TMAP2OUT))&gt;=0,1,-1)*QUOTIENT(((c_TMAP3IN)-(c_TMAP2IN)),2)),((c_TMAP3IN)-(c_TMAP2IN)))+(c_TMAP2OUT)+IF(((c_TMAP3OUT)-(c_TMAP2OUT))&gt;=0,IF(IF(o_WRAP=1,MOD(((c_TMAP3IN)-(c_TMAP2IN))*(((A355)-(c_TMAP2IN))*((c_TMAP3OUT)-(c_TMAP2OUT))+IF(((c_TMAP3OUT)-(c_TMAP2OUT))&gt;=0,1,-1)*QUOTIENT(((c_TMAP3IN)-(c_TMAP2IN)),2))+2147483648,4294967296)-2147483648,((c_TMAP3IN)-(c_TMAP2IN))*(((A355)-(c_TMAP2IN))*((c_TMAP3OUT)-(c_TMAP2OUT))+IF(((c_TMAP3OUT)-(c_TMAP2OUT))&gt;=0,1,-1)*QUOTIENT(((c_TMAP3IN)-(c_TMAP2IN)),2)))&lt;0,-1,0),IF(IF(o_WRAP=1,MOD(((c_TMAP3IN)-(c_TMAP2IN))*(((A355)-(c_TMAP2IN))*((c_TMAP3OUT)-(c_TMAP2OUT))+IF(((c_TMAP3OUT)-(c_TMAP2OUT))&gt;=0,1,-1)*QUOTIENT(((c_TMAP3IN)-(c_TMAP2IN)),2))+2147483648,4294967296)-2147483648,((c_TMAP3IN)-(c_TMAP2IN))*(((A355)-(c_TMAP2IN))*((c_TMAP3OUT)-(c_TMAP2OUT))+IF(((c_TMAP3OUT)-(c_TMAP2OUT))&gt;=0,1,-1)*QUOTIENT(((c_TMAP3IN)-(c_TMAP2IN)),2)))&gt;=0,1,0)))</f>
        <v>200</v>
      </c>
      <c r="G355" s="7" t="n">
        <f aca="false">IF(((1000)-(c_TMAP3IN))=0,(c_TMAP3OUT)+QUOTIENT(((1000)-(c_TMAP3OUT)),2),QUOTIENT((((A355)-(c_TMAP3IN))*((1000)-(c_TMAP3OUT))+IF(((1000)-(c_TMAP3OUT))&gt;=0,1,-1)*QUOTIENT(((1000)-(c_TMAP3IN)),2)),((1000)-(c_TMAP3IN)))+(c_TMAP3OUT)+IF(((1000)-(c_TMAP3OUT))&gt;=0,IF(IF(o_WRAP=1,MOD(((1000)-(c_TMAP3IN))*(((A355)-(c_TMAP3IN))*((1000)-(c_TMAP3OUT))+IF(((1000)-(c_TMAP3OUT))&gt;=0,1,-1)*QUOTIENT(((1000)-(c_TMAP3IN)),2))+2147483648,4294967296)-2147483648,((1000)-(c_TMAP3IN))*(((A355)-(c_TMAP3IN))*((1000)-(c_TMAP3OUT))+IF(((1000)-(c_TMAP3OUT))&gt;=0,1,-1)*QUOTIENT(((1000)-(c_TMAP3IN)),2)))&lt;0,-1,0),IF(IF(o_WRAP=1,MOD(((1000)-(c_TMAP3IN))*(((A355)-(c_TMAP3IN))*((1000)-(c_TMAP3OUT))+IF(((1000)-(c_TMAP3OUT))&gt;=0,1,-1)*QUOTIENT(((1000)-(c_TMAP3IN)),2))+2147483648,4294967296)-2147483648,((1000)-(c_TMAP3IN))*(((A355)-(c_TMAP3IN))*((1000)-(c_TMAP3OUT))+IF(((1000)-(c_TMAP3OUT))&gt;=0,1,-1)*QUOTIENT(((1000)-(c_TMAP3IN)),2)))&gt;=0,1,0)))</f>
        <v>200</v>
      </c>
      <c r="H355" s="7" t="str">
        <f aca="false">IF(A355&gt;=c_TFWD,IF(AND(A355&gt;=c_TMAP3IN,c_TMAP3IN&lt;1000),"Seg4 map3-100%",IF(AND(A355&gt;=c_TMAP2IN,c_TMAP3IN&gt;c_TMAP2IN),"Seg3 map2-map3",IF(AND(A355&gt;=c_TMAP1IN,c_TMAP2IN&gt;c_TMAP1IN),"Seg2 map1-map2","Seg1 TFWD-map1"))),IF(AND(A355=0,c_TCREEP&gt;0),"Creep",IF(AND(A355&lt;=c_TRNGMIN,A355&gt;=c_TRNGMAX,c_TRNGMIN-c_TRNGMAX&lt;&gt;0),"Regen ramp","Coast (0)")))</f>
        <v>Seg4 map3-100%</v>
      </c>
      <c r="I355" s="7" t="n">
        <f aca="false">IF(A355&gt;=c_TFWD,IF(AND(A355&gt;=c_TMAP3IN,c_TMAP3IN&lt;1000),G355,IF(AND(A355&gt;=c_TMAP2IN,c_TMAP3IN&gt;c_TMAP2IN),F355,IF(AND(A355&gt;=c_TMAP1IN,c_TMAP2IN&gt;c_TMAP1IN),E355,D355))),C355)</f>
        <v>200</v>
      </c>
      <c r="J355" s="7" t="str">
        <f aca="false">IF(I355&lt;-1090,"TOO LOW",IF(I355&gt;1090,"TOO HIGH",""))</f>
        <v/>
      </c>
      <c r="K355" s="15" t="n">
        <f aca="false">IF(J355&lt;&gt;"",0,IF(I355&gt;979,1000,I355))</f>
        <v>200</v>
      </c>
      <c r="L355" s="7" t="n">
        <f aca="false">K355/10</f>
        <v>20</v>
      </c>
    </row>
    <row r="356" customFormat="false" ht="15" hidden="false" customHeight="false" outlineLevel="0" collapsed="false">
      <c r="A356" s="7" t="n">
        <v>351</v>
      </c>
      <c r="B356" s="7" t="n">
        <f aca="false">A356/10</f>
        <v>35.1</v>
      </c>
      <c r="C356" s="7" t="n">
        <f aca="false">IF(AND(A356=0,c_TCREEP&gt;0),10*c_TCREEP,IF(AND(A356&lt;=c_TRNGMIN,A356&gt;=c_TRNGMAX,c_TRNGMIN-c_TRNGMAX&lt;&gt;0),-10*c_TMINRN+QUOTIENT((c_TMAXRN-c_TMINRN)*(100-QUOTIENT((A356-c_TRNGMAX)*100,c_TRNGMIN-c_TRNGMAX)),-10),0))</f>
        <v>0</v>
      </c>
      <c r="D356" s="7" t="n">
        <f aca="false">IF(((c_TMAP1IN)-(c_TFWD))=0,(0)+QUOTIENT(((c_TMAP1OUT)-(0)),2),QUOTIENT((((A356)-(c_TFWD))*((c_TMAP1OUT)-(0))+IF(((c_TMAP1OUT)-(0))&gt;=0,1,-1)*QUOTIENT(((c_TMAP1IN)-(c_TFWD)),2)),((c_TMAP1IN)-(c_TFWD)))+(0)+IF(((c_TMAP1OUT)-(0))&gt;=0,IF(IF(o_WRAP=1,MOD(((c_TMAP1IN)-(c_TFWD))*(((A356)-(c_TFWD))*((c_TMAP1OUT)-(0))+IF(((c_TMAP1OUT)-(0))&gt;=0,1,-1)*QUOTIENT(((c_TMAP1IN)-(c_TFWD)),2))+2147483648,4294967296)-2147483648,((c_TMAP1IN)-(c_TFWD))*(((A356)-(c_TFWD))*((c_TMAP1OUT)-(0))+IF(((c_TMAP1OUT)-(0))&gt;=0,1,-1)*QUOTIENT(((c_TMAP1IN)-(c_TFWD)),2)))&lt;0,-1,0),IF(IF(o_WRAP=1,MOD(((c_TMAP1IN)-(c_TFWD))*(((A356)-(c_TFWD))*((c_TMAP1OUT)-(0))+IF(((c_TMAP1OUT)-(0))&gt;=0,1,-1)*QUOTIENT(((c_TMAP1IN)-(c_TFWD)),2))+2147483648,4294967296)-2147483648,((c_TMAP1IN)-(c_TFWD))*(((A356)-(c_TFWD))*((c_TMAP1OUT)-(0))+IF(((c_TMAP1OUT)-(0))&gt;=0,1,-1)*QUOTIENT(((c_TMAP1IN)-(c_TFWD)),2)))&gt;=0,1,0)))</f>
        <v>265</v>
      </c>
      <c r="E356" s="7" t="n">
        <f aca="false">IF(((c_TMAP2IN)-(c_TMAP1IN))=0,(c_TMAP1OUT)+QUOTIENT(((c_TMAP2OUT)-(c_TMAP1OUT)),2),QUOTIENT((((A356)-(c_TMAP1IN))*((c_TMAP2OUT)-(c_TMAP1OUT))+IF(((c_TMAP2OUT)-(c_TMAP1OUT))&gt;=0,1,-1)*QUOTIENT(((c_TMAP2IN)-(c_TMAP1IN)),2)),((c_TMAP2IN)-(c_TMAP1IN)))+(c_TMAP1OUT)+IF(((c_TMAP2OUT)-(c_TMAP1OUT))&gt;=0,IF(IF(o_WRAP=1,MOD(((c_TMAP2IN)-(c_TMAP1IN))*(((A356)-(c_TMAP1IN))*((c_TMAP2OUT)-(c_TMAP1OUT))+IF(((c_TMAP2OUT)-(c_TMAP1OUT))&gt;=0,1,-1)*QUOTIENT(((c_TMAP2IN)-(c_TMAP1IN)),2))+2147483648,4294967296)-2147483648,((c_TMAP2IN)-(c_TMAP1IN))*(((A356)-(c_TMAP1IN))*((c_TMAP2OUT)-(c_TMAP1OUT))+IF(((c_TMAP2OUT)-(c_TMAP1OUT))&gt;=0,1,-1)*QUOTIENT(((c_TMAP2IN)-(c_TMAP1IN)),2)))&lt;0,-1,0),IF(IF(o_WRAP=1,MOD(((c_TMAP2IN)-(c_TMAP1IN))*(((A356)-(c_TMAP1IN))*((c_TMAP2OUT)-(c_TMAP1OUT))+IF(((c_TMAP2OUT)-(c_TMAP1OUT))&gt;=0,1,-1)*QUOTIENT(((c_TMAP2IN)-(c_TMAP1IN)),2))+2147483648,4294967296)-2147483648,((c_TMAP2IN)-(c_TMAP1IN))*(((A356)-(c_TMAP1IN))*((c_TMAP2OUT)-(c_TMAP1OUT))+IF(((c_TMAP2OUT)-(c_TMAP1OUT))&gt;=0,1,-1)*QUOTIENT(((c_TMAP2IN)-(c_TMAP1IN)),2)))&gt;=0,1,0)))</f>
        <v>170</v>
      </c>
      <c r="F356" s="7" t="n">
        <f aca="false">IF(((c_TMAP3IN)-(c_TMAP2IN))=0,(c_TMAP2OUT)+QUOTIENT(((c_TMAP3OUT)-(c_TMAP2OUT)),2),QUOTIENT((((A356)-(c_TMAP2IN))*((c_TMAP3OUT)-(c_TMAP2OUT))+IF(((c_TMAP3OUT)-(c_TMAP2OUT))&gt;=0,1,-1)*QUOTIENT(((c_TMAP3IN)-(c_TMAP2IN)),2)),((c_TMAP3IN)-(c_TMAP2IN)))+(c_TMAP2OUT)+IF(((c_TMAP3OUT)-(c_TMAP2OUT))&gt;=0,IF(IF(o_WRAP=1,MOD(((c_TMAP3IN)-(c_TMAP2IN))*(((A356)-(c_TMAP2IN))*((c_TMAP3OUT)-(c_TMAP2OUT))+IF(((c_TMAP3OUT)-(c_TMAP2OUT))&gt;=0,1,-1)*QUOTIENT(((c_TMAP3IN)-(c_TMAP2IN)),2))+2147483648,4294967296)-2147483648,((c_TMAP3IN)-(c_TMAP2IN))*(((A356)-(c_TMAP2IN))*((c_TMAP3OUT)-(c_TMAP2OUT))+IF(((c_TMAP3OUT)-(c_TMAP2OUT))&gt;=0,1,-1)*QUOTIENT(((c_TMAP3IN)-(c_TMAP2IN)),2)))&lt;0,-1,0),IF(IF(o_WRAP=1,MOD(((c_TMAP3IN)-(c_TMAP2IN))*(((A356)-(c_TMAP2IN))*((c_TMAP3OUT)-(c_TMAP2OUT))+IF(((c_TMAP3OUT)-(c_TMAP2OUT))&gt;=0,1,-1)*QUOTIENT(((c_TMAP3IN)-(c_TMAP2IN)),2))+2147483648,4294967296)-2147483648,((c_TMAP3IN)-(c_TMAP2IN))*(((A356)-(c_TMAP2IN))*((c_TMAP3OUT)-(c_TMAP2OUT))+IF(((c_TMAP3OUT)-(c_TMAP2OUT))&gt;=0,1,-1)*QUOTIENT(((c_TMAP3IN)-(c_TMAP2IN)),2)))&gt;=0,1,0)))</f>
        <v>201</v>
      </c>
      <c r="G356" s="7" t="n">
        <f aca="false">IF(((1000)-(c_TMAP3IN))=0,(c_TMAP3OUT)+QUOTIENT(((1000)-(c_TMAP3OUT)),2),QUOTIENT((((A356)-(c_TMAP3IN))*((1000)-(c_TMAP3OUT))+IF(((1000)-(c_TMAP3OUT))&gt;=0,1,-1)*QUOTIENT(((1000)-(c_TMAP3IN)),2)),((1000)-(c_TMAP3IN)))+(c_TMAP3OUT)+IF(((1000)-(c_TMAP3OUT))&gt;=0,IF(IF(o_WRAP=1,MOD(((1000)-(c_TMAP3IN))*(((A356)-(c_TMAP3IN))*((1000)-(c_TMAP3OUT))+IF(((1000)-(c_TMAP3OUT))&gt;=0,1,-1)*QUOTIENT(((1000)-(c_TMAP3IN)),2))+2147483648,4294967296)-2147483648,((1000)-(c_TMAP3IN))*(((A356)-(c_TMAP3IN))*((1000)-(c_TMAP3OUT))+IF(((1000)-(c_TMAP3OUT))&gt;=0,1,-1)*QUOTIENT(((1000)-(c_TMAP3IN)),2)))&lt;0,-1,0),IF(IF(o_WRAP=1,MOD(((1000)-(c_TMAP3IN))*(((A356)-(c_TMAP3IN))*((1000)-(c_TMAP3OUT))+IF(((1000)-(c_TMAP3OUT))&gt;=0,1,-1)*QUOTIENT(((1000)-(c_TMAP3IN)),2))+2147483648,4294967296)-2147483648,((1000)-(c_TMAP3IN))*(((A356)-(c_TMAP3IN))*((1000)-(c_TMAP3OUT))+IF(((1000)-(c_TMAP3OUT))&gt;=0,1,-1)*QUOTIENT(((1000)-(c_TMAP3IN)),2)))&gt;=0,1,0)))</f>
        <v>201</v>
      </c>
      <c r="H356" s="7" t="str">
        <f aca="false">IF(A356&gt;=c_TFWD,IF(AND(A356&gt;=c_TMAP3IN,c_TMAP3IN&lt;1000),"Seg4 map3-100%",IF(AND(A356&gt;=c_TMAP2IN,c_TMAP3IN&gt;c_TMAP2IN),"Seg3 map2-map3",IF(AND(A356&gt;=c_TMAP1IN,c_TMAP2IN&gt;c_TMAP1IN),"Seg2 map1-map2","Seg1 TFWD-map1"))),IF(AND(A356=0,c_TCREEP&gt;0),"Creep",IF(AND(A356&lt;=c_TRNGMIN,A356&gt;=c_TRNGMAX,c_TRNGMIN-c_TRNGMAX&lt;&gt;0),"Regen ramp","Coast (0)")))</f>
        <v>Seg4 map3-100%</v>
      </c>
      <c r="I356" s="7" t="n">
        <f aca="false">IF(A356&gt;=c_TFWD,IF(AND(A356&gt;=c_TMAP3IN,c_TMAP3IN&lt;1000),G356,IF(AND(A356&gt;=c_TMAP2IN,c_TMAP3IN&gt;c_TMAP2IN),F356,IF(AND(A356&gt;=c_TMAP1IN,c_TMAP2IN&gt;c_TMAP1IN),E356,D356))),C356)</f>
        <v>201</v>
      </c>
      <c r="J356" s="7" t="str">
        <f aca="false">IF(I356&lt;-1090,"TOO LOW",IF(I356&gt;1090,"TOO HIGH",""))</f>
        <v/>
      </c>
      <c r="K356" s="15" t="n">
        <f aca="false">IF(J356&lt;&gt;"",0,IF(I356&gt;979,1000,I356))</f>
        <v>201</v>
      </c>
      <c r="L356" s="7" t="n">
        <f aca="false">K356/10</f>
        <v>20.1</v>
      </c>
    </row>
    <row r="357" customFormat="false" ht="15" hidden="false" customHeight="false" outlineLevel="0" collapsed="false">
      <c r="A357" s="7" t="n">
        <v>352</v>
      </c>
      <c r="B357" s="7" t="n">
        <f aca="false">A357/10</f>
        <v>35.2</v>
      </c>
      <c r="C357" s="7" t="n">
        <f aca="false">IF(AND(A357=0,c_TCREEP&gt;0),10*c_TCREEP,IF(AND(A357&lt;=c_TRNGMIN,A357&gt;=c_TRNGMAX,c_TRNGMIN-c_TRNGMAX&lt;&gt;0),-10*c_TMINRN+QUOTIENT((c_TMAXRN-c_TMINRN)*(100-QUOTIENT((A357-c_TRNGMAX)*100,c_TRNGMIN-c_TRNGMAX)),-10),0))</f>
        <v>0</v>
      </c>
      <c r="D357" s="7" t="n">
        <f aca="false">IF(((c_TMAP1IN)-(c_TFWD))=0,(0)+QUOTIENT(((c_TMAP1OUT)-(0)),2),QUOTIENT((((A357)-(c_TFWD))*((c_TMAP1OUT)-(0))+IF(((c_TMAP1OUT)-(0))&gt;=0,1,-1)*QUOTIENT(((c_TMAP1IN)-(c_TFWD)),2)),((c_TMAP1IN)-(c_TFWD)))+(0)+IF(((c_TMAP1OUT)-(0))&gt;=0,IF(IF(o_WRAP=1,MOD(((c_TMAP1IN)-(c_TFWD))*(((A357)-(c_TFWD))*((c_TMAP1OUT)-(0))+IF(((c_TMAP1OUT)-(0))&gt;=0,1,-1)*QUOTIENT(((c_TMAP1IN)-(c_TFWD)),2))+2147483648,4294967296)-2147483648,((c_TMAP1IN)-(c_TFWD))*(((A357)-(c_TFWD))*((c_TMAP1OUT)-(0))+IF(((c_TMAP1OUT)-(0))&gt;=0,1,-1)*QUOTIENT(((c_TMAP1IN)-(c_TFWD)),2)))&lt;0,-1,0),IF(IF(o_WRAP=1,MOD(((c_TMAP1IN)-(c_TFWD))*(((A357)-(c_TFWD))*((c_TMAP1OUT)-(0))+IF(((c_TMAP1OUT)-(0))&gt;=0,1,-1)*QUOTIENT(((c_TMAP1IN)-(c_TFWD)),2))+2147483648,4294967296)-2147483648,((c_TMAP1IN)-(c_TFWD))*(((A357)-(c_TFWD))*((c_TMAP1OUT)-(0))+IF(((c_TMAP1OUT)-(0))&gt;=0,1,-1)*QUOTIENT(((c_TMAP1IN)-(c_TFWD)),2)))&gt;=0,1,0)))</f>
        <v>266</v>
      </c>
      <c r="E357" s="7" t="n">
        <f aca="false">IF(((c_TMAP2IN)-(c_TMAP1IN))=0,(c_TMAP1OUT)+QUOTIENT(((c_TMAP2OUT)-(c_TMAP1OUT)),2),QUOTIENT((((A357)-(c_TMAP1IN))*((c_TMAP2OUT)-(c_TMAP1OUT))+IF(((c_TMAP2OUT)-(c_TMAP1OUT))&gt;=0,1,-1)*QUOTIENT(((c_TMAP2IN)-(c_TMAP1IN)),2)),((c_TMAP2IN)-(c_TMAP1IN)))+(c_TMAP1OUT)+IF(((c_TMAP2OUT)-(c_TMAP1OUT))&gt;=0,IF(IF(o_WRAP=1,MOD(((c_TMAP2IN)-(c_TMAP1IN))*(((A357)-(c_TMAP1IN))*((c_TMAP2OUT)-(c_TMAP1OUT))+IF(((c_TMAP2OUT)-(c_TMAP1OUT))&gt;=0,1,-1)*QUOTIENT(((c_TMAP2IN)-(c_TMAP1IN)),2))+2147483648,4294967296)-2147483648,((c_TMAP2IN)-(c_TMAP1IN))*(((A357)-(c_TMAP1IN))*((c_TMAP2OUT)-(c_TMAP1OUT))+IF(((c_TMAP2OUT)-(c_TMAP1OUT))&gt;=0,1,-1)*QUOTIENT(((c_TMAP2IN)-(c_TMAP1IN)),2)))&lt;0,-1,0),IF(IF(o_WRAP=1,MOD(((c_TMAP2IN)-(c_TMAP1IN))*(((A357)-(c_TMAP1IN))*((c_TMAP2OUT)-(c_TMAP1OUT))+IF(((c_TMAP2OUT)-(c_TMAP1OUT))&gt;=0,1,-1)*QUOTIENT(((c_TMAP2IN)-(c_TMAP1IN)),2))+2147483648,4294967296)-2147483648,((c_TMAP2IN)-(c_TMAP1IN))*(((A357)-(c_TMAP1IN))*((c_TMAP2OUT)-(c_TMAP1OUT))+IF(((c_TMAP2OUT)-(c_TMAP1OUT))&gt;=0,1,-1)*QUOTIENT(((c_TMAP2IN)-(c_TMAP1IN)),2)))&gt;=0,1,0)))</f>
        <v>171</v>
      </c>
      <c r="F357" s="7" t="n">
        <f aca="false">IF(((c_TMAP3IN)-(c_TMAP2IN))=0,(c_TMAP2OUT)+QUOTIENT(((c_TMAP3OUT)-(c_TMAP2OUT)),2),QUOTIENT((((A357)-(c_TMAP2IN))*((c_TMAP3OUT)-(c_TMAP2OUT))+IF(((c_TMAP3OUT)-(c_TMAP2OUT))&gt;=0,1,-1)*QUOTIENT(((c_TMAP3IN)-(c_TMAP2IN)),2)),((c_TMAP3IN)-(c_TMAP2IN)))+(c_TMAP2OUT)+IF(((c_TMAP3OUT)-(c_TMAP2OUT))&gt;=0,IF(IF(o_WRAP=1,MOD(((c_TMAP3IN)-(c_TMAP2IN))*(((A357)-(c_TMAP2IN))*((c_TMAP3OUT)-(c_TMAP2OUT))+IF(((c_TMAP3OUT)-(c_TMAP2OUT))&gt;=0,1,-1)*QUOTIENT(((c_TMAP3IN)-(c_TMAP2IN)),2))+2147483648,4294967296)-2147483648,((c_TMAP3IN)-(c_TMAP2IN))*(((A357)-(c_TMAP2IN))*((c_TMAP3OUT)-(c_TMAP2OUT))+IF(((c_TMAP3OUT)-(c_TMAP2OUT))&gt;=0,1,-1)*QUOTIENT(((c_TMAP3IN)-(c_TMAP2IN)),2)))&lt;0,-1,0),IF(IF(o_WRAP=1,MOD(((c_TMAP3IN)-(c_TMAP2IN))*(((A357)-(c_TMAP2IN))*((c_TMAP3OUT)-(c_TMAP2OUT))+IF(((c_TMAP3OUT)-(c_TMAP2OUT))&gt;=0,1,-1)*QUOTIENT(((c_TMAP3IN)-(c_TMAP2IN)),2))+2147483648,4294967296)-2147483648,((c_TMAP3IN)-(c_TMAP2IN))*(((A357)-(c_TMAP2IN))*((c_TMAP3OUT)-(c_TMAP2OUT))+IF(((c_TMAP3OUT)-(c_TMAP2OUT))&gt;=0,1,-1)*QUOTIENT(((c_TMAP3IN)-(c_TMAP2IN)),2)))&gt;=0,1,0)))</f>
        <v>201</v>
      </c>
      <c r="G357" s="7" t="n">
        <f aca="false">IF(((1000)-(c_TMAP3IN))=0,(c_TMAP3OUT)+QUOTIENT(((1000)-(c_TMAP3OUT)),2),QUOTIENT((((A357)-(c_TMAP3IN))*((1000)-(c_TMAP3OUT))+IF(((1000)-(c_TMAP3OUT))&gt;=0,1,-1)*QUOTIENT(((1000)-(c_TMAP3IN)),2)),((1000)-(c_TMAP3IN)))+(c_TMAP3OUT)+IF(((1000)-(c_TMAP3OUT))&gt;=0,IF(IF(o_WRAP=1,MOD(((1000)-(c_TMAP3IN))*(((A357)-(c_TMAP3IN))*((1000)-(c_TMAP3OUT))+IF(((1000)-(c_TMAP3OUT))&gt;=0,1,-1)*QUOTIENT(((1000)-(c_TMAP3IN)),2))+2147483648,4294967296)-2147483648,((1000)-(c_TMAP3IN))*(((A357)-(c_TMAP3IN))*((1000)-(c_TMAP3OUT))+IF(((1000)-(c_TMAP3OUT))&gt;=0,1,-1)*QUOTIENT(((1000)-(c_TMAP3IN)),2)))&lt;0,-1,0),IF(IF(o_WRAP=1,MOD(((1000)-(c_TMAP3IN))*(((A357)-(c_TMAP3IN))*((1000)-(c_TMAP3OUT))+IF(((1000)-(c_TMAP3OUT))&gt;=0,1,-1)*QUOTIENT(((1000)-(c_TMAP3IN)),2))+2147483648,4294967296)-2147483648,((1000)-(c_TMAP3IN))*(((A357)-(c_TMAP3IN))*((1000)-(c_TMAP3OUT))+IF(((1000)-(c_TMAP3OUT))&gt;=0,1,-1)*QUOTIENT(((1000)-(c_TMAP3IN)),2)))&gt;=0,1,0)))</f>
        <v>202</v>
      </c>
      <c r="H357" s="7" t="str">
        <f aca="false">IF(A357&gt;=c_TFWD,IF(AND(A357&gt;=c_TMAP3IN,c_TMAP3IN&lt;1000),"Seg4 map3-100%",IF(AND(A357&gt;=c_TMAP2IN,c_TMAP3IN&gt;c_TMAP2IN),"Seg3 map2-map3",IF(AND(A357&gt;=c_TMAP1IN,c_TMAP2IN&gt;c_TMAP1IN),"Seg2 map1-map2","Seg1 TFWD-map1"))),IF(AND(A357=0,c_TCREEP&gt;0),"Creep",IF(AND(A357&lt;=c_TRNGMIN,A357&gt;=c_TRNGMAX,c_TRNGMIN-c_TRNGMAX&lt;&gt;0),"Regen ramp","Coast (0)")))</f>
        <v>Seg4 map3-100%</v>
      </c>
      <c r="I357" s="7" t="n">
        <f aca="false">IF(A357&gt;=c_TFWD,IF(AND(A357&gt;=c_TMAP3IN,c_TMAP3IN&lt;1000),G357,IF(AND(A357&gt;=c_TMAP2IN,c_TMAP3IN&gt;c_TMAP2IN),F357,IF(AND(A357&gt;=c_TMAP1IN,c_TMAP2IN&gt;c_TMAP1IN),E357,D357))),C357)</f>
        <v>202</v>
      </c>
      <c r="J357" s="7" t="str">
        <f aca="false">IF(I357&lt;-1090,"TOO LOW",IF(I357&gt;1090,"TOO HIGH",""))</f>
        <v/>
      </c>
      <c r="K357" s="15" t="n">
        <f aca="false">IF(J357&lt;&gt;"",0,IF(I357&gt;979,1000,I357))</f>
        <v>202</v>
      </c>
      <c r="L357" s="7" t="n">
        <f aca="false">K357/10</f>
        <v>20.2</v>
      </c>
    </row>
    <row r="358" customFormat="false" ht="15" hidden="false" customHeight="false" outlineLevel="0" collapsed="false">
      <c r="A358" s="7" t="n">
        <v>353</v>
      </c>
      <c r="B358" s="7" t="n">
        <f aca="false">A358/10</f>
        <v>35.3</v>
      </c>
      <c r="C358" s="7" t="n">
        <f aca="false">IF(AND(A358=0,c_TCREEP&gt;0),10*c_TCREEP,IF(AND(A358&lt;=c_TRNGMIN,A358&gt;=c_TRNGMAX,c_TRNGMIN-c_TRNGMAX&lt;&gt;0),-10*c_TMINRN+QUOTIENT((c_TMAXRN-c_TMINRN)*(100-QUOTIENT((A358-c_TRNGMAX)*100,c_TRNGMIN-c_TRNGMAX)),-10),0))</f>
        <v>0</v>
      </c>
      <c r="D358" s="7" t="n">
        <f aca="false">IF(((c_TMAP1IN)-(c_TFWD))=0,(0)+QUOTIENT(((c_TMAP1OUT)-(0)),2),QUOTIENT((((A358)-(c_TFWD))*((c_TMAP1OUT)-(0))+IF(((c_TMAP1OUT)-(0))&gt;=0,1,-1)*QUOTIENT(((c_TMAP1IN)-(c_TFWD)),2)),((c_TMAP1IN)-(c_TFWD)))+(0)+IF(((c_TMAP1OUT)-(0))&gt;=0,IF(IF(o_WRAP=1,MOD(((c_TMAP1IN)-(c_TFWD))*(((A358)-(c_TFWD))*((c_TMAP1OUT)-(0))+IF(((c_TMAP1OUT)-(0))&gt;=0,1,-1)*QUOTIENT(((c_TMAP1IN)-(c_TFWD)),2))+2147483648,4294967296)-2147483648,((c_TMAP1IN)-(c_TFWD))*(((A358)-(c_TFWD))*((c_TMAP1OUT)-(0))+IF(((c_TMAP1OUT)-(0))&gt;=0,1,-1)*QUOTIENT(((c_TMAP1IN)-(c_TFWD)),2)))&lt;0,-1,0),IF(IF(o_WRAP=1,MOD(((c_TMAP1IN)-(c_TFWD))*(((A358)-(c_TFWD))*((c_TMAP1OUT)-(0))+IF(((c_TMAP1OUT)-(0))&gt;=0,1,-1)*QUOTIENT(((c_TMAP1IN)-(c_TFWD)),2))+2147483648,4294967296)-2147483648,((c_TMAP1IN)-(c_TFWD))*(((A358)-(c_TFWD))*((c_TMAP1OUT)-(0))+IF(((c_TMAP1OUT)-(0))&gt;=0,1,-1)*QUOTIENT(((c_TMAP1IN)-(c_TFWD)),2)))&gt;=0,1,0)))</f>
        <v>267</v>
      </c>
      <c r="E358" s="7" t="n">
        <f aca="false">IF(((c_TMAP2IN)-(c_TMAP1IN))=0,(c_TMAP1OUT)+QUOTIENT(((c_TMAP2OUT)-(c_TMAP1OUT)),2),QUOTIENT((((A358)-(c_TMAP1IN))*((c_TMAP2OUT)-(c_TMAP1OUT))+IF(((c_TMAP2OUT)-(c_TMAP1OUT))&gt;=0,1,-1)*QUOTIENT(((c_TMAP2IN)-(c_TMAP1IN)),2)),((c_TMAP2IN)-(c_TMAP1IN)))+(c_TMAP1OUT)+IF(((c_TMAP2OUT)-(c_TMAP1OUT))&gt;=0,IF(IF(o_WRAP=1,MOD(((c_TMAP2IN)-(c_TMAP1IN))*(((A358)-(c_TMAP1IN))*((c_TMAP2OUT)-(c_TMAP1OUT))+IF(((c_TMAP2OUT)-(c_TMAP1OUT))&gt;=0,1,-1)*QUOTIENT(((c_TMAP2IN)-(c_TMAP1IN)),2))+2147483648,4294967296)-2147483648,((c_TMAP2IN)-(c_TMAP1IN))*(((A358)-(c_TMAP1IN))*((c_TMAP2OUT)-(c_TMAP1OUT))+IF(((c_TMAP2OUT)-(c_TMAP1OUT))&gt;=0,1,-1)*QUOTIENT(((c_TMAP2IN)-(c_TMAP1IN)),2)))&lt;0,-1,0),IF(IF(o_WRAP=1,MOD(((c_TMAP2IN)-(c_TMAP1IN))*(((A358)-(c_TMAP1IN))*((c_TMAP2OUT)-(c_TMAP1OUT))+IF(((c_TMAP2OUT)-(c_TMAP1OUT))&gt;=0,1,-1)*QUOTIENT(((c_TMAP2IN)-(c_TMAP1IN)),2))+2147483648,4294967296)-2147483648,((c_TMAP2IN)-(c_TMAP1IN))*(((A358)-(c_TMAP1IN))*((c_TMAP2OUT)-(c_TMAP1OUT))+IF(((c_TMAP2OUT)-(c_TMAP1OUT))&gt;=0,1,-1)*QUOTIENT(((c_TMAP2IN)-(c_TMAP1IN)),2)))&gt;=0,1,0)))</f>
        <v>171</v>
      </c>
      <c r="F358" s="7" t="n">
        <f aca="false">IF(((c_TMAP3IN)-(c_TMAP2IN))=0,(c_TMAP2OUT)+QUOTIENT(((c_TMAP3OUT)-(c_TMAP2OUT)),2),QUOTIENT((((A358)-(c_TMAP2IN))*((c_TMAP3OUT)-(c_TMAP2OUT))+IF(((c_TMAP3OUT)-(c_TMAP2OUT))&gt;=0,1,-1)*QUOTIENT(((c_TMAP3IN)-(c_TMAP2IN)),2)),((c_TMAP3IN)-(c_TMAP2IN)))+(c_TMAP2OUT)+IF(((c_TMAP3OUT)-(c_TMAP2OUT))&gt;=0,IF(IF(o_WRAP=1,MOD(((c_TMAP3IN)-(c_TMAP2IN))*(((A358)-(c_TMAP2IN))*((c_TMAP3OUT)-(c_TMAP2OUT))+IF(((c_TMAP3OUT)-(c_TMAP2OUT))&gt;=0,1,-1)*QUOTIENT(((c_TMAP3IN)-(c_TMAP2IN)),2))+2147483648,4294967296)-2147483648,((c_TMAP3IN)-(c_TMAP2IN))*(((A358)-(c_TMAP2IN))*((c_TMAP3OUT)-(c_TMAP2OUT))+IF(((c_TMAP3OUT)-(c_TMAP2OUT))&gt;=0,1,-1)*QUOTIENT(((c_TMAP3IN)-(c_TMAP2IN)),2)))&lt;0,-1,0),IF(IF(o_WRAP=1,MOD(((c_TMAP3IN)-(c_TMAP2IN))*(((A358)-(c_TMAP2IN))*((c_TMAP3OUT)-(c_TMAP2OUT))+IF(((c_TMAP3OUT)-(c_TMAP2OUT))&gt;=0,1,-1)*QUOTIENT(((c_TMAP3IN)-(c_TMAP2IN)),2))+2147483648,4294967296)-2147483648,((c_TMAP3IN)-(c_TMAP2IN))*(((A358)-(c_TMAP2IN))*((c_TMAP3OUT)-(c_TMAP2OUT))+IF(((c_TMAP3OUT)-(c_TMAP2OUT))&gt;=0,1,-1)*QUOTIENT(((c_TMAP3IN)-(c_TMAP2IN)),2)))&gt;=0,1,0)))</f>
        <v>202</v>
      </c>
      <c r="G358" s="7" t="n">
        <f aca="false">IF(((1000)-(c_TMAP3IN))=0,(c_TMAP3OUT)+QUOTIENT(((1000)-(c_TMAP3OUT)),2),QUOTIENT((((A358)-(c_TMAP3IN))*((1000)-(c_TMAP3OUT))+IF(((1000)-(c_TMAP3OUT))&gt;=0,1,-1)*QUOTIENT(((1000)-(c_TMAP3IN)),2)),((1000)-(c_TMAP3IN)))+(c_TMAP3OUT)+IF(((1000)-(c_TMAP3OUT))&gt;=0,IF(IF(o_WRAP=1,MOD(((1000)-(c_TMAP3IN))*(((A358)-(c_TMAP3IN))*((1000)-(c_TMAP3OUT))+IF(((1000)-(c_TMAP3OUT))&gt;=0,1,-1)*QUOTIENT(((1000)-(c_TMAP3IN)),2))+2147483648,4294967296)-2147483648,((1000)-(c_TMAP3IN))*(((A358)-(c_TMAP3IN))*((1000)-(c_TMAP3OUT))+IF(((1000)-(c_TMAP3OUT))&gt;=0,1,-1)*QUOTIENT(((1000)-(c_TMAP3IN)),2)))&lt;0,-1,0),IF(IF(o_WRAP=1,MOD(((1000)-(c_TMAP3IN))*(((A358)-(c_TMAP3IN))*((1000)-(c_TMAP3OUT))+IF(((1000)-(c_TMAP3OUT))&gt;=0,1,-1)*QUOTIENT(((1000)-(c_TMAP3IN)),2))+2147483648,4294967296)-2147483648,((1000)-(c_TMAP3IN))*(((A358)-(c_TMAP3IN))*((1000)-(c_TMAP3OUT))+IF(((1000)-(c_TMAP3OUT))&gt;=0,1,-1)*QUOTIENT(((1000)-(c_TMAP3IN)),2)))&gt;=0,1,0)))</f>
        <v>204</v>
      </c>
      <c r="H358" s="7" t="str">
        <f aca="false">IF(A358&gt;=c_TFWD,IF(AND(A358&gt;=c_TMAP3IN,c_TMAP3IN&lt;1000),"Seg4 map3-100%",IF(AND(A358&gt;=c_TMAP2IN,c_TMAP3IN&gt;c_TMAP2IN),"Seg3 map2-map3",IF(AND(A358&gt;=c_TMAP1IN,c_TMAP2IN&gt;c_TMAP1IN),"Seg2 map1-map2","Seg1 TFWD-map1"))),IF(AND(A358=0,c_TCREEP&gt;0),"Creep",IF(AND(A358&lt;=c_TRNGMIN,A358&gt;=c_TRNGMAX,c_TRNGMIN-c_TRNGMAX&lt;&gt;0),"Regen ramp","Coast (0)")))</f>
        <v>Seg4 map3-100%</v>
      </c>
      <c r="I358" s="7" t="n">
        <f aca="false">IF(A358&gt;=c_TFWD,IF(AND(A358&gt;=c_TMAP3IN,c_TMAP3IN&lt;1000),G358,IF(AND(A358&gt;=c_TMAP2IN,c_TMAP3IN&gt;c_TMAP2IN),F358,IF(AND(A358&gt;=c_TMAP1IN,c_TMAP2IN&gt;c_TMAP1IN),E358,D358))),C358)</f>
        <v>204</v>
      </c>
      <c r="J358" s="7" t="str">
        <f aca="false">IF(I358&lt;-1090,"TOO LOW",IF(I358&gt;1090,"TOO HIGH",""))</f>
        <v/>
      </c>
      <c r="K358" s="15" t="n">
        <f aca="false">IF(J358&lt;&gt;"",0,IF(I358&gt;979,1000,I358))</f>
        <v>204</v>
      </c>
      <c r="L358" s="7" t="n">
        <f aca="false">K358/10</f>
        <v>20.4</v>
      </c>
    </row>
    <row r="359" customFormat="false" ht="15" hidden="false" customHeight="false" outlineLevel="0" collapsed="false">
      <c r="A359" s="7" t="n">
        <v>354</v>
      </c>
      <c r="B359" s="7" t="n">
        <f aca="false">A359/10</f>
        <v>35.4</v>
      </c>
      <c r="C359" s="7" t="n">
        <f aca="false">IF(AND(A359=0,c_TCREEP&gt;0),10*c_TCREEP,IF(AND(A359&lt;=c_TRNGMIN,A359&gt;=c_TRNGMAX,c_TRNGMIN-c_TRNGMAX&lt;&gt;0),-10*c_TMINRN+QUOTIENT((c_TMAXRN-c_TMINRN)*(100-QUOTIENT((A359-c_TRNGMAX)*100,c_TRNGMIN-c_TRNGMAX)),-10),0))</f>
        <v>0</v>
      </c>
      <c r="D359" s="7" t="n">
        <f aca="false">IF(((c_TMAP1IN)-(c_TFWD))=0,(0)+QUOTIENT(((c_TMAP1OUT)-(0)),2),QUOTIENT((((A359)-(c_TFWD))*((c_TMAP1OUT)-(0))+IF(((c_TMAP1OUT)-(0))&gt;=0,1,-1)*QUOTIENT(((c_TMAP1IN)-(c_TFWD)),2)),((c_TMAP1IN)-(c_TFWD)))+(0)+IF(((c_TMAP1OUT)-(0))&gt;=0,IF(IF(o_WRAP=1,MOD(((c_TMAP1IN)-(c_TFWD))*(((A359)-(c_TFWD))*((c_TMAP1OUT)-(0))+IF(((c_TMAP1OUT)-(0))&gt;=0,1,-1)*QUOTIENT(((c_TMAP1IN)-(c_TFWD)),2))+2147483648,4294967296)-2147483648,((c_TMAP1IN)-(c_TFWD))*(((A359)-(c_TFWD))*((c_TMAP1OUT)-(0))+IF(((c_TMAP1OUT)-(0))&gt;=0,1,-1)*QUOTIENT(((c_TMAP1IN)-(c_TFWD)),2)))&lt;0,-1,0),IF(IF(o_WRAP=1,MOD(((c_TMAP1IN)-(c_TFWD))*(((A359)-(c_TFWD))*((c_TMAP1OUT)-(0))+IF(((c_TMAP1OUT)-(0))&gt;=0,1,-1)*QUOTIENT(((c_TMAP1IN)-(c_TFWD)),2))+2147483648,4294967296)-2147483648,((c_TMAP1IN)-(c_TFWD))*(((A359)-(c_TFWD))*((c_TMAP1OUT)-(0))+IF(((c_TMAP1OUT)-(0))&gt;=0,1,-1)*QUOTIENT(((c_TMAP1IN)-(c_TFWD)),2)))&gt;=0,1,0)))</f>
        <v>268</v>
      </c>
      <c r="E359" s="7" t="n">
        <f aca="false">IF(((c_TMAP2IN)-(c_TMAP1IN))=0,(c_TMAP1OUT)+QUOTIENT(((c_TMAP2OUT)-(c_TMAP1OUT)),2),QUOTIENT((((A359)-(c_TMAP1IN))*((c_TMAP2OUT)-(c_TMAP1OUT))+IF(((c_TMAP2OUT)-(c_TMAP1OUT))&gt;=0,1,-1)*QUOTIENT(((c_TMAP2IN)-(c_TMAP1IN)),2)),((c_TMAP2IN)-(c_TMAP1IN)))+(c_TMAP1OUT)+IF(((c_TMAP2OUT)-(c_TMAP1OUT))&gt;=0,IF(IF(o_WRAP=1,MOD(((c_TMAP2IN)-(c_TMAP1IN))*(((A359)-(c_TMAP1IN))*((c_TMAP2OUT)-(c_TMAP1OUT))+IF(((c_TMAP2OUT)-(c_TMAP1OUT))&gt;=0,1,-1)*QUOTIENT(((c_TMAP2IN)-(c_TMAP1IN)),2))+2147483648,4294967296)-2147483648,((c_TMAP2IN)-(c_TMAP1IN))*(((A359)-(c_TMAP1IN))*((c_TMAP2OUT)-(c_TMAP1OUT))+IF(((c_TMAP2OUT)-(c_TMAP1OUT))&gt;=0,1,-1)*QUOTIENT(((c_TMAP2IN)-(c_TMAP1IN)),2)))&lt;0,-1,0),IF(IF(o_WRAP=1,MOD(((c_TMAP2IN)-(c_TMAP1IN))*(((A359)-(c_TMAP1IN))*((c_TMAP2OUT)-(c_TMAP1OUT))+IF(((c_TMAP2OUT)-(c_TMAP1OUT))&gt;=0,1,-1)*QUOTIENT(((c_TMAP2IN)-(c_TMAP1IN)),2))+2147483648,4294967296)-2147483648,((c_TMAP2IN)-(c_TMAP1IN))*(((A359)-(c_TMAP1IN))*((c_TMAP2OUT)-(c_TMAP1OUT))+IF(((c_TMAP2OUT)-(c_TMAP1OUT))&gt;=0,1,-1)*QUOTIENT(((c_TMAP2IN)-(c_TMAP1IN)),2)))&gt;=0,1,0)))</f>
        <v>172</v>
      </c>
      <c r="F359" s="7" t="n">
        <f aca="false">IF(((c_TMAP3IN)-(c_TMAP2IN))=0,(c_TMAP2OUT)+QUOTIENT(((c_TMAP3OUT)-(c_TMAP2OUT)),2),QUOTIENT((((A359)-(c_TMAP2IN))*((c_TMAP3OUT)-(c_TMAP2OUT))+IF(((c_TMAP3OUT)-(c_TMAP2OUT))&gt;=0,1,-1)*QUOTIENT(((c_TMAP3IN)-(c_TMAP2IN)),2)),((c_TMAP3IN)-(c_TMAP2IN)))+(c_TMAP2OUT)+IF(((c_TMAP3OUT)-(c_TMAP2OUT))&gt;=0,IF(IF(o_WRAP=1,MOD(((c_TMAP3IN)-(c_TMAP2IN))*(((A359)-(c_TMAP2IN))*((c_TMAP3OUT)-(c_TMAP2OUT))+IF(((c_TMAP3OUT)-(c_TMAP2OUT))&gt;=0,1,-1)*QUOTIENT(((c_TMAP3IN)-(c_TMAP2IN)),2))+2147483648,4294967296)-2147483648,((c_TMAP3IN)-(c_TMAP2IN))*(((A359)-(c_TMAP2IN))*((c_TMAP3OUT)-(c_TMAP2OUT))+IF(((c_TMAP3OUT)-(c_TMAP2OUT))&gt;=0,1,-1)*QUOTIENT(((c_TMAP3IN)-(c_TMAP2IN)),2)))&lt;0,-1,0),IF(IF(o_WRAP=1,MOD(((c_TMAP3IN)-(c_TMAP2IN))*(((A359)-(c_TMAP2IN))*((c_TMAP3OUT)-(c_TMAP2OUT))+IF(((c_TMAP3OUT)-(c_TMAP2OUT))&gt;=0,1,-1)*QUOTIENT(((c_TMAP3IN)-(c_TMAP2IN)),2))+2147483648,4294967296)-2147483648,((c_TMAP3IN)-(c_TMAP2IN))*(((A359)-(c_TMAP2IN))*((c_TMAP3OUT)-(c_TMAP2OUT))+IF(((c_TMAP3OUT)-(c_TMAP2OUT))&gt;=0,1,-1)*QUOTIENT(((c_TMAP3IN)-(c_TMAP2IN)),2)))&gt;=0,1,0)))</f>
        <v>203</v>
      </c>
      <c r="G359" s="7" t="n">
        <f aca="false">IF(((1000)-(c_TMAP3IN))=0,(c_TMAP3OUT)+QUOTIENT(((1000)-(c_TMAP3OUT)),2),QUOTIENT((((A359)-(c_TMAP3IN))*((1000)-(c_TMAP3OUT))+IF(((1000)-(c_TMAP3OUT))&gt;=0,1,-1)*QUOTIENT(((1000)-(c_TMAP3IN)),2)),((1000)-(c_TMAP3IN)))+(c_TMAP3OUT)+IF(((1000)-(c_TMAP3OUT))&gt;=0,IF(IF(o_WRAP=1,MOD(((1000)-(c_TMAP3IN))*(((A359)-(c_TMAP3IN))*((1000)-(c_TMAP3OUT))+IF(((1000)-(c_TMAP3OUT))&gt;=0,1,-1)*QUOTIENT(((1000)-(c_TMAP3IN)),2))+2147483648,4294967296)-2147483648,((1000)-(c_TMAP3IN))*(((A359)-(c_TMAP3IN))*((1000)-(c_TMAP3OUT))+IF(((1000)-(c_TMAP3OUT))&gt;=0,1,-1)*QUOTIENT(((1000)-(c_TMAP3IN)),2)))&lt;0,-1,0),IF(IF(o_WRAP=1,MOD(((1000)-(c_TMAP3IN))*(((A359)-(c_TMAP3IN))*((1000)-(c_TMAP3OUT))+IF(((1000)-(c_TMAP3OUT))&gt;=0,1,-1)*QUOTIENT(((1000)-(c_TMAP3IN)),2))+2147483648,4294967296)-2147483648,((1000)-(c_TMAP3IN))*(((A359)-(c_TMAP3IN))*((1000)-(c_TMAP3OUT))+IF(((1000)-(c_TMAP3OUT))&gt;=0,1,-1)*QUOTIENT(((1000)-(c_TMAP3IN)),2)))&gt;=0,1,0)))</f>
        <v>205</v>
      </c>
      <c r="H359" s="7" t="str">
        <f aca="false">IF(A359&gt;=c_TFWD,IF(AND(A359&gt;=c_TMAP3IN,c_TMAP3IN&lt;1000),"Seg4 map3-100%",IF(AND(A359&gt;=c_TMAP2IN,c_TMAP3IN&gt;c_TMAP2IN),"Seg3 map2-map3",IF(AND(A359&gt;=c_TMAP1IN,c_TMAP2IN&gt;c_TMAP1IN),"Seg2 map1-map2","Seg1 TFWD-map1"))),IF(AND(A359=0,c_TCREEP&gt;0),"Creep",IF(AND(A359&lt;=c_TRNGMIN,A359&gt;=c_TRNGMAX,c_TRNGMIN-c_TRNGMAX&lt;&gt;0),"Regen ramp","Coast (0)")))</f>
        <v>Seg4 map3-100%</v>
      </c>
      <c r="I359" s="7" t="n">
        <f aca="false">IF(A359&gt;=c_TFWD,IF(AND(A359&gt;=c_TMAP3IN,c_TMAP3IN&lt;1000),G359,IF(AND(A359&gt;=c_TMAP2IN,c_TMAP3IN&gt;c_TMAP2IN),F359,IF(AND(A359&gt;=c_TMAP1IN,c_TMAP2IN&gt;c_TMAP1IN),E359,D359))),C359)</f>
        <v>205</v>
      </c>
      <c r="J359" s="7" t="str">
        <f aca="false">IF(I359&lt;-1090,"TOO LOW",IF(I359&gt;1090,"TOO HIGH",""))</f>
        <v/>
      </c>
      <c r="K359" s="15" t="n">
        <f aca="false">IF(J359&lt;&gt;"",0,IF(I359&gt;979,1000,I359))</f>
        <v>205</v>
      </c>
      <c r="L359" s="7" t="n">
        <f aca="false">K359/10</f>
        <v>20.5</v>
      </c>
    </row>
    <row r="360" customFormat="false" ht="15" hidden="false" customHeight="false" outlineLevel="0" collapsed="false">
      <c r="A360" s="7" t="n">
        <v>355</v>
      </c>
      <c r="B360" s="7" t="n">
        <f aca="false">A360/10</f>
        <v>35.5</v>
      </c>
      <c r="C360" s="7" t="n">
        <f aca="false">IF(AND(A360=0,c_TCREEP&gt;0),10*c_TCREEP,IF(AND(A360&lt;=c_TRNGMIN,A360&gt;=c_TRNGMAX,c_TRNGMIN-c_TRNGMAX&lt;&gt;0),-10*c_TMINRN+QUOTIENT((c_TMAXRN-c_TMINRN)*(100-QUOTIENT((A360-c_TRNGMAX)*100,c_TRNGMIN-c_TRNGMAX)),-10),0))</f>
        <v>0</v>
      </c>
      <c r="D360" s="7" t="n">
        <f aca="false">IF(((c_TMAP1IN)-(c_TFWD))=0,(0)+QUOTIENT(((c_TMAP1OUT)-(0)),2),QUOTIENT((((A360)-(c_TFWD))*((c_TMAP1OUT)-(0))+IF(((c_TMAP1OUT)-(0))&gt;=0,1,-1)*QUOTIENT(((c_TMAP1IN)-(c_TFWD)),2)),((c_TMAP1IN)-(c_TFWD)))+(0)+IF(((c_TMAP1OUT)-(0))&gt;=0,IF(IF(o_WRAP=1,MOD(((c_TMAP1IN)-(c_TFWD))*(((A360)-(c_TFWD))*((c_TMAP1OUT)-(0))+IF(((c_TMAP1OUT)-(0))&gt;=0,1,-1)*QUOTIENT(((c_TMAP1IN)-(c_TFWD)),2))+2147483648,4294967296)-2147483648,((c_TMAP1IN)-(c_TFWD))*(((A360)-(c_TFWD))*((c_TMAP1OUT)-(0))+IF(((c_TMAP1OUT)-(0))&gt;=0,1,-1)*QUOTIENT(((c_TMAP1IN)-(c_TFWD)),2)))&lt;0,-1,0),IF(IF(o_WRAP=1,MOD(((c_TMAP1IN)-(c_TFWD))*(((A360)-(c_TFWD))*((c_TMAP1OUT)-(0))+IF(((c_TMAP1OUT)-(0))&gt;=0,1,-1)*QUOTIENT(((c_TMAP1IN)-(c_TFWD)),2))+2147483648,4294967296)-2147483648,((c_TMAP1IN)-(c_TFWD))*(((A360)-(c_TFWD))*((c_TMAP1OUT)-(0))+IF(((c_TMAP1OUT)-(0))&gt;=0,1,-1)*QUOTIENT(((c_TMAP1IN)-(c_TFWD)),2)))&gt;=0,1,0)))</f>
        <v>268</v>
      </c>
      <c r="E360" s="7" t="n">
        <f aca="false">IF(((c_TMAP2IN)-(c_TMAP1IN))=0,(c_TMAP1OUT)+QUOTIENT(((c_TMAP2OUT)-(c_TMAP1OUT)),2),QUOTIENT((((A360)-(c_TMAP1IN))*((c_TMAP2OUT)-(c_TMAP1OUT))+IF(((c_TMAP2OUT)-(c_TMAP1OUT))&gt;=0,1,-1)*QUOTIENT(((c_TMAP2IN)-(c_TMAP1IN)),2)),((c_TMAP2IN)-(c_TMAP1IN)))+(c_TMAP1OUT)+IF(((c_TMAP2OUT)-(c_TMAP1OUT))&gt;=0,IF(IF(o_WRAP=1,MOD(((c_TMAP2IN)-(c_TMAP1IN))*(((A360)-(c_TMAP1IN))*((c_TMAP2OUT)-(c_TMAP1OUT))+IF(((c_TMAP2OUT)-(c_TMAP1OUT))&gt;=0,1,-1)*QUOTIENT(((c_TMAP2IN)-(c_TMAP1IN)),2))+2147483648,4294967296)-2147483648,((c_TMAP2IN)-(c_TMAP1IN))*(((A360)-(c_TMAP1IN))*((c_TMAP2OUT)-(c_TMAP1OUT))+IF(((c_TMAP2OUT)-(c_TMAP1OUT))&gt;=0,1,-1)*QUOTIENT(((c_TMAP2IN)-(c_TMAP1IN)),2)))&lt;0,-1,0),IF(IF(o_WRAP=1,MOD(((c_TMAP2IN)-(c_TMAP1IN))*(((A360)-(c_TMAP1IN))*((c_TMAP2OUT)-(c_TMAP1OUT))+IF(((c_TMAP2OUT)-(c_TMAP1OUT))&gt;=0,1,-1)*QUOTIENT(((c_TMAP2IN)-(c_TMAP1IN)),2))+2147483648,4294967296)-2147483648,((c_TMAP2IN)-(c_TMAP1IN))*(((A360)-(c_TMAP1IN))*((c_TMAP2OUT)-(c_TMAP1OUT))+IF(((c_TMAP2OUT)-(c_TMAP1OUT))&gt;=0,1,-1)*QUOTIENT(((c_TMAP2IN)-(c_TMAP1IN)),2)))&gt;=0,1,0)))</f>
        <v>172</v>
      </c>
      <c r="F360" s="7" t="n">
        <f aca="false">IF(((c_TMAP3IN)-(c_TMAP2IN))=0,(c_TMAP2OUT)+QUOTIENT(((c_TMAP3OUT)-(c_TMAP2OUT)),2),QUOTIENT((((A360)-(c_TMAP2IN))*((c_TMAP3OUT)-(c_TMAP2OUT))+IF(((c_TMAP3OUT)-(c_TMAP2OUT))&gt;=0,1,-1)*QUOTIENT(((c_TMAP3IN)-(c_TMAP2IN)),2)),((c_TMAP3IN)-(c_TMAP2IN)))+(c_TMAP2OUT)+IF(((c_TMAP3OUT)-(c_TMAP2OUT))&gt;=0,IF(IF(o_WRAP=1,MOD(((c_TMAP3IN)-(c_TMAP2IN))*(((A360)-(c_TMAP2IN))*((c_TMAP3OUT)-(c_TMAP2OUT))+IF(((c_TMAP3OUT)-(c_TMAP2OUT))&gt;=0,1,-1)*QUOTIENT(((c_TMAP3IN)-(c_TMAP2IN)),2))+2147483648,4294967296)-2147483648,((c_TMAP3IN)-(c_TMAP2IN))*(((A360)-(c_TMAP2IN))*((c_TMAP3OUT)-(c_TMAP2OUT))+IF(((c_TMAP3OUT)-(c_TMAP2OUT))&gt;=0,1,-1)*QUOTIENT(((c_TMAP3IN)-(c_TMAP2IN)),2)))&lt;0,-1,0),IF(IF(o_WRAP=1,MOD(((c_TMAP3IN)-(c_TMAP2IN))*(((A360)-(c_TMAP2IN))*((c_TMAP3OUT)-(c_TMAP2OUT))+IF(((c_TMAP3OUT)-(c_TMAP2OUT))&gt;=0,1,-1)*QUOTIENT(((c_TMAP3IN)-(c_TMAP2IN)),2))+2147483648,4294967296)-2147483648,((c_TMAP3IN)-(c_TMAP2IN))*(((A360)-(c_TMAP2IN))*((c_TMAP3OUT)-(c_TMAP2OUT))+IF(((c_TMAP3OUT)-(c_TMAP2OUT))&gt;=0,1,-1)*QUOTIENT(((c_TMAP3IN)-(c_TMAP2IN)),2)))&gt;=0,1,0)))</f>
        <v>204</v>
      </c>
      <c r="G360" s="7" t="n">
        <f aca="false">IF(((1000)-(c_TMAP3IN))=0,(c_TMAP3OUT)+QUOTIENT(((1000)-(c_TMAP3OUT)),2),QUOTIENT((((A360)-(c_TMAP3IN))*((1000)-(c_TMAP3OUT))+IF(((1000)-(c_TMAP3OUT))&gt;=0,1,-1)*QUOTIENT(((1000)-(c_TMAP3IN)),2)),((1000)-(c_TMAP3IN)))+(c_TMAP3OUT)+IF(((1000)-(c_TMAP3OUT))&gt;=0,IF(IF(o_WRAP=1,MOD(((1000)-(c_TMAP3IN))*(((A360)-(c_TMAP3IN))*((1000)-(c_TMAP3OUT))+IF(((1000)-(c_TMAP3OUT))&gt;=0,1,-1)*QUOTIENT(((1000)-(c_TMAP3IN)),2))+2147483648,4294967296)-2147483648,((1000)-(c_TMAP3IN))*(((A360)-(c_TMAP3IN))*((1000)-(c_TMAP3OUT))+IF(((1000)-(c_TMAP3OUT))&gt;=0,1,-1)*QUOTIENT(((1000)-(c_TMAP3IN)),2)))&lt;0,-1,0),IF(IF(o_WRAP=1,MOD(((1000)-(c_TMAP3IN))*(((A360)-(c_TMAP3IN))*((1000)-(c_TMAP3OUT))+IF(((1000)-(c_TMAP3OUT))&gt;=0,1,-1)*QUOTIENT(((1000)-(c_TMAP3IN)),2))+2147483648,4294967296)-2147483648,((1000)-(c_TMAP3IN))*(((A360)-(c_TMAP3IN))*((1000)-(c_TMAP3OUT))+IF(((1000)-(c_TMAP3OUT))&gt;=0,1,-1)*QUOTIENT(((1000)-(c_TMAP3IN)),2)))&gt;=0,1,0)))</f>
        <v>206</v>
      </c>
      <c r="H360" s="7" t="str">
        <f aca="false">IF(A360&gt;=c_TFWD,IF(AND(A360&gt;=c_TMAP3IN,c_TMAP3IN&lt;1000),"Seg4 map3-100%",IF(AND(A360&gt;=c_TMAP2IN,c_TMAP3IN&gt;c_TMAP2IN),"Seg3 map2-map3",IF(AND(A360&gt;=c_TMAP1IN,c_TMAP2IN&gt;c_TMAP1IN),"Seg2 map1-map2","Seg1 TFWD-map1"))),IF(AND(A360=0,c_TCREEP&gt;0),"Creep",IF(AND(A360&lt;=c_TRNGMIN,A360&gt;=c_TRNGMAX,c_TRNGMIN-c_TRNGMAX&lt;&gt;0),"Regen ramp","Coast (0)")))</f>
        <v>Seg4 map3-100%</v>
      </c>
      <c r="I360" s="7" t="n">
        <f aca="false">IF(A360&gt;=c_TFWD,IF(AND(A360&gt;=c_TMAP3IN,c_TMAP3IN&lt;1000),G360,IF(AND(A360&gt;=c_TMAP2IN,c_TMAP3IN&gt;c_TMAP2IN),F360,IF(AND(A360&gt;=c_TMAP1IN,c_TMAP2IN&gt;c_TMAP1IN),E360,D360))),C360)</f>
        <v>206</v>
      </c>
      <c r="J360" s="7" t="str">
        <f aca="false">IF(I360&lt;-1090,"TOO LOW",IF(I360&gt;1090,"TOO HIGH",""))</f>
        <v/>
      </c>
      <c r="K360" s="15" t="n">
        <f aca="false">IF(J360&lt;&gt;"",0,IF(I360&gt;979,1000,I360))</f>
        <v>206</v>
      </c>
      <c r="L360" s="7" t="n">
        <f aca="false">K360/10</f>
        <v>20.6</v>
      </c>
    </row>
    <row r="361" customFormat="false" ht="15" hidden="false" customHeight="false" outlineLevel="0" collapsed="false">
      <c r="A361" s="7" t="n">
        <v>356</v>
      </c>
      <c r="B361" s="7" t="n">
        <f aca="false">A361/10</f>
        <v>35.6</v>
      </c>
      <c r="C361" s="7" t="n">
        <f aca="false">IF(AND(A361=0,c_TCREEP&gt;0),10*c_TCREEP,IF(AND(A361&lt;=c_TRNGMIN,A361&gt;=c_TRNGMAX,c_TRNGMIN-c_TRNGMAX&lt;&gt;0),-10*c_TMINRN+QUOTIENT((c_TMAXRN-c_TMINRN)*(100-QUOTIENT((A361-c_TRNGMAX)*100,c_TRNGMIN-c_TRNGMAX)),-10),0))</f>
        <v>0</v>
      </c>
      <c r="D361" s="7" t="n">
        <f aca="false">IF(((c_TMAP1IN)-(c_TFWD))=0,(0)+QUOTIENT(((c_TMAP1OUT)-(0)),2),QUOTIENT((((A361)-(c_TFWD))*((c_TMAP1OUT)-(0))+IF(((c_TMAP1OUT)-(0))&gt;=0,1,-1)*QUOTIENT(((c_TMAP1IN)-(c_TFWD)),2)),((c_TMAP1IN)-(c_TFWD)))+(0)+IF(((c_TMAP1OUT)-(0))&gt;=0,IF(IF(o_WRAP=1,MOD(((c_TMAP1IN)-(c_TFWD))*(((A361)-(c_TFWD))*((c_TMAP1OUT)-(0))+IF(((c_TMAP1OUT)-(0))&gt;=0,1,-1)*QUOTIENT(((c_TMAP1IN)-(c_TFWD)),2))+2147483648,4294967296)-2147483648,((c_TMAP1IN)-(c_TFWD))*(((A361)-(c_TFWD))*((c_TMAP1OUT)-(0))+IF(((c_TMAP1OUT)-(0))&gt;=0,1,-1)*QUOTIENT(((c_TMAP1IN)-(c_TFWD)),2)))&lt;0,-1,0),IF(IF(o_WRAP=1,MOD(((c_TMAP1IN)-(c_TFWD))*(((A361)-(c_TFWD))*((c_TMAP1OUT)-(0))+IF(((c_TMAP1OUT)-(0))&gt;=0,1,-1)*QUOTIENT(((c_TMAP1IN)-(c_TFWD)),2))+2147483648,4294967296)-2147483648,((c_TMAP1IN)-(c_TFWD))*(((A361)-(c_TFWD))*((c_TMAP1OUT)-(0))+IF(((c_TMAP1OUT)-(0))&gt;=0,1,-1)*QUOTIENT(((c_TMAP1IN)-(c_TFWD)),2)))&gt;=0,1,0)))</f>
        <v>269</v>
      </c>
      <c r="E361" s="7" t="n">
        <f aca="false">IF(((c_TMAP2IN)-(c_TMAP1IN))=0,(c_TMAP1OUT)+QUOTIENT(((c_TMAP2OUT)-(c_TMAP1OUT)),2),QUOTIENT((((A361)-(c_TMAP1IN))*((c_TMAP2OUT)-(c_TMAP1OUT))+IF(((c_TMAP2OUT)-(c_TMAP1OUT))&gt;=0,1,-1)*QUOTIENT(((c_TMAP2IN)-(c_TMAP1IN)),2)),((c_TMAP2IN)-(c_TMAP1IN)))+(c_TMAP1OUT)+IF(((c_TMAP2OUT)-(c_TMAP1OUT))&gt;=0,IF(IF(o_WRAP=1,MOD(((c_TMAP2IN)-(c_TMAP1IN))*(((A361)-(c_TMAP1IN))*((c_TMAP2OUT)-(c_TMAP1OUT))+IF(((c_TMAP2OUT)-(c_TMAP1OUT))&gt;=0,1,-1)*QUOTIENT(((c_TMAP2IN)-(c_TMAP1IN)),2))+2147483648,4294967296)-2147483648,((c_TMAP2IN)-(c_TMAP1IN))*(((A361)-(c_TMAP1IN))*((c_TMAP2OUT)-(c_TMAP1OUT))+IF(((c_TMAP2OUT)-(c_TMAP1OUT))&gt;=0,1,-1)*QUOTIENT(((c_TMAP2IN)-(c_TMAP1IN)),2)))&lt;0,-1,0),IF(IF(o_WRAP=1,MOD(((c_TMAP2IN)-(c_TMAP1IN))*(((A361)-(c_TMAP1IN))*((c_TMAP2OUT)-(c_TMAP1OUT))+IF(((c_TMAP2OUT)-(c_TMAP1OUT))&gt;=0,1,-1)*QUOTIENT(((c_TMAP2IN)-(c_TMAP1IN)),2))+2147483648,4294967296)-2147483648,((c_TMAP2IN)-(c_TMAP1IN))*(((A361)-(c_TMAP1IN))*((c_TMAP2OUT)-(c_TMAP1OUT))+IF(((c_TMAP2OUT)-(c_TMAP1OUT))&gt;=0,1,-1)*QUOTIENT(((c_TMAP2IN)-(c_TMAP1IN)),2)))&gt;=0,1,0)))</f>
        <v>172</v>
      </c>
      <c r="F361" s="7" t="n">
        <f aca="false">IF(((c_TMAP3IN)-(c_TMAP2IN))=0,(c_TMAP2OUT)+QUOTIENT(((c_TMAP3OUT)-(c_TMAP2OUT)),2),QUOTIENT((((A361)-(c_TMAP2IN))*((c_TMAP3OUT)-(c_TMAP2OUT))+IF(((c_TMAP3OUT)-(c_TMAP2OUT))&gt;=0,1,-1)*QUOTIENT(((c_TMAP3IN)-(c_TMAP2IN)),2)),((c_TMAP3IN)-(c_TMAP2IN)))+(c_TMAP2OUT)+IF(((c_TMAP3OUT)-(c_TMAP2OUT))&gt;=0,IF(IF(o_WRAP=1,MOD(((c_TMAP3IN)-(c_TMAP2IN))*(((A361)-(c_TMAP2IN))*((c_TMAP3OUT)-(c_TMAP2OUT))+IF(((c_TMAP3OUT)-(c_TMAP2OUT))&gt;=0,1,-1)*QUOTIENT(((c_TMAP3IN)-(c_TMAP2IN)),2))+2147483648,4294967296)-2147483648,((c_TMAP3IN)-(c_TMAP2IN))*(((A361)-(c_TMAP2IN))*((c_TMAP3OUT)-(c_TMAP2OUT))+IF(((c_TMAP3OUT)-(c_TMAP2OUT))&gt;=0,1,-1)*QUOTIENT(((c_TMAP3IN)-(c_TMAP2IN)),2)))&lt;0,-1,0),IF(IF(o_WRAP=1,MOD(((c_TMAP3IN)-(c_TMAP2IN))*(((A361)-(c_TMAP2IN))*((c_TMAP3OUT)-(c_TMAP2OUT))+IF(((c_TMAP3OUT)-(c_TMAP2OUT))&gt;=0,1,-1)*QUOTIENT(((c_TMAP3IN)-(c_TMAP2IN)),2))+2147483648,4294967296)-2147483648,((c_TMAP3IN)-(c_TMAP2IN))*(((A361)-(c_TMAP2IN))*((c_TMAP3OUT)-(c_TMAP2OUT))+IF(((c_TMAP3OUT)-(c_TMAP2OUT))&gt;=0,1,-1)*QUOTIENT(((c_TMAP3IN)-(c_TMAP2IN)),2)))&gt;=0,1,0)))</f>
        <v>204</v>
      </c>
      <c r="G361" s="7" t="n">
        <f aca="false">IF(((1000)-(c_TMAP3IN))=0,(c_TMAP3OUT)+QUOTIENT(((1000)-(c_TMAP3OUT)),2),QUOTIENT((((A361)-(c_TMAP3IN))*((1000)-(c_TMAP3OUT))+IF(((1000)-(c_TMAP3OUT))&gt;=0,1,-1)*QUOTIENT(((1000)-(c_TMAP3IN)),2)),((1000)-(c_TMAP3IN)))+(c_TMAP3OUT)+IF(((1000)-(c_TMAP3OUT))&gt;=0,IF(IF(o_WRAP=1,MOD(((1000)-(c_TMAP3IN))*(((A361)-(c_TMAP3IN))*((1000)-(c_TMAP3OUT))+IF(((1000)-(c_TMAP3OUT))&gt;=0,1,-1)*QUOTIENT(((1000)-(c_TMAP3IN)),2))+2147483648,4294967296)-2147483648,((1000)-(c_TMAP3IN))*(((A361)-(c_TMAP3IN))*((1000)-(c_TMAP3OUT))+IF(((1000)-(c_TMAP3OUT))&gt;=0,1,-1)*QUOTIENT(((1000)-(c_TMAP3IN)),2)))&lt;0,-1,0),IF(IF(o_WRAP=1,MOD(((1000)-(c_TMAP3IN))*(((A361)-(c_TMAP3IN))*((1000)-(c_TMAP3OUT))+IF(((1000)-(c_TMAP3OUT))&gt;=0,1,-1)*QUOTIENT(((1000)-(c_TMAP3IN)),2))+2147483648,4294967296)-2147483648,((1000)-(c_TMAP3IN))*(((A361)-(c_TMAP3IN))*((1000)-(c_TMAP3OUT))+IF(((1000)-(c_TMAP3OUT))&gt;=0,1,-1)*QUOTIENT(((1000)-(c_TMAP3IN)),2)))&gt;=0,1,0)))</f>
        <v>207</v>
      </c>
      <c r="H361" s="7" t="str">
        <f aca="false">IF(A361&gt;=c_TFWD,IF(AND(A361&gt;=c_TMAP3IN,c_TMAP3IN&lt;1000),"Seg4 map3-100%",IF(AND(A361&gt;=c_TMAP2IN,c_TMAP3IN&gt;c_TMAP2IN),"Seg3 map2-map3",IF(AND(A361&gt;=c_TMAP1IN,c_TMAP2IN&gt;c_TMAP1IN),"Seg2 map1-map2","Seg1 TFWD-map1"))),IF(AND(A361=0,c_TCREEP&gt;0),"Creep",IF(AND(A361&lt;=c_TRNGMIN,A361&gt;=c_TRNGMAX,c_TRNGMIN-c_TRNGMAX&lt;&gt;0),"Regen ramp","Coast (0)")))</f>
        <v>Seg4 map3-100%</v>
      </c>
      <c r="I361" s="7" t="n">
        <f aca="false">IF(A361&gt;=c_TFWD,IF(AND(A361&gt;=c_TMAP3IN,c_TMAP3IN&lt;1000),G361,IF(AND(A361&gt;=c_TMAP2IN,c_TMAP3IN&gt;c_TMAP2IN),F361,IF(AND(A361&gt;=c_TMAP1IN,c_TMAP2IN&gt;c_TMAP1IN),E361,D361))),C361)</f>
        <v>207</v>
      </c>
      <c r="J361" s="7" t="str">
        <f aca="false">IF(I361&lt;-1090,"TOO LOW",IF(I361&gt;1090,"TOO HIGH",""))</f>
        <v/>
      </c>
      <c r="K361" s="15" t="n">
        <f aca="false">IF(J361&lt;&gt;"",0,IF(I361&gt;979,1000,I361))</f>
        <v>207</v>
      </c>
      <c r="L361" s="7" t="n">
        <f aca="false">K361/10</f>
        <v>20.7</v>
      </c>
    </row>
    <row r="362" customFormat="false" ht="15" hidden="false" customHeight="false" outlineLevel="0" collapsed="false">
      <c r="A362" s="7" t="n">
        <v>357</v>
      </c>
      <c r="B362" s="7" t="n">
        <f aca="false">A362/10</f>
        <v>35.7</v>
      </c>
      <c r="C362" s="7" t="n">
        <f aca="false">IF(AND(A362=0,c_TCREEP&gt;0),10*c_TCREEP,IF(AND(A362&lt;=c_TRNGMIN,A362&gt;=c_TRNGMAX,c_TRNGMIN-c_TRNGMAX&lt;&gt;0),-10*c_TMINRN+QUOTIENT((c_TMAXRN-c_TMINRN)*(100-QUOTIENT((A362-c_TRNGMAX)*100,c_TRNGMIN-c_TRNGMAX)),-10),0))</f>
        <v>0</v>
      </c>
      <c r="D362" s="7" t="n">
        <f aca="false">IF(((c_TMAP1IN)-(c_TFWD))=0,(0)+QUOTIENT(((c_TMAP1OUT)-(0)),2),QUOTIENT((((A362)-(c_TFWD))*((c_TMAP1OUT)-(0))+IF(((c_TMAP1OUT)-(0))&gt;=0,1,-1)*QUOTIENT(((c_TMAP1IN)-(c_TFWD)),2)),((c_TMAP1IN)-(c_TFWD)))+(0)+IF(((c_TMAP1OUT)-(0))&gt;=0,IF(IF(o_WRAP=1,MOD(((c_TMAP1IN)-(c_TFWD))*(((A362)-(c_TFWD))*((c_TMAP1OUT)-(0))+IF(((c_TMAP1OUT)-(0))&gt;=0,1,-1)*QUOTIENT(((c_TMAP1IN)-(c_TFWD)),2))+2147483648,4294967296)-2147483648,((c_TMAP1IN)-(c_TFWD))*(((A362)-(c_TFWD))*((c_TMAP1OUT)-(0))+IF(((c_TMAP1OUT)-(0))&gt;=0,1,-1)*QUOTIENT(((c_TMAP1IN)-(c_TFWD)),2)))&lt;0,-1,0),IF(IF(o_WRAP=1,MOD(((c_TMAP1IN)-(c_TFWD))*(((A362)-(c_TFWD))*((c_TMAP1OUT)-(0))+IF(((c_TMAP1OUT)-(0))&gt;=0,1,-1)*QUOTIENT(((c_TMAP1IN)-(c_TFWD)),2))+2147483648,4294967296)-2147483648,((c_TMAP1IN)-(c_TFWD))*(((A362)-(c_TFWD))*((c_TMAP1OUT)-(0))+IF(((c_TMAP1OUT)-(0))&gt;=0,1,-1)*QUOTIENT(((c_TMAP1IN)-(c_TFWD)),2)))&gt;=0,1,0)))</f>
        <v>270</v>
      </c>
      <c r="E362" s="7" t="n">
        <f aca="false">IF(((c_TMAP2IN)-(c_TMAP1IN))=0,(c_TMAP1OUT)+QUOTIENT(((c_TMAP2OUT)-(c_TMAP1OUT)),2),QUOTIENT((((A362)-(c_TMAP1IN))*((c_TMAP2OUT)-(c_TMAP1OUT))+IF(((c_TMAP2OUT)-(c_TMAP1OUT))&gt;=0,1,-1)*QUOTIENT(((c_TMAP2IN)-(c_TMAP1IN)),2)),((c_TMAP2IN)-(c_TMAP1IN)))+(c_TMAP1OUT)+IF(((c_TMAP2OUT)-(c_TMAP1OUT))&gt;=0,IF(IF(o_WRAP=1,MOD(((c_TMAP2IN)-(c_TMAP1IN))*(((A362)-(c_TMAP1IN))*((c_TMAP2OUT)-(c_TMAP1OUT))+IF(((c_TMAP2OUT)-(c_TMAP1OUT))&gt;=0,1,-1)*QUOTIENT(((c_TMAP2IN)-(c_TMAP1IN)),2))+2147483648,4294967296)-2147483648,((c_TMAP2IN)-(c_TMAP1IN))*(((A362)-(c_TMAP1IN))*((c_TMAP2OUT)-(c_TMAP1OUT))+IF(((c_TMAP2OUT)-(c_TMAP1OUT))&gt;=0,1,-1)*QUOTIENT(((c_TMAP2IN)-(c_TMAP1IN)),2)))&lt;0,-1,0),IF(IF(o_WRAP=1,MOD(((c_TMAP2IN)-(c_TMAP1IN))*(((A362)-(c_TMAP1IN))*((c_TMAP2OUT)-(c_TMAP1OUT))+IF(((c_TMAP2OUT)-(c_TMAP1OUT))&gt;=0,1,-1)*QUOTIENT(((c_TMAP2IN)-(c_TMAP1IN)),2))+2147483648,4294967296)-2147483648,((c_TMAP2IN)-(c_TMAP1IN))*(((A362)-(c_TMAP1IN))*((c_TMAP2OUT)-(c_TMAP1OUT))+IF(((c_TMAP2OUT)-(c_TMAP1OUT))&gt;=0,1,-1)*QUOTIENT(((c_TMAP2IN)-(c_TMAP1IN)),2)))&gt;=0,1,0)))</f>
        <v>173</v>
      </c>
      <c r="F362" s="7" t="n">
        <f aca="false">IF(((c_TMAP3IN)-(c_TMAP2IN))=0,(c_TMAP2OUT)+QUOTIENT(((c_TMAP3OUT)-(c_TMAP2OUT)),2),QUOTIENT((((A362)-(c_TMAP2IN))*((c_TMAP3OUT)-(c_TMAP2OUT))+IF(((c_TMAP3OUT)-(c_TMAP2OUT))&gt;=0,1,-1)*QUOTIENT(((c_TMAP3IN)-(c_TMAP2IN)),2)),((c_TMAP3IN)-(c_TMAP2IN)))+(c_TMAP2OUT)+IF(((c_TMAP3OUT)-(c_TMAP2OUT))&gt;=0,IF(IF(o_WRAP=1,MOD(((c_TMAP3IN)-(c_TMAP2IN))*(((A362)-(c_TMAP2IN))*((c_TMAP3OUT)-(c_TMAP2OUT))+IF(((c_TMAP3OUT)-(c_TMAP2OUT))&gt;=0,1,-1)*QUOTIENT(((c_TMAP3IN)-(c_TMAP2IN)),2))+2147483648,4294967296)-2147483648,((c_TMAP3IN)-(c_TMAP2IN))*(((A362)-(c_TMAP2IN))*((c_TMAP3OUT)-(c_TMAP2OUT))+IF(((c_TMAP3OUT)-(c_TMAP2OUT))&gt;=0,1,-1)*QUOTIENT(((c_TMAP3IN)-(c_TMAP2IN)),2)))&lt;0,-1,0),IF(IF(o_WRAP=1,MOD(((c_TMAP3IN)-(c_TMAP2IN))*(((A362)-(c_TMAP2IN))*((c_TMAP3OUT)-(c_TMAP2OUT))+IF(((c_TMAP3OUT)-(c_TMAP2OUT))&gt;=0,1,-1)*QUOTIENT(((c_TMAP3IN)-(c_TMAP2IN)),2))+2147483648,4294967296)-2147483648,((c_TMAP3IN)-(c_TMAP2IN))*(((A362)-(c_TMAP2IN))*((c_TMAP3OUT)-(c_TMAP2OUT))+IF(((c_TMAP3OUT)-(c_TMAP2OUT))&gt;=0,1,-1)*QUOTIENT(((c_TMAP3IN)-(c_TMAP2IN)),2)))&gt;=0,1,0)))</f>
        <v>205</v>
      </c>
      <c r="G362" s="7" t="n">
        <f aca="false">IF(((1000)-(c_TMAP3IN))=0,(c_TMAP3OUT)+QUOTIENT(((1000)-(c_TMAP3OUT)),2),QUOTIENT((((A362)-(c_TMAP3IN))*((1000)-(c_TMAP3OUT))+IF(((1000)-(c_TMAP3OUT))&gt;=0,1,-1)*QUOTIENT(((1000)-(c_TMAP3IN)),2)),((1000)-(c_TMAP3IN)))+(c_TMAP3OUT)+IF(((1000)-(c_TMAP3OUT))&gt;=0,IF(IF(o_WRAP=1,MOD(((1000)-(c_TMAP3IN))*(((A362)-(c_TMAP3IN))*((1000)-(c_TMAP3OUT))+IF(((1000)-(c_TMAP3OUT))&gt;=0,1,-1)*QUOTIENT(((1000)-(c_TMAP3IN)),2))+2147483648,4294967296)-2147483648,((1000)-(c_TMAP3IN))*(((A362)-(c_TMAP3IN))*((1000)-(c_TMAP3OUT))+IF(((1000)-(c_TMAP3OUT))&gt;=0,1,-1)*QUOTIENT(((1000)-(c_TMAP3IN)),2)))&lt;0,-1,0),IF(IF(o_WRAP=1,MOD(((1000)-(c_TMAP3IN))*(((A362)-(c_TMAP3IN))*((1000)-(c_TMAP3OUT))+IF(((1000)-(c_TMAP3OUT))&gt;=0,1,-1)*QUOTIENT(((1000)-(c_TMAP3IN)),2))+2147483648,4294967296)-2147483648,((1000)-(c_TMAP3IN))*(((A362)-(c_TMAP3IN))*((1000)-(c_TMAP3OUT))+IF(((1000)-(c_TMAP3OUT))&gt;=0,1,-1)*QUOTIENT(((1000)-(c_TMAP3IN)),2)))&gt;=0,1,0)))</f>
        <v>209</v>
      </c>
      <c r="H362" s="7" t="str">
        <f aca="false">IF(A362&gt;=c_TFWD,IF(AND(A362&gt;=c_TMAP3IN,c_TMAP3IN&lt;1000),"Seg4 map3-100%",IF(AND(A362&gt;=c_TMAP2IN,c_TMAP3IN&gt;c_TMAP2IN),"Seg3 map2-map3",IF(AND(A362&gt;=c_TMAP1IN,c_TMAP2IN&gt;c_TMAP1IN),"Seg2 map1-map2","Seg1 TFWD-map1"))),IF(AND(A362=0,c_TCREEP&gt;0),"Creep",IF(AND(A362&lt;=c_TRNGMIN,A362&gt;=c_TRNGMAX,c_TRNGMIN-c_TRNGMAX&lt;&gt;0),"Regen ramp","Coast (0)")))</f>
        <v>Seg4 map3-100%</v>
      </c>
      <c r="I362" s="7" t="n">
        <f aca="false">IF(A362&gt;=c_TFWD,IF(AND(A362&gt;=c_TMAP3IN,c_TMAP3IN&lt;1000),G362,IF(AND(A362&gt;=c_TMAP2IN,c_TMAP3IN&gt;c_TMAP2IN),F362,IF(AND(A362&gt;=c_TMAP1IN,c_TMAP2IN&gt;c_TMAP1IN),E362,D362))),C362)</f>
        <v>209</v>
      </c>
      <c r="J362" s="7" t="str">
        <f aca="false">IF(I362&lt;-1090,"TOO LOW",IF(I362&gt;1090,"TOO HIGH",""))</f>
        <v/>
      </c>
      <c r="K362" s="15" t="n">
        <f aca="false">IF(J362&lt;&gt;"",0,IF(I362&gt;979,1000,I362))</f>
        <v>209</v>
      </c>
      <c r="L362" s="7" t="n">
        <f aca="false">K362/10</f>
        <v>20.9</v>
      </c>
    </row>
    <row r="363" customFormat="false" ht="15" hidden="false" customHeight="false" outlineLevel="0" collapsed="false">
      <c r="A363" s="7" t="n">
        <v>358</v>
      </c>
      <c r="B363" s="7" t="n">
        <f aca="false">A363/10</f>
        <v>35.8</v>
      </c>
      <c r="C363" s="7" t="n">
        <f aca="false">IF(AND(A363=0,c_TCREEP&gt;0),10*c_TCREEP,IF(AND(A363&lt;=c_TRNGMIN,A363&gt;=c_TRNGMAX,c_TRNGMIN-c_TRNGMAX&lt;&gt;0),-10*c_TMINRN+QUOTIENT((c_TMAXRN-c_TMINRN)*(100-QUOTIENT((A363-c_TRNGMAX)*100,c_TRNGMIN-c_TRNGMAX)),-10),0))</f>
        <v>0</v>
      </c>
      <c r="D363" s="7" t="n">
        <f aca="false">IF(((c_TMAP1IN)-(c_TFWD))=0,(0)+QUOTIENT(((c_TMAP1OUT)-(0)),2),QUOTIENT((((A363)-(c_TFWD))*((c_TMAP1OUT)-(0))+IF(((c_TMAP1OUT)-(0))&gt;=0,1,-1)*QUOTIENT(((c_TMAP1IN)-(c_TFWD)),2)),((c_TMAP1IN)-(c_TFWD)))+(0)+IF(((c_TMAP1OUT)-(0))&gt;=0,IF(IF(o_WRAP=1,MOD(((c_TMAP1IN)-(c_TFWD))*(((A363)-(c_TFWD))*((c_TMAP1OUT)-(0))+IF(((c_TMAP1OUT)-(0))&gt;=0,1,-1)*QUOTIENT(((c_TMAP1IN)-(c_TFWD)),2))+2147483648,4294967296)-2147483648,((c_TMAP1IN)-(c_TFWD))*(((A363)-(c_TFWD))*((c_TMAP1OUT)-(0))+IF(((c_TMAP1OUT)-(0))&gt;=0,1,-1)*QUOTIENT(((c_TMAP1IN)-(c_TFWD)),2)))&lt;0,-1,0),IF(IF(o_WRAP=1,MOD(((c_TMAP1IN)-(c_TFWD))*(((A363)-(c_TFWD))*((c_TMAP1OUT)-(0))+IF(((c_TMAP1OUT)-(0))&gt;=0,1,-1)*QUOTIENT(((c_TMAP1IN)-(c_TFWD)),2))+2147483648,4294967296)-2147483648,((c_TMAP1IN)-(c_TFWD))*(((A363)-(c_TFWD))*((c_TMAP1OUT)-(0))+IF(((c_TMAP1OUT)-(0))&gt;=0,1,-1)*QUOTIENT(((c_TMAP1IN)-(c_TFWD)),2)))&gt;=0,1,0)))</f>
        <v>271</v>
      </c>
      <c r="E363" s="7" t="n">
        <f aca="false">IF(((c_TMAP2IN)-(c_TMAP1IN))=0,(c_TMAP1OUT)+QUOTIENT(((c_TMAP2OUT)-(c_TMAP1OUT)),2),QUOTIENT((((A363)-(c_TMAP1IN))*((c_TMAP2OUT)-(c_TMAP1OUT))+IF(((c_TMAP2OUT)-(c_TMAP1OUT))&gt;=0,1,-1)*QUOTIENT(((c_TMAP2IN)-(c_TMAP1IN)),2)),((c_TMAP2IN)-(c_TMAP1IN)))+(c_TMAP1OUT)+IF(((c_TMAP2OUT)-(c_TMAP1OUT))&gt;=0,IF(IF(o_WRAP=1,MOD(((c_TMAP2IN)-(c_TMAP1IN))*(((A363)-(c_TMAP1IN))*((c_TMAP2OUT)-(c_TMAP1OUT))+IF(((c_TMAP2OUT)-(c_TMAP1OUT))&gt;=0,1,-1)*QUOTIENT(((c_TMAP2IN)-(c_TMAP1IN)),2))+2147483648,4294967296)-2147483648,((c_TMAP2IN)-(c_TMAP1IN))*(((A363)-(c_TMAP1IN))*((c_TMAP2OUT)-(c_TMAP1OUT))+IF(((c_TMAP2OUT)-(c_TMAP1OUT))&gt;=0,1,-1)*QUOTIENT(((c_TMAP2IN)-(c_TMAP1IN)),2)))&lt;0,-1,0),IF(IF(o_WRAP=1,MOD(((c_TMAP2IN)-(c_TMAP1IN))*(((A363)-(c_TMAP1IN))*((c_TMAP2OUT)-(c_TMAP1OUT))+IF(((c_TMAP2OUT)-(c_TMAP1OUT))&gt;=0,1,-1)*QUOTIENT(((c_TMAP2IN)-(c_TMAP1IN)),2))+2147483648,4294967296)-2147483648,((c_TMAP2IN)-(c_TMAP1IN))*(((A363)-(c_TMAP1IN))*((c_TMAP2OUT)-(c_TMAP1OUT))+IF(((c_TMAP2OUT)-(c_TMAP1OUT))&gt;=0,1,-1)*QUOTIENT(((c_TMAP2IN)-(c_TMAP1IN)),2)))&gt;=0,1,0)))</f>
        <v>173</v>
      </c>
      <c r="F363" s="7" t="n">
        <f aca="false">IF(((c_TMAP3IN)-(c_TMAP2IN))=0,(c_TMAP2OUT)+QUOTIENT(((c_TMAP3OUT)-(c_TMAP2OUT)),2),QUOTIENT((((A363)-(c_TMAP2IN))*((c_TMAP3OUT)-(c_TMAP2OUT))+IF(((c_TMAP3OUT)-(c_TMAP2OUT))&gt;=0,1,-1)*QUOTIENT(((c_TMAP3IN)-(c_TMAP2IN)),2)),((c_TMAP3IN)-(c_TMAP2IN)))+(c_TMAP2OUT)+IF(((c_TMAP3OUT)-(c_TMAP2OUT))&gt;=0,IF(IF(o_WRAP=1,MOD(((c_TMAP3IN)-(c_TMAP2IN))*(((A363)-(c_TMAP2IN))*((c_TMAP3OUT)-(c_TMAP2OUT))+IF(((c_TMAP3OUT)-(c_TMAP2OUT))&gt;=0,1,-1)*QUOTIENT(((c_TMAP3IN)-(c_TMAP2IN)),2))+2147483648,4294967296)-2147483648,((c_TMAP3IN)-(c_TMAP2IN))*(((A363)-(c_TMAP2IN))*((c_TMAP3OUT)-(c_TMAP2OUT))+IF(((c_TMAP3OUT)-(c_TMAP2OUT))&gt;=0,1,-1)*QUOTIENT(((c_TMAP3IN)-(c_TMAP2IN)),2)))&lt;0,-1,0),IF(IF(o_WRAP=1,MOD(((c_TMAP3IN)-(c_TMAP2IN))*(((A363)-(c_TMAP2IN))*((c_TMAP3OUT)-(c_TMAP2OUT))+IF(((c_TMAP3OUT)-(c_TMAP2OUT))&gt;=0,1,-1)*QUOTIENT(((c_TMAP3IN)-(c_TMAP2IN)),2))+2147483648,4294967296)-2147483648,((c_TMAP3IN)-(c_TMAP2IN))*(((A363)-(c_TMAP2IN))*((c_TMAP3OUT)-(c_TMAP2OUT))+IF(((c_TMAP3OUT)-(c_TMAP2OUT))&gt;=0,1,-1)*QUOTIENT(((c_TMAP3IN)-(c_TMAP2IN)),2)))&gt;=0,1,0)))</f>
        <v>206</v>
      </c>
      <c r="G363" s="7" t="n">
        <f aca="false">IF(((1000)-(c_TMAP3IN))=0,(c_TMAP3OUT)+QUOTIENT(((1000)-(c_TMAP3OUT)),2),QUOTIENT((((A363)-(c_TMAP3IN))*((1000)-(c_TMAP3OUT))+IF(((1000)-(c_TMAP3OUT))&gt;=0,1,-1)*QUOTIENT(((1000)-(c_TMAP3IN)),2)),((1000)-(c_TMAP3IN)))+(c_TMAP3OUT)+IF(((1000)-(c_TMAP3OUT))&gt;=0,IF(IF(o_WRAP=1,MOD(((1000)-(c_TMAP3IN))*(((A363)-(c_TMAP3IN))*((1000)-(c_TMAP3OUT))+IF(((1000)-(c_TMAP3OUT))&gt;=0,1,-1)*QUOTIENT(((1000)-(c_TMAP3IN)),2))+2147483648,4294967296)-2147483648,((1000)-(c_TMAP3IN))*(((A363)-(c_TMAP3IN))*((1000)-(c_TMAP3OUT))+IF(((1000)-(c_TMAP3OUT))&gt;=0,1,-1)*QUOTIENT(((1000)-(c_TMAP3IN)),2)))&lt;0,-1,0),IF(IF(o_WRAP=1,MOD(((1000)-(c_TMAP3IN))*(((A363)-(c_TMAP3IN))*((1000)-(c_TMAP3OUT))+IF(((1000)-(c_TMAP3OUT))&gt;=0,1,-1)*QUOTIENT(((1000)-(c_TMAP3IN)),2))+2147483648,4294967296)-2147483648,((1000)-(c_TMAP3IN))*(((A363)-(c_TMAP3IN))*((1000)-(c_TMAP3OUT))+IF(((1000)-(c_TMAP3OUT))&gt;=0,1,-1)*QUOTIENT(((1000)-(c_TMAP3IN)),2)))&gt;=0,1,0)))</f>
        <v>210</v>
      </c>
      <c r="H363" s="7" t="str">
        <f aca="false">IF(A363&gt;=c_TFWD,IF(AND(A363&gt;=c_TMAP3IN,c_TMAP3IN&lt;1000),"Seg4 map3-100%",IF(AND(A363&gt;=c_TMAP2IN,c_TMAP3IN&gt;c_TMAP2IN),"Seg3 map2-map3",IF(AND(A363&gt;=c_TMAP1IN,c_TMAP2IN&gt;c_TMAP1IN),"Seg2 map1-map2","Seg1 TFWD-map1"))),IF(AND(A363=0,c_TCREEP&gt;0),"Creep",IF(AND(A363&lt;=c_TRNGMIN,A363&gt;=c_TRNGMAX,c_TRNGMIN-c_TRNGMAX&lt;&gt;0),"Regen ramp","Coast (0)")))</f>
        <v>Seg4 map3-100%</v>
      </c>
      <c r="I363" s="7" t="n">
        <f aca="false">IF(A363&gt;=c_TFWD,IF(AND(A363&gt;=c_TMAP3IN,c_TMAP3IN&lt;1000),G363,IF(AND(A363&gt;=c_TMAP2IN,c_TMAP3IN&gt;c_TMAP2IN),F363,IF(AND(A363&gt;=c_TMAP1IN,c_TMAP2IN&gt;c_TMAP1IN),E363,D363))),C363)</f>
        <v>210</v>
      </c>
      <c r="J363" s="7" t="str">
        <f aca="false">IF(I363&lt;-1090,"TOO LOW",IF(I363&gt;1090,"TOO HIGH",""))</f>
        <v/>
      </c>
      <c r="K363" s="15" t="n">
        <f aca="false">IF(J363&lt;&gt;"",0,IF(I363&gt;979,1000,I363))</f>
        <v>210</v>
      </c>
      <c r="L363" s="7" t="n">
        <f aca="false">K363/10</f>
        <v>21</v>
      </c>
    </row>
    <row r="364" customFormat="false" ht="15" hidden="false" customHeight="false" outlineLevel="0" collapsed="false">
      <c r="A364" s="7" t="n">
        <v>359</v>
      </c>
      <c r="B364" s="7" t="n">
        <f aca="false">A364/10</f>
        <v>35.9</v>
      </c>
      <c r="C364" s="7" t="n">
        <f aca="false">IF(AND(A364=0,c_TCREEP&gt;0),10*c_TCREEP,IF(AND(A364&lt;=c_TRNGMIN,A364&gt;=c_TRNGMAX,c_TRNGMIN-c_TRNGMAX&lt;&gt;0),-10*c_TMINRN+QUOTIENT((c_TMAXRN-c_TMINRN)*(100-QUOTIENT((A364-c_TRNGMAX)*100,c_TRNGMIN-c_TRNGMAX)),-10),0))</f>
        <v>0</v>
      </c>
      <c r="D364" s="7" t="n">
        <f aca="false">IF(((c_TMAP1IN)-(c_TFWD))=0,(0)+QUOTIENT(((c_TMAP1OUT)-(0)),2),QUOTIENT((((A364)-(c_TFWD))*((c_TMAP1OUT)-(0))+IF(((c_TMAP1OUT)-(0))&gt;=0,1,-1)*QUOTIENT(((c_TMAP1IN)-(c_TFWD)),2)),((c_TMAP1IN)-(c_TFWD)))+(0)+IF(((c_TMAP1OUT)-(0))&gt;=0,IF(IF(o_WRAP=1,MOD(((c_TMAP1IN)-(c_TFWD))*(((A364)-(c_TFWD))*((c_TMAP1OUT)-(0))+IF(((c_TMAP1OUT)-(0))&gt;=0,1,-1)*QUOTIENT(((c_TMAP1IN)-(c_TFWD)),2))+2147483648,4294967296)-2147483648,((c_TMAP1IN)-(c_TFWD))*(((A364)-(c_TFWD))*((c_TMAP1OUT)-(0))+IF(((c_TMAP1OUT)-(0))&gt;=0,1,-1)*QUOTIENT(((c_TMAP1IN)-(c_TFWD)),2)))&lt;0,-1,0),IF(IF(o_WRAP=1,MOD(((c_TMAP1IN)-(c_TFWD))*(((A364)-(c_TFWD))*((c_TMAP1OUT)-(0))+IF(((c_TMAP1OUT)-(0))&gt;=0,1,-1)*QUOTIENT(((c_TMAP1IN)-(c_TFWD)),2))+2147483648,4294967296)-2147483648,((c_TMAP1IN)-(c_TFWD))*(((A364)-(c_TFWD))*((c_TMAP1OUT)-(0))+IF(((c_TMAP1OUT)-(0))&gt;=0,1,-1)*QUOTIENT(((c_TMAP1IN)-(c_TFWD)),2)))&gt;=0,1,0)))</f>
        <v>271</v>
      </c>
      <c r="E364" s="7" t="n">
        <f aca="false">IF(((c_TMAP2IN)-(c_TMAP1IN))=0,(c_TMAP1OUT)+QUOTIENT(((c_TMAP2OUT)-(c_TMAP1OUT)),2),QUOTIENT((((A364)-(c_TMAP1IN))*((c_TMAP2OUT)-(c_TMAP1OUT))+IF(((c_TMAP2OUT)-(c_TMAP1OUT))&gt;=0,1,-1)*QUOTIENT(((c_TMAP2IN)-(c_TMAP1IN)),2)),((c_TMAP2IN)-(c_TMAP1IN)))+(c_TMAP1OUT)+IF(((c_TMAP2OUT)-(c_TMAP1OUT))&gt;=0,IF(IF(o_WRAP=1,MOD(((c_TMAP2IN)-(c_TMAP1IN))*(((A364)-(c_TMAP1IN))*((c_TMAP2OUT)-(c_TMAP1OUT))+IF(((c_TMAP2OUT)-(c_TMAP1OUT))&gt;=0,1,-1)*QUOTIENT(((c_TMAP2IN)-(c_TMAP1IN)),2))+2147483648,4294967296)-2147483648,((c_TMAP2IN)-(c_TMAP1IN))*(((A364)-(c_TMAP1IN))*((c_TMAP2OUT)-(c_TMAP1OUT))+IF(((c_TMAP2OUT)-(c_TMAP1OUT))&gt;=0,1,-1)*QUOTIENT(((c_TMAP2IN)-(c_TMAP1IN)),2)))&lt;0,-1,0),IF(IF(o_WRAP=1,MOD(((c_TMAP2IN)-(c_TMAP1IN))*(((A364)-(c_TMAP1IN))*((c_TMAP2OUT)-(c_TMAP1OUT))+IF(((c_TMAP2OUT)-(c_TMAP1OUT))&gt;=0,1,-1)*QUOTIENT(((c_TMAP2IN)-(c_TMAP1IN)),2))+2147483648,4294967296)-2147483648,((c_TMAP2IN)-(c_TMAP1IN))*(((A364)-(c_TMAP1IN))*((c_TMAP2OUT)-(c_TMAP1OUT))+IF(((c_TMAP2OUT)-(c_TMAP1OUT))&gt;=0,1,-1)*QUOTIENT(((c_TMAP2IN)-(c_TMAP1IN)),2)))&gt;=0,1,0)))</f>
        <v>174</v>
      </c>
      <c r="F364" s="7" t="n">
        <f aca="false">IF(((c_TMAP3IN)-(c_TMAP2IN))=0,(c_TMAP2OUT)+QUOTIENT(((c_TMAP3OUT)-(c_TMAP2OUT)),2),QUOTIENT((((A364)-(c_TMAP2IN))*((c_TMAP3OUT)-(c_TMAP2OUT))+IF(((c_TMAP3OUT)-(c_TMAP2OUT))&gt;=0,1,-1)*QUOTIENT(((c_TMAP3IN)-(c_TMAP2IN)),2)),((c_TMAP3IN)-(c_TMAP2IN)))+(c_TMAP2OUT)+IF(((c_TMAP3OUT)-(c_TMAP2OUT))&gt;=0,IF(IF(o_WRAP=1,MOD(((c_TMAP3IN)-(c_TMAP2IN))*(((A364)-(c_TMAP2IN))*((c_TMAP3OUT)-(c_TMAP2OUT))+IF(((c_TMAP3OUT)-(c_TMAP2OUT))&gt;=0,1,-1)*QUOTIENT(((c_TMAP3IN)-(c_TMAP2IN)),2))+2147483648,4294967296)-2147483648,((c_TMAP3IN)-(c_TMAP2IN))*(((A364)-(c_TMAP2IN))*((c_TMAP3OUT)-(c_TMAP2OUT))+IF(((c_TMAP3OUT)-(c_TMAP2OUT))&gt;=0,1,-1)*QUOTIENT(((c_TMAP3IN)-(c_TMAP2IN)),2)))&lt;0,-1,0),IF(IF(o_WRAP=1,MOD(((c_TMAP3IN)-(c_TMAP2IN))*(((A364)-(c_TMAP2IN))*((c_TMAP3OUT)-(c_TMAP2OUT))+IF(((c_TMAP3OUT)-(c_TMAP2OUT))&gt;=0,1,-1)*QUOTIENT(((c_TMAP3IN)-(c_TMAP2IN)),2))+2147483648,4294967296)-2147483648,((c_TMAP3IN)-(c_TMAP2IN))*(((A364)-(c_TMAP2IN))*((c_TMAP3OUT)-(c_TMAP2OUT))+IF(((c_TMAP3OUT)-(c_TMAP2OUT))&gt;=0,1,-1)*QUOTIENT(((c_TMAP3IN)-(c_TMAP2IN)),2)))&gt;=0,1,0)))</f>
        <v>206</v>
      </c>
      <c r="G364" s="7" t="n">
        <f aca="false">IF(((1000)-(c_TMAP3IN))=0,(c_TMAP3OUT)+QUOTIENT(((1000)-(c_TMAP3OUT)),2),QUOTIENT((((A364)-(c_TMAP3IN))*((1000)-(c_TMAP3OUT))+IF(((1000)-(c_TMAP3OUT))&gt;=0,1,-1)*QUOTIENT(((1000)-(c_TMAP3IN)),2)),((1000)-(c_TMAP3IN)))+(c_TMAP3OUT)+IF(((1000)-(c_TMAP3OUT))&gt;=0,IF(IF(o_WRAP=1,MOD(((1000)-(c_TMAP3IN))*(((A364)-(c_TMAP3IN))*((1000)-(c_TMAP3OUT))+IF(((1000)-(c_TMAP3OUT))&gt;=0,1,-1)*QUOTIENT(((1000)-(c_TMAP3IN)),2))+2147483648,4294967296)-2147483648,((1000)-(c_TMAP3IN))*(((A364)-(c_TMAP3IN))*((1000)-(c_TMAP3OUT))+IF(((1000)-(c_TMAP3OUT))&gt;=0,1,-1)*QUOTIENT(((1000)-(c_TMAP3IN)),2)))&lt;0,-1,0),IF(IF(o_WRAP=1,MOD(((1000)-(c_TMAP3IN))*(((A364)-(c_TMAP3IN))*((1000)-(c_TMAP3OUT))+IF(((1000)-(c_TMAP3OUT))&gt;=0,1,-1)*QUOTIENT(((1000)-(c_TMAP3IN)),2))+2147483648,4294967296)-2147483648,((1000)-(c_TMAP3IN))*(((A364)-(c_TMAP3IN))*((1000)-(c_TMAP3OUT))+IF(((1000)-(c_TMAP3OUT))&gt;=0,1,-1)*QUOTIENT(((1000)-(c_TMAP3IN)),2)))&gt;=0,1,0)))</f>
        <v>211</v>
      </c>
      <c r="H364" s="7" t="str">
        <f aca="false">IF(A364&gt;=c_TFWD,IF(AND(A364&gt;=c_TMAP3IN,c_TMAP3IN&lt;1000),"Seg4 map3-100%",IF(AND(A364&gt;=c_TMAP2IN,c_TMAP3IN&gt;c_TMAP2IN),"Seg3 map2-map3",IF(AND(A364&gt;=c_TMAP1IN,c_TMAP2IN&gt;c_TMAP1IN),"Seg2 map1-map2","Seg1 TFWD-map1"))),IF(AND(A364=0,c_TCREEP&gt;0),"Creep",IF(AND(A364&lt;=c_TRNGMIN,A364&gt;=c_TRNGMAX,c_TRNGMIN-c_TRNGMAX&lt;&gt;0),"Regen ramp","Coast (0)")))</f>
        <v>Seg4 map3-100%</v>
      </c>
      <c r="I364" s="7" t="n">
        <f aca="false">IF(A364&gt;=c_TFWD,IF(AND(A364&gt;=c_TMAP3IN,c_TMAP3IN&lt;1000),G364,IF(AND(A364&gt;=c_TMAP2IN,c_TMAP3IN&gt;c_TMAP2IN),F364,IF(AND(A364&gt;=c_TMAP1IN,c_TMAP2IN&gt;c_TMAP1IN),E364,D364))),C364)</f>
        <v>211</v>
      </c>
      <c r="J364" s="7" t="str">
        <f aca="false">IF(I364&lt;-1090,"TOO LOW",IF(I364&gt;1090,"TOO HIGH",""))</f>
        <v/>
      </c>
      <c r="K364" s="15" t="n">
        <f aca="false">IF(J364&lt;&gt;"",0,IF(I364&gt;979,1000,I364))</f>
        <v>211</v>
      </c>
      <c r="L364" s="7" t="n">
        <f aca="false">K364/10</f>
        <v>21.1</v>
      </c>
    </row>
    <row r="365" customFormat="false" ht="15" hidden="false" customHeight="false" outlineLevel="0" collapsed="false">
      <c r="A365" s="7" t="n">
        <v>360</v>
      </c>
      <c r="B365" s="7" t="n">
        <f aca="false">A365/10</f>
        <v>36</v>
      </c>
      <c r="C365" s="7" t="n">
        <f aca="false">IF(AND(A365=0,c_TCREEP&gt;0),10*c_TCREEP,IF(AND(A365&lt;=c_TRNGMIN,A365&gt;=c_TRNGMAX,c_TRNGMIN-c_TRNGMAX&lt;&gt;0),-10*c_TMINRN+QUOTIENT((c_TMAXRN-c_TMINRN)*(100-QUOTIENT((A365-c_TRNGMAX)*100,c_TRNGMIN-c_TRNGMAX)),-10),0))</f>
        <v>0</v>
      </c>
      <c r="D365" s="7" t="n">
        <f aca="false">IF(((c_TMAP1IN)-(c_TFWD))=0,(0)+QUOTIENT(((c_TMAP1OUT)-(0)),2),QUOTIENT((((A365)-(c_TFWD))*((c_TMAP1OUT)-(0))+IF(((c_TMAP1OUT)-(0))&gt;=0,1,-1)*QUOTIENT(((c_TMAP1IN)-(c_TFWD)),2)),((c_TMAP1IN)-(c_TFWD)))+(0)+IF(((c_TMAP1OUT)-(0))&gt;=0,IF(IF(o_WRAP=1,MOD(((c_TMAP1IN)-(c_TFWD))*(((A365)-(c_TFWD))*((c_TMAP1OUT)-(0))+IF(((c_TMAP1OUT)-(0))&gt;=0,1,-1)*QUOTIENT(((c_TMAP1IN)-(c_TFWD)),2))+2147483648,4294967296)-2147483648,((c_TMAP1IN)-(c_TFWD))*(((A365)-(c_TFWD))*((c_TMAP1OUT)-(0))+IF(((c_TMAP1OUT)-(0))&gt;=0,1,-1)*QUOTIENT(((c_TMAP1IN)-(c_TFWD)),2)))&lt;0,-1,0),IF(IF(o_WRAP=1,MOD(((c_TMAP1IN)-(c_TFWD))*(((A365)-(c_TFWD))*((c_TMAP1OUT)-(0))+IF(((c_TMAP1OUT)-(0))&gt;=0,1,-1)*QUOTIENT(((c_TMAP1IN)-(c_TFWD)),2))+2147483648,4294967296)-2147483648,((c_TMAP1IN)-(c_TFWD))*(((A365)-(c_TFWD))*((c_TMAP1OUT)-(0))+IF(((c_TMAP1OUT)-(0))&gt;=0,1,-1)*QUOTIENT(((c_TMAP1IN)-(c_TFWD)),2)))&gt;=0,1,0)))</f>
        <v>272</v>
      </c>
      <c r="E365" s="7" t="n">
        <f aca="false">IF(((c_TMAP2IN)-(c_TMAP1IN))=0,(c_TMAP1OUT)+QUOTIENT(((c_TMAP2OUT)-(c_TMAP1OUT)),2),QUOTIENT((((A365)-(c_TMAP1IN))*((c_TMAP2OUT)-(c_TMAP1OUT))+IF(((c_TMAP2OUT)-(c_TMAP1OUT))&gt;=0,1,-1)*QUOTIENT(((c_TMAP2IN)-(c_TMAP1IN)),2)),((c_TMAP2IN)-(c_TMAP1IN)))+(c_TMAP1OUT)+IF(((c_TMAP2OUT)-(c_TMAP1OUT))&gt;=0,IF(IF(o_WRAP=1,MOD(((c_TMAP2IN)-(c_TMAP1IN))*(((A365)-(c_TMAP1IN))*((c_TMAP2OUT)-(c_TMAP1OUT))+IF(((c_TMAP2OUT)-(c_TMAP1OUT))&gt;=0,1,-1)*QUOTIENT(((c_TMAP2IN)-(c_TMAP1IN)),2))+2147483648,4294967296)-2147483648,((c_TMAP2IN)-(c_TMAP1IN))*(((A365)-(c_TMAP1IN))*((c_TMAP2OUT)-(c_TMAP1OUT))+IF(((c_TMAP2OUT)-(c_TMAP1OUT))&gt;=0,1,-1)*QUOTIENT(((c_TMAP2IN)-(c_TMAP1IN)),2)))&lt;0,-1,0),IF(IF(o_WRAP=1,MOD(((c_TMAP2IN)-(c_TMAP1IN))*(((A365)-(c_TMAP1IN))*((c_TMAP2OUT)-(c_TMAP1OUT))+IF(((c_TMAP2OUT)-(c_TMAP1OUT))&gt;=0,1,-1)*QUOTIENT(((c_TMAP2IN)-(c_TMAP1IN)),2))+2147483648,4294967296)-2147483648,((c_TMAP2IN)-(c_TMAP1IN))*(((A365)-(c_TMAP1IN))*((c_TMAP2OUT)-(c_TMAP1OUT))+IF(((c_TMAP2OUT)-(c_TMAP1OUT))&gt;=0,1,-1)*QUOTIENT(((c_TMAP2IN)-(c_TMAP1IN)),2)))&gt;=0,1,0)))</f>
        <v>174</v>
      </c>
      <c r="F365" s="7" t="n">
        <f aca="false">IF(((c_TMAP3IN)-(c_TMAP2IN))=0,(c_TMAP2OUT)+QUOTIENT(((c_TMAP3OUT)-(c_TMAP2OUT)),2),QUOTIENT((((A365)-(c_TMAP2IN))*((c_TMAP3OUT)-(c_TMAP2OUT))+IF(((c_TMAP3OUT)-(c_TMAP2OUT))&gt;=0,1,-1)*QUOTIENT(((c_TMAP3IN)-(c_TMAP2IN)),2)),((c_TMAP3IN)-(c_TMAP2IN)))+(c_TMAP2OUT)+IF(((c_TMAP3OUT)-(c_TMAP2OUT))&gt;=0,IF(IF(o_WRAP=1,MOD(((c_TMAP3IN)-(c_TMAP2IN))*(((A365)-(c_TMAP2IN))*((c_TMAP3OUT)-(c_TMAP2OUT))+IF(((c_TMAP3OUT)-(c_TMAP2OUT))&gt;=0,1,-1)*QUOTIENT(((c_TMAP3IN)-(c_TMAP2IN)),2))+2147483648,4294967296)-2147483648,((c_TMAP3IN)-(c_TMAP2IN))*(((A365)-(c_TMAP2IN))*((c_TMAP3OUT)-(c_TMAP2OUT))+IF(((c_TMAP3OUT)-(c_TMAP2OUT))&gt;=0,1,-1)*QUOTIENT(((c_TMAP3IN)-(c_TMAP2IN)),2)))&lt;0,-1,0),IF(IF(o_WRAP=1,MOD(((c_TMAP3IN)-(c_TMAP2IN))*(((A365)-(c_TMAP2IN))*((c_TMAP3OUT)-(c_TMAP2OUT))+IF(((c_TMAP3OUT)-(c_TMAP2OUT))&gt;=0,1,-1)*QUOTIENT(((c_TMAP3IN)-(c_TMAP2IN)),2))+2147483648,4294967296)-2147483648,((c_TMAP3IN)-(c_TMAP2IN))*(((A365)-(c_TMAP2IN))*((c_TMAP3OUT)-(c_TMAP2OUT))+IF(((c_TMAP3OUT)-(c_TMAP2OUT))&gt;=0,1,-1)*QUOTIENT(((c_TMAP3IN)-(c_TMAP2IN)),2)))&gt;=0,1,0)))</f>
        <v>207</v>
      </c>
      <c r="G365" s="7" t="n">
        <f aca="false">IF(((1000)-(c_TMAP3IN))=0,(c_TMAP3OUT)+QUOTIENT(((1000)-(c_TMAP3OUT)),2),QUOTIENT((((A365)-(c_TMAP3IN))*((1000)-(c_TMAP3OUT))+IF(((1000)-(c_TMAP3OUT))&gt;=0,1,-1)*QUOTIENT(((1000)-(c_TMAP3IN)),2)),((1000)-(c_TMAP3IN)))+(c_TMAP3OUT)+IF(((1000)-(c_TMAP3OUT))&gt;=0,IF(IF(o_WRAP=1,MOD(((1000)-(c_TMAP3IN))*(((A365)-(c_TMAP3IN))*((1000)-(c_TMAP3OUT))+IF(((1000)-(c_TMAP3OUT))&gt;=0,1,-1)*QUOTIENT(((1000)-(c_TMAP3IN)),2))+2147483648,4294967296)-2147483648,((1000)-(c_TMAP3IN))*(((A365)-(c_TMAP3IN))*((1000)-(c_TMAP3OUT))+IF(((1000)-(c_TMAP3OUT))&gt;=0,1,-1)*QUOTIENT(((1000)-(c_TMAP3IN)),2)))&lt;0,-1,0),IF(IF(o_WRAP=1,MOD(((1000)-(c_TMAP3IN))*(((A365)-(c_TMAP3IN))*((1000)-(c_TMAP3OUT))+IF(((1000)-(c_TMAP3OUT))&gt;=0,1,-1)*QUOTIENT(((1000)-(c_TMAP3IN)),2))+2147483648,4294967296)-2147483648,((1000)-(c_TMAP3IN))*(((A365)-(c_TMAP3IN))*((1000)-(c_TMAP3OUT))+IF(((1000)-(c_TMAP3OUT))&gt;=0,1,-1)*QUOTIENT(((1000)-(c_TMAP3IN)),2)))&gt;=0,1,0)))</f>
        <v>212</v>
      </c>
      <c r="H365" s="7" t="str">
        <f aca="false">IF(A365&gt;=c_TFWD,IF(AND(A365&gt;=c_TMAP3IN,c_TMAP3IN&lt;1000),"Seg4 map3-100%",IF(AND(A365&gt;=c_TMAP2IN,c_TMAP3IN&gt;c_TMAP2IN),"Seg3 map2-map3",IF(AND(A365&gt;=c_TMAP1IN,c_TMAP2IN&gt;c_TMAP1IN),"Seg2 map1-map2","Seg1 TFWD-map1"))),IF(AND(A365=0,c_TCREEP&gt;0),"Creep",IF(AND(A365&lt;=c_TRNGMIN,A365&gt;=c_TRNGMAX,c_TRNGMIN-c_TRNGMAX&lt;&gt;0),"Regen ramp","Coast (0)")))</f>
        <v>Seg4 map3-100%</v>
      </c>
      <c r="I365" s="7" t="n">
        <f aca="false">IF(A365&gt;=c_TFWD,IF(AND(A365&gt;=c_TMAP3IN,c_TMAP3IN&lt;1000),G365,IF(AND(A365&gt;=c_TMAP2IN,c_TMAP3IN&gt;c_TMAP2IN),F365,IF(AND(A365&gt;=c_TMAP1IN,c_TMAP2IN&gt;c_TMAP1IN),E365,D365))),C365)</f>
        <v>212</v>
      </c>
      <c r="J365" s="7" t="str">
        <f aca="false">IF(I365&lt;-1090,"TOO LOW",IF(I365&gt;1090,"TOO HIGH",""))</f>
        <v/>
      </c>
      <c r="K365" s="15" t="n">
        <f aca="false">IF(J365&lt;&gt;"",0,IF(I365&gt;979,1000,I365))</f>
        <v>212</v>
      </c>
      <c r="L365" s="7" t="n">
        <f aca="false">K365/10</f>
        <v>21.2</v>
      </c>
    </row>
    <row r="366" customFormat="false" ht="15" hidden="false" customHeight="false" outlineLevel="0" collapsed="false">
      <c r="A366" s="7" t="n">
        <v>361</v>
      </c>
      <c r="B366" s="7" t="n">
        <f aca="false">A366/10</f>
        <v>36.1</v>
      </c>
      <c r="C366" s="7" t="n">
        <f aca="false">IF(AND(A366=0,c_TCREEP&gt;0),10*c_TCREEP,IF(AND(A366&lt;=c_TRNGMIN,A366&gt;=c_TRNGMAX,c_TRNGMIN-c_TRNGMAX&lt;&gt;0),-10*c_TMINRN+QUOTIENT((c_TMAXRN-c_TMINRN)*(100-QUOTIENT((A366-c_TRNGMAX)*100,c_TRNGMIN-c_TRNGMAX)),-10),0))</f>
        <v>0</v>
      </c>
      <c r="D366" s="7" t="n">
        <f aca="false">IF(((c_TMAP1IN)-(c_TFWD))=0,(0)+QUOTIENT(((c_TMAP1OUT)-(0)),2),QUOTIENT((((A366)-(c_TFWD))*((c_TMAP1OUT)-(0))+IF(((c_TMAP1OUT)-(0))&gt;=0,1,-1)*QUOTIENT(((c_TMAP1IN)-(c_TFWD)),2)),((c_TMAP1IN)-(c_TFWD)))+(0)+IF(((c_TMAP1OUT)-(0))&gt;=0,IF(IF(o_WRAP=1,MOD(((c_TMAP1IN)-(c_TFWD))*(((A366)-(c_TFWD))*((c_TMAP1OUT)-(0))+IF(((c_TMAP1OUT)-(0))&gt;=0,1,-1)*QUOTIENT(((c_TMAP1IN)-(c_TFWD)),2))+2147483648,4294967296)-2147483648,((c_TMAP1IN)-(c_TFWD))*(((A366)-(c_TFWD))*((c_TMAP1OUT)-(0))+IF(((c_TMAP1OUT)-(0))&gt;=0,1,-1)*QUOTIENT(((c_TMAP1IN)-(c_TFWD)),2)))&lt;0,-1,0),IF(IF(o_WRAP=1,MOD(((c_TMAP1IN)-(c_TFWD))*(((A366)-(c_TFWD))*((c_TMAP1OUT)-(0))+IF(((c_TMAP1OUT)-(0))&gt;=0,1,-1)*QUOTIENT(((c_TMAP1IN)-(c_TFWD)),2))+2147483648,4294967296)-2147483648,((c_TMAP1IN)-(c_TFWD))*(((A366)-(c_TFWD))*((c_TMAP1OUT)-(0))+IF(((c_TMAP1OUT)-(0))&gt;=0,1,-1)*QUOTIENT(((c_TMAP1IN)-(c_TFWD)),2)))&gt;=0,1,0)))</f>
        <v>273</v>
      </c>
      <c r="E366" s="7" t="n">
        <f aca="false">IF(((c_TMAP2IN)-(c_TMAP1IN))=0,(c_TMAP1OUT)+QUOTIENT(((c_TMAP2OUT)-(c_TMAP1OUT)),2),QUOTIENT((((A366)-(c_TMAP1IN))*((c_TMAP2OUT)-(c_TMAP1OUT))+IF(((c_TMAP2OUT)-(c_TMAP1OUT))&gt;=0,1,-1)*QUOTIENT(((c_TMAP2IN)-(c_TMAP1IN)),2)),((c_TMAP2IN)-(c_TMAP1IN)))+(c_TMAP1OUT)+IF(((c_TMAP2OUT)-(c_TMAP1OUT))&gt;=0,IF(IF(o_WRAP=1,MOD(((c_TMAP2IN)-(c_TMAP1IN))*(((A366)-(c_TMAP1IN))*((c_TMAP2OUT)-(c_TMAP1OUT))+IF(((c_TMAP2OUT)-(c_TMAP1OUT))&gt;=0,1,-1)*QUOTIENT(((c_TMAP2IN)-(c_TMAP1IN)),2))+2147483648,4294967296)-2147483648,((c_TMAP2IN)-(c_TMAP1IN))*(((A366)-(c_TMAP1IN))*((c_TMAP2OUT)-(c_TMAP1OUT))+IF(((c_TMAP2OUT)-(c_TMAP1OUT))&gt;=0,1,-1)*QUOTIENT(((c_TMAP2IN)-(c_TMAP1IN)),2)))&lt;0,-1,0),IF(IF(o_WRAP=1,MOD(((c_TMAP2IN)-(c_TMAP1IN))*(((A366)-(c_TMAP1IN))*((c_TMAP2OUT)-(c_TMAP1OUT))+IF(((c_TMAP2OUT)-(c_TMAP1OUT))&gt;=0,1,-1)*QUOTIENT(((c_TMAP2IN)-(c_TMAP1IN)),2))+2147483648,4294967296)-2147483648,((c_TMAP2IN)-(c_TMAP1IN))*(((A366)-(c_TMAP1IN))*((c_TMAP2OUT)-(c_TMAP1OUT))+IF(((c_TMAP2OUT)-(c_TMAP1OUT))&gt;=0,1,-1)*QUOTIENT(((c_TMAP2IN)-(c_TMAP1IN)),2)))&gt;=0,1,0)))</f>
        <v>174</v>
      </c>
      <c r="F366" s="7" t="n">
        <f aca="false">IF(((c_TMAP3IN)-(c_TMAP2IN))=0,(c_TMAP2OUT)+QUOTIENT(((c_TMAP3OUT)-(c_TMAP2OUT)),2),QUOTIENT((((A366)-(c_TMAP2IN))*((c_TMAP3OUT)-(c_TMAP2OUT))+IF(((c_TMAP3OUT)-(c_TMAP2OUT))&gt;=0,1,-1)*QUOTIENT(((c_TMAP3IN)-(c_TMAP2IN)),2)),((c_TMAP3IN)-(c_TMAP2IN)))+(c_TMAP2OUT)+IF(((c_TMAP3OUT)-(c_TMAP2OUT))&gt;=0,IF(IF(o_WRAP=1,MOD(((c_TMAP3IN)-(c_TMAP2IN))*(((A366)-(c_TMAP2IN))*((c_TMAP3OUT)-(c_TMAP2OUT))+IF(((c_TMAP3OUT)-(c_TMAP2OUT))&gt;=0,1,-1)*QUOTIENT(((c_TMAP3IN)-(c_TMAP2IN)),2))+2147483648,4294967296)-2147483648,((c_TMAP3IN)-(c_TMAP2IN))*(((A366)-(c_TMAP2IN))*((c_TMAP3OUT)-(c_TMAP2OUT))+IF(((c_TMAP3OUT)-(c_TMAP2OUT))&gt;=0,1,-1)*QUOTIENT(((c_TMAP3IN)-(c_TMAP2IN)),2)))&lt;0,-1,0),IF(IF(o_WRAP=1,MOD(((c_TMAP3IN)-(c_TMAP2IN))*(((A366)-(c_TMAP2IN))*((c_TMAP3OUT)-(c_TMAP2OUT))+IF(((c_TMAP3OUT)-(c_TMAP2OUT))&gt;=0,1,-1)*QUOTIENT(((c_TMAP3IN)-(c_TMAP2IN)),2))+2147483648,4294967296)-2147483648,((c_TMAP3IN)-(c_TMAP2IN))*(((A366)-(c_TMAP2IN))*((c_TMAP3OUT)-(c_TMAP2OUT))+IF(((c_TMAP3OUT)-(c_TMAP2OUT))&gt;=0,1,-1)*QUOTIENT(((c_TMAP3IN)-(c_TMAP2IN)),2)))&gt;=0,1,0)))</f>
        <v>208</v>
      </c>
      <c r="G366" s="7" t="n">
        <f aca="false">IF(((1000)-(c_TMAP3IN))=0,(c_TMAP3OUT)+QUOTIENT(((1000)-(c_TMAP3OUT)),2),QUOTIENT((((A366)-(c_TMAP3IN))*((1000)-(c_TMAP3OUT))+IF(((1000)-(c_TMAP3OUT))&gt;=0,1,-1)*QUOTIENT(((1000)-(c_TMAP3IN)),2)),((1000)-(c_TMAP3IN)))+(c_TMAP3OUT)+IF(((1000)-(c_TMAP3OUT))&gt;=0,IF(IF(o_WRAP=1,MOD(((1000)-(c_TMAP3IN))*(((A366)-(c_TMAP3IN))*((1000)-(c_TMAP3OUT))+IF(((1000)-(c_TMAP3OUT))&gt;=0,1,-1)*QUOTIENT(((1000)-(c_TMAP3IN)),2))+2147483648,4294967296)-2147483648,((1000)-(c_TMAP3IN))*(((A366)-(c_TMAP3IN))*((1000)-(c_TMAP3OUT))+IF(((1000)-(c_TMAP3OUT))&gt;=0,1,-1)*QUOTIENT(((1000)-(c_TMAP3IN)),2)))&lt;0,-1,0),IF(IF(o_WRAP=1,MOD(((1000)-(c_TMAP3IN))*(((A366)-(c_TMAP3IN))*((1000)-(c_TMAP3OUT))+IF(((1000)-(c_TMAP3OUT))&gt;=0,1,-1)*QUOTIENT(((1000)-(c_TMAP3IN)),2))+2147483648,4294967296)-2147483648,((1000)-(c_TMAP3IN))*(((A366)-(c_TMAP3IN))*((1000)-(c_TMAP3OUT))+IF(((1000)-(c_TMAP3OUT))&gt;=0,1,-1)*QUOTIENT(((1000)-(c_TMAP3IN)),2)))&gt;=0,1,0)))</f>
        <v>214</v>
      </c>
      <c r="H366" s="7" t="str">
        <f aca="false">IF(A366&gt;=c_TFWD,IF(AND(A366&gt;=c_TMAP3IN,c_TMAP3IN&lt;1000),"Seg4 map3-100%",IF(AND(A366&gt;=c_TMAP2IN,c_TMAP3IN&gt;c_TMAP2IN),"Seg3 map2-map3",IF(AND(A366&gt;=c_TMAP1IN,c_TMAP2IN&gt;c_TMAP1IN),"Seg2 map1-map2","Seg1 TFWD-map1"))),IF(AND(A366=0,c_TCREEP&gt;0),"Creep",IF(AND(A366&lt;=c_TRNGMIN,A366&gt;=c_TRNGMAX,c_TRNGMIN-c_TRNGMAX&lt;&gt;0),"Regen ramp","Coast (0)")))</f>
        <v>Seg4 map3-100%</v>
      </c>
      <c r="I366" s="7" t="n">
        <f aca="false">IF(A366&gt;=c_TFWD,IF(AND(A366&gt;=c_TMAP3IN,c_TMAP3IN&lt;1000),G366,IF(AND(A366&gt;=c_TMAP2IN,c_TMAP3IN&gt;c_TMAP2IN),F366,IF(AND(A366&gt;=c_TMAP1IN,c_TMAP2IN&gt;c_TMAP1IN),E366,D366))),C366)</f>
        <v>214</v>
      </c>
      <c r="J366" s="7" t="str">
        <f aca="false">IF(I366&lt;-1090,"TOO LOW",IF(I366&gt;1090,"TOO HIGH",""))</f>
        <v/>
      </c>
      <c r="K366" s="15" t="n">
        <f aca="false">IF(J366&lt;&gt;"",0,IF(I366&gt;979,1000,I366))</f>
        <v>214</v>
      </c>
      <c r="L366" s="7" t="n">
        <f aca="false">K366/10</f>
        <v>21.4</v>
      </c>
    </row>
    <row r="367" customFormat="false" ht="15" hidden="false" customHeight="false" outlineLevel="0" collapsed="false">
      <c r="A367" s="7" t="n">
        <v>362</v>
      </c>
      <c r="B367" s="7" t="n">
        <f aca="false">A367/10</f>
        <v>36.2</v>
      </c>
      <c r="C367" s="7" t="n">
        <f aca="false">IF(AND(A367=0,c_TCREEP&gt;0),10*c_TCREEP,IF(AND(A367&lt;=c_TRNGMIN,A367&gt;=c_TRNGMAX,c_TRNGMIN-c_TRNGMAX&lt;&gt;0),-10*c_TMINRN+QUOTIENT((c_TMAXRN-c_TMINRN)*(100-QUOTIENT((A367-c_TRNGMAX)*100,c_TRNGMIN-c_TRNGMAX)),-10),0))</f>
        <v>0</v>
      </c>
      <c r="D367" s="7" t="n">
        <f aca="false">IF(((c_TMAP1IN)-(c_TFWD))=0,(0)+QUOTIENT(((c_TMAP1OUT)-(0)),2),QUOTIENT((((A367)-(c_TFWD))*((c_TMAP1OUT)-(0))+IF(((c_TMAP1OUT)-(0))&gt;=0,1,-1)*QUOTIENT(((c_TMAP1IN)-(c_TFWD)),2)),((c_TMAP1IN)-(c_TFWD)))+(0)+IF(((c_TMAP1OUT)-(0))&gt;=0,IF(IF(o_WRAP=1,MOD(((c_TMAP1IN)-(c_TFWD))*(((A367)-(c_TFWD))*((c_TMAP1OUT)-(0))+IF(((c_TMAP1OUT)-(0))&gt;=0,1,-1)*QUOTIENT(((c_TMAP1IN)-(c_TFWD)),2))+2147483648,4294967296)-2147483648,((c_TMAP1IN)-(c_TFWD))*(((A367)-(c_TFWD))*((c_TMAP1OUT)-(0))+IF(((c_TMAP1OUT)-(0))&gt;=0,1,-1)*QUOTIENT(((c_TMAP1IN)-(c_TFWD)),2)))&lt;0,-1,0),IF(IF(o_WRAP=1,MOD(((c_TMAP1IN)-(c_TFWD))*(((A367)-(c_TFWD))*((c_TMAP1OUT)-(0))+IF(((c_TMAP1OUT)-(0))&gt;=0,1,-1)*QUOTIENT(((c_TMAP1IN)-(c_TFWD)),2))+2147483648,4294967296)-2147483648,((c_TMAP1IN)-(c_TFWD))*(((A367)-(c_TFWD))*((c_TMAP1OUT)-(0))+IF(((c_TMAP1OUT)-(0))&gt;=0,1,-1)*QUOTIENT(((c_TMAP1IN)-(c_TFWD)),2)))&gt;=0,1,0)))</f>
        <v>274</v>
      </c>
      <c r="E367" s="7" t="n">
        <f aca="false">IF(((c_TMAP2IN)-(c_TMAP1IN))=0,(c_TMAP1OUT)+QUOTIENT(((c_TMAP2OUT)-(c_TMAP1OUT)),2),QUOTIENT((((A367)-(c_TMAP1IN))*((c_TMAP2OUT)-(c_TMAP1OUT))+IF(((c_TMAP2OUT)-(c_TMAP1OUT))&gt;=0,1,-1)*QUOTIENT(((c_TMAP2IN)-(c_TMAP1IN)),2)),((c_TMAP2IN)-(c_TMAP1IN)))+(c_TMAP1OUT)+IF(((c_TMAP2OUT)-(c_TMAP1OUT))&gt;=0,IF(IF(o_WRAP=1,MOD(((c_TMAP2IN)-(c_TMAP1IN))*(((A367)-(c_TMAP1IN))*((c_TMAP2OUT)-(c_TMAP1OUT))+IF(((c_TMAP2OUT)-(c_TMAP1OUT))&gt;=0,1,-1)*QUOTIENT(((c_TMAP2IN)-(c_TMAP1IN)),2))+2147483648,4294967296)-2147483648,((c_TMAP2IN)-(c_TMAP1IN))*(((A367)-(c_TMAP1IN))*((c_TMAP2OUT)-(c_TMAP1OUT))+IF(((c_TMAP2OUT)-(c_TMAP1OUT))&gt;=0,1,-1)*QUOTIENT(((c_TMAP2IN)-(c_TMAP1IN)),2)))&lt;0,-1,0),IF(IF(o_WRAP=1,MOD(((c_TMAP2IN)-(c_TMAP1IN))*(((A367)-(c_TMAP1IN))*((c_TMAP2OUT)-(c_TMAP1OUT))+IF(((c_TMAP2OUT)-(c_TMAP1OUT))&gt;=0,1,-1)*QUOTIENT(((c_TMAP2IN)-(c_TMAP1IN)),2))+2147483648,4294967296)-2147483648,((c_TMAP2IN)-(c_TMAP1IN))*(((A367)-(c_TMAP1IN))*((c_TMAP2OUT)-(c_TMAP1OUT))+IF(((c_TMAP2OUT)-(c_TMAP1OUT))&gt;=0,1,-1)*QUOTIENT(((c_TMAP2IN)-(c_TMAP1IN)),2)))&gt;=0,1,0)))</f>
        <v>175</v>
      </c>
      <c r="F367" s="7" t="n">
        <f aca="false">IF(((c_TMAP3IN)-(c_TMAP2IN))=0,(c_TMAP2OUT)+QUOTIENT(((c_TMAP3OUT)-(c_TMAP2OUT)),2),QUOTIENT((((A367)-(c_TMAP2IN))*((c_TMAP3OUT)-(c_TMAP2OUT))+IF(((c_TMAP3OUT)-(c_TMAP2OUT))&gt;=0,1,-1)*QUOTIENT(((c_TMAP3IN)-(c_TMAP2IN)),2)),((c_TMAP3IN)-(c_TMAP2IN)))+(c_TMAP2OUT)+IF(((c_TMAP3OUT)-(c_TMAP2OUT))&gt;=0,IF(IF(o_WRAP=1,MOD(((c_TMAP3IN)-(c_TMAP2IN))*(((A367)-(c_TMAP2IN))*((c_TMAP3OUT)-(c_TMAP2OUT))+IF(((c_TMAP3OUT)-(c_TMAP2OUT))&gt;=0,1,-1)*QUOTIENT(((c_TMAP3IN)-(c_TMAP2IN)),2))+2147483648,4294967296)-2147483648,((c_TMAP3IN)-(c_TMAP2IN))*(((A367)-(c_TMAP2IN))*((c_TMAP3OUT)-(c_TMAP2OUT))+IF(((c_TMAP3OUT)-(c_TMAP2OUT))&gt;=0,1,-1)*QUOTIENT(((c_TMAP3IN)-(c_TMAP2IN)),2)))&lt;0,-1,0),IF(IF(o_WRAP=1,MOD(((c_TMAP3IN)-(c_TMAP2IN))*(((A367)-(c_TMAP2IN))*((c_TMAP3OUT)-(c_TMAP2OUT))+IF(((c_TMAP3OUT)-(c_TMAP2OUT))&gt;=0,1,-1)*QUOTIENT(((c_TMAP3IN)-(c_TMAP2IN)),2))+2147483648,4294967296)-2147483648,((c_TMAP3IN)-(c_TMAP2IN))*(((A367)-(c_TMAP2IN))*((c_TMAP3OUT)-(c_TMAP2OUT))+IF(((c_TMAP3OUT)-(c_TMAP2OUT))&gt;=0,1,-1)*QUOTIENT(((c_TMAP3IN)-(c_TMAP2IN)),2)))&gt;=0,1,0)))</f>
        <v>208</v>
      </c>
      <c r="G367" s="7" t="n">
        <f aca="false">IF(((1000)-(c_TMAP3IN))=0,(c_TMAP3OUT)+QUOTIENT(((1000)-(c_TMAP3OUT)),2),QUOTIENT((((A367)-(c_TMAP3IN))*((1000)-(c_TMAP3OUT))+IF(((1000)-(c_TMAP3OUT))&gt;=0,1,-1)*QUOTIENT(((1000)-(c_TMAP3IN)),2)),((1000)-(c_TMAP3IN)))+(c_TMAP3OUT)+IF(((1000)-(c_TMAP3OUT))&gt;=0,IF(IF(o_WRAP=1,MOD(((1000)-(c_TMAP3IN))*(((A367)-(c_TMAP3IN))*((1000)-(c_TMAP3OUT))+IF(((1000)-(c_TMAP3OUT))&gt;=0,1,-1)*QUOTIENT(((1000)-(c_TMAP3IN)),2))+2147483648,4294967296)-2147483648,((1000)-(c_TMAP3IN))*(((A367)-(c_TMAP3IN))*((1000)-(c_TMAP3OUT))+IF(((1000)-(c_TMAP3OUT))&gt;=0,1,-1)*QUOTIENT(((1000)-(c_TMAP3IN)),2)))&lt;0,-1,0),IF(IF(o_WRAP=1,MOD(((1000)-(c_TMAP3IN))*(((A367)-(c_TMAP3IN))*((1000)-(c_TMAP3OUT))+IF(((1000)-(c_TMAP3OUT))&gt;=0,1,-1)*QUOTIENT(((1000)-(c_TMAP3IN)),2))+2147483648,4294967296)-2147483648,((1000)-(c_TMAP3IN))*(((A367)-(c_TMAP3IN))*((1000)-(c_TMAP3OUT))+IF(((1000)-(c_TMAP3OUT))&gt;=0,1,-1)*QUOTIENT(((1000)-(c_TMAP3IN)),2)))&gt;=0,1,0)))</f>
        <v>215</v>
      </c>
      <c r="H367" s="7" t="str">
        <f aca="false">IF(A367&gt;=c_TFWD,IF(AND(A367&gt;=c_TMAP3IN,c_TMAP3IN&lt;1000),"Seg4 map3-100%",IF(AND(A367&gt;=c_TMAP2IN,c_TMAP3IN&gt;c_TMAP2IN),"Seg3 map2-map3",IF(AND(A367&gt;=c_TMAP1IN,c_TMAP2IN&gt;c_TMAP1IN),"Seg2 map1-map2","Seg1 TFWD-map1"))),IF(AND(A367=0,c_TCREEP&gt;0),"Creep",IF(AND(A367&lt;=c_TRNGMIN,A367&gt;=c_TRNGMAX,c_TRNGMIN-c_TRNGMAX&lt;&gt;0),"Regen ramp","Coast (0)")))</f>
        <v>Seg4 map3-100%</v>
      </c>
      <c r="I367" s="7" t="n">
        <f aca="false">IF(A367&gt;=c_TFWD,IF(AND(A367&gt;=c_TMAP3IN,c_TMAP3IN&lt;1000),G367,IF(AND(A367&gt;=c_TMAP2IN,c_TMAP3IN&gt;c_TMAP2IN),F367,IF(AND(A367&gt;=c_TMAP1IN,c_TMAP2IN&gt;c_TMAP1IN),E367,D367))),C367)</f>
        <v>215</v>
      </c>
      <c r="J367" s="7" t="str">
        <f aca="false">IF(I367&lt;-1090,"TOO LOW",IF(I367&gt;1090,"TOO HIGH",""))</f>
        <v/>
      </c>
      <c r="K367" s="15" t="n">
        <f aca="false">IF(J367&lt;&gt;"",0,IF(I367&gt;979,1000,I367))</f>
        <v>215</v>
      </c>
      <c r="L367" s="7" t="n">
        <f aca="false">K367/10</f>
        <v>21.5</v>
      </c>
    </row>
    <row r="368" customFormat="false" ht="15" hidden="false" customHeight="false" outlineLevel="0" collapsed="false">
      <c r="A368" s="7" t="n">
        <v>363</v>
      </c>
      <c r="B368" s="7" t="n">
        <f aca="false">A368/10</f>
        <v>36.3</v>
      </c>
      <c r="C368" s="7" t="n">
        <f aca="false">IF(AND(A368=0,c_TCREEP&gt;0),10*c_TCREEP,IF(AND(A368&lt;=c_TRNGMIN,A368&gt;=c_TRNGMAX,c_TRNGMIN-c_TRNGMAX&lt;&gt;0),-10*c_TMINRN+QUOTIENT((c_TMAXRN-c_TMINRN)*(100-QUOTIENT((A368-c_TRNGMAX)*100,c_TRNGMIN-c_TRNGMAX)),-10),0))</f>
        <v>0</v>
      </c>
      <c r="D368" s="7" t="n">
        <f aca="false">IF(((c_TMAP1IN)-(c_TFWD))=0,(0)+QUOTIENT(((c_TMAP1OUT)-(0)),2),QUOTIENT((((A368)-(c_TFWD))*((c_TMAP1OUT)-(0))+IF(((c_TMAP1OUT)-(0))&gt;=0,1,-1)*QUOTIENT(((c_TMAP1IN)-(c_TFWD)),2)),((c_TMAP1IN)-(c_TFWD)))+(0)+IF(((c_TMAP1OUT)-(0))&gt;=0,IF(IF(o_WRAP=1,MOD(((c_TMAP1IN)-(c_TFWD))*(((A368)-(c_TFWD))*((c_TMAP1OUT)-(0))+IF(((c_TMAP1OUT)-(0))&gt;=0,1,-1)*QUOTIENT(((c_TMAP1IN)-(c_TFWD)),2))+2147483648,4294967296)-2147483648,((c_TMAP1IN)-(c_TFWD))*(((A368)-(c_TFWD))*((c_TMAP1OUT)-(0))+IF(((c_TMAP1OUT)-(0))&gt;=0,1,-1)*QUOTIENT(((c_TMAP1IN)-(c_TFWD)),2)))&lt;0,-1,0),IF(IF(o_WRAP=1,MOD(((c_TMAP1IN)-(c_TFWD))*(((A368)-(c_TFWD))*((c_TMAP1OUT)-(0))+IF(((c_TMAP1OUT)-(0))&gt;=0,1,-1)*QUOTIENT(((c_TMAP1IN)-(c_TFWD)),2))+2147483648,4294967296)-2147483648,((c_TMAP1IN)-(c_TFWD))*(((A368)-(c_TFWD))*((c_TMAP1OUT)-(0))+IF(((c_TMAP1OUT)-(0))&gt;=0,1,-1)*QUOTIENT(((c_TMAP1IN)-(c_TFWD)),2)))&gt;=0,1,0)))</f>
        <v>275</v>
      </c>
      <c r="E368" s="7" t="n">
        <f aca="false">IF(((c_TMAP2IN)-(c_TMAP1IN))=0,(c_TMAP1OUT)+QUOTIENT(((c_TMAP2OUT)-(c_TMAP1OUT)),2),QUOTIENT((((A368)-(c_TMAP1IN))*((c_TMAP2OUT)-(c_TMAP1OUT))+IF(((c_TMAP2OUT)-(c_TMAP1OUT))&gt;=0,1,-1)*QUOTIENT(((c_TMAP2IN)-(c_TMAP1IN)),2)),((c_TMAP2IN)-(c_TMAP1IN)))+(c_TMAP1OUT)+IF(((c_TMAP2OUT)-(c_TMAP1OUT))&gt;=0,IF(IF(o_WRAP=1,MOD(((c_TMAP2IN)-(c_TMAP1IN))*(((A368)-(c_TMAP1IN))*((c_TMAP2OUT)-(c_TMAP1OUT))+IF(((c_TMAP2OUT)-(c_TMAP1OUT))&gt;=0,1,-1)*QUOTIENT(((c_TMAP2IN)-(c_TMAP1IN)),2))+2147483648,4294967296)-2147483648,((c_TMAP2IN)-(c_TMAP1IN))*(((A368)-(c_TMAP1IN))*((c_TMAP2OUT)-(c_TMAP1OUT))+IF(((c_TMAP2OUT)-(c_TMAP1OUT))&gt;=0,1,-1)*QUOTIENT(((c_TMAP2IN)-(c_TMAP1IN)),2)))&lt;0,-1,0),IF(IF(o_WRAP=1,MOD(((c_TMAP2IN)-(c_TMAP1IN))*(((A368)-(c_TMAP1IN))*((c_TMAP2OUT)-(c_TMAP1OUT))+IF(((c_TMAP2OUT)-(c_TMAP1OUT))&gt;=0,1,-1)*QUOTIENT(((c_TMAP2IN)-(c_TMAP1IN)),2))+2147483648,4294967296)-2147483648,((c_TMAP2IN)-(c_TMAP1IN))*(((A368)-(c_TMAP1IN))*((c_TMAP2OUT)-(c_TMAP1OUT))+IF(((c_TMAP2OUT)-(c_TMAP1OUT))&gt;=0,1,-1)*QUOTIENT(((c_TMAP2IN)-(c_TMAP1IN)),2)))&gt;=0,1,0)))</f>
        <v>175</v>
      </c>
      <c r="F368" s="7" t="n">
        <f aca="false">IF(((c_TMAP3IN)-(c_TMAP2IN))=0,(c_TMAP2OUT)+QUOTIENT(((c_TMAP3OUT)-(c_TMAP2OUT)),2),QUOTIENT((((A368)-(c_TMAP2IN))*((c_TMAP3OUT)-(c_TMAP2OUT))+IF(((c_TMAP3OUT)-(c_TMAP2OUT))&gt;=0,1,-1)*QUOTIENT(((c_TMAP3IN)-(c_TMAP2IN)),2)),((c_TMAP3IN)-(c_TMAP2IN)))+(c_TMAP2OUT)+IF(((c_TMAP3OUT)-(c_TMAP2OUT))&gt;=0,IF(IF(o_WRAP=1,MOD(((c_TMAP3IN)-(c_TMAP2IN))*(((A368)-(c_TMAP2IN))*((c_TMAP3OUT)-(c_TMAP2OUT))+IF(((c_TMAP3OUT)-(c_TMAP2OUT))&gt;=0,1,-1)*QUOTIENT(((c_TMAP3IN)-(c_TMAP2IN)),2))+2147483648,4294967296)-2147483648,((c_TMAP3IN)-(c_TMAP2IN))*(((A368)-(c_TMAP2IN))*((c_TMAP3OUT)-(c_TMAP2OUT))+IF(((c_TMAP3OUT)-(c_TMAP2OUT))&gt;=0,1,-1)*QUOTIENT(((c_TMAP3IN)-(c_TMAP2IN)),2)))&lt;0,-1,0),IF(IF(o_WRAP=1,MOD(((c_TMAP3IN)-(c_TMAP2IN))*(((A368)-(c_TMAP2IN))*((c_TMAP3OUT)-(c_TMAP2OUT))+IF(((c_TMAP3OUT)-(c_TMAP2OUT))&gt;=0,1,-1)*QUOTIENT(((c_TMAP3IN)-(c_TMAP2IN)),2))+2147483648,4294967296)-2147483648,((c_TMAP3IN)-(c_TMAP2IN))*(((A368)-(c_TMAP2IN))*((c_TMAP3OUT)-(c_TMAP2OUT))+IF(((c_TMAP3OUT)-(c_TMAP2OUT))&gt;=0,1,-1)*QUOTIENT(((c_TMAP3IN)-(c_TMAP2IN)),2)))&gt;=0,1,0)))</f>
        <v>209</v>
      </c>
      <c r="G368" s="7" t="n">
        <f aca="false">IF(((1000)-(c_TMAP3IN))=0,(c_TMAP3OUT)+QUOTIENT(((1000)-(c_TMAP3OUT)),2),QUOTIENT((((A368)-(c_TMAP3IN))*((1000)-(c_TMAP3OUT))+IF(((1000)-(c_TMAP3OUT))&gt;=0,1,-1)*QUOTIENT(((1000)-(c_TMAP3IN)),2)),((1000)-(c_TMAP3IN)))+(c_TMAP3OUT)+IF(((1000)-(c_TMAP3OUT))&gt;=0,IF(IF(o_WRAP=1,MOD(((1000)-(c_TMAP3IN))*(((A368)-(c_TMAP3IN))*((1000)-(c_TMAP3OUT))+IF(((1000)-(c_TMAP3OUT))&gt;=0,1,-1)*QUOTIENT(((1000)-(c_TMAP3IN)),2))+2147483648,4294967296)-2147483648,((1000)-(c_TMAP3IN))*(((A368)-(c_TMAP3IN))*((1000)-(c_TMAP3OUT))+IF(((1000)-(c_TMAP3OUT))&gt;=0,1,-1)*QUOTIENT(((1000)-(c_TMAP3IN)),2)))&lt;0,-1,0),IF(IF(o_WRAP=1,MOD(((1000)-(c_TMAP3IN))*(((A368)-(c_TMAP3IN))*((1000)-(c_TMAP3OUT))+IF(((1000)-(c_TMAP3OUT))&gt;=0,1,-1)*QUOTIENT(((1000)-(c_TMAP3IN)),2))+2147483648,4294967296)-2147483648,((1000)-(c_TMAP3IN))*(((A368)-(c_TMAP3IN))*((1000)-(c_TMAP3OUT))+IF(((1000)-(c_TMAP3OUT))&gt;=0,1,-1)*QUOTIENT(((1000)-(c_TMAP3IN)),2)))&gt;=0,1,0)))</f>
        <v>216</v>
      </c>
      <c r="H368" s="7" t="str">
        <f aca="false">IF(A368&gt;=c_TFWD,IF(AND(A368&gt;=c_TMAP3IN,c_TMAP3IN&lt;1000),"Seg4 map3-100%",IF(AND(A368&gt;=c_TMAP2IN,c_TMAP3IN&gt;c_TMAP2IN),"Seg3 map2-map3",IF(AND(A368&gt;=c_TMAP1IN,c_TMAP2IN&gt;c_TMAP1IN),"Seg2 map1-map2","Seg1 TFWD-map1"))),IF(AND(A368=0,c_TCREEP&gt;0),"Creep",IF(AND(A368&lt;=c_TRNGMIN,A368&gt;=c_TRNGMAX,c_TRNGMIN-c_TRNGMAX&lt;&gt;0),"Regen ramp","Coast (0)")))</f>
        <v>Seg4 map3-100%</v>
      </c>
      <c r="I368" s="7" t="n">
        <f aca="false">IF(A368&gt;=c_TFWD,IF(AND(A368&gt;=c_TMAP3IN,c_TMAP3IN&lt;1000),G368,IF(AND(A368&gt;=c_TMAP2IN,c_TMAP3IN&gt;c_TMAP2IN),F368,IF(AND(A368&gt;=c_TMAP1IN,c_TMAP2IN&gt;c_TMAP1IN),E368,D368))),C368)</f>
        <v>216</v>
      </c>
      <c r="J368" s="7" t="str">
        <f aca="false">IF(I368&lt;-1090,"TOO LOW",IF(I368&gt;1090,"TOO HIGH",""))</f>
        <v/>
      </c>
      <c r="K368" s="15" t="n">
        <f aca="false">IF(J368&lt;&gt;"",0,IF(I368&gt;979,1000,I368))</f>
        <v>216</v>
      </c>
      <c r="L368" s="7" t="n">
        <f aca="false">K368/10</f>
        <v>21.6</v>
      </c>
    </row>
    <row r="369" customFormat="false" ht="15" hidden="false" customHeight="false" outlineLevel="0" collapsed="false">
      <c r="A369" s="7" t="n">
        <v>364</v>
      </c>
      <c r="B369" s="7" t="n">
        <f aca="false">A369/10</f>
        <v>36.4</v>
      </c>
      <c r="C369" s="7" t="n">
        <f aca="false">IF(AND(A369=0,c_TCREEP&gt;0),10*c_TCREEP,IF(AND(A369&lt;=c_TRNGMIN,A369&gt;=c_TRNGMAX,c_TRNGMIN-c_TRNGMAX&lt;&gt;0),-10*c_TMINRN+QUOTIENT((c_TMAXRN-c_TMINRN)*(100-QUOTIENT((A369-c_TRNGMAX)*100,c_TRNGMIN-c_TRNGMAX)),-10),0))</f>
        <v>0</v>
      </c>
      <c r="D369" s="7" t="n">
        <f aca="false">IF(((c_TMAP1IN)-(c_TFWD))=0,(0)+QUOTIENT(((c_TMAP1OUT)-(0)),2),QUOTIENT((((A369)-(c_TFWD))*((c_TMAP1OUT)-(0))+IF(((c_TMAP1OUT)-(0))&gt;=0,1,-1)*QUOTIENT(((c_TMAP1IN)-(c_TFWD)),2)),((c_TMAP1IN)-(c_TFWD)))+(0)+IF(((c_TMAP1OUT)-(0))&gt;=0,IF(IF(o_WRAP=1,MOD(((c_TMAP1IN)-(c_TFWD))*(((A369)-(c_TFWD))*((c_TMAP1OUT)-(0))+IF(((c_TMAP1OUT)-(0))&gt;=0,1,-1)*QUOTIENT(((c_TMAP1IN)-(c_TFWD)),2))+2147483648,4294967296)-2147483648,((c_TMAP1IN)-(c_TFWD))*(((A369)-(c_TFWD))*((c_TMAP1OUT)-(0))+IF(((c_TMAP1OUT)-(0))&gt;=0,1,-1)*QUOTIENT(((c_TMAP1IN)-(c_TFWD)),2)))&lt;0,-1,0),IF(IF(o_WRAP=1,MOD(((c_TMAP1IN)-(c_TFWD))*(((A369)-(c_TFWD))*((c_TMAP1OUT)-(0))+IF(((c_TMAP1OUT)-(0))&gt;=0,1,-1)*QUOTIENT(((c_TMAP1IN)-(c_TFWD)),2))+2147483648,4294967296)-2147483648,((c_TMAP1IN)-(c_TFWD))*(((A369)-(c_TFWD))*((c_TMAP1OUT)-(0))+IF(((c_TMAP1OUT)-(0))&gt;=0,1,-1)*QUOTIENT(((c_TMAP1IN)-(c_TFWD)),2)))&gt;=0,1,0)))</f>
        <v>275</v>
      </c>
      <c r="E369" s="7" t="n">
        <f aca="false">IF(((c_TMAP2IN)-(c_TMAP1IN))=0,(c_TMAP1OUT)+QUOTIENT(((c_TMAP2OUT)-(c_TMAP1OUT)),2),QUOTIENT((((A369)-(c_TMAP1IN))*((c_TMAP2OUT)-(c_TMAP1OUT))+IF(((c_TMAP2OUT)-(c_TMAP1OUT))&gt;=0,1,-1)*QUOTIENT(((c_TMAP2IN)-(c_TMAP1IN)),2)),((c_TMAP2IN)-(c_TMAP1IN)))+(c_TMAP1OUT)+IF(((c_TMAP2OUT)-(c_TMAP1OUT))&gt;=0,IF(IF(o_WRAP=1,MOD(((c_TMAP2IN)-(c_TMAP1IN))*(((A369)-(c_TMAP1IN))*((c_TMAP2OUT)-(c_TMAP1OUT))+IF(((c_TMAP2OUT)-(c_TMAP1OUT))&gt;=0,1,-1)*QUOTIENT(((c_TMAP2IN)-(c_TMAP1IN)),2))+2147483648,4294967296)-2147483648,((c_TMAP2IN)-(c_TMAP1IN))*(((A369)-(c_TMAP1IN))*((c_TMAP2OUT)-(c_TMAP1OUT))+IF(((c_TMAP2OUT)-(c_TMAP1OUT))&gt;=0,1,-1)*QUOTIENT(((c_TMAP2IN)-(c_TMAP1IN)),2)))&lt;0,-1,0),IF(IF(o_WRAP=1,MOD(((c_TMAP2IN)-(c_TMAP1IN))*(((A369)-(c_TMAP1IN))*((c_TMAP2OUT)-(c_TMAP1OUT))+IF(((c_TMAP2OUT)-(c_TMAP1OUT))&gt;=0,1,-1)*QUOTIENT(((c_TMAP2IN)-(c_TMAP1IN)),2))+2147483648,4294967296)-2147483648,((c_TMAP2IN)-(c_TMAP1IN))*(((A369)-(c_TMAP1IN))*((c_TMAP2OUT)-(c_TMAP1OUT))+IF(((c_TMAP2OUT)-(c_TMAP1OUT))&gt;=0,1,-1)*QUOTIENT(((c_TMAP2IN)-(c_TMAP1IN)),2)))&gt;=0,1,0)))</f>
        <v>176</v>
      </c>
      <c r="F369" s="7" t="n">
        <f aca="false">IF(((c_TMAP3IN)-(c_TMAP2IN))=0,(c_TMAP2OUT)+QUOTIENT(((c_TMAP3OUT)-(c_TMAP2OUT)),2),QUOTIENT((((A369)-(c_TMAP2IN))*((c_TMAP3OUT)-(c_TMAP2OUT))+IF(((c_TMAP3OUT)-(c_TMAP2OUT))&gt;=0,1,-1)*QUOTIENT(((c_TMAP3IN)-(c_TMAP2IN)),2)),((c_TMAP3IN)-(c_TMAP2IN)))+(c_TMAP2OUT)+IF(((c_TMAP3OUT)-(c_TMAP2OUT))&gt;=0,IF(IF(o_WRAP=1,MOD(((c_TMAP3IN)-(c_TMAP2IN))*(((A369)-(c_TMAP2IN))*((c_TMAP3OUT)-(c_TMAP2OUT))+IF(((c_TMAP3OUT)-(c_TMAP2OUT))&gt;=0,1,-1)*QUOTIENT(((c_TMAP3IN)-(c_TMAP2IN)),2))+2147483648,4294967296)-2147483648,((c_TMAP3IN)-(c_TMAP2IN))*(((A369)-(c_TMAP2IN))*((c_TMAP3OUT)-(c_TMAP2OUT))+IF(((c_TMAP3OUT)-(c_TMAP2OUT))&gt;=0,1,-1)*QUOTIENT(((c_TMAP3IN)-(c_TMAP2IN)),2)))&lt;0,-1,0),IF(IF(o_WRAP=1,MOD(((c_TMAP3IN)-(c_TMAP2IN))*(((A369)-(c_TMAP2IN))*((c_TMAP3OUT)-(c_TMAP2OUT))+IF(((c_TMAP3OUT)-(c_TMAP2OUT))&gt;=0,1,-1)*QUOTIENT(((c_TMAP3IN)-(c_TMAP2IN)),2))+2147483648,4294967296)-2147483648,((c_TMAP3IN)-(c_TMAP2IN))*(((A369)-(c_TMAP2IN))*((c_TMAP3OUT)-(c_TMAP2OUT))+IF(((c_TMAP3OUT)-(c_TMAP2OUT))&gt;=0,1,-1)*QUOTIENT(((c_TMAP3IN)-(c_TMAP2IN)),2)))&gt;=0,1,0)))</f>
        <v>210</v>
      </c>
      <c r="G369" s="7" t="n">
        <f aca="false">IF(((1000)-(c_TMAP3IN))=0,(c_TMAP3OUT)+QUOTIENT(((1000)-(c_TMAP3OUT)),2),QUOTIENT((((A369)-(c_TMAP3IN))*((1000)-(c_TMAP3OUT))+IF(((1000)-(c_TMAP3OUT))&gt;=0,1,-1)*QUOTIENT(((1000)-(c_TMAP3IN)),2)),((1000)-(c_TMAP3IN)))+(c_TMAP3OUT)+IF(((1000)-(c_TMAP3OUT))&gt;=0,IF(IF(o_WRAP=1,MOD(((1000)-(c_TMAP3IN))*(((A369)-(c_TMAP3IN))*((1000)-(c_TMAP3OUT))+IF(((1000)-(c_TMAP3OUT))&gt;=0,1,-1)*QUOTIENT(((1000)-(c_TMAP3IN)),2))+2147483648,4294967296)-2147483648,((1000)-(c_TMAP3IN))*(((A369)-(c_TMAP3IN))*((1000)-(c_TMAP3OUT))+IF(((1000)-(c_TMAP3OUT))&gt;=0,1,-1)*QUOTIENT(((1000)-(c_TMAP3IN)),2)))&lt;0,-1,0),IF(IF(o_WRAP=1,MOD(((1000)-(c_TMAP3IN))*(((A369)-(c_TMAP3IN))*((1000)-(c_TMAP3OUT))+IF(((1000)-(c_TMAP3OUT))&gt;=0,1,-1)*QUOTIENT(((1000)-(c_TMAP3IN)),2))+2147483648,4294967296)-2147483648,((1000)-(c_TMAP3IN))*(((A369)-(c_TMAP3IN))*((1000)-(c_TMAP3OUT))+IF(((1000)-(c_TMAP3OUT))&gt;=0,1,-1)*QUOTIENT(((1000)-(c_TMAP3IN)),2)))&gt;=0,1,0)))</f>
        <v>217</v>
      </c>
      <c r="H369" s="7" t="str">
        <f aca="false">IF(A369&gt;=c_TFWD,IF(AND(A369&gt;=c_TMAP3IN,c_TMAP3IN&lt;1000),"Seg4 map3-100%",IF(AND(A369&gt;=c_TMAP2IN,c_TMAP3IN&gt;c_TMAP2IN),"Seg3 map2-map3",IF(AND(A369&gt;=c_TMAP1IN,c_TMAP2IN&gt;c_TMAP1IN),"Seg2 map1-map2","Seg1 TFWD-map1"))),IF(AND(A369=0,c_TCREEP&gt;0),"Creep",IF(AND(A369&lt;=c_TRNGMIN,A369&gt;=c_TRNGMAX,c_TRNGMIN-c_TRNGMAX&lt;&gt;0),"Regen ramp","Coast (0)")))</f>
        <v>Seg4 map3-100%</v>
      </c>
      <c r="I369" s="7" t="n">
        <f aca="false">IF(A369&gt;=c_TFWD,IF(AND(A369&gt;=c_TMAP3IN,c_TMAP3IN&lt;1000),G369,IF(AND(A369&gt;=c_TMAP2IN,c_TMAP3IN&gt;c_TMAP2IN),F369,IF(AND(A369&gt;=c_TMAP1IN,c_TMAP2IN&gt;c_TMAP1IN),E369,D369))),C369)</f>
        <v>217</v>
      </c>
      <c r="J369" s="7" t="str">
        <f aca="false">IF(I369&lt;-1090,"TOO LOW",IF(I369&gt;1090,"TOO HIGH",""))</f>
        <v/>
      </c>
      <c r="K369" s="15" t="n">
        <f aca="false">IF(J369&lt;&gt;"",0,IF(I369&gt;979,1000,I369))</f>
        <v>217</v>
      </c>
      <c r="L369" s="7" t="n">
        <f aca="false">K369/10</f>
        <v>21.7</v>
      </c>
    </row>
    <row r="370" customFormat="false" ht="15" hidden="false" customHeight="false" outlineLevel="0" collapsed="false">
      <c r="A370" s="7" t="n">
        <v>365</v>
      </c>
      <c r="B370" s="7" t="n">
        <f aca="false">A370/10</f>
        <v>36.5</v>
      </c>
      <c r="C370" s="7" t="n">
        <f aca="false">IF(AND(A370=0,c_TCREEP&gt;0),10*c_TCREEP,IF(AND(A370&lt;=c_TRNGMIN,A370&gt;=c_TRNGMAX,c_TRNGMIN-c_TRNGMAX&lt;&gt;0),-10*c_TMINRN+QUOTIENT((c_TMAXRN-c_TMINRN)*(100-QUOTIENT((A370-c_TRNGMAX)*100,c_TRNGMIN-c_TRNGMAX)),-10),0))</f>
        <v>0</v>
      </c>
      <c r="D370" s="7" t="n">
        <f aca="false">IF(((c_TMAP1IN)-(c_TFWD))=0,(0)+QUOTIENT(((c_TMAP1OUT)-(0)),2),QUOTIENT((((A370)-(c_TFWD))*((c_TMAP1OUT)-(0))+IF(((c_TMAP1OUT)-(0))&gt;=0,1,-1)*QUOTIENT(((c_TMAP1IN)-(c_TFWD)),2)),((c_TMAP1IN)-(c_TFWD)))+(0)+IF(((c_TMAP1OUT)-(0))&gt;=0,IF(IF(o_WRAP=1,MOD(((c_TMAP1IN)-(c_TFWD))*(((A370)-(c_TFWD))*((c_TMAP1OUT)-(0))+IF(((c_TMAP1OUT)-(0))&gt;=0,1,-1)*QUOTIENT(((c_TMAP1IN)-(c_TFWD)),2))+2147483648,4294967296)-2147483648,((c_TMAP1IN)-(c_TFWD))*(((A370)-(c_TFWD))*((c_TMAP1OUT)-(0))+IF(((c_TMAP1OUT)-(0))&gt;=0,1,-1)*QUOTIENT(((c_TMAP1IN)-(c_TFWD)),2)))&lt;0,-1,0),IF(IF(o_WRAP=1,MOD(((c_TMAP1IN)-(c_TFWD))*(((A370)-(c_TFWD))*((c_TMAP1OUT)-(0))+IF(((c_TMAP1OUT)-(0))&gt;=0,1,-1)*QUOTIENT(((c_TMAP1IN)-(c_TFWD)),2))+2147483648,4294967296)-2147483648,((c_TMAP1IN)-(c_TFWD))*(((A370)-(c_TFWD))*((c_TMAP1OUT)-(0))+IF(((c_TMAP1OUT)-(0))&gt;=0,1,-1)*QUOTIENT(((c_TMAP1IN)-(c_TFWD)),2)))&gt;=0,1,0)))</f>
        <v>276</v>
      </c>
      <c r="E370" s="7" t="n">
        <f aca="false">IF(((c_TMAP2IN)-(c_TMAP1IN))=0,(c_TMAP1OUT)+QUOTIENT(((c_TMAP2OUT)-(c_TMAP1OUT)),2),QUOTIENT((((A370)-(c_TMAP1IN))*((c_TMAP2OUT)-(c_TMAP1OUT))+IF(((c_TMAP2OUT)-(c_TMAP1OUT))&gt;=0,1,-1)*QUOTIENT(((c_TMAP2IN)-(c_TMAP1IN)),2)),((c_TMAP2IN)-(c_TMAP1IN)))+(c_TMAP1OUT)+IF(((c_TMAP2OUT)-(c_TMAP1OUT))&gt;=0,IF(IF(o_WRAP=1,MOD(((c_TMAP2IN)-(c_TMAP1IN))*(((A370)-(c_TMAP1IN))*((c_TMAP2OUT)-(c_TMAP1OUT))+IF(((c_TMAP2OUT)-(c_TMAP1OUT))&gt;=0,1,-1)*QUOTIENT(((c_TMAP2IN)-(c_TMAP1IN)),2))+2147483648,4294967296)-2147483648,((c_TMAP2IN)-(c_TMAP1IN))*(((A370)-(c_TMAP1IN))*((c_TMAP2OUT)-(c_TMAP1OUT))+IF(((c_TMAP2OUT)-(c_TMAP1OUT))&gt;=0,1,-1)*QUOTIENT(((c_TMAP2IN)-(c_TMAP1IN)),2)))&lt;0,-1,0),IF(IF(o_WRAP=1,MOD(((c_TMAP2IN)-(c_TMAP1IN))*(((A370)-(c_TMAP1IN))*((c_TMAP2OUT)-(c_TMAP1OUT))+IF(((c_TMAP2OUT)-(c_TMAP1OUT))&gt;=0,1,-1)*QUOTIENT(((c_TMAP2IN)-(c_TMAP1IN)),2))+2147483648,4294967296)-2147483648,((c_TMAP2IN)-(c_TMAP1IN))*(((A370)-(c_TMAP1IN))*((c_TMAP2OUT)-(c_TMAP1OUT))+IF(((c_TMAP2OUT)-(c_TMAP1OUT))&gt;=0,1,-1)*QUOTIENT(((c_TMAP2IN)-(c_TMAP1IN)),2)))&gt;=0,1,0)))</f>
        <v>176</v>
      </c>
      <c r="F370" s="7" t="n">
        <f aca="false">IF(((c_TMAP3IN)-(c_TMAP2IN))=0,(c_TMAP2OUT)+QUOTIENT(((c_TMAP3OUT)-(c_TMAP2OUT)),2),QUOTIENT((((A370)-(c_TMAP2IN))*((c_TMAP3OUT)-(c_TMAP2OUT))+IF(((c_TMAP3OUT)-(c_TMAP2OUT))&gt;=0,1,-1)*QUOTIENT(((c_TMAP3IN)-(c_TMAP2IN)),2)),((c_TMAP3IN)-(c_TMAP2IN)))+(c_TMAP2OUT)+IF(((c_TMAP3OUT)-(c_TMAP2OUT))&gt;=0,IF(IF(o_WRAP=1,MOD(((c_TMAP3IN)-(c_TMAP2IN))*(((A370)-(c_TMAP2IN))*((c_TMAP3OUT)-(c_TMAP2OUT))+IF(((c_TMAP3OUT)-(c_TMAP2OUT))&gt;=0,1,-1)*QUOTIENT(((c_TMAP3IN)-(c_TMAP2IN)),2))+2147483648,4294967296)-2147483648,((c_TMAP3IN)-(c_TMAP2IN))*(((A370)-(c_TMAP2IN))*((c_TMAP3OUT)-(c_TMAP2OUT))+IF(((c_TMAP3OUT)-(c_TMAP2OUT))&gt;=0,1,-1)*QUOTIENT(((c_TMAP3IN)-(c_TMAP2IN)),2)))&lt;0,-1,0),IF(IF(o_WRAP=1,MOD(((c_TMAP3IN)-(c_TMAP2IN))*(((A370)-(c_TMAP2IN))*((c_TMAP3OUT)-(c_TMAP2OUT))+IF(((c_TMAP3OUT)-(c_TMAP2OUT))&gt;=0,1,-1)*QUOTIENT(((c_TMAP3IN)-(c_TMAP2IN)),2))+2147483648,4294967296)-2147483648,((c_TMAP3IN)-(c_TMAP2IN))*(((A370)-(c_TMAP2IN))*((c_TMAP3OUT)-(c_TMAP2OUT))+IF(((c_TMAP3OUT)-(c_TMAP2OUT))&gt;=0,1,-1)*QUOTIENT(((c_TMAP3IN)-(c_TMAP2IN)),2)))&gt;=0,1,0)))</f>
        <v>211</v>
      </c>
      <c r="G370" s="7" t="n">
        <f aca="false">IF(((1000)-(c_TMAP3IN))=0,(c_TMAP3OUT)+QUOTIENT(((1000)-(c_TMAP3OUT)),2),QUOTIENT((((A370)-(c_TMAP3IN))*((1000)-(c_TMAP3OUT))+IF(((1000)-(c_TMAP3OUT))&gt;=0,1,-1)*QUOTIENT(((1000)-(c_TMAP3IN)),2)),((1000)-(c_TMAP3IN)))+(c_TMAP3OUT)+IF(((1000)-(c_TMAP3OUT))&gt;=0,IF(IF(o_WRAP=1,MOD(((1000)-(c_TMAP3IN))*(((A370)-(c_TMAP3IN))*((1000)-(c_TMAP3OUT))+IF(((1000)-(c_TMAP3OUT))&gt;=0,1,-1)*QUOTIENT(((1000)-(c_TMAP3IN)),2))+2147483648,4294967296)-2147483648,((1000)-(c_TMAP3IN))*(((A370)-(c_TMAP3IN))*((1000)-(c_TMAP3OUT))+IF(((1000)-(c_TMAP3OUT))&gt;=0,1,-1)*QUOTIENT(((1000)-(c_TMAP3IN)),2)))&lt;0,-1,0),IF(IF(o_WRAP=1,MOD(((1000)-(c_TMAP3IN))*(((A370)-(c_TMAP3IN))*((1000)-(c_TMAP3OUT))+IF(((1000)-(c_TMAP3OUT))&gt;=0,1,-1)*QUOTIENT(((1000)-(c_TMAP3IN)),2))+2147483648,4294967296)-2147483648,((1000)-(c_TMAP3IN))*(((A370)-(c_TMAP3IN))*((1000)-(c_TMAP3OUT))+IF(((1000)-(c_TMAP3OUT))&gt;=0,1,-1)*QUOTIENT(((1000)-(c_TMAP3IN)),2)))&gt;=0,1,0)))</f>
        <v>218</v>
      </c>
      <c r="H370" s="7" t="str">
        <f aca="false">IF(A370&gt;=c_TFWD,IF(AND(A370&gt;=c_TMAP3IN,c_TMAP3IN&lt;1000),"Seg4 map3-100%",IF(AND(A370&gt;=c_TMAP2IN,c_TMAP3IN&gt;c_TMAP2IN),"Seg3 map2-map3",IF(AND(A370&gt;=c_TMAP1IN,c_TMAP2IN&gt;c_TMAP1IN),"Seg2 map1-map2","Seg1 TFWD-map1"))),IF(AND(A370=0,c_TCREEP&gt;0),"Creep",IF(AND(A370&lt;=c_TRNGMIN,A370&gt;=c_TRNGMAX,c_TRNGMIN-c_TRNGMAX&lt;&gt;0),"Regen ramp","Coast (0)")))</f>
        <v>Seg4 map3-100%</v>
      </c>
      <c r="I370" s="7" t="n">
        <f aca="false">IF(A370&gt;=c_TFWD,IF(AND(A370&gt;=c_TMAP3IN,c_TMAP3IN&lt;1000),G370,IF(AND(A370&gt;=c_TMAP2IN,c_TMAP3IN&gt;c_TMAP2IN),F370,IF(AND(A370&gt;=c_TMAP1IN,c_TMAP2IN&gt;c_TMAP1IN),E370,D370))),C370)</f>
        <v>218</v>
      </c>
      <c r="J370" s="7" t="str">
        <f aca="false">IF(I370&lt;-1090,"TOO LOW",IF(I370&gt;1090,"TOO HIGH",""))</f>
        <v/>
      </c>
      <c r="K370" s="15" t="n">
        <f aca="false">IF(J370&lt;&gt;"",0,IF(I370&gt;979,1000,I370))</f>
        <v>218</v>
      </c>
      <c r="L370" s="7" t="n">
        <f aca="false">K370/10</f>
        <v>21.8</v>
      </c>
    </row>
    <row r="371" customFormat="false" ht="15" hidden="false" customHeight="false" outlineLevel="0" collapsed="false">
      <c r="A371" s="7" t="n">
        <v>366</v>
      </c>
      <c r="B371" s="7" t="n">
        <f aca="false">A371/10</f>
        <v>36.6</v>
      </c>
      <c r="C371" s="7" t="n">
        <f aca="false">IF(AND(A371=0,c_TCREEP&gt;0),10*c_TCREEP,IF(AND(A371&lt;=c_TRNGMIN,A371&gt;=c_TRNGMAX,c_TRNGMIN-c_TRNGMAX&lt;&gt;0),-10*c_TMINRN+QUOTIENT((c_TMAXRN-c_TMINRN)*(100-QUOTIENT((A371-c_TRNGMAX)*100,c_TRNGMIN-c_TRNGMAX)),-10),0))</f>
        <v>0</v>
      </c>
      <c r="D371" s="7" t="n">
        <f aca="false">IF(((c_TMAP1IN)-(c_TFWD))=0,(0)+QUOTIENT(((c_TMAP1OUT)-(0)),2),QUOTIENT((((A371)-(c_TFWD))*((c_TMAP1OUT)-(0))+IF(((c_TMAP1OUT)-(0))&gt;=0,1,-1)*QUOTIENT(((c_TMAP1IN)-(c_TFWD)),2)),((c_TMAP1IN)-(c_TFWD)))+(0)+IF(((c_TMAP1OUT)-(0))&gt;=0,IF(IF(o_WRAP=1,MOD(((c_TMAP1IN)-(c_TFWD))*(((A371)-(c_TFWD))*((c_TMAP1OUT)-(0))+IF(((c_TMAP1OUT)-(0))&gt;=0,1,-1)*QUOTIENT(((c_TMAP1IN)-(c_TFWD)),2))+2147483648,4294967296)-2147483648,((c_TMAP1IN)-(c_TFWD))*(((A371)-(c_TFWD))*((c_TMAP1OUT)-(0))+IF(((c_TMAP1OUT)-(0))&gt;=0,1,-1)*QUOTIENT(((c_TMAP1IN)-(c_TFWD)),2)))&lt;0,-1,0),IF(IF(o_WRAP=1,MOD(((c_TMAP1IN)-(c_TFWD))*(((A371)-(c_TFWD))*((c_TMAP1OUT)-(0))+IF(((c_TMAP1OUT)-(0))&gt;=0,1,-1)*QUOTIENT(((c_TMAP1IN)-(c_TFWD)),2))+2147483648,4294967296)-2147483648,((c_TMAP1IN)-(c_TFWD))*(((A371)-(c_TFWD))*((c_TMAP1OUT)-(0))+IF(((c_TMAP1OUT)-(0))&gt;=0,1,-1)*QUOTIENT(((c_TMAP1IN)-(c_TFWD)),2)))&gt;=0,1,0)))</f>
        <v>277</v>
      </c>
      <c r="E371" s="7" t="n">
        <f aca="false">IF(((c_TMAP2IN)-(c_TMAP1IN))=0,(c_TMAP1OUT)+QUOTIENT(((c_TMAP2OUT)-(c_TMAP1OUT)),2),QUOTIENT((((A371)-(c_TMAP1IN))*((c_TMAP2OUT)-(c_TMAP1OUT))+IF(((c_TMAP2OUT)-(c_TMAP1OUT))&gt;=0,1,-1)*QUOTIENT(((c_TMAP2IN)-(c_TMAP1IN)),2)),((c_TMAP2IN)-(c_TMAP1IN)))+(c_TMAP1OUT)+IF(((c_TMAP2OUT)-(c_TMAP1OUT))&gt;=0,IF(IF(o_WRAP=1,MOD(((c_TMAP2IN)-(c_TMAP1IN))*(((A371)-(c_TMAP1IN))*((c_TMAP2OUT)-(c_TMAP1OUT))+IF(((c_TMAP2OUT)-(c_TMAP1OUT))&gt;=0,1,-1)*QUOTIENT(((c_TMAP2IN)-(c_TMAP1IN)),2))+2147483648,4294967296)-2147483648,((c_TMAP2IN)-(c_TMAP1IN))*(((A371)-(c_TMAP1IN))*((c_TMAP2OUT)-(c_TMAP1OUT))+IF(((c_TMAP2OUT)-(c_TMAP1OUT))&gt;=0,1,-1)*QUOTIENT(((c_TMAP2IN)-(c_TMAP1IN)),2)))&lt;0,-1,0),IF(IF(o_WRAP=1,MOD(((c_TMAP2IN)-(c_TMAP1IN))*(((A371)-(c_TMAP1IN))*((c_TMAP2OUT)-(c_TMAP1OUT))+IF(((c_TMAP2OUT)-(c_TMAP1OUT))&gt;=0,1,-1)*QUOTIENT(((c_TMAP2IN)-(c_TMAP1IN)),2))+2147483648,4294967296)-2147483648,((c_TMAP2IN)-(c_TMAP1IN))*(((A371)-(c_TMAP1IN))*((c_TMAP2OUT)-(c_TMAP1OUT))+IF(((c_TMAP2OUT)-(c_TMAP1OUT))&gt;=0,1,-1)*QUOTIENT(((c_TMAP2IN)-(c_TMAP1IN)),2)))&gt;=0,1,0)))</f>
        <v>176</v>
      </c>
      <c r="F371" s="7" t="n">
        <f aca="false">IF(((c_TMAP3IN)-(c_TMAP2IN))=0,(c_TMAP2OUT)+QUOTIENT(((c_TMAP3OUT)-(c_TMAP2OUT)),2),QUOTIENT((((A371)-(c_TMAP2IN))*((c_TMAP3OUT)-(c_TMAP2OUT))+IF(((c_TMAP3OUT)-(c_TMAP2OUT))&gt;=0,1,-1)*QUOTIENT(((c_TMAP3IN)-(c_TMAP2IN)),2)),((c_TMAP3IN)-(c_TMAP2IN)))+(c_TMAP2OUT)+IF(((c_TMAP3OUT)-(c_TMAP2OUT))&gt;=0,IF(IF(o_WRAP=1,MOD(((c_TMAP3IN)-(c_TMAP2IN))*(((A371)-(c_TMAP2IN))*((c_TMAP3OUT)-(c_TMAP2OUT))+IF(((c_TMAP3OUT)-(c_TMAP2OUT))&gt;=0,1,-1)*QUOTIENT(((c_TMAP3IN)-(c_TMAP2IN)),2))+2147483648,4294967296)-2147483648,((c_TMAP3IN)-(c_TMAP2IN))*(((A371)-(c_TMAP2IN))*((c_TMAP3OUT)-(c_TMAP2OUT))+IF(((c_TMAP3OUT)-(c_TMAP2OUT))&gt;=0,1,-1)*QUOTIENT(((c_TMAP3IN)-(c_TMAP2IN)),2)))&lt;0,-1,0),IF(IF(o_WRAP=1,MOD(((c_TMAP3IN)-(c_TMAP2IN))*(((A371)-(c_TMAP2IN))*((c_TMAP3OUT)-(c_TMAP2OUT))+IF(((c_TMAP3OUT)-(c_TMAP2OUT))&gt;=0,1,-1)*QUOTIENT(((c_TMAP3IN)-(c_TMAP2IN)),2))+2147483648,4294967296)-2147483648,((c_TMAP3IN)-(c_TMAP2IN))*(((A371)-(c_TMAP2IN))*((c_TMAP3OUT)-(c_TMAP2OUT))+IF(((c_TMAP3OUT)-(c_TMAP2OUT))&gt;=0,1,-1)*QUOTIENT(((c_TMAP3IN)-(c_TMAP2IN)),2)))&gt;=0,1,0)))</f>
        <v>211</v>
      </c>
      <c r="G371" s="7" t="n">
        <f aca="false">IF(((1000)-(c_TMAP3IN))=0,(c_TMAP3OUT)+QUOTIENT(((1000)-(c_TMAP3OUT)),2),QUOTIENT((((A371)-(c_TMAP3IN))*((1000)-(c_TMAP3OUT))+IF(((1000)-(c_TMAP3OUT))&gt;=0,1,-1)*QUOTIENT(((1000)-(c_TMAP3IN)),2)),((1000)-(c_TMAP3IN)))+(c_TMAP3OUT)+IF(((1000)-(c_TMAP3OUT))&gt;=0,IF(IF(o_WRAP=1,MOD(((1000)-(c_TMAP3IN))*(((A371)-(c_TMAP3IN))*((1000)-(c_TMAP3OUT))+IF(((1000)-(c_TMAP3OUT))&gt;=0,1,-1)*QUOTIENT(((1000)-(c_TMAP3IN)),2))+2147483648,4294967296)-2147483648,((1000)-(c_TMAP3IN))*(((A371)-(c_TMAP3IN))*((1000)-(c_TMAP3OUT))+IF(((1000)-(c_TMAP3OUT))&gt;=0,1,-1)*QUOTIENT(((1000)-(c_TMAP3IN)),2)))&lt;0,-1,0),IF(IF(o_WRAP=1,MOD(((1000)-(c_TMAP3IN))*(((A371)-(c_TMAP3IN))*((1000)-(c_TMAP3OUT))+IF(((1000)-(c_TMAP3OUT))&gt;=0,1,-1)*QUOTIENT(((1000)-(c_TMAP3IN)),2))+2147483648,4294967296)-2147483648,((1000)-(c_TMAP3IN))*(((A371)-(c_TMAP3IN))*((1000)-(c_TMAP3OUT))+IF(((1000)-(c_TMAP3OUT))&gt;=0,1,-1)*QUOTIENT(((1000)-(c_TMAP3IN)),2)))&gt;=0,1,0)))</f>
        <v>220</v>
      </c>
      <c r="H371" s="7" t="str">
        <f aca="false">IF(A371&gt;=c_TFWD,IF(AND(A371&gt;=c_TMAP3IN,c_TMAP3IN&lt;1000),"Seg4 map3-100%",IF(AND(A371&gt;=c_TMAP2IN,c_TMAP3IN&gt;c_TMAP2IN),"Seg3 map2-map3",IF(AND(A371&gt;=c_TMAP1IN,c_TMAP2IN&gt;c_TMAP1IN),"Seg2 map1-map2","Seg1 TFWD-map1"))),IF(AND(A371=0,c_TCREEP&gt;0),"Creep",IF(AND(A371&lt;=c_TRNGMIN,A371&gt;=c_TRNGMAX,c_TRNGMIN-c_TRNGMAX&lt;&gt;0),"Regen ramp","Coast (0)")))</f>
        <v>Seg4 map3-100%</v>
      </c>
      <c r="I371" s="7" t="n">
        <f aca="false">IF(A371&gt;=c_TFWD,IF(AND(A371&gt;=c_TMAP3IN,c_TMAP3IN&lt;1000),G371,IF(AND(A371&gt;=c_TMAP2IN,c_TMAP3IN&gt;c_TMAP2IN),F371,IF(AND(A371&gt;=c_TMAP1IN,c_TMAP2IN&gt;c_TMAP1IN),E371,D371))),C371)</f>
        <v>220</v>
      </c>
      <c r="J371" s="7" t="str">
        <f aca="false">IF(I371&lt;-1090,"TOO LOW",IF(I371&gt;1090,"TOO HIGH",""))</f>
        <v/>
      </c>
      <c r="K371" s="15" t="n">
        <f aca="false">IF(J371&lt;&gt;"",0,IF(I371&gt;979,1000,I371))</f>
        <v>220</v>
      </c>
      <c r="L371" s="7" t="n">
        <f aca="false">K371/10</f>
        <v>22</v>
      </c>
    </row>
    <row r="372" customFormat="false" ht="15" hidden="false" customHeight="false" outlineLevel="0" collapsed="false">
      <c r="A372" s="7" t="n">
        <v>367</v>
      </c>
      <c r="B372" s="7" t="n">
        <f aca="false">A372/10</f>
        <v>36.7</v>
      </c>
      <c r="C372" s="7" t="n">
        <f aca="false">IF(AND(A372=0,c_TCREEP&gt;0),10*c_TCREEP,IF(AND(A372&lt;=c_TRNGMIN,A372&gt;=c_TRNGMAX,c_TRNGMIN-c_TRNGMAX&lt;&gt;0),-10*c_TMINRN+QUOTIENT((c_TMAXRN-c_TMINRN)*(100-QUOTIENT((A372-c_TRNGMAX)*100,c_TRNGMIN-c_TRNGMAX)),-10),0))</f>
        <v>0</v>
      </c>
      <c r="D372" s="7" t="n">
        <f aca="false">IF(((c_TMAP1IN)-(c_TFWD))=0,(0)+QUOTIENT(((c_TMAP1OUT)-(0)),2),QUOTIENT((((A372)-(c_TFWD))*((c_TMAP1OUT)-(0))+IF(((c_TMAP1OUT)-(0))&gt;=0,1,-1)*QUOTIENT(((c_TMAP1IN)-(c_TFWD)),2)),((c_TMAP1IN)-(c_TFWD)))+(0)+IF(((c_TMAP1OUT)-(0))&gt;=0,IF(IF(o_WRAP=1,MOD(((c_TMAP1IN)-(c_TFWD))*(((A372)-(c_TFWD))*((c_TMAP1OUT)-(0))+IF(((c_TMAP1OUT)-(0))&gt;=0,1,-1)*QUOTIENT(((c_TMAP1IN)-(c_TFWD)),2))+2147483648,4294967296)-2147483648,((c_TMAP1IN)-(c_TFWD))*(((A372)-(c_TFWD))*((c_TMAP1OUT)-(0))+IF(((c_TMAP1OUT)-(0))&gt;=0,1,-1)*QUOTIENT(((c_TMAP1IN)-(c_TFWD)),2)))&lt;0,-1,0),IF(IF(o_WRAP=1,MOD(((c_TMAP1IN)-(c_TFWD))*(((A372)-(c_TFWD))*((c_TMAP1OUT)-(0))+IF(((c_TMAP1OUT)-(0))&gt;=0,1,-1)*QUOTIENT(((c_TMAP1IN)-(c_TFWD)),2))+2147483648,4294967296)-2147483648,((c_TMAP1IN)-(c_TFWD))*(((A372)-(c_TFWD))*((c_TMAP1OUT)-(0))+IF(((c_TMAP1OUT)-(0))&gt;=0,1,-1)*QUOTIENT(((c_TMAP1IN)-(c_TFWD)),2)))&gt;=0,1,0)))</f>
        <v>278</v>
      </c>
      <c r="E372" s="7" t="n">
        <f aca="false">IF(((c_TMAP2IN)-(c_TMAP1IN))=0,(c_TMAP1OUT)+QUOTIENT(((c_TMAP2OUT)-(c_TMAP1OUT)),2),QUOTIENT((((A372)-(c_TMAP1IN))*((c_TMAP2OUT)-(c_TMAP1OUT))+IF(((c_TMAP2OUT)-(c_TMAP1OUT))&gt;=0,1,-1)*QUOTIENT(((c_TMAP2IN)-(c_TMAP1IN)),2)),((c_TMAP2IN)-(c_TMAP1IN)))+(c_TMAP1OUT)+IF(((c_TMAP2OUT)-(c_TMAP1OUT))&gt;=0,IF(IF(o_WRAP=1,MOD(((c_TMAP2IN)-(c_TMAP1IN))*(((A372)-(c_TMAP1IN))*((c_TMAP2OUT)-(c_TMAP1OUT))+IF(((c_TMAP2OUT)-(c_TMAP1OUT))&gt;=0,1,-1)*QUOTIENT(((c_TMAP2IN)-(c_TMAP1IN)),2))+2147483648,4294967296)-2147483648,((c_TMAP2IN)-(c_TMAP1IN))*(((A372)-(c_TMAP1IN))*((c_TMAP2OUT)-(c_TMAP1OUT))+IF(((c_TMAP2OUT)-(c_TMAP1OUT))&gt;=0,1,-1)*QUOTIENT(((c_TMAP2IN)-(c_TMAP1IN)),2)))&lt;0,-1,0),IF(IF(o_WRAP=1,MOD(((c_TMAP2IN)-(c_TMAP1IN))*(((A372)-(c_TMAP1IN))*((c_TMAP2OUT)-(c_TMAP1OUT))+IF(((c_TMAP2OUT)-(c_TMAP1OUT))&gt;=0,1,-1)*QUOTIENT(((c_TMAP2IN)-(c_TMAP1IN)),2))+2147483648,4294967296)-2147483648,((c_TMAP2IN)-(c_TMAP1IN))*(((A372)-(c_TMAP1IN))*((c_TMAP2OUT)-(c_TMAP1OUT))+IF(((c_TMAP2OUT)-(c_TMAP1OUT))&gt;=0,1,-1)*QUOTIENT(((c_TMAP2IN)-(c_TMAP1IN)),2)))&gt;=0,1,0)))</f>
        <v>177</v>
      </c>
      <c r="F372" s="7" t="n">
        <f aca="false">IF(((c_TMAP3IN)-(c_TMAP2IN))=0,(c_TMAP2OUT)+QUOTIENT(((c_TMAP3OUT)-(c_TMAP2OUT)),2),QUOTIENT((((A372)-(c_TMAP2IN))*((c_TMAP3OUT)-(c_TMAP2OUT))+IF(((c_TMAP3OUT)-(c_TMAP2OUT))&gt;=0,1,-1)*QUOTIENT(((c_TMAP3IN)-(c_TMAP2IN)),2)),((c_TMAP3IN)-(c_TMAP2IN)))+(c_TMAP2OUT)+IF(((c_TMAP3OUT)-(c_TMAP2OUT))&gt;=0,IF(IF(o_WRAP=1,MOD(((c_TMAP3IN)-(c_TMAP2IN))*(((A372)-(c_TMAP2IN))*((c_TMAP3OUT)-(c_TMAP2OUT))+IF(((c_TMAP3OUT)-(c_TMAP2OUT))&gt;=0,1,-1)*QUOTIENT(((c_TMAP3IN)-(c_TMAP2IN)),2))+2147483648,4294967296)-2147483648,((c_TMAP3IN)-(c_TMAP2IN))*(((A372)-(c_TMAP2IN))*((c_TMAP3OUT)-(c_TMAP2OUT))+IF(((c_TMAP3OUT)-(c_TMAP2OUT))&gt;=0,1,-1)*QUOTIENT(((c_TMAP3IN)-(c_TMAP2IN)),2)))&lt;0,-1,0),IF(IF(o_WRAP=1,MOD(((c_TMAP3IN)-(c_TMAP2IN))*(((A372)-(c_TMAP2IN))*((c_TMAP3OUT)-(c_TMAP2OUT))+IF(((c_TMAP3OUT)-(c_TMAP2OUT))&gt;=0,1,-1)*QUOTIENT(((c_TMAP3IN)-(c_TMAP2IN)),2))+2147483648,4294967296)-2147483648,((c_TMAP3IN)-(c_TMAP2IN))*(((A372)-(c_TMAP2IN))*((c_TMAP3OUT)-(c_TMAP2OUT))+IF(((c_TMAP3OUT)-(c_TMAP2OUT))&gt;=0,1,-1)*QUOTIENT(((c_TMAP3IN)-(c_TMAP2IN)),2)))&gt;=0,1,0)))</f>
        <v>212</v>
      </c>
      <c r="G372" s="7" t="n">
        <f aca="false">IF(((1000)-(c_TMAP3IN))=0,(c_TMAP3OUT)+QUOTIENT(((1000)-(c_TMAP3OUT)),2),QUOTIENT((((A372)-(c_TMAP3IN))*((1000)-(c_TMAP3OUT))+IF(((1000)-(c_TMAP3OUT))&gt;=0,1,-1)*QUOTIENT(((1000)-(c_TMAP3IN)),2)),((1000)-(c_TMAP3IN)))+(c_TMAP3OUT)+IF(((1000)-(c_TMAP3OUT))&gt;=0,IF(IF(o_WRAP=1,MOD(((1000)-(c_TMAP3IN))*(((A372)-(c_TMAP3IN))*((1000)-(c_TMAP3OUT))+IF(((1000)-(c_TMAP3OUT))&gt;=0,1,-1)*QUOTIENT(((1000)-(c_TMAP3IN)),2))+2147483648,4294967296)-2147483648,((1000)-(c_TMAP3IN))*(((A372)-(c_TMAP3IN))*((1000)-(c_TMAP3OUT))+IF(((1000)-(c_TMAP3OUT))&gt;=0,1,-1)*QUOTIENT(((1000)-(c_TMAP3IN)),2)))&lt;0,-1,0),IF(IF(o_WRAP=1,MOD(((1000)-(c_TMAP3IN))*(((A372)-(c_TMAP3IN))*((1000)-(c_TMAP3OUT))+IF(((1000)-(c_TMAP3OUT))&gt;=0,1,-1)*QUOTIENT(((1000)-(c_TMAP3IN)),2))+2147483648,4294967296)-2147483648,((1000)-(c_TMAP3IN))*(((A372)-(c_TMAP3IN))*((1000)-(c_TMAP3OUT))+IF(((1000)-(c_TMAP3OUT))&gt;=0,1,-1)*QUOTIENT(((1000)-(c_TMAP3IN)),2)))&gt;=0,1,0)))</f>
        <v>221</v>
      </c>
      <c r="H372" s="7" t="str">
        <f aca="false">IF(A372&gt;=c_TFWD,IF(AND(A372&gt;=c_TMAP3IN,c_TMAP3IN&lt;1000),"Seg4 map3-100%",IF(AND(A372&gt;=c_TMAP2IN,c_TMAP3IN&gt;c_TMAP2IN),"Seg3 map2-map3",IF(AND(A372&gt;=c_TMAP1IN,c_TMAP2IN&gt;c_TMAP1IN),"Seg2 map1-map2","Seg1 TFWD-map1"))),IF(AND(A372=0,c_TCREEP&gt;0),"Creep",IF(AND(A372&lt;=c_TRNGMIN,A372&gt;=c_TRNGMAX,c_TRNGMIN-c_TRNGMAX&lt;&gt;0),"Regen ramp","Coast (0)")))</f>
        <v>Seg4 map3-100%</v>
      </c>
      <c r="I372" s="7" t="n">
        <f aca="false">IF(A372&gt;=c_TFWD,IF(AND(A372&gt;=c_TMAP3IN,c_TMAP3IN&lt;1000),G372,IF(AND(A372&gt;=c_TMAP2IN,c_TMAP3IN&gt;c_TMAP2IN),F372,IF(AND(A372&gt;=c_TMAP1IN,c_TMAP2IN&gt;c_TMAP1IN),E372,D372))),C372)</f>
        <v>221</v>
      </c>
      <c r="J372" s="7" t="str">
        <f aca="false">IF(I372&lt;-1090,"TOO LOW",IF(I372&gt;1090,"TOO HIGH",""))</f>
        <v/>
      </c>
      <c r="K372" s="15" t="n">
        <f aca="false">IF(J372&lt;&gt;"",0,IF(I372&gt;979,1000,I372))</f>
        <v>221</v>
      </c>
      <c r="L372" s="7" t="n">
        <f aca="false">K372/10</f>
        <v>22.1</v>
      </c>
    </row>
    <row r="373" customFormat="false" ht="15" hidden="false" customHeight="false" outlineLevel="0" collapsed="false">
      <c r="A373" s="7" t="n">
        <v>368</v>
      </c>
      <c r="B373" s="7" t="n">
        <f aca="false">A373/10</f>
        <v>36.8</v>
      </c>
      <c r="C373" s="7" t="n">
        <f aca="false">IF(AND(A373=0,c_TCREEP&gt;0),10*c_TCREEP,IF(AND(A373&lt;=c_TRNGMIN,A373&gt;=c_TRNGMAX,c_TRNGMIN-c_TRNGMAX&lt;&gt;0),-10*c_TMINRN+QUOTIENT((c_TMAXRN-c_TMINRN)*(100-QUOTIENT((A373-c_TRNGMAX)*100,c_TRNGMIN-c_TRNGMAX)),-10),0))</f>
        <v>0</v>
      </c>
      <c r="D373" s="7" t="n">
        <f aca="false">IF(((c_TMAP1IN)-(c_TFWD))=0,(0)+QUOTIENT(((c_TMAP1OUT)-(0)),2),QUOTIENT((((A373)-(c_TFWD))*((c_TMAP1OUT)-(0))+IF(((c_TMAP1OUT)-(0))&gt;=0,1,-1)*QUOTIENT(((c_TMAP1IN)-(c_TFWD)),2)),((c_TMAP1IN)-(c_TFWD)))+(0)+IF(((c_TMAP1OUT)-(0))&gt;=0,IF(IF(o_WRAP=1,MOD(((c_TMAP1IN)-(c_TFWD))*(((A373)-(c_TFWD))*((c_TMAP1OUT)-(0))+IF(((c_TMAP1OUT)-(0))&gt;=0,1,-1)*QUOTIENT(((c_TMAP1IN)-(c_TFWD)),2))+2147483648,4294967296)-2147483648,((c_TMAP1IN)-(c_TFWD))*(((A373)-(c_TFWD))*((c_TMAP1OUT)-(0))+IF(((c_TMAP1OUT)-(0))&gt;=0,1,-1)*QUOTIENT(((c_TMAP1IN)-(c_TFWD)),2)))&lt;0,-1,0),IF(IF(o_WRAP=1,MOD(((c_TMAP1IN)-(c_TFWD))*(((A373)-(c_TFWD))*((c_TMAP1OUT)-(0))+IF(((c_TMAP1OUT)-(0))&gt;=0,1,-1)*QUOTIENT(((c_TMAP1IN)-(c_TFWD)),2))+2147483648,4294967296)-2147483648,((c_TMAP1IN)-(c_TFWD))*(((A373)-(c_TFWD))*((c_TMAP1OUT)-(0))+IF(((c_TMAP1OUT)-(0))&gt;=0,1,-1)*QUOTIENT(((c_TMAP1IN)-(c_TFWD)),2)))&gt;=0,1,0)))</f>
        <v>278</v>
      </c>
      <c r="E373" s="7" t="n">
        <f aca="false">IF(((c_TMAP2IN)-(c_TMAP1IN))=0,(c_TMAP1OUT)+QUOTIENT(((c_TMAP2OUT)-(c_TMAP1OUT)),2),QUOTIENT((((A373)-(c_TMAP1IN))*((c_TMAP2OUT)-(c_TMAP1OUT))+IF(((c_TMAP2OUT)-(c_TMAP1OUT))&gt;=0,1,-1)*QUOTIENT(((c_TMAP2IN)-(c_TMAP1IN)),2)),((c_TMAP2IN)-(c_TMAP1IN)))+(c_TMAP1OUT)+IF(((c_TMAP2OUT)-(c_TMAP1OUT))&gt;=0,IF(IF(o_WRAP=1,MOD(((c_TMAP2IN)-(c_TMAP1IN))*(((A373)-(c_TMAP1IN))*((c_TMAP2OUT)-(c_TMAP1OUT))+IF(((c_TMAP2OUT)-(c_TMAP1OUT))&gt;=0,1,-1)*QUOTIENT(((c_TMAP2IN)-(c_TMAP1IN)),2))+2147483648,4294967296)-2147483648,((c_TMAP2IN)-(c_TMAP1IN))*(((A373)-(c_TMAP1IN))*((c_TMAP2OUT)-(c_TMAP1OUT))+IF(((c_TMAP2OUT)-(c_TMAP1OUT))&gt;=0,1,-1)*QUOTIENT(((c_TMAP2IN)-(c_TMAP1IN)),2)))&lt;0,-1,0),IF(IF(o_WRAP=1,MOD(((c_TMAP2IN)-(c_TMAP1IN))*(((A373)-(c_TMAP1IN))*((c_TMAP2OUT)-(c_TMAP1OUT))+IF(((c_TMAP2OUT)-(c_TMAP1OUT))&gt;=0,1,-1)*QUOTIENT(((c_TMAP2IN)-(c_TMAP1IN)),2))+2147483648,4294967296)-2147483648,((c_TMAP2IN)-(c_TMAP1IN))*(((A373)-(c_TMAP1IN))*((c_TMAP2OUT)-(c_TMAP1OUT))+IF(((c_TMAP2OUT)-(c_TMAP1OUT))&gt;=0,1,-1)*QUOTIENT(((c_TMAP2IN)-(c_TMAP1IN)),2)))&gt;=0,1,0)))</f>
        <v>177</v>
      </c>
      <c r="F373" s="7" t="n">
        <f aca="false">IF(((c_TMAP3IN)-(c_TMAP2IN))=0,(c_TMAP2OUT)+QUOTIENT(((c_TMAP3OUT)-(c_TMAP2OUT)),2),QUOTIENT((((A373)-(c_TMAP2IN))*((c_TMAP3OUT)-(c_TMAP2OUT))+IF(((c_TMAP3OUT)-(c_TMAP2OUT))&gt;=0,1,-1)*QUOTIENT(((c_TMAP3IN)-(c_TMAP2IN)),2)),((c_TMAP3IN)-(c_TMAP2IN)))+(c_TMAP2OUT)+IF(((c_TMAP3OUT)-(c_TMAP2OUT))&gt;=0,IF(IF(o_WRAP=1,MOD(((c_TMAP3IN)-(c_TMAP2IN))*(((A373)-(c_TMAP2IN))*((c_TMAP3OUT)-(c_TMAP2OUT))+IF(((c_TMAP3OUT)-(c_TMAP2OUT))&gt;=0,1,-1)*QUOTIENT(((c_TMAP3IN)-(c_TMAP2IN)),2))+2147483648,4294967296)-2147483648,((c_TMAP3IN)-(c_TMAP2IN))*(((A373)-(c_TMAP2IN))*((c_TMAP3OUT)-(c_TMAP2OUT))+IF(((c_TMAP3OUT)-(c_TMAP2OUT))&gt;=0,1,-1)*QUOTIENT(((c_TMAP3IN)-(c_TMAP2IN)),2)))&lt;0,-1,0),IF(IF(o_WRAP=1,MOD(((c_TMAP3IN)-(c_TMAP2IN))*(((A373)-(c_TMAP2IN))*((c_TMAP3OUT)-(c_TMAP2OUT))+IF(((c_TMAP3OUT)-(c_TMAP2OUT))&gt;=0,1,-1)*QUOTIENT(((c_TMAP3IN)-(c_TMAP2IN)),2))+2147483648,4294967296)-2147483648,((c_TMAP3IN)-(c_TMAP2IN))*(((A373)-(c_TMAP2IN))*((c_TMAP3OUT)-(c_TMAP2OUT))+IF(((c_TMAP3OUT)-(c_TMAP2OUT))&gt;=0,1,-1)*QUOTIENT(((c_TMAP3IN)-(c_TMAP2IN)),2)))&gt;=0,1,0)))</f>
        <v>213</v>
      </c>
      <c r="G373" s="7" t="n">
        <f aca="false">IF(((1000)-(c_TMAP3IN))=0,(c_TMAP3OUT)+QUOTIENT(((1000)-(c_TMAP3OUT)),2),QUOTIENT((((A373)-(c_TMAP3IN))*((1000)-(c_TMAP3OUT))+IF(((1000)-(c_TMAP3OUT))&gt;=0,1,-1)*QUOTIENT(((1000)-(c_TMAP3IN)),2)),((1000)-(c_TMAP3IN)))+(c_TMAP3OUT)+IF(((1000)-(c_TMAP3OUT))&gt;=0,IF(IF(o_WRAP=1,MOD(((1000)-(c_TMAP3IN))*(((A373)-(c_TMAP3IN))*((1000)-(c_TMAP3OUT))+IF(((1000)-(c_TMAP3OUT))&gt;=0,1,-1)*QUOTIENT(((1000)-(c_TMAP3IN)),2))+2147483648,4294967296)-2147483648,((1000)-(c_TMAP3IN))*(((A373)-(c_TMAP3IN))*((1000)-(c_TMAP3OUT))+IF(((1000)-(c_TMAP3OUT))&gt;=0,1,-1)*QUOTIENT(((1000)-(c_TMAP3IN)),2)))&lt;0,-1,0),IF(IF(o_WRAP=1,MOD(((1000)-(c_TMAP3IN))*(((A373)-(c_TMAP3IN))*((1000)-(c_TMAP3OUT))+IF(((1000)-(c_TMAP3OUT))&gt;=0,1,-1)*QUOTIENT(((1000)-(c_TMAP3IN)),2))+2147483648,4294967296)-2147483648,((1000)-(c_TMAP3IN))*(((A373)-(c_TMAP3IN))*((1000)-(c_TMAP3OUT))+IF(((1000)-(c_TMAP3OUT))&gt;=0,1,-1)*QUOTIENT(((1000)-(c_TMAP3IN)),2)))&gt;=0,1,0)))</f>
        <v>222</v>
      </c>
      <c r="H373" s="7" t="str">
        <f aca="false">IF(A373&gt;=c_TFWD,IF(AND(A373&gt;=c_TMAP3IN,c_TMAP3IN&lt;1000),"Seg4 map3-100%",IF(AND(A373&gt;=c_TMAP2IN,c_TMAP3IN&gt;c_TMAP2IN),"Seg3 map2-map3",IF(AND(A373&gt;=c_TMAP1IN,c_TMAP2IN&gt;c_TMAP1IN),"Seg2 map1-map2","Seg1 TFWD-map1"))),IF(AND(A373=0,c_TCREEP&gt;0),"Creep",IF(AND(A373&lt;=c_TRNGMIN,A373&gt;=c_TRNGMAX,c_TRNGMIN-c_TRNGMAX&lt;&gt;0),"Regen ramp","Coast (0)")))</f>
        <v>Seg4 map3-100%</v>
      </c>
      <c r="I373" s="7" t="n">
        <f aca="false">IF(A373&gt;=c_TFWD,IF(AND(A373&gt;=c_TMAP3IN,c_TMAP3IN&lt;1000),G373,IF(AND(A373&gt;=c_TMAP2IN,c_TMAP3IN&gt;c_TMAP2IN),F373,IF(AND(A373&gt;=c_TMAP1IN,c_TMAP2IN&gt;c_TMAP1IN),E373,D373))),C373)</f>
        <v>222</v>
      </c>
      <c r="J373" s="7" t="str">
        <f aca="false">IF(I373&lt;-1090,"TOO LOW",IF(I373&gt;1090,"TOO HIGH",""))</f>
        <v/>
      </c>
      <c r="K373" s="15" t="n">
        <f aca="false">IF(J373&lt;&gt;"",0,IF(I373&gt;979,1000,I373))</f>
        <v>222</v>
      </c>
      <c r="L373" s="7" t="n">
        <f aca="false">K373/10</f>
        <v>22.2</v>
      </c>
    </row>
    <row r="374" customFormat="false" ht="15" hidden="false" customHeight="false" outlineLevel="0" collapsed="false">
      <c r="A374" s="7" t="n">
        <v>369</v>
      </c>
      <c r="B374" s="7" t="n">
        <f aca="false">A374/10</f>
        <v>36.9</v>
      </c>
      <c r="C374" s="7" t="n">
        <f aca="false">IF(AND(A374=0,c_TCREEP&gt;0),10*c_TCREEP,IF(AND(A374&lt;=c_TRNGMIN,A374&gt;=c_TRNGMAX,c_TRNGMIN-c_TRNGMAX&lt;&gt;0),-10*c_TMINRN+QUOTIENT((c_TMAXRN-c_TMINRN)*(100-QUOTIENT((A374-c_TRNGMAX)*100,c_TRNGMIN-c_TRNGMAX)),-10),0))</f>
        <v>0</v>
      </c>
      <c r="D374" s="7" t="n">
        <f aca="false">IF(((c_TMAP1IN)-(c_TFWD))=0,(0)+QUOTIENT(((c_TMAP1OUT)-(0)),2),QUOTIENT((((A374)-(c_TFWD))*((c_TMAP1OUT)-(0))+IF(((c_TMAP1OUT)-(0))&gt;=0,1,-1)*QUOTIENT(((c_TMAP1IN)-(c_TFWD)),2)),((c_TMAP1IN)-(c_TFWD)))+(0)+IF(((c_TMAP1OUT)-(0))&gt;=0,IF(IF(o_WRAP=1,MOD(((c_TMAP1IN)-(c_TFWD))*(((A374)-(c_TFWD))*((c_TMAP1OUT)-(0))+IF(((c_TMAP1OUT)-(0))&gt;=0,1,-1)*QUOTIENT(((c_TMAP1IN)-(c_TFWD)),2))+2147483648,4294967296)-2147483648,((c_TMAP1IN)-(c_TFWD))*(((A374)-(c_TFWD))*((c_TMAP1OUT)-(0))+IF(((c_TMAP1OUT)-(0))&gt;=0,1,-1)*QUOTIENT(((c_TMAP1IN)-(c_TFWD)),2)))&lt;0,-1,0),IF(IF(o_WRAP=1,MOD(((c_TMAP1IN)-(c_TFWD))*(((A374)-(c_TFWD))*((c_TMAP1OUT)-(0))+IF(((c_TMAP1OUT)-(0))&gt;=0,1,-1)*QUOTIENT(((c_TMAP1IN)-(c_TFWD)),2))+2147483648,4294967296)-2147483648,((c_TMAP1IN)-(c_TFWD))*(((A374)-(c_TFWD))*((c_TMAP1OUT)-(0))+IF(((c_TMAP1OUT)-(0))&gt;=0,1,-1)*QUOTIENT(((c_TMAP1IN)-(c_TFWD)),2)))&gt;=0,1,0)))</f>
        <v>279</v>
      </c>
      <c r="E374" s="7" t="n">
        <f aca="false">IF(((c_TMAP2IN)-(c_TMAP1IN))=0,(c_TMAP1OUT)+QUOTIENT(((c_TMAP2OUT)-(c_TMAP1OUT)),2),QUOTIENT((((A374)-(c_TMAP1IN))*((c_TMAP2OUT)-(c_TMAP1OUT))+IF(((c_TMAP2OUT)-(c_TMAP1OUT))&gt;=0,1,-1)*QUOTIENT(((c_TMAP2IN)-(c_TMAP1IN)),2)),((c_TMAP2IN)-(c_TMAP1IN)))+(c_TMAP1OUT)+IF(((c_TMAP2OUT)-(c_TMAP1OUT))&gt;=0,IF(IF(o_WRAP=1,MOD(((c_TMAP2IN)-(c_TMAP1IN))*(((A374)-(c_TMAP1IN))*((c_TMAP2OUT)-(c_TMAP1OUT))+IF(((c_TMAP2OUT)-(c_TMAP1OUT))&gt;=0,1,-1)*QUOTIENT(((c_TMAP2IN)-(c_TMAP1IN)),2))+2147483648,4294967296)-2147483648,((c_TMAP2IN)-(c_TMAP1IN))*(((A374)-(c_TMAP1IN))*((c_TMAP2OUT)-(c_TMAP1OUT))+IF(((c_TMAP2OUT)-(c_TMAP1OUT))&gt;=0,1,-1)*QUOTIENT(((c_TMAP2IN)-(c_TMAP1IN)),2)))&lt;0,-1,0),IF(IF(o_WRAP=1,MOD(((c_TMAP2IN)-(c_TMAP1IN))*(((A374)-(c_TMAP1IN))*((c_TMAP2OUT)-(c_TMAP1OUT))+IF(((c_TMAP2OUT)-(c_TMAP1OUT))&gt;=0,1,-1)*QUOTIENT(((c_TMAP2IN)-(c_TMAP1IN)),2))+2147483648,4294967296)-2147483648,((c_TMAP2IN)-(c_TMAP1IN))*(((A374)-(c_TMAP1IN))*((c_TMAP2OUT)-(c_TMAP1OUT))+IF(((c_TMAP2OUT)-(c_TMAP1OUT))&gt;=0,1,-1)*QUOTIENT(((c_TMAP2IN)-(c_TMAP1IN)),2)))&gt;=0,1,0)))</f>
        <v>178</v>
      </c>
      <c r="F374" s="7" t="n">
        <f aca="false">IF(((c_TMAP3IN)-(c_TMAP2IN))=0,(c_TMAP2OUT)+QUOTIENT(((c_TMAP3OUT)-(c_TMAP2OUT)),2),QUOTIENT((((A374)-(c_TMAP2IN))*((c_TMAP3OUT)-(c_TMAP2OUT))+IF(((c_TMAP3OUT)-(c_TMAP2OUT))&gt;=0,1,-1)*QUOTIENT(((c_TMAP3IN)-(c_TMAP2IN)),2)),((c_TMAP3IN)-(c_TMAP2IN)))+(c_TMAP2OUT)+IF(((c_TMAP3OUT)-(c_TMAP2OUT))&gt;=0,IF(IF(o_WRAP=1,MOD(((c_TMAP3IN)-(c_TMAP2IN))*(((A374)-(c_TMAP2IN))*((c_TMAP3OUT)-(c_TMAP2OUT))+IF(((c_TMAP3OUT)-(c_TMAP2OUT))&gt;=0,1,-1)*QUOTIENT(((c_TMAP3IN)-(c_TMAP2IN)),2))+2147483648,4294967296)-2147483648,((c_TMAP3IN)-(c_TMAP2IN))*(((A374)-(c_TMAP2IN))*((c_TMAP3OUT)-(c_TMAP2OUT))+IF(((c_TMAP3OUT)-(c_TMAP2OUT))&gt;=0,1,-1)*QUOTIENT(((c_TMAP3IN)-(c_TMAP2IN)),2)))&lt;0,-1,0),IF(IF(o_WRAP=1,MOD(((c_TMAP3IN)-(c_TMAP2IN))*(((A374)-(c_TMAP2IN))*((c_TMAP3OUT)-(c_TMAP2OUT))+IF(((c_TMAP3OUT)-(c_TMAP2OUT))&gt;=0,1,-1)*QUOTIENT(((c_TMAP3IN)-(c_TMAP2IN)),2))+2147483648,4294967296)-2147483648,((c_TMAP3IN)-(c_TMAP2IN))*(((A374)-(c_TMAP2IN))*((c_TMAP3OUT)-(c_TMAP2OUT))+IF(((c_TMAP3OUT)-(c_TMAP2OUT))&gt;=0,1,-1)*QUOTIENT(((c_TMAP3IN)-(c_TMAP2IN)),2)))&gt;=0,1,0)))</f>
        <v>213</v>
      </c>
      <c r="G374" s="7" t="n">
        <f aca="false">IF(((1000)-(c_TMAP3IN))=0,(c_TMAP3OUT)+QUOTIENT(((1000)-(c_TMAP3OUT)),2),QUOTIENT((((A374)-(c_TMAP3IN))*((1000)-(c_TMAP3OUT))+IF(((1000)-(c_TMAP3OUT))&gt;=0,1,-1)*QUOTIENT(((1000)-(c_TMAP3IN)),2)),((1000)-(c_TMAP3IN)))+(c_TMAP3OUT)+IF(((1000)-(c_TMAP3OUT))&gt;=0,IF(IF(o_WRAP=1,MOD(((1000)-(c_TMAP3IN))*(((A374)-(c_TMAP3IN))*((1000)-(c_TMAP3OUT))+IF(((1000)-(c_TMAP3OUT))&gt;=0,1,-1)*QUOTIENT(((1000)-(c_TMAP3IN)),2))+2147483648,4294967296)-2147483648,((1000)-(c_TMAP3IN))*(((A374)-(c_TMAP3IN))*((1000)-(c_TMAP3OUT))+IF(((1000)-(c_TMAP3OUT))&gt;=0,1,-1)*QUOTIENT(((1000)-(c_TMAP3IN)),2)))&lt;0,-1,0),IF(IF(o_WRAP=1,MOD(((1000)-(c_TMAP3IN))*(((A374)-(c_TMAP3IN))*((1000)-(c_TMAP3OUT))+IF(((1000)-(c_TMAP3OUT))&gt;=0,1,-1)*QUOTIENT(((1000)-(c_TMAP3IN)),2))+2147483648,4294967296)-2147483648,((1000)-(c_TMAP3IN))*(((A374)-(c_TMAP3IN))*((1000)-(c_TMAP3OUT))+IF(((1000)-(c_TMAP3OUT))&gt;=0,1,-1)*QUOTIENT(((1000)-(c_TMAP3IN)),2)))&gt;=0,1,0)))</f>
        <v>223</v>
      </c>
      <c r="H374" s="7" t="str">
        <f aca="false">IF(A374&gt;=c_TFWD,IF(AND(A374&gt;=c_TMAP3IN,c_TMAP3IN&lt;1000),"Seg4 map3-100%",IF(AND(A374&gt;=c_TMAP2IN,c_TMAP3IN&gt;c_TMAP2IN),"Seg3 map2-map3",IF(AND(A374&gt;=c_TMAP1IN,c_TMAP2IN&gt;c_TMAP1IN),"Seg2 map1-map2","Seg1 TFWD-map1"))),IF(AND(A374=0,c_TCREEP&gt;0),"Creep",IF(AND(A374&lt;=c_TRNGMIN,A374&gt;=c_TRNGMAX,c_TRNGMIN-c_TRNGMAX&lt;&gt;0),"Regen ramp","Coast (0)")))</f>
        <v>Seg4 map3-100%</v>
      </c>
      <c r="I374" s="7" t="n">
        <f aca="false">IF(A374&gt;=c_TFWD,IF(AND(A374&gt;=c_TMAP3IN,c_TMAP3IN&lt;1000),G374,IF(AND(A374&gt;=c_TMAP2IN,c_TMAP3IN&gt;c_TMAP2IN),F374,IF(AND(A374&gt;=c_TMAP1IN,c_TMAP2IN&gt;c_TMAP1IN),E374,D374))),C374)</f>
        <v>223</v>
      </c>
      <c r="J374" s="7" t="str">
        <f aca="false">IF(I374&lt;-1090,"TOO LOW",IF(I374&gt;1090,"TOO HIGH",""))</f>
        <v/>
      </c>
      <c r="K374" s="15" t="n">
        <f aca="false">IF(J374&lt;&gt;"",0,IF(I374&gt;979,1000,I374))</f>
        <v>223</v>
      </c>
      <c r="L374" s="7" t="n">
        <f aca="false">K374/10</f>
        <v>22.3</v>
      </c>
    </row>
    <row r="375" customFormat="false" ht="15" hidden="false" customHeight="false" outlineLevel="0" collapsed="false">
      <c r="A375" s="7" t="n">
        <v>370</v>
      </c>
      <c r="B375" s="7" t="n">
        <f aca="false">A375/10</f>
        <v>37</v>
      </c>
      <c r="C375" s="7" t="n">
        <f aca="false">IF(AND(A375=0,c_TCREEP&gt;0),10*c_TCREEP,IF(AND(A375&lt;=c_TRNGMIN,A375&gt;=c_TRNGMAX,c_TRNGMIN-c_TRNGMAX&lt;&gt;0),-10*c_TMINRN+QUOTIENT((c_TMAXRN-c_TMINRN)*(100-QUOTIENT((A375-c_TRNGMAX)*100,c_TRNGMIN-c_TRNGMAX)),-10),0))</f>
        <v>0</v>
      </c>
      <c r="D375" s="7" t="n">
        <f aca="false">IF(((c_TMAP1IN)-(c_TFWD))=0,(0)+QUOTIENT(((c_TMAP1OUT)-(0)),2),QUOTIENT((((A375)-(c_TFWD))*((c_TMAP1OUT)-(0))+IF(((c_TMAP1OUT)-(0))&gt;=0,1,-1)*QUOTIENT(((c_TMAP1IN)-(c_TFWD)),2)),((c_TMAP1IN)-(c_TFWD)))+(0)+IF(((c_TMAP1OUT)-(0))&gt;=0,IF(IF(o_WRAP=1,MOD(((c_TMAP1IN)-(c_TFWD))*(((A375)-(c_TFWD))*((c_TMAP1OUT)-(0))+IF(((c_TMAP1OUT)-(0))&gt;=0,1,-1)*QUOTIENT(((c_TMAP1IN)-(c_TFWD)),2))+2147483648,4294967296)-2147483648,((c_TMAP1IN)-(c_TFWD))*(((A375)-(c_TFWD))*((c_TMAP1OUT)-(0))+IF(((c_TMAP1OUT)-(0))&gt;=0,1,-1)*QUOTIENT(((c_TMAP1IN)-(c_TFWD)),2)))&lt;0,-1,0),IF(IF(o_WRAP=1,MOD(((c_TMAP1IN)-(c_TFWD))*(((A375)-(c_TFWD))*((c_TMAP1OUT)-(0))+IF(((c_TMAP1OUT)-(0))&gt;=0,1,-1)*QUOTIENT(((c_TMAP1IN)-(c_TFWD)),2))+2147483648,4294967296)-2147483648,((c_TMAP1IN)-(c_TFWD))*(((A375)-(c_TFWD))*((c_TMAP1OUT)-(0))+IF(((c_TMAP1OUT)-(0))&gt;=0,1,-1)*QUOTIENT(((c_TMAP1IN)-(c_TFWD)),2)))&gt;=0,1,0)))</f>
        <v>280</v>
      </c>
      <c r="E375" s="7" t="n">
        <f aca="false">IF(((c_TMAP2IN)-(c_TMAP1IN))=0,(c_TMAP1OUT)+QUOTIENT(((c_TMAP2OUT)-(c_TMAP1OUT)),2),QUOTIENT((((A375)-(c_TMAP1IN))*((c_TMAP2OUT)-(c_TMAP1OUT))+IF(((c_TMAP2OUT)-(c_TMAP1OUT))&gt;=0,1,-1)*QUOTIENT(((c_TMAP2IN)-(c_TMAP1IN)),2)),((c_TMAP2IN)-(c_TMAP1IN)))+(c_TMAP1OUT)+IF(((c_TMAP2OUT)-(c_TMAP1OUT))&gt;=0,IF(IF(o_WRAP=1,MOD(((c_TMAP2IN)-(c_TMAP1IN))*(((A375)-(c_TMAP1IN))*((c_TMAP2OUT)-(c_TMAP1OUT))+IF(((c_TMAP2OUT)-(c_TMAP1OUT))&gt;=0,1,-1)*QUOTIENT(((c_TMAP2IN)-(c_TMAP1IN)),2))+2147483648,4294967296)-2147483648,((c_TMAP2IN)-(c_TMAP1IN))*(((A375)-(c_TMAP1IN))*((c_TMAP2OUT)-(c_TMAP1OUT))+IF(((c_TMAP2OUT)-(c_TMAP1OUT))&gt;=0,1,-1)*QUOTIENT(((c_TMAP2IN)-(c_TMAP1IN)),2)))&lt;0,-1,0),IF(IF(o_WRAP=1,MOD(((c_TMAP2IN)-(c_TMAP1IN))*(((A375)-(c_TMAP1IN))*((c_TMAP2OUT)-(c_TMAP1OUT))+IF(((c_TMAP2OUT)-(c_TMAP1OUT))&gt;=0,1,-1)*QUOTIENT(((c_TMAP2IN)-(c_TMAP1IN)),2))+2147483648,4294967296)-2147483648,((c_TMAP2IN)-(c_TMAP1IN))*(((A375)-(c_TMAP1IN))*((c_TMAP2OUT)-(c_TMAP1OUT))+IF(((c_TMAP2OUT)-(c_TMAP1OUT))&gt;=0,1,-1)*QUOTIENT(((c_TMAP2IN)-(c_TMAP1IN)),2)))&gt;=0,1,0)))</f>
        <v>178</v>
      </c>
      <c r="F375" s="7" t="n">
        <f aca="false">IF(((c_TMAP3IN)-(c_TMAP2IN))=0,(c_TMAP2OUT)+QUOTIENT(((c_TMAP3OUT)-(c_TMAP2OUT)),2),QUOTIENT((((A375)-(c_TMAP2IN))*((c_TMAP3OUT)-(c_TMAP2OUT))+IF(((c_TMAP3OUT)-(c_TMAP2OUT))&gt;=0,1,-1)*QUOTIENT(((c_TMAP3IN)-(c_TMAP2IN)),2)),((c_TMAP3IN)-(c_TMAP2IN)))+(c_TMAP2OUT)+IF(((c_TMAP3OUT)-(c_TMAP2OUT))&gt;=0,IF(IF(o_WRAP=1,MOD(((c_TMAP3IN)-(c_TMAP2IN))*(((A375)-(c_TMAP2IN))*((c_TMAP3OUT)-(c_TMAP2OUT))+IF(((c_TMAP3OUT)-(c_TMAP2OUT))&gt;=0,1,-1)*QUOTIENT(((c_TMAP3IN)-(c_TMAP2IN)),2))+2147483648,4294967296)-2147483648,((c_TMAP3IN)-(c_TMAP2IN))*(((A375)-(c_TMAP2IN))*((c_TMAP3OUT)-(c_TMAP2OUT))+IF(((c_TMAP3OUT)-(c_TMAP2OUT))&gt;=0,1,-1)*QUOTIENT(((c_TMAP3IN)-(c_TMAP2IN)),2)))&lt;0,-1,0),IF(IF(o_WRAP=1,MOD(((c_TMAP3IN)-(c_TMAP2IN))*(((A375)-(c_TMAP2IN))*((c_TMAP3OUT)-(c_TMAP2OUT))+IF(((c_TMAP3OUT)-(c_TMAP2OUT))&gt;=0,1,-1)*QUOTIENT(((c_TMAP3IN)-(c_TMAP2IN)),2))+2147483648,4294967296)-2147483648,((c_TMAP3IN)-(c_TMAP2IN))*(((A375)-(c_TMAP2IN))*((c_TMAP3OUT)-(c_TMAP2OUT))+IF(((c_TMAP3OUT)-(c_TMAP2OUT))&gt;=0,1,-1)*QUOTIENT(((c_TMAP3IN)-(c_TMAP2IN)),2)))&gt;=0,1,0)))</f>
        <v>214</v>
      </c>
      <c r="G375" s="7" t="n">
        <f aca="false">IF(((1000)-(c_TMAP3IN))=0,(c_TMAP3OUT)+QUOTIENT(((1000)-(c_TMAP3OUT)),2),QUOTIENT((((A375)-(c_TMAP3IN))*((1000)-(c_TMAP3OUT))+IF(((1000)-(c_TMAP3OUT))&gt;=0,1,-1)*QUOTIENT(((1000)-(c_TMAP3IN)),2)),((1000)-(c_TMAP3IN)))+(c_TMAP3OUT)+IF(((1000)-(c_TMAP3OUT))&gt;=0,IF(IF(o_WRAP=1,MOD(((1000)-(c_TMAP3IN))*(((A375)-(c_TMAP3IN))*((1000)-(c_TMAP3OUT))+IF(((1000)-(c_TMAP3OUT))&gt;=0,1,-1)*QUOTIENT(((1000)-(c_TMAP3IN)),2))+2147483648,4294967296)-2147483648,((1000)-(c_TMAP3IN))*(((A375)-(c_TMAP3IN))*((1000)-(c_TMAP3OUT))+IF(((1000)-(c_TMAP3OUT))&gt;=0,1,-1)*QUOTIENT(((1000)-(c_TMAP3IN)),2)))&lt;0,-1,0),IF(IF(o_WRAP=1,MOD(((1000)-(c_TMAP3IN))*(((A375)-(c_TMAP3IN))*((1000)-(c_TMAP3OUT))+IF(((1000)-(c_TMAP3OUT))&gt;=0,1,-1)*QUOTIENT(((1000)-(c_TMAP3IN)),2))+2147483648,4294967296)-2147483648,((1000)-(c_TMAP3IN))*(((A375)-(c_TMAP3IN))*((1000)-(c_TMAP3OUT))+IF(((1000)-(c_TMAP3OUT))&gt;=0,1,-1)*QUOTIENT(((1000)-(c_TMAP3IN)),2)))&gt;=0,1,0)))</f>
        <v>225</v>
      </c>
      <c r="H375" s="7" t="str">
        <f aca="false">IF(A375&gt;=c_TFWD,IF(AND(A375&gt;=c_TMAP3IN,c_TMAP3IN&lt;1000),"Seg4 map3-100%",IF(AND(A375&gt;=c_TMAP2IN,c_TMAP3IN&gt;c_TMAP2IN),"Seg3 map2-map3",IF(AND(A375&gt;=c_TMAP1IN,c_TMAP2IN&gt;c_TMAP1IN),"Seg2 map1-map2","Seg1 TFWD-map1"))),IF(AND(A375=0,c_TCREEP&gt;0),"Creep",IF(AND(A375&lt;=c_TRNGMIN,A375&gt;=c_TRNGMAX,c_TRNGMIN-c_TRNGMAX&lt;&gt;0),"Regen ramp","Coast (0)")))</f>
        <v>Seg4 map3-100%</v>
      </c>
      <c r="I375" s="7" t="n">
        <f aca="false">IF(A375&gt;=c_TFWD,IF(AND(A375&gt;=c_TMAP3IN,c_TMAP3IN&lt;1000),G375,IF(AND(A375&gt;=c_TMAP2IN,c_TMAP3IN&gt;c_TMAP2IN),F375,IF(AND(A375&gt;=c_TMAP1IN,c_TMAP2IN&gt;c_TMAP1IN),E375,D375))),C375)</f>
        <v>225</v>
      </c>
      <c r="J375" s="7" t="str">
        <f aca="false">IF(I375&lt;-1090,"TOO LOW",IF(I375&gt;1090,"TOO HIGH",""))</f>
        <v/>
      </c>
      <c r="K375" s="15" t="n">
        <f aca="false">IF(J375&lt;&gt;"",0,IF(I375&gt;979,1000,I375))</f>
        <v>225</v>
      </c>
      <c r="L375" s="7" t="n">
        <f aca="false">K375/10</f>
        <v>22.5</v>
      </c>
    </row>
    <row r="376" customFormat="false" ht="15" hidden="false" customHeight="false" outlineLevel="0" collapsed="false">
      <c r="A376" s="7" t="n">
        <v>371</v>
      </c>
      <c r="B376" s="7" t="n">
        <f aca="false">A376/10</f>
        <v>37.1</v>
      </c>
      <c r="C376" s="7" t="n">
        <f aca="false">IF(AND(A376=0,c_TCREEP&gt;0),10*c_TCREEP,IF(AND(A376&lt;=c_TRNGMIN,A376&gt;=c_TRNGMAX,c_TRNGMIN-c_TRNGMAX&lt;&gt;0),-10*c_TMINRN+QUOTIENT((c_TMAXRN-c_TMINRN)*(100-QUOTIENT((A376-c_TRNGMAX)*100,c_TRNGMIN-c_TRNGMAX)),-10),0))</f>
        <v>0</v>
      </c>
      <c r="D376" s="7" t="n">
        <f aca="false">IF(((c_TMAP1IN)-(c_TFWD))=0,(0)+QUOTIENT(((c_TMAP1OUT)-(0)),2),QUOTIENT((((A376)-(c_TFWD))*((c_TMAP1OUT)-(0))+IF(((c_TMAP1OUT)-(0))&gt;=0,1,-1)*QUOTIENT(((c_TMAP1IN)-(c_TFWD)),2)),((c_TMAP1IN)-(c_TFWD)))+(0)+IF(((c_TMAP1OUT)-(0))&gt;=0,IF(IF(o_WRAP=1,MOD(((c_TMAP1IN)-(c_TFWD))*(((A376)-(c_TFWD))*((c_TMAP1OUT)-(0))+IF(((c_TMAP1OUT)-(0))&gt;=0,1,-1)*QUOTIENT(((c_TMAP1IN)-(c_TFWD)),2))+2147483648,4294967296)-2147483648,((c_TMAP1IN)-(c_TFWD))*(((A376)-(c_TFWD))*((c_TMAP1OUT)-(0))+IF(((c_TMAP1OUT)-(0))&gt;=0,1,-1)*QUOTIENT(((c_TMAP1IN)-(c_TFWD)),2)))&lt;0,-1,0),IF(IF(o_WRAP=1,MOD(((c_TMAP1IN)-(c_TFWD))*(((A376)-(c_TFWD))*((c_TMAP1OUT)-(0))+IF(((c_TMAP1OUT)-(0))&gt;=0,1,-1)*QUOTIENT(((c_TMAP1IN)-(c_TFWD)),2))+2147483648,4294967296)-2147483648,((c_TMAP1IN)-(c_TFWD))*(((A376)-(c_TFWD))*((c_TMAP1OUT)-(0))+IF(((c_TMAP1OUT)-(0))&gt;=0,1,-1)*QUOTIENT(((c_TMAP1IN)-(c_TFWD)),2)))&gt;=0,1,0)))</f>
        <v>281</v>
      </c>
      <c r="E376" s="7" t="n">
        <f aca="false">IF(((c_TMAP2IN)-(c_TMAP1IN))=0,(c_TMAP1OUT)+QUOTIENT(((c_TMAP2OUT)-(c_TMAP1OUT)),2),QUOTIENT((((A376)-(c_TMAP1IN))*((c_TMAP2OUT)-(c_TMAP1OUT))+IF(((c_TMAP2OUT)-(c_TMAP1OUT))&gt;=0,1,-1)*QUOTIENT(((c_TMAP2IN)-(c_TMAP1IN)),2)),((c_TMAP2IN)-(c_TMAP1IN)))+(c_TMAP1OUT)+IF(((c_TMAP2OUT)-(c_TMAP1OUT))&gt;=0,IF(IF(o_WRAP=1,MOD(((c_TMAP2IN)-(c_TMAP1IN))*(((A376)-(c_TMAP1IN))*((c_TMAP2OUT)-(c_TMAP1OUT))+IF(((c_TMAP2OUT)-(c_TMAP1OUT))&gt;=0,1,-1)*QUOTIENT(((c_TMAP2IN)-(c_TMAP1IN)),2))+2147483648,4294967296)-2147483648,((c_TMAP2IN)-(c_TMAP1IN))*(((A376)-(c_TMAP1IN))*((c_TMAP2OUT)-(c_TMAP1OUT))+IF(((c_TMAP2OUT)-(c_TMAP1OUT))&gt;=0,1,-1)*QUOTIENT(((c_TMAP2IN)-(c_TMAP1IN)),2)))&lt;0,-1,0),IF(IF(o_WRAP=1,MOD(((c_TMAP2IN)-(c_TMAP1IN))*(((A376)-(c_TMAP1IN))*((c_TMAP2OUT)-(c_TMAP1OUT))+IF(((c_TMAP2OUT)-(c_TMAP1OUT))&gt;=0,1,-1)*QUOTIENT(((c_TMAP2IN)-(c_TMAP1IN)),2))+2147483648,4294967296)-2147483648,((c_TMAP2IN)-(c_TMAP1IN))*(((A376)-(c_TMAP1IN))*((c_TMAP2OUT)-(c_TMAP1OUT))+IF(((c_TMAP2OUT)-(c_TMAP1OUT))&gt;=0,1,-1)*QUOTIENT(((c_TMAP2IN)-(c_TMAP1IN)),2)))&gt;=0,1,0)))</f>
        <v>178</v>
      </c>
      <c r="F376" s="7" t="n">
        <f aca="false">IF(((c_TMAP3IN)-(c_TMAP2IN))=0,(c_TMAP2OUT)+QUOTIENT(((c_TMAP3OUT)-(c_TMAP2OUT)),2),QUOTIENT((((A376)-(c_TMAP2IN))*((c_TMAP3OUT)-(c_TMAP2OUT))+IF(((c_TMAP3OUT)-(c_TMAP2OUT))&gt;=0,1,-1)*QUOTIENT(((c_TMAP3IN)-(c_TMAP2IN)),2)),((c_TMAP3IN)-(c_TMAP2IN)))+(c_TMAP2OUT)+IF(((c_TMAP3OUT)-(c_TMAP2OUT))&gt;=0,IF(IF(o_WRAP=1,MOD(((c_TMAP3IN)-(c_TMAP2IN))*(((A376)-(c_TMAP2IN))*((c_TMAP3OUT)-(c_TMAP2OUT))+IF(((c_TMAP3OUT)-(c_TMAP2OUT))&gt;=0,1,-1)*QUOTIENT(((c_TMAP3IN)-(c_TMAP2IN)),2))+2147483648,4294967296)-2147483648,((c_TMAP3IN)-(c_TMAP2IN))*(((A376)-(c_TMAP2IN))*((c_TMAP3OUT)-(c_TMAP2OUT))+IF(((c_TMAP3OUT)-(c_TMAP2OUT))&gt;=0,1,-1)*QUOTIENT(((c_TMAP3IN)-(c_TMAP2IN)),2)))&lt;0,-1,0),IF(IF(o_WRAP=1,MOD(((c_TMAP3IN)-(c_TMAP2IN))*(((A376)-(c_TMAP2IN))*((c_TMAP3OUT)-(c_TMAP2OUT))+IF(((c_TMAP3OUT)-(c_TMAP2OUT))&gt;=0,1,-1)*QUOTIENT(((c_TMAP3IN)-(c_TMAP2IN)),2))+2147483648,4294967296)-2147483648,((c_TMAP3IN)-(c_TMAP2IN))*(((A376)-(c_TMAP2IN))*((c_TMAP3OUT)-(c_TMAP2OUT))+IF(((c_TMAP3OUT)-(c_TMAP2OUT))&gt;=0,1,-1)*QUOTIENT(((c_TMAP3IN)-(c_TMAP2IN)),2)))&gt;=0,1,0)))</f>
        <v>215</v>
      </c>
      <c r="G376" s="7" t="n">
        <f aca="false">IF(((1000)-(c_TMAP3IN))=0,(c_TMAP3OUT)+QUOTIENT(((1000)-(c_TMAP3OUT)),2),QUOTIENT((((A376)-(c_TMAP3IN))*((1000)-(c_TMAP3OUT))+IF(((1000)-(c_TMAP3OUT))&gt;=0,1,-1)*QUOTIENT(((1000)-(c_TMAP3IN)),2)),((1000)-(c_TMAP3IN)))+(c_TMAP3OUT)+IF(((1000)-(c_TMAP3OUT))&gt;=0,IF(IF(o_WRAP=1,MOD(((1000)-(c_TMAP3IN))*(((A376)-(c_TMAP3IN))*((1000)-(c_TMAP3OUT))+IF(((1000)-(c_TMAP3OUT))&gt;=0,1,-1)*QUOTIENT(((1000)-(c_TMAP3IN)),2))+2147483648,4294967296)-2147483648,((1000)-(c_TMAP3IN))*(((A376)-(c_TMAP3IN))*((1000)-(c_TMAP3OUT))+IF(((1000)-(c_TMAP3OUT))&gt;=0,1,-1)*QUOTIENT(((1000)-(c_TMAP3IN)),2)))&lt;0,-1,0),IF(IF(o_WRAP=1,MOD(((1000)-(c_TMAP3IN))*(((A376)-(c_TMAP3IN))*((1000)-(c_TMAP3OUT))+IF(((1000)-(c_TMAP3OUT))&gt;=0,1,-1)*QUOTIENT(((1000)-(c_TMAP3IN)),2))+2147483648,4294967296)-2147483648,((1000)-(c_TMAP3IN))*(((A376)-(c_TMAP3IN))*((1000)-(c_TMAP3OUT))+IF(((1000)-(c_TMAP3OUT))&gt;=0,1,-1)*QUOTIENT(((1000)-(c_TMAP3IN)),2)))&gt;=0,1,0)))</f>
        <v>226</v>
      </c>
      <c r="H376" s="7" t="str">
        <f aca="false">IF(A376&gt;=c_TFWD,IF(AND(A376&gt;=c_TMAP3IN,c_TMAP3IN&lt;1000),"Seg4 map3-100%",IF(AND(A376&gt;=c_TMAP2IN,c_TMAP3IN&gt;c_TMAP2IN),"Seg3 map2-map3",IF(AND(A376&gt;=c_TMAP1IN,c_TMAP2IN&gt;c_TMAP1IN),"Seg2 map1-map2","Seg1 TFWD-map1"))),IF(AND(A376=0,c_TCREEP&gt;0),"Creep",IF(AND(A376&lt;=c_TRNGMIN,A376&gt;=c_TRNGMAX,c_TRNGMIN-c_TRNGMAX&lt;&gt;0),"Regen ramp","Coast (0)")))</f>
        <v>Seg4 map3-100%</v>
      </c>
      <c r="I376" s="7" t="n">
        <f aca="false">IF(A376&gt;=c_TFWD,IF(AND(A376&gt;=c_TMAP3IN,c_TMAP3IN&lt;1000),G376,IF(AND(A376&gt;=c_TMAP2IN,c_TMAP3IN&gt;c_TMAP2IN),F376,IF(AND(A376&gt;=c_TMAP1IN,c_TMAP2IN&gt;c_TMAP1IN),E376,D376))),C376)</f>
        <v>226</v>
      </c>
      <c r="J376" s="7" t="str">
        <f aca="false">IF(I376&lt;-1090,"TOO LOW",IF(I376&gt;1090,"TOO HIGH",""))</f>
        <v/>
      </c>
      <c r="K376" s="15" t="n">
        <f aca="false">IF(J376&lt;&gt;"",0,IF(I376&gt;979,1000,I376))</f>
        <v>226</v>
      </c>
      <c r="L376" s="7" t="n">
        <f aca="false">K376/10</f>
        <v>22.6</v>
      </c>
    </row>
    <row r="377" customFormat="false" ht="15" hidden="false" customHeight="false" outlineLevel="0" collapsed="false">
      <c r="A377" s="7" t="n">
        <v>372</v>
      </c>
      <c r="B377" s="7" t="n">
        <f aca="false">A377/10</f>
        <v>37.2</v>
      </c>
      <c r="C377" s="7" t="n">
        <f aca="false">IF(AND(A377=0,c_TCREEP&gt;0),10*c_TCREEP,IF(AND(A377&lt;=c_TRNGMIN,A377&gt;=c_TRNGMAX,c_TRNGMIN-c_TRNGMAX&lt;&gt;0),-10*c_TMINRN+QUOTIENT((c_TMAXRN-c_TMINRN)*(100-QUOTIENT((A377-c_TRNGMAX)*100,c_TRNGMIN-c_TRNGMAX)),-10),0))</f>
        <v>0</v>
      </c>
      <c r="D377" s="7" t="n">
        <f aca="false">IF(((c_TMAP1IN)-(c_TFWD))=0,(0)+QUOTIENT(((c_TMAP1OUT)-(0)),2),QUOTIENT((((A377)-(c_TFWD))*((c_TMAP1OUT)-(0))+IF(((c_TMAP1OUT)-(0))&gt;=0,1,-1)*QUOTIENT(((c_TMAP1IN)-(c_TFWD)),2)),((c_TMAP1IN)-(c_TFWD)))+(0)+IF(((c_TMAP1OUT)-(0))&gt;=0,IF(IF(o_WRAP=1,MOD(((c_TMAP1IN)-(c_TFWD))*(((A377)-(c_TFWD))*((c_TMAP1OUT)-(0))+IF(((c_TMAP1OUT)-(0))&gt;=0,1,-1)*QUOTIENT(((c_TMAP1IN)-(c_TFWD)),2))+2147483648,4294967296)-2147483648,((c_TMAP1IN)-(c_TFWD))*(((A377)-(c_TFWD))*((c_TMAP1OUT)-(0))+IF(((c_TMAP1OUT)-(0))&gt;=0,1,-1)*QUOTIENT(((c_TMAP1IN)-(c_TFWD)),2)))&lt;0,-1,0),IF(IF(o_WRAP=1,MOD(((c_TMAP1IN)-(c_TFWD))*(((A377)-(c_TFWD))*((c_TMAP1OUT)-(0))+IF(((c_TMAP1OUT)-(0))&gt;=0,1,-1)*QUOTIENT(((c_TMAP1IN)-(c_TFWD)),2))+2147483648,4294967296)-2147483648,((c_TMAP1IN)-(c_TFWD))*(((A377)-(c_TFWD))*((c_TMAP1OUT)-(0))+IF(((c_TMAP1OUT)-(0))&gt;=0,1,-1)*QUOTIENT(((c_TMAP1IN)-(c_TFWD)),2)))&gt;=0,1,0)))</f>
        <v>282</v>
      </c>
      <c r="E377" s="7" t="n">
        <f aca="false">IF(((c_TMAP2IN)-(c_TMAP1IN))=0,(c_TMAP1OUT)+QUOTIENT(((c_TMAP2OUT)-(c_TMAP1OUT)),2),QUOTIENT((((A377)-(c_TMAP1IN))*((c_TMAP2OUT)-(c_TMAP1OUT))+IF(((c_TMAP2OUT)-(c_TMAP1OUT))&gt;=0,1,-1)*QUOTIENT(((c_TMAP2IN)-(c_TMAP1IN)),2)),((c_TMAP2IN)-(c_TMAP1IN)))+(c_TMAP1OUT)+IF(((c_TMAP2OUT)-(c_TMAP1OUT))&gt;=0,IF(IF(o_WRAP=1,MOD(((c_TMAP2IN)-(c_TMAP1IN))*(((A377)-(c_TMAP1IN))*((c_TMAP2OUT)-(c_TMAP1OUT))+IF(((c_TMAP2OUT)-(c_TMAP1OUT))&gt;=0,1,-1)*QUOTIENT(((c_TMAP2IN)-(c_TMAP1IN)),2))+2147483648,4294967296)-2147483648,((c_TMAP2IN)-(c_TMAP1IN))*(((A377)-(c_TMAP1IN))*((c_TMAP2OUT)-(c_TMAP1OUT))+IF(((c_TMAP2OUT)-(c_TMAP1OUT))&gt;=0,1,-1)*QUOTIENT(((c_TMAP2IN)-(c_TMAP1IN)),2)))&lt;0,-1,0),IF(IF(o_WRAP=1,MOD(((c_TMAP2IN)-(c_TMAP1IN))*(((A377)-(c_TMAP1IN))*((c_TMAP2OUT)-(c_TMAP1OUT))+IF(((c_TMAP2OUT)-(c_TMAP1OUT))&gt;=0,1,-1)*QUOTIENT(((c_TMAP2IN)-(c_TMAP1IN)),2))+2147483648,4294967296)-2147483648,((c_TMAP2IN)-(c_TMAP1IN))*(((A377)-(c_TMAP1IN))*((c_TMAP2OUT)-(c_TMAP1OUT))+IF(((c_TMAP2OUT)-(c_TMAP1OUT))&gt;=0,1,-1)*QUOTIENT(((c_TMAP2IN)-(c_TMAP1IN)),2)))&gt;=0,1,0)))</f>
        <v>179</v>
      </c>
      <c r="F377" s="7" t="n">
        <f aca="false">IF(((c_TMAP3IN)-(c_TMAP2IN))=0,(c_TMAP2OUT)+QUOTIENT(((c_TMAP3OUT)-(c_TMAP2OUT)),2),QUOTIENT((((A377)-(c_TMAP2IN))*((c_TMAP3OUT)-(c_TMAP2OUT))+IF(((c_TMAP3OUT)-(c_TMAP2OUT))&gt;=0,1,-1)*QUOTIENT(((c_TMAP3IN)-(c_TMAP2IN)),2)),((c_TMAP3IN)-(c_TMAP2IN)))+(c_TMAP2OUT)+IF(((c_TMAP3OUT)-(c_TMAP2OUT))&gt;=0,IF(IF(o_WRAP=1,MOD(((c_TMAP3IN)-(c_TMAP2IN))*(((A377)-(c_TMAP2IN))*((c_TMAP3OUT)-(c_TMAP2OUT))+IF(((c_TMAP3OUT)-(c_TMAP2OUT))&gt;=0,1,-1)*QUOTIENT(((c_TMAP3IN)-(c_TMAP2IN)),2))+2147483648,4294967296)-2147483648,((c_TMAP3IN)-(c_TMAP2IN))*(((A377)-(c_TMAP2IN))*((c_TMAP3OUT)-(c_TMAP2OUT))+IF(((c_TMAP3OUT)-(c_TMAP2OUT))&gt;=0,1,-1)*QUOTIENT(((c_TMAP3IN)-(c_TMAP2IN)),2)))&lt;0,-1,0),IF(IF(o_WRAP=1,MOD(((c_TMAP3IN)-(c_TMAP2IN))*(((A377)-(c_TMAP2IN))*((c_TMAP3OUT)-(c_TMAP2OUT))+IF(((c_TMAP3OUT)-(c_TMAP2OUT))&gt;=0,1,-1)*QUOTIENT(((c_TMAP3IN)-(c_TMAP2IN)),2))+2147483648,4294967296)-2147483648,((c_TMAP3IN)-(c_TMAP2IN))*(((A377)-(c_TMAP2IN))*((c_TMAP3OUT)-(c_TMAP2OUT))+IF(((c_TMAP3OUT)-(c_TMAP2OUT))&gt;=0,1,-1)*QUOTIENT(((c_TMAP3IN)-(c_TMAP2IN)),2)))&gt;=0,1,0)))</f>
        <v>215</v>
      </c>
      <c r="G377" s="7" t="n">
        <f aca="false">IF(((1000)-(c_TMAP3IN))=0,(c_TMAP3OUT)+QUOTIENT(((1000)-(c_TMAP3OUT)),2),QUOTIENT((((A377)-(c_TMAP3IN))*((1000)-(c_TMAP3OUT))+IF(((1000)-(c_TMAP3OUT))&gt;=0,1,-1)*QUOTIENT(((1000)-(c_TMAP3IN)),2)),((1000)-(c_TMAP3IN)))+(c_TMAP3OUT)+IF(((1000)-(c_TMAP3OUT))&gt;=0,IF(IF(o_WRAP=1,MOD(((1000)-(c_TMAP3IN))*(((A377)-(c_TMAP3IN))*((1000)-(c_TMAP3OUT))+IF(((1000)-(c_TMAP3OUT))&gt;=0,1,-1)*QUOTIENT(((1000)-(c_TMAP3IN)),2))+2147483648,4294967296)-2147483648,((1000)-(c_TMAP3IN))*(((A377)-(c_TMAP3IN))*((1000)-(c_TMAP3OUT))+IF(((1000)-(c_TMAP3OUT))&gt;=0,1,-1)*QUOTIENT(((1000)-(c_TMAP3IN)),2)))&lt;0,-1,0),IF(IF(o_WRAP=1,MOD(((1000)-(c_TMAP3IN))*(((A377)-(c_TMAP3IN))*((1000)-(c_TMAP3OUT))+IF(((1000)-(c_TMAP3OUT))&gt;=0,1,-1)*QUOTIENT(((1000)-(c_TMAP3IN)),2))+2147483648,4294967296)-2147483648,((1000)-(c_TMAP3IN))*(((A377)-(c_TMAP3IN))*((1000)-(c_TMAP3OUT))+IF(((1000)-(c_TMAP3OUT))&gt;=0,1,-1)*QUOTIENT(((1000)-(c_TMAP3IN)),2)))&gt;=0,1,0)))</f>
        <v>227</v>
      </c>
      <c r="H377" s="7" t="str">
        <f aca="false">IF(A377&gt;=c_TFWD,IF(AND(A377&gt;=c_TMAP3IN,c_TMAP3IN&lt;1000),"Seg4 map3-100%",IF(AND(A377&gt;=c_TMAP2IN,c_TMAP3IN&gt;c_TMAP2IN),"Seg3 map2-map3",IF(AND(A377&gt;=c_TMAP1IN,c_TMAP2IN&gt;c_TMAP1IN),"Seg2 map1-map2","Seg1 TFWD-map1"))),IF(AND(A377=0,c_TCREEP&gt;0),"Creep",IF(AND(A377&lt;=c_TRNGMIN,A377&gt;=c_TRNGMAX,c_TRNGMIN-c_TRNGMAX&lt;&gt;0),"Regen ramp","Coast (0)")))</f>
        <v>Seg4 map3-100%</v>
      </c>
      <c r="I377" s="7" t="n">
        <f aca="false">IF(A377&gt;=c_TFWD,IF(AND(A377&gt;=c_TMAP3IN,c_TMAP3IN&lt;1000),G377,IF(AND(A377&gt;=c_TMAP2IN,c_TMAP3IN&gt;c_TMAP2IN),F377,IF(AND(A377&gt;=c_TMAP1IN,c_TMAP2IN&gt;c_TMAP1IN),E377,D377))),C377)</f>
        <v>227</v>
      </c>
      <c r="J377" s="7" t="str">
        <f aca="false">IF(I377&lt;-1090,"TOO LOW",IF(I377&gt;1090,"TOO HIGH",""))</f>
        <v/>
      </c>
      <c r="K377" s="15" t="n">
        <f aca="false">IF(J377&lt;&gt;"",0,IF(I377&gt;979,1000,I377))</f>
        <v>227</v>
      </c>
      <c r="L377" s="7" t="n">
        <f aca="false">K377/10</f>
        <v>22.7</v>
      </c>
    </row>
    <row r="378" customFormat="false" ht="15" hidden="false" customHeight="false" outlineLevel="0" collapsed="false">
      <c r="A378" s="7" t="n">
        <v>373</v>
      </c>
      <c r="B378" s="7" t="n">
        <f aca="false">A378/10</f>
        <v>37.3</v>
      </c>
      <c r="C378" s="7" t="n">
        <f aca="false">IF(AND(A378=0,c_TCREEP&gt;0),10*c_TCREEP,IF(AND(A378&lt;=c_TRNGMIN,A378&gt;=c_TRNGMAX,c_TRNGMIN-c_TRNGMAX&lt;&gt;0),-10*c_TMINRN+QUOTIENT((c_TMAXRN-c_TMINRN)*(100-QUOTIENT((A378-c_TRNGMAX)*100,c_TRNGMIN-c_TRNGMAX)),-10),0))</f>
        <v>0</v>
      </c>
      <c r="D378" s="7" t="n">
        <f aca="false">IF(((c_TMAP1IN)-(c_TFWD))=0,(0)+QUOTIENT(((c_TMAP1OUT)-(0)),2),QUOTIENT((((A378)-(c_TFWD))*((c_TMAP1OUT)-(0))+IF(((c_TMAP1OUT)-(0))&gt;=0,1,-1)*QUOTIENT(((c_TMAP1IN)-(c_TFWD)),2)),((c_TMAP1IN)-(c_TFWD)))+(0)+IF(((c_TMAP1OUT)-(0))&gt;=0,IF(IF(o_WRAP=1,MOD(((c_TMAP1IN)-(c_TFWD))*(((A378)-(c_TFWD))*((c_TMAP1OUT)-(0))+IF(((c_TMAP1OUT)-(0))&gt;=0,1,-1)*QUOTIENT(((c_TMAP1IN)-(c_TFWD)),2))+2147483648,4294967296)-2147483648,((c_TMAP1IN)-(c_TFWD))*(((A378)-(c_TFWD))*((c_TMAP1OUT)-(0))+IF(((c_TMAP1OUT)-(0))&gt;=0,1,-1)*QUOTIENT(((c_TMAP1IN)-(c_TFWD)),2)))&lt;0,-1,0),IF(IF(o_WRAP=1,MOD(((c_TMAP1IN)-(c_TFWD))*(((A378)-(c_TFWD))*((c_TMAP1OUT)-(0))+IF(((c_TMAP1OUT)-(0))&gt;=0,1,-1)*QUOTIENT(((c_TMAP1IN)-(c_TFWD)),2))+2147483648,4294967296)-2147483648,((c_TMAP1IN)-(c_TFWD))*(((A378)-(c_TFWD))*((c_TMAP1OUT)-(0))+IF(((c_TMAP1OUT)-(0))&gt;=0,1,-1)*QUOTIENT(((c_TMAP1IN)-(c_TFWD)),2)))&gt;=0,1,0)))</f>
        <v>282</v>
      </c>
      <c r="E378" s="7" t="n">
        <f aca="false">IF(((c_TMAP2IN)-(c_TMAP1IN))=0,(c_TMAP1OUT)+QUOTIENT(((c_TMAP2OUT)-(c_TMAP1OUT)),2),QUOTIENT((((A378)-(c_TMAP1IN))*((c_TMAP2OUT)-(c_TMAP1OUT))+IF(((c_TMAP2OUT)-(c_TMAP1OUT))&gt;=0,1,-1)*QUOTIENT(((c_TMAP2IN)-(c_TMAP1IN)),2)),((c_TMAP2IN)-(c_TMAP1IN)))+(c_TMAP1OUT)+IF(((c_TMAP2OUT)-(c_TMAP1OUT))&gt;=0,IF(IF(o_WRAP=1,MOD(((c_TMAP2IN)-(c_TMAP1IN))*(((A378)-(c_TMAP1IN))*((c_TMAP2OUT)-(c_TMAP1OUT))+IF(((c_TMAP2OUT)-(c_TMAP1OUT))&gt;=0,1,-1)*QUOTIENT(((c_TMAP2IN)-(c_TMAP1IN)),2))+2147483648,4294967296)-2147483648,((c_TMAP2IN)-(c_TMAP1IN))*(((A378)-(c_TMAP1IN))*((c_TMAP2OUT)-(c_TMAP1OUT))+IF(((c_TMAP2OUT)-(c_TMAP1OUT))&gt;=0,1,-1)*QUOTIENT(((c_TMAP2IN)-(c_TMAP1IN)),2)))&lt;0,-1,0),IF(IF(o_WRAP=1,MOD(((c_TMAP2IN)-(c_TMAP1IN))*(((A378)-(c_TMAP1IN))*((c_TMAP2OUT)-(c_TMAP1OUT))+IF(((c_TMAP2OUT)-(c_TMAP1OUT))&gt;=0,1,-1)*QUOTIENT(((c_TMAP2IN)-(c_TMAP1IN)),2))+2147483648,4294967296)-2147483648,((c_TMAP2IN)-(c_TMAP1IN))*(((A378)-(c_TMAP1IN))*((c_TMAP2OUT)-(c_TMAP1OUT))+IF(((c_TMAP2OUT)-(c_TMAP1OUT))&gt;=0,1,-1)*QUOTIENT(((c_TMAP2IN)-(c_TMAP1IN)),2)))&gt;=0,1,0)))</f>
        <v>179</v>
      </c>
      <c r="F378" s="7" t="n">
        <f aca="false">IF(((c_TMAP3IN)-(c_TMAP2IN))=0,(c_TMAP2OUT)+QUOTIENT(((c_TMAP3OUT)-(c_TMAP2OUT)),2),QUOTIENT((((A378)-(c_TMAP2IN))*((c_TMAP3OUT)-(c_TMAP2OUT))+IF(((c_TMAP3OUT)-(c_TMAP2OUT))&gt;=0,1,-1)*QUOTIENT(((c_TMAP3IN)-(c_TMAP2IN)),2)),((c_TMAP3IN)-(c_TMAP2IN)))+(c_TMAP2OUT)+IF(((c_TMAP3OUT)-(c_TMAP2OUT))&gt;=0,IF(IF(o_WRAP=1,MOD(((c_TMAP3IN)-(c_TMAP2IN))*(((A378)-(c_TMAP2IN))*((c_TMAP3OUT)-(c_TMAP2OUT))+IF(((c_TMAP3OUT)-(c_TMAP2OUT))&gt;=0,1,-1)*QUOTIENT(((c_TMAP3IN)-(c_TMAP2IN)),2))+2147483648,4294967296)-2147483648,((c_TMAP3IN)-(c_TMAP2IN))*(((A378)-(c_TMAP2IN))*((c_TMAP3OUT)-(c_TMAP2OUT))+IF(((c_TMAP3OUT)-(c_TMAP2OUT))&gt;=0,1,-1)*QUOTIENT(((c_TMAP3IN)-(c_TMAP2IN)),2)))&lt;0,-1,0),IF(IF(o_WRAP=1,MOD(((c_TMAP3IN)-(c_TMAP2IN))*(((A378)-(c_TMAP2IN))*((c_TMAP3OUT)-(c_TMAP2OUT))+IF(((c_TMAP3OUT)-(c_TMAP2OUT))&gt;=0,1,-1)*QUOTIENT(((c_TMAP3IN)-(c_TMAP2IN)),2))+2147483648,4294967296)-2147483648,((c_TMAP3IN)-(c_TMAP2IN))*(((A378)-(c_TMAP2IN))*((c_TMAP3OUT)-(c_TMAP2OUT))+IF(((c_TMAP3OUT)-(c_TMAP2OUT))&gt;=0,1,-1)*QUOTIENT(((c_TMAP3IN)-(c_TMAP2IN)),2)))&gt;=0,1,0)))</f>
        <v>216</v>
      </c>
      <c r="G378" s="7" t="n">
        <f aca="false">IF(((1000)-(c_TMAP3IN))=0,(c_TMAP3OUT)+QUOTIENT(((1000)-(c_TMAP3OUT)),2),QUOTIENT((((A378)-(c_TMAP3IN))*((1000)-(c_TMAP3OUT))+IF(((1000)-(c_TMAP3OUT))&gt;=0,1,-1)*QUOTIENT(((1000)-(c_TMAP3IN)),2)),((1000)-(c_TMAP3IN)))+(c_TMAP3OUT)+IF(((1000)-(c_TMAP3OUT))&gt;=0,IF(IF(o_WRAP=1,MOD(((1000)-(c_TMAP3IN))*(((A378)-(c_TMAP3IN))*((1000)-(c_TMAP3OUT))+IF(((1000)-(c_TMAP3OUT))&gt;=0,1,-1)*QUOTIENT(((1000)-(c_TMAP3IN)),2))+2147483648,4294967296)-2147483648,((1000)-(c_TMAP3IN))*(((A378)-(c_TMAP3IN))*((1000)-(c_TMAP3OUT))+IF(((1000)-(c_TMAP3OUT))&gt;=0,1,-1)*QUOTIENT(((1000)-(c_TMAP3IN)),2)))&lt;0,-1,0),IF(IF(o_WRAP=1,MOD(((1000)-(c_TMAP3IN))*(((A378)-(c_TMAP3IN))*((1000)-(c_TMAP3OUT))+IF(((1000)-(c_TMAP3OUT))&gt;=0,1,-1)*QUOTIENT(((1000)-(c_TMAP3IN)),2))+2147483648,4294967296)-2147483648,((1000)-(c_TMAP3IN))*(((A378)-(c_TMAP3IN))*((1000)-(c_TMAP3OUT))+IF(((1000)-(c_TMAP3OUT))&gt;=0,1,-1)*QUOTIENT(((1000)-(c_TMAP3IN)),2)))&gt;=0,1,0)))</f>
        <v>228</v>
      </c>
      <c r="H378" s="7" t="str">
        <f aca="false">IF(A378&gt;=c_TFWD,IF(AND(A378&gt;=c_TMAP3IN,c_TMAP3IN&lt;1000),"Seg4 map3-100%",IF(AND(A378&gt;=c_TMAP2IN,c_TMAP3IN&gt;c_TMAP2IN),"Seg3 map2-map3",IF(AND(A378&gt;=c_TMAP1IN,c_TMAP2IN&gt;c_TMAP1IN),"Seg2 map1-map2","Seg1 TFWD-map1"))),IF(AND(A378=0,c_TCREEP&gt;0),"Creep",IF(AND(A378&lt;=c_TRNGMIN,A378&gt;=c_TRNGMAX,c_TRNGMIN-c_TRNGMAX&lt;&gt;0),"Regen ramp","Coast (0)")))</f>
        <v>Seg4 map3-100%</v>
      </c>
      <c r="I378" s="7" t="n">
        <f aca="false">IF(A378&gt;=c_TFWD,IF(AND(A378&gt;=c_TMAP3IN,c_TMAP3IN&lt;1000),G378,IF(AND(A378&gt;=c_TMAP2IN,c_TMAP3IN&gt;c_TMAP2IN),F378,IF(AND(A378&gt;=c_TMAP1IN,c_TMAP2IN&gt;c_TMAP1IN),E378,D378))),C378)</f>
        <v>228</v>
      </c>
      <c r="J378" s="7" t="str">
        <f aca="false">IF(I378&lt;-1090,"TOO LOW",IF(I378&gt;1090,"TOO HIGH",""))</f>
        <v/>
      </c>
      <c r="K378" s="15" t="n">
        <f aca="false">IF(J378&lt;&gt;"",0,IF(I378&gt;979,1000,I378))</f>
        <v>228</v>
      </c>
      <c r="L378" s="7" t="n">
        <f aca="false">K378/10</f>
        <v>22.8</v>
      </c>
    </row>
    <row r="379" customFormat="false" ht="15" hidden="false" customHeight="false" outlineLevel="0" collapsed="false">
      <c r="A379" s="7" t="n">
        <v>374</v>
      </c>
      <c r="B379" s="7" t="n">
        <f aca="false">A379/10</f>
        <v>37.4</v>
      </c>
      <c r="C379" s="7" t="n">
        <f aca="false">IF(AND(A379=0,c_TCREEP&gt;0),10*c_TCREEP,IF(AND(A379&lt;=c_TRNGMIN,A379&gt;=c_TRNGMAX,c_TRNGMIN-c_TRNGMAX&lt;&gt;0),-10*c_TMINRN+QUOTIENT((c_TMAXRN-c_TMINRN)*(100-QUOTIENT((A379-c_TRNGMAX)*100,c_TRNGMIN-c_TRNGMAX)),-10),0))</f>
        <v>0</v>
      </c>
      <c r="D379" s="7" t="n">
        <f aca="false">IF(((c_TMAP1IN)-(c_TFWD))=0,(0)+QUOTIENT(((c_TMAP1OUT)-(0)),2),QUOTIENT((((A379)-(c_TFWD))*((c_TMAP1OUT)-(0))+IF(((c_TMAP1OUT)-(0))&gt;=0,1,-1)*QUOTIENT(((c_TMAP1IN)-(c_TFWD)),2)),((c_TMAP1IN)-(c_TFWD)))+(0)+IF(((c_TMAP1OUT)-(0))&gt;=0,IF(IF(o_WRAP=1,MOD(((c_TMAP1IN)-(c_TFWD))*(((A379)-(c_TFWD))*((c_TMAP1OUT)-(0))+IF(((c_TMAP1OUT)-(0))&gt;=0,1,-1)*QUOTIENT(((c_TMAP1IN)-(c_TFWD)),2))+2147483648,4294967296)-2147483648,((c_TMAP1IN)-(c_TFWD))*(((A379)-(c_TFWD))*((c_TMAP1OUT)-(0))+IF(((c_TMAP1OUT)-(0))&gt;=0,1,-1)*QUOTIENT(((c_TMAP1IN)-(c_TFWD)),2)))&lt;0,-1,0),IF(IF(o_WRAP=1,MOD(((c_TMAP1IN)-(c_TFWD))*(((A379)-(c_TFWD))*((c_TMAP1OUT)-(0))+IF(((c_TMAP1OUT)-(0))&gt;=0,1,-1)*QUOTIENT(((c_TMAP1IN)-(c_TFWD)),2))+2147483648,4294967296)-2147483648,((c_TMAP1IN)-(c_TFWD))*(((A379)-(c_TFWD))*((c_TMAP1OUT)-(0))+IF(((c_TMAP1OUT)-(0))&gt;=0,1,-1)*QUOTIENT(((c_TMAP1IN)-(c_TFWD)),2)))&gt;=0,1,0)))</f>
        <v>283</v>
      </c>
      <c r="E379" s="7" t="n">
        <f aca="false">IF(((c_TMAP2IN)-(c_TMAP1IN))=0,(c_TMAP1OUT)+QUOTIENT(((c_TMAP2OUT)-(c_TMAP1OUT)),2),QUOTIENT((((A379)-(c_TMAP1IN))*((c_TMAP2OUT)-(c_TMAP1OUT))+IF(((c_TMAP2OUT)-(c_TMAP1OUT))&gt;=0,1,-1)*QUOTIENT(((c_TMAP2IN)-(c_TMAP1IN)),2)),((c_TMAP2IN)-(c_TMAP1IN)))+(c_TMAP1OUT)+IF(((c_TMAP2OUT)-(c_TMAP1OUT))&gt;=0,IF(IF(o_WRAP=1,MOD(((c_TMAP2IN)-(c_TMAP1IN))*(((A379)-(c_TMAP1IN))*((c_TMAP2OUT)-(c_TMAP1OUT))+IF(((c_TMAP2OUT)-(c_TMAP1OUT))&gt;=0,1,-1)*QUOTIENT(((c_TMAP2IN)-(c_TMAP1IN)),2))+2147483648,4294967296)-2147483648,((c_TMAP2IN)-(c_TMAP1IN))*(((A379)-(c_TMAP1IN))*((c_TMAP2OUT)-(c_TMAP1OUT))+IF(((c_TMAP2OUT)-(c_TMAP1OUT))&gt;=0,1,-1)*QUOTIENT(((c_TMAP2IN)-(c_TMAP1IN)),2)))&lt;0,-1,0),IF(IF(o_WRAP=1,MOD(((c_TMAP2IN)-(c_TMAP1IN))*(((A379)-(c_TMAP1IN))*((c_TMAP2OUT)-(c_TMAP1OUT))+IF(((c_TMAP2OUT)-(c_TMAP1OUT))&gt;=0,1,-1)*QUOTIENT(((c_TMAP2IN)-(c_TMAP1IN)),2))+2147483648,4294967296)-2147483648,((c_TMAP2IN)-(c_TMAP1IN))*(((A379)-(c_TMAP1IN))*((c_TMAP2OUT)-(c_TMAP1OUT))+IF(((c_TMAP2OUT)-(c_TMAP1OUT))&gt;=0,1,-1)*QUOTIENT(((c_TMAP2IN)-(c_TMAP1IN)),2)))&gt;=0,1,0)))</f>
        <v>180</v>
      </c>
      <c r="F379" s="7" t="n">
        <f aca="false">IF(((c_TMAP3IN)-(c_TMAP2IN))=0,(c_TMAP2OUT)+QUOTIENT(((c_TMAP3OUT)-(c_TMAP2OUT)),2),QUOTIENT((((A379)-(c_TMAP2IN))*((c_TMAP3OUT)-(c_TMAP2OUT))+IF(((c_TMAP3OUT)-(c_TMAP2OUT))&gt;=0,1,-1)*QUOTIENT(((c_TMAP3IN)-(c_TMAP2IN)),2)),((c_TMAP3IN)-(c_TMAP2IN)))+(c_TMAP2OUT)+IF(((c_TMAP3OUT)-(c_TMAP2OUT))&gt;=0,IF(IF(o_WRAP=1,MOD(((c_TMAP3IN)-(c_TMAP2IN))*(((A379)-(c_TMAP2IN))*((c_TMAP3OUT)-(c_TMAP2OUT))+IF(((c_TMAP3OUT)-(c_TMAP2OUT))&gt;=0,1,-1)*QUOTIENT(((c_TMAP3IN)-(c_TMAP2IN)),2))+2147483648,4294967296)-2147483648,((c_TMAP3IN)-(c_TMAP2IN))*(((A379)-(c_TMAP2IN))*((c_TMAP3OUT)-(c_TMAP2OUT))+IF(((c_TMAP3OUT)-(c_TMAP2OUT))&gt;=0,1,-1)*QUOTIENT(((c_TMAP3IN)-(c_TMAP2IN)),2)))&lt;0,-1,0),IF(IF(o_WRAP=1,MOD(((c_TMAP3IN)-(c_TMAP2IN))*(((A379)-(c_TMAP2IN))*((c_TMAP3OUT)-(c_TMAP2OUT))+IF(((c_TMAP3OUT)-(c_TMAP2OUT))&gt;=0,1,-1)*QUOTIENT(((c_TMAP3IN)-(c_TMAP2IN)),2))+2147483648,4294967296)-2147483648,((c_TMAP3IN)-(c_TMAP2IN))*(((A379)-(c_TMAP2IN))*((c_TMAP3OUT)-(c_TMAP2OUT))+IF(((c_TMAP3OUT)-(c_TMAP2OUT))&gt;=0,1,-1)*QUOTIENT(((c_TMAP3IN)-(c_TMAP2IN)),2)))&gt;=0,1,0)))</f>
        <v>217</v>
      </c>
      <c r="G379" s="7" t="n">
        <f aca="false">IF(((1000)-(c_TMAP3IN))=0,(c_TMAP3OUT)+QUOTIENT(((1000)-(c_TMAP3OUT)),2),QUOTIENT((((A379)-(c_TMAP3IN))*((1000)-(c_TMAP3OUT))+IF(((1000)-(c_TMAP3OUT))&gt;=0,1,-1)*QUOTIENT(((1000)-(c_TMAP3IN)),2)),((1000)-(c_TMAP3IN)))+(c_TMAP3OUT)+IF(((1000)-(c_TMAP3OUT))&gt;=0,IF(IF(o_WRAP=1,MOD(((1000)-(c_TMAP3IN))*(((A379)-(c_TMAP3IN))*((1000)-(c_TMAP3OUT))+IF(((1000)-(c_TMAP3OUT))&gt;=0,1,-1)*QUOTIENT(((1000)-(c_TMAP3IN)),2))+2147483648,4294967296)-2147483648,((1000)-(c_TMAP3IN))*(((A379)-(c_TMAP3IN))*((1000)-(c_TMAP3OUT))+IF(((1000)-(c_TMAP3OUT))&gt;=0,1,-1)*QUOTIENT(((1000)-(c_TMAP3IN)),2)))&lt;0,-1,0),IF(IF(o_WRAP=1,MOD(((1000)-(c_TMAP3IN))*(((A379)-(c_TMAP3IN))*((1000)-(c_TMAP3OUT))+IF(((1000)-(c_TMAP3OUT))&gt;=0,1,-1)*QUOTIENT(((1000)-(c_TMAP3IN)),2))+2147483648,4294967296)-2147483648,((1000)-(c_TMAP3IN))*(((A379)-(c_TMAP3IN))*((1000)-(c_TMAP3OUT))+IF(((1000)-(c_TMAP3OUT))&gt;=0,1,-1)*QUOTIENT(((1000)-(c_TMAP3IN)),2)))&gt;=0,1,0)))</f>
        <v>230</v>
      </c>
      <c r="H379" s="7" t="str">
        <f aca="false">IF(A379&gt;=c_TFWD,IF(AND(A379&gt;=c_TMAP3IN,c_TMAP3IN&lt;1000),"Seg4 map3-100%",IF(AND(A379&gt;=c_TMAP2IN,c_TMAP3IN&gt;c_TMAP2IN),"Seg3 map2-map3",IF(AND(A379&gt;=c_TMAP1IN,c_TMAP2IN&gt;c_TMAP1IN),"Seg2 map1-map2","Seg1 TFWD-map1"))),IF(AND(A379=0,c_TCREEP&gt;0),"Creep",IF(AND(A379&lt;=c_TRNGMIN,A379&gt;=c_TRNGMAX,c_TRNGMIN-c_TRNGMAX&lt;&gt;0),"Regen ramp","Coast (0)")))</f>
        <v>Seg4 map3-100%</v>
      </c>
      <c r="I379" s="7" t="n">
        <f aca="false">IF(A379&gt;=c_TFWD,IF(AND(A379&gt;=c_TMAP3IN,c_TMAP3IN&lt;1000),G379,IF(AND(A379&gt;=c_TMAP2IN,c_TMAP3IN&gt;c_TMAP2IN),F379,IF(AND(A379&gt;=c_TMAP1IN,c_TMAP2IN&gt;c_TMAP1IN),E379,D379))),C379)</f>
        <v>230</v>
      </c>
      <c r="J379" s="7" t="str">
        <f aca="false">IF(I379&lt;-1090,"TOO LOW",IF(I379&gt;1090,"TOO HIGH",""))</f>
        <v/>
      </c>
      <c r="K379" s="15" t="n">
        <f aca="false">IF(J379&lt;&gt;"",0,IF(I379&gt;979,1000,I379))</f>
        <v>230</v>
      </c>
      <c r="L379" s="7" t="n">
        <f aca="false">K379/10</f>
        <v>23</v>
      </c>
    </row>
    <row r="380" customFormat="false" ht="15" hidden="false" customHeight="false" outlineLevel="0" collapsed="false">
      <c r="A380" s="7" t="n">
        <v>375</v>
      </c>
      <c r="B380" s="7" t="n">
        <f aca="false">A380/10</f>
        <v>37.5</v>
      </c>
      <c r="C380" s="7" t="n">
        <f aca="false">IF(AND(A380=0,c_TCREEP&gt;0),10*c_TCREEP,IF(AND(A380&lt;=c_TRNGMIN,A380&gt;=c_TRNGMAX,c_TRNGMIN-c_TRNGMAX&lt;&gt;0),-10*c_TMINRN+QUOTIENT((c_TMAXRN-c_TMINRN)*(100-QUOTIENT((A380-c_TRNGMAX)*100,c_TRNGMIN-c_TRNGMAX)),-10),0))</f>
        <v>0</v>
      </c>
      <c r="D380" s="7" t="n">
        <f aca="false">IF(((c_TMAP1IN)-(c_TFWD))=0,(0)+QUOTIENT(((c_TMAP1OUT)-(0)),2),QUOTIENT((((A380)-(c_TFWD))*((c_TMAP1OUT)-(0))+IF(((c_TMAP1OUT)-(0))&gt;=0,1,-1)*QUOTIENT(((c_TMAP1IN)-(c_TFWD)),2)),((c_TMAP1IN)-(c_TFWD)))+(0)+IF(((c_TMAP1OUT)-(0))&gt;=0,IF(IF(o_WRAP=1,MOD(((c_TMAP1IN)-(c_TFWD))*(((A380)-(c_TFWD))*((c_TMAP1OUT)-(0))+IF(((c_TMAP1OUT)-(0))&gt;=0,1,-1)*QUOTIENT(((c_TMAP1IN)-(c_TFWD)),2))+2147483648,4294967296)-2147483648,((c_TMAP1IN)-(c_TFWD))*(((A380)-(c_TFWD))*((c_TMAP1OUT)-(0))+IF(((c_TMAP1OUT)-(0))&gt;=0,1,-1)*QUOTIENT(((c_TMAP1IN)-(c_TFWD)),2)))&lt;0,-1,0),IF(IF(o_WRAP=1,MOD(((c_TMAP1IN)-(c_TFWD))*(((A380)-(c_TFWD))*((c_TMAP1OUT)-(0))+IF(((c_TMAP1OUT)-(0))&gt;=0,1,-1)*QUOTIENT(((c_TMAP1IN)-(c_TFWD)),2))+2147483648,4294967296)-2147483648,((c_TMAP1IN)-(c_TFWD))*(((A380)-(c_TFWD))*((c_TMAP1OUT)-(0))+IF(((c_TMAP1OUT)-(0))&gt;=0,1,-1)*QUOTIENT(((c_TMAP1IN)-(c_TFWD)),2)))&gt;=0,1,0)))</f>
        <v>284</v>
      </c>
      <c r="E380" s="7" t="n">
        <f aca="false">IF(((c_TMAP2IN)-(c_TMAP1IN))=0,(c_TMAP1OUT)+QUOTIENT(((c_TMAP2OUT)-(c_TMAP1OUT)),2),QUOTIENT((((A380)-(c_TMAP1IN))*((c_TMAP2OUT)-(c_TMAP1OUT))+IF(((c_TMAP2OUT)-(c_TMAP1OUT))&gt;=0,1,-1)*QUOTIENT(((c_TMAP2IN)-(c_TMAP1IN)),2)),((c_TMAP2IN)-(c_TMAP1IN)))+(c_TMAP1OUT)+IF(((c_TMAP2OUT)-(c_TMAP1OUT))&gt;=0,IF(IF(o_WRAP=1,MOD(((c_TMAP2IN)-(c_TMAP1IN))*(((A380)-(c_TMAP1IN))*((c_TMAP2OUT)-(c_TMAP1OUT))+IF(((c_TMAP2OUT)-(c_TMAP1OUT))&gt;=0,1,-1)*QUOTIENT(((c_TMAP2IN)-(c_TMAP1IN)),2))+2147483648,4294967296)-2147483648,((c_TMAP2IN)-(c_TMAP1IN))*(((A380)-(c_TMAP1IN))*((c_TMAP2OUT)-(c_TMAP1OUT))+IF(((c_TMAP2OUT)-(c_TMAP1OUT))&gt;=0,1,-1)*QUOTIENT(((c_TMAP2IN)-(c_TMAP1IN)),2)))&lt;0,-1,0),IF(IF(o_WRAP=1,MOD(((c_TMAP2IN)-(c_TMAP1IN))*(((A380)-(c_TMAP1IN))*((c_TMAP2OUT)-(c_TMAP1OUT))+IF(((c_TMAP2OUT)-(c_TMAP1OUT))&gt;=0,1,-1)*QUOTIENT(((c_TMAP2IN)-(c_TMAP1IN)),2))+2147483648,4294967296)-2147483648,((c_TMAP2IN)-(c_TMAP1IN))*(((A380)-(c_TMAP1IN))*((c_TMAP2OUT)-(c_TMAP1OUT))+IF(((c_TMAP2OUT)-(c_TMAP1OUT))&gt;=0,1,-1)*QUOTIENT(((c_TMAP2IN)-(c_TMAP1IN)),2)))&gt;=0,1,0)))</f>
        <v>180</v>
      </c>
      <c r="F380" s="7" t="n">
        <f aca="false">IF(((c_TMAP3IN)-(c_TMAP2IN))=0,(c_TMAP2OUT)+QUOTIENT(((c_TMAP3OUT)-(c_TMAP2OUT)),2),QUOTIENT((((A380)-(c_TMAP2IN))*((c_TMAP3OUT)-(c_TMAP2OUT))+IF(((c_TMAP3OUT)-(c_TMAP2OUT))&gt;=0,1,-1)*QUOTIENT(((c_TMAP3IN)-(c_TMAP2IN)),2)),((c_TMAP3IN)-(c_TMAP2IN)))+(c_TMAP2OUT)+IF(((c_TMAP3OUT)-(c_TMAP2OUT))&gt;=0,IF(IF(o_WRAP=1,MOD(((c_TMAP3IN)-(c_TMAP2IN))*(((A380)-(c_TMAP2IN))*((c_TMAP3OUT)-(c_TMAP2OUT))+IF(((c_TMAP3OUT)-(c_TMAP2OUT))&gt;=0,1,-1)*QUOTIENT(((c_TMAP3IN)-(c_TMAP2IN)),2))+2147483648,4294967296)-2147483648,((c_TMAP3IN)-(c_TMAP2IN))*(((A380)-(c_TMAP2IN))*((c_TMAP3OUT)-(c_TMAP2OUT))+IF(((c_TMAP3OUT)-(c_TMAP2OUT))&gt;=0,1,-1)*QUOTIENT(((c_TMAP3IN)-(c_TMAP2IN)),2)))&lt;0,-1,0),IF(IF(o_WRAP=1,MOD(((c_TMAP3IN)-(c_TMAP2IN))*(((A380)-(c_TMAP2IN))*((c_TMAP3OUT)-(c_TMAP2OUT))+IF(((c_TMAP3OUT)-(c_TMAP2OUT))&gt;=0,1,-1)*QUOTIENT(((c_TMAP3IN)-(c_TMAP2IN)),2))+2147483648,4294967296)-2147483648,((c_TMAP3IN)-(c_TMAP2IN))*(((A380)-(c_TMAP2IN))*((c_TMAP3OUT)-(c_TMAP2OUT))+IF(((c_TMAP3OUT)-(c_TMAP2OUT))&gt;=0,1,-1)*QUOTIENT(((c_TMAP3IN)-(c_TMAP2IN)),2)))&gt;=0,1,0)))</f>
        <v>218</v>
      </c>
      <c r="G380" s="7" t="n">
        <f aca="false">IF(((1000)-(c_TMAP3IN))=0,(c_TMAP3OUT)+QUOTIENT(((1000)-(c_TMAP3OUT)),2),QUOTIENT((((A380)-(c_TMAP3IN))*((1000)-(c_TMAP3OUT))+IF(((1000)-(c_TMAP3OUT))&gt;=0,1,-1)*QUOTIENT(((1000)-(c_TMAP3IN)),2)),((1000)-(c_TMAP3IN)))+(c_TMAP3OUT)+IF(((1000)-(c_TMAP3OUT))&gt;=0,IF(IF(o_WRAP=1,MOD(((1000)-(c_TMAP3IN))*(((A380)-(c_TMAP3IN))*((1000)-(c_TMAP3OUT))+IF(((1000)-(c_TMAP3OUT))&gt;=0,1,-1)*QUOTIENT(((1000)-(c_TMAP3IN)),2))+2147483648,4294967296)-2147483648,((1000)-(c_TMAP3IN))*(((A380)-(c_TMAP3IN))*((1000)-(c_TMAP3OUT))+IF(((1000)-(c_TMAP3OUT))&gt;=0,1,-1)*QUOTIENT(((1000)-(c_TMAP3IN)),2)))&lt;0,-1,0),IF(IF(o_WRAP=1,MOD(((1000)-(c_TMAP3IN))*(((A380)-(c_TMAP3IN))*((1000)-(c_TMAP3OUT))+IF(((1000)-(c_TMAP3OUT))&gt;=0,1,-1)*QUOTIENT(((1000)-(c_TMAP3IN)),2))+2147483648,4294967296)-2147483648,((1000)-(c_TMAP3IN))*(((A380)-(c_TMAP3IN))*((1000)-(c_TMAP3OUT))+IF(((1000)-(c_TMAP3OUT))&gt;=0,1,-1)*QUOTIENT(((1000)-(c_TMAP3IN)),2)))&gt;=0,1,0)))</f>
        <v>231</v>
      </c>
      <c r="H380" s="7" t="str">
        <f aca="false">IF(A380&gt;=c_TFWD,IF(AND(A380&gt;=c_TMAP3IN,c_TMAP3IN&lt;1000),"Seg4 map3-100%",IF(AND(A380&gt;=c_TMAP2IN,c_TMAP3IN&gt;c_TMAP2IN),"Seg3 map2-map3",IF(AND(A380&gt;=c_TMAP1IN,c_TMAP2IN&gt;c_TMAP1IN),"Seg2 map1-map2","Seg1 TFWD-map1"))),IF(AND(A380=0,c_TCREEP&gt;0),"Creep",IF(AND(A380&lt;=c_TRNGMIN,A380&gt;=c_TRNGMAX,c_TRNGMIN-c_TRNGMAX&lt;&gt;0),"Regen ramp","Coast (0)")))</f>
        <v>Seg4 map3-100%</v>
      </c>
      <c r="I380" s="7" t="n">
        <f aca="false">IF(A380&gt;=c_TFWD,IF(AND(A380&gt;=c_TMAP3IN,c_TMAP3IN&lt;1000),G380,IF(AND(A380&gt;=c_TMAP2IN,c_TMAP3IN&gt;c_TMAP2IN),F380,IF(AND(A380&gt;=c_TMAP1IN,c_TMAP2IN&gt;c_TMAP1IN),E380,D380))),C380)</f>
        <v>231</v>
      </c>
      <c r="J380" s="7" t="str">
        <f aca="false">IF(I380&lt;-1090,"TOO LOW",IF(I380&gt;1090,"TOO HIGH",""))</f>
        <v/>
      </c>
      <c r="K380" s="15" t="n">
        <f aca="false">IF(J380&lt;&gt;"",0,IF(I380&gt;979,1000,I380))</f>
        <v>231</v>
      </c>
      <c r="L380" s="7" t="n">
        <f aca="false">K380/10</f>
        <v>23.1</v>
      </c>
    </row>
    <row r="381" customFormat="false" ht="15" hidden="false" customHeight="false" outlineLevel="0" collapsed="false">
      <c r="A381" s="7" t="n">
        <v>376</v>
      </c>
      <c r="B381" s="7" t="n">
        <f aca="false">A381/10</f>
        <v>37.6</v>
      </c>
      <c r="C381" s="7" t="n">
        <f aca="false">IF(AND(A381=0,c_TCREEP&gt;0),10*c_TCREEP,IF(AND(A381&lt;=c_TRNGMIN,A381&gt;=c_TRNGMAX,c_TRNGMIN-c_TRNGMAX&lt;&gt;0),-10*c_TMINRN+QUOTIENT((c_TMAXRN-c_TMINRN)*(100-QUOTIENT((A381-c_TRNGMAX)*100,c_TRNGMIN-c_TRNGMAX)),-10),0))</f>
        <v>0</v>
      </c>
      <c r="D381" s="7" t="n">
        <f aca="false">IF(((c_TMAP1IN)-(c_TFWD))=0,(0)+QUOTIENT(((c_TMAP1OUT)-(0)),2),QUOTIENT((((A381)-(c_TFWD))*((c_TMAP1OUT)-(0))+IF(((c_TMAP1OUT)-(0))&gt;=0,1,-1)*QUOTIENT(((c_TMAP1IN)-(c_TFWD)),2)),((c_TMAP1IN)-(c_TFWD)))+(0)+IF(((c_TMAP1OUT)-(0))&gt;=0,IF(IF(o_WRAP=1,MOD(((c_TMAP1IN)-(c_TFWD))*(((A381)-(c_TFWD))*((c_TMAP1OUT)-(0))+IF(((c_TMAP1OUT)-(0))&gt;=0,1,-1)*QUOTIENT(((c_TMAP1IN)-(c_TFWD)),2))+2147483648,4294967296)-2147483648,((c_TMAP1IN)-(c_TFWD))*(((A381)-(c_TFWD))*((c_TMAP1OUT)-(0))+IF(((c_TMAP1OUT)-(0))&gt;=0,1,-1)*QUOTIENT(((c_TMAP1IN)-(c_TFWD)),2)))&lt;0,-1,0),IF(IF(o_WRAP=1,MOD(((c_TMAP1IN)-(c_TFWD))*(((A381)-(c_TFWD))*((c_TMAP1OUT)-(0))+IF(((c_TMAP1OUT)-(0))&gt;=0,1,-1)*QUOTIENT(((c_TMAP1IN)-(c_TFWD)),2))+2147483648,4294967296)-2147483648,((c_TMAP1IN)-(c_TFWD))*(((A381)-(c_TFWD))*((c_TMAP1OUT)-(0))+IF(((c_TMAP1OUT)-(0))&gt;=0,1,-1)*QUOTIENT(((c_TMAP1IN)-(c_TFWD)),2)))&gt;=0,1,0)))</f>
        <v>285</v>
      </c>
      <c r="E381" s="7" t="n">
        <f aca="false">IF(((c_TMAP2IN)-(c_TMAP1IN))=0,(c_TMAP1OUT)+QUOTIENT(((c_TMAP2OUT)-(c_TMAP1OUT)),2),QUOTIENT((((A381)-(c_TMAP1IN))*((c_TMAP2OUT)-(c_TMAP1OUT))+IF(((c_TMAP2OUT)-(c_TMAP1OUT))&gt;=0,1,-1)*QUOTIENT(((c_TMAP2IN)-(c_TMAP1IN)),2)),((c_TMAP2IN)-(c_TMAP1IN)))+(c_TMAP1OUT)+IF(((c_TMAP2OUT)-(c_TMAP1OUT))&gt;=0,IF(IF(o_WRAP=1,MOD(((c_TMAP2IN)-(c_TMAP1IN))*(((A381)-(c_TMAP1IN))*((c_TMAP2OUT)-(c_TMAP1OUT))+IF(((c_TMAP2OUT)-(c_TMAP1OUT))&gt;=0,1,-1)*QUOTIENT(((c_TMAP2IN)-(c_TMAP1IN)),2))+2147483648,4294967296)-2147483648,((c_TMAP2IN)-(c_TMAP1IN))*(((A381)-(c_TMAP1IN))*((c_TMAP2OUT)-(c_TMAP1OUT))+IF(((c_TMAP2OUT)-(c_TMAP1OUT))&gt;=0,1,-1)*QUOTIENT(((c_TMAP2IN)-(c_TMAP1IN)),2)))&lt;0,-1,0),IF(IF(o_WRAP=1,MOD(((c_TMAP2IN)-(c_TMAP1IN))*(((A381)-(c_TMAP1IN))*((c_TMAP2OUT)-(c_TMAP1OUT))+IF(((c_TMAP2OUT)-(c_TMAP1OUT))&gt;=0,1,-1)*QUOTIENT(((c_TMAP2IN)-(c_TMAP1IN)),2))+2147483648,4294967296)-2147483648,((c_TMAP2IN)-(c_TMAP1IN))*(((A381)-(c_TMAP1IN))*((c_TMAP2OUT)-(c_TMAP1OUT))+IF(((c_TMAP2OUT)-(c_TMAP1OUT))&gt;=0,1,-1)*QUOTIENT(((c_TMAP2IN)-(c_TMAP1IN)),2)))&gt;=0,1,0)))</f>
        <v>180</v>
      </c>
      <c r="F381" s="7" t="n">
        <f aca="false">IF(((c_TMAP3IN)-(c_TMAP2IN))=0,(c_TMAP2OUT)+QUOTIENT(((c_TMAP3OUT)-(c_TMAP2OUT)),2),QUOTIENT((((A381)-(c_TMAP2IN))*((c_TMAP3OUT)-(c_TMAP2OUT))+IF(((c_TMAP3OUT)-(c_TMAP2OUT))&gt;=0,1,-1)*QUOTIENT(((c_TMAP3IN)-(c_TMAP2IN)),2)),((c_TMAP3IN)-(c_TMAP2IN)))+(c_TMAP2OUT)+IF(((c_TMAP3OUT)-(c_TMAP2OUT))&gt;=0,IF(IF(o_WRAP=1,MOD(((c_TMAP3IN)-(c_TMAP2IN))*(((A381)-(c_TMAP2IN))*((c_TMAP3OUT)-(c_TMAP2OUT))+IF(((c_TMAP3OUT)-(c_TMAP2OUT))&gt;=0,1,-1)*QUOTIENT(((c_TMAP3IN)-(c_TMAP2IN)),2))+2147483648,4294967296)-2147483648,((c_TMAP3IN)-(c_TMAP2IN))*(((A381)-(c_TMAP2IN))*((c_TMAP3OUT)-(c_TMAP2OUT))+IF(((c_TMAP3OUT)-(c_TMAP2OUT))&gt;=0,1,-1)*QUOTIENT(((c_TMAP3IN)-(c_TMAP2IN)),2)))&lt;0,-1,0),IF(IF(o_WRAP=1,MOD(((c_TMAP3IN)-(c_TMAP2IN))*(((A381)-(c_TMAP2IN))*((c_TMAP3OUT)-(c_TMAP2OUT))+IF(((c_TMAP3OUT)-(c_TMAP2OUT))&gt;=0,1,-1)*QUOTIENT(((c_TMAP3IN)-(c_TMAP2IN)),2))+2147483648,4294967296)-2147483648,((c_TMAP3IN)-(c_TMAP2IN))*(((A381)-(c_TMAP2IN))*((c_TMAP3OUT)-(c_TMAP2OUT))+IF(((c_TMAP3OUT)-(c_TMAP2OUT))&gt;=0,1,-1)*QUOTIENT(((c_TMAP3IN)-(c_TMAP2IN)),2)))&gt;=0,1,0)))</f>
        <v>218</v>
      </c>
      <c r="G381" s="7" t="n">
        <f aca="false">IF(((1000)-(c_TMAP3IN))=0,(c_TMAP3OUT)+QUOTIENT(((1000)-(c_TMAP3OUT)),2),QUOTIENT((((A381)-(c_TMAP3IN))*((1000)-(c_TMAP3OUT))+IF(((1000)-(c_TMAP3OUT))&gt;=0,1,-1)*QUOTIENT(((1000)-(c_TMAP3IN)),2)),((1000)-(c_TMAP3IN)))+(c_TMAP3OUT)+IF(((1000)-(c_TMAP3OUT))&gt;=0,IF(IF(o_WRAP=1,MOD(((1000)-(c_TMAP3IN))*(((A381)-(c_TMAP3IN))*((1000)-(c_TMAP3OUT))+IF(((1000)-(c_TMAP3OUT))&gt;=0,1,-1)*QUOTIENT(((1000)-(c_TMAP3IN)),2))+2147483648,4294967296)-2147483648,((1000)-(c_TMAP3IN))*(((A381)-(c_TMAP3IN))*((1000)-(c_TMAP3OUT))+IF(((1000)-(c_TMAP3OUT))&gt;=0,1,-1)*QUOTIENT(((1000)-(c_TMAP3IN)),2)))&lt;0,-1,0),IF(IF(o_WRAP=1,MOD(((1000)-(c_TMAP3IN))*(((A381)-(c_TMAP3IN))*((1000)-(c_TMAP3OUT))+IF(((1000)-(c_TMAP3OUT))&gt;=0,1,-1)*QUOTIENT(((1000)-(c_TMAP3IN)),2))+2147483648,4294967296)-2147483648,((1000)-(c_TMAP3IN))*(((A381)-(c_TMAP3IN))*((1000)-(c_TMAP3OUT))+IF(((1000)-(c_TMAP3OUT))&gt;=0,1,-1)*QUOTIENT(((1000)-(c_TMAP3IN)),2)))&gt;=0,1,0)))</f>
        <v>232</v>
      </c>
      <c r="H381" s="7" t="str">
        <f aca="false">IF(A381&gt;=c_TFWD,IF(AND(A381&gt;=c_TMAP3IN,c_TMAP3IN&lt;1000),"Seg4 map3-100%",IF(AND(A381&gt;=c_TMAP2IN,c_TMAP3IN&gt;c_TMAP2IN),"Seg3 map2-map3",IF(AND(A381&gt;=c_TMAP1IN,c_TMAP2IN&gt;c_TMAP1IN),"Seg2 map1-map2","Seg1 TFWD-map1"))),IF(AND(A381=0,c_TCREEP&gt;0),"Creep",IF(AND(A381&lt;=c_TRNGMIN,A381&gt;=c_TRNGMAX,c_TRNGMIN-c_TRNGMAX&lt;&gt;0),"Regen ramp","Coast (0)")))</f>
        <v>Seg4 map3-100%</v>
      </c>
      <c r="I381" s="7" t="n">
        <f aca="false">IF(A381&gt;=c_TFWD,IF(AND(A381&gt;=c_TMAP3IN,c_TMAP3IN&lt;1000),G381,IF(AND(A381&gt;=c_TMAP2IN,c_TMAP3IN&gt;c_TMAP2IN),F381,IF(AND(A381&gt;=c_TMAP1IN,c_TMAP2IN&gt;c_TMAP1IN),E381,D381))),C381)</f>
        <v>232</v>
      </c>
      <c r="J381" s="7" t="str">
        <f aca="false">IF(I381&lt;-1090,"TOO LOW",IF(I381&gt;1090,"TOO HIGH",""))</f>
        <v/>
      </c>
      <c r="K381" s="15" t="n">
        <f aca="false">IF(J381&lt;&gt;"",0,IF(I381&gt;979,1000,I381))</f>
        <v>232</v>
      </c>
      <c r="L381" s="7" t="n">
        <f aca="false">K381/10</f>
        <v>23.2</v>
      </c>
    </row>
    <row r="382" customFormat="false" ht="15" hidden="false" customHeight="false" outlineLevel="0" collapsed="false">
      <c r="A382" s="7" t="n">
        <v>377</v>
      </c>
      <c r="B382" s="7" t="n">
        <f aca="false">A382/10</f>
        <v>37.7</v>
      </c>
      <c r="C382" s="7" t="n">
        <f aca="false">IF(AND(A382=0,c_TCREEP&gt;0),10*c_TCREEP,IF(AND(A382&lt;=c_TRNGMIN,A382&gt;=c_TRNGMAX,c_TRNGMIN-c_TRNGMAX&lt;&gt;0),-10*c_TMINRN+QUOTIENT((c_TMAXRN-c_TMINRN)*(100-QUOTIENT((A382-c_TRNGMAX)*100,c_TRNGMIN-c_TRNGMAX)),-10),0))</f>
        <v>0</v>
      </c>
      <c r="D382" s="7" t="n">
        <f aca="false">IF(((c_TMAP1IN)-(c_TFWD))=0,(0)+QUOTIENT(((c_TMAP1OUT)-(0)),2),QUOTIENT((((A382)-(c_TFWD))*((c_TMAP1OUT)-(0))+IF(((c_TMAP1OUT)-(0))&gt;=0,1,-1)*QUOTIENT(((c_TMAP1IN)-(c_TFWD)),2)),((c_TMAP1IN)-(c_TFWD)))+(0)+IF(((c_TMAP1OUT)-(0))&gt;=0,IF(IF(o_WRAP=1,MOD(((c_TMAP1IN)-(c_TFWD))*(((A382)-(c_TFWD))*((c_TMAP1OUT)-(0))+IF(((c_TMAP1OUT)-(0))&gt;=0,1,-1)*QUOTIENT(((c_TMAP1IN)-(c_TFWD)),2))+2147483648,4294967296)-2147483648,((c_TMAP1IN)-(c_TFWD))*(((A382)-(c_TFWD))*((c_TMAP1OUT)-(0))+IF(((c_TMAP1OUT)-(0))&gt;=0,1,-1)*QUOTIENT(((c_TMAP1IN)-(c_TFWD)),2)))&lt;0,-1,0),IF(IF(o_WRAP=1,MOD(((c_TMAP1IN)-(c_TFWD))*(((A382)-(c_TFWD))*((c_TMAP1OUT)-(0))+IF(((c_TMAP1OUT)-(0))&gt;=0,1,-1)*QUOTIENT(((c_TMAP1IN)-(c_TFWD)),2))+2147483648,4294967296)-2147483648,((c_TMAP1IN)-(c_TFWD))*(((A382)-(c_TFWD))*((c_TMAP1OUT)-(0))+IF(((c_TMAP1OUT)-(0))&gt;=0,1,-1)*QUOTIENT(((c_TMAP1IN)-(c_TFWD)),2)))&gt;=0,1,0)))</f>
        <v>285</v>
      </c>
      <c r="E382" s="7" t="n">
        <f aca="false">IF(((c_TMAP2IN)-(c_TMAP1IN))=0,(c_TMAP1OUT)+QUOTIENT(((c_TMAP2OUT)-(c_TMAP1OUT)),2),QUOTIENT((((A382)-(c_TMAP1IN))*((c_TMAP2OUT)-(c_TMAP1OUT))+IF(((c_TMAP2OUT)-(c_TMAP1OUT))&gt;=0,1,-1)*QUOTIENT(((c_TMAP2IN)-(c_TMAP1IN)),2)),((c_TMAP2IN)-(c_TMAP1IN)))+(c_TMAP1OUT)+IF(((c_TMAP2OUT)-(c_TMAP1OUT))&gt;=0,IF(IF(o_WRAP=1,MOD(((c_TMAP2IN)-(c_TMAP1IN))*(((A382)-(c_TMAP1IN))*((c_TMAP2OUT)-(c_TMAP1OUT))+IF(((c_TMAP2OUT)-(c_TMAP1OUT))&gt;=0,1,-1)*QUOTIENT(((c_TMAP2IN)-(c_TMAP1IN)),2))+2147483648,4294967296)-2147483648,((c_TMAP2IN)-(c_TMAP1IN))*(((A382)-(c_TMAP1IN))*((c_TMAP2OUT)-(c_TMAP1OUT))+IF(((c_TMAP2OUT)-(c_TMAP1OUT))&gt;=0,1,-1)*QUOTIENT(((c_TMAP2IN)-(c_TMAP1IN)),2)))&lt;0,-1,0),IF(IF(o_WRAP=1,MOD(((c_TMAP2IN)-(c_TMAP1IN))*(((A382)-(c_TMAP1IN))*((c_TMAP2OUT)-(c_TMAP1OUT))+IF(((c_TMAP2OUT)-(c_TMAP1OUT))&gt;=0,1,-1)*QUOTIENT(((c_TMAP2IN)-(c_TMAP1IN)),2))+2147483648,4294967296)-2147483648,((c_TMAP2IN)-(c_TMAP1IN))*(((A382)-(c_TMAP1IN))*((c_TMAP2OUT)-(c_TMAP1OUT))+IF(((c_TMAP2OUT)-(c_TMAP1OUT))&gt;=0,1,-1)*QUOTIENT(((c_TMAP2IN)-(c_TMAP1IN)),2)))&gt;=0,1,0)))</f>
        <v>181</v>
      </c>
      <c r="F382" s="7" t="n">
        <f aca="false">IF(((c_TMAP3IN)-(c_TMAP2IN))=0,(c_TMAP2OUT)+QUOTIENT(((c_TMAP3OUT)-(c_TMAP2OUT)),2),QUOTIENT((((A382)-(c_TMAP2IN))*((c_TMAP3OUT)-(c_TMAP2OUT))+IF(((c_TMAP3OUT)-(c_TMAP2OUT))&gt;=0,1,-1)*QUOTIENT(((c_TMAP3IN)-(c_TMAP2IN)),2)),((c_TMAP3IN)-(c_TMAP2IN)))+(c_TMAP2OUT)+IF(((c_TMAP3OUT)-(c_TMAP2OUT))&gt;=0,IF(IF(o_WRAP=1,MOD(((c_TMAP3IN)-(c_TMAP2IN))*(((A382)-(c_TMAP2IN))*((c_TMAP3OUT)-(c_TMAP2OUT))+IF(((c_TMAP3OUT)-(c_TMAP2OUT))&gt;=0,1,-1)*QUOTIENT(((c_TMAP3IN)-(c_TMAP2IN)),2))+2147483648,4294967296)-2147483648,((c_TMAP3IN)-(c_TMAP2IN))*(((A382)-(c_TMAP2IN))*((c_TMAP3OUT)-(c_TMAP2OUT))+IF(((c_TMAP3OUT)-(c_TMAP2OUT))&gt;=0,1,-1)*QUOTIENT(((c_TMAP3IN)-(c_TMAP2IN)),2)))&lt;0,-1,0),IF(IF(o_WRAP=1,MOD(((c_TMAP3IN)-(c_TMAP2IN))*(((A382)-(c_TMAP2IN))*((c_TMAP3OUT)-(c_TMAP2OUT))+IF(((c_TMAP3OUT)-(c_TMAP2OUT))&gt;=0,1,-1)*QUOTIENT(((c_TMAP3IN)-(c_TMAP2IN)),2))+2147483648,4294967296)-2147483648,((c_TMAP3IN)-(c_TMAP2IN))*(((A382)-(c_TMAP2IN))*((c_TMAP3OUT)-(c_TMAP2OUT))+IF(((c_TMAP3OUT)-(c_TMAP2OUT))&gt;=0,1,-1)*QUOTIENT(((c_TMAP3IN)-(c_TMAP2IN)),2)))&gt;=0,1,0)))</f>
        <v>219</v>
      </c>
      <c r="G382" s="7" t="n">
        <f aca="false">IF(((1000)-(c_TMAP3IN))=0,(c_TMAP3OUT)+QUOTIENT(((1000)-(c_TMAP3OUT)),2),QUOTIENT((((A382)-(c_TMAP3IN))*((1000)-(c_TMAP3OUT))+IF(((1000)-(c_TMAP3OUT))&gt;=0,1,-1)*QUOTIENT(((1000)-(c_TMAP3IN)),2)),((1000)-(c_TMAP3IN)))+(c_TMAP3OUT)+IF(((1000)-(c_TMAP3OUT))&gt;=0,IF(IF(o_WRAP=1,MOD(((1000)-(c_TMAP3IN))*(((A382)-(c_TMAP3IN))*((1000)-(c_TMAP3OUT))+IF(((1000)-(c_TMAP3OUT))&gt;=0,1,-1)*QUOTIENT(((1000)-(c_TMAP3IN)),2))+2147483648,4294967296)-2147483648,((1000)-(c_TMAP3IN))*(((A382)-(c_TMAP3IN))*((1000)-(c_TMAP3OUT))+IF(((1000)-(c_TMAP3OUT))&gt;=0,1,-1)*QUOTIENT(((1000)-(c_TMAP3IN)),2)))&lt;0,-1,0),IF(IF(o_WRAP=1,MOD(((1000)-(c_TMAP3IN))*(((A382)-(c_TMAP3IN))*((1000)-(c_TMAP3OUT))+IF(((1000)-(c_TMAP3OUT))&gt;=0,1,-1)*QUOTIENT(((1000)-(c_TMAP3IN)),2))+2147483648,4294967296)-2147483648,((1000)-(c_TMAP3IN))*(((A382)-(c_TMAP3IN))*((1000)-(c_TMAP3OUT))+IF(((1000)-(c_TMAP3OUT))&gt;=0,1,-1)*QUOTIENT(((1000)-(c_TMAP3IN)),2)))&gt;=0,1,0)))</f>
        <v>233</v>
      </c>
      <c r="H382" s="7" t="str">
        <f aca="false">IF(A382&gt;=c_TFWD,IF(AND(A382&gt;=c_TMAP3IN,c_TMAP3IN&lt;1000),"Seg4 map3-100%",IF(AND(A382&gt;=c_TMAP2IN,c_TMAP3IN&gt;c_TMAP2IN),"Seg3 map2-map3",IF(AND(A382&gt;=c_TMAP1IN,c_TMAP2IN&gt;c_TMAP1IN),"Seg2 map1-map2","Seg1 TFWD-map1"))),IF(AND(A382=0,c_TCREEP&gt;0),"Creep",IF(AND(A382&lt;=c_TRNGMIN,A382&gt;=c_TRNGMAX,c_TRNGMIN-c_TRNGMAX&lt;&gt;0),"Regen ramp","Coast (0)")))</f>
        <v>Seg4 map3-100%</v>
      </c>
      <c r="I382" s="7" t="n">
        <f aca="false">IF(A382&gt;=c_TFWD,IF(AND(A382&gt;=c_TMAP3IN,c_TMAP3IN&lt;1000),G382,IF(AND(A382&gt;=c_TMAP2IN,c_TMAP3IN&gt;c_TMAP2IN),F382,IF(AND(A382&gt;=c_TMAP1IN,c_TMAP2IN&gt;c_TMAP1IN),E382,D382))),C382)</f>
        <v>233</v>
      </c>
      <c r="J382" s="7" t="str">
        <f aca="false">IF(I382&lt;-1090,"TOO LOW",IF(I382&gt;1090,"TOO HIGH",""))</f>
        <v/>
      </c>
      <c r="K382" s="15" t="n">
        <f aca="false">IF(J382&lt;&gt;"",0,IF(I382&gt;979,1000,I382))</f>
        <v>233</v>
      </c>
      <c r="L382" s="7" t="n">
        <f aca="false">K382/10</f>
        <v>23.3</v>
      </c>
    </row>
    <row r="383" customFormat="false" ht="15" hidden="false" customHeight="false" outlineLevel="0" collapsed="false">
      <c r="A383" s="7" t="n">
        <v>378</v>
      </c>
      <c r="B383" s="7" t="n">
        <f aca="false">A383/10</f>
        <v>37.8</v>
      </c>
      <c r="C383" s="7" t="n">
        <f aca="false">IF(AND(A383=0,c_TCREEP&gt;0),10*c_TCREEP,IF(AND(A383&lt;=c_TRNGMIN,A383&gt;=c_TRNGMAX,c_TRNGMIN-c_TRNGMAX&lt;&gt;0),-10*c_TMINRN+QUOTIENT((c_TMAXRN-c_TMINRN)*(100-QUOTIENT((A383-c_TRNGMAX)*100,c_TRNGMIN-c_TRNGMAX)),-10),0))</f>
        <v>0</v>
      </c>
      <c r="D383" s="7" t="n">
        <f aca="false">IF(((c_TMAP1IN)-(c_TFWD))=0,(0)+QUOTIENT(((c_TMAP1OUT)-(0)),2),QUOTIENT((((A383)-(c_TFWD))*((c_TMAP1OUT)-(0))+IF(((c_TMAP1OUT)-(0))&gt;=0,1,-1)*QUOTIENT(((c_TMAP1IN)-(c_TFWD)),2)),((c_TMAP1IN)-(c_TFWD)))+(0)+IF(((c_TMAP1OUT)-(0))&gt;=0,IF(IF(o_WRAP=1,MOD(((c_TMAP1IN)-(c_TFWD))*(((A383)-(c_TFWD))*((c_TMAP1OUT)-(0))+IF(((c_TMAP1OUT)-(0))&gt;=0,1,-1)*QUOTIENT(((c_TMAP1IN)-(c_TFWD)),2))+2147483648,4294967296)-2147483648,((c_TMAP1IN)-(c_TFWD))*(((A383)-(c_TFWD))*((c_TMAP1OUT)-(0))+IF(((c_TMAP1OUT)-(0))&gt;=0,1,-1)*QUOTIENT(((c_TMAP1IN)-(c_TFWD)),2)))&lt;0,-1,0),IF(IF(o_WRAP=1,MOD(((c_TMAP1IN)-(c_TFWD))*(((A383)-(c_TFWD))*((c_TMAP1OUT)-(0))+IF(((c_TMAP1OUT)-(0))&gt;=0,1,-1)*QUOTIENT(((c_TMAP1IN)-(c_TFWD)),2))+2147483648,4294967296)-2147483648,((c_TMAP1IN)-(c_TFWD))*(((A383)-(c_TFWD))*((c_TMAP1OUT)-(0))+IF(((c_TMAP1OUT)-(0))&gt;=0,1,-1)*QUOTIENT(((c_TMAP1IN)-(c_TFWD)),2)))&gt;=0,1,0)))</f>
        <v>286</v>
      </c>
      <c r="E383" s="7" t="n">
        <f aca="false">IF(((c_TMAP2IN)-(c_TMAP1IN))=0,(c_TMAP1OUT)+QUOTIENT(((c_TMAP2OUT)-(c_TMAP1OUT)),2),QUOTIENT((((A383)-(c_TMAP1IN))*((c_TMAP2OUT)-(c_TMAP1OUT))+IF(((c_TMAP2OUT)-(c_TMAP1OUT))&gt;=0,1,-1)*QUOTIENT(((c_TMAP2IN)-(c_TMAP1IN)),2)),((c_TMAP2IN)-(c_TMAP1IN)))+(c_TMAP1OUT)+IF(((c_TMAP2OUT)-(c_TMAP1OUT))&gt;=0,IF(IF(o_WRAP=1,MOD(((c_TMAP2IN)-(c_TMAP1IN))*(((A383)-(c_TMAP1IN))*((c_TMAP2OUT)-(c_TMAP1OUT))+IF(((c_TMAP2OUT)-(c_TMAP1OUT))&gt;=0,1,-1)*QUOTIENT(((c_TMAP2IN)-(c_TMAP1IN)),2))+2147483648,4294967296)-2147483648,((c_TMAP2IN)-(c_TMAP1IN))*(((A383)-(c_TMAP1IN))*((c_TMAP2OUT)-(c_TMAP1OUT))+IF(((c_TMAP2OUT)-(c_TMAP1OUT))&gt;=0,1,-1)*QUOTIENT(((c_TMAP2IN)-(c_TMAP1IN)),2)))&lt;0,-1,0),IF(IF(o_WRAP=1,MOD(((c_TMAP2IN)-(c_TMAP1IN))*(((A383)-(c_TMAP1IN))*((c_TMAP2OUT)-(c_TMAP1OUT))+IF(((c_TMAP2OUT)-(c_TMAP1OUT))&gt;=0,1,-1)*QUOTIENT(((c_TMAP2IN)-(c_TMAP1IN)),2))+2147483648,4294967296)-2147483648,((c_TMAP2IN)-(c_TMAP1IN))*(((A383)-(c_TMAP1IN))*((c_TMAP2OUT)-(c_TMAP1OUT))+IF(((c_TMAP2OUT)-(c_TMAP1OUT))&gt;=0,1,-1)*QUOTIENT(((c_TMAP2IN)-(c_TMAP1IN)),2)))&gt;=0,1,0)))</f>
        <v>181</v>
      </c>
      <c r="F383" s="7" t="n">
        <f aca="false">IF(((c_TMAP3IN)-(c_TMAP2IN))=0,(c_TMAP2OUT)+QUOTIENT(((c_TMAP3OUT)-(c_TMAP2OUT)),2),QUOTIENT((((A383)-(c_TMAP2IN))*((c_TMAP3OUT)-(c_TMAP2OUT))+IF(((c_TMAP3OUT)-(c_TMAP2OUT))&gt;=0,1,-1)*QUOTIENT(((c_TMAP3IN)-(c_TMAP2IN)),2)),((c_TMAP3IN)-(c_TMAP2IN)))+(c_TMAP2OUT)+IF(((c_TMAP3OUT)-(c_TMAP2OUT))&gt;=0,IF(IF(o_WRAP=1,MOD(((c_TMAP3IN)-(c_TMAP2IN))*(((A383)-(c_TMAP2IN))*((c_TMAP3OUT)-(c_TMAP2OUT))+IF(((c_TMAP3OUT)-(c_TMAP2OUT))&gt;=0,1,-1)*QUOTIENT(((c_TMAP3IN)-(c_TMAP2IN)),2))+2147483648,4294967296)-2147483648,((c_TMAP3IN)-(c_TMAP2IN))*(((A383)-(c_TMAP2IN))*((c_TMAP3OUT)-(c_TMAP2OUT))+IF(((c_TMAP3OUT)-(c_TMAP2OUT))&gt;=0,1,-1)*QUOTIENT(((c_TMAP3IN)-(c_TMAP2IN)),2)))&lt;0,-1,0),IF(IF(o_WRAP=1,MOD(((c_TMAP3IN)-(c_TMAP2IN))*(((A383)-(c_TMAP2IN))*((c_TMAP3OUT)-(c_TMAP2OUT))+IF(((c_TMAP3OUT)-(c_TMAP2OUT))&gt;=0,1,-1)*QUOTIENT(((c_TMAP3IN)-(c_TMAP2IN)),2))+2147483648,4294967296)-2147483648,((c_TMAP3IN)-(c_TMAP2IN))*(((A383)-(c_TMAP2IN))*((c_TMAP3OUT)-(c_TMAP2OUT))+IF(((c_TMAP3OUT)-(c_TMAP2OUT))&gt;=0,1,-1)*QUOTIENT(((c_TMAP3IN)-(c_TMAP2IN)),2)))&gt;=0,1,0)))</f>
        <v>220</v>
      </c>
      <c r="G383" s="7" t="n">
        <f aca="false">IF(((1000)-(c_TMAP3IN))=0,(c_TMAP3OUT)+QUOTIENT(((1000)-(c_TMAP3OUT)),2),QUOTIENT((((A383)-(c_TMAP3IN))*((1000)-(c_TMAP3OUT))+IF(((1000)-(c_TMAP3OUT))&gt;=0,1,-1)*QUOTIENT(((1000)-(c_TMAP3IN)),2)),((1000)-(c_TMAP3IN)))+(c_TMAP3OUT)+IF(((1000)-(c_TMAP3OUT))&gt;=0,IF(IF(o_WRAP=1,MOD(((1000)-(c_TMAP3IN))*(((A383)-(c_TMAP3IN))*((1000)-(c_TMAP3OUT))+IF(((1000)-(c_TMAP3OUT))&gt;=0,1,-1)*QUOTIENT(((1000)-(c_TMAP3IN)),2))+2147483648,4294967296)-2147483648,((1000)-(c_TMAP3IN))*(((A383)-(c_TMAP3IN))*((1000)-(c_TMAP3OUT))+IF(((1000)-(c_TMAP3OUT))&gt;=0,1,-1)*QUOTIENT(((1000)-(c_TMAP3IN)),2)))&lt;0,-1,0),IF(IF(o_WRAP=1,MOD(((1000)-(c_TMAP3IN))*(((A383)-(c_TMAP3IN))*((1000)-(c_TMAP3OUT))+IF(((1000)-(c_TMAP3OUT))&gt;=0,1,-1)*QUOTIENT(((1000)-(c_TMAP3IN)),2))+2147483648,4294967296)-2147483648,((1000)-(c_TMAP3IN))*(((A383)-(c_TMAP3IN))*((1000)-(c_TMAP3OUT))+IF(((1000)-(c_TMAP3OUT))&gt;=0,1,-1)*QUOTIENT(((1000)-(c_TMAP3IN)),2)))&gt;=0,1,0)))</f>
        <v>234</v>
      </c>
      <c r="H383" s="7" t="str">
        <f aca="false">IF(A383&gt;=c_TFWD,IF(AND(A383&gt;=c_TMAP3IN,c_TMAP3IN&lt;1000),"Seg4 map3-100%",IF(AND(A383&gt;=c_TMAP2IN,c_TMAP3IN&gt;c_TMAP2IN),"Seg3 map2-map3",IF(AND(A383&gt;=c_TMAP1IN,c_TMAP2IN&gt;c_TMAP1IN),"Seg2 map1-map2","Seg1 TFWD-map1"))),IF(AND(A383=0,c_TCREEP&gt;0),"Creep",IF(AND(A383&lt;=c_TRNGMIN,A383&gt;=c_TRNGMAX,c_TRNGMIN-c_TRNGMAX&lt;&gt;0),"Regen ramp","Coast (0)")))</f>
        <v>Seg4 map3-100%</v>
      </c>
      <c r="I383" s="7" t="n">
        <f aca="false">IF(A383&gt;=c_TFWD,IF(AND(A383&gt;=c_TMAP3IN,c_TMAP3IN&lt;1000),G383,IF(AND(A383&gt;=c_TMAP2IN,c_TMAP3IN&gt;c_TMAP2IN),F383,IF(AND(A383&gt;=c_TMAP1IN,c_TMAP2IN&gt;c_TMAP1IN),E383,D383))),C383)</f>
        <v>234</v>
      </c>
      <c r="J383" s="7" t="str">
        <f aca="false">IF(I383&lt;-1090,"TOO LOW",IF(I383&gt;1090,"TOO HIGH",""))</f>
        <v/>
      </c>
      <c r="K383" s="15" t="n">
        <f aca="false">IF(J383&lt;&gt;"",0,IF(I383&gt;979,1000,I383))</f>
        <v>234</v>
      </c>
      <c r="L383" s="7" t="n">
        <f aca="false">K383/10</f>
        <v>23.4</v>
      </c>
    </row>
    <row r="384" customFormat="false" ht="15" hidden="false" customHeight="false" outlineLevel="0" collapsed="false">
      <c r="A384" s="7" t="n">
        <v>379</v>
      </c>
      <c r="B384" s="7" t="n">
        <f aca="false">A384/10</f>
        <v>37.9</v>
      </c>
      <c r="C384" s="7" t="n">
        <f aca="false">IF(AND(A384=0,c_TCREEP&gt;0),10*c_TCREEP,IF(AND(A384&lt;=c_TRNGMIN,A384&gt;=c_TRNGMAX,c_TRNGMIN-c_TRNGMAX&lt;&gt;0),-10*c_TMINRN+QUOTIENT((c_TMAXRN-c_TMINRN)*(100-QUOTIENT((A384-c_TRNGMAX)*100,c_TRNGMIN-c_TRNGMAX)),-10),0))</f>
        <v>0</v>
      </c>
      <c r="D384" s="7" t="n">
        <f aca="false">IF(((c_TMAP1IN)-(c_TFWD))=0,(0)+QUOTIENT(((c_TMAP1OUT)-(0)),2),QUOTIENT((((A384)-(c_TFWD))*((c_TMAP1OUT)-(0))+IF(((c_TMAP1OUT)-(0))&gt;=0,1,-1)*QUOTIENT(((c_TMAP1IN)-(c_TFWD)),2)),((c_TMAP1IN)-(c_TFWD)))+(0)+IF(((c_TMAP1OUT)-(0))&gt;=0,IF(IF(o_WRAP=1,MOD(((c_TMAP1IN)-(c_TFWD))*(((A384)-(c_TFWD))*((c_TMAP1OUT)-(0))+IF(((c_TMAP1OUT)-(0))&gt;=0,1,-1)*QUOTIENT(((c_TMAP1IN)-(c_TFWD)),2))+2147483648,4294967296)-2147483648,((c_TMAP1IN)-(c_TFWD))*(((A384)-(c_TFWD))*((c_TMAP1OUT)-(0))+IF(((c_TMAP1OUT)-(0))&gt;=0,1,-1)*QUOTIENT(((c_TMAP1IN)-(c_TFWD)),2)))&lt;0,-1,0),IF(IF(o_WRAP=1,MOD(((c_TMAP1IN)-(c_TFWD))*(((A384)-(c_TFWD))*((c_TMAP1OUT)-(0))+IF(((c_TMAP1OUT)-(0))&gt;=0,1,-1)*QUOTIENT(((c_TMAP1IN)-(c_TFWD)),2))+2147483648,4294967296)-2147483648,((c_TMAP1IN)-(c_TFWD))*(((A384)-(c_TFWD))*((c_TMAP1OUT)-(0))+IF(((c_TMAP1OUT)-(0))&gt;=0,1,-1)*QUOTIENT(((c_TMAP1IN)-(c_TFWD)),2)))&gt;=0,1,0)))</f>
        <v>287</v>
      </c>
      <c r="E384" s="7" t="n">
        <f aca="false">IF(((c_TMAP2IN)-(c_TMAP1IN))=0,(c_TMAP1OUT)+QUOTIENT(((c_TMAP2OUT)-(c_TMAP1OUT)),2),QUOTIENT((((A384)-(c_TMAP1IN))*((c_TMAP2OUT)-(c_TMAP1OUT))+IF(((c_TMAP2OUT)-(c_TMAP1OUT))&gt;=0,1,-1)*QUOTIENT(((c_TMAP2IN)-(c_TMAP1IN)),2)),((c_TMAP2IN)-(c_TMAP1IN)))+(c_TMAP1OUT)+IF(((c_TMAP2OUT)-(c_TMAP1OUT))&gt;=0,IF(IF(o_WRAP=1,MOD(((c_TMAP2IN)-(c_TMAP1IN))*(((A384)-(c_TMAP1IN))*((c_TMAP2OUT)-(c_TMAP1OUT))+IF(((c_TMAP2OUT)-(c_TMAP1OUT))&gt;=0,1,-1)*QUOTIENT(((c_TMAP2IN)-(c_TMAP1IN)),2))+2147483648,4294967296)-2147483648,((c_TMAP2IN)-(c_TMAP1IN))*(((A384)-(c_TMAP1IN))*((c_TMAP2OUT)-(c_TMAP1OUT))+IF(((c_TMAP2OUT)-(c_TMAP1OUT))&gt;=0,1,-1)*QUOTIENT(((c_TMAP2IN)-(c_TMAP1IN)),2)))&lt;0,-1,0),IF(IF(o_WRAP=1,MOD(((c_TMAP2IN)-(c_TMAP1IN))*(((A384)-(c_TMAP1IN))*((c_TMAP2OUT)-(c_TMAP1OUT))+IF(((c_TMAP2OUT)-(c_TMAP1OUT))&gt;=0,1,-1)*QUOTIENT(((c_TMAP2IN)-(c_TMAP1IN)),2))+2147483648,4294967296)-2147483648,((c_TMAP2IN)-(c_TMAP1IN))*(((A384)-(c_TMAP1IN))*((c_TMAP2OUT)-(c_TMAP1OUT))+IF(((c_TMAP2OUT)-(c_TMAP1OUT))&gt;=0,1,-1)*QUOTIENT(((c_TMAP2IN)-(c_TMAP1IN)),2)))&gt;=0,1,0)))</f>
        <v>182</v>
      </c>
      <c r="F384" s="7" t="n">
        <f aca="false">IF(((c_TMAP3IN)-(c_TMAP2IN))=0,(c_TMAP2OUT)+QUOTIENT(((c_TMAP3OUT)-(c_TMAP2OUT)),2),QUOTIENT((((A384)-(c_TMAP2IN))*((c_TMAP3OUT)-(c_TMAP2OUT))+IF(((c_TMAP3OUT)-(c_TMAP2OUT))&gt;=0,1,-1)*QUOTIENT(((c_TMAP3IN)-(c_TMAP2IN)),2)),((c_TMAP3IN)-(c_TMAP2IN)))+(c_TMAP2OUT)+IF(((c_TMAP3OUT)-(c_TMAP2OUT))&gt;=0,IF(IF(o_WRAP=1,MOD(((c_TMAP3IN)-(c_TMAP2IN))*(((A384)-(c_TMAP2IN))*((c_TMAP3OUT)-(c_TMAP2OUT))+IF(((c_TMAP3OUT)-(c_TMAP2OUT))&gt;=0,1,-1)*QUOTIENT(((c_TMAP3IN)-(c_TMAP2IN)),2))+2147483648,4294967296)-2147483648,((c_TMAP3IN)-(c_TMAP2IN))*(((A384)-(c_TMAP2IN))*((c_TMAP3OUT)-(c_TMAP2OUT))+IF(((c_TMAP3OUT)-(c_TMAP2OUT))&gt;=0,1,-1)*QUOTIENT(((c_TMAP3IN)-(c_TMAP2IN)),2)))&lt;0,-1,0),IF(IF(o_WRAP=1,MOD(((c_TMAP3IN)-(c_TMAP2IN))*(((A384)-(c_TMAP2IN))*((c_TMAP3OUT)-(c_TMAP2OUT))+IF(((c_TMAP3OUT)-(c_TMAP2OUT))&gt;=0,1,-1)*QUOTIENT(((c_TMAP3IN)-(c_TMAP2IN)),2))+2147483648,4294967296)-2147483648,((c_TMAP3IN)-(c_TMAP2IN))*(((A384)-(c_TMAP2IN))*((c_TMAP3OUT)-(c_TMAP2OUT))+IF(((c_TMAP3OUT)-(c_TMAP2OUT))&gt;=0,1,-1)*QUOTIENT(((c_TMAP3IN)-(c_TMAP2IN)),2)))&gt;=0,1,0)))</f>
        <v>220</v>
      </c>
      <c r="G384" s="7" t="n">
        <f aca="false">IF(((1000)-(c_TMAP3IN))=0,(c_TMAP3OUT)+QUOTIENT(((1000)-(c_TMAP3OUT)),2),QUOTIENT((((A384)-(c_TMAP3IN))*((1000)-(c_TMAP3OUT))+IF(((1000)-(c_TMAP3OUT))&gt;=0,1,-1)*QUOTIENT(((1000)-(c_TMAP3IN)),2)),((1000)-(c_TMAP3IN)))+(c_TMAP3OUT)+IF(((1000)-(c_TMAP3OUT))&gt;=0,IF(IF(o_WRAP=1,MOD(((1000)-(c_TMAP3IN))*(((A384)-(c_TMAP3IN))*((1000)-(c_TMAP3OUT))+IF(((1000)-(c_TMAP3OUT))&gt;=0,1,-1)*QUOTIENT(((1000)-(c_TMAP3IN)),2))+2147483648,4294967296)-2147483648,((1000)-(c_TMAP3IN))*(((A384)-(c_TMAP3IN))*((1000)-(c_TMAP3OUT))+IF(((1000)-(c_TMAP3OUT))&gt;=0,1,-1)*QUOTIENT(((1000)-(c_TMAP3IN)),2)))&lt;0,-1,0),IF(IF(o_WRAP=1,MOD(((1000)-(c_TMAP3IN))*(((A384)-(c_TMAP3IN))*((1000)-(c_TMAP3OUT))+IF(((1000)-(c_TMAP3OUT))&gt;=0,1,-1)*QUOTIENT(((1000)-(c_TMAP3IN)),2))+2147483648,4294967296)-2147483648,((1000)-(c_TMAP3IN))*(((A384)-(c_TMAP3IN))*((1000)-(c_TMAP3OUT))+IF(((1000)-(c_TMAP3OUT))&gt;=0,1,-1)*QUOTIENT(((1000)-(c_TMAP3IN)),2)))&gt;=0,1,0)))</f>
        <v>236</v>
      </c>
      <c r="H384" s="7" t="str">
        <f aca="false">IF(A384&gt;=c_TFWD,IF(AND(A384&gt;=c_TMAP3IN,c_TMAP3IN&lt;1000),"Seg4 map3-100%",IF(AND(A384&gt;=c_TMAP2IN,c_TMAP3IN&gt;c_TMAP2IN),"Seg3 map2-map3",IF(AND(A384&gt;=c_TMAP1IN,c_TMAP2IN&gt;c_TMAP1IN),"Seg2 map1-map2","Seg1 TFWD-map1"))),IF(AND(A384=0,c_TCREEP&gt;0),"Creep",IF(AND(A384&lt;=c_TRNGMIN,A384&gt;=c_TRNGMAX,c_TRNGMIN-c_TRNGMAX&lt;&gt;0),"Regen ramp","Coast (0)")))</f>
        <v>Seg4 map3-100%</v>
      </c>
      <c r="I384" s="7" t="n">
        <f aca="false">IF(A384&gt;=c_TFWD,IF(AND(A384&gt;=c_TMAP3IN,c_TMAP3IN&lt;1000),G384,IF(AND(A384&gt;=c_TMAP2IN,c_TMAP3IN&gt;c_TMAP2IN),F384,IF(AND(A384&gt;=c_TMAP1IN,c_TMAP2IN&gt;c_TMAP1IN),E384,D384))),C384)</f>
        <v>236</v>
      </c>
      <c r="J384" s="7" t="str">
        <f aca="false">IF(I384&lt;-1090,"TOO LOW",IF(I384&gt;1090,"TOO HIGH",""))</f>
        <v/>
      </c>
      <c r="K384" s="15" t="n">
        <f aca="false">IF(J384&lt;&gt;"",0,IF(I384&gt;979,1000,I384))</f>
        <v>236</v>
      </c>
      <c r="L384" s="7" t="n">
        <f aca="false">K384/10</f>
        <v>23.6</v>
      </c>
    </row>
    <row r="385" customFormat="false" ht="15" hidden="false" customHeight="false" outlineLevel="0" collapsed="false">
      <c r="A385" s="7" t="n">
        <v>380</v>
      </c>
      <c r="B385" s="7" t="n">
        <f aca="false">A385/10</f>
        <v>38</v>
      </c>
      <c r="C385" s="7" t="n">
        <f aca="false">IF(AND(A385=0,c_TCREEP&gt;0),10*c_TCREEP,IF(AND(A385&lt;=c_TRNGMIN,A385&gt;=c_TRNGMAX,c_TRNGMIN-c_TRNGMAX&lt;&gt;0),-10*c_TMINRN+QUOTIENT((c_TMAXRN-c_TMINRN)*(100-QUOTIENT((A385-c_TRNGMAX)*100,c_TRNGMIN-c_TRNGMAX)),-10),0))</f>
        <v>0</v>
      </c>
      <c r="D385" s="7" t="n">
        <f aca="false">IF(((c_TMAP1IN)-(c_TFWD))=0,(0)+QUOTIENT(((c_TMAP1OUT)-(0)),2),QUOTIENT((((A385)-(c_TFWD))*((c_TMAP1OUT)-(0))+IF(((c_TMAP1OUT)-(0))&gt;=0,1,-1)*QUOTIENT(((c_TMAP1IN)-(c_TFWD)),2)),((c_TMAP1IN)-(c_TFWD)))+(0)+IF(((c_TMAP1OUT)-(0))&gt;=0,IF(IF(o_WRAP=1,MOD(((c_TMAP1IN)-(c_TFWD))*(((A385)-(c_TFWD))*((c_TMAP1OUT)-(0))+IF(((c_TMAP1OUT)-(0))&gt;=0,1,-1)*QUOTIENT(((c_TMAP1IN)-(c_TFWD)),2))+2147483648,4294967296)-2147483648,((c_TMAP1IN)-(c_TFWD))*(((A385)-(c_TFWD))*((c_TMAP1OUT)-(0))+IF(((c_TMAP1OUT)-(0))&gt;=0,1,-1)*QUOTIENT(((c_TMAP1IN)-(c_TFWD)),2)))&lt;0,-1,0),IF(IF(o_WRAP=1,MOD(((c_TMAP1IN)-(c_TFWD))*(((A385)-(c_TFWD))*((c_TMAP1OUT)-(0))+IF(((c_TMAP1OUT)-(0))&gt;=0,1,-1)*QUOTIENT(((c_TMAP1IN)-(c_TFWD)),2))+2147483648,4294967296)-2147483648,((c_TMAP1IN)-(c_TFWD))*(((A385)-(c_TFWD))*((c_TMAP1OUT)-(0))+IF(((c_TMAP1OUT)-(0))&gt;=0,1,-1)*QUOTIENT(((c_TMAP1IN)-(c_TFWD)),2)))&gt;=0,1,0)))</f>
        <v>288</v>
      </c>
      <c r="E385" s="7" t="n">
        <f aca="false">IF(((c_TMAP2IN)-(c_TMAP1IN))=0,(c_TMAP1OUT)+QUOTIENT(((c_TMAP2OUT)-(c_TMAP1OUT)),2),QUOTIENT((((A385)-(c_TMAP1IN))*((c_TMAP2OUT)-(c_TMAP1OUT))+IF(((c_TMAP2OUT)-(c_TMAP1OUT))&gt;=0,1,-1)*QUOTIENT(((c_TMAP2IN)-(c_TMAP1IN)),2)),((c_TMAP2IN)-(c_TMAP1IN)))+(c_TMAP1OUT)+IF(((c_TMAP2OUT)-(c_TMAP1OUT))&gt;=0,IF(IF(o_WRAP=1,MOD(((c_TMAP2IN)-(c_TMAP1IN))*(((A385)-(c_TMAP1IN))*((c_TMAP2OUT)-(c_TMAP1OUT))+IF(((c_TMAP2OUT)-(c_TMAP1OUT))&gt;=0,1,-1)*QUOTIENT(((c_TMAP2IN)-(c_TMAP1IN)),2))+2147483648,4294967296)-2147483648,((c_TMAP2IN)-(c_TMAP1IN))*(((A385)-(c_TMAP1IN))*((c_TMAP2OUT)-(c_TMAP1OUT))+IF(((c_TMAP2OUT)-(c_TMAP1OUT))&gt;=0,1,-1)*QUOTIENT(((c_TMAP2IN)-(c_TMAP1IN)),2)))&lt;0,-1,0),IF(IF(o_WRAP=1,MOD(((c_TMAP2IN)-(c_TMAP1IN))*(((A385)-(c_TMAP1IN))*((c_TMAP2OUT)-(c_TMAP1OUT))+IF(((c_TMAP2OUT)-(c_TMAP1OUT))&gt;=0,1,-1)*QUOTIENT(((c_TMAP2IN)-(c_TMAP1IN)),2))+2147483648,4294967296)-2147483648,((c_TMAP2IN)-(c_TMAP1IN))*(((A385)-(c_TMAP1IN))*((c_TMAP2OUT)-(c_TMAP1OUT))+IF(((c_TMAP2OUT)-(c_TMAP1OUT))&gt;=0,1,-1)*QUOTIENT(((c_TMAP2IN)-(c_TMAP1IN)),2)))&gt;=0,1,0)))</f>
        <v>182</v>
      </c>
      <c r="F385" s="7" t="n">
        <f aca="false">IF(((c_TMAP3IN)-(c_TMAP2IN))=0,(c_TMAP2OUT)+QUOTIENT(((c_TMAP3OUT)-(c_TMAP2OUT)),2),QUOTIENT((((A385)-(c_TMAP2IN))*((c_TMAP3OUT)-(c_TMAP2OUT))+IF(((c_TMAP3OUT)-(c_TMAP2OUT))&gt;=0,1,-1)*QUOTIENT(((c_TMAP3IN)-(c_TMAP2IN)),2)),((c_TMAP3IN)-(c_TMAP2IN)))+(c_TMAP2OUT)+IF(((c_TMAP3OUT)-(c_TMAP2OUT))&gt;=0,IF(IF(o_WRAP=1,MOD(((c_TMAP3IN)-(c_TMAP2IN))*(((A385)-(c_TMAP2IN))*((c_TMAP3OUT)-(c_TMAP2OUT))+IF(((c_TMAP3OUT)-(c_TMAP2OUT))&gt;=0,1,-1)*QUOTIENT(((c_TMAP3IN)-(c_TMAP2IN)),2))+2147483648,4294967296)-2147483648,((c_TMAP3IN)-(c_TMAP2IN))*(((A385)-(c_TMAP2IN))*((c_TMAP3OUT)-(c_TMAP2OUT))+IF(((c_TMAP3OUT)-(c_TMAP2OUT))&gt;=0,1,-1)*QUOTIENT(((c_TMAP3IN)-(c_TMAP2IN)),2)))&lt;0,-1,0),IF(IF(o_WRAP=1,MOD(((c_TMAP3IN)-(c_TMAP2IN))*(((A385)-(c_TMAP2IN))*((c_TMAP3OUT)-(c_TMAP2OUT))+IF(((c_TMAP3OUT)-(c_TMAP2OUT))&gt;=0,1,-1)*QUOTIENT(((c_TMAP3IN)-(c_TMAP2IN)),2))+2147483648,4294967296)-2147483648,((c_TMAP3IN)-(c_TMAP2IN))*(((A385)-(c_TMAP2IN))*((c_TMAP3OUT)-(c_TMAP2OUT))+IF(((c_TMAP3OUT)-(c_TMAP2OUT))&gt;=0,1,-1)*QUOTIENT(((c_TMAP3IN)-(c_TMAP2IN)),2)))&gt;=0,1,0)))</f>
        <v>221</v>
      </c>
      <c r="G385" s="7" t="n">
        <f aca="false">IF(((1000)-(c_TMAP3IN))=0,(c_TMAP3OUT)+QUOTIENT(((1000)-(c_TMAP3OUT)),2),QUOTIENT((((A385)-(c_TMAP3IN))*((1000)-(c_TMAP3OUT))+IF(((1000)-(c_TMAP3OUT))&gt;=0,1,-1)*QUOTIENT(((1000)-(c_TMAP3IN)),2)),((1000)-(c_TMAP3IN)))+(c_TMAP3OUT)+IF(((1000)-(c_TMAP3OUT))&gt;=0,IF(IF(o_WRAP=1,MOD(((1000)-(c_TMAP3IN))*(((A385)-(c_TMAP3IN))*((1000)-(c_TMAP3OUT))+IF(((1000)-(c_TMAP3OUT))&gt;=0,1,-1)*QUOTIENT(((1000)-(c_TMAP3IN)),2))+2147483648,4294967296)-2147483648,((1000)-(c_TMAP3IN))*(((A385)-(c_TMAP3IN))*((1000)-(c_TMAP3OUT))+IF(((1000)-(c_TMAP3OUT))&gt;=0,1,-1)*QUOTIENT(((1000)-(c_TMAP3IN)),2)))&lt;0,-1,0),IF(IF(o_WRAP=1,MOD(((1000)-(c_TMAP3IN))*(((A385)-(c_TMAP3IN))*((1000)-(c_TMAP3OUT))+IF(((1000)-(c_TMAP3OUT))&gt;=0,1,-1)*QUOTIENT(((1000)-(c_TMAP3IN)),2))+2147483648,4294967296)-2147483648,((1000)-(c_TMAP3IN))*(((A385)-(c_TMAP3IN))*((1000)-(c_TMAP3OUT))+IF(((1000)-(c_TMAP3OUT))&gt;=0,1,-1)*QUOTIENT(((1000)-(c_TMAP3IN)),2)))&gt;=0,1,0)))</f>
        <v>237</v>
      </c>
      <c r="H385" s="7" t="str">
        <f aca="false">IF(A385&gt;=c_TFWD,IF(AND(A385&gt;=c_TMAP3IN,c_TMAP3IN&lt;1000),"Seg4 map3-100%",IF(AND(A385&gt;=c_TMAP2IN,c_TMAP3IN&gt;c_TMAP2IN),"Seg3 map2-map3",IF(AND(A385&gt;=c_TMAP1IN,c_TMAP2IN&gt;c_TMAP1IN),"Seg2 map1-map2","Seg1 TFWD-map1"))),IF(AND(A385=0,c_TCREEP&gt;0),"Creep",IF(AND(A385&lt;=c_TRNGMIN,A385&gt;=c_TRNGMAX,c_TRNGMIN-c_TRNGMAX&lt;&gt;0),"Regen ramp","Coast (0)")))</f>
        <v>Seg4 map3-100%</v>
      </c>
      <c r="I385" s="7" t="n">
        <f aca="false">IF(A385&gt;=c_TFWD,IF(AND(A385&gt;=c_TMAP3IN,c_TMAP3IN&lt;1000),G385,IF(AND(A385&gt;=c_TMAP2IN,c_TMAP3IN&gt;c_TMAP2IN),F385,IF(AND(A385&gt;=c_TMAP1IN,c_TMAP2IN&gt;c_TMAP1IN),E385,D385))),C385)</f>
        <v>237</v>
      </c>
      <c r="J385" s="7" t="str">
        <f aca="false">IF(I385&lt;-1090,"TOO LOW",IF(I385&gt;1090,"TOO HIGH",""))</f>
        <v/>
      </c>
      <c r="K385" s="15" t="n">
        <f aca="false">IF(J385&lt;&gt;"",0,IF(I385&gt;979,1000,I385))</f>
        <v>237</v>
      </c>
      <c r="L385" s="7" t="n">
        <f aca="false">K385/10</f>
        <v>23.7</v>
      </c>
    </row>
    <row r="386" customFormat="false" ht="15" hidden="false" customHeight="false" outlineLevel="0" collapsed="false">
      <c r="A386" s="7" t="n">
        <v>381</v>
      </c>
      <c r="B386" s="7" t="n">
        <f aca="false">A386/10</f>
        <v>38.1</v>
      </c>
      <c r="C386" s="7" t="n">
        <f aca="false">IF(AND(A386=0,c_TCREEP&gt;0),10*c_TCREEP,IF(AND(A386&lt;=c_TRNGMIN,A386&gt;=c_TRNGMAX,c_TRNGMIN-c_TRNGMAX&lt;&gt;0),-10*c_TMINRN+QUOTIENT((c_TMAXRN-c_TMINRN)*(100-QUOTIENT((A386-c_TRNGMAX)*100,c_TRNGMIN-c_TRNGMAX)),-10),0))</f>
        <v>0</v>
      </c>
      <c r="D386" s="7" t="n">
        <f aca="false">IF(((c_TMAP1IN)-(c_TFWD))=0,(0)+QUOTIENT(((c_TMAP1OUT)-(0)),2),QUOTIENT((((A386)-(c_TFWD))*((c_TMAP1OUT)-(0))+IF(((c_TMAP1OUT)-(0))&gt;=0,1,-1)*QUOTIENT(((c_TMAP1IN)-(c_TFWD)),2)),((c_TMAP1IN)-(c_TFWD)))+(0)+IF(((c_TMAP1OUT)-(0))&gt;=0,IF(IF(o_WRAP=1,MOD(((c_TMAP1IN)-(c_TFWD))*(((A386)-(c_TFWD))*((c_TMAP1OUT)-(0))+IF(((c_TMAP1OUT)-(0))&gt;=0,1,-1)*QUOTIENT(((c_TMAP1IN)-(c_TFWD)),2))+2147483648,4294967296)-2147483648,((c_TMAP1IN)-(c_TFWD))*(((A386)-(c_TFWD))*((c_TMAP1OUT)-(0))+IF(((c_TMAP1OUT)-(0))&gt;=0,1,-1)*QUOTIENT(((c_TMAP1IN)-(c_TFWD)),2)))&lt;0,-1,0),IF(IF(o_WRAP=1,MOD(((c_TMAP1IN)-(c_TFWD))*(((A386)-(c_TFWD))*((c_TMAP1OUT)-(0))+IF(((c_TMAP1OUT)-(0))&gt;=0,1,-1)*QUOTIENT(((c_TMAP1IN)-(c_TFWD)),2))+2147483648,4294967296)-2147483648,((c_TMAP1IN)-(c_TFWD))*(((A386)-(c_TFWD))*((c_TMAP1OUT)-(0))+IF(((c_TMAP1OUT)-(0))&gt;=0,1,-1)*QUOTIENT(((c_TMAP1IN)-(c_TFWD)),2)))&gt;=0,1,0)))</f>
        <v>289</v>
      </c>
      <c r="E386" s="7" t="n">
        <f aca="false">IF(((c_TMAP2IN)-(c_TMAP1IN))=0,(c_TMAP1OUT)+QUOTIENT(((c_TMAP2OUT)-(c_TMAP1OUT)),2),QUOTIENT((((A386)-(c_TMAP1IN))*((c_TMAP2OUT)-(c_TMAP1OUT))+IF(((c_TMAP2OUT)-(c_TMAP1OUT))&gt;=0,1,-1)*QUOTIENT(((c_TMAP2IN)-(c_TMAP1IN)),2)),((c_TMAP2IN)-(c_TMAP1IN)))+(c_TMAP1OUT)+IF(((c_TMAP2OUT)-(c_TMAP1OUT))&gt;=0,IF(IF(o_WRAP=1,MOD(((c_TMAP2IN)-(c_TMAP1IN))*(((A386)-(c_TMAP1IN))*((c_TMAP2OUT)-(c_TMAP1OUT))+IF(((c_TMAP2OUT)-(c_TMAP1OUT))&gt;=0,1,-1)*QUOTIENT(((c_TMAP2IN)-(c_TMAP1IN)),2))+2147483648,4294967296)-2147483648,((c_TMAP2IN)-(c_TMAP1IN))*(((A386)-(c_TMAP1IN))*((c_TMAP2OUT)-(c_TMAP1OUT))+IF(((c_TMAP2OUT)-(c_TMAP1OUT))&gt;=0,1,-1)*QUOTIENT(((c_TMAP2IN)-(c_TMAP1IN)),2)))&lt;0,-1,0),IF(IF(o_WRAP=1,MOD(((c_TMAP2IN)-(c_TMAP1IN))*(((A386)-(c_TMAP1IN))*((c_TMAP2OUT)-(c_TMAP1OUT))+IF(((c_TMAP2OUT)-(c_TMAP1OUT))&gt;=0,1,-1)*QUOTIENT(((c_TMAP2IN)-(c_TMAP1IN)),2))+2147483648,4294967296)-2147483648,((c_TMAP2IN)-(c_TMAP1IN))*(((A386)-(c_TMAP1IN))*((c_TMAP2OUT)-(c_TMAP1OUT))+IF(((c_TMAP2OUT)-(c_TMAP1OUT))&gt;=0,1,-1)*QUOTIENT(((c_TMAP2IN)-(c_TMAP1IN)),2)))&gt;=0,1,0)))</f>
        <v>182</v>
      </c>
      <c r="F386" s="7" t="n">
        <f aca="false">IF(((c_TMAP3IN)-(c_TMAP2IN))=0,(c_TMAP2OUT)+QUOTIENT(((c_TMAP3OUT)-(c_TMAP2OUT)),2),QUOTIENT((((A386)-(c_TMAP2IN))*((c_TMAP3OUT)-(c_TMAP2OUT))+IF(((c_TMAP3OUT)-(c_TMAP2OUT))&gt;=0,1,-1)*QUOTIENT(((c_TMAP3IN)-(c_TMAP2IN)),2)),((c_TMAP3IN)-(c_TMAP2IN)))+(c_TMAP2OUT)+IF(((c_TMAP3OUT)-(c_TMAP2OUT))&gt;=0,IF(IF(o_WRAP=1,MOD(((c_TMAP3IN)-(c_TMAP2IN))*(((A386)-(c_TMAP2IN))*((c_TMAP3OUT)-(c_TMAP2OUT))+IF(((c_TMAP3OUT)-(c_TMAP2OUT))&gt;=0,1,-1)*QUOTIENT(((c_TMAP3IN)-(c_TMAP2IN)),2))+2147483648,4294967296)-2147483648,((c_TMAP3IN)-(c_TMAP2IN))*(((A386)-(c_TMAP2IN))*((c_TMAP3OUT)-(c_TMAP2OUT))+IF(((c_TMAP3OUT)-(c_TMAP2OUT))&gt;=0,1,-1)*QUOTIENT(((c_TMAP3IN)-(c_TMAP2IN)),2)))&lt;0,-1,0),IF(IF(o_WRAP=1,MOD(((c_TMAP3IN)-(c_TMAP2IN))*(((A386)-(c_TMAP2IN))*((c_TMAP3OUT)-(c_TMAP2OUT))+IF(((c_TMAP3OUT)-(c_TMAP2OUT))&gt;=0,1,-1)*QUOTIENT(((c_TMAP3IN)-(c_TMAP2IN)),2))+2147483648,4294967296)-2147483648,((c_TMAP3IN)-(c_TMAP2IN))*(((A386)-(c_TMAP2IN))*((c_TMAP3OUT)-(c_TMAP2OUT))+IF(((c_TMAP3OUT)-(c_TMAP2OUT))&gt;=0,1,-1)*QUOTIENT(((c_TMAP3IN)-(c_TMAP2IN)),2)))&gt;=0,1,0)))</f>
        <v>222</v>
      </c>
      <c r="G386" s="7" t="n">
        <f aca="false">IF(((1000)-(c_TMAP3IN))=0,(c_TMAP3OUT)+QUOTIENT(((1000)-(c_TMAP3OUT)),2),QUOTIENT((((A386)-(c_TMAP3IN))*((1000)-(c_TMAP3OUT))+IF(((1000)-(c_TMAP3OUT))&gt;=0,1,-1)*QUOTIENT(((1000)-(c_TMAP3IN)),2)),((1000)-(c_TMAP3IN)))+(c_TMAP3OUT)+IF(((1000)-(c_TMAP3OUT))&gt;=0,IF(IF(o_WRAP=1,MOD(((1000)-(c_TMAP3IN))*(((A386)-(c_TMAP3IN))*((1000)-(c_TMAP3OUT))+IF(((1000)-(c_TMAP3OUT))&gt;=0,1,-1)*QUOTIENT(((1000)-(c_TMAP3IN)),2))+2147483648,4294967296)-2147483648,((1000)-(c_TMAP3IN))*(((A386)-(c_TMAP3IN))*((1000)-(c_TMAP3OUT))+IF(((1000)-(c_TMAP3OUT))&gt;=0,1,-1)*QUOTIENT(((1000)-(c_TMAP3IN)),2)))&lt;0,-1,0),IF(IF(o_WRAP=1,MOD(((1000)-(c_TMAP3IN))*(((A386)-(c_TMAP3IN))*((1000)-(c_TMAP3OUT))+IF(((1000)-(c_TMAP3OUT))&gt;=0,1,-1)*QUOTIENT(((1000)-(c_TMAP3IN)),2))+2147483648,4294967296)-2147483648,((1000)-(c_TMAP3IN))*(((A386)-(c_TMAP3IN))*((1000)-(c_TMAP3OUT))+IF(((1000)-(c_TMAP3OUT))&gt;=0,1,-1)*QUOTIENT(((1000)-(c_TMAP3IN)),2)))&gt;=0,1,0)))</f>
        <v>238</v>
      </c>
      <c r="H386" s="7" t="str">
        <f aca="false">IF(A386&gt;=c_TFWD,IF(AND(A386&gt;=c_TMAP3IN,c_TMAP3IN&lt;1000),"Seg4 map3-100%",IF(AND(A386&gt;=c_TMAP2IN,c_TMAP3IN&gt;c_TMAP2IN),"Seg3 map2-map3",IF(AND(A386&gt;=c_TMAP1IN,c_TMAP2IN&gt;c_TMAP1IN),"Seg2 map1-map2","Seg1 TFWD-map1"))),IF(AND(A386=0,c_TCREEP&gt;0),"Creep",IF(AND(A386&lt;=c_TRNGMIN,A386&gt;=c_TRNGMAX,c_TRNGMIN-c_TRNGMAX&lt;&gt;0),"Regen ramp","Coast (0)")))</f>
        <v>Seg4 map3-100%</v>
      </c>
      <c r="I386" s="7" t="n">
        <f aca="false">IF(A386&gt;=c_TFWD,IF(AND(A386&gt;=c_TMAP3IN,c_TMAP3IN&lt;1000),G386,IF(AND(A386&gt;=c_TMAP2IN,c_TMAP3IN&gt;c_TMAP2IN),F386,IF(AND(A386&gt;=c_TMAP1IN,c_TMAP2IN&gt;c_TMAP1IN),E386,D386))),C386)</f>
        <v>238</v>
      </c>
      <c r="J386" s="7" t="str">
        <f aca="false">IF(I386&lt;-1090,"TOO LOW",IF(I386&gt;1090,"TOO HIGH",""))</f>
        <v/>
      </c>
      <c r="K386" s="15" t="n">
        <f aca="false">IF(J386&lt;&gt;"",0,IF(I386&gt;979,1000,I386))</f>
        <v>238</v>
      </c>
      <c r="L386" s="7" t="n">
        <f aca="false">K386/10</f>
        <v>23.8</v>
      </c>
    </row>
    <row r="387" customFormat="false" ht="15" hidden="false" customHeight="false" outlineLevel="0" collapsed="false">
      <c r="A387" s="7" t="n">
        <v>382</v>
      </c>
      <c r="B387" s="7" t="n">
        <f aca="false">A387/10</f>
        <v>38.2</v>
      </c>
      <c r="C387" s="7" t="n">
        <f aca="false">IF(AND(A387=0,c_TCREEP&gt;0),10*c_TCREEP,IF(AND(A387&lt;=c_TRNGMIN,A387&gt;=c_TRNGMAX,c_TRNGMIN-c_TRNGMAX&lt;&gt;0),-10*c_TMINRN+QUOTIENT((c_TMAXRN-c_TMINRN)*(100-QUOTIENT((A387-c_TRNGMAX)*100,c_TRNGMIN-c_TRNGMAX)),-10),0))</f>
        <v>0</v>
      </c>
      <c r="D387" s="7" t="n">
        <f aca="false">IF(((c_TMAP1IN)-(c_TFWD))=0,(0)+QUOTIENT(((c_TMAP1OUT)-(0)),2),QUOTIENT((((A387)-(c_TFWD))*((c_TMAP1OUT)-(0))+IF(((c_TMAP1OUT)-(0))&gt;=0,1,-1)*QUOTIENT(((c_TMAP1IN)-(c_TFWD)),2)),((c_TMAP1IN)-(c_TFWD)))+(0)+IF(((c_TMAP1OUT)-(0))&gt;=0,IF(IF(o_WRAP=1,MOD(((c_TMAP1IN)-(c_TFWD))*(((A387)-(c_TFWD))*((c_TMAP1OUT)-(0))+IF(((c_TMAP1OUT)-(0))&gt;=0,1,-1)*QUOTIENT(((c_TMAP1IN)-(c_TFWD)),2))+2147483648,4294967296)-2147483648,((c_TMAP1IN)-(c_TFWD))*(((A387)-(c_TFWD))*((c_TMAP1OUT)-(0))+IF(((c_TMAP1OUT)-(0))&gt;=0,1,-1)*QUOTIENT(((c_TMAP1IN)-(c_TFWD)),2)))&lt;0,-1,0),IF(IF(o_WRAP=1,MOD(((c_TMAP1IN)-(c_TFWD))*(((A387)-(c_TFWD))*((c_TMAP1OUT)-(0))+IF(((c_TMAP1OUT)-(0))&gt;=0,1,-1)*QUOTIENT(((c_TMAP1IN)-(c_TFWD)),2))+2147483648,4294967296)-2147483648,((c_TMAP1IN)-(c_TFWD))*(((A387)-(c_TFWD))*((c_TMAP1OUT)-(0))+IF(((c_TMAP1OUT)-(0))&gt;=0,1,-1)*QUOTIENT(((c_TMAP1IN)-(c_TFWD)),2)))&gt;=0,1,0)))</f>
        <v>289</v>
      </c>
      <c r="E387" s="7" t="n">
        <f aca="false">IF(((c_TMAP2IN)-(c_TMAP1IN))=0,(c_TMAP1OUT)+QUOTIENT(((c_TMAP2OUT)-(c_TMAP1OUT)),2),QUOTIENT((((A387)-(c_TMAP1IN))*((c_TMAP2OUT)-(c_TMAP1OUT))+IF(((c_TMAP2OUT)-(c_TMAP1OUT))&gt;=0,1,-1)*QUOTIENT(((c_TMAP2IN)-(c_TMAP1IN)),2)),((c_TMAP2IN)-(c_TMAP1IN)))+(c_TMAP1OUT)+IF(((c_TMAP2OUT)-(c_TMAP1OUT))&gt;=0,IF(IF(o_WRAP=1,MOD(((c_TMAP2IN)-(c_TMAP1IN))*(((A387)-(c_TMAP1IN))*((c_TMAP2OUT)-(c_TMAP1OUT))+IF(((c_TMAP2OUT)-(c_TMAP1OUT))&gt;=0,1,-1)*QUOTIENT(((c_TMAP2IN)-(c_TMAP1IN)),2))+2147483648,4294967296)-2147483648,((c_TMAP2IN)-(c_TMAP1IN))*(((A387)-(c_TMAP1IN))*((c_TMAP2OUT)-(c_TMAP1OUT))+IF(((c_TMAP2OUT)-(c_TMAP1OUT))&gt;=0,1,-1)*QUOTIENT(((c_TMAP2IN)-(c_TMAP1IN)),2)))&lt;0,-1,0),IF(IF(o_WRAP=1,MOD(((c_TMAP2IN)-(c_TMAP1IN))*(((A387)-(c_TMAP1IN))*((c_TMAP2OUT)-(c_TMAP1OUT))+IF(((c_TMAP2OUT)-(c_TMAP1OUT))&gt;=0,1,-1)*QUOTIENT(((c_TMAP2IN)-(c_TMAP1IN)),2))+2147483648,4294967296)-2147483648,((c_TMAP2IN)-(c_TMAP1IN))*(((A387)-(c_TMAP1IN))*((c_TMAP2OUT)-(c_TMAP1OUT))+IF(((c_TMAP2OUT)-(c_TMAP1OUT))&gt;=0,1,-1)*QUOTIENT(((c_TMAP2IN)-(c_TMAP1IN)),2)))&gt;=0,1,0)))</f>
        <v>183</v>
      </c>
      <c r="F387" s="7" t="n">
        <f aca="false">IF(((c_TMAP3IN)-(c_TMAP2IN))=0,(c_TMAP2OUT)+QUOTIENT(((c_TMAP3OUT)-(c_TMAP2OUT)),2),QUOTIENT((((A387)-(c_TMAP2IN))*((c_TMAP3OUT)-(c_TMAP2OUT))+IF(((c_TMAP3OUT)-(c_TMAP2OUT))&gt;=0,1,-1)*QUOTIENT(((c_TMAP3IN)-(c_TMAP2IN)),2)),((c_TMAP3IN)-(c_TMAP2IN)))+(c_TMAP2OUT)+IF(((c_TMAP3OUT)-(c_TMAP2OUT))&gt;=0,IF(IF(o_WRAP=1,MOD(((c_TMAP3IN)-(c_TMAP2IN))*(((A387)-(c_TMAP2IN))*((c_TMAP3OUT)-(c_TMAP2OUT))+IF(((c_TMAP3OUT)-(c_TMAP2OUT))&gt;=0,1,-1)*QUOTIENT(((c_TMAP3IN)-(c_TMAP2IN)),2))+2147483648,4294967296)-2147483648,((c_TMAP3IN)-(c_TMAP2IN))*(((A387)-(c_TMAP2IN))*((c_TMAP3OUT)-(c_TMAP2OUT))+IF(((c_TMAP3OUT)-(c_TMAP2OUT))&gt;=0,1,-1)*QUOTIENT(((c_TMAP3IN)-(c_TMAP2IN)),2)))&lt;0,-1,0),IF(IF(o_WRAP=1,MOD(((c_TMAP3IN)-(c_TMAP2IN))*(((A387)-(c_TMAP2IN))*((c_TMAP3OUT)-(c_TMAP2OUT))+IF(((c_TMAP3OUT)-(c_TMAP2OUT))&gt;=0,1,-1)*QUOTIENT(((c_TMAP3IN)-(c_TMAP2IN)),2))+2147483648,4294967296)-2147483648,((c_TMAP3IN)-(c_TMAP2IN))*(((A387)-(c_TMAP2IN))*((c_TMAP3OUT)-(c_TMAP2OUT))+IF(((c_TMAP3OUT)-(c_TMAP2OUT))&gt;=0,1,-1)*QUOTIENT(((c_TMAP3IN)-(c_TMAP2IN)),2)))&gt;=0,1,0)))</f>
        <v>222</v>
      </c>
      <c r="G387" s="7" t="n">
        <f aca="false">IF(((1000)-(c_TMAP3IN))=0,(c_TMAP3OUT)+QUOTIENT(((1000)-(c_TMAP3OUT)),2),QUOTIENT((((A387)-(c_TMAP3IN))*((1000)-(c_TMAP3OUT))+IF(((1000)-(c_TMAP3OUT))&gt;=0,1,-1)*QUOTIENT(((1000)-(c_TMAP3IN)),2)),((1000)-(c_TMAP3IN)))+(c_TMAP3OUT)+IF(((1000)-(c_TMAP3OUT))&gt;=0,IF(IF(o_WRAP=1,MOD(((1000)-(c_TMAP3IN))*(((A387)-(c_TMAP3IN))*((1000)-(c_TMAP3OUT))+IF(((1000)-(c_TMAP3OUT))&gt;=0,1,-1)*QUOTIENT(((1000)-(c_TMAP3IN)),2))+2147483648,4294967296)-2147483648,((1000)-(c_TMAP3IN))*(((A387)-(c_TMAP3IN))*((1000)-(c_TMAP3OUT))+IF(((1000)-(c_TMAP3OUT))&gt;=0,1,-1)*QUOTIENT(((1000)-(c_TMAP3IN)),2)))&lt;0,-1,0),IF(IF(o_WRAP=1,MOD(((1000)-(c_TMAP3IN))*(((A387)-(c_TMAP3IN))*((1000)-(c_TMAP3OUT))+IF(((1000)-(c_TMAP3OUT))&gt;=0,1,-1)*QUOTIENT(((1000)-(c_TMAP3IN)),2))+2147483648,4294967296)-2147483648,((1000)-(c_TMAP3IN))*(((A387)-(c_TMAP3IN))*((1000)-(c_TMAP3OUT))+IF(((1000)-(c_TMAP3OUT))&gt;=0,1,-1)*QUOTIENT(((1000)-(c_TMAP3IN)),2)))&gt;=0,1,0)))</f>
        <v>239</v>
      </c>
      <c r="H387" s="7" t="str">
        <f aca="false">IF(A387&gt;=c_TFWD,IF(AND(A387&gt;=c_TMAP3IN,c_TMAP3IN&lt;1000),"Seg4 map3-100%",IF(AND(A387&gt;=c_TMAP2IN,c_TMAP3IN&gt;c_TMAP2IN),"Seg3 map2-map3",IF(AND(A387&gt;=c_TMAP1IN,c_TMAP2IN&gt;c_TMAP1IN),"Seg2 map1-map2","Seg1 TFWD-map1"))),IF(AND(A387=0,c_TCREEP&gt;0),"Creep",IF(AND(A387&lt;=c_TRNGMIN,A387&gt;=c_TRNGMAX,c_TRNGMIN-c_TRNGMAX&lt;&gt;0),"Regen ramp","Coast (0)")))</f>
        <v>Seg4 map3-100%</v>
      </c>
      <c r="I387" s="7" t="n">
        <f aca="false">IF(A387&gt;=c_TFWD,IF(AND(A387&gt;=c_TMAP3IN,c_TMAP3IN&lt;1000),G387,IF(AND(A387&gt;=c_TMAP2IN,c_TMAP3IN&gt;c_TMAP2IN),F387,IF(AND(A387&gt;=c_TMAP1IN,c_TMAP2IN&gt;c_TMAP1IN),E387,D387))),C387)</f>
        <v>239</v>
      </c>
      <c r="J387" s="7" t="str">
        <f aca="false">IF(I387&lt;-1090,"TOO LOW",IF(I387&gt;1090,"TOO HIGH",""))</f>
        <v/>
      </c>
      <c r="K387" s="15" t="n">
        <f aca="false">IF(J387&lt;&gt;"",0,IF(I387&gt;979,1000,I387))</f>
        <v>239</v>
      </c>
      <c r="L387" s="7" t="n">
        <f aca="false">K387/10</f>
        <v>23.9</v>
      </c>
    </row>
    <row r="388" customFormat="false" ht="15" hidden="false" customHeight="false" outlineLevel="0" collapsed="false">
      <c r="A388" s="7" t="n">
        <v>383</v>
      </c>
      <c r="B388" s="7" t="n">
        <f aca="false">A388/10</f>
        <v>38.3</v>
      </c>
      <c r="C388" s="7" t="n">
        <f aca="false">IF(AND(A388=0,c_TCREEP&gt;0),10*c_TCREEP,IF(AND(A388&lt;=c_TRNGMIN,A388&gt;=c_TRNGMAX,c_TRNGMIN-c_TRNGMAX&lt;&gt;0),-10*c_TMINRN+QUOTIENT((c_TMAXRN-c_TMINRN)*(100-QUOTIENT((A388-c_TRNGMAX)*100,c_TRNGMIN-c_TRNGMAX)),-10),0))</f>
        <v>0</v>
      </c>
      <c r="D388" s="7" t="n">
        <f aca="false">IF(((c_TMAP1IN)-(c_TFWD))=0,(0)+QUOTIENT(((c_TMAP1OUT)-(0)),2),QUOTIENT((((A388)-(c_TFWD))*((c_TMAP1OUT)-(0))+IF(((c_TMAP1OUT)-(0))&gt;=0,1,-1)*QUOTIENT(((c_TMAP1IN)-(c_TFWD)),2)),((c_TMAP1IN)-(c_TFWD)))+(0)+IF(((c_TMAP1OUT)-(0))&gt;=0,IF(IF(o_WRAP=1,MOD(((c_TMAP1IN)-(c_TFWD))*(((A388)-(c_TFWD))*((c_TMAP1OUT)-(0))+IF(((c_TMAP1OUT)-(0))&gt;=0,1,-1)*QUOTIENT(((c_TMAP1IN)-(c_TFWD)),2))+2147483648,4294967296)-2147483648,((c_TMAP1IN)-(c_TFWD))*(((A388)-(c_TFWD))*((c_TMAP1OUT)-(0))+IF(((c_TMAP1OUT)-(0))&gt;=0,1,-1)*QUOTIENT(((c_TMAP1IN)-(c_TFWD)),2)))&lt;0,-1,0),IF(IF(o_WRAP=1,MOD(((c_TMAP1IN)-(c_TFWD))*(((A388)-(c_TFWD))*((c_TMAP1OUT)-(0))+IF(((c_TMAP1OUT)-(0))&gt;=0,1,-1)*QUOTIENT(((c_TMAP1IN)-(c_TFWD)),2))+2147483648,4294967296)-2147483648,((c_TMAP1IN)-(c_TFWD))*(((A388)-(c_TFWD))*((c_TMAP1OUT)-(0))+IF(((c_TMAP1OUT)-(0))&gt;=0,1,-1)*QUOTIENT(((c_TMAP1IN)-(c_TFWD)),2)))&gt;=0,1,0)))</f>
        <v>290</v>
      </c>
      <c r="E388" s="7" t="n">
        <f aca="false">IF(((c_TMAP2IN)-(c_TMAP1IN))=0,(c_TMAP1OUT)+QUOTIENT(((c_TMAP2OUT)-(c_TMAP1OUT)),2),QUOTIENT((((A388)-(c_TMAP1IN))*((c_TMAP2OUT)-(c_TMAP1OUT))+IF(((c_TMAP2OUT)-(c_TMAP1OUT))&gt;=0,1,-1)*QUOTIENT(((c_TMAP2IN)-(c_TMAP1IN)),2)),((c_TMAP2IN)-(c_TMAP1IN)))+(c_TMAP1OUT)+IF(((c_TMAP2OUT)-(c_TMAP1OUT))&gt;=0,IF(IF(o_WRAP=1,MOD(((c_TMAP2IN)-(c_TMAP1IN))*(((A388)-(c_TMAP1IN))*((c_TMAP2OUT)-(c_TMAP1OUT))+IF(((c_TMAP2OUT)-(c_TMAP1OUT))&gt;=0,1,-1)*QUOTIENT(((c_TMAP2IN)-(c_TMAP1IN)),2))+2147483648,4294967296)-2147483648,((c_TMAP2IN)-(c_TMAP1IN))*(((A388)-(c_TMAP1IN))*((c_TMAP2OUT)-(c_TMAP1OUT))+IF(((c_TMAP2OUT)-(c_TMAP1OUT))&gt;=0,1,-1)*QUOTIENT(((c_TMAP2IN)-(c_TMAP1IN)),2)))&lt;0,-1,0),IF(IF(o_WRAP=1,MOD(((c_TMAP2IN)-(c_TMAP1IN))*(((A388)-(c_TMAP1IN))*((c_TMAP2OUT)-(c_TMAP1OUT))+IF(((c_TMAP2OUT)-(c_TMAP1OUT))&gt;=0,1,-1)*QUOTIENT(((c_TMAP2IN)-(c_TMAP1IN)),2))+2147483648,4294967296)-2147483648,((c_TMAP2IN)-(c_TMAP1IN))*(((A388)-(c_TMAP1IN))*((c_TMAP2OUT)-(c_TMAP1OUT))+IF(((c_TMAP2OUT)-(c_TMAP1OUT))&gt;=0,1,-1)*QUOTIENT(((c_TMAP2IN)-(c_TMAP1IN)),2)))&gt;=0,1,0)))</f>
        <v>183</v>
      </c>
      <c r="F388" s="7" t="n">
        <f aca="false">IF(((c_TMAP3IN)-(c_TMAP2IN))=0,(c_TMAP2OUT)+QUOTIENT(((c_TMAP3OUT)-(c_TMAP2OUT)),2),QUOTIENT((((A388)-(c_TMAP2IN))*((c_TMAP3OUT)-(c_TMAP2OUT))+IF(((c_TMAP3OUT)-(c_TMAP2OUT))&gt;=0,1,-1)*QUOTIENT(((c_TMAP3IN)-(c_TMAP2IN)),2)),((c_TMAP3IN)-(c_TMAP2IN)))+(c_TMAP2OUT)+IF(((c_TMAP3OUT)-(c_TMAP2OUT))&gt;=0,IF(IF(o_WRAP=1,MOD(((c_TMAP3IN)-(c_TMAP2IN))*(((A388)-(c_TMAP2IN))*((c_TMAP3OUT)-(c_TMAP2OUT))+IF(((c_TMAP3OUT)-(c_TMAP2OUT))&gt;=0,1,-1)*QUOTIENT(((c_TMAP3IN)-(c_TMAP2IN)),2))+2147483648,4294967296)-2147483648,((c_TMAP3IN)-(c_TMAP2IN))*(((A388)-(c_TMAP2IN))*((c_TMAP3OUT)-(c_TMAP2OUT))+IF(((c_TMAP3OUT)-(c_TMAP2OUT))&gt;=0,1,-1)*QUOTIENT(((c_TMAP3IN)-(c_TMAP2IN)),2)))&lt;0,-1,0),IF(IF(o_WRAP=1,MOD(((c_TMAP3IN)-(c_TMAP2IN))*(((A388)-(c_TMAP2IN))*((c_TMAP3OUT)-(c_TMAP2OUT))+IF(((c_TMAP3OUT)-(c_TMAP2OUT))&gt;=0,1,-1)*QUOTIENT(((c_TMAP3IN)-(c_TMAP2IN)),2))+2147483648,4294967296)-2147483648,((c_TMAP3IN)-(c_TMAP2IN))*(((A388)-(c_TMAP2IN))*((c_TMAP3OUT)-(c_TMAP2OUT))+IF(((c_TMAP3OUT)-(c_TMAP2OUT))&gt;=0,1,-1)*QUOTIENT(((c_TMAP3IN)-(c_TMAP2IN)),2)))&gt;=0,1,0)))</f>
        <v>223</v>
      </c>
      <c r="G388" s="7" t="n">
        <f aca="false">IF(((1000)-(c_TMAP3IN))=0,(c_TMAP3OUT)+QUOTIENT(((1000)-(c_TMAP3OUT)),2),QUOTIENT((((A388)-(c_TMAP3IN))*((1000)-(c_TMAP3OUT))+IF(((1000)-(c_TMAP3OUT))&gt;=0,1,-1)*QUOTIENT(((1000)-(c_TMAP3IN)),2)),((1000)-(c_TMAP3IN)))+(c_TMAP3OUT)+IF(((1000)-(c_TMAP3OUT))&gt;=0,IF(IF(o_WRAP=1,MOD(((1000)-(c_TMAP3IN))*(((A388)-(c_TMAP3IN))*((1000)-(c_TMAP3OUT))+IF(((1000)-(c_TMAP3OUT))&gt;=0,1,-1)*QUOTIENT(((1000)-(c_TMAP3IN)),2))+2147483648,4294967296)-2147483648,((1000)-(c_TMAP3IN))*(((A388)-(c_TMAP3IN))*((1000)-(c_TMAP3OUT))+IF(((1000)-(c_TMAP3OUT))&gt;=0,1,-1)*QUOTIENT(((1000)-(c_TMAP3IN)),2)))&lt;0,-1,0),IF(IF(o_WRAP=1,MOD(((1000)-(c_TMAP3IN))*(((A388)-(c_TMAP3IN))*((1000)-(c_TMAP3OUT))+IF(((1000)-(c_TMAP3OUT))&gt;=0,1,-1)*QUOTIENT(((1000)-(c_TMAP3IN)),2))+2147483648,4294967296)-2147483648,((1000)-(c_TMAP3IN))*(((A388)-(c_TMAP3IN))*((1000)-(c_TMAP3OUT))+IF(((1000)-(c_TMAP3OUT))&gt;=0,1,-1)*QUOTIENT(((1000)-(c_TMAP3IN)),2)))&gt;=0,1,0)))</f>
        <v>241</v>
      </c>
      <c r="H388" s="7" t="str">
        <f aca="false">IF(A388&gt;=c_TFWD,IF(AND(A388&gt;=c_TMAP3IN,c_TMAP3IN&lt;1000),"Seg4 map3-100%",IF(AND(A388&gt;=c_TMAP2IN,c_TMAP3IN&gt;c_TMAP2IN),"Seg3 map2-map3",IF(AND(A388&gt;=c_TMAP1IN,c_TMAP2IN&gt;c_TMAP1IN),"Seg2 map1-map2","Seg1 TFWD-map1"))),IF(AND(A388=0,c_TCREEP&gt;0),"Creep",IF(AND(A388&lt;=c_TRNGMIN,A388&gt;=c_TRNGMAX,c_TRNGMIN-c_TRNGMAX&lt;&gt;0),"Regen ramp","Coast (0)")))</f>
        <v>Seg4 map3-100%</v>
      </c>
      <c r="I388" s="7" t="n">
        <f aca="false">IF(A388&gt;=c_TFWD,IF(AND(A388&gt;=c_TMAP3IN,c_TMAP3IN&lt;1000),G388,IF(AND(A388&gt;=c_TMAP2IN,c_TMAP3IN&gt;c_TMAP2IN),F388,IF(AND(A388&gt;=c_TMAP1IN,c_TMAP2IN&gt;c_TMAP1IN),E388,D388))),C388)</f>
        <v>241</v>
      </c>
      <c r="J388" s="7" t="str">
        <f aca="false">IF(I388&lt;-1090,"TOO LOW",IF(I388&gt;1090,"TOO HIGH",""))</f>
        <v/>
      </c>
      <c r="K388" s="15" t="n">
        <f aca="false">IF(J388&lt;&gt;"",0,IF(I388&gt;979,1000,I388))</f>
        <v>241</v>
      </c>
      <c r="L388" s="7" t="n">
        <f aca="false">K388/10</f>
        <v>24.1</v>
      </c>
    </row>
    <row r="389" customFormat="false" ht="15" hidden="false" customHeight="false" outlineLevel="0" collapsed="false">
      <c r="A389" s="7" t="n">
        <v>384</v>
      </c>
      <c r="B389" s="7" t="n">
        <f aca="false">A389/10</f>
        <v>38.4</v>
      </c>
      <c r="C389" s="7" t="n">
        <f aca="false">IF(AND(A389=0,c_TCREEP&gt;0),10*c_TCREEP,IF(AND(A389&lt;=c_TRNGMIN,A389&gt;=c_TRNGMAX,c_TRNGMIN-c_TRNGMAX&lt;&gt;0),-10*c_TMINRN+QUOTIENT((c_TMAXRN-c_TMINRN)*(100-QUOTIENT((A389-c_TRNGMAX)*100,c_TRNGMIN-c_TRNGMAX)),-10),0))</f>
        <v>0</v>
      </c>
      <c r="D389" s="7" t="n">
        <f aca="false">IF(((c_TMAP1IN)-(c_TFWD))=0,(0)+QUOTIENT(((c_TMAP1OUT)-(0)),2),QUOTIENT((((A389)-(c_TFWD))*((c_TMAP1OUT)-(0))+IF(((c_TMAP1OUT)-(0))&gt;=0,1,-1)*QUOTIENT(((c_TMAP1IN)-(c_TFWD)),2)),((c_TMAP1IN)-(c_TFWD)))+(0)+IF(((c_TMAP1OUT)-(0))&gt;=0,IF(IF(o_WRAP=1,MOD(((c_TMAP1IN)-(c_TFWD))*(((A389)-(c_TFWD))*((c_TMAP1OUT)-(0))+IF(((c_TMAP1OUT)-(0))&gt;=0,1,-1)*QUOTIENT(((c_TMAP1IN)-(c_TFWD)),2))+2147483648,4294967296)-2147483648,((c_TMAP1IN)-(c_TFWD))*(((A389)-(c_TFWD))*((c_TMAP1OUT)-(0))+IF(((c_TMAP1OUT)-(0))&gt;=0,1,-1)*QUOTIENT(((c_TMAP1IN)-(c_TFWD)),2)))&lt;0,-1,0),IF(IF(o_WRAP=1,MOD(((c_TMAP1IN)-(c_TFWD))*(((A389)-(c_TFWD))*((c_TMAP1OUT)-(0))+IF(((c_TMAP1OUT)-(0))&gt;=0,1,-1)*QUOTIENT(((c_TMAP1IN)-(c_TFWD)),2))+2147483648,4294967296)-2147483648,((c_TMAP1IN)-(c_TFWD))*(((A389)-(c_TFWD))*((c_TMAP1OUT)-(0))+IF(((c_TMAP1OUT)-(0))&gt;=0,1,-1)*QUOTIENT(((c_TMAP1IN)-(c_TFWD)),2)))&gt;=0,1,0)))</f>
        <v>291</v>
      </c>
      <c r="E389" s="7" t="n">
        <f aca="false">IF(((c_TMAP2IN)-(c_TMAP1IN))=0,(c_TMAP1OUT)+QUOTIENT(((c_TMAP2OUT)-(c_TMAP1OUT)),2),QUOTIENT((((A389)-(c_TMAP1IN))*((c_TMAP2OUT)-(c_TMAP1OUT))+IF(((c_TMAP2OUT)-(c_TMAP1OUT))&gt;=0,1,-1)*QUOTIENT(((c_TMAP2IN)-(c_TMAP1IN)),2)),((c_TMAP2IN)-(c_TMAP1IN)))+(c_TMAP1OUT)+IF(((c_TMAP2OUT)-(c_TMAP1OUT))&gt;=0,IF(IF(o_WRAP=1,MOD(((c_TMAP2IN)-(c_TMAP1IN))*(((A389)-(c_TMAP1IN))*((c_TMAP2OUT)-(c_TMAP1OUT))+IF(((c_TMAP2OUT)-(c_TMAP1OUT))&gt;=0,1,-1)*QUOTIENT(((c_TMAP2IN)-(c_TMAP1IN)),2))+2147483648,4294967296)-2147483648,((c_TMAP2IN)-(c_TMAP1IN))*(((A389)-(c_TMAP1IN))*((c_TMAP2OUT)-(c_TMAP1OUT))+IF(((c_TMAP2OUT)-(c_TMAP1OUT))&gt;=0,1,-1)*QUOTIENT(((c_TMAP2IN)-(c_TMAP1IN)),2)))&lt;0,-1,0),IF(IF(o_WRAP=1,MOD(((c_TMAP2IN)-(c_TMAP1IN))*(((A389)-(c_TMAP1IN))*((c_TMAP2OUT)-(c_TMAP1OUT))+IF(((c_TMAP2OUT)-(c_TMAP1OUT))&gt;=0,1,-1)*QUOTIENT(((c_TMAP2IN)-(c_TMAP1IN)),2))+2147483648,4294967296)-2147483648,((c_TMAP2IN)-(c_TMAP1IN))*(((A389)-(c_TMAP1IN))*((c_TMAP2OUT)-(c_TMAP1OUT))+IF(((c_TMAP2OUT)-(c_TMAP1OUT))&gt;=0,1,-1)*QUOTIENT(((c_TMAP2IN)-(c_TMAP1IN)),2)))&gt;=0,1,0)))</f>
        <v>184</v>
      </c>
      <c r="F389" s="7" t="n">
        <f aca="false">IF(((c_TMAP3IN)-(c_TMAP2IN))=0,(c_TMAP2OUT)+QUOTIENT(((c_TMAP3OUT)-(c_TMAP2OUT)),2),QUOTIENT((((A389)-(c_TMAP2IN))*((c_TMAP3OUT)-(c_TMAP2OUT))+IF(((c_TMAP3OUT)-(c_TMAP2OUT))&gt;=0,1,-1)*QUOTIENT(((c_TMAP3IN)-(c_TMAP2IN)),2)),((c_TMAP3IN)-(c_TMAP2IN)))+(c_TMAP2OUT)+IF(((c_TMAP3OUT)-(c_TMAP2OUT))&gt;=0,IF(IF(o_WRAP=1,MOD(((c_TMAP3IN)-(c_TMAP2IN))*(((A389)-(c_TMAP2IN))*((c_TMAP3OUT)-(c_TMAP2OUT))+IF(((c_TMAP3OUT)-(c_TMAP2OUT))&gt;=0,1,-1)*QUOTIENT(((c_TMAP3IN)-(c_TMAP2IN)),2))+2147483648,4294967296)-2147483648,((c_TMAP3IN)-(c_TMAP2IN))*(((A389)-(c_TMAP2IN))*((c_TMAP3OUT)-(c_TMAP2OUT))+IF(((c_TMAP3OUT)-(c_TMAP2OUT))&gt;=0,1,-1)*QUOTIENT(((c_TMAP3IN)-(c_TMAP2IN)),2)))&lt;0,-1,0),IF(IF(o_WRAP=1,MOD(((c_TMAP3IN)-(c_TMAP2IN))*(((A389)-(c_TMAP2IN))*((c_TMAP3OUT)-(c_TMAP2OUT))+IF(((c_TMAP3OUT)-(c_TMAP2OUT))&gt;=0,1,-1)*QUOTIENT(((c_TMAP3IN)-(c_TMAP2IN)),2))+2147483648,4294967296)-2147483648,((c_TMAP3IN)-(c_TMAP2IN))*(((A389)-(c_TMAP2IN))*((c_TMAP3OUT)-(c_TMAP2OUT))+IF(((c_TMAP3OUT)-(c_TMAP2OUT))&gt;=0,1,-1)*QUOTIENT(((c_TMAP3IN)-(c_TMAP2IN)),2)))&gt;=0,1,0)))</f>
        <v>224</v>
      </c>
      <c r="G389" s="7" t="n">
        <f aca="false">IF(((1000)-(c_TMAP3IN))=0,(c_TMAP3OUT)+QUOTIENT(((1000)-(c_TMAP3OUT)),2),QUOTIENT((((A389)-(c_TMAP3IN))*((1000)-(c_TMAP3OUT))+IF(((1000)-(c_TMAP3OUT))&gt;=0,1,-1)*QUOTIENT(((1000)-(c_TMAP3IN)),2)),((1000)-(c_TMAP3IN)))+(c_TMAP3OUT)+IF(((1000)-(c_TMAP3OUT))&gt;=0,IF(IF(o_WRAP=1,MOD(((1000)-(c_TMAP3IN))*(((A389)-(c_TMAP3IN))*((1000)-(c_TMAP3OUT))+IF(((1000)-(c_TMAP3OUT))&gt;=0,1,-1)*QUOTIENT(((1000)-(c_TMAP3IN)),2))+2147483648,4294967296)-2147483648,((1000)-(c_TMAP3IN))*(((A389)-(c_TMAP3IN))*((1000)-(c_TMAP3OUT))+IF(((1000)-(c_TMAP3OUT))&gt;=0,1,-1)*QUOTIENT(((1000)-(c_TMAP3IN)),2)))&lt;0,-1,0),IF(IF(o_WRAP=1,MOD(((1000)-(c_TMAP3IN))*(((A389)-(c_TMAP3IN))*((1000)-(c_TMAP3OUT))+IF(((1000)-(c_TMAP3OUT))&gt;=0,1,-1)*QUOTIENT(((1000)-(c_TMAP3IN)),2))+2147483648,4294967296)-2147483648,((1000)-(c_TMAP3IN))*(((A389)-(c_TMAP3IN))*((1000)-(c_TMAP3OUT))+IF(((1000)-(c_TMAP3OUT))&gt;=0,1,-1)*QUOTIENT(((1000)-(c_TMAP3IN)),2)))&gt;=0,1,0)))</f>
        <v>242</v>
      </c>
      <c r="H389" s="7" t="str">
        <f aca="false">IF(A389&gt;=c_TFWD,IF(AND(A389&gt;=c_TMAP3IN,c_TMAP3IN&lt;1000),"Seg4 map3-100%",IF(AND(A389&gt;=c_TMAP2IN,c_TMAP3IN&gt;c_TMAP2IN),"Seg3 map2-map3",IF(AND(A389&gt;=c_TMAP1IN,c_TMAP2IN&gt;c_TMAP1IN),"Seg2 map1-map2","Seg1 TFWD-map1"))),IF(AND(A389=0,c_TCREEP&gt;0),"Creep",IF(AND(A389&lt;=c_TRNGMIN,A389&gt;=c_TRNGMAX,c_TRNGMIN-c_TRNGMAX&lt;&gt;0),"Regen ramp","Coast (0)")))</f>
        <v>Seg4 map3-100%</v>
      </c>
      <c r="I389" s="7" t="n">
        <f aca="false">IF(A389&gt;=c_TFWD,IF(AND(A389&gt;=c_TMAP3IN,c_TMAP3IN&lt;1000),G389,IF(AND(A389&gt;=c_TMAP2IN,c_TMAP3IN&gt;c_TMAP2IN),F389,IF(AND(A389&gt;=c_TMAP1IN,c_TMAP2IN&gt;c_TMAP1IN),E389,D389))),C389)</f>
        <v>242</v>
      </c>
      <c r="J389" s="7" t="str">
        <f aca="false">IF(I389&lt;-1090,"TOO LOW",IF(I389&gt;1090,"TOO HIGH",""))</f>
        <v/>
      </c>
      <c r="K389" s="15" t="n">
        <f aca="false">IF(J389&lt;&gt;"",0,IF(I389&gt;979,1000,I389))</f>
        <v>242</v>
      </c>
      <c r="L389" s="7" t="n">
        <f aca="false">K389/10</f>
        <v>24.2</v>
      </c>
    </row>
    <row r="390" customFormat="false" ht="15" hidden="false" customHeight="false" outlineLevel="0" collapsed="false">
      <c r="A390" s="7" t="n">
        <v>385</v>
      </c>
      <c r="B390" s="7" t="n">
        <f aca="false">A390/10</f>
        <v>38.5</v>
      </c>
      <c r="C390" s="7" t="n">
        <f aca="false">IF(AND(A390=0,c_TCREEP&gt;0),10*c_TCREEP,IF(AND(A390&lt;=c_TRNGMIN,A390&gt;=c_TRNGMAX,c_TRNGMIN-c_TRNGMAX&lt;&gt;0),-10*c_TMINRN+QUOTIENT((c_TMAXRN-c_TMINRN)*(100-QUOTIENT((A390-c_TRNGMAX)*100,c_TRNGMIN-c_TRNGMAX)),-10),0))</f>
        <v>0</v>
      </c>
      <c r="D390" s="7" t="n">
        <f aca="false">IF(((c_TMAP1IN)-(c_TFWD))=0,(0)+QUOTIENT(((c_TMAP1OUT)-(0)),2),QUOTIENT((((A390)-(c_TFWD))*((c_TMAP1OUT)-(0))+IF(((c_TMAP1OUT)-(0))&gt;=0,1,-1)*QUOTIENT(((c_TMAP1IN)-(c_TFWD)),2)),((c_TMAP1IN)-(c_TFWD)))+(0)+IF(((c_TMAP1OUT)-(0))&gt;=0,IF(IF(o_WRAP=1,MOD(((c_TMAP1IN)-(c_TFWD))*(((A390)-(c_TFWD))*((c_TMAP1OUT)-(0))+IF(((c_TMAP1OUT)-(0))&gt;=0,1,-1)*QUOTIENT(((c_TMAP1IN)-(c_TFWD)),2))+2147483648,4294967296)-2147483648,((c_TMAP1IN)-(c_TFWD))*(((A390)-(c_TFWD))*((c_TMAP1OUT)-(0))+IF(((c_TMAP1OUT)-(0))&gt;=0,1,-1)*QUOTIENT(((c_TMAP1IN)-(c_TFWD)),2)))&lt;0,-1,0),IF(IF(o_WRAP=1,MOD(((c_TMAP1IN)-(c_TFWD))*(((A390)-(c_TFWD))*((c_TMAP1OUT)-(0))+IF(((c_TMAP1OUT)-(0))&gt;=0,1,-1)*QUOTIENT(((c_TMAP1IN)-(c_TFWD)),2))+2147483648,4294967296)-2147483648,((c_TMAP1IN)-(c_TFWD))*(((A390)-(c_TFWD))*((c_TMAP1OUT)-(0))+IF(((c_TMAP1OUT)-(0))&gt;=0,1,-1)*QUOTIENT(((c_TMAP1IN)-(c_TFWD)),2)))&gt;=0,1,0)))</f>
        <v>292</v>
      </c>
      <c r="E390" s="7" t="n">
        <f aca="false">IF(((c_TMAP2IN)-(c_TMAP1IN))=0,(c_TMAP1OUT)+QUOTIENT(((c_TMAP2OUT)-(c_TMAP1OUT)),2),QUOTIENT((((A390)-(c_TMAP1IN))*((c_TMAP2OUT)-(c_TMAP1OUT))+IF(((c_TMAP2OUT)-(c_TMAP1OUT))&gt;=0,1,-1)*QUOTIENT(((c_TMAP2IN)-(c_TMAP1IN)),2)),((c_TMAP2IN)-(c_TMAP1IN)))+(c_TMAP1OUT)+IF(((c_TMAP2OUT)-(c_TMAP1OUT))&gt;=0,IF(IF(o_WRAP=1,MOD(((c_TMAP2IN)-(c_TMAP1IN))*(((A390)-(c_TMAP1IN))*((c_TMAP2OUT)-(c_TMAP1OUT))+IF(((c_TMAP2OUT)-(c_TMAP1OUT))&gt;=0,1,-1)*QUOTIENT(((c_TMAP2IN)-(c_TMAP1IN)),2))+2147483648,4294967296)-2147483648,((c_TMAP2IN)-(c_TMAP1IN))*(((A390)-(c_TMAP1IN))*((c_TMAP2OUT)-(c_TMAP1OUT))+IF(((c_TMAP2OUT)-(c_TMAP1OUT))&gt;=0,1,-1)*QUOTIENT(((c_TMAP2IN)-(c_TMAP1IN)),2)))&lt;0,-1,0),IF(IF(o_WRAP=1,MOD(((c_TMAP2IN)-(c_TMAP1IN))*(((A390)-(c_TMAP1IN))*((c_TMAP2OUT)-(c_TMAP1OUT))+IF(((c_TMAP2OUT)-(c_TMAP1OUT))&gt;=0,1,-1)*QUOTIENT(((c_TMAP2IN)-(c_TMAP1IN)),2))+2147483648,4294967296)-2147483648,((c_TMAP2IN)-(c_TMAP1IN))*(((A390)-(c_TMAP1IN))*((c_TMAP2OUT)-(c_TMAP1OUT))+IF(((c_TMAP2OUT)-(c_TMAP1OUT))&gt;=0,1,-1)*QUOTIENT(((c_TMAP2IN)-(c_TMAP1IN)),2)))&gt;=0,1,0)))</f>
        <v>184</v>
      </c>
      <c r="F390" s="7" t="n">
        <f aca="false">IF(((c_TMAP3IN)-(c_TMAP2IN))=0,(c_TMAP2OUT)+QUOTIENT(((c_TMAP3OUT)-(c_TMAP2OUT)),2),QUOTIENT((((A390)-(c_TMAP2IN))*((c_TMAP3OUT)-(c_TMAP2OUT))+IF(((c_TMAP3OUT)-(c_TMAP2OUT))&gt;=0,1,-1)*QUOTIENT(((c_TMAP3IN)-(c_TMAP2IN)),2)),((c_TMAP3IN)-(c_TMAP2IN)))+(c_TMAP2OUT)+IF(((c_TMAP3OUT)-(c_TMAP2OUT))&gt;=0,IF(IF(o_WRAP=1,MOD(((c_TMAP3IN)-(c_TMAP2IN))*(((A390)-(c_TMAP2IN))*((c_TMAP3OUT)-(c_TMAP2OUT))+IF(((c_TMAP3OUT)-(c_TMAP2OUT))&gt;=0,1,-1)*QUOTIENT(((c_TMAP3IN)-(c_TMAP2IN)),2))+2147483648,4294967296)-2147483648,((c_TMAP3IN)-(c_TMAP2IN))*(((A390)-(c_TMAP2IN))*((c_TMAP3OUT)-(c_TMAP2OUT))+IF(((c_TMAP3OUT)-(c_TMAP2OUT))&gt;=0,1,-1)*QUOTIENT(((c_TMAP3IN)-(c_TMAP2IN)),2)))&lt;0,-1,0),IF(IF(o_WRAP=1,MOD(((c_TMAP3IN)-(c_TMAP2IN))*(((A390)-(c_TMAP2IN))*((c_TMAP3OUT)-(c_TMAP2OUT))+IF(((c_TMAP3OUT)-(c_TMAP2OUT))&gt;=0,1,-1)*QUOTIENT(((c_TMAP3IN)-(c_TMAP2IN)),2))+2147483648,4294967296)-2147483648,((c_TMAP3IN)-(c_TMAP2IN))*(((A390)-(c_TMAP2IN))*((c_TMAP3OUT)-(c_TMAP2OUT))+IF(((c_TMAP3OUT)-(c_TMAP2OUT))&gt;=0,1,-1)*QUOTIENT(((c_TMAP3IN)-(c_TMAP2IN)),2)))&gt;=0,1,0)))</f>
        <v>225</v>
      </c>
      <c r="G390" s="7" t="n">
        <f aca="false">IF(((1000)-(c_TMAP3IN))=0,(c_TMAP3OUT)+QUOTIENT(((1000)-(c_TMAP3OUT)),2),QUOTIENT((((A390)-(c_TMAP3IN))*((1000)-(c_TMAP3OUT))+IF(((1000)-(c_TMAP3OUT))&gt;=0,1,-1)*QUOTIENT(((1000)-(c_TMAP3IN)),2)),((1000)-(c_TMAP3IN)))+(c_TMAP3OUT)+IF(((1000)-(c_TMAP3OUT))&gt;=0,IF(IF(o_WRAP=1,MOD(((1000)-(c_TMAP3IN))*(((A390)-(c_TMAP3IN))*((1000)-(c_TMAP3OUT))+IF(((1000)-(c_TMAP3OUT))&gt;=0,1,-1)*QUOTIENT(((1000)-(c_TMAP3IN)),2))+2147483648,4294967296)-2147483648,((1000)-(c_TMAP3IN))*(((A390)-(c_TMAP3IN))*((1000)-(c_TMAP3OUT))+IF(((1000)-(c_TMAP3OUT))&gt;=0,1,-1)*QUOTIENT(((1000)-(c_TMAP3IN)),2)))&lt;0,-1,0),IF(IF(o_WRAP=1,MOD(((1000)-(c_TMAP3IN))*(((A390)-(c_TMAP3IN))*((1000)-(c_TMAP3OUT))+IF(((1000)-(c_TMAP3OUT))&gt;=0,1,-1)*QUOTIENT(((1000)-(c_TMAP3IN)),2))+2147483648,4294967296)-2147483648,((1000)-(c_TMAP3IN))*(((A390)-(c_TMAP3IN))*((1000)-(c_TMAP3OUT))+IF(((1000)-(c_TMAP3OUT))&gt;=0,1,-1)*QUOTIENT(((1000)-(c_TMAP3IN)),2)))&gt;=0,1,0)))</f>
        <v>243</v>
      </c>
      <c r="H390" s="7" t="str">
        <f aca="false">IF(A390&gt;=c_TFWD,IF(AND(A390&gt;=c_TMAP3IN,c_TMAP3IN&lt;1000),"Seg4 map3-100%",IF(AND(A390&gt;=c_TMAP2IN,c_TMAP3IN&gt;c_TMAP2IN),"Seg3 map2-map3",IF(AND(A390&gt;=c_TMAP1IN,c_TMAP2IN&gt;c_TMAP1IN),"Seg2 map1-map2","Seg1 TFWD-map1"))),IF(AND(A390=0,c_TCREEP&gt;0),"Creep",IF(AND(A390&lt;=c_TRNGMIN,A390&gt;=c_TRNGMAX,c_TRNGMIN-c_TRNGMAX&lt;&gt;0),"Regen ramp","Coast (0)")))</f>
        <v>Seg4 map3-100%</v>
      </c>
      <c r="I390" s="7" t="n">
        <f aca="false">IF(A390&gt;=c_TFWD,IF(AND(A390&gt;=c_TMAP3IN,c_TMAP3IN&lt;1000),G390,IF(AND(A390&gt;=c_TMAP2IN,c_TMAP3IN&gt;c_TMAP2IN),F390,IF(AND(A390&gt;=c_TMAP1IN,c_TMAP2IN&gt;c_TMAP1IN),E390,D390))),C390)</f>
        <v>243</v>
      </c>
      <c r="J390" s="7" t="str">
        <f aca="false">IF(I390&lt;-1090,"TOO LOW",IF(I390&gt;1090,"TOO HIGH",""))</f>
        <v/>
      </c>
      <c r="K390" s="15" t="n">
        <f aca="false">IF(J390&lt;&gt;"",0,IF(I390&gt;979,1000,I390))</f>
        <v>243</v>
      </c>
      <c r="L390" s="7" t="n">
        <f aca="false">K390/10</f>
        <v>24.3</v>
      </c>
    </row>
    <row r="391" customFormat="false" ht="15" hidden="false" customHeight="false" outlineLevel="0" collapsed="false">
      <c r="A391" s="7" t="n">
        <v>386</v>
      </c>
      <c r="B391" s="7" t="n">
        <f aca="false">A391/10</f>
        <v>38.6</v>
      </c>
      <c r="C391" s="7" t="n">
        <f aca="false">IF(AND(A391=0,c_TCREEP&gt;0),10*c_TCREEP,IF(AND(A391&lt;=c_TRNGMIN,A391&gt;=c_TRNGMAX,c_TRNGMIN-c_TRNGMAX&lt;&gt;0),-10*c_TMINRN+QUOTIENT((c_TMAXRN-c_TMINRN)*(100-QUOTIENT((A391-c_TRNGMAX)*100,c_TRNGMIN-c_TRNGMAX)),-10),0))</f>
        <v>0</v>
      </c>
      <c r="D391" s="7" t="n">
        <f aca="false">IF(((c_TMAP1IN)-(c_TFWD))=0,(0)+QUOTIENT(((c_TMAP1OUT)-(0)),2),QUOTIENT((((A391)-(c_TFWD))*((c_TMAP1OUT)-(0))+IF(((c_TMAP1OUT)-(0))&gt;=0,1,-1)*QUOTIENT(((c_TMAP1IN)-(c_TFWD)),2)),((c_TMAP1IN)-(c_TFWD)))+(0)+IF(((c_TMAP1OUT)-(0))&gt;=0,IF(IF(o_WRAP=1,MOD(((c_TMAP1IN)-(c_TFWD))*(((A391)-(c_TFWD))*((c_TMAP1OUT)-(0))+IF(((c_TMAP1OUT)-(0))&gt;=0,1,-1)*QUOTIENT(((c_TMAP1IN)-(c_TFWD)),2))+2147483648,4294967296)-2147483648,((c_TMAP1IN)-(c_TFWD))*(((A391)-(c_TFWD))*((c_TMAP1OUT)-(0))+IF(((c_TMAP1OUT)-(0))&gt;=0,1,-1)*QUOTIENT(((c_TMAP1IN)-(c_TFWD)),2)))&lt;0,-1,0),IF(IF(o_WRAP=1,MOD(((c_TMAP1IN)-(c_TFWD))*(((A391)-(c_TFWD))*((c_TMAP1OUT)-(0))+IF(((c_TMAP1OUT)-(0))&gt;=0,1,-1)*QUOTIENT(((c_TMAP1IN)-(c_TFWD)),2))+2147483648,4294967296)-2147483648,((c_TMAP1IN)-(c_TFWD))*(((A391)-(c_TFWD))*((c_TMAP1OUT)-(0))+IF(((c_TMAP1OUT)-(0))&gt;=0,1,-1)*QUOTIENT(((c_TMAP1IN)-(c_TFWD)),2)))&gt;=0,1,0)))</f>
        <v>292</v>
      </c>
      <c r="E391" s="7" t="n">
        <f aca="false">IF(((c_TMAP2IN)-(c_TMAP1IN))=0,(c_TMAP1OUT)+QUOTIENT(((c_TMAP2OUT)-(c_TMAP1OUT)),2),QUOTIENT((((A391)-(c_TMAP1IN))*((c_TMAP2OUT)-(c_TMAP1OUT))+IF(((c_TMAP2OUT)-(c_TMAP1OUT))&gt;=0,1,-1)*QUOTIENT(((c_TMAP2IN)-(c_TMAP1IN)),2)),((c_TMAP2IN)-(c_TMAP1IN)))+(c_TMAP1OUT)+IF(((c_TMAP2OUT)-(c_TMAP1OUT))&gt;=0,IF(IF(o_WRAP=1,MOD(((c_TMAP2IN)-(c_TMAP1IN))*(((A391)-(c_TMAP1IN))*((c_TMAP2OUT)-(c_TMAP1OUT))+IF(((c_TMAP2OUT)-(c_TMAP1OUT))&gt;=0,1,-1)*QUOTIENT(((c_TMAP2IN)-(c_TMAP1IN)),2))+2147483648,4294967296)-2147483648,((c_TMAP2IN)-(c_TMAP1IN))*(((A391)-(c_TMAP1IN))*((c_TMAP2OUT)-(c_TMAP1OUT))+IF(((c_TMAP2OUT)-(c_TMAP1OUT))&gt;=0,1,-1)*QUOTIENT(((c_TMAP2IN)-(c_TMAP1IN)),2)))&lt;0,-1,0),IF(IF(o_WRAP=1,MOD(((c_TMAP2IN)-(c_TMAP1IN))*(((A391)-(c_TMAP1IN))*((c_TMAP2OUT)-(c_TMAP1OUT))+IF(((c_TMAP2OUT)-(c_TMAP1OUT))&gt;=0,1,-1)*QUOTIENT(((c_TMAP2IN)-(c_TMAP1IN)),2))+2147483648,4294967296)-2147483648,((c_TMAP2IN)-(c_TMAP1IN))*(((A391)-(c_TMAP1IN))*((c_TMAP2OUT)-(c_TMAP1OUT))+IF(((c_TMAP2OUT)-(c_TMAP1OUT))&gt;=0,1,-1)*QUOTIENT(((c_TMAP2IN)-(c_TMAP1IN)),2)))&gt;=0,1,0)))</f>
        <v>184</v>
      </c>
      <c r="F391" s="7" t="n">
        <f aca="false">IF(((c_TMAP3IN)-(c_TMAP2IN))=0,(c_TMAP2OUT)+QUOTIENT(((c_TMAP3OUT)-(c_TMAP2OUT)),2),QUOTIENT((((A391)-(c_TMAP2IN))*((c_TMAP3OUT)-(c_TMAP2OUT))+IF(((c_TMAP3OUT)-(c_TMAP2OUT))&gt;=0,1,-1)*QUOTIENT(((c_TMAP3IN)-(c_TMAP2IN)),2)),((c_TMAP3IN)-(c_TMAP2IN)))+(c_TMAP2OUT)+IF(((c_TMAP3OUT)-(c_TMAP2OUT))&gt;=0,IF(IF(o_WRAP=1,MOD(((c_TMAP3IN)-(c_TMAP2IN))*(((A391)-(c_TMAP2IN))*((c_TMAP3OUT)-(c_TMAP2OUT))+IF(((c_TMAP3OUT)-(c_TMAP2OUT))&gt;=0,1,-1)*QUOTIENT(((c_TMAP3IN)-(c_TMAP2IN)),2))+2147483648,4294967296)-2147483648,((c_TMAP3IN)-(c_TMAP2IN))*(((A391)-(c_TMAP2IN))*((c_TMAP3OUT)-(c_TMAP2OUT))+IF(((c_TMAP3OUT)-(c_TMAP2OUT))&gt;=0,1,-1)*QUOTIENT(((c_TMAP3IN)-(c_TMAP2IN)),2)))&lt;0,-1,0),IF(IF(o_WRAP=1,MOD(((c_TMAP3IN)-(c_TMAP2IN))*(((A391)-(c_TMAP2IN))*((c_TMAP3OUT)-(c_TMAP2OUT))+IF(((c_TMAP3OUT)-(c_TMAP2OUT))&gt;=0,1,-1)*QUOTIENT(((c_TMAP3IN)-(c_TMAP2IN)),2))+2147483648,4294967296)-2147483648,((c_TMAP3IN)-(c_TMAP2IN))*(((A391)-(c_TMAP2IN))*((c_TMAP3OUT)-(c_TMAP2OUT))+IF(((c_TMAP3OUT)-(c_TMAP2OUT))&gt;=0,1,-1)*QUOTIENT(((c_TMAP3IN)-(c_TMAP2IN)),2)))&gt;=0,1,0)))</f>
        <v>225</v>
      </c>
      <c r="G391" s="7" t="n">
        <f aca="false">IF(((1000)-(c_TMAP3IN))=0,(c_TMAP3OUT)+QUOTIENT(((1000)-(c_TMAP3OUT)),2),QUOTIENT((((A391)-(c_TMAP3IN))*((1000)-(c_TMAP3OUT))+IF(((1000)-(c_TMAP3OUT))&gt;=0,1,-1)*QUOTIENT(((1000)-(c_TMAP3IN)),2)),((1000)-(c_TMAP3IN)))+(c_TMAP3OUT)+IF(((1000)-(c_TMAP3OUT))&gt;=0,IF(IF(o_WRAP=1,MOD(((1000)-(c_TMAP3IN))*(((A391)-(c_TMAP3IN))*((1000)-(c_TMAP3OUT))+IF(((1000)-(c_TMAP3OUT))&gt;=0,1,-1)*QUOTIENT(((1000)-(c_TMAP3IN)),2))+2147483648,4294967296)-2147483648,((1000)-(c_TMAP3IN))*(((A391)-(c_TMAP3IN))*((1000)-(c_TMAP3OUT))+IF(((1000)-(c_TMAP3OUT))&gt;=0,1,-1)*QUOTIENT(((1000)-(c_TMAP3IN)),2)))&lt;0,-1,0),IF(IF(o_WRAP=1,MOD(((1000)-(c_TMAP3IN))*(((A391)-(c_TMAP3IN))*((1000)-(c_TMAP3OUT))+IF(((1000)-(c_TMAP3OUT))&gt;=0,1,-1)*QUOTIENT(((1000)-(c_TMAP3IN)),2))+2147483648,4294967296)-2147483648,((1000)-(c_TMAP3IN))*(((A391)-(c_TMAP3IN))*((1000)-(c_TMAP3OUT))+IF(((1000)-(c_TMAP3OUT))&gt;=0,1,-1)*QUOTIENT(((1000)-(c_TMAP3IN)),2)))&gt;=0,1,0)))</f>
        <v>244</v>
      </c>
      <c r="H391" s="7" t="str">
        <f aca="false">IF(A391&gt;=c_TFWD,IF(AND(A391&gt;=c_TMAP3IN,c_TMAP3IN&lt;1000),"Seg4 map3-100%",IF(AND(A391&gt;=c_TMAP2IN,c_TMAP3IN&gt;c_TMAP2IN),"Seg3 map2-map3",IF(AND(A391&gt;=c_TMAP1IN,c_TMAP2IN&gt;c_TMAP1IN),"Seg2 map1-map2","Seg1 TFWD-map1"))),IF(AND(A391=0,c_TCREEP&gt;0),"Creep",IF(AND(A391&lt;=c_TRNGMIN,A391&gt;=c_TRNGMAX,c_TRNGMIN-c_TRNGMAX&lt;&gt;0),"Regen ramp","Coast (0)")))</f>
        <v>Seg4 map3-100%</v>
      </c>
      <c r="I391" s="7" t="n">
        <f aca="false">IF(A391&gt;=c_TFWD,IF(AND(A391&gt;=c_TMAP3IN,c_TMAP3IN&lt;1000),G391,IF(AND(A391&gt;=c_TMAP2IN,c_TMAP3IN&gt;c_TMAP2IN),F391,IF(AND(A391&gt;=c_TMAP1IN,c_TMAP2IN&gt;c_TMAP1IN),E391,D391))),C391)</f>
        <v>244</v>
      </c>
      <c r="J391" s="7" t="str">
        <f aca="false">IF(I391&lt;-1090,"TOO LOW",IF(I391&gt;1090,"TOO HIGH",""))</f>
        <v/>
      </c>
      <c r="K391" s="15" t="n">
        <f aca="false">IF(J391&lt;&gt;"",0,IF(I391&gt;979,1000,I391))</f>
        <v>244</v>
      </c>
      <c r="L391" s="7" t="n">
        <f aca="false">K391/10</f>
        <v>24.4</v>
      </c>
    </row>
    <row r="392" customFormat="false" ht="15" hidden="false" customHeight="false" outlineLevel="0" collapsed="false">
      <c r="A392" s="7" t="n">
        <v>387</v>
      </c>
      <c r="B392" s="7" t="n">
        <f aca="false">A392/10</f>
        <v>38.7</v>
      </c>
      <c r="C392" s="7" t="n">
        <f aca="false">IF(AND(A392=0,c_TCREEP&gt;0),10*c_TCREEP,IF(AND(A392&lt;=c_TRNGMIN,A392&gt;=c_TRNGMAX,c_TRNGMIN-c_TRNGMAX&lt;&gt;0),-10*c_TMINRN+QUOTIENT((c_TMAXRN-c_TMINRN)*(100-QUOTIENT((A392-c_TRNGMAX)*100,c_TRNGMIN-c_TRNGMAX)),-10),0))</f>
        <v>0</v>
      </c>
      <c r="D392" s="7" t="n">
        <f aca="false">IF(((c_TMAP1IN)-(c_TFWD))=0,(0)+QUOTIENT(((c_TMAP1OUT)-(0)),2),QUOTIENT((((A392)-(c_TFWD))*((c_TMAP1OUT)-(0))+IF(((c_TMAP1OUT)-(0))&gt;=0,1,-1)*QUOTIENT(((c_TMAP1IN)-(c_TFWD)),2)),((c_TMAP1IN)-(c_TFWD)))+(0)+IF(((c_TMAP1OUT)-(0))&gt;=0,IF(IF(o_WRAP=1,MOD(((c_TMAP1IN)-(c_TFWD))*(((A392)-(c_TFWD))*((c_TMAP1OUT)-(0))+IF(((c_TMAP1OUT)-(0))&gt;=0,1,-1)*QUOTIENT(((c_TMAP1IN)-(c_TFWD)),2))+2147483648,4294967296)-2147483648,((c_TMAP1IN)-(c_TFWD))*(((A392)-(c_TFWD))*((c_TMAP1OUT)-(0))+IF(((c_TMAP1OUT)-(0))&gt;=0,1,-1)*QUOTIENT(((c_TMAP1IN)-(c_TFWD)),2)))&lt;0,-1,0),IF(IF(o_WRAP=1,MOD(((c_TMAP1IN)-(c_TFWD))*(((A392)-(c_TFWD))*((c_TMAP1OUT)-(0))+IF(((c_TMAP1OUT)-(0))&gt;=0,1,-1)*QUOTIENT(((c_TMAP1IN)-(c_TFWD)),2))+2147483648,4294967296)-2147483648,((c_TMAP1IN)-(c_TFWD))*(((A392)-(c_TFWD))*((c_TMAP1OUT)-(0))+IF(((c_TMAP1OUT)-(0))&gt;=0,1,-1)*QUOTIENT(((c_TMAP1IN)-(c_TFWD)),2)))&gt;=0,1,0)))</f>
        <v>293</v>
      </c>
      <c r="E392" s="7" t="n">
        <f aca="false">IF(((c_TMAP2IN)-(c_TMAP1IN))=0,(c_TMAP1OUT)+QUOTIENT(((c_TMAP2OUT)-(c_TMAP1OUT)),2),QUOTIENT((((A392)-(c_TMAP1IN))*((c_TMAP2OUT)-(c_TMAP1OUT))+IF(((c_TMAP2OUT)-(c_TMAP1OUT))&gt;=0,1,-1)*QUOTIENT(((c_TMAP2IN)-(c_TMAP1IN)),2)),((c_TMAP2IN)-(c_TMAP1IN)))+(c_TMAP1OUT)+IF(((c_TMAP2OUT)-(c_TMAP1OUT))&gt;=0,IF(IF(o_WRAP=1,MOD(((c_TMAP2IN)-(c_TMAP1IN))*(((A392)-(c_TMAP1IN))*((c_TMAP2OUT)-(c_TMAP1OUT))+IF(((c_TMAP2OUT)-(c_TMAP1OUT))&gt;=0,1,-1)*QUOTIENT(((c_TMAP2IN)-(c_TMAP1IN)),2))+2147483648,4294967296)-2147483648,((c_TMAP2IN)-(c_TMAP1IN))*(((A392)-(c_TMAP1IN))*((c_TMAP2OUT)-(c_TMAP1OUT))+IF(((c_TMAP2OUT)-(c_TMAP1OUT))&gt;=0,1,-1)*QUOTIENT(((c_TMAP2IN)-(c_TMAP1IN)),2)))&lt;0,-1,0),IF(IF(o_WRAP=1,MOD(((c_TMAP2IN)-(c_TMAP1IN))*(((A392)-(c_TMAP1IN))*((c_TMAP2OUT)-(c_TMAP1OUT))+IF(((c_TMAP2OUT)-(c_TMAP1OUT))&gt;=0,1,-1)*QUOTIENT(((c_TMAP2IN)-(c_TMAP1IN)),2))+2147483648,4294967296)-2147483648,((c_TMAP2IN)-(c_TMAP1IN))*(((A392)-(c_TMAP1IN))*((c_TMAP2OUT)-(c_TMAP1OUT))+IF(((c_TMAP2OUT)-(c_TMAP1OUT))&gt;=0,1,-1)*QUOTIENT(((c_TMAP2IN)-(c_TMAP1IN)),2)))&gt;=0,1,0)))</f>
        <v>185</v>
      </c>
      <c r="F392" s="7" t="n">
        <f aca="false">IF(((c_TMAP3IN)-(c_TMAP2IN))=0,(c_TMAP2OUT)+QUOTIENT(((c_TMAP3OUT)-(c_TMAP2OUT)),2),QUOTIENT((((A392)-(c_TMAP2IN))*((c_TMAP3OUT)-(c_TMAP2OUT))+IF(((c_TMAP3OUT)-(c_TMAP2OUT))&gt;=0,1,-1)*QUOTIENT(((c_TMAP3IN)-(c_TMAP2IN)),2)),((c_TMAP3IN)-(c_TMAP2IN)))+(c_TMAP2OUT)+IF(((c_TMAP3OUT)-(c_TMAP2OUT))&gt;=0,IF(IF(o_WRAP=1,MOD(((c_TMAP3IN)-(c_TMAP2IN))*(((A392)-(c_TMAP2IN))*((c_TMAP3OUT)-(c_TMAP2OUT))+IF(((c_TMAP3OUT)-(c_TMAP2OUT))&gt;=0,1,-1)*QUOTIENT(((c_TMAP3IN)-(c_TMAP2IN)),2))+2147483648,4294967296)-2147483648,((c_TMAP3IN)-(c_TMAP2IN))*(((A392)-(c_TMAP2IN))*((c_TMAP3OUT)-(c_TMAP2OUT))+IF(((c_TMAP3OUT)-(c_TMAP2OUT))&gt;=0,1,-1)*QUOTIENT(((c_TMAP3IN)-(c_TMAP2IN)),2)))&lt;0,-1,0),IF(IF(o_WRAP=1,MOD(((c_TMAP3IN)-(c_TMAP2IN))*(((A392)-(c_TMAP2IN))*((c_TMAP3OUT)-(c_TMAP2OUT))+IF(((c_TMAP3OUT)-(c_TMAP2OUT))&gt;=0,1,-1)*QUOTIENT(((c_TMAP3IN)-(c_TMAP2IN)),2))+2147483648,4294967296)-2147483648,((c_TMAP3IN)-(c_TMAP2IN))*(((A392)-(c_TMAP2IN))*((c_TMAP3OUT)-(c_TMAP2OUT))+IF(((c_TMAP3OUT)-(c_TMAP2OUT))&gt;=0,1,-1)*QUOTIENT(((c_TMAP3IN)-(c_TMAP2IN)),2)))&gt;=0,1,0)))</f>
        <v>226</v>
      </c>
      <c r="G392" s="7" t="n">
        <f aca="false">IF(((1000)-(c_TMAP3IN))=0,(c_TMAP3OUT)+QUOTIENT(((1000)-(c_TMAP3OUT)),2),QUOTIENT((((A392)-(c_TMAP3IN))*((1000)-(c_TMAP3OUT))+IF(((1000)-(c_TMAP3OUT))&gt;=0,1,-1)*QUOTIENT(((1000)-(c_TMAP3IN)),2)),((1000)-(c_TMAP3IN)))+(c_TMAP3OUT)+IF(((1000)-(c_TMAP3OUT))&gt;=0,IF(IF(o_WRAP=1,MOD(((1000)-(c_TMAP3IN))*(((A392)-(c_TMAP3IN))*((1000)-(c_TMAP3OUT))+IF(((1000)-(c_TMAP3OUT))&gt;=0,1,-1)*QUOTIENT(((1000)-(c_TMAP3IN)),2))+2147483648,4294967296)-2147483648,((1000)-(c_TMAP3IN))*(((A392)-(c_TMAP3IN))*((1000)-(c_TMAP3OUT))+IF(((1000)-(c_TMAP3OUT))&gt;=0,1,-1)*QUOTIENT(((1000)-(c_TMAP3IN)),2)))&lt;0,-1,0),IF(IF(o_WRAP=1,MOD(((1000)-(c_TMAP3IN))*(((A392)-(c_TMAP3IN))*((1000)-(c_TMAP3OUT))+IF(((1000)-(c_TMAP3OUT))&gt;=0,1,-1)*QUOTIENT(((1000)-(c_TMAP3IN)),2))+2147483648,4294967296)-2147483648,((1000)-(c_TMAP3IN))*(((A392)-(c_TMAP3IN))*((1000)-(c_TMAP3OUT))+IF(((1000)-(c_TMAP3OUT))&gt;=0,1,-1)*QUOTIENT(((1000)-(c_TMAP3IN)),2)))&gt;=0,1,0)))</f>
        <v>246</v>
      </c>
      <c r="H392" s="7" t="str">
        <f aca="false">IF(A392&gt;=c_TFWD,IF(AND(A392&gt;=c_TMAP3IN,c_TMAP3IN&lt;1000),"Seg4 map3-100%",IF(AND(A392&gt;=c_TMAP2IN,c_TMAP3IN&gt;c_TMAP2IN),"Seg3 map2-map3",IF(AND(A392&gt;=c_TMAP1IN,c_TMAP2IN&gt;c_TMAP1IN),"Seg2 map1-map2","Seg1 TFWD-map1"))),IF(AND(A392=0,c_TCREEP&gt;0),"Creep",IF(AND(A392&lt;=c_TRNGMIN,A392&gt;=c_TRNGMAX,c_TRNGMIN-c_TRNGMAX&lt;&gt;0),"Regen ramp","Coast (0)")))</f>
        <v>Seg4 map3-100%</v>
      </c>
      <c r="I392" s="7" t="n">
        <f aca="false">IF(A392&gt;=c_TFWD,IF(AND(A392&gt;=c_TMAP3IN,c_TMAP3IN&lt;1000),G392,IF(AND(A392&gt;=c_TMAP2IN,c_TMAP3IN&gt;c_TMAP2IN),F392,IF(AND(A392&gt;=c_TMAP1IN,c_TMAP2IN&gt;c_TMAP1IN),E392,D392))),C392)</f>
        <v>246</v>
      </c>
      <c r="J392" s="7" t="str">
        <f aca="false">IF(I392&lt;-1090,"TOO LOW",IF(I392&gt;1090,"TOO HIGH",""))</f>
        <v/>
      </c>
      <c r="K392" s="15" t="n">
        <f aca="false">IF(J392&lt;&gt;"",0,IF(I392&gt;979,1000,I392))</f>
        <v>246</v>
      </c>
      <c r="L392" s="7" t="n">
        <f aca="false">K392/10</f>
        <v>24.6</v>
      </c>
    </row>
    <row r="393" customFormat="false" ht="15" hidden="false" customHeight="false" outlineLevel="0" collapsed="false">
      <c r="A393" s="7" t="n">
        <v>388</v>
      </c>
      <c r="B393" s="7" t="n">
        <f aca="false">A393/10</f>
        <v>38.8</v>
      </c>
      <c r="C393" s="7" t="n">
        <f aca="false">IF(AND(A393=0,c_TCREEP&gt;0),10*c_TCREEP,IF(AND(A393&lt;=c_TRNGMIN,A393&gt;=c_TRNGMAX,c_TRNGMIN-c_TRNGMAX&lt;&gt;0),-10*c_TMINRN+QUOTIENT((c_TMAXRN-c_TMINRN)*(100-QUOTIENT((A393-c_TRNGMAX)*100,c_TRNGMIN-c_TRNGMAX)),-10),0))</f>
        <v>0</v>
      </c>
      <c r="D393" s="7" t="n">
        <f aca="false">IF(((c_TMAP1IN)-(c_TFWD))=0,(0)+QUOTIENT(((c_TMAP1OUT)-(0)),2),QUOTIENT((((A393)-(c_TFWD))*((c_TMAP1OUT)-(0))+IF(((c_TMAP1OUT)-(0))&gt;=0,1,-1)*QUOTIENT(((c_TMAP1IN)-(c_TFWD)),2)),((c_TMAP1IN)-(c_TFWD)))+(0)+IF(((c_TMAP1OUT)-(0))&gt;=0,IF(IF(o_WRAP=1,MOD(((c_TMAP1IN)-(c_TFWD))*(((A393)-(c_TFWD))*((c_TMAP1OUT)-(0))+IF(((c_TMAP1OUT)-(0))&gt;=0,1,-1)*QUOTIENT(((c_TMAP1IN)-(c_TFWD)),2))+2147483648,4294967296)-2147483648,((c_TMAP1IN)-(c_TFWD))*(((A393)-(c_TFWD))*((c_TMAP1OUT)-(0))+IF(((c_TMAP1OUT)-(0))&gt;=0,1,-1)*QUOTIENT(((c_TMAP1IN)-(c_TFWD)),2)))&lt;0,-1,0),IF(IF(o_WRAP=1,MOD(((c_TMAP1IN)-(c_TFWD))*(((A393)-(c_TFWD))*((c_TMAP1OUT)-(0))+IF(((c_TMAP1OUT)-(0))&gt;=0,1,-1)*QUOTIENT(((c_TMAP1IN)-(c_TFWD)),2))+2147483648,4294967296)-2147483648,((c_TMAP1IN)-(c_TFWD))*(((A393)-(c_TFWD))*((c_TMAP1OUT)-(0))+IF(((c_TMAP1OUT)-(0))&gt;=0,1,-1)*QUOTIENT(((c_TMAP1IN)-(c_TFWD)),2)))&gt;=0,1,0)))</f>
        <v>294</v>
      </c>
      <c r="E393" s="7" t="n">
        <f aca="false">IF(((c_TMAP2IN)-(c_TMAP1IN))=0,(c_TMAP1OUT)+QUOTIENT(((c_TMAP2OUT)-(c_TMAP1OUT)),2),QUOTIENT((((A393)-(c_TMAP1IN))*((c_TMAP2OUT)-(c_TMAP1OUT))+IF(((c_TMAP2OUT)-(c_TMAP1OUT))&gt;=0,1,-1)*QUOTIENT(((c_TMAP2IN)-(c_TMAP1IN)),2)),((c_TMAP2IN)-(c_TMAP1IN)))+(c_TMAP1OUT)+IF(((c_TMAP2OUT)-(c_TMAP1OUT))&gt;=0,IF(IF(o_WRAP=1,MOD(((c_TMAP2IN)-(c_TMAP1IN))*(((A393)-(c_TMAP1IN))*((c_TMAP2OUT)-(c_TMAP1OUT))+IF(((c_TMAP2OUT)-(c_TMAP1OUT))&gt;=0,1,-1)*QUOTIENT(((c_TMAP2IN)-(c_TMAP1IN)),2))+2147483648,4294967296)-2147483648,((c_TMAP2IN)-(c_TMAP1IN))*(((A393)-(c_TMAP1IN))*((c_TMAP2OUT)-(c_TMAP1OUT))+IF(((c_TMAP2OUT)-(c_TMAP1OUT))&gt;=0,1,-1)*QUOTIENT(((c_TMAP2IN)-(c_TMAP1IN)),2)))&lt;0,-1,0),IF(IF(o_WRAP=1,MOD(((c_TMAP2IN)-(c_TMAP1IN))*(((A393)-(c_TMAP1IN))*((c_TMAP2OUT)-(c_TMAP1OUT))+IF(((c_TMAP2OUT)-(c_TMAP1OUT))&gt;=0,1,-1)*QUOTIENT(((c_TMAP2IN)-(c_TMAP1IN)),2))+2147483648,4294967296)-2147483648,((c_TMAP2IN)-(c_TMAP1IN))*(((A393)-(c_TMAP1IN))*((c_TMAP2OUT)-(c_TMAP1OUT))+IF(((c_TMAP2OUT)-(c_TMAP1OUT))&gt;=0,1,-1)*QUOTIENT(((c_TMAP2IN)-(c_TMAP1IN)),2)))&gt;=0,1,0)))</f>
        <v>185</v>
      </c>
      <c r="F393" s="7" t="n">
        <f aca="false">IF(((c_TMAP3IN)-(c_TMAP2IN))=0,(c_TMAP2OUT)+QUOTIENT(((c_TMAP3OUT)-(c_TMAP2OUT)),2),QUOTIENT((((A393)-(c_TMAP2IN))*((c_TMAP3OUT)-(c_TMAP2OUT))+IF(((c_TMAP3OUT)-(c_TMAP2OUT))&gt;=0,1,-1)*QUOTIENT(((c_TMAP3IN)-(c_TMAP2IN)),2)),((c_TMAP3IN)-(c_TMAP2IN)))+(c_TMAP2OUT)+IF(((c_TMAP3OUT)-(c_TMAP2OUT))&gt;=0,IF(IF(o_WRAP=1,MOD(((c_TMAP3IN)-(c_TMAP2IN))*(((A393)-(c_TMAP2IN))*((c_TMAP3OUT)-(c_TMAP2OUT))+IF(((c_TMAP3OUT)-(c_TMAP2OUT))&gt;=0,1,-1)*QUOTIENT(((c_TMAP3IN)-(c_TMAP2IN)),2))+2147483648,4294967296)-2147483648,((c_TMAP3IN)-(c_TMAP2IN))*(((A393)-(c_TMAP2IN))*((c_TMAP3OUT)-(c_TMAP2OUT))+IF(((c_TMAP3OUT)-(c_TMAP2OUT))&gt;=0,1,-1)*QUOTIENT(((c_TMAP3IN)-(c_TMAP2IN)),2)))&lt;0,-1,0),IF(IF(o_WRAP=1,MOD(((c_TMAP3IN)-(c_TMAP2IN))*(((A393)-(c_TMAP2IN))*((c_TMAP3OUT)-(c_TMAP2OUT))+IF(((c_TMAP3OUT)-(c_TMAP2OUT))&gt;=0,1,-1)*QUOTIENT(((c_TMAP3IN)-(c_TMAP2IN)),2))+2147483648,4294967296)-2147483648,((c_TMAP3IN)-(c_TMAP2IN))*(((A393)-(c_TMAP2IN))*((c_TMAP3OUT)-(c_TMAP2OUT))+IF(((c_TMAP3OUT)-(c_TMAP2OUT))&gt;=0,1,-1)*QUOTIENT(((c_TMAP3IN)-(c_TMAP2IN)),2)))&gt;=0,1,0)))</f>
        <v>227</v>
      </c>
      <c r="G393" s="7" t="n">
        <f aca="false">IF(((1000)-(c_TMAP3IN))=0,(c_TMAP3OUT)+QUOTIENT(((1000)-(c_TMAP3OUT)),2),QUOTIENT((((A393)-(c_TMAP3IN))*((1000)-(c_TMAP3OUT))+IF(((1000)-(c_TMAP3OUT))&gt;=0,1,-1)*QUOTIENT(((1000)-(c_TMAP3IN)),2)),((1000)-(c_TMAP3IN)))+(c_TMAP3OUT)+IF(((1000)-(c_TMAP3OUT))&gt;=0,IF(IF(o_WRAP=1,MOD(((1000)-(c_TMAP3IN))*(((A393)-(c_TMAP3IN))*((1000)-(c_TMAP3OUT))+IF(((1000)-(c_TMAP3OUT))&gt;=0,1,-1)*QUOTIENT(((1000)-(c_TMAP3IN)),2))+2147483648,4294967296)-2147483648,((1000)-(c_TMAP3IN))*(((A393)-(c_TMAP3IN))*((1000)-(c_TMAP3OUT))+IF(((1000)-(c_TMAP3OUT))&gt;=0,1,-1)*QUOTIENT(((1000)-(c_TMAP3IN)),2)))&lt;0,-1,0),IF(IF(o_WRAP=1,MOD(((1000)-(c_TMAP3IN))*(((A393)-(c_TMAP3IN))*((1000)-(c_TMAP3OUT))+IF(((1000)-(c_TMAP3OUT))&gt;=0,1,-1)*QUOTIENT(((1000)-(c_TMAP3IN)),2))+2147483648,4294967296)-2147483648,((1000)-(c_TMAP3IN))*(((A393)-(c_TMAP3IN))*((1000)-(c_TMAP3OUT))+IF(((1000)-(c_TMAP3OUT))&gt;=0,1,-1)*QUOTIENT(((1000)-(c_TMAP3IN)),2)))&gt;=0,1,0)))</f>
        <v>247</v>
      </c>
      <c r="H393" s="7" t="str">
        <f aca="false">IF(A393&gt;=c_TFWD,IF(AND(A393&gt;=c_TMAP3IN,c_TMAP3IN&lt;1000),"Seg4 map3-100%",IF(AND(A393&gt;=c_TMAP2IN,c_TMAP3IN&gt;c_TMAP2IN),"Seg3 map2-map3",IF(AND(A393&gt;=c_TMAP1IN,c_TMAP2IN&gt;c_TMAP1IN),"Seg2 map1-map2","Seg1 TFWD-map1"))),IF(AND(A393=0,c_TCREEP&gt;0),"Creep",IF(AND(A393&lt;=c_TRNGMIN,A393&gt;=c_TRNGMAX,c_TRNGMIN-c_TRNGMAX&lt;&gt;0),"Regen ramp","Coast (0)")))</f>
        <v>Seg4 map3-100%</v>
      </c>
      <c r="I393" s="7" t="n">
        <f aca="false">IF(A393&gt;=c_TFWD,IF(AND(A393&gt;=c_TMAP3IN,c_TMAP3IN&lt;1000),G393,IF(AND(A393&gt;=c_TMAP2IN,c_TMAP3IN&gt;c_TMAP2IN),F393,IF(AND(A393&gt;=c_TMAP1IN,c_TMAP2IN&gt;c_TMAP1IN),E393,D393))),C393)</f>
        <v>247</v>
      </c>
      <c r="J393" s="7" t="str">
        <f aca="false">IF(I393&lt;-1090,"TOO LOW",IF(I393&gt;1090,"TOO HIGH",""))</f>
        <v/>
      </c>
      <c r="K393" s="15" t="n">
        <f aca="false">IF(J393&lt;&gt;"",0,IF(I393&gt;979,1000,I393))</f>
        <v>247</v>
      </c>
      <c r="L393" s="7" t="n">
        <f aca="false">K393/10</f>
        <v>24.7</v>
      </c>
    </row>
    <row r="394" customFormat="false" ht="15" hidden="false" customHeight="false" outlineLevel="0" collapsed="false">
      <c r="A394" s="7" t="n">
        <v>389</v>
      </c>
      <c r="B394" s="7" t="n">
        <f aca="false">A394/10</f>
        <v>38.9</v>
      </c>
      <c r="C394" s="7" t="n">
        <f aca="false">IF(AND(A394=0,c_TCREEP&gt;0),10*c_TCREEP,IF(AND(A394&lt;=c_TRNGMIN,A394&gt;=c_TRNGMAX,c_TRNGMIN-c_TRNGMAX&lt;&gt;0),-10*c_TMINRN+QUOTIENT((c_TMAXRN-c_TMINRN)*(100-QUOTIENT((A394-c_TRNGMAX)*100,c_TRNGMIN-c_TRNGMAX)),-10),0))</f>
        <v>0</v>
      </c>
      <c r="D394" s="7" t="n">
        <f aca="false">IF(((c_TMAP1IN)-(c_TFWD))=0,(0)+QUOTIENT(((c_TMAP1OUT)-(0)),2),QUOTIENT((((A394)-(c_TFWD))*((c_TMAP1OUT)-(0))+IF(((c_TMAP1OUT)-(0))&gt;=0,1,-1)*QUOTIENT(((c_TMAP1IN)-(c_TFWD)),2)),((c_TMAP1IN)-(c_TFWD)))+(0)+IF(((c_TMAP1OUT)-(0))&gt;=0,IF(IF(o_WRAP=1,MOD(((c_TMAP1IN)-(c_TFWD))*(((A394)-(c_TFWD))*((c_TMAP1OUT)-(0))+IF(((c_TMAP1OUT)-(0))&gt;=0,1,-1)*QUOTIENT(((c_TMAP1IN)-(c_TFWD)),2))+2147483648,4294967296)-2147483648,((c_TMAP1IN)-(c_TFWD))*(((A394)-(c_TFWD))*((c_TMAP1OUT)-(0))+IF(((c_TMAP1OUT)-(0))&gt;=0,1,-1)*QUOTIENT(((c_TMAP1IN)-(c_TFWD)),2)))&lt;0,-1,0),IF(IF(o_WRAP=1,MOD(((c_TMAP1IN)-(c_TFWD))*(((A394)-(c_TFWD))*((c_TMAP1OUT)-(0))+IF(((c_TMAP1OUT)-(0))&gt;=0,1,-1)*QUOTIENT(((c_TMAP1IN)-(c_TFWD)),2))+2147483648,4294967296)-2147483648,((c_TMAP1IN)-(c_TFWD))*(((A394)-(c_TFWD))*((c_TMAP1OUT)-(0))+IF(((c_TMAP1OUT)-(0))&gt;=0,1,-1)*QUOTIENT(((c_TMAP1IN)-(c_TFWD)),2)))&gt;=0,1,0)))</f>
        <v>295</v>
      </c>
      <c r="E394" s="7" t="n">
        <f aca="false">IF(((c_TMAP2IN)-(c_TMAP1IN))=0,(c_TMAP1OUT)+QUOTIENT(((c_TMAP2OUT)-(c_TMAP1OUT)),2),QUOTIENT((((A394)-(c_TMAP1IN))*((c_TMAP2OUT)-(c_TMAP1OUT))+IF(((c_TMAP2OUT)-(c_TMAP1OUT))&gt;=0,1,-1)*QUOTIENT(((c_TMAP2IN)-(c_TMAP1IN)),2)),((c_TMAP2IN)-(c_TMAP1IN)))+(c_TMAP1OUT)+IF(((c_TMAP2OUT)-(c_TMAP1OUT))&gt;=0,IF(IF(o_WRAP=1,MOD(((c_TMAP2IN)-(c_TMAP1IN))*(((A394)-(c_TMAP1IN))*((c_TMAP2OUT)-(c_TMAP1OUT))+IF(((c_TMAP2OUT)-(c_TMAP1OUT))&gt;=0,1,-1)*QUOTIENT(((c_TMAP2IN)-(c_TMAP1IN)),2))+2147483648,4294967296)-2147483648,((c_TMAP2IN)-(c_TMAP1IN))*(((A394)-(c_TMAP1IN))*((c_TMAP2OUT)-(c_TMAP1OUT))+IF(((c_TMAP2OUT)-(c_TMAP1OUT))&gt;=0,1,-1)*QUOTIENT(((c_TMAP2IN)-(c_TMAP1IN)),2)))&lt;0,-1,0),IF(IF(o_WRAP=1,MOD(((c_TMAP2IN)-(c_TMAP1IN))*(((A394)-(c_TMAP1IN))*((c_TMAP2OUT)-(c_TMAP1OUT))+IF(((c_TMAP2OUT)-(c_TMAP1OUT))&gt;=0,1,-1)*QUOTIENT(((c_TMAP2IN)-(c_TMAP1IN)),2))+2147483648,4294967296)-2147483648,((c_TMAP2IN)-(c_TMAP1IN))*(((A394)-(c_TMAP1IN))*((c_TMAP2OUT)-(c_TMAP1OUT))+IF(((c_TMAP2OUT)-(c_TMAP1OUT))&gt;=0,1,-1)*QUOTIENT(((c_TMAP2IN)-(c_TMAP1IN)),2)))&gt;=0,1,0)))</f>
        <v>186</v>
      </c>
      <c r="F394" s="7" t="n">
        <f aca="false">IF(((c_TMAP3IN)-(c_TMAP2IN))=0,(c_TMAP2OUT)+QUOTIENT(((c_TMAP3OUT)-(c_TMAP2OUT)),2),QUOTIENT((((A394)-(c_TMAP2IN))*((c_TMAP3OUT)-(c_TMAP2OUT))+IF(((c_TMAP3OUT)-(c_TMAP2OUT))&gt;=0,1,-1)*QUOTIENT(((c_TMAP3IN)-(c_TMAP2IN)),2)),((c_TMAP3IN)-(c_TMAP2IN)))+(c_TMAP2OUT)+IF(((c_TMAP3OUT)-(c_TMAP2OUT))&gt;=0,IF(IF(o_WRAP=1,MOD(((c_TMAP3IN)-(c_TMAP2IN))*(((A394)-(c_TMAP2IN))*((c_TMAP3OUT)-(c_TMAP2OUT))+IF(((c_TMAP3OUT)-(c_TMAP2OUT))&gt;=0,1,-1)*QUOTIENT(((c_TMAP3IN)-(c_TMAP2IN)),2))+2147483648,4294967296)-2147483648,((c_TMAP3IN)-(c_TMAP2IN))*(((A394)-(c_TMAP2IN))*((c_TMAP3OUT)-(c_TMAP2OUT))+IF(((c_TMAP3OUT)-(c_TMAP2OUT))&gt;=0,1,-1)*QUOTIENT(((c_TMAP3IN)-(c_TMAP2IN)),2)))&lt;0,-1,0),IF(IF(o_WRAP=1,MOD(((c_TMAP3IN)-(c_TMAP2IN))*(((A394)-(c_TMAP2IN))*((c_TMAP3OUT)-(c_TMAP2OUT))+IF(((c_TMAP3OUT)-(c_TMAP2OUT))&gt;=0,1,-1)*QUOTIENT(((c_TMAP3IN)-(c_TMAP2IN)),2))+2147483648,4294967296)-2147483648,((c_TMAP3IN)-(c_TMAP2IN))*(((A394)-(c_TMAP2IN))*((c_TMAP3OUT)-(c_TMAP2OUT))+IF(((c_TMAP3OUT)-(c_TMAP2OUT))&gt;=0,1,-1)*QUOTIENT(((c_TMAP3IN)-(c_TMAP2IN)),2)))&gt;=0,1,0)))</f>
        <v>227</v>
      </c>
      <c r="G394" s="7" t="n">
        <f aca="false">IF(((1000)-(c_TMAP3IN))=0,(c_TMAP3OUT)+QUOTIENT(((1000)-(c_TMAP3OUT)),2),QUOTIENT((((A394)-(c_TMAP3IN))*((1000)-(c_TMAP3OUT))+IF(((1000)-(c_TMAP3OUT))&gt;=0,1,-1)*QUOTIENT(((1000)-(c_TMAP3IN)),2)),((1000)-(c_TMAP3IN)))+(c_TMAP3OUT)+IF(((1000)-(c_TMAP3OUT))&gt;=0,IF(IF(o_WRAP=1,MOD(((1000)-(c_TMAP3IN))*(((A394)-(c_TMAP3IN))*((1000)-(c_TMAP3OUT))+IF(((1000)-(c_TMAP3OUT))&gt;=0,1,-1)*QUOTIENT(((1000)-(c_TMAP3IN)),2))+2147483648,4294967296)-2147483648,((1000)-(c_TMAP3IN))*(((A394)-(c_TMAP3IN))*((1000)-(c_TMAP3OUT))+IF(((1000)-(c_TMAP3OUT))&gt;=0,1,-1)*QUOTIENT(((1000)-(c_TMAP3IN)),2)))&lt;0,-1,0),IF(IF(o_WRAP=1,MOD(((1000)-(c_TMAP3IN))*(((A394)-(c_TMAP3IN))*((1000)-(c_TMAP3OUT))+IF(((1000)-(c_TMAP3OUT))&gt;=0,1,-1)*QUOTIENT(((1000)-(c_TMAP3IN)),2))+2147483648,4294967296)-2147483648,((1000)-(c_TMAP3IN))*(((A394)-(c_TMAP3IN))*((1000)-(c_TMAP3OUT))+IF(((1000)-(c_TMAP3OUT))&gt;=0,1,-1)*QUOTIENT(((1000)-(c_TMAP3IN)),2)))&gt;=0,1,0)))</f>
        <v>248</v>
      </c>
      <c r="H394" s="7" t="str">
        <f aca="false">IF(A394&gt;=c_TFWD,IF(AND(A394&gt;=c_TMAP3IN,c_TMAP3IN&lt;1000),"Seg4 map3-100%",IF(AND(A394&gt;=c_TMAP2IN,c_TMAP3IN&gt;c_TMAP2IN),"Seg3 map2-map3",IF(AND(A394&gt;=c_TMAP1IN,c_TMAP2IN&gt;c_TMAP1IN),"Seg2 map1-map2","Seg1 TFWD-map1"))),IF(AND(A394=0,c_TCREEP&gt;0),"Creep",IF(AND(A394&lt;=c_TRNGMIN,A394&gt;=c_TRNGMAX,c_TRNGMIN-c_TRNGMAX&lt;&gt;0),"Regen ramp","Coast (0)")))</f>
        <v>Seg4 map3-100%</v>
      </c>
      <c r="I394" s="7" t="n">
        <f aca="false">IF(A394&gt;=c_TFWD,IF(AND(A394&gt;=c_TMAP3IN,c_TMAP3IN&lt;1000),G394,IF(AND(A394&gt;=c_TMAP2IN,c_TMAP3IN&gt;c_TMAP2IN),F394,IF(AND(A394&gt;=c_TMAP1IN,c_TMAP2IN&gt;c_TMAP1IN),E394,D394))),C394)</f>
        <v>248</v>
      </c>
      <c r="J394" s="7" t="str">
        <f aca="false">IF(I394&lt;-1090,"TOO LOW",IF(I394&gt;1090,"TOO HIGH",""))</f>
        <v/>
      </c>
      <c r="K394" s="15" t="n">
        <f aca="false">IF(J394&lt;&gt;"",0,IF(I394&gt;979,1000,I394))</f>
        <v>248</v>
      </c>
      <c r="L394" s="7" t="n">
        <f aca="false">K394/10</f>
        <v>24.8</v>
      </c>
    </row>
    <row r="395" customFormat="false" ht="15" hidden="false" customHeight="false" outlineLevel="0" collapsed="false">
      <c r="A395" s="7" t="n">
        <v>390</v>
      </c>
      <c r="B395" s="7" t="n">
        <f aca="false">A395/10</f>
        <v>39</v>
      </c>
      <c r="C395" s="7" t="n">
        <f aca="false">IF(AND(A395=0,c_TCREEP&gt;0),10*c_TCREEP,IF(AND(A395&lt;=c_TRNGMIN,A395&gt;=c_TRNGMAX,c_TRNGMIN-c_TRNGMAX&lt;&gt;0),-10*c_TMINRN+QUOTIENT((c_TMAXRN-c_TMINRN)*(100-QUOTIENT((A395-c_TRNGMAX)*100,c_TRNGMIN-c_TRNGMAX)),-10),0))</f>
        <v>0</v>
      </c>
      <c r="D395" s="7" t="n">
        <f aca="false">IF(((c_TMAP1IN)-(c_TFWD))=0,(0)+QUOTIENT(((c_TMAP1OUT)-(0)),2),QUOTIENT((((A395)-(c_TFWD))*((c_TMAP1OUT)-(0))+IF(((c_TMAP1OUT)-(0))&gt;=0,1,-1)*QUOTIENT(((c_TMAP1IN)-(c_TFWD)),2)),((c_TMAP1IN)-(c_TFWD)))+(0)+IF(((c_TMAP1OUT)-(0))&gt;=0,IF(IF(o_WRAP=1,MOD(((c_TMAP1IN)-(c_TFWD))*(((A395)-(c_TFWD))*((c_TMAP1OUT)-(0))+IF(((c_TMAP1OUT)-(0))&gt;=0,1,-1)*QUOTIENT(((c_TMAP1IN)-(c_TFWD)),2))+2147483648,4294967296)-2147483648,((c_TMAP1IN)-(c_TFWD))*(((A395)-(c_TFWD))*((c_TMAP1OUT)-(0))+IF(((c_TMAP1OUT)-(0))&gt;=0,1,-1)*QUOTIENT(((c_TMAP1IN)-(c_TFWD)),2)))&lt;0,-1,0),IF(IF(o_WRAP=1,MOD(((c_TMAP1IN)-(c_TFWD))*(((A395)-(c_TFWD))*((c_TMAP1OUT)-(0))+IF(((c_TMAP1OUT)-(0))&gt;=0,1,-1)*QUOTIENT(((c_TMAP1IN)-(c_TFWD)),2))+2147483648,4294967296)-2147483648,((c_TMAP1IN)-(c_TFWD))*(((A395)-(c_TFWD))*((c_TMAP1OUT)-(0))+IF(((c_TMAP1OUT)-(0))&gt;=0,1,-1)*QUOTIENT(((c_TMAP1IN)-(c_TFWD)),2)))&gt;=0,1,0)))</f>
        <v>296</v>
      </c>
      <c r="E395" s="7" t="n">
        <f aca="false">IF(((c_TMAP2IN)-(c_TMAP1IN))=0,(c_TMAP1OUT)+QUOTIENT(((c_TMAP2OUT)-(c_TMAP1OUT)),2),QUOTIENT((((A395)-(c_TMAP1IN))*((c_TMAP2OUT)-(c_TMAP1OUT))+IF(((c_TMAP2OUT)-(c_TMAP1OUT))&gt;=0,1,-1)*QUOTIENT(((c_TMAP2IN)-(c_TMAP1IN)),2)),((c_TMAP2IN)-(c_TMAP1IN)))+(c_TMAP1OUT)+IF(((c_TMAP2OUT)-(c_TMAP1OUT))&gt;=0,IF(IF(o_WRAP=1,MOD(((c_TMAP2IN)-(c_TMAP1IN))*(((A395)-(c_TMAP1IN))*((c_TMAP2OUT)-(c_TMAP1OUT))+IF(((c_TMAP2OUT)-(c_TMAP1OUT))&gt;=0,1,-1)*QUOTIENT(((c_TMAP2IN)-(c_TMAP1IN)),2))+2147483648,4294967296)-2147483648,((c_TMAP2IN)-(c_TMAP1IN))*(((A395)-(c_TMAP1IN))*((c_TMAP2OUT)-(c_TMAP1OUT))+IF(((c_TMAP2OUT)-(c_TMAP1OUT))&gt;=0,1,-1)*QUOTIENT(((c_TMAP2IN)-(c_TMAP1IN)),2)))&lt;0,-1,0),IF(IF(o_WRAP=1,MOD(((c_TMAP2IN)-(c_TMAP1IN))*(((A395)-(c_TMAP1IN))*((c_TMAP2OUT)-(c_TMAP1OUT))+IF(((c_TMAP2OUT)-(c_TMAP1OUT))&gt;=0,1,-1)*QUOTIENT(((c_TMAP2IN)-(c_TMAP1IN)),2))+2147483648,4294967296)-2147483648,((c_TMAP2IN)-(c_TMAP1IN))*(((A395)-(c_TMAP1IN))*((c_TMAP2OUT)-(c_TMAP1OUT))+IF(((c_TMAP2OUT)-(c_TMAP1OUT))&gt;=0,1,-1)*QUOTIENT(((c_TMAP2IN)-(c_TMAP1IN)),2)))&gt;=0,1,0)))</f>
        <v>186</v>
      </c>
      <c r="F395" s="7" t="n">
        <f aca="false">IF(((c_TMAP3IN)-(c_TMAP2IN))=0,(c_TMAP2OUT)+QUOTIENT(((c_TMAP3OUT)-(c_TMAP2OUT)),2),QUOTIENT((((A395)-(c_TMAP2IN))*((c_TMAP3OUT)-(c_TMAP2OUT))+IF(((c_TMAP3OUT)-(c_TMAP2OUT))&gt;=0,1,-1)*QUOTIENT(((c_TMAP3IN)-(c_TMAP2IN)),2)),((c_TMAP3IN)-(c_TMAP2IN)))+(c_TMAP2OUT)+IF(((c_TMAP3OUT)-(c_TMAP2OUT))&gt;=0,IF(IF(o_WRAP=1,MOD(((c_TMAP3IN)-(c_TMAP2IN))*(((A395)-(c_TMAP2IN))*((c_TMAP3OUT)-(c_TMAP2OUT))+IF(((c_TMAP3OUT)-(c_TMAP2OUT))&gt;=0,1,-1)*QUOTIENT(((c_TMAP3IN)-(c_TMAP2IN)),2))+2147483648,4294967296)-2147483648,((c_TMAP3IN)-(c_TMAP2IN))*(((A395)-(c_TMAP2IN))*((c_TMAP3OUT)-(c_TMAP2OUT))+IF(((c_TMAP3OUT)-(c_TMAP2OUT))&gt;=0,1,-1)*QUOTIENT(((c_TMAP3IN)-(c_TMAP2IN)),2)))&lt;0,-1,0),IF(IF(o_WRAP=1,MOD(((c_TMAP3IN)-(c_TMAP2IN))*(((A395)-(c_TMAP2IN))*((c_TMAP3OUT)-(c_TMAP2OUT))+IF(((c_TMAP3OUT)-(c_TMAP2OUT))&gt;=0,1,-1)*QUOTIENT(((c_TMAP3IN)-(c_TMAP2IN)),2))+2147483648,4294967296)-2147483648,((c_TMAP3IN)-(c_TMAP2IN))*(((A395)-(c_TMAP2IN))*((c_TMAP3OUT)-(c_TMAP2OUT))+IF(((c_TMAP3OUT)-(c_TMAP2OUT))&gt;=0,1,-1)*QUOTIENT(((c_TMAP3IN)-(c_TMAP2IN)),2)))&gt;=0,1,0)))</f>
        <v>228</v>
      </c>
      <c r="G395" s="7" t="n">
        <f aca="false">IF(((1000)-(c_TMAP3IN))=0,(c_TMAP3OUT)+QUOTIENT(((1000)-(c_TMAP3OUT)),2),QUOTIENT((((A395)-(c_TMAP3IN))*((1000)-(c_TMAP3OUT))+IF(((1000)-(c_TMAP3OUT))&gt;=0,1,-1)*QUOTIENT(((1000)-(c_TMAP3IN)),2)),((1000)-(c_TMAP3IN)))+(c_TMAP3OUT)+IF(((1000)-(c_TMAP3OUT))&gt;=0,IF(IF(o_WRAP=1,MOD(((1000)-(c_TMAP3IN))*(((A395)-(c_TMAP3IN))*((1000)-(c_TMAP3OUT))+IF(((1000)-(c_TMAP3OUT))&gt;=0,1,-1)*QUOTIENT(((1000)-(c_TMAP3IN)),2))+2147483648,4294967296)-2147483648,((1000)-(c_TMAP3IN))*(((A395)-(c_TMAP3IN))*((1000)-(c_TMAP3OUT))+IF(((1000)-(c_TMAP3OUT))&gt;=0,1,-1)*QUOTIENT(((1000)-(c_TMAP3IN)),2)))&lt;0,-1,0),IF(IF(o_WRAP=1,MOD(((1000)-(c_TMAP3IN))*(((A395)-(c_TMAP3IN))*((1000)-(c_TMAP3OUT))+IF(((1000)-(c_TMAP3OUT))&gt;=0,1,-1)*QUOTIENT(((1000)-(c_TMAP3IN)),2))+2147483648,4294967296)-2147483648,((1000)-(c_TMAP3IN))*(((A395)-(c_TMAP3IN))*((1000)-(c_TMAP3OUT))+IF(((1000)-(c_TMAP3OUT))&gt;=0,1,-1)*QUOTIENT(((1000)-(c_TMAP3IN)),2)))&gt;=0,1,0)))</f>
        <v>249</v>
      </c>
      <c r="H395" s="7" t="str">
        <f aca="false">IF(A395&gt;=c_TFWD,IF(AND(A395&gt;=c_TMAP3IN,c_TMAP3IN&lt;1000),"Seg4 map3-100%",IF(AND(A395&gt;=c_TMAP2IN,c_TMAP3IN&gt;c_TMAP2IN),"Seg3 map2-map3",IF(AND(A395&gt;=c_TMAP1IN,c_TMAP2IN&gt;c_TMAP1IN),"Seg2 map1-map2","Seg1 TFWD-map1"))),IF(AND(A395=0,c_TCREEP&gt;0),"Creep",IF(AND(A395&lt;=c_TRNGMIN,A395&gt;=c_TRNGMAX,c_TRNGMIN-c_TRNGMAX&lt;&gt;0),"Regen ramp","Coast (0)")))</f>
        <v>Seg4 map3-100%</v>
      </c>
      <c r="I395" s="7" t="n">
        <f aca="false">IF(A395&gt;=c_TFWD,IF(AND(A395&gt;=c_TMAP3IN,c_TMAP3IN&lt;1000),G395,IF(AND(A395&gt;=c_TMAP2IN,c_TMAP3IN&gt;c_TMAP2IN),F395,IF(AND(A395&gt;=c_TMAP1IN,c_TMAP2IN&gt;c_TMAP1IN),E395,D395))),C395)</f>
        <v>249</v>
      </c>
      <c r="J395" s="7" t="str">
        <f aca="false">IF(I395&lt;-1090,"TOO LOW",IF(I395&gt;1090,"TOO HIGH",""))</f>
        <v/>
      </c>
      <c r="K395" s="15" t="n">
        <f aca="false">IF(J395&lt;&gt;"",0,IF(I395&gt;979,1000,I395))</f>
        <v>249</v>
      </c>
      <c r="L395" s="7" t="n">
        <f aca="false">K395/10</f>
        <v>24.9</v>
      </c>
    </row>
    <row r="396" customFormat="false" ht="15" hidden="false" customHeight="false" outlineLevel="0" collapsed="false">
      <c r="A396" s="7" t="n">
        <v>391</v>
      </c>
      <c r="B396" s="7" t="n">
        <f aca="false">A396/10</f>
        <v>39.1</v>
      </c>
      <c r="C396" s="7" t="n">
        <f aca="false">IF(AND(A396=0,c_TCREEP&gt;0),10*c_TCREEP,IF(AND(A396&lt;=c_TRNGMIN,A396&gt;=c_TRNGMAX,c_TRNGMIN-c_TRNGMAX&lt;&gt;0),-10*c_TMINRN+QUOTIENT((c_TMAXRN-c_TMINRN)*(100-QUOTIENT((A396-c_TRNGMAX)*100,c_TRNGMIN-c_TRNGMAX)),-10),0))</f>
        <v>0</v>
      </c>
      <c r="D396" s="7" t="n">
        <f aca="false">IF(((c_TMAP1IN)-(c_TFWD))=0,(0)+QUOTIENT(((c_TMAP1OUT)-(0)),2),QUOTIENT((((A396)-(c_TFWD))*((c_TMAP1OUT)-(0))+IF(((c_TMAP1OUT)-(0))&gt;=0,1,-1)*QUOTIENT(((c_TMAP1IN)-(c_TFWD)),2)),((c_TMAP1IN)-(c_TFWD)))+(0)+IF(((c_TMAP1OUT)-(0))&gt;=0,IF(IF(o_WRAP=1,MOD(((c_TMAP1IN)-(c_TFWD))*(((A396)-(c_TFWD))*((c_TMAP1OUT)-(0))+IF(((c_TMAP1OUT)-(0))&gt;=0,1,-1)*QUOTIENT(((c_TMAP1IN)-(c_TFWD)),2))+2147483648,4294967296)-2147483648,((c_TMAP1IN)-(c_TFWD))*(((A396)-(c_TFWD))*((c_TMAP1OUT)-(0))+IF(((c_TMAP1OUT)-(0))&gt;=0,1,-1)*QUOTIENT(((c_TMAP1IN)-(c_TFWD)),2)))&lt;0,-1,0),IF(IF(o_WRAP=1,MOD(((c_TMAP1IN)-(c_TFWD))*(((A396)-(c_TFWD))*((c_TMAP1OUT)-(0))+IF(((c_TMAP1OUT)-(0))&gt;=0,1,-1)*QUOTIENT(((c_TMAP1IN)-(c_TFWD)),2))+2147483648,4294967296)-2147483648,((c_TMAP1IN)-(c_TFWD))*(((A396)-(c_TFWD))*((c_TMAP1OUT)-(0))+IF(((c_TMAP1OUT)-(0))&gt;=0,1,-1)*QUOTIENT(((c_TMAP1IN)-(c_TFWD)),2)))&gt;=0,1,0)))</f>
        <v>296</v>
      </c>
      <c r="E396" s="7" t="n">
        <f aca="false">IF(((c_TMAP2IN)-(c_TMAP1IN))=0,(c_TMAP1OUT)+QUOTIENT(((c_TMAP2OUT)-(c_TMAP1OUT)),2),QUOTIENT((((A396)-(c_TMAP1IN))*((c_TMAP2OUT)-(c_TMAP1OUT))+IF(((c_TMAP2OUT)-(c_TMAP1OUT))&gt;=0,1,-1)*QUOTIENT(((c_TMAP2IN)-(c_TMAP1IN)),2)),((c_TMAP2IN)-(c_TMAP1IN)))+(c_TMAP1OUT)+IF(((c_TMAP2OUT)-(c_TMAP1OUT))&gt;=0,IF(IF(o_WRAP=1,MOD(((c_TMAP2IN)-(c_TMAP1IN))*(((A396)-(c_TMAP1IN))*((c_TMAP2OUT)-(c_TMAP1OUT))+IF(((c_TMAP2OUT)-(c_TMAP1OUT))&gt;=0,1,-1)*QUOTIENT(((c_TMAP2IN)-(c_TMAP1IN)),2))+2147483648,4294967296)-2147483648,((c_TMAP2IN)-(c_TMAP1IN))*(((A396)-(c_TMAP1IN))*((c_TMAP2OUT)-(c_TMAP1OUT))+IF(((c_TMAP2OUT)-(c_TMAP1OUT))&gt;=0,1,-1)*QUOTIENT(((c_TMAP2IN)-(c_TMAP1IN)),2)))&lt;0,-1,0),IF(IF(o_WRAP=1,MOD(((c_TMAP2IN)-(c_TMAP1IN))*(((A396)-(c_TMAP1IN))*((c_TMAP2OUT)-(c_TMAP1OUT))+IF(((c_TMAP2OUT)-(c_TMAP1OUT))&gt;=0,1,-1)*QUOTIENT(((c_TMAP2IN)-(c_TMAP1IN)),2))+2147483648,4294967296)-2147483648,((c_TMAP2IN)-(c_TMAP1IN))*(((A396)-(c_TMAP1IN))*((c_TMAP2OUT)-(c_TMAP1OUT))+IF(((c_TMAP2OUT)-(c_TMAP1OUT))&gt;=0,1,-1)*QUOTIENT(((c_TMAP2IN)-(c_TMAP1IN)),2)))&gt;=0,1,0)))</f>
        <v>186</v>
      </c>
      <c r="F396" s="7" t="n">
        <f aca="false">IF(((c_TMAP3IN)-(c_TMAP2IN))=0,(c_TMAP2OUT)+QUOTIENT(((c_TMAP3OUT)-(c_TMAP2OUT)),2),QUOTIENT((((A396)-(c_TMAP2IN))*((c_TMAP3OUT)-(c_TMAP2OUT))+IF(((c_TMAP3OUT)-(c_TMAP2OUT))&gt;=0,1,-1)*QUOTIENT(((c_TMAP3IN)-(c_TMAP2IN)),2)),((c_TMAP3IN)-(c_TMAP2IN)))+(c_TMAP2OUT)+IF(((c_TMAP3OUT)-(c_TMAP2OUT))&gt;=0,IF(IF(o_WRAP=1,MOD(((c_TMAP3IN)-(c_TMAP2IN))*(((A396)-(c_TMAP2IN))*((c_TMAP3OUT)-(c_TMAP2OUT))+IF(((c_TMAP3OUT)-(c_TMAP2OUT))&gt;=0,1,-1)*QUOTIENT(((c_TMAP3IN)-(c_TMAP2IN)),2))+2147483648,4294967296)-2147483648,((c_TMAP3IN)-(c_TMAP2IN))*(((A396)-(c_TMAP2IN))*((c_TMAP3OUT)-(c_TMAP2OUT))+IF(((c_TMAP3OUT)-(c_TMAP2OUT))&gt;=0,1,-1)*QUOTIENT(((c_TMAP3IN)-(c_TMAP2IN)),2)))&lt;0,-1,0),IF(IF(o_WRAP=1,MOD(((c_TMAP3IN)-(c_TMAP2IN))*(((A396)-(c_TMAP2IN))*((c_TMAP3OUT)-(c_TMAP2OUT))+IF(((c_TMAP3OUT)-(c_TMAP2OUT))&gt;=0,1,-1)*QUOTIENT(((c_TMAP3IN)-(c_TMAP2IN)),2))+2147483648,4294967296)-2147483648,((c_TMAP3IN)-(c_TMAP2IN))*(((A396)-(c_TMAP2IN))*((c_TMAP3OUT)-(c_TMAP2OUT))+IF(((c_TMAP3OUT)-(c_TMAP2OUT))&gt;=0,1,-1)*QUOTIENT(((c_TMAP3IN)-(c_TMAP2IN)),2)))&gt;=0,1,0)))</f>
        <v>229</v>
      </c>
      <c r="G396" s="7" t="n">
        <f aca="false">IF(((1000)-(c_TMAP3IN))=0,(c_TMAP3OUT)+QUOTIENT(((1000)-(c_TMAP3OUT)),2),QUOTIENT((((A396)-(c_TMAP3IN))*((1000)-(c_TMAP3OUT))+IF(((1000)-(c_TMAP3OUT))&gt;=0,1,-1)*QUOTIENT(((1000)-(c_TMAP3IN)),2)),((1000)-(c_TMAP3IN)))+(c_TMAP3OUT)+IF(((1000)-(c_TMAP3OUT))&gt;=0,IF(IF(o_WRAP=1,MOD(((1000)-(c_TMAP3IN))*(((A396)-(c_TMAP3IN))*((1000)-(c_TMAP3OUT))+IF(((1000)-(c_TMAP3OUT))&gt;=0,1,-1)*QUOTIENT(((1000)-(c_TMAP3IN)),2))+2147483648,4294967296)-2147483648,((1000)-(c_TMAP3IN))*(((A396)-(c_TMAP3IN))*((1000)-(c_TMAP3OUT))+IF(((1000)-(c_TMAP3OUT))&gt;=0,1,-1)*QUOTIENT(((1000)-(c_TMAP3IN)),2)))&lt;0,-1,0),IF(IF(o_WRAP=1,MOD(((1000)-(c_TMAP3IN))*(((A396)-(c_TMAP3IN))*((1000)-(c_TMAP3OUT))+IF(((1000)-(c_TMAP3OUT))&gt;=0,1,-1)*QUOTIENT(((1000)-(c_TMAP3IN)),2))+2147483648,4294967296)-2147483648,((1000)-(c_TMAP3IN))*(((A396)-(c_TMAP3IN))*((1000)-(c_TMAP3OUT))+IF(((1000)-(c_TMAP3OUT))&gt;=0,1,-1)*QUOTIENT(((1000)-(c_TMAP3IN)),2)))&gt;=0,1,0)))</f>
        <v>250</v>
      </c>
      <c r="H396" s="7" t="str">
        <f aca="false">IF(A396&gt;=c_TFWD,IF(AND(A396&gt;=c_TMAP3IN,c_TMAP3IN&lt;1000),"Seg4 map3-100%",IF(AND(A396&gt;=c_TMAP2IN,c_TMAP3IN&gt;c_TMAP2IN),"Seg3 map2-map3",IF(AND(A396&gt;=c_TMAP1IN,c_TMAP2IN&gt;c_TMAP1IN),"Seg2 map1-map2","Seg1 TFWD-map1"))),IF(AND(A396=0,c_TCREEP&gt;0),"Creep",IF(AND(A396&lt;=c_TRNGMIN,A396&gt;=c_TRNGMAX,c_TRNGMIN-c_TRNGMAX&lt;&gt;0),"Regen ramp","Coast (0)")))</f>
        <v>Seg4 map3-100%</v>
      </c>
      <c r="I396" s="7" t="n">
        <f aca="false">IF(A396&gt;=c_TFWD,IF(AND(A396&gt;=c_TMAP3IN,c_TMAP3IN&lt;1000),G396,IF(AND(A396&gt;=c_TMAP2IN,c_TMAP3IN&gt;c_TMAP2IN),F396,IF(AND(A396&gt;=c_TMAP1IN,c_TMAP2IN&gt;c_TMAP1IN),E396,D396))),C396)</f>
        <v>250</v>
      </c>
      <c r="J396" s="7" t="str">
        <f aca="false">IF(I396&lt;-1090,"TOO LOW",IF(I396&gt;1090,"TOO HIGH",""))</f>
        <v/>
      </c>
      <c r="K396" s="15" t="n">
        <f aca="false">IF(J396&lt;&gt;"",0,IF(I396&gt;979,1000,I396))</f>
        <v>250</v>
      </c>
      <c r="L396" s="7" t="n">
        <f aca="false">K396/10</f>
        <v>25</v>
      </c>
    </row>
    <row r="397" customFormat="false" ht="15" hidden="false" customHeight="false" outlineLevel="0" collapsed="false">
      <c r="A397" s="7" t="n">
        <v>392</v>
      </c>
      <c r="B397" s="7" t="n">
        <f aca="false">A397/10</f>
        <v>39.2</v>
      </c>
      <c r="C397" s="7" t="n">
        <f aca="false">IF(AND(A397=0,c_TCREEP&gt;0),10*c_TCREEP,IF(AND(A397&lt;=c_TRNGMIN,A397&gt;=c_TRNGMAX,c_TRNGMIN-c_TRNGMAX&lt;&gt;0),-10*c_TMINRN+QUOTIENT((c_TMAXRN-c_TMINRN)*(100-QUOTIENT((A397-c_TRNGMAX)*100,c_TRNGMIN-c_TRNGMAX)),-10),0))</f>
        <v>0</v>
      </c>
      <c r="D397" s="7" t="n">
        <f aca="false">IF(((c_TMAP1IN)-(c_TFWD))=0,(0)+QUOTIENT(((c_TMAP1OUT)-(0)),2),QUOTIENT((((A397)-(c_TFWD))*((c_TMAP1OUT)-(0))+IF(((c_TMAP1OUT)-(0))&gt;=0,1,-1)*QUOTIENT(((c_TMAP1IN)-(c_TFWD)),2)),((c_TMAP1IN)-(c_TFWD)))+(0)+IF(((c_TMAP1OUT)-(0))&gt;=0,IF(IF(o_WRAP=1,MOD(((c_TMAP1IN)-(c_TFWD))*(((A397)-(c_TFWD))*((c_TMAP1OUT)-(0))+IF(((c_TMAP1OUT)-(0))&gt;=0,1,-1)*QUOTIENT(((c_TMAP1IN)-(c_TFWD)),2))+2147483648,4294967296)-2147483648,((c_TMAP1IN)-(c_TFWD))*(((A397)-(c_TFWD))*((c_TMAP1OUT)-(0))+IF(((c_TMAP1OUT)-(0))&gt;=0,1,-1)*QUOTIENT(((c_TMAP1IN)-(c_TFWD)),2)))&lt;0,-1,0),IF(IF(o_WRAP=1,MOD(((c_TMAP1IN)-(c_TFWD))*(((A397)-(c_TFWD))*((c_TMAP1OUT)-(0))+IF(((c_TMAP1OUT)-(0))&gt;=0,1,-1)*QUOTIENT(((c_TMAP1IN)-(c_TFWD)),2))+2147483648,4294967296)-2147483648,((c_TMAP1IN)-(c_TFWD))*(((A397)-(c_TFWD))*((c_TMAP1OUT)-(0))+IF(((c_TMAP1OUT)-(0))&gt;=0,1,-1)*QUOTIENT(((c_TMAP1IN)-(c_TFWD)),2)))&gt;=0,1,0)))</f>
        <v>297</v>
      </c>
      <c r="E397" s="7" t="n">
        <f aca="false">IF(((c_TMAP2IN)-(c_TMAP1IN))=0,(c_TMAP1OUT)+QUOTIENT(((c_TMAP2OUT)-(c_TMAP1OUT)),2),QUOTIENT((((A397)-(c_TMAP1IN))*((c_TMAP2OUT)-(c_TMAP1OUT))+IF(((c_TMAP2OUT)-(c_TMAP1OUT))&gt;=0,1,-1)*QUOTIENT(((c_TMAP2IN)-(c_TMAP1IN)),2)),((c_TMAP2IN)-(c_TMAP1IN)))+(c_TMAP1OUT)+IF(((c_TMAP2OUT)-(c_TMAP1OUT))&gt;=0,IF(IF(o_WRAP=1,MOD(((c_TMAP2IN)-(c_TMAP1IN))*(((A397)-(c_TMAP1IN))*((c_TMAP2OUT)-(c_TMAP1OUT))+IF(((c_TMAP2OUT)-(c_TMAP1OUT))&gt;=0,1,-1)*QUOTIENT(((c_TMAP2IN)-(c_TMAP1IN)),2))+2147483648,4294967296)-2147483648,((c_TMAP2IN)-(c_TMAP1IN))*(((A397)-(c_TMAP1IN))*((c_TMAP2OUT)-(c_TMAP1OUT))+IF(((c_TMAP2OUT)-(c_TMAP1OUT))&gt;=0,1,-1)*QUOTIENT(((c_TMAP2IN)-(c_TMAP1IN)),2)))&lt;0,-1,0),IF(IF(o_WRAP=1,MOD(((c_TMAP2IN)-(c_TMAP1IN))*(((A397)-(c_TMAP1IN))*((c_TMAP2OUT)-(c_TMAP1OUT))+IF(((c_TMAP2OUT)-(c_TMAP1OUT))&gt;=0,1,-1)*QUOTIENT(((c_TMAP2IN)-(c_TMAP1IN)),2))+2147483648,4294967296)-2147483648,((c_TMAP2IN)-(c_TMAP1IN))*(((A397)-(c_TMAP1IN))*((c_TMAP2OUT)-(c_TMAP1OUT))+IF(((c_TMAP2OUT)-(c_TMAP1OUT))&gt;=0,1,-1)*QUOTIENT(((c_TMAP2IN)-(c_TMAP1IN)),2)))&gt;=0,1,0)))</f>
        <v>187</v>
      </c>
      <c r="F397" s="7" t="n">
        <f aca="false">IF(((c_TMAP3IN)-(c_TMAP2IN))=0,(c_TMAP2OUT)+QUOTIENT(((c_TMAP3OUT)-(c_TMAP2OUT)),2),QUOTIENT((((A397)-(c_TMAP2IN))*((c_TMAP3OUT)-(c_TMAP2OUT))+IF(((c_TMAP3OUT)-(c_TMAP2OUT))&gt;=0,1,-1)*QUOTIENT(((c_TMAP3IN)-(c_TMAP2IN)),2)),((c_TMAP3IN)-(c_TMAP2IN)))+(c_TMAP2OUT)+IF(((c_TMAP3OUT)-(c_TMAP2OUT))&gt;=0,IF(IF(o_WRAP=1,MOD(((c_TMAP3IN)-(c_TMAP2IN))*(((A397)-(c_TMAP2IN))*((c_TMAP3OUT)-(c_TMAP2OUT))+IF(((c_TMAP3OUT)-(c_TMAP2OUT))&gt;=0,1,-1)*QUOTIENT(((c_TMAP3IN)-(c_TMAP2IN)),2))+2147483648,4294967296)-2147483648,((c_TMAP3IN)-(c_TMAP2IN))*(((A397)-(c_TMAP2IN))*((c_TMAP3OUT)-(c_TMAP2OUT))+IF(((c_TMAP3OUT)-(c_TMAP2OUT))&gt;=0,1,-1)*QUOTIENT(((c_TMAP3IN)-(c_TMAP2IN)),2)))&lt;0,-1,0),IF(IF(o_WRAP=1,MOD(((c_TMAP3IN)-(c_TMAP2IN))*(((A397)-(c_TMAP2IN))*((c_TMAP3OUT)-(c_TMAP2OUT))+IF(((c_TMAP3OUT)-(c_TMAP2OUT))&gt;=0,1,-1)*QUOTIENT(((c_TMAP3IN)-(c_TMAP2IN)),2))+2147483648,4294967296)-2147483648,((c_TMAP3IN)-(c_TMAP2IN))*(((A397)-(c_TMAP2IN))*((c_TMAP3OUT)-(c_TMAP2OUT))+IF(((c_TMAP3OUT)-(c_TMAP2OUT))&gt;=0,1,-1)*QUOTIENT(((c_TMAP3IN)-(c_TMAP2IN)),2)))&gt;=0,1,0)))</f>
        <v>229</v>
      </c>
      <c r="G397" s="7" t="n">
        <f aca="false">IF(((1000)-(c_TMAP3IN))=0,(c_TMAP3OUT)+QUOTIENT(((1000)-(c_TMAP3OUT)),2),QUOTIENT((((A397)-(c_TMAP3IN))*((1000)-(c_TMAP3OUT))+IF(((1000)-(c_TMAP3OUT))&gt;=0,1,-1)*QUOTIENT(((1000)-(c_TMAP3IN)),2)),((1000)-(c_TMAP3IN)))+(c_TMAP3OUT)+IF(((1000)-(c_TMAP3OUT))&gt;=0,IF(IF(o_WRAP=1,MOD(((1000)-(c_TMAP3IN))*(((A397)-(c_TMAP3IN))*((1000)-(c_TMAP3OUT))+IF(((1000)-(c_TMAP3OUT))&gt;=0,1,-1)*QUOTIENT(((1000)-(c_TMAP3IN)),2))+2147483648,4294967296)-2147483648,((1000)-(c_TMAP3IN))*(((A397)-(c_TMAP3IN))*((1000)-(c_TMAP3OUT))+IF(((1000)-(c_TMAP3OUT))&gt;=0,1,-1)*QUOTIENT(((1000)-(c_TMAP3IN)),2)))&lt;0,-1,0),IF(IF(o_WRAP=1,MOD(((1000)-(c_TMAP3IN))*(((A397)-(c_TMAP3IN))*((1000)-(c_TMAP3OUT))+IF(((1000)-(c_TMAP3OUT))&gt;=0,1,-1)*QUOTIENT(((1000)-(c_TMAP3IN)),2))+2147483648,4294967296)-2147483648,((1000)-(c_TMAP3IN))*(((A397)-(c_TMAP3IN))*((1000)-(c_TMAP3OUT))+IF(((1000)-(c_TMAP3OUT))&gt;=0,1,-1)*QUOTIENT(((1000)-(c_TMAP3IN)),2)))&gt;=0,1,0)))</f>
        <v>252</v>
      </c>
      <c r="H397" s="7" t="str">
        <f aca="false">IF(A397&gt;=c_TFWD,IF(AND(A397&gt;=c_TMAP3IN,c_TMAP3IN&lt;1000),"Seg4 map3-100%",IF(AND(A397&gt;=c_TMAP2IN,c_TMAP3IN&gt;c_TMAP2IN),"Seg3 map2-map3",IF(AND(A397&gt;=c_TMAP1IN,c_TMAP2IN&gt;c_TMAP1IN),"Seg2 map1-map2","Seg1 TFWD-map1"))),IF(AND(A397=0,c_TCREEP&gt;0),"Creep",IF(AND(A397&lt;=c_TRNGMIN,A397&gt;=c_TRNGMAX,c_TRNGMIN-c_TRNGMAX&lt;&gt;0),"Regen ramp","Coast (0)")))</f>
        <v>Seg4 map3-100%</v>
      </c>
      <c r="I397" s="7" t="n">
        <f aca="false">IF(A397&gt;=c_TFWD,IF(AND(A397&gt;=c_TMAP3IN,c_TMAP3IN&lt;1000),G397,IF(AND(A397&gt;=c_TMAP2IN,c_TMAP3IN&gt;c_TMAP2IN),F397,IF(AND(A397&gt;=c_TMAP1IN,c_TMAP2IN&gt;c_TMAP1IN),E397,D397))),C397)</f>
        <v>252</v>
      </c>
      <c r="J397" s="7" t="str">
        <f aca="false">IF(I397&lt;-1090,"TOO LOW",IF(I397&gt;1090,"TOO HIGH",""))</f>
        <v/>
      </c>
      <c r="K397" s="15" t="n">
        <f aca="false">IF(J397&lt;&gt;"",0,IF(I397&gt;979,1000,I397))</f>
        <v>252</v>
      </c>
      <c r="L397" s="7" t="n">
        <f aca="false">K397/10</f>
        <v>25.2</v>
      </c>
    </row>
    <row r="398" customFormat="false" ht="15" hidden="false" customHeight="false" outlineLevel="0" collapsed="false">
      <c r="A398" s="7" t="n">
        <v>393</v>
      </c>
      <c r="B398" s="7" t="n">
        <f aca="false">A398/10</f>
        <v>39.3</v>
      </c>
      <c r="C398" s="7" t="n">
        <f aca="false">IF(AND(A398=0,c_TCREEP&gt;0),10*c_TCREEP,IF(AND(A398&lt;=c_TRNGMIN,A398&gt;=c_TRNGMAX,c_TRNGMIN-c_TRNGMAX&lt;&gt;0),-10*c_TMINRN+QUOTIENT((c_TMAXRN-c_TMINRN)*(100-QUOTIENT((A398-c_TRNGMAX)*100,c_TRNGMIN-c_TRNGMAX)),-10),0))</f>
        <v>0</v>
      </c>
      <c r="D398" s="7" t="n">
        <f aca="false">IF(((c_TMAP1IN)-(c_TFWD))=0,(0)+QUOTIENT(((c_TMAP1OUT)-(0)),2),QUOTIENT((((A398)-(c_TFWD))*((c_TMAP1OUT)-(0))+IF(((c_TMAP1OUT)-(0))&gt;=0,1,-1)*QUOTIENT(((c_TMAP1IN)-(c_TFWD)),2)),((c_TMAP1IN)-(c_TFWD)))+(0)+IF(((c_TMAP1OUT)-(0))&gt;=0,IF(IF(o_WRAP=1,MOD(((c_TMAP1IN)-(c_TFWD))*(((A398)-(c_TFWD))*((c_TMAP1OUT)-(0))+IF(((c_TMAP1OUT)-(0))&gt;=0,1,-1)*QUOTIENT(((c_TMAP1IN)-(c_TFWD)),2))+2147483648,4294967296)-2147483648,((c_TMAP1IN)-(c_TFWD))*(((A398)-(c_TFWD))*((c_TMAP1OUT)-(0))+IF(((c_TMAP1OUT)-(0))&gt;=0,1,-1)*QUOTIENT(((c_TMAP1IN)-(c_TFWD)),2)))&lt;0,-1,0),IF(IF(o_WRAP=1,MOD(((c_TMAP1IN)-(c_TFWD))*(((A398)-(c_TFWD))*((c_TMAP1OUT)-(0))+IF(((c_TMAP1OUT)-(0))&gt;=0,1,-1)*QUOTIENT(((c_TMAP1IN)-(c_TFWD)),2))+2147483648,4294967296)-2147483648,((c_TMAP1IN)-(c_TFWD))*(((A398)-(c_TFWD))*((c_TMAP1OUT)-(0))+IF(((c_TMAP1OUT)-(0))&gt;=0,1,-1)*QUOTIENT(((c_TMAP1IN)-(c_TFWD)),2)))&gt;=0,1,0)))</f>
        <v>298</v>
      </c>
      <c r="E398" s="7" t="n">
        <f aca="false">IF(((c_TMAP2IN)-(c_TMAP1IN))=0,(c_TMAP1OUT)+QUOTIENT(((c_TMAP2OUT)-(c_TMAP1OUT)),2),QUOTIENT((((A398)-(c_TMAP1IN))*((c_TMAP2OUT)-(c_TMAP1OUT))+IF(((c_TMAP2OUT)-(c_TMAP1OUT))&gt;=0,1,-1)*QUOTIENT(((c_TMAP2IN)-(c_TMAP1IN)),2)),((c_TMAP2IN)-(c_TMAP1IN)))+(c_TMAP1OUT)+IF(((c_TMAP2OUT)-(c_TMAP1OUT))&gt;=0,IF(IF(o_WRAP=1,MOD(((c_TMAP2IN)-(c_TMAP1IN))*(((A398)-(c_TMAP1IN))*((c_TMAP2OUT)-(c_TMAP1OUT))+IF(((c_TMAP2OUT)-(c_TMAP1OUT))&gt;=0,1,-1)*QUOTIENT(((c_TMAP2IN)-(c_TMAP1IN)),2))+2147483648,4294967296)-2147483648,((c_TMAP2IN)-(c_TMAP1IN))*(((A398)-(c_TMAP1IN))*((c_TMAP2OUT)-(c_TMAP1OUT))+IF(((c_TMAP2OUT)-(c_TMAP1OUT))&gt;=0,1,-1)*QUOTIENT(((c_TMAP2IN)-(c_TMAP1IN)),2)))&lt;0,-1,0),IF(IF(o_WRAP=1,MOD(((c_TMAP2IN)-(c_TMAP1IN))*(((A398)-(c_TMAP1IN))*((c_TMAP2OUT)-(c_TMAP1OUT))+IF(((c_TMAP2OUT)-(c_TMAP1OUT))&gt;=0,1,-1)*QUOTIENT(((c_TMAP2IN)-(c_TMAP1IN)),2))+2147483648,4294967296)-2147483648,((c_TMAP2IN)-(c_TMAP1IN))*(((A398)-(c_TMAP1IN))*((c_TMAP2OUT)-(c_TMAP1OUT))+IF(((c_TMAP2OUT)-(c_TMAP1OUT))&gt;=0,1,-1)*QUOTIENT(((c_TMAP2IN)-(c_TMAP1IN)),2)))&gt;=0,1,0)))</f>
        <v>187</v>
      </c>
      <c r="F398" s="7" t="n">
        <f aca="false">IF(((c_TMAP3IN)-(c_TMAP2IN))=0,(c_TMAP2OUT)+QUOTIENT(((c_TMAP3OUT)-(c_TMAP2OUT)),2),QUOTIENT((((A398)-(c_TMAP2IN))*((c_TMAP3OUT)-(c_TMAP2OUT))+IF(((c_TMAP3OUT)-(c_TMAP2OUT))&gt;=0,1,-1)*QUOTIENT(((c_TMAP3IN)-(c_TMAP2IN)),2)),((c_TMAP3IN)-(c_TMAP2IN)))+(c_TMAP2OUT)+IF(((c_TMAP3OUT)-(c_TMAP2OUT))&gt;=0,IF(IF(o_WRAP=1,MOD(((c_TMAP3IN)-(c_TMAP2IN))*(((A398)-(c_TMAP2IN))*((c_TMAP3OUT)-(c_TMAP2OUT))+IF(((c_TMAP3OUT)-(c_TMAP2OUT))&gt;=0,1,-1)*QUOTIENT(((c_TMAP3IN)-(c_TMAP2IN)),2))+2147483648,4294967296)-2147483648,((c_TMAP3IN)-(c_TMAP2IN))*(((A398)-(c_TMAP2IN))*((c_TMAP3OUT)-(c_TMAP2OUT))+IF(((c_TMAP3OUT)-(c_TMAP2OUT))&gt;=0,1,-1)*QUOTIENT(((c_TMAP3IN)-(c_TMAP2IN)),2)))&lt;0,-1,0),IF(IF(o_WRAP=1,MOD(((c_TMAP3IN)-(c_TMAP2IN))*(((A398)-(c_TMAP2IN))*((c_TMAP3OUT)-(c_TMAP2OUT))+IF(((c_TMAP3OUT)-(c_TMAP2OUT))&gt;=0,1,-1)*QUOTIENT(((c_TMAP3IN)-(c_TMAP2IN)),2))+2147483648,4294967296)-2147483648,((c_TMAP3IN)-(c_TMAP2IN))*(((A398)-(c_TMAP2IN))*((c_TMAP3OUT)-(c_TMAP2OUT))+IF(((c_TMAP3OUT)-(c_TMAP2OUT))&gt;=0,1,-1)*QUOTIENT(((c_TMAP3IN)-(c_TMAP2IN)),2)))&gt;=0,1,0)))</f>
        <v>230</v>
      </c>
      <c r="G398" s="7" t="n">
        <f aca="false">IF(((1000)-(c_TMAP3IN))=0,(c_TMAP3OUT)+QUOTIENT(((1000)-(c_TMAP3OUT)),2),QUOTIENT((((A398)-(c_TMAP3IN))*((1000)-(c_TMAP3OUT))+IF(((1000)-(c_TMAP3OUT))&gt;=0,1,-1)*QUOTIENT(((1000)-(c_TMAP3IN)),2)),((1000)-(c_TMAP3IN)))+(c_TMAP3OUT)+IF(((1000)-(c_TMAP3OUT))&gt;=0,IF(IF(o_WRAP=1,MOD(((1000)-(c_TMAP3IN))*(((A398)-(c_TMAP3IN))*((1000)-(c_TMAP3OUT))+IF(((1000)-(c_TMAP3OUT))&gt;=0,1,-1)*QUOTIENT(((1000)-(c_TMAP3IN)),2))+2147483648,4294967296)-2147483648,((1000)-(c_TMAP3IN))*(((A398)-(c_TMAP3IN))*((1000)-(c_TMAP3OUT))+IF(((1000)-(c_TMAP3OUT))&gt;=0,1,-1)*QUOTIENT(((1000)-(c_TMAP3IN)),2)))&lt;0,-1,0),IF(IF(o_WRAP=1,MOD(((1000)-(c_TMAP3IN))*(((A398)-(c_TMAP3IN))*((1000)-(c_TMAP3OUT))+IF(((1000)-(c_TMAP3OUT))&gt;=0,1,-1)*QUOTIENT(((1000)-(c_TMAP3IN)),2))+2147483648,4294967296)-2147483648,((1000)-(c_TMAP3IN))*(((A398)-(c_TMAP3IN))*((1000)-(c_TMAP3OUT))+IF(((1000)-(c_TMAP3OUT))&gt;=0,1,-1)*QUOTIENT(((1000)-(c_TMAP3IN)),2)))&gt;=0,1,0)))</f>
        <v>253</v>
      </c>
      <c r="H398" s="7" t="str">
        <f aca="false">IF(A398&gt;=c_TFWD,IF(AND(A398&gt;=c_TMAP3IN,c_TMAP3IN&lt;1000),"Seg4 map3-100%",IF(AND(A398&gt;=c_TMAP2IN,c_TMAP3IN&gt;c_TMAP2IN),"Seg3 map2-map3",IF(AND(A398&gt;=c_TMAP1IN,c_TMAP2IN&gt;c_TMAP1IN),"Seg2 map1-map2","Seg1 TFWD-map1"))),IF(AND(A398=0,c_TCREEP&gt;0),"Creep",IF(AND(A398&lt;=c_TRNGMIN,A398&gt;=c_TRNGMAX,c_TRNGMIN-c_TRNGMAX&lt;&gt;0),"Regen ramp","Coast (0)")))</f>
        <v>Seg4 map3-100%</v>
      </c>
      <c r="I398" s="7" t="n">
        <f aca="false">IF(A398&gt;=c_TFWD,IF(AND(A398&gt;=c_TMAP3IN,c_TMAP3IN&lt;1000),G398,IF(AND(A398&gt;=c_TMAP2IN,c_TMAP3IN&gt;c_TMAP2IN),F398,IF(AND(A398&gt;=c_TMAP1IN,c_TMAP2IN&gt;c_TMAP1IN),E398,D398))),C398)</f>
        <v>253</v>
      </c>
      <c r="J398" s="7" t="str">
        <f aca="false">IF(I398&lt;-1090,"TOO LOW",IF(I398&gt;1090,"TOO HIGH",""))</f>
        <v/>
      </c>
      <c r="K398" s="15" t="n">
        <f aca="false">IF(J398&lt;&gt;"",0,IF(I398&gt;979,1000,I398))</f>
        <v>253</v>
      </c>
      <c r="L398" s="7" t="n">
        <f aca="false">K398/10</f>
        <v>25.3</v>
      </c>
    </row>
    <row r="399" customFormat="false" ht="15" hidden="false" customHeight="false" outlineLevel="0" collapsed="false">
      <c r="A399" s="7" t="n">
        <v>394</v>
      </c>
      <c r="B399" s="7" t="n">
        <f aca="false">A399/10</f>
        <v>39.4</v>
      </c>
      <c r="C399" s="7" t="n">
        <f aca="false">IF(AND(A399=0,c_TCREEP&gt;0),10*c_TCREEP,IF(AND(A399&lt;=c_TRNGMIN,A399&gt;=c_TRNGMAX,c_TRNGMIN-c_TRNGMAX&lt;&gt;0),-10*c_TMINRN+QUOTIENT((c_TMAXRN-c_TMINRN)*(100-QUOTIENT((A399-c_TRNGMAX)*100,c_TRNGMIN-c_TRNGMAX)),-10),0))</f>
        <v>0</v>
      </c>
      <c r="D399" s="7" t="n">
        <f aca="false">IF(((c_TMAP1IN)-(c_TFWD))=0,(0)+QUOTIENT(((c_TMAP1OUT)-(0)),2),QUOTIENT((((A399)-(c_TFWD))*((c_TMAP1OUT)-(0))+IF(((c_TMAP1OUT)-(0))&gt;=0,1,-1)*QUOTIENT(((c_TMAP1IN)-(c_TFWD)),2)),((c_TMAP1IN)-(c_TFWD)))+(0)+IF(((c_TMAP1OUT)-(0))&gt;=0,IF(IF(o_WRAP=1,MOD(((c_TMAP1IN)-(c_TFWD))*(((A399)-(c_TFWD))*((c_TMAP1OUT)-(0))+IF(((c_TMAP1OUT)-(0))&gt;=0,1,-1)*QUOTIENT(((c_TMAP1IN)-(c_TFWD)),2))+2147483648,4294967296)-2147483648,((c_TMAP1IN)-(c_TFWD))*(((A399)-(c_TFWD))*((c_TMAP1OUT)-(0))+IF(((c_TMAP1OUT)-(0))&gt;=0,1,-1)*QUOTIENT(((c_TMAP1IN)-(c_TFWD)),2)))&lt;0,-1,0),IF(IF(o_WRAP=1,MOD(((c_TMAP1IN)-(c_TFWD))*(((A399)-(c_TFWD))*((c_TMAP1OUT)-(0))+IF(((c_TMAP1OUT)-(0))&gt;=0,1,-1)*QUOTIENT(((c_TMAP1IN)-(c_TFWD)),2))+2147483648,4294967296)-2147483648,((c_TMAP1IN)-(c_TFWD))*(((A399)-(c_TFWD))*((c_TMAP1OUT)-(0))+IF(((c_TMAP1OUT)-(0))&gt;=0,1,-1)*QUOTIENT(((c_TMAP1IN)-(c_TFWD)),2)))&gt;=0,1,0)))</f>
        <v>299</v>
      </c>
      <c r="E399" s="7" t="n">
        <f aca="false">IF(((c_TMAP2IN)-(c_TMAP1IN))=0,(c_TMAP1OUT)+QUOTIENT(((c_TMAP2OUT)-(c_TMAP1OUT)),2),QUOTIENT((((A399)-(c_TMAP1IN))*((c_TMAP2OUT)-(c_TMAP1OUT))+IF(((c_TMAP2OUT)-(c_TMAP1OUT))&gt;=0,1,-1)*QUOTIENT(((c_TMAP2IN)-(c_TMAP1IN)),2)),((c_TMAP2IN)-(c_TMAP1IN)))+(c_TMAP1OUT)+IF(((c_TMAP2OUT)-(c_TMAP1OUT))&gt;=0,IF(IF(o_WRAP=1,MOD(((c_TMAP2IN)-(c_TMAP1IN))*(((A399)-(c_TMAP1IN))*((c_TMAP2OUT)-(c_TMAP1OUT))+IF(((c_TMAP2OUT)-(c_TMAP1OUT))&gt;=0,1,-1)*QUOTIENT(((c_TMAP2IN)-(c_TMAP1IN)),2))+2147483648,4294967296)-2147483648,((c_TMAP2IN)-(c_TMAP1IN))*(((A399)-(c_TMAP1IN))*((c_TMAP2OUT)-(c_TMAP1OUT))+IF(((c_TMAP2OUT)-(c_TMAP1OUT))&gt;=0,1,-1)*QUOTIENT(((c_TMAP2IN)-(c_TMAP1IN)),2)))&lt;0,-1,0),IF(IF(o_WRAP=1,MOD(((c_TMAP2IN)-(c_TMAP1IN))*(((A399)-(c_TMAP1IN))*((c_TMAP2OUT)-(c_TMAP1OUT))+IF(((c_TMAP2OUT)-(c_TMAP1OUT))&gt;=0,1,-1)*QUOTIENT(((c_TMAP2IN)-(c_TMAP1IN)),2))+2147483648,4294967296)-2147483648,((c_TMAP2IN)-(c_TMAP1IN))*(((A399)-(c_TMAP1IN))*((c_TMAP2OUT)-(c_TMAP1OUT))+IF(((c_TMAP2OUT)-(c_TMAP1OUT))&gt;=0,1,-1)*QUOTIENT(((c_TMAP2IN)-(c_TMAP1IN)),2)))&gt;=0,1,0)))</f>
        <v>188</v>
      </c>
      <c r="F399" s="7" t="n">
        <f aca="false">IF(((c_TMAP3IN)-(c_TMAP2IN))=0,(c_TMAP2OUT)+QUOTIENT(((c_TMAP3OUT)-(c_TMAP2OUT)),2),QUOTIENT((((A399)-(c_TMAP2IN))*((c_TMAP3OUT)-(c_TMAP2OUT))+IF(((c_TMAP3OUT)-(c_TMAP2OUT))&gt;=0,1,-1)*QUOTIENT(((c_TMAP3IN)-(c_TMAP2IN)),2)),((c_TMAP3IN)-(c_TMAP2IN)))+(c_TMAP2OUT)+IF(((c_TMAP3OUT)-(c_TMAP2OUT))&gt;=0,IF(IF(o_WRAP=1,MOD(((c_TMAP3IN)-(c_TMAP2IN))*(((A399)-(c_TMAP2IN))*((c_TMAP3OUT)-(c_TMAP2OUT))+IF(((c_TMAP3OUT)-(c_TMAP2OUT))&gt;=0,1,-1)*QUOTIENT(((c_TMAP3IN)-(c_TMAP2IN)),2))+2147483648,4294967296)-2147483648,((c_TMAP3IN)-(c_TMAP2IN))*(((A399)-(c_TMAP2IN))*((c_TMAP3OUT)-(c_TMAP2OUT))+IF(((c_TMAP3OUT)-(c_TMAP2OUT))&gt;=0,1,-1)*QUOTIENT(((c_TMAP3IN)-(c_TMAP2IN)),2)))&lt;0,-1,0),IF(IF(o_WRAP=1,MOD(((c_TMAP3IN)-(c_TMAP2IN))*(((A399)-(c_TMAP2IN))*((c_TMAP3OUT)-(c_TMAP2OUT))+IF(((c_TMAP3OUT)-(c_TMAP2OUT))&gt;=0,1,-1)*QUOTIENT(((c_TMAP3IN)-(c_TMAP2IN)),2))+2147483648,4294967296)-2147483648,((c_TMAP3IN)-(c_TMAP2IN))*(((A399)-(c_TMAP2IN))*((c_TMAP3OUT)-(c_TMAP2OUT))+IF(((c_TMAP3OUT)-(c_TMAP2OUT))&gt;=0,1,-1)*QUOTIENT(((c_TMAP3IN)-(c_TMAP2IN)),2)))&gt;=0,1,0)))</f>
        <v>231</v>
      </c>
      <c r="G399" s="7" t="n">
        <f aca="false">IF(((1000)-(c_TMAP3IN))=0,(c_TMAP3OUT)+QUOTIENT(((1000)-(c_TMAP3OUT)),2),QUOTIENT((((A399)-(c_TMAP3IN))*((1000)-(c_TMAP3OUT))+IF(((1000)-(c_TMAP3OUT))&gt;=0,1,-1)*QUOTIENT(((1000)-(c_TMAP3IN)),2)),((1000)-(c_TMAP3IN)))+(c_TMAP3OUT)+IF(((1000)-(c_TMAP3OUT))&gt;=0,IF(IF(o_WRAP=1,MOD(((1000)-(c_TMAP3IN))*(((A399)-(c_TMAP3IN))*((1000)-(c_TMAP3OUT))+IF(((1000)-(c_TMAP3OUT))&gt;=0,1,-1)*QUOTIENT(((1000)-(c_TMAP3IN)),2))+2147483648,4294967296)-2147483648,((1000)-(c_TMAP3IN))*(((A399)-(c_TMAP3IN))*((1000)-(c_TMAP3OUT))+IF(((1000)-(c_TMAP3OUT))&gt;=0,1,-1)*QUOTIENT(((1000)-(c_TMAP3IN)),2)))&lt;0,-1,0),IF(IF(o_WRAP=1,MOD(((1000)-(c_TMAP3IN))*(((A399)-(c_TMAP3IN))*((1000)-(c_TMAP3OUT))+IF(((1000)-(c_TMAP3OUT))&gt;=0,1,-1)*QUOTIENT(((1000)-(c_TMAP3IN)),2))+2147483648,4294967296)-2147483648,((1000)-(c_TMAP3IN))*(((A399)-(c_TMAP3IN))*((1000)-(c_TMAP3OUT))+IF(((1000)-(c_TMAP3OUT))&gt;=0,1,-1)*QUOTIENT(((1000)-(c_TMAP3IN)),2)))&gt;=0,1,0)))</f>
        <v>254</v>
      </c>
      <c r="H399" s="7" t="str">
        <f aca="false">IF(A399&gt;=c_TFWD,IF(AND(A399&gt;=c_TMAP3IN,c_TMAP3IN&lt;1000),"Seg4 map3-100%",IF(AND(A399&gt;=c_TMAP2IN,c_TMAP3IN&gt;c_TMAP2IN),"Seg3 map2-map3",IF(AND(A399&gt;=c_TMAP1IN,c_TMAP2IN&gt;c_TMAP1IN),"Seg2 map1-map2","Seg1 TFWD-map1"))),IF(AND(A399=0,c_TCREEP&gt;0),"Creep",IF(AND(A399&lt;=c_TRNGMIN,A399&gt;=c_TRNGMAX,c_TRNGMIN-c_TRNGMAX&lt;&gt;0),"Regen ramp","Coast (0)")))</f>
        <v>Seg4 map3-100%</v>
      </c>
      <c r="I399" s="7" t="n">
        <f aca="false">IF(A399&gt;=c_TFWD,IF(AND(A399&gt;=c_TMAP3IN,c_TMAP3IN&lt;1000),G399,IF(AND(A399&gt;=c_TMAP2IN,c_TMAP3IN&gt;c_TMAP2IN),F399,IF(AND(A399&gt;=c_TMAP1IN,c_TMAP2IN&gt;c_TMAP1IN),E399,D399))),C399)</f>
        <v>254</v>
      </c>
      <c r="J399" s="7" t="str">
        <f aca="false">IF(I399&lt;-1090,"TOO LOW",IF(I399&gt;1090,"TOO HIGH",""))</f>
        <v/>
      </c>
      <c r="K399" s="15" t="n">
        <f aca="false">IF(J399&lt;&gt;"",0,IF(I399&gt;979,1000,I399))</f>
        <v>254</v>
      </c>
      <c r="L399" s="7" t="n">
        <f aca="false">K399/10</f>
        <v>25.4</v>
      </c>
    </row>
    <row r="400" customFormat="false" ht="15" hidden="false" customHeight="false" outlineLevel="0" collapsed="false">
      <c r="A400" s="7" t="n">
        <v>395</v>
      </c>
      <c r="B400" s="7" t="n">
        <f aca="false">A400/10</f>
        <v>39.5</v>
      </c>
      <c r="C400" s="7" t="n">
        <f aca="false">IF(AND(A400=0,c_TCREEP&gt;0),10*c_TCREEP,IF(AND(A400&lt;=c_TRNGMIN,A400&gt;=c_TRNGMAX,c_TRNGMIN-c_TRNGMAX&lt;&gt;0),-10*c_TMINRN+QUOTIENT((c_TMAXRN-c_TMINRN)*(100-QUOTIENT((A400-c_TRNGMAX)*100,c_TRNGMIN-c_TRNGMAX)),-10),0))</f>
        <v>0</v>
      </c>
      <c r="D400" s="7" t="n">
        <f aca="false">IF(((c_TMAP1IN)-(c_TFWD))=0,(0)+QUOTIENT(((c_TMAP1OUT)-(0)),2),QUOTIENT((((A400)-(c_TFWD))*((c_TMAP1OUT)-(0))+IF(((c_TMAP1OUT)-(0))&gt;=0,1,-1)*QUOTIENT(((c_TMAP1IN)-(c_TFWD)),2)),((c_TMAP1IN)-(c_TFWD)))+(0)+IF(((c_TMAP1OUT)-(0))&gt;=0,IF(IF(o_WRAP=1,MOD(((c_TMAP1IN)-(c_TFWD))*(((A400)-(c_TFWD))*((c_TMAP1OUT)-(0))+IF(((c_TMAP1OUT)-(0))&gt;=0,1,-1)*QUOTIENT(((c_TMAP1IN)-(c_TFWD)),2))+2147483648,4294967296)-2147483648,((c_TMAP1IN)-(c_TFWD))*(((A400)-(c_TFWD))*((c_TMAP1OUT)-(0))+IF(((c_TMAP1OUT)-(0))&gt;=0,1,-1)*QUOTIENT(((c_TMAP1IN)-(c_TFWD)),2)))&lt;0,-1,0),IF(IF(o_WRAP=1,MOD(((c_TMAP1IN)-(c_TFWD))*(((A400)-(c_TFWD))*((c_TMAP1OUT)-(0))+IF(((c_TMAP1OUT)-(0))&gt;=0,1,-1)*QUOTIENT(((c_TMAP1IN)-(c_TFWD)),2))+2147483648,4294967296)-2147483648,((c_TMAP1IN)-(c_TFWD))*(((A400)-(c_TFWD))*((c_TMAP1OUT)-(0))+IF(((c_TMAP1OUT)-(0))&gt;=0,1,-1)*QUOTIENT(((c_TMAP1IN)-(c_TFWD)),2)))&gt;=0,1,0)))</f>
        <v>299</v>
      </c>
      <c r="E400" s="7" t="n">
        <f aca="false">IF(((c_TMAP2IN)-(c_TMAP1IN))=0,(c_TMAP1OUT)+QUOTIENT(((c_TMAP2OUT)-(c_TMAP1OUT)),2),QUOTIENT((((A400)-(c_TMAP1IN))*((c_TMAP2OUT)-(c_TMAP1OUT))+IF(((c_TMAP2OUT)-(c_TMAP1OUT))&gt;=0,1,-1)*QUOTIENT(((c_TMAP2IN)-(c_TMAP1IN)),2)),((c_TMAP2IN)-(c_TMAP1IN)))+(c_TMAP1OUT)+IF(((c_TMAP2OUT)-(c_TMAP1OUT))&gt;=0,IF(IF(o_WRAP=1,MOD(((c_TMAP2IN)-(c_TMAP1IN))*(((A400)-(c_TMAP1IN))*((c_TMAP2OUT)-(c_TMAP1OUT))+IF(((c_TMAP2OUT)-(c_TMAP1OUT))&gt;=0,1,-1)*QUOTIENT(((c_TMAP2IN)-(c_TMAP1IN)),2))+2147483648,4294967296)-2147483648,((c_TMAP2IN)-(c_TMAP1IN))*(((A400)-(c_TMAP1IN))*((c_TMAP2OUT)-(c_TMAP1OUT))+IF(((c_TMAP2OUT)-(c_TMAP1OUT))&gt;=0,1,-1)*QUOTIENT(((c_TMAP2IN)-(c_TMAP1IN)),2)))&lt;0,-1,0),IF(IF(o_WRAP=1,MOD(((c_TMAP2IN)-(c_TMAP1IN))*(((A400)-(c_TMAP1IN))*((c_TMAP2OUT)-(c_TMAP1OUT))+IF(((c_TMAP2OUT)-(c_TMAP1OUT))&gt;=0,1,-1)*QUOTIENT(((c_TMAP2IN)-(c_TMAP1IN)),2))+2147483648,4294967296)-2147483648,((c_TMAP2IN)-(c_TMAP1IN))*(((A400)-(c_TMAP1IN))*((c_TMAP2OUT)-(c_TMAP1OUT))+IF(((c_TMAP2OUT)-(c_TMAP1OUT))&gt;=0,1,-1)*QUOTIENT(((c_TMAP2IN)-(c_TMAP1IN)),2)))&gt;=0,1,0)))</f>
        <v>188</v>
      </c>
      <c r="F400" s="7" t="n">
        <f aca="false">IF(((c_TMAP3IN)-(c_TMAP2IN))=0,(c_TMAP2OUT)+QUOTIENT(((c_TMAP3OUT)-(c_TMAP2OUT)),2),QUOTIENT((((A400)-(c_TMAP2IN))*((c_TMAP3OUT)-(c_TMAP2OUT))+IF(((c_TMAP3OUT)-(c_TMAP2OUT))&gt;=0,1,-1)*QUOTIENT(((c_TMAP3IN)-(c_TMAP2IN)),2)),((c_TMAP3IN)-(c_TMAP2IN)))+(c_TMAP2OUT)+IF(((c_TMAP3OUT)-(c_TMAP2OUT))&gt;=0,IF(IF(o_WRAP=1,MOD(((c_TMAP3IN)-(c_TMAP2IN))*(((A400)-(c_TMAP2IN))*((c_TMAP3OUT)-(c_TMAP2OUT))+IF(((c_TMAP3OUT)-(c_TMAP2OUT))&gt;=0,1,-1)*QUOTIENT(((c_TMAP3IN)-(c_TMAP2IN)),2))+2147483648,4294967296)-2147483648,((c_TMAP3IN)-(c_TMAP2IN))*(((A400)-(c_TMAP2IN))*((c_TMAP3OUT)-(c_TMAP2OUT))+IF(((c_TMAP3OUT)-(c_TMAP2OUT))&gt;=0,1,-1)*QUOTIENT(((c_TMAP3IN)-(c_TMAP2IN)),2)))&lt;0,-1,0),IF(IF(o_WRAP=1,MOD(((c_TMAP3IN)-(c_TMAP2IN))*(((A400)-(c_TMAP2IN))*((c_TMAP3OUT)-(c_TMAP2OUT))+IF(((c_TMAP3OUT)-(c_TMAP2OUT))&gt;=0,1,-1)*QUOTIENT(((c_TMAP3IN)-(c_TMAP2IN)),2))+2147483648,4294967296)-2147483648,((c_TMAP3IN)-(c_TMAP2IN))*(((A400)-(c_TMAP2IN))*((c_TMAP3OUT)-(c_TMAP2OUT))+IF(((c_TMAP3OUT)-(c_TMAP2OUT))&gt;=0,1,-1)*QUOTIENT(((c_TMAP3IN)-(c_TMAP2IN)),2)))&gt;=0,1,0)))</f>
        <v>232</v>
      </c>
      <c r="G400" s="7" t="n">
        <f aca="false">IF(((1000)-(c_TMAP3IN))=0,(c_TMAP3OUT)+QUOTIENT(((1000)-(c_TMAP3OUT)),2),QUOTIENT((((A400)-(c_TMAP3IN))*((1000)-(c_TMAP3OUT))+IF(((1000)-(c_TMAP3OUT))&gt;=0,1,-1)*QUOTIENT(((1000)-(c_TMAP3IN)),2)),((1000)-(c_TMAP3IN)))+(c_TMAP3OUT)+IF(((1000)-(c_TMAP3OUT))&gt;=0,IF(IF(o_WRAP=1,MOD(((1000)-(c_TMAP3IN))*(((A400)-(c_TMAP3IN))*((1000)-(c_TMAP3OUT))+IF(((1000)-(c_TMAP3OUT))&gt;=0,1,-1)*QUOTIENT(((1000)-(c_TMAP3IN)),2))+2147483648,4294967296)-2147483648,((1000)-(c_TMAP3IN))*(((A400)-(c_TMAP3IN))*((1000)-(c_TMAP3OUT))+IF(((1000)-(c_TMAP3OUT))&gt;=0,1,-1)*QUOTIENT(((1000)-(c_TMAP3IN)),2)))&lt;0,-1,0),IF(IF(o_WRAP=1,MOD(((1000)-(c_TMAP3IN))*(((A400)-(c_TMAP3IN))*((1000)-(c_TMAP3OUT))+IF(((1000)-(c_TMAP3OUT))&gt;=0,1,-1)*QUOTIENT(((1000)-(c_TMAP3IN)),2))+2147483648,4294967296)-2147483648,((1000)-(c_TMAP3IN))*(((A400)-(c_TMAP3IN))*((1000)-(c_TMAP3OUT))+IF(((1000)-(c_TMAP3OUT))&gt;=0,1,-1)*QUOTIENT(((1000)-(c_TMAP3IN)),2)))&gt;=0,1,0)))</f>
        <v>255</v>
      </c>
      <c r="H400" s="7" t="str">
        <f aca="false">IF(A400&gt;=c_TFWD,IF(AND(A400&gt;=c_TMAP3IN,c_TMAP3IN&lt;1000),"Seg4 map3-100%",IF(AND(A400&gt;=c_TMAP2IN,c_TMAP3IN&gt;c_TMAP2IN),"Seg3 map2-map3",IF(AND(A400&gt;=c_TMAP1IN,c_TMAP2IN&gt;c_TMAP1IN),"Seg2 map1-map2","Seg1 TFWD-map1"))),IF(AND(A400=0,c_TCREEP&gt;0),"Creep",IF(AND(A400&lt;=c_TRNGMIN,A400&gt;=c_TRNGMAX,c_TRNGMIN-c_TRNGMAX&lt;&gt;0),"Regen ramp","Coast (0)")))</f>
        <v>Seg4 map3-100%</v>
      </c>
      <c r="I400" s="7" t="n">
        <f aca="false">IF(A400&gt;=c_TFWD,IF(AND(A400&gt;=c_TMAP3IN,c_TMAP3IN&lt;1000),G400,IF(AND(A400&gt;=c_TMAP2IN,c_TMAP3IN&gt;c_TMAP2IN),F400,IF(AND(A400&gt;=c_TMAP1IN,c_TMAP2IN&gt;c_TMAP1IN),E400,D400))),C400)</f>
        <v>255</v>
      </c>
      <c r="J400" s="7" t="str">
        <f aca="false">IF(I400&lt;-1090,"TOO LOW",IF(I400&gt;1090,"TOO HIGH",""))</f>
        <v/>
      </c>
      <c r="K400" s="15" t="n">
        <f aca="false">IF(J400&lt;&gt;"",0,IF(I400&gt;979,1000,I400))</f>
        <v>255</v>
      </c>
      <c r="L400" s="7" t="n">
        <f aca="false">K400/10</f>
        <v>25.5</v>
      </c>
    </row>
    <row r="401" customFormat="false" ht="15" hidden="false" customHeight="false" outlineLevel="0" collapsed="false">
      <c r="A401" s="7" t="n">
        <v>396</v>
      </c>
      <c r="B401" s="7" t="n">
        <f aca="false">A401/10</f>
        <v>39.6</v>
      </c>
      <c r="C401" s="7" t="n">
        <f aca="false">IF(AND(A401=0,c_TCREEP&gt;0),10*c_TCREEP,IF(AND(A401&lt;=c_TRNGMIN,A401&gt;=c_TRNGMAX,c_TRNGMIN-c_TRNGMAX&lt;&gt;0),-10*c_TMINRN+QUOTIENT((c_TMAXRN-c_TMINRN)*(100-QUOTIENT((A401-c_TRNGMAX)*100,c_TRNGMIN-c_TRNGMAX)),-10),0))</f>
        <v>0</v>
      </c>
      <c r="D401" s="7" t="n">
        <f aca="false">IF(((c_TMAP1IN)-(c_TFWD))=0,(0)+QUOTIENT(((c_TMAP1OUT)-(0)),2),QUOTIENT((((A401)-(c_TFWD))*((c_TMAP1OUT)-(0))+IF(((c_TMAP1OUT)-(0))&gt;=0,1,-1)*QUOTIENT(((c_TMAP1IN)-(c_TFWD)),2)),((c_TMAP1IN)-(c_TFWD)))+(0)+IF(((c_TMAP1OUT)-(0))&gt;=0,IF(IF(o_WRAP=1,MOD(((c_TMAP1IN)-(c_TFWD))*(((A401)-(c_TFWD))*((c_TMAP1OUT)-(0))+IF(((c_TMAP1OUT)-(0))&gt;=0,1,-1)*QUOTIENT(((c_TMAP1IN)-(c_TFWD)),2))+2147483648,4294967296)-2147483648,((c_TMAP1IN)-(c_TFWD))*(((A401)-(c_TFWD))*((c_TMAP1OUT)-(0))+IF(((c_TMAP1OUT)-(0))&gt;=0,1,-1)*QUOTIENT(((c_TMAP1IN)-(c_TFWD)),2)))&lt;0,-1,0),IF(IF(o_WRAP=1,MOD(((c_TMAP1IN)-(c_TFWD))*(((A401)-(c_TFWD))*((c_TMAP1OUT)-(0))+IF(((c_TMAP1OUT)-(0))&gt;=0,1,-1)*QUOTIENT(((c_TMAP1IN)-(c_TFWD)),2))+2147483648,4294967296)-2147483648,((c_TMAP1IN)-(c_TFWD))*(((A401)-(c_TFWD))*((c_TMAP1OUT)-(0))+IF(((c_TMAP1OUT)-(0))&gt;=0,1,-1)*QUOTIENT(((c_TMAP1IN)-(c_TFWD)),2)))&gt;=0,1,0)))</f>
        <v>300</v>
      </c>
      <c r="E401" s="7" t="n">
        <f aca="false">IF(((c_TMAP2IN)-(c_TMAP1IN))=0,(c_TMAP1OUT)+QUOTIENT(((c_TMAP2OUT)-(c_TMAP1OUT)),2),QUOTIENT((((A401)-(c_TMAP1IN))*((c_TMAP2OUT)-(c_TMAP1OUT))+IF(((c_TMAP2OUT)-(c_TMAP1OUT))&gt;=0,1,-1)*QUOTIENT(((c_TMAP2IN)-(c_TMAP1IN)),2)),((c_TMAP2IN)-(c_TMAP1IN)))+(c_TMAP1OUT)+IF(((c_TMAP2OUT)-(c_TMAP1OUT))&gt;=0,IF(IF(o_WRAP=1,MOD(((c_TMAP2IN)-(c_TMAP1IN))*(((A401)-(c_TMAP1IN))*((c_TMAP2OUT)-(c_TMAP1OUT))+IF(((c_TMAP2OUT)-(c_TMAP1OUT))&gt;=0,1,-1)*QUOTIENT(((c_TMAP2IN)-(c_TMAP1IN)),2))+2147483648,4294967296)-2147483648,((c_TMAP2IN)-(c_TMAP1IN))*(((A401)-(c_TMAP1IN))*((c_TMAP2OUT)-(c_TMAP1OUT))+IF(((c_TMAP2OUT)-(c_TMAP1OUT))&gt;=0,1,-1)*QUOTIENT(((c_TMAP2IN)-(c_TMAP1IN)),2)))&lt;0,-1,0),IF(IF(o_WRAP=1,MOD(((c_TMAP2IN)-(c_TMAP1IN))*(((A401)-(c_TMAP1IN))*((c_TMAP2OUT)-(c_TMAP1OUT))+IF(((c_TMAP2OUT)-(c_TMAP1OUT))&gt;=0,1,-1)*QUOTIENT(((c_TMAP2IN)-(c_TMAP1IN)),2))+2147483648,4294967296)-2147483648,((c_TMAP2IN)-(c_TMAP1IN))*(((A401)-(c_TMAP1IN))*((c_TMAP2OUT)-(c_TMAP1OUT))+IF(((c_TMAP2OUT)-(c_TMAP1OUT))&gt;=0,1,-1)*QUOTIENT(((c_TMAP2IN)-(c_TMAP1IN)),2)))&gt;=0,1,0)))</f>
        <v>188</v>
      </c>
      <c r="F401" s="7" t="n">
        <f aca="false">IF(((c_TMAP3IN)-(c_TMAP2IN))=0,(c_TMAP2OUT)+QUOTIENT(((c_TMAP3OUT)-(c_TMAP2OUT)),2),QUOTIENT((((A401)-(c_TMAP2IN))*((c_TMAP3OUT)-(c_TMAP2OUT))+IF(((c_TMAP3OUT)-(c_TMAP2OUT))&gt;=0,1,-1)*QUOTIENT(((c_TMAP3IN)-(c_TMAP2IN)),2)),((c_TMAP3IN)-(c_TMAP2IN)))+(c_TMAP2OUT)+IF(((c_TMAP3OUT)-(c_TMAP2OUT))&gt;=0,IF(IF(o_WRAP=1,MOD(((c_TMAP3IN)-(c_TMAP2IN))*(((A401)-(c_TMAP2IN))*((c_TMAP3OUT)-(c_TMAP2OUT))+IF(((c_TMAP3OUT)-(c_TMAP2OUT))&gt;=0,1,-1)*QUOTIENT(((c_TMAP3IN)-(c_TMAP2IN)),2))+2147483648,4294967296)-2147483648,((c_TMAP3IN)-(c_TMAP2IN))*(((A401)-(c_TMAP2IN))*((c_TMAP3OUT)-(c_TMAP2OUT))+IF(((c_TMAP3OUT)-(c_TMAP2OUT))&gt;=0,1,-1)*QUOTIENT(((c_TMAP3IN)-(c_TMAP2IN)),2)))&lt;0,-1,0),IF(IF(o_WRAP=1,MOD(((c_TMAP3IN)-(c_TMAP2IN))*(((A401)-(c_TMAP2IN))*((c_TMAP3OUT)-(c_TMAP2OUT))+IF(((c_TMAP3OUT)-(c_TMAP2OUT))&gt;=0,1,-1)*QUOTIENT(((c_TMAP3IN)-(c_TMAP2IN)),2))+2147483648,4294967296)-2147483648,((c_TMAP3IN)-(c_TMAP2IN))*(((A401)-(c_TMAP2IN))*((c_TMAP3OUT)-(c_TMAP2OUT))+IF(((c_TMAP3OUT)-(c_TMAP2OUT))&gt;=0,1,-1)*QUOTIENT(((c_TMAP3IN)-(c_TMAP2IN)),2)))&gt;=0,1,0)))</f>
        <v>232</v>
      </c>
      <c r="G401" s="7" t="n">
        <f aca="false">IF(((1000)-(c_TMAP3IN))=0,(c_TMAP3OUT)+QUOTIENT(((1000)-(c_TMAP3OUT)),2),QUOTIENT((((A401)-(c_TMAP3IN))*((1000)-(c_TMAP3OUT))+IF(((1000)-(c_TMAP3OUT))&gt;=0,1,-1)*QUOTIENT(((1000)-(c_TMAP3IN)),2)),((1000)-(c_TMAP3IN)))+(c_TMAP3OUT)+IF(((1000)-(c_TMAP3OUT))&gt;=0,IF(IF(o_WRAP=1,MOD(((1000)-(c_TMAP3IN))*(((A401)-(c_TMAP3IN))*((1000)-(c_TMAP3OUT))+IF(((1000)-(c_TMAP3OUT))&gt;=0,1,-1)*QUOTIENT(((1000)-(c_TMAP3IN)),2))+2147483648,4294967296)-2147483648,((1000)-(c_TMAP3IN))*(((A401)-(c_TMAP3IN))*((1000)-(c_TMAP3OUT))+IF(((1000)-(c_TMAP3OUT))&gt;=0,1,-1)*QUOTIENT(((1000)-(c_TMAP3IN)),2)))&lt;0,-1,0),IF(IF(o_WRAP=1,MOD(((1000)-(c_TMAP3IN))*(((A401)-(c_TMAP3IN))*((1000)-(c_TMAP3OUT))+IF(((1000)-(c_TMAP3OUT))&gt;=0,1,-1)*QUOTIENT(((1000)-(c_TMAP3IN)),2))+2147483648,4294967296)-2147483648,((1000)-(c_TMAP3IN))*(((A401)-(c_TMAP3IN))*((1000)-(c_TMAP3OUT))+IF(((1000)-(c_TMAP3OUT))&gt;=0,1,-1)*QUOTIENT(((1000)-(c_TMAP3IN)),2)))&gt;=0,1,0)))</f>
        <v>257</v>
      </c>
      <c r="H401" s="7" t="str">
        <f aca="false">IF(A401&gt;=c_TFWD,IF(AND(A401&gt;=c_TMAP3IN,c_TMAP3IN&lt;1000),"Seg4 map3-100%",IF(AND(A401&gt;=c_TMAP2IN,c_TMAP3IN&gt;c_TMAP2IN),"Seg3 map2-map3",IF(AND(A401&gt;=c_TMAP1IN,c_TMAP2IN&gt;c_TMAP1IN),"Seg2 map1-map2","Seg1 TFWD-map1"))),IF(AND(A401=0,c_TCREEP&gt;0),"Creep",IF(AND(A401&lt;=c_TRNGMIN,A401&gt;=c_TRNGMAX,c_TRNGMIN-c_TRNGMAX&lt;&gt;0),"Regen ramp","Coast (0)")))</f>
        <v>Seg4 map3-100%</v>
      </c>
      <c r="I401" s="7" t="n">
        <f aca="false">IF(A401&gt;=c_TFWD,IF(AND(A401&gt;=c_TMAP3IN,c_TMAP3IN&lt;1000),G401,IF(AND(A401&gt;=c_TMAP2IN,c_TMAP3IN&gt;c_TMAP2IN),F401,IF(AND(A401&gt;=c_TMAP1IN,c_TMAP2IN&gt;c_TMAP1IN),E401,D401))),C401)</f>
        <v>257</v>
      </c>
      <c r="J401" s="7" t="str">
        <f aca="false">IF(I401&lt;-1090,"TOO LOW",IF(I401&gt;1090,"TOO HIGH",""))</f>
        <v/>
      </c>
      <c r="K401" s="15" t="n">
        <f aca="false">IF(J401&lt;&gt;"",0,IF(I401&gt;979,1000,I401))</f>
        <v>257</v>
      </c>
      <c r="L401" s="7" t="n">
        <f aca="false">K401/10</f>
        <v>25.7</v>
      </c>
    </row>
    <row r="402" customFormat="false" ht="15" hidden="false" customHeight="false" outlineLevel="0" collapsed="false">
      <c r="A402" s="7" t="n">
        <v>397</v>
      </c>
      <c r="B402" s="7" t="n">
        <f aca="false">A402/10</f>
        <v>39.7</v>
      </c>
      <c r="C402" s="7" t="n">
        <f aca="false">IF(AND(A402=0,c_TCREEP&gt;0),10*c_TCREEP,IF(AND(A402&lt;=c_TRNGMIN,A402&gt;=c_TRNGMAX,c_TRNGMIN-c_TRNGMAX&lt;&gt;0),-10*c_TMINRN+QUOTIENT((c_TMAXRN-c_TMINRN)*(100-QUOTIENT((A402-c_TRNGMAX)*100,c_TRNGMIN-c_TRNGMAX)),-10),0))</f>
        <v>0</v>
      </c>
      <c r="D402" s="7" t="n">
        <f aca="false">IF(((c_TMAP1IN)-(c_TFWD))=0,(0)+QUOTIENT(((c_TMAP1OUT)-(0)),2),QUOTIENT((((A402)-(c_TFWD))*((c_TMAP1OUT)-(0))+IF(((c_TMAP1OUT)-(0))&gt;=0,1,-1)*QUOTIENT(((c_TMAP1IN)-(c_TFWD)),2)),((c_TMAP1IN)-(c_TFWD)))+(0)+IF(((c_TMAP1OUT)-(0))&gt;=0,IF(IF(o_WRAP=1,MOD(((c_TMAP1IN)-(c_TFWD))*(((A402)-(c_TFWD))*((c_TMAP1OUT)-(0))+IF(((c_TMAP1OUT)-(0))&gt;=0,1,-1)*QUOTIENT(((c_TMAP1IN)-(c_TFWD)),2))+2147483648,4294967296)-2147483648,((c_TMAP1IN)-(c_TFWD))*(((A402)-(c_TFWD))*((c_TMAP1OUT)-(0))+IF(((c_TMAP1OUT)-(0))&gt;=0,1,-1)*QUOTIENT(((c_TMAP1IN)-(c_TFWD)),2)))&lt;0,-1,0),IF(IF(o_WRAP=1,MOD(((c_TMAP1IN)-(c_TFWD))*(((A402)-(c_TFWD))*((c_TMAP1OUT)-(0))+IF(((c_TMAP1OUT)-(0))&gt;=0,1,-1)*QUOTIENT(((c_TMAP1IN)-(c_TFWD)),2))+2147483648,4294967296)-2147483648,((c_TMAP1IN)-(c_TFWD))*(((A402)-(c_TFWD))*((c_TMAP1OUT)-(0))+IF(((c_TMAP1OUT)-(0))&gt;=0,1,-1)*QUOTIENT(((c_TMAP1IN)-(c_TFWD)),2)))&gt;=0,1,0)))</f>
        <v>301</v>
      </c>
      <c r="E402" s="7" t="n">
        <f aca="false">IF(((c_TMAP2IN)-(c_TMAP1IN))=0,(c_TMAP1OUT)+QUOTIENT(((c_TMAP2OUT)-(c_TMAP1OUT)),2),QUOTIENT((((A402)-(c_TMAP1IN))*((c_TMAP2OUT)-(c_TMAP1OUT))+IF(((c_TMAP2OUT)-(c_TMAP1OUT))&gt;=0,1,-1)*QUOTIENT(((c_TMAP2IN)-(c_TMAP1IN)),2)),((c_TMAP2IN)-(c_TMAP1IN)))+(c_TMAP1OUT)+IF(((c_TMAP2OUT)-(c_TMAP1OUT))&gt;=0,IF(IF(o_WRAP=1,MOD(((c_TMAP2IN)-(c_TMAP1IN))*(((A402)-(c_TMAP1IN))*((c_TMAP2OUT)-(c_TMAP1OUT))+IF(((c_TMAP2OUT)-(c_TMAP1OUT))&gt;=0,1,-1)*QUOTIENT(((c_TMAP2IN)-(c_TMAP1IN)),2))+2147483648,4294967296)-2147483648,((c_TMAP2IN)-(c_TMAP1IN))*(((A402)-(c_TMAP1IN))*((c_TMAP2OUT)-(c_TMAP1OUT))+IF(((c_TMAP2OUT)-(c_TMAP1OUT))&gt;=0,1,-1)*QUOTIENT(((c_TMAP2IN)-(c_TMAP1IN)),2)))&lt;0,-1,0),IF(IF(o_WRAP=1,MOD(((c_TMAP2IN)-(c_TMAP1IN))*(((A402)-(c_TMAP1IN))*((c_TMAP2OUT)-(c_TMAP1OUT))+IF(((c_TMAP2OUT)-(c_TMAP1OUT))&gt;=0,1,-1)*QUOTIENT(((c_TMAP2IN)-(c_TMAP1IN)),2))+2147483648,4294967296)-2147483648,((c_TMAP2IN)-(c_TMAP1IN))*(((A402)-(c_TMAP1IN))*((c_TMAP2OUT)-(c_TMAP1OUT))+IF(((c_TMAP2OUT)-(c_TMAP1OUT))&gt;=0,1,-1)*QUOTIENT(((c_TMAP2IN)-(c_TMAP1IN)),2)))&gt;=0,1,0)))</f>
        <v>189</v>
      </c>
      <c r="F402" s="7" t="n">
        <f aca="false">IF(((c_TMAP3IN)-(c_TMAP2IN))=0,(c_TMAP2OUT)+QUOTIENT(((c_TMAP3OUT)-(c_TMAP2OUT)),2),QUOTIENT((((A402)-(c_TMAP2IN))*((c_TMAP3OUT)-(c_TMAP2OUT))+IF(((c_TMAP3OUT)-(c_TMAP2OUT))&gt;=0,1,-1)*QUOTIENT(((c_TMAP3IN)-(c_TMAP2IN)),2)),((c_TMAP3IN)-(c_TMAP2IN)))+(c_TMAP2OUT)+IF(((c_TMAP3OUT)-(c_TMAP2OUT))&gt;=0,IF(IF(o_WRAP=1,MOD(((c_TMAP3IN)-(c_TMAP2IN))*(((A402)-(c_TMAP2IN))*((c_TMAP3OUT)-(c_TMAP2OUT))+IF(((c_TMAP3OUT)-(c_TMAP2OUT))&gt;=0,1,-1)*QUOTIENT(((c_TMAP3IN)-(c_TMAP2IN)),2))+2147483648,4294967296)-2147483648,((c_TMAP3IN)-(c_TMAP2IN))*(((A402)-(c_TMAP2IN))*((c_TMAP3OUT)-(c_TMAP2OUT))+IF(((c_TMAP3OUT)-(c_TMAP2OUT))&gt;=0,1,-1)*QUOTIENT(((c_TMAP3IN)-(c_TMAP2IN)),2)))&lt;0,-1,0),IF(IF(o_WRAP=1,MOD(((c_TMAP3IN)-(c_TMAP2IN))*(((A402)-(c_TMAP2IN))*((c_TMAP3OUT)-(c_TMAP2OUT))+IF(((c_TMAP3OUT)-(c_TMAP2OUT))&gt;=0,1,-1)*QUOTIENT(((c_TMAP3IN)-(c_TMAP2IN)),2))+2147483648,4294967296)-2147483648,((c_TMAP3IN)-(c_TMAP2IN))*(((A402)-(c_TMAP2IN))*((c_TMAP3OUT)-(c_TMAP2OUT))+IF(((c_TMAP3OUT)-(c_TMAP2OUT))&gt;=0,1,-1)*QUOTIENT(((c_TMAP3IN)-(c_TMAP2IN)),2)))&gt;=0,1,0)))</f>
        <v>233</v>
      </c>
      <c r="G402" s="7" t="n">
        <f aca="false">IF(((1000)-(c_TMAP3IN))=0,(c_TMAP3OUT)+QUOTIENT(((1000)-(c_TMAP3OUT)),2),QUOTIENT((((A402)-(c_TMAP3IN))*((1000)-(c_TMAP3OUT))+IF(((1000)-(c_TMAP3OUT))&gt;=0,1,-1)*QUOTIENT(((1000)-(c_TMAP3IN)),2)),((1000)-(c_TMAP3IN)))+(c_TMAP3OUT)+IF(((1000)-(c_TMAP3OUT))&gt;=0,IF(IF(o_WRAP=1,MOD(((1000)-(c_TMAP3IN))*(((A402)-(c_TMAP3IN))*((1000)-(c_TMAP3OUT))+IF(((1000)-(c_TMAP3OUT))&gt;=0,1,-1)*QUOTIENT(((1000)-(c_TMAP3IN)),2))+2147483648,4294967296)-2147483648,((1000)-(c_TMAP3IN))*(((A402)-(c_TMAP3IN))*((1000)-(c_TMAP3OUT))+IF(((1000)-(c_TMAP3OUT))&gt;=0,1,-1)*QUOTIENT(((1000)-(c_TMAP3IN)),2)))&lt;0,-1,0),IF(IF(o_WRAP=1,MOD(((1000)-(c_TMAP3IN))*(((A402)-(c_TMAP3IN))*((1000)-(c_TMAP3OUT))+IF(((1000)-(c_TMAP3OUT))&gt;=0,1,-1)*QUOTIENT(((1000)-(c_TMAP3IN)),2))+2147483648,4294967296)-2147483648,((1000)-(c_TMAP3IN))*(((A402)-(c_TMAP3IN))*((1000)-(c_TMAP3OUT))+IF(((1000)-(c_TMAP3OUT))&gt;=0,1,-1)*QUOTIENT(((1000)-(c_TMAP3IN)),2)))&gt;=0,1,0)))</f>
        <v>258</v>
      </c>
      <c r="H402" s="7" t="str">
        <f aca="false">IF(A402&gt;=c_TFWD,IF(AND(A402&gt;=c_TMAP3IN,c_TMAP3IN&lt;1000),"Seg4 map3-100%",IF(AND(A402&gt;=c_TMAP2IN,c_TMAP3IN&gt;c_TMAP2IN),"Seg3 map2-map3",IF(AND(A402&gt;=c_TMAP1IN,c_TMAP2IN&gt;c_TMAP1IN),"Seg2 map1-map2","Seg1 TFWD-map1"))),IF(AND(A402=0,c_TCREEP&gt;0),"Creep",IF(AND(A402&lt;=c_TRNGMIN,A402&gt;=c_TRNGMAX,c_TRNGMIN-c_TRNGMAX&lt;&gt;0),"Regen ramp","Coast (0)")))</f>
        <v>Seg4 map3-100%</v>
      </c>
      <c r="I402" s="7" t="n">
        <f aca="false">IF(A402&gt;=c_TFWD,IF(AND(A402&gt;=c_TMAP3IN,c_TMAP3IN&lt;1000),G402,IF(AND(A402&gt;=c_TMAP2IN,c_TMAP3IN&gt;c_TMAP2IN),F402,IF(AND(A402&gt;=c_TMAP1IN,c_TMAP2IN&gt;c_TMAP1IN),E402,D402))),C402)</f>
        <v>258</v>
      </c>
      <c r="J402" s="7" t="str">
        <f aca="false">IF(I402&lt;-1090,"TOO LOW",IF(I402&gt;1090,"TOO HIGH",""))</f>
        <v/>
      </c>
      <c r="K402" s="15" t="n">
        <f aca="false">IF(J402&lt;&gt;"",0,IF(I402&gt;979,1000,I402))</f>
        <v>258</v>
      </c>
      <c r="L402" s="7" t="n">
        <f aca="false">K402/10</f>
        <v>25.8</v>
      </c>
    </row>
    <row r="403" customFormat="false" ht="15" hidden="false" customHeight="false" outlineLevel="0" collapsed="false">
      <c r="A403" s="7" t="n">
        <v>398</v>
      </c>
      <c r="B403" s="7" t="n">
        <f aca="false">A403/10</f>
        <v>39.8</v>
      </c>
      <c r="C403" s="7" t="n">
        <f aca="false">IF(AND(A403=0,c_TCREEP&gt;0),10*c_TCREEP,IF(AND(A403&lt;=c_TRNGMIN,A403&gt;=c_TRNGMAX,c_TRNGMIN-c_TRNGMAX&lt;&gt;0),-10*c_TMINRN+QUOTIENT((c_TMAXRN-c_TMINRN)*(100-QUOTIENT((A403-c_TRNGMAX)*100,c_TRNGMIN-c_TRNGMAX)),-10),0))</f>
        <v>0</v>
      </c>
      <c r="D403" s="7" t="n">
        <f aca="false">IF(((c_TMAP1IN)-(c_TFWD))=0,(0)+QUOTIENT(((c_TMAP1OUT)-(0)),2),QUOTIENT((((A403)-(c_TFWD))*((c_TMAP1OUT)-(0))+IF(((c_TMAP1OUT)-(0))&gt;=0,1,-1)*QUOTIENT(((c_TMAP1IN)-(c_TFWD)),2)),((c_TMAP1IN)-(c_TFWD)))+(0)+IF(((c_TMAP1OUT)-(0))&gt;=0,IF(IF(o_WRAP=1,MOD(((c_TMAP1IN)-(c_TFWD))*(((A403)-(c_TFWD))*((c_TMAP1OUT)-(0))+IF(((c_TMAP1OUT)-(0))&gt;=0,1,-1)*QUOTIENT(((c_TMAP1IN)-(c_TFWD)),2))+2147483648,4294967296)-2147483648,((c_TMAP1IN)-(c_TFWD))*(((A403)-(c_TFWD))*((c_TMAP1OUT)-(0))+IF(((c_TMAP1OUT)-(0))&gt;=0,1,-1)*QUOTIENT(((c_TMAP1IN)-(c_TFWD)),2)))&lt;0,-1,0),IF(IF(o_WRAP=1,MOD(((c_TMAP1IN)-(c_TFWD))*(((A403)-(c_TFWD))*((c_TMAP1OUT)-(0))+IF(((c_TMAP1OUT)-(0))&gt;=0,1,-1)*QUOTIENT(((c_TMAP1IN)-(c_TFWD)),2))+2147483648,4294967296)-2147483648,((c_TMAP1IN)-(c_TFWD))*(((A403)-(c_TFWD))*((c_TMAP1OUT)-(0))+IF(((c_TMAP1OUT)-(0))&gt;=0,1,-1)*QUOTIENT(((c_TMAP1IN)-(c_TFWD)),2)))&gt;=0,1,0)))</f>
        <v>302</v>
      </c>
      <c r="E403" s="7" t="n">
        <f aca="false">IF(((c_TMAP2IN)-(c_TMAP1IN))=0,(c_TMAP1OUT)+QUOTIENT(((c_TMAP2OUT)-(c_TMAP1OUT)),2),QUOTIENT((((A403)-(c_TMAP1IN))*((c_TMAP2OUT)-(c_TMAP1OUT))+IF(((c_TMAP2OUT)-(c_TMAP1OUT))&gt;=0,1,-1)*QUOTIENT(((c_TMAP2IN)-(c_TMAP1IN)),2)),((c_TMAP2IN)-(c_TMAP1IN)))+(c_TMAP1OUT)+IF(((c_TMAP2OUT)-(c_TMAP1OUT))&gt;=0,IF(IF(o_WRAP=1,MOD(((c_TMAP2IN)-(c_TMAP1IN))*(((A403)-(c_TMAP1IN))*((c_TMAP2OUT)-(c_TMAP1OUT))+IF(((c_TMAP2OUT)-(c_TMAP1OUT))&gt;=0,1,-1)*QUOTIENT(((c_TMAP2IN)-(c_TMAP1IN)),2))+2147483648,4294967296)-2147483648,((c_TMAP2IN)-(c_TMAP1IN))*(((A403)-(c_TMAP1IN))*((c_TMAP2OUT)-(c_TMAP1OUT))+IF(((c_TMAP2OUT)-(c_TMAP1OUT))&gt;=0,1,-1)*QUOTIENT(((c_TMAP2IN)-(c_TMAP1IN)),2)))&lt;0,-1,0),IF(IF(o_WRAP=1,MOD(((c_TMAP2IN)-(c_TMAP1IN))*(((A403)-(c_TMAP1IN))*((c_TMAP2OUT)-(c_TMAP1OUT))+IF(((c_TMAP2OUT)-(c_TMAP1OUT))&gt;=0,1,-1)*QUOTIENT(((c_TMAP2IN)-(c_TMAP1IN)),2))+2147483648,4294967296)-2147483648,((c_TMAP2IN)-(c_TMAP1IN))*(((A403)-(c_TMAP1IN))*((c_TMAP2OUT)-(c_TMAP1OUT))+IF(((c_TMAP2OUT)-(c_TMAP1OUT))&gt;=0,1,-1)*QUOTIENT(((c_TMAP2IN)-(c_TMAP1IN)),2)))&gt;=0,1,0)))</f>
        <v>189</v>
      </c>
      <c r="F403" s="7" t="n">
        <f aca="false">IF(((c_TMAP3IN)-(c_TMAP2IN))=0,(c_TMAP2OUT)+QUOTIENT(((c_TMAP3OUT)-(c_TMAP2OUT)),2),QUOTIENT((((A403)-(c_TMAP2IN))*((c_TMAP3OUT)-(c_TMAP2OUT))+IF(((c_TMAP3OUT)-(c_TMAP2OUT))&gt;=0,1,-1)*QUOTIENT(((c_TMAP3IN)-(c_TMAP2IN)),2)),((c_TMAP3IN)-(c_TMAP2IN)))+(c_TMAP2OUT)+IF(((c_TMAP3OUT)-(c_TMAP2OUT))&gt;=0,IF(IF(o_WRAP=1,MOD(((c_TMAP3IN)-(c_TMAP2IN))*(((A403)-(c_TMAP2IN))*((c_TMAP3OUT)-(c_TMAP2OUT))+IF(((c_TMAP3OUT)-(c_TMAP2OUT))&gt;=0,1,-1)*QUOTIENT(((c_TMAP3IN)-(c_TMAP2IN)),2))+2147483648,4294967296)-2147483648,((c_TMAP3IN)-(c_TMAP2IN))*(((A403)-(c_TMAP2IN))*((c_TMAP3OUT)-(c_TMAP2OUT))+IF(((c_TMAP3OUT)-(c_TMAP2OUT))&gt;=0,1,-1)*QUOTIENT(((c_TMAP3IN)-(c_TMAP2IN)),2)))&lt;0,-1,0),IF(IF(o_WRAP=1,MOD(((c_TMAP3IN)-(c_TMAP2IN))*(((A403)-(c_TMAP2IN))*((c_TMAP3OUT)-(c_TMAP2OUT))+IF(((c_TMAP3OUT)-(c_TMAP2OUT))&gt;=0,1,-1)*QUOTIENT(((c_TMAP3IN)-(c_TMAP2IN)),2))+2147483648,4294967296)-2147483648,((c_TMAP3IN)-(c_TMAP2IN))*(((A403)-(c_TMAP2IN))*((c_TMAP3OUT)-(c_TMAP2OUT))+IF(((c_TMAP3OUT)-(c_TMAP2OUT))&gt;=0,1,-1)*QUOTIENT(((c_TMAP3IN)-(c_TMAP2IN)),2)))&gt;=0,1,0)))</f>
        <v>234</v>
      </c>
      <c r="G403" s="7" t="n">
        <f aca="false">IF(((1000)-(c_TMAP3IN))=0,(c_TMAP3OUT)+QUOTIENT(((1000)-(c_TMAP3OUT)),2),QUOTIENT((((A403)-(c_TMAP3IN))*((1000)-(c_TMAP3OUT))+IF(((1000)-(c_TMAP3OUT))&gt;=0,1,-1)*QUOTIENT(((1000)-(c_TMAP3IN)),2)),((1000)-(c_TMAP3IN)))+(c_TMAP3OUT)+IF(((1000)-(c_TMAP3OUT))&gt;=0,IF(IF(o_WRAP=1,MOD(((1000)-(c_TMAP3IN))*(((A403)-(c_TMAP3IN))*((1000)-(c_TMAP3OUT))+IF(((1000)-(c_TMAP3OUT))&gt;=0,1,-1)*QUOTIENT(((1000)-(c_TMAP3IN)),2))+2147483648,4294967296)-2147483648,((1000)-(c_TMAP3IN))*(((A403)-(c_TMAP3IN))*((1000)-(c_TMAP3OUT))+IF(((1000)-(c_TMAP3OUT))&gt;=0,1,-1)*QUOTIENT(((1000)-(c_TMAP3IN)),2)))&lt;0,-1,0),IF(IF(o_WRAP=1,MOD(((1000)-(c_TMAP3IN))*(((A403)-(c_TMAP3IN))*((1000)-(c_TMAP3OUT))+IF(((1000)-(c_TMAP3OUT))&gt;=0,1,-1)*QUOTIENT(((1000)-(c_TMAP3IN)),2))+2147483648,4294967296)-2147483648,((1000)-(c_TMAP3IN))*(((A403)-(c_TMAP3IN))*((1000)-(c_TMAP3OUT))+IF(((1000)-(c_TMAP3OUT))&gt;=0,1,-1)*QUOTIENT(((1000)-(c_TMAP3IN)),2)))&gt;=0,1,0)))</f>
        <v>259</v>
      </c>
      <c r="H403" s="7" t="str">
        <f aca="false">IF(A403&gt;=c_TFWD,IF(AND(A403&gt;=c_TMAP3IN,c_TMAP3IN&lt;1000),"Seg4 map3-100%",IF(AND(A403&gt;=c_TMAP2IN,c_TMAP3IN&gt;c_TMAP2IN),"Seg3 map2-map3",IF(AND(A403&gt;=c_TMAP1IN,c_TMAP2IN&gt;c_TMAP1IN),"Seg2 map1-map2","Seg1 TFWD-map1"))),IF(AND(A403=0,c_TCREEP&gt;0),"Creep",IF(AND(A403&lt;=c_TRNGMIN,A403&gt;=c_TRNGMAX,c_TRNGMIN-c_TRNGMAX&lt;&gt;0),"Regen ramp","Coast (0)")))</f>
        <v>Seg4 map3-100%</v>
      </c>
      <c r="I403" s="7" t="n">
        <f aca="false">IF(A403&gt;=c_TFWD,IF(AND(A403&gt;=c_TMAP3IN,c_TMAP3IN&lt;1000),G403,IF(AND(A403&gt;=c_TMAP2IN,c_TMAP3IN&gt;c_TMAP2IN),F403,IF(AND(A403&gt;=c_TMAP1IN,c_TMAP2IN&gt;c_TMAP1IN),E403,D403))),C403)</f>
        <v>259</v>
      </c>
      <c r="J403" s="7" t="str">
        <f aca="false">IF(I403&lt;-1090,"TOO LOW",IF(I403&gt;1090,"TOO HIGH",""))</f>
        <v/>
      </c>
      <c r="K403" s="15" t="n">
        <f aca="false">IF(J403&lt;&gt;"",0,IF(I403&gt;979,1000,I403))</f>
        <v>259</v>
      </c>
      <c r="L403" s="7" t="n">
        <f aca="false">K403/10</f>
        <v>25.9</v>
      </c>
    </row>
    <row r="404" customFormat="false" ht="15" hidden="false" customHeight="false" outlineLevel="0" collapsed="false">
      <c r="A404" s="7" t="n">
        <v>399</v>
      </c>
      <c r="B404" s="7" t="n">
        <f aca="false">A404/10</f>
        <v>39.9</v>
      </c>
      <c r="C404" s="7" t="n">
        <f aca="false">IF(AND(A404=0,c_TCREEP&gt;0),10*c_TCREEP,IF(AND(A404&lt;=c_TRNGMIN,A404&gt;=c_TRNGMAX,c_TRNGMIN-c_TRNGMAX&lt;&gt;0),-10*c_TMINRN+QUOTIENT((c_TMAXRN-c_TMINRN)*(100-QUOTIENT((A404-c_TRNGMAX)*100,c_TRNGMIN-c_TRNGMAX)),-10),0))</f>
        <v>0</v>
      </c>
      <c r="D404" s="7" t="n">
        <f aca="false">IF(((c_TMAP1IN)-(c_TFWD))=0,(0)+QUOTIENT(((c_TMAP1OUT)-(0)),2),QUOTIENT((((A404)-(c_TFWD))*((c_TMAP1OUT)-(0))+IF(((c_TMAP1OUT)-(0))&gt;=0,1,-1)*QUOTIENT(((c_TMAP1IN)-(c_TFWD)),2)),((c_TMAP1IN)-(c_TFWD)))+(0)+IF(((c_TMAP1OUT)-(0))&gt;=0,IF(IF(o_WRAP=1,MOD(((c_TMAP1IN)-(c_TFWD))*(((A404)-(c_TFWD))*((c_TMAP1OUT)-(0))+IF(((c_TMAP1OUT)-(0))&gt;=0,1,-1)*QUOTIENT(((c_TMAP1IN)-(c_TFWD)),2))+2147483648,4294967296)-2147483648,((c_TMAP1IN)-(c_TFWD))*(((A404)-(c_TFWD))*((c_TMAP1OUT)-(0))+IF(((c_TMAP1OUT)-(0))&gt;=0,1,-1)*QUOTIENT(((c_TMAP1IN)-(c_TFWD)),2)))&lt;0,-1,0),IF(IF(o_WRAP=1,MOD(((c_TMAP1IN)-(c_TFWD))*(((A404)-(c_TFWD))*((c_TMAP1OUT)-(0))+IF(((c_TMAP1OUT)-(0))&gt;=0,1,-1)*QUOTIENT(((c_TMAP1IN)-(c_TFWD)),2))+2147483648,4294967296)-2147483648,((c_TMAP1IN)-(c_TFWD))*(((A404)-(c_TFWD))*((c_TMAP1OUT)-(0))+IF(((c_TMAP1OUT)-(0))&gt;=0,1,-1)*QUOTIENT(((c_TMAP1IN)-(c_TFWD)),2)))&gt;=0,1,0)))</f>
        <v>303</v>
      </c>
      <c r="E404" s="7" t="n">
        <f aca="false">IF(((c_TMAP2IN)-(c_TMAP1IN))=0,(c_TMAP1OUT)+QUOTIENT(((c_TMAP2OUT)-(c_TMAP1OUT)),2),QUOTIENT((((A404)-(c_TMAP1IN))*((c_TMAP2OUT)-(c_TMAP1OUT))+IF(((c_TMAP2OUT)-(c_TMAP1OUT))&gt;=0,1,-1)*QUOTIENT(((c_TMAP2IN)-(c_TMAP1IN)),2)),((c_TMAP2IN)-(c_TMAP1IN)))+(c_TMAP1OUT)+IF(((c_TMAP2OUT)-(c_TMAP1OUT))&gt;=0,IF(IF(o_WRAP=1,MOD(((c_TMAP2IN)-(c_TMAP1IN))*(((A404)-(c_TMAP1IN))*((c_TMAP2OUT)-(c_TMAP1OUT))+IF(((c_TMAP2OUT)-(c_TMAP1OUT))&gt;=0,1,-1)*QUOTIENT(((c_TMAP2IN)-(c_TMAP1IN)),2))+2147483648,4294967296)-2147483648,((c_TMAP2IN)-(c_TMAP1IN))*(((A404)-(c_TMAP1IN))*((c_TMAP2OUT)-(c_TMAP1OUT))+IF(((c_TMAP2OUT)-(c_TMAP1OUT))&gt;=0,1,-1)*QUOTIENT(((c_TMAP2IN)-(c_TMAP1IN)),2)))&lt;0,-1,0),IF(IF(o_WRAP=1,MOD(((c_TMAP2IN)-(c_TMAP1IN))*(((A404)-(c_TMAP1IN))*((c_TMAP2OUT)-(c_TMAP1OUT))+IF(((c_TMAP2OUT)-(c_TMAP1OUT))&gt;=0,1,-1)*QUOTIENT(((c_TMAP2IN)-(c_TMAP1IN)),2))+2147483648,4294967296)-2147483648,((c_TMAP2IN)-(c_TMAP1IN))*(((A404)-(c_TMAP1IN))*((c_TMAP2OUT)-(c_TMAP1OUT))+IF(((c_TMAP2OUT)-(c_TMAP1OUT))&gt;=0,1,-1)*QUOTIENT(((c_TMAP2IN)-(c_TMAP1IN)),2)))&gt;=0,1,0)))</f>
        <v>190</v>
      </c>
      <c r="F404" s="7" t="n">
        <f aca="false">IF(((c_TMAP3IN)-(c_TMAP2IN))=0,(c_TMAP2OUT)+QUOTIENT(((c_TMAP3OUT)-(c_TMAP2OUT)),2),QUOTIENT((((A404)-(c_TMAP2IN))*((c_TMAP3OUT)-(c_TMAP2OUT))+IF(((c_TMAP3OUT)-(c_TMAP2OUT))&gt;=0,1,-1)*QUOTIENT(((c_TMAP3IN)-(c_TMAP2IN)),2)),((c_TMAP3IN)-(c_TMAP2IN)))+(c_TMAP2OUT)+IF(((c_TMAP3OUT)-(c_TMAP2OUT))&gt;=0,IF(IF(o_WRAP=1,MOD(((c_TMAP3IN)-(c_TMAP2IN))*(((A404)-(c_TMAP2IN))*((c_TMAP3OUT)-(c_TMAP2OUT))+IF(((c_TMAP3OUT)-(c_TMAP2OUT))&gt;=0,1,-1)*QUOTIENT(((c_TMAP3IN)-(c_TMAP2IN)),2))+2147483648,4294967296)-2147483648,((c_TMAP3IN)-(c_TMAP2IN))*(((A404)-(c_TMAP2IN))*((c_TMAP3OUT)-(c_TMAP2OUT))+IF(((c_TMAP3OUT)-(c_TMAP2OUT))&gt;=0,1,-1)*QUOTIENT(((c_TMAP3IN)-(c_TMAP2IN)),2)))&lt;0,-1,0),IF(IF(o_WRAP=1,MOD(((c_TMAP3IN)-(c_TMAP2IN))*(((A404)-(c_TMAP2IN))*((c_TMAP3OUT)-(c_TMAP2OUT))+IF(((c_TMAP3OUT)-(c_TMAP2OUT))&gt;=0,1,-1)*QUOTIENT(((c_TMAP3IN)-(c_TMAP2IN)),2))+2147483648,4294967296)-2147483648,((c_TMAP3IN)-(c_TMAP2IN))*(((A404)-(c_TMAP2IN))*((c_TMAP3OUT)-(c_TMAP2OUT))+IF(((c_TMAP3OUT)-(c_TMAP2OUT))&gt;=0,1,-1)*QUOTIENT(((c_TMAP3IN)-(c_TMAP2IN)),2)))&gt;=0,1,0)))</f>
        <v>234</v>
      </c>
      <c r="G404" s="7" t="n">
        <f aca="false">IF(((1000)-(c_TMAP3IN))=0,(c_TMAP3OUT)+QUOTIENT(((1000)-(c_TMAP3OUT)),2),QUOTIENT((((A404)-(c_TMAP3IN))*((1000)-(c_TMAP3OUT))+IF(((1000)-(c_TMAP3OUT))&gt;=0,1,-1)*QUOTIENT(((1000)-(c_TMAP3IN)),2)),((1000)-(c_TMAP3IN)))+(c_TMAP3OUT)+IF(((1000)-(c_TMAP3OUT))&gt;=0,IF(IF(o_WRAP=1,MOD(((1000)-(c_TMAP3IN))*(((A404)-(c_TMAP3IN))*((1000)-(c_TMAP3OUT))+IF(((1000)-(c_TMAP3OUT))&gt;=0,1,-1)*QUOTIENT(((1000)-(c_TMAP3IN)),2))+2147483648,4294967296)-2147483648,((1000)-(c_TMAP3IN))*(((A404)-(c_TMAP3IN))*((1000)-(c_TMAP3OUT))+IF(((1000)-(c_TMAP3OUT))&gt;=0,1,-1)*QUOTIENT(((1000)-(c_TMAP3IN)),2)))&lt;0,-1,0),IF(IF(o_WRAP=1,MOD(((1000)-(c_TMAP3IN))*(((A404)-(c_TMAP3IN))*((1000)-(c_TMAP3OUT))+IF(((1000)-(c_TMAP3OUT))&gt;=0,1,-1)*QUOTIENT(((1000)-(c_TMAP3IN)),2))+2147483648,4294967296)-2147483648,((1000)-(c_TMAP3IN))*(((A404)-(c_TMAP3IN))*((1000)-(c_TMAP3OUT))+IF(((1000)-(c_TMAP3OUT))&gt;=0,1,-1)*QUOTIENT(((1000)-(c_TMAP3IN)),2)))&gt;=0,1,0)))</f>
        <v>260</v>
      </c>
      <c r="H404" s="7" t="str">
        <f aca="false">IF(A404&gt;=c_TFWD,IF(AND(A404&gt;=c_TMAP3IN,c_TMAP3IN&lt;1000),"Seg4 map3-100%",IF(AND(A404&gt;=c_TMAP2IN,c_TMAP3IN&gt;c_TMAP2IN),"Seg3 map2-map3",IF(AND(A404&gt;=c_TMAP1IN,c_TMAP2IN&gt;c_TMAP1IN),"Seg2 map1-map2","Seg1 TFWD-map1"))),IF(AND(A404=0,c_TCREEP&gt;0),"Creep",IF(AND(A404&lt;=c_TRNGMIN,A404&gt;=c_TRNGMAX,c_TRNGMIN-c_TRNGMAX&lt;&gt;0),"Regen ramp","Coast (0)")))</f>
        <v>Seg4 map3-100%</v>
      </c>
      <c r="I404" s="7" t="n">
        <f aca="false">IF(A404&gt;=c_TFWD,IF(AND(A404&gt;=c_TMAP3IN,c_TMAP3IN&lt;1000),G404,IF(AND(A404&gt;=c_TMAP2IN,c_TMAP3IN&gt;c_TMAP2IN),F404,IF(AND(A404&gt;=c_TMAP1IN,c_TMAP2IN&gt;c_TMAP1IN),E404,D404))),C404)</f>
        <v>260</v>
      </c>
      <c r="J404" s="7" t="str">
        <f aca="false">IF(I404&lt;-1090,"TOO LOW",IF(I404&gt;1090,"TOO HIGH",""))</f>
        <v/>
      </c>
      <c r="K404" s="15" t="n">
        <f aca="false">IF(J404&lt;&gt;"",0,IF(I404&gt;979,1000,I404))</f>
        <v>260</v>
      </c>
      <c r="L404" s="7" t="n">
        <f aca="false">K404/10</f>
        <v>26</v>
      </c>
    </row>
    <row r="405" customFormat="false" ht="15" hidden="false" customHeight="false" outlineLevel="0" collapsed="false">
      <c r="A405" s="7" t="n">
        <v>400</v>
      </c>
      <c r="B405" s="7" t="n">
        <f aca="false">A405/10</f>
        <v>40</v>
      </c>
      <c r="C405" s="7" t="n">
        <f aca="false">IF(AND(A405=0,c_TCREEP&gt;0),10*c_TCREEP,IF(AND(A405&lt;=c_TRNGMIN,A405&gt;=c_TRNGMAX,c_TRNGMIN-c_TRNGMAX&lt;&gt;0),-10*c_TMINRN+QUOTIENT((c_TMAXRN-c_TMINRN)*(100-QUOTIENT((A405-c_TRNGMAX)*100,c_TRNGMIN-c_TRNGMAX)),-10),0))</f>
        <v>0</v>
      </c>
      <c r="D405" s="7" t="n">
        <f aca="false">IF(((c_TMAP1IN)-(c_TFWD))=0,(0)+QUOTIENT(((c_TMAP1OUT)-(0)),2),QUOTIENT((((A405)-(c_TFWD))*((c_TMAP1OUT)-(0))+IF(((c_TMAP1OUT)-(0))&gt;=0,1,-1)*QUOTIENT(((c_TMAP1IN)-(c_TFWD)),2)),((c_TMAP1IN)-(c_TFWD)))+(0)+IF(((c_TMAP1OUT)-(0))&gt;=0,IF(IF(o_WRAP=1,MOD(((c_TMAP1IN)-(c_TFWD))*(((A405)-(c_TFWD))*((c_TMAP1OUT)-(0))+IF(((c_TMAP1OUT)-(0))&gt;=0,1,-1)*QUOTIENT(((c_TMAP1IN)-(c_TFWD)),2))+2147483648,4294967296)-2147483648,((c_TMAP1IN)-(c_TFWD))*(((A405)-(c_TFWD))*((c_TMAP1OUT)-(0))+IF(((c_TMAP1OUT)-(0))&gt;=0,1,-1)*QUOTIENT(((c_TMAP1IN)-(c_TFWD)),2)))&lt;0,-1,0),IF(IF(o_WRAP=1,MOD(((c_TMAP1IN)-(c_TFWD))*(((A405)-(c_TFWD))*((c_TMAP1OUT)-(0))+IF(((c_TMAP1OUT)-(0))&gt;=0,1,-1)*QUOTIENT(((c_TMAP1IN)-(c_TFWD)),2))+2147483648,4294967296)-2147483648,((c_TMAP1IN)-(c_TFWD))*(((A405)-(c_TFWD))*((c_TMAP1OUT)-(0))+IF(((c_TMAP1OUT)-(0))&gt;=0,1,-1)*QUOTIENT(((c_TMAP1IN)-(c_TFWD)),2)))&gt;=0,1,0)))</f>
        <v>303</v>
      </c>
      <c r="E405" s="7" t="n">
        <f aca="false">IF(((c_TMAP2IN)-(c_TMAP1IN))=0,(c_TMAP1OUT)+QUOTIENT(((c_TMAP2OUT)-(c_TMAP1OUT)),2),QUOTIENT((((A405)-(c_TMAP1IN))*((c_TMAP2OUT)-(c_TMAP1OUT))+IF(((c_TMAP2OUT)-(c_TMAP1OUT))&gt;=0,1,-1)*QUOTIENT(((c_TMAP2IN)-(c_TMAP1IN)),2)),((c_TMAP2IN)-(c_TMAP1IN)))+(c_TMAP1OUT)+IF(((c_TMAP2OUT)-(c_TMAP1OUT))&gt;=0,IF(IF(o_WRAP=1,MOD(((c_TMAP2IN)-(c_TMAP1IN))*(((A405)-(c_TMAP1IN))*((c_TMAP2OUT)-(c_TMAP1OUT))+IF(((c_TMAP2OUT)-(c_TMAP1OUT))&gt;=0,1,-1)*QUOTIENT(((c_TMAP2IN)-(c_TMAP1IN)),2))+2147483648,4294967296)-2147483648,((c_TMAP2IN)-(c_TMAP1IN))*(((A405)-(c_TMAP1IN))*((c_TMAP2OUT)-(c_TMAP1OUT))+IF(((c_TMAP2OUT)-(c_TMAP1OUT))&gt;=0,1,-1)*QUOTIENT(((c_TMAP2IN)-(c_TMAP1IN)),2)))&lt;0,-1,0),IF(IF(o_WRAP=1,MOD(((c_TMAP2IN)-(c_TMAP1IN))*(((A405)-(c_TMAP1IN))*((c_TMAP2OUT)-(c_TMAP1OUT))+IF(((c_TMAP2OUT)-(c_TMAP1OUT))&gt;=0,1,-1)*QUOTIENT(((c_TMAP2IN)-(c_TMAP1IN)),2))+2147483648,4294967296)-2147483648,((c_TMAP2IN)-(c_TMAP1IN))*(((A405)-(c_TMAP1IN))*((c_TMAP2OUT)-(c_TMAP1OUT))+IF(((c_TMAP2OUT)-(c_TMAP1OUT))&gt;=0,1,-1)*QUOTIENT(((c_TMAP2IN)-(c_TMAP1IN)),2)))&gt;=0,1,0)))</f>
        <v>190</v>
      </c>
      <c r="F405" s="7" t="n">
        <f aca="false">IF(((c_TMAP3IN)-(c_TMAP2IN))=0,(c_TMAP2OUT)+QUOTIENT(((c_TMAP3OUT)-(c_TMAP2OUT)),2),QUOTIENT((((A405)-(c_TMAP2IN))*((c_TMAP3OUT)-(c_TMAP2OUT))+IF(((c_TMAP3OUT)-(c_TMAP2OUT))&gt;=0,1,-1)*QUOTIENT(((c_TMAP3IN)-(c_TMAP2IN)),2)),((c_TMAP3IN)-(c_TMAP2IN)))+(c_TMAP2OUT)+IF(((c_TMAP3OUT)-(c_TMAP2OUT))&gt;=0,IF(IF(o_WRAP=1,MOD(((c_TMAP3IN)-(c_TMAP2IN))*(((A405)-(c_TMAP2IN))*((c_TMAP3OUT)-(c_TMAP2OUT))+IF(((c_TMAP3OUT)-(c_TMAP2OUT))&gt;=0,1,-1)*QUOTIENT(((c_TMAP3IN)-(c_TMAP2IN)),2))+2147483648,4294967296)-2147483648,((c_TMAP3IN)-(c_TMAP2IN))*(((A405)-(c_TMAP2IN))*((c_TMAP3OUT)-(c_TMAP2OUT))+IF(((c_TMAP3OUT)-(c_TMAP2OUT))&gt;=0,1,-1)*QUOTIENT(((c_TMAP3IN)-(c_TMAP2IN)),2)))&lt;0,-1,0),IF(IF(o_WRAP=1,MOD(((c_TMAP3IN)-(c_TMAP2IN))*(((A405)-(c_TMAP2IN))*((c_TMAP3OUT)-(c_TMAP2OUT))+IF(((c_TMAP3OUT)-(c_TMAP2OUT))&gt;=0,1,-1)*QUOTIENT(((c_TMAP3IN)-(c_TMAP2IN)),2))+2147483648,4294967296)-2147483648,((c_TMAP3IN)-(c_TMAP2IN))*(((A405)-(c_TMAP2IN))*((c_TMAP3OUT)-(c_TMAP2OUT))+IF(((c_TMAP3OUT)-(c_TMAP2OUT))&gt;=0,1,-1)*QUOTIENT(((c_TMAP3IN)-(c_TMAP2IN)),2)))&gt;=0,1,0)))</f>
        <v>235</v>
      </c>
      <c r="G405" s="7" t="n">
        <f aca="false">IF(((1000)-(c_TMAP3IN))=0,(c_TMAP3OUT)+QUOTIENT(((1000)-(c_TMAP3OUT)),2),QUOTIENT((((A405)-(c_TMAP3IN))*((1000)-(c_TMAP3OUT))+IF(((1000)-(c_TMAP3OUT))&gt;=0,1,-1)*QUOTIENT(((1000)-(c_TMAP3IN)),2)),((1000)-(c_TMAP3IN)))+(c_TMAP3OUT)+IF(((1000)-(c_TMAP3OUT))&gt;=0,IF(IF(o_WRAP=1,MOD(((1000)-(c_TMAP3IN))*(((A405)-(c_TMAP3IN))*((1000)-(c_TMAP3OUT))+IF(((1000)-(c_TMAP3OUT))&gt;=0,1,-1)*QUOTIENT(((1000)-(c_TMAP3IN)),2))+2147483648,4294967296)-2147483648,((1000)-(c_TMAP3IN))*(((A405)-(c_TMAP3IN))*((1000)-(c_TMAP3OUT))+IF(((1000)-(c_TMAP3OUT))&gt;=0,1,-1)*QUOTIENT(((1000)-(c_TMAP3IN)),2)))&lt;0,-1,0),IF(IF(o_WRAP=1,MOD(((1000)-(c_TMAP3IN))*(((A405)-(c_TMAP3IN))*((1000)-(c_TMAP3OUT))+IF(((1000)-(c_TMAP3OUT))&gt;=0,1,-1)*QUOTIENT(((1000)-(c_TMAP3IN)),2))+2147483648,4294967296)-2147483648,((1000)-(c_TMAP3IN))*(((A405)-(c_TMAP3IN))*((1000)-(c_TMAP3OUT))+IF(((1000)-(c_TMAP3OUT))&gt;=0,1,-1)*QUOTIENT(((1000)-(c_TMAP3IN)),2)))&gt;=0,1,0)))</f>
        <v>262</v>
      </c>
      <c r="H405" s="7" t="str">
        <f aca="false">IF(A405&gt;=c_TFWD,IF(AND(A405&gt;=c_TMAP3IN,c_TMAP3IN&lt;1000),"Seg4 map3-100%",IF(AND(A405&gt;=c_TMAP2IN,c_TMAP3IN&gt;c_TMAP2IN),"Seg3 map2-map3",IF(AND(A405&gt;=c_TMAP1IN,c_TMAP2IN&gt;c_TMAP1IN),"Seg2 map1-map2","Seg1 TFWD-map1"))),IF(AND(A405=0,c_TCREEP&gt;0),"Creep",IF(AND(A405&lt;=c_TRNGMIN,A405&gt;=c_TRNGMAX,c_TRNGMIN-c_TRNGMAX&lt;&gt;0),"Regen ramp","Coast (0)")))</f>
        <v>Seg4 map3-100%</v>
      </c>
      <c r="I405" s="7" t="n">
        <f aca="false">IF(A405&gt;=c_TFWD,IF(AND(A405&gt;=c_TMAP3IN,c_TMAP3IN&lt;1000),G405,IF(AND(A405&gt;=c_TMAP2IN,c_TMAP3IN&gt;c_TMAP2IN),F405,IF(AND(A405&gt;=c_TMAP1IN,c_TMAP2IN&gt;c_TMAP1IN),E405,D405))),C405)</f>
        <v>262</v>
      </c>
      <c r="J405" s="7" t="str">
        <f aca="false">IF(I405&lt;-1090,"TOO LOW",IF(I405&gt;1090,"TOO HIGH",""))</f>
        <v/>
      </c>
      <c r="K405" s="15" t="n">
        <f aca="false">IF(J405&lt;&gt;"",0,IF(I405&gt;979,1000,I405))</f>
        <v>262</v>
      </c>
      <c r="L405" s="7" t="n">
        <f aca="false">K405/10</f>
        <v>26.2</v>
      </c>
    </row>
    <row r="406" customFormat="false" ht="15" hidden="false" customHeight="false" outlineLevel="0" collapsed="false">
      <c r="A406" s="7" t="n">
        <v>401</v>
      </c>
      <c r="B406" s="7" t="n">
        <f aca="false">A406/10</f>
        <v>40.1</v>
      </c>
      <c r="C406" s="7" t="n">
        <f aca="false">IF(AND(A406=0,c_TCREEP&gt;0),10*c_TCREEP,IF(AND(A406&lt;=c_TRNGMIN,A406&gt;=c_TRNGMAX,c_TRNGMIN-c_TRNGMAX&lt;&gt;0),-10*c_TMINRN+QUOTIENT((c_TMAXRN-c_TMINRN)*(100-QUOTIENT((A406-c_TRNGMAX)*100,c_TRNGMIN-c_TRNGMAX)),-10),0))</f>
        <v>0</v>
      </c>
      <c r="D406" s="7" t="n">
        <f aca="false">IF(((c_TMAP1IN)-(c_TFWD))=0,(0)+QUOTIENT(((c_TMAP1OUT)-(0)),2),QUOTIENT((((A406)-(c_TFWD))*((c_TMAP1OUT)-(0))+IF(((c_TMAP1OUT)-(0))&gt;=0,1,-1)*QUOTIENT(((c_TMAP1IN)-(c_TFWD)),2)),((c_TMAP1IN)-(c_TFWD)))+(0)+IF(((c_TMAP1OUT)-(0))&gt;=0,IF(IF(o_WRAP=1,MOD(((c_TMAP1IN)-(c_TFWD))*(((A406)-(c_TFWD))*((c_TMAP1OUT)-(0))+IF(((c_TMAP1OUT)-(0))&gt;=0,1,-1)*QUOTIENT(((c_TMAP1IN)-(c_TFWD)),2))+2147483648,4294967296)-2147483648,((c_TMAP1IN)-(c_TFWD))*(((A406)-(c_TFWD))*((c_TMAP1OUT)-(0))+IF(((c_TMAP1OUT)-(0))&gt;=0,1,-1)*QUOTIENT(((c_TMAP1IN)-(c_TFWD)),2)))&lt;0,-1,0),IF(IF(o_WRAP=1,MOD(((c_TMAP1IN)-(c_TFWD))*(((A406)-(c_TFWD))*((c_TMAP1OUT)-(0))+IF(((c_TMAP1OUT)-(0))&gt;=0,1,-1)*QUOTIENT(((c_TMAP1IN)-(c_TFWD)),2))+2147483648,4294967296)-2147483648,((c_TMAP1IN)-(c_TFWD))*(((A406)-(c_TFWD))*((c_TMAP1OUT)-(0))+IF(((c_TMAP1OUT)-(0))&gt;=0,1,-1)*QUOTIENT(((c_TMAP1IN)-(c_TFWD)),2)))&gt;=0,1,0)))</f>
        <v>304</v>
      </c>
      <c r="E406" s="7" t="n">
        <f aca="false">IF(((c_TMAP2IN)-(c_TMAP1IN))=0,(c_TMAP1OUT)+QUOTIENT(((c_TMAP2OUT)-(c_TMAP1OUT)),2),QUOTIENT((((A406)-(c_TMAP1IN))*((c_TMAP2OUT)-(c_TMAP1OUT))+IF(((c_TMAP2OUT)-(c_TMAP1OUT))&gt;=0,1,-1)*QUOTIENT(((c_TMAP2IN)-(c_TMAP1IN)),2)),((c_TMAP2IN)-(c_TMAP1IN)))+(c_TMAP1OUT)+IF(((c_TMAP2OUT)-(c_TMAP1OUT))&gt;=0,IF(IF(o_WRAP=1,MOD(((c_TMAP2IN)-(c_TMAP1IN))*(((A406)-(c_TMAP1IN))*((c_TMAP2OUT)-(c_TMAP1OUT))+IF(((c_TMAP2OUT)-(c_TMAP1OUT))&gt;=0,1,-1)*QUOTIENT(((c_TMAP2IN)-(c_TMAP1IN)),2))+2147483648,4294967296)-2147483648,((c_TMAP2IN)-(c_TMAP1IN))*(((A406)-(c_TMAP1IN))*((c_TMAP2OUT)-(c_TMAP1OUT))+IF(((c_TMAP2OUT)-(c_TMAP1OUT))&gt;=0,1,-1)*QUOTIENT(((c_TMAP2IN)-(c_TMAP1IN)),2)))&lt;0,-1,0),IF(IF(o_WRAP=1,MOD(((c_TMAP2IN)-(c_TMAP1IN))*(((A406)-(c_TMAP1IN))*((c_TMAP2OUT)-(c_TMAP1OUT))+IF(((c_TMAP2OUT)-(c_TMAP1OUT))&gt;=0,1,-1)*QUOTIENT(((c_TMAP2IN)-(c_TMAP1IN)),2))+2147483648,4294967296)-2147483648,((c_TMAP2IN)-(c_TMAP1IN))*(((A406)-(c_TMAP1IN))*((c_TMAP2OUT)-(c_TMAP1OUT))+IF(((c_TMAP2OUT)-(c_TMAP1OUT))&gt;=0,1,-1)*QUOTIENT(((c_TMAP2IN)-(c_TMAP1IN)),2)))&gt;=0,1,0)))</f>
        <v>190</v>
      </c>
      <c r="F406" s="7" t="n">
        <f aca="false">IF(((c_TMAP3IN)-(c_TMAP2IN))=0,(c_TMAP2OUT)+QUOTIENT(((c_TMAP3OUT)-(c_TMAP2OUT)),2),QUOTIENT((((A406)-(c_TMAP2IN))*((c_TMAP3OUT)-(c_TMAP2OUT))+IF(((c_TMAP3OUT)-(c_TMAP2OUT))&gt;=0,1,-1)*QUOTIENT(((c_TMAP3IN)-(c_TMAP2IN)),2)),((c_TMAP3IN)-(c_TMAP2IN)))+(c_TMAP2OUT)+IF(((c_TMAP3OUT)-(c_TMAP2OUT))&gt;=0,IF(IF(o_WRAP=1,MOD(((c_TMAP3IN)-(c_TMAP2IN))*(((A406)-(c_TMAP2IN))*((c_TMAP3OUT)-(c_TMAP2OUT))+IF(((c_TMAP3OUT)-(c_TMAP2OUT))&gt;=0,1,-1)*QUOTIENT(((c_TMAP3IN)-(c_TMAP2IN)),2))+2147483648,4294967296)-2147483648,((c_TMAP3IN)-(c_TMAP2IN))*(((A406)-(c_TMAP2IN))*((c_TMAP3OUT)-(c_TMAP2OUT))+IF(((c_TMAP3OUT)-(c_TMAP2OUT))&gt;=0,1,-1)*QUOTIENT(((c_TMAP3IN)-(c_TMAP2IN)),2)))&lt;0,-1,0),IF(IF(o_WRAP=1,MOD(((c_TMAP3IN)-(c_TMAP2IN))*(((A406)-(c_TMAP2IN))*((c_TMAP3OUT)-(c_TMAP2OUT))+IF(((c_TMAP3OUT)-(c_TMAP2OUT))&gt;=0,1,-1)*QUOTIENT(((c_TMAP3IN)-(c_TMAP2IN)),2))+2147483648,4294967296)-2147483648,((c_TMAP3IN)-(c_TMAP2IN))*(((A406)-(c_TMAP2IN))*((c_TMAP3OUT)-(c_TMAP2OUT))+IF(((c_TMAP3OUT)-(c_TMAP2OUT))&gt;=0,1,-1)*QUOTIENT(((c_TMAP3IN)-(c_TMAP2IN)),2)))&gt;=0,1,0)))</f>
        <v>236</v>
      </c>
      <c r="G406" s="7" t="n">
        <f aca="false">IF(((1000)-(c_TMAP3IN))=0,(c_TMAP3OUT)+QUOTIENT(((1000)-(c_TMAP3OUT)),2),QUOTIENT((((A406)-(c_TMAP3IN))*((1000)-(c_TMAP3OUT))+IF(((1000)-(c_TMAP3OUT))&gt;=0,1,-1)*QUOTIENT(((1000)-(c_TMAP3IN)),2)),((1000)-(c_TMAP3IN)))+(c_TMAP3OUT)+IF(((1000)-(c_TMAP3OUT))&gt;=0,IF(IF(o_WRAP=1,MOD(((1000)-(c_TMAP3IN))*(((A406)-(c_TMAP3IN))*((1000)-(c_TMAP3OUT))+IF(((1000)-(c_TMAP3OUT))&gt;=0,1,-1)*QUOTIENT(((1000)-(c_TMAP3IN)),2))+2147483648,4294967296)-2147483648,((1000)-(c_TMAP3IN))*(((A406)-(c_TMAP3IN))*((1000)-(c_TMAP3OUT))+IF(((1000)-(c_TMAP3OUT))&gt;=0,1,-1)*QUOTIENT(((1000)-(c_TMAP3IN)),2)))&lt;0,-1,0),IF(IF(o_WRAP=1,MOD(((1000)-(c_TMAP3IN))*(((A406)-(c_TMAP3IN))*((1000)-(c_TMAP3OUT))+IF(((1000)-(c_TMAP3OUT))&gt;=0,1,-1)*QUOTIENT(((1000)-(c_TMAP3IN)),2))+2147483648,4294967296)-2147483648,((1000)-(c_TMAP3IN))*(((A406)-(c_TMAP3IN))*((1000)-(c_TMAP3OUT))+IF(((1000)-(c_TMAP3OUT))&gt;=0,1,-1)*QUOTIENT(((1000)-(c_TMAP3IN)),2)))&gt;=0,1,0)))</f>
        <v>263</v>
      </c>
      <c r="H406" s="7" t="str">
        <f aca="false">IF(A406&gt;=c_TFWD,IF(AND(A406&gt;=c_TMAP3IN,c_TMAP3IN&lt;1000),"Seg4 map3-100%",IF(AND(A406&gt;=c_TMAP2IN,c_TMAP3IN&gt;c_TMAP2IN),"Seg3 map2-map3",IF(AND(A406&gt;=c_TMAP1IN,c_TMAP2IN&gt;c_TMAP1IN),"Seg2 map1-map2","Seg1 TFWD-map1"))),IF(AND(A406=0,c_TCREEP&gt;0),"Creep",IF(AND(A406&lt;=c_TRNGMIN,A406&gt;=c_TRNGMAX,c_TRNGMIN-c_TRNGMAX&lt;&gt;0),"Regen ramp","Coast (0)")))</f>
        <v>Seg4 map3-100%</v>
      </c>
      <c r="I406" s="7" t="n">
        <f aca="false">IF(A406&gt;=c_TFWD,IF(AND(A406&gt;=c_TMAP3IN,c_TMAP3IN&lt;1000),G406,IF(AND(A406&gt;=c_TMAP2IN,c_TMAP3IN&gt;c_TMAP2IN),F406,IF(AND(A406&gt;=c_TMAP1IN,c_TMAP2IN&gt;c_TMAP1IN),E406,D406))),C406)</f>
        <v>263</v>
      </c>
      <c r="J406" s="7" t="str">
        <f aca="false">IF(I406&lt;-1090,"TOO LOW",IF(I406&gt;1090,"TOO HIGH",""))</f>
        <v/>
      </c>
      <c r="K406" s="15" t="n">
        <f aca="false">IF(J406&lt;&gt;"",0,IF(I406&gt;979,1000,I406))</f>
        <v>263</v>
      </c>
      <c r="L406" s="7" t="n">
        <f aca="false">K406/10</f>
        <v>26.3</v>
      </c>
    </row>
    <row r="407" customFormat="false" ht="15" hidden="false" customHeight="false" outlineLevel="0" collapsed="false">
      <c r="A407" s="7" t="n">
        <v>402</v>
      </c>
      <c r="B407" s="7" t="n">
        <f aca="false">A407/10</f>
        <v>40.2</v>
      </c>
      <c r="C407" s="7" t="n">
        <f aca="false">IF(AND(A407=0,c_TCREEP&gt;0),10*c_TCREEP,IF(AND(A407&lt;=c_TRNGMIN,A407&gt;=c_TRNGMAX,c_TRNGMIN-c_TRNGMAX&lt;&gt;0),-10*c_TMINRN+QUOTIENT((c_TMAXRN-c_TMINRN)*(100-QUOTIENT((A407-c_TRNGMAX)*100,c_TRNGMIN-c_TRNGMAX)),-10),0))</f>
        <v>0</v>
      </c>
      <c r="D407" s="7" t="n">
        <f aca="false">IF(((c_TMAP1IN)-(c_TFWD))=0,(0)+QUOTIENT(((c_TMAP1OUT)-(0)),2),QUOTIENT((((A407)-(c_TFWD))*((c_TMAP1OUT)-(0))+IF(((c_TMAP1OUT)-(0))&gt;=0,1,-1)*QUOTIENT(((c_TMAP1IN)-(c_TFWD)),2)),((c_TMAP1IN)-(c_TFWD)))+(0)+IF(((c_TMAP1OUT)-(0))&gt;=0,IF(IF(o_WRAP=1,MOD(((c_TMAP1IN)-(c_TFWD))*(((A407)-(c_TFWD))*((c_TMAP1OUT)-(0))+IF(((c_TMAP1OUT)-(0))&gt;=0,1,-1)*QUOTIENT(((c_TMAP1IN)-(c_TFWD)),2))+2147483648,4294967296)-2147483648,((c_TMAP1IN)-(c_TFWD))*(((A407)-(c_TFWD))*((c_TMAP1OUT)-(0))+IF(((c_TMAP1OUT)-(0))&gt;=0,1,-1)*QUOTIENT(((c_TMAP1IN)-(c_TFWD)),2)))&lt;0,-1,0),IF(IF(o_WRAP=1,MOD(((c_TMAP1IN)-(c_TFWD))*(((A407)-(c_TFWD))*((c_TMAP1OUT)-(0))+IF(((c_TMAP1OUT)-(0))&gt;=0,1,-1)*QUOTIENT(((c_TMAP1IN)-(c_TFWD)),2))+2147483648,4294967296)-2147483648,((c_TMAP1IN)-(c_TFWD))*(((A407)-(c_TFWD))*((c_TMAP1OUT)-(0))+IF(((c_TMAP1OUT)-(0))&gt;=0,1,-1)*QUOTIENT(((c_TMAP1IN)-(c_TFWD)),2)))&gt;=0,1,0)))</f>
        <v>305</v>
      </c>
      <c r="E407" s="7" t="n">
        <f aca="false">IF(((c_TMAP2IN)-(c_TMAP1IN))=0,(c_TMAP1OUT)+QUOTIENT(((c_TMAP2OUT)-(c_TMAP1OUT)),2),QUOTIENT((((A407)-(c_TMAP1IN))*((c_TMAP2OUT)-(c_TMAP1OUT))+IF(((c_TMAP2OUT)-(c_TMAP1OUT))&gt;=0,1,-1)*QUOTIENT(((c_TMAP2IN)-(c_TMAP1IN)),2)),((c_TMAP2IN)-(c_TMAP1IN)))+(c_TMAP1OUT)+IF(((c_TMAP2OUT)-(c_TMAP1OUT))&gt;=0,IF(IF(o_WRAP=1,MOD(((c_TMAP2IN)-(c_TMAP1IN))*(((A407)-(c_TMAP1IN))*((c_TMAP2OUT)-(c_TMAP1OUT))+IF(((c_TMAP2OUT)-(c_TMAP1OUT))&gt;=0,1,-1)*QUOTIENT(((c_TMAP2IN)-(c_TMAP1IN)),2))+2147483648,4294967296)-2147483648,((c_TMAP2IN)-(c_TMAP1IN))*(((A407)-(c_TMAP1IN))*((c_TMAP2OUT)-(c_TMAP1OUT))+IF(((c_TMAP2OUT)-(c_TMAP1OUT))&gt;=0,1,-1)*QUOTIENT(((c_TMAP2IN)-(c_TMAP1IN)),2)))&lt;0,-1,0),IF(IF(o_WRAP=1,MOD(((c_TMAP2IN)-(c_TMAP1IN))*(((A407)-(c_TMAP1IN))*((c_TMAP2OUT)-(c_TMAP1OUT))+IF(((c_TMAP2OUT)-(c_TMAP1OUT))&gt;=0,1,-1)*QUOTIENT(((c_TMAP2IN)-(c_TMAP1IN)),2))+2147483648,4294967296)-2147483648,((c_TMAP2IN)-(c_TMAP1IN))*(((A407)-(c_TMAP1IN))*((c_TMAP2OUT)-(c_TMAP1OUT))+IF(((c_TMAP2OUT)-(c_TMAP1OUT))&gt;=0,1,-1)*QUOTIENT(((c_TMAP2IN)-(c_TMAP1IN)),2)))&gt;=0,1,0)))</f>
        <v>191</v>
      </c>
      <c r="F407" s="7" t="n">
        <f aca="false">IF(((c_TMAP3IN)-(c_TMAP2IN))=0,(c_TMAP2OUT)+QUOTIENT(((c_TMAP3OUT)-(c_TMAP2OUT)),2),QUOTIENT((((A407)-(c_TMAP2IN))*((c_TMAP3OUT)-(c_TMAP2OUT))+IF(((c_TMAP3OUT)-(c_TMAP2OUT))&gt;=0,1,-1)*QUOTIENT(((c_TMAP3IN)-(c_TMAP2IN)),2)),((c_TMAP3IN)-(c_TMAP2IN)))+(c_TMAP2OUT)+IF(((c_TMAP3OUT)-(c_TMAP2OUT))&gt;=0,IF(IF(o_WRAP=1,MOD(((c_TMAP3IN)-(c_TMAP2IN))*(((A407)-(c_TMAP2IN))*((c_TMAP3OUT)-(c_TMAP2OUT))+IF(((c_TMAP3OUT)-(c_TMAP2OUT))&gt;=0,1,-1)*QUOTIENT(((c_TMAP3IN)-(c_TMAP2IN)),2))+2147483648,4294967296)-2147483648,((c_TMAP3IN)-(c_TMAP2IN))*(((A407)-(c_TMAP2IN))*((c_TMAP3OUT)-(c_TMAP2OUT))+IF(((c_TMAP3OUT)-(c_TMAP2OUT))&gt;=0,1,-1)*QUOTIENT(((c_TMAP3IN)-(c_TMAP2IN)),2)))&lt;0,-1,0),IF(IF(o_WRAP=1,MOD(((c_TMAP3IN)-(c_TMAP2IN))*(((A407)-(c_TMAP2IN))*((c_TMAP3OUT)-(c_TMAP2OUT))+IF(((c_TMAP3OUT)-(c_TMAP2OUT))&gt;=0,1,-1)*QUOTIENT(((c_TMAP3IN)-(c_TMAP2IN)),2))+2147483648,4294967296)-2147483648,((c_TMAP3IN)-(c_TMAP2IN))*(((A407)-(c_TMAP2IN))*((c_TMAP3OUT)-(c_TMAP2OUT))+IF(((c_TMAP3OUT)-(c_TMAP2OUT))&gt;=0,1,-1)*QUOTIENT(((c_TMAP3IN)-(c_TMAP2IN)),2)))&gt;=0,1,0)))</f>
        <v>236</v>
      </c>
      <c r="G407" s="7" t="n">
        <f aca="false">IF(((1000)-(c_TMAP3IN))=0,(c_TMAP3OUT)+QUOTIENT(((1000)-(c_TMAP3OUT)),2),QUOTIENT((((A407)-(c_TMAP3IN))*((1000)-(c_TMAP3OUT))+IF(((1000)-(c_TMAP3OUT))&gt;=0,1,-1)*QUOTIENT(((1000)-(c_TMAP3IN)),2)),((1000)-(c_TMAP3IN)))+(c_TMAP3OUT)+IF(((1000)-(c_TMAP3OUT))&gt;=0,IF(IF(o_WRAP=1,MOD(((1000)-(c_TMAP3IN))*(((A407)-(c_TMAP3IN))*((1000)-(c_TMAP3OUT))+IF(((1000)-(c_TMAP3OUT))&gt;=0,1,-1)*QUOTIENT(((1000)-(c_TMAP3IN)),2))+2147483648,4294967296)-2147483648,((1000)-(c_TMAP3IN))*(((A407)-(c_TMAP3IN))*((1000)-(c_TMAP3OUT))+IF(((1000)-(c_TMAP3OUT))&gt;=0,1,-1)*QUOTIENT(((1000)-(c_TMAP3IN)),2)))&lt;0,-1,0),IF(IF(o_WRAP=1,MOD(((1000)-(c_TMAP3IN))*(((A407)-(c_TMAP3IN))*((1000)-(c_TMAP3OUT))+IF(((1000)-(c_TMAP3OUT))&gt;=0,1,-1)*QUOTIENT(((1000)-(c_TMAP3IN)),2))+2147483648,4294967296)-2147483648,((1000)-(c_TMAP3IN))*(((A407)-(c_TMAP3IN))*((1000)-(c_TMAP3OUT))+IF(((1000)-(c_TMAP3OUT))&gt;=0,1,-1)*QUOTIENT(((1000)-(c_TMAP3IN)),2)))&gt;=0,1,0)))</f>
        <v>264</v>
      </c>
      <c r="H407" s="7" t="str">
        <f aca="false">IF(A407&gt;=c_TFWD,IF(AND(A407&gt;=c_TMAP3IN,c_TMAP3IN&lt;1000),"Seg4 map3-100%",IF(AND(A407&gt;=c_TMAP2IN,c_TMAP3IN&gt;c_TMAP2IN),"Seg3 map2-map3",IF(AND(A407&gt;=c_TMAP1IN,c_TMAP2IN&gt;c_TMAP1IN),"Seg2 map1-map2","Seg1 TFWD-map1"))),IF(AND(A407=0,c_TCREEP&gt;0),"Creep",IF(AND(A407&lt;=c_TRNGMIN,A407&gt;=c_TRNGMAX,c_TRNGMIN-c_TRNGMAX&lt;&gt;0),"Regen ramp","Coast (0)")))</f>
        <v>Seg4 map3-100%</v>
      </c>
      <c r="I407" s="7" t="n">
        <f aca="false">IF(A407&gt;=c_TFWD,IF(AND(A407&gt;=c_TMAP3IN,c_TMAP3IN&lt;1000),G407,IF(AND(A407&gt;=c_TMAP2IN,c_TMAP3IN&gt;c_TMAP2IN),F407,IF(AND(A407&gt;=c_TMAP1IN,c_TMAP2IN&gt;c_TMAP1IN),E407,D407))),C407)</f>
        <v>264</v>
      </c>
      <c r="J407" s="7" t="str">
        <f aca="false">IF(I407&lt;-1090,"TOO LOW",IF(I407&gt;1090,"TOO HIGH",""))</f>
        <v/>
      </c>
      <c r="K407" s="15" t="n">
        <f aca="false">IF(J407&lt;&gt;"",0,IF(I407&gt;979,1000,I407))</f>
        <v>264</v>
      </c>
      <c r="L407" s="7" t="n">
        <f aca="false">K407/10</f>
        <v>26.4</v>
      </c>
    </row>
    <row r="408" customFormat="false" ht="15" hidden="false" customHeight="false" outlineLevel="0" collapsed="false">
      <c r="A408" s="7" t="n">
        <v>403</v>
      </c>
      <c r="B408" s="7" t="n">
        <f aca="false">A408/10</f>
        <v>40.3</v>
      </c>
      <c r="C408" s="7" t="n">
        <f aca="false">IF(AND(A408=0,c_TCREEP&gt;0),10*c_TCREEP,IF(AND(A408&lt;=c_TRNGMIN,A408&gt;=c_TRNGMAX,c_TRNGMIN-c_TRNGMAX&lt;&gt;0),-10*c_TMINRN+QUOTIENT((c_TMAXRN-c_TMINRN)*(100-QUOTIENT((A408-c_TRNGMAX)*100,c_TRNGMIN-c_TRNGMAX)),-10),0))</f>
        <v>0</v>
      </c>
      <c r="D408" s="7" t="n">
        <f aca="false">IF(((c_TMAP1IN)-(c_TFWD))=0,(0)+QUOTIENT(((c_TMAP1OUT)-(0)),2),QUOTIENT((((A408)-(c_TFWD))*((c_TMAP1OUT)-(0))+IF(((c_TMAP1OUT)-(0))&gt;=0,1,-1)*QUOTIENT(((c_TMAP1IN)-(c_TFWD)),2)),((c_TMAP1IN)-(c_TFWD)))+(0)+IF(((c_TMAP1OUT)-(0))&gt;=0,IF(IF(o_WRAP=1,MOD(((c_TMAP1IN)-(c_TFWD))*(((A408)-(c_TFWD))*((c_TMAP1OUT)-(0))+IF(((c_TMAP1OUT)-(0))&gt;=0,1,-1)*QUOTIENT(((c_TMAP1IN)-(c_TFWD)),2))+2147483648,4294967296)-2147483648,((c_TMAP1IN)-(c_TFWD))*(((A408)-(c_TFWD))*((c_TMAP1OUT)-(0))+IF(((c_TMAP1OUT)-(0))&gt;=0,1,-1)*QUOTIENT(((c_TMAP1IN)-(c_TFWD)),2)))&lt;0,-1,0),IF(IF(o_WRAP=1,MOD(((c_TMAP1IN)-(c_TFWD))*(((A408)-(c_TFWD))*((c_TMAP1OUT)-(0))+IF(((c_TMAP1OUT)-(0))&gt;=0,1,-1)*QUOTIENT(((c_TMAP1IN)-(c_TFWD)),2))+2147483648,4294967296)-2147483648,((c_TMAP1IN)-(c_TFWD))*(((A408)-(c_TFWD))*((c_TMAP1OUT)-(0))+IF(((c_TMAP1OUT)-(0))&gt;=0,1,-1)*QUOTIENT(((c_TMAP1IN)-(c_TFWD)),2)))&gt;=0,1,0)))</f>
        <v>306</v>
      </c>
      <c r="E408" s="7" t="n">
        <f aca="false">IF(((c_TMAP2IN)-(c_TMAP1IN))=0,(c_TMAP1OUT)+QUOTIENT(((c_TMAP2OUT)-(c_TMAP1OUT)),2),QUOTIENT((((A408)-(c_TMAP1IN))*((c_TMAP2OUT)-(c_TMAP1OUT))+IF(((c_TMAP2OUT)-(c_TMAP1OUT))&gt;=0,1,-1)*QUOTIENT(((c_TMAP2IN)-(c_TMAP1IN)),2)),((c_TMAP2IN)-(c_TMAP1IN)))+(c_TMAP1OUT)+IF(((c_TMAP2OUT)-(c_TMAP1OUT))&gt;=0,IF(IF(o_WRAP=1,MOD(((c_TMAP2IN)-(c_TMAP1IN))*(((A408)-(c_TMAP1IN))*((c_TMAP2OUT)-(c_TMAP1OUT))+IF(((c_TMAP2OUT)-(c_TMAP1OUT))&gt;=0,1,-1)*QUOTIENT(((c_TMAP2IN)-(c_TMAP1IN)),2))+2147483648,4294967296)-2147483648,((c_TMAP2IN)-(c_TMAP1IN))*(((A408)-(c_TMAP1IN))*((c_TMAP2OUT)-(c_TMAP1OUT))+IF(((c_TMAP2OUT)-(c_TMAP1OUT))&gt;=0,1,-1)*QUOTIENT(((c_TMAP2IN)-(c_TMAP1IN)),2)))&lt;0,-1,0),IF(IF(o_WRAP=1,MOD(((c_TMAP2IN)-(c_TMAP1IN))*(((A408)-(c_TMAP1IN))*((c_TMAP2OUT)-(c_TMAP1OUT))+IF(((c_TMAP2OUT)-(c_TMAP1OUT))&gt;=0,1,-1)*QUOTIENT(((c_TMAP2IN)-(c_TMAP1IN)),2))+2147483648,4294967296)-2147483648,((c_TMAP2IN)-(c_TMAP1IN))*(((A408)-(c_TMAP1IN))*((c_TMAP2OUT)-(c_TMAP1OUT))+IF(((c_TMAP2OUT)-(c_TMAP1OUT))&gt;=0,1,-1)*QUOTIENT(((c_TMAP2IN)-(c_TMAP1IN)),2)))&gt;=0,1,0)))</f>
        <v>191</v>
      </c>
      <c r="F408" s="7" t="n">
        <f aca="false">IF(((c_TMAP3IN)-(c_TMAP2IN))=0,(c_TMAP2OUT)+QUOTIENT(((c_TMAP3OUT)-(c_TMAP2OUT)),2),QUOTIENT((((A408)-(c_TMAP2IN))*((c_TMAP3OUT)-(c_TMAP2OUT))+IF(((c_TMAP3OUT)-(c_TMAP2OUT))&gt;=0,1,-1)*QUOTIENT(((c_TMAP3IN)-(c_TMAP2IN)),2)),((c_TMAP3IN)-(c_TMAP2IN)))+(c_TMAP2OUT)+IF(((c_TMAP3OUT)-(c_TMAP2OUT))&gt;=0,IF(IF(o_WRAP=1,MOD(((c_TMAP3IN)-(c_TMAP2IN))*(((A408)-(c_TMAP2IN))*((c_TMAP3OUT)-(c_TMAP2OUT))+IF(((c_TMAP3OUT)-(c_TMAP2OUT))&gt;=0,1,-1)*QUOTIENT(((c_TMAP3IN)-(c_TMAP2IN)),2))+2147483648,4294967296)-2147483648,((c_TMAP3IN)-(c_TMAP2IN))*(((A408)-(c_TMAP2IN))*((c_TMAP3OUT)-(c_TMAP2OUT))+IF(((c_TMAP3OUT)-(c_TMAP2OUT))&gt;=0,1,-1)*QUOTIENT(((c_TMAP3IN)-(c_TMAP2IN)),2)))&lt;0,-1,0),IF(IF(o_WRAP=1,MOD(((c_TMAP3IN)-(c_TMAP2IN))*(((A408)-(c_TMAP2IN))*((c_TMAP3OUT)-(c_TMAP2OUT))+IF(((c_TMAP3OUT)-(c_TMAP2OUT))&gt;=0,1,-1)*QUOTIENT(((c_TMAP3IN)-(c_TMAP2IN)),2))+2147483648,4294967296)-2147483648,((c_TMAP3IN)-(c_TMAP2IN))*(((A408)-(c_TMAP2IN))*((c_TMAP3OUT)-(c_TMAP2OUT))+IF(((c_TMAP3OUT)-(c_TMAP2OUT))&gt;=0,1,-1)*QUOTIENT(((c_TMAP3IN)-(c_TMAP2IN)),2)))&gt;=0,1,0)))</f>
        <v>237</v>
      </c>
      <c r="G408" s="7" t="n">
        <f aca="false">IF(((1000)-(c_TMAP3IN))=0,(c_TMAP3OUT)+QUOTIENT(((1000)-(c_TMAP3OUT)),2),QUOTIENT((((A408)-(c_TMAP3IN))*((1000)-(c_TMAP3OUT))+IF(((1000)-(c_TMAP3OUT))&gt;=0,1,-1)*QUOTIENT(((1000)-(c_TMAP3IN)),2)),((1000)-(c_TMAP3IN)))+(c_TMAP3OUT)+IF(((1000)-(c_TMAP3OUT))&gt;=0,IF(IF(o_WRAP=1,MOD(((1000)-(c_TMAP3IN))*(((A408)-(c_TMAP3IN))*((1000)-(c_TMAP3OUT))+IF(((1000)-(c_TMAP3OUT))&gt;=0,1,-1)*QUOTIENT(((1000)-(c_TMAP3IN)),2))+2147483648,4294967296)-2147483648,((1000)-(c_TMAP3IN))*(((A408)-(c_TMAP3IN))*((1000)-(c_TMAP3OUT))+IF(((1000)-(c_TMAP3OUT))&gt;=0,1,-1)*QUOTIENT(((1000)-(c_TMAP3IN)),2)))&lt;0,-1,0),IF(IF(o_WRAP=1,MOD(((1000)-(c_TMAP3IN))*(((A408)-(c_TMAP3IN))*((1000)-(c_TMAP3OUT))+IF(((1000)-(c_TMAP3OUT))&gt;=0,1,-1)*QUOTIENT(((1000)-(c_TMAP3IN)),2))+2147483648,4294967296)-2147483648,((1000)-(c_TMAP3IN))*(((A408)-(c_TMAP3IN))*((1000)-(c_TMAP3OUT))+IF(((1000)-(c_TMAP3OUT))&gt;=0,1,-1)*QUOTIENT(((1000)-(c_TMAP3IN)),2)))&gt;=0,1,0)))</f>
        <v>265</v>
      </c>
      <c r="H408" s="7" t="str">
        <f aca="false">IF(A408&gt;=c_TFWD,IF(AND(A408&gt;=c_TMAP3IN,c_TMAP3IN&lt;1000),"Seg4 map3-100%",IF(AND(A408&gt;=c_TMAP2IN,c_TMAP3IN&gt;c_TMAP2IN),"Seg3 map2-map3",IF(AND(A408&gt;=c_TMAP1IN,c_TMAP2IN&gt;c_TMAP1IN),"Seg2 map1-map2","Seg1 TFWD-map1"))),IF(AND(A408=0,c_TCREEP&gt;0),"Creep",IF(AND(A408&lt;=c_TRNGMIN,A408&gt;=c_TRNGMAX,c_TRNGMIN-c_TRNGMAX&lt;&gt;0),"Regen ramp","Coast (0)")))</f>
        <v>Seg4 map3-100%</v>
      </c>
      <c r="I408" s="7" t="n">
        <f aca="false">IF(A408&gt;=c_TFWD,IF(AND(A408&gt;=c_TMAP3IN,c_TMAP3IN&lt;1000),G408,IF(AND(A408&gt;=c_TMAP2IN,c_TMAP3IN&gt;c_TMAP2IN),F408,IF(AND(A408&gt;=c_TMAP1IN,c_TMAP2IN&gt;c_TMAP1IN),E408,D408))),C408)</f>
        <v>265</v>
      </c>
      <c r="J408" s="7" t="str">
        <f aca="false">IF(I408&lt;-1090,"TOO LOW",IF(I408&gt;1090,"TOO HIGH",""))</f>
        <v/>
      </c>
      <c r="K408" s="15" t="n">
        <f aca="false">IF(J408&lt;&gt;"",0,IF(I408&gt;979,1000,I408))</f>
        <v>265</v>
      </c>
      <c r="L408" s="7" t="n">
        <f aca="false">K408/10</f>
        <v>26.5</v>
      </c>
    </row>
    <row r="409" customFormat="false" ht="15" hidden="false" customHeight="false" outlineLevel="0" collapsed="false">
      <c r="A409" s="7" t="n">
        <v>404</v>
      </c>
      <c r="B409" s="7" t="n">
        <f aca="false">A409/10</f>
        <v>40.4</v>
      </c>
      <c r="C409" s="7" t="n">
        <f aca="false">IF(AND(A409=0,c_TCREEP&gt;0),10*c_TCREEP,IF(AND(A409&lt;=c_TRNGMIN,A409&gt;=c_TRNGMAX,c_TRNGMIN-c_TRNGMAX&lt;&gt;0),-10*c_TMINRN+QUOTIENT((c_TMAXRN-c_TMINRN)*(100-QUOTIENT((A409-c_TRNGMAX)*100,c_TRNGMIN-c_TRNGMAX)),-10),0))</f>
        <v>0</v>
      </c>
      <c r="D409" s="7" t="n">
        <f aca="false">IF(((c_TMAP1IN)-(c_TFWD))=0,(0)+QUOTIENT(((c_TMAP1OUT)-(0)),2),QUOTIENT((((A409)-(c_TFWD))*((c_TMAP1OUT)-(0))+IF(((c_TMAP1OUT)-(0))&gt;=0,1,-1)*QUOTIENT(((c_TMAP1IN)-(c_TFWD)),2)),((c_TMAP1IN)-(c_TFWD)))+(0)+IF(((c_TMAP1OUT)-(0))&gt;=0,IF(IF(o_WRAP=1,MOD(((c_TMAP1IN)-(c_TFWD))*(((A409)-(c_TFWD))*((c_TMAP1OUT)-(0))+IF(((c_TMAP1OUT)-(0))&gt;=0,1,-1)*QUOTIENT(((c_TMAP1IN)-(c_TFWD)),2))+2147483648,4294967296)-2147483648,((c_TMAP1IN)-(c_TFWD))*(((A409)-(c_TFWD))*((c_TMAP1OUT)-(0))+IF(((c_TMAP1OUT)-(0))&gt;=0,1,-1)*QUOTIENT(((c_TMAP1IN)-(c_TFWD)),2)))&lt;0,-1,0),IF(IF(o_WRAP=1,MOD(((c_TMAP1IN)-(c_TFWD))*(((A409)-(c_TFWD))*((c_TMAP1OUT)-(0))+IF(((c_TMAP1OUT)-(0))&gt;=0,1,-1)*QUOTIENT(((c_TMAP1IN)-(c_TFWD)),2))+2147483648,4294967296)-2147483648,((c_TMAP1IN)-(c_TFWD))*(((A409)-(c_TFWD))*((c_TMAP1OUT)-(0))+IF(((c_TMAP1OUT)-(0))&gt;=0,1,-1)*QUOTIENT(((c_TMAP1IN)-(c_TFWD)),2)))&gt;=0,1,0)))</f>
        <v>306</v>
      </c>
      <c r="E409" s="7" t="n">
        <f aca="false">IF(((c_TMAP2IN)-(c_TMAP1IN))=0,(c_TMAP1OUT)+QUOTIENT(((c_TMAP2OUT)-(c_TMAP1OUT)),2),QUOTIENT((((A409)-(c_TMAP1IN))*((c_TMAP2OUT)-(c_TMAP1OUT))+IF(((c_TMAP2OUT)-(c_TMAP1OUT))&gt;=0,1,-1)*QUOTIENT(((c_TMAP2IN)-(c_TMAP1IN)),2)),((c_TMAP2IN)-(c_TMAP1IN)))+(c_TMAP1OUT)+IF(((c_TMAP2OUT)-(c_TMAP1OUT))&gt;=0,IF(IF(o_WRAP=1,MOD(((c_TMAP2IN)-(c_TMAP1IN))*(((A409)-(c_TMAP1IN))*((c_TMAP2OUT)-(c_TMAP1OUT))+IF(((c_TMAP2OUT)-(c_TMAP1OUT))&gt;=0,1,-1)*QUOTIENT(((c_TMAP2IN)-(c_TMAP1IN)),2))+2147483648,4294967296)-2147483648,((c_TMAP2IN)-(c_TMAP1IN))*(((A409)-(c_TMAP1IN))*((c_TMAP2OUT)-(c_TMAP1OUT))+IF(((c_TMAP2OUT)-(c_TMAP1OUT))&gt;=0,1,-1)*QUOTIENT(((c_TMAP2IN)-(c_TMAP1IN)),2)))&lt;0,-1,0),IF(IF(o_WRAP=1,MOD(((c_TMAP2IN)-(c_TMAP1IN))*(((A409)-(c_TMAP1IN))*((c_TMAP2OUT)-(c_TMAP1OUT))+IF(((c_TMAP2OUT)-(c_TMAP1OUT))&gt;=0,1,-1)*QUOTIENT(((c_TMAP2IN)-(c_TMAP1IN)),2))+2147483648,4294967296)-2147483648,((c_TMAP2IN)-(c_TMAP1IN))*(((A409)-(c_TMAP1IN))*((c_TMAP2OUT)-(c_TMAP1OUT))+IF(((c_TMAP2OUT)-(c_TMAP1OUT))&gt;=0,1,-1)*QUOTIENT(((c_TMAP2IN)-(c_TMAP1IN)),2)))&gt;=0,1,0)))</f>
        <v>192</v>
      </c>
      <c r="F409" s="7" t="n">
        <f aca="false">IF(((c_TMAP3IN)-(c_TMAP2IN))=0,(c_TMAP2OUT)+QUOTIENT(((c_TMAP3OUT)-(c_TMAP2OUT)),2),QUOTIENT((((A409)-(c_TMAP2IN))*((c_TMAP3OUT)-(c_TMAP2OUT))+IF(((c_TMAP3OUT)-(c_TMAP2OUT))&gt;=0,1,-1)*QUOTIENT(((c_TMAP3IN)-(c_TMAP2IN)),2)),((c_TMAP3IN)-(c_TMAP2IN)))+(c_TMAP2OUT)+IF(((c_TMAP3OUT)-(c_TMAP2OUT))&gt;=0,IF(IF(o_WRAP=1,MOD(((c_TMAP3IN)-(c_TMAP2IN))*(((A409)-(c_TMAP2IN))*((c_TMAP3OUT)-(c_TMAP2OUT))+IF(((c_TMAP3OUT)-(c_TMAP2OUT))&gt;=0,1,-1)*QUOTIENT(((c_TMAP3IN)-(c_TMAP2IN)),2))+2147483648,4294967296)-2147483648,((c_TMAP3IN)-(c_TMAP2IN))*(((A409)-(c_TMAP2IN))*((c_TMAP3OUT)-(c_TMAP2OUT))+IF(((c_TMAP3OUT)-(c_TMAP2OUT))&gt;=0,1,-1)*QUOTIENT(((c_TMAP3IN)-(c_TMAP2IN)),2)))&lt;0,-1,0),IF(IF(o_WRAP=1,MOD(((c_TMAP3IN)-(c_TMAP2IN))*(((A409)-(c_TMAP2IN))*((c_TMAP3OUT)-(c_TMAP2OUT))+IF(((c_TMAP3OUT)-(c_TMAP2OUT))&gt;=0,1,-1)*QUOTIENT(((c_TMAP3IN)-(c_TMAP2IN)),2))+2147483648,4294967296)-2147483648,((c_TMAP3IN)-(c_TMAP2IN))*(((A409)-(c_TMAP2IN))*((c_TMAP3OUT)-(c_TMAP2OUT))+IF(((c_TMAP3OUT)-(c_TMAP2OUT))&gt;=0,1,-1)*QUOTIENT(((c_TMAP3IN)-(c_TMAP2IN)),2)))&gt;=0,1,0)))</f>
        <v>238</v>
      </c>
      <c r="G409" s="7" t="n">
        <f aca="false">IF(((1000)-(c_TMAP3IN))=0,(c_TMAP3OUT)+QUOTIENT(((1000)-(c_TMAP3OUT)),2),QUOTIENT((((A409)-(c_TMAP3IN))*((1000)-(c_TMAP3OUT))+IF(((1000)-(c_TMAP3OUT))&gt;=0,1,-1)*QUOTIENT(((1000)-(c_TMAP3IN)),2)),((1000)-(c_TMAP3IN)))+(c_TMAP3OUT)+IF(((1000)-(c_TMAP3OUT))&gt;=0,IF(IF(o_WRAP=1,MOD(((1000)-(c_TMAP3IN))*(((A409)-(c_TMAP3IN))*((1000)-(c_TMAP3OUT))+IF(((1000)-(c_TMAP3OUT))&gt;=0,1,-1)*QUOTIENT(((1000)-(c_TMAP3IN)),2))+2147483648,4294967296)-2147483648,((1000)-(c_TMAP3IN))*(((A409)-(c_TMAP3IN))*((1000)-(c_TMAP3OUT))+IF(((1000)-(c_TMAP3OUT))&gt;=0,1,-1)*QUOTIENT(((1000)-(c_TMAP3IN)),2)))&lt;0,-1,0),IF(IF(o_WRAP=1,MOD(((1000)-(c_TMAP3IN))*(((A409)-(c_TMAP3IN))*((1000)-(c_TMAP3OUT))+IF(((1000)-(c_TMAP3OUT))&gt;=0,1,-1)*QUOTIENT(((1000)-(c_TMAP3IN)),2))+2147483648,4294967296)-2147483648,((1000)-(c_TMAP3IN))*(((A409)-(c_TMAP3IN))*((1000)-(c_TMAP3OUT))+IF(((1000)-(c_TMAP3OUT))&gt;=0,1,-1)*QUOTIENT(((1000)-(c_TMAP3IN)),2)))&gt;=0,1,0)))</f>
        <v>266</v>
      </c>
      <c r="H409" s="7" t="str">
        <f aca="false">IF(A409&gt;=c_TFWD,IF(AND(A409&gt;=c_TMAP3IN,c_TMAP3IN&lt;1000),"Seg4 map3-100%",IF(AND(A409&gt;=c_TMAP2IN,c_TMAP3IN&gt;c_TMAP2IN),"Seg3 map2-map3",IF(AND(A409&gt;=c_TMAP1IN,c_TMAP2IN&gt;c_TMAP1IN),"Seg2 map1-map2","Seg1 TFWD-map1"))),IF(AND(A409=0,c_TCREEP&gt;0),"Creep",IF(AND(A409&lt;=c_TRNGMIN,A409&gt;=c_TRNGMAX,c_TRNGMIN-c_TRNGMAX&lt;&gt;0),"Regen ramp","Coast (0)")))</f>
        <v>Seg4 map3-100%</v>
      </c>
      <c r="I409" s="7" t="n">
        <f aca="false">IF(A409&gt;=c_TFWD,IF(AND(A409&gt;=c_TMAP3IN,c_TMAP3IN&lt;1000),G409,IF(AND(A409&gt;=c_TMAP2IN,c_TMAP3IN&gt;c_TMAP2IN),F409,IF(AND(A409&gt;=c_TMAP1IN,c_TMAP2IN&gt;c_TMAP1IN),E409,D409))),C409)</f>
        <v>266</v>
      </c>
      <c r="J409" s="7" t="str">
        <f aca="false">IF(I409&lt;-1090,"TOO LOW",IF(I409&gt;1090,"TOO HIGH",""))</f>
        <v/>
      </c>
      <c r="K409" s="15" t="n">
        <f aca="false">IF(J409&lt;&gt;"",0,IF(I409&gt;979,1000,I409))</f>
        <v>266</v>
      </c>
      <c r="L409" s="7" t="n">
        <f aca="false">K409/10</f>
        <v>26.6</v>
      </c>
    </row>
    <row r="410" customFormat="false" ht="15" hidden="false" customHeight="false" outlineLevel="0" collapsed="false">
      <c r="A410" s="7" t="n">
        <v>405</v>
      </c>
      <c r="B410" s="7" t="n">
        <f aca="false">A410/10</f>
        <v>40.5</v>
      </c>
      <c r="C410" s="7" t="n">
        <f aca="false">IF(AND(A410=0,c_TCREEP&gt;0),10*c_TCREEP,IF(AND(A410&lt;=c_TRNGMIN,A410&gt;=c_TRNGMAX,c_TRNGMIN-c_TRNGMAX&lt;&gt;0),-10*c_TMINRN+QUOTIENT((c_TMAXRN-c_TMINRN)*(100-QUOTIENT((A410-c_TRNGMAX)*100,c_TRNGMIN-c_TRNGMAX)),-10),0))</f>
        <v>0</v>
      </c>
      <c r="D410" s="7" t="n">
        <f aca="false">IF(((c_TMAP1IN)-(c_TFWD))=0,(0)+QUOTIENT(((c_TMAP1OUT)-(0)),2),QUOTIENT((((A410)-(c_TFWD))*((c_TMAP1OUT)-(0))+IF(((c_TMAP1OUT)-(0))&gt;=0,1,-1)*QUOTIENT(((c_TMAP1IN)-(c_TFWD)),2)),((c_TMAP1IN)-(c_TFWD)))+(0)+IF(((c_TMAP1OUT)-(0))&gt;=0,IF(IF(o_WRAP=1,MOD(((c_TMAP1IN)-(c_TFWD))*(((A410)-(c_TFWD))*((c_TMAP1OUT)-(0))+IF(((c_TMAP1OUT)-(0))&gt;=0,1,-1)*QUOTIENT(((c_TMAP1IN)-(c_TFWD)),2))+2147483648,4294967296)-2147483648,((c_TMAP1IN)-(c_TFWD))*(((A410)-(c_TFWD))*((c_TMAP1OUT)-(0))+IF(((c_TMAP1OUT)-(0))&gt;=0,1,-1)*QUOTIENT(((c_TMAP1IN)-(c_TFWD)),2)))&lt;0,-1,0),IF(IF(o_WRAP=1,MOD(((c_TMAP1IN)-(c_TFWD))*(((A410)-(c_TFWD))*((c_TMAP1OUT)-(0))+IF(((c_TMAP1OUT)-(0))&gt;=0,1,-1)*QUOTIENT(((c_TMAP1IN)-(c_TFWD)),2))+2147483648,4294967296)-2147483648,((c_TMAP1IN)-(c_TFWD))*(((A410)-(c_TFWD))*((c_TMAP1OUT)-(0))+IF(((c_TMAP1OUT)-(0))&gt;=0,1,-1)*QUOTIENT(((c_TMAP1IN)-(c_TFWD)),2)))&gt;=0,1,0)))</f>
        <v>307</v>
      </c>
      <c r="E410" s="7" t="n">
        <f aca="false">IF(((c_TMAP2IN)-(c_TMAP1IN))=0,(c_TMAP1OUT)+QUOTIENT(((c_TMAP2OUT)-(c_TMAP1OUT)),2),QUOTIENT((((A410)-(c_TMAP1IN))*((c_TMAP2OUT)-(c_TMAP1OUT))+IF(((c_TMAP2OUT)-(c_TMAP1OUT))&gt;=0,1,-1)*QUOTIENT(((c_TMAP2IN)-(c_TMAP1IN)),2)),((c_TMAP2IN)-(c_TMAP1IN)))+(c_TMAP1OUT)+IF(((c_TMAP2OUT)-(c_TMAP1OUT))&gt;=0,IF(IF(o_WRAP=1,MOD(((c_TMAP2IN)-(c_TMAP1IN))*(((A410)-(c_TMAP1IN))*((c_TMAP2OUT)-(c_TMAP1OUT))+IF(((c_TMAP2OUT)-(c_TMAP1OUT))&gt;=0,1,-1)*QUOTIENT(((c_TMAP2IN)-(c_TMAP1IN)),2))+2147483648,4294967296)-2147483648,((c_TMAP2IN)-(c_TMAP1IN))*(((A410)-(c_TMAP1IN))*((c_TMAP2OUT)-(c_TMAP1OUT))+IF(((c_TMAP2OUT)-(c_TMAP1OUT))&gt;=0,1,-1)*QUOTIENT(((c_TMAP2IN)-(c_TMAP1IN)),2)))&lt;0,-1,0),IF(IF(o_WRAP=1,MOD(((c_TMAP2IN)-(c_TMAP1IN))*(((A410)-(c_TMAP1IN))*((c_TMAP2OUT)-(c_TMAP1OUT))+IF(((c_TMAP2OUT)-(c_TMAP1OUT))&gt;=0,1,-1)*QUOTIENT(((c_TMAP2IN)-(c_TMAP1IN)),2))+2147483648,4294967296)-2147483648,((c_TMAP2IN)-(c_TMAP1IN))*(((A410)-(c_TMAP1IN))*((c_TMAP2OUT)-(c_TMAP1OUT))+IF(((c_TMAP2OUT)-(c_TMAP1OUT))&gt;=0,1,-1)*QUOTIENT(((c_TMAP2IN)-(c_TMAP1IN)),2)))&gt;=0,1,0)))</f>
        <v>192</v>
      </c>
      <c r="F410" s="7" t="n">
        <f aca="false">IF(((c_TMAP3IN)-(c_TMAP2IN))=0,(c_TMAP2OUT)+QUOTIENT(((c_TMAP3OUT)-(c_TMAP2OUT)),2),QUOTIENT((((A410)-(c_TMAP2IN))*((c_TMAP3OUT)-(c_TMAP2OUT))+IF(((c_TMAP3OUT)-(c_TMAP2OUT))&gt;=0,1,-1)*QUOTIENT(((c_TMAP3IN)-(c_TMAP2IN)),2)),((c_TMAP3IN)-(c_TMAP2IN)))+(c_TMAP2OUT)+IF(((c_TMAP3OUT)-(c_TMAP2OUT))&gt;=0,IF(IF(o_WRAP=1,MOD(((c_TMAP3IN)-(c_TMAP2IN))*(((A410)-(c_TMAP2IN))*((c_TMAP3OUT)-(c_TMAP2OUT))+IF(((c_TMAP3OUT)-(c_TMAP2OUT))&gt;=0,1,-1)*QUOTIENT(((c_TMAP3IN)-(c_TMAP2IN)),2))+2147483648,4294967296)-2147483648,((c_TMAP3IN)-(c_TMAP2IN))*(((A410)-(c_TMAP2IN))*((c_TMAP3OUT)-(c_TMAP2OUT))+IF(((c_TMAP3OUT)-(c_TMAP2OUT))&gt;=0,1,-1)*QUOTIENT(((c_TMAP3IN)-(c_TMAP2IN)),2)))&lt;0,-1,0),IF(IF(o_WRAP=1,MOD(((c_TMAP3IN)-(c_TMAP2IN))*(((A410)-(c_TMAP2IN))*((c_TMAP3OUT)-(c_TMAP2OUT))+IF(((c_TMAP3OUT)-(c_TMAP2OUT))&gt;=0,1,-1)*QUOTIENT(((c_TMAP3IN)-(c_TMAP2IN)),2))+2147483648,4294967296)-2147483648,((c_TMAP3IN)-(c_TMAP2IN))*(((A410)-(c_TMAP2IN))*((c_TMAP3OUT)-(c_TMAP2OUT))+IF(((c_TMAP3OUT)-(c_TMAP2OUT))&gt;=0,1,-1)*QUOTIENT(((c_TMAP3IN)-(c_TMAP2IN)),2)))&gt;=0,1,0)))</f>
        <v>239</v>
      </c>
      <c r="G410" s="7" t="n">
        <f aca="false">IF(((1000)-(c_TMAP3IN))=0,(c_TMAP3OUT)+QUOTIENT(((1000)-(c_TMAP3OUT)),2),QUOTIENT((((A410)-(c_TMAP3IN))*((1000)-(c_TMAP3OUT))+IF(((1000)-(c_TMAP3OUT))&gt;=0,1,-1)*QUOTIENT(((1000)-(c_TMAP3IN)),2)),((1000)-(c_TMAP3IN)))+(c_TMAP3OUT)+IF(((1000)-(c_TMAP3OUT))&gt;=0,IF(IF(o_WRAP=1,MOD(((1000)-(c_TMAP3IN))*(((A410)-(c_TMAP3IN))*((1000)-(c_TMAP3OUT))+IF(((1000)-(c_TMAP3OUT))&gt;=0,1,-1)*QUOTIENT(((1000)-(c_TMAP3IN)),2))+2147483648,4294967296)-2147483648,((1000)-(c_TMAP3IN))*(((A410)-(c_TMAP3IN))*((1000)-(c_TMAP3OUT))+IF(((1000)-(c_TMAP3OUT))&gt;=0,1,-1)*QUOTIENT(((1000)-(c_TMAP3IN)),2)))&lt;0,-1,0),IF(IF(o_WRAP=1,MOD(((1000)-(c_TMAP3IN))*(((A410)-(c_TMAP3IN))*((1000)-(c_TMAP3OUT))+IF(((1000)-(c_TMAP3OUT))&gt;=0,1,-1)*QUOTIENT(((1000)-(c_TMAP3IN)),2))+2147483648,4294967296)-2147483648,((1000)-(c_TMAP3IN))*(((A410)-(c_TMAP3IN))*((1000)-(c_TMAP3OUT))+IF(((1000)-(c_TMAP3OUT))&gt;=0,1,-1)*QUOTIENT(((1000)-(c_TMAP3IN)),2)))&gt;=0,1,0)))</f>
        <v>268</v>
      </c>
      <c r="H410" s="7" t="str">
        <f aca="false">IF(A410&gt;=c_TFWD,IF(AND(A410&gt;=c_TMAP3IN,c_TMAP3IN&lt;1000),"Seg4 map3-100%",IF(AND(A410&gt;=c_TMAP2IN,c_TMAP3IN&gt;c_TMAP2IN),"Seg3 map2-map3",IF(AND(A410&gt;=c_TMAP1IN,c_TMAP2IN&gt;c_TMAP1IN),"Seg2 map1-map2","Seg1 TFWD-map1"))),IF(AND(A410=0,c_TCREEP&gt;0),"Creep",IF(AND(A410&lt;=c_TRNGMIN,A410&gt;=c_TRNGMAX,c_TRNGMIN-c_TRNGMAX&lt;&gt;0),"Regen ramp","Coast (0)")))</f>
        <v>Seg4 map3-100%</v>
      </c>
      <c r="I410" s="7" t="n">
        <f aca="false">IF(A410&gt;=c_TFWD,IF(AND(A410&gt;=c_TMAP3IN,c_TMAP3IN&lt;1000),G410,IF(AND(A410&gt;=c_TMAP2IN,c_TMAP3IN&gt;c_TMAP2IN),F410,IF(AND(A410&gt;=c_TMAP1IN,c_TMAP2IN&gt;c_TMAP1IN),E410,D410))),C410)</f>
        <v>268</v>
      </c>
      <c r="J410" s="7" t="str">
        <f aca="false">IF(I410&lt;-1090,"TOO LOW",IF(I410&gt;1090,"TOO HIGH",""))</f>
        <v/>
      </c>
      <c r="K410" s="15" t="n">
        <f aca="false">IF(J410&lt;&gt;"",0,IF(I410&gt;979,1000,I410))</f>
        <v>268</v>
      </c>
      <c r="L410" s="7" t="n">
        <f aca="false">K410/10</f>
        <v>26.8</v>
      </c>
    </row>
    <row r="411" customFormat="false" ht="15" hidden="false" customHeight="false" outlineLevel="0" collapsed="false">
      <c r="A411" s="7" t="n">
        <v>406</v>
      </c>
      <c r="B411" s="7" t="n">
        <f aca="false">A411/10</f>
        <v>40.6</v>
      </c>
      <c r="C411" s="7" t="n">
        <f aca="false">IF(AND(A411=0,c_TCREEP&gt;0),10*c_TCREEP,IF(AND(A411&lt;=c_TRNGMIN,A411&gt;=c_TRNGMAX,c_TRNGMIN-c_TRNGMAX&lt;&gt;0),-10*c_TMINRN+QUOTIENT((c_TMAXRN-c_TMINRN)*(100-QUOTIENT((A411-c_TRNGMAX)*100,c_TRNGMIN-c_TRNGMAX)),-10),0))</f>
        <v>0</v>
      </c>
      <c r="D411" s="7" t="n">
        <f aca="false">IF(((c_TMAP1IN)-(c_TFWD))=0,(0)+QUOTIENT(((c_TMAP1OUT)-(0)),2),QUOTIENT((((A411)-(c_TFWD))*((c_TMAP1OUT)-(0))+IF(((c_TMAP1OUT)-(0))&gt;=0,1,-1)*QUOTIENT(((c_TMAP1IN)-(c_TFWD)),2)),((c_TMAP1IN)-(c_TFWD)))+(0)+IF(((c_TMAP1OUT)-(0))&gt;=0,IF(IF(o_WRAP=1,MOD(((c_TMAP1IN)-(c_TFWD))*(((A411)-(c_TFWD))*((c_TMAP1OUT)-(0))+IF(((c_TMAP1OUT)-(0))&gt;=0,1,-1)*QUOTIENT(((c_TMAP1IN)-(c_TFWD)),2))+2147483648,4294967296)-2147483648,((c_TMAP1IN)-(c_TFWD))*(((A411)-(c_TFWD))*((c_TMAP1OUT)-(0))+IF(((c_TMAP1OUT)-(0))&gt;=0,1,-1)*QUOTIENT(((c_TMAP1IN)-(c_TFWD)),2)))&lt;0,-1,0),IF(IF(o_WRAP=1,MOD(((c_TMAP1IN)-(c_TFWD))*(((A411)-(c_TFWD))*((c_TMAP1OUT)-(0))+IF(((c_TMAP1OUT)-(0))&gt;=0,1,-1)*QUOTIENT(((c_TMAP1IN)-(c_TFWD)),2))+2147483648,4294967296)-2147483648,((c_TMAP1IN)-(c_TFWD))*(((A411)-(c_TFWD))*((c_TMAP1OUT)-(0))+IF(((c_TMAP1OUT)-(0))&gt;=0,1,-1)*QUOTIENT(((c_TMAP1IN)-(c_TFWD)),2)))&gt;=0,1,0)))</f>
        <v>308</v>
      </c>
      <c r="E411" s="7" t="n">
        <f aca="false">IF(((c_TMAP2IN)-(c_TMAP1IN))=0,(c_TMAP1OUT)+QUOTIENT(((c_TMAP2OUT)-(c_TMAP1OUT)),2),QUOTIENT((((A411)-(c_TMAP1IN))*((c_TMAP2OUT)-(c_TMAP1OUT))+IF(((c_TMAP2OUT)-(c_TMAP1OUT))&gt;=0,1,-1)*QUOTIENT(((c_TMAP2IN)-(c_TMAP1IN)),2)),((c_TMAP2IN)-(c_TMAP1IN)))+(c_TMAP1OUT)+IF(((c_TMAP2OUT)-(c_TMAP1OUT))&gt;=0,IF(IF(o_WRAP=1,MOD(((c_TMAP2IN)-(c_TMAP1IN))*(((A411)-(c_TMAP1IN))*((c_TMAP2OUT)-(c_TMAP1OUT))+IF(((c_TMAP2OUT)-(c_TMAP1OUT))&gt;=0,1,-1)*QUOTIENT(((c_TMAP2IN)-(c_TMAP1IN)),2))+2147483648,4294967296)-2147483648,((c_TMAP2IN)-(c_TMAP1IN))*(((A411)-(c_TMAP1IN))*((c_TMAP2OUT)-(c_TMAP1OUT))+IF(((c_TMAP2OUT)-(c_TMAP1OUT))&gt;=0,1,-1)*QUOTIENT(((c_TMAP2IN)-(c_TMAP1IN)),2)))&lt;0,-1,0),IF(IF(o_WRAP=1,MOD(((c_TMAP2IN)-(c_TMAP1IN))*(((A411)-(c_TMAP1IN))*((c_TMAP2OUT)-(c_TMAP1OUT))+IF(((c_TMAP2OUT)-(c_TMAP1OUT))&gt;=0,1,-1)*QUOTIENT(((c_TMAP2IN)-(c_TMAP1IN)),2))+2147483648,4294967296)-2147483648,((c_TMAP2IN)-(c_TMAP1IN))*(((A411)-(c_TMAP1IN))*((c_TMAP2OUT)-(c_TMAP1OUT))+IF(((c_TMAP2OUT)-(c_TMAP1OUT))&gt;=0,1,-1)*QUOTIENT(((c_TMAP2IN)-(c_TMAP1IN)),2)))&gt;=0,1,0)))</f>
        <v>192</v>
      </c>
      <c r="F411" s="7" t="n">
        <f aca="false">IF(((c_TMAP3IN)-(c_TMAP2IN))=0,(c_TMAP2OUT)+QUOTIENT(((c_TMAP3OUT)-(c_TMAP2OUT)),2),QUOTIENT((((A411)-(c_TMAP2IN))*((c_TMAP3OUT)-(c_TMAP2OUT))+IF(((c_TMAP3OUT)-(c_TMAP2OUT))&gt;=0,1,-1)*QUOTIENT(((c_TMAP3IN)-(c_TMAP2IN)),2)),((c_TMAP3IN)-(c_TMAP2IN)))+(c_TMAP2OUT)+IF(((c_TMAP3OUT)-(c_TMAP2OUT))&gt;=0,IF(IF(o_WRAP=1,MOD(((c_TMAP3IN)-(c_TMAP2IN))*(((A411)-(c_TMAP2IN))*((c_TMAP3OUT)-(c_TMAP2OUT))+IF(((c_TMAP3OUT)-(c_TMAP2OUT))&gt;=0,1,-1)*QUOTIENT(((c_TMAP3IN)-(c_TMAP2IN)),2))+2147483648,4294967296)-2147483648,((c_TMAP3IN)-(c_TMAP2IN))*(((A411)-(c_TMAP2IN))*((c_TMAP3OUT)-(c_TMAP2OUT))+IF(((c_TMAP3OUT)-(c_TMAP2OUT))&gt;=0,1,-1)*QUOTIENT(((c_TMAP3IN)-(c_TMAP2IN)),2)))&lt;0,-1,0),IF(IF(o_WRAP=1,MOD(((c_TMAP3IN)-(c_TMAP2IN))*(((A411)-(c_TMAP2IN))*((c_TMAP3OUT)-(c_TMAP2OUT))+IF(((c_TMAP3OUT)-(c_TMAP2OUT))&gt;=0,1,-1)*QUOTIENT(((c_TMAP3IN)-(c_TMAP2IN)),2))+2147483648,4294967296)-2147483648,((c_TMAP3IN)-(c_TMAP2IN))*(((A411)-(c_TMAP2IN))*((c_TMAP3OUT)-(c_TMAP2OUT))+IF(((c_TMAP3OUT)-(c_TMAP2OUT))&gt;=0,1,-1)*QUOTIENT(((c_TMAP3IN)-(c_TMAP2IN)),2)))&gt;=0,1,0)))</f>
        <v>239</v>
      </c>
      <c r="G411" s="7" t="n">
        <f aca="false">IF(((1000)-(c_TMAP3IN))=0,(c_TMAP3OUT)+QUOTIENT(((1000)-(c_TMAP3OUT)),2),QUOTIENT((((A411)-(c_TMAP3IN))*((1000)-(c_TMAP3OUT))+IF(((1000)-(c_TMAP3OUT))&gt;=0,1,-1)*QUOTIENT(((1000)-(c_TMAP3IN)),2)),((1000)-(c_TMAP3IN)))+(c_TMAP3OUT)+IF(((1000)-(c_TMAP3OUT))&gt;=0,IF(IF(o_WRAP=1,MOD(((1000)-(c_TMAP3IN))*(((A411)-(c_TMAP3IN))*((1000)-(c_TMAP3OUT))+IF(((1000)-(c_TMAP3OUT))&gt;=0,1,-1)*QUOTIENT(((1000)-(c_TMAP3IN)),2))+2147483648,4294967296)-2147483648,((1000)-(c_TMAP3IN))*(((A411)-(c_TMAP3IN))*((1000)-(c_TMAP3OUT))+IF(((1000)-(c_TMAP3OUT))&gt;=0,1,-1)*QUOTIENT(((1000)-(c_TMAP3IN)),2)))&lt;0,-1,0),IF(IF(o_WRAP=1,MOD(((1000)-(c_TMAP3IN))*(((A411)-(c_TMAP3IN))*((1000)-(c_TMAP3OUT))+IF(((1000)-(c_TMAP3OUT))&gt;=0,1,-1)*QUOTIENT(((1000)-(c_TMAP3IN)),2))+2147483648,4294967296)-2147483648,((1000)-(c_TMAP3IN))*(((A411)-(c_TMAP3IN))*((1000)-(c_TMAP3OUT))+IF(((1000)-(c_TMAP3OUT))&gt;=0,1,-1)*QUOTIENT(((1000)-(c_TMAP3IN)),2)))&gt;=0,1,0)))</f>
        <v>269</v>
      </c>
      <c r="H411" s="7" t="str">
        <f aca="false">IF(A411&gt;=c_TFWD,IF(AND(A411&gt;=c_TMAP3IN,c_TMAP3IN&lt;1000),"Seg4 map3-100%",IF(AND(A411&gt;=c_TMAP2IN,c_TMAP3IN&gt;c_TMAP2IN),"Seg3 map2-map3",IF(AND(A411&gt;=c_TMAP1IN,c_TMAP2IN&gt;c_TMAP1IN),"Seg2 map1-map2","Seg1 TFWD-map1"))),IF(AND(A411=0,c_TCREEP&gt;0),"Creep",IF(AND(A411&lt;=c_TRNGMIN,A411&gt;=c_TRNGMAX,c_TRNGMIN-c_TRNGMAX&lt;&gt;0),"Regen ramp","Coast (0)")))</f>
        <v>Seg4 map3-100%</v>
      </c>
      <c r="I411" s="7" t="n">
        <f aca="false">IF(A411&gt;=c_TFWD,IF(AND(A411&gt;=c_TMAP3IN,c_TMAP3IN&lt;1000),G411,IF(AND(A411&gt;=c_TMAP2IN,c_TMAP3IN&gt;c_TMAP2IN),F411,IF(AND(A411&gt;=c_TMAP1IN,c_TMAP2IN&gt;c_TMAP1IN),E411,D411))),C411)</f>
        <v>269</v>
      </c>
      <c r="J411" s="7" t="str">
        <f aca="false">IF(I411&lt;-1090,"TOO LOW",IF(I411&gt;1090,"TOO HIGH",""))</f>
        <v/>
      </c>
      <c r="K411" s="15" t="n">
        <f aca="false">IF(J411&lt;&gt;"",0,IF(I411&gt;979,1000,I411))</f>
        <v>269</v>
      </c>
      <c r="L411" s="7" t="n">
        <f aca="false">K411/10</f>
        <v>26.9</v>
      </c>
    </row>
    <row r="412" customFormat="false" ht="15" hidden="false" customHeight="false" outlineLevel="0" collapsed="false">
      <c r="A412" s="7" t="n">
        <v>407</v>
      </c>
      <c r="B412" s="7" t="n">
        <f aca="false">A412/10</f>
        <v>40.7</v>
      </c>
      <c r="C412" s="7" t="n">
        <f aca="false">IF(AND(A412=0,c_TCREEP&gt;0),10*c_TCREEP,IF(AND(A412&lt;=c_TRNGMIN,A412&gt;=c_TRNGMAX,c_TRNGMIN-c_TRNGMAX&lt;&gt;0),-10*c_TMINRN+QUOTIENT((c_TMAXRN-c_TMINRN)*(100-QUOTIENT((A412-c_TRNGMAX)*100,c_TRNGMIN-c_TRNGMAX)),-10),0))</f>
        <v>0</v>
      </c>
      <c r="D412" s="7" t="n">
        <f aca="false">IF(((c_TMAP1IN)-(c_TFWD))=0,(0)+QUOTIENT(((c_TMAP1OUT)-(0)),2),QUOTIENT((((A412)-(c_TFWD))*((c_TMAP1OUT)-(0))+IF(((c_TMAP1OUT)-(0))&gt;=0,1,-1)*QUOTIENT(((c_TMAP1IN)-(c_TFWD)),2)),((c_TMAP1IN)-(c_TFWD)))+(0)+IF(((c_TMAP1OUT)-(0))&gt;=0,IF(IF(o_WRAP=1,MOD(((c_TMAP1IN)-(c_TFWD))*(((A412)-(c_TFWD))*((c_TMAP1OUT)-(0))+IF(((c_TMAP1OUT)-(0))&gt;=0,1,-1)*QUOTIENT(((c_TMAP1IN)-(c_TFWD)),2))+2147483648,4294967296)-2147483648,((c_TMAP1IN)-(c_TFWD))*(((A412)-(c_TFWD))*((c_TMAP1OUT)-(0))+IF(((c_TMAP1OUT)-(0))&gt;=0,1,-1)*QUOTIENT(((c_TMAP1IN)-(c_TFWD)),2)))&lt;0,-1,0),IF(IF(o_WRAP=1,MOD(((c_TMAP1IN)-(c_TFWD))*(((A412)-(c_TFWD))*((c_TMAP1OUT)-(0))+IF(((c_TMAP1OUT)-(0))&gt;=0,1,-1)*QUOTIENT(((c_TMAP1IN)-(c_TFWD)),2))+2147483648,4294967296)-2147483648,((c_TMAP1IN)-(c_TFWD))*(((A412)-(c_TFWD))*((c_TMAP1OUT)-(0))+IF(((c_TMAP1OUT)-(0))&gt;=0,1,-1)*QUOTIENT(((c_TMAP1IN)-(c_TFWD)),2)))&gt;=0,1,0)))</f>
        <v>309</v>
      </c>
      <c r="E412" s="7" t="n">
        <f aca="false">IF(((c_TMAP2IN)-(c_TMAP1IN))=0,(c_TMAP1OUT)+QUOTIENT(((c_TMAP2OUT)-(c_TMAP1OUT)),2),QUOTIENT((((A412)-(c_TMAP1IN))*((c_TMAP2OUT)-(c_TMAP1OUT))+IF(((c_TMAP2OUT)-(c_TMAP1OUT))&gt;=0,1,-1)*QUOTIENT(((c_TMAP2IN)-(c_TMAP1IN)),2)),((c_TMAP2IN)-(c_TMAP1IN)))+(c_TMAP1OUT)+IF(((c_TMAP2OUT)-(c_TMAP1OUT))&gt;=0,IF(IF(o_WRAP=1,MOD(((c_TMAP2IN)-(c_TMAP1IN))*(((A412)-(c_TMAP1IN))*((c_TMAP2OUT)-(c_TMAP1OUT))+IF(((c_TMAP2OUT)-(c_TMAP1OUT))&gt;=0,1,-1)*QUOTIENT(((c_TMAP2IN)-(c_TMAP1IN)),2))+2147483648,4294967296)-2147483648,((c_TMAP2IN)-(c_TMAP1IN))*(((A412)-(c_TMAP1IN))*((c_TMAP2OUT)-(c_TMAP1OUT))+IF(((c_TMAP2OUT)-(c_TMAP1OUT))&gt;=0,1,-1)*QUOTIENT(((c_TMAP2IN)-(c_TMAP1IN)),2)))&lt;0,-1,0),IF(IF(o_WRAP=1,MOD(((c_TMAP2IN)-(c_TMAP1IN))*(((A412)-(c_TMAP1IN))*((c_TMAP2OUT)-(c_TMAP1OUT))+IF(((c_TMAP2OUT)-(c_TMAP1OUT))&gt;=0,1,-1)*QUOTIENT(((c_TMAP2IN)-(c_TMAP1IN)),2))+2147483648,4294967296)-2147483648,((c_TMAP2IN)-(c_TMAP1IN))*(((A412)-(c_TMAP1IN))*((c_TMAP2OUT)-(c_TMAP1OUT))+IF(((c_TMAP2OUT)-(c_TMAP1OUT))&gt;=0,1,-1)*QUOTIENT(((c_TMAP2IN)-(c_TMAP1IN)),2)))&gt;=0,1,0)))</f>
        <v>193</v>
      </c>
      <c r="F412" s="7" t="n">
        <f aca="false">IF(((c_TMAP3IN)-(c_TMAP2IN))=0,(c_TMAP2OUT)+QUOTIENT(((c_TMAP3OUT)-(c_TMAP2OUT)),2),QUOTIENT((((A412)-(c_TMAP2IN))*((c_TMAP3OUT)-(c_TMAP2OUT))+IF(((c_TMAP3OUT)-(c_TMAP2OUT))&gt;=0,1,-1)*QUOTIENT(((c_TMAP3IN)-(c_TMAP2IN)),2)),((c_TMAP3IN)-(c_TMAP2IN)))+(c_TMAP2OUT)+IF(((c_TMAP3OUT)-(c_TMAP2OUT))&gt;=0,IF(IF(o_WRAP=1,MOD(((c_TMAP3IN)-(c_TMAP2IN))*(((A412)-(c_TMAP2IN))*((c_TMAP3OUT)-(c_TMAP2OUT))+IF(((c_TMAP3OUT)-(c_TMAP2OUT))&gt;=0,1,-1)*QUOTIENT(((c_TMAP3IN)-(c_TMAP2IN)),2))+2147483648,4294967296)-2147483648,((c_TMAP3IN)-(c_TMAP2IN))*(((A412)-(c_TMAP2IN))*((c_TMAP3OUT)-(c_TMAP2OUT))+IF(((c_TMAP3OUT)-(c_TMAP2OUT))&gt;=0,1,-1)*QUOTIENT(((c_TMAP3IN)-(c_TMAP2IN)),2)))&lt;0,-1,0),IF(IF(o_WRAP=1,MOD(((c_TMAP3IN)-(c_TMAP2IN))*(((A412)-(c_TMAP2IN))*((c_TMAP3OUT)-(c_TMAP2OUT))+IF(((c_TMAP3OUT)-(c_TMAP2OUT))&gt;=0,1,-1)*QUOTIENT(((c_TMAP3IN)-(c_TMAP2IN)),2))+2147483648,4294967296)-2147483648,((c_TMAP3IN)-(c_TMAP2IN))*(((A412)-(c_TMAP2IN))*((c_TMAP3OUT)-(c_TMAP2OUT))+IF(((c_TMAP3OUT)-(c_TMAP2OUT))&gt;=0,1,-1)*QUOTIENT(((c_TMAP3IN)-(c_TMAP2IN)),2)))&gt;=0,1,0)))</f>
        <v>240</v>
      </c>
      <c r="G412" s="7" t="n">
        <f aca="false">IF(((1000)-(c_TMAP3IN))=0,(c_TMAP3OUT)+QUOTIENT(((1000)-(c_TMAP3OUT)),2),QUOTIENT((((A412)-(c_TMAP3IN))*((1000)-(c_TMAP3OUT))+IF(((1000)-(c_TMAP3OUT))&gt;=0,1,-1)*QUOTIENT(((1000)-(c_TMAP3IN)),2)),((1000)-(c_TMAP3IN)))+(c_TMAP3OUT)+IF(((1000)-(c_TMAP3OUT))&gt;=0,IF(IF(o_WRAP=1,MOD(((1000)-(c_TMAP3IN))*(((A412)-(c_TMAP3IN))*((1000)-(c_TMAP3OUT))+IF(((1000)-(c_TMAP3OUT))&gt;=0,1,-1)*QUOTIENT(((1000)-(c_TMAP3IN)),2))+2147483648,4294967296)-2147483648,((1000)-(c_TMAP3IN))*(((A412)-(c_TMAP3IN))*((1000)-(c_TMAP3OUT))+IF(((1000)-(c_TMAP3OUT))&gt;=0,1,-1)*QUOTIENT(((1000)-(c_TMAP3IN)),2)))&lt;0,-1,0),IF(IF(o_WRAP=1,MOD(((1000)-(c_TMAP3IN))*(((A412)-(c_TMAP3IN))*((1000)-(c_TMAP3OUT))+IF(((1000)-(c_TMAP3OUT))&gt;=0,1,-1)*QUOTIENT(((1000)-(c_TMAP3IN)),2))+2147483648,4294967296)-2147483648,((1000)-(c_TMAP3IN))*(((A412)-(c_TMAP3IN))*((1000)-(c_TMAP3OUT))+IF(((1000)-(c_TMAP3OUT))&gt;=0,1,-1)*QUOTIENT(((1000)-(c_TMAP3IN)),2)))&gt;=0,1,0)))</f>
        <v>270</v>
      </c>
      <c r="H412" s="7" t="str">
        <f aca="false">IF(A412&gt;=c_TFWD,IF(AND(A412&gt;=c_TMAP3IN,c_TMAP3IN&lt;1000),"Seg4 map3-100%",IF(AND(A412&gt;=c_TMAP2IN,c_TMAP3IN&gt;c_TMAP2IN),"Seg3 map2-map3",IF(AND(A412&gt;=c_TMAP1IN,c_TMAP2IN&gt;c_TMAP1IN),"Seg2 map1-map2","Seg1 TFWD-map1"))),IF(AND(A412=0,c_TCREEP&gt;0),"Creep",IF(AND(A412&lt;=c_TRNGMIN,A412&gt;=c_TRNGMAX,c_TRNGMIN-c_TRNGMAX&lt;&gt;0),"Regen ramp","Coast (0)")))</f>
        <v>Seg4 map3-100%</v>
      </c>
      <c r="I412" s="7" t="n">
        <f aca="false">IF(A412&gt;=c_TFWD,IF(AND(A412&gt;=c_TMAP3IN,c_TMAP3IN&lt;1000),G412,IF(AND(A412&gt;=c_TMAP2IN,c_TMAP3IN&gt;c_TMAP2IN),F412,IF(AND(A412&gt;=c_TMAP1IN,c_TMAP2IN&gt;c_TMAP1IN),E412,D412))),C412)</f>
        <v>270</v>
      </c>
      <c r="J412" s="7" t="str">
        <f aca="false">IF(I412&lt;-1090,"TOO LOW",IF(I412&gt;1090,"TOO HIGH",""))</f>
        <v/>
      </c>
      <c r="K412" s="15" t="n">
        <f aca="false">IF(J412&lt;&gt;"",0,IF(I412&gt;979,1000,I412))</f>
        <v>270</v>
      </c>
      <c r="L412" s="7" t="n">
        <f aca="false">K412/10</f>
        <v>27</v>
      </c>
    </row>
    <row r="413" customFormat="false" ht="15" hidden="false" customHeight="false" outlineLevel="0" collapsed="false">
      <c r="A413" s="7" t="n">
        <v>408</v>
      </c>
      <c r="B413" s="7" t="n">
        <f aca="false">A413/10</f>
        <v>40.8</v>
      </c>
      <c r="C413" s="7" t="n">
        <f aca="false">IF(AND(A413=0,c_TCREEP&gt;0),10*c_TCREEP,IF(AND(A413&lt;=c_TRNGMIN,A413&gt;=c_TRNGMAX,c_TRNGMIN-c_TRNGMAX&lt;&gt;0),-10*c_TMINRN+QUOTIENT((c_TMAXRN-c_TMINRN)*(100-QUOTIENT((A413-c_TRNGMAX)*100,c_TRNGMIN-c_TRNGMAX)),-10),0))</f>
        <v>0</v>
      </c>
      <c r="D413" s="7" t="n">
        <f aca="false">IF(((c_TMAP1IN)-(c_TFWD))=0,(0)+QUOTIENT(((c_TMAP1OUT)-(0)),2),QUOTIENT((((A413)-(c_TFWD))*((c_TMAP1OUT)-(0))+IF(((c_TMAP1OUT)-(0))&gt;=0,1,-1)*QUOTIENT(((c_TMAP1IN)-(c_TFWD)),2)),((c_TMAP1IN)-(c_TFWD)))+(0)+IF(((c_TMAP1OUT)-(0))&gt;=0,IF(IF(o_WRAP=1,MOD(((c_TMAP1IN)-(c_TFWD))*(((A413)-(c_TFWD))*((c_TMAP1OUT)-(0))+IF(((c_TMAP1OUT)-(0))&gt;=0,1,-1)*QUOTIENT(((c_TMAP1IN)-(c_TFWD)),2))+2147483648,4294967296)-2147483648,((c_TMAP1IN)-(c_TFWD))*(((A413)-(c_TFWD))*((c_TMAP1OUT)-(0))+IF(((c_TMAP1OUT)-(0))&gt;=0,1,-1)*QUOTIENT(((c_TMAP1IN)-(c_TFWD)),2)))&lt;0,-1,0),IF(IF(o_WRAP=1,MOD(((c_TMAP1IN)-(c_TFWD))*(((A413)-(c_TFWD))*((c_TMAP1OUT)-(0))+IF(((c_TMAP1OUT)-(0))&gt;=0,1,-1)*QUOTIENT(((c_TMAP1IN)-(c_TFWD)),2))+2147483648,4294967296)-2147483648,((c_TMAP1IN)-(c_TFWD))*(((A413)-(c_TFWD))*((c_TMAP1OUT)-(0))+IF(((c_TMAP1OUT)-(0))&gt;=0,1,-1)*QUOTIENT(((c_TMAP1IN)-(c_TFWD)),2)))&gt;=0,1,0)))</f>
        <v>310</v>
      </c>
      <c r="E413" s="7" t="n">
        <f aca="false">IF(((c_TMAP2IN)-(c_TMAP1IN))=0,(c_TMAP1OUT)+QUOTIENT(((c_TMAP2OUT)-(c_TMAP1OUT)),2),QUOTIENT((((A413)-(c_TMAP1IN))*((c_TMAP2OUT)-(c_TMAP1OUT))+IF(((c_TMAP2OUT)-(c_TMAP1OUT))&gt;=0,1,-1)*QUOTIENT(((c_TMAP2IN)-(c_TMAP1IN)),2)),((c_TMAP2IN)-(c_TMAP1IN)))+(c_TMAP1OUT)+IF(((c_TMAP2OUT)-(c_TMAP1OUT))&gt;=0,IF(IF(o_WRAP=1,MOD(((c_TMAP2IN)-(c_TMAP1IN))*(((A413)-(c_TMAP1IN))*((c_TMAP2OUT)-(c_TMAP1OUT))+IF(((c_TMAP2OUT)-(c_TMAP1OUT))&gt;=0,1,-1)*QUOTIENT(((c_TMAP2IN)-(c_TMAP1IN)),2))+2147483648,4294967296)-2147483648,((c_TMAP2IN)-(c_TMAP1IN))*(((A413)-(c_TMAP1IN))*((c_TMAP2OUT)-(c_TMAP1OUT))+IF(((c_TMAP2OUT)-(c_TMAP1OUT))&gt;=0,1,-1)*QUOTIENT(((c_TMAP2IN)-(c_TMAP1IN)),2)))&lt;0,-1,0),IF(IF(o_WRAP=1,MOD(((c_TMAP2IN)-(c_TMAP1IN))*(((A413)-(c_TMAP1IN))*((c_TMAP2OUT)-(c_TMAP1OUT))+IF(((c_TMAP2OUT)-(c_TMAP1OUT))&gt;=0,1,-1)*QUOTIENT(((c_TMAP2IN)-(c_TMAP1IN)),2))+2147483648,4294967296)-2147483648,((c_TMAP2IN)-(c_TMAP1IN))*(((A413)-(c_TMAP1IN))*((c_TMAP2OUT)-(c_TMAP1OUT))+IF(((c_TMAP2OUT)-(c_TMAP1OUT))&gt;=0,1,-1)*QUOTIENT(((c_TMAP2IN)-(c_TMAP1IN)),2)))&gt;=0,1,0)))</f>
        <v>193</v>
      </c>
      <c r="F413" s="7" t="n">
        <f aca="false">IF(((c_TMAP3IN)-(c_TMAP2IN))=0,(c_TMAP2OUT)+QUOTIENT(((c_TMAP3OUT)-(c_TMAP2OUT)),2),QUOTIENT((((A413)-(c_TMAP2IN))*((c_TMAP3OUT)-(c_TMAP2OUT))+IF(((c_TMAP3OUT)-(c_TMAP2OUT))&gt;=0,1,-1)*QUOTIENT(((c_TMAP3IN)-(c_TMAP2IN)),2)),((c_TMAP3IN)-(c_TMAP2IN)))+(c_TMAP2OUT)+IF(((c_TMAP3OUT)-(c_TMAP2OUT))&gt;=0,IF(IF(o_WRAP=1,MOD(((c_TMAP3IN)-(c_TMAP2IN))*(((A413)-(c_TMAP2IN))*((c_TMAP3OUT)-(c_TMAP2OUT))+IF(((c_TMAP3OUT)-(c_TMAP2OUT))&gt;=0,1,-1)*QUOTIENT(((c_TMAP3IN)-(c_TMAP2IN)),2))+2147483648,4294967296)-2147483648,((c_TMAP3IN)-(c_TMAP2IN))*(((A413)-(c_TMAP2IN))*((c_TMAP3OUT)-(c_TMAP2OUT))+IF(((c_TMAP3OUT)-(c_TMAP2OUT))&gt;=0,1,-1)*QUOTIENT(((c_TMAP3IN)-(c_TMAP2IN)),2)))&lt;0,-1,0),IF(IF(o_WRAP=1,MOD(((c_TMAP3IN)-(c_TMAP2IN))*(((A413)-(c_TMAP2IN))*((c_TMAP3OUT)-(c_TMAP2OUT))+IF(((c_TMAP3OUT)-(c_TMAP2OUT))&gt;=0,1,-1)*QUOTIENT(((c_TMAP3IN)-(c_TMAP2IN)),2))+2147483648,4294967296)-2147483648,((c_TMAP3IN)-(c_TMAP2IN))*(((A413)-(c_TMAP2IN))*((c_TMAP3OUT)-(c_TMAP2OUT))+IF(((c_TMAP3OUT)-(c_TMAP2OUT))&gt;=0,1,-1)*QUOTIENT(((c_TMAP3IN)-(c_TMAP2IN)),2)))&gt;=0,1,0)))</f>
        <v>241</v>
      </c>
      <c r="G413" s="7" t="n">
        <f aca="false">IF(((1000)-(c_TMAP3IN))=0,(c_TMAP3OUT)+QUOTIENT(((1000)-(c_TMAP3OUT)),2),QUOTIENT((((A413)-(c_TMAP3IN))*((1000)-(c_TMAP3OUT))+IF(((1000)-(c_TMAP3OUT))&gt;=0,1,-1)*QUOTIENT(((1000)-(c_TMAP3IN)),2)),((1000)-(c_TMAP3IN)))+(c_TMAP3OUT)+IF(((1000)-(c_TMAP3OUT))&gt;=0,IF(IF(o_WRAP=1,MOD(((1000)-(c_TMAP3IN))*(((A413)-(c_TMAP3IN))*((1000)-(c_TMAP3OUT))+IF(((1000)-(c_TMAP3OUT))&gt;=0,1,-1)*QUOTIENT(((1000)-(c_TMAP3IN)),2))+2147483648,4294967296)-2147483648,((1000)-(c_TMAP3IN))*(((A413)-(c_TMAP3IN))*((1000)-(c_TMAP3OUT))+IF(((1000)-(c_TMAP3OUT))&gt;=0,1,-1)*QUOTIENT(((1000)-(c_TMAP3IN)),2)))&lt;0,-1,0),IF(IF(o_WRAP=1,MOD(((1000)-(c_TMAP3IN))*(((A413)-(c_TMAP3IN))*((1000)-(c_TMAP3OUT))+IF(((1000)-(c_TMAP3OUT))&gt;=0,1,-1)*QUOTIENT(((1000)-(c_TMAP3IN)),2))+2147483648,4294967296)-2147483648,((1000)-(c_TMAP3IN))*(((A413)-(c_TMAP3IN))*((1000)-(c_TMAP3OUT))+IF(((1000)-(c_TMAP3OUT))&gt;=0,1,-1)*QUOTIENT(((1000)-(c_TMAP3IN)),2)))&gt;=0,1,0)))</f>
        <v>271</v>
      </c>
      <c r="H413" s="7" t="str">
        <f aca="false">IF(A413&gt;=c_TFWD,IF(AND(A413&gt;=c_TMAP3IN,c_TMAP3IN&lt;1000),"Seg4 map3-100%",IF(AND(A413&gt;=c_TMAP2IN,c_TMAP3IN&gt;c_TMAP2IN),"Seg3 map2-map3",IF(AND(A413&gt;=c_TMAP1IN,c_TMAP2IN&gt;c_TMAP1IN),"Seg2 map1-map2","Seg1 TFWD-map1"))),IF(AND(A413=0,c_TCREEP&gt;0),"Creep",IF(AND(A413&lt;=c_TRNGMIN,A413&gt;=c_TRNGMAX,c_TRNGMIN-c_TRNGMAX&lt;&gt;0),"Regen ramp","Coast (0)")))</f>
        <v>Seg4 map3-100%</v>
      </c>
      <c r="I413" s="7" t="n">
        <f aca="false">IF(A413&gt;=c_TFWD,IF(AND(A413&gt;=c_TMAP3IN,c_TMAP3IN&lt;1000),G413,IF(AND(A413&gt;=c_TMAP2IN,c_TMAP3IN&gt;c_TMAP2IN),F413,IF(AND(A413&gt;=c_TMAP1IN,c_TMAP2IN&gt;c_TMAP1IN),E413,D413))),C413)</f>
        <v>271</v>
      </c>
      <c r="J413" s="7" t="str">
        <f aca="false">IF(I413&lt;-1090,"TOO LOW",IF(I413&gt;1090,"TOO HIGH",""))</f>
        <v/>
      </c>
      <c r="K413" s="15" t="n">
        <f aca="false">IF(J413&lt;&gt;"",0,IF(I413&gt;979,1000,I413))</f>
        <v>271</v>
      </c>
      <c r="L413" s="7" t="n">
        <f aca="false">K413/10</f>
        <v>27.1</v>
      </c>
    </row>
    <row r="414" customFormat="false" ht="15" hidden="false" customHeight="false" outlineLevel="0" collapsed="false">
      <c r="A414" s="7" t="n">
        <v>409</v>
      </c>
      <c r="B414" s="7" t="n">
        <f aca="false">A414/10</f>
        <v>40.9</v>
      </c>
      <c r="C414" s="7" t="n">
        <f aca="false">IF(AND(A414=0,c_TCREEP&gt;0),10*c_TCREEP,IF(AND(A414&lt;=c_TRNGMIN,A414&gt;=c_TRNGMAX,c_TRNGMIN-c_TRNGMAX&lt;&gt;0),-10*c_TMINRN+QUOTIENT((c_TMAXRN-c_TMINRN)*(100-QUOTIENT((A414-c_TRNGMAX)*100,c_TRNGMIN-c_TRNGMAX)),-10),0))</f>
        <v>0</v>
      </c>
      <c r="D414" s="7" t="n">
        <f aca="false">IF(((c_TMAP1IN)-(c_TFWD))=0,(0)+QUOTIENT(((c_TMAP1OUT)-(0)),2),QUOTIENT((((A414)-(c_TFWD))*((c_TMAP1OUT)-(0))+IF(((c_TMAP1OUT)-(0))&gt;=0,1,-1)*QUOTIENT(((c_TMAP1IN)-(c_TFWD)),2)),((c_TMAP1IN)-(c_TFWD)))+(0)+IF(((c_TMAP1OUT)-(0))&gt;=0,IF(IF(o_WRAP=1,MOD(((c_TMAP1IN)-(c_TFWD))*(((A414)-(c_TFWD))*((c_TMAP1OUT)-(0))+IF(((c_TMAP1OUT)-(0))&gt;=0,1,-1)*QUOTIENT(((c_TMAP1IN)-(c_TFWD)),2))+2147483648,4294967296)-2147483648,((c_TMAP1IN)-(c_TFWD))*(((A414)-(c_TFWD))*((c_TMAP1OUT)-(0))+IF(((c_TMAP1OUT)-(0))&gt;=0,1,-1)*QUOTIENT(((c_TMAP1IN)-(c_TFWD)),2)))&lt;0,-1,0),IF(IF(o_WRAP=1,MOD(((c_TMAP1IN)-(c_TFWD))*(((A414)-(c_TFWD))*((c_TMAP1OUT)-(0))+IF(((c_TMAP1OUT)-(0))&gt;=0,1,-1)*QUOTIENT(((c_TMAP1IN)-(c_TFWD)),2))+2147483648,4294967296)-2147483648,((c_TMAP1IN)-(c_TFWD))*(((A414)-(c_TFWD))*((c_TMAP1OUT)-(0))+IF(((c_TMAP1OUT)-(0))&gt;=0,1,-1)*QUOTIENT(((c_TMAP1IN)-(c_TFWD)),2)))&gt;=0,1,0)))</f>
        <v>310</v>
      </c>
      <c r="E414" s="7" t="n">
        <f aca="false">IF(((c_TMAP2IN)-(c_TMAP1IN))=0,(c_TMAP1OUT)+QUOTIENT(((c_TMAP2OUT)-(c_TMAP1OUT)),2),QUOTIENT((((A414)-(c_TMAP1IN))*((c_TMAP2OUT)-(c_TMAP1OUT))+IF(((c_TMAP2OUT)-(c_TMAP1OUT))&gt;=0,1,-1)*QUOTIENT(((c_TMAP2IN)-(c_TMAP1IN)),2)),((c_TMAP2IN)-(c_TMAP1IN)))+(c_TMAP1OUT)+IF(((c_TMAP2OUT)-(c_TMAP1OUT))&gt;=0,IF(IF(o_WRAP=1,MOD(((c_TMAP2IN)-(c_TMAP1IN))*(((A414)-(c_TMAP1IN))*((c_TMAP2OUT)-(c_TMAP1OUT))+IF(((c_TMAP2OUT)-(c_TMAP1OUT))&gt;=0,1,-1)*QUOTIENT(((c_TMAP2IN)-(c_TMAP1IN)),2))+2147483648,4294967296)-2147483648,((c_TMAP2IN)-(c_TMAP1IN))*(((A414)-(c_TMAP1IN))*((c_TMAP2OUT)-(c_TMAP1OUT))+IF(((c_TMAP2OUT)-(c_TMAP1OUT))&gt;=0,1,-1)*QUOTIENT(((c_TMAP2IN)-(c_TMAP1IN)),2)))&lt;0,-1,0),IF(IF(o_WRAP=1,MOD(((c_TMAP2IN)-(c_TMAP1IN))*(((A414)-(c_TMAP1IN))*((c_TMAP2OUT)-(c_TMAP1OUT))+IF(((c_TMAP2OUT)-(c_TMAP1OUT))&gt;=0,1,-1)*QUOTIENT(((c_TMAP2IN)-(c_TMAP1IN)),2))+2147483648,4294967296)-2147483648,((c_TMAP2IN)-(c_TMAP1IN))*(((A414)-(c_TMAP1IN))*((c_TMAP2OUT)-(c_TMAP1OUT))+IF(((c_TMAP2OUT)-(c_TMAP1OUT))&gt;=0,1,-1)*QUOTIENT(((c_TMAP2IN)-(c_TMAP1IN)),2)))&gt;=0,1,0)))</f>
        <v>194</v>
      </c>
      <c r="F414" s="7" t="n">
        <f aca="false">IF(((c_TMAP3IN)-(c_TMAP2IN))=0,(c_TMAP2OUT)+QUOTIENT(((c_TMAP3OUT)-(c_TMAP2OUT)),2),QUOTIENT((((A414)-(c_TMAP2IN))*((c_TMAP3OUT)-(c_TMAP2OUT))+IF(((c_TMAP3OUT)-(c_TMAP2OUT))&gt;=0,1,-1)*QUOTIENT(((c_TMAP3IN)-(c_TMAP2IN)),2)),((c_TMAP3IN)-(c_TMAP2IN)))+(c_TMAP2OUT)+IF(((c_TMAP3OUT)-(c_TMAP2OUT))&gt;=0,IF(IF(o_WRAP=1,MOD(((c_TMAP3IN)-(c_TMAP2IN))*(((A414)-(c_TMAP2IN))*((c_TMAP3OUT)-(c_TMAP2OUT))+IF(((c_TMAP3OUT)-(c_TMAP2OUT))&gt;=0,1,-1)*QUOTIENT(((c_TMAP3IN)-(c_TMAP2IN)),2))+2147483648,4294967296)-2147483648,((c_TMAP3IN)-(c_TMAP2IN))*(((A414)-(c_TMAP2IN))*((c_TMAP3OUT)-(c_TMAP2OUT))+IF(((c_TMAP3OUT)-(c_TMAP2OUT))&gt;=0,1,-1)*QUOTIENT(((c_TMAP3IN)-(c_TMAP2IN)),2)))&lt;0,-1,0),IF(IF(o_WRAP=1,MOD(((c_TMAP3IN)-(c_TMAP2IN))*(((A414)-(c_TMAP2IN))*((c_TMAP3OUT)-(c_TMAP2OUT))+IF(((c_TMAP3OUT)-(c_TMAP2OUT))&gt;=0,1,-1)*QUOTIENT(((c_TMAP3IN)-(c_TMAP2IN)),2))+2147483648,4294967296)-2147483648,((c_TMAP3IN)-(c_TMAP2IN))*(((A414)-(c_TMAP2IN))*((c_TMAP3OUT)-(c_TMAP2OUT))+IF(((c_TMAP3OUT)-(c_TMAP2OUT))&gt;=0,1,-1)*QUOTIENT(((c_TMAP3IN)-(c_TMAP2IN)),2)))&gt;=0,1,0)))</f>
        <v>241</v>
      </c>
      <c r="G414" s="7" t="n">
        <f aca="false">IF(((1000)-(c_TMAP3IN))=0,(c_TMAP3OUT)+QUOTIENT(((1000)-(c_TMAP3OUT)),2),QUOTIENT((((A414)-(c_TMAP3IN))*((1000)-(c_TMAP3OUT))+IF(((1000)-(c_TMAP3OUT))&gt;=0,1,-1)*QUOTIENT(((1000)-(c_TMAP3IN)),2)),((1000)-(c_TMAP3IN)))+(c_TMAP3OUT)+IF(((1000)-(c_TMAP3OUT))&gt;=0,IF(IF(o_WRAP=1,MOD(((1000)-(c_TMAP3IN))*(((A414)-(c_TMAP3IN))*((1000)-(c_TMAP3OUT))+IF(((1000)-(c_TMAP3OUT))&gt;=0,1,-1)*QUOTIENT(((1000)-(c_TMAP3IN)),2))+2147483648,4294967296)-2147483648,((1000)-(c_TMAP3IN))*(((A414)-(c_TMAP3IN))*((1000)-(c_TMAP3OUT))+IF(((1000)-(c_TMAP3OUT))&gt;=0,1,-1)*QUOTIENT(((1000)-(c_TMAP3IN)),2)))&lt;0,-1,0),IF(IF(o_WRAP=1,MOD(((1000)-(c_TMAP3IN))*(((A414)-(c_TMAP3IN))*((1000)-(c_TMAP3OUT))+IF(((1000)-(c_TMAP3OUT))&gt;=0,1,-1)*QUOTIENT(((1000)-(c_TMAP3IN)),2))+2147483648,4294967296)-2147483648,((1000)-(c_TMAP3IN))*(((A414)-(c_TMAP3IN))*((1000)-(c_TMAP3OUT))+IF(((1000)-(c_TMAP3OUT))&gt;=0,1,-1)*QUOTIENT(((1000)-(c_TMAP3IN)),2)))&gt;=0,1,0)))</f>
        <v>273</v>
      </c>
      <c r="H414" s="7" t="str">
        <f aca="false">IF(A414&gt;=c_TFWD,IF(AND(A414&gt;=c_TMAP3IN,c_TMAP3IN&lt;1000),"Seg4 map3-100%",IF(AND(A414&gt;=c_TMAP2IN,c_TMAP3IN&gt;c_TMAP2IN),"Seg3 map2-map3",IF(AND(A414&gt;=c_TMAP1IN,c_TMAP2IN&gt;c_TMAP1IN),"Seg2 map1-map2","Seg1 TFWD-map1"))),IF(AND(A414=0,c_TCREEP&gt;0),"Creep",IF(AND(A414&lt;=c_TRNGMIN,A414&gt;=c_TRNGMAX,c_TRNGMIN-c_TRNGMAX&lt;&gt;0),"Regen ramp","Coast (0)")))</f>
        <v>Seg4 map3-100%</v>
      </c>
      <c r="I414" s="7" t="n">
        <f aca="false">IF(A414&gt;=c_TFWD,IF(AND(A414&gt;=c_TMAP3IN,c_TMAP3IN&lt;1000),G414,IF(AND(A414&gt;=c_TMAP2IN,c_TMAP3IN&gt;c_TMAP2IN),F414,IF(AND(A414&gt;=c_TMAP1IN,c_TMAP2IN&gt;c_TMAP1IN),E414,D414))),C414)</f>
        <v>273</v>
      </c>
      <c r="J414" s="7" t="str">
        <f aca="false">IF(I414&lt;-1090,"TOO LOW",IF(I414&gt;1090,"TOO HIGH",""))</f>
        <v/>
      </c>
      <c r="K414" s="15" t="n">
        <f aca="false">IF(J414&lt;&gt;"",0,IF(I414&gt;979,1000,I414))</f>
        <v>273</v>
      </c>
      <c r="L414" s="7" t="n">
        <f aca="false">K414/10</f>
        <v>27.3</v>
      </c>
    </row>
    <row r="415" customFormat="false" ht="15" hidden="false" customHeight="false" outlineLevel="0" collapsed="false">
      <c r="A415" s="7" t="n">
        <v>410</v>
      </c>
      <c r="B415" s="7" t="n">
        <f aca="false">A415/10</f>
        <v>41</v>
      </c>
      <c r="C415" s="7" t="n">
        <f aca="false">IF(AND(A415=0,c_TCREEP&gt;0),10*c_TCREEP,IF(AND(A415&lt;=c_TRNGMIN,A415&gt;=c_TRNGMAX,c_TRNGMIN-c_TRNGMAX&lt;&gt;0),-10*c_TMINRN+QUOTIENT((c_TMAXRN-c_TMINRN)*(100-QUOTIENT((A415-c_TRNGMAX)*100,c_TRNGMIN-c_TRNGMAX)),-10),0))</f>
        <v>0</v>
      </c>
      <c r="D415" s="7" t="n">
        <f aca="false">IF(((c_TMAP1IN)-(c_TFWD))=0,(0)+QUOTIENT(((c_TMAP1OUT)-(0)),2),QUOTIENT((((A415)-(c_TFWD))*((c_TMAP1OUT)-(0))+IF(((c_TMAP1OUT)-(0))&gt;=0,1,-1)*QUOTIENT(((c_TMAP1IN)-(c_TFWD)),2)),((c_TMAP1IN)-(c_TFWD)))+(0)+IF(((c_TMAP1OUT)-(0))&gt;=0,IF(IF(o_WRAP=1,MOD(((c_TMAP1IN)-(c_TFWD))*(((A415)-(c_TFWD))*((c_TMAP1OUT)-(0))+IF(((c_TMAP1OUT)-(0))&gt;=0,1,-1)*QUOTIENT(((c_TMAP1IN)-(c_TFWD)),2))+2147483648,4294967296)-2147483648,((c_TMAP1IN)-(c_TFWD))*(((A415)-(c_TFWD))*((c_TMAP1OUT)-(0))+IF(((c_TMAP1OUT)-(0))&gt;=0,1,-1)*QUOTIENT(((c_TMAP1IN)-(c_TFWD)),2)))&lt;0,-1,0),IF(IF(o_WRAP=1,MOD(((c_TMAP1IN)-(c_TFWD))*(((A415)-(c_TFWD))*((c_TMAP1OUT)-(0))+IF(((c_TMAP1OUT)-(0))&gt;=0,1,-1)*QUOTIENT(((c_TMAP1IN)-(c_TFWD)),2))+2147483648,4294967296)-2147483648,((c_TMAP1IN)-(c_TFWD))*(((A415)-(c_TFWD))*((c_TMAP1OUT)-(0))+IF(((c_TMAP1OUT)-(0))&gt;=0,1,-1)*QUOTIENT(((c_TMAP1IN)-(c_TFWD)),2)))&gt;=0,1,0)))</f>
        <v>311</v>
      </c>
      <c r="E415" s="7" t="n">
        <f aca="false">IF(((c_TMAP2IN)-(c_TMAP1IN))=0,(c_TMAP1OUT)+QUOTIENT(((c_TMAP2OUT)-(c_TMAP1OUT)),2),QUOTIENT((((A415)-(c_TMAP1IN))*((c_TMAP2OUT)-(c_TMAP1OUT))+IF(((c_TMAP2OUT)-(c_TMAP1OUT))&gt;=0,1,-1)*QUOTIENT(((c_TMAP2IN)-(c_TMAP1IN)),2)),((c_TMAP2IN)-(c_TMAP1IN)))+(c_TMAP1OUT)+IF(((c_TMAP2OUT)-(c_TMAP1OUT))&gt;=0,IF(IF(o_WRAP=1,MOD(((c_TMAP2IN)-(c_TMAP1IN))*(((A415)-(c_TMAP1IN))*((c_TMAP2OUT)-(c_TMAP1OUT))+IF(((c_TMAP2OUT)-(c_TMAP1OUT))&gt;=0,1,-1)*QUOTIENT(((c_TMAP2IN)-(c_TMAP1IN)),2))+2147483648,4294967296)-2147483648,((c_TMAP2IN)-(c_TMAP1IN))*(((A415)-(c_TMAP1IN))*((c_TMAP2OUT)-(c_TMAP1OUT))+IF(((c_TMAP2OUT)-(c_TMAP1OUT))&gt;=0,1,-1)*QUOTIENT(((c_TMAP2IN)-(c_TMAP1IN)),2)))&lt;0,-1,0),IF(IF(o_WRAP=1,MOD(((c_TMAP2IN)-(c_TMAP1IN))*(((A415)-(c_TMAP1IN))*((c_TMAP2OUT)-(c_TMAP1OUT))+IF(((c_TMAP2OUT)-(c_TMAP1OUT))&gt;=0,1,-1)*QUOTIENT(((c_TMAP2IN)-(c_TMAP1IN)),2))+2147483648,4294967296)-2147483648,((c_TMAP2IN)-(c_TMAP1IN))*(((A415)-(c_TMAP1IN))*((c_TMAP2OUT)-(c_TMAP1OUT))+IF(((c_TMAP2OUT)-(c_TMAP1OUT))&gt;=0,1,-1)*QUOTIENT(((c_TMAP2IN)-(c_TMAP1IN)),2)))&gt;=0,1,0)))</f>
        <v>194</v>
      </c>
      <c r="F415" s="7" t="n">
        <f aca="false">IF(((c_TMAP3IN)-(c_TMAP2IN))=0,(c_TMAP2OUT)+QUOTIENT(((c_TMAP3OUT)-(c_TMAP2OUT)),2),QUOTIENT((((A415)-(c_TMAP2IN))*((c_TMAP3OUT)-(c_TMAP2OUT))+IF(((c_TMAP3OUT)-(c_TMAP2OUT))&gt;=0,1,-1)*QUOTIENT(((c_TMAP3IN)-(c_TMAP2IN)),2)),((c_TMAP3IN)-(c_TMAP2IN)))+(c_TMAP2OUT)+IF(((c_TMAP3OUT)-(c_TMAP2OUT))&gt;=0,IF(IF(o_WRAP=1,MOD(((c_TMAP3IN)-(c_TMAP2IN))*(((A415)-(c_TMAP2IN))*((c_TMAP3OUT)-(c_TMAP2OUT))+IF(((c_TMAP3OUT)-(c_TMAP2OUT))&gt;=0,1,-1)*QUOTIENT(((c_TMAP3IN)-(c_TMAP2IN)),2))+2147483648,4294967296)-2147483648,((c_TMAP3IN)-(c_TMAP2IN))*(((A415)-(c_TMAP2IN))*((c_TMAP3OUT)-(c_TMAP2OUT))+IF(((c_TMAP3OUT)-(c_TMAP2OUT))&gt;=0,1,-1)*QUOTIENT(((c_TMAP3IN)-(c_TMAP2IN)),2)))&lt;0,-1,0),IF(IF(o_WRAP=1,MOD(((c_TMAP3IN)-(c_TMAP2IN))*(((A415)-(c_TMAP2IN))*((c_TMAP3OUT)-(c_TMAP2OUT))+IF(((c_TMAP3OUT)-(c_TMAP2OUT))&gt;=0,1,-1)*QUOTIENT(((c_TMAP3IN)-(c_TMAP2IN)),2))+2147483648,4294967296)-2147483648,((c_TMAP3IN)-(c_TMAP2IN))*(((A415)-(c_TMAP2IN))*((c_TMAP3OUT)-(c_TMAP2OUT))+IF(((c_TMAP3OUT)-(c_TMAP2OUT))&gt;=0,1,-1)*QUOTIENT(((c_TMAP3IN)-(c_TMAP2IN)),2)))&gt;=0,1,0)))</f>
        <v>242</v>
      </c>
      <c r="G415" s="7" t="n">
        <f aca="false">IF(((1000)-(c_TMAP3IN))=0,(c_TMAP3OUT)+QUOTIENT(((1000)-(c_TMAP3OUT)),2),QUOTIENT((((A415)-(c_TMAP3IN))*((1000)-(c_TMAP3OUT))+IF(((1000)-(c_TMAP3OUT))&gt;=0,1,-1)*QUOTIENT(((1000)-(c_TMAP3IN)),2)),((1000)-(c_TMAP3IN)))+(c_TMAP3OUT)+IF(((1000)-(c_TMAP3OUT))&gt;=0,IF(IF(o_WRAP=1,MOD(((1000)-(c_TMAP3IN))*(((A415)-(c_TMAP3IN))*((1000)-(c_TMAP3OUT))+IF(((1000)-(c_TMAP3OUT))&gt;=0,1,-1)*QUOTIENT(((1000)-(c_TMAP3IN)),2))+2147483648,4294967296)-2147483648,((1000)-(c_TMAP3IN))*(((A415)-(c_TMAP3IN))*((1000)-(c_TMAP3OUT))+IF(((1000)-(c_TMAP3OUT))&gt;=0,1,-1)*QUOTIENT(((1000)-(c_TMAP3IN)),2)))&lt;0,-1,0),IF(IF(o_WRAP=1,MOD(((1000)-(c_TMAP3IN))*(((A415)-(c_TMAP3IN))*((1000)-(c_TMAP3OUT))+IF(((1000)-(c_TMAP3OUT))&gt;=0,1,-1)*QUOTIENT(((1000)-(c_TMAP3IN)),2))+2147483648,4294967296)-2147483648,((1000)-(c_TMAP3IN))*(((A415)-(c_TMAP3IN))*((1000)-(c_TMAP3OUT))+IF(((1000)-(c_TMAP3OUT))&gt;=0,1,-1)*QUOTIENT(((1000)-(c_TMAP3IN)),2)))&gt;=0,1,0)))</f>
        <v>274</v>
      </c>
      <c r="H415" s="7" t="str">
        <f aca="false">IF(A415&gt;=c_TFWD,IF(AND(A415&gt;=c_TMAP3IN,c_TMAP3IN&lt;1000),"Seg4 map3-100%",IF(AND(A415&gt;=c_TMAP2IN,c_TMAP3IN&gt;c_TMAP2IN),"Seg3 map2-map3",IF(AND(A415&gt;=c_TMAP1IN,c_TMAP2IN&gt;c_TMAP1IN),"Seg2 map1-map2","Seg1 TFWD-map1"))),IF(AND(A415=0,c_TCREEP&gt;0),"Creep",IF(AND(A415&lt;=c_TRNGMIN,A415&gt;=c_TRNGMAX,c_TRNGMIN-c_TRNGMAX&lt;&gt;0),"Regen ramp","Coast (0)")))</f>
        <v>Seg4 map3-100%</v>
      </c>
      <c r="I415" s="7" t="n">
        <f aca="false">IF(A415&gt;=c_TFWD,IF(AND(A415&gt;=c_TMAP3IN,c_TMAP3IN&lt;1000),G415,IF(AND(A415&gt;=c_TMAP2IN,c_TMAP3IN&gt;c_TMAP2IN),F415,IF(AND(A415&gt;=c_TMAP1IN,c_TMAP2IN&gt;c_TMAP1IN),E415,D415))),C415)</f>
        <v>274</v>
      </c>
      <c r="J415" s="7" t="str">
        <f aca="false">IF(I415&lt;-1090,"TOO LOW",IF(I415&gt;1090,"TOO HIGH",""))</f>
        <v/>
      </c>
      <c r="K415" s="15" t="n">
        <f aca="false">IF(J415&lt;&gt;"",0,IF(I415&gt;979,1000,I415))</f>
        <v>274</v>
      </c>
      <c r="L415" s="7" t="n">
        <f aca="false">K415/10</f>
        <v>27.4</v>
      </c>
    </row>
    <row r="416" customFormat="false" ht="15" hidden="false" customHeight="false" outlineLevel="0" collapsed="false">
      <c r="A416" s="7" t="n">
        <v>411</v>
      </c>
      <c r="B416" s="7" t="n">
        <f aca="false">A416/10</f>
        <v>41.1</v>
      </c>
      <c r="C416" s="7" t="n">
        <f aca="false">IF(AND(A416=0,c_TCREEP&gt;0),10*c_TCREEP,IF(AND(A416&lt;=c_TRNGMIN,A416&gt;=c_TRNGMAX,c_TRNGMIN-c_TRNGMAX&lt;&gt;0),-10*c_TMINRN+QUOTIENT((c_TMAXRN-c_TMINRN)*(100-QUOTIENT((A416-c_TRNGMAX)*100,c_TRNGMIN-c_TRNGMAX)),-10),0))</f>
        <v>0</v>
      </c>
      <c r="D416" s="7" t="n">
        <f aca="false">IF(((c_TMAP1IN)-(c_TFWD))=0,(0)+QUOTIENT(((c_TMAP1OUT)-(0)),2),QUOTIENT((((A416)-(c_TFWD))*((c_TMAP1OUT)-(0))+IF(((c_TMAP1OUT)-(0))&gt;=0,1,-1)*QUOTIENT(((c_TMAP1IN)-(c_TFWD)),2)),((c_TMAP1IN)-(c_TFWD)))+(0)+IF(((c_TMAP1OUT)-(0))&gt;=0,IF(IF(o_WRAP=1,MOD(((c_TMAP1IN)-(c_TFWD))*(((A416)-(c_TFWD))*((c_TMAP1OUT)-(0))+IF(((c_TMAP1OUT)-(0))&gt;=0,1,-1)*QUOTIENT(((c_TMAP1IN)-(c_TFWD)),2))+2147483648,4294967296)-2147483648,((c_TMAP1IN)-(c_TFWD))*(((A416)-(c_TFWD))*((c_TMAP1OUT)-(0))+IF(((c_TMAP1OUT)-(0))&gt;=0,1,-1)*QUOTIENT(((c_TMAP1IN)-(c_TFWD)),2)))&lt;0,-1,0),IF(IF(o_WRAP=1,MOD(((c_TMAP1IN)-(c_TFWD))*(((A416)-(c_TFWD))*((c_TMAP1OUT)-(0))+IF(((c_TMAP1OUT)-(0))&gt;=0,1,-1)*QUOTIENT(((c_TMAP1IN)-(c_TFWD)),2))+2147483648,4294967296)-2147483648,((c_TMAP1IN)-(c_TFWD))*(((A416)-(c_TFWD))*((c_TMAP1OUT)-(0))+IF(((c_TMAP1OUT)-(0))&gt;=0,1,-1)*QUOTIENT(((c_TMAP1IN)-(c_TFWD)),2)))&gt;=0,1,0)))</f>
        <v>312</v>
      </c>
      <c r="E416" s="7" t="n">
        <f aca="false">IF(((c_TMAP2IN)-(c_TMAP1IN))=0,(c_TMAP1OUT)+QUOTIENT(((c_TMAP2OUT)-(c_TMAP1OUT)),2),QUOTIENT((((A416)-(c_TMAP1IN))*((c_TMAP2OUT)-(c_TMAP1OUT))+IF(((c_TMAP2OUT)-(c_TMAP1OUT))&gt;=0,1,-1)*QUOTIENT(((c_TMAP2IN)-(c_TMAP1IN)),2)),((c_TMAP2IN)-(c_TMAP1IN)))+(c_TMAP1OUT)+IF(((c_TMAP2OUT)-(c_TMAP1OUT))&gt;=0,IF(IF(o_WRAP=1,MOD(((c_TMAP2IN)-(c_TMAP1IN))*(((A416)-(c_TMAP1IN))*((c_TMAP2OUT)-(c_TMAP1OUT))+IF(((c_TMAP2OUT)-(c_TMAP1OUT))&gt;=0,1,-1)*QUOTIENT(((c_TMAP2IN)-(c_TMAP1IN)),2))+2147483648,4294967296)-2147483648,((c_TMAP2IN)-(c_TMAP1IN))*(((A416)-(c_TMAP1IN))*((c_TMAP2OUT)-(c_TMAP1OUT))+IF(((c_TMAP2OUT)-(c_TMAP1OUT))&gt;=0,1,-1)*QUOTIENT(((c_TMAP2IN)-(c_TMAP1IN)),2)))&lt;0,-1,0),IF(IF(o_WRAP=1,MOD(((c_TMAP2IN)-(c_TMAP1IN))*(((A416)-(c_TMAP1IN))*((c_TMAP2OUT)-(c_TMAP1OUT))+IF(((c_TMAP2OUT)-(c_TMAP1OUT))&gt;=0,1,-1)*QUOTIENT(((c_TMAP2IN)-(c_TMAP1IN)),2))+2147483648,4294967296)-2147483648,((c_TMAP2IN)-(c_TMAP1IN))*(((A416)-(c_TMAP1IN))*((c_TMAP2OUT)-(c_TMAP1OUT))+IF(((c_TMAP2OUT)-(c_TMAP1OUT))&gt;=0,1,-1)*QUOTIENT(((c_TMAP2IN)-(c_TMAP1IN)),2)))&gt;=0,1,0)))</f>
        <v>194</v>
      </c>
      <c r="F416" s="7" t="n">
        <f aca="false">IF(((c_TMAP3IN)-(c_TMAP2IN))=0,(c_TMAP2OUT)+QUOTIENT(((c_TMAP3OUT)-(c_TMAP2OUT)),2),QUOTIENT((((A416)-(c_TMAP2IN))*((c_TMAP3OUT)-(c_TMAP2OUT))+IF(((c_TMAP3OUT)-(c_TMAP2OUT))&gt;=0,1,-1)*QUOTIENT(((c_TMAP3IN)-(c_TMAP2IN)),2)),((c_TMAP3IN)-(c_TMAP2IN)))+(c_TMAP2OUT)+IF(((c_TMAP3OUT)-(c_TMAP2OUT))&gt;=0,IF(IF(o_WRAP=1,MOD(((c_TMAP3IN)-(c_TMAP2IN))*(((A416)-(c_TMAP2IN))*((c_TMAP3OUT)-(c_TMAP2OUT))+IF(((c_TMAP3OUT)-(c_TMAP2OUT))&gt;=0,1,-1)*QUOTIENT(((c_TMAP3IN)-(c_TMAP2IN)),2))+2147483648,4294967296)-2147483648,((c_TMAP3IN)-(c_TMAP2IN))*(((A416)-(c_TMAP2IN))*((c_TMAP3OUT)-(c_TMAP2OUT))+IF(((c_TMAP3OUT)-(c_TMAP2OUT))&gt;=0,1,-1)*QUOTIENT(((c_TMAP3IN)-(c_TMAP2IN)),2)))&lt;0,-1,0),IF(IF(o_WRAP=1,MOD(((c_TMAP3IN)-(c_TMAP2IN))*(((A416)-(c_TMAP2IN))*((c_TMAP3OUT)-(c_TMAP2OUT))+IF(((c_TMAP3OUT)-(c_TMAP2OUT))&gt;=0,1,-1)*QUOTIENT(((c_TMAP3IN)-(c_TMAP2IN)),2))+2147483648,4294967296)-2147483648,((c_TMAP3IN)-(c_TMAP2IN))*(((A416)-(c_TMAP2IN))*((c_TMAP3OUT)-(c_TMAP2OUT))+IF(((c_TMAP3OUT)-(c_TMAP2OUT))&gt;=0,1,-1)*QUOTIENT(((c_TMAP3IN)-(c_TMAP2IN)),2)))&gt;=0,1,0)))</f>
        <v>243</v>
      </c>
      <c r="G416" s="7" t="n">
        <f aca="false">IF(((1000)-(c_TMAP3IN))=0,(c_TMAP3OUT)+QUOTIENT(((1000)-(c_TMAP3OUT)),2),QUOTIENT((((A416)-(c_TMAP3IN))*((1000)-(c_TMAP3OUT))+IF(((1000)-(c_TMAP3OUT))&gt;=0,1,-1)*QUOTIENT(((1000)-(c_TMAP3IN)),2)),((1000)-(c_TMAP3IN)))+(c_TMAP3OUT)+IF(((1000)-(c_TMAP3OUT))&gt;=0,IF(IF(o_WRAP=1,MOD(((1000)-(c_TMAP3IN))*(((A416)-(c_TMAP3IN))*((1000)-(c_TMAP3OUT))+IF(((1000)-(c_TMAP3OUT))&gt;=0,1,-1)*QUOTIENT(((1000)-(c_TMAP3IN)),2))+2147483648,4294967296)-2147483648,((1000)-(c_TMAP3IN))*(((A416)-(c_TMAP3IN))*((1000)-(c_TMAP3OUT))+IF(((1000)-(c_TMAP3OUT))&gt;=0,1,-1)*QUOTIENT(((1000)-(c_TMAP3IN)),2)))&lt;0,-1,0),IF(IF(o_WRAP=1,MOD(((1000)-(c_TMAP3IN))*(((A416)-(c_TMAP3IN))*((1000)-(c_TMAP3OUT))+IF(((1000)-(c_TMAP3OUT))&gt;=0,1,-1)*QUOTIENT(((1000)-(c_TMAP3IN)),2))+2147483648,4294967296)-2147483648,((1000)-(c_TMAP3IN))*(((A416)-(c_TMAP3IN))*((1000)-(c_TMAP3OUT))+IF(((1000)-(c_TMAP3OUT))&gt;=0,1,-1)*QUOTIENT(((1000)-(c_TMAP3IN)),2)))&gt;=0,1,0)))</f>
        <v>275</v>
      </c>
      <c r="H416" s="7" t="str">
        <f aca="false">IF(A416&gt;=c_TFWD,IF(AND(A416&gt;=c_TMAP3IN,c_TMAP3IN&lt;1000),"Seg4 map3-100%",IF(AND(A416&gt;=c_TMAP2IN,c_TMAP3IN&gt;c_TMAP2IN),"Seg3 map2-map3",IF(AND(A416&gt;=c_TMAP1IN,c_TMAP2IN&gt;c_TMAP1IN),"Seg2 map1-map2","Seg1 TFWD-map1"))),IF(AND(A416=0,c_TCREEP&gt;0),"Creep",IF(AND(A416&lt;=c_TRNGMIN,A416&gt;=c_TRNGMAX,c_TRNGMIN-c_TRNGMAX&lt;&gt;0),"Regen ramp","Coast (0)")))</f>
        <v>Seg4 map3-100%</v>
      </c>
      <c r="I416" s="7" t="n">
        <f aca="false">IF(A416&gt;=c_TFWD,IF(AND(A416&gt;=c_TMAP3IN,c_TMAP3IN&lt;1000),G416,IF(AND(A416&gt;=c_TMAP2IN,c_TMAP3IN&gt;c_TMAP2IN),F416,IF(AND(A416&gt;=c_TMAP1IN,c_TMAP2IN&gt;c_TMAP1IN),E416,D416))),C416)</f>
        <v>275</v>
      </c>
      <c r="J416" s="7" t="str">
        <f aca="false">IF(I416&lt;-1090,"TOO LOW",IF(I416&gt;1090,"TOO HIGH",""))</f>
        <v/>
      </c>
      <c r="K416" s="15" t="n">
        <f aca="false">IF(J416&lt;&gt;"",0,IF(I416&gt;979,1000,I416))</f>
        <v>275</v>
      </c>
      <c r="L416" s="7" t="n">
        <f aca="false">K416/10</f>
        <v>27.5</v>
      </c>
    </row>
    <row r="417" customFormat="false" ht="15" hidden="false" customHeight="false" outlineLevel="0" collapsed="false">
      <c r="A417" s="7" t="n">
        <v>412</v>
      </c>
      <c r="B417" s="7" t="n">
        <f aca="false">A417/10</f>
        <v>41.2</v>
      </c>
      <c r="C417" s="7" t="n">
        <f aca="false">IF(AND(A417=0,c_TCREEP&gt;0),10*c_TCREEP,IF(AND(A417&lt;=c_TRNGMIN,A417&gt;=c_TRNGMAX,c_TRNGMIN-c_TRNGMAX&lt;&gt;0),-10*c_TMINRN+QUOTIENT((c_TMAXRN-c_TMINRN)*(100-QUOTIENT((A417-c_TRNGMAX)*100,c_TRNGMIN-c_TRNGMAX)),-10),0))</f>
        <v>0</v>
      </c>
      <c r="D417" s="7" t="n">
        <f aca="false">IF(((c_TMAP1IN)-(c_TFWD))=0,(0)+QUOTIENT(((c_TMAP1OUT)-(0)),2),QUOTIENT((((A417)-(c_TFWD))*((c_TMAP1OUT)-(0))+IF(((c_TMAP1OUT)-(0))&gt;=0,1,-1)*QUOTIENT(((c_TMAP1IN)-(c_TFWD)),2)),((c_TMAP1IN)-(c_TFWD)))+(0)+IF(((c_TMAP1OUT)-(0))&gt;=0,IF(IF(o_WRAP=1,MOD(((c_TMAP1IN)-(c_TFWD))*(((A417)-(c_TFWD))*((c_TMAP1OUT)-(0))+IF(((c_TMAP1OUT)-(0))&gt;=0,1,-1)*QUOTIENT(((c_TMAP1IN)-(c_TFWD)),2))+2147483648,4294967296)-2147483648,((c_TMAP1IN)-(c_TFWD))*(((A417)-(c_TFWD))*((c_TMAP1OUT)-(0))+IF(((c_TMAP1OUT)-(0))&gt;=0,1,-1)*QUOTIENT(((c_TMAP1IN)-(c_TFWD)),2)))&lt;0,-1,0),IF(IF(o_WRAP=1,MOD(((c_TMAP1IN)-(c_TFWD))*(((A417)-(c_TFWD))*((c_TMAP1OUT)-(0))+IF(((c_TMAP1OUT)-(0))&gt;=0,1,-1)*QUOTIENT(((c_TMAP1IN)-(c_TFWD)),2))+2147483648,4294967296)-2147483648,((c_TMAP1IN)-(c_TFWD))*(((A417)-(c_TFWD))*((c_TMAP1OUT)-(0))+IF(((c_TMAP1OUT)-(0))&gt;=0,1,-1)*QUOTIENT(((c_TMAP1IN)-(c_TFWD)),2)))&gt;=0,1,0)))</f>
        <v>313</v>
      </c>
      <c r="E417" s="7" t="n">
        <f aca="false">IF(((c_TMAP2IN)-(c_TMAP1IN))=0,(c_TMAP1OUT)+QUOTIENT(((c_TMAP2OUT)-(c_TMAP1OUT)),2),QUOTIENT((((A417)-(c_TMAP1IN))*((c_TMAP2OUT)-(c_TMAP1OUT))+IF(((c_TMAP2OUT)-(c_TMAP1OUT))&gt;=0,1,-1)*QUOTIENT(((c_TMAP2IN)-(c_TMAP1IN)),2)),((c_TMAP2IN)-(c_TMAP1IN)))+(c_TMAP1OUT)+IF(((c_TMAP2OUT)-(c_TMAP1OUT))&gt;=0,IF(IF(o_WRAP=1,MOD(((c_TMAP2IN)-(c_TMAP1IN))*(((A417)-(c_TMAP1IN))*((c_TMAP2OUT)-(c_TMAP1OUT))+IF(((c_TMAP2OUT)-(c_TMAP1OUT))&gt;=0,1,-1)*QUOTIENT(((c_TMAP2IN)-(c_TMAP1IN)),2))+2147483648,4294967296)-2147483648,((c_TMAP2IN)-(c_TMAP1IN))*(((A417)-(c_TMAP1IN))*((c_TMAP2OUT)-(c_TMAP1OUT))+IF(((c_TMAP2OUT)-(c_TMAP1OUT))&gt;=0,1,-1)*QUOTIENT(((c_TMAP2IN)-(c_TMAP1IN)),2)))&lt;0,-1,0),IF(IF(o_WRAP=1,MOD(((c_TMAP2IN)-(c_TMAP1IN))*(((A417)-(c_TMAP1IN))*((c_TMAP2OUT)-(c_TMAP1OUT))+IF(((c_TMAP2OUT)-(c_TMAP1OUT))&gt;=0,1,-1)*QUOTIENT(((c_TMAP2IN)-(c_TMAP1IN)),2))+2147483648,4294967296)-2147483648,((c_TMAP2IN)-(c_TMAP1IN))*(((A417)-(c_TMAP1IN))*((c_TMAP2OUT)-(c_TMAP1OUT))+IF(((c_TMAP2OUT)-(c_TMAP1OUT))&gt;=0,1,-1)*QUOTIENT(((c_TMAP2IN)-(c_TMAP1IN)),2)))&gt;=0,1,0)))</f>
        <v>195</v>
      </c>
      <c r="F417" s="7" t="n">
        <f aca="false">IF(((c_TMAP3IN)-(c_TMAP2IN))=0,(c_TMAP2OUT)+QUOTIENT(((c_TMAP3OUT)-(c_TMAP2OUT)),2),QUOTIENT((((A417)-(c_TMAP2IN))*((c_TMAP3OUT)-(c_TMAP2OUT))+IF(((c_TMAP3OUT)-(c_TMAP2OUT))&gt;=0,1,-1)*QUOTIENT(((c_TMAP3IN)-(c_TMAP2IN)),2)),((c_TMAP3IN)-(c_TMAP2IN)))+(c_TMAP2OUT)+IF(((c_TMAP3OUT)-(c_TMAP2OUT))&gt;=0,IF(IF(o_WRAP=1,MOD(((c_TMAP3IN)-(c_TMAP2IN))*(((A417)-(c_TMAP2IN))*((c_TMAP3OUT)-(c_TMAP2OUT))+IF(((c_TMAP3OUT)-(c_TMAP2OUT))&gt;=0,1,-1)*QUOTIENT(((c_TMAP3IN)-(c_TMAP2IN)),2))+2147483648,4294967296)-2147483648,((c_TMAP3IN)-(c_TMAP2IN))*(((A417)-(c_TMAP2IN))*((c_TMAP3OUT)-(c_TMAP2OUT))+IF(((c_TMAP3OUT)-(c_TMAP2OUT))&gt;=0,1,-1)*QUOTIENT(((c_TMAP3IN)-(c_TMAP2IN)),2)))&lt;0,-1,0),IF(IF(o_WRAP=1,MOD(((c_TMAP3IN)-(c_TMAP2IN))*(((A417)-(c_TMAP2IN))*((c_TMAP3OUT)-(c_TMAP2OUT))+IF(((c_TMAP3OUT)-(c_TMAP2OUT))&gt;=0,1,-1)*QUOTIENT(((c_TMAP3IN)-(c_TMAP2IN)),2))+2147483648,4294967296)-2147483648,((c_TMAP3IN)-(c_TMAP2IN))*(((A417)-(c_TMAP2IN))*((c_TMAP3OUT)-(c_TMAP2OUT))+IF(((c_TMAP3OUT)-(c_TMAP2OUT))&gt;=0,1,-1)*QUOTIENT(((c_TMAP3IN)-(c_TMAP2IN)),2)))&gt;=0,1,0)))</f>
        <v>243</v>
      </c>
      <c r="G417" s="7" t="n">
        <f aca="false">IF(((1000)-(c_TMAP3IN))=0,(c_TMAP3OUT)+QUOTIENT(((1000)-(c_TMAP3OUT)),2),QUOTIENT((((A417)-(c_TMAP3IN))*((1000)-(c_TMAP3OUT))+IF(((1000)-(c_TMAP3OUT))&gt;=0,1,-1)*QUOTIENT(((1000)-(c_TMAP3IN)),2)),((1000)-(c_TMAP3IN)))+(c_TMAP3OUT)+IF(((1000)-(c_TMAP3OUT))&gt;=0,IF(IF(o_WRAP=1,MOD(((1000)-(c_TMAP3IN))*(((A417)-(c_TMAP3IN))*((1000)-(c_TMAP3OUT))+IF(((1000)-(c_TMAP3OUT))&gt;=0,1,-1)*QUOTIENT(((1000)-(c_TMAP3IN)),2))+2147483648,4294967296)-2147483648,((1000)-(c_TMAP3IN))*(((A417)-(c_TMAP3IN))*((1000)-(c_TMAP3OUT))+IF(((1000)-(c_TMAP3OUT))&gt;=0,1,-1)*QUOTIENT(((1000)-(c_TMAP3IN)),2)))&lt;0,-1,0),IF(IF(o_WRAP=1,MOD(((1000)-(c_TMAP3IN))*(((A417)-(c_TMAP3IN))*((1000)-(c_TMAP3OUT))+IF(((1000)-(c_TMAP3OUT))&gt;=0,1,-1)*QUOTIENT(((1000)-(c_TMAP3IN)),2))+2147483648,4294967296)-2147483648,((1000)-(c_TMAP3IN))*(((A417)-(c_TMAP3IN))*((1000)-(c_TMAP3OUT))+IF(((1000)-(c_TMAP3OUT))&gt;=0,1,-1)*QUOTIENT(((1000)-(c_TMAP3IN)),2)))&gt;=0,1,0)))</f>
        <v>276</v>
      </c>
      <c r="H417" s="7" t="str">
        <f aca="false">IF(A417&gt;=c_TFWD,IF(AND(A417&gt;=c_TMAP3IN,c_TMAP3IN&lt;1000),"Seg4 map3-100%",IF(AND(A417&gt;=c_TMAP2IN,c_TMAP3IN&gt;c_TMAP2IN),"Seg3 map2-map3",IF(AND(A417&gt;=c_TMAP1IN,c_TMAP2IN&gt;c_TMAP1IN),"Seg2 map1-map2","Seg1 TFWD-map1"))),IF(AND(A417=0,c_TCREEP&gt;0),"Creep",IF(AND(A417&lt;=c_TRNGMIN,A417&gt;=c_TRNGMAX,c_TRNGMIN-c_TRNGMAX&lt;&gt;0),"Regen ramp","Coast (0)")))</f>
        <v>Seg4 map3-100%</v>
      </c>
      <c r="I417" s="7" t="n">
        <f aca="false">IF(A417&gt;=c_TFWD,IF(AND(A417&gt;=c_TMAP3IN,c_TMAP3IN&lt;1000),G417,IF(AND(A417&gt;=c_TMAP2IN,c_TMAP3IN&gt;c_TMAP2IN),F417,IF(AND(A417&gt;=c_TMAP1IN,c_TMAP2IN&gt;c_TMAP1IN),E417,D417))),C417)</f>
        <v>276</v>
      </c>
      <c r="J417" s="7" t="str">
        <f aca="false">IF(I417&lt;-1090,"TOO LOW",IF(I417&gt;1090,"TOO HIGH",""))</f>
        <v/>
      </c>
      <c r="K417" s="15" t="n">
        <f aca="false">IF(J417&lt;&gt;"",0,IF(I417&gt;979,1000,I417))</f>
        <v>276</v>
      </c>
      <c r="L417" s="7" t="n">
        <f aca="false">K417/10</f>
        <v>27.6</v>
      </c>
    </row>
    <row r="418" customFormat="false" ht="15" hidden="false" customHeight="false" outlineLevel="0" collapsed="false">
      <c r="A418" s="7" t="n">
        <v>413</v>
      </c>
      <c r="B418" s="7" t="n">
        <f aca="false">A418/10</f>
        <v>41.3</v>
      </c>
      <c r="C418" s="7" t="n">
        <f aca="false">IF(AND(A418=0,c_TCREEP&gt;0),10*c_TCREEP,IF(AND(A418&lt;=c_TRNGMIN,A418&gt;=c_TRNGMAX,c_TRNGMIN-c_TRNGMAX&lt;&gt;0),-10*c_TMINRN+QUOTIENT((c_TMAXRN-c_TMINRN)*(100-QUOTIENT((A418-c_TRNGMAX)*100,c_TRNGMIN-c_TRNGMAX)),-10),0))</f>
        <v>0</v>
      </c>
      <c r="D418" s="7" t="n">
        <f aca="false">IF(((c_TMAP1IN)-(c_TFWD))=0,(0)+QUOTIENT(((c_TMAP1OUT)-(0)),2),QUOTIENT((((A418)-(c_TFWD))*((c_TMAP1OUT)-(0))+IF(((c_TMAP1OUT)-(0))&gt;=0,1,-1)*QUOTIENT(((c_TMAP1IN)-(c_TFWD)),2)),((c_TMAP1IN)-(c_TFWD)))+(0)+IF(((c_TMAP1OUT)-(0))&gt;=0,IF(IF(o_WRAP=1,MOD(((c_TMAP1IN)-(c_TFWD))*(((A418)-(c_TFWD))*((c_TMAP1OUT)-(0))+IF(((c_TMAP1OUT)-(0))&gt;=0,1,-1)*QUOTIENT(((c_TMAP1IN)-(c_TFWD)),2))+2147483648,4294967296)-2147483648,((c_TMAP1IN)-(c_TFWD))*(((A418)-(c_TFWD))*((c_TMAP1OUT)-(0))+IF(((c_TMAP1OUT)-(0))&gt;=0,1,-1)*QUOTIENT(((c_TMAP1IN)-(c_TFWD)),2)))&lt;0,-1,0),IF(IF(o_WRAP=1,MOD(((c_TMAP1IN)-(c_TFWD))*(((A418)-(c_TFWD))*((c_TMAP1OUT)-(0))+IF(((c_TMAP1OUT)-(0))&gt;=0,1,-1)*QUOTIENT(((c_TMAP1IN)-(c_TFWD)),2))+2147483648,4294967296)-2147483648,((c_TMAP1IN)-(c_TFWD))*(((A418)-(c_TFWD))*((c_TMAP1OUT)-(0))+IF(((c_TMAP1OUT)-(0))&gt;=0,1,-1)*QUOTIENT(((c_TMAP1IN)-(c_TFWD)),2)))&gt;=0,1,0)))</f>
        <v>313</v>
      </c>
      <c r="E418" s="7" t="n">
        <f aca="false">IF(((c_TMAP2IN)-(c_TMAP1IN))=0,(c_TMAP1OUT)+QUOTIENT(((c_TMAP2OUT)-(c_TMAP1OUT)),2),QUOTIENT((((A418)-(c_TMAP1IN))*((c_TMAP2OUT)-(c_TMAP1OUT))+IF(((c_TMAP2OUT)-(c_TMAP1OUT))&gt;=0,1,-1)*QUOTIENT(((c_TMAP2IN)-(c_TMAP1IN)),2)),((c_TMAP2IN)-(c_TMAP1IN)))+(c_TMAP1OUT)+IF(((c_TMAP2OUT)-(c_TMAP1OUT))&gt;=0,IF(IF(o_WRAP=1,MOD(((c_TMAP2IN)-(c_TMAP1IN))*(((A418)-(c_TMAP1IN))*((c_TMAP2OUT)-(c_TMAP1OUT))+IF(((c_TMAP2OUT)-(c_TMAP1OUT))&gt;=0,1,-1)*QUOTIENT(((c_TMAP2IN)-(c_TMAP1IN)),2))+2147483648,4294967296)-2147483648,((c_TMAP2IN)-(c_TMAP1IN))*(((A418)-(c_TMAP1IN))*((c_TMAP2OUT)-(c_TMAP1OUT))+IF(((c_TMAP2OUT)-(c_TMAP1OUT))&gt;=0,1,-1)*QUOTIENT(((c_TMAP2IN)-(c_TMAP1IN)),2)))&lt;0,-1,0),IF(IF(o_WRAP=1,MOD(((c_TMAP2IN)-(c_TMAP1IN))*(((A418)-(c_TMAP1IN))*((c_TMAP2OUT)-(c_TMAP1OUT))+IF(((c_TMAP2OUT)-(c_TMAP1OUT))&gt;=0,1,-1)*QUOTIENT(((c_TMAP2IN)-(c_TMAP1IN)),2))+2147483648,4294967296)-2147483648,((c_TMAP2IN)-(c_TMAP1IN))*(((A418)-(c_TMAP1IN))*((c_TMAP2OUT)-(c_TMAP1OUT))+IF(((c_TMAP2OUT)-(c_TMAP1OUT))&gt;=0,1,-1)*QUOTIENT(((c_TMAP2IN)-(c_TMAP1IN)),2)))&gt;=0,1,0)))</f>
        <v>195</v>
      </c>
      <c r="F418" s="7" t="n">
        <f aca="false">IF(((c_TMAP3IN)-(c_TMAP2IN))=0,(c_TMAP2OUT)+QUOTIENT(((c_TMAP3OUT)-(c_TMAP2OUT)),2),QUOTIENT((((A418)-(c_TMAP2IN))*((c_TMAP3OUT)-(c_TMAP2OUT))+IF(((c_TMAP3OUT)-(c_TMAP2OUT))&gt;=0,1,-1)*QUOTIENT(((c_TMAP3IN)-(c_TMAP2IN)),2)),((c_TMAP3IN)-(c_TMAP2IN)))+(c_TMAP2OUT)+IF(((c_TMAP3OUT)-(c_TMAP2OUT))&gt;=0,IF(IF(o_WRAP=1,MOD(((c_TMAP3IN)-(c_TMAP2IN))*(((A418)-(c_TMAP2IN))*((c_TMAP3OUT)-(c_TMAP2OUT))+IF(((c_TMAP3OUT)-(c_TMAP2OUT))&gt;=0,1,-1)*QUOTIENT(((c_TMAP3IN)-(c_TMAP2IN)),2))+2147483648,4294967296)-2147483648,((c_TMAP3IN)-(c_TMAP2IN))*(((A418)-(c_TMAP2IN))*((c_TMAP3OUT)-(c_TMAP2OUT))+IF(((c_TMAP3OUT)-(c_TMAP2OUT))&gt;=0,1,-1)*QUOTIENT(((c_TMAP3IN)-(c_TMAP2IN)),2)))&lt;0,-1,0),IF(IF(o_WRAP=1,MOD(((c_TMAP3IN)-(c_TMAP2IN))*(((A418)-(c_TMAP2IN))*((c_TMAP3OUT)-(c_TMAP2OUT))+IF(((c_TMAP3OUT)-(c_TMAP2OUT))&gt;=0,1,-1)*QUOTIENT(((c_TMAP3IN)-(c_TMAP2IN)),2))+2147483648,4294967296)-2147483648,((c_TMAP3IN)-(c_TMAP2IN))*(((A418)-(c_TMAP2IN))*((c_TMAP3OUT)-(c_TMAP2OUT))+IF(((c_TMAP3OUT)-(c_TMAP2OUT))&gt;=0,1,-1)*QUOTIENT(((c_TMAP3IN)-(c_TMAP2IN)),2)))&gt;=0,1,0)))</f>
        <v>244</v>
      </c>
      <c r="G418" s="7" t="n">
        <f aca="false">IF(((1000)-(c_TMAP3IN))=0,(c_TMAP3OUT)+QUOTIENT(((1000)-(c_TMAP3OUT)),2),QUOTIENT((((A418)-(c_TMAP3IN))*((1000)-(c_TMAP3OUT))+IF(((1000)-(c_TMAP3OUT))&gt;=0,1,-1)*QUOTIENT(((1000)-(c_TMAP3IN)),2)),((1000)-(c_TMAP3IN)))+(c_TMAP3OUT)+IF(((1000)-(c_TMAP3OUT))&gt;=0,IF(IF(o_WRAP=1,MOD(((1000)-(c_TMAP3IN))*(((A418)-(c_TMAP3IN))*((1000)-(c_TMAP3OUT))+IF(((1000)-(c_TMAP3OUT))&gt;=0,1,-1)*QUOTIENT(((1000)-(c_TMAP3IN)),2))+2147483648,4294967296)-2147483648,((1000)-(c_TMAP3IN))*(((A418)-(c_TMAP3IN))*((1000)-(c_TMAP3OUT))+IF(((1000)-(c_TMAP3OUT))&gt;=0,1,-1)*QUOTIENT(((1000)-(c_TMAP3IN)),2)))&lt;0,-1,0),IF(IF(o_WRAP=1,MOD(((1000)-(c_TMAP3IN))*(((A418)-(c_TMAP3IN))*((1000)-(c_TMAP3OUT))+IF(((1000)-(c_TMAP3OUT))&gt;=0,1,-1)*QUOTIENT(((1000)-(c_TMAP3IN)),2))+2147483648,4294967296)-2147483648,((1000)-(c_TMAP3IN))*(((A418)-(c_TMAP3IN))*((1000)-(c_TMAP3OUT))+IF(((1000)-(c_TMAP3OUT))&gt;=0,1,-1)*QUOTIENT(((1000)-(c_TMAP3IN)),2)))&gt;=0,1,0)))</f>
        <v>278</v>
      </c>
      <c r="H418" s="7" t="str">
        <f aca="false">IF(A418&gt;=c_TFWD,IF(AND(A418&gt;=c_TMAP3IN,c_TMAP3IN&lt;1000),"Seg4 map3-100%",IF(AND(A418&gt;=c_TMAP2IN,c_TMAP3IN&gt;c_TMAP2IN),"Seg3 map2-map3",IF(AND(A418&gt;=c_TMAP1IN,c_TMAP2IN&gt;c_TMAP1IN),"Seg2 map1-map2","Seg1 TFWD-map1"))),IF(AND(A418=0,c_TCREEP&gt;0),"Creep",IF(AND(A418&lt;=c_TRNGMIN,A418&gt;=c_TRNGMAX,c_TRNGMIN-c_TRNGMAX&lt;&gt;0),"Regen ramp","Coast (0)")))</f>
        <v>Seg4 map3-100%</v>
      </c>
      <c r="I418" s="7" t="n">
        <f aca="false">IF(A418&gt;=c_TFWD,IF(AND(A418&gt;=c_TMAP3IN,c_TMAP3IN&lt;1000),G418,IF(AND(A418&gt;=c_TMAP2IN,c_TMAP3IN&gt;c_TMAP2IN),F418,IF(AND(A418&gt;=c_TMAP1IN,c_TMAP2IN&gt;c_TMAP1IN),E418,D418))),C418)</f>
        <v>278</v>
      </c>
      <c r="J418" s="7" t="str">
        <f aca="false">IF(I418&lt;-1090,"TOO LOW",IF(I418&gt;1090,"TOO HIGH",""))</f>
        <v/>
      </c>
      <c r="K418" s="15" t="n">
        <f aca="false">IF(J418&lt;&gt;"",0,IF(I418&gt;979,1000,I418))</f>
        <v>278</v>
      </c>
      <c r="L418" s="7" t="n">
        <f aca="false">K418/10</f>
        <v>27.8</v>
      </c>
    </row>
    <row r="419" customFormat="false" ht="15" hidden="false" customHeight="false" outlineLevel="0" collapsed="false">
      <c r="A419" s="7" t="n">
        <v>414</v>
      </c>
      <c r="B419" s="7" t="n">
        <f aca="false">A419/10</f>
        <v>41.4</v>
      </c>
      <c r="C419" s="7" t="n">
        <f aca="false">IF(AND(A419=0,c_TCREEP&gt;0),10*c_TCREEP,IF(AND(A419&lt;=c_TRNGMIN,A419&gt;=c_TRNGMAX,c_TRNGMIN-c_TRNGMAX&lt;&gt;0),-10*c_TMINRN+QUOTIENT((c_TMAXRN-c_TMINRN)*(100-QUOTIENT((A419-c_TRNGMAX)*100,c_TRNGMIN-c_TRNGMAX)),-10),0))</f>
        <v>0</v>
      </c>
      <c r="D419" s="7" t="n">
        <f aca="false">IF(((c_TMAP1IN)-(c_TFWD))=0,(0)+QUOTIENT(((c_TMAP1OUT)-(0)),2),QUOTIENT((((A419)-(c_TFWD))*((c_TMAP1OUT)-(0))+IF(((c_TMAP1OUT)-(0))&gt;=0,1,-1)*QUOTIENT(((c_TMAP1IN)-(c_TFWD)),2)),((c_TMAP1IN)-(c_TFWD)))+(0)+IF(((c_TMAP1OUT)-(0))&gt;=0,IF(IF(o_WRAP=1,MOD(((c_TMAP1IN)-(c_TFWD))*(((A419)-(c_TFWD))*((c_TMAP1OUT)-(0))+IF(((c_TMAP1OUT)-(0))&gt;=0,1,-1)*QUOTIENT(((c_TMAP1IN)-(c_TFWD)),2))+2147483648,4294967296)-2147483648,((c_TMAP1IN)-(c_TFWD))*(((A419)-(c_TFWD))*((c_TMAP1OUT)-(0))+IF(((c_TMAP1OUT)-(0))&gt;=0,1,-1)*QUOTIENT(((c_TMAP1IN)-(c_TFWD)),2)))&lt;0,-1,0),IF(IF(o_WRAP=1,MOD(((c_TMAP1IN)-(c_TFWD))*(((A419)-(c_TFWD))*((c_TMAP1OUT)-(0))+IF(((c_TMAP1OUT)-(0))&gt;=0,1,-1)*QUOTIENT(((c_TMAP1IN)-(c_TFWD)),2))+2147483648,4294967296)-2147483648,((c_TMAP1IN)-(c_TFWD))*(((A419)-(c_TFWD))*((c_TMAP1OUT)-(0))+IF(((c_TMAP1OUT)-(0))&gt;=0,1,-1)*QUOTIENT(((c_TMAP1IN)-(c_TFWD)),2)))&gt;=0,1,0)))</f>
        <v>314</v>
      </c>
      <c r="E419" s="7" t="n">
        <f aca="false">IF(((c_TMAP2IN)-(c_TMAP1IN))=0,(c_TMAP1OUT)+QUOTIENT(((c_TMAP2OUT)-(c_TMAP1OUT)),2),QUOTIENT((((A419)-(c_TMAP1IN))*((c_TMAP2OUT)-(c_TMAP1OUT))+IF(((c_TMAP2OUT)-(c_TMAP1OUT))&gt;=0,1,-1)*QUOTIENT(((c_TMAP2IN)-(c_TMAP1IN)),2)),((c_TMAP2IN)-(c_TMAP1IN)))+(c_TMAP1OUT)+IF(((c_TMAP2OUT)-(c_TMAP1OUT))&gt;=0,IF(IF(o_WRAP=1,MOD(((c_TMAP2IN)-(c_TMAP1IN))*(((A419)-(c_TMAP1IN))*((c_TMAP2OUT)-(c_TMAP1OUT))+IF(((c_TMAP2OUT)-(c_TMAP1OUT))&gt;=0,1,-1)*QUOTIENT(((c_TMAP2IN)-(c_TMAP1IN)),2))+2147483648,4294967296)-2147483648,((c_TMAP2IN)-(c_TMAP1IN))*(((A419)-(c_TMAP1IN))*((c_TMAP2OUT)-(c_TMAP1OUT))+IF(((c_TMAP2OUT)-(c_TMAP1OUT))&gt;=0,1,-1)*QUOTIENT(((c_TMAP2IN)-(c_TMAP1IN)),2)))&lt;0,-1,0),IF(IF(o_WRAP=1,MOD(((c_TMAP2IN)-(c_TMAP1IN))*(((A419)-(c_TMAP1IN))*((c_TMAP2OUT)-(c_TMAP1OUT))+IF(((c_TMAP2OUT)-(c_TMAP1OUT))&gt;=0,1,-1)*QUOTIENT(((c_TMAP2IN)-(c_TMAP1IN)),2))+2147483648,4294967296)-2147483648,((c_TMAP2IN)-(c_TMAP1IN))*(((A419)-(c_TMAP1IN))*((c_TMAP2OUT)-(c_TMAP1OUT))+IF(((c_TMAP2OUT)-(c_TMAP1OUT))&gt;=0,1,-1)*QUOTIENT(((c_TMAP2IN)-(c_TMAP1IN)),2)))&gt;=0,1,0)))</f>
        <v>196</v>
      </c>
      <c r="F419" s="7" t="n">
        <f aca="false">IF(((c_TMAP3IN)-(c_TMAP2IN))=0,(c_TMAP2OUT)+QUOTIENT(((c_TMAP3OUT)-(c_TMAP2OUT)),2),QUOTIENT((((A419)-(c_TMAP2IN))*((c_TMAP3OUT)-(c_TMAP2OUT))+IF(((c_TMAP3OUT)-(c_TMAP2OUT))&gt;=0,1,-1)*QUOTIENT(((c_TMAP3IN)-(c_TMAP2IN)),2)),((c_TMAP3IN)-(c_TMAP2IN)))+(c_TMAP2OUT)+IF(((c_TMAP3OUT)-(c_TMAP2OUT))&gt;=0,IF(IF(o_WRAP=1,MOD(((c_TMAP3IN)-(c_TMAP2IN))*(((A419)-(c_TMAP2IN))*((c_TMAP3OUT)-(c_TMAP2OUT))+IF(((c_TMAP3OUT)-(c_TMAP2OUT))&gt;=0,1,-1)*QUOTIENT(((c_TMAP3IN)-(c_TMAP2IN)),2))+2147483648,4294967296)-2147483648,((c_TMAP3IN)-(c_TMAP2IN))*(((A419)-(c_TMAP2IN))*((c_TMAP3OUT)-(c_TMAP2OUT))+IF(((c_TMAP3OUT)-(c_TMAP2OUT))&gt;=0,1,-1)*QUOTIENT(((c_TMAP3IN)-(c_TMAP2IN)),2)))&lt;0,-1,0),IF(IF(o_WRAP=1,MOD(((c_TMAP3IN)-(c_TMAP2IN))*(((A419)-(c_TMAP2IN))*((c_TMAP3OUT)-(c_TMAP2OUT))+IF(((c_TMAP3OUT)-(c_TMAP2OUT))&gt;=0,1,-1)*QUOTIENT(((c_TMAP3IN)-(c_TMAP2IN)),2))+2147483648,4294967296)-2147483648,((c_TMAP3IN)-(c_TMAP2IN))*(((A419)-(c_TMAP2IN))*((c_TMAP3OUT)-(c_TMAP2OUT))+IF(((c_TMAP3OUT)-(c_TMAP2OUT))&gt;=0,1,-1)*QUOTIENT(((c_TMAP3IN)-(c_TMAP2IN)),2)))&gt;=0,1,0)))</f>
        <v>245</v>
      </c>
      <c r="G419" s="7" t="n">
        <f aca="false">IF(((1000)-(c_TMAP3IN))=0,(c_TMAP3OUT)+QUOTIENT(((1000)-(c_TMAP3OUT)),2),QUOTIENT((((A419)-(c_TMAP3IN))*((1000)-(c_TMAP3OUT))+IF(((1000)-(c_TMAP3OUT))&gt;=0,1,-1)*QUOTIENT(((1000)-(c_TMAP3IN)),2)),((1000)-(c_TMAP3IN)))+(c_TMAP3OUT)+IF(((1000)-(c_TMAP3OUT))&gt;=0,IF(IF(o_WRAP=1,MOD(((1000)-(c_TMAP3IN))*(((A419)-(c_TMAP3IN))*((1000)-(c_TMAP3OUT))+IF(((1000)-(c_TMAP3OUT))&gt;=0,1,-1)*QUOTIENT(((1000)-(c_TMAP3IN)),2))+2147483648,4294967296)-2147483648,((1000)-(c_TMAP3IN))*(((A419)-(c_TMAP3IN))*((1000)-(c_TMAP3OUT))+IF(((1000)-(c_TMAP3OUT))&gt;=0,1,-1)*QUOTIENT(((1000)-(c_TMAP3IN)),2)))&lt;0,-1,0),IF(IF(o_WRAP=1,MOD(((1000)-(c_TMAP3IN))*(((A419)-(c_TMAP3IN))*((1000)-(c_TMAP3OUT))+IF(((1000)-(c_TMAP3OUT))&gt;=0,1,-1)*QUOTIENT(((1000)-(c_TMAP3IN)),2))+2147483648,4294967296)-2147483648,((1000)-(c_TMAP3IN))*(((A419)-(c_TMAP3IN))*((1000)-(c_TMAP3OUT))+IF(((1000)-(c_TMAP3OUT))&gt;=0,1,-1)*QUOTIENT(((1000)-(c_TMAP3IN)),2)))&gt;=0,1,0)))</f>
        <v>279</v>
      </c>
      <c r="H419" s="7" t="str">
        <f aca="false">IF(A419&gt;=c_TFWD,IF(AND(A419&gt;=c_TMAP3IN,c_TMAP3IN&lt;1000),"Seg4 map3-100%",IF(AND(A419&gt;=c_TMAP2IN,c_TMAP3IN&gt;c_TMAP2IN),"Seg3 map2-map3",IF(AND(A419&gt;=c_TMAP1IN,c_TMAP2IN&gt;c_TMAP1IN),"Seg2 map1-map2","Seg1 TFWD-map1"))),IF(AND(A419=0,c_TCREEP&gt;0),"Creep",IF(AND(A419&lt;=c_TRNGMIN,A419&gt;=c_TRNGMAX,c_TRNGMIN-c_TRNGMAX&lt;&gt;0),"Regen ramp","Coast (0)")))</f>
        <v>Seg4 map3-100%</v>
      </c>
      <c r="I419" s="7" t="n">
        <f aca="false">IF(A419&gt;=c_TFWD,IF(AND(A419&gt;=c_TMAP3IN,c_TMAP3IN&lt;1000),G419,IF(AND(A419&gt;=c_TMAP2IN,c_TMAP3IN&gt;c_TMAP2IN),F419,IF(AND(A419&gt;=c_TMAP1IN,c_TMAP2IN&gt;c_TMAP1IN),E419,D419))),C419)</f>
        <v>279</v>
      </c>
      <c r="J419" s="7" t="str">
        <f aca="false">IF(I419&lt;-1090,"TOO LOW",IF(I419&gt;1090,"TOO HIGH",""))</f>
        <v/>
      </c>
      <c r="K419" s="15" t="n">
        <f aca="false">IF(J419&lt;&gt;"",0,IF(I419&gt;979,1000,I419))</f>
        <v>279</v>
      </c>
      <c r="L419" s="7" t="n">
        <f aca="false">K419/10</f>
        <v>27.9</v>
      </c>
    </row>
    <row r="420" customFormat="false" ht="15" hidden="false" customHeight="false" outlineLevel="0" collapsed="false">
      <c r="A420" s="7" t="n">
        <v>415</v>
      </c>
      <c r="B420" s="7" t="n">
        <f aca="false">A420/10</f>
        <v>41.5</v>
      </c>
      <c r="C420" s="7" t="n">
        <f aca="false">IF(AND(A420=0,c_TCREEP&gt;0),10*c_TCREEP,IF(AND(A420&lt;=c_TRNGMIN,A420&gt;=c_TRNGMAX,c_TRNGMIN-c_TRNGMAX&lt;&gt;0),-10*c_TMINRN+QUOTIENT((c_TMAXRN-c_TMINRN)*(100-QUOTIENT((A420-c_TRNGMAX)*100,c_TRNGMIN-c_TRNGMAX)),-10),0))</f>
        <v>0</v>
      </c>
      <c r="D420" s="7" t="n">
        <f aca="false">IF(((c_TMAP1IN)-(c_TFWD))=0,(0)+QUOTIENT(((c_TMAP1OUT)-(0)),2),QUOTIENT((((A420)-(c_TFWD))*((c_TMAP1OUT)-(0))+IF(((c_TMAP1OUT)-(0))&gt;=0,1,-1)*QUOTIENT(((c_TMAP1IN)-(c_TFWD)),2)),((c_TMAP1IN)-(c_TFWD)))+(0)+IF(((c_TMAP1OUT)-(0))&gt;=0,IF(IF(o_WRAP=1,MOD(((c_TMAP1IN)-(c_TFWD))*(((A420)-(c_TFWD))*((c_TMAP1OUT)-(0))+IF(((c_TMAP1OUT)-(0))&gt;=0,1,-1)*QUOTIENT(((c_TMAP1IN)-(c_TFWD)),2))+2147483648,4294967296)-2147483648,((c_TMAP1IN)-(c_TFWD))*(((A420)-(c_TFWD))*((c_TMAP1OUT)-(0))+IF(((c_TMAP1OUT)-(0))&gt;=0,1,-1)*QUOTIENT(((c_TMAP1IN)-(c_TFWD)),2)))&lt;0,-1,0),IF(IF(o_WRAP=1,MOD(((c_TMAP1IN)-(c_TFWD))*(((A420)-(c_TFWD))*((c_TMAP1OUT)-(0))+IF(((c_TMAP1OUT)-(0))&gt;=0,1,-1)*QUOTIENT(((c_TMAP1IN)-(c_TFWD)),2))+2147483648,4294967296)-2147483648,((c_TMAP1IN)-(c_TFWD))*(((A420)-(c_TFWD))*((c_TMAP1OUT)-(0))+IF(((c_TMAP1OUT)-(0))&gt;=0,1,-1)*QUOTIENT(((c_TMAP1IN)-(c_TFWD)),2)))&gt;=0,1,0)))</f>
        <v>315</v>
      </c>
      <c r="E420" s="7" t="n">
        <f aca="false">IF(((c_TMAP2IN)-(c_TMAP1IN))=0,(c_TMAP1OUT)+QUOTIENT(((c_TMAP2OUT)-(c_TMAP1OUT)),2),QUOTIENT((((A420)-(c_TMAP1IN))*((c_TMAP2OUT)-(c_TMAP1OUT))+IF(((c_TMAP2OUT)-(c_TMAP1OUT))&gt;=0,1,-1)*QUOTIENT(((c_TMAP2IN)-(c_TMAP1IN)),2)),((c_TMAP2IN)-(c_TMAP1IN)))+(c_TMAP1OUT)+IF(((c_TMAP2OUT)-(c_TMAP1OUT))&gt;=0,IF(IF(o_WRAP=1,MOD(((c_TMAP2IN)-(c_TMAP1IN))*(((A420)-(c_TMAP1IN))*((c_TMAP2OUT)-(c_TMAP1OUT))+IF(((c_TMAP2OUT)-(c_TMAP1OUT))&gt;=0,1,-1)*QUOTIENT(((c_TMAP2IN)-(c_TMAP1IN)),2))+2147483648,4294967296)-2147483648,((c_TMAP2IN)-(c_TMAP1IN))*(((A420)-(c_TMAP1IN))*((c_TMAP2OUT)-(c_TMAP1OUT))+IF(((c_TMAP2OUT)-(c_TMAP1OUT))&gt;=0,1,-1)*QUOTIENT(((c_TMAP2IN)-(c_TMAP1IN)),2)))&lt;0,-1,0),IF(IF(o_WRAP=1,MOD(((c_TMAP2IN)-(c_TMAP1IN))*(((A420)-(c_TMAP1IN))*((c_TMAP2OUT)-(c_TMAP1OUT))+IF(((c_TMAP2OUT)-(c_TMAP1OUT))&gt;=0,1,-1)*QUOTIENT(((c_TMAP2IN)-(c_TMAP1IN)),2))+2147483648,4294967296)-2147483648,((c_TMAP2IN)-(c_TMAP1IN))*(((A420)-(c_TMAP1IN))*((c_TMAP2OUT)-(c_TMAP1OUT))+IF(((c_TMAP2OUT)-(c_TMAP1OUT))&gt;=0,1,-1)*QUOTIENT(((c_TMAP2IN)-(c_TMAP1IN)),2)))&gt;=0,1,0)))</f>
        <v>196</v>
      </c>
      <c r="F420" s="7" t="n">
        <f aca="false">IF(((c_TMAP3IN)-(c_TMAP2IN))=0,(c_TMAP2OUT)+QUOTIENT(((c_TMAP3OUT)-(c_TMAP2OUT)),2),QUOTIENT((((A420)-(c_TMAP2IN))*((c_TMAP3OUT)-(c_TMAP2OUT))+IF(((c_TMAP3OUT)-(c_TMAP2OUT))&gt;=0,1,-1)*QUOTIENT(((c_TMAP3IN)-(c_TMAP2IN)),2)),((c_TMAP3IN)-(c_TMAP2IN)))+(c_TMAP2OUT)+IF(((c_TMAP3OUT)-(c_TMAP2OUT))&gt;=0,IF(IF(o_WRAP=1,MOD(((c_TMAP3IN)-(c_TMAP2IN))*(((A420)-(c_TMAP2IN))*((c_TMAP3OUT)-(c_TMAP2OUT))+IF(((c_TMAP3OUT)-(c_TMAP2OUT))&gt;=0,1,-1)*QUOTIENT(((c_TMAP3IN)-(c_TMAP2IN)),2))+2147483648,4294967296)-2147483648,((c_TMAP3IN)-(c_TMAP2IN))*(((A420)-(c_TMAP2IN))*((c_TMAP3OUT)-(c_TMAP2OUT))+IF(((c_TMAP3OUT)-(c_TMAP2OUT))&gt;=0,1,-1)*QUOTIENT(((c_TMAP3IN)-(c_TMAP2IN)),2)))&lt;0,-1,0),IF(IF(o_WRAP=1,MOD(((c_TMAP3IN)-(c_TMAP2IN))*(((A420)-(c_TMAP2IN))*((c_TMAP3OUT)-(c_TMAP2OUT))+IF(((c_TMAP3OUT)-(c_TMAP2OUT))&gt;=0,1,-1)*QUOTIENT(((c_TMAP3IN)-(c_TMAP2IN)),2))+2147483648,4294967296)-2147483648,((c_TMAP3IN)-(c_TMAP2IN))*(((A420)-(c_TMAP2IN))*((c_TMAP3OUT)-(c_TMAP2OUT))+IF(((c_TMAP3OUT)-(c_TMAP2OUT))&gt;=0,1,-1)*QUOTIENT(((c_TMAP3IN)-(c_TMAP2IN)),2)))&gt;=0,1,0)))</f>
        <v>246</v>
      </c>
      <c r="G420" s="7" t="n">
        <f aca="false">IF(((1000)-(c_TMAP3IN))=0,(c_TMAP3OUT)+QUOTIENT(((1000)-(c_TMAP3OUT)),2),QUOTIENT((((A420)-(c_TMAP3IN))*((1000)-(c_TMAP3OUT))+IF(((1000)-(c_TMAP3OUT))&gt;=0,1,-1)*QUOTIENT(((1000)-(c_TMAP3IN)),2)),((1000)-(c_TMAP3IN)))+(c_TMAP3OUT)+IF(((1000)-(c_TMAP3OUT))&gt;=0,IF(IF(o_WRAP=1,MOD(((1000)-(c_TMAP3IN))*(((A420)-(c_TMAP3IN))*((1000)-(c_TMAP3OUT))+IF(((1000)-(c_TMAP3OUT))&gt;=0,1,-1)*QUOTIENT(((1000)-(c_TMAP3IN)),2))+2147483648,4294967296)-2147483648,((1000)-(c_TMAP3IN))*(((A420)-(c_TMAP3IN))*((1000)-(c_TMAP3OUT))+IF(((1000)-(c_TMAP3OUT))&gt;=0,1,-1)*QUOTIENT(((1000)-(c_TMAP3IN)),2)))&lt;0,-1,0),IF(IF(o_WRAP=1,MOD(((1000)-(c_TMAP3IN))*(((A420)-(c_TMAP3IN))*((1000)-(c_TMAP3OUT))+IF(((1000)-(c_TMAP3OUT))&gt;=0,1,-1)*QUOTIENT(((1000)-(c_TMAP3IN)),2))+2147483648,4294967296)-2147483648,((1000)-(c_TMAP3IN))*(((A420)-(c_TMAP3IN))*((1000)-(c_TMAP3OUT))+IF(((1000)-(c_TMAP3OUT))&gt;=0,1,-1)*QUOTIENT(((1000)-(c_TMAP3IN)),2)))&gt;=0,1,0)))</f>
        <v>280</v>
      </c>
      <c r="H420" s="7" t="str">
        <f aca="false">IF(A420&gt;=c_TFWD,IF(AND(A420&gt;=c_TMAP3IN,c_TMAP3IN&lt;1000),"Seg4 map3-100%",IF(AND(A420&gt;=c_TMAP2IN,c_TMAP3IN&gt;c_TMAP2IN),"Seg3 map2-map3",IF(AND(A420&gt;=c_TMAP1IN,c_TMAP2IN&gt;c_TMAP1IN),"Seg2 map1-map2","Seg1 TFWD-map1"))),IF(AND(A420=0,c_TCREEP&gt;0),"Creep",IF(AND(A420&lt;=c_TRNGMIN,A420&gt;=c_TRNGMAX,c_TRNGMIN-c_TRNGMAX&lt;&gt;0),"Regen ramp","Coast (0)")))</f>
        <v>Seg4 map3-100%</v>
      </c>
      <c r="I420" s="7" t="n">
        <f aca="false">IF(A420&gt;=c_TFWD,IF(AND(A420&gt;=c_TMAP3IN,c_TMAP3IN&lt;1000),G420,IF(AND(A420&gt;=c_TMAP2IN,c_TMAP3IN&gt;c_TMAP2IN),F420,IF(AND(A420&gt;=c_TMAP1IN,c_TMAP2IN&gt;c_TMAP1IN),E420,D420))),C420)</f>
        <v>280</v>
      </c>
      <c r="J420" s="7" t="str">
        <f aca="false">IF(I420&lt;-1090,"TOO LOW",IF(I420&gt;1090,"TOO HIGH",""))</f>
        <v/>
      </c>
      <c r="K420" s="15" t="n">
        <f aca="false">IF(J420&lt;&gt;"",0,IF(I420&gt;979,1000,I420))</f>
        <v>280</v>
      </c>
      <c r="L420" s="7" t="n">
        <f aca="false">K420/10</f>
        <v>28</v>
      </c>
    </row>
    <row r="421" customFormat="false" ht="15" hidden="false" customHeight="false" outlineLevel="0" collapsed="false">
      <c r="A421" s="7" t="n">
        <v>416</v>
      </c>
      <c r="B421" s="7" t="n">
        <f aca="false">A421/10</f>
        <v>41.6</v>
      </c>
      <c r="C421" s="7" t="n">
        <f aca="false">IF(AND(A421=0,c_TCREEP&gt;0),10*c_TCREEP,IF(AND(A421&lt;=c_TRNGMIN,A421&gt;=c_TRNGMAX,c_TRNGMIN-c_TRNGMAX&lt;&gt;0),-10*c_TMINRN+QUOTIENT((c_TMAXRN-c_TMINRN)*(100-QUOTIENT((A421-c_TRNGMAX)*100,c_TRNGMIN-c_TRNGMAX)),-10),0))</f>
        <v>0</v>
      </c>
      <c r="D421" s="7" t="n">
        <f aca="false">IF(((c_TMAP1IN)-(c_TFWD))=0,(0)+QUOTIENT(((c_TMAP1OUT)-(0)),2),QUOTIENT((((A421)-(c_TFWD))*((c_TMAP1OUT)-(0))+IF(((c_TMAP1OUT)-(0))&gt;=0,1,-1)*QUOTIENT(((c_TMAP1IN)-(c_TFWD)),2)),((c_TMAP1IN)-(c_TFWD)))+(0)+IF(((c_TMAP1OUT)-(0))&gt;=0,IF(IF(o_WRAP=1,MOD(((c_TMAP1IN)-(c_TFWD))*(((A421)-(c_TFWD))*((c_TMAP1OUT)-(0))+IF(((c_TMAP1OUT)-(0))&gt;=0,1,-1)*QUOTIENT(((c_TMAP1IN)-(c_TFWD)),2))+2147483648,4294967296)-2147483648,((c_TMAP1IN)-(c_TFWD))*(((A421)-(c_TFWD))*((c_TMAP1OUT)-(0))+IF(((c_TMAP1OUT)-(0))&gt;=0,1,-1)*QUOTIENT(((c_TMAP1IN)-(c_TFWD)),2)))&lt;0,-1,0),IF(IF(o_WRAP=1,MOD(((c_TMAP1IN)-(c_TFWD))*(((A421)-(c_TFWD))*((c_TMAP1OUT)-(0))+IF(((c_TMAP1OUT)-(0))&gt;=0,1,-1)*QUOTIENT(((c_TMAP1IN)-(c_TFWD)),2))+2147483648,4294967296)-2147483648,((c_TMAP1IN)-(c_TFWD))*(((A421)-(c_TFWD))*((c_TMAP1OUT)-(0))+IF(((c_TMAP1OUT)-(0))&gt;=0,1,-1)*QUOTIENT(((c_TMAP1IN)-(c_TFWD)),2)))&gt;=0,1,0)))</f>
        <v>316</v>
      </c>
      <c r="E421" s="7" t="n">
        <f aca="false">IF(((c_TMAP2IN)-(c_TMAP1IN))=0,(c_TMAP1OUT)+QUOTIENT(((c_TMAP2OUT)-(c_TMAP1OUT)),2),QUOTIENT((((A421)-(c_TMAP1IN))*((c_TMAP2OUT)-(c_TMAP1OUT))+IF(((c_TMAP2OUT)-(c_TMAP1OUT))&gt;=0,1,-1)*QUOTIENT(((c_TMAP2IN)-(c_TMAP1IN)),2)),((c_TMAP2IN)-(c_TMAP1IN)))+(c_TMAP1OUT)+IF(((c_TMAP2OUT)-(c_TMAP1OUT))&gt;=0,IF(IF(o_WRAP=1,MOD(((c_TMAP2IN)-(c_TMAP1IN))*(((A421)-(c_TMAP1IN))*((c_TMAP2OUT)-(c_TMAP1OUT))+IF(((c_TMAP2OUT)-(c_TMAP1OUT))&gt;=0,1,-1)*QUOTIENT(((c_TMAP2IN)-(c_TMAP1IN)),2))+2147483648,4294967296)-2147483648,((c_TMAP2IN)-(c_TMAP1IN))*(((A421)-(c_TMAP1IN))*((c_TMAP2OUT)-(c_TMAP1OUT))+IF(((c_TMAP2OUT)-(c_TMAP1OUT))&gt;=0,1,-1)*QUOTIENT(((c_TMAP2IN)-(c_TMAP1IN)),2)))&lt;0,-1,0),IF(IF(o_WRAP=1,MOD(((c_TMAP2IN)-(c_TMAP1IN))*(((A421)-(c_TMAP1IN))*((c_TMAP2OUT)-(c_TMAP1OUT))+IF(((c_TMAP2OUT)-(c_TMAP1OUT))&gt;=0,1,-1)*QUOTIENT(((c_TMAP2IN)-(c_TMAP1IN)),2))+2147483648,4294967296)-2147483648,((c_TMAP2IN)-(c_TMAP1IN))*(((A421)-(c_TMAP1IN))*((c_TMAP2OUT)-(c_TMAP1OUT))+IF(((c_TMAP2OUT)-(c_TMAP1OUT))&gt;=0,1,-1)*QUOTIENT(((c_TMAP2IN)-(c_TMAP1IN)),2)))&gt;=0,1,0)))</f>
        <v>196</v>
      </c>
      <c r="F421" s="7" t="n">
        <f aca="false">IF(((c_TMAP3IN)-(c_TMAP2IN))=0,(c_TMAP2OUT)+QUOTIENT(((c_TMAP3OUT)-(c_TMAP2OUT)),2),QUOTIENT((((A421)-(c_TMAP2IN))*((c_TMAP3OUT)-(c_TMAP2OUT))+IF(((c_TMAP3OUT)-(c_TMAP2OUT))&gt;=0,1,-1)*QUOTIENT(((c_TMAP3IN)-(c_TMAP2IN)),2)),((c_TMAP3IN)-(c_TMAP2IN)))+(c_TMAP2OUT)+IF(((c_TMAP3OUT)-(c_TMAP2OUT))&gt;=0,IF(IF(o_WRAP=1,MOD(((c_TMAP3IN)-(c_TMAP2IN))*(((A421)-(c_TMAP2IN))*((c_TMAP3OUT)-(c_TMAP2OUT))+IF(((c_TMAP3OUT)-(c_TMAP2OUT))&gt;=0,1,-1)*QUOTIENT(((c_TMAP3IN)-(c_TMAP2IN)),2))+2147483648,4294967296)-2147483648,((c_TMAP3IN)-(c_TMAP2IN))*(((A421)-(c_TMAP2IN))*((c_TMAP3OUT)-(c_TMAP2OUT))+IF(((c_TMAP3OUT)-(c_TMAP2OUT))&gt;=0,1,-1)*QUOTIENT(((c_TMAP3IN)-(c_TMAP2IN)),2)))&lt;0,-1,0),IF(IF(o_WRAP=1,MOD(((c_TMAP3IN)-(c_TMAP2IN))*(((A421)-(c_TMAP2IN))*((c_TMAP3OUT)-(c_TMAP2OUT))+IF(((c_TMAP3OUT)-(c_TMAP2OUT))&gt;=0,1,-1)*QUOTIENT(((c_TMAP3IN)-(c_TMAP2IN)),2))+2147483648,4294967296)-2147483648,((c_TMAP3IN)-(c_TMAP2IN))*(((A421)-(c_TMAP2IN))*((c_TMAP3OUT)-(c_TMAP2OUT))+IF(((c_TMAP3OUT)-(c_TMAP2OUT))&gt;=0,1,-1)*QUOTIENT(((c_TMAP3IN)-(c_TMAP2IN)),2)))&gt;=0,1,0)))</f>
        <v>246</v>
      </c>
      <c r="G421" s="7" t="n">
        <f aca="false">IF(((1000)-(c_TMAP3IN))=0,(c_TMAP3OUT)+QUOTIENT(((1000)-(c_TMAP3OUT)),2),QUOTIENT((((A421)-(c_TMAP3IN))*((1000)-(c_TMAP3OUT))+IF(((1000)-(c_TMAP3OUT))&gt;=0,1,-1)*QUOTIENT(((1000)-(c_TMAP3IN)),2)),((1000)-(c_TMAP3IN)))+(c_TMAP3OUT)+IF(((1000)-(c_TMAP3OUT))&gt;=0,IF(IF(o_WRAP=1,MOD(((1000)-(c_TMAP3IN))*(((A421)-(c_TMAP3IN))*((1000)-(c_TMAP3OUT))+IF(((1000)-(c_TMAP3OUT))&gt;=0,1,-1)*QUOTIENT(((1000)-(c_TMAP3IN)),2))+2147483648,4294967296)-2147483648,((1000)-(c_TMAP3IN))*(((A421)-(c_TMAP3IN))*((1000)-(c_TMAP3OUT))+IF(((1000)-(c_TMAP3OUT))&gt;=0,1,-1)*QUOTIENT(((1000)-(c_TMAP3IN)),2)))&lt;0,-1,0),IF(IF(o_WRAP=1,MOD(((1000)-(c_TMAP3IN))*(((A421)-(c_TMAP3IN))*((1000)-(c_TMAP3OUT))+IF(((1000)-(c_TMAP3OUT))&gt;=0,1,-1)*QUOTIENT(((1000)-(c_TMAP3IN)),2))+2147483648,4294967296)-2147483648,((1000)-(c_TMAP3IN))*(((A421)-(c_TMAP3IN))*((1000)-(c_TMAP3OUT))+IF(((1000)-(c_TMAP3OUT))&gt;=0,1,-1)*QUOTIENT(((1000)-(c_TMAP3IN)),2)))&gt;=0,1,0)))</f>
        <v>281</v>
      </c>
      <c r="H421" s="7" t="str">
        <f aca="false">IF(A421&gt;=c_TFWD,IF(AND(A421&gt;=c_TMAP3IN,c_TMAP3IN&lt;1000),"Seg4 map3-100%",IF(AND(A421&gt;=c_TMAP2IN,c_TMAP3IN&gt;c_TMAP2IN),"Seg3 map2-map3",IF(AND(A421&gt;=c_TMAP1IN,c_TMAP2IN&gt;c_TMAP1IN),"Seg2 map1-map2","Seg1 TFWD-map1"))),IF(AND(A421=0,c_TCREEP&gt;0),"Creep",IF(AND(A421&lt;=c_TRNGMIN,A421&gt;=c_TRNGMAX,c_TRNGMIN-c_TRNGMAX&lt;&gt;0),"Regen ramp","Coast (0)")))</f>
        <v>Seg4 map3-100%</v>
      </c>
      <c r="I421" s="7" t="n">
        <f aca="false">IF(A421&gt;=c_TFWD,IF(AND(A421&gt;=c_TMAP3IN,c_TMAP3IN&lt;1000),G421,IF(AND(A421&gt;=c_TMAP2IN,c_TMAP3IN&gt;c_TMAP2IN),F421,IF(AND(A421&gt;=c_TMAP1IN,c_TMAP2IN&gt;c_TMAP1IN),E421,D421))),C421)</f>
        <v>281</v>
      </c>
      <c r="J421" s="7" t="str">
        <f aca="false">IF(I421&lt;-1090,"TOO LOW",IF(I421&gt;1090,"TOO HIGH",""))</f>
        <v/>
      </c>
      <c r="K421" s="15" t="n">
        <f aca="false">IF(J421&lt;&gt;"",0,IF(I421&gt;979,1000,I421))</f>
        <v>281</v>
      </c>
      <c r="L421" s="7" t="n">
        <f aca="false">K421/10</f>
        <v>28.1</v>
      </c>
    </row>
    <row r="422" customFormat="false" ht="15" hidden="false" customHeight="false" outlineLevel="0" collapsed="false">
      <c r="A422" s="7" t="n">
        <v>417</v>
      </c>
      <c r="B422" s="7" t="n">
        <f aca="false">A422/10</f>
        <v>41.7</v>
      </c>
      <c r="C422" s="7" t="n">
        <f aca="false">IF(AND(A422=0,c_TCREEP&gt;0),10*c_TCREEP,IF(AND(A422&lt;=c_TRNGMIN,A422&gt;=c_TRNGMAX,c_TRNGMIN-c_TRNGMAX&lt;&gt;0),-10*c_TMINRN+QUOTIENT((c_TMAXRN-c_TMINRN)*(100-QUOTIENT((A422-c_TRNGMAX)*100,c_TRNGMIN-c_TRNGMAX)),-10),0))</f>
        <v>0</v>
      </c>
      <c r="D422" s="7" t="n">
        <f aca="false">IF(((c_TMAP1IN)-(c_TFWD))=0,(0)+QUOTIENT(((c_TMAP1OUT)-(0)),2),QUOTIENT((((A422)-(c_TFWD))*((c_TMAP1OUT)-(0))+IF(((c_TMAP1OUT)-(0))&gt;=0,1,-1)*QUOTIENT(((c_TMAP1IN)-(c_TFWD)),2)),((c_TMAP1IN)-(c_TFWD)))+(0)+IF(((c_TMAP1OUT)-(0))&gt;=0,IF(IF(o_WRAP=1,MOD(((c_TMAP1IN)-(c_TFWD))*(((A422)-(c_TFWD))*((c_TMAP1OUT)-(0))+IF(((c_TMAP1OUT)-(0))&gt;=0,1,-1)*QUOTIENT(((c_TMAP1IN)-(c_TFWD)),2))+2147483648,4294967296)-2147483648,((c_TMAP1IN)-(c_TFWD))*(((A422)-(c_TFWD))*((c_TMAP1OUT)-(0))+IF(((c_TMAP1OUT)-(0))&gt;=0,1,-1)*QUOTIENT(((c_TMAP1IN)-(c_TFWD)),2)))&lt;0,-1,0),IF(IF(o_WRAP=1,MOD(((c_TMAP1IN)-(c_TFWD))*(((A422)-(c_TFWD))*((c_TMAP1OUT)-(0))+IF(((c_TMAP1OUT)-(0))&gt;=0,1,-1)*QUOTIENT(((c_TMAP1IN)-(c_TFWD)),2))+2147483648,4294967296)-2147483648,((c_TMAP1IN)-(c_TFWD))*(((A422)-(c_TFWD))*((c_TMAP1OUT)-(0))+IF(((c_TMAP1OUT)-(0))&gt;=0,1,-1)*QUOTIENT(((c_TMAP1IN)-(c_TFWD)),2)))&gt;=0,1,0)))</f>
        <v>317</v>
      </c>
      <c r="E422" s="7" t="n">
        <f aca="false">IF(((c_TMAP2IN)-(c_TMAP1IN))=0,(c_TMAP1OUT)+QUOTIENT(((c_TMAP2OUT)-(c_TMAP1OUT)),2),QUOTIENT((((A422)-(c_TMAP1IN))*((c_TMAP2OUT)-(c_TMAP1OUT))+IF(((c_TMAP2OUT)-(c_TMAP1OUT))&gt;=0,1,-1)*QUOTIENT(((c_TMAP2IN)-(c_TMAP1IN)),2)),((c_TMAP2IN)-(c_TMAP1IN)))+(c_TMAP1OUT)+IF(((c_TMAP2OUT)-(c_TMAP1OUT))&gt;=0,IF(IF(o_WRAP=1,MOD(((c_TMAP2IN)-(c_TMAP1IN))*(((A422)-(c_TMAP1IN))*((c_TMAP2OUT)-(c_TMAP1OUT))+IF(((c_TMAP2OUT)-(c_TMAP1OUT))&gt;=0,1,-1)*QUOTIENT(((c_TMAP2IN)-(c_TMAP1IN)),2))+2147483648,4294967296)-2147483648,((c_TMAP2IN)-(c_TMAP1IN))*(((A422)-(c_TMAP1IN))*((c_TMAP2OUT)-(c_TMAP1OUT))+IF(((c_TMAP2OUT)-(c_TMAP1OUT))&gt;=0,1,-1)*QUOTIENT(((c_TMAP2IN)-(c_TMAP1IN)),2)))&lt;0,-1,0),IF(IF(o_WRAP=1,MOD(((c_TMAP2IN)-(c_TMAP1IN))*(((A422)-(c_TMAP1IN))*((c_TMAP2OUT)-(c_TMAP1OUT))+IF(((c_TMAP2OUT)-(c_TMAP1OUT))&gt;=0,1,-1)*QUOTIENT(((c_TMAP2IN)-(c_TMAP1IN)),2))+2147483648,4294967296)-2147483648,((c_TMAP2IN)-(c_TMAP1IN))*(((A422)-(c_TMAP1IN))*((c_TMAP2OUT)-(c_TMAP1OUT))+IF(((c_TMAP2OUT)-(c_TMAP1OUT))&gt;=0,1,-1)*QUOTIENT(((c_TMAP2IN)-(c_TMAP1IN)),2)))&gt;=0,1,0)))</f>
        <v>197</v>
      </c>
      <c r="F422" s="7" t="n">
        <f aca="false">IF(((c_TMAP3IN)-(c_TMAP2IN))=0,(c_TMAP2OUT)+QUOTIENT(((c_TMAP3OUT)-(c_TMAP2OUT)),2),QUOTIENT((((A422)-(c_TMAP2IN))*((c_TMAP3OUT)-(c_TMAP2OUT))+IF(((c_TMAP3OUT)-(c_TMAP2OUT))&gt;=0,1,-1)*QUOTIENT(((c_TMAP3IN)-(c_TMAP2IN)),2)),((c_TMAP3IN)-(c_TMAP2IN)))+(c_TMAP2OUT)+IF(((c_TMAP3OUT)-(c_TMAP2OUT))&gt;=0,IF(IF(o_WRAP=1,MOD(((c_TMAP3IN)-(c_TMAP2IN))*(((A422)-(c_TMAP2IN))*((c_TMAP3OUT)-(c_TMAP2OUT))+IF(((c_TMAP3OUT)-(c_TMAP2OUT))&gt;=0,1,-1)*QUOTIENT(((c_TMAP3IN)-(c_TMAP2IN)),2))+2147483648,4294967296)-2147483648,((c_TMAP3IN)-(c_TMAP2IN))*(((A422)-(c_TMAP2IN))*((c_TMAP3OUT)-(c_TMAP2OUT))+IF(((c_TMAP3OUT)-(c_TMAP2OUT))&gt;=0,1,-1)*QUOTIENT(((c_TMAP3IN)-(c_TMAP2IN)),2)))&lt;0,-1,0),IF(IF(o_WRAP=1,MOD(((c_TMAP3IN)-(c_TMAP2IN))*(((A422)-(c_TMAP2IN))*((c_TMAP3OUT)-(c_TMAP2OUT))+IF(((c_TMAP3OUT)-(c_TMAP2OUT))&gt;=0,1,-1)*QUOTIENT(((c_TMAP3IN)-(c_TMAP2IN)),2))+2147483648,4294967296)-2147483648,((c_TMAP3IN)-(c_TMAP2IN))*(((A422)-(c_TMAP2IN))*((c_TMAP3OUT)-(c_TMAP2OUT))+IF(((c_TMAP3OUT)-(c_TMAP2OUT))&gt;=0,1,-1)*QUOTIENT(((c_TMAP3IN)-(c_TMAP2IN)),2)))&gt;=0,1,0)))</f>
        <v>247</v>
      </c>
      <c r="G422" s="7" t="n">
        <f aca="false">IF(((1000)-(c_TMAP3IN))=0,(c_TMAP3OUT)+QUOTIENT(((1000)-(c_TMAP3OUT)),2),QUOTIENT((((A422)-(c_TMAP3IN))*((1000)-(c_TMAP3OUT))+IF(((1000)-(c_TMAP3OUT))&gt;=0,1,-1)*QUOTIENT(((1000)-(c_TMAP3IN)),2)),((1000)-(c_TMAP3IN)))+(c_TMAP3OUT)+IF(((1000)-(c_TMAP3OUT))&gt;=0,IF(IF(o_WRAP=1,MOD(((1000)-(c_TMAP3IN))*(((A422)-(c_TMAP3IN))*((1000)-(c_TMAP3OUT))+IF(((1000)-(c_TMAP3OUT))&gt;=0,1,-1)*QUOTIENT(((1000)-(c_TMAP3IN)),2))+2147483648,4294967296)-2147483648,((1000)-(c_TMAP3IN))*(((A422)-(c_TMAP3IN))*((1000)-(c_TMAP3OUT))+IF(((1000)-(c_TMAP3OUT))&gt;=0,1,-1)*QUOTIENT(((1000)-(c_TMAP3IN)),2)))&lt;0,-1,0),IF(IF(o_WRAP=1,MOD(((1000)-(c_TMAP3IN))*(((A422)-(c_TMAP3IN))*((1000)-(c_TMAP3OUT))+IF(((1000)-(c_TMAP3OUT))&gt;=0,1,-1)*QUOTIENT(((1000)-(c_TMAP3IN)),2))+2147483648,4294967296)-2147483648,((1000)-(c_TMAP3IN))*(((A422)-(c_TMAP3IN))*((1000)-(c_TMAP3OUT))+IF(((1000)-(c_TMAP3OUT))&gt;=0,1,-1)*QUOTIENT(((1000)-(c_TMAP3IN)),2)))&gt;=0,1,0)))</f>
        <v>282</v>
      </c>
      <c r="H422" s="7" t="str">
        <f aca="false">IF(A422&gt;=c_TFWD,IF(AND(A422&gt;=c_TMAP3IN,c_TMAP3IN&lt;1000),"Seg4 map3-100%",IF(AND(A422&gt;=c_TMAP2IN,c_TMAP3IN&gt;c_TMAP2IN),"Seg3 map2-map3",IF(AND(A422&gt;=c_TMAP1IN,c_TMAP2IN&gt;c_TMAP1IN),"Seg2 map1-map2","Seg1 TFWD-map1"))),IF(AND(A422=0,c_TCREEP&gt;0),"Creep",IF(AND(A422&lt;=c_TRNGMIN,A422&gt;=c_TRNGMAX,c_TRNGMIN-c_TRNGMAX&lt;&gt;0),"Regen ramp","Coast (0)")))</f>
        <v>Seg4 map3-100%</v>
      </c>
      <c r="I422" s="7" t="n">
        <f aca="false">IF(A422&gt;=c_TFWD,IF(AND(A422&gt;=c_TMAP3IN,c_TMAP3IN&lt;1000),G422,IF(AND(A422&gt;=c_TMAP2IN,c_TMAP3IN&gt;c_TMAP2IN),F422,IF(AND(A422&gt;=c_TMAP1IN,c_TMAP2IN&gt;c_TMAP1IN),E422,D422))),C422)</f>
        <v>282</v>
      </c>
      <c r="J422" s="7" t="str">
        <f aca="false">IF(I422&lt;-1090,"TOO LOW",IF(I422&gt;1090,"TOO HIGH",""))</f>
        <v/>
      </c>
      <c r="K422" s="15" t="n">
        <f aca="false">IF(J422&lt;&gt;"",0,IF(I422&gt;979,1000,I422))</f>
        <v>282</v>
      </c>
      <c r="L422" s="7" t="n">
        <f aca="false">K422/10</f>
        <v>28.2</v>
      </c>
    </row>
    <row r="423" customFormat="false" ht="15" hidden="false" customHeight="false" outlineLevel="0" collapsed="false">
      <c r="A423" s="7" t="n">
        <v>418</v>
      </c>
      <c r="B423" s="7" t="n">
        <f aca="false">A423/10</f>
        <v>41.8</v>
      </c>
      <c r="C423" s="7" t="n">
        <f aca="false">IF(AND(A423=0,c_TCREEP&gt;0),10*c_TCREEP,IF(AND(A423&lt;=c_TRNGMIN,A423&gt;=c_TRNGMAX,c_TRNGMIN-c_TRNGMAX&lt;&gt;0),-10*c_TMINRN+QUOTIENT((c_TMAXRN-c_TMINRN)*(100-QUOTIENT((A423-c_TRNGMAX)*100,c_TRNGMIN-c_TRNGMAX)),-10),0))</f>
        <v>0</v>
      </c>
      <c r="D423" s="7" t="n">
        <f aca="false">IF(((c_TMAP1IN)-(c_TFWD))=0,(0)+QUOTIENT(((c_TMAP1OUT)-(0)),2),QUOTIENT((((A423)-(c_TFWD))*((c_TMAP1OUT)-(0))+IF(((c_TMAP1OUT)-(0))&gt;=0,1,-1)*QUOTIENT(((c_TMAP1IN)-(c_TFWD)),2)),((c_TMAP1IN)-(c_TFWD)))+(0)+IF(((c_TMAP1OUT)-(0))&gt;=0,IF(IF(o_WRAP=1,MOD(((c_TMAP1IN)-(c_TFWD))*(((A423)-(c_TFWD))*((c_TMAP1OUT)-(0))+IF(((c_TMAP1OUT)-(0))&gt;=0,1,-1)*QUOTIENT(((c_TMAP1IN)-(c_TFWD)),2))+2147483648,4294967296)-2147483648,((c_TMAP1IN)-(c_TFWD))*(((A423)-(c_TFWD))*((c_TMAP1OUT)-(0))+IF(((c_TMAP1OUT)-(0))&gt;=0,1,-1)*QUOTIENT(((c_TMAP1IN)-(c_TFWD)),2)))&lt;0,-1,0),IF(IF(o_WRAP=1,MOD(((c_TMAP1IN)-(c_TFWD))*(((A423)-(c_TFWD))*((c_TMAP1OUT)-(0))+IF(((c_TMAP1OUT)-(0))&gt;=0,1,-1)*QUOTIENT(((c_TMAP1IN)-(c_TFWD)),2))+2147483648,4294967296)-2147483648,((c_TMAP1IN)-(c_TFWD))*(((A423)-(c_TFWD))*((c_TMAP1OUT)-(0))+IF(((c_TMAP1OUT)-(0))&gt;=0,1,-1)*QUOTIENT(((c_TMAP1IN)-(c_TFWD)),2)))&gt;=0,1,0)))</f>
        <v>317</v>
      </c>
      <c r="E423" s="7" t="n">
        <f aca="false">IF(((c_TMAP2IN)-(c_TMAP1IN))=0,(c_TMAP1OUT)+QUOTIENT(((c_TMAP2OUT)-(c_TMAP1OUT)),2),QUOTIENT((((A423)-(c_TMAP1IN))*((c_TMAP2OUT)-(c_TMAP1OUT))+IF(((c_TMAP2OUT)-(c_TMAP1OUT))&gt;=0,1,-1)*QUOTIENT(((c_TMAP2IN)-(c_TMAP1IN)),2)),((c_TMAP2IN)-(c_TMAP1IN)))+(c_TMAP1OUT)+IF(((c_TMAP2OUT)-(c_TMAP1OUT))&gt;=0,IF(IF(o_WRAP=1,MOD(((c_TMAP2IN)-(c_TMAP1IN))*(((A423)-(c_TMAP1IN))*((c_TMAP2OUT)-(c_TMAP1OUT))+IF(((c_TMAP2OUT)-(c_TMAP1OUT))&gt;=0,1,-1)*QUOTIENT(((c_TMAP2IN)-(c_TMAP1IN)),2))+2147483648,4294967296)-2147483648,((c_TMAP2IN)-(c_TMAP1IN))*(((A423)-(c_TMAP1IN))*((c_TMAP2OUT)-(c_TMAP1OUT))+IF(((c_TMAP2OUT)-(c_TMAP1OUT))&gt;=0,1,-1)*QUOTIENT(((c_TMAP2IN)-(c_TMAP1IN)),2)))&lt;0,-1,0),IF(IF(o_WRAP=1,MOD(((c_TMAP2IN)-(c_TMAP1IN))*(((A423)-(c_TMAP1IN))*((c_TMAP2OUT)-(c_TMAP1OUT))+IF(((c_TMAP2OUT)-(c_TMAP1OUT))&gt;=0,1,-1)*QUOTIENT(((c_TMAP2IN)-(c_TMAP1IN)),2))+2147483648,4294967296)-2147483648,((c_TMAP2IN)-(c_TMAP1IN))*(((A423)-(c_TMAP1IN))*((c_TMAP2OUT)-(c_TMAP1OUT))+IF(((c_TMAP2OUT)-(c_TMAP1OUT))&gt;=0,1,-1)*QUOTIENT(((c_TMAP2IN)-(c_TMAP1IN)),2)))&gt;=0,1,0)))</f>
        <v>197</v>
      </c>
      <c r="F423" s="7" t="n">
        <f aca="false">IF(((c_TMAP3IN)-(c_TMAP2IN))=0,(c_TMAP2OUT)+QUOTIENT(((c_TMAP3OUT)-(c_TMAP2OUT)),2),QUOTIENT((((A423)-(c_TMAP2IN))*((c_TMAP3OUT)-(c_TMAP2OUT))+IF(((c_TMAP3OUT)-(c_TMAP2OUT))&gt;=0,1,-1)*QUOTIENT(((c_TMAP3IN)-(c_TMAP2IN)),2)),((c_TMAP3IN)-(c_TMAP2IN)))+(c_TMAP2OUT)+IF(((c_TMAP3OUT)-(c_TMAP2OUT))&gt;=0,IF(IF(o_WRAP=1,MOD(((c_TMAP3IN)-(c_TMAP2IN))*(((A423)-(c_TMAP2IN))*((c_TMAP3OUT)-(c_TMAP2OUT))+IF(((c_TMAP3OUT)-(c_TMAP2OUT))&gt;=0,1,-1)*QUOTIENT(((c_TMAP3IN)-(c_TMAP2IN)),2))+2147483648,4294967296)-2147483648,((c_TMAP3IN)-(c_TMAP2IN))*(((A423)-(c_TMAP2IN))*((c_TMAP3OUT)-(c_TMAP2OUT))+IF(((c_TMAP3OUT)-(c_TMAP2OUT))&gt;=0,1,-1)*QUOTIENT(((c_TMAP3IN)-(c_TMAP2IN)),2)))&lt;0,-1,0),IF(IF(o_WRAP=1,MOD(((c_TMAP3IN)-(c_TMAP2IN))*(((A423)-(c_TMAP2IN))*((c_TMAP3OUT)-(c_TMAP2OUT))+IF(((c_TMAP3OUT)-(c_TMAP2OUT))&gt;=0,1,-1)*QUOTIENT(((c_TMAP3IN)-(c_TMAP2IN)),2))+2147483648,4294967296)-2147483648,((c_TMAP3IN)-(c_TMAP2IN))*(((A423)-(c_TMAP2IN))*((c_TMAP3OUT)-(c_TMAP2OUT))+IF(((c_TMAP3OUT)-(c_TMAP2OUT))&gt;=0,1,-1)*QUOTIENT(((c_TMAP3IN)-(c_TMAP2IN)),2)))&gt;=0,1,0)))</f>
        <v>248</v>
      </c>
      <c r="G423" s="7" t="n">
        <f aca="false">IF(((1000)-(c_TMAP3IN))=0,(c_TMAP3OUT)+QUOTIENT(((1000)-(c_TMAP3OUT)),2),QUOTIENT((((A423)-(c_TMAP3IN))*((1000)-(c_TMAP3OUT))+IF(((1000)-(c_TMAP3OUT))&gt;=0,1,-1)*QUOTIENT(((1000)-(c_TMAP3IN)),2)),((1000)-(c_TMAP3IN)))+(c_TMAP3OUT)+IF(((1000)-(c_TMAP3OUT))&gt;=0,IF(IF(o_WRAP=1,MOD(((1000)-(c_TMAP3IN))*(((A423)-(c_TMAP3IN))*((1000)-(c_TMAP3OUT))+IF(((1000)-(c_TMAP3OUT))&gt;=0,1,-1)*QUOTIENT(((1000)-(c_TMAP3IN)),2))+2147483648,4294967296)-2147483648,((1000)-(c_TMAP3IN))*(((A423)-(c_TMAP3IN))*((1000)-(c_TMAP3OUT))+IF(((1000)-(c_TMAP3OUT))&gt;=0,1,-1)*QUOTIENT(((1000)-(c_TMAP3IN)),2)))&lt;0,-1,0),IF(IF(o_WRAP=1,MOD(((1000)-(c_TMAP3IN))*(((A423)-(c_TMAP3IN))*((1000)-(c_TMAP3OUT))+IF(((1000)-(c_TMAP3OUT))&gt;=0,1,-1)*QUOTIENT(((1000)-(c_TMAP3IN)),2))+2147483648,4294967296)-2147483648,((1000)-(c_TMAP3IN))*(((A423)-(c_TMAP3IN))*((1000)-(c_TMAP3OUT))+IF(((1000)-(c_TMAP3OUT))&gt;=0,1,-1)*QUOTIENT(((1000)-(c_TMAP3IN)),2)))&gt;=0,1,0)))</f>
        <v>284</v>
      </c>
      <c r="H423" s="7" t="str">
        <f aca="false">IF(A423&gt;=c_TFWD,IF(AND(A423&gt;=c_TMAP3IN,c_TMAP3IN&lt;1000),"Seg4 map3-100%",IF(AND(A423&gt;=c_TMAP2IN,c_TMAP3IN&gt;c_TMAP2IN),"Seg3 map2-map3",IF(AND(A423&gt;=c_TMAP1IN,c_TMAP2IN&gt;c_TMAP1IN),"Seg2 map1-map2","Seg1 TFWD-map1"))),IF(AND(A423=0,c_TCREEP&gt;0),"Creep",IF(AND(A423&lt;=c_TRNGMIN,A423&gt;=c_TRNGMAX,c_TRNGMIN-c_TRNGMAX&lt;&gt;0),"Regen ramp","Coast (0)")))</f>
        <v>Seg4 map3-100%</v>
      </c>
      <c r="I423" s="7" t="n">
        <f aca="false">IF(A423&gt;=c_TFWD,IF(AND(A423&gt;=c_TMAP3IN,c_TMAP3IN&lt;1000),G423,IF(AND(A423&gt;=c_TMAP2IN,c_TMAP3IN&gt;c_TMAP2IN),F423,IF(AND(A423&gt;=c_TMAP1IN,c_TMAP2IN&gt;c_TMAP1IN),E423,D423))),C423)</f>
        <v>284</v>
      </c>
      <c r="J423" s="7" t="str">
        <f aca="false">IF(I423&lt;-1090,"TOO LOW",IF(I423&gt;1090,"TOO HIGH",""))</f>
        <v/>
      </c>
      <c r="K423" s="15" t="n">
        <f aca="false">IF(J423&lt;&gt;"",0,IF(I423&gt;979,1000,I423))</f>
        <v>284</v>
      </c>
      <c r="L423" s="7" t="n">
        <f aca="false">K423/10</f>
        <v>28.4</v>
      </c>
    </row>
    <row r="424" customFormat="false" ht="15" hidden="false" customHeight="false" outlineLevel="0" collapsed="false">
      <c r="A424" s="7" t="n">
        <v>419</v>
      </c>
      <c r="B424" s="7" t="n">
        <f aca="false">A424/10</f>
        <v>41.9</v>
      </c>
      <c r="C424" s="7" t="n">
        <f aca="false">IF(AND(A424=0,c_TCREEP&gt;0),10*c_TCREEP,IF(AND(A424&lt;=c_TRNGMIN,A424&gt;=c_TRNGMAX,c_TRNGMIN-c_TRNGMAX&lt;&gt;0),-10*c_TMINRN+QUOTIENT((c_TMAXRN-c_TMINRN)*(100-QUOTIENT((A424-c_TRNGMAX)*100,c_TRNGMIN-c_TRNGMAX)),-10),0))</f>
        <v>0</v>
      </c>
      <c r="D424" s="7" t="n">
        <f aca="false">IF(((c_TMAP1IN)-(c_TFWD))=0,(0)+QUOTIENT(((c_TMAP1OUT)-(0)),2),QUOTIENT((((A424)-(c_TFWD))*((c_TMAP1OUT)-(0))+IF(((c_TMAP1OUT)-(0))&gt;=0,1,-1)*QUOTIENT(((c_TMAP1IN)-(c_TFWD)),2)),((c_TMAP1IN)-(c_TFWD)))+(0)+IF(((c_TMAP1OUT)-(0))&gt;=0,IF(IF(o_WRAP=1,MOD(((c_TMAP1IN)-(c_TFWD))*(((A424)-(c_TFWD))*((c_TMAP1OUT)-(0))+IF(((c_TMAP1OUT)-(0))&gt;=0,1,-1)*QUOTIENT(((c_TMAP1IN)-(c_TFWD)),2))+2147483648,4294967296)-2147483648,((c_TMAP1IN)-(c_TFWD))*(((A424)-(c_TFWD))*((c_TMAP1OUT)-(0))+IF(((c_TMAP1OUT)-(0))&gt;=0,1,-1)*QUOTIENT(((c_TMAP1IN)-(c_TFWD)),2)))&lt;0,-1,0),IF(IF(o_WRAP=1,MOD(((c_TMAP1IN)-(c_TFWD))*(((A424)-(c_TFWD))*((c_TMAP1OUT)-(0))+IF(((c_TMAP1OUT)-(0))&gt;=0,1,-1)*QUOTIENT(((c_TMAP1IN)-(c_TFWD)),2))+2147483648,4294967296)-2147483648,((c_TMAP1IN)-(c_TFWD))*(((A424)-(c_TFWD))*((c_TMAP1OUT)-(0))+IF(((c_TMAP1OUT)-(0))&gt;=0,1,-1)*QUOTIENT(((c_TMAP1IN)-(c_TFWD)),2)))&gt;=0,1,0)))</f>
        <v>318</v>
      </c>
      <c r="E424" s="7" t="n">
        <f aca="false">IF(((c_TMAP2IN)-(c_TMAP1IN))=0,(c_TMAP1OUT)+QUOTIENT(((c_TMAP2OUT)-(c_TMAP1OUT)),2),QUOTIENT((((A424)-(c_TMAP1IN))*((c_TMAP2OUT)-(c_TMAP1OUT))+IF(((c_TMAP2OUT)-(c_TMAP1OUT))&gt;=0,1,-1)*QUOTIENT(((c_TMAP2IN)-(c_TMAP1IN)),2)),((c_TMAP2IN)-(c_TMAP1IN)))+(c_TMAP1OUT)+IF(((c_TMAP2OUT)-(c_TMAP1OUT))&gt;=0,IF(IF(o_WRAP=1,MOD(((c_TMAP2IN)-(c_TMAP1IN))*(((A424)-(c_TMAP1IN))*((c_TMAP2OUT)-(c_TMAP1OUT))+IF(((c_TMAP2OUT)-(c_TMAP1OUT))&gt;=0,1,-1)*QUOTIENT(((c_TMAP2IN)-(c_TMAP1IN)),2))+2147483648,4294967296)-2147483648,((c_TMAP2IN)-(c_TMAP1IN))*(((A424)-(c_TMAP1IN))*((c_TMAP2OUT)-(c_TMAP1OUT))+IF(((c_TMAP2OUT)-(c_TMAP1OUT))&gt;=0,1,-1)*QUOTIENT(((c_TMAP2IN)-(c_TMAP1IN)),2)))&lt;0,-1,0),IF(IF(o_WRAP=1,MOD(((c_TMAP2IN)-(c_TMAP1IN))*(((A424)-(c_TMAP1IN))*((c_TMAP2OUT)-(c_TMAP1OUT))+IF(((c_TMAP2OUT)-(c_TMAP1OUT))&gt;=0,1,-1)*QUOTIENT(((c_TMAP2IN)-(c_TMAP1IN)),2))+2147483648,4294967296)-2147483648,((c_TMAP2IN)-(c_TMAP1IN))*(((A424)-(c_TMAP1IN))*((c_TMAP2OUT)-(c_TMAP1OUT))+IF(((c_TMAP2OUT)-(c_TMAP1OUT))&gt;=0,1,-1)*QUOTIENT(((c_TMAP2IN)-(c_TMAP1IN)),2)))&gt;=0,1,0)))</f>
        <v>198</v>
      </c>
      <c r="F424" s="7" t="n">
        <f aca="false">IF(((c_TMAP3IN)-(c_TMAP2IN))=0,(c_TMAP2OUT)+QUOTIENT(((c_TMAP3OUT)-(c_TMAP2OUT)),2),QUOTIENT((((A424)-(c_TMAP2IN))*((c_TMAP3OUT)-(c_TMAP2OUT))+IF(((c_TMAP3OUT)-(c_TMAP2OUT))&gt;=0,1,-1)*QUOTIENT(((c_TMAP3IN)-(c_TMAP2IN)),2)),((c_TMAP3IN)-(c_TMAP2IN)))+(c_TMAP2OUT)+IF(((c_TMAP3OUT)-(c_TMAP2OUT))&gt;=0,IF(IF(o_WRAP=1,MOD(((c_TMAP3IN)-(c_TMAP2IN))*(((A424)-(c_TMAP2IN))*((c_TMAP3OUT)-(c_TMAP2OUT))+IF(((c_TMAP3OUT)-(c_TMAP2OUT))&gt;=0,1,-1)*QUOTIENT(((c_TMAP3IN)-(c_TMAP2IN)),2))+2147483648,4294967296)-2147483648,((c_TMAP3IN)-(c_TMAP2IN))*(((A424)-(c_TMAP2IN))*((c_TMAP3OUT)-(c_TMAP2OUT))+IF(((c_TMAP3OUT)-(c_TMAP2OUT))&gt;=0,1,-1)*QUOTIENT(((c_TMAP3IN)-(c_TMAP2IN)),2)))&lt;0,-1,0),IF(IF(o_WRAP=1,MOD(((c_TMAP3IN)-(c_TMAP2IN))*(((A424)-(c_TMAP2IN))*((c_TMAP3OUT)-(c_TMAP2OUT))+IF(((c_TMAP3OUT)-(c_TMAP2OUT))&gt;=0,1,-1)*QUOTIENT(((c_TMAP3IN)-(c_TMAP2IN)),2))+2147483648,4294967296)-2147483648,((c_TMAP3IN)-(c_TMAP2IN))*(((A424)-(c_TMAP2IN))*((c_TMAP3OUT)-(c_TMAP2OUT))+IF(((c_TMAP3OUT)-(c_TMAP2OUT))&gt;=0,1,-1)*QUOTIENT(((c_TMAP3IN)-(c_TMAP2IN)),2)))&gt;=0,1,0)))</f>
        <v>248</v>
      </c>
      <c r="G424" s="7" t="n">
        <f aca="false">IF(((1000)-(c_TMAP3IN))=0,(c_TMAP3OUT)+QUOTIENT(((1000)-(c_TMAP3OUT)),2),QUOTIENT((((A424)-(c_TMAP3IN))*((1000)-(c_TMAP3OUT))+IF(((1000)-(c_TMAP3OUT))&gt;=0,1,-1)*QUOTIENT(((1000)-(c_TMAP3IN)),2)),((1000)-(c_TMAP3IN)))+(c_TMAP3OUT)+IF(((1000)-(c_TMAP3OUT))&gt;=0,IF(IF(o_WRAP=1,MOD(((1000)-(c_TMAP3IN))*(((A424)-(c_TMAP3IN))*((1000)-(c_TMAP3OUT))+IF(((1000)-(c_TMAP3OUT))&gt;=0,1,-1)*QUOTIENT(((1000)-(c_TMAP3IN)),2))+2147483648,4294967296)-2147483648,((1000)-(c_TMAP3IN))*(((A424)-(c_TMAP3IN))*((1000)-(c_TMAP3OUT))+IF(((1000)-(c_TMAP3OUT))&gt;=0,1,-1)*QUOTIENT(((1000)-(c_TMAP3IN)),2)))&lt;0,-1,0),IF(IF(o_WRAP=1,MOD(((1000)-(c_TMAP3IN))*(((A424)-(c_TMAP3IN))*((1000)-(c_TMAP3OUT))+IF(((1000)-(c_TMAP3OUT))&gt;=0,1,-1)*QUOTIENT(((1000)-(c_TMAP3IN)),2))+2147483648,4294967296)-2147483648,((1000)-(c_TMAP3IN))*(((A424)-(c_TMAP3IN))*((1000)-(c_TMAP3OUT))+IF(((1000)-(c_TMAP3OUT))&gt;=0,1,-1)*QUOTIENT(((1000)-(c_TMAP3IN)),2)))&gt;=0,1,0)))</f>
        <v>285</v>
      </c>
      <c r="H424" s="7" t="str">
        <f aca="false">IF(A424&gt;=c_TFWD,IF(AND(A424&gt;=c_TMAP3IN,c_TMAP3IN&lt;1000),"Seg4 map3-100%",IF(AND(A424&gt;=c_TMAP2IN,c_TMAP3IN&gt;c_TMAP2IN),"Seg3 map2-map3",IF(AND(A424&gt;=c_TMAP1IN,c_TMAP2IN&gt;c_TMAP1IN),"Seg2 map1-map2","Seg1 TFWD-map1"))),IF(AND(A424=0,c_TCREEP&gt;0),"Creep",IF(AND(A424&lt;=c_TRNGMIN,A424&gt;=c_TRNGMAX,c_TRNGMIN-c_TRNGMAX&lt;&gt;0),"Regen ramp","Coast (0)")))</f>
        <v>Seg4 map3-100%</v>
      </c>
      <c r="I424" s="7" t="n">
        <f aca="false">IF(A424&gt;=c_TFWD,IF(AND(A424&gt;=c_TMAP3IN,c_TMAP3IN&lt;1000),G424,IF(AND(A424&gt;=c_TMAP2IN,c_TMAP3IN&gt;c_TMAP2IN),F424,IF(AND(A424&gt;=c_TMAP1IN,c_TMAP2IN&gt;c_TMAP1IN),E424,D424))),C424)</f>
        <v>285</v>
      </c>
      <c r="J424" s="7" t="str">
        <f aca="false">IF(I424&lt;-1090,"TOO LOW",IF(I424&gt;1090,"TOO HIGH",""))</f>
        <v/>
      </c>
      <c r="K424" s="15" t="n">
        <f aca="false">IF(J424&lt;&gt;"",0,IF(I424&gt;979,1000,I424))</f>
        <v>285</v>
      </c>
      <c r="L424" s="7" t="n">
        <f aca="false">K424/10</f>
        <v>28.5</v>
      </c>
    </row>
    <row r="425" customFormat="false" ht="15" hidden="false" customHeight="false" outlineLevel="0" collapsed="false">
      <c r="A425" s="7" t="n">
        <v>420</v>
      </c>
      <c r="B425" s="7" t="n">
        <f aca="false">A425/10</f>
        <v>42</v>
      </c>
      <c r="C425" s="7" t="n">
        <f aca="false">IF(AND(A425=0,c_TCREEP&gt;0),10*c_TCREEP,IF(AND(A425&lt;=c_TRNGMIN,A425&gt;=c_TRNGMAX,c_TRNGMIN-c_TRNGMAX&lt;&gt;0),-10*c_TMINRN+QUOTIENT((c_TMAXRN-c_TMINRN)*(100-QUOTIENT((A425-c_TRNGMAX)*100,c_TRNGMIN-c_TRNGMAX)),-10),0))</f>
        <v>0</v>
      </c>
      <c r="D425" s="7" t="n">
        <f aca="false">IF(((c_TMAP1IN)-(c_TFWD))=0,(0)+QUOTIENT(((c_TMAP1OUT)-(0)),2),QUOTIENT((((A425)-(c_TFWD))*((c_TMAP1OUT)-(0))+IF(((c_TMAP1OUT)-(0))&gt;=0,1,-1)*QUOTIENT(((c_TMAP1IN)-(c_TFWD)),2)),((c_TMAP1IN)-(c_TFWD)))+(0)+IF(((c_TMAP1OUT)-(0))&gt;=0,IF(IF(o_WRAP=1,MOD(((c_TMAP1IN)-(c_TFWD))*(((A425)-(c_TFWD))*((c_TMAP1OUT)-(0))+IF(((c_TMAP1OUT)-(0))&gt;=0,1,-1)*QUOTIENT(((c_TMAP1IN)-(c_TFWD)),2))+2147483648,4294967296)-2147483648,((c_TMAP1IN)-(c_TFWD))*(((A425)-(c_TFWD))*((c_TMAP1OUT)-(0))+IF(((c_TMAP1OUT)-(0))&gt;=0,1,-1)*QUOTIENT(((c_TMAP1IN)-(c_TFWD)),2)))&lt;0,-1,0),IF(IF(o_WRAP=1,MOD(((c_TMAP1IN)-(c_TFWD))*(((A425)-(c_TFWD))*((c_TMAP1OUT)-(0))+IF(((c_TMAP1OUT)-(0))&gt;=0,1,-1)*QUOTIENT(((c_TMAP1IN)-(c_TFWD)),2))+2147483648,4294967296)-2147483648,((c_TMAP1IN)-(c_TFWD))*(((A425)-(c_TFWD))*((c_TMAP1OUT)-(0))+IF(((c_TMAP1OUT)-(0))&gt;=0,1,-1)*QUOTIENT(((c_TMAP1IN)-(c_TFWD)),2)))&gt;=0,1,0)))</f>
        <v>319</v>
      </c>
      <c r="E425" s="7" t="n">
        <f aca="false">IF(((c_TMAP2IN)-(c_TMAP1IN))=0,(c_TMAP1OUT)+QUOTIENT(((c_TMAP2OUT)-(c_TMAP1OUT)),2),QUOTIENT((((A425)-(c_TMAP1IN))*((c_TMAP2OUT)-(c_TMAP1OUT))+IF(((c_TMAP2OUT)-(c_TMAP1OUT))&gt;=0,1,-1)*QUOTIENT(((c_TMAP2IN)-(c_TMAP1IN)),2)),((c_TMAP2IN)-(c_TMAP1IN)))+(c_TMAP1OUT)+IF(((c_TMAP2OUT)-(c_TMAP1OUT))&gt;=0,IF(IF(o_WRAP=1,MOD(((c_TMAP2IN)-(c_TMAP1IN))*(((A425)-(c_TMAP1IN))*((c_TMAP2OUT)-(c_TMAP1OUT))+IF(((c_TMAP2OUT)-(c_TMAP1OUT))&gt;=0,1,-1)*QUOTIENT(((c_TMAP2IN)-(c_TMAP1IN)),2))+2147483648,4294967296)-2147483648,((c_TMAP2IN)-(c_TMAP1IN))*(((A425)-(c_TMAP1IN))*((c_TMAP2OUT)-(c_TMAP1OUT))+IF(((c_TMAP2OUT)-(c_TMAP1OUT))&gt;=0,1,-1)*QUOTIENT(((c_TMAP2IN)-(c_TMAP1IN)),2)))&lt;0,-1,0),IF(IF(o_WRAP=1,MOD(((c_TMAP2IN)-(c_TMAP1IN))*(((A425)-(c_TMAP1IN))*((c_TMAP2OUT)-(c_TMAP1OUT))+IF(((c_TMAP2OUT)-(c_TMAP1OUT))&gt;=0,1,-1)*QUOTIENT(((c_TMAP2IN)-(c_TMAP1IN)),2))+2147483648,4294967296)-2147483648,((c_TMAP2IN)-(c_TMAP1IN))*(((A425)-(c_TMAP1IN))*((c_TMAP2OUT)-(c_TMAP1OUT))+IF(((c_TMAP2OUT)-(c_TMAP1OUT))&gt;=0,1,-1)*QUOTIENT(((c_TMAP2IN)-(c_TMAP1IN)),2)))&gt;=0,1,0)))</f>
        <v>198</v>
      </c>
      <c r="F425" s="7" t="n">
        <f aca="false">IF(((c_TMAP3IN)-(c_TMAP2IN))=0,(c_TMAP2OUT)+QUOTIENT(((c_TMAP3OUT)-(c_TMAP2OUT)),2),QUOTIENT((((A425)-(c_TMAP2IN))*((c_TMAP3OUT)-(c_TMAP2OUT))+IF(((c_TMAP3OUT)-(c_TMAP2OUT))&gt;=0,1,-1)*QUOTIENT(((c_TMAP3IN)-(c_TMAP2IN)),2)),((c_TMAP3IN)-(c_TMAP2IN)))+(c_TMAP2OUT)+IF(((c_TMAP3OUT)-(c_TMAP2OUT))&gt;=0,IF(IF(o_WRAP=1,MOD(((c_TMAP3IN)-(c_TMAP2IN))*(((A425)-(c_TMAP2IN))*((c_TMAP3OUT)-(c_TMAP2OUT))+IF(((c_TMAP3OUT)-(c_TMAP2OUT))&gt;=0,1,-1)*QUOTIENT(((c_TMAP3IN)-(c_TMAP2IN)),2))+2147483648,4294967296)-2147483648,((c_TMAP3IN)-(c_TMAP2IN))*(((A425)-(c_TMAP2IN))*((c_TMAP3OUT)-(c_TMAP2OUT))+IF(((c_TMAP3OUT)-(c_TMAP2OUT))&gt;=0,1,-1)*QUOTIENT(((c_TMAP3IN)-(c_TMAP2IN)),2)))&lt;0,-1,0),IF(IF(o_WRAP=1,MOD(((c_TMAP3IN)-(c_TMAP2IN))*(((A425)-(c_TMAP2IN))*((c_TMAP3OUT)-(c_TMAP2OUT))+IF(((c_TMAP3OUT)-(c_TMAP2OUT))&gt;=0,1,-1)*QUOTIENT(((c_TMAP3IN)-(c_TMAP2IN)),2))+2147483648,4294967296)-2147483648,((c_TMAP3IN)-(c_TMAP2IN))*(((A425)-(c_TMAP2IN))*((c_TMAP3OUT)-(c_TMAP2OUT))+IF(((c_TMAP3OUT)-(c_TMAP2OUT))&gt;=0,1,-1)*QUOTIENT(((c_TMAP3IN)-(c_TMAP2IN)),2)))&gt;=0,1,0)))</f>
        <v>249</v>
      </c>
      <c r="G425" s="7" t="n">
        <f aca="false">IF(((1000)-(c_TMAP3IN))=0,(c_TMAP3OUT)+QUOTIENT(((1000)-(c_TMAP3OUT)),2),QUOTIENT((((A425)-(c_TMAP3IN))*((1000)-(c_TMAP3OUT))+IF(((1000)-(c_TMAP3OUT))&gt;=0,1,-1)*QUOTIENT(((1000)-(c_TMAP3IN)),2)),((1000)-(c_TMAP3IN)))+(c_TMAP3OUT)+IF(((1000)-(c_TMAP3OUT))&gt;=0,IF(IF(o_WRAP=1,MOD(((1000)-(c_TMAP3IN))*(((A425)-(c_TMAP3IN))*((1000)-(c_TMAP3OUT))+IF(((1000)-(c_TMAP3OUT))&gt;=0,1,-1)*QUOTIENT(((1000)-(c_TMAP3IN)),2))+2147483648,4294967296)-2147483648,((1000)-(c_TMAP3IN))*(((A425)-(c_TMAP3IN))*((1000)-(c_TMAP3OUT))+IF(((1000)-(c_TMAP3OUT))&gt;=0,1,-1)*QUOTIENT(((1000)-(c_TMAP3IN)),2)))&lt;0,-1,0),IF(IF(o_WRAP=1,MOD(((1000)-(c_TMAP3IN))*(((A425)-(c_TMAP3IN))*((1000)-(c_TMAP3OUT))+IF(((1000)-(c_TMAP3OUT))&gt;=0,1,-1)*QUOTIENT(((1000)-(c_TMAP3IN)),2))+2147483648,4294967296)-2147483648,((1000)-(c_TMAP3IN))*(((A425)-(c_TMAP3IN))*((1000)-(c_TMAP3OUT))+IF(((1000)-(c_TMAP3OUT))&gt;=0,1,-1)*QUOTIENT(((1000)-(c_TMAP3IN)),2)))&gt;=0,1,0)))</f>
        <v>286</v>
      </c>
      <c r="H425" s="7" t="str">
        <f aca="false">IF(A425&gt;=c_TFWD,IF(AND(A425&gt;=c_TMAP3IN,c_TMAP3IN&lt;1000),"Seg4 map3-100%",IF(AND(A425&gt;=c_TMAP2IN,c_TMAP3IN&gt;c_TMAP2IN),"Seg3 map2-map3",IF(AND(A425&gt;=c_TMAP1IN,c_TMAP2IN&gt;c_TMAP1IN),"Seg2 map1-map2","Seg1 TFWD-map1"))),IF(AND(A425=0,c_TCREEP&gt;0),"Creep",IF(AND(A425&lt;=c_TRNGMIN,A425&gt;=c_TRNGMAX,c_TRNGMIN-c_TRNGMAX&lt;&gt;0),"Regen ramp","Coast (0)")))</f>
        <v>Seg4 map3-100%</v>
      </c>
      <c r="I425" s="7" t="n">
        <f aca="false">IF(A425&gt;=c_TFWD,IF(AND(A425&gt;=c_TMAP3IN,c_TMAP3IN&lt;1000),G425,IF(AND(A425&gt;=c_TMAP2IN,c_TMAP3IN&gt;c_TMAP2IN),F425,IF(AND(A425&gt;=c_TMAP1IN,c_TMAP2IN&gt;c_TMAP1IN),E425,D425))),C425)</f>
        <v>286</v>
      </c>
      <c r="J425" s="7" t="str">
        <f aca="false">IF(I425&lt;-1090,"TOO LOW",IF(I425&gt;1090,"TOO HIGH",""))</f>
        <v/>
      </c>
      <c r="K425" s="15" t="n">
        <f aca="false">IF(J425&lt;&gt;"",0,IF(I425&gt;979,1000,I425))</f>
        <v>286</v>
      </c>
      <c r="L425" s="7" t="n">
        <f aca="false">K425/10</f>
        <v>28.6</v>
      </c>
    </row>
    <row r="426" customFormat="false" ht="15" hidden="false" customHeight="false" outlineLevel="0" collapsed="false">
      <c r="A426" s="7" t="n">
        <v>421</v>
      </c>
      <c r="B426" s="7" t="n">
        <f aca="false">A426/10</f>
        <v>42.1</v>
      </c>
      <c r="C426" s="7" t="n">
        <f aca="false">IF(AND(A426=0,c_TCREEP&gt;0),10*c_TCREEP,IF(AND(A426&lt;=c_TRNGMIN,A426&gt;=c_TRNGMAX,c_TRNGMIN-c_TRNGMAX&lt;&gt;0),-10*c_TMINRN+QUOTIENT((c_TMAXRN-c_TMINRN)*(100-QUOTIENT((A426-c_TRNGMAX)*100,c_TRNGMIN-c_TRNGMAX)),-10),0))</f>
        <v>0</v>
      </c>
      <c r="D426" s="7" t="n">
        <f aca="false">IF(((c_TMAP1IN)-(c_TFWD))=0,(0)+QUOTIENT(((c_TMAP1OUT)-(0)),2),QUOTIENT((((A426)-(c_TFWD))*((c_TMAP1OUT)-(0))+IF(((c_TMAP1OUT)-(0))&gt;=0,1,-1)*QUOTIENT(((c_TMAP1IN)-(c_TFWD)),2)),((c_TMAP1IN)-(c_TFWD)))+(0)+IF(((c_TMAP1OUT)-(0))&gt;=0,IF(IF(o_WRAP=1,MOD(((c_TMAP1IN)-(c_TFWD))*(((A426)-(c_TFWD))*((c_TMAP1OUT)-(0))+IF(((c_TMAP1OUT)-(0))&gt;=0,1,-1)*QUOTIENT(((c_TMAP1IN)-(c_TFWD)),2))+2147483648,4294967296)-2147483648,((c_TMAP1IN)-(c_TFWD))*(((A426)-(c_TFWD))*((c_TMAP1OUT)-(0))+IF(((c_TMAP1OUT)-(0))&gt;=0,1,-1)*QUOTIENT(((c_TMAP1IN)-(c_TFWD)),2)))&lt;0,-1,0),IF(IF(o_WRAP=1,MOD(((c_TMAP1IN)-(c_TFWD))*(((A426)-(c_TFWD))*((c_TMAP1OUT)-(0))+IF(((c_TMAP1OUT)-(0))&gt;=0,1,-1)*QUOTIENT(((c_TMAP1IN)-(c_TFWD)),2))+2147483648,4294967296)-2147483648,((c_TMAP1IN)-(c_TFWD))*(((A426)-(c_TFWD))*((c_TMAP1OUT)-(0))+IF(((c_TMAP1OUT)-(0))&gt;=0,1,-1)*QUOTIENT(((c_TMAP1IN)-(c_TFWD)),2)))&gt;=0,1,0)))</f>
        <v>320</v>
      </c>
      <c r="E426" s="7" t="n">
        <f aca="false">IF(((c_TMAP2IN)-(c_TMAP1IN))=0,(c_TMAP1OUT)+QUOTIENT(((c_TMAP2OUT)-(c_TMAP1OUT)),2),QUOTIENT((((A426)-(c_TMAP1IN))*((c_TMAP2OUT)-(c_TMAP1OUT))+IF(((c_TMAP2OUT)-(c_TMAP1OUT))&gt;=0,1,-1)*QUOTIENT(((c_TMAP2IN)-(c_TMAP1IN)),2)),((c_TMAP2IN)-(c_TMAP1IN)))+(c_TMAP1OUT)+IF(((c_TMAP2OUT)-(c_TMAP1OUT))&gt;=0,IF(IF(o_WRAP=1,MOD(((c_TMAP2IN)-(c_TMAP1IN))*(((A426)-(c_TMAP1IN))*((c_TMAP2OUT)-(c_TMAP1OUT))+IF(((c_TMAP2OUT)-(c_TMAP1OUT))&gt;=0,1,-1)*QUOTIENT(((c_TMAP2IN)-(c_TMAP1IN)),2))+2147483648,4294967296)-2147483648,((c_TMAP2IN)-(c_TMAP1IN))*(((A426)-(c_TMAP1IN))*((c_TMAP2OUT)-(c_TMAP1OUT))+IF(((c_TMAP2OUT)-(c_TMAP1OUT))&gt;=0,1,-1)*QUOTIENT(((c_TMAP2IN)-(c_TMAP1IN)),2)))&lt;0,-1,0),IF(IF(o_WRAP=1,MOD(((c_TMAP2IN)-(c_TMAP1IN))*(((A426)-(c_TMAP1IN))*((c_TMAP2OUT)-(c_TMAP1OUT))+IF(((c_TMAP2OUT)-(c_TMAP1OUT))&gt;=0,1,-1)*QUOTIENT(((c_TMAP2IN)-(c_TMAP1IN)),2))+2147483648,4294967296)-2147483648,((c_TMAP2IN)-(c_TMAP1IN))*(((A426)-(c_TMAP1IN))*((c_TMAP2OUT)-(c_TMAP1OUT))+IF(((c_TMAP2OUT)-(c_TMAP1OUT))&gt;=0,1,-1)*QUOTIENT(((c_TMAP2IN)-(c_TMAP1IN)),2)))&gt;=0,1,0)))</f>
        <v>198</v>
      </c>
      <c r="F426" s="7" t="n">
        <f aca="false">IF(((c_TMAP3IN)-(c_TMAP2IN))=0,(c_TMAP2OUT)+QUOTIENT(((c_TMAP3OUT)-(c_TMAP2OUT)),2),QUOTIENT((((A426)-(c_TMAP2IN))*((c_TMAP3OUT)-(c_TMAP2OUT))+IF(((c_TMAP3OUT)-(c_TMAP2OUT))&gt;=0,1,-1)*QUOTIENT(((c_TMAP3IN)-(c_TMAP2IN)),2)),((c_TMAP3IN)-(c_TMAP2IN)))+(c_TMAP2OUT)+IF(((c_TMAP3OUT)-(c_TMAP2OUT))&gt;=0,IF(IF(o_WRAP=1,MOD(((c_TMAP3IN)-(c_TMAP2IN))*(((A426)-(c_TMAP2IN))*((c_TMAP3OUT)-(c_TMAP2OUT))+IF(((c_TMAP3OUT)-(c_TMAP2OUT))&gt;=0,1,-1)*QUOTIENT(((c_TMAP3IN)-(c_TMAP2IN)),2))+2147483648,4294967296)-2147483648,((c_TMAP3IN)-(c_TMAP2IN))*(((A426)-(c_TMAP2IN))*((c_TMAP3OUT)-(c_TMAP2OUT))+IF(((c_TMAP3OUT)-(c_TMAP2OUT))&gt;=0,1,-1)*QUOTIENT(((c_TMAP3IN)-(c_TMAP2IN)),2)))&lt;0,-1,0),IF(IF(o_WRAP=1,MOD(((c_TMAP3IN)-(c_TMAP2IN))*(((A426)-(c_TMAP2IN))*((c_TMAP3OUT)-(c_TMAP2OUT))+IF(((c_TMAP3OUT)-(c_TMAP2OUT))&gt;=0,1,-1)*QUOTIENT(((c_TMAP3IN)-(c_TMAP2IN)),2))+2147483648,4294967296)-2147483648,((c_TMAP3IN)-(c_TMAP2IN))*(((A426)-(c_TMAP2IN))*((c_TMAP3OUT)-(c_TMAP2OUT))+IF(((c_TMAP3OUT)-(c_TMAP2OUT))&gt;=0,1,-1)*QUOTIENT(((c_TMAP3IN)-(c_TMAP2IN)),2)))&gt;=0,1,0)))</f>
        <v>250</v>
      </c>
      <c r="G426" s="7" t="n">
        <f aca="false">IF(((1000)-(c_TMAP3IN))=0,(c_TMAP3OUT)+QUOTIENT(((1000)-(c_TMAP3OUT)),2),QUOTIENT((((A426)-(c_TMAP3IN))*((1000)-(c_TMAP3OUT))+IF(((1000)-(c_TMAP3OUT))&gt;=0,1,-1)*QUOTIENT(((1000)-(c_TMAP3IN)),2)),((1000)-(c_TMAP3IN)))+(c_TMAP3OUT)+IF(((1000)-(c_TMAP3OUT))&gt;=0,IF(IF(o_WRAP=1,MOD(((1000)-(c_TMAP3IN))*(((A426)-(c_TMAP3IN))*((1000)-(c_TMAP3OUT))+IF(((1000)-(c_TMAP3OUT))&gt;=0,1,-1)*QUOTIENT(((1000)-(c_TMAP3IN)),2))+2147483648,4294967296)-2147483648,((1000)-(c_TMAP3IN))*(((A426)-(c_TMAP3IN))*((1000)-(c_TMAP3OUT))+IF(((1000)-(c_TMAP3OUT))&gt;=0,1,-1)*QUOTIENT(((1000)-(c_TMAP3IN)),2)))&lt;0,-1,0),IF(IF(o_WRAP=1,MOD(((1000)-(c_TMAP3IN))*(((A426)-(c_TMAP3IN))*((1000)-(c_TMAP3OUT))+IF(((1000)-(c_TMAP3OUT))&gt;=0,1,-1)*QUOTIENT(((1000)-(c_TMAP3IN)),2))+2147483648,4294967296)-2147483648,((1000)-(c_TMAP3IN))*(((A426)-(c_TMAP3IN))*((1000)-(c_TMAP3OUT))+IF(((1000)-(c_TMAP3OUT))&gt;=0,1,-1)*QUOTIENT(((1000)-(c_TMAP3IN)),2)))&gt;=0,1,0)))</f>
        <v>287</v>
      </c>
      <c r="H426" s="7" t="str">
        <f aca="false">IF(A426&gt;=c_TFWD,IF(AND(A426&gt;=c_TMAP3IN,c_TMAP3IN&lt;1000),"Seg4 map3-100%",IF(AND(A426&gt;=c_TMAP2IN,c_TMAP3IN&gt;c_TMAP2IN),"Seg3 map2-map3",IF(AND(A426&gt;=c_TMAP1IN,c_TMAP2IN&gt;c_TMAP1IN),"Seg2 map1-map2","Seg1 TFWD-map1"))),IF(AND(A426=0,c_TCREEP&gt;0),"Creep",IF(AND(A426&lt;=c_TRNGMIN,A426&gt;=c_TRNGMAX,c_TRNGMIN-c_TRNGMAX&lt;&gt;0),"Regen ramp","Coast (0)")))</f>
        <v>Seg4 map3-100%</v>
      </c>
      <c r="I426" s="7" t="n">
        <f aca="false">IF(A426&gt;=c_TFWD,IF(AND(A426&gt;=c_TMAP3IN,c_TMAP3IN&lt;1000),G426,IF(AND(A426&gt;=c_TMAP2IN,c_TMAP3IN&gt;c_TMAP2IN),F426,IF(AND(A426&gt;=c_TMAP1IN,c_TMAP2IN&gt;c_TMAP1IN),E426,D426))),C426)</f>
        <v>287</v>
      </c>
      <c r="J426" s="7" t="str">
        <f aca="false">IF(I426&lt;-1090,"TOO LOW",IF(I426&gt;1090,"TOO HIGH",""))</f>
        <v/>
      </c>
      <c r="K426" s="15" t="n">
        <f aca="false">IF(J426&lt;&gt;"",0,IF(I426&gt;979,1000,I426))</f>
        <v>287</v>
      </c>
      <c r="L426" s="7" t="n">
        <f aca="false">K426/10</f>
        <v>28.7</v>
      </c>
    </row>
    <row r="427" customFormat="false" ht="15" hidden="false" customHeight="false" outlineLevel="0" collapsed="false">
      <c r="A427" s="7" t="n">
        <v>422</v>
      </c>
      <c r="B427" s="7" t="n">
        <f aca="false">A427/10</f>
        <v>42.2</v>
      </c>
      <c r="C427" s="7" t="n">
        <f aca="false">IF(AND(A427=0,c_TCREEP&gt;0),10*c_TCREEP,IF(AND(A427&lt;=c_TRNGMIN,A427&gt;=c_TRNGMAX,c_TRNGMIN-c_TRNGMAX&lt;&gt;0),-10*c_TMINRN+QUOTIENT((c_TMAXRN-c_TMINRN)*(100-QUOTIENT((A427-c_TRNGMAX)*100,c_TRNGMIN-c_TRNGMAX)),-10),0))</f>
        <v>0</v>
      </c>
      <c r="D427" s="7" t="n">
        <f aca="false">IF(((c_TMAP1IN)-(c_TFWD))=0,(0)+QUOTIENT(((c_TMAP1OUT)-(0)),2),QUOTIENT((((A427)-(c_TFWD))*((c_TMAP1OUT)-(0))+IF(((c_TMAP1OUT)-(0))&gt;=0,1,-1)*QUOTIENT(((c_TMAP1IN)-(c_TFWD)),2)),((c_TMAP1IN)-(c_TFWD)))+(0)+IF(((c_TMAP1OUT)-(0))&gt;=0,IF(IF(o_WRAP=1,MOD(((c_TMAP1IN)-(c_TFWD))*(((A427)-(c_TFWD))*((c_TMAP1OUT)-(0))+IF(((c_TMAP1OUT)-(0))&gt;=0,1,-1)*QUOTIENT(((c_TMAP1IN)-(c_TFWD)),2))+2147483648,4294967296)-2147483648,((c_TMAP1IN)-(c_TFWD))*(((A427)-(c_TFWD))*((c_TMAP1OUT)-(0))+IF(((c_TMAP1OUT)-(0))&gt;=0,1,-1)*QUOTIENT(((c_TMAP1IN)-(c_TFWD)),2)))&lt;0,-1,0),IF(IF(o_WRAP=1,MOD(((c_TMAP1IN)-(c_TFWD))*(((A427)-(c_TFWD))*((c_TMAP1OUT)-(0))+IF(((c_TMAP1OUT)-(0))&gt;=0,1,-1)*QUOTIENT(((c_TMAP1IN)-(c_TFWD)),2))+2147483648,4294967296)-2147483648,((c_TMAP1IN)-(c_TFWD))*(((A427)-(c_TFWD))*((c_TMAP1OUT)-(0))+IF(((c_TMAP1OUT)-(0))&gt;=0,1,-1)*QUOTIENT(((c_TMAP1IN)-(c_TFWD)),2)))&gt;=0,1,0)))</f>
        <v>320</v>
      </c>
      <c r="E427" s="7" t="n">
        <f aca="false">IF(((c_TMAP2IN)-(c_TMAP1IN))=0,(c_TMAP1OUT)+QUOTIENT(((c_TMAP2OUT)-(c_TMAP1OUT)),2),QUOTIENT((((A427)-(c_TMAP1IN))*((c_TMAP2OUT)-(c_TMAP1OUT))+IF(((c_TMAP2OUT)-(c_TMAP1OUT))&gt;=0,1,-1)*QUOTIENT(((c_TMAP2IN)-(c_TMAP1IN)),2)),((c_TMAP2IN)-(c_TMAP1IN)))+(c_TMAP1OUT)+IF(((c_TMAP2OUT)-(c_TMAP1OUT))&gt;=0,IF(IF(o_WRAP=1,MOD(((c_TMAP2IN)-(c_TMAP1IN))*(((A427)-(c_TMAP1IN))*((c_TMAP2OUT)-(c_TMAP1OUT))+IF(((c_TMAP2OUT)-(c_TMAP1OUT))&gt;=0,1,-1)*QUOTIENT(((c_TMAP2IN)-(c_TMAP1IN)),2))+2147483648,4294967296)-2147483648,((c_TMAP2IN)-(c_TMAP1IN))*(((A427)-(c_TMAP1IN))*((c_TMAP2OUT)-(c_TMAP1OUT))+IF(((c_TMAP2OUT)-(c_TMAP1OUT))&gt;=0,1,-1)*QUOTIENT(((c_TMAP2IN)-(c_TMAP1IN)),2)))&lt;0,-1,0),IF(IF(o_WRAP=1,MOD(((c_TMAP2IN)-(c_TMAP1IN))*(((A427)-(c_TMAP1IN))*((c_TMAP2OUT)-(c_TMAP1OUT))+IF(((c_TMAP2OUT)-(c_TMAP1OUT))&gt;=0,1,-1)*QUOTIENT(((c_TMAP2IN)-(c_TMAP1IN)),2))+2147483648,4294967296)-2147483648,((c_TMAP2IN)-(c_TMAP1IN))*(((A427)-(c_TMAP1IN))*((c_TMAP2OUT)-(c_TMAP1OUT))+IF(((c_TMAP2OUT)-(c_TMAP1OUT))&gt;=0,1,-1)*QUOTIENT(((c_TMAP2IN)-(c_TMAP1IN)),2)))&gt;=0,1,0)))</f>
        <v>199</v>
      </c>
      <c r="F427" s="7" t="n">
        <f aca="false">IF(((c_TMAP3IN)-(c_TMAP2IN))=0,(c_TMAP2OUT)+QUOTIENT(((c_TMAP3OUT)-(c_TMAP2OUT)),2),QUOTIENT((((A427)-(c_TMAP2IN))*((c_TMAP3OUT)-(c_TMAP2OUT))+IF(((c_TMAP3OUT)-(c_TMAP2OUT))&gt;=0,1,-1)*QUOTIENT(((c_TMAP3IN)-(c_TMAP2IN)),2)),((c_TMAP3IN)-(c_TMAP2IN)))+(c_TMAP2OUT)+IF(((c_TMAP3OUT)-(c_TMAP2OUT))&gt;=0,IF(IF(o_WRAP=1,MOD(((c_TMAP3IN)-(c_TMAP2IN))*(((A427)-(c_TMAP2IN))*((c_TMAP3OUT)-(c_TMAP2OUT))+IF(((c_TMAP3OUT)-(c_TMAP2OUT))&gt;=0,1,-1)*QUOTIENT(((c_TMAP3IN)-(c_TMAP2IN)),2))+2147483648,4294967296)-2147483648,((c_TMAP3IN)-(c_TMAP2IN))*(((A427)-(c_TMAP2IN))*((c_TMAP3OUT)-(c_TMAP2OUT))+IF(((c_TMAP3OUT)-(c_TMAP2OUT))&gt;=0,1,-1)*QUOTIENT(((c_TMAP3IN)-(c_TMAP2IN)),2)))&lt;0,-1,0),IF(IF(o_WRAP=1,MOD(((c_TMAP3IN)-(c_TMAP2IN))*(((A427)-(c_TMAP2IN))*((c_TMAP3OUT)-(c_TMAP2OUT))+IF(((c_TMAP3OUT)-(c_TMAP2OUT))&gt;=0,1,-1)*QUOTIENT(((c_TMAP3IN)-(c_TMAP2IN)),2))+2147483648,4294967296)-2147483648,((c_TMAP3IN)-(c_TMAP2IN))*(((A427)-(c_TMAP2IN))*((c_TMAP3OUT)-(c_TMAP2OUT))+IF(((c_TMAP3OUT)-(c_TMAP2OUT))&gt;=0,1,-1)*QUOTIENT(((c_TMAP3IN)-(c_TMAP2IN)),2)))&gt;=0,1,0)))</f>
        <v>250</v>
      </c>
      <c r="G427" s="7" t="n">
        <f aca="false">IF(((1000)-(c_TMAP3IN))=0,(c_TMAP3OUT)+QUOTIENT(((1000)-(c_TMAP3OUT)),2),QUOTIENT((((A427)-(c_TMAP3IN))*((1000)-(c_TMAP3OUT))+IF(((1000)-(c_TMAP3OUT))&gt;=0,1,-1)*QUOTIENT(((1000)-(c_TMAP3IN)),2)),((1000)-(c_TMAP3IN)))+(c_TMAP3OUT)+IF(((1000)-(c_TMAP3OUT))&gt;=0,IF(IF(o_WRAP=1,MOD(((1000)-(c_TMAP3IN))*(((A427)-(c_TMAP3IN))*((1000)-(c_TMAP3OUT))+IF(((1000)-(c_TMAP3OUT))&gt;=0,1,-1)*QUOTIENT(((1000)-(c_TMAP3IN)),2))+2147483648,4294967296)-2147483648,((1000)-(c_TMAP3IN))*(((A427)-(c_TMAP3IN))*((1000)-(c_TMAP3OUT))+IF(((1000)-(c_TMAP3OUT))&gt;=0,1,-1)*QUOTIENT(((1000)-(c_TMAP3IN)),2)))&lt;0,-1,0),IF(IF(o_WRAP=1,MOD(((1000)-(c_TMAP3IN))*(((A427)-(c_TMAP3IN))*((1000)-(c_TMAP3OUT))+IF(((1000)-(c_TMAP3OUT))&gt;=0,1,-1)*QUOTIENT(((1000)-(c_TMAP3IN)),2))+2147483648,4294967296)-2147483648,((1000)-(c_TMAP3IN))*(((A427)-(c_TMAP3IN))*((1000)-(c_TMAP3OUT))+IF(((1000)-(c_TMAP3OUT))&gt;=0,1,-1)*QUOTIENT(((1000)-(c_TMAP3IN)),2)))&gt;=0,1,0)))</f>
        <v>289</v>
      </c>
      <c r="H427" s="7" t="str">
        <f aca="false">IF(A427&gt;=c_TFWD,IF(AND(A427&gt;=c_TMAP3IN,c_TMAP3IN&lt;1000),"Seg4 map3-100%",IF(AND(A427&gt;=c_TMAP2IN,c_TMAP3IN&gt;c_TMAP2IN),"Seg3 map2-map3",IF(AND(A427&gt;=c_TMAP1IN,c_TMAP2IN&gt;c_TMAP1IN),"Seg2 map1-map2","Seg1 TFWD-map1"))),IF(AND(A427=0,c_TCREEP&gt;0),"Creep",IF(AND(A427&lt;=c_TRNGMIN,A427&gt;=c_TRNGMAX,c_TRNGMIN-c_TRNGMAX&lt;&gt;0),"Regen ramp","Coast (0)")))</f>
        <v>Seg4 map3-100%</v>
      </c>
      <c r="I427" s="7" t="n">
        <f aca="false">IF(A427&gt;=c_TFWD,IF(AND(A427&gt;=c_TMAP3IN,c_TMAP3IN&lt;1000),G427,IF(AND(A427&gt;=c_TMAP2IN,c_TMAP3IN&gt;c_TMAP2IN),F427,IF(AND(A427&gt;=c_TMAP1IN,c_TMAP2IN&gt;c_TMAP1IN),E427,D427))),C427)</f>
        <v>289</v>
      </c>
      <c r="J427" s="7" t="str">
        <f aca="false">IF(I427&lt;-1090,"TOO LOW",IF(I427&gt;1090,"TOO HIGH",""))</f>
        <v/>
      </c>
      <c r="K427" s="15" t="n">
        <f aca="false">IF(J427&lt;&gt;"",0,IF(I427&gt;979,1000,I427))</f>
        <v>289</v>
      </c>
      <c r="L427" s="7" t="n">
        <f aca="false">K427/10</f>
        <v>28.9</v>
      </c>
    </row>
    <row r="428" customFormat="false" ht="15" hidden="false" customHeight="false" outlineLevel="0" collapsed="false">
      <c r="A428" s="7" t="n">
        <v>423</v>
      </c>
      <c r="B428" s="7" t="n">
        <f aca="false">A428/10</f>
        <v>42.3</v>
      </c>
      <c r="C428" s="7" t="n">
        <f aca="false">IF(AND(A428=0,c_TCREEP&gt;0),10*c_TCREEP,IF(AND(A428&lt;=c_TRNGMIN,A428&gt;=c_TRNGMAX,c_TRNGMIN-c_TRNGMAX&lt;&gt;0),-10*c_TMINRN+QUOTIENT((c_TMAXRN-c_TMINRN)*(100-QUOTIENT((A428-c_TRNGMAX)*100,c_TRNGMIN-c_TRNGMAX)),-10),0))</f>
        <v>0</v>
      </c>
      <c r="D428" s="7" t="n">
        <f aca="false">IF(((c_TMAP1IN)-(c_TFWD))=0,(0)+QUOTIENT(((c_TMAP1OUT)-(0)),2),QUOTIENT((((A428)-(c_TFWD))*((c_TMAP1OUT)-(0))+IF(((c_TMAP1OUT)-(0))&gt;=0,1,-1)*QUOTIENT(((c_TMAP1IN)-(c_TFWD)),2)),((c_TMAP1IN)-(c_TFWD)))+(0)+IF(((c_TMAP1OUT)-(0))&gt;=0,IF(IF(o_WRAP=1,MOD(((c_TMAP1IN)-(c_TFWD))*(((A428)-(c_TFWD))*((c_TMAP1OUT)-(0))+IF(((c_TMAP1OUT)-(0))&gt;=0,1,-1)*QUOTIENT(((c_TMAP1IN)-(c_TFWD)),2))+2147483648,4294967296)-2147483648,((c_TMAP1IN)-(c_TFWD))*(((A428)-(c_TFWD))*((c_TMAP1OUT)-(0))+IF(((c_TMAP1OUT)-(0))&gt;=0,1,-1)*QUOTIENT(((c_TMAP1IN)-(c_TFWD)),2)))&lt;0,-1,0),IF(IF(o_WRAP=1,MOD(((c_TMAP1IN)-(c_TFWD))*(((A428)-(c_TFWD))*((c_TMAP1OUT)-(0))+IF(((c_TMAP1OUT)-(0))&gt;=0,1,-1)*QUOTIENT(((c_TMAP1IN)-(c_TFWD)),2))+2147483648,4294967296)-2147483648,((c_TMAP1IN)-(c_TFWD))*(((A428)-(c_TFWD))*((c_TMAP1OUT)-(0))+IF(((c_TMAP1OUT)-(0))&gt;=0,1,-1)*QUOTIENT(((c_TMAP1IN)-(c_TFWD)),2)))&gt;=0,1,0)))</f>
        <v>321</v>
      </c>
      <c r="E428" s="7" t="n">
        <f aca="false">IF(((c_TMAP2IN)-(c_TMAP1IN))=0,(c_TMAP1OUT)+QUOTIENT(((c_TMAP2OUT)-(c_TMAP1OUT)),2),QUOTIENT((((A428)-(c_TMAP1IN))*((c_TMAP2OUT)-(c_TMAP1OUT))+IF(((c_TMAP2OUT)-(c_TMAP1OUT))&gt;=0,1,-1)*QUOTIENT(((c_TMAP2IN)-(c_TMAP1IN)),2)),((c_TMAP2IN)-(c_TMAP1IN)))+(c_TMAP1OUT)+IF(((c_TMAP2OUT)-(c_TMAP1OUT))&gt;=0,IF(IF(o_WRAP=1,MOD(((c_TMAP2IN)-(c_TMAP1IN))*(((A428)-(c_TMAP1IN))*((c_TMAP2OUT)-(c_TMAP1OUT))+IF(((c_TMAP2OUT)-(c_TMAP1OUT))&gt;=0,1,-1)*QUOTIENT(((c_TMAP2IN)-(c_TMAP1IN)),2))+2147483648,4294967296)-2147483648,((c_TMAP2IN)-(c_TMAP1IN))*(((A428)-(c_TMAP1IN))*((c_TMAP2OUT)-(c_TMAP1OUT))+IF(((c_TMAP2OUT)-(c_TMAP1OUT))&gt;=0,1,-1)*QUOTIENT(((c_TMAP2IN)-(c_TMAP1IN)),2)))&lt;0,-1,0),IF(IF(o_WRAP=1,MOD(((c_TMAP2IN)-(c_TMAP1IN))*(((A428)-(c_TMAP1IN))*((c_TMAP2OUT)-(c_TMAP1OUT))+IF(((c_TMAP2OUT)-(c_TMAP1OUT))&gt;=0,1,-1)*QUOTIENT(((c_TMAP2IN)-(c_TMAP1IN)),2))+2147483648,4294967296)-2147483648,((c_TMAP2IN)-(c_TMAP1IN))*(((A428)-(c_TMAP1IN))*((c_TMAP2OUT)-(c_TMAP1OUT))+IF(((c_TMAP2OUT)-(c_TMAP1OUT))&gt;=0,1,-1)*QUOTIENT(((c_TMAP2IN)-(c_TMAP1IN)),2)))&gt;=0,1,0)))</f>
        <v>199</v>
      </c>
      <c r="F428" s="7" t="n">
        <f aca="false">IF(((c_TMAP3IN)-(c_TMAP2IN))=0,(c_TMAP2OUT)+QUOTIENT(((c_TMAP3OUT)-(c_TMAP2OUT)),2),QUOTIENT((((A428)-(c_TMAP2IN))*((c_TMAP3OUT)-(c_TMAP2OUT))+IF(((c_TMAP3OUT)-(c_TMAP2OUT))&gt;=0,1,-1)*QUOTIENT(((c_TMAP3IN)-(c_TMAP2IN)),2)),((c_TMAP3IN)-(c_TMAP2IN)))+(c_TMAP2OUT)+IF(((c_TMAP3OUT)-(c_TMAP2OUT))&gt;=0,IF(IF(o_WRAP=1,MOD(((c_TMAP3IN)-(c_TMAP2IN))*(((A428)-(c_TMAP2IN))*((c_TMAP3OUT)-(c_TMAP2OUT))+IF(((c_TMAP3OUT)-(c_TMAP2OUT))&gt;=0,1,-1)*QUOTIENT(((c_TMAP3IN)-(c_TMAP2IN)),2))+2147483648,4294967296)-2147483648,((c_TMAP3IN)-(c_TMAP2IN))*(((A428)-(c_TMAP2IN))*((c_TMAP3OUT)-(c_TMAP2OUT))+IF(((c_TMAP3OUT)-(c_TMAP2OUT))&gt;=0,1,-1)*QUOTIENT(((c_TMAP3IN)-(c_TMAP2IN)),2)))&lt;0,-1,0),IF(IF(o_WRAP=1,MOD(((c_TMAP3IN)-(c_TMAP2IN))*(((A428)-(c_TMAP2IN))*((c_TMAP3OUT)-(c_TMAP2OUT))+IF(((c_TMAP3OUT)-(c_TMAP2OUT))&gt;=0,1,-1)*QUOTIENT(((c_TMAP3IN)-(c_TMAP2IN)),2))+2147483648,4294967296)-2147483648,((c_TMAP3IN)-(c_TMAP2IN))*(((A428)-(c_TMAP2IN))*((c_TMAP3OUT)-(c_TMAP2OUT))+IF(((c_TMAP3OUT)-(c_TMAP2OUT))&gt;=0,1,-1)*QUOTIENT(((c_TMAP3IN)-(c_TMAP2IN)),2)))&gt;=0,1,0)))</f>
        <v>251</v>
      </c>
      <c r="G428" s="7" t="n">
        <f aca="false">IF(((1000)-(c_TMAP3IN))=0,(c_TMAP3OUT)+QUOTIENT(((1000)-(c_TMAP3OUT)),2),QUOTIENT((((A428)-(c_TMAP3IN))*((1000)-(c_TMAP3OUT))+IF(((1000)-(c_TMAP3OUT))&gt;=0,1,-1)*QUOTIENT(((1000)-(c_TMAP3IN)),2)),((1000)-(c_TMAP3IN)))+(c_TMAP3OUT)+IF(((1000)-(c_TMAP3OUT))&gt;=0,IF(IF(o_WRAP=1,MOD(((1000)-(c_TMAP3IN))*(((A428)-(c_TMAP3IN))*((1000)-(c_TMAP3OUT))+IF(((1000)-(c_TMAP3OUT))&gt;=0,1,-1)*QUOTIENT(((1000)-(c_TMAP3IN)),2))+2147483648,4294967296)-2147483648,((1000)-(c_TMAP3IN))*(((A428)-(c_TMAP3IN))*((1000)-(c_TMAP3OUT))+IF(((1000)-(c_TMAP3OUT))&gt;=0,1,-1)*QUOTIENT(((1000)-(c_TMAP3IN)),2)))&lt;0,-1,0),IF(IF(o_WRAP=1,MOD(((1000)-(c_TMAP3IN))*(((A428)-(c_TMAP3IN))*((1000)-(c_TMAP3OUT))+IF(((1000)-(c_TMAP3OUT))&gt;=0,1,-1)*QUOTIENT(((1000)-(c_TMAP3IN)),2))+2147483648,4294967296)-2147483648,((1000)-(c_TMAP3IN))*(((A428)-(c_TMAP3IN))*((1000)-(c_TMAP3OUT))+IF(((1000)-(c_TMAP3OUT))&gt;=0,1,-1)*QUOTIENT(((1000)-(c_TMAP3IN)),2)))&gt;=0,1,0)))</f>
        <v>290</v>
      </c>
      <c r="H428" s="7" t="str">
        <f aca="false">IF(A428&gt;=c_TFWD,IF(AND(A428&gt;=c_TMAP3IN,c_TMAP3IN&lt;1000),"Seg4 map3-100%",IF(AND(A428&gt;=c_TMAP2IN,c_TMAP3IN&gt;c_TMAP2IN),"Seg3 map2-map3",IF(AND(A428&gt;=c_TMAP1IN,c_TMAP2IN&gt;c_TMAP1IN),"Seg2 map1-map2","Seg1 TFWD-map1"))),IF(AND(A428=0,c_TCREEP&gt;0),"Creep",IF(AND(A428&lt;=c_TRNGMIN,A428&gt;=c_TRNGMAX,c_TRNGMIN-c_TRNGMAX&lt;&gt;0),"Regen ramp","Coast (0)")))</f>
        <v>Seg4 map3-100%</v>
      </c>
      <c r="I428" s="7" t="n">
        <f aca="false">IF(A428&gt;=c_TFWD,IF(AND(A428&gt;=c_TMAP3IN,c_TMAP3IN&lt;1000),G428,IF(AND(A428&gt;=c_TMAP2IN,c_TMAP3IN&gt;c_TMAP2IN),F428,IF(AND(A428&gt;=c_TMAP1IN,c_TMAP2IN&gt;c_TMAP1IN),E428,D428))),C428)</f>
        <v>290</v>
      </c>
      <c r="J428" s="7" t="str">
        <f aca="false">IF(I428&lt;-1090,"TOO LOW",IF(I428&gt;1090,"TOO HIGH",""))</f>
        <v/>
      </c>
      <c r="K428" s="15" t="n">
        <f aca="false">IF(J428&lt;&gt;"",0,IF(I428&gt;979,1000,I428))</f>
        <v>290</v>
      </c>
      <c r="L428" s="7" t="n">
        <f aca="false">K428/10</f>
        <v>29</v>
      </c>
    </row>
    <row r="429" customFormat="false" ht="15" hidden="false" customHeight="false" outlineLevel="0" collapsed="false">
      <c r="A429" s="7" t="n">
        <v>424</v>
      </c>
      <c r="B429" s="7" t="n">
        <f aca="false">A429/10</f>
        <v>42.4</v>
      </c>
      <c r="C429" s="7" t="n">
        <f aca="false">IF(AND(A429=0,c_TCREEP&gt;0),10*c_TCREEP,IF(AND(A429&lt;=c_TRNGMIN,A429&gt;=c_TRNGMAX,c_TRNGMIN-c_TRNGMAX&lt;&gt;0),-10*c_TMINRN+QUOTIENT((c_TMAXRN-c_TMINRN)*(100-QUOTIENT((A429-c_TRNGMAX)*100,c_TRNGMIN-c_TRNGMAX)),-10),0))</f>
        <v>0</v>
      </c>
      <c r="D429" s="7" t="n">
        <f aca="false">IF(((c_TMAP1IN)-(c_TFWD))=0,(0)+QUOTIENT(((c_TMAP1OUT)-(0)),2),QUOTIENT((((A429)-(c_TFWD))*((c_TMAP1OUT)-(0))+IF(((c_TMAP1OUT)-(0))&gt;=0,1,-1)*QUOTIENT(((c_TMAP1IN)-(c_TFWD)),2)),((c_TMAP1IN)-(c_TFWD)))+(0)+IF(((c_TMAP1OUT)-(0))&gt;=0,IF(IF(o_WRAP=1,MOD(((c_TMAP1IN)-(c_TFWD))*(((A429)-(c_TFWD))*((c_TMAP1OUT)-(0))+IF(((c_TMAP1OUT)-(0))&gt;=0,1,-1)*QUOTIENT(((c_TMAP1IN)-(c_TFWD)),2))+2147483648,4294967296)-2147483648,((c_TMAP1IN)-(c_TFWD))*(((A429)-(c_TFWD))*((c_TMAP1OUT)-(0))+IF(((c_TMAP1OUT)-(0))&gt;=0,1,-1)*QUOTIENT(((c_TMAP1IN)-(c_TFWD)),2)))&lt;0,-1,0),IF(IF(o_WRAP=1,MOD(((c_TMAP1IN)-(c_TFWD))*(((A429)-(c_TFWD))*((c_TMAP1OUT)-(0))+IF(((c_TMAP1OUT)-(0))&gt;=0,1,-1)*QUOTIENT(((c_TMAP1IN)-(c_TFWD)),2))+2147483648,4294967296)-2147483648,((c_TMAP1IN)-(c_TFWD))*(((A429)-(c_TFWD))*((c_TMAP1OUT)-(0))+IF(((c_TMAP1OUT)-(0))&gt;=0,1,-1)*QUOTIENT(((c_TMAP1IN)-(c_TFWD)),2)))&gt;=0,1,0)))</f>
        <v>322</v>
      </c>
      <c r="E429" s="7" t="n">
        <f aca="false">IF(((c_TMAP2IN)-(c_TMAP1IN))=0,(c_TMAP1OUT)+QUOTIENT(((c_TMAP2OUT)-(c_TMAP1OUT)),2),QUOTIENT((((A429)-(c_TMAP1IN))*((c_TMAP2OUT)-(c_TMAP1OUT))+IF(((c_TMAP2OUT)-(c_TMAP1OUT))&gt;=0,1,-1)*QUOTIENT(((c_TMAP2IN)-(c_TMAP1IN)),2)),((c_TMAP2IN)-(c_TMAP1IN)))+(c_TMAP1OUT)+IF(((c_TMAP2OUT)-(c_TMAP1OUT))&gt;=0,IF(IF(o_WRAP=1,MOD(((c_TMAP2IN)-(c_TMAP1IN))*(((A429)-(c_TMAP1IN))*((c_TMAP2OUT)-(c_TMAP1OUT))+IF(((c_TMAP2OUT)-(c_TMAP1OUT))&gt;=0,1,-1)*QUOTIENT(((c_TMAP2IN)-(c_TMAP1IN)),2))+2147483648,4294967296)-2147483648,((c_TMAP2IN)-(c_TMAP1IN))*(((A429)-(c_TMAP1IN))*((c_TMAP2OUT)-(c_TMAP1OUT))+IF(((c_TMAP2OUT)-(c_TMAP1OUT))&gt;=0,1,-1)*QUOTIENT(((c_TMAP2IN)-(c_TMAP1IN)),2)))&lt;0,-1,0),IF(IF(o_WRAP=1,MOD(((c_TMAP2IN)-(c_TMAP1IN))*(((A429)-(c_TMAP1IN))*((c_TMAP2OUT)-(c_TMAP1OUT))+IF(((c_TMAP2OUT)-(c_TMAP1OUT))&gt;=0,1,-1)*QUOTIENT(((c_TMAP2IN)-(c_TMAP1IN)),2))+2147483648,4294967296)-2147483648,((c_TMAP2IN)-(c_TMAP1IN))*(((A429)-(c_TMAP1IN))*((c_TMAP2OUT)-(c_TMAP1OUT))+IF(((c_TMAP2OUT)-(c_TMAP1OUT))&gt;=0,1,-1)*QUOTIENT(((c_TMAP2IN)-(c_TMAP1IN)),2)))&gt;=0,1,0)))</f>
        <v>200</v>
      </c>
      <c r="F429" s="7" t="n">
        <f aca="false">IF(((c_TMAP3IN)-(c_TMAP2IN))=0,(c_TMAP2OUT)+QUOTIENT(((c_TMAP3OUT)-(c_TMAP2OUT)),2),QUOTIENT((((A429)-(c_TMAP2IN))*((c_TMAP3OUT)-(c_TMAP2OUT))+IF(((c_TMAP3OUT)-(c_TMAP2OUT))&gt;=0,1,-1)*QUOTIENT(((c_TMAP3IN)-(c_TMAP2IN)),2)),((c_TMAP3IN)-(c_TMAP2IN)))+(c_TMAP2OUT)+IF(((c_TMAP3OUT)-(c_TMAP2OUT))&gt;=0,IF(IF(o_WRAP=1,MOD(((c_TMAP3IN)-(c_TMAP2IN))*(((A429)-(c_TMAP2IN))*((c_TMAP3OUT)-(c_TMAP2OUT))+IF(((c_TMAP3OUT)-(c_TMAP2OUT))&gt;=0,1,-1)*QUOTIENT(((c_TMAP3IN)-(c_TMAP2IN)),2))+2147483648,4294967296)-2147483648,((c_TMAP3IN)-(c_TMAP2IN))*(((A429)-(c_TMAP2IN))*((c_TMAP3OUT)-(c_TMAP2OUT))+IF(((c_TMAP3OUT)-(c_TMAP2OUT))&gt;=0,1,-1)*QUOTIENT(((c_TMAP3IN)-(c_TMAP2IN)),2)))&lt;0,-1,0),IF(IF(o_WRAP=1,MOD(((c_TMAP3IN)-(c_TMAP2IN))*(((A429)-(c_TMAP2IN))*((c_TMAP3OUT)-(c_TMAP2OUT))+IF(((c_TMAP3OUT)-(c_TMAP2OUT))&gt;=0,1,-1)*QUOTIENT(((c_TMAP3IN)-(c_TMAP2IN)),2))+2147483648,4294967296)-2147483648,((c_TMAP3IN)-(c_TMAP2IN))*(((A429)-(c_TMAP2IN))*((c_TMAP3OUT)-(c_TMAP2OUT))+IF(((c_TMAP3OUT)-(c_TMAP2OUT))&gt;=0,1,-1)*QUOTIENT(((c_TMAP3IN)-(c_TMAP2IN)),2)))&gt;=0,1,0)))</f>
        <v>252</v>
      </c>
      <c r="G429" s="7" t="n">
        <f aca="false">IF(((1000)-(c_TMAP3IN))=0,(c_TMAP3OUT)+QUOTIENT(((1000)-(c_TMAP3OUT)),2),QUOTIENT((((A429)-(c_TMAP3IN))*((1000)-(c_TMAP3OUT))+IF(((1000)-(c_TMAP3OUT))&gt;=0,1,-1)*QUOTIENT(((1000)-(c_TMAP3IN)),2)),((1000)-(c_TMAP3IN)))+(c_TMAP3OUT)+IF(((1000)-(c_TMAP3OUT))&gt;=0,IF(IF(o_WRAP=1,MOD(((1000)-(c_TMAP3IN))*(((A429)-(c_TMAP3IN))*((1000)-(c_TMAP3OUT))+IF(((1000)-(c_TMAP3OUT))&gt;=0,1,-1)*QUOTIENT(((1000)-(c_TMAP3IN)),2))+2147483648,4294967296)-2147483648,((1000)-(c_TMAP3IN))*(((A429)-(c_TMAP3IN))*((1000)-(c_TMAP3OUT))+IF(((1000)-(c_TMAP3OUT))&gt;=0,1,-1)*QUOTIENT(((1000)-(c_TMAP3IN)),2)))&lt;0,-1,0),IF(IF(o_WRAP=1,MOD(((1000)-(c_TMAP3IN))*(((A429)-(c_TMAP3IN))*((1000)-(c_TMAP3OUT))+IF(((1000)-(c_TMAP3OUT))&gt;=0,1,-1)*QUOTIENT(((1000)-(c_TMAP3IN)),2))+2147483648,4294967296)-2147483648,((1000)-(c_TMAP3IN))*(((A429)-(c_TMAP3IN))*((1000)-(c_TMAP3OUT))+IF(((1000)-(c_TMAP3OUT))&gt;=0,1,-1)*QUOTIENT(((1000)-(c_TMAP3IN)),2)))&gt;=0,1,0)))</f>
        <v>291</v>
      </c>
      <c r="H429" s="7" t="str">
        <f aca="false">IF(A429&gt;=c_TFWD,IF(AND(A429&gt;=c_TMAP3IN,c_TMAP3IN&lt;1000),"Seg4 map3-100%",IF(AND(A429&gt;=c_TMAP2IN,c_TMAP3IN&gt;c_TMAP2IN),"Seg3 map2-map3",IF(AND(A429&gt;=c_TMAP1IN,c_TMAP2IN&gt;c_TMAP1IN),"Seg2 map1-map2","Seg1 TFWD-map1"))),IF(AND(A429=0,c_TCREEP&gt;0),"Creep",IF(AND(A429&lt;=c_TRNGMIN,A429&gt;=c_TRNGMAX,c_TRNGMIN-c_TRNGMAX&lt;&gt;0),"Regen ramp","Coast (0)")))</f>
        <v>Seg4 map3-100%</v>
      </c>
      <c r="I429" s="7" t="n">
        <f aca="false">IF(A429&gt;=c_TFWD,IF(AND(A429&gt;=c_TMAP3IN,c_TMAP3IN&lt;1000),G429,IF(AND(A429&gt;=c_TMAP2IN,c_TMAP3IN&gt;c_TMAP2IN),F429,IF(AND(A429&gt;=c_TMAP1IN,c_TMAP2IN&gt;c_TMAP1IN),E429,D429))),C429)</f>
        <v>291</v>
      </c>
      <c r="J429" s="7" t="str">
        <f aca="false">IF(I429&lt;-1090,"TOO LOW",IF(I429&gt;1090,"TOO HIGH",""))</f>
        <v/>
      </c>
      <c r="K429" s="15" t="n">
        <f aca="false">IF(J429&lt;&gt;"",0,IF(I429&gt;979,1000,I429))</f>
        <v>291</v>
      </c>
      <c r="L429" s="7" t="n">
        <f aca="false">K429/10</f>
        <v>29.1</v>
      </c>
    </row>
    <row r="430" customFormat="false" ht="15" hidden="false" customHeight="false" outlineLevel="0" collapsed="false">
      <c r="A430" s="7" t="n">
        <v>425</v>
      </c>
      <c r="B430" s="7" t="n">
        <f aca="false">A430/10</f>
        <v>42.5</v>
      </c>
      <c r="C430" s="7" t="n">
        <f aca="false">IF(AND(A430=0,c_TCREEP&gt;0),10*c_TCREEP,IF(AND(A430&lt;=c_TRNGMIN,A430&gt;=c_TRNGMAX,c_TRNGMIN-c_TRNGMAX&lt;&gt;0),-10*c_TMINRN+QUOTIENT((c_TMAXRN-c_TMINRN)*(100-QUOTIENT((A430-c_TRNGMAX)*100,c_TRNGMIN-c_TRNGMAX)),-10),0))</f>
        <v>0</v>
      </c>
      <c r="D430" s="7" t="n">
        <f aca="false">IF(((c_TMAP1IN)-(c_TFWD))=0,(0)+QUOTIENT(((c_TMAP1OUT)-(0)),2),QUOTIENT((((A430)-(c_TFWD))*((c_TMAP1OUT)-(0))+IF(((c_TMAP1OUT)-(0))&gt;=0,1,-1)*QUOTIENT(((c_TMAP1IN)-(c_TFWD)),2)),((c_TMAP1IN)-(c_TFWD)))+(0)+IF(((c_TMAP1OUT)-(0))&gt;=0,IF(IF(o_WRAP=1,MOD(((c_TMAP1IN)-(c_TFWD))*(((A430)-(c_TFWD))*((c_TMAP1OUT)-(0))+IF(((c_TMAP1OUT)-(0))&gt;=0,1,-1)*QUOTIENT(((c_TMAP1IN)-(c_TFWD)),2))+2147483648,4294967296)-2147483648,((c_TMAP1IN)-(c_TFWD))*(((A430)-(c_TFWD))*((c_TMAP1OUT)-(0))+IF(((c_TMAP1OUT)-(0))&gt;=0,1,-1)*QUOTIENT(((c_TMAP1IN)-(c_TFWD)),2)))&lt;0,-1,0),IF(IF(o_WRAP=1,MOD(((c_TMAP1IN)-(c_TFWD))*(((A430)-(c_TFWD))*((c_TMAP1OUT)-(0))+IF(((c_TMAP1OUT)-(0))&gt;=0,1,-1)*QUOTIENT(((c_TMAP1IN)-(c_TFWD)),2))+2147483648,4294967296)-2147483648,((c_TMAP1IN)-(c_TFWD))*(((A430)-(c_TFWD))*((c_TMAP1OUT)-(0))+IF(((c_TMAP1OUT)-(0))&gt;=0,1,-1)*QUOTIENT(((c_TMAP1IN)-(c_TFWD)),2)))&gt;=0,1,0)))</f>
        <v>323</v>
      </c>
      <c r="E430" s="7" t="n">
        <f aca="false">IF(((c_TMAP2IN)-(c_TMAP1IN))=0,(c_TMAP1OUT)+QUOTIENT(((c_TMAP2OUT)-(c_TMAP1OUT)),2),QUOTIENT((((A430)-(c_TMAP1IN))*((c_TMAP2OUT)-(c_TMAP1OUT))+IF(((c_TMAP2OUT)-(c_TMAP1OUT))&gt;=0,1,-1)*QUOTIENT(((c_TMAP2IN)-(c_TMAP1IN)),2)),((c_TMAP2IN)-(c_TMAP1IN)))+(c_TMAP1OUT)+IF(((c_TMAP2OUT)-(c_TMAP1OUT))&gt;=0,IF(IF(o_WRAP=1,MOD(((c_TMAP2IN)-(c_TMAP1IN))*(((A430)-(c_TMAP1IN))*((c_TMAP2OUT)-(c_TMAP1OUT))+IF(((c_TMAP2OUT)-(c_TMAP1OUT))&gt;=0,1,-1)*QUOTIENT(((c_TMAP2IN)-(c_TMAP1IN)),2))+2147483648,4294967296)-2147483648,((c_TMAP2IN)-(c_TMAP1IN))*(((A430)-(c_TMAP1IN))*((c_TMAP2OUT)-(c_TMAP1OUT))+IF(((c_TMAP2OUT)-(c_TMAP1OUT))&gt;=0,1,-1)*QUOTIENT(((c_TMAP2IN)-(c_TMAP1IN)),2)))&lt;0,-1,0),IF(IF(o_WRAP=1,MOD(((c_TMAP2IN)-(c_TMAP1IN))*(((A430)-(c_TMAP1IN))*((c_TMAP2OUT)-(c_TMAP1OUT))+IF(((c_TMAP2OUT)-(c_TMAP1OUT))&gt;=0,1,-1)*QUOTIENT(((c_TMAP2IN)-(c_TMAP1IN)),2))+2147483648,4294967296)-2147483648,((c_TMAP2IN)-(c_TMAP1IN))*(((A430)-(c_TMAP1IN))*((c_TMAP2OUT)-(c_TMAP1OUT))+IF(((c_TMAP2OUT)-(c_TMAP1OUT))&gt;=0,1,-1)*QUOTIENT(((c_TMAP2IN)-(c_TMAP1IN)),2)))&gt;=0,1,0)))</f>
        <v>200</v>
      </c>
      <c r="F430" s="7" t="n">
        <f aca="false">IF(((c_TMAP3IN)-(c_TMAP2IN))=0,(c_TMAP2OUT)+QUOTIENT(((c_TMAP3OUT)-(c_TMAP2OUT)),2),QUOTIENT((((A430)-(c_TMAP2IN))*((c_TMAP3OUT)-(c_TMAP2OUT))+IF(((c_TMAP3OUT)-(c_TMAP2OUT))&gt;=0,1,-1)*QUOTIENT(((c_TMAP3IN)-(c_TMAP2IN)),2)),((c_TMAP3IN)-(c_TMAP2IN)))+(c_TMAP2OUT)+IF(((c_TMAP3OUT)-(c_TMAP2OUT))&gt;=0,IF(IF(o_WRAP=1,MOD(((c_TMAP3IN)-(c_TMAP2IN))*(((A430)-(c_TMAP2IN))*((c_TMAP3OUT)-(c_TMAP2OUT))+IF(((c_TMAP3OUT)-(c_TMAP2OUT))&gt;=0,1,-1)*QUOTIENT(((c_TMAP3IN)-(c_TMAP2IN)),2))+2147483648,4294967296)-2147483648,((c_TMAP3IN)-(c_TMAP2IN))*(((A430)-(c_TMAP2IN))*((c_TMAP3OUT)-(c_TMAP2OUT))+IF(((c_TMAP3OUT)-(c_TMAP2OUT))&gt;=0,1,-1)*QUOTIENT(((c_TMAP3IN)-(c_TMAP2IN)),2)))&lt;0,-1,0),IF(IF(o_WRAP=1,MOD(((c_TMAP3IN)-(c_TMAP2IN))*(((A430)-(c_TMAP2IN))*((c_TMAP3OUT)-(c_TMAP2OUT))+IF(((c_TMAP3OUT)-(c_TMAP2OUT))&gt;=0,1,-1)*QUOTIENT(((c_TMAP3IN)-(c_TMAP2IN)),2))+2147483648,4294967296)-2147483648,((c_TMAP3IN)-(c_TMAP2IN))*(((A430)-(c_TMAP2IN))*((c_TMAP3OUT)-(c_TMAP2OUT))+IF(((c_TMAP3OUT)-(c_TMAP2OUT))&gt;=0,1,-1)*QUOTIENT(((c_TMAP3IN)-(c_TMAP2IN)),2)))&gt;=0,1,0)))</f>
        <v>253</v>
      </c>
      <c r="G430" s="7" t="n">
        <f aca="false">IF(((1000)-(c_TMAP3IN))=0,(c_TMAP3OUT)+QUOTIENT(((1000)-(c_TMAP3OUT)),2),QUOTIENT((((A430)-(c_TMAP3IN))*((1000)-(c_TMAP3OUT))+IF(((1000)-(c_TMAP3OUT))&gt;=0,1,-1)*QUOTIENT(((1000)-(c_TMAP3IN)),2)),((1000)-(c_TMAP3IN)))+(c_TMAP3OUT)+IF(((1000)-(c_TMAP3OUT))&gt;=0,IF(IF(o_WRAP=1,MOD(((1000)-(c_TMAP3IN))*(((A430)-(c_TMAP3IN))*((1000)-(c_TMAP3OUT))+IF(((1000)-(c_TMAP3OUT))&gt;=0,1,-1)*QUOTIENT(((1000)-(c_TMAP3IN)),2))+2147483648,4294967296)-2147483648,((1000)-(c_TMAP3IN))*(((A430)-(c_TMAP3IN))*((1000)-(c_TMAP3OUT))+IF(((1000)-(c_TMAP3OUT))&gt;=0,1,-1)*QUOTIENT(((1000)-(c_TMAP3IN)),2)))&lt;0,-1,0),IF(IF(o_WRAP=1,MOD(((1000)-(c_TMAP3IN))*(((A430)-(c_TMAP3IN))*((1000)-(c_TMAP3OUT))+IF(((1000)-(c_TMAP3OUT))&gt;=0,1,-1)*QUOTIENT(((1000)-(c_TMAP3IN)),2))+2147483648,4294967296)-2147483648,((1000)-(c_TMAP3IN))*(((A430)-(c_TMAP3IN))*((1000)-(c_TMAP3OUT))+IF(((1000)-(c_TMAP3OUT))&gt;=0,1,-1)*QUOTIENT(((1000)-(c_TMAP3IN)),2)))&gt;=0,1,0)))</f>
        <v>292</v>
      </c>
      <c r="H430" s="7" t="str">
        <f aca="false">IF(A430&gt;=c_TFWD,IF(AND(A430&gt;=c_TMAP3IN,c_TMAP3IN&lt;1000),"Seg4 map3-100%",IF(AND(A430&gt;=c_TMAP2IN,c_TMAP3IN&gt;c_TMAP2IN),"Seg3 map2-map3",IF(AND(A430&gt;=c_TMAP1IN,c_TMAP2IN&gt;c_TMAP1IN),"Seg2 map1-map2","Seg1 TFWD-map1"))),IF(AND(A430=0,c_TCREEP&gt;0),"Creep",IF(AND(A430&lt;=c_TRNGMIN,A430&gt;=c_TRNGMAX,c_TRNGMIN-c_TRNGMAX&lt;&gt;0),"Regen ramp","Coast (0)")))</f>
        <v>Seg4 map3-100%</v>
      </c>
      <c r="I430" s="7" t="n">
        <f aca="false">IF(A430&gt;=c_TFWD,IF(AND(A430&gt;=c_TMAP3IN,c_TMAP3IN&lt;1000),G430,IF(AND(A430&gt;=c_TMAP2IN,c_TMAP3IN&gt;c_TMAP2IN),F430,IF(AND(A430&gt;=c_TMAP1IN,c_TMAP2IN&gt;c_TMAP1IN),E430,D430))),C430)</f>
        <v>292</v>
      </c>
      <c r="J430" s="7" t="str">
        <f aca="false">IF(I430&lt;-1090,"TOO LOW",IF(I430&gt;1090,"TOO HIGH",""))</f>
        <v/>
      </c>
      <c r="K430" s="15" t="n">
        <f aca="false">IF(J430&lt;&gt;"",0,IF(I430&gt;979,1000,I430))</f>
        <v>292</v>
      </c>
      <c r="L430" s="7" t="n">
        <f aca="false">K430/10</f>
        <v>29.2</v>
      </c>
    </row>
    <row r="431" customFormat="false" ht="15" hidden="false" customHeight="false" outlineLevel="0" collapsed="false">
      <c r="A431" s="7" t="n">
        <v>426</v>
      </c>
      <c r="B431" s="7" t="n">
        <f aca="false">A431/10</f>
        <v>42.6</v>
      </c>
      <c r="C431" s="7" t="n">
        <f aca="false">IF(AND(A431=0,c_TCREEP&gt;0),10*c_TCREEP,IF(AND(A431&lt;=c_TRNGMIN,A431&gt;=c_TRNGMAX,c_TRNGMIN-c_TRNGMAX&lt;&gt;0),-10*c_TMINRN+QUOTIENT((c_TMAXRN-c_TMINRN)*(100-QUOTIENT((A431-c_TRNGMAX)*100,c_TRNGMIN-c_TRNGMAX)),-10),0))</f>
        <v>0</v>
      </c>
      <c r="D431" s="7" t="n">
        <f aca="false">IF(((c_TMAP1IN)-(c_TFWD))=0,(0)+QUOTIENT(((c_TMAP1OUT)-(0)),2),QUOTIENT((((A431)-(c_TFWD))*((c_TMAP1OUT)-(0))+IF(((c_TMAP1OUT)-(0))&gt;=0,1,-1)*QUOTIENT(((c_TMAP1IN)-(c_TFWD)),2)),((c_TMAP1IN)-(c_TFWD)))+(0)+IF(((c_TMAP1OUT)-(0))&gt;=0,IF(IF(o_WRAP=1,MOD(((c_TMAP1IN)-(c_TFWD))*(((A431)-(c_TFWD))*((c_TMAP1OUT)-(0))+IF(((c_TMAP1OUT)-(0))&gt;=0,1,-1)*QUOTIENT(((c_TMAP1IN)-(c_TFWD)),2))+2147483648,4294967296)-2147483648,((c_TMAP1IN)-(c_TFWD))*(((A431)-(c_TFWD))*((c_TMAP1OUT)-(0))+IF(((c_TMAP1OUT)-(0))&gt;=0,1,-1)*QUOTIENT(((c_TMAP1IN)-(c_TFWD)),2)))&lt;0,-1,0),IF(IF(o_WRAP=1,MOD(((c_TMAP1IN)-(c_TFWD))*(((A431)-(c_TFWD))*((c_TMAP1OUT)-(0))+IF(((c_TMAP1OUT)-(0))&gt;=0,1,-1)*QUOTIENT(((c_TMAP1IN)-(c_TFWD)),2))+2147483648,4294967296)-2147483648,((c_TMAP1IN)-(c_TFWD))*(((A431)-(c_TFWD))*((c_TMAP1OUT)-(0))+IF(((c_TMAP1OUT)-(0))&gt;=0,1,-1)*QUOTIENT(((c_TMAP1IN)-(c_TFWD)),2)))&gt;=0,1,0)))</f>
        <v>324</v>
      </c>
      <c r="E431" s="7" t="n">
        <f aca="false">IF(((c_TMAP2IN)-(c_TMAP1IN))=0,(c_TMAP1OUT)+QUOTIENT(((c_TMAP2OUT)-(c_TMAP1OUT)),2),QUOTIENT((((A431)-(c_TMAP1IN))*((c_TMAP2OUT)-(c_TMAP1OUT))+IF(((c_TMAP2OUT)-(c_TMAP1OUT))&gt;=0,1,-1)*QUOTIENT(((c_TMAP2IN)-(c_TMAP1IN)),2)),((c_TMAP2IN)-(c_TMAP1IN)))+(c_TMAP1OUT)+IF(((c_TMAP2OUT)-(c_TMAP1OUT))&gt;=0,IF(IF(o_WRAP=1,MOD(((c_TMAP2IN)-(c_TMAP1IN))*(((A431)-(c_TMAP1IN))*((c_TMAP2OUT)-(c_TMAP1OUT))+IF(((c_TMAP2OUT)-(c_TMAP1OUT))&gt;=0,1,-1)*QUOTIENT(((c_TMAP2IN)-(c_TMAP1IN)),2))+2147483648,4294967296)-2147483648,((c_TMAP2IN)-(c_TMAP1IN))*(((A431)-(c_TMAP1IN))*((c_TMAP2OUT)-(c_TMAP1OUT))+IF(((c_TMAP2OUT)-(c_TMAP1OUT))&gt;=0,1,-1)*QUOTIENT(((c_TMAP2IN)-(c_TMAP1IN)),2)))&lt;0,-1,0),IF(IF(o_WRAP=1,MOD(((c_TMAP2IN)-(c_TMAP1IN))*(((A431)-(c_TMAP1IN))*((c_TMAP2OUT)-(c_TMAP1OUT))+IF(((c_TMAP2OUT)-(c_TMAP1OUT))&gt;=0,1,-1)*QUOTIENT(((c_TMAP2IN)-(c_TMAP1IN)),2))+2147483648,4294967296)-2147483648,((c_TMAP2IN)-(c_TMAP1IN))*(((A431)-(c_TMAP1IN))*((c_TMAP2OUT)-(c_TMAP1OUT))+IF(((c_TMAP2OUT)-(c_TMAP1OUT))&gt;=0,1,-1)*QUOTIENT(((c_TMAP2IN)-(c_TMAP1IN)),2)))&gt;=0,1,0)))</f>
        <v>200</v>
      </c>
      <c r="F431" s="7" t="n">
        <f aca="false">IF(((c_TMAP3IN)-(c_TMAP2IN))=0,(c_TMAP2OUT)+QUOTIENT(((c_TMAP3OUT)-(c_TMAP2OUT)),2),QUOTIENT((((A431)-(c_TMAP2IN))*((c_TMAP3OUT)-(c_TMAP2OUT))+IF(((c_TMAP3OUT)-(c_TMAP2OUT))&gt;=0,1,-1)*QUOTIENT(((c_TMAP3IN)-(c_TMAP2IN)),2)),((c_TMAP3IN)-(c_TMAP2IN)))+(c_TMAP2OUT)+IF(((c_TMAP3OUT)-(c_TMAP2OUT))&gt;=0,IF(IF(o_WRAP=1,MOD(((c_TMAP3IN)-(c_TMAP2IN))*(((A431)-(c_TMAP2IN))*((c_TMAP3OUT)-(c_TMAP2OUT))+IF(((c_TMAP3OUT)-(c_TMAP2OUT))&gt;=0,1,-1)*QUOTIENT(((c_TMAP3IN)-(c_TMAP2IN)),2))+2147483648,4294967296)-2147483648,((c_TMAP3IN)-(c_TMAP2IN))*(((A431)-(c_TMAP2IN))*((c_TMAP3OUT)-(c_TMAP2OUT))+IF(((c_TMAP3OUT)-(c_TMAP2OUT))&gt;=0,1,-1)*QUOTIENT(((c_TMAP3IN)-(c_TMAP2IN)),2)))&lt;0,-1,0),IF(IF(o_WRAP=1,MOD(((c_TMAP3IN)-(c_TMAP2IN))*(((A431)-(c_TMAP2IN))*((c_TMAP3OUT)-(c_TMAP2OUT))+IF(((c_TMAP3OUT)-(c_TMAP2OUT))&gt;=0,1,-1)*QUOTIENT(((c_TMAP3IN)-(c_TMAP2IN)),2))+2147483648,4294967296)-2147483648,((c_TMAP3IN)-(c_TMAP2IN))*(((A431)-(c_TMAP2IN))*((c_TMAP3OUT)-(c_TMAP2OUT))+IF(((c_TMAP3OUT)-(c_TMAP2OUT))&gt;=0,1,-1)*QUOTIENT(((c_TMAP3IN)-(c_TMAP2IN)),2)))&gt;=0,1,0)))</f>
        <v>253</v>
      </c>
      <c r="G431" s="7" t="n">
        <f aca="false">IF(((1000)-(c_TMAP3IN))=0,(c_TMAP3OUT)+QUOTIENT(((1000)-(c_TMAP3OUT)),2),QUOTIENT((((A431)-(c_TMAP3IN))*((1000)-(c_TMAP3OUT))+IF(((1000)-(c_TMAP3OUT))&gt;=0,1,-1)*QUOTIENT(((1000)-(c_TMAP3IN)),2)),((1000)-(c_TMAP3IN)))+(c_TMAP3OUT)+IF(((1000)-(c_TMAP3OUT))&gt;=0,IF(IF(o_WRAP=1,MOD(((1000)-(c_TMAP3IN))*(((A431)-(c_TMAP3IN))*((1000)-(c_TMAP3OUT))+IF(((1000)-(c_TMAP3OUT))&gt;=0,1,-1)*QUOTIENT(((1000)-(c_TMAP3IN)),2))+2147483648,4294967296)-2147483648,((1000)-(c_TMAP3IN))*(((A431)-(c_TMAP3IN))*((1000)-(c_TMAP3OUT))+IF(((1000)-(c_TMAP3OUT))&gt;=0,1,-1)*QUOTIENT(((1000)-(c_TMAP3IN)),2)))&lt;0,-1,0),IF(IF(o_WRAP=1,MOD(((1000)-(c_TMAP3IN))*(((A431)-(c_TMAP3IN))*((1000)-(c_TMAP3OUT))+IF(((1000)-(c_TMAP3OUT))&gt;=0,1,-1)*QUOTIENT(((1000)-(c_TMAP3IN)),2))+2147483648,4294967296)-2147483648,((1000)-(c_TMAP3IN))*(((A431)-(c_TMAP3IN))*((1000)-(c_TMAP3OUT))+IF(((1000)-(c_TMAP3OUT))&gt;=0,1,-1)*QUOTIENT(((1000)-(c_TMAP3IN)),2)))&gt;=0,1,0)))</f>
        <v>294</v>
      </c>
      <c r="H431" s="7" t="str">
        <f aca="false">IF(A431&gt;=c_TFWD,IF(AND(A431&gt;=c_TMAP3IN,c_TMAP3IN&lt;1000),"Seg4 map3-100%",IF(AND(A431&gt;=c_TMAP2IN,c_TMAP3IN&gt;c_TMAP2IN),"Seg3 map2-map3",IF(AND(A431&gt;=c_TMAP1IN,c_TMAP2IN&gt;c_TMAP1IN),"Seg2 map1-map2","Seg1 TFWD-map1"))),IF(AND(A431=0,c_TCREEP&gt;0),"Creep",IF(AND(A431&lt;=c_TRNGMIN,A431&gt;=c_TRNGMAX,c_TRNGMIN-c_TRNGMAX&lt;&gt;0),"Regen ramp","Coast (0)")))</f>
        <v>Seg4 map3-100%</v>
      </c>
      <c r="I431" s="7" t="n">
        <f aca="false">IF(A431&gt;=c_TFWD,IF(AND(A431&gt;=c_TMAP3IN,c_TMAP3IN&lt;1000),G431,IF(AND(A431&gt;=c_TMAP2IN,c_TMAP3IN&gt;c_TMAP2IN),F431,IF(AND(A431&gt;=c_TMAP1IN,c_TMAP2IN&gt;c_TMAP1IN),E431,D431))),C431)</f>
        <v>294</v>
      </c>
      <c r="J431" s="7" t="str">
        <f aca="false">IF(I431&lt;-1090,"TOO LOW",IF(I431&gt;1090,"TOO HIGH",""))</f>
        <v/>
      </c>
      <c r="K431" s="15" t="n">
        <f aca="false">IF(J431&lt;&gt;"",0,IF(I431&gt;979,1000,I431))</f>
        <v>294</v>
      </c>
      <c r="L431" s="7" t="n">
        <f aca="false">K431/10</f>
        <v>29.4</v>
      </c>
    </row>
    <row r="432" customFormat="false" ht="15" hidden="false" customHeight="false" outlineLevel="0" collapsed="false">
      <c r="A432" s="7" t="n">
        <v>427</v>
      </c>
      <c r="B432" s="7" t="n">
        <f aca="false">A432/10</f>
        <v>42.7</v>
      </c>
      <c r="C432" s="7" t="n">
        <f aca="false">IF(AND(A432=0,c_TCREEP&gt;0),10*c_TCREEP,IF(AND(A432&lt;=c_TRNGMIN,A432&gt;=c_TRNGMAX,c_TRNGMIN-c_TRNGMAX&lt;&gt;0),-10*c_TMINRN+QUOTIENT((c_TMAXRN-c_TMINRN)*(100-QUOTIENT((A432-c_TRNGMAX)*100,c_TRNGMIN-c_TRNGMAX)),-10),0))</f>
        <v>0</v>
      </c>
      <c r="D432" s="7" t="n">
        <f aca="false">IF(((c_TMAP1IN)-(c_TFWD))=0,(0)+QUOTIENT(((c_TMAP1OUT)-(0)),2),QUOTIENT((((A432)-(c_TFWD))*((c_TMAP1OUT)-(0))+IF(((c_TMAP1OUT)-(0))&gt;=0,1,-1)*QUOTIENT(((c_TMAP1IN)-(c_TFWD)),2)),((c_TMAP1IN)-(c_TFWD)))+(0)+IF(((c_TMAP1OUT)-(0))&gt;=0,IF(IF(o_WRAP=1,MOD(((c_TMAP1IN)-(c_TFWD))*(((A432)-(c_TFWD))*((c_TMAP1OUT)-(0))+IF(((c_TMAP1OUT)-(0))&gt;=0,1,-1)*QUOTIENT(((c_TMAP1IN)-(c_TFWD)),2))+2147483648,4294967296)-2147483648,((c_TMAP1IN)-(c_TFWD))*(((A432)-(c_TFWD))*((c_TMAP1OUT)-(0))+IF(((c_TMAP1OUT)-(0))&gt;=0,1,-1)*QUOTIENT(((c_TMAP1IN)-(c_TFWD)),2)))&lt;0,-1,0),IF(IF(o_WRAP=1,MOD(((c_TMAP1IN)-(c_TFWD))*(((A432)-(c_TFWD))*((c_TMAP1OUT)-(0))+IF(((c_TMAP1OUT)-(0))&gt;=0,1,-1)*QUOTIENT(((c_TMAP1IN)-(c_TFWD)),2))+2147483648,4294967296)-2147483648,((c_TMAP1IN)-(c_TFWD))*(((A432)-(c_TFWD))*((c_TMAP1OUT)-(0))+IF(((c_TMAP1OUT)-(0))&gt;=0,1,-1)*QUOTIENT(((c_TMAP1IN)-(c_TFWD)),2)))&gt;=0,1,0)))</f>
        <v>324</v>
      </c>
      <c r="E432" s="7" t="n">
        <f aca="false">IF(((c_TMAP2IN)-(c_TMAP1IN))=0,(c_TMAP1OUT)+QUOTIENT(((c_TMAP2OUT)-(c_TMAP1OUT)),2),QUOTIENT((((A432)-(c_TMAP1IN))*((c_TMAP2OUT)-(c_TMAP1OUT))+IF(((c_TMAP2OUT)-(c_TMAP1OUT))&gt;=0,1,-1)*QUOTIENT(((c_TMAP2IN)-(c_TMAP1IN)),2)),((c_TMAP2IN)-(c_TMAP1IN)))+(c_TMAP1OUT)+IF(((c_TMAP2OUT)-(c_TMAP1OUT))&gt;=0,IF(IF(o_WRAP=1,MOD(((c_TMAP2IN)-(c_TMAP1IN))*(((A432)-(c_TMAP1IN))*((c_TMAP2OUT)-(c_TMAP1OUT))+IF(((c_TMAP2OUT)-(c_TMAP1OUT))&gt;=0,1,-1)*QUOTIENT(((c_TMAP2IN)-(c_TMAP1IN)),2))+2147483648,4294967296)-2147483648,((c_TMAP2IN)-(c_TMAP1IN))*(((A432)-(c_TMAP1IN))*((c_TMAP2OUT)-(c_TMAP1OUT))+IF(((c_TMAP2OUT)-(c_TMAP1OUT))&gt;=0,1,-1)*QUOTIENT(((c_TMAP2IN)-(c_TMAP1IN)),2)))&lt;0,-1,0),IF(IF(o_WRAP=1,MOD(((c_TMAP2IN)-(c_TMAP1IN))*(((A432)-(c_TMAP1IN))*((c_TMAP2OUT)-(c_TMAP1OUT))+IF(((c_TMAP2OUT)-(c_TMAP1OUT))&gt;=0,1,-1)*QUOTIENT(((c_TMAP2IN)-(c_TMAP1IN)),2))+2147483648,4294967296)-2147483648,((c_TMAP2IN)-(c_TMAP1IN))*(((A432)-(c_TMAP1IN))*((c_TMAP2OUT)-(c_TMAP1OUT))+IF(((c_TMAP2OUT)-(c_TMAP1OUT))&gt;=0,1,-1)*QUOTIENT(((c_TMAP2IN)-(c_TMAP1IN)),2)))&gt;=0,1,0)))</f>
        <v>201</v>
      </c>
      <c r="F432" s="7" t="n">
        <f aca="false">IF(((c_TMAP3IN)-(c_TMAP2IN))=0,(c_TMAP2OUT)+QUOTIENT(((c_TMAP3OUT)-(c_TMAP2OUT)),2),QUOTIENT((((A432)-(c_TMAP2IN))*((c_TMAP3OUT)-(c_TMAP2OUT))+IF(((c_TMAP3OUT)-(c_TMAP2OUT))&gt;=0,1,-1)*QUOTIENT(((c_TMAP3IN)-(c_TMAP2IN)),2)),((c_TMAP3IN)-(c_TMAP2IN)))+(c_TMAP2OUT)+IF(((c_TMAP3OUT)-(c_TMAP2OUT))&gt;=0,IF(IF(o_WRAP=1,MOD(((c_TMAP3IN)-(c_TMAP2IN))*(((A432)-(c_TMAP2IN))*((c_TMAP3OUT)-(c_TMAP2OUT))+IF(((c_TMAP3OUT)-(c_TMAP2OUT))&gt;=0,1,-1)*QUOTIENT(((c_TMAP3IN)-(c_TMAP2IN)),2))+2147483648,4294967296)-2147483648,((c_TMAP3IN)-(c_TMAP2IN))*(((A432)-(c_TMAP2IN))*((c_TMAP3OUT)-(c_TMAP2OUT))+IF(((c_TMAP3OUT)-(c_TMAP2OUT))&gt;=0,1,-1)*QUOTIENT(((c_TMAP3IN)-(c_TMAP2IN)),2)))&lt;0,-1,0),IF(IF(o_WRAP=1,MOD(((c_TMAP3IN)-(c_TMAP2IN))*(((A432)-(c_TMAP2IN))*((c_TMAP3OUT)-(c_TMAP2OUT))+IF(((c_TMAP3OUT)-(c_TMAP2OUT))&gt;=0,1,-1)*QUOTIENT(((c_TMAP3IN)-(c_TMAP2IN)),2))+2147483648,4294967296)-2147483648,((c_TMAP3IN)-(c_TMAP2IN))*(((A432)-(c_TMAP2IN))*((c_TMAP3OUT)-(c_TMAP2OUT))+IF(((c_TMAP3OUT)-(c_TMAP2OUT))&gt;=0,1,-1)*QUOTIENT(((c_TMAP3IN)-(c_TMAP2IN)),2)))&gt;=0,1,0)))</f>
        <v>254</v>
      </c>
      <c r="G432" s="7" t="n">
        <f aca="false">IF(((1000)-(c_TMAP3IN))=0,(c_TMAP3OUT)+QUOTIENT(((1000)-(c_TMAP3OUT)),2),QUOTIENT((((A432)-(c_TMAP3IN))*((1000)-(c_TMAP3OUT))+IF(((1000)-(c_TMAP3OUT))&gt;=0,1,-1)*QUOTIENT(((1000)-(c_TMAP3IN)),2)),((1000)-(c_TMAP3IN)))+(c_TMAP3OUT)+IF(((1000)-(c_TMAP3OUT))&gt;=0,IF(IF(o_WRAP=1,MOD(((1000)-(c_TMAP3IN))*(((A432)-(c_TMAP3IN))*((1000)-(c_TMAP3OUT))+IF(((1000)-(c_TMAP3OUT))&gt;=0,1,-1)*QUOTIENT(((1000)-(c_TMAP3IN)),2))+2147483648,4294967296)-2147483648,((1000)-(c_TMAP3IN))*(((A432)-(c_TMAP3IN))*((1000)-(c_TMAP3OUT))+IF(((1000)-(c_TMAP3OUT))&gt;=0,1,-1)*QUOTIENT(((1000)-(c_TMAP3IN)),2)))&lt;0,-1,0),IF(IF(o_WRAP=1,MOD(((1000)-(c_TMAP3IN))*(((A432)-(c_TMAP3IN))*((1000)-(c_TMAP3OUT))+IF(((1000)-(c_TMAP3OUT))&gt;=0,1,-1)*QUOTIENT(((1000)-(c_TMAP3IN)),2))+2147483648,4294967296)-2147483648,((1000)-(c_TMAP3IN))*(((A432)-(c_TMAP3IN))*((1000)-(c_TMAP3OUT))+IF(((1000)-(c_TMAP3OUT))&gt;=0,1,-1)*QUOTIENT(((1000)-(c_TMAP3IN)),2)))&gt;=0,1,0)))</f>
        <v>295</v>
      </c>
      <c r="H432" s="7" t="str">
        <f aca="false">IF(A432&gt;=c_TFWD,IF(AND(A432&gt;=c_TMAP3IN,c_TMAP3IN&lt;1000),"Seg4 map3-100%",IF(AND(A432&gt;=c_TMAP2IN,c_TMAP3IN&gt;c_TMAP2IN),"Seg3 map2-map3",IF(AND(A432&gt;=c_TMAP1IN,c_TMAP2IN&gt;c_TMAP1IN),"Seg2 map1-map2","Seg1 TFWD-map1"))),IF(AND(A432=0,c_TCREEP&gt;0),"Creep",IF(AND(A432&lt;=c_TRNGMIN,A432&gt;=c_TRNGMAX,c_TRNGMIN-c_TRNGMAX&lt;&gt;0),"Regen ramp","Coast (0)")))</f>
        <v>Seg4 map3-100%</v>
      </c>
      <c r="I432" s="7" t="n">
        <f aca="false">IF(A432&gt;=c_TFWD,IF(AND(A432&gt;=c_TMAP3IN,c_TMAP3IN&lt;1000),G432,IF(AND(A432&gt;=c_TMAP2IN,c_TMAP3IN&gt;c_TMAP2IN),F432,IF(AND(A432&gt;=c_TMAP1IN,c_TMAP2IN&gt;c_TMAP1IN),E432,D432))),C432)</f>
        <v>295</v>
      </c>
      <c r="J432" s="7" t="str">
        <f aca="false">IF(I432&lt;-1090,"TOO LOW",IF(I432&gt;1090,"TOO HIGH",""))</f>
        <v/>
      </c>
      <c r="K432" s="15" t="n">
        <f aca="false">IF(J432&lt;&gt;"",0,IF(I432&gt;979,1000,I432))</f>
        <v>295</v>
      </c>
      <c r="L432" s="7" t="n">
        <f aca="false">K432/10</f>
        <v>29.5</v>
      </c>
    </row>
    <row r="433" customFormat="false" ht="15" hidden="false" customHeight="false" outlineLevel="0" collapsed="false">
      <c r="A433" s="7" t="n">
        <v>428</v>
      </c>
      <c r="B433" s="7" t="n">
        <f aca="false">A433/10</f>
        <v>42.8</v>
      </c>
      <c r="C433" s="7" t="n">
        <f aca="false">IF(AND(A433=0,c_TCREEP&gt;0),10*c_TCREEP,IF(AND(A433&lt;=c_TRNGMIN,A433&gt;=c_TRNGMAX,c_TRNGMIN-c_TRNGMAX&lt;&gt;0),-10*c_TMINRN+QUOTIENT((c_TMAXRN-c_TMINRN)*(100-QUOTIENT((A433-c_TRNGMAX)*100,c_TRNGMIN-c_TRNGMAX)),-10),0))</f>
        <v>0</v>
      </c>
      <c r="D433" s="7" t="n">
        <f aca="false">IF(((c_TMAP1IN)-(c_TFWD))=0,(0)+QUOTIENT(((c_TMAP1OUT)-(0)),2),QUOTIENT((((A433)-(c_TFWD))*((c_TMAP1OUT)-(0))+IF(((c_TMAP1OUT)-(0))&gt;=0,1,-1)*QUOTIENT(((c_TMAP1IN)-(c_TFWD)),2)),((c_TMAP1IN)-(c_TFWD)))+(0)+IF(((c_TMAP1OUT)-(0))&gt;=0,IF(IF(o_WRAP=1,MOD(((c_TMAP1IN)-(c_TFWD))*(((A433)-(c_TFWD))*((c_TMAP1OUT)-(0))+IF(((c_TMAP1OUT)-(0))&gt;=0,1,-1)*QUOTIENT(((c_TMAP1IN)-(c_TFWD)),2))+2147483648,4294967296)-2147483648,((c_TMAP1IN)-(c_TFWD))*(((A433)-(c_TFWD))*((c_TMAP1OUT)-(0))+IF(((c_TMAP1OUT)-(0))&gt;=0,1,-1)*QUOTIENT(((c_TMAP1IN)-(c_TFWD)),2)))&lt;0,-1,0),IF(IF(o_WRAP=1,MOD(((c_TMAP1IN)-(c_TFWD))*(((A433)-(c_TFWD))*((c_TMAP1OUT)-(0))+IF(((c_TMAP1OUT)-(0))&gt;=0,1,-1)*QUOTIENT(((c_TMAP1IN)-(c_TFWD)),2))+2147483648,4294967296)-2147483648,((c_TMAP1IN)-(c_TFWD))*(((A433)-(c_TFWD))*((c_TMAP1OUT)-(0))+IF(((c_TMAP1OUT)-(0))&gt;=0,1,-1)*QUOTIENT(((c_TMAP1IN)-(c_TFWD)),2)))&gt;=0,1,0)))</f>
        <v>325</v>
      </c>
      <c r="E433" s="7" t="n">
        <f aca="false">IF(((c_TMAP2IN)-(c_TMAP1IN))=0,(c_TMAP1OUT)+QUOTIENT(((c_TMAP2OUT)-(c_TMAP1OUT)),2),QUOTIENT((((A433)-(c_TMAP1IN))*((c_TMAP2OUT)-(c_TMAP1OUT))+IF(((c_TMAP2OUT)-(c_TMAP1OUT))&gt;=0,1,-1)*QUOTIENT(((c_TMAP2IN)-(c_TMAP1IN)),2)),((c_TMAP2IN)-(c_TMAP1IN)))+(c_TMAP1OUT)+IF(((c_TMAP2OUT)-(c_TMAP1OUT))&gt;=0,IF(IF(o_WRAP=1,MOD(((c_TMAP2IN)-(c_TMAP1IN))*(((A433)-(c_TMAP1IN))*((c_TMAP2OUT)-(c_TMAP1OUT))+IF(((c_TMAP2OUT)-(c_TMAP1OUT))&gt;=0,1,-1)*QUOTIENT(((c_TMAP2IN)-(c_TMAP1IN)),2))+2147483648,4294967296)-2147483648,((c_TMAP2IN)-(c_TMAP1IN))*(((A433)-(c_TMAP1IN))*((c_TMAP2OUT)-(c_TMAP1OUT))+IF(((c_TMAP2OUT)-(c_TMAP1OUT))&gt;=0,1,-1)*QUOTIENT(((c_TMAP2IN)-(c_TMAP1IN)),2)))&lt;0,-1,0),IF(IF(o_WRAP=1,MOD(((c_TMAP2IN)-(c_TMAP1IN))*(((A433)-(c_TMAP1IN))*((c_TMAP2OUT)-(c_TMAP1OUT))+IF(((c_TMAP2OUT)-(c_TMAP1OUT))&gt;=0,1,-1)*QUOTIENT(((c_TMAP2IN)-(c_TMAP1IN)),2))+2147483648,4294967296)-2147483648,((c_TMAP2IN)-(c_TMAP1IN))*(((A433)-(c_TMAP1IN))*((c_TMAP2OUT)-(c_TMAP1OUT))+IF(((c_TMAP2OUT)-(c_TMAP1OUT))&gt;=0,1,-1)*QUOTIENT(((c_TMAP2IN)-(c_TMAP1IN)),2)))&gt;=0,1,0)))</f>
        <v>201</v>
      </c>
      <c r="F433" s="7" t="n">
        <f aca="false">IF(((c_TMAP3IN)-(c_TMAP2IN))=0,(c_TMAP2OUT)+QUOTIENT(((c_TMAP3OUT)-(c_TMAP2OUT)),2),QUOTIENT((((A433)-(c_TMAP2IN))*((c_TMAP3OUT)-(c_TMAP2OUT))+IF(((c_TMAP3OUT)-(c_TMAP2OUT))&gt;=0,1,-1)*QUOTIENT(((c_TMAP3IN)-(c_TMAP2IN)),2)),((c_TMAP3IN)-(c_TMAP2IN)))+(c_TMAP2OUT)+IF(((c_TMAP3OUT)-(c_TMAP2OUT))&gt;=0,IF(IF(o_WRAP=1,MOD(((c_TMAP3IN)-(c_TMAP2IN))*(((A433)-(c_TMAP2IN))*((c_TMAP3OUT)-(c_TMAP2OUT))+IF(((c_TMAP3OUT)-(c_TMAP2OUT))&gt;=0,1,-1)*QUOTIENT(((c_TMAP3IN)-(c_TMAP2IN)),2))+2147483648,4294967296)-2147483648,((c_TMAP3IN)-(c_TMAP2IN))*(((A433)-(c_TMAP2IN))*((c_TMAP3OUT)-(c_TMAP2OUT))+IF(((c_TMAP3OUT)-(c_TMAP2OUT))&gt;=0,1,-1)*QUOTIENT(((c_TMAP3IN)-(c_TMAP2IN)),2)))&lt;0,-1,0),IF(IF(o_WRAP=1,MOD(((c_TMAP3IN)-(c_TMAP2IN))*(((A433)-(c_TMAP2IN))*((c_TMAP3OUT)-(c_TMAP2OUT))+IF(((c_TMAP3OUT)-(c_TMAP2OUT))&gt;=0,1,-1)*QUOTIENT(((c_TMAP3IN)-(c_TMAP2IN)),2))+2147483648,4294967296)-2147483648,((c_TMAP3IN)-(c_TMAP2IN))*(((A433)-(c_TMAP2IN))*((c_TMAP3OUT)-(c_TMAP2OUT))+IF(((c_TMAP3OUT)-(c_TMAP2OUT))&gt;=0,1,-1)*QUOTIENT(((c_TMAP3IN)-(c_TMAP2IN)),2)))&gt;=0,1,0)))</f>
        <v>255</v>
      </c>
      <c r="G433" s="7" t="n">
        <f aca="false">IF(((1000)-(c_TMAP3IN))=0,(c_TMAP3OUT)+QUOTIENT(((1000)-(c_TMAP3OUT)),2),QUOTIENT((((A433)-(c_TMAP3IN))*((1000)-(c_TMAP3OUT))+IF(((1000)-(c_TMAP3OUT))&gt;=0,1,-1)*QUOTIENT(((1000)-(c_TMAP3IN)),2)),((1000)-(c_TMAP3IN)))+(c_TMAP3OUT)+IF(((1000)-(c_TMAP3OUT))&gt;=0,IF(IF(o_WRAP=1,MOD(((1000)-(c_TMAP3IN))*(((A433)-(c_TMAP3IN))*((1000)-(c_TMAP3OUT))+IF(((1000)-(c_TMAP3OUT))&gt;=0,1,-1)*QUOTIENT(((1000)-(c_TMAP3IN)),2))+2147483648,4294967296)-2147483648,((1000)-(c_TMAP3IN))*(((A433)-(c_TMAP3IN))*((1000)-(c_TMAP3OUT))+IF(((1000)-(c_TMAP3OUT))&gt;=0,1,-1)*QUOTIENT(((1000)-(c_TMAP3IN)),2)))&lt;0,-1,0),IF(IF(o_WRAP=1,MOD(((1000)-(c_TMAP3IN))*(((A433)-(c_TMAP3IN))*((1000)-(c_TMAP3OUT))+IF(((1000)-(c_TMAP3OUT))&gt;=0,1,-1)*QUOTIENT(((1000)-(c_TMAP3IN)),2))+2147483648,4294967296)-2147483648,((1000)-(c_TMAP3IN))*(((A433)-(c_TMAP3IN))*((1000)-(c_TMAP3OUT))+IF(((1000)-(c_TMAP3OUT))&gt;=0,1,-1)*QUOTIENT(((1000)-(c_TMAP3IN)),2)))&gt;=0,1,0)))</f>
        <v>296</v>
      </c>
      <c r="H433" s="7" t="str">
        <f aca="false">IF(A433&gt;=c_TFWD,IF(AND(A433&gt;=c_TMAP3IN,c_TMAP3IN&lt;1000),"Seg4 map3-100%",IF(AND(A433&gt;=c_TMAP2IN,c_TMAP3IN&gt;c_TMAP2IN),"Seg3 map2-map3",IF(AND(A433&gt;=c_TMAP1IN,c_TMAP2IN&gt;c_TMAP1IN),"Seg2 map1-map2","Seg1 TFWD-map1"))),IF(AND(A433=0,c_TCREEP&gt;0),"Creep",IF(AND(A433&lt;=c_TRNGMIN,A433&gt;=c_TRNGMAX,c_TRNGMIN-c_TRNGMAX&lt;&gt;0),"Regen ramp","Coast (0)")))</f>
        <v>Seg4 map3-100%</v>
      </c>
      <c r="I433" s="7" t="n">
        <f aca="false">IF(A433&gt;=c_TFWD,IF(AND(A433&gt;=c_TMAP3IN,c_TMAP3IN&lt;1000),G433,IF(AND(A433&gt;=c_TMAP2IN,c_TMAP3IN&gt;c_TMAP2IN),F433,IF(AND(A433&gt;=c_TMAP1IN,c_TMAP2IN&gt;c_TMAP1IN),E433,D433))),C433)</f>
        <v>296</v>
      </c>
      <c r="J433" s="7" t="str">
        <f aca="false">IF(I433&lt;-1090,"TOO LOW",IF(I433&gt;1090,"TOO HIGH",""))</f>
        <v/>
      </c>
      <c r="K433" s="15" t="n">
        <f aca="false">IF(J433&lt;&gt;"",0,IF(I433&gt;979,1000,I433))</f>
        <v>296</v>
      </c>
      <c r="L433" s="7" t="n">
        <f aca="false">K433/10</f>
        <v>29.6</v>
      </c>
    </row>
    <row r="434" customFormat="false" ht="15" hidden="false" customHeight="false" outlineLevel="0" collapsed="false">
      <c r="A434" s="7" t="n">
        <v>429</v>
      </c>
      <c r="B434" s="7" t="n">
        <f aca="false">A434/10</f>
        <v>42.9</v>
      </c>
      <c r="C434" s="7" t="n">
        <f aca="false">IF(AND(A434=0,c_TCREEP&gt;0),10*c_TCREEP,IF(AND(A434&lt;=c_TRNGMIN,A434&gt;=c_TRNGMAX,c_TRNGMIN-c_TRNGMAX&lt;&gt;0),-10*c_TMINRN+QUOTIENT((c_TMAXRN-c_TMINRN)*(100-QUOTIENT((A434-c_TRNGMAX)*100,c_TRNGMIN-c_TRNGMAX)),-10),0))</f>
        <v>0</v>
      </c>
      <c r="D434" s="7" t="n">
        <f aca="false">IF(((c_TMAP1IN)-(c_TFWD))=0,(0)+QUOTIENT(((c_TMAP1OUT)-(0)),2),QUOTIENT((((A434)-(c_TFWD))*((c_TMAP1OUT)-(0))+IF(((c_TMAP1OUT)-(0))&gt;=0,1,-1)*QUOTIENT(((c_TMAP1IN)-(c_TFWD)),2)),((c_TMAP1IN)-(c_TFWD)))+(0)+IF(((c_TMAP1OUT)-(0))&gt;=0,IF(IF(o_WRAP=1,MOD(((c_TMAP1IN)-(c_TFWD))*(((A434)-(c_TFWD))*((c_TMAP1OUT)-(0))+IF(((c_TMAP1OUT)-(0))&gt;=0,1,-1)*QUOTIENT(((c_TMAP1IN)-(c_TFWD)),2))+2147483648,4294967296)-2147483648,((c_TMAP1IN)-(c_TFWD))*(((A434)-(c_TFWD))*((c_TMAP1OUT)-(0))+IF(((c_TMAP1OUT)-(0))&gt;=0,1,-1)*QUOTIENT(((c_TMAP1IN)-(c_TFWD)),2)))&lt;0,-1,0),IF(IF(o_WRAP=1,MOD(((c_TMAP1IN)-(c_TFWD))*(((A434)-(c_TFWD))*((c_TMAP1OUT)-(0))+IF(((c_TMAP1OUT)-(0))&gt;=0,1,-1)*QUOTIENT(((c_TMAP1IN)-(c_TFWD)),2))+2147483648,4294967296)-2147483648,((c_TMAP1IN)-(c_TFWD))*(((A434)-(c_TFWD))*((c_TMAP1OUT)-(0))+IF(((c_TMAP1OUT)-(0))&gt;=0,1,-1)*QUOTIENT(((c_TMAP1IN)-(c_TFWD)),2)))&gt;=0,1,0)))</f>
        <v>326</v>
      </c>
      <c r="E434" s="7" t="n">
        <f aca="false">IF(((c_TMAP2IN)-(c_TMAP1IN))=0,(c_TMAP1OUT)+QUOTIENT(((c_TMAP2OUT)-(c_TMAP1OUT)),2),QUOTIENT((((A434)-(c_TMAP1IN))*((c_TMAP2OUT)-(c_TMAP1OUT))+IF(((c_TMAP2OUT)-(c_TMAP1OUT))&gt;=0,1,-1)*QUOTIENT(((c_TMAP2IN)-(c_TMAP1IN)),2)),((c_TMAP2IN)-(c_TMAP1IN)))+(c_TMAP1OUT)+IF(((c_TMAP2OUT)-(c_TMAP1OUT))&gt;=0,IF(IF(o_WRAP=1,MOD(((c_TMAP2IN)-(c_TMAP1IN))*(((A434)-(c_TMAP1IN))*((c_TMAP2OUT)-(c_TMAP1OUT))+IF(((c_TMAP2OUT)-(c_TMAP1OUT))&gt;=0,1,-1)*QUOTIENT(((c_TMAP2IN)-(c_TMAP1IN)),2))+2147483648,4294967296)-2147483648,((c_TMAP2IN)-(c_TMAP1IN))*(((A434)-(c_TMAP1IN))*((c_TMAP2OUT)-(c_TMAP1OUT))+IF(((c_TMAP2OUT)-(c_TMAP1OUT))&gt;=0,1,-1)*QUOTIENT(((c_TMAP2IN)-(c_TMAP1IN)),2)))&lt;0,-1,0),IF(IF(o_WRAP=1,MOD(((c_TMAP2IN)-(c_TMAP1IN))*(((A434)-(c_TMAP1IN))*((c_TMAP2OUT)-(c_TMAP1OUT))+IF(((c_TMAP2OUT)-(c_TMAP1OUT))&gt;=0,1,-1)*QUOTIENT(((c_TMAP2IN)-(c_TMAP1IN)),2))+2147483648,4294967296)-2147483648,((c_TMAP2IN)-(c_TMAP1IN))*(((A434)-(c_TMAP1IN))*((c_TMAP2OUT)-(c_TMAP1OUT))+IF(((c_TMAP2OUT)-(c_TMAP1OUT))&gt;=0,1,-1)*QUOTIENT(((c_TMAP2IN)-(c_TMAP1IN)),2)))&gt;=0,1,0)))</f>
        <v>202</v>
      </c>
      <c r="F434" s="7" t="n">
        <f aca="false">IF(((c_TMAP3IN)-(c_TMAP2IN))=0,(c_TMAP2OUT)+QUOTIENT(((c_TMAP3OUT)-(c_TMAP2OUT)),2),QUOTIENT((((A434)-(c_TMAP2IN))*((c_TMAP3OUT)-(c_TMAP2OUT))+IF(((c_TMAP3OUT)-(c_TMAP2OUT))&gt;=0,1,-1)*QUOTIENT(((c_TMAP3IN)-(c_TMAP2IN)),2)),((c_TMAP3IN)-(c_TMAP2IN)))+(c_TMAP2OUT)+IF(((c_TMAP3OUT)-(c_TMAP2OUT))&gt;=0,IF(IF(o_WRAP=1,MOD(((c_TMAP3IN)-(c_TMAP2IN))*(((A434)-(c_TMAP2IN))*((c_TMAP3OUT)-(c_TMAP2OUT))+IF(((c_TMAP3OUT)-(c_TMAP2OUT))&gt;=0,1,-1)*QUOTIENT(((c_TMAP3IN)-(c_TMAP2IN)),2))+2147483648,4294967296)-2147483648,((c_TMAP3IN)-(c_TMAP2IN))*(((A434)-(c_TMAP2IN))*((c_TMAP3OUT)-(c_TMAP2OUT))+IF(((c_TMAP3OUT)-(c_TMAP2OUT))&gt;=0,1,-1)*QUOTIENT(((c_TMAP3IN)-(c_TMAP2IN)),2)))&lt;0,-1,0),IF(IF(o_WRAP=1,MOD(((c_TMAP3IN)-(c_TMAP2IN))*(((A434)-(c_TMAP2IN))*((c_TMAP3OUT)-(c_TMAP2OUT))+IF(((c_TMAP3OUT)-(c_TMAP2OUT))&gt;=0,1,-1)*QUOTIENT(((c_TMAP3IN)-(c_TMAP2IN)),2))+2147483648,4294967296)-2147483648,((c_TMAP3IN)-(c_TMAP2IN))*(((A434)-(c_TMAP2IN))*((c_TMAP3OUT)-(c_TMAP2OUT))+IF(((c_TMAP3OUT)-(c_TMAP2OUT))&gt;=0,1,-1)*QUOTIENT(((c_TMAP3IN)-(c_TMAP2IN)),2)))&gt;=0,1,0)))</f>
        <v>255</v>
      </c>
      <c r="G434" s="7" t="n">
        <f aca="false">IF(((1000)-(c_TMAP3IN))=0,(c_TMAP3OUT)+QUOTIENT(((1000)-(c_TMAP3OUT)),2),QUOTIENT((((A434)-(c_TMAP3IN))*((1000)-(c_TMAP3OUT))+IF(((1000)-(c_TMAP3OUT))&gt;=0,1,-1)*QUOTIENT(((1000)-(c_TMAP3IN)),2)),((1000)-(c_TMAP3IN)))+(c_TMAP3OUT)+IF(((1000)-(c_TMAP3OUT))&gt;=0,IF(IF(o_WRAP=1,MOD(((1000)-(c_TMAP3IN))*(((A434)-(c_TMAP3IN))*((1000)-(c_TMAP3OUT))+IF(((1000)-(c_TMAP3OUT))&gt;=0,1,-1)*QUOTIENT(((1000)-(c_TMAP3IN)),2))+2147483648,4294967296)-2147483648,((1000)-(c_TMAP3IN))*(((A434)-(c_TMAP3IN))*((1000)-(c_TMAP3OUT))+IF(((1000)-(c_TMAP3OUT))&gt;=0,1,-1)*QUOTIENT(((1000)-(c_TMAP3IN)),2)))&lt;0,-1,0),IF(IF(o_WRAP=1,MOD(((1000)-(c_TMAP3IN))*(((A434)-(c_TMAP3IN))*((1000)-(c_TMAP3OUT))+IF(((1000)-(c_TMAP3OUT))&gt;=0,1,-1)*QUOTIENT(((1000)-(c_TMAP3IN)),2))+2147483648,4294967296)-2147483648,((1000)-(c_TMAP3IN))*(((A434)-(c_TMAP3IN))*((1000)-(c_TMAP3OUT))+IF(((1000)-(c_TMAP3OUT))&gt;=0,1,-1)*QUOTIENT(((1000)-(c_TMAP3IN)),2)))&gt;=0,1,0)))</f>
        <v>297</v>
      </c>
      <c r="H434" s="7" t="str">
        <f aca="false">IF(A434&gt;=c_TFWD,IF(AND(A434&gt;=c_TMAP3IN,c_TMAP3IN&lt;1000),"Seg4 map3-100%",IF(AND(A434&gt;=c_TMAP2IN,c_TMAP3IN&gt;c_TMAP2IN),"Seg3 map2-map3",IF(AND(A434&gt;=c_TMAP1IN,c_TMAP2IN&gt;c_TMAP1IN),"Seg2 map1-map2","Seg1 TFWD-map1"))),IF(AND(A434=0,c_TCREEP&gt;0),"Creep",IF(AND(A434&lt;=c_TRNGMIN,A434&gt;=c_TRNGMAX,c_TRNGMIN-c_TRNGMAX&lt;&gt;0),"Regen ramp","Coast (0)")))</f>
        <v>Seg4 map3-100%</v>
      </c>
      <c r="I434" s="7" t="n">
        <f aca="false">IF(A434&gt;=c_TFWD,IF(AND(A434&gt;=c_TMAP3IN,c_TMAP3IN&lt;1000),G434,IF(AND(A434&gt;=c_TMAP2IN,c_TMAP3IN&gt;c_TMAP2IN),F434,IF(AND(A434&gt;=c_TMAP1IN,c_TMAP2IN&gt;c_TMAP1IN),E434,D434))),C434)</f>
        <v>297</v>
      </c>
      <c r="J434" s="7" t="str">
        <f aca="false">IF(I434&lt;-1090,"TOO LOW",IF(I434&gt;1090,"TOO HIGH",""))</f>
        <v/>
      </c>
      <c r="K434" s="15" t="n">
        <f aca="false">IF(J434&lt;&gt;"",0,IF(I434&gt;979,1000,I434))</f>
        <v>297</v>
      </c>
      <c r="L434" s="7" t="n">
        <f aca="false">K434/10</f>
        <v>29.7</v>
      </c>
    </row>
    <row r="435" customFormat="false" ht="15" hidden="false" customHeight="false" outlineLevel="0" collapsed="false">
      <c r="A435" s="7" t="n">
        <v>430</v>
      </c>
      <c r="B435" s="7" t="n">
        <f aca="false">A435/10</f>
        <v>43</v>
      </c>
      <c r="C435" s="7" t="n">
        <f aca="false">IF(AND(A435=0,c_TCREEP&gt;0),10*c_TCREEP,IF(AND(A435&lt;=c_TRNGMIN,A435&gt;=c_TRNGMAX,c_TRNGMIN-c_TRNGMAX&lt;&gt;0),-10*c_TMINRN+QUOTIENT((c_TMAXRN-c_TMINRN)*(100-QUOTIENT((A435-c_TRNGMAX)*100,c_TRNGMIN-c_TRNGMAX)),-10),0))</f>
        <v>0</v>
      </c>
      <c r="D435" s="7" t="n">
        <f aca="false">IF(((c_TMAP1IN)-(c_TFWD))=0,(0)+QUOTIENT(((c_TMAP1OUT)-(0)),2),QUOTIENT((((A435)-(c_TFWD))*((c_TMAP1OUT)-(0))+IF(((c_TMAP1OUT)-(0))&gt;=0,1,-1)*QUOTIENT(((c_TMAP1IN)-(c_TFWD)),2)),((c_TMAP1IN)-(c_TFWD)))+(0)+IF(((c_TMAP1OUT)-(0))&gt;=0,IF(IF(o_WRAP=1,MOD(((c_TMAP1IN)-(c_TFWD))*(((A435)-(c_TFWD))*((c_TMAP1OUT)-(0))+IF(((c_TMAP1OUT)-(0))&gt;=0,1,-1)*QUOTIENT(((c_TMAP1IN)-(c_TFWD)),2))+2147483648,4294967296)-2147483648,((c_TMAP1IN)-(c_TFWD))*(((A435)-(c_TFWD))*((c_TMAP1OUT)-(0))+IF(((c_TMAP1OUT)-(0))&gt;=0,1,-1)*QUOTIENT(((c_TMAP1IN)-(c_TFWD)),2)))&lt;0,-1,0),IF(IF(o_WRAP=1,MOD(((c_TMAP1IN)-(c_TFWD))*(((A435)-(c_TFWD))*((c_TMAP1OUT)-(0))+IF(((c_TMAP1OUT)-(0))&gt;=0,1,-1)*QUOTIENT(((c_TMAP1IN)-(c_TFWD)),2))+2147483648,4294967296)-2147483648,((c_TMAP1IN)-(c_TFWD))*(((A435)-(c_TFWD))*((c_TMAP1OUT)-(0))+IF(((c_TMAP1OUT)-(0))&gt;=0,1,-1)*QUOTIENT(((c_TMAP1IN)-(c_TFWD)),2)))&gt;=0,1,0)))</f>
        <v>327</v>
      </c>
      <c r="E435" s="7" t="n">
        <f aca="false">IF(((c_TMAP2IN)-(c_TMAP1IN))=0,(c_TMAP1OUT)+QUOTIENT(((c_TMAP2OUT)-(c_TMAP1OUT)),2),QUOTIENT((((A435)-(c_TMAP1IN))*((c_TMAP2OUT)-(c_TMAP1OUT))+IF(((c_TMAP2OUT)-(c_TMAP1OUT))&gt;=0,1,-1)*QUOTIENT(((c_TMAP2IN)-(c_TMAP1IN)),2)),((c_TMAP2IN)-(c_TMAP1IN)))+(c_TMAP1OUT)+IF(((c_TMAP2OUT)-(c_TMAP1OUT))&gt;=0,IF(IF(o_WRAP=1,MOD(((c_TMAP2IN)-(c_TMAP1IN))*(((A435)-(c_TMAP1IN))*((c_TMAP2OUT)-(c_TMAP1OUT))+IF(((c_TMAP2OUT)-(c_TMAP1OUT))&gt;=0,1,-1)*QUOTIENT(((c_TMAP2IN)-(c_TMAP1IN)),2))+2147483648,4294967296)-2147483648,((c_TMAP2IN)-(c_TMAP1IN))*(((A435)-(c_TMAP1IN))*((c_TMAP2OUT)-(c_TMAP1OUT))+IF(((c_TMAP2OUT)-(c_TMAP1OUT))&gt;=0,1,-1)*QUOTIENT(((c_TMAP2IN)-(c_TMAP1IN)),2)))&lt;0,-1,0),IF(IF(o_WRAP=1,MOD(((c_TMAP2IN)-(c_TMAP1IN))*(((A435)-(c_TMAP1IN))*((c_TMAP2OUT)-(c_TMAP1OUT))+IF(((c_TMAP2OUT)-(c_TMAP1OUT))&gt;=0,1,-1)*QUOTIENT(((c_TMAP2IN)-(c_TMAP1IN)),2))+2147483648,4294967296)-2147483648,((c_TMAP2IN)-(c_TMAP1IN))*(((A435)-(c_TMAP1IN))*((c_TMAP2OUT)-(c_TMAP1OUT))+IF(((c_TMAP2OUT)-(c_TMAP1OUT))&gt;=0,1,-1)*QUOTIENT(((c_TMAP2IN)-(c_TMAP1IN)),2)))&gt;=0,1,0)))</f>
        <v>202</v>
      </c>
      <c r="F435" s="7" t="n">
        <f aca="false">IF(((c_TMAP3IN)-(c_TMAP2IN))=0,(c_TMAP2OUT)+QUOTIENT(((c_TMAP3OUT)-(c_TMAP2OUT)),2),QUOTIENT((((A435)-(c_TMAP2IN))*((c_TMAP3OUT)-(c_TMAP2OUT))+IF(((c_TMAP3OUT)-(c_TMAP2OUT))&gt;=0,1,-1)*QUOTIENT(((c_TMAP3IN)-(c_TMAP2IN)),2)),((c_TMAP3IN)-(c_TMAP2IN)))+(c_TMAP2OUT)+IF(((c_TMAP3OUT)-(c_TMAP2OUT))&gt;=0,IF(IF(o_WRAP=1,MOD(((c_TMAP3IN)-(c_TMAP2IN))*(((A435)-(c_TMAP2IN))*((c_TMAP3OUT)-(c_TMAP2OUT))+IF(((c_TMAP3OUT)-(c_TMAP2OUT))&gt;=0,1,-1)*QUOTIENT(((c_TMAP3IN)-(c_TMAP2IN)),2))+2147483648,4294967296)-2147483648,((c_TMAP3IN)-(c_TMAP2IN))*(((A435)-(c_TMAP2IN))*((c_TMAP3OUT)-(c_TMAP2OUT))+IF(((c_TMAP3OUT)-(c_TMAP2OUT))&gt;=0,1,-1)*QUOTIENT(((c_TMAP3IN)-(c_TMAP2IN)),2)))&lt;0,-1,0),IF(IF(o_WRAP=1,MOD(((c_TMAP3IN)-(c_TMAP2IN))*(((A435)-(c_TMAP2IN))*((c_TMAP3OUT)-(c_TMAP2OUT))+IF(((c_TMAP3OUT)-(c_TMAP2OUT))&gt;=0,1,-1)*QUOTIENT(((c_TMAP3IN)-(c_TMAP2IN)),2))+2147483648,4294967296)-2147483648,((c_TMAP3IN)-(c_TMAP2IN))*(((A435)-(c_TMAP2IN))*((c_TMAP3OUT)-(c_TMAP2OUT))+IF(((c_TMAP3OUT)-(c_TMAP2OUT))&gt;=0,1,-1)*QUOTIENT(((c_TMAP3IN)-(c_TMAP2IN)),2)))&gt;=0,1,0)))</f>
        <v>256</v>
      </c>
      <c r="G435" s="7" t="n">
        <f aca="false">IF(((1000)-(c_TMAP3IN))=0,(c_TMAP3OUT)+QUOTIENT(((1000)-(c_TMAP3OUT)),2),QUOTIENT((((A435)-(c_TMAP3IN))*((1000)-(c_TMAP3OUT))+IF(((1000)-(c_TMAP3OUT))&gt;=0,1,-1)*QUOTIENT(((1000)-(c_TMAP3IN)),2)),((1000)-(c_TMAP3IN)))+(c_TMAP3OUT)+IF(((1000)-(c_TMAP3OUT))&gt;=0,IF(IF(o_WRAP=1,MOD(((1000)-(c_TMAP3IN))*(((A435)-(c_TMAP3IN))*((1000)-(c_TMAP3OUT))+IF(((1000)-(c_TMAP3OUT))&gt;=0,1,-1)*QUOTIENT(((1000)-(c_TMAP3IN)),2))+2147483648,4294967296)-2147483648,((1000)-(c_TMAP3IN))*(((A435)-(c_TMAP3IN))*((1000)-(c_TMAP3OUT))+IF(((1000)-(c_TMAP3OUT))&gt;=0,1,-1)*QUOTIENT(((1000)-(c_TMAP3IN)),2)))&lt;0,-1,0),IF(IF(o_WRAP=1,MOD(((1000)-(c_TMAP3IN))*(((A435)-(c_TMAP3IN))*((1000)-(c_TMAP3OUT))+IF(((1000)-(c_TMAP3OUT))&gt;=0,1,-1)*QUOTIENT(((1000)-(c_TMAP3IN)),2))+2147483648,4294967296)-2147483648,((1000)-(c_TMAP3IN))*(((A435)-(c_TMAP3IN))*((1000)-(c_TMAP3OUT))+IF(((1000)-(c_TMAP3OUT))&gt;=0,1,-1)*QUOTIENT(((1000)-(c_TMAP3IN)),2)))&gt;=0,1,0)))</f>
        <v>298</v>
      </c>
      <c r="H435" s="7" t="str">
        <f aca="false">IF(A435&gt;=c_TFWD,IF(AND(A435&gt;=c_TMAP3IN,c_TMAP3IN&lt;1000),"Seg4 map3-100%",IF(AND(A435&gt;=c_TMAP2IN,c_TMAP3IN&gt;c_TMAP2IN),"Seg3 map2-map3",IF(AND(A435&gt;=c_TMAP1IN,c_TMAP2IN&gt;c_TMAP1IN),"Seg2 map1-map2","Seg1 TFWD-map1"))),IF(AND(A435=0,c_TCREEP&gt;0),"Creep",IF(AND(A435&lt;=c_TRNGMIN,A435&gt;=c_TRNGMAX,c_TRNGMIN-c_TRNGMAX&lt;&gt;0),"Regen ramp","Coast (0)")))</f>
        <v>Seg4 map3-100%</v>
      </c>
      <c r="I435" s="7" t="n">
        <f aca="false">IF(A435&gt;=c_TFWD,IF(AND(A435&gt;=c_TMAP3IN,c_TMAP3IN&lt;1000),G435,IF(AND(A435&gt;=c_TMAP2IN,c_TMAP3IN&gt;c_TMAP2IN),F435,IF(AND(A435&gt;=c_TMAP1IN,c_TMAP2IN&gt;c_TMAP1IN),E435,D435))),C435)</f>
        <v>298</v>
      </c>
      <c r="J435" s="7" t="str">
        <f aca="false">IF(I435&lt;-1090,"TOO LOW",IF(I435&gt;1090,"TOO HIGH",""))</f>
        <v/>
      </c>
      <c r="K435" s="15" t="n">
        <f aca="false">IF(J435&lt;&gt;"",0,IF(I435&gt;979,1000,I435))</f>
        <v>298</v>
      </c>
      <c r="L435" s="7" t="n">
        <f aca="false">K435/10</f>
        <v>29.8</v>
      </c>
    </row>
    <row r="436" customFormat="false" ht="15" hidden="false" customHeight="false" outlineLevel="0" collapsed="false">
      <c r="A436" s="7" t="n">
        <v>431</v>
      </c>
      <c r="B436" s="7" t="n">
        <f aca="false">A436/10</f>
        <v>43.1</v>
      </c>
      <c r="C436" s="7" t="n">
        <f aca="false">IF(AND(A436=0,c_TCREEP&gt;0),10*c_TCREEP,IF(AND(A436&lt;=c_TRNGMIN,A436&gt;=c_TRNGMAX,c_TRNGMIN-c_TRNGMAX&lt;&gt;0),-10*c_TMINRN+QUOTIENT((c_TMAXRN-c_TMINRN)*(100-QUOTIENT((A436-c_TRNGMAX)*100,c_TRNGMIN-c_TRNGMAX)),-10),0))</f>
        <v>0</v>
      </c>
      <c r="D436" s="7" t="n">
        <f aca="false">IF(((c_TMAP1IN)-(c_TFWD))=0,(0)+QUOTIENT(((c_TMAP1OUT)-(0)),2),QUOTIENT((((A436)-(c_TFWD))*((c_TMAP1OUT)-(0))+IF(((c_TMAP1OUT)-(0))&gt;=0,1,-1)*QUOTIENT(((c_TMAP1IN)-(c_TFWD)),2)),((c_TMAP1IN)-(c_TFWD)))+(0)+IF(((c_TMAP1OUT)-(0))&gt;=0,IF(IF(o_WRAP=1,MOD(((c_TMAP1IN)-(c_TFWD))*(((A436)-(c_TFWD))*((c_TMAP1OUT)-(0))+IF(((c_TMAP1OUT)-(0))&gt;=0,1,-1)*QUOTIENT(((c_TMAP1IN)-(c_TFWD)),2))+2147483648,4294967296)-2147483648,((c_TMAP1IN)-(c_TFWD))*(((A436)-(c_TFWD))*((c_TMAP1OUT)-(0))+IF(((c_TMAP1OUT)-(0))&gt;=0,1,-1)*QUOTIENT(((c_TMAP1IN)-(c_TFWD)),2)))&lt;0,-1,0),IF(IF(o_WRAP=1,MOD(((c_TMAP1IN)-(c_TFWD))*(((A436)-(c_TFWD))*((c_TMAP1OUT)-(0))+IF(((c_TMAP1OUT)-(0))&gt;=0,1,-1)*QUOTIENT(((c_TMAP1IN)-(c_TFWD)),2))+2147483648,4294967296)-2147483648,((c_TMAP1IN)-(c_TFWD))*(((A436)-(c_TFWD))*((c_TMAP1OUT)-(0))+IF(((c_TMAP1OUT)-(0))&gt;=0,1,-1)*QUOTIENT(((c_TMAP1IN)-(c_TFWD)),2)))&gt;=0,1,0)))</f>
        <v>327</v>
      </c>
      <c r="E436" s="7" t="n">
        <f aca="false">IF(((c_TMAP2IN)-(c_TMAP1IN))=0,(c_TMAP1OUT)+QUOTIENT(((c_TMAP2OUT)-(c_TMAP1OUT)),2),QUOTIENT((((A436)-(c_TMAP1IN))*((c_TMAP2OUT)-(c_TMAP1OUT))+IF(((c_TMAP2OUT)-(c_TMAP1OUT))&gt;=0,1,-1)*QUOTIENT(((c_TMAP2IN)-(c_TMAP1IN)),2)),((c_TMAP2IN)-(c_TMAP1IN)))+(c_TMAP1OUT)+IF(((c_TMAP2OUT)-(c_TMAP1OUT))&gt;=0,IF(IF(o_WRAP=1,MOD(((c_TMAP2IN)-(c_TMAP1IN))*(((A436)-(c_TMAP1IN))*((c_TMAP2OUT)-(c_TMAP1OUT))+IF(((c_TMAP2OUT)-(c_TMAP1OUT))&gt;=0,1,-1)*QUOTIENT(((c_TMAP2IN)-(c_TMAP1IN)),2))+2147483648,4294967296)-2147483648,((c_TMAP2IN)-(c_TMAP1IN))*(((A436)-(c_TMAP1IN))*((c_TMAP2OUT)-(c_TMAP1OUT))+IF(((c_TMAP2OUT)-(c_TMAP1OUT))&gt;=0,1,-1)*QUOTIENT(((c_TMAP2IN)-(c_TMAP1IN)),2)))&lt;0,-1,0),IF(IF(o_WRAP=1,MOD(((c_TMAP2IN)-(c_TMAP1IN))*(((A436)-(c_TMAP1IN))*((c_TMAP2OUT)-(c_TMAP1OUT))+IF(((c_TMAP2OUT)-(c_TMAP1OUT))&gt;=0,1,-1)*QUOTIENT(((c_TMAP2IN)-(c_TMAP1IN)),2))+2147483648,4294967296)-2147483648,((c_TMAP2IN)-(c_TMAP1IN))*(((A436)-(c_TMAP1IN))*((c_TMAP2OUT)-(c_TMAP1OUT))+IF(((c_TMAP2OUT)-(c_TMAP1OUT))&gt;=0,1,-1)*QUOTIENT(((c_TMAP2IN)-(c_TMAP1IN)),2)))&gt;=0,1,0)))</f>
        <v>202</v>
      </c>
      <c r="F436" s="7" t="n">
        <f aca="false">IF(((c_TMAP3IN)-(c_TMAP2IN))=0,(c_TMAP2OUT)+QUOTIENT(((c_TMAP3OUT)-(c_TMAP2OUT)),2),QUOTIENT((((A436)-(c_TMAP2IN))*((c_TMAP3OUT)-(c_TMAP2OUT))+IF(((c_TMAP3OUT)-(c_TMAP2OUT))&gt;=0,1,-1)*QUOTIENT(((c_TMAP3IN)-(c_TMAP2IN)),2)),((c_TMAP3IN)-(c_TMAP2IN)))+(c_TMAP2OUT)+IF(((c_TMAP3OUT)-(c_TMAP2OUT))&gt;=0,IF(IF(o_WRAP=1,MOD(((c_TMAP3IN)-(c_TMAP2IN))*(((A436)-(c_TMAP2IN))*((c_TMAP3OUT)-(c_TMAP2OUT))+IF(((c_TMAP3OUT)-(c_TMAP2OUT))&gt;=0,1,-1)*QUOTIENT(((c_TMAP3IN)-(c_TMAP2IN)),2))+2147483648,4294967296)-2147483648,((c_TMAP3IN)-(c_TMAP2IN))*(((A436)-(c_TMAP2IN))*((c_TMAP3OUT)-(c_TMAP2OUT))+IF(((c_TMAP3OUT)-(c_TMAP2OUT))&gt;=0,1,-1)*QUOTIENT(((c_TMAP3IN)-(c_TMAP2IN)),2)))&lt;0,-1,0),IF(IF(o_WRAP=1,MOD(((c_TMAP3IN)-(c_TMAP2IN))*(((A436)-(c_TMAP2IN))*((c_TMAP3OUT)-(c_TMAP2OUT))+IF(((c_TMAP3OUT)-(c_TMAP2OUT))&gt;=0,1,-1)*QUOTIENT(((c_TMAP3IN)-(c_TMAP2IN)),2))+2147483648,4294967296)-2147483648,((c_TMAP3IN)-(c_TMAP2IN))*(((A436)-(c_TMAP2IN))*((c_TMAP3OUT)-(c_TMAP2OUT))+IF(((c_TMAP3OUT)-(c_TMAP2OUT))&gt;=0,1,-1)*QUOTIENT(((c_TMAP3IN)-(c_TMAP2IN)),2)))&gt;=0,1,0)))</f>
        <v>257</v>
      </c>
      <c r="G436" s="7" t="n">
        <f aca="false">IF(((1000)-(c_TMAP3IN))=0,(c_TMAP3OUT)+QUOTIENT(((1000)-(c_TMAP3OUT)),2),QUOTIENT((((A436)-(c_TMAP3IN))*((1000)-(c_TMAP3OUT))+IF(((1000)-(c_TMAP3OUT))&gt;=0,1,-1)*QUOTIENT(((1000)-(c_TMAP3IN)),2)),((1000)-(c_TMAP3IN)))+(c_TMAP3OUT)+IF(((1000)-(c_TMAP3OUT))&gt;=0,IF(IF(o_WRAP=1,MOD(((1000)-(c_TMAP3IN))*(((A436)-(c_TMAP3IN))*((1000)-(c_TMAP3OUT))+IF(((1000)-(c_TMAP3OUT))&gt;=0,1,-1)*QUOTIENT(((1000)-(c_TMAP3IN)),2))+2147483648,4294967296)-2147483648,((1000)-(c_TMAP3IN))*(((A436)-(c_TMAP3IN))*((1000)-(c_TMAP3OUT))+IF(((1000)-(c_TMAP3OUT))&gt;=0,1,-1)*QUOTIENT(((1000)-(c_TMAP3IN)),2)))&lt;0,-1,0),IF(IF(o_WRAP=1,MOD(((1000)-(c_TMAP3IN))*(((A436)-(c_TMAP3IN))*((1000)-(c_TMAP3OUT))+IF(((1000)-(c_TMAP3OUT))&gt;=0,1,-1)*QUOTIENT(((1000)-(c_TMAP3IN)),2))+2147483648,4294967296)-2147483648,((1000)-(c_TMAP3IN))*(((A436)-(c_TMAP3IN))*((1000)-(c_TMAP3OUT))+IF(((1000)-(c_TMAP3OUT))&gt;=0,1,-1)*QUOTIENT(((1000)-(c_TMAP3IN)),2)))&gt;=0,1,0)))</f>
        <v>300</v>
      </c>
      <c r="H436" s="7" t="str">
        <f aca="false">IF(A436&gt;=c_TFWD,IF(AND(A436&gt;=c_TMAP3IN,c_TMAP3IN&lt;1000),"Seg4 map3-100%",IF(AND(A436&gt;=c_TMAP2IN,c_TMAP3IN&gt;c_TMAP2IN),"Seg3 map2-map3",IF(AND(A436&gt;=c_TMAP1IN,c_TMAP2IN&gt;c_TMAP1IN),"Seg2 map1-map2","Seg1 TFWD-map1"))),IF(AND(A436=0,c_TCREEP&gt;0),"Creep",IF(AND(A436&lt;=c_TRNGMIN,A436&gt;=c_TRNGMAX,c_TRNGMIN-c_TRNGMAX&lt;&gt;0),"Regen ramp","Coast (0)")))</f>
        <v>Seg4 map3-100%</v>
      </c>
      <c r="I436" s="7" t="n">
        <f aca="false">IF(A436&gt;=c_TFWD,IF(AND(A436&gt;=c_TMAP3IN,c_TMAP3IN&lt;1000),G436,IF(AND(A436&gt;=c_TMAP2IN,c_TMAP3IN&gt;c_TMAP2IN),F436,IF(AND(A436&gt;=c_TMAP1IN,c_TMAP2IN&gt;c_TMAP1IN),E436,D436))),C436)</f>
        <v>300</v>
      </c>
      <c r="J436" s="7" t="str">
        <f aca="false">IF(I436&lt;-1090,"TOO LOW",IF(I436&gt;1090,"TOO HIGH",""))</f>
        <v/>
      </c>
      <c r="K436" s="15" t="n">
        <f aca="false">IF(J436&lt;&gt;"",0,IF(I436&gt;979,1000,I436))</f>
        <v>300</v>
      </c>
      <c r="L436" s="7" t="n">
        <f aca="false">K436/10</f>
        <v>30</v>
      </c>
    </row>
    <row r="437" customFormat="false" ht="15" hidden="false" customHeight="false" outlineLevel="0" collapsed="false">
      <c r="A437" s="7" t="n">
        <v>432</v>
      </c>
      <c r="B437" s="7" t="n">
        <f aca="false">A437/10</f>
        <v>43.2</v>
      </c>
      <c r="C437" s="7" t="n">
        <f aca="false">IF(AND(A437=0,c_TCREEP&gt;0),10*c_TCREEP,IF(AND(A437&lt;=c_TRNGMIN,A437&gt;=c_TRNGMAX,c_TRNGMIN-c_TRNGMAX&lt;&gt;0),-10*c_TMINRN+QUOTIENT((c_TMAXRN-c_TMINRN)*(100-QUOTIENT((A437-c_TRNGMAX)*100,c_TRNGMIN-c_TRNGMAX)),-10),0))</f>
        <v>0</v>
      </c>
      <c r="D437" s="7" t="n">
        <f aca="false">IF(((c_TMAP1IN)-(c_TFWD))=0,(0)+QUOTIENT(((c_TMAP1OUT)-(0)),2),QUOTIENT((((A437)-(c_TFWD))*((c_TMAP1OUT)-(0))+IF(((c_TMAP1OUT)-(0))&gt;=0,1,-1)*QUOTIENT(((c_TMAP1IN)-(c_TFWD)),2)),((c_TMAP1IN)-(c_TFWD)))+(0)+IF(((c_TMAP1OUT)-(0))&gt;=0,IF(IF(o_WRAP=1,MOD(((c_TMAP1IN)-(c_TFWD))*(((A437)-(c_TFWD))*((c_TMAP1OUT)-(0))+IF(((c_TMAP1OUT)-(0))&gt;=0,1,-1)*QUOTIENT(((c_TMAP1IN)-(c_TFWD)),2))+2147483648,4294967296)-2147483648,((c_TMAP1IN)-(c_TFWD))*(((A437)-(c_TFWD))*((c_TMAP1OUT)-(0))+IF(((c_TMAP1OUT)-(0))&gt;=0,1,-1)*QUOTIENT(((c_TMAP1IN)-(c_TFWD)),2)))&lt;0,-1,0),IF(IF(o_WRAP=1,MOD(((c_TMAP1IN)-(c_TFWD))*(((A437)-(c_TFWD))*((c_TMAP1OUT)-(0))+IF(((c_TMAP1OUT)-(0))&gt;=0,1,-1)*QUOTIENT(((c_TMAP1IN)-(c_TFWD)),2))+2147483648,4294967296)-2147483648,((c_TMAP1IN)-(c_TFWD))*(((A437)-(c_TFWD))*((c_TMAP1OUT)-(0))+IF(((c_TMAP1OUT)-(0))&gt;=0,1,-1)*QUOTIENT(((c_TMAP1IN)-(c_TFWD)),2)))&gt;=0,1,0)))</f>
        <v>328</v>
      </c>
      <c r="E437" s="7" t="n">
        <f aca="false">IF(((c_TMAP2IN)-(c_TMAP1IN))=0,(c_TMAP1OUT)+QUOTIENT(((c_TMAP2OUT)-(c_TMAP1OUT)),2),QUOTIENT((((A437)-(c_TMAP1IN))*((c_TMAP2OUT)-(c_TMAP1OUT))+IF(((c_TMAP2OUT)-(c_TMAP1OUT))&gt;=0,1,-1)*QUOTIENT(((c_TMAP2IN)-(c_TMAP1IN)),2)),((c_TMAP2IN)-(c_TMAP1IN)))+(c_TMAP1OUT)+IF(((c_TMAP2OUT)-(c_TMAP1OUT))&gt;=0,IF(IF(o_WRAP=1,MOD(((c_TMAP2IN)-(c_TMAP1IN))*(((A437)-(c_TMAP1IN))*((c_TMAP2OUT)-(c_TMAP1OUT))+IF(((c_TMAP2OUT)-(c_TMAP1OUT))&gt;=0,1,-1)*QUOTIENT(((c_TMAP2IN)-(c_TMAP1IN)),2))+2147483648,4294967296)-2147483648,((c_TMAP2IN)-(c_TMAP1IN))*(((A437)-(c_TMAP1IN))*((c_TMAP2OUT)-(c_TMAP1OUT))+IF(((c_TMAP2OUT)-(c_TMAP1OUT))&gt;=0,1,-1)*QUOTIENT(((c_TMAP2IN)-(c_TMAP1IN)),2)))&lt;0,-1,0),IF(IF(o_WRAP=1,MOD(((c_TMAP2IN)-(c_TMAP1IN))*(((A437)-(c_TMAP1IN))*((c_TMAP2OUT)-(c_TMAP1OUT))+IF(((c_TMAP2OUT)-(c_TMAP1OUT))&gt;=0,1,-1)*QUOTIENT(((c_TMAP2IN)-(c_TMAP1IN)),2))+2147483648,4294967296)-2147483648,((c_TMAP2IN)-(c_TMAP1IN))*(((A437)-(c_TMAP1IN))*((c_TMAP2OUT)-(c_TMAP1OUT))+IF(((c_TMAP2OUT)-(c_TMAP1OUT))&gt;=0,1,-1)*QUOTIENT(((c_TMAP2IN)-(c_TMAP1IN)),2)))&gt;=0,1,0)))</f>
        <v>203</v>
      </c>
      <c r="F437" s="7" t="n">
        <f aca="false">IF(((c_TMAP3IN)-(c_TMAP2IN))=0,(c_TMAP2OUT)+QUOTIENT(((c_TMAP3OUT)-(c_TMAP2OUT)),2),QUOTIENT((((A437)-(c_TMAP2IN))*((c_TMAP3OUT)-(c_TMAP2OUT))+IF(((c_TMAP3OUT)-(c_TMAP2OUT))&gt;=0,1,-1)*QUOTIENT(((c_TMAP3IN)-(c_TMAP2IN)),2)),((c_TMAP3IN)-(c_TMAP2IN)))+(c_TMAP2OUT)+IF(((c_TMAP3OUT)-(c_TMAP2OUT))&gt;=0,IF(IF(o_WRAP=1,MOD(((c_TMAP3IN)-(c_TMAP2IN))*(((A437)-(c_TMAP2IN))*((c_TMAP3OUT)-(c_TMAP2OUT))+IF(((c_TMAP3OUT)-(c_TMAP2OUT))&gt;=0,1,-1)*QUOTIENT(((c_TMAP3IN)-(c_TMAP2IN)),2))+2147483648,4294967296)-2147483648,((c_TMAP3IN)-(c_TMAP2IN))*(((A437)-(c_TMAP2IN))*((c_TMAP3OUT)-(c_TMAP2OUT))+IF(((c_TMAP3OUT)-(c_TMAP2OUT))&gt;=0,1,-1)*QUOTIENT(((c_TMAP3IN)-(c_TMAP2IN)),2)))&lt;0,-1,0),IF(IF(o_WRAP=1,MOD(((c_TMAP3IN)-(c_TMAP2IN))*(((A437)-(c_TMAP2IN))*((c_TMAP3OUT)-(c_TMAP2OUT))+IF(((c_TMAP3OUT)-(c_TMAP2OUT))&gt;=0,1,-1)*QUOTIENT(((c_TMAP3IN)-(c_TMAP2IN)),2))+2147483648,4294967296)-2147483648,((c_TMAP3IN)-(c_TMAP2IN))*(((A437)-(c_TMAP2IN))*((c_TMAP3OUT)-(c_TMAP2OUT))+IF(((c_TMAP3OUT)-(c_TMAP2OUT))&gt;=0,1,-1)*QUOTIENT(((c_TMAP3IN)-(c_TMAP2IN)),2)))&gt;=0,1,0)))</f>
        <v>257</v>
      </c>
      <c r="G437" s="7" t="n">
        <f aca="false">IF(((1000)-(c_TMAP3IN))=0,(c_TMAP3OUT)+QUOTIENT(((1000)-(c_TMAP3OUT)),2),QUOTIENT((((A437)-(c_TMAP3IN))*((1000)-(c_TMAP3OUT))+IF(((1000)-(c_TMAP3OUT))&gt;=0,1,-1)*QUOTIENT(((1000)-(c_TMAP3IN)),2)),((1000)-(c_TMAP3IN)))+(c_TMAP3OUT)+IF(((1000)-(c_TMAP3OUT))&gt;=0,IF(IF(o_WRAP=1,MOD(((1000)-(c_TMAP3IN))*(((A437)-(c_TMAP3IN))*((1000)-(c_TMAP3OUT))+IF(((1000)-(c_TMAP3OUT))&gt;=0,1,-1)*QUOTIENT(((1000)-(c_TMAP3IN)),2))+2147483648,4294967296)-2147483648,((1000)-(c_TMAP3IN))*(((A437)-(c_TMAP3IN))*((1000)-(c_TMAP3OUT))+IF(((1000)-(c_TMAP3OUT))&gt;=0,1,-1)*QUOTIENT(((1000)-(c_TMAP3IN)),2)))&lt;0,-1,0),IF(IF(o_WRAP=1,MOD(((1000)-(c_TMAP3IN))*(((A437)-(c_TMAP3IN))*((1000)-(c_TMAP3OUT))+IF(((1000)-(c_TMAP3OUT))&gt;=0,1,-1)*QUOTIENT(((1000)-(c_TMAP3IN)),2))+2147483648,4294967296)-2147483648,((1000)-(c_TMAP3IN))*(((A437)-(c_TMAP3IN))*((1000)-(c_TMAP3OUT))+IF(((1000)-(c_TMAP3OUT))&gt;=0,1,-1)*QUOTIENT(((1000)-(c_TMAP3IN)),2)))&gt;=0,1,0)))</f>
        <v>301</v>
      </c>
      <c r="H437" s="7" t="str">
        <f aca="false">IF(A437&gt;=c_TFWD,IF(AND(A437&gt;=c_TMAP3IN,c_TMAP3IN&lt;1000),"Seg4 map3-100%",IF(AND(A437&gt;=c_TMAP2IN,c_TMAP3IN&gt;c_TMAP2IN),"Seg3 map2-map3",IF(AND(A437&gt;=c_TMAP1IN,c_TMAP2IN&gt;c_TMAP1IN),"Seg2 map1-map2","Seg1 TFWD-map1"))),IF(AND(A437=0,c_TCREEP&gt;0),"Creep",IF(AND(A437&lt;=c_TRNGMIN,A437&gt;=c_TRNGMAX,c_TRNGMIN-c_TRNGMAX&lt;&gt;0),"Regen ramp","Coast (0)")))</f>
        <v>Seg4 map3-100%</v>
      </c>
      <c r="I437" s="7" t="n">
        <f aca="false">IF(A437&gt;=c_TFWD,IF(AND(A437&gt;=c_TMAP3IN,c_TMAP3IN&lt;1000),G437,IF(AND(A437&gt;=c_TMAP2IN,c_TMAP3IN&gt;c_TMAP2IN),F437,IF(AND(A437&gt;=c_TMAP1IN,c_TMAP2IN&gt;c_TMAP1IN),E437,D437))),C437)</f>
        <v>301</v>
      </c>
      <c r="J437" s="7" t="str">
        <f aca="false">IF(I437&lt;-1090,"TOO LOW",IF(I437&gt;1090,"TOO HIGH",""))</f>
        <v/>
      </c>
      <c r="K437" s="15" t="n">
        <f aca="false">IF(J437&lt;&gt;"",0,IF(I437&gt;979,1000,I437))</f>
        <v>301</v>
      </c>
      <c r="L437" s="7" t="n">
        <f aca="false">K437/10</f>
        <v>30.1</v>
      </c>
    </row>
    <row r="438" customFormat="false" ht="15" hidden="false" customHeight="false" outlineLevel="0" collapsed="false">
      <c r="A438" s="7" t="n">
        <v>433</v>
      </c>
      <c r="B438" s="7" t="n">
        <f aca="false">A438/10</f>
        <v>43.3</v>
      </c>
      <c r="C438" s="7" t="n">
        <f aca="false">IF(AND(A438=0,c_TCREEP&gt;0),10*c_TCREEP,IF(AND(A438&lt;=c_TRNGMIN,A438&gt;=c_TRNGMAX,c_TRNGMIN-c_TRNGMAX&lt;&gt;0),-10*c_TMINRN+QUOTIENT((c_TMAXRN-c_TMINRN)*(100-QUOTIENT((A438-c_TRNGMAX)*100,c_TRNGMIN-c_TRNGMAX)),-10),0))</f>
        <v>0</v>
      </c>
      <c r="D438" s="7" t="n">
        <f aca="false">IF(((c_TMAP1IN)-(c_TFWD))=0,(0)+QUOTIENT(((c_TMAP1OUT)-(0)),2),QUOTIENT((((A438)-(c_TFWD))*((c_TMAP1OUT)-(0))+IF(((c_TMAP1OUT)-(0))&gt;=0,1,-1)*QUOTIENT(((c_TMAP1IN)-(c_TFWD)),2)),((c_TMAP1IN)-(c_TFWD)))+(0)+IF(((c_TMAP1OUT)-(0))&gt;=0,IF(IF(o_WRAP=1,MOD(((c_TMAP1IN)-(c_TFWD))*(((A438)-(c_TFWD))*((c_TMAP1OUT)-(0))+IF(((c_TMAP1OUT)-(0))&gt;=0,1,-1)*QUOTIENT(((c_TMAP1IN)-(c_TFWD)),2))+2147483648,4294967296)-2147483648,((c_TMAP1IN)-(c_TFWD))*(((A438)-(c_TFWD))*((c_TMAP1OUT)-(0))+IF(((c_TMAP1OUT)-(0))&gt;=0,1,-1)*QUOTIENT(((c_TMAP1IN)-(c_TFWD)),2)))&lt;0,-1,0),IF(IF(o_WRAP=1,MOD(((c_TMAP1IN)-(c_TFWD))*(((A438)-(c_TFWD))*((c_TMAP1OUT)-(0))+IF(((c_TMAP1OUT)-(0))&gt;=0,1,-1)*QUOTIENT(((c_TMAP1IN)-(c_TFWD)),2))+2147483648,4294967296)-2147483648,((c_TMAP1IN)-(c_TFWD))*(((A438)-(c_TFWD))*((c_TMAP1OUT)-(0))+IF(((c_TMAP1OUT)-(0))&gt;=0,1,-1)*QUOTIENT(((c_TMAP1IN)-(c_TFWD)),2)))&gt;=0,1,0)))</f>
        <v>329</v>
      </c>
      <c r="E438" s="7" t="n">
        <f aca="false">IF(((c_TMAP2IN)-(c_TMAP1IN))=0,(c_TMAP1OUT)+QUOTIENT(((c_TMAP2OUT)-(c_TMAP1OUT)),2),QUOTIENT((((A438)-(c_TMAP1IN))*((c_TMAP2OUT)-(c_TMAP1OUT))+IF(((c_TMAP2OUT)-(c_TMAP1OUT))&gt;=0,1,-1)*QUOTIENT(((c_TMAP2IN)-(c_TMAP1IN)),2)),((c_TMAP2IN)-(c_TMAP1IN)))+(c_TMAP1OUT)+IF(((c_TMAP2OUT)-(c_TMAP1OUT))&gt;=0,IF(IF(o_WRAP=1,MOD(((c_TMAP2IN)-(c_TMAP1IN))*(((A438)-(c_TMAP1IN))*((c_TMAP2OUT)-(c_TMAP1OUT))+IF(((c_TMAP2OUT)-(c_TMAP1OUT))&gt;=0,1,-1)*QUOTIENT(((c_TMAP2IN)-(c_TMAP1IN)),2))+2147483648,4294967296)-2147483648,((c_TMAP2IN)-(c_TMAP1IN))*(((A438)-(c_TMAP1IN))*((c_TMAP2OUT)-(c_TMAP1OUT))+IF(((c_TMAP2OUT)-(c_TMAP1OUT))&gt;=0,1,-1)*QUOTIENT(((c_TMAP2IN)-(c_TMAP1IN)),2)))&lt;0,-1,0),IF(IF(o_WRAP=1,MOD(((c_TMAP2IN)-(c_TMAP1IN))*(((A438)-(c_TMAP1IN))*((c_TMAP2OUT)-(c_TMAP1OUT))+IF(((c_TMAP2OUT)-(c_TMAP1OUT))&gt;=0,1,-1)*QUOTIENT(((c_TMAP2IN)-(c_TMAP1IN)),2))+2147483648,4294967296)-2147483648,((c_TMAP2IN)-(c_TMAP1IN))*(((A438)-(c_TMAP1IN))*((c_TMAP2OUT)-(c_TMAP1OUT))+IF(((c_TMAP2OUT)-(c_TMAP1OUT))&gt;=0,1,-1)*QUOTIENT(((c_TMAP2IN)-(c_TMAP1IN)),2)))&gt;=0,1,0)))</f>
        <v>203</v>
      </c>
      <c r="F438" s="7" t="n">
        <f aca="false">IF(((c_TMAP3IN)-(c_TMAP2IN))=0,(c_TMAP2OUT)+QUOTIENT(((c_TMAP3OUT)-(c_TMAP2OUT)),2),QUOTIENT((((A438)-(c_TMAP2IN))*((c_TMAP3OUT)-(c_TMAP2OUT))+IF(((c_TMAP3OUT)-(c_TMAP2OUT))&gt;=0,1,-1)*QUOTIENT(((c_TMAP3IN)-(c_TMAP2IN)),2)),((c_TMAP3IN)-(c_TMAP2IN)))+(c_TMAP2OUT)+IF(((c_TMAP3OUT)-(c_TMAP2OUT))&gt;=0,IF(IF(o_WRAP=1,MOD(((c_TMAP3IN)-(c_TMAP2IN))*(((A438)-(c_TMAP2IN))*((c_TMAP3OUT)-(c_TMAP2OUT))+IF(((c_TMAP3OUT)-(c_TMAP2OUT))&gt;=0,1,-1)*QUOTIENT(((c_TMAP3IN)-(c_TMAP2IN)),2))+2147483648,4294967296)-2147483648,((c_TMAP3IN)-(c_TMAP2IN))*(((A438)-(c_TMAP2IN))*((c_TMAP3OUT)-(c_TMAP2OUT))+IF(((c_TMAP3OUT)-(c_TMAP2OUT))&gt;=0,1,-1)*QUOTIENT(((c_TMAP3IN)-(c_TMAP2IN)),2)))&lt;0,-1,0),IF(IF(o_WRAP=1,MOD(((c_TMAP3IN)-(c_TMAP2IN))*(((A438)-(c_TMAP2IN))*((c_TMAP3OUT)-(c_TMAP2OUT))+IF(((c_TMAP3OUT)-(c_TMAP2OUT))&gt;=0,1,-1)*QUOTIENT(((c_TMAP3IN)-(c_TMAP2IN)),2))+2147483648,4294967296)-2147483648,((c_TMAP3IN)-(c_TMAP2IN))*(((A438)-(c_TMAP2IN))*((c_TMAP3OUT)-(c_TMAP2OUT))+IF(((c_TMAP3OUT)-(c_TMAP2OUT))&gt;=0,1,-1)*QUOTIENT(((c_TMAP3IN)-(c_TMAP2IN)),2)))&gt;=0,1,0)))</f>
        <v>258</v>
      </c>
      <c r="G438" s="7" t="n">
        <f aca="false">IF(((1000)-(c_TMAP3IN))=0,(c_TMAP3OUT)+QUOTIENT(((1000)-(c_TMAP3OUT)),2),QUOTIENT((((A438)-(c_TMAP3IN))*((1000)-(c_TMAP3OUT))+IF(((1000)-(c_TMAP3OUT))&gt;=0,1,-1)*QUOTIENT(((1000)-(c_TMAP3IN)),2)),((1000)-(c_TMAP3IN)))+(c_TMAP3OUT)+IF(((1000)-(c_TMAP3OUT))&gt;=0,IF(IF(o_WRAP=1,MOD(((1000)-(c_TMAP3IN))*(((A438)-(c_TMAP3IN))*((1000)-(c_TMAP3OUT))+IF(((1000)-(c_TMAP3OUT))&gt;=0,1,-1)*QUOTIENT(((1000)-(c_TMAP3IN)),2))+2147483648,4294967296)-2147483648,((1000)-(c_TMAP3IN))*(((A438)-(c_TMAP3IN))*((1000)-(c_TMAP3OUT))+IF(((1000)-(c_TMAP3OUT))&gt;=0,1,-1)*QUOTIENT(((1000)-(c_TMAP3IN)),2)))&lt;0,-1,0),IF(IF(o_WRAP=1,MOD(((1000)-(c_TMAP3IN))*(((A438)-(c_TMAP3IN))*((1000)-(c_TMAP3OUT))+IF(((1000)-(c_TMAP3OUT))&gt;=0,1,-1)*QUOTIENT(((1000)-(c_TMAP3IN)),2))+2147483648,4294967296)-2147483648,((1000)-(c_TMAP3IN))*(((A438)-(c_TMAP3IN))*((1000)-(c_TMAP3OUT))+IF(((1000)-(c_TMAP3OUT))&gt;=0,1,-1)*QUOTIENT(((1000)-(c_TMAP3IN)),2)))&gt;=0,1,0)))</f>
        <v>302</v>
      </c>
      <c r="H438" s="7" t="str">
        <f aca="false">IF(A438&gt;=c_TFWD,IF(AND(A438&gt;=c_TMAP3IN,c_TMAP3IN&lt;1000),"Seg4 map3-100%",IF(AND(A438&gt;=c_TMAP2IN,c_TMAP3IN&gt;c_TMAP2IN),"Seg3 map2-map3",IF(AND(A438&gt;=c_TMAP1IN,c_TMAP2IN&gt;c_TMAP1IN),"Seg2 map1-map2","Seg1 TFWD-map1"))),IF(AND(A438=0,c_TCREEP&gt;0),"Creep",IF(AND(A438&lt;=c_TRNGMIN,A438&gt;=c_TRNGMAX,c_TRNGMIN-c_TRNGMAX&lt;&gt;0),"Regen ramp","Coast (0)")))</f>
        <v>Seg4 map3-100%</v>
      </c>
      <c r="I438" s="7" t="n">
        <f aca="false">IF(A438&gt;=c_TFWD,IF(AND(A438&gt;=c_TMAP3IN,c_TMAP3IN&lt;1000),G438,IF(AND(A438&gt;=c_TMAP2IN,c_TMAP3IN&gt;c_TMAP2IN),F438,IF(AND(A438&gt;=c_TMAP1IN,c_TMAP2IN&gt;c_TMAP1IN),E438,D438))),C438)</f>
        <v>302</v>
      </c>
      <c r="J438" s="7" t="str">
        <f aca="false">IF(I438&lt;-1090,"TOO LOW",IF(I438&gt;1090,"TOO HIGH",""))</f>
        <v/>
      </c>
      <c r="K438" s="15" t="n">
        <f aca="false">IF(J438&lt;&gt;"",0,IF(I438&gt;979,1000,I438))</f>
        <v>302</v>
      </c>
      <c r="L438" s="7" t="n">
        <f aca="false">K438/10</f>
        <v>30.2</v>
      </c>
    </row>
    <row r="439" customFormat="false" ht="15" hidden="false" customHeight="false" outlineLevel="0" collapsed="false">
      <c r="A439" s="7" t="n">
        <v>434</v>
      </c>
      <c r="B439" s="7" t="n">
        <f aca="false">A439/10</f>
        <v>43.4</v>
      </c>
      <c r="C439" s="7" t="n">
        <f aca="false">IF(AND(A439=0,c_TCREEP&gt;0),10*c_TCREEP,IF(AND(A439&lt;=c_TRNGMIN,A439&gt;=c_TRNGMAX,c_TRNGMIN-c_TRNGMAX&lt;&gt;0),-10*c_TMINRN+QUOTIENT((c_TMAXRN-c_TMINRN)*(100-QUOTIENT((A439-c_TRNGMAX)*100,c_TRNGMIN-c_TRNGMAX)),-10),0))</f>
        <v>0</v>
      </c>
      <c r="D439" s="7" t="n">
        <f aca="false">IF(((c_TMAP1IN)-(c_TFWD))=0,(0)+QUOTIENT(((c_TMAP1OUT)-(0)),2),QUOTIENT((((A439)-(c_TFWD))*((c_TMAP1OUT)-(0))+IF(((c_TMAP1OUT)-(0))&gt;=0,1,-1)*QUOTIENT(((c_TMAP1IN)-(c_TFWD)),2)),((c_TMAP1IN)-(c_TFWD)))+(0)+IF(((c_TMAP1OUT)-(0))&gt;=0,IF(IF(o_WRAP=1,MOD(((c_TMAP1IN)-(c_TFWD))*(((A439)-(c_TFWD))*((c_TMAP1OUT)-(0))+IF(((c_TMAP1OUT)-(0))&gt;=0,1,-1)*QUOTIENT(((c_TMAP1IN)-(c_TFWD)),2))+2147483648,4294967296)-2147483648,((c_TMAP1IN)-(c_TFWD))*(((A439)-(c_TFWD))*((c_TMAP1OUT)-(0))+IF(((c_TMAP1OUT)-(0))&gt;=0,1,-1)*QUOTIENT(((c_TMAP1IN)-(c_TFWD)),2)))&lt;0,-1,0),IF(IF(o_WRAP=1,MOD(((c_TMAP1IN)-(c_TFWD))*(((A439)-(c_TFWD))*((c_TMAP1OUT)-(0))+IF(((c_TMAP1OUT)-(0))&gt;=0,1,-1)*QUOTIENT(((c_TMAP1IN)-(c_TFWD)),2))+2147483648,4294967296)-2147483648,((c_TMAP1IN)-(c_TFWD))*(((A439)-(c_TFWD))*((c_TMAP1OUT)-(0))+IF(((c_TMAP1OUT)-(0))&gt;=0,1,-1)*QUOTIENT(((c_TMAP1IN)-(c_TFWD)),2)))&gt;=0,1,0)))</f>
        <v>330</v>
      </c>
      <c r="E439" s="7" t="n">
        <f aca="false">IF(((c_TMAP2IN)-(c_TMAP1IN))=0,(c_TMAP1OUT)+QUOTIENT(((c_TMAP2OUT)-(c_TMAP1OUT)),2),QUOTIENT((((A439)-(c_TMAP1IN))*((c_TMAP2OUT)-(c_TMAP1OUT))+IF(((c_TMAP2OUT)-(c_TMAP1OUT))&gt;=0,1,-1)*QUOTIENT(((c_TMAP2IN)-(c_TMAP1IN)),2)),((c_TMAP2IN)-(c_TMAP1IN)))+(c_TMAP1OUT)+IF(((c_TMAP2OUT)-(c_TMAP1OUT))&gt;=0,IF(IF(o_WRAP=1,MOD(((c_TMAP2IN)-(c_TMAP1IN))*(((A439)-(c_TMAP1IN))*((c_TMAP2OUT)-(c_TMAP1OUT))+IF(((c_TMAP2OUT)-(c_TMAP1OUT))&gt;=0,1,-1)*QUOTIENT(((c_TMAP2IN)-(c_TMAP1IN)),2))+2147483648,4294967296)-2147483648,((c_TMAP2IN)-(c_TMAP1IN))*(((A439)-(c_TMAP1IN))*((c_TMAP2OUT)-(c_TMAP1OUT))+IF(((c_TMAP2OUT)-(c_TMAP1OUT))&gt;=0,1,-1)*QUOTIENT(((c_TMAP2IN)-(c_TMAP1IN)),2)))&lt;0,-1,0),IF(IF(o_WRAP=1,MOD(((c_TMAP2IN)-(c_TMAP1IN))*(((A439)-(c_TMAP1IN))*((c_TMAP2OUT)-(c_TMAP1OUT))+IF(((c_TMAP2OUT)-(c_TMAP1OUT))&gt;=0,1,-1)*QUOTIENT(((c_TMAP2IN)-(c_TMAP1IN)),2))+2147483648,4294967296)-2147483648,((c_TMAP2IN)-(c_TMAP1IN))*(((A439)-(c_TMAP1IN))*((c_TMAP2OUT)-(c_TMAP1OUT))+IF(((c_TMAP2OUT)-(c_TMAP1OUT))&gt;=0,1,-1)*QUOTIENT(((c_TMAP2IN)-(c_TMAP1IN)),2)))&gt;=0,1,0)))</f>
        <v>204</v>
      </c>
      <c r="F439" s="7" t="n">
        <f aca="false">IF(((c_TMAP3IN)-(c_TMAP2IN))=0,(c_TMAP2OUT)+QUOTIENT(((c_TMAP3OUT)-(c_TMAP2OUT)),2),QUOTIENT((((A439)-(c_TMAP2IN))*((c_TMAP3OUT)-(c_TMAP2OUT))+IF(((c_TMAP3OUT)-(c_TMAP2OUT))&gt;=0,1,-1)*QUOTIENT(((c_TMAP3IN)-(c_TMAP2IN)),2)),((c_TMAP3IN)-(c_TMAP2IN)))+(c_TMAP2OUT)+IF(((c_TMAP3OUT)-(c_TMAP2OUT))&gt;=0,IF(IF(o_WRAP=1,MOD(((c_TMAP3IN)-(c_TMAP2IN))*(((A439)-(c_TMAP2IN))*((c_TMAP3OUT)-(c_TMAP2OUT))+IF(((c_TMAP3OUT)-(c_TMAP2OUT))&gt;=0,1,-1)*QUOTIENT(((c_TMAP3IN)-(c_TMAP2IN)),2))+2147483648,4294967296)-2147483648,((c_TMAP3IN)-(c_TMAP2IN))*(((A439)-(c_TMAP2IN))*((c_TMAP3OUT)-(c_TMAP2OUT))+IF(((c_TMAP3OUT)-(c_TMAP2OUT))&gt;=0,1,-1)*QUOTIENT(((c_TMAP3IN)-(c_TMAP2IN)),2)))&lt;0,-1,0),IF(IF(o_WRAP=1,MOD(((c_TMAP3IN)-(c_TMAP2IN))*(((A439)-(c_TMAP2IN))*((c_TMAP3OUT)-(c_TMAP2OUT))+IF(((c_TMAP3OUT)-(c_TMAP2OUT))&gt;=0,1,-1)*QUOTIENT(((c_TMAP3IN)-(c_TMAP2IN)),2))+2147483648,4294967296)-2147483648,((c_TMAP3IN)-(c_TMAP2IN))*(((A439)-(c_TMAP2IN))*((c_TMAP3OUT)-(c_TMAP2OUT))+IF(((c_TMAP3OUT)-(c_TMAP2OUT))&gt;=0,1,-1)*QUOTIENT(((c_TMAP3IN)-(c_TMAP2IN)),2)))&gt;=0,1,0)))</f>
        <v>259</v>
      </c>
      <c r="G439" s="7" t="n">
        <f aca="false">IF(((1000)-(c_TMAP3IN))=0,(c_TMAP3OUT)+QUOTIENT(((1000)-(c_TMAP3OUT)),2),QUOTIENT((((A439)-(c_TMAP3IN))*((1000)-(c_TMAP3OUT))+IF(((1000)-(c_TMAP3OUT))&gt;=0,1,-1)*QUOTIENT(((1000)-(c_TMAP3IN)),2)),((1000)-(c_TMAP3IN)))+(c_TMAP3OUT)+IF(((1000)-(c_TMAP3OUT))&gt;=0,IF(IF(o_WRAP=1,MOD(((1000)-(c_TMAP3IN))*(((A439)-(c_TMAP3IN))*((1000)-(c_TMAP3OUT))+IF(((1000)-(c_TMAP3OUT))&gt;=0,1,-1)*QUOTIENT(((1000)-(c_TMAP3IN)),2))+2147483648,4294967296)-2147483648,((1000)-(c_TMAP3IN))*(((A439)-(c_TMAP3IN))*((1000)-(c_TMAP3OUT))+IF(((1000)-(c_TMAP3OUT))&gt;=0,1,-1)*QUOTIENT(((1000)-(c_TMAP3IN)),2)))&lt;0,-1,0),IF(IF(o_WRAP=1,MOD(((1000)-(c_TMAP3IN))*(((A439)-(c_TMAP3IN))*((1000)-(c_TMAP3OUT))+IF(((1000)-(c_TMAP3OUT))&gt;=0,1,-1)*QUOTIENT(((1000)-(c_TMAP3IN)),2))+2147483648,4294967296)-2147483648,((1000)-(c_TMAP3IN))*(((A439)-(c_TMAP3IN))*((1000)-(c_TMAP3OUT))+IF(((1000)-(c_TMAP3OUT))&gt;=0,1,-1)*QUOTIENT(((1000)-(c_TMAP3IN)),2)))&gt;=0,1,0)))</f>
        <v>303</v>
      </c>
      <c r="H439" s="7" t="str">
        <f aca="false">IF(A439&gt;=c_TFWD,IF(AND(A439&gt;=c_TMAP3IN,c_TMAP3IN&lt;1000),"Seg4 map3-100%",IF(AND(A439&gt;=c_TMAP2IN,c_TMAP3IN&gt;c_TMAP2IN),"Seg3 map2-map3",IF(AND(A439&gt;=c_TMAP1IN,c_TMAP2IN&gt;c_TMAP1IN),"Seg2 map1-map2","Seg1 TFWD-map1"))),IF(AND(A439=0,c_TCREEP&gt;0),"Creep",IF(AND(A439&lt;=c_TRNGMIN,A439&gt;=c_TRNGMAX,c_TRNGMIN-c_TRNGMAX&lt;&gt;0),"Regen ramp","Coast (0)")))</f>
        <v>Seg4 map3-100%</v>
      </c>
      <c r="I439" s="7" t="n">
        <f aca="false">IF(A439&gt;=c_TFWD,IF(AND(A439&gt;=c_TMAP3IN,c_TMAP3IN&lt;1000),G439,IF(AND(A439&gt;=c_TMAP2IN,c_TMAP3IN&gt;c_TMAP2IN),F439,IF(AND(A439&gt;=c_TMAP1IN,c_TMAP2IN&gt;c_TMAP1IN),E439,D439))),C439)</f>
        <v>303</v>
      </c>
      <c r="J439" s="7" t="str">
        <f aca="false">IF(I439&lt;-1090,"TOO LOW",IF(I439&gt;1090,"TOO HIGH",""))</f>
        <v/>
      </c>
      <c r="K439" s="15" t="n">
        <f aca="false">IF(J439&lt;&gt;"",0,IF(I439&gt;979,1000,I439))</f>
        <v>303</v>
      </c>
      <c r="L439" s="7" t="n">
        <f aca="false">K439/10</f>
        <v>30.3</v>
      </c>
    </row>
    <row r="440" customFormat="false" ht="15" hidden="false" customHeight="false" outlineLevel="0" collapsed="false">
      <c r="A440" s="7" t="n">
        <v>435</v>
      </c>
      <c r="B440" s="7" t="n">
        <f aca="false">A440/10</f>
        <v>43.5</v>
      </c>
      <c r="C440" s="7" t="n">
        <f aca="false">IF(AND(A440=0,c_TCREEP&gt;0),10*c_TCREEP,IF(AND(A440&lt;=c_TRNGMIN,A440&gt;=c_TRNGMAX,c_TRNGMIN-c_TRNGMAX&lt;&gt;0),-10*c_TMINRN+QUOTIENT((c_TMAXRN-c_TMINRN)*(100-QUOTIENT((A440-c_TRNGMAX)*100,c_TRNGMIN-c_TRNGMAX)),-10),0))</f>
        <v>0</v>
      </c>
      <c r="D440" s="7" t="n">
        <f aca="false">IF(((c_TMAP1IN)-(c_TFWD))=0,(0)+QUOTIENT(((c_TMAP1OUT)-(0)),2),QUOTIENT((((A440)-(c_TFWD))*((c_TMAP1OUT)-(0))+IF(((c_TMAP1OUT)-(0))&gt;=0,1,-1)*QUOTIENT(((c_TMAP1IN)-(c_TFWD)),2)),((c_TMAP1IN)-(c_TFWD)))+(0)+IF(((c_TMAP1OUT)-(0))&gt;=0,IF(IF(o_WRAP=1,MOD(((c_TMAP1IN)-(c_TFWD))*(((A440)-(c_TFWD))*((c_TMAP1OUT)-(0))+IF(((c_TMAP1OUT)-(0))&gt;=0,1,-1)*QUOTIENT(((c_TMAP1IN)-(c_TFWD)),2))+2147483648,4294967296)-2147483648,((c_TMAP1IN)-(c_TFWD))*(((A440)-(c_TFWD))*((c_TMAP1OUT)-(0))+IF(((c_TMAP1OUT)-(0))&gt;=0,1,-1)*QUOTIENT(((c_TMAP1IN)-(c_TFWD)),2)))&lt;0,-1,0),IF(IF(o_WRAP=1,MOD(((c_TMAP1IN)-(c_TFWD))*(((A440)-(c_TFWD))*((c_TMAP1OUT)-(0))+IF(((c_TMAP1OUT)-(0))&gt;=0,1,-1)*QUOTIENT(((c_TMAP1IN)-(c_TFWD)),2))+2147483648,4294967296)-2147483648,((c_TMAP1IN)-(c_TFWD))*(((A440)-(c_TFWD))*((c_TMAP1OUT)-(0))+IF(((c_TMAP1OUT)-(0))&gt;=0,1,-1)*QUOTIENT(((c_TMAP1IN)-(c_TFWD)),2)))&gt;=0,1,0)))</f>
        <v>331</v>
      </c>
      <c r="E440" s="7" t="n">
        <f aca="false">IF(((c_TMAP2IN)-(c_TMAP1IN))=0,(c_TMAP1OUT)+QUOTIENT(((c_TMAP2OUT)-(c_TMAP1OUT)),2),QUOTIENT((((A440)-(c_TMAP1IN))*((c_TMAP2OUT)-(c_TMAP1OUT))+IF(((c_TMAP2OUT)-(c_TMAP1OUT))&gt;=0,1,-1)*QUOTIENT(((c_TMAP2IN)-(c_TMAP1IN)),2)),((c_TMAP2IN)-(c_TMAP1IN)))+(c_TMAP1OUT)+IF(((c_TMAP2OUT)-(c_TMAP1OUT))&gt;=0,IF(IF(o_WRAP=1,MOD(((c_TMAP2IN)-(c_TMAP1IN))*(((A440)-(c_TMAP1IN))*((c_TMAP2OUT)-(c_TMAP1OUT))+IF(((c_TMAP2OUT)-(c_TMAP1OUT))&gt;=0,1,-1)*QUOTIENT(((c_TMAP2IN)-(c_TMAP1IN)),2))+2147483648,4294967296)-2147483648,((c_TMAP2IN)-(c_TMAP1IN))*(((A440)-(c_TMAP1IN))*((c_TMAP2OUT)-(c_TMAP1OUT))+IF(((c_TMAP2OUT)-(c_TMAP1OUT))&gt;=0,1,-1)*QUOTIENT(((c_TMAP2IN)-(c_TMAP1IN)),2)))&lt;0,-1,0),IF(IF(o_WRAP=1,MOD(((c_TMAP2IN)-(c_TMAP1IN))*(((A440)-(c_TMAP1IN))*((c_TMAP2OUT)-(c_TMAP1OUT))+IF(((c_TMAP2OUT)-(c_TMAP1OUT))&gt;=0,1,-1)*QUOTIENT(((c_TMAP2IN)-(c_TMAP1IN)),2))+2147483648,4294967296)-2147483648,((c_TMAP2IN)-(c_TMAP1IN))*(((A440)-(c_TMAP1IN))*((c_TMAP2OUT)-(c_TMAP1OUT))+IF(((c_TMAP2OUT)-(c_TMAP1OUT))&gt;=0,1,-1)*QUOTIENT(((c_TMAP2IN)-(c_TMAP1IN)),2)))&gt;=0,1,0)))</f>
        <v>204</v>
      </c>
      <c r="F440" s="7" t="n">
        <f aca="false">IF(((c_TMAP3IN)-(c_TMAP2IN))=0,(c_TMAP2OUT)+QUOTIENT(((c_TMAP3OUT)-(c_TMAP2OUT)),2),QUOTIENT((((A440)-(c_TMAP2IN))*((c_TMAP3OUT)-(c_TMAP2OUT))+IF(((c_TMAP3OUT)-(c_TMAP2OUT))&gt;=0,1,-1)*QUOTIENT(((c_TMAP3IN)-(c_TMAP2IN)),2)),((c_TMAP3IN)-(c_TMAP2IN)))+(c_TMAP2OUT)+IF(((c_TMAP3OUT)-(c_TMAP2OUT))&gt;=0,IF(IF(o_WRAP=1,MOD(((c_TMAP3IN)-(c_TMAP2IN))*(((A440)-(c_TMAP2IN))*((c_TMAP3OUT)-(c_TMAP2OUT))+IF(((c_TMAP3OUT)-(c_TMAP2OUT))&gt;=0,1,-1)*QUOTIENT(((c_TMAP3IN)-(c_TMAP2IN)),2))+2147483648,4294967296)-2147483648,((c_TMAP3IN)-(c_TMAP2IN))*(((A440)-(c_TMAP2IN))*((c_TMAP3OUT)-(c_TMAP2OUT))+IF(((c_TMAP3OUT)-(c_TMAP2OUT))&gt;=0,1,-1)*QUOTIENT(((c_TMAP3IN)-(c_TMAP2IN)),2)))&lt;0,-1,0),IF(IF(o_WRAP=1,MOD(((c_TMAP3IN)-(c_TMAP2IN))*(((A440)-(c_TMAP2IN))*((c_TMAP3OUT)-(c_TMAP2OUT))+IF(((c_TMAP3OUT)-(c_TMAP2OUT))&gt;=0,1,-1)*QUOTIENT(((c_TMAP3IN)-(c_TMAP2IN)),2))+2147483648,4294967296)-2147483648,((c_TMAP3IN)-(c_TMAP2IN))*(((A440)-(c_TMAP2IN))*((c_TMAP3OUT)-(c_TMAP2OUT))+IF(((c_TMAP3OUT)-(c_TMAP2OUT))&gt;=0,1,-1)*QUOTIENT(((c_TMAP3IN)-(c_TMAP2IN)),2)))&gt;=0,1,0)))</f>
        <v>260</v>
      </c>
      <c r="G440" s="7" t="n">
        <f aca="false">IF(((1000)-(c_TMAP3IN))=0,(c_TMAP3OUT)+QUOTIENT(((1000)-(c_TMAP3OUT)),2),QUOTIENT((((A440)-(c_TMAP3IN))*((1000)-(c_TMAP3OUT))+IF(((1000)-(c_TMAP3OUT))&gt;=0,1,-1)*QUOTIENT(((1000)-(c_TMAP3IN)),2)),((1000)-(c_TMAP3IN)))+(c_TMAP3OUT)+IF(((1000)-(c_TMAP3OUT))&gt;=0,IF(IF(o_WRAP=1,MOD(((1000)-(c_TMAP3IN))*(((A440)-(c_TMAP3IN))*((1000)-(c_TMAP3OUT))+IF(((1000)-(c_TMAP3OUT))&gt;=0,1,-1)*QUOTIENT(((1000)-(c_TMAP3IN)),2))+2147483648,4294967296)-2147483648,((1000)-(c_TMAP3IN))*(((A440)-(c_TMAP3IN))*((1000)-(c_TMAP3OUT))+IF(((1000)-(c_TMAP3OUT))&gt;=0,1,-1)*QUOTIENT(((1000)-(c_TMAP3IN)),2)))&lt;0,-1,0),IF(IF(o_WRAP=1,MOD(((1000)-(c_TMAP3IN))*(((A440)-(c_TMAP3IN))*((1000)-(c_TMAP3OUT))+IF(((1000)-(c_TMAP3OUT))&gt;=0,1,-1)*QUOTIENT(((1000)-(c_TMAP3IN)),2))+2147483648,4294967296)-2147483648,((1000)-(c_TMAP3IN))*(((A440)-(c_TMAP3IN))*((1000)-(c_TMAP3OUT))+IF(((1000)-(c_TMAP3OUT))&gt;=0,1,-1)*QUOTIENT(((1000)-(c_TMAP3IN)),2)))&gt;=0,1,0)))</f>
        <v>305</v>
      </c>
      <c r="H440" s="7" t="str">
        <f aca="false">IF(A440&gt;=c_TFWD,IF(AND(A440&gt;=c_TMAP3IN,c_TMAP3IN&lt;1000),"Seg4 map3-100%",IF(AND(A440&gt;=c_TMAP2IN,c_TMAP3IN&gt;c_TMAP2IN),"Seg3 map2-map3",IF(AND(A440&gt;=c_TMAP1IN,c_TMAP2IN&gt;c_TMAP1IN),"Seg2 map1-map2","Seg1 TFWD-map1"))),IF(AND(A440=0,c_TCREEP&gt;0),"Creep",IF(AND(A440&lt;=c_TRNGMIN,A440&gt;=c_TRNGMAX,c_TRNGMIN-c_TRNGMAX&lt;&gt;0),"Regen ramp","Coast (0)")))</f>
        <v>Seg4 map3-100%</v>
      </c>
      <c r="I440" s="7" t="n">
        <f aca="false">IF(A440&gt;=c_TFWD,IF(AND(A440&gt;=c_TMAP3IN,c_TMAP3IN&lt;1000),G440,IF(AND(A440&gt;=c_TMAP2IN,c_TMAP3IN&gt;c_TMAP2IN),F440,IF(AND(A440&gt;=c_TMAP1IN,c_TMAP2IN&gt;c_TMAP1IN),E440,D440))),C440)</f>
        <v>305</v>
      </c>
      <c r="J440" s="7" t="str">
        <f aca="false">IF(I440&lt;-1090,"TOO LOW",IF(I440&gt;1090,"TOO HIGH",""))</f>
        <v/>
      </c>
      <c r="K440" s="15" t="n">
        <f aca="false">IF(J440&lt;&gt;"",0,IF(I440&gt;979,1000,I440))</f>
        <v>305</v>
      </c>
      <c r="L440" s="7" t="n">
        <f aca="false">K440/10</f>
        <v>30.5</v>
      </c>
    </row>
    <row r="441" customFormat="false" ht="15" hidden="false" customHeight="false" outlineLevel="0" collapsed="false">
      <c r="A441" s="7" t="n">
        <v>436</v>
      </c>
      <c r="B441" s="7" t="n">
        <f aca="false">A441/10</f>
        <v>43.6</v>
      </c>
      <c r="C441" s="7" t="n">
        <f aca="false">IF(AND(A441=0,c_TCREEP&gt;0),10*c_TCREEP,IF(AND(A441&lt;=c_TRNGMIN,A441&gt;=c_TRNGMAX,c_TRNGMIN-c_TRNGMAX&lt;&gt;0),-10*c_TMINRN+QUOTIENT((c_TMAXRN-c_TMINRN)*(100-QUOTIENT((A441-c_TRNGMAX)*100,c_TRNGMIN-c_TRNGMAX)),-10),0))</f>
        <v>0</v>
      </c>
      <c r="D441" s="7" t="n">
        <f aca="false">IF(((c_TMAP1IN)-(c_TFWD))=0,(0)+QUOTIENT(((c_TMAP1OUT)-(0)),2),QUOTIENT((((A441)-(c_TFWD))*((c_TMAP1OUT)-(0))+IF(((c_TMAP1OUT)-(0))&gt;=0,1,-1)*QUOTIENT(((c_TMAP1IN)-(c_TFWD)),2)),((c_TMAP1IN)-(c_TFWD)))+(0)+IF(((c_TMAP1OUT)-(0))&gt;=0,IF(IF(o_WRAP=1,MOD(((c_TMAP1IN)-(c_TFWD))*(((A441)-(c_TFWD))*((c_TMAP1OUT)-(0))+IF(((c_TMAP1OUT)-(0))&gt;=0,1,-1)*QUOTIENT(((c_TMAP1IN)-(c_TFWD)),2))+2147483648,4294967296)-2147483648,((c_TMAP1IN)-(c_TFWD))*(((A441)-(c_TFWD))*((c_TMAP1OUT)-(0))+IF(((c_TMAP1OUT)-(0))&gt;=0,1,-1)*QUOTIENT(((c_TMAP1IN)-(c_TFWD)),2)))&lt;0,-1,0),IF(IF(o_WRAP=1,MOD(((c_TMAP1IN)-(c_TFWD))*(((A441)-(c_TFWD))*((c_TMAP1OUT)-(0))+IF(((c_TMAP1OUT)-(0))&gt;=0,1,-1)*QUOTIENT(((c_TMAP1IN)-(c_TFWD)),2))+2147483648,4294967296)-2147483648,((c_TMAP1IN)-(c_TFWD))*(((A441)-(c_TFWD))*((c_TMAP1OUT)-(0))+IF(((c_TMAP1OUT)-(0))&gt;=0,1,-1)*QUOTIENT(((c_TMAP1IN)-(c_TFWD)),2)))&gt;=0,1,0)))</f>
        <v>331</v>
      </c>
      <c r="E441" s="7" t="n">
        <f aca="false">IF(((c_TMAP2IN)-(c_TMAP1IN))=0,(c_TMAP1OUT)+QUOTIENT(((c_TMAP2OUT)-(c_TMAP1OUT)),2),QUOTIENT((((A441)-(c_TMAP1IN))*((c_TMAP2OUT)-(c_TMAP1OUT))+IF(((c_TMAP2OUT)-(c_TMAP1OUT))&gt;=0,1,-1)*QUOTIENT(((c_TMAP2IN)-(c_TMAP1IN)),2)),((c_TMAP2IN)-(c_TMAP1IN)))+(c_TMAP1OUT)+IF(((c_TMAP2OUT)-(c_TMAP1OUT))&gt;=0,IF(IF(o_WRAP=1,MOD(((c_TMAP2IN)-(c_TMAP1IN))*(((A441)-(c_TMAP1IN))*((c_TMAP2OUT)-(c_TMAP1OUT))+IF(((c_TMAP2OUT)-(c_TMAP1OUT))&gt;=0,1,-1)*QUOTIENT(((c_TMAP2IN)-(c_TMAP1IN)),2))+2147483648,4294967296)-2147483648,((c_TMAP2IN)-(c_TMAP1IN))*(((A441)-(c_TMAP1IN))*((c_TMAP2OUT)-(c_TMAP1OUT))+IF(((c_TMAP2OUT)-(c_TMAP1OUT))&gt;=0,1,-1)*QUOTIENT(((c_TMAP2IN)-(c_TMAP1IN)),2)))&lt;0,-1,0),IF(IF(o_WRAP=1,MOD(((c_TMAP2IN)-(c_TMAP1IN))*(((A441)-(c_TMAP1IN))*((c_TMAP2OUT)-(c_TMAP1OUT))+IF(((c_TMAP2OUT)-(c_TMAP1OUT))&gt;=0,1,-1)*QUOTIENT(((c_TMAP2IN)-(c_TMAP1IN)),2))+2147483648,4294967296)-2147483648,((c_TMAP2IN)-(c_TMAP1IN))*(((A441)-(c_TMAP1IN))*((c_TMAP2OUT)-(c_TMAP1OUT))+IF(((c_TMAP2OUT)-(c_TMAP1OUT))&gt;=0,1,-1)*QUOTIENT(((c_TMAP2IN)-(c_TMAP1IN)),2)))&gt;=0,1,0)))</f>
        <v>204</v>
      </c>
      <c r="F441" s="7" t="n">
        <f aca="false">IF(((c_TMAP3IN)-(c_TMAP2IN))=0,(c_TMAP2OUT)+QUOTIENT(((c_TMAP3OUT)-(c_TMAP2OUT)),2),QUOTIENT((((A441)-(c_TMAP2IN))*((c_TMAP3OUT)-(c_TMAP2OUT))+IF(((c_TMAP3OUT)-(c_TMAP2OUT))&gt;=0,1,-1)*QUOTIENT(((c_TMAP3IN)-(c_TMAP2IN)),2)),((c_TMAP3IN)-(c_TMAP2IN)))+(c_TMAP2OUT)+IF(((c_TMAP3OUT)-(c_TMAP2OUT))&gt;=0,IF(IF(o_WRAP=1,MOD(((c_TMAP3IN)-(c_TMAP2IN))*(((A441)-(c_TMAP2IN))*((c_TMAP3OUT)-(c_TMAP2OUT))+IF(((c_TMAP3OUT)-(c_TMAP2OUT))&gt;=0,1,-1)*QUOTIENT(((c_TMAP3IN)-(c_TMAP2IN)),2))+2147483648,4294967296)-2147483648,((c_TMAP3IN)-(c_TMAP2IN))*(((A441)-(c_TMAP2IN))*((c_TMAP3OUT)-(c_TMAP2OUT))+IF(((c_TMAP3OUT)-(c_TMAP2OUT))&gt;=0,1,-1)*QUOTIENT(((c_TMAP3IN)-(c_TMAP2IN)),2)))&lt;0,-1,0),IF(IF(o_WRAP=1,MOD(((c_TMAP3IN)-(c_TMAP2IN))*(((A441)-(c_TMAP2IN))*((c_TMAP3OUT)-(c_TMAP2OUT))+IF(((c_TMAP3OUT)-(c_TMAP2OUT))&gt;=0,1,-1)*QUOTIENT(((c_TMAP3IN)-(c_TMAP2IN)),2))+2147483648,4294967296)-2147483648,((c_TMAP3IN)-(c_TMAP2IN))*(((A441)-(c_TMAP2IN))*((c_TMAP3OUT)-(c_TMAP2OUT))+IF(((c_TMAP3OUT)-(c_TMAP2OUT))&gt;=0,1,-1)*QUOTIENT(((c_TMAP3IN)-(c_TMAP2IN)),2)))&gt;=0,1,0)))</f>
        <v>260</v>
      </c>
      <c r="G441" s="7" t="n">
        <f aca="false">IF(((1000)-(c_TMAP3IN))=0,(c_TMAP3OUT)+QUOTIENT(((1000)-(c_TMAP3OUT)),2),QUOTIENT((((A441)-(c_TMAP3IN))*((1000)-(c_TMAP3OUT))+IF(((1000)-(c_TMAP3OUT))&gt;=0,1,-1)*QUOTIENT(((1000)-(c_TMAP3IN)),2)),((1000)-(c_TMAP3IN)))+(c_TMAP3OUT)+IF(((1000)-(c_TMAP3OUT))&gt;=0,IF(IF(o_WRAP=1,MOD(((1000)-(c_TMAP3IN))*(((A441)-(c_TMAP3IN))*((1000)-(c_TMAP3OUT))+IF(((1000)-(c_TMAP3OUT))&gt;=0,1,-1)*QUOTIENT(((1000)-(c_TMAP3IN)),2))+2147483648,4294967296)-2147483648,((1000)-(c_TMAP3IN))*(((A441)-(c_TMAP3IN))*((1000)-(c_TMAP3OUT))+IF(((1000)-(c_TMAP3OUT))&gt;=0,1,-1)*QUOTIENT(((1000)-(c_TMAP3IN)),2)))&lt;0,-1,0),IF(IF(o_WRAP=1,MOD(((1000)-(c_TMAP3IN))*(((A441)-(c_TMAP3IN))*((1000)-(c_TMAP3OUT))+IF(((1000)-(c_TMAP3OUT))&gt;=0,1,-1)*QUOTIENT(((1000)-(c_TMAP3IN)),2))+2147483648,4294967296)-2147483648,((1000)-(c_TMAP3IN))*(((A441)-(c_TMAP3IN))*((1000)-(c_TMAP3OUT))+IF(((1000)-(c_TMAP3OUT))&gt;=0,1,-1)*QUOTIENT(((1000)-(c_TMAP3IN)),2)))&gt;=0,1,0)))</f>
        <v>306</v>
      </c>
      <c r="H441" s="7" t="str">
        <f aca="false">IF(A441&gt;=c_TFWD,IF(AND(A441&gt;=c_TMAP3IN,c_TMAP3IN&lt;1000),"Seg4 map3-100%",IF(AND(A441&gt;=c_TMAP2IN,c_TMAP3IN&gt;c_TMAP2IN),"Seg3 map2-map3",IF(AND(A441&gt;=c_TMAP1IN,c_TMAP2IN&gt;c_TMAP1IN),"Seg2 map1-map2","Seg1 TFWD-map1"))),IF(AND(A441=0,c_TCREEP&gt;0),"Creep",IF(AND(A441&lt;=c_TRNGMIN,A441&gt;=c_TRNGMAX,c_TRNGMIN-c_TRNGMAX&lt;&gt;0),"Regen ramp","Coast (0)")))</f>
        <v>Seg4 map3-100%</v>
      </c>
      <c r="I441" s="7" t="n">
        <f aca="false">IF(A441&gt;=c_TFWD,IF(AND(A441&gt;=c_TMAP3IN,c_TMAP3IN&lt;1000),G441,IF(AND(A441&gt;=c_TMAP2IN,c_TMAP3IN&gt;c_TMAP2IN),F441,IF(AND(A441&gt;=c_TMAP1IN,c_TMAP2IN&gt;c_TMAP1IN),E441,D441))),C441)</f>
        <v>306</v>
      </c>
      <c r="J441" s="7" t="str">
        <f aca="false">IF(I441&lt;-1090,"TOO LOW",IF(I441&gt;1090,"TOO HIGH",""))</f>
        <v/>
      </c>
      <c r="K441" s="15" t="n">
        <f aca="false">IF(J441&lt;&gt;"",0,IF(I441&gt;979,1000,I441))</f>
        <v>306</v>
      </c>
      <c r="L441" s="7" t="n">
        <f aca="false">K441/10</f>
        <v>30.6</v>
      </c>
    </row>
    <row r="442" customFormat="false" ht="15" hidden="false" customHeight="false" outlineLevel="0" collapsed="false">
      <c r="A442" s="7" t="n">
        <v>437</v>
      </c>
      <c r="B442" s="7" t="n">
        <f aca="false">A442/10</f>
        <v>43.7</v>
      </c>
      <c r="C442" s="7" t="n">
        <f aca="false">IF(AND(A442=0,c_TCREEP&gt;0),10*c_TCREEP,IF(AND(A442&lt;=c_TRNGMIN,A442&gt;=c_TRNGMAX,c_TRNGMIN-c_TRNGMAX&lt;&gt;0),-10*c_TMINRN+QUOTIENT((c_TMAXRN-c_TMINRN)*(100-QUOTIENT((A442-c_TRNGMAX)*100,c_TRNGMIN-c_TRNGMAX)),-10),0))</f>
        <v>0</v>
      </c>
      <c r="D442" s="7" t="n">
        <f aca="false">IF(((c_TMAP1IN)-(c_TFWD))=0,(0)+QUOTIENT(((c_TMAP1OUT)-(0)),2),QUOTIENT((((A442)-(c_TFWD))*((c_TMAP1OUT)-(0))+IF(((c_TMAP1OUT)-(0))&gt;=0,1,-1)*QUOTIENT(((c_TMAP1IN)-(c_TFWD)),2)),((c_TMAP1IN)-(c_TFWD)))+(0)+IF(((c_TMAP1OUT)-(0))&gt;=0,IF(IF(o_WRAP=1,MOD(((c_TMAP1IN)-(c_TFWD))*(((A442)-(c_TFWD))*((c_TMAP1OUT)-(0))+IF(((c_TMAP1OUT)-(0))&gt;=0,1,-1)*QUOTIENT(((c_TMAP1IN)-(c_TFWD)),2))+2147483648,4294967296)-2147483648,((c_TMAP1IN)-(c_TFWD))*(((A442)-(c_TFWD))*((c_TMAP1OUT)-(0))+IF(((c_TMAP1OUT)-(0))&gt;=0,1,-1)*QUOTIENT(((c_TMAP1IN)-(c_TFWD)),2)))&lt;0,-1,0),IF(IF(o_WRAP=1,MOD(((c_TMAP1IN)-(c_TFWD))*(((A442)-(c_TFWD))*((c_TMAP1OUT)-(0))+IF(((c_TMAP1OUT)-(0))&gt;=0,1,-1)*QUOTIENT(((c_TMAP1IN)-(c_TFWD)),2))+2147483648,4294967296)-2147483648,((c_TMAP1IN)-(c_TFWD))*(((A442)-(c_TFWD))*((c_TMAP1OUT)-(0))+IF(((c_TMAP1OUT)-(0))&gt;=0,1,-1)*QUOTIENT(((c_TMAP1IN)-(c_TFWD)),2)))&gt;=0,1,0)))</f>
        <v>332</v>
      </c>
      <c r="E442" s="7" t="n">
        <f aca="false">IF(((c_TMAP2IN)-(c_TMAP1IN))=0,(c_TMAP1OUT)+QUOTIENT(((c_TMAP2OUT)-(c_TMAP1OUT)),2),QUOTIENT((((A442)-(c_TMAP1IN))*((c_TMAP2OUT)-(c_TMAP1OUT))+IF(((c_TMAP2OUT)-(c_TMAP1OUT))&gt;=0,1,-1)*QUOTIENT(((c_TMAP2IN)-(c_TMAP1IN)),2)),((c_TMAP2IN)-(c_TMAP1IN)))+(c_TMAP1OUT)+IF(((c_TMAP2OUT)-(c_TMAP1OUT))&gt;=0,IF(IF(o_WRAP=1,MOD(((c_TMAP2IN)-(c_TMAP1IN))*(((A442)-(c_TMAP1IN))*((c_TMAP2OUT)-(c_TMAP1OUT))+IF(((c_TMAP2OUT)-(c_TMAP1OUT))&gt;=0,1,-1)*QUOTIENT(((c_TMAP2IN)-(c_TMAP1IN)),2))+2147483648,4294967296)-2147483648,((c_TMAP2IN)-(c_TMAP1IN))*(((A442)-(c_TMAP1IN))*((c_TMAP2OUT)-(c_TMAP1OUT))+IF(((c_TMAP2OUT)-(c_TMAP1OUT))&gt;=0,1,-1)*QUOTIENT(((c_TMAP2IN)-(c_TMAP1IN)),2)))&lt;0,-1,0),IF(IF(o_WRAP=1,MOD(((c_TMAP2IN)-(c_TMAP1IN))*(((A442)-(c_TMAP1IN))*((c_TMAP2OUT)-(c_TMAP1OUT))+IF(((c_TMAP2OUT)-(c_TMAP1OUT))&gt;=0,1,-1)*QUOTIENT(((c_TMAP2IN)-(c_TMAP1IN)),2))+2147483648,4294967296)-2147483648,((c_TMAP2IN)-(c_TMAP1IN))*(((A442)-(c_TMAP1IN))*((c_TMAP2OUT)-(c_TMAP1OUT))+IF(((c_TMAP2OUT)-(c_TMAP1OUT))&gt;=0,1,-1)*QUOTIENT(((c_TMAP2IN)-(c_TMAP1IN)),2)))&gt;=0,1,0)))</f>
        <v>205</v>
      </c>
      <c r="F442" s="7" t="n">
        <f aca="false">IF(((c_TMAP3IN)-(c_TMAP2IN))=0,(c_TMAP2OUT)+QUOTIENT(((c_TMAP3OUT)-(c_TMAP2OUT)),2),QUOTIENT((((A442)-(c_TMAP2IN))*((c_TMAP3OUT)-(c_TMAP2OUT))+IF(((c_TMAP3OUT)-(c_TMAP2OUT))&gt;=0,1,-1)*QUOTIENT(((c_TMAP3IN)-(c_TMAP2IN)),2)),((c_TMAP3IN)-(c_TMAP2IN)))+(c_TMAP2OUT)+IF(((c_TMAP3OUT)-(c_TMAP2OUT))&gt;=0,IF(IF(o_WRAP=1,MOD(((c_TMAP3IN)-(c_TMAP2IN))*(((A442)-(c_TMAP2IN))*((c_TMAP3OUT)-(c_TMAP2OUT))+IF(((c_TMAP3OUT)-(c_TMAP2OUT))&gt;=0,1,-1)*QUOTIENT(((c_TMAP3IN)-(c_TMAP2IN)),2))+2147483648,4294967296)-2147483648,((c_TMAP3IN)-(c_TMAP2IN))*(((A442)-(c_TMAP2IN))*((c_TMAP3OUT)-(c_TMAP2OUT))+IF(((c_TMAP3OUT)-(c_TMAP2OUT))&gt;=0,1,-1)*QUOTIENT(((c_TMAP3IN)-(c_TMAP2IN)),2)))&lt;0,-1,0),IF(IF(o_WRAP=1,MOD(((c_TMAP3IN)-(c_TMAP2IN))*(((A442)-(c_TMAP2IN))*((c_TMAP3OUT)-(c_TMAP2OUT))+IF(((c_TMAP3OUT)-(c_TMAP2OUT))&gt;=0,1,-1)*QUOTIENT(((c_TMAP3IN)-(c_TMAP2IN)),2))+2147483648,4294967296)-2147483648,((c_TMAP3IN)-(c_TMAP2IN))*(((A442)-(c_TMAP2IN))*((c_TMAP3OUT)-(c_TMAP2OUT))+IF(((c_TMAP3OUT)-(c_TMAP2OUT))&gt;=0,1,-1)*QUOTIENT(((c_TMAP3IN)-(c_TMAP2IN)),2)))&gt;=0,1,0)))</f>
        <v>261</v>
      </c>
      <c r="G442" s="7" t="n">
        <f aca="false">IF(((1000)-(c_TMAP3IN))=0,(c_TMAP3OUT)+QUOTIENT(((1000)-(c_TMAP3OUT)),2),QUOTIENT((((A442)-(c_TMAP3IN))*((1000)-(c_TMAP3OUT))+IF(((1000)-(c_TMAP3OUT))&gt;=0,1,-1)*QUOTIENT(((1000)-(c_TMAP3IN)),2)),((1000)-(c_TMAP3IN)))+(c_TMAP3OUT)+IF(((1000)-(c_TMAP3OUT))&gt;=0,IF(IF(o_WRAP=1,MOD(((1000)-(c_TMAP3IN))*(((A442)-(c_TMAP3IN))*((1000)-(c_TMAP3OUT))+IF(((1000)-(c_TMAP3OUT))&gt;=0,1,-1)*QUOTIENT(((1000)-(c_TMAP3IN)),2))+2147483648,4294967296)-2147483648,((1000)-(c_TMAP3IN))*(((A442)-(c_TMAP3IN))*((1000)-(c_TMAP3OUT))+IF(((1000)-(c_TMAP3OUT))&gt;=0,1,-1)*QUOTIENT(((1000)-(c_TMAP3IN)),2)))&lt;0,-1,0),IF(IF(o_WRAP=1,MOD(((1000)-(c_TMAP3IN))*(((A442)-(c_TMAP3IN))*((1000)-(c_TMAP3OUT))+IF(((1000)-(c_TMAP3OUT))&gt;=0,1,-1)*QUOTIENT(((1000)-(c_TMAP3IN)),2))+2147483648,4294967296)-2147483648,((1000)-(c_TMAP3IN))*(((A442)-(c_TMAP3IN))*((1000)-(c_TMAP3OUT))+IF(((1000)-(c_TMAP3OUT))&gt;=0,1,-1)*QUOTIENT(((1000)-(c_TMAP3IN)),2)))&gt;=0,1,0)))</f>
        <v>307</v>
      </c>
      <c r="H442" s="7" t="str">
        <f aca="false">IF(A442&gt;=c_TFWD,IF(AND(A442&gt;=c_TMAP3IN,c_TMAP3IN&lt;1000),"Seg4 map3-100%",IF(AND(A442&gt;=c_TMAP2IN,c_TMAP3IN&gt;c_TMAP2IN),"Seg3 map2-map3",IF(AND(A442&gt;=c_TMAP1IN,c_TMAP2IN&gt;c_TMAP1IN),"Seg2 map1-map2","Seg1 TFWD-map1"))),IF(AND(A442=0,c_TCREEP&gt;0),"Creep",IF(AND(A442&lt;=c_TRNGMIN,A442&gt;=c_TRNGMAX,c_TRNGMIN-c_TRNGMAX&lt;&gt;0),"Regen ramp","Coast (0)")))</f>
        <v>Seg4 map3-100%</v>
      </c>
      <c r="I442" s="7" t="n">
        <f aca="false">IF(A442&gt;=c_TFWD,IF(AND(A442&gt;=c_TMAP3IN,c_TMAP3IN&lt;1000),G442,IF(AND(A442&gt;=c_TMAP2IN,c_TMAP3IN&gt;c_TMAP2IN),F442,IF(AND(A442&gt;=c_TMAP1IN,c_TMAP2IN&gt;c_TMAP1IN),E442,D442))),C442)</f>
        <v>307</v>
      </c>
      <c r="J442" s="7" t="str">
        <f aca="false">IF(I442&lt;-1090,"TOO LOW",IF(I442&gt;1090,"TOO HIGH",""))</f>
        <v/>
      </c>
      <c r="K442" s="15" t="n">
        <f aca="false">IF(J442&lt;&gt;"",0,IF(I442&gt;979,1000,I442))</f>
        <v>307</v>
      </c>
      <c r="L442" s="7" t="n">
        <f aca="false">K442/10</f>
        <v>30.7</v>
      </c>
    </row>
    <row r="443" customFormat="false" ht="15" hidden="false" customHeight="false" outlineLevel="0" collapsed="false">
      <c r="A443" s="7" t="n">
        <v>438</v>
      </c>
      <c r="B443" s="7" t="n">
        <f aca="false">A443/10</f>
        <v>43.8</v>
      </c>
      <c r="C443" s="7" t="n">
        <f aca="false">IF(AND(A443=0,c_TCREEP&gt;0),10*c_TCREEP,IF(AND(A443&lt;=c_TRNGMIN,A443&gt;=c_TRNGMAX,c_TRNGMIN-c_TRNGMAX&lt;&gt;0),-10*c_TMINRN+QUOTIENT((c_TMAXRN-c_TMINRN)*(100-QUOTIENT((A443-c_TRNGMAX)*100,c_TRNGMIN-c_TRNGMAX)),-10),0))</f>
        <v>0</v>
      </c>
      <c r="D443" s="7" t="n">
        <f aca="false">IF(((c_TMAP1IN)-(c_TFWD))=0,(0)+QUOTIENT(((c_TMAP1OUT)-(0)),2),QUOTIENT((((A443)-(c_TFWD))*((c_TMAP1OUT)-(0))+IF(((c_TMAP1OUT)-(0))&gt;=0,1,-1)*QUOTIENT(((c_TMAP1IN)-(c_TFWD)),2)),((c_TMAP1IN)-(c_TFWD)))+(0)+IF(((c_TMAP1OUT)-(0))&gt;=0,IF(IF(o_WRAP=1,MOD(((c_TMAP1IN)-(c_TFWD))*(((A443)-(c_TFWD))*((c_TMAP1OUT)-(0))+IF(((c_TMAP1OUT)-(0))&gt;=0,1,-1)*QUOTIENT(((c_TMAP1IN)-(c_TFWD)),2))+2147483648,4294967296)-2147483648,((c_TMAP1IN)-(c_TFWD))*(((A443)-(c_TFWD))*((c_TMAP1OUT)-(0))+IF(((c_TMAP1OUT)-(0))&gt;=0,1,-1)*QUOTIENT(((c_TMAP1IN)-(c_TFWD)),2)))&lt;0,-1,0),IF(IF(o_WRAP=1,MOD(((c_TMAP1IN)-(c_TFWD))*(((A443)-(c_TFWD))*((c_TMAP1OUT)-(0))+IF(((c_TMAP1OUT)-(0))&gt;=0,1,-1)*QUOTIENT(((c_TMAP1IN)-(c_TFWD)),2))+2147483648,4294967296)-2147483648,((c_TMAP1IN)-(c_TFWD))*(((A443)-(c_TFWD))*((c_TMAP1OUT)-(0))+IF(((c_TMAP1OUT)-(0))&gt;=0,1,-1)*QUOTIENT(((c_TMAP1IN)-(c_TFWD)),2)))&gt;=0,1,0)))</f>
        <v>333</v>
      </c>
      <c r="E443" s="7" t="n">
        <f aca="false">IF(((c_TMAP2IN)-(c_TMAP1IN))=0,(c_TMAP1OUT)+QUOTIENT(((c_TMAP2OUT)-(c_TMAP1OUT)),2),QUOTIENT((((A443)-(c_TMAP1IN))*((c_TMAP2OUT)-(c_TMAP1OUT))+IF(((c_TMAP2OUT)-(c_TMAP1OUT))&gt;=0,1,-1)*QUOTIENT(((c_TMAP2IN)-(c_TMAP1IN)),2)),((c_TMAP2IN)-(c_TMAP1IN)))+(c_TMAP1OUT)+IF(((c_TMAP2OUT)-(c_TMAP1OUT))&gt;=0,IF(IF(o_WRAP=1,MOD(((c_TMAP2IN)-(c_TMAP1IN))*(((A443)-(c_TMAP1IN))*((c_TMAP2OUT)-(c_TMAP1OUT))+IF(((c_TMAP2OUT)-(c_TMAP1OUT))&gt;=0,1,-1)*QUOTIENT(((c_TMAP2IN)-(c_TMAP1IN)),2))+2147483648,4294967296)-2147483648,((c_TMAP2IN)-(c_TMAP1IN))*(((A443)-(c_TMAP1IN))*((c_TMAP2OUT)-(c_TMAP1OUT))+IF(((c_TMAP2OUT)-(c_TMAP1OUT))&gt;=0,1,-1)*QUOTIENT(((c_TMAP2IN)-(c_TMAP1IN)),2)))&lt;0,-1,0),IF(IF(o_WRAP=1,MOD(((c_TMAP2IN)-(c_TMAP1IN))*(((A443)-(c_TMAP1IN))*((c_TMAP2OUT)-(c_TMAP1OUT))+IF(((c_TMAP2OUT)-(c_TMAP1OUT))&gt;=0,1,-1)*QUOTIENT(((c_TMAP2IN)-(c_TMAP1IN)),2))+2147483648,4294967296)-2147483648,((c_TMAP2IN)-(c_TMAP1IN))*(((A443)-(c_TMAP1IN))*((c_TMAP2OUT)-(c_TMAP1OUT))+IF(((c_TMAP2OUT)-(c_TMAP1OUT))&gt;=0,1,-1)*QUOTIENT(((c_TMAP2IN)-(c_TMAP1IN)),2)))&gt;=0,1,0)))</f>
        <v>205</v>
      </c>
      <c r="F443" s="7" t="n">
        <f aca="false">IF(((c_TMAP3IN)-(c_TMAP2IN))=0,(c_TMAP2OUT)+QUOTIENT(((c_TMAP3OUT)-(c_TMAP2OUT)),2),QUOTIENT((((A443)-(c_TMAP2IN))*((c_TMAP3OUT)-(c_TMAP2OUT))+IF(((c_TMAP3OUT)-(c_TMAP2OUT))&gt;=0,1,-1)*QUOTIENT(((c_TMAP3IN)-(c_TMAP2IN)),2)),((c_TMAP3IN)-(c_TMAP2IN)))+(c_TMAP2OUT)+IF(((c_TMAP3OUT)-(c_TMAP2OUT))&gt;=0,IF(IF(o_WRAP=1,MOD(((c_TMAP3IN)-(c_TMAP2IN))*(((A443)-(c_TMAP2IN))*((c_TMAP3OUT)-(c_TMAP2OUT))+IF(((c_TMAP3OUT)-(c_TMAP2OUT))&gt;=0,1,-1)*QUOTIENT(((c_TMAP3IN)-(c_TMAP2IN)),2))+2147483648,4294967296)-2147483648,((c_TMAP3IN)-(c_TMAP2IN))*(((A443)-(c_TMAP2IN))*((c_TMAP3OUT)-(c_TMAP2OUT))+IF(((c_TMAP3OUT)-(c_TMAP2OUT))&gt;=0,1,-1)*QUOTIENT(((c_TMAP3IN)-(c_TMAP2IN)),2)))&lt;0,-1,0),IF(IF(o_WRAP=1,MOD(((c_TMAP3IN)-(c_TMAP2IN))*(((A443)-(c_TMAP2IN))*((c_TMAP3OUT)-(c_TMAP2OUT))+IF(((c_TMAP3OUT)-(c_TMAP2OUT))&gt;=0,1,-1)*QUOTIENT(((c_TMAP3IN)-(c_TMAP2IN)),2))+2147483648,4294967296)-2147483648,((c_TMAP3IN)-(c_TMAP2IN))*(((A443)-(c_TMAP2IN))*((c_TMAP3OUT)-(c_TMAP2OUT))+IF(((c_TMAP3OUT)-(c_TMAP2OUT))&gt;=0,1,-1)*QUOTIENT(((c_TMAP3IN)-(c_TMAP2IN)),2)))&gt;=0,1,0)))</f>
        <v>262</v>
      </c>
      <c r="G443" s="7" t="n">
        <f aca="false">IF(((1000)-(c_TMAP3IN))=0,(c_TMAP3OUT)+QUOTIENT(((1000)-(c_TMAP3OUT)),2),QUOTIENT((((A443)-(c_TMAP3IN))*((1000)-(c_TMAP3OUT))+IF(((1000)-(c_TMAP3OUT))&gt;=0,1,-1)*QUOTIENT(((1000)-(c_TMAP3IN)),2)),((1000)-(c_TMAP3IN)))+(c_TMAP3OUT)+IF(((1000)-(c_TMAP3OUT))&gt;=0,IF(IF(o_WRAP=1,MOD(((1000)-(c_TMAP3IN))*(((A443)-(c_TMAP3IN))*((1000)-(c_TMAP3OUT))+IF(((1000)-(c_TMAP3OUT))&gt;=0,1,-1)*QUOTIENT(((1000)-(c_TMAP3IN)),2))+2147483648,4294967296)-2147483648,((1000)-(c_TMAP3IN))*(((A443)-(c_TMAP3IN))*((1000)-(c_TMAP3OUT))+IF(((1000)-(c_TMAP3OUT))&gt;=0,1,-1)*QUOTIENT(((1000)-(c_TMAP3IN)),2)))&lt;0,-1,0),IF(IF(o_WRAP=1,MOD(((1000)-(c_TMAP3IN))*(((A443)-(c_TMAP3IN))*((1000)-(c_TMAP3OUT))+IF(((1000)-(c_TMAP3OUT))&gt;=0,1,-1)*QUOTIENT(((1000)-(c_TMAP3IN)),2))+2147483648,4294967296)-2147483648,((1000)-(c_TMAP3IN))*(((A443)-(c_TMAP3IN))*((1000)-(c_TMAP3OUT))+IF(((1000)-(c_TMAP3OUT))&gt;=0,1,-1)*QUOTIENT(((1000)-(c_TMAP3IN)),2)))&gt;=0,1,0)))</f>
        <v>308</v>
      </c>
      <c r="H443" s="7" t="str">
        <f aca="false">IF(A443&gt;=c_TFWD,IF(AND(A443&gt;=c_TMAP3IN,c_TMAP3IN&lt;1000),"Seg4 map3-100%",IF(AND(A443&gt;=c_TMAP2IN,c_TMAP3IN&gt;c_TMAP2IN),"Seg3 map2-map3",IF(AND(A443&gt;=c_TMAP1IN,c_TMAP2IN&gt;c_TMAP1IN),"Seg2 map1-map2","Seg1 TFWD-map1"))),IF(AND(A443=0,c_TCREEP&gt;0),"Creep",IF(AND(A443&lt;=c_TRNGMIN,A443&gt;=c_TRNGMAX,c_TRNGMIN-c_TRNGMAX&lt;&gt;0),"Regen ramp","Coast (0)")))</f>
        <v>Seg4 map3-100%</v>
      </c>
      <c r="I443" s="7" t="n">
        <f aca="false">IF(A443&gt;=c_TFWD,IF(AND(A443&gt;=c_TMAP3IN,c_TMAP3IN&lt;1000),G443,IF(AND(A443&gt;=c_TMAP2IN,c_TMAP3IN&gt;c_TMAP2IN),F443,IF(AND(A443&gt;=c_TMAP1IN,c_TMAP2IN&gt;c_TMAP1IN),E443,D443))),C443)</f>
        <v>308</v>
      </c>
      <c r="J443" s="7" t="str">
        <f aca="false">IF(I443&lt;-1090,"TOO LOW",IF(I443&gt;1090,"TOO HIGH",""))</f>
        <v/>
      </c>
      <c r="K443" s="15" t="n">
        <f aca="false">IF(J443&lt;&gt;"",0,IF(I443&gt;979,1000,I443))</f>
        <v>308</v>
      </c>
      <c r="L443" s="7" t="n">
        <f aca="false">K443/10</f>
        <v>30.8</v>
      </c>
    </row>
    <row r="444" customFormat="false" ht="15" hidden="false" customHeight="false" outlineLevel="0" collapsed="false">
      <c r="A444" s="7" t="n">
        <v>439</v>
      </c>
      <c r="B444" s="7" t="n">
        <f aca="false">A444/10</f>
        <v>43.9</v>
      </c>
      <c r="C444" s="7" t="n">
        <f aca="false">IF(AND(A444=0,c_TCREEP&gt;0),10*c_TCREEP,IF(AND(A444&lt;=c_TRNGMIN,A444&gt;=c_TRNGMAX,c_TRNGMIN-c_TRNGMAX&lt;&gt;0),-10*c_TMINRN+QUOTIENT((c_TMAXRN-c_TMINRN)*(100-QUOTIENT((A444-c_TRNGMAX)*100,c_TRNGMIN-c_TRNGMAX)),-10),0))</f>
        <v>0</v>
      </c>
      <c r="D444" s="7" t="n">
        <f aca="false">IF(((c_TMAP1IN)-(c_TFWD))=0,(0)+QUOTIENT(((c_TMAP1OUT)-(0)),2),QUOTIENT((((A444)-(c_TFWD))*((c_TMAP1OUT)-(0))+IF(((c_TMAP1OUT)-(0))&gt;=0,1,-1)*QUOTIENT(((c_TMAP1IN)-(c_TFWD)),2)),((c_TMAP1IN)-(c_TFWD)))+(0)+IF(((c_TMAP1OUT)-(0))&gt;=0,IF(IF(o_WRAP=1,MOD(((c_TMAP1IN)-(c_TFWD))*(((A444)-(c_TFWD))*((c_TMAP1OUT)-(0))+IF(((c_TMAP1OUT)-(0))&gt;=0,1,-1)*QUOTIENT(((c_TMAP1IN)-(c_TFWD)),2))+2147483648,4294967296)-2147483648,((c_TMAP1IN)-(c_TFWD))*(((A444)-(c_TFWD))*((c_TMAP1OUT)-(0))+IF(((c_TMAP1OUT)-(0))&gt;=0,1,-1)*QUOTIENT(((c_TMAP1IN)-(c_TFWD)),2)))&lt;0,-1,0),IF(IF(o_WRAP=1,MOD(((c_TMAP1IN)-(c_TFWD))*(((A444)-(c_TFWD))*((c_TMAP1OUT)-(0))+IF(((c_TMAP1OUT)-(0))&gt;=0,1,-1)*QUOTIENT(((c_TMAP1IN)-(c_TFWD)),2))+2147483648,4294967296)-2147483648,((c_TMAP1IN)-(c_TFWD))*(((A444)-(c_TFWD))*((c_TMAP1OUT)-(0))+IF(((c_TMAP1OUT)-(0))&gt;=0,1,-1)*QUOTIENT(((c_TMAP1IN)-(c_TFWD)),2)))&gt;=0,1,0)))</f>
        <v>334</v>
      </c>
      <c r="E444" s="7" t="n">
        <f aca="false">IF(((c_TMAP2IN)-(c_TMAP1IN))=0,(c_TMAP1OUT)+QUOTIENT(((c_TMAP2OUT)-(c_TMAP1OUT)),2),QUOTIENT((((A444)-(c_TMAP1IN))*((c_TMAP2OUT)-(c_TMAP1OUT))+IF(((c_TMAP2OUT)-(c_TMAP1OUT))&gt;=0,1,-1)*QUOTIENT(((c_TMAP2IN)-(c_TMAP1IN)),2)),((c_TMAP2IN)-(c_TMAP1IN)))+(c_TMAP1OUT)+IF(((c_TMAP2OUT)-(c_TMAP1OUT))&gt;=0,IF(IF(o_WRAP=1,MOD(((c_TMAP2IN)-(c_TMAP1IN))*(((A444)-(c_TMAP1IN))*((c_TMAP2OUT)-(c_TMAP1OUT))+IF(((c_TMAP2OUT)-(c_TMAP1OUT))&gt;=0,1,-1)*QUOTIENT(((c_TMAP2IN)-(c_TMAP1IN)),2))+2147483648,4294967296)-2147483648,((c_TMAP2IN)-(c_TMAP1IN))*(((A444)-(c_TMAP1IN))*((c_TMAP2OUT)-(c_TMAP1OUT))+IF(((c_TMAP2OUT)-(c_TMAP1OUT))&gt;=0,1,-1)*QUOTIENT(((c_TMAP2IN)-(c_TMAP1IN)),2)))&lt;0,-1,0),IF(IF(o_WRAP=1,MOD(((c_TMAP2IN)-(c_TMAP1IN))*(((A444)-(c_TMAP1IN))*((c_TMAP2OUT)-(c_TMAP1OUT))+IF(((c_TMAP2OUT)-(c_TMAP1OUT))&gt;=0,1,-1)*QUOTIENT(((c_TMAP2IN)-(c_TMAP1IN)),2))+2147483648,4294967296)-2147483648,((c_TMAP2IN)-(c_TMAP1IN))*(((A444)-(c_TMAP1IN))*((c_TMAP2OUT)-(c_TMAP1OUT))+IF(((c_TMAP2OUT)-(c_TMAP1OUT))&gt;=0,1,-1)*QUOTIENT(((c_TMAP2IN)-(c_TMAP1IN)),2)))&gt;=0,1,0)))</f>
        <v>206</v>
      </c>
      <c r="F444" s="7" t="n">
        <f aca="false">IF(((c_TMAP3IN)-(c_TMAP2IN))=0,(c_TMAP2OUT)+QUOTIENT(((c_TMAP3OUT)-(c_TMAP2OUT)),2),QUOTIENT((((A444)-(c_TMAP2IN))*((c_TMAP3OUT)-(c_TMAP2OUT))+IF(((c_TMAP3OUT)-(c_TMAP2OUT))&gt;=0,1,-1)*QUOTIENT(((c_TMAP3IN)-(c_TMAP2IN)),2)),((c_TMAP3IN)-(c_TMAP2IN)))+(c_TMAP2OUT)+IF(((c_TMAP3OUT)-(c_TMAP2OUT))&gt;=0,IF(IF(o_WRAP=1,MOD(((c_TMAP3IN)-(c_TMAP2IN))*(((A444)-(c_TMAP2IN))*((c_TMAP3OUT)-(c_TMAP2OUT))+IF(((c_TMAP3OUT)-(c_TMAP2OUT))&gt;=0,1,-1)*QUOTIENT(((c_TMAP3IN)-(c_TMAP2IN)),2))+2147483648,4294967296)-2147483648,((c_TMAP3IN)-(c_TMAP2IN))*(((A444)-(c_TMAP2IN))*((c_TMAP3OUT)-(c_TMAP2OUT))+IF(((c_TMAP3OUT)-(c_TMAP2OUT))&gt;=0,1,-1)*QUOTIENT(((c_TMAP3IN)-(c_TMAP2IN)),2)))&lt;0,-1,0),IF(IF(o_WRAP=1,MOD(((c_TMAP3IN)-(c_TMAP2IN))*(((A444)-(c_TMAP2IN))*((c_TMAP3OUT)-(c_TMAP2OUT))+IF(((c_TMAP3OUT)-(c_TMAP2OUT))&gt;=0,1,-1)*QUOTIENT(((c_TMAP3IN)-(c_TMAP2IN)),2))+2147483648,4294967296)-2147483648,((c_TMAP3IN)-(c_TMAP2IN))*(((A444)-(c_TMAP2IN))*((c_TMAP3OUT)-(c_TMAP2OUT))+IF(((c_TMAP3OUT)-(c_TMAP2OUT))&gt;=0,1,-1)*QUOTIENT(((c_TMAP3IN)-(c_TMAP2IN)),2)))&gt;=0,1,0)))</f>
        <v>262</v>
      </c>
      <c r="G444" s="7" t="n">
        <f aca="false">IF(((1000)-(c_TMAP3IN))=0,(c_TMAP3OUT)+QUOTIENT(((1000)-(c_TMAP3OUT)),2),QUOTIENT((((A444)-(c_TMAP3IN))*((1000)-(c_TMAP3OUT))+IF(((1000)-(c_TMAP3OUT))&gt;=0,1,-1)*QUOTIENT(((1000)-(c_TMAP3IN)),2)),((1000)-(c_TMAP3IN)))+(c_TMAP3OUT)+IF(((1000)-(c_TMAP3OUT))&gt;=0,IF(IF(o_WRAP=1,MOD(((1000)-(c_TMAP3IN))*(((A444)-(c_TMAP3IN))*((1000)-(c_TMAP3OUT))+IF(((1000)-(c_TMAP3OUT))&gt;=0,1,-1)*QUOTIENT(((1000)-(c_TMAP3IN)),2))+2147483648,4294967296)-2147483648,((1000)-(c_TMAP3IN))*(((A444)-(c_TMAP3IN))*((1000)-(c_TMAP3OUT))+IF(((1000)-(c_TMAP3OUT))&gt;=0,1,-1)*QUOTIENT(((1000)-(c_TMAP3IN)),2)))&lt;0,-1,0),IF(IF(o_WRAP=1,MOD(((1000)-(c_TMAP3IN))*(((A444)-(c_TMAP3IN))*((1000)-(c_TMAP3OUT))+IF(((1000)-(c_TMAP3OUT))&gt;=0,1,-1)*QUOTIENT(((1000)-(c_TMAP3IN)),2))+2147483648,4294967296)-2147483648,((1000)-(c_TMAP3IN))*(((A444)-(c_TMAP3IN))*((1000)-(c_TMAP3OUT))+IF(((1000)-(c_TMAP3OUT))&gt;=0,1,-1)*QUOTIENT(((1000)-(c_TMAP3IN)),2)))&gt;=0,1,0)))</f>
        <v>310</v>
      </c>
      <c r="H444" s="7" t="str">
        <f aca="false">IF(A444&gt;=c_TFWD,IF(AND(A444&gt;=c_TMAP3IN,c_TMAP3IN&lt;1000),"Seg4 map3-100%",IF(AND(A444&gt;=c_TMAP2IN,c_TMAP3IN&gt;c_TMAP2IN),"Seg3 map2-map3",IF(AND(A444&gt;=c_TMAP1IN,c_TMAP2IN&gt;c_TMAP1IN),"Seg2 map1-map2","Seg1 TFWD-map1"))),IF(AND(A444=0,c_TCREEP&gt;0),"Creep",IF(AND(A444&lt;=c_TRNGMIN,A444&gt;=c_TRNGMAX,c_TRNGMIN-c_TRNGMAX&lt;&gt;0),"Regen ramp","Coast (0)")))</f>
        <v>Seg4 map3-100%</v>
      </c>
      <c r="I444" s="7" t="n">
        <f aca="false">IF(A444&gt;=c_TFWD,IF(AND(A444&gt;=c_TMAP3IN,c_TMAP3IN&lt;1000),G444,IF(AND(A444&gt;=c_TMAP2IN,c_TMAP3IN&gt;c_TMAP2IN),F444,IF(AND(A444&gt;=c_TMAP1IN,c_TMAP2IN&gt;c_TMAP1IN),E444,D444))),C444)</f>
        <v>310</v>
      </c>
      <c r="J444" s="7" t="str">
        <f aca="false">IF(I444&lt;-1090,"TOO LOW",IF(I444&gt;1090,"TOO HIGH",""))</f>
        <v/>
      </c>
      <c r="K444" s="15" t="n">
        <f aca="false">IF(J444&lt;&gt;"",0,IF(I444&gt;979,1000,I444))</f>
        <v>310</v>
      </c>
      <c r="L444" s="7" t="n">
        <f aca="false">K444/10</f>
        <v>31</v>
      </c>
    </row>
    <row r="445" customFormat="false" ht="15" hidden="false" customHeight="false" outlineLevel="0" collapsed="false">
      <c r="A445" s="7" t="n">
        <v>440</v>
      </c>
      <c r="B445" s="7" t="n">
        <f aca="false">A445/10</f>
        <v>44</v>
      </c>
      <c r="C445" s="7" t="n">
        <f aca="false">IF(AND(A445=0,c_TCREEP&gt;0),10*c_TCREEP,IF(AND(A445&lt;=c_TRNGMIN,A445&gt;=c_TRNGMAX,c_TRNGMIN-c_TRNGMAX&lt;&gt;0),-10*c_TMINRN+QUOTIENT((c_TMAXRN-c_TMINRN)*(100-QUOTIENT((A445-c_TRNGMAX)*100,c_TRNGMIN-c_TRNGMAX)),-10),0))</f>
        <v>0</v>
      </c>
      <c r="D445" s="7" t="n">
        <f aca="false">IF(((c_TMAP1IN)-(c_TFWD))=0,(0)+QUOTIENT(((c_TMAP1OUT)-(0)),2),QUOTIENT((((A445)-(c_TFWD))*((c_TMAP1OUT)-(0))+IF(((c_TMAP1OUT)-(0))&gt;=0,1,-1)*QUOTIENT(((c_TMAP1IN)-(c_TFWD)),2)),((c_TMAP1IN)-(c_TFWD)))+(0)+IF(((c_TMAP1OUT)-(0))&gt;=0,IF(IF(o_WRAP=1,MOD(((c_TMAP1IN)-(c_TFWD))*(((A445)-(c_TFWD))*((c_TMAP1OUT)-(0))+IF(((c_TMAP1OUT)-(0))&gt;=0,1,-1)*QUOTIENT(((c_TMAP1IN)-(c_TFWD)),2))+2147483648,4294967296)-2147483648,((c_TMAP1IN)-(c_TFWD))*(((A445)-(c_TFWD))*((c_TMAP1OUT)-(0))+IF(((c_TMAP1OUT)-(0))&gt;=0,1,-1)*QUOTIENT(((c_TMAP1IN)-(c_TFWD)),2)))&lt;0,-1,0),IF(IF(o_WRAP=1,MOD(((c_TMAP1IN)-(c_TFWD))*(((A445)-(c_TFWD))*((c_TMAP1OUT)-(0))+IF(((c_TMAP1OUT)-(0))&gt;=0,1,-1)*QUOTIENT(((c_TMAP1IN)-(c_TFWD)),2))+2147483648,4294967296)-2147483648,((c_TMAP1IN)-(c_TFWD))*(((A445)-(c_TFWD))*((c_TMAP1OUT)-(0))+IF(((c_TMAP1OUT)-(0))&gt;=0,1,-1)*QUOTIENT(((c_TMAP1IN)-(c_TFWD)),2)))&gt;=0,1,0)))</f>
        <v>334</v>
      </c>
      <c r="E445" s="7" t="n">
        <f aca="false">IF(((c_TMAP2IN)-(c_TMAP1IN))=0,(c_TMAP1OUT)+QUOTIENT(((c_TMAP2OUT)-(c_TMAP1OUT)),2),QUOTIENT((((A445)-(c_TMAP1IN))*((c_TMAP2OUT)-(c_TMAP1OUT))+IF(((c_TMAP2OUT)-(c_TMAP1OUT))&gt;=0,1,-1)*QUOTIENT(((c_TMAP2IN)-(c_TMAP1IN)),2)),((c_TMAP2IN)-(c_TMAP1IN)))+(c_TMAP1OUT)+IF(((c_TMAP2OUT)-(c_TMAP1OUT))&gt;=0,IF(IF(o_WRAP=1,MOD(((c_TMAP2IN)-(c_TMAP1IN))*(((A445)-(c_TMAP1IN))*((c_TMAP2OUT)-(c_TMAP1OUT))+IF(((c_TMAP2OUT)-(c_TMAP1OUT))&gt;=0,1,-1)*QUOTIENT(((c_TMAP2IN)-(c_TMAP1IN)),2))+2147483648,4294967296)-2147483648,((c_TMAP2IN)-(c_TMAP1IN))*(((A445)-(c_TMAP1IN))*((c_TMAP2OUT)-(c_TMAP1OUT))+IF(((c_TMAP2OUT)-(c_TMAP1OUT))&gt;=0,1,-1)*QUOTIENT(((c_TMAP2IN)-(c_TMAP1IN)),2)))&lt;0,-1,0),IF(IF(o_WRAP=1,MOD(((c_TMAP2IN)-(c_TMAP1IN))*(((A445)-(c_TMAP1IN))*((c_TMAP2OUT)-(c_TMAP1OUT))+IF(((c_TMAP2OUT)-(c_TMAP1OUT))&gt;=0,1,-1)*QUOTIENT(((c_TMAP2IN)-(c_TMAP1IN)),2))+2147483648,4294967296)-2147483648,((c_TMAP2IN)-(c_TMAP1IN))*(((A445)-(c_TMAP1IN))*((c_TMAP2OUT)-(c_TMAP1OUT))+IF(((c_TMAP2OUT)-(c_TMAP1OUT))&gt;=0,1,-1)*QUOTIENT(((c_TMAP2IN)-(c_TMAP1IN)),2)))&gt;=0,1,0)))</f>
        <v>206</v>
      </c>
      <c r="F445" s="7" t="n">
        <f aca="false">IF(((c_TMAP3IN)-(c_TMAP2IN))=0,(c_TMAP2OUT)+QUOTIENT(((c_TMAP3OUT)-(c_TMAP2OUT)),2),QUOTIENT((((A445)-(c_TMAP2IN))*((c_TMAP3OUT)-(c_TMAP2OUT))+IF(((c_TMAP3OUT)-(c_TMAP2OUT))&gt;=0,1,-1)*QUOTIENT(((c_TMAP3IN)-(c_TMAP2IN)),2)),((c_TMAP3IN)-(c_TMAP2IN)))+(c_TMAP2OUT)+IF(((c_TMAP3OUT)-(c_TMAP2OUT))&gt;=0,IF(IF(o_WRAP=1,MOD(((c_TMAP3IN)-(c_TMAP2IN))*(((A445)-(c_TMAP2IN))*((c_TMAP3OUT)-(c_TMAP2OUT))+IF(((c_TMAP3OUT)-(c_TMAP2OUT))&gt;=0,1,-1)*QUOTIENT(((c_TMAP3IN)-(c_TMAP2IN)),2))+2147483648,4294967296)-2147483648,((c_TMAP3IN)-(c_TMAP2IN))*(((A445)-(c_TMAP2IN))*((c_TMAP3OUT)-(c_TMAP2OUT))+IF(((c_TMAP3OUT)-(c_TMAP2OUT))&gt;=0,1,-1)*QUOTIENT(((c_TMAP3IN)-(c_TMAP2IN)),2)))&lt;0,-1,0),IF(IF(o_WRAP=1,MOD(((c_TMAP3IN)-(c_TMAP2IN))*(((A445)-(c_TMAP2IN))*((c_TMAP3OUT)-(c_TMAP2OUT))+IF(((c_TMAP3OUT)-(c_TMAP2OUT))&gt;=0,1,-1)*QUOTIENT(((c_TMAP3IN)-(c_TMAP2IN)),2))+2147483648,4294967296)-2147483648,((c_TMAP3IN)-(c_TMAP2IN))*(((A445)-(c_TMAP2IN))*((c_TMAP3OUT)-(c_TMAP2OUT))+IF(((c_TMAP3OUT)-(c_TMAP2OUT))&gt;=0,1,-1)*QUOTIENT(((c_TMAP3IN)-(c_TMAP2IN)),2)))&gt;=0,1,0)))</f>
        <v>263</v>
      </c>
      <c r="G445" s="7" t="n">
        <f aca="false">IF(((1000)-(c_TMAP3IN))=0,(c_TMAP3OUT)+QUOTIENT(((1000)-(c_TMAP3OUT)),2),QUOTIENT((((A445)-(c_TMAP3IN))*((1000)-(c_TMAP3OUT))+IF(((1000)-(c_TMAP3OUT))&gt;=0,1,-1)*QUOTIENT(((1000)-(c_TMAP3IN)),2)),((1000)-(c_TMAP3IN)))+(c_TMAP3OUT)+IF(((1000)-(c_TMAP3OUT))&gt;=0,IF(IF(o_WRAP=1,MOD(((1000)-(c_TMAP3IN))*(((A445)-(c_TMAP3IN))*((1000)-(c_TMAP3OUT))+IF(((1000)-(c_TMAP3OUT))&gt;=0,1,-1)*QUOTIENT(((1000)-(c_TMAP3IN)),2))+2147483648,4294967296)-2147483648,((1000)-(c_TMAP3IN))*(((A445)-(c_TMAP3IN))*((1000)-(c_TMAP3OUT))+IF(((1000)-(c_TMAP3OUT))&gt;=0,1,-1)*QUOTIENT(((1000)-(c_TMAP3IN)),2)))&lt;0,-1,0),IF(IF(o_WRAP=1,MOD(((1000)-(c_TMAP3IN))*(((A445)-(c_TMAP3IN))*((1000)-(c_TMAP3OUT))+IF(((1000)-(c_TMAP3OUT))&gt;=0,1,-1)*QUOTIENT(((1000)-(c_TMAP3IN)),2))+2147483648,4294967296)-2147483648,((1000)-(c_TMAP3IN))*(((A445)-(c_TMAP3IN))*((1000)-(c_TMAP3OUT))+IF(((1000)-(c_TMAP3OUT))&gt;=0,1,-1)*QUOTIENT(((1000)-(c_TMAP3IN)),2)))&gt;=0,1,0)))</f>
        <v>311</v>
      </c>
      <c r="H445" s="7" t="str">
        <f aca="false">IF(A445&gt;=c_TFWD,IF(AND(A445&gt;=c_TMAP3IN,c_TMAP3IN&lt;1000),"Seg4 map3-100%",IF(AND(A445&gt;=c_TMAP2IN,c_TMAP3IN&gt;c_TMAP2IN),"Seg3 map2-map3",IF(AND(A445&gt;=c_TMAP1IN,c_TMAP2IN&gt;c_TMAP1IN),"Seg2 map1-map2","Seg1 TFWD-map1"))),IF(AND(A445=0,c_TCREEP&gt;0),"Creep",IF(AND(A445&lt;=c_TRNGMIN,A445&gt;=c_TRNGMAX,c_TRNGMIN-c_TRNGMAX&lt;&gt;0),"Regen ramp","Coast (0)")))</f>
        <v>Seg4 map3-100%</v>
      </c>
      <c r="I445" s="7" t="n">
        <f aca="false">IF(A445&gt;=c_TFWD,IF(AND(A445&gt;=c_TMAP3IN,c_TMAP3IN&lt;1000),G445,IF(AND(A445&gt;=c_TMAP2IN,c_TMAP3IN&gt;c_TMAP2IN),F445,IF(AND(A445&gt;=c_TMAP1IN,c_TMAP2IN&gt;c_TMAP1IN),E445,D445))),C445)</f>
        <v>311</v>
      </c>
      <c r="J445" s="7" t="str">
        <f aca="false">IF(I445&lt;-1090,"TOO LOW",IF(I445&gt;1090,"TOO HIGH",""))</f>
        <v/>
      </c>
      <c r="K445" s="15" t="n">
        <f aca="false">IF(J445&lt;&gt;"",0,IF(I445&gt;979,1000,I445))</f>
        <v>311</v>
      </c>
      <c r="L445" s="7" t="n">
        <f aca="false">K445/10</f>
        <v>31.1</v>
      </c>
    </row>
    <row r="446" customFormat="false" ht="15" hidden="false" customHeight="false" outlineLevel="0" collapsed="false">
      <c r="A446" s="7" t="n">
        <v>441</v>
      </c>
      <c r="B446" s="7" t="n">
        <f aca="false">A446/10</f>
        <v>44.1</v>
      </c>
      <c r="C446" s="7" t="n">
        <f aca="false">IF(AND(A446=0,c_TCREEP&gt;0),10*c_TCREEP,IF(AND(A446&lt;=c_TRNGMIN,A446&gt;=c_TRNGMAX,c_TRNGMIN-c_TRNGMAX&lt;&gt;0),-10*c_TMINRN+QUOTIENT((c_TMAXRN-c_TMINRN)*(100-QUOTIENT((A446-c_TRNGMAX)*100,c_TRNGMIN-c_TRNGMAX)),-10),0))</f>
        <v>0</v>
      </c>
      <c r="D446" s="7" t="n">
        <f aca="false">IF(((c_TMAP1IN)-(c_TFWD))=0,(0)+QUOTIENT(((c_TMAP1OUT)-(0)),2),QUOTIENT((((A446)-(c_TFWD))*((c_TMAP1OUT)-(0))+IF(((c_TMAP1OUT)-(0))&gt;=0,1,-1)*QUOTIENT(((c_TMAP1IN)-(c_TFWD)),2)),((c_TMAP1IN)-(c_TFWD)))+(0)+IF(((c_TMAP1OUT)-(0))&gt;=0,IF(IF(o_WRAP=1,MOD(((c_TMAP1IN)-(c_TFWD))*(((A446)-(c_TFWD))*((c_TMAP1OUT)-(0))+IF(((c_TMAP1OUT)-(0))&gt;=0,1,-1)*QUOTIENT(((c_TMAP1IN)-(c_TFWD)),2))+2147483648,4294967296)-2147483648,((c_TMAP1IN)-(c_TFWD))*(((A446)-(c_TFWD))*((c_TMAP1OUT)-(0))+IF(((c_TMAP1OUT)-(0))&gt;=0,1,-1)*QUOTIENT(((c_TMAP1IN)-(c_TFWD)),2)))&lt;0,-1,0),IF(IF(o_WRAP=1,MOD(((c_TMAP1IN)-(c_TFWD))*(((A446)-(c_TFWD))*((c_TMAP1OUT)-(0))+IF(((c_TMAP1OUT)-(0))&gt;=0,1,-1)*QUOTIENT(((c_TMAP1IN)-(c_TFWD)),2))+2147483648,4294967296)-2147483648,((c_TMAP1IN)-(c_TFWD))*(((A446)-(c_TFWD))*((c_TMAP1OUT)-(0))+IF(((c_TMAP1OUT)-(0))&gt;=0,1,-1)*QUOTIENT(((c_TMAP1IN)-(c_TFWD)),2)))&gt;=0,1,0)))</f>
        <v>335</v>
      </c>
      <c r="E446" s="7" t="n">
        <f aca="false">IF(((c_TMAP2IN)-(c_TMAP1IN))=0,(c_TMAP1OUT)+QUOTIENT(((c_TMAP2OUT)-(c_TMAP1OUT)),2),QUOTIENT((((A446)-(c_TMAP1IN))*((c_TMAP2OUT)-(c_TMAP1OUT))+IF(((c_TMAP2OUT)-(c_TMAP1OUT))&gt;=0,1,-1)*QUOTIENT(((c_TMAP2IN)-(c_TMAP1IN)),2)),((c_TMAP2IN)-(c_TMAP1IN)))+(c_TMAP1OUT)+IF(((c_TMAP2OUT)-(c_TMAP1OUT))&gt;=0,IF(IF(o_WRAP=1,MOD(((c_TMAP2IN)-(c_TMAP1IN))*(((A446)-(c_TMAP1IN))*((c_TMAP2OUT)-(c_TMAP1OUT))+IF(((c_TMAP2OUT)-(c_TMAP1OUT))&gt;=0,1,-1)*QUOTIENT(((c_TMAP2IN)-(c_TMAP1IN)),2))+2147483648,4294967296)-2147483648,((c_TMAP2IN)-(c_TMAP1IN))*(((A446)-(c_TMAP1IN))*((c_TMAP2OUT)-(c_TMAP1OUT))+IF(((c_TMAP2OUT)-(c_TMAP1OUT))&gt;=0,1,-1)*QUOTIENT(((c_TMAP2IN)-(c_TMAP1IN)),2)))&lt;0,-1,0),IF(IF(o_WRAP=1,MOD(((c_TMAP2IN)-(c_TMAP1IN))*(((A446)-(c_TMAP1IN))*((c_TMAP2OUT)-(c_TMAP1OUT))+IF(((c_TMAP2OUT)-(c_TMAP1OUT))&gt;=0,1,-1)*QUOTIENT(((c_TMAP2IN)-(c_TMAP1IN)),2))+2147483648,4294967296)-2147483648,((c_TMAP2IN)-(c_TMAP1IN))*(((A446)-(c_TMAP1IN))*((c_TMAP2OUT)-(c_TMAP1OUT))+IF(((c_TMAP2OUT)-(c_TMAP1OUT))&gt;=0,1,-1)*QUOTIENT(((c_TMAP2IN)-(c_TMAP1IN)),2)))&gt;=0,1,0)))</f>
        <v>206</v>
      </c>
      <c r="F446" s="7" t="n">
        <f aca="false">IF(((c_TMAP3IN)-(c_TMAP2IN))=0,(c_TMAP2OUT)+QUOTIENT(((c_TMAP3OUT)-(c_TMAP2OUT)),2),QUOTIENT((((A446)-(c_TMAP2IN))*((c_TMAP3OUT)-(c_TMAP2OUT))+IF(((c_TMAP3OUT)-(c_TMAP2OUT))&gt;=0,1,-1)*QUOTIENT(((c_TMAP3IN)-(c_TMAP2IN)),2)),((c_TMAP3IN)-(c_TMAP2IN)))+(c_TMAP2OUT)+IF(((c_TMAP3OUT)-(c_TMAP2OUT))&gt;=0,IF(IF(o_WRAP=1,MOD(((c_TMAP3IN)-(c_TMAP2IN))*(((A446)-(c_TMAP2IN))*((c_TMAP3OUT)-(c_TMAP2OUT))+IF(((c_TMAP3OUT)-(c_TMAP2OUT))&gt;=0,1,-1)*QUOTIENT(((c_TMAP3IN)-(c_TMAP2IN)),2))+2147483648,4294967296)-2147483648,((c_TMAP3IN)-(c_TMAP2IN))*(((A446)-(c_TMAP2IN))*((c_TMAP3OUT)-(c_TMAP2OUT))+IF(((c_TMAP3OUT)-(c_TMAP2OUT))&gt;=0,1,-1)*QUOTIENT(((c_TMAP3IN)-(c_TMAP2IN)),2)))&lt;0,-1,0),IF(IF(o_WRAP=1,MOD(((c_TMAP3IN)-(c_TMAP2IN))*(((A446)-(c_TMAP2IN))*((c_TMAP3OUT)-(c_TMAP2OUT))+IF(((c_TMAP3OUT)-(c_TMAP2OUT))&gt;=0,1,-1)*QUOTIENT(((c_TMAP3IN)-(c_TMAP2IN)),2))+2147483648,4294967296)-2147483648,((c_TMAP3IN)-(c_TMAP2IN))*(((A446)-(c_TMAP2IN))*((c_TMAP3OUT)-(c_TMAP2OUT))+IF(((c_TMAP3OUT)-(c_TMAP2OUT))&gt;=0,1,-1)*QUOTIENT(((c_TMAP3IN)-(c_TMAP2IN)),2)))&gt;=0,1,0)))</f>
        <v>264</v>
      </c>
      <c r="G446" s="7" t="n">
        <f aca="false">IF(((1000)-(c_TMAP3IN))=0,(c_TMAP3OUT)+QUOTIENT(((1000)-(c_TMAP3OUT)),2),QUOTIENT((((A446)-(c_TMAP3IN))*((1000)-(c_TMAP3OUT))+IF(((1000)-(c_TMAP3OUT))&gt;=0,1,-1)*QUOTIENT(((1000)-(c_TMAP3IN)),2)),((1000)-(c_TMAP3IN)))+(c_TMAP3OUT)+IF(((1000)-(c_TMAP3OUT))&gt;=0,IF(IF(o_WRAP=1,MOD(((1000)-(c_TMAP3IN))*(((A446)-(c_TMAP3IN))*((1000)-(c_TMAP3OUT))+IF(((1000)-(c_TMAP3OUT))&gt;=0,1,-1)*QUOTIENT(((1000)-(c_TMAP3IN)),2))+2147483648,4294967296)-2147483648,((1000)-(c_TMAP3IN))*(((A446)-(c_TMAP3IN))*((1000)-(c_TMAP3OUT))+IF(((1000)-(c_TMAP3OUT))&gt;=0,1,-1)*QUOTIENT(((1000)-(c_TMAP3IN)),2)))&lt;0,-1,0),IF(IF(o_WRAP=1,MOD(((1000)-(c_TMAP3IN))*(((A446)-(c_TMAP3IN))*((1000)-(c_TMAP3OUT))+IF(((1000)-(c_TMAP3OUT))&gt;=0,1,-1)*QUOTIENT(((1000)-(c_TMAP3IN)),2))+2147483648,4294967296)-2147483648,((1000)-(c_TMAP3IN))*(((A446)-(c_TMAP3IN))*((1000)-(c_TMAP3OUT))+IF(((1000)-(c_TMAP3OUT))&gt;=0,1,-1)*QUOTIENT(((1000)-(c_TMAP3IN)),2)))&gt;=0,1,0)))</f>
        <v>312</v>
      </c>
      <c r="H446" s="7" t="str">
        <f aca="false">IF(A446&gt;=c_TFWD,IF(AND(A446&gt;=c_TMAP3IN,c_TMAP3IN&lt;1000),"Seg4 map3-100%",IF(AND(A446&gt;=c_TMAP2IN,c_TMAP3IN&gt;c_TMAP2IN),"Seg3 map2-map3",IF(AND(A446&gt;=c_TMAP1IN,c_TMAP2IN&gt;c_TMAP1IN),"Seg2 map1-map2","Seg1 TFWD-map1"))),IF(AND(A446=0,c_TCREEP&gt;0),"Creep",IF(AND(A446&lt;=c_TRNGMIN,A446&gt;=c_TRNGMAX,c_TRNGMIN-c_TRNGMAX&lt;&gt;0),"Regen ramp","Coast (0)")))</f>
        <v>Seg4 map3-100%</v>
      </c>
      <c r="I446" s="7" t="n">
        <f aca="false">IF(A446&gt;=c_TFWD,IF(AND(A446&gt;=c_TMAP3IN,c_TMAP3IN&lt;1000),G446,IF(AND(A446&gt;=c_TMAP2IN,c_TMAP3IN&gt;c_TMAP2IN),F446,IF(AND(A446&gt;=c_TMAP1IN,c_TMAP2IN&gt;c_TMAP1IN),E446,D446))),C446)</f>
        <v>312</v>
      </c>
      <c r="J446" s="7" t="str">
        <f aca="false">IF(I446&lt;-1090,"TOO LOW",IF(I446&gt;1090,"TOO HIGH",""))</f>
        <v/>
      </c>
      <c r="K446" s="15" t="n">
        <f aca="false">IF(J446&lt;&gt;"",0,IF(I446&gt;979,1000,I446))</f>
        <v>312</v>
      </c>
      <c r="L446" s="7" t="n">
        <f aca="false">K446/10</f>
        <v>31.2</v>
      </c>
    </row>
    <row r="447" customFormat="false" ht="15" hidden="false" customHeight="false" outlineLevel="0" collapsed="false">
      <c r="A447" s="7" t="n">
        <v>442</v>
      </c>
      <c r="B447" s="7" t="n">
        <f aca="false">A447/10</f>
        <v>44.2</v>
      </c>
      <c r="C447" s="7" t="n">
        <f aca="false">IF(AND(A447=0,c_TCREEP&gt;0),10*c_TCREEP,IF(AND(A447&lt;=c_TRNGMIN,A447&gt;=c_TRNGMAX,c_TRNGMIN-c_TRNGMAX&lt;&gt;0),-10*c_TMINRN+QUOTIENT((c_TMAXRN-c_TMINRN)*(100-QUOTIENT((A447-c_TRNGMAX)*100,c_TRNGMIN-c_TRNGMAX)),-10),0))</f>
        <v>0</v>
      </c>
      <c r="D447" s="7" t="n">
        <f aca="false">IF(((c_TMAP1IN)-(c_TFWD))=0,(0)+QUOTIENT(((c_TMAP1OUT)-(0)),2),QUOTIENT((((A447)-(c_TFWD))*((c_TMAP1OUT)-(0))+IF(((c_TMAP1OUT)-(0))&gt;=0,1,-1)*QUOTIENT(((c_TMAP1IN)-(c_TFWD)),2)),((c_TMAP1IN)-(c_TFWD)))+(0)+IF(((c_TMAP1OUT)-(0))&gt;=0,IF(IF(o_WRAP=1,MOD(((c_TMAP1IN)-(c_TFWD))*(((A447)-(c_TFWD))*((c_TMAP1OUT)-(0))+IF(((c_TMAP1OUT)-(0))&gt;=0,1,-1)*QUOTIENT(((c_TMAP1IN)-(c_TFWD)),2))+2147483648,4294967296)-2147483648,((c_TMAP1IN)-(c_TFWD))*(((A447)-(c_TFWD))*((c_TMAP1OUT)-(0))+IF(((c_TMAP1OUT)-(0))&gt;=0,1,-1)*QUOTIENT(((c_TMAP1IN)-(c_TFWD)),2)))&lt;0,-1,0),IF(IF(o_WRAP=1,MOD(((c_TMAP1IN)-(c_TFWD))*(((A447)-(c_TFWD))*((c_TMAP1OUT)-(0))+IF(((c_TMAP1OUT)-(0))&gt;=0,1,-1)*QUOTIENT(((c_TMAP1IN)-(c_TFWD)),2))+2147483648,4294967296)-2147483648,((c_TMAP1IN)-(c_TFWD))*(((A447)-(c_TFWD))*((c_TMAP1OUT)-(0))+IF(((c_TMAP1OUT)-(0))&gt;=0,1,-1)*QUOTIENT(((c_TMAP1IN)-(c_TFWD)),2)))&gt;=0,1,0)))</f>
        <v>336</v>
      </c>
      <c r="E447" s="7" t="n">
        <f aca="false">IF(((c_TMAP2IN)-(c_TMAP1IN))=0,(c_TMAP1OUT)+QUOTIENT(((c_TMAP2OUT)-(c_TMAP1OUT)),2),QUOTIENT((((A447)-(c_TMAP1IN))*((c_TMAP2OUT)-(c_TMAP1OUT))+IF(((c_TMAP2OUT)-(c_TMAP1OUT))&gt;=0,1,-1)*QUOTIENT(((c_TMAP2IN)-(c_TMAP1IN)),2)),((c_TMAP2IN)-(c_TMAP1IN)))+(c_TMAP1OUT)+IF(((c_TMAP2OUT)-(c_TMAP1OUT))&gt;=0,IF(IF(o_WRAP=1,MOD(((c_TMAP2IN)-(c_TMAP1IN))*(((A447)-(c_TMAP1IN))*((c_TMAP2OUT)-(c_TMAP1OUT))+IF(((c_TMAP2OUT)-(c_TMAP1OUT))&gt;=0,1,-1)*QUOTIENT(((c_TMAP2IN)-(c_TMAP1IN)),2))+2147483648,4294967296)-2147483648,((c_TMAP2IN)-(c_TMAP1IN))*(((A447)-(c_TMAP1IN))*((c_TMAP2OUT)-(c_TMAP1OUT))+IF(((c_TMAP2OUT)-(c_TMAP1OUT))&gt;=0,1,-1)*QUOTIENT(((c_TMAP2IN)-(c_TMAP1IN)),2)))&lt;0,-1,0),IF(IF(o_WRAP=1,MOD(((c_TMAP2IN)-(c_TMAP1IN))*(((A447)-(c_TMAP1IN))*((c_TMAP2OUT)-(c_TMAP1OUT))+IF(((c_TMAP2OUT)-(c_TMAP1OUT))&gt;=0,1,-1)*QUOTIENT(((c_TMAP2IN)-(c_TMAP1IN)),2))+2147483648,4294967296)-2147483648,((c_TMAP2IN)-(c_TMAP1IN))*(((A447)-(c_TMAP1IN))*((c_TMAP2OUT)-(c_TMAP1OUT))+IF(((c_TMAP2OUT)-(c_TMAP1OUT))&gt;=0,1,-1)*QUOTIENT(((c_TMAP2IN)-(c_TMAP1IN)),2)))&gt;=0,1,0)))</f>
        <v>207</v>
      </c>
      <c r="F447" s="7" t="n">
        <f aca="false">IF(((c_TMAP3IN)-(c_TMAP2IN))=0,(c_TMAP2OUT)+QUOTIENT(((c_TMAP3OUT)-(c_TMAP2OUT)),2),QUOTIENT((((A447)-(c_TMAP2IN))*((c_TMAP3OUT)-(c_TMAP2OUT))+IF(((c_TMAP3OUT)-(c_TMAP2OUT))&gt;=0,1,-1)*QUOTIENT(((c_TMAP3IN)-(c_TMAP2IN)),2)),((c_TMAP3IN)-(c_TMAP2IN)))+(c_TMAP2OUT)+IF(((c_TMAP3OUT)-(c_TMAP2OUT))&gt;=0,IF(IF(o_WRAP=1,MOD(((c_TMAP3IN)-(c_TMAP2IN))*(((A447)-(c_TMAP2IN))*((c_TMAP3OUT)-(c_TMAP2OUT))+IF(((c_TMAP3OUT)-(c_TMAP2OUT))&gt;=0,1,-1)*QUOTIENT(((c_TMAP3IN)-(c_TMAP2IN)),2))+2147483648,4294967296)-2147483648,((c_TMAP3IN)-(c_TMAP2IN))*(((A447)-(c_TMAP2IN))*((c_TMAP3OUT)-(c_TMAP2OUT))+IF(((c_TMAP3OUT)-(c_TMAP2OUT))&gt;=0,1,-1)*QUOTIENT(((c_TMAP3IN)-(c_TMAP2IN)),2)))&lt;0,-1,0),IF(IF(o_WRAP=1,MOD(((c_TMAP3IN)-(c_TMAP2IN))*(((A447)-(c_TMAP2IN))*((c_TMAP3OUT)-(c_TMAP2OUT))+IF(((c_TMAP3OUT)-(c_TMAP2OUT))&gt;=0,1,-1)*QUOTIENT(((c_TMAP3IN)-(c_TMAP2IN)),2))+2147483648,4294967296)-2147483648,((c_TMAP3IN)-(c_TMAP2IN))*(((A447)-(c_TMAP2IN))*((c_TMAP3OUT)-(c_TMAP2OUT))+IF(((c_TMAP3OUT)-(c_TMAP2OUT))&gt;=0,1,-1)*QUOTIENT(((c_TMAP3IN)-(c_TMAP2IN)),2)))&gt;=0,1,0)))</f>
        <v>264</v>
      </c>
      <c r="G447" s="7" t="n">
        <f aca="false">IF(((1000)-(c_TMAP3IN))=0,(c_TMAP3OUT)+QUOTIENT(((1000)-(c_TMAP3OUT)),2),QUOTIENT((((A447)-(c_TMAP3IN))*((1000)-(c_TMAP3OUT))+IF(((1000)-(c_TMAP3OUT))&gt;=0,1,-1)*QUOTIENT(((1000)-(c_TMAP3IN)),2)),((1000)-(c_TMAP3IN)))+(c_TMAP3OUT)+IF(((1000)-(c_TMAP3OUT))&gt;=0,IF(IF(o_WRAP=1,MOD(((1000)-(c_TMAP3IN))*(((A447)-(c_TMAP3IN))*((1000)-(c_TMAP3OUT))+IF(((1000)-(c_TMAP3OUT))&gt;=0,1,-1)*QUOTIENT(((1000)-(c_TMAP3IN)),2))+2147483648,4294967296)-2147483648,((1000)-(c_TMAP3IN))*(((A447)-(c_TMAP3IN))*((1000)-(c_TMAP3OUT))+IF(((1000)-(c_TMAP3OUT))&gt;=0,1,-1)*QUOTIENT(((1000)-(c_TMAP3IN)),2)))&lt;0,-1,0),IF(IF(o_WRAP=1,MOD(((1000)-(c_TMAP3IN))*(((A447)-(c_TMAP3IN))*((1000)-(c_TMAP3OUT))+IF(((1000)-(c_TMAP3OUT))&gt;=0,1,-1)*QUOTIENT(((1000)-(c_TMAP3IN)),2))+2147483648,4294967296)-2147483648,((1000)-(c_TMAP3IN))*(((A447)-(c_TMAP3IN))*((1000)-(c_TMAP3OUT))+IF(((1000)-(c_TMAP3OUT))&gt;=0,1,-1)*QUOTIENT(((1000)-(c_TMAP3IN)),2)))&gt;=0,1,0)))</f>
        <v>313</v>
      </c>
      <c r="H447" s="7" t="str">
        <f aca="false">IF(A447&gt;=c_TFWD,IF(AND(A447&gt;=c_TMAP3IN,c_TMAP3IN&lt;1000),"Seg4 map3-100%",IF(AND(A447&gt;=c_TMAP2IN,c_TMAP3IN&gt;c_TMAP2IN),"Seg3 map2-map3",IF(AND(A447&gt;=c_TMAP1IN,c_TMAP2IN&gt;c_TMAP1IN),"Seg2 map1-map2","Seg1 TFWD-map1"))),IF(AND(A447=0,c_TCREEP&gt;0),"Creep",IF(AND(A447&lt;=c_TRNGMIN,A447&gt;=c_TRNGMAX,c_TRNGMIN-c_TRNGMAX&lt;&gt;0),"Regen ramp","Coast (0)")))</f>
        <v>Seg4 map3-100%</v>
      </c>
      <c r="I447" s="7" t="n">
        <f aca="false">IF(A447&gt;=c_TFWD,IF(AND(A447&gt;=c_TMAP3IN,c_TMAP3IN&lt;1000),G447,IF(AND(A447&gt;=c_TMAP2IN,c_TMAP3IN&gt;c_TMAP2IN),F447,IF(AND(A447&gt;=c_TMAP1IN,c_TMAP2IN&gt;c_TMAP1IN),E447,D447))),C447)</f>
        <v>313</v>
      </c>
      <c r="J447" s="7" t="str">
        <f aca="false">IF(I447&lt;-1090,"TOO LOW",IF(I447&gt;1090,"TOO HIGH",""))</f>
        <v/>
      </c>
      <c r="K447" s="15" t="n">
        <f aca="false">IF(J447&lt;&gt;"",0,IF(I447&gt;979,1000,I447))</f>
        <v>313</v>
      </c>
      <c r="L447" s="7" t="n">
        <f aca="false">K447/10</f>
        <v>31.3</v>
      </c>
    </row>
    <row r="448" customFormat="false" ht="15" hidden="false" customHeight="false" outlineLevel="0" collapsed="false">
      <c r="A448" s="7" t="n">
        <v>443</v>
      </c>
      <c r="B448" s="7" t="n">
        <f aca="false">A448/10</f>
        <v>44.3</v>
      </c>
      <c r="C448" s="7" t="n">
        <f aca="false">IF(AND(A448=0,c_TCREEP&gt;0),10*c_TCREEP,IF(AND(A448&lt;=c_TRNGMIN,A448&gt;=c_TRNGMAX,c_TRNGMIN-c_TRNGMAX&lt;&gt;0),-10*c_TMINRN+QUOTIENT((c_TMAXRN-c_TMINRN)*(100-QUOTIENT((A448-c_TRNGMAX)*100,c_TRNGMIN-c_TRNGMAX)),-10),0))</f>
        <v>0</v>
      </c>
      <c r="D448" s="7" t="n">
        <f aca="false">IF(((c_TMAP1IN)-(c_TFWD))=0,(0)+QUOTIENT(((c_TMAP1OUT)-(0)),2),QUOTIENT((((A448)-(c_TFWD))*((c_TMAP1OUT)-(0))+IF(((c_TMAP1OUT)-(0))&gt;=0,1,-1)*QUOTIENT(((c_TMAP1IN)-(c_TFWD)),2)),((c_TMAP1IN)-(c_TFWD)))+(0)+IF(((c_TMAP1OUT)-(0))&gt;=0,IF(IF(o_WRAP=1,MOD(((c_TMAP1IN)-(c_TFWD))*(((A448)-(c_TFWD))*((c_TMAP1OUT)-(0))+IF(((c_TMAP1OUT)-(0))&gt;=0,1,-1)*QUOTIENT(((c_TMAP1IN)-(c_TFWD)),2))+2147483648,4294967296)-2147483648,((c_TMAP1IN)-(c_TFWD))*(((A448)-(c_TFWD))*((c_TMAP1OUT)-(0))+IF(((c_TMAP1OUT)-(0))&gt;=0,1,-1)*QUOTIENT(((c_TMAP1IN)-(c_TFWD)),2)))&lt;0,-1,0),IF(IF(o_WRAP=1,MOD(((c_TMAP1IN)-(c_TFWD))*(((A448)-(c_TFWD))*((c_TMAP1OUT)-(0))+IF(((c_TMAP1OUT)-(0))&gt;=0,1,-1)*QUOTIENT(((c_TMAP1IN)-(c_TFWD)),2))+2147483648,4294967296)-2147483648,((c_TMAP1IN)-(c_TFWD))*(((A448)-(c_TFWD))*((c_TMAP1OUT)-(0))+IF(((c_TMAP1OUT)-(0))&gt;=0,1,-1)*QUOTIENT(((c_TMAP1IN)-(c_TFWD)),2)))&gt;=0,1,0)))</f>
        <v>337</v>
      </c>
      <c r="E448" s="7" t="n">
        <f aca="false">IF(((c_TMAP2IN)-(c_TMAP1IN))=0,(c_TMAP1OUT)+QUOTIENT(((c_TMAP2OUT)-(c_TMAP1OUT)),2),QUOTIENT((((A448)-(c_TMAP1IN))*((c_TMAP2OUT)-(c_TMAP1OUT))+IF(((c_TMAP2OUT)-(c_TMAP1OUT))&gt;=0,1,-1)*QUOTIENT(((c_TMAP2IN)-(c_TMAP1IN)),2)),((c_TMAP2IN)-(c_TMAP1IN)))+(c_TMAP1OUT)+IF(((c_TMAP2OUT)-(c_TMAP1OUT))&gt;=0,IF(IF(o_WRAP=1,MOD(((c_TMAP2IN)-(c_TMAP1IN))*(((A448)-(c_TMAP1IN))*((c_TMAP2OUT)-(c_TMAP1OUT))+IF(((c_TMAP2OUT)-(c_TMAP1OUT))&gt;=0,1,-1)*QUOTIENT(((c_TMAP2IN)-(c_TMAP1IN)),2))+2147483648,4294967296)-2147483648,((c_TMAP2IN)-(c_TMAP1IN))*(((A448)-(c_TMAP1IN))*((c_TMAP2OUT)-(c_TMAP1OUT))+IF(((c_TMAP2OUT)-(c_TMAP1OUT))&gt;=0,1,-1)*QUOTIENT(((c_TMAP2IN)-(c_TMAP1IN)),2)))&lt;0,-1,0),IF(IF(o_WRAP=1,MOD(((c_TMAP2IN)-(c_TMAP1IN))*(((A448)-(c_TMAP1IN))*((c_TMAP2OUT)-(c_TMAP1OUT))+IF(((c_TMAP2OUT)-(c_TMAP1OUT))&gt;=0,1,-1)*QUOTIENT(((c_TMAP2IN)-(c_TMAP1IN)),2))+2147483648,4294967296)-2147483648,((c_TMAP2IN)-(c_TMAP1IN))*(((A448)-(c_TMAP1IN))*((c_TMAP2OUT)-(c_TMAP1OUT))+IF(((c_TMAP2OUT)-(c_TMAP1OUT))&gt;=0,1,-1)*QUOTIENT(((c_TMAP2IN)-(c_TMAP1IN)),2)))&gt;=0,1,0)))</f>
        <v>207</v>
      </c>
      <c r="F448" s="7" t="n">
        <f aca="false">IF(((c_TMAP3IN)-(c_TMAP2IN))=0,(c_TMAP2OUT)+QUOTIENT(((c_TMAP3OUT)-(c_TMAP2OUT)),2),QUOTIENT((((A448)-(c_TMAP2IN))*((c_TMAP3OUT)-(c_TMAP2OUT))+IF(((c_TMAP3OUT)-(c_TMAP2OUT))&gt;=0,1,-1)*QUOTIENT(((c_TMAP3IN)-(c_TMAP2IN)),2)),((c_TMAP3IN)-(c_TMAP2IN)))+(c_TMAP2OUT)+IF(((c_TMAP3OUT)-(c_TMAP2OUT))&gt;=0,IF(IF(o_WRAP=1,MOD(((c_TMAP3IN)-(c_TMAP2IN))*(((A448)-(c_TMAP2IN))*((c_TMAP3OUT)-(c_TMAP2OUT))+IF(((c_TMAP3OUT)-(c_TMAP2OUT))&gt;=0,1,-1)*QUOTIENT(((c_TMAP3IN)-(c_TMAP2IN)),2))+2147483648,4294967296)-2147483648,((c_TMAP3IN)-(c_TMAP2IN))*(((A448)-(c_TMAP2IN))*((c_TMAP3OUT)-(c_TMAP2OUT))+IF(((c_TMAP3OUT)-(c_TMAP2OUT))&gt;=0,1,-1)*QUOTIENT(((c_TMAP3IN)-(c_TMAP2IN)),2)))&lt;0,-1,0),IF(IF(o_WRAP=1,MOD(((c_TMAP3IN)-(c_TMAP2IN))*(((A448)-(c_TMAP2IN))*((c_TMAP3OUT)-(c_TMAP2OUT))+IF(((c_TMAP3OUT)-(c_TMAP2OUT))&gt;=0,1,-1)*QUOTIENT(((c_TMAP3IN)-(c_TMAP2IN)),2))+2147483648,4294967296)-2147483648,((c_TMAP3IN)-(c_TMAP2IN))*(((A448)-(c_TMAP2IN))*((c_TMAP3OUT)-(c_TMAP2OUT))+IF(((c_TMAP3OUT)-(c_TMAP2OUT))&gt;=0,1,-1)*QUOTIENT(((c_TMAP3IN)-(c_TMAP2IN)),2)))&gt;=0,1,0)))</f>
        <v>265</v>
      </c>
      <c r="G448" s="7" t="n">
        <f aca="false">IF(((1000)-(c_TMAP3IN))=0,(c_TMAP3OUT)+QUOTIENT(((1000)-(c_TMAP3OUT)),2),QUOTIENT((((A448)-(c_TMAP3IN))*((1000)-(c_TMAP3OUT))+IF(((1000)-(c_TMAP3OUT))&gt;=0,1,-1)*QUOTIENT(((1000)-(c_TMAP3IN)),2)),((1000)-(c_TMAP3IN)))+(c_TMAP3OUT)+IF(((1000)-(c_TMAP3OUT))&gt;=0,IF(IF(o_WRAP=1,MOD(((1000)-(c_TMAP3IN))*(((A448)-(c_TMAP3IN))*((1000)-(c_TMAP3OUT))+IF(((1000)-(c_TMAP3OUT))&gt;=0,1,-1)*QUOTIENT(((1000)-(c_TMAP3IN)),2))+2147483648,4294967296)-2147483648,((1000)-(c_TMAP3IN))*(((A448)-(c_TMAP3IN))*((1000)-(c_TMAP3OUT))+IF(((1000)-(c_TMAP3OUT))&gt;=0,1,-1)*QUOTIENT(((1000)-(c_TMAP3IN)),2)))&lt;0,-1,0),IF(IF(o_WRAP=1,MOD(((1000)-(c_TMAP3IN))*(((A448)-(c_TMAP3IN))*((1000)-(c_TMAP3OUT))+IF(((1000)-(c_TMAP3OUT))&gt;=0,1,-1)*QUOTIENT(((1000)-(c_TMAP3IN)),2))+2147483648,4294967296)-2147483648,((1000)-(c_TMAP3IN))*(((A448)-(c_TMAP3IN))*((1000)-(c_TMAP3OUT))+IF(((1000)-(c_TMAP3OUT))&gt;=0,1,-1)*QUOTIENT(((1000)-(c_TMAP3IN)),2)))&gt;=0,1,0)))</f>
        <v>314</v>
      </c>
      <c r="H448" s="7" t="str">
        <f aca="false">IF(A448&gt;=c_TFWD,IF(AND(A448&gt;=c_TMAP3IN,c_TMAP3IN&lt;1000),"Seg4 map3-100%",IF(AND(A448&gt;=c_TMAP2IN,c_TMAP3IN&gt;c_TMAP2IN),"Seg3 map2-map3",IF(AND(A448&gt;=c_TMAP1IN,c_TMAP2IN&gt;c_TMAP1IN),"Seg2 map1-map2","Seg1 TFWD-map1"))),IF(AND(A448=0,c_TCREEP&gt;0),"Creep",IF(AND(A448&lt;=c_TRNGMIN,A448&gt;=c_TRNGMAX,c_TRNGMIN-c_TRNGMAX&lt;&gt;0),"Regen ramp","Coast (0)")))</f>
        <v>Seg4 map3-100%</v>
      </c>
      <c r="I448" s="7" t="n">
        <f aca="false">IF(A448&gt;=c_TFWD,IF(AND(A448&gt;=c_TMAP3IN,c_TMAP3IN&lt;1000),G448,IF(AND(A448&gt;=c_TMAP2IN,c_TMAP3IN&gt;c_TMAP2IN),F448,IF(AND(A448&gt;=c_TMAP1IN,c_TMAP2IN&gt;c_TMAP1IN),E448,D448))),C448)</f>
        <v>314</v>
      </c>
      <c r="J448" s="7" t="str">
        <f aca="false">IF(I448&lt;-1090,"TOO LOW",IF(I448&gt;1090,"TOO HIGH",""))</f>
        <v/>
      </c>
      <c r="K448" s="15" t="n">
        <f aca="false">IF(J448&lt;&gt;"",0,IF(I448&gt;979,1000,I448))</f>
        <v>314</v>
      </c>
      <c r="L448" s="7" t="n">
        <f aca="false">K448/10</f>
        <v>31.4</v>
      </c>
    </row>
    <row r="449" customFormat="false" ht="15" hidden="false" customHeight="false" outlineLevel="0" collapsed="false">
      <c r="A449" s="7" t="n">
        <v>444</v>
      </c>
      <c r="B449" s="7" t="n">
        <f aca="false">A449/10</f>
        <v>44.4</v>
      </c>
      <c r="C449" s="7" t="n">
        <f aca="false">IF(AND(A449=0,c_TCREEP&gt;0),10*c_TCREEP,IF(AND(A449&lt;=c_TRNGMIN,A449&gt;=c_TRNGMAX,c_TRNGMIN-c_TRNGMAX&lt;&gt;0),-10*c_TMINRN+QUOTIENT((c_TMAXRN-c_TMINRN)*(100-QUOTIENT((A449-c_TRNGMAX)*100,c_TRNGMIN-c_TRNGMAX)),-10),0))</f>
        <v>0</v>
      </c>
      <c r="D449" s="7" t="n">
        <f aca="false">IF(((c_TMAP1IN)-(c_TFWD))=0,(0)+QUOTIENT(((c_TMAP1OUT)-(0)),2),QUOTIENT((((A449)-(c_TFWD))*((c_TMAP1OUT)-(0))+IF(((c_TMAP1OUT)-(0))&gt;=0,1,-1)*QUOTIENT(((c_TMAP1IN)-(c_TFWD)),2)),((c_TMAP1IN)-(c_TFWD)))+(0)+IF(((c_TMAP1OUT)-(0))&gt;=0,IF(IF(o_WRAP=1,MOD(((c_TMAP1IN)-(c_TFWD))*(((A449)-(c_TFWD))*((c_TMAP1OUT)-(0))+IF(((c_TMAP1OUT)-(0))&gt;=0,1,-1)*QUOTIENT(((c_TMAP1IN)-(c_TFWD)),2))+2147483648,4294967296)-2147483648,((c_TMAP1IN)-(c_TFWD))*(((A449)-(c_TFWD))*((c_TMAP1OUT)-(0))+IF(((c_TMAP1OUT)-(0))&gt;=0,1,-1)*QUOTIENT(((c_TMAP1IN)-(c_TFWD)),2)))&lt;0,-1,0),IF(IF(o_WRAP=1,MOD(((c_TMAP1IN)-(c_TFWD))*(((A449)-(c_TFWD))*((c_TMAP1OUT)-(0))+IF(((c_TMAP1OUT)-(0))&gt;=0,1,-1)*QUOTIENT(((c_TMAP1IN)-(c_TFWD)),2))+2147483648,4294967296)-2147483648,((c_TMAP1IN)-(c_TFWD))*(((A449)-(c_TFWD))*((c_TMAP1OUT)-(0))+IF(((c_TMAP1OUT)-(0))&gt;=0,1,-1)*QUOTIENT(((c_TMAP1IN)-(c_TFWD)),2)))&gt;=0,1,0)))</f>
        <v>338</v>
      </c>
      <c r="E449" s="7" t="n">
        <f aca="false">IF(((c_TMAP2IN)-(c_TMAP1IN))=0,(c_TMAP1OUT)+QUOTIENT(((c_TMAP2OUT)-(c_TMAP1OUT)),2),QUOTIENT((((A449)-(c_TMAP1IN))*((c_TMAP2OUT)-(c_TMAP1OUT))+IF(((c_TMAP2OUT)-(c_TMAP1OUT))&gt;=0,1,-1)*QUOTIENT(((c_TMAP2IN)-(c_TMAP1IN)),2)),((c_TMAP2IN)-(c_TMAP1IN)))+(c_TMAP1OUT)+IF(((c_TMAP2OUT)-(c_TMAP1OUT))&gt;=0,IF(IF(o_WRAP=1,MOD(((c_TMAP2IN)-(c_TMAP1IN))*(((A449)-(c_TMAP1IN))*((c_TMAP2OUT)-(c_TMAP1OUT))+IF(((c_TMAP2OUT)-(c_TMAP1OUT))&gt;=0,1,-1)*QUOTIENT(((c_TMAP2IN)-(c_TMAP1IN)),2))+2147483648,4294967296)-2147483648,((c_TMAP2IN)-(c_TMAP1IN))*(((A449)-(c_TMAP1IN))*((c_TMAP2OUT)-(c_TMAP1OUT))+IF(((c_TMAP2OUT)-(c_TMAP1OUT))&gt;=0,1,-1)*QUOTIENT(((c_TMAP2IN)-(c_TMAP1IN)),2)))&lt;0,-1,0),IF(IF(o_WRAP=1,MOD(((c_TMAP2IN)-(c_TMAP1IN))*(((A449)-(c_TMAP1IN))*((c_TMAP2OUT)-(c_TMAP1OUT))+IF(((c_TMAP2OUT)-(c_TMAP1OUT))&gt;=0,1,-1)*QUOTIENT(((c_TMAP2IN)-(c_TMAP1IN)),2))+2147483648,4294967296)-2147483648,((c_TMAP2IN)-(c_TMAP1IN))*(((A449)-(c_TMAP1IN))*((c_TMAP2OUT)-(c_TMAP1OUT))+IF(((c_TMAP2OUT)-(c_TMAP1OUT))&gt;=0,1,-1)*QUOTIENT(((c_TMAP2IN)-(c_TMAP1IN)),2)))&gt;=0,1,0)))</f>
        <v>208</v>
      </c>
      <c r="F449" s="7" t="n">
        <f aca="false">IF(((c_TMAP3IN)-(c_TMAP2IN))=0,(c_TMAP2OUT)+QUOTIENT(((c_TMAP3OUT)-(c_TMAP2OUT)),2),QUOTIENT((((A449)-(c_TMAP2IN))*((c_TMAP3OUT)-(c_TMAP2OUT))+IF(((c_TMAP3OUT)-(c_TMAP2OUT))&gt;=0,1,-1)*QUOTIENT(((c_TMAP3IN)-(c_TMAP2IN)),2)),((c_TMAP3IN)-(c_TMAP2IN)))+(c_TMAP2OUT)+IF(((c_TMAP3OUT)-(c_TMAP2OUT))&gt;=0,IF(IF(o_WRAP=1,MOD(((c_TMAP3IN)-(c_TMAP2IN))*(((A449)-(c_TMAP2IN))*((c_TMAP3OUT)-(c_TMAP2OUT))+IF(((c_TMAP3OUT)-(c_TMAP2OUT))&gt;=0,1,-1)*QUOTIENT(((c_TMAP3IN)-(c_TMAP2IN)),2))+2147483648,4294967296)-2147483648,((c_TMAP3IN)-(c_TMAP2IN))*(((A449)-(c_TMAP2IN))*((c_TMAP3OUT)-(c_TMAP2OUT))+IF(((c_TMAP3OUT)-(c_TMAP2OUT))&gt;=0,1,-1)*QUOTIENT(((c_TMAP3IN)-(c_TMAP2IN)),2)))&lt;0,-1,0),IF(IF(o_WRAP=1,MOD(((c_TMAP3IN)-(c_TMAP2IN))*(((A449)-(c_TMAP2IN))*((c_TMAP3OUT)-(c_TMAP2OUT))+IF(((c_TMAP3OUT)-(c_TMAP2OUT))&gt;=0,1,-1)*QUOTIENT(((c_TMAP3IN)-(c_TMAP2IN)),2))+2147483648,4294967296)-2147483648,((c_TMAP3IN)-(c_TMAP2IN))*(((A449)-(c_TMAP2IN))*((c_TMAP3OUT)-(c_TMAP2OUT))+IF(((c_TMAP3OUT)-(c_TMAP2OUT))&gt;=0,1,-1)*QUOTIENT(((c_TMAP3IN)-(c_TMAP2IN)),2)))&gt;=0,1,0)))</f>
        <v>266</v>
      </c>
      <c r="G449" s="7" t="n">
        <f aca="false">IF(((1000)-(c_TMAP3IN))=0,(c_TMAP3OUT)+QUOTIENT(((1000)-(c_TMAP3OUT)),2),QUOTIENT((((A449)-(c_TMAP3IN))*((1000)-(c_TMAP3OUT))+IF(((1000)-(c_TMAP3OUT))&gt;=0,1,-1)*QUOTIENT(((1000)-(c_TMAP3IN)),2)),((1000)-(c_TMAP3IN)))+(c_TMAP3OUT)+IF(((1000)-(c_TMAP3OUT))&gt;=0,IF(IF(o_WRAP=1,MOD(((1000)-(c_TMAP3IN))*(((A449)-(c_TMAP3IN))*((1000)-(c_TMAP3OUT))+IF(((1000)-(c_TMAP3OUT))&gt;=0,1,-1)*QUOTIENT(((1000)-(c_TMAP3IN)),2))+2147483648,4294967296)-2147483648,((1000)-(c_TMAP3IN))*(((A449)-(c_TMAP3IN))*((1000)-(c_TMAP3OUT))+IF(((1000)-(c_TMAP3OUT))&gt;=0,1,-1)*QUOTIENT(((1000)-(c_TMAP3IN)),2)))&lt;0,-1,0),IF(IF(o_WRAP=1,MOD(((1000)-(c_TMAP3IN))*(((A449)-(c_TMAP3IN))*((1000)-(c_TMAP3OUT))+IF(((1000)-(c_TMAP3OUT))&gt;=0,1,-1)*QUOTIENT(((1000)-(c_TMAP3IN)),2))+2147483648,4294967296)-2147483648,((1000)-(c_TMAP3IN))*(((A449)-(c_TMAP3IN))*((1000)-(c_TMAP3OUT))+IF(((1000)-(c_TMAP3OUT))&gt;=0,1,-1)*QUOTIENT(((1000)-(c_TMAP3IN)),2)))&gt;=0,1,0)))</f>
        <v>316</v>
      </c>
      <c r="H449" s="7" t="str">
        <f aca="false">IF(A449&gt;=c_TFWD,IF(AND(A449&gt;=c_TMAP3IN,c_TMAP3IN&lt;1000),"Seg4 map3-100%",IF(AND(A449&gt;=c_TMAP2IN,c_TMAP3IN&gt;c_TMAP2IN),"Seg3 map2-map3",IF(AND(A449&gt;=c_TMAP1IN,c_TMAP2IN&gt;c_TMAP1IN),"Seg2 map1-map2","Seg1 TFWD-map1"))),IF(AND(A449=0,c_TCREEP&gt;0),"Creep",IF(AND(A449&lt;=c_TRNGMIN,A449&gt;=c_TRNGMAX,c_TRNGMIN-c_TRNGMAX&lt;&gt;0),"Regen ramp","Coast (0)")))</f>
        <v>Seg4 map3-100%</v>
      </c>
      <c r="I449" s="7" t="n">
        <f aca="false">IF(A449&gt;=c_TFWD,IF(AND(A449&gt;=c_TMAP3IN,c_TMAP3IN&lt;1000),G449,IF(AND(A449&gt;=c_TMAP2IN,c_TMAP3IN&gt;c_TMAP2IN),F449,IF(AND(A449&gt;=c_TMAP1IN,c_TMAP2IN&gt;c_TMAP1IN),E449,D449))),C449)</f>
        <v>316</v>
      </c>
      <c r="J449" s="7" t="str">
        <f aca="false">IF(I449&lt;-1090,"TOO LOW",IF(I449&gt;1090,"TOO HIGH",""))</f>
        <v/>
      </c>
      <c r="K449" s="15" t="n">
        <f aca="false">IF(J449&lt;&gt;"",0,IF(I449&gt;979,1000,I449))</f>
        <v>316</v>
      </c>
      <c r="L449" s="7" t="n">
        <f aca="false">K449/10</f>
        <v>31.6</v>
      </c>
    </row>
    <row r="450" customFormat="false" ht="15" hidden="false" customHeight="false" outlineLevel="0" collapsed="false">
      <c r="A450" s="7" t="n">
        <v>445</v>
      </c>
      <c r="B450" s="7" t="n">
        <f aca="false">A450/10</f>
        <v>44.5</v>
      </c>
      <c r="C450" s="7" t="n">
        <f aca="false">IF(AND(A450=0,c_TCREEP&gt;0),10*c_TCREEP,IF(AND(A450&lt;=c_TRNGMIN,A450&gt;=c_TRNGMAX,c_TRNGMIN-c_TRNGMAX&lt;&gt;0),-10*c_TMINRN+QUOTIENT((c_TMAXRN-c_TMINRN)*(100-QUOTIENT((A450-c_TRNGMAX)*100,c_TRNGMIN-c_TRNGMAX)),-10),0))</f>
        <v>0</v>
      </c>
      <c r="D450" s="7" t="n">
        <f aca="false">IF(((c_TMAP1IN)-(c_TFWD))=0,(0)+QUOTIENT(((c_TMAP1OUT)-(0)),2),QUOTIENT((((A450)-(c_TFWD))*((c_TMAP1OUT)-(0))+IF(((c_TMAP1OUT)-(0))&gt;=0,1,-1)*QUOTIENT(((c_TMAP1IN)-(c_TFWD)),2)),((c_TMAP1IN)-(c_TFWD)))+(0)+IF(((c_TMAP1OUT)-(0))&gt;=0,IF(IF(o_WRAP=1,MOD(((c_TMAP1IN)-(c_TFWD))*(((A450)-(c_TFWD))*((c_TMAP1OUT)-(0))+IF(((c_TMAP1OUT)-(0))&gt;=0,1,-1)*QUOTIENT(((c_TMAP1IN)-(c_TFWD)),2))+2147483648,4294967296)-2147483648,((c_TMAP1IN)-(c_TFWD))*(((A450)-(c_TFWD))*((c_TMAP1OUT)-(0))+IF(((c_TMAP1OUT)-(0))&gt;=0,1,-1)*QUOTIENT(((c_TMAP1IN)-(c_TFWD)),2)))&lt;0,-1,0),IF(IF(o_WRAP=1,MOD(((c_TMAP1IN)-(c_TFWD))*(((A450)-(c_TFWD))*((c_TMAP1OUT)-(0))+IF(((c_TMAP1OUT)-(0))&gt;=0,1,-1)*QUOTIENT(((c_TMAP1IN)-(c_TFWD)),2))+2147483648,4294967296)-2147483648,((c_TMAP1IN)-(c_TFWD))*(((A450)-(c_TFWD))*((c_TMAP1OUT)-(0))+IF(((c_TMAP1OUT)-(0))&gt;=0,1,-1)*QUOTIENT(((c_TMAP1IN)-(c_TFWD)),2)))&gt;=0,1,0)))</f>
        <v>338</v>
      </c>
      <c r="E450" s="7" t="n">
        <f aca="false">IF(((c_TMAP2IN)-(c_TMAP1IN))=0,(c_TMAP1OUT)+QUOTIENT(((c_TMAP2OUT)-(c_TMAP1OUT)),2),QUOTIENT((((A450)-(c_TMAP1IN))*((c_TMAP2OUT)-(c_TMAP1OUT))+IF(((c_TMAP2OUT)-(c_TMAP1OUT))&gt;=0,1,-1)*QUOTIENT(((c_TMAP2IN)-(c_TMAP1IN)),2)),((c_TMAP2IN)-(c_TMAP1IN)))+(c_TMAP1OUT)+IF(((c_TMAP2OUT)-(c_TMAP1OUT))&gt;=0,IF(IF(o_WRAP=1,MOD(((c_TMAP2IN)-(c_TMAP1IN))*(((A450)-(c_TMAP1IN))*((c_TMAP2OUT)-(c_TMAP1OUT))+IF(((c_TMAP2OUT)-(c_TMAP1OUT))&gt;=0,1,-1)*QUOTIENT(((c_TMAP2IN)-(c_TMAP1IN)),2))+2147483648,4294967296)-2147483648,((c_TMAP2IN)-(c_TMAP1IN))*(((A450)-(c_TMAP1IN))*((c_TMAP2OUT)-(c_TMAP1OUT))+IF(((c_TMAP2OUT)-(c_TMAP1OUT))&gt;=0,1,-1)*QUOTIENT(((c_TMAP2IN)-(c_TMAP1IN)),2)))&lt;0,-1,0),IF(IF(o_WRAP=1,MOD(((c_TMAP2IN)-(c_TMAP1IN))*(((A450)-(c_TMAP1IN))*((c_TMAP2OUT)-(c_TMAP1OUT))+IF(((c_TMAP2OUT)-(c_TMAP1OUT))&gt;=0,1,-1)*QUOTIENT(((c_TMAP2IN)-(c_TMAP1IN)),2))+2147483648,4294967296)-2147483648,((c_TMAP2IN)-(c_TMAP1IN))*(((A450)-(c_TMAP1IN))*((c_TMAP2OUT)-(c_TMAP1OUT))+IF(((c_TMAP2OUT)-(c_TMAP1OUT))&gt;=0,1,-1)*QUOTIENT(((c_TMAP2IN)-(c_TMAP1IN)),2)))&gt;=0,1,0)))</f>
        <v>208</v>
      </c>
      <c r="F450" s="7" t="n">
        <f aca="false">IF(((c_TMAP3IN)-(c_TMAP2IN))=0,(c_TMAP2OUT)+QUOTIENT(((c_TMAP3OUT)-(c_TMAP2OUT)),2),QUOTIENT((((A450)-(c_TMAP2IN))*((c_TMAP3OUT)-(c_TMAP2OUT))+IF(((c_TMAP3OUT)-(c_TMAP2OUT))&gt;=0,1,-1)*QUOTIENT(((c_TMAP3IN)-(c_TMAP2IN)),2)),((c_TMAP3IN)-(c_TMAP2IN)))+(c_TMAP2OUT)+IF(((c_TMAP3OUT)-(c_TMAP2OUT))&gt;=0,IF(IF(o_WRAP=1,MOD(((c_TMAP3IN)-(c_TMAP2IN))*(((A450)-(c_TMAP2IN))*((c_TMAP3OUT)-(c_TMAP2OUT))+IF(((c_TMAP3OUT)-(c_TMAP2OUT))&gt;=0,1,-1)*QUOTIENT(((c_TMAP3IN)-(c_TMAP2IN)),2))+2147483648,4294967296)-2147483648,((c_TMAP3IN)-(c_TMAP2IN))*(((A450)-(c_TMAP2IN))*((c_TMAP3OUT)-(c_TMAP2OUT))+IF(((c_TMAP3OUT)-(c_TMAP2OUT))&gt;=0,1,-1)*QUOTIENT(((c_TMAP3IN)-(c_TMAP2IN)),2)))&lt;0,-1,0),IF(IF(o_WRAP=1,MOD(((c_TMAP3IN)-(c_TMAP2IN))*(((A450)-(c_TMAP2IN))*((c_TMAP3OUT)-(c_TMAP2OUT))+IF(((c_TMAP3OUT)-(c_TMAP2OUT))&gt;=0,1,-1)*QUOTIENT(((c_TMAP3IN)-(c_TMAP2IN)),2))+2147483648,4294967296)-2147483648,((c_TMAP3IN)-(c_TMAP2IN))*(((A450)-(c_TMAP2IN))*((c_TMAP3OUT)-(c_TMAP2OUT))+IF(((c_TMAP3OUT)-(c_TMAP2OUT))&gt;=0,1,-1)*QUOTIENT(((c_TMAP3IN)-(c_TMAP2IN)),2)))&gt;=0,1,0)))</f>
        <v>267</v>
      </c>
      <c r="G450" s="7" t="n">
        <f aca="false">IF(((1000)-(c_TMAP3IN))=0,(c_TMAP3OUT)+QUOTIENT(((1000)-(c_TMAP3OUT)),2),QUOTIENT((((A450)-(c_TMAP3IN))*((1000)-(c_TMAP3OUT))+IF(((1000)-(c_TMAP3OUT))&gt;=0,1,-1)*QUOTIENT(((1000)-(c_TMAP3IN)),2)),((1000)-(c_TMAP3IN)))+(c_TMAP3OUT)+IF(((1000)-(c_TMAP3OUT))&gt;=0,IF(IF(o_WRAP=1,MOD(((1000)-(c_TMAP3IN))*(((A450)-(c_TMAP3IN))*((1000)-(c_TMAP3OUT))+IF(((1000)-(c_TMAP3OUT))&gt;=0,1,-1)*QUOTIENT(((1000)-(c_TMAP3IN)),2))+2147483648,4294967296)-2147483648,((1000)-(c_TMAP3IN))*(((A450)-(c_TMAP3IN))*((1000)-(c_TMAP3OUT))+IF(((1000)-(c_TMAP3OUT))&gt;=0,1,-1)*QUOTIENT(((1000)-(c_TMAP3IN)),2)))&lt;0,-1,0),IF(IF(o_WRAP=1,MOD(((1000)-(c_TMAP3IN))*(((A450)-(c_TMAP3IN))*((1000)-(c_TMAP3OUT))+IF(((1000)-(c_TMAP3OUT))&gt;=0,1,-1)*QUOTIENT(((1000)-(c_TMAP3IN)),2))+2147483648,4294967296)-2147483648,((1000)-(c_TMAP3IN))*(((A450)-(c_TMAP3IN))*((1000)-(c_TMAP3OUT))+IF(((1000)-(c_TMAP3OUT))&gt;=0,1,-1)*QUOTIENT(((1000)-(c_TMAP3IN)),2)))&gt;=0,1,0)))</f>
        <v>317</v>
      </c>
      <c r="H450" s="7" t="str">
        <f aca="false">IF(A450&gt;=c_TFWD,IF(AND(A450&gt;=c_TMAP3IN,c_TMAP3IN&lt;1000),"Seg4 map3-100%",IF(AND(A450&gt;=c_TMAP2IN,c_TMAP3IN&gt;c_TMAP2IN),"Seg3 map2-map3",IF(AND(A450&gt;=c_TMAP1IN,c_TMAP2IN&gt;c_TMAP1IN),"Seg2 map1-map2","Seg1 TFWD-map1"))),IF(AND(A450=0,c_TCREEP&gt;0),"Creep",IF(AND(A450&lt;=c_TRNGMIN,A450&gt;=c_TRNGMAX,c_TRNGMIN-c_TRNGMAX&lt;&gt;0),"Regen ramp","Coast (0)")))</f>
        <v>Seg4 map3-100%</v>
      </c>
      <c r="I450" s="7" t="n">
        <f aca="false">IF(A450&gt;=c_TFWD,IF(AND(A450&gt;=c_TMAP3IN,c_TMAP3IN&lt;1000),G450,IF(AND(A450&gt;=c_TMAP2IN,c_TMAP3IN&gt;c_TMAP2IN),F450,IF(AND(A450&gt;=c_TMAP1IN,c_TMAP2IN&gt;c_TMAP1IN),E450,D450))),C450)</f>
        <v>317</v>
      </c>
      <c r="J450" s="7" t="str">
        <f aca="false">IF(I450&lt;-1090,"TOO LOW",IF(I450&gt;1090,"TOO HIGH",""))</f>
        <v/>
      </c>
      <c r="K450" s="15" t="n">
        <f aca="false">IF(J450&lt;&gt;"",0,IF(I450&gt;979,1000,I450))</f>
        <v>317</v>
      </c>
      <c r="L450" s="7" t="n">
        <f aca="false">K450/10</f>
        <v>31.7</v>
      </c>
    </row>
    <row r="451" customFormat="false" ht="15" hidden="false" customHeight="false" outlineLevel="0" collapsed="false">
      <c r="A451" s="7" t="n">
        <v>446</v>
      </c>
      <c r="B451" s="7" t="n">
        <f aca="false">A451/10</f>
        <v>44.6</v>
      </c>
      <c r="C451" s="7" t="n">
        <f aca="false">IF(AND(A451=0,c_TCREEP&gt;0),10*c_TCREEP,IF(AND(A451&lt;=c_TRNGMIN,A451&gt;=c_TRNGMAX,c_TRNGMIN-c_TRNGMAX&lt;&gt;0),-10*c_TMINRN+QUOTIENT((c_TMAXRN-c_TMINRN)*(100-QUOTIENT((A451-c_TRNGMAX)*100,c_TRNGMIN-c_TRNGMAX)),-10),0))</f>
        <v>0</v>
      </c>
      <c r="D451" s="7" t="n">
        <f aca="false">IF(((c_TMAP1IN)-(c_TFWD))=0,(0)+QUOTIENT(((c_TMAP1OUT)-(0)),2),QUOTIENT((((A451)-(c_TFWD))*((c_TMAP1OUT)-(0))+IF(((c_TMAP1OUT)-(0))&gt;=0,1,-1)*QUOTIENT(((c_TMAP1IN)-(c_TFWD)),2)),((c_TMAP1IN)-(c_TFWD)))+(0)+IF(((c_TMAP1OUT)-(0))&gt;=0,IF(IF(o_WRAP=1,MOD(((c_TMAP1IN)-(c_TFWD))*(((A451)-(c_TFWD))*((c_TMAP1OUT)-(0))+IF(((c_TMAP1OUT)-(0))&gt;=0,1,-1)*QUOTIENT(((c_TMAP1IN)-(c_TFWD)),2))+2147483648,4294967296)-2147483648,((c_TMAP1IN)-(c_TFWD))*(((A451)-(c_TFWD))*((c_TMAP1OUT)-(0))+IF(((c_TMAP1OUT)-(0))&gt;=0,1,-1)*QUOTIENT(((c_TMAP1IN)-(c_TFWD)),2)))&lt;0,-1,0),IF(IF(o_WRAP=1,MOD(((c_TMAP1IN)-(c_TFWD))*(((A451)-(c_TFWD))*((c_TMAP1OUT)-(0))+IF(((c_TMAP1OUT)-(0))&gt;=0,1,-1)*QUOTIENT(((c_TMAP1IN)-(c_TFWD)),2))+2147483648,4294967296)-2147483648,((c_TMAP1IN)-(c_TFWD))*(((A451)-(c_TFWD))*((c_TMAP1OUT)-(0))+IF(((c_TMAP1OUT)-(0))&gt;=0,1,-1)*QUOTIENT(((c_TMAP1IN)-(c_TFWD)),2)))&gt;=0,1,0)))</f>
        <v>339</v>
      </c>
      <c r="E451" s="7" t="n">
        <f aca="false">IF(((c_TMAP2IN)-(c_TMAP1IN))=0,(c_TMAP1OUT)+QUOTIENT(((c_TMAP2OUT)-(c_TMAP1OUT)),2),QUOTIENT((((A451)-(c_TMAP1IN))*((c_TMAP2OUT)-(c_TMAP1OUT))+IF(((c_TMAP2OUT)-(c_TMAP1OUT))&gt;=0,1,-1)*QUOTIENT(((c_TMAP2IN)-(c_TMAP1IN)),2)),((c_TMAP2IN)-(c_TMAP1IN)))+(c_TMAP1OUT)+IF(((c_TMAP2OUT)-(c_TMAP1OUT))&gt;=0,IF(IF(o_WRAP=1,MOD(((c_TMAP2IN)-(c_TMAP1IN))*(((A451)-(c_TMAP1IN))*((c_TMAP2OUT)-(c_TMAP1OUT))+IF(((c_TMAP2OUT)-(c_TMAP1OUT))&gt;=0,1,-1)*QUOTIENT(((c_TMAP2IN)-(c_TMAP1IN)),2))+2147483648,4294967296)-2147483648,((c_TMAP2IN)-(c_TMAP1IN))*(((A451)-(c_TMAP1IN))*((c_TMAP2OUT)-(c_TMAP1OUT))+IF(((c_TMAP2OUT)-(c_TMAP1OUT))&gt;=0,1,-1)*QUOTIENT(((c_TMAP2IN)-(c_TMAP1IN)),2)))&lt;0,-1,0),IF(IF(o_WRAP=1,MOD(((c_TMAP2IN)-(c_TMAP1IN))*(((A451)-(c_TMAP1IN))*((c_TMAP2OUT)-(c_TMAP1OUT))+IF(((c_TMAP2OUT)-(c_TMAP1OUT))&gt;=0,1,-1)*QUOTIENT(((c_TMAP2IN)-(c_TMAP1IN)),2))+2147483648,4294967296)-2147483648,((c_TMAP2IN)-(c_TMAP1IN))*(((A451)-(c_TMAP1IN))*((c_TMAP2OUT)-(c_TMAP1OUT))+IF(((c_TMAP2OUT)-(c_TMAP1OUT))&gt;=0,1,-1)*QUOTIENT(((c_TMAP2IN)-(c_TMAP1IN)),2)))&gt;=0,1,0)))</f>
        <v>208</v>
      </c>
      <c r="F451" s="7" t="n">
        <f aca="false">IF(((c_TMAP3IN)-(c_TMAP2IN))=0,(c_TMAP2OUT)+QUOTIENT(((c_TMAP3OUT)-(c_TMAP2OUT)),2),QUOTIENT((((A451)-(c_TMAP2IN))*((c_TMAP3OUT)-(c_TMAP2OUT))+IF(((c_TMAP3OUT)-(c_TMAP2OUT))&gt;=0,1,-1)*QUOTIENT(((c_TMAP3IN)-(c_TMAP2IN)),2)),((c_TMAP3IN)-(c_TMAP2IN)))+(c_TMAP2OUT)+IF(((c_TMAP3OUT)-(c_TMAP2OUT))&gt;=0,IF(IF(o_WRAP=1,MOD(((c_TMAP3IN)-(c_TMAP2IN))*(((A451)-(c_TMAP2IN))*((c_TMAP3OUT)-(c_TMAP2OUT))+IF(((c_TMAP3OUT)-(c_TMAP2OUT))&gt;=0,1,-1)*QUOTIENT(((c_TMAP3IN)-(c_TMAP2IN)),2))+2147483648,4294967296)-2147483648,((c_TMAP3IN)-(c_TMAP2IN))*(((A451)-(c_TMAP2IN))*((c_TMAP3OUT)-(c_TMAP2OUT))+IF(((c_TMAP3OUT)-(c_TMAP2OUT))&gt;=0,1,-1)*QUOTIENT(((c_TMAP3IN)-(c_TMAP2IN)),2)))&lt;0,-1,0),IF(IF(o_WRAP=1,MOD(((c_TMAP3IN)-(c_TMAP2IN))*(((A451)-(c_TMAP2IN))*((c_TMAP3OUT)-(c_TMAP2OUT))+IF(((c_TMAP3OUT)-(c_TMAP2OUT))&gt;=0,1,-1)*QUOTIENT(((c_TMAP3IN)-(c_TMAP2IN)),2))+2147483648,4294967296)-2147483648,((c_TMAP3IN)-(c_TMAP2IN))*(((A451)-(c_TMAP2IN))*((c_TMAP3OUT)-(c_TMAP2OUT))+IF(((c_TMAP3OUT)-(c_TMAP2OUT))&gt;=0,1,-1)*QUOTIENT(((c_TMAP3IN)-(c_TMAP2IN)),2)))&gt;=0,1,0)))</f>
        <v>267</v>
      </c>
      <c r="G451" s="7" t="n">
        <f aca="false">IF(((1000)-(c_TMAP3IN))=0,(c_TMAP3OUT)+QUOTIENT(((1000)-(c_TMAP3OUT)),2),QUOTIENT((((A451)-(c_TMAP3IN))*((1000)-(c_TMAP3OUT))+IF(((1000)-(c_TMAP3OUT))&gt;=0,1,-1)*QUOTIENT(((1000)-(c_TMAP3IN)),2)),((1000)-(c_TMAP3IN)))+(c_TMAP3OUT)+IF(((1000)-(c_TMAP3OUT))&gt;=0,IF(IF(o_WRAP=1,MOD(((1000)-(c_TMAP3IN))*(((A451)-(c_TMAP3IN))*((1000)-(c_TMAP3OUT))+IF(((1000)-(c_TMAP3OUT))&gt;=0,1,-1)*QUOTIENT(((1000)-(c_TMAP3IN)),2))+2147483648,4294967296)-2147483648,((1000)-(c_TMAP3IN))*(((A451)-(c_TMAP3IN))*((1000)-(c_TMAP3OUT))+IF(((1000)-(c_TMAP3OUT))&gt;=0,1,-1)*QUOTIENT(((1000)-(c_TMAP3IN)),2)))&lt;0,-1,0),IF(IF(o_WRAP=1,MOD(((1000)-(c_TMAP3IN))*(((A451)-(c_TMAP3IN))*((1000)-(c_TMAP3OUT))+IF(((1000)-(c_TMAP3OUT))&gt;=0,1,-1)*QUOTIENT(((1000)-(c_TMAP3IN)),2))+2147483648,4294967296)-2147483648,((1000)-(c_TMAP3IN))*(((A451)-(c_TMAP3IN))*((1000)-(c_TMAP3OUT))+IF(((1000)-(c_TMAP3OUT))&gt;=0,1,-1)*QUOTIENT(((1000)-(c_TMAP3IN)),2)))&gt;=0,1,0)))</f>
        <v>318</v>
      </c>
      <c r="H451" s="7" t="str">
        <f aca="false">IF(A451&gt;=c_TFWD,IF(AND(A451&gt;=c_TMAP3IN,c_TMAP3IN&lt;1000),"Seg4 map3-100%",IF(AND(A451&gt;=c_TMAP2IN,c_TMAP3IN&gt;c_TMAP2IN),"Seg3 map2-map3",IF(AND(A451&gt;=c_TMAP1IN,c_TMAP2IN&gt;c_TMAP1IN),"Seg2 map1-map2","Seg1 TFWD-map1"))),IF(AND(A451=0,c_TCREEP&gt;0),"Creep",IF(AND(A451&lt;=c_TRNGMIN,A451&gt;=c_TRNGMAX,c_TRNGMIN-c_TRNGMAX&lt;&gt;0),"Regen ramp","Coast (0)")))</f>
        <v>Seg4 map3-100%</v>
      </c>
      <c r="I451" s="7" t="n">
        <f aca="false">IF(A451&gt;=c_TFWD,IF(AND(A451&gt;=c_TMAP3IN,c_TMAP3IN&lt;1000),G451,IF(AND(A451&gt;=c_TMAP2IN,c_TMAP3IN&gt;c_TMAP2IN),F451,IF(AND(A451&gt;=c_TMAP1IN,c_TMAP2IN&gt;c_TMAP1IN),E451,D451))),C451)</f>
        <v>318</v>
      </c>
      <c r="J451" s="7" t="str">
        <f aca="false">IF(I451&lt;-1090,"TOO LOW",IF(I451&gt;1090,"TOO HIGH",""))</f>
        <v/>
      </c>
      <c r="K451" s="15" t="n">
        <f aca="false">IF(J451&lt;&gt;"",0,IF(I451&gt;979,1000,I451))</f>
        <v>318</v>
      </c>
      <c r="L451" s="7" t="n">
        <f aca="false">K451/10</f>
        <v>31.8</v>
      </c>
    </row>
    <row r="452" customFormat="false" ht="15" hidden="false" customHeight="false" outlineLevel="0" collapsed="false">
      <c r="A452" s="7" t="n">
        <v>447</v>
      </c>
      <c r="B452" s="7" t="n">
        <f aca="false">A452/10</f>
        <v>44.7</v>
      </c>
      <c r="C452" s="7" t="n">
        <f aca="false">IF(AND(A452=0,c_TCREEP&gt;0),10*c_TCREEP,IF(AND(A452&lt;=c_TRNGMIN,A452&gt;=c_TRNGMAX,c_TRNGMIN-c_TRNGMAX&lt;&gt;0),-10*c_TMINRN+QUOTIENT((c_TMAXRN-c_TMINRN)*(100-QUOTIENT((A452-c_TRNGMAX)*100,c_TRNGMIN-c_TRNGMAX)),-10),0))</f>
        <v>0</v>
      </c>
      <c r="D452" s="7" t="n">
        <f aca="false">IF(((c_TMAP1IN)-(c_TFWD))=0,(0)+QUOTIENT(((c_TMAP1OUT)-(0)),2),QUOTIENT((((A452)-(c_TFWD))*((c_TMAP1OUT)-(0))+IF(((c_TMAP1OUT)-(0))&gt;=0,1,-1)*QUOTIENT(((c_TMAP1IN)-(c_TFWD)),2)),((c_TMAP1IN)-(c_TFWD)))+(0)+IF(((c_TMAP1OUT)-(0))&gt;=0,IF(IF(o_WRAP=1,MOD(((c_TMAP1IN)-(c_TFWD))*(((A452)-(c_TFWD))*((c_TMAP1OUT)-(0))+IF(((c_TMAP1OUT)-(0))&gt;=0,1,-1)*QUOTIENT(((c_TMAP1IN)-(c_TFWD)),2))+2147483648,4294967296)-2147483648,((c_TMAP1IN)-(c_TFWD))*(((A452)-(c_TFWD))*((c_TMAP1OUT)-(0))+IF(((c_TMAP1OUT)-(0))&gt;=0,1,-1)*QUOTIENT(((c_TMAP1IN)-(c_TFWD)),2)))&lt;0,-1,0),IF(IF(o_WRAP=1,MOD(((c_TMAP1IN)-(c_TFWD))*(((A452)-(c_TFWD))*((c_TMAP1OUT)-(0))+IF(((c_TMAP1OUT)-(0))&gt;=0,1,-1)*QUOTIENT(((c_TMAP1IN)-(c_TFWD)),2))+2147483648,4294967296)-2147483648,((c_TMAP1IN)-(c_TFWD))*(((A452)-(c_TFWD))*((c_TMAP1OUT)-(0))+IF(((c_TMAP1OUT)-(0))&gt;=0,1,-1)*QUOTIENT(((c_TMAP1IN)-(c_TFWD)),2)))&gt;=0,1,0)))</f>
        <v>340</v>
      </c>
      <c r="E452" s="7" t="n">
        <f aca="false">IF(((c_TMAP2IN)-(c_TMAP1IN))=0,(c_TMAP1OUT)+QUOTIENT(((c_TMAP2OUT)-(c_TMAP1OUT)),2),QUOTIENT((((A452)-(c_TMAP1IN))*((c_TMAP2OUT)-(c_TMAP1OUT))+IF(((c_TMAP2OUT)-(c_TMAP1OUT))&gt;=0,1,-1)*QUOTIENT(((c_TMAP2IN)-(c_TMAP1IN)),2)),((c_TMAP2IN)-(c_TMAP1IN)))+(c_TMAP1OUT)+IF(((c_TMAP2OUT)-(c_TMAP1OUT))&gt;=0,IF(IF(o_WRAP=1,MOD(((c_TMAP2IN)-(c_TMAP1IN))*(((A452)-(c_TMAP1IN))*((c_TMAP2OUT)-(c_TMAP1OUT))+IF(((c_TMAP2OUT)-(c_TMAP1OUT))&gt;=0,1,-1)*QUOTIENT(((c_TMAP2IN)-(c_TMAP1IN)),2))+2147483648,4294967296)-2147483648,((c_TMAP2IN)-(c_TMAP1IN))*(((A452)-(c_TMAP1IN))*((c_TMAP2OUT)-(c_TMAP1OUT))+IF(((c_TMAP2OUT)-(c_TMAP1OUT))&gt;=0,1,-1)*QUOTIENT(((c_TMAP2IN)-(c_TMAP1IN)),2)))&lt;0,-1,0),IF(IF(o_WRAP=1,MOD(((c_TMAP2IN)-(c_TMAP1IN))*(((A452)-(c_TMAP1IN))*((c_TMAP2OUT)-(c_TMAP1OUT))+IF(((c_TMAP2OUT)-(c_TMAP1OUT))&gt;=0,1,-1)*QUOTIENT(((c_TMAP2IN)-(c_TMAP1IN)),2))+2147483648,4294967296)-2147483648,((c_TMAP2IN)-(c_TMAP1IN))*(((A452)-(c_TMAP1IN))*((c_TMAP2OUT)-(c_TMAP1OUT))+IF(((c_TMAP2OUT)-(c_TMAP1OUT))&gt;=0,1,-1)*QUOTIENT(((c_TMAP2IN)-(c_TMAP1IN)),2)))&gt;=0,1,0)))</f>
        <v>209</v>
      </c>
      <c r="F452" s="7" t="n">
        <f aca="false">IF(((c_TMAP3IN)-(c_TMAP2IN))=0,(c_TMAP2OUT)+QUOTIENT(((c_TMAP3OUT)-(c_TMAP2OUT)),2),QUOTIENT((((A452)-(c_TMAP2IN))*((c_TMAP3OUT)-(c_TMAP2OUT))+IF(((c_TMAP3OUT)-(c_TMAP2OUT))&gt;=0,1,-1)*QUOTIENT(((c_TMAP3IN)-(c_TMAP2IN)),2)),((c_TMAP3IN)-(c_TMAP2IN)))+(c_TMAP2OUT)+IF(((c_TMAP3OUT)-(c_TMAP2OUT))&gt;=0,IF(IF(o_WRAP=1,MOD(((c_TMAP3IN)-(c_TMAP2IN))*(((A452)-(c_TMAP2IN))*((c_TMAP3OUT)-(c_TMAP2OUT))+IF(((c_TMAP3OUT)-(c_TMAP2OUT))&gt;=0,1,-1)*QUOTIENT(((c_TMAP3IN)-(c_TMAP2IN)),2))+2147483648,4294967296)-2147483648,((c_TMAP3IN)-(c_TMAP2IN))*(((A452)-(c_TMAP2IN))*((c_TMAP3OUT)-(c_TMAP2OUT))+IF(((c_TMAP3OUT)-(c_TMAP2OUT))&gt;=0,1,-1)*QUOTIENT(((c_TMAP3IN)-(c_TMAP2IN)),2)))&lt;0,-1,0),IF(IF(o_WRAP=1,MOD(((c_TMAP3IN)-(c_TMAP2IN))*(((A452)-(c_TMAP2IN))*((c_TMAP3OUT)-(c_TMAP2OUT))+IF(((c_TMAP3OUT)-(c_TMAP2OUT))&gt;=0,1,-1)*QUOTIENT(((c_TMAP3IN)-(c_TMAP2IN)),2))+2147483648,4294967296)-2147483648,((c_TMAP3IN)-(c_TMAP2IN))*(((A452)-(c_TMAP2IN))*((c_TMAP3OUT)-(c_TMAP2OUT))+IF(((c_TMAP3OUT)-(c_TMAP2OUT))&gt;=0,1,-1)*QUOTIENT(((c_TMAP3IN)-(c_TMAP2IN)),2)))&gt;=0,1,0)))</f>
        <v>268</v>
      </c>
      <c r="G452" s="7" t="n">
        <f aca="false">IF(((1000)-(c_TMAP3IN))=0,(c_TMAP3OUT)+QUOTIENT(((1000)-(c_TMAP3OUT)),2),QUOTIENT((((A452)-(c_TMAP3IN))*((1000)-(c_TMAP3OUT))+IF(((1000)-(c_TMAP3OUT))&gt;=0,1,-1)*QUOTIENT(((1000)-(c_TMAP3IN)),2)),((1000)-(c_TMAP3IN)))+(c_TMAP3OUT)+IF(((1000)-(c_TMAP3OUT))&gt;=0,IF(IF(o_WRAP=1,MOD(((1000)-(c_TMAP3IN))*(((A452)-(c_TMAP3IN))*((1000)-(c_TMAP3OUT))+IF(((1000)-(c_TMAP3OUT))&gt;=0,1,-1)*QUOTIENT(((1000)-(c_TMAP3IN)),2))+2147483648,4294967296)-2147483648,((1000)-(c_TMAP3IN))*(((A452)-(c_TMAP3IN))*((1000)-(c_TMAP3OUT))+IF(((1000)-(c_TMAP3OUT))&gt;=0,1,-1)*QUOTIENT(((1000)-(c_TMAP3IN)),2)))&lt;0,-1,0),IF(IF(o_WRAP=1,MOD(((1000)-(c_TMAP3IN))*(((A452)-(c_TMAP3IN))*((1000)-(c_TMAP3OUT))+IF(((1000)-(c_TMAP3OUT))&gt;=0,1,-1)*QUOTIENT(((1000)-(c_TMAP3IN)),2))+2147483648,4294967296)-2147483648,((1000)-(c_TMAP3IN))*(((A452)-(c_TMAP3IN))*((1000)-(c_TMAP3OUT))+IF(((1000)-(c_TMAP3OUT))&gt;=0,1,-1)*QUOTIENT(((1000)-(c_TMAP3IN)),2)))&gt;=0,1,0)))</f>
        <v>319</v>
      </c>
      <c r="H452" s="7" t="str">
        <f aca="false">IF(A452&gt;=c_TFWD,IF(AND(A452&gt;=c_TMAP3IN,c_TMAP3IN&lt;1000),"Seg4 map3-100%",IF(AND(A452&gt;=c_TMAP2IN,c_TMAP3IN&gt;c_TMAP2IN),"Seg3 map2-map3",IF(AND(A452&gt;=c_TMAP1IN,c_TMAP2IN&gt;c_TMAP1IN),"Seg2 map1-map2","Seg1 TFWD-map1"))),IF(AND(A452=0,c_TCREEP&gt;0),"Creep",IF(AND(A452&lt;=c_TRNGMIN,A452&gt;=c_TRNGMAX,c_TRNGMIN-c_TRNGMAX&lt;&gt;0),"Regen ramp","Coast (0)")))</f>
        <v>Seg4 map3-100%</v>
      </c>
      <c r="I452" s="7" t="n">
        <f aca="false">IF(A452&gt;=c_TFWD,IF(AND(A452&gt;=c_TMAP3IN,c_TMAP3IN&lt;1000),G452,IF(AND(A452&gt;=c_TMAP2IN,c_TMAP3IN&gt;c_TMAP2IN),F452,IF(AND(A452&gt;=c_TMAP1IN,c_TMAP2IN&gt;c_TMAP1IN),E452,D452))),C452)</f>
        <v>319</v>
      </c>
      <c r="J452" s="7" t="str">
        <f aca="false">IF(I452&lt;-1090,"TOO LOW",IF(I452&gt;1090,"TOO HIGH",""))</f>
        <v/>
      </c>
      <c r="K452" s="15" t="n">
        <f aca="false">IF(J452&lt;&gt;"",0,IF(I452&gt;979,1000,I452))</f>
        <v>319</v>
      </c>
      <c r="L452" s="7" t="n">
        <f aca="false">K452/10</f>
        <v>31.9</v>
      </c>
    </row>
    <row r="453" customFormat="false" ht="15" hidden="false" customHeight="false" outlineLevel="0" collapsed="false">
      <c r="A453" s="7" t="n">
        <v>448</v>
      </c>
      <c r="B453" s="7" t="n">
        <f aca="false">A453/10</f>
        <v>44.8</v>
      </c>
      <c r="C453" s="7" t="n">
        <f aca="false">IF(AND(A453=0,c_TCREEP&gt;0),10*c_TCREEP,IF(AND(A453&lt;=c_TRNGMIN,A453&gt;=c_TRNGMAX,c_TRNGMIN-c_TRNGMAX&lt;&gt;0),-10*c_TMINRN+QUOTIENT((c_TMAXRN-c_TMINRN)*(100-QUOTIENT((A453-c_TRNGMAX)*100,c_TRNGMIN-c_TRNGMAX)),-10),0))</f>
        <v>0</v>
      </c>
      <c r="D453" s="7" t="n">
        <f aca="false">IF(((c_TMAP1IN)-(c_TFWD))=0,(0)+QUOTIENT(((c_TMAP1OUT)-(0)),2),QUOTIENT((((A453)-(c_TFWD))*((c_TMAP1OUT)-(0))+IF(((c_TMAP1OUT)-(0))&gt;=0,1,-1)*QUOTIENT(((c_TMAP1IN)-(c_TFWD)),2)),((c_TMAP1IN)-(c_TFWD)))+(0)+IF(((c_TMAP1OUT)-(0))&gt;=0,IF(IF(o_WRAP=1,MOD(((c_TMAP1IN)-(c_TFWD))*(((A453)-(c_TFWD))*((c_TMAP1OUT)-(0))+IF(((c_TMAP1OUT)-(0))&gt;=0,1,-1)*QUOTIENT(((c_TMAP1IN)-(c_TFWD)),2))+2147483648,4294967296)-2147483648,((c_TMAP1IN)-(c_TFWD))*(((A453)-(c_TFWD))*((c_TMAP1OUT)-(0))+IF(((c_TMAP1OUT)-(0))&gt;=0,1,-1)*QUOTIENT(((c_TMAP1IN)-(c_TFWD)),2)))&lt;0,-1,0),IF(IF(o_WRAP=1,MOD(((c_TMAP1IN)-(c_TFWD))*(((A453)-(c_TFWD))*((c_TMAP1OUT)-(0))+IF(((c_TMAP1OUT)-(0))&gt;=0,1,-1)*QUOTIENT(((c_TMAP1IN)-(c_TFWD)),2))+2147483648,4294967296)-2147483648,((c_TMAP1IN)-(c_TFWD))*(((A453)-(c_TFWD))*((c_TMAP1OUT)-(0))+IF(((c_TMAP1OUT)-(0))&gt;=0,1,-1)*QUOTIENT(((c_TMAP1IN)-(c_TFWD)),2)))&gt;=0,1,0)))</f>
        <v>341</v>
      </c>
      <c r="E453" s="7" t="n">
        <f aca="false">IF(((c_TMAP2IN)-(c_TMAP1IN))=0,(c_TMAP1OUT)+QUOTIENT(((c_TMAP2OUT)-(c_TMAP1OUT)),2),QUOTIENT((((A453)-(c_TMAP1IN))*((c_TMAP2OUT)-(c_TMAP1OUT))+IF(((c_TMAP2OUT)-(c_TMAP1OUT))&gt;=0,1,-1)*QUOTIENT(((c_TMAP2IN)-(c_TMAP1IN)),2)),((c_TMAP2IN)-(c_TMAP1IN)))+(c_TMAP1OUT)+IF(((c_TMAP2OUT)-(c_TMAP1OUT))&gt;=0,IF(IF(o_WRAP=1,MOD(((c_TMAP2IN)-(c_TMAP1IN))*(((A453)-(c_TMAP1IN))*((c_TMAP2OUT)-(c_TMAP1OUT))+IF(((c_TMAP2OUT)-(c_TMAP1OUT))&gt;=0,1,-1)*QUOTIENT(((c_TMAP2IN)-(c_TMAP1IN)),2))+2147483648,4294967296)-2147483648,((c_TMAP2IN)-(c_TMAP1IN))*(((A453)-(c_TMAP1IN))*((c_TMAP2OUT)-(c_TMAP1OUT))+IF(((c_TMAP2OUT)-(c_TMAP1OUT))&gt;=0,1,-1)*QUOTIENT(((c_TMAP2IN)-(c_TMAP1IN)),2)))&lt;0,-1,0),IF(IF(o_WRAP=1,MOD(((c_TMAP2IN)-(c_TMAP1IN))*(((A453)-(c_TMAP1IN))*((c_TMAP2OUT)-(c_TMAP1OUT))+IF(((c_TMAP2OUT)-(c_TMAP1OUT))&gt;=0,1,-1)*QUOTIENT(((c_TMAP2IN)-(c_TMAP1IN)),2))+2147483648,4294967296)-2147483648,((c_TMAP2IN)-(c_TMAP1IN))*(((A453)-(c_TMAP1IN))*((c_TMAP2OUT)-(c_TMAP1OUT))+IF(((c_TMAP2OUT)-(c_TMAP1OUT))&gt;=0,1,-1)*QUOTIENT(((c_TMAP2IN)-(c_TMAP1IN)),2)))&gt;=0,1,0)))</f>
        <v>209</v>
      </c>
      <c r="F453" s="7" t="n">
        <f aca="false">IF(((c_TMAP3IN)-(c_TMAP2IN))=0,(c_TMAP2OUT)+QUOTIENT(((c_TMAP3OUT)-(c_TMAP2OUT)),2),QUOTIENT((((A453)-(c_TMAP2IN))*((c_TMAP3OUT)-(c_TMAP2OUT))+IF(((c_TMAP3OUT)-(c_TMAP2OUT))&gt;=0,1,-1)*QUOTIENT(((c_TMAP3IN)-(c_TMAP2IN)),2)),((c_TMAP3IN)-(c_TMAP2IN)))+(c_TMAP2OUT)+IF(((c_TMAP3OUT)-(c_TMAP2OUT))&gt;=0,IF(IF(o_WRAP=1,MOD(((c_TMAP3IN)-(c_TMAP2IN))*(((A453)-(c_TMAP2IN))*((c_TMAP3OUT)-(c_TMAP2OUT))+IF(((c_TMAP3OUT)-(c_TMAP2OUT))&gt;=0,1,-1)*QUOTIENT(((c_TMAP3IN)-(c_TMAP2IN)),2))+2147483648,4294967296)-2147483648,((c_TMAP3IN)-(c_TMAP2IN))*(((A453)-(c_TMAP2IN))*((c_TMAP3OUT)-(c_TMAP2OUT))+IF(((c_TMAP3OUT)-(c_TMAP2OUT))&gt;=0,1,-1)*QUOTIENT(((c_TMAP3IN)-(c_TMAP2IN)),2)))&lt;0,-1,0),IF(IF(o_WRAP=1,MOD(((c_TMAP3IN)-(c_TMAP2IN))*(((A453)-(c_TMAP2IN))*((c_TMAP3OUT)-(c_TMAP2OUT))+IF(((c_TMAP3OUT)-(c_TMAP2OUT))&gt;=0,1,-1)*QUOTIENT(((c_TMAP3IN)-(c_TMAP2IN)),2))+2147483648,4294967296)-2147483648,((c_TMAP3IN)-(c_TMAP2IN))*(((A453)-(c_TMAP2IN))*((c_TMAP3OUT)-(c_TMAP2OUT))+IF(((c_TMAP3OUT)-(c_TMAP2OUT))&gt;=0,1,-1)*QUOTIENT(((c_TMAP3IN)-(c_TMAP2IN)),2)))&gt;=0,1,0)))</f>
        <v>269</v>
      </c>
      <c r="G453" s="7" t="n">
        <f aca="false">IF(((1000)-(c_TMAP3IN))=0,(c_TMAP3OUT)+QUOTIENT(((1000)-(c_TMAP3OUT)),2),QUOTIENT((((A453)-(c_TMAP3IN))*((1000)-(c_TMAP3OUT))+IF(((1000)-(c_TMAP3OUT))&gt;=0,1,-1)*QUOTIENT(((1000)-(c_TMAP3IN)),2)),((1000)-(c_TMAP3IN)))+(c_TMAP3OUT)+IF(((1000)-(c_TMAP3OUT))&gt;=0,IF(IF(o_WRAP=1,MOD(((1000)-(c_TMAP3IN))*(((A453)-(c_TMAP3IN))*((1000)-(c_TMAP3OUT))+IF(((1000)-(c_TMAP3OUT))&gt;=0,1,-1)*QUOTIENT(((1000)-(c_TMAP3IN)),2))+2147483648,4294967296)-2147483648,((1000)-(c_TMAP3IN))*(((A453)-(c_TMAP3IN))*((1000)-(c_TMAP3OUT))+IF(((1000)-(c_TMAP3OUT))&gt;=0,1,-1)*QUOTIENT(((1000)-(c_TMAP3IN)),2)))&lt;0,-1,0),IF(IF(o_WRAP=1,MOD(((1000)-(c_TMAP3IN))*(((A453)-(c_TMAP3IN))*((1000)-(c_TMAP3OUT))+IF(((1000)-(c_TMAP3OUT))&gt;=0,1,-1)*QUOTIENT(((1000)-(c_TMAP3IN)),2))+2147483648,4294967296)-2147483648,((1000)-(c_TMAP3IN))*(((A453)-(c_TMAP3IN))*((1000)-(c_TMAP3OUT))+IF(((1000)-(c_TMAP3OUT))&gt;=0,1,-1)*QUOTIENT(((1000)-(c_TMAP3IN)),2)))&gt;=0,1,0)))</f>
        <v>321</v>
      </c>
      <c r="H453" s="7" t="str">
        <f aca="false">IF(A453&gt;=c_TFWD,IF(AND(A453&gt;=c_TMAP3IN,c_TMAP3IN&lt;1000),"Seg4 map3-100%",IF(AND(A453&gt;=c_TMAP2IN,c_TMAP3IN&gt;c_TMAP2IN),"Seg3 map2-map3",IF(AND(A453&gt;=c_TMAP1IN,c_TMAP2IN&gt;c_TMAP1IN),"Seg2 map1-map2","Seg1 TFWD-map1"))),IF(AND(A453=0,c_TCREEP&gt;0),"Creep",IF(AND(A453&lt;=c_TRNGMIN,A453&gt;=c_TRNGMAX,c_TRNGMIN-c_TRNGMAX&lt;&gt;0),"Regen ramp","Coast (0)")))</f>
        <v>Seg4 map3-100%</v>
      </c>
      <c r="I453" s="7" t="n">
        <f aca="false">IF(A453&gt;=c_TFWD,IF(AND(A453&gt;=c_TMAP3IN,c_TMAP3IN&lt;1000),G453,IF(AND(A453&gt;=c_TMAP2IN,c_TMAP3IN&gt;c_TMAP2IN),F453,IF(AND(A453&gt;=c_TMAP1IN,c_TMAP2IN&gt;c_TMAP1IN),E453,D453))),C453)</f>
        <v>321</v>
      </c>
      <c r="J453" s="7" t="str">
        <f aca="false">IF(I453&lt;-1090,"TOO LOW",IF(I453&gt;1090,"TOO HIGH",""))</f>
        <v/>
      </c>
      <c r="K453" s="15" t="n">
        <f aca="false">IF(J453&lt;&gt;"",0,IF(I453&gt;979,1000,I453))</f>
        <v>321</v>
      </c>
      <c r="L453" s="7" t="n">
        <f aca="false">K453/10</f>
        <v>32.1</v>
      </c>
    </row>
    <row r="454" customFormat="false" ht="15" hidden="false" customHeight="false" outlineLevel="0" collapsed="false">
      <c r="A454" s="7" t="n">
        <v>449</v>
      </c>
      <c r="B454" s="7" t="n">
        <f aca="false">A454/10</f>
        <v>44.9</v>
      </c>
      <c r="C454" s="7" t="n">
        <f aca="false">IF(AND(A454=0,c_TCREEP&gt;0),10*c_TCREEP,IF(AND(A454&lt;=c_TRNGMIN,A454&gt;=c_TRNGMAX,c_TRNGMIN-c_TRNGMAX&lt;&gt;0),-10*c_TMINRN+QUOTIENT((c_TMAXRN-c_TMINRN)*(100-QUOTIENT((A454-c_TRNGMAX)*100,c_TRNGMIN-c_TRNGMAX)),-10),0))</f>
        <v>0</v>
      </c>
      <c r="D454" s="7" t="n">
        <f aca="false">IF(((c_TMAP1IN)-(c_TFWD))=0,(0)+QUOTIENT(((c_TMAP1OUT)-(0)),2),QUOTIENT((((A454)-(c_TFWD))*((c_TMAP1OUT)-(0))+IF(((c_TMAP1OUT)-(0))&gt;=0,1,-1)*QUOTIENT(((c_TMAP1IN)-(c_TFWD)),2)),((c_TMAP1IN)-(c_TFWD)))+(0)+IF(((c_TMAP1OUT)-(0))&gt;=0,IF(IF(o_WRAP=1,MOD(((c_TMAP1IN)-(c_TFWD))*(((A454)-(c_TFWD))*((c_TMAP1OUT)-(0))+IF(((c_TMAP1OUT)-(0))&gt;=0,1,-1)*QUOTIENT(((c_TMAP1IN)-(c_TFWD)),2))+2147483648,4294967296)-2147483648,((c_TMAP1IN)-(c_TFWD))*(((A454)-(c_TFWD))*((c_TMAP1OUT)-(0))+IF(((c_TMAP1OUT)-(0))&gt;=0,1,-1)*QUOTIENT(((c_TMAP1IN)-(c_TFWD)),2)))&lt;0,-1,0),IF(IF(o_WRAP=1,MOD(((c_TMAP1IN)-(c_TFWD))*(((A454)-(c_TFWD))*((c_TMAP1OUT)-(0))+IF(((c_TMAP1OUT)-(0))&gt;=0,1,-1)*QUOTIENT(((c_TMAP1IN)-(c_TFWD)),2))+2147483648,4294967296)-2147483648,((c_TMAP1IN)-(c_TFWD))*(((A454)-(c_TFWD))*((c_TMAP1OUT)-(0))+IF(((c_TMAP1OUT)-(0))&gt;=0,1,-1)*QUOTIENT(((c_TMAP1IN)-(c_TFWD)),2)))&gt;=0,1,0)))</f>
        <v>341</v>
      </c>
      <c r="E454" s="7" t="n">
        <f aca="false">IF(((c_TMAP2IN)-(c_TMAP1IN))=0,(c_TMAP1OUT)+QUOTIENT(((c_TMAP2OUT)-(c_TMAP1OUT)),2),QUOTIENT((((A454)-(c_TMAP1IN))*((c_TMAP2OUT)-(c_TMAP1OUT))+IF(((c_TMAP2OUT)-(c_TMAP1OUT))&gt;=0,1,-1)*QUOTIENT(((c_TMAP2IN)-(c_TMAP1IN)),2)),((c_TMAP2IN)-(c_TMAP1IN)))+(c_TMAP1OUT)+IF(((c_TMAP2OUT)-(c_TMAP1OUT))&gt;=0,IF(IF(o_WRAP=1,MOD(((c_TMAP2IN)-(c_TMAP1IN))*(((A454)-(c_TMAP1IN))*((c_TMAP2OUT)-(c_TMAP1OUT))+IF(((c_TMAP2OUT)-(c_TMAP1OUT))&gt;=0,1,-1)*QUOTIENT(((c_TMAP2IN)-(c_TMAP1IN)),2))+2147483648,4294967296)-2147483648,((c_TMAP2IN)-(c_TMAP1IN))*(((A454)-(c_TMAP1IN))*((c_TMAP2OUT)-(c_TMAP1OUT))+IF(((c_TMAP2OUT)-(c_TMAP1OUT))&gt;=0,1,-1)*QUOTIENT(((c_TMAP2IN)-(c_TMAP1IN)),2)))&lt;0,-1,0),IF(IF(o_WRAP=1,MOD(((c_TMAP2IN)-(c_TMAP1IN))*(((A454)-(c_TMAP1IN))*((c_TMAP2OUT)-(c_TMAP1OUT))+IF(((c_TMAP2OUT)-(c_TMAP1OUT))&gt;=0,1,-1)*QUOTIENT(((c_TMAP2IN)-(c_TMAP1IN)),2))+2147483648,4294967296)-2147483648,((c_TMAP2IN)-(c_TMAP1IN))*(((A454)-(c_TMAP1IN))*((c_TMAP2OUT)-(c_TMAP1OUT))+IF(((c_TMAP2OUT)-(c_TMAP1OUT))&gt;=0,1,-1)*QUOTIENT(((c_TMAP2IN)-(c_TMAP1IN)),2)))&gt;=0,1,0)))</f>
        <v>210</v>
      </c>
      <c r="F454" s="7" t="n">
        <f aca="false">IF(((c_TMAP3IN)-(c_TMAP2IN))=0,(c_TMAP2OUT)+QUOTIENT(((c_TMAP3OUT)-(c_TMAP2OUT)),2),QUOTIENT((((A454)-(c_TMAP2IN))*((c_TMAP3OUT)-(c_TMAP2OUT))+IF(((c_TMAP3OUT)-(c_TMAP2OUT))&gt;=0,1,-1)*QUOTIENT(((c_TMAP3IN)-(c_TMAP2IN)),2)),((c_TMAP3IN)-(c_TMAP2IN)))+(c_TMAP2OUT)+IF(((c_TMAP3OUT)-(c_TMAP2OUT))&gt;=0,IF(IF(o_WRAP=1,MOD(((c_TMAP3IN)-(c_TMAP2IN))*(((A454)-(c_TMAP2IN))*((c_TMAP3OUT)-(c_TMAP2OUT))+IF(((c_TMAP3OUT)-(c_TMAP2OUT))&gt;=0,1,-1)*QUOTIENT(((c_TMAP3IN)-(c_TMAP2IN)),2))+2147483648,4294967296)-2147483648,((c_TMAP3IN)-(c_TMAP2IN))*(((A454)-(c_TMAP2IN))*((c_TMAP3OUT)-(c_TMAP2OUT))+IF(((c_TMAP3OUT)-(c_TMAP2OUT))&gt;=0,1,-1)*QUOTIENT(((c_TMAP3IN)-(c_TMAP2IN)),2)))&lt;0,-1,0),IF(IF(o_WRAP=1,MOD(((c_TMAP3IN)-(c_TMAP2IN))*(((A454)-(c_TMAP2IN))*((c_TMAP3OUT)-(c_TMAP2OUT))+IF(((c_TMAP3OUT)-(c_TMAP2OUT))&gt;=0,1,-1)*QUOTIENT(((c_TMAP3IN)-(c_TMAP2IN)),2))+2147483648,4294967296)-2147483648,((c_TMAP3IN)-(c_TMAP2IN))*(((A454)-(c_TMAP2IN))*((c_TMAP3OUT)-(c_TMAP2OUT))+IF(((c_TMAP3OUT)-(c_TMAP2OUT))&gt;=0,1,-1)*QUOTIENT(((c_TMAP3IN)-(c_TMAP2IN)),2)))&gt;=0,1,0)))</f>
        <v>269</v>
      </c>
      <c r="G454" s="7" t="n">
        <f aca="false">IF(((1000)-(c_TMAP3IN))=0,(c_TMAP3OUT)+QUOTIENT(((1000)-(c_TMAP3OUT)),2),QUOTIENT((((A454)-(c_TMAP3IN))*((1000)-(c_TMAP3OUT))+IF(((1000)-(c_TMAP3OUT))&gt;=0,1,-1)*QUOTIENT(((1000)-(c_TMAP3IN)),2)),((1000)-(c_TMAP3IN)))+(c_TMAP3OUT)+IF(((1000)-(c_TMAP3OUT))&gt;=0,IF(IF(o_WRAP=1,MOD(((1000)-(c_TMAP3IN))*(((A454)-(c_TMAP3IN))*((1000)-(c_TMAP3OUT))+IF(((1000)-(c_TMAP3OUT))&gt;=0,1,-1)*QUOTIENT(((1000)-(c_TMAP3IN)),2))+2147483648,4294967296)-2147483648,((1000)-(c_TMAP3IN))*(((A454)-(c_TMAP3IN))*((1000)-(c_TMAP3OUT))+IF(((1000)-(c_TMAP3OUT))&gt;=0,1,-1)*QUOTIENT(((1000)-(c_TMAP3IN)),2)))&lt;0,-1,0),IF(IF(o_WRAP=1,MOD(((1000)-(c_TMAP3IN))*(((A454)-(c_TMAP3IN))*((1000)-(c_TMAP3OUT))+IF(((1000)-(c_TMAP3OUT))&gt;=0,1,-1)*QUOTIENT(((1000)-(c_TMAP3IN)),2))+2147483648,4294967296)-2147483648,((1000)-(c_TMAP3IN))*(((A454)-(c_TMAP3IN))*((1000)-(c_TMAP3OUT))+IF(((1000)-(c_TMAP3OUT))&gt;=0,1,-1)*QUOTIENT(((1000)-(c_TMAP3IN)),2)))&gt;=0,1,0)))</f>
        <v>322</v>
      </c>
      <c r="H454" s="7" t="str">
        <f aca="false">IF(A454&gt;=c_TFWD,IF(AND(A454&gt;=c_TMAP3IN,c_TMAP3IN&lt;1000),"Seg4 map3-100%",IF(AND(A454&gt;=c_TMAP2IN,c_TMAP3IN&gt;c_TMAP2IN),"Seg3 map2-map3",IF(AND(A454&gt;=c_TMAP1IN,c_TMAP2IN&gt;c_TMAP1IN),"Seg2 map1-map2","Seg1 TFWD-map1"))),IF(AND(A454=0,c_TCREEP&gt;0),"Creep",IF(AND(A454&lt;=c_TRNGMIN,A454&gt;=c_TRNGMAX,c_TRNGMIN-c_TRNGMAX&lt;&gt;0),"Regen ramp","Coast (0)")))</f>
        <v>Seg4 map3-100%</v>
      </c>
      <c r="I454" s="7" t="n">
        <f aca="false">IF(A454&gt;=c_TFWD,IF(AND(A454&gt;=c_TMAP3IN,c_TMAP3IN&lt;1000),G454,IF(AND(A454&gt;=c_TMAP2IN,c_TMAP3IN&gt;c_TMAP2IN),F454,IF(AND(A454&gt;=c_TMAP1IN,c_TMAP2IN&gt;c_TMAP1IN),E454,D454))),C454)</f>
        <v>322</v>
      </c>
      <c r="J454" s="7" t="str">
        <f aca="false">IF(I454&lt;-1090,"TOO LOW",IF(I454&gt;1090,"TOO HIGH",""))</f>
        <v/>
      </c>
      <c r="K454" s="15" t="n">
        <f aca="false">IF(J454&lt;&gt;"",0,IF(I454&gt;979,1000,I454))</f>
        <v>322</v>
      </c>
      <c r="L454" s="7" t="n">
        <f aca="false">K454/10</f>
        <v>32.2</v>
      </c>
    </row>
    <row r="455" customFormat="false" ht="15" hidden="false" customHeight="false" outlineLevel="0" collapsed="false">
      <c r="A455" s="7" t="n">
        <v>450</v>
      </c>
      <c r="B455" s="7" t="n">
        <f aca="false">A455/10</f>
        <v>45</v>
      </c>
      <c r="C455" s="7" t="n">
        <f aca="false">IF(AND(A455=0,c_TCREEP&gt;0),10*c_TCREEP,IF(AND(A455&lt;=c_TRNGMIN,A455&gt;=c_TRNGMAX,c_TRNGMIN-c_TRNGMAX&lt;&gt;0),-10*c_TMINRN+QUOTIENT((c_TMAXRN-c_TMINRN)*(100-QUOTIENT((A455-c_TRNGMAX)*100,c_TRNGMIN-c_TRNGMAX)),-10),0))</f>
        <v>0</v>
      </c>
      <c r="D455" s="7" t="n">
        <f aca="false">IF(((c_TMAP1IN)-(c_TFWD))=0,(0)+QUOTIENT(((c_TMAP1OUT)-(0)),2),QUOTIENT((((A455)-(c_TFWD))*((c_TMAP1OUT)-(0))+IF(((c_TMAP1OUT)-(0))&gt;=0,1,-1)*QUOTIENT(((c_TMAP1IN)-(c_TFWD)),2)),((c_TMAP1IN)-(c_TFWD)))+(0)+IF(((c_TMAP1OUT)-(0))&gt;=0,IF(IF(o_WRAP=1,MOD(((c_TMAP1IN)-(c_TFWD))*(((A455)-(c_TFWD))*((c_TMAP1OUT)-(0))+IF(((c_TMAP1OUT)-(0))&gt;=0,1,-1)*QUOTIENT(((c_TMAP1IN)-(c_TFWD)),2))+2147483648,4294967296)-2147483648,((c_TMAP1IN)-(c_TFWD))*(((A455)-(c_TFWD))*((c_TMAP1OUT)-(0))+IF(((c_TMAP1OUT)-(0))&gt;=0,1,-1)*QUOTIENT(((c_TMAP1IN)-(c_TFWD)),2)))&lt;0,-1,0),IF(IF(o_WRAP=1,MOD(((c_TMAP1IN)-(c_TFWD))*(((A455)-(c_TFWD))*((c_TMAP1OUT)-(0))+IF(((c_TMAP1OUT)-(0))&gt;=0,1,-1)*QUOTIENT(((c_TMAP1IN)-(c_TFWD)),2))+2147483648,4294967296)-2147483648,((c_TMAP1IN)-(c_TFWD))*(((A455)-(c_TFWD))*((c_TMAP1OUT)-(0))+IF(((c_TMAP1OUT)-(0))&gt;=0,1,-1)*QUOTIENT(((c_TMAP1IN)-(c_TFWD)),2)))&gt;=0,1,0)))</f>
        <v>342</v>
      </c>
      <c r="E455" s="7" t="n">
        <f aca="false">IF(((c_TMAP2IN)-(c_TMAP1IN))=0,(c_TMAP1OUT)+QUOTIENT(((c_TMAP2OUT)-(c_TMAP1OUT)),2),QUOTIENT((((A455)-(c_TMAP1IN))*((c_TMAP2OUT)-(c_TMAP1OUT))+IF(((c_TMAP2OUT)-(c_TMAP1OUT))&gt;=0,1,-1)*QUOTIENT(((c_TMAP2IN)-(c_TMAP1IN)),2)),((c_TMAP2IN)-(c_TMAP1IN)))+(c_TMAP1OUT)+IF(((c_TMAP2OUT)-(c_TMAP1OUT))&gt;=0,IF(IF(o_WRAP=1,MOD(((c_TMAP2IN)-(c_TMAP1IN))*(((A455)-(c_TMAP1IN))*((c_TMAP2OUT)-(c_TMAP1OUT))+IF(((c_TMAP2OUT)-(c_TMAP1OUT))&gt;=0,1,-1)*QUOTIENT(((c_TMAP2IN)-(c_TMAP1IN)),2))+2147483648,4294967296)-2147483648,((c_TMAP2IN)-(c_TMAP1IN))*(((A455)-(c_TMAP1IN))*((c_TMAP2OUT)-(c_TMAP1OUT))+IF(((c_TMAP2OUT)-(c_TMAP1OUT))&gt;=0,1,-1)*QUOTIENT(((c_TMAP2IN)-(c_TMAP1IN)),2)))&lt;0,-1,0),IF(IF(o_WRAP=1,MOD(((c_TMAP2IN)-(c_TMAP1IN))*(((A455)-(c_TMAP1IN))*((c_TMAP2OUT)-(c_TMAP1OUT))+IF(((c_TMAP2OUT)-(c_TMAP1OUT))&gt;=0,1,-1)*QUOTIENT(((c_TMAP2IN)-(c_TMAP1IN)),2))+2147483648,4294967296)-2147483648,((c_TMAP2IN)-(c_TMAP1IN))*(((A455)-(c_TMAP1IN))*((c_TMAP2OUT)-(c_TMAP1OUT))+IF(((c_TMAP2OUT)-(c_TMAP1OUT))&gt;=0,1,-1)*QUOTIENT(((c_TMAP2IN)-(c_TMAP1IN)),2)))&gt;=0,1,0)))</f>
        <v>210</v>
      </c>
      <c r="F455" s="7" t="n">
        <f aca="false">IF(((c_TMAP3IN)-(c_TMAP2IN))=0,(c_TMAP2OUT)+QUOTIENT(((c_TMAP3OUT)-(c_TMAP2OUT)),2),QUOTIENT((((A455)-(c_TMAP2IN))*((c_TMAP3OUT)-(c_TMAP2OUT))+IF(((c_TMAP3OUT)-(c_TMAP2OUT))&gt;=0,1,-1)*QUOTIENT(((c_TMAP3IN)-(c_TMAP2IN)),2)),((c_TMAP3IN)-(c_TMAP2IN)))+(c_TMAP2OUT)+IF(((c_TMAP3OUT)-(c_TMAP2OUT))&gt;=0,IF(IF(o_WRAP=1,MOD(((c_TMAP3IN)-(c_TMAP2IN))*(((A455)-(c_TMAP2IN))*((c_TMAP3OUT)-(c_TMAP2OUT))+IF(((c_TMAP3OUT)-(c_TMAP2OUT))&gt;=0,1,-1)*QUOTIENT(((c_TMAP3IN)-(c_TMAP2IN)),2))+2147483648,4294967296)-2147483648,((c_TMAP3IN)-(c_TMAP2IN))*(((A455)-(c_TMAP2IN))*((c_TMAP3OUT)-(c_TMAP2OUT))+IF(((c_TMAP3OUT)-(c_TMAP2OUT))&gt;=0,1,-1)*QUOTIENT(((c_TMAP3IN)-(c_TMAP2IN)),2)))&lt;0,-1,0),IF(IF(o_WRAP=1,MOD(((c_TMAP3IN)-(c_TMAP2IN))*(((A455)-(c_TMAP2IN))*((c_TMAP3OUT)-(c_TMAP2OUT))+IF(((c_TMAP3OUT)-(c_TMAP2OUT))&gt;=0,1,-1)*QUOTIENT(((c_TMAP3IN)-(c_TMAP2IN)),2))+2147483648,4294967296)-2147483648,((c_TMAP3IN)-(c_TMAP2IN))*(((A455)-(c_TMAP2IN))*((c_TMAP3OUT)-(c_TMAP2OUT))+IF(((c_TMAP3OUT)-(c_TMAP2OUT))&gt;=0,1,-1)*QUOTIENT(((c_TMAP3IN)-(c_TMAP2IN)),2)))&gt;=0,1,0)))</f>
        <v>270</v>
      </c>
      <c r="G455" s="7" t="n">
        <f aca="false">IF(((1000)-(c_TMAP3IN))=0,(c_TMAP3OUT)+QUOTIENT(((1000)-(c_TMAP3OUT)),2),QUOTIENT((((A455)-(c_TMAP3IN))*((1000)-(c_TMAP3OUT))+IF(((1000)-(c_TMAP3OUT))&gt;=0,1,-1)*QUOTIENT(((1000)-(c_TMAP3IN)),2)),((1000)-(c_TMAP3IN)))+(c_TMAP3OUT)+IF(((1000)-(c_TMAP3OUT))&gt;=0,IF(IF(o_WRAP=1,MOD(((1000)-(c_TMAP3IN))*(((A455)-(c_TMAP3IN))*((1000)-(c_TMAP3OUT))+IF(((1000)-(c_TMAP3OUT))&gt;=0,1,-1)*QUOTIENT(((1000)-(c_TMAP3IN)),2))+2147483648,4294967296)-2147483648,((1000)-(c_TMAP3IN))*(((A455)-(c_TMAP3IN))*((1000)-(c_TMAP3OUT))+IF(((1000)-(c_TMAP3OUT))&gt;=0,1,-1)*QUOTIENT(((1000)-(c_TMAP3IN)),2)))&lt;0,-1,0),IF(IF(o_WRAP=1,MOD(((1000)-(c_TMAP3IN))*(((A455)-(c_TMAP3IN))*((1000)-(c_TMAP3OUT))+IF(((1000)-(c_TMAP3OUT))&gt;=0,1,-1)*QUOTIENT(((1000)-(c_TMAP3IN)),2))+2147483648,4294967296)-2147483648,((1000)-(c_TMAP3IN))*(((A455)-(c_TMAP3IN))*((1000)-(c_TMAP3OUT))+IF(((1000)-(c_TMAP3OUT))&gt;=0,1,-1)*QUOTIENT(((1000)-(c_TMAP3IN)),2)))&gt;=0,1,0)))</f>
        <v>323</v>
      </c>
      <c r="H455" s="7" t="str">
        <f aca="false">IF(A455&gt;=c_TFWD,IF(AND(A455&gt;=c_TMAP3IN,c_TMAP3IN&lt;1000),"Seg4 map3-100%",IF(AND(A455&gt;=c_TMAP2IN,c_TMAP3IN&gt;c_TMAP2IN),"Seg3 map2-map3",IF(AND(A455&gt;=c_TMAP1IN,c_TMAP2IN&gt;c_TMAP1IN),"Seg2 map1-map2","Seg1 TFWD-map1"))),IF(AND(A455=0,c_TCREEP&gt;0),"Creep",IF(AND(A455&lt;=c_TRNGMIN,A455&gt;=c_TRNGMAX,c_TRNGMIN-c_TRNGMAX&lt;&gt;0),"Regen ramp","Coast (0)")))</f>
        <v>Seg4 map3-100%</v>
      </c>
      <c r="I455" s="7" t="n">
        <f aca="false">IF(A455&gt;=c_TFWD,IF(AND(A455&gt;=c_TMAP3IN,c_TMAP3IN&lt;1000),G455,IF(AND(A455&gt;=c_TMAP2IN,c_TMAP3IN&gt;c_TMAP2IN),F455,IF(AND(A455&gt;=c_TMAP1IN,c_TMAP2IN&gt;c_TMAP1IN),E455,D455))),C455)</f>
        <v>323</v>
      </c>
      <c r="J455" s="7" t="str">
        <f aca="false">IF(I455&lt;-1090,"TOO LOW",IF(I455&gt;1090,"TOO HIGH",""))</f>
        <v/>
      </c>
      <c r="K455" s="15" t="n">
        <f aca="false">IF(J455&lt;&gt;"",0,IF(I455&gt;979,1000,I455))</f>
        <v>323</v>
      </c>
      <c r="L455" s="7" t="n">
        <f aca="false">K455/10</f>
        <v>32.3</v>
      </c>
    </row>
    <row r="456" customFormat="false" ht="15" hidden="false" customHeight="false" outlineLevel="0" collapsed="false">
      <c r="A456" s="7" t="n">
        <v>451</v>
      </c>
      <c r="B456" s="7" t="n">
        <f aca="false">A456/10</f>
        <v>45.1</v>
      </c>
      <c r="C456" s="7" t="n">
        <f aca="false">IF(AND(A456=0,c_TCREEP&gt;0),10*c_TCREEP,IF(AND(A456&lt;=c_TRNGMIN,A456&gt;=c_TRNGMAX,c_TRNGMIN-c_TRNGMAX&lt;&gt;0),-10*c_TMINRN+QUOTIENT((c_TMAXRN-c_TMINRN)*(100-QUOTIENT((A456-c_TRNGMAX)*100,c_TRNGMIN-c_TRNGMAX)),-10),0))</f>
        <v>0</v>
      </c>
      <c r="D456" s="7" t="n">
        <f aca="false">IF(((c_TMAP1IN)-(c_TFWD))=0,(0)+QUOTIENT(((c_TMAP1OUT)-(0)),2),QUOTIENT((((A456)-(c_TFWD))*((c_TMAP1OUT)-(0))+IF(((c_TMAP1OUT)-(0))&gt;=0,1,-1)*QUOTIENT(((c_TMAP1IN)-(c_TFWD)),2)),((c_TMAP1IN)-(c_TFWD)))+(0)+IF(((c_TMAP1OUT)-(0))&gt;=0,IF(IF(o_WRAP=1,MOD(((c_TMAP1IN)-(c_TFWD))*(((A456)-(c_TFWD))*((c_TMAP1OUT)-(0))+IF(((c_TMAP1OUT)-(0))&gt;=0,1,-1)*QUOTIENT(((c_TMAP1IN)-(c_TFWD)),2))+2147483648,4294967296)-2147483648,((c_TMAP1IN)-(c_TFWD))*(((A456)-(c_TFWD))*((c_TMAP1OUT)-(0))+IF(((c_TMAP1OUT)-(0))&gt;=0,1,-1)*QUOTIENT(((c_TMAP1IN)-(c_TFWD)),2)))&lt;0,-1,0),IF(IF(o_WRAP=1,MOD(((c_TMAP1IN)-(c_TFWD))*(((A456)-(c_TFWD))*((c_TMAP1OUT)-(0))+IF(((c_TMAP1OUT)-(0))&gt;=0,1,-1)*QUOTIENT(((c_TMAP1IN)-(c_TFWD)),2))+2147483648,4294967296)-2147483648,((c_TMAP1IN)-(c_TFWD))*(((A456)-(c_TFWD))*((c_TMAP1OUT)-(0))+IF(((c_TMAP1OUT)-(0))&gt;=0,1,-1)*QUOTIENT(((c_TMAP1IN)-(c_TFWD)),2)))&gt;=0,1,0)))</f>
        <v>343</v>
      </c>
      <c r="E456" s="7" t="n">
        <f aca="false">IF(((c_TMAP2IN)-(c_TMAP1IN))=0,(c_TMAP1OUT)+QUOTIENT(((c_TMAP2OUT)-(c_TMAP1OUT)),2),QUOTIENT((((A456)-(c_TMAP1IN))*((c_TMAP2OUT)-(c_TMAP1OUT))+IF(((c_TMAP2OUT)-(c_TMAP1OUT))&gt;=0,1,-1)*QUOTIENT(((c_TMAP2IN)-(c_TMAP1IN)),2)),((c_TMAP2IN)-(c_TMAP1IN)))+(c_TMAP1OUT)+IF(((c_TMAP2OUT)-(c_TMAP1OUT))&gt;=0,IF(IF(o_WRAP=1,MOD(((c_TMAP2IN)-(c_TMAP1IN))*(((A456)-(c_TMAP1IN))*((c_TMAP2OUT)-(c_TMAP1OUT))+IF(((c_TMAP2OUT)-(c_TMAP1OUT))&gt;=0,1,-1)*QUOTIENT(((c_TMAP2IN)-(c_TMAP1IN)),2))+2147483648,4294967296)-2147483648,((c_TMAP2IN)-(c_TMAP1IN))*(((A456)-(c_TMAP1IN))*((c_TMAP2OUT)-(c_TMAP1OUT))+IF(((c_TMAP2OUT)-(c_TMAP1OUT))&gt;=0,1,-1)*QUOTIENT(((c_TMAP2IN)-(c_TMAP1IN)),2)))&lt;0,-1,0),IF(IF(o_WRAP=1,MOD(((c_TMAP2IN)-(c_TMAP1IN))*(((A456)-(c_TMAP1IN))*((c_TMAP2OUT)-(c_TMAP1OUT))+IF(((c_TMAP2OUT)-(c_TMAP1OUT))&gt;=0,1,-1)*QUOTIENT(((c_TMAP2IN)-(c_TMAP1IN)),2))+2147483648,4294967296)-2147483648,((c_TMAP2IN)-(c_TMAP1IN))*(((A456)-(c_TMAP1IN))*((c_TMAP2OUT)-(c_TMAP1OUT))+IF(((c_TMAP2OUT)-(c_TMAP1OUT))&gt;=0,1,-1)*QUOTIENT(((c_TMAP2IN)-(c_TMAP1IN)),2)))&gt;=0,1,0)))</f>
        <v>210</v>
      </c>
      <c r="F456" s="7" t="n">
        <f aca="false">IF(((c_TMAP3IN)-(c_TMAP2IN))=0,(c_TMAP2OUT)+QUOTIENT(((c_TMAP3OUT)-(c_TMAP2OUT)),2),QUOTIENT((((A456)-(c_TMAP2IN))*((c_TMAP3OUT)-(c_TMAP2OUT))+IF(((c_TMAP3OUT)-(c_TMAP2OUT))&gt;=0,1,-1)*QUOTIENT(((c_TMAP3IN)-(c_TMAP2IN)),2)),((c_TMAP3IN)-(c_TMAP2IN)))+(c_TMAP2OUT)+IF(((c_TMAP3OUT)-(c_TMAP2OUT))&gt;=0,IF(IF(o_WRAP=1,MOD(((c_TMAP3IN)-(c_TMAP2IN))*(((A456)-(c_TMAP2IN))*((c_TMAP3OUT)-(c_TMAP2OUT))+IF(((c_TMAP3OUT)-(c_TMAP2OUT))&gt;=0,1,-1)*QUOTIENT(((c_TMAP3IN)-(c_TMAP2IN)),2))+2147483648,4294967296)-2147483648,((c_TMAP3IN)-(c_TMAP2IN))*(((A456)-(c_TMAP2IN))*((c_TMAP3OUT)-(c_TMAP2OUT))+IF(((c_TMAP3OUT)-(c_TMAP2OUT))&gt;=0,1,-1)*QUOTIENT(((c_TMAP3IN)-(c_TMAP2IN)),2)))&lt;0,-1,0),IF(IF(o_WRAP=1,MOD(((c_TMAP3IN)-(c_TMAP2IN))*(((A456)-(c_TMAP2IN))*((c_TMAP3OUT)-(c_TMAP2OUT))+IF(((c_TMAP3OUT)-(c_TMAP2OUT))&gt;=0,1,-1)*QUOTIENT(((c_TMAP3IN)-(c_TMAP2IN)),2))+2147483648,4294967296)-2147483648,((c_TMAP3IN)-(c_TMAP2IN))*(((A456)-(c_TMAP2IN))*((c_TMAP3OUT)-(c_TMAP2OUT))+IF(((c_TMAP3OUT)-(c_TMAP2OUT))&gt;=0,1,-1)*QUOTIENT(((c_TMAP3IN)-(c_TMAP2IN)),2)))&gt;=0,1,0)))</f>
        <v>271</v>
      </c>
      <c r="G456" s="7" t="n">
        <f aca="false">IF(((1000)-(c_TMAP3IN))=0,(c_TMAP3OUT)+QUOTIENT(((1000)-(c_TMAP3OUT)),2),QUOTIENT((((A456)-(c_TMAP3IN))*((1000)-(c_TMAP3OUT))+IF(((1000)-(c_TMAP3OUT))&gt;=0,1,-1)*QUOTIENT(((1000)-(c_TMAP3IN)),2)),((1000)-(c_TMAP3IN)))+(c_TMAP3OUT)+IF(((1000)-(c_TMAP3OUT))&gt;=0,IF(IF(o_WRAP=1,MOD(((1000)-(c_TMAP3IN))*(((A456)-(c_TMAP3IN))*((1000)-(c_TMAP3OUT))+IF(((1000)-(c_TMAP3OUT))&gt;=0,1,-1)*QUOTIENT(((1000)-(c_TMAP3IN)),2))+2147483648,4294967296)-2147483648,((1000)-(c_TMAP3IN))*(((A456)-(c_TMAP3IN))*((1000)-(c_TMAP3OUT))+IF(((1000)-(c_TMAP3OUT))&gt;=0,1,-1)*QUOTIENT(((1000)-(c_TMAP3IN)),2)))&lt;0,-1,0),IF(IF(o_WRAP=1,MOD(((1000)-(c_TMAP3IN))*(((A456)-(c_TMAP3IN))*((1000)-(c_TMAP3OUT))+IF(((1000)-(c_TMAP3OUT))&gt;=0,1,-1)*QUOTIENT(((1000)-(c_TMAP3IN)),2))+2147483648,4294967296)-2147483648,((1000)-(c_TMAP3IN))*(((A456)-(c_TMAP3IN))*((1000)-(c_TMAP3OUT))+IF(((1000)-(c_TMAP3OUT))&gt;=0,1,-1)*QUOTIENT(((1000)-(c_TMAP3IN)),2)))&gt;=0,1,0)))</f>
        <v>324</v>
      </c>
      <c r="H456" s="7" t="str">
        <f aca="false">IF(A456&gt;=c_TFWD,IF(AND(A456&gt;=c_TMAP3IN,c_TMAP3IN&lt;1000),"Seg4 map3-100%",IF(AND(A456&gt;=c_TMAP2IN,c_TMAP3IN&gt;c_TMAP2IN),"Seg3 map2-map3",IF(AND(A456&gt;=c_TMAP1IN,c_TMAP2IN&gt;c_TMAP1IN),"Seg2 map1-map2","Seg1 TFWD-map1"))),IF(AND(A456=0,c_TCREEP&gt;0),"Creep",IF(AND(A456&lt;=c_TRNGMIN,A456&gt;=c_TRNGMAX,c_TRNGMIN-c_TRNGMAX&lt;&gt;0),"Regen ramp","Coast (0)")))</f>
        <v>Seg4 map3-100%</v>
      </c>
      <c r="I456" s="7" t="n">
        <f aca="false">IF(A456&gt;=c_TFWD,IF(AND(A456&gt;=c_TMAP3IN,c_TMAP3IN&lt;1000),G456,IF(AND(A456&gt;=c_TMAP2IN,c_TMAP3IN&gt;c_TMAP2IN),F456,IF(AND(A456&gt;=c_TMAP1IN,c_TMAP2IN&gt;c_TMAP1IN),E456,D456))),C456)</f>
        <v>324</v>
      </c>
      <c r="J456" s="7" t="str">
        <f aca="false">IF(I456&lt;-1090,"TOO LOW",IF(I456&gt;1090,"TOO HIGH",""))</f>
        <v/>
      </c>
      <c r="K456" s="15" t="n">
        <f aca="false">IF(J456&lt;&gt;"",0,IF(I456&gt;979,1000,I456))</f>
        <v>324</v>
      </c>
      <c r="L456" s="7" t="n">
        <f aca="false">K456/10</f>
        <v>32.4</v>
      </c>
    </row>
    <row r="457" customFormat="false" ht="15" hidden="false" customHeight="false" outlineLevel="0" collapsed="false">
      <c r="A457" s="7" t="n">
        <v>452</v>
      </c>
      <c r="B457" s="7" t="n">
        <f aca="false">A457/10</f>
        <v>45.2</v>
      </c>
      <c r="C457" s="7" t="n">
        <f aca="false">IF(AND(A457=0,c_TCREEP&gt;0),10*c_TCREEP,IF(AND(A457&lt;=c_TRNGMIN,A457&gt;=c_TRNGMAX,c_TRNGMIN-c_TRNGMAX&lt;&gt;0),-10*c_TMINRN+QUOTIENT((c_TMAXRN-c_TMINRN)*(100-QUOTIENT((A457-c_TRNGMAX)*100,c_TRNGMIN-c_TRNGMAX)),-10),0))</f>
        <v>0</v>
      </c>
      <c r="D457" s="7" t="n">
        <f aca="false">IF(((c_TMAP1IN)-(c_TFWD))=0,(0)+QUOTIENT(((c_TMAP1OUT)-(0)),2),QUOTIENT((((A457)-(c_TFWD))*((c_TMAP1OUT)-(0))+IF(((c_TMAP1OUT)-(0))&gt;=0,1,-1)*QUOTIENT(((c_TMAP1IN)-(c_TFWD)),2)),((c_TMAP1IN)-(c_TFWD)))+(0)+IF(((c_TMAP1OUT)-(0))&gt;=0,IF(IF(o_WRAP=1,MOD(((c_TMAP1IN)-(c_TFWD))*(((A457)-(c_TFWD))*((c_TMAP1OUT)-(0))+IF(((c_TMAP1OUT)-(0))&gt;=0,1,-1)*QUOTIENT(((c_TMAP1IN)-(c_TFWD)),2))+2147483648,4294967296)-2147483648,((c_TMAP1IN)-(c_TFWD))*(((A457)-(c_TFWD))*((c_TMAP1OUT)-(0))+IF(((c_TMAP1OUT)-(0))&gt;=0,1,-1)*QUOTIENT(((c_TMAP1IN)-(c_TFWD)),2)))&lt;0,-1,0),IF(IF(o_WRAP=1,MOD(((c_TMAP1IN)-(c_TFWD))*(((A457)-(c_TFWD))*((c_TMAP1OUT)-(0))+IF(((c_TMAP1OUT)-(0))&gt;=0,1,-1)*QUOTIENT(((c_TMAP1IN)-(c_TFWD)),2))+2147483648,4294967296)-2147483648,((c_TMAP1IN)-(c_TFWD))*(((A457)-(c_TFWD))*((c_TMAP1OUT)-(0))+IF(((c_TMAP1OUT)-(0))&gt;=0,1,-1)*QUOTIENT(((c_TMAP1IN)-(c_TFWD)),2)))&gt;=0,1,0)))</f>
        <v>344</v>
      </c>
      <c r="E457" s="7" t="n">
        <f aca="false">IF(((c_TMAP2IN)-(c_TMAP1IN))=0,(c_TMAP1OUT)+QUOTIENT(((c_TMAP2OUT)-(c_TMAP1OUT)),2),QUOTIENT((((A457)-(c_TMAP1IN))*((c_TMAP2OUT)-(c_TMAP1OUT))+IF(((c_TMAP2OUT)-(c_TMAP1OUT))&gt;=0,1,-1)*QUOTIENT(((c_TMAP2IN)-(c_TMAP1IN)),2)),((c_TMAP2IN)-(c_TMAP1IN)))+(c_TMAP1OUT)+IF(((c_TMAP2OUT)-(c_TMAP1OUT))&gt;=0,IF(IF(o_WRAP=1,MOD(((c_TMAP2IN)-(c_TMAP1IN))*(((A457)-(c_TMAP1IN))*((c_TMAP2OUT)-(c_TMAP1OUT))+IF(((c_TMAP2OUT)-(c_TMAP1OUT))&gt;=0,1,-1)*QUOTIENT(((c_TMAP2IN)-(c_TMAP1IN)),2))+2147483648,4294967296)-2147483648,((c_TMAP2IN)-(c_TMAP1IN))*(((A457)-(c_TMAP1IN))*((c_TMAP2OUT)-(c_TMAP1OUT))+IF(((c_TMAP2OUT)-(c_TMAP1OUT))&gt;=0,1,-1)*QUOTIENT(((c_TMAP2IN)-(c_TMAP1IN)),2)))&lt;0,-1,0),IF(IF(o_WRAP=1,MOD(((c_TMAP2IN)-(c_TMAP1IN))*(((A457)-(c_TMAP1IN))*((c_TMAP2OUT)-(c_TMAP1OUT))+IF(((c_TMAP2OUT)-(c_TMAP1OUT))&gt;=0,1,-1)*QUOTIENT(((c_TMAP2IN)-(c_TMAP1IN)),2))+2147483648,4294967296)-2147483648,((c_TMAP2IN)-(c_TMAP1IN))*(((A457)-(c_TMAP1IN))*((c_TMAP2OUT)-(c_TMAP1OUT))+IF(((c_TMAP2OUT)-(c_TMAP1OUT))&gt;=0,1,-1)*QUOTIENT(((c_TMAP2IN)-(c_TMAP1IN)),2)))&gt;=0,1,0)))</f>
        <v>211</v>
      </c>
      <c r="F457" s="7" t="n">
        <f aca="false">IF(((c_TMAP3IN)-(c_TMAP2IN))=0,(c_TMAP2OUT)+QUOTIENT(((c_TMAP3OUT)-(c_TMAP2OUT)),2),QUOTIENT((((A457)-(c_TMAP2IN))*((c_TMAP3OUT)-(c_TMAP2OUT))+IF(((c_TMAP3OUT)-(c_TMAP2OUT))&gt;=0,1,-1)*QUOTIENT(((c_TMAP3IN)-(c_TMAP2IN)),2)),((c_TMAP3IN)-(c_TMAP2IN)))+(c_TMAP2OUT)+IF(((c_TMAP3OUT)-(c_TMAP2OUT))&gt;=0,IF(IF(o_WRAP=1,MOD(((c_TMAP3IN)-(c_TMAP2IN))*(((A457)-(c_TMAP2IN))*((c_TMAP3OUT)-(c_TMAP2OUT))+IF(((c_TMAP3OUT)-(c_TMAP2OUT))&gt;=0,1,-1)*QUOTIENT(((c_TMAP3IN)-(c_TMAP2IN)),2))+2147483648,4294967296)-2147483648,((c_TMAP3IN)-(c_TMAP2IN))*(((A457)-(c_TMAP2IN))*((c_TMAP3OUT)-(c_TMAP2OUT))+IF(((c_TMAP3OUT)-(c_TMAP2OUT))&gt;=0,1,-1)*QUOTIENT(((c_TMAP3IN)-(c_TMAP2IN)),2)))&lt;0,-1,0),IF(IF(o_WRAP=1,MOD(((c_TMAP3IN)-(c_TMAP2IN))*(((A457)-(c_TMAP2IN))*((c_TMAP3OUT)-(c_TMAP2OUT))+IF(((c_TMAP3OUT)-(c_TMAP2OUT))&gt;=0,1,-1)*QUOTIENT(((c_TMAP3IN)-(c_TMAP2IN)),2))+2147483648,4294967296)-2147483648,((c_TMAP3IN)-(c_TMAP2IN))*(((A457)-(c_TMAP2IN))*((c_TMAP3OUT)-(c_TMAP2OUT))+IF(((c_TMAP3OUT)-(c_TMAP2OUT))&gt;=0,1,-1)*QUOTIENT(((c_TMAP3IN)-(c_TMAP2IN)),2)))&gt;=0,1,0)))</f>
        <v>271</v>
      </c>
      <c r="G457" s="7" t="n">
        <f aca="false">IF(((1000)-(c_TMAP3IN))=0,(c_TMAP3OUT)+QUOTIENT(((1000)-(c_TMAP3OUT)),2),QUOTIENT((((A457)-(c_TMAP3IN))*((1000)-(c_TMAP3OUT))+IF(((1000)-(c_TMAP3OUT))&gt;=0,1,-1)*QUOTIENT(((1000)-(c_TMAP3IN)),2)),((1000)-(c_TMAP3IN)))+(c_TMAP3OUT)+IF(((1000)-(c_TMAP3OUT))&gt;=0,IF(IF(o_WRAP=1,MOD(((1000)-(c_TMAP3IN))*(((A457)-(c_TMAP3IN))*((1000)-(c_TMAP3OUT))+IF(((1000)-(c_TMAP3OUT))&gt;=0,1,-1)*QUOTIENT(((1000)-(c_TMAP3IN)),2))+2147483648,4294967296)-2147483648,((1000)-(c_TMAP3IN))*(((A457)-(c_TMAP3IN))*((1000)-(c_TMAP3OUT))+IF(((1000)-(c_TMAP3OUT))&gt;=0,1,-1)*QUOTIENT(((1000)-(c_TMAP3IN)),2)))&lt;0,-1,0),IF(IF(o_WRAP=1,MOD(((1000)-(c_TMAP3IN))*(((A457)-(c_TMAP3IN))*((1000)-(c_TMAP3OUT))+IF(((1000)-(c_TMAP3OUT))&gt;=0,1,-1)*QUOTIENT(((1000)-(c_TMAP3IN)),2))+2147483648,4294967296)-2147483648,((1000)-(c_TMAP3IN))*(((A457)-(c_TMAP3IN))*((1000)-(c_TMAP3OUT))+IF(((1000)-(c_TMAP3OUT))&gt;=0,1,-1)*QUOTIENT(((1000)-(c_TMAP3IN)),2)))&gt;=0,1,0)))</f>
        <v>326</v>
      </c>
      <c r="H457" s="7" t="str">
        <f aca="false">IF(A457&gt;=c_TFWD,IF(AND(A457&gt;=c_TMAP3IN,c_TMAP3IN&lt;1000),"Seg4 map3-100%",IF(AND(A457&gt;=c_TMAP2IN,c_TMAP3IN&gt;c_TMAP2IN),"Seg3 map2-map3",IF(AND(A457&gt;=c_TMAP1IN,c_TMAP2IN&gt;c_TMAP1IN),"Seg2 map1-map2","Seg1 TFWD-map1"))),IF(AND(A457=0,c_TCREEP&gt;0),"Creep",IF(AND(A457&lt;=c_TRNGMIN,A457&gt;=c_TRNGMAX,c_TRNGMIN-c_TRNGMAX&lt;&gt;0),"Regen ramp","Coast (0)")))</f>
        <v>Seg4 map3-100%</v>
      </c>
      <c r="I457" s="7" t="n">
        <f aca="false">IF(A457&gt;=c_TFWD,IF(AND(A457&gt;=c_TMAP3IN,c_TMAP3IN&lt;1000),G457,IF(AND(A457&gt;=c_TMAP2IN,c_TMAP3IN&gt;c_TMAP2IN),F457,IF(AND(A457&gt;=c_TMAP1IN,c_TMAP2IN&gt;c_TMAP1IN),E457,D457))),C457)</f>
        <v>326</v>
      </c>
      <c r="J457" s="7" t="str">
        <f aca="false">IF(I457&lt;-1090,"TOO LOW",IF(I457&gt;1090,"TOO HIGH",""))</f>
        <v/>
      </c>
      <c r="K457" s="15" t="n">
        <f aca="false">IF(J457&lt;&gt;"",0,IF(I457&gt;979,1000,I457))</f>
        <v>326</v>
      </c>
      <c r="L457" s="7" t="n">
        <f aca="false">K457/10</f>
        <v>32.6</v>
      </c>
    </row>
    <row r="458" customFormat="false" ht="15" hidden="false" customHeight="false" outlineLevel="0" collapsed="false">
      <c r="A458" s="7" t="n">
        <v>453</v>
      </c>
      <c r="B458" s="7" t="n">
        <f aca="false">A458/10</f>
        <v>45.3</v>
      </c>
      <c r="C458" s="7" t="n">
        <f aca="false">IF(AND(A458=0,c_TCREEP&gt;0),10*c_TCREEP,IF(AND(A458&lt;=c_TRNGMIN,A458&gt;=c_TRNGMAX,c_TRNGMIN-c_TRNGMAX&lt;&gt;0),-10*c_TMINRN+QUOTIENT((c_TMAXRN-c_TMINRN)*(100-QUOTIENT((A458-c_TRNGMAX)*100,c_TRNGMIN-c_TRNGMAX)),-10),0))</f>
        <v>0</v>
      </c>
      <c r="D458" s="7" t="n">
        <f aca="false">IF(((c_TMAP1IN)-(c_TFWD))=0,(0)+QUOTIENT(((c_TMAP1OUT)-(0)),2),QUOTIENT((((A458)-(c_TFWD))*((c_TMAP1OUT)-(0))+IF(((c_TMAP1OUT)-(0))&gt;=0,1,-1)*QUOTIENT(((c_TMAP1IN)-(c_TFWD)),2)),((c_TMAP1IN)-(c_TFWD)))+(0)+IF(((c_TMAP1OUT)-(0))&gt;=0,IF(IF(o_WRAP=1,MOD(((c_TMAP1IN)-(c_TFWD))*(((A458)-(c_TFWD))*((c_TMAP1OUT)-(0))+IF(((c_TMAP1OUT)-(0))&gt;=0,1,-1)*QUOTIENT(((c_TMAP1IN)-(c_TFWD)),2))+2147483648,4294967296)-2147483648,((c_TMAP1IN)-(c_TFWD))*(((A458)-(c_TFWD))*((c_TMAP1OUT)-(0))+IF(((c_TMAP1OUT)-(0))&gt;=0,1,-1)*QUOTIENT(((c_TMAP1IN)-(c_TFWD)),2)))&lt;0,-1,0),IF(IF(o_WRAP=1,MOD(((c_TMAP1IN)-(c_TFWD))*(((A458)-(c_TFWD))*((c_TMAP1OUT)-(0))+IF(((c_TMAP1OUT)-(0))&gt;=0,1,-1)*QUOTIENT(((c_TMAP1IN)-(c_TFWD)),2))+2147483648,4294967296)-2147483648,((c_TMAP1IN)-(c_TFWD))*(((A458)-(c_TFWD))*((c_TMAP1OUT)-(0))+IF(((c_TMAP1OUT)-(0))&gt;=0,1,-1)*QUOTIENT(((c_TMAP1IN)-(c_TFWD)),2)))&gt;=0,1,0)))</f>
        <v>345</v>
      </c>
      <c r="E458" s="7" t="n">
        <f aca="false">IF(((c_TMAP2IN)-(c_TMAP1IN))=0,(c_TMAP1OUT)+QUOTIENT(((c_TMAP2OUT)-(c_TMAP1OUT)),2),QUOTIENT((((A458)-(c_TMAP1IN))*((c_TMAP2OUT)-(c_TMAP1OUT))+IF(((c_TMAP2OUT)-(c_TMAP1OUT))&gt;=0,1,-1)*QUOTIENT(((c_TMAP2IN)-(c_TMAP1IN)),2)),((c_TMAP2IN)-(c_TMAP1IN)))+(c_TMAP1OUT)+IF(((c_TMAP2OUT)-(c_TMAP1OUT))&gt;=0,IF(IF(o_WRAP=1,MOD(((c_TMAP2IN)-(c_TMAP1IN))*(((A458)-(c_TMAP1IN))*((c_TMAP2OUT)-(c_TMAP1OUT))+IF(((c_TMAP2OUT)-(c_TMAP1OUT))&gt;=0,1,-1)*QUOTIENT(((c_TMAP2IN)-(c_TMAP1IN)),2))+2147483648,4294967296)-2147483648,((c_TMAP2IN)-(c_TMAP1IN))*(((A458)-(c_TMAP1IN))*((c_TMAP2OUT)-(c_TMAP1OUT))+IF(((c_TMAP2OUT)-(c_TMAP1OUT))&gt;=0,1,-1)*QUOTIENT(((c_TMAP2IN)-(c_TMAP1IN)),2)))&lt;0,-1,0),IF(IF(o_WRAP=1,MOD(((c_TMAP2IN)-(c_TMAP1IN))*(((A458)-(c_TMAP1IN))*((c_TMAP2OUT)-(c_TMAP1OUT))+IF(((c_TMAP2OUT)-(c_TMAP1OUT))&gt;=0,1,-1)*QUOTIENT(((c_TMAP2IN)-(c_TMAP1IN)),2))+2147483648,4294967296)-2147483648,((c_TMAP2IN)-(c_TMAP1IN))*(((A458)-(c_TMAP1IN))*((c_TMAP2OUT)-(c_TMAP1OUT))+IF(((c_TMAP2OUT)-(c_TMAP1OUT))&gt;=0,1,-1)*QUOTIENT(((c_TMAP2IN)-(c_TMAP1IN)),2)))&gt;=0,1,0)))</f>
        <v>211</v>
      </c>
      <c r="F458" s="7" t="n">
        <f aca="false">IF(((c_TMAP3IN)-(c_TMAP2IN))=0,(c_TMAP2OUT)+QUOTIENT(((c_TMAP3OUT)-(c_TMAP2OUT)),2),QUOTIENT((((A458)-(c_TMAP2IN))*((c_TMAP3OUT)-(c_TMAP2OUT))+IF(((c_TMAP3OUT)-(c_TMAP2OUT))&gt;=0,1,-1)*QUOTIENT(((c_TMAP3IN)-(c_TMAP2IN)),2)),((c_TMAP3IN)-(c_TMAP2IN)))+(c_TMAP2OUT)+IF(((c_TMAP3OUT)-(c_TMAP2OUT))&gt;=0,IF(IF(o_WRAP=1,MOD(((c_TMAP3IN)-(c_TMAP2IN))*(((A458)-(c_TMAP2IN))*((c_TMAP3OUT)-(c_TMAP2OUT))+IF(((c_TMAP3OUT)-(c_TMAP2OUT))&gt;=0,1,-1)*QUOTIENT(((c_TMAP3IN)-(c_TMAP2IN)),2))+2147483648,4294967296)-2147483648,((c_TMAP3IN)-(c_TMAP2IN))*(((A458)-(c_TMAP2IN))*((c_TMAP3OUT)-(c_TMAP2OUT))+IF(((c_TMAP3OUT)-(c_TMAP2OUT))&gt;=0,1,-1)*QUOTIENT(((c_TMAP3IN)-(c_TMAP2IN)),2)))&lt;0,-1,0),IF(IF(o_WRAP=1,MOD(((c_TMAP3IN)-(c_TMAP2IN))*(((A458)-(c_TMAP2IN))*((c_TMAP3OUT)-(c_TMAP2OUT))+IF(((c_TMAP3OUT)-(c_TMAP2OUT))&gt;=0,1,-1)*QUOTIENT(((c_TMAP3IN)-(c_TMAP2IN)),2))+2147483648,4294967296)-2147483648,((c_TMAP3IN)-(c_TMAP2IN))*(((A458)-(c_TMAP2IN))*((c_TMAP3OUT)-(c_TMAP2OUT))+IF(((c_TMAP3OUT)-(c_TMAP2OUT))&gt;=0,1,-1)*QUOTIENT(((c_TMAP3IN)-(c_TMAP2IN)),2)))&gt;=0,1,0)))</f>
        <v>272</v>
      </c>
      <c r="G458" s="7" t="n">
        <f aca="false">IF(((1000)-(c_TMAP3IN))=0,(c_TMAP3OUT)+QUOTIENT(((1000)-(c_TMAP3OUT)),2),QUOTIENT((((A458)-(c_TMAP3IN))*((1000)-(c_TMAP3OUT))+IF(((1000)-(c_TMAP3OUT))&gt;=0,1,-1)*QUOTIENT(((1000)-(c_TMAP3IN)),2)),((1000)-(c_TMAP3IN)))+(c_TMAP3OUT)+IF(((1000)-(c_TMAP3OUT))&gt;=0,IF(IF(o_WRAP=1,MOD(((1000)-(c_TMAP3IN))*(((A458)-(c_TMAP3IN))*((1000)-(c_TMAP3OUT))+IF(((1000)-(c_TMAP3OUT))&gt;=0,1,-1)*QUOTIENT(((1000)-(c_TMAP3IN)),2))+2147483648,4294967296)-2147483648,((1000)-(c_TMAP3IN))*(((A458)-(c_TMAP3IN))*((1000)-(c_TMAP3OUT))+IF(((1000)-(c_TMAP3OUT))&gt;=0,1,-1)*QUOTIENT(((1000)-(c_TMAP3IN)),2)))&lt;0,-1,0),IF(IF(o_WRAP=1,MOD(((1000)-(c_TMAP3IN))*(((A458)-(c_TMAP3IN))*((1000)-(c_TMAP3OUT))+IF(((1000)-(c_TMAP3OUT))&gt;=0,1,-1)*QUOTIENT(((1000)-(c_TMAP3IN)),2))+2147483648,4294967296)-2147483648,((1000)-(c_TMAP3IN))*(((A458)-(c_TMAP3IN))*((1000)-(c_TMAP3OUT))+IF(((1000)-(c_TMAP3OUT))&gt;=0,1,-1)*QUOTIENT(((1000)-(c_TMAP3IN)),2)))&gt;=0,1,0)))</f>
        <v>327</v>
      </c>
      <c r="H458" s="7" t="str">
        <f aca="false">IF(A458&gt;=c_TFWD,IF(AND(A458&gt;=c_TMAP3IN,c_TMAP3IN&lt;1000),"Seg4 map3-100%",IF(AND(A458&gt;=c_TMAP2IN,c_TMAP3IN&gt;c_TMAP2IN),"Seg3 map2-map3",IF(AND(A458&gt;=c_TMAP1IN,c_TMAP2IN&gt;c_TMAP1IN),"Seg2 map1-map2","Seg1 TFWD-map1"))),IF(AND(A458=0,c_TCREEP&gt;0),"Creep",IF(AND(A458&lt;=c_TRNGMIN,A458&gt;=c_TRNGMAX,c_TRNGMIN-c_TRNGMAX&lt;&gt;0),"Regen ramp","Coast (0)")))</f>
        <v>Seg4 map3-100%</v>
      </c>
      <c r="I458" s="7" t="n">
        <f aca="false">IF(A458&gt;=c_TFWD,IF(AND(A458&gt;=c_TMAP3IN,c_TMAP3IN&lt;1000),G458,IF(AND(A458&gt;=c_TMAP2IN,c_TMAP3IN&gt;c_TMAP2IN),F458,IF(AND(A458&gt;=c_TMAP1IN,c_TMAP2IN&gt;c_TMAP1IN),E458,D458))),C458)</f>
        <v>327</v>
      </c>
      <c r="J458" s="7" t="str">
        <f aca="false">IF(I458&lt;-1090,"TOO LOW",IF(I458&gt;1090,"TOO HIGH",""))</f>
        <v/>
      </c>
      <c r="K458" s="15" t="n">
        <f aca="false">IF(J458&lt;&gt;"",0,IF(I458&gt;979,1000,I458))</f>
        <v>327</v>
      </c>
      <c r="L458" s="7" t="n">
        <f aca="false">K458/10</f>
        <v>32.7</v>
      </c>
    </row>
    <row r="459" customFormat="false" ht="15" hidden="false" customHeight="false" outlineLevel="0" collapsed="false">
      <c r="A459" s="7" t="n">
        <v>454</v>
      </c>
      <c r="B459" s="7" t="n">
        <f aca="false">A459/10</f>
        <v>45.4</v>
      </c>
      <c r="C459" s="7" t="n">
        <f aca="false">IF(AND(A459=0,c_TCREEP&gt;0),10*c_TCREEP,IF(AND(A459&lt;=c_TRNGMIN,A459&gt;=c_TRNGMAX,c_TRNGMIN-c_TRNGMAX&lt;&gt;0),-10*c_TMINRN+QUOTIENT((c_TMAXRN-c_TMINRN)*(100-QUOTIENT((A459-c_TRNGMAX)*100,c_TRNGMIN-c_TRNGMAX)),-10),0))</f>
        <v>0</v>
      </c>
      <c r="D459" s="7" t="n">
        <f aca="false">IF(((c_TMAP1IN)-(c_TFWD))=0,(0)+QUOTIENT(((c_TMAP1OUT)-(0)),2),QUOTIENT((((A459)-(c_TFWD))*((c_TMAP1OUT)-(0))+IF(((c_TMAP1OUT)-(0))&gt;=0,1,-1)*QUOTIENT(((c_TMAP1IN)-(c_TFWD)),2)),((c_TMAP1IN)-(c_TFWD)))+(0)+IF(((c_TMAP1OUT)-(0))&gt;=0,IF(IF(o_WRAP=1,MOD(((c_TMAP1IN)-(c_TFWD))*(((A459)-(c_TFWD))*((c_TMAP1OUT)-(0))+IF(((c_TMAP1OUT)-(0))&gt;=0,1,-1)*QUOTIENT(((c_TMAP1IN)-(c_TFWD)),2))+2147483648,4294967296)-2147483648,((c_TMAP1IN)-(c_TFWD))*(((A459)-(c_TFWD))*((c_TMAP1OUT)-(0))+IF(((c_TMAP1OUT)-(0))&gt;=0,1,-1)*QUOTIENT(((c_TMAP1IN)-(c_TFWD)),2)))&lt;0,-1,0),IF(IF(o_WRAP=1,MOD(((c_TMAP1IN)-(c_TFWD))*(((A459)-(c_TFWD))*((c_TMAP1OUT)-(0))+IF(((c_TMAP1OUT)-(0))&gt;=0,1,-1)*QUOTIENT(((c_TMAP1IN)-(c_TFWD)),2))+2147483648,4294967296)-2147483648,((c_TMAP1IN)-(c_TFWD))*(((A459)-(c_TFWD))*((c_TMAP1OUT)-(0))+IF(((c_TMAP1OUT)-(0))&gt;=0,1,-1)*QUOTIENT(((c_TMAP1IN)-(c_TFWD)),2)))&gt;=0,1,0)))</f>
        <v>345</v>
      </c>
      <c r="E459" s="7" t="n">
        <f aca="false">IF(((c_TMAP2IN)-(c_TMAP1IN))=0,(c_TMAP1OUT)+QUOTIENT(((c_TMAP2OUT)-(c_TMAP1OUT)),2),QUOTIENT((((A459)-(c_TMAP1IN))*((c_TMAP2OUT)-(c_TMAP1OUT))+IF(((c_TMAP2OUT)-(c_TMAP1OUT))&gt;=0,1,-1)*QUOTIENT(((c_TMAP2IN)-(c_TMAP1IN)),2)),((c_TMAP2IN)-(c_TMAP1IN)))+(c_TMAP1OUT)+IF(((c_TMAP2OUT)-(c_TMAP1OUT))&gt;=0,IF(IF(o_WRAP=1,MOD(((c_TMAP2IN)-(c_TMAP1IN))*(((A459)-(c_TMAP1IN))*((c_TMAP2OUT)-(c_TMAP1OUT))+IF(((c_TMAP2OUT)-(c_TMAP1OUT))&gt;=0,1,-1)*QUOTIENT(((c_TMAP2IN)-(c_TMAP1IN)),2))+2147483648,4294967296)-2147483648,((c_TMAP2IN)-(c_TMAP1IN))*(((A459)-(c_TMAP1IN))*((c_TMAP2OUT)-(c_TMAP1OUT))+IF(((c_TMAP2OUT)-(c_TMAP1OUT))&gt;=0,1,-1)*QUOTIENT(((c_TMAP2IN)-(c_TMAP1IN)),2)))&lt;0,-1,0),IF(IF(o_WRAP=1,MOD(((c_TMAP2IN)-(c_TMAP1IN))*(((A459)-(c_TMAP1IN))*((c_TMAP2OUT)-(c_TMAP1OUT))+IF(((c_TMAP2OUT)-(c_TMAP1OUT))&gt;=0,1,-1)*QUOTIENT(((c_TMAP2IN)-(c_TMAP1IN)),2))+2147483648,4294967296)-2147483648,((c_TMAP2IN)-(c_TMAP1IN))*(((A459)-(c_TMAP1IN))*((c_TMAP2OUT)-(c_TMAP1OUT))+IF(((c_TMAP2OUT)-(c_TMAP1OUT))&gt;=0,1,-1)*QUOTIENT(((c_TMAP2IN)-(c_TMAP1IN)),2)))&gt;=0,1,0)))</f>
        <v>212</v>
      </c>
      <c r="F459" s="7" t="n">
        <f aca="false">IF(((c_TMAP3IN)-(c_TMAP2IN))=0,(c_TMAP2OUT)+QUOTIENT(((c_TMAP3OUT)-(c_TMAP2OUT)),2),QUOTIENT((((A459)-(c_TMAP2IN))*((c_TMAP3OUT)-(c_TMAP2OUT))+IF(((c_TMAP3OUT)-(c_TMAP2OUT))&gt;=0,1,-1)*QUOTIENT(((c_TMAP3IN)-(c_TMAP2IN)),2)),((c_TMAP3IN)-(c_TMAP2IN)))+(c_TMAP2OUT)+IF(((c_TMAP3OUT)-(c_TMAP2OUT))&gt;=0,IF(IF(o_WRAP=1,MOD(((c_TMAP3IN)-(c_TMAP2IN))*(((A459)-(c_TMAP2IN))*((c_TMAP3OUT)-(c_TMAP2OUT))+IF(((c_TMAP3OUT)-(c_TMAP2OUT))&gt;=0,1,-1)*QUOTIENT(((c_TMAP3IN)-(c_TMAP2IN)),2))+2147483648,4294967296)-2147483648,((c_TMAP3IN)-(c_TMAP2IN))*(((A459)-(c_TMAP2IN))*((c_TMAP3OUT)-(c_TMAP2OUT))+IF(((c_TMAP3OUT)-(c_TMAP2OUT))&gt;=0,1,-1)*QUOTIENT(((c_TMAP3IN)-(c_TMAP2IN)),2)))&lt;0,-1,0),IF(IF(o_WRAP=1,MOD(((c_TMAP3IN)-(c_TMAP2IN))*(((A459)-(c_TMAP2IN))*((c_TMAP3OUT)-(c_TMAP2OUT))+IF(((c_TMAP3OUT)-(c_TMAP2OUT))&gt;=0,1,-1)*QUOTIENT(((c_TMAP3IN)-(c_TMAP2IN)),2))+2147483648,4294967296)-2147483648,((c_TMAP3IN)-(c_TMAP2IN))*(((A459)-(c_TMAP2IN))*((c_TMAP3OUT)-(c_TMAP2OUT))+IF(((c_TMAP3OUT)-(c_TMAP2OUT))&gt;=0,1,-1)*QUOTIENT(((c_TMAP3IN)-(c_TMAP2IN)),2)))&gt;=0,1,0)))</f>
        <v>273</v>
      </c>
      <c r="G459" s="7" t="n">
        <f aca="false">IF(((1000)-(c_TMAP3IN))=0,(c_TMAP3OUT)+QUOTIENT(((1000)-(c_TMAP3OUT)),2),QUOTIENT((((A459)-(c_TMAP3IN))*((1000)-(c_TMAP3OUT))+IF(((1000)-(c_TMAP3OUT))&gt;=0,1,-1)*QUOTIENT(((1000)-(c_TMAP3IN)),2)),((1000)-(c_TMAP3IN)))+(c_TMAP3OUT)+IF(((1000)-(c_TMAP3OUT))&gt;=0,IF(IF(o_WRAP=1,MOD(((1000)-(c_TMAP3IN))*(((A459)-(c_TMAP3IN))*((1000)-(c_TMAP3OUT))+IF(((1000)-(c_TMAP3OUT))&gt;=0,1,-1)*QUOTIENT(((1000)-(c_TMAP3IN)),2))+2147483648,4294967296)-2147483648,((1000)-(c_TMAP3IN))*(((A459)-(c_TMAP3IN))*((1000)-(c_TMAP3OUT))+IF(((1000)-(c_TMAP3OUT))&gt;=0,1,-1)*QUOTIENT(((1000)-(c_TMAP3IN)),2)))&lt;0,-1,0),IF(IF(o_WRAP=1,MOD(((1000)-(c_TMAP3IN))*(((A459)-(c_TMAP3IN))*((1000)-(c_TMAP3OUT))+IF(((1000)-(c_TMAP3OUT))&gt;=0,1,-1)*QUOTIENT(((1000)-(c_TMAP3IN)),2))+2147483648,4294967296)-2147483648,((1000)-(c_TMAP3IN))*(((A459)-(c_TMAP3IN))*((1000)-(c_TMAP3OUT))+IF(((1000)-(c_TMAP3OUT))&gt;=0,1,-1)*QUOTIENT(((1000)-(c_TMAP3IN)),2)))&gt;=0,1,0)))</f>
        <v>328</v>
      </c>
      <c r="H459" s="7" t="str">
        <f aca="false">IF(A459&gt;=c_TFWD,IF(AND(A459&gt;=c_TMAP3IN,c_TMAP3IN&lt;1000),"Seg4 map3-100%",IF(AND(A459&gt;=c_TMAP2IN,c_TMAP3IN&gt;c_TMAP2IN),"Seg3 map2-map3",IF(AND(A459&gt;=c_TMAP1IN,c_TMAP2IN&gt;c_TMAP1IN),"Seg2 map1-map2","Seg1 TFWD-map1"))),IF(AND(A459=0,c_TCREEP&gt;0),"Creep",IF(AND(A459&lt;=c_TRNGMIN,A459&gt;=c_TRNGMAX,c_TRNGMIN-c_TRNGMAX&lt;&gt;0),"Regen ramp","Coast (0)")))</f>
        <v>Seg4 map3-100%</v>
      </c>
      <c r="I459" s="7" t="n">
        <f aca="false">IF(A459&gt;=c_TFWD,IF(AND(A459&gt;=c_TMAP3IN,c_TMAP3IN&lt;1000),G459,IF(AND(A459&gt;=c_TMAP2IN,c_TMAP3IN&gt;c_TMAP2IN),F459,IF(AND(A459&gt;=c_TMAP1IN,c_TMAP2IN&gt;c_TMAP1IN),E459,D459))),C459)</f>
        <v>328</v>
      </c>
      <c r="J459" s="7" t="str">
        <f aca="false">IF(I459&lt;-1090,"TOO LOW",IF(I459&gt;1090,"TOO HIGH",""))</f>
        <v/>
      </c>
      <c r="K459" s="15" t="n">
        <f aca="false">IF(J459&lt;&gt;"",0,IF(I459&gt;979,1000,I459))</f>
        <v>328</v>
      </c>
      <c r="L459" s="7" t="n">
        <f aca="false">K459/10</f>
        <v>32.8</v>
      </c>
    </row>
    <row r="460" customFormat="false" ht="15" hidden="false" customHeight="false" outlineLevel="0" collapsed="false">
      <c r="A460" s="7" t="n">
        <v>455</v>
      </c>
      <c r="B460" s="7" t="n">
        <f aca="false">A460/10</f>
        <v>45.5</v>
      </c>
      <c r="C460" s="7" t="n">
        <f aca="false">IF(AND(A460=0,c_TCREEP&gt;0),10*c_TCREEP,IF(AND(A460&lt;=c_TRNGMIN,A460&gt;=c_TRNGMAX,c_TRNGMIN-c_TRNGMAX&lt;&gt;0),-10*c_TMINRN+QUOTIENT((c_TMAXRN-c_TMINRN)*(100-QUOTIENT((A460-c_TRNGMAX)*100,c_TRNGMIN-c_TRNGMAX)),-10),0))</f>
        <v>0</v>
      </c>
      <c r="D460" s="7" t="n">
        <f aca="false">IF(((c_TMAP1IN)-(c_TFWD))=0,(0)+QUOTIENT(((c_TMAP1OUT)-(0)),2),QUOTIENT((((A460)-(c_TFWD))*((c_TMAP1OUT)-(0))+IF(((c_TMAP1OUT)-(0))&gt;=0,1,-1)*QUOTIENT(((c_TMAP1IN)-(c_TFWD)),2)),((c_TMAP1IN)-(c_TFWD)))+(0)+IF(((c_TMAP1OUT)-(0))&gt;=0,IF(IF(o_WRAP=1,MOD(((c_TMAP1IN)-(c_TFWD))*(((A460)-(c_TFWD))*((c_TMAP1OUT)-(0))+IF(((c_TMAP1OUT)-(0))&gt;=0,1,-1)*QUOTIENT(((c_TMAP1IN)-(c_TFWD)),2))+2147483648,4294967296)-2147483648,((c_TMAP1IN)-(c_TFWD))*(((A460)-(c_TFWD))*((c_TMAP1OUT)-(0))+IF(((c_TMAP1OUT)-(0))&gt;=0,1,-1)*QUOTIENT(((c_TMAP1IN)-(c_TFWD)),2)))&lt;0,-1,0),IF(IF(o_WRAP=1,MOD(((c_TMAP1IN)-(c_TFWD))*(((A460)-(c_TFWD))*((c_TMAP1OUT)-(0))+IF(((c_TMAP1OUT)-(0))&gt;=0,1,-1)*QUOTIENT(((c_TMAP1IN)-(c_TFWD)),2))+2147483648,4294967296)-2147483648,((c_TMAP1IN)-(c_TFWD))*(((A460)-(c_TFWD))*((c_TMAP1OUT)-(0))+IF(((c_TMAP1OUT)-(0))&gt;=0,1,-1)*QUOTIENT(((c_TMAP1IN)-(c_TFWD)),2)))&gt;=0,1,0)))</f>
        <v>346</v>
      </c>
      <c r="E460" s="7" t="n">
        <f aca="false">IF(((c_TMAP2IN)-(c_TMAP1IN))=0,(c_TMAP1OUT)+QUOTIENT(((c_TMAP2OUT)-(c_TMAP1OUT)),2),QUOTIENT((((A460)-(c_TMAP1IN))*((c_TMAP2OUT)-(c_TMAP1OUT))+IF(((c_TMAP2OUT)-(c_TMAP1OUT))&gt;=0,1,-1)*QUOTIENT(((c_TMAP2IN)-(c_TMAP1IN)),2)),((c_TMAP2IN)-(c_TMAP1IN)))+(c_TMAP1OUT)+IF(((c_TMAP2OUT)-(c_TMAP1OUT))&gt;=0,IF(IF(o_WRAP=1,MOD(((c_TMAP2IN)-(c_TMAP1IN))*(((A460)-(c_TMAP1IN))*((c_TMAP2OUT)-(c_TMAP1OUT))+IF(((c_TMAP2OUT)-(c_TMAP1OUT))&gt;=0,1,-1)*QUOTIENT(((c_TMAP2IN)-(c_TMAP1IN)),2))+2147483648,4294967296)-2147483648,((c_TMAP2IN)-(c_TMAP1IN))*(((A460)-(c_TMAP1IN))*((c_TMAP2OUT)-(c_TMAP1OUT))+IF(((c_TMAP2OUT)-(c_TMAP1OUT))&gt;=0,1,-1)*QUOTIENT(((c_TMAP2IN)-(c_TMAP1IN)),2)))&lt;0,-1,0),IF(IF(o_WRAP=1,MOD(((c_TMAP2IN)-(c_TMAP1IN))*(((A460)-(c_TMAP1IN))*((c_TMAP2OUT)-(c_TMAP1OUT))+IF(((c_TMAP2OUT)-(c_TMAP1OUT))&gt;=0,1,-1)*QUOTIENT(((c_TMAP2IN)-(c_TMAP1IN)),2))+2147483648,4294967296)-2147483648,((c_TMAP2IN)-(c_TMAP1IN))*(((A460)-(c_TMAP1IN))*((c_TMAP2OUT)-(c_TMAP1OUT))+IF(((c_TMAP2OUT)-(c_TMAP1OUT))&gt;=0,1,-1)*QUOTIENT(((c_TMAP2IN)-(c_TMAP1IN)),2)))&gt;=0,1,0)))</f>
        <v>212</v>
      </c>
      <c r="F460" s="7" t="n">
        <f aca="false">IF(((c_TMAP3IN)-(c_TMAP2IN))=0,(c_TMAP2OUT)+QUOTIENT(((c_TMAP3OUT)-(c_TMAP2OUT)),2),QUOTIENT((((A460)-(c_TMAP2IN))*((c_TMAP3OUT)-(c_TMAP2OUT))+IF(((c_TMAP3OUT)-(c_TMAP2OUT))&gt;=0,1,-1)*QUOTIENT(((c_TMAP3IN)-(c_TMAP2IN)),2)),((c_TMAP3IN)-(c_TMAP2IN)))+(c_TMAP2OUT)+IF(((c_TMAP3OUT)-(c_TMAP2OUT))&gt;=0,IF(IF(o_WRAP=1,MOD(((c_TMAP3IN)-(c_TMAP2IN))*(((A460)-(c_TMAP2IN))*((c_TMAP3OUT)-(c_TMAP2OUT))+IF(((c_TMAP3OUT)-(c_TMAP2OUT))&gt;=0,1,-1)*QUOTIENT(((c_TMAP3IN)-(c_TMAP2IN)),2))+2147483648,4294967296)-2147483648,((c_TMAP3IN)-(c_TMAP2IN))*(((A460)-(c_TMAP2IN))*((c_TMAP3OUT)-(c_TMAP2OUT))+IF(((c_TMAP3OUT)-(c_TMAP2OUT))&gt;=0,1,-1)*QUOTIENT(((c_TMAP3IN)-(c_TMAP2IN)),2)))&lt;0,-1,0),IF(IF(o_WRAP=1,MOD(((c_TMAP3IN)-(c_TMAP2IN))*(((A460)-(c_TMAP2IN))*((c_TMAP3OUT)-(c_TMAP2OUT))+IF(((c_TMAP3OUT)-(c_TMAP2OUT))&gt;=0,1,-1)*QUOTIENT(((c_TMAP3IN)-(c_TMAP2IN)),2))+2147483648,4294967296)-2147483648,((c_TMAP3IN)-(c_TMAP2IN))*(((A460)-(c_TMAP2IN))*((c_TMAP3OUT)-(c_TMAP2OUT))+IF(((c_TMAP3OUT)-(c_TMAP2OUT))&gt;=0,1,-1)*QUOTIENT(((c_TMAP3IN)-(c_TMAP2IN)),2)))&gt;=0,1,0)))</f>
        <v>274</v>
      </c>
      <c r="G460" s="7" t="n">
        <f aca="false">IF(((1000)-(c_TMAP3IN))=0,(c_TMAP3OUT)+QUOTIENT(((1000)-(c_TMAP3OUT)),2),QUOTIENT((((A460)-(c_TMAP3IN))*((1000)-(c_TMAP3OUT))+IF(((1000)-(c_TMAP3OUT))&gt;=0,1,-1)*QUOTIENT(((1000)-(c_TMAP3IN)),2)),((1000)-(c_TMAP3IN)))+(c_TMAP3OUT)+IF(((1000)-(c_TMAP3OUT))&gt;=0,IF(IF(o_WRAP=1,MOD(((1000)-(c_TMAP3IN))*(((A460)-(c_TMAP3IN))*((1000)-(c_TMAP3OUT))+IF(((1000)-(c_TMAP3OUT))&gt;=0,1,-1)*QUOTIENT(((1000)-(c_TMAP3IN)),2))+2147483648,4294967296)-2147483648,((1000)-(c_TMAP3IN))*(((A460)-(c_TMAP3IN))*((1000)-(c_TMAP3OUT))+IF(((1000)-(c_TMAP3OUT))&gt;=0,1,-1)*QUOTIENT(((1000)-(c_TMAP3IN)),2)))&lt;0,-1,0),IF(IF(o_WRAP=1,MOD(((1000)-(c_TMAP3IN))*(((A460)-(c_TMAP3IN))*((1000)-(c_TMAP3OUT))+IF(((1000)-(c_TMAP3OUT))&gt;=0,1,-1)*QUOTIENT(((1000)-(c_TMAP3IN)),2))+2147483648,4294967296)-2147483648,((1000)-(c_TMAP3IN))*(((A460)-(c_TMAP3IN))*((1000)-(c_TMAP3OUT))+IF(((1000)-(c_TMAP3OUT))&gt;=0,1,-1)*QUOTIENT(((1000)-(c_TMAP3IN)),2)))&gt;=0,1,0)))</f>
        <v>329</v>
      </c>
      <c r="H460" s="7" t="str">
        <f aca="false">IF(A460&gt;=c_TFWD,IF(AND(A460&gt;=c_TMAP3IN,c_TMAP3IN&lt;1000),"Seg4 map3-100%",IF(AND(A460&gt;=c_TMAP2IN,c_TMAP3IN&gt;c_TMAP2IN),"Seg3 map2-map3",IF(AND(A460&gt;=c_TMAP1IN,c_TMAP2IN&gt;c_TMAP1IN),"Seg2 map1-map2","Seg1 TFWD-map1"))),IF(AND(A460=0,c_TCREEP&gt;0),"Creep",IF(AND(A460&lt;=c_TRNGMIN,A460&gt;=c_TRNGMAX,c_TRNGMIN-c_TRNGMAX&lt;&gt;0),"Regen ramp","Coast (0)")))</f>
        <v>Seg4 map3-100%</v>
      </c>
      <c r="I460" s="7" t="n">
        <f aca="false">IF(A460&gt;=c_TFWD,IF(AND(A460&gt;=c_TMAP3IN,c_TMAP3IN&lt;1000),G460,IF(AND(A460&gt;=c_TMAP2IN,c_TMAP3IN&gt;c_TMAP2IN),F460,IF(AND(A460&gt;=c_TMAP1IN,c_TMAP2IN&gt;c_TMAP1IN),E460,D460))),C460)</f>
        <v>329</v>
      </c>
      <c r="J460" s="7" t="str">
        <f aca="false">IF(I460&lt;-1090,"TOO LOW",IF(I460&gt;1090,"TOO HIGH",""))</f>
        <v/>
      </c>
      <c r="K460" s="15" t="n">
        <f aca="false">IF(J460&lt;&gt;"",0,IF(I460&gt;979,1000,I460))</f>
        <v>329</v>
      </c>
      <c r="L460" s="7" t="n">
        <f aca="false">K460/10</f>
        <v>32.9</v>
      </c>
    </row>
    <row r="461" customFormat="false" ht="15" hidden="false" customHeight="false" outlineLevel="0" collapsed="false">
      <c r="A461" s="7" t="n">
        <v>456</v>
      </c>
      <c r="B461" s="7" t="n">
        <f aca="false">A461/10</f>
        <v>45.6</v>
      </c>
      <c r="C461" s="7" t="n">
        <f aca="false">IF(AND(A461=0,c_TCREEP&gt;0),10*c_TCREEP,IF(AND(A461&lt;=c_TRNGMIN,A461&gt;=c_TRNGMAX,c_TRNGMIN-c_TRNGMAX&lt;&gt;0),-10*c_TMINRN+QUOTIENT((c_TMAXRN-c_TMINRN)*(100-QUOTIENT((A461-c_TRNGMAX)*100,c_TRNGMIN-c_TRNGMAX)),-10),0))</f>
        <v>0</v>
      </c>
      <c r="D461" s="7" t="n">
        <f aca="false">IF(((c_TMAP1IN)-(c_TFWD))=0,(0)+QUOTIENT(((c_TMAP1OUT)-(0)),2),QUOTIENT((((A461)-(c_TFWD))*((c_TMAP1OUT)-(0))+IF(((c_TMAP1OUT)-(0))&gt;=0,1,-1)*QUOTIENT(((c_TMAP1IN)-(c_TFWD)),2)),((c_TMAP1IN)-(c_TFWD)))+(0)+IF(((c_TMAP1OUT)-(0))&gt;=0,IF(IF(o_WRAP=1,MOD(((c_TMAP1IN)-(c_TFWD))*(((A461)-(c_TFWD))*((c_TMAP1OUT)-(0))+IF(((c_TMAP1OUT)-(0))&gt;=0,1,-1)*QUOTIENT(((c_TMAP1IN)-(c_TFWD)),2))+2147483648,4294967296)-2147483648,((c_TMAP1IN)-(c_TFWD))*(((A461)-(c_TFWD))*((c_TMAP1OUT)-(0))+IF(((c_TMAP1OUT)-(0))&gt;=0,1,-1)*QUOTIENT(((c_TMAP1IN)-(c_TFWD)),2)))&lt;0,-1,0),IF(IF(o_WRAP=1,MOD(((c_TMAP1IN)-(c_TFWD))*(((A461)-(c_TFWD))*((c_TMAP1OUT)-(0))+IF(((c_TMAP1OUT)-(0))&gt;=0,1,-1)*QUOTIENT(((c_TMAP1IN)-(c_TFWD)),2))+2147483648,4294967296)-2147483648,((c_TMAP1IN)-(c_TFWD))*(((A461)-(c_TFWD))*((c_TMAP1OUT)-(0))+IF(((c_TMAP1OUT)-(0))&gt;=0,1,-1)*QUOTIENT(((c_TMAP1IN)-(c_TFWD)),2)))&gt;=0,1,0)))</f>
        <v>347</v>
      </c>
      <c r="E461" s="7" t="n">
        <f aca="false">IF(((c_TMAP2IN)-(c_TMAP1IN))=0,(c_TMAP1OUT)+QUOTIENT(((c_TMAP2OUT)-(c_TMAP1OUT)),2),QUOTIENT((((A461)-(c_TMAP1IN))*((c_TMAP2OUT)-(c_TMAP1OUT))+IF(((c_TMAP2OUT)-(c_TMAP1OUT))&gt;=0,1,-1)*QUOTIENT(((c_TMAP2IN)-(c_TMAP1IN)),2)),((c_TMAP2IN)-(c_TMAP1IN)))+(c_TMAP1OUT)+IF(((c_TMAP2OUT)-(c_TMAP1OUT))&gt;=0,IF(IF(o_WRAP=1,MOD(((c_TMAP2IN)-(c_TMAP1IN))*(((A461)-(c_TMAP1IN))*((c_TMAP2OUT)-(c_TMAP1OUT))+IF(((c_TMAP2OUT)-(c_TMAP1OUT))&gt;=0,1,-1)*QUOTIENT(((c_TMAP2IN)-(c_TMAP1IN)),2))+2147483648,4294967296)-2147483648,((c_TMAP2IN)-(c_TMAP1IN))*(((A461)-(c_TMAP1IN))*((c_TMAP2OUT)-(c_TMAP1OUT))+IF(((c_TMAP2OUT)-(c_TMAP1OUT))&gt;=0,1,-1)*QUOTIENT(((c_TMAP2IN)-(c_TMAP1IN)),2)))&lt;0,-1,0),IF(IF(o_WRAP=1,MOD(((c_TMAP2IN)-(c_TMAP1IN))*(((A461)-(c_TMAP1IN))*((c_TMAP2OUT)-(c_TMAP1OUT))+IF(((c_TMAP2OUT)-(c_TMAP1OUT))&gt;=0,1,-1)*QUOTIENT(((c_TMAP2IN)-(c_TMAP1IN)),2))+2147483648,4294967296)-2147483648,((c_TMAP2IN)-(c_TMAP1IN))*(((A461)-(c_TMAP1IN))*((c_TMAP2OUT)-(c_TMAP1OUT))+IF(((c_TMAP2OUT)-(c_TMAP1OUT))&gt;=0,1,-1)*QUOTIENT(((c_TMAP2IN)-(c_TMAP1IN)),2)))&gt;=0,1,0)))</f>
        <v>212</v>
      </c>
      <c r="F461" s="7" t="n">
        <f aca="false">IF(((c_TMAP3IN)-(c_TMAP2IN))=0,(c_TMAP2OUT)+QUOTIENT(((c_TMAP3OUT)-(c_TMAP2OUT)),2),QUOTIENT((((A461)-(c_TMAP2IN))*((c_TMAP3OUT)-(c_TMAP2OUT))+IF(((c_TMAP3OUT)-(c_TMAP2OUT))&gt;=0,1,-1)*QUOTIENT(((c_TMAP3IN)-(c_TMAP2IN)),2)),((c_TMAP3IN)-(c_TMAP2IN)))+(c_TMAP2OUT)+IF(((c_TMAP3OUT)-(c_TMAP2OUT))&gt;=0,IF(IF(o_WRAP=1,MOD(((c_TMAP3IN)-(c_TMAP2IN))*(((A461)-(c_TMAP2IN))*((c_TMAP3OUT)-(c_TMAP2OUT))+IF(((c_TMAP3OUT)-(c_TMAP2OUT))&gt;=0,1,-1)*QUOTIENT(((c_TMAP3IN)-(c_TMAP2IN)),2))+2147483648,4294967296)-2147483648,((c_TMAP3IN)-(c_TMAP2IN))*(((A461)-(c_TMAP2IN))*((c_TMAP3OUT)-(c_TMAP2OUT))+IF(((c_TMAP3OUT)-(c_TMAP2OUT))&gt;=0,1,-1)*QUOTIENT(((c_TMAP3IN)-(c_TMAP2IN)),2)))&lt;0,-1,0),IF(IF(o_WRAP=1,MOD(((c_TMAP3IN)-(c_TMAP2IN))*(((A461)-(c_TMAP2IN))*((c_TMAP3OUT)-(c_TMAP2OUT))+IF(((c_TMAP3OUT)-(c_TMAP2OUT))&gt;=0,1,-1)*QUOTIENT(((c_TMAP3IN)-(c_TMAP2IN)),2))+2147483648,4294967296)-2147483648,((c_TMAP3IN)-(c_TMAP2IN))*(((A461)-(c_TMAP2IN))*((c_TMAP3OUT)-(c_TMAP2OUT))+IF(((c_TMAP3OUT)-(c_TMAP2OUT))&gt;=0,1,-1)*QUOTIENT(((c_TMAP3IN)-(c_TMAP2IN)),2)))&gt;=0,1,0)))</f>
        <v>274</v>
      </c>
      <c r="G461" s="7" t="n">
        <f aca="false">IF(((1000)-(c_TMAP3IN))=0,(c_TMAP3OUT)+QUOTIENT(((1000)-(c_TMAP3OUT)),2),QUOTIENT((((A461)-(c_TMAP3IN))*((1000)-(c_TMAP3OUT))+IF(((1000)-(c_TMAP3OUT))&gt;=0,1,-1)*QUOTIENT(((1000)-(c_TMAP3IN)),2)),((1000)-(c_TMAP3IN)))+(c_TMAP3OUT)+IF(((1000)-(c_TMAP3OUT))&gt;=0,IF(IF(o_WRAP=1,MOD(((1000)-(c_TMAP3IN))*(((A461)-(c_TMAP3IN))*((1000)-(c_TMAP3OUT))+IF(((1000)-(c_TMAP3OUT))&gt;=0,1,-1)*QUOTIENT(((1000)-(c_TMAP3IN)),2))+2147483648,4294967296)-2147483648,((1000)-(c_TMAP3IN))*(((A461)-(c_TMAP3IN))*((1000)-(c_TMAP3OUT))+IF(((1000)-(c_TMAP3OUT))&gt;=0,1,-1)*QUOTIENT(((1000)-(c_TMAP3IN)),2)))&lt;0,-1,0),IF(IF(o_WRAP=1,MOD(((1000)-(c_TMAP3IN))*(((A461)-(c_TMAP3IN))*((1000)-(c_TMAP3OUT))+IF(((1000)-(c_TMAP3OUT))&gt;=0,1,-1)*QUOTIENT(((1000)-(c_TMAP3IN)),2))+2147483648,4294967296)-2147483648,((1000)-(c_TMAP3IN))*(((A461)-(c_TMAP3IN))*((1000)-(c_TMAP3OUT))+IF(((1000)-(c_TMAP3OUT))&gt;=0,1,-1)*QUOTIENT(((1000)-(c_TMAP3IN)),2)))&gt;=0,1,0)))</f>
        <v>330</v>
      </c>
      <c r="H461" s="7" t="str">
        <f aca="false">IF(A461&gt;=c_TFWD,IF(AND(A461&gt;=c_TMAP3IN,c_TMAP3IN&lt;1000),"Seg4 map3-100%",IF(AND(A461&gt;=c_TMAP2IN,c_TMAP3IN&gt;c_TMAP2IN),"Seg3 map2-map3",IF(AND(A461&gt;=c_TMAP1IN,c_TMAP2IN&gt;c_TMAP1IN),"Seg2 map1-map2","Seg1 TFWD-map1"))),IF(AND(A461=0,c_TCREEP&gt;0),"Creep",IF(AND(A461&lt;=c_TRNGMIN,A461&gt;=c_TRNGMAX,c_TRNGMIN-c_TRNGMAX&lt;&gt;0),"Regen ramp","Coast (0)")))</f>
        <v>Seg4 map3-100%</v>
      </c>
      <c r="I461" s="7" t="n">
        <f aca="false">IF(A461&gt;=c_TFWD,IF(AND(A461&gt;=c_TMAP3IN,c_TMAP3IN&lt;1000),G461,IF(AND(A461&gt;=c_TMAP2IN,c_TMAP3IN&gt;c_TMAP2IN),F461,IF(AND(A461&gt;=c_TMAP1IN,c_TMAP2IN&gt;c_TMAP1IN),E461,D461))),C461)</f>
        <v>330</v>
      </c>
      <c r="J461" s="7" t="str">
        <f aca="false">IF(I461&lt;-1090,"TOO LOW",IF(I461&gt;1090,"TOO HIGH",""))</f>
        <v/>
      </c>
      <c r="K461" s="15" t="n">
        <f aca="false">IF(J461&lt;&gt;"",0,IF(I461&gt;979,1000,I461))</f>
        <v>330</v>
      </c>
      <c r="L461" s="7" t="n">
        <f aca="false">K461/10</f>
        <v>33</v>
      </c>
    </row>
    <row r="462" customFormat="false" ht="15" hidden="false" customHeight="false" outlineLevel="0" collapsed="false">
      <c r="A462" s="7" t="n">
        <v>457</v>
      </c>
      <c r="B462" s="7" t="n">
        <f aca="false">A462/10</f>
        <v>45.7</v>
      </c>
      <c r="C462" s="7" t="n">
        <f aca="false">IF(AND(A462=0,c_TCREEP&gt;0),10*c_TCREEP,IF(AND(A462&lt;=c_TRNGMIN,A462&gt;=c_TRNGMAX,c_TRNGMIN-c_TRNGMAX&lt;&gt;0),-10*c_TMINRN+QUOTIENT((c_TMAXRN-c_TMINRN)*(100-QUOTIENT((A462-c_TRNGMAX)*100,c_TRNGMIN-c_TRNGMAX)),-10),0))</f>
        <v>0</v>
      </c>
      <c r="D462" s="7" t="n">
        <f aca="false">IF(((c_TMAP1IN)-(c_TFWD))=0,(0)+QUOTIENT(((c_TMAP1OUT)-(0)),2),QUOTIENT((((A462)-(c_TFWD))*((c_TMAP1OUT)-(0))+IF(((c_TMAP1OUT)-(0))&gt;=0,1,-1)*QUOTIENT(((c_TMAP1IN)-(c_TFWD)),2)),((c_TMAP1IN)-(c_TFWD)))+(0)+IF(((c_TMAP1OUT)-(0))&gt;=0,IF(IF(o_WRAP=1,MOD(((c_TMAP1IN)-(c_TFWD))*(((A462)-(c_TFWD))*((c_TMAP1OUT)-(0))+IF(((c_TMAP1OUT)-(0))&gt;=0,1,-1)*QUOTIENT(((c_TMAP1IN)-(c_TFWD)),2))+2147483648,4294967296)-2147483648,((c_TMAP1IN)-(c_TFWD))*(((A462)-(c_TFWD))*((c_TMAP1OUT)-(0))+IF(((c_TMAP1OUT)-(0))&gt;=0,1,-1)*QUOTIENT(((c_TMAP1IN)-(c_TFWD)),2)))&lt;0,-1,0),IF(IF(o_WRAP=1,MOD(((c_TMAP1IN)-(c_TFWD))*(((A462)-(c_TFWD))*((c_TMAP1OUT)-(0))+IF(((c_TMAP1OUT)-(0))&gt;=0,1,-1)*QUOTIENT(((c_TMAP1IN)-(c_TFWD)),2))+2147483648,4294967296)-2147483648,((c_TMAP1IN)-(c_TFWD))*(((A462)-(c_TFWD))*((c_TMAP1OUT)-(0))+IF(((c_TMAP1OUT)-(0))&gt;=0,1,-1)*QUOTIENT(((c_TMAP1IN)-(c_TFWD)),2)))&gt;=0,1,0)))</f>
        <v>348</v>
      </c>
      <c r="E462" s="7" t="n">
        <f aca="false">IF(((c_TMAP2IN)-(c_TMAP1IN))=0,(c_TMAP1OUT)+QUOTIENT(((c_TMAP2OUT)-(c_TMAP1OUT)),2),QUOTIENT((((A462)-(c_TMAP1IN))*((c_TMAP2OUT)-(c_TMAP1OUT))+IF(((c_TMAP2OUT)-(c_TMAP1OUT))&gt;=0,1,-1)*QUOTIENT(((c_TMAP2IN)-(c_TMAP1IN)),2)),((c_TMAP2IN)-(c_TMAP1IN)))+(c_TMAP1OUT)+IF(((c_TMAP2OUT)-(c_TMAP1OUT))&gt;=0,IF(IF(o_WRAP=1,MOD(((c_TMAP2IN)-(c_TMAP1IN))*(((A462)-(c_TMAP1IN))*((c_TMAP2OUT)-(c_TMAP1OUT))+IF(((c_TMAP2OUT)-(c_TMAP1OUT))&gt;=0,1,-1)*QUOTIENT(((c_TMAP2IN)-(c_TMAP1IN)),2))+2147483648,4294967296)-2147483648,((c_TMAP2IN)-(c_TMAP1IN))*(((A462)-(c_TMAP1IN))*((c_TMAP2OUT)-(c_TMAP1OUT))+IF(((c_TMAP2OUT)-(c_TMAP1OUT))&gt;=0,1,-1)*QUOTIENT(((c_TMAP2IN)-(c_TMAP1IN)),2)))&lt;0,-1,0),IF(IF(o_WRAP=1,MOD(((c_TMAP2IN)-(c_TMAP1IN))*(((A462)-(c_TMAP1IN))*((c_TMAP2OUT)-(c_TMAP1OUT))+IF(((c_TMAP2OUT)-(c_TMAP1OUT))&gt;=0,1,-1)*QUOTIENT(((c_TMAP2IN)-(c_TMAP1IN)),2))+2147483648,4294967296)-2147483648,((c_TMAP2IN)-(c_TMAP1IN))*(((A462)-(c_TMAP1IN))*((c_TMAP2OUT)-(c_TMAP1OUT))+IF(((c_TMAP2OUT)-(c_TMAP1OUT))&gt;=0,1,-1)*QUOTIENT(((c_TMAP2IN)-(c_TMAP1IN)),2)))&gt;=0,1,0)))</f>
        <v>213</v>
      </c>
      <c r="F462" s="7" t="n">
        <f aca="false">IF(((c_TMAP3IN)-(c_TMAP2IN))=0,(c_TMAP2OUT)+QUOTIENT(((c_TMAP3OUT)-(c_TMAP2OUT)),2),QUOTIENT((((A462)-(c_TMAP2IN))*((c_TMAP3OUT)-(c_TMAP2OUT))+IF(((c_TMAP3OUT)-(c_TMAP2OUT))&gt;=0,1,-1)*QUOTIENT(((c_TMAP3IN)-(c_TMAP2IN)),2)),((c_TMAP3IN)-(c_TMAP2IN)))+(c_TMAP2OUT)+IF(((c_TMAP3OUT)-(c_TMAP2OUT))&gt;=0,IF(IF(o_WRAP=1,MOD(((c_TMAP3IN)-(c_TMAP2IN))*(((A462)-(c_TMAP2IN))*((c_TMAP3OUT)-(c_TMAP2OUT))+IF(((c_TMAP3OUT)-(c_TMAP2OUT))&gt;=0,1,-1)*QUOTIENT(((c_TMAP3IN)-(c_TMAP2IN)),2))+2147483648,4294967296)-2147483648,((c_TMAP3IN)-(c_TMAP2IN))*(((A462)-(c_TMAP2IN))*((c_TMAP3OUT)-(c_TMAP2OUT))+IF(((c_TMAP3OUT)-(c_TMAP2OUT))&gt;=0,1,-1)*QUOTIENT(((c_TMAP3IN)-(c_TMAP2IN)),2)))&lt;0,-1,0),IF(IF(o_WRAP=1,MOD(((c_TMAP3IN)-(c_TMAP2IN))*(((A462)-(c_TMAP2IN))*((c_TMAP3OUT)-(c_TMAP2OUT))+IF(((c_TMAP3OUT)-(c_TMAP2OUT))&gt;=0,1,-1)*QUOTIENT(((c_TMAP3IN)-(c_TMAP2IN)),2))+2147483648,4294967296)-2147483648,((c_TMAP3IN)-(c_TMAP2IN))*(((A462)-(c_TMAP2IN))*((c_TMAP3OUT)-(c_TMAP2OUT))+IF(((c_TMAP3OUT)-(c_TMAP2OUT))&gt;=0,1,-1)*QUOTIENT(((c_TMAP3IN)-(c_TMAP2IN)),2)))&gt;=0,1,0)))</f>
        <v>275</v>
      </c>
      <c r="G462" s="7" t="n">
        <f aca="false">IF(((1000)-(c_TMAP3IN))=0,(c_TMAP3OUT)+QUOTIENT(((1000)-(c_TMAP3OUT)),2),QUOTIENT((((A462)-(c_TMAP3IN))*((1000)-(c_TMAP3OUT))+IF(((1000)-(c_TMAP3OUT))&gt;=0,1,-1)*QUOTIENT(((1000)-(c_TMAP3IN)),2)),((1000)-(c_TMAP3IN)))+(c_TMAP3OUT)+IF(((1000)-(c_TMAP3OUT))&gt;=0,IF(IF(o_WRAP=1,MOD(((1000)-(c_TMAP3IN))*(((A462)-(c_TMAP3IN))*((1000)-(c_TMAP3OUT))+IF(((1000)-(c_TMAP3OUT))&gt;=0,1,-1)*QUOTIENT(((1000)-(c_TMAP3IN)),2))+2147483648,4294967296)-2147483648,((1000)-(c_TMAP3IN))*(((A462)-(c_TMAP3IN))*((1000)-(c_TMAP3OUT))+IF(((1000)-(c_TMAP3OUT))&gt;=0,1,-1)*QUOTIENT(((1000)-(c_TMAP3IN)),2)))&lt;0,-1,0),IF(IF(o_WRAP=1,MOD(((1000)-(c_TMAP3IN))*(((A462)-(c_TMAP3IN))*((1000)-(c_TMAP3OUT))+IF(((1000)-(c_TMAP3OUT))&gt;=0,1,-1)*QUOTIENT(((1000)-(c_TMAP3IN)),2))+2147483648,4294967296)-2147483648,((1000)-(c_TMAP3IN))*(((A462)-(c_TMAP3IN))*((1000)-(c_TMAP3OUT))+IF(((1000)-(c_TMAP3OUT))&gt;=0,1,-1)*QUOTIENT(((1000)-(c_TMAP3IN)),2)))&gt;=0,1,0)))</f>
        <v>332</v>
      </c>
      <c r="H462" s="7" t="str">
        <f aca="false">IF(A462&gt;=c_TFWD,IF(AND(A462&gt;=c_TMAP3IN,c_TMAP3IN&lt;1000),"Seg4 map3-100%",IF(AND(A462&gt;=c_TMAP2IN,c_TMAP3IN&gt;c_TMAP2IN),"Seg3 map2-map3",IF(AND(A462&gt;=c_TMAP1IN,c_TMAP2IN&gt;c_TMAP1IN),"Seg2 map1-map2","Seg1 TFWD-map1"))),IF(AND(A462=0,c_TCREEP&gt;0),"Creep",IF(AND(A462&lt;=c_TRNGMIN,A462&gt;=c_TRNGMAX,c_TRNGMIN-c_TRNGMAX&lt;&gt;0),"Regen ramp","Coast (0)")))</f>
        <v>Seg4 map3-100%</v>
      </c>
      <c r="I462" s="7" t="n">
        <f aca="false">IF(A462&gt;=c_TFWD,IF(AND(A462&gt;=c_TMAP3IN,c_TMAP3IN&lt;1000),G462,IF(AND(A462&gt;=c_TMAP2IN,c_TMAP3IN&gt;c_TMAP2IN),F462,IF(AND(A462&gt;=c_TMAP1IN,c_TMAP2IN&gt;c_TMAP1IN),E462,D462))),C462)</f>
        <v>332</v>
      </c>
      <c r="J462" s="7" t="str">
        <f aca="false">IF(I462&lt;-1090,"TOO LOW",IF(I462&gt;1090,"TOO HIGH",""))</f>
        <v/>
      </c>
      <c r="K462" s="15" t="n">
        <f aca="false">IF(J462&lt;&gt;"",0,IF(I462&gt;979,1000,I462))</f>
        <v>332</v>
      </c>
      <c r="L462" s="7" t="n">
        <f aca="false">K462/10</f>
        <v>33.2</v>
      </c>
    </row>
    <row r="463" customFormat="false" ht="15" hidden="false" customHeight="false" outlineLevel="0" collapsed="false">
      <c r="A463" s="7" t="n">
        <v>458</v>
      </c>
      <c r="B463" s="7" t="n">
        <f aca="false">A463/10</f>
        <v>45.8</v>
      </c>
      <c r="C463" s="7" t="n">
        <f aca="false">IF(AND(A463=0,c_TCREEP&gt;0),10*c_TCREEP,IF(AND(A463&lt;=c_TRNGMIN,A463&gt;=c_TRNGMAX,c_TRNGMIN-c_TRNGMAX&lt;&gt;0),-10*c_TMINRN+QUOTIENT((c_TMAXRN-c_TMINRN)*(100-QUOTIENT((A463-c_TRNGMAX)*100,c_TRNGMIN-c_TRNGMAX)),-10),0))</f>
        <v>0</v>
      </c>
      <c r="D463" s="7" t="n">
        <f aca="false">IF(((c_TMAP1IN)-(c_TFWD))=0,(0)+QUOTIENT(((c_TMAP1OUT)-(0)),2),QUOTIENT((((A463)-(c_TFWD))*((c_TMAP1OUT)-(0))+IF(((c_TMAP1OUT)-(0))&gt;=0,1,-1)*QUOTIENT(((c_TMAP1IN)-(c_TFWD)),2)),((c_TMAP1IN)-(c_TFWD)))+(0)+IF(((c_TMAP1OUT)-(0))&gt;=0,IF(IF(o_WRAP=1,MOD(((c_TMAP1IN)-(c_TFWD))*(((A463)-(c_TFWD))*((c_TMAP1OUT)-(0))+IF(((c_TMAP1OUT)-(0))&gt;=0,1,-1)*QUOTIENT(((c_TMAP1IN)-(c_TFWD)),2))+2147483648,4294967296)-2147483648,((c_TMAP1IN)-(c_TFWD))*(((A463)-(c_TFWD))*((c_TMAP1OUT)-(0))+IF(((c_TMAP1OUT)-(0))&gt;=0,1,-1)*QUOTIENT(((c_TMAP1IN)-(c_TFWD)),2)))&lt;0,-1,0),IF(IF(o_WRAP=1,MOD(((c_TMAP1IN)-(c_TFWD))*(((A463)-(c_TFWD))*((c_TMAP1OUT)-(0))+IF(((c_TMAP1OUT)-(0))&gt;=0,1,-1)*QUOTIENT(((c_TMAP1IN)-(c_TFWD)),2))+2147483648,4294967296)-2147483648,((c_TMAP1IN)-(c_TFWD))*(((A463)-(c_TFWD))*((c_TMAP1OUT)-(0))+IF(((c_TMAP1OUT)-(0))&gt;=0,1,-1)*QUOTIENT(((c_TMAP1IN)-(c_TFWD)),2)))&gt;=0,1,0)))</f>
        <v>348</v>
      </c>
      <c r="E463" s="7" t="n">
        <f aca="false">IF(((c_TMAP2IN)-(c_TMAP1IN))=0,(c_TMAP1OUT)+QUOTIENT(((c_TMAP2OUT)-(c_TMAP1OUT)),2),QUOTIENT((((A463)-(c_TMAP1IN))*((c_TMAP2OUT)-(c_TMAP1OUT))+IF(((c_TMAP2OUT)-(c_TMAP1OUT))&gt;=0,1,-1)*QUOTIENT(((c_TMAP2IN)-(c_TMAP1IN)),2)),((c_TMAP2IN)-(c_TMAP1IN)))+(c_TMAP1OUT)+IF(((c_TMAP2OUT)-(c_TMAP1OUT))&gt;=0,IF(IF(o_WRAP=1,MOD(((c_TMAP2IN)-(c_TMAP1IN))*(((A463)-(c_TMAP1IN))*((c_TMAP2OUT)-(c_TMAP1OUT))+IF(((c_TMAP2OUT)-(c_TMAP1OUT))&gt;=0,1,-1)*QUOTIENT(((c_TMAP2IN)-(c_TMAP1IN)),2))+2147483648,4294967296)-2147483648,((c_TMAP2IN)-(c_TMAP1IN))*(((A463)-(c_TMAP1IN))*((c_TMAP2OUT)-(c_TMAP1OUT))+IF(((c_TMAP2OUT)-(c_TMAP1OUT))&gt;=0,1,-1)*QUOTIENT(((c_TMAP2IN)-(c_TMAP1IN)),2)))&lt;0,-1,0),IF(IF(o_WRAP=1,MOD(((c_TMAP2IN)-(c_TMAP1IN))*(((A463)-(c_TMAP1IN))*((c_TMAP2OUT)-(c_TMAP1OUT))+IF(((c_TMAP2OUT)-(c_TMAP1OUT))&gt;=0,1,-1)*QUOTIENT(((c_TMAP2IN)-(c_TMAP1IN)),2))+2147483648,4294967296)-2147483648,((c_TMAP2IN)-(c_TMAP1IN))*(((A463)-(c_TMAP1IN))*((c_TMAP2OUT)-(c_TMAP1OUT))+IF(((c_TMAP2OUT)-(c_TMAP1OUT))&gt;=0,1,-1)*QUOTIENT(((c_TMAP2IN)-(c_TMAP1IN)),2)))&gt;=0,1,0)))</f>
        <v>213</v>
      </c>
      <c r="F463" s="7" t="n">
        <f aca="false">IF(((c_TMAP3IN)-(c_TMAP2IN))=0,(c_TMAP2OUT)+QUOTIENT(((c_TMAP3OUT)-(c_TMAP2OUT)),2),QUOTIENT((((A463)-(c_TMAP2IN))*((c_TMAP3OUT)-(c_TMAP2OUT))+IF(((c_TMAP3OUT)-(c_TMAP2OUT))&gt;=0,1,-1)*QUOTIENT(((c_TMAP3IN)-(c_TMAP2IN)),2)),((c_TMAP3IN)-(c_TMAP2IN)))+(c_TMAP2OUT)+IF(((c_TMAP3OUT)-(c_TMAP2OUT))&gt;=0,IF(IF(o_WRAP=1,MOD(((c_TMAP3IN)-(c_TMAP2IN))*(((A463)-(c_TMAP2IN))*((c_TMAP3OUT)-(c_TMAP2OUT))+IF(((c_TMAP3OUT)-(c_TMAP2OUT))&gt;=0,1,-1)*QUOTIENT(((c_TMAP3IN)-(c_TMAP2IN)),2))+2147483648,4294967296)-2147483648,((c_TMAP3IN)-(c_TMAP2IN))*(((A463)-(c_TMAP2IN))*((c_TMAP3OUT)-(c_TMAP2OUT))+IF(((c_TMAP3OUT)-(c_TMAP2OUT))&gt;=0,1,-1)*QUOTIENT(((c_TMAP3IN)-(c_TMAP2IN)),2)))&lt;0,-1,0),IF(IF(o_WRAP=1,MOD(((c_TMAP3IN)-(c_TMAP2IN))*(((A463)-(c_TMAP2IN))*((c_TMAP3OUT)-(c_TMAP2OUT))+IF(((c_TMAP3OUT)-(c_TMAP2OUT))&gt;=0,1,-1)*QUOTIENT(((c_TMAP3IN)-(c_TMAP2IN)),2))+2147483648,4294967296)-2147483648,((c_TMAP3IN)-(c_TMAP2IN))*(((A463)-(c_TMAP2IN))*((c_TMAP3OUT)-(c_TMAP2OUT))+IF(((c_TMAP3OUT)-(c_TMAP2OUT))&gt;=0,1,-1)*QUOTIENT(((c_TMAP3IN)-(c_TMAP2IN)),2)))&gt;=0,1,0)))</f>
        <v>276</v>
      </c>
      <c r="G463" s="7" t="n">
        <f aca="false">IF(((1000)-(c_TMAP3IN))=0,(c_TMAP3OUT)+QUOTIENT(((1000)-(c_TMAP3OUT)),2),QUOTIENT((((A463)-(c_TMAP3IN))*((1000)-(c_TMAP3OUT))+IF(((1000)-(c_TMAP3OUT))&gt;=0,1,-1)*QUOTIENT(((1000)-(c_TMAP3IN)),2)),((1000)-(c_TMAP3IN)))+(c_TMAP3OUT)+IF(((1000)-(c_TMAP3OUT))&gt;=0,IF(IF(o_WRAP=1,MOD(((1000)-(c_TMAP3IN))*(((A463)-(c_TMAP3IN))*((1000)-(c_TMAP3OUT))+IF(((1000)-(c_TMAP3OUT))&gt;=0,1,-1)*QUOTIENT(((1000)-(c_TMAP3IN)),2))+2147483648,4294967296)-2147483648,((1000)-(c_TMAP3IN))*(((A463)-(c_TMAP3IN))*((1000)-(c_TMAP3OUT))+IF(((1000)-(c_TMAP3OUT))&gt;=0,1,-1)*QUOTIENT(((1000)-(c_TMAP3IN)),2)))&lt;0,-1,0),IF(IF(o_WRAP=1,MOD(((1000)-(c_TMAP3IN))*(((A463)-(c_TMAP3IN))*((1000)-(c_TMAP3OUT))+IF(((1000)-(c_TMAP3OUT))&gt;=0,1,-1)*QUOTIENT(((1000)-(c_TMAP3IN)),2))+2147483648,4294967296)-2147483648,((1000)-(c_TMAP3IN))*(((A463)-(c_TMAP3IN))*((1000)-(c_TMAP3OUT))+IF(((1000)-(c_TMAP3OUT))&gt;=0,1,-1)*QUOTIENT(((1000)-(c_TMAP3IN)),2)))&gt;=0,1,0)))</f>
        <v>333</v>
      </c>
      <c r="H463" s="7" t="str">
        <f aca="false">IF(A463&gt;=c_TFWD,IF(AND(A463&gt;=c_TMAP3IN,c_TMAP3IN&lt;1000),"Seg4 map3-100%",IF(AND(A463&gt;=c_TMAP2IN,c_TMAP3IN&gt;c_TMAP2IN),"Seg3 map2-map3",IF(AND(A463&gt;=c_TMAP1IN,c_TMAP2IN&gt;c_TMAP1IN),"Seg2 map1-map2","Seg1 TFWD-map1"))),IF(AND(A463=0,c_TCREEP&gt;0),"Creep",IF(AND(A463&lt;=c_TRNGMIN,A463&gt;=c_TRNGMAX,c_TRNGMIN-c_TRNGMAX&lt;&gt;0),"Regen ramp","Coast (0)")))</f>
        <v>Seg4 map3-100%</v>
      </c>
      <c r="I463" s="7" t="n">
        <f aca="false">IF(A463&gt;=c_TFWD,IF(AND(A463&gt;=c_TMAP3IN,c_TMAP3IN&lt;1000),G463,IF(AND(A463&gt;=c_TMAP2IN,c_TMAP3IN&gt;c_TMAP2IN),F463,IF(AND(A463&gt;=c_TMAP1IN,c_TMAP2IN&gt;c_TMAP1IN),E463,D463))),C463)</f>
        <v>333</v>
      </c>
      <c r="J463" s="7" t="str">
        <f aca="false">IF(I463&lt;-1090,"TOO LOW",IF(I463&gt;1090,"TOO HIGH",""))</f>
        <v/>
      </c>
      <c r="K463" s="15" t="n">
        <f aca="false">IF(J463&lt;&gt;"",0,IF(I463&gt;979,1000,I463))</f>
        <v>333</v>
      </c>
      <c r="L463" s="7" t="n">
        <f aca="false">K463/10</f>
        <v>33.3</v>
      </c>
    </row>
    <row r="464" customFormat="false" ht="15" hidden="false" customHeight="false" outlineLevel="0" collapsed="false">
      <c r="A464" s="7" t="n">
        <v>459</v>
      </c>
      <c r="B464" s="7" t="n">
        <f aca="false">A464/10</f>
        <v>45.9</v>
      </c>
      <c r="C464" s="7" t="n">
        <f aca="false">IF(AND(A464=0,c_TCREEP&gt;0),10*c_TCREEP,IF(AND(A464&lt;=c_TRNGMIN,A464&gt;=c_TRNGMAX,c_TRNGMIN-c_TRNGMAX&lt;&gt;0),-10*c_TMINRN+QUOTIENT((c_TMAXRN-c_TMINRN)*(100-QUOTIENT((A464-c_TRNGMAX)*100,c_TRNGMIN-c_TRNGMAX)),-10),0))</f>
        <v>0</v>
      </c>
      <c r="D464" s="7" t="n">
        <f aca="false">IF(((c_TMAP1IN)-(c_TFWD))=0,(0)+QUOTIENT(((c_TMAP1OUT)-(0)),2),QUOTIENT((((A464)-(c_TFWD))*((c_TMAP1OUT)-(0))+IF(((c_TMAP1OUT)-(0))&gt;=0,1,-1)*QUOTIENT(((c_TMAP1IN)-(c_TFWD)),2)),((c_TMAP1IN)-(c_TFWD)))+(0)+IF(((c_TMAP1OUT)-(0))&gt;=0,IF(IF(o_WRAP=1,MOD(((c_TMAP1IN)-(c_TFWD))*(((A464)-(c_TFWD))*((c_TMAP1OUT)-(0))+IF(((c_TMAP1OUT)-(0))&gt;=0,1,-1)*QUOTIENT(((c_TMAP1IN)-(c_TFWD)),2))+2147483648,4294967296)-2147483648,((c_TMAP1IN)-(c_TFWD))*(((A464)-(c_TFWD))*((c_TMAP1OUT)-(0))+IF(((c_TMAP1OUT)-(0))&gt;=0,1,-1)*QUOTIENT(((c_TMAP1IN)-(c_TFWD)),2)))&lt;0,-1,0),IF(IF(o_WRAP=1,MOD(((c_TMAP1IN)-(c_TFWD))*(((A464)-(c_TFWD))*((c_TMAP1OUT)-(0))+IF(((c_TMAP1OUT)-(0))&gt;=0,1,-1)*QUOTIENT(((c_TMAP1IN)-(c_TFWD)),2))+2147483648,4294967296)-2147483648,((c_TMAP1IN)-(c_TFWD))*(((A464)-(c_TFWD))*((c_TMAP1OUT)-(0))+IF(((c_TMAP1OUT)-(0))&gt;=0,1,-1)*QUOTIENT(((c_TMAP1IN)-(c_TFWD)),2)))&gt;=0,1,0)))</f>
        <v>349</v>
      </c>
      <c r="E464" s="7" t="n">
        <f aca="false">IF(((c_TMAP2IN)-(c_TMAP1IN))=0,(c_TMAP1OUT)+QUOTIENT(((c_TMAP2OUT)-(c_TMAP1OUT)),2),QUOTIENT((((A464)-(c_TMAP1IN))*((c_TMAP2OUT)-(c_TMAP1OUT))+IF(((c_TMAP2OUT)-(c_TMAP1OUT))&gt;=0,1,-1)*QUOTIENT(((c_TMAP2IN)-(c_TMAP1IN)),2)),((c_TMAP2IN)-(c_TMAP1IN)))+(c_TMAP1OUT)+IF(((c_TMAP2OUT)-(c_TMAP1OUT))&gt;=0,IF(IF(o_WRAP=1,MOD(((c_TMAP2IN)-(c_TMAP1IN))*(((A464)-(c_TMAP1IN))*((c_TMAP2OUT)-(c_TMAP1OUT))+IF(((c_TMAP2OUT)-(c_TMAP1OUT))&gt;=0,1,-1)*QUOTIENT(((c_TMAP2IN)-(c_TMAP1IN)),2))+2147483648,4294967296)-2147483648,((c_TMAP2IN)-(c_TMAP1IN))*(((A464)-(c_TMAP1IN))*((c_TMAP2OUT)-(c_TMAP1OUT))+IF(((c_TMAP2OUT)-(c_TMAP1OUT))&gt;=0,1,-1)*QUOTIENT(((c_TMAP2IN)-(c_TMAP1IN)),2)))&lt;0,-1,0),IF(IF(o_WRAP=1,MOD(((c_TMAP2IN)-(c_TMAP1IN))*(((A464)-(c_TMAP1IN))*((c_TMAP2OUT)-(c_TMAP1OUT))+IF(((c_TMAP2OUT)-(c_TMAP1OUT))&gt;=0,1,-1)*QUOTIENT(((c_TMAP2IN)-(c_TMAP1IN)),2))+2147483648,4294967296)-2147483648,((c_TMAP2IN)-(c_TMAP1IN))*(((A464)-(c_TMAP1IN))*((c_TMAP2OUT)-(c_TMAP1OUT))+IF(((c_TMAP2OUT)-(c_TMAP1OUT))&gt;=0,1,-1)*QUOTIENT(((c_TMAP2IN)-(c_TMAP1IN)),2)))&gt;=0,1,0)))</f>
        <v>214</v>
      </c>
      <c r="F464" s="7" t="n">
        <f aca="false">IF(((c_TMAP3IN)-(c_TMAP2IN))=0,(c_TMAP2OUT)+QUOTIENT(((c_TMAP3OUT)-(c_TMAP2OUT)),2),QUOTIENT((((A464)-(c_TMAP2IN))*((c_TMAP3OUT)-(c_TMAP2OUT))+IF(((c_TMAP3OUT)-(c_TMAP2OUT))&gt;=0,1,-1)*QUOTIENT(((c_TMAP3IN)-(c_TMAP2IN)),2)),((c_TMAP3IN)-(c_TMAP2IN)))+(c_TMAP2OUT)+IF(((c_TMAP3OUT)-(c_TMAP2OUT))&gt;=0,IF(IF(o_WRAP=1,MOD(((c_TMAP3IN)-(c_TMAP2IN))*(((A464)-(c_TMAP2IN))*((c_TMAP3OUT)-(c_TMAP2OUT))+IF(((c_TMAP3OUT)-(c_TMAP2OUT))&gt;=0,1,-1)*QUOTIENT(((c_TMAP3IN)-(c_TMAP2IN)),2))+2147483648,4294967296)-2147483648,((c_TMAP3IN)-(c_TMAP2IN))*(((A464)-(c_TMAP2IN))*((c_TMAP3OUT)-(c_TMAP2OUT))+IF(((c_TMAP3OUT)-(c_TMAP2OUT))&gt;=0,1,-1)*QUOTIENT(((c_TMAP3IN)-(c_TMAP2IN)),2)))&lt;0,-1,0),IF(IF(o_WRAP=1,MOD(((c_TMAP3IN)-(c_TMAP2IN))*(((A464)-(c_TMAP2IN))*((c_TMAP3OUT)-(c_TMAP2OUT))+IF(((c_TMAP3OUT)-(c_TMAP2OUT))&gt;=0,1,-1)*QUOTIENT(((c_TMAP3IN)-(c_TMAP2IN)),2))+2147483648,4294967296)-2147483648,((c_TMAP3IN)-(c_TMAP2IN))*(((A464)-(c_TMAP2IN))*((c_TMAP3OUT)-(c_TMAP2OUT))+IF(((c_TMAP3OUT)-(c_TMAP2OUT))&gt;=0,1,-1)*QUOTIENT(((c_TMAP3IN)-(c_TMAP2IN)),2)))&gt;=0,1,0)))</f>
        <v>276</v>
      </c>
      <c r="G464" s="7" t="n">
        <f aca="false">IF(((1000)-(c_TMAP3IN))=0,(c_TMAP3OUT)+QUOTIENT(((1000)-(c_TMAP3OUT)),2),QUOTIENT((((A464)-(c_TMAP3IN))*((1000)-(c_TMAP3OUT))+IF(((1000)-(c_TMAP3OUT))&gt;=0,1,-1)*QUOTIENT(((1000)-(c_TMAP3IN)),2)),((1000)-(c_TMAP3IN)))+(c_TMAP3OUT)+IF(((1000)-(c_TMAP3OUT))&gt;=0,IF(IF(o_WRAP=1,MOD(((1000)-(c_TMAP3IN))*(((A464)-(c_TMAP3IN))*((1000)-(c_TMAP3OUT))+IF(((1000)-(c_TMAP3OUT))&gt;=0,1,-1)*QUOTIENT(((1000)-(c_TMAP3IN)),2))+2147483648,4294967296)-2147483648,((1000)-(c_TMAP3IN))*(((A464)-(c_TMAP3IN))*((1000)-(c_TMAP3OUT))+IF(((1000)-(c_TMAP3OUT))&gt;=0,1,-1)*QUOTIENT(((1000)-(c_TMAP3IN)),2)))&lt;0,-1,0),IF(IF(o_WRAP=1,MOD(((1000)-(c_TMAP3IN))*(((A464)-(c_TMAP3IN))*((1000)-(c_TMAP3OUT))+IF(((1000)-(c_TMAP3OUT))&gt;=0,1,-1)*QUOTIENT(((1000)-(c_TMAP3IN)),2))+2147483648,4294967296)-2147483648,((1000)-(c_TMAP3IN))*(((A464)-(c_TMAP3IN))*((1000)-(c_TMAP3OUT))+IF(((1000)-(c_TMAP3OUT))&gt;=0,1,-1)*QUOTIENT(((1000)-(c_TMAP3IN)),2)))&gt;=0,1,0)))</f>
        <v>334</v>
      </c>
      <c r="H464" s="7" t="str">
        <f aca="false">IF(A464&gt;=c_TFWD,IF(AND(A464&gt;=c_TMAP3IN,c_TMAP3IN&lt;1000),"Seg4 map3-100%",IF(AND(A464&gt;=c_TMAP2IN,c_TMAP3IN&gt;c_TMAP2IN),"Seg3 map2-map3",IF(AND(A464&gt;=c_TMAP1IN,c_TMAP2IN&gt;c_TMAP1IN),"Seg2 map1-map2","Seg1 TFWD-map1"))),IF(AND(A464=0,c_TCREEP&gt;0),"Creep",IF(AND(A464&lt;=c_TRNGMIN,A464&gt;=c_TRNGMAX,c_TRNGMIN-c_TRNGMAX&lt;&gt;0),"Regen ramp","Coast (0)")))</f>
        <v>Seg4 map3-100%</v>
      </c>
      <c r="I464" s="7" t="n">
        <f aca="false">IF(A464&gt;=c_TFWD,IF(AND(A464&gt;=c_TMAP3IN,c_TMAP3IN&lt;1000),G464,IF(AND(A464&gt;=c_TMAP2IN,c_TMAP3IN&gt;c_TMAP2IN),F464,IF(AND(A464&gt;=c_TMAP1IN,c_TMAP2IN&gt;c_TMAP1IN),E464,D464))),C464)</f>
        <v>334</v>
      </c>
      <c r="J464" s="7" t="str">
        <f aca="false">IF(I464&lt;-1090,"TOO LOW",IF(I464&gt;1090,"TOO HIGH",""))</f>
        <v/>
      </c>
      <c r="K464" s="15" t="n">
        <f aca="false">IF(J464&lt;&gt;"",0,IF(I464&gt;979,1000,I464))</f>
        <v>334</v>
      </c>
      <c r="L464" s="7" t="n">
        <f aca="false">K464/10</f>
        <v>33.4</v>
      </c>
    </row>
    <row r="465" customFormat="false" ht="15" hidden="false" customHeight="false" outlineLevel="0" collapsed="false">
      <c r="A465" s="7" t="n">
        <v>460</v>
      </c>
      <c r="B465" s="7" t="n">
        <f aca="false">A465/10</f>
        <v>46</v>
      </c>
      <c r="C465" s="7" t="n">
        <f aca="false">IF(AND(A465=0,c_TCREEP&gt;0),10*c_TCREEP,IF(AND(A465&lt;=c_TRNGMIN,A465&gt;=c_TRNGMAX,c_TRNGMIN-c_TRNGMAX&lt;&gt;0),-10*c_TMINRN+QUOTIENT((c_TMAXRN-c_TMINRN)*(100-QUOTIENT((A465-c_TRNGMAX)*100,c_TRNGMIN-c_TRNGMAX)),-10),0))</f>
        <v>0</v>
      </c>
      <c r="D465" s="7" t="n">
        <f aca="false">IF(((c_TMAP1IN)-(c_TFWD))=0,(0)+QUOTIENT(((c_TMAP1OUT)-(0)),2),QUOTIENT((((A465)-(c_TFWD))*((c_TMAP1OUT)-(0))+IF(((c_TMAP1OUT)-(0))&gt;=0,1,-1)*QUOTIENT(((c_TMAP1IN)-(c_TFWD)),2)),((c_TMAP1IN)-(c_TFWD)))+(0)+IF(((c_TMAP1OUT)-(0))&gt;=0,IF(IF(o_WRAP=1,MOD(((c_TMAP1IN)-(c_TFWD))*(((A465)-(c_TFWD))*((c_TMAP1OUT)-(0))+IF(((c_TMAP1OUT)-(0))&gt;=0,1,-1)*QUOTIENT(((c_TMAP1IN)-(c_TFWD)),2))+2147483648,4294967296)-2147483648,((c_TMAP1IN)-(c_TFWD))*(((A465)-(c_TFWD))*((c_TMAP1OUT)-(0))+IF(((c_TMAP1OUT)-(0))&gt;=0,1,-1)*QUOTIENT(((c_TMAP1IN)-(c_TFWD)),2)))&lt;0,-1,0),IF(IF(o_WRAP=1,MOD(((c_TMAP1IN)-(c_TFWD))*(((A465)-(c_TFWD))*((c_TMAP1OUT)-(0))+IF(((c_TMAP1OUT)-(0))&gt;=0,1,-1)*QUOTIENT(((c_TMAP1IN)-(c_TFWD)),2))+2147483648,4294967296)-2147483648,((c_TMAP1IN)-(c_TFWD))*(((A465)-(c_TFWD))*((c_TMAP1OUT)-(0))+IF(((c_TMAP1OUT)-(0))&gt;=0,1,-1)*QUOTIENT(((c_TMAP1IN)-(c_TFWD)),2)))&gt;=0,1,0)))</f>
        <v>350</v>
      </c>
      <c r="E465" s="7" t="n">
        <f aca="false">IF(((c_TMAP2IN)-(c_TMAP1IN))=0,(c_TMAP1OUT)+QUOTIENT(((c_TMAP2OUT)-(c_TMAP1OUT)),2),QUOTIENT((((A465)-(c_TMAP1IN))*((c_TMAP2OUT)-(c_TMAP1OUT))+IF(((c_TMAP2OUT)-(c_TMAP1OUT))&gt;=0,1,-1)*QUOTIENT(((c_TMAP2IN)-(c_TMAP1IN)),2)),((c_TMAP2IN)-(c_TMAP1IN)))+(c_TMAP1OUT)+IF(((c_TMAP2OUT)-(c_TMAP1OUT))&gt;=0,IF(IF(o_WRAP=1,MOD(((c_TMAP2IN)-(c_TMAP1IN))*(((A465)-(c_TMAP1IN))*((c_TMAP2OUT)-(c_TMAP1OUT))+IF(((c_TMAP2OUT)-(c_TMAP1OUT))&gt;=0,1,-1)*QUOTIENT(((c_TMAP2IN)-(c_TMAP1IN)),2))+2147483648,4294967296)-2147483648,((c_TMAP2IN)-(c_TMAP1IN))*(((A465)-(c_TMAP1IN))*((c_TMAP2OUT)-(c_TMAP1OUT))+IF(((c_TMAP2OUT)-(c_TMAP1OUT))&gt;=0,1,-1)*QUOTIENT(((c_TMAP2IN)-(c_TMAP1IN)),2)))&lt;0,-1,0),IF(IF(o_WRAP=1,MOD(((c_TMAP2IN)-(c_TMAP1IN))*(((A465)-(c_TMAP1IN))*((c_TMAP2OUT)-(c_TMAP1OUT))+IF(((c_TMAP2OUT)-(c_TMAP1OUT))&gt;=0,1,-1)*QUOTIENT(((c_TMAP2IN)-(c_TMAP1IN)),2))+2147483648,4294967296)-2147483648,((c_TMAP2IN)-(c_TMAP1IN))*(((A465)-(c_TMAP1IN))*((c_TMAP2OUT)-(c_TMAP1OUT))+IF(((c_TMAP2OUT)-(c_TMAP1OUT))&gt;=0,1,-1)*QUOTIENT(((c_TMAP2IN)-(c_TMAP1IN)),2)))&gt;=0,1,0)))</f>
        <v>214</v>
      </c>
      <c r="F465" s="7" t="n">
        <f aca="false">IF(((c_TMAP3IN)-(c_TMAP2IN))=0,(c_TMAP2OUT)+QUOTIENT(((c_TMAP3OUT)-(c_TMAP2OUT)),2),QUOTIENT((((A465)-(c_TMAP2IN))*((c_TMAP3OUT)-(c_TMAP2OUT))+IF(((c_TMAP3OUT)-(c_TMAP2OUT))&gt;=0,1,-1)*QUOTIENT(((c_TMAP3IN)-(c_TMAP2IN)),2)),((c_TMAP3IN)-(c_TMAP2IN)))+(c_TMAP2OUT)+IF(((c_TMAP3OUT)-(c_TMAP2OUT))&gt;=0,IF(IF(o_WRAP=1,MOD(((c_TMAP3IN)-(c_TMAP2IN))*(((A465)-(c_TMAP2IN))*((c_TMAP3OUT)-(c_TMAP2OUT))+IF(((c_TMAP3OUT)-(c_TMAP2OUT))&gt;=0,1,-1)*QUOTIENT(((c_TMAP3IN)-(c_TMAP2IN)),2))+2147483648,4294967296)-2147483648,((c_TMAP3IN)-(c_TMAP2IN))*(((A465)-(c_TMAP2IN))*((c_TMAP3OUT)-(c_TMAP2OUT))+IF(((c_TMAP3OUT)-(c_TMAP2OUT))&gt;=0,1,-1)*QUOTIENT(((c_TMAP3IN)-(c_TMAP2IN)),2)))&lt;0,-1,0),IF(IF(o_WRAP=1,MOD(((c_TMAP3IN)-(c_TMAP2IN))*(((A465)-(c_TMAP2IN))*((c_TMAP3OUT)-(c_TMAP2OUT))+IF(((c_TMAP3OUT)-(c_TMAP2OUT))&gt;=0,1,-1)*QUOTIENT(((c_TMAP3IN)-(c_TMAP2IN)),2))+2147483648,4294967296)-2147483648,((c_TMAP3IN)-(c_TMAP2IN))*(((A465)-(c_TMAP2IN))*((c_TMAP3OUT)-(c_TMAP2OUT))+IF(((c_TMAP3OUT)-(c_TMAP2OUT))&gt;=0,1,-1)*QUOTIENT(((c_TMAP3IN)-(c_TMAP2IN)),2)))&gt;=0,1,0)))</f>
        <v>277</v>
      </c>
      <c r="G465" s="7" t="n">
        <f aca="false">IF(((1000)-(c_TMAP3IN))=0,(c_TMAP3OUT)+QUOTIENT(((1000)-(c_TMAP3OUT)),2),QUOTIENT((((A465)-(c_TMAP3IN))*((1000)-(c_TMAP3OUT))+IF(((1000)-(c_TMAP3OUT))&gt;=0,1,-1)*QUOTIENT(((1000)-(c_TMAP3IN)),2)),((1000)-(c_TMAP3IN)))+(c_TMAP3OUT)+IF(((1000)-(c_TMAP3OUT))&gt;=0,IF(IF(o_WRAP=1,MOD(((1000)-(c_TMAP3IN))*(((A465)-(c_TMAP3IN))*((1000)-(c_TMAP3OUT))+IF(((1000)-(c_TMAP3OUT))&gt;=0,1,-1)*QUOTIENT(((1000)-(c_TMAP3IN)),2))+2147483648,4294967296)-2147483648,((1000)-(c_TMAP3IN))*(((A465)-(c_TMAP3IN))*((1000)-(c_TMAP3OUT))+IF(((1000)-(c_TMAP3OUT))&gt;=0,1,-1)*QUOTIENT(((1000)-(c_TMAP3IN)),2)))&lt;0,-1,0),IF(IF(o_WRAP=1,MOD(((1000)-(c_TMAP3IN))*(((A465)-(c_TMAP3IN))*((1000)-(c_TMAP3OUT))+IF(((1000)-(c_TMAP3OUT))&gt;=0,1,-1)*QUOTIENT(((1000)-(c_TMAP3IN)),2))+2147483648,4294967296)-2147483648,((1000)-(c_TMAP3IN))*(((A465)-(c_TMAP3IN))*((1000)-(c_TMAP3OUT))+IF(((1000)-(c_TMAP3OUT))&gt;=0,1,-1)*QUOTIENT(((1000)-(c_TMAP3IN)),2)))&gt;=0,1,0)))</f>
        <v>335</v>
      </c>
      <c r="H465" s="7" t="str">
        <f aca="false">IF(A465&gt;=c_TFWD,IF(AND(A465&gt;=c_TMAP3IN,c_TMAP3IN&lt;1000),"Seg4 map3-100%",IF(AND(A465&gt;=c_TMAP2IN,c_TMAP3IN&gt;c_TMAP2IN),"Seg3 map2-map3",IF(AND(A465&gt;=c_TMAP1IN,c_TMAP2IN&gt;c_TMAP1IN),"Seg2 map1-map2","Seg1 TFWD-map1"))),IF(AND(A465=0,c_TCREEP&gt;0),"Creep",IF(AND(A465&lt;=c_TRNGMIN,A465&gt;=c_TRNGMAX,c_TRNGMIN-c_TRNGMAX&lt;&gt;0),"Regen ramp","Coast (0)")))</f>
        <v>Seg4 map3-100%</v>
      </c>
      <c r="I465" s="7" t="n">
        <f aca="false">IF(A465&gt;=c_TFWD,IF(AND(A465&gt;=c_TMAP3IN,c_TMAP3IN&lt;1000),G465,IF(AND(A465&gt;=c_TMAP2IN,c_TMAP3IN&gt;c_TMAP2IN),F465,IF(AND(A465&gt;=c_TMAP1IN,c_TMAP2IN&gt;c_TMAP1IN),E465,D465))),C465)</f>
        <v>335</v>
      </c>
      <c r="J465" s="7" t="str">
        <f aca="false">IF(I465&lt;-1090,"TOO LOW",IF(I465&gt;1090,"TOO HIGH",""))</f>
        <v/>
      </c>
      <c r="K465" s="15" t="n">
        <f aca="false">IF(J465&lt;&gt;"",0,IF(I465&gt;979,1000,I465))</f>
        <v>335</v>
      </c>
      <c r="L465" s="7" t="n">
        <f aca="false">K465/10</f>
        <v>33.5</v>
      </c>
    </row>
    <row r="466" customFormat="false" ht="15" hidden="false" customHeight="false" outlineLevel="0" collapsed="false">
      <c r="A466" s="7" t="n">
        <v>461</v>
      </c>
      <c r="B466" s="7" t="n">
        <f aca="false">A466/10</f>
        <v>46.1</v>
      </c>
      <c r="C466" s="7" t="n">
        <f aca="false">IF(AND(A466=0,c_TCREEP&gt;0),10*c_TCREEP,IF(AND(A466&lt;=c_TRNGMIN,A466&gt;=c_TRNGMAX,c_TRNGMIN-c_TRNGMAX&lt;&gt;0),-10*c_TMINRN+QUOTIENT((c_TMAXRN-c_TMINRN)*(100-QUOTIENT((A466-c_TRNGMAX)*100,c_TRNGMIN-c_TRNGMAX)),-10),0))</f>
        <v>0</v>
      </c>
      <c r="D466" s="7" t="n">
        <f aca="false">IF(((c_TMAP1IN)-(c_TFWD))=0,(0)+QUOTIENT(((c_TMAP1OUT)-(0)),2),QUOTIENT((((A466)-(c_TFWD))*((c_TMAP1OUT)-(0))+IF(((c_TMAP1OUT)-(0))&gt;=0,1,-1)*QUOTIENT(((c_TMAP1IN)-(c_TFWD)),2)),((c_TMAP1IN)-(c_TFWD)))+(0)+IF(((c_TMAP1OUT)-(0))&gt;=0,IF(IF(o_WRAP=1,MOD(((c_TMAP1IN)-(c_TFWD))*(((A466)-(c_TFWD))*((c_TMAP1OUT)-(0))+IF(((c_TMAP1OUT)-(0))&gt;=0,1,-1)*QUOTIENT(((c_TMAP1IN)-(c_TFWD)),2))+2147483648,4294967296)-2147483648,((c_TMAP1IN)-(c_TFWD))*(((A466)-(c_TFWD))*((c_TMAP1OUT)-(0))+IF(((c_TMAP1OUT)-(0))&gt;=0,1,-1)*QUOTIENT(((c_TMAP1IN)-(c_TFWD)),2)))&lt;0,-1,0),IF(IF(o_WRAP=1,MOD(((c_TMAP1IN)-(c_TFWD))*(((A466)-(c_TFWD))*((c_TMAP1OUT)-(0))+IF(((c_TMAP1OUT)-(0))&gt;=0,1,-1)*QUOTIENT(((c_TMAP1IN)-(c_TFWD)),2))+2147483648,4294967296)-2147483648,((c_TMAP1IN)-(c_TFWD))*(((A466)-(c_TFWD))*((c_TMAP1OUT)-(0))+IF(((c_TMAP1OUT)-(0))&gt;=0,1,-1)*QUOTIENT(((c_TMAP1IN)-(c_TFWD)),2)))&gt;=0,1,0)))</f>
        <v>351</v>
      </c>
      <c r="E466" s="7" t="n">
        <f aca="false">IF(((c_TMAP2IN)-(c_TMAP1IN))=0,(c_TMAP1OUT)+QUOTIENT(((c_TMAP2OUT)-(c_TMAP1OUT)),2),QUOTIENT((((A466)-(c_TMAP1IN))*((c_TMAP2OUT)-(c_TMAP1OUT))+IF(((c_TMAP2OUT)-(c_TMAP1OUT))&gt;=0,1,-1)*QUOTIENT(((c_TMAP2IN)-(c_TMAP1IN)),2)),((c_TMAP2IN)-(c_TMAP1IN)))+(c_TMAP1OUT)+IF(((c_TMAP2OUT)-(c_TMAP1OUT))&gt;=0,IF(IF(o_WRAP=1,MOD(((c_TMAP2IN)-(c_TMAP1IN))*(((A466)-(c_TMAP1IN))*((c_TMAP2OUT)-(c_TMAP1OUT))+IF(((c_TMAP2OUT)-(c_TMAP1OUT))&gt;=0,1,-1)*QUOTIENT(((c_TMAP2IN)-(c_TMAP1IN)),2))+2147483648,4294967296)-2147483648,((c_TMAP2IN)-(c_TMAP1IN))*(((A466)-(c_TMAP1IN))*((c_TMAP2OUT)-(c_TMAP1OUT))+IF(((c_TMAP2OUT)-(c_TMAP1OUT))&gt;=0,1,-1)*QUOTIENT(((c_TMAP2IN)-(c_TMAP1IN)),2)))&lt;0,-1,0),IF(IF(o_WRAP=1,MOD(((c_TMAP2IN)-(c_TMAP1IN))*(((A466)-(c_TMAP1IN))*((c_TMAP2OUT)-(c_TMAP1OUT))+IF(((c_TMAP2OUT)-(c_TMAP1OUT))&gt;=0,1,-1)*QUOTIENT(((c_TMAP2IN)-(c_TMAP1IN)),2))+2147483648,4294967296)-2147483648,((c_TMAP2IN)-(c_TMAP1IN))*(((A466)-(c_TMAP1IN))*((c_TMAP2OUT)-(c_TMAP1OUT))+IF(((c_TMAP2OUT)-(c_TMAP1OUT))&gt;=0,1,-1)*QUOTIENT(((c_TMAP2IN)-(c_TMAP1IN)),2)))&gt;=0,1,0)))</f>
        <v>214</v>
      </c>
      <c r="F466" s="7" t="n">
        <f aca="false">IF(((c_TMAP3IN)-(c_TMAP2IN))=0,(c_TMAP2OUT)+QUOTIENT(((c_TMAP3OUT)-(c_TMAP2OUT)),2),QUOTIENT((((A466)-(c_TMAP2IN))*((c_TMAP3OUT)-(c_TMAP2OUT))+IF(((c_TMAP3OUT)-(c_TMAP2OUT))&gt;=0,1,-1)*QUOTIENT(((c_TMAP3IN)-(c_TMAP2IN)),2)),((c_TMAP3IN)-(c_TMAP2IN)))+(c_TMAP2OUT)+IF(((c_TMAP3OUT)-(c_TMAP2OUT))&gt;=0,IF(IF(o_WRAP=1,MOD(((c_TMAP3IN)-(c_TMAP2IN))*(((A466)-(c_TMAP2IN))*((c_TMAP3OUT)-(c_TMAP2OUT))+IF(((c_TMAP3OUT)-(c_TMAP2OUT))&gt;=0,1,-1)*QUOTIENT(((c_TMAP3IN)-(c_TMAP2IN)),2))+2147483648,4294967296)-2147483648,((c_TMAP3IN)-(c_TMAP2IN))*(((A466)-(c_TMAP2IN))*((c_TMAP3OUT)-(c_TMAP2OUT))+IF(((c_TMAP3OUT)-(c_TMAP2OUT))&gt;=0,1,-1)*QUOTIENT(((c_TMAP3IN)-(c_TMAP2IN)),2)))&lt;0,-1,0),IF(IF(o_WRAP=1,MOD(((c_TMAP3IN)-(c_TMAP2IN))*(((A466)-(c_TMAP2IN))*((c_TMAP3OUT)-(c_TMAP2OUT))+IF(((c_TMAP3OUT)-(c_TMAP2OUT))&gt;=0,1,-1)*QUOTIENT(((c_TMAP3IN)-(c_TMAP2IN)),2))+2147483648,4294967296)-2147483648,((c_TMAP3IN)-(c_TMAP2IN))*(((A466)-(c_TMAP2IN))*((c_TMAP3OUT)-(c_TMAP2OUT))+IF(((c_TMAP3OUT)-(c_TMAP2OUT))&gt;=0,1,-1)*QUOTIENT(((c_TMAP3IN)-(c_TMAP2IN)),2)))&gt;=0,1,0)))</f>
        <v>278</v>
      </c>
      <c r="G466" s="7" t="n">
        <f aca="false">IF(((1000)-(c_TMAP3IN))=0,(c_TMAP3OUT)+QUOTIENT(((1000)-(c_TMAP3OUT)),2),QUOTIENT((((A466)-(c_TMAP3IN))*((1000)-(c_TMAP3OUT))+IF(((1000)-(c_TMAP3OUT))&gt;=0,1,-1)*QUOTIENT(((1000)-(c_TMAP3IN)),2)),((1000)-(c_TMAP3IN)))+(c_TMAP3OUT)+IF(((1000)-(c_TMAP3OUT))&gt;=0,IF(IF(o_WRAP=1,MOD(((1000)-(c_TMAP3IN))*(((A466)-(c_TMAP3IN))*((1000)-(c_TMAP3OUT))+IF(((1000)-(c_TMAP3OUT))&gt;=0,1,-1)*QUOTIENT(((1000)-(c_TMAP3IN)),2))+2147483648,4294967296)-2147483648,((1000)-(c_TMAP3IN))*(((A466)-(c_TMAP3IN))*((1000)-(c_TMAP3OUT))+IF(((1000)-(c_TMAP3OUT))&gt;=0,1,-1)*QUOTIENT(((1000)-(c_TMAP3IN)),2)))&lt;0,-1,0),IF(IF(o_WRAP=1,MOD(((1000)-(c_TMAP3IN))*(((A466)-(c_TMAP3IN))*((1000)-(c_TMAP3OUT))+IF(((1000)-(c_TMAP3OUT))&gt;=0,1,-1)*QUOTIENT(((1000)-(c_TMAP3IN)),2))+2147483648,4294967296)-2147483648,((1000)-(c_TMAP3IN))*(((A466)-(c_TMAP3IN))*((1000)-(c_TMAP3OUT))+IF(((1000)-(c_TMAP3OUT))&gt;=0,1,-1)*QUOTIENT(((1000)-(c_TMAP3IN)),2)))&gt;=0,1,0)))</f>
        <v>337</v>
      </c>
      <c r="H466" s="7" t="str">
        <f aca="false">IF(A466&gt;=c_TFWD,IF(AND(A466&gt;=c_TMAP3IN,c_TMAP3IN&lt;1000),"Seg4 map3-100%",IF(AND(A466&gt;=c_TMAP2IN,c_TMAP3IN&gt;c_TMAP2IN),"Seg3 map2-map3",IF(AND(A466&gt;=c_TMAP1IN,c_TMAP2IN&gt;c_TMAP1IN),"Seg2 map1-map2","Seg1 TFWD-map1"))),IF(AND(A466=0,c_TCREEP&gt;0),"Creep",IF(AND(A466&lt;=c_TRNGMIN,A466&gt;=c_TRNGMAX,c_TRNGMIN-c_TRNGMAX&lt;&gt;0),"Regen ramp","Coast (0)")))</f>
        <v>Seg4 map3-100%</v>
      </c>
      <c r="I466" s="7" t="n">
        <f aca="false">IF(A466&gt;=c_TFWD,IF(AND(A466&gt;=c_TMAP3IN,c_TMAP3IN&lt;1000),G466,IF(AND(A466&gt;=c_TMAP2IN,c_TMAP3IN&gt;c_TMAP2IN),F466,IF(AND(A466&gt;=c_TMAP1IN,c_TMAP2IN&gt;c_TMAP1IN),E466,D466))),C466)</f>
        <v>337</v>
      </c>
      <c r="J466" s="7" t="str">
        <f aca="false">IF(I466&lt;-1090,"TOO LOW",IF(I466&gt;1090,"TOO HIGH",""))</f>
        <v/>
      </c>
      <c r="K466" s="15" t="n">
        <f aca="false">IF(J466&lt;&gt;"",0,IF(I466&gt;979,1000,I466))</f>
        <v>337</v>
      </c>
      <c r="L466" s="7" t="n">
        <f aca="false">K466/10</f>
        <v>33.7</v>
      </c>
    </row>
    <row r="467" customFormat="false" ht="15" hidden="false" customHeight="false" outlineLevel="0" collapsed="false">
      <c r="A467" s="7" t="n">
        <v>462</v>
      </c>
      <c r="B467" s="7" t="n">
        <f aca="false">A467/10</f>
        <v>46.2</v>
      </c>
      <c r="C467" s="7" t="n">
        <f aca="false">IF(AND(A467=0,c_TCREEP&gt;0),10*c_TCREEP,IF(AND(A467&lt;=c_TRNGMIN,A467&gt;=c_TRNGMAX,c_TRNGMIN-c_TRNGMAX&lt;&gt;0),-10*c_TMINRN+QUOTIENT((c_TMAXRN-c_TMINRN)*(100-QUOTIENT((A467-c_TRNGMAX)*100,c_TRNGMIN-c_TRNGMAX)),-10),0))</f>
        <v>0</v>
      </c>
      <c r="D467" s="7" t="n">
        <f aca="false">IF(((c_TMAP1IN)-(c_TFWD))=0,(0)+QUOTIENT(((c_TMAP1OUT)-(0)),2),QUOTIENT((((A467)-(c_TFWD))*((c_TMAP1OUT)-(0))+IF(((c_TMAP1OUT)-(0))&gt;=0,1,-1)*QUOTIENT(((c_TMAP1IN)-(c_TFWD)),2)),((c_TMAP1IN)-(c_TFWD)))+(0)+IF(((c_TMAP1OUT)-(0))&gt;=0,IF(IF(o_WRAP=1,MOD(((c_TMAP1IN)-(c_TFWD))*(((A467)-(c_TFWD))*((c_TMAP1OUT)-(0))+IF(((c_TMAP1OUT)-(0))&gt;=0,1,-1)*QUOTIENT(((c_TMAP1IN)-(c_TFWD)),2))+2147483648,4294967296)-2147483648,((c_TMAP1IN)-(c_TFWD))*(((A467)-(c_TFWD))*((c_TMAP1OUT)-(0))+IF(((c_TMAP1OUT)-(0))&gt;=0,1,-1)*QUOTIENT(((c_TMAP1IN)-(c_TFWD)),2)))&lt;0,-1,0),IF(IF(o_WRAP=1,MOD(((c_TMAP1IN)-(c_TFWD))*(((A467)-(c_TFWD))*((c_TMAP1OUT)-(0))+IF(((c_TMAP1OUT)-(0))&gt;=0,1,-1)*QUOTIENT(((c_TMAP1IN)-(c_TFWD)),2))+2147483648,4294967296)-2147483648,((c_TMAP1IN)-(c_TFWD))*(((A467)-(c_TFWD))*((c_TMAP1OUT)-(0))+IF(((c_TMAP1OUT)-(0))&gt;=0,1,-1)*QUOTIENT(((c_TMAP1IN)-(c_TFWD)),2)))&gt;=0,1,0)))</f>
        <v>352</v>
      </c>
      <c r="E467" s="7" t="n">
        <f aca="false">IF(((c_TMAP2IN)-(c_TMAP1IN))=0,(c_TMAP1OUT)+QUOTIENT(((c_TMAP2OUT)-(c_TMAP1OUT)),2),QUOTIENT((((A467)-(c_TMAP1IN))*((c_TMAP2OUT)-(c_TMAP1OUT))+IF(((c_TMAP2OUT)-(c_TMAP1OUT))&gt;=0,1,-1)*QUOTIENT(((c_TMAP2IN)-(c_TMAP1IN)),2)),((c_TMAP2IN)-(c_TMAP1IN)))+(c_TMAP1OUT)+IF(((c_TMAP2OUT)-(c_TMAP1OUT))&gt;=0,IF(IF(o_WRAP=1,MOD(((c_TMAP2IN)-(c_TMAP1IN))*(((A467)-(c_TMAP1IN))*((c_TMAP2OUT)-(c_TMAP1OUT))+IF(((c_TMAP2OUT)-(c_TMAP1OUT))&gt;=0,1,-1)*QUOTIENT(((c_TMAP2IN)-(c_TMAP1IN)),2))+2147483648,4294967296)-2147483648,((c_TMAP2IN)-(c_TMAP1IN))*(((A467)-(c_TMAP1IN))*((c_TMAP2OUT)-(c_TMAP1OUT))+IF(((c_TMAP2OUT)-(c_TMAP1OUT))&gt;=0,1,-1)*QUOTIENT(((c_TMAP2IN)-(c_TMAP1IN)),2)))&lt;0,-1,0),IF(IF(o_WRAP=1,MOD(((c_TMAP2IN)-(c_TMAP1IN))*(((A467)-(c_TMAP1IN))*((c_TMAP2OUT)-(c_TMAP1OUT))+IF(((c_TMAP2OUT)-(c_TMAP1OUT))&gt;=0,1,-1)*QUOTIENT(((c_TMAP2IN)-(c_TMAP1IN)),2))+2147483648,4294967296)-2147483648,((c_TMAP2IN)-(c_TMAP1IN))*(((A467)-(c_TMAP1IN))*((c_TMAP2OUT)-(c_TMAP1OUT))+IF(((c_TMAP2OUT)-(c_TMAP1OUT))&gt;=0,1,-1)*QUOTIENT(((c_TMAP2IN)-(c_TMAP1IN)),2)))&gt;=0,1,0)))</f>
        <v>215</v>
      </c>
      <c r="F467" s="7" t="n">
        <f aca="false">IF(((c_TMAP3IN)-(c_TMAP2IN))=0,(c_TMAP2OUT)+QUOTIENT(((c_TMAP3OUT)-(c_TMAP2OUT)),2),QUOTIENT((((A467)-(c_TMAP2IN))*((c_TMAP3OUT)-(c_TMAP2OUT))+IF(((c_TMAP3OUT)-(c_TMAP2OUT))&gt;=0,1,-1)*QUOTIENT(((c_TMAP3IN)-(c_TMAP2IN)),2)),((c_TMAP3IN)-(c_TMAP2IN)))+(c_TMAP2OUT)+IF(((c_TMAP3OUT)-(c_TMAP2OUT))&gt;=0,IF(IF(o_WRAP=1,MOD(((c_TMAP3IN)-(c_TMAP2IN))*(((A467)-(c_TMAP2IN))*((c_TMAP3OUT)-(c_TMAP2OUT))+IF(((c_TMAP3OUT)-(c_TMAP2OUT))&gt;=0,1,-1)*QUOTIENT(((c_TMAP3IN)-(c_TMAP2IN)),2))+2147483648,4294967296)-2147483648,((c_TMAP3IN)-(c_TMAP2IN))*(((A467)-(c_TMAP2IN))*((c_TMAP3OUT)-(c_TMAP2OUT))+IF(((c_TMAP3OUT)-(c_TMAP2OUT))&gt;=0,1,-1)*QUOTIENT(((c_TMAP3IN)-(c_TMAP2IN)),2)))&lt;0,-1,0),IF(IF(o_WRAP=1,MOD(((c_TMAP3IN)-(c_TMAP2IN))*(((A467)-(c_TMAP2IN))*((c_TMAP3OUT)-(c_TMAP2OUT))+IF(((c_TMAP3OUT)-(c_TMAP2OUT))&gt;=0,1,-1)*QUOTIENT(((c_TMAP3IN)-(c_TMAP2IN)),2))+2147483648,4294967296)-2147483648,((c_TMAP3IN)-(c_TMAP2IN))*(((A467)-(c_TMAP2IN))*((c_TMAP3OUT)-(c_TMAP2OUT))+IF(((c_TMAP3OUT)-(c_TMAP2OUT))&gt;=0,1,-1)*QUOTIENT(((c_TMAP3IN)-(c_TMAP2IN)),2)))&gt;=0,1,0)))</f>
        <v>278</v>
      </c>
      <c r="G467" s="7" t="n">
        <f aca="false">IF(((1000)-(c_TMAP3IN))=0,(c_TMAP3OUT)+QUOTIENT(((1000)-(c_TMAP3OUT)),2),QUOTIENT((((A467)-(c_TMAP3IN))*((1000)-(c_TMAP3OUT))+IF(((1000)-(c_TMAP3OUT))&gt;=0,1,-1)*QUOTIENT(((1000)-(c_TMAP3IN)),2)),((1000)-(c_TMAP3IN)))+(c_TMAP3OUT)+IF(((1000)-(c_TMAP3OUT))&gt;=0,IF(IF(o_WRAP=1,MOD(((1000)-(c_TMAP3IN))*(((A467)-(c_TMAP3IN))*((1000)-(c_TMAP3OUT))+IF(((1000)-(c_TMAP3OUT))&gt;=0,1,-1)*QUOTIENT(((1000)-(c_TMAP3IN)),2))+2147483648,4294967296)-2147483648,((1000)-(c_TMAP3IN))*(((A467)-(c_TMAP3IN))*((1000)-(c_TMAP3OUT))+IF(((1000)-(c_TMAP3OUT))&gt;=0,1,-1)*QUOTIENT(((1000)-(c_TMAP3IN)),2)))&lt;0,-1,0),IF(IF(o_WRAP=1,MOD(((1000)-(c_TMAP3IN))*(((A467)-(c_TMAP3IN))*((1000)-(c_TMAP3OUT))+IF(((1000)-(c_TMAP3OUT))&gt;=0,1,-1)*QUOTIENT(((1000)-(c_TMAP3IN)),2))+2147483648,4294967296)-2147483648,((1000)-(c_TMAP3IN))*(((A467)-(c_TMAP3IN))*((1000)-(c_TMAP3OUT))+IF(((1000)-(c_TMAP3OUT))&gt;=0,1,-1)*QUOTIENT(((1000)-(c_TMAP3IN)),2)))&gt;=0,1,0)))</f>
        <v>338</v>
      </c>
      <c r="H467" s="7" t="str">
        <f aca="false">IF(A467&gt;=c_TFWD,IF(AND(A467&gt;=c_TMAP3IN,c_TMAP3IN&lt;1000),"Seg4 map3-100%",IF(AND(A467&gt;=c_TMAP2IN,c_TMAP3IN&gt;c_TMAP2IN),"Seg3 map2-map3",IF(AND(A467&gt;=c_TMAP1IN,c_TMAP2IN&gt;c_TMAP1IN),"Seg2 map1-map2","Seg1 TFWD-map1"))),IF(AND(A467=0,c_TCREEP&gt;0),"Creep",IF(AND(A467&lt;=c_TRNGMIN,A467&gt;=c_TRNGMAX,c_TRNGMIN-c_TRNGMAX&lt;&gt;0),"Regen ramp","Coast (0)")))</f>
        <v>Seg4 map3-100%</v>
      </c>
      <c r="I467" s="7" t="n">
        <f aca="false">IF(A467&gt;=c_TFWD,IF(AND(A467&gt;=c_TMAP3IN,c_TMAP3IN&lt;1000),G467,IF(AND(A467&gt;=c_TMAP2IN,c_TMAP3IN&gt;c_TMAP2IN),F467,IF(AND(A467&gt;=c_TMAP1IN,c_TMAP2IN&gt;c_TMAP1IN),E467,D467))),C467)</f>
        <v>338</v>
      </c>
      <c r="J467" s="7" t="str">
        <f aca="false">IF(I467&lt;-1090,"TOO LOW",IF(I467&gt;1090,"TOO HIGH",""))</f>
        <v/>
      </c>
      <c r="K467" s="15" t="n">
        <f aca="false">IF(J467&lt;&gt;"",0,IF(I467&gt;979,1000,I467))</f>
        <v>338</v>
      </c>
      <c r="L467" s="7" t="n">
        <f aca="false">K467/10</f>
        <v>33.8</v>
      </c>
    </row>
    <row r="468" customFormat="false" ht="15" hidden="false" customHeight="false" outlineLevel="0" collapsed="false">
      <c r="A468" s="7" t="n">
        <v>463</v>
      </c>
      <c r="B468" s="7" t="n">
        <f aca="false">A468/10</f>
        <v>46.3</v>
      </c>
      <c r="C468" s="7" t="n">
        <f aca="false">IF(AND(A468=0,c_TCREEP&gt;0),10*c_TCREEP,IF(AND(A468&lt;=c_TRNGMIN,A468&gt;=c_TRNGMAX,c_TRNGMIN-c_TRNGMAX&lt;&gt;0),-10*c_TMINRN+QUOTIENT((c_TMAXRN-c_TMINRN)*(100-QUOTIENT((A468-c_TRNGMAX)*100,c_TRNGMIN-c_TRNGMAX)),-10),0))</f>
        <v>0</v>
      </c>
      <c r="D468" s="7" t="n">
        <f aca="false">IF(((c_TMAP1IN)-(c_TFWD))=0,(0)+QUOTIENT(((c_TMAP1OUT)-(0)),2),QUOTIENT((((A468)-(c_TFWD))*((c_TMAP1OUT)-(0))+IF(((c_TMAP1OUT)-(0))&gt;=0,1,-1)*QUOTIENT(((c_TMAP1IN)-(c_TFWD)),2)),((c_TMAP1IN)-(c_TFWD)))+(0)+IF(((c_TMAP1OUT)-(0))&gt;=0,IF(IF(o_WRAP=1,MOD(((c_TMAP1IN)-(c_TFWD))*(((A468)-(c_TFWD))*((c_TMAP1OUT)-(0))+IF(((c_TMAP1OUT)-(0))&gt;=0,1,-1)*QUOTIENT(((c_TMAP1IN)-(c_TFWD)),2))+2147483648,4294967296)-2147483648,((c_TMAP1IN)-(c_TFWD))*(((A468)-(c_TFWD))*((c_TMAP1OUT)-(0))+IF(((c_TMAP1OUT)-(0))&gt;=0,1,-1)*QUOTIENT(((c_TMAP1IN)-(c_TFWD)),2)))&lt;0,-1,0),IF(IF(o_WRAP=1,MOD(((c_TMAP1IN)-(c_TFWD))*(((A468)-(c_TFWD))*((c_TMAP1OUT)-(0))+IF(((c_TMAP1OUT)-(0))&gt;=0,1,-1)*QUOTIENT(((c_TMAP1IN)-(c_TFWD)),2))+2147483648,4294967296)-2147483648,((c_TMAP1IN)-(c_TFWD))*(((A468)-(c_TFWD))*((c_TMAP1OUT)-(0))+IF(((c_TMAP1OUT)-(0))&gt;=0,1,-1)*QUOTIENT(((c_TMAP1IN)-(c_TFWD)),2)))&gt;=0,1,0)))</f>
        <v>352</v>
      </c>
      <c r="E468" s="7" t="n">
        <f aca="false">IF(((c_TMAP2IN)-(c_TMAP1IN))=0,(c_TMAP1OUT)+QUOTIENT(((c_TMAP2OUT)-(c_TMAP1OUT)),2),QUOTIENT((((A468)-(c_TMAP1IN))*((c_TMAP2OUT)-(c_TMAP1OUT))+IF(((c_TMAP2OUT)-(c_TMAP1OUT))&gt;=0,1,-1)*QUOTIENT(((c_TMAP2IN)-(c_TMAP1IN)),2)),((c_TMAP2IN)-(c_TMAP1IN)))+(c_TMAP1OUT)+IF(((c_TMAP2OUT)-(c_TMAP1OUT))&gt;=0,IF(IF(o_WRAP=1,MOD(((c_TMAP2IN)-(c_TMAP1IN))*(((A468)-(c_TMAP1IN))*((c_TMAP2OUT)-(c_TMAP1OUT))+IF(((c_TMAP2OUT)-(c_TMAP1OUT))&gt;=0,1,-1)*QUOTIENT(((c_TMAP2IN)-(c_TMAP1IN)),2))+2147483648,4294967296)-2147483648,((c_TMAP2IN)-(c_TMAP1IN))*(((A468)-(c_TMAP1IN))*((c_TMAP2OUT)-(c_TMAP1OUT))+IF(((c_TMAP2OUT)-(c_TMAP1OUT))&gt;=0,1,-1)*QUOTIENT(((c_TMAP2IN)-(c_TMAP1IN)),2)))&lt;0,-1,0),IF(IF(o_WRAP=1,MOD(((c_TMAP2IN)-(c_TMAP1IN))*(((A468)-(c_TMAP1IN))*((c_TMAP2OUT)-(c_TMAP1OUT))+IF(((c_TMAP2OUT)-(c_TMAP1OUT))&gt;=0,1,-1)*QUOTIENT(((c_TMAP2IN)-(c_TMAP1IN)),2))+2147483648,4294967296)-2147483648,((c_TMAP2IN)-(c_TMAP1IN))*(((A468)-(c_TMAP1IN))*((c_TMAP2OUT)-(c_TMAP1OUT))+IF(((c_TMAP2OUT)-(c_TMAP1OUT))&gt;=0,1,-1)*QUOTIENT(((c_TMAP2IN)-(c_TMAP1IN)),2)))&gt;=0,1,0)))</f>
        <v>215</v>
      </c>
      <c r="F468" s="7" t="n">
        <f aca="false">IF(((c_TMAP3IN)-(c_TMAP2IN))=0,(c_TMAP2OUT)+QUOTIENT(((c_TMAP3OUT)-(c_TMAP2OUT)),2),QUOTIENT((((A468)-(c_TMAP2IN))*((c_TMAP3OUT)-(c_TMAP2OUT))+IF(((c_TMAP3OUT)-(c_TMAP2OUT))&gt;=0,1,-1)*QUOTIENT(((c_TMAP3IN)-(c_TMAP2IN)),2)),((c_TMAP3IN)-(c_TMAP2IN)))+(c_TMAP2OUT)+IF(((c_TMAP3OUT)-(c_TMAP2OUT))&gt;=0,IF(IF(o_WRAP=1,MOD(((c_TMAP3IN)-(c_TMAP2IN))*(((A468)-(c_TMAP2IN))*((c_TMAP3OUT)-(c_TMAP2OUT))+IF(((c_TMAP3OUT)-(c_TMAP2OUT))&gt;=0,1,-1)*QUOTIENT(((c_TMAP3IN)-(c_TMAP2IN)),2))+2147483648,4294967296)-2147483648,((c_TMAP3IN)-(c_TMAP2IN))*(((A468)-(c_TMAP2IN))*((c_TMAP3OUT)-(c_TMAP2OUT))+IF(((c_TMAP3OUT)-(c_TMAP2OUT))&gt;=0,1,-1)*QUOTIENT(((c_TMAP3IN)-(c_TMAP2IN)),2)))&lt;0,-1,0),IF(IF(o_WRAP=1,MOD(((c_TMAP3IN)-(c_TMAP2IN))*(((A468)-(c_TMAP2IN))*((c_TMAP3OUT)-(c_TMAP2OUT))+IF(((c_TMAP3OUT)-(c_TMAP2OUT))&gt;=0,1,-1)*QUOTIENT(((c_TMAP3IN)-(c_TMAP2IN)),2))+2147483648,4294967296)-2147483648,((c_TMAP3IN)-(c_TMAP2IN))*(((A468)-(c_TMAP2IN))*((c_TMAP3OUT)-(c_TMAP2OUT))+IF(((c_TMAP3OUT)-(c_TMAP2OUT))&gt;=0,1,-1)*QUOTIENT(((c_TMAP3IN)-(c_TMAP2IN)),2)))&gt;=0,1,0)))</f>
        <v>279</v>
      </c>
      <c r="G468" s="7" t="n">
        <f aca="false">IF(((1000)-(c_TMAP3IN))=0,(c_TMAP3OUT)+QUOTIENT(((1000)-(c_TMAP3OUT)),2),QUOTIENT((((A468)-(c_TMAP3IN))*((1000)-(c_TMAP3OUT))+IF(((1000)-(c_TMAP3OUT))&gt;=0,1,-1)*QUOTIENT(((1000)-(c_TMAP3IN)),2)),((1000)-(c_TMAP3IN)))+(c_TMAP3OUT)+IF(((1000)-(c_TMAP3OUT))&gt;=0,IF(IF(o_WRAP=1,MOD(((1000)-(c_TMAP3IN))*(((A468)-(c_TMAP3IN))*((1000)-(c_TMAP3OUT))+IF(((1000)-(c_TMAP3OUT))&gt;=0,1,-1)*QUOTIENT(((1000)-(c_TMAP3IN)),2))+2147483648,4294967296)-2147483648,((1000)-(c_TMAP3IN))*(((A468)-(c_TMAP3IN))*((1000)-(c_TMAP3OUT))+IF(((1000)-(c_TMAP3OUT))&gt;=0,1,-1)*QUOTIENT(((1000)-(c_TMAP3IN)),2)))&lt;0,-1,0),IF(IF(o_WRAP=1,MOD(((1000)-(c_TMAP3IN))*(((A468)-(c_TMAP3IN))*((1000)-(c_TMAP3OUT))+IF(((1000)-(c_TMAP3OUT))&gt;=0,1,-1)*QUOTIENT(((1000)-(c_TMAP3IN)),2))+2147483648,4294967296)-2147483648,((1000)-(c_TMAP3IN))*(((A468)-(c_TMAP3IN))*((1000)-(c_TMAP3OUT))+IF(((1000)-(c_TMAP3OUT))&gt;=0,1,-1)*QUOTIENT(((1000)-(c_TMAP3IN)),2)))&gt;=0,1,0)))</f>
        <v>339</v>
      </c>
      <c r="H468" s="7" t="str">
        <f aca="false">IF(A468&gt;=c_TFWD,IF(AND(A468&gt;=c_TMAP3IN,c_TMAP3IN&lt;1000),"Seg4 map3-100%",IF(AND(A468&gt;=c_TMAP2IN,c_TMAP3IN&gt;c_TMAP2IN),"Seg3 map2-map3",IF(AND(A468&gt;=c_TMAP1IN,c_TMAP2IN&gt;c_TMAP1IN),"Seg2 map1-map2","Seg1 TFWD-map1"))),IF(AND(A468=0,c_TCREEP&gt;0),"Creep",IF(AND(A468&lt;=c_TRNGMIN,A468&gt;=c_TRNGMAX,c_TRNGMIN-c_TRNGMAX&lt;&gt;0),"Regen ramp","Coast (0)")))</f>
        <v>Seg4 map3-100%</v>
      </c>
      <c r="I468" s="7" t="n">
        <f aca="false">IF(A468&gt;=c_TFWD,IF(AND(A468&gt;=c_TMAP3IN,c_TMAP3IN&lt;1000),G468,IF(AND(A468&gt;=c_TMAP2IN,c_TMAP3IN&gt;c_TMAP2IN),F468,IF(AND(A468&gt;=c_TMAP1IN,c_TMAP2IN&gt;c_TMAP1IN),E468,D468))),C468)</f>
        <v>339</v>
      </c>
      <c r="J468" s="7" t="str">
        <f aca="false">IF(I468&lt;-1090,"TOO LOW",IF(I468&gt;1090,"TOO HIGH",""))</f>
        <v/>
      </c>
      <c r="K468" s="15" t="n">
        <f aca="false">IF(J468&lt;&gt;"",0,IF(I468&gt;979,1000,I468))</f>
        <v>339</v>
      </c>
      <c r="L468" s="7" t="n">
        <f aca="false">K468/10</f>
        <v>33.9</v>
      </c>
    </row>
    <row r="469" customFormat="false" ht="15" hidden="false" customHeight="false" outlineLevel="0" collapsed="false">
      <c r="A469" s="7" t="n">
        <v>464</v>
      </c>
      <c r="B469" s="7" t="n">
        <f aca="false">A469/10</f>
        <v>46.4</v>
      </c>
      <c r="C469" s="7" t="n">
        <f aca="false">IF(AND(A469=0,c_TCREEP&gt;0),10*c_TCREEP,IF(AND(A469&lt;=c_TRNGMIN,A469&gt;=c_TRNGMAX,c_TRNGMIN-c_TRNGMAX&lt;&gt;0),-10*c_TMINRN+QUOTIENT((c_TMAXRN-c_TMINRN)*(100-QUOTIENT((A469-c_TRNGMAX)*100,c_TRNGMIN-c_TRNGMAX)),-10),0))</f>
        <v>0</v>
      </c>
      <c r="D469" s="7" t="n">
        <f aca="false">IF(((c_TMAP1IN)-(c_TFWD))=0,(0)+QUOTIENT(((c_TMAP1OUT)-(0)),2),QUOTIENT((((A469)-(c_TFWD))*((c_TMAP1OUT)-(0))+IF(((c_TMAP1OUT)-(0))&gt;=0,1,-1)*QUOTIENT(((c_TMAP1IN)-(c_TFWD)),2)),((c_TMAP1IN)-(c_TFWD)))+(0)+IF(((c_TMAP1OUT)-(0))&gt;=0,IF(IF(o_WRAP=1,MOD(((c_TMAP1IN)-(c_TFWD))*(((A469)-(c_TFWD))*((c_TMAP1OUT)-(0))+IF(((c_TMAP1OUT)-(0))&gt;=0,1,-1)*QUOTIENT(((c_TMAP1IN)-(c_TFWD)),2))+2147483648,4294967296)-2147483648,((c_TMAP1IN)-(c_TFWD))*(((A469)-(c_TFWD))*((c_TMAP1OUT)-(0))+IF(((c_TMAP1OUT)-(0))&gt;=0,1,-1)*QUOTIENT(((c_TMAP1IN)-(c_TFWD)),2)))&lt;0,-1,0),IF(IF(o_WRAP=1,MOD(((c_TMAP1IN)-(c_TFWD))*(((A469)-(c_TFWD))*((c_TMAP1OUT)-(0))+IF(((c_TMAP1OUT)-(0))&gt;=0,1,-1)*QUOTIENT(((c_TMAP1IN)-(c_TFWD)),2))+2147483648,4294967296)-2147483648,((c_TMAP1IN)-(c_TFWD))*(((A469)-(c_TFWD))*((c_TMAP1OUT)-(0))+IF(((c_TMAP1OUT)-(0))&gt;=0,1,-1)*QUOTIENT(((c_TMAP1IN)-(c_TFWD)),2)))&gt;=0,1,0)))</f>
        <v>353</v>
      </c>
      <c r="E469" s="7" t="n">
        <f aca="false">IF(((c_TMAP2IN)-(c_TMAP1IN))=0,(c_TMAP1OUT)+QUOTIENT(((c_TMAP2OUT)-(c_TMAP1OUT)),2),QUOTIENT((((A469)-(c_TMAP1IN))*((c_TMAP2OUT)-(c_TMAP1OUT))+IF(((c_TMAP2OUT)-(c_TMAP1OUT))&gt;=0,1,-1)*QUOTIENT(((c_TMAP2IN)-(c_TMAP1IN)),2)),((c_TMAP2IN)-(c_TMAP1IN)))+(c_TMAP1OUT)+IF(((c_TMAP2OUT)-(c_TMAP1OUT))&gt;=0,IF(IF(o_WRAP=1,MOD(((c_TMAP2IN)-(c_TMAP1IN))*(((A469)-(c_TMAP1IN))*((c_TMAP2OUT)-(c_TMAP1OUT))+IF(((c_TMAP2OUT)-(c_TMAP1OUT))&gt;=0,1,-1)*QUOTIENT(((c_TMAP2IN)-(c_TMAP1IN)),2))+2147483648,4294967296)-2147483648,((c_TMAP2IN)-(c_TMAP1IN))*(((A469)-(c_TMAP1IN))*((c_TMAP2OUT)-(c_TMAP1OUT))+IF(((c_TMAP2OUT)-(c_TMAP1OUT))&gt;=0,1,-1)*QUOTIENT(((c_TMAP2IN)-(c_TMAP1IN)),2)))&lt;0,-1,0),IF(IF(o_WRAP=1,MOD(((c_TMAP2IN)-(c_TMAP1IN))*(((A469)-(c_TMAP1IN))*((c_TMAP2OUT)-(c_TMAP1OUT))+IF(((c_TMAP2OUT)-(c_TMAP1OUT))&gt;=0,1,-1)*QUOTIENT(((c_TMAP2IN)-(c_TMAP1IN)),2))+2147483648,4294967296)-2147483648,((c_TMAP2IN)-(c_TMAP1IN))*(((A469)-(c_TMAP1IN))*((c_TMAP2OUT)-(c_TMAP1OUT))+IF(((c_TMAP2OUT)-(c_TMAP1OUT))&gt;=0,1,-1)*QUOTIENT(((c_TMAP2IN)-(c_TMAP1IN)),2)))&gt;=0,1,0)))</f>
        <v>216</v>
      </c>
      <c r="F469" s="7" t="n">
        <f aca="false">IF(((c_TMAP3IN)-(c_TMAP2IN))=0,(c_TMAP2OUT)+QUOTIENT(((c_TMAP3OUT)-(c_TMAP2OUT)),2),QUOTIENT((((A469)-(c_TMAP2IN))*((c_TMAP3OUT)-(c_TMAP2OUT))+IF(((c_TMAP3OUT)-(c_TMAP2OUT))&gt;=0,1,-1)*QUOTIENT(((c_TMAP3IN)-(c_TMAP2IN)),2)),((c_TMAP3IN)-(c_TMAP2IN)))+(c_TMAP2OUT)+IF(((c_TMAP3OUT)-(c_TMAP2OUT))&gt;=0,IF(IF(o_WRAP=1,MOD(((c_TMAP3IN)-(c_TMAP2IN))*(((A469)-(c_TMAP2IN))*((c_TMAP3OUT)-(c_TMAP2OUT))+IF(((c_TMAP3OUT)-(c_TMAP2OUT))&gt;=0,1,-1)*QUOTIENT(((c_TMAP3IN)-(c_TMAP2IN)),2))+2147483648,4294967296)-2147483648,((c_TMAP3IN)-(c_TMAP2IN))*(((A469)-(c_TMAP2IN))*((c_TMAP3OUT)-(c_TMAP2OUT))+IF(((c_TMAP3OUT)-(c_TMAP2OUT))&gt;=0,1,-1)*QUOTIENT(((c_TMAP3IN)-(c_TMAP2IN)),2)))&lt;0,-1,0),IF(IF(o_WRAP=1,MOD(((c_TMAP3IN)-(c_TMAP2IN))*(((A469)-(c_TMAP2IN))*((c_TMAP3OUT)-(c_TMAP2OUT))+IF(((c_TMAP3OUT)-(c_TMAP2OUT))&gt;=0,1,-1)*QUOTIENT(((c_TMAP3IN)-(c_TMAP2IN)),2))+2147483648,4294967296)-2147483648,((c_TMAP3IN)-(c_TMAP2IN))*(((A469)-(c_TMAP2IN))*((c_TMAP3OUT)-(c_TMAP2OUT))+IF(((c_TMAP3OUT)-(c_TMAP2OUT))&gt;=0,1,-1)*QUOTIENT(((c_TMAP3IN)-(c_TMAP2IN)),2)))&gt;=0,1,0)))</f>
        <v>280</v>
      </c>
      <c r="G469" s="7" t="n">
        <f aca="false">IF(((1000)-(c_TMAP3IN))=0,(c_TMAP3OUT)+QUOTIENT(((1000)-(c_TMAP3OUT)),2),QUOTIENT((((A469)-(c_TMAP3IN))*((1000)-(c_TMAP3OUT))+IF(((1000)-(c_TMAP3OUT))&gt;=0,1,-1)*QUOTIENT(((1000)-(c_TMAP3IN)),2)),((1000)-(c_TMAP3IN)))+(c_TMAP3OUT)+IF(((1000)-(c_TMAP3OUT))&gt;=0,IF(IF(o_WRAP=1,MOD(((1000)-(c_TMAP3IN))*(((A469)-(c_TMAP3IN))*((1000)-(c_TMAP3OUT))+IF(((1000)-(c_TMAP3OUT))&gt;=0,1,-1)*QUOTIENT(((1000)-(c_TMAP3IN)),2))+2147483648,4294967296)-2147483648,((1000)-(c_TMAP3IN))*(((A469)-(c_TMAP3IN))*((1000)-(c_TMAP3OUT))+IF(((1000)-(c_TMAP3OUT))&gt;=0,1,-1)*QUOTIENT(((1000)-(c_TMAP3IN)),2)))&lt;0,-1,0),IF(IF(o_WRAP=1,MOD(((1000)-(c_TMAP3IN))*(((A469)-(c_TMAP3IN))*((1000)-(c_TMAP3OUT))+IF(((1000)-(c_TMAP3OUT))&gt;=0,1,-1)*QUOTIENT(((1000)-(c_TMAP3IN)),2))+2147483648,4294967296)-2147483648,((1000)-(c_TMAP3IN))*(((A469)-(c_TMAP3IN))*((1000)-(c_TMAP3OUT))+IF(((1000)-(c_TMAP3OUT))&gt;=0,1,-1)*QUOTIENT(((1000)-(c_TMAP3IN)),2)))&gt;=0,1,0)))</f>
        <v>340</v>
      </c>
      <c r="H469" s="7" t="str">
        <f aca="false">IF(A469&gt;=c_TFWD,IF(AND(A469&gt;=c_TMAP3IN,c_TMAP3IN&lt;1000),"Seg4 map3-100%",IF(AND(A469&gt;=c_TMAP2IN,c_TMAP3IN&gt;c_TMAP2IN),"Seg3 map2-map3",IF(AND(A469&gt;=c_TMAP1IN,c_TMAP2IN&gt;c_TMAP1IN),"Seg2 map1-map2","Seg1 TFWD-map1"))),IF(AND(A469=0,c_TCREEP&gt;0),"Creep",IF(AND(A469&lt;=c_TRNGMIN,A469&gt;=c_TRNGMAX,c_TRNGMIN-c_TRNGMAX&lt;&gt;0),"Regen ramp","Coast (0)")))</f>
        <v>Seg4 map3-100%</v>
      </c>
      <c r="I469" s="7" t="n">
        <f aca="false">IF(A469&gt;=c_TFWD,IF(AND(A469&gt;=c_TMAP3IN,c_TMAP3IN&lt;1000),G469,IF(AND(A469&gt;=c_TMAP2IN,c_TMAP3IN&gt;c_TMAP2IN),F469,IF(AND(A469&gt;=c_TMAP1IN,c_TMAP2IN&gt;c_TMAP1IN),E469,D469))),C469)</f>
        <v>340</v>
      </c>
      <c r="J469" s="7" t="str">
        <f aca="false">IF(I469&lt;-1090,"TOO LOW",IF(I469&gt;1090,"TOO HIGH",""))</f>
        <v/>
      </c>
      <c r="K469" s="15" t="n">
        <f aca="false">IF(J469&lt;&gt;"",0,IF(I469&gt;979,1000,I469))</f>
        <v>340</v>
      </c>
      <c r="L469" s="7" t="n">
        <f aca="false">K469/10</f>
        <v>34</v>
      </c>
    </row>
    <row r="470" customFormat="false" ht="15" hidden="false" customHeight="false" outlineLevel="0" collapsed="false">
      <c r="A470" s="7" t="n">
        <v>465</v>
      </c>
      <c r="B470" s="7" t="n">
        <f aca="false">A470/10</f>
        <v>46.5</v>
      </c>
      <c r="C470" s="7" t="n">
        <f aca="false">IF(AND(A470=0,c_TCREEP&gt;0),10*c_TCREEP,IF(AND(A470&lt;=c_TRNGMIN,A470&gt;=c_TRNGMAX,c_TRNGMIN-c_TRNGMAX&lt;&gt;0),-10*c_TMINRN+QUOTIENT((c_TMAXRN-c_TMINRN)*(100-QUOTIENT((A470-c_TRNGMAX)*100,c_TRNGMIN-c_TRNGMAX)),-10),0))</f>
        <v>0</v>
      </c>
      <c r="D470" s="7" t="n">
        <f aca="false">IF(((c_TMAP1IN)-(c_TFWD))=0,(0)+QUOTIENT(((c_TMAP1OUT)-(0)),2),QUOTIENT((((A470)-(c_TFWD))*((c_TMAP1OUT)-(0))+IF(((c_TMAP1OUT)-(0))&gt;=0,1,-1)*QUOTIENT(((c_TMAP1IN)-(c_TFWD)),2)),((c_TMAP1IN)-(c_TFWD)))+(0)+IF(((c_TMAP1OUT)-(0))&gt;=0,IF(IF(o_WRAP=1,MOD(((c_TMAP1IN)-(c_TFWD))*(((A470)-(c_TFWD))*((c_TMAP1OUT)-(0))+IF(((c_TMAP1OUT)-(0))&gt;=0,1,-1)*QUOTIENT(((c_TMAP1IN)-(c_TFWD)),2))+2147483648,4294967296)-2147483648,((c_TMAP1IN)-(c_TFWD))*(((A470)-(c_TFWD))*((c_TMAP1OUT)-(0))+IF(((c_TMAP1OUT)-(0))&gt;=0,1,-1)*QUOTIENT(((c_TMAP1IN)-(c_TFWD)),2)))&lt;0,-1,0),IF(IF(o_WRAP=1,MOD(((c_TMAP1IN)-(c_TFWD))*(((A470)-(c_TFWD))*((c_TMAP1OUT)-(0))+IF(((c_TMAP1OUT)-(0))&gt;=0,1,-1)*QUOTIENT(((c_TMAP1IN)-(c_TFWD)),2))+2147483648,4294967296)-2147483648,((c_TMAP1IN)-(c_TFWD))*(((A470)-(c_TFWD))*((c_TMAP1OUT)-(0))+IF(((c_TMAP1OUT)-(0))&gt;=0,1,-1)*QUOTIENT(((c_TMAP1IN)-(c_TFWD)),2)))&gt;=0,1,0)))</f>
        <v>354</v>
      </c>
      <c r="E470" s="7" t="n">
        <f aca="false">IF(((c_TMAP2IN)-(c_TMAP1IN))=0,(c_TMAP1OUT)+QUOTIENT(((c_TMAP2OUT)-(c_TMAP1OUT)),2),QUOTIENT((((A470)-(c_TMAP1IN))*((c_TMAP2OUT)-(c_TMAP1OUT))+IF(((c_TMAP2OUT)-(c_TMAP1OUT))&gt;=0,1,-1)*QUOTIENT(((c_TMAP2IN)-(c_TMAP1IN)),2)),((c_TMAP2IN)-(c_TMAP1IN)))+(c_TMAP1OUT)+IF(((c_TMAP2OUT)-(c_TMAP1OUT))&gt;=0,IF(IF(o_WRAP=1,MOD(((c_TMAP2IN)-(c_TMAP1IN))*(((A470)-(c_TMAP1IN))*((c_TMAP2OUT)-(c_TMAP1OUT))+IF(((c_TMAP2OUT)-(c_TMAP1OUT))&gt;=0,1,-1)*QUOTIENT(((c_TMAP2IN)-(c_TMAP1IN)),2))+2147483648,4294967296)-2147483648,((c_TMAP2IN)-(c_TMAP1IN))*(((A470)-(c_TMAP1IN))*((c_TMAP2OUT)-(c_TMAP1OUT))+IF(((c_TMAP2OUT)-(c_TMAP1OUT))&gt;=0,1,-1)*QUOTIENT(((c_TMAP2IN)-(c_TMAP1IN)),2)))&lt;0,-1,0),IF(IF(o_WRAP=1,MOD(((c_TMAP2IN)-(c_TMAP1IN))*(((A470)-(c_TMAP1IN))*((c_TMAP2OUT)-(c_TMAP1OUT))+IF(((c_TMAP2OUT)-(c_TMAP1OUT))&gt;=0,1,-1)*QUOTIENT(((c_TMAP2IN)-(c_TMAP1IN)),2))+2147483648,4294967296)-2147483648,((c_TMAP2IN)-(c_TMAP1IN))*(((A470)-(c_TMAP1IN))*((c_TMAP2OUT)-(c_TMAP1OUT))+IF(((c_TMAP2OUT)-(c_TMAP1OUT))&gt;=0,1,-1)*QUOTIENT(((c_TMAP2IN)-(c_TMAP1IN)),2)))&gt;=0,1,0)))</f>
        <v>216</v>
      </c>
      <c r="F470" s="7" t="n">
        <f aca="false">IF(((c_TMAP3IN)-(c_TMAP2IN))=0,(c_TMAP2OUT)+QUOTIENT(((c_TMAP3OUT)-(c_TMAP2OUT)),2),QUOTIENT((((A470)-(c_TMAP2IN))*((c_TMAP3OUT)-(c_TMAP2OUT))+IF(((c_TMAP3OUT)-(c_TMAP2OUT))&gt;=0,1,-1)*QUOTIENT(((c_TMAP3IN)-(c_TMAP2IN)),2)),((c_TMAP3IN)-(c_TMAP2IN)))+(c_TMAP2OUT)+IF(((c_TMAP3OUT)-(c_TMAP2OUT))&gt;=0,IF(IF(o_WRAP=1,MOD(((c_TMAP3IN)-(c_TMAP2IN))*(((A470)-(c_TMAP2IN))*((c_TMAP3OUT)-(c_TMAP2OUT))+IF(((c_TMAP3OUT)-(c_TMAP2OUT))&gt;=0,1,-1)*QUOTIENT(((c_TMAP3IN)-(c_TMAP2IN)),2))+2147483648,4294967296)-2147483648,((c_TMAP3IN)-(c_TMAP2IN))*(((A470)-(c_TMAP2IN))*((c_TMAP3OUT)-(c_TMAP2OUT))+IF(((c_TMAP3OUT)-(c_TMAP2OUT))&gt;=0,1,-1)*QUOTIENT(((c_TMAP3IN)-(c_TMAP2IN)),2)))&lt;0,-1,0),IF(IF(o_WRAP=1,MOD(((c_TMAP3IN)-(c_TMAP2IN))*(((A470)-(c_TMAP2IN))*((c_TMAP3OUT)-(c_TMAP2OUT))+IF(((c_TMAP3OUT)-(c_TMAP2OUT))&gt;=0,1,-1)*QUOTIENT(((c_TMAP3IN)-(c_TMAP2IN)),2))+2147483648,4294967296)-2147483648,((c_TMAP3IN)-(c_TMAP2IN))*(((A470)-(c_TMAP2IN))*((c_TMAP3OUT)-(c_TMAP2OUT))+IF(((c_TMAP3OUT)-(c_TMAP2OUT))&gt;=0,1,-1)*QUOTIENT(((c_TMAP3IN)-(c_TMAP2IN)),2)))&gt;=0,1,0)))</f>
        <v>281</v>
      </c>
      <c r="G470" s="7" t="n">
        <f aca="false">IF(((1000)-(c_TMAP3IN))=0,(c_TMAP3OUT)+QUOTIENT(((1000)-(c_TMAP3OUT)),2),QUOTIENT((((A470)-(c_TMAP3IN))*((1000)-(c_TMAP3OUT))+IF(((1000)-(c_TMAP3OUT))&gt;=0,1,-1)*QUOTIENT(((1000)-(c_TMAP3IN)),2)),((1000)-(c_TMAP3IN)))+(c_TMAP3OUT)+IF(((1000)-(c_TMAP3OUT))&gt;=0,IF(IF(o_WRAP=1,MOD(((1000)-(c_TMAP3IN))*(((A470)-(c_TMAP3IN))*((1000)-(c_TMAP3OUT))+IF(((1000)-(c_TMAP3OUT))&gt;=0,1,-1)*QUOTIENT(((1000)-(c_TMAP3IN)),2))+2147483648,4294967296)-2147483648,((1000)-(c_TMAP3IN))*(((A470)-(c_TMAP3IN))*((1000)-(c_TMAP3OUT))+IF(((1000)-(c_TMAP3OUT))&gt;=0,1,-1)*QUOTIENT(((1000)-(c_TMAP3IN)),2)))&lt;0,-1,0),IF(IF(o_WRAP=1,MOD(((1000)-(c_TMAP3IN))*(((A470)-(c_TMAP3IN))*((1000)-(c_TMAP3OUT))+IF(((1000)-(c_TMAP3OUT))&gt;=0,1,-1)*QUOTIENT(((1000)-(c_TMAP3IN)),2))+2147483648,4294967296)-2147483648,((1000)-(c_TMAP3IN))*(((A470)-(c_TMAP3IN))*((1000)-(c_TMAP3OUT))+IF(((1000)-(c_TMAP3OUT))&gt;=0,1,-1)*QUOTIENT(((1000)-(c_TMAP3IN)),2)))&gt;=0,1,0)))</f>
        <v>342</v>
      </c>
      <c r="H470" s="7" t="str">
        <f aca="false">IF(A470&gt;=c_TFWD,IF(AND(A470&gt;=c_TMAP3IN,c_TMAP3IN&lt;1000),"Seg4 map3-100%",IF(AND(A470&gt;=c_TMAP2IN,c_TMAP3IN&gt;c_TMAP2IN),"Seg3 map2-map3",IF(AND(A470&gt;=c_TMAP1IN,c_TMAP2IN&gt;c_TMAP1IN),"Seg2 map1-map2","Seg1 TFWD-map1"))),IF(AND(A470=0,c_TCREEP&gt;0),"Creep",IF(AND(A470&lt;=c_TRNGMIN,A470&gt;=c_TRNGMAX,c_TRNGMIN-c_TRNGMAX&lt;&gt;0),"Regen ramp","Coast (0)")))</f>
        <v>Seg4 map3-100%</v>
      </c>
      <c r="I470" s="7" t="n">
        <f aca="false">IF(A470&gt;=c_TFWD,IF(AND(A470&gt;=c_TMAP3IN,c_TMAP3IN&lt;1000),G470,IF(AND(A470&gt;=c_TMAP2IN,c_TMAP3IN&gt;c_TMAP2IN),F470,IF(AND(A470&gt;=c_TMAP1IN,c_TMAP2IN&gt;c_TMAP1IN),E470,D470))),C470)</f>
        <v>342</v>
      </c>
      <c r="J470" s="7" t="str">
        <f aca="false">IF(I470&lt;-1090,"TOO LOW",IF(I470&gt;1090,"TOO HIGH",""))</f>
        <v/>
      </c>
      <c r="K470" s="15" t="n">
        <f aca="false">IF(J470&lt;&gt;"",0,IF(I470&gt;979,1000,I470))</f>
        <v>342</v>
      </c>
      <c r="L470" s="7" t="n">
        <f aca="false">K470/10</f>
        <v>34.2</v>
      </c>
    </row>
    <row r="471" customFormat="false" ht="15" hidden="false" customHeight="false" outlineLevel="0" collapsed="false">
      <c r="A471" s="7" t="n">
        <v>466</v>
      </c>
      <c r="B471" s="7" t="n">
        <f aca="false">A471/10</f>
        <v>46.6</v>
      </c>
      <c r="C471" s="7" t="n">
        <f aca="false">IF(AND(A471=0,c_TCREEP&gt;0),10*c_TCREEP,IF(AND(A471&lt;=c_TRNGMIN,A471&gt;=c_TRNGMAX,c_TRNGMIN-c_TRNGMAX&lt;&gt;0),-10*c_TMINRN+QUOTIENT((c_TMAXRN-c_TMINRN)*(100-QUOTIENT((A471-c_TRNGMAX)*100,c_TRNGMIN-c_TRNGMAX)),-10),0))</f>
        <v>0</v>
      </c>
      <c r="D471" s="7" t="n">
        <f aca="false">IF(((c_TMAP1IN)-(c_TFWD))=0,(0)+QUOTIENT(((c_TMAP1OUT)-(0)),2),QUOTIENT((((A471)-(c_TFWD))*((c_TMAP1OUT)-(0))+IF(((c_TMAP1OUT)-(0))&gt;=0,1,-1)*QUOTIENT(((c_TMAP1IN)-(c_TFWD)),2)),((c_TMAP1IN)-(c_TFWD)))+(0)+IF(((c_TMAP1OUT)-(0))&gt;=0,IF(IF(o_WRAP=1,MOD(((c_TMAP1IN)-(c_TFWD))*(((A471)-(c_TFWD))*((c_TMAP1OUT)-(0))+IF(((c_TMAP1OUT)-(0))&gt;=0,1,-1)*QUOTIENT(((c_TMAP1IN)-(c_TFWD)),2))+2147483648,4294967296)-2147483648,((c_TMAP1IN)-(c_TFWD))*(((A471)-(c_TFWD))*((c_TMAP1OUT)-(0))+IF(((c_TMAP1OUT)-(0))&gt;=0,1,-1)*QUOTIENT(((c_TMAP1IN)-(c_TFWD)),2)))&lt;0,-1,0),IF(IF(o_WRAP=1,MOD(((c_TMAP1IN)-(c_TFWD))*(((A471)-(c_TFWD))*((c_TMAP1OUT)-(0))+IF(((c_TMAP1OUT)-(0))&gt;=0,1,-1)*QUOTIENT(((c_TMAP1IN)-(c_TFWD)),2))+2147483648,4294967296)-2147483648,((c_TMAP1IN)-(c_TFWD))*(((A471)-(c_TFWD))*((c_TMAP1OUT)-(0))+IF(((c_TMAP1OUT)-(0))&gt;=0,1,-1)*QUOTIENT(((c_TMAP1IN)-(c_TFWD)),2)))&gt;=0,1,0)))</f>
        <v>355</v>
      </c>
      <c r="E471" s="7" t="n">
        <f aca="false">IF(((c_TMAP2IN)-(c_TMAP1IN))=0,(c_TMAP1OUT)+QUOTIENT(((c_TMAP2OUT)-(c_TMAP1OUT)),2),QUOTIENT((((A471)-(c_TMAP1IN))*((c_TMAP2OUT)-(c_TMAP1OUT))+IF(((c_TMAP2OUT)-(c_TMAP1OUT))&gt;=0,1,-1)*QUOTIENT(((c_TMAP2IN)-(c_TMAP1IN)),2)),((c_TMAP2IN)-(c_TMAP1IN)))+(c_TMAP1OUT)+IF(((c_TMAP2OUT)-(c_TMAP1OUT))&gt;=0,IF(IF(o_WRAP=1,MOD(((c_TMAP2IN)-(c_TMAP1IN))*(((A471)-(c_TMAP1IN))*((c_TMAP2OUT)-(c_TMAP1OUT))+IF(((c_TMAP2OUT)-(c_TMAP1OUT))&gt;=0,1,-1)*QUOTIENT(((c_TMAP2IN)-(c_TMAP1IN)),2))+2147483648,4294967296)-2147483648,((c_TMAP2IN)-(c_TMAP1IN))*(((A471)-(c_TMAP1IN))*((c_TMAP2OUT)-(c_TMAP1OUT))+IF(((c_TMAP2OUT)-(c_TMAP1OUT))&gt;=0,1,-1)*QUOTIENT(((c_TMAP2IN)-(c_TMAP1IN)),2)))&lt;0,-1,0),IF(IF(o_WRAP=1,MOD(((c_TMAP2IN)-(c_TMAP1IN))*(((A471)-(c_TMAP1IN))*((c_TMAP2OUT)-(c_TMAP1OUT))+IF(((c_TMAP2OUT)-(c_TMAP1OUT))&gt;=0,1,-1)*QUOTIENT(((c_TMAP2IN)-(c_TMAP1IN)),2))+2147483648,4294967296)-2147483648,((c_TMAP2IN)-(c_TMAP1IN))*(((A471)-(c_TMAP1IN))*((c_TMAP2OUT)-(c_TMAP1OUT))+IF(((c_TMAP2OUT)-(c_TMAP1OUT))&gt;=0,1,-1)*QUOTIENT(((c_TMAP2IN)-(c_TMAP1IN)),2)))&gt;=0,1,0)))</f>
        <v>216</v>
      </c>
      <c r="F471" s="7" t="n">
        <f aca="false">IF(((c_TMAP3IN)-(c_TMAP2IN))=0,(c_TMAP2OUT)+QUOTIENT(((c_TMAP3OUT)-(c_TMAP2OUT)),2),QUOTIENT((((A471)-(c_TMAP2IN))*((c_TMAP3OUT)-(c_TMAP2OUT))+IF(((c_TMAP3OUT)-(c_TMAP2OUT))&gt;=0,1,-1)*QUOTIENT(((c_TMAP3IN)-(c_TMAP2IN)),2)),((c_TMAP3IN)-(c_TMAP2IN)))+(c_TMAP2OUT)+IF(((c_TMAP3OUT)-(c_TMAP2OUT))&gt;=0,IF(IF(o_WRAP=1,MOD(((c_TMAP3IN)-(c_TMAP2IN))*(((A471)-(c_TMAP2IN))*((c_TMAP3OUT)-(c_TMAP2OUT))+IF(((c_TMAP3OUT)-(c_TMAP2OUT))&gt;=0,1,-1)*QUOTIENT(((c_TMAP3IN)-(c_TMAP2IN)),2))+2147483648,4294967296)-2147483648,((c_TMAP3IN)-(c_TMAP2IN))*(((A471)-(c_TMAP2IN))*((c_TMAP3OUT)-(c_TMAP2OUT))+IF(((c_TMAP3OUT)-(c_TMAP2OUT))&gt;=0,1,-1)*QUOTIENT(((c_TMAP3IN)-(c_TMAP2IN)),2)))&lt;0,-1,0),IF(IF(o_WRAP=1,MOD(((c_TMAP3IN)-(c_TMAP2IN))*(((A471)-(c_TMAP2IN))*((c_TMAP3OUT)-(c_TMAP2OUT))+IF(((c_TMAP3OUT)-(c_TMAP2OUT))&gt;=0,1,-1)*QUOTIENT(((c_TMAP3IN)-(c_TMAP2IN)),2))+2147483648,4294967296)-2147483648,((c_TMAP3IN)-(c_TMAP2IN))*(((A471)-(c_TMAP2IN))*((c_TMAP3OUT)-(c_TMAP2OUT))+IF(((c_TMAP3OUT)-(c_TMAP2OUT))&gt;=0,1,-1)*QUOTIENT(((c_TMAP3IN)-(c_TMAP2IN)),2)))&gt;=0,1,0)))</f>
        <v>281</v>
      </c>
      <c r="G471" s="7" t="n">
        <f aca="false">IF(((1000)-(c_TMAP3IN))=0,(c_TMAP3OUT)+QUOTIENT(((1000)-(c_TMAP3OUT)),2),QUOTIENT((((A471)-(c_TMAP3IN))*((1000)-(c_TMAP3OUT))+IF(((1000)-(c_TMAP3OUT))&gt;=0,1,-1)*QUOTIENT(((1000)-(c_TMAP3IN)),2)),((1000)-(c_TMAP3IN)))+(c_TMAP3OUT)+IF(((1000)-(c_TMAP3OUT))&gt;=0,IF(IF(o_WRAP=1,MOD(((1000)-(c_TMAP3IN))*(((A471)-(c_TMAP3IN))*((1000)-(c_TMAP3OUT))+IF(((1000)-(c_TMAP3OUT))&gt;=0,1,-1)*QUOTIENT(((1000)-(c_TMAP3IN)),2))+2147483648,4294967296)-2147483648,((1000)-(c_TMAP3IN))*(((A471)-(c_TMAP3IN))*((1000)-(c_TMAP3OUT))+IF(((1000)-(c_TMAP3OUT))&gt;=0,1,-1)*QUOTIENT(((1000)-(c_TMAP3IN)),2)))&lt;0,-1,0),IF(IF(o_WRAP=1,MOD(((1000)-(c_TMAP3IN))*(((A471)-(c_TMAP3IN))*((1000)-(c_TMAP3OUT))+IF(((1000)-(c_TMAP3OUT))&gt;=0,1,-1)*QUOTIENT(((1000)-(c_TMAP3IN)),2))+2147483648,4294967296)-2147483648,((1000)-(c_TMAP3IN))*(((A471)-(c_TMAP3IN))*((1000)-(c_TMAP3OUT))+IF(((1000)-(c_TMAP3OUT))&gt;=0,1,-1)*QUOTIENT(((1000)-(c_TMAP3IN)),2)))&gt;=0,1,0)))</f>
        <v>343</v>
      </c>
      <c r="H471" s="7" t="str">
        <f aca="false">IF(A471&gt;=c_TFWD,IF(AND(A471&gt;=c_TMAP3IN,c_TMAP3IN&lt;1000),"Seg4 map3-100%",IF(AND(A471&gt;=c_TMAP2IN,c_TMAP3IN&gt;c_TMAP2IN),"Seg3 map2-map3",IF(AND(A471&gt;=c_TMAP1IN,c_TMAP2IN&gt;c_TMAP1IN),"Seg2 map1-map2","Seg1 TFWD-map1"))),IF(AND(A471=0,c_TCREEP&gt;0),"Creep",IF(AND(A471&lt;=c_TRNGMIN,A471&gt;=c_TRNGMAX,c_TRNGMIN-c_TRNGMAX&lt;&gt;0),"Regen ramp","Coast (0)")))</f>
        <v>Seg4 map3-100%</v>
      </c>
      <c r="I471" s="7" t="n">
        <f aca="false">IF(A471&gt;=c_TFWD,IF(AND(A471&gt;=c_TMAP3IN,c_TMAP3IN&lt;1000),G471,IF(AND(A471&gt;=c_TMAP2IN,c_TMAP3IN&gt;c_TMAP2IN),F471,IF(AND(A471&gt;=c_TMAP1IN,c_TMAP2IN&gt;c_TMAP1IN),E471,D471))),C471)</f>
        <v>343</v>
      </c>
      <c r="J471" s="7" t="str">
        <f aca="false">IF(I471&lt;-1090,"TOO LOW",IF(I471&gt;1090,"TOO HIGH",""))</f>
        <v/>
      </c>
      <c r="K471" s="15" t="n">
        <f aca="false">IF(J471&lt;&gt;"",0,IF(I471&gt;979,1000,I471))</f>
        <v>343</v>
      </c>
      <c r="L471" s="7" t="n">
        <f aca="false">K471/10</f>
        <v>34.3</v>
      </c>
    </row>
    <row r="472" customFormat="false" ht="15" hidden="false" customHeight="false" outlineLevel="0" collapsed="false">
      <c r="A472" s="7" t="n">
        <v>467</v>
      </c>
      <c r="B472" s="7" t="n">
        <f aca="false">A472/10</f>
        <v>46.7</v>
      </c>
      <c r="C472" s="7" t="n">
        <f aca="false">IF(AND(A472=0,c_TCREEP&gt;0),10*c_TCREEP,IF(AND(A472&lt;=c_TRNGMIN,A472&gt;=c_TRNGMAX,c_TRNGMIN-c_TRNGMAX&lt;&gt;0),-10*c_TMINRN+QUOTIENT((c_TMAXRN-c_TMINRN)*(100-QUOTIENT((A472-c_TRNGMAX)*100,c_TRNGMIN-c_TRNGMAX)),-10),0))</f>
        <v>0</v>
      </c>
      <c r="D472" s="7" t="n">
        <f aca="false">IF(((c_TMAP1IN)-(c_TFWD))=0,(0)+QUOTIENT(((c_TMAP1OUT)-(0)),2),QUOTIENT((((A472)-(c_TFWD))*((c_TMAP1OUT)-(0))+IF(((c_TMAP1OUT)-(0))&gt;=0,1,-1)*QUOTIENT(((c_TMAP1IN)-(c_TFWD)),2)),((c_TMAP1IN)-(c_TFWD)))+(0)+IF(((c_TMAP1OUT)-(0))&gt;=0,IF(IF(o_WRAP=1,MOD(((c_TMAP1IN)-(c_TFWD))*(((A472)-(c_TFWD))*((c_TMAP1OUT)-(0))+IF(((c_TMAP1OUT)-(0))&gt;=0,1,-1)*QUOTIENT(((c_TMAP1IN)-(c_TFWD)),2))+2147483648,4294967296)-2147483648,((c_TMAP1IN)-(c_TFWD))*(((A472)-(c_TFWD))*((c_TMAP1OUT)-(0))+IF(((c_TMAP1OUT)-(0))&gt;=0,1,-1)*QUOTIENT(((c_TMAP1IN)-(c_TFWD)),2)))&lt;0,-1,0),IF(IF(o_WRAP=1,MOD(((c_TMAP1IN)-(c_TFWD))*(((A472)-(c_TFWD))*((c_TMAP1OUT)-(0))+IF(((c_TMAP1OUT)-(0))&gt;=0,1,-1)*QUOTIENT(((c_TMAP1IN)-(c_TFWD)),2))+2147483648,4294967296)-2147483648,((c_TMAP1IN)-(c_TFWD))*(((A472)-(c_TFWD))*((c_TMAP1OUT)-(0))+IF(((c_TMAP1OUT)-(0))&gt;=0,1,-1)*QUOTIENT(((c_TMAP1IN)-(c_TFWD)),2)))&gt;=0,1,0)))</f>
        <v>355</v>
      </c>
      <c r="E472" s="7" t="n">
        <f aca="false">IF(((c_TMAP2IN)-(c_TMAP1IN))=0,(c_TMAP1OUT)+QUOTIENT(((c_TMAP2OUT)-(c_TMAP1OUT)),2),QUOTIENT((((A472)-(c_TMAP1IN))*((c_TMAP2OUT)-(c_TMAP1OUT))+IF(((c_TMAP2OUT)-(c_TMAP1OUT))&gt;=0,1,-1)*QUOTIENT(((c_TMAP2IN)-(c_TMAP1IN)),2)),((c_TMAP2IN)-(c_TMAP1IN)))+(c_TMAP1OUT)+IF(((c_TMAP2OUT)-(c_TMAP1OUT))&gt;=0,IF(IF(o_WRAP=1,MOD(((c_TMAP2IN)-(c_TMAP1IN))*(((A472)-(c_TMAP1IN))*((c_TMAP2OUT)-(c_TMAP1OUT))+IF(((c_TMAP2OUT)-(c_TMAP1OUT))&gt;=0,1,-1)*QUOTIENT(((c_TMAP2IN)-(c_TMAP1IN)),2))+2147483648,4294967296)-2147483648,((c_TMAP2IN)-(c_TMAP1IN))*(((A472)-(c_TMAP1IN))*((c_TMAP2OUT)-(c_TMAP1OUT))+IF(((c_TMAP2OUT)-(c_TMAP1OUT))&gt;=0,1,-1)*QUOTIENT(((c_TMAP2IN)-(c_TMAP1IN)),2)))&lt;0,-1,0),IF(IF(o_WRAP=1,MOD(((c_TMAP2IN)-(c_TMAP1IN))*(((A472)-(c_TMAP1IN))*((c_TMAP2OUT)-(c_TMAP1OUT))+IF(((c_TMAP2OUT)-(c_TMAP1OUT))&gt;=0,1,-1)*QUOTIENT(((c_TMAP2IN)-(c_TMAP1IN)),2))+2147483648,4294967296)-2147483648,((c_TMAP2IN)-(c_TMAP1IN))*(((A472)-(c_TMAP1IN))*((c_TMAP2OUT)-(c_TMAP1OUT))+IF(((c_TMAP2OUT)-(c_TMAP1OUT))&gt;=0,1,-1)*QUOTIENT(((c_TMAP2IN)-(c_TMAP1IN)),2)))&gt;=0,1,0)))</f>
        <v>217</v>
      </c>
      <c r="F472" s="7" t="n">
        <f aca="false">IF(((c_TMAP3IN)-(c_TMAP2IN))=0,(c_TMAP2OUT)+QUOTIENT(((c_TMAP3OUT)-(c_TMAP2OUT)),2),QUOTIENT((((A472)-(c_TMAP2IN))*((c_TMAP3OUT)-(c_TMAP2OUT))+IF(((c_TMAP3OUT)-(c_TMAP2OUT))&gt;=0,1,-1)*QUOTIENT(((c_TMAP3IN)-(c_TMAP2IN)),2)),((c_TMAP3IN)-(c_TMAP2IN)))+(c_TMAP2OUT)+IF(((c_TMAP3OUT)-(c_TMAP2OUT))&gt;=0,IF(IF(o_WRAP=1,MOD(((c_TMAP3IN)-(c_TMAP2IN))*(((A472)-(c_TMAP2IN))*((c_TMAP3OUT)-(c_TMAP2OUT))+IF(((c_TMAP3OUT)-(c_TMAP2OUT))&gt;=0,1,-1)*QUOTIENT(((c_TMAP3IN)-(c_TMAP2IN)),2))+2147483648,4294967296)-2147483648,((c_TMAP3IN)-(c_TMAP2IN))*(((A472)-(c_TMAP2IN))*((c_TMAP3OUT)-(c_TMAP2OUT))+IF(((c_TMAP3OUT)-(c_TMAP2OUT))&gt;=0,1,-1)*QUOTIENT(((c_TMAP3IN)-(c_TMAP2IN)),2)))&lt;0,-1,0),IF(IF(o_WRAP=1,MOD(((c_TMAP3IN)-(c_TMAP2IN))*(((A472)-(c_TMAP2IN))*((c_TMAP3OUT)-(c_TMAP2OUT))+IF(((c_TMAP3OUT)-(c_TMAP2OUT))&gt;=0,1,-1)*QUOTIENT(((c_TMAP3IN)-(c_TMAP2IN)),2))+2147483648,4294967296)-2147483648,((c_TMAP3IN)-(c_TMAP2IN))*(((A472)-(c_TMAP2IN))*((c_TMAP3OUT)-(c_TMAP2OUT))+IF(((c_TMAP3OUT)-(c_TMAP2OUT))&gt;=0,1,-1)*QUOTIENT(((c_TMAP3IN)-(c_TMAP2IN)),2)))&gt;=0,1,0)))</f>
        <v>282</v>
      </c>
      <c r="G472" s="7" t="n">
        <f aca="false">IF(((1000)-(c_TMAP3IN))=0,(c_TMAP3OUT)+QUOTIENT(((1000)-(c_TMAP3OUT)),2),QUOTIENT((((A472)-(c_TMAP3IN))*((1000)-(c_TMAP3OUT))+IF(((1000)-(c_TMAP3OUT))&gt;=0,1,-1)*QUOTIENT(((1000)-(c_TMAP3IN)),2)),((1000)-(c_TMAP3IN)))+(c_TMAP3OUT)+IF(((1000)-(c_TMAP3OUT))&gt;=0,IF(IF(o_WRAP=1,MOD(((1000)-(c_TMAP3IN))*(((A472)-(c_TMAP3IN))*((1000)-(c_TMAP3OUT))+IF(((1000)-(c_TMAP3OUT))&gt;=0,1,-1)*QUOTIENT(((1000)-(c_TMAP3IN)),2))+2147483648,4294967296)-2147483648,((1000)-(c_TMAP3IN))*(((A472)-(c_TMAP3IN))*((1000)-(c_TMAP3OUT))+IF(((1000)-(c_TMAP3OUT))&gt;=0,1,-1)*QUOTIENT(((1000)-(c_TMAP3IN)),2)))&lt;0,-1,0),IF(IF(o_WRAP=1,MOD(((1000)-(c_TMAP3IN))*(((A472)-(c_TMAP3IN))*((1000)-(c_TMAP3OUT))+IF(((1000)-(c_TMAP3OUT))&gt;=0,1,-1)*QUOTIENT(((1000)-(c_TMAP3IN)),2))+2147483648,4294967296)-2147483648,((1000)-(c_TMAP3IN))*(((A472)-(c_TMAP3IN))*((1000)-(c_TMAP3OUT))+IF(((1000)-(c_TMAP3OUT))&gt;=0,1,-1)*QUOTIENT(((1000)-(c_TMAP3IN)),2)))&gt;=0,1,0)))</f>
        <v>344</v>
      </c>
      <c r="H472" s="7" t="str">
        <f aca="false">IF(A472&gt;=c_TFWD,IF(AND(A472&gt;=c_TMAP3IN,c_TMAP3IN&lt;1000),"Seg4 map3-100%",IF(AND(A472&gt;=c_TMAP2IN,c_TMAP3IN&gt;c_TMAP2IN),"Seg3 map2-map3",IF(AND(A472&gt;=c_TMAP1IN,c_TMAP2IN&gt;c_TMAP1IN),"Seg2 map1-map2","Seg1 TFWD-map1"))),IF(AND(A472=0,c_TCREEP&gt;0),"Creep",IF(AND(A472&lt;=c_TRNGMIN,A472&gt;=c_TRNGMAX,c_TRNGMIN-c_TRNGMAX&lt;&gt;0),"Regen ramp","Coast (0)")))</f>
        <v>Seg4 map3-100%</v>
      </c>
      <c r="I472" s="7" t="n">
        <f aca="false">IF(A472&gt;=c_TFWD,IF(AND(A472&gt;=c_TMAP3IN,c_TMAP3IN&lt;1000),G472,IF(AND(A472&gt;=c_TMAP2IN,c_TMAP3IN&gt;c_TMAP2IN),F472,IF(AND(A472&gt;=c_TMAP1IN,c_TMAP2IN&gt;c_TMAP1IN),E472,D472))),C472)</f>
        <v>344</v>
      </c>
      <c r="J472" s="7" t="str">
        <f aca="false">IF(I472&lt;-1090,"TOO LOW",IF(I472&gt;1090,"TOO HIGH",""))</f>
        <v/>
      </c>
      <c r="K472" s="15" t="n">
        <f aca="false">IF(J472&lt;&gt;"",0,IF(I472&gt;979,1000,I472))</f>
        <v>344</v>
      </c>
      <c r="L472" s="7" t="n">
        <f aca="false">K472/10</f>
        <v>34.4</v>
      </c>
    </row>
    <row r="473" customFormat="false" ht="15" hidden="false" customHeight="false" outlineLevel="0" collapsed="false">
      <c r="A473" s="7" t="n">
        <v>468</v>
      </c>
      <c r="B473" s="7" t="n">
        <f aca="false">A473/10</f>
        <v>46.8</v>
      </c>
      <c r="C473" s="7" t="n">
        <f aca="false">IF(AND(A473=0,c_TCREEP&gt;0),10*c_TCREEP,IF(AND(A473&lt;=c_TRNGMIN,A473&gt;=c_TRNGMAX,c_TRNGMIN-c_TRNGMAX&lt;&gt;0),-10*c_TMINRN+QUOTIENT((c_TMAXRN-c_TMINRN)*(100-QUOTIENT((A473-c_TRNGMAX)*100,c_TRNGMIN-c_TRNGMAX)),-10),0))</f>
        <v>0</v>
      </c>
      <c r="D473" s="7" t="n">
        <f aca="false">IF(((c_TMAP1IN)-(c_TFWD))=0,(0)+QUOTIENT(((c_TMAP1OUT)-(0)),2),QUOTIENT((((A473)-(c_TFWD))*((c_TMAP1OUT)-(0))+IF(((c_TMAP1OUT)-(0))&gt;=0,1,-1)*QUOTIENT(((c_TMAP1IN)-(c_TFWD)),2)),((c_TMAP1IN)-(c_TFWD)))+(0)+IF(((c_TMAP1OUT)-(0))&gt;=0,IF(IF(o_WRAP=1,MOD(((c_TMAP1IN)-(c_TFWD))*(((A473)-(c_TFWD))*((c_TMAP1OUT)-(0))+IF(((c_TMAP1OUT)-(0))&gt;=0,1,-1)*QUOTIENT(((c_TMAP1IN)-(c_TFWD)),2))+2147483648,4294967296)-2147483648,((c_TMAP1IN)-(c_TFWD))*(((A473)-(c_TFWD))*((c_TMAP1OUT)-(0))+IF(((c_TMAP1OUT)-(0))&gt;=0,1,-1)*QUOTIENT(((c_TMAP1IN)-(c_TFWD)),2)))&lt;0,-1,0),IF(IF(o_WRAP=1,MOD(((c_TMAP1IN)-(c_TFWD))*(((A473)-(c_TFWD))*((c_TMAP1OUT)-(0))+IF(((c_TMAP1OUT)-(0))&gt;=0,1,-1)*QUOTIENT(((c_TMAP1IN)-(c_TFWD)),2))+2147483648,4294967296)-2147483648,((c_TMAP1IN)-(c_TFWD))*(((A473)-(c_TFWD))*((c_TMAP1OUT)-(0))+IF(((c_TMAP1OUT)-(0))&gt;=0,1,-1)*QUOTIENT(((c_TMAP1IN)-(c_TFWD)),2)))&gt;=0,1,0)))</f>
        <v>356</v>
      </c>
      <c r="E473" s="7" t="n">
        <f aca="false">IF(((c_TMAP2IN)-(c_TMAP1IN))=0,(c_TMAP1OUT)+QUOTIENT(((c_TMAP2OUT)-(c_TMAP1OUT)),2),QUOTIENT((((A473)-(c_TMAP1IN))*((c_TMAP2OUT)-(c_TMAP1OUT))+IF(((c_TMAP2OUT)-(c_TMAP1OUT))&gt;=0,1,-1)*QUOTIENT(((c_TMAP2IN)-(c_TMAP1IN)),2)),((c_TMAP2IN)-(c_TMAP1IN)))+(c_TMAP1OUT)+IF(((c_TMAP2OUT)-(c_TMAP1OUT))&gt;=0,IF(IF(o_WRAP=1,MOD(((c_TMAP2IN)-(c_TMAP1IN))*(((A473)-(c_TMAP1IN))*((c_TMAP2OUT)-(c_TMAP1OUT))+IF(((c_TMAP2OUT)-(c_TMAP1OUT))&gt;=0,1,-1)*QUOTIENT(((c_TMAP2IN)-(c_TMAP1IN)),2))+2147483648,4294967296)-2147483648,((c_TMAP2IN)-(c_TMAP1IN))*(((A473)-(c_TMAP1IN))*((c_TMAP2OUT)-(c_TMAP1OUT))+IF(((c_TMAP2OUT)-(c_TMAP1OUT))&gt;=0,1,-1)*QUOTIENT(((c_TMAP2IN)-(c_TMAP1IN)),2)))&lt;0,-1,0),IF(IF(o_WRAP=1,MOD(((c_TMAP2IN)-(c_TMAP1IN))*(((A473)-(c_TMAP1IN))*((c_TMAP2OUT)-(c_TMAP1OUT))+IF(((c_TMAP2OUT)-(c_TMAP1OUT))&gt;=0,1,-1)*QUOTIENT(((c_TMAP2IN)-(c_TMAP1IN)),2))+2147483648,4294967296)-2147483648,((c_TMAP2IN)-(c_TMAP1IN))*(((A473)-(c_TMAP1IN))*((c_TMAP2OUT)-(c_TMAP1OUT))+IF(((c_TMAP2OUT)-(c_TMAP1OUT))&gt;=0,1,-1)*QUOTIENT(((c_TMAP2IN)-(c_TMAP1IN)),2)))&gt;=0,1,0)))</f>
        <v>217</v>
      </c>
      <c r="F473" s="7" t="n">
        <f aca="false">IF(((c_TMAP3IN)-(c_TMAP2IN))=0,(c_TMAP2OUT)+QUOTIENT(((c_TMAP3OUT)-(c_TMAP2OUT)),2),QUOTIENT((((A473)-(c_TMAP2IN))*((c_TMAP3OUT)-(c_TMAP2OUT))+IF(((c_TMAP3OUT)-(c_TMAP2OUT))&gt;=0,1,-1)*QUOTIENT(((c_TMAP3IN)-(c_TMAP2IN)),2)),((c_TMAP3IN)-(c_TMAP2IN)))+(c_TMAP2OUT)+IF(((c_TMAP3OUT)-(c_TMAP2OUT))&gt;=0,IF(IF(o_WRAP=1,MOD(((c_TMAP3IN)-(c_TMAP2IN))*(((A473)-(c_TMAP2IN))*((c_TMAP3OUT)-(c_TMAP2OUT))+IF(((c_TMAP3OUT)-(c_TMAP2OUT))&gt;=0,1,-1)*QUOTIENT(((c_TMAP3IN)-(c_TMAP2IN)),2))+2147483648,4294967296)-2147483648,((c_TMAP3IN)-(c_TMAP2IN))*(((A473)-(c_TMAP2IN))*((c_TMAP3OUT)-(c_TMAP2OUT))+IF(((c_TMAP3OUT)-(c_TMAP2OUT))&gt;=0,1,-1)*QUOTIENT(((c_TMAP3IN)-(c_TMAP2IN)),2)))&lt;0,-1,0),IF(IF(o_WRAP=1,MOD(((c_TMAP3IN)-(c_TMAP2IN))*(((A473)-(c_TMAP2IN))*((c_TMAP3OUT)-(c_TMAP2OUT))+IF(((c_TMAP3OUT)-(c_TMAP2OUT))&gt;=0,1,-1)*QUOTIENT(((c_TMAP3IN)-(c_TMAP2IN)),2))+2147483648,4294967296)-2147483648,((c_TMAP3IN)-(c_TMAP2IN))*(((A473)-(c_TMAP2IN))*((c_TMAP3OUT)-(c_TMAP2OUT))+IF(((c_TMAP3OUT)-(c_TMAP2OUT))&gt;=0,1,-1)*QUOTIENT(((c_TMAP3IN)-(c_TMAP2IN)),2)))&gt;=0,1,0)))</f>
        <v>283</v>
      </c>
      <c r="G473" s="7" t="n">
        <f aca="false">IF(((1000)-(c_TMAP3IN))=0,(c_TMAP3OUT)+QUOTIENT(((1000)-(c_TMAP3OUT)),2),QUOTIENT((((A473)-(c_TMAP3IN))*((1000)-(c_TMAP3OUT))+IF(((1000)-(c_TMAP3OUT))&gt;=0,1,-1)*QUOTIENT(((1000)-(c_TMAP3IN)),2)),((1000)-(c_TMAP3IN)))+(c_TMAP3OUT)+IF(((1000)-(c_TMAP3OUT))&gt;=0,IF(IF(o_WRAP=1,MOD(((1000)-(c_TMAP3IN))*(((A473)-(c_TMAP3IN))*((1000)-(c_TMAP3OUT))+IF(((1000)-(c_TMAP3OUT))&gt;=0,1,-1)*QUOTIENT(((1000)-(c_TMAP3IN)),2))+2147483648,4294967296)-2147483648,((1000)-(c_TMAP3IN))*(((A473)-(c_TMAP3IN))*((1000)-(c_TMAP3OUT))+IF(((1000)-(c_TMAP3OUT))&gt;=0,1,-1)*QUOTIENT(((1000)-(c_TMAP3IN)),2)))&lt;0,-1,0),IF(IF(o_WRAP=1,MOD(((1000)-(c_TMAP3IN))*(((A473)-(c_TMAP3IN))*((1000)-(c_TMAP3OUT))+IF(((1000)-(c_TMAP3OUT))&gt;=0,1,-1)*QUOTIENT(((1000)-(c_TMAP3IN)),2))+2147483648,4294967296)-2147483648,((1000)-(c_TMAP3IN))*(((A473)-(c_TMAP3IN))*((1000)-(c_TMAP3OUT))+IF(((1000)-(c_TMAP3OUT))&gt;=0,1,-1)*QUOTIENT(((1000)-(c_TMAP3IN)),2)))&gt;=0,1,0)))</f>
        <v>345</v>
      </c>
      <c r="H473" s="7" t="str">
        <f aca="false">IF(A473&gt;=c_TFWD,IF(AND(A473&gt;=c_TMAP3IN,c_TMAP3IN&lt;1000),"Seg4 map3-100%",IF(AND(A473&gt;=c_TMAP2IN,c_TMAP3IN&gt;c_TMAP2IN),"Seg3 map2-map3",IF(AND(A473&gt;=c_TMAP1IN,c_TMAP2IN&gt;c_TMAP1IN),"Seg2 map1-map2","Seg1 TFWD-map1"))),IF(AND(A473=0,c_TCREEP&gt;0),"Creep",IF(AND(A473&lt;=c_TRNGMIN,A473&gt;=c_TRNGMAX,c_TRNGMIN-c_TRNGMAX&lt;&gt;0),"Regen ramp","Coast (0)")))</f>
        <v>Seg4 map3-100%</v>
      </c>
      <c r="I473" s="7" t="n">
        <f aca="false">IF(A473&gt;=c_TFWD,IF(AND(A473&gt;=c_TMAP3IN,c_TMAP3IN&lt;1000),G473,IF(AND(A473&gt;=c_TMAP2IN,c_TMAP3IN&gt;c_TMAP2IN),F473,IF(AND(A473&gt;=c_TMAP1IN,c_TMAP2IN&gt;c_TMAP1IN),E473,D473))),C473)</f>
        <v>345</v>
      </c>
      <c r="J473" s="7" t="str">
        <f aca="false">IF(I473&lt;-1090,"TOO LOW",IF(I473&gt;1090,"TOO HIGH",""))</f>
        <v/>
      </c>
      <c r="K473" s="15" t="n">
        <f aca="false">IF(J473&lt;&gt;"",0,IF(I473&gt;979,1000,I473))</f>
        <v>345</v>
      </c>
      <c r="L473" s="7" t="n">
        <f aca="false">K473/10</f>
        <v>34.5</v>
      </c>
    </row>
    <row r="474" customFormat="false" ht="15" hidden="false" customHeight="false" outlineLevel="0" collapsed="false">
      <c r="A474" s="7" t="n">
        <v>469</v>
      </c>
      <c r="B474" s="7" t="n">
        <f aca="false">A474/10</f>
        <v>46.9</v>
      </c>
      <c r="C474" s="7" t="n">
        <f aca="false">IF(AND(A474=0,c_TCREEP&gt;0),10*c_TCREEP,IF(AND(A474&lt;=c_TRNGMIN,A474&gt;=c_TRNGMAX,c_TRNGMIN-c_TRNGMAX&lt;&gt;0),-10*c_TMINRN+QUOTIENT((c_TMAXRN-c_TMINRN)*(100-QUOTIENT((A474-c_TRNGMAX)*100,c_TRNGMIN-c_TRNGMAX)),-10),0))</f>
        <v>0</v>
      </c>
      <c r="D474" s="7" t="n">
        <f aca="false">IF(((c_TMAP1IN)-(c_TFWD))=0,(0)+QUOTIENT(((c_TMAP1OUT)-(0)),2),QUOTIENT((((A474)-(c_TFWD))*((c_TMAP1OUT)-(0))+IF(((c_TMAP1OUT)-(0))&gt;=0,1,-1)*QUOTIENT(((c_TMAP1IN)-(c_TFWD)),2)),((c_TMAP1IN)-(c_TFWD)))+(0)+IF(((c_TMAP1OUT)-(0))&gt;=0,IF(IF(o_WRAP=1,MOD(((c_TMAP1IN)-(c_TFWD))*(((A474)-(c_TFWD))*((c_TMAP1OUT)-(0))+IF(((c_TMAP1OUT)-(0))&gt;=0,1,-1)*QUOTIENT(((c_TMAP1IN)-(c_TFWD)),2))+2147483648,4294967296)-2147483648,((c_TMAP1IN)-(c_TFWD))*(((A474)-(c_TFWD))*((c_TMAP1OUT)-(0))+IF(((c_TMAP1OUT)-(0))&gt;=0,1,-1)*QUOTIENT(((c_TMAP1IN)-(c_TFWD)),2)))&lt;0,-1,0),IF(IF(o_WRAP=1,MOD(((c_TMAP1IN)-(c_TFWD))*(((A474)-(c_TFWD))*((c_TMAP1OUT)-(0))+IF(((c_TMAP1OUT)-(0))&gt;=0,1,-1)*QUOTIENT(((c_TMAP1IN)-(c_TFWD)),2))+2147483648,4294967296)-2147483648,((c_TMAP1IN)-(c_TFWD))*(((A474)-(c_TFWD))*((c_TMAP1OUT)-(0))+IF(((c_TMAP1OUT)-(0))&gt;=0,1,-1)*QUOTIENT(((c_TMAP1IN)-(c_TFWD)),2)))&gt;=0,1,0)))</f>
        <v>357</v>
      </c>
      <c r="E474" s="7" t="n">
        <f aca="false">IF(((c_TMAP2IN)-(c_TMAP1IN))=0,(c_TMAP1OUT)+QUOTIENT(((c_TMAP2OUT)-(c_TMAP1OUT)),2),QUOTIENT((((A474)-(c_TMAP1IN))*((c_TMAP2OUT)-(c_TMAP1OUT))+IF(((c_TMAP2OUT)-(c_TMAP1OUT))&gt;=0,1,-1)*QUOTIENT(((c_TMAP2IN)-(c_TMAP1IN)),2)),((c_TMAP2IN)-(c_TMAP1IN)))+(c_TMAP1OUT)+IF(((c_TMAP2OUT)-(c_TMAP1OUT))&gt;=0,IF(IF(o_WRAP=1,MOD(((c_TMAP2IN)-(c_TMAP1IN))*(((A474)-(c_TMAP1IN))*((c_TMAP2OUT)-(c_TMAP1OUT))+IF(((c_TMAP2OUT)-(c_TMAP1OUT))&gt;=0,1,-1)*QUOTIENT(((c_TMAP2IN)-(c_TMAP1IN)),2))+2147483648,4294967296)-2147483648,((c_TMAP2IN)-(c_TMAP1IN))*(((A474)-(c_TMAP1IN))*((c_TMAP2OUT)-(c_TMAP1OUT))+IF(((c_TMAP2OUT)-(c_TMAP1OUT))&gt;=0,1,-1)*QUOTIENT(((c_TMAP2IN)-(c_TMAP1IN)),2)))&lt;0,-1,0),IF(IF(o_WRAP=1,MOD(((c_TMAP2IN)-(c_TMAP1IN))*(((A474)-(c_TMAP1IN))*((c_TMAP2OUT)-(c_TMAP1OUT))+IF(((c_TMAP2OUT)-(c_TMAP1OUT))&gt;=0,1,-1)*QUOTIENT(((c_TMAP2IN)-(c_TMAP1IN)),2))+2147483648,4294967296)-2147483648,((c_TMAP2IN)-(c_TMAP1IN))*(((A474)-(c_TMAP1IN))*((c_TMAP2OUT)-(c_TMAP1OUT))+IF(((c_TMAP2OUT)-(c_TMAP1OUT))&gt;=0,1,-1)*QUOTIENT(((c_TMAP2IN)-(c_TMAP1IN)),2)))&gt;=0,1,0)))</f>
        <v>218</v>
      </c>
      <c r="F474" s="7" t="n">
        <f aca="false">IF(((c_TMAP3IN)-(c_TMAP2IN))=0,(c_TMAP2OUT)+QUOTIENT(((c_TMAP3OUT)-(c_TMAP2OUT)),2),QUOTIENT((((A474)-(c_TMAP2IN))*((c_TMAP3OUT)-(c_TMAP2OUT))+IF(((c_TMAP3OUT)-(c_TMAP2OUT))&gt;=0,1,-1)*QUOTIENT(((c_TMAP3IN)-(c_TMAP2IN)),2)),((c_TMAP3IN)-(c_TMAP2IN)))+(c_TMAP2OUT)+IF(((c_TMAP3OUT)-(c_TMAP2OUT))&gt;=0,IF(IF(o_WRAP=1,MOD(((c_TMAP3IN)-(c_TMAP2IN))*(((A474)-(c_TMAP2IN))*((c_TMAP3OUT)-(c_TMAP2OUT))+IF(((c_TMAP3OUT)-(c_TMAP2OUT))&gt;=0,1,-1)*QUOTIENT(((c_TMAP3IN)-(c_TMAP2IN)),2))+2147483648,4294967296)-2147483648,((c_TMAP3IN)-(c_TMAP2IN))*(((A474)-(c_TMAP2IN))*((c_TMAP3OUT)-(c_TMAP2OUT))+IF(((c_TMAP3OUT)-(c_TMAP2OUT))&gt;=0,1,-1)*QUOTIENT(((c_TMAP3IN)-(c_TMAP2IN)),2)))&lt;0,-1,0),IF(IF(o_WRAP=1,MOD(((c_TMAP3IN)-(c_TMAP2IN))*(((A474)-(c_TMAP2IN))*((c_TMAP3OUT)-(c_TMAP2OUT))+IF(((c_TMAP3OUT)-(c_TMAP2OUT))&gt;=0,1,-1)*QUOTIENT(((c_TMAP3IN)-(c_TMAP2IN)),2))+2147483648,4294967296)-2147483648,((c_TMAP3IN)-(c_TMAP2IN))*(((A474)-(c_TMAP2IN))*((c_TMAP3OUT)-(c_TMAP2OUT))+IF(((c_TMAP3OUT)-(c_TMAP2OUT))&gt;=0,1,-1)*QUOTIENT(((c_TMAP3IN)-(c_TMAP2IN)),2)))&gt;=0,1,0)))</f>
        <v>283</v>
      </c>
      <c r="G474" s="7" t="n">
        <f aca="false">IF(((1000)-(c_TMAP3IN))=0,(c_TMAP3OUT)+QUOTIENT(((1000)-(c_TMAP3OUT)),2),QUOTIENT((((A474)-(c_TMAP3IN))*((1000)-(c_TMAP3OUT))+IF(((1000)-(c_TMAP3OUT))&gt;=0,1,-1)*QUOTIENT(((1000)-(c_TMAP3IN)),2)),((1000)-(c_TMAP3IN)))+(c_TMAP3OUT)+IF(((1000)-(c_TMAP3OUT))&gt;=0,IF(IF(o_WRAP=1,MOD(((1000)-(c_TMAP3IN))*(((A474)-(c_TMAP3IN))*((1000)-(c_TMAP3OUT))+IF(((1000)-(c_TMAP3OUT))&gt;=0,1,-1)*QUOTIENT(((1000)-(c_TMAP3IN)),2))+2147483648,4294967296)-2147483648,((1000)-(c_TMAP3IN))*(((A474)-(c_TMAP3IN))*((1000)-(c_TMAP3OUT))+IF(((1000)-(c_TMAP3OUT))&gt;=0,1,-1)*QUOTIENT(((1000)-(c_TMAP3IN)),2)))&lt;0,-1,0),IF(IF(o_WRAP=1,MOD(((1000)-(c_TMAP3IN))*(((A474)-(c_TMAP3IN))*((1000)-(c_TMAP3OUT))+IF(((1000)-(c_TMAP3OUT))&gt;=0,1,-1)*QUOTIENT(((1000)-(c_TMAP3IN)),2))+2147483648,4294967296)-2147483648,((1000)-(c_TMAP3IN))*(((A474)-(c_TMAP3IN))*((1000)-(c_TMAP3OUT))+IF(((1000)-(c_TMAP3OUT))&gt;=0,1,-1)*QUOTIENT(((1000)-(c_TMAP3IN)),2)))&gt;=0,1,0)))</f>
        <v>346</v>
      </c>
      <c r="H474" s="7" t="str">
        <f aca="false">IF(A474&gt;=c_TFWD,IF(AND(A474&gt;=c_TMAP3IN,c_TMAP3IN&lt;1000),"Seg4 map3-100%",IF(AND(A474&gt;=c_TMAP2IN,c_TMAP3IN&gt;c_TMAP2IN),"Seg3 map2-map3",IF(AND(A474&gt;=c_TMAP1IN,c_TMAP2IN&gt;c_TMAP1IN),"Seg2 map1-map2","Seg1 TFWD-map1"))),IF(AND(A474=0,c_TCREEP&gt;0),"Creep",IF(AND(A474&lt;=c_TRNGMIN,A474&gt;=c_TRNGMAX,c_TRNGMIN-c_TRNGMAX&lt;&gt;0),"Regen ramp","Coast (0)")))</f>
        <v>Seg4 map3-100%</v>
      </c>
      <c r="I474" s="7" t="n">
        <f aca="false">IF(A474&gt;=c_TFWD,IF(AND(A474&gt;=c_TMAP3IN,c_TMAP3IN&lt;1000),G474,IF(AND(A474&gt;=c_TMAP2IN,c_TMAP3IN&gt;c_TMAP2IN),F474,IF(AND(A474&gt;=c_TMAP1IN,c_TMAP2IN&gt;c_TMAP1IN),E474,D474))),C474)</f>
        <v>346</v>
      </c>
      <c r="J474" s="7" t="str">
        <f aca="false">IF(I474&lt;-1090,"TOO LOW",IF(I474&gt;1090,"TOO HIGH",""))</f>
        <v/>
      </c>
      <c r="K474" s="15" t="n">
        <f aca="false">IF(J474&lt;&gt;"",0,IF(I474&gt;979,1000,I474))</f>
        <v>346</v>
      </c>
      <c r="L474" s="7" t="n">
        <f aca="false">K474/10</f>
        <v>34.6</v>
      </c>
    </row>
    <row r="475" customFormat="false" ht="15" hidden="false" customHeight="false" outlineLevel="0" collapsed="false">
      <c r="A475" s="7" t="n">
        <v>470</v>
      </c>
      <c r="B475" s="7" t="n">
        <f aca="false">A475/10</f>
        <v>47</v>
      </c>
      <c r="C475" s="7" t="n">
        <f aca="false">IF(AND(A475=0,c_TCREEP&gt;0),10*c_TCREEP,IF(AND(A475&lt;=c_TRNGMIN,A475&gt;=c_TRNGMAX,c_TRNGMIN-c_TRNGMAX&lt;&gt;0),-10*c_TMINRN+QUOTIENT((c_TMAXRN-c_TMINRN)*(100-QUOTIENT((A475-c_TRNGMAX)*100,c_TRNGMIN-c_TRNGMAX)),-10),0))</f>
        <v>0</v>
      </c>
      <c r="D475" s="7" t="n">
        <f aca="false">IF(((c_TMAP1IN)-(c_TFWD))=0,(0)+QUOTIENT(((c_TMAP1OUT)-(0)),2),QUOTIENT((((A475)-(c_TFWD))*((c_TMAP1OUT)-(0))+IF(((c_TMAP1OUT)-(0))&gt;=0,1,-1)*QUOTIENT(((c_TMAP1IN)-(c_TFWD)),2)),((c_TMAP1IN)-(c_TFWD)))+(0)+IF(((c_TMAP1OUT)-(0))&gt;=0,IF(IF(o_WRAP=1,MOD(((c_TMAP1IN)-(c_TFWD))*(((A475)-(c_TFWD))*((c_TMAP1OUT)-(0))+IF(((c_TMAP1OUT)-(0))&gt;=0,1,-1)*QUOTIENT(((c_TMAP1IN)-(c_TFWD)),2))+2147483648,4294967296)-2147483648,((c_TMAP1IN)-(c_TFWD))*(((A475)-(c_TFWD))*((c_TMAP1OUT)-(0))+IF(((c_TMAP1OUT)-(0))&gt;=0,1,-1)*QUOTIENT(((c_TMAP1IN)-(c_TFWD)),2)))&lt;0,-1,0),IF(IF(o_WRAP=1,MOD(((c_TMAP1IN)-(c_TFWD))*(((A475)-(c_TFWD))*((c_TMAP1OUT)-(0))+IF(((c_TMAP1OUT)-(0))&gt;=0,1,-1)*QUOTIENT(((c_TMAP1IN)-(c_TFWD)),2))+2147483648,4294967296)-2147483648,((c_TMAP1IN)-(c_TFWD))*(((A475)-(c_TFWD))*((c_TMAP1OUT)-(0))+IF(((c_TMAP1OUT)-(0))&gt;=0,1,-1)*QUOTIENT(((c_TMAP1IN)-(c_TFWD)),2)))&gt;=0,1,0)))</f>
        <v>358</v>
      </c>
      <c r="E475" s="7" t="n">
        <f aca="false">IF(((c_TMAP2IN)-(c_TMAP1IN))=0,(c_TMAP1OUT)+QUOTIENT(((c_TMAP2OUT)-(c_TMAP1OUT)),2),QUOTIENT((((A475)-(c_TMAP1IN))*((c_TMAP2OUT)-(c_TMAP1OUT))+IF(((c_TMAP2OUT)-(c_TMAP1OUT))&gt;=0,1,-1)*QUOTIENT(((c_TMAP2IN)-(c_TMAP1IN)),2)),((c_TMAP2IN)-(c_TMAP1IN)))+(c_TMAP1OUT)+IF(((c_TMAP2OUT)-(c_TMAP1OUT))&gt;=0,IF(IF(o_WRAP=1,MOD(((c_TMAP2IN)-(c_TMAP1IN))*(((A475)-(c_TMAP1IN))*((c_TMAP2OUT)-(c_TMAP1OUT))+IF(((c_TMAP2OUT)-(c_TMAP1OUT))&gt;=0,1,-1)*QUOTIENT(((c_TMAP2IN)-(c_TMAP1IN)),2))+2147483648,4294967296)-2147483648,((c_TMAP2IN)-(c_TMAP1IN))*(((A475)-(c_TMAP1IN))*((c_TMAP2OUT)-(c_TMAP1OUT))+IF(((c_TMAP2OUT)-(c_TMAP1OUT))&gt;=0,1,-1)*QUOTIENT(((c_TMAP2IN)-(c_TMAP1IN)),2)))&lt;0,-1,0),IF(IF(o_WRAP=1,MOD(((c_TMAP2IN)-(c_TMAP1IN))*(((A475)-(c_TMAP1IN))*((c_TMAP2OUT)-(c_TMAP1OUT))+IF(((c_TMAP2OUT)-(c_TMAP1OUT))&gt;=0,1,-1)*QUOTIENT(((c_TMAP2IN)-(c_TMAP1IN)),2))+2147483648,4294967296)-2147483648,((c_TMAP2IN)-(c_TMAP1IN))*(((A475)-(c_TMAP1IN))*((c_TMAP2OUT)-(c_TMAP1OUT))+IF(((c_TMAP2OUT)-(c_TMAP1OUT))&gt;=0,1,-1)*QUOTIENT(((c_TMAP2IN)-(c_TMAP1IN)),2)))&gt;=0,1,0)))</f>
        <v>218</v>
      </c>
      <c r="F475" s="7" t="n">
        <f aca="false">IF(((c_TMAP3IN)-(c_TMAP2IN))=0,(c_TMAP2OUT)+QUOTIENT(((c_TMAP3OUT)-(c_TMAP2OUT)),2),QUOTIENT((((A475)-(c_TMAP2IN))*((c_TMAP3OUT)-(c_TMAP2OUT))+IF(((c_TMAP3OUT)-(c_TMAP2OUT))&gt;=0,1,-1)*QUOTIENT(((c_TMAP3IN)-(c_TMAP2IN)),2)),((c_TMAP3IN)-(c_TMAP2IN)))+(c_TMAP2OUT)+IF(((c_TMAP3OUT)-(c_TMAP2OUT))&gt;=0,IF(IF(o_WRAP=1,MOD(((c_TMAP3IN)-(c_TMAP2IN))*(((A475)-(c_TMAP2IN))*((c_TMAP3OUT)-(c_TMAP2OUT))+IF(((c_TMAP3OUT)-(c_TMAP2OUT))&gt;=0,1,-1)*QUOTIENT(((c_TMAP3IN)-(c_TMAP2IN)),2))+2147483648,4294967296)-2147483648,((c_TMAP3IN)-(c_TMAP2IN))*(((A475)-(c_TMAP2IN))*((c_TMAP3OUT)-(c_TMAP2OUT))+IF(((c_TMAP3OUT)-(c_TMAP2OUT))&gt;=0,1,-1)*QUOTIENT(((c_TMAP3IN)-(c_TMAP2IN)),2)))&lt;0,-1,0),IF(IF(o_WRAP=1,MOD(((c_TMAP3IN)-(c_TMAP2IN))*(((A475)-(c_TMAP2IN))*((c_TMAP3OUT)-(c_TMAP2OUT))+IF(((c_TMAP3OUT)-(c_TMAP2OUT))&gt;=0,1,-1)*QUOTIENT(((c_TMAP3IN)-(c_TMAP2IN)),2))+2147483648,4294967296)-2147483648,((c_TMAP3IN)-(c_TMAP2IN))*(((A475)-(c_TMAP2IN))*((c_TMAP3OUT)-(c_TMAP2OUT))+IF(((c_TMAP3OUT)-(c_TMAP2OUT))&gt;=0,1,-1)*QUOTIENT(((c_TMAP3IN)-(c_TMAP2IN)),2)))&gt;=0,1,0)))</f>
        <v>284</v>
      </c>
      <c r="G475" s="7" t="n">
        <f aca="false">IF(((1000)-(c_TMAP3IN))=0,(c_TMAP3OUT)+QUOTIENT(((1000)-(c_TMAP3OUT)),2),QUOTIENT((((A475)-(c_TMAP3IN))*((1000)-(c_TMAP3OUT))+IF(((1000)-(c_TMAP3OUT))&gt;=0,1,-1)*QUOTIENT(((1000)-(c_TMAP3IN)),2)),((1000)-(c_TMAP3IN)))+(c_TMAP3OUT)+IF(((1000)-(c_TMAP3OUT))&gt;=0,IF(IF(o_WRAP=1,MOD(((1000)-(c_TMAP3IN))*(((A475)-(c_TMAP3IN))*((1000)-(c_TMAP3OUT))+IF(((1000)-(c_TMAP3OUT))&gt;=0,1,-1)*QUOTIENT(((1000)-(c_TMAP3IN)),2))+2147483648,4294967296)-2147483648,((1000)-(c_TMAP3IN))*(((A475)-(c_TMAP3IN))*((1000)-(c_TMAP3OUT))+IF(((1000)-(c_TMAP3OUT))&gt;=0,1,-1)*QUOTIENT(((1000)-(c_TMAP3IN)),2)))&lt;0,-1,0),IF(IF(o_WRAP=1,MOD(((1000)-(c_TMAP3IN))*(((A475)-(c_TMAP3IN))*((1000)-(c_TMAP3OUT))+IF(((1000)-(c_TMAP3OUT))&gt;=0,1,-1)*QUOTIENT(((1000)-(c_TMAP3IN)),2))+2147483648,4294967296)-2147483648,((1000)-(c_TMAP3IN))*(((A475)-(c_TMAP3IN))*((1000)-(c_TMAP3OUT))+IF(((1000)-(c_TMAP3OUT))&gt;=0,1,-1)*QUOTIENT(((1000)-(c_TMAP3IN)),2)))&gt;=0,1,0)))</f>
        <v>348</v>
      </c>
      <c r="H475" s="7" t="str">
        <f aca="false">IF(A475&gt;=c_TFWD,IF(AND(A475&gt;=c_TMAP3IN,c_TMAP3IN&lt;1000),"Seg4 map3-100%",IF(AND(A475&gt;=c_TMAP2IN,c_TMAP3IN&gt;c_TMAP2IN),"Seg3 map2-map3",IF(AND(A475&gt;=c_TMAP1IN,c_TMAP2IN&gt;c_TMAP1IN),"Seg2 map1-map2","Seg1 TFWD-map1"))),IF(AND(A475=0,c_TCREEP&gt;0),"Creep",IF(AND(A475&lt;=c_TRNGMIN,A475&gt;=c_TRNGMAX,c_TRNGMIN-c_TRNGMAX&lt;&gt;0),"Regen ramp","Coast (0)")))</f>
        <v>Seg4 map3-100%</v>
      </c>
      <c r="I475" s="7" t="n">
        <f aca="false">IF(A475&gt;=c_TFWD,IF(AND(A475&gt;=c_TMAP3IN,c_TMAP3IN&lt;1000),G475,IF(AND(A475&gt;=c_TMAP2IN,c_TMAP3IN&gt;c_TMAP2IN),F475,IF(AND(A475&gt;=c_TMAP1IN,c_TMAP2IN&gt;c_TMAP1IN),E475,D475))),C475)</f>
        <v>348</v>
      </c>
      <c r="J475" s="7" t="str">
        <f aca="false">IF(I475&lt;-1090,"TOO LOW",IF(I475&gt;1090,"TOO HIGH",""))</f>
        <v/>
      </c>
      <c r="K475" s="15" t="n">
        <f aca="false">IF(J475&lt;&gt;"",0,IF(I475&gt;979,1000,I475))</f>
        <v>348</v>
      </c>
      <c r="L475" s="7" t="n">
        <f aca="false">K475/10</f>
        <v>34.8</v>
      </c>
    </row>
    <row r="476" customFormat="false" ht="15" hidden="false" customHeight="false" outlineLevel="0" collapsed="false">
      <c r="A476" s="7" t="n">
        <v>471</v>
      </c>
      <c r="B476" s="7" t="n">
        <f aca="false">A476/10</f>
        <v>47.1</v>
      </c>
      <c r="C476" s="7" t="n">
        <f aca="false">IF(AND(A476=0,c_TCREEP&gt;0),10*c_TCREEP,IF(AND(A476&lt;=c_TRNGMIN,A476&gt;=c_TRNGMAX,c_TRNGMIN-c_TRNGMAX&lt;&gt;0),-10*c_TMINRN+QUOTIENT((c_TMAXRN-c_TMINRN)*(100-QUOTIENT((A476-c_TRNGMAX)*100,c_TRNGMIN-c_TRNGMAX)),-10),0))</f>
        <v>0</v>
      </c>
      <c r="D476" s="7" t="n">
        <f aca="false">IF(((c_TMAP1IN)-(c_TFWD))=0,(0)+QUOTIENT(((c_TMAP1OUT)-(0)),2),QUOTIENT((((A476)-(c_TFWD))*((c_TMAP1OUT)-(0))+IF(((c_TMAP1OUT)-(0))&gt;=0,1,-1)*QUOTIENT(((c_TMAP1IN)-(c_TFWD)),2)),((c_TMAP1IN)-(c_TFWD)))+(0)+IF(((c_TMAP1OUT)-(0))&gt;=0,IF(IF(o_WRAP=1,MOD(((c_TMAP1IN)-(c_TFWD))*(((A476)-(c_TFWD))*((c_TMAP1OUT)-(0))+IF(((c_TMAP1OUT)-(0))&gt;=0,1,-1)*QUOTIENT(((c_TMAP1IN)-(c_TFWD)),2))+2147483648,4294967296)-2147483648,((c_TMAP1IN)-(c_TFWD))*(((A476)-(c_TFWD))*((c_TMAP1OUT)-(0))+IF(((c_TMAP1OUT)-(0))&gt;=0,1,-1)*QUOTIENT(((c_TMAP1IN)-(c_TFWD)),2)))&lt;0,-1,0),IF(IF(o_WRAP=1,MOD(((c_TMAP1IN)-(c_TFWD))*(((A476)-(c_TFWD))*((c_TMAP1OUT)-(0))+IF(((c_TMAP1OUT)-(0))&gt;=0,1,-1)*QUOTIENT(((c_TMAP1IN)-(c_TFWD)),2))+2147483648,4294967296)-2147483648,((c_TMAP1IN)-(c_TFWD))*(((A476)-(c_TFWD))*((c_TMAP1OUT)-(0))+IF(((c_TMAP1OUT)-(0))&gt;=0,1,-1)*QUOTIENT(((c_TMAP1IN)-(c_TFWD)),2)))&gt;=0,1,0)))</f>
        <v>359</v>
      </c>
      <c r="E476" s="7" t="n">
        <f aca="false">IF(((c_TMAP2IN)-(c_TMAP1IN))=0,(c_TMAP1OUT)+QUOTIENT(((c_TMAP2OUT)-(c_TMAP1OUT)),2),QUOTIENT((((A476)-(c_TMAP1IN))*((c_TMAP2OUT)-(c_TMAP1OUT))+IF(((c_TMAP2OUT)-(c_TMAP1OUT))&gt;=0,1,-1)*QUOTIENT(((c_TMAP2IN)-(c_TMAP1IN)),2)),((c_TMAP2IN)-(c_TMAP1IN)))+(c_TMAP1OUT)+IF(((c_TMAP2OUT)-(c_TMAP1OUT))&gt;=0,IF(IF(o_WRAP=1,MOD(((c_TMAP2IN)-(c_TMAP1IN))*(((A476)-(c_TMAP1IN))*((c_TMAP2OUT)-(c_TMAP1OUT))+IF(((c_TMAP2OUT)-(c_TMAP1OUT))&gt;=0,1,-1)*QUOTIENT(((c_TMAP2IN)-(c_TMAP1IN)),2))+2147483648,4294967296)-2147483648,((c_TMAP2IN)-(c_TMAP1IN))*(((A476)-(c_TMAP1IN))*((c_TMAP2OUT)-(c_TMAP1OUT))+IF(((c_TMAP2OUT)-(c_TMAP1OUT))&gt;=0,1,-1)*QUOTIENT(((c_TMAP2IN)-(c_TMAP1IN)),2)))&lt;0,-1,0),IF(IF(o_WRAP=1,MOD(((c_TMAP2IN)-(c_TMAP1IN))*(((A476)-(c_TMAP1IN))*((c_TMAP2OUT)-(c_TMAP1OUT))+IF(((c_TMAP2OUT)-(c_TMAP1OUT))&gt;=0,1,-1)*QUOTIENT(((c_TMAP2IN)-(c_TMAP1IN)),2))+2147483648,4294967296)-2147483648,((c_TMAP2IN)-(c_TMAP1IN))*(((A476)-(c_TMAP1IN))*((c_TMAP2OUT)-(c_TMAP1OUT))+IF(((c_TMAP2OUT)-(c_TMAP1OUT))&gt;=0,1,-1)*QUOTIENT(((c_TMAP2IN)-(c_TMAP1IN)),2)))&gt;=0,1,0)))</f>
        <v>218</v>
      </c>
      <c r="F476" s="7" t="n">
        <f aca="false">IF(((c_TMAP3IN)-(c_TMAP2IN))=0,(c_TMAP2OUT)+QUOTIENT(((c_TMAP3OUT)-(c_TMAP2OUT)),2),QUOTIENT((((A476)-(c_TMAP2IN))*((c_TMAP3OUT)-(c_TMAP2OUT))+IF(((c_TMAP3OUT)-(c_TMAP2OUT))&gt;=0,1,-1)*QUOTIENT(((c_TMAP3IN)-(c_TMAP2IN)),2)),((c_TMAP3IN)-(c_TMAP2IN)))+(c_TMAP2OUT)+IF(((c_TMAP3OUT)-(c_TMAP2OUT))&gt;=0,IF(IF(o_WRAP=1,MOD(((c_TMAP3IN)-(c_TMAP2IN))*(((A476)-(c_TMAP2IN))*((c_TMAP3OUT)-(c_TMAP2OUT))+IF(((c_TMAP3OUT)-(c_TMAP2OUT))&gt;=0,1,-1)*QUOTIENT(((c_TMAP3IN)-(c_TMAP2IN)),2))+2147483648,4294967296)-2147483648,((c_TMAP3IN)-(c_TMAP2IN))*(((A476)-(c_TMAP2IN))*((c_TMAP3OUT)-(c_TMAP2OUT))+IF(((c_TMAP3OUT)-(c_TMAP2OUT))&gt;=0,1,-1)*QUOTIENT(((c_TMAP3IN)-(c_TMAP2IN)),2)))&lt;0,-1,0),IF(IF(o_WRAP=1,MOD(((c_TMAP3IN)-(c_TMAP2IN))*(((A476)-(c_TMAP2IN))*((c_TMAP3OUT)-(c_TMAP2OUT))+IF(((c_TMAP3OUT)-(c_TMAP2OUT))&gt;=0,1,-1)*QUOTIENT(((c_TMAP3IN)-(c_TMAP2IN)),2))+2147483648,4294967296)-2147483648,((c_TMAP3IN)-(c_TMAP2IN))*(((A476)-(c_TMAP2IN))*((c_TMAP3OUT)-(c_TMAP2OUT))+IF(((c_TMAP3OUT)-(c_TMAP2OUT))&gt;=0,1,-1)*QUOTIENT(((c_TMAP3IN)-(c_TMAP2IN)),2)))&gt;=0,1,0)))</f>
        <v>285</v>
      </c>
      <c r="G476" s="7" t="n">
        <f aca="false">IF(((1000)-(c_TMAP3IN))=0,(c_TMAP3OUT)+QUOTIENT(((1000)-(c_TMAP3OUT)),2),QUOTIENT((((A476)-(c_TMAP3IN))*((1000)-(c_TMAP3OUT))+IF(((1000)-(c_TMAP3OUT))&gt;=0,1,-1)*QUOTIENT(((1000)-(c_TMAP3IN)),2)),((1000)-(c_TMAP3IN)))+(c_TMAP3OUT)+IF(((1000)-(c_TMAP3OUT))&gt;=0,IF(IF(o_WRAP=1,MOD(((1000)-(c_TMAP3IN))*(((A476)-(c_TMAP3IN))*((1000)-(c_TMAP3OUT))+IF(((1000)-(c_TMAP3OUT))&gt;=0,1,-1)*QUOTIENT(((1000)-(c_TMAP3IN)),2))+2147483648,4294967296)-2147483648,((1000)-(c_TMAP3IN))*(((A476)-(c_TMAP3IN))*((1000)-(c_TMAP3OUT))+IF(((1000)-(c_TMAP3OUT))&gt;=0,1,-1)*QUOTIENT(((1000)-(c_TMAP3IN)),2)))&lt;0,-1,0),IF(IF(o_WRAP=1,MOD(((1000)-(c_TMAP3IN))*(((A476)-(c_TMAP3IN))*((1000)-(c_TMAP3OUT))+IF(((1000)-(c_TMAP3OUT))&gt;=0,1,-1)*QUOTIENT(((1000)-(c_TMAP3IN)),2))+2147483648,4294967296)-2147483648,((1000)-(c_TMAP3IN))*(((A476)-(c_TMAP3IN))*((1000)-(c_TMAP3OUT))+IF(((1000)-(c_TMAP3OUT))&gt;=0,1,-1)*QUOTIENT(((1000)-(c_TMAP3IN)),2)))&gt;=0,1,0)))</f>
        <v>349</v>
      </c>
      <c r="H476" s="7" t="str">
        <f aca="false">IF(A476&gt;=c_TFWD,IF(AND(A476&gt;=c_TMAP3IN,c_TMAP3IN&lt;1000),"Seg4 map3-100%",IF(AND(A476&gt;=c_TMAP2IN,c_TMAP3IN&gt;c_TMAP2IN),"Seg3 map2-map3",IF(AND(A476&gt;=c_TMAP1IN,c_TMAP2IN&gt;c_TMAP1IN),"Seg2 map1-map2","Seg1 TFWD-map1"))),IF(AND(A476=0,c_TCREEP&gt;0),"Creep",IF(AND(A476&lt;=c_TRNGMIN,A476&gt;=c_TRNGMAX,c_TRNGMIN-c_TRNGMAX&lt;&gt;0),"Regen ramp","Coast (0)")))</f>
        <v>Seg4 map3-100%</v>
      </c>
      <c r="I476" s="7" t="n">
        <f aca="false">IF(A476&gt;=c_TFWD,IF(AND(A476&gt;=c_TMAP3IN,c_TMAP3IN&lt;1000),G476,IF(AND(A476&gt;=c_TMAP2IN,c_TMAP3IN&gt;c_TMAP2IN),F476,IF(AND(A476&gt;=c_TMAP1IN,c_TMAP2IN&gt;c_TMAP1IN),E476,D476))),C476)</f>
        <v>349</v>
      </c>
      <c r="J476" s="7" t="str">
        <f aca="false">IF(I476&lt;-1090,"TOO LOW",IF(I476&gt;1090,"TOO HIGH",""))</f>
        <v/>
      </c>
      <c r="K476" s="15" t="n">
        <f aca="false">IF(J476&lt;&gt;"",0,IF(I476&gt;979,1000,I476))</f>
        <v>349</v>
      </c>
      <c r="L476" s="7" t="n">
        <f aca="false">K476/10</f>
        <v>34.9</v>
      </c>
    </row>
    <row r="477" customFormat="false" ht="15" hidden="false" customHeight="false" outlineLevel="0" collapsed="false">
      <c r="A477" s="7" t="n">
        <v>472</v>
      </c>
      <c r="B477" s="7" t="n">
        <f aca="false">A477/10</f>
        <v>47.2</v>
      </c>
      <c r="C477" s="7" t="n">
        <f aca="false">IF(AND(A477=0,c_TCREEP&gt;0),10*c_TCREEP,IF(AND(A477&lt;=c_TRNGMIN,A477&gt;=c_TRNGMAX,c_TRNGMIN-c_TRNGMAX&lt;&gt;0),-10*c_TMINRN+QUOTIENT((c_TMAXRN-c_TMINRN)*(100-QUOTIENT((A477-c_TRNGMAX)*100,c_TRNGMIN-c_TRNGMAX)),-10),0))</f>
        <v>0</v>
      </c>
      <c r="D477" s="7" t="n">
        <f aca="false">IF(((c_TMAP1IN)-(c_TFWD))=0,(0)+QUOTIENT(((c_TMAP1OUT)-(0)),2),QUOTIENT((((A477)-(c_TFWD))*((c_TMAP1OUT)-(0))+IF(((c_TMAP1OUT)-(0))&gt;=0,1,-1)*QUOTIENT(((c_TMAP1IN)-(c_TFWD)),2)),((c_TMAP1IN)-(c_TFWD)))+(0)+IF(((c_TMAP1OUT)-(0))&gt;=0,IF(IF(o_WRAP=1,MOD(((c_TMAP1IN)-(c_TFWD))*(((A477)-(c_TFWD))*((c_TMAP1OUT)-(0))+IF(((c_TMAP1OUT)-(0))&gt;=0,1,-1)*QUOTIENT(((c_TMAP1IN)-(c_TFWD)),2))+2147483648,4294967296)-2147483648,((c_TMAP1IN)-(c_TFWD))*(((A477)-(c_TFWD))*((c_TMAP1OUT)-(0))+IF(((c_TMAP1OUT)-(0))&gt;=0,1,-1)*QUOTIENT(((c_TMAP1IN)-(c_TFWD)),2)))&lt;0,-1,0),IF(IF(o_WRAP=1,MOD(((c_TMAP1IN)-(c_TFWD))*(((A477)-(c_TFWD))*((c_TMAP1OUT)-(0))+IF(((c_TMAP1OUT)-(0))&gt;=0,1,-1)*QUOTIENT(((c_TMAP1IN)-(c_TFWD)),2))+2147483648,4294967296)-2147483648,((c_TMAP1IN)-(c_TFWD))*(((A477)-(c_TFWD))*((c_TMAP1OUT)-(0))+IF(((c_TMAP1OUT)-(0))&gt;=0,1,-1)*QUOTIENT(((c_TMAP1IN)-(c_TFWD)),2)))&gt;=0,1,0)))</f>
        <v>359</v>
      </c>
      <c r="E477" s="7" t="n">
        <f aca="false">IF(((c_TMAP2IN)-(c_TMAP1IN))=0,(c_TMAP1OUT)+QUOTIENT(((c_TMAP2OUT)-(c_TMAP1OUT)),2),QUOTIENT((((A477)-(c_TMAP1IN))*((c_TMAP2OUT)-(c_TMAP1OUT))+IF(((c_TMAP2OUT)-(c_TMAP1OUT))&gt;=0,1,-1)*QUOTIENT(((c_TMAP2IN)-(c_TMAP1IN)),2)),((c_TMAP2IN)-(c_TMAP1IN)))+(c_TMAP1OUT)+IF(((c_TMAP2OUT)-(c_TMAP1OUT))&gt;=0,IF(IF(o_WRAP=1,MOD(((c_TMAP2IN)-(c_TMAP1IN))*(((A477)-(c_TMAP1IN))*((c_TMAP2OUT)-(c_TMAP1OUT))+IF(((c_TMAP2OUT)-(c_TMAP1OUT))&gt;=0,1,-1)*QUOTIENT(((c_TMAP2IN)-(c_TMAP1IN)),2))+2147483648,4294967296)-2147483648,((c_TMAP2IN)-(c_TMAP1IN))*(((A477)-(c_TMAP1IN))*((c_TMAP2OUT)-(c_TMAP1OUT))+IF(((c_TMAP2OUT)-(c_TMAP1OUT))&gt;=0,1,-1)*QUOTIENT(((c_TMAP2IN)-(c_TMAP1IN)),2)))&lt;0,-1,0),IF(IF(o_WRAP=1,MOD(((c_TMAP2IN)-(c_TMAP1IN))*(((A477)-(c_TMAP1IN))*((c_TMAP2OUT)-(c_TMAP1OUT))+IF(((c_TMAP2OUT)-(c_TMAP1OUT))&gt;=0,1,-1)*QUOTIENT(((c_TMAP2IN)-(c_TMAP1IN)),2))+2147483648,4294967296)-2147483648,((c_TMAP2IN)-(c_TMAP1IN))*(((A477)-(c_TMAP1IN))*((c_TMAP2OUT)-(c_TMAP1OUT))+IF(((c_TMAP2OUT)-(c_TMAP1OUT))&gt;=0,1,-1)*QUOTIENT(((c_TMAP2IN)-(c_TMAP1IN)),2)))&gt;=0,1,0)))</f>
        <v>219</v>
      </c>
      <c r="F477" s="7" t="n">
        <f aca="false">IF(((c_TMAP3IN)-(c_TMAP2IN))=0,(c_TMAP2OUT)+QUOTIENT(((c_TMAP3OUT)-(c_TMAP2OUT)),2),QUOTIENT((((A477)-(c_TMAP2IN))*((c_TMAP3OUT)-(c_TMAP2OUT))+IF(((c_TMAP3OUT)-(c_TMAP2OUT))&gt;=0,1,-1)*QUOTIENT(((c_TMAP3IN)-(c_TMAP2IN)),2)),((c_TMAP3IN)-(c_TMAP2IN)))+(c_TMAP2OUT)+IF(((c_TMAP3OUT)-(c_TMAP2OUT))&gt;=0,IF(IF(o_WRAP=1,MOD(((c_TMAP3IN)-(c_TMAP2IN))*(((A477)-(c_TMAP2IN))*((c_TMAP3OUT)-(c_TMAP2OUT))+IF(((c_TMAP3OUT)-(c_TMAP2OUT))&gt;=0,1,-1)*QUOTIENT(((c_TMAP3IN)-(c_TMAP2IN)),2))+2147483648,4294967296)-2147483648,((c_TMAP3IN)-(c_TMAP2IN))*(((A477)-(c_TMAP2IN))*((c_TMAP3OUT)-(c_TMAP2OUT))+IF(((c_TMAP3OUT)-(c_TMAP2OUT))&gt;=0,1,-1)*QUOTIENT(((c_TMAP3IN)-(c_TMAP2IN)),2)))&lt;0,-1,0),IF(IF(o_WRAP=1,MOD(((c_TMAP3IN)-(c_TMAP2IN))*(((A477)-(c_TMAP2IN))*((c_TMAP3OUT)-(c_TMAP2OUT))+IF(((c_TMAP3OUT)-(c_TMAP2OUT))&gt;=0,1,-1)*QUOTIENT(((c_TMAP3IN)-(c_TMAP2IN)),2))+2147483648,4294967296)-2147483648,((c_TMAP3IN)-(c_TMAP2IN))*(((A477)-(c_TMAP2IN))*((c_TMAP3OUT)-(c_TMAP2OUT))+IF(((c_TMAP3OUT)-(c_TMAP2OUT))&gt;=0,1,-1)*QUOTIENT(((c_TMAP3IN)-(c_TMAP2IN)),2)))&gt;=0,1,0)))</f>
        <v>285</v>
      </c>
      <c r="G477" s="7" t="n">
        <f aca="false">IF(((1000)-(c_TMAP3IN))=0,(c_TMAP3OUT)+QUOTIENT(((1000)-(c_TMAP3OUT)),2),QUOTIENT((((A477)-(c_TMAP3IN))*((1000)-(c_TMAP3OUT))+IF(((1000)-(c_TMAP3OUT))&gt;=0,1,-1)*QUOTIENT(((1000)-(c_TMAP3IN)),2)),((1000)-(c_TMAP3IN)))+(c_TMAP3OUT)+IF(((1000)-(c_TMAP3OUT))&gt;=0,IF(IF(o_WRAP=1,MOD(((1000)-(c_TMAP3IN))*(((A477)-(c_TMAP3IN))*((1000)-(c_TMAP3OUT))+IF(((1000)-(c_TMAP3OUT))&gt;=0,1,-1)*QUOTIENT(((1000)-(c_TMAP3IN)),2))+2147483648,4294967296)-2147483648,((1000)-(c_TMAP3IN))*(((A477)-(c_TMAP3IN))*((1000)-(c_TMAP3OUT))+IF(((1000)-(c_TMAP3OUT))&gt;=0,1,-1)*QUOTIENT(((1000)-(c_TMAP3IN)),2)))&lt;0,-1,0),IF(IF(o_WRAP=1,MOD(((1000)-(c_TMAP3IN))*(((A477)-(c_TMAP3IN))*((1000)-(c_TMAP3OUT))+IF(((1000)-(c_TMAP3OUT))&gt;=0,1,-1)*QUOTIENT(((1000)-(c_TMAP3IN)),2))+2147483648,4294967296)-2147483648,((1000)-(c_TMAP3IN))*(((A477)-(c_TMAP3IN))*((1000)-(c_TMAP3OUT))+IF(((1000)-(c_TMAP3OUT))&gt;=0,1,-1)*QUOTIENT(((1000)-(c_TMAP3IN)),2)))&gt;=0,1,0)))</f>
        <v>350</v>
      </c>
      <c r="H477" s="7" t="str">
        <f aca="false">IF(A477&gt;=c_TFWD,IF(AND(A477&gt;=c_TMAP3IN,c_TMAP3IN&lt;1000),"Seg4 map3-100%",IF(AND(A477&gt;=c_TMAP2IN,c_TMAP3IN&gt;c_TMAP2IN),"Seg3 map2-map3",IF(AND(A477&gt;=c_TMAP1IN,c_TMAP2IN&gt;c_TMAP1IN),"Seg2 map1-map2","Seg1 TFWD-map1"))),IF(AND(A477=0,c_TCREEP&gt;0),"Creep",IF(AND(A477&lt;=c_TRNGMIN,A477&gt;=c_TRNGMAX,c_TRNGMIN-c_TRNGMAX&lt;&gt;0),"Regen ramp","Coast (0)")))</f>
        <v>Seg4 map3-100%</v>
      </c>
      <c r="I477" s="7" t="n">
        <f aca="false">IF(A477&gt;=c_TFWD,IF(AND(A477&gt;=c_TMAP3IN,c_TMAP3IN&lt;1000),G477,IF(AND(A477&gt;=c_TMAP2IN,c_TMAP3IN&gt;c_TMAP2IN),F477,IF(AND(A477&gt;=c_TMAP1IN,c_TMAP2IN&gt;c_TMAP1IN),E477,D477))),C477)</f>
        <v>350</v>
      </c>
      <c r="J477" s="7" t="str">
        <f aca="false">IF(I477&lt;-1090,"TOO LOW",IF(I477&gt;1090,"TOO HIGH",""))</f>
        <v/>
      </c>
      <c r="K477" s="15" t="n">
        <f aca="false">IF(J477&lt;&gt;"",0,IF(I477&gt;979,1000,I477))</f>
        <v>350</v>
      </c>
      <c r="L477" s="7" t="n">
        <f aca="false">K477/10</f>
        <v>35</v>
      </c>
    </row>
    <row r="478" customFormat="false" ht="15" hidden="false" customHeight="false" outlineLevel="0" collapsed="false">
      <c r="A478" s="7" t="n">
        <v>473</v>
      </c>
      <c r="B478" s="7" t="n">
        <f aca="false">A478/10</f>
        <v>47.3</v>
      </c>
      <c r="C478" s="7" t="n">
        <f aca="false">IF(AND(A478=0,c_TCREEP&gt;0),10*c_TCREEP,IF(AND(A478&lt;=c_TRNGMIN,A478&gt;=c_TRNGMAX,c_TRNGMIN-c_TRNGMAX&lt;&gt;0),-10*c_TMINRN+QUOTIENT((c_TMAXRN-c_TMINRN)*(100-QUOTIENT((A478-c_TRNGMAX)*100,c_TRNGMIN-c_TRNGMAX)),-10),0))</f>
        <v>0</v>
      </c>
      <c r="D478" s="7" t="n">
        <f aca="false">IF(((c_TMAP1IN)-(c_TFWD))=0,(0)+QUOTIENT(((c_TMAP1OUT)-(0)),2),QUOTIENT((((A478)-(c_TFWD))*((c_TMAP1OUT)-(0))+IF(((c_TMAP1OUT)-(0))&gt;=0,1,-1)*QUOTIENT(((c_TMAP1IN)-(c_TFWD)),2)),((c_TMAP1IN)-(c_TFWD)))+(0)+IF(((c_TMAP1OUT)-(0))&gt;=0,IF(IF(o_WRAP=1,MOD(((c_TMAP1IN)-(c_TFWD))*(((A478)-(c_TFWD))*((c_TMAP1OUT)-(0))+IF(((c_TMAP1OUT)-(0))&gt;=0,1,-1)*QUOTIENT(((c_TMAP1IN)-(c_TFWD)),2))+2147483648,4294967296)-2147483648,((c_TMAP1IN)-(c_TFWD))*(((A478)-(c_TFWD))*((c_TMAP1OUT)-(0))+IF(((c_TMAP1OUT)-(0))&gt;=0,1,-1)*QUOTIENT(((c_TMAP1IN)-(c_TFWD)),2)))&lt;0,-1,0),IF(IF(o_WRAP=1,MOD(((c_TMAP1IN)-(c_TFWD))*(((A478)-(c_TFWD))*((c_TMAP1OUT)-(0))+IF(((c_TMAP1OUT)-(0))&gt;=0,1,-1)*QUOTIENT(((c_TMAP1IN)-(c_TFWD)),2))+2147483648,4294967296)-2147483648,((c_TMAP1IN)-(c_TFWD))*(((A478)-(c_TFWD))*((c_TMAP1OUT)-(0))+IF(((c_TMAP1OUT)-(0))&gt;=0,1,-1)*QUOTIENT(((c_TMAP1IN)-(c_TFWD)),2)))&gt;=0,1,0)))</f>
        <v>360</v>
      </c>
      <c r="E478" s="7" t="n">
        <f aca="false">IF(((c_TMAP2IN)-(c_TMAP1IN))=0,(c_TMAP1OUT)+QUOTIENT(((c_TMAP2OUT)-(c_TMAP1OUT)),2),QUOTIENT((((A478)-(c_TMAP1IN))*((c_TMAP2OUT)-(c_TMAP1OUT))+IF(((c_TMAP2OUT)-(c_TMAP1OUT))&gt;=0,1,-1)*QUOTIENT(((c_TMAP2IN)-(c_TMAP1IN)),2)),((c_TMAP2IN)-(c_TMAP1IN)))+(c_TMAP1OUT)+IF(((c_TMAP2OUT)-(c_TMAP1OUT))&gt;=0,IF(IF(o_WRAP=1,MOD(((c_TMAP2IN)-(c_TMAP1IN))*(((A478)-(c_TMAP1IN))*((c_TMAP2OUT)-(c_TMAP1OUT))+IF(((c_TMAP2OUT)-(c_TMAP1OUT))&gt;=0,1,-1)*QUOTIENT(((c_TMAP2IN)-(c_TMAP1IN)),2))+2147483648,4294967296)-2147483648,((c_TMAP2IN)-(c_TMAP1IN))*(((A478)-(c_TMAP1IN))*((c_TMAP2OUT)-(c_TMAP1OUT))+IF(((c_TMAP2OUT)-(c_TMAP1OUT))&gt;=0,1,-1)*QUOTIENT(((c_TMAP2IN)-(c_TMAP1IN)),2)))&lt;0,-1,0),IF(IF(o_WRAP=1,MOD(((c_TMAP2IN)-(c_TMAP1IN))*(((A478)-(c_TMAP1IN))*((c_TMAP2OUT)-(c_TMAP1OUT))+IF(((c_TMAP2OUT)-(c_TMAP1OUT))&gt;=0,1,-1)*QUOTIENT(((c_TMAP2IN)-(c_TMAP1IN)),2))+2147483648,4294967296)-2147483648,((c_TMAP2IN)-(c_TMAP1IN))*(((A478)-(c_TMAP1IN))*((c_TMAP2OUT)-(c_TMAP1OUT))+IF(((c_TMAP2OUT)-(c_TMAP1OUT))&gt;=0,1,-1)*QUOTIENT(((c_TMAP2IN)-(c_TMAP1IN)),2)))&gt;=0,1,0)))</f>
        <v>219</v>
      </c>
      <c r="F478" s="7" t="n">
        <f aca="false">IF(((c_TMAP3IN)-(c_TMAP2IN))=0,(c_TMAP2OUT)+QUOTIENT(((c_TMAP3OUT)-(c_TMAP2OUT)),2),QUOTIENT((((A478)-(c_TMAP2IN))*((c_TMAP3OUT)-(c_TMAP2OUT))+IF(((c_TMAP3OUT)-(c_TMAP2OUT))&gt;=0,1,-1)*QUOTIENT(((c_TMAP3IN)-(c_TMAP2IN)),2)),((c_TMAP3IN)-(c_TMAP2IN)))+(c_TMAP2OUT)+IF(((c_TMAP3OUT)-(c_TMAP2OUT))&gt;=0,IF(IF(o_WRAP=1,MOD(((c_TMAP3IN)-(c_TMAP2IN))*(((A478)-(c_TMAP2IN))*((c_TMAP3OUT)-(c_TMAP2OUT))+IF(((c_TMAP3OUT)-(c_TMAP2OUT))&gt;=0,1,-1)*QUOTIENT(((c_TMAP3IN)-(c_TMAP2IN)),2))+2147483648,4294967296)-2147483648,((c_TMAP3IN)-(c_TMAP2IN))*(((A478)-(c_TMAP2IN))*((c_TMAP3OUT)-(c_TMAP2OUT))+IF(((c_TMAP3OUT)-(c_TMAP2OUT))&gt;=0,1,-1)*QUOTIENT(((c_TMAP3IN)-(c_TMAP2IN)),2)))&lt;0,-1,0),IF(IF(o_WRAP=1,MOD(((c_TMAP3IN)-(c_TMAP2IN))*(((A478)-(c_TMAP2IN))*((c_TMAP3OUT)-(c_TMAP2OUT))+IF(((c_TMAP3OUT)-(c_TMAP2OUT))&gt;=0,1,-1)*QUOTIENT(((c_TMAP3IN)-(c_TMAP2IN)),2))+2147483648,4294967296)-2147483648,((c_TMAP3IN)-(c_TMAP2IN))*(((A478)-(c_TMAP2IN))*((c_TMAP3OUT)-(c_TMAP2OUT))+IF(((c_TMAP3OUT)-(c_TMAP2OUT))&gt;=0,1,-1)*QUOTIENT(((c_TMAP3IN)-(c_TMAP2IN)),2)))&gt;=0,1,0)))</f>
        <v>286</v>
      </c>
      <c r="G478" s="7" t="n">
        <f aca="false">IF(((1000)-(c_TMAP3IN))=0,(c_TMAP3OUT)+QUOTIENT(((1000)-(c_TMAP3OUT)),2),QUOTIENT((((A478)-(c_TMAP3IN))*((1000)-(c_TMAP3OUT))+IF(((1000)-(c_TMAP3OUT))&gt;=0,1,-1)*QUOTIENT(((1000)-(c_TMAP3IN)),2)),((1000)-(c_TMAP3IN)))+(c_TMAP3OUT)+IF(((1000)-(c_TMAP3OUT))&gt;=0,IF(IF(o_WRAP=1,MOD(((1000)-(c_TMAP3IN))*(((A478)-(c_TMAP3IN))*((1000)-(c_TMAP3OUT))+IF(((1000)-(c_TMAP3OUT))&gt;=0,1,-1)*QUOTIENT(((1000)-(c_TMAP3IN)),2))+2147483648,4294967296)-2147483648,((1000)-(c_TMAP3IN))*(((A478)-(c_TMAP3IN))*((1000)-(c_TMAP3OUT))+IF(((1000)-(c_TMAP3OUT))&gt;=0,1,-1)*QUOTIENT(((1000)-(c_TMAP3IN)),2)))&lt;0,-1,0),IF(IF(o_WRAP=1,MOD(((1000)-(c_TMAP3IN))*(((A478)-(c_TMAP3IN))*((1000)-(c_TMAP3OUT))+IF(((1000)-(c_TMAP3OUT))&gt;=0,1,-1)*QUOTIENT(((1000)-(c_TMAP3IN)),2))+2147483648,4294967296)-2147483648,((1000)-(c_TMAP3IN))*(((A478)-(c_TMAP3IN))*((1000)-(c_TMAP3OUT))+IF(((1000)-(c_TMAP3OUT))&gt;=0,1,-1)*QUOTIENT(((1000)-(c_TMAP3IN)),2)))&gt;=0,1,0)))</f>
        <v>351</v>
      </c>
      <c r="H478" s="7" t="str">
        <f aca="false">IF(A478&gt;=c_TFWD,IF(AND(A478&gt;=c_TMAP3IN,c_TMAP3IN&lt;1000),"Seg4 map3-100%",IF(AND(A478&gt;=c_TMAP2IN,c_TMAP3IN&gt;c_TMAP2IN),"Seg3 map2-map3",IF(AND(A478&gt;=c_TMAP1IN,c_TMAP2IN&gt;c_TMAP1IN),"Seg2 map1-map2","Seg1 TFWD-map1"))),IF(AND(A478=0,c_TCREEP&gt;0),"Creep",IF(AND(A478&lt;=c_TRNGMIN,A478&gt;=c_TRNGMAX,c_TRNGMIN-c_TRNGMAX&lt;&gt;0),"Regen ramp","Coast (0)")))</f>
        <v>Seg4 map3-100%</v>
      </c>
      <c r="I478" s="7" t="n">
        <f aca="false">IF(A478&gt;=c_TFWD,IF(AND(A478&gt;=c_TMAP3IN,c_TMAP3IN&lt;1000),G478,IF(AND(A478&gt;=c_TMAP2IN,c_TMAP3IN&gt;c_TMAP2IN),F478,IF(AND(A478&gt;=c_TMAP1IN,c_TMAP2IN&gt;c_TMAP1IN),E478,D478))),C478)</f>
        <v>351</v>
      </c>
      <c r="J478" s="7" t="str">
        <f aca="false">IF(I478&lt;-1090,"TOO LOW",IF(I478&gt;1090,"TOO HIGH",""))</f>
        <v/>
      </c>
      <c r="K478" s="15" t="n">
        <f aca="false">IF(J478&lt;&gt;"",0,IF(I478&gt;979,1000,I478))</f>
        <v>351</v>
      </c>
      <c r="L478" s="7" t="n">
        <f aca="false">K478/10</f>
        <v>35.1</v>
      </c>
    </row>
    <row r="479" customFormat="false" ht="15" hidden="false" customHeight="false" outlineLevel="0" collapsed="false">
      <c r="A479" s="7" t="n">
        <v>474</v>
      </c>
      <c r="B479" s="7" t="n">
        <f aca="false">A479/10</f>
        <v>47.4</v>
      </c>
      <c r="C479" s="7" t="n">
        <f aca="false">IF(AND(A479=0,c_TCREEP&gt;0),10*c_TCREEP,IF(AND(A479&lt;=c_TRNGMIN,A479&gt;=c_TRNGMAX,c_TRNGMIN-c_TRNGMAX&lt;&gt;0),-10*c_TMINRN+QUOTIENT((c_TMAXRN-c_TMINRN)*(100-QUOTIENT((A479-c_TRNGMAX)*100,c_TRNGMIN-c_TRNGMAX)),-10),0))</f>
        <v>0</v>
      </c>
      <c r="D479" s="7" t="n">
        <f aca="false">IF(((c_TMAP1IN)-(c_TFWD))=0,(0)+QUOTIENT(((c_TMAP1OUT)-(0)),2),QUOTIENT((((A479)-(c_TFWD))*((c_TMAP1OUT)-(0))+IF(((c_TMAP1OUT)-(0))&gt;=0,1,-1)*QUOTIENT(((c_TMAP1IN)-(c_TFWD)),2)),((c_TMAP1IN)-(c_TFWD)))+(0)+IF(((c_TMAP1OUT)-(0))&gt;=0,IF(IF(o_WRAP=1,MOD(((c_TMAP1IN)-(c_TFWD))*(((A479)-(c_TFWD))*((c_TMAP1OUT)-(0))+IF(((c_TMAP1OUT)-(0))&gt;=0,1,-1)*QUOTIENT(((c_TMAP1IN)-(c_TFWD)),2))+2147483648,4294967296)-2147483648,((c_TMAP1IN)-(c_TFWD))*(((A479)-(c_TFWD))*((c_TMAP1OUT)-(0))+IF(((c_TMAP1OUT)-(0))&gt;=0,1,-1)*QUOTIENT(((c_TMAP1IN)-(c_TFWD)),2)))&lt;0,-1,0),IF(IF(o_WRAP=1,MOD(((c_TMAP1IN)-(c_TFWD))*(((A479)-(c_TFWD))*((c_TMAP1OUT)-(0))+IF(((c_TMAP1OUT)-(0))&gt;=0,1,-1)*QUOTIENT(((c_TMAP1IN)-(c_TFWD)),2))+2147483648,4294967296)-2147483648,((c_TMAP1IN)-(c_TFWD))*(((A479)-(c_TFWD))*((c_TMAP1OUT)-(0))+IF(((c_TMAP1OUT)-(0))&gt;=0,1,-1)*QUOTIENT(((c_TMAP1IN)-(c_TFWD)),2)))&gt;=0,1,0)))</f>
        <v>361</v>
      </c>
      <c r="E479" s="7" t="n">
        <f aca="false">IF(((c_TMAP2IN)-(c_TMAP1IN))=0,(c_TMAP1OUT)+QUOTIENT(((c_TMAP2OUT)-(c_TMAP1OUT)),2),QUOTIENT((((A479)-(c_TMAP1IN))*((c_TMAP2OUT)-(c_TMAP1OUT))+IF(((c_TMAP2OUT)-(c_TMAP1OUT))&gt;=0,1,-1)*QUOTIENT(((c_TMAP2IN)-(c_TMAP1IN)),2)),((c_TMAP2IN)-(c_TMAP1IN)))+(c_TMAP1OUT)+IF(((c_TMAP2OUT)-(c_TMAP1OUT))&gt;=0,IF(IF(o_WRAP=1,MOD(((c_TMAP2IN)-(c_TMAP1IN))*(((A479)-(c_TMAP1IN))*((c_TMAP2OUT)-(c_TMAP1OUT))+IF(((c_TMAP2OUT)-(c_TMAP1OUT))&gt;=0,1,-1)*QUOTIENT(((c_TMAP2IN)-(c_TMAP1IN)),2))+2147483648,4294967296)-2147483648,((c_TMAP2IN)-(c_TMAP1IN))*(((A479)-(c_TMAP1IN))*((c_TMAP2OUT)-(c_TMAP1OUT))+IF(((c_TMAP2OUT)-(c_TMAP1OUT))&gt;=0,1,-1)*QUOTIENT(((c_TMAP2IN)-(c_TMAP1IN)),2)))&lt;0,-1,0),IF(IF(o_WRAP=1,MOD(((c_TMAP2IN)-(c_TMAP1IN))*(((A479)-(c_TMAP1IN))*((c_TMAP2OUT)-(c_TMAP1OUT))+IF(((c_TMAP2OUT)-(c_TMAP1OUT))&gt;=0,1,-1)*QUOTIENT(((c_TMAP2IN)-(c_TMAP1IN)),2))+2147483648,4294967296)-2147483648,((c_TMAP2IN)-(c_TMAP1IN))*(((A479)-(c_TMAP1IN))*((c_TMAP2OUT)-(c_TMAP1OUT))+IF(((c_TMAP2OUT)-(c_TMAP1OUT))&gt;=0,1,-1)*QUOTIENT(((c_TMAP2IN)-(c_TMAP1IN)),2)))&gt;=0,1,0)))</f>
        <v>220</v>
      </c>
      <c r="F479" s="7" t="n">
        <f aca="false">IF(((c_TMAP3IN)-(c_TMAP2IN))=0,(c_TMAP2OUT)+QUOTIENT(((c_TMAP3OUT)-(c_TMAP2OUT)),2),QUOTIENT((((A479)-(c_TMAP2IN))*((c_TMAP3OUT)-(c_TMAP2OUT))+IF(((c_TMAP3OUT)-(c_TMAP2OUT))&gt;=0,1,-1)*QUOTIENT(((c_TMAP3IN)-(c_TMAP2IN)),2)),((c_TMAP3IN)-(c_TMAP2IN)))+(c_TMAP2OUT)+IF(((c_TMAP3OUT)-(c_TMAP2OUT))&gt;=0,IF(IF(o_WRAP=1,MOD(((c_TMAP3IN)-(c_TMAP2IN))*(((A479)-(c_TMAP2IN))*((c_TMAP3OUT)-(c_TMAP2OUT))+IF(((c_TMAP3OUT)-(c_TMAP2OUT))&gt;=0,1,-1)*QUOTIENT(((c_TMAP3IN)-(c_TMAP2IN)),2))+2147483648,4294967296)-2147483648,((c_TMAP3IN)-(c_TMAP2IN))*(((A479)-(c_TMAP2IN))*((c_TMAP3OUT)-(c_TMAP2OUT))+IF(((c_TMAP3OUT)-(c_TMAP2OUT))&gt;=0,1,-1)*QUOTIENT(((c_TMAP3IN)-(c_TMAP2IN)),2)))&lt;0,-1,0),IF(IF(o_WRAP=1,MOD(((c_TMAP3IN)-(c_TMAP2IN))*(((A479)-(c_TMAP2IN))*((c_TMAP3OUT)-(c_TMAP2OUT))+IF(((c_TMAP3OUT)-(c_TMAP2OUT))&gt;=0,1,-1)*QUOTIENT(((c_TMAP3IN)-(c_TMAP2IN)),2))+2147483648,4294967296)-2147483648,((c_TMAP3IN)-(c_TMAP2IN))*(((A479)-(c_TMAP2IN))*((c_TMAP3OUT)-(c_TMAP2OUT))+IF(((c_TMAP3OUT)-(c_TMAP2OUT))&gt;=0,1,-1)*QUOTIENT(((c_TMAP3IN)-(c_TMAP2IN)),2)))&gt;=0,1,0)))</f>
        <v>287</v>
      </c>
      <c r="G479" s="7" t="n">
        <f aca="false">IF(((1000)-(c_TMAP3IN))=0,(c_TMAP3OUT)+QUOTIENT(((1000)-(c_TMAP3OUT)),2),QUOTIENT((((A479)-(c_TMAP3IN))*((1000)-(c_TMAP3OUT))+IF(((1000)-(c_TMAP3OUT))&gt;=0,1,-1)*QUOTIENT(((1000)-(c_TMAP3IN)),2)),((1000)-(c_TMAP3IN)))+(c_TMAP3OUT)+IF(((1000)-(c_TMAP3OUT))&gt;=0,IF(IF(o_WRAP=1,MOD(((1000)-(c_TMAP3IN))*(((A479)-(c_TMAP3IN))*((1000)-(c_TMAP3OUT))+IF(((1000)-(c_TMAP3OUT))&gt;=0,1,-1)*QUOTIENT(((1000)-(c_TMAP3IN)),2))+2147483648,4294967296)-2147483648,((1000)-(c_TMAP3IN))*(((A479)-(c_TMAP3IN))*((1000)-(c_TMAP3OUT))+IF(((1000)-(c_TMAP3OUT))&gt;=0,1,-1)*QUOTIENT(((1000)-(c_TMAP3IN)),2)))&lt;0,-1,0),IF(IF(o_WRAP=1,MOD(((1000)-(c_TMAP3IN))*(((A479)-(c_TMAP3IN))*((1000)-(c_TMAP3OUT))+IF(((1000)-(c_TMAP3OUT))&gt;=0,1,-1)*QUOTIENT(((1000)-(c_TMAP3IN)),2))+2147483648,4294967296)-2147483648,((1000)-(c_TMAP3IN))*(((A479)-(c_TMAP3IN))*((1000)-(c_TMAP3OUT))+IF(((1000)-(c_TMAP3OUT))&gt;=0,1,-1)*QUOTIENT(((1000)-(c_TMAP3IN)),2)))&gt;=0,1,0)))</f>
        <v>353</v>
      </c>
      <c r="H479" s="7" t="str">
        <f aca="false">IF(A479&gt;=c_TFWD,IF(AND(A479&gt;=c_TMAP3IN,c_TMAP3IN&lt;1000),"Seg4 map3-100%",IF(AND(A479&gt;=c_TMAP2IN,c_TMAP3IN&gt;c_TMAP2IN),"Seg3 map2-map3",IF(AND(A479&gt;=c_TMAP1IN,c_TMAP2IN&gt;c_TMAP1IN),"Seg2 map1-map2","Seg1 TFWD-map1"))),IF(AND(A479=0,c_TCREEP&gt;0),"Creep",IF(AND(A479&lt;=c_TRNGMIN,A479&gt;=c_TRNGMAX,c_TRNGMIN-c_TRNGMAX&lt;&gt;0),"Regen ramp","Coast (0)")))</f>
        <v>Seg4 map3-100%</v>
      </c>
      <c r="I479" s="7" t="n">
        <f aca="false">IF(A479&gt;=c_TFWD,IF(AND(A479&gt;=c_TMAP3IN,c_TMAP3IN&lt;1000),G479,IF(AND(A479&gt;=c_TMAP2IN,c_TMAP3IN&gt;c_TMAP2IN),F479,IF(AND(A479&gt;=c_TMAP1IN,c_TMAP2IN&gt;c_TMAP1IN),E479,D479))),C479)</f>
        <v>353</v>
      </c>
      <c r="J479" s="7" t="str">
        <f aca="false">IF(I479&lt;-1090,"TOO LOW",IF(I479&gt;1090,"TOO HIGH",""))</f>
        <v/>
      </c>
      <c r="K479" s="15" t="n">
        <f aca="false">IF(J479&lt;&gt;"",0,IF(I479&gt;979,1000,I479))</f>
        <v>353</v>
      </c>
      <c r="L479" s="7" t="n">
        <f aca="false">K479/10</f>
        <v>35.3</v>
      </c>
    </row>
    <row r="480" customFormat="false" ht="15" hidden="false" customHeight="false" outlineLevel="0" collapsed="false">
      <c r="A480" s="7" t="n">
        <v>475</v>
      </c>
      <c r="B480" s="7" t="n">
        <f aca="false">A480/10</f>
        <v>47.5</v>
      </c>
      <c r="C480" s="7" t="n">
        <f aca="false">IF(AND(A480=0,c_TCREEP&gt;0),10*c_TCREEP,IF(AND(A480&lt;=c_TRNGMIN,A480&gt;=c_TRNGMAX,c_TRNGMIN-c_TRNGMAX&lt;&gt;0),-10*c_TMINRN+QUOTIENT((c_TMAXRN-c_TMINRN)*(100-QUOTIENT((A480-c_TRNGMAX)*100,c_TRNGMIN-c_TRNGMAX)),-10),0))</f>
        <v>0</v>
      </c>
      <c r="D480" s="7" t="n">
        <f aca="false">IF(((c_TMAP1IN)-(c_TFWD))=0,(0)+QUOTIENT(((c_TMAP1OUT)-(0)),2),QUOTIENT((((A480)-(c_TFWD))*((c_TMAP1OUT)-(0))+IF(((c_TMAP1OUT)-(0))&gt;=0,1,-1)*QUOTIENT(((c_TMAP1IN)-(c_TFWD)),2)),((c_TMAP1IN)-(c_TFWD)))+(0)+IF(((c_TMAP1OUT)-(0))&gt;=0,IF(IF(o_WRAP=1,MOD(((c_TMAP1IN)-(c_TFWD))*(((A480)-(c_TFWD))*((c_TMAP1OUT)-(0))+IF(((c_TMAP1OUT)-(0))&gt;=0,1,-1)*QUOTIENT(((c_TMAP1IN)-(c_TFWD)),2))+2147483648,4294967296)-2147483648,((c_TMAP1IN)-(c_TFWD))*(((A480)-(c_TFWD))*((c_TMAP1OUT)-(0))+IF(((c_TMAP1OUT)-(0))&gt;=0,1,-1)*QUOTIENT(((c_TMAP1IN)-(c_TFWD)),2)))&lt;0,-1,0),IF(IF(o_WRAP=1,MOD(((c_TMAP1IN)-(c_TFWD))*(((A480)-(c_TFWD))*((c_TMAP1OUT)-(0))+IF(((c_TMAP1OUT)-(0))&gt;=0,1,-1)*QUOTIENT(((c_TMAP1IN)-(c_TFWD)),2))+2147483648,4294967296)-2147483648,((c_TMAP1IN)-(c_TFWD))*(((A480)-(c_TFWD))*((c_TMAP1OUT)-(0))+IF(((c_TMAP1OUT)-(0))&gt;=0,1,-1)*QUOTIENT(((c_TMAP1IN)-(c_TFWD)),2)))&gt;=0,1,0)))</f>
        <v>362</v>
      </c>
      <c r="E480" s="7" t="n">
        <f aca="false">IF(((c_TMAP2IN)-(c_TMAP1IN))=0,(c_TMAP1OUT)+QUOTIENT(((c_TMAP2OUT)-(c_TMAP1OUT)),2),QUOTIENT((((A480)-(c_TMAP1IN))*((c_TMAP2OUT)-(c_TMAP1OUT))+IF(((c_TMAP2OUT)-(c_TMAP1OUT))&gt;=0,1,-1)*QUOTIENT(((c_TMAP2IN)-(c_TMAP1IN)),2)),((c_TMAP2IN)-(c_TMAP1IN)))+(c_TMAP1OUT)+IF(((c_TMAP2OUT)-(c_TMAP1OUT))&gt;=0,IF(IF(o_WRAP=1,MOD(((c_TMAP2IN)-(c_TMAP1IN))*(((A480)-(c_TMAP1IN))*((c_TMAP2OUT)-(c_TMAP1OUT))+IF(((c_TMAP2OUT)-(c_TMAP1OUT))&gt;=0,1,-1)*QUOTIENT(((c_TMAP2IN)-(c_TMAP1IN)),2))+2147483648,4294967296)-2147483648,((c_TMAP2IN)-(c_TMAP1IN))*(((A480)-(c_TMAP1IN))*((c_TMAP2OUT)-(c_TMAP1OUT))+IF(((c_TMAP2OUT)-(c_TMAP1OUT))&gt;=0,1,-1)*QUOTIENT(((c_TMAP2IN)-(c_TMAP1IN)),2)))&lt;0,-1,0),IF(IF(o_WRAP=1,MOD(((c_TMAP2IN)-(c_TMAP1IN))*(((A480)-(c_TMAP1IN))*((c_TMAP2OUT)-(c_TMAP1OUT))+IF(((c_TMAP2OUT)-(c_TMAP1OUT))&gt;=0,1,-1)*QUOTIENT(((c_TMAP2IN)-(c_TMAP1IN)),2))+2147483648,4294967296)-2147483648,((c_TMAP2IN)-(c_TMAP1IN))*(((A480)-(c_TMAP1IN))*((c_TMAP2OUT)-(c_TMAP1OUT))+IF(((c_TMAP2OUT)-(c_TMAP1OUT))&gt;=0,1,-1)*QUOTIENT(((c_TMAP2IN)-(c_TMAP1IN)),2)))&gt;=0,1,0)))</f>
        <v>220</v>
      </c>
      <c r="F480" s="7" t="n">
        <f aca="false">IF(((c_TMAP3IN)-(c_TMAP2IN))=0,(c_TMAP2OUT)+QUOTIENT(((c_TMAP3OUT)-(c_TMAP2OUT)),2),QUOTIENT((((A480)-(c_TMAP2IN))*((c_TMAP3OUT)-(c_TMAP2OUT))+IF(((c_TMAP3OUT)-(c_TMAP2OUT))&gt;=0,1,-1)*QUOTIENT(((c_TMAP3IN)-(c_TMAP2IN)),2)),((c_TMAP3IN)-(c_TMAP2IN)))+(c_TMAP2OUT)+IF(((c_TMAP3OUT)-(c_TMAP2OUT))&gt;=0,IF(IF(o_WRAP=1,MOD(((c_TMAP3IN)-(c_TMAP2IN))*(((A480)-(c_TMAP2IN))*((c_TMAP3OUT)-(c_TMAP2OUT))+IF(((c_TMAP3OUT)-(c_TMAP2OUT))&gt;=0,1,-1)*QUOTIENT(((c_TMAP3IN)-(c_TMAP2IN)),2))+2147483648,4294967296)-2147483648,((c_TMAP3IN)-(c_TMAP2IN))*(((A480)-(c_TMAP2IN))*((c_TMAP3OUT)-(c_TMAP2OUT))+IF(((c_TMAP3OUT)-(c_TMAP2OUT))&gt;=0,1,-1)*QUOTIENT(((c_TMAP3IN)-(c_TMAP2IN)),2)))&lt;0,-1,0),IF(IF(o_WRAP=1,MOD(((c_TMAP3IN)-(c_TMAP2IN))*(((A480)-(c_TMAP2IN))*((c_TMAP3OUT)-(c_TMAP2OUT))+IF(((c_TMAP3OUT)-(c_TMAP2OUT))&gt;=0,1,-1)*QUOTIENT(((c_TMAP3IN)-(c_TMAP2IN)),2))+2147483648,4294967296)-2147483648,((c_TMAP3IN)-(c_TMAP2IN))*(((A480)-(c_TMAP2IN))*((c_TMAP3OUT)-(c_TMAP2OUT))+IF(((c_TMAP3OUT)-(c_TMAP2OUT))&gt;=0,1,-1)*QUOTIENT(((c_TMAP3IN)-(c_TMAP2IN)),2)))&gt;=0,1,0)))</f>
        <v>288</v>
      </c>
      <c r="G480" s="7" t="n">
        <f aca="false">IF(((1000)-(c_TMAP3IN))=0,(c_TMAP3OUT)+QUOTIENT(((1000)-(c_TMAP3OUT)),2),QUOTIENT((((A480)-(c_TMAP3IN))*((1000)-(c_TMAP3OUT))+IF(((1000)-(c_TMAP3OUT))&gt;=0,1,-1)*QUOTIENT(((1000)-(c_TMAP3IN)),2)),((1000)-(c_TMAP3IN)))+(c_TMAP3OUT)+IF(((1000)-(c_TMAP3OUT))&gt;=0,IF(IF(o_WRAP=1,MOD(((1000)-(c_TMAP3IN))*(((A480)-(c_TMAP3IN))*((1000)-(c_TMAP3OUT))+IF(((1000)-(c_TMAP3OUT))&gt;=0,1,-1)*QUOTIENT(((1000)-(c_TMAP3IN)),2))+2147483648,4294967296)-2147483648,((1000)-(c_TMAP3IN))*(((A480)-(c_TMAP3IN))*((1000)-(c_TMAP3OUT))+IF(((1000)-(c_TMAP3OUT))&gt;=0,1,-1)*QUOTIENT(((1000)-(c_TMAP3IN)),2)))&lt;0,-1,0),IF(IF(o_WRAP=1,MOD(((1000)-(c_TMAP3IN))*(((A480)-(c_TMAP3IN))*((1000)-(c_TMAP3OUT))+IF(((1000)-(c_TMAP3OUT))&gt;=0,1,-1)*QUOTIENT(((1000)-(c_TMAP3IN)),2))+2147483648,4294967296)-2147483648,((1000)-(c_TMAP3IN))*(((A480)-(c_TMAP3IN))*((1000)-(c_TMAP3OUT))+IF(((1000)-(c_TMAP3OUT))&gt;=0,1,-1)*QUOTIENT(((1000)-(c_TMAP3IN)),2)))&gt;=0,1,0)))</f>
        <v>354</v>
      </c>
      <c r="H480" s="7" t="str">
        <f aca="false">IF(A480&gt;=c_TFWD,IF(AND(A480&gt;=c_TMAP3IN,c_TMAP3IN&lt;1000),"Seg4 map3-100%",IF(AND(A480&gt;=c_TMAP2IN,c_TMAP3IN&gt;c_TMAP2IN),"Seg3 map2-map3",IF(AND(A480&gt;=c_TMAP1IN,c_TMAP2IN&gt;c_TMAP1IN),"Seg2 map1-map2","Seg1 TFWD-map1"))),IF(AND(A480=0,c_TCREEP&gt;0),"Creep",IF(AND(A480&lt;=c_TRNGMIN,A480&gt;=c_TRNGMAX,c_TRNGMIN-c_TRNGMAX&lt;&gt;0),"Regen ramp","Coast (0)")))</f>
        <v>Seg4 map3-100%</v>
      </c>
      <c r="I480" s="7" t="n">
        <f aca="false">IF(A480&gt;=c_TFWD,IF(AND(A480&gt;=c_TMAP3IN,c_TMAP3IN&lt;1000),G480,IF(AND(A480&gt;=c_TMAP2IN,c_TMAP3IN&gt;c_TMAP2IN),F480,IF(AND(A480&gt;=c_TMAP1IN,c_TMAP2IN&gt;c_TMAP1IN),E480,D480))),C480)</f>
        <v>354</v>
      </c>
      <c r="J480" s="7" t="str">
        <f aca="false">IF(I480&lt;-1090,"TOO LOW",IF(I480&gt;1090,"TOO HIGH",""))</f>
        <v/>
      </c>
      <c r="K480" s="15" t="n">
        <f aca="false">IF(J480&lt;&gt;"",0,IF(I480&gt;979,1000,I480))</f>
        <v>354</v>
      </c>
      <c r="L480" s="7" t="n">
        <f aca="false">K480/10</f>
        <v>35.4</v>
      </c>
    </row>
    <row r="481" customFormat="false" ht="15" hidden="false" customHeight="false" outlineLevel="0" collapsed="false">
      <c r="A481" s="7" t="n">
        <v>476</v>
      </c>
      <c r="B481" s="7" t="n">
        <f aca="false">A481/10</f>
        <v>47.6</v>
      </c>
      <c r="C481" s="7" t="n">
        <f aca="false">IF(AND(A481=0,c_TCREEP&gt;0),10*c_TCREEP,IF(AND(A481&lt;=c_TRNGMIN,A481&gt;=c_TRNGMAX,c_TRNGMIN-c_TRNGMAX&lt;&gt;0),-10*c_TMINRN+QUOTIENT((c_TMAXRN-c_TMINRN)*(100-QUOTIENT((A481-c_TRNGMAX)*100,c_TRNGMIN-c_TRNGMAX)),-10),0))</f>
        <v>0</v>
      </c>
      <c r="D481" s="7" t="n">
        <f aca="false">IF(((c_TMAP1IN)-(c_TFWD))=0,(0)+QUOTIENT(((c_TMAP1OUT)-(0)),2),QUOTIENT((((A481)-(c_TFWD))*((c_TMAP1OUT)-(0))+IF(((c_TMAP1OUT)-(0))&gt;=0,1,-1)*QUOTIENT(((c_TMAP1IN)-(c_TFWD)),2)),((c_TMAP1IN)-(c_TFWD)))+(0)+IF(((c_TMAP1OUT)-(0))&gt;=0,IF(IF(o_WRAP=1,MOD(((c_TMAP1IN)-(c_TFWD))*(((A481)-(c_TFWD))*((c_TMAP1OUT)-(0))+IF(((c_TMAP1OUT)-(0))&gt;=0,1,-1)*QUOTIENT(((c_TMAP1IN)-(c_TFWD)),2))+2147483648,4294967296)-2147483648,((c_TMAP1IN)-(c_TFWD))*(((A481)-(c_TFWD))*((c_TMAP1OUT)-(0))+IF(((c_TMAP1OUT)-(0))&gt;=0,1,-1)*QUOTIENT(((c_TMAP1IN)-(c_TFWD)),2)))&lt;0,-1,0),IF(IF(o_WRAP=1,MOD(((c_TMAP1IN)-(c_TFWD))*(((A481)-(c_TFWD))*((c_TMAP1OUT)-(0))+IF(((c_TMAP1OUT)-(0))&gt;=0,1,-1)*QUOTIENT(((c_TMAP1IN)-(c_TFWD)),2))+2147483648,4294967296)-2147483648,((c_TMAP1IN)-(c_TFWD))*(((A481)-(c_TFWD))*((c_TMAP1OUT)-(0))+IF(((c_TMAP1OUT)-(0))&gt;=0,1,-1)*QUOTIENT(((c_TMAP1IN)-(c_TFWD)),2)))&gt;=0,1,0)))</f>
        <v>362</v>
      </c>
      <c r="E481" s="7" t="n">
        <f aca="false">IF(((c_TMAP2IN)-(c_TMAP1IN))=0,(c_TMAP1OUT)+QUOTIENT(((c_TMAP2OUT)-(c_TMAP1OUT)),2),QUOTIENT((((A481)-(c_TMAP1IN))*((c_TMAP2OUT)-(c_TMAP1OUT))+IF(((c_TMAP2OUT)-(c_TMAP1OUT))&gt;=0,1,-1)*QUOTIENT(((c_TMAP2IN)-(c_TMAP1IN)),2)),((c_TMAP2IN)-(c_TMAP1IN)))+(c_TMAP1OUT)+IF(((c_TMAP2OUT)-(c_TMAP1OUT))&gt;=0,IF(IF(o_WRAP=1,MOD(((c_TMAP2IN)-(c_TMAP1IN))*(((A481)-(c_TMAP1IN))*((c_TMAP2OUT)-(c_TMAP1OUT))+IF(((c_TMAP2OUT)-(c_TMAP1OUT))&gt;=0,1,-1)*QUOTIENT(((c_TMAP2IN)-(c_TMAP1IN)),2))+2147483648,4294967296)-2147483648,((c_TMAP2IN)-(c_TMAP1IN))*(((A481)-(c_TMAP1IN))*((c_TMAP2OUT)-(c_TMAP1OUT))+IF(((c_TMAP2OUT)-(c_TMAP1OUT))&gt;=0,1,-1)*QUOTIENT(((c_TMAP2IN)-(c_TMAP1IN)),2)))&lt;0,-1,0),IF(IF(o_WRAP=1,MOD(((c_TMAP2IN)-(c_TMAP1IN))*(((A481)-(c_TMAP1IN))*((c_TMAP2OUT)-(c_TMAP1OUT))+IF(((c_TMAP2OUT)-(c_TMAP1OUT))&gt;=0,1,-1)*QUOTIENT(((c_TMAP2IN)-(c_TMAP1IN)),2))+2147483648,4294967296)-2147483648,((c_TMAP2IN)-(c_TMAP1IN))*(((A481)-(c_TMAP1IN))*((c_TMAP2OUT)-(c_TMAP1OUT))+IF(((c_TMAP2OUT)-(c_TMAP1OUT))&gt;=0,1,-1)*QUOTIENT(((c_TMAP2IN)-(c_TMAP1IN)),2)))&gt;=0,1,0)))</f>
        <v>220</v>
      </c>
      <c r="F481" s="7" t="n">
        <f aca="false">IF(((c_TMAP3IN)-(c_TMAP2IN))=0,(c_TMAP2OUT)+QUOTIENT(((c_TMAP3OUT)-(c_TMAP2OUT)),2),QUOTIENT((((A481)-(c_TMAP2IN))*((c_TMAP3OUT)-(c_TMAP2OUT))+IF(((c_TMAP3OUT)-(c_TMAP2OUT))&gt;=0,1,-1)*QUOTIENT(((c_TMAP3IN)-(c_TMAP2IN)),2)),((c_TMAP3IN)-(c_TMAP2IN)))+(c_TMAP2OUT)+IF(((c_TMAP3OUT)-(c_TMAP2OUT))&gt;=0,IF(IF(o_WRAP=1,MOD(((c_TMAP3IN)-(c_TMAP2IN))*(((A481)-(c_TMAP2IN))*((c_TMAP3OUT)-(c_TMAP2OUT))+IF(((c_TMAP3OUT)-(c_TMAP2OUT))&gt;=0,1,-1)*QUOTIENT(((c_TMAP3IN)-(c_TMAP2IN)),2))+2147483648,4294967296)-2147483648,((c_TMAP3IN)-(c_TMAP2IN))*(((A481)-(c_TMAP2IN))*((c_TMAP3OUT)-(c_TMAP2OUT))+IF(((c_TMAP3OUT)-(c_TMAP2OUT))&gt;=0,1,-1)*QUOTIENT(((c_TMAP3IN)-(c_TMAP2IN)),2)))&lt;0,-1,0),IF(IF(o_WRAP=1,MOD(((c_TMAP3IN)-(c_TMAP2IN))*(((A481)-(c_TMAP2IN))*((c_TMAP3OUT)-(c_TMAP2OUT))+IF(((c_TMAP3OUT)-(c_TMAP2OUT))&gt;=0,1,-1)*QUOTIENT(((c_TMAP3IN)-(c_TMAP2IN)),2))+2147483648,4294967296)-2147483648,((c_TMAP3IN)-(c_TMAP2IN))*(((A481)-(c_TMAP2IN))*((c_TMAP3OUT)-(c_TMAP2OUT))+IF(((c_TMAP3OUT)-(c_TMAP2OUT))&gt;=0,1,-1)*QUOTIENT(((c_TMAP3IN)-(c_TMAP2IN)),2)))&gt;=0,1,0)))</f>
        <v>288</v>
      </c>
      <c r="G481" s="7" t="n">
        <f aca="false">IF(((1000)-(c_TMAP3IN))=0,(c_TMAP3OUT)+QUOTIENT(((1000)-(c_TMAP3OUT)),2),QUOTIENT((((A481)-(c_TMAP3IN))*((1000)-(c_TMAP3OUT))+IF(((1000)-(c_TMAP3OUT))&gt;=0,1,-1)*QUOTIENT(((1000)-(c_TMAP3IN)),2)),((1000)-(c_TMAP3IN)))+(c_TMAP3OUT)+IF(((1000)-(c_TMAP3OUT))&gt;=0,IF(IF(o_WRAP=1,MOD(((1000)-(c_TMAP3IN))*(((A481)-(c_TMAP3IN))*((1000)-(c_TMAP3OUT))+IF(((1000)-(c_TMAP3OUT))&gt;=0,1,-1)*QUOTIENT(((1000)-(c_TMAP3IN)),2))+2147483648,4294967296)-2147483648,((1000)-(c_TMAP3IN))*(((A481)-(c_TMAP3IN))*((1000)-(c_TMAP3OUT))+IF(((1000)-(c_TMAP3OUT))&gt;=0,1,-1)*QUOTIENT(((1000)-(c_TMAP3IN)),2)))&lt;0,-1,0),IF(IF(o_WRAP=1,MOD(((1000)-(c_TMAP3IN))*(((A481)-(c_TMAP3IN))*((1000)-(c_TMAP3OUT))+IF(((1000)-(c_TMAP3OUT))&gt;=0,1,-1)*QUOTIENT(((1000)-(c_TMAP3IN)),2))+2147483648,4294967296)-2147483648,((1000)-(c_TMAP3IN))*(((A481)-(c_TMAP3IN))*((1000)-(c_TMAP3OUT))+IF(((1000)-(c_TMAP3OUT))&gt;=0,1,-1)*QUOTIENT(((1000)-(c_TMAP3IN)),2)))&gt;=0,1,0)))</f>
        <v>355</v>
      </c>
      <c r="H481" s="7" t="str">
        <f aca="false">IF(A481&gt;=c_TFWD,IF(AND(A481&gt;=c_TMAP3IN,c_TMAP3IN&lt;1000),"Seg4 map3-100%",IF(AND(A481&gt;=c_TMAP2IN,c_TMAP3IN&gt;c_TMAP2IN),"Seg3 map2-map3",IF(AND(A481&gt;=c_TMAP1IN,c_TMAP2IN&gt;c_TMAP1IN),"Seg2 map1-map2","Seg1 TFWD-map1"))),IF(AND(A481=0,c_TCREEP&gt;0),"Creep",IF(AND(A481&lt;=c_TRNGMIN,A481&gt;=c_TRNGMAX,c_TRNGMIN-c_TRNGMAX&lt;&gt;0),"Regen ramp","Coast (0)")))</f>
        <v>Seg4 map3-100%</v>
      </c>
      <c r="I481" s="7" t="n">
        <f aca="false">IF(A481&gt;=c_TFWD,IF(AND(A481&gt;=c_TMAP3IN,c_TMAP3IN&lt;1000),G481,IF(AND(A481&gt;=c_TMAP2IN,c_TMAP3IN&gt;c_TMAP2IN),F481,IF(AND(A481&gt;=c_TMAP1IN,c_TMAP2IN&gt;c_TMAP1IN),E481,D481))),C481)</f>
        <v>355</v>
      </c>
      <c r="J481" s="7" t="str">
        <f aca="false">IF(I481&lt;-1090,"TOO LOW",IF(I481&gt;1090,"TOO HIGH",""))</f>
        <v/>
      </c>
      <c r="K481" s="15" t="n">
        <f aca="false">IF(J481&lt;&gt;"",0,IF(I481&gt;979,1000,I481))</f>
        <v>355</v>
      </c>
      <c r="L481" s="7" t="n">
        <f aca="false">K481/10</f>
        <v>35.5</v>
      </c>
    </row>
    <row r="482" customFormat="false" ht="15" hidden="false" customHeight="false" outlineLevel="0" collapsed="false">
      <c r="A482" s="7" t="n">
        <v>477</v>
      </c>
      <c r="B482" s="7" t="n">
        <f aca="false">A482/10</f>
        <v>47.7</v>
      </c>
      <c r="C482" s="7" t="n">
        <f aca="false">IF(AND(A482=0,c_TCREEP&gt;0),10*c_TCREEP,IF(AND(A482&lt;=c_TRNGMIN,A482&gt;=c_TRNGMAX,c_TRNGMIN-c_TRNGMAX&lt;&gt;0),-10*c_TMINRN+QUOTIENT((c_TMAXRN-c_TMINRN)*(100-QUOTIENT((A482-c_TRNGMAX)*100,c_TRNGMIN-c_TRNGMAX)),-10),0))</f>
        <v>0</v>
      </c>
      <c r="D482" s="7" t="n">
        <f aca="false">IF(((c_TMAP1IN)-(c_TFWD))=0,(0)+QUOTIENT(((c_TMAP1OUT)-(0)),2),QUOTIENT((((A482)-(c_TFWD))*((c_TMAP1OUT)-(0))+IF(((c_TMAP1OUT)-(0))&gt;=0,1,-1)*QUOTIENT(((c_TMAP1IN)-(c_TFWD)),2)),((c_TMAP1IN)-(c_TFWD)))+(0)+IF(((c_TMAP1OUT)-(0))&gt;=0,IF(IF(o_WRAP=1,MOD(((c_TMAP1IN)-(c_TFWD))*(((A482)-(c_TFWD))*((c_TMAP1OUT)-(0))+IF(((c_TMAP1OUT)-(0))&gt;=0,1,-1)*QUOTIENT(((c_TMAP1IN)-(c_TFWD)),2))+2147483648,4294967296)-2147483648,((c_TMAP1IN)-(c_TFWD))*(((A482)-(c_TFWD))*((c_TMAP1OUT)-(0))+IF(((c_TMAP1OUT)-(0))&gt;=0,1,-1)*QUOTIENT(((c_TMAP1IN)-(c_TFWD)),2)))&lt;0,-1,0),IF(IF(o_WRAP=1,MOD(((c_TMAP1IN)-(c_TFWD))*(((A482)-(c_TFWD))*((c_TMAP1OUT)-(0))+IF(((c_TMAP1OUT)-(0))&gt;=0,1,-1)*QUOTIENT(((c_TMAP1IN)-(c_TFWD)),2))+2147483648,4294967296)-2147483648,((c_TMAP1IN)-(c_TFWD))*(((A482)-(c_TFWD))*((c_TMAP1OUT)-(0))+IF(((c_TMAP1OUT)-(0))&gt;=0,1,-1)*QUOTIENT(((c_TMAP1IN)-(c_TFWD)),2)))&gt;=0,1,0)))</f>
        <v>363</v>
      </c>
      <c r="E482" s="7" t="n">
        <f aca="false">IF(((c_TMAP2IN)-(c_TMAP1IN))=0,(c_TMAP1OUT)+QUOTIENT(((c_TMAP2OUT)-(c_TMAP1OUT)),2),QUOTIENT((((A482)-(c_TMAP1IN))*((c_TMAP2OUT)-(c_TMAP1OUT))+IF(((c_TMAP2OUT)-(c_TMAP1OUT))&gt;=0,1,-1)*QUOTIENT(((c_TMAP2IN)-(c_TMAP1IN)),2)),((c_TMAP2IN)-(c_TMAP1IN)))+(c_TMAP1OUT)+IF(((c_TMAP2OUT)-(c_TMAP1OUT))&gt;=0,IF(IF(o_WRAP=1,MOD(((c_TMAP2IN)-(c_TMAP1IN))*(((A482)-(c_TMAP1IN))*((c_TMAP2OUT)-(c_TMAP1OUT))+IF(((c_TMAP2OUT)-(c_TMAP1OUT))&gt;=0,1,-1)*QUOTIENT(((c_TMAP2IN)-(c_TMAP1IN)),2))+2147483648,4294967296)-2147483648,((c_TMAP2IN)-(c_TMAP1IN))*(((A482)-(c_TMAP1IN))*((c_TMAP2OUT)-(c_TMAP1OUT))+IF(((c_TMAP2OUT)-(c_TMAP1OUT))&gt;=0,1,-1)*QUOTIENT(((c_TMAP2IN)-(c_TMAP1IN)),2)))&lt;0,-1,0),IF(IF(o_WRAP=1,MOD(((c_TMAP2IN)-(c_TMAP1IN))*(((A482)-(c_TMAP1IN))*((c_TMAP2OUT)-(c_TMAP1OUT))+IF(((c_TMAP2OUT)-(c_TMAP1OUT))&gt;=0,1,-1)*QUOTIENT(((c_TMAP2IN)-(c_TMAP1IN)),2))+2147483648,4294967296)-2147483648,((c_TMAP2IN)-(c_TMAP1IN))*(((A482)-(c_TMAP1IN))*((c_TMAP2OUT)-(c_TMAP1OUT))+IF(((c_TMAP2OUT)-(c_TMAP1OUT))&gt;=0,1,-1)*QUOTIENT(((c_TMAP2IN)-(c_TMAP1IN)),2)))&gt;=0,1,0)))</f>
        <v>221</v>
      </c>
      <c r="F482" s="7" t="n">
        <f aca="false">IF(((c_TMAP3IN)-(c_TMAP2IN))=0,(c_TMAP2OUT)+QUOTIENT(((c_TMAP3OUT)-(c_TMAP2OUT)),2),QUOTIENT((((A482)-(c_TMAP2IN))*((c_TMAP3OUT)-(c_TMAP2OUT))+IF(((c_TMAP3OUT)-(c_TMAP2OUT))&gt;=0,1,-1)*QUOTIENT(((c_TMAP3IN)-(c_TMAP2IN)),2)),((c_TMAP3IN)-(c_TMAP2IN)))+(c_TMAP2OUT)+IF(((c_TMAP3OUT)-(c_TMAP2OUT))&gt;=0,IF(IF(o_WRAP=1,MOD(((c_TMAP3IN)-(c_TMAP2IN))*(((A482)-(c_TMAP2IN))*((c_TMAP3OUT)-(c_TMAP2OUT))+IF(((c_TMAP3OUT)-(c_TMAP2OUT))&gt;=0,1,-1)*QUOTIENT(((c_TMAP3IN)-(c_TMAP2IN)),2))+2147483648,4294967296)-2147483648,((c_TMAP3IN)-(c_TMAP2IN))*(((A482)-(c_TMAP2IN))*((c_TMAP3OUT)-(c_TMAP2OUT))+IF(((c_TMAP3OUT)-(c_TMAP2OUT))&gt;=0,1,-1)*QUOTIENT(((c_TMAP3IN)-(c_TMAP2IN)),2)))&lt;0,-1,0),IF(IF(o_WRAP=1,MOD(((c_TMAP3IN)-(c_TMAP2IN))*(((A482)-(c_TMAP2IN))*((c_TMAP3OUT)-(c_TMAP2OUT))+IF(((c_TMAP3OUT)-(c_TMAP2OUT))&gt;=0,1,-1)*QUOTIENT(((c_TMAP3IN)-(c_TMAP2IN)),2))+2147483648,4294967296)-2147483648,((c_TMAP3IN)-(c_TMAP2IN))*(((A482)-(c_TMAP2IN))*((c_TMAP3OUT)-(c_TMAP2OUT))+IF(((c_TMAP3OUT)-(c_TMAP2OUT))&gt;=0,1,-1)*QUOTIENT(((c_TMAP3IN)-(c_TMAP2IN)),2)))&gt;=0,1,0)))</f>
        <v>289</v>
      </c>
      <c r="G482" s="7" t="n">
        <f aca="false">IF(((1000)-(c_TMAP3IN))=0,(c_TMAP3OUT)+QUOTIENT(((1000)-(c_TMAP3OUT)),2),QUOTIENT((((A482)-(c_TMAP3IN))*((1000)-(c_TMAP3OUT))+IF(((1000)-(c_TMAP3OUT))&gt;=0,1,-1)*QUOTIENT(((1000)-(c_TMAP3IN)),2)),((1000)-(c_TMAP3IN)))+(c_TMAP3OUT)+IF(((1000)-(c_TMAP3OUT))&gt;=0,IF(IF(o_WRAP=1,MOD(((1000)-(c_TMAP3IN))*(((A482)-(c_TMAP3IN))*((1000)-(c_TMAP3OUT))+IF(((1000)-(c_TMAP3OUT))&gt;=0,1,-1)*QUOTIENT(((1000)-(c_TMAP3IN)),2))+2147483648,4294967296)-2147483648,((1000)-(c_TMAP3IN))*(((A482)-(c_TMAP3IN))*((1000)-(c_TMAP3OUT))+IF(((1000)-(c_TMAP3OUT))&gt;=0,1,-1)*QUOTIENT(((1000)-(c_TMAP3IN)),2)))&lt;0,-1,0),IF(IF(o_WRAP=1,MOD(((1000)-(c_TMAP3IN))*(((A482)-(c_TMAP3IN))*((1000)-(c_TMAP3OUT))+IF(((1000)-(c_TMAP3OUT))&gt;=0,1,-1)*QUOTIENT(((1000)-(c_TMAP3IN)),2))+2147483648,4294967296)-2147483648,((1000)-(c_TMAP3IN))*(((A482)-(c_TMAP3IN))*((1000)-(c_TMAP3OUT))+IF(((1000)-(c_TMAP3OUT))&gt;=0,1,-1)*QUOTIENT(((1000)-(c_TMAP3IN)),2)))&gt;=0,1,0)))</f>
        <v>356</v>
      </c>
      <c r="H482" s="7" t="str">
        <f aca="false">IF(A482&gt;=c_TFWD,IF(AND(A482&gt;=c_TMAP3IN,c_TMAP3IN&lt;1000),"Seg4 map3-100%",IF(AND(A482&gt;=c_TMAP2IN,c_TMAP3IN&gt;c_TMAP2IN),"Seg3 map2-map3",IF(AND(A482&gt;=c_TMAP1IN,c_TMAP2IN&gt;c_TMAP1IN),"Seg2 map1-map2","Seg1 TFWD-map1"))),IF(AND(A482=0,c_TCREEP&gt;0),"Creep",IF(AND(A482&lt;=c_TRNGMIN,A482&gt;=c_TRNGMAX,c_TRNGMIN-c_TRNGMAX&lt;&gt;0),"Regen ramp","Coast (0)")))</f>
        <v>Seg4 map3-100%</v>
      </c>
      <c r="I482" s="7" t="n">
        <f aca="false">IF(A482&gt;=c_TFWD,IF(AND(A482&gt;=c_TMAP3IN,c_TMAP3IN&lt;1000),G482,IF(AND(A482&gt;=c_TMAP2IN,c_TMAP3IN&gt;c_TMAP2IN),F482,IF(AND(A482&gt;=c_TMAP1IN,c_TMAP2IN&gt;c_TMAP1IN),E482,D482))),C482)</f>
        <v>356</v>
      </c>
      <c r="J482" s="7" t="str">
        <f aca="false">IF(I482&lt;-1090,"TOO LOW",IF(I482&gt;1090,"TOO HIGH",""))</f>
        <v/>
      </c>
      <c r="K482" s="15" t="n">
        <f aca="false">IF(J482&lt;&gt;"",0,IF(I482&gt;979,1000,I482))</f>
        <v>356</v>
      </c>
      <c r="L482" s="7" t="n">
        <f aca="false">K482/10</f>
        <v>35.6</v>
      </c>
    </row>
    <row r="483" customFormat="false" ht="15" hidden="false" customHeight="false" outlineLevel="0" collapsed="false">
      <c r="A483" s="7" t="n">
        <v>478</v>
      </c>
      <c r="B483" s="7" t="n">
        <f aca="false">A483/10</f>
        <v>47.8</v>
      </c>
      <c r="C483" s="7" t="n">
        <f aca="false">IF(AND(A483=0,c_TCREEP&gt;0),10*c_TCREEP,IF(AND(A483&lt;=c_TRNGMIN,A483&gt;=c_TRNGMAX,c_TRNGMIN-c_TRNGMAX&lt;&gt;0),-10*c_TMINRN+QUOTIENT((c_TMAXRN-c_TMINRN)*(100-QUOTIENT((A483-c_TRNGMAX)*100,c_TRNGMIN-c_TRNGMAX)),-10),0))</f>
        <v>0</v>
      </c>
      <c r="D483" s="7" t="n">
        <f aca="false">IF(((c_TMAP1IN)-(c_TFWD))=0,(0)+QUOTIENT(((c_TMAP1OUT)-(0)),2),QUOTIENT((((A483)-(c_TFWD))*((c_TMAP1OUT)-(0))+IF(((c_TMAP1OUT)-(0))&gt;=0,1,-1)*QUOTIENT(((c_TMAP1IN)-(c_TFWD)),2)),((c_TMAP1IN)-(c_TFWD)))+(0)+IF(((c_TMAP1OUT)-(0))&gt;=0,IF(IF(o_WRAP=1,MOD(((c_TMAP1IN)-(c_TFWD))*(((A483)-(c_TFWD))*((c_TMAP1OUT)-(0))+IF(((c_TMAP1OUT)-(0))&gt;=0,1,-1)*QUOTIENT(((c_TMAP1IN)-(c_TFWD)),2))+2147483648,4294967296)-2147483648,((c_TMAP1IN)-(c_TFWD))*(((A483)-(c_TFWD))*((c_TMAP1OUT)-(0))+IF(((c_TMAP1OUT)-(0))&gt;=0,1,-1)*QUOTIENT(((c_TMAP1IN)-(c_TFWD)),2)))&lt;0,-1,0),IF(IF(o_WRAP=1,MOD(((c_TMAP1IN)-(c_TFWD))*(((A483)-(c_TFWD))*((c_TMAP1OUT)-(0))+IF(((c_TMAP1OUT)-(0))&gt;=0,1,-1)*QUOTIENT(((c_TMAP1IN)-(c_TFWD)),2))+2147483648,4294967296)-2147483648,((c_TMAP1IN)-(c_TFWD))*(((A483)-(c_TFWD))*((c_TMAP1OUT)-(0))+IF(((c_TMAP1OUT)-(0))&gt;=0,1,-1)*QUOTIENT(((c_TMAP1IN)-(c_TFWD)),2)))&gt;=0,1,0)))</f>
        <v>364</v>
      </c>
      <c r="E483" s="7" t="n">
        <f aca="false">IF(((c_TMAP2IN)-(c_TMAP1IN))=0,(c_TMAP1OUT)+QUOTIENT(((c_TMAP2OUT)-(c_TMAP1OUT)),2),QUOTIENT((((A483)-(c_TMAP1IN))*((c_TMAP2OUT)-(c_TMAP1OUT))+IF(((c_TMAP2OUT)-(c_TMAP1OUT))&gt;=0,1,-1)*QUOTIENT(((c_TMAP2IN)-(c_TMAP1IN)),2)),((c_TMAP2IN)-(c_TMAP1IN)))+(c_TMAP1OUT)+IF(((c_TMAP2OUT)-(c_TMAP1OUT))&gt;=0,IF(IF(o_WRAP=1,MOD(((c_TMAP2IN)-(c_TMAP1IN))*(((A483)-(c_TMAP1IN))*((c_TMAP2OUT)-(c_TMAP1OUT))+IF(((c_TMAP2OUT)-(c_TMAP1OUT))&gt;=0,1,-1)*QUOTIENT(((c_TMAP2IN)-(c_TMAP1IN)),2))+2147483648,4294967296)-2147483648,((c_TMAP2IN)-(c_TMAP1IN))*(((A483)-(c_TMAP1IN))*((c_TMAP2OUT)-(c_TMAP1OUT))+IF(((c_TMAP2OUT)-(c_TMAP1OUT))&gt;=0,1,-1)*QUOTIENT(((c_TMAP2IN)-(c_TMAP1IN)),2)))&lt;0,-1,0),IF(IF(o_WRAP=1,MOD(((c_TMAP2IN)-(c_TMAP1IN))*(((A483)-(c_TMAP1IN))*((c_TMAP2OUT)-(c_TMAP1OUT))+IF(((c_TMAP2OUT)-(c_TMAP1OUT))&gt;=0,1,-1)*QUOTIENT(((c_TMAP2IN)-(c_TMAP1IN)),2))+2147483648,4294967296)-2147483648,((c_TMAP2IN)-(c_TMAP1IN))*(((A483)-(c_TMAP1IN))*((c_TMAP2OUT)-(c_TMAP1OUT))+IF(((c_TMAP2OUT)-(c_TMAP1OUT))&gt;=0,1,-1)*QUOTIENT(((c_TMAP2IN)-(c_TMAP1IN)),2)))&gt;=0,1,0)))</f>
        <v>221</v>
      </c>
      <c r="F483" s="7" t="n">
        <f aca="false">IF(((c_TMAP3IN)-(c_TMAP2IN))=0,(c_TMAP2OUT)+QUOTIENT(((c_TMAP3OUT)-(c_TMAP2OUT)),2),QUOTIENT((((A483)-(c_TMAP2IN))*((c_TMAP3OUT)-(c_TMAP2OUT))+IF(((c_TMAP3OUT)-(c_TMAP2OUT))&gt;=0,1,-1)*QUOTIENT(((c_TMAP3IN)-(c_TMAP2IN)),2)),((c_TMAP3IN)-(c_TMAP2IN)))+(c_TMAP2OUT)+IF(((c_TMAP3OUT)-(c_TMAP2OUT))&gt;=0,IF(IF(o_WRAP=1,MOD(((c_TMAP3IN)-(c_TMAP2IN))*(((A483)-(c_TMAP2IN))*((c_TMAP3OUT)-(c_TMAP2OUT))+IF(((c_TMAP3OUT)-(c_TMAP2OUT))&gt;=0,1,-1)*QUOTIENT(((c_TMAP3IN)-(c_TMAP2IN)),2))+2147483648,4294967296)-2147483648,((c_TMAP3IN)-(c_TMAP2IN))*(((A483)-(c_TMAP2IN))*((c_TMAP3OUT)-(c_TMAP2OUT))+IF(((c_TMAP3OUT)-(c_TMAP2OUT))&gt;=0,1,-1)*QUOTIENT(((c_TMAP3IN)-(c_TMAP2IN)),2)))&lt;0,-1,0),IF(IF(o_WRAP=1,MOD(((c_TMAP3IN)-(c_TMAP2IN))*(((A483)-(c_TMAP2IN))*((c_TMAP3OUT)-(c_TMAP2OUT))+IF(((c_TMAP3OUT)-(c_TMAP2OUT))&gt;=0,1,-1)*QUOTIENT(((c_TMAP3IN)-(c_TMAP2IN)),2))+2147483648,4294967296)-2147483648,((c_TMAP3IN)-(c_TMAP2IN))*(((A483)-(c_TMAP2IN))*((c_TMAP3OUT)-(c_TMAP2OUT))+IF(((c_TMAP3OUT)-(c_TMAP2OUT))&gt;=0,1,-1)*QUOTIENT(((c_TMAP3IN)-(c_TMAP2IN)),2)))&gt;=0,1,0)))</f>
        <v>290</v>
      </c>
      <c r="G483" s="7" t="n">
        <f aca="false">IF(((1000)-(c_TMAP3IN))=0,(c_TMAP3OUT)+QUOTIENT(((1000)-(c_TMAP3OUT)),2),QUOTIENT((((A483)-(c_TMAP3IN))*((1000)-(c_TMAP3OUT))+IF(((1000)-(c_TMAP3OUT))&gt;=0,1,-1)*QUOTIENT(((1000)-(c_TMAP3IN)),2)),((1000)-(c_TMAP3IN)))+(c_TMAP3OUT)+IF(((1000)-(c_TMAP3OUT))&gt;=0,IF(IF(o_WRAP=1,MOD(((1000)-(c_TMAP3IN))*(((A483)-(c_TMAP3IN))*((1000)-(c_TMAP3OUT))+IF(((1000)-(c_TMAP3OUT))&gt;=0,1,-1)*QUOTIENT(((1000)-(c_TMAP3IN)),2))+2147483648,4294967296)-2147483648,((1000)-(c_TMAP3IN))*(((A483)-(c_TMAP3IN))*((1000)-(c_TMAP3OUT))+IF(((1000)-(c_TMAP3OUT))&gt;=0,1,-1)*QUOTIENT(((1000)-(c_TMAP3IN)),2)))&lt;0,-1,0),IF(IF(o_WRAP=1,MOD(((1000)-(c_TMAP3IN))*(((A483)-(c_TMAP3IN))*((1000)-(c_TMAP3OUT))+IF(((1000)-(c_TMAP3OUT))&gt;=0,1,-1)*QUOTIENT(((1000)-(c_TMAP3IN)),2))+2147483648,4294967296)-2147483648,((1000)-(c_TMAP3IN))*(((A483)-(c_TMAP3IN))*((1000)-(c_TMAP3OUT))+IF(((1000)-(c_TMAP3OUT))&gt;=0,1,-1)*QUOTIENT(((1000)-(c_TMAP3IN)),2)))&gt;=0,1,0)))</f>
        <v>358</v>
      </c>
      <c r="H483" s="7" t="str">
        <f aca="false">IF(A483&gt;=c_TFWD,IF(AND(A483&gt;=c_TMAP3IN,c_TMAP3IN&lt;1000),"Seg4 map3-100%",IF(AND(A483&gt;=c_TMAP2IN,c_TMAP3IN&gt;c_TMAP2IN),"Seg3 map2-map3",IF(AND(A483&gt;=c_TMAP1IN,c_TMAP2IN&gt;c_TMAP1IN),"Seg2 map1-map2","Seg1 TFWD-map1"))),IF(AND(A483=0,c_TCREEP&gt;0),"Creep",IF(AND(A483&lt;=c_TRNGMIN,A483&gt;=c_TRNGMAX,c_TRNGMIN-c_TRNGMAX&lt;&gt;0),"Regen ramp","Coast (0)")))</f>
        <v>Seg4 map3-100%</v>
      </c>
      <c r="I483" s="7" t="n">
        <f aca="false">IF(A483&gt;=c_TFWD,IF(AND(A483&gt;=c_TMAP3IN,c_TMAP3IN&lt;1000),G483,IF(AND(A483&gt;=c_TMAP2IN,c_TMAP3IN&gt;c_TMAP2IN),F483,IF(AND(A483&gt;=c_TMAP1IN,c_TMAP2IN&gt;c_TMAP1IN),E483,D483))),C483)</f>
        <v>358</v>
      </c>
      <c r="J483" s="7" t="str">
        <f aca="false">IF(I483&lt;-1090,"TOO LOW",IF(I483&gt;1090,"TOO HIGH",""))</f>
        <v/>
      </c>
      <c r="K483" s="15" t="n">
        <f aca="false">IF(J483&lt;&gt;"",0,IF(I483&gt;979,1000,I483))</f>
        <v>358</v>
      </c>
      <c r="L483" s="7" t="n">
        <f aca="false">K483/10</f>
        <v>35.8</v>
      </c>
    </row>
    <row r="484" customFormat="false" ht="15" hidden="false" customHeight="false" outlineLevel="0" collapsed="false">
      <c r="A484" s="7" t="n">
        <v>479</v>
      </c>
      <c r="B484" s="7" t="n">
        <f aca="false">A484/10</f>
        <v>47.9</v>
      </c>
      <c r="C484" s="7" t="n">
        <f aca="false">IF(AND(A484=0,c_TCREEP&gt;0),10*c_TCREEP,IF(AND(A484&lt;=c_TRNGMIN,A484&gt;=c_TRNGMAX,c_TRNGMIN-c_TRNGMAX&lt;&gt;0),-10*c_TMINRN+QUOTIENT((c_TMAXRN-c_TMINRN)*(100-QUOTIENT((A484-c_TRNGMAX)*100,c_TRNGMIN-c_TRNGMAX)),-10),0))</f>
        <v>0</v>
      </c>
      <c r="D484" s="7" t="n">
        <f aca="false">IF(((c_TMAP1IN)-(c_TFWD))=0,(0)+QUOTIENT(((c_TMAP1OUT)-(0)),2),QUOTIENT((((A484)-(c_TFWD))*((c_TMAP1OUT)-(0))+IF(((c_TMAP1OUT)-(0))&gt;=0,1,-1)*QUOTIENT(((c_TMAP1IN)-(c_TFWD)),2)),((c_TMAP1IN)-(c_TFWD)))+(0)+IF(((c_TMAP1OUT)-(0))&gt;=0,IF(IF(o_WRAP=1,MOD(((c_TMAP1IN)-(c_TFWD))*(((A484)-(c_TFWD))*((c_TMAP1OUT)-(0))+IF(((c_TMAP1OUT)-(0))&gt;=0,1,-1)*QUOTIENT(((c_TMAP1IN)-(c_TFWD)),2))+2147483648,4294967296)-2147483648,((c_TMAP1IN)-(c_TFWD))*(((A484)-(c_TFWD))*((c_TMAP1OUT)-(0))+IF(((c_TMAP1OUT)-(0))&gt;=0,1,-1)*QUOTIENT(((c_TMAP1IN)-(c_TFWD)),2)))&lt;0,-1,0),IF(IF(o_WRAP=1,MOD(((c_TMAP1IN)-(c_TFWD))*(((A484)-(c_TFWD))*((c_TMAP1OUT)-(0))+IF(((c_TMAP1OUT)-(0))&gt;=0,1,-1)*QUOTIENT(((c_TMAP1IN)-(c_TFWD)),2))+2147483648,4294967296)-2147483648,((c_TMAP1IN)-(c_TFWD))*(((A484)-(c_TFWD))*((c_TMAP1OUT)-(0))+IF(((c_TMAP1OUT)-(0))&gt;=0,1,-1)*QUOTIENT(((c_TMAP1IN)-(c_TFWD)),2)))&gt;=0,1,0)))</f>
        <v>365</v>
      </c>
      <c r="E484" s="7" t="n">
        <f aca="false">IF(((c_TMAP2IN)-(c_TMAP1IN))=0,(c_TMAP1OUT)+QUOTIENT(((c_TMAP2OUT)-(c_TMAP1OUT)),2),QUOTIENT((((A484)-(c_TMAP1IN))*((c_TMAP2OUT)-(c_TMAP1OUT))+IF(((c_TMAP2OUT)-(c_TMAP1OUT))&gt;=0,1,-1)*QUOTIENT(((c_TMAP2IN)-(c_TMAP1IN)),2)),((c_TMAP2IN)-(c_TMAP1IN)))+(c_TMAP1OUT)+IF(((c_TMAP2OUT)-(c_TMAP1OUT))&gt;=0,IF(IF(o_WRAP=1,MOD(((c_TMAP2IN)-(c_TMAP1IN))*(((A484)-(c_TMAP1IN))*((c_TMAP2OUT)-(c_TMAP1OUT))+IF(((c_TMAP2OUT)-(c_TMAP1OUT))&gt;=0,1,-1)*QUOTIENT(((c_TMAP2IN)-(c_TMAP1IN)),2))+2147483648,4294967296)-2147483648,((c_TMAP2IN)-(c_TMAP1IN))*(((A484)-(c_TMAP1IN))*((c_TMAP2OUT)-(c_TMAP1OUT))+IF(((c_TMAP2OUT)-(c_TMAP1OUT))&gt;=0,1,-1)*QUOTIENT(((c_TMAP2IN)-(c_TMAP1IN)),2)))&lt;0,-1,0),IF(IF(o_WRAP=1,MOD(((c_TMAP2IN)-(c_TMAP1IN))*(((A484)-(c_TMAP1IN))*((c_TMAP2OUT)-(c_TMAP1OUT))+IF(((c_TMAP2OUT)-(c_TMAP1OUT))&gt;=0,1,-1)*QUOTIENT(((c_TMAP2IN)-(c_TMAP1IN)),2))+2147483648,4294967296)-2147483648,((c_TMAP2IN)-(c_TMAP1IN))*(((A484)-(c_TMAP1IN))*((c_TMAP2OUT)-(c_TMAP1OUT))+IF(((c_TMAP2OUT)-(c_TMAP1OUT))&gt;=0,1,-1)*QUOTIENT(((c_TMAP2IN)-(c_TMAP1IN)),2)))&gt;=0,1,0)))</f>
        <v>222</v>
      </c>
      <c r="F484" s="7" t="n">
        <f aca="false">IF(((c_TMAP3IN)-(c_TMAP2IN))=0,(c_TMAP2OUT)+QUOTIENT(((c_TMAP3OUT)-(c_TMAP2OUT)),2),QUOTIENT((((A484)-(c_TMAP2IN))*((c_TMAP3OUT)-(c_TMAP2OUT))+IF(((c_TMAP3OUT)-(c_TMAP2OUT))&gt;=0,1,-1)*QUOTIENT(((c_TMAP3IN)-(c_TMAP2IN)),2)),((c_TMAP3IN)-(c_TMAP2IN)))+(c_TMAP2OUT)+IF(((c_TMAP3OUT)-(c_TMAP2OUT))&gt;=0,IF(IF(o_WRAP=1,MOD(((c_TMAP3IN)-(c_TMAP2IN))*(((A484)-(c_TMAP2IN))*((c_TMAP3OUT)-(c_TMAP2OUT))+IF(((c_TMAP3OUT)-(c_TMAP2OUT))&gt;=0,1,-1)*QUOTIENT(((c_TMAP3IN)-(c_TMAP2IN)),2))+2147483648,4294967296)-2147483648,((c_TMAP3IN)-(c_TMAP2IN))*(((A484)-(c_TMAP2IN))*((c_TMAP3OUT)-(c_TMAP2OUT))+IF(((c_TMAP3OUT)-(c_TMAP2OUT))&gt;=0,1,-1)*QUOTIENT(((c_TMAP3IN)-(c_TMAP2IN)),2)))&lt;0,-1,0),IF(IF(o_WRAP=1,MOD(((c_TMAP3IN)-(c_TMAP2IN))*(((A484)-(c_TMAP2IN))*((c_TMAP3OUT)-(c_TMAP2OUT))+IF(((c_TMAP3OUT)-(c_TMAP2OUT))&gt;=0,1,-1)*QUOTIENT(((c_TMAP3IN)-(c_TMAP2IN)),2))+2147483648,4294967296)-2147483648,((c_TMAP3IN)-(c_TMAP2IN))*(((A484)-(c_TMAP2IN))*((c_TMAP3OUT)-(c_TMAP2OUT))+IF(((c_TMAP3OUT)-(c_TMAP2OUT))&gt;=0,1,-1)*QUOTIENT(((c_TMAP3IN)-(c_TMAP2IN)),2)))&gt;=0,1,0)))</f>
        <v>290</v>
      </c>
      <c r="G484" s="7" t="n">
        <f aca="false">IF(((1000)-(c_TMAP3IN))=0,(c_TMAP3OUT)+QUOTIENT(((1000)-(c_TMAP3OUT)),2),QUOTIENT((((A484)-(c_TMAP3IN))*((1000)-(c_TMAP3OUT))+IF(((1000)-(c_TMAP3OUT))&gt;=0,1,-1)*QUOTIENT(((1000)-(c_TMAP3IN)),2)),((1000)-(c_TMAP3IN)))+(c_TMAP3OUT)+IF(((1000)-(c_TMAP3OUT))&gt;=0,IF(IF(o_WRAP=1,MOD(((1000)-(c_TMAP3IN))*(((A484)-(c_TMAP3IN))*((1000)-(c_TMAP3OUT))+IF(((1000)-(c_TMAP3OUT))&gt;=0,1,-1)*QUOTIENT(((1000)-(c_TMAP3IN)),2))+2147483648,4294967296)-2147483648,((1000)-(c_TMAP3IN))*(((A484)-(c_TMAP3IN))*((1000)-(c_TMAP3OUT))+IF(((1000)-(c_TMAP3OUT))&gt;=0,1,-1)*QUOTIENT(((1000)-(c_TMAP3IN)),2)))&lt;0,-1,0),IF(IF(o_WRAP=1,MOD(((1000)-(c_TMAP3IN))*(((A484)-(c_TMAP3IN))*((1000)-(c_TMAP3OUT))+IF(((1000)-(c_TMAP3OUT))&gt;=0,1,-1)*QUOTIENT(((1000)-(c_TMAP3IN)),2))+2147483648,4294967296)-2147483648,((1000)-(c_TMAP3IN))*(((A484)-(c_TMAP3IN))*((1000)-(c_TMAP3OUT))+IF(((1000)-(c_TMAP3OUT))&gt;=0,1,-1)*QUOTIENT(((1000)-(c_TMAP3IN)),2)))&gt;=0,1,0)))</f>
        <v>359</v>
      </c>
      <c r="H484" s="7" t="str">
        <f aca="false">IF(A484&gt;=c_TFWD,IF(AND(A484&gt;=c_TMAP3IN,c_TMAP3IN&lt;1000),"Seg4 map3-100%",IF(AND(A484&gt;=c_TMAP2IN,c_TMAP3IN&gt;c_TMAP2IN),"Seg3 map2-map3",IF(AND(A484&gt;=c_TMAP1IN,c_TMAP2IN&gt;c_TMAP1IN),"Seg2 map1-map2","Seg1 TFWD-map1"))),IF(AND(A484=0,c_TCREEP&gt;0),"Creep",IF(AND(A484&lt;=c_TRNGMIN,A484&gt;=c_TRNGMAX,c_TRNGMIN-c_TRNGMAX&lt;&gt;0),"Regen ramp","Coast (0)")))</f>
        <v>Seg4 map3-100%</v>
      </c>
      <c r="I484" s="7" t="n">
        <f aca="false">IF(A484&gt;=c_TFWD,IF(AND(A484&gt;=c_TMAP3IN,c_TMAP3IN&lt;1000),G484,IF(AND(A484&gt;=c_TMAP2IN,c_TMAP3IN&gt;c_TMAP2IN),F484,IF(AND(A484&gt;=c_TMAP1IN,c_TMAP2IN&gt;c_TMAP1IN),E484,D484))),C484)</f>
        <v>359</v>
      </c>
      <c r="J484" s="7" t="str">
        <f aca="false">IF(I484&lt;-1090,"TOO LOW",IF(I484&gt;1090,"TOO HIGH",""))</f>
        <v/>
      </c>
      <c r="K484" s="15" t="n">
        <f aca="false">IF(J484&lt;&gt;"",0,IF(I484&gt;979,1000,I484))</f>
        <v>359</v>
      </c>
      <c r="L484" s="7" t="n">
        <f aca="false">K484/10</f>
        <v>35.9</v>
      </c>
    </row>
    <row r="485" customFormat="false" ht="15" hidden="false" customHeight="false" outlineLevel="0" collapsed="false">
      <c r="A485" s="7" t="n">
        <v>480</v>
      </c>
      <c r="B485" s="7" t="n">
        <f aca="false">A485/10</f>
        <v>48</v>
      </c>
      <c r="C485" s="7" t="n">
        <f aca="false">IF(AND(A485=0,c_TCREEP&gt;0),10*c_TCREEP,IF(AND(A485&lt;=c_TRNGMIN,A485&gt;=c_TRNGMAX,c_TRNGMIN-c_TRNGMAX&lt;&gt;0),-10*c_TMINRN+QUOTIENT((c_TMAXRN-c_TMINRN)*(100-QUOTIENT((A485-c_TRNGMAX)*100,c_TRNGMIN-c_TRNGMAX)),-10),0))</f>
        <v>0</v>
      </c>
      <c r="D485" s="7" t="n">
        <f aca="false">IF(((c_TMAP1IN)-(c_TFWD))=0,(0)+QUOTIENT(((c_TMAP1OUT)-(0)),2),QUOTIENT((((A485)-(c_TFWD))*((c_TMAP1OUT)-(0))+IF(((c_TMAP1OUT)-(0))&gt;=0,1,-1)*QUOTIENT(((c_TMAP1IN)-(c_TFWD)),2)),((c_TMAP1IN)-(c_TFWD)))+(0)+IF(((c_TMAP1OUT)-(0))&gt;=0,IF(IF(o_WRAP=1,MOD(((c_TMAP1IN)-(c_TFWD))*(((A485)-(c_TFWD))*((c_TMAP1OUT)-(0))+IF(((c_TMAP1OUT)-(0))&gt;=0,1,-1)*QUOTIENT(((c_TMAP1IN)-(c_TFWD)),2))+2147483648,4294967296)-2147483648,((c_TMAP1IN)-(c_TFWD))*(((A485)-(c_TFWD))*((c_TMAP1OUT)-(0))+IF(((c_TMAP1OUT)-(0))&gt;=0,1,-1)*QUOTIENT(((c_TMAP1IN)-(c_TFWD)),2)))&lt;0,-1,0),IF(IF(o_WRAP=1,MOD(((c_TMAP1IN)-(c_TFWD))*(((A485)-(c_TFWD))*((c_TMAP1OUT)-(0))+IF(((c_TMAP1OUT)-(0))&gt;=0,1,-1)*QUOTIENT(((c_TMAP1IN)-(c_TFWD)),2))+2147483648,4294967296)-2147483648,((c_TMAP1IN)-(c_TFWD))*(((A485)-(c_TFWD))*((c_TMAP1OUT)-(0))+IF(((c_TMAP1OUT)-(0))&gt;=0,1,-1)*QUOTIENT(((c_TMAP1IN)-(c_TFWD)),2)))&gt;=0,1,0)))</f>
        <v>366</v>
      </c>
      <c r="E485" s="7" t="n">
        <f aca="false">IF(((c_TMAP2IN)-(c_TMAP1IN))=0,(c_TMAP1OUT)+QUOTIENT(((c_TMAP2OUT)-(c_TMAP1OUT)),2),QUOTIENT((((A485)-(c_TMAP1IN))*((c_TMAP2OUT)-(c_TMAP1OUT))+IF(((c_TMAP2OUT)-(c_TMAP1OUT))&gt;=0,1,-1)*QUOTIENT(((c_TMAP2IN)-(c_TMAP1IN)),2)),((c_TMAP2IN)-(c_TMAP1IN)))+(c_TMAP1OUT)+IF(((c_TMAP2OUT)-(c_TMAP1OUT))&gt;=0,IF(IF(o_WRAP=1,MOD(((c_TMAP2IN)-(c_TMAP1IN))*(((A485)-(c_TMAP1IN))*((c_TMAP2OUT)-(c_TMAP1OUT))+IF(((c_TMAP2OUT)-(c_TMAP1OUT))&gt;=0,1,-1)*QUOTIENT(((c_TMAP2IN)-(c_TMAP1IN)),2))+2147483648,4294967296)-2147483648,((c_TMAP2IN)-(c_TMAP1IN))*(((A485)-(c_TMAP1IN))*((c_TMAP2OUT)-(c_TMAP1OUT))+IF(((c_TMAP2OUT)-(c_TMAP1OUT))&gt;=0,1,-1)*QUOTIENT(((c_TMAP2IN)-(c_TMAP1IN)),2)))&lt;0,-1,0),IF(IF(o_WRAP=1,MOD(((c_TMAP2IN)-(c_TMAP1IN))*(((A485)-(c_TMAP1IN))*((c_TMAP2OUT)-(c_TMAP1OUT))+IF(((c_TMAP2OUT)-(c_TMAP1OUT))&gt;=0,1,-1)*QUOTIENT(((c_TMAP2IN)-(c_TMAP1IN)),2))+2147483648,4294967296)-2147483648,((c_TMAP2IN)-(c_TMAP1IN))*(((A485)-(c_TMAP1IN))*((c_TMAP2OUT)-(c_TMAP1OUT))+IF(((c_TMAP2OUT)-(c_TMAP1OUT))&gt;=0,1,-1)*QUOTIENT(((c_TMAP2IN)-(c_TMAP1IN)),2)))&gt;=0,1,0)))</f>
        <v>222</v>
      </c>
      <c r="F485" s="7" t="n">
        <f aca="false">IF(((c_TMAP3IN)-(c_TMAP2IN))=0,(c_TMAP2OUT)+QUOTIENT(((c_TMAP3OUT)-(c_TMAP2OUT)),2),QUOTIENT((((A485)-(c_TMAP2IN))*((c_TMAP3OUT)-(c_TMAP2OUT))+IF(((c_TMAP3OUT)-(c_TMAP2OUT))&gt;=0,1,-1)*QUOTIENT(((c_TMAP3IN)-(c_TMAP2IN)),2)),((c_TMAP3IN)-(c_TMAP2IN)))+(c_TMAP2OUT)+IF(((c_TMAP3OUT)-(c_TMAP2OUT))&gt;=0,IF(IF(o_WRAP=1,MOD(((c_TMAP3IN)-(c_TMAP2IN))*(((A485)-(c_TMAP2IN))*((c_TMAP3OUT)-(c_TMAP2OUT))+IF(((c_TMAP3OUT)-(c_TMAP2OUT))&gt;=0,1,-1)*QUOTIENT(((c_TMAP3IN)-(c_TMAP2IN)),2))+2147483648,4294967296)-2147483648,((c_TMAP3IN)-(c_TMAP2IN))*(((A485)-(c_TMAP2IN))*((c_TMAP3OUT)-(c_TMAP2OUT))+IF(((c_TMAP3OUT)-(c_TMAP2OUT))&gt;=0,1,-1)*QUOTIENT(((c_TMAP3IN)-(c_TMAP2IN)),2)))&lt;0,-1,0),IF(IF(o_WRAP=1,MOD(((c_TMAP3IN)-(c_TMAP2IN))*(((A485)-(c_TMAP2IN))*((c_TMAP3OUT)-(c_TMAP2OUT))+IF(((c_TMAP3OUT)-(c_TMAP2OUT))&gt;=0,1,-1)*QUOTIENT(((c_TMAP3IN)-(c_TMAP2IN)),2))+2147483648,4294967296)-2147483648,((c_TMAP3IN)-(c_TMAP2IN))*(((A485)-(c_TMAP2IN))*((c_TMAP3OUT)-(c_TMAP2OUT))+IF(((c_TMAP3OUT)-(c_TMAP2OUT))&gt;=0,1,-1)*QUOTIENT(((c_TMAP3IN)-(c_TMAP2IN)),2)))&gt;=0,1,0)))</f>
        <v>291</v>
      </c>
      <c r="G485" s="7" t="n">
        <f aca="false">IF(((1000)-(c_TMAP3IN))=0,(c_TMAP3OUT)+QUOTIENT(((1000)-(c_TMAP3OUT)),2),QUOTIENT((((A485)-(c_TMAP3IN))*((1000)-(c_TMAP3OUT))+IF(((1000)-(c_TMAP3OUT))&gt;=0,1,-1)*QUOTIENT(((1000)-(c_TMAP3IN)),2)),((1000)-(c_TMAP3IN)))+(c_TMAP3OUT)+IF(((1000)-(c_TMAP3OUT))&gt;=0,IF(IF(o_WRAP=1,MOD(((1000)-(c_TMAP3IN))*(((A485)-(c_TMAP3IN))*((1000)-(c_TMAP3OUT))+IF(((1000)-(c_TMAP3OUT))&gt;=0,1,-1)*QUOTIENT(((1000)-(c_TMAP3IN)),2))+2147483648,4294967296)-2147483648,((1000)-(c_TMAP3IN))*(((A485)-(c_TMAP3IN))*((1000)-(c_TMAP3OUT))+IF(((1000)-(c_TMAP3OUT))&gt;=0,1,-1)*QUOTIENT(((1000)-(c_TMAP3IN)),2)))&lt;0,-1,0),IF(IF(o_WRAP=1,MOD(((1000)-(c_TMAP3IN))*(((A485)-(c_TMAP3IN))*((1000)-(c_TMAP3OUT))+IF(((1000)-(c_TMAP3OUT))&gt;=0,1,-1)*QUOTIENT(((1000)-(c_TMAP3IN)),2))+2147483648,4294967296)-2147483648,((1000)-(c_TMAP3IN))*(((A485)-(c_TMAP3IN))*((1000)-(c_TMAP3OUT))+IF(((1000)-(c_TMAP3OUT))&gt;=0,1,-1)*QUOTIENT(((1000)-(c_TMAP3IN)),2)))&gt;=0,1,0)))</f>
        <v>360</v>
      </c>
      <c r="H485" s="7" t="str">
        <f aca="false">IF(A485&gt;=c_TFWD,IF(AND(A485&gt;=c_TMAP3IN,c_TMAP3IN&lt;1000),"Seg4 map3-100%",IF(AND(A485&gt;=c_TMAP2IN,c_TMAP3IN&gt;c_TMAP2IN),"Seg3 map2-map3",IF(AND(A485&gt;=c_TMAP1IN,c_TMAP2IN&gt;c_TMAP1IN),"Seg2 map1-map2","Seg1 TFWD-map1"))),IF(AND(A485=0,c_TCREEP&gt;0),"Creep",IF(AND(A485&lt;=c_TRNGMIN,A485&gt;=c_TRNGMAX,c_TRNGMIN-c_TRNGMAX&lt;&gt;0),"Regen ramp","Coast (0)")))</f>
        <v>Seg4 map3-100%</v>
      </c>
      <c r="I485" s="7" t="n">
        <f aca="false">IF(A485&gt;=c_TFWD,IF(AND(A485&gt;=c_TMAP3IN,c_TMAP3IN&lt;1000),G485,IF(AND(A485&gt;=c_TMAP2IN,c_TMAP3IN&gt;c_TMAP2IN),F485,IF(AND(A485&gt;=c_TMAP1IN,c_TMAP2IN&gt;c_TMAP1IN),E485,D485))),C485)</f>
        <v>360</v>
      </c>
      <c r="J485" s="7" t="str">
        <f aca="false">IF(I485&lt;-1090,"TOO LOW",IF(I485&gt;1090,"TOO HIGH",""))</f>
        <v/>
      </c>
      <c r="K485" s="15" t="n">
        <f aca="false">IF(J485&lt;&gt;"",0,IF(I485&gt;979,1000,I485))</f>
        <v>360</v>
      </c>
      <c r="L485" s="7" t="n">
        <f aca="false">K485/10</f>
        <v>36</v>
      </c>
    </row>
    <row r="486" customFormat="false" ht="15" hidden="false" customHeight="false" outlineLevel="0" collapsed="false">
      <c r="A486" s="7" t="n">
        <v>481</v>
      </c>
      <c r="B486" s="7" t="n">
        <f aca="false">A486/10</f>
        <v>48.1</v>
      </c>
      <c r="C486" s="7" t="n">
        <f aca="false">IF(AND(A486=0,c_TCREEP&gt;0),10*c_TCREEP,IF(AND(A486&lt;=c_TRNGMIN,A486&gt;=c_TRNGMAX,c_TRNGMIN-c_TRNGMAX&lt;&gt;0),-10*c_TMINRN+QUOTIENT((c_TMAXRN-c_TMINRN)*(100-QUOTIENT((A486-c_TRNGMAX)*100,c_TRNGMIN-c_TRNGMAX)),-10),0))</f>
        <v>0</v>
      </c>
      <c r="D486" s="7" t="n">
        <f aca="false">IF(((c_TMAP1IN)-(c_TFWD))=0,(0)+QUOTIENT(((c_TMAP1OUT)-(0)),2),QUOTIENT((((A486)-(c_TFWD))*((c_TMAP1OUT)-(0))+IF(((c_TMAP1OUT)-(0))&gt;=0,1,-1)*QUOTIENT(((c_TMAP1IN)-(c_TFWD)),2)),((c_TMAP1IN)-(c_TFWD)))+(0)+IF(((c_TMAP1OUT)-(0))&gt;=0,IF(IF(o_WRAP=1,MOD(((c_TMAP1IN)-(c_TFWD))*(((A486)-(c_TFWD))*((c_TMAP1OUT)-(0))+IF(((c_TMAP1OUT)-(0))&gt;=0,1,-1)*QUOTIENT(((c_TMAP1IN)-(c_TFWD)),2))+2147483648,4294967296)-2147483648,((c_TMAP1IN)-(c_TFWD))*(((A486)-(c_TFWD))*((c_TMAP1OUT)-(0))+IF(((c_TMAP1OUT)-(0))&gt;=0,1,-1)*QUOTIENT(((c_TMAP1IN)-(c_TFWD)),2)))&lt;0,-1,0),IF(IF(o_WRAP=1,MOD(((c_TMAP1IN)-(c_TFWD))*(((A486)-(c_TFWD))*((c_TMAP1OUT)-(0))+IF(((c_TMAP1OUT)-(0))&gt;=0,1,-1)*QUOTIENT(((c_TMAP1IN)-(c_TFWD)),2))+2147483648,4294967296)-2147483648,((c_TMAP1IN)-(c_TFWD))*(((A486)-(c_TFWD))*((c_TMAP1OUT)-(0))+IF(((c_TMAP1OUT)-(0))&gt;=0,1,-1)*QUOTIENT(((c_TMAP1IN)-(c_TFWD)),2)))&gt;=0,1,0)))</f>
        <v>366</v>
      </c>
      <c r="E486" s="7" t="n">
        <f aca="false">IF(((c_TMAP2IN)-(c_TMAP1IN))=0,(c_TMAP1OUT)+QUOTIENT(((c_TMAP2OUT)-(c_TMAP1OUT)),2),QUOTIENT((((A486)-(c_TMAP1IN))*((c_TMAP2OUT)-(c_TMAP1OUT))+IF(((c_TMAP2OUT)-(c_TMAP1OUT))&gt;=0,1,-1)*QUOTIENT(((c_TMAP2IN)-(c_TMAP1IN)),2)),((c_TMAP2IN)-(c_TMAP1IN)))+(c_TMAP1OUT)+IF(((c_TMAP2OUT)-(c_TMAP1OUT))&gt;=0,IF(IF(o_WRAP=1,MOD(((c_TMAP2IN)-(c_TMAP1IN))*(((A486)-(c_TMAP1IN))*((c_TMAP2OUT)-(c_TMAP1OUT))+IF(((c_TMAP2OUT)-(c_TMAP1OUT))&gt;=0,1,-1)*QUOTIENT(((c_TMAP2IN)-(c_TMAP1IN)),2))+2147483648,4294967296)-2147483648,((c_TMAP2IN)-(c_TMAP1IN))*(((A486)-(c_TMAP1IN))*((c_TMAP2OUT)-(c_TMAP1OUT))+IF(((c_TMAP2OUT)-(c_TMAP1OUT))&gt;=0,1,-1)*QUOTIENT(((c_TMAP2IN)-(c_TMAP1IN)),2)))&lt;0,-1,0),IF(IF(o_WRAP=1,MOD(((c_TMAP2IN)-(c_TMAP1IN))*(((A486)-(c_TMAP1IN))*((c_TMAP2OUT)-(c_TMAP1OUT))+IF(((c_TMAP2OUT)-(c_TMAP1OUT))&gt;=0,1,-1)*QUOTIENT(((c_TMAP2IN)-(c_TMAP1IN)),2))+2147483648,4294967296)-2147483648,((c_TMAP2IN)-(c_TMAP1IN))*(((A486)-(c_TMAP1IN))*((c_TMAP2OUT)-(c_TMAP1OUT))+IF(((c_TMAP2OUT)-(c_TMAP1OUT))&gt;=0,1,-1)*QUOTIENT(((c_TMAP2IN)-(c_TMAP1IN)),2)))&gt;=0,1,0)))</f>
        <v>222</v>
      </c>
      <c r="F486" s="7" t="n">
        <f aca="false">IF(((c_TMAP3IN)-(c_TMAP2IN))=0,(c_TMAP2OUT)+QUOTIENT(((c_TMAP3OUT)-(c_TMAP2OUT)),2),QUOTIENT((((A486)-(c_TMAP2IN))*((c_TMAP3OUT)-(c_TMAP2OUT))+IF(((c_TMAP3OUT)-(c_TMAP2OUT))&gt;=0,1,-1)*QUOTIENT(((c_TMAP3IN)-(c_TMAP2IN)),2)),((c_TMAP3IN)-(c_TMAP2IN)))+(c_TMAP2OUT)+IF(((c_TMAP3OUT)-(c_TMAP2OUT))&gt;=0,IF(IF(o_WRAP=1,MOD(((c_TMAP3IN)-(c_TMAP2IN))*(((A486)-(c_TMAP2IN))*((c_TMAP3OUT)-(c_TMAP2OUT))+IF(((c_TMAP3OUT)-(c_TMAP2OUT))&gt;=0,1,-1)*QUOTIENT(((c_TMAP3IN)-(c_TMAP2IN)),2))+2147483648,4294967296)-2147483648,((c_TMAP3IN)-(c_TMAP2IN))*(((A486)-(c_TMAP2IN))*((c_TMAP3OUT)-(c_TMAP2OUT))+IF(((c_TMAP3OUT)-(c_TMAP2OUT))&gt;=0,1,-1)*QUOTIENT(((c_TMAP3IN)-(c_TMAP2IN)),2)))&lt;0,-1,0),IF(IF(o_WRAP=1,MOD(((c_TMAP3IN)-(c_TMAP2IN))*(((A486)-(c_TMAP2IN))*((c_TMAP3OUT)-(c_TMAP2OUT))+IF(((c_TMAP3OUT)-(c_TMAP2OUT))&gt;=0,1,-1)*QUOTIENT(((c_TMAP3IN)-(c_TMAP2IN)),2))+2147483648,4294967296)-2147483648,((c_TMAP3IN)-(c_TMAP2IN))*(((A486)-(c_TMAP2IN))*((c_TMAP3OUT)-(c_TMAP2OUT))+IF(((c_TMAP3OUT)-(c_TMAP2OUT))&gt;=0,1,-1)*QUOTIENT(((c_TMAP3IN)-(c_TMAP2IN)),2)))&gt;=0,1,0)))</f>
        <v>292</v>
      </c>
      <c r="G486" s="7" t="n">
        <f aca="false">IF(((1000)-(c_TMAP3IN))=0,(c_TMAP3OUT)+QUOTIENT(((1000)-(c_TMAP3OUT)),2),QUOTIENT((((A486)-(c_TMAP3IN))*((1000)-(c_TMAP3OUT))+IF(((1000)-(c_TMAP3OUT))&gt;=0,1,-1)*QUOTIENT(((1000)-(c_TMAP3IN)),2)),((1000)-(c_TMAP3IN)))+(c_TMAP3OUT)+IF(((1000)-(c_TMAP3OUT))&gt;=0,IF(IF(o_WRAP=1,MOD(((1000)-(c_TMAP3IN))*(((A486)-(c_TMAP3IN))*((1000)-(c_TMAP3OUT))+IF(((1000)-(c_TMAP3OUT))&gt;=0,1,-1)*QUOTIENT(((1000)-(c_TMAP3IN)),2))+2147483648,4294967296)-2147483648,((1000)-(c_TMAP3IN))*(((A486)-(c_TMAP3IN))*((1000)-(c_TMAP3OUT))+IF(((1000)-(c_TMAP3OUT))&gt;=0,1,-1)*QUOTIENT(((1000)-(c_TMAP3IN)),2)))&lt;0,-1,0),IF(IF(o_WRAP=1,MOD(((1000)-(c_TMAP3IN))*(((A486)-(c_TMAP3IN))*((1000)-(c_TMAP3OUT))+IF(((1000)-(c_TMAP3OUT))&gt;=0,1,-1)*QUOTIENT(((1000)-(c_TMAP3IN)),2))+2147483648,4294967296)-2147483648,((1000)-(c_TMAP3IN))*(((A486)-(c_TMAP3IN))*((1000)-(c_TMAP3OUT))+IF(((1000)-(c_TMAP3OUT))&gt;=0,1,-1)*QUOTIENT(((1000)-(c_TMAP3IN)),2)))&gt;=0,1,0)))</f>
        <v>361</v>
      </c>
      <c r="H486" s="7" t="str">
        <f aca="false">IF(A486&gt;=c_TFWD,IF(AND(A486&gt;=c_TMAP3IN,c_TMAP3IN&lt;1000),"Seg4 map3-100%",IF(AND(A486&gt;=c_TMAP2IN,c_TMAP3IN&gt;c_TMAP2IN),"Seg3 map2-map3",IF(AND(A486&gt;=c_TMAP1IN,c_TMAP2IN&gt;c_TMAP1IN),"Seg2 map1-map2","Seg1 TFWD-map1"))),IF(AND(A486=0,c_TCREEP&gt;0),"Creep",IF(AND(A486&lt;=c_TRNGMIN,A486&gt;=c_TRNGMAX,c_TRNGMIN-c_TRNGMAX&lt;&gt;0),"Regen ramp","Coast (0)")))</f>
        <v>Seg4 map3-100%</v>
      </c>
      <c r="I486" s="7" t="n">
        <f aca="false">IF(A486&gt;=c_TFWD,IF(AND(A486&gt;=c_TMAP3IN,c_TMAP3IN&lt;1000),G486,IF(AND(A486&gt;=c_TMAP2IN,c_TMAP3IN&gt;c_TMAP2IN),F486,IF(AND(A486&gt;=c_TMAP1IN,c_TMAP2IN&gt;c_TMAP1IN),E486,D486))),C486)</f>
        <v>361</v>
      </c>
      <c r="J486" s="7" t="str">
        <f aca="false">IF(I486&lt;-1090,"TOO LOW",IF(I486&gt;1090,"TOO HIGH",""))</f>
        <v/>
      </c>
      <c r="K486" s="15" t="n">
        <f aca="false">IF(J486&lt;&gt;"",0,IF(I486&gt;979,1000,I486))</f>
        <v>361</v>
      </c>
      <c r="L486" s="7" t="n">
        <f aca="false">K486/10</f>
        <v>36.1</v>
      </c>
    </row>
    <row r="487" customFormat="false" ht="15" hidden="false" customHeight="false" outlineLevel="0" collapsed="false">
      <c r="A487" s="7" t="n">
        <v>482</v>
      </c>
      <c r="B487" s="7" t="n">
        <f aca="false">A487/10</f>
        <v>48.2</v>
      </c>
      <c r="C487" s="7" t="n">
        <f aca="false">IF(AND(A487=0,c_TCREEP&gt;0),10*c_TCREEP,IF(AND(A487&lt;=c_TRNGMIN,A487&gt;=c_TRNGMAX,c_TRNGMIN-c_TRNGMAX&lt;&gt;0),-10*c_TMINRN+QUOTIENT((c_TMAXRN-c_TMINRN)*(100-QUOTIENT((A487-c_TRNGMAX)*100,c_TRNGMIN-c_TRNGMAX)),-10),0))</f>
        <v>0</v>
      </c>
      <c r="D487" s="7" t="n">
        <f aca="false">IF(((c_TMAP1IN)-(c_TFWD))=0,(0)+QUOTIENT(((c_TMAP1OUT)-(0)),2),QUOTIENT((((A487)-(c_TFWD))*((c_TMAP1OUT)-(0))+IF(((c_TMAP1OUT)-(0))&gt;=0,1,-1)*QUOTIENT(((c_TMAP1IN)-(c_TFWD)),2)),((c_TMAP1IN)-(c_TFWD)))+(0)+IF(((c_TMAP1OUT)-(0))&gt;=0,IF(IF(o_WRAP=1,MOD(((c_TMAP1IN)-(c_TFWD))*(((A487)-(c_TFWD))*((c_TMAP1OUT)-(0))+IF(((c_TMAP1OUT)-(0))&gt;=0,1,-1)*QUOTIENT(((c_TMAP1IN)-(c_TFWD)),2))+2147483648,4294967296)-2147483648,((c_TMAP1IN)-(c_TFWD))*(((A487)-(c_TFWD))*((c_TMAP1OUT)-(0))+IF(((c_TMAP1OUT)-(0))&gt;=0,1,-1)*QUOTIENT(((c_TMAP1IN)-(c_TFWD)),2)))&lt;0,-1,0),IF(IF(o_WRAP=1,MOD(((c_TMAP1IN)-(c_TFWD))*(((A487)-(c_TFWD))*((c_TMAP1OUT)-(0))+IF(((c_TMAP1OUT)-(0))&gt;=0,1,-1)*QUOTIENT(((c_TMAP1IN)-(c_TFWD)),2))+2147483648,4294967296)-2147483648,((c_TMAP1IN)-(c_TFWD))*(((A487)-(c_TFWD))*((c_TMAP1OUT)-(0))+IF(((c_TMAP1OUT)-(0))&gt;=0,1,-1)*QUOTIENT(((c_TMAP1IN)-(c_TFWD)),2)))&gt;=0,1,0)))</f>
        <v>367</v>
      </c>
      <c r="E487" s="7" t="n">
        <f aca="false">IF(((c_TMAP2IN)-(c_TMAP1IN))=0,(c_TMAP1OUT)+QUOTIENT(((c_TMAP2OUT)-(c_TMAP1OUT)),2),QUOTIENT((((A487)-(c_TMAP1IN))*((c_TMAP2OUT)-(c_TMAP1OUT))+IF(((c_TMAP2OUT)-(c_TMAP1OUT))&gt;=0,1,-1)*QUOTIENT(((c_TMAP2IN)-(c_TMAP1IN)),2)),((c_TMAP2IN)-(c_TMAP1IN)))+(c_TMAP1OUT)+IF(((c_TMAP2OUT)-(c_TMAP1OUT))&gt;=0,IF(IF(o_WRAP=1,MOD(((c_TMAP2IN)-(c_TMAP1IN))*(((A487)-(c_TMAP1IN))*((c_TMAP2OUT)-(c_TMAP1OUT))+IF(((c_TMAP2OUT)-(c_TMAP1OUT))&gt;=0,1,-1)*QUOTIENT(((c_TMAP2IN)-(c_TMAP1IN)),2))+2147483648,4294967296)-2147483648,((c_TMAP2IN)-(c_TMAP1IN))*(((A487)-(c_TMAP1IN))*((c_TMAP2OUT)-(c_TMAP1OUT))+IF(((c_TMAP2OUT)-(c_TMAP1OUT))&gt;=0,1,-1)*QUOTIENT(((c_TMAP2IN)-(c_TMAP1IN)),2)))&lt;0,-1,0),IF(IF(o_WRAP=1,MOD(((c_TMAP2IN)-(c_TMAP1IN))*(((A487)-(c_TMAP1IN))*((c_TMAP2OUT)-(c_TMAP1OUT))+IF(((c_TMAP2OUT)-(c_TMAP1OUT))&gt;=0,1,-1)*QUOTIENT(((c_TMAP2IN)-(c_TMAP1IN)),2))+2147483648,4294967296)-2147483648,((c_TMAP2IN)-(c_TMAP1IN))*(((A487)-(c_TMAP1IN))*((c_TMAP2OUT)-(c_TMAP1OUT))+IF(((c_TMAP2OUT)-(c_TMAP1OUT))&gt;=0,1,-1)*QUOTIENT(((c_TMAP2IN)-(c_TMAP1IN)),2)))&gt;=0,1,0)))</f>
        <v>223</v>
      </c>
      <c r="F487" s="7" t="n">
        <f aca="false">IF(((c_TMAP3IN)-(c_TMAP2IN))=0,(c_TMAP2OUT)+QUOTIENT(((c_TMAP3OUT)-(c_TMAP2OUT)),2),QUOTIENT((((A487)-(c_TMAP2IN))*((c_TMAP3OUT)-(c_TMAP2OUT))+IF(((c_TMAP3OUT)-(c_TMAP2OUT))&gt;=0,1,-1)*QUOTIENT(((c_TMAP3IN)-(c_TMAP2IN)),2)),((c_TMAP3IN)-(c_TMAP2IN)))+(c_TMAP2OUT)+IF(((c_TMAP3OUT)-(c_TMAP2OUT))&gt;=0,IF(IF(o_WRAP=1,MOD(((c_TMAP3IN)-(c_TMAP2IN))*(((A487)-(c_TMAP2IN))*((c_TMAP3OUT)-(c_TMAP2OUT))+IF(((c_TMAP3OUT)-(c_TMAP2OUT))&gt;=0,1,-1)*QUOTIENT(((c_TMAP3IN)-(c_TMAP2IN)),2))+2147483648,4294967296)-2147483648,((c_TMAP3IN)-(c_TMAP2IN))*(((A487)-(c_TMAP2IN))*((c_TMAP3OUT)-(c_TMAP2OUT))+IF(((c_TMAP3OUT)-(c_TMAP2OUT))&gt;=0,1,-1)*QUOTIENT(((c_TMAP3IN)-(c_TMAP2IN)),2)))&lt;0,-1,0),IF(IF(o_WRAP=1,MOD(((c_TMAP3IN)-(c_TMAP2IN))*(((A487)-(c_TMAP2IN))*((c_TMAP3OUT)-(c_TMAP2OUT))+IF(((c_TMAP3OUT)-(c_TMAP2OUT))&gt;=0,1,-1)*QUOTIENT(((c_TMAP3IN)-(c_TMAP2IN)),2))+2147483648,4294967296)-2147483648,((c_TMAP3IN)-(c_TMAP2IN))*(((A487)-(c_TMAP2IN))*((c_TMAP3OUT)-(c_TMAP2OUT))+IF(((c_TMAP3OUT)-(c_TMAP2OUT))&gt;=0,1,-1)*QUOTIENT(((c_TMAP3IN)-(c_TMAP2IN)),2)))&gt;=0,1,0)))</f>
        <v>292</v>
      </c>
      <c r="G487" s="7" t="n">
        <f aca="false">IF(((1000)-(c_TMAP3IN))=0,(c_TMAP3OUT)+QUOTIENT(((1000)-(c_TMAP3OUT)),2),QUOTIENT((((A487)-(c_TMAP3IN))*((1000)-(c_TMAP3OUT))+IF(((1000)-(c_TMAP3OUT))&gt;=0,1,-1)*QUOTIENT(((1000)-(c_TMAP3IN)),2)),((1000)-(c_TMAP3IN)))+(c_TMAP3OUT)+IF(((1000)-(c_TMAP3OUT))&gt;=0,IF(IF(o_WRAP=1,MOD(((1000)-(c_TMAP3IN))*(((A487)-(c_TMAP3IN))*((1000)-(c_TMAP3OUT))+IF(((1000)-(c_TMAP3OUT))&gt;=0,1,-1)*QUOTIENT(((1000)-(c_TMAP3IN)),2))+2147483648,4294967296)-2147483648,((1000)-(c_TMAP3IN))*(((A487)-(c_TMAP3IN))*((1000)-(c_TMAP3OUT))+IF(((1000)-(c_TMAP3OUT))&gt;=0,1,-1)*QUOTIENT(((1000)-(c_TMAP3IN)),2)))&lt;0,-1,0),IF(IF(o_WRAP=1,MOD(((1000)-(c_TMAP3IN))*(((A487)-(c_TMAP3IN))*((1000)-(c_TMAP3OUT))+IF(((1000)-(c_TMAP3OUT))&gt;=0,1,-1)*QUOTIENT(((1000)-(c_TMAP3IN)),2))+2147483648,4294967296)-2147483648,((1000)-(c_TMAP3IN))*(((A487)-(c_TMAP3IN))*((1000)-(c_TMAP3OUT))+IF(((1000)-(c_TMAP3OUT))&gt;=0,1,-1)*QUOTIENT(((1000)-(c_TMAP3IN)),2)))&gt;=0,1,0)))</f>
        <v>362</v>
      </c>
      <c r="H487" s="7" t="str">
        <f aca="false">IF(A487&gt;=c_TFWD,IF(AND(A487&gt;=c_TMAP3IN,c_TMAP3IN&lt;1000),"Seg4 map3-100%",IF(AND(A487&gt;=c_TMAP2IN,c_TMAP3IN&gt;c_TMAP2IN),"Seg3 map2-map3",IF(AND(A487&gt;=c_TMAP1IN,c_TMAP2IN&gt;c_TMAP1IN),"Seg2 map1-map2","Seg1 TFWD-map1"))),IF(AND(A487=0,c_TCREEP&gt;0),"Creep",IF(AND(A487&lt;=c_TRNGMIN,A487&gt;=c_TRNGMAX,c_TRNGMIN-c_TRNGMAX&lt;&gt;0),"Regen ramp","Coast (0)")))</f>
        <v>Seg4 map3-100%</v>
      </c>
      <c r="I487" s="7" t="n">
        <f aca="false">IF(A487&gt;=c_TFWD,IF(AND(A487&gt;=c_TMAP3IN,c_TMAP3IN&lt;1000),G487,IF(AND(A487&gt;=c_TMAP2IN,c_TMAP3IN&gt;c_TMAP2IN),F487,IF(AND(A487&gt;=c_TMAP1IN,c_TMAP2IN&gt;c_TMAP1IN),E487,D487))),C487)</f>
        <v>362</v>
      </c>
      <c r="J487" s="7" t="str">
        <f aca="false">IF(I487&lt;-1090,"TOO LOW",IF(I487&gt;1090,"TOO HIGH",""))</f>
        <v/>
      </c>
      <c r="K487" s="15" t="n">
        <f aca="false">IF(J487&lt;&gt;"",0,IF(I487&gt;979,1000,I487))</f>
        <v>362</v>
      </c>
      <c r="L487" s="7" t="n">
        <f aca="false">K487/10</f>
        <v>36.2</v>
      </c>
    </row>
    <row r="488" customFormat="false" ht="15" hidden="false" customHeight="false" outlineLevel="0" collapsed="false">
      <c r="A488" s="7" t="n">
        <v>483</v>
      </c>
      <c r="B488" s="7" t="n">
        <f aca="false">A488/10</f>
        <v>48.3</v>
      </c>
      <c r="C488" s="7" t="n">
        <f aca="false">IF(AND(A488=0,c_TCREEP&gt;0),10*c_TCREEP,IF(AND(A488&lt;=c_TRNGMIN,A488&gt;=c_TRNGMAX,c_TRNGMIN-c_TRNGMAX&lt;&gt;0),-10*c_TMINRN+QUOTIENT((c_TMAXRN-c_TMINRN)*(100-QUOTIENT((A488-c_TRNGMAX)*100,c_TRNGMIN-c_TRNGMAX)),-10),0))</f>
        <v>0</v>
      </c>
      <c r="D488" s="7" t="n">
        <f aca="false">IF(((c_TMAP1IN)-(c_TFWD))=0,(0)+QUOTIENT(((c_TMAP1OUT)-(0)),2),QUOTIENT((((A488)-(c_TFWD))*((c_TMAP1OUT)-(0))+IF(((c_TMAP1OUT)-(0))&gt;=0,1,-1)*QUOTIENT(((c_TMAP1IN)-(c_TFWD)),2)),((c_TMAP1IN)-(c_TFWD)))+(0)+IF(((c_TMAP1OUT)-(0))&gt;=0,IF(IF(o_WRAP=1,MOD(((c_TMAP1IN)-(c_TFWD))*(((A488)-(c_TFWD))*((c_TMAP1OUT)-(0))+IF(((c_TMAP1OUT)-(0))&gt;=0,1,-1)*QUOTIENT(((c_TMAP1IN)-(c_TFWD)),2))+2147483648,4294967296)-2147483648,((c_TMAP1IN)-(c_TFWD))*(((A488)-(c_TFWD))*((c_TMAP1OUT)-(0))+IF(((c_TMAP1OUT)-(0))&gt;=0,1,-1)*QUOTIENT(((c_TMAP1IN)-(c_TFWD)),2)))&lt;0,-1,0),IF(IF(o_WRAP=1,MOD(((c_TMAP1IN)-(c_TFWD))*(((A488)-(c_TFWD))*((c_TMAP1OUT)-(0))+IF(((c_TMAP1OUT)-(0))&gt;=0,1,-1)*QUOTIENT(((c_TMAP1IN)-(c_TFWD)),2))+2147483648,4294967296)-2147483648,((c_TMAP1IN)-(c_TFWD))*(((A488)-(c_TFWD))*((c_TMAP1OUT)-(0))+IF(((c_TMAP1OUT)-(0))&gt;=0,1,-1)*QUOTIENT(((c_TMAP1IN)-(c_TFWD)),2)))&gt;=0,1,0)))</f>
        <v>368</v>
      </c>
      <c r="E488" s="7" t="n">
        <f aca="false">IF(((c_TMAP2IN)-(c_TMAP1IN))=0,(c_TMAP1OUT)+QUOTIENT(((c_TMAP2OUT)-(c_TMAP1OUT)),2),QUOTIENT((((A488)-(c_TMAP1IN))*((c_TMAP2OUT)-(c_TMAP1OUT))+IF(((c_TMAP2OUT)-(c_TMAP1OUT))&gt;=0,1,-1)*QUOTIENT(((c_TMAP2IN)-(c_TMAP1IN)),2)),((c_TMAP2IN)-(c_TMAP1IN)))+(c_TMAP1OUT)+IF(((c_TMAP2OUT)-(c_TMAP1OUT))&gt;=0,IF(IF(o_WRAP=1,MOD(((c_TMAP2IN)-(c_TMAP1IN))*(((A488)-(c_TMAP1IN))*((c_TMAP2OUT)-(c_TMAP1OUT))+IF(((c_TMAP2OUT)-(c_TMAP1OUT))&gt;=0,1,-1)*QUOTIENT(((c_TMAP2IN)-(c_TMAP1IN)),2))+2147483648,4294967296)-2147483648,((c_TMAP2IN)-(c_TMAP1IN))*(((A488)-(c_TMAP1IN))*((c_TMAP2OUT)-(c_TMAP1OUT))+IF(((c_TMAP2OUT)-(c_TMAP1OUT))&gt;=0,1,-1)*QUOTIENT(((c_TMAP2IN)-(c_TMAP1IN)),2)))&lt;0,-1,0),IF(IF(o_WRAP=1,MOD(((c_TMAP2IN)-(c_TMAP1IN))*(((A488)-(c_TMAP1IN))*((c_TMAP2OUT)-(c_TMAP1OUT))+IF(((c_TMAP2OUT)-(c_TMAP1OUT))&gt;=0,1,-1)*QUOTIENT(((c_TMAP2IN)-(c_TMAP1IN)),2))+2147483648,4294967296)-2147483648,((c_TMAP2IN)-(c_TMAP1IN))*(((A488)-(c_TMAP1IN))*((c_TMAP2OUT)-(c_TMAP1OUT))+IF(((c_TMAP2OUT)-(c_TMAP1OUT))&gt;=0,1,-1)*QUOTIENT(((c_TMAP2IN)-(c_TMAP1IN)),2)))&gt;=0,1,0)))</f>
        <v>223</v>
      </c>
      <c r="F488" s="7" t="n">
        <f aca="false">IF(((c_TMAP3IN)-(c_TMAP2IN))=0,(c_TMAP2OUT)+QUOTIENT(((c_TMAP3OUT)-(c_TMAP2OUT)),2),QUOTIENT((((A488)-(c_TMAP2IN))*((c_TMAP3OUT)-(c_TMAP2OUT))+IF(((c_TMAP3OUT)-(c_TMAP2OUT))&gt;=0,1,-1)*QUOTIENT(((c_TMAP3IN)-(c_TMAP2IN)),2)),((c_TMAP3IN)-(c_TMAP2IN)))+(c_TMAP2OUT)+IF(((c_TMAP3OUT)-(c_TMAP2OUT))&gt;=0,IF(IF(o_WRAP=1,MOD(((c_TMAP3IN)-(c_TMAP2IN))*(((A488)-(c_TMAP2IN))*((c_TMAP3OUT)-(c_TMAP2OUT))+IF(((c_TMAP3OUT)-(c_TMAP2OUT))&gt;=0,1,-1)*QUOTIENT(((c_TMAP3IN)-(c_TMAP2IN)),2))+2147483648,4294967296)-2147483648,((c_TMAP3IN)-(c_TMAP2IN))*(((A488)-(c_TMAP2IN))*((c_TMAP3OUT)-(c_TMAP2OUT))+IF(((c_TMAP3OUT)-(c_TMAP2OUT))&gt;=0,1,-1)*QUOTIENT(((c_TMAP3IN)-(c_TMAP2IN)),2)))&lt;0,-1,0),IF(IF(o_WRAP=1,MOD(((c_TMAP3IN)-(c_TMAP2IN))*(((A488)-(c_TMAP2IN))*((c_TMAP3OUT)-(c_TMAP2OUT))+IF(((c_TMAP3OUT)-(c_TMAP2OUT))&gt;=0,1,-1)*QUOTIENT(((c_TMAP3IN)-(c_TMAP2IN)),2))+2147483648,4294967296)-2147483648,((c_TMAP3IN)-(c_TMAP2IN))*(((A488)-(c_TMAP2IN))*((c_TMAP3OUT)-(c_TMAP2OUT))+IF(((c_TMAP3OUT)-(c_TMAP2OUT))&gt;=0,1,-1)*QUOTIENT(((c_TMAP3IN)-(c_TMAP2IN)),2)))&gt;=0,1,0)))</f>
        <v>293</v>
      </c>
      <c r="G488" s="7" t="n">
        <f aca="false">IF(((1000)-(c_TMAP3IN))=0,(c_TMAP3OUT)+QUOTIENT(((1000)-(c_TMAP3OUT)),2),QUOTIENT((((A488)-(c_TMAP3IN))*((1000)-(c_TMAP3OUT))+IF(((1000)-(c_TMAP3OUT))&gt;=0,1,-1)*QUOTIENT(((1000)-(c_TMAP3IN)),2)),((1000)-(c_TMAP3IN)))+(c_TMAP3OUT)+IF(((1000)-(c_TMAP3OUT))&gt;=0,IF(IF(o_WRAP=1,MOD(((1000)-(c_TMAP3IN))*(((A488)-(c_TMAP3IN))*((1000)-(c_TMAP3OUT))+IF(((1000)-(c_TMAP3OUT))&gt;=0,1,-1)*QUOTIENT(((1000)-(c_TMAP3IN)),2))+2147483648,4294967296)-2147483648,((1000)-(c_TMAP3IN))*(((A488)-(c_TMAP3IN))*((1000)-(c_TMAP3OUT))+IF(((1000)-(c_TMAP3OUT))&gt;=0,1,-1)*QUOTIENT(((1000)-(c_TMAP3IN)),2)))&lt;0,-1,0),IF(IF(o_WRAP=1,MOD(((1000)-(c_TMAP3IN))*(((A488)-(c_TMAP3IN))*((1000)-(c_TMAP3OUT))+IF(((1000)-(c_TMAP3OUT))&gt;=0,1,-1)*QUOTIENT(((1000)-(c_TMAP3IN)),2))+2147483648,4294967296)-2147483648,((1000)-(c_TMAP3IN))*(((A488)-(c_TMAP3IN))*((1000)-(c_TMAP3OUT))+IF(((1000)-(c_TMAP3OUT))&gt;=0,1,-1)*QUOTIENT(((1000)-(c_TMAP3IN)),2)))&gt;=0,1,0)))</f>
        <v>364</v>
      </c>
      <c r="H488" s="7" t="str">
        <f aca="false">IF(A488&gt;=c_TFWD,IF(AND(A488&gt;=c_TMAP3IN,c_TMAP3IN&lt;1000),"Seg4 map3-100%",IF(AND(A488&gt;=c_TMAP2IN,c_TMAP3IN&gt;c_TMAP2IN),"Seg3 map2-map3",IF(AND(A488&gt;=c_TMAP1IN,c_TMAP2IN&gt;c_TMAP1IN),"Seg2 map1-map2","Seg1 TFWD-map1"))),IF(AND(A488=0,c_TCREEP&gt;0),"Creep",IF(AND(A488&lt;=c_TRNGMIN,A488&gt;=c_TRNGMAX,c_TRNGMIN-c_TRNGMAX&lt;&gt;0),"Regen ramp","Coast (0)")))</f>
        <v>Seg4 map3-100%</v>
      </c>
      <c r="I488" s="7" t="n">
        <f aca="false">IF(A488&gt;=c_TFWD,IF(AND(A488&gt;=c_TMAP3IN,c_TMAP3IN&lt;1000),G488,IF(AND(A488&gt;=c_TMAP2IN,c_TMAP3IN&gt;c_TMAP2IN),F488,IF(AND(A488&gt;=c_TMAP1IN,c_TMAP2IN&gt;c_TMAP1IN),E488,D488))),C488)</f>
        <v>364</v>
      </c>
      <c r="J488" s="7" t="str">
        <f aca="false">IF(I488&lt;-1090,"TOO LOW",IF(I488&gt;1090,"TOO HIGH",""))</f>
        <v/>
      </c>
      <c r="K488" s="15" t="n">
        <f aca="false">IF(J488&lt;&gt;"",0,IF(I488&gt;979,1000,I488))</f>
        <v>364</v>
      </c>
      <c r="L488" s="7" t="n">
        <f aca="false">K488/10</f>
        <v>36.4</v>
      </c>
    </row>
    <row r="489" customFormat="false" ht="15" hidden="false" customHeight="false" outlineLevel="0" collapsed="false">
      <c r="A489" s="7" t="n">
        <v>484</v>
      </c>
      <c r="B489" s="7" t="n">
        <f aca="false">A489/10</f>
        <v>48.4</v>
      </c>
      <c r="C489" s="7" t="n">
        <f aca="false">IF(AND(A489=0,c_TCREEP&gt;0),10*c_TCREEP,IF(AND(A489&lt;=c_TRNGMIN,A489&gt;=c_TRNGMAX,c_TRNGMIN-c_TRNGMAX&lt;&gt;0),-10*c_TMINRN+QUOTIENT((c_TMAXRN-c_TMINRN)*(100-QUOTIENT((A489-c_TRNGMAX)*100,c_TRNGMIN-c_TRNGMAX)),-10),0))</f>
        <v>0</v>
      </c>
      <c r="D489" s="7" t="n">
        <f aca="false">IF(((c_TMAP1IN)-(c_TFWD))=0,(0)+QUOTIENT(((c_TMAP1OUT)-(0)),2),QUOTIENT((((A489)-(c_TFWD))*((c_TMAP1OUT)-(0))+IF(((c_TMAP1OUT)-(0))&gt;=0,1,-1)*QUOTIENT(((c_TMAP1IN)-(c_TFWD)),2)),((c_TMAP1IN)-(c_TFWD)))+(0)+IF(((c_TMAP1OUT)-(0))&gt;=0,IF(IF(o_WRAP=1,MOD(((c_TMAP1IN)-(c_TFWD))*(((A489)-(c_TFWD))*((c_TMAP1OUT)-(0))+IF(((c_TMAP1OUT)-(0))&gt;=0,1,-1)*QUOTIENT(((c_TMAP1IN)-(c_TFWD)),2))+2147483648,4294967296)-2147483648,((c_TMAP1IN)-(c_TFWD))*(((A489)-(c_TFWD))*((c_TMAP1OUT)-(0))+IF(((c_TMAP1OUT)-(0))&gt;=0,1,-1)*QUOTIENT(((c_TMAP1IN)-(c_TFWD)),2)))&lt;0,-1,0),IF(IF(o_WRAP=1,MOD(((c_TMAP1IN)-(c_TFWD))*(((A489)-(c_TFWD))*((c_TMAP1OUT)-(0))+IF(((c_TMAP1OUT)-(0))&gt;=0,1,-1)*QUOTIENT(((c_TMAP1IN)-(c_TFWD)),2))+2147483648,4294967296)-2147483648,((c_TMAP1IN)-(c_TFWD))*(((A489)-(c_TFWD))*((c_TMAP1OUT)-(0))+IF(((c_TMAP1OUT)-(0))&gt;=0,1,-1)*QUOTIENT(((c_TMAP1IN)-(c_TFWD)),2)))&gt;=0,1,0)))</f>
        <v>369</v>
      </c>
      <c r="E489" s="7" t="n">
        <f aca="false">IF(((c_TMAP2IN)-(c_TMAP1IN))=0,(c_TMAP1OUT)+QUOTIENT(((c_TMAP2OUT)-(c_TMAP1OUT)),2),QUOTIENT((((A489)-(c_TMAP1IN))*((c_TMAP2OUT)-(c_TMAP1OUT))+IF(((c_TMAP2OUT)-(c_TMAP1OUT))&gt;=0,1,-1)*QUOTIENT(((c_TMAP2IN)-(c_TMAP1IN)),2)),((c_TMAP2IN)-(c_TMAP1IN)))+(c_TMAP1OUT)+IF(((c_TMAP2OUT)-(c_TMAP1OUT))&gt;=0,IF(IF(o_WRAP=1,MOD(((c_TMAP2IN)-(c_TMAP1IN))*(((A489)-(c_TMAP1IN))*((c_TMAP2OUT)-(c_TMAP1OUT))+IF(((c_TMAP2OUT)-(c_TMAP1OUT))&gt;=0,1,-1)*QUOTIENT(((c_TMAP2IN)-(c_TMAP1IN)),2))+2147483648,4294967296)-2147483648,((c_TMAP2IN)-(c_TMAP1IN))*(((A489)-(c_TMAP1IN))*((c_TMAP2OUT)-(c_TMAP1OUT))+IF(((c_TMAP2OUT)-(c_TMAP1OUT))&gt;=0,1,-1)*QUOTIENT(((c_TMAP2IN)-(c_TMAP1IN)),2)))&lt;0,-1,0),IF(IF(o_WRAP=1,MOD(((c_TMAP2IN)-(c_TMAP1IN))*(((A489)-(c_TMAP1IN))*((c_TMAP2OUT)-(c_TMAP1OUT))+IF(((c_TMAP2OUT)-(c_TMAP1OUT))&gt;=0,1,-1)*QUOTIENT(((c_TMAP2IN)-(c_TMAP1IN)),2))+2147483648,4294967296)-2147483648,((c_TMAP2IN)-(c_TMAP1IN))*(((A489)-(c_TMAP1IN))*((c_TMAP2OUT)-(c_TMAP1OUT))+IF(((c_TMAP2OUT)-(c_TMAP1OUT))&gt;=0,1,-1)*QUOTIENT(((c_TMAP2IN)-(c_TMAP1IN)),2)))&gt;=0,1,0)))</f>
        <v>224</v>
      </c>
      <c r="F489" s="7" t="n">
        <f aca="false">IF(((c_TMAP3IN)-(c_TMAP2IN))=0,(c_TMAP2OUT)+QUOTIENT(((c_TMAP3OUT)-(c_TMAP2OUT)),2),QUOTIENT((((A489)-(c_TMAP2IN))*((c_TMAP3OUT)-(c_TMAP2OUT))+IF(((c_TMAP3OUT)-(c_TMAP2OUT))&gt;=0,1,-1)*QUOTIENT(((c_TMAP3IN)-(c_TMAP2IN)),2)),((c_TMAP3IN)-(c_TMAP2IN)))+(c_TMAP2OUT)+IF(((c_TMAP3OUT)-(c_TMAP2OUT))&gt;=0,IF(IF(o_WRAP=1,MOD(((c_TMAP3IN)-(c_TMAP2IN))*(((A489)-(c_TMAP2IN))*((c_TMAP3OUT)-(c_TMAP2OUT))+IF(((c_TMAP3OUT)-(c_TMAP2OUT))&gt;=0,1,-1)*QUOTIENT(((c_TMAP3IN)-(c_TMAP2IN)),2))+2147483648,4294967296)-2147483648,((c_TMAP3IN)-(c_TMAP2IN))*(((A489)-(c_TMAP2IN))*((c_TMAP3OUT)-(c_TMAP2OUT))+IF(((c_TMAP3OUT)-(c_TMAP2OUT))&gt;=0,1,-1)*QUOTIENT(((c_TMAP3IN)-(c_TMAP2IN)),2)))&lt;0,-1,0),IF(IF(o_WRAP=1,MOD(((c_TMAP3IN)-(c_TMAP2IN))*(((A489)-(c_TMAP2IN))*((c_TMAP3OUT)-(c_TMAP2OUT))+IF(((c_TMAP3OUT)-(c_TMAP2OUT))&gt;=0,1,-1)*QUOTIENT(((c_TMAP3IN)-(c_TMAP2IN)),2))+2147483648,4294967296)-2147483648,((c_TMAP3IN)-(c_TMAP2IN))*(((A489)-(c_TMAP2IN))*((c_TMAP3OUT)-(c_TMAP2OUT))+IF(((c_TMAP3OUT)-(c_TMAP2OUT))&gt;=0,1,-1)*QUOTIENT(((c_TMAP3IN)-(c_TMAP2IN)),2)))&gt;=0,1,0)))</f>
        <v>294</v>
      </c>
      <c r="G489" s="7" t="n">
        <f aca="false">IF(((1000)-(c_TMAP3IN))=0,(c_TMAP3OUT)+QUOTIENT(((1000)-(c_TMAP3OUT)),2),QUOTIENT((((A489)-(c_TMAP3IN))*((1000)-(c_TMAP3OUT))+IF(((1000)-(c_TMAP3OUT))&gt;=0,1,-1)*QUOTIENT(((1000)-(c_TMAP3IN)),2)),((1000)-(c_TMAP3IN)))+(c_TMAP3OUT)+IF(((1000)-(c_TMAP3OUT))&gt;=0,IF(IF(o_WRAP=1,MOD(((1000)-(c_TMAP3IN))*(((A489)-(c_TMAP3IN))*((1000)-(c_TMAP3OUT))+IF(((1000)-(c_TMAP3OUT))&gt;=0,1,-1)*QUOTIENT(((1000)-(c_TMAP3IN)),2))+2147483648,4294967296)-2147483648,((1000)-(c_TMAP3IN))*(((A489)-(c_TMAP3IN))*((1000)-(c_TMAP3OUT))+IF(((1000)-(c_TMAP3OUT))&gt;=0,1,-1)*QUOTIENT(((1000)-(c_TMAP3IN)),2)))&lt;0,-1,0),IF(IF(o_WRAP=1,MOD(((1000)-(c_TMAP3IN))*(((A489)-(c_TMAP3IN))*((1000)-(c_TMAP3OUT))+IF(((1000)-(c_TMAP3OUT))&gt;=0,1,-1)*QUOTIENT(((1000)-(c_TMAP3IN)),2))+2147483648,4294967296)-2147483648,((1000)-(c_TMAP3IN))*(((A489)-(c_TMAP3IN))*((1000)-(c_TMAP3OUT))+IF(((1000)-(c_TMAP3OUT))&gt;=0,1,-1)*QUOTIENT(((1000)-(c_TMAP3IN)),2)))&gt;=0,1,0)))</f>
        <v>365</v>
      </c>
      <c r="H489" s="7" t="str">
        <f aca="false">IF(A489&gt;=c_TFWD,IF(AND(A489&gt;=c_TMAP3IN,c_TMAP3IN&lt;1000),"Seg4 map3-100%",IF(AND(A489&gt;=c_TMAP2IN,c_TMAP3IN&gt;c_TMAP2IN),"Seg3 map2-map3",IF(AND(A489&gt;=c_TMAP1IN,c_TMAP2IN&gt;c_TMAP1IN),"Seg2 map1-map2","Seg1 TFWD-map1"))),IF(AND(A489=0,c_TCREEP&gt;0),"Creep",IF(AND(A489&lt;=c_TRNGMIN,A489&gt;=c_TRNGMAX,c_TRNGMIN-c_TRNGMAX&lt;&gt;0),"Regen ramp","Coast (0)")))</f>
        <v>Seg4 map3-100%</v>
      </c>
      <c r="I489" s="7" t="n">
        <f aca="false">IF(A489&gt;=c_TFWD,IF(AND(A489&gt;=c_TMAP3IN,c_TMAP3IN&lt;1000),G489,IF(AND(A489&gt;=c_TMAP2IN,c_TMAP3IN&gt;c_TMAP2IN),F489,IF(AND(A489&gt;=c_TMAP1IN,c_TMAP2IN&gt;c_TMAP1IN),E489,D489))),C489)</f>
        <v>365</v>
      </c>
      <c r="J489" s="7" t="str">
        <f aca="false">IF(I489&lt;-1090,"TOO LOW",IF(I489&gt;1090,"TOO HIGH",""))</f>
        <v/>
      </c>
      <c r="K489" s="15" t="n">
        <f aca="false">IF(J489&lt;&gt;"",0,IF(I489&gt;979,1000,I489))</f>
        <v>365</v>
      </c>
      <c r="L489" s="7" t="n">
        <f aca="false">K489/10</f>
        <v>36.5</v>
      </c>
    </row>
    <row r="490" customFormat="false" ht="15" hidden="false" customHeight="false" outlineLevel="0" collapsed="false">
      <c r="A490" s="7" t="n">
        <v>485</v>
      </c>
      <c r="B490" s="7" t="n">
        <f aca="false">A490/10</f>
        <v>48.5</v>
      </c>
      <c r="C490" s="7" t="n">
        <f aca="false">IF(AND(A490=0,c_TCREEP&gt;0),10*c_TCREEP,IF(AND(A490&lt;=c_TRNGMIN,A490&gt;=c_TRNGMAX,c_TRNGMIN-c_TRNGMAX&lt;&gt;0),-10*c_TMINRN+QUOTIENT((c_TMAXRN-c_TMINRN)*(100-QUOTIENT((A490-c_TRNGMAX)*100,c_TRNGMIN-c_TRNGMAX)),-10),0))</f>
        <v>0</v>
      </c>
      <c r="D490" s="7" t="n">
        <f aca="false">IF(((c_TMAP1IN)-(c_TFWD))=0,(0)+QUOTIENT(((c_TMAP1OUT)-(0)),2),QUOTIENT((((A490)-(c_TFWD))*((c_TMAP1OUT)-(0))+IF(((c_TMAP1OUT)-(0))&gt;=0,1,-1)*QUOTIENT(((c_TMAP1IN)-(c_TFWD)),2)),((c_TMAP1IN)-(c_TFWD)))+(0)+IF(((c_TMAP1OUT)-(0))&gt;=0,IF(IF(o_WRAP=1,MOD(((c_TMAP1IN)-(c_TFWD))*(((A490)-(c_TFWD))*((c_TMAP1OUT)-(0))+IF(((c_TMAP1OUT)-(0))&gt;=0,1,-1)*QUOTIENT(((c_TMAP1IN)-(c_TFWD)),2))+2147483648,4294967296)-2147483648,((c_TMAP1IN)-(c_TFWD))*(((A490)-(c_TFWD))*((c_TMAP1OUT)-(0))+IF(((c_TMAP1OUT)-(0))&gt;=0,1,-1)*QUOTIENT(((c_TMAP1IN)-(c_TFWD)),2)))&lt;0,-1,0),IF(IF(o_WRAP=1,MOD(((c_TMAP1IN)-(c_TFWD))*(((A490)-(c_TFWD))*((c_TMAP1OUT)-(0))+IF(((c_TMAP1OUT)-(0))&gt;=0,1,-1)*QUOTIENT(((c_TMAP1IN)-(c_TFWD)),2))+2147483648,4294967296)-2147483648,((c_TMAP1IN)-(c_TFWD))*(((A490)-(c_TFWD))*((c_TMAP1OUT)-(0))+IF(((c_TMAP1OUT)-(0))&gt;=0,1,-1)*QUOTIENT(((c_TMAP1IN)-(c_TFWD)),2)))&gt;=0,1,0)))</f>
        <v>369</v>
      </c>
      <c r="E490" s="7" t="n">
        <f aca="false">IF(((c_TMAP2IN)-(c_TMAP1IN))=0,(c_TMAP1OUT)+QUOTIENT(((c_TMAP2OUT)-(c_TMAP1OUT)),2),QUOTIENT((((A490)-(c_TMAP1IN))*((c_TMAP2OUT)-(c_TMAP1OUT))+IF(((c_TMAP2OUT)-(c_TMAP1OUT))&gt;=0,1,-1)*QUOTIENT(((c_TMAP2IN)-(c_TMAP1IN)),2)),((c_TMAP2IN)-(c_TMAP1IN)))+(c_TMAP1OUT)+IF(((c_TMAP2OUT)-(c_TMAP1OUT))&gt;=0,IF(IF(o_WRAP=1,MOD(((c_TMAP2IN)-(c_TMAP1IN))*(((A490)-(c_TMAP1IN))*((c_TMAP2OUT)-(c_TMAP1OUT))+IF(((c_TMAP2OUT)-(c_TMAP1OUT))&gt;=0,1,-1)*QUOTIENT(((c_TMAP2IN)-(c_TMAP1IN)),2))+2147483648,4294967296)-2147483648,((c_TMAP2IN)-(c_TMAP1IN))*(((A490)-(c_TMAP1IN))*((c_TMAP2OUT)-(c_TMAP1OUT))+IF(((c_TMAP2OUT)-(c_TMAP1OUT))&gt;=0,1,-1)*QUOTIENT(((c_TMAP2IN)-(c_TMAP1IN)),2)))&lt;0,-1,0),IF(IF(o_WRAP=1,MOD(((c_TMAP2IN)-(c_TMAP1IN))*(((A490)-(c_TMAP1IN))*((c_TMAP2OUT)-(c_TMAP1OUT))+IF(((c_TMAP2OUT)-(c_TMAP1OUT))&gt;=0,1,-1)*QUOTIENT(((c_TMAP2IN)-(c_TMAP1IN)),2))+2147483648,4294967296)-2147483648,((c_TMAP2IN)-(c_TMAP1IN))*(((A490)-(c_TMAP1IN))*((c_TMAP2OUT)-(c_TMAP1OUT))+IF(((c_TMAP2OUT)-(c_TMAP1OUT))&gt;=0,1,-1)*QUOTIENT(((c_TMAP2IN)-(c_TMAP1IN)),2)))&gt;=0,1,0)))</f>
        <v>224</v>
      </c>
      <c r="F490" s="7" t="n">
        <f aca="false">IF(((c_TMAP3IN)-(c_TMAP2IN))=0,(c_TMAP2OUT)+QUOTIENT(((c_TMAP3OUT)-(c_TMAP2OUT)),2),QUOTIENT((((A490)-(c_TMAP2IN))*((c_TMAP3OUT)-(c_TMAP2OUT))+IF(((c_TMAP3OUT)-(c_TMAP2OUT))&gt;=0,1,-1)*QUOTIENT(((c_TMAP3IN)-(c_TMAP2IN)),2)),((c_TMAP3IN)-(c_TMAP2IN)))+(c_TMAP2OUT)+IF(((c_TMAP3OUT)-(c_TMAP2OUT))&gt;=0,IF(IF(o_WRAP=1,MOD(((c_TMAP3IN)-(c_TMAP2IN))*(((A490)-(c_TMAP2IN))*((c_TMAP3OUT)-(c_TMAP2OUT))+IF(((c_TMAP3OUT)-(c_TMAP2OUT))&gt;=0,1,-1)*QUOTIENT(((c_TMAP3IN)-(c_TMAP2IN)),2))+2147483648,4294967296)-2147483648,((c_TMAP3IN)-(c_TMAP2IN))*(((A490)-(c_TMAP2IN))*((c_TMAP3OUT)-(c_TMAP2OUT))+IF(((c_TMAP3OUT)-(c_TMAP2OUT))&gt;=0,1,-1)*QUOTIENT(((c_TMAP3IN)-(c_TMAP2IN)),2)))&lt;0,-1,0),IF(IF(o_WRAP=1,MOD(((c_TMAP3IN)-(c_TMAP2IN))*(((A490)-(c_TMAP2IN))*((c_TMAP3OUT)-(c_TMAP2OUT))+IF(((c_TMAP3OUT)-(c_TMAP2OUT))&gt;=0,1,-1)*QUOTIENT(((c_TMAP3IN)-(c_TMAP2IN)),2))+2147483648,4294967296)-2147483648,((c_TMAP3IN)-(c_TMAP2IN))*(((A490)-(c_TMAP2IN))*((c_TMAP3OUT)-(c_TMAP2OUT))+IF(((c_TMAP3OUT)-(c_TMAP2OUT))&gt;=0,1,-1)*QUOTIENT(((c_TMAP3IN)-(c_TMAP2IN)),2)))&gt;=0,1,0)))</f>
        <v>295</v>
      </c>
      <c r="G490" s="7" t="n">
        <f aca="false">IF(((1000)-(c_TMAP3IN))=0,(c_TMAP3OUT)+QUOTIENT(((1000)-(c_TMAP3OUT)),2),QUOTIENT((((A490)-(c_TMAP3IN))*((1000)-(c_TMAP3OUT))+IF(((1000)-(c_TMAP3OUT))&gt;=0,1,-1)*QUOTIENT(((1000)-(c_TMAP3IN)),2)),((1000)-(c_TMAP3IN)))+(c_TMAP3OUT)+IF(((1000)-(c_TMAP3OUT))&gt;=0,IF(IF(o_WRAP=1,MOD(((1000)-(c_TMAP3IN))*(((A490)-(c_TMAP3IN))*((1000)-(c_TMAP3OUT))+IF(((1000)-(c_TMAP3OUT))&gt;=0,1,-1)*QUOTIENT(((1000)-(c_TMAP3IN)),2))+2147483648,4294967296)-2147483648,((1000)-(c_TMAP3IN))*(((A490)-(c_TMAP3IN))*((1000)-(c_TMAP3OUT))+IF(((1000)-(c_TMAP3OUT))&gt;=0,1,-1)*QUOTIENT(((1000)-(c_TMAP3IN)),2)))&lt;0,-1,0),IF(IF(o_WRAP=1,MOD(((1000)-(c_TMAP3IN))*(((A490)-(c_TMAP3IN))*((1000)-(c_TMAP3OUT))+IF(((1000)-(c_TMAP3OUT))&gt;=0,1,-1)*QUOTIENT(((1000)-(c_TMAP3IN)),2))+2147483648,4294967296)-2147483648,((1000)-(c_TMAP3IN))*(((A490)-(c_TMAP3IN))*((1000)-(c_TMAP3OUT))+IF(((1000)-(c_TMAP3OUT))&gt;=0,1,-1)*QUOTIENT(((1000)-(c_TMAP3IN)),2)))&gt;=0,1,0)))</f>
        <v>366</v>
      </c>
      <c r="H490" s="7" t="str">
        <f aca="false">IF(A490&gt;=c_TFWD,IF(AND(A490&gt;=c_TMAP3IN,c_TMAP3IN&lt;1000),"Seg4 map3-100%",IF(AND(A490&gt;=c_TMAP2IN,c_TMAP3IN&gt;c_TMAP2IN),"Seg3 map2-map3",IF(AND(A490&gt;=c_TMAP1IN,c_TMAP2IN&gt;c_TMAP1IN),"Seg2 map1-map2","Seg1 TFWD-map1"))),IF(AND(A490=0,c_TCREEP&gt;0),"Creep",IF(AND(A490&lt;=c_TRNGMIN,A490&gt;=c_TRNGMAX,c_TRNGMIN-c_TRNGMAX&lt;&gt;0),"Regen ramp","Coast (0)")))</f>
        <v>Seg4 map3-100%</v>
      </c>
      <c r="I490" s="7" t="n">
        <f aca="false">IF(A490&gt;=c_TFWD,IF(AND(A490&gt;=c_TMAP3IN,c_TMAP3IN&lt;1000),G490,IF(AND(A490&gt;=c_TMAP2IN,c_TMAP3IN&gt;c_TMAP2IN),F490,IF(AND(A490&gt;=c_TMAP1IN,c_TMAP2IN&gt;c_TMAP1IN),E490,D490))),C490)</f>
        <v>366</v>
      </c>
      <c r="J490" s="7" t="str">
        <f aca="false">IF(I490&lt;-1090,"TOO LOW",IF(I490&gt;1090,"TOO HIGH",""))</f>
        <v/>
      </c>
      <c r="K490" s="15" t="n">
        <f aca="false">IF(J490&lt;&gt;"",0,IF(I490&gt;979,1000,I490))</f>
        <v>366</v>
      </c>
      <c r="L490" s="7" t="n">
        <f aca="false">K490/10</f>
        <v>36.6</v>
      </c>
    </row>
    <row r="491" customFormat="false" ht="15" hidden="false" customHeight="false" outlineLevel="0" collapsed="false">
      <c r="A491" s="7" t="n">
        <v>486</v>
      </c>
      <c r="B491" s="7" t="n">
        <f aca="false">A491/10</f>
        <v>48.6</v>
      </c>
      <c r="C491" s="7" t="n">
        <f aca="false">IF(AND(A491=0,c_TCREEP&gt;0),10*c_TCREEP,IF(AND(A491&lt;=c_TRNGMIN,A491&gt;=c_TRNGMAX,c_TRNGMIN-c_TRNGMAX&lt;&gt;0),-10*c_TMINRN+QUOTIENT((c_TMAXRN-c_TMINRN)*(100-QUOTIENT((A491-c_TRNGMAX)*100,c_TRNGMIN-c_TRNGMAX)),-10),0))</f>
        <v>0</v>
      </c>
      <c r="D491" s="7" t="n">
        <f aca="false">IF(((c_TMAP1IN)-(c_TFWD))=0,(0)+QUOTIENT(((c_TMAP1OUT)-(0)),2),QUOTIENT((((A491)-(c_TFWD))*((c_TMAP1OUT)-(0))+IF(((c_TMAP1OUT)-(0))&gt;=0,1,-1)*QUOTIENT(((c_TMAP1IN)-(c_TFWD)),2)),((c_TMAP1IN)-(c_TFWD)))+(0)+IF(((c_TMAP1OUT)-(0))&gt;=0,IF(IF(o_WRAP=1,MOD(((c_TMAP1IN)-(c_TFWD))*(((A491)-(c_TFWD))*((c_TMAP1OUT)-(0))+IF(((c_TMAP1OUT)-(0))&gt;=0,1,-1)*QUOTIENT(((c_TMAP1IN)-(c_TFWD)),2))+2147483648,4294967296)-2147483648,((c_TMAP1IN)-(c_TFWD))*(((A491)-(c_TFWD))*((c_TMAP1OUT)-(0))+IF(((c_TMAP1OUT)-(0))&gt;=0,1,-1)*QUOTIENT(((c_TMAP1IN)-(c_TFWD)),2)))&lt;0,-1,0),IF(IF(o_WRAP=1,MOD(((c_TMAP1IN)-(c_TFWD))*(((A491)-(c_TFWD))*((c_TMAP1OUT)-(0))+IF(((c_TMAP1OUT)-(0))&gt;=0,1,-1)*QUOTIENT(((c_TMAP1IN)-(c_TFWD)),2))+2147483648,4294967296)-2147483648,((c_TMAP1IN)-(c_TFWD))*(((A491)-(c_TFWD))*((c_TMAP1OUT)-(0))+IF(((c_TMAP1OUT)-(0))&gt;=0,1,-1)*QUOTIENT(((c_TMAP1IN)-(c_TFWD)),2)))&gt;=0,1,0)))</f>
        <v>370</v>
      </c>
      <c r="E491" s="7" t="n">
        <f aca="false">IF(((c_TMAP2IN)-(c_TMAP1IN))=0,(c_TMAP1OUT)+QUOTIENT(((c_TMAP2OUT)-(c_TMAP1OUT)),2),QUOTIENT((((A491)-(c_TMAP1IN))*((c_TMAP2OUT)-(c_TMAP1OUT))+IF(((c_TMAP2OUT)-(c_TMAP1OUT))&gt;=0,1,-1)*QUOTIENT(((c_TMAP2IN)-(c_TMAP1IN)),2)),((c_TMAP2IN)-(c_TMAP1IN)))+(c_TMAP1OUT)+IF(((c_TMAP2OUT)-(c_TMAP1OUT))&gt;=0,IF(IF(o_WRAP=1,MOD(((c_TMAP2IN)-(c_TMAP1IN))*(((A491)-(c_TMAP1IN))*((c_TMAP2OUT)-(c_TMAP1OUT))+IF(((c_TMAP2OUT)-(c_TMAP1OUT))&gt;=0,1,-1)*QUOTIENT(((c_TMAP2IN)-(c_TMAP1IN)),2))+2147483648,4294967296)-2147483648,((c_TMAP2IN)-(c_TMAP1IN))*(((A491)-(c_TMAP1IN))*((c_TMAP2OUT)-(c_TMAP1OUT))+IF(((c_TMAP2OUT)-(c_TMAP1OUT))&gt;=0,1,-1)*QUOTIENT(((c_TMAP2IN)-(c_TMAP1IN)),2)))&lt;0,-1,0),IF(IF(o_WRAP=1,MOD(((c_TMAP2IN)-(c_TMAP1IN))*(((A491)-(c_TMAP1IN))*((c_TMAP2OUT)-(c_TMAP1OUT))+IF(((c_TMAP2OUT)-(c_TMAP1OUT))&gt;=0,1,-1)*QUOTIENT(((c_TMAP2IN)-(c_TMAP1IN)),2))+2147483648,4294967296)-2147483648,((c_TMAP2IN)-(c_TMAP1IN))*(((A491)-(c_TMAP1IN))*((c_TMAP2OUT)-(c_TMAP1OUT))+IF(((c_TMAP2OUT)-(c_TMAP1OUT))&gt;=0,1,-1)*QUOTIENT(((c_TMAP2IN)-(c_TMAP1IN)),2)))&gt;=0,1,0)))</f>
        <v>224</v>
      </c>
      <c r="F491" s="7" t="n">
        <f aca="false">IF(((c_TMAP3IN)-(c_TMAP2IN))=0,(c_TMAP2OUT)+QUOTIENT(((c_TMAP3OUT)-(c_TMAP2OUT)),2),QUOTIENT((((A491)-(c_TMAP2IN))*((c_TMAP3OUT)-(c_TMAP2OUT))+IF(((c_TMAP3OUT)-(c_TMAP2OUT))&gt;=0,1,-1)*QUOTIENT(((c_TMAP3IN)-(c_TMAP2IN)),2)),((c_TMAP3IN)-(c_TMAP2IN)))+(c_TMAP2OUT)+IF(((c_TMAP3OUT)-(c_TMAP2OUT))&gt;=0,IF(IF(o_WRAP=1,MOD(((c_TMAP3IN)-(c_TMAP2IN))*(((A491)-(c_TMAP2IN))*((c_TMAP3OUT)-(c_TMAP2OUT))+IF(((c_TMAP3OUT)-(c_TMAP2OUT))&gt;=0,1,-1)*QUOTIENT(((c_TMAP3IN)-(c_TMAP2IN)),2))+2147483648,4294967296)-2147483648,((c_TMAP3IN)-(c_TMAP2IN))*(((A491)-(c_TMAP2IN))*((c_TMAP3OUT)-(c_TMAP2OUT))+IF(((c_TMAP3OUT)-(c_TMAP2OUT))&gt;=0,1,-1)*QUOTIENT(((c_TMAP3IN)-(c_TMAP2IN)),2)))&lt;0,-1,0),IF(IF(o_WRAP=1,MOD(((c_TMAP3IN)-(c_TMAP2IN))*(((A491)-(c_TMAP2IN))*((c_TMAP3OUT)-(c_TMAP2OUT))+IF(((c_TMAP3OUT)-(c_TMAP2OUT))&gt;=0,1,-1)*QUOTIENT(((c_TMAP3IN)-(c_TMAP2IN)),2))+2147483648,4294967296)-2147483648,((c_TMAP3IN)-(c_TMAP2IN))*(((A491)-(c_TMAP2IN))*((c_TMAP3OUT)-(c_TMAP2OUT))+IF(((c_TMAP3OUT)-(c_TMAP2OUT))&gt;=0,1,-1)*QUOTIENT(((c_TMAP3IN)-(c_TMAP2IN)),2)))&gt;=0,1,0)))</f>
        <v>295</v>
      </c>
      <c r="G491" s="7" t="n">
        <f aca="false">IF(((1000)-(c_TMAP3IN))=0,(c_TMAP3OUT)+QUOTIENT(((1000)-(c_TMAP3OUT)),2),QUOTIENT((((A491)-(c_TMAP3IN))*((1000)-(c_TMAP3OUT))+IF(((1000)-(c_TMAP3OUT))&gt;=0,1,-1)*QUOTIENT(((1000)-(c_TMAP3IN)),2)),((1000)-(c_TMAP3IN)))+(c_TMAP3OUT)+IF(((1000)-(c_TMAP3OUT))&gt;=0,IF(IF(o_WRAP=1,MOD(((1000)-(c_TMAP3IN))*(((A491)-(c_TMAP3IN))*((1000)-(c_TMAP3OUT))+IF(((1000)-(c_TMAP3OUT))&gt;=0,1,-1)*QUOTIENT(((1000)-(c_TMAP3IN)),2))+2147483648,4294967296)-2147483648,((1000)-(c_TMAP3IN))*(((A491)-(c_TMAP3IN))*((1000)-(c_TMAP3OUT))+IF(((1000)-(c_TMAP3OUT))&gt;=0,1,-1)*QUOTIENT(((1000)-(c_TMAP3IN)),2)))&lt;0,-1,0),IF(IF(o_WRAP=1,MOD(((1000)-(c_TMAP3IN))*(((A491)-(c_TMAP3IN))*((1000)-(c_TMAP3OUT))+IF(((1000)-(c_TMAP3OUT))&gt;=0,1,-1)*QUOTIENT(((1000)-(c_TMAP3IN)),2))+2147483648,4294967296)-2147483648,((1000)-(c_TMAP3IN))*(((A491)-(c_TMAP3IN))*((1000)-(c_TMAP3OUT))+IF(((1000)-(c_TMAP3OUT))&gt;=0,1,-1)*QUOTIENT(((1000)-(c_TMAP3IN)),2)))&gt;=0,1,0)))</f>
        <v>367</v>
      </c>
      <c r="H491" s="7" t="str">
        <f aca="false">IF(A491&gt;=c_TFWD,IF(AND(A491&gt;=c_TMAP3IN,c_TMAP3IN&lt;1000),"Seg4 map3-100%",IF(AND(A491&gt;=c_TMAP2IN,c_TMAP3IN&gt;c_TMAP2IN),"Seg3 map2-map3",IF(AND(A491&gt;=c_TMAP1IN,c_TMAP2IN&gt;c_TMAP1IN),"Seg2 map1-map2","Seg1 TFWD-map1"))),IF(AND(A491=0,c_TCREEP&gt;0),"Creep",IF(AND(A491&lt;=c_TRNGMIN,A491&gt;=c_TRNGMAX,c_TRNGMIN-c_TRNGMAX&lt;&gt;0),"Regen ramp","Coast (0)")))</f>
        <v>Seg4 map3-100%</v>
      </c>
      <c r="I491" s="7" t="n">
        <f aca="false">IF(A491&gt;=c_TFWD,IF(AND(A491&gt;=c_TMAP3IN,c_TMAP3IN&lt;1000),G491,IF(AND(A491&gt;=c_TMAP2IN,c_TMAP3IN&gt;c_TMAP2IN),F491,IF(AND(A491&gt;=c_TMAP1IN,c_TMAP2IN&gt;c_TMAP1IN),E491,D491))),C491)</f>
        <v>367</v>
      </c>
      <c r="J491" s="7" t="str">
        <f aca="false">IF(I491&lt;-1090,"TOO LOW",IF(I491&gt;1090,"TOO HIGH",""))</f>
        <v/>
      </c>
      <c r="K491" s="15" t="n">
        <f aca="false">IF(J491&lt;&gt;"",0,IF(I491&gt;979,1000,I491))</f>
        <v>367</v>
      </c>
      <c r="L491" s="7" t="n">
        <f aca="false">K491/10</f>
        <v>36.7</v>
      </c>
    </row>
    <row r="492" customFormat="false" ht="15" hidden="false" customHeight="false" outlineLevel="0" collapsed="false">
      <c r="A492" s="7" t="n">
        <v>487</v>
      </c>
      <c r="B492" s="7" t="n">
        <f aca="false">A492/10</f>
        <v>48.7</v>
      </c>
      <c r="C492" s="7" t="n">
        <f aca="false">IF(AND(A492=0,c_TCREEP&gt;0),10*c_TCREEP,IF(AND(A492&lt;=c_TRNGMIN,A492&gt;=c_TRNGMAX,c_TRNGMIN-c_TRNGMAX&lt;&gt;0),-10*c_TMINRN+QUOTIENT((c_TMAXRN-c_TMINRN)*(100-QUOTIENT((A492-c_TRNGMAX)*100,c_TRNGMIN-c_TRNGMAX)),-10),0))</f>
        <v>0</v>
      </c>
      <c r="D492" s="7" t="n">
        <f aca="false">IF(((c_TMAP1IN)-(c_TFWD))=0,(0)+QUOTIENT(((c_TMAP1OUT)-(0)),2),QUOTIENT((((A492)-(c_TFWD))*((c_TMAP1OUT)-(0))+IF(((c_TMAP1OUT)-(0))&gt;=0,1,-1)*QUOTIENT(((c_TMAP1IN)-(c_TFWD)),2)),((c_TMAP1IN)-(c_TFWD)))+(0)+IF(((c_TMAP1OUT)-(0))&gt;=0,IF(IF(o_WRAP=1,MOD(((c_TMAP1IN)-(c_TFWD))*(((A492)-(c_TFWD))*((c_TMAP1OUT)-(0))+IF(((c_TMAP1OUT)-(0))&gt;=0,1,-1)*QUOTIENT(((c_TMAP1IN)-(c_TFWD)),2))+2147483648,4294967296)-2147483648,((c_TMAP1IN)-(c_TFWD))*(((A492)-(c_TFWD))*((c_TMAP1OUT)-(0))+IF(((c_TMAP1OUT)-(0))&gt;=0,1,-1)*QUOTIENT(((c_TMAP1IN)-(c_TFWD)),2)))&lt;0,-1,0),IF(IF(o_WRAP=1,MOD(((c_TMAP1IN)-(c_TFWD))*(((A492)-(c_TFWD))*((c_TMAP1OUT)-(0))+IF(((c_TMAP1OUT)-(0))&gt;=0,1,-1)*QUOTIENT(((c_TMAP1IN)-(c_TFWD)),2))+2147483648,4294967296)-2147483648,((c_TMAP1IN)-(c_TFWD))*(((A492)-(c_TFWD))*((c_TMAP1OUT)-(0))+IF(((c_TMAP1OUT)-(0))&gt;=0,1,-1)*QUOTIENT(((c_TMAP1IN)-(c_TFWD)),2)))&gt;=0,1,0)))</f>
        <v>371</v>
      </c>
      <c r="E492" s="7" t="n">
        <f aca="false">IF(((c_TMAP2IN)-(c_TMAP1IN))=0,(c_TMAP1OUT)+QUOTIENT(((c_TMAP2OUT)-(c_TMAP1OUT)),2),QUOTIENT((((A492)-(c_TMAP1IN))*((c_TMAP2OUT)-(c_TMAP1OUT))+IF(((c_TMAP2OUT)-(c_TMAP1OUT))&gt;=0,1,-1)*QUOTIENT(((c_TMAP2IN)-(c_TMAP1IN)),2)),((c_TMAP2IN)-(c_TMAP1IN)))+(c_TMAP1OUT)+IF(((c_TMAP2OUT)-(c_TMAP1OUT))&gt;=0,IF(IF(o_WRAP=1,MOD(((c_TMAP2IN)-(c_TMAP1IN))*(((A492)-(c_TMAP1IN))*((c_TMAP2OUT)-(c_TMAP1OUT))+IF(((c_TMAP2OUT)-(c_TMAP1OUT))&gt;=0,1,-1)*QUOTIENT(((c_TMAP2IN)-(c_TMAP1IN)),2))+2147483648,4294967296)-2147483648,((c_TMAP2IN)-(c_TMAP1IN))*(((A492)-(c_TMAP1IN))*((c_TMAP2OUT)-(c_TMAP1OUT))+IF(((c_TMAP2OUT)-(c_TMAP1OUT))&gt;=0,1,-1)*QUOTIENT(((c_TMAP2IN)-(c_TMAP1IN)),2)))&lt;0,-1,0),IF(IF(o_WRAP=1,MOD(((c_TMAP2IN)-(c_TMAP1IN))*(((A492)-(c_TMAP1IN))*((c_TMAP2OUT)-(c_TMAP1OUT))+IF(((c_TMAP2OUT)-(c_TMAP1OUT))&gt;=0,1,-1)*QUOTIENT(((c_TMAP2IN)-(c_TMAP1IN)),2))+2147483648,4294967296)-2147483648,((c_TMAP2IN)-(c_TMAP1IN))*(((A492)-(c_TMAP1IN))*((c_TMAP2OUT)-(c_TMAP1OUT))+IF(((c_TMAP2OUT)-(c_TMAP1OUT))&gt;=0,1,-1)*QUOTIENT(((c_TMAP2IN)-(c_TMAP1IN)),2)))&gt;=0,1,0)))</f>
        <v>225</v>
      </c>
      <c r="F492" s="7" t="n">
        <f aca="false">IF(((c_TMAP3IN)-(c_TMAP2IN))=0,(c_TMAP2OUT)+QUOTIENT(((c_TMAP3OUT)-(c_TMAP2OUT)),2),QUOTIENT((((A492)-(c_TMAP2IN))*((c_TMAP3OUT)-(c_TMAP2OUT))+IF(((c_TMAP3OUT)-(c_TMAP2OUT))&gt;=0,1,-1)*QUOTIENT(((c_TMAP3IN)-(c_TMAP2IN)),2)),((c_TMAP3IN)-(c_TMAP2IN)))+(c_TMAP2OUT)+IF(((c_TMAP3OUT)-(c_TMAP2OUT))&gt;=0,IF(IF(o_WRAP=1,MOD(((c_TMAP3IN)-(c_TMAP2IN))*(((A492)-(c_TMAP2IN))*((c_TMAP3OUT)-(c_TMAP2OUT))+IF(((c_TMAP3OUT)-(c_TMAP2OUT))&gt;=0,1,-1)*QUOTIENT(((c_TMAP3IN)-(c_TMAP2IN)),2))+2147483648,4294967296)-2147483648,((c_TMAP3IN)-(c_TMAP2IN))*(((A492)-(c_TMAP2IN))*((c_TMAP3OUT)-(c_TMAP2OUT))+IF(((c_TMAP3OUT)-(c_TMAP2OUT))&gt;=0,1,-1)*QUOTIENT(((c_TMAP3IN)-(c_TMAP2IN)),2)))&lt;0,-1,0),IF(IF(o_WRAP=1,MOD(((c_TMAP3IN)-(c_TMAP2IN))*(((A492)-(c_TMAP2IN))*((c_TMAP3OUT)-(c_TMAP2OUT))+IF(((c_TMAP3OUT)-(c_TMAP2OUT))&gt;=0,1,-1)*QUOTIENT(((c_TMAP3IN)-(c_TMAP2IN)),2))+2147483648,4294967296)-2147483648,((c_TMAP3IN)-(c_TMAP2IN))*(((A492)-(c_TMAP2IN))*((c_TMAP3OUT)-(c_TMAP2OUT))+IF(((c_TMAP3OUT)-(c_TMAP2OUT))&gt;=0,1,-1)*QUOTIENT(((c_TMAP3IN)-(c_TMAP2IN)),2)))&gt;=0,1,0)))</f>
        <v>296</v>
      </c>
      <c r="G492" s="7" t="n">
        <f aca="false">IF(((1000)-(c_TMAP3IN))=0,(c_TMAP3OUT)+QUOTIENT(((1000)-(c_TMAP3OUT)),2),QUOTIENT((((A492)-(c_TMAP3IN))*((1000)-(c_TMAP3OUT))+IF(((1000)-(c_TMAP3OUT))&gt;=0,1,-1)*QUOTIENT(((1000)-(c_TMAP3IN)),2)),((1000)-(c_TMAP3IN)))+(c_TMAP3OUT)+IF(((1000)-(c_TMAP3OUT))&gt;=0,IF(IF(o_WRAP=1,MOD(((1000)-(c_TMAP3IN))*(((A492)-(c_TMAP3IN))*((1000)-(c_TMAP3OUT))+IF(((1000)-(c_TMAP3OUT))&gt;=0,1,-1)*QUOTIENT(((1000)-(c_TMAP3IN)),2))+2147483648,4294967296)-2147483648,((1000)-(c_TMAP3IN))*(((A492)-(c_TMAP3IN))*((1000)-(c_TMAP3OUT))+IF(((1000)-(c_TMAP3OUT))&gt;=0,1,-1)*QUOTIENT(((1000)-(c_TMAP3IN)),2)))&lt;0,-1,0),IF(IF(o_WRAP=1,MOD(((1000)-(c_TMAP3IN))*(((A492)-(c_TMAP3IN))*((1000)-(c_TMAP3OUT))+IF(((1000)-(c_TMAP3OUT))&gt;=0,1,-1)*QUOTIENT(((1000)-(c_TMAP3IN)),2))+2147483648,4294967296)-2147483648,((1000)-(c_TMAP3IN))*(((A492)-(c_TMAP3IN))*((1000)-(c_TMAP3OUT))+IF(((1000)-(c_TMAP3OUT))&gt;=0,1,-1)*QUOTIENT(((1000)-(c_TMAP3IN)),2)))&gt;=0,1,0)))</f>
        <v>369</v>
      </c>
      <c r="H492" s="7" t="str">
        <f aca="false">IF(A492&gt;=c_TFWD,IF(AND(A492&gt;=c_TMAP3IN,c_TMAP3IN&lt;1000),"Seg4 map3-100%",IF(AND(A492&gt;=c_TMAP2IN,c_TMAP3IN&gt;c_TMAP2IN),"Seg3 map2-map3",IF(AND(A492&gt;=c_TMAP1IN,c_TMAP2IN&gt;c_TMAP1IN),"Seg2 map1-map2","Seg1 TFWD-map1"))),IF(AND(A492=0,c_TCREEP&gt;0),"Creep",IF(AND(A492&lt;=c_TRNGMIN,A492&gt;=c_TRNGMAX,c_TRNGMIN-c_TRNGMAX&lt;&gt;0),"Regen ramp","Coast (0)")))</f>
        <v>Seg4 map3-100%</v>
      </c>
      <c r="I492" s="7" t="n">
        <f aca="false">IF(A492&gt;=c_TFWD,IF(AND(A492&gt;=c_TMAP3IN,c_TMAP3IN&lt;1000),G492,IF(AND(A492&gt;=c_TMAP2IN,c_TMAP3IN&gt;c_TMAP2IN),F492,IF(AND(A492&gt;=c_TMAP1IN,c_TMAP2IN&gt;c_TMAP1IN),E492,D492))),C492)</f>
        <v>369</v>
      </c>
      <c r="J492" s="7" t="str">
        <f aca="false">IF(I492&lt;-1090,"TOO LOW",IF(I492&gt;1090,"TOO HIGH",""))</f>
        <v/>
      </c>
      <c r="K492" s="15" t="n">
        <f aca="false">IF(J492&lt;&gt;"",0,IF(I492&gt;979,1000,I492))</f>
        <v>369</v>
      </c>
      <c r="L492" s="7" t="n">
        <f aca="false">K492/10</f>
        <v>36.9</v>
      </c>
    </row>
    <row r="493" customFormat="false" ht="15" hidden="false" customHeight="false" outlineLevel="0" collapsed="false">
      <c r="A493" s="7" t="n">
        <v>488</v>
      </c>
      <c r="B493" s="7" t="n">
        <f aca="false">A493/10</f>
        <v>48.8</v>
      </c>
      <c r="C493" s="7" t="n">
        <f aca="false">IF(AND(A493=0,c_TCREEP&gt;0),10*c_TCREEP,IF(AND(A493&lt;=c_TRNGMIN,A493&gt;=c_TRNGMAX,c_TRNGMIN-c_TRNGMAX&lt;&gt;0),-10*c_TMINRN+QUOTIENT((c_TMAXRN-c_TMINRN)*(100-QUOTIENT((A493-c_TRNGMAX)*100,c_TRNGMIN-c_TRNGMAX)),-10),0))</f>
        <v>0</v>
      </c>
      <c r="D493" s="7" t="n">
        <f aca="false">IF(((c_TMAP1IN)-(c_TFWD))=0,(0)+QUOTIENT(((c_TMAP1OUT)-(0)),2),QUOTIENT((((A493)-(c_TFWD))*((c_TMAP1OUT)-(0))+IF(((c_TMAP1OUT)-(0))&gt;=0,1,-1)*QUOTIENT(((c_TMAP1IN)-(c_TFWD)),2)),((c_TMAP1IN)-(c_TFWD)))+(0)+IF(((c_TMAP1OUT)-(0))&gt;=0,IF(IF(o_WRAP=1,MOD(((c_TMAP1IN)-(c_TFWD))*(((A493)-(c_TFWD))*((c_TMAP1OUT)-(0))+IF(((c_TMAP1OUT)-(0))&gt;=0,1,-1)*QUOTIENT(((c_TMAP1IN)-(c_TFWD)),2))+2147483648,4294967296)-2147483648,((c_TMAP1IN)-(c_TFWD))*(((A493)-(c_TFWD))*((c_TMAP1OUT)-(0))+IF(((c_TMAP1OUT)-(0))&gt;=0,1,-1)*QUOTIENT(((c_TMAP1IN)-(c_TFWD)),2)))&lt;0,-1,0),IF(IF(o_WRAP=1,MOD(((c_TMAP1IN)-(c_TFWD))*(((A493)-(c_TFWD))*((c_TMAP1OUT)-(0))+IF(((c_TMAP1OUT)-(0))&gt;=0,1,-1)*QUOTIENT(((c_TMAP1IN)-(c_TFWD)),2))+2147483648,4294967296)-2147483648,((c_TMAP1IN)-(c_TFWD))*(((A493)-(c_TFWD))*((c_TMAP1OUT)-(0))+IF(((c_TMAP1OUT)-(0))&gt;=0,1,-1)*QUOTIENT(((c_TMAP1IN)-(c_TFWD)),2)))&gt;=0,1,0)))</f>
        <v>372</v>
      </c>
      <c r="E493" s="7" t="n">
        <f aca="false">IF(((c_TMAP2IN)-(c_TMAP1IN))=0,(c_TMAP1OUT)+QUOTIENT(((c_TMAP2OUT)-(c_TMAP1OUT)),2),QUOTIENT((((A493)-(c_TMAP1IN))*((c_TMAP2OUT)-(c_TMAP1OUT))+IF(((c_TMAP2OUT)-(c_TMAP1OUT))&gt;=0,1,-1)*QUOTIENT(((c_TMAP2IN)-(c_TMAP1IN)),2)),((c_TMAP2IN)-(c_TMAP1IN)))+(c_TMAP1OUT)+IF(((c_TMAP2OUT)-(c_TMAP1OUT))&gt;=0,IF(IF(o_WRAP=1,MOD(((c_TMAP2IN)-(c_TMAP1IN))*(((A493)-(c_TMAP1IN))*((c_TMAP2OUT)-(c_TMAP1OUT))+IF(((c_TMAP2OUT)-(c_TMAP1OUT))&gt;=0,1,-1)*QUOTIENT(((c_TMAP2IN)-(c_TMAP1IN)),2))+2147483648,4294967296)-2147483648,((c_TMAP2IN)-(c_TMAP1IN))*(((A493)-(c_TMAP1IN))*((c_TMAP2OUT)-(c_TMAP1OUT))+IF(((c_TMAP2OUT)-(c_TMAP1OUT))&gt;=0,1,-1)*QUOTIENT(((c_TMAP2IN)-(c_TMAP1IN)),2)))&lt;0,-1,0),IF(IF(o_WRAP=1,MOD(((c_TMAP2IN)-(c_TMAP1IN))*(((A493)-(c_TMAP1IN))*((c_TMAP2OUT)-(c_TMAP1OUT))+IF(((c_TMAP2OUT)-(c_TMAP1OUT))&gt;=0,1,-1)*QUOTIENT(((c_TMAP2IN)-(c_TMAP1IN)),2))+2147483648,4294967296)-2147483648,((c_TMAP2IN)-(c_TMAP1IN))*(((A493)-(c_TMAP1IN))*((c_TMAP2OUT)-(c_TMAP1OUT))+IF(((c_TMAP2OUT)-(c_TMAP1OUT))&gt;=0,1,-1)*QUOTIENT(((c_TMAP2IN)-(c_TMAP1IN)),2)))&gt;=0,1,0)))</f>
        <v>225</v>
      </c>
      <c r="F493" s="7" t="n">
        <f aca="false">IF(((c_TMAP3IN)-(c_TMAP2IN))=0,(c_TMAP2OUT)+QUOTIENT(((c_TMAP3OUT)-(c_TMAP2OUT)),2),QUOTIENT((((A493)-(c_TMAP2IN))*((c_TMAP3OUT)-(c_TMAP2OUT))+IF(((c_TMAP3OUT)-(c_TMAP2OUT))&gt;=0,1,-1)*QUOTIENT(((c_TMAP3IN)-(c_TMAP2IN)),2)),((c_TMAP3IN)-(c_TMAP2IN)))+(c_TMAP2OUT)+IF(((c_TMAP3OUT)-(c_TMAP2OUT))&gt;=0,IF(IF(o_WRAP=1,MOD(((c_TMAP3IN)-(c_TMAP2IN))*(((A493)-(c_TMAP2IN))*((c_TMAP3OUT)-(c_TMAP2OUT))+IF(((c_TMAP3OUT)-(c_TMAP2OUT))&gt;=0,1,-1)*QUOTIENT(((c_TMAP3IN)-(c_TMAP2IN)),2))+2147483648,4294967296)-2147483648,((c_TMAP3IN)-(c_TMAP2IN))*(((A493)-(c_TMAP2IN))*((c_TMAP3OUT)-(c_TMAP2OUT))+IF(((c_TMAP3OUT)-(c_TMAP2OUT))&gt;=0,1,-1)*QUOTIENT(((c_TMAP3IN)-(c_TMAP2IN)),2)))&lt;0,-1,0),IF(IF(o_WRAP=1,MOD(((c_TMAP3IN)-(c_TMAP2IN))*(((A493)-(c_TMAP2IN))*((c_TMAP3OUT)-(c_TMAP2OUT))+IF(((c_TMAP3OUT)-(c_TMAP2OUT))&gt;=0,1,-1)*QUOTIENT(((c_TMAP3IN)-(c_TMAP2IN)),2))+2147483648,4294967296)-2147483648,((c_TMAP3IN)-(c_TMAP2IN))*(((A493)-(c_TMAP2IN))*((c_TMAP3OUT)-(c_TMAP2OUT))+IF(((c_TMAP3OUT)-(c_TMAP2OUT))&gt;=0,1,-1)*QUOTIENT(((c_TMAP3IN)-(c_TMAP2IN)),2)))&gt;=0,1,0)))</f>
        <v>297</v>
      </c>
      <c r="G493" s="7" t="n">
        <f aca="false">IF(((1000)-(c_TMAP3IN))=0,(c_TMAP3OUT)+QUOTIENT(((1000)-(c_TMAP3OUT)),2),QUOTIENT((((A493)-(c_TMAP3IN))*((1000)-(c_TMAP3OUT))+IF(((1000)-(c_TMAP3OUT))&gt;=0,1,-1)*QUOTIENT(((1000)-(c_TMAP3IN)),2)),((1000)-(c_TMAP3IN)))+(c_TMAP3OUT)+IF(((1000)-(c_TMAP3OUT))&gt;=0,IF(IF(o_WRAP=1,MOD(((1000)-(c_TMAP3IN))*(((A493)-(c_TMAP3IN))*((1000)-(c_TMAP3OUT))+IF(((1000)-(c_TMAP3OUT))&gt;=0,1,-1)*QUOTIENT(((1000)-(c_TMAP3IN)),2))+2147483648,4294967296)-2147483648,((1000)-(c_TMAP3IN))*(((A493)-(c_TMAP3IN))*((1000)-(c_TMAP3OUT))+IF(((1000)-(c_TMAP3OUT))&gt;=0,1,-1)*QUOTIENT(((1000)-(c_TMAP3IN)),2)))&lt;0,-1,0),IF(IF(o_WRAP=1,MOD(((1000)-(c_TMAP3IN))*(((A493)-(c_TMAP3IN))*((1000)-(c_TMAP3OUT))+IF(((1000)-(c_TMAP3OUT))&gt;=0,1,-1)*QUOTIENT(((1000)-(c_TMAP3IN)),2))+2147483648,4294967296)-2147483648,((1000)-(c_TMAP3IN))*(((A493)-(c_TMAP3IN))*((1000)-(c_TMAP3OUT))+IF(((1000)-(c_TMAP3OUT))&gt;=0,1,-1)*QUOTIENT(((1000)-(c_TMAP3IN)),2)))&gt;=0,1,0)))</f>
        <v>370</v>
      </c>
      <c r="H493" s="7" t="str">
        <f aca="false">IF(A493&gt;=c_TFWD,IF(AND(A493&gt;=c_TMAP3IN,c_TMAP3IN&lt;1000),"Seg4 map3-100%",IF(AND(A493&gt;=c_TMAP2IN,c_TMAP3IN&gt;c_TMAP2IN),"Seg3 map2-map3",IF(AND(A493&gt;=c_TMAP1IN,c_TMAP2IN&gt;c_TMAP1IN),"Seg2 map1-map2","Seg1 TFWD-map1"))),IF(AND(A493=0,c_TCREEP&gt;0),"Creep",IF(AND(A493&lt;=c_TRNGMIN,A493&gt;=c_TRNGMAX,c_TRNGMIN-c_TRNGMAX&lt;&gt;0),"Regen ramp","Coast (0)")))</f>
        <v>Seg4 map3-100%</v>
      </c>
      <c r="I493" s="7" t="n">
        <f aca="false">IF(A493&gt;=c_TFWD,IF(AND(A493&gt;=c_TMAP3IN,c_TMAP3IN&lt;1000),G493,IF(AND(A493&gt;=c_TMAP2IN,c_TMAP3IN&gt;c_TMAP2IN),F493,IF(AND(A493&gt;=c_TMAP1IN,c_TMAP2IN&gt;c_TMAP1IN),E493,D493))),C493)</f>
        <v>370</v>
      </c>
      <c r="J493" s="7" t="str">
        <f aca="false">IF(I493&lt;-1090,"TOO LOW",IF(I493&gt;1090,"TOO HIGH",""))</f>
        <v/>
      </c>
      <c r="K493" s="15" t="n">
        <f aca="false">IF(J493&lt;&gt;"",0,IF(I493&gt;979,1000,I493))</f>
        <v>370</v>
      </c>
      <c r="L493" s="7" t="n">
        <f aca="false">K493/10</f>
        <v>37</v>
      </c>
    </row>
    <row r="494" customFormat="false" ht="15" hidden="false" customHeight="false" outlineLevel="0" collapsed="false">
      <c r="A494" s="7" t="n">
        <v>489</v>
      </c>
      <c r="B494" s="7" t="n">
        <f aca="false">A494/10</f>
        <v>48.9</v>
      </c>
      <c r="C494" s="7" t="n">
        <f aca="false">IF(AND(A494=0,c_TCREEP&gt;0),10*c_TCREEP,IF(AND(A494&lt;=c_TRNGMIN,A494&gt;=c_TRNGMAX,c_TRNGMIN-c_TRNGMAX&lt;&gt;0),-10*c_TMINRN+QUOTIENT((c_TMAXRN-c_TMINRN)*(100-QUOTIENT((A494-c_TRNGMAX)*100,c_TRNGMIN-c_TRNGMAX)),-10),0))</f>
        <v>0</v>
      </c>
      <c r="D494" s="7" t="n">
        <f aca="false">IF(((c_TMAP1IN)-(c_TFWD))=0,(0)+QUOTIENT(((c_TMAP1OUT)-(0)),2),QUOTIENT((((A494)-(c_TFWD))*((c_TMAP1OUT)-(0))+IF(((c_TMAP1OUT)-(0))&gt;=0,1,-1)*QUOTIENT(((c_TMAP1IN)-(c_TFWD)),2)),((c_TMAP1IN)-(c_TFWD)))+(0)+IF(((c_TMAP1OUT)-(0))&gt;=0,IF(IF(o_WRAP=1,MOD(((c_TMAP1IN)-(c_TFWD))*(((A494)-(c_TFWD))*((c_TMAP1OUT)-(0))+IF(((c_TMAP1OUT)-(0))&gt;=0,1,-1)*QUOTIENT(((c_TMAP1IN)-(c_TFWD)),2))+2147483648,4294967296)-2147483648,((c_TMAP1IN)-(c_TFWD))*(((A494)-(c_TFWD))*((c_TMAP1OUT)-(0))+IF(((c_TMAP1OUT)-(0))&gt;=0,1,-1)*QUOTIENT(((c_TMAP1IN)-(c_TFWD)),2)))&lt;0,-1,0),IF(IF(o_WRAP=1,MOD(((c_TMAP1IN)-(c_TFWD))*(((A494)-(c_TFWD))*((c_TMAP1OUT)-(0))+IF(((c_TMAP1OUT)-(0))&gt;=0,1,-1)*QUOTIENT(((c_TMAP1IN)-(c_TFWD)),2))+2147483648,4294967296)-2147483648,((c_TMAP1IN)-(c_TFWD))*(((A494)-(c_TFWD))*((c_TMAP1OUT)-(0))+IF(((c_TMAP1OUT)-(0))&gt;=0,1,-1)*QUOTIENT(((c_TMAP1IN)-(c_TFWD)),2)))&gt;=0,1,0)))</f>
        <v>373</v>
      </c>
      <c r="E494" s="7" t="n">
        <f aca="false">IF(((c_TMAP2IN)-(c_TMAP1IN))=0,(c_TMAP1OUT)+QUOTIENT(((c_TMAP2OUT)-(c_TMAP1OUT)),2),QUOTIENT((((A494)-(c_TMAP1IN))*((c_TMAP2OUT)-(c_TMAP1OUT))+IF(((c_TMAP2OUT)-(c_TMAP1OUT))&gt;=0,1,-1)*QUOTIENT(((c_TMAP2IN)-(c_TMAP1IN)),2)),((c_TMAP2IN)-(c_TMAP1IN)))+(c_TMAP1OUT)+IF(((c_TMAP2OUT)-(c_TMAP1OUT))&gt;=0,IF(IF(o_WRAP=1,MOD(((c_TMAP2IN)-(c_TMAP1IN))*(((A494)-(c_TMAP1IN))*((c_TMAP2OUT)-(c_TMAP1OUT))+IF(((c_TMAP2OUT)-(c_TMAP1OUT))&gt;=0,1,-1)*QUOTIENT(((c_TMAP2IN)-(c_TMAP1IN)),2))+2147483648,4294967296)-2147483648,((c_TMAP2IN)-(c_TMAP1IN))*(((A494)-(c_TMAP1IN))*((c_TMAP2OUT)-(c_TMAP1OUT))+IF(((c_TMAP2OUT)-(c_TMAP1OUT))&gt;=0,1,-1)*QUOTIENT(((c_TMAP2IN)-(c_TMAP1IN)),2)))&lt;0,-1,0),IF(IF(o_WRAP=1,MOD(((c_TMAP2IN)-(c_TMAP1IN))*(((A494)-(c_TMAP1IN))*((c_TMAP2OUT)-(c_TMAP1OUT))+IF(((c_TMAP2OUT)-(c_TMAP1OUT))&gt;=0,1,-1)*QUOTIENT(((c_TMAP2IN)-(c_TMAP1IN)),2))+2147483648,4294967296)-2147483648,((c_TMAP2IN)-(c_TMAP1IN))*(((A494)-(c_TMAP1IN))*((c_TMAP2OUT)-(c_TMAP1OUT))+IF(((c_TMAP2OUT)-(c_TMAP1OUT))&gt;=0,1,-1)*QUOTIENT(((c_TMAP2IN)-(c_TMAP1IN)),2)))&gt;=0,1,0)))</f>
        <v>226</v>
      </c>
      <c r="F494" s="7" t="n">
        <f aca="false">IF(((c_TMAP3IN)-(c_TMAP2IN))=0,(c_TMAP2OUT)+QUOTIENT(((c_TMAP3OUT)-(c_TMAP2OUT)),2),QUOTIENT((((A494)-(c_TMAP2IN))*((c_TMAP3OUT)-(c_TMAP2OUT))+IF(((c_TMAP3OUT)-(c_TMAP2OUT))&gt;=0,1,-1)*QUOTIENT(((c_TMAP3IN)-(c_TMAP2IN)),2)),((c_TMAP3IN)-(c_TMAP2IN)))+(c_TMAP2OUT)+IF(((c_TMAP3OUT)-(c_TMAP2OUT))&gt;=0,IF(IF(o_WRAP=1,MOD(((c_TMAP3IN)-(c_TMAP2IN))*(((A494)-(c_TMAP2IN))*((c_TMAP3OUT)-(c_TMAP2OUT))+IF(((c_TMAP3OUT)-(c_TMAP2OUT))&gt;=0,1,-1)*QUOTIENT(((c_TMAP3IN)-(c_TMAP2IN)),2))+2147483648,4294967296)-2147483648,((c_TMAP3IN)-(c_TMAP2IN))*(((A494)-(c_TMAP2IN))*((c_TMAP3OUT)-(c_TMAP2OUT))+IF(((c_TMAP3OUT)-(c_TMAP2OUT))&gt;=0,1,-1)*QUOTIENT(((c_TMAP3IN)-(c_TMAP2IN)),2)))&lt;0,-1,0),IF(IF(o_WRAP=1,MOD(((c_TMAP3IN)-(c_TMAP2IN))*(((A494)-(c_TMAP2IN))*((c_TMAP3OUT)-(c_TMAP2OUT))+IF(((c_TMAP3OUT)-(c_TMAP2OUT))&gt;=0,1,-1)*QUOTIENT(((c_TMAP3IN)-(c_TMAP2IN)),2))+2147483648,4294967296)-2147483648,((c_TMAP3IN)-(c_TMAP2IN))*(((A494)-(c_TMAP2IN))*((c_TMAP3OUT)-(c_TMAP2OUT))+IF(((c_TMAP3OUT)-(c_TMAP2OUT))&gt;=0,1,-1)*QUOTIENT(((c_TMAP3IN)-(c_TMAP2IN)),2)))&gt;=0,1,0)))</f>
        <v>297</v>
      </c>
      <c r="G494" s="7" t="n">
        <f aca="false">IF(((1000)-(c_TMAP3IN))=0,(c_TMAP3OUT)+QUOTIENT(((1000)-(c_TMAP3OUT)),2),QUOTIENT((((A494)-(c_TMAP3IN))*((1000)-(c_TMAP3OUT))+IF(((1000)-(c_TMAP3OUT))&gt;=0,1,-1)*QUOTIENT(((1000)-(c_TMAP3IN)),2)),((1000)-(c_TMAP3IN)))+(c_TMAP3OUT)+IF(((1000)-(c_TMAP3OUT))&gt;=0,IF(IF(o_WRAP=1,MOD(((1000)-(c_TMAP3IN))*(((A494)-(c_TMAP3IN))*((1000)-(c_TMAP3OUT))+IF(((1000)-(c_TMAP3OUT))&gt;=0,1,-1)*QUOTIENT(((1000)-(c_TMAP3IN)),2))+2147483648,4294967296)-2147483648,((1000)-(c_TMAP3IN))*(((A494)-(c_TMAP3IN))*((1000)-(c_TMAP3OUT))+IF(((1000)-(c_TMAP3OUT))&gt;=0,1,-1)*QUOTIENT(((1000)-(c_TMAP3IN)),2)))&lt;0,-1,0),IF(IF(o_WRAP=1,MOD(((1000)-(c_TMAP3IN))*(((A494)-(c_TMAP3IN))*((1000)-(c_TMAP3OUT))+IF(((1000)-(c_TMAP3OUT))&gt;=0,1,-1)*QUOTIENT(((1000)-(c_TMAP3IN)),2))+2147483648,4294967296)-2147483648,((1000)-(c_TMAP3IN))*(((A494)-(c_TMAP3IN))*((1000)-(c_TMAP3OUT))+IF(((1000)-(c_TMAP3OUT))&gt;=0,1,-1)*QUOTIENT(((1000)-(c_TMAP3IN)),2)))&gt;=0,1,0)))</f>
        <v>371</v>
      </c>
      <c r="H494" s="7" t="str">
        <f aca="false">IF(A494&gt;=c_TFWD,IF(AND(A494&gt;=c_TMAP3IN,c_TMAP3IN&lt;1000),"Seg4 map3-100%",IF(AND(A494&gt;=c_TMAP2IN,c_TMAP3IN&gt;c_TMAP2IN),"Seg3 map2-map3",IF(AND(A494&gt;=c_TMAP1IN,c_TMAP2IN&gt;c_TMAP1IN),"Seg2 map1-map2","Seg1 TFWD-map1"))),IF(AND(A494=0,c_TCREEP&gt;0),"Creep",IF(AND(A494&lt;=c_TRNGMIN,A494&gt;=c_TRNGMAX,c_TRNGMIN-c_TRNGMAX&lt;&gt;0),"Regen ramp","Coast (0)")))</f>
        <v>Seg4 map3-100%</v>
      </c>
      <c r="I494" s="7" t="n">
        <f aca="false">IF(A494&gt;=c_TFWD,IF(AND(A494&gt;=c_TMAP3IN,c_TMAP3IN&lt;1000),G494,IF(AND(A494&gt;=c_TMAP2IN,c_TMAP3IN&gt;c_TMAP2IN),F494,IF(AND(A494&gt;=c_TMAP1IN,c_TMAP2IN&gt;c_TMAP1IN),E494,D494))),C494)</f>
        <v>371</v>
      </c>
      <c r="J494" s="7" t="str">
        <f aca="false">IF(I494&lt;-1090,"TOO LOW",IF(I494&gt;1090,"TOO HIGH",""))</f>
        <v/>
      </c>
      <c r="K494" s="15" t="n">
        <f aca="false">IF(J494&lt;&gt;"",0,IF(I494&gt;979,1000,I494))</f>
        <v>371</v>
      </c>
      <c r="L494" s="7" t="n">
        <f aca="false">K494/10</f>
        <v>37.1</v>
      </c>
    </row>
    <row r="495" customFormat="false" ht="15" hidden="false" customHeight="false" outlineLevel="0" collapsed="false">
      <c r="A495" s="7" t="n">
        <v>490</v>
      </c>
      <c r="B495" s="7" t="n">
        <f aca="false">A495/10</f>
        <v>49</v>
      </c>
      <c r="C495" s="7" t="n">
        <f aca="false">IF(AND(A495=0,c_TCREEP&gt;0),10*c_TCREEP,IF(AND(A495&lt;=c_TRNGMIN,A495&gt;=c_TRNGMAX,c_TRNGMIN-c_TRNGMAX&lt;&gt;0),-10*c_TMINRN+QUOTIENT((c_TMAXRN-c_TMINRN)*(100-QUOTIENT((A495-c_TRNGMAX)*100,c_TRNGMIN-c_TRNGMAX)),-10),0))</f>
        <v>0</v>
      </c>
      <c r="D495" s="7" t="n">
        <f aca="false">IF(((c_TMAP1IN)-(c_TFWD))=0,(0)+QUOTIENT(((c_TMAP1OUT)-(0)),2),QUOTIENT((((A495)-(c_TFWD))*((c_TMAP1OUT)-(0))+IF(((c_TMAP1OUT)-(0))&gt;=0,1,-1)*QUOTIENT(((c_TMAP1IN)-(c_TFWD)),2)),((c_TMAP1IN)-(c_TFWD)))+(0)+IF(((c_TMAP1OUT)-(0))&gt;=0,IF(IF(o_WRAP=1,MOD(((c_TMAP1IN)-(c_TFWD))*(((A495)-(c_TFWD))*((c_TMAP1OUT)-(0))+IF(((c_TMAP1OUT)-(0))&gt;=0,1,-1)*QUOTIENT(((c_TMAP1IN)-(c_TFWD)),2))+2147483648,4294967296)-2147483648,((c_TMAP1IN)-(c_TFWD))*(((A495)-(c_TFWD))*((c_TMAP1OUT)-(0))+IF(((c_TMAP1OUT)-(0))&gt;=0,1,-1)*QUOTIENT(((c_TMAP1IN)-(c_TFWD)),2)))&lt;0,-1,0),IF(IF(o_WRAP=1,MOD(((c_TMAP1IN)-(c_TFWD))*(((A495)-(c_TFWD))*((c_TMAP1OUT)-(0))+IF(((c_TMAP1OUT)-(0))&gt;=0,1,-1)*QUOTIENT(((c_TMAP1IN)-(c_TFWD)),2))+2147483648,4294967296)-2147483648,((c_TMAP1IN)-(c_TFWD))*(((A495)-(c_TFWD))*((c_TMAP1OUT)-(0))+IF(((c_TMAP1OUT)-(0))&gt;=0,1,-1)*QUOTIENT(((c_TMAP1IN)-(c_TFWD)),2)))&gt;=0,1,0)))</f>
        <v>373</v>
      </c>
      <c r="E495" s="7" t="n">
        <f aca="false">IF(((c_TMAP2IN)-(c_TMAP1IN))=0,(c_TMAP1OUT)+QUOTIENT(((c_TMAP2OUT)-(c_TMAP1OUT)),2),QUOTIENT((((A495)-(c_TMAP1IN))*((c_TMAP2OUT)-(c_TMAP1OUT))+IF(((c_TMAP2OUT)-(c_TMAP1OUT))&gt;=0,1,-1)*QUOTIENT(((c_TMAP2IN)-(c_TMAP1IN)),2)),((c_TMAP2IN)-(c_TMAP1IN)))+(c_TMAP1OUT)+IF(((c_TMAP2OUT)-(c_TMAP1OUT))&gt;=0,IF(IF(o_WRAP=1,MOD(((c_TMAP2IN)-(c_TMAP1IN))*(((A495)-(c_TMAP1IN))*((c_TMAP2OUT)-(c_TMAP1OUT))+IF(((c_TMAP2OUT)-(c_TMAP1OUT))&gt;=0,1,-1)*QUOTIENT(((c_TMAP2IN)-(c_TMAP1IN)),2))+2147483648,4294967296)-2147483648,((c_TMAP2IN)-(c_TMAP1IN))*(((A495)-(c_TMAP1IN))*((c_TMAP2OUT)-(c_TMAP1OUT))+IF(((c_TMAP2OUT)-(c_TMAP1OUT))&gt;=0,1,-1)*QUOTIENT(((c_TMAP2IN)-(c_TMAP1IN)),2)))&lt;0,-1,0),IF(IF(o_WRAP=1,MOD(((c_TMAP2IN)-(c_TMAP1IN))*(((A495)-(c_TMAP1IN))*((c_TMAP2OUT)-(c_TMAP1OUT))+IF(((c_TMAP2OUT)-(c_TMAP1OUT))&gt;=0,1,-1)*QUOTIENT(((c_TMAP2IN)-(c_TMAP1IN)),2))+2147483648,4294967296)-2147483648,((c_TMAP2IN)-(c_TMAP1IN))*(((A495)-(c_TMAP1IN))*((c_TMAP2OUT)-(c_TMAP1OUT))+IF(((c_TMAP2OUT)-(c_TMAP1OUT))&gt;=0,1,-1)*QUOTIENT(((c_TMAP2IN)-(c_TMAP1IN)),2)))&gt;=0,1,0)))</f>
        <v>226</v>
      </c>
      <c r="F495" s="7" t="n">
        <f aca="false">IF(((c_TMAP3IN)-(c_TMAP2IN))=0,(c_TMAP2OUT)+QUOTIENT(((c_TMAP3OUT)-(c_TMAP2OUT)),2),QUOTIENT((((A495)-(c_TMAP2IN))*((c_TMAP3OUT)-(c_TMAP2OUT))+IF(((c_TMAP3OUT)-(c_TMAP2OUT))&gt;=0,1,-1)*QUOTIENT(((c_TMAP3IN)-(c_TMAP2IN)),2)),((c_TMAP3IN)-(c_TMAP2IN)))+(c_TMAP2OUT)+IF(((c_TMAP3OUT)-(c_TMAP2OUT))&gt;=0,IF(IF(o_WRAP=1,MOD(((c_TMAP3IN)-(c_TMAP2IN))*(((A495)-(c_TMAP2IN))*((c_TMAP3OUT)-(c_TMAP2OUT))+IF(((c_TMAP3OUT)-(c_TMAP2OUT))&gt;=0,1,-1)*QUOTIENT(((c_TMAP3IN)-(c_TMAP2IN)),2))+2147483648,4294967296)-2147483648,((c_TMAP3IN)-(c_TMAP2IN))*(((A495)-(c_TMAP2IN))*((c_TMAP3OUT)-(c_TMAP2OUT))+IF(((c_TMAP3OUT)-(c_TMAP2OUT))&gt;=0,1,-1)*QUOTIENT(((c_TMAP3IN)-(c_TMAP2IN)),2)))&lt;0,-1,0),IF(IF(o_WRAP=1,MOD(((c_TMAP3IN)-(c_TMAP2IN))*(((A495)-(c_TMAP2IN))*((c_TMAP3OUT)-(c_TMAP2OUT))+IF(((c_TMAP3OUT)-(c_TMAP2OUT))&gt;=0,1,-1)*QUOTIENT(((c_TMAP3IN)-(c_TMAP2IN)),2))+2147483648,4294967296)-2147483648,((c_TMAP3IN)-(c_TMAP2IN))*(((A495)-(c_TMAP2IN))*((c_TMAP3OUT)-(c_TMAP2OUT))+IF(((c_TMAP3OUT)-(c_TMAP2OUT))&gt;=0,1,-1)*QUOTIENT(((c_TMAP3IN)-(c_TMAP2IN)),2)))&gt;=0,1,0)))</f>
        <v>298</v>
      </c>
      <c r="G495" s="7" t="n">
        <f aca="false">IF(((1000)-(c_TMAP3IN))=0,(c_TMAP3OUT)+QUOTIENT(((1000)-(c_TMAP3OUT)),2),QUOTIENT((((A495)-(c_TMAP3IN))*((1000)-(c_TMAP3OUT))+IF(((1000)-(c_TMAP3OUT))&gt;=0,1,-1)*QUOTIENT(((1000)-(c_TMAP3IN)),2)),((1000)-(c_TMAP3IN)))+(c_TMAP3OUT)+IF(((1000)-(c_TMAP3OUT))&gt;=0,IF(IF(o_WRAP=1,MOD(((1000)-(c_TMAP3IN))*(((A495)-(c_TMAP3IN))*((1000)-(c_TMAP3OUT))+IF(((1000)-(c_TMAP3OUT))&gt;=0,1,-1)*QUOTIENT(((1000)-(c_TMAP3IN)),2))+2147483648,4294967296)-2147483648,((1000)-(c_TMAP3IN))*(((A495)-(c_TMAP3IN))*((1000)-(c_TMAP3OUT))+IF(((1000)-(c_TMAP3OUT))&gt;=0,1,-1)*QUOTIENT(((1000)-(c_TMAP3IN)),2)))&lt;0,-1,0),IF(IF(o_WRAP=1,MOD(((1000)-(c_TMAP3IN))*(((A495)-(c_TMAP3IN))*((1000)-(c_TMAP3OUT))+IF(((1000)-(c_TMAP3OUT))&gt;=0,1,-1)*QUOTIENT(((1000)-(c_TMAP3IN)),2))+2147483648,4294967296)-2147483648,((1000)-(c_TMAP3IN))*(((A495)-(c_TMAP3IN))*((1000)-(c_TMAP3OUT))+IF(((1000)-(c_TMAP3OUT))&gt;=0,1,-1)*QUOTIENT(((1000)-(c_TMAP3IN)),2)))&gt;=0,1,0)))</f>
        <v>372</v>
      </c>
      <c r="H495" s="7" t="str">
        <f aca="false">IF(A495&gt;=c_TFWD,IF(AND(A495&gt;=c_TMAP3IN,c_TMAP3IN&lt;1000),"Seg4 map3-100%",IF(AND(A495&gt;=c_TMAP2IN,c_TMAP3IN&gt;c_TMAP2IN),"Seg3 map2-map3",IF(AND(A495&gt;=c_TMAP1IN,c_TMAP2IN&gt;c_TMAP1IN),"Seg2 map1-map2","Seg1 TFWD-map1"))),IF(AND(A495=0,c_TCREEP&gt;0),"Creep",IF(AND(A495&lt;=c_TRNGMIN,A495&gt;=c_TRNGMAX,c_TRNGMIN-c_TRNGMAX&lt;&gt;0),"Regen ramp","Coast (0)")))</f>
        <v>Seg4 map3-100%</v>
      </c>
      <c r="I495" s="7" t="n">
        <f aca="false">IF(A495&gt;=c_TFWD,IF(AND(A495&gt;=c_TMAP3IN,c_TMAP3IN&lt;1000),G495,IF(AND(A495&gt;=c_TMAP2IN,c_TMAP3IN&gt;c_TMAP2IN),F495,IF(AND(A495&gt;=c_TMAP1IN,c_TMAP2IN&gt;c_TMAP1IN),E495,D495))),C495)</f>
        <v>372</v>
      </c>
      <c r="J495" s="7" t="str">
        <f aca="false">IF(I495&lt;-1090,"TOO LOW",IF(I495&gt;1090,"TOO HIGH",""))</f>
        <v/>
      </c>
      <c r="K495" s="15" t="n">
        <f aca="false">IF(J495&lt;&gt;"",0,IF(I495&gt;979,1000,I495))</f>
        <v>372</v>
      </c>
      <c r="L495" s="7" t="n">
        <f aca="false">K495/10</f>
        <v>37.2</v>
      </c>
    </row>
    <row r="496" customFormat="false" ht="15" hidden="false" customHeight="false" outlineLevel="0" collapsed="false">
      <c r="A496" s="7" t="n">
        <v>491</v>
      </c>
      <c r="B496" s="7" t="n">
        <f aca="false">A496/10</f>
        <v>49.1</v>
      </c>
      <c r="C496" s="7" t="n">
        <f aca="false">IF(AND(A496=0,c_TCREEP&gt;0),10*c_TCREEP,IF(AND(A496&lt;=c_TRNGMIN,A496&gt;=c_TRNGMAX,c_TRNGMIN-c_TRNGMAX&lt;&gt;0),-10*c_TMINRN+QUOTIENT((c_TMAXRN-c_TMINRN)*(100-QUOTIENT((A496-c_TRNGMAX)*100,c_TRNGMIN-c_TRNGMAX)),-10),0))</f>
        <v>0</v>
      </c>
      <c r="D496" s="7" t="n">
        <f aca="false">IF(((c_TMAP1IN)-(c_TFWD))=0,(0)+QUOTIENT(((c_TMAP1OUT)-(0)),2),QUOTIENT((((A496)-(c_TFWD))*((c_TMAP1OUT)-(0))+IF(((c_TMAP1OUT)-(0))&gt;=0,1,-1)*QUOTIENT(((c_TMAP1IN)-(c_TFWD)),2)),((c_TMAP1IN)-(c_TFWD)))+(0)+IF(((c_TMAP1OUT)-(0))&gt;=0,IF(IF(o_WRAP=1,MOD(((c_TMAP1IN)-(c_TFWD))*(((A496)-(c_TFWD))*((c_TMAP1OUT)-(0))+IF(((c_TMAP1OUT)-(0))&gt;=0,1,-1)*QUOTIENT(((c_TMAP1IN)-(c_TFWD)),2))+2147483648,4294967296)-2147483648,((c_TMAP1IN)-(c_TFWD))*(((A496)-(c_TFWD))*((c_TMAP1OUT)-(0))+IF(((c_TMAP1OUT)-(0))&gt;=0,1,-1)*QUOTIENT(((c_TMAP1IN)-(c_TFWD)),2)))&lt;0,-1,0),IF(IF(o_WRAP=1,MOD(((c_TMAP1IN)-(c_TFWD))*(((A496)-(c_TFWD))*((c_TMAP1OUT)-(0))+IF(((c_TMAP1OUT)-(0))&gt;=0,1,-1)*QUOTIENT(((c_TMAP1IN)-(c_TFWD)),2))+2147483648,4294967296)-2147483648,((c_TMAP1IN)-(c_TFWD))*(((A496)-(c_TFWD))*((c_TMAP1OUT)-(0))+IF(((c_TMAP1OUT)-(0))&gt;=0,1,-1)*QUOTIENT(((c_TMAP1IN)-(c_TFWD)),2)))&gt;=0,1,0)))</f>
        <v>374</v>
      </c>
      <c r="E496" s="7" t="n">
        <f aca="false">IF(((c_TMAP2IN)-(c_TMAP1IN))=0,(c_TMAP1OUT)+QUOTIENT(((c_TMAP2OUT)-(c_TMAP1OUT)),2),QUOTIENT((((A496)-(c_TMAP1IN))*((c_TMAP2OUT)-(c_TMAP1OUT))+IF(((c_TMAP2OUT)-(c_TMAP1OUT))&gt;=0,1,-1)*QUOTIENT(((c_TMAP2IN)-(c_TMAP1IN)),2)),((c_TMAP2IN)-(c_TMAP1IN)))+(c_TMAP1OUT)+IF(((c_TMAP2OUT)-(c_TMAP1OUT))&gt;=0,IF(IF(o_WRAP=1,MOD(((c_TMAP2IN)-(c_TMAP1IN))*(((A496)-(c_TMAP1IN))*((c_TMAP2OUT)-(c_TMAP1OUT))+IF(((c_TMAP2OUT)-(c_TMAP1OUT))&gt;=0,1,-1)*QUOTIENT(((c_TMAP2IN)-(c_TMAP1IN)),2))+2147483648,4294967296)-2147483648,((c_TMAP2IN)-(c_TMAP1IN))*(((A496)-(c_TMAP1IN))*((c_TMAP2OUT)-(c_TMAP1OUT))+IF(((c_TMAP2OUT)-(c_TMAP1OUT))&gt;=0,1,-1)*QUOTIENT(((c_TMAP2IN)-(c_TMAP1IN)),2)))&lt;0,-1,0),IF(IF(o_WRAP=1,MOD(((c_TMAP2IN)-(c_TMAP1IN))*(((A496)-(c_TMAP1IN))*((c_TMAP2OUT)-(c_TMAP1OUT))+IF(((c_TMAP2OUT)-(c_TMAP1OUT))&gt;=0,1,-1)*QUOTIENT(((c_TMAP2IN)-(c_TMAP1IN)),2))+2147483648,4294967296)-2147483648,((c_TMAP2IN)-(c_TMAP1IN))*(((A496)-(c_TMAP1IN))*((c_TMAP2OUT)-(c_TMAP1OUT))+IF(((c_TMAP2OUT)-(c_TMAP1OUT))&gt;=0,1,-1)*QUOTIENT(((c_TMAP2IN)-(c_TMAP1IN)),2)))&gt;=0,1,0)))</f>
        <v>226</v>
      </c>
      <c r="F496" s="7" t="n">
        <f aca="false">IF(((c_TMAP3IN)-(c_TMAP2IN))=0,(c_TMAP2OUT)+QUOTIENT(((c_TMAP3OUT)-(c_TMAP2OUT)),2),QUOTIENT((((A496)-(c_TMAP2IN))*((c_TMAP3OUT)-(c_TMAP2OUT))+IF(((c_TMAP3OUT)-(c_TMAP2OUT))&gt;=0,1,-1)*QUOTIENT(((c_TMAP3IN)-(c_TMAP2IN)),2)),((c_TMAP3IN)-(c_TMAP2IN)))+(c_TMAP2OUT)+IF(((c_TMAP3OUT)-(c_TMAP2OUT))&gt;=0,IF(IF(o_WRAP=1,MOD(((c_TMAP3IN)-(c_TMAP2IN))*(((A496)-(c_TMAP2IN))*((c_TMAP3OUT)-(c_TMAP2OUT))+IF(((c_TMAP3OUT)-(c_TMAP2OUT))&gt;=0,1,-1)*QUOTIENT(((c_TMAP3IN)-(c_TMAP2IN)),2))+2147483648,4294967296)-2147483648,((c_TMAP3IN)-(c_TMAP2IN))*(((A496)-(c_TMAP2IN))*((c_TMAP3OUT)-(c_TMAP2OUT))+IF(((c_TMAP3OUT)-(c_TMAP2OUT))&gt;=0,1,-1)*QUOTIENT(((c_TMAP3IN)-(c_TMAP2IN)),2)))&lt;0,-1,0),IF(IF(o_WRAP=1,MOD(((c_TMAP3IN)-(c_TMAP2IN))*(((A496)-(c_TMAP2IN))*((c_TMAP3OUT)-(c_TMAP2OUT))+IF(((c_TMAP3OUT)-(c_TMAP2OUT))&gt;=0,1,-1)*QUOTIENT(((c_TMAP3IN)-(c_TMAP2IN)),2))+2147483648,4294967296)-2147483648,((c_TMAP3IN)-(c_TMAP2IN))*(((A496)-(c_TMAP2IN))*((c_TMAP3OUT)-(c_TMAP2OUT))+IF(((c_TMAP3OUT)-(c_TMAP2OUT))&gt;=0,1,-1)*QUOTIENT(((c_TMAP3IN)-(c_TMAP2IN)),2)))&gt;=0,1,0)))</f>
        <v>299</v>
      </c>
      <c r="G496" s="7" t="n">
        <f aca="false">IF(((1000)-(c_TMAP3IN))=0,(c_TMAP3OUT)+QUOTIENT(((1000)-(c_TMAP3OUT)),2),QUOTIENT((((A496)-(c_TMAP3IN))*((1000)-(c_TMAP3OUT))+IF(((1000)-(c_TMAP3OUT))&gt;=0,1,-1)*QUOTIENT(((1000)-(c_TMAP3IN)),2)),((1000)-(c_TMAP3IN)))+(c_TMAP3OUT)+IF(((1000)-(c_TMAP3OUT))&gt;=0,IF(IF(o_WRAP=1,MOD(((1000)-(c_TMAP3IN))*(((A496)-(c_TMAP3IN))*((1000)-(c_TMAP3OUT))+IF(((1000)-(c_TMAP3OUT))&gt;=0,1,-1)*QUOTIENT(((1000)-(c_TMAP3IN)),2))+2147483648,4294967296)-2147483648,((1000)-(c_TMAP3IN))*(((A496)-(c_TMAP3IN))*((1000)-(c_TMAP3OUT))+IF(((1000)-(c_TMAP3OUT))&gt;=0,1,-1)*QUOTIENT(((1000)-(c_TMAP3IN)),2)))&lt;0,-1,0),IF(IF(o_WRAP=1,MOD(((1000)-(c_TMAP3IN))*(((A496)-(c_TMAP3IN))*((1000)-(c_TMAP3OUT))+IF(((1000)-(c_TMAP3OUT))&gt;=0,1,-1)*QUOTIENT(((1000)-(c_TMAP3IN)),2))+2147483648,4294967296)-2147483648,((1000)-(c_TMAP3IN))*(((A496)-(c_TMAP3IN))*((1000)-(c_TMAP3OUT))+IF(((1000)-(c_TMAP3OUT))&gt;=0,1,-1)*QUOTIENT(((1000)-(c_TMAP3IN)),2)))&gt;=0,1,0)))</f>
        <v>374</v>
      </c>
      <c r="H496" s="7" t="str">
        <f aca="false">IF(A496&gt;=c_TFWD,IF(AND(A496&gt;=c_TMAP3IN,c_TMAP3IN&lt;1000),"Seg4 map3-100%",IF(AND(A496&gt;=c_TMAP2IN,c_TMAP3IN&gt;c_TMAP2IN),"Seg3 map2-map3",IF(AND(A496&gt;=c_TMAP1IN,c_TMAP2IN&gt;c_TMAP1IN),"Seg2 map1-map2","Seg1 TFWD-map1"))),IF(AND(A496=0,c_TCREEP&gt;0),"Creep",IF(AND(A496&lt;=c_TRNGMIN,A496&gt;=c_TRNGMAX,c_TRNGMIN-c_TRNGMAX&lt;&gt;0),"Regen ramp","Coast (0)")))</f>
        <v>Seg4 map3-100%</v>
      </c>
      <c r="I496" s="7" t="n">
        <f aca="false">IF(A496&gt;=c_TFWD,IF(AND(A496&gt;=c_TMAP3IN,c_TMAP3IN&lt;1000),G496,IF(AND(A496&gt;=c_TMAP2IN,c_TMAP3IN&gt;c_TMAP2IN),F496,IF(AND(A496&gt;=c_TMAP1IN,c_TMAP2IN&gt;c_TMAP1IN),E496,D496))),C496)</f>
        <v>374</v>
      </c>
      <c r="J496" s="7" t="str">
        <f aca="false">IF(I496&lt;-1090,"TOO LOW",IF(I496&gt;1090,"TOO HIGH",""))</f>
        <v/>
      </c>
      <c r="K496" s="15" t="n">
        <f aca="false">IF(J496&lt;&gt;"",0,IF(I496&gt;979,1000,I496))</f>
        <v>374</v>
      </c>
      <c r="L496" s="7" t="n">
        <f aca="false">K496/10</f>
        <v>37.4</v>
      </c>
    </row>
    <row r="497" customFormat="false" ht="15" hidden="false" customHeight="false" outlineLevel="0" collapsed="false">
      <c r="A497" s="7" t="n">
        <v>492</v>
      </c>
      <c r="B497" s="7" t="n">
        <f aca="false">A497/10</f>
        <v>49.2</v>
      </c>
      <c r="C497" s="7" t="n">
        <f aca="false">IF(AND(A497=0,c_TCREEP&gt;0),10*c_TCREEP,IF(AND(A497&lt;=c_TRNGMIN,A497&gt;=c_TRNGMAX,c_TRNGMIN-c_TRNGMAX&lt;&gt;0),-10*c_TMINRN+QUOTIENT((c_TMAXRN-c_TMINRN)*(100-QUOTIENT((A497-c_TRNGMAX)*100,c_TRNGMIN-c_TRNGMAX)),-10),0))</f>
        <v>0</v>
      </c>
      <c r="D497" s="7" t="n">
        <f aca="false">IF(((c_TMAP1IN)-(c_TFWD))=0,(0)+QUOTIENT(((c_TMAP1OUT)-(0)),2),QUOTIENT((((A497)-(c_TFWD))*((c_TMAP1OUT)-(0))+IF(((c_TMAP1OUT)-(0))&gt;=0,1,-1)*QUOTIENT(((c_TMAP1IN)-(c_TFWD)),2)),((c_TMAP1IN)-(c_TFWD)))+(0)+IF(((c_TMAP1OUT)-(0))&gt;=0,IF(IF(o_WRAP=1,MOD(((c_TMAP1IN)-(c_TFWD))*(((A497)-(c_TFWD))*((c_TMAP1OUT)-(0))+IF(((c_TMAP1OUT)-(0))&gt;=0,1,-1)*QUOTIENT(((c_TMAP1IN)-(c_TFWD)),2))+2147483648,4294967296)-2147483648,((c_TMAP1IN)-(c_TFWD))*(((A497)-(c_TFWD))*((c_TMAP1OUT)-(0))+IF(((c_TMAP1OUT)-(0))&gt;=0,1,-1)*QUOTIENT(((c_TMAP1IN)-(c_TFWD)),2)))&lt;0,-1,0),IF(IF(o_WRAP=1,MOD(((c_TMAP1IN)-(c_TFWD))*(((A497)-(c_TFWD))*((c_TMAP1OUT)-(0))+IF(((c_TMAP1OUT)-(0))&gt;=0,1,-1)*QUOTIENT(((c_TMAP1IN)-(c_TFWD)),2))+2147483648,4294967296)-2147483648,((c_TMAP1IN)-(c_TFWD))*(((A497)-(c_TFWD))*((c_TMAP1OUT)-(0))+IF(((c_TMAP1OUT)-(0))&gt;=0,1,-1)*QUOTIENT(((c_TMAP1IN)-(c_TFWD)),2)))&gt;=0,1,0)))</f>
        <v>375</v>
      </c>
      <c r="E497" s="7" t="n">
        <f aca="false">IF(((c_TMAP2IN)-(c_TMAP1IN))=0,(c_TMAP1OUT)+QUOTIENT(((c_TMAP2OUT)-(c_TMAP1OUT)),2),QUOTIENT((((A497)-(c_TMAP1IN))*((c_TMAP2OUT)-(c_TMAP1OUT))+IF(((c_TMAP2OUT)-(c_TMAP1OUT))&gt;=0,1,-1)*QUOTIENT(((c_TMAP2IN)-(c_TMAP1IN)),2)),((c_TMAP2IN)-(c_TMAP1IN)))+(c_TMAP1OUT)+IF(((c_TMAP2OUT)-(c_TMAP1OUT))&gt;=0,IF(IF(o_WRAP=1,MOD(((c_TMAP2IN)-(c_TMAP1IN))*(((A497)-(c_TMAP1IN))*((c_TMAP2OUT)-(c_TMAP1OUT))+IF(((c_TMAP2OUT)-(c_TMAP1OUT))&gt;=0,1,-1)*QUOTIENT(((c_TMAP2IN)-(c_TMAP1IN)),2))+2147483648,4294967296)-2147483648,((c_TMAP2IN)-(c_TMAP1IN))*(((A497)-(c_TMAP1IN))*((c_TMAP2OUT)-(c_TMAP1OUT))+IF(((c_TMAP2OUT)-(c_TMAP1OUT))&gt;=0,1,-1)*QUOTIENT(((c_TMAP2IN)-(c_TMAP1IN)),2)))&lt;0,-1,0),IF(IF(o_WRAP=1,MOD(((c_TMAP2IN)-(c_TMAP1IN))*(((A497)-(c_TMAP1IN))*((c_TMAP2OUT)-(c_TMAP1OUT))+IF(((c_TMAP2OUT)-(c_TMAP1OUT))&gt;=0,1,-1)*QUOTIENT(((c_TMAP2IN)-(c_TMAP1IN)),2))+2147483648,4294967296)-2147483648,((c_TMAP2IN)-(c_TMAP1IN))*(((A497)-(c_TMAP1IN))*((c_TMAP2OUT)-(c_TMAP1OUT))+IF(((c_TMAP2OUT)-(c_TMAP1OUT))&gt;=0,1,-1)*QUOTIENT(((c_TMAP2IN)-(c_TMAP1IN)),2)))&gt;=0,1,0)))</f>
        <v>227</v>
      </c>
      <c r="F497" s="7" t="n">
        <f aca="false">IF(((c_TMAP3IN)-(c_TMAP2IN))=0,(c_TMAP2OUT)+QUOTIENT(((c_TMAP3OUT)-(c_TMAP2OUT)),2),QUOTIENT((((A497)-(c_TMAP2IN))*((c_TMAP3OUT)-(c_TMAP2OUT))+IF(((c_TMAP3OUT)-(c_TMAP2OUT))&gt;=0,1,-1)*QUOTIENT(((c_TMAP3IN)-(c_TMAP2IN)),2)),((c_TMAP3IN)-(c_TMAP2IN)))+(c_TMAP2OUT)+IF(((c_TMAP3OUT)-(c_TMAP2OUT))&gt;=0,IF(IF(o_WRAP=1,MOD(((c_TMAP3IN)-(c_TMAP2IN))*(((A497)-(c_TMAP2IN))*((c_TMAP3OUT)-(c_TMAP2OUT))+IF(((c_TMAP3OUT)-(c_TMAP2OUT))&gt;=0,1,-1)*QUOTIENT(((c_TMAP3IN)-(c_TMAP2IN)),2))+2147483648,4294967296)-2147483648,((c_TMAP3IN)-(c_TMAP2IN))*(((A497)-(c_TMAP2IN))*((c_TMAP3OUT)-(c_TMAP2OUT))+IF(((c_TMAP3OUT)-(c_TMAP2OUT))&gt;=0,1,-1)*QUOTIENT(((c_TMAP3IN)-(c_TMAP2IN)),2)))&lt;0,-1,0),IF(IF(o_WRAP=1,MOD(((c_TMAP3IN)-(c_TMAP2IN))*(((A497)-(c_TMAP2IN))*((c_TMAP3OUT)-(c_TMAP2OUT))+IF(((c_TMAP3OUT)-(c_TMAP2OUT))&gt;=0,1,-1)*QUOTIENT(((c_TMAP3IN)-(c_TMAP2IN)),2))+2147483648,4294967296)-2147483648,((c_TMAP3IN)-(c_TMAP2IN))*(((A497)-(c_TMAP2IN))*((c_TMAP3OUT)-(c_TMAP2OUT))+IF(((c_TMAP3OUT)-(c_TMAP2OUT))&gt;=0,1,-1)*QUOTIENT(((c_TMAP3IN)-(c_TMAP2IN)),2)))&gt;=0,1,0)))</f>
        <v>299</v>
      </c>
      <c r="G497" s="7" t="n">
        <f aca="false">IF(((1000)-(c_TMAP3IN))=0,(c_TMAP3OUT)+QUOTIENT(((1000)-(c_TMAP3OUT)),2),QUOTIENT((((A497)-(c_TMAP3IN))*((1000)-(c_TMAP3OUT))+IF(((1000)-(c_TMAP3OUT))&gt;=0,1,-1)*QUOTIENT(((1000)-(c_TMAP3IN)),2)),((1000)-(c_TMAP3IN)))+(c_TMAP3OUT)+IF(((1000)-(c_TMAP3OUT))&gt;=0,IF(IF(o_WRAP=1,MOD(((1000)-(c_TMAP3IN))*(((A497)-(c_TMAP3IN))*((1000)-(c_TMAP3OUT))+IF(((1000)-(c_TMAP3OUT))&gt;=0,1,-1)*QUOTIENT(((1000)-(c_TMAP3IN)),2))+2147483648,4294967296)-2147483648,((1000)-(c_TMAP3IN))*(((A497)-(c_TMAP3IN))*((1000)-(c_TMAP3OUT))+IF(((1000)-(c_TMAP3OUT))&gt;=0,1,-1)*QUOTIENT(((1000)-(c_TMAP3IN)),2)))&lt;0,-1,0),IF(IF(o_WRAP=1,MOD(((1000)-(c_TMAP3IN))*(((A497)-(c_TMAP3IN))*((1000)-(c_TMAP3OUT))+IF(((1000)-(c_TMAP3OUT))&gt;=0,1,-1)*QUOTIENT(((1000)-(c_TMAP3IN)),2))+2147483648,4294967296)-2147483648,((1000)-(c_TMAP3IN))*(((A497)-(c_TMAP3IN))*((1000)-(c_TMAP3OUT))+IF(((1000)-(c_TMAP3OUT))&gt;=0,1,-1)*QUOTIENT(((1000)-(c_TMAP3IN)),2)))&gt;=0,1,0)))</f>
        <v>375</v>
      </c>
      <c r="H497" s="7" t="str">
        <f aca="false">IF(A497&gt;=c_TFWD,IF(AND(A497&gt;=c_TMAP3IN,c_TMAP3IN&lt;1000),"Seg4 map3-100%",IF(AND(A497&gt;=c_TMAP2IN,c_TMAP3IN&gt;c_TMAP2IN),"Seg3 map2-map3",IF(AND(A497&gt;=c_TMAP1IN,c_TMAP2IN&gt;c_TMAP1IN),"Seg2 map1-map2","Seg1 TFWD-map1"))),IF(AND(A497=0,c_TCREEP&gt;0),"Creep",IF(AND(A497&lt;=c_TRNGMIN,A497&gt;=c_TRNGMAX,c_TRNGMIN-c_TRNGMAX&lt;&gt;0),"Regen ramp","Coast (0)")))</f>
        <v>Seg4 map3-100%</v>
      </c>
      <c r="I497" s="7" t="n">
        <f aca="false">IF(A497&gt;=c_TFWD,IF(AND(A497&gt;=c_TMAP3IN,c_TMAP3IN&lt;1000),G497,IF(AND(A497&gt;=c_TMAP2IN,c_TMAP3IN&gt;c_TMAP2IN),F497,IF(AND(A497&gt;=c_TMAP1IN,c_TMAP2IN&gt;c_TMAP1IN),E497,D497))),C497)</f>
        <v>375</v>
      </c>
      <c r="J497" s="7" t="str">
        <f aca="false">IF(I497&lt;-1090,"TOO LOW",IF(I497&gt;1090,"TOO HIGH",""))</f>
        <v/>
      </c>
      <c r="K497" s="15" t="n">
        <f aca="false">IF(J497&lt;&gt;"",0,IF(I497&gt;979,1000,I497))</f>
        <v>375</v>
      </c>
      <c r="L497" s="7" t="n">
        <f aca="false">K497/10</f>
        <v>37.5</v>
      </c>
    </row>
    <row r="498" customFormat="false" ht="15" hidden="false" customHeight="false" outlineLevel="0" collapsed="false">
      <c r="A498" s="7" t="n">
        <v>493</v>
      </c>
      <c r="B498" s="7" t="n">
        <f aca="false">A498/10</f>
        <v>49.3</v>
      </c>
      <c r="C498" s="7" t="n">
        <f aca="false">IF(AND(A498=0,c_TCREEP&gt;0),10*c_TCREEP,IF(AND(A498&lt;=c_TRNGMIN,A498&gt;=c_TRNGMAX,c_TRNGMIN-c_TRNGMAX&lt;&gt;0),-10*c_TMINRN+QUOTIENT((c_TMAXRN-c_TMINRN)*(100-QUOTIENT((A498-c_TRNGMAX)*100,c_TRNGMIN-c_TRNGMAX)),-10),0))</f>
        <v>0</v>
      </c>
      <c r="D498" s="7" t="n">
        <f aca="false">IF(((c_TMAP1IN)-(c_TFWD))=0,(0)+QUOTIENT(((c_TMAP1OUT)-(0)),2),QUOTIENT((((A498)-(c_TFWD))*((c_TMAP1OUT)-(0))+IF(((c_TMAP1OUT)-(0))&gt;=0,1,-1)*QUOTIENT(((c_TMAP1IN)-(c_TFWD)),2)),((c_TMAP1IN)-(c_TFWD)))+(0)+IF(((c_TMAP1OUT)-(0))&gt;=0,IF(IF(o_WRAP=1,MOD(((c_TMAP1IN)-(c_TFWD))*(((A498)-(c_TFWD))*((c_TMAP1OUT)-(0))+IF(((c_TMAP1OUT)-(0))&gt;=0,1,-1)*QUOTIENT(((c_TMAP1IN)-(c_TFWD)),2))+2147483648,4294967296)-2147483648,((c_TMAP1IN)-(c_TFWD))*(((A498)-(c_TFWD))*((c_TMAP1OUT)-(0))+IF(((c_TMAP1OUT)-(0))&gt;=0,1,-1)*QUOTIENT(((c_TMAP1IN)-(c_TFWD)),2)))&lt;0,-1,0),IF(IF(o_WRAP=1,MOD(((c_TMAP1IN)-(c_TFWD))*(((A498)-(c_TFWD))*((c_TMAP1OUT)-(0))+IF(((c_TMAP1OUT)-(0))&gt;=0,1,-1)*QUOTIENT(((c_TMAP1IN)-(c_TFWD)),2))+2147483648,4294967296)-2147483648,((c_TMAP1IN)-(c_TFWD))*(((A498)-(c_TFWD))*((c_TMAP1OUT)-(0))+IF(((c_TMAP1OUT)-(0))&gt;=0,1,-1)*QUOTIENT(((c_TMAP1IN)-(c_TFWD)),2)))&gt;=0,1,0)))</f>
        <v>376</v>
      </c>
      <c r="E498" s="7" t="n">
        <f aca="false">IF(((c_TMAP2IN)-(c_TMAP1IN))=0,(c_TMAP1OUT)+QUOTIENT(((c_TMAP2OUT)-(c_TMAP1OUT)),2),QUOTIENT((((A498)-(c_TMAP1IN))*((c_TMAP2OUT)-(c_TMAP1OUT))+IF(((c_TMAP2OUT)-(c_TMAP1OUT))&gt;=0,1,-1)*QUOTIENT(((c_TMAP2IN)-(c_TMAP1IN)),2)),((c_TMAP2IN)-(c_TMAP1IN)))+(c_TMAP1OUT)+IF(((c_TMAP2OUT)-(c_TMAP1OUT))&gt;=0,IF(IF(o_WRAP=1,MOD(((c_TMAP2IN)-(c_TMAP1IN))*(((A498)-(c_TMAP1IN))*((c_TMAP2OUT)-(c_TMAP1OUT))+IF(((c_TMAP2OUT)-(c_TMAP1OUT))&gt;=0,1,-1)*QUOTIENT(((c_TMAP2IN)-(c_TMAP1IN)),2))+2147483648,4294967296)-2147483648,((c_TMAP2IN)-(c_TMAP1IN))*(((A498)-(c_TMAP1IN))*((c_TMAP2OUT)-(c_TMAP1OUT))+IF(((c_TMAP2OUT)-(c_TMAP1OUT))&gt;=0,1,-1)*QUOTIENT(((c_TMAP2IN)-(c_TMAP1IN)),2)))&lt;0,-1,0),IF(IF(o_WRAP=1,MOD(((c_TMAP2IN)-(c_TMAP1IN))*(((A498)-(c_TMAP1IN))*((c_TMAP2OUT)-(c_TMAP1OUT))+IF(((c_TMAP2OUT)-(c_TMAP1OUT))&gt;=0,1,-1)*QUOTIENT(((c_TMAP2IN)-(c_TMAP1IN)),2))+2147483648,4294967296)-2147483648,((c_TMAP2IN)-(c_TMAP1IN))*(((A498)-(c_TMAP1IN))*((c_TMAP2OUT)-(c_TMAP1OUT))+IF(((c_TMAP2OUT)-(c_TMAP1OUT))&gt;=0,1,-1)*QUOTIENT(((c_TMAP2IN)-(c_TMAP1IN)),2)))&gt;=0,1,0)))</f>
        <v>227</v>
      </c>
      <c r="F498" s="7" t="n">
        <f aca="false">IF(((c_TMAP3IN)-(c_TMAP2IN))=0,(c_TMAP2OUT)+QUOTIENT(((c_TMAP3OUT)-(c_TMAP2OUT)),2),QUOTIENT((((A498)-(c_TMAP2IN))*((c_TMAP3OUT)-(c_TMAP2OUT))+IF(((c_TMAP3OUT)-(c_TMAP2OUT))&gt;=0,1,-1)*QUOTIENT(((c_TMAP3IN)-(c_TMAP2IN)),2)),((c_TMAP3IN)-(c_TMAP2IN)))+(c_TMAP2OUT)+IF(((c_TMAP3OUT)-(c_TMAP2OUT))&gt;=0,IF(IF(o_WRAP=1,MOD(((c_TMAP3IN)-(c_TMAP2IN))*(((A498)-(c_TMAP2IN))*((c_TMAP3OUT)-(c_TMAP2OUT))+IF(((c_TMAP3OUT)-(c_TMAP2OUT))&gt;=0,1,-1)*QUOTIENT(((c_TMAP3IN)-(c_TMAP2IN)),2))+2147483648,4294967296)-2147483648,((c_TMAP3IN)-(c_TMAP2IN))*(((A498)-(c_TMAP2IN))*((c_TMAP3OUT)-(c_TMAP2OUT))+IF(((c_TMAP3OUT)-(c_TMAP2OUT))&gt;=0,1,-1)*QUOTIENT(((c_TMAP3IN)-(c_TMAP2IN)),2)))&lt;0,-1,0),IF(IF(o_WRAP=1,MOD(((c_TMAP3IN)-(c_TMAP2IN))*(((A498)-(c_TMAP2IN))*((c_TMAP3OUT)-(c_TMAP2OUT))+IF(((c_TMAP3OUT)-(c_TMAP2OUT))&gt;=0,1,-1)*QUOTIENT(((c_TMAP3IN)-(c_TMAP2IN)),2))+2147483648,4294967296)-2147483648,((c_TMAP3IN)-(c_TMAP2IN))*(((A498)-(c_TMAP2IN))*((c_TMAP3OUT)-(c_TMAP2OUT))+IF(((c_TMAP3OUT)-(c_TMAP2OUT))&gt;=0,1,-1)*QUOTIENT(((c_TMAP3IN)-(c_TMAP2IN)),2)))&gt;=0,1,0)))</f>
        <v>300</v>
      </c>
      <c r="G498" s="7" t="n">
        <f aca="false">IF(((1000)-(c_TMAP3IN))=0,(c_TMAP3OUT)+QUOTIENT(((1000)-(c_TMAP3OUT)),2),QUOTIENT((((A498)-(c_TMAP3IN))*((1000)-(c_TMAP3OUT))+IF(((1000)-(c_TMAP3OUT))&gt;=0,1,-1)*QUOTIENT(((1000)-(c_TMAP3IN)),2)),((1000)-(c_TMAP3IN)))+(c_TMAP3OUT)+IF(((1000)-(c_TMAP3OUT))&gt;=0,IF(IF(o_WRAP=1,MOD(((1000)-(c_TMAP3IN))*(((A498)-(c_TMAP3IN))*((1000)-(c_TMAP3OUT))+IF(((1000)-(c_TMAP3OUT))&gt;=0,1,-1)*QUOTIENT(((1000)-(c_TMAP3IN)),2))+2147483648,4294967296)-2147483648,((1000)-(c_TMAP3IN))*(((A498)-(c_TMAP3IN))*((1000)-(c_TMAP3OUT))+IF(((1000)-(c_TMAP3OUT))&gt;=0,1,-1)*QUOTIENT(((1000)-(c_TMAP3IN)),2)))&lt;0,-1,0),IF(IF(o_WRAP=1,MOD(((1000)-(c_TMAP3IN))*(((A498)-(c_TMAP3IN))*((1000)-(c_TMAP3OUT))+IF(((1000)-(c_TMAP3OUT))&gt;=0,1,-1)*QUOTIENT(((1000)-(c_TMAP3IN)),2))+2147483648,4294967296)-2147483648,((1000)-(c_TMAP3IN))*(((A498)-(c_TMAP3IN))*((1000)-(c_TMAP3OUT))+IF(((1000)-(c_TMAP3OUT))&gt;=0,1,-1)*QUOTIENT(((1000)-(c_TMAP3IN)),2)))&gt;=0,1,0)))</f>
        <v>376</v>
      </c>
      <c r="H498" s="7" t="str">
        <f aca="false">IF(A498&gt;=c_TFWD,IF(AND(A498&gt;=c_TMAP3IN,c_TMAP3IN&lt;1000),"Seg4 map3-100%",IF(AND(A498&gt;=c_TMAP2IN,c_TMAP3IN&gt;c_TMAP2IN),"Seg3 map2-map3",IF(AND(A498&gt;=c_TMAP1IN,c_TMAP2IN&gt;c_TMAP1IN),"Seg2 map1-map2","Seg1 TFWD-map1"))),IF(AND(A498=0,c_TCREEP&gt;0),"Creep",IF(AND(A498&lt;=c_TRNGMIN,A498&gt;=c_TRNGMAX,c_TRNGMIN-c_TRNGMAX&lt;&gt;0),"Regen ramp","Coast (0)")))</f>
        <v>Seg4 map3-100%</v>
      </c>
      <c r="I498" s="7" t="n">
        <f aca="false">IF(A498&gt;=c_TFWD,IF(AND(A498&gt;=c_TMAP3IN,c_TMAP3IN&lt;1000),G498,IF(AND(A498&gt;=c_TMAP2IN,c_TMAP3IN&gt;c_TMAP2IN),F498,IF(AND(A498&gt;=c_TMAP1IN,c_TMAP2IN&gt;c_TMAP1IN),E498,D498))),C498)</f>
        <v>376</v>
      </c>
      <c r="J498" s="7" t="str">
        <f aca="false">IF(I498&lt;-1090,"TOO LOW",IF(I498&gt;1090,"TOO HIGH",""))</f>
        <v/>
      </c>
      <c r="K498" s="15" t="n">
        <f aca="false">IF(J498&lt;&gt;"",0,IF(I498&gt;979,1000,I498))</f>
        <v>376</v>
      </c>
      <c r="L498" s="7" t="n">
        <f aca="false">K498/10</f>
        <v>37.6</v>
      </c>
    </row>
    <row r="499" customFormat="false" ht="15" hidden="false" customHeight="false" outlineLevel="0" collapsed="false">
      <c r="A499" s="7" t="n">
        <v>494</v>
      </c>
      <c r="B499" s="7" t="n">
        <f aca="false">A499/10</f>
        <v>49.4</v>
      </c>
      <c r="C499" s="7" t="n">
        <f aca="false">IF(AND(A499=0,c_TCREEP&gt;0),10*c_TCREEP,IF(AND(A499&lt;=c_TRNGMIN,A499&gt;=c_TRNGMAX,c_TRNGMIN-c_TRNGMAX&lt;&gt;0),-10*c_TMINRN+QUOTIENT((c_TMAXRN-c_TMINRN)*(100-QUOTIENT((A499-c_TRNGMAX)*100,c_TRNGMIN-c_TRNGMAX)),-10),0))</f>
        <v>0</v>
      </c>
      <c r="D499" s="7" t="n">
        <f aca="false">IF(((c_TMAP1IN)-(c_TFWD))=0,(0)+QUOTIENT(((c_TMAP1OUT)-(0)),2),QUOTIENT((((A499)-(c_TFWD))*((c_TMAP1OUT)-(0))+IF(((c_TMAP1OUT)-(0))&gt;=0,1,-1)*QUOTIENT(((c_TMAP1IN)-(c_TFWD)),2)),((c_TMAP1IN)-(c_TFWD)))+(0)+IF(((c_TMAP1OUT)-(0))&gt;=0,IF(IF(o_WRAP=1,MOD(((c_TMAP1IN)-(c_TFWD))*(((A499)-(c_TFWD))*((c_TMAP1OUT)-(0))+IF(((c_TMAP1OUT)-(0))&gt;=0,1,-1)*QUOTIENT(((c_TMAP1IN)-(c_TFWD)),2))+2147483648,4294967296)-2147483648,((c_TMAP1IN)-(c_TFWD))*(((A499)-(c_TFWD))*((c_TMAP1OUT)-(0))+IF(((c_TMAP1OUT)-(0))&gt;=0,1,-1)*QUOTIENT(((c_TMAP1IN)-(c_TFWD)),2)))&lt;0,-1,0),IF(IF(o_WRAP=1,MOD(((c_TMAP1IN)-(c_TFWD))*(((A499)-(c_TFWD))*((c_TMAP1OUT)-(0))+IF(((c_TMAP1OUT)-(0))&gt;=0,1,-1)*QUOTIENT(((c_TMAP1IN)-(c_TFWD)),2))+2147483648,4294967296)-2147483648,((c_TMAP1IN)-(c_TFWD))*(((A499)-(c_TFWD))*((c_TMAP1OUT)-(0))+IF(((c_TMAP1OUT)-(0))&gt;=0,1,-1)*QUOTIENT(((c_TMAP1IN)-(c_TFWD)),2)))&gt;=0,1,0)))</f>
        <v>376</v>
      </c>
      <c r="E499" s="7" t="n">
        <f aca="false">IF(((c_TMAP2IN)-(c_TMAP1IN))=0,(c_TMAP1OUT)+QUOTIENT(((c_TMAP2OUT)-(c_TMAP1OUT)),2),QUOTIENT((((A499)-(c_TMAP1IN))*((c_TMAP2OUT)-(c_TMAP1OUT))+IF(((c_TMAP2OUT)-(c_TMAP1OUT))&gt;=0,1,-1)*QUOTIENT(((c_TMAP2IN)-(c_TMAP1IN)),2)),((c_TMAP2IN)-(c_TMAP1IN)))+(c_TMAP1OUT)+IF(((c_TMAP2OUT)-(c_TMAP1OUT))&gt;=0,IF(IF(o_WRAP=1,MOD(((c_TMAP2IN)-(c_TMAP1IN))*(((A499)-(c_TMAP1IN))*((c_TMAP2OUT)-(c_TMAP1OUT))+IF(((c_TMAP2OUT)-(c_TMAP1OUT))&gt;=0,1,-1)*QUOTIENT(((c_TMAP2IN)-(c_TMAP1IN)),2))+2147483648,4294967296)-2147483648,((c_TMAP2IN)-(c_TMAP1IN))*(((A499)-(c_TMAP1IN))*((c_TMAP2OUT)-(c_TMAP1OUT))+IF(((c_TMAP2OUT)-(c_TMAP1OUT))&gt;=0,1,-1)*QUOTIENT(((c_TMAP2IN)-(c_TMAP1IN)),2)))&lt;0,-1,0),IF(IF(o_WRAP=1,MOD(((c_TMAP2IN)-(c_TMAP1IN))*(((A499)-(c_TMAP1IN))*((c_TMAP2OUT)-(c_TMAP1OUT))+IF(((c_TMAP2OUT)-(c_TMAP1OUT))&gt;=0,1,-1)*QUOTIENT(((c_TMAP2IN)-(c_TMAP1IN)),2))+2147483648,4294967296)-2147483648,((c_TMAP2IN)-(c_TMAP1IN))*(((A499)-(c_TMAP1IN))*((c_TMAP2OUT)-(c_TMAP1OUT))+IF(((c_TMAP2OUT)-(c_TMAP1OUT))&gt;=0,1,-1)*QUOTIENT(((c_TMAP2IN)-(c_TMAP1IN)),2)))&gt;=0,1,0)))</f>
        <v>228</v>
      </c>
      <c r="F499" s="7" t="n">
        <f aca="false">IF(((c_TMAP3IN)-(c_TMAP2IN))=0,(c_TMAP2OUT)+QUOTIENT(((c_TMAP3OUT)-(c_TMAP2OUT)),2),QUOTIENT((((A499)-(c_TMAP2IN))*((c_TMAP3OUT)-(c_TMAP2OUT))+IF(((c_TMAP3OUT)-(c_TMAP2OUT))&gt;=0,1,-1)*QUOTIENT(((c_TMAP3IN)-(c_TMAP2IN)),2)),((c_TMAP3IN)-(c_TMAP2IN)))+(c_TMAP2OUT)+IF(((c_TMAP3OUT)-(c_TMAP2OUT))&gt;=0,IF(IF(o_WRAP=1,MOD(((c_TMAP3IN)-(c_TMAP2IN))*(((A499)-(c_TMAP2IN))*((c_TMAP3OUT)-(c_TMAP2OUT))+IF(((c_TMAP3OUT)-(c_TMAP2OUT))&gt;=0,1,-1)*QUOTIENT(((c_TMAP3IN)-(c_TMAP2IN)),2))+2147483648,4294967296)-2147483648,((c_TMAP3IN)-(c_TMAP2IN))*(((A499)-(c_TMAP2IN))*((c_TMAP3OUT)-(c_TMAP2OUT))+IF(((c_TMAP3OUT)-(c_TMAP2OUT))&gt;=0,1,-1)*QUOTIENT(((c_TMAP3IN)-(c_TMAP2IN)),2)))&lt;0,-1,0),IF(IF(o_WRAP=1,MOD(((c_TMAP3IN)-(c_TMAP2IN))*(((A499)-(c_TMAP2IN))*((c_TMAP3OUT)-(c_TMAP2OUT))+IF(((c_TMAP3OUT)-(c_TMAP2OUT))&gt;=0,1,-1)*QUOTIENT(((c_TMAP3IN)-(c_TMAP2IN)),2))+2147483648,4294967296)-2147483648,((c_TMAP3IN)-(c_TMAP2IN))*(((A499)-(c_TMAP2IN))*((c_TMAP3OUT)-(c_TMAP2OUT))+IF(((c_TMAP3OUT)-(c_TMAP2OUT))&gt;=0,1,-1)*QUOTIENT(((c_TMAP3IN)-(c_TMAP2IN)),2)))&gt;=0,1,0)))</f>
        <v>301</v>
      </c>
      <c r="G499" s="7" t="n">
        <f aca="false">IF(((1000)-(c_TMAP3IN))=0,(c_TMAP3OUT)+QUOTIENT(((1000)-(c_TMAP3OUT)),2),QUOTIENT((((A499)-(c_TMAP3IN))*((1000)-(c_TMAP3OUT))+IF(((1000)-(c_TMAP3OUT))&gt;=0,1,-1)*QUOTIENT(((1000)-(c_TMAP3IN)),2)),((1000)-(c_TMAP3IN)))+(c_TMAP3OUT)+IF(((1000)-(c_TMAP3OUT))&gt;=0,IF(IF(o_WRAP=1,MOD(((1000)-(c_TMAP3IN))*(((A499)-(c_TMAP3IN))*((1000)-(c_TMAP3OUT))+IF(((1000)-(c_TMAP3OUT))&gt;=0,1,-1)*QUOTIENT(((1000)-(c_TMAP3IN)),2))+2147483648,4294967296)-2147483648,((1000)-(c_TMAP3IN))*(((A499)-(c_TMAP3IN))*((1000)-(c_TMAP3OUT))+IF(((1000)-(c_TMAP3OUT))&gt;=0,1,-1)*QUOTIENT(((1000)-(c_TMAP3IN)),2)))&lt;0,-1,0),IF(IF(o_WRAP=1,MOD(((1000)-(c_TMAP3IN))*(((A499)-(c_TMAP3IN))*((1000)-(c_TMAP3OUT))+IF(((1000)-(c_TMAP3OUT))&gt;=0,1,-1)*QUOTIENT(((1000)-(c_TMAP3IN)),2))+2147483648,4294967296)-2147483648,((1000)-(c_TMAP3IN))*(((A499)-(c_TMAP3IN))*((1000)-(c_TMAP3OUT))+IF(((1000)-(c_TMAP3OUT))&gt;=0,1,-1)*QUOTIENT(((1000)-(c_TMAP3IN)),2)))&gt;=0,1,0)))</f>
        <v>377</v>
      </c>
      <c r="H499" s="7" t="str">
        <f aca="false">IF(A499&gt;=c_TFWD,IF(AND(A499&gt;=c_TMAP3IN,c_TMAP3IN&lt;1000),"Seg4 map3-100%",IF(AND(A499&gt;=c_TMAP2IN,c_TMAP3IN&gt;c_TMAP2IN),"Seg3 map2-map3",IF(AND(A499&gt;=c_TMAP1IN,c_TMAP2IN&gt;c_TMAP1IN),"Seg2 map1-map2","Seg1 TFWD-map1"))),IF(AND(A499=0,c_TCREEP&gt;0),"Creep",IF(AND(A499&lt;=c_TRNGMIN,A499&gt;=c_TRNGMAX,c_TRNGMIN-c_TRNGMAX&lt;&gt;0),"Regen ramp","Coast (0)")))</f>
        <v>Seg4 map3-100%</v>
      </c>
      <c r="I499" s="7" t="n">
        <f aca="false">IF(A499&gt;=c_TFWD,IF(AND(A499&gt;=c_TMAP3IN,c_TMAP3IN&lt;1000),G499,IF(AND(A499&gt;=c_TMAP2IN,c_TMAP3IN&gt;c_TMAP2IN),F499,IF(AND(A499&gt;=c_TMAP1IN,c_TMAP2IN&gt;c_TMAP1IN),E499,D499))),C499)</f>
        <v>377</v>
      </c>
      <c r="J499" s="7" t="str">
        <f aca="false">IF(I499&lt;-1090,"TOO LOW",IF(I499&gt;1090,"TOO HIGH",""))</f>
        <v/>
      </c>
      <c r="K499" s="15" t="n">
        <f aca="false">IF(J499&lt;&gt;"",0,IF(I499&gt;979,1000,I499))</f>
        <v>377</v>
      </c>
      <c r="L499" s="7" t="n">
        <f aca="false">K499/10</f>
        <v>37.7</v>
      </c>
    </row>
    <row r="500" customFormat="false" ht="15" hidden="false" customHeight="false" outlineLevel="0" collapsed="false">
      <c r="A500" s="7" t="n">
        <v>495</v>
      </c>
      <c r="B500" s="7" t="n">
        <f aca="false">A500/10</f>
        <v>49.5</v>
      </c>
      <c r="C500" s="7" t="n">
        <f aca="false">IF(AND(A500=0,c_TCREEP&gt;0),10*c_TCREEP,IF(AND(A500&lt;=c_TRNGMIN,A500&gt;=c_TRNGMAX,c_TRNGMIN-c_TRNGMAX&lt;&gt;0),-10*c_TMINRN+QUOTIENT((c_TMAXRN-c_TMINRN)*(100-QUOTIENT((A500-c_TRNGMAX)*100,c_TRNGMIN-c_TRNGMAX)),-10),0))</f>
        <v>0</v>
      </c>
      <c r="D500" s="7" t="n">
        <f aca="false">IF(((c_TMAP1IN)-(c_TFWD))=0,(0)+QUOTIENT(((c_TMAP1OUT)-(0)),2),QUOTIENT((((A500)-(c_TFWD))*((c_TMAP1OUT)-(0))+IF(((c_TMAP1OUT)-(0))&gt;=0,1,-1)*QUOTIENT(((c_TMAP1IN)-(c_TFWD)),2)),((c_TMAP1IN)-(c_TFWD)))+(0)+IF(((c_TMAP1OUT)-(0))&gt;=0,IF(IF(o_WRAP=1,MOD(((c_TMAP1IN)-(c_TFWD))*(((A500)-(c_TFWD))*((c_TMAP1OUT)-(0))+IF(((c_TMAP1OUT)-(0))&gt;=0,1,-1)*QUOTIENT(((c_TMAP1IN)-(c_TFWD)),2))+2147483648,4294967296)-2147483648,((c_TMAP1IN)-(c_TFWD))*(((A500)-(c_TFWD))*((c_TMAP1OUT)-(0))+IF(((c_TMAP1OUT)-(0))&gt;=0,1,-1)*QUOTIENT(((c_TMAP1IN)-(c_TFWD)),2)))&lt;0,-1,0),IF(IF(o_WRAP=1,MOD(((c_TMAP1IN)-(c_TFWD))*(((A500)-(c_TFWD))*((c_TMAP1OUT)-(0))+IF(((c_TMAP1OUT)-(0))&gt;=0,1,-1)*QUOTIENT(((c_TMAP1IN)-(c_TFWD)),2))+2147483648,4294967296)-2147483648,((c_TMAP1IN)-(c_TFWD))*(((A500)-(c_TFWD))*((c_TMAP1OUT)-(0))+IF(((c_TMAP1OUT)-(0))&gt;=0,1,-1)*QUOTIENT(((c_TMAP1IN)-(c_TFWD)),2)))&gt;=0,1,0)))</f>
        <v>377</v>
      </c>
      <c r="E500" s="7" t="n">
        <f aca="false">IF(((c_TMAP2IN)-(c_TMAP1IN))=0,(c_TMAP1OUT)+QUOTIENT(((c_TMAP2OUT)-(c_TMAP1OUT)),2),QUOTIENT((((A500)-(c_TMAP1IN))*((c_TMAP2OUT)-(c_TMAP1OUT))+IF(((c_TMAP2OUT)-(c_TMAP1OUT))&gt;=0,1,-1)*QUOTIENT(((c_TMAP2IN)-(c_TMAP1IN)),2)),((c_TMAP2IN)-(c_TMAP1IN)))+(c_TMAP1OUT)+IF(((c_TMAP2OUT)-(c_TMAP1OUT))&gt;=0,IF(IF(o_WRAP=1,MOD(((c_TMAP2IN)-(c_TMAP1IN))*(((A500)-(c_TMAP1IN))*((c_TMAP2OUT)-(c_TMAP1OUT))+IF(((c_TMAP2OUT)-(c_TMAP1OUT))&gt;=0,1,-1)*QUOTIENT(((c_TMAP2IN)-(c_TMAP1IN)),2))+2147483648,4294967296)-2147483648,((c_TMAP2IN)-(c_TMAP1IN))*(((A500)-(c_TMAP1IN))*((c_TMAP2OUT)-(c_TMAP1OUT))+IF(((c_TMAP2OUT)-(c_TMAP1OUT))&gt;=0,1,-1)*QUOTIENT(((c_TMAP2IN)-(c_TMAP1IN)),2)))&lt;0,-1,0),IF(IF(o_WRAP=1,MOD(((c_TMAP2IN)-(c_TMAP1IN))*(((A500)-(c_TMAP1IN))*((c_TMAP2OUT)-(c_TMAP1OUT))+IF(((c_TMAP2OUT)-(c_TMAP1OUT))&gt;=0,1,-1)*QUOTIENT(((c_TMAP2IN)-(c_TMAP1IN)),2))+2147483648,4294967296)-2147483648,((c_TMAP2IN)-(c_TMAP1IN))*(((A500)-(c_TMAP1IN))*((c_TMAP2OUT)-(c_TMAP1OUT))+IF(((c_TMAP2OUT)-(c_TMAP1OUT))&gt;=0,1,-1)*QUOTIENT(((c_TMAP2IN)-(c_TMAP1IN)),2)))&gt;=0,1,0)))</f>
        <v>228</v>
      </c>
      <c r="F500" s="7" t="n">
        <f aca="false">IF(((c_TMAP3IN)-(c_TMAP2IN))=0,(c_TMAP2OUT)+QUOTIENT(((c_TMAP3OUT)-(c_TMAP2OUT)),2),QUOTIENT((((A500)-(c_TMAP2IN))*((c_TMAP3OUT)-(c_TMAP2OUT))+IF(((c_TMAP3OUT)-(c_TMAP2OUT))&gt;=0,1,-1)*QUOTIENT(((c_TMAP3IN)-(c_TMAP2IN)),2)),((c_TMAP3IN)-(c_TMAP2IN)))+(c_TMAP2OUT)+IF(((c_TMAP3OUT)-(c_TMAP2OUT))&gt;=0,IF(IF(o_WRAP=1,MOD(((c_TMAP3IN)-(c_TMAP2IN))*(((A500)-(c_TMAP2IN))*((c_TMAP3OUT)-(c_TMAP2OUT))+IF(((c_TMAP3OUT)-(c_TMAP2OUT))&gt;=0,1,-1)*QUOTIENT(((c_TMAP3IN)-(c_TMAP2IN)),2))+2147483648,4294967296)-2147483648,((c_TMAP3IN)-(c_TMAP2IN))*(((A500)-(c_TMAP2IN))*((c_TMAP3OUT)-(c_TMAP2OUT))+IF(((c_TMAP3OUT)-(c_TMAP2OUT))&gt;=0,1,-1)*QUOTIENT(((c_TMAP3IN)-(c_TMAP2IN)),2)))&lt;0,-1,0),IF(IF(o_WRAP=1,MOD(((c_TMAP3IN)-(c_TMAP2IN))*(((A500)-(c_TMAP2IN))*((c_TMAP3OUT)-(c_TMAP2OUT))+IF(((c_TMAP3OUT)-(c_TMAP2OUT))&gt;=0,1,-1)*QUOTIENT(((c_TMAP3IN)-(c_TMAP2IN)),2))+2147483648,4294967296)-2147483648,((c_TMAP3IN)-(c_TMAP2IN))*(((A500)-(c_TMAP2IN))*((c_TMAP3OUT)-(c_TMAP2OUT))+IF(((c_TMAP3OUT)-(c_TMAP2OUT))&gt;=0,1,-1)*QUOTIENT(((c_TMAP3IN)-(c_TMAP2IN)),2)))&gt;=0,1,0)))</f>
        <v>302</v>
      </c>
      <c r="G500" s="7" t="n">
        <f aca="false">IF(((1000)-(c_TMAP3IN))=0,(c_TMAP3OUT)+QUOTIENT(((1000)-(c_TMAP3OUT)),2),QUOTIENT((((A500)-(c_TMAP3IN))*((1000)-(c_TMAP3OUT))+IF(((1000)-(c_TMAP3OUT))&gt;=0,1,-1)*QUOTIENT(((1000)-(c_TMAP3IN)),2)),((1000)-(c_TMAP3IN)))+(c_TMAP3OUT)+IF(((1000)-(c_TMAP3OUT))&gt;=0,IF(IF(o_WRAP=1,MOD(((1000)-(c_TMAP3IN))*(((A500)-(c_TMAP3IN))*((1000)-(c_TMAP3OUT))+IF(((1000)-(c_TMAP3OUT))&gt;=0,1,-1)*QUOTIENT(((1000)-(c_TMAP3IN)),2))+2147483648,4294967296)-2147483648,((1000)-(c_TMAP3IN))*(((A500)-(c_TMAP3IN))*((1000)-(c_TMAP3OUT))+IF(((1000)-(c_TMAP3OUT))&gt;=0,1,-1)*QUOTIENT(((1000)-(c_TMAP3IN)),2)))&lt;0,-1,0),IF(IF(o_WRAP=1,MOD(((1000)-(c_TMAP3IN))*(((A500)-(c_TMAP3IN))*((1000)-(c_TMAP3OUT))+IF(((1000)-(c_TMAP3OUT))&gt;=0,1,-1)*QUOTIENT(((1000)-(c_TMAP3IN)),2))+2147483648,4294967296)-2147483648,((1000)-(c_TMAP3IN))*(((A500)-(c_TMAP3IN))*((1000)-(c_TMAP3OUT))+IF(((1000)-(c_TMAP3OUT))&gt;=0,1,-1)*QUOTIENT(((1000)-(c_TMAP3IN)),2)))&gt;=0,1,0)))</f>
        <v>378</v>
      </c>
      <c r="H500" s="7" t="str">
        <f aca="false">IF(A500&gt;=c_TFWD,IF(AND(A500&gt;=c_TMAP3IN,c_TMAP3IN&lt;1000),"Seg4 map3-100%",IF(AND(A500&gt;=c_TMAP2IN,c_TMAP3IN&gt;c_TMAP2IN),"Seg3 map2-map3",IF(AND(A500&gt;=c_TMAP1IN,c_TMAP2IN&gt;c_TMAP1IN),"Seg2 map1-map2","Seg1 TFWD-map1"))),IF(AND(A500=0,c_TCREEP&gt;0),"Creep",IF(AND(A500&lt;=c_TRNGMIN,A500&gt;=c_TRNGMAX,c_TRNGMIN-c_TRNGMAX&lt;&gt;0),"Regen ramp","Coast (0)")))</f>
        <v>Seg4 map3-100%</v>
      </c>
      <c r="I500" s="7" t="n">
        <f aca="false">IF(A500&gt;=c_TFWD,IF(AND(A500&gt;=c_TMAP3IN,c_TMAP3IN&lt;1000),G500,IF(AND(A500&gt;=c_TMAP2IN,c_TMAP3IN&gt;c_TMAP2IN),F500,IF(AND(A500&gt;=c_TMAP1IN,c_TMAP2IN&gt;c_TMAP1IN),E500,D500))),C500)</f>
        <v>378</v>
      </c>
      <c r="J500" s="7" t="str">
        <f aca="false">IF(I500&lt;-1090,"TOO LOW",IF(I500&gt;1090,"TOO HIGH",""))</f>
        <v/>
      </c>
      <c r="K500" s="15" t="n">
        <f aca="false">IF(J500&lt;&gt;"",0,IF(I500&gt;979,1000,I500))</f>
        <v>378</v>
      </c>
      <c r="L500" s="7" t="n">
        <f aca="false">K500/10</f>
        <v>37.8</v>
      </c>
    </row>
    <row r="501" customFormat="false" ht="15" hidden="false" customHeight="false" outlineLevel="0" collapsed="false">
      <c r="A501" s="7" t="n">
        <v>496</v>
      </c>
      <c r="B501" s="7" t="n">
        <f aca="false">A501/10</f>
        <v>49.6</v>
      </c>
      <c r="C501" s="7" t="n">
        <f aca="false">IF(AND(A501=0,c_TCREEP&gt;0),10*c_TCREEP,IF(AND(A501&lt;=c_TRNGMIN,A501&gt;=c_TRNGMAX,c_TRNGMIN-c_TRNGMAX&lt;&gt;0),-10*c_TMINRN+QUOTIENT((c_TMAXRN-c_TMINRN)*(100-QUOTIENT((A501-c_TRNGMAX)*100,c_TRNGMIN-c_TRNGMAX)),-10),0))</f>
        <v>0</v>
      </c>
      <c r="D501" s="7" t="n">
        <f aca="false">IF(((c_TMAP1IN)-(c_TFWD))=0,(0)+QUOTIENT(((c_TMAP1OUT)-(0)),2),QUOTIENT((((A501)-(c_TFWD))*((c_TMAP1OUT)-(0))+IF(((c_TMAP1OUT)-(0))&gt;=0,1,-1)*QUOTIENT(((c_TMAP1IN)-(c_TFWD)),2)),((c_TMAP1IN)-(c_TFWD)))+(0)+IF(((c_TMAP1OUT)-(0))&gt;=0,IF(IF(o_WRAP=1,MOD(((c_TMAP1IN)-(c_TFWD))*(((A501)-(c_TFWD))*((c_TMAP1OUT)-(0))+IF(((c_TMAP1OUT)-(0))&gt;=0,1,-1)*QUOTIENT(((c_TMAP1IN)-(c_TFWD)),2))+2147483648,4294967296)-2147483648,((c_TMAP1IN)-(c_TFWD))*(((A501)-(c_TFWD))*((c_TMAP1OUT)-(0))+IF(((c_TMAP1OUT)-(0))&gt;=0,1,-1)*QUOTIENT(((c_TMAP1IN)-(c_TFWD)),2)))&lt;0,-1,0),IF(IF(o_WRAP=1,MOD(((c_TMAP1IN)-(c_TFWD))*(((A501)-(c_TFWD))*((c_TMAP1OUT)-(0))+IF(((c_TMAP1OUT)-(0))&gt;=0,1,-1)*QUOTIENT(((c_TMAP1IN)-(c_TFWD)),2))+2147483648,4294967296)-2147483648,((c_TMAP1IN)-(c_TFWD))*(((A501)-(c_TFWD))*((c_TMAP1OUT)-(0))+IF(((c_TMAP1OUT)-(0))&gt;=0,1,-1)*QUOTIENT(((c_TMAP1IN)-(c_TFWD)),2)))&gt;=0,1,0)))</f>
        <v>378</v>
      </c>
      <c r="E501" s="7" t="n">
        <f aca="false">IF(((c_TMAP2IN)-(c_TMAP1IN))=0,(c_TMAP1OUT)+QUOTIENT(((c_TMAP2OUT)-(c_TMAP1OUT)),2),QUOTIENT((((A501)-(c_TMAP1IN))*((c_TMAP2OUT)-(c_TMAP1OUT))+IF(((c_TMAP2OUT)-(c_TMAP1OUT))&gt;=0,1,-1)*QUOTIENT(((c_TMAP2IN)-(c_TMAP1IN)),2)),((c_TMAP2IN)-(c_TMAP1IN)))+(c_TMAP1OUT)+IF(((c_TMAP2OUT)-(c_TMAP1OUT))&gt;=0,IF(IF(o_WRAP=1,MOD(((c_TMAP2IN)-(c_TMAP1IN))*(((A501)-(c_TMAP1IN))*((c_TMAP2OUT)-(c_TMAP1OUT))+IF(((c_TMAP2OUT)-(c_TMAP1OUT))&gt;=0,1,-1)*QUOTIENT(((c_TMAP2IN)-(c_TMAP1IN)),2))+2147483648,4294967296)-2147483648,((c_TMAP2IN)-(c_TMAP1IN))*(((A501)-(c_TMAP1IN))*((c_TMAP2OUT)-(c_TMAP1OUT))+IF(((c_TMAP2OUT)-(c_TMAP1OUT))&gt;=0,1,-1)*QUOTIENT(((c_TMAP2IN)-(c_TMAP1IN)),2)))&lt;0,-1,0),IF(IF(o_WRAP=1,MOD(((c_TMAP2IN)-(c_TMAP1IN))*(((A501)-(c_TMAP1IN))*((c_TMAP2OUT)-(c_TMAP1OUT))+IF(((c_TMAP2OUT)-(c_TMAP1OUT))&gt;=0,1,-1)*QUOTIENT(((c_TMAP2IN)-(c_TMAP1IN)),2))+2147483648,4294967296)-2147483648,((c_TMAP2IN)-(c_TMAP1IN))*(((A501)-(c_TMAP1IN))*((c_TMAP2OUT)-(c_TMAP1OUT))+IF(((c_TMAP2OUT)-(c_TMAP1OUT))&gt;=0,1,-1)*QUOTIENT(((c_TMAP2IN)-(c_TMAP1IN)),2)))&gt;=0,1,0)))</f>
        <v>228</v>
      </c>
      <c r="F501" s="7" t="n">
        <f aca="false">IF(((c_TMAP3IN)-(c_TMAP2IN))=0,(c_TMAP2OUT)+QUOTIENT(((c_TMAP3OUT)-(c_TMAP2OUT)),2),QUOTIENT((((A501)-(c_TMAP2IN))*((c_TMAP3OUT)-(c_TMAP2OUT))+IF(((c_TMAP3OUT)-(c_TMAP2OUT))&gt;=0,1,-1)*QUOTIENT(((c_TMAP3IN)-(c_TMAP2IN)),2)),((c_TMAP3IN)-(c_TMAP2IN)))+(c_TMAP2OUT)+IF(((c_TMAP3OUT)-(c_TMAP2OUT))&gt;=0,IF(IF(o_WRAP=1,MOD(((c_TMAP3IN)-(c_TMAP2IN))*(((A501)-(c_TMAP2IN))*((c_TMAP3OUT)-(c_TMAP2OUT))+IF(((c_TMAP3OUT)-(c_TMAP2OUT))&gt;=0,1,-1)*QUOTIENT(((c_TMAP3IN)-(c_TMAP2IN)),2))+2147483648,4294967296)-2147483648,((c_TMAP3IN)-(c_TMAP2IN))*(((A501)-(c_TMAP2IN))*((c_TMAP3OUT)-(c_TMAP2OUT))+IF(((c_TMAP3OUT)-(c_TMAP2OUT))&gt;=0,1,-1)*QUOTIENT(((c_TMAP3IN)-(c_TMAP2IN)),2)))&lt;0,-1,0),IF(IF(o_WRAP=1,MOD(((c_TMAP3IN)-(c_TMAP2IN))*(((A501)-(c_TMAP2IN))*((c_TMAP3OUT)-(c_TMAP2OUT))+IF(((c_TMAP3OUT)-(c_TMAP2OUT))&gt;=0,1,-1)*QUOTIENT(((c_TMAP3IN)-(c_TMAP2IN)),2))+2147483648,4294967296)-2147483648,((c_TMAP3IN)-(c_TMAP2IN))*(((A501)-(c_TMAP2IN))*((c_TMAP3OUT)-(c_TMAP2OUT))+IF(((c_TMAP3OUT)-(c_TMAP2OUT))&gt;=0,1,-1)*QUOTIENT(((c_TMAP3IN)-(c_TMAP2IN)),2)))&gt;=0,1,0)))</f>
        <v>302</v>
      </c>
      <c r="G501" s="7" t="n">
        <f aca="false">IF(((1000)-(c_TMAP3IN))=0,(c_TMAP3OUT)+QUOTIENT(((1000)-(c_TMAP3OUT)),2),QUOTIENT((((A501)-(c_TMAP3IN))*((1000)-(c_TMAP3OUT))+IF(((1000)-(c_TMAP3OUT))&gt;=0,1,-1)*QUOTIENT(((1000)-(c_TMAP3IN)),2)),((1000)-(c_TMAP3IN)))+(c_TMAP3OUT)+IF(((1000)-(c_TMAP3OUT))&gt;=0,IF(IF(o_WRAP=1,MOD(((1000)-(c_TMAP3IN))*(((A501)-(c_TMAP3IN))*((1000)-(c_TMAP3OUT))+IF(((1000)-(c_TMAP3OUT))&gt;=0,1,-1)*QUOTIENT(((1000)-(c_TMAP3IN)),2))+2147483648,4294967296)-2147483648,((1000)-(c_TMAP3IN))*(((A501)-(c_TMAP3IN))*((1000)-(c_TMAP3OUT))+IF(((1000)-(c_TMAP3OUT))&gt;=0,1,-1)*QUOTIENT(((1000)-(c_TMAP3IN)),2)))&lt;0,-1,0),IF(IF(o_WRAP=1,MOD(((1000)-(c_TMAP3IN))*(((A501)-(c_TMAP3IN))*((1000)-(c_TMAP3OUT))+IF(((1000)-(c_TMAP3OUT))&gt;=0,1,-1)*QUOTIENT(((1000)-(c_TMAP3IN)),2))+2147483648,4294967296)-2147483648,((1000)-(c_TMAP3IN))*(((A501)-(c_TMAP3IN))*((1000)-(c_TMAP3OUT))+IF(((1000)-(c_TMAP3OUT))&gt;=0,1,-1)*QUOTIENT(((1000)-(c_TMAP3IN)),2)))&gt;=0,1,0)))</f>
        <v>380</v>
      </c>
      <c r="H501" s="7" t="str">
        <f aca="false">IF(A501&gt;=c_TFWD,IF(AND(A501&gt;=c_TMAP3IN,c_TMAP3IN&lt;1000),"Seg4 map3-100%",IF(AND(A501&gt;=c_TMAP2IN,c_TMAP3IN&gt;c_TMAP2IN),"Seg3 map2-map3",IF(AND(A501&gt;=c_TMAP1IN,c_TMAP2IN&gt;c_TMAP1IN),"Seg2 map1-map2","Seg1 TFWD-map1"))),IF(AND(A501=0,c_TCREEP&gt;0),"Creep",IF(AND(A501&lt;=c_TRNGMIN,A501&gt;=c_TRNGMAX,c_TRNGMIN-c_TRNGMAX&lt;&gt;0),"Regen ramp","Coast (0)")))</f>
        <v>Seg4 map3-100%</v>
      </c>
      <c r="I501" s="7" t="n">
        <f aca="false">IF(A501&gt;=c_TFWD,IF(AND(A501&gt;=c_TMAP3IN,c_TMAP3IN&lt;1000),G501,IF(AND(A501&gt;=c_TMAP2IN,c_TMAP3IN&gt;c_TMAP2IN),F501,IF(AND(A501&gt;=c_TMAP1IN,c_TMAP2IN&gt;c_TMAP1IN),E501,D501))),C501)</f>
        <v>380</v>
      </c>
      <c r="J501" s="7" t="str">
        <f aca="false">IF(I501&lt;-1090,"TOO LOW",IF(I501&gt;1090,"TOO HIGH",""))</f>
        <v/>
      </c>
      <c r="K501" s="15" t="n">
        <f aca="false">IF(J501&lt;&gt;"",0,IF(I501&gt;979,1000,I501))</f>
        <v>380</v>
      </c>
      <c r="L501" s="7" t="n">
        <f aca="false">K501/10</f>
        <v>38</v>
      </c>
    </row>
    <row r="502" customFormat="false" ht="15" hidden="false" customHeight="false" outlineLevel="0" collapsed="false">
      <c r="A502" s="7" t="n">
        <v>497</v>
      </c>
      <c r="B502" s="7" t="n">
        <f aca="false">A502/10</f>
        <v>49.7</v>
      </c>
      <c r="C502" s="7" t="n">
        <f aca="false">IF(AND(A502=0,c_TCREEP&gt;0),10*c_TCREEP,IF(AND(A502&lt;=c_TRNGMIN,A502&gt;=c_TRNGMAX,c_TRNGMIN-c_TRNGMAX&lt;&gt;0),-10*c_TMINRN+QUOTIENT((c_TMAXRN-c_TMINRN)*(100-QUOTIENT((A502-c_TRNGMAX)*100,c_TRNGMIN-c_TRNGMAX)),-10),0))</f>
        <v>0</v>
      </c>
      <c r="D502" s="7" t="n">
        <f aca="false">IF(((c_TMAP1IN)-(c_TFWD))=0,(0)+QUOTIENT(((c_TMAP1OUT)-(0)),2),QUOTIENT((((A502)-(c_TFWD))*((c_TMAP1OUT)-(0))+IF(((c_TMAP1OUT)-(0))&gt;=0,1,-1)*QUOTIENT(((c_TMAP1IN)-(c_TFWD)),2)),((c_TMAP1IN)-(c_TFWD)))+(0)+IF(((c_TMAP1OUT)-(0))&gt;=0,IF(IF(o_WRAP=1,MOD(((c_TMAP1IN)-(c_TFWD))*(((A502)-(c_TFWD))*((c_TMAP1OUT)-(0))+IF(((c_TMAP1OUT)-(0))&gt;=0,1,-1)*QUOTIENT(((c_TMAP1IN)-(c_TFWD)),2))+2147483648,4294967296)-2147483648,((c_TMAP1IN)-(c_TFWD))*(((A502)-(c_TFWD))*((c_TMAP1OUT)-(0))+IF(((c_TMAP1OUT)-(0))&gt;=0,1,-1)*QUOTIENT(((c_TMAP1IN)-(c_TFWD)),2)))&lt;0,-1,0),IF(IF(o_WRAP=1,MOD(((c_TMAP1IN)-(c_TFWD))*(((A502)-(c_TFWD))*((c_TMAP1OUT)-(0))+IF(((c_TMAP1OUT)-(0))&gt;=0,1,-1)*QUOTIENT(((c_TMAP1IN)-(c_TFWD)),2))+2147483648,4294967296)-2147483648,((c_TMAP1IN)-(c_TFWD))*(((A502)-(c_TFWD))*((c_TMAP1OUT)-(0))+IF(((c_TMAP1OUT)-(0))&gt;=0,1,-1)*QUOTIENT(((c_TMAP1IN)-(c_TFWD)),2)))&gt;=0,1,0)))</f>
        <v>379</v>
      </c>
      <c r="E502" s="7" t="n">
        <f aca="false">IF(((c_TMAP2IN)-(c_TMAP1IN))=0,(c_TMAP1OUT)+QUOTIENT(((c_TMAP2OUT)-(c_TMAP1OUT)),2),QUOTIENT((((A502)-(c_TMAP1IN))*((c_TMAP2OUT)-(c_TMAP1OUT))+IF(((c_TMAP2OUT)-(c_TMAP1OUT))&gt;=0,1,-1)*QUOTIENT(((c_TMAP2IN)-(c_TMAP1IN)),2)),((c_TMAP2IN)-(c_TMAP1IN)))+(c_TMAP1OUT)+IF(((c_TMAP2OUT)-(c_TMAP1OUT))&gt;=0,IF(IF(o_WRAP=1,MOD(((c_TMAP2IN)-(c_TMAP1IN))*(((A502)-(c_TMAP1IN))*((c_TMAP2OUT)-(c_TMAP1OUT))+IF(((c_TMAP2OUT)-(c_TMAP1OUT))&gt;=0,1,-1)*QUOTIENT(((c_TMAP2IN)-(c_TMAP1IN)),2))+2147483648,4294967296)-2147483648,((c_TMAP2IN)-(c_TMAP1IN))*(((A502)-(c_TMAP1IN))*((c_TMAP2OUT)-(c_TMAP1OUT))+IF(((c_TMAP2OUT)-(c_TMAP1OUT))&gt;=0,1,-1)*QUOTIENT(((c_TMAP2IN)-(c_TMAP1IN)),2)))&lt;0,-1,0),IF(IF(o_WRAP=1,MOD(((c_TMAP2IN)-(c_TMAP1IN))*(((A502)-(c_TMAP1IN))*((c_TMAP2OUT)-(c_TMAP1OUT))+IF(((c_TMAP2OUT)-(c_TMAP1OUT))&gt;=0,1,-1)*QUOTIENT(((c_TMAP2IN)-(c_TMAP1IN)),2))+2147483648,4294967296)-2147483648,((c_TMAP2IN)-(c_TMAP1IN))*(((A502)-(c_TMAP1IN))*((c_TMAP2OUT)-(c_TMAP1OUT))+IF(((c_TMAP2OUT)-(c_TMAP1OUT))&gt;=0,1,-1)*QUOTIENT(((c_TMAP2IN)-(c_TMAP1IN)),2)))&gt;=0,1,0)))</f>
        <v>229</v>
      </c>
      <c r="F502" s="7" t="n">
        <f aca="false">IF(((c_TMAP3IN)-(c_TMAP2IN))=0,(c_TMAP2OUT)+QUOTIENT(((c_TMAP3OUT)-(c_TMAP2OUT)),2),QUOTIENT((((A502)-(c_TMAP2IN))*((c_TMAP3OUT)-(c_TMAP2OUT))+IF(((c_TMAP3OUT)-(c_TMAP2OUT))&gt;=0,1,-1)*QUOTIENT(((c_TMAP3IN)-(c_TMAP2IN)),2)),((c_TMAP3IN)-(c_TMAP2IN)))+(c_TMAP2OUT)+IF(((c_TMAP3OUT)-(c_TMAP2OUT))&gt;=0,IF(IF(o_WRAP=1,MOD(((c_TMAP3IN)-(c_TMAP2IN))*(((A502)-(c_TMAP2IN))*((c_TMAP3OUT)-(c_TMAP2OUT))+IF(((c_TMAP3OUT)-(c_TMAP2OUT))&gt;=0,1,-1)*QUOTIENT(((c_TMAP3IN)-(c_TMAP2IN)),2))+2147483648,4294967296)-2147483648,((c_TMAP3IN)-(c_TMAP2IN))*(((A502)-(c_TMAP2IN))*((c_TMAP3OUT)-(c_TMAP2OUT))+IF(((c_TMAP3OUT)-(c_TMAP2OUT))&gt;=0,1,-1)*QUOTIENT(((c_TMAP3IN)-(c_TMAP2IN)),2)))&lt;0,-1,0),IF(IF(o_WRAP=1,MOD(((c_TMAP3IN)-(c_TMAP2IN))*(((A502)-(c_TMAP2IN))*((c_TMAP3OUT)-(c_TMAP2OUT))+IF(((c_TMAP3OUT)-(c_TMAP2OUT))&gt;=0,1,-1)*QUOTIENT(((c_TMAP3IN)-(c_TMAP2IN)),2))+2147483648,4294967296)-2147483648,((c_TMAP3IN)-(c_TMAP2IN))*(((A502)-(c_TMAP2IN))*((c_TMAP3OUT)-(c_TMAP2OUT))+IF(((c_TMAP3OUT)-(c_TMAP2OUT))&gt;=0,1,-1)*QUOTIENT(((c_TMAP3IN)-(c_TMAP2IN)),2)))&gt;=0,1,0)))</f>
        <v>303</v>
      </c>
      <c r="G502" s="7" t="n">
        <f aca="false">IF(((1000)-(c_TMAP3IN))=0,(c_TMAP3OUT)+QUOTIENT(((1000)-(c_TMAP3OUT)),2),QUOTIENT((((A502)-(c_TMAP3IN))*((1000)-(c_TMAP3OUT))+IF(((1000)-(c_TMAP3OUT))&gt;=0,1,-1)*QUOTIENT(((1000)-(c_TMAP3IN)),2)),((1000)-(c_TMAP3IN)))+(c_TMAP3OUT)+IF(((1000)-(c_TMAP3OUT))&gt;=0,IF(IF(o_WRAP=1,MOD(((1000)-(c_TMAP3IN))*(((A502)-(c_TMAP3IN))*((1000)-(c_TMAP3OUT))+IF(((1000)-(c_TMAP3OUT))&gt;=0,1,-1)*QUOTIENT(((1000)-(c_TMAP3IN)),2))+2147483648,4294967296)-2147483648,((1000)-(c_TMAP3IN))*(((A502)-(c_TMAP3IN))*((1000)-(c_TMAP3OUT))+IF(((1000)-(c_TMAP3OUT))&gt;=0,1,-1)*QUOTIENT(((1000)-(c_TMAP3IN)),2)))&lt;0,-1,0),IF(IF(o_WRAP=1,MOD(((1000)-(c_TMAP3IN))*(((A502)-(c_TMAP3IN))*((1000)-(c_TMAP3OUT))+IF(((1000)-(c_TMAP3OUT))&gt;=0,1,-1)*QUOTIENT(((1000)-(c_TMAP3IN)),2))+2147483648,4294967296)-2147483648,((1000)-(c_TMAP3IN))*(((A502)-(c_TMAP3IN))*((1000)-(c_TMAP3OUT))+IF(((1000)-(c_TMAP3OUT))&gt;=0,1,-1)*QUOTIENT(((1000)-(c_TMAP3IN)),2)))&gt;=0,1,0)))</f>
        <v>381</v>
      </c>
      <c r="H502" s="7" t="str">
        <f aca="false">IF(A502&gt;=c_TFWD,IF(AND(A502&gt;=c_TMAP3IN,c_TMAP3IN&lt;1000),"Seg4 map3-100%",IF(AND(A502&gt;=c_TMAP2IN,c_TMAP3IN&gt;c_TMAP2IN),"Seg3 map2-map3",IF(AND(A502&gt;=c_TMAP1IN,c_TMAP2IN&gt;c_TMAP1IN),"Seg2 map1-map2","Seg1 TFWD-map1"))),IF(AND(A502=0,c_TCREEP&gt;0),"Creep",IF(AND(A502&lt;=c_TRNGMIN,A502&gt;=c_TRNGMAX,c_TRNGMIN-c_TRNGMAX&lt;&gt;0),"Regen ramp","Coast (0)")))</f>
        <v>Seg4 map3-100%</v>
      </c>
      <c r="I502" s="7" t="n">
        <f aca="false">IF(A502&gt;=c_TFWD,IF(AND(A502&gt;=c_TMAP3IN,c_TMAP3IN&lt;1000),G502,IF(AND(A502&gt;=c_TMAP2IN,c_TMAP3IN&gt;c_TMAP2IN),F502,IF(AND(A502&gt;=c_TMAP1IN,c_TMAP2IN&gt;c_TMAP1IN),E502,D502))),C502)</f>
        <v>381</v>
      </c>
      <c r="J502" s="7" t="str">
        <f aca="false">IF(I502&lt;-1090,"TOO LOW",IF(I502&gt;1090,"TOO HIGH",""))</f>
        <v/>
      </c>
      <c r="K502" s="15" t="n">
        <f aca="false">IF(J502&lt;&gt;"",0,IF(I502&gt;979,1000,I502))</f>
        <v>381</v>
      </c>
      <c r="L502" s="7" t="n">
        <f aca="false">K502/10</f>
        <v>38.1</v>
      </c>
    </row>
    <row r="503" customFormat="false" ht="15" hidden="false" customHeight="false" outlineLevel="0" collapsed="false">
      <c r="A503" s="7" t="n">
        <v>498</v>
      </c>
      <c r="B503" s="7" t="n">
        <f aca="false">A503/10</f>
        <v>49.8</v>
      </c>
      <c r="C503" s="7" t="n">
        <f aca="false">IF(AND(A503=0,c_TCREEP&gt;0),10*c_TCREEP,IF(AND(A503&lt;=c_TRNGMIN,A503&gt;=c_TRNGMAX,c_TRNGMIN-c_TRNGMAX&lt;&gt;0),-10*c_TMINRN+QUOTIENT((c_TMAXRN-c_TMINRN)*(100-QUOTIENT((A503-c_TRNGMAX)*100,c_TRNGMIN-c_TRNGMAX)),-10),0))</f>
        <v>0</v>
      </c>
      <c r="D503" s="7" t="n">
        <f aca="false">IF(((c_TMAP1IN)-(c_TFWD))=0,(0)+QUOTIENT(((c_TMAP1OUT)-(0)),2),QUOTIENT((((A503)-(c_TFWD))*((c_TMAP1OUT)-(0))+IF(((c_TMAP1OUT)-(0))&gt;=0,1,-1)*QUOTIENT(((c_TMAP1IN)-(c_TFWD)),2)),((c_TMAP1IN)-(c_TFWD)))+(0)+IF(((c_TMAP1OUT)-(0))&gt;=0,IF(IF(o_WRAP=1,MOD(((c_TMAP1IN)-(c_TFWD))*(((A503)-(c_TFWD))*((c_TMAP1OUT)-(0))+IF(((c_TMAP1OUT)-(0))&gt;=0,1,-1)*QUOTIENT(((c_TMAP1IN)-(c_TFWD)),2))+2147483648,4294967296)-2147483648,((c_TMAP1IN)-(c_TFWD))*(((A503)-(c_TFWD))*((c_TMAP1OUT)-(0))+IF(((c_TMAP1OUT)-(0))&gt;=0,1,-1)*QUOTIENT(((c_TMAP1IN)-(c_TFWD)),2)))&lt;0,-1,0),IF(IF(o_WRAP=1,MOD(((c_TMAP1IN)-(c_TFWD))*(((A503)-(c_TFWD))*((c_TMAP1OUT)-(0))+IF(((c_TMAP1OUT)-(0))&gt;=0,1,-1)*QUOTIENT(((c_TMAP1IN)-(c_TFWD)),2))+2147483648,4294967296)-2147483648,((c_TMAP1IN)-(c_TFWD))*(((A503)-(c_TFWD))*((c_TMAP1OUT)-(0))+IF(((c_TMAP1OUT)-(0))&gt;=0,1,-1)*QUOTIENT(((c_TMAP1IN)-(c_TFWD)),2)))&gt;=0,1,0)))</f>
        <v>380</v>
      </c>
      <c r="E503" s="7" t="n">
        <f aca="false">IF(((c_TMAP2IN)-(c_TMAP1IN))=0,(c_TMAP1OUT)+QUOTIENT(((c_TMAP2OUT)-(c_TMAP1OUT)),2),QUOTIENT((((A503)-(c_TMAP1IN))*((c_TMAP2OUT)-(c_TMAP1OUT))+IF(((c_TMAP2OUT)-(c_TMAP1OUT))&gt;=0,1,-1)*QUOTIENT(((c_TMAP2IN)-(c_TMAP1IN)),2)),((c_TMAP2IN)-(c_TMAP1IN)))+(c_TMAP1OUT)+IF(((c_TMAP2OUT)-(c_TMAP1OUT))&gt;=0,IF(IF(o_WRAP=1,MOD(((c_TMAP2IN)-(c_TMAP1IN))*(((A503)-(c_TMAP1IN))*((c_TMAP2OUT)-(c_TMAP1OUT))+IF(((c_TMAP2OUT)-(c_TMAP1OUT))&gt;=0,1,-1)*QUOTIENT(((c_TMAP2IN)-(c_TMAP1IN)),2))+2147483648,4294967296)-2147483648,((c_TMAP2IN)-(c_TMAP1IN))*(((A503)-(c_TMAP1IN))*((c_TMAP2OUT)-(c_TMAP1OUT))+IF(((c_TMAP2OUT)-(c_TMAP1OUT))&gt;=0,1,-1)*QUOTIENT(((c_TMAP2IN)-(c_TMAP1IN)),2)))&lt;0,-1,0),IF(IF(o_WRAP=1,MOD(((c_TMAP2IN)-(c_TMAP1IN))*(((A503)-(c_TMAP1IN))*((c_TMAP2OUT)-(c_TMAP1OUT))+IF(((c_TMAP2OUT)-(c_TMAP1OUT))&gt;=0,1,-1)*QUOTIENT(((c_TMAP2IN)-(c_TMAP1IN)),2))+2147483648,4294967296)-2147483648,((c_TMAP2IN)-(c_TMAP1IN))*(((A503)-(c_TMAP1IN))*((c_TMAP2OUT)-(c_TMAP1OUT))+IF(((c_TMAP2OUT)-(c_TMAP1OUT))&gt;=0,1,-1)*QUOTIENT(((c_TMAP2IN)-(c_TMAP1IN)),2)))&gt;=0,1,0)))</f>
        <v>229</v>
      </c>
      <c r="F503" s="7" t="n">
        <f aca="false">IF(((c_TMAP3IN)-(c_TMAP2IN))=0,(c_TMAP2OUT)+QUOTIENT(((c_TMAP3OUT)-(c_TMAP2OUT)),2),QUOTIENT((((A503)-(c_TMAP2IN))*((c_TMAP3OUT)-(c_TMAP2OUT))+IF(((c_TMAP3OUT)-(c_TMAP2OUT))&gt;=0,1,-1)*QUOTIENT(((c_TMAP3IN)-(c_TMAP2IN)),2)),((c_TMAP3IN)-(c_TMAP2IN)))+(c_TMAP2OUT)+IF(((c_TMAP3OUT)-(c_TMAP2OUT))&gt;=0,IF(IF(o_WRAP=1,MOD(((c_TMAP3IN)-(c_TMAP2IN))*(((A503)-(c_TMAP2IN))*((c_TMAP3OUT)-(c_TMAP2OUT))+IF(((c_TMAP3OUT)-(c_TMAP2OUT))&gt;=0,1,-1)*QUOTIENT(((c_TMAP3IN)-(c_TMAP2IN)),2))+2147483648,4294967296)-2147483648,((c_TMAP3IN)-(c_TMAP2IN))*(((A503)-(c_TMAP2IN))*((c_TMAP3OUT)-(c_TMAP2OUT))+IF(((c_TMAP3OUT)-(c_TMAP2OUT))&gt;=0,1,-1)*QUOTIENT(((c_TMAP3IN)-(c_TMAP2IN)),2)))&lt;0,-1,0),IF(IF(o_WRAP=1,MOD(((c_TMAP3IN)-(c_TMAP2IN))*(((A503)-(c_TMAP2IN))*((c_TMAP3OUT)-(c_TMAP2OUT))+IF(((c_TMAP3OUT)-(c_TMAP2OUT))&gt;=0,1,-1)*QUOTIENT(((c_TMAP3IN)-(c_TMAP2IN)),2))+2147483648,4294967296)-2147483648,((c_TMAP3IN)-(c_TMAP2IN))*(((A503)-(c_TMAP2IN))*((c_TMAP3OUT)-(c_TMAP2OUT))+IF(((c_TMAP3OUT)-(c_TMAP2OUT))&gt;=0,1,-1)*QUOTIENT(((c_TMAP3IN)-(c_TMAP2IN)),2)))&gt;=0,1,0)))</f>
        <v>304</v>
      </c>
      <c r="G503" s="7" t="n">
        <f aca="false">IF(((1000)-(c_TMAP3IN))=0,(c_TMAP3OUT)+QUOTIENT(((1000)-(c_TMAP3OUT)),2),QUOTIENT((((A503)-(c_TMAP3IN))*((1000)-(c_TMAP3OUT))+IF(((1000)-(c_TMAP3OUT))&gt;=0,1,-1)*QUOTIENT(((1000)-(c_TMAP3IN)),2)),((1000)-(c_TMAP3IN)))+(c_TMAP3OUT)+IF(((1000)-(c_TMAP3OUT))&gt;=0,IF(IF(o_WRAP=1,MOD(((1000)-(c_TMAP3IN))*(((A503)-(c_TMAP3IN))*((1000)-(c_TMAP3OUT))+IF(((1000)-(c_TMAP3OUT))&gt;=0,1,-1)*QUOTIENT(((1000)-(c_TMAP3IN)),2))+2147483648,4294967296)-2147483648,((1000)-(c_TMAP3IN))*(((A503)-(c_TMAP3IN))*((1000)-(c_TMAP3OUT))+IF(((1000)-(c_TMAP3OUT))&gt;=0,1,-1)*QUOTIENT(((1000)-(c_TMAP3IN)),2)))&lt;0,-1,0),IF(IF(o_WRAP=1,MOD(((1000)-(c_TMAP3IN))*(((A503)-(c_TMAP3IN))*((1000)-(c_TMAP3OUT))+IF(((1000)-(c_TMAP3OUT))&gt;=0,1,-1)*QUOTIENT(((1000)-(c_TMAP3IN)),2))+2147483648,4294967296)-2147483648,((1000)-(c_TMAP3IN))*(((A503)-(c_TMAP3IN))*((1000)-(c_TMAP3OUT))+IF(((1000)-(c_TMAP3OUT))&gt;=0,1,-1)*QUOTIENT(((1000)-(c_TMAP3IN)),2)))&gt;=0,1,0)))</f>
        <v>382</v>
      </c>
      <c r="H503" s="7" t="str">
        <f aca="false">IF(A503&gt;=c_TFWD,IF(AND(A503&gt;=c_TMAP3IN,c_TMAP3IN&lt;1000),"Seg4 map3-100%",IF(AND(A503&gt;=c_TMAP2IN,c_TMAP3IN&gt;c_TMAP2IN),"Seg3 map2-map3",IF(AND(A503&gt;=c_TMAP1IN,c_TMAP2IN&gt;c_TMAP1IN),"Seg2 map1-map2","Seg1 TFWD-map1"))),IF(AND(A503=0,c_TCREEP&gt;0),"Creep",IF(AND(A503&lt;=c_TRNGMIN,A503&gt;=c_TRNGMAX,c_TRNGMIN-c_TRNGMAX&lt;&gt;0),"Regen ramp","Coast (0)")))</f>
        <v>Seg4 map3-100%</v>
      </c>
      <c r="I503" s="7" t="n">
        <f aca="false">IF(A503&gt;=c_TFWD,IF(AND(A503&gt;=c_TMAP3IN,c_TMAP3IN&lt;1000),G503,IF(AND(A503&gt;=c_TMAP2IN,c_TMAP3IN&gt;c_TMAP2IN),F503,IF(AND(A503&gt;=c_TMAP1IN,c_TMAP2IN&gt;c_TMAP1IN),E503,D503))),C503)</f>
        <v>382</v>
      </c>
      <c r="J503" s="7" t="str">
        <f aca="false">IF(I503&lt;-1090,"TOO LOW",IF(I503&gt;1090,"TOO HIGH",""))</f>
        <v/>
      </c>
      <c r="K503" s="15" t="n">
        <f aca="false">IF(J503&lt;&gt;"",0,IF(I503&gt;979,1000,I503))</f>
        <v>382</v>
      </c>
      <c r="L503" s="7" t="n">
        <f aca="false">K503/10</f>
        <v>38.2</v>
      </c>
    </row>
    <row r="504" customFormat="false" ht="15" hidden="false" customHeight="false" outlineLevel="0" collapsed="false">
      <c r="A504" s="7" t="n">
        <v>499</v>
      </c>
      <c r="B504" s="7" t="n">
        <f aca="false">A504/10</f>
        <v>49.9</v>
      </c>
      <c r="C504" s="7" t="n">
        <f aca="false">IF(AND(A504=0,c_TCREEP&gt;0),10*c_TCREEP,IF(AND(A504&lt;=c_TRNGMIN,A504&gt;=c_TRNGMAX,c_TRNGMIN-c_TRNGMAX&lt;&gt;0),-10*c_TMINRN+QUOTIENT((c_TMAXRN-c_TMINRN)*(100-QUOTIENT((A504-c_TRNGMAX)*100,c_TRNGMIN-c_TRNGMAX)),-10),0))</f>
        <v>0</v>
      </c>
      <c r="D504" s="7" t="n">
        <f aca="false">IF(((c_TMAP1IN)-(c_TFWD))=0,(0)+QUOTIENT(((c_TMAP1OUT)-(0)),2),QUOTIENT((((A504)-(c_TFWD))*((c_TMAP1OUT)-(0))+IF(((c_TMAP1OUT)-(0))&gt;=0,1,-1)*QUOTIENT(((c_TMAP1IN)-(c_TFWD)),2)),((c_TMAP1IN)-(c_TFWD)))+(0)+IF(((c_TMAP1OUT)-(0))&gt;=0,IF(IF(o_WRAP=1,MOD(((c_TMAP1IN)-(c_TFWD))*(((A504)-(c_TFWD))*((c_TMAP1OUT)-(0))+IF(((c_TMAP1OUT)-(0))&gt;=0,1,-1)*QUOTIENT(((c_TMAP1IN)-(c_TFWD)),2))+2147483648,4294967296)-2147483648,((c_TMAP1IN)-(c_TFWD))*(((A504)-(c_TFWD))*((c_TMAP1OUT)-(0))+IF(((c_TMAP1OUT)-(0))&gt;=0,1,-1)*QUOTIENT(((c_TMAP1IN)-(c_TFWD)),2)))&lt;0,-1,0),IF(IF(o_WRAP=1,MOD(((c_TMAP1IN)-(c_TFWD))*(((A504)-(c_TFWD))*((c_TMAP1OUT)-(0))+IF(((c_TMAP1OUT)-(0))&gt;=0,1,-1)*QUOTIENT(((c_TMAP1IN)-(c_TFWD)),2))+2147483648,4294967296)-2147483648,((c_TMAP1IN)-(c_TFWD))*(((A504)-(c_TFWD))*((c_TMAP1OUT)-(0))+IF(((c_TMAP1OUT)-(0))&gt;=0,1,-1)*QUOTIENT(((c_TMAP1IN)-(c_TFWD)),2)))&gt;=0,1,0)))</f>
        <v>380</v>
      </c>
      <c r="E504" s="7" t="n">
        <f aca="false">IF(((c_TMAP2IN)-(c_TMAP1IN))=0,(c_TMAP1OUT)+QUOTIENT(((c_TMAP2OUT)-(c_TMAP1OUT)),2),QUOTIENT((((A504)-(c_TMAP1IN))*((c_TMAP2OUT)-(c_TMAP1OUT))+IF(((c_TMAP2OUT)-(c_TMAP1OUT))&gt;=0,1,-1)*QUOTIENT(((c_TMAP2IN)-(c_TMAP1IN)),2)),((c_TMAP2IN)-(c_TMAP1IN)))+(c_TMAP1OUT)+IF(((c_TMAP2OUT)-(c_TMAP1OUT))&gt;=0,IF(IF(o_WRAP=1,MOD(((c_TMAP2IN)-(c_TMAP1IN))*(((A504)-(c_TMAP1IN))*((c_TMAP2OUT)-(c_TMAP1OUT))+IF(((c_TMAP2OUT)-(c_TMAP1OUT))&gt;=0,1,-1)*QUOTIENT(((c_TMAP2IN)-(c_TMAP1IN)),2))+2147483648,4294967296)-2147483648,((c_TMAP2IN)-(c_TMAP1IN))*(((A504)-(c_TMAP1IN))*((c_TMAP2OUT)-(c_TMAP1OUT))+IF(((c_TMAP2OUT)-(c_TMAP1OUT))&gt;=0,1,-1)*QUOTIENT(((c_TMAP2IN)-(c_TMAP1IN)),2)))&lt;0,-1,0),IF(IF(o_WRAP=1,MOD(((c_TMAP2IN)-(c_TMAP1IN))*(((A504)-(c_TMAP1IN))*((c_TMAP2OUT)-(c_TMAP1OUT))+IF(((c_TMAP2OUT)-(c_TMAP1OUT))&gt;=0,1,-1)*QUOTIENT(((c_TMAP2IN)-(c_TMAP1IN)),2))+2147483648,4294967296)-2147483648,((c_TMAP2IN)-(c_TMAP1IN))*(((A504)-(c_TMAP1IN))*((c_TMAP2OUT)-(c_TMAP1OUT))+IF(((c_TMAP2OUT)-(c_TMAP1OUT))&gt;=0,1,-1)*QUOTIENT(((c_TMAP2IN)-(c_TMAP1IN)),2)))&gt;=0,1,0)))</f>
        <v>230</v>
      </c>
      <c r="F504" s="7" t="n">
        <f aca="false">IF(((c_TMAP3IN)-(c_TMAP2IN))=0,(c_TMAP2OUT)+QUOTIENT(((c_TMAP3OUT)-(c_TMAP2OUT)),2),QUOTIENT((((A504)-(c_TMAP2IN))*((c_TMAP3OUT)-(c_TMAP2OUT))+IF(((c_TMAP3OUT)-(c_TMAP2OUT))&gt;=0,1,-1)*QUOTIENT(((c_TMAP3IN)-(c_TMAP2IN)),2)),((c_TMAP3IN)-(c_TMAP2IN)))+(c_TMAP2OUT)+IF(((c_TMAP3OUT)-(c_TMAP2OUT))&gt;=0,IF(IF(o_WRAP=1,MOD(((c_TMAP3IN)-(c_TMAP2IN))*(((A504)-(c_TMAP2IN))*((c_TMAP3OUT)-(c_TMAP2OUT))+IF(((c_TMAP3OUT)-(c_TMAP2OUT))&gt;=0,1,-1)*QUOTIENT(((c_TMAP3IN)-(c_TMAP2IN)),2))+2147483648,4294967296)-2147483648,((c_TMAP3IN)-(c_TMAP2IN))*(((A504)-(c_TMAP2IN))*((c_TMAP3OUT)-(c_TMAP2OUT))+IF(((c_TMAP3OUT)-(c_TMAP2OUT))&gt;=0,1,-1)*QUOTIENT(((c_TMAP3IN)-(c_TMAP2IN)),2)))&lt;0,-1,0),IF(IF(o_WRAP=1,MOD(((c_TMAP3IN)-(c_TMAP2IN))*(((A504)-(c_TMAP2IN))*((c_TMAP3OUT)-(c_TMAP2OUT))+IF(((c_TMAP3OUT)-(c_TMAP2OUT))&gt;=0,1,-1)*QUOTIENT(((c_TMAP3IN)-(c_TMAP2IN)),2))+2147483648,4294967296)-2147483648,((c_TMAP3IN)-(c_TMAP2IN))*(((A504)-(c_TMAP2IN))*((c_TMAP3OUT)-(c_TMAP2OUT))+IF(((c_TMAP3OUT)-(c_TMAP2OUT))&gt;=0,1,-1)*QUOTIENT(((c_TMAP3IN)-(c_TMAP2IN)),2)))&gt;=0,1,0)))</f>
        <v>304</v>
      </c>
      <c r="G504" s="7" t="n">
        <f aca="false">IF(((1000)-(c_TMAP3IN))=0,(c_TMAP3OUT)+QUOTIENT(((1000)-(c_TMAP3OUT)),2),QUOTIENT((((A504)-(c_TMAP3IN))*((1000)-(c_TMAP3OUT))+IF(((1000)-(c_TMAP3OUT))&gt;=0,1,-1)*QUOTIENT(((1000)-(c_TMAP3IN)),2)),((1000)-(c_TMAP3IN)))+(c_TMAP3OUT)+IF(((1000)-(c_TMAP3OUT))&gt;=0,IF(IF(o_WRAP=1,MOD(((1000)-(c_TMAP3IN))*(((A504)-(c_TMAP3IN))*((1000)-(c_TMAP3OUT))+IF(((1000)-(c_TMAP3OUT))&gt;=0,1,-1)*QUOTIENT(((1000)-(c_TMAP3IN)),2))+2147483648,4294967296)-2147483648,((1000)-(c_TMAP3IN))*(((A504)-(c_TMAP3IN))*((1000)-(c_TMAP3OUT))+IF(((1000)-(c_TMAP3OUT))&gt;=0,1,-1)*QUOTIENT(((1000)-(c_TMAP3IN)),2)))&lt;0,-1,0),IF(IF(o_WRAP=1,MOD(((1000)-(c_TMAP3IN))*(((A504)-(c_TMAP3IN))*((1000)-(c_TMAP3OUT))+IF(((1000)-(c_TMAP3OUT))&gt;=0,1,-1)*QUOTIENT(((1000)-(c_TMAP3IN)),2))+2147483648,4294967296)-2147483648,((1000)-(c_TMAP3IN))*(((A504)-(c_TMAP3IN))*((1000)-(c_TMAP3OUT))+IF(((1000)-(c_TMAP3OUT))&gt;=0,1,-1)*QUOTIENT(((1000)-(c_TMAP3IN)),2)))&gt;=0,1,0)))</f>
        <v>383</v>
      </c>
      <c r="H504" s="7" t="str">
        <f aca="false">IF(A504&gt;=c_TFWD,IF(AND(A504&gt;=c_TMAP3IN,c_TMAP3IN&lt;1000),"Seg4 map3-100%",IF(AND(A504&gt;=c_TMAP2IN,c_TMAP3IN&gt;c_TMAP2IN),"Seg3 map2-map3",IF(AND(A504&gt;=c_TMAP1IN,c_TMAP2IN&gt;c_TMAP1IN),"Seg2 map1-map2","Seg1 TFWD-map1"))),IF(AND(A504=0,c_TCREEP&gt;0),"Creep",IF(AND(A504&lt;=c_TRNGMIN,A504&gt;=c_TRNGMAX,c_TRNGMIN-c_TRNGMAX&lt;&gt;0),"Regen ramp","Coast (0)")))</f>
        <v>Seg4 map3-100%</v>
      </c>
      <c r="I504" s="7" t="n">
        <f aca="false">IF(A504&gt;=c_TFWD,IF(AND(A504&gt;=c_TMAP3IN,c_TMAP3IN&lt;1000),G504,IF(AND(A504&gt;=c_TMAP2IN,c_TMAP3IN&gt;c_TMAP2IN),F504,IF(AND(A504&gt;=c_TMAP1IN,c_TMAP2IN&gt;c_TMAP1IN),E504,D504))),C504)</f>
        <v>383</v>
      </c>
      <c r="J504" s="7" t="str">
        <f aca="false">IF(I504&lt;-1090,"TOO LOW",IF(I504&gt;1090,"TOO HIGH",""))</f>
        <v/>
      </c>
      <c r="K504" s="15" t="n">
        <f aca="false">IF(J504&lt;&gt;"",0,IF(I504&gt;979,1000,I504))</f>
        <v>383</v>
      </c>
      <c r="L504" s="7" t="n">
        <f aca="false">K504/10</f>
        <v>38.3</v>
      </c>
    </row>
    <row r="505" customFormat="false" ht="15" hidden="false" customHeight="false" outlineLevel="0" collapsed="false">
      <c r="A505" s="7" t="n">
        <v>500</v>
      </c>
      <c r="B505" s="7" t="n">
        <f aca="false">A505/10</f>
        <v>50</v>
      </c>
      <c r="C505" s="7" t="n">
        <f aca="false">IF(AND(A505=0,c_TCREEP&gt;0),10*c_TCREEP,IF(AND(A505&lt;=c_TRNGMIN,A505&gt;=c_TRNGMAX,c_TRNGMIN-c_TRNGMAX&lt;&gt;0),-10*c_TMINRN+QUOTIENT((c_TMAXRN-c_TMINRN)*(100-QUOTIENT((A505-c_TRNGMAX)*100,c_TRNGMIN-c_TRNGMAX)),-10),0))</f>
        <v>0</v>
      </c>
      <c r="D505" s="7" t="n">
        <f aca="false">IF(((c_TMAP1IN)-(c_TFWD))=0,(0)+QUOTIENT(((c_TMAP1OUT)-(0)),2),QUOTIENT((((A505)-(c_TFWD))*((c_TMAP1OUT)-(0))+IF(((c_TMAP1OUT)-(0))&gt;=0,1,-1)*QUOTIENT(((c_TMAP1IN)-(c_TFWD)),2)),((c_TMAP1IN)-(c_TFWD)))+(0)+IF(((c_TMAP1OUT)-(0))&gt;=0,IF(IF(o_WRAP=1,MOD(((c_TMAP1IN)-(c_TFWD))*(((A505)-(c_TFWD))*((c_TMAP1OUT)-(0))+IF(((c_TMAP1OUT)-(0))&gt;=0,1,-1)*QUOTIENT(((c_TMAP1IN)-(c_TFWD)),2))+2147483648,4294967296)-2147483648,((c_TMAP1IN)-(c_TFWD))*(((A505)-(c_TFWD))*((c_TMAP1OUT)-(0))+IF(((c_TMAP1OUT)-(0))&gt;=0,1,-1)*QUOTIENT(((c_TMAP1IN)-(c_TFWD)),2)))&lt;0,-1,0),IF(IF(o_WRAP=1,MOD(((c_TMAP1IN)-(c_TFWD))*(((A505)-(c_TFWD))*((c_TMAP1OUT)-(0))+IF(((c_TMAP1OUT)-(0))&gt;=0,1,-1)*QUOTIENT(((c_TMAP1IN)-(c_TFWD)),2))+2147483648,4294967296)-2147483648,((c_TMAP1IN)-(c_TFWD))*(((A505)-(c_TFWD))*((c_TMAP1OUT)-(0))+IF(((c_TMAP1OUT)-(0))&gt;=0,1,-1)*QUOTIENT(((c_TMAP1IN)-(c_TFWD)),2)))&gt;=0,1,0)))</f>
        <v>381</v>
      </c>
      <c r="E505" s="7" t="n">
        <f aca="false">IF(((c_TMAP2IN)-(c_TMAP1IN))=0,(c_TMAP1OUT)+QUOTIENT(((c_TMAP2OUT)-(c_TMAP1OUT)),2),QUOTIENT((((A505)-(c_TMAP1IN))*((c_TMAP2OUT)-(c_TMAP1OUT))+IF(((c_TMAP2OUT)-(c_TMAP1OUT))&gt;=0,1,-1)*QUOTIENT(((c_TMAP2IN)-(c_TMAP1IN)),2)),((c_TMAP2IN)-(c_TMAP1IN)))+(c_TMAP1OUT)+IF(((c_TMAP2OUT)-(c_TMAP1OUT))&gt;=0,IF(IF(o_WRAP=1,MOD(((c_TMAP2IN)-(c_TMAP1IN))*(((A505)-(c_TMAP1IN))*((c_TMAP2OUT)-(c_TMAP1OUT))+IF(((c_TMAP2OUT)-(c_TMAP1OUT))&gt;=0,1,-1)*QUOTIENT(((c_TMAP2IN)-(c_TMAP1IN)),2))+2147483648,4294967296)-2147483648,((c_TMAP2IN)-(c_TMAP1IN))*(((A505)-(c_TMAP1IN))*((c_TMAP2OUT)-(c_TMAP1OUT))+IF(((c_TMAP2OUT)-(c_TMAP1OUT))&gt;=0,1,-1)*QUOTIENT(((c_TMAP2IN)-(c_TMAP1IN)),2)))&lt;0,-1,0),IF(IF(o_WRAP=1,MOD(((c_TMAP2IN)-(c_TMAP1IN))*(((A505)-(c_TMAP1IN))*((c_TMAP2OUT)-(c_TMAP1OUT))+IF(((c_TMAP2OUT)-(c_TMAP1OUT))&gt;=0,1,-1)*QUOTIENT(((c_TMAP2IN)-(c_TMAP1IN)),2))+2147483648,4294967296)-2147483648,((c_TMAP2IN)-(c_TMAP1IN))*(((A505)-(c_TMAP1IN))*((c_TMAP2OUT)-(c_TMAP1OUT))+IF(((c_TMAP2OUT)-(c_TMAP1OUT))&gt;=0,1,-1)*QUOTIENT(((c_TMAP2IN)-(c_TMAP1IN)),2)))&gt;=0,1,0)))</f>
        <v>230</v>
      </c>
      <c r="F505" s="7" t="n">
        <f aca="false">IF(((c_TMAP3IN)-(c_TMAP2IN))=0,(c_TMAP2OUT)+QUOTIENT(((c_TMAP3OUT)-(c_TMAP2OUT)),2),QUOTIENT((((A505)-(c_TMAP2IN))*((c_TMAP3OUT)-(c_TMAP2OUT))+IF(((c_TMAP3OUT)-(c_TMAP2OUT))&gt;=0,1,-1)*QUOTIENT(((c_TMAP3IN)-(c_TMAP2IN)),2)),((c_TMAP3IN)-(c_TMAP2IN)))+(c_TMAP2OUT)+IF(((c_TMAP3OUT)-(c_TMAP2OUT))&gt;=0,IF(IF(o_WRAP=1,MOD(((c_TMAP3IN)-(c_TMAP2IN))*(((A505)-(c_TMAP2IN))*((c_TMAP3OUT)-(c_TMAP2OUT))+IF(((c_TMAP3OUT)-(c_TMAP2OUT))&gt;=0,1,-1)*QUOTIENT(((c_TMAP3IN)-(c_TMAP2IN)),2))+2147483648,4294967296)-2147483648,((c_TMAP3IN)-(c_TMAP2IN))*(((A505)-(c_TMAP2IN))*((c_TMAP3OUT)-(c_TMAP2OUT))+IF(((c_TMAP3OUT)-(c_TMAP2OUT))&gt;=0,1,-1)*QUOTIENT(((c_TMAP3IN)-(c_TMAP2IN)),2)))&lt;0,-1,0),IF(IF(o_WRAP=1,MOD(((c_TMAP3IN)-(c_TMAP2IN))*(((A505)-(c_TMAP2IN))*((c_TMAP3OUT)-(c_TMAP2OUT))+IF(((c_TMAP3OUT)-(c_TMAP2OUT))&gt;=0,1,-1)*QUOTIENT(((c_TMAP3IN)-(c_TMAP2IN)),2))+2147483648,4294967296)-2147483648,((c_TMAP3IN)-(c_TMAP2IN))*(((A505)-(c_TMAP2IN))*((c_TMAP3OUT)-(c_TMAP2OUT))+IF(((c_TMAP3OUT)-(c_TMAP2OUT))&gt;=0,1,-1)*QUOTIENT(((c_TMAP3IN)-(c_TMAP2IN)),2)))&gt;=0,1,0)))</f>
        <v>305</v>
      </c>
      <c r="G505" s="7" t="n">
        <f aca="false">IF(((1000)-(c_TMAP3IN))=0,(c_TMAP3OUT)+QUOTIENT(((1000)-(c_TMAP3OUT)),2),QUOTIENT((((A505)-(c_TMAP3IN))*((1000)-(c_TMAP3OUT))+IF(((1000)-(c_TMAP3OUT))&gt;=0,1,-1)*QUOTIENT(((1000)-(c_TMAP3IN)),2)),((1000)-(c_TMAP3IN)))+(c_TMAP3OUT)+IF(((1000)-(c_TMAP3OUT))&gt;=0,IF(IF(o_WRAP=1,MOD(((1000)-(c_TMAP3IN))*(((A505)-(c_TMAP3IN))*((1000)-(c_TMAP3OUT))+IF(((1000)-(c_TMAP3OUT))&gt;=0,1,-1)*QUOTIENT(((1000)-(c_TMAP3IN)),2))+2147483648,4294967296)-2147483648,((1000)-(c_TMAP3IN))*(((A505)-(c_TMAP3IN))*((1000)-(c_TMAP3OUT))+IF(((1000)-(c_TMAP3OUT))&gt;=0,1,-1)*QUOTIENT(((1000)-(c_TMAP3IN)),2)))&lt;0,-1,0),IF(IF(o_WRAP=1,MOD(((1000)-(c_TMAP3IN))*(((A505)-(c_TMAP3IN))*((1000)-(c_TMAP3OUT))+IF(((1000)-(c_TMAP3OUT))&gt;=0,1,-1)*QUOTIENT(((1000)-(c_TMAP3IN)),2))+2147483648,4294967296)-2147483648,((1000)-(c_TMAP3IN))*(((A505)-(c_TMAP3IN))*((1000)-(c_TMAP3OUT))+IF(((1000)-(c_TMAP3OUT))&gt;=0,1,-1)*QUOTIENT(((1000)-(c_TMAP3IN)),2)))&gt;=0,1,0)))</f>
        <v>385</v>
      </c>
      <c r="H505" s="7" t="str">
        <f aca="false">IF(A505&gt;=c_TFWD,IF(AND(A505&gt;=c_TMAP3IN,c_TMAP3IN&lt;1000),"Seg4 map3-100%",IF(AND(A505&gt;=c_TMAP2IN,c_TMAP3IN&gt;c_TMAP2IN),"Seg3 map2-map3",IF(AND(A505&gt;=c_TMAP1IN,c_TMAP2IN&gt;c_TMAP1IN),"Seg2 map1-map2","Seg1 TFWD-map1"))),IF(AND(A505=0,c_TCREEP&gt;0),"Creep",IF(AND(A505&lt;=c_TRNGMIN,A505&gt;=c_TRNGMAX,c_TRNGMIN-c_TRNGMAX&lt;&gt;0),"Regen ramp","Coast (0)")))</f>
        <v>Seg4 map3-100%</v>
      </c>
      <c r="I505" s="7" t="n">
        <f aca="false">IF(A505&gt;=c_TFWD,IF(AND(A505&gt;=c_TMAP3IN,c_TMAP3IN&lt;1000),G505,IF(AND(A505&gt;=c_TMAP2IN,c_TMAP3IN&gt;c_TMAP2IN),F505,IF(AND(A505&gt;=c_TMAP1IN,c_TMAP2IN&gt;c_TMAP1IN),E505,D505))),C505)</f>
        <v>385</v>
      </c>
      <c r="J505" s="7" t="str">
        <f aca="false">IF(I505&lt;-1090,"TOO LOW",IF(I505&gt;1090,"TOO HIGH",""))</f>
        <v/>
      </c>
      <c r="K505" s="15" t="n">
        <f aca="false">IF(J505&lt;&gt;"",0,IF(I505&gt;979,1000,I505))</f>
        <v>385</v>
      </c>
      <c r="L505" s="7" t="n">
        <f aca="false">K505/10</f>
        <v>38.5</v>
      </c>
    </row>
    <row r="506" customFormat="false" ht="15" hidden="false" customHeight="false" outlineLevel="0" collapsed="false">
      <c r="A506" s="7" t="n">
        <v>501</v>
      </c>
      <c r="B506" s="7" t="n">
        <f aca="false">A506/10</f>
        <v>50.1</v>
      </c>
      <c r="C506" s="7" t="n">
        <f aca="false">IF(AND(A506=0,c_TCREEP&gt;0),10*c_TCREEP,IF(AND(A506&lt;=c_TRNGMIN,A506&gt;=c_TRNGMAX,c_TRNGMIN-c_TRNGMAX&lt;&gt;0),-10*c_TMINRN+QUOTIENT((c_TMAXRN-c_TMINRN)*(100-QUOTIENT((A506-c_TRNGMAX)*100,c_TRNGMIN-c_TRNGMAX)),-10),0))</f>
        <v>0</v>
      </c>
      <c r="D506" s="7" t="n">
        <f aca="false">IF(((c_TMAP1IN)-(c_TFWD))=0,(0)+QUOTIENT(((c_TMAP1OUT)-(0)),2),QUOTIENT((((A506)-(c_TFWD))*((c_TMAP1OUT)-(0))+IF(((c_TMAP1OUT)-(0))&gt;=0,1,-1)*QUOTIENT(((c_TMAP1IN)-(c_TFWD)),2)),((c_TMAP1IN)-(c_TFWD)))+(0)+IF(((c_TMAP1OUT)-(0))&gt;=0,IF(IF(o_WRAP=1,MOD(((c_TMAP1IN)-(c_TFWD))*(((A506)-(c_TFWD))*((c_TMAP1OUT)-(0))+IF(((c_TMAP1OUT)-(0))&gt;=0,1,-1)*QUOTIENT(((c_TMAP1IN)-(c_TFWD)),2))+2147483648,4294967296)-2147483648,((c_TMAP1IN)-(c_TFWD))*(((A506)-(c_TFWD))*((c_TMAP1OUT)-(0))+IF(((c_TMAP1OUT)-(0))&gt;=0,1,-1)*QUOTIENT(((c_TMAP1IN)-(c_TFWD)),2)))&lt;0,-1,0),IF(IF(o_WRAP=1,MOD(((c_TMAP1IN)-(c_TFWD))*(((A506)-(c_TFWD))*((c_TMAP1OUT)-(0))+IF(((c_TMAP1OUT)-(0))&gt;=0,1,-1)*QUOTIENT(((c_TMAP1IN)-(c_TFWD)),2))+2147483648,4294967296)-2147483648,((c_TMAP1IN)-(c_TFWD))*(((A506)-(c_TFWD))*((c_TMAP1OUT)-(0))+IF(((c_TMAP1OUT)-(0))&gt;=0,1,-1)*QUOTIENT(((c_TMAP1IN)-(c_TFWD)),2)))&gt;=0,1,0)))</f>
        <v>382</v>
      </c>
      <c r="E506" s="7" t="n">
        <f aca="false">IF(((c_TMAP2IN)-(c_TMAP1IN))=0,(c_TMAP1OUT)+QUOTIENT(((c_TMAP2OUT)-(c_TMAP1OUT)),2),QUOTIENT((((A506)-(c_TMAP1IN))*((c_TMAP2OUT)-(c_TMAP1OUT))+IF(((c_TMAP2OUT)-(c_TMAP1OUT))&gt;=0,1,-1)*QUOTIENT(((c_TMAP2IN)-(c_TMAP1IN)),2)),((c_TMAP2IN)-(c_TMAP1IN)))+(c_TMAP1OUT)+IF(((c_TMAP2OUT)-(c_TMAP1OUT))&gt;=0,IF(IF(o_WRAP=1,MOD(((c_TMAP2IN)-(c_TMAP1IN))*(((A506)-(c_TMAP1IN))*((c_TMAP2OUT)-(c_TMAP1OUT))+IF(((c_TMAP2OUT)-(c_TMAP1OUT))&gt;=0,1,-1)*QUOTIENT(((c_TMAP2IN)-(c_TMAP1IN)),2))+2147483648,4294967296)-2147483648,((c_TMAP2IN)-(c_TMAP1IN))*(((A506)-(c_TMAP1IN))*((c_TMAP2OUT)-(c_TMAP1OUT))+IF(((c_TMAP2OUT)-(c_TMAP1OUT))&gt;=0,1,-1)*QUOTIENT(((c_TMAP2IN)-(c_TMAP1IN)),2)))&lt;0,-1,0),IF(IF(o_WRAP=1,MOD(((c_TMAP2IN)-(c_TMAP1IN))*(((A506)-(c_TMAP1IN))*((c_TMAP2OUT)-(c_TMAP1OUT))+IF(((c_TMAP2OUT)-(c_TMAP1OUT))&gt;=0,1,-1)*QUOTIENT(((c_TMAP2IN)-(c_TMAP1IN)),2))+2147483648,4294967296)-2147483648,((c_TMAP2IN)-(c_TMAP1IN))*(((A506)-(c_TMAP1IN))*((c_TMAP2OUT)-(c_TMAP1OUT))+IF(((c_TMAP2OUT)-(c_TMAP1OUT))&gt;=0,1,-1)*QUOTIENT(((c_TMAP2IN)-(c_TMAP1IN)),2)))&gt;=0,1,0)))</f>
        <v>230</v>
      </c>
      <c r="F506" s="7" t="n">
        <f aca="false">IF(((c_TMAP3IN)-(c_TMAP2IN))=0,(c_TMAP2OUT)+QUOTIENT(((c_TMAP3OUT)-(c_TMAP2OUT)),2),QUOTIENT((((A506)-(c_TMAP2IN))*((c_TMAP3OUT)-(c_TMAP2OUT))+IF(((c_TMAP3OUT)-(c_TMAP2OUT))&gt;=0,1,-1)*QUOTIENT(((c_TMAP3IN)-(c_TMAP2IN)),2)),((c_TMAP3IN)-(c_TMAP2IN)))+(c_TMAP2OUT)+IF(((c_TMAP3OUT)-(c_TMAP2OUT))&gt;=0,IF(IF(o_WRAP=1,MOD(((c_TMAP3IN)-(c_TMAP2IN))*(((A506)-(c_TMAP2IN))*((c_TMAP3OUT)-(c_TMAP2OUT))+IF(((c_TMAP3OUT)-(c_TMAP2OUT))&gt;=0,1,-1)*QUOTIENT(((c_TMAP3IN)-(c_TMAP2IN)),2))+2147483648,4294967296)-2147483648,((c_TMAP3IN)-(c_TMAP2IN))*(((A506)-(c_TMAP2IN))*((c_TMAP3OUT)-(c_TMAP2OUT))+IF(((c_TMAP3OUT)-(c_TMAP2OUT))&gt;=0,1,-1)*QUOTIENT(((c_TMAP3IN)-(c_TMAP2IN)),2)))&lt;0,-1,0),IF(IF(o_WRAP=1,MOD(((c_TMAP3IN)-(c_TMAP2IN))*(((A506)-(c_TMAP2IN))*((c_TMAP3OUT)-(c_TMAP2OUT))+IF(((c_TMAP3OUT)-(c_TMAP2OUT))&gt;=0,1,-1)*QUOTIENT(((c_TMAP3IN)-(c_TMAP2IN)),2))+2147483648,4294967296)-2147483648,((c_TMAP3IN)-(c_TMAP2IN))*(((A506)-(c_TMAP2IN))*((c_TMAP3OUT)-(c_TMAP2OUT))+IF(((c_TMAP3OUT)-(c_TMAP2OUT))&gt;=0,1,-1)*QUOTIENT(((c_TMAP3IN)-(c_TMAP2IN)),2)))&gt;=0,1,0)))</f>
        <v>306</v>
      </c>
      <c r="G506" s="7" t="n">
        <f aca="false">IF(((1000)-(c_TMAP3IN))=0,(c_TMAP3OUT)+QUOTIENT(((1000)-(c_TMAP3OUT)),2),QUOTIENT((((A506)-(c_TMAP3IN))*((1000)-(c_TMAP3OUT))+IF(((1000)-(c_TMAP3OUT))&gt;=0,1,-1)*QUOTIENT(((1000)-(c_TMAP3IN)),2)),((1000)-(c_TMAP3IN)))+(c_TMAP3OUT)+IF(((1000)-(c_TMAP3OUT))&gt;=0,IF(IF(o_WRAP=1,MOD(((1000)-(c_TMAP3IN))*(((A506)-(c_TMAP3IN))*((1000)-(c_TMAP3OUT))+IF(((1000)-(c_TMAP3OUT))&gt;=0,1,-1)*QUOTIENT(((1000)-(c_TMAP3IN)),2))+2147483648,4294967296)-2147483648,((1000)-(c_TMAP3IN))*(((A506)-(c_TMAP3IN))*((1000)-(c_TMAP3OUT))+IF(((1000)-(c_TMAP3OUT))&gt;=0,1,-1)*QUOTIENT(((1000)-(c_TMAP3IN)),2)))&lt;0,-1,0),IF(IF(o_WRAP=1,MOD(((1000)-(c_TMAP3IN))*(((A506)-(c_TMAP3IN))*((1000)-(c_TMAP3OUT))+IF(((1000)-(c_TMAP3OUT))&gt;=0,1,-1)*QUOTIENT(((1000)-(c_TMAP3IN)),2))+2147483648,4294967296)-2147483648,((1000)-(c_TMAP3IN))*(((A506)-(c_TMAP3IN))*((1000)-(c_TMAP3OUT))+IF(((1000)-(c_TMAP3OUT))&gt;=0,1,-1)*QUOTIENT(((1000)-(c_TMAP3IN)),2)))&gt;=0,1,0)))</f>
        <v>386</v>
      </c>
      <c r="H506" s="7" t="str">
        <f aca="false">IF(A506&gt;=c_TFWD,IF(AND(A506&gt;=c_TMAP3IN,c_TMAP3IN&lt;1000),"Seg4 map3-100%",IF(AND(A506&gt;=c_TMAP2IN,c_TMAP3IN&gt;c_TMAP2IN),"Seg3 map2-map3",IF(AND(A506&gt;=c_TMAP1IN,c_TMAP2IN&gt;c_TMAP1IN),"Seg2 map1-map2","Seg1 TFWD-map1"))),IF(AND(A506=0,c_TCREEP&gt;0),"Creep",IF(AND(A506&lt;=c_TRNGMIN,A506&gt;=c_TRNGMAX,c_TRNGMIN-c_TRNGMAX&lt;&gt;0),"Regen ramp","Coast (0)")))</f>
        <v>Seg4 map3-100%</v>
      </c>
      <c r="I506" s="7" t="n">
        <f aca="false">IF(A506&gt;=c_TFWD,IF(AND(A506&gt;=c_TMAP3IN,c_TMAP3IN&lt;1000),G506,IF(AND(A506&gt;=c_TMAP2IN,c_TMAP3IN&gt;c_TMAP2IN),F506,IF(AND(A506&gt;=c_TMAP1IN,c_TMAP2IN&gt;c_TMAP1IN),E506,D506))),C506)</f>
        <v>386</v>
      </c>
      <c r="J506" s="7" t="str">
        <f aca="false">IF(I506&lt;-1090,"TOO LOW",IF(I506&gt;1090,"TOO HIGH",""))</f>
        <v/>
      </c>
      <c r="K506" s="15" t="n">
        <f aca="false">IF(J506&lt;&gt;"",0,IF(I506&gt;979,1000,I506))</f>
        <v>386</v>
      </c>
      <c r="L506" s="7" t="n">
        <f aca="false">K506/10</f>
        <v>38.6</v>
      </c>
    </row>
    <row r="507" customFormat="false" ht="15" hidden="false" customHeight="false" outlineLevel="0" collapsed="false">
      <c r="A507" s="7" t="n">
        <v>502</v>
      </c>
      <c r="B507" s="7" t="n">
        <f aca="false">A507/10</f>
        <v>50.2</v>
      </c>
      <c r="C507" s="7" t="n">
        <f aca="false">IF(AND(A507=0,c_TCREEP&gt;0),10*c_TCREEP,IF(AND(A507&lt;=c_TRNGMIN,A507&gt;=c_TRNGMAX,c_TRNGMIN-c_TRNGMAX&lt;&gt;0),-10*c_TMINRN+QUOTIENT((c_TMAXRN-c_TMINRN)*(100-QUOTIENT((A507-c_TRNGMAX)*100,c_TRNGMIN-c_TRNGMAX)),-10),0))</f>
        <v>0</v>
      </c>
      <c r="D507" s="7" t="n">
        <f aca="false">IF(((c_TMAP1IN)-(c_TFWD))=0,(0)+QUOTIENT(((c_TMAP1OUT)-(0)),2),QUOTIENT((((A507)-(c_TFWD))*((c_TMAP1OUT)-(0))+IF(((c_TMAP1OUT)-(0))&gt;=0,1,-1)*QUOTIENT(((c_TMAP1IN)-(c_TFWD)),2)),((c_TMAP1IN)-(c_TFWD)))+(0)+IF(((c_TMAP1OUT)-(0))&gt;=0,IF(IF(o_WRAP=1,MOD(((c_TMAP1IN)-(c_TFWD))*(((A507)-(c_TFWD))*((c_TMAP1OUT)-(0))+IF(((c_TMAP1OUT)-(0))&gt;=0,1,-1)*QUOTIENT(((c_TMAP1IN)-(c_TFWD)),2))+2147483648,4294967296)-2147483648,((c_TMAP1IN)-(c_TFWD))*(((A507)-(c_TFWD))*((c_TMAP1OUT)-(0))+IF(((c_TMAP1OUT)-(0))&gt;=0,1,-1)*QUOTIENT(((c_TMAP1IN)-(c_TFWD)),2)))&lt;0,-1,0),IF(IF(o_WRAP=1,MOD(((c_TMAP1IN)-(c_TFWD))*(((A507)-(c_TFWD))*((c_TMAP1OUT)-(0))+IF(((c_TMAP1OUT)-(0))&gt;=0,1,-1)*QUOTIENT(((c_TMAP1IN)-(c_TFWD)),2))+2147483648,4294967296)-2147483648,((c_TMAP1IN)-(c_TFWD))*(((A507)-(c_TFWD))*((c_TMAP1OUT)-(0))+IF(((c_TMAP1OUT)-(0))&gt;=0,1,-1)*QUOTIENT(((c_TMAP1IN)-(c_TFWD)),2)))&gt;=0,1,0)))</f>
        <v>383</v>
      </c>
      <c r="E507" s="7" t="n">
        <f aca="false">IF(((c_TMAP2IN)-(c_TMAP1IN))=0,(c_TMAP1OUT)+QUOTIENT(((c_TMAP2OUT)-(c_TMAP1OUT)),2),QUOTIENT((((A507)-(c_TMAP1IN))*((c_TMAP2OUT)-(c_TMAP1OUT))+IF(((c_TMAP2OUT)-(c_TMAP1OUT))&gt;=0,1,-1)*QUOTIENT(((c_TMAP2IN)-(c_TMAP1IN)),2)),((c_TMAP2IN)-(c_TMAP1IN)))+(c_TMAP1OUT)+IF(((c_TMAP2OUT)-(c_TMAP1OUT))&gt;=0,IF(IF(o_WRAP=1,MOD(((c_TMAP2IN)-(c_TMAP1IN))*(((A507)-(c_TMAP1IN))*((c_TMAP2OUT)-(c_TMAP1OUT))+IF(((c_TMAP2OUT)-(c_TMAP1OUT))&gt;=0,1,-1)*QUOTIENT(((c_TMAP2IN)-(c_TMAP1IN)),2))+2147483648,4294967296)-2147483648,((c_TMAP2IN)-(c_TMAP1IN))*(((A507)-(c_TMAP1IN))*((c_TMAP2OUT)-(c_TMAP1OUT))+IF(((c_TMAP2OUT)-(c_TMAP1OUT))&gt;=0,1,-1)*QUOTIENT(((c_TMAP2IN)-(c_TMAP1IN)),2)))&lt;0,-1,0),IF(IF(o_WRAP=1,MOD(((c_TMAP2IN)-(c_TMAP1IN))*(((A507)-(c_TMAP1IN))*((c_TMAP2OUT)-(c_TMAP1OUT))+IF(((c_TMAP2OUT)-(c_TMAP1OUT))&gt;=0,1,-1)*QUOTIENT(((c_TMAP2IN)-(c_TMAP1IN)),2))+2147483648,4294967296)-2147483648,((c_TMAP2IN)-(c_TMAP1IN))*(((A507)-(c_TMAP1IN))*((c_TMAP2OUT)-(c_TMAP1OUT))+IF(((c_TMAP2OUT)-(c_TMAP1OUT))&gt;=0,1,-1)*QUOTIENT(((c_TMAP2IN)-(c_TMAP1IN)),2)))&gt;=0,1,0)))</f>
        <v>231</v>
      </c>
      <c r="F507" s="7" t="n">
        <f aca="false">IF(((c_TMAP3IN)-(c_TMAP2IN))=0,(c_TMAP2OUT)+QUOTIENT(((c_TMAP3OUT)-(c_TMAP2OUT)),2),QUOTIENT((((A507)-(c_TMAP2IN))*((c_TMAP3OUT)-(c_TMAP2OUT))+IF(((c_TMAP3OUT)-(c_TMAP2OUT))&gt;=0,1,-1)*QUOTIENT(((c_TMAP3IN)-(c_TMAP2IN)),2)),((c_TMAP3IN)-(c_TMAP2IN)))+(c_TMAP2OUT)+IF(((c_TMAP3OUT)-(c_TMAP2OUT))&gt;=0,IF(IF(o_WRAP=1,MOD(((c_TMAP3IN)-(c_TMAP2IN))*(((A507)-(c_TMAP2IN))*((c_TMAP3OUT)-(c_TMAP2OUT))+IF(((c_TMAP3OUT)-(c_TMAP2OUT))&gt;=0,1,-1)*QUOTIENT(((c_TMAP3IN)-(c_TMAP2IN)),2))+2147483648,4294967296)-2147483648,((c_TMAP3IN)-(c_TMAP2IN))*(((A507)-(c_TMAP2IN))*((c_TMAP3OUT)-(c_TMAP2OUT))+IF(((c_TMAP3OUT)-(c_TMAP2OUT))&gt;=0,1,-1)*QUOTIENT(((c_TMAP3IN)-(c_TMAP2IN)),2)))&lt;0,-1,0),IF(IF(o_WRAP=1,MOD(((c_TMAP3IN)-(c_TMAP2IN))*(((A507)-(c_TMAP2IN))*((c_TMAP3OUT)-(c_TMAP2OUT))+IF(((c_TMAP3OUT)-(c_TMAP2OUT))&gt;=0,1,-1)*QUOTIENT(((c_TMAP3IN)-(c_TMAP2IN)),2))+2147483648,4294967296)-2147483648,((c_TMAP3IN)-(c_TMAP2IN))*(((A507)-(c_TMAP2IN))*((c_TMAP3OUT)-(c_TMAP2OUT))+IF(((c_TMAP3OUT)-(c_TMAP2OUT))&gt;=0,1,-1)*QUOTIENT(((c_TMAP3IN)-(c_TMAP2IN)),2)))&gt;=0,1,0)))</f>
        <v>306</v>
      </c>
      <c r="G507" s="7" t="n">
        <f aca="false">IF(((1000)-(c_TMAP3IN))=0,(c_TMAP3OUT)+QUOTIENT(((1000)-(c_TMAP3OUT)),2),QUOTIENT((((A507)-(c_TMAP3IN))*((1000)-(c_TMAP3OUT))+IF(((1000)-(c_TMAP3OUT))&gt;=0,1,-1)*QUOTIENT(((1000)-(c_TMAP3IN)),2)),((1000)-(c_TMAP3IN)))+(c_TMAP3OUT)+IF(((1000)-(c_TMAP3OUT))&gt;=0,IF(IF(o_WRAP=1,MOD(((1000)-(c_TMAP3IN))*(((A507)-(c_TMAP3IN))*((1000)-(c_TMAP3OUT))+IF(((1000)-(c_TMAP3OUT))&gt;=0,1,-1)*QUOTIENT(((1000)-(c_TMAP3IN)),2))+2147483648,4294967296)-2147483648,((1000)-(c_TMAP3IN))*(((A507)-(c_TMAP3IN))*((1000)-(c_TMAP3OUT))+IF(((1000)-(c_TMAP3OUT))&gt;=0,1,-1)*QUOTIENT(((1000)-(c_TMAP3IN)),2)))&lt;0,-1,0),IF(IF(o_WRAP=1,MOD(((1000)-(c_TMAP3IN))*(((A507)-(c_TMAP3IN))*((1000)-(c_TMAP3OUT))+IF(((1000)-(c_TMAP3OUT))&gt;=0,1,-1)*QUOTIENT(((1000)-(c_TMAP3IN)),2))+2147483648,4294967296)-2147483648,((1000)-(c_TMAP3IN))*(((A507)-(c_TMAP3IN))*((1000)-(c_TMAP3OUT))+IF(((1000)-(c_TMAP3OUT))&gt;=0,1,-1)*QUOTIENT(((1000)-(c_TMAP3IN)),2)))&gt;=0,1,0)))</f>
        <v>387</v>
      </c>
      <c r="H507" s="7" t="str">
        <f aca="false">IF(A507&gt;=c_TFWD,IF(AND(A507&gt;=c_TMAP3IN,c_TMAP3IN&lt;1000),"Seg4 map3-100%",IF(AND(A507&gt;=c_TMAP2IN,c_TMAP3IN&gt;c_TMAP2IN),"Seg3 map2-map3",IF(AND(A507&gt;=c_TMAP1IN,c_TMAP2IN&gt;c_TMAP1IN),"Seg2 map1-map2","Seg1 TFWD-map1"))),IF(AND(A507=0,c_TCREEP&gt;0),"Creep",IF(AND(A507&lt;=c_TRNGMIN,A507&gt;=c_TRNGMAX,c_TRNGMIN-c_TRNGMAX&lt;&gt;0),"Regen ramp","Coast (0)")))</f>
        <v>Seg4 map3-100%</v>
      </c>
      <c r="I507" s="7" t="n">
        <f aca="false">IF(A507&gt;=c_TFWD,IF(AND(A507&gt;=c_TMAP3IN,c_TMAP3IN&lt;1000),G507,IF(AND(A507&gt;=c_TMAP2IN,c_TMAP3IN&gt;c_TMAP2IN),F507,IF(AND(A507&gt;=c_TMAP1IN,c_TMAP2IN&gt;c_TMAP1IN),E507,D507))),C507)</f>
        <v>387</v>
      </c>
      <c r="J507" s="7" t="str">
        <f aca="false">IF(I507&lt;-1090,"TOO LOW",IF(I507&gt;1090,"TOO HIGH",""))</f>
        <v/>
      </c>
      <c r="K507" s="15" t="n">
        <f aca="false">IF(J507&lt;&gt;"",0,IF(I507&gt;979,1000,I507))</f>
        <v>387</v>
      </c>
      <c r="L507" s="7" t="n">
        <f aca="false">K507/10</f>
        <v>38.7</v>
      </c>
    </row>
    <row r="508" customFormat="false" ht="15" hidden="false" customHeight="false" outlineLevel="0" collapsed="false">
      <c r="A508" s="7" t="n">
        <v>503</v>
      </c>
      <c r="B508" s="7" t="n">
        <f aca="false">A508/10</f>
        <v>50.3</v>
      </c>
      <c r="C508" s="7" t="n">
        <f aca="false">IF(AND(A508=0,c_TCREEP&gt;0),10*c_TCREEP,IF(AND(A508&lt;=c_TRNGMIN,A508&gt;=c_TRNGMAX,c_TRNGMIN-c_TRNGMAX&lt;&gt;0),-10*c_TMINRN+QUOTIENT((c_TMAXRN-c_TMINRN)*(100-QUOTIENT((A508-c_TRNGMAX)*100,c_TRNGMIN-c_TRNGMAX)),-10),0))</f>
        <v>0</v>
      </c>
      <c r="D508" s="7" t="n">
        <f aca="false">IF(((c_TMAP1IN)-(c_TFWD))=0,(0)+QUOTIENT(((c_TMAP1OUT)-(0)),2),QUOTIENT((((A508)-(c_TFWD))*((c_TMAP1OUT)-(0))+IF(((c_TMAP1OUT)-(0))&gt;=0,1,-1)*QUOTIENT(((c_TMAP1IN)-(c_TFWD)),2)),((c_TMAP1IN)-(c_TFWD)))+(0)+IF(((c_TMAP1OUT)-(0))&gt;=0,IF(IF(o_WRAP=1,MOD(((c_TMAP1IN)-(c_TFWD))*(((A508)-(c_TFWD))*((c_TMAP1OUT)-(0))+IF(((c_TMAP1OUT)-(0))&gt;=0,1,-1)*QUOTIENT(((c_TMAP1IN)-(c_TFWD)),2))+2147483648,4294967296)-2147483648,((c_TMAP1IN)-(c_TFWD))*(((A508)-(c_TFWD))*((c_TMAP1OUT)-(0))+IF(((c_TMAP1OUT)-(0))&gt;=0,1,-1)*QUOTIENT(((c_TMAP1IN)-(c_TFWD)),2)))&lt;0,-1,0),IF(IF(o_WRAP=1,MOD(((c_TMAP1IN)-(c_TFWD))*(((A508)-(c_TFWD))*((c_TMAP1OUT)-(0))+IF(((c_TMAP1OUT)-(0))&gt;=0,1,-1)*QUOTIENT(((c_TMAP1IN)-(c_TFWD)),2))+2147483648,4294967296)-2147483648,((c_TMAP1IN)-(c_TFWD))*(((A508)-(c_TFWD))*((c_TMAP1OUT)-(0))+IF(((c_TMAP1OUT)-(0))&gt;=0,1,-1)*QUOTIENT(((c_TMAP1IN)-(c_TFWD)),2)))&gt;=0,1,0)))</f>
        <v>383</v>
      </c>
      <c r="E508" s="7" t="n">
        <f aca="false">IF(((c_TMAP2IN)-(c_TMAP1IN))=0,(c_TMAP1OUT)+QUOTIENT(((c_TMAP2OUT)-(c_TMAP1OUT)),2),QUOTIENT((((A508)-(c_TMAP1IN))*((c_TMAP2OUT)-(c_TMAP1OUT))+IF(((c_TMAP2OUT)-(c_TMAP1OUT))&gt;=0,1,-1)*QUOTIENT(((c_TMAP2IN)-(c_TMAP1IN)),2)),((c_TMAP2IN)-(c_TMAP1IN)))+(c_TMAP1OUT)+IF(((c_TMAP2OUT)-(c_TMAP1OUT))&gt;=0,IF(IF(o_WRAP=1,MOD(((c_TMAP2IN)-(c_TMAP1IN))*(((A508)-(c_TMAP1IN))*((c_TMAP2OUT)-(c_TMAP1OUT))+IF(((c_TMAP2OUT)-(c_TMAP1OUT))&gt;=0,1,-1)*QUOTIENT(((c_TMAP2IN)-(c_TMAP1IN)),2))+2147483648,4294967296)-2147483648,((c_TMAP2IN)-(c_TMAP1IN))*(((A508)-(c_TMAP1IN))*((c_TMAP2OUT)-(c_TMAP1OUT))+IF(((c_TMAP2OUT)-(c_TMAP1OUT))&gt;=0,1,-1)*QUOTIENT(((c_TMAP2IN)-(c_TMAP1IN)),2)))&lt;0,-1,0),IF(IF(o_WRAP=1,MOD(((c_TMAP2IN)-(c_TMAP1IN))*(((A508)-(c_TMAP1IN))*((c_TMAP2OUT)-(c_TMAP1OUT))+IF(((c_TMAP2OUT)-(c_TMAP1OUT))&gt;=0,1,-1)*QUOTIENT(((c_TMAP2IN)-(c_TMAP1IN)),2))+2147483648,4294967296)-2147483648,((c_TMAP2IN)-(c_TMAP1IN))*(((A508)-(c_TMAP1IN))*((c_TMAP2OUT)-(c_TMAP1OUT))+IF(((c_TMAP2OUT)-(c_TMAP1OUT))&gt;=0,1,-1)*QUOTIENT(((c_TMAP2IN)-(c_TMAP1IN)),2)))&gt;=0,1,0)))</f>
        <v>231</v>
      </c>
      <c r="F508" s="7" t="n">
        <f aca="false">IF(((c_TMAP3IN)-(c_TMAP2IN))=0,(c_TMAP2OUT)+QUOTIENT(((c_TMAP3OUT)-(c_TMAP2OUT)),2),QUOTIENT((((A508)-(c_TMAP2IN))*((c_TMAP3OUT)-(c_TMAP2OUT))+IF(((c_TMAP3OUT)-(c_TMAP2OUT))&gt;=0,1,-1)*QUOTIENT(((c_TMAP3IN)-(c_TMAP2IN)),2)),((c_TMAP3IN)-(c_TMAP2IN)))+(c_TMAP2OUT)+IF(((c_TMAP3OUT)-(c_TMAP2OUT))&gt;=0,IF(IF(o_WRAP=1,MOD(((c_TMAP3IN)-(c_TMAP2IN))*(((A508)-(c_TMAP2IN))*((c_TMAP3OUT)-(c_TMAP2OUT))+IF(((c_TMAP3OUT)-(c_TMAP2OUT))&gt;=0,1,-1)*QUOTIENT(((c_TMAP3IN)-(c_TMAP2IN)),2))+2147483648,4294967296)-2147483648,((c_TMAP3IN)-(c_TMAP2IN))*(((A508)-(c_TMAP2IN))*((c_TMAP3OUT)-(c_TMAP2OUT))+IF(((c_TMAP3OUT)-(c_TMAP2OUT))&gt;=0,1,-1)*QUOTIENT(((c_TMAP3IN)-(c_TMAP2IN)),2)))&lt;0,-1,0),IF(IF(o_WRAP=1,MOD(((c_TMAP3IN)-(c_TMAP2IN))*(((A508)-(c_TMAP2IN))*((c_TMAP3OUT)-(c_TMAP2OUT))+IF(((c_TMAP3OUT)-(c_TMAP2OUT))&gt;=0,1,-1)*QUOTIENT(((c_TMAP3IN)-(c_TMAP2IN)),2))+2147483648,4294967296)-2147483648,((c_TMAP3IN)-(c_TMAP2IN))*(((A508)-(c_TMAP2IN))*((c_TMAP3OUT)-(c_TMAP2OUT))+IF(((c_TMAP3OUT)-(c_TMAP2OUT))&gt;=0,1,-1)*QUOTIENT(((c_TMAP3IN)-(c_TMAP2IN)),2)))&gt;=0,1,0)))</f>
        <v>307</v>
      </c>
      <c r="G508" s="7" t="n">
        <f aca="false">IF(((1000)-(c_TMAP3IN))=0,(c_TMAP3OUT)+QUOTIENT(((1000)-(c_TMAP3OUT)),2),QUOTIENT((((A508)-(c_TMAP3IN))*((1000)-(c_TMAP3OUT))+IF(((1000)-(c_TMAP3OUT))&gt;=0,1,-1)*QUOTIENT(((1000)-(c_TMAP3IN)),2)),((1000)-(c_TMAP3IN)))+(c_TMAP3OUT)+IF(((1000)-(c_TMAP3OUT))&gt;=0,IF(IF(o_WRAP=1,MOD(((1000)-(c_TMAP3IN))*(((A508)-(c_TMAP3IN))*((1000)-(c_TMAP3OUT))+IF(((1000)-(c_TMAP3OUT))&gt;=0,1,-1)*QUOTIENT(((1000)-(c_TMAP3IN)),2))+2147483648,4294967296)-2147483648,((1000)-(c_TMAP3IN))*(((A508)-(c_TMAP3IN))*((1000)-(c_TMAP3OUT))+IF(((1000)-(c_TMAP3OUT))&gt;=0,1,-1)*QUOTIENT(((1000)-(c_TMAP3IN)),2)))&lt;0,-1,0),IF(IF(o_WRAP=1,MOD(((1000)-(c_TMAP3IN))*(((A508)-(c_TMAP3IN))*((1000)-(c_TMAP3OUT))+IF(((1000)-(c_TMAP3OUT))&gt;=0,1,-1)*QUOTIENT(((1000)-(c_TMAP3IN)),2))+2147483648,4294967296)-2147483648,((1000)-(c_TMAP3IN))*(((A508)-(c_TMAP3IN))*((1000)-(c_TMAP3OUT))+IF(((1000)-(c_TMAP3OUT))&gt;=0,1,-1)*QUOTIENT(((1000)-(c_TMAP3IN)),2)))&gt;=0,1,0)))</f>
        <v>388</v>
      </c>
      <c r="H508" s="7" t="str">
        <f aca="false">IF(A508&gt;=c_TFWD,IF(AND(A508&gt;=c_TMAP3IN,c_TMAP3IN&lt;1000),"Seg4 map3-100%",IF(AND(A508&gt;=c_TMAP2IN,c_TMAP3IN&gt;c_TMAP2IN),"Seg3 map2-map3",IF(AND(A508&gt;=c_TMAP1IN,c_TMAP2IN&gt;c_TMAP1IN),"Seg2 map1-map2","Seg1 TFWD-map1"))),IF(AND(A508=0,c_TCREEP&gt;0),"Creep",IF(AND(A508&lt;=c_TRNGMIN,A508&gt;=c_TRNGMAX,c_TRNGMIN-c_TRNGMAX&lt;&gt;0),"Regen ramp","Coast (0)")))</f>
        <v>Seg4 map3-100%</v>
      </c>
      <c r="I508" s="7" t="n">
        <f aca="false">IF(A508&gt;=c_TFWD,IF(AND(A508&gt;=c_TMAP3IN,c_TMAP3IN&lt;1000),G508,IF(AND(A508&gt;=c_TMAP2IN,c_TMAP3IN&gt;c_TMAP2IN),F508,IF(AND(A508&gt;=c_TMAP1IN,c_TMAP2IN&gt;c_TMAP1IN),E508,D508))),C508)</f>
        <v>388</v>
      </c>
      <c r="J508" s="7" t="str">
        <f aca="false">IF(I508&lt;-1090,"TOO LOW",IF(I508&gt;1090,"TOO HIGH",""))</f>
        <v/>
      </c>
      <c r="K508" s="15" t="n">
        <f aca="false">IF(J508&lt;&gt;"",0,IF(I508&gt;979,1000,I508))</f>
        <v>388</v>
      </c>
      <c r="L508" s="7" t="n">
        <f aca="false">K508/10</f>
        <v>38.8</v>
      </c>
    </row>
    <row r="509" customFormat="false" ht="15" hidden="false" customHeight="false" outlineLevel="0" collapsed="false">
      <c r="A509" s="7" t="n">
        <v>504</v>
      </c>
      <c r="B509" s="7" t="n">
        <f aca="false">A509/10</f>
        <v>50.4</v>
      </c>
      <c r="C509" s="7" t="n">
        <f aca="false">IF(AND(A509=0,c_TCREEP&gt;0),10*c_TCREEP,IF(AND(A509&lt;=c_TRNGMIN,A509&gt;=c_TRNGMAX,c_TRNGMIN-c_TRNGMAX&lt;&gt;0),-10*c_TMINRN+QUOTIENT((c_TMAXRN-c_TMINRN)*(100-QUOTIENT((A509-c_TRNGMAX)*100,c_TRNGMIN-c_TRNGMAX)),-10),0))</f>
        <v>0</v>
      </c>
      <c r="D509" s="7" t="n">
        <f aca="false">IF(((c_TMAP1IN)-(c_TFWD))=0,(0)+QUOTIENT(((c_TMAP1OUT)-(0)),2),QUOTIENT((((A509)-(c_TFWD))*((c_TMAP1OUT)-(0))+IF(((c_TMAP1OUT)-(0))&gt;=0,1,-1)*QUOTIENT(((c_TMAP1IN)-(c_TFWD)),2)),((c_TMAP1IN)-(c_TFWD)))+(0)+IF(((c_TMAP1OUT)-(0))&gt;=0,IF(IF(o_WRAP=1,MOD(((c_TMAP1IN)-(c_TFWD))*(((A509)-(c_TFWD))*((c_TMAP1OUT)-(0))+IF(((c_TMAP1OUT)-(0))&gt;=0,1,-1)*QUOTIENT(((c_TMAP1IN)-(c_TFWD)),2))+2147483648,4294967296)-2147483648,((c_TMAP1IN)-(c_TFWD))*(((A509)-(c_TFWD))*((c_TMAP1OUT)-(0))+IF(((c_TMAP1OUT)-(0))&gt;=0,1,-1)*QUOTIENT(((c_TMAP1IN)-(c_TFWD)),2)))&lt;0,-1,0),IF(IF(o_WRAP=1,MOD(((c_TMAP1IN)-(c_TFWD))*(((A509)-(c_TFWD))*((c_TMAP1OUT)-(0))+IF(((c_TMAP1OUT)-(0))&gt;=0,1,-1)*QUOTIENT(((c_TMAP1IN)-(c_TFWD)),2))+2147483648,4294967296)-2147483648,((c_TMAP1IN)-(c_TFWD))*(((A509)-(c_TFWD))*((c_TMAP1OUT)-(0))+IF(((c_TMAP1OUT)-(0))&gt;=0,1,-1)*QUOTIENT(((c_TMAP1IN)-(c_TFWD)),2)))&gt;=0,1,0)))</f>
        <v>384</v>
      </c>
      <c r="E509" s="7" t="n">
        <f aca="false">IF(((c_TMAP2IN)-(c_TMAP1IN))=0,(c_TMAP1OUT)+QUOTIENT(((c_TMAP2OUT)-(c_TMAP1OUT)),2),QUOTIENT((((A509)-(c_TMAP1IN))*((c_TMAP2OUT)-(c_TMAP1OUT))+IF(((c_TMAP2OUT)-(c_TMAP1OUT))&gt;=0,1,-1)*QUOTIENT(((c_TMAP2IN)-(c_TMAP1IN)),2)),((c_TMAP2IN)-(c_TMAP1IN)))+(c_TMAP1OUT)+IF(((c_TMAP2OUT)-(c_TMAP1OUT))&gt;=0,IF(IF(o_WRAP=1,MOD(((c_TMAP2IN)-(c_TMAP1IN))*(((A509)-(c_TMAP1IN))*((c_TMAP2OUT)-(c_TMAP1OUT))+IF(((c_TMAP2OUT)-(c_TMAP1OUT))&gt;=0,1,-1)*QUOTIENT(((c_TMAP2IN)-(c_TMAP1IN)),2))+2147483648,4294967296)-2147483648,((c_TMAP2IN)-(c_TMAP1IN))*(((A509)-(c_TMAP1IN))*((c_TMAP2OUT)-(c_TMAP1OUT))+IF(((c_TMAP2OUT)-(c_TMAP1OUT))&gt;=0,1,-1)*QUOTIENT(((c_TMAP2IN)-(c_TMAP1IN)),2)))&lt;0,-1,0),IF(IF(o_WRAP=1,MOD(((c_TMAP2IN)-(c_TMAP1IN))*(((A509)-(c_TMAP1IN))*((c_TMAP2OUT)-(c_TMAP1OUT))+IF(((c_TMAP2OUT)-(c_TMAP1OUT))&gt;=0,1,-1)*QUOTIENT(((c_TMAP2IN)-(c_TMAP1IN)),2))+2147483648,4294967296)-2147483648,((c_TMAP2IN)-(c_TMAP1IN))*(((A509)-(c_TMAP1IN))*((c_TMAP2OUT)-(c_TMAP1OUT))+IF(((c_TMAP2OUT)-(c_TMAP1OUT))&gt;=0,1,-1)*QUOTIENT(((c_TMAP2IN)-(c_TMAP1IN)),2)))&gt;=0,1,0)))</f>
        <v>232</v>
      </c>
      <c r="F509" s="7" t="n">
        <f aca="false">IF(((c_TMAP3IN)-(c_TMAP2IN))=0,(c_TMAP2OUT)+QUOTIENT(((c_TMAP3OUT)-(c_TMAP2OUT)),2),QUOTIENT((((A509)-(c_TMAP2IN))*((c_TMAP3OUT)-(c_TMAP2OUT))+IF(((c_TMAP3OUT)-(c_TMAP2OUT))&gt;=0,1,-1)*QUOTIENT(((c_TMAP3IN)-(c_TMAP2IN)),2)),((c_TMAP3IN)-(c_TMAP2IN)))+(c_TMAP2OUT)+IF(((c_TMAP3OUT)-(c_TMAP2OUT))&gt;=0,IF(IF(o_WRAP=1,MOD(((c_TMAP3IN)-(c_TMAP2IN))*(((A509)-(c_TMAP2IN))*((c_TMAP3OUT)-(c_TMAP2OUT))+IF(((c_TMAP3OUT)-(c_TMAP2OUT))&gt;=0,1,-1)*QUOTIENT(((c_TMAP3IN)-(c_TMAP2IN)),2))+2147483648,4294967296)-2147483648,((c_TMAP3IN)-(c_TMAP2IN))*(((A509)-(c_TMAP2IN))*((c_TMAP3OUT)-(c_TMAP2OUT))+IF(((c_TMAP3OUT)-(c_TMAP2OUT))&gt;=0,1,-1)*QUOTIENT(((c_TMAP3IN)-(c_TMAP2IN)),2)))&lt;0,-1,0),IF(IF(o_WRAP=1,MOD(((c_TMAP3IN)-(c_TMAP2IN))*(((A509)-(c_TMAP2IN))*((c_TMAP3OUT)-(c_TMAP2OUT))+IF(((c_TMAP3OUT)-(c_TMAP2OUT))&gt;=0,1,-1)*QUOTIENT(((c_TMAP3IN)-(c_TMAP2IN)),2))+2147483648,4294967296)-2147483648,((c_TMAP3IN)-(c_TMAP2IN))*(((A509)-(c_TMAP2IN))*((c_TMAP3OUT)-(c_TMAP2OUT))+IF(((c_TMAP3OUT)-(c_TMAP2OUT))&gt;=0,1,-1)*QUOTIENT(((c_TMAP3IN)-(c_TMAP2IN)),2)))&gt;=0,1,0)))</f>
        <v>308</v>
      </c>
      <c r="G509" s="7" t="n">
        <f aca="false">IF(((1000)-(c_TMAP3IN))=0,(c_TMAP3OUT)+QUOTIENT(((1000)-(c_TMAP3OUT)),2),QUOTIENT((((A509)-(c_TMAP3IN))*((1000)-(c_TMAP3OUT))+IF(((1000)-(c_TMAP3OUT))&gt;=0,1,-1)*QUOTIENT(((1000)-(c_TMAP3IN)),2)),((1000)-(c_TMAP3IN)))+(c_TMAP3OUT)+IF(((1000)-(c_TMAP3OUT))&gt;=0,IF(IF(o_WRAP=1,MOD(((1000)-(c_TMAP3IN))*(((A509)-(c_TMAP3IN))*((1000)-(c_TMAP3OUT))+IF(((1000)-(c_TMAP3OUT))&gt;=0,1,-1)*QUOTIENT(((1000)-(c_TMAP3IN)),2))+2147483648,4294967296)-2147483648,((1000)-(c_TMAP3IN))*(((A509)-(c_TMAP3IN))*((1000)-(c_TMAP3OUT))+IF(((1000)-(c_TMAP3OUT))&gt;=0,1,-1)*QUOTIENT(((1000)-(c_TMAP3IN)),2)))&lt;0,-1,0),IF(IF(o_WRAP=1,MOD(((1000)-(c_TMAP3IN))*(((A509)-(c_TMAP3IN))*((1000)-(c_TMAP3OUT))+IF(((1000)-(c_TMAP3OUT))&gt;=0,1,-1)*QUOTIENT(((1000)-(c_TMAP3IN)),2))+2147483648,4294967296)-2147483648,((1000)-(c_TMAP3IN))*(((A509)-(c_TMAP3IN))*((1000)-(c_TMAP3OUT))+IF(((1000)-(c_TMAP3OUT))&gt;=0,1,-1)*QUOTIENT(((1000)-(c_TMAP3IN)),2)))&gt;=0,1,0)))</f>
        <v>390</v>
      </c>
      <c r="H509" s="7" t="str">
        <f aca="false">IF(A509&gt;=c_TFWD,IF(AND(A509&gt;=c_TMAP3IN,c_TMAP3IN&lt;1000),"Seg4 map3-100%",IF(AND(A509&gt;=c_TMAP2IN,c_TMAP3IN&gt;c_TMAP2IN),"Seg3 map2-map3",IF(AND(A509&gt;=c_TMAP1IN,c_TMAP2IN&gt;c_TMAP1IN),"Seg2 map1-map2","Seg1 TFWD-map1"))),IF(AND(A509=0,c_TCREEP&gt;0),"Creep",IF(AND(A509&lt;=c_TRNGMIN,A509&gt;=c_TRNGMAX,c_TRNGMIN-c_TRNGMAX&lt;&gt;0),"Regen ramp","Coast (0)")))</f>
        <v>Seg4 map3-100%</v>
      </c>
      <c r="I509" s="7" t="n">
        <f aca="false">IF(A509&gt;=c_TFWD,IF(AND(A509&gt;=c_TMAP3IN,c_TMAP3IN&lt;1000),G509,IF(AND(A509&gt;=c_TMAP2IN,c_TMAP3IN&gt;c_TMAP2IN),F509,IF(AND(A509&gt;=c_TMAP1IN,c_TMAP2IN&gt;c_TMAP1IN),E509,D509))),C509)</f>
        <v>390</v>
      </c>
      <c r="J509" s="7" t="str">
        <f aca="false">IF(I509&lt;-1090,"TOO LOW",IF(I509&gt;1090,"TOO HIGH",""))</f>
        <v/>
      </c>
      <c r="K509" s="15" t="n">
        <f aca="false">IF(J509&lt;&gt;"",0,IF(I509&gt;979,1000,I509))</f>
        <v>390</v>
      </c>
      <c r="L509" s="7" t="n">
        <f aca="false">K509/10</f>
        <v>39</v>
      </c>
    </row>
    <row r="510" customFormat="false" ht="15" hidden="false" customHeight="false" outlineLevel="0" collapsed="false">
      <c r="A510" s="7" t="n">
        <v>505</v>
      </c>
      <c r="B510" s="7" t="n">
        <f aca="false">A510/10</f>
        <v>50.5</v>
      </c>
      <c r="C510" s="7" t="n">
        <f aca="false">IF(AND(A510=0,c_TCREEP&gt;0),10*c_TCREEP,IF(AND(A510&lt;=c_TRNGMIN,A510&gt;=c_TRNGMAX,c_TRNGMIN-c_TRNGMAX&lt;&gt;0),-10*c_TMINRN+QUOTIENT((c_TMAXRN-c_TMINRN)*(100-QUOTIENT((A510-c_TRNGMAX)*100,c_TRNGMIN-c_TRNGMAX)),-10),0))</f>
        <v>0</v>
      </c>
      <c r="D510" s="7" t="n">
        <f aca="false">IF(((c_TMAP1IN)-(c_TFWD))=0,(0)+QUOTIENT(((c_TMAP1OUT)-(0)),2),QUOTIENT((((A510)-(c_TFWD))*((c_TMAP1OUT)-(0))+IF(((c_TMAP1OUT)-(0))&gt;=0,1,-1)*QUOTIENT(((c_TMAP1IN)-(c_TFWD)),2)),((c_TMAP1IN)-(c_TFWD)))+(0)+IF(((c_TMAP1OUT)-(0))&gt;=0,IF(IF(o_WRAP=1,MOD(((c_TMAP1IN)-(c_TFWD))*(((A510)-(c_TFWD))*((c_TMAP1OUT)-(0))+IF(((c_TMAP1OUT)-(0))&gt;=0,1,-1)*QUOTIENT(((c_TMAP1IN)-(c_TFWD)),2))+2147483648,4294967296)-2147483648,((c_TMAP1IN)-(c_TFWD))*(((A510)-(c_TFWD))*((c_TMAP1OUT)-(0))+IF(((c_TMAP1OUT)-(0))&gt;=0,1,-1)*QUOTIENT(((c_TMAP1IN)-(c_TFWD)),2)))&lt;0,-1,0),IF(IF(o_WRAP=1,MOD(((c_TMAP1IN)-(c_TFWD))*(((A510)-(c_TFWD))*((c_TMAP1OUT)-(0))+IF(((c_TMAP1OUT)-(0))&gt;=0,1,-1)*QUOTIENT(((c_TMAP1IN)-(c_TFWD)),2))+2147483648,4294967296)-2147483648,((c_TMAP1IN)-(c_TFWD))*(((A510)-(c_TFWD))*((c_TMAP1OUT)-(0))+IF(((c_TMAP1OUT)-(0))&gt;=0,1,-1)*QUOTIENT(((c_TMAP1IN)-(c_TFWD)),2)))&gt;=0,1,0)))</f>
        <v>385</v>
      </c>
      <c r="E510" s="7" t="n">
        <f aca="false">IF(((c_TMAP2IN)-(c_TMAP1IN))=0,(c_TMAP1OUT)+QUOTIENT(((c_TMAP2OUT)-(c_TMAP1OUT)),2),QUOTIENT((((A510)-(c_TMAP1IN))*((c_TMAP2OUT)-(c_TMAP1OUT))+IF(((c_TMAP2OUT)-(c_TMAP1OUT))&gt;=0,1,-1)*QUOTIENT(((c_TMAP2IN)-(c_TMAP1IN)),2)),((c_TMAP2IN)-(c_TMAP1IN)))+(c_TMAP1OUT)+IF(((c_TMAP2OUT)-(c_TMAP1OUT))&gt;=0,IF(IF(o_WRAP=1,MOD(((c_TMAP2IN)-(c_TMAP1IN))*(((A510)-(c_TMAP1IN))*((c_TMAP2OUT)-(c_TMAP1OUT))+IF(((c_TMAP2OUT)-(c_TMAP1OUT))&gt;=0,1,-1)*QUOTIENT(((c_TMAP2IN)-(c_TMAP1IN)),2))+2147483648,4294967296)-2147483648,((c_TMAP2IN)-(c_TMAP1IN))*(((A510)-(c_TMAP1IN))*((c_TMAP2OUT)-(c_TMAP1OUT))+IF(((c_TMAP2OUT)-(c_TMAP1OUT))&gt;=0,1,-1)*QUOTIENT(((c_TMAP2IN)-(c_TMAP1IN)),2)))&lt;0,-1,0),IF(IF(o_WRAP=1,MOD(((c_TMAP2IN)-(c_TMAP1IN))*(((A510)-(c_TMAP1IN))*((c_TMAP2OUT)-(c_TMAP1OUT))+IF(((c_TMAP2OUT)-(c_TMAP1OUT))&gt;=0,1,-1)*QUOTIENT(((c_TMAP2IN)-(c_TMAP1IN)),2))+2147483648,4294967296)-2147483648,((c_TMAP2IN)-(c_TMAP1IN))*(((A510)-(c_TMAP1IN))*((c_TMAP2OUT)-(c_TMAP1OUT))+IF(((c_TMAP2OUT)-(c_TMAP1OUT))&gt;=0,1,-1)*QUOTIENT(((c_TMAP2IN)-(c_TMAP1IN)),2)))&gt;=0,1,0)))</f>
        <v>232</v>
      </c>
      <c r="F510" s="7" t="n">
        <f aca="false">IF(((c_TMAP3IN)-(c_TMAP2IN))=0,(c_TMAP2OUT)+QUOTIENT(((c_TMAP3OUT)-(c_TMAP2OUT)),2),QUOTIENT((((A510)-(c_TMAP2IN))*((c_TMAP3OUT)-(c_TMAP2OUT))+IF(((c_TMAP3OUT)-(c_TMAP2OUT))&gt;=0,1,-1)*QUOTIENT(((c_TMAP3IN)-(c_TMAP2IN)),2)),((c_TMAP3IN)-(c_TMAP2IN)))+(c_TMAP2OUT)+IF(((c_TMAP3OUT)-(c_TMAP2OUT))&gt;=0,IF(IF(o_WRAP=1,MOD(((c_TMAP3IN)-(c_TMAP2IN))*(((A510)-(c_TMAP2IN))*((c_TMAP3OUT)-(c_TMAP2OUT))+IF(((c_TMAP3OUT)-(c_TMAP2OUT))&gt;=0,1,-1)*QUOTIENT(((c_TMAP3IN)-(c_TMAP2IN)),2))+2147483648,4294967296)-2147483648,((c_TMAP3IN)-(c_TMAP2IN))*(((A510)-(c_TMAP2IN))*((c_TMAP3OUT)-(c_TMAP2OUT))+IF(((c_TMAP3OUT)-(c_TMAP2OUT))&gt;=0,1,-1)*QUOTIENT(((c_TMAP3IN)-(c_TMAP2IN)),2)))&lt;0,-1,0),IF(IF(o_WRAP=1,MOD(((c_TMAP3IN)-(c_TMAP2IN))*(((A510)-(c_TMAP2IN))*((c_TMAP3OUT)-(c_TMAP2OUT))+IF(((c_TMAP3OUT)-(c_TMAP2OUT))&gt;=0,1,-1)*QUOTIENT(((c_TMAP3IN)-(c_TMAP2IN)),2))+2147483648,4294967296)-2147483648,((c_TMAP3IN)-(c_TMAP2IN))*(((A510)-(c_TMAP2IN))*((c_TMAP3OUT)-(c_TMAP2OUT))+IF(((c_TMAP3OUT)-(c_TMAP2OUT))&gt;=0,1,-1)*QUOTIENT(((c_TMAP3IN)-(c_TMAP2IN)),2)))&gt;=0,1,0)))</f>
        <v>309</v>
      </c>
      <c r="G510" s="7" t="n">
        <f aca="false">IF(((1000)-(c_TMAP3IN))=0,(c_TMAP3OUT)+QUOTIENT(((1000)-(c_TMAP3OUT)),2),QUOTIENT((((A510)-(c_TMAP3IN))*((1000)-(c_TMAP3OUT))+IF(((1000)-(c_TMAP3OUT))&gt;=0,1,-1)*QUOTIENT(((1000)-(c_TMAP3IN)),2)),((1000)-(c_TMAP3IN)))+(c_TMAP3OUT)+IF(((1000)-(c_TMAP3OUT))&gt;=0,IF(IF(o_WRAP=1,MOD(((1000)-(c_TMAP3IN))*(((A510)-(c_TMAP3IN))*((1000)-(c_TMAP3OUT))+IF(((1000)-(c_TMAP3OUT))&gt;=0,1,-1)*QUOTIENT(((1000)-(c_TMAP3IN)),2))+2147483648,4294967296)-2147483648,((1000)-(c_TMAP3IN))*(((A510)-(c_TMAP3IN))*((1000)-(c_TMAP3OUT))+IF(((1000)-(c_TMAP3OUT))&gt;=0,1,-1)*QUOTIENT(((1000)-(c_TMAP3IN)),2)))&lt;0,-1,0),IF(IF(o_WRAP=1,MOD(((1000)-(c_TMAP3IN))*(((A510)-(c_TMAP3IN))*((1000)-(c_TMAP3OUT))+IF(((1000)-(c_TMAP3OUT))&gt;=0,1,-1)*QUOTIENT(((1000)-(c_TMAP3IN)),2))+2147483648,4294967296)-2147483648,((1000)-(c_TMAP3IN))*(((A510)-(c_TMAP3IN))*((1000)-(c_TMAP3OUT))+IF(((1000)-(c_TMAP3OUT))&gt;=0,1,-1)*QUOTIENT(((1000)-(c_TMAP3IN)),2)))&gt;=0,1,0)))</f>
        <v>391</v>
      </c>
      <c r="H510" s="7" t="str">
        <f aca="false">IF(A510&gt;=c_TFWD,IF(AND(A510&gt;=c_TMAP3IN,c_TMAP3IN&lt;1000),"Seg4 map3-100%",IF(AND(A510&gt;=c_TMAP2IN,c_TMAP3IN&gt;c_TMAP2IN),"Seg3 map2-map3",IF(AND(A510&gt;=c_TMAP1IN,c_TMAP2IN&gt;c_TMAP1IN),"Seg2 map1-map2","Seg1 TFWD-map1"))),IF(AND(A510=0,c_TCREEP&gt;0),"Creep",IF(AND(A510&lt;=c_TRNGMIN,A510&gt;=c_TRNGMAX,c_TRNGMIN-c_TRNGMAX&lt;&gt;0),"Regen ramp","Coast (0)")))</f>
        <v>Seg4 map3-100%</v>
      </c>
      <c r="I510" s="7" t="n">
        <f aca="false">IF(A510&gt;=c_TFWD,IF(AND(A510&gt;=c_TMAP3IN,c_TMAP3IN&lt;1000),G510,IF(AND(A510&gt;=c_TMAP2IN,c_TMAP3IN&gt;c_TMAP2IN),F510,IF(AND(A510&gt;=c_TMAP1IN,c_TMAP2IN&gt;c_TMAP1IN),E510,D510))),C510)</f>
        <v>391</v>
      </c>
      <c r="J510" s="7" t="str">
        <f aca="false">IF(I510&lt;-1090,"TOO LOW",IF(I510&gt;1090,"TOO HIGH",""))</f>
        <v/>
      </c>
      <c r="K510" s="15" t="n">
        <f aca="false">IF(J510&lt;&gt;"",0,IF(I510&gt;979,1000,I510))</f>
        <v>391</v>
      </c>
      <c r="L510" s="7" t="n">
        <f aca="false">K510/10</f>
        <v>39.1</v>
      </c>
    </row>
    <row r="511" customFormat="false" ht="15" hidden="false" customHeight="false" outlineLevel="0" collapsed="false">
      <c r="A511" s="7" t="n">
        <v>506</v>
      </c>
      <c r="B511" s="7" t="n">
        <f aca="false">A511/10</f>
        <v>50.6</v>
      </c>
      <c r="C511" s="7" t="n">
        <f aca="false">IF(AND(A511=0,c_TCREEP&gt;0),10*c_TCREEP,IF(AND(A511&lt;=c_TRNGMIN,A511&gt;=c_TRNGMAX,c_TRNGMIN-c_TRNGMAX&lt;&gt;0),-10*c_TMINRN+QUOTIENT((c_TMAXRN-c_TMINRN)*(100-QUOTIENT((A511-c_TRNGMAX)*100,c_TRNGMIN-c_TRNGMAX)),-10),0))</f>
        <v>0</v>
      </c>
      <c r="D511" s="7" t="n">
        <f aca="false">IF(((c_TMAP1IN)-(c_TFWD))=0,(0)+QUOTIENT(((c_TMAP1OUT)-(0)),2),QUOTIENT((((A511)-(c_TFWD))*((c_TMAP1OUT)-(0))+IF(((c_TMAP1OUT)-(0))&gt;=0,1,-1)*QUOTIENT(((c_TMAP1IN)-(c_TFWD)),2)),((c_TMAP1IN)-(c_TFWD)))+(0)+IF(((c_TMAP1OUT)-(0))&gt;=0,IF(IF(o_WRAP=1,MOD(((c_TMAP1IN)-(c_TFWD))*(((A511)-(c_TFWD))*((c_TMAP1OUT)-(0))+IF(((c_TMAP1OUT)-(0))&gt;=0,1,-1)*QUOTIENT(((c_TMAP1IN)-(c_TFWD)),2))+2147483648,4294967296)-2147483648,((c_TMAP1IN)-(c_TFWD))*(((A511)-(c_TFWD))*((c_TMAP1OUT)-(0))+IF(((c_TMAP1OUT)-(0))&gt;=0,1,-1)*QUOTIENT(((c_TMAP1IN)-(c_TFWD)),2)))&lt;0,-1,0),IF(IF(o_WRAP=1,MOD(((c_TMAP1IN)-(c_TFWD))*(((A511)-(c_TFWD))*((c_TMAP1OUT)-(0))+IF(((c_TMAP1OUT)-(0))&gt;=0,1,-1)*QUOTIENT(((c_TMAP1IN)-(c_TFWD)),2))+2147483648,4294967296)-2147483648,((c_TMAP1IN)-(c_TFWD))*(((A511)-(c_TFWD))*((c_TMAP1OUT)-(0))+IF(((c_TMAP1OUT)-(0))&gt;=0,1,-1)*QUOTIENT(((c_TMAP1IN)-(c_TFWD)),2)))&gt;=0,1,0)))</f>
        <v>386</v>
      </c>
      <c r="E511" s="7" t="n">
        <f aca="false">IF(((c_TMAP2IN)-(c_TMAP1IN))=0,(c_TMAP1OUT)+QUOTIENT(((c_TMAP2OUT)-(c_TMAP1OUT)),2),QUOTIENT((((A511)-(c_TMAP1IN))*((c_TMAP2OUT)-(c_TMAP1OUT))+IF(((c_TMAP2OUT)-(c_TMAP1OUT))&gt;=0,1,-1)*QUOTIENT(((c_TMAP2IN)-(c_TMAP1IN)),2)),((c_TMAP2IN)-(c_TMAP1IN)))+(c_TMAP1OUT)+IF(((c_TMAP2OUT)-(c_TMAP1OUT))&gt;=0,IF(IF(o_WRAP=1,MOD(((c_TMAP2IN)-(c_TMAP1IN))*(((A511)-(c_TMAP1IN))*((c_TMAP2OUT)-(c_TMAP1OUT))+IF(((c_TMAP2OUT)-(c_TMAP1OUT))&gt;=0,1,-1)*QUOTIENT(((c_TMAP2IN)-(c_TMAP1IN)),2))+2147483648,4294967296)-2147483648,((c_TMAP2IN)-(c_TMAP1IN))*(((A511)-(c_TMAP1IN))*((c_TMAP2OUT)-(c_TMAP1OUT))+IF(((c_TMAP2OUT)-(c_TMAP1OUT))&gt;=0,1,-1)*QUOTIENT(((c_TMAP2IN)-(c_TMAP1IN)),2)))&lt;0,-1,0),IF(IF(o_WRAP=1,MOD(((c_TMAP2IN)-(c_TMAP1IN))*(((A511)-(c_TMAP1IN))*((c_TMAP2OUT)-(c_TMAP1OUT))+IF(((c_TMAP2OUT)-(c_TMAP1OUT))&gt;=0,1,-1)*QUOTIENT(((c_TMAP2IN)-(c_TMAP1IN)),2))+2147483648,4294967296)-2147483648,((c_TMAP2IN)-(c_TMAP1IN))*(((A511)-(c_TMAP1IN))*((c_TMAP2OUT)-(c_TMAP1OUT))+IF(((c_TMAP2OUT)-(c_TMAP1OUT))&gt;=0,1,-1)*QUOTIENT(((c_TMAP2IN)-(c_TMAP1IN)),2)))&gt;=0,1,0)))</f>
        <v>232</v>
      </c>
      <c r="F511" s="7" t="n">
        <f aca="false">IF(((c_TMAP3IN)-(c_TMAP2IN))=0,(c_TMAP2OUT)+QUOTIENT(((c_TMAP3OUT)-(c_TMAP2OUT)),2),QUOTIENT((((A511)-(c_TMAP2IN))*((c_TMAP3OUT)-(c_TMAP2OUT))+IF(((c_TMAP3OUT)-(c_TMAP2OUT))&gt;=0,1,-1)*QUOTIENT(((c_TMAP3IN)-(c_TMAP2IN)),2)),((c_TMAP3IN)-(c_TMAP2IN)))+(c_TMAP2OUT)+IF(((c_TMAP3OUT)-(c_TMAP2OUT))&gt;=0,IF(IF(o_WRAP=1,MOD(((c_TMAP3IN)-(c_TMAP2IN))*(((A511)-(c_TMAP2IN))*((c_TMAP3OUT)-(c_TMAP2OUT))+IF(((c_TMAP3OUT)-(c_TMAP2OUT))&gt;=0,1,-1)*QUOTIENT(((c_TMAP3IN)-(c_TMAP2IN)),2))+2147483648,4294967296)-2147483648,((c_TMAP3IN)-(c_TMAP2IN))*(((A511)-(c_TMAP2IN))*((c_TMAP3OUT)-(c_TMAP2OUT))+IF(((c_TMAP3OUT)-(c_TMAP2OUT))&gt;=0,1,-1)*QUOTIENT(((c_TMAP3IN)-(c_TMAP2IN)),2)))&lt;0,-1,0),IF(IF(o_WRAP=1,MOD(((c_TMAP3IN)-(c_TMAP2IN))*(((A511)-(c_TMAP2IN))*((c_TMAP3OUT)-(c_TMAP2OUT))+IF(((c_TMAP3OUT)-(c_TMAP2OUT))&gt;=0,1,-1)*QUOTIENT(((c_TMAP3IN)-(c_TMAP2IN)),2))+2147483648,4294967296)-2147483648,((c_TMAP3IN)-(c_TMAP2IN))*(((A511)-(c_TMAP2IN))*((c_TMAP3OUT)-(c_TMAP2OUT))+IF(((c_TMAP3OUT)-(c_TMAP2OUT))&gt;=0,1,-1)*QUOTIENT(((c_TMAP3IN)-(c_TMAP2IN)),2)))&gt;=0,1,0)))</f>
        <v>309</v>
      </c>
      <c r="G511" s="7" t="n">
        <f aca="false">IF(((1000)-(c_TMAP3IN))=0,(c_TMAP3OUT)+QUOTIENT(((1000)-(c_TMAP3OUT)),2),QUOTIENT((((A511)-(c_TMAP3IN))*((1000)-(c_TMAP3OUT))+IF(((1000)-(c_TMAP3OUT))&gt;=0,1,-1)*QUOTIENT(((1000)-(c_TMAP3IN)),2)),((1000)-(c_TMAP3IN)))+(c_TMAP3OUT)+IF(((1000)-(c_TMAP3OUT))&gt;=0,IF(IF(o_WRAP=1,MOD(((1000)-(c_TMAP3IN))*(((A511)-(c_TMAP3IN))*((1000)-(c_TMAP3OUT))+IF(((1000)-(c_TMAP3OUT))&gt;=0,1,-1)*QUOTIENT(((1000)-(c_TMAP3IN)),2))+2147483648,4294967296)-2147483648,((1000)-(c_TMAP3IN))*(((A511)-(c_TMAP3IN))*((1000)-(c_TMAP3OUT))+IF(((1000)-(c_TMAP3OUT))&gt;=0,1,-1)*QUOTIENT(((1000)-(c_TMAP3IN)),2)))&lt;0,-1,0),IF(IF(o_WRAP=1,MOD(((1000)-(c_TMAP3IN))*(((A511)-(c_TMAP3IN))*((1000)-(c_TMAP3OUT))+IF(((1000)-(c_TMAP3OUT))&gt;=0,1,-1)*QUOTIENT(((1000)-(c_TMAP3IN)),2))+2147483648,4294967296)-2147483648,((1000)-(c_TMAP3IN))*(((A511)-(c_TMAP3IN))*((1000)-(c_TMAP3OUT))+IF(((1000)-(c_TMAP3OUT))&gt;=0,1,-1)*QUOTIENT(((1000)-(c_TMAP3IN)),2)))&gt;=0,1,0)))</f>
        <v>392</v>
      </c>
      <c r="H511" s="7" t="str">
        <f aca="false">IF(A511&gt;=c_TFWD,IF(AND(A511&gt;=c_TMAP3IN,c_TMAP3IN&lt;1000),"Seg4 map3-100%",IF(AND(A511&gt;=c_TMAP2IN,c_TMAP3IN&gt;c_TMAP2IN),"Seg3 map2-map3",IF(AND(A511&gt;=c_TMAP1IN,c_TMAP2IN&gt;c_TMAP1IN),"Seg2 map1-map2","Seg1 TFWD-map1"))),IF(AND(A511=0,c_TCREEP&gt;0),"Creep",IF(AND(A511&lt;=c_TRNGMIN,A511&gt;=c_TRNGMAX,c_TRNGMIN-c_TRNGMAX&lt;&gt;0),"Regen ramp","Coast (0)")))</f>
        <v>Seg4 map3-100%</v>
      </c>
      <c r="I511" s="7" t="n">
        <f aca="false">IF(A511&gt;=c_TFWD,IF(AND(A511&gt;=c_TMAP3IN,c_TMAP3IN&lt;1000),G511,IF(AND(A511&gt;=c_TMAP2IN,c_TMAP3IN&gt;c_TMAP2IN),F511,IF(AND(A511&gt;=c_TMAP1IN,c_TMAP2IN&gt;c_TMAP1IN),E511,D511))),C511)</f>
        <v>392</v>
      </c>
      <c r="J511" s="7" t="str">
        <f aca="false">IF(I511&lt;-1090,"TOO LOW",IF(I511&gt;1090,"TOO HIGH",""))</f>
        <v/>
      </c>
      <c r="K511" s="15" t="n">
        <f aca="false">IF(J511&lt;&gt;"",0,IF(I511&gt;979,1000,I511))</f>
        <v>392</v>
      </c>
      <c r="L511" s="7" t="n">
        <f aca="false">K511/10</f>
        <v>39.2</v>
      </c>
    </row>
    <row r="512" customFormat="false" ht="15" hidden="false" customHeight="false" outlineLevel="0" collapsed="false">
      <c r="A512" s="7" t="n">
        <v>507</v>
      </c>
      <c r="B512" s="7" t="n">
        <f aca="false">A512/10</f>
        <v>50.7</v>
      </c>
      <c r="C512" s="7" t="n">
        <f aca="false">IF(AND(A512=0,c_TCREEP&gt;0),10*c_TCREEP,IF(AND(A512&lt;=c_TRNGMIN,A512&gt;=c_TRNGMAX,c_TRNGMIN-c_TRNGMAX&lt;&gt;0),-10*c_TMINRN+QUOTIENT((c_TMAXRN-c_TMINRN)*(100-QUOTIENT((A512-c_TRNGMAX)*100,c_TRNGMIN-c_TRNGMAX)),-10),0))</f>
        <v>0</v>
      </c>
      <c r="D512" s="7" t="n">
        <f aca="false">IF(((c_TMAP1IN)-(c_TFWD))=0,(0)+QUOTIENT(((c_TMAP1OUT)-(0)),2),QUOTIENT((((A512)-(c_TFWD))*((c_TMAP1OUT)-(0))+IF(((c_TMAP1OUT)-(0))&gt;=0,1,-1)*QUOTIENT(((c_TMAP1IN)-(c_TFWD)),2)),((c_TMAP1IN)-(c_TFWD)))+(0)+IF(((c_TMAP1OUT)-(0))&gt;=0,IF(IF(o_WRAP=1,MOD(((c_TMAP1IN)-(c_TFWD))*(((A512)-(c_TFWD))*((c_TMAP1OUT)-(0))+IF(((c_TMAP1OUT)-(0))&gt;=0,1,-1)*QUOTIENT(((c_TMAP1IN)-(c_TFWD)),2))+2147483648,4294967296)-2147483648,((c_TMAP1IN)-(c_TFWD))*(((A512)-(c_TFWD))*((c_TMAP1OUT)-(0))+IF(((c_TMAP1OUT)-(0))&gt;=0,1,-1)*QUOTIENT(((c_TMAP1IN)-(c_TFWD)),2)))&lt;0,-1,0),IF(IF(o_WRAP=1,MOD(((c_TMAP1IN)-(c_TFWD))*(((A512)-(c_TFWD))*((c_TMAP1OUT)-(0))+IF(((c_TMAP1OUT)-(0))&gt;=0,1,-1)*QUOTIENT(((c_TMAP1IN)-(c_TFWD)),2))+2147483648,4294967296)-2147483648,((c_TMAP1IN)-(c_TFWD))*(((A512)-(c_TFWD))*((c_TMAP1OUT)-(0))+IF(((c_TMAP1OUT)-(0))&gt;=0,1,-1)*QUOTIENT(((c_TMAP1IN)-(c_TFWD)),2)))&gt;=0,1,0)))</f>
        <v>387</v>
      </c>
      <c r="E512" s="7" t="n">
        <f aca="false">IF(((c_TMAP2IN)-(c_TMAP1IN))=0,(c_TMAP1OUT)+QUOTIENT(((c_TMAP2OUT)-(c_TMAP1OUT)),2),QUOTIENT((((A512)-(c_TMAP1IN))*((c_TMAP2OUT)-(c_TMAP1OUT))+IF(((c_TMAP2OUT)-(c_TMAP1OUT))&gt;=0,1,-1)*QUOTIENT(((c_TMAP2IN)-(c_TMAP1IN)),2)),((c_TMAP2IN)-(c_TMAP1IN)))+(c_TMAP1OUT)+IF(((c_TMAP2OUT)-(c_TMAP1OUT))&gt;=0,IF(IF(o_WRAP=1,MOD(((c_TMAP2IN)-(c_TMAP1IN))*(((A512)-(c_TMAP1IN))*((c_TMAP2OUT)-(c_TMAP1OUT))+IF(((c_TMAP2OUT)-(c_TMAP1OUT))&gt;=0,1,-1)*QUOTIENT(((c_TMAP2IN)-(c_TMAP1IN)),2))+2147483648,4294967296)-2147483648,((c_TMAP2IN)-(c_TMAP1IN))*(((A512)-(c_TMAP1IN))*((c_TMAP2OUT)-(c_TMAP1OUT))+IF(((c_TMAP2OUT)-(c_TMAP1OUT))&gt;=0,1,-1)*QUOTIENT(((c_TMAP2IN)-(c_TMAP1IN)),2)))&lt;0,-1,0),IF(IF(o_WRAP=1,MOD(((c_TMAP2IN)-(c_TMAP1IN))*(((A512)-(c_TMAP1IN))*((c_TMAP2OUT)-(c_TMAP1OUT))+IF(((c_TMAP2OUT)-(c_TMAP1OUT))&gt;=0,1,-1)*QUOTIENT(((c_TMAP2IN)-(c_TMAP1IN)),2))+2147483648,4294967296)-2147483648,((c_TMAP2IN)-(c_TMAP1IN))*(((A512)-(c_TMAP1IN))*((c_TMAP2OUT)-(c_TMAP1OUT))+IF(((c_TMAP2OUT)-(c_TMAP1OUT))&gt;=0,1,-1)*QUOTIENT(((c_TMAP2IN)-(c_TMAP1IN)),2)))&gt;=0,1,0)))</f>
        <v>233</v>
      </c>
      <c r="F512" s="7" t="n">
        <f aca="false">IF(((c_TMAP3IN)-(c_TMAP2IN))=0,(c_TMAP2OUT)+QUOTIENT(((c_TMAP3OUT)-(c_TMAP2OUT)),2),QUOTIENT((((A512)-(c_TMAP2IN))*((c_TMAP3OUT)-(c_TMAP2OUT))+IF(((c_TMAP3OUT)-(c_TMAP2OUT))&gt;=0,1,-1)*QUOTIENT(((c_TMAP3IN)-(c_TMAP2IN)),2)),((c_TMAP3IN)-(c_TMAP2IN)))+(c_TMAP2OUT)+IF(((c_TMAP3OUT)-(c_TMAP2OUT))&gt;=0,IF(IF(o_WRAP=1,MOD(((c_TMAP3IN)-(c_TMAP2IN))*(((A512)-(c_TMAP2IN))*((c_TMAP3OUT)-(c_TMAP2OUT))+IF(((c_TMAP3OUT)-(c_TMAP2OUT))&gt;=0,1,-1)*QUOTIENT(((c_TMAP3IN)-(c_TMAP2IN)),2))+2147483648,4294967296)-2147483648,((c_TMAP3IN)-(c_TMAP2IN))*(((A512)-(c_TMAP2IN))*((c_TMAP3OUT)-(c_TMAP2OUT))+IF(((c_TMAP3OUT)-(c_TMAP2OUT))&gt;=0,1,-1)*QUOTIENT(((c_TMAP3IN)-(c_TMAP2IN)),2)))&lt;0,-1,0),IF(IF(o_WRAP=1,MOD(((c_TMAP3IN)-(c_TMAP2IN))*(((A512)-(c_TMAP2IN))*((c_TMAP3OUT)-(c_TMAP2OUT))+IF(((c_TMAP3OUT)-(c_TMAP2OUT))&gt;=0,1,-1)*QUOTIENT(((c_TMAP3IN)-(c_TMAP2IN)),2))+2147483648,4294967296)-2147483648,((c_TMAP3IN)-(c_TMAP2IN))*(((A512)-(c_TMAP2IN))*((c_TMAP3OUT)-(c_TMAP2OUT))+IF(((c_TMAP3OUT)-(c_TMAP2OUT))&gt;=0,1,-1)*QUOTIENT(((c_TMAP3IN)-(c_TMAP2IN)),2)))&gt;=0,1,0)))</f>
        <v>310</v>
      </c>
      <c r="G512" s="7" t="n">
        <f aca="false">IF(((1000)-(c_TMAP3IN))=0,(c_TMAP3OUT)+QUOTIENT(((1000)-(c_TMAP3OUT)),2),QUOTIENT((((A512)-(c_TMAP3IN))*((1000)-(c_TMAP3OUT))+IF(((1000)-(c_TMAP3OUT))&gt;=0,1,-1)*QUOTIENT(((1000)-(c_TMAP3IN)),2)),((1000)-(c_TMAP3IN)))+(c_TMAP3OUT)+IF(((1000)-(c_TMAP3OUT))&gt;=0,IF(IF(o_WRAP=1,MOD(((1000)-(c_TMAP3IN))*(((A512)-(c_TMAP3IN))*((1000)-(c_TMAP3OUT))+IF(((1000)-(c_TMAP3OUT))&gt;=0,1,-1)*QUOTIENT(((1000)-(c_TMAP3IN)),2))+2147483648,4294967296)-2147483648,((1000)-(c_TMAP3IN))*(((A512)-(c_TMAP3IN))*((1000)-(c_TMAP3OUT))+IF(((1000)-(c_TMAP3OUT))&gt;=0,1,-1)*QUOTIENT(((1000)-(c_TMAP3IN)),2)))&lt;0,-1,0),IF(IF(o_WRAP=1,MOD(((1000)-(c_TMAP3IN))*(((A512)-(c_TMAP3IN))*((1000)-(c_TMAP3OUT))+IF(((1000)-(c_TMAP3OUT))&gt;=0,1,-1)*QUOTIENT(((1000)-(c_TMAP3IN)),2))+2147483648,4294967296)-2147483648,((1000)-(c_TMAP3IN))*(((A512)-(c_TMAP3IN))*((1000)-(c_TMAP3OUT))+IF(((1000)-(c_TMAP3OUT))&gt;=0,1,-1)*QUOTIENT(((1000)-(c_TMAP3IN)),2)))&gt;=0,1,0)))</f>
        <v>393</v>
      </c>
      <c r="H512" s="7" t="str">
        <f aca="false">IF(A512&gt;=c_TFWD,IF(AND(A512&gt;=c_TMAP3IN,c_TMAP3IN&lt;1000),"Seg4 map3-100%",IF(AND(A512&gt;=c_TMAP2IN,c_TMAP3IN&gt;c_TMAP2IN),"Seg3 map2-map3",IF(AND(A512&gt;=c_TMAP1IN,c_TMAP2IN&gt;c_TMAP1IN),"Seg2 map1-map2","Seg1 TFWD-map1"))),IF(AND(A512=0,c_TCREEP&gt;0),"Creep",IF(AND(A512&lt;=c_TRNGMIN,A512&gt;=c_TRNGMAX,c_TRNGMIN-c_TRNGMAX&lt;&gt;0),"Regen ramp","Coast (0)")))</f>
        <v>Seg4 map3-100%</v>
      </c>
      <c r="I512" s="7" t="n">
        <f aca="false">IF(A512&gt;=c_TFWD,IF(AND(A512&gt;=c_TMAP3IN,c_TMAP3IN&lt;1000),G512,IF(AND(A512&gt;=c_TMAP2IN,c_TMAP3IN&gt;c_TMAP2IN),F512,IF(AND(A512&gt;=c_TMAP1IN,c_TMAP2IN&gt;c_TMAP1IN),E512,D512))),C512)</f>
        <v>393</v>
      </c>
      <c r="J512" s="7" t="str">
        <f aca="false">IF(I512&lt;-1090,"TOO LOW",IF(I512&gt;1090,"TOO HIGH",""))</f>
        <v/>
      </c>
      <c r="K512" s="15" t="n">
        <f aca="false">IF(J512&lt;&gt;"",0,IF(I512&gt;979,1000,I512))</f>
        <v>393</v>
      </c>
      <c r="L512" s="7" t="n">
        <f aca="false">K512/10</f>
        <v>39.3</v>
      </c>
    </row>
    <row r="513" customFormat="false" ht="15" hidden="false" customHeight="false" outlineLevel="0" collapsed="false">
      <c r="A513" s="7" t="n">
        <v>508</v>
      </c>
      <c r="B513" s="7" t="n">
        <f aca="false">A513/10</f>
        <v>50.8</v>
      </c>
      <c r="C513" s="7" t="n">
        <f aca="false">IF(AND(A513=0,c_TCREEP&gt;0),10*c_TCREEP,IF(AND(A513&lt;=c_TRNGMIN,A513&gt;=c_TRNGMAX,c_TRNGMIN-c_TRNGMAX&lt;&gt;0),-10*c_TMINRN+QUOTIENT((c_TMAXRN-c_TMINRN)*(100-QUOTIENT((A513-c_TRNGMAX)*100,c_TRNGMIN-c_TRNGMAX)),-10),0))</f>
        <v>0</v>
      </c>
      <c r="D513" s="7" t="n">
        <f aca="false">IF(((c_TMAP1IN)-(c_TFWD))=0,(0)+QUOTIENT(((c_TMAP1OUT)-(0)),2),QUOTIENT((((A513)-(c_TFWD))*((c_TMAP1OUT)-(0))+IF(((c_TMAP1OUT)-(0))&gt;=0,1,-1)*QUOTIENT(((c_TMAP1IN)-(c_TFWD)),2)),((c_TMAP1IN)-(c_TFWD)))+(0)+IF(((c_TMAP1OUT)-(0))&gt;=0,IF(IF(o_WRAP=1,MOD(((c_TMAP1IN)-(c_TFWD))*(((A513)-(c_TFWD))*((c_TMAP1OUT)-(0))+IF(((c_TMAP1OUT)-(0))&gt;=0,1,-1)*QUOTIENT(((c_TMAP1IN)-(c_TFWD)),2))+2147483648,4294967296)-2147483648,((c_TMAP1IN)-(c_TFWD))*(((A513)-(c_TFWD))*((c_TMAP1OUT)-(0))+IF(((c_TMAP1OUT)-(0))&gt;=0,1,-1)*QUOTIENT(((c_TMAP1IN)-(c_TFWD)),2)))&lt;0,-1,0),IF(IF(o_WRAP=1,MOD(((c_TMAP1IN)-(c_TFWD))*(((A513)-(c_TFWD))*((c_TMAP1OUT)-(0))+IF(((c_TMAP1OUT)-(0))&gt;=0,1,-1)*QUOTIENT(((c_TMAP1IN)-(c_TFWD)),2))+2147483648,4294967296)-2147483648,((c_TMAP1IN)-(c_TFWD))*(((A513)-(c_TFWD))*((c_TMAP1OUT)-(0))+IF(((c_TMAP1OUT)-(0))&gt;=0,1,-1)*QUOTIENT(((c_TMAP1IN)-(c_TFWD)),2)))&gt;=0,1,0)))</f>
        <v>387</v>
      </c>
      <c r="E513" s="7" t="n">
        <f aca="false">IF(((c_TMAP2IN)-(c_TMAP1IN))=0,(c_TMAP1OUT)+QUOTIENT(((c_TMAP2OUT)-(c_TMAP1OUT)),2),QUOTIENT((((A513)-(c_TMAP1IN))*((c_TMAP2OUT)-(c_TMAP1OUT))+IF(((c_TMAP2OUT)-(c_TMAP1OUT))&gt;=0,1,-1)*QUOTIENT(((c_TMAP2IN)-(c_TMAP1IN)),2)),((c_TMAP2IN)-(c_TMAP1IN)))+(c_TMAP1OUT)+IF(((c_TMAP2OUT)-(c_TMAP1OUT))&gt;=0,IF(IF(o_WRAP=1,MOD(((c_TMAP2IN)-(c_TMAP1IN))*(((A513)-(c_TMAP1IN))*((c_TMAP2OUT)-(c_TMAP1OUT))+IF(((c_TMAP2OUT)-(c_TMAP1OUT))&gt;=0,1,-1)*QUOTIENT(((c_TMAP2IN)-(c_TMAP1IN)),2))+2147483648,4294967296)-2147483648,((c_TMAP2IN)-(c_TMAP1IN))*(((A513)-(c_TMAP1IN))*((c_TMAP2OUT)-(c_TMAP1OUT))+IF(((c_TMAP2OUT)-(c_TMAP1OUT))&gt;=0,1,-1)*QUOTIENT(((c_TMAP2IN)-(c_TMAP1IN)),2)))&lt;0,-1,0),IF(IF(o_WRAP=1,MOD(((c_TMAP2IN)-(c_TMAP1IN))*(((A513)-(c_TMAP1IN))*((c_TMAP2OUT)-(c_TMAP1OUT))+IF(((c_TMAP2OUT)-(c_TMAP1OUT))&gt;=0,1,-1)*QUOTIENT(((c_TMAP2IN)-(c_TMAP1IN)),2))+2147483648,4294967296)-2147483648,((c_TMAP2IN)-(c_TMAP1IN))*(((A513)-(c_TMAP1IN))*((c_TMAP2OUT)-(c_TMAP1OUT))+IF(((c_TMAP2OUT)-(c_TMAP1OUT))&gt;=0,1,-1)*QUOTIENT(((c_TMAP2IN)-(c_TMAP1IN)),2)))&gt;=0,1,0)))</f>
        <v>233</v>
      </c>
      <c r="F513" s="7" t="n">
        <f aca="false">IF(((c_TMAP3IN)-(c_TMAP2IN))=0,(c_TMAP2OUT)+QUOTIENT(((c_TMAP3OUT)-(c_TMAP2OUT)),2),QUOTIENT((((A513)-(c_TMAP2IN))*((c_TMAP3OUT)-(c_TMAP2OUT))+IF(((c_TMAP3OUT)-(c_TMAP2OUT))&gt;=0,1,-1)*QUOTIENT(((c_TMAP3IN)-(c_TMAP2IN)),2)),((c_TMAP3IN)-(c_TMAP2IN)))+(c_TMAP2OUT)+IF(((c_TMAP3OUT)-(c_TMAP2OUT))&gt;=0,IF(IF(o_WRAP=1,MOD(((c_TMAP3IN)-(c_TMAP2IN))*(((A513)-(c_TMAP2IN))*((c_TMAP3OUT)-(c_TMAP2OUT))+IF(((c_TMAP3OUT)-(c_TMAP2OUT))&gt;=0,1,-1)*QUOTIENT(((c_TMAP3IN)-(c_TMAP2IN)),2))+2147483648,4294967296)-2147483648,((c_TMAP3IN)-(c_TMAP2IN))*(((A513)-(c_TMAP2IN))*((c_TMAP3OUT)-(c_TMAP2OUT))+IF(((c_TMAP3OUT)-(c_TMAP2OUT))&gt;=0,1,-1)*QUOTIENT(((c_TMAP3IN)-(c_TMAP2IN)),2)))&lt;0,-1,0),IF(IF(o_WRAP=1,MOD(((c_TMAP3IN)-(c_TMAP2IN))*(((A513)-(c_TMAP2IN))*((c_TMAP3OUT)-(c_TMAP2OUT))+IF(((c_TMAP3OUT)-(c_TMAP2OUT))&gt;=0,1,-1)*QUOTIENT(((c_TMAP3IN)-(c_TMAP2IN)),2))+2147483648,4294967296)-2147483648,((c_TMAP3IN)-(c_TMAP2IN))*(((A513)-(c_TMAP2IN))*((c_TMAP3OUT)-(c_TMAP2OUT))+IF(((c_TMAP3OUT)-(c_TMAP2OUT))&gt;=0,1,-1)*QUOTIENT(((c_TMAP3IN)-(c_TMAP2IN)),2)))&gt;=0,1,0)))</f>
        <v>311</v>
      </c>
      <c r="G513" s="7" t="n">
        <f aca="false">IF(((1000)-(c_TMAP3IN))=0,(c_TMAP3OUT)+QUOTIENT(((1000)-(c_TMAP3OUT)),2),QUOTIENT((((A513)-(c_TMAP3IN))*((1000)-(c_TMAP3OUT))+IF(((1000)-(c_TMAP3OUT))&gt;=0,1,-1)*QUOTIENT(((1000)-(c_TMAP3IN)),2)),((1000)-(c_TMAP3IN)))+(c_TMAP3OUT)+IF(((1000)-(c_TMAP3OUT))&gt;=0,IF(IF(o_WRAP=1,MOD(((1000)-(c_TMAP3IN))*(((A513)-(c_TMAP3IN))*((1000)-(c_TMAP3OUT))+IF(((1000)-(c_TMAP3OUT))&gt;=0,1,-1)*QUOTIENT(((1000)-(c_TMAP3IN)),2))+2147483648,4294967296)-2147483648,((1000)-(c_TMAP3IN))*(((A513)-(c_TMAP3IN))*((1000)-(c_TMAP3OUT))+IF(((1000)-(c_TMAP3OUT))&gt;=0,1,-1)*QUOTIENT(((1000)-(c_TMAP3IN)),2)))&lt;0,-1,0),IF(IF(o_WRAP=1,MOD(((1000)-(c_TMAP3IN))*(((A513)-(c_TMAP3IN))*((1000)-(c_TMAP3OUT))+IF(((1000)-(c_TMAP3OUT))&gt;=0,1,-1)*QUOTIENT(((1000)-(c_TMAP3IN)),2))+2147483648,4294967296)-2147483648,((1000)-(c_TMAP3IN))*(((A513)-(c_TMAP3IN))*((1000)-(c_TMAP3OUT))+IF(((1000)-(c_TMAP3OUT))&gt;=0,1,-1)*QUOTIENT(((1000)-(c_TMAP3IN)),2)))&gt;=0,1,0)))</f>
        <v>394</v>
      </c>
      <c r="H513" s="7" t="str">
        <f aca="false">IF(A513&gt;=c_TFWD,IF(AND(A513&gt;=c_TMAP3IN,c_TMAP3IN&lt;1000),"Seg4 map3-100%",IF(AND(A513&gt;=c_TMAP2IN,c_TMAP3IN&gt;c_TMAP2IN),"Seg3 map2-map3",IF(AND(A513&gt;=c_TMAP1IN,c_TMAP2IN&gt;c_TMAP1IN),"Seg2 map1-map2","Seg1 TFWD-map1"))),IF(AND(A513=0,c_TCREEP&gt;0),"Creep",IF(AND(A513&lt;=c_TRNGMIN,A513&gt;=c_TRNGMAX,c_TRNGMIN-c_TRNGMAX&lt;&gt;0),"Regen ramp","Coast (0)")))</f>
        <v>Seg4 map3-100%</v>
      </c>
      <c r="I513" s="7" t="n">
        <f aca="false">IF(A513&gt;=c_TFWD,IF(AND(A513&gt;=c_TMAP3IN,c_TMAP3IN&lt;1000),G513,IF(AND(A513&gt;=c_TMAP2IN,c_TMAP3IN&gt;c_TMAP2IN),F513,IF(AND(A513&gt;=c_TMAP1IN,c_TMAP2IN&gt;c_TMAP1IN),E513,D513))),C513)</f>
        <v>394</v>
      </c>
      <c r="J513" s="7" t="str">
        <f aca="false">IF(I513&lt;-1090,"TOO LOW",IF(I513&gt;1090,"TOO HIGH",""))</f>
        <v/>
      </c>
      <c r="K513" s="15" t="n">
        <f aca="false">IF(J513&lt;&gt;"",0,IF(I513&gt;979,1000,I513))</f>
        <v>394</v>
      </c>
      <c r="L513" s="7" t="n">
        <f aca="false">K513/10</f>
        <v>39.4</v>
      </c>
    </row>
    <row r="514" customFormat="false" ht="15" hidden="false" customHeight="false" outlineLevel="0" collapsed="false">
      <c r="A514" s="7" t="n">
        <v>509</v>
      </c>
      <c r="B514" s="7" t="n">
        <f aca="false">A514/10</f>
        <v>50.9</v>
      </c>
      <c r="C514" s="7" t="n">
        <f aca="false">IF(AND(A514=0,c_TCREEP&gt;0),10*c_TCREEP,IF(AND(A514&lt;=c_TRNGMIN,A514&gt;=c_TRNGMAX,c_TRNGMIN-c_TRNGMAX&lt;&gt;0),-10*c_TMINRN+QUOTIENT((c_TMAXRN-c_TMINRN)*(100-QUOTIENT((A514-c_TRNGMAX)*100,c_TRNGMIN-c_TRNGMAX)),-10),0))</f>
        <v>0</v>
      </c>
      <c r="D514" s="7" t="n">
        <f aca="false">IF(((c_TMAP1IN)-(c_TFWD))=0,(0)+QUOTIENT(((c_TMAP1OUT)-(0)),2),QUOTIENT((((A514)-(c_TFWD))*((c_TMAP1OUT)-(0))+IF(((c_TMAP1OUT)-(0))&gt;=0,1,-1)*QUOTIENT(((c_TMAP1IN)-(c_TFWD)),2)),((c_TMAP1IN)-(c_TFWD)))+(0)+IF(((c_TMAP1OUT)-(0))&gt;=0,IF(IF(o_WRAP=1,MOD(((c_TMAP1IN)-(c_TFWD))*(((A514)-(c_TFWD))*((c_TMAP1OUT)-(0))+IF(((c_TMAP1OUT)-(0))&gt;=0,1,-1)*QUOTIENT(((c_TMAP1IN)-(c_TFWD)),2))+2147483648,4294967296)-2147483648,((c_TMAP1IN)-(c_TFWD))*(((A514)-(c_TFWD))*((c_TMAP1OUT)-(0))+IF(((c_TMAP1OUT)-(0))&gt;=0,1,-1)*QUOTIENT(((c_TMAP1IN)-(c_TFWD)),2)))&lt;0,-1,0),IF(IF(o_WRAP=1,MOD(((c_TMAP1IN)-(c_TFWD))*(((A514)-(c_TFWD))*((c_TMAP1OUT)-(0))+IF(((c_TMAP1OUT)-(0))&gt;=0,1,-1)*QUOTIENT(((c_TMAP1IN)-(c_TFWD)),2))+2147483648,4294967296)-2147483648,((c_TMAP1IN)-(c_TFWD))*(((A514)-(c_TFWD))*((c_TMAP1OUT)-(0))+IF(((c_TMAP1OUT)-(0))&gt;=0,1,-1)*QUOTIENT(((c_TMAP1IN)-(c_TFWD)),2)))&gt;=0,1,0)))</f>
        <v>388</v>
      </c>
      <c r="E514" s="7" t="n">
        <f aca="false">IF(((c_TMAP2IN)-(c_TMAP1IN))=0,(c_TMAP1OUT)+QUOTIENT(((c_TMAP2OUT)-(c_TMAP1OUT)),2),QUOTIENT((((A514)-(c_TMAP1IN))*((c_TMAP2OUT)-(c_TMAP1OUT))+IF(((c_TMAP2OUT)-(c_TMAP1OUT))&gt;=0,1,-1)*QUOTIENT(((c_TMAP2IN)-(c_TMAP1IN)),2)),((c_TMAP2IN)-(c_TMAP1IN)))+(c_TMAP1OUT)+IF(((c_TMAP2OUT)-(c_TMAP1OUT))&gt;=0,IF(IF(o_WRAP=1,MOD(((c_TMAP2IN)-(c_TMAP1IN))*(((A514)-(c_TMAP1IN))*((c_TMAP2OUT)-(c_TMAP1OUT))+IF(((c_TMAP2OUT)-(c_TMAP1OUT))&gt;=0,1,-1)*QUOTIENT(((c_TMAP2IN)-(c_TMAP1IN)),2))+2147483648,4294967296)-2147483648,((c_TMAP2IN)-(c_TMAP1IN))*(((A514)-(c_TMAP1IN))*((c_TMAP2OUT)-(c_TMAP1OUT))+IF(((c_TMAP2OUT)-(c_TMAP1OUT))&gt;=0,1,-1)*QUOTIENT(((c_TMAP2IN)-(c_TMAP1IN)),2)))&lt;0,-1,0),IF(IF(o_WRAP=1,MOD(((c_TMAP2IN)-(c_TMAP1IN))*(((A514)-(c_TMAP1IN))*((c_TMAP2OUT)-(c_TMAP1OUT))+IF(((c_TMAP2OUT)-(c_TMAP1OUT))&gt;=0,1,-1)*QUOTIENT(((c_TMAP2IN)-(c_TMAP1IN)),2))+2147483648,4294967296)-2147483648,((c_TMAP2IN)-(c_TMAP1IN))*(((A514)-(c_TMAP1IN))*((c_TMAP2OUT)-(c_TMAP1OUT))+IF(((c_TMAP2OUT)-(c_TMAP1OUT))&gt;=0,1,-1)*QUOTIENT(((c_TMAP2IN)-(c_TMAP1IN)),2)))&gt;=0,1,0)))</f>
        <v>234</v>
      </c>
      <c r="F514" s="7" t="n">
        <f aca="false">IF(((c_TMAP3IN)-(c_TMAP2IN))=0,(c_TMAP2OUT)+QUOTIENT(((c_TMAP3OUT)-(c_TMAP2OUT)),2),QUOTIENT((((A514)-(c_TMAP2IN))*((c_TMAP3OUT)-(c_TMAP2OUT))+IF(((c_TMAP3OUT)-(c_TMAP2OUT))&gt;=0,1,-1)*QUOTIENT(((c_TMAP3IN)-(c_TMAP2IN)),2)),((c_TMAP3IN)-(c_TMAP2IN)))+(c_TMAP2OUT)+IF(((c_TMAP3OUT)-(c_TMAP2OUT))&gt;=0,IF(IF(o_WRAP=1,MOD(((c_TMAP3IN)-(c_TMAP2IN))*(((A514)-(c_TMAP2IN))*((c_TMAP3OUT)-(c_TMAP2OUT))+IF(((c_TMAP3OUT)-(c_TMAP2OUT))&gt;=0,1,-1)*QUOTIENT(((c_TMAP3IN)-(c_TMAP2IN)),2))+2147483648,4294967296)-2147483648,((c_TMAP3IN)-(c_TMAP2IN))*(((A514)-(c_TMAP2IN))*((c_TMAP3OUT)-(c_TMAP2OUT))+IF(((c_TMAP3OUT)-(c_TMAP2OUT))&gt;=0,1,-1)*QUOTIENT(((c_TMAP3IN)-(c_TMAP2IN)),2)))&lt;0,-1,0),IF(IF(o_WRAP=1,MOD(((c_TMAP3IN)-(c_TMAP2IN))*(((A514)-(c_TMAP2IN))*((c_TMAP3OUT)-(c_TMAP2OUT))+IF(((c_TMAP3OUT)-(c_TMAP2OUT))&gt;=0,1,-1)*QUOTIENT(((c_TMAP3IN)-(c_TMAP2IN)),2))+2147483648,4294967296)-2147483648,((c_TMAP3IN)-(c_TMAP2IN))*(((A514)-(c_TMAP2IN))*((c_TMAP3OUT)-(c_TMAP2OUT))+IF(((c_TMAP3OUT)-(c_TMAP2OUT))&gt;=0,1,-1)*QUOTIENT(((c_TMAP3IN)-(c_TMAP2IN)),2)))&gt;=0,1,0)))</f>
        <v>311</v>
      </c>
      <c r="G514" s="7" t="n">
        <f aca="false">IF(((1000)-(c_TMAP3IN))=0,(c_TMAP3OUT)+QUOTIENT(((1000)-(c_TMAP3OUT)),2),QUOTIENT((((A514)-(c_TMAP3IN))*((1000)-(c_TMAP3OUT))+IF(((1000)-(c_TMAP3OUT))&gt;=0,1,-1)*QUOTIENT(((1000)-(c_TMAP3IN)),2)),((1000)-(c_TMAP3IN)))+(c_TMAP3OUT)+IF(((1000)-(c_TMAP3OUT))&gt;=0,IF(IF(o_WRAP=1,MOD(((1000)-(c_TMAP3IN))*(((A514)-(c_TMAP3IN))*((1000)-(c_TMAP3OUT))+IF(((1000)-(c_TMAP3OUT))&gt;=0,1,-1)*QUOTIENT(((1000)-(c_TMAP3IN)),2))+2147483648,4294967296)-2147483648,((1000)-(c_TMAP3IN))*(((A514)-(c_TMAP3IN))*((1000)-(c_TMAP3OUT))+IF(((1000)-(c_TMAP3OUT))&gt;=0,1,-1)*QUOTIENT(((1000)-(c_TMAP3IN)),2)))&lt;0,-1,0),IF(IF(o_WRAP=1,MOD(((1000)-(c_TMAP3IN))*(((A514)-(c_TMAP3IN))*((1000)-(c_TMAP3OUT))+IF(((1000)-(c_TMAP3OUT))&gt;=0,1,-1)*QUOTIENT(((1000)-(c_TMAP3IN)),2))+2147483648,4294967296)-2147483648,((1000)-(c_TMAP3IN))*(((A514)-(c_TMAP3IN))*((1000)-(c_TMAP3OUT))+IF(((1000)-(c_TMAP3OUT))&gt;=0,1,-1)*QUOTIENT(((1000)-(c_TMAP3IN)),2)))&gt;=0,1,0)))</f>
        <v>396</v>
      </c>
      <c r="H514" s="7" t="str">
        <f aca="false">IF(A514&gt;=c_TFWD,IF(AND(A514&gt;=c_TMAP3IN,c_TMAP3IN&lt;1000),"Seg4 map3-100%",IF(AND(A514&gt;=c_TMAP2IN,c_TMAP3IN&gt;c_TMAP2IN),"Seg3 map2-map3",IF(AND(A514&gt;=c_TMAP1IN,c_TMAP2IN&gt;c_TMAP1IN),"Seg2 map1-map2","Seg1 TFWD-map1"))),IF(AND(A514=0,c_TCREEP&gt;0),"Creep",IF(AND(A514&lt;=c_TRNGMIN,A514&gt;=c_TRNGMAX,c_TRNGMIN-c_TRNGMAX&lt;&gt;0),"Regen ramp","Coast (0)")))</f>
        <v>Seg4 map3-100%</v>
      </c>
      <c r="I514" s="7" t="n">
        <f aca="false">IF(A514&gt;=c_TFWD,IF(AND(A514&gt;=c_TMAP3IN,c_TMAP3IN&lt;1000),G514,IF(AND(A514&gt;=c_TMAP2IN,c_TMAP3IN&gt;c_TMAP2IN),F514,IF(AND(A514&gt;=c_TMAP1IN,c_TMAP2IN&gt;c_TMAP1IN),E514,D514))),C514)</f>
        <v>396</v>
      </c>
      <c r="J514" s="7" t="str">
        <f aca="false">IF(I514&lt;-1090,"TOO LOW",IF(I514&gt;1090,"TOO HIGH",""))</f>
        <v/>
      </c>
      <c r="K514" s="15" t="n">
        <f aca="false">IF(J514&lt;&gt;"",0,IF(I514&gt;979,1000,I514))</f>
        <v>396</v>
      </c>
      <c r="L514" s="7" t="n">
        <f aca="false">K514/10</f>
        <v>39.6</v>
      </c>
    </row>
    <row r="515" customFormat="false" ht="15" hidden="false" customHeight="false" outlineLevel="0" collapsed="false">
      <c r="A515" s="7" t="n">
        <v>510</v>
      </c>
      <c r="B515" s="7" t="n">
        <f aca="false">A515/10</f>
        <v>51</v>
      </c>
      <c r="C515" s="7" t="n">
        <f aca="false">IF(AND(A515=0,c_TCREEP&gt;0),10*c_TCREEP,IF(AND(A515&lt;=c_TRNGMIN,A515&gt;=c_TRNGMAX,c_TRNGMIN-c_TRNGMAX&lt;&gt;0),-10*c_TMINRN+QUOTIENT((c_TMAXRN-c_TMINRN)*(100-QUOTIENT((A515-c_TRNGMAX)*100,c_TRNGMIN-c_TRNGMAX)),-10),0))</f>
        <v>0</v>
      </c>
      <c r="D515" s="7" t="n">
        <f aca="false">IF(((c_TMAP1IN)-(c_TFWD))=0,(0)+QUOTIENT(((c_TMAP1OUT)-(0)),2),QUOTIENT((((A515)-(c_TFWD))*((c_TMAP1OUT)-(0))+IF(((c_TMAP1OUT)-(0))&gt;=0,1,-1)*QUOTIENT(((c_TMAP1IN)-(c_TFWD)),2)),((c_TMAP1IN)-(c_TFWD)))+(0)+IF(((c_TMAP1OUT)-(0))&gt;=0,IF(IF(o_WRAP=1,MOD(((c_TMAP1IN)-(c_TFWD))*(((A515)-(c_TFWD))*((c_TMAP1OUT)-(0))+IF(((c_TMAP1OUT)-(0))&gt;=0,1,-1)*QUOTIENT(((c_TMAP1IN)-(c_TFWD)),2))+2147483648,4294967296)-2147483648,((c_TMAP1IN)-(c_TFWD))*(((A515)-(c_TFWD))*((c_TMAP1OUT)-(0))+IF(((c_TMAP1OUT)-(0))&gt;=0,1,-1)*QUOTIENT(((c_TMAP1IN)-(c_TFWD)),2)))&lt;0,-1,0),IF(IF(o_WRAP=1,MOD(((c_TMAP1IN)-(c_TFWD))*(((A515)-(c_TFWD))*((c_TMAP1OUT)-(0))+IF(((c_TMAP1OUT)-(0))&gt;=0,1,-1)*QUOTIENT(((c_TMAP1IN)-(c_TFWD)),2))+2147483648,4294967296)-2147483648,((c_TMAP1IN)-(c_TFWD))*(((A515)-(c_TFWD))*((c_TMAP1OUT)-(0))+IF(((c_TMAP1OUT)-(0))&gt;=0,1,-1)*QUOTIENT(((c_TMAP1IN)-(c_TFWD)),2)))&gt;=0,1,0)))</f>
        <v>389</v>
      </c>
      <c r="E515" s="7" t="n">
        <f aca="false">IF(((c_TMAP2IN)-(c_TMAP1IN))=0,(c_TMAP1OUT)+QUOTIENT(((c_TMAP2OUT)-(c_TMAP1OUT)),2),QUOTIENT((((A515)-(c_TMAP1IN))*((c_TMAP2OUT)-(c_TMAP1OUT))+IF(((c_TMAP2OUT)-(c_TMAP1OUT))&gt;=0,1,-1)*QUOTIENT(((c_TMAP2IN)-(c_TMAP1IN)),2)),((c_TMAP2IN)-(c_TMAP1IN)))+(c_TMAP1OUT)+IF(((c_TMAP2OUT)-(c_TMAP1OUT))&gt;=0,IF(IF(o_WRAP=1,MOD(((c_TMAP2IN)-(c_TMAP1IN))*(((A515)-(c_TMAP1IN))*((c_TMAP2OUT)-(c_TMAP1OUT))+IF(((c_TMAP2OUT)-(c_TMAP1OUT))&gt;=0,1,-1)*QUOTIENT(((c_TMAP2IN)-(c_TMAP1IN)),2))+2147483648,4294967296)-2147483648,((c_TMAP2IN)-(c_TMAP1IN))*(((A515)-(c_TMAP1IN))*((c_TMAP2OUT)-(c_TMAP1OUT))+IF(((c_TMAP2OUT)-(c_TMAP1OUT))&gt;=0,1,-1)*QUOTIENT(((c_TMAP2IN)-(c_TMAP1IN)),2)))&lt;0,-1,0),IF(IF(o_WRAP=1,MOD(((c_TMAP2IN)-(c_TMAP1IN))*(((A515)-(c_TMAP1IN))*((c_TMAP2OUT)-(c_TMAP1OUT))+IF(((c_TMAP2OUT)-(c_TMAP1OUT))&gt;=0,1,-1)*QUOTIENT(((c_TMAP2IN)-(c_TMAP1IN)),2))+2147483648,4294967296)-2147483648,((c_TMAP2IN)-(c_TMAP1IN))*(((A515)-(c_TMAP1IN))*((c_TMAP2OUT)-(c_TMAP1OUT))+IF(((c_TMAP2OUT)-(c_TMAP1OUT))&gt;=0,1,-1)*QUOTIENT(((c_TMAP2IN)-(c_TMAP1IN)),2)))&gt;=0,1,0)))</f>
        <v>234</v>
      </c>
      <c r="F515" s="7" t="n">
        <f aca="false">IF(((c_TMAP3IN)-(c_TMAP2IN))=0,(c_TMAP2OUT)+QUOTIENT(((c_TMAP3OUT)-(c_TMAP2OUT)),2),QUOTIENT((((A515)-(c_TMAP2IN))*((c_TMAP3OUT)-(c_TMAP2OUT))+IF(((c_TMAP3OUT)-(c_TMAP2OUT))&gt;=0,1,-1)*QUOTIENT(((c_TMAP3IN)-(c_TMAP2IN)),2)),((c_TMAP3IN)-(c_TMAP2IN)))+(c_TMAP2OUT)+IF(((c_TMAP3OUT)-(c_TMAP2OUT))&gt;=0,IF(IF(o_WRAP=1,MOD(((c_TMAP3IN)-(c_TMAP2IN))*(((A515)-(c_TMAP2IN))*((c_TMAP3OUT)-(c_TMAP2OUT))+IF(((c_TMAP3OUT)-(c_TMAP2OUT))&gt;=0,1,-1)*QUOTIENT(((c_TMAP3IN)-(c_TMAP2IN)),2))+2147483648,4294967296)-2147483648,((c_TMAP3IN)-(c_TMAP2IN))*(((A515)-(c_TMAP2IN))*((c_TMAP3OUT)-(c_TMAP2OUT))+IF(((c_TMAP3OUT)-(c_TMAP2OUT))&gt;=0,1,-1)*QUOTIENT(((c_TMAP3IN)-(c_TMAP2IN)),2)))&lt;0,-1,0),IF(IF(o_WRAP=1,MOD(((c_TMAP3IN)-(c_TMAP2IN))*(((A515)-(c_TMAP2IN))*((c_TMAP3OUT)-(c_TMAP2OUT))+IF(((c_TMAP3OUT)-(c_TMAP2OUT))&gt;=0,1,-1)*QUOTIENT(((c_TMAP3IN)-(c_TMAP2IN)),2))+2147483648,4294967296)-2147483648,((c_TMAP3IN)-(c_TMAP2IN))*(((A515)-(c_TMAP2IN))*((c_TMAP3OUT)-(c_TMAP2OUT))+IF(((c_TMAP3OUT)-(c_TMAP2OUT))&gt;=0,1,-1)*QUOTIENT(((c_TMAP3IN)-(c_TMAP2IN)),2)))&gt;=0,1,0)))</f>
        <v>312</v>
      </c>
      <c r="G515" s="7" t="n">
        <f aca="false">IF(((1000)-(c_TMAP3IN))=0,(c_TMAP3OUT)+QUOTIENT(((1000)-(c_TMAP3OUT)),2),QUOTIENT((((A515)-(c_TMAP3IN))*((1000)-(c_TMAP3OUT))+IF(((1000)-(c_TMAP3OUT))&gt;=0,1,-1)*QUOTIENT(((1000)-(c_TMAP3IN)),2)),((1000)-(c_TMAP3IN)))+(c_TMAP3OUT)+IF(((1000)-(c_TMAP3OUT))&gt;=0,IF(IF(o_WRAP=1,MOD(((1000)-(c_TMAP3IN))*(((A515)-(c_TMAP3IN))*((1000)-(c_TMAP3OUT))+IF(((1000)-(c_TMAP3OUT))&gt;=0,1,-1)*QUOTIENT(((1000)-(c_TMAP3IN)),2))+2147483648,4294967296)-2147483648,((1000)-(c_TMAP3IN))*(((A515)-(c_TMAP3IN))*((1000)-(c_TMAP3OUT))+IF(((1000)-(c_TMAP3OUT))&gt;=0,1,-1)*QUOTIENT(((1000)-(c_TMAP3IN)),2)))&lt;0,-1,0),IF(IF(o_WRAP=1,MOD(((1000)-(c_TMAP3IN))*(((A515)-(c_TMAP3IN))*((1000)-(c_TMAP3OUT))+IF(((1000)-(c_TMAP3OUT))&gt;=0,1,-1)*QUOTIENT(((1000)-(c_TMAP3IN)),2))+2147483648,4294967296)-2147483648,((1000)-(c_TMAP3IN))*(((A515)-(c_TMAP3IN))*((1000)-(c_TMAP3OUT))+IF(((1000)-(c_TMAP3OUT))&gt;=0,1,-1)*QUOTIENT(((1000)-(c_TMAP3IN)),2)))&gt;=0,1,0)))</f>
        <v>397</v>
      </c>
      <c r="H515" s="7" t="str">
        <f aca="false">IF(A515&gt;=c_TFWD,IF(AND(A515&gt;=c_TMAP3IN,c_TMAP3IN&lt;1000),"Seg4 map3-100%",IF(AND(A515&gt;=c_TMAP2IN,c_TMAP3IN&gt;c_TMAP2IN),"Seg3 map2-map3",IF(AND(A515&gt;=c_TMAP1IN,c_TMAP2IN&gt;c_TMAP1IN),"Seg2 map1-map2","Seg1 TFWD-map1"))),IF(AND(A515=0,c_TCREEP&gt;0),"Creep",IF(AND(A515&lt;=c_TRNGMIN,A515&gt;=c_TRNGMAX,c_TRNGMIN-c_TRNGMAX&lt;&gt;0),"Regen ramp","Coast (0)")))</f>
        <v>Seg4 map3-100%</v>
      </c>
      <c r="I515" s="7" t="n">
        <f aca="false">IF(A515&gt;=c_TFWD,IF(AND(A515&gt;=c_TMAP3IN,c_TMAP3IN&lt;1000),G515,IF(AND(A515&gt;=c_TMAP2IN,c_TMAP3IN&gt;c_TMAP2IN),F515,IF(AND(A515&gt;=c_TMAP1IN,c_TMAP2IN&gt;c_TMAP1IN),E515,D515))),C515)</f>
        <v>397</v>
      </c>
      <c r="J515" s="7" t="str">
        <f aca="false">IF(I515&lt;-1090,"TOO LOW",IF(I515&gt;1090,"TOO HIGH",""))</f>
        <v/>
      </c>
      <c r="K515" s="15" t="n">
        <f aca="false">IF(J515&lt;&gt;"",0,IF(I515&gt;979,1000,I515))</f>
        <v>397</v>
      </c>
      <c r="L515" s="7" t="n">
        <f aca="false">K515/10</f>
        <v>39.7</v>
      </c>
    </row>
    <row r="516" customFormat="false" ht="15" hidden="false" customHeight="false" outlineLevel="0" collapsed="false">
      <c r="A516" s="7" t="n">
        <v>511</v>
      </c>
      <c r="B516" s="7" t="n">
        <f aca="false">A516/10</f>
        <v>51.1</v>
      </c>
      <c r="C516" s="7" t="n">
        <f aca="false">IF(AND(A516=0,c_TCREEP&gt;0),10*c_TCREEP,IF(AND(A516&lt;=c_TRNGMIN,A516&gt;=c_TRNGMAX,c_TRNGMIN-c_TRNGMAX&lt;&gt;0),-10*c_TMINRN+QUOTIENT((c_TMAXRN-c_TMINRN)*(100-QUOTIENT((A516-c_TRNGMAX)*100,c_TRNGMIN-c_TRNGMAX)),-10),0))</f>
        <v>0</v>
      </c>
      <c r="D516" s="7" t="n">
        <f aca="false">IF(((c_TMAP1IN)-(c_TFWD))=0,(0)+QUOTIENT(((c_TMAP1OUT)-(0)),2),QUOTIENT((((A516)-(c_TFWD))*((c_TMAP1OUT)-(0))+IF(((c_TMAP1OUT)-(0))&gt;=0,1,-1)*QUOTIENT(((c_TMAP1IN)-(c_TFWD)),2)),((c_TMAP1IN)-(c_TFWD)))+(0)+IF(((c_TMAP1OUT)-(0))&gt;=0,IF(IF(o_WRAP=1,MOD(((c_TMAP1IN)-(c_TFWD))*(((A516)-(c_TFWD))*((c_TMAP1OUT)-(0))+IF(((c_TMAP1OUT)-(0))&gt;=0,1,-1)*QUOTIENT(((c_TMAP1IN)-(c_TFWD)),2))+2147483648,4294967296)-2147483648,((c_TMAP1IN)-(c_TFWD))*(((A516)-(c_TFWD))*((c_TMAP1OUT)-(0))+IF(((c_TMAP1OUT)-(0))&gt;=0,1,-1)*QUOTIENT(((c_TMAP1IN)-(c_TFWD)),2)))&lt;0,-1,0),IF(IF(o_WRAP=1,MOD(((c_TMAP1IN)-(c_TFWD))*(((A516)-(c_TFWD))*((c_TMAP1OUT)-(0))+IF(((c_TMAP1OUT)-(0))&gt;=0,1,-1)*QUOTIENT(((c_TMAP1IN)-(c_TFWD)),2))+2147483648,4294967296)-2147483648,((c_TMAP1IN)-(c_TFWD))*(((A516)-(c_TFWD))*((c_TMAP1OUT)-(0))+IF(((c_TMAP1OUT)-(0))&gt;=0,1,-1)*QUOTIENT(((c_TMAP1IN)-(c_TFWD)),2)))&gt;=0,1,0)))</f>
        <v>390</v>
      </c>
      <c r="E516" s="7" t="n">
        <f aca="false">IF(((c_TMAP2IN)-(c_TMAP1IN))=0,(c_TMAP1OUT)+QUOTIENT(((c_TMAP2OUT)-(c_TMAP1OUT)),2),QUOTIENT((((A516)-(c_TMAP1IN))*((c_TMAP2OUT)-(c_TMAP1OUT))+IF(((c_TMAP2OUT)-(c_TMAP1OUT))&gt;=0,1,-1)*QUOTIENT(((c_TMAP2IN)-(c_TMAP1IN)),2)),((c_TMAP2IN)-(c_TMAP1IN)))+(c_TMAP1OUT)+IF(((c_TMAP2OUT)-(c_TMAP1OUT))&gt;=0,IF(IF(o_WRAP=1,MOD(((c_TMAP2IN)-(c_TMAP1IN))*(((A516)-(c_TMAP1IN))*((c_TMAP2OUT)-(c_TMAP1OUT))+IF(((c_TMAP2OUT)-(c_TMAP1OUT))&gt;=0,1,-1)*QUOTIENT(((c_TMAP2IN)-(c_TMAP1IN)),2))+2147483648,4294967296)-2147483648,((c_TMAP2IN)-(c_TMAP1IN))*(((A516)-(c_TMAP1IN))*((c_TMAP2OUT)-(c_TMAP1OUT))+IF(((c_TMAP2OUT)-(c_TMAP1OUT))&gt;=0,1,-1)*QUOTIENT(((c_TMAP2IN)-(c_TMAP1IN)),2)))&lt;0,-1,0),IF(IF(o_WRAP=1,MOD(((c_TMAP2IN)-(c_TMAP1IN))*(((A516)-(c_TMAP1IN))*((c_TMAP2OUT)-(c_TMAP1OUT))+IF(((c_TMAP2OUT)-(c_TMAP1OUT))&gt;=0,1,-1)*QUOTIENT(((c_TMAP2IN)-(c_TMAP1IN)),2))+2147483648,4294967296)-2147483648,((c_TMAP2IN)-(c_TMAP1IN))*(((A516)-(c_TMAP1IN))*((c_TMAP2OUT)-(c_TMAP1OUT))+IF(((c_TMAP2OUT)-(c_TMAP1OUT))&gt;=0,1,-1)*QUOTIENT(((c_TMAP2IN)-(c_TMAP1IN)),2)))&gt;=0,1,0)))</f>
        <v>234</v>
      </c>
      <c r="F516" s="7" t="n">
        <f aca="false">IF(((c_TMAP3IN)-(c_TMAP2IN))=0,(c_TMAP2OUT)+QUOTIENT(((c_TMAP3OUT)-(c_TMAP2OUT)),2),QUOTIENT((((A516)-(c_TMAP2IN))*((c_TMAP3OUT)-(c_TMAP2OUT))+IF(((c_TMAP3OUT)-(c_TMAP2OUT))&gt;=0,1,-1)*QUOTIENT(((c_TMAP3IN)-(c_TMAP2IN)),2)),((c_TMAP3IN)-(c_TMAP2IN)))+(c_TMAP2OUT)+IF(((c_TMAP3OUT)-(c_TMAP2OUT))&gt;=0,IF(IF(o_WRAP=1,MOD(((c_TMAP3IN)-(c_TMAP2IN))*(((A516)-(c_TMAP2IN))*((c_TMAP3OUT)-(c_TMAP2OUT))+IF(((c_TMAP3OUT)-(c_TMAP2OUT))&gt;=0,1,-1)*QUOTIENT(((c_TMAP3IN)-(c_TMAP2IN)),2))+2147483648,4294967296)-2147483648,((c_TMAP3IN)-(c_TMAP2IN))*(((A516)-(c_TMAP2IN))*((c_TMAP3OUT)-(c_TMAP2OUT))+IF(((c_TMAP3OUT)-(c_TMAP2OUT))&gt;=0,1,-1)*QUOTIENT(((c_TMAP3IN)-(c_TMAP2IN)),2)))&lt;0,-1,0),IF(IF(o_WRAP=1,MOD(((c_TMAP3IN)-(c_TMAP2IN))*(((A516)-(c_TMAP2IN))*((c_TMAP3OUT)-(c_TMAP2OUT))+IF(((c_TMAP3OUT)-(c_TMAP2OUT))&gt;=0,1,-1)*QUOTIENT(((c_TMAP3IN)-(c_TMAP2IN)),2))+2147483648,4294967296)-2147483648,((c_TMAP3IN)-(c_TMAP2IN))*(((A516)-(c_TMAP2IN))*((c_TMAP3OUT)-(c_TMAP2OUT))+IF(((c_TMAP3OUT)-(c_TMAP2OUT))&gt;=0,1,-1)*QUOTIENT(((c_TMAP3IN)-(c_TMAP2IN)),2)))&gt;=0,1,0)))</f>
        <v>313</v>
      </c>
      <c r="G516" s="7" t="n">
        <f aca="false">IF(((1000)-(c_TMAP3IN))=0,(c_TMAP3OUT)+QUOTIENT(((1000)-(c_TMAP3OUT)),2),QUOTIENT((((A516)-(c_TMAP3IN))*((1000)-(c_TMAP3OUT))+IF(((1000)-(c_TMAP3OUT))&gt;=0,1,-1)*QUOTIENT(((1000)-(c_TMAP3IN)),2)),((1000)-(c_TMAP3IN)))+(c_TMAP3OUT)+IF(((1000)-(c_TMAP3OUT))&gt;=0,IF(IF(o_WRAP=1,MOD(((1000)-(c_TMAP3IN))*(((A516)-(c_TMAP3IN))*((1000)-(c_TMAP3OUT))+IF(((1000)-(c_TMAP3OUT))&gt;=0,1,-1)*QUOTIENT(((1000)-(c_TMAP3IN)),2))+2147483648,4294967296)-2147483648,((1000)-(c_TMAP3IN))*(((A516)-(c_TMAP3IN))*((1000)-(c_TMAP3OUT))+IF(((1000)-(c_TMAP3OUT))&gt;=0,1,-1)*QUOTIENT(((1000)-(c_TMAP3IN)),2)))&lt;0,-1,0),IF(IF(o_WRAP=1,MOD(((1000)-(c_TMAP3IN))*(((A516)-(c_TMAP3IN))*((1000)-(c_TMAP3OUT))+IF(((1000)-(c_TMAP3OUT))&gt;=0,1,-1)*QUOTIENT(((1000)-(c_TMAP3IN)),2))+2147483648,4294967296)-2147483648,((1000)-(c_TMAP3IN))*(((A516)-(c_TMAP3IN))*((1000)-(c_TMAP3OUT))+IF(((1000)-(c_TMAP3OUT))&gt;=0,1,-1)*QUOTIENT(((1000)-(c_TMAP3IN)),2)))&gt;=0,1,0)))</f>
        <v>398</v>
      </c>
      <c r="H516" s="7" t="str">
        <f aca="false">IF(A516&gt;=c_TFWD,IF(AND(A516&gt;=c_TMAP3IN,c_TMAP3IN&lt;1000),"Seg4 map3-100%",IF(AND(A516&gt;=c_TMAP2IN,c_TMAP3IN&gt;c_TMAP2IN),"Seg3 map2-map3",IF(AND(A516&gt;=c_TMAP1IN,c_TMAP2IN&gt;c_TMAP1IN),"Seg2 map1-map2","Seg1 TFWD-map1"))),IF(AND(A516=0,c_TCREEP&gt;0),"Creep",IF(AND(A516&lt;=c_TRNGMIN,A516&gt;=c_TRNGMAX,c_TRNGMIN-c_TRNGMAX&lt;&gt;0),"Regen ramp","Coast (0)")))</f>
        <v>Seg4 map3-100%</v>
      </c>
      <c r="I516" s="7" t="n">
        <f aca="false">IF(A516&gt;=c_TFWD,IF(AND(A516&gt;=c_TMAP3IN,c_TMAP3IN&lt;1000),G516,IF(AND(A516&gt;=c_TMAP2IN,c_TMAP3IN&gt;c_TMAP2IN),F516,IF(AND(A516&gt;=c_TMAP1IN,c_TMAP2IN&gt;c_TMAP1IN),E516,D516))),C516)</f>
        <v>398</v>
      </c>
      <c r="J516" s="7" t="str">
        <f aca="false">IF(I516&lt;-1090,"TOO LOW",IF(I516&gt;1090,"TOO HIGH",""))</f>
        <v/>
      </c>
      <c r="K516" s="15" t="n">
        <f aca="false">IF(J516&lt;&gt;"",0,IF(I516&gt;979,1000,I516))</f>
        <v>398</v>
      </c>
      <c r="L516" s="7" t="n">
        <f aca="false">K516/10</f>
        <v>39.8</v>
      </c>
    </row>
    <row r="517" customFormat="false" ht="15" hidden="false" customHeight="false" outlineLevel="0" collapsed="false">
      <c r="A517" s="7" t="n">
        <v>512</v>
      </c>
      <c r="B517" s="7" t="n">
        <f aca="false">A517/10</f>
        <v>51.2</v>
      </c>
      <c r="C517" s="7" t="n">
        <f aca="false">IF(AND(A517=0,c_TCREEP&gt;0),10*c_TCREEP,IF(AND(A517&lt;=c_TRNGMIN,A517&gt;=c_TRNGMAX,c_TRNGMIN-c_TRNGMAX&lt;&gt;0),-10*c_TMINRN+QUOTIENT((c_TMAXRN-c_TMINRN)*(100-QUOTIENT((A517-c_TRNGMAX)*100,c_TRNGMIN-c_TRNGMAX)),-10),0))</f>
        <v>0</v>
      </c>
      <c r="D517" s="7" t="n">
        <f aca="false">IF(((c_TMAP1IN)-(c_TFWD))=0,(0)+QUOTIENT(((c_TMAP1OUT)-(0)),2),QUOTIENT((((A517)-(c_TFWD))*((c_TMAP1OUT)-(0))+IF(((c_TMAP1OUT)-(0))&gt;=0,1,-1)*QUOTIENT(((c_TMAP1IN)-(c_TFWD)),2)),((c_TMAP1IN)-(c_TFWD)))+(0)+IF(((c_TMAP1OUT)-(0))&gt;=0,IF(IF(o_WRAP=1,MOD(((c_TMAP1IN)-(c_TFWD))*(((A517)-(c_TFWD))*((c_TMAP1OUT)-(0))+IF(((c_TMAP1OUT)-(0))&gt;=0,1,-1)*QUOTIENT(((c_TMAP1IN)-(c_TFWD)),2))+2147483648,4294967296)-2147483648,((c_TMAP1IN)-(c_TFWD))*(((A517)-(c_TFWD))*((c_TMAP1OUT)-(0))+IF(((c_TMAP1OUT)-(0))&gt;=0,1,-1)*QUOTIENT(((c_TMAP1IN)-(c_TFWD)),2)))&lt;0,-1,0),IF(IF(o_WRAP=1,MOD(((c_TMAP1IN)-(c_TFWD))*(((A517)-(c_TFWD))*((c_TMAP1OUT)-(0))+IF(((c_TMAP1OUT)-(0))&gt;=0,1,-1)*QUOTIENT(((c_TMAP1IN)-(c_TFWD)),2))+2147483648,4294967296)-2147483648,((c_TMAP1IN)-(c_TFWD))*(((A517)-(c_TFWD))*((c_TMAP1OUT)-(0))+IF(((c_TMAP1OUT)-(0))&gt;=0,1,-1)*QUOTIENT(((c_TMAP1IN)-(c_TFWD)),2)))&gt;=0,1,0)))</f>
        <v>390</v>
      </c>
      <c r="E517" s="7" t="n">
        <f aca="false">IF(((c_TMAP2IN)-(c_TMAP1IN))=0,(c_TMAP1OUT)+QUOTIENT(((c_TMAP2OUT)-(c_TMAP1OUT)),2),QUOTIENT((((A517)-(c_TMAP1IN))*((c_TMAP2OUT)-(c_TMAP1OUT))+IF(((c_TMAP2OUT)-(c_TMAP1OUT))&gt;=0,1,-1)*QUOTIENT(((c_TMAP2IN)-(c_TMAP1IN)),2)),((c_TMAP2IN)-(c_TMAP1IN)))+(c_TMAP1OUT)+IF(((c_TMAP2OUT)-(c_TMAP1OUT))&gt;=0,IF(IF(o_WRAP=1,MOD(((c_TMAP2IN)-(c_TMAP1IN))*(((A517)-(c_TMAP1IN))*((c_TMAP2OUT)-(c_TMAP1OUT))+IF(((c_TMAP2OUT)-(c_TMAP1OUT))&gt;=0,1,-1)*QUOTIENT(((c_TMAP2IN)-(c_TMAP1IN)),2))+2147483648,4294967296)-2147483648,((c_TMAP2IN)-(c_TMAP1IN))*(((A517)-(c_TMAP1IN))*((c_TMAP2OUT)-(c_TMAP1OUT))+IF(((c_TMAP2OUT)-(c_TMAP1OUT))&gt;=0,1,-1)*QUOTIENT(((c_TMAP2IN)-(c_TMAP1IN)),2)))&lt;0,-1,0),IF(IF(o_WRAP=1,MOD(((c_TMAP2IN)-(c_TMAP1IN))*(((A517)-(c_TMAP1IN))*((c_TMAP2OUT)-(c_TMAP1OUT))+IF(((c_TMAP2OUT)-(c_TMAP1OUT))&gt;=0,1,-1)*QUOTIENT(((c_TMAP2IN)-(c_TMAP1IN)),2))+2147483648,4294967296)-2147483648,((c_TMAP2IN)-(c_TMAP1IN))*(((A517)-(c_TMAP1IN))*((c_TMAP2OUT)-(c_TMAP1OUT))+IF(((c_TMAP2OUT)-(c_TMAP1OUT))&gt;=0,1,-1)*QUOTIENT(((c_TMAP2IN)-(c_TMAP1IN)),2)))&gt;=0,1,0)))</f>
        <v>235</v>
      </c>
      <c r="F517" s="7" t="n">
        <f aca="false">IF(((c_TMAP3IN)-(c_TMAP2IN))=0,(c_TMAP2OUT)+QUOTIENT(((c_TMAP3OUT)-(c_TMAP2OUT)),2),QUOTIENT((((A517)-(c_TMAP2IN))*((c_TMAP3OUT)-(c_TMAP2OUT))+IF(((c_TMAP3OUT)-(c_TMAP2OUT))&gt;=0,1,-1)*QUOTIENT(((c_TMAP3IN)-(c_TMAP2IN)),2)),((c_TMAP3IN)-(c_TMAP2IN)))+(c_TMAP2OUT)+IF(((c_TMAP3OUT)-(c_TMAP2OUT))&gt;=0,IF(IF(o_WRAP=1,MOD(((c_TMAP3IN)-(c_TMAP2IN))*(((A517)-(c_TMAP2IN))*((c_TMAP3OUT)-(c_TMAP2OUT))+IF(((c_TMAP3OUT)-(c_TMAP2OUT))&gt;=0,1,-1)*QUOTIENT(((c_TMAP3IN)-(c_TMAP2IN)),2))+2147483648,4294967296)-2147483648,((c_TMAP3IN)-(c_TMAP2IN))*(((A517)-(c_TMAP2IN))*((c_TMAP3OUT)-(c_TMAP2OUT))+IF(((c_TMAP3OUT)-(c_TMAP2OUT))&gt;=0,1,-1)*QUOTIENT(((c_TMAP3IN)-(c_TMAP2IN)),2)))&lt;0,-1,0),IF(IF(o_WRAP=1,MOD(((c_TMAP3IN)-(c_TMAP2IN))*(((A517)-(c_TMAP2IN))*((c_TMAP3OUT)-(c_TMAP2OUT))+IF(((c_TMAP3OUT)-(c_TMAP2OUT))&gt;=0,1,-1)*QUOTIENT(((c_TMAP3IN)-(c_TMAP2IN)),2))+2147483648,4294967296)-2147483648,((c_TMAP3IN)-(c_TMAP2IN))*(((A517)-(c_TMAP2IN))*((c_TMAP3OUT)-(c_TMAP2OUT))+IF(((c_TMAP3OUT)-(c_TMAP2OUT))&gt;=0,1,-1)*QUOTIENT(((c_TMAP3IN)-(c_TMAP2IN)),2)))&gt;=0,1,0)))</f>
        <v>313</v>
      </c>
      <c r="G517" s="7" t="n">
        <f aca="false">IF(((1000)-(c_TMAP3IN))=0,(c_TMAP3OUT)+QUOTIENT(((1000)-(c_TMAP3OUT)),2),QUOTIENT((((A517)-(c_TMAP3IN))*((1000)-(c_TMAP3OUT))+IF(((1000)-(c_TMAP3OUT))&gt;=0,1,-1)*QUOTIENT(((1000)-(c_TMAP3IN)),2)),((1000)-(c_TMAP3IN)))+(c_TMAP3OUT)+IF(((1000)-(c_TMAP3OUT))&gt;=0,IF(IF(o_WRAP=1,MOD(((1000)-(c_TMAP3IN))*(((A517)-(c_TMAP3IN))*((1000)-(c_TMAP3OUT))+IF(((1000)-(c_TMAP3OUT))&gt;=0,1,-1)*QUOTIENT(((1000)-(c_TMAP3IN)),2))+2147483648,4294967296)-2147483648,((1000)-(c_TMAP3IN))*(((A517)-(c_TMAP3IN))*((1000)-(c_TMAP3OUT))+IF(((1000)-(c_TMAP3OUT))&gt;=0,1,-1)*QUOTIENT(((1000)-(c_TMAP3IN)),2)))&lt;0,-1,0),IF(IF(o_WRAP=1,MOD(((1000)-(c_TMAP3IN))*(((A517)-(c_TMAP3IN))*((1000)-(c_TMAP3OUT))+IF(((1000)-(c_TMAP3OUT))&gt;=0,1,-1)*QUOTIENT(((1000)-(c_TMAP3IN)),2))+2147483648,4294967296)-2147483648,((1000)-(c_TMAP3IN))*(((A517)-(c_TMAP3IN))*((1000)-(c_TMAP3OUT))+IF(((1000)-(c_TMAP3OUT))&gt;=0,1,-1)*QUOTIENT(((1000)-(c_TMAP3IN)),2)))&gt;=0,1,0)))</f>
        <v>399</v>
      </c>
      <c r="H517" s="7" t="str">
        <f aca="false">IF(A517&gt;=c_TFWD,IF(AND(A517&gt;=c_TMAP3IN,c_TMAP3IN&lt;1000),"Seg4 map3-100%",IF(AND(A517&gt;=c_TMAP2IN,c_TMAP3IN&gt;c_TMAP2IN),"Seg3 map2-map3",IF(AND(A517&gt;=c_TMAP1IN,c_TMAP2IN&gt;c_TMAP1IN),"Seg2 map1-map2","Seg1 TFWD-map1"))),IF(AND(A517=0,c_TCREEP&gt;0),"Creep",IF(AND(A517&lt;=c_TRNGMIN,A517&gt;=c_TRNGMAX,c_TRNGMIN-c_TRNGMAX&lt;&gt;0),"Regen ramp","Coast (0)")))</f>
        <v>Seg4 map3-100%</v>
      </c>
      <c r="I517" s="7" t="n">
        <f aca="false">IF(A517&gt;=c_TFWD,IF(AND(A517&gt;=c_TMAP3IN,c_TMAP3IN&lt;1000),G517,IF(AND(A517&gt;=c_TMAP2IN,c_TMAP3IN&gt;c_TMAP2IN),F517,IF(AND(A517&gt;=c_TMAP1IN,c_TMAP2IN&gt;c_TMAP1IN),E517,D517))),C517)</f>
        <v>399</v>
      </c>
      <c r="J517" s="7" t="str">
        <f aca="false">IF(I517&lt;-1090,"TOO LOW",IF(I517&gt;1090,"TOO HIGH",""))</f>
        <v/>
      </c>
      <c r="K517" s="15" t="n">
        <f aca="false">IF(J517&lt;&gt;"",0,IF(I517&gt;979,1000,I517))</f>
        <v>399</v>
      </c>
      <c r="L517" s="7" t="n">
        <f aca="false">K517/10</f>
        <v>39.9</v>
      </c>
    </row>
    <row r="518" customFormat="false" ht="15" hidden="false" customHeight="false" outlineLevel="0" collapsed="false">
      <c r="A518" s="7" t="n">
        <v>513</v>
      </c>
      <c r="B518" s="7" t="n">
        <f aca="false">A518/10</f>
        <v>51.3</v>
      </c>
      <c r="C518" s="7" t="n">
        <f aca="false">IF(AND(A518=0,c_TCREEP&gt;0),10*c_TCREEP,IF(AND(A518&lt;=c_TRNGMIN,A518&gt;=c_TRNGMAX,c_TRNGMIN-c_TRNGMAX&lt;&gt;0),-10*c_TMINRN+QUOTIENT((c_TMAXRN-c_TMINRN)*(100-QUOTIENT((A518-c_TRNGMAX)*100,c_TRNGMIN-c_TRNGMAX)),-10),0))</f>
        <v>0</v>
      </c>
      <c r="D518" s="7" t="n">
        <f aca="false">IF(((c_TMAP1IN)-(c_TFWD))=0,(0)+QUOTIENT(((c_TMAP1OUT)-(0)),2),QUOTIENT((((A518)-(c_TFWD))*((c_TMAP1OUT)-(0))+IF(((c_TMAP1OUT)-(0))&gt;=0,1,-1)*QUOTIENT(((c_TMAP1IN)-(c_TFWD)),2)),((c_TMAP1IN)-(c_TFWD)))+(0)+IF(((c_TMAP1OUT)-(0))&gt;=0,IF(IF(o_WRAP=1,MOD(((c_TMAP1IN)-(c_TFWD))*(((A518)-(c_TFWD))*((c_TMAP1OUT)-(0))+IF(((c_TMAP1OUT)-(0))&gt;=0,1,-1)*QUOTIENT(((c_TMAP1IN)-(c_TFWD)),2))+2147483648,4294967296)-2147483648,((c_TMAP1IN)-(c_TFWD))*(((A518)-(c_TFWD))*((c_TMAP1OUT)-(0))+IF(((c_TMAP1OUT)-(0))&gt;=0,1,-1)*QUOTIENT(((c_TMAP1IN)-(c_TFWD)),2)))&lt;0,-1,0),IF(IF(o_WRAP=1,MOD(((c_TMAP1IN)-(c_TFWD))*(((A518)-(c_TFWD))*((c_TMAP1OUT)-(0))+IF(((c_TMAP1OUT)-(0))&gt;=0,1,-1)*QUOTIENT(((c_TMAP1IN)-(c_TFWD)),2))+2147483648,4294967296)-2147483648,((c_TMAP1IN)-(c_TFWD))*(((A518)-(c_TFWD))*((c_TMAP1OUT)-(0))+IF(((c_TMAP1OUT)-(0))&gt;=0,1,-1)*QUOTIENT(((c_TMAP1IN)-(c_TFWD)),2)))&gt;=0,1,0)))</f>
        <v>391</v>
      </c>
      <c r="E518" s="7" t="n">
        <f aca="false">IF(((c_TMAP2IN)-(c_TMAP1IN))=0,(c_TMAP1OUT)+QUOTIENT(((c_TMAP2OUT)-(c_TMAP1OUT)),2),QUOTIENT((((A518)-(c_TMAP1IN))*((c_TMAP2OUT)-(c_TMAP1OUT))+IF(((c_TMAP2OUT)-(c_TMAP1OUT))&gt;=0,1,-1)*QUOTIENT(((c_TMAP2IN)-(c_TMAP1IN)),2)),((c_TMAP2IN)-(c_TMAP1IN)))+(c_TMAP1OUT)+IF(((c_TMAP2OUT)-(c_TMAP1OUT))&gt;=0,IF(IF(o_WRAP=1,MOD(((c_TMAP2IN)-(c_TMAP1IN))*(((A518)-(c_TMAP1IN))*((c_TMAP2OUT)-(c_TMAP1OUT))+IF(((c_TMAP2OUT)-(c_TMAP1OUT))&gt;=0,1,-1)*QUOTIENT(((c_TMAP2IN)-(c_TMAP1IN)),2))+2147483648,4294967296)-2147483648,((c_TMAP2IN)-(c_TMAP1IN))*(((A518)-(c_TMAP1IN))*((c_TMAP2OUT)-(c_TMAP1OUT))+IF(((c_TMAP2OUT)-(c_TMAP1OUT))&gt;=0,1,-1)*QUOTIENT(((c_TMAP2IN)-(c_TMAP1IN)),2)))&lt;0,-1,0),IF(IF(o_WRAP=1,MOD(((c_TMAP2IN)-(c_TMAP1IN))*(((A518)-(c_TMAP1IN))*((c_TMAP2OUT)-(c_TMAP1OUT))+IF(((c_TMAP2OUT)-(c_TMAP1OUT))&gt;=0,1,-1)*QUOTIENT(((c_TMAP2IN)-(c_TMAP1IN)),2))+2147483648,4294967296)-2147483648,((c_TMAP2IN)-(c_TMAP1IN))*(((A518)-(c_TMAP1IN))*((c_TMAP2OUT)-(c_TMAP1OUT))+IF(((c_TMAP2OUT)-(c_TMAP1OUT))&gt;=0,1,-1)*QUOTIENT(((c_TMAP2IN)-(c_TMAP1IN)),2)))&gt;=0,1,0)))</f>
        <v>235</v>
      </c>
      <c r="F518" s="7" t="n">
        <f aca="false">IF(((c_TMAP3IN)-(c_TMAP2IN))=0,(c_TMAP2OUT)+QUOTIENT(((c_TMAP3OUT)-(c_TMAP2OUT)),2),QUOTIENT((((A518)-(c_TMAP2IN))*((c_TMAP3OUT)-(c_TMAP2OUT))+IF(((c_TMAP3OUT)-(c_TMAP2OUT))&gt;=0,1,-1)*QUOTIENT(((c_TMAP3IN)-(c_TMAP2IN)),2)),((c_TMAP3IN)-(c_TMAP2IN)))+(c_TMAP2OUT)+IF(((c_TMAP3OUT)-(c_TMAP2OUT))&gt;=0,IF(IF(o_WRAP=1,MOD(((c_TMAP3IN)-(c_TMAP2IN))*(((A518)-(c_TMAP2IN))*((c_TMAP3OUT)-(c_TMAP2OUT))+IF(((c_TMAP3OUT)-(c_TMAP2OUT))&gt;=0,1,-1)*QUOTIENT(((c_TMAP3IN)-(c_TMAP2IN)),2))+2147483648,4294967296)-2147483648,((c_TMAP3IN)-(c_TMAP2IN))*(((A518)-(c_TMAP2IN))*((c_TMAP3OUT)-(c_TMAP2OUT))+IF(((c_TMAP3OUT)-(c_TMAP2OUT))&gt;=0,1,-1)*QUOTIENT(((c_TMAP3IN)-(c_TMAP2IN)),2)))&lt;0,-1,0),IF(IF(o_WRAP=1,MOD(((c_TMAP3IN)-(c_TMAP2IN))*(((A518)-(c_TMAP2IN))*((c_TMAP3OUT)-(c_TMAP2OUT))+IF(((c_TMAP3OUT)-(c_TMAP2OUT))&gt;=0,1,-1)*QUOTIENT(((c_TMAP3IN)-(c_TMAP2IN)),2))+2147483648,4294967296)-2147483648,((c_TMAP3IN)-(c_TMAP2IN))*(((A518)-(c_TMAP2IN))*((c_TMAP3OUT)-(c_TMAP2OUT))+IF(((c_TMAP3OUT)-(c_TMAP2OUT))&gt;=0,1,-1)*QUOTIENT(((c_TMAP3IN)-(c_TMAP2IN)),2)))&gt;=0,1,0)))</f>
        <v>314</v>
      </c>
      <c r="G518" s="7" t="n">
        <f aca="false">IF(((1000)-(c_TMAP3IN))=0,(c_TMAP3OUT)+QUOTIENT(((1000)-(c_TMAP3OUT)),2),QUOTIENT((((A518)-(c_TMAP3IN))*((1000)-(c_TMAP3OUT))+IF(((1000)-(c_TMAP3OUT))&gt;=0,1,-1)*QUOTIENT(((1000)-(c_TMAP3IN)),2)),((1000)-(c_TMAP3IN)))+(c_TMAP3OUT)+IF(((1000)-(c_TMAP3OUT))&gt;=0,IF(IF(o_WRAP=1,MOD(((1000)-(c_TMAP3IN))*(((A518)-(c_TMAP3IN))*((1000)-(c_TMAP3OUT))+IF(((1000)-(c_TMAP3OUT))&gt;=0,1,-1)*QUOTIENT(((1000)-(c_TMAP3IN)),2))+2147483648,4294967296)-2147483648,((1000)-(c_TMAP3IN))*(((A518)-(c_TMAP3IN))*((1000)-(c_TMAP3OUT))+IF(((1000)-(c_TMAP3OUT))&gt;=0,1,-1)*QUOTIENT(((1000)-(c_TMAP3IN)),2)))&lt;0,-1,0),IF(IF(o_WRAP=1,MOD(((1000)-(c_TMAP3IN))*(((A518)-(c_TMAP3IN))*((1000)-(c_TMAP3OUT))+IF(((1000)-(c_TMAP3OUT))&gt;=0,1,-1)*QUOTIENT(((1000)-(c_TMAP3IN)),2))+2147483648,4294967296)-2147483648,((1000)-(c_TMAP3IN))*(((A518)-(c_TMAP3IN))*((1000)-(c_TMAP3OUT))+IF(((1000)-(c_TMAP3OUT))&gt;=0,1,-1)*QUOTIENT(((1000)-(c_TMAP3IN)),2)))&gt;=0,1,0)))</f>
        <v>401</v>
      </c>
      <c r="H518" s="7" t="str">
        <f aca="false">IF(A518&gt;=c_TFWD,IF(AND(A518&gt;=c_TMAP3IN,c_TMAP3IN&lt;1000),"Seg4 map3-100%",IF(AND(A518&gt;=c_TMAP2IN,c_TMAP3IN&gt;c_TMAP2IN),"Seg3 map2-map3",IF(AND(A518&gt;=c_TMAP1IN,c_TMAP2IN&gt;c_TMAP1IN),"Seg2 map1-map2","Seg1 TFWD-map1"))),IF(AND(A518=0,c_TCREEP&gt;0),"Creep",IF(AND(A518&lt;=c_TRNGMIN,A518&gt;=c_TRNGMAX,c_TRNGMIN-c_TRNGMAX&lt;&gt;0),"Regen ramp","Coast (0)")))</f>
        <v>Seg4 map3-100%</v>
      </c>
      <c r="I518" s="7" t="n">
        <f aca="false">IF(A518&gt;=c_TFWD,IF(AND(A518&gt;=c_TMAP3IN,c_TMAP3IN&lt;1000),G518,IF(AND(A518&gt;=c_TMAP2IN,c_TMAP3IN&gt;c_TMAP2IN),F518,IF(AND(A518&gt;=c_TMAP1IN,c_TMAP2IN&gt;c_TMAP1IN),E518,D518))),C518)</f>
        <v>401</v>
      </c>
      <c r="J518" s="7" t="str">
        <f aca="false">IF(I518&lt;-1090,"TOO LOW",IF(I518&gt;1090,"TOO HIGH",""))</f>
        <v/>
      </c>
      <c r="K518" s="15" t="n">
        <f aca="false">IF(J518&lt;&gt;"",0,IF(I518&gt;979,1000,I518))</f>
        <v>401</v>
      </c>
      <c r="L518" s="7" t="n">
        <f aca="false">K518/10</f>
        <v>40.1</v>
      </c>
    </row>
    <row r="519" customFormat="false" ht="15" hidden="false" customHeight="false" outlineLevel="0" collapsed="false">
      <c r="A519" s="7" t="n">
        <v>514</v>
      </c>
      <c r="B519" s="7" t="n">
        <f aca="false">A519/10</f>
        <v>51.4</v>
      </c>
      <c r="C519" s="7" t="n">
        <f aca="false">IF(AND(A519=0,c_TCREEP&gt;0),10*c_TCREEP,IF(AND(A519&lt;=c_TRNGMIN,A519&gt;=c_TRNGMAX,c_TRNGMIN-c_TRNGMAX&lt;&gt;0),-10*c_TMINRN+QUOTIENT((c_TMAXRN-c_TMINRN)*(100-QUOTIENT((A519-c_TRNGMAX)*100,c_TRNGMIN-c_TRNGMAX)),-10),0))</f>
        <v>0</v>
      </c>
      <c r="D519" s="7" t="n">
        <f aca="false">IF(((c_TMAP1IN)-(c_TFWD))=0,(0)+QUOTIENT(((c_TMAP1OUT)-(0)),2),QUOTIENT((((A519)-(c_TFWD))*((c_TMAP1OUT)-(0))+IF(((c_TMAP1OUT)-(0))&gt;=0,1,-1)*QUOTIENT(((c_TMAP1IN)-(c_TFWD)),2)),((c_TMAP1IN)-(c_TFWD)))+(0)+IF(((c_TMAP1OUT)-(0))&gt;=0,IF(IF(o_WRAP=1,MOD(((c_TMAP1IN)-(c_TFWD))*(((A519)-(c_TFWD))*((c_TMAP1OUT)-(0))+IF(((c_TMAP1OUT)-(0))&gt;=0,1,-1)*QUOTIENT(((c_TMAP1IN)-(c_TFWD)),2))+2147483648,4294967296)-2147483648,((c_TMAP1IN)-(c_TFWD))*(((A519)-(c_TFWD))*((c_TMAP1OUT)-(0))+IF(((c_TMAP1OUT)-(0))&gt;=0,1,-1)*QUOTIENT(((c_TMAP1IN)-(c_TFWD)),2)))&lt;0,-1,0),IF(IF(o_WRAP=1,MOD(((c_TMAP1IN)-(c_TFWD))*(((A519)-(c_TFWD))*((c_TMAP1OUT)-(0))+IF(((c_TMAP1OUT)-(0))&gt;=0,1,-1)*QUOTIENT(((c_TMAP1IN)-(c_TFWD)),2))+2147483648,4294967296)-2147483648,((c_TMAP1IN)-(c_TFWD))*(((A519)-(c_TFWD))*((c_TMAP1OUT)-(0))+IF(((c_TMAP1OUT)-(0))&gt;=0,1,-1)*QUOTIENT(((c_TMAP1IN)-(c_TFWD)),2)))&gt;=0,1,0)))</f>
        <v>392</v>
      </c>
      <c r="E519" s="7" t="n">
        <f aca="false">IF(((c_TMAP2IN)-(c_TMAP1IN))=0,(c_TMAP1OUT)+QUOTIENT(((c_TMAP2OUT)-(c_TMAP1OUT)),2),QUOTIENT((((A519)-(c_TMAP1IN))*((c_TMAP2OUT)-(c_TMAP1OUT))+IF(((c_TMAP2OUT)-(c_TMAP1OUT))&gt;=0,1,-1)*QUOTIENT(((c_TMAP2IN)-(c_TMAP1IN)),2)),((c_TMAP2IN)-(c_TMAP1IN)))+(c_TMAP1OUT)+IF(((c_TMAP2OUT)-(c_TMAP1OUT))&gt;=0,IF(IF(o_WRAP=1,MOD(((c_TMAP2IN)-(c_TMAP1IN))*(((A519)-(c_TMAP1IN))*((c_TMAP2OUT)-(c_TMAP1OUT))+IF(((c_TMAP2OUT)-(c_TMAP1OUT))&gt;=0,1,-1)*QUOTIENT(((c_TMAP2IN)-(c_TMAP1IN)),2))+2147483648,4294967296)-2147483648,((c_TMAP2IN)-(c_TMAP1IN))*(((A519)-(c_TMAP1IN))*((c_TMAP2OUT)-(c_TMAP1OUT))+IF(((c_TMAP2OUT)-(c_TMAP1OUT))&gt;=0,1,-1)*QUOTIENT(((c_TMAP2IN)-(c_TMAP1IN)),2)))&lt;0,-1,0),IF(IF(o_WRAP=1,MOD(((c_TMAP2IN)-(c_TMAP1IN))*(((A519)-(c_TMAP1IN))*((c_TMAP2OUT)-(c_TMAP1OUT))+IF(((c_TMAP2OUT)-(c_TMAP1OUT))&gt;=0,1,-1)*QUOTIENT(((c_TMAP2IN)-(c_TMAP1IN)),2))+2147483648,4294967296)-2147483648,((c_TMAP2IN)-(c_TMAP1IN))*(((A519)-(c_TMAP1IN))*((c_TMAP2OUT)-(c_TMAP1OUT))+IF(((c_TMAP2OUT)-(c_TMAP1OUT))&gt;=0,1,-1)*QUOTIENT(((c_TMAP2IN)-(c_TMAP1IN)),2)))&gt;=0,1,0)))</f>
        <v>236</v>
      </c>
      <c r="F519" s="7" t="n">
        <f aca="false">IF(((c_TMAP3IN)-(c_TMAP2IN))=0,(c_TMAP2OUT)+QUOTIENT(((c_TMAP3OUT)-(c_TMAP2OUT)),2),QUOTIENT((((A519)-(c_TMAP2IN))*((c_TMAP3OUT)-(c_TMAP2OUT))+IF(((c_TMAP3OUT)-(c_TMAP2OUT))&gt;=0,1,-1)*QUOTIENT(((c_TMAP3IN)-(c_TMAP2IN)),2)),((c_TMAP3IN)-(c_TMAP2IN)))+(c_TMAP2OUT)+IF(((c_TMAP3OUT)-(c_TMAP2OUT))&gt;=0,IF(IF(o_WRAP=1,MOD(((c_TMAP3IN)-(c_TMAP2IN))*(((A519)-(c_TMAP2IN))*((c_TMAP3OUT)-(c_TMAP2OUT))+IF(((c_TMAP3OUT)-(c_TMAP2OUT))&gt;=0,1,-1)*QUOTIENT(((c_TMAP3IN)-(c_TMAP2IN)),2))+2147483648,4294967296)-2147483648,((c_TMAP3IN)-(c_TMAP2IN))*(((A519)-(c_TMAP2IN))*((c_TMAP3OUT)-(c_TMAP2OUT))+IF(((c_TMAP3OUT)-(c_TMAP2OUT))&gt;=0,1,-1)*QUOTIENT(((c_TMAP3IN)-(c_TMAP2IN)),2)))&lt;0,-1,0),IF(IF(o_WRAP=1,MOD(((c_TMAP3IN)-(c_TMAP2IN))*(((A519)-(c_TMAP2IN))*((c_TMAP3OUT)-(c_TMAP2OUT))+IF(((c_TMAP3OUT)-(c_TMAP2OUT))&gt;=0,1,-1)*QUOTIENT(((c_TMAP3IN)-(c_TMAP2IN)),2))+2147483648,4294967296)-2147483648,((c_TMAP3IN)-(c_TMAP2IN))*(((A519)-(c_TMAP2IN))*((c_TMAP3OUT)-(c_TMAP2OUT))+IF(((c_TMAP3OUT)-(c_TMAP2OUT))&gt;=0,1,-1)*QUOTIENT(((c_TMAP3IN)-(c_TMAP2IN)),2)))&gt;=0,1,0)))</f>
        <v>315</v>
      </c>
      <c r="G519" s="7" t="n">
        <f aca="false">IF(((1000)-(c_TMAP3IN))=0,(c_TMAP3OUT)+QUOTIENT(((1000)-(c_TMAP3OUT)),2),QUOTIENT((((A519)-(c_TMAP3IN))*((1000)-(c_TMAP3OUT))+IF(((1000)-(c_TMAP3OUT))&gt;=0,1,-1)*QUOTIENT(((1000)-(c_TMAP3IN)),2)),((1000)-(c_TMAP3IN)))+(c_TMAP3OUT)+IF(((1000)-(c_TMAP3OUT))&gt;=0,IF(IF(o_WRAP=1,MOD(((1000)-(c_TMAP3IN))*(((A519)-(c_TMAP3IN))*((1000)-(c_TMAP3OUT))+IF(((1000)-(c_TMAP3OUT))&gt;=0,1,-1)*QUOTIENT(((1000)-(c_TMAP3IN)),2))+2147483648,4294967296)-2147483648,((1000)-(c_TMAP3IN))*(((A519)-(c_TMAP3IN))*((1000)-(c_TMAP3OUT))+IF(((1000)-(c_TMAP3OUT))&gt;=0,1,-1)*QUOTIENT(((1000)-(c_TMAP3IN)),2)))&lt;0,-1,0),IF(IF(o_WRAP=1,MOD(((1000)-(c_TMAP3IN))*(((A519)-(c_TMAP3IN))*((1000)-(c_TMAP3OUT))+IF(((1000)-(c_TMAP3OUT))&gt;=0,1,-1)*QUOTIENT(((1000)-(c_TMAP3IN)),2))+2147483648,4294967296)-2147483648,((1000)-(c_TMAP3IN))*(((A519)-(c_TMAP3IN))*((1000)-(c_TMAP3OUT))+IF(((1000)-(c_TMAP3OUT))&gt;=0,1,-1)*QUOTIENT(((1000)-(c_TMAP3IN)),2)))&gt;=0,1,0)))</f>
        <v>402</v>
      </c>
      <c r="H519" s="7" t="str">
        <f aca="false">IF(A519&gt;=c_TFWD,IF(AND(A519&gt;=c_TMAP3IN,c_TMAP3IN&lt;1000),"Seg4 map3-100%",IF(AND(A519&gt;=c_TMAP2IN,c_TMAP3IN&gt;c_TMAP2IN),"Seg3 map2-map3",IF(AND(A519&gt;=c_TMAP1IN,c_TMAP2IN&gt;c_TMAP1IN),"Seg2 map1-map2","Seg1 TFWD-map1"))),IF(AND(A519=0,c_TCREEP&gt;0),"Creep",IF(AND(A519&lt;=c_TRNGMIN,A519&gt;=c_TRNGMAX,c_TRNGMIN-c_TRNGMAX&lt;&gt;0),"Regen ramp","Coast (0)")))</f>
        <v>Seg4 map3-100%</v>
      </c>
      <c r="I519" s="7" t="n">
        <f aca="false">IF(A519&gt;=c_TFWD,IF(AND(A519&gt;=c_TMAP3IN,c_TMAP3IN&lt;1000),G519,IF(AND(A519&gt;=c_TMAP2IN,c_TMAP3IN&gt;c_TMAP2IN),F519,IF(AND(A519&gt;=c_TMAP1IN,c_TMAP2IN&gt;c_TMAP1IN),E519,D519))),C519)</f>
        <v>402</v>
      </c>
      <c r="J519" s="7" t="str">
        <f aca="false">IF(I519&lt;-1090,"TOO LOW",IF(I519&gt;1090,"TOO HIGH",""))</f>
        <v/>
      </c>
      <c r="K519" s="15" t="n">
        <f aca="false">IF(J519&lt;&gt;"",0,IF(I519&gt;979,1000,I519))</f>
        <v>402</v>
      </c>
      <c r="L519" s="7" t="n">
        <f aca="false">K519/10</f>
        <v>40.2</v>
      </c>
    </row>
    <row r="520" customFormat="false" ht="15" hidden="false" customHeight="false" outlineLevel="0" collapsed="false">
      <c r="A520" s="7" t="n">
        <v>515</v>
      </c>
      <c r="B520" s="7" t="n">
        <f aca="false">A520/10</f>
        <v>51.5</v>
      </c>
      <c r="C520" s="7" t="n">
        <f aca="false">IF(AND(A520=0,c_TCREEP&gt;0),10*c_TCREEP,IF(AND(A520&lt;=c_TRNGMIN,A520&gt;=c_TRNGMAX,c_TRNGMIN-c_TRNGMAX&lt;&gt;0),-10*c_TMINRN+QUOTIENT((c_TMAXRN-c_TMINRN)*(100-QUOTIENT((A520-c_TRNGMAX)*100,c_TRNGMIN-c_TRNGMAX)),-10),0))</f>
        <v>0</v>
      </c>
      <c r="D520" s="7" t="n">
        <f aca="false">IF(((c_TMAP1IN)-(c_TFWD))=0,(0)+QUOTIENT(((c_TMAP1OUT)-(0)),2),QUOTIENT((((A520)-(c_TFWD))*((c_TMAP1OUT)-(0))+IF(((c_TMAP1OUT)-(0))&gt;=0,1,-1)*QUOTIENT(((c_TMAP1IN)-(c_TFWD)),2)),((c_TMAP1IN)-(c_TFWD)))+(0)+IF(((c_TMAP1OUT)-(0))&gt;=0,IF(IF(o_WRAP=1,MOD(((c_TMAP1IN)-(c_TFWD))*(((A520)-(c_TFWD))*((c_TMAP1OUT)-(0))+IF(((c_TMAP1OUT)-(0))&gt;=0,1,-1)*QUOTIENT(((c_TMAP1IN)-(c_TFWD)),2))+2147483648,4294967296)-2147483648,((c_TMAP1IN)-(c_TFWD))*(((A520)-(c_TFWD))*((c_TMAP1OUT)-(0))+IF(((c_TMAP1OUT)-(0))&gt;=0,1,-1)*QUOTIENT(((c_TMAP1IN)-(c_TFWD)),2)))&lt;0,-1,0),IF(IF(o_WRAP=1,MOD(((c_TMAP1IN)-(c_TFWD))*(((A520)-(c_TFWD))*((c_TMAP1OUT)-(0))+IF(((c_TMAP1OUT)-(0))&gt;=0,1,-1)*QUOTIENT(((c_TMAP1IN)-(c_TFWD)),2))+2147483648,4294967296)-2147483648,((c_TMAP1IN)-(c_TFWD))*(((A520)-(c_TFWD))*((c_TMAP1OUT)-(0))+IF(((c_TMAP1OUT)-(0))&gt;=0,1,-1)*QUOTIENT(((c_TMAP1IN)-(c_TFWD)),2)))&gt;=0,1,0)))</f>
        <v>393</v>
      </c>
      <c r="E520" s="7" t="n">
        <f aca="false">IF(((c_TMAP2IN)-(c_TMAP1IN))=0,(c_TMAP1OUT)+QUOTIENT(((c_TMAP2OUT)-(c_TMAP1OUT)),2),QUOTIENT((((A520)-(c_TMAP1IN))*((c_TMAP2OUT)-(c_TMAP1OUT))+IF(((c_TMAP2OUT)-(c_TMAP1OUT))&gt;=0,1,-1)*QUOTIENT(((c_TMAP2IN)-(c_TMAP1IN)),2)),((c_TMAP2IN)-(c_TMAP1IN)))+(c_TMAP1OUT)+IF(((c_TMAP2OUT)-(c_TMAP1OUT))&gt;=0,IF(IF(o_WRAP=1,MOD(((c_TMAP2IN)-(c_TMAP1IN))*(((A520)-(c_TMAP1IN))*((c_TMAP2OUT)-(c_TMAP1OUT))+IF(((c_TMAP2OUT)-(c_TMAP1OUT))&gt;=0,1,-1)*QUOTIENT(((c_TMAP2IN)-(c_TMAP1IN)),2))+2147483648,4294967296)-2147483648,((c_TMAP2IN)-(c_TMAP1IN))*(((A520)-(c_TMAP1IN))*((c_TMAP2OUT)-(c_TMAP1OUT))+IF(((c_TMAP2OUT)-(c_TMAP1OUT))&gt;=0,1,-1)*QUOTIENT(((c_TMAP2IN)-(c_TMAP1IN)),2)))&lt;0,-1,0),IF(IF(o_WRAP=1,MOD(((c_TMAP2IN)-(c_TMAP1IN))*(((A520)-(c_TMAP1IN))*((c_TMAP2OUT)-(c_TMAP1OUT))+IF(((c_TMAP2OUT)-(c_TMAP1OUT))&gt;=0,1,-1)*QUOTIENT(((c_TMAP2IN)-(c_TMAP1IN)),2))+2147483648,4294967296)-2147483648,((c_TMAP2IN)-(c_TMAP1IN))*(((A520)-(c_TMAP1IN))*((c_TMAP2OUT)-(c_TMAP1OUT))+IF(((c_TMAP2OUT)-(c_TMAP1OUT))&gt;=0,1,-1)*QUOTIENT(((c_TMAP2IN)-(c_TMAP1IN)),2)))&gt;=0,1,0)))</f>
        <v>236</v>
      </c>
      <c r="F520" s="7" t="n">
        <f aca="false">IF(((c_TMAP3IN)-(c_TMAP2IN))=0,(c_TMAP2OUT)+QUOTIENT(((c_TMAP3OUT)-(c_TMAP2OUT)),2),QUOTIENT((((A520)-(c_TMAP2IN))*((c_TMAP3OUT)-(c_TMAP2OUT))+IF(((c_TMAP3OUT)-(c_TMAP2OUT))&gt;=0,1,-1)*QUOTIENT(((c_TMAP3IN)-(c_TMAP2IN)),2)),((c_TMAP3IN)-(c_TMAP2IN)))+(c_TMAP2OUT)+IF(((c_TMAP3OUT)-(c_TMAP2OUT))&gt;=0,IF(IF(o_WRAP=1,MOD(((c_TMAP3IN)-(c_TMAP2IN))*(((A520)-(c_TMAP2IN))*((c_TMAP3OUT)-(c_TMAP2OUT))+IF(((c_TMAP3OUT)-(c_TMAP2OUT))&gt;=0,1,-1)*QUOTIENT(((c_TMAP3IN)-(c_TMAP2IN)),2))+2147483648,4294967296)-2147483648,((c_TMAP3IN)-(c_TMAP2IN))*(((A520)-(c_TMAP2IN))*((c_TMAP3OUT)-(c_TMAP2OUT))+IF(((c_TMAP3OUT)-(c_TMAP2OUT))&gt;=0,1,-1)*QUOTIENT(((c_TMAP3IN)-(c_TMAP2IN)),2)))&lt;0,-1,0),IF(IF(o_WRAP=1,MOD(((c_TMAP3IN)-(c_TMAP2IN))*(((A520)-(c_TMAP2IN))*((c_TMAP3OUT)-(c_TMAP2OUT))+IF(((c_TMAP3OUT)-(c_TMAP2OUT))&gt;=0,1,-1)*QUOTIENT(((c_TMAP3IN)-(c_TMAP2IN)),2))+2147483648,4294967296)-2147483648,((c_TMAP3IN)-(c_TMAP2IN))*(((A520)-(c_TMAP2IN))*((c_TMAP3OUT)-(c_TMAP2OUT))+IF(((c_TMAP3OUT)-(c_TMAP2OUT))&gt;=0,1,-1)*QUOTIENT(((c_TMAP3IN)-(c_TMAP2IN)),2)))&gt;=0,1,0)))</f>
        <v>316</v>
      </c>
      <c r="G520" s="7" t="n">
        <f aca="false">IF(((1000)-(c_TMAP3IN))=0,(c_TMAP3OUT)+QUOTIENT(((1000)-(c_TMAP3OUT)),2),QUOTIENT((((A520)-(c_TMAP3IN))*((1000)-(c_TMAP3OUT))+IF(((1000)-(c_TMAP3OUT))&gt;=0,1,-1)*QUOTIENT(((1000)-(c_TMAP3IN)),2)),((1000)-(c_TMAP3IN)))+(c_TMAP3OUT)+IF(((1000)-(c_TMAP3OUT))&gt;=0,IF(IF(o_WRAP=1,MOD(((1000)-(c_TMAP3IN))*(((A520)-(c_TMAP3IN))*((1000)-(c_TMAP3OUT))+IF(((1000)-(c_TMAP3OUT))&gt;=0,1,-1)*QUOTIENT(((1000)-(c_TMAP3IN)),2))+2147483648,4294967296)-2147483648,((1000)-(c_TMAP3IN))*(((A520)-(c_TMAP3IN))*((1000)-(c_TMAP3OUT))+IF(((1000)-(c_TMAP3OUT))&gt;=0,1,-1)*QUOTIENT(((1000)-(c_TMAP3IN)),2)))&lt;0,-1,0),IF(IF(o_WRAP=1,MOD(((1000)-(c_TMAP3IN))*(((A520)-(c_TMAP3IN))*((1000)-(c_TMAP3OUT))+IF(((1000)-(c_TMAP3OUT))&gt;=0,1,-1)*QUOTIENT(((1000)-(c_TMAP3IN)),2))+2147483648,4294967296)-2147483648,((1000)-(c_TMAP3IN))*(((A520)-(c_TMAP3IN))*((1000)-(c_TMAP3OUT))+IF(((1000)-(c_TMAP3OUT))&gt;=0,1,-1)*QUOTIENT(((1000)-(c_TMAP3IN)),2)))&gt;=0,1,0)))</f>
        <v>403</v>
      </c>
      <c r="H520" s="7" t="str">
        <f aca="false">IF(A520&gt;=c_TFWD,IF(AND(A520&gt;=c_TMAP3IN,c_TMAP3IN&lt;1000),"Seg4 map3-100%",IF(AND(A520&gt;=c_TMAP2IN,c_TMAP3IN&gt;c_TMAP2IN),"Seg3 map2-map3",IF(AND(A520&gt;=c_TMAP1IN,c_TMAP2IN&gt;c_TMAP1IN),"Seg2 map1-map2","Seg1 TFWD-map1"))),IF(AND(A520=0,c_TCREEP&gt;0),"Creep",IF(AND(A520&lt;=c_TRNGMIN,A520&gt;=c_TRNGMAX,c_TRNGMIN-c_TRNGMAX&lt;&gt;0),"Regen ramp","Coast (0)")))</f>
        <v>Seg4 map3-100%</v>
      </c>
      <c r="I520" s="7" t="n">
        <f aca="false">IF(A520&gt;=c_TFWD,IF(AND(A520&gt;=c_TMAP3IN,c_TMAP3IN&lt;1000),G520,IF(AND(A520&gt;=c_TMAP2IN,c_TMAP3IN&gt;c_TMAP2IN),F520,IF(AND(A520&gt;=c_TMAP1IN,c_TMAP2IN&gt;c_TMAP1IN),E520,D520))),C520)</f>
        <v>403</v>
      </c>
      <c r="J520" s="7" t="str">
        <f aca="false">IF(I520&lt;-1090,"TOO LOW",IF(I520&gt;1090,"TOO HIGH",""))</f>
        <v/>
      </c>
      <c r="K520" s="15" t="n">
        <f aca="false">IF(J520&lt;&gt;"",0,IF(I520&gt;979,1000,I520))</f>
        <v>403</v>
      </c>
      <c r="L520" s="7" t="n">
        <f aca="false">K520/10</f>
        <v>40.3</v>
      </c>
    </row>
    <row r="521" customFormat="false" ht="15" hidden="false" customHeight="false" outlineLevel="0" collapsed="false">
      <c r="A521" s="7" t="n">
        <v>516</v>
      </c>
      <c r="B521" s="7" t="n">
        <f aca="false">A521/10</f>
        <v>51.6</v>
      </c>
      <c r="C521" s="7" t="n">
        <f aca="false">IF(AND(A521=0,c_TCREEP&gt;0),10*c_TCREEP,IF(AND(A521&lt;=c_TRNGMIN,A521&gt;=c_TRNGMAX,c_TRNGMIN-c_TRNGMAX&lt;&gt;0),-10*c_TMINRN+QUOTIENT((c_TMAXRN-c_TMINRN)*(100-QUOTIENT((A521-c_TRNGMAX)*100,c_TRNGMIN-c_TRNGMAX)),-10),0))</f>
        <v>0</v>
      </c>
      <c r="D521" s="7" t="n">
        <f aca="false">IF(((c_TMAP1IN)-(c_TFWD))=0,(0)+QUOTIENT(((c_TMAP1OUT)-(0)),2),QUOTIENT((((A521)-(c_TFWD))*((c_TMAP1OUT)-(0))+IF(((c_TMAP1OUT)-(0))&gt;=0,1,-1)*QUOTIENT(((c_TMAP1IN)-(c_TFWD)),2)),((c_TMAP1IN)-(c_TFWD)))+(0)+IF(((c_TMAP1OUT)-(0))&gt;=0,IF(IF(o_WRAP=1,MOD(((c_TMAP1IN)-(c_TFWD))*(((A521)-(c_TFWD))*((c_TMAP1OUT)-(0))+IF(((c_TMAP1OUT)-(0))&gt;=0,1,-1)*QUOTIENT(((c_TMAP1IN)-(c_TFWD)),2))+2147483648,4294967296)-2147483648,((c_TMAP1IN)-(c_TFWD))*(((A521)-(c_TFWD))*((c_TMAP1OUT)-(0))+IF(((c_TMAP1OUT)-(0))&gt;=0,1,-1)*QUOTIENT(((c_TMAP1IN)-(c_TFWD)),2)))&lt;0,-1,0),IF(IF(o_WRAP=1,MOD(((c_TMAP1IN)-(c_TFWD))*(((A521)-(c_TFWD))*((c_TMAP1OUT)-(0))+IF(((c_TMAP1OUT)-(0))&gt;=0,1,-1)*QUOTIENT(((c_TMAP1IN)-(c_TFWD)),2))+2147483648,4294967296)-2147483648,((c_TMAP1IN)-(c_TFWD))*(((A521)-(c_TFWD))*((c_TMAP1OUT)-(0))+IF(((c_TMAP1OUT)-(0))&gt;=0,1,-1)*QUOTIENT(((c_TMAP1IN)-(c_TFWD)),2)))&gt;=0,1,0)))</f>
        <v>394</v>
      </c>
      <c r="E521" s="7" t="n">
        <f aca="false">IF(((c_TMAP2IN)-(c_TMAP1IN))=0,(c_TMAP1OUT)+QUOTIENT(((c_TMAP2OUT)-(c_TMAP1OUT)),2),QUOTIENT((((A521)-(c_TMAP1IN))*((c_TMAP2OUT)-(c_TMAP1OUT))+IF(((c_TMAP2OUT)-(c_TMAP1OUT))&gt;=0,1,-1)*QUOTIENT(((c_TMAP2IN)-(c_TMAP1IN)),2)),((c_TMAP2IN)-(c_TMAP1IN)))+(c_TMAP1OUT)+IF(((c_TMAP2OUT)-(c_TMAP1OUT))&gt;=0,IF(IF(o_WRAP=1,MOD(((c_TMAP2IN)-(c_TMAP1IN))*(((A521)-(c_TMAP1IN))*((c_TMAP2OUT)-(c_TMAP1OUT))+IF(((c_TMAP2OUT)-(c_TMAP1OUT))&gt;=0,1,-1)*QUOTIENT(((c_TMAP2IN)-(c_TMAP1IN)),2))+2147483648,4294967296)-2147483648,((c_TMAP2IN)-(c_TMAP1IN))*(((A521)-(c_TMAP1IN))*((c_TMAP2OUT)-(c_TMAP1OUT))+IF(((c_TMAP2OUT)-(c_TMAP1OUT))&gt;=0,1,-1)*QUOTIENT(((c_TMAP2IN)-(c_TMAP1IN)),2)))&lt;0,-1,0),IF(IF(o_WRAP=1,MOD(((c_TMAP2IN)-(c_TMAP1IN))*(((A521)-(c_TMAP1IN))*((c_TMAP2OUT)-(c_TMAP1OUT))+IF(((c_TMAP2OUT)-(c_TMAP1OUT))&gt;=0,1,-1)*QUOTIENT(((c_TMAP2IN)-(c_TMAP1IN)),2))+2147483648,4294967296)-2147483648,((c_TMAP2IN)-(c_TMAP1IN))*(((A521)-(c_TMAP1IN))*((c_TMAP2OUT)-(c_TMAP1OUT))+IF(((c_TMAP2OUT)-(c_TMAP1OUT))&gt;=0,1,-1)*QUOTIENT(((c_TMAP2IN)-(c_TMAP1IN)),2)))&gt;=0,1,0)))</f>
        <v>236</v>
      </c>
      <c r="F521" s="7" t="n">
        <f aca="false">IF(((c_TMAP3IN)-(c_TMAP2IN))=0,(c_TMAP2OUT)+QUOTIENT(((c_TMAP3OUT)-(c_TMAP2OUT)),2),QUOTIENT((((A521)-(c_TMAP2IN))*((c_TMAP3OUT)-(c_TMAP2OUT))+IF(((c_TMAP3OUT)-(c_TMAP2OUT))&gt;=0,1,-1)*QUOTIENT(((c_TMAP3IN)-(c_TMAP2IN)),2)),((c_TMAP3IN)-(c_TMAP2IN)))+(c_TMAP2OUT)+IF(((c_TMAP3OUT)-(c_TMAP2OUT))&gt;=0,IF(IF(o_WRAP=1,MOD(((c_TMAP3IN)-(c_TMAP2IN))*(((A521)-(c_TMAP2IN))*((c_TMAP3OUT)-(c_TMAP2OUT))+IF(((c_TMAP3OUT)-(c_TMAP2OUT))&gt;=0,1,-1)*QUOTIENT(((c_TMAP3IN)-(c_TMAP2IN)),2))+2147483648,4294967296)-2147483648,((c_TMAP3IN)-(c_TMAP2IN))*(((A521)-(c_TMAP2IN))*((c_TMAP3OUT)-(c_TMAP2OUT))+IF(((c_TMAP3OUT)-(c_TMAP2OUT))&gt;=0,1,-1)*QUOTIENT(((c_TMAP3IN)-(c_TMAP2IN)),2)))&lt;0,-1,0),IF(IF(o_WRAP=1,MOD(((c_TMAP3IN)-(c_TMAP2IN))*(((A521)-(c_TMAP2IN))*((c_TMAP3OUT)-(c_TMAP2OUT))+IF(((c_TMAP3OUT)-(c_TMAP2OUT))&gt;=0,1,-1)*QUOTIENT(((c_TMAP3IN)-(c_TMAP2IN)),2))+2147483648,4294967296)-2147483648,((c_TMAP3IN)-(c_TMAP2IN))*(((A521)-(c_TMAP2IN))*((c_TMAP3OUT)-(c_TMAP2OUT))+IF(((c_TMAP3OUT)-(c_TMAP2OUT))&gt;=0,1,-1)*QUOTIENT(((c_TMAP3IN)-(c_TMAP2IN)),2)))&gt;=0,1,0)))</f>
        <v>316</v>
      </c>
      <c r="G521" s="7" t="n">
        <f aca="false">IF(((1000)-(c_TMAP3IN))=0,(c_TMAP3OUT)+QUOTIENT(((1000)-(c_TMAP3OUT)),2),QUOTIENT((((A521)-(c_TMAP3IN))*((1000)-(c_TMAP3OUT))+IF(((1000)-(c_TMAP3OUT))&gt;=0,1,-1)*QUOTIENT(((1000)-(c_TMAP3IN)),2)),((1000)-(c_TMAP3IN)))+(c_TMAP3OUT)+IF(((1000)-(c_TMAP3OUT))&gt;=0,IF(IF(o_WRAP=1,MOD(((1000)-(c_TMAP3IN))*(((A521)-(c_TMAP3IN))*((1000)-(c_TMAP3OUT))+IF(((1000)-(c_TMAP3OUT))&gt;=0,1,-1)*QUOTIENT(((1000)-(c_TMAP3IN)),2))+2147483648,4294967296)-2147483648,((1000)-(c_TMAP3IN))*(((A521)-(c_TMAP3IN))*((1000)-(c_TMAP3OUT))+IF(((1000)-(c_TMAP3OUT))&gt;=0,1,-1)*QUOTIENT(((1000)-(c_TMAP3IN)),2)))&lt;0,-1,0),IF(IF(o_WRAP=1,MOD(((1000)-(c_TMAP3IN))*(((A521)-(c_TMAP3IN))*((1000)-(c_TMAP3OUT))+IF(((1000)-(c_TMAP3OUT))&gt;=0,1,-1)*QUOTIENT(((1000)-(c_TMAP3IN)),2))+2147483648,4294967296)-2147483648,((1000)-(c_TMAP3IN))*(((A521)-(c_TMAP3IN))*((1000)-(c_TMAP3OUT))+IF(((1000)-(c_TMAP3OUT))&gt;=0,1,-1)*QUOTIENT(((1000)-(c_TMAP3IN)),2)))&gt;=0,1,0)))</f>
        <v>404</v>
      </c>
      <c r="H521" s="7" t="str">
        <f aca="false">IF(A521&gt;=c_TFWD,IF(AND(A521&gt;=c_TMAP3IN,c_TMAP3IN&lt;1000),"Seg4 map3-100%",IF(AND(A521&gt;=c_TMAP2IN,c_TMAP3IN&gt;c_TMAP2IN),"Seg3 map2-map3",IF(AND(A521&gt;=c_TMAP1IN,c_TMAP2IN&gt;c_TMAP1IN),"Seg2 map1-map2","Seg1 TFWD-map1"))),IF(AND(A521=0,c_TCREEP&gt;0),"Creep",IF(AND(A521&lt;=c_TRNGMIN,A521&gt;=c_TRNGMAX,c_TRNGMIN-c_TRNGMAX&lt;&gt;0),"Regen ramp","Coast (0)")))</f>
        <v>Seg4 map3-100%</v>
      </c>
      <c r="I521" s="7" t="n">
        <f aca="false">IF(A521&gt;=c_TFWD,IF(AND(A521&gt;=c_TMAP3IN,c_TMAP3IN&lt;1000),G521,IF(AND(A521&gt;=c_TMAP2IN,c_TMAP3IN&gt;c_TMAP2IN),F521,IF(AND(A521&gt;=c_TMAP1IN,c_TMAP2IN&gt;c_TMAP1IN),E521,D521))),C521)</f>
        <v>404</v>
      </c>
      <c r="J521" s="7" t="str">
        <f aca="false">IF(I521&lt;-1090,"TOO LOW",IF(I521&gt;1090,"TOO HIGH",""))</f>
        <v/>
      </c>
      <c r="K521" s="15" t="n">
        <f aca="false">IF(J521&lt;&gt;"",0,IF(I521&gt;979,1000,I521))</f>
        <v>404</v>
      </c>
      <c r="L521" s="7" t="n">
        <f aca="false">K521/10</f>
        <v>40.4</v>
      </c>
    </row>
    <row r="522" customFormat="false" ht="15" hidden="false" customHeight="false" outlineLevel="0" collapsed="false">
      <c r="A522" s="7" t="n">
        <v>517</v>
      </c>
      <c r="B522" s="7" t="n">
        <f aca="false">A522/10</f>
        <v>51.7</v>
      </c>
      <c r="C522" s="7" t="n">
        <f aca="false">IF(AND(A522=0,c_TCREEP&gt;0),10*c_TCREEP,IF(AND(A522&lt;=c_TRNGMIN,A522&gt;=c_TRNGMAX,c_TRNGMIN-c_TRNGMAX&lt;&gt;0),-10*c_TMINRN+QUOTIENT((c_TMAXRN-c_TMINRN)*(100-QUOTIENT((A522-c_TRNGMAX)*100,c_TRNGMIN-c_TRNGMAX)),-10),0))</f>
        <v>0</v>
      </c>
      <c r="D522" s="7" t="n">
        <f aca="false">IF(((c_TMAP1IN)-(c_TFWD))=0,(0)+QUOTIENT(((c_TMAP1OUT)-(0)),2),QUOTIENT((((A522)-(c_TFWD))*((c_TMAP1OUT)-(0))+IF(((c_TMAP1OUT)-(0))&gt;=0,1,-1)*QUOTIENT(((c_TMAP1IN)-(c_TFWD)),2)),((c_TMAP1IN)-(c_TFWD)))+(0)+IF(((c_TMAP1OUT)-(0))&gt;=0,IF(IF(o_WRAP=1,MOD(((c_TMAP1IN)-(c_TFWD))*(((A522)-(c_TFWD))*((c_TMAP1OUT)-(0))+IF(((c_TMAP1OUT)-(0))&gt;=0,1,-1)*QUOTIENT(((c_TMAP1IN)-(c_TFWD)),2))+2147483648,4294967296)-2147483648,((c_TMAP1IN)-(c_TFWD))*(((A522)-(c_TFWD))*((c_TMAP1OUT)-(0))+IF(((c_TMAP1OUT)-(0))&gt;=0,1,-1)*QUOTIENT(((c_TMAP1IN)-(c_TFWD)),2)))&lt;0,-1,0),IF(IF(o_WRAP=1,MOD(((c_TMAP1IN)-(c_TFWD))*(((A522)-(c_TFWD))*((c_TMAP1OUT)-(0))+IF(((c_TMAP1OUT)-(0))&gt;=0,1,-1)*QUOTIENT(((c_TMAP1IN)-(c_TFWD)),2))+2147483648,4294967296)-2147483648,((c_TMAP1IN)-(c_TFWD))*(((A522)-(c_TFWD))*((c_TMAP1OUT)-(0))+IF(((c_TMAP1OUT)-(0))&gt;=0,1,-1)*QUOTIENT(((c_TMAP1IN)-(c_TFWD)),2)))&gt;=0,1,0)))</f>
        <v>394</v>
      </c>
      <c r="E522" s="7" t="n">
        <f aca="false">IF(((c_TMAP2IN)-(c_TMAP1IN))=0,(c_TMAP1OUT)+QUOTIENT(((c_TMAP2OUT)-(c_TMAP1OUT)),2),QUOTIENT((((A522)-(c_TMAP1IN))*((c_TMAP2OUT)-(c_TMAP1OUT))+IF(((c_TMAP2OUT)-(c_TMAP1OUT))&gt;=0,1,-1)*QUOTIENT(((c_TMAP2IN)-(c_TMAP1IN)),2)),((c_TMAP2IN)-(c_TMAP1IN)))+(c_TMAP1OUT)+IF(((c_TMAP2OUT)-(c_TMAP1OUT))&gt;=0,IF(IF(o_WRAP=1,MOD(((c_TMAP2IN)-(c_TMAP1IN))*(((A522)-(c_TMAP1IN))*((c_TMAP2OUT)-(c_TMAP1OUT))+IF(((c_TMAP2OUT)-(c_TMAP1OUT))&gt;=0,1,-1)*QUOTIENT(((c_TMAP2IN)-(c_TMAP1IN)),2))+2147483648,4294967296)-2147483648,((c_TMAP2IN)-(c_TMAP1IN))*(((A522)-(c_TMAP1IN))*((c_TMAP2OUT)-(c_TMAP1OUT))+IF(((c_TMAP2OUT)-(c_TMAP1OUT))&gt;=0,1,-1)*QUOTIENT(((c_TMAP2IN)-(c_TMAP1IN)),2)))&lt;0,-1,0),IF(IF(o_WRAP=1,MOD(((c_TMAP2IN)-(c_TMAP1IN))*(((A522)-(c_TMAP1IN))*((c_TMAP2OUT)-(c_TMAP1OUT))+IF(((c_TMAP2OUT)-(c_TMAP1OUT))&gt;=0,1,-1)*QUOTIENT(((c_TMAP2IN)-(c_TMAP1IN)),2))+2147483648,4294967296)-2147483648,((c_TMAP2IN)-(c_TMAP1IN))*(((A522)-(c_TMAP1IN))*((c_TMAP2OUT)-(c_TMAP1OUT))+IF(((c_TMAP2OUT)-(c_TMAP1OUT))&gt;=0,1,-1)*QUOTIENT(((c_TMAP2IN)-(c_TMAP1IN)),2)))&gt;=0,1,0)))</f>
        <v>237</v>
      </c>
      <c r="F522" s="7" t="n">
        <f aca="false">IF(((c_TMAP3IN)-(c_TMAP2IN))=0,(c_TMAP2OUT)+QUOTIENT(((c_TMAP3OUT)-(c_TMAP2OUT)),2),QUOTIENT((((A522)-(c_TMAP2IN))*((c_TMAP3OUT)-(c_TMAP2OUT))+IF(((c_TMAP3OUT)-(c_TMAP2OUT))&gt;=0,1,-1)*QUOTIENT(((c_TMAP3IN)-(c_TMAP2IN)),2)),((c_TMAP3IN)-(c_TMAP2IN)))+(c_TMAP2OUT)+IF(((c_TMAP3OUT)-(c_TMAP2OUT))&gt;=0,IF(IF(o_WRAP=1,MOD(((c_TMAP3IN)-(c_TMAP2IN))*(((A522)-(c_TMAP2IN))*((c_TMAP3OUT)-(c_TMAP2OUT))+IF(((c_TMAP3OUT)-(c_TMAP2OUT))&gt;=0,1,-1)*QUOTIENT(((c_TMAP3IN)-(c_TMAP2IN)),2))+2147483648,4294967296)-2147483648,((c_TMAP3IN)-(c_TMAP2IN))*(((A522)-(c_TMAP2IN))*((c_TMAP3OUT)-(c_TMAP2OUT))+IF(((c_TMAP3OUT)-(c_TMAP2OUT))&gt;=0,1,-1)*QUOTIENT(((c_TMAP3IN)-(c_TMAP2IN)),2)))&lt;0,-1,0),IF(IF(o_WRAP=1,MOD(((c_TMAP3IN)-(c_TMAP2IN))*(((A522)-(c_TMAP2IN))*((c_TMAP3OUT)-(c_TMAP2OUT))+IF(((c_TMAP3OUT)-(c_TMAP2OUT))&gt;=0,1,-1)*QUOTIENT(((c_TMAP3IN)-(c_TMAP2IN)),2))+2147483648,4294967296)-2147483648,((c_TMAP3IN)-(c_TMAP2IN))*(((A522)-(c_TMAP2IN))*((c_TMAP3OUT)-(c_TMAP2OUT))+IF(((c_TMAP3OUT)-(c_TMAP2OUT))&gt;=0,1,-1)*QUOTIENT(((c_TMAP3IN)-(c_TMAP2IN)),2)))&gt;=0,1,0)))</f>
        <v>317</v>
      </c>
      <c r="G522" s="7" t="n">
        <f aca="false">IF(((1000)-(c_TMAP3IN))=0,(c_TMAP3OUT)+QUOTIENT(((1000)-(c_TMAP3OUT)),2),QUOTIENT((((A522)-(c_TMAP3IN))*((1000)-(c_TMAP3OUT))+IF(((1000)-(c_TMAP3OUT))&gt;=0,1,-1)*QUOTIENT(((1000)-(c_TMAP3IN)),2)),((1000)-(c_TMAP3IN)))+(c_TMAP3OUT)+IF(((1000)-(c_TMAP3OUT))&gt;=0,IF(IF(o_WRAP=1,MOD(((1000)-(c_TMAP3IN))*(((A522)-(c_TMAP3IN))*((1000)-(c_TMAP3OUT))+IF(((1000)-(c_TMAP3OUT))&gt;=0,1,-1)*QUOTIENT(((1000)-(c_TMAP3IN)),2))+2147483648,4294967296)-2147483648,((1000)-(c_TMAP3IN))*(((A522)-(c_TMAP3IN))*((1000)-(c_TMAP3OUT))+IF(((1000)-(c_TMAP3OUT))&gt;=0,1,-1)*QUOTIENT(((1000)-(c_TMAP3IN)),2)))&lt;0,-1,0),IF(IF(o_WRAP=1,MOD(((1000)-(c_TMAP3IN))*(((A522)-(c_TMAP3IN))*((1000)-(c_TMAP3OUT))+IF(((1000)-(c_TMAP3OUT))&gt;=0,1,-1)*QUOTIENT(((1000)-(c_TMAP3IN)),2))+2147483648,4294967296)-2147483648,((1000)-(c_TMAP3IN))*(((A522)-(c_TMAP3IN))*((1000)-(c_TMAP3OUT))+IF(((1000)-(c_TMAP3OUT))&gt;=0,1,-1)*QUOTIENT(((1000)-(c_TMAP3IN)),2)))&gt;=0,1,0)))</f>
        <v>406</v>
      </c>
      <c r="H522" s="7" t="str">
        <f aca="false">IF(A522&gt;=c_TFWD,IF(AND(A522&gt;=c_TMAP3IN,c_TMAP3IN&lt;1000),"Seg4 map3-100%",IF(AND(A522&gt;=c_TMAP2IN,c_TMAP3IN&gt;c_TMAP2IN),"Seg3 map2-map3",IF(AND(A522&gt;=c_TMAP1IN,c_TMAP2IN&gt;c_TMAP1IN),"Seg2 map1-map2","Seg1 TFWD-map1"))),IF(AND(A522=0,c_TCREEP&gt;0),"Creep",IF(AND(A522&lt;=c_TRNGMIN,A522&gt;=c_TRNGMAX,c_TRNGMIN-c_TRNGMAX&lt;&gt;0),"Regen ramp","Coast (0)")))</f>
        <v>Seg4 map3-100%</v>
      </c>
      <c r="I522" s="7" t="n">
        <f aca="false">IF(A522&gt;=c_TFWD,IF(AND(A522&gt;=c_TMAP3IN,c_TMAP3IN&lt;1000),G522,IF(AND(A522&gt;=c_TMAP2IN,c_TMAP3IN&gt;c_TMAP2IN),F522,IF(AND(A522&gt;=c_TMAP1IN,c_TMAP2IN&gt;c_TMAP1IN),E522,D522))),C522)</f>
        <v>406</v>
      </c>
      <c r="J522" s="7" t="str">
        <f aca="false">IF(I522&lt;-1090,"TOO LOW",IF(I522&gt;1090,"TOO HIGH",""))</f>
        <v/>
      </c>
      <c r="K522" s="15" t="n">
        <f aca="false">IF(J522&lt;&gt;"",0,IF(I522&gt;979,1000,I522))</f>
        <v>406</v>
      </c>
      <c r="L522" s="7" t="n">
        <f aca="false">K522/10</f>
        <v>40.6</v>
      </c>
    </row>
    <row r="523" customFormat="false" ht="15" hidden="false" customHeight="false" outlineLevel="0" collapsed="false">
      <c r="A523" s="7" t="n">
        <v>518</v>
      </c>
      <c r="B523" s="7" t="n">
        <f aca="false">A523/10</f>
        <v>51.8</v>
      </c>
      <c r="C523" s="7" t="n">
        <f aca="false">IF(AND(A523=0,c_TCREEP&gt;0),10*c_TCREEP,IF(AND(A523&lt;=c_TRNGMIN,A523&gt;=c_TRNGMAX,c_TRNGMIN-c_TRNGMAX&lt;&gt;0),-10*c_TMINRN+QUOTIENT((c_TMAXRN-c_TMINRN)*(100-QUOTIENT((A523-c_TRNGMAX)*100,c_TRNGMIN-c_TRNGMAX)),-10),0))</f>
        <v>0</v>
      </c>
      <c r="D523" s="7" t="n">
        <f aca="false">IF(((c_TMAP1IN)-(c_TFWD))=0,(0)+QUOTIENT(((c_TMAP1OUT)-(0)),2),QUOTIENT((((A523)-(c_TFWD))*((c_TMAP1OUT)-(0))+IF(((c_TMAP1OUT)-(0))&gt;=0,1,-1)*QUOTIENT(((c_TMAP1IN)-(c_TFWD)),2)),((c_TMAP1IN)-(c_TFWD)))+(0)+IF(((c_TMAP1OUT)-(0))&gt;=0,IF(IF(o_WRAP=1,MOD(((c_TMAP1IN)-(c_TFWD))*(((A523)-(c_TFWD))*((c_TMAP1OUT)-(0))+IF(((c_TMAP1OUT)-(0))&gt;=0,1,-1)*QUOTIENT(((c_TMAP1IN)-(c_TFWD)),2))+2147483648,4294967296)-2147483648,((c_TMAP1IN)-(c_TFWD))*(((A523)-(c_TFWD))*((c_TMAP1OUT)-(0))+IF(((c_TMAP1OUT)-(0))&gt;=0,1,-1)*QUOTIENT(((c_TMAP1IN)-(c_TFWD)),2)))&lt;0,-1,0),IF(IF(o_WRAP=1,MOD(((c_TMAP1IN)-(c_TFWD))*(((A523)-(c_TFWD))*((c_TMAP1OUT)-(0))+IF(((c_TMAP1OUT)-(0))&gt;=0,1,-1)*QUOTIENT(((c_TMAP1IN)-(c_TFWD)),2))+2147483648,4294967296)-2147483648,((c_TMAP1IN)-(c_TFWD))*(((A523)-(c_TFWD))*((c_TMAP1OUT)-(0))+IF(((c_TMAP1OUT)-(0))&gt;=0,1,-1)*QUOTIENT(((c_TMAP1IN)-(c_TFWD)),2)))&gt;=0,1,0)))</f>
        <v>395</v>
      </c>
      <c r="E523" s="7" t="n">
        <f aca="false">IF(((c_TMAP2IN)-(c_TMAP1IN))=0,(c_TMAP1OUT)+QUOTIENT(((c_TMAP2OUT)-(c_TMAP1OUT)),2),QUOTIENT((((A523)-(c_TMAP1IN))*((c_TMAP2OUT)-(c_TMAP1OUT))+IF(((c_TMAP2OUT)-(c_TMAP1OUT))&gt;=0,1,-1)*QUOTIENT(((c_TMAP2IN)-(c_TMAP1IN)),2)),((c_TMAP2IN)-(c_TMAP1IN)))+(c_TMAP1OUT)+IF(((c_TMAP2OUT)-(c_TMAP1OUT))&gt;=0,IF(IF(o_WRAP=1,MOD(((c_TMAP2IN)-(c_TMAP1IN))*(((A523)-(c_TMAP1IN))*((c_TMAP2OUT)-(c_TMAP1OUT))+IF(((c_TMAP2OUT)-(c_TMAP1OUT))&gt;=0,1,-1)*QUOTIENT(((c_TMAP2IN)-(c_TMAP1IN)),2))+2147483648,4294967296)-2147483648,((c_TMAP2IN)-(c_TMAP1IN))*(((A523)-(c_TMAP1IN))*((c_TMAP2OUT)-(c_TMAP1OUT))+IF(((c_TMAP2OUT)-(c_TMAP1OUT))&gt;=0,1,-1)*QUOTIENT(((c_TMAP2IN)-(c_TMAP1IN)),2)))&lt;0,-1,0),IF(IF(o_WRAP=1,MOD(((c_TMAP2IN)-(c_TMAP1IN))*(((A523)-(c_TMAP1IN))*((c_TMAP2OUT)-(c_TMAP1OUT))+IF(((c_TMAP2OUT)-(c_TMAP1OUT))&gt;=0,1,-1)*QUOTIENT(((c_TMAP2IN)-(c_TMAP1IN)),2))+2147483648,4294967296)-2147483648,((c_TMAP2IN)-(c_TMAP1IN))*(((A523)-(c_TMAP1IN))*((c_TMAP2OUT)-(c_TMAP1OUT))+IF(((c_TMAP2OUT)-(c_TMAP1OUT))&gt;=0,1,-1)*QUOTIENT(((c_TMAP2IN)-(c_TMAP1IN)),2)))&gt;=0,1,0)))</f>
        <v>237</v>
      </c>
      <c r="F523" s="7" t="n">
        <f aca="false">IF(((c_TMAP3IN)-(c_TMAP2IN))=0,(c_TMAP2OUT)+QUOTIENT(((c_TMAP3OUT)-(c_TMAP2OUT)),2),QUOTIENT((((A523)-(c_TMAP2IN))*((c_TMAP3OUT)-(c_TMAP2OUT))+IF(((c_TMAP3OUT)-(c_TMAP2OUT))&gt;=0,1,-1)*QUOTIENT(((c_TMAP3IN)-(c_TMAP2IN)),2)),((c_TMAP3IN)-(c_TMAP2IN)))+(c_TMAP2OUT)+IF(((c_TMAP3OUT)-(c_TMAP2OUT))&gt;=0,IF(IF(o_WRAP=1,MOD(((c_TMAP3IN)-(c_TMAP2IN))*(((A523)-(c_TMAP2IN))*((c_TMAP3OUT)-(c_TMAP2OUT))+IF(((c_TMAP3OUT)-(c_TMAP2OUT))&gt;=0,1,-1)*QUOTIENT(((c_TMAP3IN)-(c_TMAP2IN)),2))+2147483648,4294967296)-2147483648,((c_TMAP3IN)-(c_TMAP2IN))*(((A523)-(c_TMAP2IN))*((c_TMAP3OUT)-(c_TMAP2OUT))+IF(((c_TMAP3OUT)-(c_TMAP2OUT))&gt;=0,1,-1)*QUOTIENT(((c_TMAP3IN)-(c_TMAP2IN)),2)))&lt;0,-1,0),IF(IF(o_WRAP=1,MOD(((c_TMAP3IN)-(c_TMAP2IN))*(((A523)-(c_TMAP2IN))*((c_TMAP3OUT)-(c_TMAP2OUT))+IF(((c_TMAP3OUT)-(c_TMAP2OUT))&gt;=0,1,-1)*QUOTIENT(((c_TMAP3IN)-(c_TMAP2IN)),2))+2147483648,4294967296)-2147483648,((c_TMAP3IN)-(c_TMAP2IN))*(((A523)-(c_TMAP2IN))*((c_TMAP3OUT)-(c_TMAP2OUT))+IF(((c_TMAP3OUT)-(c_TMAP2OUT))&gt;=0,1,-1)*QUOTIENT(((c_TMAP3IN)-(c_TMAP2IN)),2)))&gt;=0,1,0)))</f>
        <v>318</v>
      </c>
      <c r="G523" s="7" t="n">
        <f aca="false">IF(((1000)-(c_TMAP3IN))=0,(c_TMAP3OUT)+QUOTIENT(((1000)-(c_TMAP3OUT)),2),QUOTIENT((((A523)-(c_TMAP3IN))*((1000)-(c_TMAP3OUT))+IF(((1000)-(c_TMAP3OUT))&gt;=0,1,-1)*QUOTIENT(((1000)-(c_TMAP3IN)),2)),((1000)-(c_TMAP3IN)))+(c_TMAP3OUT)+IF(((1000)-(c_TMAP3OUT))&gt;=0,IF(IF(o_WRAP=1,MOD(((1000)-(c_TMAP3IN))*(((A523)-(c_TMAP3IN))*((1000)-(c_TMAP3OUT))+IF(((1000)-(c_TMAP3OUT))&gt;=0,1,-1)*QUOTIENT(((1000)-(c_TMAP3IN)),2))+2147483648,4294967296)-2147483648,((1000)-(c_TMAP3IN))*(((A523)-(c_TMAP3IN))*((1000)-(c_TMAP3OUT))+IF(((1000)-(c_TMAP3OUT))&gt;=0,1,-1)*QUOTIENT(((1000)-(c_TMAP3IN)),2)))&lt;0,-1,0),IF(IF(o_WRAP=1,MOD(((1000)-(c_TMAP3IN))*(((A523)-(c_TMAP3IN))*((1000)-(c_TMAP3OUT))+IF(((1000)-(c_TMAP3OUT))&gt;=0,1,-1)*QUOTIENT(((1000)-(c_TMAP3IN)),2))+2147483648,4294967296)-2147483648,((1000)-(c_TMAP3IN))*(((A523)-(c_TMAP3IN))*((1000)-(c_TMAP3OUT))+IF(((1000)-(c_TMAP3OUT))&gt;=0,1,-1)*QUOTIENT(((1000)-(c_TMAP3IN)),2)))&gt;=0,1,0)))</f>
        <v>407</v>
      </c>
      <c r="H523" s="7" t="str">
        <f aca="false">IF(A523&gt;=c_TFWD,IF(AND(A523&gt;=c_TMAP3IN,c_TMAP3IN&lt;1000),"Seg4 map3-100%",IF(AND(A523&gt;=c_TMAP2IN,c_TMAP3IN&gt;c_TMAP2IN),"Seg3 map2-map3",IF(AND(A523&gt;=c_TMAP1IN,c_TMAP2IN&gt;c_TMAP1IN),"Seg2 map1-map2","Seg1 TFWD-map1"))),IF(AND(A523=0,c_TCREEP&gt;0),"Creep",IF(AND(A523&lt;=c_TRNGMIN,A523&gt;=c_TRNGMAX,c_TRNGMIN-c_TRNGMAX&lt;&gt;0),"Regen ramp","Coast (0)")))</f>
        <v>Seg4 map3-100%</v>
      </c>
      <c r="I523" s="7" t="n">
        <f aca="false">IF(A523&gt;=c_TFWD,IF(AND(A523&gt;=c_TMAP3IN,c_TMAP3IN&lt;1000),G523,IF(AND(A523&gt;=c_TMAP2IN,c_TMAP3IN&gt;c_TMAP2IN),F523,IF(AND(A523&gt;=c_TMAP1IN,c_TMAP2IN&gt;c_TMAP1IN),E523,D523))),C523)</f>
        <v>407</v>
      </c>
      <c r="J523" s="7" t="str">
        <f aca="false">IF(I523&lt;-1090,"TOO LOW",IF(I523&gt;1090,"TOO HIGH",""))</f>
        <v/>
      </c>
      <c r="K523" s="15" t="n">
        <f aca="false">IF(J523&lt;&gt;"",0,IF(I523&gt;979,1000,I523))</f>
        <v>407</v>
      </c>
      <c r="L523" s="7" t="n">
        <f aca="false">K523/10</f>
        <v>40.7</v>
      </c>
    </row>
    <row r="524" customFormat="false" ht="15" hidden="false" customHeight="false" outlineLevel="0" collapsed="false">
      <c r="A524" s="7" t="n">
        <v>519</v>
      </c>
      <c r="B524" s="7" t="n">
        <f aca="false">A524/10</f>
        <v>51.9</v>
      </c>
      <c r="C524" s="7" t="n">
        <f aca="false">IF(AND(A524=0,c_TCREEP&gt;0),10*c_TCREEP,IF(AND(A524&lt;=c_TRNGMIN,A524&gt;=c_TRNGMAX,c_TRNGMIN-c_TRNGMAX&lt;&gt;0),-10*c_TMINRN+QUOTIENT((c_TMAXRN-c_TMINRN)*(100-QUOTIENT((A524-c_TRNGMAX)*100,c_TRNGMIN-c_TRNGMAX)),-10),0))</f>
        <v>0</v>
      </c>
      <c r="D524" s="7" t="n">
        <f aca="false">IF(((c_TMAP1IN)-(c_TFWD))=0,(0)+QUOTIENT(((c_TMAP1OUT)-(0)),2),QUOTIENT((((A524)-(c_TFWD))*((c_TMAP1OUT)-(0))+IF(((c_TMAP1OUT)-(0))&gt;=0,1,-1)*QUOTIENT(((c_TMAP1IN)-(c_TFWD)),2)),((c_TMAP1IN)-(c_TFWD)))+(0)+IF(((c_TMAP1OUT)-(0))&gt;=0,IF(IF(o_WRAP=1,MOD(((c_TMAP1IN)-(c_TFWD))*(((A524)-(c_TFWD))*((c_TMAP1OUT)-(0))+IF(((c_TMAP1OUT)-(0))&gt;=0,1,-1)*QUOTIENT(((c_TMAP1IN)-(c_TFWD)),2))+2147483648,4294967296)-2147483648,((c_TMAP1IN)-(c_TFWD))*(((A524)-(c_TFWD))*((c_TMAP1OUT)-(0))+IF(((c_TMAP1OUT)-(0))&gt;=0,1,-1)*QUOTIENT(((c_TMAP1IN)-(c_TFWD)),2)))&lt;0,-1,0),IF(IF(o_WRAP=1,MOD(((c_TMAP1IN)-(c_TFWD))*(((A524)-(c_TFWD))*((c_TMAP1OUT)-(0))+IF(((c_TMAP1OUT)-(0))&gt;=0,1,-1)*QUOTIENT(((c_TMAP1IN)-(c_TFWD)),2))+2147483648,4294967296)-2147483648,((c_TMAP1IN)-(c_TFWD))*(((A524)-(c_TFWD))*((c_TMAP1OUT)-(0))+IF(((c_TMAP1OUT)-(0))&gt;=0,1,-1)*QUOTIENT(((c_TMAP1IN)-(c_TFWD)),2)))&gt;=0,1,0)))</f>
        <v>396</v>
      </c>
      <c r="E524" s="7" t="n">
        <f aca="false">IF(((c_TMAP2IN)-(c_TMAP1IN))=0,(c_TMAP1OUT)+QUOTIENT(((c_TMAP2OUT)-(c_TMAP1OUT)),2),QUOTIENT((((A524)-(c_TMAP1IN))*((c_TMAP2OUT)-(c_TMAP1OUT))+IF(((c_TMAP2OUT)-(c_TMAP1OUT))&gt;=0,1,-1)*QUOTIENT(((c_TMAP2IN)-(c_TMAP1IN)),2)),((c_TMAP2IN)-(c_TMAP1IN)))+(c_TMAP1OUT)+IF(((c_TMAP2OUT)-(c_TMAP1OUT))&gt;=0,IF(IF(o_WRAP=1,MOD(((c_TMAP2IN)-(c_TMAP1IN))*(((A524)-(c_TMAP1IN))*((c_TMAP2OUT)-(c_TMAP1OUT))+IF(((c_TMAP2OUT)-(c_TMAP1OUT))&gt;=0,1,-1)*QUOTIENT(((c_TMAP2IN)-(c_TMAP1IN)),2))+2147483648,4294967296)-2147483648,((c_TMAP2IN)-(c_TMAP1IN))*(((A524)-(c_TMAP1IN))*((c_TMAP2OUT)-(c_TMAP1OUT))+IF(((c_TMAP2OUT)-(c_TMAP1OUT))&gt;=0,1,-1)*QUOTIENT(((c_TMAP2IN)-(c_TMAP1IN)),2)))&lt;0,-1,0),IF(IF(o_WRAP=1,MOD(((c_TMAP2IN)-(c_TMAP1IN))*(((A524)-(c_TMAP1IN))*((c_TMAP2OUT)-(c_TMAP1OUT))+IF(((c_TMAP2OUT)-(c_TMAP1OUT))&gt;=0,1,-1)*QUOTIENT(((c_TMAP2IN)-(c_TMAP1IN)),2))+2147483648,4294967296)-2147483648,((c_TMAP2IN)-(c_TMAP1IN))*(((A524)-(c_TMAP1IN))*((c_TMAP2OUT)-(c_TMAP1OUT))+IF(((c_TMAP2OUT)-(c_TMAP1OUT))&gt;=0,1,-1)*QUOTIENT(((c_TMAP2IN)-(c_TMAP1IN)),2)))&gt;=0,1,0)))</f>
        <v>238</v>
      </c>
      <c r="F524" s="7" t="n">
        <f aca="false">IF(((c_TMAP3IN)-(c_TMAP2IN))=0,(c_TMAP2OUT)+QUOTIENT(((c_TMAP3OUT)-(c_TMAP2OUT)),2),QUOTIENT((((A524)-(c_TMAP2IN))*((c_TMAP3OUT)-(c_TMAP2OUT))+IF(((c_TMAP3OUT)-(c_TMAP2OUT))&gt;=0,1,-1)*QUOTIENT(((c_TMAP3IN)-(c_TMAP2IN)),2)),((c_TMAP3IN)-(c_TMAP2IN)))+(c_TMAP2OUT)+IF(((c_TMAP3OUT)-(c_TMAP2OUT))&gt;=0,IF(IF(o_WRAP=1,MOD(((c_TMAP3IN)-(c_TMAP2IN))*(((A524)-(c_TMAP2IN))*((c_TMAP3OUT)-(c_TMAP2OUT))+IF(((c_TMAP3OUT)-(c_TMAP2OUT))&gt;=0,1,-1)*QUOTIENT(((c_TMAP3IN)-(c_TMAP2IN)),2))+2147483648,4294967296)-2147483648,((c_TMAP3IN)-(c_TMAP2IN))*(((A524)-(c_TMAP2IN))*((c_TMAP3OUT)-(c_TMAP2OUT))+IF(((c_TMAP3OUT)-(c_TMAP2OUT))&gt;=0,1,-1)*QUOTIENT(((c_TMAP3IN)-(c_TMAP2IN)),2)))&lt;0,-1,0),IF(IF(o_WRAP=1,MOD(((c_TMAP3IN)-(c_TMAP2IN))*(((A524)-(c_TMAP2IN))*((c_TMAP3OUT)-(c_TMAP2OUT))+IF(((c_TMAP3OUT)-(c_TMAP2OUT))&gt;=0,1,-1)*QUOTIENT(((c_TMAP3IN)-(c_TMAP2IN)),2))+2147483648,4294967296)-2147483648,((c_TMAP3IN)-(c_TMAP2IN))*(((A524)-(c_TMAP2IN))*((c_TMAP3OUT)-(c_TMAP2OUT))+IF(((c_TMAP3OUT)-(c_TMAP2OUT))&gt;=0,1,-1)*QUOTIENT(((c_TMAP3IN)-(c_TMAP2IN)),2)))&gt;=0,1,0)))</f>
        <v>318</v>
      </c>
      <c r="G524" s="7" t="n">
        <f aca="false">IF(((1000)-(c_TMAP3IN))=0,(c_TMAP3OUT)+QUOTIENT(((1000)-(c_TMAP3OUT)),2),QUOTIENT((((A524)-(c_TMAP3IN))*((1000)-(c_TMAP3OUT))+IF(((1000)-(c_TMAP3OUT))&gt;=0,1,-1)*QUOTIENT(((1000)-(c_TMAP3IN)),2)),((1000)-(c_TMAP3IN)))+(c_TMAP3OUT)+IF(((1000)-(c_TMAP3OUT))&gt;=0,IF(IF(o_WRAP=1,MOD(((1000)-(c_TMAP3IN))*(((A524)-(c_TMAP3IN))*((1000)-(c_TMAP3OUT))+IF(((1000)-(c_TMAP3OUT))&gt;=0,1,-1)*QUOTIENT(((1000)-(c_TMAP3IN)),2))+2147483648,4294967296)-2147483648,((1000)-(c_TMAP3IN))*(((A524)-(c_TMAP3IN))*((1000)-(c_TMAP3OUT))+IF(((1000)-(c_TMAP3OUT))&gt;=0,1,-1)*QUOTIENT(((1000)-(c_TMAP3IN)),2)))&lt;0,-1,0),IF(IF(o_WRAP=1,MOD(((1000)-(c_TMAP3IN))*(((A524)-(c_TMAP3IN))*((1000)-(c_TMAP3OUT))+IF(((1000)-(c_TMAP3OUT))&gt;=0,1,-1)*QUOTIENT(((1000)-(c_TMAP3IN)),2))+2147483648,4294967296)-2147483648,((1000)-(c_TMAP3IN))*(((A524)-(c_TMAP3IN))*((1000)-(c_TMAP3OUT))+IF(((1000)-(c_TMAP3OUT))&gt;=0,1,-1)*QUOTIENT(((1000)-(c_TMAP3IN)),2)))&gt;=0,1,0)))</f>
        <v>408</v>
      </c>
      <c r="H524" s="7" t="str">
        <f aca="false">IF(A524&gt;=c_TFWD,IF(AND(A524&gt;=c_TMAP3IN,c_TMAP3IN&lt;1000),"Seg4 map3-100%",IF(AND(A524&gt;=c_TMAP2IN,c_TMAP3IN&gt;c_TMAP2IN),"Seg3 map2-map3",IF(AND(A524&gt;=c_TMAP1IN,c_TMAP2IN&gt;c_TMAP1IN),"Seg2 map1-map2","Seg1 TFWD-map1"))),IF(AND(A524=0,c_TCREEP&gt;0),"Creep",IF(AND(A524&lt;=c_TRNGMIN,A524&gt;=c_TRNGMAX,c_TRNGMIN-c_TRNGMAX&lt;&gt;0),"Regen ramp","Coast (0)")))</f>
        <v>Seg4 map3-100%</v>
      </c>
      <c r="I524" s="7" t="n">
        <f aca="false">IF(A524&gt;=c_TFWD,IF(AND(A524&gt;=c_TMAP3IN,c_TMAP3IN&lt;1000),G524,IF(AND(A524&gt;=c_TMAP2IN,c_TMAP3IN&gt;c_TMAP2IN),F524,IF(AND(A524&gt;=c_TMAP1IN,c_TMAP2IN&gt;c_TMAP1IN),E524,D524))),C524)</f>
        <v>408</v>
      </c>
      <c r="J524" s="7" t="str">
        <f aca="false">IF(I524&lt;-1090,"TOO LOW",IF(I524&gt;1090,"TOO HIGH",""))</f>
        <v/>
      </c>
      <c r="K524" s="15" t="n">
        <f aca="false">IF(J524&lt;&gt;"",0,IF(I524&gt;979,1000,I524))</f>
        <v>408</v>
      </c>
      <c r="L524" s="7" t="n">
        <f aca="false">K524/10</f>
        <v>40.8</v>
      </c>
    </row>
    <row r="525" customFormat="false" ht="15" hidden="false" customHeight="false" outlineLevel="0" collapsed="false">
      <c r="A525" s="7" t="n">
        <v>520</v>
      </c>
      <c r="B525" s="7" t="n">
        <f aca="false">A525/10</f>
        <v>52</v>
      </c>
      <c r="C525" s="7" t="n">
        <f aca="false">IF(AND(A525=0,c_TCREEP&gt;0),10*c_TCREEP,IF(AND(A525&lt;=c_TRNGMIN,A525&gt;=c_TRNGMAX,c_TRNGMIN-c_TRNGMAX&lt;&gt;0),-10*c_TMINRN+QUOTIENT((c_TMAXRN-c_TMINRN)*(100-QUOTIENT((A525-c_TRNGMAX)*100,c_TRNGMIN-c_TRNGMAX)),-10),0))</f>
        <v>0</v>
      </c>
      <c r="D525" s="7" t="n">
        <f aca="false">IF(((c_TMAP1IN)-(c_TFWD))=0,(0)+QUOTIENT(((c_TMAP1OUT)-(0)),2),QUOTIENT((((A525)-(c_TFWD))*((c_TMAP1OUT)-(0))+IF(((c_TMAP1OUT)-(0))&gt;=0,1,-1)*QUOTIENT(((c_TMAP1IN)-(c_TFWD)),2)),((c_TMAP1IN)-(c_TFWD)))+(0)+IF(((c_TMAP1OUT)-(0))&gt;=0,IF(IF(o_WRAP=1,MOD(((c_TMAP1IN)-(c_TFWD))*(((A525)-(c_TFWD))*((c_TMAP1OUT)-(0))+IF(((c_TMAP1OUT)-(0))&gt;=0,1,-1)*QUOTIENT(((c_TMAP1IN)-(c_TFWD)),2))+2147483648,4294967296)-2147483648,((c_TMAP1IN)-(c_TFWD))*(((A525)-(c_TFWD))*((c_TMAP1OUT)-(0))+IF(((c_TMAP1OUT)-(0))&gt;=0,1,-1)*QUOTIENT(((c_TMAP1IN)-(c_TFWD)),2)))&lt;0,-1,0),IF(IF(o_WRAP=1,MOD(((c_TMAP1IN)-(c_TFWD))*(((A525)-(c_TFWD))*((c_TMAP1OUT)-(0))+IF(((c_TMAP1OUT)-(0))&gt;=0,1,-1)*QUOTIENT(((c_TMAP1IN)-(c_TFWD)),2))+2147483648,4294967296)-2147483648,((c_TMAP1IN)-(c_TFWD))*(((A525)-(c_TFWD))*((c_TMAP1OUT)-(0))+IF(((c_TMAP1OUT)-(0))&gt;=0,1,-1)*QUOTIENT(((c_TMAP1IN)-(c_TFWD)),2)))&gt;=0,1,0)))</f>
        <v>397</v>
      </c>
      <c r="E525" s="7" t="n">
        <f aca="false">IF(((c_TMAP2IN)-(c_TMAP1IN))=0,(c_TMAP1OUT)+QUOTIENT(((c_TMAP2OUT)-(c_TMAP1OUT)),2),QUOTIENT((((A525)-(c_TMAP1IN))*((c_TMAP2OUT)-(c_TMAP1OUT))+IF(((c_TMAP2OUT)-(c_TMAP1OUT))&gt;=0,1,-1)*QUOTIENT(((c_TMAP2IN)-(c_TMAP1IN)),2)),((c_TMAP2IN)-(c_TMAP1IN)))+(c_TMAP1OUT)+IF(((c_TMAP2OUT)-(c_TMAP1OUT))&gt;=0,IF(IF(o_WRAP=1,MOD(((c_TMAP2IN)-(c_TMAP1IN))*(((A525)-(c_TMAP1IN))*((c_TMAP2OUT)-(c_TMAP1OUT))+IF(((c_TMAP2OUT)-(c_TMAP1OUT))&gt;=0,1,-1)*QUOTIENT(((c_TMAP2IN)-(c_TMAP1IN)),2))+2147483648,4294967296)-2147483648,((c_TMAP2IN)-(c_TMAP1IN))*(((A525)-(c_TMAP1IN))*((c_TMAP2OUT)-(c_TMAP1OUT))+IF(((c_TMAP2OUT)-(c_TMAP1OUT))&gt;=0,1,-1)*QUOTIENT(((c_TMAP2IN)-(c_TMAP1IN)),2)))&lt;0,-1,0),IF(IF(o_WRAP=1,MOD(((c_TMAP2IN)-(c_TMAP1IN))*(((A525)-(c_TMAP1IN))*((c_TMAP2OUT)-(c_TMAP1OUT))+IF(((c_TMAP2OUT)-(c_TMAP1OUT))&gt;=0,1,-1)*QUOTIENT(((c_TMAP2IN)-(c_TMAP1IN)),2))+2147483648,4294967296)-2147483648,((c_TMAP2IN)-(c_TMAP1IN))*(((A525)-(c_TMAP1IN))*((c_TMAP2OUT)-(c_TMAP1OUT))+IF(((c_TMAP2OUT)-(c_TMAP1OUT))&gt;=0,1,-1)*QUOTIENT(((c_TMAP2IN)-(c_TMAP1IN)),2)))&gt;=0,1,0)))</f>
        <v>238</v>
      </c>
      <c r="F525" s="7" t="n">
        <f aca="false">IF(((c_TMAP3IN)-(c_TMAP2IN))=0,(c_TMAP2OUT)+QUOTIENT(((c_TMAP3OUT)-(c_TMAP2OUT)),2),QUOTIENT((((A525)-(c_TMAP2IN))*((c_TMAP3OUT)-(c_TMAP2OUT))+IF(((c_TMAP3OUT)-(c_TMAP2OUT))&gt;=0,1,-1)*QUOTIENT(((c_TMAP3IN)-(c_TMAP2IN)),2)),((c_TMAP3IN)-(c_TMAP2IN)))+(c_TMAP2OUT)+IF(((c_TMAP3OUT)-(c_TMAP2OUT))&gt;=0,IF(IF(o_WRAP=1,MOD(((c_TMAP3IN)-(c_TMAP2IN))*(((A525)-(c_TMAP2IN))*((c_TMAP3OUT)-(c_TMAP2OUT))+IF(((c_TMAP3OUT)-(c_TMAP2OUT))&gt;=0,1,-1)*QUOTIENT(((c_TMAP3IN)-(c_TMAP2IN)),2))+2147483648,4294967296)-2147483648,((c_TMAP3IN)-(c_TMAP2IN))*(((A525)-(c_TMAP2IN))*((c_TMAP3OUT)-(c_TMAP2OUT))+IF(((c_TMAP3OUT)-(c_TMAP2OUT))&gt;=0,1,-1)*QUOTIENT(((c_TMAP3IN)-(c_TMAP2IN)),2)))&lt;0,-1,0),IF(IF(o_WRAP=1,MOD(((c_TMAP3IN)-(c_TMAP2IN))*(((A525)-(c_TMAP2IN))*((c_TMAP3OUT)-(c_TMAP2OUT))+IF(((c_TMAP3OUT)-(c_TMAP2OUT))&gt;=0,1,-1)*QUOTIENT(((c_TMAP3IN)-(c_TMAP2IN)),2))+2147483648,4294967296)-2147483648,((c_TMAP3IN)-(c_TMAP2IN))*(((A525)-(c_TMAP2IN))*((c_TMAP3OUT)-(c_TMAP2OUT))+IF(((c_TMAP3OUT)-(c_TMAP2OUT))&gt;=0,1,-1)*QUOTIENT(((c_TMAP3IN)-(c_TMAP2IN)),2)))&gt;=0,1,0)))</f>
        <v>319</v>
      </c>
      <c r="G525" s="7" t="n">
        <f aca="false">IF(((1000)-(c_TMAP3IN))=0,(c_TMAP3OUT)+QUOTIENT(((1000)-(c_TMAP3OUT)),2),QUOTIENT((((A525)-(c_TMAP3IN))*((1000)-(c_TMAP3OUT))+IF(((1000)-(c_TMAP3OUT))&gt;=0,1,-1)*QUOTIENT(((1000)-(c_TMAP3IN)),2)),((1000)-(c_TMAP3IN)))+(c_TMAP3OUT)+IF(((1000)-(c_TMAP3OUT))&gt;=0,IF(IF(o_WRAP=1,MOD(((1000)-(c_TMAP3IN))*(((A525)-(c_TMAP3IN))*((1000)-(c_TMAP3OUT))+IF(((1000)-(c_TMAP3OUT))&gt;=0,1,-1)*QUOTIENT(((1000)-(c_TMAP3IN)),2))+2147483648,4294967296)-2147483648,((1000)-(c_TMAP3IN))*(((A525)-(c_TMAP3IN))*((1000)-(c_TMAP3OUT))+IF(((1000)-(c_TMAP3OUT))&gt;=0,1,-1)*QUOTIENT(((1000)-(c_TMAP3IN)),2)))&lt;0,-1,0),IF(IF(o_WRAP=1,MOD(((1000)-(c_TMAP3IN))*(((A525)-(c_TMAP3IN))*((1000)-(c_TMAP3OUT))+IF(((1000)-(c_TMAP3OUT))&gt;=0,1,-1)*QUOTIENT(((1000)-(c_TMAP3IN)),2))+2147483648,4294967296)-2147483648,((1000)-(c_TMAP3IN))*(((A525)-(c_TMAP3IN))*((1000)-(c_TMAP3OUT))+IF(((1000)-(c_TMAP3OUT))&gt;=0,1,-1)*QUOTIENT(((1000)-(c_TMAP3IN)),2)))&gt;=0,1,0)))</f>
        <v>409</v>
      </c>
      <c r="H525" s="7" t="str">
        <f aca="false">IF(A525&gt;=c_TFWD,IF(AND(A525&gt;=c_TMAP3IN,c_TMAP3IN&lt;1000),"Seg4 map3-100%",IF(AND(A525&gt;=c_TMAP2IN,c_TMAP3IN&gt;c_TMAP2IN),"Seg3 map2-map3",IF(AND(A525&gt;=c_TMAP1IN,c_TMAP2IN&gt;c_TMAP1IN),"Seg2 map1-map2","Seg1 TFWD-map1"))),IF(AND(A525=0,c_TCREEP&gt;0),"Creep",IF(AND(A525&lt;=c_TRNGMIN,A525&gt;=c_TRNGMAX,c_TRNGMIN-c_TRNGMAX&lt;&gt;0),"Regen ramp","Coast (0)")))</f>
        <v>Seg4 map3-100%</v>
      </c>
      <c r="I525" s="7" t="n">
        <f aca="false">IF(A525&gt;=c_TFWD,IF(AND(A525&gt;=c_TMAP3IN,c_TMAP3IN&lt;1000),G525,IF(AND(A525&gt;=c_TMAP2IN,c_TMAP3IN&gt;c_TMAP2IN),F525,IF(AND(A525&gt;=c_TMAP1IN,c_TMAP2IN&gt;c_TMAP1IN),E525,D525))),C525)</f>
        <v>409</v>
      </c>
      <c r="J525" s="7" t="str">
        <f aca="false">IF(I525&lt;-1090,"TOO LOW",IF(I525&gt;1090,"TOO HIGH",""))</f>
        <v/>
      </c>
      <c r="K525" s="15" t="n">
        <f aca="false">IF(J525&lt;&gt;"",0,IF(I525&gt;979,1000,I525))</f>
        <v>409</v>
      </c>
      <c r="L525" s="7" t="n">
        <f aca="false">K525/10</f>
        <v>40.9</v>
      </c>
    </row>
    <row r="526" customFormat="false" ht="15" hidden="false" customHeight="false" outlineLevel="0" collapsed="false">
      <c r="A526" s="7" t="n">
        <v>521</v>
      </c>
      <c r="B526" s="7" t="n">
        <f aca="false">A526/10</f>
        <v>52.1</v>
      </c>
      <c r="C526" s="7" t="n">
        <f aca="false">IF(AND(A526=0,c_TCREEP&gt;0),10*c_TCREEP,IF(AND(A526&lt;=c_TRNGMIN,A526&gt;=c_TRNGMAX,c_TRNGMIN-c_TRNGMAX&lt;&gt;0),-10*c_TMINRN+QUOTIENT((c_TMAXRN-c_TMINRN)*(100-QUOTIENT((A526-c_TRNGMAX)*100,c_TRNGMIN-c_TRNGMAX)),-10),0))</f>
        <v>0</v>
      </c>
      <c r="D526" s="7" t="n">
        <f aca="false">IF(((c_TMAP1IN)-(c_TFWD))=0,(0)+QUOTIENT(((c_TMAP1OUT)-(0)),2),QUOTIENT((((A526)-(c_TFWD))*((c_TMAP1OUT)-(0))+IF(((c_TMAP1OUT)-(0))&gt;=0,1,-1)*QUOTIENT(((c_TMAP1IN)-(c_TFWD)),2)),((c_TMAP1IN)-(c_TFWD)))+(0)+IF(((c_TMAP1OUT)-(0))&gt;=0,IF(IF(o_WRAP=1,MOD(((c_TMAP1IN)-(c_TFWD))*(((A526)-(c_TFWD))*((c_TMAP1OUT)-(0))+IF(((c_TMAP1OUT)-(0))&gt;=0,1,-1)*QUOTIENT(((c_TMAP1IN)-(c_TFWD)),2))+2147483648,4294967296)-2147483648,((c_TMAP1IN)-(c_TFWD))*(((A526)-(c_TFWD))*((c_TMAP1OUT)-(0))+IF(((c_TMAP1OUT)-(0))&gt;=0,1,-1)*QUOTIENT(((c_TMAP1IN)-(c_TFWD)),2)))&lt;0,-1,0),IF(IF(o_WRAP=1,MOD(((c_TMAP1IN)-(c_TFWD))*(((A526)-(c_TFWD))*((c_TMAP1OUT)-(0))+IF(((c_TMAP1OUT)-(0))&gt;=0,1,-1)*QUOTIENT(((c_TMAP1IN)-(c_TFWD)),2))+2147483648,4294967296)-2147483648,((c_TMAP1IN)-(c_TFWD))*(((A526)-(c_TFWD))*((c_TMAP1OUT)-(0))+IF(((c_TMAP1OUT)-(0))&gt;=0,1,-1)*QUOTIENT(((c_TMAP1IN)-(c_TFWD)),2)))&gt;=0,1,0)))</f>
        <v>397</v>
      </c>
      <c r="E526" s="7" t="n">
        <f aca="false">IF(((c_TMAP2IN)-(c_TMAP1IN))=0,(c_TMAP1OUT)+QUOTIENT(((c_TMAP2OUT)-(c_TMAP1OUT)),2),QUOTIENT((((A526)-(c_TMAP1IN))*((c_TMAP2OUT)-(c_TMAP1OUT))+IF(((c_TMAP2OUT)-(c_TMAP1OUT))&gt;=0,1,-1)*QUOTIENT(((c_TMAP2IN)-(c_TMAP1IN)),2)),((c_TMAP2IN)-(c_TMAP1IN)))+(c_TMAP1OUT)+IF(((c_TMAP2OUT)-(c_TMAP1OUT))&gt;=0,IF(IF(o_WRAP=1,MOD(((c_TMAP2IN)-(c_TMAP1IN))*(((A526)-(c_TMAP1IN))*((c_TMAP2OUT)-(c_TMAP1OUT))+IF(((c_TMAP2OUT)-(c_TMAP1OUT))&gt;=0,1,-1)*QUOTIENT(((c_TMAP2IN)-(c_TMAP1IN)),2))+2147483648,4294967296)-2147483648,((c_TMAP2IN)-(c_TMAP1IN))*(((A526)-(c_TMAP1IN))*((c_TMAP2OUT)-(c_TMAP1OUT))+IF(((c_TMAP2OUT)-(c_TMAP1OUT))&gt;=0,1,-1)*QUOTIENT(((c_TMAP2IN)-(c_TMAP1IN)),2)))&lt;0,-1,0),IF(IF(o_WRAP=1,MOD(((c_TMAP2IN)-(c_TMAP1IN))*(((A526)-(c_TMAP1IN))*((c_TMAP2OUT)-(c_TMAP1OUT))+IF(((c_TMAP2OUT)-(c_TMAP1OUT))&gt;=0,1,-1)*QUOTIENT(((c_TMAP2IN)-(c_TMAP1IN)),2))+2147483648,4294967296)-2147483648,((c_TMAP2IN)-(c_TMAP1IN))*(((A526)-(c_TMAP1IN))*((c_TMAP2OUT)-(c_TMAP1OUT))+IF(((c_TMAP2OUT)-(c_TMAP1OUT))&gt;=0,1,-1)*QUOTIENT(((c_TMAP2IN)-(c_TMAP1IN)),2)))&gt;=0,1,0)))</f>
        <v>238</v>
      </c>
      <c r="F526" s="7" t="n">
        <f aca="false">IF(((c_TMAP3IN)-(c_TMAP2IN))=0,(c_TMAP2OUT)+QUOTIENT(((c_TMAP3OUT)-(c_TMAP2OUT)),2),QUOTIENT((((A526)-(c_TMAP2IN))*((c_TMAP3OUT)-(c_TMAP2OUT))+IF(((c_TMAP3OUT)-(c_TMAP2OUT))&gt;=0,1,-1)*QUOTIENT(((c_TMAP3IN)-(c_TMAP2IN)),2)),((c_TMAP3IN)-(c_TMAP2IN)))+(c_TMAP2OUT)+IF(((c_TMAP3OUT)-(c_TMAP2OUT))&gt;=0,IF(IF(o_WRAP=1,MOD(((c_TMAP3IN)-(c_TMAP2IN))*(((A526)-(c_TMAP2IN))*((c_TMAP3OUT)-(c_TMAP2OUT))+IF(((c_TMAP3OUT)-(c_TMAP2OUT))&gt;=0,1,-1)*QUOTIENT(((c_TMAP3IN)-(c_TMAP2IN)),2))+2147483648,4294967296)-2147483648,((c_TMAP3IN)-(c_TMAP2IN))*(((A526)-(c_TMAP2IN))*((c_TMAP3OUT)-(c_TMAP2OUT))+IF(((c_TMAP3OUT)-(c_TMAP2OUT))&gt;=0,1,-1)*QUOTIENT(((c_TMAP3IN)-(c_TMAP2IN)),2)))&lt;0,-1,0),IF(IF(o_WRAP=1,MOD(((c_TMAP3IN)-(c_TMAP2IN))*(((A526)-(c_TMAP2IN))*((c_TMAP3OUT)-(c_TMAP2OUT))+IF(((c_TMAP3OUT)-(c_TMAP2OUT))&gt;=0,1,-1)*QUOTIENT(((c_TMAP3IN)-(c_TMAP2IN)),2))+2147483648,4294967296)-2147483648,((c_TMAP3IN)-(c_TMAP2IN))*(((A526)-(c_TMAP2IN))*((c_TMAP3OUT)-(c_TMAP2OUT))+IF(((c_TMAP3OUT)-(c_TMAP2OUT))&gt;=0,1,-1)*QUOTIENT(((c_TMAP3IN)-(c_TMAP2IN)),2)))&gt;=0,1,0)))</f>
        <v>320</v>
      </c>
      <c r="G526" s="7" t="n">
        <f aca="false">IF(((1000)-(c_TMAP3IN))=0,(c_TMAP3OUT)+QUOTIENT(((1000)-(c_TMAP3OUT)),2),QUOTIENT((((A526)-(c_TMAP3IN))*((1000)-(c_TMAP3OUT))+IF(((1000)-(c_TMAP3OUT))&gt;=0,1,-1)*QUOTIENT(((1000)-(c_TMAP3IN)),2)),((1000)-(c_TMAP3IN)))+(c_TMAP3OUT)+IF(((1000)-(c_TMAP3OUT))&gt;=0,IF(IF(o_WRAP=1,MOD(((1000)-(c_TMAP3IN))*(((A526)-(c_TMAP3IN))*((1000)-(c_TMAP3OUT))+IF(((1000)-(c_TMAP3OUT))&gt;=0,1,-1)*QUOTIENT(((1000)-(c_TMAP3IN)),2))+2147483648,4294967296)-2147483648,((1000)-(c_TMAP3IN))*(((A526)-(c_TMAP3IN))*((1000)-(c_TMAP3OUT))+IF(((1000)-(c_TMAP3OUT))&gt;=0,1,-1)*QUOTIENT(((1000)-(c_TMAP3IN)),2)))&lt;0,-1,0),IF(IF(o_WRAP=1,MOD(((1000)-(c_TMAP3IN))*(((A526)-(c_TMAP3IN))*((1000)-(c_TMAP3OUT))+IF(((1000)-(c_TMAP3OUT))&gt;=0,1,-1)*QUOTIENT(((1000)-(c_TMAP3IN)),2))+2147483648,4294967296)-2147483648,((1000)-(c_TMAP3IN))*(((A526)-(c_TMAP3IN))*((1000)-(c_TMAP3OUT))+IF(((1000)-(c_TMAP3OUT))&gt;=0,1,-1)*QUOTIENT(((1000)-(c_TMAP3IN)),2)))&gt;=0,1,0)))</f>
        <v>410</v>
      </c>
      <c r="H526" s="7" t="str">
        <f aca="false">IF(A526&gt;=c_TFWD,IF(AND(A526&gt;=c_TMAP3IN,c_TMAP3IN&lt;1000),"Seg4 map3-100%",IF(AND(A526&gt;=c_TMAP2IN,c_TMAP3IN&gt;c_TMAP2IN),"Seg3 map2-map3",IF(AND(A526&gt;=c_TMAP1IN,c_TMAP2IN&gt;c_TMAP1IN),"Seg2 map1-map2","Seg1 TFWD-map1"))),IF(AND(A526=0,c_TCREEP&gt;0),"Creep",IF(AND(A526&lt;=c_TRNGMIN,A526&gt;=c_TRNGMAX,c_TRNGMIN-c_TRNGMAX&lt;&gt;0),"Regen ramp","Coast (0)")))</f>
        <v>Seg4 map3-100%</v>
      </c>
      <c r="I526" s="7" t="n">
        <f aca="false">IF(A526&gt;=c_TFWD,IF(AND(A526&gt;=c_TMAP3IN,c_TMAP3IN&lt;1000),G526,IF(AND(A526&gt;=c_TMAP2IN,c_TMAP3IN&gt;c_TMAP2IN),F526,IF(AND(A526&gt;=c_TMAP1IN,c_TMAP2IN&gt;c_TMAP1IN),E526,D526))),C526)</f>
        <v>410</v>
      </c>
      <c r="J526" s="7" t="str">
        <f aca="false">IF(I526&lt;-1090,"TOO LOW",IF(I526&gt;1090,"TOO HIGH",""))</f>
        <v/>
      </c>
      <c r="K526" s="15" t="n">
        <f aca="false">IF(J526&lt;&gt;"",0,IF(I526&gt;979,1000,I526))</f>
        <v>410</v>
      </c>
      <c r="L526" s="7" t="n">
        <f aca="false">K526/10</f>
        <v>41</v>
      </c>
    </row>
    <row r="527" customFormat="false" ht="15" hidden="false" customHeight="false" outlineLevel="0" collapsed="false">
      <c r="A527" s="7" t="n">
        <v>522</v>
      </c>
      <c r="B527" s="7" t="n">
        <f aca="false">A527/10</f>
        <v>52.2</v>
      </c>
      <c r="C527" s="7" t="n">
        <f aca="false">IF(AND(A527=0,c_TCREEP&gt;0),10*c_TCREEP,IF(AND(A527&lt;=c_TRNGMIN,A527&gt;=c_TRNGMAX,c_TRNGMIN-c_TRNGMAX&lt;&gt;0),-10*c_TMINRN+QUOTIENT((c_TMAXRN-c_TMINRN)*(100-QUOTIENT((A527-c_TRNGMAX)*100,c_TRNGMIN-c_TRNGMAX)),-10),0))</f>
        <v>0</v>
      </c>
      <c r="D527" s="7" t="n">
        <f aca="false">IF(((c_TMAP1IN)-(c_TFWD))=0,(0)+QUOTIENT(((c_TMAP1OUT)-(0)),2),QUOTIENT((((A527)-(c_TFWD))*((c_TMAP1OUT)-(0))+IF(((c_TMAP1OUT)-(0))&gt;=0,1,-1)*QUOTIENT(((c_TMAP1IN)-(c_TFWD)),2)),((c_TMAP1IN)-(c_TFWD)))+(0)+IF(((c_TMAP1OUT)-(0))&gt;=0,IF(IF(o_WRAP=1,MOD(((c_TMAP1IN)-(c_TFWD))*(((A527)-(c_TFWD))*((c_TMAP1OUT)-(0))+IF(((c_TMAP1OUT)-(0))&gt;=0,1,-1)*QUOTIENT(((c_TMAP1IN)-(c_TFWD)),2))+2147483648,4294967296)-2147483648,((c_TMAP1IN)-(c_TFWD))*(((A527)-(c_TFWD))*((c_TMAP1OUT)-(0))+IF(((c_TMAP1OUT)-(0))&gt;=0,1,-1)*QUOTIENT(((c_TMAP1IN)-(c_TFWD)),2)))&lt;0,-1,0),IF(IF(o_WRAP=1,MOD(((c_TMAP1IN)-(c_TFWD))*(((A527)-(c_TFWD))*((c_TMAP1OUT)-(0))+IF(((c_TMAP1OUT)-(0))&gt;=0,1,-1)*QUOTIENT(((c_TMAP1IN)-(c_TFWD)),2))+2147483648,4294967296)-2147483648,((c_TMAP1IN)-(c_TFWD))*(((A527)-(c_TFWD))*((c_TMAP1OUT)-(0))+IF(((c_TMAP1OUT)-(0))&gt;=0,1,-1)*QUOTIENT(((c_TMAP1IN)-(c_TFWD)),2)))&gt;=0,1,0)))</f>
        <v>398</v>
      </c>
      <c r="E527" s="7" t="n">
        <f aca="false">IF(((c_TMAP2IN)-(c_TMAP1IN))=0,(c_TMAP1OUT)+QUOTIENT(((c_TMAP2OUT)-(c_TMAP1OUT)),2),QUOTIENT((((A527)-(c_TMAP1IN))*((c_TMAP2OUT)-(c_TMAP1OUT))+IF(((c_TMAP2OUT)-(c_TMAP1OUT))&gt;=0,1,-1)*QUOTIENT(((c_TMAP2IN)-(c_TMAP1IN)),2)),((c_TMAP2IN)-(c_TMAP1IN)))+(c_TMAP1OUT)+IF(((c_TMAP2OUT)-(c_TMAP1OUT))&gt;=0,IF(IF(o_WRAP=1,MOD(((c_TMAP2IN)-(c_TMAP1IN))*(((A527)-(c_TMAP1IN))*((c_TMAP2OUT)-(c_TMAP1OUT))+IF(((c_TMAP2OUT)-(c_TMAP1OUT))&gt;=0,1,-1)*QUOTIENT(((c_TMAP2IN)-(c_TMAP1IN)),2))+2147483648,4294967296)-2147483648,((c_TMAP2IN)-(c_TMAP1IN))*(((A527)-(c_TMAP1IN))*((c_TMAP2OUT)-(c_TMAP1OUT))+IF(((c_TMAP2OUT)-(c_TMAP1OUT))&gt;=0,1,-1)*QUOTIENT(((c_TMAP2IN)-(c_TMAP1IN)),2)))&lt;0,-1,0),IF(IF(o_WRAP=1,MOD(((c_TMAP2IN)-(c_TMAP1IN))*(((A527)-(c_TMAP1IN))*((c_TMAP2OUT)-(c_TMAP1OUT))+IF(((c_TMAP2OUT)-(c_TMAP1OUT))&gt;=0,1,-1)*QUOTIENT(((c_TMAP2IN)-(c_TMAP1IN)),2))+2147483648,4294967296)-2147483648,((c_TMAP2IN)-(c_TMAP1IN))*(((A527)-(c_TMAP1IN))*((c_TMAP2OUT)-(c_TMAP1OUT))+IF(((c_TMAP2OUT)-(c_TMAP1OUT))&gt;=0,1,-1)*QUOTIENT(((c_TMAP2IN)-(c_TMAP1IN)),2)))&gt;=0,1,0)))</f>
        <v>239</v>
      </c>
      <c r="F527" s="7" t="n">
        <f aca="false">IF(((c_TMAP3IN)-(c_TMAP2IN))=0,(c_TMAP2OUT)+QUOTIENT(((c_TMAP3OUT)-(c_TMAP2OUT)),2),QUOTIENT((((A527)-(c_TMAP2IN))*((c_TMAP3OUT)-(c_TMAP2OUT))+IF(((c_TMAP3OUT)-(c_TMAP2OUT))&gt;=0,1,-1)*QUOTIENT(((c_TMAP3IN)-(c_TMAP2IN)),2)),((c_TMAP3IN)-(c_TMAP2IN)))+(c_TMAP2OUT)+IF(((c_TMAP3OUT)-(c_TMAP2OUT))&gt;=0,IF(IF(o_WRAP=1,MOD(((c_TMAP3IN)-(c_TMAP2IN))*(((A527)-(c_TMAP2IN))*((c_TMAP3OUT)-(c_TMAP2OUT))+IF(((c_TMAP3OUT)-(c_TMAP2OUT))&gt;=0,1,-1)*QUOTIENT(((c_TMAP3IN)-(c_TMAP2IN)),2))+2147483648,4294967296)-2147483648,((c_TMAP3IN)-(c_TMAP2IN))*(((A527)-(c_TMAP2IN))*((c_TMAP3OUT)-(c_TMAP2OUT))+IF(((c_TMAP3OUT)-(c_TMAP2OUT))&gt;=0,1,-1)*QUOTIENT(((c_TMAP3IN)-(c_TMAP2IN)),2)))&lt;0,-1,0),IF(IF(o_WRAP=1,MOD(((c_TMAP3IN)-(c_TMAP2IN))*(((A527)-(c_TMAP2IN))*((c_TMAP3OUT)-(c_TMAP2OUT))+IF(((c_TMAP3OUT)-(c_TMAP2OUT))&gt;=0,1,-1)*QUOTIENT(((c_TMAP3IN)-(c_TMAP2IN)),2))+2147483648,4294967296)-2147483648,((c_TMAP3IN)-(c_TMAP2IN))*(((A527)-(c_TMAP2IN))*((c_TMAP3OUT)-(c_TMAP2OUT))+IF(((c_TMAP3OUT)-(c_TMAP2OUT))&gt;=0,1,-1)*QUOTIENT(((c_TMAP3IN)-(c_TMAP2IN)),2)))&gt;=0,1,0)))</f>
        <v>320</v>
      </c>
      <c r="G527" s="7" t="n">
        <f aca="false">IF(((1000)-(c_TMAP3IN))=0,(c_TMAP3OUT)+QUOTIENT(((1000)-(c_TMAP3OUT)),2),QUOTIENT((((A527)-(c_TMAP3IN))*((1000)-(c_TMAP3OUT))+IF(((1000)-(c_TMAP3OUT))&gt;=0,1,-1)*QUOTIENT(((1000)-(c_TMAP3IN)),2)),((1000)-(c_TMAP3IN)))+(c_TMAP3OUT)+IF(((1000)-(c_TMAP3OUT))&gt;=0,IF(IF(o_WRAP=1,MOD(((1000)-(c_TMAP3IN))*(((A527)-(c_TMAP3IN))*((1000)-(c_TMAP3OUT))+IF(((1000)-(c_TMAP3OUT))&gt;=0,1,-1)*QUOTIENT(((1000)-(c_TMAP3IN)),2))+2147483648,4294967296)-2147483648,((1000)-(c_TMAP3IN))*(((A527)-(c_TMAP3IN))*((1000)-(c_TMAP3OUT))+IF(((1000)-(c_TMAP3OUT))&gt;=0,1,-1)*QUOTIENT(((1000)-(c_TMAP3IN)),2)))&lt;0,-1,0),IF(IF(o_WRAP=1,MOD(((1000)-(c_TMAP3IN))*(((A527)-(c_TMAP3IN))*((1000)-(c_TMAP3OUT))+IF(((1000)-(c_TMAP3OUT))&gt;=0,1,-1)*QUOTIENT(((1000)-(c_TMAP3IN)),2))+2147483648,4294967296)-2147483648,((1000)-(c_TMAP3IN))*(((A527)-(c_TMAP3IN))*((1000)-(c_TMAP3OUT))+IF(((1000)-(c_TMAP3OUT))&gt;=0,1,-1)*QUOTIENT(((1000)-(c_TMAP3IN)),2)))&gt;=0,1,0)))</f>
        <v>412</v>
      </c>
      <c r="H527" s="7" t="str">
        <f aca="false">IF(A527&gt;=c_TFWD,IF(AND(A527&gt;=c_TMAP3IN,c_TMAP3IN&lt;1000),"Seg4 map3-100%",IF(AND(A527&gt;=c_TMAP2IN,c_TMAP3IN&gt;c_TMAP2IN),"Seg3 map2-map3",IF(AND(A527&gt;=c_TMAP1IN,c_TMAP2IN&gt;c_TMAP1IN),"Seg2 map1-map2","Seg1 TFWD-map1"))),IF(AND(A527=0,c_TCREEP&gt;0),"Creep",IF(AND(A527&lt;=c_TRNGMIN,A527&gt;=c_TRNGMAX,c_TRNGMIN-c_TRNGMAX&lt;&gt;0),"Regen ramp","Coast (0)")))</f>
        <v>Seg4 map3-100%</v>
      </c>
      <c r="I527" s="7" t="n">
        <f aca="false">IF(A527&gt;=c_TFWD,IF(AND(A527&gt;=c_TMAP3IN,c_TMAP3IN&lt;1000),G527,IF(AND(A527&gt;=c_TMAP2IN,c_TMAP3IN&gt;c_TMAP2IN),F527,IF(AND(A527&gt;=c_TMAP1IN,c_TMAP2IN&gt;c_TMAP1IN),E527,D527))),C527)</f>
        <v>412</v>
      </c>
      <c r="J527" s="7" t="str">
        <f aca="false">IF(I527&lt;-1090,"TOO LOW",IF(I527&gt;1090,"TOO HIGH",""))</f>
        <v/>
      </c>
      <c r="K527" s="15" t="n">
        <f aca="false">IF(J527&lt;&gt;"",0,IF(I527&gt;979,1000,I527))</f>
        <v>412</v>
      </c>
      <c r="L527" s="7" t="n">
        <f aca="false">K527/10</f>
        <v>41.2</v>
      </c>
    </row>
    <row r="528" customFormat="false" ht="15" hidden="false" customHeight="false" outlineLevel="0" collapsed="false">
      <c r="A528" s="7" t="n">
        <v>523</v>
      </c>
      <c r="B528" s="7" t="n">
        <f aca="false">A528/10</f>
        <v>52.3</v>
      </c>
      <c r="C528" s="7" t="n">
        <f aca="false">IF(AND(A528=0,c_TCREEP&gt;0),10*c_TCREEP,IF(AND(A528&lt;=c_TRNGMIN,A528&gt;=c_TRNGMAX,c_TRNGMIN-c_TRNGMAX&lt;&gt;0),-10*c_TMINRN+QUOTIENT((c_TMAXRN-c_TMINRN)*(100-QUOTIENT((A528-c_TRNGMAX)*100,c_TRNGMIN-c_TRNGMAX)),-10),0))</f>
        <v>0</v>
      </c>
      <c r="D528" s="7" t="n">
        <f aca="false">IF(((c_TMAP1IN)-(c_TFWD))=0,(0)+QUOTIENT(((c_TMAP1OUT)-(0)),2),QUOTIENT((((A528)-(c_TFWD))*((c_TMAP1OUT)-(0))+IF(((c_TMAP1OUT)-(0))&gt;=0,1,-1)*QUOTIENT(((c_TMAP1IN)-(c_TFWD)),2)),((c_TMAP1IN)-(c_TFWD)))+(0)+IF(((c_TMAP1OUT)-(0))&gt;=0,IF(IF(o_WRAP=1,MOD(((c_TMAP1IN)-(c_TFWD))*(((A528)-(c_TFWD))*((c_TMAP1OUT)-(0))+IF(((c_TMAP1OUT)-(0))&gt;=0,1,-1)*QUOTIENT(((c_TMAP1IN)-(c_TFWD)),2))+2147483648,4294967296)-2147483648,((c_TMAP1IN)-(c_TFWD))*(((A528)-(c_TFWD))*((c_TMAP1OUT)-(0))+IF(((c_TMAP1OUT)-(0))&gt;=0,1,-1)*QUOTIENT(((c_TMAP1IN)-(c_TFWD)),2)))&lt;0,-1,0),IF(IF(o_WRAP=1,MOD(((c_TMAP1IN)-(c_TFWD))*(((A528)-(c_TFWD))*((c_TMAP1OUT)-(0))+IF(((c_TMAP1OUT)-(0))&gt;=0,1,-1)*QUOTIENT(((c_TMAP1IN)-(c_TFWD)),2))+2147483648,4294967296)-2147483648,((c_TMAP1IN)-(c_TFWD))*(((A528)-(c_TFWD))*((c_TMAP1OUT)-(0))+IF(((c_TMAP1OUT)-(0))&gt;=0,1,-1)*QUOTIENT(((c_TMAP1IN)-(c_TFWD)),2)))&gt;=0,1,0)))</f>
        <v>399</v>
      </c>
      <c r="E528" s="7" t="n">
        <f aca="false">IF(((c_TMAP2IN)-(c_TMAP1IN))=0,(c_TMAP1OUT)+QUOTIENT(((c_TMAP2OUT)-(c_TMAP1OUT)),2),QUOTIENT((((A528)-(c_TMAP1IN))*((c_TMAP2OUT)-(c_TMAP1OUT))+IF(((c_TMAP2OUT)-(c_TMAP1OUT))&gt;=0,1,-1)*QUOTIENT(((c_TMAP2IN)-(c_TMAP1IN)),2)),((c_TMAP2IN)-(c_TMAP1IN)))+(c_TMAP1OUT)+IF(((c_TMAP2OUT)-(c_TMAP1OUT))&gt;=0,IF(IF(o_WRAP=1,MOD(((c_TMAP2IN)-(c_TMAP1IN))*(((A528)-(c_TMAP1IN))*((c_TMAP2OUT)-(c_TMAP1OUT))+IF(((c_TMAP2OUT)-(c_TMAP1OUT))&gt;=0,1,-1)*QUOTIENT(((c_TMAP2IN)-(c_TMAP1IN)),2))+2147483648,4294967296)-2147483648,((c_TMAP2IN)-(c_TMAP1IN))*(((A528)-(c_TMAP1IN))*((c_TMAP2OUT)-(c_TMAP1OUT))+IF(((c_TMAP2OUT)-(c_TMAP1OUT))&gt;=0,1,-1)*QUOTIENT(((c_TMAP2IN)-(c_TMAP1IN)),2)))&lt;0,-1,0),IF(IF(o_WRAP=1,MOD(((c_TMAP2IN)-(c_TMAP1IN))*(((A528)-(c_TMAP1IN))*((c_TMAP2OUT)-(c_TMAP1OUT))+IF(((c_TMAP2OUT)-(c_TMAP1OUT))&gt;=0,1,-1)*QUOTIENT(((c_TMAP2IN)-(c_TMAP1IN)),2))+2147483648,4294967296)-2147483648,((c_TMAP2IN)-(c_TMAP1IN))*(((A528)-(c_TMAP1IN))*((c_TMAP2OUT)-(c_TMAP1OUT))+IF(((c_TMAP2OUT)-(c_TMAP1OUT))&gt;=0,1,-1)*QUOTIENT(((c_TMAP2IN)-(c_TMAP1IN)),2)))&gt;=0,1,0)))</f>
        <v>239</v>
      </c>
      <c r="F528" s="7" t="n">
        <f aca="false">IF(((c_TMAP3IN)-(c_TMAP2IN))=0,(c_TMAP2OUT)+QUOTIENT(((c_TMAP3OUT)-(c_TMAP2OUT)),2),QUOTIENT((((A528)-(c_TMAP2IN))*((c_TMAP3OUT)-(c_TMAP2OUT))+IF(((c_TMAP3OUT)-(c_TMAP2OUT))&gt;=0,1,-1)*QUOTIENT(((c_TMAP3IN)-(c_TMAP2IN)),2)),((c_TMAP3IN)-(c_TMAP2IN)))+(c_TMAP2OUT)+IF(((c_TMAP3OUT)-(c_TMAP2OUT))&gt;=0,IF(IF(o_WRAP=1,MOD(((c_TMAP3IN)-(c_TMAP2IN))*(((A528)-(c_TMAP2IN))*((c_TMAP3OUT)-(c_TMAP2OUT))+IF(((c_TMAP3OUT)-(c_TMAP2OUT))&gt;=0,1,-1)*QUOTIENT(((c_TMAP3IN)-(c_TMAP2IN)),2))+2147483648,4294967296)-2147483648,((c_TMAP3IN)-(c_TMAP2IN))*(((A528)-(c_TMAP2IN))*((c_TMAP3OUT)-(c_TMAP2OUT))+IF(((c_TMAP3OUT)-(c_TMAP2OUT))&gt;=0,1,-1)*QUOTIENT(((c_TMAP3IN)-(c_TMAP2IN)),2)))&lt;0,-1,0),IF(IF(o_WRAP=1,MOD(((c_TMAP3IN)-(c_TMAP2IN))*(((A528)-(c_TMAP2IN))*((c_TMAP3OUT)-(c_TMAP2OUT))+IF(((c_TMAP3OUT)-(c_TMAP2OUT))&gt;=0,1,-1)*QUOTIENT(((c_TMAP3IN)-(c_TMAP2IN)),2))+2147483648,4294967296)-2147483648,((c_TMAP3IN)-(c_TMAP2IN))*(((A528)-(c_TMAP2IN))*((c_TMAP3OUT)-(c_TMAP2OUT))+IF(((c_TMAP3OUT)-(c_TMAP2OUT))&gt;=0,1,-1)*QUOTIENT(((c_TMAP3IN)-(c_TMAP2IN)),2)))&gt;=0,1,0)))</f>
        <v>321</v>
      </c>
      <c r="G528" s="7" t="n">
        <f aca="false">IF(((1000)-(c_TMAP3IN))=0,(c_TMAP3OUT)+QUOTIENT(((1000)-(c_TMAP3OUT)),2),QUOTIENT((((A528)-(c_TMAP3IN))*((1000)-(c_TMAP3OUT))+IF(((1000)-(c_TMAP3OUT))&gt;=0,1,-1)*QUOTIENT(((1000)-(c_TMAP3IN)),2)),((1000)-(c_TMAP3IN)))+(c_TMAP3OUT)+IF(((1000)-(c_TMAP3OUT))&gt;=0,IF(IF(o_WRAP=1,MOD(((1000)-(c_TMAP3IN))*(((A528)-(c_TMAP3IN))*((1000)-(c_TMAP3OUT))+IF(((1000)-(c_TMAP3OUT))&gt;=0,1,-1)*QUOTIENT(((1000)-(c_TMAP3IN)),2))+2147483648,4294967296)-2147483648,((1000)-(c_TMAP3IN))*(((A528)-(c_TMAP3IN))*((1000)-(c_TMAP3OUT))+IF(((1000)-(c_TMAP3OUT))&gt;=0,1,-1)*QUOTIENT(((1000)-(c_TMAP3IN)),2)))&lt;0,-1,0),IF(IF(o_WRAP=1,MOD(((1000)-(c_TMAP3IN))*(((A528)-(c_TMAP3IN))*((1000)-(c_TMAP3OUT))+IF(((1000)-(c_TMAP3OUT))&gt;=0,1,-1)*QUOTIENT(((1000)-(c_TMAP3IN)),2))+2147483648,4294967296)-2147483648,((1000)-(c_TMAP3IN))*(((A528)-(c_TMAP3IN))*((1000)-(c_TMAP3OUT))+IF(((1000)-(c_TMAP3OUT))&gt;=0,1,-1)*QUOTIENT(((1000)-(c_TMAP3IN)),2)))&gt;=0,1,0)))</f>
        <v>413</v>
      </c>
      <c r="H528" s="7" t="str">
        <f aca="false">IF(A528&gt;=c_TFWD,IF(AND(A528&gt;=c_TMAP3IN,c_TMAP3IN&lt;1000),"Seg4 map3-100%",IF(AND(A528&gt;=c_TMAP2IN,c_TMAP3IN&gt;c_TMAP2IN),"Seg3 map2-map3",IF(AND(A528&gt;=c_TMAP1IN,c_TMAP2IN&gt;c_TMAP1IN),"Seg2 map1-map2","Seg1 TFWD-map1"))),IF(AND(A528=0,c_TCREEP&gt;0),"Creep",IF(AND(A528&lt;=c_TRNGMIN,A528&gt;=c_TRNGMAX,c_TRNGMIN-c_TRNGMAX&lt;&gt;0),"Regen ramp","Coast (0)")))</f>
        <v>Seg4 map3-100%</v>
      </c>
      <c r="I528" s="7" t="n">
        <f aca="false">IF(A528&gt;=c_TFWD,IF(AND(A528&gt;=c_TMAP3IN,c_TMAP3IN&lt;1000),G528,IF(AND(A528&gt;=c_TMAP2IN,c_TMAP3IN&gt;c_TMAP2IN),F528,IF(AND(A528&gt;=c_TMAP1IN,c_TMAP2IN&gt;c_TMAP1IN),E528,D528))),C528)</f>
        <v>413</v>
      </c>
      <c r="J528" s="7" t="str">
        <f aca="false">IF(I528&lt;-1090,"TOO LOW",IF(I528&gt;1090,"TOO HIGH",""))</f>
        <v/>
      </c>
      <c r="K528" s="15" t="n">
        <f aca="false">IF(J528&lt;&gt;"",0,IF(I528&gt;979,1000,I528))</f>
        <v>413</v>
      </c>
      <c r="L528" s="7" t="n">
        <f aca="false">K528/10</f>
        <v>41.3</v>
      </c>
    </row>
    <row r="529" customFormat="false" ht="15" hidden="false" customHeight="false" outlineLevel="0" collapsed="false">
      <c r="A529" s="7" t="n">
        <v>524</v>
      </c>
      <c r="B529" s="7" t="n">
        <f aca="false">A529/10</f>
        <v>52.4</v>
      </c>
      <c r="C529" s="7" t="n">
        <f aca="false">IF(AND(A529=0,c_TCREEP&gt;0),10*c_TCREEP,IF(AND(A529&lt;=c_TRNGMIN,A529&gt;=c_TRNGMAX,c_TRNGMIN-c_TRNGMAX&lt;&gt;0),-10*c_TMINRN+QUOTIENT((c_TMAXRN-c_TMINRN)*(100-QUOTIENT((A529-c_TRNGMAX)*100,c_TRNGMIN-c_TRNGMAX)),-10),0))</f>
        <v>0</v>
      </c>
      <c r="D529" s="7" t="n">
        <f aca="false">IF(((c_TMAP1IN)-(c_TFWD))=0,(0)+QUOTIENT(((c_TMAP1OUT)-(0)),2),QUOTIENT((((A529)-(c_TFWD))*((c_TMAP1OUT)-(0))+IF(((c_TMAP1OUT)-(0))&gt;=0,1,-1)*QUOTIENT(((c_TMAP1IN)-(c_TFWD)),2)),((c_TMAP1IN)-(c_TFWD)))+(0)+IF(((c_TMAP1OUT)-(0))&gt;=0,IF(IF(o_WRAP=1,MOD(((c_TMAP1IN)-(c_TFWD))*(((A529)-(c_TFWD))*((c_TMAP1OUT)-(0))+IF(((c_TMAP1OUT)-(0))&gt;=0,1,-1)*QUOTIENT(((c_TMAP1IN)-(c_TFWD)),2))+2147483648,4294967296)-2147483648,((c_TMAP1IN)-(c_TFWD))*(((A529)-(c_TFWD))*((c_TMAP1OUT)-(0))+IF(((c_TMAP1OUT)-(0))&gt;=0,1,-1)*QUOTIENT(((c_TMAP1IN)-(c_TFWD)),2)))&lt;0,-1,0),IF(IF(o_WRAP=1,MOD(((c_TMAP1IN)-(c_TFWD))*(((A529)-(c_TFWD))*((c_TMAP1OUT)-(0))+IF(((c_TMAP1OUT)-(0))&gt;=0,1,-1)*QUOTIENT(((c_TMAP1IN)-(c_TFWD)),2))+2147483648,4294967296)-2147483648,((c_TMAP1IN)-(c_TFWD))*(((A529)-(c_TFWD))*((c_TMAP1OUT)-(0))+IF(((c_TMAP1OUT)-(0))&gt;=0,1,-1)*QUOTIENT(((c_TMAP1IN)-(c_TFWD)),2)))&gt;=0,1,0)))</f>
        <v>400</v>
      </c>
      <c r="E529" s="7" t="n">
        <f aca="false">IF(((c_TMAP2IN)-(c_TMAP1IN))=0,(c_TMAP1OUT)+QUOTIENT(((c_TMAP2OUT)-(c_TMAP1OUT)),2),QUOTIENT((((A529)-(c_TMAP1IN))*((c_TMAP2OUT)-(c_TMAP1OUT))+IF(((c_TMAP2OUT)-(c_TMAP1OUT))&gt;=0,1,-1)*QUOTIENT(((c_TMAP2IN)-(c_TMAP1IN)),2)),((c_TMAP2IN)-(c_TMAP1IN)))+(c_TMAP1OUT)+IF(((c_TMAP2OUT)-(c_TMAP1OUT))&gt;=0,IF(IF(o_WRAP=1,MOD(((c_TMAP2IN)-(c_TMAP1IN))*(((A529)-(c_TMAP1IN))*((c_TMAP2OUT)-(c_TMAP1OUT))+IF(((c_TMAP2OUT)-(c_TMAP1OUT))&gt;=0,1,-1)*QUOTIENT(((c_TMAP2IN)-(c_TMAP1IN)),2))+2147483648,4294967296)-2147483648,((c_TMAP2IN)-(c_TMAP1IN))*(((A529)-(c_TMAP1IN))*((c_TMAP2OUT)-(c_TMAP1OUT))+IF(((c_TMAP2OUT)-(c_TMAP1OUT))&gt;=0,1,-1)*QUOTIENT(((c_TMAP2IN)-(c_TMAP1IN)),2)))&lt;0,-1,0),IF(IF(o_WRAP=1,MOD(((c_TMAP2IN)-(c_TMAP1IN))*(((A529)-(c_TMAP1IN))*((c_TMAP2OUT)-(c_TMAP1OUT))+IF(((c_TMAP2OUT)-(c_TMAP1OUT))&gt;=0,1,-1)*QUOTIENT(((c_TMAP2IN)-(c_TMAP1IN)),2))+2147483648,4294967296)-2147483648,((c_TMAP2IN)-(c_TMAP1IN))*(((A529)-(c_TMAP1IN))*((c_TMAP2OUT)-(c_TMAP1OUT))+IF(((c_TMAP2OUT)-(c_TMAP1OUT))&gt;=0,1,-1)*QUOTIENT(((c_TMAP2IN)-(c_TMAP1IN)),2)))&gt;=0,1,0)))</f>
        <v>240</v>
      </c>
      <c r="F529" s="7" t="n">
        <f aca="false">IF(((c_TMAP3IN)-(c_TMAP2IN))=0,(c_TMAP2OUT)+QUOTIENT(((c_TMAP3OUT)-(c_TMAP2OUT)),2),QUOTIENT((((A529)-(c_TMAP2IN))*((c_TMAP3OUT)-(c_TMAP2OUT))+IF(((c_TMAP3OUT)-(c_TMAP2OUT))&gt;=0,1,-1)*QUOTIENT(((c_TMAP3IN)-(c_TMAP2IN)),2)),((c_TMAP3IN)-(c_TMAP2IN)))+(c_TMAP2OUT)+IF(((c_TMAP3OUT)-(c_TMAP2OUT))&gt;=0,IF(IF(o_WRAP=1,MOD(((c_TMAP3IN)-(c_TMAP2IN))*(((A529)-(c_TMAP2IN))*((c_TMAP3OUT)-(c_TMAP2OUT))+IF(((c_TMAP3OUT)-(c_TMAP2OUT))&gt;=0,1,-1)*QUOTIENT(((c_TMAP3IN)-(c_TMAP2IN)),2))+2147483648,4294967296)-2147483648,((c_TMAP3IN)-(c_TMAP2IN))*(((A529)-(c_TMAP2IN))*((c_TMAP3OUT)-(c_TMAP2OUT))+IF(((c_TMAP3OUT)-(c_TMAP2OUT))&gt;=0,1,-1)*QUOTIENT(((c_TMAP3IN)-(c_TMAP2IN)),2)))&lt;0,-1,0),IF(IF(o_WRAP=1,MOD(((c_TMAP3IN)-(c_TMAP2IN))*(((A529)-(c_TMAP2IN))*((c_TMAP3OUT)-(c_TMAP2OUT))+IF(((c_TMAP3OUT)-(c_TMAP2OUT))&gt;=0,1,-1)*QUOTIENT(((c_TMAP3IN)-(c_TMAP2IN)),2))+2147483648,4294967296)-2147483648,((c_TMAP3IN)-(c_TMAP2IN))*(((A529)-(c_TMAP2IN))*((c_TMAP3OUT)-(c_TMAP2OUT))+IF(((c_TMAP3OUT)-(c_TMAP2OUT))&gt;=0,1,-1)*QUOTIENT(((c_TMAP3IN)-(c_TMAP2IN)),2)))&gt;=0,1,0)))</f>
        <v>322</v>
      </c>
      <c r="G529" s="7" t="n">
        <f aca="false">IF(((1000)-(c_TMAP3IN))=0,(c_TMAP3OUT)+QUOTIENT(((1000)-(c_TMAP3OUT)),2),QUOTIENT((((A529)-(c_TMAP3IN))*((1000)-(c_TMAP3OUT))+IF(((1000)-(c_TMAP3OUT))&gt;=0,1,-1)*QUOTIENT(((1000)-(c_TMAP3IN)),2)),((1000)-(c_TMAP3IN)))+(c_TMAP3OUT)+IF(((1000)-(c_TMAP3OUT))&gt;=0,IF(IF(o_WRAP=1,MOD(((1000)-(c_TMAP3IN))*(((A529)-(c_TMAP3IN))*((1000)-(c_TMAP3OUT))+IF(((1000)-(c_TMAP3OUT))&gt;=0,1,-1)*QUOTIENT(((1000)-(c_TMAP3IN)),2))+2147483648,4294967296)-2147483648,((1000)-(c_TMAP3IN))*(((A529)-(c_TMAP3IN))*((1000)-(c_TMAP3OUT))+IF(((1000)-(c_TMAP3OUT))&gt;=0,1,-1)*QUOTIENT(((1000)-(c_TMAP3IN)),2)))&lt;0,-1,0),IF(IF(o_WRAP=1,MOD(((1000)-(c_TMAP3IN))*(((A529)-(c_TMAP3IN))*((1000)-(c_TMAP3OUT))+IF(((1000)-(c_TMAP3OUT))&gt;=0,1,-1)*QUOTIENT(((1000)-(c_TMAP3IN)),2))+2147483648,4294967296)-2147483648,((1000)-(c_TMAP3IN))*(((A529)-(c_TMAP3IN))*((1000)-(c_TMAP3OUT))+IF(((1000)-(c_TMAP3OUT))&gt;=0,1,-1)*QUOTIENT(((1000)-(c_TMAP3IN)),2)))&gt;=0,1,0)))</f>
        <v>414</v>
      </c>
      <c r="H529" s="7" t="str">
        <f aca="false">IF(A529&gt;=c_TFWD,IF(AND(A529&gt;=c_TMAP3IN,c_TMAP3IN&lt;1000),"Seg4 map3-100%",IF(AND(A529&gt;=c_TMAP2IN,c_TMAP3IN&gt;c_TMAP2IN),"Seg3 map2-map3",IF(AND(A529&gt;=c_TMAP1IN,c_TMAP2IN&gt;c_TMAP1IN),"Seg2 map1-map2","Seg1 TFWD-map1"))),IF(AND(A529=0,c_TCREEP&gt;0),"Creep",IF(AND(A529&lt;=c_TRNGMIN,A529&gt;=c_TRNGMAX,c_TRNGMIN-c_TRNGMAX&lt;&gt;0),"Regen ramp","Coast (0)")))</f>
        <v>Seg4 map3-100%</v>
      </c>
      <c r="I529" s="7" t="n">
        <f aca="false">IF(A529&gt;=c_TFWD,IF(AND(A529&gt;=c_TMAP3IN,c_TMAP3IN&lt;1000),G529,IF(AND(A529&gt;=c_TMAP2IN,c_TMAP3IN&gt;c_TMAP2IN),F529,IF(AND(A529&gt;=c_TMAP1IN,c_TMAP2IN&gt;c_TMAP1IN),E529,D529))),C529)</f>
        <v>414</v>
      </c>
      <c r="J529" s="7" t="str">
        <f aca="false">IF(I529&lt;-1090,"TOO LOW",IF(I529&gt;1090,"TOO HIGH",""))</f>
        <v/>
      </c>
      <c r="K529" s="15" t="n">
        <f aca="false">IF(J529&lt;&gt;"",0,IF(I529&gt;979,1000,I529))</f>
        <v>414</v>
      </c>
      <c r="L529" s="7" t="n">
        <f aca="false">K529/10</f>
        <v>41.4</v>
      </c>
    </row>
    <row r="530" customFormat="false" ht="15" hidden="false" customHeight="false" outlineLevel="0" collapsed="false">
      <c r="A530" s="7" t="n">
        <v>525</v>
      </c>
      <c r="B530" s="7" t="n">
        <f aca="false">A530/10</f>
        <v>52.5</v>
      </c>
      <c r="C530" s="7" t="n">
        <f aca="false">IF(AND(A530=0,c_TCREEP&gt;0),10*c_TCREEP,IF(AND(A530&lt;=c_TRNGMIN,A530&gt;=c_TRNGMAX,c_TRNGMIN-c_TRNGMAX&lt;&gt;0),-10*c_TMINRN+QUOTIENT((c_TMAXRN-c_TMINRN)*(100-QUOTIENT((A530-c_TRNGMAX)*100,c_TRNGMIN-c_TRNGMAX)),-10),0))</f>
        <v>0</v>
      </c>
      <c r="D530" s="7" t="n">
        <f aca="false">IF(((c_TMAP1IN)-(c_TFWD))=0,(0)+QUOTIENT(((c_TMAP1OUT)-(0)),2),QUOTIENT((((A530)-(c_TFWD))*((c_TMAP1OUT)-(0))+IF(((c_TMAP1OUT)-(0))&gt;=0,1,-1)*QUOTIENT(((c_TMAP1IN)-(c_TFWD)),2)),((c_TMAP1IN)-(c_TFWD)))+(0)+IF(((c_TMAP1OUT)-(0))&gt;=0,IF(IF(o_WRAP=1,MOD(((c_TMAP1IN)-(c_TFWD))*(((A530)-(c_TFWD))*((c_TMAP1OUT)-(0))+IF(((c_TMAP1OUT)-(0))&gt;=0,1,-1)*QUOTIENT(((c_TMAP1IN)-(c_TFWD)),2))+2147483648,4294967296)-2147483648,((c_TMAP1IN)-(c_TFWD))*(((A530)-(c_TFWD))*((c_TMAP1OUT)-(0))+IF(((c_TMAP1OUT)-(0))&gt;=0,1,-1)*QUOTIENT(((c_TMAP1IN)-(c_TFWD)),2)))&lt;0,-1,0),IF(IF(o_WRAP=1,MOD(((c_TMAP1IN)-(c_TFWD))*(((A530)-(c_TFWD))*((c_TMAP1OUT)-(0))+IF(((c_TMAP1OUT)-(0))&gt;=0,1,-1)*QUOTIENT(((c_TMAP1IN)-(c_TFWD)),2))+2147483648,4294967296)-2147483648,((c_TMAP1IN)-(c_TFWD))*(((A530)-(c_TFWD))*((c_TMAP1OUT)-(0))+IF(((c_TMAP1OUT)-(0))&gt;=0,1,-1)*QUOTIENT(((c_TMAP1IN)-(c_TFWD)),2)))&gt;=0,1,0)))</f>
        <v>401</v>
      </c>
      <c r="E530" s="7" t="n">
        <f aca="false">IF(((c_TMAP2IN)-(c_TMAP1IN))=0,(c_TMAP1OUT)+QUOTIENT(((c_TMAP2OUT)-(c_TMAP1OUT)),2),QUOTIENT((((A530)-(c_TMAP1IN))*((c_TMAP2OUT)-(c_TMAP1OUT))+IF(((c_TMAP2OUT)-(c_TMAP1OUT))&gt;=0,1,-1)*QUOTIENT(((c_TMAP2IN)-(c_TMAP1IN)),2)),((c_TMAP2IN)-(c_TMAP1IN)))+(c_TMAP1OUT)+IF(((c_TMAP2OUT)-(c_TMAP1OUT))&gt;=0,IF(IF(o_WRAP=1,MOD(((c_TMAP2IN)-(c_TMAP1IN))*(((A530)-(c_TMAP1IN))*((c_TMAP2OUT)-(c_TMAP1OUT))+IF(((c_TMAP2OUT)-(c_TMAP1OUT))&gt;=0,1,-1)*QUOTIENT(((c_TMAP2IN)-(c_TMAP1IN)),2))+2147483648,4294967296)-2147483648,((c_TMAP2IN)-(c_TMAP1IN))*(((A530)-(c_TMAP1IN))*((c_TMAP2OUT)-(c_TMAP1OUT))+IF(((c_TMAP2OUT)-(c_TMAP1OUT))&gt;=0,1,-1)*QUOTIENT(((c_TMAP2IN)-(c_TMAP1IN)),2)))&lt;0,-1,0),IF(IF(o_WRAP=1,MOD(((c_TMAP2IN)-(c_TMAP1IN))*(((A530)-(c_TMAP1IN))*((c_TMAP2OUT)-(c_TMAP1OUT))+IF(((c_TMAP2OUT)-(c_TMAP1OUT))&gt;=0,1,-1)*QUOTIENT(((c_TMAP2IN)-(c_TMAP1IN)),2))+2147483648,4294967296)-2147483648,((c_TMAP2IN)-(c_TMAP1IN))*(((A530)-(c_TMAP1IN))*((c_TMAP2OUT)-(c_TMAP1OUT))+IF(((c_TMAP2OUT)-(c_TMAP1OUT))&gt;=0,1,-1)*QUOTIENT(((c_TMAP2IN)-(c_TMAP1IN)),2)))&gt;=0,1,0)))</f>
        <v>240</v>
      </c>
      <c r="F530" s="7" t="n">
        <f aca="false">IF(((c_TMAP3IN)-(c_TMAP2IN))=0,(c_TMAP2OUT)+QUOTIENT(((c_TMAP3OUT)-(c_TMAP2OUT)),2),QUOTIENT((((A530)-(c_TMAP2IN))*((c_TMAP3OUT)-(c_TMAP2OUT))+IF(((c_TMAP3OUT)-(c_TMAP2OUT))&gt;=0,1,-1)*QUOTIENT(((c_TMAP3IN)-(c_TMAP2IN)),2)),((c_TMAP3IN)-(c_TMAP2IN)))+(c_TMAP2OUT)+IF(((c_TMAP3OUT)-(c_TMAP2OUT))&gt;=0,IF(IF(o_WRAP=1,MOD(((c_TMAP3IN)-(c_TMAP2IN))*(((A530)-(c_TMAP2IN))*((c_TMAP3OUT)-(c_TMAP2OUT))+IF(((c_TMAP3OUT)-(c_TMAP2OUT))&gt;=0,1,-1)*QUOTIENT(((c_TMAP3IN)-(c_TMAP2IN)),2))+2147483648,4294967296)-2147483648,((c_TMAP3IN)-(c_TMAP2IN))*(((A530)-(c_TMAP2IN))*((c_TMAP3OUT)-(c_TMAP2OUT))+IF(((c_TMAP3OUT)-(c_TMAP2OUT))&gt;=0,1,-1)*QUOTIENT(((c_TMAP3IN)-(c_TMAP2IN)),2)))&lt;0,-1,0),IF(IF(o_WRAP=1,MOD(((c_TMAP3IN)-(c_TMAP2IN))*(((A530)-(c_TMAP2IN))*((c_TMAP3OUT)-(c_TMAP2OUT))+IF(((c_TMAP3OUT)-(c_TMAP2OUT))&gt;=0,1,-1)*QUOTIENT(((c_TMAP3IN)-(c_TMAP2IN)),2))+2147483648,4294967296)-2147483648,((c_TMAP3IN)-(c_TMAP2IN))*(((A530)-(c_TMAP2IN))*((c_TMAP3OUT)-(c_TMAP2OUT))+IF(((c_TMAP3OUT)-(c_TMAP2OUT))&gt;=0,1,-1)*QUOTIENT(((c_TMAP3IN)-(c_TMAP2IN)),2)))&gt;=0,1,0)))</f>
        <v>323</v>
      </c>
      <c r="G530" s="7" t="n">
        <f aca="false">IF(((1000)-(c_TMAP3IN))=0,(c_TMAP3OUT)+QUOTIENT(((1000)-(c_TMAP3OUT)),2),QUOTIENT((((A530)-(c_TMAP3IN))*((1000)-(c_TMAP3OUT))+IF(((1000)-(c_TMAP3OUT))&gt;=0,1,-1)*QUOTIENT(((1000)-(c_TMAP3IN)),2)),((1000)-(c_TMAP3IN)))+(c_TMAP3OUT)+IF(((1000)-(c_TMAP3OUT))&gt;=0,IF(IF(o_WRAP=1,MOD(((1000)-(c_TMAP3IN))*(((A530)-(c_TMAP3IN))*((1000)-(c_TMAP3OUT))+IF(((1000)-(c_TMAP3OUT))&gt;=0,1,-1)*QUOTIENT(((1000)-(c_TMAP3IN)),2))+2147483648,4294967296)-2147483648,((1000)-(c_TMAP3IN))*(((A530)-(c_TMAP3IN))*((1000)-(c_TMAP3OUT))+IF(((1000)-(c_TMAP3OUT))&gt;=0,1,-1)*QUOTIENT(((1000)-(c_TMAP3IN)),2)))&lt;0,-1,0),IF(IF(o_WRAP=1,MOD(((1000)-(c_TMAP3IN))*(((A530)-(c_TMAP3IN))*((1000)-(c_TMAP3OUT))+IF(((1000)-(c_TMAP3OUT))&gt;=0,1,-1)*QUOTIENT(((1000)-(c_TMAP3IN)),2))+2147483648,4294967296)-2147483648,((1000)-(c_TMAP3IN))*(((A530)-(c_TMAP3IN))*((1000)-(c_TMAP3OUT))+IF(((1000)-(c_TMAP3OUT))&gt;=0,1,-1)*QUOTIENT(((1000)-(c_TMAP3IN)),2)))&gt;=0,1,0)))</f>
        <v>415</v>
      </c>
      <c r="H530" s="7" t="str">
        <f aca="false">IF(A530&gt;=c_TFWD,IF(AND(A530&gt;=c_TMAP3IN,c_TMAP3IN&lt;1000),"Seg4 map3-100%",IF(AND(A530&gt;=c_TMAP2IN,c_TMAP3IN&gt;c_TMAP2IN),"Seg3 map2-map3",IF(AND(A530&gt;=c_TMAP1IN,c_TMAP2IN&gt;c_TMAP1IN),"Seg2 map1-map2","Seg1 TFWD-map1"))),IF(AND(A530=0,c_TCREEP&gt;0),"Creep",IF(AND(A530&lt;=c_TRNGMIN,A530&gt;=c_TRNGMAX,c_TRNGMIN-c_TRNGMAX&lt;&gt;0),"Regen ramp","Coast (0)")))</f>
        <v>Seg4 map3-100%</v>
      </c>
      <c r="I530" s="7" t="n">
        <f aca="false">IF(A530&gt;=c_TFWD,IF(AND(A530&gt;=c_TMAP3IN,c_TMAP3IN&lt;1000),G530,IF(AND(A530&gt;=c_TMAP2IN,c_TMAP3IN&gt;c_TMAP2IN),F530,IF(AND(A530&gt;=c_TMAP1IN,c_TMAP2IN&gt;c_TMAP1IN),E530,D530))),C530)</f>
        <v>415</v>
      </c>
      <c r="J530" s="7" t="str">
        <f aca="false">IF(I530&lt;-1090,"TOO LOW",IF(I530&gt;1090,"TOO HIGH",""))</f>
        <v/>
      </c>
      <c r="K530" s="15" t="n">
        <f aca="false">IF(J530&lt;&gt;"",0,IF(I530&gt;979,1000,I530))</f>
        <v>415</v>
      </c>
      <c r="L530" s="7" t="n">
        <f aca="false">K530/10</f>
        <v>41.5</v>
      </c>
    </row>
    <row r="531" customFormat="false" ht="15" hidden="false" customHeight="false" outlineLevel="0" collapsed="false">
      <c r="A531" s="7" t="n">
        <v>526</v>
      </c>
      <c r="B531" s="7" t="n">
        <f aca="false">A531/10</f>
        <v>52.6</v>
      </c>
      <c r="C531" s="7" t="n">
        <f aca="false">IF(AND(A531=0,c_TCREEP&gt;0),10*c_TCREEP,IF(AND(A531&lt;=c_TRNGMIN,A531&gt;=c_TRNGMAX,c_TRNGMIN-c_TRNGMAX&lt;&gt;0),-10*c_TMINRN+QUOTIENT((c_TMAXRN-c_TMINRN)*(100-QUOTIENT((A531-c_TRNGMAX)*100,c_TRNGMIN-c_TRNGMAX)),-10),0))</f>
        <v>0</v>
      </c>
      <c r="D531" s="7" t="n">
        <f aca="false">IF(((c_TMAP1IN)-(c_TFWD))=0,(0)+QUOTIENT(((c_TMAP1OUT)-(0)),2),QUOTIENT((((A531)-(c_TFWD))*((c_TMAP1OUT)-(0))+IF(((c_TMAP1OUT)-(0))&gt;=0,1,-1)*QUOTIENT(((c_TMAP1IN)-(c_TFWD)),2)),((c_TMAP1IN)-(c_TFWD)))+(0)+IF(((c_TMAP1OUT)-(0))&gt;=0,IF(IF(o_WRAP=1,MOD(((c_TMAP1IN)-(c_TFWD))*(((A531)-(c_TFWD))*((c_TMAP1OUT)-(0))+IF(((c_TMAP1OUT)-(0))&gt;=0,1,-1)*QUOTIENT(((c_TMAP1IN)-(c_TFWD)),2))+2147483648,4294967296)-2147483648,((c_TMAP1IN)-(c_TFWD))*(((A531)-(c_TFWD))*((c_TMAP1OUT)-(0))+IF(((c_TMAP1OUT)-(0))&gt;=0,1,-1)*QUOTIENT(((c_TMAP1IN)-(c_TFWD)),2)))&lt;0,-1,0),IF(IF(o_WRAP=1,MOD(((c_TMAP1IN)-(c_TFWD))*(((A531)-(c_TFWD))*((c_TMAP1OUT)-(0))+IF(((c_TMAP1OUT)-(0))&gt;=0,1,-1)*QUOTIENT(((c_TMAP1IN)-(c_TFWD)),2))+2147483648,4294967296)-2147483648,((c_TMAP1IN)-(c_TFWD))*(((A531)-(c_TFWD))*((c_TMAP1OUT)-(0))+IF(((c_TMAP1OUT)-(0))&gt;=0,1,-1)*QUOTIENT(((c_TMAP1IN)-(c_TFWD)),2)))&gt;=0,1,0)))</f>
        <v>401</v>
      </c>
      <c r="E531" s="7" t="n">
        <f aca="false">IF(((c_TMAP2IN)-(c_TMAP1IN))=0,(c_TMAP1OUT)+QUOTIENT(((c_TMAP2OUT)-(c_TMAP1OUT)),2),QUOTIENT((((A531)-(c_TMAP1IN))*((c_TMAP2OUT)-(c_TMAP1OUT))+IF(((c_TMAP2OUT)-(c_TMAP1OUT))&gt;=0,1,-1)*QUOTIENT(((c_TMAP2IN)-(c_TMAP1IN)),2)),((c_TMAP2IN)-(c_TMAP1IN)))+(c_TMAP1OUT)+IF(((c_TMAP2OUT)-(c_TMAP1OUT))&gt;=0,IF(IF(o_WRAP=1,MOD(((c_TMAP2IN)-(c_TMAP1IN))*(((A531)-(c_TMAP1IN))*((c_TMAP2OUT)-(c_TMAP1OUT))+IF(((c_TMAP2OUT)-(c_TMAP1OUT))&gt;=0,1,-1)*QUOTIENT(((c_TMAP2IN)-(c_TMAP1IN)),2))+2147483648,4294967296)-2147483648,((c_TMAP2IN)-(c_TMAP1IN))*(((A531)-(c_TMAP1IN))*((c_TMAP2OUT)-(c_TMAP1OUT))+IF(((c_TMAP2OUT)-(c_TMAP1OUT))&gt;=0,1,-1)*QUOTIENT(((c_TMAP2IN)-(c_TMAP1IN)),2)))&lt;0,-1,0),IF(IF(o_WRAP=1,MOD(((c_TMAP2IN)-(c_TMAP1IN))*(((A531)-(c_TMAP1IN))*((c_TMAP2OUT)-(c_TMAP1OUT))+IF(((c_TMAP2OUT)-(c_TMAP1OUT))&gt;=0,1,-1)*QUOTIENT(((c_TMAP2IN)-(c_TMAP1IN)),2))+2147483648,4294967296)-2147483648,((c_TMAP2IN)-(c_TMAP1IN))*(((A531)-(c_TMAP1IN))*((c_TMAP2OUT)-(c_TMAP1OUT))+IF(((c_TMAP2OUT)-(c_TMAP1OUT))&gt;=0,1,-1)*QUOTIENT(((c_TMAP2IN)-(c_TMAP1IN)),2)))&gt;=0,1,0)))</f>
        <v>240</v>
      </c>
      <c r="F531" s="7" t="n">
        <f aca="false">IF(((c_TMAP3IN)-(c_TMAP2IN))=0,(c_TMAP2OUT)+QUOTIENT(((c_TMAP3OUT)-(c_TMAP2OUT)),2),QUOTIENT((((A531)-(c_TMAP2IN))*((c_TMAP3OUT)-(c_TMAP2OUT))+IF(((c_TMAP3OUT)-(c_TMAP2OUT))&gt;=0,1,-1)*QUOTIENT(((c_TMAP3IN)-(c_TMAP2IN)),2)),((c_TMAP3IN)-(c_TMAP2IN)))+(c_TMAP2OUT)+IF(((c_TMAP3OUT)-(c_TMAP2OUT))&gt;=0,IF(IF(o_WRAP=1,MOD(((c_TMAP3IN)-(c_TMAP2IN))*(((A531)-(c_TMAP2IN))*((c_TMAP3OUT)-(c_TMAP2OUT))+IF(((c_TMAP3OUT)-(c_TMAP2OUT))&gt;=0,1,-1)*QUOTIENT(((c_TMAP3IN)-(c_TMAP2IN)),2))+2147483648,4294967296)-2147483648,((c_TMAP3IN)-(c_TMAP2IN))*(((A531)-(c_TMAP2IN))*((c_TMAP3OUT)-(c_TMAP2OUT))+IF(((c_TMAP3OUT)-(c_TMAP2OUT))&gt;=0,1,-1)*QUOTIENT(((c_TMAP3IN)-(c_TMAP2IN)),2)))&lt;0,-1,0),IF(IF(o_WRAP=1,MOD(((c_TMAP3IN)-(c_TMAP2IN))*(((A531)-(c_TMAP2IN))*((c_TMAP3OUT)-(c_TMAP2OUT))+IF(((c_TMAP3OUT)-(c_TMAP2OUT))&gt;=0,1,-1)*QUOTIENT(((c_TMAP3IN)-(c_TMAP2IN)),2))+2147483648,4294967296)-2147483648,((c_TMAP3IN)-(c_TMAP2IN))*(((A531)-(c_TMAP2IN))*((c_TMAP3OUT)-(c_TMAP2OUT))+IF(((c_TMAP3OUT)-(c_TMAP2OUT))&gt;=0,1,-1)*QUOTIENT(((c_TMAP3IN)-(c_TMAP2IN)),2)))&gt;=0,1,0)))</f>
        <v>323</v>
      </c>
      <c r="G531" s="7" t="n">
        <f aca="false">IF(((1000)-(c_TMAP3IN))=0,(c_TMAP3OUT)+QUOTIENT(((1000)-(c_TMAP3OUT)),2),QUOTIENT((((A531)-(c_TMAP3IN))*((1000)-(c_TMAP3OUT))+IF(((1000)-(c_TMAP3OUT))&gt;=0,1,-1)*QUOTIENT(((1000)-(c_TMAP3IN)),2)),((1000)-(c_TMAP3IN)))+(c_TMAP3OUT)+IF(((1000)-(c_TMAP3OUT))&gt;=0,IF(IF(o_WRAP=1,MOD(((1000)-(c_TMAP3IN))*(((A531)-(c_TMAP3IN))*((1000)-(c_TMAP3OUT))+IF(((1000)-(c_TMAP3OUT))&gt;=0,1,-1)*QUOTIENT(((1000)-(c_TMAP3IN)),2))+2147483648,4294967296)-2147483648,((1000)-(c_TMAP3IN))*(((A531)-(c_TMAP3IN))*((1000)-(c_TMAP3OUT))+IF(((1000)-(c_TMAP3OUT))&gt;=0,1,-1)*QUOTIENT(((1000)-(c_TMAP3IN)),2)))&lt;0,-1,0),IF(IF(o_WRAP=1,MOD(((1000)-(c_TMAP3IN))*(((A531)-(c_TMAP3IN))*((1000)-(c_TMAP3OUT))+IF(((1000)-(c_TMAP3OUT))&gt;=0,1,-1)*QUOTIENT(((1000)-(c_TMAP3IN)),2))+2147483648,4294967296)-2147483648,((1000)-(c_TMAP3IN))*(((A531)-(c_TMAP3IN))*((1000)-(c_TMAP3OUT))+IF(((1000)-(c_TMAP3OUT))&gt;=0,1,-1)*QUOTIENT(((1000)-(c_TMAP3IN)),2)))&gt;=0,1,0)))</f>
        <v>417</v>
      </c>
      <c r="H531" s="7" t="str">
        <f aca="false">IF(A531&gt;=c_TFWD,IF(AND(A531&gt;=c_TMAP3IN,c_TMAP3IN&lt;1000),"Seg4 map3-100%",IF(AND(A531&gt;=c_TMAP2IN,c_TMAP3IN&gt;c_TMAP2IN),"Seg3 map2-map3",IF(AND(A531&gt;=c_TMAP1IN,c_TMAP2IN&gt;c_TMAP1IN),"Seg2 map1-map2","Seg1 TFWD-map1"))),IF(AND(A531=0,c_TCREEP&gt;0),"Creep",IF(AND(A531&lt;=c_TRNGMIN,A531&gt;=c_TRNGMAX,c_TRNGMIN-c_TRNGMAX&lt;&gt;0),"Regen ramp","Coast (0)")))</f>
        <v>Seg4 map3-100%</v>
      </c>
      <c r="I531" s="7" t="n">
        <f aca="false">IF(A531&gt;=c_TFWD,IF(AND(A531&gt;=c_TMAP3IN,c_TMAP3IN&lt;1000),G531,IF(AND(A531&gt;=c_TMAP2IN,c_TMAP3IN&gt;c_TMAP2IN),F531,IF(AND(A531&gt;=c_TMAP1IN,c_TMAP2IN&gt;c_TMAP1IN),E531,D531))),C531)</f>
        <v>417</v>
      </c>
      <c r="J531" s="7" t="str">
        <f aca="false">IF(I531&lt;-1090,"TOO LOW",IF(I531&gt;1090,"TOO HIGH",""))</f>
        <v/>
      </c>
      <c r="K531" s="15" t="n">
        <f aca="false">IF(J531&lt;&gt;"",0,IF(I531&gt;979,1000,I531))</f>
        <v>417</v>
      </c>
      <c r="L531" s="7" t="n">
        <f aca="false">K531/10</f>
        <v>41.7</v>
      </c>
    </row>
    <row r="532" customFormat="false" ht="15" hidden="false" customHeight="false" outlineLevel="0" collapsed="false">
      <c r="A532" s="7" t="n">
        <v>527</v>
      </c>
      <c r="B532" s="7" t="n">
        <f aca="false">A532/10</f>
        <v>52.7</v>
      </c>
      <c r="C532" s="7" t="n">
        <f aca="false">IF(AND(A532=0,c_TCREEP&gt;0),10*c_TCREEP,IF(AND(A532&lt;=c_TRNGMIN,A532&gt;=c_TRNGMAX,c_TRNGMIN-c_TRNGMAX&lt;&gt;0),-10*c_TMINRN+QUOTIENT((c_TMAXRN-c_TMINRN)*(100-QUOTIENT((A532-c_TRNGMAX)*100,c_TRNGMIN-c_TRNGMAX)),-10),0))</f>
        <v>0</v>
      </c>
      <c r="D532" s="7" t="n">
        <f aca="false">IF(((c_TMAP1IN)-(c_TFWD))=0,(0)+QUOTIENT(((c_TMAP1OUT)-(0)),2),QUOTIENT((((A532)-(c_TFWD))*((c_TMAP1OUT)-(0))+IF(((c_TMAP1OUT)-(0))&gt;=0,1,-1)*QUOTIENT(((c_TMAP1IN)-(c_TFWD)),2)),((c_TMAP1IN)-(c_TFWD)))+(0)+IF(((c_TMAP1OUT)-(0))&gt;=0,IF(IF(o_WRAP=1,MOD(((c_TMAP1IN)-(c_TFWD))*(((A532)-(c_TFWD))*((c_TMAP1OUT)-(0))+IF(((c_TMAP1OUT)-(0))&gt;=0,1,-1)*QUOTIENT(((c_TMAP1IN)-(c_TFWD)),2))+2147483648,4294967296)-2147483648,((c_TMAP1IN)-(c_TFWD))*(((A532)-(c_TFWD))*((c_TMAP1OUT)-(0))+IF(((c_TMAP1OUT)-(0))&gt;=0,1,-1)*QUOTIENT(((c_TMAP1IN)-(c_TFWD)),2)))&lt;0,-1,0),IF(IF(o_WRAP=1,MOD(((c_TMAP1IN)-(c_TFWD))*(((A532)-(c_TFWD))*((c_TMAP1OUT)-(0))+IF(((c_TMAP1OUT)-(0))&gt;=0,1,-1)*QUOTIENT(((c_TMAP1IN)-(c_TFWD)),2))+2147483648,4294967296)-2147483648,((c_TMAP1IN)-(c_TFWD))*(((A532)-(c_TFWD))*((c_TMAP1OUT)-(0))+IF(((c_TMAP1OUT)-(0))&gt;=0,1,-1)*QUOTIENT(((c_TMAP1IN)-(c_TFWD)),2)))&gt;=0,1,0)))</f>
        <v>402</v>
      </c>
      <c r="E532" s="7" t="n">
        <f aca="false">IF(((c_TMAP2IN)-(c_TMAP1IN))=0,(c_TMAP1OUT)+QUOTIENT(((c_TMAP2OUT)-(c_TMAP1OUT)),2),QUOTIENT((((A532)-(c_TMAP1IN))*((c_TMAP2OUT)-(c_TMAP1OUT))+IF(((c_TMAP2OUT)-(c_TMAP1OUT))&gt;=0,1,-1)*QUOTIENT(((c_TMAP2IN)-(c_TMAP1IN)),2)),((c_TMAP2IN)-(c_TMAP1IN)))+(c_TMAP1OUT)+IF(((c_TMAP2OUT)-(c_TMAP1OUT))&gt;=0,IF(IF(o_WRAP=1,MOD(((c_TMAP2IN)-(c_TMAP1IN))*(((A532)-(c_TMAP1IN))*((c_TMAP2OUT)-(c_TMAP1OUT))+IF(((c_TMAP2OUT)-(c_TMAP1OUT))&gt;=0,1,-1)*QUOTIENT(((c_TMAP2IN)-(c_TMAP1IN)),2))+2147483648,4294967296)-2147483648,((c_TMAP2IN)-(c_TMAP1IN))*(((A532)-(c_TMAP1IN))*((c_TMAP2OUT)-(c_TMAP1OUT))+IF(((c_TMAP2OUT)-(c_TMAP1OUT))&gt;=0,1,-1)*QUOTIENT(((c_TMAP2IN)-(c_TMAP1IN)),2)))&lt;0,-1,0),IF(IF(o_WRAP=1,MOD(((c_TMAP2IN)-(c_TMAP1IN))*(((A532)-(c_TMAP1IN))*((c_TMAP2OUT)-(c_TMAP1OUT))+IF(((c_TMAP2OUT)-(c_TMAP1OUT))&gt;=0,1,-1)*QUOTIENT(((c_TMAP2IN)-(c_TMAP1IN)),2))+2147483648,4294967296)-2147483648,((c_TMAP2IN)-(c_TMAP1IN))*(((A532)-(c_TMAP1IN))*((c_TMAP2OUT)-(c_TMAP1OUT))+IF(((c_TMAP2OUT)-(c_TMAP1OUT))&gt;=0,1,-1)*QUOTIENT(((c_TMAP2IN)-(c_TMAP1IN)),2)))&gt;=0,1,0)))</f>
        <v>241</v>
      </c>
      <c r="F532" s="7" t="n">
        <f aca="false">IF(((c_TMAP3IN)-(c_TMAP2IN))=0,(c_TMAP2OUT)+QUOTIENT(((c_TMAP3OUT)-(c_TMAP2OUT)),2),QUOTIENT((((A532)-(c_TMAP2IN))*((c_TMAP3OUT)-(c_TMAP2OUT))+IF(((c_TMAP3OUT)-(c_TMAP2OUT))&gt;=0,1,-1)*QUOTIENT(((c_TMAP3IN)-(c_TMAP2IN)),2)),((c_TMAP3IN)-(c_TMAP2IN)))+(c_TMAP2OUT)+IF(((c_TMAP3OUT)-(c_TMAP2OUT))&gt;=0,IF(IF(o_WRAP=1,MOD(((c_TMAP3IN)-(c_TMAP2IN))*(((A532)-(c_TMAP2IN))*((c_TMAP3OUT)-(c_TMAP2OUT))+IF(((c_TMAP3OUT)-(c_TMAP2OUT))&gt;=0,1,-1)*QUOTIENT(((c_TMAP3IN)-(c_TMAP2IN)),2))+2147483648,4294967296)-2147483648,((c_TMAP3IN)-(c_TMAP2IN))*(((A532)-(c_TMAP2IN))*((c_TMAP3OUT)-(c_TMAP2OUT))+IF(((c_TMAP3OUT)-(c_TMAP2OUT))&gt;=0,1,-1)*QUOTIENT(((c_TMAP3IN)-(c_TMAP2IN)),2)))&lt;0,-1,0),IF(IF(o_WRAP=1,MOD(((c_TMAP3IN)-(c_TMAP2IN))*(((A532)-(c_TMAP2IN))*((c_TMAP3OUT)-(c_TMAP2OUT))+IF(((c_TMAP3OUT)-(c_TMAP2OUT))&gt;=0,1,-1)*QUOTIENT(((c_TMAP3IN)-(c_TMAP2IN)),2))+2147483648,4294967296)-2147483648,((c_TMAP3IN)-(c_TMAP2IN))*(((A532)-(c_TMAP2IN))*((c_TMAP3OUT)-(c_TMAP2OUT))+IF(((c_TMAP3OUT)-(c_TMAP2OUT))&gt;=0,1,-1)*QUOTIENT(((c_TMAP3IN)-(c_TMAP2IN)),2)))&gt;=0,1,0)))</f>
        <v>324</v>
      </c>
      <c r="G532" s="7" t="n">
        <f aca="false">IF(((1000)-(c_TMAP3IN))=0,(c_TMAP3OUT)+QUOTIENT(((1000)-(c_TMAP3OUT)),2),QUOTIENT((((A532)-(c_TMAP3IN))*((1000)-(c_TMAP3OUT))+IF(((1000)-(c_TMAP3OUT))&gt;=0,1,-1)*QUOTIENT(((1000)-(c_TMAP3IN)),2)),((1000)-(c_TMAP3IN)))+(c_TMAP3OUT)+IF(((1000)-(c_TMAP3OUT))&gt;=0,IF(IF(o_WRAP=1,MOD(((1000)-(c_TMAP3IN))*(((A532)-(c_TMAP3IN))*((1000)-(c_TMAP3OUT))+IF(((1000)-(c_TMAP3OUT))&gt;=0,1,-1)*QUOTIENT(((1000)-(c_TMAP3IN)),2))+2147483648,4294967296)-2147483648,((1000)-(c_TMAP3IN))*(((A532)-(c_TMAP3IN))*((1000)-(c_TMAP3OUT))+IF(((1000)-(c_TMAP3OUT))&gt;=0,1,-1)*QUOTIENT(((1000)-(c_TMAP3IN)),2)))&lt;0,-1,0),IF(IF(o_WRAP=1,MOD(((1000)-(c_TMAP3IN))*(((A532)-(c_TMAP3IN))*((1000)-(c_TMAP3OUT))+IF(((1000)-(c_TMAP3OUT))&gt;=0,1,-1)*QUOTIENT(((1000)-(c_TMAP3IN)),2))+2147483648,4294967296)-2147483648,((1000)-(c_TMAP3IN))*(((A532)-(c_TMAP3IN))*((1000)-(c_TMAP3OUT))+IF(((1000)-(c_TMAP3OUT))&gt;=0,1,-1)*QUOTIENT(((1000)-(c_TMAP3IN)),2)))&gt;=0,1,0)))</f>
        <v>418</v>
      </c>
      <c r="H532" s="7" t="str">
        <f aca="false">IF(A532&gt;=c_TFWD,IF(AND(A532&gt;=c_TMAP3IN,c_TMAP3IN&lt;1000),"Seg4 map3-100%",IF(AND(A532&gt;=c_TMAP2IN,c_TMAP3IN&gt;c_TMAP2IN),"Seg3 map2-map3",IF(AND(A532&gt;=c_TMAP1IN,c_TMAP2IN&gt;c_TMAP1IN),"Seg2 map1-map2","Seg1 TFWD-map1"))),IF(AND(A532=0,c_TCREEP&gt;0),"Creep",IF(AND(A532&lt;=c_TRNGMIN,A532&gt;=c_TRNGMAX,c_TRNGMIN-c_TRNGMAX&lt;&gt;0),"Regen ramp","Coast (0)")))</f>
        <v>Seg4 map3-100%</v>
      </c>
      <c r="I532" s="7" t="n">
        <f aca="false">IF(A532&gt;=c_TFWD,IF(AND(A532&gt;=c_TMAP3IN,c_TMAP3IN&lt;1000),G532,IF(AND(A532&gt;=c_TMAP2IN,c_TMAP3IN&gt;c_TMAP2IN),F532,IF(AND(A532&gt;=c_TMAP1IN,c_TMAP2IN&gt;c_TMAP1IN),E532,D532))),C532)</f>
        <v>418</v>
      </c>
      <c r="J532" s="7" t="str">
        <f aca="false">IF(I532&lt;-1090,"TOO LOW",IF(I532&gt;1090,"TOO HIGH",""))</f>
        <v/>
      </c>
      <c r="K532" s="15" t="n">
        <f aca="false">IF(J532&lt;&gt;"",0,IF(I532&gt;979,1000,I532))</f>
        <v>418</v>
      </c>
      <c r="L532" s="7" t="n">
        <f aca="false">K532/10</f>
        <v>41.8</v>
      </c>
    </row>
    <row r="533" customFormat="false" ht="15" hidden="false" customHeight="false" outlineLevel="0" collapsed="false">
      <c r="A533" s="7" t="n">
        <v>528</v>
      </c>
      <c r="B533" s="7" t="n">
        <f aca="false">A533/10</f>
        <v>52.8</v>
      </c>
      <c r="C533" s="7" t="n">
        <f aca="false">IF(AND(A533=0,c_TCREEP&gt;0),10*c_TCREEP,IF(AND(A533&lt;=c_TRNGMIN,A533&gt;=c_TRNGMAX,c_TRNGMIN-c_TRNGMAX&lt;&gt;0),-10*c_TMINRN+QUOTIENT((c_TMAXRN-c_TMINRN)*(100-QUOTIENT((A533-c_TRNGMAX)*100,c_TRNGMIN-c_TRNGMAX)),-10),0))</f>
        <v>0</v>
      </c>
      <c r="D533" s="7" t="n">
        <f aca="false">IF(((c_TMAP1IN)-(c_TFWD))=0,(0)+QUOTIENT(((c_TMAP1OUT)-(0)),2),QUOTIENT((((A533)-(c_TFWD))*((c_TMAP1OUT)-(0))+IF(((c_TMAP1OUT)-(0))&gt;=0,1,-1)*QUOTIENT(((c_TMAP1IN)-(c_TFWD)),2)),((c_TMAP1IN)-(c_TFWD)))+(0)+IF(((c_TMAP1OUT)-(0))&gt;=0,IF(IF(o_WRAP=1,MOD(((c_TMAP1IN)-(c_TFWD))*(((A533)-(c_TFWD))*((c_TMAP1OUT)-(0))+IF(((c_TMAP1OUT)-(0))&gt;=0,1,-1)*QUOTIENT(((c_TMAP1IN)-(c_TFWD)),2))+2147483648,4294967296)-2147483648,((c_TMAP1IN)-(c_TFWD))*(((A533)-(c_TFWD))*((c_TMAP1OUT)-(0))+IF(((c_TMAP1OUT)-(0))&gt;=0,1,-1)*QUOTIENT(((c_TMAP1IN)-(c_TFWD)),2)))&lt;0,-1,0),IF(IF(o_WRAP=1,MOD(((c_TMAP1IN)-(c_TFWD))*(((A533)-(c_TFWD))*((c_TMAP1OUT)-(0))+IF(((c_TMAP1OUT)-(0))&gt;=0,1,-1)*QUOTIENT(((c_TMAP1IN)-(c_TFWD)),2))+2147483648,4294967296)-2147483648,((c_TMAP1IN)-(c_TFWD))*(((A533)-(c_TFWD))*((c_TMAP1OUT)-(0))+IF(((c_TMAP1OUT)-(0))&gt;=0,1,-1)*QUOTIENT(((c_TMAP1IN)-(c_TFWD)),2)))&gt;=0,1,0)))</f>
        <v>403</v>
      </c>
      <c r="E533" s="7" t="n">
        <f aca="false">IF(((c_TMAP2IN)-(c_TMAP1IN))=0,(c_TMAP1OUT)+QUOTIENT(((c_TMAP2OUT)-(c_TMAP1OUT)),2),QUOTIENT((((A533)-(c_TMAP1IN))*((c_TMAP2OUT)-(c_TMAP1OUT))+IF(((c_TMAP2OUT)-(c_TMAP1OUT))&gt;=0,1,-1)*QUOTIENT(((c_TMAP2IN)-(c_TMAP1IN)),2)),((c_TMAP2IN)-(c_TMAP1IN)))+(c_TMAP1OUT)+IF(((c_TMAP2OUT)-(c_TMAP1OUT))&gt;=0,IF(IF(o_WRAP=1,MOD(((c_TMAP2IN)-(c_TMAP1IN))*(((A533)-(c_TMAP1IN))*((c_TMAP2OUT)-(c_TMAP1OUT))+IF(((c_TMAP2OUT)-(c_TMAP1OUT))&gt;=0,1,-1)*QUOTIENT(((c_TMAP2IN)-(c_TMAP1IN)),2))+2147483648,4294967296)-2147483648,((c_TMAP2IN)-(c_TMAP1IN))*(((A533)-(c_TMAP1IN))*((c_TMAP2OUT)-(c_TMAP1OUT))+IF(((c_TMAP2OUT)-(c_TMAP1OUT))&gt;=0,1,-1)*QUOTIENT(((c_TMAP2IN)-(c_TMAP1IN)),2)))&lt;0,-1,0),IF(IF(o_WRAP=1,MOD(((c_TMAP2IN)-(c_TMAP1IN))*(((A533)-(c_TMAP1IN))*((c_TMAP2OUT)-(c_TMAP1OUT))+IF(((c_TMAP2OUT)-(c_TMAP1OUT))&gt;=0,1,-1)*QUOTIENT(((c_TMAP2IN)-(c_TMAP1IN)),2))+2147483648,4294967296)-2147483648,((c_TMAP2IN)-(c_TMAP1IN))*(((A533)-(c_TMAP1IN))*((c_TMAP2OUT)-(c_TMAP1OUT))+IF(((c_TMAP2OUT)-(c_TMAP1OUT))&gt;=0,1,-1)*QUOTIENT(((c_TMAP2IN)-(c_TMAP1IN)),2)))&gt;=0,1,0)))</f>
        <v>241</v>
      </c>
      <c r="F533" s="7" t="n">
        <f aca="false">IF(((c_TMAP3IN)-(c_TMAP2IN))=0,(c_TMAP2OUT)+QUOTIENT(((c_TMAP3OUT)-(c_TMAP2OUT)),2),QUOTIENT((((A533)-(c_TMAP2IN))*((c_TMAP3OUT)-(c_TMAP2OUT))+IF(((c_TMAP3OUT)-(c_TMAP2OUT))&gt;=0,1,-1)*QUOTIENT(((c_TMAP3IN)-(c_TMAP2IN)),2)),((c_TMAP3IN)-(c_TMAP2IN)))+(c_TMAP2OUT)+IF(((c_TMAP3OUT)-(c_TMAP2OUT))&gt;=0,IF(IF(o_WRAP=1,MOD(((c_TMAP3IN)-(c_TMAP2IN))*(((A533)-(c_TMAP2IN))*((c_TMAP3OUT)-(c_TMAP2OUT))+IF(((c_TMAP3OUT)-(c_TMAP2OUT))&gt;=0,1,-1)*QUOTIENT(((c_TMAP3IN)-(c_TMAP2IN)),2))+2147483648,4294967296)-2147483648,((c_TMAP3IN)-(c_TMAP2IN))*(((A533)-(c_TMAP2IN))*((c_TMAP3OUT)-(c_TMAP2OUT))+IF(((c_TMAP3OUT)-(c_TMAP2OUT))&gt;=0,1,-1)*QUOTIENT(((c_TMAP3IN)-(c_TMAP2IN)),2)))&lt;0,-1,0),IF(IF(o_WRAP=1,MOD(((c_TMAP3IN)-(c_TMAP2IN))*(((A533)-(c_TMAP2IN))*((c_TMAP3OUT)-(c_TMAP2OUT))+IF(((c_TMAP3OUT)-(c_TMAP2OUT))&gt;=0,1,-1)*QUOTIENT(((c_TMAP3IN)-(c_TMAP2IN)),2))+2147483648,4294967296)-2147483648,((c_TMAP3IN)-(c_TMAP2IN))*(((A533)-(c_TMAP2IN))*((c_TMAP3OUT)-(c_TMAP2OUT))+IF(((c_TMAP3OUT)-(c_TMAP2OUT))&gt;=0,1,-1)*QUOTIENT(((c_TMAP3IN)-(c_TMAP2IN)),2)))&gt;=0,1,0)))</f>
        <v>325</v>
      </c>
      <c r="G533" s="7" t="n">
        <f aca="false">IF(((1000)-(c_TMAP3IN))=0,(c_TMAP3OUT)+QUOTIENT(((1000)-(c_TMAP3OUT)),2),QUOTIENT((((A533)-(c_TMAP3IN))*((1000)-(c_TMAP3OUT))+IF(((1000)-(c_TMAP3OUT))&gt;=0,1,-1)*QUOTIENT(((1000)-(c_TMAP3IN)),2)),((1000)-(c_TMAP3IN)))+(c_TMAP3OUT)+IF(((1000)-(c_TMAP3OUT))&gt;=0,IF(IF(o_WRAP=1,MOD(((1000)-(c_TMAP3IN))*(((A533)-(c_TMAP3IN))*((1000)-(c_TMAP3OUT))+IF(((1000)-(c_TMAP3OUT))&gt;=0,1,-1)*QUOTIENT(((1000)-(c_TMAP3IN)),2))+2147483648,4294967296)-2147483648,((1000)-(c_TMAP3IN))*(((A533)-(c_TMAP3IN))*((1000)-(c_TMAP3OUT))+IF(((1000)-(c_TMAP3OUT))&gt;=0,1,-1)*QUOTIENT(((1000)-(c_TMAP3IN)),2)))&lt;0,-1,0),IF(IF(o_WRAP=1,MOD(((1000)-(c_TMAP3IN))*(((A533)-(c_TMAP3IN))*((1000)-(c_TMAP3OUT))+IF(((1000)-(c_TMAP3OUT))&gt;=0,1,-1)*QUOTIENT(((1000)-(c_TMAP3IN)),2))+2147483648,4294967296)-2147483648,((1000)-(c_TMAP3IN))*(((A533)-(c_TMAP3IN))*((1000)-(c_TMAP3OUT))+IF(((1000)-(c_TMAP3OUT))&gt;=0,1,-1)*QUOTIENT(((1000)-(c_TMAP3IN)),2)))&gt;=0,1,0)))</f>
        <v>419</v>
      </c>
      <c r="H533" s="7" t="str">
        <f aca="false">IF(A533&gt;=c_TFWD,IF(AND(A533&gt;=c_TMAP3IN,c_TMAP3IN&lt;1000),"Seg4 map3-100%",IF(AND(A533&gt;=c_TMAP2IN,c_TMAP3IN&gt;c_TMAP2IN),"Seg3 map2-map3",IF(AND(A533&gt;=c_TMAP1IN,c_TMAP2IN&gt;c_TMAP1IN),"Seg2 map1-map2","Seg1 TFWD-map1"))),IF(AND(A533=0,c_TCREEP&gt;0),"Creep",IF(AND(A533&lt;=c_TRNGMIN,A533&gt;=c_TRNGMAX,c_TRNGMIN-c_TRNGMAX&lt;&gt;0),"Regen ramp","Coast (0)")))</f>
        <v>Seg4 map3-100%</v>
      </c>
      <c r="I533" s="7" t="n">
        <f aca="false">IF(A533&gt;=c_TFWD,IF(AND(A533&gt;=c_TMAP3IN,c_TMAP3IN&lt;1000),G533,IF(AND(A533&gt;=c_TMAP2IN,c_TMAP3IN&gt;c_TMAP2IN),F533,IF(AND(A533&gt;=c_TMAP1IN,c_TMAP2IN&gt;c_TMAP1IN),E533,D533))),C533)</f>
        <v>419</v>
      </c>
      <c r="J533" s="7" t="str">
        <f aca="false">IF(I533&lt;-1090,"TOO LOW",IF(I533&gt;1090,"TOO HIGH",""))</f>
        <v/>
      </c>
      <c r="K533" s="15" t="n">
        <f aca="false">IF(J533&lt;&gt;"",0,IF(I533&gt;979,1000,I533))</f>
        <v>419</v>
      </c>
      <c r="L533" s="7" t="n">
        <f aca="false">K533/10</f>
        <v>41.9</v>
      </c>
    </row>
    <row r="534" customFormat="false" ht="15" hidden="false" customHeight="false" outlineLevel="0" collapsed="false">
      <c r="A534" s="7" t="n">
        <v>529</v>
      </c>
      <c r="B534" s="7" t="n">
        <f aca="false">A534/10</f>
        <v>52.9</v>
      </c>
      <c r="C534" s="7" t="n">
        <f aca="false">IF(AND(A534=0,c_TCREEP&gt;0),10*c_TCREEP,IF(AND(A534&lt;=c_TRNGMIN,A534&gt;=c_TRNGMAX,c_TRNGMIN-c_TRNGMAX&lt;&gt;0),-10*c_TMINRN+QUOTIENT((c_TMAXRN-c_TMINRN)*(100-QUOTIENT((A534-c_TRNGMAX)*100,c_TRNGMIN-c_TRNGMAX)),-10),0))</f>
        <v>0</v>
      </c>
      <c r="D534" s="7" t="n">
        <f aca="false">IF(((c_TMAP1IN)-(c_TFWD))=0,(0)+QUOTIENT(((c_TMAP1OUT)-(0)),2),QUOTIENT((((A534)-(c_TFWD))*((c_TMAP1OUT)-(0))+IF(((c_TMAP1OUT)-(0))&gt;=0,1,-1)*QUOTIENT(((c_TMAP1IN)-(c_TFWD)),2)),((c_TMAP1IN)-(c_TFWD)))+(0)+IF(((c_TMAP1OUT)-(0))&gt;=0,IF(IF(o_WRAP=1,MOD(((c_TMAP1IN)-(c_TFWD))*(((A534)-(c_TFWD))*((c_TMAP1OUT)-(0))+IF(((c_TMAP1OUT)-(0))&gt;=0,1,-1)*QUOTIENT(((c_TMAP1IN)-(c_TFWD)),2))+2147483648,4294967296)-2147483648,((c_TMAP1IN)-(c_TFWD))*(((A534)-(c_TFWD))*((c_TMAP1OUT)-(0))+IF(((c_TMAP1OUT)-(0))&gt;=0,1,-1)*QUOTIENT(((c_TMAP1IN)-(c_TFWD)),2)))&lt;0,-1,0),IF(IF(o_WRAP=1,MOD(((c_TMAP1IN)-(c_TFWD))*(((A534)-(c_TFWD))*((c_TMAP1OUT)-(0))+IF(((c_TMAP1OUT)-(0))&gt;=0,1,-1)*QUOTIENT(((c_TMAP1IN)-(c_TFWD)),2))+2147483648,4294967296)-2147483648,((c_TMAP1IN)-(c_TFWD))*(((A534)-(c_TFWD))*((c_TMAP1OUT)-(0))+IF(((c_TMAP1OUT)-(0))&gt;=0,1,-1)*QUOTIENT(((c_TMAP1IN)-(c_TFWD)),2)))&gt;=0,1,0)))</f>
        <v>404</v>
      </c>
      <c r="E534" s="7" t="n">
        <f aca="false">IF(((c_TMAP2IN)-(c_TMAP1IN))=0,(c_TMAP1OUT)+QUOTIENT(((c_TMAP2OUT)-(c_TMAP1OUT)),2),QUOTIENT((((A534)-(c_TMAP1IN))*((c_TMAP2OUT)-(c_TMAP1OUT))+IF(((c_TMAP2OUT)-(c_TMAP1OUT))&gt;=0,1,-1)*QUOTIENT(((c_TMAP2IN)-(c_TMAP1IN)),2)),((c_TMAP2IN)-(c_TMAP1IN)))+(c_TMAP1OUT)+IF(((c_TMAP2OUT)-(c_TMAP1OUT))&gt;=0,IF(IF(o_WRAP=1,MOD(((c_TMAP2IN)-(c_TMAP1IN))*(((A534)-(c_TMAP1IN))*((c_TMAP2OUT)-(c_TMAP1OUT))+IF(((c_TMAP2OUT)-(c_TMAP1OUT))&gt;=0,1,-1)*QUOTIENT(((c_TMAP2IN)-(c_TMAP1IN)),2))+2147483648,4294967296)-2147483648,((c_TMAP2IN)-(c_TMAP1IN))*(((A534)-(c_TMAP1IN))*((c_TMAP2OUT)-(c_TMAP1OUT))+IF(((c_TMAP2OUT)-(c_TMAP1OUT))&gt;=0,1,-1)*QUOTIENT(((c_TMAP2IN)-(c_TMAP1IN)),2)))&lt;0,-1,0),IF(IF(o_WRAP=1,MOD(((c_TMAP2IN)-(c_TMAP1IN))*(((A534)-(c_TMAP1IN))*((c_TMAP2OUT)-(c_TMAP1OUT))+IF(((c_TMAP2OUT)-(c_TMAP1OUT))&gt;=0,1,-1)*QUOTIENT(((c_TMAP2IN)-(c_TMAP1IN)),2))+2147483648,4294967296)-2147483648,((c_TMAP2IN)-(c_TMAP1IN))*(((A534)-(c_TMAP1IN))*((c_TMAP2OUT)-(c_TMAP1OUT))+IF(((c_TMAP2OUT)-(c_TMAP1OUT))&gt;=0,1,-1)*QUOTIENT(((c_TMAP2IN)-(c_TMAP1IN)),2)))&gt;=0,1,0)))</f>
        <v>242</v>
      </c>
      <c r="F534" s="7" t="n">
        <f aca="false">IF(((c_TMAP3IN)-(c_TMAP2IN))=0,(c_TMAP2OUT)+QUOTIENT(((c_TMAP3OUT)-(c_TMAP2OUT)),2),QUOTIENT((((A534)-(c_TMAP2IN))*((c_TMAP3OUT)-(c_TMAP2OUT))+IF(((c_TMAP3OUT)-(c_TMAP2OUT))&gt;=0,1,-1)*QUOTIENT(((c_TMAP3IN)-(c_TMAP2IN)),2)),((c_TMAP3IN)-(c_TMAP2IN)))+(c_TMAP2OUT)+IF(((c_TMAP3OUT)-(c_TMAP2OUT))&gt;=0,IF(IF(o_WRAP=1,MOD(((c_TMAP3IN)-(c_TMAP2IN))*(((A534)-(c_TMAP2IN))*((c_TMAP3OUT)-(c_TMAP2OUT))+IF(((c_TMAP3OUT)-(c_TMAP2OUT))&gt;=0,1,-1)*QUOTIENT(((c_TMAP3IN)-(c_TMAP2IN)),2))+2147483648,4294967296)-2147483648,((c_TMAP3IN)-(c_TMAP2IN))*(((A534)-(c_TMAP2IN))*((c_TMAP3OUT)-(c_TMAP2OUT))+IF(((c_TMAP3OUT)-(c_TMAP2OUT))&gt;=0,1,-1)*QUOTIENT(((c_TMAP3IN)-(c_TMAP2IN)),2)))&lt;0,-1,0),IF(IF(o_WRAP=1,MOD(((c_TMAP3IN)-(c_TMAP2IN))*(((A534)-(c_TMAP2IN))*((c_TMAP3OUT)-(c_TMAP2OUT))+IF(((c_TMAP3OUT)-(c_TMAP2OUT))&gt;=0,1,-1)*QUOTIENT(((c_TMAP3IN)-(c_TMAP2IN)),2))+2147483648,4294967296)-2147483648,((c_TMAP3IN)-(c_TMAP2IN))*(((A534)-(c_TMAP2IN))*((c_TMAP3OUT)-(c_TMAP2OUT))+IF(((c_TMAP3OUT)-(c_TMAP2OUT))&gt;=0,1,-1)*QUOTIENT(((c_TMAP3IN)-(c_TMAP2IN)),2)))&gt;=0,1,0)))</f>
        <v>325</v>
      </c>
      <c r="G534" s="7" t="n">
        <f aca="false">IF(((1000)-(c_TMAP3IN))=0,(c_TMAP3OUT)+QUOTIENT(((1000)-(c_TMAP3OUT)),2),QUOTIENT((((A534)-(c_TMAP3IN))*((1000)-(c_TMAP3OUT))+IF(((1000)-(c_TMAP3OUT))&gt;=0,1,-1)*QUOTIENT(((1000)-(c_TMAP3IN)),2)),((1000)-(c_TMAP3IN)))+(c_TMAP3OUT)+IF(((1000)-(c_TMAP3OUT))&gt;=0,IF(IF(o_WRAP=1,MOD(((1000)-(c_TMAP3IN))*(((A534)-(c_TMAP3IN))*((1000)-(c_TMAP3OUT))+IF(((1000)-(c_TMAP3OUT))&gt;=0,1,-1)*QUOTIENT(((1000)-(c_TMAP3IN)),2))+2147483648,4294967296)-2147483648,((1000)-(c_TMAP3IN))*(((A534)-(c_TMAP3IN))*((1000)-(c_TMAP3OUT))+IF(((1000)-(c_TMAP3OUT))&gt;=0,1,-1)*QUOTIENT(((1000)-(c_TMAP3IN)),2)))&lt;0,-1,0),IF(IF(o_WRAP=1,MOD(((1000)-(c_TMAP3IN))*(((A534)-(c_TMAP3IN))*((1000)-(c_TMAP3OUT))+IF(((1000)-(c_TMAP3OUT))&gt;=0,1,-1)*QUOTIENT(((1000)-(c_TMAP3IN)),2))+2147483648,4294967296)-2147483648,((1000)-(c_TMAP3IN))*(((A534)-(c_TMAP3IN))*((1000)-(c_TMAP3OUT))+IF(((1000)-(c_TMAP3OUT))&gt;=0,1,-1)*QUOTIENT(((1000)-(c_TMAP3IN)),2)))&gt;=0,1,0)))</f>
        <v>420</v>
      </c>
      <c r="H534" s="7" t="str">
        <f aca="false">IF(A534&gt;=c_TFWD,IF(AND(A534&gt;=c_TMAP3IN,c_TMAP3IN&lt;1000),"Seg4 map3-100%",IF(AND(A534&gt;=c_TMAP2IN,c_TMAP3IN&gt;c_TMAP2IN),"Seg3 map2-map3",IF(AND(A534&gt;=c_TMAP1IN,c_TMAP2IN&gt;c_TMAP1IN),"Seg2 map1-map2","Seg1 TFWD-map1"))),IF(AND(A534=0,c_TCREEP&gt;0),"Creep",IF(AND(A534&lt;=c_TRNGMIN,A534&gt;=c_TRNGMAX,c_TRNGMIN-c_TRNGMAX&lt;&gt;0),"Regen ramp","Coast (0)")))</f>
        <v>Seg4 map3-100%</v>
      </c>
      <c r="I534" s="7" t="n">
        <f aca="false">IF(A534&gt;=c_TFWD,IF(AND(A534&gt;=c_TMAP3IN,c_TMAP3IN&lt;1000),G534,IF(AND(A534&gt;=c_TMAP2IN,c_TMAP3IN&gt;c_TMAP2IN),F534,IF(AND(A534&gt;=c_TMAP1IN,c_TMAP2IN&gt;c_TMAP1IN),E534,D534))),C534)</f>
        <v>420</v>
      </c>
      <c r="J534" s="7" t="str">
        <f aca="false">IF(I534&lt;-1090,"TOO LOW",IF(I534&gt;1090,"TOO HIGH",""))</f>
        <v/>
      </c>
      <c r="K534" s="15" t="n">
        <f aca="false">IF(J534&lt;&gt;"",0,IF(I534&gt;979,1000,I534))</f>
        <v>420</v>
      </c>
      <c r="L534" s="7" t="n">
        <f aca="false">K534/10</f>
        <v>42</v>
      </c>
    </row>
    <row r="535" customFormat="false" ht="15" hidden="false" customHeight="false" outlineLevel="0" collapsed="false">
      <c r="A535" s="7" t="n">
        <v>530</v>
      </c>
      <c r="B535" s="7" t="n">
        <f aca="false">A535/10</f>
        <v>53</v>
      </c>
      <c r="C535" s="7" t="n">
        <f aca="false">IF(AND(A535=0,c_TCREEP&gt;0),10*c_TCREEP,IF(AND(A535&lt;=c_TRNGMIN,A535&gt;=c_TRNGMAX,c_TRNGMIN-c_TRNGMAX&lt;&gt;0),-10*c_TMINRN+QUOTIENT((c_TMAXRN-c_TMINRN)*(100-QUOTIENT((A535-c_TRNGMAX)*100,c_TRNGMIN-c_TRNGMAX)),-10),0))</f>
        <v>0</v>
      </c>
      <c r="D535" s="7" t="n">
        <f aca="false">IF(((c_TMAP1IN)-(c_TFWD))=0,(0)+QUOTIENT(((c_TMAP1OUT)-(0)),2),QUOTIENT((((A535)-(c_TFWD))*((c_TMAP1OUT)-(0))+IF(((c_TMAP1OUT)-(0))&gt;=0,1,-1)*QUOTIENT(((c_TMAP1IN)-(c_TFWD)),2)),((c_TMAP1IN)-(c_TFWD)))+(0)+IF(((c_TMAP1OUT)-(0))&gt;=0,IF(IF(o_WRAP=1,MOD(((c_TMAP1IN)-(c_TFWD))*(((A535)-(c_TFWD))*((c_TMAP1OUT)-(0))+IF(((c_TMAP1OUT)-(0))&gt;=0,1,-1)*QUOTIENT(((c_TMAP1IN)-(c_TFWD)),2))+2147483648,4294967296)-2147483648,((c_TMAP1IN)-(c_TFWD))*(((A535)-(c_TFWD))*((c_TMAP1OUT)-(0))+IF(((c_TMAP1OUT)-(0))&gt;=0,1,-1)*QUOTIENT(((c_TMAP1IN)-(c_TFWD)),2)))&lt;0,-1,0),IF(IF(o_WRAP=1,MOD(((c_TMAP1IN)-(c_TFWD))*(((A535)-(c_TFWD))*((c_TMAP1OUT)-(0))+IF(((c_TMAP1OUT)-(0))&gt;=0,1,-1)*QUOTIENT(((c_TMAP1IN)-(c_TFWD)),2))+2147483648,4294967296)-2147483648,((c_TMAP1IN)-(c_TFWD))*(((A535)-(c_TFWD))*((c_TMAP1OUT)-(0))+IF(((c_TMAP1OUT)-(0))&gt;=0,1,-1)*QUOTIENT(((c_TMAP1IN)-(c_TFWD)),2)))&gt;=0,1,0)))</f>
        <v>404</v>
      </c>
      <c r="E535" s="7" t="n">
        <f aca="false">IF(((c_TMAP2IN)-(c_TMAP1IN))=0,(c_TMAP1OUT)+QUOTIENT(((c_TMAP2OUT)-(c_TMAP1OUT)),2),QUOTIENT((((A535)-(c_TMAP1IN))*((c_TMAP2OUT)-(c_TMAP1OUT))+IF(((c_TMAP2OUT)-(c_TMAP1OUT))&gt;=0,1,-1)*QUOTIENT(((c_TMAP2IN)-(c_TMAP1IN)),2)),((c_TMAP2IN)-(c_TMAP1IN)))+(c_TMAP1OUT)+IF(((c_TMAP2OUT)-(c_TMAP1OUT))&gt;=0,IF(IF(o_WRAP=1,MOD(((c_TMAP2IN)-(c_TMAP1IN))*(((A535)-(c_TMAP1IN))*((c_TMAP2OUT)-(c_TMAP1OUT))+IF(((c_TMAP2OUT)-(c_TMAP1OUT))&gt;=0,1,-1)*QUOTIENT(((c_TMAP2IN)-(c_TMAP1IN)),2))+2147483648,4294967296)-2147483648,((c_TMAP2IN)-(c_TMAP1IN))*(((A535)-(c_TMAP1IN))*((c_TMAP2OUT)-(c_TMAP1OUT))+IF(((c_TMAP2OUT)-(c_TMAP1OUT))&gt;=0,1,-1)*QUOTIENT(((c_TMAP2IN)-(c_TMAP1IN)),2)))&lt;0,-1,0),IF(IF(o_WRAP=1,MOD(((c_TMAP2IN)-(c_TMAP1IN))*(((A535)-(c_TMAP1IN))*((c_TMAP2OUT)-(c_TMAP1OUT))+IF(((c_TMAP2OUT)-(c_TMAP1OUT))&gt;=0,1,-1)*QUOTIENT(((c_TMAP2IN)-(c_TMAP1IN)),2))+2147483648,4294967296)-2147483648,((c_TMAP2IN)-(c_TMAP1IN))*(((A535)-(c_TMAP1IN))*((c_TMAP2OUT)-(c_TMAP1OUT))+IF(((c_TMAP2OUT)-(c_TMAP1OUT))&gt;=0,1,-1)*QUOTIENT(((c_TMAP2IN)-(c_TMAP1IN)),2)))&gt;=0,1,0)))</f>
        <v>242</v>
      </c>
      <c r="F535" s="7" t="n">
        <f aca="false">IF(((c_TMAP3IN)-(c_TMAP2IN))=0,(c_TMAP2OUT)+QUOTIENT(((c_TMAP3OUT)-(c_TMAP2OUT)),2),QUOTIENT((((A535)-(c_TMAP2IN))*((c_TMAP3OUT)-(c_TMAP2OUT))+IF(((c_TMAP3OUT)-(c_TMAP2OUT))&gt;=0,1,-1)*QUOTIENT(((c_TMAP3IN)-(c_TMAP2IN)),2)),((c_TMAP3IN)-(c_TMAP2IN)))+(c_TMAP2OUT)+IF(((c_TMAP3OUT)-(c_TMAP2OUT))&gt;=0,IF(IF(o_WRAP=1,MOD(((c_TMAP3IN)-(c_TMAP2IN))*(((A535)-(c_TMAP2IN))*((c_TMAP3OUT)-(c_TMAP2OUT))+IF(((c_TMAP3OUT)-(c_TMAP2OUT))&gt;=0,1,-1)*QUOTIENT(((c_TMAP3IN)-(c_TMAP2IN)),2))+2147483648,4294967296)-2147483648,((c_TMAP3IN)-(c_TMAP2IN))*(((A535)-(c_TMAP2IN))*((c_TMAP3OUT)-(c_TMAP2OUT))+IF(((c_TMAP3OUT)-(c_TMAP2OUT))&gt;=0,1,-1)*QUOTIENT(((c_TMAP3IN)-(c_TMAP2IN)),2)))&lt;0,-1,0),IF(IF(o_WRAP=1,MOD(((c_TMAP3IN)-(c_TMAP2IN))*(((A535)-(c_TMAP2IN))*((c_TMAP3OUT)-(c_TMAP2OUT))+IF(((c_TMAP3OUT)-(c_TMAP2OUT))&gt;=0,1,-1)*QUOTIENT(((c_TMAP3IN)-(c_TMAP2IN)),2))+2147483648,4294967296)-2147483648,((c_TMAP3IN)-(c_TMAP2IN))*(((A535)-(c_TMAP2IN))*((c_TMAP3OUT)-(c_TMAP2OUT))+IF(((c_TMAP3OUT)-(c_TMAP2OUT))&gt;=0,1,-1)*QUOTIENT(((c_TMAP3IN)-(c_TMAP2IN)),2)))&gt;=0,1,0)))</f>
        <v>326</v>
      </c>
      <c r="G535" s="7" t="n">
        <f aca="false">IF(((1000)-(c_TMAP3IN))=0,(c_TMAP3OUT)+QUOTIENT(((1000)-(c_TMAP3OUT)),2),QUOTIENT((((A535)-(c_TMAP3IN))*((1000)-(c_TMAP3OUT))+IF(((1000)-(c_TMAP3OUT))&gt;=0,1,-1)*QUOTIENT(((1000)-(c_TMAP3IN)),2)),((1000)-(c_TMAP3IN)))+(c_TMAP3OUT)+IF(((1000)-(c_TMAP3OUT))&gt;=0,IF(IF(o_WRAP=1,MOD(((1000)-(c_TMAP3IN))*(((A535)-(c_TMAP3IN))*((1000)-(c_TMAP3OUT))+IF(((1000)-(c_TMAP3OUT))&gt;=0,1,-1)*QUOTIENT(((1000)-(c_TMAP3IN)),2))+2147483648,4294967296)-2147483648,((1000)-(c_TMAP3IN))*(((A535)-(c_TMAP3IN))*((1000)-(c_TMAP3OUT))+IF(((1000)-(c_TMAP3OUT))&gt;=0,1,-1)*QUOTIENT(((1000)-(c_TMAP3IN)),2)))&lt;0,-1,0),IF(IF(o_WRAP=1,MOD(((1000)-(c_TMAP3IN))*(((A535)-(c_TMAP3IN))*((1000)-(c_TMAP3OUT))+IF(((1000)-(c_TMAP3OUT))&gt;=0,1,-1)*QUOTIENT(((1000)-(c_TMAP3IN)),2))+2147483648,4294967296)-2147483648,((1000)-(c_TMAP3IN))*(((A535)-(c_TMAP3IN))*((1000)-(c_TMAP3OUT))+IF(((1000)-(c_TMAP3OUT))&gt;=0,1,-1)*QUOTIENT(((1000)-(c_TMAP3IN)),2)))&gt;=0,1,0)))</f>
        <v>422</v>
      </c>
      <c r="H535" s="7" t="str">
        <f aca="false">IF(A535&gt;=c_TFWD,IF(AND(A535&gt;=c_TMAP3IN,c_TMAP3IN&lt;1000),"Seg4 map3-100%",IF(AND(A535&gt;=c_TMAP2IN,c_TMAP3IN&gt;c_TMAP2IN),"Seg3 map2-map3",IF(AND(A535&gt;=c_TMAP1IN,c_TMAP2IN&gt;c_TMAP1IN),"Seg2 map1-map2","Seg1 TFWD-map1"))),IF(AND(A535=0,c_TCREEP&gt;0),"Creep",IF(AND(A535&lt;=c_TRNGMIN,A535&gt;=c_TRNGMAX,c_TRNGMIN-c_TRNGMAX&lt;&gt;0),"Regen ramp","Coast (0)")))</f>
        <v>Seg4 map3-100%</v>
      </c>
      <c r="I535" s="7" t="n">
        <f aca="false">IF(A535&gt;=c_TFWD,IF(AND(A535&gt;=c_TMAP3IN,c_TMAP3IN&lt;1000),G535,IF(AND(A535&gt;=c_TMAP2IN,c_TMAP3IN&gt;c_TMAP2IN),F535,IF(AND(A535&gt;=c_TMAP1IN,c_TMAP2IN&gt;c_TMAP1IN),E535,D535))),C535)</f>
        <v>422</v>
      </c>
      <c r="J535" s="7" t="str">
        <f aca="false">IF(I535&lt;-1090,"TOO LOW",IF(I535&gt;1090,"TOO HIGH",""))</f>
        <v/>
      </c>
      <c r="K535" s="15" t="n">
        <f aca="false">IF(J535&lt;&gt;"",0,IF(I535&gt;979,1000,I535))</f>
        <v>422</v>
      </c>
      <c r="L535" s="7" t="n">
        <f aca="false">K535/10</f>
        <v>42.2</v>
      </c>
    </row>
    <row r="536" customFormat="false" ht="15" hidden="false" customHeight="false" outlineLevel="0" collapsed="false">
      <c r="A536" s="7" t="n">
        <v>531</v>
      </c>
      <c r="B536" s="7" t="n">
        <f aca="false">A536/10</f>
        <v>53.1</v>
      </c>
      <c r="C536" s="7" t="n">
        <f aca="false">IF(AND(A536=0,c_TCREEP&gt;0),10*c_TCREEP,IF(AND(A536&lt;=c_TRNGMIN,A536&gt;=c_TRNGMAX,c_TRNGMIN-c_TRNGMAX&lt;&gt;0),-10*c_TMINRN+QUOTIENT((c_TMAXRN-c_TMINRN)*(100-QUOTIENT((A536-c_TRNGMAX)*100,c_TRNGMIN-c_TRNGMAX)),-10),0))</f>
        <v>0</v>
      </c>
      <c r="D536" s="7" t="n">
        <f aca="false">IF(((c_TMAP1IN)-(c_TFWD))=0,(0)+QUOTIENT(((c_TMAP1OUT)-(0)),2),QUOTIENT((((A536)-(c_TFWD))*((c_TMAP1OUT)-(0))+IF(((c_TMAP1OUT)-(0))&gt;=0,1,-1)*QUOTIENT(((c_TMAP1IN)-(c_TFWD)),2)),((c_TMAP1IN)-(c_TFWD)))+(0)+IF(((c_TMAP1OUT)-(0))&gt;=0,IF(IF(o_WRAP=1,MOD(((c_TMAP1IN)-(c_TFWD))*(((A536)-(c_TFWD))*((c_TMAP1OUT)-(0))+IF(((c_TMAP1OUT)-(0))&gt;=0,1,-1)*QUOTIENT(((c_TMAP1IN)-(c_TFWD)),2))+2147483648,4294967296)-2147483648,((c_TMAP1IN)-(c_TFWD))*(((A536)-(c_TFWD))*((c_TMAP1OUT)-(0))+IF(((c_TMAP1OUT)-(0))&gt;=0,1,-1)*QUOTIENT(((c_TMAP1IN)-(c_TFWD)),2)))&lt;0,-1,0),IF(IF(o_WRAP=1,MOD(((c_TMAP1IN)-(c_TFWD))*(((A536)-(c_TFWD))*((c_TMAP1OUT)-(0))+IF(((c_TMAP1OUT)-(0))&gt;=0,1,-1)*QUOTIENT(((c_TMAP1IN)-(c_TFWD)),2))+2147483648,4294967296)-2147483648,((c_TMAP1IN)-(c_TFWD))*(((A536)-(c_TFWD))*((c_TMAP1OUT)-(0))+IF(((c_TMAP1OUT)-(0))&gt;=0,1,-1)*QUOTIENT(((c_TMAP1IN)-(c_TFWD)),2)))&gt;=0,1,0)))</f>
        <v>405</v>
      </c>
      <c r="E536" s="7" t="n">
        <f aca="false">IF(((c_TMAP2IN)-(c_TMAP1IN))=0,(c_TMAP1OUT)+QUOTIENT(((c_TMAP2OUT)-(c_TMAP1OUT)),2),QUOTIENT((((A536)-(c_TMAP1IN))*((c_TMAP2OUT)-(c_TMAP1OUT))+IF(((c_TMAP2OUT)-(c_TMAP1OUT))&gt;=0,1,-1)*QUOTIENT(((c_TMAP2IN)-(c_TMAP1IN)),2)),((c_TMAP2IN)-(c_TMAP1IN)))+(c_TMAP1OUT)+IF(((c_TMAP2OUT)-(c_TMAP1OUT))&gt;=0,IF(IF(o_WRAP=1,MOD(((c_TMAP2IN)-(c_TMAP1IN))*(((A536)-(c_TMAP1IN))*((c_TMAP2OUT)-(c_TMAP1OUT))+IF(((c_TMAP2OUT)-(c_TMAP1OUT))&gt;=0,1,-1)*QUOTIENT(((c_TMAP2IN)-(c_TMAP1IN)),2))+2147483648,4294967296)-2147483648,((c_TMAP2IN)-(c_TMAP1IN))*(((A536)-(c_TMAP1IN))*((c_TMAP2OUT)-(c_TMAP1OUT))+IF(((c_TMAP2OUT)-(c_TMAP1OUT))&gt;=0,1,-1)*QUOTIENT(((c_TMAP2IN)-(c_TMAP1IN)),2)))&lt;0,-1,0),IF(IF(o_WRAP=1,MOD(((c_TMAP2IN)-(c_TMAP1IN))*(((A536)-(c_TMAP1IN))*((c_TMAP2OUT)-(c_TMAP1OUT))+IF(((c_TMAP2OUT)-(c_TMAP1OUT))&gt;=0,1,-1)*QUOTIENT(((c_TMAP2IN)-(c_TMAP1IN)),2))+2147483648,4294967296)-2147483648,((c_TMAP2IN)-(c_TMAP1IN))*(((A536)-(c_TMAP1IN))*((c_TMAP2OUT)-(c_TMAP1OUT))+IF(((c_TMAP2OUT)-(c_TMAP1OUT))&gt;=0,1,-1)*QUOTIENT(((c_TMAP2IN)-(c_TMAP1IN)),2)))&gt;=0,1,0)))</f>
        <v>242</v>
      </c>
      <c r="F536" s="7" t="n">
        <f aca="false">IF(((c_TMAP3IN)-(c_TMAP2IN))=0,(c_TMAP2OUT)+QUOTIENT(((c_TMAP3OUT)-(c_TMAP2OUT)),2),QUOTIENT((((A536)-(c_TMAP2IN))*((c_TMAP3OUT)-(c_TMAP2OUT))+IF(((c_TMAP3OUT)-(c_TMAP2OUT))&gt;=0,1,-1)*QUOTIENT(((c_TMAP3IN)-(c_TMAP2IN)),2)),((c_TMAP3IN)-(c_TMAP2IN)))+(c_TMAP2OUT)+IF(((c_TMAP3OUT)-(c_TMAP2OUT))&gt;=0,IF(IF(o_WRAP=1,MOD(((c_TMAP3IN)-(c_TMAP2IN))*(((A536)-(c_TMAP2IN))*((c_TMAP3OUT)-(c_TMAP2OUT))+IF(((c_TMAP3OUT)-(c_TMAP2OUT))&gt;=0,1,-1)*QUOTIENT(((c_TMAP3IN)-(c_TMAP2IN)),2))+2147483648,4294967296)-2147483648,((c_TMAP3IN)-(c_TMAP2IN))*(((A536)-(c_TMAP2IN))*((c_TMAP3OUT)-(c_TMAP2OUT))+IF(((c_TMAP3OUT)-(c_TMAP2OUT))&gt;=0,1,-1)*QUOTIENT(((c_TMAP3IN)-(c_TMAP2IN)),2)))&lt;0,-1,0),IF(IF(o_WRAP=1,MOD(((c_TMAP3IN)-(c_TMAP2IN))*(((A536)-(c_TMAP2IN))*((c_TMAP3OUT)-(c_TMAP2OUT))+IF(((c_TMAP3OUT)-(c_TMAP2OUT))&gt;=0,1,-1)*QUOTIENT(((c_TMAP3IN)-(c_TMAP2IN)),2))+2147483648,4294967296)-2147483648,((c_TMAP3IN)-(c_TMAP2IN))*(((A536)-(c_TMAP2IN))*((c_TMAP3OUT)-(c_TMAP2OUT))+IF(((c_TMAP3OUT)-(c_TMAP2OUT))&gt;=0,1,-1)*QUOTIENT(((c_TMAP3IN)-(c_TMAP2IN)),2)))&gt;=0,1,0)))</f>
        <v>327</v>
      </c>
      <c r="G536" s="7" t="n">
        <f aca="false">IF(((1000)-(c_TMAP3IN))=0,(c_TMAP3OUT)+QUOTIENT(((1000)-(c_TMAP3OUT)),2),QUOTIENT((((A536)-(c_TMAP3IN))*((1000)-(c_TMAP3OUT))+IF(((1000)-(c_TMAP3OUT))&gt;=0,1,-1)*QUOTIENT(((1000)-(c_TMAP3IN)),2)),((1000)-(c_TMAP3IN)))+(c_TMAP3OUT)+IF(((1000)-(c_TMAP3OUT))&gt;=0,IF(IF(o_WRAP=1,MOD(((1000)-(c_TMAP3IN))*(((A536)-(c_TMAP3IN))*((1000)-(c_TMAP3OUT))+IF(((1000)-(c_TMAP3OUT))&gt;=0,1,-1)*QUOTIENT(((1000)-(c_TMAP3IN)),2))+2147483648,4294967296)-2147483648,((1000)-(c_TMAP3IN))*(((A536)-(c_TMAP3IN))*((1000)-(c_TMAP3OUT))+IF(((1000)-(c_TMAP3OUT))&gt;=0,1,-1)*QUOTIENT(((1000)-(c_TMAP3IN)),2)))&lt;0,-1,0),IF(IF(o_WRAP=1,MOD(((1000)-(c_TMAP3IN))*(((A536)-(c_TMAP3IN))*((1000)-(c_TMAP3OUT))+IF(((1000)-(c_TMAP3OUT))&gt;=0,1,-1)*QUOTIENT(((1000)-(c_TMAP3IN)),2))+2147483648,4294967296)-2147483648,((1000)-(c_TMAP3IN))*(((A536)-(c_TMAP3IN))*((1000)-(c_TMAP3OUT))+IF(((1000)-(c_TMAP3OUT))&gt;=0,1,-1)*QUOTIENT(((1000)-(c_TMAP3IN)),2)))&gt;=0,1,0)))</f>
        <v>423</v>
      </c>
      <c r="H536" s="7" t="str">
        <f aca="false">IF(A536&gt;=c_TFWD,IF(AND(A536&gt;=c_TMAP3IN,c_TMAP3IN&lt;1000),"Seg4 map3-100%",IF(AND(A536&gt;=c_TMAP2IN,c_TMAP3IN&gt;c_TMAP2IN),"Seg3 map2-map3",IF(AND(A536&gt;=c_TMAP1IN,c_TMAP2IN&gt;c_TMAP1IN),"Seg2 map1-map2","Seg1 TFWD-map1"))),IF(AND(A536=0,c_TCREEP&gt;0),"Creep",IF(AND(A536&lt;=c_TRNGMIN,A536&gt;=c_TRNGMAX,c_TRNGMIN-c_TRNGMAX&lt;&gt;0),"Regen ramp","Coast (0)")))</f>
        <v>Seg4 map3-100%</v>
      </c>
      <c r="I536" s="7" t="n">
        <f aca="false">IF(A536&gt;=c_TFWD,IF(AND(A536&gt;=c_TMAP3IN,c_TMAP3IN&lt;1000),G536,IF(AND(A536&gt;=c_TMAP2IN,c_TMAP3IN&gt;c_TMAP2IN),F536,IF(AND(A536&gt;=c_TMAP1IN,c_TMAP2IN&gt;c_TMAP1IN),E536,D536))),C536)</f>
        <v>423</v>
      </c>
      <c r="J536" s="7" t="str">
        <f aca="false">IF(I536&lt;-1090,"TOO LOW",IF(I536&gt;1090,"TOO HIGH",""))</f>
        <v/>
      </c>
      <c r="K536" s="15" t="n">
        <f aca="false">IF(J536&lt;&gt;"",0,IF(I536&gt;979,1000,I536))</f>
        <v>423</v>
      </c>
      <c r="L536" s="7" t="n">
        <f aca="false">K536/10</f>
        <v>42.3</v>
      </c>
    </row>
    <row r="537" customFormat="false" ht="15" hidden="false" customHeight="false" outlineLevel="0" collapsed="false">
      <c r="A537" s="7" t="n">
        <v>532</v>
      </c>
      <c r="B537" s="7" t="n">
        <f aca="false">A537/10</f>
        <v>53.2</v>
      </c>
      <c r="C537" s="7" t="n">
        <f aca="false">IF(AND(A537=0,c_TCREEP&gt;0),10*c_TCREEP,IF(AND(A537&lt;=c_TRNGMIN,A537&gt;=c_TRNGMAX,c_TRNGMIN-c_TRNGMAX&lt;&gt;0),-10*c_TMINRN+QUOTIENT((c_TMAXRN-c_TMINRN)*(100-QUOTIENT((A537-c_TRNGMAX)*100,c_TRNGMIN-c_TRNGMAX)),-10),0))</f>
        <v>0</v>
      </c>
      <c r="D537" s="7" t="n">
        <f aca="false">IF(((c_TMAP1IN)-(c_TFWD))=0,(0)+QUOTIENT(((c_TMAP1OUT)-(0)),2),QUOTIENT((((A537)-(c_TFWD))*((c_TMAP1OUT)-(0))+IF(((c_TMAP1OUT)-(0))&gt;=0,1,-1)*QUOTIENT(((c_TMAP1IN)-(c_TFWD)),2)),((c_TMAP1IN)-(c_TFWD)))+(0)+IF(((c_TMAP1OUT)-(0))&gt;=0,IF(IF(o_WRAP=1,MOD(((c_TMAP1IN)-(c_TFWD))*(((A537)-(c_TFWD))*((c_TMAP1OUT)-(0))+IF(((c_TMAP1OUT)-(0))&gt;=0,1,-1)*QUOTIENT(((c_TMAP1IN)-(c_TFWD)),2))+2147483648,4294967296)-2147483648,((c_TMAP1IN)-(c_TFWD))*(((A537)-(c_TFWD))*((c_TMAP1OUT)-(0))+IF(((c_TMAP1OUT)-(0))&gt;=0,1,-1)*QUOTIENT(((c_TMAP1IN)-(c_TFWD)),2)))&lt;0,-1,0),IF(IF(o_WRAP=1,MOD(((c_TMAP1IN)-(c_TFWD))*(((A537)-(c_TFWD))*((c_TMAP1OUT)-(0))+IF(((c_TMAP1OUT)-(0))&gt;=0,1,-1)*QUOTIENT(((c_TMAP1IN)-(c_TFWD)),2))+2147483648,4294967296)-2147483648,((c_TMAP1IN)-(c_TFWD))*(((A537)-(c_TFWD))*((c_TMAP1OUT)-(0))+IF(((c_TMAP1OUT)-(0))&gt;=0,1,-1)*QUOTIENT(((c_TMAP1IN)-(c_TFWD)),2)))&gt;=0,1,0)))</f>
        <v>406</v>
      </c>
      <c r="E537" s="7" t="n">
        <f aca="false">IF(((c_TMAP2IN)-(c_TMAP1IN))=0,(c_TMAP1OUT)+QUOTIENT(((c_TMAP2OUT)-(c_TMAP1OUT)),2),QUOTIENT((((A537)-(c_TMAP1IN))*((c_TMAP2OUT)-(c_TMAP1OUT))+IF(((c_TMAP2OUT)-(c_TMAP1OUT))&gt;=0,1,-1)*QUOTIENT(((c_TMAP2IN)-(c_TMAP1IN)),2)),((c_TMAP2IN)-(c_TMAP1IN)))+(c_TMAP1OUT)+IF(((c_TMAP2OUT)-(c_TMAP1OUT))&gt;=0,IF(IF(o_WRAP=1,MOD(((c_TMAP2IN)-(c_TMAP1IN))*(((A537)-(c_TMAP1IN))*((c_TMAP2OUT)-(c_TMAP1OUT))+IF(((c_TMAP2OUT)-(c_TMAP1OUT))&gt;=0,1,-1)*QUOTIENT(((c_TMAP2IN)-(c_TMAP1IN)),2))+2147483648,4294967296)-2147483648,((c_TMAP2IN)-(c_TMAP1IN))*(((A537)-(c_TMAP1IN))*((c_TMAP2OUT)-(c_TMAP1OUT))+IF(((c_TMAP2OUT)-(c_TMAP1OUT))&gt;=0,1,-1)*QUOTIENT(((c_TMAP2IN)-(c_TMAP1IN)),2)))&lt;0,-1,0),IF(IF(o_WRAP=1,MOD(((c_TMAP2IN)-(c_TMAP1IN))*(((A537)-(c_TMAP1IN))*((c_TMAP2OUT)-(c_TMAP1OUT))+IF(((c_TMAP2OUT)-(c_TMAP1OUT))&gt;=0,1,-1)*QUOTIENT(((c_TMAP2IN)-(c_TMAP1IN)),2))+2147483648,4294967296)-2147483648,((c_TMAP2IN)-(c_TMAP1IN))*(((A537)-(c_TMAP1IN))*((c_TMAP2OUT)-(c_TMAP1OUT))+IF(((c_TMAP2OUT)-(c_TMAP1OUT))&gt;=0,1,-1)*QUOTIENT(((c_TMAP2IN)-(c_TMAP1IN)),2)))&gt;=0,1,0)))</f>
        <v>243</v>
      </c>
      <c r="F537" s="7" t="n">
        <f aca="false">IF(((c_TMAP3IN)-(c_TMAP2IN))=0,(c_TMAP2OUT)+QUOTIENT(((c_TMAP3OUT)-(c_TMAP2OUT)),2),QUOTIENT((((A537)-(c_TMAP2IN))*((c_TMAP3OUT)-(c_TMAP2OUT))+IF(((c_TMAP3OUT)-(c_TMAP2OUT))&gt;=0,1,-1)*QUOTIENT(((c_TMAP3IN)-(c_TMAP2IN)),2)),((c_TMAP3IN)-(c_TMAP2IN)))+(c_TMAP2OUT)+IF(((c_TMAP3OUT)-(c_TMAP2OUT))&gt;=0,IF(IF(o_WRAP=1,MOD(((c_TMAP3IN)-(c_TMAP2IN))*(((A537)-(c_TMAP2IN))*((c_TMAP3OUT)-(c_TMAP2OUT))+IF(((c_TMAP3OUT)-(c_TMAP2OUT))&gt;=0,1,-1)*QUOTIENT(((c_TMAP3IN)-(c_TMAP2IN)),2))+2147483648,4294967296)-2147483648,((c_TMAP3IN)-(c_TMAP2IN))*(((A537)-(c_TMAP2IN))*((c_TMAP3OUT)-(c_TMAP2OUT))+IF(((c_TMAP3OUT)-(c_TMAP2OUT))&gt;=0,1,-1)*QUOTIENT(((c_TMAP3IN)-(c_TMAP2IN)),2)))&lt;0,-1,0),IF(IF(o_WRAP=1,MOD(((c_TMAP3IN)-(c_TMAP2IN))*(((A537)-(c_TMAP2IN))*((c_TMAP3OUT)-(c_TMAP2OUT))+IF(((c_TMAP3OUT)-(c_TMAP2OUT))&gt;=0,1,-1)*QUOTIENT(((c_TMAP3IN)-(c_TMAP2IN)),2))+2147483648,4294967296)-2147483648,((c_TMAP3IN)-(c_TMAP2IN))*(((A537)-(c_TMAP2IN))*((c_TMAP3OUT)-(c_TMAP2OUT))+IF(((c_TMAP3OUT)-(c_TMAP2OUT))&gt;=0,1,-1)*QUOTIENT(((c_TMAP3IN)-(c_TMAP2IN)),2)))&gt;=0,1,0)))</f>
        <v>327</v>
      </c>
      <c r="G537" s="7" t="n">
        <f aca="false">IF(((1000)-(c_TMAP3IN))=0,(c_TMAP3OUT)+QUOTIENT(((1000)-(c_TMAP3OUT)),2),QUOTIENT((((A537)-(c_TMAP3IN))*((1000)-(c_TMAP3OUT))+IF(((1000)-(c_TMAP3OUT))&gt;=0,1,-1)*QUOTIENT(((1000)-(c_TMAP3IN)),2)),((1000)-(c_TMAP3IN)))+(c_TMAP3OUT)+IF(((1000)-(c_TMAP3OUT))&gt;=0,IF(IF(o_WRAP=1,MOD(((1000)-(c_TMAP3IN))*(((A537)-(c_TMAP3IN))*((1000)-(c_TMAP3OUT))+IF(((1000)-(c_TMAP3OUT))&gt;=0,1,-1)*QUOTIENT(((1000)-(c_TMAP3IN)),2))+2147483648,4294967296)-2147483648,((1000)-(c_TMAP3IN))*(((A537)-(c_TMAP3IN))*((1000)-(c_TMAP3OUT))+IF(((1000)-(c_TMAP3OUT))&gt;=0,1,-1)*QUOTIENT(((1000)-(c_TMAP3IN)),2)))&lt;0,-1,0),IF(IF(o_WRAP=1,MOD(((1000)-(c_TMAP3IN))*(((A537)-(c_TMAP3IN))*((1000)-(c_TMAP3OUT))+IF(((1000)-(c_TMAP3OUT))&gt;=0,1,-1)*QUOTIENT(((1000)-(c_TMAP3IN)),2))+2147483648,4294967296)-2147483648,((1000)-(c_TMAP3IN))*(((A537)-(c_TMAP3IN))*((1000)-(c_TMAP3OUT))+IF(((1000)-(c_TMAP3OUT))&gt;=0,1,-1)*QUOTIENT(((1000)-(c_TMAP3IN)),2)))&gt;=0,1,0)))</f>
        <v>424</v>
      </c>
      <c r="H537" s="7" t="str">
        <f aca="false">IF(A537&gt;=c_TFWD,IF(AND(A537&gt;=c_TMAP3IN,c_TMAP3IN&lt;1000),"Seg4 map3-100%",IF(AND(A537&gt;=c_TMAP2IN,c_TMAP3IN&gt;c_TMAP2IN),"Seg3 map2-map3",IF(AND(A537&gt;=c_TMAP1IN,c_TMAP2IN&gt;c_TMAP1IN),"Seg2 map1-map2","Seg1 TFWD-map1"))),IF(AND(A537=0,c_TCREEP&gt;0),"Creep",IF(AND(A537&lt;=c_TRNGMIN,A537&gt;=c_TRNGMAX,c_TRNGMIN-c_TRNGMAX&lt;&gt;0),"Regen ramp","Coast (0)")))</f>
        <v>Seg4 map3-100%</v>
      </c>
      <c r="I537" s="7" t="n">
        <f aca="false">IF(A537&gt;=c_TFWD,IF(AND(A537&gt;=c_TMAP3IN,c_TMAP3IN&lt;1000),G537,IF(AND(A537&gt;=c_TMAP2IN,c_TMAP3IN&gt;c_TMAP2IN),F537,IF(AND(A537&gt;=c_TMAP1IN,c_TMAP2IN&gt;c_TMAP1IN),E537,D537))),C537)</f>
        <v>424</v>
      </c>
      <c r="J537" s="7" t="str">
        <f aca="false">IF(I537&lt;-1090,"TOO LOW",IF(I537&gt;1090,"TOO HIGH",""))</f>
        <v/>
      </c>
      <c r="K537" s="15" t="n">
        <f aca="false">IF(J537&lt;&gt;"",0,IF(I537&gt;979,1000,I537))</f>
        <v>424</v>
      </c>
      <c r="L537" s="7" t="n">
        <f aca="false">K537/10</f>
        <v>42.4</v>
      </c>
    </row>
    <row r="538" customFormat="false" ht="15" hidden="false" customHeight="false" outlineLevel="0" collapsed="false">
      <c r="A538" s="7" t="n">
        <v>533</v>
      </c>
      <c r="B538" s="7" t="n">
        <f aca="false">A538/10</f>
        <v>53.3</v>
      </c>
      <c r="C538" s="7" t="n">
        <f aca="false">IF(AND(A538=0,c_TCREEP&gt;0),10*c_TCREEP,IF(AND(A538&lt;=c_TRNGMIN,A538&gt;=c_TRNGMAX,c_TRNGMIN-c_TRNGMAX&lt;&gt;0),-10*c_TMINRN+QUOTIENT((c_TMAXRN-c_TMINRN)*(100-QUOTIENT((A538-c_TRNGMAX)*100,c_TRNGMIN-c_TRNGMAX)),-10),0))</f>
        <v>0</v>
      </c>
      <c r="D538" s="7" t="n">
        <f aca="false">IF(((c_TMAP1IN)-(c_TFWD))=0,(0)+QUOTIENT(((c_TMAP1OUT)-(0)),2),QUOTIENT((((A538)-(c_TFWD))*((c_TMAP1OUT)-(0))+IF(((c_TMAP1OUT)-(0))&gt;=0,1,-1)*QUOTIENT(((c_TMAP1IN)-(c_TFWD)),2)),((c_TMAP1IN)-(c_TFWD)))+(0)+IF(((c_TMAP1OUT)-(0))&gt;=0,IF(IF(o_WRAP=1,MOD(((c_TMAP1IN)-(c_TFWD))*(((A538)-(c_TFWD))*((c_TMAP1OUT)-(0))+IF(((c_TMAP1OUT)-(0))&gt;=0,1,-1)*QUOTIENT(((c_TMAP1IN)-(c_TFWD)),2))+2147483648,4294967296)-2147483648,((c_TMAP1IN)-(c_TFWD))*(((A538)-(c_TFWD))*((c_TMAP1OUT)-(0))+IF(((c_TMAP1OUT)-(0))&gt;=0,1,-1)*QUOTIENT(((c_TMAP1IN)-(c_TFWD)),2)))&lt;0,-1,0),IF(IF(o_WRAP=1,MOD(((c_TMAP1IN)-(c_TFWD))*(((A538)-(c_TFWD))*((c_TMAP1OUT)-(0))+IF(((c_TMAP1OUT)-(0))&gt;=0,1,-1)*QUOTIENT(((c_TMAP1IN)-(c_TFWD)),2))+2147483648,4294967296)-2147483648,((c_TMAP1IN)-(c_TFWD))*(((A538)-(c_TFWD))*((c_TMAP1OUT)-(0))+IF(((c_TMAP1OUT)-(0))&gt;=0,1,-1)*QUOTIENT(((c_TMAP1IN)-(c_TFWD)),2)))&gt;=0,1,0)))</f>
        <v>407</v>
      </c>
      <c r="E538" s="7" t="n">
        <f aca="false">IF(((c_TMAP2IN)-(c_TMAP1IN))=0,(c_TMAP1OUT)+QUOTIENT(((c_TMAP2OUT)-(c_TMAP1OUT)),2),QUOTIENT((((A538)-(c_TMAP1IN))*((c_TMAP2OUT)-(c_TMAP1OUT))+IF(((c_TMAP2OUT)-(c_TMAP1OUT))&gt;=0,1,-1)*QUOTIENT(((c_TMAP2IN)-(c_TMAP1IN)),2)),((c_TMAP2IN)-(c_TMAP1IN)))+(c_TMAP1OUT)+IF(((c_TMAP2OUT)-(c_TMAP1OUT))&gt;=0,IF(IF(o_WRAP=1,MOD(((c_TMAP2IN)-(c_TMAP1IN))*(((A538)-(c_TMAP1IN))*((c_TMAP2OUT)-(c_TMAP1OUT))+IF(((c_TMAP2OUT)-(c_TMAP1OUT))&gt;=0,1,-1)*QUOTIENT(((c_TMAP2IN)-(c_TMAP1IN)),2))+2147483648,4294967296)-2147483648,((c_TMAP2IN)-(c_TMAP1IN))*(((A538)-(c_TMAP1IN))*((c_TMAP2OUT)-(c_TMAP1OUT))+IF(((c_TMAP2OUT)-(c_TMAP1OUT))&gt;=0,1,-1)*QUOTIENT(((c_TMAP2IN)-(c_TMAP1IN)),2)))&lt;0,-1,0),IF(IF(o_WRAP=1,MOD(((c_TMAP2IN)-(c_TMAP1IN))*(((A538)-(c_TMAP1IN))*((c_TMAP2OUT)-(c_TMAP1OUT))+IF(((c_TMAP2OUT)-(c_TMAP1OUT))&gt;=0,1,-1)*QUOTIENT(((c_TMAP2IN)-(c_TMAP1IN)),2))+2147483648,4294967296)-2147483648,((c_TMAP2IN)-(c_TMAP1IN))*(((A538)-(c_TMAP1IN))*((c_TMAP2OUT)-(c_TMAP1OUT))+IF(((c_TMAP2OUT)-(c_TMAP1OUT))&gt;=0,1,-1)*QUOTIENT(((c_TMAP2IN)-(c_TMAP1IN)),2)))&gt;=0,1,0)))</f>
        <v>243</v>
      </c>
      <c r="F538" s="7" t="n">
        <f aca="false">IF(((c_TMAP3IN)-(c_TMAP2IN))=0,(c_TMAP2OUT)+QUOTIENT(((c_TMAP3OUT)-(c_TMAP2OUT)),2),QUOTIENT((((A538)-(c_TMAP2IN))*((c_TMAP3OUT)-(c_TMAP2OUT))+IF(((c_TMAP3OUT)-(c_TMAP2OUT))&gt;=0,1,-1)*QUOTIENT(((c_TMAP3IN)-(c_TMAP2IN)),2)),((c_TMAP3IN)-(c_TMAP2IN)))+(c_TMAP2OUT)+IF(((c_TMAP3OUT)-(c_TMAP2OUT))&gt;=0,IF(IF(o_WRAP=1,MOD(((c_TMAP3IN)-(c_TMAP2IN))*(((A538)-(c_TMAP2IN))*((c_TMAP3OUT)-(c_TMAP2OUT))+IF(((c_TMAP3OUT)-(c_TMAP2OUT))&gt;=0,1,-1)*QUOTIENT(((c_TMAP3IN)-(c_TMAP2IN)),2))+2147483648,4294967296)-2147483648,((c_TMAP3IN)-(c_TMAP2IN))*(((A538)-(c_TMAP2IN))*((c_TMAP3OUT)-(c_TMAP2OUT))+IF(((c_TMAP3OUT)-(c_TMAP2OUT))&gt;=0,1,-1)*QUOTIENT(((c_TMAP3IN)-(c_TMAP2IN)),2)))&lt;0,-1,0),IF(IF(o_WRAP=1,MOD(((c_TMAP3IN)-(c_TMAP2IN))*(((A538)-(c_TMAP2IN))*((c_TMAP3OUT)-(c_TMAP2OUT))+IF(((c_TMAP3OUT)-(c_TMAP2OUT))&gt;=0,1,-1)*QUOTIENT(((c_TMAP3IN)-(c_TMAP2IN)),2))+2147483648,4294967296)-2147483648,((c_TMAP3IN)-(c_TMAP2IN))*(((A538)-(c_TMAP2IN))*((c_TMAP3OUT)-(c_TMAP2OUT))+IF(((c_TMAP3OUT)-(c_TMAP2OUT))&gt;=0,1,-1)*QUOTIENT(((c_TMAP3IN)-(c_TMAP2IN)),2)))&gt;=0,1,0)))</f>
        <v>328</v>
      </c>
      <c r="G538" s="7" t="n">
        <f aca="false">IF(((1000)-(c_TMAP3IN))=0,(c_TMAP3OUT)+QUOTIENT(((1000)-(c_TMAP3OUT)),2),QUOTIENT((((A538)-(c_TMAP3IN))*((1000)-(c_TMAP3OUT))+IF(((1000)-(c_TMAP3OUT))&gt;=0,1,-1)*QUOTIENT(((1000)-(c_TMAP3IN)),2)),((1000)-(c_TMAP3IN)))+(c_TMAP3OUT)+IF(((1000)-(c_TMAP3OUT))&gt;=0,IF(IF(o_WRAP=1,MOD(((1000)-(c_TMAP3IN))*(((A538)-(c_TMAP3IN))*((1000)-(c_TMAP3OUT))+IF(((1000)-(c_TMAP3OUT))&gt;=0,1,-1)*QUOTIENT(((1000)-(c_TMAP3IN)),2))+2147483648,4294967296)-2147483648,((1000)-(c_TMAP3IN))*(((A538)-(c_TMAP3IN))*((1000)-(c_TMAP3OUT))+IF(((1000)-(c_TMAP3OUT))&gt;=0,1,-1)*QUOTIENT(((1000)-(c_TMAP3IN)),2)))&lt;0,-1,0),IF(IF(o_WRAP=1,MOD(((1000)-(c_TMAP3IN))*(((A538)-(c_TMAP3IN))*((1000)-(c_TMAP3OUT))+IF(((1000)-(c_TMAP3OUT))&gt;=0,1,-1)*QUOTIENT(((1000)-(c_TMAP3IN)),2))+2147483648,4294967296)-2147483648,((1000)-(c_TMAP3IN))*(((A538)-(c_TMAP3IN))*((1000)-(c_TMAP3OUT))+IF(((1000)-(c_TMAP3OUT))&gt;=0,1,-1)*QUOTIENT(((1000)-(c_TMAP3IN)),2)))&gt;=0,1,0)))</f>
        <v>425</v>
      </c>
      <c r="H538" s="7" t="str">
        <f aca="false">IF(A538&gt;=c_TFWD,IF(AND(A538&gt;=c_TMAP3IN,c_TMAP3IN&lt;1000),"Seg4 map3-100%",IF(AND(A538&gt;=c_TMAP2IN,c_TMAP3IN&gt;c_TMAP2IN),"Seg3 map2-map3",IF(AND(A538&gt;=c_TMAP1IN,c_TMAP2IN&gt;c_TMAP1IN),"Seg2 map1-map2","Seg1 TFWD-map1"))),IF(AND(A538=0,c_TCREEP&gt;0),"Creep",IF(AND(A538&lt;=c_TRNGMIN,A538&gt;=c_TRNGMAX,c_TRNGMIN-c_TRNGMAX&lt;&gt;0),"Regen ramp","Coast (0)")))</f>
        <v>Seg4 map3-100%</v>
      </c>
      <c r="I538" s="7" t="n">
        <f aca="false">IF(A538&gt;=c_TFWD,IF(AND(A538&gt;=c_TMAP3IN,c_TMAP3IN&lt;1000),G538,IF(AND(A538&gt;=c_TMAP2IN,c_TMAP3IN&gt;c_TMAP2IN),F538,IF(AND(A538&gt;=c_TMAP1IN,c_TMAP2IN&gt;c_TMAP1IN),E538,D538))),C538)</f>
        <v>425</v>
      </c>
      <c r="J538" s="7" t="str">
        <f aca="false">IF(I538&lt;-1090,"TOO LOW",IF(I538&gt;1090,"TOO HIGH",""))</f>
        <v/>
      </c>
      <c r="K538" s="15" t="n">
        <f aca="false">IF(J538&lt;&gt;"",0,IF(I538&gt;979,1000,I538))</f>
        <v>425</v>
      </c>
      <c r="L538" s="7" t="n">
        <f aca="false">K538/10</f>
        <v>42.5</v>
      </c>
    </row>
    <row r="539" customFormat="false" ht="15" hidden="false" customHeight="false" outlineLevel="0" collapsed="false">
      <c r="A539" s="7" t="n">
        <v>534</v>
      </c>
      <c r="B539" s="7" t="n">
        <f aca="false">A539/10</f>
        <v>53.4</v>
      </c>
      <c r="C539" s="7" t="n">
        <f aca="false">IF(AND(A539=0,c_TCREEP&gt;0),10*c_TCREEP,IF(AND(A539&lt;=c_TRNGMIN,A539&gt;=c_TRNGMAX,c_TRNGMIN-c_TRNGMAX&lt;&gt;0),-10*c_TMINRN+QUOTIENT((c_TMAXRN-c_TMINRN)*(100-QUOTIENT((A539-c_TRNGMAX)*100,c_TRNGMIN-c_TRNGMAX)),-10),0))</f>
        <v>0</v>
      </c>
      <c r="D539" s="7" t="n">
        <f aca="false">IF(((c_TMAP1IN)-(c_TFWD))=0,(0)+QUOTIENT(((c_TMAP1OUT)-(0)),2),QUOTIENT((((A539)-(c_TFWD))*((c_TMAP1OUT)-(0))+IF(((c_TMAP1OUT)-(0))&gt;=0,1,-1)*QUOTIENT(((c_TMAP1IN)-(c_TFWD)),2)),((c_TMAP1IN)-(c_TFWD)))+(0)+IF(((c_TMAP1OUT)-(0))&gt;=0,IF(IF(o_WRAP=1,MOD(((c_TMAP1IN)-(c_TFWD))*(((A539)-(c_TFWD))*((c_TMAP1OUT)-(0))+IF(((c_TMAP1OUT)-(0))&gt;=0,1,-1)*QUOTIENT(((c_TMAP1IN)-(c_TFWD)),2))+2147483648,4294967296)-2147483648,((c_TMAP1IN)-(c_TFWD))*(((A539)-(c_TFWD))*((c_TMAP1OUT)-(0))+IF(((c_TMAP1OUT)-(0))&gt;=0,1,-1)*QUOTIENT(((c_TMAP1IN)-(c_TFWD)),2)))&lt;0,-1,0),IF(IF(o_WRAP=1,MOD(((c_TMAP1IN)-(c_TFWD))*(((A539)-(c_TFWD))*((c_TMAP1OUT)-(0))+IF(((c_TMAP1OUT)-(0))&gt;=0,1,-1)*QUOTIENT(((c_TMAP1IN)-(c_TFWD)),2))+2147483648,4294967296)-2147483648,((c_TMAP1IN)-(c_TFWD))*(((A539)-(c_TFWD))*((c_TMAP1OUT)-(0))+IF(((c_TMAP1OUT)-(0))&gt;=0,1,-1)*QUOTIENT(((c_TMAP1IN)-(c_TFWD)),2)))&gt;=0,1,0)))</f>
        <v>408</v>
      </c>
      <c r="E539" s="7" t="n">
        <f aca="false">IF(((c_TMAP2IN)-(c_TMAP1IN))=0,(c_TMAP1OUT)+QUOTIENT(((c_TMAP2OUT)-(c_TMAP1OUT)),2),QUOTIENT((((A539)-(c_TMAP1IN))*((c_TMAP2OUT)-(c_TMAP1OUT))+IF(((c_TMAP2OUT)-(c_TMAP1OUT))&gt;=0,1,-1)*QUOTIENT(((c_TMAP2IN)-(c_TMAP1IN)),2)),((c_TMAP2IN)-(c_TMAP1IN)))+(c_TMAP1OUT)+IF(((c_TMAP2OUT)-(c_TMAP1OUT))&gt;=0,IF(IF(o_WRAP=1,MOD(((c_TMAP2IN)-(c_TMAP1IN))*(((A539)-(c_TMAP1IN))*((c_TMAP2OUT)-(c_TMAP1OUT))+IF(((c_TMAP2OUT)-(c_TMAP1OUT))&gt;=0,1,-1)*QUOTIENT(((c_TMAP2IN)-(c_TMAP1IN)),2))+2147483648,4294967296)-2147483648,((c_TMAP2IN)-(c_TMAP1IN))*(((A539)-(c_TMAP1IN))*((c_TMAP2OUT)-(c_TMAP1OUT))+IF(((c_TMAP2OUT)-(c_TMAP1OUT))&gt;=0,1,-1)*QUOTIENT(((c_TMAP2IN)-(c_TMAP1IN)),2)))&lt;0,-1,0),IF(IF(o_WRAP=1,MOD(((c_TMAP2IN)-(c_TMAP1IN))*(((A539)-(c_TMAP1IN))*((c_TMAP2OUT)-(c_TMAP1OUT))+IF(((c_TMAP2OUT)-(c_TMAP1OUT))&gt;=0,1,-1)*QUOTIENT(((c_TMAP2IN)-(c_TMAP1IN)),2))+2147483648,4294967296)-2147483648,((c_TMAP2IN)-(c_TMAP1IN))*(((A539)-(c_TMAP1IN))*((c_TMAP2OUT)-(c_TMAP1OUT))+IF(((c_TMAP2OUT)-(c_TMAP1OUT))&gt;=0,1,-1)*QUOTIENT(((c_TMAP2IN)-(c_TMAP1IN)),2)))&gt;=0,1,0)))</f>
        <v>244</v>
      </c>
      <c r="F539" s="7" t="n">
        <f aca="false">IF(((c_TMAP3IN)-(c_TMAP2IN))=0,(c_TMAP2OUT)+QUOTIENT(((c_TMAP3OUT)-(c_TMAP2OUT)),2),QUOTIENT((((A539)-(c_TMAP2IN))*((c_TMAP3OUT)-(c_TMAP2OUT))+IF(((c_TMAP3OUT)-(c_TMAP2OUT))&gt;=0,1,-1)*QUOTIENT(((c_TMAP3IN)-(c_TMAP2IN)),2)),((c_TMAP3IN)-(c_TMAP2IN)))+(c_TMAP2OUT)+IF(((c_TMAP3OUT)-(c_TMAP2OUT))&gt;=0,IF(IF(o_WRAP=1,MOD(((c_TMAP3IN)-(c_TMAP2IN))*(((A539)-(c_TMAP2IN))*((c_TMAP3OUT)-(c_TMAP2OUT))+IF(((c_TMAP3OUT)-(c_TMAP2OUT))&gt;=0,1,-1)*QUOTIENT(((c_TMAP3IN)-(c_TMAP2IN)),2))+2147483648,4294967296)-2147483648,((c_TMAP3IN)-(c_TMAP2IN))*(((A539)-(c_TMAP2IN))*((c_TMAP3OUT)-(c_TMAP2OUT))+IF(((c_TMAP3OUT)-(c_TMAP2OUT))&gt;=0,1,-1)*QUOTIENT(((c_TMAP3IN)-(c_TMAP2IN)),2)))&lt;0,-1,0),IF(IF(o_WRAP=1,MOD(((c_TMAP3IN)-(c_TMAP2IN))*(((A539)-(c_TMAP2IN))*((c_TMAP3OUT)-(c_TMAP2OUT))+IF(((c_TMAP3OUT)-(c_TMAP2OUT))&gt;=0,1,-1)*QUOTIENT(((c_TMAP3IN)-(c_TMAP2IN)),2))+2147483648,4294967296)-2147483648,((c_TMAP3IN)-(c_TMAP2IN))*(((A539)-(c_TMAP2IN))*((c_TMAP3OUT)-(c_TMAP2OUT))+IF(((c_TMAP3OUT)-(c_TMAP2OUT))&gt;=0,1,-1)*QUOTIENT(((c_TMAP3IN)-(c_TMAP2IN)),2)))&gt;=0,1,0)))</f>
        <v>329</v>
      </c>
      <c r="G539" s="7" t="n">
        <f aca="false">IF(((1000)-(c_TMAP3IN))=0,(c_TMAP3OUT)+QUOTIENT(((1000)-(c_TMAP3OUT)),2),QUOTIENT((((A539)-(c_TMAP3IN))*((1000)-(c_TMAP3OUT))+IF(((1000)-(c_TMAP3OUT))&gt;=0,1,-1)*QUOTIENT(((1000)-(c_TMAP3IN)),2)),((1000)-(c_TMAP3IN)))+(c_TMAP3OUT)+IF(((1000)-(c_TMAP3OUT))&gt;=0,IF(IF(o_WRAP=1,MOD(((1000)-(c_TMAP3IN))*(((A539)-(c_TMAP3IN))*((1000)-(c_TMAP3OUT))+IF(((1000)-(c_TMAP3OUT))&gt;=0,1,-1)*QUOTIENT(((1000)-(c_TMAP3IN)),2))+2147483648,4294967296)-2147483648,((1000)-(c_TMAP3IN))*(((A539)-(c_TMAP3IN))*((1000)-(c_TMAP3OUT))+IF(((1000)-(c_TMAP3OUT))&gt;=0,1,-1)*QUOTIENT(((1000)-(c_TMAP3IN)),2)))&lt;0,-1,0),IF(IF(o_WRAP=1,MOD(((1000)-(c_TMAP3IN))*(((A539)-(c_TMAP3IN))*((1000)-(c_TMAP3OUT))+IF(((1000)-(c_TMAP3OUT))&gt;=0,1,-1)*QUOTIENT(((1000)-(c_TMAP3IN)),2))+2147483648,4294967296)-2147483648,((1000)-(c_TMAP3IN))*(((A539)-(c_TMAP3IN))*((1000)-(c_TMAP3OUT))+IF(((1000)-(c_TMAP3OUT))&gt;=0,1,-1)*QUOTIENT(((1000)-(c_TMAP3IN)),2)))&gt;=0,1,0)))</f>
        <v>426</v>
      </c>
      <c r="H539" s="7" t="str">
        <f aca="false">IF(A539&gt;=c_TFWD,IF(AND(A539&gt;=c_TMAP3IN,c_TMAP3IN&lt;1000),"Seg4 map3-100%",IF(AND(A539&gt;=c_TMAP2IN,c_TMAP3IN&gt;c_TMAP2IN),"Seg3 map2-map3",IF(AND(A539&gt;=c_TMAP1IN,c_TMAP2IN&gt;c_TMAP1IN),"Seg2 map1-map2","Seg1 TFWD-map1"))),IF(AND(A539=0,c_TCREEP&gt;0),"Creep",IF(AND(A539&lt;=c_TRNGMIN,A539&gt;=c_TRNGMAX,c_TRNGMIN-c_TRNGMAX&lt;&gt;0),"Regen ramp","Coast (0)")))</f>
        <v>Seg4 map3-100%</v>
      </c>
      <c r="I539" s="7" t="n">
        <f aca="false">IF(A539&gt;=c_TFWD,IF(AND(A539&gt;=c_TMAP3IN,c_TMAP3IN&lt;1000),G539,IF(AND(A539&gt;=c_TMAP2IN,c_TMAP3IN&gt;c_TMAP2IN),F539,IF(AND(A539&gt;=c_TMAP1IN,c_TMAP2IN&gt;c_TMAP1IN),E539,D539))),C539)</f>
        <v>426</v>
      </c>
      <c r="J539" s="7" t="str">
        <f aca="false">IF(I539&lt;-1090,"TOO LOW",IF(I539&gt;1090,"TOO HIGH",""))</f>
        <v/>
      </c>
      <c r="K539" s="15" t="n">
        <f aca="false">IF(J539&lt;&gt;"",0,IF(I539&gt;979,1000,I539))</f>
        <v>426</v>
      </c>
      <c r="L539" s="7" t="n">
        <f aca="false">K539/10</f>
        <v>42.6</v>
      </c>
    </row>
    <row r="540" customFormat="false" ht="15" hidden="false" customHeight="false" outlineLevel="0" collapsed="false">
      <c r="A540" s="7" t="n">
        <v>535</v>
      </c>
      <c r="B540" s="7" t="n">
        <f aca="false">A540/10</f>
        <v>53.5</v>
      </c>
      <c r="C540" s="7" t="n">
        <f aca="false">IF(AND(A540=0,c_TCREEP&gt;0),10*c_TCREEP,IF(AND(A540&lt;=c_TRNGMIN,A540&gt;=c_TRNGMAX,c_TRNGMIN-c_TRNGMAX&lt;&gt;0),-10*c_TMINRN+QUOTIENT((c_TMAXRN-c_TMINRN)*(100-QUOTIENT((A540-c_TRNGMAX)*100,c_TRNGMIN-c_TRNGMAX)),-10),0))</f>
        <v>0</v>
      </c>
      <c r="D540" s="7" t="n">
        <f aca="false">IF(((c_TMAP1IN)-(c_TFWD))=0,(0)+QUOTIENT(((c_TMAP1OUT)-(0)),2),QUOTIENT((((A540)-(c_TFWD))*((c_TMAP1OUT)-(0))+IF(((c_TMAP1OUT)-(0))&gt;=0,1,-1)*QUOTIENT(((c_TMAP1IN)-(c_TFWD)),2)),((c_TMAP1IN)-(c_TFWD)))+(0)+IF(((c_TMAP1OUT)-(0))&gt;=0,IF(IF(o_WRAP=1,MOD(((c_TMAP1IN)-(c_TFWD))*(((A540)-(c_TFWD))*((c_TMAP1OUT)-(0))+IF(((c_TMAP1OUT)-(0))&gt;=0,1,-1)*QUOTIENT(((c_TMAP1IN)-(c_TFWD)),2))+2147483648,4294967296)-2147483648,((c_TMAP1IN)-(c_TFWD))*(((A540)-(c_TFWD))*((c_TMAP1OUT)-(0))+IF(((c_TMAP1OUT)-(0))&gt;=0,1,-1)*QUOTIENT(((c_TMAP1IN)-(c_TFWD)),2)))&lt;0,-1,0),IF(IF(o_WRAP=1,MOD(((c_TMAP1IN)-(c_TFWD))*(((A540)-(c_TFWD))*((c_TMAP1OUT)-(0))+IF(((c_TMAP1OUT)-(0))&gt;=0,1,-1)*QUOTIENT(((c_TMAP1IN)-(c_TFWD)),2))+2147483648,4294967296)-2147483648,((c_TMAP1IN)-(c_TFWD))*(((A540)-(c_TFWD))*((c_TMAP1OUT)-(0))+IF(((c_TMAP1OUT)-(0))&gt;=0,1,-1)*QUOTIENT(((c_TMAP1IN)-(c_TFWD)),2)))&gt;=0,1,0)))</f>
        <v>408</v>
      </c>
      <c r="E540" s="7" t="n">
        <f aca="false">IF(((c_TMAP2IN)-(c_TMAP1IN))=0,(c_TMAP1OUT)+QUOTIENT(((c_TMAP2OUT)-(c_TMAP1OUT)),2),QUOTIENT((((A540)-(c_TMAP1IN))*((c_TMAP2OUT)-(c_TMAP1OUT))+IF(((c_TMAP2OUT)-(c_TMAP1OUT))&gt;=0,1,-1)*QUOTIENT(((c_TMAP2IN)-(c_TMAP1IN)),2)),((c_TMAP2IN)-(c_TMAP1IN)))+(c_TMAP1OUT)+IF(((c_TMAP2OUT)-(c_TMAP1OUT))&gt;=0,IF(IF(o_WRAP=1,MOD(((c_TMAP2IN)-(c_TMAP1IN))*(((A540)-(c_TMAP1IN))*((c_TMAP2OUT)-(c_TMAP1OUT))+IF(((c_TMAP2OUT)-(c_TMAP1OUT))&gt;=0,1,-1)*QUOTIENT(((c_TMAP2IN)-(c_TMAP1IN)),2))+2147483648,4294967296)-2147483648,((c_TMAP2IN)-(c_TMAP1IN))*(((A540)-(c_TMAP1IN))*((c_TMAP2OUT)-(c_TMAP1OUT))+IF(((c_TMAP2OUT)-(c_TMAP1OUT))&gt;=0,1,-1)*QUOTIENT(((c_TMAP2IN)-(c_TMAP1IN)),2)))&lt;0,-1,0),IF(IF(o_WRAP=1,MOD(((c_TMAP2IN)-(c_TMAP1IN))*(((A540)-(c_TMAP1IN))*((c_TMAP2OUT)-(c_TMAP1OUT))+IF(((c_TMAP2OUT)-(c_TMAP1OUT))&gt;=0,1,-1)*QUOTIENT(((c_TMAP2IN)-(c_TMAP1IN)),2))+2147483648,4294967296)-2147483648,((c_TMAP2IN)-(c_TMAP1IN))*(((A540)-(c_TMAP1IN))*((c_TMAP2OUT)-(c_TMAP1OUT))+IF(((c_TMAP2OUT)-(c_TMAP1OUT))&gt;=0,1,-1)*QUOTIENT(((c_TMAP2IN)-(c_TMAP1IN)),2)))&gt;=0,1,0)))</f>
        <v>244</v>
      </c>
      <c r="F540" s="7" t="n">
        <f aca="false">IF(((c_TMAP3IN)-(c_TMAP2IN))=0,(c_TMAP2OUT)+QUOTIENT(((c_TMAP3OUT)-(c_TMAP2OUT)),2),QUOTIENT((((A540)-(c_TMAP2IN))*((c_TMAP3OUT)-(c_TMAP2OUT))+IF(((c_TMAP3OUT)-(c_TMAP2OUT))&gt;=0,1,-1)*QUOTIENT(((c_TMAP3IN)-(c_TMAP2IN)),2)),((c_TMAP3IN)-(c_TMAP2IN)))+(c_TMAP2OUT)+IF(((c_TMAP3OUT)-(c_TMAP2OUT))&gt;=0,IF(IF(o_WRAP=1,MOD(((c_TMAP3IN)-(c_TMAP2IN))*(((A540)-(c_TMAP2IN))*((c_TMAP3OUT)-(c_TMAP2OUT))+IF(((c_TMAP3OUT)-(c_TMAP2OUT))&gt;=0,1,-1)*QUOTIENT(((c_TMAP3IN)-(c_TMAP2IN)),2))+2147483648,4294967296)-2147483648,((c_TMAP3IN)-(c_TMAP2IN))*(((A540)-(c_TMAP2IN))*((c_TMAP3OUT)-(c_TMAP2OUT))+IF(((c_TMAP3OUT)-(c_TMAP2OUT))&gt;=0,1,-1)*QUOTIENT(((c_TMAP3IN)-(c_TMAP2IN)),2)))&lt;0,-1,0),IF(IF(o_WRAP=1,MOD(((c_TMAP3IN)-(c_TMAP2IN))*(((A540)-(c_TMAP2IN))*((c_TMAP3OUT)-(c_TMAP2OUT))+IF(((c_TMAP3OUT)-(c_TMAP2OUT))&gt;=0,1,-1)*QUOTIENT(((c_TMAP3IN)-(c_TMAP2IN)),2))+2147483648,4294967296)-2147483648,((c_TMAP3IN)-(c_TMAP2IN))*(((A540)-(c_TMAP2IN))*((c_TMAP3OUT)-(c_TMAP2OUT))+IF(((c_TMAP3OUT)-(c_TMAP2OUT))&gt;=0,1,-1)*QUOTIENT(((c_TMAP3IN)-(c_TMAP2IN)),2)))&gt;=0,1,0)))</f>
        <v>330</v>
      </c>
      <c r="G540" s="7" t="n">
        <f aca="false">IF(((1000)-(c_TMAP3IN))=0,(c_TMAP3OUT)+QUOTIENT(((1000)-(c_TMAP3OUT)),2),QUOTIENT((((A540)-(c_TMAP3IN))*((1000)-(c_TMAP3OUT))+IF(((1000)-(c_TMAP3OUT))&gt;=0,1,-1)*QUOTIENT(((1000)-(c_TMAP3IN)),2)),((1000)-(c_TMAP3IN)))+(c_TMAP3OUT)+IF(((1000)-(c_TMAP3OUT))&gt;=0,IF(IF(o_WRAP=1,MOD(((1000)-(c_TMAP3IN))*(((A540)-(c_TMAP3IN))*((1000)-(c_TMAP3OUT))+IF(((1000)-(c_TMAP3OUT))&gt;=0,1,-1)*QUOTIENT(((1000)-(c_TMAP3IN)),2))+2147483648,4294967296)-2147483648,((1000)-(c_TMAP3IN))*(((A540)-(c_TMAP3IN))*((1000)-(c_TMAP3OUT))+IF(((1000)-(c_TMAP3OUT))&gt;=0,1,-1)*QUOTIENT(((1000)-(c_TMAP3IN)),2)))&lt;0,-1,0),IF(IF(o_WRAP=1,MOD(((1000)-(c_TMAP3IN))*(((A540)-(c_TMAP3IN))*((1000)-(c_TMAP3OUT))+IF(((1000)-(c_TMAP3OUT))&gt;=0,1,-1)*QUOTIENT(((1000)-(c_TMAP3IN)),2))+2147483648,4294967296)-2147483648,((1000)-(c_TMAP3IN))*(((A540)-(c_TMAP3IN))*((1000)-(c_TMAP3OUT))+IF(((1000)-(c_TMAP3OUT))&gt;=0,1,-1)*QUOTIENT(((1000)-(c_TMAP3IN)),2)))&gt;=0,1,0)))</f>
        <v>428</v>
      </c>
      <c r="H540" s="7" t="str">
        <f aca="false">IF(A540&gt;=c_TFWD,IF(AND(A540&gt;=c_TMAP3IN,c_TMAP3IN&lt;1000),"Seg4 map3-100%",IF(AND(A540&gt;=c_TMAP2IN,c_TMAP3IN&gt;c_TMAP2IN),"Seg3 map2-map3",IF(AND(A540&gt;=c_TMAP1IN,c_TMAP2IN&gt;c_TMAP1IN),"Seg2 map1-map2","Seg1 TFWD-map1"))),IF(AND(A540=0,c_TCREEP&gt;0),"Creep",IF(AND(A540&lt;=c_TRNGMIN,A540&gt;=c_TRNGMAX,c_TRNGMIN-c_TRNGMAX&lt;&gt;0),"Regen ramp","Coast (0)")))</f>
        <v>Seg4 map3-100%</v>
      </c>
      <c r="I540" s="7" t="n">
        <f aca="false">IF(A540&gt;=c_TFWD,IF(AND(A540&gt;=c_TMAP3IN,c_TMAP3IN&lt;1000),G540,IF(AND(A540&gt;=c_TMAP2IN,c_TMAP3IN&gt;c_TMAP2IN),F540,IF(AND(A540&gt;=c_TMAP1IN,c_TMAP2IN&gt;c_TMAP1IN),E540,D540))),C540)</f>
        <v>428</v>
      </c>
      <c r="J540" s="7" t="str">
        <f aca="false">IF(I540&lt;-1090,"TOO LOW",IF(I540&gt;1090,"TOO HIGH",""))</f>
        <v/>
      </c>
      <c r="K540" s="15" t="n">
        <f aca="false">IF(J540&lt;&gt;"",0,IF(I540&gt;979,1000,I540))</f>
        <v>428</v>
      </c>
      <c r="L540" s="7" t="n">
        <f aca="false">K540/10</f>
        <v>42.8</v>
      </c>
    </row>
    <row r="541" customFormat="false" ht="15" hidden="false" customHeight="false" outlineLevel="0" collapsed="false">
      <c r="A541" s="7" t="n">
        <v>536</v>
      </c>
      <c r="B541" s="7" t="n">
        <f aca="false">A541/10</f>
        <v>53.6</v>
      </c>
      <c r="C541" s="7" t="n">
        <f aca="false">IF(AND(A541=0,c_TCREEP&gt;0),10*c_TCREEP,IF(AND(A541&lt;=c_TRNGMIN,A541&gt;=c_TRNGMAX,c_TRNGMIN-c_TRNGMAX&lt;&gt;0),-10*c_TMINRN+QUOTIENT((c_TMAXRN-c_TMINRN)*(100-QUOTIENT((A541-c_TRNGMAX)*100,c_TRNGMIN-c_TRNGMAX)),-10),0))</f>
        <v>0</v>
      </c>
      <c r="D541" s="7" t="n">
        <f aca="false">IF(((c_TMAP1IN)-(c_TFWD))=0,(0)+QUOTIENT(((c_TMAP1OUT)-(0)),2),QUOTIENT((((A541)-(c_TFWD))*((c_TMAP1OUT)-(0))+IF(((c_TMAP1OUT)-(0))&gt;=0,1,-1)*QUOTIENT(((c_TMAP1IN)-(c_TFWD)),2)),((c_TMAP1IN)-(c_TFWD)))+(0)+IF(((c_TMAP1OUT)-(0))&gt;=0,IF(IF(o_WRAP=1,MOD(((c_TMAP1IN)-(c_TFWD))*(((A541)-(c_TFWD))*((c_TMAP1OUT)-(0))+IF(((c_TMAP1OUT)-(0))&gt;=0,1,-1)*QUOTIENT(((c_TMAP1IN)-(c_TFWD)),2))+2147483648,4294967296)-2147483648,((c_TMAP1IN)-(c_TFWD))*(((A541)-(c_TFWD))*((c_TMAP1OUT)-(0))+IF(((c_TMAP1OUT)-(0))&gt;=0,1,-1)*QUOTIENT(((c_TMAP1IN)-(c_TFWD)),2)))&lt;0,-1,0),IF(IF(o_WRAP=1,MOD(((c_TMAP1IN)-(c_TFWD))*(((A541)-(c_TFWD))*((c_TMAP1OUT)-(0))+IF(((c_TMAP1OUT)-(0))&gt;=0,1,-1)*QUOTIENT(((c_TMAP1IN)-(c_TFWD)),2))+2147483648,4294967296)-2147483648,((c_TMAP1IN)-(c_TFWD))*(((A541)-(c_TFWD))*((c_TMAP1OUT)-(0))+IF(((c_TMAP1OUT)-(0))&gt;=0,1,-1)*QUOTIENT(((c_TMAP1IN)-(c_TFWD)),2)))&gt;=0,1,0)))</f>
        <v>409</v>
      </c>
      <c r="E541" s="7" t="n">
        <f aca="false">IF(((c_TMAP2IN)-(c_TMAP1IN))=0,(c_TMAP1OUT)+QUOTIENT(((c_TMAP2OUT)-(c_TMAP1OUT)),2),QUOTIENT((((A541)-(c_TMAP1IN))*((c_TMAP2OUT)-(c_TMAP1OUT))+IF(((c_TMAP2OUT)-(c_TMAP1OUT))&gt;=0,1,-1)*QUOTIENT(((c_TMAP2IN)-(c_TMAP1IN)),2)),((c_TMAP2IN)-(c_TMAP1IN)))+(c_TMAP1OUT)+IF(((c_TMAP2OUT)-(c_TMAP1OUT))&gt;=0,IF(IF(o_WRAP=1,MOD(((c_TMAP2IN)-(c_TMAP1IN))*(((A541)-(c_TMAP1IN))*((c_TMAP2OUT)-(c_TMAP1OUT))+IF(((c_TMAP2OUT)-(c_TMAP1OUT))&gt;=0,1,-1)*QUOTIENT(((c_TMAP2IN)-(c_TMAP1IN)),2))+2147483648,4294967296)-2147483648,((c_TMAP2IN)-(c_TMAP1IN))*(((A541)-(c_TMAP1IN))*((c_TMAP2OUT)-(c_TMAP1OUT))+IF(((c_TMAP2OUT)-(c_TMAP1OUT))&gt;=0,1,-1)*QUOTIENT(((c_TMAP2IN)-(c_TMAP1IN)),2)))&lt;0,-1,0),IF(IF(o_WRAP=1,MOD(((c_TMAP2IN)-(c_TMAP1IN))*(((A541)-(c_TMAP1IN))*((c_TMAP2OUT)-(c_TMAP1OUT))+IF(((c_TMAP2OUT)-(c_TMAP1OUT))&gt;=0,1,-1)*QUOTIENT(((c_TMAP2IN)-(c_TMAP1IN)),2))+2147483648,4294967296)-2147483648,((c_TMAP2IN)-(c_TMAP1IN))*(((A541)-(c_TMAP1IN))*((c_TMAP2OUT)-(c_TMAP1OUT))+IF(((c_TMAP2OUT)-(c_TMAP1OUT))&gt;=0,1,-1)*QUOTIENT(((c_TMAP2IN)-(c_TMAP1IN)),2)))&gt;=0,1,0)))</f>
        <v>244</v>
      </c>
      <c r="F541" s="7" t="n">
        <f aca="false">IF(((c_TMAP3IN)-(c_TMAP2IN))=0,(c_TMAP2OUT)+QUOTIENT(((c_TMAP3OUT)-(c_TMAP2OUT)),2),QUOTIENT((((A541)-(c_TMAP2IN))*((c_TMAP3OUT)-(c_TMAP2OUT))+IF(((c_TMAP3OUT)-(c_TMAP2OUT))&gt;=0,1,-1)*QUOTIENT(((c_TMAP3IN)-(c_TMAP2IN)),2)),((c_TMAP3IN)-(c_TMAP2IN)))+(c_TMAP2OUT)+IF(((c_TMAP3OUT)-(c_TMAP2OUT))&gt;=0,IF(IF(o_WRAP=1,MOD(((c_TMAP3IN)-(c_TMAP2IN))*(((A541)-(c_TMAP2IN))*((c_TMAP3OUT)-(c_TMAP2OUT))+IF(((c_TMAP3OUT)-(c_TMAP2OUT))&gt;=0,1,-1)*QUOTIENT(((c_TMAP3IN)-(c_TMAP2IN)),2))+2147483648,4294967296)-2147483648,((c_TMAP3IN)-(c_TMAP2IN))*(((A541)-(c_TMAP2IN))*((c_TMAP3OUT)-(c_TMAP2OUT))+IF(((c_TMAP3OUT)-(c_TMAP2OUT))&gt;=0,1,-1)*QUOTIENT(((c_TMAP3IN)-(c_TMAP2IN)),2)))&lt;0,-1,0),IF(IF(o_WRAP=1,MOD(((c_TMAP3IN)-(c_TMAP2IN))*(((A541)-(c_TMAP2IN))*((c_TMAP3OUT)-(c_TMAP2OUT))+IF(((c_TMAP3OUT)-(c_TMAP2OUT))&gt;=0,1,-1)*QUOTIENT(((c_TMAP3IN)-(c_TMAP2IN)),2))+2147483648,4294967296)-2147483648,((c_TMAP3IN)-(c_TMAP2IN))*(((A541)-(c_TMAP2IN))*((c_TMAP3OUT)-(c_TMAP2OUT))+IF(((c_TMAP3OUT)-(c_TMAP2OUT))&gt;=0,1,-1)*QUOTIENT(((c_TMAP3IN)-(c_TMAP2IN)),2)))&gt;=0,1,0)))</f>
        <v>330</v>
      </c>
      <c r="G541" s="7" t="n">
        <f aca="false">IF(((1000)-(c_TMAP3IN))=0,(c_TMAP3OUT)+QUOTIENT(((1000)-(c_TMAP3OUT)),2),QUOTIENT((((A541)-(c_TMAP3IN))*((1000)-(c_TMAP3OUT))+IF(((1000)-(c_TMAP3OUT))&gt;=0,1,-1)*QUOTIENT(((1000)-(c_TMAP3IN)),2)),((1000)-(c_TMAP3IN)))+(c_TMAP3OUT)+IF(((1000)-(c_TMAP3OUT))&gt;=0,IF(IF(o_WRAP=1,MOD(((1000)-(c_TMAP3IN))*(((A541)-(c_TMAP3IN))*((1000)-(c_TMAP3OUT))+IF(((1000)-(c_TMAP3OUT))&gt;=0,1,-1)*QUOTIENT(((1000)-(c_TMAP3IN)),2))+2147483648,4294967296)-2147483648,((1000)-(c_TMAP3IN))*(((A541)-(c_TMAP3IN))*((1000)-(c_TMAP3OUT))+IF(((1000)-(c_TMAP3OUT))&gt;=0,1,-1)*QUOTIENT(((1000)-(c_TMAP3IN)),2)))&lt;0,-1,0),IF(IF(o_WRAP=1,MOD(((1000)-(c_TMAP3IN))*(((A541)-(c_TMAP3IN))*((1000)-(c_TMAP3OUT))+IF(((1000)-(c_TMAP3OUT))&gt;=0,1,-1)*QUOTIENT(((1000)-(c_TMAP3IN)),2))+2147483648,4294967296)-2147483648,((1000)-(c_TMAP3IN))*(((A541)-(c_TMAP3IN))*((1000)-(c_TMAP3OUT))+IF(((1000)-(c_TMAP3OUT))&gt;=0,1,-1)*QUOTIENT(((1000)-(c_TMAP3IN)),2)))&gt;=0,1,0)))</f>
        <v>429</v>
      </c>
      <c r="H541" s="7" t="str">
        <f aca="false">IF(A541&gt;=c_TFWD,IF(AND(A541&gt;=c_TMAP3IN,c_TMAP3IN&lt;1000),"Seg4 map3-100%",IF(AND(A541&gt;=c_TMAP2IN,c_TMAP3IN&gt;c_TMAP2IN),"Seg3 map2-map3",IF(AND(A541&gt;=c_TMAP1IN,c_TMAP2IN&gt;c_TMAP1IN),"Seg2 map1-map2","Seg1 TFWD-map1"))),IF(AND(A541=0,c_TCREEP&gt;0),"Creep",IF(AND(A541&lt;=c_TRNGMIN,A541&gt;=c_TRNGMAX,c_TRNGMIN-c_TRNGMAX&lt;&gt;0),"Regen ramp","Coast (0)")))</f>
        <v>Seg4 map3-100%</v>
      </c>
      <c r="I541" s="7" t="n">
        <f aca="false">IF(A541&gt;=c_TFWD,IF(AND(A541&gt;=c_TMAP3IN,c_TMAP3IN&lt;1000),G541,IF(AND(A541&gt;=c_TMAP2IN,c_TMAP3IN&gt;c_TMAP2IN),F541,IF(AND(A541&gt;=c_TMAP1IN,c_TMAP2IN&gt;c_TMAP1IN),E541,D541))),C541)</f>
        <v>429</v>
      </c>
      <c r="J541" s="7" t="str">
        <f aca="false">IF(I541&lt;-1090,"TOO LOW",IF(I541&gt;1090,"TOO HIGH",""))</f>
        <v/>
      </c>
      <c r="K541" s="15" t="n">
        <f aca="false">IF(J541&lt;&gt;"",0,IF(I541&gt;979,1000,I541))</f>
        <v>429</v>
      </c>
      <c r="L541" s="7" t="n">
        <f aca="false">K541/10</f>
        <v>42.9</v>
      </c>
    </row>
    <row r="542" customFormat="false" ht="15" hidden="false" customHeight="false" outlineLevel="0" collapsed="false">
      <c r="A542" s="7" t="n">
        <v>537</v>
      </c>
      <c r="B542" s="7" t="n">
        <f aca="false">A542/10</f>
        <v>53.7</v>
      </c>
      <c r="C542" s="7" t="n">
        <f aca="false">IF(AND(A542=0,c_TCREEP&gt;0),10*c_TCREEP,IF(AND(A542&lt;=c_TRNGMIN,A542&gt;=c_TRNGMAX,c_TRNGMIN-c_TRNGMAX&lt;&gt;0),-10*c_TMINRN+QUOTIENT((c_TMAXRN-c_TMINRN)*(100-QUOTIENT((A542-c_TRNGMAX)*100,c_TRNGMIN-c_TRNGMAX)),-10),0))</f>
        <v>0</v>
      </c>
      <c r="D542" s="7" t="n">
        <f aca="false">IF(((c_TMAP1IN)-(c_TFWD))=0,(0)+QUOTIENT(((c_TMAP1OUT)-(0)),2),QUOTIENT((((A542)-(c_TFWD))*((c_TMAP1OUT)-(0))+IF(((c_TMAP1OUT)-(0))&gt;=0,1,-1)*QUOTIENT(((c_TMAP1IN)-(c_TFWD)),2)),((c_TMAP1IN)-(c_TFWD)))+(0)+IF(((c_TMAP1OUT)-(0))&gt;=0,IF(IF(o_WRAP=1,MOD(((c_TMAP1IN)-(c_TFWD))*(((A542)-(c_TFWD))*((c_TMAP1OUT)-(0))+IF(((c_TMAP1OUT)-(0))&gt;=0,1,-1)*QUOTIENT(((c_TMAP1IN)-(c_TFWD)),2))+2147483648,4294967296)-2147483648,((c_TMAP1IN)-(c_TFWD))*(((A542)-(c_TFWD))*((c_TMAP1OUT)-(0))+IF(((c_TMAP1OUT)-(0))&gt;=0,1,-1)*QUOTIENT(((c_TMAP1IN)-(c_TFWD)),2)))&lt;0,-1,0),IF(IF(o_WRAP=1,MOD(((c_TMAP1IN)-(c_TFWD))*(((A542)-(c_TFWD))*((c_TMAP1OUT)-(0))+IF(((c_TMAP1OUT)-(0))&gt;=0,1,-1)*QUOTIENT(((c_TMAP1IN)-(c_TFWD)),2))+2147483648,4294967296)-2147483648,((c_TMAP1IN)-(c_TFWD))*(((A542)-(c_TFWD))*((c_TMAP1OUT)-(0))+IF(((c_TMAP1OUT)-(0))&gt;=0,1,-1)*QUOTIENT(((c_TMAP1IN)-(c_TFWD)),2)))&gt;=0,1,0)))</f>
        <v>410</v>
      </c>
      <c r="E542" s="7" t="n">
        <f aca="false">IF(((c_TMAP2IN)-(c_TMAP1IN))=0,(c_TMAP1OUT)+QUOTIENT(((c_TMAP2OUT)-(c_TMAP1OUT)),2),QUOTIENT((((A542)-(c_TMAP1IN))*((c_TMAP2OUT)-(c_TMAP1OUT))+IF(((c_TMAP2OUT)-(c_TMAP1OUT))&gt;=0,1,-1)*QUOTIENT(((c_TMAP2IN)-(c_TMAP1IN)),2)),((c_TMAP2IN)-(c_TMAP1IN)))+(c_TMAP1OUT)+IF(((c_TMAP2OUT)-(c_TMAP1OUT))&gt;=0,IF(IF(o_WRAP=1,MOD(((c_TMAP2IN)-(c_TMAP1IN))*(((A542)-(c_TMAP1IN))*((c_TMAP2OUT)-(c_TMAP1OUT))+IF(((c_TMAP2OUT)-(c_TMAP1OUT))&gt;=0,1,-1)*QUOTIENT(((c_TMAP2IN)-(c_TMAP1IN)),2))+2147483648,4294967296)-2147483648,((c_TMAP2IN)-(c_TMAP1IN))*(((A542)-(c_TMAP1IN))*((c_TMAP2OUT)-(c_TMAP1OUT))+IF(((c_TMAP2OUT)-(c_TMAP1OUT))&gt;=0,1,-1)*QUOTIENT(((c_TMAP2IN)-(c_TMAP1IN)),2)))&lt;0,-1,0),IF(IF(o_WRAP=1,MOD(((c_TMAP2IN)-(c_TMAP1IN))*(((A542)-(c_TMAP1IN))*((c_TMAP2OUT)-(c_TMAP1OUT))+IF(((c_TMAP2OUT)-(c_TMAP1OUT))&gt;=0,1,-1)*QUOTIENT(((c_TMAP2IN)-(c_TMAP1IN)),2))+2147483648,4294967296)-2147483648,((c_TMAP2IN)-(c_TMAP1IN))*(((A542)-(c_TMAP1IN))*((c_TMAP2OUT)-(c_TMAP1OUT))+IF(((c_TMAP2OUT)-(c_TMAP1OUT))&gt;=0,1,-1)*QUOTIENT(((c_TMAP2IN)-(c_TMAP1IN)),2)))&gt;=0,1,0)))</f>
        <v>245</v>
      </c>
      <c r="F542" s="7" t="n">
        <f aca="false">IF(((c_TMAP3IN)-(c_TMAP2IN))=0,(c_TMAP2OUT)+QUOTIENT(((c_TMAP3OUT)-(c_TMAP2OUT)),2),QUOTIENT((((A542)-(c_TMAP2IN))*((c_TMAP3OUT)-(c_TMAP2OUT))+IF(((c_TMAP3OUT)-(c_TMAP2OUT))&gt;=0,1,-1)*QUOTIENT(((c_TMAP3IN)-(c_TMAP2IN)),2)),((c_TMAP3IN)-(c_TMAP2IN)))+(c_TMAP2OUT)+IF(((c_TMAP3OUT)-(c_TMAP2OUT))&gt;=0,IF(IF(o_WRAP=1,MOD(((c_TMAP3IN)-(c_TMAP2IN))*(((A542)-(c_TMAP2IN))*((c_TMAP3OUT)-(c_TMAP2OUT))+IF(((c_TMAP3OUT)-(c_TMAP2OUT))&gt;=0,1,-1)*QUOTIENT(((c_TMAP3IN)-(c_TMAP2IN)),2))+2147483648,4294967296)-2147483648,((c_TMAP3IN)-(c_TMAP2IN))*(((A542)-(c_TMAP2IN))*((c_TMAP3OUT)-(c_TMAP2OUT))+IF(((c_TMAP3OUT)-(c_TMAP2OUT))&gt;=0,1,-1)*QUOTIENT(((c_TMAP3IN)-(c_TMAP2IN)),2)))&lt;0,-1,0),IF(IF(o_WRAP=1,MOD(((c_TMAP3IN)-(c_TMAP2IN))*(((A542)-(c_TMAP2IN))*((c_TMAP3OUT)-(c_TMAP2OUT))+IF(((c_TMAP3OUT)-(c_TMAP2OUT))&gt;=0,1,-1)*QUOTIENT(((c_TMAP3IN)-(c_TMAP2IN)),2))+2147483648,4294967296)-2147483648,((c_TMAP3IN)-(c_TMAP2IN))*(((A542)-(c_TMAP2IN))*((c_TMAP3OUT)-(c_TMAP2OUT))+IF(((c_TMAP3OUT)-(c_TMAP2OUT))&gt;=0,1,-1)*QUOTIENT(((c_TMAP3IN)-(c_TMAP2IN)),2)))&gt;=0,1,0)))</f>
        <v>331</v>
      </c>
      <c r="G542" s="7" t="n">
        <f aca="false">IF(((1000)-(c_TMAP3IN))=0,(c_TMAP3OUT)+QUOTIENT(((1000)-(c_TMAP3OUT)),2),QUOTIENT((((A542)-(c_TMAP3IN))*((1000)-(c_TMAP3OUT))+IF(((1000)-(c_TMAP3OUT))&gt;=0,1,-1)*QUOTIENT(((1000)-(c_TMAP3IN)),2)),((1000)-(c_TMAP3IN)))+(c_TMAP3OUT)+IF(((1000)-(c_TMAP3OUT))&gt;=0,IF(IF(o_WRAP=1,MOD(((1000)-(c_TMAP3IN))*(((A542)-(c_TMAP3IN))*((1000)-(c_TMAP3OUT))+IF(((1000)-(c_TMAP3OUT))&gt;=0,1,-1)*QUOTIENT(((1000)-(c_TMAP3IN)),2))+2147483648,4294967296)-2147483648,((1000)-(c_TMAP3IN))*(((A542)-(c_TMAP3IN))*((1000)-(c_TMAP3OUT))+IF(((1000)-(c_TMAP3OUT))&gt;=0,1,-1)*QUOTIENT(((1000)-(c_TMAP3IN)),2)))&lt;0,-1,0),IF(IF(o_WRAP=1,MOD(((1000)-(c_TMAP3IN))*(((A542)-(c_TMAP3IN))*((1000)-(c_TMAP3OUT))+IF(((1000)-(c_TMAP3OUT))&gt;=0,1,-1)*QUOTIENT(((1000)-(c_TMAP3IN)),2))+2147483648,4294967296)-2147483648,((1000)-(c_TMAP3IN))*(((A542)-(c_TMAP3IN))*((1000)-(c_TMAP3OUT))+IF(((1000)-(c_TMAP3OUT))&gt;=0,1,-1)*QUOTIENT(((1000)-(c_TMAP3IN)),2)))&gt;=0,1,0)))</f>
        <v>430</v>
      </c>
      <c r="H542" s="7" t="str">
        <f aca="false">IF(A542&gt;=c_TFWD,IF(AND(A542&gt;=c_TMAP3IN,c_TMAP3IN&lt;1000),"Seg4 map3-100%",IF(AND(A542&gt;=c_TMAP2IN,c_TMAP3IN&gt;c_TMAP2IN),"Seg3 map2-map3",IF(AND(A542&gt;=c_TMAP1IN,c_TMAP2IN&gt;c_TMAP1IN),"Seg2 map1-map2","Seg1 TFWD-map1"))),IF(AND(A542=0,c_TCREEP&gt;0),"Creep",IF(AND(A542&lt;=c_TRNGMIN,A542&gt;=c_TRNGMAX,c_TRNGMIN-c_TRNGMAX&lt;&gt;0),"Regen ramp","Coast (0)")))</f>
        <v>Seg4 map3-100%</v>
      </c>
      <c r="I542" s="7" t="n">
        <f aca="false">IF(A542&gt;=c_TFWD,IF(AND(A542&gt;=c_TMAP3IN,c_TMAP3IN&lt;1000),G542,IF(AND(A542&gt;=c_TMAP2IN,c_TMAP3IN&gt;c_TMAP2IN),F542,IF(AND(A542&gt;=c_TMAP1IN,c_TMAP2IN&gt;c_TMAP1IN),E542,D542))),C542)</f>
        <v>430</v>
      </c>
      <c r="J542" s="7" t="str">
        <f aca="false">IF(I542&lt;-1090,"TOO LOW",IF(I542&gt;1090,"TOO HIGH",""))</f>
        <v/>
      </c>
      <c r="K542" s="15" t="n">
        <f aca="false">IF(J542&lt;&gt;"",0,IF(I542&gt;979,1000,I542))</f>
        <v>430</v>
      </c>
      <c r="L542" s="7" t="n">
        <f aca="false">K542/10</f>
        <v>43</v>
      </c>
    </row>
    <row r="543" customFormat="false" ht="15" hidden="false" customHeight="false" outlineLevel="0" collapsed="false">
      <c r="A543" s="7" t="n">
        <v>538</v>
      </c>
      <c r="B543" s="7" t="n">
        <f aca="false">A543/10</f>
        <v>53.8</v>
      </c>
      <c r="C543" s="7" t="n">
        <f aca="false">IF(AND(A543=0,c_TCREEP&gt;0),10*c_TCREEP,IF(AND(A543&lt;=c_TRNGMIN,A543&gt;=c_TRNGMAX,c_TRNGMIN-c_TRNGMAX&lt;&gt;0),-10*c_TMINRN+QUOTIENT((c_TMAXRN-c_TMINRN)*(100-QUOTIENT((A543-c_TRNGMAX)*100,c_TRNGMIN-c_TRNGMAX)),-10),0))</f>
        <v>0</v>
      </c>
      <c r="D543" s="7" t="n">
        <f aca="false">IF(((c_TMAP1IN)-(c_TFWD))=0,(0)+QUOTIENT(((c_TMAP1OUT)-(0)),2),QUOTIENT((((A543)-(c_TFWD))*((c_TMAP1OUT)-(0))+IF(((c_TMAP1OUT)-(0))&gt;=0,1,-1)*QUOTIENT(((c_TMAP1IN)-(c_TFWD)),2)),((c_TMAP1IN)-(c_TFWD)))+(0)+IF(((c_TMAP1OUT)-(0))&gt;=0,IF(IF(o_WRAP=1,MOD(((c_TMAP1IN)-(c_TFWD))*(((A543)-(c_TFWD))*((c_TMAP1OUT)-(0))+IF(((c_TMAP1OUT)-(0))&gt;=0,1,-1)*QUOTIENT(((c_TMAP1IN)-(c_TFWD)),2))+2147483648,4294967296)-2147483648,((c_TMAP1IN)-(c_TFWD))*(((A543)-(c_TFWD))*((c_TMAP1OUT)-(0))+IF(((c_TMAP1OUT)-(0))&gt;=0,1,-1)*QUOTIENT(((c_TMAP1IN)-(c_TFWD)),2)))&lt;0,-1,0),IF(IF(o_WRAP=1,MOD(((c_TMAP1IN)-(c_TFWD))*(((A543)-(c_TFWD))*((c_TMAP1OUT)-(0))+IF(((c_TMAP1OUT)-(0))&gt;=0,1,-1)*QUOTIENT(((c_TMAP1IN)-(c_TFWD)),2))+2147483648,4294967296)-2147483648,((c_TMAP1IN)-(c_TFWD))*(((A543)-(c_TFWD))*((c_TMAP1OUT)-(0))+IF(((c_TMAP1OUT)-(0))&gt;=0,1,-1)*QUOTIENT(((c_TMAP1IN)-(c_TFWD)),2)))&gt;=0,1,0)))</f>
        <v>411</v>
      </c>
      <c r="E543" s="7" t="n">
        <f aca="false">IF(((c_TMAP2IN)-(c_TMAP1IN))=0,(c_TMAP1OUT)+QUOTIENT(((c_TMAP2OUT)-(c_TMAP1OUT)),2),QUOTIENT((((A543)-(c_TMAP1IN))*((c_TMAP2OUT)-(c_TMAP1OUT))+IF(((c_TMAP2OUT)-(c_TMAP1OUT))&gt;=0,1,-1)*QUOTIENT(((c_TMAP2IN)-(c_TMAP1IN)),2)),((c_TMAP2IN)-(c_TMAP1IN)))+(c_TMAP1OUT)+IF(((c_TMAP2OUT)-(c_TMAP1OUT))&gt;=0,IF(IF(o_WRAP=1,MOD(((c_TMAP2IN)-(c_TMAP1IN))*(((A543)-(c_TMAP1IN))*((c_TMAP2OUT)-(c_TMAP1OUT))+IF(((c_TMAP2OUT)-(c_TMAP1OUT))&gt;=0,1,-1)*QUOTIENT(((c_TMAP2IN)-(c_TMAP1IN)),2))+2147483648,4294967296)-2147483648,((c_TMAP2IN)-(c_TMAP1IN))*(((A543)-(c_TMAP1IN))*((c_TMAP2OUT)-(c_TMAP1OUT))+IF(((c_TMAP2OUT)-(c_TMAP1OUT))&gt;=0,1,-1)*QUOTIENT(((c_TMAP2IN)-(c_TMAP1IN)),2)))&lt;0,-1,0),IF(IF(o_WRAP=1,MOD(((c_TMAP2IN)-(c_TMAP1IN))*(((A543)-(c_TMAP1IN))*((c_TMAP2OUT)-(c_TMAP1OUT))+IF(((c_TMAP2OUT)-(c_TMAP1OUT))&gt;=0,1,-1)*QUOTIENT(((c_TMAP2IN)-(c_TMAP1IN)),2))+2147483648,4294967296)-2147483648,((c_TMAP2IN)-(c_TMAP1IN))*(((A543)-(c_TMAP1IN))*((c_TMAP2OUT)-(c_TMAP1OUT))+IF(((c_TMAP2OUT)-(c_TMAP1OUT))&gt;=0,1,-1)*QUOTIENT(((c_TMAP2IN)-(c_TMAP1IN)),2)))&gt;=0,1,0)))</f>
        <v>245</v>
      </c>
      <c r="F543" s="7" t="n">
        <f aca="false">IF(((c_TMAP3IN)-(c_TMAP2IN))=0,(c_TMAP2OUT)+QUOTIENT(((c_TMAP3OUT)-(c_TMAP2OUT)),2),QUOTIENT((((A543)-(c_TMAP2IN))*((c_TMAP3OUT)-(c_TMAP2OUT))+IF(((c_TMAP3OUT)-(c_TMAP2OUT))&gt;=0,1,-1)*QUOTIENT(((c_TMAP3IN)-(c_TMAP2IN)),2)),((c_TMAP3IN)-(c_TMAP2IN)))+(c_TMAP2OUT)+IF(((c_TMAP3OUT)-(c_TMAP2OUT))&gt;=0,IF(IF(o_WRAP=1,MOD(((c_TMAP3IN)-(c_TMAP2IN))*(((A543)-(c_TMAP2IN))*((c_TMAP3OUT)-(c_TMAP2OUT))+IF(((c_TMAP3OUT)-(c_TMAP2OUT))&gt;=0,1,-1)*QUOTIENT(((c_TMAP3IN)-(c_TMAP2IN)),2))+2147483648,4294967296)-2147483648,((c_TMAP3IN)-(c_TMAP2IN))*(((A543)-(c_TMAP2IN))*((c_TMAP3OUT)-(c_TMAP2OUT))+IF(((c_TMAP3OUT)-(c_TMAP2OUT))&gt;=0,1,-1)*QUOTIENT(((c_TMAP3IN)-(c_TMAP2IN)),2)))&lt;0,-1,0),IF(IF(o_WRAP=1,MOD(((c_TMAP3IN)-(c_TMAP2IN))*(((A543)-(c_TMAP2IN))*((c_TMAP3OUT)-(c_TMAP2OUT))+IF(((c_TMAP3OUT)-(c_TMAP2OUT))&gt;=0,1,-1)*QUOTIENT(((c_TMAP3IN)-(c_TMAP2IN)),2))+2147483648,4294967296)-2147483648,((c_TMAP3IN)-(c_TMAP2IN))*(((A543)-(c_TMAP2IN))*((c_TMAP3OUT)-(c_TMAP2OUT))+IF(((c_TMAP3OUT)-(c_TMAP2OUT))&gt;=0,1,-1)*QUOTIENT(((c_TMAP3IN)-(c_TMAP2IN)),2)))&gt;=0,1,0)))</f>
        <v>332</v>
      </c>
      <c r="G543" s="7" t="n">
        <f aca="false">IF(((1000)-(c_TMAP3IN))=0,(c_TMAP3OUT)+QUOTIENT(((1000)-(c_TMAP3OUT)),2),QUOTIENT((((A543)-(c_TMAP3IN))*((1000)-(c_TMAP3OUT))+IF(((1000)-(c_TMAP3OUT))&gt;=0,1,-1)*QUOTIENT(((1000)-(c_TMAP3IN)),2)),((1000)-(c_TMAP3IN)))+(c_TMAP3OUT)+IF(((1000)-(c_TMAP3OUT))&gt;=0,IF(IF(o_WRAP=1,MOD(((1000)-(c_TMAP3IN))*(((A543)-(c_TMAP3IN))*((1000)-(c_TMAP3OUT))+IF(((1000)-(c_TMAP3OUT))&gt;=0,1,-1)*QUOTIENT(((1000)-(c_TMAP3IN)),2))+2147483648,4294967296)-2147483648,((1000)-(c_TMAP3IN))*(((A543)-(c_TMAP3IN))*((1000)-(c_TMAP3OUT))+IF(((1000)-(c_TMAP3OUT))&gt;=0,1,-1)*QUOTIENT(((1000)-(c_TMAP3IN)),2)))&lt;0,-1,0),IF(IF(o_WRAP=1,MOD(((1000)-(c_TMAP3IN))*(((A543)-(c_TMAP3IN))*((1000)-(c_TMAP3OUT))+IF(((1000)-(c_TMAP3OUT))&gt;=0,1,-1)*QUOTIENT(((1000)-(c_TMAP3IN)),2))+2147483648,4294967296)-2147483648,((1000)-(c_TMAP3IN))*(((A543)-(c_TMAP3IN))*((1000)-(c_TMAP3OUT))+IF(((1000)-(c_TMAP3OUT))&gt;=0,1,-1)*QUOTIENT(((1000)-(c_TMAP3IN)),2)))&gt;=0,1,0)))</f>
        <v>431</v>
      </c>
      <c r="H543" s="7" t="str">
        <f aca="false">IF(A543&gt;=c_TFWD,IF(AND(A543&gt;=c_TMAP3IN,c_TMAP3IN&lt;1000),"Seg4 map3-100%",IF(AND(A543&gt;=c_TMAP2IN,c_TMAP3IN&gt;c_TMAP2IN),"Seg3 map2-map3",IF(AND(A543&gt;=c_TMAP1IN,c_TMAP2IN&gt;c_TMAP1IN),"Seg2 map1-map2","Seg1 TFWD-map1"))),IF(AND(A543=0,c_TCREEP&gt;0),"Creep",IF(AND(A543&lt;=c_TRNGMIN,A543&gt;=c_TRNGMAX,c_TRNGMIN-c_TRNGMAX&lt;&gt;0),"Regen ramp","Coast (0)")))</f>
        <v>Seg4 map3-100%</v>
      </c>
      <c r="I543" s="7" t="n">
        <f aca="false">IF(A543&gt;=c_TFWD,IF(AND(A543&gt;=c_TMAP3IN,c_TMAP3IN&lt;1000),G543,IF(AND(A543&gt;=c_TMAP2IN,c_TMAP3IN&gt;c_TMAP2IN),F543,IF(AND(A543&gt;=c_TMAP1IN,c_TMAP2IN&gt;c_TMAP1IN),E543,D543))),C543)</f>
        <v>431</v>
      </c>
      <c r="J543" s="7" t="str">
        <f aca="false">IF(I543&lt;-1090,"TOO LOW",IF(I543&gt;1090,"TOO HIGH",""))</f>
        <v/>
      </c>
      <c r="K543" s="15" t="n">
        <f aca="false">IF(J543&lt;&gt;"",0,IF(I543&gt;979,1000,I543))</f>
        <v>431</v>
      </c>
      <c r="L543" s="7" t="n">
        <f aca="false">K543/10</f>
        <v>43.1</v>
      </c>
    </row>
    <row r="544" customFormat="false" ht="15" hidden="false" customHeight="false" outlineLevel="0" collapsed="false">
      <c r="A544" s="7" t="n">
        <v>539</v>
      </c>
      <c r="B544" s="7" t="n">
        <f aca="false">A544/10</f>
        <v>53.9</v>
      </c>
      <c r="C544" s="7" t="n">
        <f aca="false">IF(AND(A544=0,c_TCREEP&gt;0),10*c_TCREEP,IF(AND(A544&lt;=c_TRNGMIN,A544&gt;=c_TRNGMAX,c_TRNGMIN-c_TRNGMAX&lt;&gt;0),-10*c_TMINRN+QUOTIENT((c_TMAXRN-c_TMINRN)*(100-QUOTIENT((A544-c_TRNGMAX)*100,c_TRNGMIN-c_TRNGMAX)),-10),0))</f>
        <v>0</v>
      </c>
      <c r="D544" s="7" t="n">
        <f aca="false">IF(((c_TMAP1IN)-(c_TFWD))=0,(0)+QUOTIENT(((c_TMAP1OUT)-(0)),2),QUOTIENT((((A544)-(c_TFWD))*((c_TMAP1OUT)-(0))+IF(((c_TMAP1OUT)-(0))&gt;=0,1,-1)*QUOTIENT(((c_TMAP1IN)-(c_TFWD)),2)),((c_TMAP1IN)-(c_TFWD)))+(0)+IF(((c_TMAP1OUT)-(0))&gt;=0,IF(IF(o_WRAP=1,MOD(((c_TMAP1IN)-(c_TFWD))*(((A544)-(c_TFWD))*((c_TMAP1OUT)-(0))+IF(((c_TMAP1OUT)-(0))&gt;=0,1,-1)*QUOTIENT(((c_TMAP1IN)-(c_TFWD)),2))+2147483648,4294967296)-2147483648,((c_TMAP1IN)-(c_TFWD))*(((A544)-(c_TFWD))*((c_TMAP1OUT)-(0))+IF(((c_TMAP1OUT)-(0))&gt;=0,1,-1)*QUOTIENT(((c_TMAP1IN)-(c_TFWD)),2)))&lt;0,-1,0),IF(IF(o_WRAP=1,MOD(((c_TMAP1IN)-(c_TFWD))*(((A544)-(c_TFWD))*((c_TMAP1OUT)-(0))+IF(((c_TMAP1OUT)-(0))&gt;=0,1,-1)*QUOTIENT(((c_TMAP1IN)-(c_TFWD)),2))+2147483648,4294967296)-2147483648,((c_TMAP1IN)-(c_TFWD))*(((A544)-(c_TFWD))*((c_TMAP1OUT)-(0))+IF(((c_TMAP1OUT)-(0))&gt;=0,1,-1)*QUOTIENT(((c_TMAP1IN)-(c_TFWD)),2)))&gt;=0,1,0)))</f>
        <v>411</v>
      </c>
      <c r="E544" s="7" t="n">
        <f aca="false">IF(((c_TMAP2IN)-(c_TMAP1IN))=0,(c_TMAP1OUT)+QUOTIENT(((c_TMAP2OUT)-(c_TMAP1OUT)),2),QUOTIENT((((A544)-(c_TMAP1IN))*((c_TMAP2OUT)-(c_TMAP1OUT))+IF(((c_TMAP2OUT)-(c_TMAP1OUT))&gt;=0,1,-1)*QUOTIENT(((c_TMAP2IN)-(c_TMAP1IN)),2)),((c_TMAP2IN)-(c_TMAP1IN)))+(c_TMAP1OUT)+IF(((c_TMAP2OUT)-(c_TMAP1OUT))&gt;=0,IF(IF(o_WRAP=1,MOD(((c_TMAP2IN)-(c_TMAP1IN))*(((A544)-(c_TMAP1IN))*((c_TMAP2OUT)-(c_TMAP1OUT))+IF(((c_TMAP2OUT)-(c_TMAP1OUT))&gt;=0,1,-1)*QUOTIENT(((c_TMAP2IN)-(c_TMAP1IN)),2))+2147483648,4294967296)-2147483648,((c_TMAP2IN)-(c_TMAP1IN))*(((A544)-(c_TMAP1IN))*((c_TMAP2OUT)-(c_TMAP1OUT))+IF(((c_TMAP2OUT)-(c_TMAP1OUT))&gt;=0,1,-1)*QUOTIENT(((c_TMAP2IN)-(c_TMAP1IN)),2)))&lt;0,-1,0),IF(IF(o_WRAP=1,MOD(((c_TMAP2IN)-(c_TMAP1IN))*(((A544)-(c_TMAP1IN))*((c_TMAP2OUT)-(c_TMAP1OUT))+IF(((c_TMAP2OUT)-(c_TMAP1OUT))&gt;=0,1,-1)*QUOTIENT(((c_TMAP2IN)-(c_TMAP1IN)),2))+2147483648,4294967296)-2147483648,((c_TMAP2IN)-(c_TMAP1IN))*(((A544)-(c_TMAP1IN))*((c_TMAP2OUT)-(c_TMAP1OUT))+IF(((c_TMAP2OUT)-(c_TMAP1OUT))&gt;=0,1,-1)*QUOTIENT(((c_TMAP2IN)-(c_TMAP1IN)),2)))&gt;=0,1,0)))</f>
        <v>246</v>
      </c>
      <c r="F544" s="7" t="n">
        <f aca="false">IF(((c_TMAP3IN)-(c_TMAP2IN))=0,(c_TMAP2OUT)+QUOTIENT(((c_TMAP3OUT)-(c_TMAP2OUT)),2),QUOTIENT((((A544)-(c_TMAP2IN))*((c_TMAP3OUT)-(c_TMAP2OUT))+IF(((c_TMAP3OUT)-(c_TMAP2OUT))&gt;=0,1,-1)*QUOTIENT(((c_TMAP3IN)-(c_TMAP2IN)),2)),((c_TMAP3IN)-(c_TMAP2IN)))+(c_TMAP2OUT)+IF(((c_TMAP3OUT)-(c_TMAP2OUT))&gt;=0,IF(IF(o_WRAP=1,MOD(((c_TMAP3IN)-(c_TMAP2IN))*(((A544)-(c_TMAP2IN))*((c_TMAP3OUT)-(c_TMAP2OUT))+IF(((c_TMAP3OUT)-(c_TMAP2OUT))&gt;=0,1,-1)*QUOTIENT(((c_TMAP3IN)-(c_TMAP2IN)),2))+2147483648,4294967296)-2147483648,((c_TMAP3IN)-(c_TMAP2IN))*(((A544)-(c_TMAP2IN))*((c_TMAP3OUT)-(c_TMAP2OUT))+IF(((c_TMAP3OUT)-(c_TMAP2OUT))&gt;=0,1,-1)*QUOTIENT(((c_TMAP3IN)-(c_TMAP2IN)),2)))&lt;0,-1,0),IF(IF(o_WRAP=1,MOD(((c_TMAP3IN)-(c_TMAP2IN))*(((A544)-(c_TMAP2IN))*((c_TMAP3OUT)-(c_TMAP2OUT))+IF(((c_TMAP3OUT)-(c_TMAP2OUT))&gt;=0,1,-1)*QUOTIENT(((c_TMAP3IN)-(c_TMAP2IN)),2))+2147483648,4294967296)-2147483648,((c_TMAP3IN)-(c_TMAP2IN))*(((A544)-(c_TMAP2IN))*((c_TMAP3OUT)-(c_TMAP2OUT))+IF(((c_TMAP3OUT)-(c_TMAP2OUT))&gt;=0,1,-1)*QUOTIENT(((c_TMAP3IN)-(c_TMAP2IN)),2)))&gt;=0,1,0)))</f>
        <v>332</v>
      </c>
      <c r="G544" s="7" t="n">
        <f aca="false">IF(((1000)-(c_TMAP3IN))=0,(c_TMAP3OUT)+QUOTIENT(((1000)-(c_TMAP3OUT)),2),QUOTIENT((((A544)-(c_TMAP3IN))*((1000)-(c_TMAP3OUT))+IF(((1000)-(c_TMAP3OUT))&gt;=0,1,-1)*QUOTIENT(((1000)-(c_TMAP3IN)),2)),((1000)-(c_TMAP3IN)))+(c_TMAP3OUT)+IF(((1000)-(c_TMAP3OUT))&gt;=0,IF(IF(o_WRAP=1,MOD(((1000)-(c_TMAP3IN))*(((A544)-(c_TMAP3IN))*((1000)-(c_TMAP3OUT))+IF(((1000)-(c_TMAP3OUT))&gt;=0,1,-1)*QUOTIENT(((1000)-(c_TMAP3IN)),2))+2147483648,4294967296)-2147483648,((1000)-(c_TMAP3IN))*(((A544)-(c_TMAP3IN))*((1000)-(c_TMAP3OUT))+IF(((1000)-(c_TMAP3OUT))&gt;=0,1,-1)*QUOTIENT(((1000)-(c_TMAP3IN)),2)))&lt;0,-1,0),IF(IF(o_WRAP=1,MOD(((1000)-(c_TMAP3IN))*(((A544)-(c_TMAP3IN))*((1000)-(c_TMAP3OUT))+IF(((1000)-(c_TMAP3OUT))&gt;=0,1,-1)*QUOTIENT(((1000)-(c_TMAP3IN)),2))+2147483648,4294967296)-2147483648,((1000)-(c_TMAP3IN))*(((A544)-(c_TMAP3IN))*((1000)-(c_TMAP3OUT))+IF(((1000)-(c_TMAP3OUT))&gt;=0,1,-1)*QUOTIENT(((1000)-(c_TMAP3IN)),2)))&gt;=0,1,0)))</f>
        <v>433</v>
      </c>
      <c r="H544" s="7" t="str">
        <f aca="false">IF(A544&gt;=c_TFWD,IF(AND(A544&gt;=c_TMAP3IN,c_TMAP3IN&lt;1000),"Seg4 map3-100%",IF(AND(A544&gt;=c_TMAP2IN,c_TMAP3IN&gt;c_TMAP2IN),"Seg3 map2-map3",IF(AND(A544&gt;=c_TMAP1IN,c_TMAP2IN&gt;c_TMAP1IN),"Seg2 map1-map2","Seg1 TFWD-map1"))),IF(AND(A544=0,c_TCREEP&gt;0),"Creep",IF(AND(A544&lt;=c_TRNGMIN,A544&gt;=c_TRNGMAX,c_TRNGMIN-c_TRNGMAX&lt;&gt;0),"Regen ramp","Coast (0)")))</f>
        <v>Seg4 map3-100%</v>
      </c>
      <c r="I544" s="7" t="n">
        <f aca="false">IF(A544&gt;=c_TFWD,IF(AND(A544&gt;=c_TMAP3IN,c_TMAP3IN&lt;1000),G544,IF(AND(A544&gt;=c_TMAP2IN,c_TMAP3IN&gt;c_TMAP2IN),F544,IF(AND(A544&gt;=c_TMAP1IN,c_TMAP2IN&gt;c_TMAP1IN),E544,D544))),C544)</f>
        <v>433</v>
      </c>
      <c r="J544" s="7" t="str">
        <f aca="false">IF(I544&lt;-1090,"TOO LOW",IF(I544&gt;1090,"TOO HIGH",""))</f>
        <v/>
      </c>
      <c r="K544" s="15" t="n">
        <f aca="false">IF(J544&lt;&gt;"",0,IF(I544&gt;979,1000,I544))</f>
        <v>433</v>
      </c>
      <c r="L544" s="7" t="n">
        <f aca="false">K544/10</f>
        <v>43.3</v>
      </c>
    </row>
    <row r="545" customFormat="false" ht="15" hidden="false" customHeight="false" outlineLevel="0" collapsed="false">
      <c r="A545" s="7" t="n">
        <v>540</v>
      </c>
      <c r="B545" s="7" t="n">
        <f aca="false">A545/10</f>
        <v>54</v>
      </c>
      <c r="C545" s="7" t="n">
        <f aca="false">IF(AND(A545=0,c_TCREEP&gt;0),10*c_TCREEP,IF(AND(A545&lt;=c_TRNGMIN,A545&gt;=c_TRNGMAX,c_TRNGMIN-c_TRNGMAX&lt;&gt;0),-10*c_TMINRN+QUOTIENT((c_TMAXRN-c_TMINRN)*(100-QUOTIENT((A545-c_TRNGMAX)*100,c_TRNGMIN-c_TRNGMAX)),-10),0))</f>
        <v>0</v>
      </c>
      <c r="D545" s="7" t="n">
        <f aca="false">IF(((c_TMAP1IN)-(c_TFWD))=0,(0)+QUOTIENT(((c_TMAP1OUT)-(0)),2),QUOTIENT((((A545)-(c_TFWD))*((c_TMAP1OUT)-(0))+IF(((c_TMAP1OUT)-(0))&gt;=0,1,-1)*QUOTIENT(((c_TMAP1IN)-(c_TFWD)),2)),((c_TMAP1IN)-(c_TFWD)))+(0)+IF(((c_TMAP1OUT)-(0))&gt;=0,IF(IF(o_WRAP=1,MOD(((c_TMAP1IN)-(c_TFWD))*(((A545)-(c_TFWD))*((c_TMAP1OUT)-(0))+IF(((c_TMAP1OUT)-(0))&gt;=0,1,-1)*QUOTIENT(((c_TMAP1IN)-(c_TFWD)),2))+2147483648,4294967296)-2147483648,((c_TMAP1IN)-(c_TFWD))*(((A545)-(c_TFWD))*((c_TMAP1OUT)-(0))+IF(((c_TMAP1OUT)-(0))&gt;=0,1,-1)*QUOTIENT(((c_TMAP1IN)-(c_TFWD)),2)))&lt;0,-1,0),IF(IF(o_WRAP=1,MOD(((c_TMAP1IN)-(c_TFWD))*(((A545)-(c_TFWD))*((c_TMAP1OUT)-(0))+IF(((c_TMAP1OUT)-(0))&gt;=0,1,-1)*QUOTIENT(((c_TMAP1IN)-(c_TFWD)),2))+2147483648,4294967296)-2147483648,((c_TMAP1IN)-(c_TFWD))*(((A545)-(c_TFWD))*((c_TMAP1OUT)-(0))+IF(((c_TMAP1OUT)-(0))&gt;=0,1,-1)*QUOTIENT(((c_TMAP1IN)-(c_TFWD)),2)))&gt;=0,1,0)))</f>
        <v>412</v>
      </c>
      <c r="E545" s="7" t="n">
        <f aca="false">IF(((c_TMAP2IN)-(c_TMAP1IN))=0,(c_TMAP1OUT)+QUOTIENT(((c_TMAP2OUT)-(c_TMAP1OUT)),2),QUOTIENT((((A545)-(c_TMAP1IN))*((c_TMAP2OUT)-(c_TMAP1OUT))+IF(((c_TMAP2OUT)-(c_TMAP1OUT))&gt;=0,1,-1)*QUOTIENT(((c_TMAP2IN)-(c_TMAP1IN)),2)),((c_TMAP2IN)-(c_TMAP1IN)))+(c_TMAP1OUT)+IF(((c_TMAP2OUT)-(c_TMAP1OUT))&gt;=0,IF(IF(o_WRAP=1,MOD(((c_TMAP2IN)-(c_TMAP1IN))*(((A545)-(c_TMAP1IN))*((c_TMAP2OUT)-(c_TMAP1OUT))+IF(((c_TMAP2OUT)-(c_TMAP1OUT))&gt;=0,1,-1)*QUOTIENT(((c_TMAP2IN)-(c_TMAP1IN)),2))+2147483648,4294967296)-2147483648,((c_TMAP2IN)-(c_TMAP1IN))*(((A545)-(c_TMAP1IN))*((c_TMAP2OUT)-(c_TMAP1OUT))+IF(((c_TMAP2OUT)-(c_TMAP1OUT))&gt;=0,1,-1)*QUOTIENT(((c_TMAP2IN)-(c_TMAP1IN)),2)))&lt;0,-1,0),IF(IF(o_WRAP=1,MOD(((c_TMAP2IN)-(c_TMAP1IN))*(((A545)-(c_TMAP1IN))*((c_TMAP2OUT)-(c_TMAP1OUT))+IF(((c_TMAP2OUT)-(c_TMAP1OUT))&gt;=0,1,-1)*QUOTIENT(((c_TMAP2IN)-(c_TMAP1IN)),2))+2147483648,4294967296)-2147483648,((c_TMAP2IN)-(c_TMAP1IN))*(((A545)-(c_TMAP1IN))*((c_TMAP2OUT)-(c_TMAP1OUT))+IF(((c_TMAP2OUT)-(c_TMAP1OUT))&gt;=0,1,-1)*QUOTIENT(((c_TMAP2IN)-(c_TMAP1IN)),2)))&gt;=0,1,0)))</f>
        <v>246</v>
      </c>
      <c r="F545" s="7" t="n">
        <f aca="false">IF(((c_TMAP3IN)-(c_TMAP2IN))=0,(c_TMAP2OUT)+QUOTIENT(((c_TMAP3OUT)-(c_TMAP2OUT)),2),QUOTIENT((((A545)-(c_TMAP2IN))*((c_TMAP3OUT)-(c_TMAP2OUT))+IF(((c_TMAP3OUT)-(c_TMAP2OUT))&gt;=0,1,-1)*QUOTIENT(((c_TMAP3IN)-(c_TMAP2IN)),2)),((c_TMAP3IN)-(c_TMAP2IN)))+(c_TMAP2OUT)+IF(((c_TMAP3OUT)-(c_TMAP2OUT))&gt;=0,IF(IF(o_WRAP=1,MOD(((c_TMAP3IN)-(c_TMAP2IN))*(((A545)-(c_TMAP2IN))*((c_TMAP3OUT)-(c_TMAP2OUT))+IF(((c_TMAP3OUT)-(c_TMAP2OUT))&gt;=0,1,-1)*QUOTIENT(((c_TMAP3IN)-(c_TMAP2IN)),2))+2147483648,4294967296)-2147483648,((c_TMAP3IN)-(c_TMAP2IN))*(((A545)-(c_TMAP2IN))*((c_TMAP3OUT)-(c_TMAP2OUT))+IF(((c_TMAP3OUT)-(c_TMAP2OUT))&gt;=0,1,-1)*QUOTIENT(((c_TMAP3IN)-(c_TMAP2IN)),2)))&lt;0,-1,0),IF(IF(o_WRAP=1,MOD(((c_TMAP3IN)-(c_TMAP2IN))*(((A545)-(c_TMAP2IN))*((c_TMAP3OUT)-(c_TMAP2OUT))+IF(((c_TMAP3OUT)-(c_TMAP2OUT))&gt;=0,1,-1)*QUOTIENT(((c_TMAP3IN)-(c_TMAP2IN)),2))+2147483648,4294967296)-2147483648,((c_TMAP3IN)-(c_TMAP2IN))*(((A545)-(c_TMAP2IN))*((c_TMAP3OUT)-(c_TMAP2OUT))+IF(((c_TMAP3OUT)-(c_TMAP2OUT))&gt;=0,1,-1)*QUOTIENT(((c_TMAP3IN)-(c_TMAP2IN)),2)))&gt;=0,1,0)))</f>
        <v>333</v>
      </c>
      <c r="G545" s="7" t="n">
        <f aca="false">IF(((1000)-(c_TMAP3IN))=0,(c_TMAP3OUT)+QUOTIENT(((1000)-(c_TMAP3OUT)),2),QUOTIENT((((A545)-(c_TMAP3IN))*((1000)-(c_TMAP3OUT))+IF(((1000)-(c_TMAP3OUT))&gt;=0,1,-1)*QUOTIENT(((1000)-(c_TMAP3IN)),2)),((1000)-(c_TMAP3IN)))+(c_TMAP3OUT)+IF(((1000)-(c_TMAP3OUT))&gt;=0,IF(IF(o_WRAP=1,MOD(((1000)-(c_TMAP3IN))*(((A545)-(c_TMAP3IN))*((1000)-(c_TMAP3OUT))+IF(((1000)-(c_TMAP3OUT))&gt;=0,1,-1)*QUOTIENT(((1000)-(c_TMAP3IN)),2))+2147483648,4294967296)-2147483648,((1000)-(c_TMAP3IN))*(((A545)-(c_TMAP3IN))*((1000)-(c_TMAP3OUT))+IF(((1000)-(c_TMAP3OUT))&gt;=0,1,-1)*QUOTIENT(((1000)-(c_TMAP3IN)),2)))&lt;0,-1,0),IF(IF(o_WRAP=1,MOD(((1000)-(c_TMAP3IN))*(((A545)-(c_TMAP3IN))*((1000)-(c_TMAP3OUT))+IF(((1000)-(c_TMAP3OUT))&gt;=0,1,-1)*QUOTIENT(((1000)-(c_TMAP3IN)),2))+2147483648,4294967296)-2147483648,((1000)-(c_TMAP3IN))*(((A545)-(c_TMAP3IN))*((1000)-(c_TMAP3OUT))+IF(((1000)-(c_TMAP3OUT))&gt;=0,1,-1)*QUOTIENT(((1000)-(c_TMAP3IN)),2)))&gt;=0,1,0)))</f>
        <v>434</v>
      </c>
      <c r="H545" s="7" t="str">
        <f aca="false">IF(A545&gt;=c_TFWD,IF(AND(A545&gt;=c_TMAP3IN,c_TMAP3IN&lt;1000),"Seg4 map3-100%",IF(AND(A545&gt;=c_TMAP2IN,c_TMAP3IN&gt;c_TMAP2IN),"Seg3 map2-map3",IF(AND(A545&gt;=c_TMAP1IN,c_TMAP2IN&gt;c_TMAP1IN),"Seg2 map1-map2","Seg1 TFWD-map1"))),IF(AND(A545=0,c_TCREEP&gt;0),"Creep",IF(AND(A545&lt;=c_TRNGMIN,A545&gt;=c_TRNGMAX,c_TRNGMIN-c_TRNGMAX&lt;&gt;0),"Regen ramp","Coast (0)")))</f>
        <v>Seg4 map3-100%</v>
      </c>
      <c r="I545" s="7" t="n">
        <f aca="false">IF(A545&gt;=c_TFWD,IF(AND(A545&gt;=c_TMAP3IN,c_TMAP3IN&lt;1000),G545,IF(AND(A545&gt;=c_TMAP2IN,c_TMAP3IN&gt;c_TMAP2IN),F545,IF(AND(A545&gt;=c_TMAP1IN,c_TMAP2IN&gt;c_TMAP1IN),E545,D545))),C545)</f>
        <v>434</v>
      </c>
      <c r="J545" s="7" t="str">
        <f aca="false">IF(I545&lt;-1090,"TOO LOW",IF(I545&gt;1090,"TOO HIGH",""))</f>
        <v/>
      </c>
      <c r="K545" s="15" t="n">
        <f aca="false">IF(J545&lt;&gt;"",0,IF(I545&gt;979,1000,I545))</f>
        <v>434</v>
      </c>
      <c r="L545" s="7" t="n">
        <f aca="false">K545/10</f>
        <v>43.4</v>
      </c>
    </row>
    <row r="546" customFormat="false" ht="15" hidden="false" customHeight="false" outlineLevel="0" collapsed="false">
      <c r="A546" s="7" t="n">
        <v>541</v>
      </c>
      <c r="B546" s="7" t="n">
        <f aca="false">A546/10</f>
        <v>54.1</v>
      </c>
      <c r="C546" s="7" t="n">
        <f aca="false">IF(AND(A546=0,c_TCREEP&gt;0),10*c_TCREEP,IF(AND(A546&lt;=c_TRNGMIN,A546&gt;=c_TRNGMAX,c_TRNGMIN-c_TRNGMAX&lt;&gt;0),-10*c_TMINRN+QUOTIENT((c_TMAXRN-c_TMINRN)*(100-QUOTIENT((A546-c_TRNGMAX)*100,c_TRNGMIN-c_TRNGMAX)),-10),0))</f>
        <v>0</v>
      </c>
      <c r="D546" s="7" t="n">
        <f aca="false">IF(((c_TMAP1IN)-(c_TFWD))=0,(0)+QUOTIENT(((c_TMAP1OUT)-(0)),2),QUOTIENT((((A546)-(c_TFWD))*((c_TMAP1OUT)-(0))+IF(((c_TMAP1OUT)-(0))&gt;=0,1,-1)*QUOTIENT(((c_TMAP1IN)-(c_TFWD)),2)),((c_TMAP1IN)-(c_TFWD)))+(0)+IF(((c_TMAP1OUT)-(0))&gt;=0,IF(IF(o_WRAP=1,MOD(((c_TMAP1IN)-(c_TFWD))*(((A546)-(c_TFWD))*((c_TMAP1OUT)-(0))+IF(((c_TMAP1OUT)-(0))&gt;=0,1,-1)*QUOTIENT(((c_TMAP1IN)-(c_TFWD)),2))+2147483648,4294967296)-2147483648,((c_TMAP1IN)-(c_TFWD))*(((A546)-(c_TFWD))*((c_TMAP1OUT)-(0))+IF(((c_TMAP1OUT)-(0))&gt;=0,1,-1)*QUOTIENT(((c_TMAP1IN)-(c_TFWD)),2)))&lt;0,-1,0),IF(IF(o_WRAP=1,MOD(((c_TMAP1IN)-(c_TFWD))*(((A546)-(c_TFWD))*((c_TMAP1OUT)-(0))+IF(((c_TMAP1OUT)-(0))&gt;=0,1,-1)*QUOTIENT(((c_TMAP1IN)-(c_TFWD)),2))+2147483648,4294967296)-2147483648,((c_TMAP1IN)-(c_TFWD))*(((A546)-(c_TFWD))*((c_TMAP1OUT)-(0))+IF(((c_TMAP1OUT)-(0))&gt;=0,1,-1)*QUOTIENT(((c_TMAP1IN)-(c_TFWD)),2)))&gt;=0,1,0)))</f>
        <v>413</v>
      </c>
      <c r="E546" s="7" t="n">
        <f aca="false">IF(((c_TMAP2IN)-(c_TMAP1IN))=0,(c_TMAP1OUT)+QUOTIENT(((c_TMAP2OUT)-(c_TMAP1OUT)),2),QUOTIENT((((A546)-(c_TMAP1IN))*((c_TMAP2OUT)-(c_TMAP1OUT))+IF(((c_TMAP2OUT)-(c_TMAP1OUT))&gt;=0,1,-1)*QUOTIENT(((c_TMAP2IN)-(c_TMAP1IN)),2)),((c_TMAP2IN)-(c_TMAP1IN)))+(c_TMAP1OUT)+IF(((c_TMAP2OUT)-(c_TMAP1OUT))&gt;=0,IF(IF(o_WRAP=1,MOD(((c_TMAP2IN)-(c_TMAP1IN))*(((A546)-(c_TMAP1IN))*((c_TMAP2OUT)-(c_TMAP1OUT))+IF(((c_TMAP2OUT)-(c_TMAP1OUT))&gt;=0,1,-1)*QUOTIENT(((c_TMAP2IN)-(c_TMAP1IN)),2))+2147483648,4294967296)-2147483648,((c_TMAP2IN)-(c_TMAP1IN))*(((A546)-(c_TMAP1IN))*((c_TMAP2OUT)-(c_TMAP1OUT))+IF(((c_TMAP2OUT)-(c_TMAP1OUT))&gt;=0,1,-1)*QUOTIENT(((c_TMAP2IN)-(c_TMAP1IN)),2)))&lt;0,-1,0),IF(IF(o_WRAP=1,MOD(((c_TMAP2IN)-(c_TMAP1IN))*(((A546)-(c_TMAP1IN))*((c_TMAP2OUT)-(c_TMAP1OUT))+IF(((c_TMAP2OUT)-(c_TMAP1OUT))&gt;=0,1,-1)*QUOTIENT(((c_TMAP2IN)-(c_TMAP1IN)),2))+2147483648,4294967296)-2147483648,((c_TMAP2IN)-(c_TMAP1IN))*(((A546)-(c_TMAP1IN))*((c_TMAP2OUT)-(c_TMAP1OUT))+IF(((c_TMAP2OUT)-(c_TMAP1OUT))&gt;=0,1,-1)*QUOTIENT(((c_TMAP2IN)-(c_TMAP1IN)),2)))&gt;=0,1,0)))</f>
        <v>246</v>
      </c>
      <c r="F546" s="7" t="n">
        <f aca="false">IF(((c_TMAP3IN)-(c_TMAP2IN))=0,(c_TMAP2OUT)+QUOTIENT(((c_TMAP3OUT)-(c_TMAP2OUT)),2),QUOTIENT((((A546)-(c_TMAP2IN))*((c_TMAP3OUT)-(c_TMAP2OUT))+IF(((c_TMAP3OUT)-(c_TMAP2OUT))&gt;=0,1,-1)*QUOTIENT(((c_TMAP3IN)-(c_TMAP2IN)),2)),((c_TMAP3IN)-(c_TMAP2IN)))+(c_TMAP2OUT)+IF(((c_TMAP3OUT)-(c_TMAP2OUT))&gt;=0,IF(IF(o_WRAP=1,MOD(((c_TMAP3IN)-(c_TMAP2IN))*(((A546)-(c_TMAP2IN))*((c_TMAP3OUT)-(c_TMAP2OUT))+IF(((c_TMAP3OUT)-(c_TMAP2OUT))&gt;=0,1,-1)*QUOTIENT(((c_TMAP3IN)-(c_TMAP2IN)),2))+2147483648,4294967296)-2147483648,((c_TMAP3IN)-(c_TMAP2IN))*(((A546)-(c_TMAP2IN))*((c_TMAP3OUT)-(c_TMAP2OUT))+IF(((c_TMAP3OUT)-(c_TMAP2OUT))&gt;=0,1,-1)*QUOTIENT(((c_TMAP3IN)-(c_TMAP2IN)),2)))&lt;0,-1,0),IF(IF(o_WRAP=1,MOD(((c_TMAP3IN)-(c_TMAP2IN))*(((A546)-(c_TMAP2IN))*((c_TMAP3OUT)-(c_TMAP2OUT))+IF(((c_TMAP3OUT)-(c_TMAP2OUT))&gt;=0,1,-1)*QUOTIENT(((c_TMAP3IN)-(c_TMAP2IN)),2))+2147483648,4294967296)-2147483648,((c_TMAP3IN)-(c_TMAP2IN))*(((A546)-(c_TMAP2IN))*((c_TMAP3OUT)-(c_TMAP2OUT))+IF(((c_TMAP3OUT)-(c_TMAP2OUT))&gt;=0,1,-1)*QUOTIENT(((c_TMAP3IN)-(c_TMAP2IN)),2)))&gt;=0,1,0)))</f>
        <v>334</v>
      </c>
      <c r="G546" s="7" t="n">
        <f aca="false">IF(((1000)-(c_TMAP3IN))=0,(c_TMAP3OUT)+QUOTIENT(((1000)-(c_TMAP3OUT)),2),QUOTIENT((((A546)-(c_TMAP3IN))*((1000)-(c_TMAP3OUT))+IF(((1000)-(c_TMAP3OUT))&gt;=0,1,-1)*QUOTIENT(((1000)-(c_TMAP3IN)),2)),((1000)-(c_TMAP3IN)))+(c_TMAP3OUT)+IF(((1000)-(c_TMAP3OUT))&gt;=0,IF(IF(o_WRAP=1,MOD(((1000)-(c_TMAP3IN))*(((A546)-(c_TMAP3IN))*((1000)-(c_TMAP3OUT))+IF(((1000)-(c_TMAP3OUT))&gt;=0,1,-1)*QUOTIENT(((1000)-(c_TMAP3IN)),2))+2147483648,4294967296)-2147483648,((1000)-(c_TMAP3IN))*(((A546)-(c_TMAP3IN))*((1000)-(c_TMAP3OUT))+IF(((1000)-(c_TMAP3OUT))&gt;=0,1,-1)*QUOTIENT(((1000)-(c_TMAP3IN)),2)))&lt;0,-1,0),IF(IF(o_WRAP=1,MOD(((1000)-(c_TMAP3IN))*(((A546)-(c_TMAP3IN))*((1000)-(c_TMAP3OUT))+IF(((1000)-(c_TMAP3OUT))&gt;=0,1,-1)*QUOTIENT(((1000)-(c_TMAP3IN)),2))+2147483648,4294967296)-2147483648,((1000)-(c_TMAP3IN))*(((A546)-(c_TMAP3IN))*((1000)-(c_TMAP3OUT))+IF(((1000)-(c_TMAP3OUT))&gt;=0,1,-1)*QUOTIENT(((1000)-(c_TMAP3IN)),2)))&gt;=0,1,0)))</f>
        <v>435</v>
      </c>
      <c r="H546" s="7" t="str">
        <f aca="false">IF(A546&gt;=c_TFWD,IF(AND(A546&gt;=c_TMAP3IN,c_TMAP3IN&lt;1000),"Seg4 map3-100%",IF(AND(A546&gt;=c_TMAP2IN,c_TMAP3IN&gt;c_TMAP2IN),"Seg3 map2-map3",IF(AND(A546&gt;=c_TMAP1IN,c_TMAP2IN&gt;c_TMAP1IN),"Seg2 map1-map2","Seg1 TFWD-map1"))),IF(AND(A546=0,c_TCREEP&gt;0),"Creep",IF(AND(A546&lt;=c_TRNGMIN,A546&gt;=c_TRNGMAX,c_TRNGMIN-c_TRNGMAX&lt;&gt;0),"Regen ramp","Coast (0)")))</f>
        <v>Seg4 map3-100%</v>
      </c>
      <c r="I546" s="7" t="n">
        <f aca="false">IF(A546&gt;=c_TFWD,IF(AND(A546&gt;=c_TMAP3IN,c_TMAP3IN&lt;1000),G546,IF(AND(A546&gt;=c_TMAP2IN,c_TMAP3IN&gt;c_TMAP2IN),F546,IF(AND(A546&gt;=c_TMAP1IN,c_TMAP2IN&gt;c_TMAP1IN),E546,D546))),C546)</f>
        <v>435</v>
      </c>
      <c r="J546" s="7" t="str">
        <f aca="false">IF(I546&lt;-1090,"TOO LOW",IF(I546&gt;1090,"TOO HIGH",""))</f>
        <v/>
      </c>
      <c r="K546" s="15" t="n">
        <f aca="false">IF(J546&lt;&gt;"",0,IF(I546&gt;979,1000,I546))</f>
        <v>435</v>
      </c>
      <c r="L546" s="7" t="n">
        <f aca="false">K546/10</f>
        <v>43.5</v>
      </c>
    </row>
    <row r="547" customFormat="false" ht="15" hidden="false" customHeight="false" outlineLevel="0" collapsed="false">
      <c r="A547" s="7" t="n">
        <v>542</v>
      </c>
      <c r="B547" s="7" t="n">
        <f aca="false">A547/10</f>
        <v>54.2</v>
      </c>
      <c r="C547" s="7" t="n">
        <f aca="false">IF(AND(A547=0,c_TCREEP&gt;0),10*c_TCREEP,IF(AND(A547&lt;=c_TRNGMIN,A547&gt;=c_TRNGMAX,c_TRNGMIN-c_TRNGMAX&lt;&gt;0),-10*c_TMINRN+QUOTIENT((c_TMAXRN-c_TMINRN)*(100-QUOTIENT((A547-c_TRNGMAX)*100,c_TRNGMIN-c_TRNGMAX)),-10),0))</f>
        <v>0</v>
      </c>
      <c r="D547" s="7" t="n">
        <f aca="false">IF(((c_TMAP1IN)-(c_TFWD))=0,(0)+QUOTIENT(((c_TMAP1OUT)-(0)),2),QUOTIENT((((A547)-(c_TFWD))*((c_TMAP1OUT)-(0))+IF(((c_TMAP1OUT)-(0))&gt;=0,1,-1)*QUOTIENT(((c_TMAP1IN)-(c_TFWD)),2)),((c_TMAP1IN)-(c_TFWD)))+(0)+IF(((c_TMAP1OUT)-(0))&gt;=0,IF(IF(o_WRAP=1,MOD(((c_TMAP1IN)-(c_TFWD))*(((A547)-(c_TFWD))*((c_TMAP1OUT)-(0))+IF(((c_TMAP1OUT)-(0))&gt;=0,1,-1)*QUOTIENT(((c_TMAP1IN)-(c_TFWD)),2))+2147483648,4294967296)-2147483648,((c_TMAP1IN)-(c_TFWD))*(((A547)-(c_TFWD))*((c_TMAP1OUT)-(0))+IF(((c_TMAP1OUT)-(0))&gt;=0,1,-1)*QUOTIENT(((c_TMAP1IN)-(c_TFWD)),2)))&lt;0,-1,0),IF(IF(o_WRAP=1,MOD(((c_TMAP1IN)-(c_TFWD))*(((A547)-(c_TFWD))*((c_TMAP1OUT)-(0))+IF(((c_TMAP1OUT)-(0))&gt;=0,1,-1)*QUOTIENT(((c_TMAP1IN)-(c_TFWD)),2))+2147483648,4294967296)-2147483648,((c_TMAP1IN)-(c_TFWD))*(((A547)-(c_TFWD))*((c_TMAP1OUT)-(0))+IF(((c_TMAP1OUT)-(0))&gt;=0,1,-1)*QUOTIENT(((c_TMAP1IN)-(c_TFWD)),2)))&gt;=0,1,0)))</f>
        <v>414</v>
      </c>
      <c r="E547" s="7" t="n">
        <f aca="false">IF(((c_TMAP2IN)-(c_TMAP1IN))=0,(c_TMAP1OUT)+QUOTIENT(((c_TMAP2OUT)-(c_TMAP1OUT)),2),QUOTIENT((((A547)-(c_TMAP1IN))*((c_TMAP2OUT)-(c_TMAP1OUT))+IF(((c_TMAP2OUT)-(c_TMAP1OUT))&gt;=0,1,-1)*QUOTIENT(((c_TMAP2IN)-(c_TMAP1IN)),2)),((c_TMAP2IN)-(c_TMAP1IN)))+(c_TMAP1OUT)+IF(((c_TMAP2OUT)-(c_TMAP1OUT))&gt;=0,IF(IF(o_WRAP=1,MOD(((c_TMAP2IN)-(c_TMAP1IN))*(((A547)-(c_TMAP1IN))*((c_TMAP2OUT)-(c_TMAP1OUT))+IF(((c_TMAP2OUT)-(c_TMAP1OUT))&gt;=0,1,-1)*QUOTIENT(((c_TMAP2IN)-(c_TMAP1IN)),2))+2147483648,4294967296)-2147483648,((c_TMAP2IN)-(c_TMAP1IN))*(((A547)-(c_TMAP1IN))*((c_TMAP2OUT)-(c_TMAP1OUT))+IF(((c_TMAP2OUT)-(c_TMAP1OUT))&gt;=0,1,-1)*QUOTIENT(((c_TMAP2IN)-(c_TMAP1IN)),2)))&lt;0,-1,0),IF(IF(o_WRAP=1,MOD(((c_TMAP2IN)-(c_TMAP1IN))*(((A547)-(c_TMAP1IN))*((c_TMAP2OUT)-(c_TMAP1OUT))+IF(((c_TMAP2OUT)-(c_TMAP1OUT))&gt;=0,1,-1)*QUOTIENT(((c_TMAP2IN)-(c_TMAP1IN)),2))+2147483648,4294967296)-2147483648,((c_TMAP2IN)-(c_TMAP1IN))*(((A547)-(c_TMAP1IN))*((c_TMAP2OUT)-(c_TMAP1OUT))+IF(((c_TMAP2OUT)-(c_TMAP1OUT))&gt;=0,1,-1)*QUOTIENT(((c_TMAP2IN)-(c_TMAP1IN)),2)))&gt;=0,1,0)))</f>
        <v>247</v>
      </c>
      <c r="F547" s="7" t="n">
        <f aca="false">IF(((c_TMAP3IN)-(c_TMAP2IN))=0,(c_TMAP2OUT)+QUOTIENT(((c_TMAP3OUT)-(c_TMAP2OUT)),2),QUOTIENT((((A547)-(c_TMAP2IN))*((c_TMAP3OUT)-(c_TMAP2OUT))+IF(((c_TMAP3OUT)-(c_TMAP2OUT))&gt;=0,1,-1)*QUOTIENT(((c_TMAP3IN)-(c_TMAP2IN)),2)),((c_TMAP3IN)-(c_TMAP2IN)))+(c_TMAP2OUT)+IF(((c_TMAP3OUT)-(c_TMAP2OUT))&gt;=0,IF(IF(o_WRAP=1,MOD(((c_TMAP3IN)-(c_TMAP2IN))*(((A547)-(c_TMAP2IN))*((c_TMAP3OUT)-(c_TMAP2OUT))+IF(((c_TMAP3OUT)-(c_TMAP2OUT))&gt;=0,1,-1)*QUOTIENT(((c_TMAP3IN)-(c_TMAP2IN)),2))+2147483648,4294967296)-2147483648,((c_TMAP3IN)-(c_TMAP2IN))*(((A547)-(c_TMAP2IN))*((c_TMAP3OUT)-(c_TMAP2OUT))+IF(((c_TMAP3OUT)-(c_TMAP2OUT))&gt;=0,1,-1)*QUOTIENT(((c_TMAP3IN)-(c_TMAP2IN)),2)))&lt;0,-1,0),IF(IF(o_WRAP=1,MOD(((c_TMAP3IN)-(c_TMAP2IN))*(((A547)-(c_TMAP2IN))*((c_TMAP3OUT)-(c_TMAP2OUT))+IF(((c_TMAP3OUT)-(c_TMAP2OUT))&gt;=0,1,-1)*QUOTIENT(((c_TMAP3IN)-(c_TMAP2IN)),2))+2147483648,4294967296)-2147483648,((c_TMAP3IN)-(c_TMAP2IN))*(((A547)-(c_TMAP2IN))*((c_TMAP3OUT)-(c_TMAP2OUT))+IF(((c_TMAP3OUT)-(c_TMAP2OUT))&gt;=0,1,-1)*QUOTIENT(((c_TMAP3IN)-(c_TMAP2IN)),2)))&gt;=0,1,0)))</f>
        <v>334</v>
      </c>
      <c r="G547" s="7" t="n">
        <f aca="false">IF(((1000)-(c_TMAP3IN))=0,(c_TMAP3OUT)+QUOTIENT(((1000)-(c_TMAP3OUT)),2),QUOTIENT((((A547)-(c_TMAP3IN))*((1000)-(c_TMAP3OUT))+IF(((1000)-(c_TMAP3OUT))&gt;=0,1,-1)*QUOTIENT(((1000)-(c_TMAP3IN)),2)),((1000)-(c_TMAP3IN)))+(c_TMAP3OUT)+IF(((1000)-(c_TMAP3OUT))&gt;=0,IF(IF(o_WRAP=1,MOD(((1000)-(c_TMAP3IN))*(((A547)-(c_TMAP3IN))*((1000)-(c_TMAP3OUT))+IF(((1000)-(c_TMAP3OUT))&gt;=0,1,-1)*QUOTIENT(((1000)-(c_TMAP3IN)),2))+2147483648,4294967296)-2147483648,((1000)-(c_TMAP3IN))*(((A547)-(c_TMAP3IN))*((1000)-(c_TMAP3OUT))+IF(((1000)-(c_TMAP3OUT))&gt;=0,1,-1)*QUOTIENT(((1000)-(c_TMAP3IN)),2)))&lt;0,-1,0),IF(IF(o_WRAP=1,MOD(((1000)-(c_TMAP3IN))*(((A547)-(c_TMAP3IN))*((1000)-(c_TMAP3OUT))+IF(((1000)-(c_TMAP3OUT))&gt;=0,1,-1)*QUOTIENT(((1000)-(c_TMAP3IN)),2))+2147483648,4294967296)-2147483648,((1000)-(c_TMAP3IN))*(((A547)-(c_TMAP3IN))*((1000)-(c_TMAP3OUT))+IF(((1000)-(c_TMAP3OUT))&gt;=0,1,-1)*QUOTIENT(((1000)-(c_TMAP3IN)),2)))&gt;=0,1,0)))</f>
        <v>436</v>
      </c>
      <c r="H547" s="7" t="str">
        <f aca="false">IF(A547&gt;=c_TFWD,IF(AND(A547&gt;=c_TMAP3IN,c_TMAP3IN&lt;1000),"Seg4 map3-100%",IF(AND(A547&gt;=c_TMAP2IN,c_TMAP3IN&gt;c_TMAP2IN),"Seg3 map2-map3",IF(AND(A547&gt;=c_TMAP1IN,c_TMAP2IN&gt;c_TMAP1IN),"Seg2 map1-map2","Seg1 TFWD-map1"))),IF(AND(A547=0,c_TCREEP&gt;0),"Creep",IF(AND(A547&lt;=c_TRNGMIN,A547&gt;=c_TRNGMAX,c_TRNGMIN-c_TRNGMAX&lt;&gt;0),"Regen ramp","Coast (0)")))</f>
        <v>Seg4 map3-100%</v>
      </c>
      <c r="I547" s="7" t="n">
        <f aca="false">IF(A547&gt;=c_TFWD,IF(AND(A547&gt;=c_TMAP3IN,c_TMAP3IN&lt;1000),G547,IF(AND(A547&gt;=c_TMAP2IN,c_TMAP3IN&gt;c_TMAP2IN),F547,IF(AND(A547&gt;=c_TMAP1IN,c_TMAP2IN&gt;c_TMAP1IN),E547,D547))),C547)</f>
        <v>436</v>
      </c>
      <c r="J547" s="7" t="str">
        <f aca="false">IF(I547&lt;-1090,"TOO LOW",IF(I547&gt;1090,"TOO HIGH",""))</f>
        <v/>
      </c>
      <c r="K547" s="15" t="n">
        <f aca="false">IF(J547&lt;&gt;"",0,IF(I547&gt;979,1000,I547))</f>
        <v>436</v>
      </c>
      <c r="L547" s="7" t="n">
        <f aca="false">K547/10</f>
        <v>43.6</v>
      </c>
    </row>
    <row r="548" customFormat="false" ht="15" hidden="false" customHeight="false" outlineLevel="0" collapsed="false">
      <c r="A548" s="7" t="n">
        <v>543</v>
      </c>
      <c r="B548" s="7" t="n">
        <f aca="false">A548/10</f>
        <v>54.3</v>
      </c>
      <c r="C548" s="7" t="n">
        <f aca="false">IF(AND(A548=0,c_TCREEP&gt;0),10*c_TCREEP,IF(AND(A548&lt;=c_TRNGMIN,A548&gt;=c_TRNGMAX,c_TRNGMIN-c_TRNGMAX&lt;&gt;0),-10*c_TMINRN+QUOTIENT((c_TMAXRN-c_TMINRN)*(100-QUOTIENT((A548-c_TRNGMAX)*100,c_TRNGMIN-c_TRNGMAX)),-10),0))</f>
        <v>0</v>
      </c>
      <c r="D548" s="7" t="n">
        <f aca="false">IF(((c_TMAP1IN)-(c_TFWD))=0,(0)+QUOTIENT(((c_TMAP1OUT)-(0)),2),QUOTIENT((((A548)-(c_TFWD))*((c_TMAP1OUT)-(0))+IF(((c_TMAP1OUT)-(0))&gt;=0,1,-1)*QUOTIENT(((c_TMAP1IN)-(c_TFWD)),2)),((c_TMAP1IN)-(c_TFWD)))+(0)+IF(((c_TMAP1OUT)-(0))&gt;=0,IF(IF(o_WRAP=1,MOD(((c_TMAP1IN)-(c_TFWD))*(((A548)-(c_TFWD))*((c_TMAP1OUT)-(0))+IF(((c_TMAP1OUT)-(0))&gt;=0,1,-1)*QUOTIENT(((c_TMAP1IN)-(c_TFWD)),2))+2147483648,4294967296)-2147483648,((c_TMAP1IN)-(c_TFWD))*(((A548)-(c_TFWD))*((c_TMAP1OUT)-(0))+IF(((c_TMAP1OUT)-(0))&gt;=0,1,-1)*QUOTIENT(((c_TMAP1IN)-(c_TFWD)),2)))&lt;0,-1,0),IF(IF(o_WRAP=1,MOD(((c_TMAP1IN)-(c_TFWD))*(((A548)-(c_TFWD))*((c_TMAP1OUT)-(0))+IF(((c_TMAP1OUT)-(0))&gt;=0,1,-1)*QUOTIENT(((c_TMAP1IN)-(c_TFWD)),2))+2147483648,4294967296)-2147483648,((c_TMAP1IN)-(c_TFWD))*(((A548)-(c_TFWD))*((c_TMAP1OUT)-(0))+IF(((c_TMAP1OUT)-(0))&gt;=0,1,-1)*QUOTIENT(((c_TMAP1IN)-(c_TFWD)),2)))&gt;=0,1,0)))</f>
        <v>415</v>
      </c>
      <c r="E548" s="7" t="n">
        <f aca="false">IF(((c_TMAP2IN)-(c_TMAP1IN))=0,(c_TMAP1OUT)+QUOTIENT(((c_TMAP2OUT)-(c_TMAP1OUT)),2),QUOTIENT((((A548)-(c_TMAP1IN))*((c_TMAP2OUT)-(c_TMAP1OUT))+IF(((c_TMAP2OUT)-(c_TMAP1OUT))&gt;=0,1,-1)*QUOTIENT(((c_TMAP2IN)-(c_TMAP1IN)),2)),((c_TMAP2IN)-(c_TMAP1IN)))+(c_TMAP1OUT)+IF(((c_TMAP2OUT)-(c_TMAP1OUT))&gt;=0,IF(IF(o_WRAP=1,MOD(((c_TMAP2IN)-(c_TMAP1IN))*(((A548)-(c_TMAP1IN))*((c_TMAP2OUT)-(c_TMAP1OUT))+IF(((c_TMAP2OUT)-(c_TMAP1OUT))&gt;=0,1,-1)*QUOTIENT(((c_TMAP2IN)-(c_TMAP1IN)),2))+2147483648,4294967296)-2147483648,((c_TMAP2IN)-(c_TMAP1IN))*(((A548)-(c_TMAP1IN))*((c_TMAP2OUT)-(c_TMAP1OUT))+IF(((c_TMAP2OUT)-(c_TMAP1OUT))&gt;=0,1,-1)*QUOTIENT(((c_TMAP2IN)-(c_TMAP1IN)),2)))&lt;0,-1,0),IF(IF(o_WRAP=1,MOD(((c_TMAP2IN)-(c_TMAP1IN))*(((A548)-(c_TMAP1IN))*((c_TMAP2OUT)-(c_TMAP1OUT))+IF(((c_TMAP2OUT)-(c_TMAP1OUT))&gt;=0,1,-1)*QUOTIENT(((c_TMAP2IN)-(c_TMAP1IN)),2))+2147483648,4294967296)-2147483648,((c_TMAP2IN)-(c_TMAP1IN))*(((A548)-(c_TMAP1IN))*((c_TMAP2OUT)-(c_TMAP1OUT))+IF(((c_TMAP2OUT)-(c_TMAP1OUT))&gt;=0,1,-1)*QUOTIENT(((c_TMAP2IN)-(c_TMAP1IN)),2)))&gt;=0,1,0)))</f>
        <v>247</v>
      </c>
      <c r="F548" s="7" t="n">
        <f aca="false">IF(((c_TMAP3IN)-(c_TMAP2IN))=0,(c_TMAP2OUT)+QUOTIENT(((c_TMAP3OUT)-(c_TMAP2OUT)),2),QUOTIENT((((A548)-(c_TMAP2IN))*((c_TMAP3OUT)-(c_TMAP2OUT))+IF(((c_TMAP3OUT)-(c_TMAP2OUT))&gt;=0,1,-1)*QUOTIENT(((c_TMAP3IN)-(c_TMAP2IN)),2)),((c_TMAP3IN)-(c_TMAP2IN)))+(c_TMAP2OUT)+IF(((c_TMAP3OUT)-(c_TMAP2OUT))&gt;=0,IF(IF(o_WRAP=1,MOD(((c_TMAP3IN)-(c_TMAP2IN))*(((A548)-(c_TMAP2IN))*((c_TMAP3OUT)-(c_TMAP2OUT))+IF(((c_TMAP3OUT)-(c_TMAP2OUT))&gt;=0,1,-1)*QUOTIENT(((c_TMAP3IN)-(c_TMAP2IN)),2))+2147483648,4294967296)-2147483648,((c_TMAP3IN)-(c_TMAP2IN))*(((A548)-(c_TMAP2IN))*((c_TMAP3OUT)-(c_TMAP2OUT))+IF(((c_TMAP3OUT)-(c_TMAP2OUT))&gt;=0,1,-1)*QUOTIENT(((c_TMAP3IN)-(c_TMAP2IN)),2)))&lt;0,-1,0),IF(IF(o_WRAP=1,MOD(((c_TMAP3IN)-(c_TMAP2IN))*(((A548)-(c_TMAP2IN))*((c_TMAP3OUT)-(c_TMAP2OUT))+IF(((c_TMAP3OUT)-(c_TMAP2OUT))&gt;=0,1,-1)*QUOTIENT(((c_TMAP3IN)-(c_TMAP2IN)),2))+2147483648,4294967296)-2147483648,((c_TMAP3IN)-(c_TMAP2IN))*(((A548)-(c_TMAP2IN))*((c_TMAP3OUT)-(c_TMAP2OUT))+IF(((c_TMAP3OUT)-(c_TMAP2OUT))&gt;=0,1,-1)*QUOTIENT(((c_TMAP3IN)-(c_TMAP2IN)),2)))&gt;=0,1,0)))</f>
        <v>335</v>
      </c>
      <c r="G548" s="7" t="n">
        <f aca="false">IF(((1000)-(c_TMAP3IN))=0,(c_TMAP3OUT)+QUOTIENT(((1000)-(c_TMAP3OUT)),2),QUOTIENT((((A548)-(c_TMAP3IN))*((1000)-(c_TMAP3OUT))+IF(((1000)-(c_TMAP3OUT))&gt;=0,1,-1)*QUOTIENT(((1000)-(c_TMAP3IN)),2)),((1000)-(c_TMAP3IN)))+(c_TMAP3OUT)+IF(((1000)-(c_TMAP3OUT))&gt;=0,IF(IF(o_WRAP=1,MOD(((1000)-(c_TMAP3IN))*(((A548)-(c_TMAP3IN))*((1000)-(c_TMAP3OUT))+IF(((1000)-(c_TMAP3OUT))&gt;=0,1,-1)*QUOTIENT(((1000)-(c_TMAP3IN)),2))+2147483648,4294967296)-2147483648,((1000)-(c_TMAP3IN))*(((A548)-(c_TMAP3IN))*((1000)-(c_TMAP3OUT))+IF(((1000)-(c_TMAP3OUT))&gt;=0,1,-1)*QUOTIENT(((1000)-(c_TMAP3IN)),2)))&lt;0,-1,0),IF(IF(o_WRAP=1,MOD(((1000)-(c_TMAP3IN))*(((A548)-(c_TMAP3IN))*((1000)-(c_TMAP3OUT))+IF(((1000)-(c_TMAP3OUT))&gt;=0,1,-1)*QUOTIENT(((1000)-(c_TMAP3IN)),2))+2147483648,4294967296)-2147483648,((1000)-(c_TMAP3IN))*(((A548)-(c_TMAP3IN))*((1000)-(c_TMAP3OUT))+IF(((1000)-(c_TMAP3OUT))&gt;=0,1,-1)*QUOTIENT(((1000)-(c_TMAP3IN)),2)))&gt;=0,1,0)))</f>
        <v>438</v>
      </c>
      <c r="H548" s="7" t="str">
        <f aca="false">IF(A548&gt;=c_TFWD,IF(AND(A548&gt;=c_TMAP3IN,c_TMAP3IN&lt;1000),"Seg4 map3-100%",IF(AND(A548&gt;=c_TMAP2IN,c_TMAP3IN&gt;c_TMAP2IN),"Seg3 map2-map3",IF(AND(A548&gt;=c_TMAP1IN,c_TMAP2IN&gt;c_TMAP1IN),"Seg2 map1-map2","Seg1 TFWD-map1"))),IF(AND(A548=0,c_TCREEP&gt;0),"Creep",IF(AND(A548&lt;=c_TRNGMIN,A548&gt;=c_TRNGMAX,c_TRNGMIN-c_TRNGMAX&lt;&gt;0),"Regen ramp","Coast (0)")))</f>
        <v>Seg4 map3-100%</v>
      </c>
      <c r="I548" s="7" t="n">
        <f aca="false">IF(A548&gt;=c_TFWD,IF(AND(A548&gt;=c_TMAP3IN,c_TMAP3IN&lt;1000),G548,IF(AND(A548&gt;=c_TMAP2IN,c_TMAP3IN&gt;c_TMAP2IN),F548,IF(AND(A548&gt;=c_TMAP1IN,c_TMAP2IN&gt;c_TMAP1IN),E548,D548))),C548)</f>
        <v>438</v>
      </c>
      <c r="J548" s="7" t="str">
        <f aca="false">IF(I548&lt;-1090,"TOO LOW",IF(I548&gt;1090,"TOO HIGH",""))</f>
        <v/>
      </c>
      <c r="K548" s="15" t="n">
        <f aca="false">IF(J548&lt;&gt;"",0,IF(I548&gt;979,1000,I548))</f>
        <v>438</v>
      </c>
      <c r="L548" s="7" t="n">
        <f aca="false">K548/10</f>
        <v>43.8</v>
      </c>
    </row>
    <row r="549" customFormat="false" ht="15" hidden="false" customHeight="false" outlineLevel="0" collapsed="false">
      <c r="A549" s="7" t="n">
        <v>544</v>
      </c>
      <c r="B549" s="7" t="n">
        <f aca="false">A549/10</f>
        <v>54.4</v>
      </c>
      <c r="C549" s="7" t="n">
        <f aca="false">IF(AND(A549=0,c_TCREEP&gt;0),10*c_TCREEP,IF(AND(A549&lt;=c_TRNGMIN,A549&gt;=c_TRNGMAX,c_TRNGMIN-c_TRNGMAX&lt;&gt;0),-10*c_TMINRN+QUOTIENT((c_TMAXRN-c_TMINRN)*(100-QUOTIENT((A549-c_TRNGMAX)*100,c_TRNGMIN-c_TRNGMAX)),-10),0))</f>
        <v>0</v>
      </c>
      <c r="D549" s="7" t="n">
        <f aca="false">IF(((c_TMAP1IN)-(c_TFWD))=0,(0)+QUOTIENT(((c_TMAP1OUT)-(0)),2),QUOTIENT((((A549)-(c_TFWD))*((c_TMAP1OUT)-(0))+IF(((c_TMAP1OUT)-(0))&gt;=0,1,-1)*QUOTIENT(((c_TMAP1IN)-(c_TFWD)),2)),((c_TMAP1IN)-(c_TFWD)))+(0)+IF(((c_TMAP1OUT)-(0))&gt;=0,IF(IF(o_WRAP=1,MOD(((c_TMAP1IN)-(c_TFWD))*(((A549)-(c_TFWD))*((c_TMAP1OUT)-(0))+IF(((c_TMAP1OUT)-(0))&gt;=0,1,-1)*QUOTIENT(((c_TMAP1IN)-(c_TFWD)),2))+2147483648,4294967296)-2147483648,((c_TMAP1IN)-(c_TFWD))*(((A549)-(c_TFWD))*((c_TMAP1OUT)-(0))+IF(((c_TMAP1OUT)-(0))&gt;=0,1,-1)*QUOTIENT(((c_TMAP1IN)-(c_TFWD)),2)))&lt;0,-1,0),IF(IF(o_WRAP=1,MOD(((c_TMAP1IN)-(c_TFWD))*(((A549)-(c_TFWD))*((c_TMAP1OUT)-(0))+IF(((c_TMAP1OUT)-(0))&gt;=0,1,-1)*QUOTIENT(((c_TMAP1IN)-(c_TFWD)),2))+2147483648,4294967296)-2147483648,((c_TMAP1IN)-(c_TFWD))*(((A549)-(c_TFWD))*((c_TMAP1OUT)-(0))+IF(((c_TMAP1OUT)-(0))&gt;=0,1,-1)*QUOTIENT(((c_TMAP1IN)-(c_TFWD)),2)))&gt;=0,1,0)))</f>
        <v>415</v>
      </c>
      <c r="E549" s="7" t="n">
        <f aca="false">IF(((c_TMAP2IN)-(c_TMAP1IN))=0,(c_TMAP1OUT)+QUOTIENT(((c_TMAP2OUT)-(c_TMAP1OUT)),2),QUOTIENT((((A549)-(c_TMAP1IN))*((c_TMAP2OUT)-(c_TMAP1OUT))+IF(((c_TMAP2OUT)-(c_TMAP1OUT))&gt;=0,1,-1)*QUOTIENT(((c_TMAP2IN)-(c_TMAP1IN)),2)),((c_TMAP2IN)-(c_TMAP1IN)))+(c_TMAP1OUT)+IF(((c_TMAP2OUT)-(c_TMAP1OUT))&gt;=0,IF(IF(o_WRAP=1,MOD(((c_TMAP2IN)-(c_TMAP1IN))*(((A549)-(c_TMAP1IN))*((c_TMAP2OUT)-(c_TMAP1OUT))+IF(((c_TMAP2OUT)-(c_TMAP1OUT))&gt;=0,1,-1)*QUOTIENT(((c_TMAP2IN)-(c_TMAP1IN)),2))+2147483648,4294967296)-2147483648,((c_TMAP2IN)-(c_TMAP1IN))*(((A549)-(c_TMAP1IN))*((c_TMAP2OUT)-(c_TMAP1OUT))+IF(((c_TMAP2OUT)-(c_TMAP1OUT))&gt;=0,1,-1)*QUOTIENT(((c_TMAP2IN)-(c_TMAP1IN)),2)))&lt;0,-1,0),IF(IF(o_WRAP=1,MOD(((c_TMAP2IN)-(c_TMAP1IN))*(((A549)-(c_TMAP1IN))*((c_TMAP2OUT)-(c_TMAP1OUT))+IF(((c_TMAP2OUT)-(c_TMAP1OUT))&gt;=0,1,-1)*QUOTIENT(((c_TMAP2IN)-(c_TMAP1IN)),2))+2147483648,4294967296)-2147483648,((c_TMAP2IN)-(c_TMAP1IN))*(((A549)-(c_TMAP1IN))*((c_TMAP2OUT)-(c_TMAP1OUT))+IF(((c_TMAP2OUT)-(c_TMAP1OUT))&gt;=0,1,-1)*QUOTIENT(((c_TMAP2IN)-(c_TMAP1IN)),2)))&gt;=0,1,0)))</f>
        <v>248</v>
      </c>
      <c r="F549" s="7" t="n">
        <f aca="false">IF(((c_TMAP3IN)-(c_TMAP2IN))=0,(c_TMAP2OUT)+QUOTIENT(((c_TMAP3OUT)-(c_TMAP2OUT)),2),QUOTIENT((((A549)-(c_TMAP2IN))*((c_TMAP3OUT)-(c_TMAP2OUT))+IF(((c_TMAP3OUT)-(c_TMAP2OUT))&gt;=0,1,-1)*QUOTIENT(((c_TMAP3IN)-(c_TMAP2IN)),2)),((c_TMAP3IN)-(c_TMAP2IN)))+(c_TMAP2OUT)+IF(((c_TMAP3OUT)-(c_TMAP2OUT))&gt;=0,IF(IF(o_WRAP=1,MOD(((c_TMAP3IN)-(c_TMAP2IN))*(((A549)-(c_TMAP2IN))*((c_TMAP3OUT)-(c_TMAP2OUT))+IF(((c_TMAP3OUT)-(c_TMAP2OUT))&gt;=0,1,-1)*QUOTIENT(((c_TMAP3IN)-(c_TMAP2IN)),2))+2147483648,4294967296)-2147483648,((c_TMAP3IN)-(c_TMAP2IN))*(((A549)-(c_TMAP2IN))*((c_TMAP3OUT)-(c_TMAP2OUT))+IF(((c_TMAP3OUT)-(c_TMAP2OUT))&gt;=0,1,-1)*QUOTIENT(((c_TMAP3IN)-(c_TMAP2IN)),2)))&lt;0,-1,0),IF(IF(o_WRAP=1,MOD(((c_TMAP3IN)-(c_TMAP2IN))*(((A549)-(c_TMAP2IN))*((c_TMAP3OUT)-(c_TMAP2OUT))+IF(((c_TMAP3OUT)-(c_TMAP2OUT))&gt;=0,1,-1)*QUOTIENT(((c_TMAP3IN)-(c_TMAP2IN)),2))+2147483648,4294967296)-2147483648,((c_TMAP3IN)-(c_TMAP2IN))*(((A549)-(c_TMAP2IN))*((c_TMAP3OUT)-(c_TMAP2OUT))+IF(((c_TMAP3OUT)-(c_TMAP2OUT))&gt;=0,1,-1)*QUOTIENT(((c_TMAP3IN)-(c_TMAP2IN)),2)))&gt;=0,1,0)))</f>
        <v>336</v>
      </c>
      <c r="G549" s="7" t="n">
        <f aca="false">IF(((1000)-(c_TMAP3IN))=0,(c_TMAP3OUT)+QUOTIENT(((1000)-(c_TMAP3OUT)),2),QUOTIENT((((A549)-(c_TMAP3IN))*((1000)-(c_TMAP3OUT))+IF(((1000)-(c_TMAP3OUT))&gt;=0,1,-1)*QUOTIENT(((1000)-(c_TMAP3IN)),2)),((1000)-(c_TMAP3IN)))+(c_TMAP3OUT)+IF(((1000)-(c_TMAP3OUT))&gt;=0,IF(IF(o_WRAP=1,MOD(((1000)-(c_TMAP3IN))*(((A549)-(c_TMAP3IN))*((1000)-(c_TMAP3OUT))+IF(((1000)-(c_TMAP3OUT))&gt;=0,1,-1)*QUOTIENT(((1000)-(c_TMAP3IN)),2))+2147483648,4294967296)-2147483648,((1000)-(c_TMAP3IN))*(((A549)-(c_TMAP3IN))*((1000)-(c_TMAP3OUT))+IF(((1000)-(c_TMAP3OUT))&gt;=0,1,-1)*QUOTIENT(((1000)-(c_TMAP3IN)),2)))&lt;0,-1,0),IF(IF(o_WRAP=1,MOD(((1000)-(c_TMAP3IN))*(((A549)-(c_TMAP3IN))*((1000)-(c_TMAP3OUT))+IF(((1000)-(c_TMAP3OUT))&gt;=0,1,-1)*QUOTIENT(((1000)-(c_TMAP3IN)),2))+2147483648,4294967296)-2147483648,((1000)-(c_TMAP3IN))*(((A549)-(c_TMAP3IN))*((1000)-(c_TMAP3OUT))+IF(((1000)-(c_TMAP3OUT))&gt;=0,1,-1)*QUOTIENT(((1000)-(c_TMAP3IN)),2)))&gt;=0,1,0)))</f>
        <v>439</v>
      </c>
      <c r="H549" s="7" t="str">
        <f aca="false">IF(A549&gt;=c_TFWD,IF(AND(A549&gt;=c_TMAP3IN,c_TMAP3IN&lt;1000),"Seg4 map3-100%",IF(AND(A549&gt;=c_TMAP2IN,c_TMAP3IN&gt;c_TMAP2IN),"Seg3 map2-map3",IF(AND(A549&gt;=c_TMAP1IN,c_TMAP2IN&gt;c_TMAP1IN),"Seg2 map1-map2","Seg1 TFWD-map1"))),IF(AND(A549=0,c_TCREEP&gt;0),"Creep",IF(AND(A549&lt;=c_TRNGMIN,A549&gt;=c_TRNGMAX,c_TRNGMIN-c_TRNGMAX&lt;&gt;0),"Regen ramp","Coast (0)")))</f>
        <v>Seg4 map3-100%</v>
      </c>
      <c r="I549" s="7" t="n">
        <f aca="false">IF(A549&gt;=c_TFWD,IF(AND(A549&gt;=c_TMAP3IN,c_TMAP3IN&lt;1000),G549,IF(AND(A549&gt;=c_TMAP2IN,c_TMAP3IN&gt;c_TMAP2IN),F549,IF(AND(A549&gt;=c_TMAP1IN,c_TMAP2IN&gt;c_TMAP1IN),E549,D549))),C549)</f>
        <v>439</v>
      </c>
      <c r="J549" s="7" t="str">
        <f aca="false">IF(I549&lt;-1090,"TOO LOW",IF(I549&gt;1090,"TOO HIGH",""))</f>
        <v/>
      </c>
      <c r="K549" s="15" t="n">
        <f aca="false">IF(J549&lt;&gt;"",0,IF(I549&gt;979,1000,I549))</f>
        <v>439</v>
      </c>
      <c r="L549" s="7" t="n">
        <f aca="false">K549/10</f>
        <v>43.9</v>
      </c>
    </row>
    <row r="550" customFormat="false" ht="15" hidden="false" customHeight="false" outlineLevel="0" collapsed="false">
      <c r="A550" s="7" t="n">
        <v>545</v>
      </c>
      <c r="B550" s="7" t="n">
        <f aca="false">A550/10</f>
        <v>54.5</v>
      </c>
      <c r="C550" s="7" t="n">
        <f aca="false">IF(AND(A550=0,c_TCREEP&gt;0),10*c_TCREEP,IF(AND(A550&lt;=c_TRNGMIN,A550&gt;=c_TRNGMAX,c_TRNGMIN-c_TRNGMAX&lt;&gt;0),-10*c_TMINRN+QUOTIENT((c_TMAXRN-c_TMINRN)*(100-QUOTIENT((A550-c_TRNGMAX)*100,c_TRNGMIN-c_TRNGMAX)),-10),0))</f>
        <v>0</v>
      </c>
      <c r="D550" s="7" t="n">
        <f aca="false">IF(((c_TMAP1IN)-(c_TFWD))=0,(0)+QUOTIENT(((c_TMAP1OUT)-(0)),2),QUOTIENT((((A550)-(c_TFWD))*((c_TMAP1OUT)-(0))+IF(((c_TMAP1OUT)-(0))&gt;=0,1,-1)*QUOTIENT(((c_TMAP1IN)-(c_TFWD)),2)),((c_TMAP1IN)-(c_TFWD)))+(0)+IF(((c_TMAP1OUT)-(0))&gt;=0,IF(IF(o_WRAP=1,MOD(((c_TMAP1IN)-(c_TFWD))*(((A550)-(c_TFWD))*((c_TMAP1OUT)-(0))+IF(((c_TMAP1OUT)-(0))&gt;=0,1,-1)*QUOTIENT(((c_TMAP1IN)-(c_TFWD)),2))+2147483648,4294967296)-2147483648,((c_TMAP1IN)-(c_TFWD))*(((A550)-(c_TFWD))*((c_TMAP1OUT)-(0))+IF(((c_TMAP1OUT)-(0))&gt;=0,1,-1)*QUOTIENT(((c_TMAP1IN)-(c_TFWD)),2)))&lt;0,-1,0),IF(IF(o_WRAP=1,MOD(((c_TMAP1IN)-(c_TFWD))*(((A550)-(c_TFWD))*((c_TMAP1OUT)-(0))+IF(((c_TMAP1OUT)-(0))&gt;=0,1,-1)*QUOTIENT(((c_TMAP1IN)-(c_TFWD)),2))+2147483648,4294967296)-2147483648,((c_TMAP1IN)-(c_TFWD))*(((A550)-(c_TFWD))*((c_TMAP1OUT)-(0))+IF(((c_TMAP1OUT)-(0))&gt;=0,1,-1)*QUOTIENT(((c_TMAP1IN)-(c_TFWD)),2)))&gt;=0,1,0)))</f>
        <v>416</v>
      </c>
      <c r="E550" s="7" t="n">
        <f aca="false">IF(((c_TMAP2IN)-(c_TMAP1IN))=0,(c_TMAP1OUT)+QUOTIENT(((c_TMAP2OUT)-(c_TMAP1OUT)),2),QUOTIENT((((A550)-(c_TMAP1IN))*((c_TMAP2OUT)-(c_TMAP1OUT))+IF(((c_TMAP2OUT)-(c_TMAP1OUT))&gt;=0,1,-1)*QUOTIENT(((c_TMAP2IN)-(c_TMAP1IN)),2)),((c_TMAP2IN)-(c_TMAP1IN)))+(c_TMAP1OUT)+IF(((c_TMAP2OUT)-(c_TMAP1OUT))&gt;=0,IF(IF(o_WRAP=1,MOD(((c_TMAP2IN)-(c_TMAP1IN))*(((A550)-(c_TMAP1IN))*((c_TMAP2OUT)-(c_TMAP1OUT))+IF(((c_TMAP2OUT)-(c_TMAP1OUT))&gt;=0,1,-1)*QUOTIENT(((c_TMAP2IN)-(c_TMAP1IN)),2))+2147483648,4294967296)-2147483648,((c_TMAP2IN)-(c_TMAP1IN))*(((A550)-(c_TMAP1IN))*((c_TMAP2OUT)-(c_TMAP1OUT))+IF(((c_TMAP2OUT)-(c_TMAP1OUT))&gt;=0,1,-1)*QUOTIENT(((c_TMAP2IN)-(c_TMAP1IN)),2)))&lt;0,-1,0),IF(IF(o_WRAP=1,MOD(((c_TMAP2IN)-(c_TMAP1IN))*(((A550)-(c_TMAP1IN))*((c_TMAP2OUT)-(c_TMAP1OUT))+IF(((c_TMAP2OUT)-(c_TMAP1OUT))&gt;=0,1,-1)*QUOTIENT(((c_TMAP2IN)-(c_TMAP1IN)),2))+2147483648,4294967296)-2147483648,((c_TMAP2IN)-(c_TMAP1IN))*(((A550)-(c_TMAP1IN))*((c_TMAP2OUT)-(c_TMAP1OUT))+IF(((c_TMAP2OUT)-(c_TMAP1OUT))&gt;=0,1,-1)*QUOTIENT(((c_TMAP2IN)-(c_TMAP1IN)),2)))&gt;=0,1,0)))</f>
        <v>248</v>
      </c>
      <c r="F550" s="7" t="n">
        <f aca="false">IF(((c_TMAP3IN)-(c_TMAP2IN))=0,(c_TMAP2OUT)+QUOTIENT(((c_TMAP3OUT)-(c_TMAP2OUT)),2),QUOTIENT((((A550)-(c_TMAP2IN))*((c_TMAP3OUT)-(c_TMAP2OUT))+IF(((c_TMAP3OUT)-(c_TMAP2OUT))&gt;=0,1,-1)*QUOTIENT(((c_TMAP3IN)-(c_TMAP2IN)),2)),((c_TMAP3IN)-(c_TMAP2IN)))+(c_TMAP2OUT)+IF(((c_TMAP3OUT)-(c_TMAP2OUT))&gt;=0,IF(IF(o_WRAP=1,MOD(((c_TMAP3IN)-(c_TMAP2IN))*(((A550)-(c_TMAP2IN))*((c_TMAP3OUT)-(c_TMAP2OUT))+IF(((c_TMAP3OUT)-(c_TMAP2OUT))&gt;=0,1,-1)*QUOTIENT(((c_TMAP3IN)-(c_TMAP2IN)),2))+2147483648,4294967296)-2147483648,((c_TMAP3IN)-(c_TMAP2IN))*(((A550)-(c_TMAP2IN))*((c_TMAP3OUT)-(c_TMAP2OUT))+IF(((c_TMAP3OUT)-(c_TMAP2OUT))&gt;=0,1,-1)*QUOTIENT(((c_TMAP3IN)-(c_TMAP2IN)),2)))&lt;0,-1,0),IF(IF(o_WRAP=1,MOD(((c_TMAP3IN)-(c_TMAP2IN))*(((A550)-(c_TMAP2IN))*((c_TMAP3OUT)-(c_TMAP2OUT))+IF(((c_TMAP3OUT)-(c_TMAP2OUT))&gt;=0,1,-1)*QUOTIENT(((c_TMAP3IN)-(c_TMAP2IN)),2))+2147483648,4294967296)-2147483648,((c_TMAP3IN)-(c_TMAP2IN))*(((A550)-(c_TMAP2IN))*((c_TMAP3OUT)-(c_TMAP2OUT))+IF(((c_TMAP3OUT)-(c_TMAP2OUT))&gt;=0,1,-1)*QUOTIENT(((c_TMAP3IN)-(c_TMAP2IN)),2)))&gt;=0,1,0)))</f>
        <v>337</v>
      </c>
      <c r="G550" s="7" t="n">
        <f aca="false">IF(((1000)-(c_TMAP3IN))=0,(c_TMAP3OUT)+QUOTIENT(((1000)-(c_TMAP3OUT)),2),QUOTIENT((((A550)-(c_TMAP3IN))*((1000)-(c_TMAP3OUT))+IF(((1000)-(c_TMAP3OUT))&gt;=0,1,-1)*QUOTIENT(((1000)-(c_TMAP3IN)),2)),((1000)-(c_TMAP3IN)))+(c_TMAP3OUT)+IF(((1000)-(c_TMAP3OUT))&gt;=0,IF(IF(o_WRAP=1,MOD(((1000)-(c_TMAP3IN))*(((A550)-(c_TMAP3IN))*((1000)-(c_TMAP3OUT))+IF(((1000)-(c_TMAP3OUT))&gt;=0,1,-1)*QUOTIENT(((1000)-(c_TMAP3IN)),2))+2147483648,4294967296)-2147483648,((1000)-(c_TMAP3IN))*(((A550)-(c_TMAP3IN))*((1000)-(c_TMAP3OUT))+IF(((1000)-(c_TMAP3OUT))&gt;=0,1,-1)*QUOTIENT(((1000)-(c_TMAP3IN)),2)))&lt;0,-1,0),IF(IF(o_WRAP=1,MOD(((1000)-(c_TMAP3IN))*(((A550)-(c_TMAP3IN))*((1000)-(c_TMAP3OUT))+IF(((1000)-(c_TMAP3OUT))&gt;=0,1,-1)*QUOTIENT(((1000)-(c_TMAP3IN)),2))+2147483648,4294967296)-2147483648,((1000)-(c_TMAP3IN))*(((A550)-(c_TMAP3IN))*((1000)-(c_TMAP3OUT))+IF(((1000)-(c_TMAP3OUT))&gt;=0,1,-1)*QUOTIENT(((1000)-(c_TMAP3IN)),2)))&gt;=0,1,0)))</f>
        <v>440</v>
      </c>
      <c r="H550" s="7" t="str">
        <f aca="false">IF(A550&gt;=c_TFWD,IF(AND(A550&gt;=c_TMAP3IN,c_TMAP3IN&lt;1000),"Seg4 map3-100%",IF(AND(A550&gt;=c_TMAP2IN,c_TMAP3IN&gt;c_TMAP2IN),"Seg3 map2-map3",IF(AND(A550&gt;=c_TMAP1IN,c_TMAP2IN&gt;c_TMAP1IN),"Seg2 map1-map2","Seg1 TFWD-map1"))),IF(AND(A550=0,c_TCREEP&gt;0),"Creep",IF(AND(A550&lt;=c_TRNGMIN,A550&gt;=c_TRNGMAX,c_TRNGMIN-c_TRNGMAX&lt;&gt;0),"Regen ramp","Coast (0)")))</f>
        <v>Seg4 map3-100%</v>
      </c>
      <c r="I550" s="7" t="n">
        <f aca="false">IF(A550&gt;=c_TFWD,IF(AND(A550&gt;=c_TMAP3IN,c_TMAP3IN&lt;1000),G550,IF(AND(A550&gt;=c_TMAP2IN,c_TMAP3IN&gt;c_TMAP2IN),F550,IF(AND(A550&gt;=c_TMAP1IN,c_TMAP2IN&gt;c_TMAP1IN),E550,D550))),C550)</f>
        <v>440</v>
      </c>
      <c r="J550" s="7" t="str">
        <f aca="false">IF(I550&lt;-1090,"TOO LOW",IF(I550&gt;1090,"TOO HIGH",""))</f>
        <v/>
      </c>
      <c r="K550" s="15" t="n">
        <f aca="false">IF(J550&lt;&gt;"",0,IF(I550&gt;979,1000,I550))</f>
        <v>440</v>
      </c>
      <c r="L550" s="7" t="n">
        <f aca="false">K550/10</f>
        <v>44</v>
      </c>
    </row>
    <row r="551" customFormat="false" ht="15" hidden="false" customHeight="false" outlineLevel="0" collapsed="false">
      <c r="A551" s="7" t="n">
        <v>546</v>
      </c>
      <c r="B551" s="7" t="n">
        <f aca="false">A551/10</f>
        <v>54.6</v>
      </c>
      <c r="C551" s="7" t="n">
        <f aca="false">IF(AND(A551=0,c_TCREEP&gt;0),10*c_TCREEP,IF(AND(A551&lt;=c_TRNGMIN,A551&gt;=c_TRNGMAX,c_TRNGMIN-c_TRNGMAX&lt;&gt;0),-10*c_TMINRN+QUOTIENT((c_TMAXRN-c_TMINRN)*(100-QUOTIENT((A551-c_TRNGMAX)*100,c_TRNGMIN-c_TRNGMAX)),-10),0))</f>
        <v>0</v>
      </c>
      <c r="D551" s="7" t="n">
        <f aca="false">IF(((c_TMAP1IN)-(c_TFWD))=0,(0)+QUOTIENT(((c_TMAP1OUT)-(0)),2),QUOTIENT((((A551)-(c_TFWD))*((c_TMAP1OUT)-(0))+IF(((c_TMAP1OUT)-(0))&gt;=0,1,-1)*QUOTIENT(((c_TMAP1IN)-(c_TFWD)),2)),((c_TMAP1IN)-(c_TFWD)))+(0)+IF(((c_TMAP1OUT)-(0))&gt;=0,IF(IF(o_WRAP=1,MOD(((c_TMAP1IN)-(c_TFWD))*(((A551)-(c_TFWD))*((c_TMAP1OUT)-(0))+IF(((c_TMAP1OUT)-(0))&gt;=0,1,-1)*QUOTIENT(((c_TMAP1IN)-(c_TFWD)),2))+2147483648,4294967296)-2147483648,((c_TMAP1IN)-(c_TFWD))*(((A551)-(c_TFWD))*((c_TMAP1OUT)-(0))+IF(((c_TMAP1OUT)-(0))&gt;=0,1,-1)*QUOTIENT(((c_TMAP1IN)-(c_TFWD)),2)))&lt;0,-1,0),IF(IF(o_WRAP=1,MOD(((c_TMAP1IN)-(c_TFWD))*(((A551)-(c_TFWD))*((c_TMAP1OUT)-(0))+IF(((c_TMAP1OUT)-(0))&gt;=0,1,-1)*QUOTIENT(((c_TMAP1IN)-(c_TFWD)),2))+2147483648,4294967296)-2147483648,((c_TMAP1IN)-(c_TFWD))*(((A551)-(c_TFWD))*((c_TMAP1OUT)-(0))+IF(((c_TMAP1OUT)-(0))&gt;=0,1,-1)*QUOTIENT(((c_TMAP1IN)-(c_TFWD)),2)))&gt;=0,1,0)))</f>
        <v>417</v>
      </c>
      <c r="E551" s="7" t="n">
        <f aca="false">IF(((c_TMAP2IN)-(c_TMAP1IN))=0,(c_TMAP1OUT)+QUOTIENT(((c_TMAP2OUT)-(c_TMAP1OUT)),2),QUOTIENT((((A551)-(c_TMAP1IN))*((c_TMAP2OUT)-(c_TMAP1OUT))+IF(((c_TMAP2OUT)-(c_TMAP1OUT))&gt;=0,1,-1)*QUOTIENT(((c_TMAP2IN)-(c_TMAP1IN)),2)),((c_TMAP2IN)-(c_TMAP1IN)))+(c_TMAP1OUT)+IF(((c_TMAP2OUT)-(c_TMAP1OUT))&gt;=0,IF(IF(o_WRAP=1,MOD(((c_TMAP2IN)-(c_TMAP1IN))*(((A551)-(c_TMAP1IN))*((c_TMAP2OUT)-(c_TMAP1OUT))+IF(((c_TMAP2OUT)-(c_TMAP1OUT))&gt;=0,1,-1)*QUOTIENT(((c_TMAP2IN)-(c_TMAP1IN)),2))+2147483648,4294967296)-2147483648,((c_TMAP2IN)-(c_TMAP1IN))*(((A551)-(c_TMAP1IN))*((c_TMAP2OUT)-(c_TMAP1OUT))+IF(((c_TMAP2OUT)-(c_TMAP1OUT))&gt;=0,1,-1)*QUOTIENT(((c_TMAP2IN)-(c_TMAP1IN)),2)))&lt;0,-1,0),IF(IF(o_WRAP=1,MOD(((c_TMAP2IN)-(c_TMAP1IN))*(((A551)-(c_TMAP1IN))*((c_TMAP2OUT)-(c_TMAP1OUT))+IF(((c_TMAP2OUT)-(c_TMAP1OUT))&gt;=0,1,-1)*QUOTIENT(((c_TMAP2IN)-(c_TMAP1IN)),2))+2147483648,4294967296)-2147483648,((c_TMAP2IN)-(c_TMAP1IN))*(((A551)-(c_TMAP1IN))*((c_TMAP2OUT)-(c_TMAP1OUT))+IF(((c_TMAP2OUT)-(c_TMAP1OUT))&gt;=0,1,-1)*QUOTIENT(((c_TMAP2IN)-(c_TMAP1IN)),2)))&gt;=0,1,0)))</f>
        <v>248</v>
      </c>
      <c r="F551" s="7" t="n">
        <f aca="false">IF(((c_TMAP3IN)-(c_TMAP2IN))=0,(c_TMAP2OUT)+QUOTIENT(((c_TMAP3OUT)-(c_TMAP2OUT)),2),QUOTIENT((((A551)-(c_TMAP2IN))*((c_TMAP3OUT)-(c_TMAP2OUT))+IF(((c_TMAP3OUT)-(c_TMAP2OUT))&gt;=0,1,-1)*QUOTIENT(((c_TMAP3IN)-(c_TMAP2IN)),2)),((c_TMAP3IN)-(c_TMAP2IN)))+(c_TMAP2OUT)+IF(((c_TMAP3OUT)-(c_TMAP2OUT))&gt;=0,IF(IF(o_WRAP=1,MOD(((c_TMAP3IN)-(c_TMAP2IN))*(((A551)-(c_TMAP2IN))*((c_TMAP3OUT)-(c_TMAP2OUT))+IF(((c_TMAP3OUT)-(c_TMAP2OUT))&gt;=0,1,-1)*QUOTIENT(((c_TMAP3IN)-(c_TMAP2IN)),2))+2147483648,4294967296)-2147483648,((c_TMAP3IN)-(c_TMAP2IN))*(((A551)-(c_TMAP2IN))*((c_TMAP3OUT)-(c_TMAP2OUT))+IF(((c_TMAP3OUT)-(c_TMAP2OUT))&gt;=0,1,-1)*QUOTIENT(((c_TMAP3IN)-(c_TMAP2IN)),2)))&lt;0,-1,0),IF(IF(o_WRAP=1,MOD(((c_TMAP3IN)-(c_TMAP2IN))*(((A551)-(c_TMAP2IN))*((c_TMAP3OUT)-(c_TMAP2OUT))+IF(((c_TMAP3OUT)-(c_TMAP2OUT))&gt;=0,1,-1)*QUOTIENT(((c_TMAP3IN)-(c_TMAP2IN)),2))+2147483648,4294967296)-2147483648,((c_TMAP3IN)-(c_TMAP2IN))*(((A551)-(c_TMAP2IN))*((c_TMAP3OUT)-(c_TMAP2OUT))+IF(((c_TMAP3OUT)-(c_TMAP2OUT))&gt;=0,1,-1)*QUOTIENT(((c_TMAP3IN)-(c_TMAP2IN)),2)))&gt;=0,1,0)))</f>
        <v>337</v>
      </c>
      <c r="G551" s="7" t="n">
        <f aca="false">IF(((1000)-(c_TMAP3IN))=0,(c_TMAP3OUT)+QUOTIENT(((1000)-(c_TMAP3OUT)),2),QUOTIENT((((A551)-(c_TMAP3IN))*((1000)-(c_TMAP3OUT))+IF(((1000)-(c_TMAP3OUT))&gt;=0,1,-1)*QUOTIENT(((1000)-(c_TMAP3IN)),2)),((1000)-(c_TMAP3IN)))+(c_TMAP3OUT)+IF(((1000)-(c_TMAP3OUT))&gt;=0,IF(IF(o_WRAP=1,MOD(((1000)-(c_TMAP3IN))*(((A551)-(c_TMAP3IN))*((1000)-(c_TMAP3OUT))+IF(((1000)-(c_TMAP3OUT))&gt;=0,1,-1)*QUOTIENT(((1000)-(c_TMAP3IN)),2))+2147483648,4294967296)-2147483648,((1000)-(c_TMAP3IN))*(((A551)-(c_TMAP3IN))*((1000)-(c_TMAP3OUT))+IF(((1000)-(c_TMAP3OUT))&gt;=0,1,-1)*QUOTIENT(((1000)-(c_TMAP3IN)),2)))&lt;0,-1,0),IF(IF(o_WRAP=1,MOD(((1000)-(c_TMAP3IN))*(((A551)-(c_TMAP3IN))*((1000)-(c_TMAP3OUT))+IF(((1000)-(c_TMAP3OUT))&gt;=0,1,-1)*QUOTIENT(((1000)-(c_TMAP3IN)),2))+2147483648,4294967296)-2147483648,((1000)-(c_TMAP3IN))*(((A551)-(c_TMAP3IN))*((1000)-(c_TMAP3OUT))+IF(((1000)-(c_TMAP3OUT))&gt;=0,1,-1)*QUOTIENT(((1000)-(c_TMAP3IN)),2)))&gt;=0,1,0)))</f>
        <v>441</v>
      </c>
      <c r="H551" s="7" t="str">
        <f aca="false">IF(A551&gt;=c_TFWD,IF(AND(A551&gt;=c_TMAP3IN,c_TMAP3IN&lt;1000),"Seg4 map3-100%",IF(AND(A551&gt;=c_TMAP2IN,c_TMAP3IN&gt;c_TMAP2IN),"Seg3 map2-map3",IF(AND(A551&gt;=c_TMAP1IN,c_TMAP2IN&gt;c_TMAP1IN),"Seg2 map1-map2","Seg1 TFWD-map1"))),IF(AND(A551=0,c_TCREEP&gt;0),"Creep",IF(AND(A551&lt;=c_TRNGMIN,A551&gt;=c_TRNGMAX,c_TRNGMIN-c_TRNGMAX&lt;&gt;0),"Regen ramp","Coast (0)")))</f>
        <v>Seg4 map3-100%</v>
      </c>
      <c r="I551" s="7" t="n">
        <f aca="false">IF(A551&gt;=c_TFWD,IF(AND(A551&gt;=c_TMAP3IN,c_TMAP3IN&lt;1000),G551,IF(AND(A551&gt;=c_TMAP2IN,c_TMAP3IN&gt;c_TMAP2IN),F551,IF(AND(A551&gt;=c_TMAP1IN,c_TMAP2IN&gt;c_TMAP1IN),E551,D551))),C551)</f>
        <v>441</v>
      </c>
      <c r="J551" s="7" t="str">
        <f aca="false">IF(I551&lt;-1090,"TOO LOW",IF(I551&gt;1090,"TOO HIGH",""))</f>
        <v/>
      </c>
      <c r="K551" s="15" t="n">
        <f aca="false">IF(J551&lt;&gt;"",0,IF(I551&gt;979,1000,I551))</f>
        <v>441</v>
      </c>
      <c r="L551" s="7" t="n">
        <f aca="false">K551/10</f>
        <v>44.1</v>
      </c>
    </row>
    <row r="552" customFormat="false" ht="15" hidden="false" customHeight="false" outlineLevel="0" collapsed="false">
      <c r="A552" s="7" t="n">
        <v>547</v>
      </c>
      <c r="B552" s="7" t="n">
        <f aca="false">A552/10</f>
        <v>54.7</v>
      </c>
      <c r="C552" s="7" t="n">
        <f aca="false">IF(AND(A552=0,c_TCREEP&gt;0),10*c_TCREEP,IF(AND(A552&lt;=c_TRNGMIN,A552&gt;=c_TRNGMAX,c_TRNGMIN-c_TRNGMAX&lt;&gt;0),-10*c_TMINRN+QUOTIENT((c_TMAXRN-c_TMINRN)*(100-QUOTIENT((A552-c_TRNGMAX)*100,c_TRNGMIN-c_TRNGMAX)),-10),0))</f>
        <v>0</v>
      </c>
      <c r="D552" s="7" t="n">
        <f aca="false">IF(((c_TMAP1IN)-(c_TFWD))=0,(0)+QUOTIENT(((c_TMAP1OUT)-(0)),2),QUOTIENT((((A552)-(c_TFWD))*((c_TMAP1OUT)-(0))+IF(((c_TMAP1OUT)-(0))&gt;=0,1,-1)*QUOTIENT(((c_TMAP1IN)-(c_TFWD)),2)),((c_TMAP1IN)-(c_TFWD)))+(0)+IF(((c_TMAP1OUT)-(0))&gt;=0,IF(IF(o_WRAP=1,MOD(((c_TMAP1IN)-(c_TFWD))*(((A552)-(c_TFWD))*((c_TMAP1OUT)-(0))+IF(((c_TMAP1OUT)-(0))&gt;=0,1,-1)*QUOTIENT(((c_TMAP1IN)-(c_TFWD)),2))+2147483648,4294967296)-2147483648,((c_TMAP1IN)-(c_TFWD))*(((A552)-(c_TFWD))*((c_TMAP1OUT)-(0))+IF(((c_TMAP1OUT)-(0))&gt;=0,1,-1)*QUOTIENT(((c_TMAP1IN)-(c_TFWD)),2)))&lt;0,-1,0),IF(IF(o_WRAP=1,MOD(((c_TMAP1IN)-(c_TFWD))*(((A552)-(c_TFWD))*((c_TMAP1OUT)-(0))+IF(((c_TMAP1OUT)-(0))&gt;=0,1,-1)*QUOTIENT(((c_TMAP1IN)-(c_TFWD)),2))+2147483648,4294967296)-2147483648,((c_TMAP1IN)-(c_TFWD))*(((A552)-(c_TFWD))*((c_TMAP1OUT)-(0))+IF(((c_TMAP1OUT)-(0))&gt;=0,1,-1)*QUOTIENT(((c_TMAP1IN)-(c_TFWD)),2)))&gt;=0,1,0)))</f>
        <v>418</v>
      </c>
      <c r="E552" s="7" t="n">
        <f aca="false">IF(((c_TMAP2IN)-(c_TMAP1IN))=0,(c_TMAP1OUT)+QUOTIENT(((c_TMAP2OUT)-(c_TMAP1OUT)),2),QUOTIENT((((A552)-(c_TMAP1IN))*((c_TMAP2OUT)-(c_TMAP1OUT))+IF(((c_TMAP2OUT)-(c_TMAP1OUT))&gt;=0,1,-1)*QUOTIENT(((c_TMAP2IN)-(c_TMAP1IN)),2)),((c_TMAP2IN)-(c_TMAP1IN)))+(c_TMAP1OUT)+IF(((c_TMAP2OUT)-(c_TMAP1OUT))&gt;=0,IF(IF(o_WRAP=1,MOD(((c_TMAP2IN)-(c_TMAP1IN))*(((A552)-(c_TMAP1IN))*((c_TMAP2OUT)-(c_TMAP1OUT))+IF(((c_TMAP2OUT)-(c_TMAP1OUT))&gt;=0,1,-1)*QUOTIENT(((c_TMAP2IN)-(c_TMAP1IN)),2))+2147483648,4294967296)-2147483648,((c_TMAP2IN)-(c_TMAP1IN))*(((A552)-(c_TMAP1IN))*((c_TMAP2OUT)-(c_TMAP1OUT))+IF(((c_TMAP2OUT)-(c_TMAP1OUT))&gt;=0,1,-1)*QUOTIENT(((c_TMAP2IN)-(c_TMAP1IN)),2)))&lt;0,-1,0),IF(IF(o_WRAP=1,MOD(((c_TMAP2IN)-(c_TMAP1IN))*(((A552)-(c_TMAP1IN))*((c_TMAP2OUT)-(c_TMAP1OUT))+IF(((c_TMAP2OUT)-(c_TMAP1OUT))&gt;=0,1,-1)*QUOTIENT(((c_TMAP2IN)-(c_TMAP1IN)),2))+2147483648,4294967296)-2147483648,((c_TMAP2IN)-(c_TMAP1IN))*(((A552)-(c_TMAP1IN))*((c_TMAP2OUT)-(c_TMAP1OUT))+IF(((c_TMAP2OUT)-(c_TMAP1OUT))&gt;=0,1,-1)*QUOTIENT(((c_TMAP2IN)-(c_TMAP1IN)),2)))&gt;=0,1,0)))</f>
        <v>249</v>
      </c>
      <c r="F552" s="7" t="n">
        <f aca="false">IF(((c_TMAP3IN)-(c_TMAP2IN))=0,(c_TMAP2OUT)+QUOTIENT(((c_TMAP3OUT)-(c_TMAP2OUT)),2),QUOTIENT((((A552)-(c_TMAP2IN))*((c_TMAP3OUT)-(c_TMAP2OUT))+IF(((c_TMAP3OUT)-(c_TMAP2OUT))&gt;=0,1,-1)*QUOTIENT(((c_TMAP3IN)-(c_TMAP2IN)),2)),((c_TMAP3IN)-(c_TMAP2IN)))+(c_TMAP2OUT)+IF(((c_TMAP3OUT)-(c_TMAP2OUT))&gt;=0,IF(IF(o_WRAP=1,MOD(((c_TMAP3IN)-(c_TMAP2IN))*(((A552)-(c_TMAP2IN))*((c_TMAP3OUT)-(c_TMAP2OUT))+IF(((c_TMAP3OUT)-(c_TMAP2OUT))&gt;=0,1,-1)*QUOTIENT(((c_TMAP3IN)-(c_TMAP2IN)),2))+2147483648,4294967296)-2147483648,((c_TMAP3IN)-(c_TMAP2IN))*(((A552)-(c_TMAP2IN))*((c_TMAP3OUT)-(c_TMAP2OUT))+IF(((c_TMAP3OUT)-(c_TMAP2OUT))&gt;=0,1,-1)*QUOTIENT(((c_TMAP3IN)-(c_TMAP2IN)),2)))&lt;0,-1,0),IF(IF(o_WRAP=1,MOD(((c_TMAP3IN)-(c_TMAP2IN))*(((A552)-(c_TMAP2IN))*((c_TMAP3OUT)-(c_TMAP2OUT))+IF(((c_TMAP3OUT)-(c_TMAP2OUT))&gt;=0,1,-1)*QUOTIENT(((c_TMAP3IN)-(c_TMAP2IN)),2))+2147483648,4294967296)-2147483648,((c_TMAP3IN)-(c_TMAP2IN))*(((A552)-(c_TMAP2IN))*((c_TMAP3OUT)-(c_TMAP2OUT))+IF(((c_TMAP3OUT)-(c_TMAP2OUT))&gt;=0,1,-1)*QUOTIENT(((c_TMAP3IN)-(c_TMAP2IN)),2)))&gt;=0,1,0)))</f>
        <v>338</v>
      </c>
      <c r="G552" s="7" t="n">
        <f aca="false">IF(((1000)-(c_TMAP3IN))=0,(c_TMAP3OUT)+QUOTIENT(((1000)-(c_TMAP3OUT)),2),QUOTIENT((((A552)-(c_TMAP3IN))*((1000)-(c_TMAP3OUT))+IF(((1000)-(c_TMAP3OUT))&gt;=0,1,-1)*QUOTIENT(((1000)-(c_TMAP3IN)),2)),((1000)-(c_TMAP3IN)))+(c_TMAP3OUT)+IF(((1000)-(c_TMAP3OUT))&gt;=0,IF(IF(o_WRAP=1,MOD(((1000)-(c_TMAP3IN))*(((A552)-(c_TMAP3IN))*((1000)-(c_TMAP3OUT))+IF(((1000)-(c_TMAP3OUT))&gt;=0,1,-1)*QUOTIENT(((1000)-(c_TMAP3IN)),2))+2147483648,4294967296)-2147483648,((1000)-(c_TMAP3IN))*(((A552)-(c_TMAP3IN))*((1000)-(c_TMAP3OUT))+IF(((1000)-(c_TMAP3OUT))&gt;=0,1,-1)*QUOTIENT(((1000)-(c_TMAP3IN)),2)))&lt;0,-1,0),IF(IF(o_WRAP=1,MOD(((1000)-(c_TMAP3IN))*(((A552)-(c_TMAP3IN))*((1000)-(c_TMAP3OUT))+IF(((1000)-(c_TMAP3OUT))&gt;=0,1,-1)*QUOTIENT(((1000)-(c_TMAP3IN)),2))+2147483648,4294967296)-2147483648,((1000)-(c_TMAP3IN))*(((A552)-(c_TMAP3IN))*((1000)-(c_TMAP3OUT))+IF(((1000)-(c_TMAP3OUT))&gt;=0,1,-1)*QUOTIENT(((1000)-(c_TMAP3IN)),2)))&gt;=0,1,0)))</f>
        <v>442</v>
      </c>
      <c r="H552" s="7" t="str">
        <f aca="false">IF(A552&gt;=c_TFWD,IF(AND(A552&gt;=c_TMAP3IN,c_TMAP3IN&lt;1000),"Seg4 map3-100%",IF(AND(A552&gt;=c_TMAP2IN,c_TMAP3IN&gt;c_TMAP2IN),"Seg3 map2-map3",IF(AND(A552&gt;=c_TMAP1IN,c_TMAP2IN&gt;c_TMAP1IN),"Seg2 map1-map2","Seg1 TFWD-map1"))),IF(AND(A552=0,c_TCREEP&gt;0),"Creep",IF(AND(A552&lt;=c_TRNGMIN,A552&gt;=c_TRNGMAX,c_TRNGMIN-c_TRNGMAX&lt;&gt;0),"Regen ramp","Coast (0)")))</f>
        <v>Seg4 map3-100%</v>
      </c>
      <c r="I552" s="7" t="n">
        <f aca="false">IF(A552&gt;=c_TFWD,IF(AND(A552&gt;=c_TMAP3IN,c_TMAP3IN&lt;1000),G552,IF(AND(A552&gt;=c_TMAP2IN,c_TMAP3IN&gt;c_TMAP2IN),F552,IF(AND(A552&gt;=c_TMAP1IN,c_TMAP2IN&gt;c_TMAP1IN),E552,D552))),C552)</f>
        <v>442</v>
      </c>
      <c r="J552" s="7" t="str">
        <f aca="false">IF(I552&lt;-1090,"TOO LOW",IF(I552&gt;1090,"TOO HIGH",""))</f>
        <v/>
      </c>
      <c r="K552" s="15" t="n">
        <f aca="false">IF(J552&lt;&gt;"",0,IF(I552&gt;979,1000,I552))</f>
        <v>442</v>
      </c>
      <c r="L552" s="7" t="n">
        <f aca="false">K552/10</f>
        <v>44.2</v>
      </c>
    </row>
    <row r="553" customFormat="false" ht="15" hidden="false" customHeight="false" outlineLevel="0" collapsed="false">
      <c r="A553" s="7" t="n">
        <v>548</v>
      </c>
      <c r="B553" s="7" t="n">
        <f aca="false">A553/10</f>
        <v>54.8</v>
      </c>
      <c r="C553" s="7" t="n">
        <f aca="false">IF(AND(A553=0,c_TCREEP&gt;0),10*c_TCREEP,IF(AND(A553&lt;=c_TRNGMIN,A553&gt;=c_TRNGMAX,c_TRNGMIN-c_TRNGMAX&lt;&gt;0),-10*c_TMINRN+QUOTIENT((c_TMAXRN-c_TMINRN)*(100-QUOTIENT((A553-c_TRNGMAX)*100,c_TRNGMIN-c_TRNGMAX)),-10),0))</f>
        <v>0</v>
      </c>
      <c r="D553" s="7" t="n">
        <f aca="false">IF(((c_TMAP1IN)-(c_TFWD))=0,(0)+QUOTIENT(((c_TMAP1OUT)-(0)),2),QUOTIENT((((A553)-(c_TFWD))*((c_TMAP1OUT)-(0))+IF(((c_TMAP1OUT)-(0))&gt;=0,1,-1)*QUOTIENT(((c_TMAP1IN)-(c_TFWD)),2)),((c_TMAP1IN)-(c_TFWD)))+(0)+IF(((c_TMAP1OUT)-(0))&gt;=0,IF(IF(o_WRAP=1,MOD(((c_TMAP1IN)-(c_TFWD))*(((A553)-(c_TFWD))*((c_TMAP1OUT)-(0))+IF(((c_TMAP1OUT)-(0))&gt;=0,1,-1)*QUOTIENT(((c_TMAP1IN)-(c_TFWD)),2))+2147483648,4294967296)-2147483648,((c_TMAP1IN)-(c_TFWD))*(((A553)-(c_TFWD))*((c_TMAP1OUT)-(0))+IF(((c_TMAP1OUT)-(0))&gt;=0,1,-1)*QUOTIENT(((c_TMAP1IN)-(c_TFWD)),2)))&lt;0,-1,0),IF(IF(o_WRAP=1,MOD(((c_TMAP1IN)-(c_TFWD))*(((A553)-(c_TFWD))*((c_TMAP1OUT)-(0))+IF(((c_TMAP1OUT)-(0))&gt;=0,1,-1)*QUOTIENT(((c_TMAP1IN)-(c_TFWD)),2))+2147483648,4294967296)-2147483648,((c_TMAP1IN)-(c_TFWD))*(((A553)-(c_TFWD))*((c_TMAP1OUT)-(0))+IF(((c_TMAP1OUT)-(0))&gt;=0,1,-1)*QUOTIENT(((c_TMAP1IN)-(c_TFWD)),2)))&gt;=0,1,0)))</f>
        <v>418</v>
      </c>
      <c r="E553" s="7" t="n">
        <f aca="false">IF(((c_TMAP2IN)-(c_TMAP1IN))=0,(c_TMAP1OUT)+QUOTIENT(((c_TMAP2OUT)-(c_TMAP1OUT)),2),QUOTIENT((((A553)-(c_TMAP1IN))*((c_TMAP2OUT)-(c_TMAP1OUT))+IF(((c_TMAP2OUT)-(c_TMAP1OUT))&gt;=0,1,-1)*QUOTIENT(((c_TMAP2IN)-(c_TMAP1IN)),2)),((c_TMAP2IN)-(c_TMAP1IN)))+(c_TMAP1OUT)+IF(((c_TMAP2OUT)-(c_TMAP1OUT))&gt;=0,IF(IF(o_WRAP=1,MOD(((c_TMAP2IN)-(c_TMAP1IN))*(((A553)-(c_TMAP1IN))*((c_TMAP2OUT)-(c_TMAP1OUT))+IF(((c_TMAP2OUT)-(c_TMAP1OUT))&gt;=0,1,-1)*QUOTIENT(((c_TMAP2IN)-(c_TMAP1IN)),2))+2147483648,4294967296)-2147483648,((c_TMAP2IN)-(c_TMAP1IN))*(((A553)-(c_TMAP1IN))*((c_TMAP2OUT)-(c_TMAP1OUT))+IF(((c_TMAP2OUT)-(c_TMAP1OUT))&gt;=0,1,-1)*QUOTIENT(((c_TMAP2IN)-(c_TMAP1IN)),2)))&lt;0,-1,0),IF(IF(o_WRAP=1,MOD(((c_TMAP2IN)-(c_TMAP1IN))*(((A553)-(c_TMAP1IN))*((c_TMAP2OUT)-(c_TMAP1OUT))+IF(((c_TMAP2OUT)-(c_TMAP1OUT))&gt;=0,1,-1)*QUOTIENT(((c_TMAP2IN)-(c_TMAP1IN)),2))+2147483648,4294967296)-2147483648,((c_TMAP2IN)-(c_TMAP1IN))*(((A553)-(c_TMAP1IN))*((c_TMAP2OUT)-(c_TMAP1OUT))+IF(((c_TMAP2OUT)-(c_TMAP1OUT))&gt;=0,1,-1)*QUOTIENT(((c_TMAP2IN)-(c_TMAP1IN)),2)))&gt;=0,1,0)))</f>
        <v>249</v>
      </c>
      <c r="F553" s="7" t="n">
        <f aca="false">IF(((c_TMAP3IN)-(c_TMAP2IN))=0,(c_TMAP2OUT)+QUOTIENT(((c_TMAP3OUT)-(c_TMAP2OUT)),2),QUOTIENT((((A553)-(c_TMAP2IN))*((c_TMAP3OUT)-(c_TMAP2OUT))+IF(((c_TMAP3OUT)-(c_TMAP2OUT))&gt;=0,1,-1)*QUOTIENT(((c_TMAP3IN)-(c_TMAP2IN)),2)),((c_TMAP3IN)-(c_TMAP2IN)))+(c_TMAP2OUT)+IF(((c_TMAP3OUT)-(c_TMAP2OUT))&gt;=0,IF(IF(o_WRAP=1,MOD(((c_TMAP3IN)-(c_TMAP2IN))*(((A553)-(c_TMAP2IN))*((c_TMAP3OUT)-(c_TMAP2OUT))+IF(((c_TMAP3OUT)-(c_TMAP2OUT))&gt;=0,1,-1)*QUOTIENT(((c_TMAP3IN)-(c_TMAP2IN)),2))+2147483648,4294967296)-2147483648,((c_TMAP3IN)-(c_TMAP2IN))*(((A553)-(c_TMAP2IN))*((c_TMAP3OUT)-(c_TMAP2OUT))+IF(((c_TMAP3OUT)-(c_TMAP2OUT))&gt;=0,1,-1)*QUOTIENT(((c_TMAP3IN)-(c_TMAP2IN)),2)))&lt;0,-1,0),IF(IF(o_WRAP=1,MOD(((c_TMAP3IN)-(c_TMAP2IN))*(((A553)-(c_TMAP2IN))*((c_TMAP3OUT)-(c_TMAP2OUT))+IF(((c_TMAP3OUT)-(c_TMAP2OUT))&gt;=0,1,-1)*QUOTIENT(((c_TMAP3IN)-(c_TMAP2IN)),2))+2147483648,4294967296)-2147483648,((c_TMAP3IN)-(c_TMAP2IN))*(((A553)-(c_TMAP2IN))*((c_TMAP3OUT)-(c_TMAP2OUT))+IF(((c_TMAP3OUT)-(c_TMAP2OUT))&gt;=0,1,-1)*QUOTIENT(((c_TMAP3IN)-(c_TMAP2IN)),2)))&gt;=0,1,0)))</f>
        <v>339</v>
      </c>
      <c r="G553" s="7" t="n">
        <f aca="false">IF(((1000)-(c_TMAP3IN))=0,(c_TMAP3OUT)+QUOTIENT(((1000)-(c_TMAP3OUT)),2),QUOTIENT((((A553)-(c_TMAP3IN))*((1000)-(c_TMAP3OUT))+IF(((1000)-(c_TMAP3OUT))&gt;=0,1,-1)*QUOTIENT(((1000)-(c_TMAP3IN)),2)),((1000)-(c_TMAP3IN)))+(c_TMAP3OUT)+IF(((1000)-(c_TMAP3OUT))&gt;=0,IF(IF(o_WRAP=1,MOD(((1000)-(c_TMAP3IN))*(((A553)-(c_TMAP3IN))*((1000)-(c_TMAP3OUT))+IF(((1000)-(c_TMAP3OUT))&gt;=0,1,-1)*QUOTIENT(((1000)-(c_TMAP3IN)),2))+2147483648,4294967296)-2147483648,((1000)-(c_TMAP3IN))*(((A553)-(c_TMAP3IN))*((1000)-(c_TMAP3OUT))+IF(((1000)-(c_TMAP3OUT))&gt;=0,1,-1)*QUOTIENT(((1000)-(c_TMAP3IN)),2)))&lt;0,-1,0),IF(IF(o_WRAP=1,MOD(((1000)-(c_TMAP3IN))*(((A553)-(c_TMAP3IN))*((1000)-(c_TMAP3OUT))+IF(((1000)-(c_TMAP3OUT))&gt;=0,1,-1)*QUOTIENT(((1000)-(c_TMAP3IN)),2))+2147483648,4294967296)-2147483648,((1000)-(c_TMAP3IN))*(((A553)-(c_TMAP3IN))*((1000)-(c_TMAP3OUT))+IF(((1000)-(c_TMAP3OUT))&gt;=0,1,-1)*QUOTIENT(((1000)-(c_TMAP3IN)),2)))&gt;=0,1,0)))</f>
        <v>444</v>
      </c>
      <c r="H553" s="7" t="str">
        <f aca="false">IF(A553&gt;=c_TFWD,IF(AND(A553&gt;=c_TMAP3IN,c_TMAP3IN&lt;1000),"Seg4 map3-100%",IF(AND(A553&gt;=c_TMAP2IN,c_TMAP3IN&gt;c_TMAP2IN),"Seg3 map2-map3",IF(AND(A553&gt;=c_TMAP1IN,c_TMAP2IN&gt;c_TMAP1IN),"Seg2 map1-map2","Seg1 TFWD-map1"))),IF(AND(A553=0,c_TCREEP&gt;0),"Creep",IF(AND(A553&lt;=c_TRNGMIN,A553&gt;=c_TRNGMAX,c_TRNGMIN-c_TRNGMAX&lt;&gt;0),"Regen ramp","Coast (0)")))</f>
        <v>Seg4 map3-100%</v>
      </c>
      <c r="I553" s="7" t="n">
        <f aca="false">IF(A553&gt;=c_TFWD,IF(AND(A553&gt;=c_TMAP3IN,c_TMAP3IN&lt;1000),G553,IF(AND(A553&gt;=c_TMAP2IN,c_TMAP3IN&gt;c_TMAP2IN),F553,IF(AND(A553&gt;=c_TMAP1IN,c_TMAP2IN&gt;c_TMAP1IN),E553,D553))),C553)</f>
        <v>444</v>
      </c>
      <c r="J553" s="7" t="str">
        <f aca="false">IF(I553&lt;-1090,"TOO LOW",IF(I553&gt;1090,"TOO HIGH",""))</f>
        <v/>
      </c>
      <c r="K553" s="15" t="n">
        <f aca="false">IF(J553&lt;&gt;"",0,IF(I553&gt;979,1000,I553))</f>
        <v>444</v>
      </c>
      <c r="L553" s="7" t="n">
        <f aca="false">K553/10</f>
        <v>44.4</v>
      </c>
    </row>
    <row r="554" customFormat="false" ht="15" hidden="false" customHeight="false" outlineLevel="0" collapsed="false">
      <c r="A554" s="7" t="n">
        <v>549</v>
      </c>
      <c r="B554" s="7" t="n">
        <f aca="false">A554/10</f>
        <v>54.9</v>
      </c>
      <c r="C554" s="7" t="n">
        <f aca="false">IF(AND(A554=0,c_TCREEP&gt;0),10*c_TCREEP,IF(AND(A554&lt;=c_TRNGMIN,A554&gt;=c_TRNGMAX,c_TRNGMIN-c_TRNGMAX&lt;&gt;0),-10*c_TMINRN+QUOTIENT((c_TMAXRN-c_TMINRN)*(100-QUOTIENT((A554-c_TRNGMAX)*100,c_TRNGMIN-c_TRNGMAX)),-10),0))</f>
        <v>0</v>
      </c>
      <c r="D554" s="7" t="n">
        <f aca="false">IF(((c_TMAP1IN)-(c_TFWD))=0,(0)+QUOTIENT(((c_TMAP1OUT)-(0)),2),QUOTIENT((((A554)-(c_TFWD))*((c_TMAP1OUT)-(0))+IF(((c_TMAP1OUT)-(0))&gt;=0,1,-1)*QUOTIENT(((c_TMAP1IN)-(c_TFWD)),2)),((c_TMAP1IN)-(c_TFWD)))+(0)+IF(((c_TMAP1OUT)-(0))&gt;=0,IF(IF(o_WRAP=1,MOD(((c_TMAP1IN)-(c_TFWD))*(((A554)-(c_TFWD))*((c_TMAP1OUT)-(0))+IF(((c_TMAP1OUT)-(0))&gt;=0,1,-1)*QUOTIENT(((c_TMAP1IN)-(c_TFWD)),2))+2147483648,4294967296)-2147483648,((c_TMAP1IN)-(c_TFWD))*(((A554)-(c_TFWD))*((c_TMAP1OUT)-(0))+IF(((c_TMAP1OUT)-(0))&gt;=0,1,-1)*QUOTIENT(((c_TMAP1IN)-(c_TFWD)),2)))&lt;0,-1,0),IF(IF(o_WRAP=1,MOD(((c_TMAP1IN)-(c_TFWD))*(((A554)-(c_TFWD))*((c_TMAP1OUT)-(0))+IF(((c_TMAP1OUT)-(0))&gt;=0,1,-1)*QUOTIENT(((c_TMAP1IN)-(c_TFWD)),2))+2147483648,4294967296)-2147483648,((c_TMAP1IN)-(c_TFWD))*(((A554)-(c_TFWD))*((c_TMAP1OUT)-(0))+IF(((c_TMAP1OUT)-(0))&gt;=0,1,-1)*QUOTIENT(((c_TMAP1IN)-(c_TFWD)),2)))&gt;=0,1,0)))</f>
        <v>419</v>
      </c>
      <c r="E554" s="7" t="n">
        <f aca="false">IF(((c_TMAP2IN)-(c_TMAP1IN))=0,(c_TMAP1OUT)+QUOTIENT(((c_TMAP2OUT)-(c_TMAP1OUT)),2),QUOTIENT((((A554)-(c_TMAP1IN))*((c_TMAP2OUT)-(c_TMAP1OUT))+IF(((c_TMAP2OUT)-(c_TMAP1OUT))&gt;=0,1,-1)*QUOTIENT(((c_TMAP2IN)-(c_TMAP1IN)),2)),((c_TMAP2IN)-(c_TMAP1IN)))+(c_TMAP1OUT)+IF(((c_TMAP2OUT)-(c_TMAP1OUT))&gt;=0,IF(IF(o_WRAP=1,MOD(((c_TMAP2IN)-(c_TMAP1IN))*(((A554)-(c_TMAP1IN))*((c_TMAP2OUT)-(c_TMAP1OUT))+IF(((c_TMAP2OUT)-(c_TMAP1OUT))&gt;=0,1,-1)*QUOTIENT(((c_TMAP2IN)-(c_TMAP1IN)),2))+2147483648,4294967296)-2147483648,((c_TMAP2IN)-(c_TMAP1IN))*(((A554)-(c_TMAP1IN))*((c_TMAP2OUT)-(c_TMAP1OUT))+IF(((c_TMAP2OUT)-(c_TMAP1OUT))&gt;=0,1,-1)*QUOTIENT(((c_TMAP2IN)-(c_TMAP1IN)),2)))&lt;0,-1,0),IF(IF(o_WRAP=1,MOD(((c_TMAP2IN)-(c_TMAP1IN))*(((A554)-(c_TMAP1IN))*((c_TMAP2OUT)-(c_TMAP1OUT))+IF(((c_TMAP2OUT)-(c_TMAP1OUT))&gt;=0,1,-1)*QUOTIENT(((c_TMAP2IN)-(c_TMAP1IN)),2))+2147483648,4294967296)-2147483648,((c_TMAP2IN)-(c_TMAP1IN))*(((A554)-(c_TMAP1IN))*((c_TMAP2OUT)-(c_TMAP1OUT))+IF(((c_TMAP2OUT)-(c_TMAP1OUT))&gt;=0,1,-1)*QUOTIENT(((c_TMAP2IN)-(c_TMAP1IN)),2)))&gt;=0,1,0)))</f>
        <v>250</v>
      </c>
      <c r="F554" s="7" t="n">
        <f aca="false">IF(((c_TMAP3IN)-(c_TMAP2IN))=0,(c_TMAP2OUT)+QUOTIENT(((c_TMAP3OUT)-(c_TMAP2OUT)),2),QUOTIENT((((A554)-(c_TMAP2IN))*((c_TMAP3OUT)-(c_TMAP2OUT))+IF(((c_TMAP3OUT)-(c_TMAP2OUT))&gt;=0,1,-1)*QUOTIENT(((c_TMAP3IN)-(c_TMAP2IN)),2)),((c_TMAP3IN)-(c_TMAP2IN)))+(c_TMAP2OUT)+IF(((c_TMAP3OUT)-(c_TMAP2OUT))&gt;=0,IF(IF(o_WRAP=1,MOD(((c_TMAP3IN)-(c_TMAP2IN))*(((A554)-(c_TMAP2IN))*((c_TMAP3OUT)-(c_TMAP2OUT))+IF(((c_TMAP3OUT)-(c_TMAP2OUT))&gt;=0,1,-1)*QUOTIENT(((c_TMAP3IN)-(c_TMAP2IN)),2))+2147483648,4294967296)-2147483648,((c_TMAP3IN)-(c_TMAP2IN))*(((A554)-(c_TMAP2IN))*((c_TMAP3OUT)-(c_TMAP2OUT))+IF(((c_TMAP3OUT)-(c_TMAP2OUT))&gt;=0,1,-1)*QUOTIENT(((c_TMAP3IN)-(c_TMAP2IN)),2)))&lt;0,-1,0),IF(IF(o_WRAP=1,MOD(((c_TMAP3IN)-(c_TMAP2IN))*(((A554)-(c_TMAP2IN))*((c_TMAP3OUT)-(c_TMAP2OUT))+IF(((c_TMAP3OUT)-(c_TMAP2OUT))&gt;=0,1,-1)*QUOTIENT(((c_TMAP3IN)-(c_TMAP2IN)),2))+2147483648,4294967296)-2147483648,((c_TMAP3IN)-(c_TMAP2IN))*(((A554)-(c_TMAP2IN))*((c_TMAP3OUT)-(c_TMAP2OUT))+IF(((c_TMAP3OUT)-(c_TMAP2OUT))&gt;=0,1,-1)*QUOTIENT(((c_TMAP3IN)-(c_TMAP2IN)),2)))&gt;=0,1,0)))</f>
        <v>339</v>
      </c>
      <c r="G554" s="7" t="n">
        <f aca="false">IF(((1000)-(c_TMAP3IN))=0,(c_TMAP3OUT)+QUOTIENT(((1000)-(c_TMAP3OUT)),2),QUOTIENT((((A554)-(c_TMAP3IN))*((1000)-(c_TMAP3OUT))+IF(((1000)-(c_TMAP3OUT))&gt;=0,1,-1)*QUOTIENT(((1000)-(c_TMAP3IN)),2)),((1000)-(c_TMAP3IN)))+(c_TMAP3OUT)+IF(((1000)-(c_TMAP3OUT))&gt;=0,IF(IF(o_WRAP=1,MOD(((1000)-(c_TMAP3IN))*(((A554)-(c_TMAP3IN))*((1000)-(c_TMAP3OUT))+IF(((1000)-(c_TMAP3OUT))&gt;=0,1,-1)*QUOTIENT(((1000)-(c_TMAP3IN)),2))+2147483648,4294967296)-2147483648,((1000)-(c_TMAP3IN))*(((A554)-(c_TMAP3IN))*((1000)-(c_TMAP3OUT))+IF(((1000)-(c_TMAP3OUT))&gt;=0,1,-1)*QUOTIENT(((1000)-(c_TMAP3IN)),2)))&lt;0,-1,0),IF(IF(o_WRAP=1,MOD(((1000)-(c_TMAP3IN))*(((A554)-(c_TMAP3IN))*((1000)-(c_TMAP3OUT))+IF(((1000)-(c_TMAP3OUT))&gt;=0,1,-1)*QUOTIENT(((1000)-(c_TMAP3IN)),2))+2147483648,4294967296)-2147483648,((1000)-(c_TMAP3IN))*(((A554)-(c_TMAP3IN))*((1000)-(c_TMAP3OUT))+IF(((1000)-(c_TMAP3OUT))&gt;=0,1,-1)*QUOTIENT(((1000)-(c_TMAP3IN)),2)))&gt;=0,1,0)))</f>
        <v>445</v>
      </c>
      <c r="H554" s="7" t="str">
        <f aca="false">IF(A554&gt;=c_TFWD,IF(AND(A554&gt;=c_TMAP3IN,c_TMAP3IN&lt;1000),"Seg4 map3-100%",IF(AND(A554&gt;=c_TMAP2IN,c_TMAP3IN&gt;c_TMAP2IN),"Seg3 map2-map3",IF(AND(A554&gt;=c_TMAP1IN,c_TMAP2IN&gt;c_TMAP1IN),"Seg2 map1-map2","Seg1 TFWD-map1"))),IF(AND(A554=0,c_TCREEP&gt;0),"Creep",IF(AND(A554&lt;=c_TRNGMIN,A554&gt;=c_TRNGMAX,c_TRNGMIN-c_TRNGMAX&lt;&gt;0),"Regen ramp","Coast (0)")))</f>
        <v>Seg4 map3-100%</v>
      </c>
      <c r="I554" s="7" t="n">
        <f aca="false">IF(A554&gt;=c_TFWD,IF(AND(A554&gt;=c_TMAP3IN,c_TMAP3IN&lt;1000),G554,IF(AND(A554&gt;=c_TMAP2IN,c_TMAP3IN&gt;c_TMAP2IN),F554,IF(AND(A554&gt;=c_TMAP1IN,c_TMAP2IN&gt;c_TMAP1IN),E554,D554))),C554)</f>
        <v>445</v>
      </c>
      <c r="J554" s="7" t="str">
        <f aca="false">IF(I554&lt;-1090,"TOO LOW",IF(I554&gt;1090,"TOO HIGH",""))</f>
        <v/>
      </c>
      <c r="K554" s="15" t="n">
        <f aca="false">IF(J554&lt;&gt;"",0,IF(I554&gt;979,1000,I554))</f>
        <v>445</v>
      </c>
      <c r="L554" s="7" t="n">
        <f aca="false">K554/10</f>
        <v>44.5</v>
      </c>
    </row>
    <row r="555" customFormat="false" ht="15" hidden="false" customHeight="false" outlineLevel="0" collapsed="false">
      <c r="A555" s="7" t="n">
        <v>550</v>
      </c>
      <c r="B555" s="7" t="n">
        <f aca="false">A555/10</f>
        <v>55</v>
      </c>
      <c r="C555" s="7" t="n">
        <f aca="false">IF(AND(A555=0,c_TCREEP&gt;0),10*c_TCREEP,IF(AND(A555&lt;=c_TRNGMIN,A555&gt;=c_TRNGMAX,c_TRNGMIN-c_TRNGMAX&lt;&gt;0),-10*c_TMINRN+QUOTIENT((c_TMAXRN-c_TMINRN)*(100-QUOTIENT((A555-c_TRNGMAX)*100,c_TRNGMIN-c_TRNGMAX)),-10),0))</f>
        <v>0</v>
      </c>
      <c r="D555" s="7" t="n">
        <f aca="false">IF(((c_TMAP1IN)-(c_TFWD))=0,(0)+QUOTIENT(((c_TMAP1OUT)-(0)),2),QUOTIENT((((A555)-(c_TFWD))*((c_TMAP1OUT)-(0))+IF(((c_TMAP1OUT)-(0))&gt;=0,1,-1)*QUOTIENT(((c_TMAP1IN)-(c_TFWD)),2)),((c_TMAP1IN)-(c_TFWD)))+(0)+IF(((c_TMAP1OUT)-(0))&gt;=0,IF(IF(o_WRAP=1,MOD(((c_TMAP1IN)-(c_TFWD))*(((A555)-(c_TFWD))*((c_TMAP1OUT)-(0))+IF(((c_TMAP1OUT)-(0))&gt;=0,1,-1)*QUOTIENT(((c_TMAP1IN)-(c_TFWD)),2))+2147483648,4294967296)-2147483648,((c_TMAP1IN)-(c_TFWD))*(((A555)-(c_TFWD))*((c_TMAP1OUT)-(0))+IF(((c_TMAP1OUT)-(0))&gt;=0,1,-1)*QUOTIENT(((c_TMAP1IN)-(c_TFWD)),2)))&lt;0,-1,0),IF(IF(o_WRAP=1,MOD(((c_TMAP1IN)-(c_TFWD))*(((A555)-(c_TFWD))*((c_TMAP1OUT)-(0))+IF(((c_TMAP1OUT)-(0))&gt;=0,1,-1)*QUOTIENT(((c_TMAP1IN)-(c_TFWD)),2))+2147483648,4294967296)-2147483648,((c_TMAP1IN)-(c_TFWD))*(((A555)-(c_TFWD))*((c_TMAP1OUT)-(0))+IF(((c_TMAP1OUT)-(0))&gt;=0,1,-1)*QUOTIENT(((c_TMAP1IN)-(c_TFWD)),2)))&gt;=0,1,0)))</f>
        <v>420</v>
      </c>
      <c r="E555" s="7" t="n">
        <f aca="false">IF(((c_TMAP2IN)-(c_TMAP1IN))=0,(c_TMAP1OUT)+QUOTIENT(((c_TMAP2OUT)-(c_TMAP1OUT)),2),QUOTIENT((((A555)-(c_TMAP1IN))*((c_TMAP2OUT)-(c_TMAP1OUT))+IF(((c_TMAP2OUT)-(c_TMAP1OUT))&gt;=0,1,-1)*QUOTIENT(((c_TMAP2IN)-(c_TMAP1IN)),2)),((c_TMAP2IN)-(c_TMAP1IN)))+(c_TMAP1OUT)+IF(((c_TMAP2OUT)-(c_TMAP1OUT))&gt;=0,IF(IF(o_WRAP=1,MOD(((c_TMAP2IN)-(c_TMAP1IN))*(((A555)-(c_TMAP1IN))*((c_TMAP2OUT)-(c_TMAP1OUT))+IF(((c_TMAP2OUT)-(c_TMAP1OUT))&gt;=0,1,-1)*QUOTIENT(((c_TMAP2IN)-(c_TMAP1IN)),2))+2147483648,4294967296)-2147483648,((c_TMAP2IN)-(c_TMAP1IN))*(((A555)-(c_TMAP1IN))*((c_TMAP2OUT)-(c_TMAP1OUT))+IF(((c_TMAP2OUT)-(c_TMAP1OUT))&gt;=0,1,-1)*QUOTIENT(((c_TMAP2IN)-(c_TMAP1IN)),2)))&lt;0,-1,0),IF(IF(o_WRAP=1,MOD(((c_TMAP2IN)-(c_TMAP1IN))*(((A555)-(c_TMAP1IN))*((c_TMAP2OUT)-(c_TMAP1OUT))+IF(((c_TMAP2OUT)-(c_TMAP1OUT))&gt;=0,1,-1)*QUOTIENT(((c_TMAP2IN)-(c_TMAP1IN)),2))+2147483648,4294967296)-2147483648,((c_TMAP2IN)-(c_TMAP1IN))*(((A555)-(c_TMAP1IN))*((c_TMAP2OUT)-(c_TMAP1OUT))+IF(((c_TMAP2OUT)-(c_TMAP1OUT))&gt;=0,1,-1)*QUOTIENT(((c_TMAP2IN)-(c_TMAP1IN)),2)))&gt;=0,1,0)))</f>
        <v>250</v>
      </c>
      <c r="F555" s="7" t="n">
        <f aca="false">IF(((c_TMAP3IN)-(c_TMAP2IN))=0,(c_TMAP2OUT)+QUOTIENT(((c_TMAP3OUT)-(c_TMAP2OUT)),2),QUOTIENT((((A555)-(c_TMAP2IN))*((c_TMAP3OUT)-(c_TMAP2OUT))+IF(((c_TMAP3OUT)-(c_TMAP2OUT))&gt;=0,1,-1)*QUOTIENT(((c_TMAP3IN)-(c_TMAP2IN)),2)),((c_TMAP3IN)-(c_TMAP2IN)))+(c_TMAP2OUT)+IF(((c_TMAP3OUT)-(c_TMAP2OUT))&gt;=0,IF(IF(o_WRAP=1,MOD(((c_TMAP3IN)-(c_TMAP2IN))*(((A555)-(c_TMAP2IN))*((c_TMAP3OUT)-(c_TMAP2OUT))+IF(((c_TMAP3OUT)-(c_TMAP2OUT))&gt;=0,1,-1)*QUOTIENT(((c_TMAP3IN)-(c_TMAP2IN)),2))+2147483648,4294967296)-2147483648,((c_TMAP3IN)-(c_TMAP2IN))*(((A555)-(c_TMAP2IN))*((c_TMAP3OUT)-(c_TMAP2OUT))+IF(((c_TMAP3OUT)-(c_TMAP2OUT))&gt;=0,1,-1)*QUOTIENT(((c_TMAP3IN)-(c_TMAP2IN)),2)))&lt;0,-1,0),IF(IF(o_WRAP=1,MOD(((c_TMAP3IN)-(c_TMAP2IN))*(((A555)-(c_TMAP2IN))*((c_TMAP3OUT)-(c_TMAP2OUT))+IF(((c_TMAP3OUT)-(c_TMAP2OUT))&gt;=0,1,-1)*QUOTIENT(((c_TMAP3IN)-(c_TMAP2IN)),2))+2147483648,4294967296)-2147483648,((c_TMAP3IN)-(c_TMAP2IN))*(((A555)-(c_TMAP2IN))*((c_TMAP3OUT)-(c_TMAP2OUT))+IF(((c_TMAP3OUT)-(c_TMAP2OUT))&gt;=0,1,-1)*QUOTIENT(((c_TMAP3IN)-(c_TMAP2IN)),2)))&gt;=0,1,0)))</f>
        <v>340</v>
      </c>
      <c r="G555" s="7" t="n">
        <f aca="false">IF(((1000)-(c_TMAP3IN))=0,(c_TMAP3OUT)+QUOTIENT(((1000)-(c_TMAP3OUT)),2),QUOTIENT((((A555)-(c_TMAP3IN))*((1000)-(c_TMAP3OUT))+IF(((1000)-(c_TMAP3OUT))&gt;=0,1,-1)*QUOTIENT(((1000)-(c_TMAP3IN)),2)),((1000)-(c_TMAP3IN)))+(c_TMAP3OUT)+IF(((1000)-(c_TMAP3OUT))&gt;=0,IF(IF(o_WRAP=1,MOD(((1000)-(c_TMAP3IN))*(((A555)-(c_TMAP3IN))*((1000)-(c_TMAP3OUT))+IF(((1000)-(c_TMAP3OUT))&gt;=0,1,-1)*QUOTIENT(((1000)-(c_TMAP3IN)),2))+2147483648,4294967296)-2147483648,((1000)-(c_TMAP3IN))*(((A555)-(c_TMAP3IN))*((1000)-(c_TMAP3OUT))+IF(((1000)-(c_TMAP3OUT))&gt;=0,1,-1)*QUOTIENT(((1000)-(c_TMAP3IN)),2)))&lt;0,-1,0),IF(IF(o_WRAP=1,MOD(((1000)-(c_TMAP3IN))*(((A555)-(c_TMAP3IN))*((1000)-(c_TMAP3OUT))+IF(((1000)-(c_TMAP3OUT))&gt;=0,1,-1)*QUOTIENT(((1000)-(c_TMAP3IN)),2))+2147483648,4294967296)-2147483648,((1000)-(c_TMAP3IN))*(((A555)-(c_TMAP3IN))*((1000)-(c_TMAP3OUT))+IF(((1000)-(c_TMAP3OUT))&gt;=0,1,-1)*QUOTIENT(((1000)-(c_TMAP3IN)),2)))&gt;=0,1,0)))</f>
        <v>446</v>
      </c>
      <c r="H555" s="7" t="str">
        <f aca="false">IF(A555&gt;=c_TFWD,IF(AND(A555&gt;=c_TMAP3IN,c_TMAP3IN&lt;1000),"Seg4 map3-100%",IF(AND(A555&gt;=c_TMAP2IN,c_TMAP3IN&gt;c_TMAP2IN),"Seg3 map2-map3",IF(AND(A555&gt;=c_TMAP1IN,c_TMAP2IN&gt;c_TMAP1IN),"Seg2 map1-map2","Seg1 TFWD-map1"))),IF(AND(A555=0,c_TCREEP&gt;0),"Creep",IF(AND(A555&lt;=c_TRNGMIN,A555&gt;=c_TRNGMAX,c_TRNGMIN-c_TRNGMAX&lt;&gt;0),"Regen ramp","Coast (0)")))</f>
        <v>Seg4 map3-100%</v>
      </c>
      <c r="I555" s="7" t="n">
        <f aca="false">IF(A555&gt;=c_TFWD,IF(AND(A555&gt;=c_TMAP3IN,c_TMAP3IN&lt;1000),G555,IF(AND(A555&gt;=c_TMAP2IN,c_TMAP3IN&gt;c_TMAP2IN),F555,IF(AND(A555&gt;=c_TMAP1IN,c_TMAP2IN&gt;c_TMAP1IN),E555,D555))),C555)</f>
        <v>446</v>
      </c>
      <c r="J555" s="7" t="str">
        <f aca="false">IF(I555&lt;-1090,"TOO LOW",IF(I555&gt;1090,"TOO HIGH",""))</f>
        <v/>
      </c>
      <c r="K555" s="15" t="n">
        <f aca="false">IF(J555&lt;&gt;"",0,IF(I555&gt;979,1000,I555))</f>
        <v>446</v>
      </c>
      <c r="L555" s="7" t="n">
        <f aca="false">K555/10</f>
        <v>44.6</v>
      </c>
    </row>
    <row r="556" customFormat="false" ht="15" hidden="false" customHeight="false" outlineLevel="0" collapsed="false">
      <c r="A556" s="7" t="n">
        <v>551</v>
      </c>
      <c r="B556" s="7" t="n">
        <f aca="false">A556/10</f>
        <v>55.1</v>
      </c>
      <c r="C556" s="7" t="n">
        <f aca="false">IF(AND(A556=0,c_TCREEP&gt;0),10*c_TCREEP,IF(AND(A556&lt;=c_TRNGMIN,A556&gt;=c_TRNGMAX,c_TRNGMIN-c_TRNGMAX&lt;&gt;0),-10*c_TMINRN+QUOTIENT((c_TMAXRN-c_TMINRN)*(100-QUOTIENT((A556-c_TRNGMAX)*100,c_TRNGMIN-c_TRNGMAX)),-10),0))</f>
        <v>0</v>
      </c>
      <c r="D556" s="7" t="n">
        <f aca="false">IF(((c_TMAP1IN)-(c_TFWD))=0,(0)+QUOTIENT(((c_TMAP1OUT)-(0)),2),QUOTIENT((((A556)-(c_TFWD))*((c_TMAP1OUT)-(0))+IF(((c_TMAP1OUT)-(0))&gt;=0,1,-1)*QUOTIENT(((c_TMAP1IN)-(c_TFWD)),2)),((c_TMAP1IN)-(c_TFWD)))+(0)+IF(((c_TMAP1OUT)-(0))&gt;=0,IF(IF(o_WRAP=1,MOD(((c_TMAP1IN)-(c_TFWD))*(((A556)-(c_TFWD))*((c_TMAP1OUT)-(0))+IF(((c_TMAP1OUT)-(0))&gt;=0,1,-1)*QUOTIENT(((c_TMAP1IN)-(c_TFWD)),2))+2147483648,4294967296)-2147483648,((c_TMAP1IN)-(c_TFWD))*(((A556)-(c_TFWD))*((c_TMAP1OUT)-(0))+IF(((c_TMAP1OUT)-(0))&gt;=0,1,-1)*QUOTIENT(((c_TMAP1IN)-(c_TFWD)),2)))&lt;0,-1,0),IF(IF(o_WRAP=1,MOD(((c_TMAP1IN)-(c_TFWD))*(((A556)-(c_TFWD))*((c_TMAP1OUT)-(0))+IF(((c_TMAP1OUT)-(0))&gt;=0,1,-1)*QUOTIENT(((c_TMAP1IN)-(c_TFWD)),2))+2147483648,4294967296)-2147483648,((c_TMAP1IN)-(c_TFWD))*(((A556)-(c_TFWD))*((c_TMAP1OUT)-(0))+IF(((c_TMAP1OUT)-(0))&gt;=0,1,-1)*QUOTIENT(((c_TMAP1IN)-(c_TFWD)),2)))&gt;=0,1,0)))</f>
        <v>421</v>
      </c>
      <c r="E556" s="7" t="n">
        <f aca="false">IF(((c_TMAP2IN)-(c_TMAP1IN))=0,(c_TMAP1OUT)+QUOTIENT(((c_TMAP2OUT)-(c_TMAP1OUT)),2),QUOTIENT((((A556)-(c_TMAP1IN))*((c_TMAP2OUT)-(c_TMAP1OUT))+IF(((c_TMAP2OUT)-(c_TMAP1OUT))&gt;=0,1,-1)*QUOTIENT(((c_TMAP2IN)-(c_TMAP1IN)),2)),((c_TMAP2IN)-(c_TMAP1IN)))+(c_TMAP1OUT)+IF(((c_TMAP2OUT)-(c_TMAP1OUT))&gt;=0,IF(IF(o_WRAP=1,MOD(((c_TMAP2IN)-(c_TMAP1IN))*(((A556)-(c_TMAP1IN))*((c_TMAP2OUT)-(c_TMAP1OUT))+IF(((c_TMAP2OUT)-(c_TMAP1OUT))&gt;=0,1,-1)*QUOTIENT(((c_TMAP2IN)-(c_TMAP1IN)),2))+2147483648,4294967296)-2147483648,((c_TMAP2IN)-(c_TMAP1IN))*(((A556)-(c_TMAP1IN))*((c_TMAP2OUT)-(c_TMAP1OUT))+IF(((c_TMAP2OUT)-(c_TMAP1OUT))&gt;=0,1,-1)*QUOTIENT(((c_TMAP2IN)-(c_TMAP1IN)),2)))&lt;0,-1,0),IF(IF(o_WRAP=1,MOD(((c_TMAP2IN)-(c_TMAP1IN))*(((A556)-(c_TMAP1IN))*((c_TMAP2OUT)-(c_TMAP1OUT))+IF(((c_TMAP2OUT)-(c_TMAP1OUT))&gt;=0,1,-1)*QUOTIENT(((c_TMAP2IN)-(c_TMAP1IN)),2))+2147483648,4294967296)-2147483648,((c_TMAP2IN)-(c_TMAP1IN))*(((A556)-(c_TMAP1IN))*((c_TMAP2OUT)-(c_TMAP1OUT))+IF(((c_TMAP2OUT)-(c_TMAP1OUT))&gt;=0,1,-1)*QUOTIENT(((c_TMAP2IN)-(c_TMAP1IN)),2)))&gt;=0,1,0)))</f>
        <v>250</v>
      </c>
      <c r="F556" s="7" t="n">
        <f aca="false">IF(((c_TMAP3IN)-(c_TMAP2IN))=0,(c_TMAP2OUT)+QUOTIENT(((c_TMAP3OUT)-(c_TMAP2OUT)),2),QUOTIENT((((A556)-(c_TMAP2IN))*((c_TMAP3OUT)-(c_TMAP2OUT))+IF(((c_TMAP3OUT)-(c_TMAP2OUT))&gt;=0,1,-1)*QUOTIENT(((c_TMAP3IN)-(c_TMAP2IN)),2)),((c_TMAP3IN)-(c_TMAP2IN)))+(c_TMAP2OUT)+IF(((c_TMAP3OUT)-(c_TMAP2OUT))&gt;=0,IF(IF(o_WRAP=1,MOD(((c_TMAP3IN)-(c_TMAP2IN))*(((A556)-(c_TMAP2IN))*((c_TMAP3OUT)-(c_TMAP2OUT))+IF(((c_TMAP3OUT)-(c_TMAP2OUT))&gt;=0,1,-1)*QUOTIENT(((c_TMAP3IN)-(c_TMAP2IN)),2))+2147483648,4294967296)-2147483648,((c_TMAP3IN)-(c_TMAP2IN))*(((A556)-(c_TMAP2IN))*((c_TMAP3OUT)-(c_TMAP2OUT))+IF(((c_TMAP3OUT)-(c_TMAP2OUT))&gt;=0,1,-1)*QUOTIENT(((c_TMAP3IN)-(c_TMAP2IN)),2)))&lt;0,-1,0),IF(IF(o_WRAP=1,MOD(((c_TMAP3IN)-(c_TMAP2IN))*(((A556)-(c_TMAP2IN))*((c_TMAP3OUT)-(c_TMAP2OUT))+IF(((c_TMAP3OUT)-(c_TMAP2OUT))&gt;=0,1,-1)*QUOTIENT(((c_TMAP3IN)-(c_TMAP2IN)),2))+2147483648,4294967296)-2147483648,((c_TMAP3IN)-(c_TMAP2IN))*(((A556)-(c_TMAP2IN))*((c_TMAP3OUT)-(c_TMAP2OUT))+IF(((c_TMAP3OUT)-(c_TMAP2OUT))&gt;=0,1,-1)*QUOTIENT(((c_TMAP3IN)-(c_TMAP2IN)),2)))&gt;=0,1,0)))</f>
        <v>341</v>
      </c>
      <c r="G556" s="7" t="n">
        <f aca="false">IF(((1000)-(c_TMAP3IN))=0,(c_TMAP3OUT)+QUOTIENT(((1000)-(c_TMAP3OUT)),2),QUOTIENT((((A556)-(c_TMAP3IN))*((1000)-(c_TMAP3OUT))+IF(((1000)-(c_TMAP3OUT))&gt;=0,1,-1)*QUOTIENT(((1000)-(c_TMAP3IN)),2)),((1000)-(c_TMAP3IN)))+(c_TMAP3OUT)+IF(((1000)-(c_TMAP3OUT))&gt;=0,IF(IF(o_WRAP=1,MOD(((1000)-(c_TMAP3IN))*(((A556)-(c_TMAP3IN))*((1000)-(c_TMAP3OUT))+IF(((1000)-(c_TMAP3OUT))&gt;=0,1,-1)*QUOTIENT(((1000)-(c_TMAP3IN)),2))+2147483648,4294967296)-2147483648,((1000)-(c_TMAP3IN))*(((A556)-(c_TMAP3IN))*((1000)-(c_TMAP3OUT))+IF(((1000)-(c_TMAP3OUT))&gt;=0,1,-1)*QUOTIENT(((1000)-(c_TMAP3IN)),2)))&lt;0,-1,0),IF(IF(o_WRAP=1,MOD(((1000)-(c_TMAP3IN))*(((A556)-(c_TMAP3IN))*((1000)-(c_TMAP3OUT))+IF(((1000)-(c_TMAP3OUT))&gt;=0,1,-1)*QUOTIENT(((1000)-(c_TMAP3IN)),2))+2147483648,4294967296)-2147483648,((1000)-(c_TMAP3IN))*(((A556)-(c_TMAP3IN))*((1000)-(c_TMAP3OUT))+IF(((1000)-(c_TMAP3OUT))&gt;=0,1,-1)*QUOTIENT(((1000)-(c_TMAP3IN)),2)))&gt;=0,1,0)))</f>
        <v>447</v>
      </c>
      <c r="H556" s="7" t="str">
        <f aca="false">IF(A556&gt;=c_TFWD,IF(AND(A556&gt;=c_TMAP3IN,c_TMAP3IN&lt;1000),"Seg4 map3-100%",IF(AND(A556&gt;=c_TMAP2IN,c_TMAP3IN&gt;c_TMAP2IN),"Seg3 map2-map3",IF(AND(A556&gt;=c_TMAP1IN,c_TMAP2IN&gt;c_TMAP1IN),"Seg2 map1-map2","Seg1 TFWD-map1"))),IF(AND(A556=0,c_TCREEP&gt;0),"Creep",IF(AND(A556&lt;=c_TRNGMIN,A556&gt;=c_TRNGMAX,c_TRNGMIN-c_TRNGMAX&lt;&gt;0),"Regen ramp","Coast (0)")))</f>
        <v>Seg4 map3-100%</v>
      </c>
      <c r="I556" s="7" t="n">
        <f aca="false">IF(A556&gt;=c_TFWD,IF(AND(A556&gt;=c_TMAP3IN,c_TMAP3IN&lt;1000),G556,IF(AND(A556&gt;=c_TMAP2IN,c_TMAP3IN&gt;c_TMAP2IN),F556,IF(AND(A556&gt;=c_TMAP1IN,c_TMAP2IN&gt;c_TMAP1IN),E556,D556))),C556)</f>
        <v>447</v>
      </c>
      <c r="J556" s="7" t="str">
        <f aca="false">IF(I556&lt;-1090,"TOO LOW",IF(I556&gt;1090,"TOO HIGH",""))</f>
        <v/>
      </c>
      <c r="K556" s="15" t="n">
        <f aca="false">IF(J556&lt;&gt;"",0,IF(I556&gt;979,1000,I556))</f>
        <v>447</v>
      </c>
      <c r="L556" s="7" t="n">
        <f aca="false">K556/10</f>
        <v>44.7</v>
      </c>
    </row>
    <row r="557" customFormat="false" ht="15" hidden="false" customHeight="false" outlineLevel="0" collapsed="false">
      <c r="A557" s="7" t="n">
        <v>552</v>
      </c>
      <c r="B557" s="7" t="n">
        <f aca="false">A557/10</f>
        <v>55.2</v>
      </c>
      <c r="C557" s="7" t="n">
        <f aca="false">IF(AND(A557=0,c_TCREEP&gt;0),10*c_TCREEP,IF(AND(A557&lt;=c_TRNGMIN,A557&gt;=c_TRNGMAX,c_TRNGMIN-c_TRNGMAX&lt;&gt;0),-10*c_TMINRN+QUOTIENT((c_TMAXRN-c_TMINRN)*(100-QUOTIENT((A557-c_TRNGMAX)*100,c_TRNGMIN-c_TRNGMAX)),-10),0))</f>
        <v>0</v>
      </c>
      <c r="D557" s="7" t="n">
        <f aca="false">IF(((c_TMAP1IN)-(c_TFWD))=0,(0)+QUOTIENT(((c_TMAP1OUT)-(0)),2),QUOTIENT((((A557)-(c_TFWD))*((c_TMAP1OUT)-(0))+IF(((c_TMAP1OUT)-(0))&gt;=0,1,-1)*QUOTIENT(((c_TMAP1IN)-(c_TFWD)),2)),((c_TMAP1IN)-(c_TFWD)))+(0)+IF(((c_TMAP1OUT)-(0))&gt;=0,IF(IF(o_WRAP=1,MOD(((c_TMAP1IN)-(c_TFWD))*(((A557)-(c_TFWD))*((c_TMAP1OUT)-(0))+IF(((c_TMAP1OUT)-(0))&gt;=0,1,-1)*QUOTIENT(((c_TMAP1IN)-(c_TFWD)),2))+2147483648,4294967296)-2147483648,((c_TMAP1IN)-(c_TFWD))*(((A557)-(c_TFWD))*((c_TMAP1OUT)-(0))+IF(((c_TMAP1OUT)-(0))&gt;=0,1,-1)*QUOTIENT(((c_TMAP1IN)-(c_TFWD)),2)))&lt;0,-1,0),IF(IF(o_WRAP=1,MOD(((c_TMAP1IN)-(c_TFWD))*(((A557)-(c_TFWD))*((c_TMAP1OUT)-(0))+IF(((c_TMAP1OUT)-(0))&gt;=0,1,-1)*QUOTIENT(((c_TMAP1IN)-(c_TFWD)),2))+2147483648,4294967296)-2147483648,((c_TMAP1IN)-(c_TFWD))*(((A557)-(c_TFWD))*((c_TMAP1OUT)-(0))+IF(((c_TMAP1OUT)-(0))&gt;=0,1,-1)*QUOTIENT(((c_TMAP1IN)-(c_TFWD)),2)))&gt;=0,1,0)))</f>
        <v>422</v>
      </c>
      <c r="E557" s="7" t="n">
        <f aca="false">IF(((c_TMAP2IN)-(c_TMAP1IN))=0,(c_TMAP1OUT)+QUOTIENT(((c_TMAP2OUT)-(c_TMAP1OUT)),2),QUOTIENT((((A557)-(c_TMAP1IN))*((c_TMAP2OUT)-(c_TMAP1OUT))+IF(((c_TMAP2OUT)-(c_TMAP1OUT))&gt;=0,1,-1)*QUOTIENT(((c_TMAP2IN)-(c_TMAP1IN)),2)),((c_TMAP2IN)-(c_TMAP1IN)))+(c_TMAP1OUT)+IF(((c_TMAP2OUT)-(c_TMAP1OUT))&gt;=0,IF(IF(o_WRAP=1,MOD(((c_TMAP2IN)-(c_TMAP1IN))*(((A557)-(c_TMAP1IN))*((c_TMAP2OUT)-(c_TMAP1OUT))+IF(((c_TMAP2OUT)-(c_TMAP1OUT))&gt;=0,1,-1)*QUOTIENT(((c_TMAP2IN)-(c_TMAP1IN)),2))+2147483648,4294967296)-2147483648,((c_TMAP2IN)-(c_TMAP1IN))*(((A557)-(c_TMAP1IN))*((c_TMAP2OUT)-(c_TMAP1OUT))+IF(((c_TMAP2OUT)-(c_TMAP1OUT))&gt;=0,1,-1)*QUOTIENT(((c_TMAP2IN)-(c_TMAP1IN)),2)))&lt;0,-1,0),IF(IF(o_WRAP=1,MOD(((c_TMAP2IN)-(c_TMAP1IN))*(((A557)-(c_TMAP1IN))*((c_TMAP2OUT)-(c_TMAP1OUT))+IF(((c_TMAP2OUT)-(c_TMAP1OUT))&gt;=0,1,-1)*QUOTIENT(((c_TMAP2IN)-(c_TMAP1IN)),2))+2147483648,4294967296)-2147483648,((c_TMAP2IN)-(c_TMAP1IN))*(((A557)-(c_TMAP1IN))*((c_TMAP2OUT)-(c_TMAP1OUT))+IF(((c_TMAP2OUT)-(c_TMAP1OUT))&gt;=0,1,-1)*QUOTIENT(((c_TMAP2IN)-(c_TMAP1IN)),2)))&gt;=0,1,0)))</f>
        <v>251</v>
      </c>
      <c r="F557" s="7" t="n">
        <f aca="false">IF(((c_TMAP3IN)-(c_TMAP2IN))=0,(c_TMAP2OUT)+QUOTIENT(((c_TMAP3OUT)-(c_TMAP2OUT)),2),QUOTIENT((((A557)-(c_TMAP2IN))*((c_TMAP3OUT)-(c_TMAP2OUT))+IF(((c_TMAP3OUT)-(c_TMAP2OUT))&gt;=0,1,-1)*QUOTIENT(((c_TMAP3IN)-(c_TMAP2IN)),2)),((c_TMAP3IN)-(c_TMAP2IN)))+(c_TMAP2OUT)+IF(((c_TMAP3OUT)-(c_TMAP2OUT))&gt;=0,IF(IF(o_WRAP=1,MOD(((c_TMAP3IN)-(c_TMAP2IN))*(((A557)-(c_TMAP2IN))*((c_TMAP3OUT)-(c_TMAP2OUT))+IF(((c_TMAP3OUT)-(c_TMAP2OUT))&gt;=0,1,-1)*QUOTIENT(((c_TMAP3IN)-(c_TMAP2IN)),2))+2147483648,4294967296)-2147483648,((c_TMAP3IN)-(c_TMAP2IN))*(((A557)-(c_TMAP2IN))*((c_TMAP3OUT)-(c_TMAP2OUT))+IF(((c_TMAP3OUT)-(c_TMAP2OUT))&gt;=0,1,-1)*QUOTIENT(((c_TMAP3IN)-(c_TMAP2IN)),2)))&lt;0,-1,0),IF(IF(o_WRAP=1,MOD(((c_TMAP3IN)-(c_TMAP2IN))*(((A557)-(c_TMAP2IN))*((c_TMAP3OUT)-(c_TMAP2OUT))+IF(((c_TMAP3OUT)-(c_TMAP2OUT))&gt;=0,1,-1)*QUOTIENT(((c_TMAP3IN)-(c_TMAP2IN)),2))+2147483648,4294967296)-2147483648,((c_TMAP3IN)-(c_TMAP2IN))*(((A557)-(c_TMAP2IN))*((c_TMAP3OUT)-(c_TMAP2OUT))+IF(((c_TMAP3OUT)-(c_TMAP2OUT))&gt;=0,1,-1)*QUOTIENT(((c_TMAP3IN)-(c_TMAP2IN)),2)))&gt;=0,1,0)))</f>
        <v>341</v>
      </c>
      <c r="G557" s="7" t="n">
        <f aca="false">IF(((1000)-(c_TMAP3IN))=0,(c_TMAP3OUT)+QUOTIENT(((1000)-(c_TMAP3OUT)),2),QUOTIENT((((A557)-(c_TMAP3IN))*((1000)-(c_TMAP3OUT))+IF(((1000)-(c_TMAP3OUT))&gt;=0,1,-1)*QUOTIENT(((1000)-(c_TMAP3IN)),2)),((1000)-(c_TMAP3IN)))+(c_TMAP3OUT)+IF(((1000)-(c_TMAP3OUT))&gt;=0,IF(IF(o_WRAP=1,MOD(((1000)-(c_TMAP3IN))*(((A557)-(c_TMAP3IN))*((1000)-(c_TMAP3OUT))+IF(((1000)-(c_TMAP3OUT))&gt;=0,1,-1)*QUOTIENT(((1000)-(c_TMAP3IN)),2))+2147483648,4294967296)-2147483648,((1000)-(c_TMAP3IN))*(((A557)-(c_TMAP3IN))*((1000)-(c_TMAP3OUT))+IF(((1000)-(c_TMAP3OUT))&gt;=0,1,-1)*QUOTIENT(((1000)-(c_TMAP3IN)),2)))&lt;0,-1,0),IF(IF(o_WRAP=1,MOD(((1000)-(c_TMAP3IN))*(((A557)-(c_TMAP3IN))*((1000)-(c_TMAP3OUT))+IF(((1000)-(c_TMAP3OUT))&gt;=0,1,-1)*QUOTIENT(((1000)-(c_TMAP3IN)),2))+2147483648,4294967296)-2147483648,((1000)-(c_TMAP3IN))*(((A557)-(c_TMAP3IN))*((1000)-(c_TMAP3OUT))+IF(((1000)-(c_TMAP3OUT))&gt;=0,1,-1)*QUOTIENT(((1000)-(c_TMAP3IN)),2)))&gt;=0,1,0)))</f>
        <v>449</v>
      </c>
      <c r="H557" s="7" t="str">
        <f aca="false">IF(A557&gt;=c_TFWD,IF(AND(A557&gt;=c_TMAP3IN,c_TMAP3IN&lt;1000),"Seg4 map3-100%",IF(AND(A557&gt;=c_TMAP2IN,c_TMAP3IN&gt;c_TMAP2IN),"Seg3 map2-map3",IF(AND(A557&gt;=c_TMAP1IN,c_TMAP2IN&gt;c_TMAP1IN),"Seg2 map1-map2","Seg1 TFWD-map1"))),IF(AND(A557=0,c_TCREEP&gt;0),"Creep",IF(AND(A557&lt;=c_TRNGMIN,A557&gt;=c_TRNGMAX,c_TRNGMIN-c_TRNGMAX&lt;&gt;0),"Regen ramp","Coast (0)")))</f>
        <v>Seg4 map3-100%</v>
      </c>
      <c r="I557" s="7" t="n">
        <f aca="false">IF(A557&gt;=c_TFWD,IF(AND(A557&gt;=c_TMAP3IN,c_TMAP3IN&lt;1000),G557,IF(AND(A557&gt;=c_TMAP2IN,c_TMAP3IN&gt;c_TMAP2IN),F557,IF(AND(A557&gt;=c_TMAP1IN,c_TMAP2IN&gt;c_TMAP1IN),E557,D557))),C557)</f>
        <v>449</v>
      </c>
      <c r="J557" s="7" t="str">
        <f aca="false">IF(I557&lt;-1090,"TOO LOW",IF(I557&gt;1090,"TOO HIGH",""))</f>
        <v/>
      </c>
      <c r="K557" s="15" t="n">
        <f aca="false">IF(J557&lt;&gt;"",0,IF(I557&gt;979,1000,I557))</f>
        <v>449</v>
      </c>
      <c r="L557" s="7" t="n">
        <f aca="false">K557/10</f>
        <v>44.9</v>
      </c>
    </row>
    <row r="558" customFormat="false" ht="15" hidden="false" customHeight="false" outlineLevel="0" collapsed="false">
      <c r="A558" s="7" t="n">
        <v>553</v>
      </c>
      <c r="B558" s="7" t="n">
        <f aca="false">A558/10</f>
        <v>55.3</v>
      </c>
      <c r="C558" s="7" t="n">
        <f aca="false">IF(AND(A558=0,c_TCREEP&gt;0),10*c_TCREEP,IF(AND(A558&lt;=c_TRNGMIN,A558&gt;=c_TRNGMAX,c_TRNGMIN-c_TRNGMAX&lt;&gt;0),-10*c_TMINRN+QUOTIENT((c_TMAXRN-c_TMINRN)*(100-QUOTIENT((A558-c_TRNGMAX)*100,c_TRNGMIN-c_TRNGMAX)),-10),0))</f>
        <v>0</v>
      </c>
      <c r="D558" s="7" t="n">
        <f aca="false">IF(((c_TMAP1IN)-(c_TFWD))=0,(0)+QUOTIENT(((c_TMAP1OUT)-(0)),2),QUOTIENT((((A558)-(c_TFWD))*((c_TMAP1OUT)-(0))+IF(((c_TMAP1OUT)-(0))&gt;=0,1,-1)*QUOTIENT(((c_TMAP1IN)-(c_TFWD)),2)),((c_TMAP1IN)-(c_TFWD)))+(0)+IF(((c_TMAP1OUT)-(0))&gt;=0,IF(IF(o_WRAP=1,MOD(((c_TMAP1IN)-(c_TFWD))*(((A558)-(c_TFWD))*((c_TMAP1OUT)-(0))+IF(((c_TMAP1OUT)-(0))&gt;=0,1,-1)*QUOTIENT(((c_TMAP1IN)-(c_TFWD)),2))+2147483648,4294967296)-2147483648,((c_TMAP1IN)-(c_TFWD))*(((A558)-(c_TFWD))*((c_TMAP1OUT)-(0))+IF(((c_TMAP1OUT)-(0))&gt;=0,1,-1)*QUOTIENT(((c_TMAP1IN)-(c_TFWD)),2)))&lt;0,-1,0),IF(IF(o_WRAP=1,MOD(((c_TMAP1IN)-(c_TFWD))*(((A558)-(c_TFWD))*((c_TMAP1OUT)-(0))+IF(((c_TMAP1OUT)-(0))&gt;=0,1,-1)*QUOTIENT(((c_TMAP1IN)-(c_TFWD)),2))+2147483648,4294967296)-2147483648,((c_TMAP1IN)-(c_TFWD))*(((A558)-(c_TFWD))*((c_TMAP1OUT)-(0))+IF(((c_TMAP1OUT)-(0))&gt;=0,1,-1)*QUOTIENT(((c_TMAP1IN)-(c_TFWD)),2)))&gt;=0,1,0)))</f>
        <v>422</v>
      </c>
      <c r="E558" s="7" t="n">
        <f aca="false">IF(((c_TMAP2IN)-(c_TMAP1IN))=0,(c_TMAP1OUT)+QUOTIENT(((c_TMAP2OUT)-(c_TMAP1OUT)),2),QUOTIENT((((A558)-(c_TMAP1IN))*((c_TMAP2OUT)-(c_TMAP1OUT))+IF(((c_TMAP2OUT)-(c_TMAP1OUT))&gt;=0,1,-1)*QUOTIENT(((c_TMAP2IN)-(c_TMAP1IN)),2)),((c_TMAP2IN)-(c_TMAP1IN)))+(c_TMAP1OUT)+IF(((c_TMAP2OUT)-(c_TMAP1OUT))&gt;=0,IF(IF(o_WRAP=1,MOD(((c_TMAP2IN)-(c_TMAP1IN))*(((A558)-(c_TMAP1IN))*((c_TMAP2OUT)-(c_TMAP1OUT))+IF(((c_TMAP2OUT)-(c_TMAP1OUT))&gt;=0,1,-1)*QUOTIENT(((c_TMAP2IN)-(c_TMAP1IN)),2))+2147483648,4294967296)-2147483648,((c_TMAP2IN)-(c_TMAP1IN))*(((A558)-(c_TMAP1IN))*((c_TMAP2OUT)-(c_TMAP1OUT))+IF(((c_TMAP2OUT)-(c_TMAP1OUT))&gt;=0,1,-1)*QUOTIENT(((c_TMAP2IN)-(c_TMAP1IN)),2)))&lt;0,-1,0),IF(IF(o_WRAP=1,MOD(((c_TMAP2IN)-(c_TMAP1IN))*(((A558)-(c_TMAP1IN))*((c_TMAP2OUT)-(c_TMAP1OUT))+IF(((c_TMAP2OUT)-(c_TMAP1OUT))&gt;=0,1,-1)*QUOTIENT(((c_TMAP2IN)-(c_TMAP1IN)),2))+2147483648,4294967296)-2147483648,((c_TMAP2IN)-(c_TMAP1IN))*(((A558)-(c_TMAP1IN))*((c_TMAP2OUT)-(c_TMAP1OUT))+IF(((c_TMAP2OUT)-(c_TMAP1OUT))&gt;=0,1,-1)*QUOTIENT(((c_TMAP2IN)-(c_TMAP1IN)),2)))&gt;=0,1,0)))</f>
        <v>251</v>
      </c>
      <c r="F558" s="7" t="n">
        <f aca="false">IF(((c_TMAP3IN)-(c_TMAP2IN))=0,(c_TMAP2OUT)+QUOTIENT(((c_TMAP3OUT)-(c_TMAP2OUT)),2),QUOTIENT((((A558)-(c_TMAP2IN))*((c_TMAP3OUT)-(c_TMAP2OUT))+IF(((c_TMAP3OUT)-(c_TMAP2OUT))&gt;=0,1,-1)*QUOTIENT(((c_TMAP3IN)-(c_TMAP2IN)),2)),((c_TMAP3IN)-(c_TMAP2IN)))+(c_TMAP2OUT)+IF(((c_TMAP3OUT)-(c_TMAP2OUT))&gt;=0,IF(IF(o_WRAP=1,MOD(((c_TMAP3IN)-(c_TMAP2IN))*(((A558)-(c_TMAP2IN))*((c_TMAP3OUT)-(c_TMAP2OUT))+IF(((c_TMAP3OUT)-(c_TMAP2OUT))&gt;=0,1,-1)*QUOTIENT(((c_TMAP3IN)-(c_TMAP2IN)),2))+2147483648,4294967296)-2147483648,((c_TMAP3IN)-(c_TMAP2IN))*(((A558)-(c_TMAP2IN))*((c_TMAP3OUT)-(c_TMAP2OUT))+IF(((c_TMAP3OUT)-(c_TMAP2OUT))&gt;=0,1,-1)*QUOTIENT(((c_TMAP3IN)-(c_TMAP2IN)),2)))&lt;0,-1,0),IF(IF(o_WRAP=1,MOD(((c_TMAP3IN)-(c_TMAP2IN))*(((A558)-(c_TMAP2IN))*((c_TMAP3OUT)-(c_TMAP2OUT))+IF(((c_TMAP3OUT)-(c_TMAP2OUT))&gt;=0,1,-1)*QUOTIENT(((c_TMAP3IN)-(c_TMAP2IN)),2))+2147483648,4294967296)-2147483648,((c_TMAP3IN)-(c_TMAP2IN))*(((A558)-(c_TMAP2IN))*((c_TMAP3OUT)-(c_TMAP2OUT))+IF(((c_TMAP3OUT)-(c_TMAP2OUT))&gt;=0,1,-1)*QUOTIENT(((c_TMAP3IN)-(c_TMAP2IN)),2)))&gt;=0,1,0)))</f>
        <v>342</v>
      </c>
      <c r="G558" s="7" t="n">
        <f aca="false">IF(((1000)-(c_TMAP3IN))=0,(c_TMAP3OUT)+QUOTIENT(((1000)-(c_TMAP3OUT)),2),QUOTIENT((((A558)-(c_TMAP3IN))*((1000)-(c_TMAP3OUT))+IF(((1000)-(c_TMAP3OUT))&gt;=0,1,-1)*QUOTIENT(((1000)-(c_TMAP3IN)),2)),((1000)-(c_TMAP3IN)))+(c_TMAP3OUT)+IF(((1000)-(c_TMAP3OUT))&gt;=0,IF(IF(o_WRAP=1,MOD(((1000)-(c_TMAP3IN))*(((A558)-(c_TMAP3IN))*((1000)-(c_TMAP3OUT))+IF(((1000)-(c_TMAP3OUT))&gt;=0,1,-1)*QUOTIENT(((1000)-(c_TMAP3IN)),2))+2147483648,4294967296)-2147483648,((1000)-(c_TMAP3IN))*(((A558)-(c_TMAP3IN))*((1000)-(c_TMAP3OUT))+IF(((1000)-(c_TMAP3OUT))&gt;=0,1,-1)*QUOTIENT(((1000)-(c_TMAP3IN)),2)))&lt;0,-1,0),IF(IF(o_WRAP=1,MOD(((1000)-(c_TMAP3IN))*(((A558)-(c_TMAP3IN))*((1000)-(c_TMAP3OUT))+IF(((1000)-(c_TMAP3OUT))&gt;=0,1,-1)*QUOTIENT(((1000)-(c_TMAP3IN)),2))+2147483648,4294967296)-2147483648,((1000)-(c_TMAP3IN))*(((A558)-(c_TMAP3IN))*((1000)-(c_TMAP3OUT))+IF(((1000)-(c_TMAP3OUT))&gt;=0,1,-1)*QUOTIENT(((1000)-(c_TMAP3IN)),2)))&gt;=0,1,0)))</f>
        <v>450</v>
      </c>
      <c r="H558" s="7" t="str">
        <f aca="false">IF(A558&gt;=c_TFWD,IF(AND(A558&gt;=c_TMAP3IN,c_TMAP3IN&lt;1000),"Seg4 map3-100%",IF(AND(A558&gt;=c_TMAP2IN,c_TMAP3IN&gt;c_TMAP2IN),"Seg3 map2-map3",IF(AND(A558&gt;=c_TMAP1IN,c_TMAP2IN&gt;c_TMAP1IN),"Seg2 map1-map2","Seg1 TFWD-map1"))),IF(AND(A558=0,c_TCREEP&gt;0),"Creep",IF(AND(A558&lt;=c_TRNGMIN,A558&gt;=c_TRNGMAX,c_TRNGMIN-c_TRNGMAX&lt;&gt;0),"Regen ramp","Coast (0)")))</f>
        <v>Seg4 map3-100%</v>
      </c>
      <c r="I558" s="7" t="n">
        <f aca="false">IF(A558&gt;=c_TFWD,IF(AND(A558&gt;=c_TMAP3IN,c_TMAP3IN&lt;1000),G558,IF(AND(A558&gt;=c_TMAP2IN,c_TMAP3IN&gt;c_TMAP2IN),F558,IF(AND(A558&gt;=c_TMAP1IN,c_TMAP2IN&gt;c_TMAP1IN),E558,D558))),C558)</f>
        <v>450</v>
      </c>
      <c r="J558" s="7" t="str">
        <f aca="false">IF(I558&lt;-1090,"TOO LOW",IF(I558&gt;1090,"TOO HIGH",""))</f>
        <v/>
      </c>
      <c r="K558" s="15" t="n">
        <f aca="false">IF(J558&lt;&gt;"",0,IF(I558&gt;979,1000,I558))</f>
        <v>450</v>
      </c>
      <c r="L558" s="7" t="n">
        <f aca="false">K558/10</f>
        <v>45</v>
      </c>
    </row>
    <row r="559" customFormat="false" ht="15" hidden="false" customHeight="false" outlineLevel="0" collapsed="false">
      <c r="A559" s="7" t="n">
        <v>554</v>
      </c>
      <c r="B559" s="7" t="n">
        <f aca="false">A559/10</f>
        <v>55.4</v>
      </c>
      <c r="C559" s="7" t="n">
        <f aca="false">IF(AND(A559=0,c_TCREEP&gt;0),10*c_TCREEP,IF(AND(A559&lt;=c_TRNGMIN,A559&gt;=c_TRNGMAX,c_TRNGMIN-c_TRNGMAX&lt;&gt;0),-10*c_TMINRN+QUOTIENT((c_TMAXRN-c_TMINRN)*(100-QUOTIENT((A559-c_TRNGMAX)*100,c_TRNGMIN-c_TRNGMAX)),-10),0))</f>
        <v>0</v>
      </c>
      <c r="D559" s="7" t="n">
        <f aca="false">IF(((c_TMAP1IN)-(c_TFWD))=0,(0)+QUOTIENT(((c_TMAP1OUT)-(0)),2),QUOTIENT((((A559)-(c_TFWD))*((c_TMAP1OUT)-(0))+IF(((c_TMAP1OUT)-(0))&gt;=0,1,-1)*QUOTIENT(((c_TMAP1IN)-(c_TFWD)),2)),((c_TMAP1IN)-(c_TFWD)))+(0)+IF(((c_TMAP1OUT)-(0))&gt;=0,IF(IF(o_WRAP=1,MOD(((c_TMAP1IN)-(c_TFWD))*(((A559)-(c_TFWD))*((c_TMAP1OUT)-(0))+IF(((c_TMAP1OUT)-(0))&gt;=0,1,-1)*QUOTIENT(((c_TMAP1IN)-(c_TFWD)),2))+2147483648,4294967296)-2147483648,((c_TMAP1IN)-(c_TFWD))*(((A559)-(c_TFWD))*((c_TMAP1OUT)-(0))+IF(((c_TMAP1OUT)-(0))&gt;=0,1,-1)*QUOTIENT(((c_TMAP1IN)-(c_TFWD)),2)))&lt;0,-1,0),IF(IF(o_WRAP=1,MOD(((c_TMAP1IN)-(c_TFWD))*(((A559)-(c_TFWD))*((c_TMAP1OUT)-(0))+IF(((c_TMAP1OUT)-(0))&gt;=0,1,-1)*QUOTIENT(((c_TMAP1IN)-(c_TFWD)),2))+2147483648,4294967296)-2147483648,((c_TMAP1IN)-(c_TFWD))*(((A559)-(c_TFWD))*((c_TMAP1OUT)-(0))+IF(((c_TMAP1OUT)-(0))&gt;=0,1,-1)*QUOTIENT(((c_TMAP1IN)-(c_TFWD)),2)))&gt;=0,1,0)))</f>
        <v>423</v>
      </c>
      <c r="E559" s="7" t="n">
        <f aca="false">IF(((c_TMAP2IN)-(c_TMAP1IN))=0,(c_TMAP1OUT)+QUOTIENT(((c_TMAP2OUT)-(c_TMAP1OUT)),2),QUOTIENT((((A559)-(c_TMAP1IN))*((c_TMAP2OUT)-(c_TMAP1OUT))+IF(((c_TMAP2OUT)-(c_TMAP1OUT))&gt;=0,1,-1)*QUOTIENT(((c_TMAP2IN)-(c_TMAP1IN)),2)),((c_TMAP2IN)-(c_TMAP1IN)))+(c_TMAP1OUT)+IF(((c_TMAP2OUT)-(c_TMAP1OUT))&gt;=0,IF(IF(o_WRAP=1,MOD(((c_TMAP2IN)-(c_TMAP1IN))*(((A559)-(c_TMAP1IN))*((c_TMAP2OUT)-(c_TMAP1OUT))+IF(((c_TMAP2OUT)-(c_TMAP1OUT))&gt;=0,1,-1)*QUOTIENT(((c_TMAP2IN)-(c_TMAP1IN)),2))+2147483648,4294967296)-2147483648,((c_TMAP2IN)-(c_TMAP1IN))*(((A559)-(c_TMAP1IN))*((c_TMAP2OUT)-(c_TMAP1OUT))+IF(((c_TMAP2OUT)-(c_TMAP1OUT))&gt;=0,1,-1)*QUOTIENT(((c_TMAP2IN)-(c_TMAP1IN)),2)))&lt;0,-1,0),IF(IF(o_WRAP=1,MOD(((c_TMAP2IN)-(c_TMAP1IN))*(((A559)-(c_TMAP1IN))*((c_TMAP2OUT)-(c_TMAP1OUT))+IF(((c_TMAP2OUT)-(c_TMAP1OUT))&gt;=0,1,-1)*QUOTIENT(((c_TMAP2IN)-(c_TMAP1IN)),2))+2147483648,4294967296)-2147483648,((c_TMAP2IN)-(c_TMAP1IN))*(((A559)-(c_TMAP1IN))*((c_TMAP2OUT)-(c_TMAP1OUT))+IF(((c_TMAP2OUT)-(c_TMAP1OUT))&gt;=0,1,-1)*QUOTIENT(((c_TMAP2IN)-(c_TMAP1IN)),2)))&gt;=0,1,0)))</f>
        <v>252</v>
      </c>
      <c r="F559" s="7" t="n">
        <f aca="false">IF(((c_TMAP3IN)-(c_TMAP2IN))=0,(c_TMAP2OUT)+QUOTIENT(((c_TMAP3OUT)-(c_TMAP2OUT)),2),QUOTIENT((((A559)-(c_TMAP2IN))*((c_TMAP3OUT)-(c_TMAP2OUT))+IF(((c_TMAP3OUT)-(c_TMAP2OUT))&gt;=0,1,-1)*QUOTIENT(((c_TMAP3IN)-(c_TMAP2IN)),2)),((c_TMAP3IN)-(c_TMAP2IN)))+(c_TMAP2OUT)+IF(((c_TMAP3OUT)-(c_TMAP2OUT))&gt;=0,IF(IF(o_WRAP=1,MOD(((c_TMAP3IN)-(c_TMAP2IN))*(((A559)-(c_TMAP2IN))*((c_TMAP3OUT)-(c_TMAP2OUT))+IF(((c_TMAP3OUT)-(c_TMAP2OUT))&gt;=0,1,-1)*QUOTIENT(((c_TMAP3IN)-(c_TMAP2IN)),2))+2147483648,4294967296)-2147483648,((c_TMAP3IN)-(c_TMAP2IN))*(((A559)-(c_TMAP2IN))*((c_TMAP3OUT)-(c_TMAP2OUT))+IF(((c_TMAP3OUT)-(c_TMAP2OUT))&gt;=0,1,-1)*QUOTIENT(((c_TMAP3IN)-(c_TMAP2IN)),2)))&lt;0,-1,0),IF(IF(o_WRAP=1,MOD(((c_TMAP3IN)-(c_TMAP2IN))*(((A559)-(c_TMAP2IN))*((c_TMAP3OUT)-(c_TMAP2OUT))+IF(((c_TMAP3OUT)-(c_TMAP2OUT))&gt;=0,1,-1)*QUOTIENT(((c_TMAP3IN)-(c_TMAP2IN)),2))+2147483648,4294967296)-2147483648,((c_TMAP3IN)-(c_TMAP2IN))*(((A559)-(c_TMAP2IN))*((c_TMAP3OUT)-(c_TMAP2OUT))+IF(((c_TMAP3OUT)-(c_TMAP2OUT))&gt;=0,1,-1)*QUOTIENT(((c_TMAP3IN)-(c_TMAP2IN)),2)))&gt;=0,1,0)))</f>
        <v>343</v>
      </c>
      <c r="G559" s="7" t="n">
        <f aca="false">IF(((1000)-(c_TMAP3IN))=0,(c_TMAP3OUT)+QUOTIENT(((1000)-(c_TMAP3OUT)),2),QUOTIENT((((A559)-(c_TMAP3IN))*((1000)-(c_TMAP3OUT))+IF(((1000)-(c_TMAP3OUT))&gt;=0,1,-1)*QUOTIENT(((1000)-(c_TMAP3IN)),2)),((1000)-(c_TMAP3IN)))+(c_TMAP3OUT)+IF(((1000)-(c_TMAP3OUT))&gt;=0,IF(IF(o_WRAP=1,MOD(((1000)-(c_TMAP3IN))*(((A559)-(c_TMAP3IN))*((1000)-(c_TMAP3OUT))+IF(((1000)-(c_TMAP3OUT))&gt;=0,1,-1)*QUOTIENT(((1000)-(c_TMAP3IN)),2))+2147483648,4294967296)-2147483648,((1000)-(c_TMAP3IN))*(((A559)-(c_TMAP3IN))*((1000)-(c_TMAP3OUT))+IF(((1000)-(c_TMAP3OUT))&gt;=0,1,-1)*QUOTIENT(((1000)-(c_TMAP3IN)),2)))&lt;0,-1,0),IF(IF(o_WRAP=1,MOD(((1000)-(c_TMAP3IN))*(((A559)-(c_TMAP3IN))*((1000)-(c_TMAP3OUT))+IF(((1000)-(c_TMAP3OUT))&gt;=0,1,-1)*QUOTIENT(((1000)-(c_TMAP3IN)),2))+2147483648,4294967296)-2147483648,((1000)-(c_TMAP3IN))*(((A559)-(c_TMAP3IN))*((1000)-(c_TMAP3OUT))+IF(((1000)-(c_TMAP3OUT))&gt;=0,1,-1)*QUOTIENT(((1000)-(c_TMAP3IN)),2)))&gt;=0,1,0)))</f>
        <v>451</v>
      </c>
      <c r="H559" s="7" t="str">
        <f aca="false">IF(A559&gt;=c_TFWD,IF(AND(A559&gt;=c_TMAP3IN,c_TMAP3IN&lt;1000),"Seg4 map3-100%",IF(AND(A559&gt;=c_TMAP2IN,c_TMAP3IN&gt;c_TMAP2IN),"Seg3 map2-map3",IF(AND(A559&gt;=c_TMAP1IN,c_TMAP2IN&gt;c_TMAP1IN),"Seg2 map1-map2","Seg1 TFWD-map1"))),IF(AND(A559=0,c_TCREEP&gt;0),"Creep",IF(AND(A559&lt;=c_TRNGMIN,A559&gt;=c_TRNGMAX,c_TRNGMIN-c_TRNGMAX&lt;&gt;0),"Regen ramp","Coast (0)")))</f>
        <v>Seg4 map3-100%</v>
      </c>
      <c r="I559" s="7" t="n">
        <f aca="false">IF(A559&gt;=c_TFWD,IF(AND(A559&gt;=c_TMAP3IN,c_TMAP3IN&lt;1000),G559,IF(AND(A559&gt;=c_TMAP2IN,c_TMAP3IN&gt;c_TMAP2IN),F559,IF(AND(A559&gt;=c_TMAP1IN,c_TMAP2IN&gt;c_TMAP1IN),E559,D559))),C559)</f>
        <v>451</v>
      </c>
      <c r="J559" s="7" t="str">
        <f aca="false">IF(I559&lt;-1090,"TOO LOW",IF(I559&gt;1090,"TOO HIGH",""))</f>
        <v/>
      </c>
      <c r="K559" s="15" t="n">
        <f aca="false">IF(J559&lt;&gt;"",0,IF(I559&gt;979,1000,I559))</f>
        <v>451</v>
      </c>
      <c r="L559" s="7" t="n">
        <f aca="false">K559/10</f>
        <v>45.1</v>
      </c>
    </row>
    <row r="560" customFormat="false" ht="15" hidden="false" customHeight="false" outlineLevel="0" collapsed="false">
      <c r="A560" s="7" t="n">
        <v>555</v>
      </c>
      <c r="B560" s="7" t="n">
        <f aca="false">A560/10</f>
        <v>55.5</v>
      </c>
      <c r="C560" s="7" t="n">
        <f aca="false">IF(AND(A560=0,c_TCREEP&gt;0),10*c_TCREEP,IF(AND(A560&lt;=c_TRNGMIN,A560&gt;=c_TRNGMAX,c_TRNGMIN-c_TRNGMAX&lt;&gt;0),-10*c_TMINRN+QUOTIENT((c_TMAXRN-c_TMINRN)*(100-QUOTIENT((A560-c_TRNGMAX)*100,c_TRNGMIN-c_TRNGMAX)),-10),0))</f>
        <v>0</v>
      </c>
      <c r="D560" s="7" t="n">
        <f aca="false">IF(((c_TMAP1IN)-(c_TFWD))=0,(0)+QUOTIENT(((c_TMAP1OUT)-(0)),2),QUOTIENT((((A560)-(c_TFWD))*((c_TMAP1OUT)-(0))+IF(((c_TMAP1OUT)-(0))&gt;=0,1,-1)*QUOTIENT(((c_TMAP1IN)-(c_TFWD)),2)),((c_TMAP1IN)-(c_TFWD)))+(0)+IF(((c_TMAP1OUT)-(0))&gt;=0,IF(IF(o_WRAP=1,MOD(((c_TMAP1IN)-(c_TFWD))*(((A560)-(c_TFWD))*((c_TMAP1OUT)-(0))+IF(((c_TMAP1OUT)-(0))&gt;=0,1,-1)*QUOTIENT(((c_TMAP1IN)-(c_TFWD)),2))+2147483648,4294967296)-2147483648,((c_TMAP1IN)-(c_TFWD))*(((A560)-(c_TFWD))*((c_TMAP1OUT)-(0))+IF(((c_TMAP1OUT)-(0))&gt;=0,1,-1)*QUOTIENT(((c_TMAP1IN)-(c_TFWD)),2)))&lt;0,-1,0),IF(IF(o_WRAP=1,MOD(((c_TMAP1IN)-(c_TFWD))*(((A560)-(c_TFWD))*((c_TMAP1OUT)-(0))+IF(((c_TMAP1OUT)-(0))&gt;=0,1,-1)*QUOTIENT(((c_TMAP1IN)-(c_TFWD)),2))+2147483648,4294967296)-2147483648,((c_TMAP1IN)-(c_TFWD))*(((A560)-(c_TFWD))*((c_TMAP1OUT)-(0))+IF(((c_TMAP1OUT)-(0))&gt;=0,1,-1)*QUOTIENT(((c_TMAP1IN)-(c_TFWD)),2)))&gt;=0,1,0)))</f>
        <v>424</v>
      </c>
      <c r="E560" s="7" t="n">
        <f aca="false">IF(((c_TMAP2IN)-(c_TMAP1IN))=0,(c_TMAP1OUT)+QUOTIENT(((c_TMAP2OUT)-(c_TMAP1OUT)),2),QUOTIENT((((A560)-(c_TMAP1IN))*((c_TMAP2OUT)-(c_TMAP1OUT))+IF(((c_TMAP2OUT)-(c_TMAP1OUT))&gt;=0,1,-1)*QUOTIENT(((c_TMAP2IN)-(c_TMAP1IN)),2)),((c_TMAP2IN)-(c_TMAP1IN)))+(c_TMAP1OUT)+IF(((c_TMAP2OUT)-(c_TMAP1OUT))&gt;=0,IF(IF(o_WRAP=1,MOD(((c_TMAP2IN)-(c_TMAP1IN))*(((A560)-(c_TMAP1IN))*((c_TMAP2OUT)-(c_TMAP1OUT))+IF(((c_TMAP2OUT)-(c_TMAP1OUT))&gt;=0,1,-1)*QUOTIENT(((c_TMAP2IN)-(c_TMAP1IN)),2))+2147483648,4294967296)-2147483648,((c_TMAP2IN)-(c_TMAP1IN))*(((A560)-(c_TMAP1IN))*((c_TMAP2OUT)-(c_TMAP1OUT))+IF(((c_TMAP2OUT)-(c_TMAP1OUT))&gt;=0,1,-1)*QUOTIENT(((c_TMAP2IN)-(c_TMAP1IN)),2)))&lt;0,-1,0),IF(IF(o_WRAP=1,MOD(((c_TMAP2IN)-(c_TMAP1IN))*(((A560)-(c_TMAP1IN))*((c_TMAP2OUT)-(c_TMAP1OUT))+IF(((c_TMAP2OUT)-(c_TMAP1OUT))&gt;=0,1,-1)*QUOTIENT(((c_TMAP2IN)-(c_TMAP1IN)),2))+2147483648,4294967296)-2147483648,((c_TMAP2IN)-(c_TMAP1IN))*(((A560)-(c_TMAP1IN))*((c_TMAP2OUT)-(c_TMAP1OUT))+IF(((c_TMAP2OUT)-(c_TMAP1OUT))&gt;=0,1,-1)*QUOTIENT(((c_TMAP2IN)-(c_TMAP1IN)),2)))&gt;=0,1,0)))</f>
        <v>252</v>
      </c>
      <c r="F560" s="7" t="n">
        <f aca="false">IF(((c_TMAP3IN)-(c_TMAP2IN))=0,(c_TMAP2OUT)+QUOTIENT(((c_TMAP3OUT)-(c_TMAP2OUT)),2),QUOTIENT((((A560)-(c_TMAP2IN))*((c_TMAP3OUT)-(c_TMAP2OUT))+IF(((c_TMAP3OUT)-(c_TMAP2OUT))&gt;=0,1,-1)*QUOTIENT(((c_TMAP3IN)-(c_TMAP2IN)),2)),((c_TMAP3IN)-(c_TMAP2IN)))+(c_TMAP2OUT)+IF(((c_TMAP3OUT)-(c_TMAP2OUT))&gt;=0,IF(IF(o_WRAP=1,MOD(((c_TMAP3IN)-(c_TMAP2IN))*(((A560)-(c_TMAP2IN))*((c_TMAP3OUT)-(c_TMAP2OUT))+IF(((c_TMAP3OUT)-(c_TMAP2OUT))&gt;=0,1,-1)*QUOTIENT(((c_TMAP3IN)-(c_TMAP2IN)),2))+2147483648,4294967296)-2147483648,((c_TMAP3IN)-(c_TMAP2IN))*(((A560)-(c_TMAP2IN))*((c_TMAP3OUT)-(c_TMAP2OUT))+IF(((c_TMAP3OUT)-(c_TMAP2OUT))&gt;=0,1,-1)*QUOTIENT(((c_TMAP3IN)-(c_TMAP2IN)),2)))&lt;0,-1,0),IF(IF(o_WRAP=1,MOD(((c_TMAP3IN)-(c_TMAP2IN))*(((A560)-(c_TMAP2IN))*((c_TMAP3OUT)-(c_TMAP2OUT))+IF(((c_TMAP3OUT)-(c_TMAP2OUT))&gt;=0,1,-1)*QUOTIENT(((c_TMAP3IN)-(c_TMAP2IN)),2))+2147483648,4294967296)-2147483648,((c_TMAP3IN)-(c_TMAP2IN))*(((A560)-(c_TMAP2IN))*((c_TMAP3OUT)-(c_TMAP2OUT))+IF(((c_TMAP3OUT)-(c_TMAP2OUT))&gt;=0,1,-1)*QUOTIENT(((c_TMAP3IN)-(c_TMAP2IN)),2)))&gt;=0,1,0)))</f>
        <v>344</v>
      </c>
      <c r="G560" s="7" t="n">
        <f aca="false">IF(((1000)-(c_TMAP3IN))=0,(c_TMAP3OUT)+QUOTIENT(((1000)-(c_TMAP3OUT)),2),QUOTIENT((((A560)-(c_TMAP3IN))*((1000)-(c_TMAP3OUT))+IF(((1000)-(c_TMAP3OUT))&gt;=0,1,-1)*QUOTIENT(((1000)-(c_TMAP3IN)),2)),((1000)-(c_TMAP3IN)))+(c_TMAP3OUT)+IF(((1000)-(c_TMAP3OUT))&gt;=0,IF(IF(o_WRAP=1,MOD(((1000)-(c_TMAP3IN))*(((A560)-(c_TMAP3IN))*((1000)-(c_TMAP3OUT))+IF(((1000)-(c_TMAP3OUT))&gt;=0,1,-1)*QUOTIENT(((1000)-(c_TMAP3IN)),2))+2147483648,4294967296)-2147483648,((1000)-(c_TMAP3IN))*(((A560)-(c_TMAP3IN))*((1000)-(c_TMAP3OUT))+IF(((1000)-(c_TMAP3OUT))&gt;=0,1,-1)*QUOTIENT(((1000)-(c_TMAP3IN)),2)))&lt;0,-1,0),IF(IF(o_WRAP=1,MOD(((1000)-(c_TMAP3IN))*(((A560)-(c_TMAP3IN))*((1000)-(c_TMAP3OUT))+IF(((1000)-(c_TMAP3OUT))&gt;=0,1,-1)*QUOTIENT(((1000)-(c_TMAP3IN)),2))+2147483648,4294967296)-2147483648,((1000)-(c_TMAP3IN))*(((A560)-(c_TMAP3IN))*((1000)-(c_TMAP3OUT))+IF(((1000)-(c_TMAP3OUT))&gt;=0,1,-1)*QUOTIENT(((1000)-(c_TMAP3IN)),2)))&gt;=0,1,0)))</f>
        <v>452</v>
      </c>
      <c r="H560" s="7" t="str">
        <f aca="false">IF(A560&gt;=c_TFWD,IF(AND(A560&gt;=c_TMAP3IN,c_TMAP3IN&lt;1000),"Seg4 map3-100%",IF(AND(A560&gt;=c_TMAP2IN,c_TMAP3IN&gt;c_TMAP2IN),"Seg3 map2-map3",IF(AND(A560&gt;=c_TMAP1IN,c_TMAP2IN&gt;c_TMAP1IN),"Seg2 map1-map2","Seg1 TFWD-map1"))),IF(AND(A560=0,c_TCREEP&gt;0),"Creep",IF(AND(A560&lt;=c_TRNGMIN,A560&gt;=c_TRNGMAX,c_TRNGMIN-c_TRNGMAX&lt;&gt;0),"Regen ramp","Coast (0)")))</f>
        <v>Seg4 map3-100%</v>
      </c>
      <c r="I560" s="7" t="n">
        <f aca="false">IF(A560&gt;=c_TFWD,IF(AND(A560&gt;=c_TMAP3IN,c_TMAP3IN&lt;1000),G560,IF(AND(A560&gt;=c_TMAP2IN,c_TMAP3IN&gt;c_TMAP2IN),F560,IF(AND(A560&gt;=c_TMAP1IN,c_TMAP2IN&gt;c_TMAP1IN),E560,D560))),C560)</f>
        <v>452</v>
      </c>
      <c r="J560" s="7" t="str">
        <f aca="false">IF(I560&lt;-1090,"TOO LOW",IF(I560&gt;1090,"TOO HIGH",""))</f>
        <v/>
      </c>
      <c r="K560" s="15" t="n">
        <f aca="false">IF(J560&lt;&gt;"",0,IF(I560&gt;979,1000,I560))</f>
        <v>452</v>
      </c>
      <c r="L560" s="7" t="n">
        <f aca="false">K560/10</f>
        <v>45.2</v>
      </c>
    </row>
    <row r="561" customFormat="false" ht="15" hidden="false" customHeight="false" outlineLevel="0" collapsed="false">
      <c r="A561" s="7" t="n">
        <v>556</v>
      </c>
      <c r="B561" s="7" t="n">
        <f aca="false">A561/10</f>
        <v>55.6</v>
      </c>
      <c r="C561" s="7" t="n">
        <f aca="false">IF(AND(A561=0,c_TCREEP&gt;0),10*c_TCREEP,IF(AND(A561&lt;=c_TRNGMIN,A561&gt;=c_TRNGMAX,c_TRNGMIN-c_TRNGMAX&lt;&gt;0),-10*c_TMINRN+QUOTIENT((c_TMAXRN-c_TMINRN)*(100-QUOTIENT((A561-c_TRNGMAX)*100,c_TRNGMIN-c_TRNGMAX)),-10),0))</f>
        <v>0</v>
      </c>
      <c r="D561" s="7" t="n">
        <f aca="false">IF(((c_TMAP1IN)-(c_TFWD))=0,(0)+QUOTIENT(((c_TMAP1OUT)-(0)),2),QUOTIENT((((A561)-(c_TFWD))*((c_TMAP1OUT)-(0))+IF(((c_TMAP1OUT)-(0))&gt;=0,1,-1)*QUOTIENT(((c_TMAP1IN)-(c_TFWD)),2)),((c_TMAP1IN)-(c_TFWD)))+(0)+IF(((c_TMAP1OUT)-(0))&gt;=0,IF(IF(o_WRAP=1,MOD(((c_TMAP1IN)-(c_TFWD))*(((A561)-(c_TFWD))*((c_TMAP1OUT)-(0))+IF(((c_TMAP1OUT)-(0))&gt;=0,1,-1)*QUOTIENT(((c_TMAP1IN)-(c_TFWD)),2))+2147483648,4294967296)-2147483648,((c_TMAP1IN)-(c_TFWD))*(((A561)-(c_TFWD))*((c_TMAP1OUT)-(0))+IF(((c_TMAP1OUT)-(0))&gt;=0,1,-1)*QUOTIENT(((c_TMAP1IN)-(c_TFWD)),2)))&lt;0,-1,0),IF(IF(o_WRAP=1,MOD(((c_TMAP1IN)-(c_TFWD))*(((A561)-(c_TFWD))*((c_TMAP1OUT)-(0))+IF(((c_TMAP1OUT)-(0))&gt;=0,1,-1)*QUOTIENT(((c_TMAP1IN)-(c_TFWD)),2))+2147483648,4294967296)-2147483648,((c_TMAP1IN)-(c_TFWD))*(((A561)-(c_TFWD))*((c_TMAP1OUT)-(0))+IF(((c_TMAP1OUT)-(0))&gt;=0,1,-1)*QUOTIENT(((c_TMAP1IN)-(c_TFWD)),2)))&gt;=0,1,0)))</f>
        <v>425</v>
      </c>
      <c r="E561" s="7" t="n">
        <f aca="false">IF(((c_TMAP2IN)-(c_TMAP1IN))=0,(c_TMAP1OUT)+QUOTIENT(((c_TMAP2OUT)-(c_TMAP1OUT)),2),QUOTIENT((((A561)-(c_TMAP1IN))*((c_TMAP2OUT)-(c_TMAP1OUT))+IF(((c_TMAP2OUT)-(c_TMAP1OUT))&gt;=0,1,-1)*QUOTIENT(((c_TMAP2IN)-(c_TMAP1IN)),2)),((c_TMAP2IN)-(c_TMAP1IN)))+(c_TMAP1OUT)+IF(((c_TMAP2OUT)-(c_TMAP1OUT))&gt;=0,IF(IF(o_WRAP=1,MOD(((c_TMAP2IN)-(c_TMAP1IN))*(((A561)-(c_TMAP1IN))*((c_TMAP2OUT)-(c_TMAP1OUT))+IF(((c_TMAP2OUT)-(c_TMAP1OUT))&gt;=0,1,-1)*QUOTIENT(((c_TMAP2IN)-(c_TMAP1IN)),2))+2147483648,4294967296)-2147483648,((c_TMAP2IN)-(c_TMAP1IN))*(((A561)-(c_TMAP1IN))*((c_TMAP2OUT)-(c_TMAP1OUT))+IF(((c_TMAP2OUT)-(c_TMAP1OUT))&gt;=0,1,-1)*QUOTIENT(((c_TMAP2IN)-(c_TMAP1IN)),2)))&lt;0,-1,0),IF(IF(o_WRAP=1,MOD(((c_TMAP2IN)-(c_TMAP1IN))*(((A561)-(c_TMAP1IN))*((c_TMAP2OUT)-(c_TMAP1OUT))+IF(((c_TMAP2OUT)-(c_TMAP1OUT))&gt;=0,1,-1)*QUOTIENT(((c_TMAP2IN)-(c_TMAP1IN)),2))+2147483648,4294967296)-2147483648,((c_TMAP2IN)-(c_TMAP1IN))*(((A561)-(c_TMAP1IN))*((c_TMAP2OUT)-(c_TMAP1OUT))+IF(((c_TMAP2OUT)-(c_TMAP1OUT))&gt;=0,1,-1)*QUOTIENT(((c_TMAP2IN)-(c_TMAP1IN)),2)))&gt;=0,1,0)))</f>
        <v>252</v>
      </c>
      <c r="F561" s="7" t="n">
        <f aca="false">IF(((c_TMAP3IN)-(c_TMAP2IN))=0,(c_TMAP2OUT)+QUOTIENT(((c_TMAP3OUT)-(c_TMAP2OUT)),2),QUOTIENT((((A561)-(c_TMAP2IN))*((c_TMAP3OUT)-(c_TMAP2OUT))+IF(((c_TMAP3OUT)-(c_TMAP2OUT))&gt;=0,1,-1)*QUOTIENT(((c_TMAP3IN)-(c_TMAP2IN)),2)),((c_TMAP3IN)-(c_TMAP2IN)))+(c_TMAP2OUT)+IF(((c_TMAP3OUT)-(c_TMAP2OUT))&gt;=0,IF(IF(o_WRAP=1,MOD(((c_TMAP3IN)-(c_TMAP2IN))*(((A561)-(c_TMAP2IN))*((c_TMAP3OUT)-(c_TMAP2OUT))+IF(((c_TMAP3OUT)-(c_TMAP2OUT))&gt;=0,1,-1)*QUOTIENT(((c_TMAP3IN)-(c_TMAP2IN)),2))+2147483648,4294967296)-2147483648,((c_TMAP3IN)-(c_TMAP2IN))*(((A561)-(c_TMAP2IN))*((c_TMAP3OUT)-(c_TMAP2OUT))+IF(((c_TMAP3OUT)-(c_TMAP2OUT))&gt;=0,1,-1)*QUOTIENT(((c_TMAP3IN)-(c_TMAP2IN)),2)))&lt;0,-1,0),IF(IF(o_WRAP=1,MOD(((c_TMAP3IN)-(c_TMAP2IN))*(((A561)-(c_TMAP2IN))*((c_TMAP3OUT)-(c_TMAP2OUT))+IF(((c_TMAP3OUT)-(c_TMAP2OUT))&gt;=0,1,-1)*QUOTIENT(((c_TMAP3IN)-(c_TMAP2IN)),2))+2147483648,4294967296)-2147483648,((c_TMAP3IN)-(c_TMAP2IN))*(((A561)-(c_TMAP2IN))*((c_TMAP3OUT)-(c_TMAP2OUT))+IF(((c_TMAP3OUT)-(c_TMAP2OUT))&gt;=0,1,-1)*QUOTIENT(((c_TMAP3IN)-(c_TMAP2IN)),2)))&gt;=0,1,0)))</f>
        <v>344</v>
      </c>
      <c r="G561" s="7" t="n">
        <f aca="false">IF(((1000)-(c_TMAP3IN))=0,(c_TMAP3OUT)+QUOTIENT(((1000)-(c_TMAP3OUT)),2),QUOTIENT((((A561)-(c_TMAP3IN))*((1000)-(c_TMAP3OUT))+IF(((1000)-(c_TMAP3OUT))&gt;=0,1,-1)*QUOTIENT(((1000)-(c_TMAP3IN)),2)),((1000)-(c_TMAP3IN)))+(c_TMAP3OUT)+IF(((1000)-(c_TMAP3OUT))&gt;=0,IF(IF(o_WRAP=1,MOD(((1000)-(c_TMAP3IN))*(((A561)-(c_TMAP3IN))*((1000)-(c_TMAP3OUT))+IF(((1000)-(c_TMAP3OUT))&gt;=0,1,-1)*QUOTIENT(((1000)-(c_TMAP3IN)),2))+2147483648,4294967296)-2147483648,((1000)-(c_TMAP3IN))*(((A561)-(c_TMAP3IN))*((1000)-(c_TMAP3OUT))+IF(((1000)-(c_TMAP3OUT))&gt;=0,1,-1)*QUOTIENT(((1000)-(c_TMAP3IN)),2)))&lt;0,-1,0),IF(IF(o_WRAP=1,MOD(((1000)-(c_TMAP3IN))*(((A561)-(c_TMAP3IN))*((1000)-(c_TMAP3OUT))+IF(((1000)-(c_TMAP3OUT))&gt;=0,1,-1)*QUOTIENT(((1000)-(c_TMAP3IN)),2))+2147483648,4294967296)-2147483648,((1000)-(c_TMAP3IN))*(((A561)-(c_TMAP3IN))*((1000)-(c_TMAP3OUT))+IF(((1000)-(c_TMAP3OUT))&gt;=0,1,-1)*QUOTIENT(((1000)-(c_TMAP3IN)),2)))&gt;=0,1,0)))</f>
        <v>454</v>
      </c>
      <c r="H561" s="7" t="str">
        <f aca="false">IF(A561&gt;=c_TFWD,IF(AND(A561&gt;=c_TMAP3IN,c_TMAP3IN&lt;1000),"Seg4 map3-100%",IF(AND(A561&gt;=c_TMAP2IN,c_TMAP3IN&gt;c_TMAP2IN),"Seg3 map2-map3",IF(AND(A561&gt;=c_TMAP1IN,c_TMAP2IN&gt;c_TMAP1IN),"Seg2 map1-map2","Seg1 TFWD-map1"))),IF(AND(A561=0,c_TCREEP&gt;0),"Creep",IF(AND(A561&lt;=c_TRNGMIN,A561&gt;=c_TRNGMAX,c_TRNGMIN-c_TRNGMAX&lt;&gt;0),"Regen ramp","Coast (0)")))</f>
        <v>Seg4 map3-100%</v>
      </c>
      <c r="I561" s="7" t="n">
        <f aca="false">IF(A561&gt;=c_TFWD,IF(AND(A561&gt;=c_TMAP3IN,c_TMAP3IN&lt;1000),G561,IF(AND(A561&gt;=c_TMAP2IN,c_TMAP3IN&gt;c_TMAP2IN),F561,IF(AND(A561&gt;=c_TMAP1IN,c_TMAP2IN&gt;c_TMAP1IN),E561,D561))),C561)</f>
        <v>454</v>
      </c>
      <c r="J561" s="7" t="str">
        <f aca="false">IF(I561&lt;-1090,"TOO LOW",IF(I561&gt;1090,"TOO HIGH",""))</f>
        <v/>
      </c>
      <c r="K561" s="15" t="n">
        <f aca="false">IF(J561&lt;&gt;"",0,IF(I561&gt;979,1000,I561))</f>
        <v>454</v>
      </c>
      <c r="L561" s="7" t="n">
        <f aca="false">K561/10</f>
        <v>45.4</v>
      </c>
    </row>
    <row r="562" customFormat="false" ht="15" hidden="false" customHeight="false" outlineLevel="0" collapsed="false">
      <c r="A562" s="7" t="n">
        <v>557</v>
      </c>
      <c r="B562" s="7" t="n">
        <f aca="false">A562/10</f>
        <v>55.7</v>
      </c>
      <c r="C562" s="7" t="n">
        <f aca="false">IF(AND(A562=0,c_TCREEP&gt;0),10*c_TCREEP,IF(AND(A562&lt;=c_TRNGMIN,A562&gt;=c_TRNGMAX,c_TRNGMIN-c_TRNGMAX&lt;&gt;0),-10*c_TMINRN+QUOTIENT((c_TMAXRN-c_TMINRN)*(100-QUOTIENT((A562-c_TRNGMAX)*100,c_TRNGMIN-c_TRNGMAX)),-10),0))</f>
        <v>0</v>
      </c>
      <c r="D562" s="7" t="n">
        <f aca="false">IF(((c_TMAP1IN)-(c_TFWD))=0,(0)+QUOTIENT(((c_TMAP1OUT)-(0)),2),QUOTIENT((((A562)-(c_TFWD))*((c_TMAP1OUT)-(0))+IF(((c_TMAP1OUT)-(0))&gt;=0,1,-1)*QUOTIENT(((c_TMAP1IN)-(c_TFWD)),2)),((c_TMAP1IN)-(c_TFWD)))+(0)+IF(((c_TMAP1OUT)-(0))&gt;=0,IF(IF(o_WRAP=1,MOD(((c_TMAP1IN)-(c_TFWD))*(((A562)-(c_TFWD))*((c_TMAP1OUT)-(0))+IF(((c_TMAP1OUT)-(0))&gt;=0,1,-1)*QUOTIENT(((c_TMAP1IN)-(c_TFWD)),2))+2147483648,4294967296)-2147483648,((c_TMAP1IN)-(c_TFWD))*(((A562)-(c_TFWD))*((c_TMAP1OUT)-(0))+IF(((c_TMAP1OUT)-(0))&gt;=0,1,-1)*QUOTIENT(((c_TMAP1IN)-(c_TFWD)),2)))&lt;0,-1,0),IF(IF(o_WRAP=1,MOD(((c_TMAP1IN)-(c_TFWD))*(((A562)-(c_TFWD))*((c_TMAP1OUT)-(0))+IF(((c_TMAP1OUT)-(0))&gt;=0,1,-1)*QUOTIENT(((c_TMAP1IN)-(c_TFWD)),2))+2147483648,4294967296)-2147483648,((c_TMAP1IN)-(c_TFWD))*(((A562)-(c_TFWD))*((c_TMAP1OUT)-(0))+IF(((c_TMAP1OUT)-(0))&gt;=0,1,-1)*QUOTIENT(((c_TMAP1IN)-(c_TFWD)),2)))&gt;=0,1,0)))</f>
        <v>425</v>
      </c>
      <c r="E562" s="7" t="n">
        <f aca="false">IF(((c_TMAP2IN)-(c_TMAP1IN))=0,(c_TMAP1OUT)+QUOTIENT(((c_TMAP2OUT)-(c_TMAP1OUT)),2),QUOTIENT((((A562)-(c_TMAP1IN))*((c_TMAP2OUT)-(c_TMAP1OUT))+IF(((c_TMAP2OUT)-(c_TMAP1OUT))&gt;=0,1,-1)*QUOTIENT(((c_TMAP2IN)-(c_TMAP1IN)),2)),((c_TMAP2IN)-(c_TMAP1IN)))+(c_TMAP1OUT)+IF(((c_TMAP2OUT)-(c_TMAP1OUT))&gt;=0,IF(IF(o_WRAP=1,MOD(((c_TMAP2IN)-(c_TMAP1IN))*(((A562)-(c_TMAP1IN))*((c_TMAP2OUT)-(c_TMAP1OUT))+IF(((c_TMAP2OUT)-(c_TMAP1OUT))&gt;=0,1,-1)*QUOTIENT(((c_TMAP2IN)-(c_TMAP1IN)),2))+2147483648,4294967296)-2147483648,((c_TMAP2IN)-(c_TMAP1IN))*(((A562)-(c_TMAP1IN))*((c_TMAP2OUT)-(c_TMAP1OUT))+IF(((c_TMAP2OUT)-(c_TMAP1OUT))&gt;=0,1,-1)*QUOTIENT(((c_TMAP2IN)-(c_TMAP1IN)),2)))&lt;0,-1,0),IF(IF(o_WRAP=1,MOD(((c_TMAP2IN)-(c_TMAP1IN))*(((A562)-(c_TMAP1IN))*((c_TMAP2OUT)-(c_TMAP1OUT))+IF(((c_TMAP2OUT)-(c_TMAP1OUT))&gt;=0,1,-1)*QUOTIENT(((c_TMAP2IN)-(c_TMAP1IN)),2))+2147483648,4294967296)-2147483648,((c_TMAP2IN)-(c_TMAP1IN))*(((A562)-(c_TMAP1IN))*((c_TMAP2OUT)-(c_TMAP1OUT))+IF(((c_TMAP2OUT)-(c_TMAP1OUT))&gt;=0,1,-1)*QUOTIENT(((c_TMAP2IN)-(c_TMAP1IN)),2)))&gt;=0,1,0)))</f>
        <v>253</v>
      </c>
      <c r="F562" s="7" t="n">
        <f aca="false">IF(((c_TMAP3IN)-(c_TMAP2IN))=0,(c_TMAP2OUT)+QUOTIENT(((c_TMAP3OUT)-(c_TMAP2OUT)),2),QUOTIENT((((A562)-(c_TMAP2IN))*((c_TMAP3OUT)-(c_TMAP2OUT))+IF(((c_TMAP3OUT)-(c_TMAP2OUT))&gt;=0,1,-1)*QUOTIENT(((c_TMAP3IN)-(c_TMAP2IN)),2)),((c_TMAP3IN)-(c_TMAP2IN)))+(c_TMAP2OUT)+IF(((c_TMAP3OUT)-(c_TMAP2OUT))&gt;=0,IF(IF(o_WRAP=1,MOD(((c_TMAP3IN)-(c_TMAP2IN))*(((A562)-(c_TMAP2IN))*((c_TMAP3OUT)-(c_TMAP2OUT))+IF(((c_TMAP3OUT)-(c_TMAP2OUT))&gt;=0,1,-1)*QUOTIENT(((c_TMAP3IN)-(c_TMAP2IN)),2))+2147483648,4294967296)-2147483648,((c_TMAP3IN)-(c_TMAP2IN))*(((A562)-(c_TMAP2IN))*((c_TMAP3OUT)-(c_TMAP2OUT))+IF(((c_TMAP3OUT)-(c_TMAP2OUT))&gt;=0,1,-1)*QUOTIENT(((c_TMAP3IN)-(c_TMAP2IN)),2)))&lt;0,-1,0),IF(IF(o_WRAP=1,MOD(((c_TMAP3IN)-(c_TMAP2IN))*(((A562)-(c_TMAP2IN))*((c_TMAP3OUT)-(c_TMAP2OUT))+IF(((c_TMAP3OUT)-(c_TMAP2OUT))&gt;=0,1,-1)*QUOTIENT(((c_TMAP3IN)-(c_TMAP2IN)),2))+2147483648,4294967296)-2147483648,((c_TMAP3IN)-(c_TMAP2IN))*(((A562)-(c_TMAP2IN))*((c_TMAP3OUT)-(c_TMAP2OUT))+IF(((c_TMAP3OUT)-(c_TMAP2OUT))&gt;=0,1,-1)*QUOTIENT(((c_TMAP3IN)-(c_TMAP2IN)),2)))&gt;=0,1,0)))</f>
        <v>345</v>
      </c>
      <c r="G562" s="7" t="n">
        <f aca="false">IF(((1000)-(c_TMAP3IN))=0,(c_TMAP3OUT)+QUOTIENT(((1000)-(c_TMAP3OUT)),2),QUOTIENT((((A562)-(c_TMAP3IN))*((1000)-(c_TMAP3OUT))+IF(((1000)-(c_TMAP3OUT))&gt;=0,1,-1)*QUOTIENT(((1000)-(c_TMAP3IN)),2)),((1000)-(c_TMAP3IN)))+(c_TMAP3OUT)+IF(((1000)-(c_TMAP3OUT))&gt;=0,IF(IF(o_WRAP=1,MOD(((1000)-(c_TMAP3IN))*(((A562)-(c_TMAP3IN))*((1000)-(c_TMAP3OUT))+IF(((1000)-(c_TMAP3OUT))&gt;=0,1,-1)*QUOTIENT(((1000)-(c_TMAP3IN)),2))+2147483648,4294967296)-2147483648,((1000)-(c_TMAP3IN))*(((A562)-(c_TMAP3IN))*((1000)-(c_TMAP3OUT))+IF(((1000)-(c_TMAP3OUT))&gt;=0,1,-1)*QUOTIENT(((1000)-(c_TMAP3IN)),2)))&lt;0,-1,0),IF(IF(o_WRAP=1,MOD(((1000)-(c_TMAP3IN))*(((A562)-(c_TMAP3IN))*((1000)-(c_TMAP3OUT))+IF(((1000)-(c_TMAP3OUT))&gt;=0,1,-1)*QUOTIENT(((1000)-(c_TMAP3IN)),2))+2147483648,4294967296)-2147483648,((1000)-(c_TMAP3IN))*(((A562)-(c_TMAP3IN))*((1000)-(c_TMAP3OUT))+IF(((1000)-(c_TMAP3OUT))&gt;=0,1,-1)*QUOTIENT(((1000)-(c_TMAP3IN)),2)))&gt;=0,1,0)))</f>
        <v>455</v>
      </c>
      <c r="H562" s="7" t="str">
        <f aca="false">IF(A562&gt;=c_TFWD,IF(AND(A562&gt;=c_TMAP3IN,c_TMAP3IN&lt;1000),"Seg4 map3-100%",IF(AND(A562&gt;=c_TMAP2IN,c_TMAP3IN&gt;c_TMAP2IN),"Seg3 map2-map3",IF(AND(A562&gt;=c_TMAP1IN,c_TMAP2IN&gt;c_TMAP1IN),"Seg2 map1-map2","Seg1 TFWD-map1"))),IF(AND(A562=0,c_TCREEP&gt;0),"Creep",IF(AND(A562&lt;=c_TRNGMIN,A562&gt;=c_TRNGMAX,c_TRNGMIN-c_TRNGMAX&lt;&gt;0),"Regen ramp","Coast (0)")))</f>
        <v>Seg4 map3-100%</v>
      </c>
      <c r="I562" s="7" t="n">
        <f aca="false">IF(A562&gt;=c_TFWD,IF(AND(A562&gt;=c_TMAP3IN,c_TMAP3IN&lt;1000),G562,IF(AND(A562&gt;=c_TMAP2IN,c_TMAP3IN&gt;c_TMAP2IN),F562,IF(AND(A562&gt;=c_TMAP1IN,c_TMAP2IN&gt;c_TMAP1IN),E562,D562))),C562)</f>
        <v>455</v>
      </c>
      <c r="J562" s="7" t="str">
        <f aca="false">IF(I562&lt;-1090,"TOO LOW",IF(I562&gt;1090,"TOO HIGH",""))</f>
        <v/>
      </c>
      <c r="K562" s="15" t="n">
        <f aca="false">IF(J562&lt;&gt;"",0,IF(I562&gt;979,1000,I562))</f>
        <v>455</v>
      </c>
      <c r="L562" s="7" t="n">
        <f aca="false">K562/10</f>
        <v>45.5</v>
      </c>
    </row>
    <row r="563" customFormat="false" ht="15" hidden="false" customHeight="false" outlineLevel="0" collapsed="false">
      <c r="A563" s="7" t="n">
        <v>558</v>
      </c>
      <c r="B563" s="7" t="n">
        <f aca="false">A563/10</f>
        <v>55.8</v>
      </c>
      <c r="C563" s="7" t="n">
        <f aca="false">IF(AND(A563=0,c_TCREEP&gt;0),10*c_TCREEP,IF(AND(A563&lt;=c_TRNGMIN,A563&gt;=c_TRNGMAX,c_TRNGMIN-c_TRNGMAX&lt;&gt;0),-10*c_TMINRN+QUOTIENT((c_TMAXRN-c_TMINRN)*(100-QUOTIENT((A563-c_TRNGMAX)*100,c_TRNGMIN-c_TRNGMAX)),-10),0))</f>
        <v>0</v>
      </c>
      <c r="D563" s="7" t="n">
        <f aca="false">IF(((c_TMAP1IN)-(c_TFWD))=0,(0)+QUOTIENT(((c_TMAP1OUT)-(0)),2),QUOTIENT((((A563)-(c_TFWD))*((c_TMAP1OUT)-(0))+IF(((c_TMAP1OUT)-(0))&gt;=0,1,-1)*QUOTIENT(((c_TMAP1IN)-(c_TFWD)),2)),((c_TMAP1IN)-(c_TFWD)))+(0)+IF(((c_TMAP1OUT)-(0))&gt;=0,IF(IF(o_WRAP=1,MOD(((c_TMAP1IN)-(c_TFWD))*(((A563)-(c_TFWD))*((c_TMAP1OUT)-(0))+IF(((c_TMAP1OUT)-(0))&gt;=0,1,-1)*QUOTIENT(((c_TMAP1IN)-(c_TFWD)),2))+2147483648,4294967296)-2147483648,((c_TMAP1IN)-(c_TFWD))*(((A563)-(c_TFWD))*((c_TMAP1OUT)-(0))+IF(((c_TMAP1OUT)-(0))&gt;=0,1,-1)*QUOTIENT(((c_TMAP1IN)-(c_TFWD)),2)))&lt;0,-1,0),IF(IF(o_WRAP=1,MOD(((c_TMAP1IN)-(c_TFWD))*(((A563)-(c_TFWD))*((c_TMAP1OUT)-(0))+IF(((c_TMAP1OUT)-(0))&gt;=0,1,-1)*QUOTIENT(((c_TMAP1IN)-(c_TFWD)),2))+2147483648,4294967296)-2147483648,((c_TMAP1IN)-(c_TFWD))*(((A563)-(c_TFWD))*((c_TMAP1OUT)-(0))+IF(((c_TMAP1OUT)-(0))&gt;=0,1,-1)*QUOTIENT(((c_TMAP1IN)-(c_TFWD)),2)))&gt;=0,1,0)))</f>
        <v>426</v>
      </c>
      <c r="E563" s="7" t="n">
        <f aca="false">IF(((c_TMAP2IN)-(c_TMAP1IN))=0,(c_TMAP1OUT)+QUOTIENT(((c_TMAP2OUT)-(c_TMAP1OUT)),2),QUOTIENT((((A563)-(c_TMAP1IN))*((c_TMAP2OUT)-(c_TMAP1OUT))+IF(((c_TMAP2OUT)-(c_TMAP1OUT))&gt;=0,1,-1)*QUOTIENT(((c_TMAP2IN)-(c_TMAP1IN)),2)),((c_TMAP2IN)-(c_TMAP1IN)))+(c_TMAP1OUT)+IF(((c_TMAP2OUT)-(c_TMAP1OUT))&gt;=0,IF(IF(o_WRAP=1,MOD(((c_TMAP2IN)-(c_TMAP1IN))*(((A563)-(c_TMAP1IN))*((c_TMAP2OUT)-(c_TMAP1OUT))+IF(((c_TMAP2OUT)-(c_TMAP1OUT))&gt;=0,1,-1)*QUOTIENT(((c_TMAP2IN)-(c_TMAP1IN)),2))+2147483648,4294967296)-2147483648,((c_TMAP2IN)-(c_TMAP1IN))*(((A563)-(c_TMAP1IN))*((c_TMAP2OUT)-(c_TMAP1OUT))+IF(((c_TMAP2OUT)-(c_TMAP1OUT))&gt;=0,1,-1)*QUOTIENT(((c_TMAP2IN)-(c_TMAP1IN)),2)))&lt;0,-1,0),IF(IF(o_WRAP=1,MOD(((c_TMAP2IN)-(c_TMAP1IN))*(((A563)-(c_TMAP1IN))*((c_TMAP2OUT)-(c_TMAP1OUT))+IF(((c_TMAP2OUT)-(c_TMAP1OUT))&gt;=0,1,-1)*QUOTIENT(((c_TMAP2IN)-(c_TMAP1IN)),2))+2147483648,4294967296)-2147483648,((c_TMAP2IN)-(c_TMAP1IN))*(((A563)-(c_TMAP1IN))*((c_TMAP2OUT)-(c_TMAP1OUT))+IF(((c_TMAP2OUT)-(c_TMAP1OUT))&gt;=0,1,-1)*QUOTIENT(((c_TMAP2IN)-(c_TMAP1IN)),2)))&gt;=0,1,0)))</f>
        <v>253</v>
      </c>
      <c r="F563" s="7" t="n">
        <f aca="false">IF(((c_TMAP3IN)-(c_TMAP2IN))=0,(c_TMAP2OUT)+QUOTIENT(((c_TMAP3OUT)-(c_TMAP2OUT)),2),QUOTIENT((((A563)-(c_TMAP2IN))*((c_TMAP3OUT)-(c_TMAP2OUT))+IF(((c_TMAP3OUT)-(c_TMAP2OUT))&gt;=0,1,-1)*QUOTIENT(((c_TMAP3IN)-(c_TMAP2IN)),2)),((c_TMAP3IN)-(c_TMAP2IN)))+(c_TMAP2OUT)+IF(((c_TMAP3OUT)-(c_TMAP2OUT))&gt;=0,IF(IF(o_WRAP=1,MOD(((c_TMAP3IN)-(c_TMAP2IN))*(((A563)-(c_TMAP2IN))*((c_TMAP3OUT)-(c_TMAP2OUT))+IF(((c_TMAP3OUT)-(c_TMAP2OUT))&gt;=0,1,-1)*QUOTIENT(((c_TMAP3IN)-(c_TMAP2IN)),2))+2147483648,4294967296)-2147483648,((c_TMAP3IN)-(c_TMAP2IN))*(((A563)-(c_TMAP2IN))*((c_TMAP3OUT)-(c_TMAP2OUT))+IF(((c_TMAP3OUT)-(c_TMAP2OUT))&gt;=0,1,-1)*QUOTIENT(((c_TMAP3IN)-(c_TMAP2IN)),2)))&lt;0,-1,0),IF(IF(o_WRAP=1,MOD(((c_TMAP3IN)-(c_TMAP2IN))*(((A563)-(c_TMAP2IN))*((c_TMAP3OUT)-(c_TMAP2OUT))+IF(((c_TMAP3OUT)-(c_TMAP2OUT))&gt;=0,1,-1)*QUOTIENT(((c_TMAP3IN)-(c_TMAP2IN)),2))+2147483648,4294967296)-2147483648,((c_TMAP3IN)-(c_TMAP2IN))*(((A563)-(c_TMAP2IN))*((c_TMAP3OUT)-(c_TMAP2OUT))+IF(((c_TMAP3OUT)-(c_TMAP2OUT))&gt;=0,1,-1)*QUOTIENT(((c_TMAP3IN)-(c_TMAP2IN)),2)))&gt;=0,1,0)))</f>
        <v>346</v>
      </c>
      <c r="G563" s="7" t="n">
        <f aca="false">IF(((1000)-(c_TMAP3IN))=0,(c_TMAP3OUT)+QUOTIENT(((1000)-(c_TMAP3OUT)),2),QUOTIENT((((A563)-(c_TMAP3IN))*((1000)-(c_TMAP3OUT))+IF(((1000)-(c_TMAP3OUT))&gt;=0,1,-1)*QUOTIENT(((1000)-(c_TMAP3IN)),2)),((1000)-(c_TMAP3IN)))+(c_TMAP3OUT)+IF(((1000)-(c_TMAP3OUT))&gt;=0,IF(IF(o_WRAP=1,MOD(((1000)-(c_TMAP3IN))*(((A563)-(c_TMAP3IN))*((1000)-(c_TMAP3OUT))+IF(((1000)-(c_TMAP3OUT))&gt;=0,1,-1)*QUOTIENT(((1000)-(c_TMAP3IN)),2))+2147483648,4294967296)-2147483648,((1000)-(c_TMAP3IN))*(((A563)-(c_TMAP3IN))*((1000)-(c_TMAP3OUT))+IF(((1000)-(c_TMAP3OUT))&gt;=0,1,-1)*QUOTIENT(((1000)-(c_TMAP3IN)),2)))&lt;0,-1,0),IF(IF(o_WRAP=1,MOD(((1000)-(c_TMAP3IN))*(((A563)-(c_TMAP3IN))*((1000)-(c_TMAP3OUT))+IF(((1000)-(c_TMAP3OUT))&gt;=0,1,-1)*QUOTIENT(((1000)-(c_TMAP3IN)),2))+2147483648,4294967296)-2147483648,((1000)-(c_TMAP3IN))*(((A563)-(c_TMAP3IN))*((1000)-(c_TMAP3OUT))+IF(((1000)-(c_TMAP3OUT))&gt;=0,1,-1)*QUOTIENT(((1000)-(c_TMAP3IN)),2)))&gt;=0,1,0)))</f>
        <v>456</v>
      </c>
      <c r="H563" s="7" t="str">
        <f aca="false">IF(A563&gt;=c_TFWD,IF(AND(A563&gt;=c_TMAP3IN,c_TMAP3IN&lt;1000),"Seg4 map3-100%",IF(AND(A563&gt;=c_TMAP2IN,c_TMAP3IN&gt;c_TMAP2IN),"Seg3 map2-map3",IF(AND(A563&gt;=c_TMAP1IN,c_TMAP2IN&gt;c_TMAP1IN),"Seg2 map1-map2","Seg1 TFWD-map1"))),IF(AND(A563=0,c_TCREEP&gt;0),"Creep",IF(AND(A563&lt;=c_TRNGMIN,A563&gt;=c_TRNGMAX,c_TRNGMIN-c_TRNGMAX&lt;&gt;0),"Regen ramp","Coast (0)")))</f>
        <v>Seg4 map3-100%</v>
      </c>
      <c r="I563" s="7" t="n">
        <f aca="false">IF(A563&gt;=c_TFWD,IF(AND(A563&gt;=c_TMAP3IN,c_TMAP3IN&lt;1000),G563,IF(AND(A563&gt;=c_TMAP2IN,c_TMAP3IN&gt;c_TMAP2IN),F563,IF(AND(A563&gt;=c_TMAP1IN,c_TMAP2IN&gt;c_TMAP1IN),E563,D563))),C563)</f>
        <v>456</v>
      </c>
      <c r="J563" s="7" t="str">
        <f aca="false">IF(I563&lt;-1090,"TOO LOW",IF(I563&gt;1090,"TOO HIGH",""))</f>
        <v/>
      </c>
      <c r="K563" s="15" t="n">
        <f aca="false">IF(J563&lt;&gt;"",0,IF(I563&gt;979,1000,I563))</f>
        <v>456</v>
      </c>
      <c r="L563" s="7" t="n">
        <f aca="false">K563/10</f>
        <v>45.6</v>
      </c>
    </row>
    <row r="564" customFormat="false" ht="15" hidden="false" customHeight="false" outlineLevel="0" collapsed="false">
      <c r="A564" s="7" t="n">
        <v>559</v>
      </c>
      <c r="B564" s="7" t="n">
        <f aca="false">A564/10</f>
        <v>55.9</v>
      </c>
      <c r="C564" s="7" t="n">
        <f aca="false">IF(AND(A564=0,c_TCREEP&gt;0),10*c_TCREEP,IF(AND(A564&lt;=c_TRNGMIN,A564&gt;=c_TRNGMAX,c_TRNGMIN-c_TRNGMAX&lt;&gt;0),-10*c_TMINRN+QUOTIENT((c_TMAXRN-c_TMINRN)*(100-QUOTIENT((A564-c_TRNGMAX)*100,c_TRNGMIN-c_TRNGMAX)),-10),0))</f>
        <v>0</v>
      </c>
      <c r="D564" s="7" t="n">
        <f aca="false">IF(((c_TMAP1IN)-(c_TFWD))=0,(0)+QUOTIENT(((c_TMAP1OUT)-(0)),2),QUOTIENT((((A564)-(c_TFWD))*((c_TMAP1OUT)-(0))+IF(((c_TMAP1OUT)-(0))&gt;=0,1,-1)*QUOTIENT(((c_TMAP1IN)-(c_TFWD)),2)),((c_TMAP1IN)-(c_TFWD)))+(0)+IF(((c_TMAP1OUT)-(0))&gt;=0,IF(IF(o_WRAP=1,MOD(((c_TMAP1IN)-(c_TFWD))*(((A564)-(c_TFWD))*((c_TMAP1OUT)-(0))+IF(((c_TMAP1OUT)-(0))&gt;=0,1,-1)*QUOTIENT(((c_TMAP1IN)-(c_TFWD)),2))+2147483648,4294967296)-2147483648,((c_TMAP1IN)-(c_TFWD))*(((A564)-(c_TFWD))*((c_TMAP1OUT)-(0))+IF(((c_TMAP1OUT)-(0))&gt;=0,1,-1)*QUOTIENT(((c_TMAP1IN)-(c_TFWD)),2)))&lt;0,-1,0),IF(IF(o_WRAP=1,MOD(((c_TMAP1IN)-(c_TFWD))*(((A564)-(c_TFWD))*((c_TMAP1OUT)-(0))+IF(((c_TMAP1OUT)-(0))&gt;=0,1,-1)*QUOTIENT(((c_TMAP1IN)-(c_TFWD)),2))+2147483648,4294967296)-2147483648,((c_TMAP1IN)-(c_TFWD))*(((A564)-(c_TFWD))*((c_TMAP1OUT)-(0))+IF(((c_TMAP1OUT)-(0))&gt;=0,1,-1)*QUOTIENT(((c_TMAP1IN)-(c_TFWD)),2)))&gt;=0,1,0)))</f>
        <v>427</v>
      </c>
      <c r="E564" s="7" t="n">
        <f aca="false">IF(((c_TMAP2IN)-(c_TMAP1IN))=0,(c_TMAP1OUT)+QUOTIENT(((c_TMAP2OUT)-(c_TMAP1OUT)),2),QUOTIENT((((A564)-(c_TMAP1IN))*((c_TMAP2OUT)-(c_TMAP1OUT))+IF(((c_TMAP2OUT)-(c_TMAP1OUT))&gt;=0,1,-1)*QUOTIENT(((c_TMAP2IN)-(c_TMAP1IN)),2)),((c_TMAP2IN)-(c_TMAP1IN)))+(c_TMAP1OUT)+IF(((c_TMAP2OUT)-(c_TMAP1OUT))&gt;=0,IF(IF(o_WRAP=1,MOD(((c_TMAP2IN)-(c_TMAP1IN))*(((A564)-(c_TMAP1IN))*((c_TMAP2OUT)-(c_TMAP1OUT))+IF(((c_TMAP2OUT)-(c_TMAP1OUT))&gt;=0,1,-1)*QUOTIENT(((c_TMAP2IN)-(c_TMAP1IN)),2))+2147483648,4294967296)-2147483648,((c_TMAP2IN)-(c_TMAP1IN))*(((A564)-(c_TMAP1IN))*((c_TMAP2OUT)-(c_TMAP1OUT))+IF(((c_TMAP2OUT)-(c_TMAP1OUT))&gt;=0,1,-1)*QUOTIENT(((c_TMAP2IN)-(c_TMAP1IN)),2)))&lt;0,-1,0),IF(IF(o_WRAP=1,MOD(((c_TMAP2IN)-(c_TMAP1IN))*(((A564)-(c_TMAP1IN))*((c_TMAP2OUT)-(c_TMAP1OUT))+IF(((c_TMAP2OUT)-(c_TMAP1OUT))&gt;=0,1,-1)*QUOTIENT(((c_TMAP2IN)-(c_TMAP1IN)),2))+2147483648,4294967296)-2147483648,((c_TMAP2IN)-(c_TMAP1IN))*(((A564)-(c_TMAP1IN))*((c_TMAP2OUT)-(c_TMAP1OUT))+IF(((c_TMAP2OUT)-(c_TMAP1OUT))&gt;=0,1,-1)*QUOTIENT(((c_TMAP2IN)-(c_TMAP1IN)),2)))&gt;=0,1,0)))</f>
        <v>254</v>
      </c>
      <c r="F564" s="7" t="n">
        <f aca="false">IF(((c_TMAP3IN)-(c_TMAP2IN))=0,(c_TMAP2OUT)+QUOTIENT(((c_TMAP3OUT)-(c_TMAP2OUT)),2),QUOTIENT((((A564)-(c_TMAP2IN))*((c_TMAP3OUT)-(c_TMAP2OUT))+IF(((c_TMAP3OUT)-(c_TMAP2OUT))&gt;=0,1,-1)*QUOTIENT(((c_TMAP3IN)-(c_TMAP2IN)),2)),((c_TMAP3IN)-(c_TMAP2IN)))+(c_TMAP2OUT)+IF(((c_TMAP3OUT)-(c_TMAP2OUT))&gt;=0,IF(IF(o_WRAP=1,MOD(((c_TMAP3IN)-(c_TMAP2IN))*(((A564)-(c_TMAP2IN))*((c_TMAP3OUT)-(c_TMAP2OUT))+IF(((c_TMAP3OUT)-(c_TMAP2OUT))&gt;=0,1,-1)*QUOTIENT(((c_TMAP3IN)-(c_TMAP2IN)),2))+2147483648,4294967296)-2147483648,((c_TMAP3IN)-(c_TMAP2IN))*(((A564)-(c_TMAP2IN))*((c_TMAP3OUT)-(c_TMAP2OUT))+IF(((c_TMAP3OUT)-(c_TMAP2OUT))&gt;=0,1,-1)*QUOTIENT(((c_TMAP3IN)-(c_TMAP2IN)),2)))&lt;0,-1,0),IF(IF(o_WRAP=1,MOD(((c_TMAP3IN)-(c_TMAP2IN))*(((A564)-(c_TMAP2IN))*((c_TMAP3OUT)-(c_TMAP2OUT))+IF(((c_TMAP3OUT)-(c_TMAP2OUT))&gt;=0,1,-1)*QUOTIENT(((c_TMAP3IN)-(c_TMAP2IN)),2))+2147483648,4294967296)-2147483648,((c_TMAP3IN)-(c_TMAP2IN))*(((A564)-(c_TMAP2IN))*((c_TMAP3OUT)-(c_TMAP2OUT))+IF(((c_TMAP3OUT)-(c_TMAP2OUT))&gt;=0,1,-1)*QUOTIENT(((c_TMAP3IN)-(c_TMAP2IN)),2)))&gt;=0,1,0)))</f>
        <v>346</v>
      </c>
      <c r="G564" s="7" t="n">
        <f aca="false">IF(((1000)-(c_TMAP3IN))=0,(c_TMAP3OUT)+QUOTIENT(((1000)-(c_TMAP3OUT)),2),QUOTIENT((((A564)-(c_TMAP3IN))*((1000)-(c_TMAP3OUT))+IF(((1000)-(c_TMAP3OUT))&gt;=0,1,-1)*QUOTIENT(((1000)-(c_TMAP3IN)),2)),((1000)-(c_TMAP3IN)))+(c_TMAP3OUT)+IF(((1000)-(c_TMAP3OUT))&gt;=0,IF(IF(o_WRAP=1,MOD(((1000)-(c_TMAP3IN))*(((A564)-(c_TMAP3IN))*((1000)-(c_TMAP3OUT))+IF(((1000)-(c_TMAP3OUT))&gt;=0,1,-1)*QUOTIENT(((1000)-(c_TMAP3IN)),2))+2147483648,4294967296)-2147483648,((1000)-(c_TMAP3IN))*(((A564)-(c_TMAP3IN))*((1000)-(c_TMAP3OUT))+IF(((1000)-(c_TMAP3OUT))&gt;=0,1,-1)*QUOTIENT(((1000)-(c_TMAP3IN)),2)))&lt;0,-1,0),IF(IF(o_WRAP=1,MOD(((1000)-(c_TMAP3IN))*(((A564)-(c_TMAP3IN))*((1000)-(c_TMAP3OUT))+IF(((1000)-(c_TMAP3OUT))&gt;=0,1,-1)*QUOTIENT(((1000)-(c_TMAP3IN)),2))+2147483648,4294967296)-2147483648,((1000)-(c_TMAP3IN))*(((A564)-(c_TMAP3IN))*((1000)-(c_TMAP3OUT))+IF(((1000)-(c_TMAP3OUT))&gt;=0,1,-1)*QUOTIENT(((1000)-(c_TMAP3IN)),2)))&gt;=0,1,0)))</f>
        <v>457</v>
      </c>
      <c r="H564" s="7" t="str">
        <f aca="false">IF(A564&gt;=c_TFWD,IF(AND(A564&gt;=c_TMAP3IN,c_TMAP3IN&lt;1000),"Seg4 map3-100%",IF(AND(A564&gt;=c_TMAP2IN,c_TMAP3IN&gt;c_TMAP2IN),"Seg3 map2-map3",IF(AND(A564&gt;=c_TMAP1IN,c_TMAP2IN&gt;c_TMAP1IN),"Seg2 map1-map2","Seg1 TFWD-map1"))),IF(AND(A564=0,c_TCREEP&gt;0),"Creep",IF(AND(A564&lt;=c_TRNGMIN,A564&gt;=c_TRNGMAX,c_TRNGMIN-c_TRNGMAX&lt;&gt;0),"Regen ramp","Coast (0)")))</f>
        <v>Seg4 map3-100%</v>
      </c>
      <c r="I564" s="7" t="n">
        <f aca="false">IF(A564&gt;=c_TFWD,IF(AND(A564&gt;=c_TMAP3IN,c_TMAP3IN&lt;1000),G564,IF(AND(A564&gt;=c_TMAP2IN,c_TMAP3IN&gt;c_TMAP2IN),F564,IF(AND(A564&gt;=c_TMAP1IN,c_TMAP2IN&gt;c_TMAP1IN),E564,D564))),C564)</f>
        <v>457</v>
      </c>
      <c r="J564" s="7" t="str">
        <f aca="false">IF(I564&lt;-1090,"TOO LOW",IF(I564&gt;1090,"TOO HIGH",""))</f>
        <v/>
      </c>
      <c r="K564" s="15" t="n">
        <f aca="false">IF(J564&lt;&gt;"",0,IF(I564&gt;979,1000,I564))</f>
        <v>457</v>
      </c>
      <c r="L564" s="7" t="n">
        <f aca="false">K564/10</f>
        <v>45.7</v>
      </c>
    </row>
    <row r="565" customFormat="false" ht="15" hidden="false" customHeight="false" outlineLevel="0" collapsed="false">
      <c r="A565" s="7" t="n">
        <v>560</v>
      </c>
      <c r="B565" s="7" t="n">
        <f aca="false">A565/10</f>
        <v>56</v>
      </c>
      <c r="C565" s="7" t="n">
        <f aca="false">IF(AND(A565=0,c_TCREEP&gt;0),10*c_TCREEP,IF(AND(A565&lt;=c_TRNGMIN,A565&gt;=c_TRNGMAX,c_TRNGMIN-c_TRNGMAX&lt;&gt;0),-10*c_TMINRN+QUOTIENT((c_TMAXRN-c_TMINRN)*(100-QUOTIENT((A565-c_TRNGMAX)*100,c_TRNGMIN-c_TRNGMAX)),-10),0))</f>
        <v>0</v>
      </c>
      <c r="D565" s="7" t="n">
        <f aca="false">IF(((c_TMAP1IN)-(c_TFWD))=0,(0)+QUOTIENT(((c_TMAP1OUT)-(0)),2),QUOTIENT((((A565)-(c_TFWD))*((c_TMAP1OUT)-(0))+IF(((c_TMAP1OUT)-(0))&gt;=0,1,-1)*QUOTIENT(((c_TMAP1IN)-(c_TFWD)),2)),((c_TMAP1IN)-(c_TFWD)))+(0)+IF(((c_TMAP1OUT)-(0))&gt;=0,IF(IF(o_WRAP=1,MOD(((c_TMAP1IN)-(c_TFWD))*(((A565)-(c_TFWD))*((c_TMAP1OUT)-(0))+IF(((c_TMAP1OUT)-(0))&gt;=0,1,-1)*QUOTIENT(((c_TMAP1IN)-(c_TFWD)),2))+2147483648,4294967296)-2147483648,((c_TMAP1IN)-(c_TFWD))*(((A565)-(c_TFWD))*((c_TMAP1OUT)-(0))+IF(((c_TMAP1OUT)-(0))&gt;=0,1,-1)*QUOTIENT(((c_TMAP1IN)-(c_TFWD)),2)))&lt;0,-1,0),IF(IF(o_WRAP=1,MOD(((c_TMAP1IN)-(c_TFWD))*(((A565)-(c_TFWD))*((c_TMAP1OUT)-(0))+IF(((c_TMAP1OUT)-(0))&gt;=0,1,-1)*QUOTIENT(((c_TMAP1IN)-(c_TFWD)),2))+2147483648,4294967296)-2147483648,((c_TMAP1IN)-(c_TFWD))*(((A565)-(c_TFWD))*((c_TMAP1OUT)-(0))+IF(((c_TMAP1OUT)-(0))&gt;=0,1,-1)*QUOTIENT(((c_TMAP1IN)-(c_TFWD)),2)))&gt;=0,1,0)))</f>
        <v>428</v>
      </c>
      <c r="E565" s="7" t="n">
        <f aca="false">IF(((c_TMAP2IN)-(c_TMAP1IN))=0,(c_TMAP1OUT)+QUOTIENT(((c_TMAP2OUT)-(c_TMAP1OUT)),2),QUOTIENT((((A565)-(c_TMAP1IN))*((c_TMAP2OUT)-(c_TMAP1OUT))+IF(((c_TMAP2OUT)-(c_TMAP1OUT))&gt;=0,1,-1)*QUOTIENT(((c_TMAP2IN)-(c_TMAP1IN)),2)),((c_TMAP2IN)-(c_TMAP1IN)))+(c_TMAP1OUT)+IF(((c_TMAP2OUT)-(c_TMAP1OUT))&gt;=0,IF(IF(o_WRAP=1,MOD(((c_TMAP2IN)-(c_TMAP1IN))*(((A565)-(c_TMAP1IN))*((c_TMAP2OUT)-(c_TMAP1OUT))+IF(((c_TMAP2OUT)-(c_TMAP1OUT))&gt;=0,1,-1)*QUOTIENT(((c_TMAP2IN)-(c_TMAP1IN)),2))+2147483648,4294967296)-2147483648,((c_TMAP2IN)-(c_TMAP1IN))*(((A565)-(c_TMAP1IN))*((c_TMAP2OUT)-(c_TMAP1OUT))+IF(((c_TMAP2OUT)-(c_TMAP1OUT))&gt;=0,1,-1)*QUOTIENT(((c_TMAP2IN)-(c_TMAP1IN)),2)))&lt;0,-1,0),IF(IF(o_WRAP=1,MOD(((c_TMAP2IN)-(c_TMAP1IN))*(((A565)-(c_TMAP1IN))*((c_TMAP2OUT)-(c_TMAP1OUT))+IF(((c_TMAP2OUT)-(c_TMAP1OUT))&gt;=0,1,-1)*QUOTIENT(((c_TMAP2IN)-(c_TMAP1IN)),2))+2147483648,4294967296)-2147483648,((c_TMAP2IN)-(c_TMAP1IN))*(((A565)-(c_TMAP1IN))*((c_TMAP2OUT)-(c_TMAP1OUT))+IF(((c_TMAP2OUT)-(c_TMAP1OUT))&gt;=0,1,-1)*QUOTIENT(((c_TMAP2IN)-(c_TMAP1IN)),2)))&gt;=0,1,0)))</f>
        <v>254</v>
      </c>
      <c r="F565" s="7" t="n">
        <f aca="false">IF(((c_TMAP3IN)-(c_TMAP2IN))=0,(c_TMAP2OUT)+QUOTIENT(((c_TMAP3OUT)-(c_TMAP2OUT)),2),QUOTIENT((((A565)-(c_TMAP2IN))*((c_TMAP3OUT)-(c_TMAP2OUT))+IF(((c_TMAP3OUT)-(c_TMAP2OUT))&gt;=0,1,-1)*QUOTIENT(((c_TMAP3IN)-(c_TMAP2IN)),2)),((c_TMAP3IN)-(c_TMAP2IN)))+(c_TMAP2OUT)+IF(((c_TMAP3OUT)-(c_TMAP2OUT))&gt;=0,IF(IF(o_WRAP=1,MOD(((c_TMAP3IN)-(c_TMAP2IN))*(((A565)-(c_TMAP2IN))*((c_TMAP3OUT)-(c_TMAP2OUT))+IF(((c_TMAP3OUT)-(c_TMAP2OUT))&gt;=0,1,-1)*QUOTIENT(((c_TMAP3IN)-(c_TMAP2IN)),2))+2147483648,4294967296)-2147483648,((c_TMAP3IN)-(c_TMAP2IN))*(((A565)-(c_TMAP2IN))*((c_TMAP3OUT)-(c_TMAP2OUT))+IF(((c_TMAP3OUT)-(c_TMAP2OUT))&gt;=0,1,-1)*QUOTIENT(((c_TMAP3IN)-(c_TMAP2IN)),2)))&lt;0,-1,0),IF(IF(o_WRAP=1,MOD(((c_TMAP3IN)-(c_TMAP2IN))*(((A565)-(c_TMAP2IN))*((c_TMAP3OUT)-(c_TMAP2OUT))+IF(((c_TMAP3OUT)-(c_TMAP2OUT))&gt;=0,1,-1)*QUOTIENT(((c_TMAP3IN)-(c_TMAP2IN)),2))+2147483648,4294967296)-2147483648,((c_TMAP3IN)-(c_TMAP2IN))*(((A565)-(c_TMAP2IN))*((c_TMAP3OUT)-(c_TMAP2OUT))+IF(((c_TMAP3OUT)-(c_TMAP2OUT))&gt;=0,1,-1)*QUOTIENT(((c_TMAP3IN)-(c_TMAP2IN)),2)))&gt;=0,1,0)))</f>
        <v>347</v>
      </c>
      <c r="G565" s="7" t="n">
        <f aca="false">IF(((1000)-(c_TMAP3IN))=0,(c_TMAP3OUT)+QUOTIENT(((1000)-(c_TMAP3OUT)),2),QUOTIENT((((A565)-(c_TMAP3IN))*((1000)-(c_TMAP3OUT))+IF(((1000)-(c_TMAP3OUT))&gt;=0,1,-1)*QUOTIENT(((1000)-(c_TMAP3IN)),2)),((1000)-(c_TMAP3IN)))+(c_TMAP3OUT)+IF(((1000)-(c_TMAP3OUT))&gt;=0,IF(IF(o_WRAP=1,MOD(((1000)-(c_TMAP3IN))*(((A565)-(c_TMAP3IN))*((1000)-(c_TMAP3OUT))+IF(((1000)-(c_TMAP3OUT))&gt;=0,1,-1)*QUOTIENT(((1000)-(c_TMAP3IN)),2))+2147483648,4294967296)-2147483648,((1000)-(c_TMAP3IN))*(((A565)-(c_TMAP3IN))*((1000)-(c_TMAP3OUT))+IF(((1000)-(c_TMAP3OUT))&gt;=0,1,-1)*QUOTIENT(((1000)-(c_TMAP3IN)),2)))&lt;0,-1,0),IF(IF(o_WRAP=1,MOD(((1000)-(c_TMAP3IN))*(((A565)-(c_TMAP3IN))*((1000)-(c_TMAP3OUT))+IF(((1000)-(c_TMAP3OUT))&gt;=0,1,-1)*QUOTIENT(((1000)-(c_TMAP3IN)),2))+2147483648,4294967296)-2147483648,((1000)-(c_TMAP3IN))*(((A565)-(c_TMAP3IN))*((1000)-(c_TMAP3OUT))+IF(((1000)-(c_TMAP3OUT))&gt;=0,1,-1)*QUOTIENT(((1000)-(c_TMAP3IN)),2)))&gt;=0,1,0)))</f>
        <v>458</v>
      </c>
      <c r="H565" s="7" t="str">
        <f aca="false">IF(A565&gt;=c_TFWD,IF(AND(A565&gt;=c_TMAP3IN,c_TMAP3IN&lt;1000),"Seg4 map3-100%",IF(AND(A565&gt;=c_TMAP2IN,c_TMAP3IN&gt;c_TMAP2IN),"Seg3 map2-map3",IF(AND(A565&gt;=c_TMAP1IN,c_TMAP2IN&gt;c_TMAP1IN),"Seg2 map1-map2","Seg1 TFWD-map1"))),IF(AND(A565=0,c_TCREEP&gt;0),"Creep",IF(AND(A565&lt;=c_TRNGMIN,A565&gt;=c_TRNGMAX,c_TRNGMIN-c_TRNGMAX&lt;&gt;0),"Regen ramp","Coast (0)")))</f>
        <v>Seg4 map3-100%</v>
      </c>
      <c r="I565" s="7" t="n">
        <f aca="false">IF(A565&gt;=c_TFWD,IF(AND(A565&gt;=c_TMAP3IN,c_TMAP3IN&lt;1000),G565,IF(AND(A565&gt;=c_TMAP2IN,c_TMAP3IN&gt;c_TMAP2IN),F565,IF(AND(A565&gt;=c_TMAP1IN,c_TMAP2IN&gt;c_TMAP1IN),E565,D565))),C565)</f>
        <v>458</v>
      </c>
      <c r="J565" s="7" t="str">
        <f aca="false">IF(I565&lt;-1090,"TOO LOW",IF(I565&gt;1090,"TOO HIGH",""))</f>
        <v/>
      </c>
      <c r="K565" s="15" t="n">
        <f aca="false">IF(J565&lt;&gt;"",0,IF(I565&gt;979,1000,I565))</f>
        <v>458</v>
      </c>
      <c r="L565" s="7" t="n">
        <f aca="false">K565/10</f>
        <v>45.8</v>
      </c>
    </row>
    <row r="566" customFormat="false" ht="15" hidden="false" customHeight="false" outlineLevel="0" collapsed="false">
      <c r="A566" s="7" t="n">
        <v>561</v>
      </c>
      <c r="B566" s="7" t="n">
        <f aca="false">A566/10</f>
        <v>56.1</v>
      </c>
      <c r="C566" s="7" t="n">
        <f aca="false">IF(AND(A566=0,c_TCREEP&gt;0),10*c_TCREEP,IF(AND(A566&lt;=c_TRNGMIN,A566&gt;=c_TRNGMAX,c_TRNGMIN-c_TRNGMAX&lt;&gt;0),-10*c_TMINRN+QUOTIENT((c_TMAXRN-c_TMINRN)*(100-QUOTIENT((A566-c_TRNGMAX)*100,c_TRNGMIN-c_TRNGMAX)),-10),0))</f>
        <v>0</v>
      </c>
      <c r="D566" s="7" t="n">
        <f aca="false">IF(((c_TMAP1IN)-(c_TFWD))=0,(0)+QUOTIENT(((c_TMAP1OUT)-(0)),2),QUOTIENT((((A566)-(c_TFWD))*((c_TMAP1OUT)-(0))+IF(((c_TMAP1OUT)-(0))&gt;=0,1,-1)*QUOTIENT(((c_TMAP1IN)-(c_TFWD)),2)),((c_TMAP1IN)-(c_TFWD)))+(0)+IF(((c_TMAP1OUT)-(0))&gt;=0,IF(IF(o_WRAP=1,MOD(((c_TMAP1IN)-(c_TFWD))*(((A566)-(c_TFWD))*((c_TMAP1OUT)-(0))+IF(((c_TMAP1OUT)-(0))&gt;=0,1,-1)*QUOTIENT(((c_TMAP1IN)-(c_TFWD)),2))+2147483648,4294967296)-2147483648,((c_TMAP1IN)-(c_TFWD))*(((A566)-(c_TFWD))*((c_TMAP1OUT)-(0))+IF(((c_TMAP1OUT)-(0))&gt;=0,1,-1)*QUOTIENT(((c_TMAP1IN)-(c_TFWD)),2)))&lt;0,-1,0),IF(IF(o_WRAP=1,MOD(((c_TMAP1IN)-(c_TFWD))*(((A566)-(c_TFWD))*((c_TMAP1OUT)-(0))+IF(((c_TMAP1OUT)-(0))&gt;=0,1,-1)*QUOTIENT(((c_TMAP1IN)-(c_TFWD)),2))+2147483648,4294967296)-2147483648,((c_TMAP1IN)-(c_TFWD))*(((A566)-(c_TFWD))*((c_TMAP1OUT)-(0))+IF(((c_TMAP1OUT)-(0))&gt;=0,1,-1)*QUOTIENT(((c_TMAP1IN)-(c_TFWD)),2)))&gt;=0,1,0)))</f>
        <v>429</v>
      </c>
      <c r="E566" s="7" t="n">
        <f aca="false">IF(((c_TMAP2IN)-(c_TMAP1IN))=0,(c_TMAP1OUT)+QUOTIENT(((c_TMAP2OUT)-(c_TMAP1OUT)),2),QUOTIENT((((A566)-(c_TMAP1IN))*((c_TMAP2OUT)-(c_TMAP1OUT))+IF(((c_TMAP2OUT)-(c_TMAP1OUT))&gt;=0,1,-1)*QUOTIENT(((c_TMAP2IN)-(c_TMAP1IN)),2)),((c_TMAP2IN)-(c_TMAP1IN)))+(c_TMAP1OUT)+IF(((c_TMAP2OUT)-(c_TMAP1OUT))&gt;=0,IF(IF(o_WRAP=1,MOD(((c_TMAP2IN)-(c_TMAP1IN))*(((A566)-(c_TMAP1IN))*((c_TMAP2OUT)-(c_TMAP1OUT))+IF(((c_TMAP2OUT)-(c_TMAP1OUT))&gt;=0,1,-1)*QUOTIENT(((c_TMAP2IN)-(c_TMAP1IN)),2))+2147483648,4294967296)-2147483648,((c_TMAP2IN)-(c_TMAP1IN))*(((A566)-(c_TMAP1IN))*((c_TMAP2OUT)-(c_TMAP1OUT))+IF(((c_TMAP2OUT)-(c_TMAP1OUT))&gt;=0,1,-1)*QUOTIENT(((c_TMAP2IN)-(c_TMAP1IN)),2)))&lt;0,-1,0),IF(IF(o_WRAP=1,MOD(((c_TMAP2IN)-(c_TMAP1IN))*(((A566)-(c_TMAP1IN))*((c_TMAP2OUT)-(c_TMAP1OUT))+IF(((c_TMAP2OUT)-(c_TMAP1OUT))&gt;=0,1,-1)*QUOTIENT(((c_TMAP2IN)-(c_TMAP1IN)),2))+2147483648,4294967296)-2147483648,((c_TMAP2IN)-(c_TMAP1IN))*(((A566)-(c_TMAP1IN))*((c_TMAP2OUT)-(c_TMAP1OUT))+IF(((c_TMAP2OUT)-(c_TMAP1OUT))&gt;=0,1,-1)*QUOTIENT(((c_TMAP2IN)-(c_TMAP1IN)),2)))&gt;=0,1,0)))</f>
        <v>254</v>
      </c>
      <c r="F566" s="7" t="n">
        <f aca="false">IF(((c_TMAP3IN)-(c_TMAP2IN))=0,(c_TMAP2OUT)+QUOTIENT(((c_TMAP3OUT)-(c_TMAP2OUT)),2),QUOTIENT((((A566)-(c_TMAP2IN))*((c_TMAP3OUT)-(c_TMAP2OUT))+IF(((c_TMAP3OUT)-(c_TMAP2OUT))&gt;=0,1,-1)*QUOTIENT(((c_TMAP3IN)-(c_TMAP2IN)),2)),((c_TMAP3IN)-(c_TMAP2IN)))+(c_TMAP2OUT)+IF(((c_TMAP3OUT)-(c_TMAP2OUT))&gt;=0,IF(IF(o_WRAP=1,MOD(((c_TMAP3IN)-(c_TMAP2IN))*(((A566)-(c_TMAP2IN))*((c_TMAP3OUT)-(c_TMAP2OUT))+IF(((c_TMAP3OUT)-(c_TMAP2OUT))&gt;=0,1,-1)*QUOTIENT(((c_TMAP3IN)-(c_TMAP2IN)),2))+2147483648,4294967296)-2147483648,((c_TMAP3IN)-(c_TMAP2IN))*(((A566)-(c_TMAP2IN))*((c_TMAP3OUT)-(c_TMAP2OUT))+IF(((c_TMAP3OUT)-(c_TMAP2OUT))&gt;=0,1,-1)*QUOTIENT(((c_TMAP3IN)-(c_TMAP2IN)),2)))&lt;0,-1,0),IF(IF(o_WRAP=1,MOD(((c_TMAP3IN)-(c_TMAP2IN))*(((A566)-(c_TMAP2IN))*((c_TMAP3OUT)-(c_TMAP2OUT))+IF(((c_TMAP3OUT)-(c_TMAP2OUT))&gt;=0,1,-1)*QUOTIENT(((c_TMAP3IN)-(c_TMAP2IN)),2))+2147483648,4294967296)-2147483648,((c_TMAP3IN)-(c_TMAP2IN))*(((A566)-(c_TMAP2IN))*((c_TMAP3OUT)-(c_TMAP2OUT))+IF(((c_TMAP3OUT)-(c_TMAP2OUT))&gt;=0,1,-1)*QUOTIENT(((c_TMAP3IN)-(c_TMAP2IN)),2)))&gt;=0,1,0)))</f>
        <v>348</v>
      </c>
      <c r="G566" s="7" t="n">
        <f aca="false">IF(((1000)-(c_TMAP3IN))=0,(c_TMAP3OUT)+QUOTIENT(((1000)-(c_TMAP3OUT)),2),QUOTIENT((((A566)-(c_TMAP3IN))*((1000)-(c_TMAP3OUT))+IF(((1000)-(c_TMAP3OUT))&gt;=0,1,-1)*QUOTIENT(((1000)-(c_TMAP3IN)),2)),((1000)-(c_TMAP3IN)))+(c_TMAP3OUT)+IF(((1000)-(c_TMAP3OUT))&gt;=0,IF(IF(o_WRAP=1,MOD(((1000)-(c_TMAP3IN))*(((A566)-(c_TMAP3IN))*((1000)-(c_TMAP3OUT))+IF(((1000)-(c_TMAP3OUT))&gt;=0,1,-1)*QUOTIENT(((1000)-(c_TMAP3IN)),2))+2147483648,4294967296)-2147483648,((1000)-(c_TMAP3IN))*(((A566)-(c_TMAP3IN))*((1000)-(c_TMAP3OUT))+IF(((1000)-(c_TMAP3OUT))&gt;=0,1,-1)*QUOTIENT(((1000)-(c_TMAP3IN)),2)))&lt;0,-1,0),IF(IF(o_WRAP=1,MOD(((1000)-(c_TMAP3IN))*(((A566)-(c_TMAP3IN))*((1000)-(c_TMAP3OUT))+IF(((1000)-(c_TMAP3OUT))&gt;=0,1,-1)*QUOTIENT(((1000)-(c_TMAP3IN)),2))+2147483648,4294967296)-2147483648,((1000)-(c_TMAP3IN))*(((A566)-(c_TMAP3IN))*((1000)-(c_TMAP3OUT))+IF(((1000)-(c_TMAP3OUT))&gt;=0,1,-1)*QUOTIENT(((1000)-(c_TMAP3IN)),2)))&gt;=0,1,0)))</f>
        <v>460</v>
      </c>
      <c r="H566" s="7" t="str">
        <f aca="false">IF(A566&gt;=c_TFWD,IF(AND(A566&gt;=c_TMAP3IN,c_TMAP3IN&lt;1000),"Seg4 map3-100%",IF(AND(A566&gt;=c_TMAP2IN,c_TMAP3IN&gt;c_TMAP2IN),"Seg3 map2-map3",IF(AND(A566&gt;=c_TMAP1IN,c_TMAP2IN&gt;c_TMAP1IN),"Seg2 map1-map2","Seg1 TFWD-map1"))),IF(AND(A566=0,c_TCREEP&gt;0),"Creep",IF(AND(A566&lt;=c_TRNGMIN,A566&gt;=c_TRNGMAX,c_TRNGMIN-c_TRNGMAX&lt;&gt;0),"Regen ramp","Coast (0)")))</f>
        <v>Seg4 map3-100%</v>
      </c>
      <c r="I566" s="7" t="n">
        <f aca="false">IF(A566&gt;=c_TFWD,IF(AND(A566&gt;=c_TMAP3IN,c_TMAP3IN&lt;1000),G566,IF(AND(A566&gt;=c_TMAP2IN,c_TMAP3IN&gt;c_TMAP2IN),F566,IF(AND(A566&gt;=c_TMAP1IN,c_TMAP2IN&gt;c_TMAP1IN),E566,D566))),C566)</f>
        <v>460</v>
      </c>
      <c r="J566" s="7" t="str">
        <f aca="false">IF(I566&lt;-1090,"TOO LOW",IF(I566&gt;1090,"TOO HIGH",""))</f>
        <v/>
      </c>
      <c r="K566" s="15" t="n">
        <f aca="false">IF(J566&lt;&gt;"",0,IF(I566&gt;979,1000,I566))</f>
        <v>460</v>
      </c>
      <c r="L566" s="7" t="n">
        <f aca="false">K566/10</f>
        <v>46</v>
      </c>
    </row>
    <row r="567" customFormat="false" ht="15" hidden="false" customHeight="false" outlineLevel="0" collapsed="false">
      <c r="A567" s="7" t="n">
        <v>562</v>
      </c>
      <c r="B567" s="7" t="n">
        <f aca="false">A567/10</f>
        <v>56.2</v>
      </c>
      <c r="C567" s="7" t="n">
        <f aca="false">IF(AND(A567=0,c_TCREEP&gt;0),10*c_TCREEP,IF(AND(A567&lt;=c_TRNGMIN,A567&gt;=c_TRNGMAX,c_TRNGMIN-c_TRNGMAX&lt;&gt;0),-10*c_TMINRN+QUOTIENT((c_TMAXRN-c_TMINRN)*(100-QUOTIENT((A567-c_TRNGMAX)*100,c_TRNGMIN-c_TRNGMAX)),-10),0))</f>
        <v>0</v>
      </c>
      <c r="D567" s="7" t="n">
        <f aca="false">IF(((c_TMAP1IN)-(c_TFWD))=0,(0)+QUOTIENT(((c_TMAP1OUT)-(0)),2),QUOTIENT((((A567)-(c_TFWD))*((c_TMAP1OUT)-(0))+IF(((c_TMAP1OUT)-(0))&gt;=0,1,-1)*QUOTIENT(((c_TMAP1IN)-(c_TFWD)),2)),((c_TMAP1IN)-(c_TFWD)))+(0)+IF(((c_TMAP1OUT)-(0))&gt;=0,IF(IF(o_WRAP=1,MOD(((c_TMAP1IN)-(c_TFWD))*(((A567)-(c_TFWD))*((c_TMAP1OUT)-(0))+IF(((c_TMAP1OUT)-(0))&gt;=0,1,-1)*QUOTIENT(((c_TMAP1IN)-(c_TFWD)),2))+2147483648,4294967296)-2147483648,((c_TMAP1IN)-(c_TFWD))*(((A567)-(c_TFWD))*((c_TMAP1OUT)-(0))+IF(((c_TMAP1OUT)-(0))&gt;=0,1,-1)*QUOTIENT(((c_TMAP1IN)-(c_TFWD)),2)))&lt;0,-1,0),IF(IF(o_WRAP=1,MOD(((c_TMAP1IN)-(c_TFWD))*(((A567)-(c_TFWD))*((c_TMAP1OUT)-(0))+IF(((c_TMAP1OUT)-(0))&gt;=0,1,-1)*QUOTIENT(((c_TMAP1IN)-(c_TFWD)),2))+2147483648,4294967296)-2147483648,((c_TMAP1IN)-(c_TFWD))*(((A567)-(c_TFWD))*((c_TMAP1OUT)-(0))+IF(((c_TMAP1OUT)-(0))&gt;=0,1,-1)*QUOTIENT(((c_TMAP1IN)-(c_TFWD)),2)))&gt;=0,1,0)))</f>
        <v>429</v>
      </c>
      <c r="E567" s="7" t="n">
        <f aca="false">IF(((c_TMAP2IN)-(c_TMAP1IN))=0,(c_TMAP1OUT)+QUOTIENT(((c_TMAP2OUT)-(c_TMAP1OUT)),2),QUOTIENT((((A567)-(c_TMAP1IN))*((c_TMAP2OUT)-(c_TMAP1OUT))+IF(((c_TMAP2OUT)-(c_TMAP1OUT))&gt;=0,1,-1)*QUOTIENT(((c_TMAP2IN)-(c_TMAP1IN)),2)),((c_TMAP2IN)-(c_TMAP1IN)))+(c_TMAP1OUT)+IF(((c_TMAP2OUT)-(c_TMAP1OUT))&gt;=0,IF(IF(o_WRAP=1,MOD(((c_TMAP2IN)-(c_TMAP1IN))*(((A567)-(c_TMAP1IN))*((c_TMAP2OUT)-(c_TMAP1OUT))+IF(((c_TMAP2OUT)-(c_TMAP1OUT))&gt;=0,1,-1)*QUOTIENT(((c_TMAP2IN)-(c_TMAP1IN)),2))+2147483648,4294967296)-2147483648,((c_TMAP2IN)-(c_TMAP1IN))*(((A567)-(c_TMAP1IN))*((c_TMAP2OUT)-(c_TMAP1OUT))+IF(((c_TMAP2OUT)-(c_TMAP1OUT))&gt;=0,1,-1)*QUOTIENT(((c_TMAP2IN)-(c_TMAP1IN)),2)))&lt;0,-1,0),IF(IF(o_WRAP=1,MOD(((c_TMAP2IN)-(c_TMAP1IN))*(((A567)-(c_TMAP1IN))*((c_TMAP2OUT)-(c_TMAP1OUT))+IF(((c_TMAP2OUT)-(c_TMAP1OUT))&gt;=0,1,-1)*QUOTIENT(((c_TMAP2IN)-(c_TMAP1IN)),2))+2147483648,4294967296)-2147483648,((c_TMAP2IN)-(c_TMAP1IN))*(((A567)-(c_TMAP1IN))*((c_TMAP2OUT)-(c_TMAP1OUT))+IF(((c_TMAP2OUT)-(c_TMAP1OUT))&gt;=0,1,-1)*QUOTIENT(((c_TMAP2IN)-(c_TMAP1IN)),2)))&gt;=0,1,0)))</f>
        <v>255</v>
      </c>
      <c r="F567" s="7" t="n">
        <f aca="false">IF(((c_TMAP3IN)-(c_TMAP2IN))=0,(c_TMAP2OUT)+QUOTIENT(((c_TMAP3OUT)-(c_TMAP2OUT)),2),QUOTIENT((((A567)-(c_TMAP2IN))*((c_TMAP3OUT)-(c_TMAP2OUT))+IF(((c_TMAP3OUT)-(c_TMAP2OUT))&gt;=0,1,-1)*QUOTIENT(((c_TMAP3IN)-(c_TMAP2IN)),2)),((c_TMAP3IN)-(c_TMAP2IN)))+(c_TMAP2OUT)+IF(((c_TMAP3OUT)-(c_TMAP2OUT))&gt;=0,IF(IF(o_WRAP=1,MOD(((c_TMAP3IN)-(c_TMAP2IN))*(((A567)-(c_TMAP2IN))*((c_TMAP3OUT)-(c_TMAP2OUT))+IF(((c_TMAP3OUT)-(c_TMAP2OUT))&gt;=0,1,-1)*QUOTIENT(((c_TMAP3IN)-(c_TMAP2IN)),2))+2147483648,4294967296)-2147483648,((c_TMAP3IN)-(c_TMAP2IN))*(((A567)-(c_TMAP2IN))*((c_TMAP3OUT)-(c_TMAP2OUT))+IF(((c_TMAP3OUT)-(c_TMAP2OUT))&gt;=0,1,-1)*QUOTIENT(((c_TMAP3IN)-(c_TMAP2IN)),2)))&lt;0,-1,0),IF(IF(o_WRAP=1,MOD(((c_TMAP3IN)-(c_TMAP2IN))*(((A567)-(c_TMAP2IN))*((c_TMAP3OUT)-(c_TMAP2OUT))+IF(((c_TMAP3OUT)-(c_TMAP2OUT))&gt;=0,1,-1)*QUOTIENT(((c_TMAP3IN)-(c_TMAP2IN)),2))+2147483648,4294967296)-2147483648,((c_TMAP3IN)-(c_TMAP2IN))*(((A567)-(c_TMAP2IN))*((c_TMAP3OUT)-(c_TMAP2OUT))+IF(((c_TMAP3OUT)-(c_TMAP2OUT))&gt;=0,1,-1)*QUOTIENT(((c_TMAP3IN)-(c_TMAP2IN)),2)))&gt;=0,1,0)))</f>
        <v>348</v>
      </c>
      <c r="G567" s="7" t="n">
        <f aca="false">IF(((1000)-(c_TMAP3IN))=0,(c_TMAP3OUT)+QUOTIENT(((1000)-(c_TMAP3OUT)),2),QUOTIENT((((A567)-(c_TMAP3IN))*((1000)-(c_TMAP3OUT))+IF(((1000)-(c_TMAP3OUT))&gt;=0,1,-1)*QUOTIENT(((1000)-(c_TMAP3IN)),2)),((1000)-(c_TMAP3IN)))+(c_TMAP3OUT)+IF(((1000)-(c_TMAP3OUT))&gt;=0,IF(IF(o_WRAP=1,MOD(((1000)-(c_TMAP3IN))*(((A567)-(c_TMAP3IN))*((1000)-(c_TMAP3OUT))+IF(((1000)-(c_TMAP3OUT))&gt;=0,1,-1)*QUOTIENT(((1000)-(c_TMAP3IN)),2))+2147483648,4294967296)-2147483648,((1000)-(c_TMAP3IN))*(((A567)-(c_TMAP3IN))*((1000)-(c_TMAP3OUT))+IF(((1000)-(c_TMAP3OUT))&gt;=0,1,-1)*QUOTIENT(((1000)-(c_TMAP3IN)),2)))&lt;0,-1,0),IF(IF(o_WRAP=1,MOD(((1000)-(c_TMAP3IN))*(((A567)-(c_TMAP3IN))*((1000)-(c_TMAP3OUT))+IF(((1000)-(c_TMAP3OUT))&gt;=0,1,-1)*QUOTIENT(((1000)-(c_TMAP3IN)),2))+2147483648,4294967296)-2147483648,((1000)-(c_TMAP3IN))*(((A567)-(c_TMAP3IN))*((1000)-(c_TMAP3OUT))+IF(((1000)-(c_TMAP3OUT))&gt;=0,1,-1)*QUOTIENT(((1000)-(c_TMAP3IN)),2)))&gt;=0,1,0)))</f>
        <v>461</v>
      </c>
      <c r="H567" s="7" t="str">
        <f aca="false">IF(A567&gt;=c_TFWD,IF(AND(A567&gt;=c_TMAP3IN,c_TMAP3IN&lt;1000),"Seg4 map3-100%",IF(AND(A567&gt;=c_TMAP2IN,c_TMAP3IN&gt;c_TMAP2IN),"Seg3 map2-map3",IF(AND(A567&gt;=c_TMAP1IN,c_TMAP2IN&gt;c_TMAP1IN),"Seg2 map1-map2","Seg1 TFWD-map1"))),IF(AND(A567=0,c_TCREEP&gt;0),"Creep",IF(AND(A567&lt;=c_TRNGMIN,A567&gt;=c_TRNGMAX,c_TRNGMIN-c_TRNGMAX&lt;&gt;0),"Regen ramp","Coast (0)")))</f>
        <v>Seg4 map3-100%</v>
      </c>
      <c r="I567" s="7" t="n">
        <f aca="false">IF(A567&gt;=c_TFWD,IF(AND(A567&gt;=c_TMAP3IN,c_TMAP3IN&lt;1000),G567,IF(AND(A567&gt;=c_TMAP2IN,c_TMAP3IN&gt;c_TMAP2IN),F567,IF(AND(A567&gt;=c_TMAP1IN,c_TMAP2IN&gt;c_TMAP1IN),E567,D567))),C567)</f>
        <v>461</v>
      </c>
      <c r="J567" s="7" t="str">
        <f aca="false">IF(I567&lt;-1090,"TOO LOW",IF(I567&gt;1090,"TOO HIGH",""))</f>
        <v/>
      </c>
      <c r="K567" s="15" t="n">
        <f aca="false">IF(J567&lt;&gt;"",0,IF(I567&gt;979,1000,I567))</f>
        <v>461</v>
      </c>
      <c r="L567" s="7" t="n">
        <f aca="false">K567/10</f>
        <v>46.1</v>
      </c>
    </row>
    <row r="568" customFormat="false" ht="15" hidden="false" customHeight="false" outlineLevel="0" collapsed="false">
      <c r="A568" s="7" t="n">
        <v>563</v>
      </c>
      <c r="B568" s="7" t="n">
        <f aca="false">A568/10</f>
        <v>56.3</v>
      </c>
      <c r="C568" s="7" t="n">
        <f aca="false">IF(AND(A568=0,c_TCREEP&gt;0),10*c_TCREEP,IF(AND(A568&lt;=c_TRNGMIN,A568&gt;=c_TRNGMAX,c_TRNGMIN-c_TRNGMAX&lt;&gt;0),-10*c_TMINRN+QUOTIENT((c_TMAXRN-c_TMINRN)*(100-QUOTIENT((A568-c_TRNGMAX)*100,c_TRNGMIN-c_TRNGMAX)),-10),0))</f>
        <v>0</v>
      </c>
      <c r="D568" s="7" t="n">
        <f aca="false">IF(((c_TMAP1IN)-(c_TFWD))=0,(0)+QUOTIENT(((c_TMAP1OUT)-(0)),2),QUOTIENT((((A568)-(c_TFWD))*((c_TMAP1OUT)-(0))+IF(((c_TMAP1OUT)-(0))&gt;=0,1,-1)*QUOTIENT(((c_TMAP1IN)-(c_TFWD)),2)),((c_TMAP1IN)-(c_TFWD)))+(0)+IF(((c_TMAP1OUT)-(0))&gt;=0,IF(IF(o_WRAP=1,MOD(((c_TMAP1IN)-(c_TFWD))*(((A568)-(c_TFWD))*((c_TMAP1OUT)-(0))+IF(((c_TMAP1OUT)-(0))&gt;=0,1,-1)*QUOTIENT(((c_TMAP1IN)-(c_TFWD)),2))+2147483648,4294967296)-2147483648,((c_TMAP1IN)-(c_TFWD))*(((A568)-(c_TFWD))*((c_TMAP1OUT)-(0))+IF(((c_TMAP1OUT)-(0))&gt;=0,1,-1)*QUOTIENT(((c_TMAP1IN)-(c_TFWD)),2)))&lt;0,-1,0),IF(IF(o_WRAP=1,MOD(((c_TMAP1IN)-(c_TFWD))*(((A568)-(c_TFWD))*((c_TMAP1OUT)-(0))+IF(((c_TMAP1OUT)-(0))&gt;=0,1,-1)*QUOTIENT(((c_TMAP1IN)-(c_TFWD)),2))+2147483648,4294967296)-2147483648,((c_TMAP1IN)-(c_TFWD))*(((A568)-(c_TFWD))*((c_TMAP1OUT)-(0))+IF(((c_TMAP1OUT)-(0))&gt;=0,1,-1)*QUOTIENT(((c_TMAP1IN)-(c_TFWD)),2)))&gt;=0,1,0)))</f>
        <v>430</v>
      </c>
      <c r="E568" s="7" t="n">
        <f aca="false">IF(((c_TMAP2IN)-(c_TMAP1IN))=0,(c_TMAP1OUT)+QUOTIENT(((c_TMAP2OUT)-(c_TMAP1OUT)),2),QUOTIENT((((A568)-(c_TMAP1IN))*((c_TMAP2OUT)-(c_TMAP1OUT))+IF(((c_TMAP2OUT)-(c_TMAP1OUT))&gt;=0,1,-1)*QUOTIENT(((c_TMAP2IN)-(c_TMAP1IN)),2)),((c_TMAP2IN)-(c_TMAP1IN)))+(c_TMAP1OUT)+IF(((c_TMAP2OUT)-(c_TMAP1OUT))&gt;=0,IF(IF(o_WRAP=1,MOD(((c_TMAP2IN)-(c_TMAP1IN))*(((A568)-(c_TMAP1IN))*((c_TMAP2OUT)-(c_TMAP1OUT))+IF(((c_TMAP2OUT)-(c_TMAP1OUT))&gt;=0,1,-1)*QUOTIENT(((c_TMAP2IN)-(c_TMAP1IN)),2))+2147483648,4294967296)-2147483648,((c_TMAP2IN)-(c_TMAP1IN))*(((A568)-(c_TMAP1IN))*((c_TMAP2OUT)-(c_TMAP1OUT))+IF(((c_TMAP2OUT)-(c_TMAP1OUT))&gt;=0,1,-1)*QUOTIENT(((c_TMAP2IN)-(c_TMAP1IN)),2)))&lt;0,-1,0),IF(IF(o_WRAP=1,MOD(((c_TMAP2IN)-(c_TMAP1IN))*(((A568)-(c_TMAP1IN))*((c_TMAP2OUT)-(c_TMAP1OUT))+IF(((c_TMAP2OUT)-(c_TMAP1OUT))&gt;=0,1,-1)*QUOTIENT(((c_TMAP2IN)-(c_TMAP1IN)),2))+2147483648,4294967296)-2147483648,((c_TMAP2IN)-(c_TMAP1IN))*(((A568)-(c_TMAP1IN))*((c_TMAP2OUT)-(c_TMAP1OUT))+IF(((c_TMAP2OUT)-(c_TMAP1OUT))&gt;=0,1,-1)*QUOTIENT(((c_TMAP2IN)-(c_TMAP1IN)),2)))&gt;=0,1,0)))</f>
        <v>255</v>
      </c>
      <c r="F568" s="7" t="n">
        <f aca="false">IF(((c_TMAP3IN)-(c_TMAP2IN))=0,(c_TMAP2OUT)+QUOTIENT(((c_TMAP3OUT)-(c_TMAP2OUT)),2),QUOTIENT((((A568)-(c_TMAP2IN))*((c_TMAP3OUT)-(c_TMAP2OUT))+IF(((c_TMAP3OUT)-(c_TMAP2OUT))&gt;=0,1,-1)*QUOTIENT(((c_TMAP3IN)-(c_TMAP2IN)),2)),((c_TMAP3IN)-(c_TMAP2IN)))+(c_TMAP2OUT)+IF(((c_TMAP3OUT)-(c_TMAP2OUT))&gt;=0,IF(IF(o_WRAP=1,MOD(((c_TMAP3IN)-(c_TMAP2IN))*(((A568)-(c_TMAP2IN))*((c_TMAP3OUT)-(c_TMAP2OUT))+IF(((c_TMAP3OUT)-(c_TMAP2OUT))&gt;=0,1,-1)*QUOTIENT(((c_TMAP3IN)-(c_TMAP2IN)),2))+2147483648,4294967296)-2147483648,((c_TMAP3IN)-(c_TMAP2IN))*(((A568)-(c_TMAP2IN))*((c_TMAP3OUT)-(c_TMAP2OUT))+IF(((c_TMAP3OUT)-(c_TMAP2OUT))&gt;=0,1,-1)*QUOTIENT(((c_TMAP3IN)-(c_TMAP2IN)),2)))&lt;0,-1,0),IF(IF(o_WRAP=1,MOD(((c_TMAP3IN)-(c_TMAP2IN))*(((A568)-(c_TMAP2IN))*((c_TMAP3OUT)-(c_TMAP2OUT))+IF(((c_TMAP3OUT)-(c_TMAP2OUT))&gt;=0,1,-1)*QUOTIENT(((c_TMAP3IN)-(c_TMAP2IN)),2))+2147483648,4294967296)-2147483648,((c_TMAP3IN)-(c_TMAP2IN))*(((A568)-(c_TMAP2IN))*((c_TMAP3OUT)-(c_TMAP2OUT))+IF(((c_TMAP3OUT)-(c_TMAP2OUT))&gt;=0,1,-1)*QUOTIENT(((c_TMAP3IN)-(c_TMAP2IN)),2)))&gt;=0,1,0)))</f>
        <v>349</v>
      </c>
      <c r="G568" s="7" t="n">
        <f aca="false">IF(((1000)-(c_TMAP3IN))=0,(c_TMAP3OUT)+QUOTIENT(((1000)-(c_TMAP3OUT)),2),QUOTIENT((((A568)-(c_TMAP3IN))*((1000)-(c_TMAP3OUT))+IF(((1000)-(c_TMAP3OUT))&gt;=0,1,-1)*QUOTIENT(((1000)-(c_TMAP3IN)),2)),((1000)-(c_TMAP3IN)))+(c_TMAP3OUT)+IF(((1000)-(c_TMAP3OUT))&gt;=0,IF(IF(o_WRAP=1,MOD(((1000)-(c_TMAP3IN))*(((A568)-(c_TMAP3IN))*((1000)-(c_TMAP3OUT))+IF(((1000)-(c_TMAP3OUT))&gt;=0,1,-1)*QUOTIENT(((1000)-(c_TMAP3IN)),2))+2147483648,4294967296)-2147483648,((1000)-(c_TMAP3IN))*(((A568)-(c_TMAP3IN))*((1000)-(c_TMAP3OUT))+IF(((1000)-(c_TMAP3OUT))&gt;=0,1,-1)*QUOTIENT(((1000)-(c_TMAP3IN)),2)))&lt;0,-1,0),IF(IF(o_WRAP=1,MOD(((1000)-(c_TMAP3IN))*(((A568)-(c_TMAP3IN))*((1000)-(c_TMAP3OUT))+IF(((1000)-(c_TMAP3OUT))&gt;=0,1,-1)*QUOTIENT(((1000)-(c_TMAP3IN)),2))+2147483648,4294967296)-2147483648,((1000)-(c_TMAP3IN))*(((A568)-(c_TMAP3IN))*((1000)-(c_TMAP3OUT))+IF(((1000)-(c_TMAP3OUT))&gt;=0,1,-1)*QUOTIENT(((1000)-(c_TMAP3IN)),2)))&gt;=0,1,0)))</f>
        <v>462</v>
      </c>
      <c r="H568" s="7" t="str">
        <f aca="false">IF(A568&gt;=c_TFWD,IF(AND(A568&gt;=c_TMAP3IN,c_TMAP3IN&lt;1000),"Seg4 map3-100%",IF(AND(A568&gt;=c_TMAP2IN,c_TMAP3IN&gt;c_TMAP2IN),"Seg3 map2-map3",IF(AND(A568&gt;=c_TMAP1IN,c_TMAP2IN&gt;c_TMAP1IN),"Seg2 map1-map2","Seg1 TFWD-map1"))),IF(AND(A568=0,c_TCREEP&gt;0),"Creep",IF(AND(A568&lt;=c_TRNGMIN,A568&gt;=c_TRNGMAX,c_TRNGMIN-c_TRNGMAX&lt;&gt;0),"Regen ramp","Coast (0)")))</f>
        <v>Seg4 map3-100%</v>
      </c>
      <c r="I568" s="7" t="n">
        <f aca="false">IF(A568&gt;=c_TFWD,IF(AND(A568&gt;=c_TMAP3IN,c_TMAP3IN&lt;1000),G568,IF(AND(A568&gt;=c_TMAP2IN,c_TMAP3IN&gt;c_TMAP2IN),F568,IF(AND(A568&gt;=c_TMAP1IN,c_TMAP2IN&gt;c_TMAP1IN),E568,D568))),C568)</f>
        <v>462</v>
      </c>
      <c r="J568" s="7" t="str">
        <f aca="false">IF(I568&lt;-1090,"TOO LOW",IF(I568&gt;1090,"TOO HIGH",""))</f>
        <v/>
      </c>
      <c r="K568" s="15" t="n">
        <f aca="false">IF(J568&lt;&gt;"",0,IF(I568&gt;979,1000,I568))</f>
        <v>462</v>
      </c>
      <c r="L568" s="7" t="n">
        <f aca="false">K568/10</f>
        <v>46.2</v>
      </c>
    </row>
    <row r="569" customFormat="false" ht="15" hidden="false" customHeight="false" outlineLevel="0" collapsed="false">
      <c r="A569" s="7" t="n">
        <v>564</v>
      </c>
      <c r="B569" s="7" t="n">
        <f aca="false">A569/10</f>
        <v>56.4</v>
      </c>
      <c r="C569" s="7" t="n">
        <f aca="false">IF(AND(A569=0,c_TCREEP&gt;0),10*c_TCREEP,IF(AND(A569&lt;=c_TRNGMIN,A569&gt;=c_TRNGMAX,c_TRNGMIN-c_TRNGMAX&lt;&gt;0),-10*c_TMINRN+QUOTIENT((c_TMAXRN-c_TMINRN)*(100-QUOTIENT((A569-c_TRNGMAX)*100,c_TRNGMIN-c_TRNGMAX)),-10),0))</f>
        <v>0</v>
      </c>
      <c r="D569" s="7" t="n">
        <f aca="false">IF(((c_TMAP1IN)-(c_TFWD))=0,(0)+QUOTIENT(((c_TMAP1OUT)-(0)),2),QUOTIENT((((A569)-(c_TFWD))*((c_TMAP1OUT)-(0))+IF(((c_TMAP1OUT)-(0))&gt;=0,1,-1)*QUOTIENT(((c_TMAP1IN)-(c_TFWD)),2)),((c_TMAP1IN)-(c_TFWD)))+(0)+IF(((c_TMAP1OUT)-(0))&gt;=0,IF(IF(o_WRAP=1,MOD(((c_TMAP1IN)-(c_TFWD))*(((A569)-(c_TFWD))*((c_TMAP1OUT)-(0))+IF(((c_TMAP1OUT)-(0))&gt;=0,1,-1)*QUOTIENT(((c_TMAP1IN)-(c_TFWD)),2))+2147483648,4294967296)-2147483648,((c_TMAP1IN)-(c_TFWD))*(((A569)-(c_TFWD))*((c_TMAP1OUT)-(0))+IF(((c_TMAP1OUT)-(0))&gt;=0,1,-1)*QUOTIENT(((c_TMAP1IN)-(c_TFWD)),2)))&lt;0,-1,0),IF(IF(o_WRAP=1,MOD(((c_TMAP1IN)-(c_TFWD))*(((A569)-(c_TFWD))*((c_TMAP1OUT)-(0))+IF(((c_TMAP1OUT)-(0))&gt;=0,1,-1)*QUOTIENT(((c_TMAP1IN)-(c_TFWD)),2))+2147483648,4294967296)-2147483648,((c_TMAP1IN)-(c_TFWD))*(((A569)-(c_TFWD))*((c_TMAP1OUT)-(0))+IF(((c_TMAP1OUT)-(0))&gt;=0,1,-1)*QUOTIENT(((c_TMAP1IN)-(c_TFWD)),2)))&gt;=0,1,0)))</f>
        <v>431</v>
      </c>
      <c r="E569" s="7" t="n">
        <f aca="false">IF(((c_TMAP2IN)-(c_TMAP1IN))=0,(c_TMAP1OUT)+QUOTIENT(((c_TMAP2OUT)-(c_TMAP1OUT)),2),QUOTIENT((((A569)-(c_TMAP1IN))*((c_TMAP2OUT)-(c_TMAP1OUT))+IF(((c_TMAP2OUT)-(c_TMAP1OUT))&gt;=0,1,-1)*QUOTIENT(((c_TMAP2IN)-(c_TMAP1IN)),2)),((c_TMAP2IN)-(c_TMAP1IN)))+(c_TMAP1OUT)+IF(((c_TMAP2OUT)-(c_TMAP1OUT))&gt;=0,IF(IF(o_WRAP=1,MOD(((c_TMAP2IN)-(c_TMAP1IN))*(((A569)-(c_TMAP1IN))*((c_TMAP2OUT)-(c_TMAP1OUT))+IF(((c_TMAP2OUT)-(c_TMAP1OUT))&gt;=0,1,-1)*QUOTIENT(((c_TMAP2IN)-(c_TMAP1IN)),2))+2147483648,4294967296)-2147483648,((c_TMAP2IN)-(c_TMAP1IN))*(((A569)-(c_TMAP1IN))*((c_TMAP2OUT)-(c_TMAP1OUT))+IF(((c_TMAP2OUT)-(c_TMAP1OUT))&gt;=0,1,-1)*QUOTIENT(((c_TMAP2IN)-(c_TMAP1IN)),2)))&lt;0,-1,0),IF(IF(o_WRAP=1,MOD(((c_TMAP2IN)-(c_TMAP1IN))*(((A569)-(c_TMAP1IN))*((c_TMAP2OUT)-(c_TMAP1OUT))+IF(((c_TMAP2OUT)-(c_TMAP1OUT))&gt;=0,1,-1)*QUOTIENT(((c_TMAP2IN)-(c_TMAP1IN)),2))+2147483648,4294967296)-2147483648,((c_TMAP2IN)-(c_TMAP1IN))*(((A569)-(c_TMAP1IN))*((c_TMAP2OUT)-(c_TMAP1OUT))+IF(((c_TMAP2OUT)-(c_TMAP1OUT))&gt;=0,1,-1)*QUOTIENT(((c_TMAP2IN)-(c_TMAP1IN)),2)))&gt;=0,1,0)))</f>
        <v>256</v>
      </c>
      <c r="F569" s="7" t="n">
        <f aca="false">IF(((c_TMAP3IN)-(c_TMAP2IN))=0,(c_TMAP2OUT)+QUOTIENT(((c_TMAP3OUT)-(c_TMAP2OUT)),2),QUOTIENT((((A569)-(c_TMAP2IN))*((c_TMAP3OUT)-(c_TMAP2OUT))+IF(((c_TMAP3OUT)-(c_TMAP2OUT))&gt;=0,1,-1)*QUOTIENT(((c_TMAP3IN)-(c_TMAP2IN)),2)),((c_TMAP3IN)-(c_TMAP2IN)))+(c_TMAP2OUT)+IF(((c_TMAP3OUT)-(c_TMAP2OUT))&gt;=0,IF(IF(o_WRAP=1,MOD(((c_TMAP3IN)-(c_TMAP2IN))*(((A569)-(c_TMAP2IN))*((c_TMAP3OUT)-(c_TMAP2OUT))+IF(((c_TMAP3OUT)-(c_TMAP2OUT))&gt;=0,1,-1)*QUOTIENT(((c_TMAP3IN)-(c_TMAP2IN)),2))+2147483648,4294967296)-2147483648,((c_TMAP3IN)-(c_TMAP2IN))*(((A569)-(c_TMAP2IN))*((c_TMAP3OUT)-(c_TMAP2OUT))+IF(((c_TMAP3OUT)-(c_TMAP2OUT))&gt;=0,1,-1)*QUOTIENT(((c_TMAP3IN)-(c_TMAP2IN)),2)))&lt;0,-1,0),IF(IF(o_WRAP=1,MOD(((c_TMAP3IN)-(c_TMAP2IN))*(((A569)-(c_TMAP2IN))*((c_TMAP3OUT)-(c_TMAP2OUT))+IF(((c_TMAP3OUT)-(c_TMAP2OUT))&gt;=0,1,-1)*QUOTIENT(((c_TMAP3IN)-(c_TMAP2IN)),2))+2147483648,4294967296)-2147483648,((c_TMAP3IN)-(c_TMAP2IN))*(((A569)-(c_TMAP2IN))*((c_TMAP3OUT)-(c_TMAP2OUT))+IF(((c_TMAP3OUT)-(c_TMAP2OUT))&gt;=0,1,-1)*QUOTIENT(((c_TMAP3IN)-(c_TMAP2IN)),2)))&gt;=0,1,0)))</f>
        <v>350</v>
      </c>
      <c r="G569" s="7" t="n">
        <f aca="false">IF(((1000)-(c_TMAP3IN))=0,(c_TMAP3OUT)+QUOTIENT(((1000)-(c_TMAP3OUT)),2),QUOTIENT((((A569)-(c_TMAP3IN))*((1000)-(c_TMAP3OUT))+IF(((1000)-(c_TMAP3OUT))&gt;=0,1,-1)*QUOTIENT(((1000)-(c_TMAP3IN)),2)),((1000)-(c_TMAP3IN)))+(c_TMAP3OUT)+IF(((1000)-(c_TMAP3OUT))&gt;=0,IF(IF(o_WRAP=1,MOD(((1000)-(c_TMAP3IN))*(((A569)-(c_TMAP3IN))*((1000)-(c_TMAP3OUT))+IF(((1000)-(c_TMAP3OUT))&gt;=0,1,-1)*QUOTIENT(((1000)-(c_TMAP3IN)),2))+2147483648,4294967296)-2147483648,((1000)-(c_TMAP3IN))*(((A569)-(c_TMAP3IN))*((1000)-(c_TMAP3OUT))+IF(((1000)-(c_TMAP3OUT))&gt;=0,1,-1)*QUOTIENT(((1000)-(c_TMAP3IN)),2)))&lt;0,-1,0),IF(IF(o_WRAP=1,MOD(((1000)-(c_TMAP3IN))*(((A569)-(c_TMAP3IN))*((1000)-(c_TMAP3OUT))+IF(((1000)-(c_TMAP3OUT))&gt;=0,1,-1)*QUOTIENT(((1000)-(c_TMAP3IN)),2))+2147483648,4294967296)-2147483648,((1000)-(c_TMAP3IN))*(((A569)-(c_TMAP3IN))*((1000)-(c_TMAP3OUT))+IF(((1000)-(c_TMAP3OUT))&gt;=0,1,-1)*QUOTIENT(((1000)-(c_TMAP3IN)),2)))&gt;=0,1,0)))</f>
        <v>463</v>
      </c>
      <c r="H569" s="7" t="str">
        <f aca="false">IF(A569&gt;=c_TFWD,IF(AND(A569&gt;=c_TMAP3IN,c_TMAP3IN&lt;1000),"Seg4 map3-100%",IF(AND(A569&gt;=c_TMAP2IN,c_TMAP3IN&gt;c_TMAP2IN),"Seg3 map2-map3",IF(AND(A569&gt;=c_TMAP1IN,c_TMAP2IN&gt;c_TMAP1IN),"Seg2 map1-map2","Seg1 TFWD-map1"))),IF(AND(A569=0,c_TCREEP&gt;0),"Creep",IF(AND(A569&lt;=c_TRNGMIN,A569&gt;=c_TRNGMAX,c_TRNGMIN-c_TRNGMAX&lt;&gt;0),"Regen ramp","Coast (0)")))</f>
        <v>Seg4 map3-100%</v>
      </c>
      <c r="I569" s="7" t="n">
        <f aca="false">IF(A569&gt;=c_TFWD,IF(AND(A569&gt;=c_TMAP3IN,c_TMAP3IN&lt;1000),G569,IF(AND(A569&gt;=c_TMAP2IN,c_TMAP3IN&gt;c_TMAP2IN),F569,IF(AND(A569&gt;=c_TMAP1IN,c_TMAP2IN&gt;c_TMAP1IN),E569,D569))),C569)</f>
        <v>463</v>
      </c>
      <c r="J569" s="7" t="str">
        <f aca="false">IF(I569&lt;-1090,"TOO LOW",IF(I569&gt;1090,"TOO HIGH",""))</f>
        <v/>
      </c>
      <c r="K569" s="15" t="n">
        <f aca="false">IF(J569&lt;&gt;"",0,IF(I569&gt;979,1000,I569))</f>
        <v>463</v>
      </c>
      <c r="L569" s="7" t="n">
        <f aca="false">K569/10</f>
        <v>46.3</v>
      </c>
    </row>
    <row r="570" customFormat="false" ht="15" hidden="false" customHeight="false" outlineLevel="0" collapsed="false">
      <c r="A570" s="7" t="n">
        <v>565</v>
      </c>
      <c r="B570" s="7" t="n">
        <f aca="false">A570/10</f>
        <v>56.5</v>
      </c>
      <c r="C570" s="7" t="n">
        <f aca="false">IF(AND(A570=0,c_TCREEP&gt;0),10*c_TCREEP,IF(AND(A570&lt;=c_TRNGMIN,A570&gt;=c_TRNGMAX,c_TRNGMIN-c_TRNGMAX&lt;&gt;0),-10*c_TMINRN+QUOTIENT((c_TMAXRN-c_TMINRN)*(100-QUOTIENT((A570-c_TRNGMAX)*100,c_TRNGMIN-c_TRNGMAX)),-10),0))</f>
        <v>0</v>
      </c>
      <c r="D570" s="7" t="n">
        <f aca="false">IF(((c_TMAP1IN)-(c_TFWD))=0,(0)+QUOTIENT(((c_TMAP1OUT)-(0)),2),QUOTIENT((((A570)-(c_TFWD))*((c_TMAP1OUT)-(0))+IF(((c_TMAP1OUT)-(0))&gt;=0,1,-1)*QUOTIENT(((c_TMAP1IN)-(c_TFWD)),2)),((c_TMAP1IN)-(c_TFWD)))+(0)+IF(((c_TMAP1OUT)-(0))&gt;=0,IF(IF(o_WRAP=1,MOD(((c_TMAP1IN)-(c_TFWD))*(((A570)-(c_TFWD))*((c_TMAP1OUT)-(0))+IF(((c_TMAP1OUT)-(0))&gt;=0,1,-1)*QUOTIENT(((c_TMAP1IN)-(c_TFWD)),2))+2147483648,4294967296)-2147483648,((c_TMAP1IN)-(c_TFWD))*(((A570)-(c_TFWD))*((c_TMAP1OUT)-(0))+IF(((c_TMAP1OUT)-(0))&gt;=0,1,-1)*QUOTIENT(((c_TMAP1IN)-(c_TFWD)),2)))&lt;0,-1,0),IF(IF(o_WRAP=1,MOD(((c_TMAP1IN)-(c_TFWD))*(((A570)-(c_TFWD))*((c_TMAP1OUT)-(0))+IF(((c_TMAP1OUT)-(0))&gt;=0,1,-1)*QUOTIENT(((c_TMAP1IN)-(c_TFWD)),2))+2147483648,4294967296)-2147483648,((c_TMAP1IN)-(c_TFWD))*(((A570)-(c_TFWD))*((c_TMAP1OUT)-(0))+IF(((c_TMAP1OUT)-(0))&gt;=0,1,-1)*QUOTIENT(((c_TMAP1IN)-(c_TFWD)),2)))&gt;=0,1,0)))</f>
        <v>432</v>
      </c>
      <c r="E570" s="7" t="n">
        <f aca="false">IF(((c_TMAP2IN)-(c_TMAP1IN))=0,(c_TMAP1OUT)+QUOTIENT(((c_TMAP2OUT)-(c_TMAP1OUT)),2),QUOTIENT((((A570)-(c_TMAP1IN))*((c_TMAP2OUT)-(c_TMAP1OUT))+IF(((c_TMAP2OUT)-(c_TMAP1OUT))&gt;=0,1,-1)*QUOTIENT(((c_TMAP2IN)-(c_TMAP1IN)),2)),((c_TMAP2IN)-(c_TMAP1IN)))+(c_TMAP1OUT)+IF(((c_TMAP2OUT)-(c_TMAP1OUT))&gt;=0,IF(IF(o_WRAP=1,MOD(((c_TMAP2IN)-(c_TMAP1IN))*(((A570)-(c_TMAP1IN))*((c_TMAP2OUT)-(c_TMAP1OUT))+IF(((c_TMAP2OUT)-(c_TMAP1OUT))&gt;=0,1,-1)*QUOTIENT(((c_TMAP2IN)-(c_TMAP1IN)),2))+2147483648,4294967296)-2147483648,((c_TMAP2IN)-(c_TMAP1IN))*(((A570)-(c_TMAP1IN))*((c_TMAP2OUT)-(c_TMAP1OUT))+IF(((c_TMAP2OUT)-(c_TMAP1OUT))&gt;=0,1,-1)*QUOTIENT(((c_TMAP2IN)-(c_TMAP1IN)),2)))&lt;0,-1,0),IF(IF(o_WRAP=1,MOD(((c_TMAP2IN)-(c_TMAP1IN))*(((A570)-(c_TMAP1IN))*((c_TMAP2OUT)-(c_TMAP1OUT))+IF(((c_TMAP2OUT)-(c_TMAP1OUT))&gt;=0,1,-1)*QUOTIENT(((c_TMAP2IN)-(c_TMAP1IN)),2))+2147483648,4294967296)-2147483648,((c_TMAP2IN)-(c_TMAP1IN))*(((A570)-(c_TMAP1IN))*((c_TMAP2OUT)-(c_TMAP1OUT))+IF(((c_TMAP2OUT)-(c_TMAP1OUT))&gt;=0,1,-1)*QUOTIENT(((c_TMAP2IN)-(c_TMAP1IN)),2)))&gt;=0,1,0)))</f>
        <v>256</v>
      </c>
      <c r="F570" s="7" t="n">
        <f aca="false">IF(((c_TMAP3IN)-(c_TMAP2IN))=0,(c_TMAP2OUT)+QUOTIENT(((c_TMAP3OUT)-(c_TMAP2OUT)),2),QUOTIENT((((A570)-(c_TMAP2IN))*((c_TMAP3OUT)-(c_TMAP2OUT))+IF(((c_TMAP3OUT)-(c_TMAP2OUT))&gt;=0,1,-1)*QUOTIENT(((c_TMAP3IN)-(c_TMAP2IN)),2)),((c_TMAP3IN)-(c_TMAP2IN)))+(c_TMAP2OUT)+IF(((c_TMAP3OUT)-(c_TMAP2OUT))&gt;=0,IF(IF(o_WRAP=1,MOD(((c_TMAP3IN)-(c_TMAP2IN))*(((A570)-(c_TMAP2IN))*((c_TMAP3OUT)-(c_TMAP2OUT))+IF(((c_TMAP3OUT)-(c_TMAP2OUT))&gt;=0,1,-1)*QUOTIENT(((c_TMAP3IN)-(c_TMAP2IN)),2))+2147483648,4294967296)-2147483648,((c_TMAP3IN)-(c_TMAP2IN))*(((A570)-(c_TMAP2IN))*((c_TMAP3OUT)-(c_TMAP2OUT))+IF(((c_TMAP3OUT)-(c_TMAP2OUT))&gt;=0,1,-1)*QUOTIENT(((c_TMAP3IN)-(c_TMAP2IN)),2)))&lt;0,-1,0),IF(IF(o_WRAP=1,MOD(((c_TMAP3IN)-(c_TMAP2IN))*(((A570)-(c_TMAP2IN))*((c_TMAP3OUT)-(c_TMAP2OUT))+IF(((c_TMAP3OUT)-(c_TMAP2OUT))&gt;=0,1,-1)*QUOTIENT(((c_TMAP3IN)-(c_TMAP2IN)),2))+2147483648,4294967296)-2147483648,((c_TMAP3IN)-(c_TMAP2IN))*(((A570)-(c_TMAP2IN))*((c_TMAP3OUT)-(c_TMAP2OUT))+IF(((c_TMAP3OUT)-(c_TMAP2OUT))&gt;=0,1,-1)*QUOTIENT(((c_TMAP3IN)-(c_TMAP2IN)),2)))&gt;=0,1,0)))</f>
        <v>351</v>
      </c>
      <c r="G570" s="7" t="n">
        <f aca="false">IF(((1000)-(c_TMAP3IN))=0,(c_TMAP3OUT)+QUOTIENT(((1000)-(c_TMAP3OUT)),2),QUOTIENT((((A570)-(c_TMAP3IN))*((1000)-(c_TMAP3OUT))+IF(((1000)-(c_TMAP3OUT))&gt;=0,1,-1)*QUOTIENT(((1000)-(c_TMAP3IN)),2)),((1000)-(c_TMAP3IN)))+(c_TMAP3OUT)+IF(((1000)-(c_TMAP3OUT))&gt;=0,IF(IF(o_WRAP=1,MOD(((1000)-(c_TMAP3IN))*(((A570)-(c_TMAP3IN))*((1000)-(c_TMAP3OUT))+IF(((1000)-(c_TMAP3OUT))&gt;=0,1,-1)*QUOTIENT(((1000)-(c_TMAP3IN)),2))+2147483648,4294967296)-2147483648,((1000)-(c_TMAP3IN))*(((A570)-(c_TMAP3IN))*((1000)-(c_TMAP3OUT))+IF(((1000)-(c_TMAP3OUT))&gt;=0,1,-1)*QUOTIENT(((1000)-(c_TMAP3IN)),2)))&lt;0,-1,0),IF(IF(o_WRAP=1,MOD(((1000)-(c_TMAP3IN))*(((A570)-(c_TMAP3IN))*((1000)-(c_TMAP3OUT))+IF(((1000)-(c_TMAP3OUT))&gt;=0,1,-1)*QUOTIENT(((1000)-(c_TMAP3IN)),2))+2147483648,4294967296)-2147483648,((1000)-(c_TMAP3IN))*(((A570)-(c_TMAP3IN))*((1000)-(c_TMAP3OUT))+IF(((1000)-(c_TMAP3OUT))&gt;=0,1,-1)*QUOTIENT(((1000)-(c_TMAP3IN)),2)))&gt;=0,1,0)))</f>
        <v>465</v>
      </c>
      <c r="H570" s="7" t="str">
        <f aca="false">IF(A570&gt;=c_TFWD,IF(AND(A570&gt;=c_TMAP3IN,c_TMAP3IN&lt;1000),"Seg4 map3-100%",IF(AND(A570&gt;=c_TMAP2IN,c_TMAP3IN&gt;c_TMAP2IN),"Seg3 map2-map3",IF(AND(A570&gt;=c_TMAP1IN,c_TMAP2IN&gt;c_TMAP1IN),"Seg2 map1-map2","Seg1 TFWD-map1"))),IF(AND(A570=0,c_TCREEP&gt;0),"Creep",IF(AND(A570&lt;=c_TRNGMIN,A570&gt;=c_TRNGMAX,c_TRNGMIN-c_TRNGMAX&lt;&gt;0),"Regen ramp","Coast (0)")))</f>
        <v>Seg4 map3-100%</v>
      </c>
      <c r="I570" s="7" t="n">
        <f aca="false">IF(A570&gt;=c_TFWD,IF(AND(A570&gt;=c_TMAP3IN,c_TMAP3IN&lt;1000),G570,IF(AND(A570&gt;=c_TMAP2IN,c_TMAP3IN&gt;c_TMAP2IN),F570,IF(AND(A570&gt;=c_TMAP1IN,c_TMAP2IN&gt;c_TMAP1IN),E570,D570))),C570)</f>
        <v>465</v>
      </c>
      <c r="J570" s="7" t="str">
        <f aca="false">IF(I570&lt;-1090,"TOO LOW",IF(I570&gt;1090,"TOO HIGH",""))</f>
        <v/>
      </c>
      <c r="K570" s="15" t="n">
        <f aca="false">IF(J570&lt;&gt;"",0,IF(I570&gt;979,1000,I570))</f>
        <v>465</v>
      </c>
      <c r="L570" s="7" t="n">
        <f aca="false">K570/10</f>
        <v>46.5</v>
      </c>
    </row>
    <row r="571" customFormat="false" ht="15" hidden="false" customHeight="false" outlineLevel="0" collapsed="false">
      <c r="A571" s="7" t="n">
        <v>566</v>
      </c>
      <c r="B571" s="7" t="n">
        <f aca="false">A571/10</f>
        <v>56.6</v>
      </c>
      <c r="C571" s="7" t="n">
        <f aca="false">IF(AND(A571=0,c_TCREEP&gt;0),10*c_TCREEP,IF(AND(A571&lt;=c_TRNGMIN,A571&gt;=c_TRNGMAX,c_TRNGMIN-c_TRNGMAX&lt;&gt;0),-10*c_TMINRN+QUOTIENT((c_TMAXRN-c_TMINRN)*(100-QUOTIENT((A571-c_TRNGMAX)*100,c_TRNGMIN-c_TRNGMAX)),-10),0))</f>
        <v>0</v>
      </c>
      <c r="D571" s="7" t="n">
        <f aca="false">IF(((c_TMAP1IN)-(c_TFWD))=0,(0)+QUOTIENT(((c_TMAP1OUT)-(0)),2),QUOTIENT((((A571)-(c_TFWD))*((c_TMAP1OUT)-(0))+IF(((c_TMAP1OUT)-(0))&gt;=0,1,-1)*QUOTIENT(((c_TMAP1IN)-(c_TFWD)),2)),((c_TMAP1IN)-(c_TFWD)))+(0)+IF(((c_TMAP1OUT)-(0))&gt;=0,IF(IF(o_WRAP=1,MOD(((c_TMAP1IN)-(c_TFWD))*(((A571)-(c_TFWD))*((c_TMAP1OUT)-(0))+IF(((c_TMAP1OUT)-(0))&gt;=0,1,-1)*QUOTIENT(((c_TMAP1IN)-(c_TFWD)),2))+2147483648,4294967296)-2147483648,((c_TMAP1IN)-(c_TFWD))*(((A571)-(c_TFWD))*((c_TMAP1OUT)-(0))+IF(((c_TMAP1OUT)-(0))&gt;=0,1,-1)*QUOTIENT(((c_TMAP1IN)-(c_TFWD)),2)))&lt;0,-1,0),IF(IF(o_WRAP=1,MOD(((c_TMAP1IN)-(c_TFWD))*(((A571)-(c_TFWD))*((c_TMAP1OUT)-(0))+IF(((c_TMAP1OUT)-(0))&gt;=0,1,-1)*QUOTIENT(((c_TMAP1IN)-(c_TFWD)),2))+2147483648,4294967296)-2147483648,((c_TMAP1IN)-(c_TFWD))*(((A571)-(c_TFWD))*((c_TMAP1OUT)-(0))+IF(((c_TMAP1OUT)-(0))&gt;=0,1,-1)*QUOTIENT(((c_TMAP1IN)-(c_TFWD)),2)))&gt;=0,1,0)))</f>
        <v>432</v>
      </c>
      <c r="E571" s="7" t="n">
        <f aca="false">IF(((c_TMAP2IN)-(c_TMAP1IN))=0,(c_TMAP1OUT)+QUOTIENT(((c_TMAP2OUT)-(c_TMAP1OUT)),2),QUOTIENT((((A571)-(c_TMAP1IN))*((c_TMAP2OUT)-(c_TMAP1OUT))+IF(((c_TMAP2OUT)-(c_TMAP1OUT))&gt;=0,1,-1)*QUOTIENT(((c_TMAP2IN)-(c_TMAP1IN)),2)),((c_TMAP2IN)-(c_TMAP1IN)))+(c_TMAP1OUT)+IF(((c_TMAP2OUT)-(c_TMAP1OUT))&gt;=0,IF(IF(o_WRAP=1,MOD(((c_TMAP2IN)-(c_TMAP1IN))*(((A571)-(c_TMAP1IN))*((c_TMAP2OUT)-(c_TMAP1OUT))+IF(((c_TMAP2OUT)-(c_TMAP1OUT))&gt;=0,1,-1)*QUOTIENT(((c_TMAP2IN)-(c_TMAP1IN)),2))+2147483648,4294967296)-2147483648,((c_TMAP2IN)-(c_TMAP1IN))*(((A571)-(c_TMAP1IN))*((c_TMAP2OUT)-(c_TMAP1OUT))+IF(((c_TMAP2OUT)-(c_TMAP1OUT))&gt;=0,1,-1)*QUOTIENT(((c_TMAP2IN)-(c_TMAP1IN)),2)))&lt;0,-1,0),IF(IF(o_WRAP=1,MOD(((c_TMAP2IN)-(c_TMAP1IN))*(((A571)-(c_TMAP1IN))*((c_TMAP2OUT)-(c_TMAP1OUT))+IF(((c_TMAP2OUT)-(c_TMAP1OUT))&gt;=0,1,-1)*QUOTIENT(((c_TMAP2IN)-(c_TMAP1IN)),2))+2147483648,4294967296)-2147483648,((c_TMAP2IN)-(c_TMAP1IN))*(((A571)-(c_TMAP1IN))*((c_TMAP2OUT)-(c_TMAP1OUT))+IF(((c_TMAP2OUT)-(c_TMAP1OUT))&gt;=0,1,-1)*QUOTIENT(((c_TMAP2IN)-(c_TMAP1IN)),2)))&gt;=0,1,0)))</f>
        <v>256</v>
      </c>
      <c r="F571" s="7" t="n">
        <f aca="false">IF(((c_TMAP3IN)-(c_TMAP2IN))=0,(c_TMAP2OUT)+QUOTIENT(((c_TMAP3OUT)-(c_TMAP2OUT)),2),QUOTIENT((((A571)-(c_TMAP2IN))*((c_TMAP3OUT)-(c_TMAP2OUT))+IF(((c_TMAP3OUT)-(c_TMAP2OUT))&gt;=0,1,-1)*QUOTIENT(((c_TMAP3IN)-(c_TMAP2IN)),2)),((c_TMAP3IN)-(c_TMAP2IN)))+(c_TMAP2OUT)+IF(((c_TMAP3OUT)-(c_TMAP2OUT))&gt;=0,IF(IF(o_WRAP=1,MOD(((c_TMAP3IN)-(c_TMAP2IN))*(((A571)-(c_TMAP2IN))*((c_TMAP3OUT)-(c_TMAP2OUT))+IF(((c_TMAP3OUT)-(c_TMAP2OUT))&gt;=0,1,-1)*QUOTIENT(((c_TMAP3IN)-(c_TMAP2IN)),2))+2147483648,4294967296)-2147483648,((c_TMAP3IN)-(c_TMAP2IN))*(((A571)-(c_TMAP2IN))*((c_TMAP3OUT)-(c_TMAP2OUT))+IF(((c_TMAP3OUT)-(c_TMAP2OUT))&gt;=0,1,-1)*QUOTIENT(((c_TMAP3IN)-(c_TMAP2IN)),2)))&lt;0,-1,0),IF(IF(o_WRAP=1,MOD(((c_TMAP3IN)-(c_TMAP2IN))*(((A571)-(c_TMAP2IN))*((c_TMAP3OUT)-(c_TMAP2OUT))+IF(((c_TMAP3OUT)-(c_TMAP2OUT))&gt;=0,1,-1)*QUOTIENT(((c_TMAP3IN)-(c_TMAP2IN)),2))+2147483648,4294967296)-2147483648,((c_TMAP3IN)-(c_TMAP2IN))*(((A571)-(c_TMAP2IN))*((c_TMAP3OUT)-(c_TMAP2OUT))+IF(((c_TMAP3OUT)-(c_TMAP2OUT))&gt;=0,1,-1)*QUOTIENT(((c_TMAP3IN)-(c_TMAP2IN)),2)))&gt;=0,1,0)))</f>
        <v>351</v>
      </c>
      <c r="G571" s="7" t="n">
        <f aca="false">IF(((1000)-(c_TMAP3IN))=0,(c_TMAP3OUT)+QUOTIENT(((1000)-(c_TMAP3OUT)),2),QUOTIENT((((A571)-(c_TMAP3IN))*((1000)-(c_TMAP3OUT))+IF(((1000)-(c_TMAP3OUT))&gt;=0,1,-1)*QUOTIENT(((1000)-(c_TMAP3IN)),2)),((1000)-(c_TMAP3IN)))+(c_TMAP3OUT)+IF(((1000)-(c_TMAP3OUT))&gt;=0,IF(IF(o_WRAP=1,MOD(((1000)-(c_TMAP3IN))*(((A571)-(c_TMAP3IN))*((1000)-(c_TMAP3OUT))+IF(((1000)-(c_TMAP3OUT))&gt;=0,1,-1)*QUOTIENT(((1000)-(c_TMAP3IN)),2))+2147483648,4294967296)-2147483648,((1000)-(c_TMAP3IN))*(((A571)-(c_TMAP3IN))*((1000)-(c_TMAP3OUT))+IF(((1000)-(c_TMAP3OUT))&gt;=0,1,-1)*QUOTIENT(((1000)-(c_TMAP3IN)),2)))&lt;0,-1,0),IF(IF(o_WRAP=1,MOD(((1000)-(c_TMAP3IN))*(((A571)-(c_TMAP3IN))*((1000)-(c_TMAP3OUT))+IF(((1000)-(c_TMAP3OUT))&gt;=0,1,-1)*QUOTIENT(((1000)-(c_TMAP3IN)),2))+2147483648,4294967296)-2147483648,((1000)-(c_TMAP3IN))*(((A571)-(c_TMAP3IN))*((1000)-(c_TMAP3OUT))+IF(((1000)-(c_TMAP3OUT))&gt;=0,1,-1)*QUOTIENT(((1000)-(c_TMAP3IN)),2)))&gt;=0,1,0)))</f>
        <v>466</v>
      </c>
      <c r="H571" s="7" t="str">
        <f aca="false">IF(A571&gt;=c_TFWD,IF(AND(A571&gt;=c_TMAP3IN,c_TMAP3IN&lt;1000),"Seg4 map3-100%",IF(AND(A571&gt;=c_TMAP2IN,c_TMAP3IN&gt;c_TMAP2IN),"Seg3 map2-map3",IF(AND(A571&gt;=c_TMAP1IN,c_TMAP2IN&gt;c_TMAP1IN),"Seg2 map1-map2","Seg1 TFWD-map1"))),IF(AND(A571=0,c_TCREEP&gt;0),"Creep",IF(AND(A571&lt;=c_TRNGMIN,A571&gt;=c_TRNGMAX,c_TRNGMIN-c_TRNGMAX&lt;&gt;0),"Regen ramp","Coast (0)")))</f>
        <v>Seg4 map3-100%</v>
      </c>
      <c r="I571" s="7" t="n">
        <f aca="false">IF(A571&gt;=c_TFWD,IF(AND(A571&gt;=c_TMAP3IN,c_TMAP3IN&lt;1000),G571,IF(AND(A571&gt;=c_TMAP2IN,c_TMAP3IN&gt;c_TMAP2IN),F571,IF(AND(A571&gt;=c_TMAP1IN,c_TMAP2IN&gt;c_TMAP1IN),E571,D571))),C571)</f>
        <v>466</v>
      </c>
      <c r="J571" s="7" t="str">
        <f aca="false">IF(I571&lt;-1090,"TOO LOW",IF(I571&gt;1090,"TOO HIGH",""))</f>
        <v/>
      </c>
      <c r="K571" s="15" t="n">
        <f aca="false">IF(J571&lt;&gt;"",0,IF(I571&gt;979,1000,I571))</f>
        <v>466</v>
      </c>
      <c r="L571" s="7" t="n">
        <f aca="false">K571/10</f>
        <v>46.6</v>
      </c>
    </row>
    <row r="572" customFormat="false" ht="15" hidden="false" customHeight="false" outlineLevel="0" collapsed="false">
      <c r="A572" s="7" t="n">
        <v>567</v>
      </c>
      <c r="B572" s="7" t="n">
        <f aca="false">A572/10</f>
        <v>56.7</v>
      </c>
      <c r="C572" s="7" t="n">
        <f aca="false">IF(AND(A572=0,c_TCREEP&gt;0),10*c_TCREEP,IF(AND(A572&lt;=c_TRNGMIN,A572&gt;=c_TRNGMAX,c_TRNGMIN-c_TRNGMAX&lt;&gt;0),-10*c_TMINRN+QUOTIENT((c_TMAXRN-c_TMINRN)*(100-QUOTIENT((A572-c_TRNGMAX)*100,c_TRNGMIN-c_TRNGMAX)),-10),0))</f>
        <v>0</v>
      </c>
      <c r="D572" s="7" t="n">
        <f aca="false">IF(((c_TMAP1IN)-(c_TFWD))=0,(0)+QUOTIENT(((c_TMAP1OUT)-(0)),2),QUOTIENT((((A572)-(c_TFWD))*((c_TMAP1OUT)-(0))+IF(((c_TMAP1OUT)-(0))&gt;=0,1,-1)*QUOTIENT(((c_TMAP1IN)-(c_TFWD)),2)),((c_TMAP1IN)-(c_TFWD)))+(0)+IF(((c_TMAP1OUT)-(0))&gt;=0,IF(IF(o_WRAP=1,MOD(((c_TMAP1IN)-(c_TFWD))*(((A572)-(c_TFWD))*((c_TMAP1OUT)-(0))+IF(((c_TMAP1OUT)-(0))&gt;=0,1,-1)*QUOTIENT(((c_TMAP1IN)-(c_TFWD)),2))+2147483648,4294967296)-2147483648,((c_TMAP1IN)-(c_TFWD))*(((A572)-(c_TFWD))*((c_TMAP1OUT)-(0))+IF(((c_TMAP1OUT)-(0))&gt;=0,1,-1)*QUOTIENT(((c_TMAP1IN)-(c_TFWD)),2)))&lt;0,-1,0),IF(IF(o_WRAP=1,MOD(((c_TMAP1IN)-(c_TFWD))*(((A572)-(c_TFWD))*((c_TMAP1OUT)-(0))+IF(((c_TMAP1OUT)-(0))&gt;=0,1,-1)*QUOTIENT(((c_TMAP1IN)-(c_TFWD)),2))+2147483648,4294967296)-2147483648,((c_TMAP1IN)-(c_TFWD))*(((A572)-(c_TFWD))*((c_TMAP1OUT)-(0))+IF(((c_TMAP1OUT)-(0))&gt;=0,1,-1)*QUOTIENT(((c_TMAP1IN)-(c_TFWD)),2)))&gt;=0,1,0)))</f>
        <v>433</v>
      </c>
      <c r="E572" s="7" t="n">
        <f aca="false">IF(((c_TMAP2IN)-(c_TMAP1IN))=0,(c_TMAP1OUT)+QUOTIENT(((c_TMAP2OUT)-(c_TMAP1OUT)),2),QUOTIENT((((A572)-(c_TMAP1IN))*((c_TMAP2OUT)-(c_TMAP1OUT))+IF(((c_TMAP2OUT)-(c_TMAP1OUT))&gt;=0,1,-1)*QUOTIENT(((c_TMAP2IN)-(c_TMAP1IN)),2)),((c_TMAP2IN)-(c_TMAP1IN)))+(c_TMAP1OUT)+IF(((c_TMAP2OUT)-(c_TMAP1OUT))&gt;=0,IF(IF(o_WRAP=1,MOD(((c_TMAP2IN)-(c_TMAP1IN))*(((A572)-(c_TMAP1IN))*((c_TMAP2OUT)-(c_TMAP1OUT))+IF(((c_TMAP2OUT)-(c_TMAP1OUT))&gt;=0,1,-1)*QUOTIENT(((c_TMAP2IN)-(c_TMAP1IN)),2))+2147483648,4294967296)-2147483648,((c_TMAP2IN)-(c_TMAP1IN))*(((A572)-(c_TMAP1IN))*((c_TMAP2OUT)-(c_TMAP1OUT))+IF(((c_TMAP2OUT)-(c_TMAP1OUT))&gt;=0,1,-1)*QUOTIENT(((c_TMAP2IN)-(c_TMAP1IN)),2)))&lt;0,-1,0),IF(IF(o_WRAP=1,MOD(((c_TMAP2IN)-(c_TMAP1IN))*(((A572)-(c_TMAP1IN))*((c_TMAP2OUT)-(c_TMAP1OUT))+IF(((c_TMAP2OUT)-(c_TMAP1OUT))&gt;=0,1,-1)*QUOTIENT(((c_TMAP2IN)-(c_TMAP1IN)),2))+2147483648,4294967296)-2147483648,((c_TMAP2IN)-(c_TMAP1IN))*(((A572)-(c_TMAP1IN))*((c_TMAP2OUT)-(c_TMAP1OUT))+IF(((c_TMAP2OUT)-(c_TMAP1OUT))&gt;=0,1,-1)*QUOTIENT(((c_TMAP2IN)-(c_TMAP1IN)),2)))&gt;=0,1,0)))</f>
        <v>257</v>
      </c>
      <c r="F572" s="7" t="n">
        <f aca="false">IF(((c_TMAP3IN)-(c_TMAP2IN))=0,(c_TMAP2OUT)+QUOTIENT(((c_TMAP3OUT)-(c_TMAP2OUT)),2),QUOTIENT((((A572)-(c_TMAP2IN))*((c_TMAP3OUT)-(c_TMAP2OUT))+IF(((c_TMAP3OUT)-(c_TMAP2OUT))&gt;=0,1,-1)*QUOTIENT(((c_TMAP3IN)-(c_TMAP2IN)),2)),((c_TMAP3IN)-(c_TMAP2IN)))+(c_TMAP2OUT)+IF(((c_TMAP3OUT)-(c_TMAP2OUT))&gt;=0,IF(IF(o_WRAP=1,MOD(((c_TMAP3IN)-(c_TMAP2IN))*(((A572)-(c_TMAP2IN))*((c_TMAP3OUT)-(c_TMAP2OUT))+IF(((c_TMAP3OUT)-(c_TMAP2OUT))&gt;=0,1,-1)*QUOTIENT(((c_TMAP3IN)-(c_TMAP2IN)),2))+2147483648,4294967296)-2147483648,((c_TMAP3IN)-(c_TMAP2IN))*(((A572)-(c_TMAP2IN))*((c_TMAP3OUT)-(c_TMAP2OUT))+IF(((c_TMAP3OUT)-(c_TMAP2OUT))&gt;=0,1,-1)*QUOTIENT(((c_TMAP3IN)-(c_TMAP2IN)),2)))&lt;0,-1,0),IF(IF(o_WRAP=1,MOD(((c_TMAP3IN)-(c_TMAP2IN))*(((A572)-(c_TMAP2IN))*((c_TMAP3OUT)-(c_TMAP2OUT))+IF(((c_TMAP3OUT)-(c_TMAP2OUT))&gt;=0,1,-1)*QUOTIENT(((c_TMAP3IN)-(c_TMAP2IN)),2))+2147483648,4294967296)-2147483648,((c_TMAP3IN)-(c_TMAP2IN))*(((A572)-(c_TMAP2IN))*((c_TMAP3OUT)-(c_TMAP2OUT))+IF(((c_TMAP3OUT)-(c_TMAP2OUT))&gt;=0,1,-1)*QUOTIENT(((c_TMAP3IN)-(c_TMAP2IN)),2)))&gt;=0,1,0)))</f>
        <v>352</v>
      </c>
      <c r="G572" s="7" t="n">
        <f aca="false">IF(((1000)-(c_TMAP3IN))=0,(c_TMAP3OUT)+QUOTIENT(((1000)-(c_TMAP3OUT)),2),QUOTIENT((((A572)-(c_TMAP3IN))*((1000)-(c_TMAP3OUT))+IF(((1000)-(c_TMAP3OUT))&gt;=0,1,-1)*QUOTIENT(((1000)-(c_TMAP3IN)),2)),((1000)-(c_TMAP3IN)))+(c_TMAP3OUT)+IF(((1000)-(c_TMAP3OUT))&gt;=0,IF(IF(o_WRAP=1,MOD(((1000)-(c_TMAP3IN))*(((A572)-(c_TMAP3IN))*((1000)-(c_TMAP3OUT))+IF(((1000)-(c_TMAP3OUT))&gt;=0,1,-1)*QUOTIENT(((1000)-(c_TMAP3IN)),2))+2147483648,4294967296)-2147483648,((1000)-(c_TMAP3IN))*(((A572)-(c_TMAP3IN))*((1000)-(c_TMAP3OUT))+IF(((1000)-(c_TMAP3OUT))&gt;=0,1,-1)*QUOTIENT(((1000)-(c_TMAP3IN)),2)))&lt;0,-1,0),IF(IF(o_WRAP=1,MOD(((1000)-(c_TMAP3IN))*(((A572)-(c_TMAP3IN))*((1000)-(c_TMAP3OUT))+IF(((1000)-(c_TMAP3OUT))&gt;=0,1,-1)*QUOTIENT(((1000)-(c_TMAP3IN)),2))+2147483648,4294967296)-2147483648,((1000)-(c_TMAP3IN))*(((A572)-(c_TMAP3IN))*((1000)-(c_TMAP3OUT))+IF(((1000)-(c_TMAP3OUT))&gt;=0,1,-1)*QUOTIENT(((1000)-(c_TMAP3IN)),2)))&gt;=0,1,0)))</f>
        <v>467</v>
      </c>
      <c r="H572" s="7" t="str">
        <f aca="false">IF(A572&gt;=c_TFWD,IF(AND(A572&gt;=c_TMAP3IN,c_TMAP3IN&lt;1000),"Seg4 map3-100%",IF(AND(A572&gt;=c_TMAP2IN,c_TMAP3IN&gt;c_TMAP2IN),"Seg3 map2-map3",IF(AND(A572&gt;=c_TMAP1IN,c_TMAP2IN&gt;c_TMAP1IN),"Seg2 map1-map2","Seg1 TFWD-map1"))),IF(AND(A572=0,c_TCREEP&gt;0),"Creep",IF(AND(A572&lt;=c_TRNGMIN,A572&gt;=c_TRNGMAX,c_TRNGMIN-c_TRNGMAX&lt;&gt;0),"Regen ramp","Coast (0)")))</f>
        <v>Seg4 map3-100%</v>
      </c>
      <c r="I572" s="7" t="n">
        <f aca="false">IF(A572&gt;=c_TFWD,IF(AND(A572&gt;=c_TMAP3IN,c_TMAP3IN&lt;1000),G572,IF(AND(A572&gt;=c_TMAP2IN,c_TMAP3IN&gt;c_TMAP2IN),F572,IF(AND(A572&gt;=c_TMAP1IN,c_TMAP2IN&gt;c_TMAP1IN),E572,D572))),C572)</f>
        <v>467</v>
      </c>
      <c r="J572" s="7" t="str">
        <f aca="false">IF(I572&lt;-1090,"TOO LOW",IF(I572&gt;1090,"TOO HIGH",""))</f>
        <v/>
      </c>
      <c r="K572" s="15" t="n">
        <f aca="false">IF(J572&lt;&gt;"",0,IF(I572&gt;979,1000,I572))</f>
        <v>467</v>
      </c>
      <c r="L572" s="7" t="n">
        <f aca="false">K572/10</f>
        <v>46.7</v>
      </c>
    </row>
    <row r="573" customFormat="false" ht="15" hidden="false" customHeight="false" outlineLevel="0" collapsed="false">
      <c r="A573" s="7" t="n">
        <v>568</v>
      </c>
      <c r="B573" s="7" t="n">
        <f aca="false">A573/10</f>
        <v>56.8</v>
      </c>
      <c r="C573" s="7" t="n">
        <f aca="false">IF(AND(A573=0,c_TCREEP&gt;0),10*c_TCREEP,IF(AND(A573&lt;=c_TRNGMIN,A573&gt;=c_TRNGMAX,c_TRNGMIN-c_TRNGMAX&lt;&gt;0),-10*c_TMINRN+QUOTIENT((c_TMAXRN-c_TMINRN)*(100-QUOTIENT((A573-c_TRNGMAX)*100,c_TRNGMIN-c_TRNGMAX)),-10),0))</f>
        <v>0</v>
      </c>
      <c r="D573" s="7" t="n">
        <f aca="false">IF(((c_TMAP1IN)-(c_TFWD))=0,(0)+QUOTIENT(((c_TMAP1OUT)-(0)),2),QUOTIENT((((A573)-(c_TFWD))*((c_TMAP1OUT)-(0))+IF(((c_TMAP1OUT)-(0))&gt;=0,1,-1)*QUOTIENT(((c_TMAP1IN)-(c_TFWD)),2)),((c_TMAP1IN)-(c_TFWD)))+(0)+IF(((c_TMAP1OUT)-(0))&gt;=0,IF(IF(o_WRAP=1,MOD(((c_TMAP1IN)-(c_TFWD))*(((A573)-(c_TFWD))*((c_TMAP1OUT)-(0))+IF(((c_TMAP1OUT)-(0))&gt;=0,1,-1)*QUOTIENT(((c_TMAP1IN)-(c_TFWD)),2))+2147483648,4294967296)-2147483648,((c_TMAP1IN)-(c_TFWD))*(((A573)-(c_TFWD))*((c_TMAP1OUT)-(0))+IF(((c_TMAP1OUT)-(0))&gt;=0,1,-1)*QUOTIENT(((c_TMAP1IN)-(c_TFWD)),2)))&lt;0,-1,0),IF(IF(o_WRAP=1,MOD(((c_TMAP1IN)-(c_TFWD))*(((A573)-(c_TFWD))*((c_TMAP1OUT)-(0))+IF(((c_TMAP1OUT)-(0))&gt;=0,1,-1)*QUOTIENT(((c_TMAP1IN)-(c_TFWD)),2))+2147483648,4294967296)-2147483648,((c_TMAP1IN)-(c_TFWD))*(((A573)-(c_TFWD))*((c_TMAP1OUT)-(0))+IF(((c_TMAP1OUT)-(0))&gt;=0,1,-1)*QUOTIENT(((c_TMAP1IN)-(c_TFWD)),2)))&gt;=0,1,0)))</f>
        <v>434</v>
      </c>
      <c r="E573" s="7" t="n">
        <f aca="false">IF(((c_TMAP2IN)-(c_TMAP1IN))=0,(c_TMAP1OUT)+QUOTIENT(((c_TMAP2OUT)-(c_TMAP1OUT)),2),QUOTIENT((((A573)-(c_TMAP1IN))*((c_TMAP2OUT)-(c_TMAP1OUT))+IF(((c_TMAP2OUT)-(c_TMAP1OUT))&gt;=0,1,-1)*QUOTIENT(((c_TMAP2IN)-(c_TMAP1IN)),2)),((c_TMAP2IN)-(c_TMAP1IN)))+(c_TMAP1OUT)+IF(((c_TMAP2OUT)-(c_TMAP1OUT))&gt;=0,IF(IF(o_WRAP=1,MOD(((c_TMAP2IN)-(c_TMAP1IN))*(((A573)-(c_TMAP1IN))*((c_TMAP2OUT)-(c_TMAP1OUT))+IF(((c_TMAP2OUT)-(c_TMAP1OUT))&gt;=0,1,-1)*QUOTIENT(((c_TMAP2IN)-(c_TMAP1IN)),2))+2147483648,4294967296)-2147483648,((c_TMAP2IN)-(c_TMAP1IN))*(((A573)-(c_TMAP1IN))*((c_TMAP2OUT)-(c_TMAP1OUT))+IF(((c_TMAP2OUT)-(c_TMAP1OUT))&gt;=0,1,-1)*QUOTIENT(((c_TMAP2IN)-(c_TMAP1IN)),2)))&lt;0,-1,0),IF(IF(o_WRAP=1,MOD(((c_TMAP2IN)-(c_TMAP1IN))*(((A573)-(c_TMAP1IN))*((c_TMAP2OUT)-(c_TMAP1OUT))+IF(((c_TMAP2OUT)-(c_TMAP1OUT))&gt;=0,1,-1)*QUOTIENT(((c_TMAP2IN)-(c_TMAP1IN)),2))+2147483648,4294967296)-2147483648,((c_TMAP2IN)-(c_TMAP1IN))*(((A573)-(c_TMAP1IN))*((c_TMAP2OUT)-(c_TMAP1OUT))+IF(((c_TMAP2OUT)-(c_TMAP1OUT))&gt;=0,1,-1)*QUOTIENT(((c_TMAP2IN)-(c_TMAP1IN)),2)))&gt;=0,1,0)))</f>
        <v>257</v>
      </c>
      <c r="F573" s="7" t="n">
        <f aca="false">IF(((c_TMAP3IN)-(c_TMAP2IN))=0,(c_TMAP2OUT)+QUOTIENT(((c_TMAP3OUT)-(c_TMAP2OUT)),2),QUOTIENT((((A573)-(c_TMAP2IN))*((c_TMAP3OUT)-(c_TMAP2OUT))+IF(((c_TMAP3OUT)-(c_TMAP2OUT))&gt;=0,1,-1)*QUOTIENT(((c_TMAP3IN)-(c_TMAP2IN)),2)),((c_TMAP3IN)-(c_TMAP2IN)))+(c_TMAP2OUT)+IF(((c_TMAP3OUT)-(c_TMAP2OUT))&gt;=0,IF(IF(o_WRAP=1,MOD(((c_TMAP3IN)-(c_TMAP2IN))*(((A573)-(c_TMAP2IN))*((c_TMAP3OUT)-(c_TMAP2OUT))+IF(((c_TMAP3OUT)-(c_TMAP2OUT))&gt;=0,1,-1)*QUOTIENT(((c_TMAP3IN)-(c_TMAP2IN)),2))+2147483648,4294967296)-2147483648,((c_TMAP3IN)-(c_TMAP2IN))*(((A573)-(c_TMAP2IN))*((c_TMAP3OUT)-(c_TMAP2OUT))+IF(((c_TMAP3OUT)-(c_TMAP2OUT))&gt;=0,1,-1)*QUOTIENT(((c_TMAP3IN)-(c_TMAP2IN)),2)))&lt;0,-1,0),IF(IF(o_WRAP=1,MOD(((c_TMAP3IN)-(c_TMAP2IN))*(((A573)-(c_TMAP2IN))*((c_TMAP3OUT)-(c_TMAP2OUT))+IF(((c_TMAP3OUT)-(c_TMAP2OUT))&gt;=0,1,-1)*QUOTIENT(((c_TMAP3IN)-(c_TMAP2IN)),2))+2147483648,4294967296)-2147483648,((c_TMAP3IN)-(c_TMAP2IN))*(((A573)-(c_TMAP2IN))*((c_TMAP3OUT)-(c_TMAP2OUT))+IF(((c_TMAP3OUT)-(c_TMAP2OUT))&gt;=0,1,-1)*QUOTIENT(((c_TMAP3IN)-(c_TMAP2IN)),2)))&gt;=0,1,0)))</f>
        <v>353</v>
      </c>
      <c r="G573" s="7" t="n">
        <f aca="false">IF(((1000)-(c_TMAP3IN))=0,(c_TMAP3OUT)+QUOTIENT(((1000)-(c_TMAP3OUT)),2),QUOTIENT((((A573)-(c_TMAP3IN))*((1000)-(c_TMAP3OUT))+IF(((1000)-(c_TMAP3OUT))&gt;=0,1,-1)*QUOTIENT(((1000)-(c_TMAP3IN)),2)),((1000)-(c_TMAP3IN)))+(c_TMAP3OUT)+IF(((1000)-(c_TMAP3OUT))&gt;=0,IF(IF(o_WRAP=1,MOD(((1000)-(c_TMAP3IN))*(((A573)-(c_TMAP3IN))*((1000)-(c_TMAP3OUT))+IF(((1000)-(c_TMAP3OUT))&gt;=0,1,-1)*QUOTIENT(((1000)-(c_TMAP3IN)),2))+2147483648,4294967296)-2147483648,((1000)-(c_TMAP3IN))*(((A573)-(c_TMAP3IN))*((1000)-(c_TMAP3OUT))+IF(((1000)-(c_TMAP3OUT))&gt;=0,1,-1)*QUOTIENT(((1000)-(c_TMAP3IN)),2)))&lt;0,-1,0),IF(IF(o_WRAP=1,MOD(((1000)-(c_TMAP3IN))*(((A573)-(c_TMAP3IN))*((1000)-(c_TMAP3OUT))+IF(((1000)-(c_TMAP3OUT))&gt;=0,1,-1)*QUOTIENT(((1000)-(c_TMAP3IN)),2))+2147483648,4294967296)-2147483648,((1000)-(c_TMAP3IN))*(((A573)-(c_TMAP3IN))*((1000)-(c_TMAP3OUT))+IF(((1000)-(c_TMAP3OUT))&gt;=0,1,-1)*QUOTIENT(((1000)-(c_TMAP3IN)),2)))&gt;=0,1,0)))</f>
        <v>468</v>
      </c>
      <c r="H573" s="7" t="str">
        <f aca="false">IF(A573&gt;=c_TFWD,IF(AND(A573&gt;=c_TMAP3IN,c_TMAP3IN&lt;1000),"Seg4 map3-100%",IF(AND(A573&gt;=c_TMAP2IN,c_TMAP3IN&gt;c_TMAP2IN),"Seg3 map2-map3",IF(AND(A573&gt;=c_TMAP1IN,c_TMAP2IN&gt;c_TMAP1IN),"Seg2 map1-map2","Seg1 TFWD-map1"))),IF(AND(A573=0,c_TCREEP&gt;0),"Creep",IF(AND(A573&lt;=c_TRNGMIN,A573&gt;=c_TRNGMAX,c_TRNGMIN-c_TRNGMAX&lt;&gt;0),"Regen ramp","Coast (0)")))</f>
        <v>Seg4 map3-100%</v>
      </c>
      <c r="I573" s="7" t="n">
        <f aca="false">IF(A573&gt;=c_TFWD,IF(AND(A573&gt;=c_TMAP3IN,c_TMAP3IN&lt;1000),G573,IF(AND(A573&gt;=c_TMAP2IN,c_TMAP3IN&gt;c_TMAP2IN),F573,IF(AND(A573&gt;=c_TMAP1IN,c_TMAP2IN&gt;c_TMAP1IN),E573,D573))),C573)</f>
        <v>468</v>
      </c>
      <c r="J573" s="7" t="str">
        <f aca="false">IF(I573&lt;-1090,"TOO LOW",IF(I573&gt;1090,"TOO HIGH",""))</f>
        <v/>
      </c>
      <c r="K573" s="15" t="n">
        <f aca="false">IF(J573&lt;&gt;"",0,IF(I573&gt;979,1000,I573))</f>
        <v>468</v>
      </c>
      <c r="L573" s="7" t="n">
        <f aca="false">K573/10</f>
        <v>46.8</v>
      </c>
    </row>
    <row r="574" customFormat="false" ht="15" hidden="false" customHeight="false" outlineLevel="0" collapsed="false">
      <c r="A574" s="7" t="n">
        <v>569</v>
      </c>
      <c r="B574" s="7" t="n">
        <f aca="false">A574/10</f>
        <v>56.9</v>
      </c>
      <c r="C574" s="7" t="n">
        <f aca="false">IF(AND(A574=0,c_TCREEP&gt;0),10*c_TCREEP,IF(AND(A574&lt;=c_TRNGMIN,A574&gt;=c_TRNGMAX,c_TRNGMIN-c_TRNGMAX&lt;&gt;0),-10*c_TMINRN+QUOTIENT((c_TMAXRN-c_TMINRN)*(100-QUOTIENT((A574-c_TRNGMAX)*100,c_TRNGMIN-c_TRNGMAX)),-10),0))</f>
        <v>0</v>
      </c>
      <c r="D574" s="7" t="n">
        <f aca="false">IF(((c_TMAP1IN)-(c_TFWD))=0,(0)+QUOTIENT(((c_TMAP1OUT)-(0)),2),QUOTIENT((((A574)-(c_TFWD))*((c_TMAP1OUT)-(0))+IF(((c_TMAP1OUT)-(0))&gt;=0,1,-1)*QUOTIENT(((c_TMAP1IN)-(c_TFWD)),2)),((c_TMAP1IN)-(c_TFWD)))+(0)+IF(((c_TMAP1OUT)-(0))&gt;=0,IF(IF(o_WRAP=1,MOD(((c_TMAP1IN)-(c_TFWD))*(((A574)-(c_TFWD))*((c_TMAP1OUT)-(0))+IF(((c_TMAP1OUT)-(0))&gt;=0,1,-1)*QUOTIENT(((c_TMAP1IN)-(c_TFWD)),2))+2147483648,4294967296)-2147483648,((c_TMAP1IN)-(c_TFWD))*(((A574)-(c_TFWD))*((c_TMAP1OUT)-(0))+IF(((c_TMAP1OUT)-(0))&gt;=0,1,-1)*QUOTIENT(((c_TMAP1IN)-(c_TFWD)),2)))&lt;0,-1,0),IF(IF(o_WRAP=1,MOD(((c_TMAP1IN)-(c_TFWD))*(((A574)-(c_TFWD))*((c_TMAP1OUT)-(0))+IF(((c_TMAP1OUT)-(0))&gt;=0,1,-1)*QUOTIENT(((c_TMAP1IN)-(c_TFWD)),2))+2147483648,4294967296)-2147483648,((c_TMAP1IN)-(c_TFWD))*(((A574)-(c_TFWD))*((c_TMAP1OUT)-(0))+IF(((c_TMAP1OUT)-(0))&gt;=0,1,-1)*QUOTIENT(((c_TMAP1IN)-(c_TFWD)),2)))&gt;=0,1,0)))</f>
        <v>435</v>
      </c>
      <c r="E574" s="7" t="n">
        <f aca="false">IF(((c_TMAP2IN)-(c_TMAP1IN))=0,(c_TMAP1OUT)+QUOTIENT(((c_TMAP2OUT)-(c_TMAP1OUT)),2),QUOTIENT((((A574)-(c_TMAP1IN))*((c_TMAP2OUT)-(c_TMAP1OUT))+IF(((c_TMAP2OUT)-(c_TMAP1OUT))&gt;=0,1,-1)*QUOTIENT(((c_TMAP2IN)-(c_TMAP1IN)),2)),((c_TMAP2IN)-(c_TMAP1IN)))+(c_TMAP1OUT)+IF(((c_TMAP2OUT)-(c_TMAP1OUT))&gt;=0,IF(IF(o_WRAP=1,MOD(((c_TMAP2IN)-(c_TMAP1IN))*(((A574)-(c_TMAP1IN))*((c_TMAP2OUT)-(c_TMAP1OUT))+IF(((c_TMAP2OUT)-(c_TMAP1OUT))&gt;=0,1,-1)*QUOTIENT(((c_TMAP2IN)-(c_TMAP1IN)),2))+2147483648,4294967296)-2147483648,((c_TMAP2IN)-(c_TMAP1IN))*(((A574)-(c_TMAP1IN))*((c_TMAP2OUT)-(c_TMAP1OUT))+IF(((c_TMAP2OUT)-(c_TMAP1OUT))&gt;=0,1,-1)*QUOTIENT(((c_TMAP2IN)-(c_TMAP1IN)),2)))&lt;0,-1,0),IF(IF(o_WRAP=1,MOD(((c_TMAP2IN)-(c_TMAP1IN))*(((A574)-(c_TMAP1IN))*((c_TMAP2OUT)-(c_TMAP1OUT))+IF(((c_TMAP2OUT)-(c_TMAP1OUT))&gt;=0,1,-1)*QUOTIENT(((c_TMAP2IN)-(c_TMAP1IN)),2))+2147483648,4294967296)-2147483648,((c_TMAP2IN)-(c_TMAP1IN))*(((A574)-(c_TMAP1IN))*((c_TMAP2OUT)-(c_TMAP1OUT))+IF(((c_TMAP2OUT)-(c_TMAP1OUT))&gt;=0,1,-1)*QUOTIENT(((c_TMAP2IN)-(c_TMAP1IN)),2)))&gt;=0,1,0)))</f>
        <v>258</v>
      </c>
      <c r="F574" s="7" t="n">
        <f aca="false">IF(((c_TMAP3IN)-(c_TMAP2IN))=0,(c_TMAP2OUT)+QUOTIENT(((c_TMAP3OUT)-(c_TMAP2OUT)),2),QUOTIENT((((A574)-(c_TMAP2IN))*((c_TMAP3OUT)-(c_TMAP2OUT))+IF(((c_TMAP3OUT)-(c_TMAP2OUT))&gt;=0,1,-1)*QUOTIENT(((c_TMAP3IN)-(c_TMAP2IN)),2)),((c_TMAP3IN)-(c_TMAP2IN)))+(c_TMAP2OUT)+IF(((c_TMAP3OUT)-(c_TMAP2OUT))&gt;=0,IF(IF(o_WRAP=1,MOD(((c_TMAP3IN)-(c_TMAP2IN))*(((A574)-(c_TMAP2IN))*((c_TMAP3OUT)-(c_TMAP2OUT))+IF(((c_TMAP3OUT)-(c_TMAP2OUT))&gt;=0,1,-1)*QUOTIENT(((c_TMAP3IN)-(c_TMAP2IN)),2))+2147483648,4294967296)-2147483648,((c_TMAP3IN)-(c_TMAP2IN))*(((A574)-(c_TMAP2IN))*((c_TMAP3OUT)-(c_TMAP2OUT))+IF(((c_TMAP3OUT)-(c_TMAP2OUT))&gt;=0,1,-1)*QUOTIENT(((c_TMAP3IN)-(c_TMAP2IN)),2)))&lt;0,-1,0),IF(IF(o_WRAP=1,MOD(((c_TMAP3IN)-(c_TMAP2IN))*(((A574)-(c_TMAP2IN))*((c_TMAP3OUT)-(c_TMAP2OUT))+IF(((c_TMAP3OUT)-(c_TMAP2OUT))&gt;=0,1,-1)*QUOTIENT(((c_TMAP3IN)-(c_TMAP2IN)),2))+2147483648,4294967296)-2147483648,((c_TMAP3IN)-(c_TMAP2IN))*(((A574)-(c_TMAP2IN))*((c_TMAP3OUT)-(c_TMAP2OUT))+IF(((c_TMAP3OUT)-(c_TMAP2OUT))&gt;=0,1,-1)*QUOTIENT(((c_TMAP3IN)-(c_TMAP2IN)),2)))&gt;=0,1,0)))</f>
        <v>353</v>
      </c>
      <c r="G574" s="7" t="n">
        <f aca="false">IF(((1000)-(c_TMAP3IN))=0,(c_TMAP3OUT)+QUOTIENT(((1000)-(c_TMAP3OUT)),2),QUOTIENT((((A574)-(c_TMAP3IN))*((1000)-(c_TMAP3OUT))+IF(((1000)-(c_TMAP3OUT))&gt;=0,1,-1)*QUOTIENT(((1000)-(c_TMAP3IN)),2)),((1000)-(c_TMAP3IN)))+(c_TMAP3OUT)+IF(((1000)-(c_TMAP3OUT))&gt;=0,IF(IF(o_WRAP=1,MOD(((1000)-(c_TMAP3IN))*(((A574)-(c_TMAP3IN))*((1000)-(c_TMAP3OUT))+IF(((1000)-(c_TMAP3OUT))&gt;=0,1,-1)*QUOTIENT(((1000)-(c_TMAP3IN)),2))+2147483648,4294967296)-2147483648,((1000)-(c_TMAP3IN))*(((A574)-(c_TMAP3IN))*((1000)-(c_TMAP3OUT))+IF(((1000)-(c_TMAP3OUT))&gt;=0,1,-1)*QUOTIENT(((1000)-(c_TMAP3IN)),2)))&lt;0,-1,0),IF(IF(o_WRAP=1,MOD(((1000)-(c_TMAP3IN))*(((A574)-(c_TMAP3IN))*((1000)-(c_TMAP3OUT))+IF(((1000)-(c_TMAP3OUT))&gt;=0,1,-1)*QUOTIENT(((1000)-(c_TMAP3IN)),2))+2147483648,4294967296)-2147483648,((1000)-(c_TMAP3IN))*(((A574)-(c_TMAP3IN))*((1000)-(c_TMAP3OUT))+IF(((1000)-(c_TMAP3OUT))&gt;=0,1,-1)*QUOTIENT(((1000)-(c_TMAP3IN)),2)))&gt;=0,1,0)))</f>
        <v>470</v>
      </c>
      <c r="H574" s="7" t="str">
        <f aca="false">IF(A574&gt;=c_TFWD,IF(AND(A574&gt;=c_TMAP3IN,c_TMAP3IN&lt;1000),"Seg4 map3-100%",IF(AND(A574&gt;=c_TMAP2IN,c_TMAP3IN&gt;c_TMAP2IN),"Seg3 map2-map3",IF(AND(A574&gt;=c_TMAP1IN,c_TMAP2IN&gt;c_TMAP1IN),"Seg2 map1-map2","Seg1 TFWD-map1"))),IF(AND(A574=0,c_TCREEP&gt;0),"Creep",IF(AND(A574&lt;=c_TRNGMIN,A574&gt;=c_TRNGMAX,c_TRNGMIN-c_TRNGMAX&lt;&gt;0),"Regen ramp","Coast (0)")))</f>
        <v>Seg4 map3-100%</v>
      </c>
      <c r="I574" s="7" t="n">
        <f aca="false">IF(A574&gt;=c_TFWD,IF(AND(A574&gt;=c_TMAP3IN,c_TMAP3IN&lt;1000),G574,IF(AND(A574&gt;=c_TMAP2IN,c_TMAP3IN&gt;c_TMAP2IN),F574,IF(AND(A574&gt;=c_TMAP1IN,c_TMAP2IN&gt;c_TMAP1IN),E574,D574))),C574)</f>
        <v>470</v>
      </c>
      <c r="J574" s="7" t="str">
        <f aca="false">IF(I574&lt;-1090,"TOO LOW",IF(I574&gt;1090,"TOO HIGH",""))</f>
        <v/>
      </c>
      <c r="K574" s="15" t="n">
        <f aca="false">IF(J574&lt;&gt;"",0,IF(I574&gt;979,1000,I574))</f>
        <v>470</v>
      </c>
      <c r="L574" s="7" t="n">
        <f aca="false">K574/10</f>
        <v>47</v>
      </c>
    </row>
    <row r="575" customFormat="false" ht="15" hidden="false" customHeight="false" outlineLevel="0" collapsed="false">
      <c r="A575" s="7" t="n">
        <v>570</v>
      </c>
      <c r="B575" s="7" t="n">
        <f aca="false">A575/10</f>
        <v>57</v>
      </c>
      <c r="C575" s="7" t="n">
        <f aca="false">IF(AND(A575=0,c_TCREEP&gt;0),10*c_TCREEP,IF(AND(A575&lt;=c_TRNGMIN,A575&gt;=c_TRNGMAX,c_TRNGMIN-c_TRNGMAX&lt;&gt;0),-10*c_TMINRN+QUOTIENT((c_TMAXRN-c_TMINRN)*(100-QUOTIENT((A575-c_TRNGMAX)*100,c_TRNGMIN-c_TRNGMAX)),-10),0))</f>
        <v>0</v>
      </c>
      <c r="D575" s="7" t="n">
        <f aca="false">IF(((c_TMAP1IN)-(c_TFWD))=0,(0)+QUOTIENT(((c_TMAP1OUT)-(0)),2),QUOTIENT((((A575)-(c_TFWD))*((c_TMAP1OUT)-(0))+IF(((c_TMAP1OUT)-(0))&gt;=0,1,-1)*QUOTIENT(((c_TMAP1IN)-(c_TFWD)),2)),((c_TMAP1IN)-(c_TFWD)))+(0)+IF(((c_TMAP1OUT)-(0))&gt;=0,IF(IF(o_WRAP=1,MOD(((c_TMAP1IN)-(c_TFWD))*(((A575)-(c_TFWD))*((c_TMAP1OUT)-(0))+IF(((c_TMAP1OUT)-(0))&gt;=0,1,-1)*QUOTIENT(((c_TMAP1IN)-(c_TFWD)),2))+2147483648,4294967296)-2147483648,((c_TMAP1IN)-(c_TFWD))*(((A575)-(c_TFWD))*((c_TMAP1OUT)-(0))+IF(((c_TMAP1OUT)-(0))&gt;=0,1,-1)*QUOTIENT(((c_TMAP1IN)-(c_TFWD)),2)))&lt;0,-1,0),IF(IF(o_WRAP=1,MOD(((c_TMAP1IN)-(c_TFWD))*(((A575)-(c_TFWD))*((c_TMAP1OUT)-(0))+IF(((c_TMAP1OUT)-(0))&gt;=0,1,-1)*QUOTIENT(((c_TMAP1IN)-(c_TFWD)),2))+2147483648,4294967296)-2147483648,((c_TMAP1IN)-(c_TFWD))*(((A575)-(c_TFWD))*((c_TMAP1OUT)-(0))+IF(((c_TMAP1OUT)-(0))&gt;=0,1,-1)*QUOTIENT(((c_TMAP1IN)-(c_TFWD)),2)))&gt;=0,1,0)))</f>
        <v>436</v>
      </c>
      <c r="E575" s="7" t="n">
        <f aca="false">IF(((c_TMAP2IN)-(c_TMAP1IN))=0,(c_TMAP1OUT)+QUOTIENT(((c_TMAP2OUT)-(c_TMAP1OUT)),2),QUOTIENT((((A575)-(c_TMAP1IN))*((c_TMAP2OUT)-(c_TMAP1OUT))+IF(((c_TMAP2OUT)-(c_TMAP1OUT))&gt;=0,1,-1)*QUOTIENT(((c_TMAP2IN)-(c_TMAP1IN)),2)),((c_TMAP2IN)-(c_TMAP1IN)))+(c_TMAP1OUT)+IF(((c_TMAP2OUT)-(c_TMAP1OUT))&gt;=0,IF(IF(o_WRAP=1,MOD(((c_TMAP2IN)-(c_TMAP1IN))*(((A575)-(c_TMAP1IN))*((c_TMAP2OUT)-(c_TMAP1OUT))+IF(((c_TMAP2OUT)-(c_TMAP1OUT))&gt;=0,1,-1)*QUOTIENT(((c_TMAP2IN)-(c_TMAP1IN)),2))+2147483648,4294967296)-2147483648,((c_TMAP2IN)-(c_TMAP1IN))*(((A575)-(c_TMAP1IN))*((c_TMAP2OUT)-(c_TMAP1OUT))+IF(((c_TMAP2OUT)-(c_TMAP1OUT))&gt;=0,1,-1)*QUOTIENT(((c_TMAP2IN)-(c_TMAP1IN)),2)))&lt;0,-1,0),IF(IF(o_WRAP=1,MOD(((c_TMAP2IN)-(c_TMAP1IN))*(((A575)-(c_TMAP1IN))*((c_TMAP2OUT)-(c_TMAP1OUT))+IF(((c_TMAP2OUT)-(c_TMAP1OUT))&gt;=0,1,-1)*QUOTIENT(((c_TMAP2IN)-(c_TMAP1IN)),2))+2147483648,4294967296)-2147483648,((c_TMAP2IN)-(c_TMAP1IN))*(((A575)-(c_TMAP1IN))*((c_TMAP2OUT)-(c_TMAP1OUT))+IF(((c_TMAP2OUT)-(c_TMAP1OUT))&gt;=0,1,-1)*QUOTIENT(((c_TMAP2IN)-(c_TMAP1IN)),2)))&gt;=0,1,0)))</f>
        <v>258</v>
      </c>
      <c r="F575" s="7" t="n">
        <f aca="false">IF(((c_TMAP3IN)-(c_TMAP2IN))=0,(c_TMAP2OUT)+QUOTIENT(((c_TMAP3OUT)-(c_TMAP2OUT)),2),QUOTIENT((((A575)-(c_TMAP2IN))*((c_TMAP3OUT)-(c_TMAP2OUT))+IF(((c_TMAP3OUT)-(c_TMAP2OUT))&gt;=0,1,-1)*QUOTIENT(((c_TMAP3IN)-(c_TMAP2IN)),2)),((c_TMAP3IN)-(c_TMAP2IN)))+(c_TMAP2OUT)+IF(((c_TMAP3OUT)-(c_TMAP2OUT))&gt;=0,IF(IF(o_WRAP=1,MOD(((c_TMAP3IN)-(c_TMAP2IN))*(((A575)-(c_TMAP2IN))*((c_TMAP3OUT)-(c_TMAP2OUT))+IF(((c_TMAP3OUT)-(c_TMAP2OUT))&gt;=0,1,-1)*QUOTIENT(((c_TMAP3IN)-(c_TMAP2IN)),2))+2147483648,4294967296)-2147483648,((c_TMAP3IN)-(c_TMAP2IN))*(((A575)-(c_TMAP2IN))*((c_TMAP3OUT)-(c_TMAP2OUT))+IF(((c_TMAP3OUT)-(c_TMAP2OUT))&gt;=0,1,-1)*QUOTIENT(((c_TMAP3IN)-(c_TMAP2IN)),2)))&lt;0,-1,0),IF(IF(o_WRAP=1,MOD(((c_TMAP3IN)-(c_TMAP2IN))*(((A575)-(c_TMAP2IN))*((c_TMAP3OUT)-(c_TMAP2OUT))+IF(((c_TMAP3OUT)-(c_TMAP2OUT))&gt;=0,1,-1)*QUOTIENT(((c_TMAP3IN)-(c_TMAP2IN)),2))+2147483648,4294967296)-2147483648,((c_TMAP3IN)-(c_TMAP2IN))*(((A575)-(c_TMAP2IN))*((c_TMAP3OUT)-(c_TMAP2OUT))+IF(((c_TMAP3OUT)-(c_TMAP2OUT))&gt;=0,1,-1)*QUOTIENT(((c_TMAP3IN)-(c_TMAP2IN)),2)))&gt;=0,1,0)))</f>
        <v>354</v>
      </c>
      <c r="G575" s="7" t="n">
        <f aca="false">IF(((1000)-(c_TMAP3IN))=0,(c_TMAP3OUT)+QUOTIENT(((1000)-(c_TMAP3OUT)),2),QUOTIENT((((A575)-(c_TMAP3IN))*((1000)-(c_TMAP3OUT))+IF(((1000)-(c_TMAP3OUT))&gt;=0,1,-1)*QUOTIENT(((1000)-(c_TMAP3IN)),2)),((1000)-(c_TMAP3IN)))+(c_TMAP3OUT)+IF(((1000)-(c_TMAP3OUT))&gt;=0,IF(IF(o_WRAP=1,MOD(((1000)-(c_TMAP3IN))*(((A575)-(c_TMAP3IN))*((1000)-(c_TMAP3OUT))+IF(((1000)-(c_TMAP3OUT))&gt;=0,1,-1)*QUOTIENT(((1000)-(c_TMAP3IN)),2))+2147483648,4294967296)-2147483648,((1000)-(c_TMAP3IN))*(((A575)-(c_TMAP3IN))*((1000)-(c_TMAP3OUT))+IF(((1000)-(c_TMAP3OUT))&gt;=0,1,-1)*QUOTIENT(((1000)-(c_TMAP3IN)),2)))&lt;0,-1,0),IF(IF(o_WRAP=1,MOD(((1000)-(c_TMAP3IN))*(((A575)-(c_TMAP3IN))*((1000)-(c_TMAP3OUT))+IF(((1000)-(c_TMAP3OUT))&gt;=0,1,-1)*QUOTIENT(((1000)-(c_TMAP3IN)),2))+2147483648,4294967296)-2147483648,((1000)-(c_TMAP3IN))*(((A575)-(c_TMAP3IN))*((1000)-(c_TMAP3OUT))+IF(((1000)-(c_TMAP3OUT))&gt;=0,1,-1)*QUOTIENT(((1000)-(c_TMAP3IN)),2)))&gt;=0,1,0)))</f>
        <v>471</v>
      </c>
      <c r="H575" s="7" t="str">
        <f aca="false">IF(A575&gt;=c_TFWD,IF(AND(A575&gt;=c_TMAP3IN,c_TMAP3IN&lt;1000),"Seg4 map3-100%",IF(AND(A575&gt;=c_TMAP2IN,c_TMAP3IN&gt;c_TMAP2IN),"Seg3 map2-map3",IF(AND(A575&gt;=c_TMAP1IN,c_TMAP2IN&gt;c_TMAP1IN),"Seg2 map1-map2","Seg1 TFWD-map1"))),IF(AND(A575=0,c_TCREEP&gt;0),"Creep",IF(AND(A575&lt;=c_TRNGMIN,A575&gt;=c_TRNGMAX,c_TRNGMIN-c_TRNGMAX&lt;&gt;0),"Regen ramp","Coast (0)")))</f>
        <v>Seg4 map3-100%</v>
      </c>
      <c r="I575" s="7" t="n">
        <f aca="false">IF(A575&gt;=c_TFWD,IF(AND(A575&gt;=c_TMAP3IN,c_TMAP3IN&lt;1000),G575,IF(AND(A575&gt;=c_TMAP2IN,c_TMAP3IN&gt;c_TMAP2IN),F575,IF(AND(A575&gt;=c_TMAP1IN,c_TMAP2IN&gt;c_TMAP1IN),E575,D575))),C575)</f>
        <v>471</v>
      </c>
      <c r="J575" s="7" t="str">
        <f aca="false">IF(I575&lt;-1090,"TOO LOW",IF(I575&gt;1090,"TOO HIGH",""))</f>
        <v/>
      </c>
      <c r="K575" s="15" t="n">
        <f aca="false">IF(J575&lt;&gt;"",0,IF(I575&gt;979,1000,I575))</f>
        <v>471</v>
      </c>
      <c r="L575" s="7" t="n">
        <f aca="false">K575/10</f>
        <v>47.1</v>
      </c>
    </row>
    <row r="576" customFormat="false" ht="15" hidden="false" customHeight="false" outlineLevel="0" collapsed="false">
      <c r="A576" s="7" t="n">
        <v>571</v>
      </c>
      <c r="B576" s="7" t="n">
        <f aca="false">A576/10</f>
        <v>57.1</v>
      </c>
      <c r="C576" s="7" t="n">
        <f aca="false">IF(AND(A576=0,c_TCREEP&gt;0),10*c_TCREEP,IF(AND(A576&lt;=c_TRNGMIN,A576&gt;=c_TRNGMAX,c_TRNGMIN-c_TRNGMAX&lt;&gt;0),-10*c_TMINRN+QUOTIENT((c_TMAXRN-c_TMINRN)*(100-QUOTIENT((A576-c_TRNGMAX)*100,c_TRNGMIN-c_TRNGMAX)),-10),0))</f>
        <v>0</v>
      </c>
      <c r="D576" s="7" t="n">
        <f aca="false">IF(((c_TMAP1IN)-(c_TFWD))=0,(0)+QUOTIENT(((c_TMAP1OUT)-(0)),2),QUOTIENT((((A576)-(c_TFWD))*((c_TMAP1OUT)-(0))+IF(((c_TMAP1OUT)-(0))&gt;=0,1,-1)*QUOTIENT(((c_TMAP1IN)-(c_TFWD)),2)),((c_TMAP1IN)-(c_TFWD)))+(0)+IF(((c_TMAP1OUT)-(0))&gt;=0,IF(IF(o_WRAP=1,MOD(((c_TMAP1IN)-(c_TFWD))*(((A576)-(c_TFWD))*((c_TMAP1OUT)-(0))+IF(((c_TMAP1OUT)-(0))&gt;=0,1,-1)*QUOTIENT(((c_TMAP1IN)-(c_TFWD)),2))+2147483648,4294967296)-2147483648,((c_TMAP1IN)-(c_TFWD))*(((A576)-(c_TFWD))*((c_TMAP1OUT)-(0))+IF(((c_TMAP1OUT)-(0))&gt;=0,1,-1)*QUOTIENT(((c_TMAP1IN)-(c_TFWD)),2)))&lt;0,-1,0),IF(IF(o_WRAP=1,MOD(((c_TMAP1IN)-(c_TFWD))*(((A576)-(c_TFWD))*((c_TMAP1OUT)-(0))+IF(((c_TMAP1OUT)-(0))&gt;=0,1,-1)*QUOTIENT(((c_TMAP1IN)-(c_TFWD)),2))+2147483648,4294967296)-2147483648,((c_TMAP1IN)-(c_TFWD))*(((A576)-(c_TFWD))*((c_TMAP1OUT)-(0))+IF(((c_TMAP1OUT)-(0))&gt;=0,1,-1)*QUOTIENT(((c_TMAP1IN)-(c_TFWD)),2)))&gt;=0,1,0)))</f>
        <v>436</v>
      </c>
      <c r="E576" s="7" t="n">
        <f aca="false">IF(((c_TMAP2IN)-(c_TMAP1IN))=0,(c_TMAP1OUT)+QUOTIENT(((c_TMAP2OUT)-(c_TMAP1OUT)),2),QUOTIENT((((A576)-(c_TMAP1IN))*((c_TMAP2OUT)-(c_TMAP1OUT))+IF(((c_TMAP2OUT)-(c_TMAP1OUT))&gt;=0,1,-1)*QUOTIENT(((c_TMAP2IN)-(c_TMAP1IN)),2)),((c_TMAP2IN)-(c_TMAP1IN)))+(c_TMAP1OUT)+IF(((c_TMAP2OUT)-(c_TMAP1OUT))&gt;=0,IF(IF(o_WRAP=1,MOD(((c_TMAP2IN)-(c_TMAP1IN))*(((A576)-(c_TMAP1IN))*((c_TMAP2OUT)-(c_TMAP1OUT))+IF(((c_TMAP2OUT)-(c_TMAP1OUT))&gt;=0,1,-1)*QUOTIENT(((c_TMAP2IN)-(c_TMAP1IN)),2))+2147483648,4294967296)-2147483648,((c_TMAP2IN)-(c_TMAP1IN))*(((A576)-(c_TMAP1IN))*((c_TMAP2OUT)-(c_TMAP1OUT))+IF(((c_TMAP2OUT)-(c_TMAP1OUT))&gt;=0,1,-1)*QUOTIENT(((c_TMAP2IN)-(c_TMAP1IN)),2)))&lt;0,-1,0),IF(IF(o_WRAP=1,MOD(((c_TMAP2IN)-(c_TMAP1IN))*(((A576)-(c_TMAP1IN))*((c_TMAP2OUT)-(c_TMAP1OUT))+IF(((c_TMAP2OUT)-(c_TMAP1OUT))&gt;=0,1,-1)*QUOTIENT(((c_TMAP2IN)-(c_TMAP1IN)),2))+2147483648,4294967296)-2147483648,((c_TMAP2IN)-(c_TMAP1IN))*(((A576)-(c_TMAP1IN))*((c_TMAP2OUT)-(c_TMAP1OUT))+IF(((c_TMAP2OUT)-(c_TMAP1OUT))&gt;=0,1,-1)*QUOTIENT(((c_TMAP2IN)-(c_TMAP1IN)),2)))&gt;=0,1,0)))</f>
        <v>258</v>
      </c>
      <c r="F576" s="7" t="n">
        <f aca="false">IF(((c_TMAP3IN)-(c_TMAP2IN))=0,(c_TMAP2OUT)+QUOTIENT(((c_TMAP3OUT)-(c_TMAP2OUT)),2),QUOTIENT((((A576)-(c_TMAP2IN))*((c_TMAP3OUT)-(c_TMAP2OUT))+IF(((c_TMAP3OUT)-(c_TMAP2OUT))&gt;=0,1,-1)*QUOTIENT(((c_TMAP3IN)-(c_TMAP2IN)),2)),((c_TMAP3IN)-(c_TMAP2IN)))+(c_TMAP2OUT)+IF(((c_TMAP3OUT)-(c_TMAP2OUT))&gt;=0,IF(IF(o_WRAP=1,MOD(((c_TMAP3IN)-(c_TMAP2IN))*(((A576)-(c_TMAP2IN))*((c_TMAP3OUT)-(c_TMAP2OUT))+IF(((c_TMAP3OUT)-(c_TMAP2OUT))&gt;=0,1,-1)*QUOTIENT(((c_TMAP3IN)-(c_TMAP2IN)),2))+2147483648,4294967296)-2147483648,((c_TMAP3IN)-(c_TMAP2IN))*(((A576)-(c_TMAP2IN))*((c_TMAP3OUT)-(c_TMAP2OUT))+IF(((c_TMAP3OUT)-(c_TMAP2OUT))&gt;=0,1,-1)*QUOTIENT(((c_TMAP3IN)-(c_TMAP2IN)),2)))&lt;0,-1,0),IF(IF(o_WRAP=1,MOD(((c_TMAP3IN)-(c_TMAP2IN))*(((A576)-(c_TMAP2IN))*((c_TMAP3OUT)-(c_TMAP2OUT))+IF(((c_TMAP3OUT)-(c_TMAP2OUT))&gt;=0,1,-1)*QUOTIENT(((c_TMAP3IN)-(c_TMAP2IN)),2))+2147483648,4294967296)-2147483648,((c_TMAP3IN)-(c_TMAP2IN))*(((A576)-(c_TMAP2IN))*((c_TMAP3OUT)-(c_TMAP2OUT))+IF(((c_TMAP3OUT)-(c_TMAP2OUT))&gt;=0,1,-1)*QUOTIENT(((c_TMAP3IN)-(c_TMAP2IN)),2)))&gt;=0,1,0)))</f>
        <v>355</v>
      </c>
      <c r="G576" s="7" t="n">
        <f aca="false">IF(((1000)-(c_TMAP3IN))=0,(c_TMAP3OUT)+QUOTIENT(((1000)-(c_TMAP3OUT)),2),QUOTIENT((((A576)-(c_TMAP3IN))*((1000)-(c_TMAP3OUT))+IF(((1000)-(c_TMAP3OUT))&gt;=0,1,-1)*QUOTIENT(((1000)-(c_TMAP3IN)),2)),((1000)-(c_TMAP3IN)))+(c_TMAP3OUT)+IF(((1000)-(c_TMAP3OUT))&gt;=0,IF(IF(o_WRAP=1,MOD(((1000)-(c_TMAP3IN))*(((A576)-(c_TMAP3IN))*((1000)-(c_TMAP3OUT))+IF(((1000)-(c_TMAP3OUT))&gt;=0,1,-1)*QUOTIENT(((1000)-(c_TMAP3IN)),2))+2147483648,4294967296)-2147483648,((1000)-(c_TMAP3IN))*(((A576)-(c_TMAP3IN))*((1000)-(c_TMAP3OUT))+IF(((1000)-(c_TMAP3OUT))&gt;=0,1,-1)*QUOTIENT(((1000)-(c_TMAP3IN)),2)))&lt;0,-1,0),IF(IF(o_WRAP=1,MOD(((1000)-(c_TMAP3IN))*(((A576)-(c_TMAP3IN))*((1000)-(c_TMAP3OUT))+IF(((1000)-(c_TMAP3OUT))&gt;=0,1,-1)*QUOTIENT(((1000)-(c_TMAP3IN)),2))+2147483648,4294967296)-2147483648,((1000)-(c_TMAP3IN))*(((A576)-(c_TMAP3IN))*((1000)-(c_TMAP3OUT))+IF(((1000)-(c_TMAP3OUT))&gt;=0,1,-1)*QUOTIENT(((1000)-(c_TMAP3IN)),2)))&gt;=0,1,0)))</f>
        <v>472</v>
      </c>
      <c r="H576" s="7" t="str">
        <f aca="false">IF(A576&gt;=c_TFWD,IF(AND(A576&gt;=c_TMAP3IN,c_TMAP3IN&lt;1000),"Seg4 map3-100%",IF(AND(A576&gt;=c_TMAP2IN,c_TMAP3IN&gt;c_TMAP2IN),"Seg3 map2-map3",IF(AND(A576&gt;=c_TMAP1IN,c_TMAP2IN&gt;c_TMAP1IN),"Seg2 map1-map2","Seg1 TFWD-map1"))),IF(AND(A576=0,c_TCREEP&gt;0),"Creep",IF(AND(A576&lt;=c_TRNGMIN,A576&gt;=c_TRNGMAX,c_TRNGMIN-c_TRNGMAX&lt;&gt;0),"Regen ramp","Coast (0)")))</f>
        <v>Seg4 map3-100%</v>
      </c>
      <c r="I576" s="7" t="n">
        <f aca="false">IF(A576&gt;=c_TFWD,IF(AND(A576&gt;=c_TMAP3IN,c_TMAP3IN&lt;1000),G576,IF(AND(A576&gt;=c_TMAP2IN,c_TMAP3IN&gt;c_TMAP2IN),F576,IF(AND(A576&gt;=c_TMAP1IN,c_TMAP2IN&gt;c_TMAP1IN),E576,D576))),C576)</f>
        <v>472</v>
      </c>
      <c r="J576" s="7" t="str">
        <f aca="false">IF(I576&lt;-1090,"TOO LOW",IF(I576&gt;1090,"TOO HIGH",""))</f>
        <v/>
      </c>
      <c r="K576" s="15" t="n">
        <f aca="false">IF(J576&lt;&gt;"",0,IF(I576&gt;979,1000,I576))</f>
        <v>472</v>
      </c>
      <c r="L576" s="7" t="n">
        <f aca="false">K576/10</f>
        <v>47.2</v>
      </c>
    </row>
    <row r="577" customFormat="false" ht="15" hidden="false" customHeight="false" outlineLevel="0" collapsed="false">
      <c r="A577" s="7" t="n">
        <v>572</v>
      </c>
      <c r="B577" s="7" t="n">
        <f aca="false">A577/10</f>
        <v>57.2</v>
      </c>
      <c r="C577" s="7" t="n">
        <f aca="false">IF(AND(A577=0,c_TCREEP&gt;0),10*c_TCREEP,IF(AND(A577&lt;=c_TRNGMIN,A577&gt;=c_TRNGMAX,c_TRNGMIN-c_TRNGMAX&lt;&gt;0),-10*c_TMINRN+QUOTIENT((c_TMAXRN-c_TMINRN)*(100-QUOTIENT((A577-c_TRNGMAX)*100,c_TRNGMIN-c_TRNGMAX)),-10),0))</f>
        <v>0</v>
      </c>
      <c r="D577" s="7" t="n">
        <f aca="false">IF(((c_TMAP1IN)-(c_TFWD))=0,(0)+QUOTIENT(((c_TMAP1OUT)-(0)),2),QUOTIENT((((A577)-(c_TFWD))*((c_TMAP1OUT)-(0))+IF(((c_TMAP1OUT)-(0))&gt;=0,1,-1)*QUOTIENT(((c_TMAP1IN)-(c_TFWD)),2)),((c_TMAP1IN)-(c_TFWD)))+(0)+IF(((c_TMAP1OUT)-(0))&gt;=0,IF(IF(o_WRAP=1,MOD(((c_TMAP1IN)-(c_TFWD))*(((A577)-(c_TFWD))*((c_TMAP1OUT)-(0))+IF(((c_TMAP1OUT)-(0))&gt;=0,1,-1)*QUOTIENT(((c_TMAP1IN)-(c_TFWD)),2))+2147483648,4294967296)-2147483648,((c_TMAP1IN)-(c_TFWD))*(((A577)-(c_TFWD))*((c_TMAP1OUT)-(0))+IF(((c_TMAP1OUT)-(0))&gt;=0,1,-1)*QUOTIENT(((c_TMAP1IN)-(c_TFWD)),2)))&lt;0,-1,0),IF(IF(o_WRAP=1,MOD(((c_TMAP1IN)-(c_TFWD))*(((A577)-(c_TFWD))*((c_TMAP1OUT)-(0))+IF(((c_TMAP1OUT)-(0))&gt;=0,1,-1)*QUOTIENT(((c_TMAP1IN)-(c_TFWD)),2))+2147483648,4294967296)-2147483648,((c_TMAP1IN)-(c_TFWD))*(((A577)-(c_TFWD))*((c_TMAP1OUT)-(0))+IF(((c_TMAP1OUT)-(0))&gt;=0,1,-1)*QUOTIENT(((c_TMAP1IN)-(c_TFWD)),2)))&gt;=0,1,0)))</f>
        <v>437</v>
      </c>
      <c r="E577" s="7" t="n">
        <f aca="false">IF(((c_TMAP2IN)-(c_TMAP1IN))=0,(c_TMAP1OUT)+QUOTIENT(((c_TMAP2OUT)-(c_TMAP1OUT)),2),QUOTIENT((((A577)-(c_TMAP1IN))*((c_TMAP2OUT)-(c_TMAP1OUT))+IF(((c_TMAP2OUT)-(c_TMAP1OUT))&gt;=0,1,-1)*QUOTIENT(((c_TMAP2IN)-(c_TMAP1IN)),2)),((c_TMAP2IN)-(c_TMAP1IN)))+(c_TMAP1OUT)+IF(((c_TMAP2OUT)-(c_TMAP1OUT))&gt;=0,IF(IF(o_WRAP=1,MOD(((c_TMAP2IN)-(c_TMAP1IN))*(((A577)-(c_TMAP1IN))*((c_TMAP2OUT)-(c_TMAP1OUT))+IF(((c_TMAP2OUT)-(c_TMAP1OUT))&gt;=0,1,-1)*QUOTIENT(((c_TMAP2IN)-(c_TMAP1IN)),2))+2147483648,4294967296)-2147483648,((c_TMAP2IN)-(c_TMAP1IN))*(((A577)-(c_TMAP1IN))*((c_TMAP2OUT)-(c_TMAP1OUT))+IF(((c_TMAP2OUT)-(c_TMAP1OUT))&gt;=0,1,-1)*QUOTIENT(((c_TMAP2IN)-(c_TMAP1IN)),2)))&lt;0,-1,0),IF(IF(o_WRAP=1,MOD(((c_TMAP2IN)-(c_TMAP1IN))*(((A577)-(c_TMAP1IN))*((c_TMAP2OUT)-(c_TMAP1OUT))+IF(((c_TMAP2OUT)-(c_TMAP1OUT))&gt;=0,1,-1)*QUOTIENT(((c_TMAP2IN)-(c_TMAP1IN)),2))+2147483648,4294967296)-2147483648,((c_TMAP2IN)-(c_TMAP1IN))*(((A577)-(c_TMAP1IN))*((c_TMAP2OUT)-(c_TMAP1OUT))+IF(((c_TMAP2OUT)-(c_TMAP1OUT))&gt;=0,1,-1)*QUOTIENT(((c_TMAP2IN)-(c_TMAP1IN)),2)))&gt;=0,1,0)))</f>
        <v>259</v>
      </c>
      <c r="F577" s="7" t="n">
        <f aca="false">IF(((c_TMAP3IN)-(c_TMAP2IN))=0,(c_TMAP2OUT)+QUOTIENT(((c_TMAP3OUT)-(c_TMAP2OUT)),2),QUOTIENT((((A577)-(c_TMAP2IN))*((c_TMAP3OUT)-(c_TMAP2OUT))+IF(((c_TMAP3OUT)-(c_TMAP2OUT))&gt;=0,1,-1)*QUOTIENT(((c_TMAP3IN)-(c_TMAP2IN)),2)),((c_TMAP3IN)-(c_TMAP2IN)))+(c_TMAP2OUT)+IF(((c_TMAP3OUT)-(c_TMAP2OUT))&gt;=0,IF(IF(o_WRAP=1,MOD(((c_TMAP3IN)-(c_TMAP2IN))*(((A577)-(c_TMAP2IN))*((c_TMAP3OUT)-(c_TMAP2OUT))+IF(((c_TMAP3OUT)-(c_TMAP2OUT))&gt;=0,1,-1)*QUOTIENT(((c_TMAP3IN)-(c_TMAP2IN)),2))+2147483648,4294967296)-2147483648,((c_TMAP3IN)-(c_TMAP2IN))*(((A577)-(c_TMAP2IN))*((c_TMAP3OUT)-(c_TMAP2OUT))+IF(((c_TMAP3OUT)-(c_TMAP2OUT))&gt;=0,1,-1)*QUOTIENT(((c_TMAP3IN)-(c_TMAP2IN)),2)))&lt;0,-1,0),IF(IF(o_WRAP=1,MOD(((c_TMAP3IN)-(c_TMAP2IN))*(((A577)-(c_TMAP2IN))*((c_TMAP3OUT)-(c_TMAP2OUT))+IF(((c_TMAP3OUT)-(c_TMAP2OUT))&gt;=0,1,-1)*QUOTIENT(((c_TMAP3IN)-(c_TMAP2IN)),2))+2147483648,4294967296)-2147483648,((c_TMAP3IN)-(c_TMAP2IN))*(((A577)-(c_TMAP2IN))*((c_TMAP3OUT)-(c_TMAP2OUT))+IF(((c_TMAP3OUT)-(c_TMAP2OUT))&gt;=0,1,-1)*QUOTIENT(((c_TMAP3IN)-(c_TMAP2IN)),2)))&gt;=0,1,0)))</f>
        <v>355</v>
      </c>
      <c r="G577" s="7" t="n">
        <f aca="false">IF(((1000)-(c_TMAP3IN))=0,(c_TMAP3OUT)+QUOTIENT(((1000)-(c_TMAP3OUT)),2),QUOTIENT((((A577)-(c_TMAP3IN))*((1000)-(c_TMAP3OUT))+IF(((1000)-(c_TMAP3OUT))&gt;=0,1,-1)*QUOTIENT(((1000)-(c_TMAP3IN)),2)),((1000)-(c_TMAP3IN)))+(c_TMAP3OUT)+IF(((1000)-(c_TMAP3OUT))&gt;=0,IF(IF(o_WRAP=1,MOD(((1000)-(c_TMAP3IN))*(((A577)-(c_TMAP3IN))*((1000)-(c_TMAP3OUT))+IF(((1000)-(c_TMAP3OUT))&gt;=0,1,-1)*QUOTIENT(((1000)-(c_TMAP3IN)),2))+2147483648,4294967296)-2147483648,((1000)-(c_TMAP3IN))*(((A577)-(c_TMAP3IN))*((1000)-(c_TMAP3OUT))+IF(((1000)-(c_TMAP3OUT))&gt;=0,1,-1)*QUOTIENT(((1000)-(c_TMAP3IN)),2)))&lt;0,-1,0),IF(IF(o_WRAP=1,MOD(((1000)-(c_TMAP3IN))*(((A577)-(c_TMAP3IN))*((1000)-(c_TMAP3OUT))+IF(((1000)-(c_TMAP3OUT))&gt;=0,1,-1)*QUOTIENT(((1000)-(c_TMAP3IN)),2))+2147483648,4294967296)-2147483648,((1000)-(c_TMAP3IN))*(((A577)-(c_TMAP3IN))*((1000)-(c_TMAP3OUT))+IF(((1000)-(c_TMAP3OUT))&gt;=0,1,-1)*QUOTIENT(((1000)-(c_TMAP3IN)),2)))&gt;=0,1,0)))</f>
        <v>473</v>
      </c>
      <c r="H577" s="7" t="str">
        <f aca="false">IF(A577&gt;=c_TFWD,IF(AND(A577&gt;=c_TMAP3IN,c_TMAP3IN&lt;1000),"Seg4 map3-100%",IF(AND(A577&gt;=c_TMAP2IN,c_TMAP3IN&gt;c_TMAP2IN),"Seg3 map2-map3",IF(AND(A577&gt;=c_TMAP1IN,c_TMAP2IN&gt;c_TMAP1IN),"Seg2 map1-map2","Seg1 TFWD-map1"))),IF(AND(A577=0,c_TCREEP&gt;0),"Creep",IF(AND(A577&lt;=c_TRNGMIN,A577&gt;=c_TRNGMAX,c_TRNGMIN-c_TRNGMAX&lt;&gt;0),"Regen ramp","Coast (0)")))</f>
        <v>Seg4 map3-100%</v>
      </c>
      <c r="I577" s="7" t="n">
        <f aca="false">IF(A577&gt;=c_TFWD,IF(AND(A577&gt;=c_TMAP3IN,c_TMAP3IN&lt;1000),G577,IF(AND(A577&gt;=c_TMAP2IN,c_TMAP3IN&gt;c_TMAP2IN),F577,IF(AND(A577&gt;=c_TMAP1IN,c_TMAP2IN&gt;c_TMAP1IN),E577,D577))),C577)</f>
        <v>473</v>
      </c>
      <c r="J577" s="7" t="str">
        <f aca="false">IF(I577&lt;-1090,"TOO LOW",IF(I577&gt;1090,"TOO HIGH",""))</f>
        <v/>
      </c>
      <c r="K577" s="15" t="n">
        <f aca="false">IF(J577&lt;&gt;"",0,IF(I577&gt;979,1000,I577))</f>
        <v>473</v>
      </c>
      <c r="L577" s="7" t="n">
        <f aca="false">K577/10</f>
        <v>47.3</v>
      </c>
    </row>
    <row r="578" customFormat="false" ht="15" hidden="false" customHeight="false" outlineLevel="0" collapsed="false">
      <c r="A578" s="7" t="n">
        <v>573</v>
      </c>
      <c r="B578" s="7" t="n">
        <f aca="false">A578/10</f>
        <v>57.3</v>
      </c>
      <c r="C578" s="7" t="n">
        <f aca="false">IF(AND(A578=0,c_TCREEP&gt;0),10*c_TCREEP,IF(AND(A578&lt;=c_TRNGMIN,A578&gt;=c_TRNGMAX,c_TRNGMIN-c_TRNGMAX&lt;&gt;0),-10*c_TMINRN+QUOTIENT((c_TMAXRN-c_TMINRN)*(100-QUOTIENT((A578-c_TRNGMAX)*100,c_TRNGMIN-c_TRNGMAX)),-10),0))</f>
        <v>0</v>
      </c>
      <c r="D578" s="7" t="n">
        <f aca="false">IF(((c_TMAP1IN)-(c_TFWD))=0,(0)+QUOTIENT(((c_TMAP1OUT)-(0)),2),QUOTIENT((((A578)-(c_TFWD))*((c_TMAP1OUT)-(0))+IF(((c_TMAP1OUT)-(0))&gt;=0,1,-1)*QUOTIENT(((c_TMAP1IN)-(c_TFWD)),2)),((c_TMAP1IN)-(c_TFWD)))+(0)+IF(((c_TMAP1OUT)-(0))&gt;=0,IF(IF(o_WRAP=1,MOD(((c_TMAP1IN)-(c_TFWD))*(((A578)-(c_TFWD))*((c_TMAP1OUT)-(0))+IF(((c_TMAP1OUT)-(0))&gt;=0,1,-1)*QUOTIENT(((c_TMAP1IN)-(c_TFWD)),2))+2147483648,4294967296)-2147483648,((c_TMAP1IN)-(c_TFWD))*(((A578)-(c_TFWD))*((c_TMAP1OUT)-(0))+IF(((c_TMAP1OUT)-(0))&gt;=0,1,-1)*QUOTIENT(((c_TMAP1IN)-(c_TFWD)),2)))&lt;0,-1,0),IF(IF(o_WRAP=1,MOD(((c_TMAP1IN)-(c_TFWD))*(((A578)-(c_TFWD))*((c_TMAP1OUT)-(0))+IF(((c_TMAP1OUT)-(0))&gt;=0,1,-1)*QUOTIENT(((c_TMAP1IN)-(c_TFWD)),2))+2147483648,4294967296)-2147483648,((c_TMAP1IN)-(c_TFWD))*(((A578)-(c_TFWD))*((c_TMAP1OUT)-(0))+IF(((c_TMAP1OUT)-(0))&gt;=0,1,-1)*QUOTIENT(((c_TMAP1IN)-(c_TFWD)),2)))&gt;=0,1,0)))</f>
        <v>438</v>
      </c>
      <c r="E578" s="7" t="n">
        <f aca="false">IF(((c_TMAP2IN)-(c_TMAP1IN))=0,(c_TMAP1OUT)+QUOTIENT(((c_TMAP2OUT)-(c_TMAP1OUT)),2),QUOTIENT((((A578)-(c_TMAP1IN))*((c_TMAP2OUT)-(c_TMAP1OUT))+IF(((c_TMAP2OUT)-(c_TMAP1OUT))&gt;=0,1,-1)*QUOTIENT(((c_TMAP2IN)-(c_TMAP1IN)),2)),((c_TMAP2IN)-(c_TMAP1IN)))+(c_TMAP1OUT)+IF(((c_TMAP2OUT)-(c_TMAP1OUT))&gt;=0,IF(IF(o_WRAP=1,MOD(((c_TMAP2IN)-(c_TMAP1IN))*(((A578)-(c_TMAP1IN))*((c_TMAP2OUT)-(c_TMAP1OUT))+IF(((c_TMAP2OUT)-(c_TMAP1OUT))&gt;=0,1,-1)*QUOTIENT(((c_TMAP2IN)-(c_TMAP1IN)),2))+2147483648,4294967296)-2147483648,((c_TMAP2IN)-(c_TMAP1IN))*(((A578)-(c_TMAP1IN))*((c_TMAP2OUT)-(c_TMAP1OUT))+IF(((c_TMAP2OUT)-(c_TMAP1OUT))&gt;=0,1,-1)*QUOTIENT(((c_TMAP2IN)-(c_TMAP1IN)),2)))&lt;0,-1,0),IF(IF(o_WRAP=1,MOD(((c_TMAP2IN)-(c_TMAP1IN))*(((A578)-(c_TMAP1IN))*((c_TMAP2OUT)-(c_TMAP1OUT))+IF(((c_TMAP2OUT)-(c_TMAP1OUT))&gt;=0,1,-1)*QUOTIENT(((c_TMAP2IN)-(c_TMAP1IN)),2))+2147483648,4294967296)-2147483648,((c_TMAP2IN)-(c_TMAP1IN))*(((A578)-(c_TMAP1IN))*((c_TMAP2OUT)-(c_TMAP1OUT))+IF(((c_TMAP2OUT)-(c_TMAP1OUT))&gt;=0,1,-1)*QUOTIENT(((c_TMAP2IN)-(c_TMAP1IN)),2)))&gt;=0,1,0)))</f>
        <v>259</v>
      </c>
      <c r="F578" s="7" t="n">
        <f aca="false">IF(((c_TMAP3IN)-(c_TMAP2IN))=0,(c_TMAP2OUT)+QUOTIENT(((c_TMAP3OUT)-(c_TMAP2OUT)),2),QUOTIENT((((A578)-(c_TMAP2IN))*((c_TMAP3OUT)-(c_TMAP2OUT))+IF(((c_TMAP3OUT)-(c_TMAP2OUT))&gt;=0,1,-1)*QUOTIENT(((c_TMAP3IN)-(c_TMAP2IN)),2)),((c_TMAP3IN)-(c_TMAP2IN)))+(c_TMAP2OUT)+IF(((c_TMAP3OUT)-(c_TMAP2OUT))&gt;=0,IF(IF(o_WRAP=1,MOD(((c_TMAP3IN)-(c_TMAP2IN))*(((A578)-(c_TMAP2IN))*((c_TMAP3OUT)-(c_TMAP2OUT))+IF(((c_TMAP3OUT)-(c_TMAP2OUT))&gt;=0,1,-1)*QUOTIENT(((c_TMAP3IN)-(c_TMAP2IN)),2))+2147483648,4294967296)-2147483648,((c_TMAP3IN)-(c_TMAP2IN))*(((A578)-(c_TMAP2IN))*((c_TMAP3OUT)-(c_TMAP2OUT))+IF(((c_TMAP3OUT)-(c_TMAP2OUT))&gt;=0,1,-1)*QUOTIENT(((c_TMAP3IN)-(c_TMAP2IN)),2)))&lt;0,-1,0),IF(IF(o_WRAP=1,MOD(((c_TMAP3IN)-(c_TMAP2IN))*(((A578)-(c_TMAP2IN))*((c_TMAP3OUT)-(c_TMAP2OUT))+IF(((c_TMAP3OUT)-(c_TMAP2OUT))&gt;=0,1,-1)*QUOTIENT(((c_TMAP3IN)-(c_TMAP2IN)),2))+2147483648,4294967296)-2147483648,((c_TMAP3IN)-(c_TMAP2IN))*(((A578)-(c_TMAP2IN))*((c_TMAP3OUT)-(c_TMAP2OUT))+IF(((c_TMAP3OUT)-(c_TMAP2OUT))&gt;=0,1,-1)*QUOTIENT(((c_TMAP3IN)-(c_TMAP2IN)),2)))&gt;=0,1,0)))</f>
        <v>356</v>
      </c>
      <c r="G578" s="7" t="n">
        <f aca="false">IF(((1000)-(c_TMAP3IN))=0,(c_TMAP3OUT)+QUOTIENT(((1000)-(c_TMAP3OUT)),2),QUOTIENT((((A578)-(c_TMAP3IN))*((1000)-(c_TMAP3OUT))+IF(((1000)-(c_TMAP3OUT))&gt;=0,1,-1)*QUOTIENT(((1000)-(c_TMAP3IN)),2)),((1000)-(c_TMAP3IN)))+(c_TMAP3OUT)+IF(((1000)-(c_TMAP3OUT))&gt;=0,IF(IF(o_WRAP=1,MOD(((1000)-(c_TMAP3IN))*(((A578)-(c_TMAP3IN))*((1000)-(c_TMAP3OUT))+IF(((1000)-(c_TMAP3OUT))&gt;=0,1,-1)*QUOTIENT(((1000)-(c_TMAP3IN)),2))+2147483648,4294967296)-2147483648,((1000)-(c_TMAP3IN))*(((A578)-(c_TMAP3IN))*((1000)-(c_TMAP3OUT))+IF(((1000)-(c_TMAP3OUT))&gt;=0,1,-1)*QUOTIENT(((1000)-(c_TMAP3IN)),2)))&lt;0,-1,0),IF(IF(o_WRAP=1,MOD(((1000)-(c_TMAP3IN))*(((A578)-(c_TMAP3IN))*((1000)-(c_TMAP3OUT))+IF(((1000)-(c_TMAP3OUT))&gt;=0,1,-1)*QUOTIENT(((1000)-(c_TMAP3IN)),2))+2147483648,4294967296)-2147483648,((1000)-(c_TMAP3IN))*(((A578)-(c_TMAP3IN))*((1000)-(c_TMAP3OUT))+IF(((1000)-(c_TMAP3OUT))&gt;=0,1,-1)*QUOTIENT(((1000)-(c_TMAP3IN)),2)))&gt;=0,1,0)))</f>
        <v>474</v>
      </c>
      <c r="H578" s="7" t="str">
        <f aca="false">IF(A578&gt;=c_TFWD,IF(AND(A578&gt;=c_TMAP3IN,c_TMAP3IN&lt;1000),"Seg4 map3-100%",IF(AND(A578&gt;=c_TMAP2IN,c_TMAP3IN&gt;c_TMAP2IN),"Seg3 map2-map3",IF(AND(A578&gt;=c_TMAP1IN,c_TMAP2IN&gt;c_TMAP1IN),"Seg2 map1-map2","Seg1 TFWD-map1"))),IF(AND(A578=0,c_TCREEP&gt;0),"Creep",IF(AND(A578&lt;=c_TRNGMIN,A578&gt;=c_TRNGMAX,c_TRNGMIN-c_TRNGMAX&lt;&gt;0),"Regen ramp","Coast (0)")))</f>
        <v>Seg4 map3-100%</v>
      </c>
      <c r="I578" s="7" t="n">
        <f aca="false">IF(A578&gt;=c_TFWD,IF(AND(A578&gt;=c_TMAP3IN,c_TMAP3IN&lt;1000),G578,IF(AND(A578&gt;=c_TMAP2IN,c_TMAP3IN&gt;c_TMAP2IN),F578,IF(AND(A578&gt;=c_TMAP1IN,c_TMAP2IN&gt;c_TMAP1IN),E578,D578))),C578)</f>
        <v>474</v>
      </c>
      <c r="J578" s="7" t="str">
        <f aca="false">IF(I578&lt;-1090,"TOO LOW",IF(I578&gt;1090,"TOO HIGH",""))</f>
        <v/>
      </c>
      <c r="K578" s="15" t="n">
        <f aca="false">IF(J578&lt;&gt;"",0,IF(I578&gt;979,1000,I578))</f>
        <v>474</v>
      </c>
      <c r="L578" s="7" t="n">
        <f aca="false">K578/10</f>
        <v>47.4</v>
      </c>
    </row>
    <row r="579" customFormat="false" ht="15" hidden="false" customHeight="false" outlineLevel="0" collapsed="false">
      <c r="A579" s="7" t="n">
        <v>574</v>
      </c>
      <c r="B579" s="7" t="n">
        <f aca="false">A579/10</f>
        <v>57.4</v>
      </c>
      <c r="C579" s="7" t="n">
        <f aca="false">IF(AND(A579=0,c_TCREEP&gt;0),10*c_TCREEP,IF(AND(A579&lt;=c_TRNGMIN,A579&gt;=c_TRNGMAX,c_TRNGMIN-c_TRNGMAX&lt;&gt;0),-10*c_TMINRN+QUOTIENT((c_TMAXRN-c_TMINRN)*(100-QUOTIENT((A579-c_TRNGMAX)*100,c_TRNGMIN-c_TRNGMAX)),-10),0))</f>
        <v>0</v>
      </c>
      <c r="D579" s="7" t="n">
        <f aca="false">IF(((c_TMAP1IN)-(c_TFWD))=0,(0)+QUOTIENT(((c_TMAP1OUT)-(0)),2),QUOTIENT((((A579)-(c_TFWD))*((c_TMAP1OUT)-(0))+IF(((c_TMAP1OUT)-(0))&gt;=0,1,-1)*QUOTIENT(((c_TMAP1IN)-(c_TFWD)),2)),((c_TMAP1IN)-(c_TFWD)))+(0)+IF(((c_TMAP1OUT)-(0))&gt;=0,IF(IF(o_WRAP=1,MOD(((c_TMAP1IN)-(c_TFWD))*(((A579)-(c_TFWD))*((c_TMAP1OUT)-(0))+IF(((c_TMAP1OUT)-(0))&gt;=0,1,-1)*QUOTIENT(((c_TMAP1IN)-(c_TFWD)),2))+2147483648,4294967296)-2147483648,((c_TMAP1IN)-(c_TFWD))*(((A579)-(c_TFWD))*((c_TMAP1OUT)-(0))+IF(((c_TMAP1OUT)-(0))&gt;=0,1,-1)*QUOTIENT(((c_TMAP1IN)-(c_TFWD)),2)))&lt;0,-1,0),IF(IF(o_WRAP=1,MOD(((c_TMAP1IN)-(c_TFWD))*(((A579)-(c_TFWD))*((c_TMAP1OUT)-(0))+IF(((c_TMAP1OUT)-(0))&gt;=0,1,-1)*QUOTIENT(((c_TMAP1IN)-(c_TFWD)),2))+2147483648,4294967296)-2147483648,((c_TMAP1IN)-(c_TFWD))*(((A579)-(c_TFWD))*((c_TMAP1OUT)-(0))+IF(((c_TMAP1OUT)-(0))&gt;=0,1,-1)*QUOTIENT(((c_TMAP1IN)-(c_TFWD)),2)))&gt;=0,1,0)))</f>
        <v>439</v>
      </c>
      <c r="E579" s="7" t="n">
        <f aca="false">IF(((c_TMAP2IN)-(c_TMAP1IN))=0,(c_TMAP1OUT)+QUOTIENT(((c_TMAP2OUT)-(c_TMAP1OUT)),2),QUOTIENT((((A579)-(c_TMAP1IN))*((c_TMAP2OUT)-(c_TMAP1OUT))+IF(((c_TMAP2OUT)-(c_TMAP1OUT))&gt;=0,1,-1)*QUOTIENT(((c_TMAP2IN)-(c_TMAP1IN)),2)),((c_TMAP2IN)-(c_TMAP1IN)))+(c_TMAP1OUT)+IF(((c_TMAP2OUT)-(c_TMAP1OUT))&gt;=0,IF(IF(o_WRAP=1,MOD(((c_TMAP2IN)-(c_TMAP1IN))*(((A579)-(c_TMAP1IN))*((c_TMAP2OUT)-(c_TMAP1OUT))+IF(((c_TMAP2OUT)-(c_TMAP1OUT))&gt;=0,1,-1)*QUOTIENT(((c_TMAP2IN)-(c_TMAP1IN)),2))+2147483648,4294967296)-2147483648,((c_TMAP2IN)-(c_TMAP1IN))*(((A579)-(c_TMAP1IN))*((c_TMAP2OUT)-(c_TMAP1OUT))+IF(((c_TMAP2OUT)-(c_TMAP1OUT))&gt;=0,1,-1)*QUOTIENT(((c_TMAP2IN)-(c_TMAP1IN)),2)))&lt;0,-1,0),IF(IF(o_WRAP=1,MOD(((c_TMAP2IN)-(c_TMAP1IN))*(((A579)-(c_TMAP1IN))*((c_TMAP2OUT)-(c_TMAP1OUT))+IF(((c_TMAP2OUT)-(c_TMAP1OUT))&gt;=0,1,-1)*QUOTIENT(((c_TMAP2IN)-(c_TMAP1IN)),2))+2147483648,4294967296)-2147483648,((c_TMAP2IN)-(c_TMAP1IN))*(((A579)-(c_TMAP1IN))*((c_TMAP2OUT)-(c_TMAP1OUT))+IF(((c_TMAP2OUT)-(c_TMAP1OUT))&gt;=0,1,-1)*QUOTIENT(((c_TMAP2IN)-(c_TMAP1IN)),2)))&gt;=0,1,0)))</f>
        <v>260</v>
      </c>
      <c r="F579" s="7" t="n">
        <f aca="false">IF(((c_TMAP3IN)-(c_TMAP2IN))=0,(c_TMAP2OUT)+QUOTIENT(((c_TMAP3OUT)-(c_TMAP2OUT)),2),QUOTIENT((((A579)-(c_TMAP2IN))*((c_TMAP3OUT)-(c_TMAP2OUT))+IF(((c_TMAP3OUT)-(c_TMAP2OUT))&gt;=0,1,-1)*QUOTIENT(((c_TMAP3IN)-(c_TMAP2IN)),2)),((c_TMAP3IN)-(c_TMAP2IN)))+(c_TMAP2OUT)+IF(((c_TMAP3OUT)-(c_TMAP2OUT))&gt;=0,IF(IF(o_WRAP=1,MOD(((c_TMAP3IN)-(c_TMAP2IN))*(((A579)-(c_TMAP2IN))*((c_TMAP3OUT)-(c_TMAP2OUT))+IF(((c_TMAP3OUT)-(c_TMAP2OUT))&gt;=0,1,-1)*QUOTIENT(((c_TMAP3IN)-(c_TMAP2IN)),2))+2147483648,4294967296)-2147483648,((c_TMAP3IN)-(c_TMAP2IN))*(((A579)-(c_TMAP2IN))*((c_TMAP3OUT)-(c_TMAP2OUT))+IF(((c_TMAP3OUT)-(c_TMAP2OUT))&gt;=0,1,-1)*QUOTIENT(((c_TMAP3IN)-(c_TMAP2IN)),2)))&lt;0,-1,0),IF(IF(o_WRAP=1,MOD(((c_TMAP3IN)-(c_TMAP2IN))*(((A579)-(c_TMAP2IN))*((c_TMAP3OUT)-(c_TMAP2OUT))+IF(((c_TMAP3OUT)-(c_TMAP2OUT))&gt;=0,1,-1)*QUOTIENT(((c_TMAP3IN)-(c_TMAP2IN)),2))+2147483648,4294967296)-2147483648,((c_TMAP3IN)-(c_TMAP2IN))*(((A579)-(c_TMAP2IN))*((c_TMAP3OUT)-(c_TMAP2OUT))+IF(((c_TMAP3OUT)-(c_TMAP2OUT))&gt;=0,1,-1)*QUOTIENT(((c_TMAP3IN)-(c_TMAP2IN)),2)))&gt;=0,1,0)))</f>
        <v>357</v>
      </c>
      <c r="G579" s="7" t="n">
        <f aca="false">IF(((1000)-(c_TMAP3IN))=0,(c_TMAP3OUT)+QUOTIENT(((1000)-(c_TMAP3OUT)),2),QUOTIENT((((A579)-(c_TMAP3IN))*((1000)-(c_TMAP3OUT))+IF(((1000)-(c_TMAP3OUT))&gt;=0,1,-1)*QUOTIENT(((1000)-(c_TMAP3IN)),2)),((1000)-(c_TMAP3IN)))+(c_TMAP3OUT)+IF(((1000)-(c_TMAP3OUT))&gt;=0,IF(IF(o_WRAP=1,MOD(((1000)-(c_TMAP3IN))*(((A579)-(c_TMAP3IN))*((1000)-(c_TMAP3OUT))+IF(((1000)-(c_TMAP3OUT))&gt;=0,1,-1)*QUOTIENT(((1000)-(c_TMAP3IN)),2))+2147483648,4294967296)-2147483648,((1000)-(c_TMAP3IN))*(((A579)-(c_TMAP3IN))*((1000)-(c_TMAP3OUT))+IF(((1000)-(c_TMAP3OUT))&gt;=0,1,-1)*QUOTIENT(((1000)-(c_TMAP3IN)),2)))&lt;0,-1,0),IF(IF(o_WRAP=1,MOD(((1000)-(c_TMAP3IN))*(((A579)-(c_TMAP3IN))*((1000)-(c_TMAP3OUT))+IF(((1000)-(c_TMAP3OUT))&gt;=0,1,-1)*QUOTIENT(((1000)-(c_TMAP3IN)),2))+2147483648,4294967296)-2147483648,((1000)-(c_TMAP3IN))*(((A579)-(c_TMAP3IN))*((1000)-(c_TMAP3OUT))+IF(((1000)-(c_TMAP3OUT))&gt;=0,1,-1)*QUOTIENT(((1000)-(c_TMAP3IN)),2)))&gt;=0,1,0)))</f>
        <v>476</v>
      </c>
      <c r="H579" s="7" t="str">
        <f aca="false">IF(A579&gt;=c_TFWD,IF(AND(A579&gt;=c_TMAP3IN,c_TMAP3IN&lt;1000),"Seg4 map3-100%",IF(AND(A579&gt;=c_TMAP2IN,c_TMAP3IN&gt;c_TMAP2IN),"Seg3 map2-map3",IF(AND(A579&gt;=c_TMAP1IN,c_TMAP2IN&gt;c_TMAP1IN),"Seg2 map1-map2","Seg1 TFWD-map1"))),IF(AND(A579=0,c_TCREEP&gt;0),"Creep",IF(AND(A579&lt;=c_TRNGMIN,A579&gt;=c_TRNGMAX,c_TRNGMIN-c_TRNGMAX&lt;&gt;0),"Regen ramp","Coast (0)")))</f>
        <v>Seg4 map3-100%</v>
      </c>
      <c r="I579" s="7" t="n">
        <f aca="false">IF(A579&gt;=c_TFWD,IF(AND(A579&gt;=c_TMAP3IN,c_TMAP3IN&lt;1000),G579,IF(AND(A579&gt;=c_TMAP2IN,c_TMAP3IN&gt;c_TMAP2IN),F579,IF(AND(A579&gt;=c_TMAP1IN,c_TMAP2IN&gt;c_TMAP1IN),E579,D579))),C579)</f>
        <v>476</v>
      </c>
      <c r="J579" s="7" t="str">
        <f aca="false">IF(I579&lt;-1090,"TOO LOW",IF(I579&gt;1090,"TOO HIGH",""))</f>
        <v/>
      </c>
      <c r="K579" s="15" t="n">
        <f aca="false">IF(J579&lt;&gt;"",0,IF(I579&gt;979,1000,I579))</f>
        <v>476</v>
      </c>
      <c r="L579" s="7" t="n">
        <f aca="false">K579/10</f>
        <v>47.6</v>
      </c>
    </row>
    <row r="580" customFormat="false" ht="15" hidden="false" customHeight="false" outlineLevel="0" collapsed="false">
      <c r="A580" s="7" t="n">
        <v>575</v>
      </c>
      <c r="B580" s="7" t="n">
        <f aca="false">A580/10</f>
        <v>57.5</v>
      </c>
      <c r="C580" s="7" t="n">
        <f aca="false">IF(AND(A580=0,c_TCREEP&gt;0),10*c_TCREEP,IF(AND(A580&lt;=c_TRNGMIN,A580&gt;=c_TRNGMAX,c_TRNGMIN-c_TRNGMAX&lt;&gt;0),-10*c_TMINRN+QUOTIENT((c_TMAXRN-c_TMINRN)*(100-QUOTIENT((A580-c_TRNGMAX)*100,c_TRNGMIN-c_TRNGMAX)),-10),0))</f>
        <v>0</v>
      </c>
      <c r="D580" s="7" t="n">
        <f aca="false">IF(((c_TMAP1IN)-(c_TFWD))=0,(0)+QUOTIENT(((c_TMAP1OUT)-(0)),2),QUOTIENT((((A580)-(c_TFWD))*((c_TMAP1OUT)-(0))+IF(((c_TMAP1OUT)-(0))&gt;=0,1,-1)*QUOTIENT(((c_TMAP1IN)-(c_TFWD)),2)),((c_TMAP1IN)-(c_TFWD)))+(0)+IF(((c_TMAP1OUT)-(0))&gt;=0,IF(IF(o_WRAP=1,MOD(((c_TMAP1IN)-(c_TFWD))*(((A580)-(c_TFWD))*((c_TMAP1OUT)-(0))+IF(((c_TMAP1OUT)-(0))&gt;=0,1,-1)*QUOTIENT(((c_TMAP1IN)-(c_TFWD)),2))+2147483648,4294967296)-2147483648,((c_TMAP1IN)-(c_TFWD))*(((A580)-(c_TFWD))*((c_TMAP1OUT)-(0))+IF(((c_TMAP1OUT)-(0))&gt;=0,1,-1)*QUOTIENT(((c_TMAP1IN)-(c_TFWD)),2)))&lt;0,-1,0),IF(IF(o_WRAP=1,MOD(((c_TMAP1IN)-(c_TFWD))*(((A580)-(c_TFWD))*((c_TMAP1OUT)-(0))+IF(((c_TMAP1OUT)-(0))&gt;=0,1,-1)*QUOTIENT(((c_TMAP1IN)-(c_TFWD)),2))+2147483648,4294967296)-2147483648,((c_TMAP1IN)-(c_TFWD))*(((A580)-(c_TFWD))*((c_TMAP1OUT)-(0))+IF(((c_TMAP1OUT)-(0))&gt;=0,1,-1)*QUOTIENT(((c_TMAP1IN)-(c_TFWD)),2)))&gt;=0,1,0)))</f>
        <v>439</v>
      </c>
      <c r="E580" s="7" t="n">
        <f aca="false">IF(((c_TMAP2IN)-(c_TMAP1IN))=0,(c_TMAP1OUT)+QUOTIENT(((c_TMAP2OUT)-(c_TMAP1OUT)),2),QUOTIENT((((A580)-(c_TMAP1IN))*((c_TMAP2OUT)-(c_TMAP1OUT))+IF(((c_TMAP2OUT)-(c_TMAP1OUT))&gt;=0,1,-1)*QUOTIENT(((c_TMAP2IN)-(c_TMAP1IN)),2)),((c_TMAP2IN)-(c_TMAP1IN)))+(c_TMAP1OUT)+IF(((c_TMAP2OUT)-(c_TMAP1OUT))&gt;=0,IF(IF(o_WRAP=1,MOD(((c_TMAP2IN)-(c_TMAP1IN))*(((A580)-(c_TMAP1IN))*((c_TMAP2OUT)-(c_TMAP1OUT))+IF(((c_TMAP2OUT)-(c_TMAP1OUT))&gt;=0,1,-1)*QUOTIENT(((c_TMAP2IN)-(c_TMAP1IN)),2))+2147483648,4294967296)-2147483648,((c_TMAP2IN)-(c_TMAP1IN))*(((A580)-(c_TMAP1IN))*((c_TMAP2OUT)-(c_TMAP1OUT))+IF(((c_TMAP2OUT)-(c_TMAP1OUT))&gt;=0,1,-1)*QUOTIENT(((c_TMAP2IN)-(c_TMAP1IN)),2)))&lt;0,-1,0),IF(IF(o_WRAP=1,MOD(((c_TMAP2IN)-(c_TMAP1IN))*(((A580)-(c_TMAP1IN))*((c_TMAP2OUT)-(c_TMAP1OUT))+IF(((c_TMAP2OUT)-(c_TMAP1OUT))&gt;=0,1,-1)*QUOTIENT(((c_TMAP2IN)-(c_TMAP1IN)),2))+2147483648,4294967296)-2147483648,((c_TMAP2IN)-(c_TMAP1IN))*(((A580)-(c_TMAP1IN))*((c_TMAP2OUT)-(c_TMAP1OUT))+IF(((c_TMAP2OUT)-(c_TMAP1OUT))&gt;=0,1,-1)*QUOTIENT(((c_TMAP2IN)-(c_TMAP1IN)),2)))&gt;=0,1,0)))</f>
        <v>260</v>
      </c>
      <c r="F580" s="7" t="n">
        <f aca="false">IF(((c_TMAP3IN)-(c_TMAP2IN))=0,(c_TMAP2OUT)+QUOTIENT(((c_TMAP3OUT)-(c_TMAP2OUT)),2),QUOTIENT((((A580)-(c_TMAP2IN))*((c_TMAP3OUT)-(c_TMAP2OUT))+IF(((c_TMAP3OUT)-(c_TMAP2OUT))&gt;=0,1,-1)*QUOTIENT(((c_TMAP3IN)-(c_TMAP2IN)),2)),((c_TMAP3IN)-(c_TMAP2IN)))+(c_TMAP2OUT)+IF(((c_TMAP3OUT)-(c_TMAP2OUT))&gt;=0,IF(IF(o_WRAP=1,MOD(((c_TMAP3IN)-(c_TMAP2IN))*(((A580)-(c_TMAP2IN))*((c_TMAP3OUT)-(c_TMAP2OUT))+IF(((c_TMAP3OUT)-(c_TMAP2OUT))&gt;=0,1,-1)*QUOTIENT(((c_TMAP3IN)-(c_TMAP2IN)),2))+2147483648,4294967296)-2147483648,((c_TMAP3IN)-(c_TMAP2IN))*(((A580)-(c_TMAP2IN))*((c_TMAP3OUT)-(c_TMAP2OUT))+IF(((c_TMAP3OUT)-(c_TMAP2OUT))&gt;=0,1,-1)*QUOTIENT(((c_TMAP3IN)-(c_TMAP2IN)),2)))&lt;0,-1,0),IF(IF(o_WRAP=1,MOD(((c_TMAP3IN)-(c_TMAP2IN))*(((A580)-(c_TMAP2IN))*((c_TMAP3OUT)-(c_TMAP2OUT))+IF(((c_TMAP3OUT)-(c_TMAP2OUT))&gt;=0,1,-1)*QUOTIENT(((c_TMAP3IN)-(c_TMAP2IN)),2))+2147483648,4294967296)-2147483648,((c_TMAP3IN)-(c_TMAP2IN))*(((A580)-(c_TMAP2IN))*((c_TMAP3OUT)-(c_TMAP2OUT))+IF(((c_TMAP3OUT)-(c_TMAP2OUT))&gt;=0,1,-1)*QUOTIENT(((c_TMAP3IN)-(c_TMAP2IN)),2)))&gt;=0,1,0)))</f>
        <v>358</v>
      </c>
      <c r="G580" s="7" t="n">
        <f aca="false">IF(((1000)-(c_TMAP3IN))=0,(c_TMAP3OUT)+QUOTIENT(((1000)-(c_TMAP3OUT)),2),QUOTIENT((((A580)-(c_TMAP3IN))*((1000)-(c_TMAP3OUT))+IF(((1000)-(c_TMAP3OUT))&gt;=0,1,-1)*QUOTIENT(((1000)-(c_TMAP3IN)),2)),((1000)-(c_TMAP3IN)))+(c_TMAP3OUT)+IF(((1000)-(c_TMAP3OUT))&gt;=0,IF(IF(o_WRAP=1,MOD(((1000)-(c_TMAP3IN))*(((A580)-(c_TMAP3IN))*((1000)-(c_TMAP3OUT))+IF(((1000)-(c_TMAP3OUT))&gt;=0,1,-1)*QUOTIENT(((1000)-(c_TMAP3IN)),2))+2147483648,4294967296)-2147483648,((1000)-(c_TMAP3IN))*(((A580)-(c_TMAP3IN))*((1000)-(c_TMAP3OUT))+IF(((1000)-(c_TMAP3OUT))&gt;=0,1,-1)*QUOTIENT(((1000)-(c_TMAP3IN)),2)))&lt;0,-1,0),IF(IF(o_WRAP=1,MOD(((1000)-(c_TMAP3IN))*(((A580)-(c_TMAP3IN))*((1000)-(c_TMAP3OUT))+IF(((1000)-(c_TMAP3OUT))&gt;=0,1,-1)*QUOTIENT(((1000)-(c_TMAP3IN)),2))+2147483648,4294967296)-2147483648,((1000)-(c_TMAP3IN))*(((A580)-(c_TMAP3IN))*((1000)-(c_TMAP3OUT))+IF(((1000)-(c_TMAP3OUT))&gt;=0,1,-1)*QUOTIENT(((1000)-(c_TMAP3IN)),2)))&gt;=0,1,0)))</f>
        <v>477</v>
      </c>
      <c r="H580" s="7" t="str">
        <f aca="false">IF(A580&gt;=c_TFWD,IF(AND(A580&gt;=c_TMAP3IN,c_TMAP3IN&lt;1000),"Seg4 map3-100%",IF(AND(A580&gt;=c_TMAP2IN,c_TMAP3IN&gt;c_TMAP2IN),"Seg3 map2-map3",IF(AND(A580&gt;=c_TMAP1IN,c_TMAP2IN&gt;c_TMAP1IN),"Seg2 map1-map2","Seg1 TFWD-map1"))),IF(AND(A580=0,c_TCREEP&gt;0),"Creep",IF(AND(A580&lt;=c_TRNGMIN,A580&gt;=c_TRNGMAX,c_TRNGMIN-c_TRNGMAX&lt;&gt;0),"Regen ramp","Coast (0)")))</f>
        <v>Seg4 map3-100%</v>
      </c>
      <c r="I580" s="7" t="n">
        <f aca="false">IF(A580&gt;=c_TFWD,IF(AND(A580&gt;=c_TMAP3IN,c_TMAP3IN&lt;1000),G580,IF(AND(A580&gt;=c_TMAP2IN,c_TMAP3IN&gt;c_TMAP2IN),F580,IF(AND(A580&gt;=c_TMAP1IN,c_TMAP2IN&gt;c_TMAP1IN),E580,D580))),C580)</f>
        <v>477</v>
      </c>
      <c r="J580" s="7" t="str">
        <f aca="false">IF(I580&lt;-1090,"TOO LOW",IF(I580&gt;1090,"TOO HIGH",""))</f>
        <v/>
      </c>
      <c r="K580" s="15" t="n">
        <f aca="false">IF(J580&lt;&gt;"",0,IF(I580&gt;979,1000,I580))</f>
        <v>477</v>
      </c>
      <c r="L580" s="7" t="n">
        <f aca="false">K580/10</f>
        <v>47.7</v>
      </c>
    </row>
    <row r="581" customFormat="false" ht="15" hidden="false" customHeight="false" outlineLevel="0" collapsed="false">
      <c r="A581" s="7" t="n">
        <v>576</v>
      </c>
      <c r="B581" s="7" t="n">
        <f aca="false">A581/10</f>
        <v>57.6</v>
      </c>
      <c r="C581" s="7" t="n">
        <f aca="false">IF(AND(A581=0,c_TCREEP&gt;0),10*c_TCREEP,IF(AND(A581&lt;=c_TRNGMIN,A581&gt;=c_TRNGMAX,c_TRNGMIN-c_TRNGMAX&lt;&gt;0),-10*c_TMINRN+QUOTIENT((c_TMAXRN-c_TMINRN)*(100-QUOTIENT((A581-c_TRNGMAX)*100,c_TRNGMIN-c_TRNGMAX)),-10),0))</f>
        <v>0</v>
      </c>
      <c r="D581" s="7" t="n">
        <f aca="false">IF(((c_TMAP1IN)-(c_TFWD))=0,(0)+QUOTIENT(((c_TMAP1OUT)-(0)),2),QUOTIENT((((A581)-(c_TFWD))*((c_TMAP1OUT)-(0))+IF(((c_TMAP1OUT)-(0))&gt;=0,1,-1)*QUOTIENT(((c_TMAP1IN)-(c_TFWD)),2)),((c_TMAP1IN)-(c_TFWD)))+(0)+IF(((c_TMAP1OUT)-(0))&gt;=0,IF(IF(o_WRAP=1,MOD(((c_TMAP1IN)-(c_TFWD))*(((A581)-(c_TFWD))*((c_TMAP1OUT)-(0))+IF(((c_TMAP1OUT)-(0))&gt;=0,1,-1)*QUOTIENT(((c_TMAP1IN)-(c_TFWD)),2))+2147483648,4294967296)-2147483648,((c_TMAP1IN)-(c_TFWD))*(((A581)-(c_TFWD))*((c_TMAP1OUT)-(0))+IF(((c_TMAP1OUT)-(0))&gt;=0,1,-1)*QUOTIENT(((c_TMAP1IN)-(c_TFWD)),2)))&lt;0,-1,0),IF(IF(o_WRAP=1,MOD(((c_TMAP1IN)-(c_TFWD))*(((A581)-(c_TFWD))*((c_TMAP1OUT)-(0))+IF(((c_TMAP1OUT)-(0))&gt;=0,1,-1)*QUOTIENT(((c_TMAP1IN)-(c_TFWD)),2))+2147483648,4294967296)-2147483648,((c_TMAP1IN)-(c_TFWD))*(((A581)-(c_TFWD))*((c_TMAP1OUT)-(0))+IF(((c_TMAP1OUT)-(0))&gt;=0,1,-1)*QUOTIENT(((c_TMAP1IN)-(c_TFWD)),2)))&gt;=0,1,0)))</f>
        <v>440</v>
      </c>
      <c r="E581" s="7" t="n">
        <f aca="false">IF(((c_TMAP2IN)-(c_TMAP1IN))=0,(c_TMAP1OUT)+QUOTIENT(((c_TMAP2OUT)-(c_TMAP1OUT)),2),QUOTIENT((((A581)-(c_TMAP1IN))*((c_TMAP2OUT)-(c_TMAP1OUT))+IF(((c_TMAP2OUT)-(c_TMAP1OUT))&gt;=0,1,-1)*QUOTIENT(((c_TMAP2IN)-(c_TMAP1IN)),2)),((c_TMAP2IN)-(c_TMAP1IN)))+(c_TMAP1OUT)+IF(((c_TMAP2OUT)-(c_TMAP1OUT))&gt;=0,IF(IF(o_WRAP=1,MOD(((c_TMAP2IN)-(c_TMAP1IN))*(((A581)-(c_TMAP1IN))*((c_TMAP2OUT)-(c_TMAP1OUT))+IF(((c_TMAP2OUT)-(c_TMAP1OUT))&gt;=0,1,-1)*QUOTIENT(((c_TMAP2IN)-(c_TMAP1IN)),2))+2147483648,4294967296)-2147483648,((c_TMAP2IN)-(c_TMAP1IN))*(((A581)-(c_TMAP1IN))*((c_TMAP2OUT)-(c_TMAP1OUT))+IF(((c_TMAP2OUT)-(c_TMAP1OUT))&gt;=0,1,-1)*QUOTIENT(((c_TMAP2IN)-(c_TMAP1IN)),2)))&lt;0,-1,0),IF(IF(o_WRAP=1,MOD(((c_TMAP2IN)-(c_TMAP1IN))*(((A581)-(c_TMAP1IN))*((c_TMAP2OUT)-(c_TMAP1OUT))+IF(((c_TMAP2OUT)-(c_TMAP1OUT))&gt;=0,1,-1)*QUOTIENT(((c_TMAP2IN)-(c_TMAP1IN)),2))+2147483648,4294967296)-2147483648,((c_TMAP2IN)-(c_TMAP1IN))*(((A581)-(c_TMAP1IN))*((c_TMAP2OUT)-(c_TMAP1OUT))+IF(((c_TMAP2OUT)-(c_TMAP1OUT))&gt;=0,1,-1)*QUOTIENT(((c_TMAP2IN)-(c_TMAP1IN)),2)))&gt;=0,1,0)))</f>
        <v>260</v>
      </c>
      <c r="F581" s="7" t="n">
        <f aca="false">IF(((c_TMAP3IN)-(c_TMAP2IN))=0,(c_TMAP2OUT)+QUOTIENT(((c_TMAP3OUT)-(c_TMAP2OUT)),2),QUOTIENT((((A581)-(c_TMAP2IN))*((c_TMAP3OUT)-(c_TMAP2OUT))+IF(((c_TMAP3OUT)-(c_TMAP2OUT))&gt;=0,1,-1)*QUOTIENT(((c_TMAP3IN)-(c_TMAP2IN)),2)),((c_TMAP3IN)-(c_TMAP2IN)))+(c_TMAP2OUT)+IF(((c_TMAP3OUT)-(c_TMAP2OUT))&gt;=0,IF(IF(o_WRAP=1,MOD(((c_TMAP3IN)-(c_TMAP2IN))*(((A581)-(c_TMAP2IN))*((c_TMAP3OUT)-(c_TMAP2OUT))+IF(((c_TMAP3OUT)-(c_TMAP2OUT))&gt;=0,1,-1)*QUOTIENT(((c_TMAP3IN)-(c_TMAP2IN)),2))+2147483648,4294967296)-2147483648,((c_TMAP3IN)-(c_TMAP2IN))*(((A581)-(c_TMAP2IN))*((c_TMAP3OUT)-(c_TMAP2OUT))+IF(((c_TMAP3OUT)-(c_TMAP2OUT))&gt;=0,1,-1)*QUOTIENT(((c_TMAP3IN)-(c_TMAP2IN)),2)))&lt;0,-1,0),IF(IF(o_WRAP=1,MOD(((c_TMAP3IN)-(c_TMAP2IN))*(((A581)-(c_TMAP2IN))*((c_TMAP3OUT)-(c_TMAP2OUT))+IF(((c_TMAP3OUT)-(c_TMAP2OUT))&gt;=0,1,-1)*QUOTIENT(((c_TMAP3IN)-(c_TMAP2IN)),2))+2147483648,4294967296)-2147483648,((c_TMAP3IN)-(c_TMAP2IN))*(((A581)-(c_TMAP2IN))*((c_TMAP3OUT)-(c_TMAP2OUT))+IF(((c_TMAP3OUT)-(c_TMAP2OUT))&gt;=0,1,-1)*QUOTIENT(((c_TMAP3IN)-(c_TMAP2IN)),2)))&gt;=0,1,0)))</f>
        <v>358</v>
      </c>
      <c r="G581" s="7" t="n">
        <f aca="false">IF(((1000)-(c_TMAP3IN))=0,(c_TMAP3OUT)+QUOTIENT(((1000)-(c_TMAP3OUT)),2),QUOTIENT((((A581)-(c_TMAP3IN))*((1000)-(c_TMAP3OUT))+IF(((1000)-(c_TMAP3OUT))&gt;=0,1,-1)*QUOTIENT(((1000)-(c_TMAP3IN)),2)),((1000)-(c_TMAP3IN)))+(c_TMAP3OUT)+IF(((1000)-(c_TMAP3OUT))&gt;=0,IF(IF(o_WRAP=1,MOD(((1000)-(c_TMAP3IN))*(((A581)-(c_TMAP3IN))*((1000)-(c_TMAP3OUT))+IF(((1000)-(c_TMAP3OUT))&gt;=0,1,-1)*QUOTIENT(((1000)-(c_TMAP3IN)),2))+2147483648,4294967296)-2147483648,((1000)-(c_TMAP3IN))*(((A581)-(c_TMAP3IN))*((1000)-(c_TMAP3OUT))+IF(((1000)-(c_TMAP3OUT))&gt;=0,1,-1)*QUOTIENT(((1000)-(c_TMAP3IN)),2)))&lt;0,-1,0),IF(IF(o_WRAP=1,MOD(((1000)-(c_TMAP3IN))*(((A581)-(c_TMAP3IN))*((1000)-(c_TMAP3OUT))+IF(((1000)-(c_TMAP3OUT))&gt;=0,1,-1)*QUOTIENT(((1000)-(c_TMAP3IN)),2))+2147483648,4294967296)-2147483648,((1000)-(c_TMAP3IN))*(((A581)-(c_TMAP3IN))*((1000)-(c_TMAP3OUT))+IF(((1000)-(c_TMAP3OUT))&gt;=0,1,-1)*QUOTIENT(((1000)-(c_TMAP3IN)),2)))&gt;=0,1,0)))</f>
        <v>478</v>
      </c>
      <c r="H581" s="7" t="str">
        <f aca="false">IF(A581&gt;=c_TFWD,IF(AND(A581&gt;=c_TMAP3IN,c_TMAP3IN&lt;1000),"Seg4 map3-100%",IF(AND(A581&gt;=c_TMAP2IN,c_TMAP3IN&gt;c_TMAP2IN),"Seg3 map2-map3",IF(AND(A581&gt;=c_TMAP1IN,c_TMAP2IN&gt;c_TMAP1IN),"Seg2 map1-map2","Seg1 TFWD-map1"))),IF(AND(A581=0,c_TCREEP&gt;0),"Creep",IF(AND(A581&lt;=c_TRNGMIN,A581&gt;=c_TRNGMAX,c_TRNGMIN-c_TRNGMAX&lt;&gt;0),"Regen ramp","Coast (0)")))</f>
        <v>Seg4 map3-100%</v>
      </c>
      <c r="I581" s="7" t="n">
        <f aca="false">IF(A581&gt;=c_TFWD,IF(AND(A581&gt;=c_TMAP3IN,c_TMAP3IN&lt;1000),G581,IF(AND(A581&gt;=c_TMAP2IN,c_TMAP3IN&gt;c_TMAP2IN),F581,IF(AND(A581&gt;=c_TMAP1IN,c_TMAP2IN&gt;c_TMAP1IN),E581,D581))),C581)</f>
        <v>478</v>
      </c>
      <c r="J581" s="7" t="str">
        <f aca="false">IF(I581&lt;-1090,"TOO LOW",IF(I581&gt;1090,"TOO HIGH",""))</f>
        <v/>
      </c>
      <c r="K581" s="15" t="n">
        <f aca="false">IF(J581&lt;&gt;"",0,IF(I581&gt;979,1000,I581))</f>
        <v>478</v>
      </c>
      <c r="L581" s="7" t="n">
        <f aca="false">K581/10</f>
        <v>47.8</v>
      </c>
    </row>
    <row r="582" customFormat="false" ht="15" hidden="false" customHeight="false" outlineLevel="0" collapsed="false">
      <c r="A582" s="7" t="n">
        <v>577</v>
      </c>
      <c r="B582" s="7" t="n">
        <f aca="false">A582/10</f>
        <v>57.7</v>
      </c>
      <c r="C582" s="7" t="n">
        <f aca="false">IF(AND(A582=0,c_TCREEP&gt;0),10*c_TCREEP,IF(AND(A582&lt;=c_TRNGMIN,A582&gt;=c_TRNGMAX,c_TRNGMIN-c_TRNGMAX&lt;&gt;0),-10*c_TMINRN+QUOTIENT((c_TMAXRN-c_TMINRN)*(100-QUOTIENT((A582-c_TRNGMAX)*100,c_TRNGMIN-c_TRNGMAX)),-10),0))</f>
        <v>0</v>
      </c>
      <c r="D582" s="7" t="n">
        <f aca="false">IF(((c_TMAP1IN)-(c_TFWD))=0,(0)+QUOTIENT(((c_TMAP1OUT)-(0)),2),QUOTIENT((((A582)-(c_TFWD))*((c_TMAP1OUT)-(0))+IF(((c_TMAP1OUT)-(0))&gt;=0,1,-1)*QUOTIENT(((c_TMAP1IN)-(c_TFWD)),2)),((c_TMAP1IN)-(c_TFWD)))+(0)+IF(((c_TMAP1OUT)-(0))&gt;=0,IF(IF(o_WRAP=1,MOD(((c_TMAP1IN)-(c_TFWD))*(((A582)-(c_TFWD))*((c_TMAP1OUT)-(0))+IF(((c_TMAP1OUT)-(0))&gt;=0,1,-1)*QUOTIENT(((c_TMAP1IN)-(c_TFWD)),2))+2147483648,4294967296)-2147483648,((c_TMAP1IN)-(c_TFWD))*(((A582)-(c_TFWD))*((c_TMAP1OUT)-(0))+IF(((c_TMAP1OUT)-(0))&gt;=0,1,-1)*QUOTIENT(((c_TMAP1IN)-(c_TFWD)),2)))&lt;0,-1,0),IF(IF(o_WRAP=1,MOD(((c_TMAP1IN)-(c_TFWD))*(((A582)-(c_TFWD))*((c_TMAP1OUT)-(0))+IF(((c_TMAP1OUT)-(0))&gt;=0,1,-1)*QUOTIENT(((c_TMAP1IN)-(c_TFWD)),2))+2147483648,4294967296)-2147483648,((c_TMAP1IN)-(c_TFWD))*(((A582)-(c_TFWD))*((c_TMAP1OUT)-(0))+IF(((c_TMAP1OUT)-(0))&gt;=0,1,-1)*QUOTIENT(((c_TMAP1IN)-(c_TFWD)),2)))&gt;=0,1,0)))</f>
        <v>441</v>
      </c>
      <c r="E582" s="7" t="n">
        <f aca="false">IF(((c_TMAP2IN)-(c_TMAP1IN))=0,(c_TMAP1OUT)+QUOTIENT(((c_TMAP2OUT)-(c_TMAP1OUT)),2),QUOTIENT((((A582)-(c_TMAP1IN))*((c_TMAP2OUT)-(c_TMAP1OUT))+IF(((c_TMAP2OUT)-(c_TMAP1OUT))&gt;=0,1,-1)*QUOTIENT(((c_TMAP2IN)-(c_TMAP1IN)),2)),((c_TMAP2IN)-(c_TMAP1IN)))+(c_TMAP1OUT)+IF(((c_TMAP2OUT)-(c_TMAP1OUT))&gt;=0,IF(IF(o_WRAP=1,MOD(((c_TMAP2IN)-(c_TMAP1IN))*(((A582)-(c_TMAP1IN))*((c_TMAP2OUT)-(c_TMAP1OUT))+IF(((c_TMAP2OUT)-(c_TMAP1OUT))&gt;=0,1,-1)*QUOTIENT(((c_TMAP2IN)-(c_TMAP1IN)),2))+2147483648,4294967296)-2147483648,((c_TMAP2IN)-(c_TMAP1IN))*(((A582)-(c_TMAP1IN))*((c_TMAP2OUT)-(c_TMAP1OUT))+IF(((c_TMAP2OUT)-(c_TMAP1OUT))&gt;=0,1,-1)*QUOTIENT(((c_TMAP2IN)-(c_TMAP1IN)),2)))&lt;0,-1,0),IF(IF(o_WRAP=1,MOD(((c_TMAP2IN)-(c_TMAP1IN))*(((A582)-(c_TMAP1IN))*((c_TMAP2OUT)-(c_TMAP1OUT))+IF(((c_TMAP2OUT)-(c_TMAP1OUT))&gt;=0,1,-1)*QUOTIENT(((c_TMAP2IN)-(c_TMAP1IN)),2))+2147483648,4294967296)-2147483648,((c_TMAP2IN)-(c_TMAP1IN))*(((A582)-(c_TMAP1IN))*((c_TMAP2OUT)-(c_TMAP1OUT))+IF(((c_TMAP2OUT)-(c_TMAP1OUT))&gt;=0,1,-1)*QUOTIENT(((c_TMAP2IN)-(c_TMAP1IN)),2)))&gt;=0,1,0)))</f>
        <v>261</v>
      </c>
      <c r="F582" s="7" t="n">
        <f aca="false">IF(((c_TMAP3IN)-(c_TMAP2IN))=0,(c_TMAP2OUT)+QUOTIENT(((c_TMAP3OUT)-(c_TMAP2OUT)),2),QUOTIENT((((A582)-(c_TMAP2IN))*((c_TMAP3OUT)-(c_TMAP2OUT))+IF(((c_TMAP3OUT)-(c_TMAP2OUT))&gt;=0,1,-1)*QUOTIENT(((c_TMAP3IN)-(c_TMAP2IN)),2)),((c_TMAP3IN)-(c_TMAP2IN)))+(c_TMAP2OUT)+IF(((c_TMAP3OUT)-(c_TMAP2OUT))&gt;=0,IF(IF(o_WRAP=1,MOD(((c_TMAP3IN)-(c_TMAP2IN))*(((A582)-(c_TMAP2IN))*((c_TMAP3OUT)-(c_TMAP2OUT))+IF(((c_TMAP3OUT)-(c_TMAP2OUT))&gt;=0,1,-1)*QUOTIENT(((c_TMAP3IN)-(c_TMAP2IN)),2))+2147483648,4294967296)-2147483648,((c_TMAP3IN)-(c_TMAP2IN))*(((A582)-(c_TMAP2IN))*((c_TMAP3OUT)-(c_TMAP2OUT))+IF(((c_TMAP3OUT)-(c_TMAP2OUT))&gt;=0,1,-1)*QUOTIENT(((c_TMAP3IN)-(c_TMAP2IN)),2)))&lt;0,-1,0),IF(IF(o_WRAP=1,MOD(((c_TMAP3IN)-(c_TMAP2IN))*(((A582)-(c_TMAP2IN))*((c_TMAP3OUT)-(c_TMAP2OUT))+IF(((c_TMAP3OUT)-(c_TMAP2OUT))&gt;=0,1,-1)*QUOTIENT(((c_TMAP3IN)-(c_TMAP2IN)),2))+2147483648,4294967296)-2147483648,((c_TMAP3IN)-(c_TMAP2IN))*(((A582)-(c_TMAP2IN))*((c_TMAP3OUT)-(c_TMAP2OUT))+IF(((c_TMAP3OUT)-(c_TMAP2OUT))&gt;=0,1,-1)*QUOTIENT(((c_TMAP3IN)-(c_TMAP2IN)),2)))&gt;=0,1,0)))</f>
        <v>359</v>
      </c>
      <c r="G582" s="7" t="n">
        <f aca="false">IF(((1000)-(c_TMAP3IN))=0,(c_TMAP3OUT)+QUOTIENT(((1000)-(c_TMAP3OUT)),2),QUOTIENT((((A582)-(c_TMAP3IN))*((1000)-(c_TMAP3OUT))+IF(((1000)-(c_TMAP3OUT))&gt;=0,1,-1)*QUOTIENT(((1000)-(c_TMAP3IN)),2)),((1000)-(c_TMAP3IN)))+(c_TMAP3OUT)+IF(((1000)-(c_TMAP3OUT))&gt;=0,IF(IF(o_WRAP=1,MOD(((1000)-(c_TMAP3IN))*(((A582)-(c_TMAP3IN))*((1000)-(c_TMAP3OUT))+IF(((1000)-(c_TMAP3OUT))&gt;=0,1,-1)*QUOTIENT(((1000)-(c_TMAP3IN)),2))+2147483648,4294967296)-2147483648,((1000)-(c_TMAP3IN))*(((A582)-(c_TMAP3IN))*((1000)-(c_TMAP3OUT))+IF(((1000)-(c_TMAP3OUT))&gt;=0,1,-1)*QUOTIENT(((1000)-(c_TMAP3IN)),2)))&lt;0,-1,0),IF(IF(o_WRAP=1,MOD(((1000)-(c_TMAP3IN))*(((A582)-(c_TMAP3IN))*((1000)-(c_TMAP3OUT))+IF(((1000)-(c_TMAP3OUT))&gt;=0,1,-1)*QUOTIENT(((1000)-(c_TMAP3IN)),2))+2147483648,4294967296)-2147483648,((1000)-(c_TMAP3IN))*(((A582)-(c_TMAP3IN))*((1000)-(c_TMAP3OUT))+IF(((1000)-(c_TMAP3OUT))&gt;=0,1,-1)*QUOTIENT(((1000)-(c_TMAP3IN)),2)))&gt;=0,1,0)))</f>
        <v>479</v>
      </c>
      <c r="H582" s="7" t="str">
        <f aca="false">IF(A582&gt;=c_TFWD,IF(AND(A582&gt;=c_TMAP3IN,c_TMAP3IN&lt;1000),"Seg4 map3-100%",IF(AND(A582&gt;=c_TMAP2IN,c_TMAP3IN&gt;c_TMAP2IN),"Seg3 map2-map3",IF(AND(A582&gt;=c_TMAP1IN,c_TMAP2IN&gt;c_TMAP1IN),"Seg2 map1-map2","Seg1 TFWD-map1"))),IF(AND(A582=0,c_TCREEP&gt;0),"Creep",IF(AND(A582&lt;=c_TRNGMIN,A582&gt;=c_TRNGMAX,c_TRNGMIN-c_TRNGMAX&lt;&gt;0),"Regen ramp","Coast (0)")))</f>
        <v>Seg4 map3-100%</v>
      </c>
      <c r="I582" s="7" t="n">
        <f aca="false">IF(A582&gt;=c_TFWD,IF(AND(A582&gt;=c_TMAP3IN,c_TMAP3IN&lt;1000),G582,IF(AND(A582&gt;=c_TMAP2IN,c_TMAP3IN&gt;c_TMAP2IN),F582,IF(AND(A582&gt;=c_TMAP1IN,c_TMAP2IN&gt;c_TMAP1IN),E582,D582))),C582)</f>
        <v>479</v>
      </c>
      <c r="J582" s="7" t="str">
        <f aca="false">IF(I582&lt;-1090,"TOO LOW",IF(I582&gt;1090,"TOO HIGH",""))</f>
        <v/>
      </c>
      <c r="K582" s="15" t="n">
        <f aca="false">IF(J582&lt;&gt;"",0,IF(I582&gt;979,1000,I582))</f>
        <v>479</v>
      </c>
      <c r="L582" s="7" t="n">
        <f aca="false">K582/10</f>
        <v>47.9</v>
      </c>
    </row>
    <row r="583" customFormat="false" ht="15" hidden="false" customHeight="false" outlineLevel="0" collapsed="false">
      <c r="A583" s="7" t="n">
        <v>578</v>
      </c>
      <c r="B583" s="7" t="n">
        <f aca="false">A583/10</f>
        <v>57.8</v>
      </c>
      <c r="C583" s="7" t="n">
        <f aca="false">IF(AND(A583=0,c_TCREEP&gt;0),10*c_TCREEP,IF(AND(A583&lt;=c_TRNGMIN,A583&gt;=c_TRNGMAX,c_TRNGMIN-c_TRNGMAX&lt;&gt;0),-10*c_TMINRN+QUOTIENT((c_TMAXRN-c_TMINRN)*(100-QUOTIENT((A583-c_TRNGMAX)*100,c_TRNGMIN-c_TRNGMAX)),-10),0))</f>
        <v>0</v>
      </c>
      <c r="D583" s="7" t="n">
        <f aca="false">IF(((c_TMAP1IN)-(c_TFWD))=0,(0)+QUOTIENT(((c_TMAP1OUT)-(0)),2),QUOTIENT((((A583)-(c_TFWD))*((c_TMAP1OUT)-(0))+IF(((c_TMAP1OUT)-(0))&gt;=0,1,-1)*QUOTIENT(((c_TMAP1IN)-(c_TFWD)),2)),((c_TMAP1IN)-(c_TFWD)))+(0)+IF(((c_TMAP1OUT)-(0))&gt;=0,IF(IF(o_WRAP=1,MOD(((c_TMAP1IN)-(c_TFWD))*(((A583)-(c_TFWD))*((c_TMAP1OUT)-(0))+IF(((c_TMAP1OUT)-(0))&gt;=0,1,-1)*QUOTIENT(((c_TMAP1IN)-(c_TFWD)),2))+2147483648,4294967296)-2147483648,((c_TMAP1IN)-(c_TFWD))*(((A583)-(c_TFWD))*((c_TMAP1OUT)-(0))+IF(((c_TMAP1OUT)-(0))&gt;=0,1,-1)*QUOTIENT(((c_TMAP1IN)-(c_TFWD)),2)))&lt;0,-1,0),IF(IF(o_WRAP=1,MOD(((c_TMAP1IN)-(c_TFWD))*(((A583)-(c_TFWD))*((c_TMAP1OUT)-(0))+IF(((c_TMAP1OUT)-(0))&gt;=0,1,-1)*QUOTIENT(((c_TMAP1IN)-(c_TFWD)),2))+2147483648,4294967296)-2147483648,((c_TMAP1IN)-(c_TFWD))*(((A583)-(c_TFWD))*((c_TMAP1OUT)-(0))+IF(((c_TMAP1OUT)-(0))&gt;=0,1,-1)*QUOTIENT(((c_TMAP1IN)-(c_TFWD)),2)))&gt;=0,1,0)))</f>
        <v>442</v>
      </c>
      <c r="E583" s="7" t="n">
        <f aca="false">IF(((c_TMAP2IN)-(c_TMAP1IN))=0,(c_TMAP1OUT)+QUOTIENT(((c_TMAP2OUT)-(c_TMAP1OUT)),2),QUOTIENT((((A583)-(c_TMAP1IN))*((c_TMAP2OUT)-(c_TMAP1OUT))+IF(((c_TMAP2OUT)-(c_TMAP1OUT))&gt;=0,1,-1)*QUOTIENT(((c_TMAP2IN)-(c_TMAP1IN)),2)),((c_TMAP2IN)-(c_TMAP1IN)))+(c_TMAP1OUT)+IF(((c_TMAP2OUT)-(c_TMAP1OUT))&gt;=0,IF(IF(o_WRAP=1,MOD(((c_TMAP2IN)-(c_TMAP1IN))*(((A583)-(c_TMAP1IN))*((c_TMAP2OUT)-(c_TMAP1OUT))+IF(((c_TMAP2OUT)-(c_TMAP1OUT))&gt;=0,1,-1)*QUOTIENT(((c_TMAP2IN)-(c_TMAP1IN)),2))+2147483648,4294967296)-2147483648,((c_TMAP2IN)-(c_TMAP1IN))*(((A583)-(c_TMAP1IN))*((c_TMAP2OUT)-(c_TMAP1OUT))+IF(((c_TMAP2OUT)-(c_TMAP1OUT))&gt;=0,1,-1)*QUOTIENT(((c_TMAP2IN)-(c_TMAP1IN)),2)))&lt;0,-1,0),IF(IF(o_WRAP=1,MOD(((c_TMAP2IN)-(c_TMAP1IN))*(((A583)-(c_TMAP1IN))*((c_TMAP2OUT)-(c_TMAP1OUT))+IF(((c_TMAP2OUT)-(c_TMAP1OUT))&gt;=0,1,-1)*QUOTIENT(((c_TMAP2IN)-(c_TMAP1IN)),2))+2147483648,4294967296)-2147483648,((c_TMAP2IN)-(c_TMAP1IN))*(((A583)-(c_TMAP1IN))*((c_TMAP2OUT)-(c_TMAP1OUT))+IF(((c_TMAP2OUT)-(c_TMAP1OUT))&gt;=0,1,-1)*QUOTIENT(((c_TMAP2IN)-(c_TMAP1IN)),2)))&gt;=0,1,0)))</f>
        <v>261</v>
      </c>
      <c r="F583" s="7" t="n">
        <f aca="false">IF(((c_TMAP3IN)-(c_TMAP2IN))=0,(c_TMAP2OUT)+QUOTIENT(((c_TMAP3OUT)-(c_TMAP2OUT)),2),QUOTIENT((((A583)-(c_TMAP2IN))*((c_TMAP3OUT)-(c_TMAP2OUT))+IF(((c_TMAP3OUT)-(c_TMAP2OUT))&gt;=0,1,-1)*QUOTIENT(((c_TMAP3IN)-(c_TMAP2IN)),2)),((c_TMAP3IN)-(c_TMAP2IN)))+(c_TMAP2OUT)+IF(((c_TMAP3OUT)-(c_TMAP2OUT))&gt;=0,IF(IF(o_WRAP=1,MOD(((c_TMAP3IN)-(c_TMAP2IN))*(((A583)-(c_TMAP2IN))*((c_TMAP3OUT)-(c_TMAP2OUT))+IF(((c_TMAP3OUT)-(c_TMAP2OUT))&gt;=0,1,-1)*QUOTIENT(((c_TMAP3IN)-(c_TMAP2IN)),2))+2147483648,4294967296)-2147483648,((c_TMAP3IN)-(c_TMAP2IN))*(((A583)-(c_TMAP2IN))*((c_TMAP3OUT)-(c_TMAP2OUT))+IF(((c_TMAP3OUT)-(c_TMAP2OUT))&gt;=0,1,-1)*QUOTIENT(((c_TMAP3IN)-(c_TMAP2IN)),2)))&lt;0,-1,0),IF(IF(o_WRAP=1,MOD(((c_TMAP3IN)-(c_TMAP2IN))*(((A583)-(c_TMAP2IN))*((c_TMAP3OUT)-(c_TMAP2OUT))+IF(((c_TMAP3OUT)-(c_TMAP2OUT))&gt;=0,1,-1)*QUOTIENT(((c_TMAP3IN)-(c_TMAP2IN)),2))+2147483648,4294967296)-2147483648,((c_TMAP3IN)-(c_TMAP2IN))*(((A583)-(c_TMAP2IN))*((c_TMAP3OUT)-(c_TMAP2OUT))+IF(((c_TMAP3OUT)-(c_TMAP2OUT))&gt;=0,1,-1)*QUOTIENT(((c_TMAP3IN)-(c_TMAP2IN)),2)))&gt;=0,1,0)))</f>
        <v>360</v>
      </c>
      <c r="G583" s="7" t="n">
        <f aca="false">IF(((1000)-(c_TMAP3IN))=0,(c_TMAP3OUT)+QUOTIENT(((1000)-(c_TMAP3OUT)),2),QUOTIENT((((A583)-(c_TMAP3IN))*((1000)-(c_TMAP3OUT))+IF(((1000)-(c_TMAP3OUT))&gt;=0,1,-1)*QUOTIENT(((1000)-(c_TMAP3IN)),2)),((1000)-(c_TMAP3IN)))+(c_TMAP3OUT)+IF(((1000)-(c_TMAP3OUT))&gt;=0,IF(IF(o_WRAP=1,MOD(((1000)-(c_TMAP3IN))*(((A583)-(c_TMAP3IN))*((1000)-(c_TMAP3OUT))+IF(((1000)-(c_TMAP3OUT))&gt;=0,1,-1)*QUOTIENT(((1000)-(c_TMAP3IN)),2))+2147483648,4294967296)-2147483648,((1000)-(c_TMAP3IN))*(((A583)-(c_TMAP3IN))*((1000)-(c_TMAP3OUT))+IF(((1000)-(c_TMAP3OUT))&gt;=0,1,-1)*QUOTIENT(((1000)-(c_TMAP3IN)),2)))&lt;0,-1,0),IF(IF(o_WRAP=1,MOD(((1000)-(c_TMAP3IN))*(((A583)-(c_TMAP3IN))*((1000)-(c_TMAP3OUT))+IF(((1000)-(c_TMAP3OUT))&gt;=0,1,-1)*QUOTIENT(((1000)-(c_TMAP3IN)),2))+2147483648,4294967296)-2147483648,((1000)-(c_TMAP3IN))*(((A583)-(c_TMAP3IN))*((1000)-(c_TMAP3OUT))+IF(((1000)-(c_TMAP3OUT))&gt;=0,1,-1)*QUOTIENT(((1000)-(c_TMAP3IN)),2)))&gt;=0,1,0)))</f>
        <v>481</v>
      </c>
      <c r="H583" s="7" t="str">
        <f aca="false">IF(A583&gt;=c_TFWD,IF(AND(A583&gt;=c_TMAP3IN,c_TMAP3IN&lt;1000),"Seg4 map3-100%",IF(AND(A583&gt;=c_TMAP2IN,c_TMAP3IN&gt;c_TMAP2IN),"Seg3 map2-map3",IF(AND(A583&gt;=c_TMAP1IN,c_TMAP2IN&gt;c_TMAP1IN),"Seg2 map1-map2","Seg1 TFWD-map1"))),IF(AND(A583=0,c_TCREEP&gt;0),"Creep",IF(AND(A583&lt;=c_TRNGMIN,A583&gt;=c_TRNGMAX,c_TRNGMIN-c_TRNGMAX&lt;&gt;0),"Regen ramp","Coast (0)")))</f>
        <v>Seg4 map3-100%</v>
      </c>
      <c r="I583" s="7" t="n">
        <f aca="false">IF(A583&gt;=c_TFWD,IF(AND(A583&gt;=c_TMAP3IN,c_TMAP3IN&lt;1000),G583,IF(AND(A583&gt;=c_TMAP2IN,c_TMAP3IN&gt;c_TMAP2IN),F583,IF(AND(A583&gt;=c_TMAP1IN,c_TMAP2IN&gt;c_TMAP1IN),E583,D583))),C583)</f>
        <v>481</v>
      </c>
      <c r="J583" s="7" t="str">
        <f aca="false">IF(I583&lt;-1090,"TOO LOW",IF(I583&gt;1090,"TOO HIGH",""))</f>
        <v/>
      </c>
      <c r="K583" s="15" t="n">
        <f aca="false">IF(J583&lt;&gt;"",0,IF(I583&gt;979,1000,I583))</f>
        <v>481</v>
      </c>
      <c r="L583" s="7" t="n">
        <f aca="false">K583/10</f>
        <v>48.1</v>
      </c>
    </row>
    <row r="584" customFormat="false" ht="15" hidden="false" customHeight="false" outlineLevel="0" collapsed="false">
      <c r="A584" s="7" t="n">
        <v>579</v>
      </c>
      <c r="B584" s="7" t="n">
        <f aca="false">A584/10</f>
        <v>57.9</v>
      </c>
      <c r="C584" s="7" t="n">
        <f aca="false">IF(AND(A584=0,c_TCREEP&gt;0),10*c_TCREEP,IF(AND(A584&lt;=c_TRNGMIN,A584&gt;=c_TRNGMAX,c_TRNGMIN-c_TRNGMAX&lt;&gt;0),-10*c_TMINRN+QUOTIENT((c_TMAXRN-c_TMINRN)*(100-QUOTIENT((A584-c_TRNGMAX)*100,c_TRNGMIN-c_TRNGMAX)),-10),0))</f>
        <v>0</v>
      </c>
      <c r="D584" s="7" t="n">
        <f aca="false">IF(((c_TMAP1IN)-(c_TFWD))=0,(0)+QUOTIENT(((c_TMAP1OUT)-(0)),2),QUOTIENT((((A584)-(c_TFWD))*((c_TMAP1OUT)-(0))+IF(((c_TMAP1OUT)-(0))&gt;=0,1,-1)*QUOTIENT(((c_TMAP1IN)-(c_TFWD)),2)),((c_TMAP1IN)-(c_TFWD)))+(0)+IF(((c_TMAP1OUT)-(0))&gt;=0,IF(IF(o_WRAP=1,MOD(((c_TMAP1IN)-(c_TFWD))*(((A584)-(c_TFWD))*((c_TMAP1OUT)-(0))+IF(((c_TMAP1OUT)-(0))&gt;=0,1,-1)*QUOTIENT(((c_TMAP1IN)-(c_TFWD)),2))+2147483648,4294967296)-2147483648,((c_TMAP1IN)-(c_TFWD))*(((A584)-(c_TFWD))*((c_TMAP1OUT)-(0))+IF(((c_TMAP1OUT)-(0))&gt;=0,1,-1)*QUOTIENT(((c_TMAP1IN)-(c_TFWD)),2)))&lt;0,-1,0),IF(IF(o_WRAP=1,MOD(((c_TMAP1IN)-(c_TFWD))*(((A584)-(c_TFWD))*((c_TMAP1OUT)-(0))+IF(((c_TMAP1OUT)-(0))&gt;=0,1,-1)*QUOTIENT(((c_TMAP1IN)-(c_TFWD)),2))+2147483648,4294967296)-2147483648,((c_TMAP1IN)-(c_TFWD))*(((A584)-(c_TFWD))*((c_TMAP1OUT)-(0))+IF(((c_TMAP1OUT)-(0))&gt;=0,1,-1)*QUOTIENT(((c_TMAP1IN)-(c_TFWD)),2)))&gt;=0,1,0)))</f>
        <v>443</v>
      </c>
      <c r="E584" s="7" t="n">
        <f aca="false">IF(((c_TMAP2IN)-(c_TMAP1IN))=0,(c_TMAP1OUT)+QUOTIENT(((c_TMAP2OUT)-(c_TMAP1OUT)),2),QUOTIENT((((A584)-(c_TMAP1IN))*((c_TMAP2OUT)-(c_TMAP1OUT))+IF(((c_TMAP2OUT)-(c_TMAP1OUT))&gt;=0,1,-1)*QUOTIENT(((c_TMAP2IN)-(c_TMAP1IN)),2)),((c_TMAP2IN)-(c_TMAP1IN)))+(c_TMAP1OUT)+IF(((c_TMAP2OUT)-(c_TMAP1OUT))&gt;=0,IF(IF(o_WRAP=1,MOD(((c_TMAP2IN)-(c_TMAP1IN))*(((A584)-(c_TMAP1IN))*((c_TMAP2OUT)-(c_TMAP1OUT))+IF(((c_TMAP2OUT)-(c_TMAP1OUT))&gt;=0,1,-1)*QUOTIENT(((c_TMAP2IN)-(c_TMAP1IN)),2))+2147483648,4294967296)-2147483648,((c_TMAP2IN)-(c_TMAP1IN))*(((A584)-(c_TMAP1IN))*((c_TMAP2OUT)-(c_TMAP1OUT))+IF(((c_TMAP2OUT)-(c_TMAP1OUT))&gt;=0,1,-1)*QUOTIENT(((c_TMAP2IN)-(c_TMAP1IN)),2)))&lt;0,-1,0),IF(IF(o_WRAP=1,MOD(((c_TMAP2IN)-(c_TMAP1IN))*(((A584)-(c_TMAP1IN))*((c_TMAP2OUT)-(c_TMAP1OUT))+IF(((c_TMAP2OUT)-(c_TMAP1OUT))&gt;=0,1,-1)*QUOTIENT(((c_TMAP2IN)-(c_TMAP1IN)),2))+2147483648,4294967296)-2147483648,((c_TMAP2IN)-(c_TMAP1IN))*(((A584)-(c_TMAP1IN))*((c_TMAP2OUT)-(c_TMAP1OUT))+IF(((c_TMAP2OUT)-(c_TMAP1OUT))&gt;=0,1,-1)*QUOTIENT(((c_TMAP2IN)-(c_TMAP1IN)),2)))&gt;=0,1,0)))</f>
        <v>262</v>
      </c>
      <c r="F584" s="7" t="n">
        <f aca="false">IF(((c_TMAP3IN)-(c_TMAP2IN))=0,(c_TMAP2OUT)+QUOTIENT(((c_TMAP3OUT)-(c_TMAP2OUT)),2),QUOTIENT((((A584)-(c_TMAP2IN))*((c_TMAP3OUT)-(c_TMAP2OUT))+IF(((c_TMAP3OUT)-(c_TMAP2OUT))&gt;=0,1,-1)*QUOTIENT(((c_TMAP3IN)-(c_TMAP2IN)),2)),((c_TMAP3IN)-(c_TMAP2IN)))+(c_TMAP2OUT)+IF(((c_TMAP3OUT)-(c_TMAP2OUT))&gt;=0,IF(IF(o_WRAP=1,MOD(((c_TMAP3IN)-(c_TMAP2IN))*(((A584)-(c_TMAP2IN))*((c_TMAP3OUT)-(c_TMAP2OUT))+IF(((c_TMAP3OUT)-(c_TMAP2OUT))&gt;=0,1,-1)*QUOTIENT(((c_TMAP3IN)-(c_TMAP2IN)),2))+2147483648,4294967296)-2147483648,((c_TMAP3IN)-(c_TMAP2IN))*(((A584)-(c_TMAP2IN))*((c_TMAP3OUT)-(c_TMAP2OUT))+IF(((c_TMAP3OUT)-(c_TMAP2OUT))&gt;=0,1,-1)*QUOTIENT(((c_TMAP3IN)-(c_TMAP2IN)),2)))&lt;0,-1,0),IF(IF(o_WRAP=1,MOD(((c_TMAP3IN)-(c_TMAP2IN))*(((A584)-(c_TMAP2IN))*((c_TMAP3OUT)-(c_TMAP2OUT))+IF(((c_TMAP3OUT)-(c_TMAP2OUT))&gt;=0,1,-1)*QUOTIENT(((c_TMAP3IN)-(c_TMAP2IN)),2))+2147483648,4294967296)-2147483648,((c_TMAP3IN)-(c_TMAP2IN))*(((A584)-(c_TMAP2IN))*((c_TMAP3OUT)-(c_TMAP2OUT))+IF(((c_TMAP3OUT)-(c_TMAP2OUT))&gt;=0,1,-1)*QUOTIENT(((c_TMAP3IN)-(c_TMAP2IN)),2)))&gt;=0,1,0)))</f>
        <v>360</v>
      </c>
      <c r="G584" s="7" t="n">
        <f aca="false">IF(((1000)-(c_TMAP3IN))=0,(c_TMAP3OUT)+QUOTIENT(((1000)-(c_TMAP3OUT)),2),QUOTIENT((((A584)-(c_TMAP3IN))*((1000)-(c_TMAP3OUT))+IF(((1000)-(c_TMAP3OUT))&gt;=0,1,-1)*QUOTIENT(((1000)-(c_TMAP3IN)),2)),((1000)-(c_TMAP3IN)))+(c_TMAP3OUT)+IF(((1000)-(c_TMAP3OUT))&gt;=0,IF(IF(o_WRAP=1,MOD(((1000)-(c_TMAP3IN))*(((A584)-(c_TMAP3IN))*((1000)-(c_TMAP3OUT))+IF(((1000)-(c_TMAP3OUT))&gt;=0,1,-1)*QUOTIENT(((1000)-(c_TMAP3IN)),2))+2147483648,4294967296)-2147483648,((1000)-(c_TMAP3IN))*(((A584)-(c_TMAP3IN))*((1000)-(c_TMAP3OUT))+IF(((1000)-(c_TMAP3OUT))&gt;=0,1,-1)*QUOTIENT(((1000)-(c_TMAP3IN)),2)))&lt;0,-1,0),IF(IF(o_WRAP=1,MOD(((1000)-(c_TMAP3IN))*(((A584)-(c_TMAP3IN))*((1000)-(c_TMAP3OUT))+IF(((1000)-(c_TMAP3OUT))&gt;=0,1,-1)*QUOTIENT(((1000)-(c_TMAP3IN)),2))+2147483648,4294967296)-2147483648,((1000)-(c_TMAP3IN))*(((A584)-(c_TMAP3IN))*((1000)-(c_TMAP3OUT))+IF(((1000)-(c_TMAP3OUT))&gt;=0,1,-1)*QUOTIENT(((1000)-(c_TMAP3IN)),2)))&gt;=0,1,0)))</f>
        <v>482</v>
      </c>
      <c r="H584" s="7" t="str">
        <f aca="false">IF(A584&gt;=c_TFWD,IF(AND(A584&gt;=c_TMAP3IN,c_TMAP3IN&lt;1000),"Seg4 map3-100%",IF(AND(A584&gt;=c_TMAP2IN,c_TMAP3IN&gt;c_TMAP2IN),"Seg3 map2-map3",IF(AND(A584&gt;=c_TMAP1IN,c_TMAP2IN&gt;c_TMAP1IN),"Seg2 map1-map2","Seg1 TFWD-map1"))),IF(AND(A584=0,c_TCREEP&gt;0),"Creep",IF(AND(A584&lt;=c_TRNGMIN,A584&gt;=c_TRNGMAX,c_TRNGMIN-c_TRNGMAX&lt;&gt;0),"Regen ramp","Coast (0)")))</f>
        <v>Seg4 map3-100%</v>
      </c>
      <c r="I584" s="7" t="n">
        <f aca="false">IF(A584&gt;=c_TFWD,IF(AND(A584&gt;=c_TMAP3IN,c_TMAP3IN&lt;1000),G584,IF(AND(A584&gt;=c_TMAP2IN,c_TMAP3IN&gt;c_TMAP2IN),F584,IF(AND(A584&gt;=c_TMAP1IN,c_TMAP2IN&gt;c_TMAP1IN),E584,D584))),C584)</f>
        <v>482</v>
      </c>
      <c r="J584" s="7" t="str">
        <f aca="false">IF(I584&lt;-1090,"TOO LOW",IF(I584&gt;1090,"TOO HIGH",""))</f>
        <v/>
      </c>
      <c r="K584" s="15" t="n">
        <f aca="false">IF(J584&lt;&gt;"",0,IF(I584&gt;979,1000,I584))</f>
        <v>482</v>
      </c>
      <c r="L584" s="7" t="n">
        <f aca="false">K584/10</f>
        <v>48.2</v>
      </c>
    </row>
    <row r="585" customFormat="false" ht="15" hidden="false" customHeight="false" outlineLevel="0" collapsed="false">
      <c r="A585" s="7" t="n">
        <v>580</v>
      </c>
      <c r="B585" s="7" t="n">
        <f aca="false">A585/10</f>
        <v>58</v>
      </c>
      <c r="C585" s="7" t="n">
        <f aca="false">IF(AND(A585=0,c_TCREEP&gt;0),10*c_TCREEP,IF(AND(A585&lt;=c_TRNGMIN,A585&gt;=c_TRNGMAX,c_TRNGMIN-c_TRNGMAX&lt;&gt;0),-10*c_TMINRN+QUOTIENT((c_TMAXRN-c_TMINRN)*(100-QUOTIENT((A585-c_TRNGMAX)*100,c_TRNGMIN-c_TRNGMAX)),-10),0))</f>
        <v>0</v>
      </c>
      <c r="D585" s="7" t="n">
        <f aca="false">IF(((c_TMAP1IN)-(c_TFWD))=0,(0)+QUOTIENT(((c_TMAP1OUT)-(0)),2),QUOTIENT((((A585)-(c_TFWD))*((c_TMAP1OUT)-(0))+IF(((c_TMAP1OUT)-(0))&gt;=0,1,-1)*QUOTIENT(((c_TMAP1IN)-(c_TFWD)),2)),((c_TMAP1IN)-(c_TFWD)))+(0)+IF(((c_TMAP1OUT)-(0))&gt;=0,IF(IF(o_WRAP=1,MOD(((c_TMAP1IN)-(c_TFWD))*(((A585)-(c_TFWD))*((c_TMAP1OUT)-(0))+IF(((c_TMAP1OUT)-(0))&gt;=0,1,-1)*QUOTIENT(((c_TMAP1IN)-(c_TFWD)),2))+2147483648,4294967296)-2147483648,((c_TMAP1IN)-(c_TFWD))*(((A585)-(c_TFWD))*((c_TMAP1OUT)-(0))+IF(((c_TMAP1OUT)-(0))&gt;=0,1,-1)*QUOTIENT(((c_TMAP1IN)-(c_TFWD)),2)))&lt;0,-1,0),IF(IF(o_WRAP=1,MOD(((c_TMAP1IN)-(c_TFWD))*(((A585)-(c_TFWD))*((c_TMAP1OUT)-(0))+IF(((c_TMAP1OUT)-(0))&gt;=0,1,-1)*QUOTIENT(((c_TMAP1IN)-(c_TFWD)),2))+2147483648,4294967296)-2147483648,((c_TMAP1IN)-(c_TFWD))*(((A585)-(c_TFWD))*((c_TMAP1OUT)-(0))+IF(((c_TMAP1OUT)-(0))&gt;=0,1,-1)*QUOTIENT(((c_TMAP1IN)-(c_TFWD)),2)))&gt;=0,1,0)))</f>
        <v>443</v>
      </c>
      <c r="E585" s="7" t="n">
        <f aca="false">IF(((c_TMAP2IN)-(c_TMAP1IN))=0,(c_TMAP1OUT)+QUOTIENT(((c_TMAP2OUT)-(c_TMAP1OUT)),2),QUOTIENT((((A585)-(c_TMAP1IN))*((c_TMAP2OUT)-(c_TMAP1OUT))+IF(((c_TMAP2OUT)-(c_TMAP1OUT))&gt;=0,1,-1)*QUOTIENT(((c_TMAP2IN)-(c_TMAP1IN)),2)),((c_TMAP2IN)-(c_TMAP1IN)))+(c_TMAP1OUT)+IF(((c_TMAP2OUT)-(c_TMAP1OUT))&gt;=0,IF(IF(o_WRAP=1,MOD(((c_TMAP2IN)-(c_TMAP1IN))*(((A585)-(c_TMAP1IN))*((c_TMAP2OUT)-(c_TMAP1OUT))+IF(((c_TMAP2OUT)-(c_TMAP1OUT))&gt;=0,1,-1)*QUOTIENT(((c_TMAP2IN)-(c_TMAP1IN)),2))+2147483648,4294967296)-2147483648,((c_TMAP2IN)-(c_TMAP1IN))*(((A585)-(c_TMAP1IN))*((c_TMAP2OUT)-(c_TMAP1OUT))+IF(((c_TMAP2OUT)-(c_TMAP1OUT))&gt;=0,1,-1)*QUOTIENT(((c_TMAP2IN)-(c_TMAP1IN)),2)))&lt;0,-1,0),IF(IF(o_WRAP=1,MOD(((c_TMAP2IN)-(c_TMAP1IN))*(((A585)-(c_TMAP1IN))*((c_TMAP2OUT)-(c_TMAP1OUT))+IF(((c_TMAP2OUT)-(c_TMAP1OUT))&gt;=0,1,-1)*QUOTIENT(((c_TMAP2IN)-(c_TMAP1IN)),2))+2147483648,4294967296)-2147483648,((c_TMAP2IN)-(c_TMAP1IN))*(((A585)-(c_TMAP1IN))*((c_TMAP2OUT)-(c_TMAP1OUT))+IF(((c_TMAP2OUT)-(c_TMAP1OUT))&gt;=0,1,-1)*QUOTIENT(((c_TMAP2IN)-(c_TMAP1IN)),2)))&gt;=0,1,0)))</f>
        <v>262</v>
      </c>
      <c r="F585" s="7" t="n">
        <f aca="false">IF(((c_TMAP3IN)-(c_TMAP2IN))=0,(c_TMAP2OUT)+QUOTIENT(((c_TMAP3OUT)-(c_TMAP2OUT)),2),QUOTIENT((((A585)-(c_TMAP2IN))*((c_TMAP3OUT)-(c_TMAP2OUT))+IF(((c_TMAP3OUT)-(c_TMAP2OUT))&gt;=0,1,-1)*QUOTIENT(((c_TMAP3IN)-(c_TMAP2IN)),2)),((c_TMAP3IN)-(c_TMAP2IN)))+(c_TMAP2OUT)+IF(((c_TMAP3OUT)-(c_TMAP2OUT))&gt;=0,IF(IF(o_WRAP=1,MOD(((c_TMAP3IN)-(c_TMAP2IN))*(((A585)-(c_TMAP2IN))*((c_TMAP3OUT)-(c_TMAP2OUT))+IF(((c_TMAP3OUT)-(c_TMAP2OUT))&gt;=0,1,-1)*QUOTIENT(((c_TMAP3IN)-(c_TMAP2IN)),2))+2147483648,4294967296)-2147483648,((c_TMAP3IN)-(c_TMAP2IN))*(((A585)-(c_TMAP2IN))*((c_TMAP3OUT)-(c_TMAP2OUT))+IF(((c_TMAP3OUT)-(c_TMAP2OUT))&gt;=0,1,-1)*QUOTIENT(((c_TMAP3IN)-(c_TMAP2IN)),2)))&lt;0,-1,0),IF(IF(o_WRAP=1,MOD(((c_TMAP3IN)-(c_TMAP2IN))*(((A585)-(c_TMAP2IN))*((c_TMAP3OUT)-(c_TMAP2OUT))+IF(((c_TMAP3OUT)-(c_TMAP2OUT))&gt;=0,1,-1)*QUOTIENT(((c_TMAP3IN)-(c_TMAP2IN)),2))+2147483648,4294967296)-2147483648,((c_TMAP3IN)-(c_TMAP2IN))*(((A585)-(c_TMAP2IN))*((c_TMAP3OUT)-(c_TMAP2OUT))+IF(((c_TMAP3OUT)-(c_TMAP2OUT))&gt;=0,1,-1)*QUOTIENT(((c_TMAP3IN)-(c_TMAP2IN)),2)))&gt;=0,1,0)))</f>
        <v>361</v>
      </c>
      <c r="G585" s="7" t="n">
        <f aca="false">IF(((1000)-(c_TMAP3IN))=0,(c_TMAP3OUT)+QUOTIENT(((1000)-(c_TMAP3OUT)),2),QUOTIENT((((A585)-(c_TMAP3IN))*((1000)-(c_TMAP3OUT))+IF(((1000)-(c_TMAP3OUT))&gt;=0,1,-1)*QUOTIENT(((1000)-(c_TMAP3IN)),2)),((1000)-(c_TMAP3IN)))+(c_TMAP3OUT)+IF(((1000)-(c_TMAP3OUT))&gt;=0,IF(IF(o_WRAP=1,MOD(((1000)-(c_TMAP3IN))*(((A585)-(c_TMAP3IN))*((1000)-(c_TMAP3OUT))+IF(((1000)-(c_TMAP3OUT))&gt;=0,1,-1)*QUOTIENT(((1000)-(c_TMAP3IN)),2))+2147483648,4294967296)-2147483648,((1000)-(c_TMAP3IN))*(((A585)-(c_TMAP3IN))*((1000)-(c_TMAP3OUT))+IF(((1000)-(c_TMAP3OUT))&gt;=0,1,-1)*QUOTIENT(((1000)-(c_TMAP3IN)),2)))&lt;0,-1,0),IF(IF(o_WRAP=1,MOD(((1000)-(c_TMAP3IN))*(((A585)-(c_TMAP3IN))*((1000)-(c_TMAP3OUT))+IF(((1000)-(c_TMAP3OUT))&gt;=0,1,-1)*QUOTIENT(((1000)-(c_TMAP3IN)),2))+2147483648,4294967296)-2147483648,((1000)-(c_TMAP3IN))*(((A585)-(c_TMAP3IN))*((1000)-(c_TMAP3OUT))+IF(((1000)-(c_TMAP3OUT))&gt;=0,1,-1)*QUOTIENT(((1000)-(c_TMAP3IN)),2)))&gt;=0,1,0)))</f>
        <v>483</v>
      </c>
      <c r="H585" s="7" t="str">
        <f aca="false">IF(A585&gt;=c_TFWD,IF(AND(A585&gt;=c_TMAP3IN,c_TMAP3IN&lt;1000),"Seg4 map3-100%",IF(AND(A585&gt;=c_TMAP2IN,c_TMAP3IN&gt;c_TMAP2IN),"Seg3 map2-map3",IF(AND(A585&gt;=c_TMAP1IN,c_TMAP2IN&gt;c_TMAP1IN),"Seg2 map1-map2","Seg1 TFWD-map1"))),IF(AND(A585=0,c_TCREEP&gt;0),"Creep",IF(AND(A585&lt;=c_TRNGMIN,A585&gt;=c_TRNGMAX,c_TRNGMIN-c_TRNGMAX&lt;&gt;0),"Regen ramp","Coast (0)")))</f>
        <v>Seg4 map3-100%</v>
      </c>
      <c r="I585" s="7" t="n">
        <f aca="false">IF(A585&gt;=c_TFWD,IF(AND(A585&gt;=c_TMAP3IN,c_TMAP3IN&lt;1000),G585,IF(AND(A585&gt;=c_TMAP2IN,c_TMAP3IN&gt;c_TMAP2IN),F585,IF(AND(A585&gt;=c_TMAP1IN,c_TMAP2IN&gt;c_TMAP1IN),E585,D585))),C585)</f>
        <v>483</v>
      </c>
      <c r="J585" s="7" t="str">
        <f aca="false">IF(I585&lt;-1090,"TOO LOW",IF(I585&gt;1090,"TOO HIGH",""))</f>
        <v/>
      </c>
      <c r="K585" s="15" t="n">
        <f aca="false">IF(J585&lt;&gt;"",0,IF(I585&gt;979,1000,I585))</f>
        <v>483</v>
      </c>
      <c r="L585" s="7" t="n">
        <f aca="false">K585/10</f>
        <v>48.3</v>
      </c>
    </row>
    <row r="586" customFormat="false" ht="15" hidden="false" customHeight="false" outlineLevel="0" collapsed="false">
      <c r="A586" s="7" t="n">
        <v>581</v>
      </c>
      <c r="B586" s="7" t="n">
        <f aca="false">A586/10</f>
        <v>58.1</v>
      </c>
      <c r="C586" s="7" t="n">
        <f aca="false">IF(AND(A586=0,c_TCREEP&gt;0),10*c_TCREEP,IF(AND(A586&lt;=c_TRNGMIN,A586&gt;=c_TRNGMAX,c_TRNGMIN-c_TRNGMAX&lt;&gt;0),-10*c_TMINRN+QUOTIENT((c_TMAXRN-c_TMINRN)*(100-QUOTIENT((A586-c_TRNGMAX)*100,c_TRNGMIN-c_TRNGMAX)),-10),0))</f>
        <v>0</v>
      </c>
      <c r="D586" s="7" t="n">
        <f aca="false">IF(((c_TMAP1IN)-(c_TFWD))=0,(0)+QUOTIENT(((c_TMAP1OUT)-(0)),2),QUOTIENT((((A586)-(c_TFWD))*((c_TMAP1OUT)-(0))+IF(((c_TMAP1OUT)-(0))&gt;=0,1,-1)*QUOTIENT(((c_TMAP1IN)-(c_TFWD)),2)),((c_TMAP1IN)-(c_TFWD)))+(0)+IF(((c_TMAP1OUT)-(0))&gt;=0,IF(IF(o_WRAP=1,MOD(((c_TMAP1IN)-(c_TFWD))*(((A586)-(c_TFWD))*((c_TMAP1OUT)-(0))+IF(((c_TMAP1OUT)-(0))&gt;=0,1,-1)*QUOTIENT(((c_TMAP1IN)-(c_TFWD)),2))+2147483648,4294967296)-2147483648,((c_TMAP1IN)-(c_TFWD))*(((A586)-(c_TFWD))*((c_TMAP1OUT)-(0))+IF(((c_TMAP1OUT)-(0))&gt;=0,1,-1)*QUOTIENT(((c_TMAP1IN)-(c_TFWD)),2)))&lt;0,-1,0),IF(IF(o_WRAP=1,MOD(((c_TMAP1IN)-(c_TFWD))*(((A586)-(c_TFWD))*((c_TMAP1OUT)-(0))+IF(((c_TMAP1OUT)-(0))&gt;=0,1,-1)*QUOTIENT(((c_TMAP1IN)-(c_TFWD)),2))+2147483648,4294967296)-2147483648,((c_TMAP1IN)-(c_TFWD))*(((A586)-(c_TFWD))*((c_TMAP1OUT)-(0))+IF(((c_TMAP1OUT)-(0))&gt;=0,1,-1)*QUOTIENT(((c_TMAP1IN)-(c_TFWD)),2)))&gt;=0,1,0)))</f>
        <v>444</v>
      </c>
      <c r="E586" s="7" t="n">
        <f aca="false">IF(((c_TMAP2IN)-(c_TMAP1IN))=0,(c_TMAP1OUT)+QUOTIENT(((c_TMAP2OUT)-(c_TMAP1OUT)),2),QUOTIENT((((A586)-(c_TMAP1IN))*((c_TMAP2OUT)-(c_TMAP1OUT))+IF(((c_TMAP2OUT)-(c_TMAP1OUT))&gt;=0,1,-1)*QUOTIENT(((c_TMAP2IN)-(c_TMAP1IN)),2)),((c_TMAP2IN)-(c_TMAP1IN)))+(c_TMAP1OUT)+IF(((c_TMAP2OUT)-(c_TMAP1OUT))&gt;=0,IF(IF(o_WRAP=1,MOD(((c_TMAP2IN)-(c_TMAP1IN))*(((A586)-(c_TMAP1IN))*((c_TMAP2OUT)-(c_TMAP1OUT))+IF(((c_TMAP2OUT)-(c_TMAP1OUT))&gt;=0,1,-1)*QUOTIENT(((c_TMAP2IN)-(c_TMAP1IN)),2))+2147483648,4294967296)-2147483648,((c_TMAP2IN)-(c_TMAP1IN))*(((A586)-(c_TMAP1IN))*((c_TMAP2OUT)-(c_TMAP1OUT))+IF(((c_TMAP2OUT)-(c_TMAP1OUT))&gt;=0,1,-1)*QUOTIENT(((c_TMAP2IN)-(c_TMAP1IN)),2)))&lt;0,-1,0),IF(IF(o_WRAP=1,MOD(((c_TMAP2IN)-(c_TMAP1IN))*(((A586)-(c_TMAP1IN))*((c_TMAP2OUT)-(c_TMAP1OUT))+IF(((c_TMAP2OUT)-(c_TMAP1OUT))&gt;=0,1,-1)*QUOTIENT(((c_TMAP2IN)-(c_TMAP1IN)),2))+2147483648,4294967296)-2147483648,((c_TMAP2IN)-(c_TMAP1IN))*(((A586)-(c_TMAP1IN))*((c_TMAP2OUT)-(c_TMAP1OUT))+IF(((c_TMAP2OUT)-(c_TMAP1OUT))&gt;=0,1,-1)*QUOTIENT(((c_TMAP2IN)-(c_TMAP1IN)),2)))&gt;=0,1,0)))</f>
        <v>262</v>
      </c>
      <c r="F586" s="7" t="n">
        <f aca="false">IF(((c_TMAP3IN)-(c_TMAP2IN))=0,(c_TMAP2OUT)+QUOTIENT(((c_TMAP3OUT)-(c_TMAP2OUT)),2),QUOTIENT((((A586)-(c_TMAP2IN))*((c_TMAP3OUT)-(c_TMAP2OUT))+IF(((c_TMAP3OUT)-(c_TMAP2OUT))&gt;=0,1,-1)*QUOTIENT(((c_TMAP3IN)-(c_TMAP2IN)),2)),((c_TMAP3IN)-(c_TMAP2IN)))+(c_TMAP2OUT)+IF(((c_TMAP3OUT)-(c_TMAP2OUT))&gt;=0,IF(IF(o_WRAP=1,MOD(((c_TMAP3IN)-(c_TMAP2IN))*(((A586)-(c_TMAP2IN))*((c_TMAP3OUT)-(c_TMAP2OUT))+IF(((c_TMAP3OUT)-(c_TMAP2OUT))&gt;=0,1,-1)*QUOTIENT(((c_TMAP3IN)-(c_TMAP2IN)),2))+2147483648,4294967296)-2147483648,((c_TMAP3IN)-(c_TMAP2IN))*(((A586)-(c_TMAP2IN))*((c_TMAP3OUT)-(c_TMAP2OUT))+IF(((c_TMAP3OUT)-(c_TMAP2OUT))&gt;=0,1,-1)*QUOTIENT(((c_TMAP3IN)-(c_TMAP2IN)),2)))&lt;0,-1,0),IF(IF(o_WRAP=1,MOD(((c_TMAP3IN)-(c_TMAP2IN))*(((A586)-(c_TMAP2IN))*((c_TMAP3OUT)-(c_TMAP2OUT))+IF(((c_TMAP3OUT)-(c_TMAP2OUT))&gt;=0,1,-1)*QUOTIENT(((c_TMAP3IN)-(c_TMAP2IN)),2))+2147483648,4294967296)-2147483648,((c_TMAP3IN)-(c_TMAP2IN))*(((A586)-(c_TMAP2IN))*((c_TMAP3OUT)-(c_TMAP2OUT))+IF(((c_TMAP3OUT)-(c_TMAP2OUT))&gt;=0,1,-1)*QUOTIENT(((c_TMAP3IN)-(c_TMAP2IN)),2)))&gt;=0,1,0)))</f>
        <v>362</v>
      </c>
      <c r="G586" s="7" t="n">
        <f aca="false">IF(((1000)-(c_TMAP3IN))=0,(c_TMAP3OUT)+QUOTIENT(((1000)-(c_TMAP3OUT)),2),QUOTIENT((((A586)-(c_TMAP3IN))*((1000)-(c_TMAP3OUT))+IF(((1000)-(c_TMAP3OUT))&gt;=0,1,-1)*QUOTIENT(((1000)-(c_TMAP3IN)),2)),((1000)-(c_TMAP3IN)))+(c_TMAP3OUT)+IF(((1000)-(c_TMAP3OUT))&gt;=0,IF(IF(o_WRAP=1,MOD(((1000)-(c_TMAP3IN))*(((A586)-(c_TMAP3IN))*((1000)-(c_TMAP3OUT))+IF(((1000)-(c_TMAP3OUT))&gt;=0,1,-1)*QUOTIENT(((1000)-(c_TMAP3IN)),2))+2147483648,4294967296)-2147483648,((1000)-(c_TMAP3IN))*(((A586)-(c_TMAP3IN))*((1000)-(c_TMAP3OUT))+IF(((1000)-(c_TMAP3OUT))&gt;=0,1,-1)*QUOTIENT(((1000)-(c_TMAP3IN)),2)))&lt;0,-1,0),IF(IF(o_WRAP=1,MOD(((1000)-(c_TMAP3IN))*(((A586)-(c_TMAP3IN))*((1000)-(c_TMAP3OUT))+IF(((1000)-(c_TMAP3OUT))&gt;=0,1,-1)*QUOTIENT(((1000)-(c_TMAP3IN)),2))+2147483648,4294967296)-2147483648,((1000)-(c_TMAP3IN))*(((A586)-(c_TMAP3IN))*((1000)-(c_TMAP3OUT))+IF(((1000)-(c_TMAP3OUT))&gt;=0,1,-1)*QUOTIENT(((1000)-(c_TMAP3IN)),2)))&gt;=0,1,0)))</f>
        <v>484</v>
      </c>
      <c r="H586" s="7" t="str">
        <f aca="false">IF(A586&gt;=c_TFWD,IF(AND(A586&gt;=c_TMAP3IN,c_TMAP3IN&lt;1000),"Seg4 map3-100%",IF(AND(A586&gt;=c_TMAP2IN,c_TMAP3IN&gt;c_TMAP2IN),"Seg3 map2-map3",IF(AND(A586&gt;=c_TMAP1IN,c_TMAP2IN&gt;c_TMAP1IN),"Seg2 map1-map2","Seg1 TFWD-map1"))),IF(AND(A586=0,c_TCREEP&gt;0),"Creep",IF(AND(A586&lt;=c_TRNGMIN,A586&gt;=c_TRNGMAX,c_TRNGMIN-c_TRNGMAX&lt;&gt;0),"Regen ramp","Coast (0)")))</f>
        <v>Seg4 map3-100%</v>
      </c>
      <c r="I586" s="7" t="n">
        <f aca="false">IF(A586&gt;=c_TFWD,IF(AND(A586&gt;=c_TMAP3IN,c_TMAP3IN&lt;1000),G586,IF(AND(A586&gt;=c_TMAP2IN,c_TMAP3IN&gt;c_TMAP2IN),F586,IF(AND(A586&gt;=c_TMAP1IN,c_TMAP2IN&gt;c_TMAP1IN),E586,D586))),C586)</f>
        <v>484</v>
      </c>
      <c r="J586" s="7" t="str">
        <f aca="false">IF(I586&lt;-1090,"TOO LOW",IF(I586&gt;1090,"TOO HIGH",""))</f>
        <v/>
      </c>
      <c r="K586" s="15" t="n">
        <f aca="false">IF(J586&lt;&gt;"",0,IF(I586&gt;979,1000,I586))</f>
        <v>484</v>
      </c>
      <c r="L586" s="7" t="n">
        <f aca="false">K586/10</f>
        <v>48.4</v>
      </c>
    </row>
    <row r="587" customFormat="false" ht="15" hidden="false" customHeight="false" outlineLevel="0" collapsed="false">
      <c r="A587" s="7" t="n">
        <v>582</v>
      </c>
      <c r="B587" s="7" t="n">
        <f aca="false">A587/10</f>
        <v>58.2</v>
      </c>
      <c r="C587" s="7" t="n">
        <f aca="false">IF(AND(A587=0,c_TCREEP&gt;0),10*c_TCREEP,IF(AND(A587&lt;=c_TRNGMIN,A587&gt;=c_TRNGMAX,c_TRNGMIN-c_TRNGMAX&lt;&gt;0),-10*c_TMINRN+QUOTIENT((c_TMAXRN-c_TMINRN)*(100-QUOTIENT((A587-c_TRNGMAX)*100,c_TRNGMIN-c_TRNGMAX)),-10),0))</f>
        <v>0</v>
      </c>
      <c r="D587" s="7" t="n">
        <f aca="false">IF(((c_TMAP1IN)-(c_TFWD))=0,(0)+QUOTIENT(((c_TMAP1OUT)-(0)),2),QUOTIENT((((A587)-(c_TFWD))*((c_TMAP1OUT)-(0))+IF(((c_TMAP1OUT)-(0))&gt;=0,1,-1)*QUOTIENT(((c_TMAP1IN)-(c_TFWD)),2)),((c_TMAP1IN)-(c_TFWD)))+(0)+IF(((c_TMAP1OUT)-(0))&gt;=0,IF(IF(o_WRAP=1,MOD(((c_TMAP1IN)-(c_TFWD))*(((A587)-(c_TFWD))*((c_TMAP1OUT)-(0))+IF(((c_TMAP1OUT)-(0))&gt;=0,1,-1)*QUOTIENT(((c_TMAP1IN)-(c_TFWD)),2))+2147483648,4294967296)-2147483648,((c_TMAP1IN)-(c_TFWD))*(((A587)-(c_TFWD))*((c_TMAP1OUT)-(0))+IF(((c_TMAP1OUT)-(0))&gt;=0,1,-1)*QUOTIENT(((c_TMAP1IN)-(c_TFWD)),2)))&lt;0,-1,0),IF(IF(o_WRAP=1,MOD(((c_TMAP1IN)-(c_TFWD))*(((A587)-(c_TFWD))*((c_TMAP1OUT)-(0))+IF(((c_TMAP1OUT)-(0))&gt;=0,1,-1)*QUOTIENT(((c_TMAP1IN)-(c_TFWD)),2))+2147483648,4294967296)-2147483648,((c_TMAP1IN)-(c_TFWD))*(((A587)-(c_TFWD))*((c_TMAP1OUT)-(0))+IF(((c_TMAP1OUT)-(0))&gt;=0,1,-1)*QUOTIENT(((c_TMAP1IN)-(c_TFWD)),2)))&gt;=0,1,0)))</f>
        <v>445</v>
      </c>
      <c r="E587" s="7" t="n">
        <f aca="false">IF(((c_TMAP2IN)-(c_TMAP1IN))=0,(c_TMAP1OUT)+QUOTIENT(((c_TMAP2OUT)-(c_TMAP1OUT)),2),QUOTIENT((((A587)-(c_TMAP1IN))*((c_TMAP2OUT)-(c_TMAP1OUT))+IF(((c_TMAP2OUT)-(c_TMAP1OUT))&gt;=0,1,-1)*QUOTIENT(((c_TMAP2IN)-(c_TMAP1IN)),2)),((c_TMAP2IN)-(c_TMAP1IN)))+(c_TMAP1OUT)+IF(((c_TMAP2OUT)-(c_TMAP1OUT))&gt;=0,IF(IF(o_WRAP=1,MOD(((c_TMAP2IN)-(c_TMAP1IN))*(((A587)-(c_TMAP1IN))*((c_TMAP2OUT)-(c_TMAP1OUT))+IF(((c_TMAP2OUT)-(c_TMAP1OUT))&gt;=0,1,-1)*QUOTIENT(((c_TMAP2IN)-(c_TMAP1IN)),2))+2147483648,4294967296)-2147483648,((c_TMAP2IN)-(c_TMAP1IN))*(((A587)-(c_TMAP1IN))*((c_TMAP2OUT)-(c_TMAP1OUT))+IF(((c_TMAP2OUT)-(c_TMAP1OUT))&gt;=0,1,-1)*QUOTIENT(((c_TMAP2IN)-(c_TMAP1IN)),2)))&lt;0,-1,0),IF(IF(o_WRAP=1,MOD(((c_TMAP2IN)-(c_TMAP1IN))*(((A587)-(c_TMAP1IN))*((c_TMAP2OUT)-(c_TMAP1OUT))+IF(((c_TMAP2OUT)-(c_TMAP1OUT))&gt;=0,1,-1)*QUOTIENT(((c_TMAP2IN)-(c_TMAP1IN)),2))+2147483648,4294967296)-2147483648,((c_TMAP2IN)-(c_TMAP1IN))*(((A587)-(c_TMAP1IN))*((c_TMAP2OUT)-(c_TMAP1OUT))+IF(((c_TMAP2OUT)-(c_TMAP1OUT))&gt;=0,1,-1)*QUOTIENT(((c_TMAP2IN)-(c_TMAP1IN)),2)))&gt;=0,1,0)))</f>
        <v>263</v>
      </c>
      <c r="F587" s="7" t="n">
        <f aca="false">IF(((c_TMAP3IN)-(c_TMAP2IN))=0,(c_TMAP2OUT)+QUOTIENT(((c_TMAP3OUT)-(c_TMAP2OUT)),2),QUOTIENT((((A587)-(c_TMAP2IN))*((c_TMAP3OUT)-(c_TMAP2OUT))+IF(((c_TMAP3OUT)-(c_TMAP2OUT))&gt;=0,1,-1)*QUOTIENT(((c_TMAP3IN)-(c_TMAP2IN)),2)),((c_TMAP3IN)-(c_TMAP2IN)))+(c_TMAP2OUT)+IF(((c_TMAP3OUT)-(c_TMAP2OUT))&gt;=0,IF(IF(o_WRAP=1,MOD(((c_TMAP3IN)-(c_TMAP2IN))*(((A587)-(c_TMAP2IN))*((c_TMAP3OUT)-(c_TMAP2OUT))+IF(((c_TMAP3OUT)-(c_TMAP2OUT))&gt;=0,1,-1)*QUOTIENT(((c_TMAP3IN)-(c_TMAP2IN)),2))+2147483648,4294967296)-2147483648,((c_TMAP3IN)-(c_TMAP2IN))*(((A587)-(c_TMAP2IN))*((c_TMAP3OUT)-(c_TMAP2OUT))+IF(((c_TMAP3OUT)-(c_TMAP2OUT))&gt;=0,1,-1)*QUOTIENT(((c_TMAP3IN)-(c_TMAP2IN)),2)))&lt;0,-1,0),IF(IF(o_WRAP=1,MOD(((c_TMAP3IN)-(c_TMAP2IN))*(((A587)-(c_TMAP2IN))*((c_TMAP3OUT)-(c_TMAP2OUT))+IF(((c_TMAP3OUT)-(c_TMAP2OUT))&gt;=0,1,-1)*QUOTIENT(((c_TMAP3IN)-(c_TMAP2IN)),2))+2147483648,4294967296)-2147483648,((c_TMAP3IN)-(c_TMAP2IN))*(((A587)-(c_TMAP2IN))*((c_TMAP3OUT)-(c_TMAP2OUT))+IF(((c_TMAP3OUT)-(c_TMAP2OUT))&gt;=0,1,-1)*QUOTIENT(((c_TMAP3IN)-(c_TMAP2IN)),2)))&gt;=0,1,0)))</f>
        <v>362</v>
      </c>
      <c r="G587" s="7" t="n">
        <f aca="false">IF(((1000)-(c_TMAP3IN))=0,(c_TMAP3OUT)+QUOTIENT(((1000)-(c_TMAP3OUT)),2),QUOTIENT((((A587)-(c_TMAP3IN))*((1000)-(c_TMAP3OUT))+IF(((1000)-(c_TMAP3OUT))&gt;=0,1,-1)*QUOTIENT(((1000)-(c_TMAP3IN)),2)),((1000)-(c_TMAP3IN)))+(c_TMAP3OUT)+IF(((1000)-(c_TMAP3OUT))&gt;=0,IF(IF(o_WRAP=1,MOD(((1000)-(c_TMAP3IN))*(((A587)-(c_TMAP3IN))*((1000)-(c_TMAP3OUT))+IF(((1000)-(c_TMAP3OUT))&gt;=0,1,-1)*QUOTIENT(((1000)-(c_TMAP3IN)),2))+2147483648,4294967296)-2147483648,((1000)-(c_TMAP3IN))*(((A587)-(c_TMAP3IN))*((1000)-(c_TMAP3OUT))+IF(((1000)-(c_TMAP3OUT))&gt;=0,1,-1)*QUOTIENT(((1000)-(c_TMAP3IN)),2)))&lt;0,-1,0),IF(IF(o_WRAP=1,MOD(((1000)-(c_TMAP3IN))*(((A587)-(c_TMAP3IN))*((1000)-(c_TMAP3OUT))+IF(((1000)-(c_TMAP3OUT))&gt;=0,1,-1)*QUOTIENT(((1000)-(c_TMAP3IN)),2))+2147483648,4294967296)-2147483648,((1000)-(c_TMAP3IN))*(((A587)-(c_TMAP3IN))*((1000)-(c_TMAP3OUT))+IF(((1000)-(c_TMAP3OUT))&gt;=0,1,-1)*QUOTIENT(((1000)-(c_TMAP3IN)),2)))&gt;=0,1,0)))</f>
        <v>486</v>
      </c>
      <c r="H587" s="7" t="str">
        <f aca="false">IF(A587&gt;=c_TFWD,IF(AND(A587&gt;=c_TMAP3IN,c_TMAP3IN&lt;1000),"Seg4 map3-100%",IF(AND(A587&gt;=c_TMAP2IN,c_TMAP3IN&gt;c_TMAP2IN),"Seg3 map2-map3",IF(AND(A587&gt;=c_TMAP1IN,c_TMAP2IN&gt;c_TMAP1IN),"Seg2 map1-map2","Seg1 TFWD-map1"))),IF(AND(A587=0,c_TCREEP&gt;0),"Creep",IF(AND(A587&lt;=c_TRNGMIN,A587&gt;=c_TRNGMAX,c_TRNGMIN-c_TRNGMAX&lt;&gt;0),"Regen ramp","Coast (0)")))</f>
        <v>Seg4 map3-100%</v>
      </c>
      <c r="I587" s="7" t="n">
        <f aca="false">IF(A587&gt;=c_TFWD,IF(AND(A587&gt;=c_TMAP3IN,c_TMAP3IN&lt;1000),G587,IF(AND(A587&gt;=c_TMAP2IN,c_TMAP3IN&gt;c_TMAP2IN),F587,IF(AND(A587&gt;=c_TMAP1IN,c_TMAP2IN&gt;c_TMAP1IN),E587,D587))),C587)</f>
        <v>486</v>
      </c>
      <c r="J587" s="7" t="str">
        <f aca="false">IF(I587&lt;-1090,"TOO LOW",IF(I587&gt;1090,"TOO HIGH",""))</f>
        <v/>
      </c>
      <c r="K587" s="15" t="n">
        <f aca="false">IF(J587&lt;&gt;"",0,IF(I587&gt;979,1000,I587))</f>
        <v>486</v>
      </c>
      <c r="L587" s="7" t="n">
        <f aca="false">K587/10</f>
        <v>48.6</v>
      </c>
    </row>
    <row r="588" customFormat="false" ht="15" hidden="false" customHeight="false" outlineLevel="0" collapsed="false">
      <c r="A588" s="7" t="n">
        <v>583</v>
      </c>
      <c r="B588" s="7" t="n">
        <f aca="false">A588/10</f>
        <v>58.3</v>
      </c>
      <c r="C588" s="7" t="n">
        <f aca="false">IF(AND(A588=0,c_TCREEP&gt;0),10*c_TCREEP,IF(AND(A588&lt;=c_TRNGMIN,A588&gt;=c_TRNGMAX,c_TRNGMIN-c_TRNGMAX&lt;&gt;0),-10*c_TMINRN+QUOTIENT((c_TMAXRN-c_TMINRN)*(100-QUOTIENT((A588-c_TRNGMAX)*100,c_TRNGMIN-c_TRNGMAX)),-10),0))</f>
        <v>0</v>
      </c>
      <c r="D588" s="7" t="n">
        <f aca="false">IF(((c_TMAP1IN)-(c_TFWD))=0,(0)+QUOTIENT(((c_TMAP1OUT)-(0)),2),QUOTIENT((((A588)-(c_TFWD))*((c_TMAP1OUT)-(0))+IF(((c_TMAP1OUT)-(0))&gt;=0,1,-1)*QUOTIENT(((c_TMAP1IN)-(c_TFWD)),2)),((c_TMAP1IN)-(c_TFWD)))+(0)+IF(((c_TMAP1OUT)-(0))&gt;=0,IF(IF(o_WRAP=1,MOD(((c_TMAP1IN)-(c_TFWD))*(((A588)-(c_TFWD))*((c_TMAP1OUT)-(0))+IF(((c_TMAP1OUT)-(0))&gt;=0,1,-1)*QUOTIENT(((c_TMAP1IN)-(c_TFWD)),2))+2147483648,4294967296)-2147483648,((c_TMAP1IN)-(c_TFWD))*(((A588)-(c_TFWD))*((c_TMAP1OUT)-(0))+IF(((c_TMAP1OUT)-(0))&gt;=0,1,-1)*QUOTIENT(((c_TMAP1IN)-(c_TFWD)),2)))&lt;0,-1,0),IF(IF(o_WRAP=1,MOD(((c_TMAP1IN)-(c_TFWD))*(((A588)-(c_TFWD))*((c_TMAP1OUT)-(0))+IF(((c_TMAP1OUT)-(0))&gt;=0,1,-1)*QUOTIENT(((c_TMAP1IN)-(c_TFWD)),2))+2147483648,4294967296)-2147483648,((c_TMAP1IN)-(c_TFWD))*(((A588)-(c_TFWD))*((c_TMAP1OUT)-(0))+IF(((c_TMAP1OUT)-(0))&gt;=0,1,-1)*QUOTIENT(((c_TMAP1IN)-(c_TFWD)),2)))&gt;=0,1,0)))</f>
        <v>446</v>
      </c>
      <c r="E588" s="7" t="n">
        <f aca="false">IF(((c_TMAP2IN)-(c_TMAP1IN))=0,(c_TMAP1OUT)+QUOTIENT(((c_TMAP2OUT)-(c_TMAP1OUT)),2),QUOTIENT((((A588)-(c_TMAP1IN))*((c_TMAP2OUT)-(c_TMAP1OUT))+IF(((c_TMAP2OUT)-(c_TMAP1OUT))&gt;=0,1,-1)*QUOTIENT(((c_TMAP2IN)-(c_TMAP1IN)),2)),((c_TMAP2IN)-(c_TMAP1IN)))+(c_TMAP1OUT)+IF(((c_TMAP2OUT)-(c_TMAP1OUT))&gt;=0,IF(IF(o_WRAP=1,MOD(((c_TMAP2IN)-(c_TMAP1IN))*(((A588)-(c_TMAP1IN))*((c_TMAP2OUT)-(c_TMAP1OUT))+IF(((c_TMAP2OUT)-(c_TMAP1OUT))&gt;=0,1,-1)*QUOTIENT(((c_TMAP2IN)-(c_TMAP1IN)),2))+2147483648,4294967296)-2147483648,((c_TMAP2IN)-(c_TMAP1IN))*(((A588)-(c_TMAP1IN))*((c_TMAP2OUT)-(c_TMAP1OUT))+IF(((c_TMAP2OUT)-(c_TMAP1OUT))&gt;=0,1,-1)*QUOTIENT(((c_TMAP2IN)-(c_TMAP1IN)),2)))&lt;0,-1,0),IF(IF(o_WRAP=1,MOD(((c_TMAP2IN)-(c_TMAP1IN))*(((A588)-(c_TMAP1IN))*((c_TMAP2OUT)-(c_TMAP1OUT))+IF(((c_TMAP2OUT)-(c_TMAP1OUT))&gt;=0,1,-1)*QUOTIENT(((c_TMAP2IN)-(c_TMAP1IN)),2))+2147483648,4294967296)-2147483648,((c_TMAP2IN)-(c_TMAP1IN))*(((A588)-(c_TMAP1IN))*((c_TMAP2OUT)-(c_TMAP1OUT))+IF(((c_TMAP2OUT)-(c_TMAP1OUT))&gt;=0,1,-1)*QUOTIENT(((c_TMAP2IN)-(c_TMAP1IN)),2)))&gt;=0,1,0)))</f>
        <v>263</v>
      </c>
      <c r="F588" s="7" t="n">
        <f aca="false">IF(((c_TMAP3IN)-(c_TMAP2IN))=0,(c_TMAP2OUT)+QUOTIENT(((c_TMAP3OUT)-(c_TMAP2OUT)),2),QUOTIENT((((A588)-(c_TMAP2IN))*((c_TMAP3OUT)-(c_TMAP2OUT))+IF(((c_TMAP3OUT)-(c_TMAP2OUT))&gt;=0,1,-1)*QUOTIENT(((c_TMAP3IN)-(c_TMAP2IN)),2)),((c_TMAP3IN)-(c_TMAP2IN)))+(c_TMAP2OUT)+IF(((c_TMAP3OUT)-(c_TMAP2OUT))&gt;=0,IF(IF(o_WRAP=1,MOD(((c_TMAP3IN)-(c_TMAP2IN))*(((A588)-(c_TMAP2IN))*((c_TMAP3OUT)-(c_TMAP2OUT))+IF(((c_TMAP3OUT)-(c_TMAP2OUT))&gt;=0,1,-1)*QUOTIENT(((c_TMAP3IN)-(c_TMAP2IN)),2))+2147483648,4294967296)-2147483648,((c_TMAP3IN)-(c_TMAP2IN))*(((A588)-(c_TMAP2IN))*((c_TMAP3OUT)-(c_TMAP2OUT))+IF(((c_TMAP3OUT)-(c_TMAP2OUT))&gt;=0,1,-1)*QUOTIENT(((c_TMAP3IN)-(c_TMAP2IN)),2)))&lt;0,-1,0),IF(IF(o_WRAP=1,MOD(((c_TMAP3IN)-(c_TMAP2IN))*(((A588)-(c_TMAP2IN))*((c_TMAP3OUT)-(c_TMAP2OUT))+IF(((c_TMAP3OUT)-(c_TMAP2OUT))&gt;=0,1,-1)*QUOTIENT(((c_TMAP3IN)-(c_TMAP2IN)),2))+2147483648,4294967296)-2147483648,((c_TMAP3IN)-(c_TMAP2IN))*(((A588)-(c_TMAP2IN))*((c_TMAP3OUT)-(c_TMAP2OUT))+IF(((c_TMAP3OUT)-(c_TMAP2OUT))&gt;=0,1,-1)*QUOTIENT(((c_TMAP3IN)-(c_TMAP2IN)),2)))&gt;=0,1,0)))</f>
        <v>363</v>
      </c>
      <c r="G588" s="7" t="n">
        <f aca="false">IF(((1000)-(c_TMAP3IN))=0,(c_TMAP3OUT)+QUOTIENT(((1000)-(c_TMAP3OUT)),2),QUOTIENT((((A588)-(c_TMAP3IN))*((1000)-(c_TMAP3OUT))+IF(((1000)-(c_TMAP3OUT))&gt;=0,1,-1)*QUOTIENT(((1000)-(c_TMAP3IN)),2)),((1000)-(c_TMAP3IN)))+(c_TMAP3OUT)+IF(((1000)-(c_TMAP3OUT))&gt;=0,IF(IF(o_WRAP=1,MOD(((1000)-(c_TMAP3IN))*(((A588)-(c_TMAP3IN))*((1000)-(c_TMAP3OUT))+IF(((1000)-(c_TMAP3OUT))&gt;=0,1,-1)*QUOTIENT(((1000)-(c_TMAP3IN)),2))+2147483648,4294967296)-2147483648,((1000)-(c_TMAP3IN))*(((A588)-(c_TMAP3IN))*((1000)-(c_TMAP3OUT))+IF(((1000)-(c_TMAP3OUT))&gt;=0,1,-1)*QUOTIENT(((1000)-(c_TMAP3IN)),2)))&lt;0,-1,0),IF(IF(o_WRAP=1,MOD(((1000)-(c_TMAP3IN))*(((A588)-(c_TMAP3IN))*((1000)-(c_TMAP3OUT))+IF(((1000)-(c_TMAP3OUT))&gt;=0,1,-1)*QUOTIENT(((1000)-(c_TMAP3IN)),2))+2147483648,4294967296)-2147483648,((1000)-(c_TMAP3IN))*(((A588)-(c_TMAP3IN))*((1000)-(c_TMAP3OUT))+IF(((1000)-(c_TMAP3OUT))&gt;=0,1,-1)*QUOTIENT(((1000)-(c_TMAP3IN)),2)))&gt;=0,1,0)))</f>
        <v>487</v>
      </c>
      <c r="H588" s="7" t="str">
        <f aca="false">IF(A588&gt;=c_TFWD,IF(AND(A588&gt;=c_TMAP3IN,c_TMAP3IN&lt;1000),"Seg4 map3-100%",IF(AND(A588&gt;=c_TMAP2IN,c_TMAP3IN&gt;c_TMAP2IN),"Seg3 map2-map3",IF(AND(A588&gt;=c_TMAP1IN,c_TMAP2IN&gt;c_TMAP1IN),"Seg2 map1-map2","Seg1 TFWD-map1"))),IF(AND(A588=0,c_TCREEP&gt;0),"Creep",IF(AND(A588&lt;=c_TRNGMIN,A588&gt;=c_TRNGMAX,c_TRNGMIN-c_TRNGMAX&lt;&gt;0),"Regen ramp","Coast (0)")))</f>
        <v>Seg4 map3-100%</v>
      </c>
      <c r="I588" s="7" t="n">
        <f aca="false">IF(A588&gt;=c_TFWD,IF(AND(A588&gt;=c_TMAP3IN,c_TMAP3IN&lt;1000),G588,IF(AND(A588&gt;=c_TMAP2IN,c_TMAP3IN&gt;c_TMAP2IN),F588,IF(AND(A588&gt;=c_TMAP1IN,c_TMAP2IN&gt;c_TMAP1IN),E588,D588))),C588)</f>
        <v>487</v>
      </c>
      <c r="J588" s="7" t="str">
        <f aca="false">IF(I588&lt;-1090,"TOO LOW",IF(I588&gt;1090,"TOO HIGH",""))</f>
        <v/>
      </c>
      <c r="K588" s="15" t="n">
        <f aca="false">IF(J588&lt;&gt;"",0,IF(I588&gt;979,1000,I588))</f>
        <v>487</v>
      </c>
      <c r="L588" s="7" t="n">
        <f aca="false">K588/10</f>
        <v>48.7</v>
      </c>
    </row>
    <row r="589" customFormat="false" ht="15" hidden="false" customHeight="false" outlineLevel="0" collapsed="false">
      <c r="A589" s="7" t="n">
        <v>584</v>
      </c>
      <c r="B589" s="7" t="n">
        <f aca="false">A589/10</f>
        <v>58.4</v>
      </c>
      <c r="C589" s="7" t="n">
        <f aca="false">IF(AND(A589=0,c_TCREEP&gt;0),10*c_TCREEP,IF(AND(A589&lt;=c_TRNGMIN,A589&gt;=c_TRNGMAX,c_TRNGMIN-c_TRNGMAX&lt;&gt;0),-10*c_TMINRN+QUOTIENT((c_TMAXRN-c_TMINRN)*(100-QUOTIENT((A589-c_TRNGMAX)*100,c_TRNGMIN-c_TRNGMAX)),-10),0))</f>
        <v>0</v>
      </c>
      <c r="D589" s="7" t="n">
        <f aca="false">IF(((c_TMAP1IN)-(c_TFWD))=0,(0)+QUOTIENT(((c_TMAP1OUT)-(0)),2),QUOTIENT((((A589)-(c_TFWD))*((c_TMAP1OUT)-(0))+IF(((c_TMAP1OUT)-(0))&gt;=0,1,-1)*QUOTIENT(((c_TMAP1IN)-(c_TFWD)),2)),((c_TMAP1IN)-(c_TFWD)))+(0)+IF(((c_TMAP1OUT)-(0))&gt;=0,IF(IF(o_WRAP=1,MOD(((c_TMAP1IN)-(c_TFWD))*(((A589)-(c_TFWD))*((c_TMAP1OUT)-(0))+IF(((c_TMAP1OUT)-(0))&gt;=0,1,-1)*QUOTIENT(((c_TMAP1IN)-(c_TFWD)),2))+2147483648,4294967296)-2147483648,((c_TMAP1IN)-(c_TFWD))*(((A589)-(c_TFWD))*((c_TMAP1OUT)-(0))+IF(((c_TMAP1OUT)-(0))&gt;=0,1,-1)*QUOTIENT(((c_TMAP1IN)-(c_TFWD)),2)))&lt;0,-1,0),IF(IF(o_WRAP=1,MOD(((c_TMAP1IN)-(c_TFWD))*(((A589)-(c_TFWD))*((c_TMAP1OUT)-(0))+IF(((c_TMAP1OUT)-(0))&gt;=0,1,-1)*QUOTIENT(((c_TMAP1IN)-(c_TFWD)),2))+2147483648,4294967296)-2147483648,((c_TMAP1IN)-(c_TFWD))*(((A589)-(c_TFWD))*((c_TMAP1OUT)-(0))+IF(((c_TMAP1OUT)-(0))&gt;=0,1,-1)*QUOTIENT(((c_TMAP1IN)-(c_TFWD)),2)))&gt;=0,1,0)))</f>
        <v>446</v>
      </c>
      <c r="E589" s="7" t="n">
        <f aca="false">IF(((c_TMAP2IN)-(c_TMAP1IN))=0,(c_TMAP1OUT)+QUOTIENT(((c_TMAP2OUT)-(c_TMAP1OUT)),2),QUOTIENT((((A589)-(c_TMAP1IN))*((c_TMAP2OUT)-(c_TMAP1OUT))+IF(((c_TMAP2OUT)-(c_TMAP1OUT))&gt;=0,1,-1)*QUOTIENT(((c_TMAP2IN)-(c_TMAP1IN)),2)),((c_TMAP2IN)-(c_TMAP1IN)))+(c_TMAP1OUT)+IF(((c_TMAP2OUT)-(c_TMAP1OUT))&gt;=0,IF(IF(o_WRAP=1,MOD(((c_TMAP2IN)-(c_TMAP1IN))*(((A589)-(c_TMAP1IN))*((c_TMAP2OUT)-(c_TMAP1OUT))+IF(((c_TMAP2OUT)-(c_TMAP1OUT))&gt;=0,1,-1)*QUOTIENT(((c_TMAP2IN)-(c_TMAP1IN)),2))+2147483648,4294967296)-2147483648,((c_TMAP2IN)-(c_TMAP1IN))*(((A589)-(c_TMAP1IN))*((c_TMAP2OUT)-(c_TMAP1OUT))+IF(((c_TMAP2OUT)-(c_TMAP1OUT))&gt;=0,1,-1)*QUOTIENT(((c_TMAP2IN)-(c_TMAP1IN)),2)))&lt;0,-1,0),IF(IF(o_WRAP=1,MOD(((c_TMAP2IN)-(c_TMAP1IN))*(((A589)-(c_TMAP1IN))*((c_TMAP2OUT)-(c_TMAP1OUT))+IF(((c_TMAP2OUT)-(c_TMAP1OUT))&gt;=0,1,-1)*QUOTIENT(((c_TMAP2IN)-(c_TMAP1IN)),2))+2147483648,4294967296)-2147483648,((c_TMAP2IN)-(c_TMAP1IN))*(((A589)-(c_TMAP1IN))*((c_TMAP2OUT)-(c_TMAP1OUT))+IF(((c_TMAP2OUT)-(c_TMAP1OUT))&gt;=0,1,-1)*QUOTIENT(((c_TMAP2IN)-(c_TMAP1IN)),2)))&gt;=0,1,0)))</f>
        <v>264</v>
      </c>
      <c r="F589" s="7" t="n">
        <f aca="false">IF(((c_TMAP3IN)-(c_TMAP2IN))=0,(c_TMAP2OUT)+QUOTIENT(((c_TMAP3OUT)-(c_TMAP2OUT)),2),QUOTIENT((((A589)-(c_TMAP2IN))*((c_TMAP3OUT)-(c_TMAP2OUT))+IF(((c_TMAP3OUT)-(c_TMAP2OUT))&gt;=0,1,-1)*QUOTIENT(((c_TMAP3IN)-(c_TMAP2IN)),2)),((c_TMAP3IN)-(c_TMAP2IN)))+(c_TMAP2OUT)+IF(((c_TMAP3OUT)-(c_TMAP2OUT))&gt;=0,IF(IF(o_WRAP=1,MOD(((c_TMAP3IN)-(c_TMAP2IN))*(((A589)-(c_TMAP2IN))*((c_TMAP3OUT)-(c_TMAP2OUT))+IF(((c_TMAP3OUT)-(c_TMAP2OUT))&gt;=0,1,-1)*QUOTIENT(((c_TMAP3IN)-(c_TMAP2IN)),2))+2147483648,4294967296)-2147483648,((c_TMAP3IN)-(c_TMAP2IN))*(((A589)-(c_TMAP2IN))*((c_TMAP3OUT)-(c_TMAP2OUT))+IF(((c_TMAP3OUT)-(c_TMAP2OUT))&gt;=0,1,-1)*QUOTIENT(((c_TMAP3IN)-(c_TMAP2IN)),2)))&lt;0,-1,0),IF(IF(o_WRAP=1,MOD(((c_TMAP3IN)-(c_TMAP2IN))*(((A589)-(c_TMAP2IN))*((c_TMAP3OUT)-(c_TMAP2OUT))+IF(((c_TMAP3OUT)-(c_TMAP2OUT))&gt;=0,1,-1)*QUOTIENT(((c_TMAP3IN)-(c_TMAP2IN)),2))+2147483648,4294967296)-2147483648,((c_TMAP3IN)-(c_TMAP2IN))*(((A589)-(c_TMAP2IN))*((c_TMAP3OUT)-(c_TMAP2OUT))+IF(((c_TMAP3OUT)-(c_TMAP2OUT))&gt;=0,1,-1)*QUOTIENT(((c_TMAP3IN)-(c_TMAP2IN)),2)))&gt;=0,1,0)))</f>
        <v>364</v>
      </c>
      <c r="G589" s="7" t="n">
        <f aca="false">IF(((1000)-(c_TMAP3IN))=0,(c_TMAP3OUT)+QUOTIENT(((1000)-(c_TMAP3OUT)),2),QUOTIENT((((A589)-(c_TMAP3IN))*((1000)-(c_TMAP3OUT))+IF(((1000)-(c_TMAP3OUT))&gt;=0,1,-1)*QUOTIENT(((1000)-(c_TMAP3IN)),2)),((1000)-(c_TMAP3IN)))+(c_TMAP3OUT)+IF(((1000)-(c_TMAP3OUT))&gt;=0,IF(IF(o_WRAP=1,MOD(((1000)-(c_TMAP3IN))*(((A589)-(c_TMAP3IN))*((1000)-(c_TMAP3OUT))+IF(((1000)-(c_TMAP3OUT))&gt;=0,1,-1)*QUOTIENT(((1000)-(c_TMAP3IN)),2))+2147483648,4294967296)-2147483648,((1000)-(c_TMAP3IN))*(((A589)-(c_TMAP3IN))*((1000)-(c_TMAP3OUT))+IF(((1000)-(c_TMAP3OUT))&gt;=0,1,-1)*QUOTIENT(((1000)-(c_TMAP3IN)),2)))&lt;0,-1,0),IF(IF(o_WRAP=1,MOD(((1000)-(c_TMAP3IN))*(((A589)-(c_TMAP3IN))*((1000)-(c_TMAP3OUT))+IF(((1000)-(c_TMAP3OUT))&gt;=0,1,-1)*QUOTIENT(((1000)-(c_TMAP3IN)),2))+2147483648,4294967296)-2147483648,((1000)-(c_TMAP3IN))*(((A589)-(c_TMAP3IN))*((1000)-(c_TMAP3OUT))+IF(((1000)-(c_TMAP3OUT))&gt;=0,1,-1)*QUOTIENT(((1000)-(c_TMAP3IN)),2)))&gt;=0,1,0)))</f>
        <v>488</v>
      </c>
      <c r="H589" s="7" t="str">
        <f aca="false">IF(A589&gt;=c_TFWD,IF(AND(A589&gt;=c_TMAP3IN,c_TMAP3IN&lt;1000),"Seg4 map3-100%",IF(AND(A589&gt;=c_TMAP2IN,c_TMAP3IN&gt;c_TMAP2IN),"Seg3 map2-map3",IF(AND(A589&gt;=c_TMAP1IN,c_TMAP2IN&gt;c_TMAP1IN),"Seg2 map1-map2","Seg1 TFWD-map1"))),IF(AND(A589=0,c_TCREEP&gt;0),"Creep",IF(AND(A589&lt;=c_TRNGMIN,A589&gt;=c_TRNGMAX,c_TRNGMIN-c_TRNGMAX&lt;&gt;0),"Regen ramp","Coast (0)")))</f>
        <v>Seg4 map3-100%</v>
      </c>
      <c r="I589" s="7" t="n">
        <f aca="false">IF(A589&gt;=c_TFWD,IF(AND(A589&gt;=c_TMAP3IN,c_TMAP3IN&lt;1000),G589,IF(AND(A589&gt;=c_TMAP2IN,c_TMAP3IN&gt;c_TMAP2IN),F589,IF(AND(A589&gt;=c_TMAP1IN,c_TMAP2IN&gt;c_TMAP1IN),E589,D589))),C589)</f>
        <v>488</v>
      </c>
      <c r="J589" s="7" t="str">
        <f aca="false">IF(I589&lt;-1090,"TOO LOW",IF(I589&gt;1090,"TOO HIGH",""))</f>
        <v/>
      </c>
      <c r="K589" s="15" t="n">
        <f aca="false">IF(J589&lt;&gt;"",0,IF(I589&gt;979,1000,I589))</f>
        <v>488</v>
      </c>
      <c r="L589" s="7" t="n">
        <f aca="false">K589/10</f>
        <v>48.8</v>
      </c>
    </row>
    <row r="590" customFormat="false" ht="15" hidden="false" customHeight="false" outlineLevel="0" collapsed="false">
      <c r="A590" s="7" t="n">
        <v>585</v>
      </c>
      <c r="B590" s="7" t="n">
        <f aca="false">A590/10</f>
        <v>58.5</v>
      </c>
      <c r="C590" s="7" t="n">
        <f aca="false">IF(AND(A590=0,c_TCREEP&gt;0),10*c_TCREEP,IF(AND(A590&lt;=c_TRNGMIN,A590&gt;=c_TRNGMAX,c_TRNGMIN-c_TRNGMAX&lt;&gt;0),-10*c_TMINRN+QUOTIENT((c_TMAXRN-c_TMINRN)*(100-QUOTIENT((A590-c_TRNGMAX)*100,c_TRNGMIN-c_TRNGMAX)),-10),0))</f>
        <v>0</v>
      </c>
      <c r="D590" s="7" t="n">
        <f aca="false">IF(((c_TMAP1IN)-(c_TFWD))=0,(0)+QUOTIENT(((c_TMAP1OUT)-(0)),2),QUOTIENT((((A590)-(c_TFWD))*((c_TMAP1OUT)-(0))+IF(((c_TMAP1OUT)-(0))&gt;=0,1,-1)*QUOTIENT(((c_TMAP1IN)-(c_TFWD)),2)),((c_TMAP1IN)-(c_TFWD)))+(0)+IF(((c_TMAP1OUT)-(0))&gt;=0,IF(IF(o_WRAP=1,MOD(((c_TMAP1IN)-(c_TFWD))*(((A590)-(c_TFWD))*((c_TMAP1OUT)-(0))+IF(((c_TMAP1OUT)-(0))&gt;=0,1,-1)*QUOTIENT(((c_TMAP1IN)-(c_TFWD)),2))+2147483648,4294967296)-2147483648,((c_TMAP1IN)-(c_TFWD))*(((A590)-(c_TFWD))*((c_TMAP1OUT)-(0))+IF(((c_TMAP1OUT)-(0))&gt;=0,1,-1)*QUOTIENT(((c_TMAP1IN)-(c_TFWD)),2)))&lt;0,-1,0),IF(IF(o_WRAP=1,MOD(((c_TMAP1IN)-(c_TFWD))*(((A590)-(c_TFWD))*((c_TMAP1OUT)-(0))+IF(((c_TMAP1OUT)-(0))&gt;=0,1,-1)*QUOTIENT(((c_TMAP1IN)-(c_TFWD)),2))+2147483648,4294967296)-2147483648,((c_TMAP1IN)-(c_TFWD))*(((A590)-(c_TFWD))*((c_TMAP1OUT)-(0))+IF(((c_TMAP1OUT)-(0))&gt;=0,1,-1)*QUOTIENT(((c_TMAP1IN)-(c_TFWD)),2)))&gt;=0,1,0)))</f>
        <v>447</v>
      </c>
      <c r="E590" s="7" t="n">
        <f aca="false">IF(((c_TMAP2IN)-(c_TMAP1IN))=0,(c_TMAP1OUT)+QUOTIENT(((c_TMAP2OUT)-(c_TMAP1OUT)),2),QUOTIENT((((A590)-(c_TMAP1IN))*((c_TMAP2OUT)-(c_TMAP1OUT))+IF(((c_TMAP2OUT)-(c_TMAP1OUT))&gt;=0,1,-1)*QUOTIENT(((c_TMAP2IN)-(c_TMAP1IN)),2)),((c_TMAP2IN)-(c_TMAP1IN)))+(c_TMAP1OUT)+IF(((c_TMAP2OUT)-(c_TMAP1OUT))&gt;=0,IF(IF(o_WRAP=1,MOD(((c_TMAP2IN)-(c_TMAP1IN))*(((A590)-(c_TMAP1IN))*((c_TMAP2OUT)-(c_TMAP1OUT))+IF(((c_TMAP2OUT)-(c_TMAP1OUT))&gt;=0,1,-1)*QUOTIENT(((c_TMAP2IN)-(c_TMAP1IN)),2))+2147483648,4294967296)-2147483648,((c_TMAP2IN)-(c_TMAP1IN))*(((A590)-(c_TMAP1IN))*((c_TMAP2OUT)-(c_TMAP1OUT))+IF(((c_TMAP2OUT)-(c_TMAP1OUT))&gt;=0,1,-1)*QUOTIENT(((c_TMAP2IN)-(c_TMAP1IN)),2)))&lt;0,-1,0),IF(IF(o_WRAP=1,MOD(((c_TMAP2IN)-(c_TMAP1IN))*(((A590)-(c_TMAP1IN))*((c_TMAP2OUT)-(c_TMAP1OUT))+IF(((c_TMAP2OUT)-(c_TMAP1OUT))&gt;=0,1,-1)*QUOTIENT(((c_TMAP2IN)-(c_TMAP1IN)),2))+2147483648,4294967296)-2147483648,((c_TMAP2IN)-(c_TMAP1IN))*(((A590)-(c_TMAP1IN))*((c_TMAP2OUT)-(c_TMAP1OUT))+IF(((c_TMAP2OUT)-(c_TMAP1OUT))&gt;=0,1,-1)*QUOTIENT(((c_TMAP2IN)-(c_TMAP1IN)),2)))&gt;=0,1,0)))</f>
        <v>264</v>
      </c>
      <c r="F590" s="7" t="n">
        <f aca="false">IF(((c_TMAP3IN)-(c_TMAP2IN))=0,(c_TMAP2OUT)+QUOTIENT(((c_TMAP3OUT)-(c_TMAP2OUT)),2),QUOTIENT((((A590)-(c_TMAP2IN))*((c_TMAP3OUT)-(c_TMAP2OUT))+IF(((c_TMAP3OUT)-(c_TMAP2OUT))&gt;=0,1,-1)*QUOTIENT(((c_TMAP3IN)-(c_TMAP2IN)),2)),((c_TMAP3IN)-(c_TMAP2IN)))+(c_TMAP2OUT)+IF(((c_TMAP3OUT)-(c_TMAP2OUT))&gt;=0,IF(IF(o_WRAP=1,MOD(((c_TMAP3IN)-(c_TMAP2IN))*(((A590)-(c_TMAP2IN))*((c_TMAP3OUT)-(c_TMAP2OUT))+IF(((c_TMAP3OUT)-(c_TMAP2OUT))&gt;=0,1,-1)*QUOTIENT(((c_TMAP3IN)-(c_TMAP2IN)),2))+2147483648,4294967296)-2147483648,((c_TMAP3IN)-(c_TMAP2IN))*(((A590)-(c_TMAP2IN))*((c_TMAP3OUT)-(c_TMAP2OUT))+IF(((c_TMAP3OUT)-(c_TMAP2OUT))&gt;=0,1,-1)*QUOTIENT(((c_TMAP3IN)-(c_TMAP2IN)),2)))&lt;0,-1,0),IF(IF(o_WRAP=1,MOD(((c_TMAP3IN)-(c_TMAP2IN))*(((A590)-(c_TMAP2IN))*((c_TMAP3OUT)-(c_TMAP2OUT))+IF(((c_TMAP3OUT)-(c_TMAP2OUT))&gt;=0,1,-1)*QUOTIENT(((c_TMAP3IN)-(c_TMAP2IN)),2))+2147483648,4294967296)-2147483648,((c_TMAP3IN)-(c_TMAP2IN))*(((A590)-(c_TMAP2IN))*((c_TMAP3OUT)-(c_TMAP2OUT))+IF(((c_TMAP3OUT)-(c_TMAP2OUT))&gt;=0,1,-1)*QUOTIENT(((c_TMAP3IN)-(c_TMAP2IN)),2)))&gt;=0,1,0)))</f>
        <v>365</v>
      </c>
      <c r="G590" s="7" t="n">
        <f aca="false">IF(((1000)-(c_TMAP3IN))=0,(c_TMAP3OUT)+QUOTIENT(((1000)-(c_TMAP3OUT)),2),QUOTIENT((((A590)-(c_TMAP3IN))*((1000)-(c_TMAP3OUT))+IF(((1000)-(c_TMAP3OUT))&gt;=0,1,-1)*QUOTIENT(((1000)-(c_TMAP3IN)),2)),((1000)-(c_TMAP3IN)))+(c_TMAP3OUT)+IF(((1000)-(c_TMAP3OUT))&gt;=0,IF(IF(o_WRAP=1,MOD(((1000)-(c_TMAP3IN))*(((A590)-(c_TMAP3IN))*((1000)-(c_TMAP3OUT))+IF(((1000)-(c_TMAP3OUT))&gt;=0,1,-1)*QUOTIENT(((1000)-(c_TMAP3IN)),2))+2147483648,4294967296)-2147483648,((1000)-(c_TMAP3IN))*(((A590)-(c_TMAP3IN))*((1000)-(c_TMAP3OUT))+IF(((1000)-(c_TMAP3OUT))&gt;=0,1,-1)*QUOTIENT(((1000)-(c_TMAP3IN)),2)))&lt;0,-1,0),IF(IF(o_WRAP=1,MOD(((1000)-(c_TMAP3IN))*(((A590)-(c_TMAP3IN))*((1000)-(c_TMAP3OUT))+IF(((1000)-(c_TMAP3OUT))&gt;=0,1,-1)*QUOTIENT(((1000)-(c_TMAP3IN)),2))+2147483648,4294967296)-2147483648,((1000)-(c_TMAP3IN))*(((A590)-(c_TMAP3IN))*((1000)-(c_TMAP3OUT))+IF(((1000)-(c_TMAP3OUT))&gt;=0,1,-1)*QUOTIENT(((1000)-(c_TMAP3IN)),2)))&gt;=0,1,0)))</f>
        <v>489</v>
      </c>
      <c r="H590" s="7" t="str">
        <f aca="false">IF(A590&gt;=c_TFWD,IF(AND(A590&gt;=c_TMAP3IN,c_TMAP3IN&lt;1000),"Seg4 map3-100%",IF(AND(A590&gt;=c_TMAP2IN,c_TMAP3IN&gt;c_TMAP2IN),"Seg3 map2-map3",IF(AND(A590&gt;=c_TMAP1IN,c_TMAP2IN&gt;c_TMAP1IN),"Seg2 map1-map2","Seg1 TFWD-map1"))),IF(AND(A590=0,c_TCREEP&gt;0),"Creep",IF(AND(A590&lt;=c_TRNGMIN,A590&gt;=c_TRNGMAX,c_TRNGMIN-c_TRNGMAX&lt;&gt;0),"Regen ramp","Coast (0)")))</f>
        <v>Seg4 map3-100%</v>
      </c>
      <c r="I590" s="7" t="n">
        <f aca="false">IF(A590&gt;=c_TFWD,IF(AND(A590&gt;=c_TMAP3IN,c_TMAP3IN&lt;1000),G590,IF(AND(A590&gt;=c_TMAP2IN,c_TMAP3IN&gt;c_TMAP2IN),F590,IF(AND(A590&gt;=c_TMAP1IN,c_TMAP2IN&gt;c_TMAP1IN),E590,D590))),C590)</f>
        <v>489</v>
      </c>
      <c r="J590" s="7" t="str">
        <f aca="false">IF(I590&lt;-1090,"TOO LOW",IF(I590&gt;1090,"TOO HIGH",""))</f>
        <v/>
      </c>
      <c r="K590" s="15" t="n">
        <f aca="false">IF(J590&lt;&gt;"",0,IF(I590&gt;979,1000,I590))</f>
        <v>489</v>
      </c>
      <c r="L590" s="7" t="n">
        <f aca="false">K590/10</f>
        <v>48.9</v>
      </c>
    </row>
    <row r="591" customFormat="false" ht="15" hidden="false" customHeight="false" outlineLevel="0" collapsed="false">
      <c r="A591" s="7" t="n">
        <v>586</v>
      </c>
      <c r="B591" s="7" t="n">
        <f aca="false">A591/10</f>
        <v>58.6</v>
      </c>
      <c r="C591" s="7" t="n">
        <f aca="false">IF(AND(A591=0,c_TCREEP&gt;0),10*c_TCREEP,IF(AND(A591&lt;=c_TRNGMIN,A591&gt;=c_TRNGMAX,c_TRNGMIN-c_TRNGMAX&lt;&gt;0),-10*c_TMINRN+QUOTIENT((c_TMAXRN-c_TMINRN)*(100-QUOTIENT((A591-c_TRNGMAX)*100,c_TRNGMIN-c_TRNGMAX)),-10),0))</f>
        <v>0</v>
      </c>
      <c r="D591" s="7" t="n">
        <f aca="false">IF(((c_TMAP1IN)-(c_TFWD))=0,(0)+QUOTIENT(((c_TMAP1OUT)-(0)),2),QUOTIENT((((A591)-(c_TFWD))*((c_TMAP1OUT)-(0))+IF(((c_TMAP1OUT)-(0))&gt;=0,1,-1)*QUOTIENT(((c_TMAP1IN)-(c_TFWD)),2)),((c_TMAP1IN)-(c_TFWD)))+(0)+IF(((c_TMAP1OUT)-(0))&gt;=0,IF(IF(o_WRAP=1,MOD(((c_TMAP1IN)-(c_TFWD))*(((A591)-(c_TFWD))*((c_TMAP1OUT)-(0))+IF(((c_TMAP1OUT)-(0))&gt;=0,1,-1)*QUOTIENT(((c_TMAP1IN)-(c_TFWD)),2))+2147483648,4294967296)-2147483648,((c_TMAP1IN)-(c_TFWD))*(((A591)-(c_TFWD))*((c_TMAP1OUT)-(0))+IF(((c_TMAP1OUT)-(0))&gt;=0,1,-1)*QUOTIENT(((c_TMAP1IN)-(c_TFWD)),2)))&lt;0,-1,0),IF(IF(o_WRAP=1,MOD(((c_TMAP1IN)-(c_TFWD))*(((A591)-(c_TFWD))*((c_TMAP1OUT)-(0))+IF(((c_TMAP1OUT)-(0))&gt;=0,1,-1)*QUOTIENT(((c_TMAP1IN)-(c_TFWD)),2))+2147483648,4294967296)-2147483648,((c_TMAP1IN)-(c_TFWD))*(((A591)-(c_TFWD))*((c_TMAP1OUT)-(0))+IF(((c_TMAP1OUT)-(0))&gt;=0,1,-1)*QUOTIENT(((c_TMAP1IN)-(c_TFWD)),2)))&gt;=0,1,0)))</f>
        <v>448</v>
      </c>
      <c r="E591" s="7" t="n">
        <f aca="false">IF(((c_TMAP2IN)-(c_TMAP1IN))=0,(c_TMAP1OUT)+QUOTIENT(((c_TMAP2OUT)-(c_TMAP1OUT)),2),QUOTIENT((((A591)-(c_TMAP1IN))*((c_TMAP2OUT)-(c_TMAP1OUT))+IF(((c_TMAP2OUT)-(c_TMAP1OUT))&gt;=0,1,-1)*QUOTIENT(((c_TMAP2IN)-(c_TMAP1IN)),2)),((c_TMAP2IN)-(c_TMAP1IN)))+(c_TMAP1OUT)+IF(((c_TMAP2OUT)-(c_TMAP1OUT))&gt;=0,IF(IF(o_WRAP=1,MOD(((c_TMAP2IN)-(c_TMAP1IN))*(((A591)-(c_TMAP1IN))*((c_TMAP2OUT)-(c_TMAP1OUT))+IF(((c_TMAP2OUT)-(c_TMAP1OUT))&gt;=0,1,-1)*QUOTIENT(((c_TMAP2IN)-(c_TMAP1IN)),2))+2147483648,4294967296)-2147483648,((c_TMAP2IN)-(c_TMAP1IN))*(((A591)-(c_TMAP1IN))*((c_TMAP2OUT)-(c_TMAP1OUT))+IF(((c_TMAP2OUT)-(c_TMAP1OUT))&gt;=0,1,-1)*QUOTIENT(((c_TMAP2IN)-(c_TMAP1IN)),2)))&lt;0,-1,0),IF(IF(o_WRAP=1,MOD(((c_TMAP2IN)-(c_TMAP1IN))*(((A591)-(c_TMAP1IN))*((c_TMAP2OUT)-(c_TMAP1OUT))+IF(((c_TMAP2OUT)-(c_TMAP1OUT))&gt;=0,1,-1)*QUOTIENT(((c_TMAP2IN)-(c_TMAP1IN)),2))+2147483648,4294967296)-2147483648,((c_TMAP2IN)-(c_TMAP1IN))*(((A591)-(c_TMAP1IN))*((c_TMAP2OUT)-(c_TMAP1OUT))+IF(((c_TMAP2OUT)-(c_TMAP1OUT))&gt;=0,1,-1)*QUOTIENT(((c_TMAP2IN)-(c_TMAP1IN)),2)))&gt;=0,1,0)))</f>
        <v>264</v>
      </c>
      <c r="F591" s="7" t="n">
        <f aca="false">IF(((c_TMAP3IN)-(c_TMAP2IN))=0,(c_TMAP2OUT)+QUOTIENT(((c_TMAP3OUT)-(c_TMAP2OUT)),2),QUOTIENT((((A591)-(c_TMAP2IN))*((c_TMAP3OUT)-(c_TMAP2OUT))+IF(((c_TMAP3OUT)-(c_TMAP2OUT))&gt;=0,1,-1)*QUOTIENT(((c_TMAP3IN)-(c_TMAP2IN)),2)),((c_TMAP3IN)-(c_TMAP2IN)))+(c_TMAP2OUT)+IF(((c_TMAP3OUT)-(c_TMAP2OUT))&gt;=0,IF(IF(o_WRAP=1,MOD(((c_TMAP3IN)-(c_TMAP2IN))*(((A591)-(c_TMAP2IN))*((c_TMAP3OUT)-(c_TMAP2OUT))+IF(((c_TMAP3OUT)-(c_TMAP2OUT))&gt;=0,1,-1)*QUOTIENT(((c_TMAP3IN)-(c_TMAP2IN)),2))+2147483648,4294967296)-2147483648,((c_TMAP3IN)-(c_TMAP2IN))*(((A591)-(c_TMAP2IN))*((c_TMAP3OUT)-(c_TMAP2OUT))+IF(((c_TMAP3OUT)-(c_TMAP2OUT))&gt;=0,1,-1)*QUOTIENT(((c_TMAP3IN)-(c_TMAP2IN)),2)))&lt;0,-1,0),IF(IF(o_WRAP=1,MOD(((c_TMAP3IN)-(c_TMAP2IN))*(((A591)-(c_TMAP2IN))*((c_TMAP3OUT)-(c_TMAP2OUT))+IF(((c_TMAP3OUT)-(c_TMAP2OUT))&gt;=0,1,-1)*QUOTIENT(((c_TMAP3IN)-(c_TMAP2IN)),2))+2147483648,4294967296)-2147483648,((c_TMAP3IN)-(c_TMAP2IN))*(((A591)-(c_TMAP2IN))*((c_TMAP3OUT)-(c_TMAP2OUT))+IF(((c_TMAP3OUT)-(c_TMAP2OUT))&gt;=0,1,-1)*QUOTIENT(((c_TMAP3IN)-(c_TMAP2IN)),2)))&gt;=0,1,0)))</f>
        <v>365</v>
      </c>
      <c r="G591" s="7" t="n">
        <f aca="false">IF(((1000)-(c_TMAP3IN))=0,(c_TMAP3OUT)+QUOTIENT(((1000)-(c_TMAP3OUT)),2),QUOTIENT((((A591)-(c_TMAP3IN))*((1000)-(c_TMAP3OUT))+IF(((1000)-(c_TMAP3OUT))&gt;=0,1,-1)*QUOTIENT(((1000)-(c_TMAP3IN)),2)),((1000)-(c_TMAP3IN)))+(c_TMAP3OUT)+IF(((1000)-(c_TMAP3OUT))&gt;=0,IF(IF(o_WRAP=1,MOD(((1000)-(c_TMAP3IN))*(((A591)-(c_TMAP3IN))*((1000)-(c_TMAP3OUT))+IF(((1000)-(c_TMAP3OUT))&gt;=0,1,-1)*QUOTIENT(((1000)-(c_TMAP3IN)),2))+2147483648,4294967296)-2147483648,((1000)-(c_TMAP3IN))*(((A591)-(c_TMAP3IN))*((1000)-(c_TMAP3OUT))+IF(((1000)-(c_TMAP3OUT))&gt;=0,1,-1)*QUOTIENT(((1000)-(c_TMAP3IN)),2)))&lt;0,-1,0),IF(IF(o_WRAP=1,MOD(((1000)-(c_TMAP3IN))*(((A591)-(c_TMAP3IN))*((1000)-(c_TMAP3OUT))+IF(((1000)-(c_TMAP3OUT))&gt;=0,1,-1)*QUOTIENT(((1000)-(c_TMAP3IN)),2))+2147483648,4294967296)-2147483648,((1000)-(c_TMAP3IN))*(((A591)-(c_TMAP3IN))*((1000)-(c_TMAP3OUT))+IF(((1000)-(c_TMAP3OUT))&gt;=0,1,-1)*QUOTIENT(((1000)-(c_TMAP3IN)),2)))&gt;=0,1,0)))</f>
        <v>490</v>
      </c>
      <c r="H591" s="7" t="str">
        <f aca="false">IF(A591&gt;=c_TFWD,IF(AND(A591&gt;=c_TMAP3IN,c_TMAP3IN&lt;1000),"Seg4 map3-100%",IF(AND(A591&gt;=c_TMAP2IN,c_TMAP3IN&gt;c_TMAP2IN),"Seg3 map2-map3",IF(AND(A591&gt;=c_TMAP1IN,c_TMAP2IN&gt;c_TMAP1IN),"Seg2 map1-map2","Seg1 TFWD-map1"))),IF(AND(A591=0,c_TCREEP&gt;0),"Creep",IF(AND(A591&lt;=c_TRNGMIN,A591&gt;=c_TRNGMAX,c_TRNGMIN-c_TRNGMAX&lt;&gt;0),"Regen ramp","Coast (0)")))</f>
        <v>Seg4 map3-100%</v>
      </c>
      <c r="I591" s="7" t="n">
        <f aca="false">IF(A591&gt;=c_TFWD,IF(AND(A591&gt;=c_TMAP3IN,c_TMAP3IN&lt;1000),G591,IF(AND(A591&gt;=c_TMAP2IN,c_TMAP3IN&gt;c_TMAP2IN),F591,IF(AND(A591&gt;=c_TMAP1IN,c_TMAP2IN&gt;c_TMAP1IN),E591,D591))),C591)</f>
        <v>490</v>
      </c>
      <c r="J591" s="7" t="str">
        <f aca="false">IF(I591&lt;-1090,"TOO LOW",IF(I591&gt;1090,"TOO HIGH",""))</f>
        <v/>
      </c>
      <c r="K591" s="15" t="n">
        <f aca="false">IF(J591&lt;&gt;"",0,IF(I591&gt;979,1000,I591))</f>
        <v>490</v>
      </c>
      <c r="L591" s="7" t="n">
        <f aca="false">K591/10</f>
        <v>49</v>
      </c>
    </row>
    <row r="592" customFormat="false" ht="15" hidden="false" customHeight="false" outlineLevel="0" collapsed="false">
      <c r="A592" s="7" t="n">
        <v>587</v>
      </c>
      <c r="B592" s="7" t="n">
        <f aca="false">A592/10</f>
        <v>58.7</v>
      </c>
      <c r="C592" s="7" t="n">
        <f aca="false">IF(AND(A592=0,c_TCREEP&gt;0),10*c_TCREEP,IF(AND(A592&lt;=c_TRNGMIN,A592&gt;=c_TRNGMAX,c_TRNGMIN-c_TRNGMAX&lt;&gt;0),-10*c_TMINRN+QUOTIENT((c_TMAXRN-c_TMINRN)*(100-QUOTIENT((A592-c_TRNGMAX)*100,c_TRNGMIN-c_TRNGMAX)),-10),0))</f>
        <v>0</v>
      </c>
      <c r="D592" s="7" t="n">
        <f aca="false">IF(((c_TMAP1IN)-(c_TFWD))=0,(0)+QUOTIENT(((c_TMAP1OUT)-(0)),2),QUOTIENT((((A592)-(c_TFWD))*((c_TMAP1OUT)-(0))+IF(((c_TMAP1OUT)-(0))&gt;=0,1,-1)*QUOTIENT(((c_TMAP1IN)-(c_TFWD)),2)),((c_TMAP1IN)-(c_TFWD)))+(0)+IF(((c_TMAP1OUT)-(0))&gt;=0,IF(IF(o_WRAP=1,MOD(((c_TMAP1IN)-(c_TFWD))*(((A592)-(c_TFWD))*((c_TMAP1OUT)-(0))+IF(((c_TMAP1OUT)-(0))&gt;=0,1,-1)*QUOTIENT(((c_TMAP1IN)-(c_TFWD)),2))+2147483648,4294967296)-2147483648,((c_TMAP1IN)-(c_TFWD))*(((A592)-(c_TFWD))*((c_TMAP1OUT)-(0))+IF(((c_TMAP1OUT)-(0))&gt;=0,1,-1)*QUOTIENT(((c_TMAP1IN)-(c_TFWD)),2)))&lt;0,-1,0),IF(IF(o_WRAP=1,MOD(((c_TMAP1IN)-(c_TFWD))*(((A592)-(c_TFWD))*((c_TMAP1OUT)-(0))+IF(((c_TMAP1OUT)-(0))&gt;=0,1,-1)*QUOTIENT(((c_TMAP1IN)-(c_TFWD)),2))+2147483648,4294967296)-2147483648,((c_TMAP1IN)-(c_TFWD))*(((A592)-(c_TFWD))*((c_TMAP1OUT)-(0))+IF(((c_TMAP1OUT)-(0))&gt;=0,1,-1)*QUOTIENT(((c_TMAP1IN)-(c_TFWD)),2)))&gt;=0,1,0)))</f>
        <v>449</v>
      </c>
      <c r="E592" s="7" t="n">
        <f aca="false">IF(((c_TMAP2IN)-(c_TMAP1IN))=0,(c_TMAP1OUT)+QUOTIENT(((c_TMAP2OUT)-(c_TMAP1OUT)),2),QUOTIENT((((A592)-(c_TMAP1IN))*((c_TMAP2OUT)-(c_TMAP1OUT))+IF(((c_TMAP2OUT)-(c_TMAP1OUT))&gt;=0,1,-1)*QUOTIENT(((c_TMAP2IN)-(c_TMAP1IN)),2)),((c_TMAP2IN)-(c_TMAP1IN)))+(c_TMAP1OUT)+IF(((c_TMAP2OUT)-(c_TMAP1OUT))&gt;=0,IF(IF(o_WRAP=1,MOD(((c_TMAP2IN)-(c_TMAP1IN))*(((A592)-(c_TMAP1IN))*((c_TMAP2OUT)-(c_TMAP1OUT))+IF(((c_TMAP2OUT)-(c_TMAP1OUT))&gt;=0,1,-1)*QUOTIENT(((c_TMAP2IN)-(c_TMAP1IN)),2))+2147483648,4294967296)-2147483648,((c_TMAP2IN)-(c_TMAP1IN))*(((A592)-(c_TMAP1IN))*((c_TMAP2OUT)-(c_TMAP1OUT))+IF(((c_TMAP2OUT)-(c_TMAP1OUT))&gt;=0,1,-1)*QUOTIENT(((c_TMAP2IN)-(c_TMAP1IN)),2)))&lt;0,-1,0),IF(IF(o_WRAP=1,MOD(((c_TMAP2IN)-(c_TMAP1IN))*(((A592)-(c_TMAP1IN))*((c_TMAP2OUT)-(c_TMAP1OUT))+IF(((c_TMAP2OUT)-(c_TMAP1OUT))&gt;=0,1,-1)*QUOTIENT(((c_TMAP2IN)-(c_TMAP1IN)),2))+2147483648,4294967296)-2147483648,((c_TMAP2IN)-(c_TMAP1IN))*(((A592)-(c_TMAP1IN))*((c_TMAP2OUT)-(c_TMAP1OUT))+IF(((c_TMAP2OUT)-(c_TMAP1OUT))&gt;=0,1,-1)*QUOTIENT(((c_TMAP2IN)-(c_TMAP1IN)),2)))&gt;=0,1,0)))</f>
        <v>265</v>
      </c>
      <c r="F592" s="7" t="n">
        <f aca="false">IF(((c_TMAP3IN)-(c_TMAP2IN))=0,(c_TMAP2OUT)+QUOTIENT(((c_TMAP3OUT)-(c_TMAP2OUT)),2),QUOTIENT((((A592)-(c_TMAP2IN))*((c_TMAP3OUT)-(c_TMAP2OUT))+IF(((c_TMAP3OUT)-(c_TMAP2OUT))&gt;=0,1,-1)*QUOTIENT(((c_TMAP3IN)-(c_TMAP2IN)),2)),((c_TMAP3IN)-(c_TMAP2IN)))+(c_TMAP2OUT)+IF(((c_TMAP3OUT)-(c_TMAP2OUT))&gt;=0,IF(IF(o_WRAP=1,MOD(((c_TMAP3IN)-(c_TMAP2IN))*(((A592)-(c_TMAP2IN))*((c_TMAP3OUT)-(c_TMAP2OUT))+IF(((c_TMAP3OUT)-(c_TMAP2OUT))&gt;=0,1,-1)*QUOTIENT(((c_TMAP3IN)-(c_TMAP2IN)),2))+2147483648,4294967296)-2147483648,((c_TMAP3IN)-(c_TMAP2IN))*(((A592)-(c_TMAP2IN))*((c_TMAP3OUT)-(c_TMAP2OUT))+IF(((c_TMAP3OUT)-(c_TMAP2OUT))&gt;=0,1,-1)*QUOTIENT(((c_TMAP3IN)-(c_TMAP2IN)),2)))&lt;0,-1,0),IF(IF(o_WRAP=1,MOD(((c_TMAP3IN)-(c_TMAP2IN))*(((A592)-(c_TMAP2IN))*((c_TMAP3OUT)-(c_TMAP2OUT))+IF(((c_TMAP3OUT)-(c_TMAP2OUT))&gt;=0,1,-1)*QUOTIENT(((c_TMAP3IN)-(c_TMAP2IN)),2))+2147483648,4294967296)-2147483648,((c_TMAP3IN)-(c_TMAP2IN))*(((A592)-(c_TMAP2IN))*((c_TMAP3OUT)-(c_TMAP2OUT))+IF(((c_TMAP3OUT)-(c_TMAP2OUT))&gt;=0,1,-1)*QUOTIENT(((c_TMAP3IN)-(c_TMAP2IN)),2)))&gt;=0,1,0)))</f>
        <v>366</v>
      </c>
      <c r="G592" s="7" t="n">
        <f aca="false">IF(((1000)-(c_TMAP3IN))=0,(c_TMAP3OUT)+QUOTIENT(((1000)-(c_TMAP3OUT)),2),QUOTIENT((((A592)-(c_TMAP3IN))*((1000)-(c_TMAP3OUT))+IF(((1000)-(c_TMAP3OUT))&gt;=0,1,-1)*QUOTIENT(((1000)-(c_TMAP3IN)),2)),((1000)-(c_TMAP3IN)))+(c_TMAP3OUT)+IF(((1000)-(c_TMAP3OUT))&gt;=0,IF(IF(o_WRAP=1,MOD(((1000)-(c_TMAP3IN))*(((A592)-(c_TMAP3IN))*((1000)-(c_TMAP3OUT))+IF(((1000)-(c_TMAP3OUT))&gt;=0,1,-1)*QUOTIENT(((1000)-(c_TMAP3IN)),2))+2147483648,4294967296)-2147483648,((1000)-(c_TMAP3IN))*(((A592)-(c_TMAP3IN))*((1000)-(c_TMAP3OUT))+IF(((1000)-(c_TMAP3OUT))&gt;=0,1,-1)*QUOTIENT(((1000)-(c_TMAP3IN)),2)))&lt;0,-1,0),IF(IF(o_WRAP=1,MOD(((1000)-(c_TMAP3IN))*(((A592)-(c_TMAP3IN))*((1000)-(c_TMAP3OUT))+IF(((1000)-(c_TMAP3OUT))&gt;=0,1,-1)*QUOTIENT(((1000)-(c_TMAP3IN)),2))+2147483648,4294967296)-2147483648,((1000)-(c_TMAP3IN))*(((A592)-(c_TMAP3IN))*((1000)-(c_TMAP3OUT))+IF(((1000)-(c_TMAP3OUT))&gt;=0,1,-1)*QUOTIENT(((1000)-(c_TMAP3IN)),2)))&gt;=0,1,0)))</f>
        <v>492</v>
      </c>
      <c r="H592" s="7" t="str">
        <f aca="false">IF(A592&gt;=c_TFWD,IF(AND(A592&gt;=c_TMAP3IN,c_TMAP3IN&lt;1000),"Seg4 map3-100%",IF(AND(A592&gt;=c_TMAP2IN,c_TMAP3IN&gt;c_TMAP2IN),"Seg3 map2-map3",IF(AND(A592&gt;=c_TMAP1IN,c_TMAP2IN&gt;c_TMAP1IN),"Seg2 map1-map2","Seg1 TFWD-map1"))),IF(AND(A592=0,c_TCREEP&gt;0),"Creep",IF(AND(A592&lt;=c_TRNGMIN,A592&gt;=c_TRNGMAX,c_TRNGMIN-c_TRNGMAX&lt;&gt;0),"Regen ramp","Coast (0)")))</f>
        <v>Seg4 map3-100%</v>
      </c>
      <c r="I592" s="7" t="n">
        <f aca="false">IF(A592&gt;=c_TFWD,IF(AND(A592&gt;=c_TMAP3IN,c_TMAP3IN&lt;1000),G592,IF(AND(A592&gt;=c_TMAP2IN,c_TMAP3IN&gt;c_TMAP2IN),F592,IF(AND(A592&gt;=c_TMAP1IN,c_TMAP2IN&gt;c_TMAP1IN),E592,D592))),C592)</f>
        <v>492</v>
      </c>
      <c r="J592" s="7" t="str">
        <f aca="false">IF(I592&lt;-1090,"TOO LOW",IF(I592&gt;1090,"TOO HIGH",""))</f>
        <v/>
      </c>
      <c r="K592" s="15" t="n">
        <f aca="false">IF(J592&lt;&gt;"",0,IF(I592&gt;979,1000,I592))</f>
        <v>492</v>
      </c>
      <c r="L592" s="7" t="n">
        <f aca="false">K592/10</f>
        <v>49.2</v>
      </c>
    </row>
    <row r="593" customFormat="false" ht="15" hidden="false" customHeight="false" outlineLevel="0" collapsed="false">
      <c r="A593" s="7" t="n">
        <v>588</v>
      </c>
      <c r="B593" s="7" t="n">
        <f aca="false">A593/10</f>
        <v>58.8</v>
      </c>
      <c r="C593" s="7" t="n">
        <f aca="false">IF(AND(A593=0,c_TCREEP&gt;0),10*c_TCREEP,IF(AND(A593&lt;=c_TRNGMIN,A593&gt;=c_TRNGMAX,c_TRNGMIN-c_TRNGMAX&lt;&gt;0),-10*c_TMINRN+QUOTIENT((c_TMAXRN-c_TMINRN)*(100-QUOTIENT((A593-c_TRNGMAX)*100,c_TRNGMIN-c_TRNGMAX)),-10),0))</f>
        <v>0</v>
      </c>
      <c r="D593" s="7" t="n">
        <f aca="false">IF(((c_TMAP1IN)-(c_TFWD))=0,(0)+QUOTIENT(((c_TMAP1OUT)-(0)),2),QUOTIENT((((A593)-(c_TFWD))*((c_TMAP1OUT)-(0))+IF(((c_TMAP1OUT)-(0))&gt;=0,1,-1)*QUOTIENT(((c_TMAP1IN)-(c_TFWD)),2)),((c_TMAP1IN)-(c_TFWD)))+(0)+IF(((c_TMAP1OUT)-(0))&gt;=0,IF(IF(o_WRAP=1,MOD(((c_TMAP1IN)-(c_TFWD))*(((A593)-(c_TFWD))*((c_TMAP1OUT)-(0))+IF(((c_TMAP1OUT)-(0))&gt;=0,1,-1)*QUOTIENT(((c_TMAP1IN)-(c_TFWD)),2))+2147483648,4294967296)-2147483648,((c_TMAP1IN)-(c_TFWD))*(((A593)-(c_TFWD))*((c_TMAP1OUT)-(0))+IF(((c_TMAP1OUT)-(0))&gt;=0,1,-1)*QUOTIENT(((c_TMAP1IN)-(c_TFWD)),2)))&lt;0,-1,0),IF(IF(o_WRAP=1,MOD(((c_TMAP1IN)-(c_TFWD))*(((A593)-(c_TFWD))*((c_TMAP1OUT)-(0))+IF(((c_TMAP1OUT)-(0))&gt;=0,1,-1)*QUOTIENT(((c_TMAP1IN)-(c_TFWD)),2))+2147483648,4294967296)-2147483648,((c_TMAP1IN)-(c_TFWD))*(((A593)-(c_TFWD))*((c_TMAP1OUT)-(0))+IF(((c_TMAP1OUT)-(0))&gt;=0,1,-1)*QUOTIENT(((c_TMAP1IN)-(c_TFWD)),2)))&gt;=0,1,0)))</f>
        <v>450</v>
      </c>
      <c r="E593" s="7" t="n">
        <f aca="false">IF(((c_TMAP2IN)-(c_TMAP1IN))=0,(c_TMAP1OUT)+QUOTIENT(((c_TMAP2OUT)-(c_TMAP1OUT)),2),QUOTIENT((((A593)-(c_TMAP1IN))*((c_TMAP2OUT)-(c_TMAP1OUT))+IF(((c_TMAP2OUT)-(c_TMAP1OUT))&gt;=0,1,-1)*QUOTIENT(((c_TMAP2IN)-(c_TMAP1IN)),2)),((c_TMAP2IN)-(c_TMAP1IN)))+(c_TMAP1OUT)+IF(((c_TMAP2OUT)-(c_TMAP1OUT))&gt;=0,IF(IF(o_WRAP=1,MOD(((c_TMAP2IN)-(c_TMAP1IN))*(((A593)-(c_TMAP1IN))*((c_TMAP2OUT)-(c_TMAP1OUT))+IF(((c_TMAP2OUT)-(c_TMAP1OUT))&gt;=0,1,-1)*QUOTIENT(((c_TMAP2IN)-(c_TMAP1IN)),2))+2147483648,4294967296)-2147483648,((c_TMAP2IN)-(c_TMAP1IN))*(((A593)-(c_TMAP1IN))*((c_TMAP2OUT)-(c_TMAP1OUT))+IF(((c_TMAP2OUT)-(c_TMAP1OUT))&gt;=0,1,-1)*QUOTIENT(((c_TMAP2IN)-(c_TMAP1IN)),2)))&lt;0,-1,0),IF(IF(o_WRAP=1,MOD(((c_TMAP2IN)-(c_TMAP1IN))*(((A593)-(c_TMAP1IN))*((c_TMAP2OUT)-(c_TMAP1OUT))+IF(((c_TMAP2OUT)-(c_TMAP1OUT))&gt;=0,1,-1)*QUOTIENT(((c_TMAP2IN)-(c_TMAP1IN)),2))+2147483648,4294967296)-2147483648,((c_TMAP2IN)-(c_TMAP1IN))*(((A593)-(c_TMAP1IN))*((c_TMAP2OUT)-(c_TMAP1OUT))+IF(((c_TMAP2OUT)-(c_TMAP1OUT))&gt;=0,1,-1)*QUOTIENT(((c_TMAP2IN)-(c_TMAP1IN)),2)))&gt;=0,1,0)))</f>
        <v>265</v>
      </c>
      <c r="F593" s="7" t="n">
        <f aca="false">IF(((c_TMAP3IN)-(c_TMAP2IN))=0,(c_TMAP2OUT)+QUOTIENT(((c_TMAP3OUT)-(c_TMAP2OUT)),2),QUOTIENT((((A593)-(c_TMAP2IN))*((c_TMAP3OUT)-(c_TMAP2OUT))+IF(((c_TMAP3OUT)-(c_TMAP2OUT))&gt;=0,1,-1)*QUOTIENT(((c_TMAP3IN)-(c_TMAP2IN)),2)),((c_TMAP3IN)-(c_TMAP2IN)))+(c_TMAP2OUT)+IF(((c_TMAP3OUT)-(c_TMAP2OUT))&gt;=0,IF(IF(o_WRAP=1,MOD(((c_TMAP3IN)-(c_TMAP2IN))*(((A593)-(c_TMAP2IN))*((c_TMAP3OUT)-(c_TMAP2OUT))+IF(((c_TMAP3OUT)-(c_TMAP2OUT))&gt;=0,1,-1)*QUOTIENT(((c_TMAP3IN)-(c_TMAP2IN)),2))+2147483648,4294967296)-2147483648,((c_TMAP3IN)-(c_TMAP2IN))*(((A593)-(c_TMAP2IN))*((c_TMAP3OUT)-(c_TMAP2OUT))+IF(((c_TMAP3OUT)-(c_TMAP2OUT))&gt;=0,1,-1)*QUOTIENT(((c_TMAP3IN)-(c_TMAP2IN)),2)))&lt;0,-1,0),IF(IF(o_WRAP=1,MOD(((c_TMAP3IN)-(c_TMAP2IN))*(((A593)-(c_TMAP2IN))*((c_TMAP3OUT)-(c_TMAP2OUT))+IF(((c_TMAP3OUT)-(c_TMAP2OUT))&gt;=0,1,-1)*QUOTIENT(((c_TMAP3IN)-(c_TMAP2IN)),2))+2147483648,4294967296)-2147483648,((c_TMAP3IN)-(c_TMAP2IN))*(((A593)-(c_TMAP2IN))*((c_TMAP3OUT)-(c_TMAP2OUT))+IF(((c_TMAP3OUT)-(c_TMAP2OUT))&gt;=0,1,-1)*QUOTIENT(((c_TMAP3IN)-(c_TMAP2IN)),2)))&gt;=0,1,0)))</f>
        <v>367</v>
      </c>
      <c r="G593" s="7" t="n">
        <f aca="false">IF(((1000)-(c_TMAP3IN))=0,(c_TMAP3OUT)+QUOTIENT(((1000)-(c_TMAP3OUT)),2),QUOTIENT((((A593)-(c_TMAP3IN))*((1000)-(c_TMAP3OUT))+IF(((1000)-(c_TMAP3OUT))&gt;=0,1,-1)*QUOTIENT(((1000)-(c_TMAP3IN)),2)),((1000)-(c_TMAP3IN)))+(c_TMAP3OUT)+IF(((1000)-(c_TMAP3OUT))&gt;=0,IF(IF(o_WRAP=1,MOD(((1000)-(c_TMAP3IN))*(((A593)-(c_TMAP3IN))*((1000)-(c_TMAP3OUT))+IF(((1000)-(c_TMAP3OUT))&gt;=0,1,-1)*QUOTIENT(((1000)-(c_TMAP3IN)),2))+2147483648,4294967296)-2147483648,((1000)-(c_TMAP3IN))*(((A593)-(c_TMAP3IN))*((1000)-(c_TMAP3OUT))+IF(((1000)-(c_TMAP3OUT))&gt;=0,1,-1)*QUOTIENT(((1000)-(c_TMAP3IN)),2)))&lt;0,-1,0),IF(IF(o_WRAP=1,MOD(((1000)-(c_TMAP3IN))*(((A593)-(c_TMAP3IN))*((1000)-(c_TMAP3OUT))+IF(((1000)-(c_TMAP3OUT))&gt;=0,1,-1)*QUOTIENT(((1000)-(c_TMAP3IN)),2))+2147483648,4294967296)-2147483648,((1000)-(c_TMAP3IN))*(((A593)-(c_TMAP3IN))*((1000)-(c_TMAP3OUT))+IF(((1000)-(c_TMAP3OUT))&gt;=0,1,-1)*QUOTIENT(((1000)-(c_TMAP3IN)),2)))&gt;=0,1,0)))</f>
        <v>493</v>
      </c>
      <c r="H593" s="7" t="str">
        <f aca="false">IF(A593&gt;=c_TFWD,IF(AND(A593&gt;=c_TMAP3IN,c_TMAP3IN&lt;1000),"Seg4 map3-100%",IF(AND(A593&gt;=c_TMAP2IN,c_TMAP3IN&gt;c_TMAP2IN),"Seg3 map2-map3",IF(AND(A593&gt;=c_TMAP1IN,c_TMAP2IN&gt;c_TMAP1IN),"Seg2 map1-map2","Seg1 TFWD-map1"))),IF(AND(A593=0,c_TCREEP&gt;0),"Creep",IF(AND(A593&lt;=c_TRNGMIN,A593&gt;=c_TRNGMAX,c_TRNGMIN-c_TRNGMAX&lt;&gt;0),"Regen ramp","Coast (0)")))</f>
        <v>Seg4 map3-100%</v>
      </c>
      <c r="I593" s="7" t="n">
        <f aca="false">IF(A593&gt;=c_TFWD,IF(AND(A593&gt;=c_TMAP3IN,c_TMAP3IN&lt;1000),G593,IF(AND(A593&gt;=c_TMAP2IN,c_TMAP3IN&gt;c_TMAP2IN),F593,IF(AND(A593&gt;=c_TMAP1IN,c_TMAP2IN&gt;c_TMAP1IN),E593,D593))),C593)</f>
        <v>493</v>
      </c>
      <c r="J593" s="7" t="str">
        <f aca="false">IF(I593&lt;-1090,"TOO LOW",IF(I593&gt;1090,"TOO HIGH",""))</f>
        <v/>
      </c>
      <c r="K593" s="15" t="n">
        <f aca="false">IF(J593&lt;&gt;"",0,IF(I593&gt;979,1000,I593))</f>
        <v>493</v>
      </c>
      <c r="L593" s="7" t="n">
        <f aca="false">K593/10</f>
        <v>49.3</v>
      </c>
    </row>
    <row r="594" customFormat="false" ht="15" hidden="false" customHeight="false" outlineLevel="0" collapsed="false">
      <c r="A594" s="7" t="n">
        <v>589</v>
      </c>
      <c r="B594" s="7" t="n">
        <f aca="false">A594/10</f>
        <v>58.9</v>
      </c>
      <c r="C594" s="7" t="n">
        <f aca="false">IF(AND(A594=0,c_TCREEP&gt;0),10*c_TCREEP,IF(AND(A594&lt;=c_TRNGMIN,A594&gt;=c_TRNGMAX,c_TRNGMIN-c_TRNGMAX&lt;&gt;0),-10*c_TMINRN+QUOTIENT((c_TMAXRN-c_TMINRN)*(100-QUOTIENT((A594-c_TRNGMAX)*100,c_TRNGMIN-c_TRNGMAX)),-10),0))</f>
        <v>0</v>
      </c>
      <c r="D594" s="7" t="n">
        <f aca="false">IF(((c_TMAP1IN)-(c_TFWD))=0,(0)+QUOTIENT(((c_TMAP1OUT)-(0)),2),QUOTIENT((((A594)-(c_TFWD))*((c_TMAP1OUT)-(0))+IF(((c_TMAP1OUT)-(0))&gt;=0,1,-1)*QUOTIENT(((c_TMAP1IN)-(c_TFWD)),2)),((c_TMAP1IN)-(c_TFWD)))+(0)+IF(((c_TMAP1OUT)-(0))&gt;=0,IF(IF(o_WRAP=1,MOD(((c_TMAP1IN)-(c_TFWD))*(((A594)-(c_TFWD))*((c_TMAP1OUT)-(0))+IF(((c_TMAP1OUT)-(0))&gt;=0,1,-1)*QUOTIENT(((c_TMAP1IN)-(c_TFWD)),2))+2147483648,4294967296)-2147483648,((c_TMAP1IN)-(c_TFWD))*(((A594)-(c_TFWD))*((c_TMAP1OUT)-(0))+IF(((c_TMAP1OUT)-(0))&gt;=0,1,-1)*QUOTIENT(((c_TMAP1IN)-(c_TFWD)),2)))&lt;0,-1,0),IF(IF(o_WRAP=1,MOD(((c_TMAP1IN)-(c_TFWD))*(((A594)-(c_TFWD))*((c_TMAP1OUT)-(0))+IF(((c_TMAP1OUT)-(0))&gt;=0,1,-1)*QUOTIENT(((c_TMAP1IN)-(c_TFWD)),2))+2147483648,4294967296)-2147483648,((c_TMAP1IN)-(c_TFWD))*(((A594)-(c_TFWD))*((c_TMAP1OUT)-(0))+IF(((c_TMAP1OUT)-(0))&gt;=0,1,-1)*QUOTIENT(((c_TMAP1IN)-(c_TFWD)),2)))&gt;=0,1,0)))</f>
        <v>450</v>
      </c>
      <c r="E594" s="7" t="n">
        <f aca="false">IF(((c_TMAP2IN)-(c_TMAP1IN))=0,(c_TMAP1OUT)+QUOTIENT(((c_TMAP2OUT)-(c_TMAP1OUT)),2),QUOTIENT((((A594)-(c_TMAP1IN))*((c_TMAP2OUT)-(c_TMAP1OUT))+IF(((c_TMAP2OUT)-(c_TMAP1OUT))&gt;=0,1,-1)*QUOTIENT(((c_TMAP2IN)-(c_TMAP1IN)),2)),((c_TMAP2IN)-(c_TMAP1IN)))+(c_TMAP1OUT)+IF(((c_TMAP2OUT)-(c_TMAP1OUT))&gt;=0,IF(IF(o_WRAP=1,MOD(((c_TMAP2IN)-(c_TMAP1IN))*(((A594)-(c_TMAP1IN))*((c_TMAP2OUT)-(c_TMAP1OUT))+IF(((c_TMAP2OUT)-(c_TMAP1OUT))&gt;=0,1,-1)*QUOTIENT(((c_TMAP2IN)-(c_TMAP1IN)),2))+2147483648,4294967296)-2147483648,((c_TMAP2IN)-(c_TMAP1IN))*(((A594)-(c_TMAP1IN))*((c_TMAP2OUT)-(c_TMAP1OUT))+IF(((c_TMAP2OUT)-(c_TMAP1OUT))&gt;=0,1,-1)*QUOTIENT(((c_TMAP2IN)-(c_TMAP1IN)),2)))&lt;0,-1,0),IF(IF(o_WRAP=1,MOD(((c_TMAP2IN)-(c_TMAP1IN))*(((A594)-(c_TMAP1IN))*((c_TMAP2OUT)-(c_TMAP1OUT))+IF(((c_TMAP2OUT)-(c_TMAP1OUT))&gt;=0,1,-1)*QUOTIENT(((c_TMAP2IN)-(c_TMAP1IN)),2))+2147483648,4294967296)-2147483648,((c_TMAP2IN)-(c_TMAP1IN))*(((A594)-(c_TMAP1IN))*((c_TMAP2OUT)-(c_TMAP1OUT))+IF(((c_TMAP2OUT)-(c_TMAP1OUT))&gt;=0,1,-1)*QUOTIENT(((c_TMAP2IN)-(c_TMAP1IN)),2)))&gt;=0,1,0)))</f>
        <v>266</v>
      </c>
      <c r="F594" s="7" t="n">
        <f aca="false">IF(((c_TMAP3IN)-(c_TMAP2IN))=0,(c_TMAP2OUT)+QUOTIENT(((c_TMAP3OUT)-(c_TMAP2OUT)),2),QUOTIENT((((A594)-(c_TMAP2IN))*((c_TMAP3OUT)-(c_TMAP2OUT))+IF(((c_TMAP3OUT)-(c_TMAP2OUT))&gt;=0,1,-1)*QUOTIENT(((c_TMAP3IN)-(c_TMAP2IN)),2)),((c_TMAP3IN)-(c_TMAP2IN)))+(c_TMAP2OUT)+IF(((c_TMAP3OUT)-(c_TMAP2OUT))&gt;=0,IF(IF(o_WRAP=1,MOD(((c_TMAP3IN)-(c_TMAP2IN))*(((A594)-(c_TMAP2IN))*((c_TMAP3OUT)-(c_TMAP2OUT))+IF(((c_TMAP3OUT)-(c_TMAP2OUT))&gt;=0,1,-1)*QUOTIENT(((c_TMAP3IN)-(c_TMAP2IN)),2))+2147483648,4294967296)-2147483648,((c_TMAP3IN)-(c_TMAP2IN))*(((A594)-(c_TMAP2IN))*((c_TMAP3OUT)-(c_TMAP2OUT))+IF(((c_TMAP3OUT)-(c_TMAP2OUT))&gt;=0,1,-1)*QUOTIENT(((c_TMAP3IN)-(c_TMAP2IN)),2)))&lt;0,-1,0),IF(IF(o_WRAP=1,MOD(((c_TMAP3IN)-(c_TMAP2IN))*(((A594)-(c_TMAP2IN))*((c_TMAP3OUT)-(c_TMAP2OUT))+IF(((c_TMAP3OUT)-(c_TMAP2OUT))&gt;=0,1,-1)*QUOTIENT(((c_TMAP3IN)-(c_TMAP2IN)),2))+2147483648,4294967296)-2147483648,((c_TMAP3IN)-(c_TMAP2IN))*(((A594)-(c_TMAP2IN))*((c_TMAP3OUT)-(c_TMAP2OUT))+IF(((c_TMAP3OUT)-(c_TMAP2OUT))&gt;=0,1,-1)*QUOTIENT(((c_TMAP3IN)-(c_TMAP2IN)),2)))&gt;=0,1,0)))</f>
        <v>367</v>
      </c>
      <c r="G594" s="7" t="n">
        <f aca="false">IF(((1000)-(c_TMAP3IN))=0,(c_TMAP3OUT)+QUOTIENT(((1000)-(c_TMAP3OUT)),2),QUOTIENT((((A594)-(c_TMAP3IN))*((1000)-(c_TMAP3OUT))+IF(((1000)-(c_TMAP3OUT))&gt;=0,1,-1)*QUOTIENT(((1000)-(c_TMAP3IN)),2)),((1000)-(c_TMAP3IN)))+(c_TMAP3OUT)+IF(((1000)-(c_TMAP3OUT))&gt;=0,IF(IF(o_WRAP=1,MOD(((1000)-(c_TMAP3IN))*(((A594)-(c_TMAP3IN))*((1000)-(c_TMAP3OUT))+IF(((1000)-(c_TMAP3OUT))&gt;=0,1,-1)*QUOTIENT(((1000)-(c_TMAP3IN)),2))+2147483648,4294967296)-2147483648,((1000)-(c_TMAP3IN))*(((A594)-(c_TMAP3IN))*((1000)-(c_TMAP3OUT))+IF(((1000)-(c_TMAP3OUT))&gt;=0,1,-1)*QUOTIENT(((1000)-(c_TMAP3IN)),2)))&lt;0,-1,0),IF(IF(o_WRAP=1,MOD(((1000)-(c_TMAP3IN))*(((A594)-(c_TMAP3IN))*((1000)-(c_TMAP3OUT))+IF(((1000)-(c_TMAP3OUT))&gt;=0,1,-1)*QUOTIENT(((1000)-(c_TMAP3IN)),2))+2147483648,4294967296)-2147483648,((1000)-(c_TMAP3IN))*(((A594)-(c_TMAP3IN))*((1000)-(c_TMAP3OUT))+IF(((1000)-(c_TMAP3OUT))&gt;=0,1,-1)*QUOTIENT(((1000)-(c_TMAP3IN)),2)))&gt;=0,1,0)))</f>
        <v>494</v>
      </c>
      <c r="H594" s="7" t="str">
        <f aca="false">IF(A594&gt;=c_TFWD,IF(AND(A594&gt;=c_TMAP3IN,c_TMAP3IN&lt;1000),"Seg4 map3-100%",IF(AND(A594&gt;=c_TMAP2IN,c_TMAP3IN&gt;c_TMAP2IN),"Seg3 map2-map3",IF(AND(A594&gt;=c_TMAP1IN,c_TMAP2IN&gt;c_TMAP1IN),"Seg2 map1-map2","Seg1 TFWD-map1"))),IF(AND(A594=0,c_TCREEP&gt;0),"Creep",IF(AND(A594&lt;=c_TRNGMIN,A594&gt;=c_TRNGMAX,c_TRNGMIN-c_TRNGMAX&lt;&gt;0),"Regen ramp","Coast (0)")))</f>
        <v>Seg4 map3-100%</v>
      </c>
      <c r="I594" s="7" t="n">
        <f aca="false">IF(A594&gt;=c_TFWD,IF(AND(A594&gt;=c_TMAP3IN,c_TMAP3IN&lt;1000),G594,IF(AND(A594&gt;=c_TMAP2IN,c_TMAP3IN&gt;c_TMAP2IN),F594,IF(AND(A594&gt;=c_TMAP1IN,c_TMAP2IN&gt;c_TMAP1IN),E594,D594))),C594)</f>
        <v>494</v>
      </c>
      <c r="J594" s="7" t="str">
        <f aca="false">IF(I594&lt;-1090,"TOO LOW",IF(I594&gt;1090,"TOO HIGH",""))</f>
        <v/>
      </c>
      <c r="K594" s="15" t="n">
        <f aca="false">IF(J594&lt;&gt;"",0,IF(I594&gt;979,1000,I594))</f>
        <v>494</v>
      </c>
      <c r="L594" s="7" t="n">
        <f aca="false">K594/10</f>
        <v>49.4</v>
      </c>
    </row>
    <row r="595" customFormat="false" ht="15" hidden="false" customHeight="false" outlineLevel="0" collapsed="false">
      <c r="A595" s="7" t="n">
        <v>590</v>
      </c>
      <c r="B595" s="7" t="n">
        <f aca="false">A595/10</f>
        <v>59</v>
      </c>
      <c r="C595" s="7" t="n">
        <f aca="false">IF(AND(A595=0,c_TCREEP&gt;0),10*c_TCREEP,IF(AND(A595&lt;=c_TRNGMIN,A595&gt;=c_TRNGMAX,c_TRNGMIN-c_TRNGMAX&lt;&gt;0),-10*c_TMINRN+QUOTIENT((c_TMAXRN-c_TMINRN)*(100-QUOTIENT((A595-c_TRNGMAX)*100,c_TRNGMIN-c_TRNGMAX)),-10),0))</f>
        <v>0</v>
      </c>
      <c r="D595" s="7" t="n">
        <f aca="false">IF(((c_TMAP1IN)-(c_TFWD))=0,(0)+QUOTIENT(((c_TMAP1OUT)-(0)),2),QUOTIENT((((A595)-(c_TFWD))*((c_TMAP1OUT)-(0))+IF(((c_TMAP1OUT)-(0))&gt;=0,1,-1)*QUOTIENT(((c_TMAP1IN)-(c_TFWD)),2)),((c_TMAP1IN)-(c_TFWD)))+(0)+IF(((c_TMAP1OUT)-(0))&gt;=0,IF(IF(o_WRAP=1,MOD(((c_TMAP1IN)-(c_TFWD))*(((A595)-(c_TFWD))*((c_TMAP1OUT)-(0))+IF(((c_TMAP1OUT)-(0))&gt;=0,1,-1)*QUOTIENT(((c_TMAP1IN)-(c_TFWD)),2))+2147483648,4294967296)-2147483648,((c_TMAP1IN)-(c_TFWD))*(((A595)-(c_TFWD))*((c_TMAP1OUT)-(0))+IF(((c_TMAP1OUT)-(0))&gt;=0,1,-1)*QUOTIENT(((c_TMAP1IN)-(c_TFWD)),2)))&lt;0,-1,0),IF(IF(o_WRAP=1,MOD(((c_TMAP1IN)-(c_TFWD))*(((A595)-(c_TFWD))*((c_TMAP1OUT)-(0))+IF(((c_TMAP1OUT)-(0))&gt;=0,1,-1)*QUOTIENT(((c_TMAP1IN)-(c_TFWD)),2))+2147483648,4294967296)-2147483648,((c_TMAP1IN)-(c_TFWD))*(((A595)-(c_TFWD))*((c_TMAP1OUT)-(0))+IF(((c_TMAP1OUT)-(0))&gt;=0,1,-1)*QUOTIENT(((c_TMAP1IN)-(c_TFWD)),2)))&gt;=0,1,0)))</f>
        <v>451</v>
      </c>
      <c r="E595" s="7" t="n">
        <f aca="false">IF(((c_TMAP2IN)-(c_TMAP1IN))=0,(c_TMAP1OUT)+QUOTIENT(((c_TMAP2OUT)-(c_TMAP1OUT)),2),QUOTIENT((((A595)-(c_TMAP1IN))*((c_TMAP2OUT)-(c_TMAP1OUT))+IF(((c_TMAP2OUT)-(c_TMAP1OUT))&gt;=0,1,-1)*QUOTIENT(((c_TMAP2IN)-(c_TMAP1IN)),2)),((c_TMAP2IN)-(c_TMAP1IN)))+(c_TMAP1OUT)+IF(((c_TMAP2OUT)-(c_TMAP1OUT))&gt;=0,IF(IF(o_WRAP=1,MOD(((c_TMAP2IN)-(c_TMAP1IN))*(((A595)-(c_TMAP1IN))*((c_TMAP2OUT)-(c_TMAP1OUT))+IF(((c_TMAP2OUT)-(c_TMAP1OUT))&gt;=0,1,-1)*QUOTIENT(((c_TMAP2IN)-(c_TMAP1IN)),2))+2147483648,4294967296)-2147483648,((c_TMAP2IN)-(c_TMAP1IN))*(((A595)-(c_TMAP1IN))*((c_TMAP2OUT)-(c_TMAP1OUT))+IF(((c_TMAP2OUT)-(c_TMAP1OUT))&gt;=0,1,-1)*QUOTIENT(((c_TMAP2IN)-(c_TMAP1IN)),2)))&lt;0,-1,0),IF(IF(o_WRAP=1,MOD(((c_TMAP2IN)-(c_TMAP1IN))*(((A595)-(c_TMAP1IN))*((c_TMAP2OUT)-(c_TMAP1OUT))+IF(((c_TMAP2OUT)-(c_TMAP1OUT))&gt;=0,1,-1)*QUOTIENT(((c_TMAP2IN)-(c_TMAP1IN)),2))+2147483648,4294967296)-2147483648,((c_TMAP2IN)-(c_TMAP1IN))*(((A595)-(c_TMAP1IN))*((c_TMAP2OUT)-(c_TMAP1OUT))+IF(((c_TMAP2OUT)-(c_TMAP1OUT))&gt;=0,1,-1)*QUOTIENT(((c_TMAP2IN)-(c_TMAP1IN)),2)))&gt;=0,1,0)))</f>
        <v>266</v>
      </c>
      <c r="F595" s="7" t="n">
        <f aca="false">IF(((c_TMAP3IN)-(c_TMAP2IN))=0,(c_TMAP2OUT)+QUOTIENT(((c_TMAP3OUT)-(c_TMAP2OUT)),2),QUOTIENT((((A595)-(c_TMAP2IN))*((c_TMAP3OUT)-(c_TMAP2OUT))+IF(((c_TMAP3OUT)-(c_TMAP2OUT))&gt;=0,1,-1)*QUOTIENT(((c_TMAP3IN)-(c_TMAP2IN)),2)),((c_TMAP3IN)-(c_TMAP2IN)))+(c_TMAP2OUT)+IF(((c_TMAP3OUT)-(c_TMAP2OUT))&gt;=0,IF(IF(o_WRAP=1,MOD(((c_TMAP3IN)-(c_TMAP2IN))*(((A595)-(c_TMAP2IN))*((c_TMAP3OUT)-(c_TMAP2OUT))+IF(((c_TMAP3OUT)-(c_TMAP2OUT))&gt;=0,1,-1)*QUOTIENT(((c_TMAP3IN)-(c_TMAP2IN)),2))+2147483648,4294967296)-2147483648,((c_TMAP3IN)-(c_TMAP2IN))*(((A595)-(c_TMAP2IN))*((c_TMAP3OUT)-(c_TMAP2OUT))+IF(((c_TMAP3OUT)-(c_TMAP2OUT))&gt;=0,1,-1)*QUOTIENT(((c_TMAP3IN)-(c_TMAP2IN)),2)))&lt;0,-1,0),IF(IF(o_WRAP=1,MOD(((c_TMAP3IN)-(c_TMAP2IN))*(((A595)-(c_TMAP2IN))*((c_TMAP3OUT)-(c_TMAP2OUT))+IF(((c_TMAP3OUT)-(c_TMAP2OUT))&gt;=0,1,-1)*QUOTIENT(((c_TMAP3IN)-(c_TMAP2IN)),2))+2147483648,4294967296)-2147483648,((c_TMAP3IN)-(c_TMAP2IN))*(((A595)-(c_TMAP2IN))*((c_TMAP3OUT)-(c_TMAP2OUT))+IF(((c_TMAP3OUT)-(c_TMAP2OUT))&gt;=0,1,-1)*QUOTIENT(((c_TMAP3IN)-(c_TMAP2IN)),2)))&gt;=0,1,0)))</f>
        <v>368</v>
      </c>
      <c r="G595" s="7" t="n">
        <f aca="false">IF(((1000)-(c_TMAP3IN))=0,(c_TMAP3OUT)+QUOTIENT(((1000)-(c_TMAP3OUT)),2),QUOTIENT((((A595)-(c_TMAP3IN))*((1000)-(c_TMAP3OUT))+IF(((1000)-(c_TMAP3OUT))&gt;=0,1,-1)*QUOTIENT(((1000)-(c_TMAP3IN)),2)),((1000)-(c_TMAP3IN)))+(c_TMAP3OUT)+IF(((1000)-(c_TMAP3OUT))&gt;=0,IF(IF(o_WRAP=1,MOD(((1000)-(c_TMAP3IN))*(((A595)-(c_TMAP3IN))*((1000)-(c_TMAP3OUT))+IF(((1000)-(c_TMAP3OUT))&gt;=0,1,-1)*QUOTIENT(((1000)-(c_TMAP3IN)),2))+2147483648,4294967296)-2147483648,((1000)-(c_TMAP3IN))*(((A595)-(c_TMAP3IN))*((1000)-(c_TMAP3OUT))+IF(((1000)-(c_TMAP3OUT))&gt;=0,1,-1)*QUOTIENT(((1000)-(c_TMAP3IN)),2)))&lt;0,-1,0),IF(IF(o_WRAP=1,MOD(((1000)-(c_TMAP3IN))*(((A595)-(c_TMAP3IN))*((1000)-(c_TMAP3OUT))+IF(((1000)-(c_TMAP3OUT))&gt;=0,1,-1)*QUOTIENT(((1000)-(c_TMAP3IN)),2))+2147483648,4294967296)-2147483648,((1000)-(c_TMAP3IN))*(((A595)-(c_TMAP3IN))*((1000)-(c_TMAP3OUT))+IF(((1000)-(c_TMAP3OUT))&gt;=0,1,-1)*QUOTIENT(((1000)-(c_TMAP3IN)),2)))&gt;=0,1,0)))</f>
        <v>495</v>
      </c>
      <c r="H595" s="7" t="str">
        <f aca="false">IF(A595&gt;=c_TFWD,IF(AND(A595&gt;=c_TMAP3IN,c_TMAP3IN&lt;1000),"Seg4 map3-100%",IF(AND(A595&gt;=c_TMAP2IN,c_TMAP3IN&gt;c_TMAP2IN),"Seg3 map2-map3",IF(AND(A595&gt;=c_TMAP1IN,c_TMAP2IN&gt;c_TMAP1IN),"Seg2 map1-map2","Seg1 TFWD-map1"))),IF(AND(A595=0,c_TCREEP&gt;0),"Creep",IF(AND(A595&lt;=c_TRNGMIN,A595&gt;=c_TRNGMAX,c_TRNGMIN-c_TRNGMAX&lt;&gt;0),"Regen ramp","Coast (0)")))</f>
        <v>Seg4 map3-100%</v>
      </c>
      <c r="I595" s="7" t="n">
        <f aca="false">IF(A595&gt;=c_TFWD,IF(AND(A595&gt;=c_TMAP3IN,c_TMAP3IN&lt;1000),G595,IF(AND(A595&gt;=c_TMAP2IN,c_TMAP3IN&gt;c_TMAP2IN),F595,IF(AND(A595&gt;=c_TMAP1IN,c_TMAP2IN&gt;c_TMAP1IN),E595,D595))),C595)</f>
        <v>495</v>
      </c>
      <c r="J595" s="7" t="str">
        <f aca="false">IF(I595&lt;-1090,"TOO LOW",IF(I595&gt;1090,"TOO HIGH",""))</f>
        <v/>
      </c>
      <c r="K595" s="15" t="n">
        <f aca="false">IF(J595&lt;&gt;"",0,IF(I595&gt;979,1000,I595))</f>
        <v>495</v>
      </c>
      <c r="L595" s="7" t="n">
        <f aca="false">K595/10</f>
        <v>49.5</v>
      </c>
    </row>
    <row r="596" customFormat="false" ht="15" hidden="false" customHeight="false" outlineLevel="0" collapsed="false">
      <c r="A596" s="7" t="n">
        <v>591</v>
      </c>
      <c r="B596" s="7" t="n">
        <f aca="false">A596/10</f>
        <v>59.1</v>
      </c>
      <c r="C596" s="7" t="n">
        <f aca="false">IF(AND(A596=0,c_TCREEP&gt;0),10*c_TCREEP,IF(AND(A596&lt;=c_TRNGMIN,A596&gt;=c_TRNGMAX,c_TRNGMIN-c_TRNGMAX&lt;&gt;0),-10*c_TMINRN+QUOTIENT((c_TMAXRN-c_TMINRN)*(100-QUOTIENT((A596-c_TRNGMAX)*100,c_TRNGMIN-c_TRNGMAX)),-10),0))</f>
        <v>0</v>
      </c>
      <c r="D596" s="7" t="n">
        <f aca="false">IF(((c_TMAP1IN)-(c_TFWD))=0,(0)+QUOTIENT(((c_TMAP1OUT)-(0)),2),QUOTIENT((((A596)-(c_TFWD))*((c_TMAP1OUT)-(0))+IF(((c_TMAP1OUT)-(0))&gt;=0,1,-1)*QUOTIENT(((c_TMAP1IN)-(c_TFWD)),2)),((c_TMAP1IN)-(c_TFWD)))+(0)+IF(((c_TMAP1OUT)-(0))&gt;=0,IF(IF(o_WRAP=1,MOD(((c_TMAP1IN)-(c_TFWD))*(((A596)-(c_TFWD))*((c_TMAP1OUT)-(0))+IF(((c_TMAP1OUT)-(0))&gt;=0,1,-1)*QUOTIENT(((c_TMAP1IN)-(c_TFWD)),2))+2147483648,4294967296)-2147483648,((c_TMAP1IN)-(c_TFWD))*(((A596)-(c_TFWD))*((c_TMAP1OUT)-(0))+IF(((c_TMAP1OUT)-(0))&gt;=0,1,-1)*QUOTIENT(((c_TMAP1IN)-(c_TFWD)),2)))&lt;0,-1,0),IF(IF(o_WRAP=1,MOD(((c_TMAP1IN)-(c_TFWD))*(((A596)-(c_TFWD))*((c_TMAP1OUT)-(0))+IF(((c_TMAP1OUT)-(0))&gt;=0,1,-1)*QUOTIENT(((c_TMAP1IN)-(c_TFWD)),2))+2147483648,4294967296)-2147483648,((c_TMAP1IN)-(c_TFWD))*(((A596)-(c_TFWD))*((c_TMAP1OUT)-(0))+IF(((c_TMAP1OUT)-(0))&gt;=0,1,-1)*QUOTIENT(((c_TMAP1IN)-(c_TFWD)),2)))&gt;=0,1,0)))</f>
        <v>452</v>
      </c>
      <c r="E596" s="7" t="n">
        <f aca="false">IF(((c_TMAP2IN)-(c_TMAP1IN))=0,(c_TMAP1OUT)+QUOTIENT(((c_TMAP2OUT)-(c_TMAP1OUT)),2),QUOTIENT((((A596)-(c_TMAP1IN))*((c_TMAP2OUT)-(c_TMAP1OUT))+IF(((c_TMAP2OUT)-(c_TMAP1OUT))&gt;=0,1,-1)*QUOTIENT(((c_TMAP2IN)-(c_TMAP1IN)),2)),((c_TMAP2IN)-(c_TMAP1IN)))+(c_TMAP1OUT)+IF(((c_TMAP2OUT)-(c_TMAP1OUT))&gt;=0,IF(IF(o_WRAP=1,MOD(((c_TMAP2IN)-(c_TMAP1IN))*(((A596)-(c_TMAP1IN))*((c_TMAP2OUT)-(c_TMAP1OUT))+IF(((c_TMAP2OUT)-(c_TMAP1OUT))&gt;=0,1,-1)*QUOTIENT(((c_TMAP2IN)-(c_TMAP1IN)),2))+2147483648,4294967296)-2147483648,((c_TMAP2IN)-(c_TMAP1IN))*(((A596)-(c_TMAP1IN))*((c_TMAP2OUT)-(c_TMAP1OUT))+IF(((c_TMAP2OUT)-(c_TMAP1OUT))&gt;=0,1,-1)*QUOTIENT(((c_TMAP2IN)-(c_TMAP1IN)),2)))&lt;0,-1,0),IF(IF(o_WRAP=1,MOD(((c_TMAP2IN)-(c_TMAP1IN))*(((A596)-(c_TMAP1IN))*((c_TMAP2OUT)-(c_TMAP1OUT))+IF(((c_TMAP2OUT)-(c_TMAP1OUT))&gt;=0,1,-1)*QUOTIENT(((c_TMAP2IN)-(c_TMAP1IN)),2))+2147483648,4294967296)-2147483648,((c_TMAP2IN)-(c_TMAP1IN))*(((A596)-(c_TMAP1IN))*((c_TMAP2OUT)-(c_TMAP1OUT))+IF(((c_TMAP2OUT)-(c_TMAP1OUT))&gt;=0,1,-1)*QUOTIENT(((c_TMAP2IN)-(c_TMAP1IN)),2)))&gt;=0,1,0)))</f>
        <v>266</v>
      </c>
      <c r="F596" s="7" t="n">
        <f aca="false">IF(((c_TMAP3IN)-(c_TMAP2IN))=0,(c_TMAP2OUT)+QUOTIENT(((c_TMAP3OUT)-(c_TMAP2OUT)),2),QUOTIENT((((A596)-(c_TMAP2IN))*((c_TMAP3OUT)-(c_TMAP2OUT))+IF(((c_TMAP3OUT)-(c_TMAP2OUT))&gt;=0,1,-1)*QUOTIENT(((c_TMAP3IN)-(c_TMAP2IN)),2)),((c_TMAP3IN)-(c_TMAP2IN)))+(c_TMAP2OUT)+IF(((c_TMAP3OUT)-(c_TMAP2OUT))&gt;=0,IF(IF(o_WRAP=1,MOD(((c_TMAP3IN)-(c_TMAP2IN))*(((A596)-(c_TMAP2IN))*((c_TMAP3OUT)-(c_TMAP2OUT))+IF(((c_TMAP3OUT)-(c_TMAP2OUT))&gt;=0,1,-1)*QUOTIENT(((c_TMAP3IN)-(c_TMAP2IN)),2))+2147483648,4294967296)-2147483648,((c_TMAP3IN)-(c_TMAP2IN))*(((A596)-(c_TMAP2IN))*((c_TMAP3OUT)-(c_TMAP2OUT))+IF(((c_TMAP3OUT)-(c_TMAP2OUT))&gt;=0,1,-1)*QUOTIENT(((c_TMAP3IN)-(c_TMAP2IN)),2)))&lt;0,-1,0),IF(IF(o_WRAP=1,MOD(((c_TMAP3IN)-(c_TMAP2IN))*(((A596)-(c_TMAP2IN))*((c_TMAP3OUT)-(c_TMAP2OUT))+IF(((c_TMAP3OUT)-(c_TMAP2OUT))&gt;=0,1,-1)*QUOTIENT(((c_TMAP3IN)-(c_TMAP2IN)),2))+2147483648,4294967296)-2147483648,((c_TMAP3IN)-(c_TMAP2IN))*(((A596)-(c_TMAP2IN))*((c_TMAP3OUT)-(c_TMAP2OUT))+IF(((c_TMAP3OUT)-(c_TMAP2OUT))&gt;=0,1,-1)*QUOTIENT(((c_TMAP3IN)-(c_TMAP2IN)),2)))&gt;=0,1,0)))</f>
        <v>369</v>
      </c>
      <c r="G596" s="7" t="n">
        <f aca="false">IF(((1000)-(c_TMAP3IN))=0,(c_TMAP3OUT)+QUOTIENT(((1000)-(c_TMAP3OUT)),2),QUOTIENT((((A596)-(c_TMAP3IN))*((1000)-(c_TMAP3OUT))+IF(((1000)-(c_TMAP3OUT))&gt;=0,1,-1)*QUOTIENT(((1000)-(c_TMAP3IN)),2)),((1000)-(c_TMAP3IN)))+(c_TMAP3OUT)+IF(((1000)-(c_TMAP3OUT))&gt;=0,IF(IF(o_WRAP=1,MOD(((1000)-(c_TMAP3IN))*(((A596)-(c_TMAP3IN))*((1000)-(c_TMAP3OUT))+IF(((1000)-(c_TMAP3OUT))&gt;=0,1,-1)*QUOTIENT(((1000)-(c_TMAP3IN)),2))+2147483648,4294967296)-2147483648,((1000)-(c_TMAP3IN))*(((A596)-(c_TMAP3IN))*((1000)-(c_TMAP3OUT))+IF(((1000)-(c_TMAP3OUT))&gt;=0,1,-1)*QUOTIENT(((1000)-(c_TMAP3IN)),2)))&lt;0,-1,0),IF(IF(o_WRAP=1,MOD(((1000)-(c_TMAP3IN))*(((A596)-(c_TMAP3IN))*((1000)-(c_TMAP3OUT))+IF(((1000)-(c_TMAP3OUT))&gt;=0,1,-1)*QUOTIENT(((1000)-(c_TMAP3IN)),2))+2147483648,4294967296)-2147483648,((1000)-(c_TMAP3IN))*(((A596)-(c_TMAP3IN))*((1000)-(c_TMAP3OUT))+IF(((1000)-(c_TMAP3OUT))&gt;=0,1,-1)*QUOTIENT(((1000)-(c_TMAP3IN)),2)))&gt;=0,1,0)))</f>
        <v>497</v>
      </c>
      <c r="H596" s="7" t="str">
        <f aca="false">IF(A596&gt;=c_TFWD,IF(AND(A596&gt;=c_TMAP3IN,c_TMAP3IN&lt;1000),"Seg4 map3-100%",IF(AND(A596&gt;=c_TMAP2IN,c_TMAP3IN&gt;c_TMAP2IN),"Seg3 map2-map3",IF(AND(A596&gt;=c_TMAP1IN,c_TMAP2IN&gt;c_TMAP1IN),"Seg2 map1-map2","Seg1 TFWD-map1"))),IF(AND(A596=0,c_TCREEP&gt;0),"Creep",IF(AND(A596&lt;=c_TRNGMIN,A596&gt;=c_TRNGMAX,c_TRNGMIN-c_TRNGMAX&lt;&gt;0),"Regen ramp","Coast (0)")))</f>
        <v>Seg4 map3-100%</v>
      </c>
      <c r="I596" s="7" t="n">
        <f aca="false">IF(A596&gt;=c_TFWD,IF(AND(A596&gt;=c_TMAP3IN,c_TMAP3IN&lt;1000),G596,IF(AND(A596&gt;=c_TMAP2IN,c_TMAP3IN&gt;c_TMAP2IN),F596,IF(AND(A596&gt;=c_TMAP1IN,c_TMAP2IN&gt;c_TMAP1IN),E596,D596))),C596)</f>
        <v>497</v>
      </c>
      <c r="J596" s="7" t="str">
        <f aca="false">IF(I596&lt;-1090,"TOO LOW",IF(I596&gt;1090,"TOO HIGH",""))</f>
        <v/>
      </c>
      <c r="K596" s="15" t="n">
        <f aca="false">IF(J596&lt;&gt;"",0,IF(I596&gt;979,1000,I596))</f>
        <v>497</v>
      </c>
      <c r="L596" s="7" t="n">
        <f aca="false">K596/10</f>
        <v>49.7</v>
      </c>
    </row>
    <row r="597" customFormat="false" ht="15" hidden="false" customHeight="false" outlineLevel="0" collapsed="false">
      <c r="A597" s="7" t="n">
        <v>592</v>
      </c>
      <c r="B597" s="7" t="n">
        <f aca="false">A597/10</f>
        <v>59.2</v>
      </c>
      <c r="C597" s="7" t="n">
        <f aca="false">IF(AND(A597=0,c_TCREEP&gt;0),10*c_TCREEP,IF(AND(A597&lt;=c_TRNGMIN,A597&gt;=c_TRNGMAX,c_TRNGMIN-c_TRNGMAX&lt;&gt;0),-10*c_TMINRN+QUOTIENT((c_TMAXRN-c_TMINRN)*(100-QUOTIENT((A597-c_TRNGMAX)*100,c_TRNGMIN-c_TRNGMAX)),-10),0))</f>
        <v>0</v>
      </c>
      <c r="D597" s="7" t="n">
        <f aca="false">IF(((c_TMAP1IN)-(c_TFWD))=0,(0)+QUOTIENT(((c_TMAP1OUT)-(0)),2),QUOTIENT((((A597)-(c_TFWD))*((c_TMAP1OUT)-(0))+IF(((c_TMAP1OUT)-(0))&gt;=0,1,-1)*QUOTIENT(((c_TMAP1IN)-(c_TFWD)),2)),((c_TMAP1IN)-(c_TFWD)))+(0)+IF(((c_TMAP1OUT)-(0))&gt;=0,IF(IF(o_WRAP=1,MOD(((c_TMAP1IN)-(c_TFWD))*(((A597)-(c_TFWD))*((c_TMAP1OUT)-(0))+IF(((c_TMAP1OUT)-(0))&gt;=0,1,-1)*QUOTIENT(((c_TMAP1IN)-(c_TFWD)),2))+2147483648,4294967296)-2147483648,((c_TMAP1IN)-(c_TFWD))*(((A597)-(c_TFWD))*((c_TMAP1OUT)-(0))+IF(((c_TMAP1OUT)-(0))&gt;=0,1,-1)*QUOTIENT(((c_TMAP1IN)-(c_TFWD)),2)))&lt;0,-1,0),IF(IF(o_WRAP=1,MOD(((c_TMAP1IN)-(c_TFWD))*(((A597)-(c_TFWD))*((c_TMAP1OUT)-(0))+IF(((c_TMAP1OUT)-(0))&gt;=0,1,-1)*QUOTIENT(((c_TMAP1IN)-(c_TFWD)),2))+2147483648,4294967296)-2147483648,((c_TMAP1IN)-(c_TFWD))*(((A597)-(c_TFWD))*((c_TMAP1OUT)-(0))+IF(((c_TMAP1OUT)-(0))&gt;=0,1,-1)*QUOTIENT(((c_TMAP1IN)-(c_TFWD)),2)))&gt;=0,1,0)))</f>
        <v>453</v>
      </c>
      <c r="E597" s="7" t="n">
        <f aca="false">IF(((c_TMAP2IN)-(c_TMAP1IN))=0,(c_TMAP1OUT)+QUOTIENT(((c_TMAP2OUT)-(c_TMAP1OUT)),2),QUOTIENT((((A597)-(c_TMAP1IN))*((c_TMAP2OUT)-(c_TMAP1OUT))+IF(((c_TMAP2OUT)-(c_TMAP1OUT))&gt;=0,1,-1)*QUOTIENT(((c_TMAP2IN)-(c_TMAP1IN)),2)),((c_TMAP2IN)-(c_TMAP1IN)))+(c_TMAP1OUT)+IF(((c_TMAP2OUT)-(c_TMAP1OUT))&gt;=0,IF(IF(o_WRAP=1,MOD(((c_TMAP2IN)-(c_TMAP1IN))*(((A597)-(c_TMAP1IN))*((c_TMAP2OUT)-(c_TMAP1OUT))+IF(((c_TMAP2OUT)-(c_TMAP1OUT))&gt;=0,1,-1)*QUOTIENT(((c_TMAP2IN)-(c_TMAP1IN)),2))+2147483648,4294967296)-2147483648,((c_TMAP2IN)-(c_TMAP1IN))*(((A597)-(c_TMAP1IN))*((c_TMAP2OUT)-(c_TMAP1OUT))+IF(((c_TMAP2OUT)-(c_TMAP1OUT))&gt;=0,1,-1)*QUOTIENT(((c_TMAP2IN)-(c_TMAP1IN)),2)))&lt;0,-1,0),IF(IF(o_WRAP=1,MOD(((c_TMAP2IN)-(c_TMAP1IN))*(((A597)-(c_TMAP1IN))*((c_TMAP2OUT)-(c_TMAP1OUT))+IF(((c_TMAP2OUT)-(c_TMAP1OUT))&gt;=0,1,-1)*QUOTIENT(((c_TMAP2IN)-(c_TMAP1IN)),2))+2147483648,4294967296)-2147483648,((c_TMAP2IN)-(c_TMAP1IN))*(((A597)-(c_TMAP1IN))*((c_TMAP2OUT)-(c_TMAP1OUT))+IF(((c_TMAP2OUT)-(c_TMAP1OUT))&gt;=0,1,-1)*QUOTIENT(((c_TMAP2IN)-(c_TMAP1IN)),2)))&gt;=0,1,0)))</f>
        <v>267</v>
      </c>
      <c r="F597" s="7" t="n">
        <f aca="false">IF(((c_TMAP3IN)-(c_TMAP2IN))=0,(c_TMAP2OUT)+QUOTIENT(((c_TMAP3OUT)-(c_TMAP2OUT)),2),QUOTIENT((((A597)-(c_TMAP2IN))*((c_TMAP3OUT)-(c_TMAP2OUT))+IF(((c_TMAP3OUT)-(c_TMAP2OUT))&gt;=0,1,-1)*QUOTIENT(((c_TMAP3IN)-(c_TMAP2IN)),2)),((c_TMAP3IN)-(c_TMAP2IN)))+(c_TMAP2OUT)+IF(((c_TMAP3OUT)-(c_TMAP2OUT))&gt;=0,IF(IF(o_WRAP=1,MOD(((c_TMAP3IN)-(c_TMAP2IN))*(((A597)-(c_TMAP2IN))*((c_TMAP3OUT)-(c_TMAP2OUT))+IF(((c_TMAP3OUT)-(c_TMAP2OUT))&gt;=0,1,-1)*QUOTIENT(((c_TMAP3IN)-(c_TMAP2IN)),2))+2147483648,4294967296)-2147483648,((c_TMAP3IN)-(c_TMAP2IN))*(((A597)-(c_TMAP2IN))*((c_TMAP3OUT)-(c_TMAP2OUT))+IF(((c_TMAP3OUT)-(c_TMAP2OUT))&gt;=0,1,-1)*QUOTIENT(((c_TMAP3IN)-(c_TMAP2IN)),2)))&lt;0,-1,0),IF(IF(o_WRAP=1,MOD(((c_TMAP3IN)-(c_TMAP2IN))*(((A597)-(c_TMAP2IN))*((c_TMAP3OUT)-(c_TMAP2OUT))+IF(((c_TMAP3OUT)-(c_TMAP2OUT))&gt;=0,1,-1)*QUOTIENT(((c_TMAP3IN)-(c_TMAP2IN)),2))+2147483648,4294967296)-2147483648,((c_TMAP3IN)-(c_TMAP2IN))*(((A597)-(c_TMAP2IN))*((c_TMAP3OUT)-(c_TMAP2OUT))+IF(((c_TMAP3OUT)-(c_TMAP2OUT))&gt;=0,1,-1)*QUOTIENT(((c_TMAP3IN)-(c_TMAP2IN)),2)))&gt;=0,1,0)))</f>
        <v>369</v>
      </c>
      <c r="G597" s="7" t="n">
        <f aca="false">IF(((1000)-(c_TMAP3IN))=0,(c_TMAP3OUT)+QUOTIENT(((1000)-(c_TMAP3OUT)),2),QUOTIENT((((A597)-(c_TMAP3IN))*((1000)-(c_TMAP3OUT))+IF(((1000)-(c_TMAP3OUT))&gt;=0,1,-1)*QUOTIENT(((1000)-(c_TMAP3IN)),2)),((1000)-(c_TMAP3IN)))+(c_TMAP3OUT)+IF(((1000)-(c_TMAP3OUT))&gt;=0,IF(IF(o_WRAP=1,MOD(((1000)-(c_TMAP3IN))*(((A597)-(c_TMAP3IN))*((1000)-(c_TMAP3OUT))+IF(((1000)-(c_TMAP3OUT))&gt;=0,1,-1)*QUOTIENT(((1000)-(c_TMAP3IN)),2))+2147483648,4294967296)-2147483648,((1000)-(c_TMAP3IN))*(((A597)-(c_TMAP3IN))*((1000)-(c_TMAP3OUT))+IF(((1000)-(c_TMAP3OUT))&gt;=0,1,-1)*QUOTIENT(((1000)-(c_TMAP3IN)),2)))&lt;0,-1,0),IF(IF(o_WRAP=1,MOD(((1000)-(c_TMAP3IN))*(((A597)-(c_TMAP3IN))*((1000)-(c_TMAP3OUT))+IF(((1000)-(c_TMAP3OUT))&gt;=0,1,-1)*QUOTIENT(((1000)-(c_TMAP3IN)),2))+2147483648,4294967296)-2147483648,((1000)-(c_TMAP3IN))*(((A597)-(c_TMAP3IN))*((1000)-(c_TMAP3OUT))+IF(((1000)-(c_TMAP3OUT))&gt;=0,1,-1)*QUOTIENT(((1000)-(c_TMAP3IN)),2)))&gt;=0,1,0)))</f>
        <v>498</v>
      </c>
      <c r="H597" s="7" t="str">
        <f aca="false">IF(A597&gt;=c_TFWD,IF(AND(A597&gt;=c_TMAP3IN,c_TMAP3IN&lt;1000),"Seg4 map3-100%",IF(AND(A597&gt;=c_TMAP2IN,c_TMAP3IN&gt;c_TMAP2IN),"Seg3 map2-map3",IF(AND(A597&gt;=c_TMAP1IN,c_TMAP2IN&gt;c_TMAP1IN),"Seg2 map1-map2","Seg1 TFWD-map1"))),IF(AND(A597=0,c_TCREEP&gt;0),"Creep",IF(AND(A597&lt;=c_TRNGMIN,A597&gt;=c_TRNGMAX,c_TRNGMIN-c_TRNGMAX&lt;&gt;0),"Regen ramp","Coast (0)")))</f>
        <v>Seg4 map3-100%</v>
      </c>
      <c r="I597" s="7" t="n">
        <f aca="false">IF(A597&gt;=c_TFWD,IF(AND(A597&gt;=c_TMAP3IN,c_TMAP3IN&lt;1000),G597,IF(AND(A597&gt;=c_TMAP2IN,c_TMAP3IN&gt;c_TMAP2IN),F597,IF(AND(A597&gt;=c_TMAP1IN,c_TMAP2IN&gt;c_TMAP1IN),E597,D597))),C597)</f>
        <v>498</v>
      </c>
      <c r="J597" s="7" t="str">
        <f aca="false">IF(I597&lt;-1090,"TOO LOW",IF(I597&gt;1090,"TOO HIGH",""))</f>
        <v/>
      </c>
      <c r="K597" s="15" t="n">
        <f aca="false">IF(J597&lt;&gt;"",0,IF(I597&gt;979,1000,I597))</f>
        <v>498</v>
      </c>
      <c r="L597" s="7" t="n">
        <f aca="false">K597/10</f>
        <v>49.8</v>
      </c>
    </row>
    <row r="598" customFormat="false" ht="15" hidden="false" customHeight="false" outlineLevel="0" collapsed="false">
      <c r="A598" s="7" t="n">
        <v>593</v>
      </c>
      <c r="B598" s="7" t="n">
        <f aca="false">A598/10</f>
        <v>59.3</v>
      </c>
      <c r="C598" s="7" t="n">
        <f aca="false">IF(AND(A598=0,c_TCREEP&gt;0),10*c_TCREEP,IF(AND(A598&lt;=c_TRNGMIN,A598&gt;=c_TRNGMAX,c_TRNGMIN-c_TRNGMAX&lt;&gt;0),-10*c_TMINRN+QUOTIENT((c_TMAXRN-c_TMINRN)*(100-QUOTIENT((A598-c_TRNGMAX)*100,c_TRNGMIN-c_TRNGMAX)),-10),0))</f>
        <v>0</v>
      </c>
      <c r="D598" s="7" t="n">
        <f aca="false">IF(((c_TMAP1IN)-(c_TFWD))=0,(0)+QUOTIENT(((c_TMAP1OUT)-(0)),2),QUOTIENT((((A598)-(c_TFWD))*((c_TMAP1OUT)-(0))+IF(((c_TMAP1OUT)-(0))&gt;=0,1,-1)*QUOTIENT(((c_TMAP1IN)-(c_TFWD)),2)),((c_TMAP1IN)-(c_TFWD)))+(0)+IF(((c_TMAP1OUT)-(0))&gt;=0,IF(IF(o_WRAP=1,MOD(((c_TMAP1IN)-(c_TFWD))*(((A598)-(c_TFWD))*((c_TMAP1OUT)-(0))+IF(((c_TMAP1OUT)-(0))&gt;=0,1,-1)*QUOTIENT(((c_TMAP1IN)-(c_TFWD)),2))+2147483648,4294967296)-2147483648,((c_TMAP1IN)-(c_TFWD))*(((A598)-(c_TFWD))*((c_TMAP1OUT)-(0))+IF(((c_TMAP1OUT)-(0))&gt;=0,1,-1)*QUOTIENT(((c_TMAP1IN)-(c_TFWD)),2)))&lt;0,-1,0),IF(IF(o_WRAP=1,MOD(((c_TMAP1IN)-(c_TFWD))*(((A598)-(c_TFWD))*((c_TMAP1OUT)-(0))+IF(((c_TMAP1OUT)-(0))&gt;=0,1,-1)*QUOTIENT(((c_TMAP1IN)-(c_TFWD)),2))+2147483648,4294967296)-2147483648,((c_TMAP1IN)-(c_TFWD))*(((A598)-(c_TFWD))*((c_TMAP1OUT)-(0))+IF(((c_TMAP1OUT)-(0))&gt;=0,1,-1)*QUOTIENT(((c_TMAP1IN)-(c_TFWD)),2)))&gt;=0,1,0)))</f>
        <v>453</v>
      </c>
      <c r="E598" s="7" t="n">
        <f aca="false">IF(((c_TMAP2IN)-(c_TMAP1IN))=0,(c_TMAP1OUT)+QUOTIENT(((c_TMAP2OUT)-(c_TMAP1OUT)),2),QUOTIENT((((A598)-(c_TMAP1IN))*((c_TMAP2OUT)-(c_TMAP1OUT))+IF(((c_TMAP2OUT)-(c_TMAP1OUT))&gt;=0,1,-1)*QUOTIENT(((c_TMAP2IN)-(c_TMAP1IN)),2)),((c_TMAP2IN)-(c_TMAP1IN)))+(c_TMAP1OUT)+IF(((c_TMAP2OUT)-(c_TMAP1OUT))&gt;=0,IF(IF(o_WRAP=1,MOD(((c_TMAP2IN)-(c_TMAP1IN))*(((A598)-(c_TMAP1IN))*((c_TMAP2OUT)-(c_TMAP1OUT))+IF(((c_TMAP2OUT)-(c_TMAP1OUT))&gt;=0,1,-1)*QUOTIENT(((c_TMAP2IN)-(c_TMAP1IN)),2))+2147483648,4294967296)-2147483648,((c_TMAP2IN)-(c_TMAP1IN))*(((A598)-(c_TMAP1IN))*((c_TMAP2OUT)-(c_TMAP1OUT))+IF(((c_TMAP2OUT)-(c_TMAP1OUT))&gt;=0,1,-1)*QUOTIENT(((c_TMAP2IN)-(c_TMAP1IN)),2)))&lt;0,-1,0),IF(IF(o_WRAP=1,MOD(((c_TMAP2IN)-(c_TMAP1IN))*(((A598)-(c_TMAP1IN))*((c_TMAP2OUT)-(c_TMAP1OUT))+IF(((c_TMAP2OUT)-(c_TMAP1OUT))&gt;=0,1,-1)*QUOTIENT(((c_TMAP2IN)-(c_TMAP1IN)),2))+2147483648,4294967296)-2147483648,((c_TMAP2IN)-(c_TMAP1IN))*(((A598)-(c_TMAP1IN))*((c_TMAP2OUT)-(c_TMAP1OUT))+IF(((c_TMAP2OUT)-(c_TMAP1OUT))&gt;=0,1,-1)*QUOTIENT(((c_TMAP2IN)-(c_TMAP1IN)),2)))&gt;=0,1,0)))</f>
        <v>267</v>
      </c>
      <c r="F598" s="7" t="n">
        <f aca="false">IF(((c_TMAP3IN)-(c_TMAP2IN))=0,(c_TMAP2OUT)+QUOTIENT(((c_TMAP3OUT)-(c_TMAP2OUT)),2),QUOTIENT((((A598)-(c_TMAP2IN))*((c_TMAP3OUT)-(c_TMAP2OUT))+IF(((c_TMAP3OUT)-(c_TMAP2OUT))&gt;=0,1,-1)*QUOTIENT(((c_TMAP3IN)-(c_TMAP2IN)),2)),((c_TMAP3IN)-(c_TMAP2IN)))+(c_TMAP2OUT)+IF(((c_TMAP3OUT)-(c_TMAP2OUT))&gt;=0,IF(IF(o_WRAP=1,MOD(((c_TMAP3IN)-(c_TMAP2IN))*(((A598)-(c_TMAP2IN))*((c_TMAP3OUT)-(c_TMAP2OUT))+IF(((c_TMAP3OUT)-(c_TMAP2OUT))&gt;=0,1,-1)*QUOTIENT(((c_TMAP3IN)-(c_TMAP2IN)),2))+2147483648,4294967296)-2147483648,((c_TMAP3IN)-(c_TMAP2IN))*(((A598)-(c_TMAP2IN))*((c_TMAP3OUT)-(c_TMAP2OUT))+IF(((c_TMAP3OUT)-(c_TMAP2OUT))&gt;=0,1,-1)*QUOTIENT(((c_TMAP3IN)-(c_TMAP2IN)),2)))&lt;0,-1,0),IF(IF(o_WRAP=1,MOD(((c_TMAP3IN)-(c_TMAP2IN))*(((A598)-(c_TMAP2IN))*((c_TMAP3OUT)-(c_TMAP2OUT))+IF(((c_TMAP3OUT)-(c_TMAP2OUT))&gt;=0,1,-1)*QUOTIENT(((c_TMAP3IN)-(c_TMAP2IN)),2))+2147483648,4294967296)-2147483648,((c_TMAP3IN)-(c_TMAP2IN))*(((A598)-(c_TMAP2IN))*((c_TMAP3OUT)-(c_TMAP2OUT))+IF(((c_TMAP3OUT)-(c_TMAP2OUT))&gt;=0,1,-1)*QUOTIENT(((c_TMAP3IN)-(c_TMAP2IN)),2)))&gt;=0,1,0)))</f>
        <v>370</v>
      </c>
      <c r="G598" s="7" t="n">
        <f aca="false">IF(((1000)-(c_TMAP3IN))=0,(c_TMAP3OUT)+QUOTIENT(((1000)-(c_TMAP3OUT)),2),QUOTIENT((((A598)-(c_TMAP3IN))*((1000)-(c_TMAP3OUT))+IF(((1000)-(c_TMAP3OUT))&gt;=0,1,-1)*QUOTIENT(((1000)-(c_TMAP3IN)),2)),((1000)-(c_TMAP3IN)))+(c_TMAP3OUT)+IF(((1000)-(c_TMAP3OUT))&gt;=0,IF(IF(o_WRAP=1,MOD(((1000)-(c_TMAP3IN))*(((A598)-(c_TMAP3IN))*((1000)-(c_TMAP3OUT))+IF(((1000)-(c_TMAP3OUT))&gt;=0,1,-1)*QUOTIENT(((1000)-(c_TMAP3IN)),2))+2147483648,4294967296)-2147483648,((1000)-(c_TMAP3IN))*(((A598)-(c_TMAP3IN))*((1000)-(c_TMAP3OUT))+IF(((1000)-(c_TMAP3OUT))&gt;=0,1,-1)*QUOTIENT(((1000)-(c_TMAP3IN)),2)))&lt;0,-1,0),IF(IF(o_WRAP=1,MOD(((1000)-(c_TMAP3IN))*(((A598)-(c_TMAP3IN))*((1000)-(c_TMAP3OUT))+IF(((1000)-(c_TMAP3OUT))&gt;=0,1,-1)*QUOTIENT(((1000)-(c_TMAP3IN)),2))+2147483648,4294967296)-2147483648,((1000)-(c_TMAP3IN))*(((A598)-(c_TMAP3IN))*((1000)-(c_TMAP3OUT))+IF(((1000)-(c_TMAP3OUT))&gt;=0,1,-1)*QUOTIENT(((1000)-(c_TMAP3IN)),2)))&gt;=0,1,0)))</f>
        <v>499</v>
      </c>
      <c r="H598" s="7" t="str">
        <f aca="false">IF(A598&gt;=c_TFWD,IF(AND(A598&gt;=c_TMAP3IN,c_TMAP3IN&lt;1000),"Seg4 map3-100%",IF(AND(A598&gt;=c_TMAP2IN,c_TMAP3IN&gt;c_TMAP2IN),"Seg3 map2-map3",IF(AND(A598&gt;=c_TMAP1IN,c_TMAP2IN&gt;c_TMAP1IN),"Seg2 map1-map2","Seg1 TFWD-map1"))),IF(AND(A598=0,c_TCREEP&gt;0),"Creep",IF(AND(A598&lt;=c_TRNGMIN,A598&gt;=c_TRNGMAX,c_TRNGMIN-c_TRNGMAX&lt;&gt;0),"Regen ramp","Coast (0)")))</f>
        <v>Seg4 map3-100%</v>
      </c>
      <c r="I598" s="7" t="n">
        <f aca="false">IF(A598&gt;=c_TFWD,IF(AND(A598&gt;=c_TMAP3IN,c_TMAP3IN&lt;1000),G598,IF(AND(A598&gt;=c_TMAP2IN,c_TMAP3IN&gt;c_TMAP2IN),F598,IF(AND(A598&gt;=c_TMAP1IN,c_TMAP2IN&gt;c_TMAP1IN),E598,D598))),C598)</f>
        <v>499</v>
      </c>
      <c r="J598" s="7" t="str">
        <f aca="false">IF(I598&lt;-1090,"TOO LOW",IF(I598&gt;1090,"TOO HIGH",""))</f>
        <v/>
      </c>
      <c r="K598" s="15" t="n">
        <f aca="false">IF(J598&lt;&gt;"",0,IF(I598&gt;979,1000,I598))</f>
        <v>499</v>
      </c>
      <c r="L598" s="7" t="n">
        <f aca="false">K598/10</f>
        <v>49.9</v>
      </c>
    </row>
    <row r="599" customFormat="false" ht="15" hidden="false" customHeight="false" outlineLevel="0" collapsed="false">
      <c r="A599" s="7" t="n">
        <v>594</v>
      </c>
      <c r="B599" s="7" t="n">
        <f aca="false">A599/10</f>
        <v>59.4</v>
      </c>
      <c r="C599" s="7" t="n">
        <f aca="false">IF(AND(A599=0,c_TCREEP&gt;0),10*c_TCREEP,IF(AND(A599&lt;=c_TRNGMIN,A599&gt;=c_TRNGMAX,c_TRNGMIN-c_TRNGMAX&lt;&gt;0),-10*c_TMINRN+QUOTIENT((c_TMAXRN-c_TMINRN)*(100-QUOTIENT((A599-c_TRNGMAX)*100,c_TRNGMIN-c_TRNGMAX)),-10),0))</f>
        <v>0</v>
      </c>
      <c r="D599" s="7" t="n">
        <f aca="false">IF(((c_TMAP1IN)-(c_TFWD))=0,(0)+QUOTIENT(((c_TMAP1OUT)-(0)),2),QUOTIENT((((A599)-(c_TFWD))*((c_TMAP1OUT)-(0))+IF(((c_TMAP1OUT)-(0))&gt;=0,1,-1)*QUOTIENT(((c_TMAP1IN)-(c_TFWD)),2)),((c_TMAP1IN)-(c_TFWD)))+(0)+IF(((c_TMAP1OUT)-(0))&gt;=0,IF(IF(o_WRAP=1,MOD(((c_TMAP1IN)-(c_TFWD))*(((A599)-(c_TFWD))*((c_TMAP1OUT)-(0))+IF(((c_TMAP1OUT)-(0))&gt;=0,1,-1)*QUOTIENT(((c_TMAP1IN)-(c_TFWD)),2))+2147483648,4294967296)-2147483648,((c_TMAP1IN)-(c_TFWD))*(((A599)-(c_TFWD))*((c_TMAP1OUT)-(0))+IF(((c_TMAP1OUT)-(0))&gt;=0,1,-1)*QUOTIENT(((c_TMAP1IN)-(c_TFWD)),2)))&lt;0,-1,0),IF(IF(o_WRAP=1,MOD(((c_TMAP1IN)-(c_TFWD))*(((A599)-(c_TFWD))*((c_TMAP1OUT)-(0))+IF(((c_TMAP1OUT)-(0))&gt;=0,1,-1)*QUOTIENT(((c_TMAP1IN)-(c_TFWD)),2))+2147483648,4294967296)-2147483648,((c_TMAP1IN)-(c_TFWD))*(((A599)-(c_TFWD))*((c_TMAP1OUT)-(0))+IF(((c_TMAP1OUT)-(0))&gt;=0,1,-1)*QUOTIENT(((c_TMAP1IN)-(c_TFWD)),2)))&gt;=0,1,0)))</f>
        <v>454</v>
      </c>
      <c r="E599" s="7" t="n">
        <f aca="false">IF(((c_TMAP2IN)-(c_TMAP1IN))=0,(c_TMAP1OUT)+QUOTIENT(((c_TMAP2OUT)-(c_TMAP1OUT)),2),QUOTIENT((((A599)-(c_TMAP1IN))*((c_TMAP2OUT)-(c_TMAP1OUT))+IF(((c_TMAP2OUT)-(c_TMAP1OUT))&gt;=0,1,-1)*QUOTIENT(((c_TMAP2IN)-(c_TMAP1IN)),2)),((c_TMAP2IN)-(c_TMAP1IN)))+(c_TMAP1OUT)+IF(((c_TMAP2OUT)-(c_TMAP1OUT))&gt;=0,IF(IF(o_WRAP=1,MOD(((c_TMAP2IN)-(c_TMAP1IN))*(((A599)-(c_TMAP1IN))*((c_TMAP2OUT)-(c_TMAP1OUT))+IF(((c_TMAP2OUT)-(c_TMAP1OUT))&gt;=0,1,-1)*QUOTIENT(((c_TMAP2IN)-(c_TMAP1IN)),2))+2147483648,4294967296)-2147483648,((c_TMAP2IN)-(c_TMAP1IN))*(((A599)-(c_TMAP1IN))*((c_TMAP2OUT)-(c_TMAP1OUT))+IF(((c_TMAP2OUT)-(c_TMAP1OUT))&gt;=0,1,-1)*QUOTIENT(((c_TMAP2IN)-(c_TMAP1IN)),2)))&lt;0,-1,0),IF(IF(o_WRAP=1,MOD(((c_TMAP2IN)-(c_TMAP1IN))*(((A599)-(c_TMAP1IN))*((c_TMAP2OUT)-(c_TMAP1OUT))+IF(((c_TMAP2OUT)-(c_TMAP1OUT))&gt;=0,1,-1)*QUOTIENT(((c_TMAP2IN)-(c_TMAP1IN)),2))+2147483648,4294967296)-2147483648,((c_TMAP2IN)-(c_TMAP1IN))*(((A599)-(c_TMAP1IN))*((c_TMAP2OUT)-(c_TMAP1OUT))+IF(((c_TMAP2OUT)-(c_TMAP1OUT))&gt;=0,1,-1)*QUOTIENT(((c_TMAP2IN)-(c_TMAP1IN)),2)))&gt;=0,1,0)))</f>
        <v>268</v>
      </c>
      <c r="F599" s="7" t="n">
        <f aca="false">IF(((c_TMAP3IN)-(c_TMAP2IN))=0,(c_TMAP2OUT)+QUOTIENT(((c_TMAP3OUT)-(c_TMAP2OUT)),2),QUOTIENT((((A599)-(c_TMAP2IN))*((c_TMAP3OUT)-(c_TMAP2OUT))+IF(((c_TMAP3OUT)-(c_TMAP2OUT))&gt;=0,1,-1)*QUOTIENT(((c_TMAP3IN)-(c_TMAP2IN)),2)),((c_TMAP3IN)-(c_TMAP2IN)))+(c_TMAP2OUT)+IF(((c_TMAP3OUT)-(c_TMAP2OUT))&gt;=0,IF(IF(o_WRAP=1,MOD(((c_TMAP3IN)-(c_TMAP2IN))*(((A599)-(c_TMAP2IN))*((c_TMAP3OUT)-(c_TMAP2OUT))+IF(((c_TMAP3OUT)-(c_TMAP2OUT))&gt;=0,1,-1)*QUOTIENT(((c_TMAP3IN)-(c_TMAP2IN)),2))+2147483648,4294967296)-2147483648,((c_TMAP3IN)-(c_TMAP2IN))*(((A599)-(c_TMAP2IN))*((c_TMAP3OUT)-(c_TMAP2OUT))+IF(((c_TMAP3OUT)-(c_TMAP2OUT))&gt;=0,1,-1)*QUOTIENT(((c_TMAP3IN)-(c_TMAP2IN)),2)))&lt;0,-1,0),IF(IF(o_WRAP=1,MOD(((c_TMAP3IN)-(c_TMAP2IN))*(((A599)-(c_TMAP2IN))*((c_TMAP3OUT)-(c_TMAP2OUT))+IF(((c_TMAP3OUT)-(c_TMAP2OUT))&gt;=0,1,-1)*QUOTIENT(((c_TMAP3IN)-(c_TMAP2IN)),2))+2147483648,4294967296)-2147483648,((c_TMAP3IN)-(c_TMAP2IN))*(((A599)-(c_TMAP2IN))*((c_TMAP3OUT)-(c_TMAP2OUT))+IF(((c_TMAP3OUT)-(c_TMAP2OUT))&gt;=0,1,-1)*QUOTIENT(((c_TMAP3IN)-(c_TMAP2IN)),2)))&gt;=0,1,0)))</f>
        <v>371</v>
      </c>
      <c r="G599" s="7" t="n">
        <f aca="false">IF(((1000)-(c_TMAP3IN))=0,(c_TMAP3OUT)+QUOTIENT(((1000)-(c_TMAP3OUT)),2),QUOTIENT((((A599)-(c_TMAP3IN))*((1000)-(c_TMAP3OUT))+IF(((1000)-(c_TMAP3OUT))&gt;=0,1,-1)*QUOTIENT(((1000)-(c_TMAP3IN)),2)),((1000)-(c_TMAP3IN)))+(c_TMAP3OUT)+IF(((1000)-(c_TMAP3OUT))&gt;=0,IF(IF(o_WRAP=1,MOD(((1000)-(c_TMAP3IN))*(((A599)-(c_TMAP3IN))*((1000)-(c_TMAP3OUT))+IF(((1000)-(c_TMAP3OUT))&gt;=0,1,-1)*QUOTIENT(((1000)-(c_TMAP3IN)),2))+2147483648,4294967296)-2147483648,((1000)-(c_TMAP3IN))*(((A599)-(c_TMAP3IN))*((1000)-(c_TMAP3OUT))+IF(((1000)-(c_TMAP3OUT))&gt;=0,1,-1)*QUOTIENT(((1000)-(c_TMAP3IN)),2)))&lt;0,-1,0),IF(IF(o_WRAP=1,MOD(((1000)-(c_TMAP3IN))*(((A599)-(c_TMAP3IN))*((1000)-(c_TMAP3OUT))+IF(((1000)-(c_TMAP3OUT))&gt;=0,1,-1)*QUOTIENT(((1000)-(c_TMAP3IN)),2))+2147483648,4294967296)-2147483648,((1000)-(c_TMAP3IN))*(((A599)-(c_TMAP3IN))*((1000)-(c_TMAP3OUT))+IF(((1000)-(c_TMAP3OUT))&gt;=0,1,-1)*QUOTIENT(((1000)-(c_TMAP3IN)),2)))&gt;=0,1,0)))</f>
        <v>500</v>
      </c>
      <c r="H599" s="7" t="str">
        <f aca="false">IF(A599&gt;=c_TFWD,IF(AND(A599&gt;=c_TMAP3IN,c_TMAP3IN&lt;1000),"Seg4 map3-100%",IF(AND(A599&gt;=c_TMAP2IN,c_TMAP3IN&gt;c_TMAP2IN),"Seg3 map2-map3",IF(AND(A599&gt;=c_TMAP1IN,c_TMAP2IN&gt;c_TMAP1IN),"Seg2 map1-map2","Seg1 TFWD-map1"))),IF(AND(A599=0,c_TCREEP&gt;0),"Creep",IF(AND(A599&lt;=c_TRNGMIN,A599&gt;=c_TRNGMAX,c_TRNGMIN-c_TRNGMAX&lt;&gt;0),"Regen ramp","Coast (0)")))</f>
        <v>Seg4 map3-100%</v>
      </c>
      <c r="I599" s="7" t="n">
        <f aca="false">IF(A599&gt;=c_TFWD,IF(AND(A599&gt;=c_TMAP3IN,c_TMAP3IN&lt;1000),G599,IF(AND(A599&gt;=c_TMAP2IN,c_TMAP3IN&gt;c_TMAP2IN),F599,IF(AND(A599&gt;=c_TMAP1IN,c_TMAP2IN&gt;c_TMAP1IN),E599,D599))),C599)</f>
        <v>500</v>
      </c>
      <c r="J599" s="7" t="str">
        <f aca="false">IF(I599&lt;-1090,"TOO LOW",IF(I599&gt;1090,"TOO HIGH",""))</f>
        <v/>
      </c>
      <c r="K599" s="15" t="n">
        <f aca="false">IF(J599&lt;&gt;"",0,IF(I599&gt;979,1000,I599))</f>
        <v>500</v>
      </c>
      <c r="L599" s="7" t="n">
        <f aca="false">K599/10</f>
        <v>50</v>
      </c>
    </row>
    <row r="600" customFormat="false" ht="15" hidden="false" customHeight="false" outlineLevel="0" collapsed="false">
      <c r="A600" s="7" t="n">
        <v>595</v>
      </c>
      <c r="B600" s="7" t="n">
        <f aca="false">A600/10</f>
        <v>59.5</v>
      </c>
      <c r="C600" s="7" t="n">
        <f aca="false">IF(AND(A600=0,c_TCREEP&gt;0),10*c_TCREEP,IF(AND(A600&lt;=c_TRNGMIN,A600&gt;=c_TRNGMAX,c_TRNGMIN-c_TRNGMAX&lt;&gt;0),-10*c_TMINRN+QUOTIENT((c_TMAXRN-c_TMINRN)*(100-QUOTIENT((A600-c_TRNGMAX)*100,c_TRNGMIN-c_TRNGMAX)),-10),0))</f>
        <v>0</v>
      </c>
      <c r="D600" s="7" t="n">
        <f aca="false">IF(((c_TMAP1IN)-(c_TFWD))=0,(0)+QUOTIENT(((c_TMAP1OUT)-(0)),2),QUOTIENT((((A600)-(c_TFWD))*((c_TMAP1OUT)-(0))+IF(((c_TMAP1OUT)-(0))&gt;=0,1,-1)*QUOTIENT(((c_TMAP1IN)-(c_TFWD)),2)),((c_TMAP1IN)-(c_TFWD)))+(0)+IF(((c_TMAP1OUT)-(0))&gt;=0,IF(IF(o_WRAP=1,MOD(((c_TMAP1IN)-(c_TFWD))*(((A600)-(c_TFWD))*((c_TMAP1OUT)-(0))+IF(((c_TMAP1OUT)-(0))&gt;=0,1,-1)*QUOTIENT(((c_TMAP1IN)-(c_TFWD)),2))+2147483648,4294967296)-2147483648,((c_TMAP1IN)-(c_TFWD))*(((A600)-(c_TFWD))*((c_TMAP1OUT)-(0))+IF(((c_TMAP1OUT)-(0))&gt;=0,1,-1)*QUOTIENT(((c_TMAP1IN)-(c_TFWD)),2)))&lt;0,-1,0),IF(IF(o_WRAP=1,MOD(((c_TMAP1IN)-(c_TFWD))*(((A600)-(c_TFWD))*((c_TMAP1OUT)-(0))+IF(((c_TMAP1OUT)-(0))&gt;=0,1,-1)*QUOTIENT(((c_TMAP1IN)-(c_TFWD)),2))+2147483648,4294967296)-2147483648,((c_TMAP1IN)-(c_TFWD))*(((A600)-(c_TFWD))*((c_TMAP1OUT)-(0))+IF(((c_TMAP1OUT)-(0))&gt;=0,1,-1)*QUOTIENT(((c_TMAP1IN)-(c_TFWD)),2)))&gt;=0,1,0)))</f>
        <v>455</v>
      </c>
      <c r="E600" s="7" t="n">
        <f aca="false">IF(((c_TMAP2IN)-(c_TMAP1IN))=0,(c_TMAP1OUT)+QUOTIENT(((c_TMAP2OUT)-(c_TMAP1OUT)),2),QUOTIENT((((A600)-(c_TMAP1IN))*((c_TMAP2OUT)-(c_TMAP1OUT))+IF(((c_TMAP2OUT)-(c_TMAP1OUT))&gt;=0,1,-1)*QUOTIENT(((c_TMAP2IN)-(c_TMAP1IN)),2)),((c_TMAP2IN)-(c_TMAP1IN)))+(c_TMAP1OUT)+IF(((c_TMAP2OUT)-(c_TMAP1OUT))&gt;=0,IF(IF(o_WRAP=1,MOD(((c_TMAP2IN)-(c_TMAP1IN))*(((A600)-(c_TMAP1IN))*((c_TMAP2OUT)-(c_TMAP1OUT))+IF(((c_TMAP2OUT)-(c_TMAP1OUT))&gt;=0,1,-1)*QUOTIENT(((c_TMAP2IN)-(c_TMAP1IN)),2))+2147483648,4294967296)-2147483648,((c_TMAP2IN)-(c_TMAP1IN))*(((A600)-(c_TMAP1IN))*((c_TMAP2OUT)-(c_TMAP1OUT))+IF(((c_TMAP2OUT)-(c_TMAP1OUT))&gt;=0,1,-1)*QUOTIENT(((c_TMAP2IN)-(c_TMAP1IN)),2)))&lt;0,-1,0),IF(IF(o_WRAP=1,MOD(((c_TMAP2IN)-(c_TMAP1IN))*(((A600)-(c_TMAP1IN))*((c_TMAP2OUT)-(c_TMAP1OUT))+IF(((c_TMAP2OUT)-(c_TMAP1OUT))&gt;=0,1,-1)*QUOTIENT(((c_TMAP2IN)-(c_TMAP1IN)),2))+2147483648,4294967296)-2147483648,((c_TMAP2IN)-(c_TMAP1IN))*(((A600)-(c_TMAP1IN))*((c_TMAP2OUT)-(c_TMAP1OUT))+IF(((c_TMAP2OUT)-(c_TMAP1OUT))&gt;=0,1,-1)*QUOTIENT(((c_TMAP2IN)-(c_TMAP1IN)),2)))&gt;=0,1,0)))</f>
        <v>268</v>
      </c>
      <c r="F600" s="7" t="n">
        <f aca="false">IF(((c_TMAP3IN)-(c_TMAP2IN))=0,(c_TMAP2OUT)+QUOTIENT(((c_TMAP3OUT)-(c_TMAP2OUT)),2),QUOTIENT((((A600)-(c_TMAP2IN))*((c_TMAP3OUT)-(c_TMAP2OUT))+IF(((c_TMAP3OUT)-(c_TMAP2OUT))&gt;=0,1,-1)*QUOTIENT(((c_TMAP3IN)-(c_TMAP2IN)),2)),((c_TMAP3IN)-(c_TMAP2IN)))+(c_TMAP2OUT)+IF(((c_TMAP3OUT)-(c_TMAP2OUT))&gt;=0,IF(IF(o_WRAP=1,MOD(((c_TMAP3IN)-(c_TMAP2IN))*(((A600)-(c_TMAP2IN))*((c_TMAP3OUT)-(c_TMAP2OUT))+IF(((c_TMAP3OUT)-(c_TMAP2OUT))&gt;=0,1,-1)*QUOTIENT(((c_TMAP3IN)-(c_TMAP2IN)),2))+2147483648,4294967296)-2147483648,((c_TMAP3IN)-(c_TMAP2IN))*(((A600)-(c_TMAP2IN))*((c_TMAP3OUT)-(c_TMAP2OUT))+IF(((c_TMAP3OUT)-(c_TMAP2OUT))&gt;=0,1,-1)*QUOTIENT(((c_TMAP3IN)-(c_TMAP2IN)),2)))&lt;0,-1,0),IF(IF(o_WRAP=1,MOD(((c_TMAP3IN)-(c_TMAP2IN))*(((A600)-(c_TMAP2IN))*((c_TMAP3OUT)-(c_TMAP2OUT))+IF(((c_TMAP3OUT)-(c_TMAP2OUT))&gt;=0,1,-1)*QUOTIENT(((c_TMAP3IN)-(c_TMAP2IN)),2))+2147483648,4294967296)-2147483648,((c_TMAP3IN)-(c_TMAP2IN))*(((A600)-(c_TMAP2IN))*((c_TMAP3OUT)-(c_TMAP2OUT))+IF(((c_TMAP3OUT)-(c_TMAP2OUT))&gt;=0,1,-1)*QUOTIENT(((c_TMAP3IN)-(c_TMAP2IN)),2)))&gt;=0,1,0)))</f>
        <v>372</v>
      </c>
      <c r="G600" s="7" t="n">
        <f aca="false">IF(((1000)-(c_TMAP3IN))=0,(c_TMAP3OUT)+QUOTIENT(((1000)-(c_TMAP3OUT)),2),QUOTIENT((((A600)-(c_TMAP3IN))*((1000)-(c_TMAP3OUT))+IF(((1000)-(c_TMAP3OUT))&gt;=0,1,-1)*QUOTIENT(((1000)-(c_TMAP3IN)),2)),((1000)-(c_TMAP3IN)))+(c_TMAP3OUT)+IF(((1000)-(c_TMAP3OUT))&gt;=0,IF(IF(o_WRAP=1,MOD(((1000)-(c_TMAP3IN))*(((A600)-(c_TMAP3IN))*((1000)-(c_TMAP3OUT))+IF(((1000)-(c_TMAP3OUT))&gt;=0,1,-1)*QUOTIENT(((1000)-(c_TMAP3IN)),2))+2147483648,4294967296)-2147483648,((1000)-(c_TMAP3IN))*(((A600)-(c_TMAP3IN))*((1000)-(c_TMAP3OUT))+IF(((1000)-(c_TMAP3OUT))&gt;=0,1,-1)*QUOTIENT(((1000)-(c_TMAP3IN)),2)))&lt;0,-1,0),IF(IF(o_WRAP=1,MOD(((1000)-(c_TMAP3IN))*(((A600)-(c_TMAP3IN))*((1000)-(c_TMAP3OUT))+IF(((1000)-(c_TMAP3OUT))&gt;=0,1,-1)*QUOTIENT(((1000)-(c_TMAP3IN)),2))+2147483648,4294967296)-2147483648,((1000)-(c_TMAP3IN))*(((A600)-(c_TMAP3IN))*((1000)-(c_TMAP3OUT))+IF(((1000)-(c_TMAP3OUT))&gt;=0,1,-1)*QUOTIENT(((1000)-(c_TMAP3IN)),2)))&gt;=0,1,0)))</f>
        <v>502</v>
      </c>
      <c r="H600" s="7" t="str">
        <f aca="false">IF(A600&gt;=c_TFWD,IF(AND(A600&gt;=c_TMAP3IN,c_TMAP3IN&lt;1000),"Seg4 map3-100%",IF(AND(A600&gt;=c_TMAP2IN,c_TMAP3IN&gt;c_TMAP2IN),"Seg3 map2-map3",IF(AND(A600&gt;=c_TMAP1IN,c_TMAP2IN&gt;c_TMAP1IN),"Seg2 map1-map2","Seg1 TFWD-map1"))),IF(AND(A600=0,c_TCREEP&gt;0),"Creep",IF(AND(A600&lt;=c_TRNGMIN,A600&gt;=c_TRNGMAX,c_TRNGMIN-c_TRNGMAX&lt;&gt;0),"Regen ramp","Coast (0)")))</f>
        <v>Seg4 map3-100%</v>
      </c>
      <c r="I600" s="7" t="n">
        <f aca="false">IF(A600&gt;=c_TFWD,IF(AND(A600&gt;=c_TMAP3IN,c_TMAP3IN&lt;1000),G600,IF(AND(A600&gt;=c_TMAP2IN,c_TMAP3IN&gt;c_TMAP2IN),F600,IF(AND(A600&gt;=c_TMAP1IN,c_TMAP2IN&gt;c_TMAP1IN),E600,D600))),C600)</f>
        <v>502</v>
      </c>
      <c r="J600" s="7" t="str">
        <f aca="false">IF(I600&lt;-1090,"TOO LOW",IF(I600&gt;1090,"TOO HIGH",""))</f>
        <v/>
      </c>
      <c r="K600" s="15" t="n">
        <f aca="false">IF(J600&lt;&gt;"",0,IF(I600&gt;979,1000,I600))</f>
        <v>502</v>
      </c>
      <c r="L600" s="7" t="n">
        <f aca="false">K600/10</f>
        <v>50.2</v>
      </c>
    </row>
    <row r="601" customFormat="false" ht="15" hidden="false" customHeight="false" outlineLevel="0" collapsed="false">
      <c r="A601" s="7" t="n">
        <v>596</v>
      </c>
      <c r="B601" s="7" t="n">
        <f aca="false">A601/10</f>
        <v>59.6</v>
      </c>
      <c r="C601" s="7" t="n">
        <f aca="false">IF(AND(A601=0,c_TCREEP&gt;0),10*c_TCREEP,IF(AND(A601&lt;=c_TRNGMIN,A601&gt;=c_TRNGMAX,c_TRNGMIN-c_TRNGMAX&lt;&gt;0),-10*c_TMINRN+QUOTIENT((c_TMAXRN-c_TMINRN)*(100-QUOTIENT((A601-c_TRNGMAX)*100,c_TRNGMIN-c_TRNGMAX)),-10),0))</f>
        <v>0</v>
      </c>
      <c r="D601" s="7" t="n">
        <f aca="false">IF(((c_TMAP1IN)-(c_TFWD))=0,(0)+QUOTIENT(((c_TMAP1OUT)-(0)),2),QUOTIENT((((A601)-(c_TFWD))*((c_TMAP1OUT)-(0))+IF(((c_TMAP1OUT)-(0))&gt;=0,1,-1)*QUOTIENT(((c_TMAP1IN)-(c_TFWD)),2)),((c_TMAP1IN)-(c_TFWD)))+(0)+IF(((c_TMAP1OUT)-(0))&gt;=0,IF(IF(o_WRAP=1,MOD(((c_TMAP1IN)-(c_TFWD))*(((A601)-(c_TFWD))*((c_TMAP1OUT)-(0))+IF(((c_TMAP1OUT)-(0))&gt;=0,1,-1)*QUOTIENT(((c_TMAP1IN)-(c_TFWD)),2))+2147483648,4294967296)-2147483648,((c_TMAP1IN)-(c_TFWD))*(((A601)-(c_TFWD))*((c_TMAP1OUT)-(0))+IF(((c_TMAP1OUT)-(0))&gt;=0,1,-1)*QUOTIENT(((c_TMAP1IN)-(c_TFWD)),2)))&lt;0,-1,0),IF(IF(o_WRAP=1,MOD(((c_TMAP1IN)-(c_TFWD))*(((A601)-(c_TFWD))*((c_TMAP1OUT)-(0))+IF(((c_TMAP1OUT)-(0))&gt;=0,1,-1)*QUOTIENT(((c_TMAP1IN)-(c_TFWD)),2))+2147483648,4294967296)-2147483648,((c_TMAP1IN)-(c_TFWD))*(((A601)-(c_TFWD))*((c_TMAP1OUT)-(0))+IF(((c_TMAP1OUT)-(0))&gt;=0,1,-1)*QUOTIENT(((c_TMAP1IN)-(c_TFWD)),2)))&gt;=0,1,0)))</f>
        <v>456</v>
      </c>
      <c r="E601" s="7" t="n">
        <f aca="false">IF(((c_TMAP2IN)-(c_TMAP1IN))=0,(c_TMAP1OUT)+QUOTIENT(((c_TMAP2OUT)-(c_TMAP1OUT)),2),QUOTIENT((((A601)-(c_TMAP1IN))*((c_TMAP2OUT)-(c_TMAP1OUT))+IF(((c_TMAP2OUT)-(c_TMAP1OUT))&gt;=0,1,-1)*QUOTIENT(((c_TMAP2IN)-(c_TMAP1IN)),2)),((c_TMAP2IN)-(c_TMAP1IN)))+(c_TMAP1OUT)+IF(((c_TMAP2OUT)-(c_TMAP1OUT))&gt;=0,IF(IF(o_WRAP=1,MOD(((c_TMAP2IN)-(c_TMAP1IN))*(((A601)-(c_TMAP1IN))*((c_TMAP2OUT)-(c_TMAP1OUT))+IF(((c_TMAP2OUT)-(c_TMAP1OUT))&gt;=0,1,-1)*QUOTIENT(((c_TMAP2IN)-(c_TMAP1IN)),2))+2147483648,4294967296)-2147483648,((c_TMAP2IN)-(c_TMAP1IN))*(((A601)-(c_TMAP1IN))*((c_TMAP2OUT)-(c_TMAP1OUT))+IF(((c_TMAP2OUT)-(c_TMAP1OUT))&gt;=0,1,-1)*QUOTIENT(((c_TMAP2IN)-(c_TMAP1IN)),2)))&lt;0,-1,0),IF(IF(o_WRAP=1,MOD(((c_TMAP2IN)-(c_TMAP1IN))*(((A601)-(c_TMAP1IN))*((c_TMAP2OUT)-(c_TMAP1OUT))+IF(((c_TMAP2OUT)-(c_TMAP1OUT))&gt;=0,1,-1)*QUOTIENT(((c_TMAP2IN)-(c_TMAP1IN)),2))+2147483648,4294967296)-2147483648,((c_TMAP2IN)-(c_TMAP1IN))*(((A601)-(c_TMAP1IN))*((c_TMAP2OUT)-(c_TMAP1OUT))+IF(((c_TMAP2OUT)-(c_TMAP1OUT))&gt;=0,1,-1)*QUOTIENT(((c_TMAP2IN)-(c_TMAP1IN)),2)))&gt;=0,1,0)))</f>
        <v>268</v>
      </c>
      <c r="F601" s="7" t="n">
        <f aca="false">IF(((c_TMAP3IN)-(c_TMAP2IN))=0,(c_TMAP2OUT)+QUOTIENT(((c_TMAP3OUT)-(c_TMAP2OUT)),2),QUOTIENT((((A601)-(c_TMAP2IN))*((c_TMAP3OUT)-(c_TMAP2OUT))+IF(((c_TMAP3OUT)-(c_TMAP2OUT))&gt;=0,1,-1)*QUOTIENT(((c_TMAP3IN)-(c_TMAP2IN)),2)),((c_TMAP3IN)-(c_TMAP2IN)))+(c_TMAP2OUT)+IF(((c_TMAP3OUT)-(c_TMAP2OUT))&gt;=0,IF(IF(o_WRAP=1,MOD(((c_TMAP3IN)-(c_TMAP2IN))*(((A601)-(c_TMAP2IN))*((c_TMAP3OUT)-(c_TMAP2OUT))+IF(((c_TMAP3OUT)-(c_TMAP2OUT))&gt;=0,1,-1)*QUOTIENT(((c_TMAP3IN)-(c_TMAP2IN)),2))+2147483648,4294967296)-2147483648,((c_TMAP3IN)-(c_TMAP2IN))*(((A601)-(c_TMAP2IN))*((c_TMAP3OUT)-(c_TMAP2OUT))+IF(((c_TMAP3OUT)-(c_TMAP2OUT))&gt;=0,1,-1)*QUOTIENT(((c_TMAP3IN)-(c_TMAP2IN)),2)))&lt;0,-1,0),IF(IF(o_WRAP=1,MOD(((c_TMAP3IN)-(c_TMAP2IN))*(((A601)-(c_TMAP2IN))*((c_TMAP3OUT)-(c_TMAP2OUT))+IF(((c_TMAP3OUT)-(c_TMAP2OUT))&gt;=0,1,-1)*QUOTIENT(((c_TMAP3IN)-(c_TMAP2IN)),2))+2147483648,4294967296)-2147483648,((c_TMAP3IN)-(c_TMAP2IN))*(((A601)-(c_TMAP2IN))*((c_TMAP3OUT)-(c_TMAP2OUT))+IF(((c_TMAP3OUT)-(c_TMAP2OUT))&gt;=0,1,-1)*QUOTIENT(((c_TMAP3IN)-(c_TMAP2IN)),2)))&gt;=0,1,0)))</f>
        <v>372</v>
      </c>
      <c r="G601" s="7" t="n">
        <f aca="false">IF(((1000)-(c_TMAP3IN))=0,(c_TMAP3OUT)+QUOTIENT(((1000)-(c_TMAP3OUT)),2),QUOTIENT((((A601)-(c_TMAP3IN))*((1000)-(c_TMAP3OUT))+IF(((1000)-(c_TMAP3OUT))&gt;=0,1,-1)*QUOTIENT(((1000)-(c_TMAP3IN)),2)),((1000)-(c_TMAP3IN)))+(c_TMAP3OUT)+IF(((1000)-(c_TMAP3OUT))&gt;=0,IF(IF(o_WRAP=1,MOD(((1000)-(c_TMAP3IN))*(((A601)-(c_TMAP3IN))*((1000)-(c_TMAP3OUT))+IF(((1000)-(c_TMAP3OUT))&gt;=0,1,-1)*QUOTIENT(((1000)-(c_TMAP3IN)),2))+2147483648,4294967296)-2147483648,((1000)-(c_TMAP3IN))*(((A601)-(c_TMAP3IN))*((1000)-(c_TMAP3OUT))+IF(((1000)-(c_TMAP3OUT))&gt;=0,1,-1)*QUOTIENT(((1000)-(c_TMAP3IN)),2)))&lt;0,-1,0),IF(IF(o_WRAP=1,MOD(((1000)-(c_TMAP3IN))*(((A601)-(c_TMAP3IN))*((1000)-(c_TMAP3OUT))+IF(((1000)-(c_TMAP3OUT))&gt;=0,1,-1)*QUOTIENT(((1000)-(c_TMAP3IN)),2))+2147483648,4294967296)-2147483648,((1000)-(c_TMAP3IN))*(((A601)-(c_TMAP3IN))*((1000)-(c_TMAP3OUT))+IF(((1000)-(c_TMAP3OUT))&gt;=0,1,-1)*QUOTIENT(((1000)-(c_TMAP3IN)),2)))&gt;=0,1,0)))</f>
        <v>503</v>
      </c>
      <c r="H601" s="7" t="str">
        <f aca="false">IF(A601&gt;=c_TFWD,IF(AND(A601&gt;=c_TMAP3IN,c_TMAP3IN&lt;1000),"Seg4 map3-100%",IF(AND(A601&gt;=c_TMAP2IN,c_TMAP3IN&gt;c_TMAP2IN),"Seg3 map2-map3",IF(AND(A601&gt;=c_TMAP1IN,c_TMAP2IN&gt;c_TMAP1IN),"Seg2 map1-map2","Seg1 TFWD-map1"))),IF(AND(A601=0,c_TCREEP&gt;0),"Creep",IF(AND(A601&lt;=c_TRNGMIN,A601&gt;=c_TRNGMAX,c_TRNGMIN-c_TRNGMAX&lt;&gt;0),"Regen ramp","Coast (0)")))</f>
        <v>Seg4 map3-100%</v>
      </c>
      <c r="I601" s="7" t="n">
        <f aca="false">IF(A601&gt;=c_TFWD,IF(AND(A601&gt;=c_TMAP3IN,c_TMAP3IN&lt;1000),G601,IF(AND(A601&gt;=c_TMAP2IN,c_TMAP3IN&gt;c_TMAP2IN),F601,IF(AND(A601&gt;=c_TMAP1IN,c_TMAP2IN&gt;c_TMAP1IN),E601,D601))),C601)</f>
        <v>503</v>
      </c>
      <c r="J601" s="7" t="str">
        <f aca="false">IF(I601&lt;-1090,"TOO LOW",IF(I601&gt;1090,"TOO HIGH",""))</f>
        <v/>
      </c>
      <c r="K601" s="15" t="n">
        <f aca="false">IF(J601&lt;&gt;"",0,IF(I601&gt;979,1000,I601))</f>
        <v>503</v>
      </c>
      <c r="L601" s="7" t="n">
        <f aca="false">K601/10</f>
        <v>50.3</v>
      </c>
    </row>
    <row r="602" customFormat="false" ht="15" hidden="false" customHeight="false" outlineLevel="0" collapsed="false">
      <c r="A602" s="7" t="n">
        <v>597</v>
      </c>
      <c r="B602" s="7" t="n">
        <f aca="false">A602/10</f>
        <v>59.7</v>
      </c>
      <c r="C602" s="7" t="n">
        <f aca="false">IF(AND(A602=0,c_TCREEP&gt;0),10*c_TCREEP,IF(AND(A602&lt;=c_TRNGMIN,A602&gt;=c_TRNGMAX,c_TRNGMIN-c_TRNGMAX&lt;&gt;0),-10*c_TMINRN+QUOTIENT((c_TMAXRN-c_TMINRN)*(100-QUOTIENT((A602-c_TRNGMAX)*100,c_TRNGMIN-c_TRNGMAX)),-10),0))</f>
        <v>0</v>
      </c>
      <c r="D602" s="7" t="n">
        <f aca="false">IF(((c_TMAP1IN)-(c_TFWD))=0,(0)+QUOTIENT(((c_TMAP1OUT)-(0)),2),QUOTIENT((((A602)-(c_TFWD))*((c_TMAP1OUT)-(0))+IF(((c_TMAP1OUT)-(0))&gt;=0,1,-1)*QUOTIENT(((c_TMAP1IN)-(c_TFWD)),2)),((c_TMAP1IN)-(c_TFWD)))+(0)+IF(((c_TMAP1OUT)-(0))&gt;=0,IF(IF(o_WRAP=1,MOD(((c_TMAP1IN)-(c_TFWD))*(((A602)-(c_TFWD))*((c_TMAP1OUT)-(0))+IF(((c_TMAP1OUT)-(0))&gt;=0,1,-1)*QUOTIENT(((c_TMAP1IN)-(c_TFWD)),2))+2147483648,4294967296)-2147483648,((c_TMAP1IN)-(c_TFWD))*(((A602)-(c_TFWD))*((c_TMAP1OUT)-(0))+IF(((c_TMAP1OUT)-(0))&gt;=0,1,-1)*QUOTIENT(((c_TMAP1IN)-(c_TFWD)),2)))&lt;0,-1,0),IF(IF(o_WRAP=1,MOD(((c_TMAP1IN)-(c_TFWD))*(((A602)-(c_TFWD))*((c_TMAP1OUT)-(0))+IF(((c_TMAP1OUT)-(0))&gt;=0,1,-1)*QUOTIENT(((c_TMAP1IN)-(c_TFWD)),2))+2147483648,4294967296)-2147483648,((c_TMAP1IN)-(c_TFWD))*(((A602)-(c_TFWD))*((c_TMAP1OUT)-(0))+IF(((c_TMAP1OUT)-(0))&gt;=0,1,-1)*QUOTIENT(((c_TMAP1IN)-(c_TFWD)),2)))&gt;=0,1,0)))</f>
        <v>457</v>
      </c>
      <c r="E602" s="7" t="n">
        <f aca="false">IF(((c_TMAP2IN)-(c_TMAP1IN))=0,(c_TMAP1OUT)+QUOTIENT(((c_TMAP2OUT)-(c_TMAP1OUT)),2),QUOTIENT((((A602)-(c_TMAP1IN))*((c_TMAP2OUT)-(c_TMAP1OUT))+IF(((c_TMAP2OUT)-(c_TMAP1OUT))&gt;=0,1,-1)*QUOTIENT(((c_TMAP2IN)-(c_TMAP1IN)),2)),((c_TMAP2IN)-(c_TMAP1IN)))+(c_TMAP1OUT)+IF(((c_TMAP2OUT)-(c_TMAP1OUT))&gt;=0,IF(IF(o_WRAP=1,MOD(((c_TMAP2IN)-(c_TMAP1IN))*(((A602)-(c_TMAP1IN))*((c_TMAP2OUT)-(c_TMAP1OUT))+IF(((c_TMAP2OUT)-(c_TMAP1OUT))&gt;=0,1,-1)*QUOTIENT(((c_TMAP2IN)-(c_TMAP1IN)),2))+2147483648,4294967296)-2147483648,((c_TMAP2IN)-(c_TMAP1IN))*(((A602)-(c_TMAP1IN))*((c_TMAP2OUT)-(c_TMAP1OUT))+IF(((c_TMAP2OUT)-(c_TMAP1OUT))&gt;=0,1,-1)*QUOTIENT(((c_TMAP2IN)-(c_TMAP1IN)),2)))&lt;0,-1,0),IF(IF(o_WRAP=1,MOD(((c_TMAP2IN)-(c_TMAP1IN))*(((A602)-(c_TMAP1IN))*((c_TMAP2OUT)-(c_TMAP1OUT))+IF(((c_TMAP2OUT)-(c_TMAP1OUT))&gt;=0,1,-1)*QUOTIENT(((c_TMAP2IN)-(c_TMAP1IN)),2))+2147483648,4294967296)-2147483648,((c_TMAP2IN)-(c_TMAP1IN))*(((A602)-(c_TMAP1IN))*((c_TMAP2OUT)-(c_TMAP1OUT))+IF(((c_TMAP2OUT)-(c_TMAP1OUT))&gt;=0,1,-1)*QUOTIENT(((c_TMAP2IN)-(c_TMAP1IN)),2)))&gt;=0,1,0)))</f>
        <v>269</v>
      </c>
      <c r="F602" s="7" t="n">
        <f aca="false">IF(((c_TMAP3IN)-(c_TMAP2IN))=0,(c_TMAP2OUT)+QUOTIENT(((c_TMAP3OUT)-(c_TMAP2OUT)),2),QUOTIENT((((A602)-(c_TMAP2IN))*((c_TMAP3OUT)-(c_TMAP2OUT))+IF(((c_TMAP3OUT)-(c_TMAP2OUT))&gt;=0,1,-1)*QUOTIENT(((c_TMAP3IN)-(c_TMAP2IN)),2)),((c_TMAP3IN)-(c_TMAP2IN)))+(c_TMAP2OUT)+IF(((c_TMAP3OUT)-(c_TMAP2OUT))&gt;=0,IF(IF(o_WRAP=1,MOD(((c_TMAP3IN)-(c_TMAP2IN))*(((A602)-(c_TMAP2IN))*((c_TMAP3OUT)-(c_TMAP2OUT))+IF(((c_TMAP3OUT)-(c_TMAP2OUT))&gt;=0,1,-1)*QUOTIENT(((c_TMAP3IN)-(c_TMAP2IN)),2))+2147483648,4294967296)-2147483648,((c_TMAP3IN)-(c_TMAP2IN))*(((A602)-(c_TMAP2IN))*((c_TMAP3OUT)-(c_TMAP2OUT))+IF(((c_TMAP3OUT)-(c_TMAP2OUT))&gt;=0,1,-1)*QUOTIENT(((c_TMAP3IN)-(c_TMAP2IN)),2)))&lt;0,-1,0),IF(IF(o_WRAP=1,MOD(((c_TMAP3IN)-(c_TMAP2IN))*(((A602)-(c_TMAP2IN))*((c_TMAP3OUT)-(c_TMAP2OUT))+IF(((c_TMAP3OUT)-(c_TMAP2OUT))&gt;=0,1,-1)*QUOTIENT(((c_TMAP3IN)-(c_TMAP2IN)),2))+2147483648,4294967296)-2147483648,((c_TMAP3IN)-(c_TMAP2IN))*(((A602)-(c_TMAP2IN))*((c_TMAP3OUT)-(c_TMAP2OUT))+IF(((c_TMAP3OUT)-(c_TMAP2OUT))&gt;=0,1,-1)*QUOTIENT(((c_TMAP3IN)-(c_TMAP2IN)),2)))&gt;=0,1,0)))</f>
        <v>373</v>
      </c>
      <c r="G602" s="7" t="n">
        <f aca="false">IF(((1000)-(c_TMAP3IN))=0,(c_TMAP3OUT)+QUOTIENT(((1000)-(c_TMAP3OUT)),2),QUOTIENT((((A602)-(c_TMAP3IN))*((1000)-(c_TMAP3OUT))+IF(((1000)-(c_TMAP3OUT))&gt;=0,1,-1)*QUOTIENT(((1000)-(c_TMAP3IN)),2)),((1000)-(c_TMAP3IN)))+(c_TMAP3OUT)+IF(((1000)-(c_TMAP3OUT))&gt;=0,IF(IF(o_WRAP=1,MOD(((1000)-(c_TMAP3IN))*(((A602)-(c_TMAP3IN))*((1000)-(c_TMAP3OUT))+IF(((1000)-(c_TMAP3OUT))&gt;=0,1,-1)*QUOTIENT(((1000)-(c_TMAP3IN)),2))+2147483648,4294967296)-2147483648,((1000)-(c_TMAP3IN))*(((A602)-(c_TMAP3IN))*((1000)-(c_TMAP3OUT))+IF(((1000)-(c_TMAP3OUT))&gt;=0,1,-1)*QUOTIENT(((1000)-(c_TMAP3IN)),2)))&lt;0,-1,0),IF(IF(o_WRAP=1,MOD(((1000)-(c_TMAP3IN))*(((A602)-(c_TMAP3IN))*((1000)-(c_TMAP3OUT))+IF(((1000)-(c_TMAP3OUT))&gt;=0,1,-1)*QUOTIENT(((1000)-(c_TMAP3IN)),2))+2147483648,4294967296)-2147483648,((1000)-(c_TMAP3IN))*(((A602)-(c_TMAP3IN))*((1000)-(c_TMAP3OUT))+IF(((1000)-(c_TMAP3OUT))&gt;=0,1,-1)*QUOTIENT(((1000)-(c_TMAP3IN)),2)))&gt;=0,1,0)))</f>
        <v>504</v>
      </c>
      <c r="H602" s="7" t="str">
        <f aca="false">IF(A602&gt;=c_TFWD,IF(AND(A602&gt;=c_TMAP3IN,c_TMAP3IN&lt;1000),"Seg4 map3-100%",IF(AND(A602&gt;=c_TMAP2IN,c_TMAP3IN&gt;c_TMAP2IN),"Seg3 map2-map3",IF(AND(A602&gt;=c_TMAP1IN,c_TMAP2IN&gt;c_TMAP1IN),"Seg2 map1-map2","Seg1 TFWD-map1"))),IF(AND(A602=0,c_TCREEP&gt;0),"Creep",IF(AND(A602&lt;=c_TRNGMIN,A602&gt;=c_TRNGMAX,c_TRNGMIN-c_TRNGMAX&lt;&gt;0),"Regen ramp","Coast (0)")))</f>
        <v>Seg4 map3-100%</v>
      </c>
      <c r="I602" s="7" t="n">
        <f aca="false">IF(A602&gt;=c_TFWD,IF(AND(A602&gt;=c_TMAP3IN,c_TMAP3IN&lt;1000),G602,IF(AND(A602&gt;=c_TMAP2IN,c_TMAP3IN&gt;c_TMAP2IN),F602,IF(AND(A602&gt;=c_TMAP1IN,c_TMAP2IN&gt;c_TMAP1IN),E602,D602))),C602)</f>
        <v>504</v>
      </c>
      <c r="J602" s="7" t="str">
        <f aca="false">IF(I602&lt;-1090,"TOO LOW",IF(I602&gt;1090,"TOO HIGH",""))</f>
        <v/>
      </c>
      <c r="K602" s="15" t="n">
        <f aca="false">IF(J602&lt;&gt;"",0,IF(I602&gt;979,1000,I602))</f>
        <v>504</v>
      </c>
      <c r="L602" s="7" t="n">
        <f aca="false">K602/10</f>
        <v>50.4</v>
      </c>
    </row>
    <row r="603" customFormat="false" ht="15" hidden="false" customHeight="false" outlineLevel="0" collapsed="false">
      <c r="A603" s="7" t="n">
        <v>598</v>
      </c>
      <c r="B603" s="7" t="n">
        <f aca="false">A603/10</f>
        <v>59.8</v>
      </c>
      <c r="C603" s="7" t="n">
        <f aca="false">IF(AND(A603=0,c_TCREEP&gt;0),10*c_TCREEP,IF(AND(A603&lt;=c_TRNGMIN,A603&gt;=c_TRNGMAX,c_TRNGMIN-c_TRNGMAX&lt;&gt;0),-10*c_TMINRN+QUOTIENT((c_TMAXRN-c_TMINRN)*(100-QUOTIENT((A603-c_TRNGMAX)*100,c_TRNGMIN-c_TRNGMAX)),-10),0))</f>
        <v>0</v>
      </c>
      <c r="D603" s="7" t="n">
        <f aca="false">IF(((c_TMAP1IN)-(c_TFWD))=0,(0)+QUOTIENT(((c_TMAP1OUT)-(0)),2),QUOTIENT((((A603)-(c_TFWD))*((c_TMAP1OUT)-(0))+IF(((c_TMAP1OUT)-(0))&gt;=0,1,-1)*QUOTIENT(((c_TMAP1IN)-(c_TFWD)),2)),((c_TMAP1IN)-(c_TFWD)))+(0)+IF(((c_TMAP1OUT)-(0))&gt;=0,IF(IF(o_WRAP=1,MOD(((c_TMAP1IN)-(c_TFWD))*(((A603)-(c_TFWD))*((c_TMAP1OUT)-(0))+IF(((c_TMAP1OUT)-(0))&gt;=0,1,-1)*QUOTIENT(((c_TMAP1IN)-(c_TFWD)),2))+2147483648,4294967296)-2147483648,((c_TMAP1IN)-(c_TFWD))*(((A603)-(c_TFWD))*((c_TMAP1OUT)-(0))+IF(((c_TMAP1OUT)-(0))&gt;=0,1,-1)*QUOTIENT(((c_TMAP1IN)-(c_TFWD)),2)))&lt;0,-1,0),IF(IF(o_WRAP=1,MOD(((c_TMAP1IN)-(c_TFWD))*(((A603)-(c_TFWD))*((c_TMAP1OUT)-(0))+IF(((c_TMAP1OUT)-(0))&gt;=0,1,-1)*QUOTIENT(((c_TMAP1IN)-(c_TFWD)),2))+2147483648,4294967296)-2147483648,((c_TMAP1IN)-(c_TFWD))*(((A603)-(c_TFWD))*((c_TMAP1OUT)-(0))+IF(((c_TMAP1OUT)-(0))&gt;=0,1,-1)*QUOTIENT(((c_TMAP1IN)-(c_TFWD)),2)))&gt;=0,1,0)))</f>
        <v>457</v>
      </c>
      <c r="E603" s="7" t="n">
        <f aca="false">IF(((c_TMAP2IN)-(c_TMAP1IN))=0,(c_TMAP1OUT)+QUOTIENT(((c_TMAP2OUT)-(c_TMAP1OUT)),2),QUOTIENT((((A603)-(c_TMAP1IN))*((c_TMAP2OUT)-(c_TMAP1OUT))+IF(((c_TMAP2OUT)-(c_TMAP1OUT))&gt;=0,1,-1)*QUOTIENT(((c_TMAP2IN)-(c_TMAP1IN)),2)),((c_TMAP2IN)-(c_TMAP1IN)))+(c_TMAP1OUT)+IF(((c_TMAP2OUT)-(c_TMAP1OUT))&gt;=0,IF(IF(o_WRAP=1,MOD(((c_TMAP2IN)-(c_TMAP1IN))*(((A603)-(c_TMAP1IN))*((c_TMAP2OUT)-(c_TMAP1OUT))+IF(((c_TMAP2OUT)-(c_TMAP1OUT))&gt;=0,1,-1)*QUOTIENT(((c_TMAP2IN)-(c_TMAP1IN)),2))+2147483648,4294967296)-2147483648,((c_TMAP2IN)-(c_TMAP1IN))*(((A603)-(c_TMAP1IN))*((c_TMAP2OUT)-(c_TMAP1OUT))+IF(((c_TMAP2OUT)-(c_TMAP1OUT))&gt;=0,1,-1)*QUOTIENT(((c_TMAP2IN)-(c_TMAP1IN)),2)))&lt;0,-1,0),IF(IF(o_WRAP=1,MOD(((c_TMAP2IN)-(c_TMAP1IN))*(((A603)-(c_TMAP1IN))*((c_TMAP2OUT)-(c_TMAP1OUT))+IF(((c_TMAP2OUT)-(c_TMAP1OUT))&gt;=0,1,-1)*QUOTIENT(((c_TMAP2IN)-(c_TMAP1IN)),2))+2147483648,4294967296)-2147483648,((c_TMAP2IN)-(c_TMAP1IN))*(((A603)-(c_TMAP1IN))*((c_TMAP2OUT)-(c_TMAP1OUT))+IF(((c_TMAP2OUT)-(c_TMAP1OUT))&gt;=0,1,-1)*QUOTIENT(((c_TMAP2IN)-(c_TMAP1IN)),2)))&gt;=0,1,0)))</f>
        <v>269</v>
      </c>
      <c r="F603" s="7" t="n">
        <f aca="false">IF(((c_TMAP3IN)-(c_TMAP2IN))=0,(c_TMAP2OUT)+QUOTIENT(((c_TMAP3OUT)-(c_TMAP2OUT)),2),QUOTIENT((((A603)-(c_TMAP2IN))*((c_TMAP3OUT)-(c_TMAP2OUT))+IF(((c_TMAP3OUT)-(c_TMAP2OUT))&gt;=0,1,-1)*QUOTIENT(((c_TMAP3IN)-(c_TMAP2IN)),2)),((c_TMAP3IN)-(c_TMAP2IN)))+(c_TMAP2OUT)+IF(((c_TMAP3OUT)-(c_TMAP2OUT))&gt;=0,IF(IF(o_WRAP=1,MOD(((c_TMAP3IN)-(c_TMAP2IN))*(((A603)-(c_TMAP2IN))*((c_TMAP3OUT)-(c_TMAP2OUT))+IF(((c_TMAP3OUT)-(c_TMAP2OUT))&gt;=0,1,-1)*QUOTIENT(((c_TMAP3IN)-(c_TMAP2IN)),2))+2147483648,4294967296)-2147483648,((c_TMAP3IN)-(c_TMAP2IN))*(((A603)-(c_TMAP2IN))*((c_TMAP3OUT)-(c_TMAP2OUT))+IF(((c_TMAP3OUT)-(c_TMAP2OUT))&gt;=0,1,-1)*QUOTIENT(((c_TMAP3IN)-(c_TMAP2IN)),2)))&lt;0,-1,0),IF(IF(o_WRAP=1,MOD(((c_TMAP3IN)-(c_TMAP2IN))*(((A603)-(c_TMAP2IN))*((c_TMAP3OUT)-(c_TMAP2OUT))+IF(((c_TMAP3OUT)-(c_TMAP2OUT))&gt;=0,1,-1)*QUOTIENT(((c_TMAP3IN)-(c_TMAP2IN)),2))+2147483648,4294967296)-2147483648,((c_TMAP3IN)-(c_TMAP2IN))*(((A603)-(c_TMAP2IN))*((c_TMAP3OUT)-(c_TMAP2OUT))+IF(((c_TMAP3OUT)-(c_TMAP2OUT))&gt;=0,1,-1)*QUOTIENT(((c_TMAP3IN)-(c_TMAP2IN)),2)))&gt;=0,1,0)))</f>
        <v>374</v>
      </c>
      <c r="G603" s="7" t="n">
        <f aca="false">IF(((1000)-(c_TMAP3IN))=0,(c_TMAP3OUT)+QUOTIENT(((1000)-(c_TMAP3OUT)),2),QUOTIENT((((A603)-(c_TMAP3IN))*((1000)-(c_TMAP3OUT))+IF(((1000)-(c_TMAP3OUT))&gt;=0,1,-1)*QUOTIENT(((1000)-(c_TMAP3IN)),2)),((1000)-(c_TMAP3IN)))+(c_TMAP3OUT)+IF(((1000)-(c_TMAP3OUT))&gt;=0,IF(IF(o_WRAP=1,MOD(((1000)-(c_TMAP3IN))*(((A603)-(c_TMAP3IN))*((1000)-(c_TMAP3OUT))+IF(((1000)-(c_TMAP3OUT))&gt;=0,1,-1)*QUOTIENT(((1000)-(c_TMAP3IN)),2))+2147483648,4294967296)-2147483648,((1000)-(c_TMAP3IN))*(((A603)-(c_TMAP3IN))*((1000)-(c_TMAP3OUT))+IF(((1000)-(c_TMAP3OUT))&gt;=0,1,-1)*QUOTIENT(((1000)-(c_TMAP3IN)),2)))&lt;0,-1,0),IF(IF(o_WRAP=1,MOD(((1000)-(c_TMAP3IN))*(((A603)-(c_TMAP3IN))*((1000)-(c_TMAP3OUT))+IF(((1000)-(c_TMAP3OUT))&gt;=0,1,-1)*QUOTIENT(((1000)-(c_TMAP3IN)),2))+2147483648,4294967296)-2147483648,((1000)-(c_TMAP3IN))*(((A603)-(c_TMAP3IN))*((1000)-(c_TMAP3OUT))+IF(((1000)-(c_TMAP3OUT))&gt;=0,1,-1)*QUOTIENT(((1000)-(c_TMAP3IN)),2)))&gt;=0,1,0)))</f>
        <v>505</v>
      </c>
      <c r="H603" s="7" t="str">
        <f aca="false">IF(A603&gt;=c_TFWD,IF(AND(A603&gt;=c_TMAP3IN,c_TMAP3IN&lt;1000),"Seg4 map3-100%",IF(AND(A603&gt;=c_TMAP2IN,c_TMAP3IN&gt;c_TMAP2IN),"Seg3 map2-map3",IF(AND(A603&gt;=c_TMAP1IN,c_TMAP2IN&gt;c_TMAP1IN),"Seg2 map1-map2","Seg1 TFWD-map1"))),IF(AND(A603=0,c_TCREEP&gt;0),"Creep",IF(AND(A603&lt;=c_TRNGMIN,A603&gt;=c_TRNGMAX,c_TRNGMIN-c_TRNGMAX&lt;&gt;0),"Regen ramp","Coast (0)")))</f>
        <v>Seg4 map3-100%</v>
      </c>
      <c r="I603" s="7" t="n">
        <f aca="false">IF(A603&gt;=c_TFWD,IF(AND(A603&gt;=c_TMAP3IN,c_TMAP3IN&lt;1000),G603,IF(AND(A603&gt;=c_TMAP2IN,c_TMAP3IN&gt;c_TMAP2IN),F603,IF(AND(A603&gt;=c_TMAP1IN,c_TMAP2IN&gt;c_TMAP1IN),E603,D603))),C603)</f>
        <v>505</v>
      </c>
      <c r="J603" s="7" t="str">
        <f aca="false">IF(I603&lt;-1090,"TOO LOW",IF(I603&gt;1090,"TOO HIGH",""))</f>
        <v/>
      </c>
      <c r="K603" s="15" t="n">
        <f aca="false">IF(J603&lt;&gt;"",0,IF(I603&gt;979,1000,I603))</f>
        <v>505</v>
      </c>
      <c r="L603" s="7" t="n">
        <f aca="false">K603/10</f>
        <v>50.5</v>
      </c>
    </row>
    <row r="604" customFormat="false" ht="15" hidden="false" customHeight="false" outlineLevel="0" collapsed="false">
      <c r="A604" s="7" t="n">
        <v>599</v>
      </c>
      <c r="B604" s="7" t="n">
        <f aca="false">A604/10</f>
        <v>59.9</v>
      </c>
      <c r="C604" s="7" t="n">
        <f aca="false">IF(AND(A604=0,c_TCREEP&gt;0),10*c_TCREEP,IF(AND(A604&lt;=c_TRNGMIN,A604&gt;=c_TRNGMAX,c_TRNGMIN-c_TRNGMAX&lt;&gt;0),-10*c_TMINRN+QUOTIENT((c_TMAXRN-c_TMINRN)*(100-QUOTIENT((A604-c_TRNGMAX)*100,c_TRNGMIN-c_TRNGMAX)),-10),0))</f>
        <v>0</v>
      </c>
      <c r="D604" s="7" t="n">
        <f aca="false">IF(((c_TMAP1IN)-(c_TFWD))=0,(0)+QUOTIENT(((c_TMAP1OUT)-(0)),2),QUOTIENT((((A604)-(c_TFWD))*((c_TMAP1OUT)-(0))+IF(((c_TMAP1OUT)-(0))&gt;=0,1,-1)*QUOTIENT(((c_TMAP1IN)-(c_TFWD)),2)),((c_TMAP1IN)-(c_TFWD)))+(0)+IF(((c_TMAP1OUT)-(0))&gt;=0,IF(IF(o_WRAP=1,MOD(((c_TMAP1IN)-(c_TFWD))*(((A604)-(c_TFWD))*((c_TMAP1OUT)-(0))+IF(((c_TMAP1OUT)-(0))&gt;=0,1,-1)*QUOTIENT(((c_TMAP1IN)-(c_TFWD)),2))+2147483648,4294967296)-2147483648,((c_TMAP1IN)-(c_TFWD))*(((A604)-(c_TFWD))*((c_TMAP1OUT)-(0))+IF(((c_TMAP1OUT)-(0))&gt;=0,1,-1)*QUOTIENT(((c_TMAP1IN)-(c_TFWD)),2)))&lt;0,-1,0),IF(IF(o_WRAP=1,MOD(((c_TMAP1IN)-(c_TFWD))*(((A604)-(c_TFWD))*((c_TMAP1OUT)-(0))+IF(((c_TMAP1OUT)-(0))&gt;=0,1,-1)*QUOTIENT(((c_TMAP1IN)-(c_TFWD)),2))+2147483648,4294967296)-2147483648,((c_TMAP1IN)-(c_TFWD))*(((A604)-(c_TFWD))*((c_TMAP1OUT)-(0))+IF(((c_TMAP1OUT)-(0))&gt;=0,1,-1)*QUOTIENT(((c_TMAP1IN)-(c_TFWD)),2)))&gt;=0,1,0)))</f>
        <v>458</v>
      </c>
      <c r="E604" s="7" t="n">
        <f aca="false">IF(((c_TMAP2IN)-(c_TMAP1IN))=0,(c_TMAP1OUT)+QUOTIENT(((c_TMAP2OUT)-(c_TMAP1OUT)),2),QUOTIENT((((A604)-(c_TMAP1IN))*((c_TMAP2OUT)-(c_TMAP1OUT))+IF(((c_TMAP2OUT)-(c_TMAP1OUT))&gt;=0,1,-1)*QUOTIENT(((c_TMAP2IN)-(c_TMAP1IN)),2)),((c_TMAP2IN)-(c_TMAP1IN)))+(c_TMAP1OUT)+IF(((c_TMAP2OUT)-(c_TMAP1OUT))&gt;=0,IF(IF(o_WRAP=1,MOD(((c_TMAP2IN)-(c_TMAP1IN))*(((A604)-(c_TMAP1IN))*((c_TMAP2OUT)-(c_TMAP1OUT))+IF(((c_TMAP2OUT)-(c_TMAP1OUT))&gt;=0,1,-1)*QUOTIENT(((c_TMAP2IN)-(c_TMAP1IN)),2))+2147483648,4294967296)-2147483648,((c_TMAP2IN)-(c_TMAP1IN))*(((A604)-(c_TMAP1IN))*((c_TMAP2OUT)-(c_TMAP1OUT))+IF(((c_TMAP2OUT)-(c_TMAP1OUT))&gt;=0,1,-1)*QUOTIENT(((c_TMAP2IN)-(c_TMAP1IN)),2)))&lt;0,-1,0),IF(IF(o_WRAP=1,MOD(((c_TMAP2IN)-(c_TMAP1IN))*(((A604)-(c_TMAP1IN))*((c_TMAP2OUT)-(c_TMAP1OUT))+IF(((c_TMAP2OUT)-(c_TMAP1OUT))&gt;=0,1,-1)*QUOTIENT(((c_TMAP2IN)-(c_TMAP1IN)),2))+2147483648,4294967296)-2147483648,((c_TMAP2IN)-(c_TMAP1IN))*(((A604)-(c_TMAP1IN))*((c_TMAP2OUT)-(c_TMAP1OUT))+IF(((c_TMAP2OUT)-(c_TMAP1OUT))&gt;=0,1,-1)*QUOTIENT(((c_TMAP2IN)-(c_TMAP1IN)),2)))&gt;=0,1,0)))</f>
        <v>270</v>
      </c>
      <c r="F604" s="7" t="n">
        <f aca="false">IF(((c_TMAP3IN)-(c_TMAP2IN))=0,(c_TMAP2OUT)+QUOTIENT(((c_TMAP3OUT)-(c_TMAP2OUT)),2),QUOTIENT((((A604)-(c_TMAP2IN))*((c_TMAP3OUT)-(c_TMAP2OUT))+IF(((c_TMAP3OUT)-(c_TMAP2OUT))&gt;=0,1,-1)*QUOTIENT(((c_TMAP3IN)-(c_TMAP2IN)),2)),((c_TMAP3IN)-(c_TMAP2IN)))+(c_TMAP2OUT)+IF(((c_TMAP3OUT)-(c_TMAP2OUT))&gt;=0,IF(IF(o_WRAP=1,MOD(((c_TMAP3IN)-(c_TMAP2IN))*(((A604)-(c_TMAP2IN))*((c_TMAP3OUT)-(c_TMAP2OUT))+IF(((c_TMAP3OUT)-(c_TMAP2OUT))&gt;=0,1,-1)*QUOTIENT(((c_TMAP3IN)-(c_TMAP2IN)),2))+2147483648,4294967296)-2147483648,((c_TMAP3IN)-(c_TMAP2IN))*(((A604)-(c_TMAP2IN))*((c_TMAP3OUT)-(c_TMAP2OUT))+IF(((c_TMAP3OUT)-(c_TMAP2OUT))&gt;=0,1,-1)*QUOTIENT(((c_TMAP3IN)-(c_TMAP2IN)),2)))&lt;0,-1,0),IF(IF(o_WRAP=1,MOD(((c_TMAP3IN)-(c_TMAP2IN))*(((A604)-(c_TMAP2IN))*((c_TMAP3OUT)-(c_TMAP2OUT))+IF(((c_TMAP3OUT)-(c_TMAP2OUT))&gt;=0,1,-1)*QUOTIENT(((c_TMAP3IN)-(c_TMAP2IN)),2))+2147483648,4294967296)-2147483648,((c_TMAP3IN)-(c_TMAP2IN))*(((A604)-(c_TMAP2IN))*((c_TMAP3OUT)-(c_TMAP2OUT))+IF(((c_TMAP3OUT)-(c_TMAP2OUT))&gt;=0,1,-1)*QUOTIENT(((c_TMAP3IN)-(c_TMAP2IN)),2)))&gt;=0,1,0)))</f>
        <v>374</v>
      </c>
      <c r="G604" s="7" t="n">
        <f aca="false">IF(((1000)-(c_TMAP3IN))=0,(c_TMAP3OUT)+QUOTIENT(((1000)-(c_TMAP3OUT)),2),QUOTIENT((((A604)-(c_TMAP3IN))*((1000)-(c_TMAP3OUT))+IF(((1000)-(c_TMAP3OUT))&gt;=0,1,-1)*QUOTIENT(((1000)-(c_TMAP3IN)),2)),((1000)-(c_TMAP3IN)))+(c_TMAP3OUT)+IF(((1000)-(c_TMAP3OUT))&gt;=0,IF(IF(o_WRAP=1,MOD(((1000)-(c_TMAP3IN))*(((A604)-(c_TMAP3IN))*((1000)-(c_TMAP3OUT))+IF(((1000)-(c_TMAP3OUT))&gt;=0,1,-1)*QUOTIENT(((1000)-(c_TMAP3IN)),2))+2147483648,4294967296)-2147483648,((1000)-(c_TMAP3IN))*(((A604)-(c_TMAP3IN))*((1000)-(c_TMAP3OUT))+IF(((1000)-(c_TMAP3OUT))&gt;=0,1,-1)*QUOTIENT(((1000)-(c_TMAP3IN)),2)))&lt;0,-1,0),IF(IF(o_WRAP=1,MOD(((1000)-(c_TMAP3IN))*(((A604)-(c_TMAP3IN))*((1000)-(c_TMAP3OUT))+IF(((1000)-(c_TMAP3OUT))&gt;=0,1,-1)*QUOTIENT(((1000)-(c_TMAP3IN)),2))+2147483648,4294967296)-2147483648,((1000)-(c_TMAP3IN))*(((A604)-(c_TMAP3IN))*((1000)-(c_TMAP3OUT))+IF(((1000)-(c_TMAP3OUT))&gt;=0,1,-1)*QUOTIENT(((1000)-(c_TMAP3IN)),2)))&gt;=0,1,0)))</f>
        <v>506</v>
      </c>
      <c r="H604" s="7" t="str">
        <f aca="false">IF(A604&gt;=c_TFWD,IF(AND(A604&gt;=c_TMAP3IN,c_TMAP3IN&lt;1000),"Seg4 map3-100%",IF(AND(A604&gt;=c_TMAP2IN,c_TMAP3IN&gt;c_TMAP2IN),"Seg3 map2-map3",IF(AND(A604&gt;=c_TMAP1IN,c_TMAP2IN&gt;c_TMAP1IN),"Seg2 map1-map2","Seg1 TFWD-map1"))),IF(AND(A604=0,c_TCREEP&gt;0),"Creep",IF(AND(A604&lt;=c_TRNGMIN,A604&gt;=c_TRNGMAX,c_TRNGMIN-c_TRNGMAX&lt;&gt;0),"Regen ramp","Coast (0)")))</f>
        <v>Seg4 map3-100%</v>
      </c>
      <c r="I604" s="7" t="n">
        <f aca="false">IF(A604&gt;=c_TFWD,IF(AND(A604&gt;=c_TMAP3IN,c_TMAP3IN&lt;1000),G604,IF(AND(A604&gt;=c_TMAP2IN,c_TMAP3IN&gt;c_TMAP2IN),F604,IF(AND(A604&gt;=c_TMAP1IN,c_TMAP2IN&gt;c_TMAP1IN),E604,D604))),C604)</f>
        <v>506</v>
      </c>
      <c r="J604" s="7" t="str">
        <f aca="false">IF(I604&lt;-1090,"TOO LOW",IF(I604&gt;1090,"TOO HIGH",""))</f>
        <v/>
      </c>
      <c r="K604" s="15" t="n">
        <f aca="false">IF(J604&lt;&gt;"",0,IF(I604&gt;979,1000,I604))</f>
        <v>506</v>
      </c>
      <c r="L604" s="7" t="n">
        <f aca="false">K604/10</f>
        <v>50.6</v>
      </c>
    </row>
    <row r="605" customFormat="false" ht="15" hidden="false" customHeight="false" outlineLevel="0" collapsed="false">
      <c r="A605" s="7" t="n">
        <v>600</v>
      </c>
      <c r="B605" s="7" t="n">
        <f aca="false">A605/10</f>
        <v>60</v>
      </c>
      <c r="C605" s="7" t="n">
        <f aca="false">IF(AND(A605=0,c_TCREEP&gt;0),10*c_TCREEP,IF(AND(A605&lt;=c_TRNGMIN,A605&gt;=c_TRNGMAX,c_TRNGMIN-c_TRNGMAX&lt;&gt;0),-10*c_TMINRN+QUOTIENT((c_TMAXRN-c_TMINRN)*(100-QUOTIENT((A605-c_TRNGMAX)*100,c_TRNGMIN-c_TRNGMAX)),-10),0))</f>
        <v>0</v>
      </c>
      <c r="D605" s="7" t="n">
        <f aca="false">IF(((c_TMAP1IN)-(c_TFWD))=0,(0)+QUOTIENT(((c_TMAP1OUT)-(0)),2),QUOTIENT((((A605)-(c_TFWD))*((c_TMAP1OUT)-(0))+IF(((c_TMAP1OUT)-(0))&gt;=0,1,-1)*QUOTIENT(((c_TMAP1IN)-(c_TFWD)),2)),((c_TMAP1IN)-(c_TFWD)))+(0)+IF(((c_TMAP1OUT)-(0))&gt;=0,IF(IF(o_WRAP=1,MOD(((c_TMAP1IN)-(c_TFWD))*(((A605)-(c_TFWD))*((c_TMAP1OUT)-(0))+IF(((c_TMAP1OUT)-(0))&gt;=0,1,-1)*QUOTIENT(((c_TMAP1IN)-(c_TFWD)),2))+2147483648,4294967296)-2147483648,((c_TMAP1IN)-(c_TFWD))*(((A605)-(c_TFWD))*((c_TMAP1OUT)-(0))+IF(((c_TMAP1OUT)-(0))&gt;=0,1,-1)*QUOTIENT(((c_TMAP1IN)-(c_TFWD)),2)))&lt;0,-1,0),IF(IF(o_WRAP=1,MOD(((c_TMAP1IN)-(c_TFWD))*(((A605)-(c_TFWD))*((c_TMAP1OUT)-(0))+IF(((c_TMAP1OUT)-(0))&gt;=0,1,-1)*QUOTIENT(((c_TMAP1IN)-(c_TFWD)),2))+2147483648,4294967296)-2147483648,((c_TMAP1IN)-(c_TFWD))*(((A605)-(c_TFWD))*((c_TMAP1OUT)-(0))+IF(((c_TMAP1OUT)-(0))&gt;=0,1,-1)*QUOTIENT(((c_TMAP1IN)-(c_TFWD)),2)))&gt;=0,1,0)))</f>
        <v>459</v>
      </c>
      <c r="E605" s="7" t="n">
        <f aca="false">IF(((c_TMAP2IN)-(c_TMAP1IN))=0,(c_TMAP1OUT)+QUOTIENT(((c_TMAP2OUT)-(c_TMAP1OUT)),2),QUOTIENT((((A605)-(c_TMAP1IN))*((c_TMAP2OUT)-(c_TMAP1OUT))+IF(((c_TMAP2OUT)-(c_TMAP1OUT))&gt;=0,1,-1)*QUOTIENT(((c_TMAP2IN)-(c_TMAP1IN)),2)),((c_TMAP2IN)-(c_TMAP1IN)))+(c_TMAP1OUT)+IF(((c_TMAP2OUT)-(c_TMAP1OUT))&gt;=0,IF(IF(o_WRAP=1,MOD(((c_TMAP2IN)-(c_TMAP1IN))*(((A605)-(c_TMAP1IN))*((c_TMAP2OUT)-(c_TMAP1OUT))+IF(((c_TMAP2OUT)-(c_TMAP1OUT))&gt;=0,1,-1)*QUOTIENT(((c_TMAP2IN)-(c_TMAP1IN)),2))+2147483648,4294967296)-2147483648,((c_TMAP2IN)-(c_TMAP1IN))*(((A605)-(c_TMAP1IN))*((c_TMAP2OUT)-(c_TMAP1OUT))+IF(((c_TMAP2OUT)-(c_TMAP1OUT))&gt;=0,1,-1)*QUOTIENT(((c_TMAP2IN)-(c_TMAP1IN)),2)))&lt;0,-1,0),IF(IF(o_WRAP=1,MOD(((c_TMAP2IN)-(c_TMAP1IN))*(((A605)-(c_TMAP1IN))*((c_TMAP2OUT)-(c_TMAP1OUT))+IF(((c_TMAP2OUT)-(c_TMAP1OUT))&gt;=0,1,-1)*QUOTIENT(((c_TMAP2IN)-(c_TMAP1IN)),2))+2147483648,4294967296)-2147483648,((c_TMAP2IN)-(c_TMAP1IN))*(((A605)-(c_TMAP1IN))*((c_TMAP2OUT)-(c_TMAP1OUT))+IF(((c_TMAP2OUT)-(c_TMAP1OUT))&gt;=0,1,-1)*QUOTIENT(((c_TMAP2IN)-(c_TMAP1IN)),2)))&gt;=0,1,0)))</f>
        <v>270</v>
      </c>
      <c r="F605" s="7" t="n">
        <f aca="false">IF(((c_TMAP3IN)-(c_TMAP2IN))=0,(c_TMAP2OUT)+QUOTIENT(((c_TMAP3OUT)-(c_TMAP2OUT)),2),QUOTIENT((((A605)-(c_TMAP2IN))*((c_TMAP3OUT)-(c_TMAP2OUT))+IF(((c_TMAP3OUT)-(c_TMAP2OUT))&gt;=0,1,-1)*QUOTIENT(((c_TMAP3IN)-(c_TMAP2IN)),2)),((c_TMAP3IN)-(c_TMAP2IN)))+(c_TMAP2OUT)+IF(((c_TMAP3OUT)-(c_TMAP2OUT))&gt;=0,IF(IF(o_WRAP=1,MOD(((c_TMAP3IN)-(c_TMAP2IN))*(((A605)-(c_TMAP2IN))*((c_TMAP3OUT)-(c_TMAP2OUT))+IF(((c_TMAP3OUT)-(c_TMAP2OUT))&gt;=0,1,-1)*QUOTIENT(((c_TMAP3IN)-(c_TMAP2IN)),2))+2147483648,4294967296)-2147483648,((c_TMAP3IN)-(c_TMAP2IN))*(((A605)-(c_TMAP2IN))*((c_TMAP3OUT)-(c_TMAP2OUT))+IF(((c_TMAP3OUT)-(c_TMAP2OUT))&gt;=0,1,-1)*QUOTIENT(((c_TMAP3IN)-(c_TMAP2IN)),2)))&lt;0,-1,0),IF(IF(o_WRAP=1,MOD(((c_TMAP3IN)-(c_TMAP2IN))*(((A605)-(c_TMAP2IN))*((c_TMAP3OUT)-(c_TMAP2OUT))+IF(((c_TMAP3OUT)-(c_TMAP2OUT))&gt;=0,1,-1)*QUOTIENT(((c_TMAP3IN)-(c_TMAP2IN)),2))+2147483648,4294967296)-2147483648,((c_TMAP3IN)-(c_TMAP2IN))*(((A605)-(c_TMAP2IN))*((c_TMAP3OUT)-(c_TMAP2OUT))+IF(((c_TMAP3OUT)-(c_TMAP2OUT))&gt;=0,1,-1)*QUOTIENT(((c_TMAP3IN)-(c_TMAP2IN)),2)))&gt;=0,1,0)))</f>
        <v>375</v>
      </c>
      <c r="G605" s="7" t="n">
        <f aca="false">IF(((1000)-(c_TMAP3IN))=0,(c_TMAP3OUT)+QUOTIENT(((1000)-(c_TMAP3OUT)),2),QUOTIENT((((A605)-(c_TMAP3IN))*((1000)-(c_TMAP3OUT))+IF(((1000)-(c_TMAP3OUT))&gt;=0,1,-1)*QUOTIENT(((1000)-(c_TMAP3IN)),2)),((1000)-(c_TMAP3IN)))+(c_TMAP3OUT)+IF(((1000)-(c_TMAP3OUT))&gt;=0,IF(IF(o_WRAP=1,MOD(((1000)-(c_TMAP3IN))*(((A605)-(c_TMAP3IN))*((1000)-(c_TMAP3OUT))+IF(((1000)-(c_TMAP3OUT))&gt;=0,1,-1)*QUOTIENT(((1000)-(c_TMAP3IN)),2))+2147483648,4294967296)-2147483648,((1000)-(c_TMAP3IN))*(((A605)-(c_TMAP3IN))*((1000)-(c_TMAP3OUT))+IF(((1000)-(c_TMAP3OUT))&gt;=0,1,-1)*QUOTIENT(((1000)-(c_TMAP3IN)),2)))&lt;0,-1,0),IF(IF(o_WRAP=1,MOD(((1000)-(c_TMAP3IN))*(((A605)-(c_TMAP3IN))*((1000)-(c_TMAP3OUT))+IF(((1000)-(c_TMAP3OUT))&gt;=0,1,-1)*QUOTIENT(((1000)-(c_TMAP3IN)),2))+2147483648,4294967296)-2147483648,((1000)-(c_TMAP3IN))*(((A605)-(c_TMAP3IN))*((1000)-(c_TMAP3OUT))+IF(((1000)-(c_TMAP3OUT))&gt;=0,1,-1)*QUOTIENT(((1000)-(c_TMAP3IN)),2)))&gt;=0,1,0)))</f>
        <v>508</v>
      </c>
      <c r="H605" s="7" t="str">
        <f aca="false">IF(A605&gt;=c_TFWD,IF(AND(A605&gt;=c_TMAP3IN,c_TMAP3IN&lt;1000),"Seg4 map3-100%",IF(AND(A605&gt;=c_TMAP2IN,c_TMAP3IN&gt;c_TMAP2IN),"Seg3 map2-map3",IF(AND(A605&gt;=c_TMAP1IN,c_TMAP2IN&gt;c_TMAP1IN),"Seg2 map1-map2","Seg1 TFWD-map1"))),IF(AND(A605=0,c_TCREEP&gt;0),"Creep",IF(AND(A605&lt;=c_TRNGMIN,A605&gt;=c_TRNGMAX,c_TRNGMIN-c_TRNGMAX&lt;&gt;0),"Regen ramp","Coast (0)")))</f>
        <v>Seg4 map3-100%</v>
      </c>
      <c r="I605" s="7" t="n">
        <f aca="false">IF(A605&gt;=c_TFWD,IF(AND(A605&gt;=c_TMAP3IN,c_TMAP3IN&lt;1000),G605,IF(AND(A605&gt;=c_TMAP2IN,c_TMAP3IN&gt;c_TMAP2IN),F605,IF(AND(A605&gt;=c_TMAP1IN,c_TMAP2IN&gt;c_TMAP1IN),E605,D605))),C605)</f>
        <v>508</v>
      </c>
      <c r="J605" s="7" t="str">
        <f aca="false">IF(I605&lt;-1090,"TOO LOW",IF(I605&gt;1090,"TOO HIGH",""))</f>
        <v/>
      </c>
      <c r="K605" s="15" t="n">
        <f aca="false">IF(J605&lt;&gt;"",0,IF(I605&gt;979,1000,I605))</f>
        <v>508</v>
      </c>
      <c r="L605" s="7" t="n">
        <f aca="false">K605/10</f>
        <v>50.8</v>
      </c>
    </row>
    <row r="606" customFormat="false" ht="15" hidden="false" customHeight="false" outlineLevel="0" collapsed="false">
      <c r="A606" s="7" t="n">
        <v>601</v>
      </c>
      <c r="B606" s="7" t="n">
        <f aca="false">A606/10</f>
        <v>60.1</v>
      </c>
      <c r="C606" s="7" t="n">
        <f aca="false">IF(AND(A606=0,c_TCREEP&gt;0),10*c_TCREEP,IF(AND(A606&lt;=c_TRNGMIN,A606&gt;=c_TRNGMAX,c_TRNGMIN-c_TRNGMAX&lt;&gt;0),-10*c_TMINRN+QUOTIENT((c_TMAXRN-c_TMINRN)*(100-QUOTIENT((A606-c_TRNGMAX)*100,c_TRNGMIN-c_TRNGMAX)),-10),0))</f>
        <v>0</v>
      </c>
      <c r="D606" s="7" t="n">
        <f aca="false">IF(((c_TMAP1IN)-(c_TFWD))=0,(0)+QUOTIENT(((c_TMAP1OUT)-(0)),2),QUOTIENT((((A606)-(c_TFWD))*((c_TMAP1OUT)-(0))+IF(((c_TMAP1OUT)-(0))&gt;=0,1,-1)*QUOTIENT(((c_TMAP1IN)-(c_TFWD)),2)),((c_TMAP1IN)-(c_TFWD)))+(0)+IF(((c_TMAP1OUT)-(0))&gt;=0,IF(IF(o_WRAP=1,MOD(((c_TMAP1IN)-(c_TFWD))*(((A606)-(c_TFWD))*((c_TMAP1OUT)-(0))+IF(((c_TMAP1OUT)-(0))&gt;=0,1,-1)*QUOTIENT(((c_TMAP1IN)-(c_TFWD)),2))+2147483648,4294967296)-2147483648,((c_TMAP1IN)-(c_TFWD))*(((A606)-(c_TFWD))*((c_TMAP1OUT)-(0))+IF(((c_TMAP1OUT)-(0))&gt;=0,1,-1)*QUOTIENT(((c_TMAP1IN)-(c_TFWD)),2)))&lt;0,-1,0),IF(IF(o_WRAP=1,MOD(((c_TMAP1IN)-(c_TFWD))*(((A606)-(c_TFWD))*((c_TMAP1OUT)-(0))+IF(((c_TMAP1OUT)-(0))&gt;=0,1,-1)*QUOTIENT(((c_TMAP1IN)-(c_TFWD)),2))+2147483648,4294967296)-2147483648,((c_TMAP1IN)-(c_TFWD))*(((A606)-(c_TFWD))*((c_TMAP1OUT)-(0))+IF(((c_TMAP1OUT)-(0))&gt;=0,1,-1)*QUOTIENT(((c_TMAP1IN)-(c_TFWD)),2)))&gt;=0,1,0)))</f>
        <v>460</v>
      </c>
      <c r="E606" s="7" t="n">
        <f aca="false">IF(((c_TMAP2IN)-(c_TMAP1IN))=0,(c_TMAP1OUT)+QUOTIENT(((c_TMAP2OUT)-(c_TMAP1OUT)),2),QUOTIENT((((A606)-(c_TMAP1IN))*((c_TMAP2OUT)-(c_TMAP1OUT))+IF(((c_TMAP2OUT)-(c_TMAP1OUT))&gt;=0,1,-1)*QUOTIENT(((c_TMAP2IN)-(c_TMAP1IN)),2)),((c_TMAP2IN)-(c_TMAP1IN)))+(c_TMAP1OUT)+IF(((c_TMAP2OUT)-(c_TMAP1OUT))&gt;=0,IF(IF(o_WRAP=1,MOD(((c_TMAP2IN)-(c_TMAP1IN))*(((A606)-(c_TMAP1IN))*((c_TMAP2OUT)-(c_TMAP1OUT))+IF(((c_TMAP2OUT)-(c_TMAP1OUT))&gt;=0,1,-1)*QUOTIENT(((c_TMAP2IN)-(c_TMAP1IN)),2))+2147483648,4294967296)-2147483648,((c_TMAP2IN)-(c_TMAP1IN))*(((A606)-(c_TMAP1IN))*((c_TMAP2OUT)-(c_TMAP1OUT))+IF(((c_TMAP2OUT)-(c_TMAP1OUT))&gt;=0,1,-1)*QUOTIENT(((c_TMAP2IN)-(c_TMAP1IN)),2)))&lt;0,-1,0),IF(IF(o_WRAP=1,MOD(((c_TMAP2IN)-(c_TMAP1IN))*(((A606)-(c_TMAP1IN))*((c_TMAP2OUT)-(c_TMAP1OUT))+IF(((c_TMAP2OUT)-(c_TMAP1OUT))&gt;=0,1,-1)*QUOTIENT(((c_TMAP2IN)-(c_TMAP1IN)),2))+2147483648,4294967296)-2147483648,((c_TMAP2IN)-(c_TMAP1IN))*(((A606)-(c_TMAP1IN))*((c_TMAP2OUT)-(c_TMAP1OUT))+IF(((c_TMAP2OUT)-(c_TMAP1OUT))&gt;=0,1,-1)*QUOTIENT(((c_TMAP2IN)-(c_TMAP1IN)),2)))&gt;=0,1,0)))</f>
        <v>270</v>
      </c>
      <c r="F606" s="7" t="n">
        <f aca="false">IF(((c_TMAP3IN)-(c_TMAP2IN))=0,(c_TMAP2OUT)+QUOTIENT(((c_TMAP3OUT)-(c_TMAP2OUT)),2),QUOTIENT((((A606)-(c_TMAP2IN))*((c_TMAP3OUT)-(c_TMAP2OUT))+IF(((c_TMAP3OUT)-(c_TMAP2OUT))&gt;=0,1,-1)*QUOTIENT(((c_TMAP3IN)-(c_TMAP2IN)),2)),((c_TMAP3IN)-(c_TMAP2IN)))+(c_TMAP2OUT)+IF(((c_TMAP3OUT)-(c_TMAP2OUT))&gt;=0,IF(IF(o_WRAP=1,MOD(((c_TMAP3IN)-(c_TMAP2IN))*(((A606)-(c_TMAP2IN))*((c_TMAP3OUT)-(c_TMAP2OUT))+IF(((c_TMAP3OUT)-(c_TMAP2OUT))&gt;=0,1,-1)*QUOTIENT(((c_TMAP3IN)-(c_TMAP2IN)),2))+2147483648,4294967296)-2147483648,((c_TMAP3IN)-(c_TMAP2IN))*(((A606)-(c_TMAP2IN))*((c_TMAP3OUT)-(c_TMAP2OUT))+IF(((c_TMAP3OUT)-(c_TMAP2OUT))&gt;=0,1,-1)*QUOTIENT(((c_TMAP3IN)-(c_TMAP2IN)),2)))&lt;0,-1,0),IF(IF(o_WRAP=1,MOD(((c_TMAP3IN)-(c_TMAP2IN))*(((A606)-(c_TMAP2IN))*((c_TMAP3OUT)-(c_TMAP2OUT))+IF(((c_TMAP3OUT)-(c_TMAP2OUT))&gt;=0,1,-1)*QUOTIENT(((c_TMAP3IN)-(c_TMAP2IN)),2))+2147483648,4294967296)-2147483648,((c_TMAP3IN)-(c_TMAP2IN))*(((A606)-(c_TMAP2IN))*((c_TMAP3OUT)-(c_TMAP2OUT))+IF(((c_TMAP3OUT)-(c_TMAP2OUT))&gt;=0,1,-1)*QUOTIENT(((c_TMAP3IN)-(c_TMAP2IN)),2)))&gt;=0,1,0)))</f>
        <v>376</v>
      </c>
      <c r="G606" s="7" t="n">
        <f aca="false">IF(((1000)-(c_TMAP3IN))=0,(c_TMAP3OUT)+QUOTIENT(((1000)-(c_TMAP3OUT)),2),QUOTIENT((((A606)-(c_TMAP3IN))*((1000)-(c_TMAP3OUT))+IF(((1000)-(c_TMAP3OUT))&gt;=0,1,-1)*QUOTIENT(((1000)-(c_TMAP3IN)),2)),((1000)-(c_TMAP3IN)))+(c_TMAP3OUT)+IF(((1000)-(c_TMAP3OUT))&gt;=0,IF(IF(o_WRAP=1,MOD(((1000)-(c_TMAP3IN))*(((A606)-(c_TMAP3IN))*((1000)-(c_TMAP3OUT))+IF(((1000)-(c_TMAP3OUT))&gt;=0,1,-1)*QUOTIENT(((1000)-(c_TMAP3IN)),2))+2147483648,4294967296)-2147483648,((1000)-(c_TMAP3IN))*(((A606)-(c_TMAP3IN))*((1000)-(c_TMAP3OUT))+IF(((1000)-(c_TMAP3OUT))&gt;=0,1,-1)*QUOTIENT(((1000)-(c_TMAP3IN)),2)))&lt;0,-1,0),IF(IF(o_WRAP=1,MOD(((1000)-(c_TMAP3IN))*(((A606)-(c_TMAP3IN))*((1000)-(c_TMAP3OUT))+IF(((1000)-(c_TMAP3OUT))&gt;=0,1,-1)*QUOTIENT(((1000)-(c_TMAP3IN)),2))+2147483648,4294967296)-2147483648,((1000)-(c_TMAP3IN))*(((A606)-(c_TMAP3IN))*((1000)-(c_TMAP3OUT))+IF(((1000)-(c_TMAP3OUT))&gt;=0,1,-1)*QUOTIENT(((1000)-(c_TMAP3IN)),2)))&gt;=0,1,0)))</f>
        <v>509</v>
      </c>
      <c r="H606" s="7" t="str">
        <f aca="false">IF(A606&gt;=c_TFWD,IF(AND(A606&gt;=c_TMAP3IN,c_TMAP3IN&lt;1000),"Seg4 map3-100%",IF(AND(A606&gt;=c_TMAP2IN,c_TMAP3IN&gt;c_TMAP2IN),"Seg3 map2-map3",IF(AND(A606&gt;=c_TMAP1IN,c_TMAP2IN&gt;c_TMAP1IN),"Seg2 map1-map2","Seg1 TFWD-map1"))),IF(AND(A606=0,c_TCREEP&gt;0),"Creep",IF(AND(A606&lt;=c_TRNGMIN,A606&gt;=c_TRNGMAX,c_TRNGMIN-c_TRNGMAX&lt;&gt;0),"Regen ramp","Coast (0)")))</f>
        <v>Seg4 map3-100%</v>
      </c>
      <c r="I606" s="7" t="n">
        <f aca="false">IF(A606&gt;=c_TFWD,IF(AND(A606&gt;=c_TMAP3IN,c_TMAP3IN&lt;1000),G606,IF(AND(A606&gt;=c_TMAP2IN,c_TMAP3IN&gt;c_TMAP2IN),F606,IF(AND(A606&gt;=c_TMAP1IN,c_TMAP2IN&gt;c_TMAP1IN),E606,D606))),C606)</f>
        <v>509</v>
      </c>
      <c r="J606" s="7" t="str">
        <f aca="false">IF(I606&lt;-1090,"TOO LOW",IF(I606&gt;1090,"TOO HIGH",""))</f>
        <v/>
      </c>
      <c r="K606" s="15" t="n">
        <f aca="false">IF(J606&lt;&gt;"",0,IF(I606&gt;979,1000,I606))</f>
        <v>509</v>
      </c>
      <c r="L606" s="7" t="n">
        <f aca="false">K606/10</f>
        <v>50.9</v>
      </c>
    </row>
    <row r="607" customFormat="false" ht="15" hidden="false" customHeight="false" outlineLevel="0" collapsed="false">
      <c r="A607" s="7" t="n">
        <v>602</v>
      </c>
      <c r="B607" s="7" t="n">
        <f aca="false">A607/10</f>
        <v>60.2</v>
      </c>
      <c r="C607" s="7" t="n">
        <f aca="false">IF(AND(A607=0,c_TCREEP&gt;0),10*c_TCREEP,IF(AND(A607&lt;=c_TRNGMIN,A607&gt;=c_TRNGMAX,c_TRNGMIN-c_TRNGMAX&lt;&gt;0),-10*c_TMINRN+QUOTIENT((c_TMAXRN-c_TMINRN)*(100-QUOTIENT((A607-c_TRNGMAX)*100,c_TRNGMIN-c_TRNGMAX)),-10),0))</f>
        <v>0</v>
      </c>
      <c r="D607" s="7" t="n">
        <f aca="false">IF(((c_TMAP1IN)-(c_TFWD))=0,(0)+QUOTIENT(((c_TMAP1OUT)-(0)),2),QUOTIENT((((A607)-(c_TFWD))*((c_TMAP1OUT)-(0))+IF(((c_TMAP1OUT)-(0))&gt;=0,1,-1)*QUOTIENT(((c_TMAP1IN)-(c_TFWD)),2)),((c_TMAP1IN)-(c_TFWD)))+(0)+IF(((c_TMAP1OUT)-(0))&gt;=0,IF(IF(o_WRAP=1,MOD(((c_TMAP1IN)-(c_TFWD))*(((A607)-(c_TFWD))*((c_TMAP1OUT)-(0))+IF(((c_TMAP1OUT)-(0))&gt;=0,1,-1)*QUOTIENT(((c_TMAP1IN)-(c_TFWD)),2))+2147483648,4294967296)-2147483648,((c_TMAP1IN)-(c_TFWD))*(((A607)-(c_TFWD))*((c_TMAP1OUT)-(0))+IF(((c_TMAP1OUT)-(0))&gt;=0,1,-1)*QUOTIENT(((c_TMAP1IN)-(c_TFWD)),2)))&lt;0,-1,0),IF(IF(o_WRAP=1,MOD(((c_TMAP1IN)-(c_TFWD))*(((A607)-(c_TFWD))*((c_TMAP1OUT)-(0))+IF(((c_TMAP1OUT)-(0))&gt;=0,1,-1)*QUOTIENT(((c_TMAP1IN)-(c_TFWD)),2))+2147483648,4294967296)-2147483648,((c_TMAP1IN)-(c_TFWD))*(((A607)-(c_TFWD))*((c_TMAP1OUT)-(0))+IF(((c_TMAP1OUT)-(0))&gt;=0,1,-1)*QUOTIENT(((c_TMAP1IN)-(c_TFWD)),2)))&gt;=0,1,0)))</f>
        <v>460</v>
      </c>
      <c r="E607" s="7" t="n">
        <f aca="false">IF(((c_TMAP2IN)-(c_TMAP1IN))=0,(c_TMAP1OUT)+QUOTIENT(((c_TMAP2OUT)-(c_TMAP1OUT)),2),QUOTIENT((((A607)-(c_TMAP1IN))*((c_TMAP2OUT)-(c_TMAP1OUT))+IF(((c_TMAP2OUT)-(c_TMAP1OUT))&gt;=0,1,-1)*QUOTIENT(((c_TMAP2IN)-(c_TMAP1IN)),2)),((c_TMAP2IN)-(c_TMAP1IN)))+(c_TMAP1OUT)+IF(((c_TMAP2OUT)-(c_TMAP1OUT))&gt;=0,IF(IF(o_WRAP=1,MOD(((c_TMAP2IN)-(c_TMAP1IN))*(((A607)-(c_TMAP1IN))*((c_TMAP2OUT)-(c_TMAP1OUT))+IF(((c_TMAP2OUT)-(c_TMAP1OUT))&gt;=0,1,-1)*QUOTIENT(((c_TMAP2IN)-(c_TMAP1IN)),2))+2147483648,4294967296)-2147483648,((c_TMAP2IN)-(c_TMAP1IN))*(((A607)-(c_TMAP1IN))*((c_TMAP2OUT)-(c_TMAP1OUT))+IF(((c_TMAP2OUT)-(c_TMAP1OUT))&gt;=0,1,-1)*QUOTIENT(((c_TMAP2IN)-(c_TMAP1IN)),2)))&lt;0,-1,0),IF(IF(o_WRAP=1,MOD(((c_TMAP2IN)-(c_TMAP1IN))*(((A607)-(c_TMAP1IN))*((c_TMAP2OUT)-(c_TMAP1OUT))+IF(((c_TMAP2OUT)-(c_TMAP1OUT))&gt;=0,1,-1)*QUOTIENT(((c_TMAP2IN)-(c_TMAP1IN)),2))+2147483648,4294967296)-2147483648,((c_TMAP2IN)-(c_TMAP1IN))*(((A607)-(c_TMAP1IN))*((c_TMAP2OUT)-(c_TMAP1OUT))+IF(((c_TMAP2OUT)-(c_TMAP1OUT))&gt;=0,1,-1)*QUOTIENT(((c_TMAP2IN)-(c_TMAP1IN)),2)))&gt;=0,1,0)))</f>
        <v>271</v>
      </c>
      <c r="F607" s="7" t="n">
        <f aca="false">IF(((c_TMAP3IN)-(c_TMAP2IN))=0,(c_TMAP2OUT)+QUOTIENT(((c_TMAP3OUT)-(c_TMAP2OUT)),2),QUOTIENT((((A607)-(c_TMAP2IN))*((c_TMAP3OUT)-(c_TMAP2OUT))+IF(((c_TMAP3OUT)-(c_TMAP2OUT))&gt;=0,1,-1)*QUOTIENT(((c_TMAP3IN)-(c_TMAP2IN)),2)),((c_TMAP3IN)-(c_TMAP2IN)))+(c_TMAP2OUT)+IF(((c_TMAP3OUT)-(c_TMAP2OUT))&gt;=0,IF(IF(o_WRAP=1,MOD(((c_TMAP3IN)-(c_TMAP2IN))*(((A607)-(c_TMAP2IN))*((c_TMAP3OUT)-(c_TMAP2OUT))+IF(((c_TMAP3OUT)-(c_TMAP2OUT))&gt;=0,1,-1)*QUOTIENT(((c_TMAP3IN)-(c_TMAP2IN)),2))+2147483648,4294967296)-2147483648,((c_TMAP3IN)-(c_TMAP2IN))*(((A607)-(c_TMAP2IN))*((c_TMAP3OUT)-(c_TMAP2OUT))+IF(((c_TMAP3OUT)-(c_TMAP2OUT))&gt;=0,1,-1)*QUOTIENT(((c_TMAP3IN)-(c_TMAP2IN)),2)))&lt;0,-1,0),IF(IF(o_WRAP=1,MOD(((c_TMAP3IN)-(c_TMAP2IN))*(((A607)-(c_TMAP2IN))*((c_TMAP3OUT)-(c_TMAP2OUT))+IF(((c_TMAP3OUT)-(c_TMAP2OUT))&gt;=0,1,-1)*QUOTIENT(((c_TMAP3IN)-(c_TMAP2IN)),2))+2147483648,4294967296)-2147483648,((c_TMAP3IN)-(c_TMAP2IN))*(((A607)-(c_TMAP2IN))*((c_TMAP3OUT)-(c_TMAP2OUT))+IF(((c_TMAP3OUT)-(c_TMAP2OUT))&gt;=0,1,-1)*QUOTIENT(((c_TMAP3IN)-(c_TMAP2IN)),2)))&gt;=0,1,0)))</f>
        <v>376</v>
      </c>
      <c r="G607" s="7" t="n">
        <f aca="false">IF(((1000)-(c_TMAP3IN))=0,(c_TMAP3OUT)+QUOTIENT(((1000)-(c_TMAP3OUT)),2),QUOTIENT((((A607)-(c_TMAP3IN))*((1000)-(c_TMAP3OUT))+IF(((1000)-(c_TMAP3OUT))&gt;=0,1,-1)*QUOTIENT(((1000)-(c_TMAP3IN)),2)),((1000)-(c_TMAP3IN)))+(c_TMAP3OUT)+IF(((1000)-(c_TMAP3OUT))&gt;=0,IF(IF(o_WRAP=1,MOD(((1000)-(c_TMAP3IN))*(((A607)-(c_TMAP3IN))*((1000)-(c_TMAP3OUT))+IF(((1000)-(c_TMAP3OUT))&gt;=0,1,-1)*QUOTIENT(((1000)-(c_TMAP3IN)),2))+2147483648,4294967296)-2147483648,((1000)-(c_TMAP3IN))*(((A607)-(c_TMAP3IN))*((1000)-(c_TMAP3OUT))+IF(((1000)-(c_TMAP3OUT))&gt;=0,1,-1)*QUOTIENT(((1000)-(c_TMAP3IN)),2)))&lt;0,-1,0),IF(IF(o_WRAP=1,MOD(((1000)-(c_TMAP3IN))*(((A607)-(c_TMAP3IN))*((1000)-(c_TMAP3OUT))+IF(((1000)-(c_TMAP3OUT))&gt;=0,1,-1)*QUOTIENT(((1000)-(c_TMAP3IN)),2))+2147483648,4294967296)-2147483648,((1000)-(c_TMAP3IN))*(((A607)-(c_TMAP3IN))*((1000)-(c_TMAP3OUT))+IF(((1000)-(c_TMAP3OUT))&gt;=0,1,-1)*QUOTIENT(((1000)-(c_TMAP3IN)),2)))&gt;=0,1,0)))</f>
        <v>510</v>
      </c>
      <c r="H607" s="7" t="str">
        <f aca="false">IF(A607&gt;=c_TFWD,IF(AND(A607&gt;=c_TMAP3IN,c_TMAP3IN&lt;1000),"Seg4 map3-100%",IF(AND(A607&gt;=c_TMAP2IN,c_TMAP3IN&gt;c_TMAP2IN),"Seg3 map2-map3",IF(AND(A607&gt;=c_TMAP1IN,c_TMAP2IN&gt;c_TMAP1IN),"Seg2 map1-map2","Seg1 TFWD-map1"))),IF(AND(A607=0,c_TCREEP&gt;0),"Creep",IF(AND(A607&lt;=c_TRNGMIN,A607&gt;=c_TRNGMAX,c_TRNGMIN-c_TRNGMAX&lt;&gt;0),"Regen ramp","Coast (0)")))</f>
        <v>Seg4 map3-100%</v>
      </c>
      <c r="I607" s="7" t="n">
        <f aca="false">IF(A607&gt;=c_TFWD,IF(AND(A607&gt;=c_TMAP3IN,c_TMAP3IN&lt;1000),G607,IF(AND(A607&gt;=c_TMAP2IN,c_TMAP3IN&gt;c_TMAP2IN),F607,IF(AND(A607&gt;=c_TMAP1IN,c_TMAP2IN&gt;c_TMAP1IN),E607,D607))),C607)</f>
        <v>510</v>
      </c>
      <c r="J607" s="7" t="str">
        <f aca="false">IF(I607&lt;-1090,"TOO LOW",IF(I607&gt;1090,"TOO HIGH",""))</f>
        <v/>
      </c>
      <c r="K607" s="15" t="n">
        <f aca="false">IF(J607&lt;&gt;"",0,IF(I607&gt;979,1000,I607))</f>
        <v>510</v>
      </c>
      <c r="L607" s="7" t="n">
        <f aca="false">K607/10</f>
        <v>51</v>
      </c>
    </row>
    <row r="608" customFormat="false" ht="15" hidden="false" customHeight="false" outlineLevel="0" collapsed="false">
      <c r="A608" s="7" t="n">
        <v>603</v>
      </c>
      <c r="B608" s="7" t="n">
        <f aca="false">A608/10</f>
        <v>60.3</v>
      </c>
      <c r="C608" s="7" t="n">
        <f aca="false">IF(AND(A608=0,c_TCREEP&gt;0),10*c_TCREEP,IF(AND(A608&lt;=c_TRNGMIN,A608&gt;=c_TRNGMAX,c_TRNGMIN-c_TRNGMAX&lt;&gt;0),-10*c_TMINRN+QUOTIENT((c_TMAXRN-c_TMINRN)*(100-QUOTIENT((A608-c_TRNGMAX)*100,c_TRNGMIN-c_TRNGMAX)),-10),0))</f>
        <v>0</v>
      </c>
      <c r="D608" s="7" t="n">
        <f aca="false">IF(((c_TMAP1IN)-(c_TFWD))=0,(0)+QUOTIENT(((c_TMAP1OUT)-(0)),2),QUOTIENT((((A608)-(c_TFWD))*((c_TMAP1OUT)-(0))+IF(((c_TMAP1OUT)-(0))&gt;=0,1,-1)*QUOTIENT(((c_TMAP1IN)-(c_TFWD)),2)),((c_TMAP1IN)-(c_TFWD)))+(0)+IF(((c_TMAP1OUT)-(0))&gt;=0,IF(IF(o_WRAP=1,MOD(((c_TMAP1IN)-(c_TFWD))*(((A608)-(c_TFWD))*((c_TMAP1OUT)-(0))+IF(((c_TMAP1OUT)-(0))&gt;=0,1,-1)*QUOTIENT(((c_TMAP1IN)-(c_TFWD)),2))+2147483648,4294967296)-2147483648,((c_TMAP1IN)-(c_TFWD))*(((A608)-(c_TFWD))*((c_TMAP1OUT)-(0))+IF(((c_TMAP1OUT)-(0))&gt;=0,1,-1)*QUOTIENT(((c_TMAP1IN)-(c_TFWD)),2)))&lt;0,-1,0),IF(IF(o_WRAP=1,MOD(((c_TMAP1IN)-(c_TFWD))*(((A608)-(c_TFWD))*((c_TMAP1OUT)-(0))+IF(((c_TMAP1OUT)-(0))&gt;=0,1,-1)*QUOTIENT(((c_TMAP1IN)-(c_TFWD)),2))+2147483648,4294967296)-2147483648,((c_TMAP1IN)-(c_TFWD))*(((A608)-(c_TFWD))*((c_TMAP1OUT)-(0))+IF(((c_TMAP1OUT)-(0))&gt;=0,1,-1)*QUOTIENT(((c_TMAP1IN)-(c_TFWD)),2)))&gt;=0,1,0)))</f>
        <v>461</v>
      </c>
      <c r="E608" s="7" t="n">
        <f aca="false">IF(((c_TMAP2IN)-(c_TMAP1IN))=0,(c_TMAP1OUT)+QUOTIENT(((c_TMAP2OUT)-(c_TMAP1OUT)),2),QUOTIENT((((A608)-(c_TMAP1IN))*((c_TMAP2OUT)-(c_TMAP1OUT))+IF(((c_TMAP2OUT)-(c_TMAP1OUT))&gt;=0,1,-1)*QUOTIENT(((c_TMAP2IN)-(c_TMAP1IN)),2)),((c_TMAP2IN)-(c_TMAP1IN)))+(c_TMAP1OUT)+IF(((c_TMAP2OUT)-(c_TMAP1OUT))&gt;=0,IF(IF(o_WRAP=1,MOD(((c_TMAP2IN)-(c_TMAP1IN))*(((A608)-(c_TMAP1IN))*((c_TMAP2OUT)-(c_TMAP1OUT))+IF(((c_TMAP2OUT)-(c_TMAP1OUT))&gt;=0,1,-1)*QUOTIENT(((c_TMAP2IN)-(c_TMAP1IN)),2))+2147483648,4294967296)-2147483648,((c_TMAP2IN)-(c_TMAP1IN))*(((A608)-(c_TMAP1IN))*((c_TMAP2OUT)-(c_TMAP1OUT))+IF(((c_TMAP2OUT)-(c_TMAP1OUT))&gt;=0,1,-1)*QUOTIENT(((c_TMAP2IN)-(c_TMAP1IN)),2)))&lt;0,-1,0),IF(IF(o_WRAP=1,MOD(((c_TMAP2IN)-(c_TMAP1IN))*(((A608)-(c_TMAP1IN))*((c_TMAP2OUT)-(c_TMAP1OUT))+IF(((c_TMAP2OUT)-(c_TMAP1OUT))&gt;=0,1,-1)*QUOTIENT(((c_TMAP2IN)-(c_TMAP1IN)),2))+2147483648,4294967296)-2147483648,((c_TMAP2IN)-(c_TMAP1IN))*(((A608)-(c_TMAP1IN))*((c_TMAP2OUT)-(c_TMAP1OUT))+IF(((c_TMAP2OUT)-(c_TMAP1OUT))&gt;=0,1,-1)*QUOTIENT(((c_TMAP2IN)-(c_TMAP1IN)),2)))&gt;=0,1,0)))</f>
        <v>271</v>
      </c>
      <c r="F608" s="7" t="n">
        <f aca="false">IF(((c_TMAP3IN)-(c_TMAP2IN))=0,(c_TMAP2OUT)+QUOTIENT(((c_TMAP3OUT)-(c_TMAP2OUT)),2),QUOTIENT((((A608)-(c_TMAP2IN))*((c_TMAP3OUT)-(c_TMAP2OUT))+IF(((c_TMAP3OUT)-(c_TMAP2OUT))&gt;=0,1,-1)*QUOTIENT(((c_TMAP3IN)-(c_TMAP2IN)),2)),((c_TMAP3IN)-(c_TMAP2IN)))+(c_TMAP2OUT)+IF(((c_TMAP3OUT)-(c_TMAP2OUT))&gt;=0,IF(IF(o_WRAP=1,MOD(((c_TMAP3IN)-(c_TMAP2IN))*(((A608)-(c_TMAP2IN))*((c_TMAP3OUT)-(c_TMAP2OUT))+IF(((c_TMAP3OUT)-(c_TMAP2OUT))&gt;=0,1,-1)*QUOTIENT(((c_TMAP3IN)-(c_TMAP2IN)),2))+2147483648,4294967296)-2147483648,((c_TMAP3IN)-(c_TMAP2IN))*(((A608)-(c_TMAP2IN))*((c_TMAP3OUT)-(c_TMAP2OUT))+IF(((c_TMAP3OUT)-(c_TMAP2OUT))&gt;=0,1,-1)*QUOTIENT(((c_TMAP3IN)-(c_TMAP2IN)),2)))&lt;0,-1,0),IF(IF(o_WRAP=1,MOD(((c_TMAP3IN)-(c_TMAP2IN))*(((A608)-(c_TMAP2IN))*((c_TMAP3OUT)-(c_TMAP2OUT))+IF(((c_TMAP3OUT)-(c_TMAP2OUT))&gt;=0,1,-1)*QUOTIENT(((c_TMAP3IN)-(c_TMAP2IN)),2))+2147483648,4294967296)-2147483648,((c_TMAP3IN)-(c_TMAP2IN))*(((A608)-(c_TMAP2IN))*((c_TMAP3OUT)-(c_TMAP2OUT))+IF(((c_TMAP3OUT)-(c_TMAP2OUT))&gt;=0,1,-1)*QUOTIENT(((c_TMAP3IN)-(c_TMAP2IN)),2)))&gt;=0,1,0)))</f>
        <v>377</v>
      </c>
      <c r="G608" s="7" t="n">
        <f aca="false">IF(((1000)-(c_TMAP3IN))=0,(c_TMAP3OUT)+QUOTIENT(((1000)-(c_TMAP3OUT)),2),QUOTIENT((((A608)-(c_TMAP3IN))*((1000)-(c_TMAP3OUT))+IF(((1000)-(c_TMAP3OUT))&gt;=0,1,-1)*QUOTIENT(((1000)-(c_TMAP3IN)),2)),((1000)-(c_TMAP3IN)))+(c_TMAP3OUT)+IF(((1000)-(c_TMAP3OUT))&gt;=0,IF(IF(o_WRAP=1,MOD(((1000)-(c_TMAP3IN))*(((A608)-(c_TMAP3IN))*((1000)-(c_TMAP3OUT))+IF(((1000)-(c_TMAP3OUT))&gt;=0,1,-1)*QUOTIENT(((1000)-(c_TMAP3IN)),2))+2147483648,4294967296)-2147483648,((1000)-(c_TMAP3IN))*(((A608)-(c_TMAP3IN))*((1000)-(c_TMAP3OUT))+IF(((1000)-(c_TMAP3OUT))&gt;=0,1,-1)*QUOTIENT(((1000)-(c_TMAP3IN)),2)))&lt;0,-1,0),IF(IF(o_WRAP=1,MOD(((1000)-(c_TMAP3IN))*(((A608)-(c_TMAP3IN))*((1000)-(c_TMAP3OUT))+IF(((1000)-(c_TMAP3OUT))&gt;=0,1,-1)*QUOTIENT(((1000)-(c_TMAP3IN)),2))+2147483648,4294967296)-2147483648,((1000)-(c_TMAP3IN))*(((A608)-(c_TMAP3IN))*((1000)-(c_TMAP3OUT))+IF(((1000)-(c_TMAP3OUT))&gt;=0,1,-1)*QUOTIENT(((1000)-(c_TMAP3IN)),2)))&gt;=0,1,0)))</f>
        <v>511</v>
      </c>
      <c r="H608" s="7" t="str">
        <f aca="false">IF(A608&gt;=c_TFWD,IF(AND(A608&gt;=c_TMAP3IN,c_TMAP3IN&lt;1000),"Seg4 map3-100%",IF(AND(A608&gt;=c_TMAP2IN,c_TMAP3IN&gt;c_TMAP2IN),"Seg3 map2-map3",IF(AND(A608&gt;=c_TMAP1IN,c_TMAP2IN&gt;c_TMAP1IN),"Seg2 map1-map2","Seg1 TFWD-map1"))),IF(AND(A608=0,c_TCREEP&gt;0),"Creep",IF(AND(A608&lt;=c_TRNGMIN,A608&gt;=c_TRNGMAX,c_TRNGMIN-c_TRNGMAX&lt;&gt;0),"Regen ramp","Coast (0)")))</f>
        <v>Seg4 map3-100%</v>
      </c>
      <c r="I608" s="7" t="n">
        <f aca="false">IF(A608&gt;=c_TFWD,IF(AND(A608&gt;=c_TMAP3IN,c_TMAP3IN&lt;1000),G608,IF(AND(A608&gt;=c_TMAP2IN,c_TMAP3IN&gt;c_TMAP2IN),F608,IF(AND(A608&gt;=c_TMAP1IN,c_TMAP2IN&gt;c_TMAP1IN),E608,D608))),C608)</f>
        <v>511</v>
      </c>
      <c r="J608" s="7" t="str">
        <f aca="false">IF(I608&lt;-1090,"TOO LOW",IF(I608&gt;1090,"TOO HIGH",""))</f>
        <v/>
      </c>
      <c r="K608" s="15" t="n">
        <f aca="false">IF(J608&lt;&gt;"",0,IF(I608&gt;979,1000,I608))</f>
        <v>511</v>
      </c>
      <c r="L608" s="7" t="n">
        <f aca="false">K608/10</f>
        <v>51.1</v>
      </c>
    </row>
    <row r="609" customFormat="false" ht="15" hidden="false" customHeight="false" outlineLevel="0" collapsed="false">
      <c r="A609" s="7" t="n">
        <v>604</v>
      </c>
      <c r="B609" s="7" t="n">
        <f aca="false">A609/10</f>
        <v>60.4</v>
      </c>
      <c r="C609" s="7" t="n">
        <f aca="false">IF(AND(A609=0,c_TCREEP&gt;0),10*c_TCREEP,IF(AND(A609&lt;=c_TRNGMIN,A609&gt;=c_TRNGMAX,c_TRNGMIN-c_TRNGMAX&lt;&gt;0),-10*c_TMINRN+QUOTIENT((c_TMAXRN-c_TMINRN)*(100-QUOTIENT((A609-c_TRNGMAX)*100,c_TRNGMIN-c_TRNGMAX)),-10),0))</f>
        <v>0</v>
      </c>
      <c r="D609" s="7" t="n">
        <f aca="false">IF(((c_TMAP1IN)-(c_TFWD))=0,(0)+QUOTIENT(((c_TMAP1OUT)-(0)),2),QUOTIENT((((A609)-(c_TFWD))*((c_TMAP1OUT)-(0))+IF(((c_TMAP1OUT)-(0))&gt;=0,1,-1)*QUOTIENT(((c_TMAP1IN)-(c_TFWD)),2)),((c_TMAP1IN)-(c_TFWD)))+(0)+IF(((c_TMAP1OUT)-(0))&gt;=0,IF(IF(o_WRAP=1,MOD(((c_TMAP1IN)-(c_TFWD))*(((A609)-(c_TFWD))*((c_TMAP1OUT)-(0))+IF(((c_TMAP1OUT)-(0))&gt;=0,1,-1)*QUOTIENT(((c_TMAP1IN)-(c_TFWD)),2))+2147483648,4294967296)-2147483648,((c_TMAP1IN)-(c_TFWD))*(((A609)-(c_TFWD))*((c_TMAP1OUT)-(0))+IF(((c_TMAP1OUT)-(0))&gt;=0,1,-1)*QUOTIENT(((c_TMAP1IN)-(c_TFWD)),2)))&lt;0,-1,0),IF(IF(o_WRAP=1,MOD(((c_TMAP1IN)-(c_TFWD))*(((A609)-(c_TFWD))*((c_TMAP1OUT)-(0))+IF(((c_TMAP1OUT)-(0))&gt;=0,1,-1)*QUOTIENT(((c_TMAP1IN)-(c_TFWD)),2))+2147483648,4294967296)-2147483648,((c_TMAP1IN)-(c_TFWD))*(((A609)-(c_TFWD))*((c_TMAP1OUT)-(0))+IF(((c_TMAP1OUT)-(0))&gt;=0,1,-1)*QUOTIENT(((c_TMAP1IN)-(c_TFWD)),2)))&gt;=0,1,0)))</f>
        <v>462</v>
      </c>
      <c r="E609" s="7" t="n">
        <f aca="false">IF(((c_TMAP2IN)-(c_TMAP1IN))=0,(c_TMAP1OUT)+QUOTIENT(((c_TMAP2OUT)-(c_TMAP1OUT)),2),QUOTIENT((((A609)-(c_TMAP1IN))*((c_TMAP2OUT)-(c_TMAP1OUT))+IF(((c_TMAP2OUT)-(c_TMAP1OUT))&gt;=0,1,-1)*QUOTIENT(((c_TMAP2IN)-(c_TMAP1IN)),2)),((c_TMAP2IN)-(c_TMAP1IN)))+(c_TMAP1OUT)+IF(((c_TMAP2OUT)-(c_TMAP1OUT))&gt;=0,IF(IF(o_WRAP=1,MOD(((c_TMAP2IN)-(c_TMAP1IN))*(((A609)-(c_TMAP1IN))*((c_TMAP2OUT)-(c_TMAP1OUT))+IF(((c_TMAP2OUT)-(c_TMAP1OUT))&gt;=0,1,-1)*QUOTIENT(((c_TMAP2IN)-(c_TMAP1IN)),2))+2147483648,4294967296)-2147483648,((c_TMAP2IN)-(c_TMAP1IN))*(((A609)-(c_TMAP1IN))*((c_TMAP2OUT)-(c_TMAP1OUT))+IF(((c_TMAP2OUT)-(c_TMAP1OUT))&gt;=0,1,-1)*QUOTIENT(((c_TMAP2IN)-(c_TMAP1IN)),2)))&lt;0,-1,0),IF(IF(o_WRAP=1,MOD(((c_TMAP2IN)-(c_TMAP1IN))*(((A609)-(c_TMAP1IN))*((c_TMAP2OUT)-(c_TMAP1OUT))+IF(((c_TMAP2OUT)-(c_TMAP1OUT))&gt;=0,1,-1)*QUOTIENT(((c_TMAP2IN)-(c_TMAP1IN)),2))+2147483648,4294967296)-2147483648,((c_TMAP2IN)-(c_TMAP1IN))*(((A609)-(c_TMAP1IN))*((c_TMAP2OUT)-(c_TMAP1OUT))+IF(((c_TMAP2OUT)-(c_TMAP1OUT))&gt;=0,1,-1)*QUOTIENT(((c_TMAP2IN)-(c_TMAP1IN)),2)))&gt;=0,1,0)))</f>
        <v>272</v>
      </c>
      <c r="F609" s="7" t="n">
        <f aca="false">IF(((c_TMAP3IN)-(c_TMAP2IN))=0,(c_TMAP2OUT)+QUOTIENT(((c_TMAP3OUT)-(c_TMAP2OUT)),2),QUOTIENT((((A609)-(c_TMAP2IN))*((c_TMAP3OUT)-(c_TMAP2OUT))+IF(((c_TMAP3OUT)-(c_TMAP2OUT))&gt;=0,1,-1)*QUOTIENT(((c_TMAP3IN)-(c_TMAP2IN)),2)),((c_TMAP3IN)-(c_TMAP2IN)))+(c_TMAP2OUT)+IF(((c_TMAP3OUT)-(c_TMAP2OUT))&gt;=0,IF(IF(o_WRAP=1,MOD(((c_TMAP3IN)-(c_TMAP2IN))*(((A609)-(c_TMAP2IN))*((c_TMAP3OUT)-(c_TMAP2OUT))+IF(((c_TMAP3OUT)-(c_TMAP2OUT))&gt;=0,1,-1)*QUOTIENT(((c_TMAP3IN)-(c_TMAP2IN)),2))+2147483648,4294967296)-2147483648,((c_TMAP3IN)-(c_TMAP2IN))*(((A609)-(c_TMAP2IN))*((c_TMAP3OUT)-(c_TMAP2OUT))+IF(((c_TMAP3OUT)-(c_TMAP2OUT))&gt;=0,1,-1)*QUOTIENT(((c_TMAP3IN)-(c_TMAP2IN)),2)))&lt;0,-1,0),IF(IF(o_WRAP=1,MOD(((c_TMAP3IN)-(c_TMAP2IN))*(((A609)-(c_TMAP2IN))*((c_TMAP3OUT)-(c_TMAP2OUT))+IF(((c_TMAP3OUT)-(c_TMAP2OUT))&gt;=0,1,-1)*QUOTIENT(((c_TMAP3IN)-(c_TMAP2IN)),2))+2147483648,4294967296)-2147483648,((c_TMAP3IN)-(c_TMAP2IN))*(((A609)-(c_TMAP2IN))*((c_TMAP3OUT)-(c_TMAP2OUT))+IF(((c_TMAP3OUT)-(c_TMAP2OUT))&gt;=0,1,-1)*QUOTIENT(((c_TMAP3IN)-(c_TMAP2IN)),2)))&gt;=0,1,0)))</f>
        <v>378</v>
      </c>
      <c r="G609" s="7" t="n">
        <f aca="false">IF(((1000)-(c_TMAP3IN))=0,(c_TMAP3OUT)+QUOTIENT(((1000)-(c_TMAP3OUT)),2),QUOTIENT((((A609)-(c_TMAP3IN))*((1000)-(c_TMAP3OUT))+IF(((1000)-(c_TMAP3OUT))&gt;=0,1,-1)*QUOTIENT(((1000)-(c_TMAP3IN)),2)),((1000)-(c_TMAP3IN)))+(c_TMAP3OUT)+IF(((1000)-(c_TMAP3OUT))&gt;=0,IF(IF(o_WRAP=1,MOD(((1000)-(c_TMAP3IN))*(((A609)-(c_TMAP3IN))*((1000)-(c_TMAP3OUT))+IF(((1000)-(c_TMAP3OUT))&gt;=0,1,-1)*QUOTIENT(((1000)-(c_TMAP3IN)),2))+2147483648,4294967296)-2147483648,((1000)-(c_TMAP3IN))*(((A609)-(c_TMAP3IN))*((1000)-(c_TMAP3OUT))+IF(((1000)-(c_TMAP3OUT))&gt;=0,1,-1)*QUOTIENT(((1000)-(c_TMAP3IN)),2)))&lt;0,-1,0),IF(IF(o_WRAP=1,MOD(((1000)-(c_TMAP3IN))*(((A609)-(c_TMAP3IN))*((1000)-(c_TMAP3OUT))+IF(((1000)-(c_TMAP3OUT))&gt;=0,1,-1)*QUOTIENT(((1000)-(c_TMAP3IN)),2))+2147483648,4294967296)-2147483648,((1000)-(c_TMAP3IN))*(((A609)-(c_TMAP3IN))*((1000)-(c_TMAP3OUT))+IF(((1000)-(c_TMAP3OUT))&gt;=0,1,-1)*QUOTIENT(((1000)-(c_TMAP3IN)),2)))&gt;=0,1,0)))</f>
        <v>513</v>
      </c>
      <c r="H609" s="7" t="str">
        <f aca="false">IF(A609&gt;=c_TFWD,IF(AND(A609&gt;=c_TMAP3IN,c_TMAP3IN&lt;1000),"Seg4 map3-100%",IF(AND(A609&gt;=c_TMAP2IN,c_TMAP3IN&gt;c_TMAP2IN),"Seg3 map2-map3",IF(AND(A609&gt;=c_TMAP1IN,c_TMAP2IN&gt;c_TMAP1IN),"Seg2 map1-map2","Seg1 TFWD-map1"))),IF(AND(A609=0,c_TCREEP&gt;0),"Creep",IF(AND(A609&lt;=c_TRNGMIN,A609&gt;=c_TRNGMAX,c_TRNGMIN-c_TRNGMAX&lt;&gt;0),"Regen ramp","Coast (0)")))</f>
        <v>Seg4 map3-100%</v>
      </c>
      <c r="I609" s="7" t="n">
        <f aca="false">IF(A609&gt;=c_TFWD,IF(AND(A609&gt;=c_TMAP3IN,c_TMAP3IN&lt;1000),G609,IF(AND(A609&gt;=c_TMAP2IN,c_TMAP3IN&gt;c_TMAP2IN),F609,IF(AND(A609&gt;=c_TMAP1IN,c_TMAP2IN&gt;c_TMAP1IN),E609,D609))),C609)</f>
        <v>513</v>
      </c>
      <c r="J609" s="7" t="str">
        <f aca="false">IF(I609&lt;-1090,"TOO LOW",IF(I609&gt;1090,"TOO HIGH",""))</f>
        <v/>
      </c>
      <c r="K609" s="15" t="n">
        <f aca="false">IF(J609&lt;&gt;"",0,IF(I609&gt;979,1000,I609))</f>
        <v>513</v>
      </c>
      <c r="L609" s="7" t="n">
        <f aca="false">K609/10</f>
        <v>51.3</v>
      </c>
    </row>
    <row r="610" customFormat="false" ht="15" hidden="false" customHeight="false" outlineLevel="0" collapsed="false">
      <c r="A610" s="7" t="n">
        <v>605</v>
      </c>
      <c r="B610" s="7" t="n">
        <f aca="false">A610/10</f>
        <v>60.5</v>
      </c>
      <c r="C610" s="7" t="n">
        <f aca="false">IF(AND(A610=0,c_TCREEP&gt;0),10*c_TCREEP,IF(AND(A610&lt;=c_TRNGMIN,A610&gt;=c_TRNGMAX,c_TRNGMIN-c_TRNGMAX&lt;&gt;0),-10*c_TMINRN+QUOTIENT((c_TMAXRN-c_TMINRN)*(100-QUOTIENT((A610-c_TRNGMAX)*100,c_TRNGMIN-c_TRNGMAX)),-10),0))</f>
        <v>0</v>
      </c>
      <c r="D610" s="7" t="n">
        <f aca="false">IF(((c_TMAP1IN)-(c_TFWD))=0,(0)+QUOTIENT(((c_TMAP1OUT)-(0)),2),QUOTIENT((((A610)-(c_TFWD))*((c_TMAP1OUT)-(0))+IF(((c_TMAP1OUT)-(0))&gt;=0,1,-1)*QUOTIENT(((c_TMAP1IN)-(c_TFWD)),2)),((c_TMAP1IN)-(c_TFWD)))+(0)+IF(((c_TMAP1OUT)-(0))&gt;=0,IF(IF(o_WRAP=1,MOD(((c_TMAP1IN)-(c_TFWD))*(((A610)-(c_TFWD))*((c_TMAP1OUT)-(0))+IF(((c_TMAP1OUT)-(0))&gt;=0,1,-1)*QUOTIENT(((c_TMAP1IN)-(c_TFWD)),2))+2147483648,4294967296)-2147483648,((c_TMAP1IN)-(c_TFWD))*(((A610)-(c_TFWD))*((c_TMAP1OUT)-(0))+IF(((c_TMAP1OUT)-(0))&gt;=0,1,-1)*QUOTIENT(((c_TMAP1IN)-(c_TFWD)),2)))&lt;0,-1,0),IF(IF(o_WRAP=1,MOD(((c_TMAP1IN)-(c_TFWD))*(((A610)-(c_TFWD))*((c_TMAP1OUT)-(0))+IF(((c_TMAP1OUT)-(0))&gt;=0,1,-1)*QUOTIENT(((c_TMAP1IN)-(c_TFWD)),2))+2147483648,4294967296)-2147483648,((c_TMAP1IN)-(c_TFWD))*(((A610)-(c_TFWD))*((c_TMAP1OUT)-(0))+IF(((c_TMAP1OUT)-(0))&gt;=0,1,-1)*QUOTIENT(((c_TMAP1IN)-(c_TFWD)),2)))&gt;=0,1,0)))</f>
        <v>463</v>
      </c>
      <c r="E610" s="7" t="n">
        <f aca="false">IF(((c_TMAP2IN)-(c_TMAP1IN))=0,(c_TMAP1OUT)+QUOTIENT(((c_TMAP2OUT)-(c_TMAP1OUT)),2),QUOTIENT((((A610)-(c_TMAP1IN))*((c_TMAP2OUT)-(c_TMAP1OUT))+IF(((c_TMAP2OUT)-(c_TMAP1OUT))&gt;=0,1,-1)*QUOTIENT(((c_TMAP2IN)-(c_TMAP1IN)),2)),((c_TMAP2IN)-(c_TMAP1IN)))+(c_TMAP1OUT)+IF(((c_TMAP2OUT)-(c_TMAP1OUT))&gt;=0,IF(IF(o_WRAP=1,MOD(((c_TMAP2IN)-(c_TMAP1IN))*(((A610)-(c_TMAP1IN))*((c_TMAP2OUT)-(c_TMAP1OUT))+IF(((c_TMAP2OUT)-(c_TMAP1OUT))&gt;=0,1,-1)*QUOTIENT(((c_TMAP2IN)-(c_TMAP1IN)),2))+2147483648,4294967296)-2147483648,((c_TMAP2IN)-(c_TMAP1IN))*(((A610)-(c_TMAP1IN))*((c_TMAP2OUT)-(c_TMAP1OUT))+IF(((c_TMAP2OUT)-(c_TMAP1OUT))&gt;=0,1,-1)*QUOTIENT(((c_TMAP2IN)-(c_TMAP1IN)),2)))&lt;0,-1,0),IF(IF(o_WRAP=1,MOD(((c_TMAP2IN)-(c_TMAP1IN))*(((A610)-(c_TMAP1IN))*((c_TMAP2OUT)-(c_TMAP1OUT))+IF(((c_TMAP2OUT)-(c_TMAP1OUT))&gt;=0,1,-1)*QUOTIENT(((c_TMAP2IN)-(c_TMAP1IN)),2))+2147483648,4294967296)-2147483648,((c_TMAP2IN)-(c_TMAP1IN))*(((A610)-(c_TMAP1IN))*((c_TMAP2OUT)-(c_TMAP1OUT))+IF(((c_TMAP2OUT)-(c_TMAP1OUT))&gt;=0,1,-1)*QUOTIENT(((c_TMAP2IN)-(c_TMAP1IN)),2)))&gt;=0,1,0)))</f>
        <v>272</v>
      </c>
      <c r="F610" s="7" t="n">
        <f aca="false">IF(((c_TMAP3IN)-(c_TMAP2IN))=0,(c_TMAP2OUT)+QUOTIENT(((c_TMAP3OUT)-(c_TMAP2OUT)),2),QUOTIENT((((A610)-(c_TMAP2IN))*((c_TMAP3OUT)-(c_TMAP2OUT))+IF(((c_TMAP3OUT)-(c_TMAP2OUT))&gt;=0,1,-1)*QUOTIENT(((c_TMAP3IN)-(c_TMAP2IN)),2)),((c_TMAP3IN)-(c_TMAP2IN)))+(c_TMAP2OUT)+IF(((c_TMAP3OUT)-(c_TMAP2OUT))&gt;=0,IF(IF(o_WRAP=1,MOD(((c_TMAP3IN)-(c_TMAP2IN))*(((A610)-(c_TMAP2IN))*((c_TMAP3OUT)-(c_TMAP2OUT))+IF(((c_TMAP3OUT)-(c_TMAP2OUT))&gt;=0,1,-1)*QUOTIENT(((c_TMAP3IN)-(c_TMAP2IN)),2))+2147483648,4294967296)-2147483648,((c_TMAP3IN)-(c_TMAP2IN))*(((A610)-(c_TMAP2IN))*((c_TMAP3OUT)-(c_TMAP2OUT))+IF(((c_TMAP3OUT)-(c_TMAP2OUT))&gt;=0,1,-1)*QUOTIENT(((c_TMAP3IN)-(c_TMAP2IN)),2)))&lt;0,-1,0),IF(IF(o_WRAP=1,MOD(((c_TMAP3IN)-(c_TMAP2IN))*(((A610)-(c_TMAP2IN))*((c_TMAP3OUT)-(c_TMAP2OUT))+IF(((c_TMAP3OUT)-(c_TMAP2OUT))&gt;=0,1,-1)*QUOTIENT(((c_TMAP3IN)-(c_TMAP2IN)),2))+2147483648,4294967296)-2147483648,((c_TMAP3IN)-(c_TMAP2IN))*(((A610)-(c_TMAP2IN))*((c_TMAP3OUT)-(c_TMAP2OUT))+IF(((c_TMAP3OUT)-(c_TMAP2OUT))&gt;=0,1,-1)*QUOTIENT(((c_TMAP3IN)-(c_TMAP2IN)),2)))&gt;=0,1,0)))</f>
        <v>379</v>
      </c>
      <c r="G610" s="7" t="n">
        <f aca="false">IF(((1000)-(c_TMAP3IN))=0,(c_TMAP3OUT)+QUOTIENT(((1000)-(c_TMAP3OUT)),2),QUOTIENT((((A610)-(c_TMAP3IN))*((1000)-(c_TMAP3OUT))+IF(((1000)-(c_TMAP3OUT))&gt;=0,1,-1)*QUOTIENT(((1000)-(c_TMAP3IN)),2)),((1000)-(c_TMAP3IN)))+(c_TMAP3OUT)+IF(((1000)-(c_TMAP3OUT))&gt;=0,IF(IF(o_WRAP=1,MOD(((1000)-(c_TMAP3IN))*(((A610)-(c_TMAP3IN))*((1000)-(c_TMAP3OUT))+IF(((1000)-(c_TMAP3OUT))&gt;=0,1,-1)*QUOTIENT(((1000)-(c_TMAP3IN)),2))+2147483648,4294967296)-2147483648,((1000)-(c_TMAP3IN))*(((A610)-(c_TMAP3IN))*((1000)-(c_TMAP3OUT))+IF(((1000)-(c_TMAP3OUT))&gt;=0,1,-1)*QUOTIENT(((1000)-(c_TMAP3IN)),2)))&lt;0,-1,0),IF(IF(o_WRAP=1,MOD(((1000)-(c_TMAP3IN))*(((A610)-(c_TMAP3IN))*((1000)-(c_TMAP3OUT))+IF(((1000)-(c_TMAP3OUT))&gt;=0,1,-1)*QUOTIENT(((1000)-(c_TMAP3IN)),2))+2147483648,4294967296)-2147483648,((1000)-(c_TMAP3IN))*(((A610)-(c_TMAP3IN))*((1000)-(c_TMAP3OUT))+IF(((1000)-(c_TMAP3OUT))&gt;=0,1,-1)*QUOTIENT(((1000)-(c_TMAP3IN)),2)))&gt;=0,1,0)))</f>
        <v>514</v>
      </c>
      <c r="H610" s="7" t="str">
        <f aca="false">IF(A610&gt;=c_TFWD,IF(AND(A610&gt;=c_TMAP3IN,c_TMAP3IN&lt;1000),"Seg4 map3-100%",IF(AND(A610&gt;=c_TMAP2IN,c_TMAP3IN&gt;c_TMAP2IN),"Seg3 map2-map3",IF(AND(A610&gt;=c_TMAP1IN,c_TMAP2IN&gt;c_TMAP1IN),"Seg2 map1-map2","Seg1 TFWD-map1"))),IF(AND(A610=0,c_TCREEP&gt;0),"Creep",IF(AND(A610&lt;=c_TRNGMIN,A610&gt;=c_TRNGMAX,c_TRNGMIN-c_TRNGMAX&lt;&gt;0),"Regen ramp","Coast (0)")))</f>
        <v>Seg4 map3-100%</v>
      </c>
      <c r="I610" s="7" t="n">
        <f aca="false">IF(A610&gt;=c_TFWD,IF(AND(A610&gt;=c_TMAP3IN,c_TMAP3IN&lt;1000),G610,IF(AND(A610&gt;=c_TMAP2IN,c_TMAP3IN&gt;c_TMAP2IN),F610,IF(AND(A610&gt;=c_TMAP1IN,c_TMAP2IN&gt;c_TMAP1IN),E610,D610))),C610)</f>
        <v>514</v>
      </c>
      <c r="J610" s="7" t="str">
        <f aca="false">IF(I610&lt;-1090,"TOO LOW",IF(I610&gt;1090,"TOO HIGH",""))</f>
        <v/>
      </c>
      <c r="K610" s="15" t="n">
        <f aca="false">IF(J610&lt;&gt;"",0,IF(I610&gt;979,1000,I610))</f>
        <v>514</v>
      </c>
      <c r="L610" s="7" t="n">
        <f aca="false">K610/10</f>
        <v>51.4</v>
      </c>
    </row>
    <row r="611" customFormat="false" ht="15" hidden="false" customHeight="false" outlineLevel="0" collapsed="false">
      <c r="A611" s="7" t="n">
        <v>606</v>
      </c>
      <c r="B611" s="7" t="n">
        <f aca="false">A611/10</f>
        <v>60.6</v>
      </c>
      <c r="C611" s="7" t="n">
        <f aca="false">IF(AND(A611=0,c_TCREEP&gt;0),10*c_TCREEP,IF(AND(A611&lt;=c_TRNGMIN,A611&gt;=c_TRNGMAX,c_TRNGMIN-c_TRNGMAX&lt;&gt;0),-10*c_TMINRN+QUOTIENT((c_TMAXRN-c_TMINRN)*(100-QUOTIENT((A611-c_TRNGMAX)*100,c_TRNGMIN-c_TRNGMAX)),-10),0))</f>
        <v>0</v>
      </c>
      <c r="D611" s="7" t="n">
        <f aca="false">IF(((c_TMAP1IN)-(c_TFWD))=0,(0)+QUOTIENT(((c_TMAP1OUT)-(0)),2),QUOTIENT((((A611)-(c_TFWD))*((c_TMAP1OUT)-(0))+IF(((c_TMAP1OUT)-(0))&gt;=0,1,-1)*QUOTIENT(((c_TMAP1IN)-(c_TFWD)),2)),((c_TMAP1IN)-(c_TFWD)))+(0)+IF(((c_TMAP1OUT)-(0))&gt;=0,IF(IF(o_WRAP=1,MOD(((c_TMAP1IN)-(c_TFWD))*(((A611)-(c_TFWD))*((c_TMAP1OUT)-(0))+IF(((c_TMAP1OUT)-(0))&gt;=0,1,-1)*QUOTIENT(((c_TMAP1IN)-(c_TFWD)),2))+2147483648,4294967296)-2147483648,((c_TMAP1IN)-(c_TFWD))*(((A611)-(c_TFWD))*((c_TMAP1OUT)-(0))+IF(((c_TMAP1OUT)-(0))&gt;=0,1,-1)*QUOTIENT(((c_TMAP1IN)-(c_TFWD)),2)))&lt;0,-1,0),IF(IF(o_WRAP=1,MOD(((c_TMAP1IN)-(c_TFWD))*(((A611)-(c_TFWD))*((c_TMAP1OUT)-(0))+IF(((c_TMAP1OUT)-(0))&gt;=0,1,-1)*QUOTIENT(((c_TMAP1IN)-(c_TFWD)),2))+2147483648,4294967296)-2147483648,((c_TMAP1IN)-(c_TFWD))*(((A611)-(c_TFWD))*((c_TMAP1OUT)-(0))+IF(((c_TMAP1OUT)-(0))&gt;=0,1,-1)*QUOTIENT(((c_TMAP1IN)-(c_TFWD)),2)))&gt;=0,1,0)))</f>
        <v>464</v>
      </c>
      <c r="E611" s="7" t="n">
        <f aca="false">IF(((c_TMAP2IN)-(c_TMAP1IN))=0,(c_TMAP1OUT)+QUOTIENT(((c_TMAP2OUT)-(c_TMAP1OUT)),2),QUOTIENT((((A611)-(c_TMAP1IN))*((c_TMAP2OUT)-(c_TMAP1OUT))+IF(((c_TMAP2OUT)-(c_TMAP1OUT))&gt;=0,1,-1)*QUOTIENT(((c_TMAP2IN)-(c_TMAP1IN)),2)),((c_TMAP2IN)-(c_TMAP1IN)))+(c_TMAP1OUT)+IF(((c_TMAP2OUT)-(c_TMAP1OUT))&gt;=0,IF(IF(o_WRAP=1,MOD(((c_TMAP2IN)-(c_TMAP1IN))*(((A611)-(c_TMAP1IN))*((c_TMAP2OUT)-(c_TMAP1OUT))+IF(((c_TMAP2OUT)-(c_TMAP1OUT))&gt;=0,1,-1)*QUOTIENT(((c_TMAP2IN)-(c_TMAP1IN)),2))+2147483648,4294967296)-2147483648,((c_TMAP2IN)-(c_TMAP1IN))*(((A611)-(c_TMAP1IN))*((c_TMAP2OUT)-(c_TMAP1OUT))+IF(((c_TMAP2OUT)-(c_TMAP1OUT))&gt;=0,1,-1)*QUOTIENT(((c_TMAP2IN)-(c_TMAP1IN)),2)))&lt;0,-1,0),IF(IF(o_WRAP=1,MOD(((c_TMAP2IN)-(c_TMAP1IN))*(((A611)-(c_TMAP1IN))*((c_TMAP2OUT)-(c_TMAP1OUT))+IF(((c_TMAP2OUT)-(c_TMAP1OUT))&gt;=0,1,-1)*QUOTIENT(((c_TMAP2IN)-(c_TMAP1IN)),2))+2147483648,4294967296)-2147483648,((c_TMAP2IN)-(c_TMAP1IN))*(((A611)-(c_TMAP1IN))*((c_TMAP2OUT)-(c_TMAP1OUT))+IF(((c_TMAP2OUT)-(c_TMAP1OUT))&gt;=0,1,-1)*QUOTIENT(((c_TMAP2IN)-(c_TMAP1IN)),2)))&gt;=0,1,0)))</f>
        <v>272</v>
      </c>
      <c r="F611" s="7" t="n">
        <f aca="false">IF(((c_TMAP3IN)-(c_TMAP2IN))=0,(c_TMAP2OUT)+QUOTIENT(((c_TMAP3OUT)-(c_TMAP2OUT)),2),QUOTIENT((((A611)-(c_TMAP2IN))*((c_TMAP3OUT)-(c_TMAP2OUT))+IF(((c_TMAP3OUT)-(c_TMAP2OUT))&gt;=0,1,-1)*QUOTIENT(((c_TMAP3IN)-(c_TMAP2IN)),2)),((c_TMAP3IN)-(c_TMAP2IN)))+(c_TMAP2OUT)+IF(((c_TMAP3OUT)-(c_TMAP2OUT))&gt;=0,IF(IF(o_WRAP=1,MOD(((c_TMAP3IN)-(c_TMAP2IN))*(((A611)-(c_TMAP2IN))*((c_TMAP3OUT)-(c_TMAP2OUT))+IF(((c_TMAP3OUT)-(c_TMAP2OUT))&gt;=0,1,-1)*QUOTIENT(((c_TMAP3IN)-(c_TMAP2IN)),2))+2147483648,4294967296)-2147483648,((c_TMAP3IN)-(c_TMAP2IN))*(((A611)-(c_TMAP2IN))*((c_TMAP3OUT)-(c_TMAP2OUT))+IF(((c_TMAP3OUT)-(c_TMAP2OUT))&gt;=0,1,-1)*QUOTIENT(((c_TMAP3IN)-(c_TMAP2IN)),2)))&lt;0,-1,0),IF(IF(o_WRAP=1,MOD(((c_TMAP3IN)-(c_TMAP2IN))*(((A611)-(c_TMAP2IN))*((c_TMAP3OUT)-(c_TMAP2OUT))+IF(((c_TMAP3OUT)-(c_TMAP2OUT))&gt;=0,1,-1)*QUOTIENT(((c_TMAP3IN)-(c_TMAP2IN)),2))+2147483648,4294967296)-2147483648,((c_TMAP3IN)-(c_TMAP2IN))*(((A611)-(c_TMAP2IN))*((c_TMAP3OUT)-(c_TMAP2OUT))+IF(((c_TMAP3OUT)-(c_TMAP2OUT))&gt;=0,1,-1)*QUOTIENT(((c_TMAP3IN)-(c_TMAP2IN)),2)))&gt;=0,1,0)))</f>
        <v>379</v>
      </c>
      <c r="G611" s="7" t="n">
        <f aca="false">IF(((1000)-(c_TMAP3IN))=0,(c_TMAP3OUT)+QUOTIENT(((1000)-(c_TMAP3OUT)),2),QUOTIENT((((A611)-(c_TMAP3IN))*((1000)-(c_TMAP3OUT))+IF(((1000)-(c_TMAP3OUT))&gt;=0,1,-1)*QUOTIENT(((1000)-(c_TMAP3IN)),2)),((1000)-(c_TMAP3IN)))+(c_TMAP3OUT)+IF(((1000)-(c_TMAP3OUT))&gt;=0,IF(IF(o_WRAP=1,MOD(((1000)-(c_TMAP3IN))*(((A611)-(c_TMAP3IN))*((1000)-(c_TMAP3OUT))+IF(((1000)-(c_TMAP3OUT))&gt;=0,1,-1)*QUOTIENT(((1000)-(c_TMAP3IN)),2))+2147483648,4294967296)-2147483648,((1000)-(c_TMAP3IN))*(((A611)-(c_TMAP3IN))*((1000)-(c_TMAP3OUT))+IF(((1000)-(c_TMAP3OUT))&gt;=0,1,-1)*QUOTIENT(((1000)-(c_TMAP3IN)),2)))&lt;0,-1,0),IF(IF(o_WRAP=1,MOD(((1000)-(c_TMAP3IN))*(((A611)-(c_TMAP3IN))*((1000)-(c_TMAP3OUT))+IF(((1000)-(c_TMAP3OUT))&gt;=0,1,-1)*QUOTIENT(((1000)-(c_TMAP3IN)),2))+2147483648,4294967296)-2147483648,((1000)-(c_TMAP3IN))*(((A611)-(c_TMAP3IN))*((1000)-(c_TMAP3OUT))+IF(((1000)-(c_TMAP3OUT))&gt;=0,1,-1)*QUOTIENT(((1000)-(c_TMAP3IN)),2)))&gt;=0,1,0)))</f>
        <v>515</v>
      </c>
      <c r="H611" s="7" t="str">
        <f aca="false">IF(A611&gt;=c_TFWD,IF(AND(A611&gt;=c_TMAP3IN,c_TMAP3IN&lt;1000),"Seg4 map3-100%",IF(AND(A611&gt;=c_TMAP2IN,c_TMAP3IN&gt;c_TMAP2IN),"Seg3 map2-map3",IF(AND(A611&gt;=c_TMAP1IN,c_TMAP2IN&gt;c_TMAP1IN),"Seg2 map1-map2","Seg1 TFWD-map1"))),IF(AND(A611=0,c_TCREEP&gt;0),"Creep",IF(AND(A611&lt;=c_TRNGMIN,A611&gt;=c_TRNGMAX,c_TRNGMIN-c_TRNGMAX&lt;&gt;0),"Regen ramp","Coast (0)")))</f>
        <v>Seg4 map3-100%</v>
      </c>
      <c r="I611" s="7" t="n">
        <f aca="false">IF(A611&gt;=c_TFWD,IF(AND(A611&gt;=c_TMAP3IN,c_TMAP3IN&lt;1000),G611,IF(AND(A611&gt;=c_TMAP2IN,c_TMAP3IN&gt;c_TMAP2IN),F611,IF(AND(A611&gt;=c_TMAP1IN,c_TMAP2IN&gt;c_TMAP1IN),E611,D611))),C611)</f>
        <v>515</v>
      </c>
      <c r="J611" s="7" t="str">
        <f aca="false">IF(I611&lt;-1090,"TOO LOW",IF(I611&gt;1090,"TOO HIGH",""))</f>
        <v/>
      </c>
      <c r="K611" s="15" t="n">
        <f aca="false">IF(J611&lt;&gt;"",0,IF(I611&gt;979,1000,I611))</f>
        <v>515</v>
      </c>
      <c r="L611" s="7" t="n">
        <f aca="false">K611/10</f>
        <v>51.5</v>
      </c>
    </row>
    <row r="612" customFormat="false" ht="15" hidden="false" customHeight="false" outlineLevel="0" collapsed="false">
      <c r="A612" s="7" t="n">
        <v>607</v>
      </c>
      <c r="B612" s="7" t="n">
        <f aca="false">A612/10</f>
        <v>60.7</v>
      </c>
      <c r="C612" s="7" t="n">
        <f aca="false">IF(AND(A612=0,c_TCREEP&gt;0),10*c_TCREEP,IF(AND(A612&lt;=c_TRNGMIN,A612&gt;=c_TRNGMAX,c_TRNGMIN-c_TRNGMAX&lt;&gt;0),-10*c_TMINRN+QUOTIENT((c_TMAXRN-c_TMINRN)*(100-QUOTIENT((A612-c_TRNGMAX)*100,c_TRNGMIN-c_TRNGMAX)),-10),0))</f>
        <v>0</v>
      </c>
      <c r="D612" s="7" t="n">
        <f aca="false">IF(((c_TMAP1IN)-(c_TFWD))=0,(0)+QUOTIENT(((c_TMAP1OUT)-(0)),2),QUOTIENT((((A612)-(c_TFWD))*((c_TMAP1OUT)-(0))+IF(((c_TMAP1OUT)-(0))&gt;=0,1,-1)*QUOTIENT(((c_TMAP1IN)-(c_TFWD)),2)),((c_TMAP1IN)-(c_TFWD)))+(0)+IF(((c_TMAP1OUT)-(0))&gt;=0,IF(IF(o_WRAP=1,MOD(((c_TMAP1IN)-(c_TFWD))*(((A612)-(c_TFWD))*((c_TMAP1OUT)-(0))+IF(((c_TMAP1OUT)-(0))&gt;=0,1,-1)*QUOTIENT(((c_TMAP1IN)-(c_TFWD)),2))+2147483648,4294967296)-2147483648,((c_TMAP1IN)-(c_TFWD))*(((A612)-(c_TFWD))*((c_TMAP1OUT)-(0))+IF(((c_TMAP1OUT)-(0))&gt;=0,1,-1)*QUOTIENT(((c_TMAP1IN)-(c_TFWD)),2)))&lt;0,-1,0),IF(IF(o_WRAP=1,MOD(((c_TMAP1IN)-(c_TFWD))*(((A612)-(c_TFWD))*((c_TMAP1OUT)-(0))+IF(((c_TMAP1OUT)-(0))&gt;=0,1,-1)*QUOTIENT(((c_TMAP1IN)-(c_TFWD)),2))+2147483648,4294967296)-2147483648,((c_TMAP1IN)-(c_TFWD))*(((A612)-(c_TFWD))*((c_TMAP1OUT)-(0))+IF(((c_TMAP1OUT)-(0))&gt;=0,1,-1)*QUOTIENT(((c_TMAP1IN)-(c_TFWD)),2)))&gt;=0,1,0)))</f>
        <v>464</v>
      </c>
      <c r="E612" s="7" t="n">
        <f aca="false">IF(((c_TMAP2IN)-(c_TMAP1IN))=0,(c_TMAP1OUT)+QUOTIENT(((c_TMAP2OUT)-(c_TMAP1OUT)),2),QUOTIENT((((A612)-(c_TMAP1IN))*((c_TMAP2OUT)-(c_TMAP1OUT))+IF(((c_TMAP2OUT)-(c_TMAP1OUT))&gt;=0,1,-1)*QUOTIENT(((c_TMAP2IN)-(c_TMAP1IN)),2)),((c_TMAP2IN)-(c_TMAP1IN)))+(c_TMAP1OUT)+IF(((c_TMAP2OUT)-(c_TMAP1OUT))&gt;=0,IF(IF(o_WRAP=1,MOD(((c_TMAP2IN)-(c_TMAP1IN))*(((A612)-(c_TMAP1IN))*((c_TMAP2OUT)-(c_TMAP1OUT))+IF(((c_TMAP2OUT)-(c_TMAP1OUT))&gt;=0,1,-1)*QUOTIENT(((c_TMAP2IN)-(c_TMAP1IN)),2))+2147483648,4294967296)-2147483648,((c_TMAP2IN)-(c_TMAP1IN))*(((A612)-(c_TMAP1IN))*((c_TMAP2OUT)-(c_TMAP1OUT))+IF(((c_TMAP2OUT)-(c_TMAP1OUT))&gt;=0,1,-1)*QUOTIENT(((c_TMAP2IN)-(c_TMAP1IN)),2)))&lt;0,-1,0),IF(IF(o_WRAP=1,MOD(((c_TMAP2IN)-(c_TMAP1IN))*(((A612)-(c_TMAP1IN))*((c_TMAP2OUT)-(c_TMAP1OUT))+IF(((c_TMAP2OUT)-(c_TMAP1OUT))&gt;=0,1,-1)*QUOTIENT(((c_TMAP2IN)-(c_TMAP1IN)),2))+2147483648,4294967296)-2147483648,((c_TMAP2IN)-(c_TMAP1IN))*(((A612)-(c_TMAP1IN))*((c_TMAP2OUT)-(c_TMAP1OUT))+IF(((c_TMAP2OUT)-(c_TMAP1OUT))&gt;=0,1,-1)*QUOTIENT(((c_TMAP2IN)-(c_TMAP1IN)),2)))&gt;=0,1,0)))</f>
        <v>273</v>
      </c>
      <c r="F612" s="7" t="n">
        <f aca="false">IF(((c_TMAP3IN)-(c_TMAP2IN))=0,(c_TMAP2OUT)+QUOTIENT(((c_TMAP3OUT)-(c_TMAP2OUT)),2),QUOTIENT((((A612)-(c_TMAP2IN))*((c_TMAP3OUT)-(c_TMAP2OUT))+IF(((c_TMAP3OUT)-(c_TMAP2OUT))&gt;=0,1,-1)*QUOTIENT(((c_TMAP3IN)-(c_TMAP2IN)),2)),((c_TMAP3IN)-(c_TMAP2IN)))+(c_TMAP2OUT)+IF(((c_TMAP3OUT)-(c_TMAP2OUT))&gt;=0,IF(IF(o_WRAP=1,MOD(((c_TMAP3IN)-(c_TMAP2IN))*(((A612)-(c_TMAP2IN))*((c_TMAP3OUT)-(c_TMAP2OUT))+IF(((c_TMAP3OUT)-(c_TMAP2OUT))&gt;=0,1,-1)*QUOTIENT(((c_TMAP3IN)-(c_TMAP2IN)),2))+2147483648,4294967296)-2147483648,((c_TMAP3IN)-(c_TMAP2IN))*(((A612)-(c_TMAP2IN))*((c_TMAP3OUT)-(c_TMAP2OUT))+IF(((c_TMAP3OUT)-(c_TMAP2OUT))&gt;=0,1,-1)*QUOTIENT(((c_TMAP3IN)-(c_TMAP2IN)),2)))&lt;0,-1,0),IF(IF(o_WRAP=1,MOD(((c_TMAP3IN)-(c_TMAP2IN))*(((A612)-(c_TMAP2IN))*((c_TMAP3OUT)-(c_TMAP2OUT))+IF(((c_TMAP3OUT)-(c_TMAP2OUT))&gt;=0,1,-1)*QUOTIENT(((c_TMAP3IN)-(c_TMAP2IN)),2))+2147483648,4294967296)-2147483648,((c_TMAP3IN)-(c_TMAP2IN))*(((A612)-(c_TMAP2IN))*((c_TMAP3OUT)-(c_TMAP2OUT))+IF(((c_TMAP3OUT)-(c_TMAP2OUT))&gt;=0,1,-1)*QUOTIENT(((c_TMAP3IN)-(c_TMAP2IN)),2)))&gt;=0,1,0)))</f>
        <v>380</v>
      </c>
      <c r="G612" s="7" t="n">
        <f aca="false">IF(((1000)-(c_TMAP3IN))=0,(c_TMAP3OUT)+QUOTIENT(((1000)-(c_TMAP3OUT)),2),QUOTIENT((((A612)-(c_TMAP3IN))*((1000)-(c_TMAP3OUT))+IF(((1000)-(c_TMAP3OUT))&gt;=0,1,-1)*QUOTIENT(((1000)-(c_TMAP3IN)),2)),((1000)-(c_TMAP3IN)))+(c_TMAP3OUT)+IF(((1000)-(c_TMAP3OUT))&gt;=0,IF(IF(o_WRAP=1,MOD(((1000)-(c_TMAP3IN))*(((A612)-(c_TMAP3IN))*((1000)-(c_TMAP3OUT))+IF(((1000)-(c_TMAP3OUT))&gt;=0,1,-1)*QUOTIENT(((1000)-(c_TMAP3IN)),2))+2147483648,4294967296)-2147483648,((1000)-(c_TMAP3IN))*(((A612)-(c_TMAP3IN))*((1000)-(c_TMAP3OUT))+IF(((1000)-(c_TMAP3OUT))&gt;=0,1,-1)*QUOTIENT(((1000)-(c_TMAP3IN)),2)))&lt;0,-1,0),IF(IF(o_WRAP=1,MOD(((1000)-(c_TMAP3IN))*(((A612)-(c_TMAP3IN))*((1000)-(c_TMAP3OUT))+IF(((1000)-(c_TMAP3OUT))&gt;=0,1,-1)*QUOTIENT(((1000)-(c_TMAP3IN)),2))+2147483648,4294967296)-2147483648,((1000)-(c_TMAP3IN))*(((A612)-(c_TMAP3IN))*((1000)-(c_TMAP3OUT))+IF(((1000)-(c_TMAP3OUT))&gt;=0,1,-1)*QUOTIENT(((1000)-(c_TMAP3IN)),2)))&gt;=0,1,0)))</f>
        <v>516</v>
      </c>
      <c r="H612" s="7" t="str">
        <f aca="false">IF(A612&gt;=c_TFWD,IF(AND(A612&gt;=c_TMAP3IN,c_TMAP3IN&lt;1000),"Seg4 map3-100%",IF(AND(A612&gt;=c_TMAP2IN,c_TMAP3IN&gt;c_TMAP2IN),"Seg3 map2-map3",IF(AND(A612&gt;=c_TMAP1IN,c_TMAP2IN&gt;c_TMAP1IN),"Seg2 map1-map2","Seg1 TFWD-map1"))),IF(AND(A612=0,c_TCREEP&gt;0),"Creep",IF(AND(A612&lt;=c_TRNGMIN,A612&gt;=c_TRNGMAX,c_TRNGMIN-c_TRNGMAX&lt;&gt;0),"Regen ramp","Coast (0)")))</f>
        <v>Seg4 map3-100%</v>
      </c>
      <c r="I612" s="7" t="n">
        <f aca="false">IF(A612&gt;=c_TFWD,IF(AND(A612&gt;=c_TMAP3IN,c_TMAP3IN&lt;1000),G612,IF(AND(A612&gt;=c_TMAP2IN,c_TMAP3IN&gt;c_TMAP2IN),F612,IF(AND(A612&gt;=c_TMAP1IN,c_TMAP2IN&gt;c_TMAP1IN),E612,D612))),C612)</f>
        <v>516</v>
      </c>
      <c r="J612" s="7" t="str">
        <f aca="false">IF(I612&lt;-1090,"TOO LOW",IF(I612&gt;1090,"TOO HIGH",""))</f>
        <v/>
      </c>
      <c r="K612" s="15" t="n">
        <f aca="false">IF(J612&lt;&gt;"",0,IF(I612&gt;979,1000,I612))</f>
        <v>516</v>
      </c>
      <c r="L612" s="7" t="n">
        <f aca="false">K612/10</f>
        <v>51.6</v>
      </c>
    </row>
    <row r="613" customFormat="false" ht="15" hidden="false" customHeight="false" outlineLevel="0" collapsed="false">
      <c r="A613" s="7" t="n">
        <v>608</v>
      </c>
      <c r="B613" s="7" t="n">
        <f aca="false">A613/10</f>
        <v>60.8</v>
      </c>
      <c r="C613" s="7" t="n">
        <f aca="false">IF(AND(A613=0,c_TCREEP&gt;0),10*c_TCREEP,IF(AND(A613&lt;=c_TRNGMIN,A613&gt;=c_TRNGMAX,c_TRNGMIN-c_TRNGMAX&lt;&gt;0),-10*c_TMINRN+QUOTIENT((c_TMAXRN-c_TMINRN)*(100-QUOTIENT((A613-c_TRNGMAX)*100,c_TRNGMIN-c_TRNGMAX)),-10),0))</f>
        <v>0</v>
      </c>
      <c r="D613" s="7" t="n">
        <f aca="false">IF(((c_TMAP1IN)-(c_TFWD))=0,(0)+QUOTIENT(((c_TMAP1OUT)-(0)),2),QUOTIENT((((A613)-(c_TFWD))*((c_TMAP1OUT)-(0))+IF(((c_TMAP1OUT)-(0))&gt;=0,1,-1)*QUOTIENT(((c_TMAP1IN)-(c_TFWD)),2)),((c_TMAP1IN)-(c_TFWD)))+(0)+IF(((c_TMAP1OUT)-(0))&gt;=0,IF(IF(o_WRAP=1,MOD(((c_TMAP1IN)-(c_TFWD))*(((A613)-(c_TFWD))*((c_TMAP1OUT)-(0))+IF(((c_TMAP1OUT)-(0))&gt;=0,1,-1)*QUOTIENT(((c_TMAP1IN)-(c_TFWD)),2))+2147483648,4294967296)-2147483648,((c_TMAP1IN)-(c_TFWD))*(((A613)-(c_TFWD))*((c_TMAP1OUT)-(0))+IF(((c_TMAP1OUT)-(0))&gt;=0,1,-1)*QUOTIENT(((c_TMAP1IN)-(c_TFWD)),2)))&lt;0,-1,0),IF(IF(o_WRAP=1,MOD(((c_TMAP1IN)-(c_TFWD))*(((A613)-(c_TFWD))*((c_TMAP1OUT)-(0))+IF(((c_TMAP1OUT)-(0))&gt;=0,1,-1)*QUOTIENT(((c_TMAP1IN)-(c_TFWD)),2))+2147483648,4294967296)-2147483648,((c_TMAP1IN)-(c_TFWD))*(((A613)-(c_TFWD))*((c_TMAP1OUT)-(0))+IF(((c_TMAP1OUT)-(0))&gt;=0,1,-1)*QUOTIENT(((c_TMAP1IN)-(c_TFWD)),2)))&gt;=0,1,0)))</f>
        <v>465</v>
      </c>
      <c r="E613" s="7" t="n">
        <f aca="false">IF(((c_TMAP2IN)-(c_TMAP1IN))=0,(c_TMAP1OUT)+QUOTIENT(((c_TMAP2OUT)-(c_TMAP1OUT)),2),QUOTIENT((((A613)-(c_TMAP1IN))*((c_TMAP2OUT)-(c_TMAP1OUT))+IF(((c_TMAP2OUT)-(c_TMAP1OUT))&gt;=0,1,-1)*QUOTIENT(((c_TMAP2IN)-(c_TMAP1IN)),2)),((c_TMAP2IN)-(c_TMAP1IN)))+(c_TMAP1OUT)+IF(((c_TMAP2OUT)-(c_TMAP1OUT))&gt;=0,IF(IF(o_WRAP=1,MOD(((c_TMAP2IN)-(c_TMAP1IN))*(((A613)-(c_TMAP1IN))*((c_TMAP2OUT)-(c_TMAP1OUT))+IF(((c_TMAP2OUT)-(c_TMAP1OUT))&gt;=0,1,-1)*QUOTIENT(((c_TMAP2IN)-(c_TMAP1IN)),2))+2147483648,4294967296)-2147483648,((c_TMAP2IN)-(c_TMAP1IN))*(((A613)-(c_TMAP1IN))*((c_TMAP2OUT)-(c_TMAP1OUT))+IF(((c_TMAP2OUT)-(c_TMAP1OUT))&gt;=0,1,-1)*QUOTIENT(((c_TMAP2IN)-(c_TMAP1IN)),2)))&lt;0,-1,0),IF(IF(o_WRAP=1,MOD(((c_TMAP2IN)-(c_TMAP1IN))*(((A613)-(c_TMAP1IN))*((c_TMAP2OUT)-(c_TMAP1OUT))+IF(((c_TMAP2OUT)-(c_TMAP1OUT))&gt;=0,1,-1)*QUOTIENT(((c_TMAP2IN)-(c_TMAP1IN)),2))+2147483648,4294967296)-2147483648,((c_TMAP2IN)-(c_TMAP1IN))*(((A613)-(c_TMAP1IN))*((c_TMAP2OUT)-(c_TMAP1OUT))+IF(((c_TMAP2OUT)-(c_TMAP1OUT))&gt;=0,1,-1)*QUOTIENT(((c_TMAP2IN)-(c_TMAP1IN)),2)))&gt;=0,1,0)))</f>
        <v>273</v>
      </c>
      <c r="F613" s="7" t="n">
        <f aca="false">IF(((c_TMAP3IN)-(c_TMAP2IN))=0,(c_TMAP2OUT)+QUOTIENT(((c_TMAP3OUT)-(c_TMAP2OUT)),2),QUOTIENT((((A613)-(c_TMAP2IN))*((c_TMAP3OUT)-(c_TMAP2OUT))+IF(((c_TMAP3OUT)-(c_TMAP2OUT))&gt;=0,1,-1)*QUOTIENT(((c_TMAP3IN)-(c_TMAP2IN)),2)),((c_TMAP3IN)-(c_TMAP2IN)))+(c_TMAP2OUT)+IF(((c_TMAP3OUT)-(c_TMAP2OUT))&gt;=0,IF(IF(o_WRAP=1,MOD(((c_TMAP3IN)-(c_TMAP2IN))*(((A613)-(c_TMAP2IN))*((c_TMAP3OUT)-(c_TMAP2OUT))+IF(((c_TMAP3OUT)-(c_TMAP2OUT))&gt;=0,1,-1)*QUOTIENT(((c_TMAP3IN)-(c_TMAP2IN)),2))+2147483648,4294967296)-2147483648,((c_TMAP3IN)-(c_TMAP2IN))*(((A613)-(c_TMAP2IN))*((c_TMAP3OUT)-(c_TMAP2OUT))+IF(((c_TMAP3OUT)-(c_TMAP2OUT))&gt;=0,1,-1)*QUOTIENT(((c_TMAP3IN)-(c_TMAP2IN)),2)))&lt;0,-1,0),IF(IF(o_WRAP=1,MOD(((c_TMAP3IN)-(c_TMAP2IN))*(((A613)-(c_TMAP2IN))*((c_TMAP3OUT)-(c_TMAP2OUT))+IF(((c_TMAP3OUT)-(c_TMAP2OUT))&gt;=0,1,-1)*QUOTIENT(((c_TMAP3IN)-(c_TMAP2IN)),2))+2147483648,4294967296)-2147483648,((c_TMAP3IN)-(c_TMAP2IN))*(((A613)-(c_TMAP2IN))*((c_TMAP3OUT)-(c_TMAP2OUT))+IF(((c_TMAP3OUT)-(c_TMAP2OUT))&gt;=0,1,-1)*QUOTIENT(((c_TMAP3IN)-(c_TMAP2IN)),2)))&gt;=0,1,0)))</f>
        <v>381</v>
      </c>
      <c r="G613" s="7" t="n">
        <f aca="false">IF(((1000)-(c_TMAP3IN))=0,(c_TMAP3OUT)+QUOTIENT(((1000)-(c_TMAP3OUT)),2),QUOTIENT((((A613)-(c_TMAP3IN))*((1000)-(c_TMAP3OUT))+IF(((1000)-(c_TMAP3OUT))&gt;=0,1,-1)*QUOTIENT(((1000)-(c_TMAP3IN)),2)),((1000)-(c_TMAP3IN)))+(c_TMAP3OUT)+IF(((1000)-(c_TMAP3OUT))&gt;=0,IF(IF(o_WRAP=1,MOD(((1000)-(c_TMAP3IN))*(((A613)-(c_TMAP3IN))*((1000)-(c_TMAP3OUT))+IF(((1000)-(c_TMAP3OUT))&gt;=0,1,-1)*QUOTIENT(((1000)-(c_TMAP3IN)),2))+2147483648,4294967296)-2147483648,((1000)-(c_TMAP3IN))*(((A613)-(c_TMAP3IN))*((1000)-(c_TMAP3OUT))+IF(((1000)-(c_TMAP3OUT))&gt;=0,1,-1)*QUOTIENT(((1000)-(c_TMAP3IN)),2)))&lt;0,-1,0),IF(IF(o_WRAP=1,MOD(((1000)-(c_TMAP3IN))*(((A613)-(c_TMAP3IN))*((1000)-(c_TMAP3OUT))+IF(((1000)-(c_TMAP3OUT))&gt;=0,1,-1)*QUOTIENT(((1000)-(c_TMAP3IN)),2))+2147483648,4294967296)-2147483648,((1000)-(c_TMAP3IN))*(((A613)-(c_TMAP3IN))*((1000)-(c_TMAP3OUT))+IF(((1000)-(c_TMAP3OUT))&gt;=0,1,-1)*QUOTIENT(((1000)-(c_TMAP3IN)),2)))&gt;=0,1,0)))</f>
        <v>518</v>
      </c>
      <c r="H613" s="7" t="str">
        <f aca="false">IF(A613&gt;=c_TFWD,IF(AND(A613&gt;=c_TMAP3IN,c_TMAP3IN&lt;1000),"Seg4 map3-100%",IF(AND(A613&gt;=c_TMAP2IN,c_TMAP3IN&gt;c_TMAP2IN),"Seg3 map2-map3",IF(AND(A613&gt;=c_TMAP1IN,c_TMAP2IN&gt;c_TMAP1IN),"Seg2 map1-map2","Seg1 TFWD-map1"))),IF(AND(A613=0,c_TCREEP&gt;0),"Creep",IF(AND(A613&lt;=c_TRNGMIN,A613&gt;=c_TRNGMAX,c_TRNGMIN-c_TRNGMAX&lt;&gt;0),"Regen ramp","Coast (0)")))</f>
        <v>Seg4 map3-100%</v>
      </c>
      <c r="I613" s="7" t="n">
        <f aca="false">IF(A613&gt;=c_TFWD,IF(AND(A613&gt;=c_TMAP3IN,c_TMAP3IN&lt;1000),G613,IF(AND(A613&gt;=c_TMAP2IN,c_TMAP3IN&gt;c_TMAP2IN),F613,IF(AND(A613&gt;=c_TMAP1IN,c_TMAP2IN&gt;c_TMAP1IN),E613,D613))),C613)</f>
        <v>518</v>
      </c>
      <c r="J613" s="7" t="str">
        <f aca="false">IF(I613&lt;-1090,"TOO LOW",IF(I613&gt;1090,"TOO HIGH",""))</f>
        <v/>
      </c>
      <c r="K613" s="15" t="n">
        <f aca="false">IF(J613&lt;&gt;"",0,IF(I613&gt;979,1000,I613))</f>
        <v>518</v>
      </c>
      <c r="L613" s="7" t="n">
        <f aca="false">K613/10</f>
        <v>51.8</v>
      </c>
    </row>
    <row r="614" customFormat="false" ht="15" hidden="false" customHeight="false" outlineLevel="0" collapsed="false">
      <c r="A614" s="7" t="n">
        <v>609</v>
      </c>
      <c r="B614" s="7" t="n">
        <f aca="false">A614/10</f>
        <v>60.9</v>
      </c>
      <c r="C614" s="7" t="n">
        <f aca="false">IF(AND(A614=0,c_TCREEP&gt;0),10*c_TCREEP,IF(AND(A614&lt;=c_TRNGMIN,A614&gt;=c_TRNGMAX,c_TRNGMIN-c_TRNGMAX&lt;&gt;0),-10*c_TMINRN+QUOTIENT((c_TMAXRN-c_TMINRN)*(100-QUOTIENT((A614-c_TRNGMAX)*100,c_TRNGMIN-c_TRNGMAX)),-10),0))</f>
        <v>0</v>
      </c>
      <c r="D614" s="7" t="n">
        <f aca="false">IF(((c_TMAP1IN)-(c_TFWD))=0,(0)+QUOTIENT(((c_TMAP1OUT)-(0)),2),QUOTIENT((((A614)-(c_TFWD))*((c_TMAP1OUT)-(0))+IF(((c_TMAP1OUT)-(0))&gt;=0,1,-1)*QUOTIENT(((c_TMAP1IN)-(c_TFWD)),2)),((c_TMAP1IN)-(c_TFWD)))+(0)+IF(((c_TMAP1OUT)-(0))&gt;=0,IF(IF(o_WRAP=1,MOD(((c_TMAP1IN)-(c_TFWD))*(((A614)-(c_TFWD))*((c_TMAP1OUT)-(0))+IF(((c_TMAP1OUT)-(0))&gt;=0,1,-1)*QUOTIENT(((c_TMAP1IN)-(c_TFWD)),2))+2147483648,4294967296)-2147483648,((c_TMAP1IN)-(c_TFWD))*(((A614)-(c_TFWD))*((c_TMAP1OUT)-(0))+IF(((c_TMAP1OUT)-(0))&gt;=0,1,-1)*QUOTIENT(((c_TMAP1IN)-(c_TFWD)),2)))&lt;0,-1,0),IF(IF(o_WRAP=1,MOD(((c_TMAP1IN)-(c_TFWD))*(((A614)-(c_TFWD))*((c_TMAP1OUT)-(0))+IF(((c_TMAP1OUT)-(0))&gt;=0,1,-1)*QUOTIENT(((c_TMAP1IN)-(c_TFWD)),2))+2147483648,4294967296)-2147483648,((c_TMAP1IN)-(c_TFWD))*(((A614)-(c_TFWD))*((c_TMAP1OUT)-(0))+IF(((c_TMAP1OUT)-(0))&gt;=0,1,-1)*QUOTIENT(((c_TMAP1IN)-(c_TFWD)),2)))&gt;=0,1,0)))</f>
        <v>466</v>
      </c>
      <c r="E614" s="7" t="n">
        <f aca="false">IF(((c_TMAP2IN)-(c_TMAP1IN))=0,(c_TMAP1OUT)+QUOTIENT(((c_TMAP2OUT)-(c_TMAP1OUT)),2),QUOTIENT((((A614)-(c_TMAP1IN))*((c_TMAP2OUT)-(c_TMAP1OUT))+IF(((c_TMAP2OUT)-(c_TMAP1OUT))&gt;=0,1,-1)*QUOTIENT(((c_TMAP2IN)-(c_TMAP1IN)),2)),((c_TMAP2IN)-(c_TMAP1IN)))+(c_TMAP1OUT)+IF(((c_TMAP2OUT)-(c_TMAP1OUT))&gt;=0,IF(IF(o_WRAP=1,MOD(((c_TMAP2IN)-(c_TMAP1IN))*(((A614)-(c_TMAP1IN))*((c_TMAP2OUT)-(c_TMAP1OUT))+IF(((c_TMAP2OUT)-(c_TMAP1OUT))&gt;=0,1,-1)*QUOTIENT(((c_TMAP2IN)-(c_TMAP1IN)),2))+2147483648,4294967296)-2147483648,((c_TMAP2IN)-(c_TMAP1IN))*(((A614)-(c_TMAP1IN))*((c_TMAP2OUT)-(c_TMAP1OUT))+IF(((c_TMAP2OUT)-(c_TMAP1OUT))&gt;=0,1,-1)*QUOTIENT(((c_TMAP2IN)-(c_TMAP1IN)),2)))&lt;0,-1,0),IF(IF(o_WRAP=1,MOD(((c_TMAP2IN)-(c_TMAP1IN))*(((A614)-(c_TMAP1IN))*((c_TMAP2OUT)-(c_TMAP1OUT))+IF(((c_TMAP2OUT)-(c_TMAP1OUT))&gt;=0,1,-1)*QUOTIENT(((c_TMAP2IN)-(c_TMAP1IN)),2))+2147483648,4294967296)-2147483648,((c_TMAP2IN)-(c_TMAP1IN))*(((A614)-(c_TMAP1IN))*((c_TMAP2OUT)-(c_TMAP1OUT))+IF(((c_TMAP2OUT)-(c_TMAP1OUT))&gt;=0,1,-1)*QUOTIENT(((c_TMAP2IN)-(c_TMAP1IN)),2)))&gt;=0,1,0)))</f>
        <v>274</v>
      </c>
      <c r="F614" s="7" t="n">
        <f aca="false">IF(((c_TMAP3IN)-(c_TMAP2IN))=0,(c_TMAP2OUT)+QUOTIENT(((c_TMAP3OUT)-(c_TMAP2OUT)),2),QUOTIENT((((A614)-(c_TMAP2IN))*((c_TMAP3OUT)-(c_TMAP2OUT))+IF(((c_TMAP3OUT)-(c_TMAP2OUT))&gt;=0,1,-1)*QUOTIENT(((c_TMAP3IN)-(c_TMAP2IN)),2)),((c_TMAP3IN)-(c_TMAP2IN)))+(c_TMAP2OUT)+IF(((c_TMAP3OUT)-(c_TMAP2OUT))&gt;=0,IF(IF(o_WRAP=1,MOD(((c_TMAP3IN)-(c_TMAP2IN))*(((A614)-(c_TMAP2IN))*((c_TMAP3OUT)-(c_TMAP2OUT))+IF(((c_TMAP3OUT)-(c_TMAP2OUT))&gt;=0,1,-1)*QUOTIENT(((c_TMAP3IN)-(c_TMAP2IN)),2))+2147483648,4294967296)-2147483648,((c_TMAP3IN)-(c_TMAP2IN))*(((A614)-(c_TMAP2IN))*((c_TMAP3OUT)-(c_TMAP2OUT))+IF(((c_TMAP3OUT)-(c_TMAP2OUT))&gt;=0,1,-1)*QUOTIENT(((c_TMAP3IN)-(c_TMAP2IN)),2)))&lt;0,-1,0),IF(IF(o_WRAP=1,MOD(((c_TMAP3IN)-(c_TMAP2IN))*(((A614)-(c_TMAP2IN))*((c_TMAP3OUT)-(c_TMAP2OUT))+IF(((c_TMAP3OUT)-(c_TMAP2OUT))&gt;=0,1,-1)*QUOTIENT(((c_TMAP3IN)-(c_TMAP2IN)),2))+2147483648,4294967296)-2147483648,((c_TMAP3IN)-(c_TMAP2IN))*(((A614)-(c_TMAP2IN))*((c_TMAP3OUT)-(c_TMAP2OUT))+IF(((c_TMAP3OUT)-(c_TMAP2OUT))&gt;=0,1,-1)*QUOTIENT(((c_TMAP3IN)-(c_TMAP2IN)),2)))&gt;=0,1,0)))</f>
        <v>381</v>
      </c>
      <c r="G614" s="7" t="n">
        <f aca="false">IF(((1000)-(c_TMAP3IN))=0,(c_TMAP3OUT)+QUOTIENT(((1000)-(c_TMAP3OUT)),2),QUOTIENT((((A614)-(c_TMAP3IN))*((1000)-(c_TMAP3OUT))+IF(((1000)-(c_TMAP3OUT))&gt;=0,1,-1)*QUOTIENT(((1000)-(c_TMAP3IN)),2)),((1000)-(c_TMAP3IN)))+(c_TMAP3OUT)+IF(((1000)-(c_TMAP3OUT))&gt;=0,IF(IF(o_WRAP=1,MOD(((1000)-(c_TMAP3IN))*(((A614)-(c_TMAP3IN))*((1000)-(c_TMAP3OUT))+IF(((1000)-(c_TMAP3OUT))&gt;=0,1,-1)*QUOTIENT(((1000)-(c_TMAP3IN)),2))+2147483648,4294967296)-2147483648,((1000)-(c_TMAP3IN))*(((A614)-(c_TMAP3IN))*((1000)-(c_TMAP3OUT))+IF(((1000)-(c_TMAP3OUT))&gt;=0,1,-1)*QUOTIENT(((1000)-(c_TMAP3IN)),2)))&lt;0,-1,0),IF(IF(o_WRAP=1,MOD(((1000)-(c_TMAP3IN))*(((A614)-(c_TMAP3IN))*((1000)-(c_TMAP3OUT))+IF(((1000)-(c_TMAP3OUT))&gt;=0,1,-1)*QUOTIENT(((1000)-(c_TMAP3IN)),2))+2147483648,4294967296)-2147483648,((1000)-(c_TMAP3IN))*(((A614)-(c_TMAP3IN))*((1000)-(c_TMAP3OUT))+IF(((1000)-(c_TMAP3OUT))&gt;=0,1,-1)*QUOTIENT(((1000)-(c_TMAP3IN)),2)))&gt;=0,1,0)))</f>
        <v>519</v>
      </c>
      <c r="H614" s="7" t="str">
        <f aca="false">IF(A614&gt;=c_TFWD,IF(AND(A614&gt;=c_TMAP3IN,c_TMAP3IN&lt;1000),"Seg4 map3-100%",IF(AND(A614&gt;=c_TMAP2IN,c_TMAP3IN&gt;c_TMAP2IN),"Seg3 map2-map3",IF(AND(A614&gt;=c_TMAP1IN,c_TMAP2IN&gt;c_TMAP1IN),"Seg2 map1-map2","Seg1 TFWD-map1"))),IF(AND(A614=0,c_TCREEP&gt;0),"Creep",IF(AND(A614&lt;=c_TRNGMIN,A614&gt;=c_TRNGMAX,c_TRNGMIN-c_TRNGMAX&lt;&gt;0),"Regen ramp","Coast (0)")))</f>
        <v>Seg4 map3-100%</v>
      </c>
      <c r="I614" s="7" t="n">
        <f aca="false">IF(A614&gt;=c_TFWD,IF(AND(A614&gt;=c_TMAP3IN,c_TMAP3IN&lt;1000),G614,IF(AND(A614&gt;=c_TMAP2IN,c_TMAP3IN&gt;c_TMAP2IN),F614,IF(AND(A614&gt;=c_TMAP1IN,c_TMAP2IN&gt;c_TMAP1IN),E614,D614))),C614)</f>
        <v>519</v>
      </c>
      <c r="J614" s="7" t="str">
        <f aca="false">IF(I614&lt;-1090,"TOO LOW",IF(I614&gt;1090,"TOO HIGH",""))</f>
        <v/>
      </c>
      <c r="K614" s="15" t="n">
        <f aca="false">IF(J614&lt;&gt;"",0,IF(I614&gt;979,1000,I614))</f>
        <v>519</v>
      </c>
      <c r="L614" s="7" t="n">
        <f aca="false">K614/10</f>
        <v>51.9</v>
      </c>
    </row>
    <row r="615" customFormat="false" ht="15" hidden="false" customHeight="false" outlineLevel="0" collapsed="false">
      <c r="A615" s="7" t="n">
        <v>610</v>
      </c>
      <c r="B615" s="7" t="n">
        <f aca="false">A615/10</f>
        <v>61</v>
      </c>
      <c r="C615" s="7" t="n">
        <f aca="false">IF(AND(A615=0,c_TCREEP&gt;0),10*c_TCREEP,IF(AND(A615&lt;=c_TRNGMIN,A615&gt;=c_TRNGMAX,c_TRNGMIN-c_TRNGMAX&lt;&gt;0),-10*c_TMINRN+QUOTIENT((c_TMAXRN-c_TMINRN)*(100-QUOTIENT((A615-c_TRNGMAX)*100,c_TRNGMIN-c_TRNGMAX)),-10),0))</f>
        <v>0</v>
      </c>
      <c r="D615" s="7" t="n">
        <f aca="false">IF(((c_TMAP1IN)-(c_TFWD))=0,(0)+QUOTIENT(((c_TMAP1OUT)-(0)),2),QUOTIENT((((A615)-(c_TFWD))*((c_TMAP1OUT)-(0))+IF(((c_TMAP1OUT)-(0))&gt;=0,1,-1)*QUOTIENT(((c_TMAP1IN)-(c_TFWD)),2)),((c_TMAP1IN)-(c_TFWD)))+(0)+IF(((c_TMAP1OUT)-(0))&gt;=0,IF(IF(o_WRAP=1,MOD(((c_TMAP1IN)-(c_TFWD))*(((A615)-(c_TFWD))*((c_TMAP1OUT)-(0))+IF(((c_TMAP1OUT)-(0))&gt;=0,1,-1)*QUOTIENT(((c_TMAP1IN)-(c_TFWD)),2))+2147483648,4294967296)-2147483648,((c_TMAP1IN)-(c_TFWD))*(((A615)-(c_TFWD))*((c_TMAP1OUT)-(0))+IF(((c_TMAP1OUT)-(0))&gt;=0,1,-1)*QUOTIENT(((c_TMAP1IN)-(c_TFWD)),2)))&lt;0,-1,0),IF(IF(o_WRAP=1,MOD(((c_TMAP1IN)-(c_TFWD))*(((A615)-(c_TFWD))*((c_TMAP1OUT)-(0))+IF(((c_TMAP1OUT)-(0))&gt;=0,1,-1)*QUOTIENT(((c_TMAP1IN)-(c_TFWD)),2))+2147483648,4294967296)-2147483648,((c_TMAP1IN)-(c_TFWD))*(((A615)-(c_TFWD))*((c_TMAP1OUT)-(0))+IF(((c_TMAP1OUT)-(0))&gt;=0,1,-1)*QUOTIENT(((c_TMAP1IN)-(c_TFWD)),2)))&gt;=0,1,0)))</f>
        <v>467</v>
      </c>
      <c r="E615" s="7" t="n">
        <f aca="false">IF(((c_TMAP2IN)-(c_TMAP1IN))=0,(c_TMAP1OUT)+QUOTIENT(((c_TMAP2OUT)-(c_TMAP1OUT)),2),QUOTIENT((((A615)-(c_TMAP1IN))*((c_TMAP2OUT)-(c_TMAP1OUT))+IF(((c_TMAP2OUT)-(c_TMAP1OUT))&gt;=0,1,-1)*QUOTIENT(((c_TMAP2IN)-(c_TMAP1IN)),2)),((c_TMAP2IN)-(c_TMAP1IN)))+(c_TMAP1OUT)+IF(((c_TMAP2OUT)-(c_TMAP1OUT))&gt;=0,IF(IF(o_WRAP=1,MOD(((c_TMAP2IN)-(c_TMAP1IN))*(((A615)-(c_TMAP1IN))*((c_TMAP2OUT)-(c_TMAP1OUT))+IF(((c_TMAP2OUT)-(c_TMAP1OUT))&gt;=0,1,-1)*QUOTIENT(((c_TMAP2IN)-(c_TMAP1IN)),2))+2147483648,4294967296)-2147483648,((c_TMAP2IN)-(c_TMAP1IN))*(((A615)-(c_TMAP1IN))*((c_TMAP2OUT)-(c_TMAP1OUT))+IF(((c_TMAP2OUT)-(c_TMAP1OUT))&gt;=0,1,-1)*QUOTIENT(((c_TMAP2IN)-(c_TMAP1IN)),2)))&lt;0,-1,0),IF(IF(o_WRAP=1,MOD(((c_TMAP2IN)-(c_TMAP1IN))*(((A615)-(c_TMAP1IN))*((c_TMAP2OUT)-(c_TMAP1OUT))+IF(((c_TMAP2OUT)-(c_TMAP1OUT))&gt;=0,1,-1)*QUOTIENT(((c_TMAP2IN)-(c_TMAP1IN)),2))+2147483648,4294967296)-2147483648,((c_TMAP2IN)-(c_TMAP1IN))*(((A615)-(c_TMAP1IN))*((c_TMAP2OUT)-(c_TMAP1OUT))+IF(((c_TMAP2OUT)-(c_TMAP1OUT))&gt;=0,1,-1)*QUOTIENT(((c_TMAP2IN)-(c_TMAP1IN)),2)))&gt;=0,1,0)))</f>
        <v>274</v>
      </c>
      <c r="F615" s="7" t="n">
        <f aca="false">IF(((c_TMAP3IN)-(c_TMAP2IN))=0,(c_TMAP2OUT)+QUOTIENT(((c_TMAP3OUT)-(c_TMAP2OUT)),2),QUOTIENT((((A615)-(c_TMAP2IN))*((c_TMAP3OUT)-(c_TMAP2OUT))+IF(((c_TMAP3OUT)-(c_TMAP2OUT))&gt;=0,1,-1)*QUOTIENT(((c_TMAP3IN)-(c_TMAP2IN)),2)),((c_TMAP3IN)-(c_TMAP2IN)))+(c_TMAP2OUT)+IF(((c_TMAP3OUT)-(c_TMAP2OUT))&gt;=0,IF(IF(o_WRAP=1,MOD(((c_TMAP3IN)-(c_TMAP2IN))*(((A615)-(c_TMAP2IN))*((c_TMAP3OUT)-(c_TMAP2OUT))+IF(((c_TMAP3OUT)-(c_TMAP2OUT))&gt;=0,1,-1)*QUOTIENT(((c_TMAP3IN)-(c_TMAP2IN)),2))+2147483648,4294967296)-2147483648,((c_TMAP3IN)-(c_TMAP2IN))*(((A615)-(c_TMAP2IN))*((c_TMAP3OUT)-(c_TMAP2OUT))+IF(((c_TMAP3OUT)-(c_TMAP2OUT))&gt;=0,1,-1)*QUOTIENT(((c_TMAP3IN)-(c_TMAP2IN)),2)))&lt;0,-1,0),IF(IF(o_WRAP=1,MOD(((c_TMAP3IN)-(c_TMAP2IN))*(((A615)-(c_TMAP2IN))*((c_TMAP3OUT)-(c_TMAP2OUT))+IF(((c_TMAP3OUT)-(c_TMAP2OUT))&gt;=0,1,-1)*QUOTIENT(((c_TMAP3IN)-(c_TMAP2IN)),2))+2147483648,4294967296)-2147483648,((c_TMAP3IN)-(c_TMAP2IN))*(((A615)-(c_TMAP2IN))*((c_TMAP3OUT)-(c_TMAP2OUT))+IF(((c_TMAP3OUT)-(c_TMAP2OUT))&gt;=0,1,-1)*QUOTIENT(((c_TMAP3IN)-(c_TMAP2IN)),2)))&gt;=0,1,0)))</f>
        <v>382</v>
      </c>
      <c r="G615" s="7" t="n">
        <f aca="false">IF(((1000)-(c_TMAP3IN))=0,(c_TMAP3OUT)+QUOTIENT(((1000)-(c_TMAP3OUT)),2),QUOTIENT((((A615)-(c_TMAP3IN))*((1000)-(c_TMAP3OUT))+IF(((1000)-(c_TMAP3OUT))&gt;=0,1,-1)*QUOTIENT(((1000)-(c_TMAP3IN)),2)),((1000)-(c_TMAP3IN)))+(c_TMAP3OUT)+IF(((1000)-(c_TMAP3OUT))&gt;=0,IF(IF(o_WRAP=1,MOD(((1000)-(c_TMAP3IN))*(((A615)-(c_TMAP3IN))*((1000)-(c_TMAP3OUT))+IF(((1000)-(c_TMAP3OUT))&gt;=0,1,-1)*QUOTIENT(((1000)-(c_TMAP3IN)),2))+2147483648,4294967296)-2147483648,((1000)-(c_TMAP3IN))*(((A615)-(c_TMAP3IN))*((1000)-(c_TMAP3OUT))+IF(((1000)-(c_TMAP3OUT))&gt;=0,1,-1)*QUOTIENT(((1000)-(c_TMAP3IN)),2)))&lt;0,-1,0),IF(IF(o_WRAP=1,MOD(((1000)-(c_TMAP3IN))*(((A615)-(c_TMAP3IN))*((1000)-(c_TMAP3OUT))+IF(((1000)-(c_TMAP3OUT))&gt;=0,1,-1)*QUOTIENT(((1000)-(c_TMAP3IN)),2))+2147483648,4294967296)-2147483648,((1000)-(c_TMAP3IN))*(((A615)-(c_TMAP3IN))*((1000)-(c_TMAP3OUT))+IF(((1000)-(c_TMAP3OUT))&gt;=0,1,-1)*QUOTIENT(((1000)-(c_TMAP3IN)),2)))&gt;=0,1,0)))</f>
        <v>520</v>
      </c>
      <c r="H615" s="7" t="str">
        <f aca="false">IF(A615&gt;=c_TFWD,IF(AND(A615&gt;=c_TMAP3IN,c_TMAP3IN&lt;1000),"Seg4 map3-100%",IF(AND(A615&gt;=c_TMAP2IN,c_TMAP3IN&gt;c_TMAP2IN),"Seg3 map2-map3",IF(AND(A615&gt;=c_TMAP1IN,c_TMAP2IN&gt;c_TMAP1IN),"Seg2 map1-map2","Seg1 TFWD-map1"))),IF(AND(A615=0,c_TCREEP&gt;0),"Creep",IF(AND(A615&lt;=c_TRNGMIN,A615&gt;=c_TRNGMAX,c_TRNGMIN-c_TRNGMAX&lt;&gt;0),"Regen ramp","Coast (0)")))</f>
        <v>Seg4 map3-100%</v>
      </c>
      <c r="I615" s="7" t="n">
        <f aca="false">IF(A615&gt;=c_TFWD,IF(AND(A615&gt;=c_TMAP3IN,c_TMAP3IN&lt;1000),G615,IF(AND(A615&gt;=c_TMAP2IN,c_TMAP3IN&gt;c_TMAP2IN),F615,IF(AND(A615&gt;=c_TMAP1IN,c_TMAP2IN&gt;c_TMAP1IN),E615,D615))),C615)</f>
        <v>520</v>
      </c>
      <c r="J615" s="7" t="str">
        <f aca="false">IF(I615&lt;-1090,"TOO LOW",IF(I615&gt;1090,"TOO HIGH",""))</f>
        <v/>
      </c>
      <c r="K615" s="15" t="n">
        <f aca="false">IF(J615&lt;&gt;"",0,IF(I615&gt;979,1000,I615))</f>
        <v>520</v>
      </c>
      <c r="L615" s="7" t="n">
        <f aca="false">K615/10</f>
        <v>52</v>
      </c>
    </row>
    <row r="616" customFormat="false" ht="15" hidden="false" customHeight="false" outlineLevel="0" collapsed="false">
      <c r="A616" s="7" t="n">
        <v>611</v>
      </c>
      <c r="B616" s="7" t="n">
        <f aca="false">A616/10</f>
        <v>61.1</v>
      </c>
      <c r="C616" s="7" t="n">
        <f aca="false">IF(AND(A616=0,c_TCREEP&gt;0),10*c_TCREEP,IF(AND(A616&lt;=c_TRNGMIN,A616&gt;=c_TRNGMAX,c_TRNGMIN-c_TRNGMAX&lt;&gt;0),-10*c_TMINRN+QUOTIENT((c_TMAXRN-c_TMINRN)*(100-QUOTIENT((A616-c_TRNGMAX)*100,c_TRNGMIN-c_TRNGMAX)),-10),0))</f>
        <v>0</v>
      </c>
      <c r="D616" s="7" t="n">
        <f aca="false">IF(((c_TMAP1IN)-(c_TFWD))=0,(0)+QUOTIENT(((c_TMAP1OUT)-(0)),2),QUOTIENT((((A616)-(c_TFWD))*((c_TMAP1OUT)-(0))+IF(((c_TMAP1OUT)-(0))&gt;=0,1,-1)*QUOTIENT(((c_TMAP1IN)-(c_TFWD)),2)),((c_TMAP1IN)-(c_TFWD)))+(0)+IF(((c_TMAP1OUT)-(0))&gt;=0,IF(IF(o_WRAP=1,MOD(((c_TMAP1IN)-(c_TFWD))*(((A616)-(c_TFWD))*((c_TMAP1OUT)-(0))+IF(((c_TMAP1OUT)-(0))&gt;=0,1,-1)*QUOTIENT(((c_TMAP1IN)-(c_TFWD)),2))+2147483648,4294967296)-2147483648,((c_TMAP1IN)-(c_TFWD))*(((A616)-(c_TFWD))*((c_TMAP1OUT)-(0))+IF(((c_TMAP1OUT)-(0))&gt;=0,1,-1)*QUOTIENT(((c_TMAP1IN)-(c_TFWD)),2)))&lt;0,-1,0),IF(IF(o_WRAP=1,MOD(((c_TMAP1IN)-(c_TFWD))*(((A616)-(c_TFWD))*((c_TMAP1OUT)-(0))+IF(((c_TMAP1OUT)-(0))&gt;=0,1,-1)*QUOTIENT(((c_TMAP1IN)-(c_TFWD)),2))+2147483648,4294967296)-2147483648,((c_TMAP1IN)-(c_TFWD))*(((A616)-(c_TFWD))*((c_TMAP1OUT)-(0))+IF(((c_TMAP1OUT)-(0))&gt;=0,1,-1)*QUOTIENT(((c_TMAP1IN)-(c_TFWD)),2)))&gt;=0,1,0)))</f>
        <v>467</v>
      </c>
      <c r="E616" s="7" t="n">
        <f aca="false">IF(((c_TMAP2IN)-(c_TMAP1IN))=0,(c_TMAP1OUT)+QUOTIENT(((c_TMAP2OUT)-(c_TMAP1OUT)),2),QUOTIENT((((A616)-(c_TMAP1IN))*((c_TMAP2OUT)-(c_TMAP1OUT))+IF(((c_TMAP2OUT)-(c_TMAP1OUT))&gt;=0,1,-1)*QUOTIENT(((c_TMAP2IN)-(c_TMAP1IN)),2)),((c_TMAP2IN)-(c_TMAP1IN)))+(c_TMAP1OUT)+IF(((c_TMAP2OUT)-(c_TMAP1OUT))&gt;=0,IF(IF(o_WRAP=1,MOD(((c_TMAP2IN)-(c_TMAP1IN))*(((A616)-(c_TMAP1IN))*((c_TMAP2OUT)-(c_TMAP1OUT))+IF(((c_TMAP2OUT)-(c_TMAP1OUT))&gt;=0,1,-1)*QUOTIENT(((c_TMAP2IN)-(c_TMAP1IN)),2))+2147483648,4294967296)-2147483648,((c_TMAP2IN)-(c_TMAP1IN))*(((A616)-(c_TMAP1IN))*((c_TMAP2OUT)-(c_TMAP1OUT))+IF(((c_TMAP2OUT)-(c_TMAP1OUT))&gt;=0,1,-1)*QUOTIENT(((c_TMAP2IN)-(c_TMAP1IN)),2)))&lt;0,-1,0),IF(IF(o_WRAP=1,MOD(((c_TMAP2IN)-(c_TMAP1IN))*(((A616)-(c_TMAP1IN))*((c_TMAP2OUT)-(c_TMAP1OUT))+IF(((c_TMAP2OUT)-(c_TMAP1OUT))&gt;=0,1,-1)*QUOTIENT(((c_TMAP2IN)-(c_TMAP1IN)),2))+2147483648,4294967296)-2147483648,((c_TMAP2IN)-(c_TMAP1IN))*(((A616)-(c_TMAP1IN))*((c_TMAP2OUT)-(c_TMAP1OUT))+IF(((c_TMAP2OUT)-(c_TMAP1OUT))&gt;=0,1,-1)*QUOTIENT(((c_TMAP2IN)-(c_TMAP1IN)),2)))&gt;=0,1,0)))</f>
        <v>274</v>
      </c>
      <c r="F616" s="7" t="n">
        <f aca="false">IF(((c_TMAP3IN)-(c_TMAP2IN))=0,(c_TMAP2OUT)+QUOTIENT(((c_TMAP3OUT)-(c_TMAP2OUT)),2),QUOTIENT((((A616)-(c_TMAP2IN))*((c_TMAP3OUT)-(c_TMAP2OUT))+IF(((c_TMAP3OUT)-(c_TMAP2OUT))&gt;=0,1,-1)*QUOTIENT(((c_TMAP3IN)-(c_TMAP2IN)),2)),((c_TMAP3IN)-(c_TMAP2IN)))+(c_TMAP2OUT)+IF(((c_TMAP3OUT)-(c_TMAP2OUT))&gt;=0,IF(IF(o_WRAP=1,MOD(((c_TMAP3IN)-(c_TMAP2IN))*(((A616)-(c_TMAP2IN))*((c_TMAP3OUT)-(c_TMAP2OUT))+IF(((c_TMAP3OUT)-(c_TMAP2OUT))&gt;=0,1,-1)*QUOTIENT(((c_TMAP3IN)-(c_TMAP2IN)),2))+2147483648,4294967296)-2147483648,((c_TMAP3IN)-(c_TMAP2IN))*(((A616)-(c_TMAP2IN))*((c_TMAP3OUT)-(c_TMAP2OUT))+IF(((c_TMAP3OUT)-(c_TMAP2OUT))&gt;=0,1,-1)*QUOTIENT(((c_TMAP3IN)-(c_TMAP2IN)),2)))&lt;0,-1,0),IF(IF(o_WRAP=1,MOD(((c_TMAP3IN)-(c_TMAP2IN))*(((A616)-(c_TMAP2IN))*((c_TMAP3OUT)-(c_TMAP2OUT))+IF(((c_TMAP3OUT)-(c_TMAP2OUT))&gt;=0,1,-1)*QUOTIENT(((c_TMAP3IN)-(c_TMAP2IN)),2))+2147483648,4294967296)-2147483648,((c_TMAP3IN)-(c_TMAP2IN))*(((A616)-(c_TMAP2IN))*((c_TMAP3OUT)-(c_TMAP2OUT))+IF(((c_TMAP3OUT)-(c_TMAP2OUT))&gt;=0,1,-1)*QUOTIENT(((c_TMAP3IN)-(c_TMAP2IN)),2)))&gt;=0,1,0)))</f>
        <v>383</v>
      </c>
      <c r="G616" s="7" t="n">
        <f aca="false">IF(((1000)-(c_TMAP3IN))=0,(c_TMAP3OUT)+QUOTIENT(((1000)-(c_TMAP3OUT)),2),QUOTIENT((((A616)-(c_TMAP3IN))*((1000)-(c_TMAP3OUT))+IF(((1000)-(c_TMAP3OUT))&gt;=0,1,-1)*QUOTIENT(((1000)-(c_TMAP3IN)),2)),((1000)-(c_TMAP3IN)))+(c_TMAP3OUT)+IF(((1000)-(c_TMAP3OUT))&gt;=0,IF(IF(o_WRAP=1,MOD(((1000)-(c_TMAP3IN))*(((A616)-(c_TMAP3IN))*((1000)-(c_TMAP3OUT))+IF(((1000)-(c_TMAP3OUT))&gt;=0,1,-1)*QUOTIENT(((1000)-(c_TMAP3IN)),2))+2147483648,4294967296)-2147483648,((1000)-(c_TMAP3IN))*(((A616)-(c_TMAP3IN))*((1000)-(c_TMAP3OUT))+IF(((1000)-(c_TMAP3OUT))&gt;=0,1,-1)*QUOTIENT(((1000)-(c_TMAP3IN)),2)))&lt;0,-1,0),IF(IF(o_WRAP=1,MOD(((1000)-(c_TMAP3IN))*(((A616)-(c_TMAP3IN))*((1000)-(c_TMAP3OUT))+IF(((1000)-(c_TMAP3OUT))&gt;=0,1,-1)*QUOTIENT(((1000)-(c_TMAP3IN)),2))+2147483648,4294967296)-2147483648,((1000)-(c_TMAP3IN))*(((A616)-(c_TMAP3IN))*((1000)-(c_TMAP3OUT))+IF(((1000)-(c_TMAP3OUT))&gt;=0,1,-1)*QUOTIENT(((1000)-(c_TMAP3IN)),2)))&gt;=0,1,0)))</f>
        <v>521</v>
      </c>
      <c r="H616" s="7" t="str">
        <f aca="false">IF(A616&gt;=c_TFWD,IF(AND(A616&gt;=c_TMAP3IN,c_TMAP3IN&lt;1000),"Seg4 map3-100%",IF(AND(A616&gt;=c_TMAP2IN,c_TMAP3IN&gt;c_TMAP2IN),"Seg3 map2-map3",IF(AND(A616&gt;=c_TMAP1IN,c_TMAP2IN&gt;c_TMAP1IN),"Seg2 map1-map2","Seg1 TFWD-map1"))),IF(AND(A616=0,c_TCREEP&gt;0),"Creep",IF(AND(A616&lt;=c_TRNGMIN,A616&gt;=c_TRNGMAX,c_TRNGMIN-c_TRNGMAX&lt;&gt;0),"Regen ramp","Coast (0)")))</f>
        <v>Seg4 map3-100%</v>
      </c>
      <c r="I616" s="7" t="n">
        <f aca="false">IF(A616&gt;=c_TFWD,IF(AND(A616&gt;=c_TMAP3IN,c_TMAP3IN&lt;1000),G616,IF(AND(A616&gt;=c_TMAP2IN,c_TMAP3IN&gt;c_TMAP2IN),F616,IF(AND(A616&gt;=c_TMAP1IN,c_TMAP2IN&gt;c_TMAP1IN),E616,D616))),C616)</f>
        <v>521</v>
      </c>
      <c r="J616" s="7" t="str">
        <f aca="false">IF(I616&lt;-1090,"TOO LOW",IF(I616&gt;1090,"TOO HIGH",""))</f>
        <v/>
      </c>
      <c r="K616" s="15" t="n">
        <f aca="false">IF(J616&lt;&gt;"",0,IF(I616&gt;979,1000,I616))</f>
        <v>521</v>
      </c>
      <c r="L616" s="7" t="n">
        <f aca="false">K616/10</f>
        <v>52.1</v>
      </c>
    </row>
    <row r="617" customFormat="false" ht="15" hidden="false" customHeight="false" outlineLevel="0" collapsed="false">
      <c r="A617" s="7" t="n">
        <v>612</v>
      </c>
      <c r="B617" s="7" t="n">
        <f aca="false">A617/10</f>
        <v>61.2</v>
      </c>
      <c r="C617" s="7" t="n">
        <f aca="false">IF(AND(A617=0,c_TCREEP&gt;0),10*c_TCREEP,IF(AND(A617&lt;=c_TRNGMIN,A617&gt;=c_TRNGMAX,c_TRNGMIN-c_TRNGMAX&lt;&gt;0),-10*c_TMINRN+QUOTIENT((c_TMAXRN-c_TMINRN)*(100-QUOTIENT((A617-c_TRNGMAX)*100,c_TRNGMIN-c_TRNGMAX)),-10),0))</f>
        <v>0</v>
      </c>
      <c r="D617" s="7" t="n">
        <f aca="false">IF(((c_TMAP1IN)-(c_TFWD))=0,(0)+QUOTIENT(((c_TMAP1OUT)-(0)),2),QUOTIENT((((A617)-(c_TFWD))*((c_TMAP1OUT)-(0))+IF(((c_TMAP1OUT)-(0))&gt;=0,1,-1)*QUOTIENT(((c_TMAP1IN)-(c_TFWD)),2)),((c_TMAP1IN)-(c_TFWD)))+(0)+IF(((c_TMAP1OUT)-(0))&gt;=0,IF(IF(o_WRAP=1,MOD(((c_TMAP1IN)-(c_TFWD))*(((A617)-(c_TFWD))*((c_TMAP1OUT)-(0))+IF(((c_TMAP1OUT)-(0))&gt;=0,1,-1)*QUOTIENT(((c_TMAP1IN)-(c_TFWD)),2))+2147483648,4294967296)-2147483648,((c_TMAP1IN)-(c_TFWD))*(((A617)-(c_TFWD))*((c_TMAP1OUT)-(0))+IF(((c_TMAP1OUT)-(0))&gt;=0,1,-1)*QUOTIENT(((c_TMAP1IN)-(c_TFWD)),2)))&lt;0,-1,0),IF(IF(o_WRAP=1,MOD(((c_TMAP1IN)-(c_TFWD))*(((A617)-(c_TFWD))*((c_TMAP1OUT)-(0))+IF(((c_TMAP1OUT)-(0))&gt;=0,1,-1)*QUOTIENT(((c_TMAP1IN)-(c_TFWD)),2))+2147483648,4294967296)-2147483648,((c_TMAP1IN)-(c_TFWD))*(((A617)-(c_TFWD))*((c_TMAP1OUT)-(0))+IF(((c_TMAP1OUT)-(0))&gt;=0,1,-1)*QUOTIENT(((c_TMAP1IN)-(c_TFWD)),2)))&gt;=0,1,0)))</f>
        <v>468</v>
      </c>
      <c r="E617" s="7" t="n">
        <f aca="false">IF(((c_TMAP2IN)-(c_TMAP1IN))=0,(c_TMAP1OUT)+QUOTIENT(((c_TMAP2OUT)-(c_TMAP1OUT)),2),QUOTIENT((((A617)-(c_TMAP1IN))*((c_TMAP2OUT)-(c_TMAP1OUT))+IF(((c_TMAP2OUT)-(c_TMAP1OUT))&gt;=0,1,-1)*QUOTIENT(((c_TMAP2IN)-(c_TMAP1IN)),2)),((c_TMAP2IN)-(c_TMAP1IN)))+(c_TMAP1OUT)+IF(((c_TMAP2OUT)-(c_TMAP1OUT))&gt;=0,IF(IF(o_WRAP=1,MOD(((c_TMAP2IN)-(c_TMAP1IN))*(((A617)-(c_TMAP1IN))*((c_TMAP2OUT)-(c_TMAP1OUT))+IF(((c_TMAP2OUT)-(c_TMAP1OUT))&gt;=0,1,-1)*QUOTIENT(((c_TMAP2IN)-(c_TMAP1IN)),2))+2147483648,4294967296)-2147483648,((c_TMAP2IN)-(c_TMAP1IN))*(((A617)-(c_TMAP1IN))*((c_TMAP2OUT)-(c_TMAP1OUT))+IF(((c_TMAP2OUT)-(c_TMAP1OUT))&gt;=0,1,-1)*QUOTIENT(((c_TMAP2IN)-(c_TMAP1IN)),2)))&lt;0,-1,0),IF(IF(o_WRAP=1,MOD(((c_TMAP2IN)-(c_TMAP1IN))*(((A617)-(c_TMAP1IN))*((c_TMAP2OUT)-(c_TMAP1OUT))+IF(((c_TMAP2OUT)-(c_TMAP1OUT))&gt;=0,1,-1)*QUOTIENT(((c_TMAP2IN)-(c_TMAP1IN)),2))+2147483648,4294967296)-2147483648,((c_TMAP2IN)-(c_TMAP1IN))*(((A617)-(c_TMAP1IN))*((c_TMAP2OUT)-(c_TMAP1OUT))+IF(((c_TMAP2OUT)-(c_TMAP1OUT))&gt;=0,1,-1)*QUOTIENT(((c_TMAP2IN)-(c_TMAP1IN)),2)))&gt;=0,1,0)))</f>
        <v>275</v>
      </c>
      <c r="F617" s="7" t="n">
        <f aca="false">IF(((c_TMAP3IN)-(c_TMAP2IN))=0,(c_TMAP2OUT)+QUOTIENT(((c_TMAP3OUT)-(c_TMAP2OUT)),2),QUOTIENT((((A617)-(c_TMAP2IN))*((c_TMAP3OUT)-(c_TMAP2OUT))+IF(((c_TMAP3OUT)-(c_TMAP2OUT))&gt;=0,1,-1)*QUOTIENT(((c_TMAP3IN)-(c_TMAP2IN)),2)),((c_TMAP3IN)-(c_TMAP2IN)))+(c_TMAP2OUT)+IF(((c_TMAP3OUT)-(c_TMAP2OUT))&gt;=0,IF(IF(o_WRAP=1,MOD(((c_TMAP3IN)-(c_TMAP2IN))*(((A617)-(c_TMAP2IN))*((c_TMAP3OUT)-(c_TMAP2OUT))+IF(((c_TMAP3OUT)-(c_TMAP2OUT))&gt;=0,1,-1)*QUOTIENT(((c_TMAP3IN)-(c_TMAP2IN)),2))+2147483648,4294967296)-2147483648,((c_TMAP3IN)-(c_TMAP2IN))*(((A617)-(c_TMAP2IN))*((c_TMAP3OUT)-(c_TMAP2OUT))+IF(((c_TMAP3OUT)-(c_TMAP2OUT))&gt;=0,1,-1)*QUOTIENT(((c_TMAP3IN)-(c_TMAP2IN)),2)))&lt;0,-1,0),IF(IF(o_WRAP=1,MOD(((c_TMAP3IN)-(c_TMAP2IN))*(((A617)-(c_TMAP2IN))*((c_TMAP3OUT)-(c_TMAP2OUT))+IF(((c_TMAP3OUT)-(c_TMAP2OUT))&gt;=0,1,-1)*QUOTIENT(((c_TMAP3IN)-(c_TMAP2IN)),2))+2147483648,4294967296)-2147483648,((c_TMAP3IN)-(c_TMAP2IN))*(((A617)-(c_TMAP2IN))*((c_TMAP3OUT)-(c_TMAP2OUT))+IF(((c_TMAP3OUT)-(c_TMAP2OUT))&gt;=0,1,-1)*QUOTIENT(((c_TMAP3IN)-(c_TMAP2IN)),2)))&gt;=0,1,0)))</f>
        <v>383</v>
      </c>
      <c r="G617" s="7" t="n">
        <f aca="false">IF(((1000)-(c_TMAP3IN))=0,(c_TMAP3OUT)+QUOTIENT(((1000)-(c_TMAP3OUT)),2),QUOTIENT((((A617)-(c_TMAP3IN))*((1000)-(c_TMAP3OUT))+IF(((1000)-(c_TMAP3OUT))&gt;=0,1,-1)*QUOTIENT(((1000)-(c_TMAP3IN)),2)),((1000)-(c_TMAP3IN)))+(c_TMAP3OUT)+IF(((1000)-(c_TMAP3OUT))&gt;=0,IF(IF(o_WRAP=1,MOD(((1000)-(c_TMAP3IN))*(((A617)-(c_TMAP3IN))*((1000)-(c_TMAP3OUT))+IF(((1000)-(c_TMAP3OUT))&gt;=0,1,-1)*QUOTIENT(((1000)-(c_TMAP3IN)),2))+2147483648,4294967296)-2147483648,((1000)-(c_TMAP3IN))*(((A617)-(c_TMAP3IN))*((1000)-(c_TMAP3OUT))+IF(((1000)-(c_TMAP3OUT))&gt;=0,1,-1)*QUOTIENT(((1000)-(c_TMAP3IN)),2)))&lt;0,-1,0),IF(IF(o_WRAP=1,MOD(((1000)-(c_TMAP3IN))*(((A617)-(c_TMAP3IN))*((1000)-(c_TMAP3OUT))+IF(((1000)-(c_TMAP3OUT))&gt;=0,1,-1)*QUOTIENT(((1000)-(c_TMAP3IN)),2))+2147483648,4294967296)-2147483648,((1000)-(c_TMAP3IN))*(((A617)-(c_TMAP3IN))*((1000)-(c_TMAP3OUT))+IF(((1000)-(c_TMAP3OUT))&gt;=0,1,-1)*QUOTIENT(((1000)-(c_TMAP3IN)),2)))&gt;=0,1,0)))</f>
        <v>522</v>
      </c>
      <c r="H617" s="7" t="str">
        <f aca="false">IF(A617&gt;=c_TFWD,IF(AND(A617&gt;=c_TMAP3IN,c_TMAP3IN&lt;1000),"Seg4 map3-100%",IF(AND(A617&gt;=c_TMAP2IN,c_TMAP3IN&gt;c_TMAP2IN),"Seg3 map2-map3",IF(AND(A617&gt;=c_TMAP1IN,c_TMAP2IN&gt;c_TMAP1IN),"Seg2 map1-map2","Seg1 TFWD-map1"))),IF(AND(A617=0,c_TCREEP&gt;0),"Creep",IF(AND(A617&lt;=c_TRNGMIN,A617&gt;=c_TRNGMAX,c_TRNGMIN-c_TRNGMAX&lt;&gt;0),"Regen ramp","Coast (0)")))</f>
        <v>Seg4 map3-100%</v>
      </c>
      <c r="I617" s="7" t="n">
        <f aca="false">IF(A617&gt;=c_TFWD,IF(AND(A617&gt;=c_TMAP3IN,c_TMAP3IN&lt;1000),G617,IF(AND(A617&gt;=c_TMAP2IN,c_TMAP3IN&gt;c_TMAP2IN),F617,IF(AND(A617&gt;=c_TMAP1IN,c_TMAP2IN&gt;c_TMAP1IN),E617,D617))),C617)</f>
        <v>522</v>
      </c>
      <c r="J617" s="7" t="str">
        <f aca="false">IF(I617&lt;-1090,"TOO LOW",IF(I617&gt;1090,"TOO HIGH",""))</f>
        <v/>
      </c>
      <c r="K617" s="15" t="n">
        <f aca="false">IF(J617&lt;&gt;"",0,IF(I617&gt;979,1000,I617))</f>
        <v>522</v>
      </c>
      <c r="L617" s="7" t="n">
        <f aca="false">K617/10</f>
        <v>52.2</v>
      </c>
    </row>
    <row r="618" customFormat="false" ht="15" hidden="false" customHeight="false" outlineLevel="0" collapsed="false">
      <c r="A618" s="7" t="n">
        <v>613</v>
      </c>
      <c r="B618" s="7" t="n">
        <f aca="false">A618/10</f>
        <v>61.3</v>
      </c>
      <c r="C618" s="7" t="n">
        <f aca="false">IF(AND(A618=0,c_TCREEP&gt;0),10*c_TCREEP,IF(AND(A618&lt;=c_TRNGMIN,A618&gt;=c_TRNGMAX,c_TRNGMIN-c_TRNGMAX&lt;&gt;0),-10*c_TMINRN+QUOTIENT((c_TMAXRN-c_TMINRN)*(100-QUOTIENT((A618-c_TRNGMAX)*100,c_TRNGMIN-c_TRNGMAX)),-10),0))</f>
        <v>0</v>
      </c>
      <c r="D618" s="7" t="n">
        <f aca="false">IF(((c_TMAP1IN)-(c_TFWD))=0,(0)+QUOTIENT(((c_TMAP1OUT)-(0)),2),QUOTIENT((((A618)-(c_TFWD))*((c_TMAP1OUT)-(0))+IF(((c_TMAP1OUT)-(0))&gt;=0,1,-1)*QUOTIENT(((c_TMAP1IN)-(c_TFWD)),2)),((c_TMAP1IN)-(c_TFWD)))+(0)+IF(((c_TMAP1OUT)-(0))&gt;=0,IF(IF(o_WRAP=1,MOD(((c_TMAP1IN)-(c_TFWD))*(((A618)-(c_TFWD))*((c_TMAP1OUT)-(0))+IF(((c_TMAP1OUT)-(0))&gt;=0,1,-1)*QUOTIENT(((c_TMAP1IN)-(c_TFWD)),2))+2147483648,4294967296)-2147483648,((c_TMAP1IN)-(c_TFWD))*(((A618)-(c_TFWD))*((c_TMAP1OUT)-(0))+IF(((c_TMAP1OUT)-(0))&gt;=0,1,-1)*QUOTIENT(((c_TMAP1IN)-(c_TFWD)),2)))&lt;0,-1,0),IF(IF(o_WRAP=1,MOD(((c_TMAP1IN)-(c_TFWD))*(((A618)-(c_TFWD))*((c_TMAP1OUT)-(0))+IF(((c_TMAP1OUT)-(0))&gt;=0,1,-1)*QUOTIENT(((c_TMAP1IN)-(c_TFWD)),2))+2147483648,4294967296)-2147483648,((c_TMAP1IN)-(c_TFWD))*(((A618)-(c_TFWD))*((c_TMAP1OUT)-(0))+IF(((c_TMAP1OUT)-(0))&gt;=0,1,-1)*QUOTIENT(((c_TMAP1IN)-(c_TFWD)),2)))&gt;=0,1,0)))</f>
        <v>469</v>
      </c>
      <c r="E618" s="7" t="n">
        <f aca="false">IF(((c_TMAP2IN)-(c_TMAP1IN))=0,(c_TMAP1OUT)+QUOTIENT(((c_TMAP2OUT)-(c_TMAP1OUT)),2),QUOTIENT((((A618)-(c_TMAP1IN))*((c_TMAP2OUT)-(c_TMAP1OUT))+IF(((c_TMAP2OUT)-(c_TMAP1OUT))&gt;=0,1,-1)*QUOTIENT(((c_TMAP2IN)-(c_TMAP1IN)),2)),((c_TMAP2IN)-(c_TMAP1IN)))+(c_TMAP1OUT)+IF(((c_TMAP2OUT)-(c_TMAP1OUT))&gt;=0,IF(IF(o_WRAP=1,MOD(((c_TMAP2IN)-(c_TMAP1IN))*(((A618)-(c_TMAP1IN))*((c_TMAP2OUT)-(c_TMAP1OUT))+IF(((c_TMAP2OUT)-(c_TMAP1OUT))&gt;=0,1,-1)*QUOTIENT(((c_TMAP2IN)-(c_TMAP1IN)),2))+2147483648,4294967296)-2147483648,((c_TMAP2IN)-(c_TMAP1IN))*(((A618)-(c_TMAP1IN))*((c_TMAP2OUT)-(c_TMAP1OUT))+IF(((c_TMAP2OUT)-(c_TMAP1OUT))&gt;=0,1,-1)*QUOTIENT(((c_TMAP2IN)-(c_TMAP1IN)),2)))&lt;0,-1,0),IF(IF(o_WRAP=1,MOD(((c_TMAP2IN)-(c_TMAP1IN))*(((A618)-(c_TMAP1IN))*((c_TMAP2OUT)-(c_TMAP1OUT))+IF(((c_TMAP2OUT)-(c_TMAP1OUT))&gt;=0,1,-1)*QUOTIENT(((c_TMAP2IN)-(c_TMAP1IN)),2))+2147483648,4294967296)-2147483648,((c_TMAP2IN)-(c_TMAP1IN))*(((A618)-(c_TMAP1IN))*((c_TMAP2OUT)-(c_TMAP1OUT))+IF(((c_TMAP2OUT)-(c_TMAP1OUT))&gt;=0,1,-1)*QUOTIENT(((c_TMAP2IN)-(c_TMAP1IN)),2)))&gt;=0,1,0)))</f>
        <v>275</v>
      </c>
      <c r="F618" s="7" t="n">
        <f aca="false">IF(((c_TMAP3IN)-(c_TMAP2IN))=0,(c_TMAP2OUT)+QUOTIENT(((c_TMAP3OUT)-(c_TMAP2OUT)),2),QUOTIENT((((A618)-(c_TMAP2IN))*((c_TMAP3OUT)-(c_TMAP2OUT))+IF(((c_TMAP3OUT)-(c_TMAP2OUT))&gt;=0,1,-1)*QUOTIENT(((c_TMAP3IN)-(c_TMAP2IN)),2)),((c_TMAP3IN)-(c_TMAP2IN)))+(c_TMAP2OUT)+IF(((c_TMAP3OUT)-(c_TMAP2OUT))&gt;=0,IF(IF(o_WRAP=1,MOD(((c_TMAP3IN)-(c_TMAP2IN))*(((A618)-(c_TMAP2IN))*((c_TMAP3OUT)-(c_TMAP2OUT))+IF(((c_TMAP3OUT)-(c_TMAP2OUT))&gt;=0,1,-1)*QUOTIENT(((c_TMAP3IN)-(c_TMAP2IN)),2))+2147483648,4294967296)-2147483648,((c_TMAP3IN)-(c_TMAP2IN))*(((A618)-(c_TMAP2IN))*((c_TMAP3OUT)-(c_TMAP2OUT))+IF(((c_TMAP3OUT)-(c_TMAP2OUT))&gt;=0,1,-1)*QUOTIENT(((c_TMAP3IN)-(c_TMAP2IN)),2)))&lt;0,-1,0),IF(IF(o_WRAP=1,MOD(((c_TMAP3IN)-(c_TMAP2IN))*(((A618)-(c_TMAP2IN))*((c_TMAP3OUT)-(c_TMAP2OUT))+IF(((c_TMAP3OUT)-(c_TMAP2OUT))&gt;=0,1,-1)*QUOTIENT(((c_TMAP3IN)-(c_TMAP2IN)),2))+2147483648,4294967296)-2147483648,((c_TMAP3IN)-(c_TMAP2IN))*(((A618)-(c_TMAP2IN))*((c_TMAP3OUT)-(c_TMAP2OUT))+IF(((c_TMAP3OUT)-(c_TMAP2OUT))&gt;=0,1,-1)*QUOTIENT(((c_TMAP3IN)-(c_TMAP2IN)),2)))&gt;=0,1,0)))</f>
        <v>384</v>
      </c>
      <c r="G618" s="7" t="n">
        <f aca="false">IF(((1000)-(c_TMAP3IN))=0,(c_TMAP3OUT)+QUOTIENT(((1000)-(c_TMAP3OUT)),2),QUOTIENT((((A618)-(c_TMAP3IN))*((1000)-(c_TMAP3OUT))+IF(((1000)-(c_TMAP3OUT))&gt;=0,1,-1)*QUOTIENT(((1000)-(c_TMAP3IN)),2)),((1000)-(c_TMAP3IN)))+(c_TMAP3OUT)+IF(((1000)-(c_TMAP3OUT))&gt;=0,IF(IF(o_WRAP=1,MOD(((1000)-(c_TMAP3IN))*(((A618)-(c_TMAP3IN))*((1000)-(c_TMAP3OUT))+IF(((1000)-(c_TMAP3OUT))&gt;=0,1,-1)*QUOTIENT(((1000)-(c_TMAP3IN)),2))+2147483648,4294967296)-2147483648,((1000)-(c_TMAP3IN))*(((A618)-(c_TMAP3IN))*((1000)-(c_TMAP3OUT))+IF(((1000)-(c_TMAP3OUT))&gt;=0,1,-1)*QUOTIENT(((1000)-(c_TMAP3IN)),2)))&lt;0,-1,0),IF(IF(o_WRAP=1,MOD(((1000)-(c_TMAP3IN))*(((A618)-(c_TMAP3IN))*((1000)-(c_TMAP3OUT))+IF(((1000)-(c_TMAP3OUT))&gt;=0,1,-1)*QUOTIENT(((1000)-(c_TMAP3IN)),2))+2147483648,4294967296)-2147483648,((1000)-(c_TMAP3IN))*(((A618)-(c_TMAP3IN))*((1000)-(c_TMAP3OUT))+IF(((1000)-(c_TMAP3OUT))&gt;=0,1,-1)*QUOTIENT(((1000)-(c_TMAP3IN)),2)))&gt;=0,1,0)))</f>
        <v>524</v>
      </c>
      <c r="H618" s="7" t="str">
        <f aca="false">IF(A618&gt;=c_TFWD,IF(AND(A618&gt;=c_TMAP3IN,c_TMAP3IN&lt;1000),"Seg4 map3-100%",IF(AND(A618&gt;=c_TMAP2IN,c_TMAP3IN&gt;c_TMAP2IN),"Seg3 map2-map3",IF(AND(A618&gt;=c_TMAP1IN,c_TMAP2IN&gt;c_TMAP1IN),"Seg2 map1-map2","Seg1 TFWD-map1"))),IF(AND(A618=0,c_TCREEP&gt;0),"Creep",IF(AND(A618&lt;=c_TRNGMIN,A618&gt;=c_TRNGMAX,c_TRNGMIN-c_TRNGMAX&lt;&gt;0),"Regen ramp","Coast (0)")))</f>
        <v>Seg4 map3-100%</v>
      </c>
      <c r="I618" s="7" t="n">
        <f aca="false">IF(A618&gt;=c_TFWD,IF(AND(A618&gt;=c_TMAP3IN,c_TMAP3IN&lt;1000),G618,IF(AND(A618&gt;=c_TMAP2IN,c_TMAP3IN&gt;c_TMAP2IN),F618,IF(AND(A618&gt;=c_TMAP1IN,c_TMAP2IN&gt;c_TMAP1IN),E618,D618))),C618)</f>
        <v>524</v>
      </c>
      <c r="J618" s="7" t="str">
        <f aca="false">IF(I618&lt;-1090,"TOO LOW",IF(I618&gt;1090,"TOO HIGH",""))</f>
        <v/>
      </c>
      <c r="K618" s="15" t="n">
        <f aca="false">IF(J618&lt;&gt;"",0,IF(I618&gt;979,1000,I618))</f>
        <v>524</v>
      </c>
      <c r="L618" s="7" t="n">
        <f aca="false">K618/10</f>
        <v>52.4</v>
      </c>
    </row>
    <row r="619" customFormat="false" ht="15" hidden="false" customHeight="false" outlineLevel="0" collapsed="false">
      <c r="A619" s="7" t="n">
        <v>614</v>
      </c>
      <c r="B619" s="7" t="n">
        <f aca="false">A619/10</f>
        <v>61.4</v>
      </c>
      <c r="C619" s="7" t="n">
        <f aca="false">IF(AND(A619=0,c_TCREEP&gt;0),10*c_TCREEP,IF(AND(A619&lt;=c_TRNGMIN,A619&gt;=c_TRNGMAX,c_TRNGMIN-c_TRNGMAX&lt;&gt;0),-10*c_TMINRN+QUOTIENT((c_TMAXRN-c_TMINRN)*(100-QUOTIENT((A619-c_TRNGMAX)*100,c_TRNGMIN-c_TRNGMAX)),-10),0))</f>
        <v>0</v>
      </c>
      <c r="D619" s="7" t="n">
        <f aca="false">IF(((c_TMAP1IN)-(c_TFWD))=0,(0)+QUOTIENT(((c_TMAP1OUT)-(0)),2),QUOTIENT((((A619)-(c_TFWD))*((c_TMAP1OUT)-(0))+IF(((c_TMAP1OUT)-(0))&gt;=0,1,-1)*QUOTIENT(((c_TMAP1IN)-(c_TFWD)),2)),((c_TMAP1IN)-(c_TFWD)))+(0)+IF(((c_TMAP1OUT)-(0))&gt;=0,IF(IF(o_WRAP=1,MOD(((c_TMAP1IN)-(c_TFWD))*(((A619)-(c_TFWD))*((c_TMAP1OUT)-(0))+IF(((c_TMAP1OUT)-(0))&gt;=0,1,-1)*QUOTIENT(((c_TMAP1IN)-(c_TFWD)),2))+2147483648,4294967296)-2147483648,((c_TMAP1IN)-(c_TFWD))*(((A619)-(c_TFWD))*((c_TMAP1OUT)-(0))+IF(((c_TMAP1OUT)-(0))&gt;=0,1,-1)*QUOTIENT(((c_TMAP1IN)-(c_TFWD)),2)))&lt;0,-1,0),IF(IF(o_WRAP=1,MOD(((c_TMAP1IN)-(c_TFWD))*(((A619)-(c_TFWD))*((c_TMAP1OUT)-(0))+IF(((c_TMAP1OUT)-(0))&gt;=0,1,-1)*QUOTIENT(((c_TMAP1IN)-(c_TFWD)),2))+2147483648,4294967296)-2147483648,((c_TMAP1IN)-(c_TFWD))*(((A619)-(c_TFWD))*((c_TMAP1OUT)-(0))+IF(((c_TMAP1OUT)-(0))&gt;=0,1,-1)*QUOTIENT(((c_TMAP1IN)-(c_TFWD)),2)))&gt;=0,1,0)))</f>
        <v>470</v>
      </c>
      <c r="E619" s="7" t="n">
        <f aca="false">IF(((c_TMAP2IN)-(c_TMAP1IN))=0,(c_TMAP1OUT)+QUOTIENT(((c_TMAP2OUT)-(c_TMAP1OUT)),2),QUOTIENT((((A619)-(c_TMAP1IN))*((c_TMAP2OUT)-(c_TMAP1OUT))+IF(((c_TMAP2OUT)-(c_TMAP1OUT))&gt;=0,1,-1)*QUOTIENT(((c_TMAP2IN)-(c_TMAP1IN)),2)),((c_TMAP2IN)-(c_TMAP1IN)))+(c_TMAP1OUT)+IF(((c_TMAP2OUT)-(c_TMAP1OUT))&gt;=0,IF(IF(o_WRAP=1,MOD(((c_TMAP2IN)-(c_TMAP1IN))*(((A619)-(c_TMAP1IN))*((c_TMAP2OUT)-(c_TMAP1OUT))+IF(((c_TMAP2OUT)-(c_TMAP1OUT))&gt;=0,1,-1)*QUOTIENT(((c_TMAP2IN)-(c_TMAP1IN)),2))+2147483648,4294967296)-2147483648,((c_TMAP2IN)-(c_TMAP1IN))*(((A619)-(c_TMAP1IN))*((c_TMAP2OUT)-(c_TMAP1OUT))+IF(((c_TMAP2OUT)-(c_TMAP1OUT))&gt;=0,1,-1)*QUOTIENT(((c_TMAP2IN)-(c_TMAP1IN)),2)))&lt;0,-1,0),IF(IF(o_WRAP=1,MOD(((c_TMAP2IN)-(c_TMAP1IN))*(((A619)-(c_TMAP1IN))*((c_TMAP2OUT)-(c_TMAP1OUT))+IF(((c_TMAP2OUT)-(c_TMAP1OUT))&gt;=0,1,-1)*QUOTIENT(((c_TMAP2IN)-(c_TMAP1IN)),2))+2147483648,4294967296)-2147483648,((c_TMAP2IN)-(c_TMAP1IN))*(((A619)-(c_TMAP1IN))*((c_TMAP2OUT)-(c_TMAP1OUT))+IF(((c_TMAP2OUT)-(c_TMAP1OUT))&gt;=0,1,-1)*QUOTIENT(((c_TMAP2IN)-(c_TMAP1IN)),2)))&gt;=0,1,0)))</f>
        <v>276</v>
      </c>
      <c r="F619" s="7" t="n">
        <f aca="false">IF(((c_TMAP3IN)-(c_TMAP2IN))=0,(c_TMAP2OUT)+QUOTIENT(((c_TMAP3OUT)-(c_TMAP2OUT)),2),QUOTIENT((((A619)-(c_TMAP2IN))*((c_TMAP3OUT)-(c_TMAP2OUT))+IF(((c_TMAP3OUT)-(c_TMAP2OUT))&gt;=0,1,-1)*QUOTIENT(((c_TMAP3IN)-(c_TMAP2IN)),2)),((c_TMAP3IN)-(c_TMAP2IN)))+(c_TMAP2OUT)+IF(((c_TMAP3OUT)-(c_TMAP2OUT))&gt;=0,IF(IF(o_WRAP=1,MOD(((c_TMAP3IN)-(c_TMAP2IN))*(((A619)-(c_TMAP2IN))*((c_TMAP3OUT)-(c_TMAP2OUT))+IF(((c_TMAP3OUT)-(c_TMAP2OUT))&gt;=0,1,-1)*QUOTIENT(((c_TMAP3IN)-(c_TMAP2IN)),2))+2147483648,4294967296)-2147483648,((c_TMAP3IN)-(c_TMAP2IN))*(((A619)-(c_TMAP2IN))*((c_TMAP3OUT)-(c_TMAP2OUT))+IF(((c_TMAP3OUT)-(c_TMAP2OUT))&gt;=0,1,-1)*QUOTIENT(((c_TMAP3IN)-(c_TMAP2IN)),2)))&lt;0,-1,0),IF(IF(o_WRAP=1,MOD(((c_TMAP3IN)-(c_TMAP2IN))*(((A619)-(c_TMAP2IN))*((c_TMAP3OUT)-(c_TMAP2OUT))+IF(((c_TMAP3OUT)-(c_TMAP2OUT))&gt;=0,1,-1)*QUOTIENT(((c_TMAP3IN)-(c_TMAP2IN)),2))+2147483648,4294967296)-2147483648,((c_TMAP3IN)-(c_TMAP2IN))*(((A619)-(c_TMAP2IN))*((c_TMAP3OUT)-(c_TMAP2OUT))+IF(((c_TMAP3OUT)-(c_TMAP2OUT))&gt;=0,1,-1)*QUOTIENT(((c_TMAP3IN)-(c_TMAP2IN)),2)))&gt;=0,1,0)))</f>
        <v>385</v>
      </c>
      <c r="G619" s="7" t="n">
        <f aca="false">IF(((1000)-(c_TMAP3IN))=0,(c_TMAP3OUT)+QUOTIENT(((1000)-(c_TMAP3OUT)),2),QUOTIENT((((A619)-(c_TMAP3IN))*((1000)-(c_TMAP3OUT))+IF(((1000)-(c_TMAP3OUT))&gt;=0,1,-1)*QUOTIENT(((1000)-(c_TMAP3IN)),2)),((1000)-(c_TMAP3IN)))+(c_TMAP3OUT)+IF(((1000)-(c_TMAP3OUT))&gt;=0,IF(IF(o_WRAP=1,MOD(((1000)-(c_TMAP3IN))*(((A619)-(c_TMAP3IN))*((1000)-(c_TMAP3OUT))+IF(((1000)-(c_TMAP3OUT))&gt;=0,1,-1)*QUOTIENT(((1000)-(c_TMAP3IN)),2))+2147483648,4294967296)-2147483648,((1000)-(c_TMAP3IN))*(((A619)-(c_TMAP3IN))*((1000)-(c_TMAP3OUT))+IF(((1000)-(c_TMAP3OUT))&gt;=0,1,-1)*QUOTIENT(((1000)-(c_TMAP3IN)),2)))&lt;0,-1,0),IF(IF(o_WRAP=1,MOD(((1000)-(c_TMAP3IN))*(((A619)-(c_TMAP3IN))*((1000)-(c_TMAP3OUT))+IF(((1000)-(c_TMAP3OUT))&gt;=0,1,-1)*QUOTIENT(((1000)-(c_TMAP3IN)),2))+2147483648,4294967296)-2147483648,((1000)-(c_TMAP3IN))*(((A619)-(c_TMAP3IN))*((1000)-(c_TMAP3OUT))+IF(((1000)-(c_TMAP3OUT))&gt;=0,1,-1)*QUOTIENT(((1000)-(c_TMAP3IN)),2)))&gt;=0,1,0)))</f>
        <v>525</v>
      </c>
      <c r="H619" s="7" t="str">
        <f aca="false">IF(A619&gt;=c_TFWD,IF(AND(A619&gt;=c_TMAP3IN,c_TMAP3IN&lt;1000),"Seg4 map3-100%",IF(AND(A619&gt;=c_TMAP2IN,c_TMAP3IN&gt;c_TMAP2IN),"Seg3 map2-map3",IF(AND(A619&gt;=c_TMAP1IN,c_TMAP2IN&gt;c_TMAP1IN),"Seg2 map1-map2","Seg1 TFWD-map1"))),IF(AND(A619=0,c_TCREEP&gt;0),"Creep",IF(AND(A619&lt;=c_TRNGMIN,A619&gt;=c_TRNGMAX,c_TRNGMIN-c_TRNGMAX&lt;&gt;0),"Regen ramp","Coast (0)")))</f>
        <v>Seg4 map3-100%</v>
      </c>
      <c r="I619" s="7" t="n">
        <f aca="false">IF(A619&gt;=c_TFWD,IF(AND(A619&gt;=c_TMAP3IN,c_TMAP3IN&lt;1000),G619,IF(AND(A619&gt;=c_TMAP2IN,c_TMAP3IN&gt;c_TMAP2IN),F619,IF(AND(A619&gt;=c_TMAP1IN,c_TMAP2IN&gt;c_TMAP1IN),E619,D619))),C619)</f>
        <v>525</v>
      </c>
      <c r="J619" s="7" t="str">
        <f aca="false">IF(I619&lt;-1090,"TOO LOW",IF(I619&gt;1090,"TOO HIGH",""))</f>
        <v/>
      </c>
      <c r="K619" s="15" t="n">
        <f aca="false">IF(J619&lt;&gt;"",0,IF(I619&gt;979,1000,I619))</f>
        <v>525</v>
      </c>
      <c r="L619" s="7" t="n">
        <f aca="false">K619/10</f>
        <v>52.5</v>
      </c>
    </row>
    <row r="620" customFormat="false" ht="15" hidden="false" customHeight="false" outlineLevel="0" collapsed="false">
      <c r="A620" s="7" t="n">
        <v>615</v>
      </c>
      <c r="B620" s="7" t="n">
        <f aca="false">A620/10</f>
        <v>61.5</v>
      </c>
      <c r="C620" s="7" t="n">
        <f aca="false">IF(AND(A620=0,c_TCREEP&gt;0),10*c_TCREEP,IF(AND(A620&lt;=c_TRNGMIN,A620&gt;=c_TRNGMAX,c_TRNGMIN-c_TRNGMAX&lt;&gt;0),-10*c_TMINRN+QUOTIENT((c_TMAXRN-c_TMINRN)*(100-QUOTIENT((A620-c_TRNGMAX)*100,c_TRNGMIN-c_TRNGMAX)),-10),0))</f>
        <v>0</v>
      </c>
      <c r="D620" s="7" t="n">
        <f aca="false">IF(((c_TMAP1IN)-(c_TFWD))=0,(0)+QUOTIENT(((c_TMAP1OUT)-(0)),2),QUOTIENT((((A620)-(c_TFWD))*((c_TMAP1OUT)-(0))+IF(((c_TMAP1OUT)-(0))&gt;=0,1,-1)*QUOTIENT(((c_TMAP1IN)-(c_TFWD)),2)),((c_TMAP1IN)-(c_TFWD)))+(0)+IF(((c_TMAP1OUT)-(0))&gt;=0,IF(IF(o_WRAP=1,MOD(((c_TMAP1IN)-(c_TFWD))*(((A620)-(c_TFWD))*((c_TMAP1OUT)-(0))+IF(((c_TMAP1OUT)-(0))&gt;=0,1,-1)*QUOTIENT(((c_TMAP1IN)-(c_TFWD)),2))+2147483648,4294967296)-2147483648,((c_TMAP1IN)-(c_TFWD))*(((A620)-(c_TFWD))*((c_TMAP1OUT)-(0))+IF(((c_TMAP1OUT)-(0))&gt;=0,1,-1)*QUOTIENT(((c_TMAP1IN)-(c_TFWD)),2)))&lt;0,-1,0),IF(IF(o_WRAP=1,MOD(((c_TMAP1IN)-(c_TFWD))*(((A620)-(c_TFWD))*((c_TMAP1OUT)-(0))+IF(((c_TMAP1OUT)-(0))&gt;=0,1,-1)*QUOTIENT(((c_TMAP1IN)-(c_TFWD)),2))+2147483648,4294967296)-2147483648,((c_TMAP1IN)-(c_TFWD))*(((A620)-(c_TFWD))*((c_TMAP1OUT)-(0))+IF(((c_TMAP1OUT)-(0))&gt;=0,1,-1)*QUOTIENT(((c_TMAP1IN)-(c_TFWD)),2)))&gt;=0,1,0)))</f>
        <v>471</v>
      </c>
      <c r="E620" s="7" t="n">
        <f aca="false">IF(((c_TMAP2IN)-(c_TMAP1IN))=0,(c_TMAP1OUT)+QUOTIENT(((c_TMAP2OUT)-(c_TMAP1OUT)),2),QUOTIENT((((A620)-(c_TMAP1IN))*((c_TMAP2OUT)-(c_TMAP1OUT))+IF(((c_TMAP2OUT)-(c_TMAP1OUT))&gt;=0,1,-1)*QUOTIENT(((c_TMAP2IN)-(c_TMAP1IN)),2)),((c_TMAP2IN)-(c_TMAP1IN)))+(c_TMAP1OUT)+IF(((c_TMAP2OUT)-(c_TMAP1OUT))&gt;=0,IF(IF(o_WRAP=1,MOD(((c_TMAP2IN)-(c_TMAP1IN))*(((A620)-(c_TMAP1IN))*((c_TMAP2OUT)-(c_TMAP1OUT))+IF(((c_TMAP2OUT)-(c_TMAP1OUT))&gt;=0,1,-1)*QUOTIENT(((c_TMAP2IN)-(c_TMAP1IN)),2))+2147483648,4294967296)-2147483648,((c_TMAP2IN)-(c_TMAP1IN))*(((A620)-(c_TMAP1IN))*((c_TMAP2OUT)-(c_TMAP1OUT))+IF(((c_TMAP2OUT)-(c_TMAP1OUT))&gt;=0,1,-1)*QUOTIENT(((c_TMAP2IN)-(c_TMAP1IN)),2)))&lt;0,-1,0),IF(IF(o_WRAP=1,MOD(((c_TMAP2IN)-(c_TMAP1IN))*(((A620)-(c_TMAP1IN))*((c_TMAP2OUT)-(c_TMAP1OUT))+IF(((c_TMAP2OUT)-(c_TMAP1OUT))&gt;=0,1,-1)*QUOTIENT(((c_TMAP2IN)-(c_TMAP1IN)),2))+2147483648,4294967296)-2147483648,((c_TMAP2IN)-(c_TMAP1IN))*(((A620)-(c_TMAP1IN))*((c_TMAP2OUT)-(c_TMAP1OUT))+IF(((c_TMAP2OUT)-(c_TMAP1OUT))&gt;=0,1,-1)*QUOTIENT(((c_TMAP2IN)-(c_TMAP1IN)),2)))&gt;=0,1,0)))</f>
        <v>276</v>
      </c>
      <c r="F620" s="7" t="n">
        <f aca="false">IF(((c_TMAP3IN)-(c_TMAP2IN))=0,(c_TMAP2OUT)+QUOTIENT(((c_TMAP3OUT)-(c_TMAP2OUT)),2),QUOTIENT((((A620)-(c_TMAP2IN))*((c_TMAP3OUT)-(c_TMAP2OUT))+IF(((c_TMAP3OUT)-(c_TMAP2OUT))&gt;=0,1,-1)*QUOTIENT(((c_TMAP3IN)-(c_TMAP2IN)),2)),((c_TMAP3IN)-(c_TMAP2IN)))+(c_TMAP2OUT)+IF(((c_TMAP3OUT)-(c_TMAP2OUT))&gt;=0,IF(IF(o_WRAP=1,MOD(((c_TMAP3IN)-(c_TMAP2IN))*(((A620)-(c_TMAP2IN))*((c_TMAP3OUT)-(c_TMAP2OUT))+IF(((c_TMAP3OUT)-(c_TMAP2OUT))&gt;=0,1,-1)*QUOTIENT(((c_TMAP3IN)-(c_TMAP2IN)),2))+2147483648,4294967296)-2147483648,((c_TMAP3IN)-(c_TMAP2IN))*(((A620)-(c_TMAP2IN))*((c_TMAP3OUT)-(c_TMAP2OUT))+IF(((c_TMAP3OUT)-(c_TMAP2OUT))&gt;=0,1,-1)*QUOTIENT(((c_TMAP3IN)-(c_TMAP2IN)),2)))&lt;0,-1,0),IF(IF(o_WRAP=1,MOD(((c_TMAP3IN)-(c_TMAP2IN))*(((A620)-(c_TMAP2IN))*((c_TMAP3OUT)-(c_TMAP2OUT))+IF(((c_TMAP3OUT)-(c_TMAP2OUT))&gt;=0,1,-1)*QUOTIENT(((c_TMAP3IN)-(c_TMAP2IN)),2))+2147483648,4294967296)-2147483648,((c_TMAP3IN)-(c_TMAP2IN))*(((A620)-(c_TMAP2IN))*((c_TMAP3OUT)-(c_TMAP2OUT))+IF(((c_TMAP3OUT)-(c_TMAP2OUT))&gt;=0,1,-1)*QUOTIENT(((c_TMAP3IN)-(c_TMAP2IN)),2)))&gt;=0,1,0)))</f>
        <v>386</v>
      </c>
      <c r="G620" s="7" t="n">
        <f aca="false">IF(((1000)-(c_TMAP3IN))=0,(c_TMAP3OUT)+QUOTIENT(((1000)-(c_TMAP3OUT)),2),QUOTIENT((((A620)-(c_TMAP3IN))*((1000)-(c_TMAP3OUT))+IF(((1000)-(c_TMAP3OUT))&gt;=0,1,-1)*QUOTIENT(((1000)-(c_TMAP3IN)),2)),((1000)-(c_TMAP3IN)))+(c_TMAP3OUT)+IF(((1000)-(c_TMAP3OUT))&gt;=0,IF(IF(o_WRAP=1,MOD(((1000)-(c_TMAP3IN))*(((A620)-(c_TMAP3IN))*((1000)-(c_TMAP3OUT))+IF(((1000)-(c_TMAP3OUT))&gt;=0,1,-1)*QUOTIENT(((1000)-(c_TMAP3IN)),2))+2147483648,4294967296)-2147483648,((1000)-(c_TMAP3IN))*(((A620)-(c_TMAP3IN))*((1000)-(c_TMAP3OUT))+IF(((1000)-(c_TMAP3OUT))&gt;=0,1,-1)*QUOTIENT(((1000)-(c_TMAP3IN)),2)))&lt;0,-1,0),IF(IF(o_WRAP=1,MOD(((1000)-(c_TMAP3IN))*(((A620)-(c_TMAP3IN))*((1000)-(c_TMAP3OUT))+IF(((1000)-(c_TMAP3OUT))&gt;=0,1,-1)*QUOTIENT(((1000)-(c_TMAP3IN)),2))+2147483648,4294967296)-2147483648,((1000)-(c_TMAP3IN))*(((A620)-(c_TMAP3IN))*((1000)-(c_TMAP3OUT))+IF(((1000)-(c_TMAP3OUT))&gt;=0,1,-1)*QUOTIENT(((1000)-(c_TMAP3IN)),2)))&gt;=0,1,0)))</f>
        <v>526</v>
      </c>
      <c r="H620" s="7" t="str">
        <f aca="false">IF(A620&gt;=c_TFWD,IF(AND(A620&gt;=c_TMAP3IN,c_TMAP3IN&lt;1000),"Seg4 map3-100%",IF(AND(A620&gt;=c_TMAP2IN,c_TMAP3IN&gt;c_TMAP2IN),"Seg3 map2-map3",IF(AND(A620&gt;=c_TMAP1IN,c_TMAP2IN&gt;c_TMAP1IN),"Seg2 map1-map2","Seg1 TFWD-map1"))),IF(AND(A620=0,c_TCREEP&gt;0),"Creep",IF(AND(A620&lt;=c_TRNGMIN,A620&gt;=c_TRNGMAX,c_TRNGMIN-c_TRNGMAX&lt;&gt;0),"Regen ramp","Coast (0)")))</f>
        <v>Seg4 map3-100%</v>
      </c>
      <c r="I620" s="7" t="n">
        <f aca="false">IF(A620&gt;=c_TFWD,IF(AND(A620&gt;=c_TMAP3IN,c_TMAP3IN&lt;1000),G620,IF(AND(A620&gt;=c_TMAP2IN,c_TMAP3IN&gt;c_TMAP2IN),F620,IF(AND(A620&gt;=c_TMAP1IN,c_TMAP2IN&gt;c_TMAP1IN),E620,D620))),C620)</f>
        <v>526</v>
      </c>
      <c r="J620" s="7" t="str">
        <f aca="false">IF(I620&lt;-1090,"TOO LOW",IF(I620&gt;1090,"TOO HIGH",""))</f>
        <v/>
      </c>
      <c r="K620" s="15" t="n">
        <f aca="false">IF(J620&lt;&gt;"",0,IF(I620&gt;979,1000,I620))</f>
        <v>526</v>
      </c>
      <c r="L620" s="7" t="n">
        <f aca="false">K620/10</f>
        <v>52.6</v>
      </c>
    </row>
    <row r="621" customFormat="false" ht="15" hidden="false" customHeight="false" outlineLevel="0" collapsed="false">
      <c r="A621" s="7" t="n">
        <v>616</v>
      </c>
      <c r="B621" s="7" t="n">
        <f aca="false">A621/10</f>
        <v>61.6</v>
      </c>
      <c r="C621" s="7" t="n">
        <f aca="false">IF(AND(A621=0,c_TCREEP&gt;0),10*c_TCREEP,IF(AND(A621&lt;=c_TRNGMIN,A621&gt;=c_TRNGMAX,c_TRNGMIN-c_TRNGMAX&lt;&gt;0),-10*c_TMINRN+QUOTIENT((c_TMAXRN-c_TMINRN)*(100-QUOTIENT((A621-c_TRNGMAX)*100,c_TRNGMIN-c_TRNGMAX)),-10),0))</f>
        <v>0</v>
      </c>
      <c r="D621" s="7" t="n">
        <f aca="false">IF(((c_TMAP1IN)-(c_TFWD))=0,(0)+QUOTIENT(((c_TMAP1OUT)-(0)),2),QUOTIENT((((A621)-(c_TFWD))*((c_TMAP1OUT)-(0))+IF(((c_TMAP1OUT)-(0))&gt;=0,1,-1)*QUOTIENT(((c_TMAP1IN)-(c_TFWD)),2)),((c_TMAP1IN)-(c_TFWD)))+(0)+IF(((c_TMAP1OUT)-(0))&gt;=0,IF(IF(o_WRAP=1,MOD(((c_TMAP1IN)-(c_TFWD))*(((A621)-(c_TFWD))*((c_TMAP1OUT)-(0))+IF(((c_TMAP1OUT)-(0))&gt;=0,1,-1)*QUOTIENT(((c_TMAP1IN)-(c_TFWD)),2))+2147483648,4294967296)-2147483648,((c_TMAP1IN)-(c_TFWD))*(((A621)-(c_TFWD))*((c_TMAP1OUT)-(0))+IF(((c_TMAP1OUT)-(0))&gt;=0,1,-1)*QUOTIENT(((c_TMAP1IN)-(c_TFWD)),2)))&lt;0,-1,0),IF(IF(o_WRAP=1,MOD(((c_TMAP1IN)-(c_TFWD))*(((A621)-(c_TFWD))*((c_TMAP1OUT)-(0))+IF(((c_TMAP1OUT)-(0))&gt;=0,1,-1)*QUOTIENT(((c_TMAP1IN)-(c_TFWD)),2))+2147483648,4294967296)-2147483648,((c_TMAP1IN)-(c_TFWD))*(((A621)-(c_TFWD))*((c_TMAP1OUT)-(0))+IF(((c_TMAP1OUT)-(0))&gt;=0,1,-1)*QUOTIENT(((c_TMAP1IN)-(c_TFWD)),2)))&gt;=0,1,0)))</f>
        <v>471</v>
      </c>
      <c r="E621" s="7" t="n">
        <f aca="false">IF(((c_TMAP2IN)-(c_TMAP1IN))=0,(c_TMAP1OUT)+QUOTIENT(((c_TMAP2OUT)-(c_TMAP1OUT)),2),QUOTIENT((((A621)-(c_TMAP1IN))*((c_TMAP2OUT)-(c_TMAP1OUT))+IF(((c_TMAP2OUT)-(c_TMAP1OUT))&gt;=0,1,-1)*QUOTIENT(((c_TMAP2IN)-(c_TMAP1IN)),2)),((c_TMAP2IN)-(c_TMAP1IN)))+(c_TMAP1OUT)+IF(((c_TMAP2OUT)-(c_TMAP1OUT))&gt;=0,IF(IF(o_WRAP=1,MOD(((c_TMAP2IN)-(c_TMAP1IN))*(((A621)-(c_TMAP1IN))*((c_TMAP2OUT)-(c_TMAP1OUT))+IF(((c_TMAP2OUT)-(c_TMAP1OUT))&gt;=0,1,-1)*QUOTIENT(((c_TMAP2IN)-(c_TMAP1IN)),2))+2147483648,4294967296)-2147483648,((c_TMAP2IN)-(c_TMAP1IN))*(((A621)-(c_TMAP1IN))*((c_TMAP2OUT)-(c_TMAP1OUT))+IF(((c_TMAP2OUT)-(c_TMAP1OUT))&gt;=0,1,-1)*QUOTIENT(((c_TMAP2IN)-(c_TMAP1IN)),2)))&lt;0,-1,0),IF(IF(o_WRAP=1,MOD(((c_TMAP2IN)-(c_TMAP1IN))*(((A621)-(c_TMAP1IN))*((c_TMAP2OUT)-(c_TMAP1OUT))+IF(((c_TMAP2OUT)-(c_TMAP1OUT))&gt;=0,1,-1)*QUOTIENT(((c_TMAP2IN)-(c_TMAP1IN)),2))+2147483648,4294967296)-2147483648,((c_TMAP2IN)-(c_TMAP1IN))*(((A621)-(c_TMAP1IN))*((c_TMAP2OUT)-(c_TMAP1OUT))+IF(((c_TMAP2OUT)-(c_TMAP1OUT))&gt;=0,1,-1)*QUOTIENT(((c_TMAP2IN)-(c_TMAP1IN)),2)))&gt;=0,1,0)))</f>
        <v>276</v>
      </c>
      <c r="F621" s="7" t="n">
        <f aca="false">IF(((c_TMAP3IN)-(c_TMAP2IN))=0,(c_TMAP2OUT)+QUOTIENT(((c_TMAP3OUT)-(c_TMAP2OUT)),2),QUOTIENT((((A621)-(c_TMAP2IN))*((c_TMAP3OUT)-(c_TMAP2OUT))+IF(((c_TMAP3OUT)-(c_TMAP2OUT))&gt;=0,1,-1)*QUOTIENT(((c_TMAP3IN)-(c_TMAP2IN)),2)),((c_TMAP3IN)-(c_TMAP2IN)))+(c_TMAP2OUT)+IF(((c_TMAP3OUT)-(c_TMAP2OUT))&gt;=0,IF(IF(o_WRAP=1,MOD(((c_TMAP3IN)-(c_TMAP2IN))*(((A621)-(c_TMAP2IN))*((c_TMAP3OUT)-(c_TMAP2OUT))+IF(((c_TMAP3OUT)-(c_TMAP2OUT))&gt;=0,1,-1)*QUOTIENT(((c_TMAP3IN)-(c_TMAP2IN)),2))+2147483648,4294967296)-2147483648,((c_TMAP3IN)-(c_TMAP2IN))*(((A621)-(c_TMAP2IN))*((c_TMAP3OUT)-(c_TMAP2OUT))+IF(((c_TMAP3OUT)-(c_TMAP2OUT))&gt;=0,1,-1)*QUOTIENT(((c_TMAP3IN)-(c_TMAP2IN)),2)))&lt;0,-1,0),IF(IF(o_WRAP=1,MOD(((c_TMAP3IN)-(c_TMAP2IN))*(((A621)-(c_TMAP2IN))*((c_TMAP3OUT)-(c_TMAP2OUT))+IF(((c_TMAP3OUT)-(c_TMAP2OUT))&gt;=0,1,-1)*QUOTIENT(((c_TMAP3IN)-(c_TMAP2IN)),2))+2147483648,4294967296)-2147483648,((c_TMAP3IN)-(c_TMAP2IN))*(((A621)-(c_TMAP2IN))*((c_TMAP3OUT)-(c_TMAP2OUT))+IF(((c_TMAP3OUT)-(c_TMAP2OUT))&gt;=0,1,-1)*QUOTIENT(((c_TMAP3IN)-(c_TMAP2IN)),2)))&gt;=0,1,0)))</f>
        <v>386</v>
      </c>
      <c r="G621" s="7" t="n">
        <f aca="false">IF(((1000)-(c_TMAP3IN))=0,(c_TMAP3OUT)+QUOTIENT(((1000)-(c_TMAP3OUT)),2),QUOTIENT((((A621)-(c_TMAP3IN))*((1000)-(c_TMAP3OUT))+IF(((1000)-(c_TMAP3OUT))&gt;=0,1,-1)*QUOTIENT(((1000)-(c_TMAP3IN)),2)),((1000)-(c_TMAP3IN)))+(c_TMAP3OUT)+IF(((1000)-(c_TMAP3OUT))&gt;=0,IF(IF(o_WRAP=1,MOD(((1000)-(c_TMAP3IN))*(((A621)-(c_TMAP3IN))*((1000)-(c_TMAP3OUT))+IF(((1000)-(c_TMAP3OUT))&gt;=0,1,-1)*QUOTIENT(((1000)-(c_TMAP3IN)),2))+2147483648,4294967296)-2147483648,((1000)-(c_TMAP3IN))*(((A621)-(c_TMAP3IN))*((1000)-(c_TMAP3OUT))+IF(((1000)-(c_TMAP3OUT))&gt;=0,1,-1)*QUOTIENT(((1000)-(c_TMAP3IN)),2)))&lt;0,-1,0),IF(IF(o_WRAP=1,MOD(((1000)-(c_TMAP3IN))*(((A621)-(c_TMAP3IN))*((1000)-(c_TMAP3OUT))+IF(((1000)-(c_TMAP3OUT))&gt;=0,1,-1)*QUOTIENT(((1000)-(c_TMAP3IN)),2))+2147483648,4294967296)-2147483648,((1000)-(c_TMAP3IN))*(((A621)-(c_TMAP3IN))*((1000)-(c_TMAP3OUT))+IF(((1000)-(c_TMAP3OUT))&gt;=0,1,-1)*QUOTIENT(((1000)-(c_TMAP3IN)),2)))&gt;=0,1,0)))</f>
        <v>527</v>
      </c>
      <c r="H621" s="7" t="str">
        <f aca="false">IF(A621&gt;=c_TFWD,IF(AND(A621&gt;=c_TMAP3IN,c_TMAP3IN&lt;1000),"Seg4 map3-100%",IF(AND(A621&gt;=c_TMAP2IN,c_TMAP3IN&gt;c_TMAP2IN),"Seg3 map2-map3",IF(AND(A621&gt;=c_TMAP1IN,c_TMAP2IN&gt;c_TMAP1IN),"Seg2 map1-map2","Seg1 TFWD-map1"))),IF(AND(A621=0,c_TCREEP&gt;0),"Creep",IF(AND(A621&lt;=c_TRNGMIN,A621&gt;=c_TRNGMAX,c_TRNGMIN-c_TRNGMAX&lt;&gt;0),"Regen ramp","Coast (0)")))</f>
        <v>Seg4 map3-100%</v>
      </c>
      <c r="I621" s="7" t="n">
        <f aca="false">IF(A621&gt;=c_TFWD,IF(AND(A621&gt;=c_TMAP3IN,c_TMAP3IN&lt;1000),G621,IF(AND(A621&gt;=c_TMAP2IN,c_TMAP3IN&gt;c_TMAP2IN),F621,IF(AND(A621&gt;=c_TMAP1IN,c_TMAP2IN&gt;c_TMAP1IN),E621,D621))),C621)</f>
        <v>527</v>
      </c>
      <c r="J621" s="7" t="str">
        <f aca="false">IF(I621&lt;-1090,"TOO LOW",IF(I621&gt;1090,"TOO HIGH",""))</f>
        <v/>
      </c>
      <c r="K621" s="15" t="n">
        <f aca="false">IF(J621&lt;&gt;"",0,IF(I621&gt;979,1000,I621))</f>
        <v>527</v>
      </c>
      <c r="L621" s="7" t="n">
        <f aca="false">K621/10</f>
        <v>52.7</v>
      </c>
    </row>
    <row r="622" customFormat="false" ht="15" hidden="false" customHeight="false" outlineLevel="0" collapsed="false">
      <c r="A622" s="7" t="n">
        <v>617</v>
      </c>
      <c r="B622" s="7" t="n">
        <f aca="false">A622/10</f>
        <v>61.7</v>
      </c>
      <c r="C622" s="7" t="n">
        <f aca="false">IF(AND(A622=0,c_TCREEP&gt;0),10*c_TCREEP,IF(AND(A622&lt;=c_TRNGMIN,A622&gt;=c_TRNGMAX,c_TRNGMIN-c_TRNGMAX&lt;&gt;0),-10*c_TMINRN+QUOTIENT((c_TMAXRN-c_TMINRN)*(100-QUOTIENT((A622-c_TRNGMAX)*100,c_TRNGMIN-c_TRNGMAX)),-10),0))</f>
        <v>0</v>
      </c>
      <c r="D622" s="7" t="n">
        <f aca="false">IF(((c_TMAP1IN)-(c_TFWD))=0,(0)+QUOTIENT(((c_TMAP1OUT)-(0)),2),QUOTIENT((((A622)-(c_TFWD))*((c_TMAP1OUT)-(0))+IF(((c_TMAP1OUT)-(0))&gt;=0,1,-1)*QUOTIENT(((c_TMAP1IN)-(c_TFWD)),2)),((c_TMAP1IN)-(c_TFWD)))+(0)+IF(((c_TMAP1OUT)-(0))&gt;=0,IF(IF(o_WRAP=1,MOD(((c_TMAP1IN)-(c_TFWD))*(((A622)-(c_TFWD))*((c_TMAP1OUT)-(0))+IF(((c_TMAP1OUT)-(0))&gt;=0,1,-1)*QUOTIENT(((c_TMAP1IN)-(c_TFWD)),2))+2147483648,4294967296)-2147483648,((c_TMAP1IN)-(c_TFWD))*(((A622)-(c_TFWD))*((c_TMAP1OUT)-(0))+IF(((c_TMAP1OUT)-(0))&gt;=0,1,-1)*QUOTIENT(((c_TMAP1IN)-(c_TFWD)),2)))&lt;0,-1,0),IF(IF(o_WRAP=1,MOD(((c_TMAP1IN)-(c_TFWD))*(((A622)-(c_TFWD))*((c_TMAP1OUT)-(0))+IF(((c_TMAP1OUT)-(0))&gt;=0,1,-1)*QUOTIENT(((c_TMAP1IN)-(c_TFWD)),2))+2147483648,4294967296)-2147483648,((c_TMAP1IN)-(c_TFWD))*(((A622)-(c_TFWD))*((c_TMAP1OUT)-(0))+IF(((c_TMAP1OUT)-(0))&gt;=0,1,-1)*QUOTIENT(((c_TMAP1IN)-(c_TFWD)),2)))&gt;=0,1,0)))</f>
        <v>472</v>
      </c>
      <c r="E622" s="7" t="n">
        <f aca="false">IF(((c_TMAP2IN)-(c_TMAP1IN))=0,(c_TMAP1OUT)+QUOTIENT(((c_TMAP2OUT)-(c_TMAP1OUT)),2),QUOTIENT((((A622)-(c_TMAP1IN))*((c_TMAP2OUT)-(c_TMAP1OUT))+IF(((c_TMAP2OUT)-(c_TMAP1OUT))&gt;=0,1,-1)*QUOTIENT(((c_TMAP2IN)-(c_TMAP1IN)),2)),((c_TMAP2IN)-(c_TMAP1IN)))+(c_TMAP1OUT)+IF(((c_TMAP2OUT)-(c_TMAP1OUT))&gt;=0,IF(IF(o_WRAP=1,MOD(((c_TMAP2IN)-(c_TMAP1IN))*(((A622)-(c_TMAP1IN))*((c_TMAP2OUT)-(c_TMAP1OUT))+IF(((c_TMAP2OUT)-(c_TMAP1OUT))&gt;=0,1,-1)*QUOTIENT(((c_TMAP2IN)-(c_TMAP1IN)),2))+2147483648,4294967296)-2147483648,((c_TMAP2IN)-(c_TMAP1IN))*(((A622)-(c_TMAP1IN))*((c_TMAP2OUT)-(c_TMAP1OUT))+IF(((c_TMAP2OUT)-(c_TMAP1OUT))&gt;=0,1,-1)*QUOTIENT(((c_TMAP2IN)-(c_TMAP1IN)),2)))&lt;0,-1,0),IF(IF(o_WRAP=1,MOD(((c_TMAP2IN)-(c_TMAP1IN))*(((A622)-(c_TMAP1IN))*((c_TMAP2OUT)-(c_TMAP1OUT))+IF(((c_TMAP2OUT)-(c_TMAP1OUT))&gt;=0,1,-1)*QUOTIENT(((c_TMAP2IN)-(c_TMAP1IN)),2))+2147483648,4294967296)-2147483648,((c_TMAP2IN)-(c_TMAP1IN))*(((A622)-(c_TMAP1IN))*((c_TMAP2OUT)-(c_TMAP1OUT))+IF(((c_TMAP2OUT)-(c_TMAP1OUT))&gt;=0,1,-1)*QUOTIENT(((c_TMAP2IN)-(c_TMAP1IN)),2)))&gt;=0,1,0)))</f>
        <v>277</v>
      </c>
      <c r="F622" s="7" t="n">
        <f aca="false">IF(((c_TMAP3IN)-(c_TMAP2IN))=0,(c_TMAP2OUT)+QUOTIENT(((c_TMAP3OUT)-(c_TMAP2OUT)),2),QUOTIENT((((A622)-(c_TMAP2IN))*((c_TMAP3OUT)-(c_TMAP2OUT))+IF(((c_TMAP3OUT)-(c_TMAP2OUT))&gt;=0,1,-1)*QUOTIENT(((c_TMAP3IN)-(c_TMAP2IN)),2)),((c_TMAP3IN)-(c_TMAP2IN)))+(c_TMAP2OUT)+IF(((c_TMAP3OUT)-(c_TMAP2OUT))&gt;=0,IF(IF(o_WRAP=1,MOD(((c_TMAP3IN)-(c_TMAP2IN))*(((A622)-(c_TMAP2IN))*((c_TMAP3OUT)-(c_TMAP2OUT))+IF(((c_TMAP3OUT)-(c_TMAP2OUT))&gt;=0,1,-1)*QUOTIENT(((c_TMAP3IN)-(c_TMAP2IN)),2))+2147483648,4294967296)-2147483648,((c_TMAP3IN)-(c_TMAP2IN))*(((A622)-(c_TMAP2IN))*((c_TMAP3OUT)-(c_TMAP2OUT))+IF(((c_TMAP3OUT)-(c_TMAP2OUT))&gt;=0,1,-1)*QUOTIENT(((c_TMAP3IN)-(c_TMAP2IN)),2)))&lt;0,-1,0),IF(IF(o_WRAP=1,MOD(((c_TMAP3IN)-(c_TMAP2IN))*(((A622)-(c_TMAP2IN))*((c_TMAP3OUT)-(c_TMAP2OUT))+IF(((c_TMAP3OUT)-(c_TMAP2OUT))&gt;=0,1,-1)*QUOTIENT(((c_TMAP3IN)-(c_TMAP2IN)),2))+2147483648,4294967296)-2147483648,((c_TMAP3IN)-(c_TMAP2IN))*(((A622)-(c_TMAP2IN))*((c_TMAP3OUT)-(c_TMAP2OUT))+IF(((c_TMAP3OUT)-(c_TMAP2OUT))&gt;=0,1,-1)*QUOTIENT(((c_TMAP3IN)-(c_TMAP2IN)),2)))&gt;=0,1,0)))</f>
        <v>387</v>
      </c>
      <c r="G622" s="7" t="n">
        <f aca="false">IF(((1000)-(c_TMAP3IN))=0,(c_TMAP3OUT)+QUOTIENT(((1000)-(c_TMAP3OUT)),2),QUOTIENT((((A622)-(c_TMAP3IN))*((1000)-(c_TMAP3OUT))+IF(((1000)-(c_TMAP3OUT))&gt;=0,1,-1)*QUOTIENT(((1000)-(c_TMAP3IN)),2)),((1000)-(c_TMAP3IN)))+(c_TMAP3OUT)+IF(((1000)-(c_TMAP3OUT))&gt;=0,IF(IF(o_WRAP=1,MOD(((1000)-(c_TMAP3IN))*(((A622)-(c_TMAP3IN))*((1000)-(c_TMAP3OUT))+IF(((1000)-(c_TMAP3OUT))&gt;=0,1,-1)*QUOTIENT(((1000)-(c_TMAP3IN)),2))+2147483648,4294967296)-2147483648,((1000)-(c_TMAP3IN))*(((A622)-(c_TMAP3IN))*((1000)-(c_TMAP3OUT))+IF(((1000)-(c_TMAP3OUT))&gt;=0,1,-1)*QUOTIENT(((1000)-(c_TMAP3IN)),2)))&lt;0,-1,0),IF(IF(o_WRAP=1,MOD(((1000)-(c_TMAP3IN))*(((A622)-(c_TMAP3IN))*((1000)-(c_TMAP3OUT))+IF(((1000)-(c_TMAP3OUT))&gt;=0,1,-1)*QUOTIENT(((1000)-(c_TMAP3IN)),2))+2147483648,4294967296)-2147483648,((1000)-(c_TMAP3IN))*(((A622)-(c_TMAP3IN))*((1000)-(c_TMAP3OUT))+IF(((1000)-(c_TMAP3OUT))&gt;=0,1,-1)*QUOTIENT(((1000)-(c_TMAP3IN)),2)))&gt;=0,1,0)))</f>
        <v>529</v>
      </c>
      <c r="H622" s="7" t="str">
        <f aca="false">IF(A622&gt;=c_TFWD,IF(AND(A622&gt;=c_TMAP3IN,c_TMAP3IN&lt;1000),"Seg4 map3-100%",IF(AND(A622&gt;=c_TMAP2IN,c_TMAP3IN&gt;c_TMAP2IN),"Seg3 map2-map3",IF(AND(A622&gt;=c_TMAP1IN,c_TMAP2IN&gt;c_TMAP1IN),"Seg2 map1-map2","Seg1 TFWD-map1"))),IF(AND(A622=0,c_TCREEP&gt;0),"Creep",IF(AND(A622&lt;=c_TRNGMIN,A622&gt;=c_TRNGMAX,c_TRNGMIN-c_TRNGMAX&lt;&gt;0),"Regen ramp","Coast (0)")))</f>
        <v>Seg4 map3-100%</v>
      </c>
      <c r="I622" s="7" t="n">
        <f aca="false">IF(A622&gt;=c_TFWD,IF(AND(A622&gt;=c_TMAP3IN,c_TMAP3IN&lt;1000),G622,IF(AND(A622&gt;=c_TMAP2IN,c_TMAP3IN&gt;c_TMAP2IN),F622,IF(AND(A622&gt;=c_TMAP1IN,c_TMAP2IN&gt;c_TMAP1IN),E622,D622))),C622)</f>
        <v>529</v>
      </c>
      <c r="J622" s="7" t="str">
        <f aca="false">IF(I622&lt;-1090,"TOO LOW",IF(I622&gt;1090,"TOO HIGH",""))</f>
        <v/>
      </c>
      <c r="K622" s="15" t="n">
        <f aca="false">IF(J622&lt;&gt;"",0,IF(I622&gt;979,1000,I622))</f>
        <v>529</v>
      </c>
      <c r="L622" s="7" t="n">
        <f aca="false">K622/10</f>
        <v>52.9</v>
      </c>
    </row>
    <row r="623" customFormat="false" ht="15" hidden="false" customHeight="false" outlineLevel="0" collapsed="false">
      <c r="A623" s="7" t="n">
        <v>618</v>
      </c>
      <c r="B623" s="7" t="n">
        <f aca="false">A623/10</f>
        <v>61.8</v>
      </c>
      <c r="C623" s="7" t="n">
        <f aca="false">IF(AND(A623=0,c_TCREEP&gt;0),10*c_TCREEP,IF(AND(A623&lt;=c_TRNGMIN,A623&gt;=c_TRNGMAX,c_TRNGMIN-c_TRNGMAX&lt;&gt;0),-10*c_TMINRN+QUOTIENT((c_TMAXRN-c_TMINRN)*(100-QUOTIENT((A623-c_TRNGMAX)*100,c_TRNGMIN-c_TRNGMAX)),-10),0))</f>
        <v>0</v>
      </c>
      <c r="D623" s="7" t="n">
        <f aca="false">IF(((c_TMAP1IN)-(c_TFWD))=0,(0)+QUOTIENT(((c_TMAP1OUT)-(0)),2),QUOTIENT((((A623)-(c_TFWD))*((c_TMAP1OUT)-(0))+IF(((c_TMAP1OUT)-(0))&gt;=0,1,-1)*QUOTIENT(((c_TMAP1IN)-(c_TFWD)),2)),((c_TMAP1IN)-(c_TFWD)))+(0)+IF(((c_TMAP1OUT)-(0))&gt;=0,IF(IF(o_WRAP=1,MOD(((c_TMAP1IN)-(c_TFWD))*(((A623)-(c_TFWD))*((c_TMAP1OUT)-(0))+IF(((c_TMAP1OUT)-(0))&gt;=0,1,-1)*QUOTIENT(((c_TMAP1IN)-(c_TFWD)),2))+2147483648,4294967296)-2147483648,((c_TMAP1IN)-(c_TFWD))*(((A623)-(c_TFWD))*((c_TMAP1OUT)-(0))+IF(((c_TMAP1OUT)-(0))&gt;=0,1,-1)*QUOTIENT(((c_TMAP1IN)-(c_TFWD)),2)))&lt;0,-1,0),IF(IF(o_WRAP=1,MOD(((c_TMAP1IN)-(c_TFWD))*(((A623)-(c_TFWD))*((c_TMAP1OUT)-(0))+IF(((c_TMAP1OUT)-(0))&gt;=0,1,-1)*QUOTIENT(((c_TMAP1IN)-(c_TFWD)),2))+2147483648,4294967296)-2147483648,((c_TMAP1IN)-(c_TFWD))*(((A623)-(c_TFWD))*((c_TMAP1OUT)-(0))+IF(((c_TMAP1OUT)-(0))&gt;=0,1,-1)*QUOTIENT(((c_TMAP1IN)-(c_TFWD)),2)))&gt;=0,1,0)))</f>
        <v>473</v>
      </c>
      <c r="E623" s="7" t="n">
        <f aca="false">IF(((c_TMAP2IN)-(c_TMAP1IN))=0,(c_TMAP1OUT)+QUOTIENT(((c_TMAP2OUT)-(c_TMAP1OUT)),2),QUOTIENT((((A623)-(c_TMAP1IN))*((c_TMAP2OUT)-(c_TMAP1OUT))+IF(((c_TMAP2OUT)-(c_TMAP1OUT))&gt;=0,1,-1)*QUOTIENT(((c_TMAP2IN)-(c_TMAP1IN)),2)),((c_TMAP2IN)-(c_TMAP1IN)))+(c_TMAP1OUT)+IF(((c_TMAP2OUT)-(c_TMAP1OUT))&gt;=0,IF(IF(o_WRAP=1,MOD(((c_TMAP2IN)-(c_TMAP1IN))*(((A623)-(c_TMAP1IN))*((c_TMAP2OUT)-(c_TMAP1OUT))+IF(((c_TMAP2OUT)-(c_TMAP1OUT))&gt;=0,1,-1)*QUOTIENT(((c_TMAP2IN)-(c_TMAP1IN)),2))+2147483648,4294967296)-2147483648,((c_TMAP2IN)-(c_TMAP1IN))*(((A623)-(c_TMAP1IN))*((c_TMAP2OUT)-(c_TMAP1OUT))+IF(((c_TMAP2OUT)-(c_TMAP1OUT))&gt;=0,1,-1)*QUOTIENT(((c_TMAP2IN)-(c_TMAP1IN)),2)))&lt;0,-1,0),IF(IF(o_WRAP=1,MOD(((c_TMAP2IN)-(c_TMAP1IN))*(((A623)-(c_TMAP1IN))*((c_TMAP2OUT)-(c_TMAP1OUT))+IF(((c_TMAP2OUT)-(c_TMAP1OUT))&gt;=0,1,-1)*QUOTIENT(((c_TMAP2IN)-(c_TMAP1IN)),2))+2147483648,4294967296)-2147483648,((c_TMAP2IN)-(c_TMAP1IN))*(((A623)-(c_TMAP1IN))*((c_TMAP2OUT)-(c_TMAP1OUT))+IF(((c_TMAP2OUT)-(c_TMAP1OUT))&gt;=0,1,-1)*QUOTIENT(((c_TMAP2IN)-(c_TMAP1IN)),2)))&gt;=0,1,0)))</f>
        <v>277</v>
      </c>
      <c r="F623" s="7" t="n">
        <f aca="false">IF(((c_TMAP3IN)-(c_TMAP2IN))=0,(c_TMAP2OUT)+QUOTIENT(((c_TMAP3OUT)-(c_TMAP2OUT)),2),QUOTIENT((((A623)-(c_TMAP2IN))*((c_TMAP3OUT)-(c_TMAP2OUT))+IF(((c_TMAP3OUT)-(c_TMAP2OUT))&gt;=0,1,-1)*QUOTIENT(((c_TMAP3IN)-(c_TMAP2IN)),2)),((c_TMAP3IN)-(c_TMAP2IN)))+(c_TMAP2OUT)+IF(((c_TMAP3OUT)-(c_TMAP2OUT))&gt;=0,IF(IF(o_WRAP=1,MOD(((c_TMAP3IN)-(c_TMAP2IN))*(((A623)-(c_TMAP2IN))*((c_TMAP3OUT)-(c_TMAP2OUT))+IF(((c_TMAP3OUT)-(c_TMAP2OUT))&gt;=0,1,-1)*QUOTIENT(((c_TMAP3IN)-(c_TMAP2IN)),2))+2147483648,4294967296)-2147483648,((c_TMAP3IN)-(c_TMAP2IN))*(((A623)-(c_TMAP2IN))*((c_TMAP3OUT)-(c_TMAP2OUT))+IF(((c_TMAP3OUT)-(c_TMAP2OUT))&gt;=0,1,-1)*QUOTIENT(((c_TMAP3IN)-(c_TMAP2IN)),2)))&lt;0,-1,0),IF(IF(o_WRAP=1,MOD(((c_TMAP3IN)-(c_TMAP2IN))*(((A623)-(c_TMAP2IN))*((c_TMAP3OUT)-(c_TMAP2OUT))+IF(((c_TMAP3OUT)-(c_TMAP2OUT))&gt;=0,1,-1)*QUOTIENT(((c_TMAP3IN)-(c_TMAP2IN)),2))+2147483648,4294967296)-2147483648,((c_TMAP3IN)-(c_TMAP2IN))*(((A623)-(c_TMAP2IN))*((c_TMAP3OUT)-(c_TMAP2OUT))+IF(((c_TMAP3OUT)-(c_TMAP2OUT))&gt;=0,1,-1)*QUOTIENT(((c_TMAP3IN)-(c_TMAP2IN)),2)))&gt;=0,1,0)))</f>
        <v>388</v>
      </c>
      <c r="G623" s="7" t="n">
        <f aca="false">IF(((1000)-(c_TMAP3IN))=0,(c_TMAP3OUT)+QUOTIENT(((1000)-(c_TMAP3OUT)),2),QUOTIENT((((A623)-(c_TMAP3IN))*((1000)-(c_TMAP3OUT))+IF(((1000)-(c_TMAP3OUT))&gt;=0,1,-1)*QUOTIENT(((1000)-(c_TMAP3IN)),2)),((1000)-(c_TMAP3IN)))+(c_TMAP3OUT)+IF(((1000)-(c_TMAP3OUT))&gt;=0,IF(IF(o_WRAP=1,MOD(((1000)-(c_TMAP3IN))*(((A623)-(c_TMAP3IN))*((1000)-(c_TMAP3OUT))+IF(((1000)-(c_TMAP3OUT))&gt;=0,1,-1)*QUOTIENT(((1000)-(c_TMAP3IN)),2))+2147483648,4294967296)-2147483648,((1000)-(c_TMAP3IN))*(((A623)-(c_TMAP3IN))*((1000)-(c_TMAP3OUT))+IF(((1000)-(c_TMAP3OUT))&gt;=0,1,-1)*QUOTIENT(((1000)-(c_TMAP3IN)),2)))&lt;0,-1,0),IF(IF(o_WRAP=1,MOD(((1000)-(c_TMAP3IN))*(((A623)-(c_TMAP3IN))*((1000)-(c_TMAP3OUT))+IF(((1000)-(c_TMAP3OUT))&gt;=0,1,-1)*QUOTIENT(((1000)-(c_TMAP3IN)),2))+2147483648,4294967296)-2147483648,((1000)-(c_TMAP3IN))*(((A623)-(c_TMAP3IN))*((1000)-(c_TMAP3OUT))+IF(((1000)-(c_TMAP3OUT))&gt;=0,1,-1)*QUOTIENT(((1000)-(c_TMAP3IN)),2)))&gt;=0,1,0)))</f>
        <v>530</v>
      </c>
      <c r="H623" s="7" t="str">
        <f aca="false">IF(A623&gt;=c_TFWD,IF(AND(A623&gt;=c_TMAP3IN,c_TMAP3IN&lt;1000),"Seg4 map3-100%",IF(AND(A623&gt;=c_TMAP2IN,c_TMAP3IN&gt;c_TMAP2IN),"Seg3 map2-map3",IF(AND(A623&gt;=c_TMAP1IN,c_TMAP2IN&gt;c_TMAP1IN),"Seg2 map1-map2","Seg1 TFWD-map1"))),IF(AND(A623=0,c_TCREEP&gt;0),"Creep",IF(AND(A623&lt;=c_TRNGMIN,A623&gt;=c_TRNGMAX,c_TRNGMIN-c_TRNGMAX&lt;&gt;0),"Regen ramp","Coast (0)")))</f>
        <v>Seg4 map3-100%</v>
      </c>
      <c r="I623" s="7" t="n">
        <f aca="false">IF(A623&gt;=c_TFWD,IF(AND(A623&gt;=c_TMAP3IN,c_TMAP3IN&lt;1000),G623,IF(AND(A623&gt;=c_TMAP2IN,c_TMAP3IN&gt;c_TMAP2IN),F623,IF(AND(A623&gt;=c_TMAP1IN,c_TMAP2IN&gt;c_TMAP1IN),E623,D623))),C623)</f>
        <v>530</v>
      </c>
      <c r="J623" s="7" t="str">
        <f aca="false">IF(I623&lt;-1090,"TOO LOW",IF(I623&gt;1090,"TOO HIGH",""))</f>
        <v/>
      </c>
      <c r="K623" s="15" t="n">
        <f aca="false">IF(J623&lt;&gt;"",0,IF(I623&gt;979,1000,I623))</f>
        <v>530</v>
      </c>
      <c r="L623" s="7" t="n">
        <f aca="false">K623/10</f>
        <v>53</v>
      </c>
    </row>
    <row r="624" customFormat="false" ht="15" hidden="false" customHeight="false" outlineLevel="0" collapsed="false">
      <c r="A624" s="7" t="n">
        <v>619</v>
      </c>
      <c r="B624" s="7" t="n">
        <f aca="false">A624/10</f>
        <v>61.9</v>
      </c>
      <c r="C624" s="7" t="n">
        <f aca="false">IF(AND(A624=0,c_TCREEP&gt;0),10*c_TCREEP,IF(AND(A624&lt;=c_TRNGMIN,A624&gt;=c_TRNGMAX,c_TRNGMIN-c_TRNGMAX&lt;&gt;0),-10*c_TMINRN+QUOTIENT((c_TMAXRN-c_TMINRN)*(100-QUOTIENT((A624-c_TRNGMAX)*100,c_TRNGMIN-c_TRNGMAX)),-10),0))</f>
        <v>0</v>
      </c>
      <c r="D624" s="7" t="n">
        <f aca="false">IF(((c_TMAP1IN)-(c_TFWD))=0,(0)+QUOTIENT(((c_TMAP1OUT)-(0)),2),QUOTIENT((((A624)-(c_TFWD))*((c_TMAP1OUT)-(0))+IF(((c_TMAP1OUT)-(0))&gt;=0,1,-1)*QUOTIENT(((c_TMAP1IN)-(c_TFWD)),2)),((c_TMAP1IN)-(c_TFWD)))+(0)+IF(((c_TMAP1OUT)-(0))&gt;=0,IF(IF(o_WRAP=1,MOD(((c_TMAP1IN)-(c_TFWD))*(((A624)-(c_TFWD))*((c_TMAP1OUT)-(0))+IF(((c_TMAP1OUT)-(0))&gt;=0,1,-1)*QUOTIENT(((c_TMAP1IN)-(c_TFWD)),2))+2147483648,4294967296)-2147483648,((c_TMAP1IN)-(c_TFWD))*(((A624)-(c_TFWD))*((c_TMAP1OUT)-(0))+IF(((c_TMAP1OUT)-(0))&gt;=0,1,-1)*QUOTIENT(((c_TMAP1IN)-(c_TFWD)),2)))&lt;0,-1,0),IF(IF(o_WRAP=1,MOD(((c_TMAP1IN)-(c_TFWD))*(((A624)-(c_TFWD))*((c_TMAP1OUT)-(0))+IF(((c_TMAP1OUT)-(0))&gt;=0,1,-1)*QUOTIENT(((c_TMAP1IN)-(c_TFWD)),2))+2147483648,4294967296)-2147483648,((c_TMAP1IN)-(c_TFWD))*(((A624)-(c_TFWD))*((c_TMAP1OUT)-(0))+IF(((c_TMAP1OUT)-(0))&gt;=0,1,-1)*QUOTIENT(((c_TMAP1IN)-(c_TFWD)),2)))&gt;=0,1,0)))</f>
        <v>474</v>
      </c>
      <c r="E624" s="7" t="n">
        <f aca="false">IF(((c_TMAP2IN)-(c_TMAP1IN))=0,(c_TMAP1OUT)+QUOTIENT(((c_TMAP2OUT)-(c_TMAP1OUT)),2),QUOTIENT((((A624)-(c_TMAP1IN))*((c_TMAP2OUT)-(c_TMAP1OUT))+IF(((c_TMAP2OUT)-(c_TMAP1OUT))&gt;=0,1,-1)*QUOTIENT(((c_TMAP2IN)-(c_TMAP1IN)),2)),((c_TMAP2IN)-(c_TMAP1IN)))+(c_TMAP1OUT)+IF(((c_TMAP2OUT)-(c_TMAP1OUT))&gt;=0,IF(IF(o_WRAP=1,MOD(((c_TMAP2IN)-(c_TMAP1IN))*(((A624)-(c_TMAP1IN))*((c_TMAP2OUT)-(c_TMAP1OUT))+IF(((c_TMAP2OUT)-(c_TMAP1OUT))&gt;=0,1,-1)*QUOTIENT(((c_TMAP2IN)-(c_TMAP1IN)),2))+2147483648,4294967296)-2147483648,((c_TMAP2IN)-(c_TMAP1IN))*(((A624)-(c_TMAP1IN))*((c_TMAP2OUT)-(c_TMAP1OUT))+IF(((c_TMAP2OUT)-(c_TMAP1OUT))&gt;=0,1,-1)*QUOTIENT(((c_TMAP2IN)-(c_TMAP1IN)),2)))&lt;0,-1,0),IF(IF(o_WRAP=1,MOD(((c_TMAP2IN)-(c_TMAP1IN))*(((A624)-(c_TMAP1IN))*((c_TMAP2OUT)-(c_TMAP1OUT))+IF(((c_TMAP2OUT)-(c_TMAP1OUT))&gt;=0,1,-1)*QUOTIENT(((c_TMAP2IN)-(c_TMAP1IN)),2))+2147483648,4294967296)-2147483648,((c_TMAP2IN)-(c_TMAP1IN))*(((A624)-(c_TMAP1IN))*((c_TMAP2OUT)-(c_TMAP1OUT))+IF(((c_TMAP2OUT)-(c_TMAP1OUT))&gt;=0,1,-1)*QUOTIENT(((c_TMAP2IN)-(c_TMAP1IN)),2)))&gt;=0,1,0)))</f>
        <v>278</v>
      </c>
      <c r="F624" s="7" t="n">
        <f aca="false">IF(((c_TMAP3IN)-(c_TMAP2IN))=0,(c_TMAP2OUT)+QUOTIENT(((c_TMAP3OUT)-(c_TMAP2OUT)),2),QUOTIENT((((A624)-(c_TMAP2IN))*((c_TMAP3OUT)-(c_TMAP2OUT))+IF(((c_TMAP3OUT)-(c_TMAP2OUT))&gt;=0,1,-1)*QUOTIENT(((c_TMAP3IN)-(c_TMAP2IN)),2)),((c_TMAP3IN)-(c_TMAP2IN)))+(c_TMAP2OUT)+IF(((c_TMAP3OUT)-(c_TMAP2OUT))&gt;=0,IF(IF(o_WRAP=1,MOD(((c_TMAP3IN)-(c_TMAP2IN))*(((A624)-(c_TMAP2IN))*((c_TMAP3OUT)-(c_TMAP2OUT))+IF(((c_TMAP3OUT)-(c_TMAP2OUT))&gt;=0,1,-1)*QUOTIENT(((c_TMAP3IN)-(c_TMAP2IN)),2))+2147483648,4294967296)-2147483648,((c_TMAP3IN)-(c_TMAP2IN))*(((A624)-(c_TMAP2IN))*((c_TMAP3OUT)-(c_TMAP2OUT))+IF(((c_TMAP3OUT)-(c_TMAP2OUT))&gt;=0,1,-1)*QUOTIENT(((c_TMAP3IN)-(c_TMAP2IN)),2)))&lt;0,-1,0),IF(IF(o_WRAP=1,MOD(((c_TMAP3IN)-(c_TMAP2IN))*(((A624)-(c_TMAP2IN))*((c_TMAP3OUT)-(c_TMAP2OUT))+IF(((c_TMAP3OUT)-(c_TMAP2OUT))&gt;=0,1,-1)*QUOTIENT(((c_TMAP3IN)-(c_TMAP2IN)),2))+2147483648,4294967296)-2147483648,((c_TMAP3IN)-(c_TMAP2IN))*(((A624)-(c_TMAP2IN))*((c_TMAP3OUT)-(c_TMAP2OUT))+IF(((c_TMAP3OUT)-(c_TMAP2OUT))&gt;=0,1,-1)*QUOTIENT(((c_TMAP3IN)-(c_TMAP2IN)),2)))&gt;=0,1,0)))</f>
        <v>388</v>
      </c>
      <c r="G624" s="7" t="n">
        <f aca="false">IF(((1000)-(c_TMAP3IN))=0,(c_TMAP3OUT)+QUOTIENT(((1000)-(c_TMAP3OUT)),2),QUOTIENT((((A624)-(c_TMAP3IN))*((1000)-(c_TMAP3OUT))+IF(((1000)-(c_TMAP3OUT))&gt;=0,1,-1)*QUOTIENT(((1000)-(c_TMAP3IN)),2)),((1000)-(c_TMAP3IN)))+(c_TMAP3OUT)+IF(((1000)-(c_TMAP3OUT))&gt;=0,IF(IF(o_WRAP=1,MOD(((1000)-(c_TMAP3IN))*(((A624)-(c_TMAP3IN))*((1000)-(c_TMAP3OUT))+IF(((1000)-(c_TMAP3OUT))&gt;=0,1,-1)*QUOTIENT(((1000)-(c_TMAP3IN)),2))+2147483648,4294967296)-2147483648,((1000)-(c_TMAP3IN))*(((A624)-(c_TMAP3IN))*((1000)-(c_TMAP3OUT))+IF(((1000)-(c_TMAP3OUT))&gt;=0,1,-1)*QUOTIENT(((1000)-(c_TMAP3IN)),2)))&lt;0,-1,0),IF(IF(o_WRAP=1,MOD(((1000)-(c_TMAP3IN))*(((A624)-(c_TMAP3IN))*((1000)-(c_TMAP3OUT))+IF(((1000)-(c_TMAP3OUT))&gt;=0,1,-1)*QUOTIENT(((1000)-(c_TMAP3IN)),2))+2147483648,4294967296)-2147483648,((1000)-(c_TMAP3IN))*(((A624)-(c_TMAP3IN))*((1000)-(c_TMAP3OUT))+IF(((1000)-(c_TMAP3OUT))&gt;=0,1,-1)*QUOTIENT(((1000)-(c_TMAP3IN)),2)))&gt;=0,1,0)))</f>
        <v>531</v>
      </c>
      <c r="H624" s="7" t="str">
        <f aca="false">IF(A624&gt;=c_TFWD,IF(AND(A624&gt;=c_TMAP3IN,c_TMAP3IN&lt;1000),"Seg4 map3-100%",IF(AND(A624&gt;=c_TMAP2IN,c_TMAP3IN&gt;c_TMAP2IN),"Seg3 map2-map3",IF(AND(A624&gt;=c_TMAP1IN,c_TMAP2IN&gt;c_TMAP1IN),"Seg2 map1-map2","Seg1 TFWD-map1"))),IF(AND(A624=0,c_TCREEP&gt;0),"Creep",IF(AND(A624&lt;=c_TRNGMIN,A624&gt;=c_TRNGMAX,c_TRNGMIN-c_TRNGMAX&lt;&gt;0),"Regen ramp","Coast (0)")))</f>
        <v>Seg4 map3-100%</v>
      </c>
      <c r="I624" s="7" t="n">
        <f aca="false">IF(A624&gt;=c_TFWD,IF(AND(A624&gt;=c_TMAP3IN,c_TMAP3IN&lt;1000),G624,IF(AND(A624&gt;=c_TMAP2IN,c_TMAP3IN&gt;c_TMAP2IN),F624,IF(AND(A624&gt;=c_TMAP1IN,c_TMAP2IN&gt;c_TMAP1IN),E624,D624))),C624)</f>
        <v>531</v>
      </c>
      <c r="J624" s="7" t="str">
        <f aca="false">IF(I624&lt;-1090,"TOO LOW",IF(I624&gt;1090,"TOO HIGH",""))</f>
        <v/>
      </c>
      <c r="K624" s="15" t="n">
        <f aca="false">IF(J624&lt;&gt;"",0,IF(I624&gt;979,1000,I624))</f>
        <v>531</v>
      </c>
      <c r="L624" s="7" t="n">
        <f aca="false">K624/10</f>
        <v>53.1</v>
      </c>
    </row>
    <row r="625" customFormat="false" ht="15" hidden="false" customHeight="false" outlineLevel="0" collapsed="false">
      <c r="A625" s="7" t="n">
        <v>620</v>
      </c>
      <c r="B625" s="7" t="n">
        <f aca="false">A625/10</f>
        <v>62</v>
      </c>
      <c r="C625" s="7" t="n">
        <f aca="false">IF(AND(A625=0,c_TCREEP&gt;0),10*c_TCREEP,IF(AND(A625&lt;=c_TRNGMIN,A625&gt;=c_TRNGMAX,c_TRNGMIN-c_TRNGMAX&lt;&gt;0),-10*c_TMINRN+QUOTIENT((c_TMAXRN-c_TMINRN)*(100-QUOTIENT((A625-c_TRNGMAX)*100,c_TRNGMIN-c_TRNGMAX)),-10),0))</f>
        <v>0</v>
      </c>
      <c r="D625" s="7" t="n">
        <f aca="false">IF(((c_TMAP1IN)-(c_TFWD))=0,(0)+QUOTIENT(((c_TMAP1OUT)-(0)),2),QUOTIENT((((A625)-(c_TFWD))*((c_TMAP1OUT)-(0))+IF(((c_TMAP1OUT)-(0))&gt;=0,1,-1)*QUOTIENT(((c_TMAP1IN)-(c_TFWD)),2)),((c_TMAP1IN)-(c_TFWD)))+(0)+IF(((c_TMAP1OUT)-(0))&gt;=0,IF(IF(o_WRAP=1,MOD(((c_TMAP1IN)-(c_TFWD))*(((A625)-(c_TFWD))*((c_TMAP1OUT)-(0))+IF(((c_TMAP1OUT)-(0))&gt;=0,1,-1)*QUOTIENT(((c_TMAP1IN)-(c_TFWD)),2))+2147483648,4294967296)-2147483648,((c_TMAP1IN)-(c_TFWD))*(((A625)-(c_TFWD))*((c_TMAP1OUT)-(0))+IF(((c_TMAP1OUT)-(0))&gt;=0,1,-1)*QUOTIENT(((c_TMAP1IN)-(c_TFWD)),2)))&lt;0,-1,0),IF(IF(o_WRAP=1,MOD(((c_TMAP1IN)-(c_TFWD))*(((A625)-(c_TFWD))*((c_TMAP1OUT)-(0))+IF(((c_TMAP1OUT)-(0))&gt;=0,1,-1)*QUOTIENT(((c_TMAP1IN)-(c_TFWD)),2))+2147483648,4294967296)-2147483648,((c_TMAP1IN)-(c_TFWD))*(((A625)-(c_TFWD))*((c_TMAP1OUT)-(0))+IF(((c_TMAP1OUT)-(0))&gt;=0,1,-1)*QUOTIENT(((c_TMAP1IN)-(c_TFWD)),2)))&gt;=0,1,0)))</f>
        <v>474</v>
      </c>
      <c r="E625" s="7" t="n">
        <f aca="false">IF(((c_TMAP2IN)-(c_TMAP1IN))=0,(c_TMAP1OUT)+QUOTIENT(((c_TMAP2OUT)-(c_TMAP1OUT)),2),QUOTIENT((((A625)-(c_TMAP1IN))*((c_TMAP2OUT)-(c_TMAP1OUT))+IF(((c_TMAP2OUT)-(c_TMAP1OUT))&gt;=0,1,-1)*QUOTIENT(((c_TMAP2IN)-(c_TMAP1IN)),2)),((c_TMAP2IN)-(c_TMAP1IN)))+(c_TMAP1OUT)+IF(((c_TMAP2OUT)-(c_TMAP1OUT))&gt;=0,IF(IF(o_WRAP=1,MOD(((c_TMAP2IN)-(c_TMAP1IN))*(((A625)-(c_TMAP1IN))*((c_TMAP2OUT)-(c_TMAP1OUT))+IF(((c_TMAP2OUT)-(c_TMAP1OUT))&gt;=0,1,-1)*QUOTIENT(((c_TMAP2IN)-(c_TMAP1IN)),2))+2147483648,4294967296)-2147483648,((c_TMAP2IN)-(c_TMAP1IN))*(((A625)-(c_TMAP1IN))*((c_TMAP2OUT)-(c_TMAP1OUT))+IF(((c_TMAP2OUT)-(c_TMAP1OUT))&gt;=0,1,-1)*QUOTIENT(((c_TMAP2IN)-(c_TMAP1IN)),2)))&lt;0,-1,0),IF(IF(o_WRAP=1,MOD(((c_TMAP2IN)-(c_TMAP1IN))*(((A625)-(c_TMAP1IN))*((c_TMAP2OUT)-(c_TMAP1OUT))+IF(((c_TMAP2OUT)-(c_TMAP1OUT))&gt;=0,1,-1)*QUOTIENT(((c_TMAP2IN)-(c_TMAP1IN)),2))+2147483648,4294967296)-2147483648,((c_TMAP2IN)-(c_TMAP1IN))*(((A625)-(c_TMAP1IN))*((c_TMAP2OUT)-(c_TMAP1OUT))+IF(((c_TMAP2OUT)-(c_TMAP1OUT))&gt;=0,1,-1)*QUOTIENT(((c_TMAP2IN)-(c_TMAP1IN)),2)))&gt;=0,1,0)))</f>
        <v>278</v>
      </c>
      <c r="F625" s="7" t="n">
        <f aca="false">IF(((c_TMAP3IN)-(c_TMAP2IN))=0,(c_TMAP2OUT)+QUOTIENT(((c_TMAP3OUT)-(c_TMAP2OUT)),2),QUOTIENT((((A625)-(c_TMAP2IN))*((c_TMAP3OUT)-(c_TMAP2OUT))+IF(((c_TMAP3OUT)-(c_TMAP2OUT))&gt;=0,1,-1)*QUOTIENT(((c_TMAP3IN)-(c_TMAP2IN)),2)),((c_TMAP3IN)-(c_TMAP2IN)))+(c_TMAP2OUT)+IF(((c_TMAP3OUT)-(c_TMAP2OUT))&gt;=0,IF(IF(o_WRAP=1,MOD(((c_TMAP3IN)-(c_TMAP2IN))*(((A625)-(c_TMAP2IN))*((c_TMAP3OUT)-(c_TMAP2OUT))+IF(((c_TMAP3OUT)-(c_TMAP2OUT))&gt;=0,1,-1)*QUOTIENT(((c_TMAP3IN)-(c_TMAP2IN)),2))+2147483648,4294967296)-2147483648,((c_TMAP3IN)-(c_TMAP2IN))*(((A625)-(c_TMAP2IN))*((c_TMAP3OUT)-(c_TMAP2OUT))+IF(((c_TMAP3OUT)-(c_TMAP2OUT))&gt;=0,1,-1)*QUOTIENT(((c_TMAP3IN)-(c_TMAP2IN)),2)))&lt;0,-1,0),IF(IF(o_WRAP=1,MOD(((c_TMAP3IN)-(c_TMAP2IN))*(((A625)-(c_TMAP2IN))*((c_TMAP3OUT)-(c_TMAP2OUT))+IF(((c_TMAP3OUT)-(c_TMAP2OUT))&gt;=0,1,-1)*QUOTIENT(((c_TMAP3IN)-(c_TMAP2IN)),2))+2147483648,4294967296)-2147483648,((c_TMAP3IN)-(c_TMAP2IN))*(((A625)-(c_TMAP2IN))*((c_TMAP3OUT)-(c_TMAP2OUT))+IF(((c_TMAP3OUT)-(c_TMAP2OUT))&gt;=0,1,-1)*QUOTIENT(((c_TMAP3IN)-(c_TMAP2IN)),2)))&gt;=0,1,0)))</f>
        <v>389</v>
      </c>
      <c r="G625" s="7" t="n">
        <f aca="false">IF(((1000)-(c_TMAP3IN))=0,(c_TMAP3OUT)+QUOTIENT(((1000)-(c_TMAP3OUT)),2),QUOTIENT((((A625)-(c_TMAP3IN))*((1000)-(c_TMAP3OUT))+IF(((1000)-(c_TMAP3OUT))&gt;=0,1,-1)*QUOTIENT(((1000)-(c_TMAP3IN)),2)),((1000)-(c_TMAP3IN)))+(c_TMAP3OUT)+IF(((1000)-(c_TMAP3OUT))&gt;=0,IF(IF(o_WRAP=1,MOD(((1000)-(c_TMAP3IN))*(((A625)-(c_TMAP3IN))*((1000)-(c_TMAP3OUT))+IF(((1000)-(c_TMAP3OUT))&gt;=0,1,-1)*QUOTIENT(((1000)-(c_TMAP3IN)),2))+2147483648,4294967296)-2147483648,((1000)-(c_TMAP3IN))*(((A625)-(c_TMAP3IN))*((1000)-(c_TMAP3OUT))+IF(((1000)-(c_TMAP3OUT))&gt;=0,1,-1)*QUOTIENT(((1000)-(c_TMAP3IN)),2)))&lt;0,-1,0),IF(IF(o_WRAP=1,MOD(((1000)-(c_TMAP3IN))*(((A625)-(c_TMAP3IN))*((1000)-(c_TMAP3OUT))+IF(((1000)-(c_TMAP3OUT))&gt;=0,1,-1)*QUOTIENT(((1000)-(c_TMAP3IN)),2))+2147483648,4294967296)-2147483648,((1000)-(c_TMAP3IN))*(((A625)-(c_TMAP3IN))*((1000)-(c_TMAP3OUT))+IF(((1000)-(c_TMAP3OUT))&gt;=0,1,-1)*QUOTIENT(((1000)-(c_TMAP3IN)),2)))&gt;=0,1,0)))</f>
        <v>532</v>
      </c>
      <c r="H625" s="7" t="str">
        <f aca="false">IF(A625&gt;=c_TFWD,IF(AND(A625&gt;=c_TMAP3IN,c_TMAP3IN&lt;1000),"Seg4 map3-100%",IF(AND(A625&gt;=c_TMAP2IN,c_TMAP3IN&gt;c_TMAP2IN),"Seg3 map2-map3",IF(AND(A625&gt;=c_TMAP1IN,c_TMAP2IN&gt;c_TMAP1IN),"Seg2 map1-map2","Seg1 TFWD-map1"))),IF(AND(A625=0,c_TCREEP&gt;0),"Creep",IF(AND(A625&lt;=c_TRNGMIN,A625&gt;=c_TRNGMAX,c_TRNGMIN-c_TRNGMAX&lt;&gt;0),"Regen ramp","Coast (0)")))</f>
        <v>Seg4 map3-100%</v>
      </c>
      <c r="I625" s="7" t="n">
        <f aca="false">IF(A625&gt;=c_TFWD,IF(AND(A625&gt;=c_TMAP3IN,c_TMAP3IN&lt;1000),G625,IF(AND(A625&gt;=c_TMAP2IN,c_TMAP3IN&gt;c_TMAP2IN),F625,IF(AND(A625&gt;=c_TMAP1IN,c_TMAP2IN&gt;c_TMAP1IN),E625,D625))),C625)</f>
        <v>532</v>
      </c>
      <c r="J625" s="7" t="str">
        <f aca="false">IF(I625&lt;-1090,"TOO LOW",IF(I625&gt;1090,"TOO HIGH",""))</f>
        <v/>
      </c>
      <c r="K625" s="15" t="n">
        <f aca="false">IF(J625&lt;&gt;"",0,IF(I625&gt;979,1000,I625))</f>
        <v>532</v>
      </c>
      <c r="L625" s="7" t="n">
        <f aca="false">K625/10</f>
        <v>53.2</v>
      </c>
    </row>
    <row r="626" customFormat="false" ht="15" hidden="false" customHeight="false" outlineLevel="0" collapsed="false">
      <c r="A626" s="7" t="n">
        <v>621</v>
      </c>
      <c r="B626" s="7" t="n">
        <f aca="false">A626/10</f>
        <v>62.1</v>
      </c>
      <c r="C626" s="7" t="n">
        <f aca="false">IF(AND(A626=0,c_TCREEP&gt;0),10*c_TCREEP,IF(AND(A626&lt;=c_TRNGMIN,A626&gt;=c_TRNGMAX,c_TRNGMIN-c_TRNGMAX&lt;&gt;0),-10*c_TMINRN+QUOTIENT((c_TMAXRN-c_TMINRN)*(100-QUOTIENT((A626-c_TRNGMAX)*100,c_TRNGMIN-c_TRNGMAX)),-10),0))</f>
        <v>0</v>
      </c>
      <c r="D626" s="7" t="n">
        <f aca="false">IF(((c_TMAP1IN)-(c_TFWD))=0,(0)+QUOTIENT(((c_TMAP1OUT)-(0)),2),QUOTIENT((((A626)-(c_TFWD))*((c_TMAP1OUT)-(0))+IF(((c_TMAP1OUT)-(0))&gt;=0,1,-1)*QUOTIENT(((c_TMAP1IN)-(c_TFWD)),2)),((c_TMAP1IN)-(c_TFWD)))+(0)+IF(((c_TMAP1OUT)-(0))&gt;=0,IF(IF(o_WRAP=1,MOD(((c_TMAP1IN)-(c_TFWD))*(((A626)-(c_TFWD))*((c_TMAP1OUT)-(0))+IF(((c_TMAP1OUT)-(0))&gt;=0,1,-1)*QUOTIENT(((c_TMAP1IN)-(c_TFWD)),2))+2147483648,4294967296)-2147483648,((c_TMAP1IN)-(c_TFWD))*(((A626)-(c_TFWD))*((c_TMAP1OUT)-(0))+IF(((c_TMAP1OUT)-(0))&gt;=0,1,-1)*QUOTIENT(((c_TMAP1IN)-(c_TFWD)),2)))&lt;0,-1,0),IF(IF(o_WRAP=1,MOD(((c_TMAP1IN)-(c_TFWD))*(((A626)-(c_TFWD))*((c_TMAP1OUT)-(0))+IF(((c_TMAP1OUT)-(0))&gt;=0,1,-1)*QUOTIENT(((c_TMAP1IN)-(c_TFWD)),2))+2147483648,4294967296)-2147483648,((c_TMAP1IN)-(c_TFWD))*(((A626)-(c_TFWD))*((c_TMAP1OUT)-(0))+IF(((c_TMAP1OUT)-(0))&gt;=0,1,-1)*QUOTIENT(((c_TMAP1IN)-(c_TFWD)),2)))&gt;=0,1,0)))</f>
        <v>475</v>
      </c>
      <c r="E626" s="7" t="n">
        <f aca="false">IF(((c_TMAP2IN)-(c_TMAP1IN))=0,(c_TMAP1OUT)+QUOTIENT(((c_TMAP2OUT)-(c_TMAP1OUT)),2),QUOTIENT((((A626)-(c_TMAP1IN))*((c_TMAP2OUT)-(c_TMAP1OUT))+IF(((c_TMAP2OUT)-(c_TMAP1OUT))&gt;=0,1,-1)*QUOTIENT(((c_TMAP2IN)-(c_TMAP1IN)),2)),((c_TMAP2IN)-(c_TMAP1IN)))+(c_TMAP1OUT)+IF(((c_TMAP2OUT)-(c_TMAP1OUT))&gt;=0,IF(IF(o_WRAP=1,MOD(((c_TMAP2IN)-(c_TMAP1IN))*(((A626)-(c_TMAP1IN))*((c_TMAP2OUT)-(c_TMAP1OUT))+IF(((c_TMAP2OUT)-(c_TMAP1OUT))&gt;=0,1,-1)*QUOTIENT(((c_TMAP2IN)-(c_TMAP1IN)),2))+2147483648,4294967296)-2147483648,((c_TMAP2IN)-(c_TMAP1IN))*(((A626)-(c_TMAP1IN))*((c_TMAP2OUT)-(c_TMAP1OUT))+IF(((c_TMAP2OUT)-(c_TMAP1OUT))&gt;=0,1,-1)*QUOTIENT(((c_TMAP2IN)-(c_TMAP1IN)),2)))&lt;0,-1,0),IF(IF(o_WRAP=1,MOD(((c_TMAP2IN)-(c_TMAP1IN))*(((A626)-(c_TMAP1IN))*((c_TMAP2OUT)-(c_TMAP1OUT))+IF(((c_TMAP2OUT)-(c_TMAP1OUT))&gt;=0,1,-1)*QUOTIENT(((c_TMAP2IN)-(c_TMAP1IN)),2))+2147483648,4294967296)-2147483648,((c_TMAP2IN)-(c_TMAP1IN))*(((A626)-(c_TMAP1IN))*((c_TMAP2OUT)-(c_TMAP1OUT))+IF(((c_TMAP2OUT)-(c_TMAP1OUT))&gt;=0,1,-1)*QUOTIENT(((c_TMAP2IN)-(c_TMAP1IN)),2)))&gt;=0,1,0)))</f>
        <v>278</v>
      </c>
      <c r="F626" s="7" t="n">
        <f aca="false">IF(((c_TMAP3IN)-(c_TMAP2IN))=0,(c_TMAP2OUT)+QUOTIENT(((c_TMAP3OUT)-(c_TMAP2OUT)),2),QUOTIENT((((A626)-(c_TMAP2IN))*((c_TMAP3OUT)-(c_TMAP2OUT))+IF(((c_TMAP3OUT)-(c_TMAP2OUT))&gt;=0,1,-1)*QUOTIENT(((c_TMAP3IN)-(c_TMAP2IN)),2)),((c_TMAP3IN)-(c_TMAP2IN)))+(c_TMAP2OUT)+IF(((c_TMAP3OUT)-(c_TMAP2OUT))&gt;=0,IF(IF(o_WRAP=1,MOD(((c_TMAP3IN)-(c_TMAP2IN))*(((A626)-(c_TMAP2IN))*((c_TMAP3OUT)-(c_TMAP2OUT))+IF(((c_TMAP3OUT)-(c_TMAP2OUT))&gt;=0,1,-1)*QUOTIENT(((c_TMAP3IN)-(c_TMAP2IN)),2))+2147483648,4294967296)-2147483648,((c_TMAP3IN)-(c_TMAP2IN))*(((A626)-(c_TMAP2IN))*((c_TMAP3OUT)-(c_TMAP2OUT))+IF(((c_TMAP3OUT)-(c_TMAP2OUT))&gt;=0,1,-1)*QUOTIENT(((c_TMAP3IN)-(c_TMAP2IN)),2)))&lt;0,-1,0),IF(IF(o_WRAP=1,MOD(((c_TMAP3IN)-(c_TMAP2IN))*(((A626)-(c_TMAP2IN))*((c_TMAP3OUT)-(c_TMAP2OUT))+IF(((c_TMAP3OUT)-(c_TMAP2OUT))&gt;=0,1,-1)*QUOTIENT(((c_TMAP3IN)-(c_TMAP2IN)),2))+2147483648,4294967296)-2147483648,((c_TMAP3IN)-(c_TMAP2IN))*(((A626)-(c_TMAP2IN))*((c_TMAP3OUT)-(c_TMAP2OUT))+IF(((c_TMAP3OUT)-(c_TMAP2OUT))&gt;=0,1,-1)*QUOTIENT(((c_TMAP3IN)-(c_TMAP2IN)),2)))&gt;=0,1,0)))</f>
        <v>390</v>
      </c>
      <c r="G626" s="7" t="n">
        <f aca="false">IF(((1000)-(c_TMAP3IN))=0,(c_TMAP3OUT)+QUOTIENT(((1000)-(c_TMAP3OUT)),2),QUOTIENT((((A626)-(c_TMAP3IN))*((1000)-(c_TMAP3OUT))+IF(((1000)-(c_TMAP3OUT))&gt;=0,1,-1)*QUOTIENT(((1000)-(c_TMAP3IN)),2)),((1000)-(c_TMAP3IN)))+(c_TMAP3OUT)+IF(((1000)-(c_TMAP3OUT))&gt;=0,IF(IF(o_WRAP=1,MOD(((1000)-(c_TMAP3IN))*(((A626)-(c_TMAP3IN))*((1000)-(c_TMAP3OUT))+IF(((1000)-(c_TMAP3OUT))&gt;=0,1,-1)*QUOTIENT(((1000)-(c_TMAP3IN)),2))+2147483648,4294967296)-2147483648,((1000)-(c_TMAP3IN))*(((A626)-(c_TMAP3IN))*((1000)-(c_TMAP3OUT))+IF(((1000)-(c_TMAP3OUT))&gt;=0,1,-1)*QUOTIENT(((1000)-(c_TMAP3IN)),2)))&lt;0,-1,0),IF(IF(o_WRAP=1,MOD(((1000)-(c_TMAP3IN))*(((A626)-(c_TMAP3IN))*((1000)-(c_TMAP3OUT))+IF(((1000)-(c_TMAP3OUT))&gt;=0,1,-1)*QUOTIENT(((1000)-(c_TMAP3IN)),2))+2147483648,4294967296)-2147483648,((1000)-(c_TMAP3IN))*(((A626)-(c_TMAP3IN))*((1000)-(c_TMAP3OUT))+IF(((1000)-(c_TMAP3OUT))&gt;=0,1,-1)*QUOTIENT(((1000)-(c_TMAP3IN)),2)))&gt;=0,1,0)))</f>
        <v>534</v>
      </c>
      <c r="H626" s="7" t="str">
        <f aca="false">IF(A626&gt;=c_TFWD,IF(AND(A626&gt;=c_TMAP3IN,c_TMAP3IN&lt;1000),"Seg4 map3-100%",IF(AND(A626&gt;=c_TMAP2IN,c_TMAP3IN&gt;c_TMAP2IN),"Seg3 map2-map3",IF(AND(A626&gt;=c_TMAP1IN,c_TMAP2IN&gt;c_TMAP1IN),"Seg2 map1-map2","Seg1 TFWD-map1"))),IF(AND(A626=0,c_TCREEP&gt;0),"Creep",IF(AND(A626&lt;=c_TRNGMIN,A626&gt;=c_TRNGMAX,c_TRNGMIN-c_TRNGMAX&lt;&gt;0),"Regen ramp","Coast (0)")))</f>
        <v>Seg4 map3-100%</v>
      </c>
      <c r="I626" s="7" t="n">
        <f aca="false">IF(A626&gt;=c_TFWD,IF(AND(A626&gt;=c_TMAP3IN,c_TMAP3IN&lt;1000),G626,IF(AND(A626&gt;=c_TMAP2IN,c_TMAP3IN&gt;c_TMAP2IN),F626,IF(AND(A626&gt;=c_TMAP1IN,c_TMAP2IN&gt;c_TMAP1IN),E626,D626))),C626)</f>
        <v>534</v>
      </c>
      <c r="J626" s="7" t="str">
        <f aca="false">IF(I626&lt;-1090,"TOO LOW",IF(I626&gt;1090,"TOO HIGH",""))</f>
        <v/>
      </c>
      <c r="K626" s="15" t="n">
        <f aca="false">IF(J626&lt;&gt;"",0,IF(I626&gt;979,1000,I626))</f>
        <v>534</v>
      </c>
      <c r="L626" s="7" t="n">
        <f aca="false">K626/10</f>
        <v>53.4</v>
      </c>
    </row>
    <row r="627" customFormat="false" ht="15" hidden="false" customHeight="false" outlineLevel="0" collapsed="false">
      <c r="A627" s="7" t="n">
        <v>622</v>
      </c>
      <c r="B627" s="7" t="n">
        <f aca="false">A627/10</f>
        <v>62.2</v>
      </c>
      <c r="C627" s="7" t="n">
        <f aca="false">IF(AND(A627=0,c_TCREEP&gt;0),10*c_TCREEP,IF(AND(A627&lt;=c_TRNGMIN,A627&gt;=c_TRNGMAX,c_TRNGMIN-c_TRNGMAX&lt;&gt;0),-10*c_TMINRN+QUOTIENT((c_TMAXRN-c_TMINRN)*(100-QUOTIENT((A627-c_TRNGMAX)*100,c_TRNGMIN-c_TRNGMAX)),-10),0))</f>
        <v>0</v>
      </c>
      <c r="D627" s="7" t="n">
        <f aca="false">IF(((c_TMAP1IN)-(c_TFWD))=0,(0)+QUOTIENT(((c_TMAP1OUT)-(0)),2),QUOTIENT((((A627)-(c_TFWD))*((c_TMAP1OUT)-(0))+IF(((c_TMAP1OUT)-(0))&gt;=0,1,-1)*QUOTIENT(((c_TMAP1IN)-(c_TFWD)),2)),((c_TMAP1IN)-(c_TFWD)))+(0)+IF(((c_TMAP1OUT)-(0))&gt;=0,IF(IF(o_WRAP=1,MOD(((c_TMAP1IN)-(c_TFWD))*(((A627)-(c_TFWD))*((c_TMAP1OUT)-(0))+IF(((c_TMAP1OUT)-(0))&gt;=0,1,-1)*QUOTIENT(((c_TMAP1IN)-(c_TFWD)),2))+2147483648,4294967296)-2147483648,((c_TMAP1IN)-(c_TFWD))*(((A627)-(c_TFWD))*((c_TMAP1OUT)-(0))+IF(((c_TMAP1OUT)-(0))&gt;=0,1,-1)*QUOTIENT(((c_TMAP1IN)-(c_TFWD)),2)))&lt;0,-1,0),IF(IF(o_WRAP=1,MOD(((c_TMAP1IN)-(c_TFWD))*(((A627)-(c_TFWD))*((c_TMAP1OUT)-(0))+IF(((c_TMAP1OUT)-(0))&gt;=0,1,-1)*QUOTIENT(((c_TMAP1IN)-(c_TFWD)),2))+2147483648,4294967296)-2147483648,((c_TMAP1IN)-(c_TFWD))*(((A627)-(c_TFWD))*((c_TMAP1OUT)-(0))+IF(((c_TMAP1OUT)-(0))&gt;=0,1,-1)*QUOTIENT(((c_TMAP1IN)-(c_TFWD)),2)))&gt;=0,1,0)))</f>
        <v>476</v>
      </c>
      <c r="E627" s="7" t="n">
        <f aca="false">IF(((c_TMAP2IN)-(c_TMAP1IN))=0,(c_TMAP1OUT)+QUOTIENT(((c_TMAP2OUT)-(c_TMAP1OUT)),2),QUOTIENT((((A627)-(c_TMAP1IN))*((c_TMAP2OUT)-(c_TMAP1OUT))+IF(((c_TMAP2OUT)-(c_TMAP1OUT))&gt;=0,1,-1)*QUOTIENT(((c_TMAP2IN)-(c_TMAP1IN)),2)),((c_TMAP2IN)-(c_TMAP1IN)))+(c_TMAP1OUT)+IF(((c_TMAP2OUT)-(c_TMAP1OUT))&gt;=0,IF(IF(o_WRAP=1,MOD(((c_TMAP2IN)-(c_TMAP1IN))*(((A627)-(c_TMAP1IN))*((c_TMAP2OUT)-(c_TMAP1OUT))+IF(((c_TMAP2OUT)-(c_TMAP1OUT))&gt;=0,1,-1)*QUOTIENT(((c_TMAP2IN)-(c_TMAP1IN)),2))+2147483648,4294967296)-2147483648,((c_TMAP2IN)-(c_TMAP1IN))*(((A627)-(c_TMAP1IN))*((c_TMAP2OUT)-(c_TMAP1OUT))+IF(((c_TMAP2OUT)-(c_TMAP1OUT))&gt;=0,1,-1)*QUOTIENT(((c_TMAP2IN)-(c_TMAP1IN)),2)))&lt;0,-1,0),IF(IF(o_WRAP=1,MOD(((c_TMAP2IN)-(c_TMAP1IN))*(((A627)-(c_TMAP1IN))*((c_TMAP2OUT)-(c_TMAP1OUT))+IF(((c_TMAP2OUT)-(c_TMAP1OUT))&gt;=0,1,-1)*QUOTIENT(((c_TMAP2IN)-(c_TMAP1IN)),2))+2147483648,4294967296)-2147483648,((c_TMAP2IN)-(c_TMAP1IN))*(((A627)-(c_TMAP1IN))*((c_TMAP2OUT)-(c_TMAP1OUT))+IF(((c_TMAP2OUT)-(c_TMAP1OUT))&gt;=0,1,-1)*QUOTIENT(((c_TMAP2IN)-(c_TMAP1IN)),2)))&gt;=0,1,0)))</f>
        <v>279</v>
      </c>
      <c r="F627" s="7" t="n">
        <f aca="false">IF(((c_TMAP3IN)-(c_TMAP2IN))=0,(c_TMAP2OUT)+QUOTIENT(((c_TMAP3OUT)-(c_TMAP2OUT)),2),QUOTIENT((((A627)-(c_TMAP2IN))*((c_TMAP3OUT)-(c_TMAP2OUT))+IF(((c_TMAP3OUT)-(c_TMAP2OUT))&gt;=0,1,-1)*QUOTIENT(((c_TMAP3IN)-(c_TMAP2IN)),2)),((c_TMAP3IN)-(c_TMAP2IN)))+(c_TMAP2OUT)+IF(((c_TMAP3OUT)-(c_TMAP2OUT))&gt;=0,IF(IF(o_WRAP=1,MOD(((c_TMAP3IN)-(c_TMAP2IN))*(((A627)-(c_TMAP2IN))*((c_TMAP3OUT)-(c_TMAP2OUT))+IF(((c_TMAP3OUT)-(c_TMAP2OUT))&gt;=0,1,-1)*QUOTIENT(((c_TMAP3IN)-(c_TMAP2IN)),2))+2147483648,4294967296)-2147483648,((c_TMAP3IN)-(c_TMAP2IN))*(((A627)-(c_TMAP2IN))*((c_TMAP3OUT)-(c_TMAP2OUT))+IF(((c_TMAP3OUT)-(c_TMAP2OUT))&gt;=0,1,-1)*QUOTIENT(((c_TMAP3IN)-(c_TMAP2IN)),2)))&lt;0,-1,0),IF(IF(o_WRAP=1,MOD(((c_TMAP3IN)-(c_TMAP2IN))*(((A627)-(c_TMAP2IN))*((c_TMAP3OUT)-(c_TMAP2OUT))+IF(((c_TMAP3OUT)-(c_TMAP2OUT))&gt;=0,1,-1)*QUOTIENT(((c_TMAP3IN)-(c_TMAP2IN)),2))+2147483648,4294967296)-2147483648,((c_TMAP3IN)-(c_TMAP2IN))*(((A627)-(c_TMAP2IN))*((c_TMAP3OUT)-(c_TMAP2OUT))+IF(((c_TMAP3OUT)-(c_TMAP2OUT))&gt;=0,1,-1)*QUOTIENT(((c_TMAP3IN)-(c_TMAP2IN)),2)))&gt;=0,1,0)))</f>
        <v>390</v>
      </c>
      <c r="G627" s="7" t="n">
        <f aca="false">IF(((1000)-(c_TMAP3IN))=0,(c_TMAP3OUT)+QUOTIENT(((1000)-(c_TMAP3OUT)),2),QUOTIENT((((A627)-(c_TMAP3IN))*((1000)-(c_TMAP3OUT))+IF(((1000)-(c_TMAP3OUT))&gt;=0,1,-1)*QUOTIENT(((1000)-(c_TMAP3IN)),2)),((1000)-(c_TMAP3IN)))+(c_TMAP3OUT)+IF(((1000)-(c_TMAP3OUT))&gt;=0,IF(IF(o_WRAP=1,MOD(((1000)-(c_TMAP3IN))*(((A627)-(c_TMAP3IN))*((1000)-(c_TMAP3OUT))+IF(((1000)-(c_TMAP3OUT))&gt;=0,1,-1)*QUOTIENT(((1000)-(c_TMAP3IN)),2))+2147483648,4294967296)-2147483648,((1000)-(c_TMAP3IN))*(((A627)-(c_TMAP3IN))*((1000)-(c_TMAP3OUT))+IF(((1000)-(c_TMAP3OUT))&gt;=0,1,-1)*QUOTIENT(((1000)-(c_TMAP3IN)),2)))&lt;0,-1,0),IF(IF(o_WRAP=1,MOD(((1000)-(c_TMAP3IN))*(((A627)-(c_TMAP3IN))*((1000)-(c_TMAP3OUT))+IF(((1000)-(c_TMAP3OUT))&gt;=0,1,-1)*QUOTIENT(((1000)-(c_TMAP3IN)),2))+2147483648,4294967296)-2147483648,((1000)-(c_TMAP3IN))*(((A627)-(c_TMAP3IN))*((1000)-(c_TMAP3OUT))+IF(((1000)-(c_TMAP3OUT))&gt;=0,1,-1)*QUOTIENT(((1000)-(c_TMAP3IN)),2)))&gt;=0,1,0)))</f>
        <v>535</v>
      </c>
      <c r="H627" s="7" t="str">
        <f aca="false">IF(A627&gt;=c_TFWD,IF(AND(A627&gt;=c_TMAP3IN,c_TMAP3IN&lt;1000),"Seg4 map3-100%",IF(AND(A627&gt;=c_TMAP2IN,c_TMAP3IN&gt;c_TMAP2IN),"Seg3 map2-map3",IF(AND(A627&gt;=c_TMAP1IN,c_TMAP2IN&gt;c_TMAP1IN),"Seg2 map1-map2","Seg1 TFWD-map1"))),IF(AND(A627=0,c_TCREEP&gt;0),"Creep",IF(AND(A627&lt;=c_TRNGMIN,A627&gt;=c_TRNGMAX,c_TRNGMIN-c_TRNGMAX&lt;&gt;0),"Regen ramp","Coast (0)")))</f>
        <v>Seg4 map3-100%</v>
      </c>
      <c r="I627" s="7" t="n">
        <f aca="false">IF(A627&gt;=c_TFWD,IF(AND(A627&gt;=c_TMAP3IN,c_TMAP3IN&lt;1000),G627,IF(AND(A627&gt;=c_TMAP2IN,c_TMAP3IN&gt;c_TMAP2IN),F627,IF(AND(A627&gt;=c_TMAP1IN,c_TMAP2IN&gt;c_TMAP1IN),E627,D627))),C627)</f>
        <v>535</v>
      </c>
      <c r="J627" s="7" t="str">
        <f aca="false">IF(I627&lt;-1090,"TOO LOW",IF(I627&gt;1090,"TOO HIGH",""))</f>
        <v/>
      </c>
      <c r="K627" s="15" t="n">
        <f aca="false">IF(J627&lt;&gt;"",0,IF(I627&gt;979,1000,I627))</f>
        <v>535</v>
      </c>
      <c r="L627" s="7" t="n">
        <f aca="false">K627/10</f>
        <v>53.5</v>
      </c>
    </row>
    <row r="628" customFormat="false" ht="15" hidden="false" customHeight="false" outlineLevel="0" collapsed="false">
      <c r="A628" s="7" t="n">
        <v>623</v>
      </c>
      <c r="B628" s="7" t="n">
        <f aca="false">A628/10</f>
        <v>62.3</v>
      </c>
      <c r="C628" s="7" t="n">
        <f aca="false">IF(AND(A628=0,c_TCREEP&gt;0),10*c_TCREEP,IF(AND(A628&lt;=c_TRNGMIN,A628&gt;=c_TRNGMAX,c_TRNGMIN-c_TRNGMAX&lt;&gt;0),-10*c_TMINRN+QUOTIENT((c_TMAXRN-c_TMINRN)*(100-QUOTIENT((A628-c_TRNGMAX)*100,c_TRNGMIN-c_TRNGMAX)),-10),0))</f>
        <v>0</v>
      </c>
      <c r="D628" s="7" t="n">
        <f aca="false">IF(((c_TMAP1IN)-(c_TFWD))=0,(0)+QUOTIENT(((c_TMAP1OUT)-(0)),2),QUOTIENT((((A628)-(c_TFWD))*((c_TMAP1OUT)-(0))+IF(((c_TMAP1OUT)-(0))&gt;=0,1,-1)*QUOTIENT(((c_TMAP1IN)-(c_TFWD)),2)),((c_TMAP1IN)-(c_TFWD)))+(0)+IF(((c_TMAP1OUT)-(0))&gt;=0,IF(IF(o_WRAP=1,MOD(((c_TMAP1IN)-(c_TFWD))*(((A628)-(c_TFWD))*((c_TMAP1OUT)-(0))+IF(((c_TMAP1OUT)-(0))&gt;=0,1,-1)*QUOTIENT(((c_TMAP1IN)-(c_TFWD)),2))+2147483648,4294967296)-2147483648,((c_TMAP1IN)-(c_TFWD))*(((A628)-(c_TFWD))*((c_TMAP1OUT)-(0))+IF(((c_TMAP1OUT)-(0))&gt;=0,1,-1)*QUOTIENT(((c_TMAP1IN)-(c_TFWD)),2)))&lt;0,-1,0),IF(IF(o_WRAP=1,MOD(((c_TMAP1IN)-(c_TFWD))*(((A628)-(c_TFWD))*((c_TMAP1OUT)-(0))+IF(((c_TMAP1OUT)-(0))&gt;=0,1,-1)*QUOTIENT(((c_TMAP1IN)-(c_TFWD)),2))+2147483648,4294967296)-2147483648,((c_TMAP1IN)-(c_TFWD))*(((A628)-(c_TFWD))*((c_TMAP1OUT)-(0))+IF(((c_TMAP1OUT)-(0))&gt;=0,1,-1)*QUOTIENT(((c_TMAP1IN)-(c_TFWD)),2)))&gt;=0,1,0)))</f>
        <v>477</v>
      </c>
      <c r="E628" s="7" t="n">
        <f aca="false">IF(((c_TMAP2IN)-(c_TMAP1IN))=0,(c_TMAP1OUT)+QUOTIENT(((c_TMAP2OUT)-(c_TMAP1OUT)),2),QUOTIENT((((A628)-(c_TMAP1IN))*((c_TMAP2OUT)-(c_TMAP1OUT))+IF(((c_TMAP2OUT)-(c_TMAP1OUT))&gt;=0,1,-1)*QUOTIENT(((c_TMAP2IN)-(c_TMAP1IN)),2)),((c_TMAP2IN)-(c_TMAP1IN)))+(c_TMAP1OUT)+IF(((c_TMAP2OUT)-(c_TMAP1OUT))&gt;=0,IF(IF(o_WRAP=1,MOD(((c_TMAP2IN)-(c_TMAP1IN))*(((A628)-(c_TMAP1IN))*((c_TMAP2OUT)-(c_TMAP1OUT))+IF(((c_TMAP2OUT)-(c_TMAP1OUT))&gt;=0,1,-1)*QUOTIENT(((c_TMAP2IN)-(c_TMAP1IN)),2))+2147483648,4294967296)-2147483648,((c_TMAP2IN)-(c_TMAP1IN))*(((A628)-(c_TMAP1IN))*((c_TMAP2OUT)-(c_TMAP1OUT))+IF(((c_TMAP2OUT)-(c_TMAP1OUT))&gt;=0,1,-1)*QUOTIENT(((c_TMAP2IN)-(c_TMAP1IN)),2)))&lt;0,-1,0),IF(IF(o_WRAP=1,MOD(((c_TMAP2IN)-(c_TMAP1IN))*(((A628)-(c_TMAP1IN))*((c_TMAP2OUT)-(c_TMAP1OUT))+IF(((c_TMAP2OUT)-(c_TMAP1OUT))&gt;=0,1,-1)*QUOTIENT(((c_TMAP2IN)-(c_TMAP1IN)),2))+2147483648,4294967296)-2147483648,((c_TMAP2IN)-(c_TMAP1IN))*(((A628)-(c_TMAP1IN))*((c_TMAP2OUT)-(c_TMAP1OUT))+IF(((c_TMAP2OUT)-(c_TMAP1OUT))&gt;=0,1,-1)*QUOTIENT(((c_TMAP2IN)-(c_TMAP1IN)),2)))&gt;=0,1,0)))</f>
        <v>279</v>
      </c>
      <c r="F628" s="7" t="n">
        <f aca="false">IF(((c_TMAP3IN)-(c_TMAP2IN))=0,(c_TMAP2OUT)+QUOTIENT(((c_TMAP3OUT)-(c_TMAP2OUT)),2),QUOTIENT((((A628)-(c_TMAP2IN))*((c_TMAP3OUT)-(c_TMAP2OUT))+IF(((c_TMAP3OUT)-(c_TMAP2OUT))&gt;=0,1,-1)*QUOTIENT(((c_TMAP3IN)-(c_TMAP2IN)),2)),((c_TMAP3IN)-(c_TMAP2IN)))+(c_TMAP2OUT)+IF(((c_TMAP3OUT)-(c_TMAP2OUT))&gt;=0,IF(IF(o_WRAP=1,MOD(((c_TMAP3IN)-(c_TMAP2IN))*(((A628)-(c_TMAP2IN))*((c_TMAP3OUT)-(c_TMAP2OUT))+IF(((c_TMAP3OUT)-(c_TMAP2OUT))&gt;=0,1,-1)*QUOTIENT(((c_TMAP3IN)-(c_TMAP2IN)),2))+2147483648,4294967296)-2147483648,((c_TMAP3IN)-(c_TMAP2IN))*(((A628)-(c_TMAP2IN))*((c_TMAP3OUT)-(c_TMAP2OUT))+IF(((c_TMAP3OUT)-(c_TMAP2OUT))&gt;=0,1,-1)*QUOTIENT(((c_TMAP3IN)-(c_TMAP2IN)),2)))&lt;0,-1,0),IF(IF(o_WRAP=1,MOD(((c_TMAP3IN)-(c_TMAP2IN))*(((A628)-(c_TMAP2IN))*((c_TMAP3OUT)-(c_TMAP2OUT))+IF(((c_TMAP3OUT)-(c_TMAP2OUT))&gt;=0,1,-1)*QUOTIENT(((c_TMAP3IN)-(c_TMAP2IN)),2))+2147483648,4294967296)-2147483648,((c_TMAP3IN)-(c_TMAP2IN))*(((A628)-(c_TMAP2IN))*((c_TMAP3OUT)-(c_TMAP2OUT))+IF(((c_TMAP3OUT)-(c_TMAP2OUT))&gt;=0,1,-1)*QUOTIENT(((c_TMAP3IN)-(c_TMAP2IN)),2)))&gt;=0,1,0)))</f>
        <v>391</v>
      </c>
      <c r="G628" s="7" t="n">
        <f aca="false">IF(((1000)-(c_TMAP3IN))=0,(c_TMAP3OUT)+QUOTIENT(((1000)-(c_TMAP3OUT)),2),QUOTIENT((((A628)-(c_TMAP3IN))*((1000)-(c_TMAP3OUT))+IF(((1000)-(c_TMAP3OUT))&gt;=0,1,-1)*QUOTIENT(((1000)-(c_TMAP3IN)),2)),((1000)-(c_TMAP3IN)))+(c_TMAP3OUT)+IF(((1000)-(c_TMAP3OUT))&gt;=0,IF(IF(o_WRAP=1,MOD(((1000)-(c_TMAP3IN))*(((A628)-(c_TMAP3IN))*((1000)-(c_TMAP3OUT))+IF(((1000)-(c_TMAP3OUT))&gt;=0,1,-1)*QUOTIENT(((1000)-(c_TMAP3IN)),2))+2147483648,4294967296)-2147483648,((1000)-(c_TMAP3IN))*(((A628)-(c_TMAP3IN))*((1000)-(c_TMAP3OUT))+IF(((1000)-(c_TMAP3OUT))&gt;=0,1,-1)*QUOTIENT(((1000)-(c_TMAP3IN)),2)))&lt;0,-1,0),IF(IF(o_WRAP=1,MOD(((1000)-(c_TMAP3IN))*(((A628)-(c_TMAP3IN))*((1000)-(c_TMAP3OUT))+IF(((1000)-(c_TMAP3OUT))&gt;=0,1,-1)*QUOTIENT(((1000)-(c_TMAP3IN)),2))+2147483648,4294967296)-2147483648,((1000)-(c_TMAP3IN))*(((A628)-(c_TMAP3IN))*((1000)-(c_TMAP3OUT))+IF(((1000)-(c_TMAP3OUT))&gt;=0,1,-1)*QUOTIENT(((1000)-(c_TMAP3IN)),2)))&gt;=0,1,0)))</f>
        <v>536</v>
      </c>
      <c r="H628" s="7" t="str">
        <f aca="false">IF(A628&gt;=c_TFWD,IF(AND(A628&gt;=c_TMAP3IN,c_TMAP3IN&lt;1000),"Seg4 map3-100%",IF(AND(A628&gt;=c_TMAP2IN,c_TMAP3IN&gt;c_TMAP2IN),"Seg3 map2-map3",IF(AND(A628&gt;=c_TMAP1IN,c_TMAP2IN&gt;c_TMAP1IN),"Seg2 map1-map2","Seg1 TFWD-map1"))),IF(AND(A628=0,c_TCREEP&gt;0),"Creep",IF(AND(A628&lt;=c_TRNGMIN,A628&gt;=c_TRNGMAX,c_TRNGMIN-c_TRNGMAX&lt;&gt;0),"Regen ramp","Coast (0)")))</f>
        <v>Seg4 map3-100%</v>
      </c>
      <c r="I628" s="7" t="n">
        <f aca="false">IF(A628&gt;=c_TFWD,IF(AND(A628&gt;=c_TMAP3IN,c_TMAP3IN&lt;1000),G628,IF(AND(A628&gt;=c_TMAP2IN,c_TMAP3IN&gt;c_TMAP2IN),F628,IF(AND(A628&gt;=c_TMAP1IN,c_TMAP2IN&gt;c_TMAP1IN),E628,D628))),C628)</f>
        <v>536</v>
      </c>
      <c r="J628" s="7" t="str">
        <f aca="false">IF(I628&lt;-1090,"TOO LOW",IF(I628&gt;1090,"TOO HIGH",""))</f>
        <v/>
      </c>
      <c r="K628" s="15" t="n">
        <f aca="false">IF(J628&lt;&gt;"",0,IF(I628&gt;979,1000,I628))</f>
        <v>536</v>
      </c>
      <c r="L628" s="7" t="n">
        <f aca="false">K628/10</f>
        <v>53.6</v>
      </c>
    </row>
    <row r="629" customFormat="false" ht="15" hidden="false" customHeight="false" outlineLevel="0" collapsed="false">
      <c r="A629" s="7" t="n">
        <v>624</v>
      </c>
      <c r="B629" s="7" t="n">
        <f aca="false">A629/10</f>
        <v>62.4</v>
      </c>
      <c r="C629" s="7" t="n">
        <f aca="false">IF(AND(A629=0,c_TCREEP&gt;0),10*c_TCREEP,IF(AND(A629&lt;=c_TRNGMIN,A629&gt;=c_TRNGMAX,c_TRNGMIN-c_TRNGMAX&lt;&gt;0),-10*c_TMINRN+QUOTIENT((c_TMAXRN-c_TMINRN)*(100-QUOTIENT((A629-c_TRNGMAX)*100,c_TRNGMIN-c_TRNGMAX)),-10),0))</f>
        <v>0</v>
      </c>
      <c r="D629" s="7" t="n">
        <f aca="false">IF(((c_TMAP1IN)-(c_TFWD))=0,(0)+QUOTIENT(((c_TMAP1OUT)-(0)),2),QUOTIENT((((A629)-(c_TFWD))*((c_TMAP1OUT)-(0))+IF(((c_TMAP1OUT)-(0))&gt;=0,1,-1)*QUOTIENT(((c_TMAP1IN)-(c_TFWD)),2)),((c_TMAP1IN)-(c_TFWD)))+(0)+IF(((c_TMAP1OUT)-(0))&gt;=0,IF(IF(o_WRAP=1,MOD(((c_TMAP1IN)-(c_TFWD))*(((A629)-(c_TFWD))*((c_TMAP1OUT)-(0))+IF(((c_TMAP1OUT)-(0))&gt;=0,1,-1)*QUOTIENT(((c_TMAP1IN)-(c_TFWD)),2))+2147483648,4294967296)-2147483648,((c_TMAP1IN)-(c_TFWD))*(((A629)-(c_TFWD))*((c_TMAP1OUT)-(0))+IF(((c_TMAP1OUT)-(0))&gt;=0,1,-1)*QUOTIENT(((c_TMAP1IN)-(c_TFWD)),2)))&lt;0,-1,0),IF(IF(o_WRAP=1,MOD(((c_TMAP1IN)-(c_TFWD))*(((A629)-(c_TFWD))*((c_TMAP1OUT)-(0))+IF(((c_TMAP1OUT)-(0))&gt;=0,1,-1)*QUOTIENT(((c_TMAP1IN)-(c_TFWD)),2))+2147483648,4294967296)-2147483648,((c_TMAP1IN)-(c_TFWD))*(((A629)-(c_TFWD))*((c_TMAP1OUT)-(0))+IF(((c_TMAP1OUT)-(0))&gt;=0,1,-1)*QUOTIENT(((c_TMAP1IN)-(c_TFWD)),2)))&gt;=0,1,0)))</f>
        <v>478</v>
      </c>
      <c r="E629" s="7" t="n">
        <f aca="false">IF(((c_TMAP2IN)-(c_TMAP1IN))=0,(c_TMAP1OUT)+QUOTIENT(((c_TMAP2OUT)-(c_TMAP1OUT)),2),QUOTIENT((((A629)-(c_TMAP1IN))*((c_TMAP2OUT)-(c_TMAP1OUT))+IF(((c_TMAP2OUT)-(c_TMAP1OUT))&gt;=0,1,-1)*QUOTIENT(((c_TMAP2IN)-(c_TMAP1IN)),2)),((c_TMAP2IN)-(c_TMAP1IN)))+(c_TMAP1OUT)+IF(((c_TMAP2OUT)-(c_TMAP1OUT))&gt;=0,IF(IF(o_WRAP=1,MOD(((c_TMAP2IN)-(c_TMAP1IN))*(((A629)-(c_TMAP1IN))*((c_TMAP2OUT)-(c_TMAP1OUT))+IF(((c_TMAP2OUT)-(c_TMAP1OUT))&gt;=0,1,-1)*QUOTIENT(((c_TMAP2IN)-(c_TMAP1IN)),2))+2147483648,4294967296)-2147483648,((c_TMAP2IN)-(c_TMAP1IN))*(((A629)-(c_TMAP1IN))*((c_TMAP2OUT)-(c_TMAP1OUT))+IF(((c_TMAP2OUT)-(c_TMAP1OUT))&gt;=0,1,-1)*QUOTIENT(((c_TMAP2IN)-(c_TMAP1IN)),2)))&lt;0,-1,0),IF(IF(o_WRAP=1,MOD(((c_TMAP2IN)-(c_TMAP1IN))*(((A629)-(c_TMAP1IN))*((c_TMAP2OUT)-(c_TMAP1OUT))+IF(((c_TMAP2OUT)-(c_TMAP1OUT))&gt;=0,1,-1)*QUOTIENT(((c_TMAP2IN)-(c_TMAP1IN)),2))+2147483648,4294967296)-2147483648,((c_TMAP2IN)-(c_TMAP1IN))*(((A629)-(c_TMAP1IN))*((c_TMAP2OUT)-(c_TMAP1OUT))+IF(((c_TMAP2OUT)-(c_TMAP1OUT))&gt;=0,1,-1)*QUOTIENT(((c_TMAP2IN)-(c_TMAP1IN)),2)))&gt;=0,1,0)))</f>
        <v>280</v>
      </c>
      <c r="F629" s="7" t="n">
        <f aca="false">IF(((c_TMAP3IN)-(c_TMAP2IN))=0,(c_TMAP2OUT)+QUOTIENT(((c_TMAP3OUT)-(c_TMAP2OUT)),2),QUOTIENT((((A629)-(c_TMAP2IN))*((c_TMAP3OUT)-(c_TMAP2OUT))+IF(((c_TMAP3OUT)-(c_TMAP2OUT))&gt;=0,1,-1)*QUOTIENT(((c_TMAP3IN)-(c_TMAP2IN)),2)),((c_TMAP3IN)-(c_TMAP2IN)))+(c_TMAP2OUT)+IF(((c_TMAP3OUT)-(c_TMAP2OUT))&gt;=0,IF(IF(o_WRAP=1,MOD(((c_TMAP3IN)-(c_TMAP2IN))*(((A629)-(c_TMAP2IN))*((c_TMAP3OUT)-(c_TMAP2OUT))+IF(((c_TMAP3OUT)-(c_TMAP2OUT))&gt;=0,1,-1)*QUOTIENT(((c_TMAP3IN)-(c_TMAP2IN)),2))+2147483648,4294967296)-2147483648,((c_TMAP3IN)-(c_TMAP2IN))*(((A629)-(c_TMAP2IN))*((c_TMAP3OUT)-(c_TMAP2OUT))+IF(((c_TMAP3OUT)-(c_TMAP2OUT))&gt;=0,1,-1)*QUOTIENT(((c_TMAP3IN)-(c_TMAP2IN)),2)))&lt;0,-1,0),IF(IF(o_WRAP=1,MOD(((c_TMAP3IN)-(c_TMAP2IN))*(((A629)-(c_TMAP2IN))*((c_TMAP3OUT)-(c_TMAP2OUT))+IF(((c_TMAP3OUT)-(c_TMAP2OUT))&gt;=0,1,-1)*QUOTIENT(((c_TMAP3IN)-(c_TMAP2IN)),2))+2147483648,4294967296)-2147483648,((c_TMAP3IN)-(c_TMAP2IN))*(((A629)-(c_TMAP2IN))*((c_TMAP3OUT)-(c_TMAP2OUT))+IF(((c_TMAP3OUT)-(c_TMAP2OUT))&gt;=0,1,-1)*QUOTIENT(((c_TMAP3IN)-(c_TMAP2IN)),2)))&gt;=0,1,0)))</f>
        <v>392</v>
      </c>
      <c r="G629" s="7" t="n">
        <f aca="false">IF(((1000)-(c_TMAP3IN))=0,(c_TMAP3OUT)+QUOTIENT(((1000)-(c_TMAP3OUT)),2),QUOTIENT((((A629)-(c_TMAP3IN))*((1000)-(c_TMAP3OUT))+IF(((1000)-(c_TMAP3OUT))&gt;=0,1,-1)*QUOTIENT(((1000)-(c_TMAP3IN)),2)),((1000)-(c_TMAP3IN)))+(c_TMAP3OUT)+IF(((1000)-(c_TMAP3OUT))&gt;=0,IF(IF(o_WRAP=1,MOD(((1000)-(c_TMAP3IN))*(((A629)-(c_TMAP3IN))*((1000)-(c_TMAP3OUT))+IF(((1000)-(c_TMAP3OUT))&gt;=0,1,-1)*QUOTIENT(((1000)-(c_TMAP3IN)),2))+2147483648,4294967296)-2147483648,((1000)-(c_TMAP3IN))*(((A629)-(c_TMAP3IN))*((1000)-(c_TMAP3OUT))+IF(((1000)-(c_TMAP3OUT))&gt;=0,1,-1)*QUOTIENT(((1000)-(c_TMAP3IN)),2)))&lt;0,-1,0),IF(IF(o_WRAP=1,MOD(((1000)-(c_TMAP3IN))*(((A629)-(c_TMAP3IN))*((1000)-(c_TMAP3OUT))+IF(((1000)-(c_TMAP3OUT))&gt;=0,1,-1)*QUOTIENT(((1000)-(c_TMAP3IN)),2))+2147483648,4294967296)-2147483648,((1000)-(c_TMAP3IN))*(((A629)-(c_TMAP3IN))*((1000)-(c_TMAP3OUT))+IF(((1000)-(c_TMAP3OUT))&gt;=0,1,-1)*QUOTIENT(((1000)-(c_TMAP3IN)),2)))&gt;=0,1,0)))</f>
        <v>537</v>
      </c>
      <c r="H629" s="7" t="str">
        <f aca="false">IF(A629&gt;=c_TFWD,IF(AND(A629&gt;=c_TMAP3IN,c_TMAP3IN&lt;1000),"Seg4 map3-100%",IF(AND(A629&gt;=c_TMAP2IN,c_TMAP3IN&gt;c_TMAP2IN),"Seg3 map2-map3",IF(AND(A629&gt;=c_TMAP1IN,c_TMAP2IN&gt;c_TMAP1IN),"Seg2 map1-map2","Seg1 TFWD-map1"))),IF(AND(A629=0,c_TCREEP&gt;0),"Creep",IF(AND(A629&lt;=c_TRNGMIN,A629&gt;=c_TRNGMAX,c_TRNGMIN-c_TRNGMAX&lt;&gt;0),"Regen ramp","Coast (0)")))</f>
        <v>Seg4 map3-100%</v>
      </c>
      <c r="I629" s="7" t="n">
        <f aca="false">IF(A629&gt;=c_TFWD,IF(AND(A629&gt;=c_TMAP3IN,c_TMAP3IN&lt;1000),G629,IF(AND(A629&gt;=c_TMAP2IN,c_TMAP3IN&gt;c_TMAP2IN),F629,IF(AND(A629&gt;=c_TMAP1IN,c_TMAP2IN&gt;c_TMAP1IN),E629,D629))),C629)</f>
        <v>537</v>
      </c>
      <c r="J629" s="7" t="str">
        <f aca="false">IF(I629&lt;-1090,"TOO LOW",IF(I629&gt;1090,"TOO HIGH",""))</f>
        <v/>
      </c>
      <c r="K629" s="15" t="n">
        <f aca="false">IF(J629&lt;&gt;"",0,IF(I629&gt;979,1000,I629))</f>
        <v>537</v>
      </c>
      <c r="L629" s="7" t="n">
        <f aca="false">K629/10</f>
        <v>53.7</v>
      </c>
    </row>
    <row r="630" customFormat="false" ht="15" hidden="false" customHeight="false" outlineLevel="0" collapsed="false">
      <c r="A630" s="7" t="n">
        <v>625</v>
      </c>
      <c r="B630" s="7" t="n">
        <f aca="false">A630/10</f>
        <v>62.5</v>
      </c>
      <c r="C630" s="7" t="n">
        <f aca="false">IF(AND(A630=0,c_TCREEP&gt;0),10*c_TCREEP,IF(AND(A630&lt;=c_TRNGMIN,A630&gt;=c_TRNGMAX,c_TRNGMIN-c_TRNGMAX&lt;&gt;0),-10*c_TMINRN+QUOTIENT((c_TMAXRN-c_TMINRN)*(100-QUOTIENT((A630-c_TRNGMAX)*100,c_TRNGMIN-c_TRNGMAX)),-10),0))</f>
        <v>0</v>
      </c>
      <c r="D630" s="7" t="n">
        <f aca="false">IF(((c_TMAP1IN)-(c_TFWD))=0,(0)+QUOTIENT(((c_TMAP1OUT)-(0)),2),QUOTIENT((((A630)-(c_TFWD))*((c_TMAP1OUT)-(0))+IF(((c_TMAP1OUT)-(0))&gt;=0,1,-1)*QUOTIENT(((c_TMAP1IN)-(c_TFWD)),2)),((c_TMAP1IN)-(c_TFWD)))+(0)+IF(((c_TMAP1OUT)-(0))&gt;=0,IF(IF(o_WRAP=1,MOD(((c_TMAP1IN)-(c_TFWD))*(((A630)-(c_TFWD))*((c_TMAP1OUT)-(0))+IF(((c_TMAP1OUT)-(0))&gt;=0,1,-1)*QUOTIENT(((c_TMAP1IN)-(c_TFWD)),2))+2147483648,4294967296)-2147483648,((c_TMAP1IN)-(c_TFWD))*(((A630)-(c_TFWD))*((c_TMAP1OUT)-(0))+IF(((c_TMAP1OUT)-(0))&gt;=0,1,-1)*QUOTIENT(((c_TMAP1IN)-(c_TFWD)),2)))&lt;0,-1,0),IF(IF(o_WRAP=1,MOD(((c_TMAP1IN)-(c_TFWD))*(((A630)-(c_TFWD))*((c_TMAP1OUT)-(0))+IF(((c_TMAP1OUT)-(0))&gt;=0,1,-1)*QUOTIENT(((c_TMAP1IN)-(c_TFWD)),2))+2147483648,4294967296)-2147483648,((c_TMAP1IN)-(c_TFWD))*(((A630)-(c_TFWD))*((c_TMAP1OUT)-(0))+IF(((c_TMAP1OUT)-(0))&gt;=0,1,-1)*QUOTIENT(((c_TMAP1IN)-(c_TFWD)),2)))&gt;=0,1,0)))</f>
        <v>478</v>
      </c>
      <c r="E630" s="7" t="n">
        <f aca="false">IF(((c_TMAP2IN)-(c_TMAP1IN))=0,(c_TMAP1OUT)+QUOTIENT(((c_TMAP2OUT)-(c_TMAP1OUT)),2),QUOTIENT((((A630)-(c_TMAP1IN))*((c_TMAP2OUT)-(c_TMAP1OUT))+IF(((c_TMAP2OUT)-(c_TMAP1OUT))&gt;=0,1,-1)*QUOTIENT(((c_TMAP2IN)-(c_TMAP1IN)),2)),((c_TMAP2IN)-(c_TMAP1IN)))+(c_TMAP1OUT)+IF(((c_TMAP2OUT)-(c_TMAP1OUT))&gt;=0,IF(IF(o_WRAP=1,MOD(((c_TMAP2IN)-(c_TMAP1IN))*(((A630)-(c_TMAP1IN))*((c_TMAP2OUT)-(c_TMAP1OUT))+IF(((c_TMAP2OUT)-(c_TMAP1OUT))&gt;=0,1,-1)*QUOTIENT(((c_TMAP2IN)-(c_TMAP1IN)),2))+2147483648,4294967296)-2147483648,((c_TMAP2IN)-(c_TMAP1IN))*(((A630)-(c_TMAP1IN))*((c_TMAP2OUT)-(c_TMAP1OUT))+IF(((c_TMAP2OUT)-(c_TMAP1OUT))&gt;=0,1,-1)*QUOTIENT(((c_TMAP2IN)-(c_TMAP1IN)),2)))&lt;0,-1,0),IF(IF(o_WRAP=1,MOD(((c_TMAP2IN)-(c_TMAP1IN))*(((A630)-(c_TMAP1IN))*((c_TMAP2OUT)-(c_TMAP1OUT))+IF(((c_TMAP2OUT)-(c_TMAP1OUT))&gt;=0,1,-1)*QUOTIENT(((c_TMAP2IN)-(c_TMAP1IN)),2))+2147483648,4294967296)-2147483648,((c_TMAP2IN)-(c_TMAP1IN))*(((A630)-(c_TMAP1IN))*((c_TMAP2OUT)-(c_TMAP1OUT))+IF(((c_TMAP2OUT)-(c_TMAP1OUT))&gt;=0,1,-1)*QUOTIENT(((c_TMAP2IN)-(c_TMAP1IN)),2)))&gt;=0,1,0)))</f>
        <v>280</v>
      </c>
      <c r="F630" s="7" t="n">
        <f aca="false">IF(((c_TMAP3IN)-(c_TMAP2IN))=0,(c_TMAP2OUT)+QUOTIENT(((c_TMAP3OUT)-(c_TMAP2OUT)),2),QUOTIENT((((A630)-(c_TMAP2IN))*((c_TMAP3OUT)-(c_TMAP2OUT))+IF(((c_TMAP3OUT)-(c_TMAP2OUT))&gt;=0,1,-1)*QUOTIENT(((c_TMAP3IN)-(c_TMAP2IN)),2)),((c_TMAP3IN)-(c_TMAP2IN)))+(c_TMAP2OUT)+IF(((c_TMAP3OUT)-(c_TMAP2OUT))&gt;=0,IF(IF(o_WRAP=1,MOD(((c_TMAP3IN)-(c_TMAP2IN))*(((A630)-(c_TMAP2IN))*((c_TMAP3OUT)-(c_TMAP2OUT))+IF(((c_TMAP3OUT)-(c_TMAP2OUT))&gt;=0,1,-1)*QUOTIENT(((c_TMAP3IN)-(c_TMAP2IN)),2))+2147483648,4294967296)-2147483648,((c_TMAP3IN)-(c_TMAP2IN))*(((A630)-(c_TMAP2IN))*((c_TMAP3OUT)-(c_TMAP2OUT))+IF(((c_TMAP3OUT)-(c_TMAP2OUT))&gt;=0,1,-1)*QUOTIENT(((c_TMAP3IN)-(c_TMAP2IN)),2)))&lt;0,-1,0),IF(IF(o_WRAP=1,MOD(((c_TMAP3IN)-(c_TMAP2IN))*(((A630)-(c_TMAP2IN))*((c_TMAP3OUT)-(c_TMAP2OUT))+IF(((c_TMAP3OUT)-(c_TMAP2OUT))&gt;=0,1,-1)*QUOTIENT(((c_TMAP3IN)-(c_TMAP2IN)),2))+2147483648,4294967296)-2147483648,((c_TMAP3IN)-(c_TMAP2IN))*(((A630)-(c_TMAP2IN))*((c_TMAP3OUT)-(c_TMAP2OUT))+IF(((c_TMAP3OUT)-(c_TMAP2OUT))&gt;=0,1,-1)*QUOTIENT(((c_TMAP3IN)-(c_TMAP2IN)),2)))&gt;=0,1,0)))</f>
        <v>393</v>
      </c>
      <c r="G630" s="7" t="n">
        <f aca="false">IF(((1000)-(c_TMAP3IN))=0,(c_TMAP3OUT)+QUOTIENT(((1000)-(c_TMAP3OUT)),2),QUOTIENT((((A630)-(c_TMAP3IN))*((1000)-(c_TMAP3OUT))+IF(((1000)-(c_TMAP3OUT))&gt;=0,1,-1)*QUOTIENT(((1000)-(c_TMAP3IN)),2)),((1000)-(c_TMAP3IN)))+(c_TMAP3OUT)+IF(((1000)-(c_TMAP3OUT))&gt;=0,IF(IF(o_WRAP=1,MOD(((1000)-(c_TMAP3IN))*(((A630)-(c_TMAP3IN))*((1000)-(c_TMAP3OUT))+IF(((1000)-(c_TMAP3OUT))&gt;=0,1,-1)*QUOTIENT(((1000)-(c_TMAP3IN)),2))+2147483648,4294967296)-2147483648,((1000)-(c_TMAP3IN))*(((A630)-(c_TMAP3IN))*((1000)-(c_TMAP3OUT))+IF(((1000)-(c_TMAP3OUT))&gt;=0,1,-1)*QUOTIENT(((1000)-(c_TMAP3IN)),2)))&lt;0,-1,0),IF(IF(o_WRAP=1,MOD(((1000)-(c_TMAP3IN))*(((A630)-(c_TMAP3IN))*((1000)-(c_TMAP3OUT))+IF(((1000)-(c_TMAP3OUT))&gt;=0,1,-1)*QUOTIENT(((1000)-(c_TMAP3IN)),2))+2147483648,4294967296)-2147483648,((1000)-(c_TMAP3IN))*(((A630)-(c_TMAP3IN))*((1000)-(c_TMAP3OUT))+IF(((1000)-(c_TMAP3OUT))&gt;=0,1,-1)*QUOTIENT(((1000)-(c_TMAP3IN)),2)))&gt;=0,1,0)))</f>
        <v>538</v>
      </c>
      <c r="H630" s="7" t="str">
        <f aca="false">IF(A630&gt;=c_TFWD,IF(AND(A630&gt;=c_TMAP3IN,c_TMAP3IN&lt;1000),"Seg4 map3-100%",IF(AND(A630&gt;=c_TMAP2IN,c_TMAP3IN&gt;c_TMAP2IN),"Seg3 map2-map3",IF(AND(A630&gt;=c_TMAP1IN,c_TMAP2IN&gt;c_TMAP1IN),"Seg2 map1-map2","Seg1 TFWD-map1"))),IF(AND(A630=0,c_TCREEP&gt;0),"Creep",IF(AND(A630&lt;=c_TRNGMIN,A630&gt;=c_TRNGMAX,c_TRNGMIN-c_TRNGMAX&lt;&gt;0),"Regen ramp","Coast (0)")))</f>
        <v>Seg4 map3-100%</v>
      </c>
      <c r="I630" s="7" t="n">
        <f aca="false">IF(A630&gt;=c_TFWD,IF(AND(A630&gt;=c_TMAP3IN,c_TMAP3IN&lt;1000),G630,IF(AND(A630&gt;=c_TMAP2IN,c_TMAP3IN&gt;c_TMAP2IN),F630,IF(AND(A630&gt;=c_TMAP1IN,c_TMAP2IN&gt;c_TMAP1IN),E630,D630))),C630)</f>
        <v>538</v>
      </c>
      <c r="J630" s="7" t="str">
        <f aca="false">IF(I630&lt;-1090,"TOO LOW",IF(I630&gt;1090,"TOO HIGH",""))</f>
        <v/>
      </c>
      <c r="K630" s="15" t="n">
        <f aca="false">IF(J630&lt;&gt;"",0,IF(I630&gt;979,1000,I630))</f>
        <v>538</v>
      </c>
      <c r="L630" s="7" t="n">
        <f aca="false">K630/10</f>
        <v>53.8</v>
      </c>
    </row>
    <row r="631" customFormat="false" ht="15" hidden="false" customHeight="false" outlineLevel="0" collapsed="false">
      <c r="A631" s="7" t="n">
        <v>626</v>
      </c>
      <c r="B631" s="7" t="n">
        <f aca="false">A631/10</f>
        <v>62.6</v>
      </c>
      <c r="C631" s="7" t="n">
        <f aca="false">IF(AND(A631=0,c_TCREEP&gt;0),10*c_TCREEP,IF(AND(A631&lt;=c_TRNGMIN,A631&gt;=c_TRNGMAX,c_TRNGMIN-c_TRNGMAX&lt;&gt;0),-10*c_TMINRN+QUOTIENT((c_TMAXRN-c_TMINRN)*(100-QUOTIENT((A631-c_TRNGMAX)*100,c_TRNGMIN-c_TRNGMAX)),-10),0))</f>
        <v>0</v>
      </c>
      <c r="D631" s="7" t="n">
        <f aca="false">IF(((c_TMAP1IN)-(c_TFWD))=0,(0)+QUOTIENT(((c_TMAP1OUT)-(0)),2),QUOTIENT((((A631)-(c_TFWD))*((c_TMAP1OUT)-(0))+IF(((c_TMAP1OUT)-(0))&gt;=0,1,-1)*QUOTIENT(((c_TMAP1IN)-(c_TFWD)),2)),((c_TMAP1IN)-(c_TFWD)))+(0)+IF(((c_TMAP1OUT)-(0))&gt;=0,IF(IF(o_WRAP=1,MOD(((c_TMAP1IN)-(c_TFWD))*(((A631)-(c_TFWD))*((c_TMAP1OUT)-(0))+IF(((c_TMAP1OUT)-(0))&gt;=0,1,-1)*QUOTIENT(((c_TMAP1IN)-(c_TFWD)),2))+2147483648,4294967296)-2147483648,((c_TMAP1IN)-(c_TFWD))*(((A631)-(c_TFWD))*((c_TMAP1OUT)-(0))+IF(((c_TMAP1OUT)-(0))&gt;=0,1,-1)*QUOTIENT(((c_TMAP1IN)-(c_TFWD)),2)))&lt;0,-1,0),IF(IF(o_WRAP=1,MOD(((c_TMAP1IN)-(c_TFWD))*(((A631)-(c_TFWD))*((c_TMAP1OUT)-(0))+IF(((c_TMAP1OUT)-(0))&gt;=0,1,-1)*QUOTIENT(((c_TMAP1IN)-(c_TFWD)),2))+2147483648,4294967296)-2147483648,((c_TMAP1IN)-(c_TFWD))*(((A631)-(c_TFWD))*((c_TMAP1OUT)-(0))+IF(((c_TMAP1OUT)-(0))&gt;=0,1,-1)*QUOTIENT(((c_TMAP1IN)-(c_TFWD)),2)))&gt;=0,1,0)))</f>
        <v>479</v>
      </c>
      <c r="E631" s="7" t="n">
        <f aca="false">IF(((c_TMAP2IN)-(c_TMAP1IN))=0,(c_TMAP1OUT)+QUOTIENT(((c_TMAP2OUT)-(c_TMAP1OUT)),2),QUOTIENT((((A631)-(c_TMAP1IN))*((c_TMAP2OUT)-(c_TMAP1OUT))+IF(((c_TMAP2OUT)-(c_TMAP1OUT))&gt;=0,1,-1)*QUOTIENT(((c_TMAP2IN)-(c_TMAP1IN)),2)),((c_TMAP2IN)-(c_TMAP1IN)))+(c_TMAP1OUT)+IF(((c_TMAP2OUT)-(c_TMAP1OUT))&gt;=0,IF(IF(o_WRAP=1,MOD(((c_TMAP2IN)-(c_TMAP1IN))*(((A631)-(c_TMAP1IN))*((c_TMAP2OUT)-(c_TMAP1OUT))+IF(((c_TMAP2OUT)-(c_TMAP1OUT))&gt;=0,1,-1)*QUOTIENT(((c_TMAP2IN)-(c_TMAP1IN)),2))+2147483648,4294967296)-2147483648,((c_TMAP2IN)-(c_TMAP1IN))*(((A631)-(c_TMAP1IN))*((c_TMAP2OUT)-(c_TMAP1OUT))+IF(((c_TMAP2OUT)-(c_TMAP1OUT))&gt;=0,1,-1)*QUOTIENT(((c_TMAP2IN)-(c_TMAP1IN)),2)))&lt;0,-1,0),IF(IF(o_WRAP=1,MOD(((c_TMAP2IN)-(c_TMAP1IN))*(((A631)-(c_TMAP1IN))*((c_TMAP2OUT)-(c_TMAP1OUT))+IF(((c_TMAP2OUT)-(c_TMAP1OUT))&gt;=0,1,-1)*QUOTIENT(((c_TMAP2IN)-(c_TMAP1IN)),2))+2147483648,4294967296)-2147483648,((c_TMAP2IN)-(c_TMAP1IN))*(((A631)-(c_TMAP1IN))*((c_TMAP2OUT)-(c_TMAP1OUT))+IF(((c_TMAP2OUT)-(c_TMAP1OUT))&gt;=0,1,-1)*QUOTIENT(((c_TMAP2IN)-(c_TMAP1IN)),2)))&gt;=0,1,0)))</f>
        <v>280</v>
      </c>
      <c r="F631" s="7" t="n">
        <f aca="false">IF(((c_TMAP3IN)-(c_TMAP2IN))=0,(c_TMAP2OUT)+QUOTIENT(((c_TMAP3OUT)-(c_TMAP2OUT)),2),QUOTIENT((((A631)-(c_TMAP2IN))*((c_TMAP3OUT)-(c_TMAP2OUT))+IF(((c_TMAP3OUT)-(c_TMAP2OUT))&gt;=0,1,-1)*QUOTIENT(((c_TMAP3IN)-(c_TMAP2IN)),2)),((c_TMAP3IN)-(c_TMAP2IN)))+(c_TMAP2OUT)+IF(((c_TMAP3OUT)-(c_TMAP2OUT))&gt;=0,IF(IF(o_WRAP=1,MOD(((c_TMAP3IN)-(c_TMAP2IN))*(((A631)-(c_TMAP2IN))*((c_TMAP3OUT)-(c_TMAP2OUT))+IF(((c_TMAP3OUT)-(c_TMAP2OUT))&gt;=0,1,-1)*QUOTIENT(((c_TMAP3IN)-(c_TMAP2IN)),2))+2147483648,4294967296)-2147483648,((c_TMAP3IN)-(c_TMAP2IN))*(((A631)-(c_TMAP2IN))*((c_TMAP3OUT)-(c_TMAP2OUT))+IF(((c_TMAP3OUT)-(c_TMAP2OUT))&gt;=0,1,-1)*QUOTIENT(((c_TMAP3IN)-(c_TMAP2IN)),2)))&lt;0,-1,0),IF(IF(o_WRAP=1,MOD(((c_TMAP3IN)-(c_TMAP2IN))*(((A631)-(c_TMAP2IN))*((c_TMAP3OUT)-(c_TMAP2OUT))+IF(((c_TMAP3OUT)-(c_TMAP2OUT))&gt;=0,1,-1)*QUOTIENT(((c_TMAP3IN)-(c_TMAP2IN)),2))+2147483648,4294967296)-2147483648,((c_TMAP3IN)-(c_TMAP2IN))*(((A631)-(c_TMAP2IN))*((c_TMAP3OUT)-(c_TMAP2OUT))+IF(((c_TMAP3OUT)-(c_TMAP2OUT))&gt;=0,1,-1)*QUOTIENT(((c_TMAP3IN)-(c_TMAP2IN)),2)))&gt;=0,1,0)))</f>
        <v>393</v>
      </c>
      <c r="G631" s="7" t="n">
        <f aca="false">IF(((1000)-(c_TMAP3IN))=0,(c_TMAP3OUT)+QUOTIENT(((1000)-(c_TMAP3OUT)),2),QUOTIENT((((A631)-(c_TMAP3IN))*((1000)-(c_TMAP3OUT))+IF(((1000)-(c_TMAP3OUT))&gt;=0,1,-1)*QUOTIENT(((1000)-(c_TMAP3IN)),2)),((1000)-(c_TMAP3IN)))+(c_TMAP3OUT)+IF(((1000)-(c_TMAP3OUT))&gt;=0,IF(IF(o_WRAP=1,MOD(((1000)-(c_TMAP3IN))*(((A631)-(c_TMAP3IN))*((1000)-(c_TMAP3OUT))+IF(((1000)-(c_TMAP3OUT))&gt;=0,1,-1)*QUOTIENT(((1000)-(c_TMAP3IN)),2))+2147483648,4294967296)-2147483648,((1000)-(c_TMAP3IN))*(((A631)-(c_TMAP3IN))*((1000)-(c_TMAP3OUT))+IF(((1000)-(c_TMAP3OUT))&gt;=0,1,-1)*QUOTIENT(((1000)-(c_TMAP3IN)),2)))&lt;0,-1,0),IF(IF(o_WRAP=1,MOD(((1000)-(c_TMAP3IN))*(((A631)-(c_TMAP3IN))*((1000)-(c_TMAP3OUT))+IF(((1000)-(c_TMAP3OUT))&gt;=0,1,-1)*QUOTIENT(((1000)-(c_TMAP3IN)),2))+2147483648,4294967296)-2147483648,((1000)-(c_TMAP3IN))*(((A631)-(c_TMAP3IN))*((1000)-(c_TMAP3OUT))+IF(((1000)-(c_TMAP3OUT))&gt;=0,1,-1)*QUOTIENT(((1000)-(c_TMAP3IN)),2)))&gt;=0,1,0)))</f>
        <v>540</v>
      </c>
      <c r="H631" s="7" t="str">
        <f aca="false">IF(A631&gt;=c_TFWD,IF(AND(A631&gt;=c_TMAP3IN,c_TMAP3IN&lt;1000),"Seg4 map3-100%",IF(AND(A631&gt;=c_TMAP2IN,c_TMAP3IN&gt;c_TMAP2IN),"Seg3 map2-map3",IF(AND(A631&gt;=c_TMAP1IN,c_TMAP2IN&gt;c_TMAP1IN),"Seg2 map1-map2","Seg1 TFWD-map1"))),IF(AND(A631=0,c_TCREEP&gt;0),"Creep",IF(AND(A631&lt;=c_TRNGMIN,A631&gt;=c_TRNGMAX,c_TRNGMIN-c_TRNGMAX&lt;&gt;0),"Regen ramp","Coast (0)")))</f>
        <v>Seg4 map3-100%</v>
      </c>
      <c r="I631" s="7" t="n">
        <f aca="false">IF(A631&gt;=c_TFWD,IF(AND(A631&gt;=c_TMAP3IN,c_TMAP3IN&lt;1000),G631,IF(AND(A631&gt;=c_TMAP2IN,c_TMAP3IN&gt;c_TMAP2IN),F631,IF(AND(A631&gt;=c_TMAP1IN,c_TMAP2IN&gt;c_TMAP1IN),E631,D631))),C631)</f>
        <v>540</v>
      </c>
      <c r="J631" s="7" t="str">
        <f aca="false">IF(I631&lt;-1090,"TOO LOW",IF(I631&gt;1090,"TOO HIGH",""))</f>
        <v/>
      </c>
      <c r="K631" s="15" t="n">
        <f aca="false">IF(J631&lt;&gt;"",0,IF(I631&gt;979,1000,I631))</f>
        <v>540</v>
      </c>
      <c r="L631" s="7" t="n">
        <f aca="false">K631/10</f>
        <v>54</v>
      </c>
    </row>
    <row r="632" customFormat="false" ht="15" hidden="false" customHeight="false" outlineLevel="0" collapsed="false">
      <c r="A632" s="7" t="n">
        <v>627</v>
      </c>
      <c r="B632" s="7" t="n">
        <f aca="false">A632/10</f>
        <v>62.7</v>
      </c>
      <c r="C632" s="7" t="n">
        <f aca="false">IF(AND(A632=0,c_TCREEP&gt;0),10*c_TCREEP,IF(AND(A632&lt;=c_TRNGMIN,A632&gt;=c_TRNGMAX,c_TRNGMIN-c_TRNGMAX&lt;&gt;0),-10*c_TMINRN+QUOTIENT((c_TMAXRN-c_TMINRN)*(100-QUOTIENT((A632-c_TRNGMAX)*100,c_TRNGMIN-c_TRNGMAX)),-10),0))</f>
        <v>0</v>
      </c>
      <c r="D632" s="7" t="n">
        <f aca="false">IF(((c_TMAP1IN)-(c_TFWD))=0,(0)+QUOTIENT(((c_TMAP1OUT)-(0)),2),QUOTIENT((((A632)-(c_TFWD))*((c_TMAP1OUT)-(0))+IF(((c_TMAP1OUT)-(0))&gt;=0,1,-1)*QUOTIENT(((c_TMAP1IN)-(c_TFWD)),2)),((c_TMAP1IN)-(c_TFWD)))+(0)+IF(((c_TMAP1OUT)-(0))&gt;=0,IF(IF(o_WRAP=1,MOD(((c_TMAP1IN)-(c_TFWD))*(((A632)-(c_TFWD))*((c_TMAP1OUT)-(0))+IF(((c_TMAP1OUT)-(0))&gt;=0,1,-1)*QUOTIENT(((c_TMAP1IN)-(c_TFWD)),2))+2147483648,4294967296)-2147483648,((c_TMAP1IN)-(c_TFWD))*(((A632)-(c_TFWD))*((c_TMAP1OUT)-(0))+IF(((c_TMAP1OUT)-(0))&gt;=0,1,-1)*QUOTIENT(((c_TMAP1IN)-(c_TFWD)),2)))&lt;0,-1,0),IF(IF(o_WRAP=1,MOD(((c_TMAP1IN)-(c_TFWD))*(((A632)-(c_TFWD))*((c_TMAP1OUT)-(0))+IF(((c_TMAP1OUT)-(0))&gt;=0,1,-1)*QUOTIENT(((c_TMAP1IN)-(c_TFWD)),2))+2147483648,4294967296)-2147483648,((c_TMAP1IN)-(c_TFWD))*(((A632)-(c_TFWD))*((c_TMAP1OUT)-(0))+IF(((c_TMAP1OUT)-(0))&gt;=0,1,-1)*QUOTIENT(((c_TMAP1IN)-(c_TFWD)),2)))&gt;=0,1,0)))</f>
        <v>480</v>
      </c>
      <c r="E632" s="7" t="n">
        <f aca="false">IF(((c_TMAP2IN)-(c_TMAP1IN))=0,(c_TMAP1OUT)+QUOTIENT(((c_TMAP2OUT)-(c_TMAP1OUT)),2),QUOTIENT((((A632)-(c_TMAP1IN))*((c_TMAP2OUT)-(c_TMAP1OUT))+IF(((c_TMAP2OUT)-(c_TMAP1OUT))&gt;=0,1,-1)*QUOTIENT(((c_TMAP2IN)-(c_TMAP1IN)),2)),((c_TMAP2IN)-(c_TMAP1IN)))+(c_TMAP1OUT)+IF(((c_TMAP2OUT)-(c_TMAP1OUT))&gt;=0,IF(IF(o_WRAP=1,MOD(((c_TMAP2IN)-(c_TMAP1IN))*(((A632)-(c_TMAP1IN))*((c_TMAP2OUT)-(c_TMAP1OUT))+IF(((c_TMAP2OUT)-(c_TMAP1OUT))&gt;=0,1,-1)*QUOTIENT(((c_TMAP2IN)-(c_TMAP1IN)),2))+2147483648,4294967296)-2147483648,((c_TMAP2IN)-(c_TMAP1IN))*(((A632)-(c_TMAP1IN))*((c_TMAP2OUT)-(c_TMAP1OUT))+IF(((c_TMAP2OUT)-(c_TMAP1OUT))&gt;=0,1,-1)*QUOTIENT(((c_TMAP2IN)-(c_TMAP1IN)),2)))&lt;0,-1,0),IF(IF(o_WRAP=1,MOD(((c_TMAP2IN)-(c_TMAP1IN))*(((A632)-(c_TMAP1IN))*((c_TMAP2OUT)-(c_TMAP1OUT))+IF(((c_TMAP2OUT)-(c_TMAP1OUT))&gt;=0,1,-1)*QUOTIENT(((c_TMAP2IN)-(c_TMAP1IN)),2))+2147483648,4294967296)-2147483648,((c_TMAP2IN)-(c_TMAP1IN))*(((A632)-(c_TMAP1IN))*((c_TMAP2OUT)-(c_TMAP1OUT))+IF(((c_TMAP2OUT)-(c_TMAP1OUT))&gt;=0,1,-1)*QUOTIENT(((c_TMAP2IN)-(c_TMAP1IN)),2)))&gt;=0,1,0)))</f>
        <v>281</v>
      </c>
      <c r="F632" s="7" t="n">
        <f aca="false">IF(((c_TMAP3IN)-(c_TMAP2IN))=0,(c_TMAP2OUT)+QUOTIENT(((c_TMAP3OUT)-(c_TMAP2OUT)),2),QUOTIENT((((A632)-(c_TMAP2IN))*((c_TMAP3OUT)-(c_TMAP2OUT))+IF(((c_TMAP3OUT)-(c_TMAP2OUT))&gt;=0,1,-1)*QUOTIENT(((c_TMAP3IN)-(c_TMAP2IN)),2)),((c_TMAP3IN)-(c_TMAP2IN)))+(c_TMAP2OUT)+IF(((c_TMAP3OUT)-(c_TMAP2OUT))&gt;=0,IF(IF(o_WRAP=1,MOD(((c_TMAP3IN)-(c_TMAP2IN))*(((A632)-(c_TMAP2IN))*((c_TMAP3OUT)-(c_TMAP2OUT))+IF(((c_TMAP3OUT)-(c_TMAP2OUT))&gt;=0,1,-1)*QUOTIENT(((c_TMAP3IN)-(c_TMAP2IN)),2))+2147483648,4294967296)-2147483648,((c_TMAP3IN)-(c_TMAP2IN))*(((A632)-(c_TMAP2IN))*((c_TMAP3OUT)-(c_TMAP2OUT))+IF(((c_TMAP3OUT)-(c_TMAP2OUT))&gt;=0,1,-1)*QUOTIENT(((c_TMAP3IN)-(c_TMAP2IN)),2)))&lt;0,-1,0),IF(IF(o_WRAP=1,MOD(((c_TMAP3IN)-(c_TMAP2IN))*(((A632)-(c_TMAP2IN))*((c_TMAP3OUT)-(c_TMAP2OUT))+IF(((c_TMAP3OUT)-(c_TMAP2OUT))&gt;=0,1,-1)*QUOTIENT(((c_TMAP3IN)-(c_TMAP2IN)),2))+2147483648,4294967296)-2147483648,((c_TMAP3IN)-(c_TMAP2IN))*(((A632)-(c_TMAP2IN))*((c_TMAP3OUT)-(c_TMAP2OUT))+IF(((c_TMAP3OUT)-(c_TMAP2OUT))&gt;=0,1,-1)*QUOTIENT(((c_TMAP3IN)-(c_TMAP2IN)),2)))&gt;=0,1,0)))</f>
        <v>394</v>
      </c>
      <c r="G632" s="7" t="n">
        <f aca="false">IF(((1000)-(c_TMAP3IN))=0,(c_TMAP3OUT)+QUOTIENT(((1000)-(c_TMAP3OUT)),2),QUOTIENT((((A632)-(c_TMAP3IN))*((1000)-(c_TMAP3OUT))+IF(((1000)-(c_TMAP3OUT))&gt;=0,1,-1)*QUOTIENT(((1000)-(c_TMAP3IN)),2)),((1000)-(c_TMAP3IN)))+(c_TMAP3OUT)+IF(((1000)-(c_TMAP3OUT))&gt;=0,IF(IF(o_WRAP=1,MOD(((1000)-(c_TMAP3IN))*(((A632)-(c_TMAP3IN))*((1000)-(c_TMAP3OUT))+IF(((1000)-(c_TMAP3OUT))&gt;=0,1,-1)*QUOTIENT(((1000)-(c_TMAP3IN)),2))+2147483648,4294967296)-2147483648,((1000)-(c_TMAP3IN))*(((A632)-(c_TMAP3IN))*((1000)-(c_TMAP3OUT))+IF(((1000)-(c_TMAP3OUT))&gt;=0,1,-1)*QUOTIENT(((1000)-(c_TMAP3IN)),2)))&lt;0,-1,0),IF(IF(o_WRAP=1,MOD(((1000)-(c_TMAP3IN))*(((A632)-(c_TMAP3IN))*((1000)-(c_TMAP3OUT))+IF(((1000)-(c_TMAP3OUT))&gt;=0,1,-1)*QUOTIENT(((1000)-(c_TMAP3IN)),2))+2147483648,4294967296)-2147483648,((1000)-(c_TMAP3IN))*(((A632)-(c_TMAP3IN))*((1000)-(c_TMAP3OUT))+IF(((1000)-(c_TMAP3OUT))&gt;=0,1,-1)*QUOTIENT(((1000)-(c_TMAP3IN)),2)))&gt;=0,1,0)))</f>
        <v>541</v>
      </c>
      <c r="H632" s="7" t="str">
        <f aca="false">IF(A632&gt;=c_TFWD,IF(AND(A632&gt;=c_TMAP3IN,c_TMAP3IN&lt;1000),"Seg4 map3-100%",IF(AND(A632&gt;=c_TMAP2IN,c_TMAP3IN&gt;c_TMAP2IN),"Seg3 map2-map3",IF(AND(A632&gt;=c_TMAP1IN,c_TMAP2IN&gt;c_TMAP1IN),"Seg2 map1-map2","Seg1 TFWD-map1"))),IF(AND(A632=0,c_TCREEP&gt;0),"Creep",IF(AND(A632&lt;=c_TRNGMIN,A632&gt;=c_TRNGMAX,c_TRNGMIN-c_TRNGMAX&lt;&gt;0),"Regen ramp","Coast (0)")))</f>
        <v>Seg4 map3-100%</v>
      </c>
      <c r="I632" s="7" t="n">
        <f aca="false">IF(A632&gt;=c_TFWD,IF(AND(A632&gt;=c_TMAP3IN,c_TMAP3IN&lt;1000),G632,IF(AND(A632&gt;=c_TMAP2IN,c_TMAP3IN&gt;c_TMAP2IN),F632,IF(AND(A632&gt;=c_TMAP1IN,c_TMAP2IN&gt;c_TMAP1IN),E632,D632))),C632)</f>
        <v>541</v>
      </c>
      <c r="J632" s="7" t="str">
        <f aca="false">IF(I632&lt;-1090,"TOO LOW",IF(I632&gt;1090,"TOO HIGH",""))</f>
        <v/>
      </c>
      <c r="K632" s="15" t="n">
        <f aca="false">IF(J632&lt;&gt;"",0,IF(I632&gt;979,1000,I632))</f>
        <v>541</v>
      </c>
      <c r="L632" s="7" t="n">
        <f aca="false">K632/10</f>
        <v>54.1</v>
      </c>
    </row>
    <row r="633" customFormat="false" ht="15" hidden="false" customHeight="false" outlineLevel="0" collapsed="false">
      <c r="A633" s="7" t="n">
        <v>628</v>
      </c>
      <c r="B633" s="7" t="n">
        <f aca="false">A633/10</f>
        <v>62.8</v>
      </c>
      <c r="C633" s="7" t="n">
        <f aca="false">IF(AND(A633=0,c_TCREEP&gt;0),10*c_TCREEP,IF(AND(A633&lt;=c_TRNGMIN,A633&gt;=c_TRNGMAX,c_TRNGMIN-c_TRNGMAX&lt;&gt;0),-10*c_TMINRN+QUOTIENT((c_TMAXRN-c_TMINRN)*(100-QUOTIENT((A633-c_TRNGMAX)*100,c_TRNGMIN-c_TRNGMAX)),-10),0))</f>
        <v>0</v>
      </c>
      <c r="D633" s="7" t="n">
        <f aca="false">IF(((c_TMAP1IN)-(c_TFWD))=0,(0)+QUOTIENT(((c_TMAP1OUT)-(0)),2),QUOTIENT((((A633)-(c_TFWD))*((c_TMAP1OUT)-(0))+IF(((c_TMAP1OUT)-(0))&gt;=0,1,-1)*QUOTIENT(((c_TMAP1IN)-(c_TFWD)),2)),((c_TMAP1IN)-(c_TFWD)))+(0)+IF(((c_TMAP1OUT)-(0))&gt;=0,IF(IF(o_WRAP=1,MOD(((c_TMAP1IN)-(c_TFWD))*(((A633)-(c_TFWD))*((c_TMAP1OUT)-(0))+IF(((c_TMAP1OUT)-(0))&gt;=0,1,-1)*QUOTIENT(((c_TMAP1IN)-(c_TFWD)),2))+2147483648,4294967296)-2147483648,((c_TMAP1IN)-(c_TFWD))*(((A633)-(c_TFWD))*((c_TMAP1OUT)-(0))+IF(((c_TMAP1OUT)-(0))&gt;=0,1,-1)*QUOTIENT(((c_TMAP1IN)-(c_TFWD)),2)))&lt;0,-1,0),IF(IF(o_WRAP=1,MOD(((c_TMAP1IN)-(c_TFWD))*(((A633)-(c_TFWD))*((c_TMAP1OUT)-(0))+IF(((c_TMAP1OUT)-(0))&gt;=0,1,-1)*QUOTIENT(((c_TMAP1IN)-(c_TFWD)),2))+2147483648,4294967296)-2147483648,((c_TMAP1IN)-(c_TFWD))*(((A633)-(c_TFWD))*((c_TMAP1OUT)-(0))+IF(((c_TMAP1OUT)-(0))&gt;=0,1,-1)*QUOTIENT(((c_TMAP1IN)-(c_TFWD)),2)))&gt;=0,1,0)))</f>
        <v>481</v>
      </c>
      <c r="E633" s="7" t="n">
        <f aca="false">IF(((c_TMAP2IN)-(c_TMAP1IN))=0,(c_TMAP1OUT)+QUOTIENT(((c_TMAP2OUT)-(c_TMAP1OUT)),2),QUOTIENT((((A633)-(c_TMAP1IN))*((c_TMAP2OUT)-(c_TMAP1OUT))+IF(((c_TMAP2OUT)-(c_TMAP1OUT))&gt;=0,1,-1)*QUOTIENT(((c_TMAP2IN)-(c_TMAP1IN)),2)),((c_TMAP2IN)-(c_TMAP1IN)))+(c_TMAP1OUT)+IF(((c_TMAP2OUT)-(c_TMAP1OUT))&gt;=0,IF(IF(o_WRAP=1,MOD(((c_TMAP2IN)-(c_TMAP1IN))*(((A633)-(c_TMAP1IN))*((c_TMAP2OUT)-(c_TMAP1OUT))+IF(((c_TMAP2OUT)-(c_TMAP1OUT))&gt;=0,1,-1)*QUOTIENT(((c_TMAP2IN)-(c_TMAP1IN)),2))+2147483648,4294967296)-2147483648,((c_TMAP2IN)-(c_TMAP1IN))*(((A633)-(c_TMAP1IN))*((c_TMAP2OUT)-(c_TMAP1OUT))+IF(((c_TMAP2OUT)-(c_TMAP1OUT))&gt;=0,1,-1)*QUOTIENT(((c_TMAP2IN)-(c_TMAP1IN)),2)))&lt;0,-1,0),IF(IF(o_WRAP=1,MOD(((c_TMAP2IN)-(c_TMAP1IN))*(((A633)-(c_TMAP1IN))*((c_TMAP2OUT)-(c_TMAP1OUT))+IF(((c_TMAP2OUT)-(c_TMAP1OUT))&gt;=0,1,-1)*QUOTIENT(((c_TMAP2IN)-(c_TMAP1IN)),2))+2147483648,4294967296)-2147483648,((c_TMAP2IN)-(c_TMAP1IN))*(((A633)-(c_TMAP1IN))*((c_TMAP2OUT)-(c_TMAP1OUT))+IF(((c_TMAP2OUT)-(c_TMAP1OUT))&gt;=0,1,-1)*QUOTIENT(((c_TMAP2IN)-(c_TMAP1IN)),2)))&gt;=0,1,0)))</f>
        <v>281</v>
      </c>
      <c r="F633" s="7" t="n">
        <f aca="false">IF(((c_TMAP3IN)-(c_TMAP2IN))=0,(c_TMAP2OUT)+QUOTIENT(((c_TMAP3OUT)-(c_TMAP2OUT)),2),QUOTIENT((((A633)-(c_TMAP2IN))*((c_TMAP3OUT)-(c_TMAP2OUT))+IF(((c_TMAP3OUT)-(c_TMAP2OUT))&gt;=0,1,-1)*QUOTIENT(((c_TMAP3IN)-(c_TMAP2IN)),2)),((c_TMAP3IN)-(c_TMAP2IN)))+(c_TMAP2OUT)+IF(((c_TMAP3OUT)-(c_TMAP2OUT))&gt;=0,IF(IF(o_WRAP=1,MOD(((c_TMAP3IN)-(c_TMAP2IN))*(((A633)-(c_TMAP2IN))*((c_TMAP3OUT)-(c_TMAP2OUT))+IF(((c_TMAP3OUT)-(c_TMAP2OUT))&gt;=0,1,-1)*QUOTIENT(((c_TMAP3IN)-(c_TMAP2IN)),2))+2147483648,4294967296)-2147483648,((c_TMAP3IN)-(c_TMAP2IN))*(((A633)-(c_TMAP2IN))*((c_TMAP3OUT)-(c_TMAP2OUT))+IF(((c_TMAP3OUT)-(c_TMAP2OUT))&gt;=0,1,-1)*QUOTIENT(((c_TMAP3IN)-(c_TMAP2IN)),2)))&lt;0,-1,0),IF(IF(o_WRAP=1,MOD(((c_TMAP3IN)-(c_TMAP2IN))*(((A633)-(c_TMAP2IN))*((c_TMAP3OUT)-(c_TMAP2OUT))+IF(((c_TMAP3OUT)-(c_TMAP2OUT))&gt;=0,1,-1)*QUOTIENT(((c_TMAP3IN)-(c_TMAP2IN)),2))+2147483648,4294967296)-2147483648,((c_TMAP3IN)-(c_TMAP2IN))*(((A633)-(c_TMAP2IN))*((c_TMAP3OUT)-(c_TMAP2OUT))+IF(((c_TMAP3OUT)-(c_TMAP2OUT))&gt;=0,1,-1)*QUOTIENT(((c_TMAP3IN)-(c_TMAP2IN)),2)))&gt;=0,1,0)))</f>
        <v>395</v>
      </c>
      <c r="G633" s="7" t="n">
        <f aca="false">IF(((1000)-(c_TMAP3IN))=0,(c_TMAP3OUT)+QUOTIENT(((1000)-(c_TMAP3OUT)),2),QUOTIENT((((A633)-(c_TMAP3IN))*((1000)-(c_TMAP3OUT))+IF(((1000)-(c_TMAP3OUT))&gt;=0,1,-1)*QUOTIENT(((1000)-(c_TMAP3IN)),2)),((1000)-(c_TMAP3IN)))+(c_TMAP3OUT)+IF(((1000)-(c_TMAP3OUT))&gt;=0,IF(IF(o_WRAP=1,MOD(((1000)-(c_TMAP3IN))*(((A633)-(c_TMAP3IN))*((1000)-(c_TMAP3OUT))+IF(((1000)-(c_TMAP3OUT))&gt;=0,1,-1)*QUOTIENT(((1000)-(c_TMAP3IN)),2))+2147483648,4294967296)-2147483648,((1000)-(c_TMAP3IN))*(((A633)-(c_TMAP3IN))*((1000)-(c_TMAP3OUT))+IF(((1000)-(c_TMAP3OUT))&gt;=0,1,-1)*QUOTIENT(((1000)-(c_TMAP3IN)),2)))&lt;0,-1,0),IF(IF(o_WRAP=1,MOD(((1000)-(c_TMAP3IN))*(((A633)-(c_TMAP3IN))*((1000)-(c_TMAP3OUT))+IF(((1000)-(c_TMAP3OUT))&gt;=0,1,-1)*QUOTIENT(((1000)-(c_TMAP3IN)),2))+2147483648,4294967296)-2147483648,((1000)-(c_TMAP3IN))*(((A633)-(c_TMAP3IN))*((1000)-(c_TMAP3OUT))+IF(((1000)-(c_TMAP3OUT))&gt;=0,1,-1)*QUOTIENT(((1000)-(c_TMAP3IN)),2)))&gt;=0,1,0)))</f>
        <v>542</v>
      </c>
      <c r="H633" s="7" t="str">
        <f aca="false">IF(A633&gt;=c_TFWD,IF(AND(A633&gt;=c_TMAP3IN,c_TMAP3IN&lt;1000),"Seg4 map3-100%",IF(AND(A633&gt;=c_TMAP2IN,c_TMAP3IN&gt;c_TMAP2IN),"Seg3 map2-map3",IF(AND(A633&gt;=c_TMAP1IN,c_TMAP2IN&gt;c_TMAP1IN),"Seg2 map1-map2","Seg1 TFWD-map1"))),IF(AND(A633=0,c_TCREEP&gt;0),"Creep",IF(AND(A633&lt;=c_TRNGMIN,A633&gt;=c_TRNGMAX,c_TRNGMIN-c_TRNGMAX&lt;&gt;0),"Regen ramp","Coast (0)")))</f>
        <v>Seg4 map3-100%</v>
      </c>
      <c r="I633" s="7" t="n">
        <f aca="false">IF(A633&gt;=c_TFWD,IF(AND(A633&gt;=c_TMAP3IN,c_TMAP3IN&lt;1000),G633,IF(AND(A633&gt;=c_TMAP2IN,c_TMAP3IN&gt;c_TMAP2IN),F633,IF(AND(A633&gt;=c_TMAP1IN,c_TMAP2IN&gt;c_TMAP1IN),E633,D633))),C633)</f>
        <v>542</v>
      </c>
      <c r="J633" s="7" t="str">
        <f aca="false">IF(I633&lt;-1090,"TOO LOW",IF(I633&gt;1090,"TOO HIGH",""))</f>
        <v/>
      </c>
      <c r="K633" s="15" t="n">
        <f aca="false">IF(J633&lt;&gt;"",0,IF(I633&gt;979,1000,I633))</f>
        <v>542</v>
      </c>
      <c r="L633" s="7" t="n">
        <f aca="false">K633/10</f>
        <v>54.2</v>
      </c>
    </row>
    <row r="634" customFormat="false" ht="15" hidden="false" customHeight="false" outlineLevel="0" collapsed="false">
      <c r="A634" s="7" t="n">
        <v>629</v>
      </c>
      <c r="B634" s="7" t="n">
        <f aca="false">A634/10</f>
        <v>62.9</v>
      </c>
      <c r="C634" s="7" t="n">
        <f aca="false">IF(AND(A634=0,c_TCREEP&gt;0),10*c_TCREEP,IF(AND(A634&lt;=c_TRNGMIN,A634&gt;=c_TRNGMAX,c_TRNGMIN-c_TRNGMAX&lt;&gt;0),-10*c_TMINRN+QUOTIENT((c_TMAXRN-c_TMINRN)*(100-QUOTIENT((A634-c_TRNGMAX)*100,c_TRNGMIN-c_TRNGMAX)),-10),0))</f>
        <v>0</v>
      </c>
      <c r="D634" s="7" t="n">
        <f aca="false">IF(((c_TMAP1IN)-(c_TFWD))=0,(0)+QUOTIENT(((c_TMAP1OUT)-(0)),2),QUOTIENT((((A634)-(c_TFWD))*((c_TMAP1OUT)-(0))+IF(((c_TMAP1OUT)-(0))&gt;=0,1,-1)*QUOTIENT(((c_TMAP1IN)-(c_TFWD)),2)),((c_TMAP1IN)-(c_TFWD)))+(0)+IF(((c_TMAP1OUT)-(0))&gt;=0,IF(IF(o_WRAP=1,MOD(((c_TMAP1IN)-(c_TFWD))*(((A634)-(c_TFWD))*((c_TMAP1OUT)-(0))+IF(((c_TMAP1OUT)-(0))&gt;=0,1,-1)*QUOTIENT(((c_TMAP1IN)-(c_TFWD)),2))+2147483648,4294967296)-2147483648,((c_TMAP1IN)-(c_TFWD))*(((A634)-(c_TFWD))*((c_TMAP1OUT)-(0))+IF(((c_TMAP1OUT)-(0))&gt;=0,1,-1)*QUOTIENT(((c_TMAP1IN)-(c_TFWD)),2)))&lt;0,-1,0),IF(IF(o_WRAP=1,MOD(((c_TMAP1IN)-(c_TFWD))*(((A634)-(c_TFWD))*((c_TMAP1OUT)-(0))+IF(((c_TMAP1OUT)-(0))&gt;=0,1,-1)*QUOTIENT(((c_TMAP1IN)-(c_TFWD)),2))+2147483648,4294967296)-2147483648,((c_TMAP1IN)-(c_TFWD))*(((A634)-(c_TFWD))*((c_TMAP1OUT)-(0))+IF(((c_TMAP1OUT)-(0))&gt;=0,1,-1)*QUOTIENT(((c_TMAP1IN)-(c_TFWD)),2)))&gt;=0,1,0)))</f>
        <v>481</v>
      </c>
      <c r="E634" s="7" t="n">
        <f aca="false">IF(((c_TMAP2IN)-(c_TMAP1IN))=0,(c_TMAP1OUT)+QUOTIENT(((c_TMAP2OUT)-(c_TMAP1OUT)),2),QUOTIENT((((A634)-(c_TMAP1IN))*((c_TMAP2OUT)-(c_TMAP1OUT))+IF(((c_TMAP2OUT)-(c_TMAP1OUT))&gt;=0,1,-1)*QUOTIENT(((c_TMAP2IN)-(c_TMAP1IN)),2)),((c_TMAP2IN)-(c_TMAP1IN)))+(c_TMAP1OUT)+IF(((c_TMAP2OUT)-(c_TMAP1OUT))&gt;=0,IF(IF(o_WRAP=1,MOD(((c_TMAP2IN)-(c_TMAP1IN))*(((A634)-(c_TMAP1IN))*((c_TMAP2OUT)-(c_TMAP1OUT))+IF(((c_TMAP2OUT)-(c_TMAP1OUT))&gt;=0,1,-1)*QUOTIENT(((c_TMAP2IN)-(c_TMAP1IN)),2))+2147483648,4294967296)-2147483648,((c_TMAP2IN)-(c_TMAP1IN))*(((A634)-(c_TMAP1IN))*((c_TMAP2OUT)-(c_TMAP1OUT))+IF(((c_TMAP2OUT)-(c_TMAP1OUT))&gt;=0,1,-1)*QUOTIENT(((c_TMAP2IN)-(c_TMAP1IN)),2)))&lt;0,-1,0),IF(IF(o_WRAP=1,MOD(((c_TMAP2IN)-(c_TMAP1IN))*(((A634)-(c_TMAP1IN))*((c_TMAP2OUT)-(c_TMAP1OUT))+IF(((c_TMAP2OUT)-(c_TMAP1OUT))&gt;=0,1,-1)*QUOTIENT(((c_TMAP2IN)-(c_TMAP1IN)),2))+2147483648,4294967296)-2147483648,((c_TMAP2IN)-(c_TMAP1IN))*(((A634)-(c_TMAP1IN))*((c_TMAP2OUT)-(c_TMAP1OUT))+IF(((c_TMAP2OUT)-(c_TMAP1OUT))&gt;=0,1,-1)*QUOTIENT(((c_TMAP2IN)-(c_TMAP1IN)),2)))&gt;=0,1,0)))</f>
        <v>282</v>
      </c>
      <c r="F634" s="7" t="n">
        <f aca="false">IF(((c_TMAP3IN)-(c_TMAP2IN))=0,(c_TMAP2OUT)+QUOTIENT(((c_TMAP3OUT)-(c_TMAP2OUT)),2),QUOTIENT((((A634)-(c_TMAP2IN))*((c_TMAP3OUT)-(c_TMAP2OUT))+IF(((c_TMAP3OUT)-(c_TMAP2OUT))&gt;=0,1,-1)*QUOTIENT(((c_TMAP3IN)-(c_TMAP2IN)),2)),((c_TMAP3IN)-(c_TMAP2IN)))+(c_TMAP2OUT)+IF(((c_TMAP3OUT)-(c_TMAP2OUT))&gt;=0,IF(IF(o_WRAP=1,MOD(((c_TMAP3IN)-(c_TMAP2IN))*(((A634)-(c_TMAP2IN))*((c_TMAP3OUT)-(c_TMAP2OUT))+IF(((c_TMAP3OUT)-(c_TMAP2OUT))&gt;=0,1,-1)*QUOTIENT(((c_TMAP3IN)-(c_TMAP2IN)),2))+2147483648,4294967296)-2147483648,((c_TMAP3IN)-(c_TMAP2IN))*(((A634)-(c_TMAP2IN))*((c_TMAP3OUT)-(c_TMAP2OUT))+IF(((c_TMAP3OUT)-(c_TMAP2OUT))&gt;=0,1,-1)*QUOTIENT(((c_TMAP3IN)-(c_TMAP2IN)),2)))&lt;0,-1,0),IF(IF(o_WRAP=1,MOD(((c_TMAP3IN)-(c_TMAP2IN))*(((A634)-(c_TMAP2IN))*((c_TMAP3OUT)-(c_TMAP2OUT))+IF(((c_TMAP3OUT)-(c_TMAP2OUT))&gt;=0,1,-1)*QUOTIENT(((c_TMAP3IN)-(c_TMAP2IN)),2))+2147483648,4294967296)-2147483648,((c_TMAP3IN)-(c_TMAP2IN))*(((A634)-(c_TMAP2IN))*((c_TMAP3OUT)-(c_TMAP2OUT))+IF(((c_TMAP3OUT)-(c_TMAP2OUT))&gt;=0,1,-1)*QUOTIENT(((c_TMAP3IN)-(c_TMAP2IN)),2)))&gt;=0,1,0)))</f>
        <v>395</v>
      </c>
      <c r="G634" s="7" t="n">
        <f aca="false">IF(((1000)-(c_TMAP3IN))=0,(c_TMAP3OUT)+QUOTIENT(((1000)-(c_TMAP3OUT)),2),QUOTIENT((((A634)-(c_TMAP3IN))*((1000)-(c_TMAP3OUT))+IF(((1000)-(c_TMAP3OUT))&gt;=0,1,-1)*QUOTIENT(((1000)-(c_TMAP3IN)),2)),((1000)-(c_TMAP3IN)))+(c_TMAP3OUT)+IF(((1000)-(c_TMAP3OUT))&gt;=0,IF(IF(o_WRAP=1,MOD(((1000)-(c_TMAP3IN))*(((A634)-(c_TMAP3IN))*((1000)-(c_TMAP3OUT))+IF(((1000)-(c_TMAP3OUT))&gt;=0,1,-1)*QUOTIENT(((1000)-(c_TMAP3IN)),2))+2147483648,4294967296)-2147483648,((1000)-(c_TMAP3IN))*(((A634)-(c_TMAP3IN))*((1000)-(c_TMAP3OUT))+IF(((1000)-(c_TMAP3OUT))&gt;=0,1,-1)*QUOTIENT(((1000)-(c_TMAP3IN)),2)))&lt;0,-1,0),IF(IF(o_WRAP=1,MOD(((1000)-(c_TMAP3IN))*(((A634)-(c_TMAP3IN))*((1000)-(c_TMAP3OUT))+IF(((1000)-(c_TMAP3OUT))&gt;=0,1,-1)*QUOTIENT(((1000)-(c_TMAP3IN)),2))+2147483648,4294967296)-2147483648,((1000)-(c_TMAP3IN))*(((A634)-(c_TMAP3IN))*((1000)-(c_TMAP3OUT))+IF(((1000)-(c_TMAP3OUT))&gt;=0,1,-1)*QUOTIENT(((1000)-(c_TMAP3IN)),2)))&gt;=0,1,0)))</f>
        <v>543</v>
      </c>
      <c r="H634" s="7" t="str">
        <f aca="false">IF(A634&gt;=c_TFWD,IF(AND(A634&gt;=c_TMAP3IN,c_TMAP3IN&lt;1000),"Seg4 map3-100%",IF(AND(A634&gt;=c_TMAP2IN,c_TMAP3IN&gt;c_TMAP2IN),"Seg3 map2-map3",IF(AND(A634&gt;=c_TMAP1IN,c_TMAP2IN&gt;c_TMAP1IN),"Seg2 map1-map2","Seg1 TFWD-map1"))),IF(AND(A634=0,c_TCREEP&gt;0),"Creep",IF(AND(A634&lt;=c_TRNGMIN,A634&gt;=c_TRNGMAX,c_TRNGMIN-c_TRNGMAX&lt;&gt;0),"Regen ramp","Coast (0)")))</f>
        <v>Seg4 map3-100%</v>
      </c>
      <c r="I634" s="7" t="n">
        <f aca="false">IF(A634&gt;=c_TFWD,IF(AND(A634&gt;=c_TMAP3IN,c_TMAP3IN&lt;1000),G634,IF(AND(A634&gt;=c_TMAP2IN,c_TMAP3IN&gt;c_TMAP2IN),F634,IF(AND(A634&gt;=c_TMAP1IN,c_TMAP2IN&gt;c_TMAP1IN),E634,D634))),C634)</f>
        <v>543</v>
      </c>
      <c r="J634" s="7" t="str">
        <f aca="false">IF(I634&lt;-1090,"TOO LOW",IF(I634&gt;1090,"TOO HIGH",""))</f>
        <v/>
      </c>
      <c r="K634" s="15" t="n">
        <f aca="false">IF(J634&lt;&gt;"",0,IF(I634&gt;979,1000,I634))</f>
        <v>543</v>
      </c>
      <c r="L634" s="7" t="n">
        <f aca="false">K634/10</f>
        <v>54.3</v>
      </c>
    </row>
    <row r="635" customFormat="false" ht="15" hidden="false" customHeight="false" outlineLevel="0" collapsed="false">
      <c r="A635" s="7" t="n">
        <v>630</v>
      </c>
      <c r="B635" s="7" t="n">
        <f aca="false">A635/10</f>
        <v>63</v>
      </c>
      <c r="C635" s="7" t="n">
        <f aca="false">IF(AND(A635=0,c_TCREEP&gt;0),10*c_TCREEP,IF(AND(A635&lt;=c_TRNGMIN,A635&gt;=c_TRNGMAX,c_TRNGMIN-c_TRNGMAX&lt;&gt;0),-10*c_TMINRN+QUOTIENT((c_TMAXRN-c_TMINRN)*(100-QUOTIENT((A635-c_TRNGMAX)*100,c_TRNGMIN-c_TRNGMAX)),-10),0))</f>
        <v>0</v>
      </c>
      <c r="D635" s="7" t="n">
        <f aca="false">IF(((c_TMAP1IN)-(c_TFWD))=0,(0)+QUOTIENT(((c_TMAP1OUT)-(0)),2),QUOTIENT((((A635)-(c_TFWD))*((c_TMAP1OUT)-(0))+IF(((c_TMAP1OUT)-(0))&gt;=0,1,-1)*QUOTIENT(((c_TMAP1IN)-(c_TFWD)),2)),((c_TMAP1IN)-(c_TFWD)))+(0)+IF(((c_TMAP1OUT)-(0))&gt;=0,IF(IF(o_WRAP=1,MOD(((c_TMAP1IN)-(c_TFWD))*(((A635)-(c_TFWD))*((c_TMAP1OUT)-(0))+IF(((c_TMAP1OUT)-(0))&gt;=0,1,-1)*QUOTIENT(((c_TMAP1IN)-(c_TFWD)),2))+2147483648,4294967296)-2147483648,((c_TMAP1IN)-(c_TFWD))*(((A635)-(c_TFWD))*((c_TMAP1OUT)-(0))+IF(((c_TMAP1OUT)-(0))&gt;=0,1,-1)*QUOTIENT(((c_TMAP1IN)-(c_TFWD)),2)))&lt;0,-1,0),IF(IF(o_WRAP=1,MOD(((c_TMAP1IN)-(c_TFWD))*(((A635)-(c_TFWD))*((c_TMAP1OUT)-(0))+IF(((c_TMAP1OUT)-(0))&gt;=0,1,-1)*QUOTIENT(((c_TMAP1IN)-(c_TFWD)),2))+2147483648,4294967296)-2147483648,((c_TMAP1IN)-(c_TFWD))*(((A635)-(c_TFWD))*((c_TMAP1OUT)-(0))+IF(((c_TMAP1OUT)-(0))&gt;=0,1,-1)*QUOTIENT(((c_TMAP1IN)-(c_TFWD)),2)))&gt;=0,1,0)))</f>
        <v>482</v>
      </c>
      <c r="E635" s="7" t="n">
        <f aca="false">IF(((c_TMAP2IN)-(c_TMAP1IN))=0,(c_TMAP1OUT)+QUOTIENT(((c_TMAP2OUT)-(c_TMAP1OUT)),2),QUOTIENT((((A635)-(c_TMAP1IN))*((c_TMAP2OUT)-(c_TMAP1OUT))+IF(((c_TMAP2OUT)-(c_TMAP1OUT))&gt;=0,1,-1)*QUOTIENT(((c_TMAP2IN)-(c_TMAP1IN)),2)),((c_TMAP2IN)-(c_TMAP1IN)))+(c_TMAP1OUT)+IF(((c_TMAP2OUT)-(c_TMAP1OUT))&gt;=0,IF(IF(o_WRAP=1,MOD(((c_TMAP2IN)-(c_TMAP1IN))*(((A635)-(c_TMAP1IN))*((c_TMAP2OUT)-(c_TMAP1OUT))+IF(((c_TMAP2OUT)-(c_TMAP1OUT))&gt;=0,1,-1)*QUOTIENT(((c_TMAP2IN)-(c_TMAP1IN)),2))+2147483648,4294967296)-2147483648,((c_TMAP2IN)-(c_TMAP1IN))*(((A635)-(c_TMAP1IN))*((c_TMAP2OUT)-(c_TMAP1OUT))+IF(((c_TMAP2OUT)-(c_TMAP1OUT))&gt;=0,1,-1)*QUOTIENT(((c_TMAP2IN)-(c_TMAP1IN)),2)))&lt;0,-1,0),IF(IF(o_WRAP=1,MOD(((c_TMAP2IN)-(c_TMAP1IN))*(((A635)-(c_TMAP1IN))*((c_TMAP2OUT)-(c_TMAP1OUT))+IF(((c_TMAP2OUT)-(c_TMAP1OUT))&gt;=0,1,-1)*QUOTIENT(((c_TMAP2IN)-(c_TMAP1IN)),2))+2147483648,4294967296)-2147483648,((c_TMAP2IN)-(c_TMAP1IN))*(((A635)-(c_TMAP1IN))*((c_TMAP2OUT)-(c_TMAP1OUT))+IF(((c_TMAP2OUT)-(c_TMAP1OUT))&gt;=0,1,-1)*QUOTIENT(((c_TMAP2IN)-(c_TMAP1IN)),2)))&gt;=0,1,0)))</f>
        <v>282</v>
      </c>
      <c r="F635" s="7" t="n">
        <f aca="false">IF(((c_TMAP3IN)-(c_TMAP2IN))=0,(c_TMAP2OUT)+QUOTIENT(((c_TMAP3OUT)-(c_TMAP2OUT)),2),QUOTIENT((((A635)-(c_TMAP2IN))*((c_TMAP3OUT)-(c_TMAP2OUT))+IF(((c_TMAP3OUT)-(c_TMAP2OUT))&gt;=0,1,-1)*QUOTIENT(((c_TMAP3IN)-(c_TMAP2IN)),2)),((c_TMAP3IN)-(c_TMAP2IN)))+(c_TMAP2OUT)+IF(((c_TMAP3OUT)-(c_TMAP2OUT))&gt;=0,IF(IF(o_WRAP=1,MOD(((c_TMAP3IN)-(c_TMAP2IN))*(((A635)-(c_TMAP2IN))*((c_TMAP3OUT)-(c_TMAP2OUT))+IF(((c_TMAP3OUT)-(c_TMAP2OUT))&gt;=0,1,-1)*QUOTIENT(((c_TMAP3IN)-(c_TMAP2IN)),2))+2147483648,4294967296)-2147483648,((c_TMAP3IN)-(c_TMAP2IN))*(((A635)-(c_TMAP2IN))*((c_TMAP3OUT)-(c_TMAP2OUT))+IF(((c_TMAP3OUT)-(c_TMAP2OUT))&gt;=0,1,-1)*QUOTIENT(((c_TMAP3IN)-(c_TMAP2IN)),2)))&lt;0,-1,0),IF(IF(o_WRAP=1,MOD(((c_TMAP3IN)-(c_TMAP2IN))*(((A635)-(c_TMAP2IN))*((c_TMAP3OUT)-(c_TMAP2OUT))+IF(((c_TMAP3OUT)-(c_TMAP2OUT))&gt;=0,1,-1)*QUOTIENT(((c_TMAP3IN)-(c_TMAP2IN)),2))+2147483648,4294967296)-2147483648,((c_TMAP3IN)-(c_TMAP2IN))*(((A635)-(c_TMAP2IN))*((c_TMAP3OUT)-(c_TMAP2OUT))+IF(((c_TMAP3OUT)-(c_TMAP2OUT))&gt;=0,1,-1)*QUOTIENT(((c_TMAP3IN)-(c_TMAP2IN)),2)))&gt;=0,1,0)))</f>
        <v>396</v>
      </c>
      <c r="G635" s="7" t="n">
        <f aca="false">IF(((1000)-(c_TMAP3IN))=0,(c_TMAP3OUT)+QUOTIENT(((1000)-(c_TMAP3OUT)),2),QUOTIENT((((A635)-(c_TMAP3IN))*((1000)-(c_TMAP3OUT))+IF(((1000)-(c_TMAP3OUT))&gt;=0,1,-1)*QUOTIENT(((1000)-(c_TMAP3IN)),2)),((1000)-(c_TMAP3IN)))+(c_TMAP3OUT)+IF(((1000)-(c_TMAP3OUT))&gt;=0,IF(IF(o_WRAP=1,MOD(((1000)-(c_TMAP3IN))*(((A635)-(c_TMAP3IN))*((1000)-(c_TMAP3OUT))+IF(((1000)-(c_TMAP3OUT))&gt;=0,1,-1)*QUOTIENT(((1000)-(c_TMAP3IN)),2))+2147483648,4294967296)-2147483648,((1000)-(c_TMAP3IN))*(((A635)-(c_TMAP3IN))*((1000)-(c_TMAP3OUT))+IF(((1000)-(c_TMAP3OUT))&gt;=0,1,-1)*QUOTIENT(((1000)-(c_TMAP3IN)),2)))&lt;0,-1,0),IF(IF(o_WRAP=1,MOD(((1000)-(c_TMAP3IN))*(((A635)-(c_TMAP3IN))*((1000)-(c_TMAP3OUT))+IF(((1000)-(c_TMAP3OUT))&gt;=0,1,-1)*QUOTIENT(((1000)-(c_TMAP3IN)),2))+2147483648,4294967296)-2147483648,((1000)-(c_TMAP3IN))*(((A635)-(c_TMAP3IN))*((1000)-(c_TMAP3OUT))+IF(((1000)-(c_TMAP3OUT))&gt;=0,1,-1)*QUOTIENT(((1000)-(c_TMAP3IN)),2)))&gt;=0,1,0)))</f>
        <v>545</v>
      </c>
      <c r="H635" s="7" t="str">
        <f aca="false">IF(A635&gt;=c_TFWD,IF(AND(A635&gt;=c_TMAP3IN,c_TMAP3IN&lt;1000),"Seg4 map3-100%",IF(AND(A635&gt;=c_TMAP2IN,c_TMAP3IN&gt;c_TMAP2IN),"Seg3 map2-map3",IF(AND(A635&gt;=c_TMAP1IN,c_TMAP2IN&gt;c_TMAP1IN),"Seg2 map1-map2","Seg1 TFWD-map1"))),IF(AND(A635=0,c_TCREEP&gt;0),"Creep",IF(AND(A635&lt;=c_TRNGMIN,A635&gt;=c_TRNGMAX,c_TRNGMIN-c_TRNGMAX&lt;&gt;0),"Regen ramp","Coast (0)")))</f>
        <v>Seg4 map3-100%</v>
      </c>
      <c r="I635" s="7" t="n">
        <f aca="false">IF(A635&gt;=c_TFWD,IF(AND(A635&gt;=c_TMAP3IN,c_TMAP3IN&lt;1000),G635,IF(AND(A635&gt;=c_TMAP2IN,c_TMAP3IN&gt;c_TMAP2IN),F635,IF(AND(A635&gt;=c_TMAP1IN,c_TMAP2IN&gt;c_TMAP1IN),E635,D635))),C635)</f>
        <v>545</v>
      </c>
      <c r="J635" s="7" t="str">
        <f aca="false">IF(I635&lt;-1090,"TOO LOW",IF(I635&gt;1090,"TOO HIGH",""))</f>
        <v/>
      </c>
      <c r="K635" s="15" t="n">
        <f aca="false">IF(J635&lt;&gt;"",0,IF(I635&gt;979,1000,I635))</f>
        <v>545</v>
      </c>
      <c r="L635" s="7" t="n">
        <f aca="false">K635/10</f>
        <v>54.5</v>
      </c>
    </row>
    <row r="636" customFormat="false" ht="15" hidden="false" customHeight="false" outlineLevel="0" collapsed="false">
      <c r="A636" s="7" t="n">
        <v>631</v>
      </c>
      <c r="B636" s="7" t="n">
        <f aca="false">A636/10</f>
        <v>63.1</v>
      </c>
      <c r="C636" s="7" t="n">
        <f aca="false">IF(AND(A636=0,c_TCREEP&gt;0),10*c_TCREEP,IF(AND(A636&lt;=c_TRNGMIN,A636&gt;=c_TRNGMAX,c_TRNGMIN-c_TRNGMAX&lt;&gt;0),-10*c_TMINRN+QUOTIENT((c_TMAXRN-c_TMINRN)*(100-QUOTIENT((A636-c_TRNGMAX)*100,c_TRNGMIN-c_TRNGMAX)),-10),0))</f>
        <v>0</v>
      </c>
      <c r="D636" s="7" t="n">
        <f aca="false">IF(((c_TMAP1IN)-(c_TFWD))=0,(0)+QUOTIENT(((c_TMAP1OUT)-(0)),2),QUOTIENT((((A636)-(c_TFWD))*((c_TMAP1OUT)-(0))+IF(((c_TMAP1OUT)-(0))&gt;=0,1,-1)*QUOTIENT(((c_TMAP1IN)-(c_TFWD)),2)),((c_TMAP1IN)-(c_TFWD)))+(0)+IF(((c_TMAP1OUT)-(0))&gt;=0,IF(IF(o_WRAP=1,MOD(((c_TMAP1IN)-(c_TFWD))*(((A636)-(c_TFWD))*((c_TMAP1OUT)-(0))+IF(((c_TMAP1OUT)-(0))&gt;=0,1,-1)*QUOTIENT(((c_TMAP1IN)-(c_TFWD)),2))+2147483648,4294967296)-2147483648,((c_TMAP1IN)-(c_TFWD))*(((A636)-(c_TFWD))*((c_TMAP1OUT)-(0))+IF(((c_TMAP1OUT)-(0))&gt;=0,1,-1)*QUOTIENT(((c_TMAP1IN)-(c_TFWD)),2)))&lt;0,-1,0),IF(IF(o_WRAP=1,MOD(((c_TMAP1IN)-(c_TFWD))*(((A636)-(c_TFWD))*((c_TMAP1OUT)-(0))+IF(((c_TMAP1OUT)-(0))&gt;=0,1,-1)*QUOTIENT(((c_TMAP1IN)-(c_TFWD)),2))+2147483648,4294967296)-2147483648,((c_TMAP1IN)-(c_TFWD))*(((A636)-(c_TFWD))*((c_TMAP1OUT)-(0))+IF(((c_TMAP1OUT)-(0))&gt;=0,1,-1)*QUOTIENT(((c_TMAP1IN)-(c_TFWD)),2)))&gt;=0,1,0)))</f>
        <v>483</v>
      </c>
      <c r="E636" s="7" t="n">
        <f aca="false">IF(((c_TMAP2IN)-(c_TMAP1IN))=0,(c_TMAP1OUT)+QUOTIENT(((c_TMAP2OUT)-(c_TMAP1OUT)),2),QUOTIENT((((A636)-(c_TMAP1IN))*((c_TMAP2OUT)-(c_TMAP1OUT))+IF(((c_TMAP2OUT)-(c_TMAP1OUT))&gt;=0,1,-1)*QUOTIENT(((c_TMAP2IN)-(c_TMAP1IN)),2)),((c_TMAP2IN)-(c_TMAP1IN)))+(c_TMAP1OUT)+IF(((c_TMAP2OUT)-(c_TMAP1OUT))&gt;=0,IF(IF(o_WRAP=1,MOD(((c_TMAP2IN)-(c_TMAP1IN))*(((A636)-(c_TMAP1IN))*((c_TMAP2OUT)-(c_TMAP1OUT))+IF(((c_TMAP2OUT)-(c_TMAP1OUT))&gt;=0,1,-1)*QUOTIENT(((c_TMAP2IN)-(c_TMAP1IN)),2))+2147483648,4294967296)-2147483648,((c_TMAP2IN)-(c_TMAP1IN))*(((A636)-(c_TMAP1IN))*((c_TMAP2OUT)-(c_TMAP1OUT))+IF(((c_TMAP2OUT)-(c_TMAP1OUT))&gt;=0,1,-1)*QUOTIENT(((c_TMAP2IN)-(c_TMAP1IN)),2)))&lt;0,-1,0),IF(IF(o_WRAP=1,MOD(((c_TMAP2IN)-(c_TMAP1IN))*(((A636)-(c_TMAP1IN))*((c_TMAP2OUT)-(c_TMAP1OUT))+IF(((c_TMAP2OUT)-(c_TMAP1OUT))&gt;=0,1,-1)*QUOTIENT(((c_TMAP2IN)-(c_TMAP1IN)),2))+2147483648,4294967296)-2147483648,((c_TMAP2IN)-(c_TMAP1IN))*(((A636)-(c_TMAP1IN))*((c_TMAP2OUT)-(c_TMAP1OUT))+IF(((c_TMAP2OUT)-(c_TMAP1OUT))&gt;=0,1,-1)*QUOTIENT(((c_TMAP2IN)-(c_TMAP1IN)),2)))&gt;=0,1,0)))</f>
        <v>282</v>
      </c>
      <c r="F636" s="7" t="n">
        <f aca="false">IF(((c_TMAP3IN)-(c_TMAP2IN))=0,(c_TMAP2OUT)+QUOTIENT(((c_TMAP3OUT)-(c_TMAP2OUT)),2),QUOTIENT((((A636)-(c_TMAP2IN))*((c_TMAP3OUT)-(c_TMAP2OUT))+IF(((c_TMAP3OUT)-(c_TMAP2OUT))&gt;=0,1,-1)*QUOTIENT(((c_TMAP3IN)-(c_TMAP2IN)),2)),((c_TMAP3IN)-(c_TMAP2IN)))+(c_TMAP2OUT)+IF(((c_TMAP3OUT)-(c_TMAP2OUT))&gt;=0,IF(IF(o_WRAP=1,MOD(((c_TMAP3IN)-(c_TMAP2IN))*(((A636)-(c_TMAP2IN))*((c_TMAP3OUT)-(c_TMAP2OUT))+IF(((c_TMAP3OUT)-(c_TMAP2OUT))&gt;=0,1,-1)*QUOTIENT(((c_TMAP3IN)-(c_TMAP2IN)),2))+2147483648,4294967296)-2147483648,((c_TMAP3IN)-(c_TMAP2IN))*(((A636)-(c_TMAP2IN))*((c_TMAP3OUT)-(c_TMAP2OUT))+IF(((c_TMAP3OUT)-(c_TMAP2OUT))&gt;=0,1,-1)*QUOTIENT(((c_TMAP3IN)-(c_TMAP2IN)),2)))&lt;0,-1,0),IF(IF(o_WRAP=1,MOD(((c_TMAP3IN)-(c_TMAP2IN))*(((A636)-(c_TMAP2IN))*((c_TMAP3OUT)-(c_TMAP2OUT))+IF(((c_TMAP3OUT)-(c_TMAP2OUT))&gt;=0,1,-1)*QUOTIENT(((c_TMAP3IN)-(c_TMAP2IN)),2))+2147483648,4294967296)-2147483648,((c_TMAP3IN)-(c_TMAP2IN))*(((A636)-(c_TMAP2IN))*((c_TMAP3OUT)-(c_TMAP2OUT))+IF(((c_TMAP3OUT)-(c_TMAP2OUT))&gt;=0,1,-1)*QUOTIENT(((c_TMAP3IN)-(c_TMAP2IN)),2)))&gt;=0,1,0)))</f>
        <v>397</v>
      </c>
      <c r="G636" s="7" t="n">
        <f aca="false">IF(((1000)-(c_TMAP3IN))=0,(c_TMAP3OUT)+QUOTIENT(((1000)-(c_TMAP3OUT)),2),QUOTIENT((((A636)-(c_TMAP3IN))*((1000)-(c_TMAP3OUT))+IF(((1000)-(c_TMAP3OUT))&gt;=0,1,-1)*QUOTIENT(((1000)-(c_TMAP3IN)),2)),((1000)-(c_TMAP3IN)))+(c_TMAP3OUT)+IF(((1000)-(c_TMAP3OUT))&gt;=0,IF(IF(o_WRAP=1,MOD(((1000)-(c_TMAP3IN))*(((A636)-(c_TMAP3IN))*((1000)-(c_TMAP3OUT))+IF(((1000)-(c_TMAP3OUT))&gt;=0,1,-1)*QUOTIENT(((1000)-(c_TMAP3IN)),2))+2147483648,4294967296)-2147483648,((1000)-(c_TMAP3IN))*(((A636)-(c_TMAP3IN))*((1000)-(c_TMAP3OUT))+IF(((1000)-(c_TMAP3OUT))&gt;=0,1,-1)*QUOTIENT(((1000)-(c_TMAP3IN)),2)))&lt;0,-1,0),IF(IF(o_WRAP=1,MOD(((1000)-(c_TMAP3IN))*(((A636)-(c_TMAP3IN))*((1000)-(c_TMAP3OUT))+IF(((1000)-(c_TMAP3OUT))&gt;=0,1,-1)*QUOTIENT(((1000)-(c_TMAP3IN)),2))+2147483648,4294967296)-2147483648,((1000)-(c_TMAP3IN))*(((A636)-(c_TMAP3IN))*((1000)-(c_TMAP3OUT))+IF(((1000)-(c_TMAP3OUT))&gt;=0,1,-1)*QUOTIENT(((1000)-(c_TMAP3IN)),2)))&gt;=0,1,0)))</f>
        <v>546</v>
      </c>
      <c r="H636" s="7" t="str">
        <f aca="false">IF(A636&gt;=c_TFWD,IF(AND(A636&gt;=c_TMAP3IN,c_TMAP3IN&lt;1000),"Seg4 map3-100%",IF(AND(A636&gt;=c_TMAP2IN,c_TMAP3IN&gt;c_TMAP2IN),"Seg3 map2-map3",IF(AND(A636&gt;=c_TMAP1IN,c_TMAP2IN&gt;c_TMAP1IN),"Seg2 map1-map2","Seg1 TFWD-map1"))),IF(AND(A636=0,c_TCREEP&gt;0),"Creep",IF(AND(A636&lt;=c_TRNGMIN,A636&gt;=c_TRNGMAX,c_TRNGMIN-c_TRNGMAX&lt;&gt;0),"Regen ramp","Coast (0)")))</f>
        <v>Seg4 map3-100%</v>
      </c>
      <c r="I636" s="7" t="n">
        <f aca="false">IF(A636&gt;=c_TFWD,IF(AND(A636&gt;=c_TMAP3IN,c_TMAP3IN&lt;1000),G636,IF(AND(A636&gt;=c_TMAP2IN,c_TMAP3IN&gt;c_TMAP2IN),F636,IF(AND(A636&gt;=c_TMAP1IN,c_TMAP2IN&gt;c_TMAP1IN),E636,D636))),C636)</f>
        <v>546</v>
      </c>
      <c r="J636" s="7" t="str">
        <f aca="false">IF(I636&lt;-1090,"TOO LOW",IF(I636&gt;1090,"TOO HIGH",""))</f>
        <v/>
      </c>
      <c r="K636" s="15" t="n">
        <f aca="false">IF(J636&lt;&gt;"",0,IF(I636&gt;979,1000,I636))</f>
        <v>546</v>
      </c>
      <c r="L636" s="7" t="n">
        <f aca="false">K636/10</f>
        <v>54.6</v>
      </c>
    </row>
    <row r="637" customFormat="false" ht="15" hidden="false" customHeight="false" outlineLevel="0" collapsed="false">
      <c r="A637" s="7" t="n">
        <v>632</v>
      </c>
      <c r="B637" s="7" t="n">
        <f aca="false">A637/10</f>
        <v>63.2</v>
      </c>
      <c r="C637" s="7" t="n">
        <f aca="false">IF(AND(A637=0,c_TCREEP&gt;0),10*c_TCREEP,IF(AND(A637&lt;=c_TRNGMIN,A637&gt;=c_TRNGMAX,c_TRNGMIN-c_TRNGMAX&lt;&gt;0),-10*c_TMINRN+QUOTIENT((c_TMAXRN-c_TMINRN)*(100-QUOTIENT((A637-c_TRNGMAX)*100,c_TRNGMIN-c_TRNGMAX)),-10),0))</f>
        <v>0</v>
      </c>
      <c r="D637" s="7" t="n">
        <f aca="false">IF(((c_TMAP1IN)-(c_TFWD))=0,(0)+QUOTIENT(((c_TMAP1OUT)-(0)),2),QUOTIENT((((A637)-(c_TFWD))*((c_TMAP1OUT)-(0))+IF(((c_TMAP1OUT)-(0))&gt;=0,1,-1)*QUOTIENT(((c_TMAP1IN)-(c_TFWD)),2)),((c_TMAP1IN)-(c_TFWD)))+(0)+IF(((c_TMAP1OUT)-(0))&gt;=0,IF(IF(o_WRAP=1,MOD(((c_TMAP1IN)-(c_TFWD))*(((A637)-(c_TFWD))*((c_TMAP1OUT)-(0))+IF(((c_TMAP1OUT)-(0))&gt;=0,1,-1)*QUOTIENT(((c_TMAP1IN)-(c_TFWD)),2))+2147483648,4294967296)-2147483648,((c_TMAP1IN)-(c_TFWD))*(((A637)-(c_TFWD))*((c_TMAP1OUT)-(0))+IF(((c_TMAP1OUT)-(0))&gt;=0,1,-1)*QUOTIENT(((c_TMAP1IN)-(c_TFWD)),2)))&lt;0,-1,0),IF(IF(o_WRAP=1,MOD(((c_TMAP1IN)-(c_TFWD))*(((A637)-(c_TFWD))*((c_TMAP1OUT)-(0))+IF(((c_TMAP1OUT)-(0))&gt;=0,1,-1)*QUOTIENT(((c_TMAP1IN)-(c_TFWD)),2))+2147483648,4294967296)-2147483648,((c_TMAP1IN)-(c_TFWD))*(((A637)-(c_TFWD))*((c_TMAP1OUT)-(0))+IF(((c_TMAP1OUT)-(0))&gt;=0,1,-1)*QUOTIENT(((c_TMAP1IN)-(c_TFWD)),2)))&gt;=0,1,0)))</f>
        <v>484</v>
      </c>
      <c r="E637" s="7" t="n">
        <f aca="false">IF(((c_TMAP2IN)-(c_TMAP1IN))=0,(c_TMAP1OUT)+QUOTIENT(((c_TMAP2OUT)-(c_TMAP1OUT)),2),QUOTIENT((((A637)-(c_TMAP1IN))*((c_TMAP2OUT)-(c_TMAP1OUT))+IF(((c_TMAP2OUT)-(c_TMAP1OUT))&gt;=0,1,-1)*QUOTIENT(((c_TMAP2IN)-(c_TMAP1IN)),2)),((c_TMAP2IN)-(c_TMAP1IN)))+(c_TMAP1OUT)+IF(((c_TMAP2OUT)-(c_TMAP1OUT))&gt;=0,IF(IF(o_WRAP=1,MOD(((c_TMAP2IN)-(c_TMAP1IN))*(((A637)-(c_TMAP1IN))*((c_TMAP2OUT)-(c_TMAP1OUT))+IF(((c_TMAP2OUT)-(c_TMAP1OUT))&gt;=0,1,-1)*QUOTIENT(((c_TMAP2IN)-(c_TMAP1IN)),2))+2147483648,4294967296)-2147483648,((c_TMAP2IN)-(c_TMAP1IN))*(((A637)-(c_TMAP1IN))*((c_TMAP2OUT)-(c_TMAP1OUT))+IF(((c_TMAP2OUT)-(c_TMAP1OUT))&gt;=0,1,-1)*QUOTIENT(((c_TMAP2IN)-(c_TMAP1IN)),2)))&lt;0,-1,0),IF(IF(o_WRAP=1,MOD(((c_TMAP2IN)-(c_TMAP1IN))*(((A637)-(c_TMAP1IN))*((c_TMAP2OUT)-(c_TMAP1OUT))+IF(((c_TMAP2OUT)-(c_TMAP1OUT))&gt;=0,1,-1)*QUOTIENT(((c_TMAP2IN)-(c_TMAP1IN)),2))+2147483648,4294967296)-2147483648,((c_TMAP2IN)-(c_TMAP1IN))*(((A637)-(c_TMAP1IN))*((c_TMAP2OUT)-(c_TMAP1OUT))+IF(((c_TMAP2OUT)-(c_TMAP1OUT))&gt;=0,1,-1)*QUOTIENT(((c_TMAP2IN)-(c_TMAP1IN)),2)))&gt;=0,1,0)))</f>
        <v>283</v>
      </c>
      <c r="F637" s="7" t="n">
        <f aca="false">IF(((c_TMAP3IN)-(c_TMAP2IN))=0,(c_TMAP2OUT)+QUOTIENT(((c_TMAP3OUT)-(c_TMAP2OUT)),2),QUOTIENT((((A637)-(c_TMAP2IN))*((c_TMAP3OUT)-(c_TMAP2OUT))+IF(((c_TMAP3OUT)-(c_TMAP2OUT))&gt;=0,1,-1)*QUOTIENT(((c_TMAP3IN)-(c_TMAP2IN)),2)),((c_TMAP3IN)-(c_TMAP2IN)))+(c_TMAP2OUT)+IF(((c_TMAP3OUT)-(c_TMAP2OUT))&gt;=0,IF(IF(o_WRAP=1,MOD(((c_TMAP3IN)-(c_TMAP2IN))*(((A637)-(c_TMAP2IN))*((c_TMAP3OUT)-(c_TMAP2OUT))+IF(((c_TMAP3OUT)-(c_TMAP2OUT))&gt;=0,1,-1)*QUOTIENT(((c_TMAP3IN)-(c_TMAP2IN)),2))+2147483648,4294967296)-2147483648,((c_TMAP3IN)-(c_TMAP2IN))*(((A637)-(c_TMAP2IN))*((c_TMAP3OUT)-(c_TMAP2OUT))+IF(((c_TMAP3OUT)-(c_TMAP2OUT))&gt;=0,1,-1)*QUOTIENT(((c_TMAP3IN)-(c_TMAP2IN)),2)))&lt;0,-1,0),IF(IF(o_WRAP=1,MOD(((c_TMAP3IN)-(c_TMAP2IN))*(((A637)-(c_TMAP2IN))*((c_TMAP3OUT)-(c_TMAP2OUT))+IF(((c_TMAP3OUT)-(c_TMAP2OUT))&gt;=0,1,-1)*QUOTIENT(((c_TMAP3IN)-(c_TMAP2IN)),2))+2147483648,4294967296)-2147483648,((c_TMAP3IN)-(c_TMAP2IN))*(((A637)-(c_TMAP2IN))*((c_TMAP3OUT)-(c_TMAP2OUT))+IF(((c_TMAP3OUT)-(c_TMAP2OUT))&gt;=0,1,-1)*QUOTIENT(((c_TMAP3IN)-(c_TMAP2IN)),2)))&gt;=0,1,0)))</f>
        <v>397</v>
      </c>
      <c r="G637" s="7" t="n">
        <f aca="false">IF(((1000)-(c_TMAP3IN))=0,(c_TMAP3OUT)+QUOTIENT(((1000)-(c_TMAP3OUT)),2),QUOTIENT((((A637)-(c_TMAP3IN))*((1000)-(c_TMAP3OUT))+IF(((1000)-(c_TMAP3OUT))&gt;=0,1,-1)*QUOTIENT(((1000)-(c_TMAP3IN)),2)),((1000)-(c_TMAP3IN)))+(c_TMAP3OUT)+IF(((1000)-(c_TMAP3OUT))&gt;=0,IF(IF(o_WRAP=1,MOD(((1000)-(c_TMAP3IN))*(((A637)-(c_TMAP3IN))*((1000)-(c_TMAP3OUT))+IF(((1000)-(c_TMAP3OUT))&gt;=0,1,-1)*QUOTIENT(((1000)-(c_TMAP3IN)),2))+2147483648,4294967296)-2147483648,((1000)-(c_TMAP3IN))*(((A637)-(c_TMAP3IN))*((1000)-(c_TMAP3OUT))+IF(((1000)-(c_TMAP3OUT))&gt;=0,1,-1)*QUOTIENT(((1000)-(c_TMAP3IN)),2)))&lt;0,-1,0),IF(IF(o_WRAP=1,MOD(((1000)-(c_TMAP3IN))*(((A637)-(c_TMAP3IN))*((1000)-(c_TMAP3OUT))+IF(((1000)-(c_TMAP3OUT))&gt;=0,1,-1)*QUOTIENT(((1000)-(c_TMAP3IN)),2))+2147483648,4294967296)-2147483648,((1000)-(c_TMAP3IN))*(((A637)-(c_TMAP3IN))*((1000)-(c_TMAP3OUT))+IF(((1000)-(c_TMAP3OUT))&gt;=0,1,-1)*QUOTIENT(((1000)-(c_TMAP3IN)),2)))&gt;=0,1,0)))</f>
        <v>547</v>
      </c>
      <c r="H637" s="7" t="str">
        <f aca="false">IF(A637&gt;=c_TFWD,IF(AND(A637&gt;=c_TMAP3IN,c_TMAP3IN&lt;1000),"Seg4 map3-100%",IF(AND(A637&gt;=c_TMAP2IN,c_TMAP3IN&gt;c_TMAP2IN),"Seg3 map2-map3",IF(AND(A637&gt;=c_TMAP1IN,c_TMAP2IN&gt;c_TMAP1IN),"Seg2 map1-map2","Seg1 TFWD-map1"))),IF(AND(A637=0,c_TCREEP&gt;0),"Creep",IF(AND(A637&lt;=c_TRNGMIN,A637&gt;=c_TRNGMAX,c_TRNGMIN-c_TRNGMAX&lt;&gt;0),"Regen ramp","Coast (0)")))</f>
        <v>Seg4 map3-100%</v>
      </c>
      <c r="I637" s="7" t="n">
        <f aca="false">IF(A637&gt;=c_TFWD,IF(AND(A637&gt;=c_TMAP3IN,c_TMAP3IN&lt;1000),G637,IF(AND(A637&gt;=c_TMAP2IN,c_TMAP3IN&gt;c_TMAP2IN),F637,IF(AND(A637&gt;=c_TMAP1IN,c_TMAP2IN&gt;c_TMAP1IN),E637,D637))),C637)</f>
        <v>547</v>
      </c>
      <c r="J637" s="7" t="str">
        <f aca="false">IF(I637&lt;-1090,"TOO LOW",IF(I637&gt;1090,"TOO HIGH",""))</f>
        <v/>
      </c>
      <c r="K637" s="15" t="n">
        <f aca="false">IF(J637&lt;&gt;"",0,IF(I637&gt;979,1000,I637))</f>
        <v>547</v>
      </c>
      <c r="L637" s="7" t="n">
        <f aca="false">K637/10</f>
        <v>54.7</v>
      </c>
    </row>
    <row r="638" customFormat="false" ht="15" hidden="false" customHeight="false" outlineLevel="0" collapsed="false">
      <c r="A638" s="7" t="n">
        <v>633</v>
      </c>
      <c r="B638" s="7" t="n">
        <f aca="false">A638/10</f>
        <v>63.3</v>
      </c>
      <c r="C638" s="7" t="n">
        <f aca="false">IF(AND(A638=0,c_TCREEP&gt;0),10*c_TCREEP,IF(AND(A638&lt;=c_TRNGMIN,A638&gt;=c_TRNGMAX,c_TRNGMIN-c_TRNGMAX&lt;&gt;0),-10*c_TMINRN+QUOTIENT((c_TMAXRN-c_TMINRN)*(100-QUOTIENT((A638-c_TRNGMAX)*100,c_TRNGMIN-c_TRNGMAX)),-10),0))</f>
        <v>0</v>
      </c>
      <c r="D638" s="7" t="n">
        <f aca="false">IF(((c_TMAP1IN)-(c_TFWD))=0,(0)+QUOTIENT(((c_TMAP1OUT)-(0)),2),QUOTIENT((((A638)-(c_TFWD))*((c_TMAP1OUT)-(0))+IF(((c_TMAP1OUT)-(0))&gt;=0,1,-1)*QUOTIENT(((c_TMAP1IN)-(c_TFWD)),2)),((c_TMAP1IN)-(c_TFWD)))+(0)+IF(((c_TMAP1OUT)-(0))&gt;=0,IF(IF(o_WRAP=1,MOD(((c_TMAP1IN)-(c_TFWD))*(((A638)-(c_TFWD))*((c_TMAP1OUT)-(0))+IF(((c_TMAP1OUT)-(0))&gt;=0,1,-1)*QUOTIENT(((c_TMAP1IN)-(c_TFWD)),2))+2147483648,4294967296)-2147483648,((c_TMAP1IN)-(c_TFWD))*(((A638)-(c_TFWD))*((c_TMAP1OUT)-(0))+IF(((c_TMAP1OUT)-(0))&gt;=0,1,-1)*QUOTIENT(((c_TMAP1IN)-(c_TFWD)),2)))&lt;0,-1,0),IF(IF(o_WRAP=1,MOD(((c_TMAP1IN)-(c_TFWD))*(((A638)-(c_TFWD))*((c_TMAP1OUT)-(0))+IF(((c_TMAP1OUT)-(0))&gt;=0,1,-1)*QUOTIENT(((c_TMAP1IN)-(c_TFWD)),2))+2147483648,4294967296)-2147483648,((c_TMAP1IN)-(c_TFWD))*(((A638)-(c_TFWD))*((c_TMAP1OUT)-(0))+IF(((c_TMAP1OUT)-(0))&gt;=0,1,-1)*QUOTIENT(((c_TMAP1IN)-(c_TFWD)),2)))&gt;=0,1,0)))</f>
        <v>485</v>
      </c>
      <c r="E638" s="7" t="n">
        <f aca="false">IF(((c_TMAP2IN)-(c_TMAP1IN))=0,(c_TMAP1OUT)+QUOTIENT(((c_TMAP2OUT)-(c_TMAP1OUT)),2),QUOTIENT((((A638)-(c_TMAP1IN))*((c_TMAP2OUT)-(c_TMAP1OUT))+IF(((c_TMAP2OUT)-(c_TMAP1OUT))&gt;=0,1,-1)*QUOTIENT(((c_TMAP2IN)-(c_TMAP1IN)),2)),((c_TMAP2IN)-(c_TMAP1IN)))+(c_TMAP1OUT)+IF(((c_TMAP2OUT)-(c_TMAP1OUT))&gt;=0,IF(IF(o_WRAP=1,MOD(((c_TMAP2IN)-(c_TMAP1IN))*(((A638)-(c_TMAP1IN))*((c_TMAP2OUT)-(c_TMAP1OUT))+IF(((c_TMAP2OUT)-(c_TMAP1OUT))&gt;=0,1,-1)*QUOTIENT(((c_TMAP2IN)-(c_TMAP1IN)),2))+2147483648,4294967296)-2147483648,((c_TMAP2IN)-(c_TMAP1IN))*(((A638)-(c_TMAP1IN))*((c_TMAP2OUT)-(c_TMAP1OUT))+IF(((c_TMAP2OUT)-(c_TMAP1OUT))&gt;=0,1,-1)*QUOTIENT(((c_TMAP2IN)-(c_TMAP1IN)),2)))&lt;0,-1,0),IF(IF(o_WRAP=1,MOD(((c_TMAP2IN)-(c_TMAP1IN))*(((A638)-(c_TMAP1IN))*((c_TMAP2OUT)-(c_TMAP1OUT))+IF(((c_TMAP2OUT)-(c_TMAP1OUT))&gt;=0,1,-1)*QUOTIENT(((c_TMAP2IN)-(c_TMAP1IN)),2))+2147483648,4294967296)-2147483648,((c_TMAP2IN)-(c_TMAP1IN))*(((A638)-(c_TMAP1IN))*((c_TMAP2OUT)-(c_TMAP1OUT))+IF(((c_TMAP2OUT)-(c_TMAP1OUT))&gt;=0,1,-1)*QUOTIENT(((c_TMAP2IN)-(c_TMAP1IN)),2)))&gt;=0,1,0)))</f>
        <v>283</v>
      </c>
      <c r="F638" s="7" t="n">
        <f aca="false">IF(((c_TMAP3IN)-(c_TMAP2IN))=0,(c_TMAP2OUT)+QUOTIENT(((c_TMAP3OUT)-(c_TMAP2OUT)),2),QUOTIENT((((A638)-(c_TMAP2IN))*((c_TMAP3OUT)-(c_TMAP2OUT))+IF(((c_TMAP3OUT)-(c_TMAP2OUT))&gt;=0,1,-1)*QUOTIENT(((c_TMAP3IN)-(c_TMAP2IN)),2)),((c_TMAP3IN)-(c_TMAP2IN)))+(c_TMAP2OUT)+IF(((c_TMAP3OUT)-(c_TMAP2OUT))&gt;=0,IF(IF(o_WRAP=1,MOD(((c_TMAP3IN)-(c_TMAP2IN))*(((A638)-(c_TMAP2IN))*((c_TMAP3OUT)-(c_TMAP2OUT))+IF(((c_TMAP3OUT)-(c_TMAP2OUT))&gt;=0,1,-1)*QUOTIENT(((c_TMAP3IN)-(c_TMAP2IN)),2))+2147483648,4294967296)-2147483648,((c_TMAP3IN)-(c_TMAP2IN))*(((A638)-(c_TMAP2IN))*((c_TMAP3OUT)-(c_TMAP2OUT))+IF(((c_TMAP3OUT)-(c_TMAP2OUT))&gt;=0,1,-1)*QUOTIENT(((c_TMAP3IN)-(c_TMAP2IN)),2)))&lt;0,-1,0),IF(IF(o_WRAP=1,MOD(((c_TMAP3IN)-(c_TMAP2IN))*(((A638)-(c_TMAP2IN))*((c_TMAP3OUT)-(c_TMAP2OUT))+IF(((c_TMAP3OUT)-(c_TMAP2OUT))&gt;=0,1,-1)*QUOTIENT(((c_TMAP3IN)-(c_TMAP2IN)),2))+2147483648,4294967296)-2147483648,((c_TMAP3IN)-(c_TMAP2IN))*(((A638)-(c_TMAP2IN))*((c_TMAP3OUT)-(c_TMAP2OUT))+IF(((c_TMAP3OUT)-(c_TMAP2OUT))&gt;=0,1,-1)*QUOTIENT(((c_TMAP3IN)-(c_TMAP2IN)),2)))&gt;=0,1,0)))</f>
        <v>398</v>
      </c>
      <c r="G638" s="7" t="n">
        <f aca="false">IF(((1000)-(c_TMAP3IN))=0,(c_TMAP3OUT)+QUOTIENT(((1000)-(c_TMAP3OUT)),2),QUOTIENT((((A638)-(c_TMAP3IN))*((1000)-(c_TMAP3OUT))+IF(((1000)-(c_TMAP3OUT))&gt;=0,1,-1)*QUOTIENT(((1000)-(c_TMAP3IN)),2)),((1000)-(c_TMAP3IN)))+(c_TMAP3OUT)+IF(((1000)-(c_TMAP3OUT))&gt;=0,IF(IF(o_WRAP=1,MOD(((1000)-(c_TMAP3IN))*(((A638)-(c_TMAP3IN))*((1000)-(c_TMAP3OUT))+IF(((1000)-(c_TMAP3OUT))&gt;=0,1,-1)*QUOTIENT(((1000)-(c_TMAP3IN)),2))+2147483648,4294967296)-2147483648,((1000)-(c_TMAP3IN))*(((A638)-(c_TMAP3IN))*((1000)-(c_TMAP3OUT))+IF(((1000)-(c_TMAP3OUT))&gt;=0,1,-1)*QUOTIENT(((1000)-(c_TMAP3IN)),2)))&lt;0,-1,0),IF(IF(o_WRAP=1,MOD(((1000)-(c_TMAP3IN))*(((A638)-(c_TMAP3IN))*((1000)-(c_TMAP3OUT))+IF(((1000)-(c_TMAP3OUT))&gt;=0,1,-1)*QUOTIENT(((1000)-(c_TMAP3IN)),2))+2147483648,4294967296)-2147483648,((1000)-(c_TMAP3IN))*(((A638)-(c_TMAP3IN))*((1000)-(c_TMAP3OUT))+IF(((1000)-(c_TMAP3OUT))&gt;=0,1,-1)*QUOTIENT(((1000)-(c_TMAP3IN)),2)))&gt;=0,1,0)))</f>
        <v>548</v>
      </c>
      <c r="H638" s="7" t="str">
        <f aca="false">IF(A638&gt;=c_TFWD,IF(AND(A638&gt;=c_TMAP3IN,c_TMAP3IN&lt;1000),"Seg4 map3-100%",IF(AND(A638&gt;=c_TMAP2IN,c_TMAP3IN&gt;c_TMAP2IN),"Seg3 map2-map3",IF(AND(A638&gt;=c_TMAP1IN,c_TMAP2IN&gt;c_TMAP1IN),"Seg2 map1-map2","Seg1 TFWD-map1"))),IF(AND(A638=0,c_TCREEP&gt;0),"Creep",IF(AND(A638&lt;=c_TRNGMIN,A638&gt;=c_TRNGMAX,c_TRNGMIN-c_TRNGMAX&lt;&gt;0),"Regen ramp","Coast (0)")))</f>
        <v>Seg4 map3-100%</v>
      </c>
      <c r="I638" s="7" t="n">
        <f aca="false">IF(A638&gt;=c_TFWD,IF(AND(A638&gt;=c_TMAP3IN,c_TMAP3IN&lt;1000),G638,IF(AND(A638&gt;=c_TMAP2IN,c_TMAP3IN&gt;c_TMAP2IN),F638,IF(AND(A638&gt;=c_TMAP1IN,c_TMAP2IN&gt;c_TMAP1IN),E638,D638))),C638)</f>
        <v>548</v>
      </c>
      <c r="J638" s="7" t="str">
        <f aca="false">IF(I638&lt;-1090,"TOO LOW",IF(I638&gt;1090,"TOO HIGH",""))</f>
        <v/>
      </c>
      <c r="K638" s="15" t="n">
        <f aca="false">IF(J638&lt;&gt;"",0,IF(I638&gt;979,1000,I638))</f>
        <v>548</v>
      </c>
      <c r="L638" s="7" t="n">
        <f aca="false">K638/10</f>
        <v>54.8</v>
      </c>
    </row>
    <row r="639" customFormat="false" ht="15" hidden="false" customHeight="false" outlineLevel="0" collapsed="false">
      <c r="A639" s="7" t="n">
        <v>634</v>
      </c>
      <c r="B639" s="7" t="n">
        <f aca="false">A639/10</f>
        <v>63.4</v>
      </c>
      <c r="C639" s="7" t="n">
        <f aca="false">IF(AND(A639=0,c_TCREEP&gt;0),10*c_TCREEP,IF(AND(A639&lt;=c_TRNGMIN,A639&gt;=c_TRNGMAX,c_TRNGMIN-c_TRNGMAX&lt;&gt;0),-10*c_TMINRN+QUOTIENT((c_TMAXRN-c_TMINRN)*(100-QUOTIENT((A639-c_TRNGMAX)*100,c_TRNGMIN-c_TRNGMAX)),-10),0))</f>
        <v>0</v>
      </c>
      <c r="D639" s="7" t="n">
        <f aca="false">IF(((c_TMAP1IN)-(c_TFWD))=0,(0)+QUOTIENT(((c_TMAP1OUT)-(0)),2),QUOTIENT((((A639)-(c_TFWD))*((c_TMAP1OUT)-(0))+IF(((c_TMAP1OUT)-(0))&gt;=0,1,-1)*QUOTIENT(((c_TMAP1IN)-(c_TFWD)),2)),((c_TMAP1IN)-(c_TFWD)))+(0)+IF(((c_TMAP1OUT)-(0))&gt;=0,IF(IF(o_WRAP=1,MOD(((c_TMAP1IN)-(c_TFWD))*(((A639)-(c_TFWD))*((c_TMAP1OUT)-(0))+IF(((c_TMAP1OUT)-(0))&gt;=0,1,-1)*QUOTIENT(((c_TMAP1IN)-(c_TFWD)),2))+2147483648,4294967296)-2147483648,((c_TMAP1IN)-(c_TFWD))*(((A639)-(c_TFWD))*((c_TMAP1OUT)-(0))+IF(((c_TMAP1OUT)-(0))&gt;=0,1,-1)*QUOTIENT(((c_TMAP1IN)-(c_TFWD)),2)))&lt;0,-1,0),IF(IF(o_WRAP=1,MOD(((c_TMAP1IN)-(c_TFWD))*(((A639)-(c_TFWD))*((c_TMAP1OUT)-(0))+IF(((c_TMAP1OUT)-(0))&gt;=0,1,-1)*QUOTIENT(((c_TMAP1IN)-(c_TFWD)),2))+2147483648,4294967296)-2147483648,((c_TMAP1IN)-(c_TFWD))*(((A639)-(c_TFWD))*((c_TMAP1OUT)-(0))+IF(((c_TMAP1OUT)-(0))&gt;=0,1,-1)*QUOTIENT(((c_TMAP1IN)-(c_TFWD)),2)))&gt;=0,1,0)))</f>
        <v>485</v>
      </c>
      <c r="E639" s="7" t="n">
        <f aca="false">IF(((c_TMAP2IN)-(c_TMAP1IN))=0,(c_TMAP1OUT)+QUOTIENT(((c_TMAP2OUT)-(c_TMAP1OUT)),2),QUOTIENT((((A639)-(c_TMAP1IN))*((c_TMAP2OUT)-(c_TMAP1OUT))+IF(((c_TMAP2OUT)-(c_TMAP1OUT))&gt;=0,1,-1)*QUOTIENT(((c_TMAP2IN)-(c_TMAP1IN)),2)),((c_TMAP2IN)-(c_TMAP1IN)))+(c_TMAP1OUT)+IF(((c_TMAP2OUT)-(c_TMAP1OUT))&gt;=0,IF(IF(o_WRAP=1,MOD(((c_TMAP2IN)-(c_TMAP1IN))*(((A639)-(c_TMAP1IN))*((c_TMAP2OUT)-(c_TMAP1OUT))+IF(((c_TMAP2OUT)-(c_TMAP1OUT))&gt;=0,1,-1)*QUOTIENT(((c_TMAP2IN)-(c_TMAP1IN)),2))+2147483648,4294967296)-2147483648,((c_TMAP2IN)-(c_TMAP1IN))*(((A639)-(c_TMAP1IN))*((c_TMAP2OUT)-(c_TMAP1OUT))+IF(((c_TMAP2OUT)-(c_TMAP1OUT))&gt;=0,1,-1)*QUOTIENT(((c_TMAP2IN)-(c_TMAP1IN)),2)))&lt;0,-1,0),IF(IF(o_WRAP=1,MOD(((c_TMAP2IN)-(c_TMAP1IN))*(((A639)-(c_TMAP1IN))*((c_TMAP2OUT)-(c_TMAP1OUT))+IF(((c_TMAP2OUT)-(c_TMAP1OUT))&gt;=0,1,-1)*QUOTIENT(((c_TMAP2IN)-(c_TMAP1IN)),2))+2147483648,4294967296)-2147483648,((c_TMAP2IN)-(c_TMAP1IN))*(((A639)-(c_TMAP1IN))*((c_TMAP2OUT)-(c_TMAP1OUT))+IF(((c_TMAP2OUT)-(c_TMAP1OUT))&gt;=0,1,-1)*QUOTIENT(((c_TMAP2IN)-(c_TMAP1IN)),2)))&gt;=0,1,0)))</f>
        <v>284</v>
      </c>
      <c r="F639" s="7" t="n">
        <f aca="false">IF(((c_TMAP3IN)-(c_TMAP2IN))=0,(c_TMAP2OUT)+QUOTIENT(((c_TMAP3OUT)-(c_TMAP2OUT)),2),QUOTIENT((((A639)-(c_TMAP2IN))*((c_TMAP3OUT)-(c_TMAP2OUT))+IF(((c_TMAP3OUT)-(c_TMAP2OUT))&gt;=0,1,-1)*QUOTIENT(((c_TMAP3IN)-(c_TMAP2IN)),2)),((c_TMAP3IN)-(c_TMAP2IN)))+(c_TMAP2OUT)+IF(((c_TMAP3OUT)-(c_TMAP2OUT))&gt;=0,IF(IF(o_WRAP=1,MOD(((c_TMAP3IN)-(c_TMAP2IN))*(((A639)-(c_TMAP2IN))*((c_TMAP3OUT)-(c_TMAP2OUT))+IF(((c_TMAP3OUT)-(c_TMAP2OUT))&gt;=0,1,-1)*QUOTIENT(((c_TMAP3IN)-(c_TMAP2IN)),2))+2147483648,4294967296)-2147483648,((c_TMAP3IN)-(c_TMAP2IN))*(((A639)-(c_TMAP2IN))*((c_TMAP3OUT)-(c_TMAP2OUT))+IF(((c_TMAP3OUT)-(c_TMAP2OUT))&gt;=0,1,-1)*QUOTIENT(((c_TMAP3IN)-(c_TMAP2IN)),2)))&lt;0,-1,0),IF(IF(o_WRAP=1,MOD(((c_TMAP3IN)-(c_TMAP2IN))*(((A639)-(c_TMAP2IN))*((c_TMAP3OUT)-(c_TMAP2OUT))+IF(((c_TMAP3OUT)-(c_TMAP2OUT))&gt;=0,1,-1)*QUOTIENT(((c_TMAP3IN)-(c_TMAP2IN)),2))+2147483648,4294967296)-2147483648,((c_TMAP3IN)-(c_TMAP2IN))*(((A639)-(c_TMAP2IN))*((c_TMAP3OUT)-(c_TMAP2OUT))+IF(((c_TMAP3OUT)-(c_TMAP2OUT))&gt;=0,1,-1)*QUOTIENT(((c_TMAP3IN)-(c_TMAP2IN)),2)))&gt;=0,1,0)))</f>
        <v>399</v>
      </c>
      <c r="G639" s="7" t="n">
        <f aca="false">IF(((1000)-(c_TMAP3IN))=0,(c_TMAP3OUT)+QUOTIENT(((1000)-(c_TMAP3OUT)),2),QUOTIENT((((A639)-(c_TMAP3IN))*((1000)-(c_TMAP3OUT))+IF(((1000)-(c_TMAP3OUT))&gt;=0,1,-1)*QUOTIENT(((1000)-(c_TMAP3IN)),2)),((1000)-(c_TMAP3IN)))+(c_TMAP3OUT)+IF(((1000)-(c_TMAP3OUT))&gt;=0,IF(IF(o_WRAP=1,MOD(((1000)-(c_TMAP3IN))*(((A639)-(c_TMAP3IN))*((1000)-(c_TMAP3OUT))+IF(((1000)-(c_TMAP3OUT))&gt;=0,1,-1)*QUOTIENT(((1000)-(c_TMAP3IN)),2))+2147483648,4294967296)-2147483648,((1000)-(c_TMAP3IN))*(((A639)-(c_TMAP3IN))*((1000)-(c_TMAP3OUT))+IF(((1000)-(c_TMAP3OUT))&gt;=0,1,-1)*QUOTIENT(((1000)-(c_TMAP3IN)),2)))&lt;0,-1,0),IF(IF(o_WRAP=1,MOD(((1000)-(c_TMAP3IN))*(((A639)-(c_TMAP3IN))*((1000)-(c_TMAP3OUT))+IF(((1000)-(c_TMAP3OUT))&gt;=0,1,-1)*QUOTIENT(((1000)-(c_TMAP3IN)),2))+2147483648,4294967296)-2147483648,((1000)-(c_TMAP3IN))*(((A639)-(c_TMAP3IN))*((1000)-(c_TMAP3OUT))+IF(((1000)-(c_TMAP3OUT))&gt;=0,1,-1)*QUOTIENT(((1000)-(c_TMAP3IN)),2)))&gt;=0,1,0)))</f>
        <v>550</v>
      </c>
      <c r="H639" s="7" t="str">
        <f aca="false">IF(A639&gt;=c_TFWD,IF(AND(A639&gt;=c_TMAP3IN,c_TMAP3IN&lt;1000),"Seg4 map3-100%",IF(AND(A639&gt;=c_TMAP2IN,c_TMAP3IN&gt;c_TMAP2IN),"Seg3 map2-map3",IF(AND(A639&gt;=c_TMAP1IN,c_TMAP2IN&gt;c_TMAP1IN),"Seg2 map1-map2","Seg1 TFWD-map1"))),IF(AND(A639=0,c_TCREEP&gt;0),"Creep",IF(AND(A639&lt;=c_TRNGMIN,A639&gt;=c_TRNGMAX,c_TRNGMIN-c_TRNGMAX&lt;&gt;0),"Regen ramp","Coast (0)")))</f>
        <v>Seg4 map3-100%</v>
      </c>
      <c r="I639" s="7" t="n">
        <f aca="false">IF(A639&gt;=c_TFWD,IF(AND(A639&gt;=c_TMAP3IN,c_TMAP3IN&lt;1000),G639,IF(AND(A639&gt;=c_TMAP2IN,c_TMAP3IN&gt;c_TMAP2IN),F639,IF(AND(A639&gt;=c_TMAP1IN,c_TMAP2IN&gt;c_TMAP1IN),E639,D639))),C639)</f>
        <v>550</v>
      </c>
      <c r="J639" s="7" t="str">
        <f aca="false">IF(I639&lt;-1090,"TOO LOW",IF(I639&gt;1090,"TOO HIGH",""))</f>
        <v/>
      </c>
      <c r="K639" s="15" t="n">
        <f aca="false">IF(J639&lt;&gt;"",0,IF(I639&gt;979,1000,I639))</f>
        <v>550</v>
      </c>
      <c r="L639" s="7" t="n">
        <f aca="false">K639/10</f>
        <v>55</v>
      </c>
    </row>
    <row r="640" customFormat="false" ht="15" hidden="false" customHeight="false" outlineLevel="0" collapsed="false">
      <c r="A640" s="7" t="n">
        <v>635</v>
      </c>
      <c r="B640" s="7" t="n">
        <f aca="false">A640/10</f>
        <v>63.5</v>
      </c>
      <c r="C640" s="7" t="n">
        <f aca="false">IF(AND(A640=0,c_TCREEP&gt;0),10*c_TCREEP,IF(AND(A640&lt;=c_TRNGMIN,A640&gt;=c_TRNGMAX,c_TRNGMIN-c_TRNGMAX&lt;&gt;0),-10*c_TMINRN+QUOTIENT((c_TMAXRN-c_TMINRN)*(100-QUOTIENT((A640-c_TRNGMAX)*100,c_TRNGMIN-c_TRNGMAX)),-10),0))</f>
        <v>0</v>
      </c>
      <c r="D640" s="7" t="n">
        <f aca="false">IF(((c_TMAP1IN)-(c_TFWD))=0,(0)+QUOTIENT(((c_TMAP1OUT)-(0)),2),QUOTIENT((((A640)-(c_TFWD))*((c_TMAP1OUT)-(0))+IF(((c_TMAP1OUT)-(0))&gt;=0,1,-1)*QUOTIENT(((c_TMAP1IN)-(c_TFWD)),2)),((c_TMAP1IN)-(c_TFWD)))+(0)+IF(((c_TMAP1OUT)-(0))&gt;=0,IF(IF(o_WRAP=1,MOD(((c_TMAP1IN)-(c_TFWD))*(((A640)-(c_TFWD))*((c_TMAP1OUT)-(0))+IF(((c_TMAP1OUT)-(0))&gt;=0,1,-1)*QUOTIENT(((c_TMAP1IN)-(c_TFWD)),2))+2147483648,4294967296)-2147483648,((c_TMAP1IN)-(c_TFWD))*(((A640)-(c_TFWD))*((c_TMAP1OUT)-(0))+IF(((c_TMAP1OUT)-(0))&gt;=0,1,-1)*QUOTIENT(((c_TMAP1IN)-(c_TFWD)),2)))&lt;0,-1,0),IF(IF(o_WRAP=1,MOD(((c_TMAP1IN)-(c_TFWD))*(((A640)-(c_TFWD))*((c_TMAP1OUT)-(0))+IF(((c_TMAP1OUT)-(0))&gt;=0,1,-1)*QUOTIENT(((c_TMAP1IN)-(c_TFWD)),2))+2147483648,4294967296)-2147483648,((c_TMAP1IN)-(c_TFWD))*(((A640)-(c_TFWD))*((c_TMAP1OUT)-(0))+IF(((c_TMAP1OUT)-(0))&gt;=0,1,-1)*QUOTIENT(((c_TMAP1IN)-(c_TFWD)),2)))&gt;=0,1,0)))</f>
        <v>486</v>
      </c>
      <c r="E640" s="7" t="n">
        <f aca="false">IF(((c_TMAP2IN)-(c_TMAP1IN))=0,(c_TMAP1OUT)+QUOTIENT(((c_TMAP2OUT)-(c_TMAP1OUT)),2),QUOTIENT((((A640)-(c_TMAP1IN))*((c_TMAP2OUT)-(c_TMAP1OUT))+IF(((c_TMAP2OUT)-(c_TMAP1OUT))&gt;=0,1,-1)*QUOTIENT(((c_TMAP2IN)-(c_TMAP1IN)),2)),((c_TMAP2IN)-(c_TMAP1IN)))+(c_TMAP1OUT)+IF(((c_TMAP2OUT)-(c_TMAP1OUT))&gt;=0,IF(IF(o_WRAP=1,MOD(((c_TMAP2IN)-(c_TMAP1IN))*(((A640)-(c_TMAP1IN))*((c_TMAP2OUT)-(c_TMAP1OUT))+IF(((c_TMAP2OUT)-(c_TMAP1OUT))&gt;=0,1,-1)*QUOTIENT(((c_TMAP2IN)-(c_TMAP1IN)),2))+2147483648,4294967296)-2147483648,((c_TMAP2IN)-(c_TMAP1IN))*(((A640)-(c_TMAP1IN))*((c_TMAP2OUT)-(c_TMAP1OUT))+IF(((c_TMAP2OUT)-(c_TMAP1OUT))&gt;=0,1,-1)*QUOTIENT(((c_TMAP2IN)-(c_TMAP1IN)),2)))&lt;0,-1,0),IF(IF(o_WRAP=1,MOD(((c_TMAP2IN)-(c_TMAP1IN))*(((A640)-(c_TMAP1IN))*((c_TMAP2OUT)-(c_TMAP1OUT))+IF(((c_TMAP2OUT)-(c_TMAP1OUT))&gt;=0,1,-1)*QUOTIENT(((c_TMAP2IN)-(c_TMAP1IN)),2))+2147483648,4294967296)-2147483648,((c_TMAP2IN)-(c_TMAP1IN))*(((A640)-(c_TMAP1IN))*((c_TMAP2OUT)-(c_TMAP1OUT))+IF(((c_TMAP2OUT)-(c_TMAP1OUT))&gt;=0,1,-1)*QUOTIENT(((c_TMAP2IN)-(c_TMAP1IN)),2)))&gt;=0,1,0)))</f>
        <v>284</v>
      </c>
      <c r="F640" s="7" t="n">
        <f aca="false">IF(((c_TMAP3IN)-(c_TMAP2IN))=0,(c_TMAP2OUT)+QUOTIENT(((c_TMAP3OUT)-(c_TMAP2OUT)),2),QUOTIENT((((A640)-(c_TMAP2IN))*((c_TMAP3OUT)-(c_TMAP2OUT))+IF(((c_TMAP3OUT)-(c_TMAP2OUT))&gt;=0,1,-1)*QUOTIENT(((c_TMAP3IN)-(c_TMAP2IN)),2)),((c_TMAP3IN)-(c_TMAP2IN)))+(c_TMAP2OUT)+IF(((c_TMAP3OUT)-(c_TMAP2OUT))&gt;=0,IF(IF(o_WRAP=1,MOD(((c_TMAP3IN)-(c_TMAP2IN))*(((A640)-(c_TMAP2IN))*((c_TMAP3OUT)-(c_TMAP2OUT))+IF(((c_TMAP3OUT)-(c_TMAP2OUT))&gt;=0,1,-1)*QUOTIENT(((c_TMAP3IN)-(c_TMAP2IN)),2))+2147483648,4294967296)-2147483648,((c_TMAP3IN)-(c_TMAP2IN))*(((A640)-(c_TMAP2IN))*((c_TMAP3OUT)-(c_TMAP2OUT))+IF(((c_TMAP3OUT)-(c_TMAP2OUT))&gt;=0,1,-1)*QUOTIENT(((c_TMAP3IN)-(c_TMAP2IN)),2)))&lt;0,-1,0),IF(IF(o_WRAP=1,MOD(((c_TMAP3IN)-(c_TMAP2IN))*(((A640)-(c_TMAP2IN))*((c_TMAP3OUT)-(c_TMAP2OUT))+IF(((c_TMAP3OUT)-(c_TMAP2OUT))&gt;=0,1,-1)*QUOTIENT(((c_TMAP3IN)-(c_TMAP2IN)),2))+2147483648,4294967296)-2147483648,((c_TMAP3IN)-(c_TMAP2IN))*(((A640)-(c_TMAP2IN))*((c_TMAP3OUT)-(c_TMAP2OUT))+IF(((c_TMAP3OUT)-(c_TMAP2OUT))&gt;=0,1,-1)*QUOTIENT(((c_TMAP3IN)-(c_TMAP2IN)),2)))&gt;=0,1,0)))</f>
        <v>400</v>
      </c>
      <c r="G640" s="7" t="n">
        <f aca="false">IF(((1000)-(c_TMAP3IN))=0,(c_TMAP3OUT)+QUOTIENT(((1000)-(c_TMAP3OUT)),2),QUOTIENT((((A640)-(c_TMAP3IN))*((1000)-(c_TMAP3OUT))+IF(((1000)-(c_TMAP3OUT))&gt;=0,1,-1)*QUOTIENT(((1000)-(c_TMAP3IN)),2)),((1000)-(c_TMAP3IN)))+(c_TMAP3OUT)+IF(((1000)-(c_TMAP3OUT))&gt;=0,IF(IF(o_WRAP=1,MOD(((1000)-(c_TMAP3IN))*(((A640)-(c_TMAP3IN))*((1000)-(c_TMAP3OUT))+IF(((1000)-(c_TMAP3OUT))&gt;=0,1,-1)*QUOTIENT(((1000)-(c_TMAP3IN)),2))+2147483648,4294967296)-2147483648,((1000)-(c_TMAP3IN))*(((A640)-(c_TMAP3IN))*((1000)-(c_TMAP3OUT))+IF(((1000)-(c_TMAP3OUT))&gt;=0,1,-1)*QUOTIENT(((1000)-(c_TMAP3IN)),2)))&lt;0,-1,0),IF(IF(o_WRAP=1,MOD(((1000)-(c_TMAP3IN))*(((A640)-(c_TMAP3IN))*((1000)-(c_TMAP3OUT))+IF(((1000)-(c_TMAP3OUT))&gt;=0,1,-1)*QUOTIENT(((1000)-(c_TMAP3IN)),2))+2147483648,4294967296)-2147483648,((1000)-(c_TMAP3IN))*(((A640)-(c_TMAP3IN))*((1000)-(c_TMAP3OUT))+IF(((1000)-(c_TMAP3OUT))&gt;=0,1,-1)*QUOTIENT(((1000)-(c_TMAP3IN)),2)))&gt;=0,1,0)))</f>
        <v>551</v>
      </c>
      <c r="H640" s="7" t="str">
        <f aca="false">IF(A640&gt;=c_TFWD,IF(AND(A640&gt;=c_TMAP3IN,c_TMAP3IN&lt;1000),"Seg4 map3-100%",IF(AND(A640&gt;=c_TMAP2IN,c_TMAP3IN&gt;c_TMAP2IN),"Seg3 map2-map3",IF(AND(A640&gt;=c_TMAP1IN,c_TMAP2IN&gt;c_TMAP1IN),"Seg2 map1-map2","Seg1 TFWD-map1"))),IF(AND(A640=0,c_TCREEP&gt;0),"Creep",IF(AND(A640&lt;=c_TRNGMIN,A640&gt;=c_TRNGMAX,c_TRNGMIN-c_TRNGMAX&lt;&gt;0),"Regen ramp","Coast (0)")))</f>
        <v>Seg4 map3-100%</v>
      </c>
      <c r="I640" s="7" t="n">
        <f aca="false">IF(A640&gt;=c_TFWD,IF(AND(A640&gt;=c_TMAP3IN,c_TMAP3IN&lt;1000),G640,IF(AND(A640&gt;=c_TMAP2IN,c_TMAP3IN&gt;c_TMAP2IN),F640,IF(AND(A640&gt;=c_TMAP1IN,c_TMAP2IN&gt;c_TMAP1IN),E640,D640))),C640)</f>
        <v>551</v>
      </c>
      <c r="J640" s="7" t="str">
        <f aca="false">IF(I640&lt;-1090,"TOO LOW",IF(I640&gt;1090,"TOO HIGH",""))</f>
        <v/>
      </c>
      <c r="K640" s="15" t="n">
        <f aca="false">IF(J640&lt;&gt;"",0,IF(I640&gt;979,1000,I640))</f>
        <v>551</v>
      </c>
      <c r="L640" s="7" t="n">
        <f aca="false">K640/10</f>
        <v>55.1</v>
      </c>
    </row>
    <row r="641" customFormat="false" ht="15" hidden="false" customHeight="false" outlineLevel="0" collapsed="false">
      <c r="A641" s="7" t="n">
        <v>636</v>
      </c>
      <c r="B641" s="7" t="n">
        <f aca="false">A641/10</f>
        <v>63.6</v>
      </c>
      <c r="C641" s="7" t="n">
        <f aca="false">IF(AND(A641=0,c_TCREEP&gt;0),10*c_TCREEP,IF(AND(A641&lt;=c_TRNGMIN,A641&gt;=c_TRNGMAX,c_TRNGMIN-c_TRNGMAX&lt;&gt;0),-10*c_TMINRN+QUOTIENT((c_TMAXRN-c_TMINRN)*(100-QUOTIENT((A641-c_TRNGMAX)*100,c_TRNGMIN-c_TRNGMAX)),-10),0))</f>
        <v>0</v>
      </c>
      <c r="D641" s="7" t="n">
        <f aca="false">IF(((c_TMAP1IN)-(c_TFWD))=0,(0)+QUOTIENT(((c_TMAP1OUT)-(0)),2),QUOTIENT((((A641)-(c_TFWD))*((c_TMAP1OUT)-(0))+IF(((c_TMAP1OUT)-(0))&gt;=0,1,-1)*QUOTIENT(((c_TMAP1IN)-(c_TFWD)),2)),((c_TMAP1IN)-(c_TFWD)))+(0)+IF(((c_TMAP1OUT)-(0))&gt;=0,IF(IF(o_WRAP=1,MOD(((c_TMAP1IN)-(c_TFWD))*(((A641)-(c_TFWD))*((c_TMAP1OUT)-(0))+IF(((c_TMAP1OUT)-(0))&gt;=0,1,-1)*QUOTIENT(((c_TMAP1IN)-(c_TFWD)),2))+2147483648,4294967296)-2147483648,((c_TMAP1IN)-(c_TFWD))*(((A641)-(c_TFWD))*((c_TMAP1OUT)-(0))+IF(((c_TMAP1OUT)-(0))&gt;=0,1,-1)*QUOTIENT(((c_TMAP1IN)-(c_TFWD)),2)))&lt;0,-1,0),IF(IF(o_WRAP=1,MOD(((c_TMAP1IN)-(c_TFWD))*(((A641)-(c_TFWD))*((c_TMAP1OUT)-(0))+IF(((c_TMAP1OUT)-(0))&gt;=0,1,-1)*QUOTIENT(((c_TMAP1IN)-(c_TFWD)),2))+2147483648,4294967296)-2147483648,((c_TMAP1IN)-(c_TFWD))*(((A641)-(c_TFWD))*((c_TMAP1OUT)-(0))+IF(((c_TMAP1OUT)-(0))&gt;=0,1,-1)*QUOTIENT(((c_TMAP1IN)-(c_TFWD)),2)))&gt;=0,1,0)))</f>
        <v>487</v>
      </c>
      <c r="E641" s="7" t="n">
        <f aca="false">IF(((c_TMAP2IN)-(c_TMAP1IN))=0,(c_TMAP1OUT)+QUOTIENT(((c_TMAP2OUT)-(c_TMAP1OUT)),2),QUOTIENT((((A641)-(c_TMAP1IN))*((c_TMAP2OUT)-(c_TMAP1OUT))+IF(((c_TMAP2OUT)-(c_TMAP1OUT))&gt;=0,1,-1)*QUOTIENT(((c_TMAP2IN)-(c_TMAP1IN)),2)),((c_TMAP2IN)-(c_TMAP1IN)))+(c_TMAP1OUT)+IF(((c_TMAP2OUT)-(c_TMAP1OUT))&gt;=0,IF(IF(o_WRAP=1,MOD(((c_TMAP2IN)-(c_TMAP1IN))*(((A641)-(c_TMAP1IN))*((c_TMAP2OUT)-(c_TMAP1OUT))+IF(((c_TMAP2OUT)-(c_TMAP1OUT))&gt;=0,1,-1)*QUOTIENT(((c_TMAP2IN)-(c_TMAP1IN)),2))+2147483648,4294967296)-2147483648,((c_TMAP2IN)-(c_TMAP1IN))*(((A641)-(c_TMAP1IN))*((c_TMAP2OUT)-(c_TMAP1OUT))+IF(((c_TMAP2OUT)-(c_TMAP1OUT))&gt;=0,1,-1)*QUOTIENT(((c_TMAP2IN)-(c_TMAP1IN)),2)))&lt;0,-1,0),IF(IF(o_WRAP=1,MOD(((c_TMAP2IN)-(c_TMAP1IN))*(((A641)-(c_TMAP1IN))*((c_TMAP2OUT)-(c_TMAP1OUT))+IF(((c_TMAP2OUT)-(c_TMAP1OUT))&gt;=0,1,-1)*QUOTIENT(((c_TMAP2IN)-(c_TMAP1IN)),2))+2147483648,4294967296)-2147483648,((c_TMAP2IN)-(c_TMAP1IN))*(((A641)-(c_TMAP1IN))*((c_TMAP2OUT)-(c_TMAP1OUT))+IF(((c_TMAP2OUT)-(c_TMAP1OUT))&gt;=0,1,-1)*QUOTIENT(((c_TMAP2IN)-(c_TMAP1IN)),2)))&gt;=0,1,0)))</f>
        <v>284</v>
      </c>
      <c r="F641" s="7" t="n">
        <f aca="false">IF(((c_TMAP3IN)-(c_TMAP2IN))=0,(c_TMAP2OUT)+QUOTIENT(((c_TMAP3OUT)-(c_TMAP2OUT)),2),QUOTIENT((((A641)-(c_TMAP2IN))*((c_TMAP3OUT)-(c_TMAP2OUT))+IF(((c_TMAP3OUT)-(c_TMAP2OUT))&gt;=0,1,-1)*QUOTIENT(((c_TMAP3IN)-(c_TMAP2IN)),2)),((c_TMAP3IN)-(c_TMAP2IN)))+(c_TMAP2OUT)+IF(((c_TMAP3OUT)-(c_TMAP2OUT))&gt;=0,IF(IF(o_WRAP=1,MOD(((c_TMAP3IN)-(c_TMAP2IN))*(((A641)-(c_TMAP2IN))*((c_TMAP3OUT)-(c_TMAP2OUT))+IF(((c_TMAP3OUT)-(c_TMAP2OUT))&gt;=0,1,-1)*QUOTIENT(((c_TMAP3IN)-(c_TMAP2IN)),2))+2147483648,4294967296)-2147483648,((c_TMAP3IN)-(c_TMAP2IN))*(((A641)-(c_TMAP2IN))*((c_TMAP3OUT)-(c_TMAP2OUT))+IF(((c_TMAP3OUT)-(c_TMAP2OUT))&gt;=0,1,-1)*QUOTIENT(((c_TMAP3IN)-(c_TMAP2IN)),2)))&lt;0,-1,0),IF(IF(o_WRAP=1,MOD(((c_TMAP3IN)-(c_TMAP2IN))*(((A641)-(c_TMAP2IN))*((c_TMAP3OUT)-(c_TMAP2OUT))+IF(((c_TMAP3OUT)-(c_TMAP2OUT))&gt;=0,1,-1)*QUOTIENT(((c_TMAP3IN)-(c_TMAP2IN)),2))+2147483648,4294967296)-2147483648,((c_TMAP3IN)-(c_TMAP2IN))*(((A641)-(c_TMAP2IN))*((c_TMAP3OUT)-(c_TMAP2OUT))+IF(((c_TMAP3OUT)-(c_TMAP2OUT))&gt;=0,1,-1)*QUOTIENT(((c_TMAP3IN)-(c_TMAP2IN)),2)))&gt;=0,1,0)))</f>
        <v>400</v>
      </c>
      <c r="G641" s="7" t="n">
        <f aca="false">IF(((1000)-(c_TMAP3IN))=0,(c_TMAP3OUT)+QUOTIENT(((1000)-(c_TMAP3OUT)),2),QUOTIENT((((A641)-(c_TMAP3IN))*((1000)-(c_TMAP3OUT))+IF(((1000)-(c_TMAP3OUT))&gt;=0,1,-1)*QUOTIENT(((1000)-(c_TMAP3IN)),2)),((1000)-(c_TMAP3IN)))+(c_TMAP3OUT)+IF(((1000)-(c_TMAP3OUT))&gt;=0,IF(IF(o_WRAP=1,MOD(((1000)-(c_TMAP3IN))*(((A641)-(c_TMAP3IN))*((1000)-(c_TMAP3OUT))+IF(((1000)-(c_TMAP3OUT))&gt;=0,1,-1)*QUOTIENT(((1000)-(c_TMAP3IN)),2))+2147483648,4294967296)-2147483648,((1000)-(c_TMAP3IN))*(((A641)-(c_TMAP3IN))*((1000)-(c_TMAP3OUT))+IF(((1000)-(c_TMAP3OUT))&gt;=0,1,-1)*QUOTIENT(((1000)-(c_TMAP3IN)),2)))&lt;0,-1,0),IF(IF(o_WRAP=1,MOD(((1000)-(c_TMAP3IN))*(((A641)-(c_TMAP3IN))*((1000)-(c_TMAP3OUT))+IF(((1000)-(c_TMAP3OUT))&gt;=0,1,-1)*QUOTIENT(((1000)-(c_TMAP3IN)),2))+2147483648,4294967296)-2147483648,((1000)-(c_TMAP3IN))*(((A641)-(c_TMAP3IN))*((1000)-(c_TMAP3OUT))+IF(((1000)-(c_TMAP3OUT))&gt;=0,1,-1)*QUOTIENT(((1000)-(c_TMAP3IN)),2)))&gt;=0,1,0)))</f>
        <v>552</v>
      </c>
      <c r="H641" s="7" t="str">
        <f aca="false">IF(A641&gt;=c_TFWD,IF(AND(A641&gt;=c_TMAP3IN,c_TMAP3IN&lt;1000),"Seg4 map3-100%",IF(AND(A641&gt;=c_TMAP2IN,c_TMAP3IN&gt;c_TMAP2IN),"Seg3 map2-map3",IF(AND(A641&gt;=c_TMAP1IN,c_TMAP2IN&gt;c_TMAP1IN),"Seg2 map1-map2","Seg1 TFWD-map1"))),IF(AND(A641=0,c_TCREEP&gt;0),"Creep",IF(AND(A641&lt;=c_TRNGMIN,A641&gt;=c_TRNGMAX,c_TRNGMIN-c_TRNGMAX&lt;&gt;0),"Regen ramp","Coast (0)")))</f>
        <v>Seg4 map3-100%</v>
      </c>
      <c r="I641" s="7" t="n">
        <f aca="false">IF(A641&gt;=c_TFWD,IF(AND(A641&gt;=c_TMAP3IN,c_TMAP3IN&lt;1000),G641,IF(AND(A641&gt;=c_TMAP2IN,c_TMAP3IN&gt;c_TMAP2IN),F641,IF(AND(A641&gt;=c_TMAP1IN,c_TMAP2IN&gt;c_TMAP1IN),E641,D641))),C641)</f>
        <v>552</v>
      </c>
      <c r="J641" s="7" t="str">
        <f aca="false">IF(I641&lt;-1090,"TOO LOW",IF(I641&gt;1090,"TOO HIGH",""))</f>
        <v/>
      </c>
      <c r="K641" s="15" t="n">
        <f aca="false">IF(J641&lt;&gt;"",0,IF(I641&gt;979,1000,I641))</f>
        <v>552</v>
      </c>
      <c r="L641" s="7" t="n">
        <f aca="false">K641/10</f>
        <v>55.2</v>
      </c>
    </row>
    <row r="642" customFormat="false" ht="15" hidden="false" customHeight="false" outlineLevel="0" collapsed="false">
      <c r="A642" s="7" t="n">
        <v>637</v>
      </c>
      <c r="B642" s="7" t="n">
        <f aca="false">A642/10</f>
        <v>63.7</v>
      </c>
      <c r="C642" s="7" t="n">
        <f aca="false">IF(AND(A642=0,c_TCREEP&gt;0),10*c_TCREEP,IF(AND(A642&lt;=c_TRNGMIN,A642&gt;=c_TRNGMAX,c_TRNGMIN-c_TRNGMAX&lt;&gt;0),-10*c_TMINRN+QUOTIENT((c_TMAXRN-c_TMINRN)*(100-QUOTIENT((A642-c_TRNGMAX)*100,c_TRNGMIN-c_TRNGMAX)),-10),0))</f>
        <v>0</v>
      </c>
      <c r="D642" s="7" t="n">
        <f aca="false">IF(((c_TMAP1IN)-(c_TFWD))=0,(0)+QUOTIENT(((c_TMAP1OUT)-(0)),2),QUOTIENT((((A642)-(c_TFWD))*((c_TMAP1OUT)-(0))+IF(((c_TMAP1OUT)-(0))&gt;=0,1,-1)*QUOTIENT(((c_TMAP1IN)-(c_TFWD)),2)),((c_TMAP1IN)-(c_TFWD)))+(0)+IF(((c_TMAP1OUT)-(0))&gt;=0,IF(IF(o_WRAP=1,MOD(((c_TMAP1IN)-(c_TFWD))*(((A642)-(c_TFWD))*((c_TMAP1OUT)-(0))+IF(((c_TMAP1OUT)-(0))&gt;=0,1,-1)*QUOTIENT(((c_TMAP1IN)-(c_TFWD)),2))+2147483648,4294967296)-2147483648,((c_TMAP1IN)-(c_TFWD))*(((A642)-(c_TFWD))*((c_TMAP1OUT)-(0))+IF(((c_TMAP1OUT)-(0))&gt;=0,1,-1)*QUOTIENT(((c_TMAP1IN)-(c_TFWD)),2)))&lt;0,-1,0),IF(IF(o_WRAP=1,MOD(((c_TMAP1IN)-(c_TFWD))*(((A642)-(c_TFWD))*((c_TMAP1OUT)-(0))+IF(((c_TMAP1OUT)-(0))&gt;=0,1,-1)*QUOTIENT(((c_TMAP1IN)-(c_TFWD)),2))+2147483648,4294967296)-2147483648,((c_TMAP1IN)-(c_TFWD))*(((A642)-(c_TFWD))*((c_TMAP1OUT)-(0))+IF(((c_TMAP1OUT)-(0))&gt;=0,1,-1)*QUOTIENT(((c_TMAP1IN)-(c_TFWD)),2)))&gt;=0,1,0)))</f>
        <v>488</v>
      </c>
      <c r="E642" s="7" t="n">
        <f aca="false">IF(((c_TMAP2IN)-(c_TMAP1IN))=0,(c_TMAP1OUT)+QUOTIENT(((c_TMAP2OUT)-(c_TMAP1OUT)),2),QUOTIENT((((A642)-(c_TMAP1IN))*((c_TMAP2OUT)-(c_TMAP1OUT))+IF(((c_TMAP2OUT)-(c_TMAP1OUT))&gt;=0,1,-1)*QUOTIENT(((c_TMAP2IN)-(c_TMAP1IN)),2)),((c_TMAP2IN)-(c_TMAP1IN)))+(c_TMAP1OUT)+IF(((c_TMAP2OUT)-(c_TMAP1OUT))&gt;=0,IF(IF(o_WRAP=1,MOD(((c_TMAP2IN)-(c_TMAP1IN))*(((A642)-(c_TMAP1IN))*((c_TMAP2OUT)-(c_TMAP1OUT))+IF(((c_TMAP2OUT)-(c_TMAP1OUT))&gt;=0,1,-1)*QUOTIENT(((c_TMAP2IN)-(c_TMAP1IN)),2))+2147483648,4294967296)-2147483648,((c_TMAP2IN)-(c_TMAP1IN))*(((A642)-(c_TMAP1IN))*((c_TMAP2OUT)-(c_TMAP1OUT))+IF(((c_TMAP2OUT)-(c_TMAP1OUT))&gt;=0,1,-1)*QUOTIENT(((c_TMAP2IN)-(c_TMAP1IN)),2)))&lt;0,-1,0),IF(IF(o_WRAP=1,MOD(((c_TMAP2IN)-(c_TMAP1IN))*(((A642)-(c_TMAP1IN))*((c_TMAP2OUT)-(c_TMAP1OUT))+IF(((c_TMAP2OUT)-(c_TMAP1OUT))&gt;=0,1,-1)*QUOTIENT(((c_TMAP2IN)-(c_TMAP1IN)),2))+2147483648,4294967296)-2147483648,((c_TMAP2IN)-(c_TMAP1IN))*(((A642)-(c_TMAP1IN))*((c_TMAP2OUT)-(c_TMAP1OUT))+IF(((c_TMAP2OUT)-(c_TMAP1OUT))&gt;=0,1,-1)*QUOTIENT(((c_TMAP2IN)-(c_TMAP1IN)),2)))&gt;=0,1,0)))</f>
        <v>285</v>
      </c>
      <c r="F642" s="7" t="n">
        <f aca="false">IF(((c_TMAP3IN)-(c_TMAP2IN))=0,(c_TMAP2OUT)+QUOTIENT(((c_TMAP3OUT)-(c_TMAP2OUT)),2),QUOTIENT((((A642)-(c_TMAP2IN))*((c_TMAP3OUT)-(c_TMAP2OUT))+IF(((c_TMAP3OUT)-(c_TMAP2OUT))&gt;=0,1,-1)*QUOTIENT(((c_TMAP3IN)-(c_TMAP2IN)),2)),((c_TMAP3IN)-(c_TMAP2IN)))+(c_TMAP2OUT)+IF(((c_TMAP3OUT)-(c_TMAP2OUT))&gt;=0,IF(IF(o_WRAP=1,MOD(((c_TMAP3IN)-(c_TMAP2IN))*(((A642)-(c_TMAP2IN))*((c_TMAP3OUT)-(c_TMAP2OUT))+IF(((c_TMAP3OUT)-(c_TMAP2OUT))&gt;=0,1,-1)*QUOTIENT(((c_TMAP3IN)-(c_TMAP2IN)),2))+2147483648,4294967296)-2147483648,((c_TMAP3IN)-(c_TMAP2IN))*(((A642)-(c_TMAP2IN))*((c_TMAP3OUT)-(c_TMAP2OUT))+IF(((c_TMAP3OUT)-(c_TMAP2OUT))&gt;=0,1,-1)*QUOTIENT(((c_TMAP3IN)-(c_TMAP2IN)),2)))&lt;0,-1,0),IF(IF(o_WRAP=1,MOD(((c_TMAP3IN)-(c_TMAP2IN))*(((A642)-(c_TMAP2IN))*((c_TMAP3OUT)-(c_TMAP2OUT))+IF(((c_TMAP3OUT)-(c_TMAP2OUT))&gt;=0,1,-1)*QUOTIENT(((c_TMAP3IN)-(c_TMAP2IN)),2))+2147483648,4294967296)-2147483648,((c_TMAP3IN)-(c_TMAP2IN))*(((A642)-(c_TMAP2IN))*((c_TMAP3OUT)-(c_TMAP2OUT))+IF(((c_TMAP3OUT)-(c_TMAP2OUT))&gt;=0,1,-1)*QUOTIENT(((c_TMAP3IN)-(c_TMAP2IN)),2)))&gt;=0,1,0)))</f>
        <v>401</v>
      </c>
      <c r="G642" s="7" t="n">
        <f aca="false">IF(((1000)-(c_TMAP3IN))=0,(c_TMAP3OUT)+QUOTIENT(((1000)-(c_TMAP3OUT)),2),QUOTIENT((((A642)-(c_TMAP3IN))*((1000)-(c_TMAP3OUT))+IF(((1000)-(c_TMAP3OUT))&gt;=0,1,-1)*QUOTIENT(((1000)-(c_TMAP3IN)),2)),((1000)-(c_TMAP3IN)))+(c_TMAP3OUT)+IF(((1000)-(c_TMAP3OUT))&gt;=0,IF(IF(o_WRAP=1,MOD(((1000)-(c_TMAP3IN))*(((A642)-(c_TMAP3IN))*((1000)-(c_TMAP3OUT))+IF(((1000)-(c_TMAP3OUT))&gt;=0,1,-1)*QUOTIENT(((1000)-(c_TMAP3IN)),2))+2147483648,4294967296)-2147483648,((1000)-(c_TMAP3IN))*(((A642)-(c_TMAP3IN))*((1000)-(c_TMAP3OUT))+IF(((1000)-(c_TMAP3OUT))&gt;=0,1,-1)*QUOTIENT(((1000)-(c_TMAP3IN)),2)))&lt;0,-1,0),IF(IF(o_WRAP=1,MOD(((1000)-(c_TMAP3IN))*(((A642)-(c_TMAP3IN))*((1000)-(c_TMAP3OUT))+IF(((1000)-(c_TMAP3OUT))&gt;=0,1,-1)*QUOTIENT(((1000)-(c_TMAP3IN)),2))+2147483648,4294967296)-2147483648,((1000)-(c_TMAP3IN))*(((A642)-(c_TMAP3IN))*((1000)-(c_TMAP3OUT))+IF(((1000)-(c_TMAP3OUT))&gt;=0,1,-1)*QUOTIENT(((1000)-(c_TMAP3IN)),2)))&gt;=0,1,0)))</f>
        <v>553</v>
      </c>
      <c r="H642" s="7" t="str">
        <f aca="false">IF(A642&gt;=c_TFWD,IF(AND(A642&gt;=c_TMAP3IN,c_TMAP3IN&lt;1000),"Seg4 map3-100%",IF(AND(A642&gt;=c_TMAP2IN,c_TMAP3IN&gt;c_TMAP2IN),"Seg3 map2-map3",IF(AND(A642&gt;=c_TMAP1IN,c_TMAP2IN&gt;c_TMAP1IN),"Seg2 map1-map2","Seg1 TFWD-map1"))),IF(AND(A642=0,c_TCREEP&gt;0),"Creep",IF(AND(A642&lt;=c_TRNGMIN,A642&gt;=c_TRNGMAX,c_TRNGMIN-c_TRNGMAX&lt;&gt;0),"Regen ramp","Coast (0)")))</f>
        <v>Seg4 map3-100%</v>
      </c>
      <c r="I642" s="7" t="n">
        <f aca="false">IF(A642&gt;=c_TFWD,IF(AND(A642&gt;=c_TMAP3IN,c_TMAP3IN&lt;1000),G642,IF(AND(A642&gt;=c_TMAP2IN,c_TMAP3IN&gt;c_TMAP2IN),F642,IF(AND(A642&gt;=c_TMAP1IN,c_TMAP2IN&gt;c_TMAP1IN),E642,D642))),C642)</f>
        <v>553</v>
      </c>
      <c r="J642" s="7" t="str">
        <f aca="false">IF(I642&lt;-1090,"TOO LOW",IF(I642&gt;1090,"TOO HIGH",""))</f>
        <v/>
      </c>
      <c r="K642" s="15" t="n">
        <f aca="false">IF(J642&lt;&gt;"",0,IF(I642&gt;979,1000,I642))</f>
        <v>553</v>
      </c>
      <c r="L642" s="7" t="n">
        <f aca="false">K642/10</f>
        <v>55.3</v>
      </c>
    </row>
    <row r="643" customFormat="false" ht="15" hidden="false" customHeight="false" outlineLevel="0" collapsed="false">
      <c r="A643" s="7" t="n">
        <v>638</v>
      </c>
      <c r="B643" s="7" t="n">
        <f aca="false">A643/10</f>
        <v>63.8</v>
      </c>
      <c r="C643" s="7" t="n">
        <f aca="false">IF(AND(A643=0,c_TCREEP&gt;0),10*c_TCREEP,IF(AND(A643&lt;=c_TRNGMIN,A643&gt;=c_TRNGMAX,c_TRNGMIN-c_TRNGMAX&lt;&gt;0),-10*c_TMINRN+QUOTIENT((c_TMAXRN-c_TMINRN)*(100-QUOTIENT((A643-c_TRNGMAX)*100,c_TRNGMIN-c_TRNGMAX)),-10),0))</f>
        <v>0</v>
      </c>
      <c r="D643" s="7" t="n">
        <f aca="false">IF(((c_TMAP1IN)-(c_TFWD))=0,(0)+QUOTIENT(((c_TMAP1OUT)-(0)),2),QUOTIENT((((A643)-(c_TFWD))*((c_TMAP1OUT)-(0))+IF(((c_TMAP1OUT)-(0))&gt;=0,1,-1)*QUOTIENT(((c_TMAP1IN)-(c_TFWD)),2)),((c_TMAP1IN)-(c_TFWD)))+(0)+IF(((c_TMAP1OUT)-(0))&gt;=0,IF(IF(o_WRAP=1,MOD(((c_TMAP1IN)-(c_TFWD))*(((A643)-(c_TFWD))*((c_TMAP1OUT)-(0))+IF(((c_TMAP1OUT)-(0))&gt;=0,1,-1)*QUOTIENT(((c_TMAP1IN)-(c_TFWD)),2))+2147483648,4294967296)-2147483648,((c_TMAP1IN)-(c_TFWD))*(((A643)-(c_TFWD))*((c_TMAP1OUT)-(0))+IF(((c_TMAP1OUT)-(0))&gt;=0,1,-1)*QUOTIENT(((c_TMAP1IN)-(c_TFWD)),2)))&lt;0,-1,0),IF(IF(o_WRAP=1,MOD(((c_TMAP1IN)-(c_TFWD))*(((A643)-(c_TFWD))*((c_TMAP1OUT)-(0))+IF(((c_TMAP1OUT)-(0))&gt;=0,1,-1)*QUOTIENT(((c_TMAP1IN)-(c_TFWD)),2))+2147483648,4294967296)-2147483648,((c_TMAP1IN)-(c_TFWD))*(((A643)-(c_TFWD))*((c_TMAP1OUT)-(0))+IF(((c_TMAP1OUT)-(0))&gt;=0,1,-1)*QUOTIENT(((c_TMAP1IN)-(c_TFWD)),2)))&gt;=0,1,0)))</f>
        <v>488</v>
      </c>
      <c r="E643" s="7" t="n">
        <f aca="false">IF(((c_TMAP2IN)-(c_TMAP1IN))=0,(c_TMAP1OUT)+QUOTIENT(((c_TMAP2OUT)-(c_TMAP1OUT)),2),QUOTIENT((((A643)-(c_TMAP1IN))*((c_TMAP2OUT)-(c_TMAP1OUT))+IF(((c_TMAP2OUT)-(c_TMAP1OUT))&gt;=0,1,-1)*QUOTIENT(((c_TMAP2IN)-(c_TMAP1IN)),2)),((c_TMAP2IN)-(c_TMAP1IN)))+(c_TMAP1OUT)+IF(((c_TMAP2OUT)-(c_TMAP1OUT))&gt;=0,IF(IF(o_WRAP=1,MOD(((c_TMAP2IN)-(c_TMAP1IN))*(((A643)-(c_TMAP1IN))*((c_TMAP2OUT)-(c_TMAP1OUT))+IF(((c_TMAP2OUT)-(c_TMAP1OUT))&gt;=0,1,-1)*QUOTIENT(((c_TMAP2IN)-(c_TMAP1IN)),2))+2147483648,4294967296)-2147483648,((c_TMAP2IN)-(c_TMAP1IN))*(((A643)-(c_TMAP1IN))*((c_TMAP2OUT)-(c_TMAP1OUT))+IF(((c_TMAP2OUT)-(c_TMAP1OUT))&gt;=0,1,-1)*QUOTIENT(((c_TMAP2IN)-(c_TMAP1IN)),2)))&lt;0,-1,0),IF(IF(o_WRAP=1,MOD(((c_TMAP2IN)-(c_TMAP1IN))*(((A643)-(c_TMAP1IN))*((c_TMAP2OUT)-(c_TMAP1OUT))+IF(((c_TMAP2OUT)-(c_TMAP1OUT))&gt;=0,1,-1)*QUOTIENT(((c_TMAP2IN)-(c_TMAP1IN)),2))+2147483648,4294967296)-2147483648,((c_TMAP2IN)-(c_TMAP1IN))*(((A643)-(c_TMAP1IN))*((c_TMAP2OUT)-(c_TMAP1OUT))+IF(((c_TMAP2OUT)-(c_TMAP1OUT))&gt;=0,1,-1)*QUOTIENT(((c_TMAP2IN)-(c_TMAP1IN)),2)))&gt;=0,1,0)))</f>
        <v>285</v>
      </c>
      <c r="F643" s="7" t="n">
        <f aca="false">IF(((c_TMAP3IN)-(c_TMAP2IN))=0,(c_TMAP2OUT)+QUOTIENT(((c_TMAP3OUT)-(c_TMAP2OUT)),2),QUOTIENT((((A643)-(c_TMAP2IN))*((c_TMAP3OUT)-(c_TMAP2OUT))+IF(((c_TMAP3OUT)-(c_TMAP2OUT))&gt;=0,1,-1)*QUOTIENT(((c_TMAP3IN)-(c_TMAP2IN)),2)),((c_TMAP3IN)-(c_TMAP2IN)))+(c_TMAP2OUT)+IF(((c_TMAP3OUT)-(c_TMAP2OUT))&gt;=0,IF(IF(o_WRAP=1,MOD(((c_TMAP3IN)-(c_TMAP2IN))*(((A643)-(c_TMAP2IN))*((c_TMAP3OUT)-(c_TMAP2OUT))+IF(((c_TMAP3OUT)-(c_TMAP2OUT))&gt;=0,1,-1)*QUOTIENT(((c_TMAP3IN)-(c_TMAP2IN)),2))+2147483648,4294967296)-2147483648,((c_TMAP3IN)-(c_TMAP2IN))*(((A643)-(c_TMAP2IN))*((c_TMAP3OUT)-(c_TMAP2OUT))+IF(((c_TMAP3OUT)-(c_TMAP2OUT))&gt;=0,1,-1)*QUOTIENT(((c_TMAP3IN)-(c_TMAP2IN)),2)))&lt;0,-1,0),IF(IF(o_WRAP=1,MOD(((c_TMAP3IN)-(c_TMAP2IN))*(((A643)-(c_TMAP2IN))*((c_TMAP3OUT)-(c_TMAP2OUT))+IF(((c_TMAP3OUT)-(c_TMAP2OUT))&gt;=0,1,-1)*QUOTIENT(((c_TMAP3IN)-(c_TMAP2IN)),2))+2147483648,4294967296)-2147483648,((c_TMAP3IN)-(c_TMAP2IN))*(((A643)-(c_TMAP2IN))*((c_TMAP3OUT)-(c_TMAP2OUT))+IF(((c_TMAP3OUT)-(c_TMAP2OUT))&gt;=0,1,-1)*QUOTIENT(((c_TMAP3IN)-(c_TMAP2IN)),2)))&gt;=0,1,0)))</f>
        <v>402</v>
      </c>
      <c r="G643" s="7" t="n">
        <f aca="false">IF(((1000)-(c_TMAP3IN))=0,(c_TMAP3OUT)+QUOTIENT(((1000)-(c_TMAP3OUT)),2),QUOTIENT((((A643)-(c_TMAP3IN))*((1000)-(c_TMAP3OUT))+IF(((1000)-(c_TMAP3OUT))&gt;=0,1,-1)*QUOTIENT(((1000)-(c_TMAP3IN)),2)),((1000)-(c_TMAP3IN)))+(c_TMAP3OUT)+IF(((1000)-(c_TMAP3OUT))&gt;=0,IF(IF(o_WRAP=1,MOD(((1000)-(c_TMAP3IN))*(((A643)-(c_TMAP3IN))*((1000)-(c_TMAP3OUT))+IF(((1000)-(c_TMAP3OUT))&gt;=0,1,-1)*QUOTIENT(((1000)-(c_TMAP3IN)),2))+2147483648,4294967296)-2147483648,((1000)-(c_TMAP3IN))*(((A643)-(c_TMAP3IN))*((1000)-(c_TMAP3OUT))+IF(((1000)-(c_TMAP3OUT))&gt;=0,1,-1)*QUOTIENT(((1000)-(c_TMAP3IN)),2)))&lt;0,-1,0),IF(IF(o_WRAP=1,MOD(((1000)-(c_TMAP3IN))*(((A643)-(c_TMAP3IN))*((1000)-(c_TMAP3OUT))+IF(((1000)-(c_TMAP3OUT))&gt;=0,1,-1)*QUOTIENT(((1000)-(c_TMAP3IN)),2))+2147483648,4294967296)-2147483648,((1000)-(c_TMAP3IN))*(((A643)-(c_TMAP3IN))*((1000)-(c_TMAP3OUT))+IF(((1000)-(c_TMAP3OUT))&gt;=0,1,-1)*QUOTIENT(((1000)-(c_TMAP3IN)),2)))&gt;=0,1,0)))</f>
        <v>554</v>
      </c>
      <c r="H643" s="7" t="str">
        <f aca="false">IF(A643&gt;=c_TFWD,IF(AND(A643&gt;=c_TMAP3IN,c_TMAP3IN&lt;1000),"Seg4 map3-100%",IF(AND(A643&gt;=c_TMAP2IN,c_TMAP3IN&gt;c_TMAP2IN),"Seg3 map2-map3",IF(AND(A643&gt;=c_TMAP1IN,c_TMAP2IN&gt;c_TMAP1IN),"Seg2 map1-map2","Seg1 TFWD-map1"))),IF(AND(A643=0,c_TCREEP&gt;0),"Creep",IF(AND(A643&lt;=c_TRNGMIN,A643&gt;=c_TRNGMAX,c_TRNGMIN-c_TRNGMAX&lt;&gt;0),"Regen ramp","Coast (0)")))</f>
        <v>Seg4 map3-100%</v>
      </c>
      <c r="I643" s="7" t="n">
        <f aca="false">IF(A643&gt;=c_TFWD,IF(AND(A643&gt;=c_TMAP3IN,c_TMAP3IN&lt;1000),G643,IF(AND(A643&gt;=c_TMAP2IN,c_TMAP3IN&gt;c_TMAP2IN),F643,IF(AND(A643&gt;=c_TMAP1IN,c_TMAP2IN&gt;c_TMAP1IN),E643,D643))),C643)</f>
        <v>554</v>
      </c>
      <c r="J643" s="7" t="str">
        <f aca="false">IF(I643&lt;-1090,"TOO LOW",IF(I643&gt;1090,"TOO HIGH",""))</f>
        <v/>
      </c>
      <c r="K643" s="15" t="n">
        <f aca="false">IF(J643&lt;&gt;"",0,IF(I643&gt;979,1000,I643))</f>
        <v>554</v>
      </c>
      <c r="L643" s="7" t="n">
        <f aca="false">K643/10</f>
        <v>55.4</v>
      </c>
    </row>
    <row r="644" customFormat="false" ht="15" hidden="false" customHeight="false" outlineLevel="0" collapsed="false">
      <c r="A644" s="7" t="n">
        <v>639</v>
      </c>
      <c r="B644" s="7" t="n">
        <f aca="false">A644/10</f>
        <v>63.9</v>
      </c>
      <c r="C644" s="7" t="n">
        <f aca="false">IF(AND(A644=0,c_TCREEP&gt;0),10*c_TCREEP,IF(AND(A644&lt;=c_TRNGMIN,A644&gt;=c_TRNGMAX,c_TRNGMIN-c_TRNGMAX&lt;&gt;0),-10*c_TMINRN+QUOTIENT((c_TMAXRN-c_TMINRN)*(100-QUOTIENT((A644-c_TRNGMAX)*100,c_TRNGMIN-c_TRNGMAX)),-10),0))</f>
        <v>0</v>
      </c>
      <c r="D644" s="7" t="n">
        <f aca="false">IF(((c_TMAP1IN)-(c_TFWD))=0,(0)+QUOTIENT(((c_TMAP1OUT)-(0)),2),QUOTIENT((((A644)-(c_TFWD))*((c_TMAP1OUT)-(0))+IF(((c_TMAP1OUT)-(0))&gt;=0,1,-1)*QUOTIENT(((c_TMAP1IN)-(c_TFWD)),2)),((c_TMAP1IN)-(c_TFWD)))+(0)+IF(((c_TMAP1OUT)-(0))&gt;=0,IF(IF(o_WRAP=1,MOD(((c_TMAP1IN)-(c_TFWD))*(((A644)-(c_TFWD))*((c_TMAP1OUT)-(0))+IF(((c_TMAP1OUT)-(0))&gt;=0,1,-1)*QUOTIENT(((c_TMAP1IN)-(c_TFWD)),2))+2147483648,4294967296)-2147483648,((c_TMAP1IN)-(c_TFWD))*(((A644)-(c_TFWD))*((c_TMAP1OUT)-(0))+IF(((c_TMAP1OUT)-(0))&gt;=0,1,-1)*QUOTIENT(((c_TMAP1IN)-(c_TFWD)),2)))&lt;0,-1,0),IF(IF(o_WRAP=1,MOD(((c_TMAP1IN)-(c_TFWD))*(((A644)-(c_TFWD))*((c_TMAP1OUT)-(0))+IF(((c_TMAP1OUT)-(0))&gt;=0,1,-1)*QUOTIENT(((c_TMAP1IN)-(c_TFWD)),2))+2147483648,4294967296)-2147483648,((c_TMAP1IN)-(c_TFWD))*(((A644)-(c_TFWD))*((c_TMAP1OUT)-(0))+IF(((c_TMAP1OUT)-(0))&gt;=0,1,-1)*QUOTIENT(((c_TMAP1IN)-(c_TFWD)),2)))&gt;=0,1,0)))</f>
        <v>489</v>
      </c>
      <c r="E644" s="7" t="n">
        <f aca="false">IF(((c_TMAP2IN)-(c_TMAP1IN))=0,(c_TMAP1OUT)+QUOTIENT(((c_TMAP2OUT)-(c_TMAP1OUT)),2),QUOTIENT((((A644)-(c_TMAP1IN))*((c_TMAP2OUT)-(c_TMAP1OUT))+IF(((c_TMAP2OUT)-(c_TMAP1OUT))&gt;=0,1,-1)*QUOTIENT(((c_TMAP2IN)-(c_TMAP1IN)),2)),((c_TMAP2IN)-(c_TMAP1IN)))+(c_TMAP1OUT)+IF(((c_TMAP2OUT)-(c_TMAP1OUT))&gt;=0,IF(IF(o_WRAP=1,MOD(((c_TMAP2IN)-(c_TMAP1IN))*(((A644)-(c_TMAP1IN))*((c_TMAP2OUT)-(c_TMAP1OUT))+IF(((c_TMAP2OUT)-(c_TMAP1OUT))&gt;=0,1,-1)*QUOTIENT(((c_TMAP2IN)-(c_TMAP1IN)),2))+2147483648,4294967296)-2147483648,((c_TMAP2IN)-(c_TMAP1IN))*(((A644)-(c_TMAP1IN))*((c_TMAP2OUT)-(c_TMAP1OUT))+IF(((c_TMAP2OUT)-(c_TMAP1OUT))&gt;=0,1,-1)*QUOTIENT(((c_TMAP2IN)-(c_TMAP1IN)),2)))&lt;0,-1,0),IF(IF(o_WRAP=1,MOD(((c_TMAP2IN)-(c_TMAP1IN))*(((A644)-(c_TMAP1IN))*((c_TMAP2OUT)-(c_TMAP1OUT))+IF(((c_TMAP2OUT)-(c_TMAP1OUT))&gt;=0,1,-1)*QUOTIENT(((c_TMAP2IN)-(c_TMAP1IN)),2))+2147483648,4294967296)-2147483648,((c_TMAP2IN)-(c_TMAP1IN))*(((A644)-(c_TMAP1IN))*((c_TMAP2OUT)-(c_TMAP1OUT))+IF(((c_TMAP2OUT)-(c_TMAP1OUT))&gt;=0,1,-1)*QUOTIENT(((c_TMAP2IN)-(c_TMAP1IN)),2)))&gt;=0,1,0)))</f>
        <v>286</v>
      </c>
      <c r="F644" s="7" t="n">
        <f aca="false">IF(((c_TMAP3IN)-(c_TMAP2IN))=0,(c_TMAP2OUT)+QUOTIENT(((c_TMAP3OUT)-(c_TMAP2OUT)),2),QUOTIENT((((A644)-(c_TMAP2IN))*((c_TMAP3OUT)-(c_TMAP2OUT))+IF(((c_TMAP3OUT)-(c_TMAP2OUT))&gt;=0,1,-1)*QUOTIENT(((c_TMAP3IN)-(c_TMAP2IN)),2)),((c_TMAP3IN)-(c_TMAP2IN)))+(c_TMAP2OUT)+IF(((c_TMAP3OUT)-(c_TMAP2OUT))&gt;=0,IF(IF(o_WRAP=1,MOD(((c_TMAP3IN)-(c_TMAP2IN))*(((A644)-(c_TMAP2IN))*((c_TMAP3OUT)-(c_TMAP2OUT))+IF(((c_TMAP3OUT)-(c_TMAP2OUT))&gt;=0,1,-1)*QUOTIENT(((c_TMAP3IN)-(c_TMAP2IN)),2))+2147483648,4294967296)-2147483648,((c_TMAP3IN)-(c_TMAP2IN))*(((A644)-(c_TMAP2IN))*((c_TMAP3OUT)-(c_TMAP2OUT))+IF(((c_TMAP3OUT)-(c_TMAP2OUT))&gt;=0,1,-1)*QUOTIENT(((c_TMAP3IN)-(c_TMAP2IN)),2)))&lt;0,-1,0),IF(IF(o_WRAP=1,MOD(((c_TMAP3IN)-(c_TMAP2IN))*(((A644)-(c_TMAP2IN))*((c_TMAP3OUT)-(c_TMAP2OUT))+IF(((c_TMAP3OUT)-(c_TMAP2OUT))&gt;=0,1,-1)*QUOTIENT(((c_TMAP3IN)-(c_TMAP2IN)),2))+2147483648,4294967296)-2147483648,((c_TMAP3IN)-(c_TMAP2IN))*(((A644)-(c_TMAP2IN))*((c_TMAP3OUT)-(c_TMAP2OUT))+IF(((c_TMAP3OUT)-(c_TMAP2OUT))&gt;=0,1,-1)*QUOTIENT(((c_TMAP3IN)-(c_TMAP2IN)),2)))&gt;=0,1,0)))</f>
        <v>402</v>
      </c>
      <c r="G644" s="7" t="n">
        <f aca="false">IF(((1000)-(c_TMAP3IN))=0,(c_TMAP3OUT)+QUOTIENT(((1000)-(c_TMAP3OUT)),2),QUOTIENT((((A644)-(c_TMAP3IN))*((1000)-(c_TMAP3OUT))+IF(((1000)-(c_TMAP3OUT))&gt;=0,1,-1)*QUOTIENT(((1000)-(c_TMAP3IN)),2)),((1000)-(c_TMAP3IN)))+(c_TMAP3OUT)+IF(((1000)-(c_TMAP3OUT))&gt;=0,IF(IF(o_WRAP=1,MOD(((1000)-(c_TMAP3IN))*(((A644)-(c_TMAP3IN))*((1000)-(c_TMAP3OUT))+IF(((1000)-(c_TMAP3OUT))&gt;=0,1,-1)*QUOTIENT(((1000)-(c_TMAP3IN)),2))+2147483648,4294967296)-2147483648,((1000)-(c_TMAP3IN))*(((A644)-(c_TMAP3IN))*((1000)-(c_TMAP3OUT))+IF(((1000)-(c_TMAP3OUT))&gt;=0,1,-1)*QUOTIENT(((1000)-(c_TMAP3IN)),2)))&lt;0,-1,0),IF(IF(o_WRAP=1,MOD(((1000)-(c_TMAP3IN))*(((A644)-(c_TMAP3IN))*((1000)-(c_TMAP3OUT))+IF(((1000)-(c_TMAP3OUT))&gt;=0,1,-1)*QUOTIENT(((1000)-(c_TMAP3IN)),2))+2147483648,4294967296)-2147483648,((1000)-(c_TMAP3IN))*(((A644)-(c_TMAP3IN))*((1000)-(c_TMAP3OUT))+IF(((1000)-(c_TMAP3OUT))&gt;=0,1,-1)*QUOTIENT(((1000)-(c_TMAP3IN)),2)))&gt;=0,1,0)))</f>
        <v>556</v>
      </c>
      <c r="H644" s="7" t="str">
        <f aca="false">IF(A644&gt;=c_TFWD,IF(AND(A644&gt;=c_TMAP3IN,c_TMAP3IN&lt;1000),"Seg4 map3-100%",IF(AND(A644&gt;=c_TMAP2IN,c_TMAP3IN&gt;c_TMAP2IN),"Seg3 map2-map3",IF(AND(A644&gt;=c_TMAP1IN,c_TMAP2IN&gt;c_TMAP1IN),"Seg2 map1-map2","Seg1 TFWD-map1"))),IF(AND(A644=0,c_TCREEP&gt;0),"Creep",IF(AND(A644&lt;=c_TRNGMIN,A644&gt;=c_TRNGMAX,c_TRNGMIN-c_TRNGMAX&lt;&gt;0),"Regen ramp","Coast (0)")))</f>
        <v>Seg4 map3-100%</v>
      </c>
      <c r="I644" s="7" t="n">
        <f aca="false">IF(A644&gt;=c_TFWD,IF(AND(A644&gt;=c_TMAP3IN,c_TMAP3IN&lt;1000),G644,IF(AND(A644&gt;=c_TMAP2IN,c_TMAP3IN&gt;c_TMAP2IN),F644,IF(AND(A644&gt;=c_TMAP1IN,c_TMAP2IN&gt;c_TMAP1IN),E644,D644))),C644)</f>
        <v>556</v>
      </c>
      <c r="J644" s="7" t="str">
        <f aca="false">IF(I644&lt;-1090,"TOO LOW",IF(I644&gt;1090,"TOO HIGH",""))</f>
        <v/>
      </c>
      <c r="K644" s="15" t="n">
        <f aca="false">IF(J644&lt;&gt;"",0,IF(I644&gt;979,1000,I644))</f>
        <v>556</v>
      </c>
      <c r="L644" s="7" t="n">
        <f aca="false">K644/10</f>
        <v>55.6</v>
      </c>
    </row>
    <row r="645" customFormat="false" ht="15" hidden="false" customHeight="false" outlineLevel="0" collapsed="false">
      <c r="A645" s="7" t="n">
        <v>640</v>
      </c>
      <c r="B645" s="7" t="n">
        <f aca="false">A645/10</f>
        <v>64</v>
      </c>
      <c r="C645" s="7" t="n">
        <f aca="false">IF(AND(A645=0,c_TCREEP&gt;0),10*c_TCREEP,IF(AND(A645&lt;=c_TRNGMIN,A645&gt;=c_TRNGMAX,c_TRNGMIN-c_TRNGMAX&lt;&gt;0),-10*c_TMINRN+QUOTIENT((c_TMAXRN-c_TMINRN)*(100-QUOTIENT((A645-c_TRNGMAX)*100,c_TRNGMIN-c_TRNGMAX)),-10),0))</f>
        <v>0</v>
      </c>
      <c r="D645" s="7" t="n">
        <f aca="false">IF(((c_TMAP1IN)-(c_TFWD))=0,(0)+QUOTIENT(((c_TMAP1OUT)-(0)),2),QUOTIENT((((A645)-(c_TFWD))*((c_TMAP1OUT)-(0))+IF(((c_TMAP1OUT)-(0))&gt;=0,1,-1)*QUOTIENT(((c_TMAP1IN)-(c_TFWD)),2)),((c_TMAP1IN)-(c_TFWD)))+(0)+IF(((c_TMAP1OUT)-(0))&gt;=0,IF(IF(o_WRAP=1,MOD(((c_TMAP1IN)-(c_TFWD))*(((A645)-(c_TFWD))*((c_TMAP1OUT)-(0))+IF(((c_TMAP1OUT)-(0))&gt;=0,1,-1)*QUOTIENT(((c_TMAP1IN)-(c_TFWD)),2))+2147483648,4294967296)-2147483648,((c_TMAP1IN)-(c_TFWD))*(((A645)-(c_TFWD))*((c_TMAP1OUT)-(0))+IF(((c_TMAP1OUT)-(0))&gt;=0,1,-1)*QUOTIENT(((c_TMAP1IN)-(c_TFWD)),2)))&lt;0,-1,0),IF(IF(o_WRAP=1,MOD(((c_TMAP1IN)-(c_TFWD))*(((A645)-(c_TFWD))*((c_TMAP1OUT)-(0))+IF(((c_TMAP1OUT)-(0))&gt;=0,1,-1)*QUOTIENT(((c_TMAP1IN)-(c_TFWD)),2))+2147483648,4294967296)-2147483648,((c_TMAP1IN)-(c_TFWD))*(((A645)-(c_TFWD))*((c_TMAP1OUT)-(0))+IF(((c_TMAP1OUT)-(0))&gt;=0,1,-1)*QUOTIENT(((c_TMAP1IN)-(c_TFWD)),2)))&gt;=0,1,0)))</f>
        <v>490</v>
      </c>
      <c r="E645" s="7" t="n">
        <f aca="false">IF(((c_TMAP2IN)-(c_TMAP1IN))=0,(c_TMAP1OUT)+QUOTIENT(((c_TMAP2OUT)-(c_TMAP1OUT)),2),QUOTIENT((((A645)-(c_TMAP1IN))*((c_TMAP2OUT)-(c_TMAP1OUT))+IF(((c_TMAP2OUT)-(c_TMAP1OUT))&gt;=0,1,-1)*QUOTIENT(((c_TMAP2IN)-(c_TMAP1IN)),2)),((c_TMAP2IN)-(c_TMAP1IN)))+(c_TMAP1OUT)+IF(((c_TMAP2OUT)-(c_TMAP1OUT))&gt;=0,IF(IF(o_WRAP=1,MOD(((c_TMAP2IN)-(c_TMAP1IN))*(((A645)-(c_TMAP1IN))*((c_TMAP2OUT)-(c_TMAP1OUT))+IF(((c_TMAP2OUT)-(c_TMAP1OUT))&gt;=0,1,-1)*QUOTIENT(((c_TMAP2IN)-(c_TMAP1IN)),2))+2147483648,4294967296)-2147483648,((c_TMAP2IN)-(c_TMAP1IN))*(((A645)-(c_TMAP1IN))*((c_TMAP2OUT)-(c_TMAP1OUT))+IF(((c_TMAP2OUT)-(c_TMAP1OUT))&gt;=0,1,-1)*QUOTIENT(((c_TMAP2IN)-(c_TMAP1IN)),2)))&lt;0,-1,0),IF(IF(o_WRAP=1,MOD(((c_TMAP2IN)-(c_TMAP1IN))*(((A645)-(c_TMAP1IN))*((c_TMAP2OUT)-(c_TMAP1OUT))+IF(((c_TMAP2OUT)-(c_TMAP1OUT))&gt;=0,1,-1)*QUOTIENT(((c_TMAP2IN)-(c_TMAP1IN)),2))+2147483648,4294967296)-2147483648,((c_TMAP2IN)-(c_TMAP1IN))*(((A645)-(c_TMAP1IN))*((c_TMAP2OUT)-(c_TMAP1OUT))+IF(((c_TMAP2OUT)-(c_TMAP1OUT))&gt;=0,1,-1)*QUOTIENT(((c_TMAP2IN)-(c_TMAP1IN)),2)))&gt;=0,1,0)))</f>
        <v>286</v>
      </c>
      <c r="F645" s="7" t="n">
        <f aca="false">IF(((c_TMAP3IN)-(c_TMAP2IN))=0,(c_TMAP2OUT)+QUOTIENT(((c_TMAP3OUT)-(c_TMAP2OUT)),2),QUOTIENT((((A645)-(c_TMAP2IN))*((c_TMAP3OUT)-(c_TMAP2OUT))+IF(((c_TMAP3OUT)-(c_TMAP2OUT))&gt;=0,1,-1)*QUOTIENT(((c_TMAP3IN)-(c_TMAP2IN)),2)),((c_TMAP3IN)-(c_TMAP2IN)))+(c_TMAP2OUT)+IF(((c_TMAP3OUT)-(c_TMAP2OUT))&gt;=0,IF(IF(o_WRAP=1,MOD(((c_TMAP3IN)-(c_TMAP2IN))*(((A645)-(c_TMAP2IN))*((c_TMAP3OUT)-(c_TMAP2OUT))+IF(((c_TMAP3OUT)-(c_TMAP2OUT))&gt;=0,1,-1)*QUOTIENT(((c_TMAP3IN)-(c_TMAP2IN)),2))+2147483648,4294967296)-2147483648,((c_TMAP3IN)-(c_TMAP2IN))*(((A645)-(c_TMAP2IN))*((c_TMAP3OUT)-(c_TMAP2OUT))+IF(((c_TMAP3OUT)-(c_TMAP2OUT))&gt;=0,1,-1)*QUOTIENT(((c_TMAP3IN)-(c_TMAP2IN)),2)))&lt;0,-1,0),IF(IF(o_WRAP=1,MOD(((c_TMAP3IN)-(c_TMAP2IN))*(((A645)-(c_TMAP2IN))*((c_TMAP3OUT)-(c_TMAP2OUT))+IF(((c_TMAP3OUT)-(c_TMAP2OUT))&gt;=0,1,-1)*QUOTIENT(((c_TMAP3IN)-(c_TMAP2IN)),2))+2147483648,4294967296)-2147483648,((c_TMAP3IN)-(c_TMAP2IN))*(((A645)-(c_TMAP2IN))*((c_TMAP3OUT)-(c_TMAP2OUT))+IF(((c_TMAP3OUT)-(c_TMAP2OUT))&gt;=0,1,-1)*QUOTIENT(((c_TMAP3IN)-(c_TMAP2IN)),2)))&gt;=0,1,0)))</f>
        <v>403</v>
      </c>
      <c r="G645" s="7" t="n">
        <f aca="false">IF(((1000)-(c_TMAP3IN))=0,(c_TMAP3OUT)+QUOTIENT(((1000)-(c_TMAP3OUT)),2),QUOTIENT((((A645)-(c_TMAP3IN))*((1000)-(c_TMAP3OUT))+IF(((1000)-(c_TMAP3OUT))&gt;=0,1,-1)*QUOTIENT(((1000)-(c_TMAP3IN)),2)),((1000)-(c_TMAP3IN)))+(c_TMAP3OUT)+IF(((1000)-(c_TMAP3OUT))&gt;=0,IF(IF(o_WRAP=1,MOD(((1000)-(c_TMAP3IN))*(((A645)-(c_TMAP3IN))*((1000)-(c_TMAP3OUT))+IF(((1000)-(c_TMAP3OUT))&gt;=0,1,-1)*QUOTIENT(((1000)-(c_TMAP3IN)),2))+2147483648,4294967296)-2147483648,((1000)-(c_TMAP3IN))*(((A645)-(c_TMAP3IN))*((1000)-(c_TMAP3OUT))+IF(((1000)-(c_TMAP3OUT))&gt;=0,1,-1)*QUOTIENT(((1000)-(c_TMAP3IN)),2)))&lt;0,-1,0),IF(IF(o_WRAP=1,MOD(((1000)-(c_TMAP3IN))*(((A645)-(c_TMAP3IN))*((1000)-(c_TMAP3OUT))+IF(((1000)-(c_TMAP3OUT))&gt;=0,1,-1)*QUOTIENT(((1000)-(c_TMAP3IN)),2))+2147483648,4294967296)-2147483648,((1000)-(c_TMAP3IN))*(((A645)-(c_TMAP3IN))*((1000)-(c_TMAP3OUT))+IF(((1000)-(c_TMAP3OUT))&gt;=0,1,-1)*QUOTIENT(((1000)-(c_TMAP3IN)),2)))&gt;=0,1,0)))</f>
        <v>557</v>
      </c>
      <c r="H645" s="7" t="str">
        <f aca="false">IF(A645&gt;=c_TFWD,IF(AND(A645&gt;=c_TMAP3IN,c_TMAP3IN&lt;1000),"Seg4 map3-100%",IF(AND(A645&gt;=c_TMAP2IN,c_TMAP3IN&gt;c_TMAP2IN),"Seg3 map2-map3",IF(AND(A645&gt;=c_TMAP1IN,c_TMAP2IN&gt;c_TMAP1IN),"Seg2 map1-map2","Seg1 TFWD-map1"))),IF(AND(A645=0,c_TCREEP&gt;0),"Creep",IF(AND(A645&lt;=c_TRNGMIN,A645&gt;=c_TRNGMAX,c_TRNGMIN-c_TRNGMAX&lt;&gt;0),"Regen ramp","Coast (0)")))</f>
        <v>Seg4 map3-100%</v>
      </c>
      <c r="I645" s="7" t="n">
        <f aca="false">IF(A645&gt;=c_TFWD,IF(AND(A645&gt;=c_TMAP3IN,c_TMAP3IN&lt;1000),G645,IF(AND(A645&gt;=c_TMAP2IN,c_TMAP3IN&gt;c_TMAP2IN),F645,IF(AND(A645&gt;=c_TMAP1IN,c_TMAP2IN&gt;c_TMAP1IN),E645,D645))),C645)</f>
        <v>557</v>
      </c>
      <c r="J645" s="7" t="str">
        <f aca="false">IF(I645&lt;-1090,"TOO LOW",IF(I645&gt;1090,"TOO HIGH",""))</f>
        <v/>
      </c>
      <c r="K645" s="15" t="n">
        <f aca="false">IF(J645&lt;&gt;"",0,IF(I645&gt;979,1000,I645))</f>
        <v>557</v>
      </c>
      <c r="L645" s="7" t="n">
        <f aca="false">K645/10</f>
        <v>55.7</v>
      </c>
    </row>
    <row r="646" customFormat="false" ht="15" hidden="false" customHeight="false" outlineLevel="0" collapsed="false">
      <c r="A646" s="7" t="n">
        <v>641</v>
      </c>
      <c r="B646" s="7" t="n">
        <f aca="false">A646/10</f>
        <v>64.1</v>
      </c>
      <c r="C646" s="7" t="n">
        <f aca="false">IF(AND(A646=0,c_TCREEP&gt;0),10*c_TCREEP,IF(AND(A646&lt;=c_TRNGMIN,A646&gt;=c_TRNGMAX,c_TRNGMIN-c_TRNGMAX&lt;&gt;0),-10*c_TMINRN+QUOTIENT((c_TMAXRN-c_TMINRN)*(100-QUOTIENT((A646-c_TRNGMAX)*100,c_TRNGMIN-c_TRNGMAX)),-10),0))</f>
        <v>0</v>
      </c>
      <c r="D646" s="7" t="n">
        <f aca="false">IF(((c_TMAP1IN)-(c_TFWD))=0,(0)+QUOTIENT(((c_TMAP1OUT)-(0)),2),QUOTIENT((((A646)-(c_TFWD))*((c_TMAP1OUT)-(0))+IF(((c_TMAP1OUT)-(0))&gt;=0,1,-1)*QUOTIENT(((c_TMAP1IN)-(c_TFWD)),2)),((c_TMAP1IN)-(c_TFWD)))+(0)+IF(((c_TMAP1OUT)-(0))&gt;=0,IF(IF(o_WRAP=1,MOD(((c_TMAP1IN)-(c_TFWD))*(((A646)-(c_TFWD))*((c_TMAP1OUT)-(0))+IF(((c_TMAP1OUT)-(0))&gt;=0,1,-1)*QUOTIENT(((c_TMAP1IN)-(c_TFWD)),2))+2147483648,4294967296)-2147483648,((c_TMAP1IN)-(c_TFWD))*(((A646)-(c_TFWD))*((c_TMAP1OUT)-(0))+IF(((c_TMAP1OUT)-(0))&gt;=0,1,-1)*QUOTIENT(((c_TMAP1IN)-(c_TFWD)),2)))&lt;0,-1,0),IF(IF(o_WRAP=1,MOD(((c_TMAP1IN)-(c_TFWD))*(((A646)-(c_TFWD))*((c_TMAP1OUT)-(0))+IF(((c_TMAP1OUT)-(0))&gt;=0,1,-1)*QUOTIENT(((c_TMAP1IN)-(c_TFWD)),2))+2147483648,4294967296)-2147483648,((c_TMAP1IN)-(c_TFWD))*(((A646)-(c_TFWD))*((c_TMAP1OUT)-(0))+IF(((c_TMAP1OUT)-(0))&gt;=0,1,-1)*QUOTIENT(((c_TMAP1IN)-(c_TFWD)),2)))&gt;=0,1,0)))</f>
        <v>491</v>
      </c>
      <c r="E646" s="7" t="n">
        <f aca="false">IF(((c_TMAP2IN)-(c_TMAP1IN))=0,(c_TMAP1OUT)+QUOTIENT(((c_TMAP2OUT)-(c_TMAP1OUT)),2),QUOTIENT((((A646)-(c_TMAP1IN))*((c_TMAP2OUT)-(c_TMAP1OUT))+IF(((c_TMAP2OUT)-(c_TMAP1OUT))&gt;=0,1,-1)*QUOTIENT(((c_TMAP2IN)-(c_TMAP1IN)),2)),((c_TMAP2IN)-(c_TMAP1IN)))+(c_TMAP1OUT)+IF(((c_TMAP2OUT)-(c_TMAP1OUT))&gt;=0,IF(IF(o_WRAP=1,MOD(((c_TMAP2IN)-(c_TMAP1IN))*(((A646)-(c_TMAP1IN))*((c_TMAP2OUT)-(c_TMAP1OUT))+IF(((c_TMAP2OUT)-(c_TMAP1OUT))&gt;=0,1,-1)*QUOTIENT(((c_TMAP2IN)-(c_TMAP1IN)),2))+2147483648,4294967296)-2147483648,((c_TMAP2IN)-(c_TMAP1IN))*(((A646)-(c_TMAP1IN))*((c_TMAP2OUT)-(c_TMAP1OUT))+IF(((c_TMAP2OUT)-(c_TMAP1OUT))&gt;=0,1,-1)*QUOTIENT(((c_TMAP2IN)-(c_TMAP1IN)),2)))&lt;0,-1,0),IF(IF(o_WRAP=1,MOD(((c_TMAP2IN)-(c_TMAP1IN))*(((A646)-(c_TMAP1IN))*((c_TMAP2OUT)-(c_TMAP1OUT))+IF(((c_TMAP2OUT)-(c_TMAP1OUT))&gt;=0,1,-1)*QUOTIENT(((c_TMAP2IN)-(c_TMAP1IN)),2))+2147483648,4294967296)-2147483648,((c_TMAP2IN)-(c_TMAP1IN))*(((A646)-(c_TMAP1IN))*((c_TMAP2OUT)-(c_TMAP1OUT))+IF(((c_TMAP2OUT)-(c_TMAP1OUT))&gt;=0,1,-1)*QUOTIENT(((c_TMAP2IN)-(c_TMAP1IN)),2)))&gt;=0,1,0)))</f>
        <v>286</v>
      </c>
      <c r="F646" s="7" t="n">
        <f aca="false">IF(((c_TMAP3IN)-(c_TMAP2IN))=0,(c_TMAP2OUT)+QUOTIENT(((c_TMAP3OUT)-(c_TMAP2OUT)),2),QUOTIENT((((A646)-(c_TMAP2IN))*((c_TMAP3OUT)-(c_TMAP2OUT))+IF(((c_TMAP3OUT)-(c_TMAP2OUT))&gt;=0,1,-1)*QUOTIENT(((c_TMAP3IN)-(c_TMAP2IN)),2)),((c_TMAP3IN)-(c_TMAP2IN)))+(c_TMAP2OUT)+IF(((c_TMAP3OUT)-(c_TMAP2OUT))&gt;=0,IF(IF(o_WRAP=1,MOD(((c_TMAP3IN)-(c_TMAP2IN))*(((A646)-(c_TMAP2IN))*((c_TMAP3OUT)-(c_TMAP2OUT))+IF(((c_TMAP3OUT)-(c_TMAP2OUT))&gt;=0,1,-1)*QUOTIENT(((c_TMAP3IN)-(c_TMAP2IN)),2))+2147483648,4294967296)-2147483648,((c_TMAP3IN)-(c_TMAP2IN))*(((A646)-(c_TMAP2IN))*((c_TMAP3OUT)-(c_TMAP2OUT))+IF(((c_TMAP3OUT)-(c_TMAP2OUT))&gt;=0,1,-1)*QUOTIENT(((c_TMAP3IN)-(c_TMAP2IN)),2)))&lt;0,-1,0),IF(IF(o_WRAP=1,MOD(((c_TMAP3IN)-(c_TMAP2IN))*(((A646)-(c_TMAP2IN))*((c_TMAP3OUT)-(c_TMAP2OUT))+IF(((c_TMAP3OUT)-(c_TMAP2OUT))&gt;=0,1,-1)*QUOTIENT(((c_TMAP3IN)-(c_TMAP2IN)),2))+2147483648,4294967296)-2147483648,((c_TMAP3IN)-(c_TMAP2IN))*(((A646)-(c_TMAP2IN))*((c_TMAP3OUT)-(c_TMAP2OUT))+IF(((c_TMAP3OUT)-(c_TMAP2OUT))&gt;=0,1,-1)*QUOTIENT(((c_TMAP3IN)-(c_TMAP2IN)),2)))&gt;=0,1,0)))</f>
        <v>404</v>
      </c>
      <c r="G646" s="7" t="n">
        <f aca="false">IF(((1000)-(c_TMAP3IN))=0,(c_TMAP3OUT)+QUOTIENT(((1000)-(c_TMAP3OUT)),2),QUOTIENT((((A646)-(c_TMAP3IN))*((1000)-(c_TMAP3OUT))+IF(((1000)-(c_TMAP3OUT))&gt;=0,1,-1)*QUOTIENT(((1000)-(c_TMAP3IN)),2)),((1000)-(c_TMAP3IN)))+(c_TMAP3OUT)+IF(((1000)-(c_TMAP3OUT))&gt;=0,IF(IF(o_WRAP=1,MOD(((1000)-(c_TMAP3IN))*(((A646)-(c_TMAP3IN))*((1000)-(c_TMAP3OUT))+IF(((1000)-(c_TMAP3OUT))&gt;=0,1,-1)*QUOTIENT(((1000)-(c_TMAP3IN)),2))+2147483648,4294967296)-2147483648,((1000)-(c_TMAP3IN))*(((A646)-(c_TMAP3IN))*((1000)-(c_TMAP3OUT))+IF(((1000)-(c_TMAP3OUT))&gt;=0,1,-1)*QUOTIENT(((1000)-(c_TMAP3IN)),2)))&lt;0,-1,0),IF(IF(o_WRAP=1,MOD(((1000)-(c_TMAP3IN))*(((A646)-(c_TMAP3IN))*((1000)-(c_TMAP3OUT))+IF(((1000)-(c_TMAP3OUT))&gt;=0,1,-1)*QUOTIENT(((1000)-(c_TMAP3IN)),2))+2147483648,4294967296)-2147483648,((1000)-(c_TMAP3IN))*(((A646)-(c_TMAP3IN))*((1000)-(c_TMAP3OUT))+IF(((1000)-(c_TMAP3OUT))&gt;=0,1,-1)*QUOTIENT(((1000)-(c_TMAP3IN)),2)))&gt;=0,1,0)))</f>
        <v>558</v>
      </c>
      <c r="H646" s="7" t="str">
        <f aca="false">IF(A646&gt;=c_TFWD,IF(AND(A646&gt;=c_TMAP3IN,c_TMAP3IN&lt;1000),"Seg4 map3-100%",IF(AND(A646&gt;=c_TMAP2IN,c_TMAP3IN&gt;c_TMAP2IN),"Seg3 map2-map3",IF(AND(A646&gt;=c_TMAP1IN,c_TMAP2IN&gt;c_TMAP1IN),"Seg2 map1-map2","Seg1 TFWD-map1"))),IF(AND(A646=0,c_TCREEP&gt;0),"Creep",IF(AND(A646&lt;=c_TRNGMIN,A646&gt;=c_TRNGMAX,c_TRNGMIN-c_TRNGMAX&lt;&gt;0),"Regen ramp","Coast (0)")))</f>
        <v>Seg4 map3-100%</v>
      </c>
      <c r="I646" s="7" t="n">
        <f aca="false">IF(A646&gt;=c_TFWD,IF(AND(A646&gt;=c_TMAP3IN,c_TMAP3IN&lt;1000),G646,IF(AND(A646&gt;=c_TMAP2IN,c_TMAP3IN&gt;c_TMAP2IN),F646,IF(AND(A646&gt;=c_TMAP1IN,c_TMAP2IN&gt;c_TMAP1IN),E646,D646))),C646)</f>
        <v>558</v>
      </c>
      <c r="J646" s="7" t="str">
        <f aca="false">IF(I646&lt;-1090,"TOO LOW",IF(I646&gt;1090,"TOO HIGH",""))</f>
        <v/>
      </c>
      <c r="K646" s="15" t="n">
        <f aca="false">IF(J646&lt;&gt;"",0,IF(I646&gt;979,1000,I646))</f>
        <v>558</v>
      </c>
      <c r="L646" s="7" t="n">
        <f aca="false">K646/10</f>
        <v>55.8</v>
      </c>
    </row>
    <row r="647" customFormat="false" ht="15" hidden="false" customHeight="false" outlineLevel="0" collapsed="false">
      <c r="A647" s="7" t="n">
        <v>642</v>
      </c>
      <c r="B647" s="7" t="n">
        <f aca="false">A647/10</f>
        <v>64.2</v>
      </c>
      <c r="C647" s="7" t="n">
        <f aca="false">IF(AND(A647=0,c_TCREEP&gt;0),10*c_TCREEP,IF(AND(A647&lt;=c_TRNGMIN,A647&gt;=c_TRNGMAX,c_TRNGMIN-c_TRNGMAX&lt;&gt;0),-10*c_TMINRN+QUOTIENT((c_TMAXRN-c_TMINRN)*(100-QUOTIENT((A647-c_TRNGMAX)*100,c_TRNGMIN-c_TRNGMAX)),-10),0))</f>
        <v>0</v>
      </c>
      <c r="D647" s="7" t="n">
        <f aca="false">IF(((c_TMAP1IN)-(c_TFWD))=0,(0)+QUOTIENT(((c_TMAP1OUT)-(0)),2),QUOTIENT((((A647)-(c_TFWD))*((c_TMAP1OUT)-(0))+IF(((c_TMAP1OUT)-(0))&gt;=0,1,-1)*QUOTIENT(((c_TMAP1IN)-(c_TFWD)),2)),((c_TMAP1IN)-(c_TFWD)))+(0)+IF(((c_TMAP1OUT)-(0))&gt;=0,IF(IF(o_WRAP=1,MOD(((c_TMAP1IN)-(c_TFWD))*(((A647)-(c_TFWD))*((c_TMAP1OUT)-(0))+IF(((c_TMAP1OUT)-(0))&gt;=0,1,-1)*QUOTIENT(((c_TMAP1IN)-(c_TFWD)),2))+2147483648,4294967296)-2147483648,((c_TMAP1IN)-(c_TFWD))*(((A647)-(c_TFWD))*((c_TMAP1OUT)-(0))+IF(((c_TMAP1OUT)-(0))&gt;=0,1,-1)*QUOTIENT(((c_TMAP1IN)-(c_TFWD)),2)))&lt;0,-1,0),IF(IF(o_WRAP=1,MOD(((c_TMAP1IN)-(c_TFWD))*(((A647)-(c_TFWD))*((c_TMAP1OUT)-(0))+IF(((c_TMAP1OUT)-(0))&gt;=0,1,-1)*QUOTIENT(((c_TMAP1IN)-(c_TFWD)),2))+2147483648,4294967296)-2147483648,((c_TMAP1IN)-(c_TFWD))*(((A647)-(c_TFWD))*((c_TMAP1OUT)-(0))+IF(((c_TMAP1OUT)-(0))&gt;=0,1,-1)*QUOTIENT(((c_TMAP1IN)-(c_TFWD)),2)))&gt;=0,1,0)))</f>
        <v>492</v>
      </c>
      <c r="E647" s="7" t="n">
        <f aca="false">IF(((c_TMAP2IN)-(c_TMAP1IN))=0,(c_TMAP1OUT)+QUOTIENT(((c_TMAP2OUT)-(c_TMAP1OUT)),2),QUOTIENT((((A647)-(c_TMAP1IN))*((c_TMAP2OUT)-(c_TMAP1OUT))+IF(((c_TMAP2OUT)-(c_TMAP1OUT))&gt;=0,1,-1)*QUOTIENT(((c_TMAP2IN)-(c_TMAP1IN)),2)),((c_TMAP2IN)-(c_TMAP1IN)))+(c_TMAP1OUT)+IF(((c_TMAP2OUT)-(c_TMAP1OUT))&gt;=0,IF(IF(o_WRAP=1,MOD(((c_TMAP2IN)-(c_TMAP1IN))*(((A647)-(c_TMAP1IN))*((c_TMAP2OUT)-(c_TMAP1OUT))+IF(((c_TMAP2OUT)-(c_TMAP1OUT))&gt;=0,1,-1)*QUOTIENT(((c_TMAP2IN)-(c_TMAP1IN)),2))+2147483648,4294967296)-2147483648,((c_TMAP2IN)-(c_TMAP1IN))*(((A647)-(c_TMAP1IN))*((c_TMAP2OUT)-(c_TMAP1OUT))+IF(((c_TMAP2OUT)-(c_TMAP1OUT))&gt;=0,1,-1)*QUOTIENT(((c_TMAP2IN)-(c_TMAP1IN)),2)))&lt;0,-1,0),IF(IF(o_WRAP=1,MOD(((c_TMAP2IN)-(c_TMAP1IN))*(((A647)-(c_TMAP1IN))*((c_TMAP2OUT)-(c_TMAP1OUT))+IF(((c_TMAP2OUT)-(c_TMAP1OUT))&gt;=0,1,-1)*QUOTIENT(((c_TMAP2IN)-(c_TMAP1IN)),2))+2147483648,4294967296)-2147483648,((c_TMAP2IN)-(c_TMAP1IN))*(((A647)-(c_TMAP1IN))*((c_TMAP2OUT)-(c_TMAP1OUT))+IF(((c_TMAP2OUT)-(c_TMAP1OUT))&gt;=0,1,-1)*QUOTIENT(((c_TMAP2IN)-(c_TMAP1IN)),2)))&gt;=0,1,0)))</f>
        <v>287</v>
      </c>
      <c r="F647" s="7" t="n">
        <f aca="false">IF(((c_TMAP3IN)-(c_TMAP2IN))=0,(c_TMAP2OUT)+QUOTIENT(((c_TMAP3OUT)-(c_TMAP2OUT)),2),QUOTIENT((((A647)-(c_TMAP2IN))*((c_TMAP3OUT)-(c_TMAP2OUT))+IF(((c_TMAP3OUT)-(c_TMAP2OUT))&gt;=0,1,-1)*QUOTIENT(((c_TMAP3IN)-(c_TMAP2IN)),2)),((c_TMAP3IN)-(c_TMAP2IN)))+(c_TMAP2OUT)+IF(((c_TMAP3OUT)-(c_TMAP2OUT))&gt;=0,IF(IF(o_WRAP=1,MOD(((c_TMAP3IN)-(c_TMAP2IN))*(((A647)-(c_TMAP2IN))*((c_TMAP3OUT)-(c_TMAP2OUT))+IF(((c_TMAP3OUT)-(c_TMAP2OUT))&gt;=0,1,-1)*QUOTIENT(((c_TMAP3IN)-(c_TMAP2IN)),2))+2147483648,4294967296)-2147483648,((c_TMAP3IN)-(c_TMAP2IN))*(((A647)-(c_TMAP2IN))*((c_TMAP3OUT)-(c_TMAP2OUT))+IF(((c_TMAP3OUT)-(c_TMAP2OUT))&gt;=0,1,-1)*QUOTIENT(((c_TMAP3IN)-(c_TMAP2IN)),2)))&lt;0,-1,0),IF(IF(o_WRAP=1,MOD(((c_TMAP3IN)-(c_TMAP2IN))*(((A647)-(c_TMAP2IN))*((c_TMAP3OUT)-(c_TMAP2OUT))+IF(((c_TMAP3OUT)-(c_TMAP2OUT))&gt;=0,1,-1)*QUOTIENT(((c_TMAP3IN)-(c_TMAP2IN)),2))+2147483648,4294967296)-2147483648,((c_TMAP3IN)-(c_TMAP2IN))*(((A647)-(c_TMAP2IN))*((c_TMAP3OUT)-(c_TMAP2OUT))+IF(((c_TMAP3OUT)-(c_TMAP2OUT))&gt;=0,1,-1)*QUOTIENT(((c_TMAP3IN)-(c_TMAP2IN)),2)))&gt;=0,1,0)))</f>
        <v>404</v>
      </c>
      <c r="G647" s="7" t="n">
        <f aca="false">IF(((1000)-(c_TMAP3IN))=0,(c_TMAP3OUT)+QUOTIENT(((1000)-(c_TMAP3OUT)),2),QUOTIENT((((A647)-(c_TMAP3IN))*((1000)-(c_TMAP3OUT))+IF(((1000)-(c_TMAP3OUT))&gt;=0,1,-1)*QUOTIENT(((1000)-(c_TMAP3IN)),2)),((1000)-(c_TMAP3IN)))+(c_TMAP3OUT)+IF(((1000)-(c_TMAP3OUT))&gt;=0,IF(IF(o_WRAP=1,MOD(((1000)-(c_TMAP3IN))*(((A647)-(c_TMAP3IN))*((1000)-(c_TMAP3OUT))+IF(((1000)-(c_TMAP3OUT))&gt;=0,1,-1)*QUOTIENT(((1000)-(c_TMAP3IN)),2))+2147483648,4294967296)-2147483648,((1000)-(c_TMAP3IN))*(((A647)-(c_TMAP3IN))*((1000)-(c_TMAP3OUT))+IF(((1000)-(c_TMAP3OUT))&gt;=0,1,-1)*QUOTIENT(((1000)-(c_TMAP3IN)),2)))&lt;0,-1,0),IF(IF(o_WRAP=1,MOD(((1000)-(c_TMAP3IN))*(((A647)-(c_TMAP3IN))*((1000)-(c_TMAP3OUT))+IF(((1000)-(c_TMAP3OUT))&gt;=0,1,-1)*QUOTIENT(((1000)-(c_TMAP3IN)),2))+2147483648,4294967296)-2147483648,((1000)-(c_TMAP3IN))*(((A647)-(c_TMAP3IN))*((1000)-(c_TMAP3OUT))+IF(((1000)-(c_TMAP3OUT))&gt;=0,1,-1)*QUOTIENT(((1000)-(c_TMAP3IN)),2)))&gt;=0,1,0)))</f>
        <v>559</v>
      </c>
      <c r="H647" s="7" t="str">
        <f aca="false">IF(A647&gt;=c_TFWD,IF(AND(A647&gt;=c_TMAP3IN,c_TMAP3IN&lt;1000),"Seg4 map3-100%",IF(AND(A647&gt;=c_TMAP2IN,c_TMAP3IN&gt;c_TMAP2IN),"Seg3 map2-map3",IF(AND(A647&gt;=c_TMAP1IN,c_TMAP2IN&gt;c_TMAP1IN),"Seg2 map1-map2","Seg1 TFWD-map1"))),IF(AND(A647=0,c_TCREEP&gt;0),"Creep",IF(AND(A647&lt;=c_TRNGMIN,A647&gt;=c_TRNGMAX,c_TRNGMIN-c_TRNGMAX&lt;&gt;0),"Regen ramp","Coast (0)")))</f>
        <v>Seg4 map3-100%</v>
      </c>
      <c r="I647" s="7" t="n">
        <f aca="false">IF(A647&gt;=c_TFWD,IF(AND(A647&gt;=c_TMAP3IN,c_TMAP3IN&lt;1000),G647,IF(AND(A647&gt;=c_TMAP2IN,c_TMAP3IN&gt;c_TMAP2IN),F647,IF(AND(A647&gt;=c_TMAP1IN,c_TMAP2IN&gt;c_TMAP1IN),E647,D647))),C647)</f>
        <v>559</v>
      </c>
      <c r="J647" s="7" t="str">
        <f aca="false">IF(I647&lt;-1090,"TOO LOW",IF(I647&gt;1090,"TOO HIGH",""))</f>
        <v/>
      </c>
      <c r="K647" s="15" t="n">
        <f aca="false">IF(J647&lt;&gt;"",0,IF(I647&gt;979,1000,I647))</f>
        <v>559</v>
      </c>
      <c r="L647" s="7" t="n">
        <f aca="false">K647/10</f>
        <v>55.9</v>
      </c>
    </row>
    <row r="648" customFormat="false" ht="15" hidden="false" customHeight="false" outlineLevel="0" collapsed="false">
      <c r="A648" s="7" t="n">
        <v>643</v>
      </c>
      <c r="B648" s="7" t="n">
        <f aca="false">A648/10</f>
        <v>64.3</v>
      </c>
      <c r="C648" s="7" t="n">
        <f aca="false">IF(AND(A648=0,c_TCREEP&gt;0),10*c_TCREEP,IF(AND(A648&lt;=c_TRNGMIN,A648&gt;=c_TRNGMAX,c_TRNGMIN-c_TRNGMAX&lt;&gt;0),-10*c_TMINRN+QUOTIENT((c_TMAXRN-c_TMINRN)*(100-QUOTIENT((A648-c_TRNGMAX)*100,c_TRNGMIN-c_TRNGMAX)),-10),0))</f>
        <v>0</v>
      </c>
      <c r="D648" s="7" t="n">
        <f aca="false">IF(((c_TMAP1IN)-(c_TFWD))=0,(0)+QUOTIENT(((c_TMAP1OUT)-(0)),2),QUOTIENT((((A648)-(c_TFWD))*((c_TMAP1OUT)-(0))+IF(((c_TMAP1OUT)-(0))&gt;=0,1,-1)*QUOTIENT(((c_TMAP1IN)-(c_TFWD)),2)),((c_TMAP1IN)-(c_TFWD)))+(0)+IF(((c_TMAP1OUT)-(0))&gt;=0,IF(IF(o_WRAP=1,MOD(((c_TMAP1IN)-(c_TFWD))*(((A648)-(c_TFWD))*((c_TMAP1OUT)-(0))+IF(((c_TMAP1OUT)-(0))&gt;=0,1,-1)*QUOTIENT(((c_TMAP1IN)-(c_TFWD)),2))+2147483648,4294967296)-2147483648,((c_TMAP1IN)-(c_TFWD))*(((A648)-(c_TFWD))*((c_TMAP1OUT)-(0))+IF(((c_TMAP1OUT)-(0))&gt;=0,1,-1)*QUOTIENT(((c_TMAP1IN)-(c_TFWD)),2)))&lt;0,-1,0),IF(IF(o_WRAP=1,MOD(((c_TMAP1IN)-(c_TFWD))*(((A648)-(c_TFWD))*((c_TMAP1OUT)-(0))+IF(((c_TMAP1OUT)-(0))&gt;=0,1,-1)*QUOTIENT(((c_TMAP1IN)-(c_TFWD)),2))+2147483648,4294967296)-2147483648,((c_TMAP1IN)-(c_TFWD))*(((A648)-(c_TFWD))*((c_TMAP1OUT)-(0))+IF(((c_TMAP1OUT)-(0))&gt;=0,1,-1)*QUOTIENT(((c_TMAP1IN)-(c_TFWD)),2)))&gt;=0,1,0)))</f>
        <v>492</v>
      </c>
      <c r="E648" s="7" t="n">
        <f aca="false">IF(((c_TMAP2IN)-(c_TMAP1IN))=0,(c_TMAP1OUT)+QUOTIENT(((c_TMAP2OUT)-(c_TMAP1OUT)),2),QUOTIENT((((A648)-(c_TMAP1IN))*((c_TMAP2OUT)-(c_TMAP1OUT))+IF(((c_TMAP2OUT)-(c_TMAP1OUT))&gt;=0,1,-1)*QUOTIENT(((c_TMAP2IN)-(c_TMAP1IN)),2)),((c_TMAP2IN)-(c_TMAP1IN)))+(c_TMAP1OUT)+IF(((c_TMAP2OUT)-(c_TMAP1OUT))&gt;=0,IF(IF(o_WRAP=1,MOD(((c_TMAP2IN)-(c_TMAP1IN))*(((A648)-(c_TMAP1IN))*((c_TMAP2OUT)-(c_TMAP1OUT))+IF(((c_TMAP2OUT)-(c_TMAP1OUT))&gt;=0,1,-1)*QUOTIENT(((c_TMAP2IN)-(c_TMAP1IN)),2))+2147483648,4294967296)-2147483648,((c_TMAP2IN)-(c_TMAP1IN))*(((A648)-(c_TMAP1IN))*((c_TMAP2OUT)-(c_TMAP1OUT))+IF(((c_TMAP2OUT)-(c_TMAP1OUT))&gt;=0,1,-1)*QUOTIENT(((c_TMAP2IN)-(c_TMAP1IN)),2)))&lt;0,-1,0),IF(IF(o_WRAP=1,MOD(((c_TMAP2IN)-(c_TMAP1IN))*(((A648)-(c_TMAP1IN))*((c_TMAP2OUT)-(c_TMAP1OUT))+IF(((c_TMAP2OUT)-(c_TMAP1OUT))&gt;=0,1,-1)*QUOTIENT(((c_TMAP2IN)-(c_TMAP1IN)),2))+2147483648,4294967296)-2147483648,((c_TMAP2IN)-(c_TMAP1IN))*(((A648)-(c_TMAP1IN))*((c_TMAP2OUT)-(c_TMAP1OUT))+IF(((c_TMAP2OUT)-(c_TMAP1OUT))&gt;=0,1,-1)*QUOTIENT(((c_TMAP2IN)-(c_TMAP1IN)),2)))&gt;=0,1,0)))</f>
        <v>287</v>
      </c>
      <c r="F648" s="7" t="n">
        <f aca="false">IF(((c_TMAP3IN)-(c_TMAP2IN))=0,(c_TMAP2OUT)+QUOTIENT(((c_TMAP3OUT)-(c_TMAP2OUT)),2),QUOTIENT((((A648)-(c_TMAP2IN))*((c_TMAP3OUT)-(c_TMAP2OUT))+IF(((c_TMAP3OUT)-(c_TMAP2OUT))&gt;=0,1,-1)*QUOTIENT(((c_TMAP3IN)-(c_TMAP2IN)),2)),((c_TMAP3IN)-(c_TMAP2IN)))+(c_TMAP2OUT)+IF(((c_TMAP3OUT)-(c_TMAP2OUT))&gt;=0,IF(IF(o_WRAP=1,MOD(((c_TMAP3IN)-(c_TMAP2IN))*(((A648)-(c_TMAP2IN))*((c_TMAP3OUT)-(c_TMAP2OUT))+IF(((c_TMAP3OUT)-(c_TMAP2OUT))&gt;=0,1,-1)*QUOTIENT(((c_TMAP3IN)-(c_TMAP2IN)),2))+2147483648,4294967296)-2147483648,((c_TMAP3IN)-(c_TMAP2IN))*(((A648)-(c_TMAP2IN))*((c_TMAP3OUT)-(c_TMAP2OUT))+IF(((c_TMAP3OUT)-(c_TMAP2OUT))&gt;=0,1,-1)*QUOTIENT(((c_TMAP3IN)-(c_TMAP2IN)),2)))&lt;0,-1,0),IF(IF(o_WRAP=1,MOD(((c_TMAP3IN)-(c_TMAP2IN))*(((A648)-(c_TMAP2IN))*((c_TMAP3OUT)-(c_TMAP2OUT))+IF(((c_TMAP3OUT)-(c_TMAP2OUT))&gt;=0,1,-1)*QUOTIENT(((c_TMAP3IN)-(c_TMAP2IN)),2))+2147483648,4294967296)-2147483648,((c_TMAP3IN)-(c_TMAP2IN))*(((A648)-(c_TMAP2IN))*((c_TMAP3OUT)-(c_TMAP2OUT))+IF(((c_TMAP3OUT)-(c_TMAP2OUT))&gt;=0,1,-1)*QUOTIENT(((c_TMAP3IN)-(c_TMAP2IN)),2)))&gt;=0,1,0)))</f>
        <v>405</v>
      </c>
      <c r="G648" s="7" t="n">
        <f aca="false">IF(((1000)-(c_TMAP3IN))=0,(c_TMAP3OUT)+QUOTIENT(((1000)-(c_TMAP3OUT)),2),QUOTIENT((((A648)-(c_TMAP3IN))*((1000)-(c_TMAP3OUT))+IF(((1000)-(c_TMAP3OUT))&gt;=0,1,-1)*QUOTIENT(((1000)-(c_TMAP3IN)),2)),((1000)-(c_TMAP3IN)))+(c_TMAP3OUT)+IF(((1000)-(c_TMAP3OUT))&gt;=0,IF(IF(o_WRAP=1,MOD(((1000)-(c_TMAP3IN))*(((A648)-(c_TMAP3IN))*((1000)-(c_TMAP3OUT))+IF(((1000)-(c_TMAP3OUT))&gt;=0,1,-1)*QUOTIENT(((1000)-(c_TMAP3IN)),2))+2147483648,4294967296)-2147483648,((1000)-(c_TMAP3IN))*(((A648)-(c_TMAP3IN))*((1000)-(c_TMAP3OUT))+IF(((1000)-(c_TMAP3OUT))&gt;=0,1,-1)*QUOTIENT(((1000)-(c_TMAP3IN)),2)))&lt;0,-1,0),IF(IF(o_WRAP=1,MOD(((1000)-(c_TMAP3IN))*(((A648)-(c_TMAP3IN))*((1000)-(c_TMAP3OUT))+IF(((1000)-(c_TMAP3OUT))&gt;=0,1,-1)*QUOTIENT(((1000)-(c_TMAP3IN)),2))+2147483648,4294967296)-2147483648,((1000)-(c_TMAP3IN))*(((A648)-(c_TMAP3IN))*((1000)-(c_TMAP3OUT))+IF(((1000)-(c_TMAP3OUT))&gt;=0,1,-1)*QUOTIENT(((1000)-(c_TMAP3IN)),2)))&gt;=0,1,0)))</f>
        <v>561</v>
      </c>
      <c r="H648" s="7" t="str">
        <f aca="false">IF(A648&gt;=c_TFWD,IF(AND(A648&gt;=c_TMAP3IN,c_TMAP3IN&lt;1000),"Seg4 map3-100%",IF(AND(A648&gt;=c_TMAP2IN,c_TMAP3IN&gt;c_TMAP2IN),"Seg3 map2-map3",IF(AND(A648&gt;=c_TMAP1IN,c_TMAP2IN&gt;c_TMAP1IN),"Seg2 map1-map2","Seg1 TFWD-map1"))),IF(AND(A648=0,c_TCREEP&gt;0),"Creep",IF(AND(A648&lt;=c_TRNGMIN,A648&gt;=c_TRNGMAX,c_TRNGMIN-c_TRNGMAX&lt;&gt;0),"Regen ramp","Coast (0)")))</f>
        <v>Seg4 map3-100%</v>
      </c>
      <c r="I648" s="7" t="n">
        <f aca="false">IF(A648&gt;=c_TFWD,IF(AND(A648&gt;=c_TMAP3IN,c_TMAP3IN&lt;1000),G648,IF(AND(A648&gt;=c_TMAP2IN,c_TMAP3IN&gt;c_TMAP2IN),F648,IF(AND(A648&gt;=c_TMAP1IN,c_TMAP2IN&gt;c_TMAP1IN),E648,D648))),C648)</f>
        <v>561</v>
      </c>
      <c r="J648" s="7" t="str">
        <f aca="false">IF(I648&lt;-1090,"TOO LOW",IF(I648&gt;1090,"TOO HIGH",""))</f>
        <v/>
      </c>
      <c r="K648" s="15" t="n">
        <f aca="false">IF(J648&lt;&gt;"",0,IF(I648&gt;979,1000,I648))</f>
        <v>561</v>
      </c>
      <c r="L648" s="7" t="n">
        <f aca="false">K648/10</f>
        <v>56.1</v>
      </c>
    </row>
    <row r="649" customFormat="false" ht="15" hidden="false" customHeight="false" outlineLevel="0" collapsed="false">
      <c r="A649" s="7" t="n">
        <v>644</v>
      </c>
      <c r="B649" s="7" t="n">
        <f aca="false">A649/10</f>
        <v>64.4</v>
      </c>
      <c r="C649" s="7" t="n">
        <f aca="false">IF(AND(A649=0,c_TCREEP&gt;0),10*c_TCREEP,IF(AND(A649&lt;=c_TRNGMIN,A649&gt;=c_TRNGMAX,c_TRNGMIN-c_TRNGMAX&lt;&gt;0),-10*c_TMINRN+QUOTIENT((c_TMAXRN-c_TMINRN)*(100-QUOTIENT((A649-c_TRNGMAX)*100,c_TRNGMIN-c_TRNGMAX)),-10),0))</f>
        <v>0</v>
      </c>
      <c r="D649" s="7" t="n">
        <f aca="false">IF(((c_TMAP1IN)-(c_TFWD))=0,(0)+QUOTIENT(((c_TMAP1OUT)-(0)),2),QUOTIENT((((A649)-(c_TFWD))*((c_TMAP1OUT)-(0))+IF(((c_TMAP1OUT)-(0))&gt;=0,1,-1)*QUOTIENT(((c_TMAP1IN)-(c_TFWD)),2)),((c_TMAP1IN)-(c_TFWD)))+(0)+IF(((c_TMAP1OUT)-(0))&gt;=0,IF(IF(o_WRAP=1,MOD(((c_TMAP1IN)-(c_TFWD))*(((A649)-(c_TFWD))*((c_TMAP1OUT)-(0))+IF(((c_TMAP1OUT)-(0))&gt;=0,1,-1)*QUOTIENT(((c_TMAP1IN)-(c_TFWD)),2))+2147483648,4294967296)-2147483648,((c_TMAP1IN)-(c_TFWD))*(((A649)-(c_TFWD))*((c_TMAP1OUT)-(0))+IF(((c_TMAP1OUT)-(0))&gt;=0,1,-1)*QUOTIENT(((c_TMAP1IN)-(c_TFWD)),2)))&lt;0,-1,0),IF(IF(o_WRAP=1,MOD(((c_TMAP1IN)-(c_TFWD))*(((A649)-(c_TFWD))*((c_TMAP1OUT)-(0))+IF(((c_TMAP1OUT)-(0))&gt;=0,1,-1)*QUOTIENT(((c_TMAP1IN)-(c_TFWD)),2))+2147483648,4294967296)-2147483648,((c_TMAP1IN)-(c_TFWD))*(((A649)-(c_TFWD))*((c_TMAP1OUT)-(0))+IF(((c_TMAP1OUT)-(0))&gt;=0,1,-1)*QUOTIENT(((c_TMAP1IN)-(c_TFWD)),2)))&gt;=0,1,0)))</f>
        <v>493</v>
      </c>
      <c r="E649" s="7" t="n">
        <f aca="false">IF(((c_TMAP2IN)-(c_TMAP1IN))=0,(c_TMAP1OUT)+QUOTIENT(((c_TMAP2OUT)-(c_TMAP1OUT)),2),QUOTIENT((((A649)-(c_TMAP1IN))*((c_TMAP2OUT)-(c_TMAP1OUT))+IF(((c_TMAP2OUT)-(c_TMAP1OUT))&gt;=0,1,-1)*QUOTIENT(((c_TMAP2IN)-(c_TMAP1IN)),2)),((c_TMAP2IN)-(c_TMAP1IN)))+(c_TMAP1OUT)+IF(((c_TMAP2OUT)-(c_TMAP1OUT))&gt;=0,IF(IF(o_WRAP=1,MOD(((c_TMAP2IN)-(c_TMAP1IN))*(((A649)-(c_TMAP1IN))*((c_TMAP2OUT)-(c_TMAP1OUT))+IF(((c_TMAP2OUT)-(c_TMAP1OUT))&gt;=0,1,-1)*QUOTIENT(((c_TMAP2IN)-(c_TMAP1IN)),2))+2147483648,4294967296)-2147483648,((c_TMAP2IN)-(c_TMAP1IN))*(((A649)-(c_TMAP1IN))*((c_TMAP2OUT)-(c_TMAP1OUT))+IF(((c_TMAP2OUT)-(c_TMAP1OUT))&gt;=0,1,-1)*QUOTIENT(((c_TMAP2IN)-(c_TMAP1IN)),2)))&lt;0,-1,0),IF(IF(o_WRAP=1,MOD(((c_TMAP2IN)-(c_TMAP1IN))*(((A649)-(c_TMAP1IN))*((c_TMAP2OUT)-(c_TMAP1OUT))+IF(((c_TMAP2OUT)-(c_TMAP1OUT))&gt;=0,1,-1)*QUOTIENT(((c_TMAP2IN)-(c_TMAP1IN)),2))+2147483648,4294967296)-2147483648,((c_TMAP2IN)-(c_TMAP1IN))*(((A649)-(c_TMAP1IN))*((c_TMAP2OUT)-(c_TMAP1OUT))+IF(((c_TMAP2OUT)-(c_TMAP1OUT))&gt;=0,1,-1)*QUOTIENT(((c_TMAP2IN)-(c_TMAP1IN)),2)))&gt;=0,1,0)))</f>
        <v>288</v>
      </c>
      <c r="F649" s="7" t="n">
        <f aca="false">IF(((c_TMAP3IN)-(c_TMAP2IN))=0,(c_TMAP2OUT)+QUOTIENT(((c_TMAP3OUT)-(c_TMAP2OUT)),2),QUOTIENT((((A649)-(c_TMAP2IN))*((c_TMAP3OUT)-(c_TMAP2OUT))+IF(((c_TMAP3OUT)-(c_TMAP2OUT))&gt;=0,1,-1)*QUOTIENT(((c_TMAP3IN)-(c_TMAP2IN)),2)),((c_TMAP3IN)-(c_TMAP2IN)))+(c_TMAP2OUT)+IF(((c_TMAP3OUT)-(c_TMAP2OUT))&gt;=0,IF(IF(o_WRAP=1,MOD(((c_TMAP3IN)-(c_TMAP2IN))*(((A649)-(c_TMAP2IN))*((c_TMAP3OUT)-(c_TMAP2OUT))+IF(((c_TMAP3OUT)-(c_TMAP2OUT))&gt;=0,1,-1)*QUOTIENT(((c_TMAP3IN)-(c_TMAP2IN)),2))+2147483648,4294967296)-2147483648,((c_TMAP3IN)-(c_TMAP2IN))*(((A649)-(c_TMAP2IN))*((c_TMAP3OUT)-(c_TMAP2OUT))+IF(((c_TMAP3OUT)-(c_TMAP2OUT))&gt;=0,1,-1)*QUOTIENT(((c_TMAP3IN)-(c_TMAP2IN)),2)))&lt;0,-1,0),IF(IF(o_WRAP=1,MOD(((c_TMAP3IN)-(c_TMAP2IN))*(((A649)-(c_TMAP2IN))*((c_TMAP3OUT)-(c_TMAP2OUT))+IF(((c_TMAP3OUT)-(c_TMAP2OUT))&gt;=0,1,-1)*QUOTIENT(((c_TMAP3IN)-(c_TMAP2IN)),2))+2147483648,4294967296)-2147483648,((c_TMAP3IN)-(c_TMAP2IN))*(((A649)-(c_TMAP2IN))*((c_TMAP3OUT)-(c_TMAP2OUT))+IF(((c_TMAP3OUT)-(c_TMAP2OUT))&gt;=0,1,-1)*QUOTIENT(((c_TMAP3IN)-(c_TMAP2IN)),2)))&gt;=0,1,0)))</f>
        <v>406</v>
      </c>
      <c r="G649" s="7" t="n">
        <f aca="false">IF(((1000)-(c_TMAP3IN))=0,(c_TMAP3OUT)+QUOTIENT(((1000)-(c_TMAP3OUT)),2),QUOTIENT((((A649)-(c_TMAP3IN))*((1000)-(c_TMAP3OUT))+IF(((1000)-(c_TMAP3OUT))&gt;=0,1,-1)*QUOTIENT(((1000)-(c_TMAP3IN)),2)),((1000)-(c_TMAP3IN)))+(c_TMAP3OUT)+IF(((1000)-(c_TMAP3OUT))&gt;=0,IF(IF(o_WRAP=1,MOD(((1000)-(c_TMAP3IN))*(((A649)-(c_TMAP3IN))*((1000)-(c_TMAP3OUT))+IF(((1000)-(c_TMAP3OUT))&gt;=0,1,-1)*QUOTIENT(((1000)-(c_TMAP3IN)),2))+2147483648,4294967296)-2147483648,((1000)-(c_TMAP3IN))*(((A649)-(c_TMAP3IN))*((1000)-(c_TMAP3OUT))+IF(((1000)-(c_TMAP3OUT))&gt;=0,1,-1)*QUOTIENT(((1000)-(c_TMAP3IN)),2)))&lt;0,-1,0),IF(IF(o_WRAP=1,MOD(((1000)-(c_TMAP3IN))*(((A649)-(c_TMAP3IN))*((1000)-(c_TMAP3OUT))+IF(((1000)-(c_TMAP3OUT))&gt;=0,1,-1)*QUOTIENT(((1000)-(c_TMAP3IN)),2))+2147483648,4294967296)-2147483648,((1000)-(c_TMAP3IN))*(((A649)-(c_TMAP3IN))*((1000)-(c_TMAP3OUT))+IF(((1000)-(c_TMAP3OUT))&gt;=0,1,-1)*QUOTIENT(((1000)-(c_TMAP3IN)),2)))&gt;=0,1,0)))</f>
        <v>562</v>
      </c>
      <c r="H649" s="7" t="str">
        <f aca="false">IF(A649&gt;=c_TFWD,IF(AND(A649&gt;=c_TMAP3IN,c_TMAP3IN&lt;1000),"Seg4 map3-100%",IF(AND(A649&gt;=c_TMAP2IN,c_TMAP3IN&gt;c_TMAP2IN),"Seg3 map2-map3",IF(AND(A649&gt;=c_TMAP1IN,c_TMAP2IN&gt;c_TMAP1IN),"Seg2 map1-map2","Seg1 TFWD-map1"))),IF(AND(A649=0,c_TCREEP&gt;0),"Creep",IF(AND(A649&lt;=c_TRNGMIN,A649&gt;=c_TRNGMAX,c_TRNGMIN-c_TRNGMAX&lt;&gt;0),"Regen ramp","Coast (0)")))</f>
        <v>Seg4 map3-100%</v>
      </c>
      <c r="I649" s="7" t="n">
        <f aca="false">IF(A649&gt;=c_TFWD,IF(AND(A649&gt;=c_TMAP3IN,c_TMAP3IN&lt;1000),G649,IF(AND(A649&gt;=c_TMAP2IN,c_TMAP3IN&gt;c_TMAP2IN),F649,IF(AND(A649&gt;=c_TMAP1IN,c_TMAP2IN&gt;c_TMAP1IN),E649,D649))),C649)</f>
        <v>562</v>
      </c>
      <c r="J649" s="7" t="str">
        <f aca="false">IF(I649&lt;-1090,"TOO LOW",IF(I649&gt;1090,"TOO HIGH",""))</f>
        <v/>
      </c>
      <c r="K649" s="15" t="n">
        <f aca="false">IF(J649&lt;&gt;"",0,IF(I649&gt;979,1000,I649))</f>
        <v>562</v>
      </c>
      <c r="L649" s="7" t="n">
        <f aca="false">K649/10</f>
        <v>56.2</v>
      </c>
    </row>
    <row r="650" customFormat="false" ht="15" hidden="false" customHeight="false" outlineLevel="0" collapsed="false">
      <c r="A650" s="7" t="n">
        <v>645</v>
      </c>
      <c r="B650" s="7" t="n">
        <f aca="false">A650/10</f>
        <v>64.5</v>
      </c>
      <c r="C650" s="7" t="n">
        <f aca="false">IF(AND(A650=0,c_TCREEP&gt;0),10*c_TCREEP,IF(AND(A650&lt;=c_TRNGMIN,A650&gt;=c_TRNGMAX,c_TRNGMIN-c_TRNGMAX&lt;&gt;0),-10*c_TMINRN+QUOTIENT((c_TMAXRN-c_TMINRN)*(100-QUOTIENT((A650-c_TRNGMAX)*100,c_TRNGMIN-c_TRNGMAX)),-10),0))</f>
        <v>0</v>
      </c>
      <c r="D650" s="7" t="n">
        <f aca="false">IF(((c_TMAP1IN)-(c_TFWD))=0,(0)+QUOTIENT(((c_TMAP1OUT)-(0)),2),QUOTIENT((((A650)-(c_TFWD))*((c_TMAP1OUT)-(0))+IF(((c_TMAP1OUT)-(0))&gt;=0,1,-1)*QUOTIENT(((c_TMAP1IN)-(c_TFWD)),2)),((c_TMAP1IN)-(c_TFWD)))+(0)+IF(((c_TMAP1OUT)-(0))&gt;=0,IF(IF(o_WRAP=1,MOD(((c_TMAP1IN)-(c_TFWD))*(((A650)-(c_TFWD))*((c_TMAP1OUT)-(0))+IF(((c_TMAP1OUT)-(0))&gt;=0,1,-1)*QUOTIENT(((c_TMAP1IN)-(c_TFWD)),2))+2147483648,4294967296)-2147483648,((c_TMAP1IN)-(c_TFWD))*(((A650)-(c_TFWD))*((c_TMAP1OUT)-(0))+IF(((c_TMAP1OUT)-(0))&gt;=0,1,-1)*QUOTIENT(((c_TMAP1IN)-(c_TFWD)),2)))&lt;0,-1,0),IF(IF(o_WRAP=1,MOD(((c_TMAP1IN)-(c_TFWD))*(((A650)-(c_TFWD))*((c_TMAP1OUT)-(0))+IF(((c_TMAP1OUT)-(0))&gt;=0,1,-1)*QUOTIENT(((c_TMAP1IN)-(c_TFWD)),2))+2147483648,4294967296)-2147483648,((c_TMAP1IN)-(c_TFWD))*(((A650)-(c_TFWD))*((c_TMAP1OUT)-(0))+IF(((c_TMAP1OUT)-(0))&gt;=0,1,-1)*QUOTIENT(((c_TMAP1IN)-(c_TFWD)),2)))&gt;=0,1,0)))</f>
        <v>494</v>
      </c>
      <c r="E650" s="7" t="n">
        <f aca="false">IF(((c_TMAP2IN)-(c_TMAP1IN))=0,(c_TMAP1OUT)+QUOTIENT(((c_TMAP2OUT)-(c_TMAP1OUT)),2),QUOTIENT((((A650)-(c_TMAP1IN))*((c_TMAP2OUT)-(c_TMAP1OUT))+IF(((c_TMAP2OUT)-(c_TMAP1OUT))&gt;=0,1,-1)*QUOTIENT(((c_TMAP2IN)-(c_TMAP1IN)),2)),((c_TMAP2IN)-(c_TMAP1IN)))+(c_TMAP1OUT)+IF(((c_TMAP2OUT)-(c_TMAP1OUT))&gt;=0,IF(IF(o_WRAP=1,MOD(((c_TMAP2IN)-(c_TMAP1IN))*(((A650)-(c_TMAP1IN))*((c_TMAP2OUT)-(c_TMAP1OUT))+IF(((c_TMAP2OUT)-(c_TMAP1OUT))&gt;=0,1,-1)*QUOTIENT(((c_TMAP2IN)-(c_TMAP1IN)),2))+2147483648,4294967296)-2147483648,((c_TMAP2IN)-(c_TMAP1IN))*(((A650)-(c_TMAP1IN))*((c_TMAP2OUT)-(c_TMAP1OUT))+IF(((c_TMAP2OUT)-(c_TMAP1OUT))&gt;=0,1,-1)*QUOTIENT(((c_TMAP2IN)-(c_TMAP1IN)),2)))&lt;0,-1,0),IF(IF(o_WRAP=1,MOD(((c_TMAP2IN)-(c_TMAP1IN))*(((A650)-(c_TMAP1IN))*((c_TMAP2OUT)-(c_TMAP1OUT))+IF(((c_TMAP2OUT)-(c_TMAP1OUT))&gt;=0,1,-1)*QUOTIENT(((c_TMAP2IN)-(c_TMAP1IN)),2))+2147483648,4294967296)-2147483648,((c_TMAP2IN)-(c_TMAP1IN))*(((A650)-(c_TMAP1IN))*((c_TMAP2OUT)-(c_TMAP1OUT))+IF(((c_TMAP2OUT)-(c_TMAP1OUT))&gt;=0,1,-1)*QUOTIENT(((c_TMAP2IN)-(c_TMAP1IN)),2)))&gt;=0,1,0)))</f>
        <v>288</v>
      </c>
      <c r="F650" s="7" t="n">
        <f aca="false">IF(((c_TMAP3IN)-(c_TMAP2IN))=0,(c_TMAP2OUT)+QUOTIENT(((c_TMAP3OUT)-(c_TMAP2OUT)),2),QUOTIENT((((A650)-(c_TMAP2IN))*((c_TMAP3OUT)-(c_TMAP2OUT))+IF(((c_TMAP3OUT)-(c_TMAP2OUT))&gt;=0,1,-1)*QUOTIENT(((c_TMAP3IN)-(c_TMAP2IN)),2)),((c_TMAP3IN)-(c_TMAP2IN)))+(c_TMAP2OUT)+IF(((c_TMAP3OUT)-(c_TMAP2OUT))&gt;=0,IF(IF(o_WRAP=1,MOD(((c_TMAP3IN)-(c_TMAP2IN))*(((A650)-(c_TMAP2IN))*((c_TMAP3OUT)-(c_TMAP2OUT))+IF(((c_TMAP3OUT)-(c_TMAP2OUT))&gt;=0,1,-1)*QUOTIENT(((c_TMAP3IN)-(c_TMAP2IN)),2))+2147483648,4294967296)-2147483648,((c_TMAP3IN)-(c_TMAP2IN))*(((A650)-(c_TMAP2IN))*((c_TMAP3OUT)-(c_TMAP2OUT))+IF(((c_TMAP3OUT)-(c_TMAP2OUT))&gt;=0,1,-1)*QUOTIENT(((c_TMAP3IN)-(c_TMAP2IN)),2)))&lt;0,-1,0),IF(IF(o_WRAP=1,MOD(((c_TMAP3IN)-(c_TMAP2IN))*(((A650)-(c_TMAP2IN))*((c_TMAP3OUT)-(c_TMAP2OUT))+IF(((c_TMAP3OUT)-(c_TMAP2OUT))&gt;=0,1,-1)*QUOTIENT(((c_TMAP3IN)-(c_TMAP2IN)),2))+2147483648,4294967296)-2147483648,((c_TMAP3IN)-(c_TMAP2IN))*(((A650)-(c_TMAP2IN))*((c_TMAP3OUT)-(c_TMAP2OUT))+IF(((c_TMAP3OUT)-(c_TMAP2OUT))&gt;=0,1,-1)*QUOTIENT(((c_TMAP3IN)-(c_TMAP2IN)),2)))&gt;=0,1,0)))</f>
        <v>407</v>
      </c>
      <c r="G650" s="7" t="n">
        <f aca="false">IF(((1000)-(c_TMAP3IN))=0,(c_TMAP3OUT)+QUOTIENT(((1000)-(c_TMAP3OUT)),2),QUOTIENT((((A650)-(c_TMAP3IN))*((1000)-(c_TMAP3OUT))+IF(((1000)-(c_TMAP3OUT))&gt;=0,1,-1)*QUOTIENT(((1000)-(c_TMAP3IN)),2)),((1000)-(c_TMAP3IN)))+(c_TMAP3OUT)+IF(((1000)-(c_TMAP3OUT))&gt;=0,IF(IF(o_WRAP=1,MOD(((1000)-(c_TMAP3IN))*(((A650)-(c_TMAP3IN))*((1000)-(c_TMAP3OUT))+IF(((1000)-(c_TMAP3OUT))&gt;=0,1,-1)*QUOTIENT(((1000)-(c_TMAP3IN)),2))+2147483648,4294967296)-2147483648,((1000)-(c_TMAP3IN))*(((A650)-(c_TMAP3IN))*((1000)-(c_TMAP3OUT))+IF(((1000)-(c_TMAP3OUT))&gt;=0,1,-1)*QUOTIENT(((1000)-(c_TMAP3IN)),2)))&lt;0,-1,0),IF(IF(o_WRAP=1,MOD(((1000)-(c_TMAP3IN))*(((A650)-(c_TMAP3IN))*((1000)-(c_TMAP3OUT))+IF(((1000)-(c_TMAP3OUT))&gt;=0,1,-1)*QUOTIENT(((1000)-(c_TMAP3IN)),2))+2147483648,4294967296)-2147483648,((1000)-(c_TMAP3IN))*(((A650)-(c_TMAP3IN))*((1000)-(c_TMAP3OUT))+IF(((1000)-(c_TMAP3OUT))&gt;=0,1,-1)*QUOTIENT(((1000)-(c_TMAP3IN)),2)))&gt;=0,1,0)))</f>
        <v>563</v>
      </c>
      <c r="H650" s="7" t="str">
        <f aca="false">IF(A650&gt;=c_TFWD,IF(AND(A650&gt;=c_TMAP3IN,c_TMAP3IN&lt;1000),"Seg4 map3-100%",IF(AND(A650&gt;=c_TMAP2IN,c_TMAP3IN&gt;c_TMAP2IN),"Seg3 map2-map3",IF(AND(A650&gt;=c_TMAP1IN,c_TMAP2IN&gt;c_TMAP1IN),"Seg2 map1-map2","Seg1 TFWD-map1"))),IF(AND(A650=0,c_TCREEP&gt;0),"Creep",IF(AND(A650&lt;=c_TRNGMIN,A650&gt;=c_TRNGMAX,c_TRNGMIN-c_TRNGMAX&lt;&gt;0),"Regen ramp","Coast (0)")))</f>
        <v>Seg4 map3-100%</v>
      </c>
      <c r="I650" s="7" t="n">
        <f aca="false">IF(A650&gt;=c_TFWD,IF(AND(A650&gt;=c_TMAP3IN,c_TMAP3IN&lt;1000),G650,IF(AND(A650&gt;=c_TMAP2IN,c_TMAP3IN&gt;c_TMAP2IN),F650,IF(AND(A650&gt;=c_TMAP1IN,c_TMAP2IN&gt;c_TMAP1IN),E650,D650))),C650)</f>
        <v>563</v>
      </c>
      <c r="J650" s="7" t="str">
        <f aca="false">IF(I650&lt;-1090,"TOO LOW",IF(I650&gt;1090,"TOO HIGH",""))</f>
        <v/>
      </c>
      <c r="K650" s="15" t="n">
        <f aca="false">IF(J650&lt;&gt;"",0,IF(I650&gt;979,1000,I650))</f>
        <v>563</v>
      </c>
      <c r="L650" s="7" t="n">
        <f aca="false">K650/10</f>
        <v>56.3</v>
      </c>
    </row>
    <row r="651" customFormat="false" ht="15" hidden="false" customHeight="false" outlineLevel="0" collapsed="false">
      <c r="A651" s="7" t="n">
        <v>646</v>
      </c>
      <c r="B651" s="7" t="n">
        <f aca="false">A651/10</f>
        <v>64.6</v>
      </c>
      <c r="C651" s="7" t="n">
        <f aca="false">IF(AND(A651=0,c_TCREEP&gt;0),10*c_TCREEP,IF(AND(A651&lt;=c_TRNGMIN,A651&gt;=c_TRNGMAX,c_TRNGMIN-c_TRNGMAX&lt;&gt;0),-10*c_TMINRN+QUOTIENT((c_TMAXRN-c_TMINRN)*(100-QUOTIENT((A651-c_TRNGMAX)*100,c_TRNGMIN-c_TRNGMAX)),-10),0))</f>
        <v>0</v>
      </c>
      <c r="D651" s="7" t="n">
        <f aca="false">IF(((c_TMAP1IN)-(c_TFWD))=0,(0)+QUOTIENT(((c_TMAP1OUT)-(0)),2),QUOTIENT((((A651)-(c_TFWD))*((c_TMAP1OUT)-(0))+IF(((c_TMAP1OUT)-(0))&gt;=0,1,-1)*QUOTIENT(((c_TMAP1IN)-(c_TFWD)),2)),((c_TMAP1IN)-(c_TFWD)))+(0)+IF(((c_TMAP1OUT)-(0))&gt;=0,IF(IF(o_WRAP=1,MOD(((c_TMAP1IN)-(c_TFWD))*(((A651)-(c_TFWD))*((c_TMAP1OUT)-(0))+IF(((c_TMAP1OUT)-(0))&gt;=0,1,-1)*QUOTIENT(((c_TMAP1IN)-(c_TFWD)),2))+2147483648,4294967296)-2147483648,((c_TMAP1IN)-(c_TFWD))*(((A651)-(c_TFWD))*((c_TMAP1OUT)-(0))+IF(((c_TMAP1OUT)-(0))&gt;=0,1,-1)*QUOTIENT(((c_TMAP1IN)-(c_TFWD)),2)))&lt;0,-1,0),IF(IF(o_WRAP=1,MOD(((c_TMAP1IN)-(c_TFWD))*(((A651)-(c_TFWD))*((c_TMAP1OUT)-(0))+IF(((c_TMAP1OUT)-(0))&gt;=0,1,-1)*QUOTIENT(((c_TMAP1IN)-(c_TFWD)),2))+2147483648,4294967296)-2147483648,((c_TMAP1IN)-(c_TFWD))*(((A651)-(c_TFWD))*((c_TMAP1OUT)-(0))+IF(((c_TMAP1OUT)-(0))&gt;=0,1,-1)*QUOTIENT(((c_TMAP1IN)-(c_TFWD)),2)))&gt;=0,1,0)))</f>
        <v>495</v>
      </c>
      <c r="E651" s="7" t="n">
        <f aca="false">IF(((c_TMAP2IN)-(c_TMAP1IN))=0,(c_TMAP1OUT)+QUOTIENT(((c_TMAP2OUT)-(c_TMAP1OUT)),2),QUOTIENT((((A651)-(c_TMAP1IN))*((c_TMAP2OUT)-(c_TMAP1OUT))+IF(((c_TMAP2OUT)-(c_TMAP1OUT))&gt;=0,1,-1)*QUOTIENT(((c_TMAP2IN)-(c_TMAP1IN)),2)),((c_TMAP2IN)-(c_TMAP1IN)))+(c_TMAP1OUT)+IF(((c_TMAP2OUT)-(c_TMAP1OUT))&gt;=0,IF(IF(o_WRAP=1,MOD(((c_TMAP2IN)-(c_TMAP1IN))*(((A651)-(c_TMAP1IN))*((c_TMAP2OUT)-(c_TMAP1OUT))+IF(((c_TMAP2OUT)-(c_TMAP1OUT))&gt;=0,1,-1)*QUOTIENT(((c_TMAP2IN)-(c_TMAP1IN)),2))+2147483648,4294967296)-2147483648,((c_TMAP2IN)-(c_TMAP1IN))*(((A651)-(c_TMAP1IN))*((c_TMAP2OUT)-(c_TMAP1OUT))+IF(((c_TMAP2OUT)-(c_TMAP1OUT))&gt;=0,1,-1)*QUOTIENT(((c_TMAP2IN)-(c_TMAP1IN)),2)))&lt;0,-1,0),IF(IF(o_WRAP=1,MOD(((c_TMAP2IN)-(c_TMAP1IN))*(((A651)-(c_TMAP1IN))*((c_TMAP2OUT)-(c_TMAP1OUT))+IF(((c_TMAP2OUT)-(c_TMAP1OUT))&gt;=0,1,-1)*QUOTIENT(((c_TMAP2IN)-(c_TMAP1IN)),2))+2147483648,4294967296)-2147483648,((c_TMAP2IN)-(c_TMAP1IN))*(((A651)-(c_TMAP1IN))*((c_TMAP2OUT)-(c_TMAP1OUT))+IF(((c_TMAP2OUT)-(c_TMAP1OUT))&gt;=0,1,-1)*QUOTIENT(((c_TMAP2IN)-(c_TMAP1IN)),2)))&gt;=0,1,0)))</f>
        <v>288</v>
      </c>
      <c r="F651" s="7" t="n">
        <f aca="false">IF(((c_TMAP3IN)-(c_TMAP2IN))=0,(c_TMAP2OUT)+QUOTIENT(((c_TMAP3OUT)-(c_TMAP2OUT)),2),QUOTIENT((((A651)-(c_TMAP2IN))*((c_TMAP3OUT)-(c_TMAP2OUT))+IF(((c_TMAP3OUT)-(c_TMAP2OUT))&gt;=0,1,-1)*QUOTIENT(((c_TMAP3IN)-(c_TMAP2IN)),2)),((c_TMAP3IN)-(c_TMAP2IN)))+(c_TMAP2OUT)+IF(((c_TMAP3OUT)-(c_TMAP2OUT))&gt;=0,IF(IF(o_WRAP=1,MOD(((c_TMAP3IN)-(c_TMAP2IN))*(((A651)-(c_TMAP2IN))*((c_TMAP3OUT)-(c_TMAP2OUT))+IF(((c_TMAP3OUT)-(c_TMAP2OUT))&gt;=0,1,-1)*QUOTIENT(((c_TMAP3IN)-(c_TMAP2IN)),2))+2147483648,4294967296)-2147483648,((c_TMAP3IN)-(c_TMAP2IN))*(((A651)-(c_TMAP2IN))*((c_TMAP3OUT)-(c_TMAP2OUT))+IF(((c_TMAP3OUT)-(c_TMAP2OUT))&gt;=0,1,-1)*QUOTIENT(((c_TMAP3IN)-(c_TMAP2IN)),2)))&lt;0,-1,0),IF(IF(o_WRAP=1,MOD(((c_TMAP3IN)-(c_TMAP2IN))*(((A651)-(c_TMAP2IN))*((c_TMAP3OUT)-(c_TMAP2OUT))+IF(((c_TMAP3OUT)-(c_TMAP2OUT))&gt;=0,1,-1)*QUOTIENT(((c_TMAP3IN)-(c_TMAP2IN)),2))+2147483648,4294967296)-2147483648,((c_TMAP3IN)-(c_TMAP2IN))*(((A651)-(c_TMAP2IN))*((c_TMAP3OUT)-(c_TMAP2OUT))+IF(((c_TMAP3OUT)-(c_TMAP2OUT))&gt;=0,1,-1)*QUOTIENT(((c_TMAP3IN)-(c_TMAP2IN)),2)))&gt;=0,1,0)))</f>
        <v>407</v>
      </c>
      <c r="G651" s="7" t="n">
        <f aca="false">IF(((1000)-(c_TMAP3IN))=0,(c_TMAP3OUT)+QUOTIENT(((1000)-(c_TMAP3OUT)),2),QUOTIENT((((A651)-(c_TMAP3IN))*((1000)-(c_TMAP3OUT))+IF(((1000)-(c_TMAP3OUT))&gt;=0,1,-1)*QUOTIENT(((1000)-(c_TMAP3IN)),2)),((1000)-(c_TMAP3IN)))+(c_TMAP3OUT)+IF(((1000)-(c_TMAP3OUT))&gt;=0,IF(IF(o_WRAP=1,MOD(((1000)-(c_TMAP3IN))*(((A651)-(c_TMAP3IN))*((1000)-(c_TMAP3OUT))+IF(((1000)-(c_TMAP3OUT))&gt;=0,1,-1)*QUOTIENT(((1000)-(c_TMAP3IN)),2))+2147483648,4294967296)-2147483648,((1000)-(c_TMAP3IN))*(((A651)-(c_TMAP3IN))*((1000)-(c_TMAP3OUT))+IF(((1000)-(c_TMAP3OUT))&gt;=0,1,-1)*QUOTIENT(((1000)-(c_TMAP3IN)),2)))&lt;0,-1,0),IF(IF(o_WRAP=1,MOD(((1000)-(c_TMAP3IN))*(((A651)-(c_TMAP3IN))*((1000)-(c_TMAP3OUT))+IF(((1000)-(c_TMAP3OUT))&gt;=0,1,-1)*QUOTIENT(((1000)-(c_TMAP3IN)),2))+2147483648,4294967296)-2147483648,((1000)-(c_TMAP3IN))*(((A651)-(c_TMAP3IN))*((1000)-(c_TMAP3OUT))+IF(((1000)-(c_TMAP3OUT))&gt;=0,1,-1)*QUOTIENT(((1000)-(c_TMAP3IN)),2)))&gt;=0,1,0)))</f>
        <v>564</v>
      </c>
      <c r="H651" s="7" t="str">
        <f aca="false">IF(A651&gt;=c_TFWD,IF(AND(A651&gt;=c_TMAP3IN,c_TMAP3IN&lt;1000),"Seg4 map3-100%",IF(AND(A651&gt;=c_TMAP2IN,c_TMAP3IN&gt;c_TMAP2IN),"Seg3 map2-map3",IF(AND(A651&gt;=c_TMAP1IN,c_TMAP2IN&gt;c_TMAP1IN),"Seg2 map1-map2","Seg1 TFWD-map1"))),IF(AND(A651=0,c_TCREEP&gt;0),"Creep",IF(AND(A651&lt;=c_TRNGMIN,A651&gt;=c_TRNGMAX,c_TRNGMIN-c_TRNGMAX&lt;&gt;0),"Regen ramp","Coast (0)")))</f>
        <v>Seg4 map3-100%</v>
      </c>
      <c r="I651" s="7" t="n">
        <f aca="false">IF(A651&gt;=c_TFWD,IF(AND(A651&gt;=c_TMAP3IN,c_TMAP3IN&lt;1000),G651,IF(AND(A651&gt;=c_TMAP2IN,c_TMAP3IN&gt;c_TMAP2IN),F651,IF(AND(A651&gt;=c_TMAP1IN,c_TMAP2IN&gt;c_TMAP1IN),E651,D651))),C651)</f>
        <v>564</v>
      </c>
      <c r="J651" s="7" t="str">
        <f aca="false">IF(I651&lt;-1090,"TOO LOW",IF(I651&gt;1090,"TOO HIGH",""))</f>
        <v/>
      </c>
      <c r="K651" s="15" t="n">
        <f aca="false">IF(J651&lt;&gt;"",0,IF(I651&gt;979,1000,I651))</f>
        <v>564</v>
      </c>
      <c r="L651" s="7" t="n">
        <f aca="false">K651/10</f>
        <v>56.4</v>
      </c>
    </row>
    <row r="652" customFormat="false" ht="15" hidden="false" customHeight="false" outlineLevel="0" collapsed="false">
      <c r="A652" s="7" t="n">
        <v>647</v>
      </c>
      <c r="B652" s="7" t="n">
        <f aca="false">A652/10</f>
        <v>64.7</v>
      </c>
      <c r="C652" s="7" t="n">
        <f aca="false">IF(AND(A652=0,c_TCREEP&gt;0),10*c_TCREEP,IF(AND(A652&lt;=c_TRNGMIN,A652&gt;=c_TRNGMAX,c_TRNGMIN-c_TRNGMAX&lt;&gt;0),-10*c_TMINRN+QUOTIENT((c_TMAXRN-c_TMINRN)*(100-QUOTIENT((A652-c_TRNGMAX)*100,c_TRNGMIN-c_TRNGMAX)),-10),0))</f>
        <v>0</v>
      </c>
      <c r="D652" s="7" t="n">
        <f aca="false">IF(((c_TMAP1IN)-(c_TFWD))=0,(0)+QUOTIENT(((c_TMAP1OUT)-(0)),2),QUOTIENT((((A652)-(c_TFWD))*((c_TMAP1OUT)-(0))+IF(((c_TMAP1OUT)-(0))&gt;=0,1,-1)*QUOTIENT(((c_TMAP1IN)-(c_TFWD)),2)),((c_TMAP1IN)-(c_TFWD)))+(0)+IF(((c_TMAP1OUT)-(0))&gt;=0,IF(IF(o_WRAP=1,MOD(((c_TMAP1IN)-(c_TFWD))*(((A652)-(c_TFWD))*((c_TMAP1OUT)-(0))+IF(((c_TMAP1OUT)-(0))&gt;=0,1,-1)*QUOTIENT(((c_TMAP1IN)-(c_TFWD)),2))+2147483648,4294967296)-2147483648,((c_TMAP1IN)-(c_TFWD))*(((A652)-(c_TFWD))*((c_TMAP1OUT)-(0))+IF(((c_TMAP1OUT)-(0))&gt;=0,1,-1)*QUOTIENT(((c_TMAP1IN)-(c_TFWD)),2)))&lt;0,-1,0),IF(IF(o_WRAP=1,MOD(((c_TMAP1IN)-(c_TFWD))*(((A652)-(c_TFWD))*((c_TMAP1OUT)-(0))+IF(((c_TMAP1OUT)-(0))&gt;=0,1,-1)*QUOTIENT(((c_TMAP1IN)-(c_TFWD)),2))+2147483648,4294967296)-2147483648,((c_TMAP1IN)-(c_TFWD))*(((A652)-(c_TFWD))*((c_TMAP1OUT)-(0))+IF(((c_TMAP1OUT)-(0))&gt;=0,1,-1)*QUOTIENT(((c_TMAP1IN)-(c_TFWD)),2)))&gt;=0,1,0)))</f>
        <v>495</v>
      </c>
      <c r="E652" s="7" t="n">
        <f aca="false">IF(((c_TMAP2IN)-(c_TMAP1IN))=0,(c_TMAP1OUT)+QUOTIENT(((c_TMAP2OUT)-(c_TMAP1OUT)),2),QUOTIENT((((A652)-(c_TMAP1IN))*((c_TMAP2OUT)-(c_TMAP1OUT))+IF(((c_TMAP2OUT)-(c_TMAP1OUT))&gt;=0,1,-1)*QUOTIENT(((c_TMAP2IN)-(c_TMAP1IN)),2)),((c_TMAP2IN)-(c_TMAP1IN)))+(c_TMAP1OUT)+IF(((c_TMAP2OUT)-(c_TMAP1OUT))&gt;=0,IF(IF(o_WRAP=1,MOD(((c_TMAP2IN)-(c_TMAP1IN))*(((A652)-(c_TMAP1IN))*((c_TMAP2OUT)-(c_TMAP1OUT))+IF(((c_TMAP2OUT)-(c_TMAP1OUT))&gt;=0,1,-1)*QUOTIENT(((c_TMAP2IN)-(c_TMAP1IN)),2))+2147483648,4294967296)-2147483648,((c_TMAP2IN)-(c_TMAP1IN))*(((A652)-(c_TMAP1IN))*((c_TMAP2OUT)-(c_TMAP1OUT))+IF(((c_TMAP2OUT)-(c_TMAP1OUT))&gt;=0,1,-1)*QUOTIENT(((c_TMAP2IN)-(c_TMAP1IN)),2)))&lt;0,-1,0),IF(IF(o_WRAP=1,MOD(((c_TMAP2IN)-(c_TMAP1IN))*(((A652)-(c_TMAP1IN))*((c_TMAP2OUT)-(c_TMAP1OUT))+IF(((c_TMAP2OUT)-(c_TMAP1OUT))&gt;=0,1,-1)*QUOTIENT(((c_TMAP2IN)-(c_TMAP1IN)),2))+2147483648,4294967296)-2147483648,((c_TMAP2IN)-(c_TMAP1IN))*(((A652)-(c_TMAP1IN))*((c_TMAP2OUT)-(c_TMAP1OUT))+IF(((c_TMAP2OUT)-(c_TMAP1OUT))&gt;=0,1,-1)*QUOTIENT(((c_TMAP2IN)-(c_TMAP1IN)),2)))&gt;=0,1,0)))</f>
        <v>289</v>
      </c>
      <c r="F652" s="7" t="n">
        <f aca="false">IF(((c_TMAP3IN)-(c_TMAP2IN))=0,(c_TMAP2OUT)+QUOTIENT(((c_TMAP3OUT)-(c_TMAP2OUT)),2),QUOTIENT((((A652)-(c_TMAP2IN))*((c_TMAP3OUT)-(c_TMAP2OUT))+IF(((c_TMAP3OUT)-(c_TMAP2OUT))&gt;=0,1,-1)*QUOTIENT(((c_TMAP3IN)-(c_TMAP2IN)),2)),((c_TMAP3IN)-(c_TMAP2IN)))+(c_TMAP2OUT)+IF(((c_TMAP3OUT)-(c_TMAP2OUT))&gt;=0,IF(IF(o_WRAP=1,MOD(((c_TMAP3IN)-(c_TMAP2IN))*(((A652)-(c_TMAP2IN))*((c_TMAP3OUT)-(c_TMAP2OUT))+IF(((c_TMAP3OUT)-(c_TMAP2OUT))&gt;=0,1,-1)*QUOTIENT(((c_TMAP3IN)-(c_TMAP2IN)),2))+2147483648,4294967296)-2147483648,((c_TMAP3IN)-(c_TMAP2IN))*(((A652)-(c_TMAP2IN))*((c_TMAP3OUT)-(c_TMAP2OUT))+IF(((c_TMAP3OUT)-(c_TMAP2OUT))&gt;=0,1,-1)*QUOTIENT(((c_TMAP3IN)-(c_TMAP2IN)),2)))&lt;0,-1,0),IF(IF(o_WRAP=1,MOD(((c_TMAP3IN)-(c_TMAP2IN))*(((A652)-(c_TMAP2IN))*((c_TMAP3OUT)-(c_TMAP2OUT))+IF(((c_TMAP3OUT)-(c_TMAP2OUT))&gt;=0,1,-1)*QUOTIENT(((c_TMAP3IN)-(c_TMAP2IN)),2))+2147483648,4294967296)-2147483648,((c_TMAP3IN)-(c_TMAP2IN))*(((A652)-(c_TMAP2IN))*((c_TMAP3OUT)-(c_TMAP2OUT))+IF(((c_TMAP3OUT)-(c_TMAP2OUT))&gt;=0,1,-1)*QUOTIENT(((c_TMAP3IN)-(c_TMAP2IN)),2)))&gt;=0,1,0)))</f>
        <v>408</v>
      </c>
      <c r="G652" s="7" t="n">
        <f aca="false">IF(((1000)-(c_TMAP3IN))=0,(c_TMAP3OUT)+QUOTIENT(((1000)-(c_TMAP3OUT)),2),QUOTIENT((((A652)-(c_TMAP3IN))*((1000)-(c_TMAP3OUT))+IF(((1000)-(c_TMAP3OUT))&gt;=0,1,-1)*QUOTIENT(((1000)-(c_TMAP3IN)),2)),((1000)-(c_TMAP3IN)))+(c_TMAP3OUT)+IF(((1000)-(c_TMAP3OUT))&gt;=0,IF(IF(o_WRAP=1,MOD(((1000)-(c_TMAP3IN))*(((A652)-(c_TMAP3IN))*((1000)-(c_TMAP3OUT))+IF(((1000)-(c_TMAP3OUT))&gt;=0,1,-1)*QUOTIENT(((1000)-(c_TMAP3IN)),2))+2147483648,4294967296)-2147483648,((1000)-(c_TMAP3IN))*(((A652)-(c_TMAP3IN))*((1000)-(c_TMAP3OUT))+IF(((1000)-(c_TMAP3OUT))&gt;=0,1,-1)*QUOTIENT(((1000)-(c_TMAP3IN)),2)))&lt;0,-1,0),IF(IF(o_WRAP=1,MOD(((1000)-(c_TMAP3IN))*(((A652)-(c_TMAP3IN))*((1000)-(c_TMAP3OUT))+IF(((1000)-(c_TMAP3OUT))&gt;=0,1,-1)*QUOTIENT(((1000)-(c_TMAP3IN)),2))+2147483648,4294967296)-2147483648,((1000)-(c_TMAP3IN))*(((A652)-(c_TMAP3IN))*((1000)-(c_TMAP3OUT))+IF(((1000)-(c_TMAP3OUT))&gt;=0,1,-1)*QUOTIENT(((1000)-(c_TMAP3IN)),2)))&gt;=0,1,0)))</f>
        <v>566</v>
      </c>
      <c r="H652" s="7" t="str">
        <f aca="false">IF(A652&gt;=c_TFWD,IF(AND(A652&gt;=c_TMAP3IN,c_TMAP3IN&lt;1000),"Seg4 map3-100%",IF(AND(A652&gt;=c_TMAP2IN,c_TMAP3IN&gt;c_TMAP2IN),"Seg3 map2-map3",IF(AND(A652&gt;=c_TMAP1IN,c_TMAP2IN&gt;c_TMAP1IN),"Seg2 map1-map2","Seg1 TFWD-map1"))),IF(AND(A652=0,c_TCREEP&gt;0),"Creep",IF(AND(A652&lt;=c_TRNGMIN,A652&gt;=c_TRNGMAX,c_TRNGMIN-c_TRNGMAX&lt;&gt;0),"Regen ramp","Coast (0)")))</f>
        <v>Seg4 map3-100%</v>
      </c>
      <c r="I652" s="7" t="n">
        <f aca="false">IF(A652&gt;=c_TFWD,IF(AND(A652&gt;=c_TMAP3IN,c_TMAP3IN&lt;1000),G652,IF(AND(A652&gt;=c_TMAP2IN,c_TMAP3IN&gt;c_TMAP2IN),F652,IF(AND(A652&gt;=c_TMAP1IN,c_TMAP2IN&gt;c_TMAP1IN),E652,D652))),C652)</f>
        <v>566</v>
      </c>
      <c r="J652" s="7" t="str">
        <f aca="false">IF(I652&lt;-1090,"TOO LOW",IF(I652&gt;1090,"TOO HIGH",""))</f>
        <v/>
      </c>
      <c r="K652" s="15" t="n">
        <f aca="false">IF(J652&lt;&gt;"",0,IF(I652&gt;979,1000,I652))</f>
        <v>566</v>
      </c>
      <c r="L652" s="7" t="n">
        <f aca="false">K652/10</f>
        <v>56.6</v>
      </c>
    </row>
    <row r="653" customFormat="false" ht="15" hidden="false" customHeight="false" outlineLevel="0" collapsed="false">
      <c r="A653" s="7" t="n">
        <v>648</v>
      </c>
      <c r="B653" s="7" t="n">
        <f aca="false">A653/10</f>
        <v>64.8</v>
      </c>
      <c r="C653" s="7" t="n">
        <f aca="false">IF(AND(A653=0,c_TCREEP&gt;0),10*c_TCREEP,IF(AND(A653&lt;=c_TRNGMIN,A653&gt;=c_TRNGMAX,c_TRNGMIN-c_TRNGMAX&lt;&gt;0),-10*c_TMINRN+QUOTIENT((c_TMAXRN-c_TMINRN)*(100-QUOTIENT((A653-c_TRNGMAX)*100,c_TRNGMIN-c_TRNGMAX)),-10),0))</f>
        <v>0</v>
      </c>
      <c r="D653" s="7" t="n">
        <f aca="false">IF(((c_TMAP1IN)-(c_TFWD))=0,(0)+QUOTIENT(((c_TMAP1OUT)-(0)),2),QUOTIENT((((A653)-(c_TFWD))*((c_TMAP1OUT)-(0))+IF(((c_TMAP1OUT)-(0))&gt;=0,1,-1)*QUOTIENT(((c_TMAP1IN)-(c_TFWD)),2)),((c_TMAP1IN)-(c_TFWD)))+(0)+IF(((c_TMAP1OUT)-(0))&gt;=0,IF(IF(o_WRAP=1,MOD(((c_TMAP1IN)-(c_TFWD))*(((A653)-(c_TFWD))*((c_TMAP1OUT)-(0))+IF(((c_TMAP1OUT)-(0))&gt;=0,1,-1)*QUOTIENT(((c_TMAP1IN)-(c_TFWD)),2))+2147483648,4294967296)-2147483648,((c_TMAP1IN)-(c_TFWD))*(((A653)-(c_TFWD))*((c_TMAP1OUT)-(0))+IF(((c_TMAP1OUT)-(0))&gt;=0,1,-1)*QUOTIENT(((c_TMAP1IN)-(c_TFWD)),2)))&lt;0,-1,0),IF(IF(o_WRAP=1,MOD(((c_TMAP1IN)-(c_TFWD))*(((A653)-(c_TFWD))*((c_TMAP1OUT)-(0))+IF(((c_TMAP1OUT)-(0))&gt;=0,1,-1)*QUOTIENT(((c_TMAP1IN)-(c_TFWD)),2))+2147483648,4294967296)-2147483648,((c_TMAP1IN)-(c_TFWD))*(((A653)-(c_TFWD))*((c_TMAP1OUT)-(0))+IF(((c_TMAP1OUT)-(0))&gt;=0,1,-1)*QUOTIENT(((c_TMAP1IN)-(c_TFWD)),2)))&gt;=0,1,0)))</f>
        <v>496</v>
      </c>
      <c r="E653" s="7" t="n">
        <f aca="false">IF(((c_TMAP2IN)-(c_TMAP1IN))=0,(c_TMAP1OUT)+QUOTIENT(((c_TMAP2OUT)-(c_TMAP1OUT)),2),QUOTIENT((((A653)-(c_TMAP1IN))*((c_TMAP2OUT)-(c_TMAP1OUT))+IF(((c_TMAP2OUT)-(c_TMAP1OUT))&gt;=0,1,-1)*QUOTIENT(((c_TMAP2IN)-(c_TMAP1IN)),2)),((c_TMAP2IN)-(c_TMAP1IN)))+(c_TMAP1OUT)+IF(((c_TMAP2OUT)-(c_TMAP1OUT))&gt;=0,IF(IF(o_WRAP=1,MOD(((c_TMAP2IN)-(c_TMAP1IN))*(((A653)-(c_TMAP1IN))*((c_TMAP2OUT)-(c_TMAP1OUT))+IF(((c_TMAP2OUT)-(c_TMAP1OUT))&gt;=0,1,-1)*QUOTIENT(((c_TMAP2IN)-(c_TMAP1IN)),2))+2147483648,4294967296)-2147483648,((c_TMAP2IN)-(c_TMAP1IN))*(((A653)-(c_TMAP1IN))*((c_TMAP2OUT)-(c_TMAP1OUT))+IF(((c_TMAP2OUT)-(c_TMAP1OUT))&gt;=0,1,-1)*QUOTIENT(((c_TMAP2IN)-(c_TMAP1IN)),2)))&lt;0,-1,0),IF(IF(o_WRAP=1,MOD(((c_TMAP2IN)-(c_TMAP1IN))*(((A653)-(c_TMAP1IN))*((c_TMAP2OUT)-(c_TMAP1OUT))+IF(((c_TMAP2OUT)-(c_TMAP1OUT))&gt;=0,1,-1)*QUOTIENT(((c_TMAP2IN)-(c_TMAP1IN)),2))+2147483648,4294967296)-2147483648,((c_TMAP2IN)-(c_TMAP1IN))*(((A653)-(c_TMAP1IN))*((c_TMAP2OUT)-(c_TMAP1OUT))+IF(((c_TMAP2OUT)-(c_TMAP1OUT))&gt;=0,1,-1)*QUOTIENT(((c_TMAP2IN)-(c_TMAP1IN)),2)))&gt;=0,1,0)))</f>
        <v>289</v>
      </c>
      <c r="F653" s="7" t="n">
        <f aca="false">IF(((c_TMAP3IN)-(c_TMAP2IN))=0,(c_TMAP2OUT)+QUOTIENT(((c_TMAP3OUT)-(c_TMAP2OUT)),2),QUOTIENT((((A653)-(c_TMAP2IN))*((c_TMAP3OUT)-(c_TMAP2OUT))+IF(((c_TMAP3OUT)-(c_TMAP2OUT))&gt;=0,1,-1)*QUOTIENT(((c_TMAP3IN)-(c_TMAP2IN)),2)),((c_TMAP3IN)-(c_TMAP2IN)))+(c_TMAP2OUT)+IF(((c_TMAP3OUT)-(c_TMAP2OUT))&gt;=0,IF(IF(o_WRAP=1,MOD(((c_TMAP3IN)-(c_TMAP2IN))*(((A653)-(c_TMAP2IN))*((c_TMAP3OUT)-(c_TMAP2OUT))+IF(((c_TMAP3OUT)-(c_TMAP2OUT))&gt;=0,1,-1)*QUOTIENT(((c_TMAP3IN)-(c_TMAP2IN)),2))+2147483648,4294967296)-2147483648,((c_TMAP3IN)-(c_TMAP2IN))*(((A653)-(c_TMAP2IN))*((c_TMAP3OUT)-(c_TMAP2OUT))+IF(((c_TMAP3OUT)-(c_TMAP2OUT))&gt;=0,1,-1)*QUOTIENT(((c_TMAP3IN)-(c_TMAP2IN)),2)))&lt;0,-1,0),IF(IF(o_WRAP=1,MOD(((c_TMAP3IN)-(c_TMAP2IN))*(((A653)-(c_TMAP2IN))*((c_TMAP3OUT)-(c_TMAP2OUT))+IF(((c_TMAP3OUT)-(c_TMAP2OUT))&gt;=0,1,-1)*QUOTIENT(((c_TMAP3IN)-(c_TMAP2IN)),2))+2147483648,4294967296)-2147483648,((c_TMAP3IN)-(c_TMAP2IN))*(((A653)-(c_TMAP2IN))*((c_TMAP3OUT)-(c_TMAP2OUT))+IF(((c_TMAP3OUT)-(c_TMAP2OUT))&gt;=0,1,-1)*QUOTIENT(((c_TMAP3IN)-(c_TMAP2IN)),2)))&gt;=0,1,0)))</f>
        <v>409</v>
      </c>
      <c r="G653" s="7" t="n">
        <f aca="false">IF(((1000)-(c_TMAP3IN))=0,(c_TMAP3OUT)+QUOTIENT(((1000)-(c_TMAP3OUT)),2),QUOTIENT((((A653)-(c_TMAP3IN))*((1000)-(c_TMAP3OUT))+IF(((1000)-(c_TMAP3OUT))&gt;=0,1,-1)*QUOTIENT(((1000)-(c_TMAP3IN)),2)),((1000)-(c_TMAP3IN)))+(c_TMAP3OUT)+IF(((1000)-(c_TMAP3OUT))&gt;=0,IF(IF(o_WRAP=1,MOD(((1000)-(c_TMAP3IN))*(((A653)-(c_TMAP3IN))*((1000)-(c_TMAP3OUT))+IF(((1000)-(c_TMAP3OUT))&gt;=0,1,-1)*QUOTIENT(((1000)-(c_TMAP3IN)),2))+2147483648,4294967296)-2147483648,((1000)-(c_TMAP3IN))*(((A653)-(c_TMAP3IN))*((1000)-(c_TMAP3OUT))+IF(((1000)-(c_TMAP3OUT))&gt;=0,1,-1)*QUOTIENT(((1000)-(c_TMAP3IN)),2)))&lt;0,-1,0),IF(IF(o_WRAP=1,MOD(((1000)-(c_TMAP3IN))*(((A653)-(c_TMAP3IN))*((1000)-(c_TMAP3OUT))+IF(((1000)-(c_TMAP3OUT))&gt;=0,1,-1)*QUOTIENT(((1000)-(c_TMAP3IN)),2))+2147483648,4294967296)-2147483648,((1000)-(c_TMAP3IN))*(((A653)-(c_TMAP3IN))*((1000)-(c_TMAP3OUT))+IF(((1000)-(c_TMAP3OUT))&gt;=0,1,-1)*QUOTIENT(((1000)-(c_TMAP3IN)),2)))&gt;=0,1,0)))</f>
        <v>567</v>
      </c>
      <c r="H653" s="7" t="str">
        <f aca="false">IF(A653&gt;=c_TFWD,IF(AND(A653&gt;=c_TMAP3IN,c_TMAP3IN&lt;1000),"Seg4 map3-100%",IF(AND(A653&gt;=c_TMAP2IN,c_TMAP3IN&gt;c_TMAP2IN),"Seg3 map2-map3",IF(AND(A653&gt;=c_TMAP1IN,c_TMAP2IN&gt;c_TMAP1IN),"Seg2 map1-map2","Seg1 TFWD-map1"))),IF(AND(A653=0,c_TCREEP&gt;0),"Creep",IF(AND(A653&lt;=c_TRNGMIN,A653&gt;=c_TRNGMAX,c_TRNGMIN-c_TRNGMAX&lt;&gt;0),"Regen ramp","Coast (0)")))</f>
        <v>Seg4 map3-100%</v>
      </c>
      <c r="I653" s="7" t="n">
        <f aca="false">IF(A653&gt;=c_TFWD,IF(AND(A653&gt;=c_TMAP3IN,c_TMAP3IN&lt;1000),G653,IF(AND(A653&gt;=c_TMAP2IN,c_TMAP3IN&gt;c_TMAP2IN),F653,IF(AND(A653&gt;=c_TMAP1IN,c_TMAP2IN&gt;c_TMAP1IN),E653,D653))),C653)</f>
        <v>567</v>
      </c>
      <c r="J653" s="7" t="str">
        <f aca="false">IF(I653&lt;-1090,"TOO LOW",IF(I653&gt;1090,"TOO HIGH",""))</f>
        <v/>
      </c>
      <c r="K653" s="15" t="n">
        <f aca="false">IF(J653&lt;&gt;"",0,IF(I653&gt;979,1000,I653))</f>
        <v>567</v>
      </c>
      <c r="L653" s="7" t="n">
        <f aca="false">K653/10</f>
        <v>56.7</v>
      </c>
    </row>
    <row r="654" customFormat="false" ht="15" hidden="false" customHeight="false" outlineLevel="0" collapsed="false">
      <c r="A654" s="7" t="n">
        <v>649</v>
      </c>
      <c r="B654" s="7" t="n">
        <f aca="false">A654/10</f>
        <v>64.9</v>
      </c>
      <c r="C654" s="7" t="n">
        <f aca="false">IF(AND(A654=0,c_TCREEP&gt;0),10*c_TCREEP,IF(AND(A654&lt;=c_TRNGMIN,A654&gt;=c_TRNGMAX,c_TRNGMIN-c_TRNGMAX&lt;&gt;0),-10*c_TMINRN+QUOTIENT((c_TMAXRN-c_TMINRN)*(100-QUOTIENT((A654-c_TRNGMAX)*100,c_TRNGMIN-c_TRNGMAX)),-10),0))</f>
        <v>0</v>
      </c>
      <c r="D654" s="7" t="n">
        <f aca="false">IF(((c_TMAP1IN)-(c_TFWD))=0,(0)+QUOTIENT(((c_TMAP1OUT)-(0)),2),QUOTIENT((((A654)-(c_TFWD))*((c_TMAP1OUT)-(0))+IF(((c_TMAP1OUT)-(0))&gt;=0,1,-1)*QUOTIENT(((c_TMAP1IN)-(c_TFWD)),2)),((c_TMAP1IN)-(c_TFWD)))+(0)+IF(((c_TMAP1OUT)-(0))&gt;=0,IF(IF(o_WRAP=1,MOD(((c_TMAP1IN)-(c_TFWD))*(((A654)-(c_TFWD))*((c_TMAP1OUT)-(0))+IF(((c_TMAP1OUT)-(0))&gt;=0,1,-1)*QUOTIENT(((c_TMAP1IN)-(c_TFWD)),2))+2147483648,4294967296)-2147483648,((c_TMAP1IN)-(c_TFWD))*(((A654)-(c_TFWD))*((c_TMAP1OUT)-(0))+IF(((c_TMAP1OUT)-(0))&gt;=0,1,-1)*QUOTIENT(((c_TMAP1IN)-(c_TFWD)),2)))&lt;0,-1,0),IF(IF(o_WRAP=1,MOD(((c_TMAP1IN)-(c_TFWD))*(((A654)-(c_TFWD))*((c_TMAP1OUT)-(0))+IF(((c_TMAP1OUT)-(0))&gt;=0,1,-1)*QUOTIENT(((c_TMAP1IN)-(c_TFWD)),2))+2147483648,4294967296)-2147483648,((c_TMAP1IN)-(c_TFWD))*(((A654)-(c_TFWD))*((c_TMAP1OUT)-(0))+IF(((c_TMAP1OUT)-(0))&gt;=0,1,-1)*QUOTIENT(((c_TMAP1IN)-(c_TFWD)),2)))&gt;=0,1,0)))</f>
        <v>497</v>
      </c>
      <c r="E654" s="7" t="n">
        <f aca="false">IF(((c_TMAP2IN)-(c_TMAP1IN))=0,(c_TMAP1OUT)+QUOTIENT(((c_TMAP2OUT)-(c_TMAP1OUT)),2),QUOTIENT((((A654)-(c_TMAP1IN))*((c_TMAP2OUT)-(c_TMAP1OUT))+IF(((c_TMAP2OUT)-(c_TMAP1OUT))&gt;=0,1,-1)*QUOTIENT(((c_TMAP2IN)-(c_TMAP1IN)),2)),((c_TMAP2IN)-(c_TMAP1IN)))+(c_TMAP1OUT)+IF(((c_TMAP2OUT)-(c_TMAP1OUT))&gt;=0,IF(IF(o_WRAP=1,MOD(((c_TMAP2IN)-(c_TMAP1IN))*(((A654)-(c_TMAP1IN))*((c_TMAP2OUT)-(c_TMAP1OUT))+IF(((c_TMAP2OUT)-(c_TMAP1OUT))&gt;=0,1,-1)*QUOTIENT(((c_TMAP2IN)-(c_TMAP1IN)),2))+2147483648,4294967296)-2147483648,((c_TMAP2IN)-(c_TMAP1IN))*(((A654)-(c_TMAP1IN))*((c_TMAP2OUT)-(c_TMAP1OUT))+IF(((c_TMAP2OUT)-(c_TMAP1OUT))&gt;=0,1,-1)*QUOTIENT(((c_TMAP2IN)-(c_TMAP1IN)),2)))&lt;0,-1,0),IF(IF(o_WRAP=1,MOD(((c_TMAP2IN)-(c_TMAP1IN))*(((A654)-(c_TMAP1IN))*((c_TMAP2OUT)-(c_TMAP1OUT))+IF(((c_TMAP2OUT)-(c_TMAP1OUT))&gt;=0,1,-1)*QUOTIENT(((c_TMAP2IN)-(c_TMAP1IN)),2))+2147483648,4294967296)-2147483648,((c_TMAP2IN)-(c_TMAP1IN))*(((A654)-(c_TMAP1IN))*((c_TMAP2OUT)-(c_TMAP1OUT))+IF(((c_TMAP2OUT)-(c_TMAP1OUT))&gt;=0,1,-1)*QUOTIENT(((c_TMAP2IN)-(c_TMAP1IN)),2)))&gt;=0,1,0)))</f>
        <v>290</v>
      </c>
      <c r="F654" s="7" t="n">
        <f aca="false">IF(((c_TMAP3IN)-(c_TMAP2IN))=0,(c_TMAP2OUT)+QUOTIENT(((c_TMAP3OUT)-(c_TMAP2OUT)),2),QUOTIENT((((A654)-(c_TMAP2IN))*((c_TMAP3OUT)-(c_TMAP2OUT))+IF(((c_TMAP3OUT)-(c_TMAP2OUT))&gt;=0,1,-1)*QUOTIENT(((c_TMAP3IN)-(c_TMAP2IN)),2)),((c_TMAP3IN)-(c_TMAP2IN)))+(c_TMAP2OUT)+IF(((c_TMAP3OUT)-(c_TMAP2OUT))&gt;=0,IF(IF(o_WRAP=1,MOD(((c_TMAP3IN)-(c_TMAP2IN))*(((A654)-(c_TMAP2IN))*((c_TMAP3OUT)-(c_TMAP2OUT))+IF(((c_TMAP3OUT)-(c_TMAP2OUT))&gt;=0,1,-1)*QUOTIENT(((c_TMAP3IN)-(c_TMAP2IN)),2))+2147483648,4294967296)-2147483648,((c_TMAP3IN)-(c_TMAP2IN))*(((A654)-(c_TMAP2IN))*((c_TMAP3OUT)-(c_TMAP2OUT))+IF(((c_TMAP3OUT)-(c_TMAP2OUT))&gt;=0,1,-1)*QUOTIENT(((c_TMAP3IN)-(c_TMAP2IN)),2)))&lt;0,-1,0),IF(IF(o_WRAP=1,MOD(((c_TMAP3IN)-(c_TMAP2IN))*(((A654)-(c_TMAP2IN))*((c_TMAP3OUT)-(c_TMAP2OUT))+IF(((c_TMAP3OUT)-(c_TMAP2OUT))&gt;=0,1,-1)*QUOTIENT(((c_TMAP3IN)-(c_TMAP2IN)),2))+2147483648,4294967296)-2147483648,((c_TMAP3IN)-(c_TMAP2IN))*(((A654)-(c_TMAP2IN))*((c_TMAP3OUT)-(c_TMAP2OUT))+IF(((c_TMAP3OUT)-(c_TMAP2OUT))&gt;=0,1,-1)*QUOTIENT(((c_TMAP3IN)-(c_TMAP2IN)),2)))&gt;=0,1,0)))</f>
        <v>409</v>
      </c>
      <c r="G654" s="7" t="n">
        <f aca="false">IF(((1000)-(c_TMAP3IN))=0,(c_TMAP3OUT)+QUOTIENT(((1000)-(c_TMAP3OUT)),2),QUOTIENT((((A654)-(c_TMAP3IN))*((1000)-(c_TMAP3OUT))+IF(((1000)-(c_TMAP3OUT))&gt;=0,1,-1)*QUOTIENT(((1000)-(c_TMAP3IN)),2)),((1000)-(c_TMAP3IN)))+(c_TMAP3OUT)+IF(((1000)-(c_TMAP3OUT))&gt;=0,IF(IF(o_WRAP=1,MOD(((1000)-(c_TMAP3IN))*(((A654)-(c_TMAP3IN))*((1000)-(c_TMAP3OUT))+IF(((1000)-(c_TMAP3OUT))&gt;=0,1,-1)*QUOTIENT(((1000)-(c_TMAP3IN)),2))+2147483648,4294967296)-2147483648,((1000)-(c_TMAP3IN))*(((A654)-(c_TMAP3IN))*((1000)-(c_TMAP3OUT))+IF(((1000)-(c_TMAP3OUT))&gt;=0,1,-1)*QUOTIENT(((1000)-(c_TMAP3IN)),2)))&lt;0,-1,0),IF(IF(o_WRAP=1,MOD(((1000)-(c_TMAP3IN))*(((A654)-(c_TMAP3IN))*((1000)-(c_TMAP3OUT))+IF(((1000)-(c_TMAP3OUT))&gt;=0,1,-1)*QUOTIENT(((1000)-(c_TMAP3IN)),2))+2147483648,4294967296)-2147483648,((1000)-(c_TMAP3IN))*(((A654)-(c_TMAP3IN))*((1000)-(c_TMAP3OUT))+IF(((1000)-(c_TMAP3OUT))&gt;=0,1,-1)*QUOTIENT(((1000)-(c_TMAP3IN)),2)))&gt;=0,1,0)))</f>
        <v>568</v>
      </c>
      <c r="H654" s="7" t="str">
        <f aca="false">IF(A654&gt;=c_TFWD,IF(AND(A654&gt;=c_TMAP3IN,c_TMAP3IN&lt;1000),"Seg4 map3-100%",IF(AND(A654&gt;=c_TMAP2IN,c_TMAP3IN&gt;c_TMAP2IN),"Seg3 map2-map3",IF(AND(A654&gt;=c_TMAP1IN,c_TMAP2IN&gt;c_TMAP1IN),"Seg2 map1-map2","Seg1 TFWD-map1"))),IF(AND(A654=0,c_TCREEP&gt;0),"Creep",IF(AND(A654&lt;=c_TRNGMIN,A654&gt;=c_TRNGMAX,c_TRNGMIN-c_TRNGMAX&lt;&gt;0),"Regen ramp","Coast (0)")))</f>
        <v>Seg4 map3-100%</v>
      </c>
      <c r="I654" s="7" t="n">
        <f aca="false">IF(A654&gt;=c_TFWD,IF(AND(A654&gt;=c_TMAP3IN,c_TMAP3IN&lt;1000),G654,IF(AND(A654&gt;=c_TMAP2IN,c_TMAP3IN&gt;c_TMAP2IN),F654,IF(AND(A654&gt;=c_TMAP1IN,c_TMAP2IN&gt;c_TMAP1IN),E654,D654))),C654)</f>
        <v>568</v>
      </c>
      <c r="J654" s="7" t="str">
        <f aca="false">IF(I654&lt;-1090,"TOO LOW",IF(I654&gt;1090,"TOO HIGH",""))</f>
        <v/>
      </c>
      <c r="K654" s="15" t="n">
        <f aca="false">IF(J654&lt;&gt;"",0,IF(I654&gt;979,1000,I654))</f>
        <v>568</v>
      </c>
      <c r="L654" s="7" t="n">
        <f aca="false">K654/10</f>
        <v>56.8</v>
      </c>
    </row>
    <row r="655" customFormat="false" ht="15" hidden="false" customHeight="false" outlineLevel="0" collapsed="false">
      <c r="A655" s="7" t="n">
        <v>650</v>
      </c>
      <c r="B655" s="7" t="n">
        <f aca="false">A655/10</f>
        <v>65</v>
      </c>
      <c r="C655" s="7" t="n">
        <f aca="false">IF(AND(A655=0,c_TCREEP&gt;0),10*c_TCREEP,IF(AND(A655&lt;=c_TRNGMIN,A655&gt;=c_TRNGMAX,c_TRNGMIN-c_TRNGMAX&lt;&gt;0),-10*c_TMINRN+QUOTIENT((c_TMAXRN-c_TMINRN)*(100-QUOTIENT((A655-c_TRNGMAX)*100,c_TRNGMIN-c_TRNGMAX)),-10),0))</f>
        <v>0</v>
      </c>
      <c r="D655" s="7" t="n">
        <f aca="false">IF(((c_TMAP1IN)-(c_TFWD))=0,(0)+QUOTIENT(((c_TMAP1OUT)-(0)),2),QUOTIENT((((A655)-(c_TFWD))*((c_TMAP1OUT)-(0))+IF(((c_TMAP1OUT)-(0))&gt;=0,1,-1)*QUOTIENT(((c_TMAP1IN)-(c_TFWD)),2)),((c_TMAP1IN)-(c_TFWD)))+(0)+IF(((c_TMAP1OUT)-(0))&gt;=0,IF(IF(o_WRAP=1,MOD(((c_TMAP1IN)-(c_TFWD))*(((A655)-(c_TFWD))*((c_TMAP1OUT)-(0))+IF(((c_TMAP1OUT)-(0))&gt;=0,1,-1)*QUOTIENT(((c_TMAP1IN)-(c_TFWD)),2))+2147483648,4294967296)-2147483648,((c_TMAP1IN)-(c_TFWD))*(((A655)-(c_TFWD))*((c_TMAP1OUT)-(0))+IF(((c_TMAP1OUT)-(0))&gt;=0,1,-1)*QUOTIENT(((c_TMAP1IN)-(c_TFWD)),2)))&lt;0,-1,0),IF(IF(o_WRAP=1,MOD(((c_TMAP1IN)-(c_TFWD))*(((A655)-(c_TFWD))*((c_TMAP1OUT)-(0))+IF(((c_TMAP1OUT)-(0))&gt;=0,1,-1)*QUOTIENT(((c_TMAP1IN)-(c_TFWD)),2))+2147483648,4294967296)-2147483648,((c_TMAP1IN)-(c_TFWD))*(((A655)-(c_TFWD))*((c_TMAP1OUT)-(0))+IF(((c_TMAP1OUT)-(0))&gt;=0,1,-1)*QUOTIENT(((c_TMAP1IN)-(c_TFWD)),2)))&gt;=0,1,0)))</f>
        <v>498</v>
      </c>
      <c r="E655" s="7" t="n">
        <f aca="false">IF(((c_TMAP2IN)-(c_TMAP1IN))=0,(c_TMAP1OUT)+QUOTIENT(((c_TMAP2OUT)-(c_TMAP1OUT)),2),QUOTIENT((((A655)-(c_TMAP1IN))*((c_TMAP2OUT)-(c_TMAP1OUT))+IF(((c_TMAP2OUT)-(c_TMAP1OUT))&gt;=0,1,-1)*QUOTIENT(((c_TMAP2IN)-(c_TMAP1IN)),2)),((c_TMAP2IN)-(c_TMAP1IN)))+(c_TMAP1OUT)+IF(((c_TMAP2OUT)-(c_TMAP1OUT))&gt;=0,IF(IF(o_WRAP=1,MOD(((c_TMAP2IN)-(c_TMAP1IN))*(((A655)-(c_TMAP1IN))*((c_TMAP2OUT)-(c_TMAP1OUT))+IF(((c_TMAP2OUT)-(c_TMAP1OUT))&gt;=0,1,-1)*QUOTIENT(((c_TMAP2IN)-(c_TMAP1IN)),2))+2147483648,4294967296)-2147483648,((c_TMAP2IN)-(c_TMAP1IN))*(((A655)-(c_TMAP1IN))*((c_TMAP2OUT)-(c_TMAP1OUT))+IF(((c_TMAP2OUT)-(c_TMAP1OUT))&gt;=0,1,-1)*QUOTIENT(((c_TMAP2IN)-(c_TMAP1IN)),2)))&lt;0,-1,0),IF(IF(o_WRAP=1,MOD(((c_TMAP2IN)-(c_TMAP1IN))*(((A655)-(c_TMAP1IN))*((c_TMAP2OUT)-(c_TMAP1OUT))+IF(((c_TMAP2OUT)-(c_TMAP1OUT))&gt;=0,1,-1)*QUOTIENT(((c_TMAP2IN)-(c_TMAP1IN)),2))+2147483648,4294967296)-2147483648,((c_TMAP2IN)-(c_TMAP1IN))*(((A655)-(c_TMAP1IN))*((c_TMAP2OUT)-(c_TMAP1OUT))+IF(((c_TMAP2OUT)-(c_TMAP1OUT))&gt;=0,1,-1)*QUOTIENT(((c_TMAP2IN)-(c_TMAP1IN)),2)))&gt;=0,1,0)))</f>
        <v>290</v>
      </c>
      <c r="F655" s="7" t="n">
        <f aca="false">IF(((c_TMAP3IN)-(c_TMAP2IN))=0,(c_TMAP2OUT)+QUOTIENT(((c_TMAP3OUT)-(c_TMAP2OUT)),2),QUOTIENT((((A655)-(c_TMAP2IN))*((c_TMAP3OUT)-(c_TMAP2OUT))+IF(((c_TMAP3OUT)-(c_TMAP2OUT))&gt;=0,1,-1)*QUOTIENT(((c_TMAP3IN)-(c_TMAP2IN)),2)),((c_TMAP3IN)-(c_TMAP2IN)))+(c_TMAP2OUT)+IF(((c_TMAP3OUT)-(c_TMAP2OUT))&gt;=0,IF(IF(o_WRAP=1,MOD(((c_TMAP3IN)-(c_TMAP2IN))*(((A655)-(c_TMAP2IN))*((c_TMAP3OUT)-(c_TMAP2OUT))+IF(((c_TMAP3OUT)-(c_TMAP2OUT))&gt;=0,1,-1)*QUOTIENT(((c_TMAP3IN)-(c_TMAP2IN)),2))+2147483648,4294967296)-2147483648,((c_TMAP3IN)-(c_TMAP2IN))*(((A655)-(c_TMAP2IN))*((c_TMAP3OUT)-(c_TMAP2OUT))+IF(((c_TMAP3OUT)-(c_TMAP2OUT))&gt;=0,1,-1)*QUOTIENT(((c_TMAP3IN)-(c_TMAP2IN)),2)))&lt;0,-1,0),IF(IF(o_WRAP=1,MOD(((c_TMAP3IN)-(c_TMAP2IN))*(((A655)-(c_TMAP2IN))*((c_TMAP3OUT)-(c_TMAP2OUT))+IF(((c_TMAP3OUT)-(c_TMAP2OUT))&gt;=0,1,-1)*QUOTIENT(((c_TMAP3IN)-(c_TMAP2IN)),2))+2147483648,4294967296)-2147483648,((c_TMAP3IN)-(c_TMAP2IN))*(((A655)-(c_TMAP2IN))*((c_TMAP3OUT)-(c_TMAP2OUT))+IF(((c_TMAP3OUT)-(c_TMAP2OUT))&gt;=0,1,-1)*QUOTIENT(((c_TMAP3IN)-(c_TMAP2IN)),2)))&gt;=0,1,0)))</f>
        <v>410</v>
      </c>
      <c r="G655" s="7" t="n">
        <f aca="false">IF(((1000)-(c_TMAP3IN))=0,(c_TMAP3OUT)+QUOTIENT(((1000)-(c_TMAP3OUT)),2),QUOTIENT((((A655)-(c_TMAP3IN))*((1000)-(c_TMAP3OUT))+IF(((1000)-(c_TMAP3OUT))&gt;=0,1,-1)*QUOTIENT(((1000)-(c_TMAP3IN)),2)),((1000)-(c_TMAP3IN)))+(c_TMAP3OUT)+IF(((1000)-(c_TMAP3OUT))&gt;=0,IF(IF(o_WRAP=1,MOD(((1000)-(c_TMAP3IN))*(((A655)-(c_TMAP3IN))*((1000)-(c_TMAP3OUT))+IF(((1000)-(c_TMAP3OUT))&gt;=0,1,-1)*QUOTIENT(((1000)-(c_TMAP3IN)),2))+2147483648,4294967296)-2147483648,((1000)-(c_TMAP3IN))*(((A655)-(c_TMAP3IN))*((1000)-(c_TMAP3OUT))+IF(((1000)-(c_TMAP3OUT))&gt;=0,1,-1)*QUOTIENT(((1000)-(c_TMAP3IN)),2)))&lt;0,-1,0),IF(IF(o_WRAP=1,MOD(((1000)-(c_TMAP3IN))*(((A655)-(c_TMAP3IN))*((1000)-(c_TMAP3OUT))+IF(((1000)-(c_TMAP3OUT))&gt;=0,1,-1)*QUOTIENT(((1000)-(c_TMAP3IN)),2))+2147483648,4294967296)-2147483648,((1000)-(c_TMAP3IN))*(((A655)-(c_TMAP3IN))*((1000)-(c_TMAP3OUT))+IF(((1000)-(c_TMAP3OUT))&gt;=0,1,-1)*QUOTIENT(((1000)-(c_TMAP3IN)),2)))&gt;=0,1,0)))</f>
        <v>569</v>
      </c>
      <c r="H655" s="7" t="str">
        <f aca="false">IF(A655&gt;=c_TFWD,IF(AND(A655&gt;=c_TMAP3IN,c_TMAP3IN&lt;1000),"Seg4 map3-100%",IF(AND(A655&gt;=c_TMAP2IN,c_TMAP3IN&gt;c_TMAP2IN),"Seg3 map2-map3",IF(AND(A655&gt;=c_TMAP1IN,c_TMAP2IN&gt;c_TMAP1IN),"Seg2 map1-map2","Seg1 TFWD-map1"))),IF(AND(A655=0,c_TCREEP&gt;0),"Creep",IF(AND(A655&lt;=c_TRNGMIN,A655&gt;=c_TRNGMAX,c_TRNGMIN-c_TRNGMAX&lt;&gt;0),"Regen ramp","Coast (0)")))</f>
        <v>Seg4 map3-100%</v>
      </c>
      <c r="I655" s="7" t="n">
        <f aca="false">IF(A655&gt;=c_TFWD,IF(AND(A655&gt;=c_TMAP3IN,c_TMAP3IN&lt;1000),G655,IF(AND(A655&gt;=c_TMAP2IN,c_TMAP3IN&gt;c_TMAP2IN),F655,IF(AND(A655&gt;=c_TMAP1IN,c_TMAP2IN&gt;c_TMAP1IN),E655,D655))),C655)</f>
        <v>569</v>
      </c>
      <c r="J655" s="7" t="str">
        <f aca="false">IF(I655&lt;-1090,"TOO LOW",IF(I655&gt;1090,"TOO HIGH",""))</f>
        <v/>
      </c>
      <c r="K655" s="15" t="n">
        <f aca="false">IF(J655&lt;&gt;"",0,IF(I655&gt;979,1000,I655))</f>
        <v>569</v>
      </c>
      <c r="L655" s="7" t="n">
        <f aca="false">K655/10</f>
        <v>56.9</v>
      </c>
    </row>
    <row r="656" customFormat="false" ht="15" hidden="false" customHeight="false" outlineLevel="0" collapsed="false">
      <c r="A656" s="7" t="n">
        <v>651</v>
      </c>
      <c r="B656" s="7" t="n">
        <f aca="false">A656/10</f>
        <v>65.1</v>
      </c>
      <c r="C656" s="7" t="n">
        <f aca="false">IF(AND(A656=0,c_TCREEP&gt;0),10*c_TCREEP,IF(AND(A656&lt;=c_TRNGMIN,A656&gt;=c_TRNGMAX,c_TRNGMIN-c_TRNGMAX&lt;&gt;0),-10*c_TMINRN+QUOTIENT((c_TMAXRN-c_TMINRN)*(100-QUOTIENT((A656-c_TRNGMAX)*100,c_TRNGMIN-c_TRNGMAX)),-10),0))</f>
        <v>0</v>
      </c>
      <c r="D656" s="7" t="n">
        <f aca="false">IF(((c_TMAP1IN)-(c_TFWD))=0,(0)+QUOTIENT(((c_TMAP1OUT)-(0)),2),QUOTIENT((((A656)-(c_TFWD))*((c_TMAP1OUT)-(0))+IF(((c_TMAP1OUT)-(0))&gt;=0,1,-1)*QUOTIENT(((c_TMAP1IN)-(c_TFWD)),2)),((c_TMAP1IN)-(c_TFWD)))+(0)+IF(((c_TMAP1OUT)-(0))&gt;=0,IF(IF(o_WRAP=1,MOD(((c_TMAP1IN)-(c_TFWD))*(((A656)-(c_TFWD))*((c_TMAP1OUT)-(0))+IF(((c_TMAP1OUT)-(0))&gt;=0,1,-1)*QUOTIENT(((c_TMAP1IN)-(c_TFWD)),2))+2147483648,4294967296)-2147483648,((c_TMAP1IN)-(c_TFWD))*(((A656)-(c_TFWD))*((c_TMAP1OUT)-(0))+IF(((c_TMAP1OUT)-(0))&gt;=0,1,-1)*QUOTIENT(((c_TMAP1IN)-(c_TFWD)),2)))&lt;0,-1,0),IF(IF(o_WRAP=1,MOD(((c_TMAP1IN)-(c_TFWD))*(((A656)-(c_TFWD))*((c_TMAP1OUT)-(0))+IF(((c_TMAP1OUT)-(0))&gt;=0,1,-1)*QUOTIENT(((c_TMAP1IN)-(c_TFWD)),2))+2147483648,4294967296)-2147483648,((c_TMAP1IN)-(c_TFWD))*(((A656)-(c_TFWD))*((c_TMAP1OUT)-(0))+IF(((c_TMAP1OUT)-(0))&gt;=0,1,-1)*QUOTIENT(((c_TMAP1IN)-(c_TFWD)),2)))&gt;=0,1,0)))</f>
        <v>499</v>
      </c>
      <c r="E656" s="7" t="n">
        <f aca="false">IF(((c_TMAP2IN)-(c_TMAP1IN))=0,(c_TMAP1OUT)+QUOTIENT(((c_TMAP2OUT)-(c_TMAP1OUT)),2),QUOTIENT((((A656)-(c_TMAP1IN))*((c_TMAP2OUT)-(c_TMAP1OUT))+IF(((c_TMAP2OUT)-(c_TMAP1OUT))&gt;=0,1,-1)*QUOTIENT(((c_TMAP2IN)-(c_TMAP1IN)),2)),((c_TMAP2IN)-(c_TMAP1IN)))+(c_TMAP1OUT)+IF(((c_TMAP2OUT)-(c_TMAP1OUT))&gt;=0,IF(IF(o_WRAP=1,MOD(((c_TMAP2IN)-(c_TMAP1IN))*(((A656)-(c_TMAP1IN))*((c_TMAP2OUT)-(c_TMAP1OUT))+IF(((c_TMAP2OUT)-(c_TMAP1OUT))&gt;=0,1,-1)*QUOTIENT(((c_TMAP2IN)-(c_TMAP1IN)),2))+2147483648,4294967296)-2147483648,((c_TMAP2IN)-(c_TMAP1IN))*(((A656)-(c_TMAP1IN))*((c_TMAP2OUT)-(c_TMAP1OUT))+IF(((c_TMAP2OUT)-(c_TMAP1OUT))&gt;=0,1,-1)*QUOTIENT(((c_TMAP2IN)-(c_TMAP1IN)),2)))&lt;0,-1,0),IF(IF(o_WRAP=1,MOD(((c_TMAP2IN)-(c_TMAP1IN))*(((A656)-(c_TMAP1IN))*((c_TMAP2OUT)-(c_TMAP1OUT))+IF(((c_TMAP2OUT)-(c_TMAP1OUT))&gt;=0,1,-1)*QUOTIENT(((c_TMAP2IN)-(c_TMAP1IN)),2))+2147483648,4294967296)-2147483648,((c_TMAP2IN)-(c_TMAP1IN))*(((A656)-(c_TMAP1IN))*((c_TMAP2OUT)-(c_TMAP1OUT))+IF(((c_TMAP2OUT)-(c_TMAP1OUT))&gt;=0,1,-1)*QUOTIENT(((c_TMAP2IN)-(c_TMAP1IN)),2)))&gt;=0,1,0)))</f>
        <v>290</v>
      </c>
      <c r="F656" s="7" t="n">
        <f aca="false">IF(((c_TMAP3IN)-(c_TMAP2IN))=0,(c_TMAP2OUT)+QUOTIENT(((c_TMAP3OUT)-(c_TMAP2OUT)),2),QUOTIENT((((A656)-(c_TMAP2IN))*((c_TMAP3OUT)-(c_TMAP2OUT))+IF(((c_TMAP3OUT)-(c_TMAP2OUT))&gt;=0,1,-1)*QUOTIENT(((c_TMAP3IN)-(c_TMAP2IN)),2)),((c_TMAP3IN)-(c_TMAP2IN)))+(c_TMAP2OUT)+IF(((c_TMAP3OUT)-(c_TMAP2OUT))&gt;=0,IF(IF(o_WRAP=1,MOD(((c_TMAP3IN)-(c_TMAP2IN))*(((A656)-(c_TMAP2IN))*((c_TMAP3OUT)-(c_TMAP2OUT))+IF(((c_TMAP3OUT)-(c_TMAP2OUT))&gt;=0,1,-1)*QUOTIENT(((c_TMAP3IN)-(c_TMAP2IN)),2))+2147483648,4294967296)-2147483648,((c_TMAP3IN)-(c_TMAP2IN))*(((A656)-(c_TMAP2IN))*((c_TMAP3OUT)-(c_TMAP2OUT))+IF(((c_TMAP3OUT)-(c_TMAP2OUT))&gt;=0,1,-1)*QUOTIENT(((c_TMAP3IN)-(c_TMAP2IN)),2)))&lt;0,-1,0),IF(IF(o_WRAP=1,MOD(((c_TMAP3IN)-(c_TMAP2IN))*(((A656)-(c_TMAP2IN))*((c_TMAP3OUT)-(c_TMAP2OUT))+IF(((c_TMAP3OUT)-(c_TMAP2OUT))&gt;=0,1,-1)*QUOTIENT(((c_TMAP3IN)-(c_TMAP2IN)),2))+2147483648,4294967296)-2147483648,((c_TMAP3IN)-(c_TMAP2IN))*(((A656)-(c_TMAP2IN))*((c_TMAP3OUT)-(c_TMAP2OUT))+IF(((c_TMAP3OUT)-(c_TMAP2OUT))&gt;=0,1,-1)*QUOTIENT(((c_TMAP3IN)-(c_TMAP2IN)),2)))&gt;=0,1,0)))</f>
        <v>411</v>
      </c>
      <c r="G656" s="7" t="n">
        <f aca="false">IF(((1000)-(c_TMAP3IN))=0,(c_TMAP3OUT)+QUOTIENT(((1000)-(c_TMAP3OUT)),2),QUOTIENT((((A656)-(c_TMAP3IN))*((1000)-(c_TMAP3OUT))+IF(((1000)-(c_TMAP3OUT))&gt;=0,1,-1)*QUOTIENT(((1000)-(c_TMAP3IN)),2)),((1000)-(c_TMAP3IN)))+(c_TMAP3OUT)+IF(((1000)-(c_TMAP3OUT))&gt;=0,IF(IF(o_WRAP=1,MOD(((1000)-(c_TMAP3IN))*(((A656)-(c_TMAP3IN))*((1000)-(c_TMAP3OUT))+IF(((1000)-(c_TMAP3OUT))&gt;=0,1,-1)*QUOTIENT(((1000)-(c_TMAP3IN)),2))+2147483648,4294967296)-2147483648,((1000)-(c_TMAP3IN))*(((A656)-(c_TMAP3IN))*((1000)-(c_TMAP3OUT))+IF(((1000)-(c_TMAP3OUT))&gt;=0,1,-1)*QUOTIENT(((1000)-(c_TMAP3IN)),2)))&lt;0,-1,0),IF(IF(o_WRAP=1,MOD(((1000)-(c_TMAP3IN))*(((A656)-(c_TMAP3IN))*((1000)-(c_TMAP3OUT))+IF(((1000)-(c_TMAP3OUT))&gt;=0,1,-1)*QUOTIENT(((1000)-(c_TMAP3IN)),2))+2147483648,4294967296)-2147483648,((1000)-(c_TMAP3IN))*(((A656)-(c_TMAP3IN))*((1000)-(c_TMAP3OUT))+IF(((1000)-(c_TMAP3OUT))&gt;=0,1,-1)*QUOTIENT(((1000)-(c_TMAP3IN)),2)))&gt;=0,1,0)))</f>
        <v>570</v>
      </c>
      <c r="H656" s="7" t="str">
        <f aca="false">IF(A656&gt;=c_TFWD,IF(AND(A656&gt;=c_TMAP3IN,c_TMAP3IN&lt;1000),"Seg4 map3-100%",IF(AND(A656&gt;=c_TMAP2IN,c_TMAP3IN&gt;c_TMAP2IN),"Seg3 map2-map3",IF(AND(A656&gt;=c_TMAP1IN,c_TMAP2IN&gt;c_TMAP1IN),"Seg2 map1-map2","Seg1 TFWD-map1"))),IF(AND(A656=0,c_TCREEP&gt;0),"Creep",IF(AND(A656&lt;=c_TRNGMIN,A656&gt;=c_TRNGMAX,c_TRNGMIN-c_TRNGMAX&lt;&gt;0),"Regen ramp","Coast (0)")))</f>
        <v>Seg4 map3-100%</v>
      </c>
      <c r="I656" s="7" t="n">
        <f aca="false">IF(A656&gt;=c_TFWD,IF(AND(A656&gt;=c_TMAP3IN,c_TMAP3IN&lt;1000),G656,IF(AND(A656&gt;=c_TMAP2IN,c_TMAP3IN&gt;c_TMAP2IN),F656,IF(AND(A656&gt;=c_TMAP1IN,c_TMAP2IN&gt;c_TMAP1IN),E656,D656))),C656)</f>
        <v>570</v>
      </c>
      <c r="J656" s="7" t="str">
        <f aca="false">IF(I656&lt;-1090,"TOO LOW",IF(I656&gt;1090,"TOO HIGH",""))</f>
        <v/>
      </c>
      <c r="K656" s="15" t="n">
        <f aca="false">IF(J656&lt;&gt;"",0,IF(I656&gt;979,1000,I656))</f>
        <v>570</v>
      </c>
      <c r="L656" s="7" t="n">
        <f aca="false">K656/10</f>
        <v>57</v>
      </c>
    </row>
    <row r="657" customFormat="false" ht="15" hidden="false" customHeight="false" outlineLevel="0" collapsed="false">
      <c r="A657" s="7" t="n">
        <v>652</v>
      </c>
      <c r="B657" s="7" t="n">
        <f aca="false">A657/10</f>
        <v>65.2</v>
      </c>
      <c r="C657" s="7" t="n">
        <f aca="false">IF(AND(A657=0,c_TCREEP&gt;0),10*c_TCREEP,IF(AND(A657&lt;=c_TRNGMIN,A657&gt;=c_TRNGMAX,c_TRNGMIN-c_TRNGMAX&lt;&gt;0),-10*c_TMINRN+QUOTIENT((c_TMAXRN-c_TMINRN)*(100-QUOTIENT((A657-c_TRNGMAX)*100,c_TRNGMIN-c_TRNGMAX)),-10),0))</f>
        <v>0</v>
      </c>
      <c r="D657" s="7" t="n">
        <f aca="false">IF(((c_TMAP1IN)-(c_TFWD))=0,(0)+QUOTIENT(((c_TMAP1OUT)-(0)),2),QUOTIENT((((A657)-(c_TFWD))*((c_TMAP1OUT)-(0))+IF(((c_TMAP1OUT)-(0))&gt;=0,1,-1)*QUOTIENT(((c_TMAP1IN)-(c_TFWD)),2)),((c_TMAP1IN)-(c_TFWD)))+(0)+IF(((c_TMAP1OUT)-(0))&gt;=0,IF(IF(o_WRAP=1,MOD(((c_TMAP1IN)-(c_TFWD))*(((A657)-(c_TFWD))*((c_TMAP1OUT)-(0))+IF(((c_TMAP1OUT)-(0))&gt;=0,1,-1)*QUOTIENT(((c_TMAP1IN)-(c_TFWD)),2))+2147483648,4294967296)-2147483648,((c_TMAP1IN)-(c_TFWD))*(((A657)-(c_TFWD))*((c_TMAP1OUT)-(0))+IF(((c_TMAP1OUT)-(0))&gt;=0,1,-1)*QUOTIENT(((c_TMAP1IN)-(c_TFWD)),2)))&lt;0,-1,0),IF(IF(o_WRAP=1,MOD(((c_TMAP1IN)-(c_TFWD))*(((A657)-(c_TFWD))*((c_TMAP1OUT)-(0))+IF(((c_TMAP1OUT)-(0))&gt;=0,1,-1)*QUOTIENT(((c_TMAP1IN)-(c_TFWD)),2))+2147483648,4294967296)-2147483648,((c_TMAP1IN)-(c_TFWD))*(((A657)-(c_TFWD))*((c_TMAP1OUT)-(0))+IF(((c_TMAP1OUT)-(0))&gt;=0,1,-1)*QUOTIENT(((c_TMAP1IN)-(c_TFWD)),2)))&gt;=0,1,0)))</f>
        <v>499</v>
      </c>
      <c r="E657" s="7" t="n">
        <f aca="false">IF(((c_TMAP2IN)-(c_TMAP1IN))=0,(c_TMAP1OUT)+QUOTIENT(((c_TMAP2OUT)-(c_TMAP1OUT)),2),QUOTIENT((((A657)-(c_TMAP1IN))*((c_TMAP2OUT)-(c_TMAP1OUT))+IF(((c_TMAP2OUT)-(c_TMAP1OUT))&gt;=0,1,-1)*QUOTIENT(((c_TMAP2IN)-(c_TMAP1IN)),2)),((c_TMAP2IN)-(c_TMAP1IN)))+(c_TMAP1OUT)+IF(((c_TMAP2OUT)-(c_TMAP1OUT))&gt;=0,IF(IF(o_WRAP=1,MOD(((c_TMAP2IN)-(c_TMAP1IN))*(((A657)-(c_TMAP1IN))*((c_TMAP2OUT)-(c_TMAP1OUT))+IF(((c_TMAP2OUT)-(c_TMAP1OUT))&gt;=0,1,-1)*QUOTIENT(((c_TMAP2IN)-(c_TMAP1IN)),2))+2147483648,4294967296)-2147483648,((c_TMAP2IN)-(c_TMAP1IN))*(((A657)-(c_TMAP1IN))*((c_TMAP2OUT)-(c_TMAP1OUT))+IF(((c_TMAP2OUT)-(c_TMAP1OUT))&gt;=0,1,-1)*QUOTIENT(((c_TMAP2IN)-(c_TMAP1IN)),2)))&lt;0,-1,0),IF(IF(o_WRAP=1,MOD(((c_TMAP2IN)-(c_TMAP1IN))*(((A657)-(c_TMAP1IN))*((c_TMAP2OUT)-(c_TMAP1OUT))+IF(((c_TMAP2OUT)-(c_TMAP1OUT))&gt;=0,1,-1)*QUOTIENT(((c_TMAP2IN)-(c_TMAP1IN)),2))+2147483648,4294967296)-2147483648,((c_TMAP2IN)-(c_TMAP1IN))*(((A657)-(c_TMAP1IN))*((c_TMAP2OUT)-(c_TMAP1OUT))+IF(((c_TMAP2OUT)-(c_TMAP1OUT))&gt;=0,1,-1)*QUOTIENT(((c_TMAP2IN)-(c_TMAP1IN)),2)))&gt;=0,1,0)))</f>
        <v>291</v>
      </c>
      <c r="F657" s="7" t="n">
        <f aca="false">IF(((c_TMAP3IN)-(c_TMAP2IN))=0,(c_TMAP2OUT)+QUOTIENT(((c_TMAP3OUT)-(c_TMAP2OUT)),2),QUOTIENT((((A657)-(c_TMAP2IN))*((c_TMAP3OUT)-(c_TMAP2OUT))+IF(((c_TMAP3OUT)-(c_TMAP2OUT))&gt;=0,1,-1)*QUOTIENT(((c_TMAP3IN)-(c_TMAP2IN)),2)),((c_TMAP3IN)-(c_TMAP2IN)))+(c_TMAP2OUT)+IF(((c_TMAP3OUT)-(c_TMAP2OUT))&gt;=0,IF(IF(o_WRAP=1,MOD(((c_TMAP3IN)-(c_TMAP2IN))*(((A657)-(c_TMAP2IN))*((c_TMAP3OUT)-(c_TMAP2OUT))+IF(((c_TMAP3OUT)-(c_TMAP2OUT))&gt;=0,1,-1)*QUOTIENT(((c_TMAP3IN)-(c_TMAP2IN)),2))+2147483648,4294967296)-2147483648,((c_TMAP3IN)-(c_TMAP2IN))*(((A657)-(c_TMAP2IN))*((c_TMAP3OUT)-(c_TMAP2OUT))+IF(((c_TMAP3OUT)-(c_TMAP2OUT))&gt;=0,1,-1)*QUOTIENT(((c_TMAP3IN)-(c_TMAP2IN)),2)))&lt;0,-1,0),IF(IF(o_WRAP=1,MOD(((c_TMAP3IN)-(c_TMAP2IN))*(((A657)-(c_TMAP2IN))*((c_TMAP3OUT)-(c_TMAP2OUT))+IF(((c_TMAP3OUT)-(c_TMAP2OUT))&gt;=0,1,-1)*QUOTIENT(((c_TMAP3IN)-(c_TMAP2IN)),2))+2147483648,4294967296)-2147483648,((c_TMAP3IN)-(c_TMAP2IN))*(((A657)-(c_TMAP2IN))*((c_TMAP3OUT)-(c_TMAP2OUT))+IF(((c_TMAP3OUT)-(c_TMAP2OUT))&gt;=0,1,-1)*QUOTIENT(((c_TMAP3IN)-(c_TMAP2IN)),2)))&gt;=0,1,0)))</f>
        <v>411</v>
      </c>
      <c r="G657" s="7" t="n">
        <f aca="false">IF(((1000)-(c_TMAP3IN))=0,(c_TMAP3OUT)+QUOTIENT(((1000)-(c_TMAP3OUT)),2),QUOTIENT((((A657)-(c_TMAP3IN))*((1000)-(c_TMAP3OUT))+IF(((1000)-(c_TMAP3OUT))&gt;=0,1,-1)*QUOTIENT(((1000)-(c_TMAP3IN)),2)),((1000)-(c_TMAP3IN)))+(c_TMAP3OUT)+IF(((1000)-(c_TMAP3OUT))&gt;=0,IF(IF(o_WRAP=1,MOD(((1000)-(c_TMAP3IN))*(((A657)-(c_TMAP3IN))*((1000)-(c_TMAP3OUT))+IF(((1000)-(c_TMAP3OUT))&gt;=0,1,-1)*QUOTIENT(((1000)-(c_TMAP3IN)),2))+2147483648,4294967296)-2147483648,((1000)-(c_TMAP3IN))*(((A657)-(c_TMAP3IN))*((1000)-(c_TMAP3OUT))+IF(((1000)-(c_TMAP3OUT))&gt;=0,1,-1)*QUOTIENT(((1000)-(c_TMAP3IN)),2)))&lt;0,-1,0),IF(IF(o_WRAP=1,MOD(((1000)-(c_TMAP3IN))*(((A657)-(c_TMAP3IN))*((1000)-(c_TMAP3OUT))+IF(((1000)-(c_TMAP3OUT))&gt;=0,1,-1)*QUOTIENT(((1000)-(c_TMAP3IN)),2))+2147483648,4294967296)-2147483648,((1000)-(c_TMAP3IN))*(((A657)-(c_TMAP3IN))*((1000)-(c_TMAP3OUT))+IF(((1000)-(c_TMAP3OUT))&gt;=0,1,-1)*QUOTIENT(((1000)-(c_TMAP3IN)),2)))&gt;=0,1,0)))</f>
        <v>572</v>
      </c>
      <c r="H657" s="7" t="str">
        <f aca="false">IF(A657&gt;=c_TFWD,IF(AND(A657&gt;=c_TMAP3IN,c_TMAP3IN&lt;1000),"Seg4 map3-100%",IF(AND(A657&gt;=c_TMAP2IN,c_TMAP3IN&gt;c_TMAP2IN),"Seg3 map2-map3",IF(AND(A657&gt;=c_TMAP1IN,c_TMAP2IN&gt;c_TMAP1IN),"Seg2 map1-map2","Seg1 TFWD-map1"))),IF(AND(A657=0,c_TCREEP&gt;0),"Creep",IF(AND(A657&lt;=c_TRNGMIN,A657&gt;=c_TRNGMAX,c_TRNGMIN-c_TRNGMAX&lt;&gt;0),"Regen ramp","Coast (0)")))</f>
        <v>Seg4 map3-100%</v>
      </c>
      <c r="I657" s="7" t="n">
        <f aca="false">IF(A657&gt;=c_TFWD,IF(AND(A657&gt;=c_TMAP3IN,c_TMAP3IN&lt;1000),G657,IF(AND(A657&gt;=c_TMAP2IN,c_TMAP3IN&gt;c_TMAP2IN),F657,IF(AND(A657&gt;=c_TMAP1IN,c_TMAP2IN&gt;c_TMAP1IN),E657,D657))),C657)</f>
        <v>572</v>
      </c>
      <c r="J657" s="7" t="str">
        <f aca="false">IF(I657&lt;-1090,"TOO LOW",IF(I657&gt;1090,"TOO HIGH",""))</f>
        <v/>
      </c>
      <c r="K657" s="15" t="n">
        <f aca="false">IF(J657&lt;&gt;"",0,IF(I657&gt;979,1000,I657))</f>
        <v>572</v>
      </c>
      <c r="L657" s="7" t="n">
        <f aca="false">K657/10</f>
        <v>57.2</v>
      </c>
    </row>
    <row r="658" customFormat="false" ht="15" hidden="false" customHeight="false" outlineLevel="0" collapsed="false">
      <c r="A658" s="7" t="n">
        <v>653</v>
      </c>
      <c r="B658" s="7" t="n">
        <f aca="false">A658/10</f>
        <v>65.3</v>
      </c>
      <c r="C658" s="7" t="n">
        <f aca="false">IF(AND(A658=0,c_TCREEP&gt;0),10*c_TCREEP,IF(AND(A658&lt;=c_TRNGMIN,A658&gt;=c_TRNGMAX,c_TRNGMIN-c_TRNGMAX&lt;&gt;0),-10*c_TMINRN+QUOTIENT((c_TMAXRN-c_TMINRN)*(100-QUOTIENT((A658-c_TRNGMAX)*100,c_TRNGMIN-c_TRNGMAX)),-10),0))</f>
        <v>0</v>
      </c>
      <c r="D658" s="7" t="n">
        <f aca="false">IF(((c_TMAP1IN)-(c_TFWD))=0,(0)+QUOTIENT(((c_TMAP1OUT)-(0)),2),QUOTIENT((((A658)-(c_TFWD))*((c_TMAP1OUT)-(0))+IF(((c_TMAP1OUT)-(0))&gt;=0,1,-1)*QUOTIENT(((c_TMAP1IN)-(c_TFWD)),2)),((c_TMAP1IN)-(c_TFWD)))+(0)+IF(((c_TMAP1OUT)-(0))&gt;=0,IF(IF(o_WRAP=1,MOD(((c_TMAP1IN)-(c_TFWD))*(((A658)-(c_TFWD))*((c_TMAP1OUT)-(0))+IF(((c_TMAP1OUT)-(0))&gt;=0,1,-1)*QUOTIENT(((c_TMAP1IN)-(c_TFWD)),2))+2147483648,4294967296)-2147483648,((c_TMAP1IN)-(c_TFWD))*(((A658)-(c_TFWD))*((c_TMAP1OUT)-(0))+IF(((c_TMAP1OUT)-(0))&gt;=0,1,-1)*QUOTIENT(((c_TMAP1IN)-(c_TFWD)),2)))&lt;0,-1,0),IF(IF(o_WRAP=1,MOD(((c_TMAP1IN)-(c_TFWD))*(((A658)-(c_TFWD))*((c_TMAP1OUT)-(0))+IF(((c_TMAP1OUT)-(0))&gt;=0,1,-1)*QUOTIENT(((c_TMAP1IN)-(c_TFWD)),2))+2147483648,4294967296)-2147483648,((c_TMAP1IN)-(c_TFWD))*(((A658)-(c_TFWD))*((c_TMAP1OUT)-(0))+IF(((c_TMAP1OUT)-(0))&gt;=0,1,-1)*QUOTIENT(((c_TMAP1IN)-(c_TFWD)),2)))&gt;=0,1,0)))</f>
        <v>500</v>
      </c>
      <c r="E658" s="7" t="n">
        <f aca="false">IF(((c_TMAP2IN)-(c_TMAP1IN))=0,(c_TMAP1OUT)+QUOTIENT(((c_TMAP2OUT)-(c_TMAP1OUT)),2),QUOTIENT((((A658)-(c_TMAP1IN))*((c_TMAP2OUT)-(c_TMAP1OUT))+IF(((c_TMAP2OUT)-(c_TMAP1OUT))&gt;=0,1,-1)*QUOTIENT(((c_TMAP2IN)-(c_TMAP1IN)),2)),((c_TMAP2IN)-(c_TMAP1IN)))+(c_TMAP1OUT)+IF(((c_TMAP2OUT)-(c_TMAP1OUT))&gt;=0,IF(IF(o_WRAP=1,MOD(((c_TMAP2IN)-(c_TMAP1IN))*(((A658)-(c_TMAP1IN))*((c_TMAP2OUT)-(c_TMAP1OUT))+IF(((c_TMAP2OUT)-(c_TMAP1OUT))&gt;=0,1,-1)*QUOTIENT(((c_TMAP2IN)-(c_TMAP1IN)),2))+2147483648,4294967296)-2147483648,((c_TMAP2IN)-(c_TMAP1IN))*(((A658)-(c_TMAP1IN))*((c_TMAP2OUT)-(c_TMAP1OUT))+IF(((c_TMAP2OUT)-(c_TMAP1OUT))&gt;=0,1,-1)*QUOTIENT(((c_TMAP2IN)-(c_TMAP1IN)),2)))&lt;0,-1,0),IF(IF(o_WRAP=1,MOD(((c_TMAP2IN)-(c_TMAP1IN))*(((A658)-(c_TMAP1IN))*((c_TMAP2OUT)-(c_TMAP1OUT))+IF(((c_TMAP2OUT)-(c_TMAP1OUT))&gt;=0,1,-1)*QUOTIENT(((c_TMAP2IN)-(c_TMAP1IN)),2))+2147483648,4294967296)-2147483648,((c_TMAP2IN)-(c_TMAP1IN))*(((A658)-(c_TMAP1IN))*((c_TMAP2OUT)-(c_TMAP1OUT))+IF(((c_TMAP2OUT)-(c_TMAP1OUT))&gt;=0,1,-1)*QUOTIENT(((c_TMAP2IN)-(c_TMAP1IN)),2)))&gt;=0,1,0)))</f>
        <v>291</v>
      </c>
      <c r="F658" s="7" t="n">
        <f aca="false">IF(((c_TMAP3IN)-(c_TMAP2IN))=0,(c_TMAP2OUT)+QUOTIENT(((c_TMAP3OUT)-(c_TMAP2OUT)),2),QUOTIENT((((A658)-(c_TMAP2IN))*((c_TMAP3OUT)-(c_TMAP2OUT))+IF(((c_TMAP3OUT)-(c_TMAP2OUT))&gt;=0,1,-1)*QUOTIENT(((c_TMAP3IN)-(c_TMAP2IN)),2)),((c_TMAP3IN)-(c_TMAP2IN)))+(c_TMAP2OUT)+IF(((c_TMAP3OUT)-(c_TMAP2OUT))&gt;=0,IF(IF(o_WRAP=1,MOD(((c_TMAP3IN)-(c_TMAP2IN))*(((A658)-(c_TMAP2IN))*((c_TMAP3OUT)-(c_TMAP2OUT))+IF(((c_TMAP3OUT)-(c_TMAP2OUT))&gt;=0,1,-1)*QUOTIENT(((c_TMAP3IN)-(c_TMAP2IN)),2))+2147483648,4294967296)-2147483648,((c_TMAP3IN)-(c_TMAP2IN))*(((A658)-(c_TMAP2IN))*((c_TMAP3OUT)-(c_TMAP2OUT))+IF(((c_TMAP3OUT)-(c_TMAP2OUT))&gt;=0,1,-1)*QUOTIENT(((c_TMAP3IN)-(c_TMAP2IN)),2)))&lt;0,-1,0),IF(IF(o_WRAP=1,MOD(((c_TMAP3IN)-(c_TMAP2IN))*(((A658)-(c_TMAP2IN))*((c_TMAP3OUT)-(c_TMAP2OUT))+IF(((c_TMAP3OUT)-(c_TMAP2OUT))&gt;=0,1,-1)*QUOTIENT(((c_TMAP3IN)-(c_TMAP2IN)),2))+2147483648,4294967296)-2147483648,((c_TMAP3IN)-(c_TMAP2IN))*(((A658)-(c_TMAP2IN))*((c_TMAP3OUT)-(c_TMAP2OUT))+IF(((c_TMAP3OUT)-(c_TMAP2OUT))&gt;=0,1,-1)*QUOTIENT(((c_TMAP3IN)-(c_TMAP2IN)),2)))&gt;=0,1,0)))</f>
        <v>412</v>
      </c>
      <c r="G658" s="7" t="n">
        <f aca="false">IF(((1000)-(c_TMAP3IN))=0,(c_TMAP3OUT)+QUOTIENT(((1000)-(c_TMAP3OUT)),2),QUOTIENT((((A658)-(c_TMAP3IN))*((1000)-(c_TMAP3OUT))+IF(((1000)-(c_TMAP3OUT))&gt;=0,1,-1)*QUOTIENT(((1000)-(c_TMAP3IN)),2)),((1000)-(c_TMAP3IN)))+(c_TMAP3OUT)+IF(((1000)-(c_TMAP3OUT))&gt;=0,IF(IF(o_WRAP=1,MOD(((1000)-(c_TMAP3IN))*(((A658)-(c_TMAP3IN))*((1000)-(c_TMAP3OUT))+IF(((1000)-(c_TMAP3OUT))&gt;=0,1,-1)*QUOTIENT(((1000)-(c_TMAP3IN)),2))+2147483648,4294967296)-2147483648,((1000)-(c_TMAP3IN))*(((A658)-(c_TMAP3IN))*((1000)-(c_TMAP3OUT))+IF(((1000)-(c_TMAP3OUT))&gt;=0,1,-1)*QUOTIENT(((1000)-(c_TMAP3IN)),2)))&lt;0,-1,0),IF(IF(o_WRAP=1,MOD(((1000)-(c_TMAP3IN))*(((A658)-(c_TMAP3IN))*((1000)-(c_TMAP3OUT))+IF(((1000)-(c_TMAP3OUT))&gt;=0,1,-1)*QUOTIENT(((1000)-(c_TMAP3IN)),2))+2147483648,4294967296)-2147483648,((1000)-(c_TMAP3IN))*(((A658)-(c_TMAP3IN))*((1000)-(c_TMAP3OUT))+IF(((1000)-(c_TMAP3OUT))&gt;=0,1,-1)*QUOTIENT(((1000)-(c_TMAP3IN)),2)))&gt;=0,1,0)))</f>
        <v>573</v>
      </c>
      <c r="H658" s="7" t="str">
        <f aca="false">IF(A658&gt;=c_TFWD,IF(AND(A658&gt;=c_TMAP3IN,c_TMAP3IN&lt;1000),"Seg4 map3-100%",IF(AND(A658&gt;=c_TMAP2IN,c_TMAP3IN&gt;c_TMAP2IN),"Seg3 map2-map3",IF(AND(A658&gt;=c_TMAP1IN,c_TMAP2IN&gt;c_TMAP1IN),"Seg2 map1-map2","Seg1 TFWD-map1"))),IF(AND(A658=0,c_TCREEP&gt;0),"Creep",IF(AND(A658&lt;=c_TRNGMIN,A658&gt;=c_TRNGMAX,c_TRNGMIN-c_TRNGMAX&lt;&gt;0),"Regen ramp","Coast (0)")))</f>
        <v>Seg4 map3-100%</v>
      </c>
      <c r="I658" s="7" t="n">
        <f aca="false">IF(A658&gt;=c_TFWD,IF(AND(A658&gt;=c_TMAP3IN,c_TMAP3IN&lt;1000),G658,IF(AND(A658&gt;=c_TMAP2IN,c_TMAP3IN&gt;c_TMAP2IN),F658,IF(AND(A658&gt;=c_TMAP1IN,c_TMAP2IN&gt;c_TMAP1IN),E658,D658))),C658)</f>
        <v>573</v>
      </c>
      <c r="J658" s="7" t="str">
        <f aca="false">IF(I658&lt;-1090,"TOO LOW",IF(I658&gt;1090,"TOO HIGH",""))</f>
        <v/>
      </c>
      <c r="K658" s="15" t="n">
        <f aca="false">IF(J658&lt;&gt;"",0,IF(I658&gt;979,1000,I658))</f>
        <v>573</v>
      </c>
      <c r="L658" s="7" t="n">
        <f aca="false">K658/10</f>
        <v>57.3</v>
      </c>
    </row>
    <row r="659" customFormat="false" ht="15" hidden="false" customHeight="false" outlineLevel="0" collapsed="false">
      <c r="A659" s="7" t="n">
        <v>654</v>
      </c>
      <c r="B659" s="7" t="n">
        <f aca="false">A659/10</f>
        <v>65.4</v>
      </c>
      <c r="C659" s="7" t="n">
        <f aca="false">IF(AND(A659=0,c_TCREEP&gt;0),10*c_TCREEP,IF(AND(A659&lt;=c_TRNGMIN,A659&gt;=c_TRNGMAX,c_TRNGMIN-c_TRNGMAX&lt;&gt;0),-10*c_TMINRN+QUOTIENT((c_TMAXRN-c_TMINRN)*(100-QUOTIENT((A659-c_TRNGMAX)*100,c_TRNGMIN-c_TRNGMAX)),-10),0))</f>
        <v>0</v>
      </c>
      <c r="D659" s="7" t="n">
        <f aca="false">IF(((c_TMAP1IN)-(c_TFWD))=0,(0)+QUOTIENT(((c_TMAP1OUT)-(0)),2),QUOTIENT((((A659)-(c_TFWD))*((c_TMAP1OUT)-(0))+IF(((c_TMAP1OUT)-(0))&gt;=0,1,-1)*QUOTIENT(((c_TMAP1IN)-(c_TFWD)),2)),((c_TMAP1IN)-(c_TFWD)))+(0)+IF(((c_TMAP1OUT)-(0))&gt;=0,IF(IF(o_WRAP=1,MOD(((c_TMAP1IN)-(c_TFWD))*(((A659)-(c_TFWD))*((c_TMAP1OUT)-(0))+IF(((c_TMAP1OUT)-(0))&gt;=0,1,-1)*QUOTIENT(((c_TMAP1IN)-(c_TFWD)),2))+2147483648,4294967296)-2147483648,((c_TMAP1IN)-(c_TFWD))*(((A659)-(c_TFWD))*((c_TMAP1OUT)-(0))+IF(((c_TMAP1OUT)-(0))&gt;=0,1,-1)*QUOTIENT(((c_TMAP1IN)-(c_TFWD)),2)))&lt;0,-1,0),IF(IF(o_WRAP=1,MOD(((c_TMAP1IN)-(c_TFWD))*(((A659)-(c_TFWD))*((c_TMAP1OUT)-(0))+IF(((c_TMAP1OUT)-(0))&gt;=0,1,-1)*QUOTIENT(((c_TMAP1IN)-(c_TFWD)),2))+2147483648,4294967296)-2147483648,((c_TMAP1IN)-(c_TFWD))*(((A659)-(c_TFWD))*((c_TMAP1OUT)-(0))+IF(((c_TMAP1OUT)-(0))&gt;=0,1,-1)*QUOTIENT(((c_TMAP1IN)-(c_TFWD)),2)))&gt;=0,1,0)))</f>
        <v>501</v>
      </c>
      <c r="E659" s="7" t="n">
        <f aca="false">IF(((c_TMAP2IN)-(c_TMAP1IN))=0,(c_TMAP1OUT)+QUOTIENT(((c_TMAP2OUT)-(c_TMAP1OUT)),2),QUOTIENT((((A659)-(c_TMAP1IN))*((c_TMAP2OUT)-(c_TMAP1OUT))+IF(((c_TMAP2OUT)-(c_TMAP1OUT))&gt;=0,1,-1)*QUOTIENT(((c_TMAP2IN)-(c_TMAP1IN)),2)),((c_TMAP2IN)-(c_TMAP1IN)))+(c_TMAP1OUT)+IF(((c_TMAP2OUT)-(c_TMAP1OUT))&gt;=0,IF(IF(o_WRAP=1,MOD(((c_TMAP2IN)-(c_TMAP1IN))*(((A659)-(c_TMAP1IN))*((c_TMAP2OUT)-(c_TMAP1OUT))+IF(((c_TMAP2OUT)-(c_TMAP1OUT))&gt;=0,1,-1)*QUOTIENT(((c_TMAP2IN)-(c_TMAP1IN)),2))+2147483648,4294967296)-2147483648,((c_TMAP2IN)-(c_TMAP1IN))*(((A659)-(c_TMAP1IN))*((c_TMAP2OUT)-(c_TMAP1OUT))+IF(((c_TMAP2OUT)-(c_TMAP1OUT))&gt;=0,1,-1)*QUOTIENT(((c_TMAP2IN)-(c_TMAP1IN)),2)))&lt;0,-1,0),IF(IF(o_WRAP=1,MOD(((c_TMAP2IN)-(c_TMAP1IN))*(((A659)-(c_TMAP1IN))*((c_TMAP2OUT)-(c_TMAP1OUT))+IF(((c_TMAP2OUT)-(c_TMAP1OUT))&gt;=0,1,-1)*QUOTIENT(((c_TMAP2IN)-(c_TMAP1IN)),2))+2147483648,4294967296)-2147483648,((c_TMAP2IN)-(c_TMAP1IN))*(((A659)-(c_TMAP1IN))*((c_TMAP2OUT)-(c_TMAP1OUT))+IF(((c_TMAP2OUT)-(c_TMAP1OUT))&gt;=0,1,-1)*QUOTIENT(((c_TMAP2IN)-(c_TMAP1IN)),2)))&gt;=0,1,0)))</f>
        <v>292</v>
      </c>
      <c r="F659" s="7" t="n">
        <f aca="false">IF(((c_TMAP3IN)-(c_TMAP2IN))=0,(c_TMAP2OUT)+QUOTIENT(((c_TMAP3OUT)-(c_TMAP2OUT)),2),QUOTIENT((((A659)-(c_TMAP2IN))*((c_TMAP3OUT)-(c_TMAP2OUT))+IF(((c_TMAP3OUT)-(c_TMAP2OUT))&gt;=0,1,-1)*QUOTIENT(((c_TMAP3IN)-(c_TMAP2IN)),2)),((c_TMAP3IN)-(c_TMAP2IN)))+(c_TMAP2OUT)+IF(((c_TMAP3OUT)-(c_TMAP2OUT))&gt;=0,IF(IF(o_WRAP=1,MOD(((c_TMAP3IN)-(c_TMAP2IN))*(((A659)-(c_TMAP2IN))*((c_TMAP3OUT)-(c_TMAP2OUT))+IF(((c_TMAP3OUT)-(c_TMAP2OUT))&gt;=0,1,-1)*QUOTIENT(((c_TMAP3IN)-(c_TMAP2IN)),2))+2147483648,4294967296)-2147483648,((c_TMAP3IN)-(c_TMAP2IN))*(((A659)-(c_TMAP2IN))*((c_TMAP3OUT)-(c_TMAP2OUT))+IF(((c_TMAP3OUT)-(c_TMAP2OUT))&gt;=0,1,-1)*QUOTIENT(((c_TMAP3IN)-(c_TMAP2IN)),2)))&lt;0,-1,0),IF(IF(o_WRAP=1,MOD(((c_TMAP3IN)-(c_TMAP2IN))*(((A659)-(c_TMAP2IN))*((c_TMAP3OUT)-(c_TMAP2OUT))+IF(((c_TMAP3OUT)-(c_TMAP2OUT))&gt;=0,1,-1)*QUOTIENT(((c_TMAP3IN)-(c_TMAP2IN)),2))+2147483648,4294967296)-2147483648,((c_TMAP3IN)-(c_TMAP2IN))*(((A659)-(c_TMAP2IN))*((c_TMAP3OUT)-(c_TMAP2OUT))+IF(((c_TMAP3OUT)-(c_TMAP2OUT))&gt;=0,1,-1)*QUOTIENT(((c_TMAP3IN)-(c_TMAP2IN)),2)))&gt;=0,1,0)))</f>
        <v>413</v>
      </c>
      <c r="G659" s="7" t="n">
        <f aca="false">IF(((1000)-(c_TMAP3IN))=0,(c_TMAP3OUT)+QUOTIENT(((1000)-(c_TMAP3OUT)),2),QUOTIENT((((A659)-(c_TMAP3IN))*((1000)-(c_TMAP3OUT))+IF(((1000)-(c_TMAP3OUT))&gt;=0,1,-1)*QUOTIENT(((1000)-(c_TMAP3IN)),2)),((1000)-(c_TMAP3IN)))+(c_TMAP3OUT)+IF(((1000)-(c_TMAP3OUT))&gt;=0,IF(IF(o_WRAP=1,MOD(((1000)-(c_TMAP3IN))*(((A659)-(c_TMAP3IN))*((1000)-(c_TMAP3OUT))+IF(((1000)-(c_TMAP3OUT))&gt;=0,1,-1)*QUOTIENT(((1000)-(c_TMAP3IN)),2))+2147483648,4294967296)-2147483648,((1000)-(c_TMAP3IN))*(((A659)-(c_TMAP3IN))*((1000)-(c_TMAP3OUT))+IF(((1000)-(c_TMAP3OUT))&gt;=0,1,-1)*QUOTIENT(((1000)-(c_TMAP3IN)),2)))&lt;0,-1,0),IF(IF(o_WRAP=1,MOD(((1000)-(c_TMAP3IN))*(((A659)-(c_TMAP3IN))*((1000)-(c_TMAP3OUT))+IF(((1000)-(c_TMAP3OUT))&gt;=0,1,-1)*QUOTIENT(((1000)-(c_TMAP3IN)),2))+2147483648,4294967296)-2147483648,((1000)-(c_TMAP3IN))*(((A659)-(c_TMAP3IN))*((1000)-(c_TMAP3OUT))+IF(((1000)-(c_TMAP3OUT))&gt;=0,1,-1)*QUOTIENT(((1000)-(c_TMAP3IN)),2)))&gt;=0,1,0)))</f>
        <v>574</v>
      </c>
      <c r="H659" s="7" t="str">
        <f aca="false">IF(A659&gt;=c_TFWD,IF(AND(A659&gt;=c_TMAP3IN,c_TMAP3IN&lt;1000),"Seg4 map3-100%",IF(AND(A659&gt;=c_TMAP2IN,c_TMAP3IN&gt;c_TMAP2IN),"Seg3 map2-map3",IF(AND(A659&gt;=c_TMAP1IN,c_TMAP2IN&gt;c_TMAP1IN),"Seg2 map1-map2","Seg1 TFWD-map1"))),IF(AND(A659=0,c_TCREEP&gt;0),"Creep",IF(AND(A659&lt;=c_TRNGMIN,A659&gt;=c_TRNGMAX,c_TRNGMIN-c_TRNGMAX&lt;&gt;0),"Regen ramp","Coast (0)")))</f>
        <v>Seg4 map3-100%</v>
      </c>
      <c r="I659" s="7" t="n">
        <f aca="false">IF(A659&gt;=c_TFWD,IF(AND(A659&gt;=c_TMAP3IN,c_TMAP3IN&lt;1000),G659,IF(AND(A659&gt;=c_TMAP2IN,c_TMAP3IN&gt;c_TMAP2IN),F659,IF(AND(A659&gt;=c_TMAP1IN,c_TMAP2IN&gt;c_TMAP1IN),E659,D659))),C659)</f>
        <v>574</v>
      </c>
      <c r="J659" s="7" t="str">
        <f aca="false">IF(I659&lt;-1090,"TOO LOW",IF(I659&gt;1090,"TOO HIGH",""))</f>
        <v/>
      </c>
      <c r="K659" s="15" t="n">
        <f aca="false">IF(J659&lt;&gt;"",0,IF(I659&gt;979,1000,I659))</f>
        <v>574</v>
      </c>
      <c r="L659" s="7" t="n">
        <f aca="false">K659/10</f>
        <v>57.4</v>
      </c>
    </row>
    <row r="660" customFormat="false" ht="15" hidden="false" customHeight="false" outlineLevel="0" collapsed="false">
      <c r="A660" s="7" t="n">
        <v>655</v>
      </c>
      <c r="B660" s="7" t="n">
        <f aca="false">A660/10</f>
        <v>65.5</v>
      </c>
      <c r="C660" s="7" t="n">
        <f aca="false">IF(AND(A660=0,c_TCREEP&gt;0),10*c_TCREEP,IF(AND(A660&lt;=c_TRNGMIN,A660&gt;=c_TRNGMAX,c_TRNGMIN-c_TRNGMAX&lt;&gt;0),-10*c_TMINRN+QUOTIENT((c_TMAXRN-c_TMINRN)*(100-QUOTIENT((A660-c_TRNGMAX)*100,c_TRNGMIN-c_TRNGMAX)),-10),0))</f>
        <v>0</v>
      </c>
      <c r="D660" s="7" t="n">
        <f aca="false">IF(((c_TMAP1IN)-(c_TFWD))=0,(0)+QUOTIENT(((c_TMAP1OUT)-(0)),2),QUOTIENT((((A660)-(c_TFWD))*((c_TMAP1OUT)-(0))+IF(((c_TMAP1OUT)-(0))&gt;=0,1,-1)*QUOTIENT(((c_TMAP1IN)-(c_TFWD)),2)),((c_TMAP1IN)-(c_TFWD)))+(0)+IF(((c_TMAP1OUT)-(0))&gt;=0,IF(IF(o_WRAP=1,MOD(((c_TMAP1IN)-(c_TFWD))*(((A660)-(c_TFWD))*((c_TMAP1OUT)-(0))+IF(((c_TMAP1OUT)-(0))&gt;=0,1,-1)*QUOTIENT(((c_TMAP1IN)-(c_TFWD)),2))+2147483648,4294967296)-2147483648,((c_TMAP1IN)-(c_TFWD))*(((A660)-(c_TFWD))*((c_TMAP1OUT)-(0))+IF(((c_TMAP1OUT)-(0))&gt;=0,1,-1)*QUOTIENT(((c_TMAP1IN)-(c_TFWD)),2)))&lt;0,-1,0),IF(IF(o_WRAP=1,MOD(((c_TMAP1IN)-(c_TFWD))*(((A660)-(c_TFWD))*((c_TMAP1OUT)-(0))+IF(((c_TMAP1OUT)-(0))&gt;=0,1,-1)*QUOTIENT(((c_TMAP1IN)-(c_TFWD)),2))+2147483648,4294967296)-2147483648,((c_TMAP1IN)-(c_TFWD))*(((A660)-(c_TFWD))*((c_TMAP1OUT)-(0))+IF(((c_TMAP1OUT)-(0))&gt;=0,1,-1)*QUOTIENT(((c_TMAP1IN)-(c_TFWD)),2)))&gt;=0,1,0)))</f>
        <v>502</v>
      </c>
      <c r="E660" s="7" t="n">
        <f aca="false">IF(((c_TMAP2IN)-(c_TMAP1IN))=0,(c_TMAP1OUT)+QUOTIENT(((c_TMAP2OUT)-(c_TMAP1OUT)),2),QUOTIENT((((A660)-(c_TMAP1IN))*((c_TMAP2OUT)-(c_TMAP1OUT))+IF(((c_TMAP2OUT)-(c_TMAP1OUT))&gt;=0,1,-1)*QUOTIENT(((c_TMAP2IN)-(c_TMAP1IN)),2)),((c_TMAP2IN)-(c_TMAP1IN)))+(c_TMAP1OUT)+IF(((c_TMAP2OUT)-(c_TMAP1OUT))&gt;=0,IF(IF(o_WRAP=1,MOD(((c_TMAP2IN)-(c_TMAP1IN))*(((A660)-(c_TMAP1IN))*((c_TMAP2OUT)-(c_TMAP1OUT))+IF(((c_TMAP2OUT)-(c_TMAP1OUT))&gt;=0,1,-1)*QUOTIENT(((c_TMAP2IN)-(c_TMAP1IN)),2))+2147483648,4294967296)-2147483648,((c_TMAP2IN)-(c_TMAP1IN))*(((A660)-(c_TMAP1IN))*((c_TMAP2OUT)-(c_TMAP1OUT))+IF(((c_TMAP2OUT)-(c_TMAP1OUT))&gt;=0,1,-1)*QUOTIENT(((c_TMAP2IN)-(c_TMAP1IN)),2)))&lt;0,-1,0),IF(IF(o_WRAP=1,MOD(((c_TMAP2IN)-(c_TMAP1IN))*(((A660)-(c_TMAP1IN))*((c_TMAP2OUT)-(c_TMAP1OUT))+IF(((c_TMAP2OUT)-(c_TMAP1OUT))&gt;=0,1,-1)*QUOTIENT(((c_TMAP2IN)-(c_TMAP1IN)),2))+2147483648,4294967296)-2147483648,((c_TMAP2IN)-(c_TMAP1IN))*(((A660)-(c_TMAP1IN))*((c_TMAP2OUT)-(c_TMAP1OUT))+IF(((c_TMAP2OUT)-(c_TMAP1OUT))&gt;=0,1,-1)*QUOTIENT(((c_TMAP2IN)-(c_TMAP1IN)),2)))&gt;=0,1,0)))</f>
        <v>292</v>
      </c>
      <c r="F660" s="7" t="n">
        <f aca="false">IF(((c_TMAP3IN)-(c_TMAP2IN))=0,(c_TMAP2OUT)+QUOTIENT(((c_TMAP3OUT)-(c_TMAP2OUT)),2),QUOTIENT((((A660)-(c_TMAP2IN))*((c_TMAP3OUT)-(c_TMAP2OUT))+IF(((c_TMAP3OUT)-(c_TMAP2OUT))&gt;=0,1,-1)*QUOTIENT(((c_TMAP3IN)-(c_TMAP2IN)),2)),((c_TMAP3IN)-(c_TMAP2IN)))+(c_TMAP2OUT)+IF(((c_TMAP3OUT)-(c_TMAP2OUT))&gt;=0,IF(IF(o_WRAP=1,MOD(((c_TMAP3IN)-(c_TMAP2IN))*(((A660)-(c_TMAP2IN))*((c_TMAP3OUT)-(c_TMAP2OUT))+IF(((c_TMAP3OUT)-(c_TMAP2OUT))&gt;=0,1,-1)*QUOTIENT(((c_TMAP3IN)-(c_TMAP2IN)),2))+2147483648,4294967296)-2147483648,((c_TMAP3IN)-(c_TMAP2IN))*(((A660)-(c_TMAP2IN))*((c_TMAP3OUT)-(c_TMAP2OUT))+IF(((c_TMAP3OUT)-(c_TMAP2OUT))&gt;=0,1,-1)*QUOTIENT(((c_TMAP3IN)-(c_TMAP2IN)),2)))&lt;0,-1,0),IF(IF(o_WRAP=1,MOD(((c_TMAP3IN)-(c_TMAP2IN))*(((A660)-(c_TMAP2IN))*((c_TMAP3OUT)-(c_TMAP2OUT))+IF(((c_TMAP3OUT)-(c_TMAP2OUT))&gt;=0,1,-1)*QUOTIENT(((c_TMAP3IN)-(c_TMAP2IN)),2))+2147483648,4294967296)-2147483648,((c_TMAP3IN)-(c_TMAP2IN))*(((A660)-(c_TMAP2IN))*((c_TMAP3OUT)-(c_TMAP2OUT))+IF(((c_TMAP3OUT)-(c_TMAP2OUT))&gt;=0,1,-1)*QUOTIENT(((c_TMAP3IN)-(c_TMAP2IN)),2)))&gt;=0,1,0)))</f>
        <v>414</v>
      </c>
      <c r="G660" s="7" t="n">
        <f aca="false">IF(((1000)-(c_TMAP3IN))=0,(c_TMAP3OUT)+QUOTIENT(((1000)-(c_TMAP3OUT)),2),QUOTIENT((((A660)-(c_TMAP3IN))*((1000)-(c_TMAP3OUT))+IF(((1000)-(c_TMAP3OUT))&gt;=0,1,-1)*QUOTIENT(((1000)-(c_TMAP3IN)),2)),((1000)-(c_TMAP3IN)))+(c_TMAP3OUT)+IF(((1000)-(c_TMAP3OUT))&gt;=0,IF(IF(o_WRAP=1,MOD(((1000)-(c_TMAP3IN))*(((A660)-(c_TMAP3IN))*((1000)-(c_TMAP3OUT))+IF(((1000)-(c_TMAP3OUT))&gt;=0,1,-1)*QUOTIENT(((1000)-(c_TMAP3IN)),2))+2147483648,4294967296)-2147483648,((1000)-(c_TMAP3IN))*(((A660)-(c_TMAP3IN))*((1000)-(c_TMAP3OUT))+IF(((1000)-(c_TMAP3OUT))&gt;=0,1,-1)*QUOTIENT(((1000)-(c_TMAP3IN)),2)))&lt;0,-1,0),IF(IF(o_WRAP=1,MOD(((1000)-(c_TMAP3IN))*(((A660)-(c_TMAP3IN))*((1000)-(c_TMAP3OUT))+IF(((1000)-(c_TMAP3OUT))&gt;=0,1,-1)*QUOTIENT(((1000)-(c_TMAP3IN)),2))+2147483648,4294967296)-2147483648,((1000)-(c_TMAP3IN))*(((A660)-(c_TMAP3IN))*((1000)-(c_TMAP3OUT))+IF(((1000)-(c_TMAP3OUT))&gt;=0,1,-1)*QUOTIENT(((1000)-(c_TMAP3IN)),2)))&gt;=0,1,0)))</f>
        <v>575</v>
      </c>
      <c r="H660" s="7" t="str">
        <f aca="false">IF(A660&gt;=c_TFWD,IF(AND(A660&gt;=c_TMAP3IN,c_TMAP3IN&lt;1000),"Seg4 map3-100%",IF(AND(A660&gt;=c_TMAP2IN,c_TMAP3IN&gt;c_TMAP2IN),"Seg3 map2-map3",IF(AND(A660&gt;=c_TMAP1IN,c_TMAP2IN&gt;c_TMAP1IN),"Seg2 map1-map2","Seg1 TFWD-map1"))),IF(AND(A660=0,c_TCREEP&gt;0),"Creep",IF(AND(A660&lt;=c_TRNGMIN,A660&gt;=c_TRNGMAX,c_TRNGMIN-c_TRNGMAX&lt;&gt;0),"Regen ramp","Coast (0)")))</f>
        <v>Seg4 map3-100%</v>
      </c>
      <c r="I660" s="7" t="n">
        <f aca="false">IF(A660&gt;=c_TFWD,IF(AND(A660&gt;=c_TMAP3IN,c_TMAP3IN&lt;1000),G660,IF(AND(A660&gt;=c_TMAP2IN,c_TMAP3IN&gt;c_TMAP2IN),F660,IF(AND(A660&gt;=c_TMAP1IN,c_TMAP2IN&gt;c_TMAP1IN),E660,D660))),C660)</f>
        <v>575</v>
      </c>
      <c r="J660" s="7" t="str">
        <f aca="false">IF(I660&lt;-1090,"TOO LOW",IF(I660&gt;1090,"TOO HIGH",""))</f>
        <v/>
      </c>
      <c r="K660" s="15" t="n">
        <f aca="false">IF(J660&lt;&gt;"",0,IF(I660&gt;979,1000,I660))</f>
        <v>575</v>
      </c>
      <c r="L660" s="7" t="n">
        <f aca="false">K660/10</f>
        <v>57.5</v>
      </c>
    </row>
    <row r="661" customFormat="false" ht="15" hidden="false" customHeight="false" outlineLevel="0" collapsed="false">
      <c r="A661" s="7" t="n">
        <v>656</v>
      </c>
      <c r="B661" s="7" t="n">
        <f aca="false">A661/10</f>
        <v>65.6</v>
      </c>
      <c r="C661" s="7" t="n">
        <f aca="false">IF(AND(A661=0,c_TCREEP&gt;0),10*c_TCREEP,IF(AND(A661&lt;=c_TRNGMIN,A661&gt;=c_TRNGMAX,c_TRNGMIN-c_TRNGMAX&lt;&gt;0),-10*c_TMINRN+QUOTIENT((c_TMAXRN-c_TMINRN)*(100-QUOTIENT((A661-c_TRNGMAX)*100,c_TRNGMIN-c_TRNGMAX)),-10),0))</f>
        <v>0</v>
      </c>
      <c r="D661" s="7" t="n">
        <f aca="false">IF(((c_TMAP1IN)-(c_TFWD))=0,(0)+QUOTIENT(((c_TMAP1OUT)-(0)),2),QUOTIENT((((A661)-(c_TFWD))*((c_TMAP1OUT)-(0))+IF(((c_TMAP1OUT)-(0))&gt;=0,1,-1)*QUOTIENT(((c_TMAP1IN)-(c_TFWD)),2)),((c_TMAP1IN)-(c_TFWD)))+(0)+IF(((c_TMAP1OUT)-(0))&gt;=0,IF(IF(o_WRAP=1,MOD(((c_TMAP1IN)-(c_TFWD))*(((A661)-(c_TFWD))*((c_TMAP1OUT)-(0))+IF(((c_TMAP1OUT)-(0))&gt;=0,1,-1)*QUOTIENT(((c_TMAP1IN)-(c_TFWD)),2))+2147483648,4294967296)-2147483648,((c_TMAP1IN)-(c_TFWD))*(((A661)-(c_TFWD))*((c_TMAP1OUT)-(0))+IF(((c_TMAP1OUT)-(0))&gt;=0,1,-1)*QUOTIENT(((c_TMAP1IN)-(c_TFWD)),2)))&lt;0,-1,0),IF(IF(o_WRAP=1,MOD(((c_TMAP1IN)-(c_TFWD))*(((A661)-(c_TFWD))*((c_TMAP1OUT)-(0))+IF(((c_TMAP1OUT)-(0))&gt;=0,1,-1)*QUOTIENT(((c_TMAP1IN)-(c_TFWD)),2))+2147483648,4294967296)-2147483648,((c_TMAP1IN)-(c_TFWD))*(((A661)-(c_TFWD))*((c_TMAP1OUT)-(0))+IF(((c_TMAP1OUT)-(0))&gt;=0,1,-1)*QUOTIENT(((c_TMAP1IN)-(c_TFWD)),2)))&gt;=0,1,0)))</f>
        <v>502</v>
      </c>
      <c r="E661" s="7" t="n">
        <f aca="false">IF(((c_TMAP2IN)-(c_TMAP1IN))=0,(c_TMAP1OUT)+QUOTIENT(((c_TMAP2OUT)-(c_TMAP1OUT)),2),QUOTIENT((((A661)-(c_TMAP1IN))*((c_TMAP2OUT)-(c_TMAP1OUT))+IF(((c_TMAP2OUT)-(c_TMAP1OUT))&gt;=0,1,-1)*QUOTIENT(((c_TMAP2IN)-(c_TMAP1IN)),2)),((c_TMAP2IN)-(c_TMAP1IN)))+(c_TMAP1OUT)+IF(((c_TMAP2OUT)-(c_TMAP1OUT))&gt;=0,IF(IF(o_WRAP=1,MOD(((c_TMAP2IN)-(c_TMAP1IN))*(((A661)-(c_TMAP1IN))*((c_TMAP2OUT)-(c_TMAP1OUT))+IF(((c_TMAP2OUT)-(c_TMAP1OUT))&gt;=0,1,-1)*QUOTIENT(((c_TMAP2IN)-(c_TMAP1IN)),2))+2147483648,4294967296)-2147483648,((c_TMAP2IN)-(c_TMAP1IN))*(((A661)-(c_TMAP1IN))*((c_TMAP2OUT)-(c_TMAP1OUT))+IF(((c_TMAP2OUT)-(c_TMAP1OUT))&gt;=0,1,-1)*QUOTIENT(((c_TMAP2IN)-(c_TMAP1IN)),2)))&lt;0,-1,0),IF(IF(o_WRAP=1,MOD(((c_TMAP2IN)-(c_TMAP1IN))*(((A661)-(c_TMAP1IN))*((c_TMAP2OUT)-(c_TMAP1OUT))+IF(((c_TMAP2OUT)-(c_TMAP1OUT))&gt;=0,1,-1)*QUOTIENT(((c_TMAP2IN)-(c_TMAP1IN)),2))+2147483648,4294967296)-2147483648,((c_TMAP2IN)-(c_TMAP1IN))*(((A661)-(c_TMAP1IN))*((c_TMAP2OUT)-(c_TMAP1OUT))+IF(((c_TMAP2OUT)-(c_TMAP1OUT))&gt;=0,1,-1)*QUOTIENT(((c_TMAP2IN)-(c_TMAP1IN)),2)))&gt;=0,1,0)))</f>
        <v>292</v>
      </c>
      <c r="F661" s="7" t="n">
        <f aca="false">IF(((c_TMAP3IN)-(c_TMAP2IN))=0,(c_TMAP2OUT)+QUOTIENT(((c_TMAP3OUT)-(c_TMAP2OUT)),2),QUOTIENT((((A661)-(c_TMAP2IN))*((c_TMAP3OUT)-(c_TMAP2OUT))+IF(((c_TMAP3OUT)-(c_TMAP2OUT))&gt;=0,1,-1)*QUOTIENT(((c_TMAP3IN)-(c_TMAP2IN)),2)),((c_TMAP3IN)-(c_TMAP2IN)))+(c_TMAP2OUT)+IF(((c_TMAP3OUT)-(c_TMAP2OUT))&gt;=0,IF(IF(o_WRAP=1,MOD(((c_TMAP3IN)-(c_TMAP2IN))*(((A661)-(c_TMAP2IN))*((c_TMAP3OUT)-(c_TMAP2OUT))+IF(((c_TMAP3OUT)-(c_TMAP2OUT))&gt;=0,1,-1)*QUOTIENT(((c_TMAP3IN)-(c_TMAP2IN)),2))+2147483648,4294967296)-2147483648,((c_TMAP3IN)-(c_TMAP2IN))*(((A661)-(c_TMAP2IN))*((c_TMAP3OUT)-(c_TMAP2OUT))+IF(((c_TMAP3OUT)-(c_TMAP2OUT))&gt;=0,1,-1)*QUOTIENT(((c_TMAP3IN)-(c_TMAP2IN)),2)))&lt;0,-1,0),IF(IF(o_WRAP=1,MOD(((c_TMAP3IN)-(c_TMAP2IN))*(((A661)-(c_TMAP2IN))*((c_TMAP3OUT)-(c_TMAP2OUT))+IF(((c_TMAP3OUT)-(c_TMAP2OUT))&gt;=0,1,-1)*QUOTIENT(((c_TMAP3IN)-(c_TMAP2IN)),2))+2147483648,4294967296)-2147483648,((c_TMAP3IN)-(c_TMAP2IN))*(((A661)-(c_TMAP2IN))*((c_TMAP3OUT)-(c_TMAP2OUT))+IF(((c_TMAP3OUT)-(c_TMAP2OUT))&gt;=0,1,-1)*QUOTIENT(((c_TMAP3IN)-(c_TMAP2IN)),2)))&gt;=0,1,0)))</f>
        <v>414</v>
      </c>
      <c r="G661" s="7" t="n">
        <f aca="false">IF(((1000)-(c_TMAP3IN))=0,(c_TMAP3OUT)+QUOTIENT(((1000)-(c_TMAP3OUT)),2),QUOTIENT((((A661)-(c_TMAP3IN))*((1000)-(c_TMAP3OUT))+IF(((1000)-(c_TMAP3OUT))&gt;=0,1,-1)*QUOTIENT(((1000)-(c_TMAP3IN)),2)),((1000)-(c_TMAP3IN)))+(c_TMAP3OUT)+IF(((1000)-(c_TMAP3OUT))&gt;=0,IF(IF(o_WRAP=1,MOD(((1000)-(c_TMAP3IN))*(((A661)-(c_TMAP3IN))*((1000)-(c_TMAP3OUT))+IF(((1000)-(c_TMAP3OUT))&gt;=0,1,-1)*QUOTIENT(((1000)-(c_TMAP3IN)),2))+2147483648,4294967296)-2147483648,((1000)-(c_TMAP3IN))*(((A661)-(c_TMAP3IN))*((1000)-(c_TMAP3OUT))+IF(((1000)-(c_TMAP3OUT))&gt;=0,1,-1)*QUOTIENT(((1000)-(c_TMAP3IN)),2)))&lt;0,-1,0),IF(IF(o_WRAP=1,MOD(((1000)-(c_TMAP3IN))*(((A661)-(c_TMAP3IN))*((1000)-(c_TMAP3OUT))+IF(((1000)-(c_TMAP3OUT))&gt;=0,1,-1)*QUOTIENT(((1000)-(c_TMAP3IN)),2))+2147483648,4294967296)-2147483648,((1000)-(c_TMAP3IN))*(((A661)-(c_TMAP3IN))*((1000)-(c_TMAP3OUT))+IF(((1000)-(c_TMAP3OUT))&gt;=0,1,-1)*QUOTIENT(((1000)-(c_TMAP3IN)),2)))&gt;=0,1,0)))</f>
        <v>577</v>
      </c>
      <c r="H661" s="7" t="str">
        <f aca="false">IF(A661&gt;=c_TFWD,IF(AND(A661&gt;=c_TMAP3IN,c_TMAP3IN&lt;1000),"Seg4 map3-100%",IF(AND(A661&gt;=c_TMAP2IN,c_TMAP3IN&gt;c_TMAP2IN),"Seg3 map2-map3",IF(AND(A661&gt;=c_TMAP1IN,c_TMAP2IN&gt;c_TMAP1IN),"Seg2 map1-map2","Seg1 TFWD-map1"))),IF(AND(A661=0,c_TCREEP&gt;0),"Creep",IF(AND(A661&lt;=c_TRNGMIN,A661&gt;=c_TRNGMAX,c_TRNGMIN-c_TRNGMAX&lt;&gt;0),"Regen ramp","Coast (0)")))</f>
        <v>Seg4 map3-100%</v>
      </c>
      <c r="I661" s="7" t="n">
        <f aca="false">IF(A661&gt;=c_TFWD,IF(AND(A661&gt;=c_TMAP3IN,c_TMAP3IN&lt;1000),G661,IF(AND(A661&gt;=c_TMAP2IN,c_TMAP3IN&gt;c_TMAP2IN),F661,IF(AND(A661&gt;=c_TMAP1IN,c_TMAP2IN&gt;c_TMAP1IN),E661,D661))),C661)</f>
        <v>577</v>
      </c>
      <c r="J661" s="7" t="str">
        <f aca="false">IF(I661&lt;-1090,"TOO LOW",IF(I661&gt;1090,"TOO HIGH",""))</f>
        <v/>
      </c>
      <c r="K661" s="15" t="n">
        <f aca="false">IF(J661&lt;&gt;"",0,IF(I661&gt;979,1000,I661))</f>
        <v>577</v>
      </c>
      <c r="L661" s="7" t="n">
        <f aca="false">K661/10</f>
        <v>57.7</v>
      </c>
    </row>
    <row r="662" customFormat="false" ht="15" hidden="false" customHeight="false" outlineLevel="0" collapsed="false">
      <c r="A662" s="7" t="n">
        <v>657</v>
      </c>
      <c r="B662" s="7" t="n">
        <f aca="false">A662/10</f>
        <v>65.7</v>
      </c>
      <c r="C662" s="7" t="n">
        <f aca="false">IF(AND(A662=0,c_TCREEP&gt;0),10*c_TCREEP,IF(AND(A662&lt;=c_TRNGMIN,A662&gt;=c_TRNGMAX,c_TRNGMIN-c_TRNGMAX&lt;&gt;0),-10*c_TMINRN+QUOTIENT((c_TMAXRN-c_TMINRN)*(100-QUOTIENT((A662-c_TRNGMAX)*100,c_TRNGMIN-c_TRNGMAX)),-10),0))</f>
        <v>0</v>
      </c>
      <c r="D662" s="7" t="n">
        <f aca="false">IF(((c_TMAP1IN)-(c_TFWD))=0,(0)+QUOTIENT(((c_TMAP1OUT)-(0)),2),QUOTIENT((((A662)-(c_TFWD))*((c_TMAP1OUT)-(0))+IF(((c_TMAP1OUT)-(0))&gt;=0,1,-1)*QUOTIENT(((c_TMAP1IN)-(c_TFWD)),2)),((c_TMAP1IN)-(c_TFWD)))+(0)+IF(((c_TMAP1OUT)-(0))&gt;=0,IF(IF(o_WRAP=1,MOD(((c_TMAP1IN)-(c_TFWD))*(((A662)-(c_TFWD))*((c_TMAP1OUT)-(0))+IF(((c_TMAP1OUT)-(0))&gt;=0,1,-1)*QUOTIENT(((c_TMAP1IN)-(c_TFWD)),2))+2147483648,4294967296)-2147483648,((c_TMAP1IN)-(c_TFWD))*(((A662)-(c_TFWD))*((c_TMAP1OUT)-(0))+IF(((c_TMAP1OUT)-(0))&gt;=0,1,-1)*QUOTIENT(((c_TMAP1IN)-(c_TFWD)),2)))&lt;0,-1,0),IF(IF(o_WRAP=1,MOD(((c_TMAP1IN)-(c_TFWD))*(((A662)-(c_TFWD))*((c_TMAP1OUT)-(0))+IF(((c_TMAP1OUT)-(0))&gt;=0,1,-1)*QUOTIENT(((c_TMAP1IN)-(c_TFWD)),2))+2147483648,4294967296)-2147483648,((c_TMAP1IN)-(c_TFWD))*(((A662)-(c_TFWD))*((c_TMAP1OUT)-(0))+IF(((c_TMAP1OUT)-(0))&gt;=0,1,-1)*QUOTIENT(((c_TMAP1IN)-(c_TFWD)),2)))&gt;=0,1,0)))</f>
        <v>503</v>
      </c>
      <c r="E662" s="7" t="n">
        <f aca="false">IF(((c_TMAP2IN)-(c_TMAP1IN))=0,(c_TMAP1OUT)+QUOTIENT(((c_TMAP2OUT)-(c_TMAP1OUT)),2),QUOTIENT((((A662)-(c_TMAP1IN))*((c_TMAP2OUT)-(c_TMAP1OUT))+IF(((c_TMAP2OUT)-(c_TMAP1OUT))&gt;=0,1,-1)*QUOTIENT(((c_TMAP2IN)-(c_TMAP1IN)),2)),((c_TMAP2IN)-(c_TMAP1IN)))+(c_TMAP1OUT)+IF(((c_TMAP2OUT)-(c_TMAP1OUT))&gt;=0,IF(IF(o_WRAP=1,MOD(((c_TMAP2IN)-(c_TMAP1IN))*(((A662)-(c_TMAP1IN))*((c_TMAP2OUT)-(c_TMAP1OUT))+IF(((c_TMAP2OUT)-(c_TMAP1OUT))&gt;=0,1,-1)*QUOTIENT(((c_TMAP2IN)-(c_TMAP1IN)),2))+2147483648,4294967296)-2147483648,((c_TMAP2IN)-(c_TMAP1IN))*(((A662)-(c_TMAP1IN))*((c_TMAP2OUT)-(c_TMAP1OUT))+IF(((c_TMAP2OUT)-(c_TMAP1OUT))&gt;=0,1,-1)*QUOTIENT(((c_TMAP2IN)-(c_TMAP1IN)),2)))&lt;0,-1,0),IF(IF(o_WRAP=1,MOD(((c_TMAP2IN)-(c_TMAP1IN))*(((A662)-(c_TMAP1IN))*((c_TMAP2OUT)-(c_TMAP1OUT))+IF(((c_TMAP2OUT)-(c_TMAP1OUT))&gt;=0,1,-1)*QUOTIENT(((c_TMAP2IN)-(c_TMAP1IN)),2))+2147483648,4294967296)-2147483648,((c_TMAP2IN)-(c_TMAP1IN))*(((A662)-(c_TMAP1IN))*((c_TMAP2OUT)-(c_TMAP1OUT))+IF(((c_TMAP2OUT)-(c_TMAP1OUT))&gt;=0,1,-1)*QUOTIENT(((c_TMAP2IN)-(c_TMAP1IN)),2)))&gt;=0,1,0)))</f>
        <v>293</v>
      </c>
      <c r="F662" s="7" t="n">
        <f aca="false">IF(((c_TMAP3IN)-(c_TMAP2IN))=0,(c_TMAP2OUT)+QUOTIENT(((c_TMAP3OUT)-(c_TMAP2OUT)),2),QUOTIENT((((A662)-(c_TMAP2IN))*((c_TMAP3OUT)-(c_TMAP2OUT))+IF(((c_TMAP3OUT)-(c_TMAP2OUT))&gt;=0,1,-1)*QUOTIENT(((c_TMAP3IN)-(c_TMAP2IN)),2)),((c_TMAP3IN)-(c_TMAP2IN)))+(c_TMAP2OUT)+IF(((c_TMAP3OUT)-(c_TMAP2OUT))&gt;=0,IF(IF(o_WRAP=1,MOD(((c_TMAP3IN)-(c_TMAP2IN))*(((A662)-(c_TMAP2IN))*((c_TMAP3OUT)-(c_TMAP2OUT))+IF(((c_TMAP3OUT)-(c_TMAP2OUT))&gt;=0,1,-1)*QUOTIENT(((c_TMAP3IN)-(c_TMAP2IN)),2))+2147483648,4294967296)-2147483648,((c_TMAP3IN)-(c_TMAP2IN))*(((A662)-(c_TMAP2IN))*((c_TMAP3OUT)-(c_TMAP2OUT))+IF(((c_TMAP3OUT)-(c_TMAP2OUT))&gt;=0,1,-1)*QUOTIENT(((c_TMAP3IN)-(c_TMAP2IN)),2)))&lt;0,-1,0),IF(IF(o_WRAP=1,MOD(((c_TMAP3IN)-(c_TMAP2IN))*(((A662)-(c_TMAP2IN))*((c_TMAP3OUT)-(c_TMAP2OUT))+IF(((c_TMAP3OUT)-(c_TMAP2OUT))&gt;=0,1,-1)*QUOTIENT(((c_TMAP3IN)-(c_TMAP2IN)),2))+2147483648,4294967296)-2147483648,((c_TMAP3IN)-(c_TMAP2IN))*(((A662)-(c_TMAP2IN))*((c_TMAP3OUT)-(c_TMAP2OUT))+IF(((c_TMAP3OUT)-(c_TMAP2OUT))&gt;=0,1,-1)*QUOTIENT(((c_TMAP3IN)-(c_TMAP2IN)),2)))&gt;=0,1,0)))</f>
        <v>415</v>
      </c>
      <c r="G662" s="7" t="n">
        <f aca="false">IF(((1000)-(c_TMAP3IN))=0,(c_TMAP3OUT)+QUOTIENT(((1000)-(c_TMAP3OUT)),2),QUOTIENT((((A662)-(c_TMAP3IN))*((1000)-(c_TMAP3OUT))+IF(((1000)-(c_TMAP3OUT))&gt;=0,1,-1)*QUOTIENT(((1000)-(c_TMAP3IN)),2)),((1000)-(c_TMAP3IN)))+(c_TMAP3OUT)+IF(((1000)-(c_TMAP3OUT))&gt;=0,IF(IF(o_WRAP=1,MOD(((1000)-(c_TMAP3IN))*(((A662)-(c_TMAP3IN))*((1000)-(c_TMAP3OUT))+IF(((1000)-(c_TMAP3OUT))&gt;=0,1,-1)*QUOTIENT(((1000)-(c_TMAP3IN)),2))+2147483648,4294967296)-2147483648,((1000)-(c_TMAP3IN))*(((A662)-(c_TMAP3IN))*((1000)-(c_TMAP3OUT))+IF(((1000)-(c_TMAP3OUT))&gt;=0,1,-1)*QUOTIENT(((1000)-(c_TMAP3IN)),2)))&lt;0,-1,0),IF(IF(o_WRAP=1,MOD(((1000)-(c_TMAP3IN))*(((A662)-(c_TMAP3IN))*((1000)-(c_TMAP3OUT))+IF(((1000)-(c_TMAP3OUT))&gt;=0,1,-1)*QUOTIENT(((1000)-(c_TMAP3IN)),2))+2147483648,4294967296)-2147483648,((1000)-(c_TMAP3IN))*(((A662)-(c_TMAP3IN))*((1000)-(c_TMAP3OUT))+IF(((1000)-(c_TMAP3OUT))&gt;=0,1,-1)*QUOTIENT(((1000)-(c_TMAP3IN)),2)))&gt;=0,1,0)))</f>
        <v>578</v>
      </c>
      <c r="H662" s="7" t="str">
        <f aca="false">IF(A662&gt;=c_TFWD,IF(AND(A662&gt;=c_TMAP3IN,c_TMAP3IN&lt;1000),"Seg4 map3-100%",IF(AND(A662&gt;=c_TMAP2IN,c_TMAP3IN&gt;c_TMAP2IN),"Seg3 map2-map3",IF(AND(A662&gt;=c_TMAP1IN,c_TMAP2IN&gt;c_TMAP1IN),"Seg2 map1-map2","Seg1 TFWD-map1"))),IF(AND(A662=0,c_TCREEP&gt;0),"Creep",IF(AND(A662&lt;=c_TRNGMIN,A662&gt;=c_TRNGMAX,c_TRNGMIN-c_TRNGMAX&lt;&gt;0),"Regen ramp","Coast (0)")))</f>
        <v>Seg4 map3-100%</v>
      </c>
      <c r="I662" s="7" t="n">
        <f aca="false">IF(A662&gt;=c_TFWD,IF(AND(A662&gt;=c_TMAP3IN,c_TMAP3IN&lt;1000),G662,IF(AND(A662&gt;=c_TMAP2IN,c_TMAP3IN&gt;c_TMAP2IN),F662,IF(AND(A662&gt;=c_TMAP1IN,c_TMAP2IN&gt;c_TMAP1IN),E662,D662))),C662)</f>
        <v>578</v>
      </c>
      <c r="J662" s="7" t="str">
        <f aca="false">IF(I662&lt;-1090,"TOO LOW",IF(I662&gt;1090,"TOO HIGH",""))</f>
        <v/>
      </c>
      <c r="K662" s="15" t="n">
        <f aca="false">IF(J662&lt;&gt;"",0,IF(I662&gt;979,1000,I662))</f>
        <v>578</v>
      </c>
      <c r="L662" s="7" t="n">
        <f aca="false">K662/10</f>
        <v>57.8</v>
      </c>
    </row>
    <row r="663" customFormat="false" ht="15" hidden="false" customHeight="false" outlineLevel="0" collapsed="false">
      <c r="A663" s="7" t="n">
        <v>658</v>
      </c>
      <c r="B663" s="7" t="n">
        <f aca="false">A663/10</f>
        <v>65.8</v>
      </c>
      <c r="C663" s="7" t="n">
        <f aca="false">IF(AND(A663=0,c_TCREEP&gt;0),10*c_TCREEP,IF(AND(A663&lt;=c_TRNGMIN,A663&gt;=c_TRNGMAX,c_TRNGMIN-c_TRNGMAX&lt;&gt;0),-10*c_TMINRN+QUOTIENT((c_TMAXRN-c_TMINRN)*(100-QUOTIENT((A663-c_TRNGMAX)*100,c_TRNGMIN-c_TRNGMAX)),-10),0))</f>
        <v>0</v>
      </c>
      <c r="D663" s="7" t="n">
        <f aca="false">IF(((c_TMAP1IN)-(c_TFWD))=0,(0)+QUOTIENT(((c_TMAP1OUT)-(0)),2),QUOTIENT((((A663)-(c_TFWD))*((c_TMAP1OUT)-(0))+IF(((c_TMAP1OUT)-(0))&gt;=0,1,-1)*QUOTIENT(((c_TMAP1IN)-(c_TFWD)),2)),((c_TMAP1IN)-(c_TFWD)))+(0)+IF(((c_TMAP1OUT)-(0))&gt;=0,IF(IF(o_WRAP=1,MOD(((c_TMAP1IN)-(c_TFWD))*(((A663)-(c_TFWD))*((c_TMAP1OUT)-(0))+IF(((c_TMAP1OUT)-(0))&gt;=0,1,-1)*QUOTIENT(((c_TMAP1IN)-(c_TFWD)),2))+2147483648,4294967296)-2147483648,((c_TMAP1IN)-(c_TFWD))*(((A663)-(c_TFWD))*((c_TMAP1OUT)-(0))+IF(((c_TMAP1OUT)-(0))&gt;=0,1,-1)*QUOTIENT(((c_TMAP1IN)-(c_TFWD)),2)))&lt;0,-1,0),IF(IF(o_WRAP=1,MOD(((c_TMAP1IN)-(c_TFWD))*(((A663)-(c_TFWD))*((c_TMAP1OUT)-(0))+IF(((c_TMAP1OUT)-(0))&gt;=0,1,-1)*QUOTIENT(((c_TMAP1IN)-(c_TFWD)),2))+2147483648,4294967296)-2147483648,((c_TMAP1IN)-(c_TFWD))*(((A663)-(c_TFWD))*((c_TMAP1OUT)-(0))+IF(((c_TMAP1OUT)-(0))&gt;=0,1,-1)*QUOTIENT(((c_TMAP1IN)-(c_TFWD)),2)))&gt;=0,1,0)))</f>
        <v>504</v>
      </c>
      <c r="E663" s="7" t="n">
        <f aca="false">IF(((c_TMAP2IN)-(c_TMAP1IN))=0,(c_TMAP1OUT)+QUOTIENT(((c_TMAP2OUT)-(c_TMAP1OUT)),2),QUOTIENT((((A663)-(c_TMAP1IN))*((c_TMAP2OUT)-(c_TMAP1OUT))+IF(((c_TMAP2OUT)-(c_TMAP1OUT))&gt;=0,1,-1)*QUOTIENT(((c_TMAP2IN)-(c_TMAP1IN)),2)),((c_TMAP2IN)-(c_TMAP1IN)))+(c_TMAP1OUT)+IF(((c_TMAP2OUT)-(c_TMAP1OUT))&gt;=0,IF(IF(o_WRAP=1,MOD(((c_TMAP2IN)-(c_TMAP1IN))*(((A663)-(c_TMAP1IN))*((c_TMAP2OUT)-(c_TMAP1OUT))+IF(((c_TMAP2OUT)-(c_TMAP1OUT))&gt;=0,1,-1)*QUOTIENT(((c_TMAP2IN)-(c_TMAP1IN)),2))+2147483648,4294967296)-2147483648,((c_TMAP2IN)-(c_TMAP1IN))*(((A663)-(c_TMAP1IN))*((c_TMAP2OUT)-(c_TMAP1OUT))+IF(((c_TMAP2OUT)-(c_TMAP1OUT))&gt;=0,1,-1)*QUOTIENT(((c_TMAP2IN)-(c_TMAP1IN)),2)))&lt;0,-1,0),IF(IF(o_WRAP=1,MOD(((c_TMAP2IN)-(c_TMAP1IN))*(((A663)-(c_TMAP1IN))*((c_TMAP2OUT)-(c_TMAP1OUT))+IF(((c_TMAP2OUT)-(c_TMAP1OUT))&gt;=0,1,-1)*QUOTIENT(((c_TMAP2IN)-(c_TMAP1IN)),2))+2147483648,4294967296)-2147483648,((c_TMAP2IN)-(c_TMAP1IN))*(((A663)-(c_TMAP1IN))*((c_TMAP2OUT)-(c_TMAP1OUT))+IF(((c_TMAP2OUT)-(c_TMAP1OUT))&gt;=0,1,-1)*QUOTIENT(((c_TMAP2IN)-(c_TMAP1IN)),2)))&gt;=0,1,0)))</f>
        <v>293</v>
      </c>
      <c r="F663" s="7" t="n">
        <f aca="false">IF(((c_TMAP3IN)-(c_TMAP2IN))=0,(c_TMAP2OUT)+QUOTIENT(((c_TMAP3OUT)-(c_TMAP2OUT)),2),QUOTIENT((((A663)-(c_TMAP2IN))*((c_TMAP3OUT)-(c_TMAP2OUT))+IF(((c_TMAP3OUT)-(c_TMAP2OUT))&gt;=0,1,-1)*QUOTIENT(((c_TMAP3IN)-(c_TMAP2IN)),2)),((c_TMAP3IN)-(c_TMAP2IN)))+(c_TMAP2OUT)+IF(((c_TMAP3OUT)-(c_TMAP2OUT))&gt;=0,IF(IF(o_WRAP=1,MOD(((c_TMAP3IN)-(c_TMAP2IN))*(((A663)-(c_TMAP2IN))*((c_TMAP3OUT)-(c_TMAP2OUT))+IF(((c_TMAP3OUT)-(c_TMAP2OUT))&gt;=0,1,-1)*QUOTIENT(((c_TMAP3IN)-(c_TMAP2IN)),2))+2147483648,4294967296)-2147483648,((c_TMAP3IN)-(c_TMAP2IN))*(((A663)-(c_TMAP2IN))*((c_TMAP3OUT)-(c_TMAP2OUT))+IF(((c_TMAP3OUT)-(c_TMAP2OUT))&gt;=0,1,-1)*QUOTIENT(((c_TMAP3IN)-(c_TMAP2IN)),2)))&lt;0,-1,0),IF(IF(o_WRAP=1,MOD(((c_TMAP3IN)-(c_TMAP2IN))*(((A663)-(c_TMAP2IN))*((c_TMAP3OUT)-(c_TMAP2OUT))+IF(((c_TMAP3OUT)-(c_TMAP2OUT))&gt;=0,1,-1)*QUOTIENT(((c_TMAP3IN)-(c_TMAP2IN)),2))+2147483648,4294967296)-2147483648,((c_TMAP3IN)-(c_TMAP2IN))*(((A663)-(c_TMAP2IN))*((c_TMAP3OUT)-(c_TMAP2OUT))+IF(((c_TMAP3OUT)-(c_TMAP2OUT))&gt;=0,1,-1)*QUOTIENT(((c_TMAP3IN)-(c_TMAP2IN)),2)))&gt;=0,1,0)))</f>
        <v>416</v>
      </c>
      <c r="G663" s="7" t="n">
        <f aca="false">IF(((1000)-(c_TMAP3IN))=0,(c_TMAP3OUT)+QUOTIENT(((1000)-(c_TMAP3OUT)),2),QUOTIENT((((A663)-(c_TMAP3IN))*((1000)-(c_TMAP3OUT))+IF(((1000)-(c_TMAP3OUT))&gt;=0,1,-1)*QUOTIENT(((1000)-(c_TMAP3IN)),2)),((1000)-(c_TMAP3IN)))+(c_TMAP3OUT)+IF(((1000)-(c_TMAP3OUT))&gt;=0,IF(IF(o_WRAP=1,MOD(((1000)-(c_TMAP3IN))*(((A663)-(c_TMAP3IN))*((1000)-(c_TMAP3OUT))+IF(((1000)-(c_TMAP3OUT))&gt;=0,1,-1)*QUOTIENT(((1000)-(c_TMAP3IN)),2))+2147483648,4294967296)-2147483648,((1000)-(c_TMAP3IN))*(((A663)-(c_TMAP3IN))*((1000)-(c_TMAP3OUT))+IF(((1000)-(c_TMAP3OUT))&gt;=0,1,-1)*QUOTIENT(((1000)-(c_TMAP3IN)),2)))&lt;0,-1,0),IF(IF(o_WRAP=1,MOD(((1000)-(c_TMAP3IN))*(((A663)-(c_TMAP3IN))*((1000)-(c_TMAP3OUT))+IF(((1000)-(c_TMAP3OUT))&gt;=0,1,-1)*QUOTIENT(((1000)-(c_TMAP3IN)),2))+2147483648,4294967296)-2147483648,((1000)-(c_TMAP3IN))*(((A663)-(c_TMAP3IN))*((1000)-(c_TMAP3OUT))+IF(((1000)-(c_TMAP3OUT))&gt;=0,1,-1)*QUOTIENT(((1000)-(c_TMAP3IN)),2)))&gt;=0,1,0)))</f>
        <v>579</v>
      </c>
      <c r="H663" s="7" t="str">
        <f aca="false">IF(A663&gt;=c_TFWD,IF(AND(A663&gt;=c_TMAP3IN,c_TMAP3IN&lt;1000),"Seg4 map3-100%",IF(AND(A663&gt;=c_TMAP2IN,c_TMAP3IN&gt;c_TMAP2IN),"Seg3 map2-map3",IF(AND(A663&gt;=c_TMAP1IN,c_TMAP2IN&gt;c_TMAP1IN),"Seg2 map1-map2","Seg1 TFWD-map1"))),IF(AND(A663=0,c_TCREEP&gt;0),"Creep",IF(AND(A663&lt;=c_TRNGMIN,A663&gt;=c_TRNGMAX,c_TRNGMIN-c_TRNGMAX&lt;&gt;0),"Regen ramp","Coast (0)")))</f>
        <v>Seg4 map3-100%</v>
      </c>
      <c r="I663" s="7" t="n">
        <f aca="false">IF(A663&gt;=c_TFWD,IF(AND(A663&gt;=c_TMAP3IN,c_TMAP3IN&lt;1000),G663,IF(AND(A663&gt;=c_TMAP2IN,c_TMAP3IN&gt;c_TMAP2IN),F663,IF(AND(A663&gt;=c_TMAP1IN,c_TMAP2IN&gt;c_TMAP1IN),E663,D663))),C663)</f>
        <v>579</v>
      </c>
      <c r="J663" s="7" t="str">
        <f aca="false">IF(I663&lt;-1090,"TOO LOW",IF(I663&gt;1090,"TOO HIGH",""))</f>
        <v/>
      </c>
      <c r="K663" s="15" t="n">
        <f aca="false">IF(J663&lt;&gt;"",0,IF(I663&gt;979,1000,I663))</f>
        <v>579</v>
      </c>
      <c r="L663" s="7" t="n">
        <f aca="false">K663/10</f>
        <v>57.9</v>
      </c>
    </row>
    <row r="664" customFormat="false" ht="15" hidden="false" customHeight="false" outlineLevel="0" collapsed="false">
      <c r="A664" s="7" t="n">
        <v>659</v>
      </c>
      <c r="B664" s="7" t="n">
        <f aca="false">A664/10</f>
        <v>65.9</v>
      </c>
      <c r="C664" s="7" t="n">
        <f aca="false">IF(AND(A664=0,c_TCREEP&gt;0),10*c_TCREEP,IF(AND(A664&lt;=c_TRNGMIN,A664&gt;=c_TRNGMAX,c_TRNGMIN-c_TRNGMAX&lt;&gt;0),-10*c_TMINRN+QUOTIENT((c_TMAXRN-c_TMINRN)*(100-QUOTIENT((A664-c_TRNGMAX)*100,c_TRNGMIN-c_TRNGMAX)),-10),0))</f>
        <v>0</v>
      </c>
      <c r="D664" s="7" t="n">
        <f aca="false">IF(((c_TMAP1IN)-(c_TFWD))=0,(0)+QUOTIENT(((c_TMAP1OUT)-(0)),2),QUOTIENT((((A664)-(c_TFWD))*((c_TMAP1OUT)-(0))+IF(((c_TMAP1OUT)-(0))&gt;=0,1,-1)*QUOTIENT(((c_TMAP1IN)-(c_TFWD)),2)),((c_TMAP1IN)-(c_TFWD)))+(0)+IF(((c_TMAP1OUT)-(0))&gt;=0,IF(IF(o_WRAP=1,MOD(((c_TMAP1IN)-(c_TFWD))*(((A664)-(c_TFWD))*((c_TMAP1OUT)-(0))+IF(((c_TMAP1OUT)-(0))&gt;=0,1,-1)*QUOTIENT(((c_TMAP1IN)-(c_TFWD)),2))+2147483648,4294967296)-2147483648,((c_TMAP1IN)-(c_TFWD))*(((A664)-(c_TFWD))*((c_TMAP1OUT)-(0))+IF(((c_TMAP1OUT)-(0))&gt;=0,1,-1)*QUOTIENT(((c_TMAP1IN)-(c_TFWD)),2)))&lt;0,-1,0),IF(IF(o_WRAP=1,MOD(((c_TMAP1IN)-(c_TFWD))*(((A664)-(c_TFWD))*((c_TMAP1OUT)-(0))+IF(((c_TMAP1OUT)-(0))&gt;=0,1,-1)*QUOTIENT(((c_TMAP1IN)-(c_TFWD)),2))+2147483648,4294967296)-2147483648,((c_TMAP1IN)-(c_TFWD))*(((A664)-(c_TFWD))*((c_TMAP1OUT)-(0))+IF(((c_TMAP1OUT)-(0))&gt;=0,1,-1)*QUOTIENT(((c_TMAP1IN)-(c_TFWD)),2)))&gt;=0,1,0)))</f>
        <v>505</v>
      </c>
      <c r="E664" s="7" t="n">
        <f aca="false">IF(((c_TMAP2IN)-(c_TMAP1IN))=0,(c_TMAP1OUT)+QUOTIENT(((c_TMAP2OUT)-(c_TMAP1OUT)),2),QUOTIENT((((A664)-(c_TMAP1IN))*((c_TMAP2OUT)-(c_TMAP1OUT))+IF(((c_TMAP2OUT)-(c_TMAP1OUT))&gt;=0,1,-1)*QUOTIENT(((c_TMAP2IN)-(c_TMAP1IN)),2)),((c_TMAP2IN)-(c_TMAP1IN)))+(c_TMAP1OUT)+IF(((c_TMAP2OUT)-(c_TMAP1OUT))&gt;=0,IF(IF(o_WRAP=1,MOD(((c_TMAP2IN)-(c_TMAP1IN))*(((A664)-(c_TMAP1IN))*((c_TMAP2OUT)-(c_TMAP1OUT))+IF(((c_TMAP2OUT)-(c_TMAP1OUT))&gt;=0,1,-1)*QUOTIENT(((c_TMAP2IN)-(c_TMAP1IN)),2))+2147483648,4294967296)-2147483648,((c_TMAP2IN)-(c_TMAP1IN))*(((A664)-(c_TMAP1IN))*((c_TMAP2OUT)-(c_TMAP1OUT))+IF(((c_TMAP2OUT)-(c_TMAP1OUT))&gt;=0,1,-1)*QUOTIENT(((c_TMAP2IN)-(c_TMAP1IN)),2)))&lt;0,-1,0),IF(IF(o_WRAP=1,MOD(((c_TMAP2IN)-(c_TMAP1IN))*(((A664)-(c_TMAP1IN))*((c_TMAP2OUT)-(c_TMAP1OUT))+IF(((c_TMAP2OUT)-(c_TMAP1OUT))&gt;=0,1,-1)*QUOTIENT(((c_TMAP2IN)-(c_TMAP1IN)),2))+2147483648,4294967296)-2147483648,((c_TMAP2IN)-(c_TMAP1IN))*(((A664)-(c_TMAP1IN))*((c_TMAP2OUT)-(c_TMAP1OUT))+IF(((c_TMAP2OUT)-(c_TMAP1OUT))&gt;=0,1,-1)*QUOTIENT(((c_TMAP2IN)-(c_TMAP1IN)),2)))&gt;=0,1,0)))</f>
        <v>294</v>
      </c>
      <c r="F664" s="7" t="n">
        <f aca="false">IF(((c_TMAP3IN)-(c_TMAP2IN))=0,(c_TMAP2OUT)+QUOTIENT(((c_TMAP3OUT)-(c_TMAP2OUT)),2),QUOTIENT((((A664)-(c_TMAP2IN))*((c_TMAP3OUT)-(c_TMAP2OUT))+IF(((c_TMAP3OUT)-(c_TMAP2OUT))&gt;=0,1,-1)*QUOTIENT(((c_TMAP3IN)-(c_TMAP2IN)),2)),((c_TMAP3IN)-(c_TMAP2IN)))+(c_TMAP2OUT)+IF(((c_TMAP3OUT)-(c_TMAP2OUT))&gt;=0,IF(IF(o_WRAP=1,MOD(((c_TMAP3IN)-(c_TMAP2IN))*(((A664)-(c_TMAP2IN))*((c_TMAP3OUT)-(c_TMAP2OUT))+IF(((c_TMAP3OUT)-(c_TMAP2OUT))&gt;=0,1,-1)*QUOTIENT(((c_TMAP3IN)-(c_TMAP2IN)),2))+2147483648,4294967296)-2147483648,((c_TMAP3IN)-(c_TMAP2IN))*(((A664)-(c_TMAP2IN))*((c_TMAP3OUT)-(c_TMAP2OUT))+IF(((c_TMAP3OUT)-(c_TMAP2OUT))&gt;=0,1,-1)*QUOTIENT(((c_TMAP3IN)-(c_TMAP2IN)),2)))&lt;0,-1,0),IF(IF(o_WRAP=1,MOD(((c_TMAP3IN)-(c_TMAP2IN))*(((A664)-(c_TMAP2IN))*((c_TMAP3OUT)-(c_TMAP2OUT))+IF(((c_TMAP3OUT)-(c_TMAP2OUT))&gt;=0,1,-1)*QUOTIENT(((c_TMAP3IN)-(c_TMAP2IN)),2))+2147483648,4294967296)-2147483648,((c_TMAP3IN)-(c_TMAP2IN))*(((A664)-(c_TMAP2IN))*((c_TMAP3OUT)-(c_TMAP2OUT))+IF(((c_TMAP3OUT)-(c_TMAP2OUT))&gt;=0,1,-1)*QUOTIENT(((c_TMAP3IN)-(c_TMAP2IN)),2)))&gt;=0,1,0)))</f>
        <v>416</v>
      </c>
      <c r="G664" s="7" t="n">
        <f aca="false">IF(((1000)-(c_TMAP3IN))=0,(c_TMAP3OUT)+QUOTIENT(((1000)-(c_TMAP3OUT)),2),QUOTIENT((((A664)-(c_TMAP3IN))*((1000)-(c_TMAP3OUT))+IF(((1000)-(c_TMAP3OUT))&gt;=0,1,-1)*QUOTIENT(((1000)-(c_TMAP3IN)),2)),((1000)-(c_TMAP3IN)))+(c_TMAP3OUT)+IF(((1000)-(c_TMAP3OUT))&gt;=0,IF(IF(o_WRAP=1,MOD(((1000)-(c_TMAP3IN))*(((A664)-(c_TMAP3IN))*((1000)-(c_TMAP3OUT))+IF(((1000)-(c_TMAP3OUT))&gt;=0,1,-1)*QUOTIENT(((1000)-(c_TMAP3IN)),2))+2147483648,4294967296)-2147483648,((1000)-(c_TMAP3IN))*(((A664)-(c_TMAP3IN))*((1000)-(c_TMAP3OUT))+IF(((1000)-(c_TMAP3OUT))&gt;=0,1,-1)*QUOTIENT(((1000)-(c_TMAP3IN)),2)))&lt;0,-1,0),IF(IF(o_WRAP=1,MOD(((1000)-(c_TMAP3IN))*(((A664)-(c_TMAP3IN))*((1000)-(c_TMAP3OUT))+IF(((1000)-(c_TMAP3OUT))&gt;=0,1,-1)*QUOTIENT(((1000)-(c_TMAP3IN)),2))+2147483648,4294967296)-2147483648,((1000)-(c_TMAP3IN))*(((A664)-(c_TMAP3IN))*((1000)-(c_TMAP3OUT))+IF(((1000)-(c_TMAP3OUT))&gt;=0,1,-1)*QUOTIENT(((1000)-(c_TMAP3IN)),2)))&gt;=0,1,0)))</f>
        <v>580</v>
      </c>
      <c r="H664" s="7" t="str">
        <f aca="false">IF(A664&gt;=c_TFWD,IF(AND(A664&gt;=c_TMAP3IN,c_TMAP3IN&lt;1000),"Seg4 map3-100%",IF(AND(A664&gt;=c_TMAP2IN,c_TMAP3IN&gt;c_TMAP2IN),"Seg3 map2-map3",IF(AND(A664&gt;=c_TMAP1IN,c_TMAP2IN&gt;c_TMAP1IN),"Seg2 map1-map2","Seg1 TFWD-map1"))),IF(AND(A664=0,c_TCREEP&gt;0),"Creep",IF(AND(A664&lt;=c_TRNGMIN,A664&gt;=c_TRNGMAX,c_TRNGMIN-c_TRNGMAX&lt;&gt;0),"Regen ramp","Coast (0)")))</f>
        <v>Seg4 map3-100%</v>
      </c>
      <c r="I664" s="7" t="n">
        <f aca="false">IF(A664&gt;=c_TFWD,IF(AND(A664&gt;=c_TMAP3IN,c_TMAP3IN&lt;1000),G664,IF(AND(A664&gt;=c_TMAP2IN,c_TMAP3IN&gt;c_TMAP2IN),F664,IF(AND(A664&gt;=c_TMAP1IN,c_TMAP2IN&gt;c_TMAP1IN),E664,D664))),C664)</f>
        <v>580</v>
      </c>
      <c r="J664" s="7" t="str">
        <f aca="false">IF(I664&lt;-1090,"TOO LOW",IF(I664&gt;1090,"TOO HIGH",""))</f>
        <v/>
      </c>
      <c r="K664" s="15" t="n">
        <f aca="false">IF(J664&lt;&gt;"",0,IF(I664&gt;979,1000,I664))</f>
        <v>580</v>
      </c>
      <c r="L664" s="7" t="n">
        <f aca="false">K664/10</f>
        <v>58</v>
      </c>
    </row>
    <row r="665" customFormat="false" ht="15" hidden="false" customHeight="false" outlineLevel="0" collapsed="false">
      <c r="A665" s="7" t="n">
        <v>660</v>
      </c>
      <c r="B665" s="7" t="n">
        <f aca="false">A665/10</f>
        <v>66</v>
      </c>
      <c r="C665" s="7" t="n">
        <f aca="false">IF(AND(A665=0,c_TCREEP&gt;0),10*c_TCREEP,IF(AND(A665&lt;=c_TRNGMIN,A665&gt;=c_TRNGMAX,c_TRNGMIN-c_TRNGMAX&lt;&gt;0),-10*c_TMINRN+QUOTIENT((c_TMAXRN-c_TMINRN)*(100-QUOTIENT((A665-c_TRNGMAX)*100,c_TRNGMIN-c_TRNGMAX)),-10),0))</f>
        <v>0</v>
      </c>
      <c r="D665" s="7" t="n">
        <f aca="false">IF(((c_TMAP1IN)-(c_TFWD))=0,(0)+QUOTIENT(((c_TMAP1OUT)-(0)),2),QUOTIENT((((A665)-(c_TFWD))*((c_TMAP1OUT)-(0))+IF(((c_TMAP1OUT)-(0))&gt;=0,1,-1)*QUOTIENT(((c_TMAP1IN)-(c_TFWD)),2)),((c_TMAP1IN)-(c_TFWD)))+(0)+IF(((c_TMAP1OUT)-(0))&gt;=0,IF(IF(o_WRAP=1,MOD(((c_TMAP1IN)-(c_TFWD))*(((A665)-(c_TFWD))*((c_TMAP1OUT)-(0))+IF(((c_TMAP1OUT)-(0))&gt;=0,1,-1)*QUOTIENT(((c_TMAP1IN)-(c_TFWD)),2))+2147483648,4294967296)-2147483648,((c_TMAP1IN)-(c_TFWD))*(((A665)-(c_TFWD))*((c_TMAP1OUT)-(0))+IF(((c_TMAP1OUT)-(0))&gt;=0,1,-1)*QUOTIENT(((c_TMAP1IN)-(c_TFWD)),2)))&lt;0,-1,0),IF(IF(o_WRAP=1,MOD(((c_TMAP1IN)-(c_TFWD))*(((A665)-(c_TFWD))*((c_TMAP1OUT)-(0))+IF(((c_TMAP1OUT)-(0))&gt;=0,1,-1)*QUOTIENT(((c_TMAP1IN)-(c_TFWD)),2))+2147483648,4294967296)-2147483648,((c_TMAP1IN)-(c_TFWD))*(((A665)-(c_TFWD))*((c_TMAP1OUT)-(0))+IF(((c_TMAP1OUT)-(0))&gt;=0,1,-1)*QUOTIENT(((c_TMAP1IN)-(c_TFWD)),2)))&gt;=0,1,0)))</f>
        <v>506</v>
      </c>
      <c r="E665" s="7" t="n">
        <f aca="false">IF(((c_TMAP2IN)-(c_TMAP1IN))=0,(c_TMAP1OUT)+QUOTIENT(((c_TMAP2OUT)-(c_TMAP1OUT)),2),QUOTIENT((((A665)-(c_TMAP1IN))*((c_TMAP2OUT)-(c_TMAP1OUT))+IF(((c_TMAP2OUT)-(c_TMAP1OUT))&gt;=0,1,-1)*QUOTIENT(((c_TMAP2IN)-(c_TMAP1IN)),2)),((c_TMAP2IN)-(c_TMAP1IN)))+(c_TMAP1OUT)+IF(((c_TMAP2OUT)-(c_TMAP1OUT))&gt;=0,IF(IF(o_WRAP=1,MOD(((c_TMAP2IN)-(c_TMAP1IN))*(((A665)-(c_TMAP1IN))*((c_TMAP2OUT)-(c_TMAP1OUT))+IF(((c_TMAP2OUT)-(c_TMAP1OUT))&gt;=0,1,-1)*QUOTIENT(((c_TMAP2IN)-(c_TMAP1IN)),2))+2147483648,4294967296)-2147483648,((c_TMAP2IN)-(c_TMAP1IN))*(((A665)-(c_TMAP1IN))*((c_TMAP2OUT)-(c_TMAP1OUT))+IF(((c_TMAP2OUT)-(c_TMAP1OUT))&gt;=0,1,-1)*QUOTIENT(((c_TMAP2IN)-(c_TMAP1IN)),2)))&lt;0,-1,0),IF(IF(o_WRAP=1,MOD(((c_TMAP2IN)-(c_TMAP1IN))*(((A665)-(c_TMAP1IN))*((c_TMAP2OUT)-(c_TMAP1OUT))+IF(((c_TMAP2OUT)-(c_TMAP1OUT))&gt;=0,1,-1)*QUOTIENT(((c_TMAP2IN)-(c_TMAP1IN)),2))+2147483648,4294967296)-2147483648,((c_TMAP2IN)-(c_TMAP1IN))*(((A665)-(c_TMAP1IN))*((c_TMAP2OUT)-(c_TMAP1OUT))+IF(((c_TMAP2OUT)-(c_TMAP1OUT))&gt;=0,1,-1)*QUOTIENT(((c_TMAP2IN)-(c_TMAP1IN)),2)))&gt;=0,1,0)))</f>
        <v>294</v>
      </c>
      <c r="F665" s="7" t="n">
        <f aca="false">IF(((c_TMAP3IN)-(c_TMAP2IN))=0,(c_TMAP2OUT)+QUOTIENT(((c_TMAP3OUT)-(c_TMAP2OUT)),2),QUOTIENT((((A665)-(c_TMAP2IN))*((c_TMAP3OUT)-(c_TMAP2OUT))+IF(((c_TMAP3OUT)-(c_TMAP2OUT))&gt;=0,1,-1)*QUOTIENT(((c_TMAP3IN)-(c_TMAP2IN)),2)),((c_TMAP3IN)-(c_TMAP2IN)))+(c_TMAP2OUT)+IF(((c_TMAP3OUT)-(c_TMAP2OUT))&gt;=0,IF(IF(o_WRAP=1,MOD(((c_TMAP3IN)-(c_TMAP2IN))*(((A665)-(c_TMAP2IN))*((c_TMAP3OUT)-(c_TMAP2OUT))+IF(((c_TMAP3OUT)-(c_TMAP2OUT))&gt;=0,1,-1)*QUOTIENT(((c_TMAP3IN)-(c_TMAP2IN)),2))+2147483648,4294967296)-2147483648,((c_TMAP3IN)-(c_TMAP2IN))*(((A665)-(c_TMAP2IN))*((c_TMAP3OUT)-(c_TMAP2OUT))+IF(((c_TMAP3OUT)-(c_TMAP2OUT))&gt;=0,1,-1)*QUOTIENT(((c_TMAP3IN)-(c_TMAP2IN)),2)))&lt;0,-1,0),IF(IF(o_WRAP=1,MOD(((c_TMAP3IN)-(c_TMAP2IN))*(((A665)-(c_TMAP2IN))*((c_TMAP3OUT)-(c_TMAP2OUT))+IF(((c_TMAP3OUT)-(c_TMAP2OUT))&gt;=0,1,-1)*QUOTIENT(((c_TMAP3IN)-(c_TMAP2IN)),2))+2147483648,4294967296)-2147483648,((c_TMAP3IN)-(c_TMAP2IN))*(((A665)-(c_TMAP2IN))*((c_TMAP3OUT)-(c_TMAP2OUT))+IF(((c_TMAP3OUT)-(c_TMAP2OUT))&gt;=0,1,-1)*QUOTIENT(((c_TMAP3IN)-(c_TMAP2IN)),2)))&gt;=0,1,0)))</f>
        <v>417</v>
      </c>
      <c r="G665" s="7" t="n">
        <f aca="false">IF(((1000)-(c_TMAP3IN))=0,(c_TMAP3OUT)+QUOTIENT(((1000)-(c_TMAP3OUT)),2),QUOTIENT((((A665)-(c_TMAP3IN))*((1000)-(c_TMAP3OUT))+IF(((1000)-(c_TMAP3OUT))&gt;=0,1,-1)*QUOTIENT(((1000)-(c_TMAP3IN)),2)),((1000)-(c_TMAP3IN)))+(c_TMAP3OUT)+IF(((1000)-(c_TMAP3OUT))&gt;=0,IF(IF(o_WRAP=1,MOD(((1000)-(c_TMAP3IN))*(((A665)-(c_TMAP3IN))*((1000)-(c_TMAP3OUT))+IF(((1000)-(c_TMAP3OUT))&gt;=0,1,-1)*QUOTIENT(((1000)-(c_TMAP3IN)),2))+2147483648,4294967296)-2147483648,((1000)-(c_TMAP3IN))*(((A665)-(c_TMAP3IN))*((1000)-(c_TMAP3OUT))+IF(((1000)-(c_TMAP3OUT))&gt;=0,1,-1)*QUOTIENT(((1000)-(c_TMAP3IN)),2)))&lt;0,-1,0),IF(IF(o_WRAP=1,MOD(((1000)-(c_TMAP3IN))*(((A665)-(c_TMAP3IN))*((1000)-(c_TMAP3OUT))+IF(((1000)-(c_TMAP3OUT))&gt;=0,1,-1)*QUOTIENT(((1000)-(c_TMAP3IN)),2))+2147483648,4294967296)-2147483648,((1000)-(c_TMAP3IN))*(((A665)-(c_TMAP3IN))*((1000)-(c_TMAP3OUT))+IF(((1000)-(c_TMAP3OUT))&gt;=0,1,-1)*QUOTIENT(((1000)-(c_TMAP3IN)),2)))&gt;=0,1,0)))</f>
        <v>582</v>
      </c>
      <c r="H665" s="7" t="str">
        <f aca="false">IF(A665&gt;=c_TFWD,IF(AND(A665&gt;=c_TMAP3IN,c_TMAP3IN&lt;1000),"Seg4 map3-100%",IF(AND(A665&gt;=c_TMAP2IN,c_TMAP3IN&gt;c_TMAP2IN),"Seg3 map2-map3",IF(AND(A665&gt;=c_TMAP1IN,c_TMAP2IN&gt;c_TMAP1IN),"Seg2 map1-map2","Seg1 TFWD-map1"))),IF(AND(A665=0,c_TCREEP&gt;0),"Creep",IF(AND(A665&lt;=c_TRNGMIN,A665&gt;=c_TRNGMAX,c_TRNGMIN-c_TRNGMAX&lt;&gt;0),"Regen ramp","Coast (0)")))</f>
        <v>Seg4 map3-100%</v>
      </c>
      <c r="I665" s="7" t="n">
        <f aca="false">IF(A665&gt;=c_TFWD,IF(AND(A665&gt;=c_TMAP3IN,c_TMAP3IN&lt;1000),G665,IF(AND(A665&gt;=c_TMAP2IN,c_TMAP3IN&gt;c_TMAP2IN),F665,IF(AND(A665&gt;=c_TMAP1IN,c_TMAP2IN&gt;c_TMAP1IN),E665,D665))),C665)</f>
        <v>582</v>
      </c>
      <c r="J665" s="7" t="str">
        <f aca="false">IF(I665&lt;-1090,"TOO LOW",IF(I665&gt;1090,"TOO HIGH",""))</f>
        <v/>
      </c>
      <c r="K665" s="15" t="n">
        <f aca="false">IF(J665&lt;&gt;"",0,IF(I665&gt;979,1000,I665))</f>
        <v>582</v>
      </c>
      <c r="L665" s="7" t="n">
        <f aca="false">K665/10</f>
        <v>58.2</v>
      </c>
    </row>
    <row r="666" customFormat="false" ht="15" hidden="false" customHeight="false" outlineLevel="0" collapsed="false">
      <c r="A666" s="7" t="n">
        <v>661</v>
      </c>
      <c r="B666" s="7" t="n">
        <f aca="false">A666/10</f>
        <v>66.1</v>
      </c>
      <c r="C666" s="7" t="n">
        <f aca="false">IF(AND(A666=0,c_TCREEP&gt;0),10*c_TCREEP,IF(AND(A666&lt;=c_TRNGMIN,A666&gt;=c_TRNGMAX,c_TRNGMIN-c_TRNGMAX&lt;&gt;0),-10*c_TMINRN+QUOTIENT((c_TMAXRN-c_TMINRN)*(100-QUOTIENT((A666-c_TRNGMAX)*100,c_TRNGMIN-c_TRNGMAX)),-10),0))</f>
        <v>0</v>
      </c>
      <c r="D666" s="7" t="n">
        <f aca="false">IF(((c_TMAP1IN)-(c_TFWD))=0,(0)+QUOTIENT(((c_TMAP1OUT)-(0)),2),QUOTIENT((((A666)-(c_TFWD))*((c_TMAP1OUT)-(0))+IF(((c_TMAP1OUT)-(0))&gt;=0,1,-1)*QUOTIENT(((c_TMAP1IN)-(c_TFWD)),2)),((c_TMAP1IN)-(c_TFWD)))+(0)+IF(((c_TMAP1OUT)-(0))&gt;=0,IF(IF(o_WRAP=1,MOD(((c_TMAP1IN)-(c_TFWD))*(((A666)-(c_TFWD))*((c_TMAP1OUT)-(0))+IF(((c_TMAP1OUT)-(0))&gt;=0,1,-1)*QUOTIENT(((c_TMAP1IN)-(c_TFWD)),2))+2147483648,4294967296)-2147483648,((c_TMAP1IN)-(c_TFWD))*(((A666)-(c_TFWD))*((c_TMAP1OUT)-(0))+IF(((c_TMAP1OUT)-(0))&gt;=0,1,-1)*QUOTIENT(((c_TMAP1IN)-(c_TFWD)),2)))&lt;0,-1,0),IF(IF(o_WRAP=1,MOD(((c_TMAP1IN)-(c_TFWD))*(((A666)-(c_TFWD))*((c_TMAP1OUT)-(0))+IF(((c_TMAP1OUT)-(0))&gt;=0,1,-1)*QUOTIENT(((c_TMAP1IN)-(c_TFWD)),2))+2147483648,4294967296)-2147483648,((c_TMAP1IN)-(c_TFWD))*(((A666)-(c_TFWD))*((c_TMAP1OUT)-(0))+IF(((c_TMAP1OUT)-(0))&gt;=0,1,-1)*QUOTIENT(((c_TMAP1IN)-(c_TFWD)),2)))&gt;=0,1,0)))</f>
        <v>506</v>
      </c>
      <c r="E666" s="7" t="n">
        <f aca="false">IF(((c_TMAP2IN)-(c_TMAP1IN))=0,(c_TMAP1OUT)+QUOTIENT(((c_TMAP2OUT)-(c_TMAP1OUT)),2),QUOTIENT((((A666)-(c_TMAP1IN))*((c_TMAP2OUT)-(c_TMAP1OUT))+IF(((c_TMAP2OUT)-(c_TMAP1OUT))&gt;=0,1,-1)*QUOTIENT(((c_TMAP2IN)-(c_TMAP1IN)),2)),((c_TMAP2IN)-(c_TMAP1IN)))+(c_TMAP1OUT)+IF(((c_TMAP2OUT)-(c_TMAP1OUT))&gt;=0,IF(IF(o_WRAP=1,MOD(((c_TMAP2IN)-(c_TMAP1IN))*(((A666)-(c_TMAP1IN))*((c_TMAP2OUT)-(c_TMAP1OUT))+IF(((c_TMAP2OUT)-(c_TMAP1OUT))&gt;=0,1,-1)*QUOTIENT(((c_TMAP2IN)-(c_TMAP1IN)),2))+2147483648,4294967296)-2147483648,((c_TMAP2IN)-(c_TMAP1IN))*(((A666)-(c_TMAP1IN))*((c_TMAP2OUT)-(c_TMAP1OUT))+IF(((c_TMAP2OUT)-(c_TMAP1OUT))&gt;=0,1,-1)*QUOTIENT(((c_TMAP2IN)-(c_TMAP1IN)),2)))&lt;0,-1,0),IF(IF(o_WRAP=1,MOD(((c_TMAP2IN)-(c_TMAP1IN))*(((A666)-(c_TMAP1IN))*((c_TMAP2OUT)-(c_TMAP1OUT))+IF(((c_TMAP2OUT)-(c_TMAP1OUT))&gt;=0,1,-1)*QUOTIENT(((c_TMAP2IN)-(c_TMAP1IN)),2))+2147483648,4294967296)-2147483648,((c_TMAP2IN)-(c_TMAP1IN))*(((A666)-(c_TMAP1IN))*((c_TMAP2OUT)-(c_TMAP1OUT))+IF(((c_TMAP2OUT)-(c_TMAP1OUT))&gt;=0,1,-1)*QUOTIENT(((c_TMAP2IN)-(c_TMAP1IN)),2)))&gt;=0,1,0)))</f>
        <v>294</v>
      </c>
      <c r="F666" s="7" t="n">
        <f aca="false">IF(((c_TMAP3IN)-(c_TMAP2IN))=0,(c_TMAP2OUT)+QUOTIENT(((c_TMAP3OUT)-(c_TMAP2OUT)),2),QUOTIENT((((A666)-(c_TMAP2IN))*((c_TMAP3OUT)-(c_TMAP2OUT))+IF(((c_TMAP3OUT)-(c_TMAP2OUT))&gt;=0,1,-1)*QUOTIENT(((c_TMAP3IN)-(c_TMAP2IN)),2)),((c_TMAP3IN)-(c_TMAP2IN)))+(c_TMAP2OUT)+IF(((c_TMAP3OUT)-(c_TMAP2OUT))&gt;=0,IF(IF(o_WRAP=1,MOD(((c_TMAP3IN)-(c_TMAP2IN))*(((A666)-(c_TMAP2IN))*((c_TMAP3OUT)-(c_TMAP2OUT))+IF(((c_TMAP3OUT)-(c_TMAP2OUT))&gt;=0,1,-1)*QUOTIENT(((c_TMAP3IN)-(c_TMAP2IN)),2))+2147483648,4294967296)-2147483648,((c_TMAP3IN)-(c_TMAP2IN))*(((A666)-(c_TMAP2IN))*((c_TMAP3OUT)-(c_TMAP2OUT))+IF(((c_TMAP3OUT)-(c_TMAP2OUT))&gt;=0,1,-1)*QUOTIENT(((c_TMAP3IN)-(c_TMAP2IN)),2)))&lt;0,-1,0),IF(IF(o_WRAP=1,MOD(((c_TMAP3IN)-(c_TMAP2IN))*(((A666)-(c_TMAP2IN))*((c_TMAP3OUT)-(c_TMAP2OUT))+IF(((c_TMAP3OUT)-(c_TMAP2OUT))&gt;=0,1,-1)*QUOTIENT(((c_TMAP3IN)-(c_TMAP2IN)),2))+2147483648,4294967296)-2147483648,((c_TMAP3IN)-(c_TMAP2IN))*(((A666)-(c_TMAP2IN))*((c_TMAP3OUT)-(c_TMAP2OUT))+IF(((c_TMAP3OUT)-(c_TMAP2OUT))&gt;=0,1,-1)*QUOTIENT(((c_TMAP3IN)-(c_TMAP2IN)),2)))&gt;=0,1,0)))</f>
        <v>418</v>
      </c>
      <c r="G666" s="7" t="n">
        <f aca="false">IF(((1000)-(c_TMAP3IN))=0,(c_TMAP3OUT)+QUOTIENT(((1000)-(c_TMAP3OUT)),2),QUOTIENT((((A666)-(c_TMAP3IN))*((1000)-(c_TMAP3OUT))+IF(((1000)-(c_TMAP3OUT))&gt;=0,1,-1)*QUOTIENT(((1000)-(c_TMAP3IN)),2)),((1000)-(c_TMAP3IN)))+(c_TMAP3OUT)+IF(((1000)-(c_TMAP3OUT))&gt;=0,IF(IF(o_WRAP=1,MOD(((1000)-(c_TMAP3IN))*(((A666)-(c_TMAP3IN))*((1000)-(c_TMAP3OUT))+IF(((1000)-(c_TMAP3OUT))&gt;=0,1,-1)*QUOTIENT(((1000)-(c_TMAP3IN)),2))+2147483648,4294967296)-2147483648,((1000)-(c_TMAP3IN))*(((A666)-(c_TMAP3IN))*((1000)-(c_TMAP3OUT))+IF(((1000)-(c_TMAP3OUT))&gt;=0,1,-1)*QUOTIENT(((1000)-(c_TMAP3IN)),2)))&lt;0,-1,0),IF(IF(o_WRAP=1,MOD(((1000)-(c_TMAP3IN))*(((A666)-(c_TMAP3IN))*((1000)-(c_TMAP3OUT))+IF(((1000)-(c_TMAP3OUT))&gt;=0,1,-1)*QUOTIENT(((1000)-(c_TMAP3IN)),2))+2147483648,4294967296)-2147483648,((1000)-(c_TMAP3IN))*(((A666)-(c_TMAP3IN))*((1000)-(c_TMAP3OUT))+IF(((1000)-(c_TMAP3OUT))&gt;=0,1,-1)*QUOTIENT(((1000)-(c_TMAP3IN)),2)))&gt;=0,1,0)))</f>
        <v>583</v>
      </c>
      <c r="H666" s="7" t="str">
        <f aca="false">IF(A666&gt;=c_TFWD,IF(AND(A666&gt;=c_TMAP3IN,c_TMAP3IN&lt;1000),"Seg4 map3-100%",IF(AND(A666&gt;=c_TMAP2IN,c_TMAP3IN&gt;c_TMAP2IN),"Seg3 map2-map3",IF(AND(A666&gt;=c_TMAP1IN,c_TMAP2IN&gt;c_TMAP1IN),"Seg2 map1-map2","Seg1 TFWD-map1"))),IF(AND(A666=0,c_TCREEP&gt;0),"Creep",IF(AND(A666&lt;=c_TRNGMIN,A666&gt;=c_TRNGMAX,c_TRNGMIN-c_TRNGMAX&lt;&gt;0),"Regen ramp","Coast (0)")))</f>
        <v>Seg4 map3-100%</v>
      </c>
      <c r="I666" s="7" t="n">
        <f aca="false">IF(A666&gt;=c_TFWD,IF(AND(A666&gt;=c_TMAP3IN,c_TMAP3IN&lt;1000),G666,IF(AND(A666&gt;=c_TMAP2IN,c_TMAP3IN&gt;c_TMAP2IN),F666,IF(AND(A666&gt;=c_TMAP1IN,c_TMAP2IN&gt;c_TMAP1IN),E666,D666))),C666)</f>
        <v>583</v>
      </c>
      <c r="J666" s="7" t="str">
        <f aca="false">IF(I666&lt;-1090,"TOO LOW",IF(I666&gt;1090,"TOO HIGH",""))</f>
        <v/>
      </c>
      <c r="K666" s="15" t="n">
        <f aca="false">IF(J666&lt;&gt;"",0,IF(I666&gt;979,1000,I666))</f>
        <v>583</v>
      </c>
      <c r="L666" s="7" t="n">
        <f aca="false">K666/10</f>
        <v>58.3</v>
      </c>
    </row>
    <row r="667" customFormat="false" ht="15" hidden="false" customHeight="false" outlineLevel="0" collapsed="false">
      <c r="A667" s="7" t="n">
        <v>662</v>
      </c>
      <c r="B667" s="7" t="n">
        <f aca="false">A667/10</f>
        <v>66.2</v>
      </c>
      <c r="C667" s="7" t="n">
        <f aca="false">IF(AND(A667=0,c_TCREEP&gt;0),10*c_TCREEP,IF(AND(A667&lt;=c_TRNGMIN,A667&gt;=c_TRNGMAX,c_TRNGMIN-c_TRNGMAX&lt;&gt;0),-10*c_TMINRN+QUOTIENT((c_TMAXRN-c_TMINRN)*(100-QUOTIENT((A667-c_TRNGMAX)*100,c_TRNGMIN-c_TRNGMAX)),-10),0))</f>
        <v>0</v>
      </c>
      <c r="D667" s="7" t="n">
        <f aca="false">IF(((c_TMAP1IN)-(c_TFWD))=0,(0)+QUOTIENT(((c_TMAP1OUT)-(0)),2),QUOTIENT((((A667)-(c_TFWD))*((c_TMAP1OUT)-(0))+IF(((c_TMAP1OUT)-(0))&gt;=0,1,-1)*QUOTIENT(((c_TMAP1IN)-(c_TFWD)),2)),((c_TMAP1IN)-(c_TFWD)))+(0)+IF(((c_TMAP1OUT)-(0))&gt;=0,IF(IF(o_WRAP=1,MOD(((c_TMAP1IN)-(c_TFWD))*(((A667)-(c_TFWD))*((c_TMAP1OUT)-(0))+IF(((c_TMAP1OUT)-(0))&gt;=0,1,-1)*QUOTIENT(((c_TMAP1IN)-(c_TFWD)),2))+2147483648,4294967296)-2147483648,((c_TMAP1IN)-(c_TFWD))*(((A667)-(c_TFWD))*((c_TMAP1OUT)-(0))+IF(((c_TMAP1OUT)-(0))&gt;=0,1,-1)*QUOTIENT(((c_TMAP1IN)-(c_TFWD)),2)))&lt;0,-1,0),IF(IF(o_WRAP=1,MOD(((c_TMAP1IN)-(c_TFWD))*(((A667)-(c_TFWD))*((c_TMAP1OUT)-(0))+IF(((c_TMAP1OUT)-(0))&gt;=0,1,-1)*QUOTIENT(((c_TMAP1IN)-(c_TFWD)),2))+2147483648,4294967296)-2147483648,((c_TMAP1IN)-(c_TFWD))*(((A667)-(c_TFWD))*((c_TMAP1OUT)-(0))+IF(((c_TMAP1OUT)-(0))&gt;=0,1,-1)*QUOTIENT(((c_TMAP1IN)-(c_TFWD)),2)))&gt;=0,1,0)))</f>
        <v>507</v>
      </c>
      <c r="E667" s="7" t="n">
        <f aca="false">IF(((c_TMAP2IN)-(c_TMAP1IN))=0,(c_TMAP1OUT)+QUOTIENT(((c_TMAP2OUT)-(c_TMAP1OUT)),2),QUOTIENT((((A667)-(c_TMAP1IN))*((c_TMAP2OUT)-(c_TMAP1OUT))+IF(((c_TMAP2OUT)-(c_TMAP1OUT))&gt;=0,1,-1)*QUOTIENT(((c_TMAP2IN)-(c_TMAP1IN)),2)),((c_TMAP2IN)-(c_TMAP1IN)))+(c_TMAP1OUT)+IF(((c_TMAP2OUT)-(c_TMAP1OUT))&gt;=0,IF(IF(o_WRAP=1,MOD(((c_TMAP2IN)-(c_TMAP1IN))*(((A667)-(c_TMAP1IN))*((c_TMAP2OUT)-(c_TMAP1OUT))+IF(((c_TMAP2OUT)-(c_TMAP1OUT))&gt;=0,1,-1)*QUOTIENT(((c_TMAP2IN)-(c_TMAP1IN)),2))+2147483648,4294967296)-2147483648,((c_TMAP2IN)-(c_TMAP1IN))*(((A667)-(c_TMAP1IN))*((c_TMAP2OUT)-(c_TMAP1OUT))+IF(((c_TMAP2OUT)-(c_TMAP1OUT))&gt;=0,1,-1)*QUOTIENT(((c_TMAP2IN)-(c_TMAP1IN)),2)))&lt;0,-1,0),IF(IF(o_WRAP=1,MOD(((c_TMAP2IN)-(c_TMAP1IN))*(((A667)-(c_TMAP1IN))*((c_TMAP2OUT)-(c_TMAP1OUT))+IF(((c_TMAP2OUT)-(c_TMAP1OUT))&gt;=0,1,-1)*QUOTIENT(((c_TMAP2IN)-(c_TMAP1IN)),2))+2147483648,4294967296)-2147483648,((c_TMAP2IN)-(c_TMAP1IN))*(((A667)-(c_TMAP1IN))*((c_TMAP2OUT)-(c_TMAP1OUT))+IF(((c_TMAP2OUT)-(c_TMAP1OUT))&gt;=0,1,-1)*QUOTIENT(((c_TMAP2IN)-(c_TMAP1IN)),2)))&gt;=0,1,0)))</f>
        <v>295</v>
      </c>
      <c r="F667" s="7" t="n">
        <f aca="false">IF(((c_TMAP3IN)-(c_TMAP2IN))=0,(c_TMAP2OUT)+QUOTIENT(((c_TMAP3OUT)-(c_TMAP2OUT)),2),QUOTIENT((((A667)-(c_TMAP2IN))*((c_TMAP3OUT)-(c_TMAP2OUT))+IF(((c_TMAP3OUT)-(c_TMAP2OUT))&gt;=0,1,-1)*QUOTIENT(((c_TMAP3IN)-(c_TMAP2IN)),2)),((c_TMAP3IN)-(c_TMAP2IN)))+(c_TMAP2OUT)+IF(((c_TMAP3OUT)-(c_TMAP2OUT))&gt;=0,IF(IF(o_WRAP=1,MOD(((c_TMAP3IN)-(c_TMAP2IN))*(((A667)-(c_TMAP2IN))*((c_TMAP3OUT)-(c_TMAP2OUT))+IF(((c_TMAP3OUT)-(c_TMAP2OUT))&gt;=0,1,-1)*QUOTIENT(((c_TMAP3IN)-(c_TMAP2IN)),2))+2147483648,4294967296)-2147483648,((c_TMAP3IN)-(c_TMAP2IN))*(((A667)-(c_TMAP2IN))*((c_TMAP3OUT)-(c_TMAP2OUT))+IF(((c_TMAP3OUT)-(c_TMAP2OUT))&gt;=0,1,-1)*QUOTIENT(((c_TMAP3IN)-(c_TMAP2IN)),2)))&lt;0,-1,0),IF(IF(o_WRAP=1,MOD(((c_TMAP3IN)-(c_TMAP2IN))*(((A667)-(c_TMAP2IN))*((c_TMAP3OUT)-(c_TMAP2OUT))+IF(((c_TMAP3OUT)-(c_TMAP2OUT))&gt;=0,1,-1)*QUOTIENT(((c_TMAP3IN)-(c_TMAP2IN)),2))+2147483648,4294967296)-2147483648,((c_TMAP3IN)-(c_TMAP2IN))*(((A667)-(c_TMAP2IN))*((c_TMAP3OUT)-(c_TMAP2OUT))+IF(((c_TMAP3OUT)-(c_TMAP2OUT))&gt;=0,1,-1)*QUOTIENT(((c_TMAP3IN)-(c_TMAP2IN)),2)))&gt;=0,1,0)))</f>
        <v>418</v>
      </c>
      <c r="G667" s="7" t="n">
        <f aca="false">IF(((1000)-(c_TMAP3IN))=0,(c_TMAP3OUT)+QUOTIENT(((1000)-(c_TMAP3OUT)),2),QUOTIENT((((A667)-(c_TMAP3IN))*((1000)-(c_TMAP3OUT))+IF(((1000)-(c_TMAP3OUT))&gt;=0,1,-1)*QUOTIENT(((1000)-(c_TMAP3IN)),2)),((1000)-(c_TMAP3IN)))+(c_TMAP3OUT)+IF(((1000)-(c_TMAP3OUT))&gt;=0,IF(IF(o_WRAP=1,MOD(((1000)-(c_TMAP3IN))*(((A667)-(c_TMAP3IN))*((1000)-(c_TMAP3OUT))+IF(((1000)-(c_TMAP3OUT))&gt;=0,1,-1)*QUOTIENT(((1000)-(c_TMAP3IN)),2))+2147483648,4294967296)-2147483648,((1000)-(c_TMAP3IN))*(((A667)-(c_TMAP3IN))*((1000)-(c_TMAP3OUT))+IF(((1000)-(c_TMAP3OUT))&gt;=0,1,-1)*QUOTIENT(((1000)-(c_TMAP3IN)),2)))&lt;0,-1,0),IF(IF(o_WRAP=1,MOD(((1000)-(c_TMAP3IN))*(((A667)-(c_TMAP3IN))*((1000)-(c_TMAP3OUT))+IF(((1000)-(c_TMAP3OUT))&gt;=0,1,-1)*QUOTIENT(((1000)-(c_TMAP3IN)),2))+2147483648,4294967296)-2147483648,((1000)-(c_TMAP3IN))*(((A667)-(c_TMAP3IN))*((1000)-(c_TMAP3OUT))+IF(((1000)-(c_TMAP3OUT))&gt;=0,1,-1)*QUOTIENT(((1000)-(c_TMAP3IN)),2)))&gt;=0,1,0)))</f>
        <v>584</v>
      </c>
      <c r="H667" s="7" t="str">
        <f aca="false">IF(A667&gt;=c_TFWD,IF(AND(A667&gt;=c_TMAP3IN,c_TMAP3IN&lt;1000),"Seg4 map3-100%",IF(AND(A667&gt;=c_TMAP2IN,c_TMAP3IN&gt;c_TMAP2IN),"Seg3 map2-map3",IF(AND(A667&gt;=c_TMAP1IN,c_TMAP2IN&gt;c_TMAP1IN),"Seg2 map1-map2","Seg1 TFWD-map1"))),IF(AND(A667=0,c_TCREEP&gt;0),"Creep",IF(AND(A667&lt;=c_TRNGMIN,A667&gt;=c_TRNGMAX,c_TRNGMIN-c_TRNGMAX&lt;&gt;0),"Regen ramp","Coast (0)")))</f>
        <v>Seg4 map3-100%</v>
      </c>
      <c r="I667" s="7" t="n">
        <f aca="false">IF(A667&gt;=c_TFWD,IF(AND(A667&gt;=c_TMAP3IN,c_TMAP3IN&lt;1000),G667,IF(AND(A667&gt;=c_TMAP2IN,c_TMAP3IN&gt;c_TMAP2IN),F667,IF(AND(A667&gt;=c_TMAP1IN,c_TMAP2IN&gt;c_TMAP1IN),E667,D667))),C667)</f>
        <v>584</v>
      </c>
      <c r="J667" s="7" t="str">
        <f aca="false">IF(I667&lt;-1090,"TOO LOW",IF(I667&gt;1090,"TOO HIGH",""))</f>
        <v/>
      </c>
      <c r="K667" s="15" t="n">
        <f aca="false">IF(J667&lt;&gt;"",0,IF(I667&gt;979,1000,I667))</f>
        <v>584</v>
      </c>
      <c r="L667" s="7" t="n">
        <f aca="false">K667/10</f>
        <v>58.4</v>
      </c>
    </row>
    <row r="668" customFormat="false" ht="15" hidden="false" customHeight="false" outlineLevel="0" collapsed="false">
      <c r="A668" s="7" t="n">
        <v>663</v>
      </c>
      <c r="B668" s="7" t="n">
        <f aca="false">A668/10</f>
        <v>66.3</v>
      </c>
      <c r="C668" s="7" t="n">
        <f aca="false">IF(AND(A668=0,c_TCREEP&gt;0),10*c_TCREEP,IF(AND(A668&lt;=c_TRNGMIN,A668&gt;=c_TRNGMAX,c_TRNGMIN-c_TRNGMAX&lt;&gt;0),-10*c_TMINRN+QUOTIENT((c_TMAXRN-c_TMINRN)*(100-QUOTIENT((A668-c_TRNGMAX)*100,c_TRNGMIN-c_TRNGMAX)),-10),0))</f>
        <v>0</v>
      </c>
      <c r="D668" s="7" t="n">
        <f aca="false">IF(((c_TMAP1IN)-(c_TFWD))=0,(0)+QUOTIENT(((c_TMAP1OUT)-(0)),2),QUOTIENT((((A668)-(c_TFWD))*((c_TMAP1OUT)-(0))+IF(((c_TMAP1OUT)-(0))&gt;=0,1,-1)*QUOTIENT(((c_TMAP1IN)-(c_TFWD)),2)),((c_TMAP1IN)-(c_TFWD)))+(0)+IF(((c_TMAP1OUT)-(0))&gt;=0,IF(IF(o_WRAP=1,MOD(((c_TMAP1IN)-(c_TFWD))*(((A668)-(c_TFWD))*((c_TMAP1OUT)-(0))+IF(((c_TMAP1OUT)-(0))&gt;=0,1,-1)*QUOTIENT(((c_TMAP1IN)-(c_TFWD)),2))+2147483648,4294967296)-2147483648,((c_TMAP1IN)-(c_TFWD))*(((A668)-(c_TFWD))*((c_TMAP1OUT)-(0))+IF(((c_TMAP1OUT)-(0))&gt;=0,1,-1)*QUOTIENT(((c_TMAP1IN)-(c_TFWD)),2)))&lt;0,-1,0),IF(IF(o_WRAP=1,MOD(((c_TMAP1IN)-(c_TFWD))*(((A668)-(c_TFWD))*((c_TMAP1OUT)-(0))+IF(((c_TMAP1OUT)-(0))&gt;=0,1,-1)*QUOTIENT(((c_TMAP1IN)-(c_TFWD)),2))+2147483648,4294967296)-2147483648,((c_TMAP1IN)-(c_TFWD))*(((A668)-(c_TFWD))*((c_TMAP1OUT)-(0))+IF(((c_TMAP1OUT)-(0))&gt;=0,1,-1)*QUOTIENT(((c_TMAP1IN)-(c_TFWD)),2)))&gt;=0,1,0)))</f>
        <v>508</v>
      </c>
      <c r="E668" s="7" t="n">
        <f aca="false">IF(((c_TMAP2IN)-(c_TMAP1IN))=0,(c_TMAP1OUT)+QUOTIENT(((c_TMAP2OUT)-(c_TMAP1OUT)),2),QUOTIENT((((A668)-(c_TMAP1IN))*((c_TMAP2OUT)-(c_TMAP1OUT))+IF(((c_TMAP2OUT)-(c_TMAP1OUT))&gt;=0,1,-1)*QUOTIENT(((c_TMAP2IN)-(c_TMAP1IN)),2)),((c_TMAP2IN)-(c_TMAP1IN)))+(c_TMAP1OUT)+IF(((c_TMAP2OUT)-(c_TMAP1OUT))&gt;=0,IF(IF(o_WRAP=1,MOD(((c_TMAP2IN)-(c_TMAP1IN))*(((A668)-(c_TMAP1IN))*((c_TMAP2OUT)-(c_TMAP1OUT))+IF(((c_TMAP2OUT)-(c_TMAP1OUT))&gt;=0,1,-1)*QUOTIENT(((c_TMAP2IN)-(c_TMAP1IN)),2))+2147483648,4294967296)-2147483648,((c_TMAP2IN)-(c_TMAP1IN))*(((A668)-(c_TMAP1IN))*((c_TMAP2OUT)-(c_TMAP1OUT))+IF(((c_TMAP2OUT)-(c_TMAP1OUT))&gt;=0,1,-1)*QUOTIENT(((c_TMAP2IN)-(c_TMAP1IN)),2)))&lt;0,-1,0),IF(IF(o_WRAP=1,MOD(((c_TMAP2IN)-(c_TMAP1IN))*(((A668)-(c_TMAP1IN))*((c_TMAP2OUT)-(c_TMAP1OUT))+IF(((c_TMAP2OUT)-(c_TMAP1OUT))&gt;=0,1,-1)*QUOTIENT(((c_TMAP2IN)-(c_TMAP1IN)),2))+2147483648,4294967296)-2147483648,((c_TMAP2IN)-(c_TMAP1IN))*(((A668)-(c_TMAP1IN))*((c_TMAP2OUT)-(c_TMAP1OUT))+IF(((c_TMAP2OUT)-(c_TMAP1OUT))&gt;=0,1,-1)*QUOTIENT(((c_TMAP2IN)-(c_TMAP1IN)),2)))&gt;=0,1,0)))</f>
        <v>295</v>
      </c>
      <c r="F668" s="7" t="n">
        <f aca="false">IF(((c_TMAP3IN)-(c_TMAP2IN))=0,(c_TMAP2OUT)+QUOTIENT(((c_TMAP3OUT)-(c_TMAP2OUT)),2),QUOTIENT((((A668)-(c_TMAP2IN))*((c_TMAP3OUT)-(c_TMAP2OUT))+IF(((c_TMAP3OUT)-(c_TMAP2OUT))&gt;=0,1,-1)*QUOTIENT(((c_TMAP3IN)-(c_TMAP2IN)),2)),((c_TMAP3IN)-(c_TMAP2IN)))+(c_TMAP2OUT)+IF(((c_TMAP3OUT)-(c_TMAP2OUT))&gt;=0,IF(IF(o_WRAP=1,MOD(((c_TMAP3IN)-(c_TMAP2IN))*(((A668)-(c_TMAP2IN))*((c_TMAP3OUT)-(c_TMAP2OUT))+IF(((c_TMAP3OUT)-(c_TMAP2OUT))&gt;=0,1,-1)*QUOTIENT(((c_TMAP3IN)-(c_TMAP2IN)),2))+2147483648,4294967296)-2147483648,((c_TMAP3IN)-(c_TMAP2IN))*(((A668)-(c_TMAP2IN))*((c_TMAP3OUT)-(c_TMAP2OUT))+IF(((c_TMAP3OUT)-(c_TMAP2OUT))&gt;=0,1,-1)*QUOTIENT(((c_TMAP3IN)-(c_TMAP2IN)),2)))&lt;0,-1,0),IF(IF(o_WRAP=1,MOD(((c_TMAP3IN)-(c_TMAP2IN))*(((A668)-(c_TMAP2IN))*((c_TMAP3OUT)-(c_TMAP2OUT))+IF(((c_TMAP3OUT)-(c_TMAP2OUT))&gt;=0,1,-1)*QUOTIENT(((c_TMAP3IN)-(c_TMAP2IN)),2))+2147483648,4294967296)-2147483648,((c_TMAP3IN)-(c_TMAP2IN))*(((A668)-(c_TMAP2IN))*((c_TMAP3OUT)-(c_TMAP2OUT))+IF(((c_TMAP3OUT)-(c_TMAP2OUT))&gt;=0,1,-1)*QUOTIENT(((c_TMAP3IN)-(c_TMAP2IN)),2)))&gt;=0,1,0)))</f>
        <v>419</v>
      </c>
      <c r="G668" s="7" t="n">
        <f aca="false">IF(((1000)-(c_TMAP3IN))=0,(c_TMAP3OUT)+QUOTIENT(((1000)-(c_TMAP3OUT)),2),QUOTIENT((((A668)-(c_TMAP3IN))*((1000)-(c_TMAP3OUT))+IF(((1000)-(c_TMAP3OUT))&gt;=0,1,-1)*QUOTIENT(((1000)-(c_TMAP3IN)),2)),((1000)-(c_TMAP3IN)))+(c_TMAP3OUT)+IF(((1000)-(c_TMAP3OUT))&gt;=0,IF(IF(o_WRAP=1,MOD(((1000)-(c_TMAP3IN))*(((A668)-(c_TMAP3IN))*((1000)-(c_TMAP3OUT))+IF(((1000)-(c_TMAP3OUT))&gt;=0,1,-1)*QUOTIENT(((1000)-(c_TMAP3IN)),2))+2147483648,4294967296)-2147483648,((1000)-(c_TMAP3IN))*(((A668)-(c_TMAP3IN))*((1000)-(c_TMAP3OUT))+IF(((1000)-(c_TMAP3OUT))&gt;=0,1,-1)*QUOTIENT(((1000)-(c_TMAP3IN)),2)))&lt;0,-1,0),IF(IF(o_WRAP=1,MOD(((1000)-(c_TMAP3IN))*(((A668)-(c_TMAP3IN))*((1000)-(c_TMAP3OUT))+IF(((1000)-(c_TMAP3OUT))&gt;=0,1,-1)*QUOTIENT(((1000)-(c_TMAP3IN)),2))+2147483648,4294967296)-2147483648,((1000)-(c_TMAP3IN))*(((A668)-(c_TMAP3IN))*((1000)-(c_TMAP3OUT))+IF(((1000)-(c_TMAP3OUT))&gt;=0,1,-1)*QUOTIENT(((1000)-(c_TMAP3IN)),2)))&gt;=0,1,0)))</f>
        <v>585</v>
      </c>
      <c r="H668" s="7" t="str">
        <f aca="false">IF(A668&gt;=c_TFWD,IF(AND(A668&gt;=c_TMAP3IN,c_TMAP3IN&lt;1000),"Seg4 map3-100%",IF(AND(A668&gt;=c_TMAP2IN,c_TMAP3IN&gt;c_TMAP2IN),"Seg3 map2-map3",IF(AND(A668&gt;=c_TMAP1IN,c_TMAP2IN&gt;c_TMAP1IN),"Seg2 map1-map2","Seg1 TFWD-map1"))),IF(AND(A668=0,c_TCREEP&gt;0),"Creep",IF(AND(A668&lt;=c_TRNGMIN,A668&gt;=c_TRNGMAX,c_TRNGMIN-c_TRNGMAX&lt;&gt;0),"Regen ramp","Coast (0)")))</f>
        <v>Seg4 map3-100%</v>
      </c>
      <c r="I668" s="7" t="n">
        <f aca="false">IF(A668&gt;=c_TFWD,IF(AND(A668&gt;=c_TMAP3IN,c_TMAP3IN&lt;1000),G668,IF(AND(A668&gt;=c_TMAP2IN,c_TMAP3IN&gt;c_TMAP2IN),F668,IF(AND(A668&gt;=c_TMAP1IN,c_TMAP2IN&gt;c_TMAP1IN),E668,D668))),C668)</f>
        <v>585</v>
      </c>
      <c r="J668" s="7" t="str">
        <f aca="false">IF(I668&lt;-1090,"TOO LOW",IF(I668&gt;1090,"TOO HIGH",""))</f>
        <v/>
      </c>
      <c r="K668" s="15" t="n">
        <f aca="false">IF(J668&lt;&gt;"",0,IF(I668&gt;979,1000,I668))</f>
        <v>585</v>
      </c>
      <c r="L668" s="7" t="n">
        <f aca="false">K668/10</f>
        <v>58.5</v>
      </c>
    </row>
    <row r="669" customFormat="false" ht="15" hidden="false" customHeight="false" outlineLevel="0" collapsed="false">
      <c r="A669" s="7" t="n">
        <v>664</v>
      </c>
      <c r="B669" s="7" t="n">
        <f aca="false">A669/10</f>
        <v>66.4</v>
      </c>
      <c r="C669" s="7" t="n">
        <f aca="false">IF(AND(A669=0,c_TCREEP&gt;0),10*c_TCREEP,IF(AND(A669&lt;=c_TRNGMIN,A669&gt;=c_TRNGMAX,c_TRNGMIN-c_TRNGMAX&lt;&gt;0),-10*c_TMINRN+QUOTIENT((c_TMAXRN-c_TMINRN)*(100-QUOTIENT((A669-c_TRNGMAX)*100,c_TRNGMIN-c_TRNGMAX)),-10),0))</f>
        <v>0</v>
      </c>
      <c r="D669" s="7" t="n">
        <f aca="false">IF(((c_TMAP1IN)-(c_TFWD))=0,(0)+QUOTIENT(((c_TMAP1OUT)-(0)),2),QUOTIENT((((A669)-(c_TFWD))*((c_TMAP1OUT)-(0))+IF(((c_TMAP1OUT)-(0))&gt;=0,1,-1)*QUOTIENT(((c_TMAP1IN)-(c_TFWD)),2)),((c_TMAP1IN)-(c_TFWD)))+(0)+IF(((c_TMAP1OUT)-(0))&gt;=0,IF(IF(o_WRAP=1,MOD(((c_TMAP1IN)-(c_TFWD))*(((A669)-(c_TFWD))*((c_TMAP1OUT)-(0))+IF(((c_TMAP1OUT)-(0))&gt;=0,1,-1)*QUOTIENT(((c_TMAP1IN)-(c_TFWD)),2))+2147483648,4294967296)-2147483648,((c_TMAP1IN)-(c_TFWD))*(((A669)-(c_TFWD))*((c_TMAP1OUT)-(0))+IF(((c_TMAP1OUT)-(0))&gt;=0,1,-1)*QUOTIENT(((c_TMAP1IN)-(c_TFWD)),2)))&lt;0,-1,0),IF(IF(o_WRAP=1,MOD(((c_TMAP1IN)-(c_TFWD))*(((A669)-(c_TFWD))*((c_TMAP1OUT)-(0))+IF(((c_TMAP1OUT)-(0))&gt;=0,1,-1)*QUOTIENT(((c_TMAP1IN)-(c_TFWD)),2))+2147483648,4294967296)-2147483648,((c_TMAP1IN)-(c_TFWD))*(((A669)-(c_TFWD))*((c_TMAP1OUT)-(0))+IF(((c_TMAP1OUT)-(0))&gt;=0,1,-1)*QUOTIENT(((c_TMAP1IN)-(c_TFWD)),2)))&gt;=0,1,0)))</f>
        <v>509</v>
      </c>
      <c r="E669" s="7" t="n">
        <f aca="false">IF(((c_TMAP2IN)-(c_TMAP1IN))=0,(c_TMAP1OUT)+QUOTIENT(((c_TMAP2OUT)-(c_TMAP1OUT)),2),QUOTIENT((((A669)-(c_TMAP1IN))*((c_TMAP2OUT)-(c_TMAP1OUT))+IF(((c_TMAP2OUT)-(c_TMAP1OUT))&gt;=0,1,-1)*QUOTIENT(((c_TMAP2IN)-(c_TMAP1IN)),2)),((c_TMAP2IN)-(c_TMAP1IN)))+(c_TMAP1OUT)+IF(((c_TMAP2OUT)-(c_TMAP1OUT))&gt;=0,IF(IF(o_WRAP=1,MOD(((c_TMAP2IN)-(c_TMAP1IN))*(((A669)-(c_TMAP1IN))*((c_TMAP2OUT)-(c_TMAP1OUT))+IF(((c_TMAP2OUT)-(c_TMAP1OUT))&gt;=0,1,-1)*QUOTIENT(((c_TMAP2IN)-(c_TMAP1IN)),2))+2147483648,4294967296)-2147483648,((c_TMAP2IN)-(c_TMAP1IN))*(((A669)-(c_TMAP1IN))*((c_TMAP2OUT)-(c_TMAP1OUT))+IF(((c_TMAP2OUT)-(c_TMAP1OUT))&gt;=0,1,-1)*QUOTIENT(((c_TMAP2IN)-(c_TMAP1IN)),2)))&lt;0,-1,0),IF(IF(o_WRAP=1,MOD(((c_TMAP2IN)-(c_TMAP1IN))*(((A669)-(c_TMAP1IN))*((c_TMAP2OUT)-(c_TMAP1OUT))+IF(((c_TMAP2OUT)-(c_TMAP1OUT))&gt;=0,1,-1)*QUOTIENT(((c_TMAP2IN)-(c_TMAP1IN)),2))+2147483648,4294967296)-2147483648,((c_TMAP2IN)-(c_TMAP1IN))*(((A669)-(c_TMAP1IN))*((c_TMAP2OUT)-(c_TMAP1OUT))+IF(((c_TMAP2OUT)-(c_TMAP1OUT))&gt;=0,1,-1)*QUOTIENT(((c_TMAP2IN)-(c_TMAP1IN)),2)))&gt;=0,1,0)))</f>
        <v>296</v>
      </c>
      <c r="F669" s="7" t="n">
        <f aca="false">IF(((c_TMAP3IN)-(c_TMAP2IN))=0,(c_TMAP2OUT)+QUOTIENT(((c_TMAP3OUT)-(c_TMAP2OUT)),2),QUOTIENT((((A669)-(c_TMAP2IN))*((c_TMAP3OUT)-(c_TMAP2OUT))+IF(((c_TMAP3OUT)-(c_TMAP2OUT))&gt;=0,1,-1)*QUOTIENT(((c_TMAP3IN)-(c_TMAP2IN)),2)),((c_TMAP3IN)-(c_TMAP2IN)))+(c_TMAP2OUT)+IF(((c_TMAP3OUT)-(c_TMAP2OUT))&gt;=0,IF(IF(o_WRAP=1,MOD(((c_TMAP3IN)-(c_TMAP2IN))*(((A669)-(c_TMAP2IN))*((c_TMAP3OUT)-(c_TMAP2OUT))+IF(((c_TMAP3OUT)-(c_TMAP2OUT))&gt;=0,1,-1)*QUOTIENT(((c_TMAP3IN)-(c_TMAP2IN)),2))+2147483648,4294967296)-2147483648,((c_TMAP3IN)-(c_TMAP2IN))*(((A669)-(c_TMAP2IN))*((c_TMAP3OUT)-(c_TMAP2OUT))+IF(((c_TMAP3OUT)-(c_TMAP2OUT))&gt;=0,1,-1)*QUOTIENT(((c_TMAP3IN)-(c_TMAP2IN)),2)))&lt;0,-1,0),IF(IF(o_WRAP=1,MOD(((c_TMAP3IN)-(c_TMAP2IN))*(((A669)-(c_TMAP2IN))*((c_TMAP3OUT)-(c_TMAP2OUT))+IF(((c_TMAP3OUT)-(c_TMAP2OUT))&gt;=0,1,-1)*QUOTIENT(((c_TMAP3IN)-(c_TMAP2IN)),2))+2147483648,4294967296)-2147483648,((c_TMAP3IN)-(c_TMAP2IN))*(((A669)-(c_TMAP2IN))*((c_TMAP3OUT)-(c_TMAP2OUT))+IF(((c_TMAP3OUT)-(c_TMAP2OUT))&gt;=0,1,-1)*QUOTIENT(((c_TMAP3IN)-(c_TMAP2IN)),2)))&gt;=0,1,0)))</f>
        <v>420</v>
      </c>
      <c r="G669" s="7" t="n">
        <f aca="false">IF(((1000)-(c_TMAP3IN))=0,(c_TMAP3OUT)+QUOTIENT(((1000)-(c_TMAP3OUT)),2),QUOTIENT((((A669)-(c_TMAP3IN))*((1000)-(c_TMAP3OUT))+IF(((1000)-(c_TMAP3OUT))&gt;=0,1,-1)*QUOTIENT(((1000)-(c_TMAP3IN)),2)),((1000)-(c_TMAP3IN)))+(c_TMAP3OUT)+IF(((1000)-(c_TMAP3OUT))&gt;=0,IF(IF(o_WRAP=1,MOD(((1000)-(c_TMAP3IN))*(((A669)-(c_TMAP3IN))*((1000)-(c_TMAP3OUT))+IF(((1000)-(c_TMAP3OUT))&gt;=0,1,-1)*QUOTIENT(((1000)-(c_TMAP3IN)),2))+2147483648,4294967296)-2147483648,((1000)-(c_TMAP3IN))*(((A669)-(c_TMAP3IN))*((1000)-(c_TMAP3OUT))+IF(((1000)-(c_TMAP3OUT))&gt;=0,1,-1)*QUOTIENT(((1000)-(c_TMAP3IN)),2)))&lt;0,-1,0),IF(IF(o_WRAP=1,MOD(((1000)-(c_TMAP3IN))*(((A669)-(c_TMAP3IN))*((1000)-(c_TMAP3OUT))+IF(((1000)-(c_TMAP3OUT))&gt;=0,1,-1)*QUOTIENT(((1000)-(c_TMAP3IN)),2))+2147483648,4294967296)-2147483648,((1000)-(c_TMAP3IN))*(((A669)-(c_TMAP3IN))*((1000)-(c_TMAP3OUT))+IF(((1000)-(c_TMAP3OUT))&gt;=0,1,-1)*QUOTIENT(((1000)-(c_TMAP3IN)),2)))&gt;=0,1,0)))</f>
        <v>586</v>
      </c>
      <c r="H669" s="7" t="str">
        <f aca="false">IF(A669&gt;=c_TFWD,IF(AND(A669&gt;=c_TMAP3IN,c_TMAP3IN&lt;1000),"Seg4 map3-100%",IF(AND(A669&gt;=c_TMAP2IN,c_TMAP3IN&gt;c_TMAP2IN),"Seg3 map2-map3",IF(AND(A669&gt;=c_TMAP1IN,c_TMAP2IN&gt;c_TMAP1IN),"Seg2 map1-map2","Seg1 TFWD-map1"))),IF(AND(A669=0,c_TCREEP&gt;0),"Creep",IF(AND(A669&lt;=c_TRNGMIN,A669&gt;=c_TRNGMAX,c_TRNGMIN-c_TRNGMAX&lt;&gt;0),"Regen ramp","Coast (0)")))</f>
        <v>Seg4 map3-100%</v>
      </c>
      <c r="I669" s="7" t="n">
        <f aca="false">IF(A669&gt;=c_TFWD,IF(AND(A669&gt;=c_TMAP3IN,c_TMAP3IN&lt;1000),G669,IF(AND(A669&gt;=c_TMAP2IN,c_TMAP3IN&gt;c_TMAP2IN),F669,IF(AND(A669&gt;=c_TMAP1IN,c_TMAP2IN&gt;c_TMAP1IN),E669,D669))),C669)</f>
        <v>586</v>
      </c>
      <c r="J669" s="7" t="str">
        <f aca="false">IF(I669&lt;-1090,"TOO LOW",IF(I669&gt;1090,"TOO HIGH",""))</f>
        <v/>
      </c>
      <c r="K669" s="15" t="n">
        <f aca="false">IF(J669&lt;&gt;"",0,IF(I669&gt;979,1000,I669))</f>
        <v>586</v>
      </c>
      <c r="L669" s="7" t="n">
        <f aca="false">K669/10</f>
        <v>58.6</v>
      </c>
    </row>
    <row r="670" customFormat="false" ht="15" hidden="false" customHeight="false" outlineLevel="0" collapsed="false">
      <c r="A670" s="7" t="n">
        <v>665</v>
      </c>
      <c r="B670" s="7" t="n">
        <f aca="false">A670/10</f>
        <v>66.5</v>
      </c>
      <c r="C670" s="7" t="n">
        <f aca="false">IF(AND(A670=0,c_TCREEP&gt;0),10*c_TCREEP,IF(AND(A670&lt;=c_TRNGMIN,A670&gt;=c_TRNGMAX,c_TRNGMIN-c_TRNGMAX&lt;&gt;0),-10*c_TMINRN+QUOTIENT((c_TMAXRN-c_TMINRN)*(100-QUOTIENT((A670-c_TRNGMAX)*100,c_TRNGMIN-c_TRNGMAX)),-10),0))</f>
        <v>0</v>
      </c>
      <c r="D670" s="7" t="n">
        <f aca="false">IF(((c_TMAP1IN)-(c_TFWD))=0,(0)+QUOTIENT(((c_TMAP1OUT)-(0)),2),QUOTIENT((((A670)-(c_TFWD))*((c_TMAP1OUT)-(0))+IF(((c_TMAP1OUT)-(0))&gt;=0,1,-1)*QUOTIENT(((c_TMAP1IN)-(c_TFWD)),2)),((c_TMAP1IN)-(c_TFWD)))+(0)+IF(((c_TMAP1OUT)-(0))&gt;=0,IF(IF(o_WRAP=1,MOD(((c_TMAP1IN)-(c_TFWD))*(((A670)-(c_TFWD))*((c_TMAP1OUT)-(0))+IF(((c_TMAP1OUT)-(0))&gt;=0,1,-1)*QUOTIENT(((c_TMAP1IN)-(c_TFWD)),2))+2147483648,4294967296)-2147483648,((c_TMAP1IN)-(c_TFWD))*(((A670)-(c_TFWD))*((c_TMAP1OUT)-(0))+IF(((c_TMAP1OUT)-(0))&gt;=0,1,-1)*QUOTIENT(((c_TMAP1IN)-(c_TFWD)),2)))&lt;0,-1,0),IF(IF(o_WRAP=1,MOD(((c_TMAP1IN)-(c_TFWD))*(((A670)-(c_TFWD))*((c_TMAP1OUT)-(0))+IF(((c_TMAP1OUT)-(0))&gt;=0,1,-1)*QUOTIENT(((c_TMAP1IN)-(c_TFWD)),2))+2147483648,4294967296)-2147483648,((c_TMAP1IN)-(c_TFWD))*(((A670)-(c_TFWD))*((c_TMAP1OUT)-(0))+IF(((c_TMAP1OUT)-(0))&gt;=0,1,-1)*QUOTIENT(((c_TMAP1IN)-(c_TFWD)),2)))&gt;=0,1,0)))</f>
        <v>509</v>
      </c>
      <c r="E670" s="7" t="n">
        <f aca="false">IF(((c_TMAP2IN)-(c_TMAP1IN))=0,(c_TMAP1OUT)+QUOTIENT(((c_TMAP2OUT)-(c_TMAP1OUT)),2),QUOTIENT((((A670)-(c_TMAP1IN))*((c_TMAP2OUT)-(c_TMAP1OUT))+IF(((c_TMAP2OUT)-(c_TMAP1OUT))&gt;=0,1,-1)*QUOTIENT(((c_TMAP2IN)-(c_TMAP1IN)),2)),((c_TMAP2IN)-(c_TMAP1IN)))+(c_TMAP1OUT)+IF(((c_TMAP2OUT)-(c_TMAP1OUT))&gt;=0,IF(IF(o_WRAP=1,MOD(((c_TMAP2IN)-(c_TMAP1IN))*(((A670)-(c_TMAP1IN))*((c_TMAP2OUT)-(c_TMAP1OUT))+IF(((c_TMAP2OUT)-(c_TMAP1OUT))&gt;=0,1,-1)*QUOTIENT(((c_TMAP2IN)-(c_TMAP1IN)),2))+2147483648,4294967296)-2147483648,((c_TMAP2IN)-(c_TMAP1IN))*(((A670)-(c_TMAP1IN))*((c_TMAP2OUT)-(c_TMAP1OUT))+IF(((c_TMAP2OUT)-(c_TMAP1OUT))&gt;=0,1,-1)*QUOTIENT(((c_TMAP2IN)-(c_TMAP1IN)),2)))&lt;0,-1,0),IF(IF(o_WRAP=1,MOD(((c_TMAP2IN)-(c_TMAP1IN))*(((A670)-(c_TMAP1IN))*((c_TMAP2OUT)-(c_TMAP1OUT))+IF(((c_TMAP2OUT)-(c_TMAP1OUT))&gt;=0,1,-1)*QUOTIENT(((c_TMAP2IN)-(c_TMAP1IN)),2))+2147483648,4294967296)-2147483648,((c_TMAP2IN)-(c_TMAP1IN))*(((A670)-(c_TMAP1IN))*((c_TMAP2OUT)-(c_TMAP1OUT))+IF(((c_TMAP2OUT)-(c_TMAP1OUT))&gt;=0,1,-1)*QUOTIENT(((c_TMAP2IN)-(c_TMAP1IN)),2)))&gt;=0,1,0)))</f>
        <v>296</v>
      </c>
      <c r="F670" s="7" t="n">
        <f aca="false">IF(((c_TMAP3IN)-(c_TMAP2IN))=0,(c_TMAP2OUT)+QUOTIENT(((c_TMAP3OUT)-(c_TMAP2OUT)),2),QUOTIENT((((A670)-(c_TMAP2IN))*((c_TMAP3OUT)-(c_TMAP2OUT))+IF(((c_TMAP3OUT)-(c_TMAP2OUT))&gt;=0,1,-1)*QUOTIENT(((c_TMAP3IN)-(c_TMAP2IN)),2)),((c_TMAP3IN)-(c_TMAP2IN)))+(c_TMAP2OUT)+IF(((c_TMAP3OUT)-(c_TMAP2OUT))&gt;=0,IF(IF(o_WRAP=1,MOD(((c_TMAP3IN)-(c_TMAP2IN))*(((A670)-(c_TMAP2IN))*((c_TMAP3OUT)-(c_TMAP2OUT))+IF(((c_TMAP3OUT)-(c_TMAP2OUT))&gt;=0,1,-1)*QUOTIENT(((c_TMAP3IN)-(c_TMAP2IN)),2))+2147483648,4294967296)-2147483648,((c_TMAP3IN)-(c_TMAP2IN))*(((A670)-(c_TMAP2IN))*((c_TMAP3OUT)-(c_TMAP2OUT))+IF(((c_TMAP3OUT)-(c_TMAP2OUT))&gt;=0,1,-1)*QUOTIENT(((c_TMAP3IN)-(c_TMAP2IN)),2)))&lt;0,-1,0),IF(IF(o_WRAP=1,MOD(((c_TMAP3IN)-(c_TMAP2IN))*(((A670)-(c_TMAP2IN))*((c_TMAP3OUT)-(c_TMAP2OUT))+IF(((c_TMAP3OUT)-(c_TMAP2OUT))&gt;=0,1,-1)*QUOTIENT(((c_TMAP3IN)-(c_TMAP2IN)),2))+2147483648,4294967296)-2147483648,((c_TMAP3IN)-(c_TMAP2IN))*(((A670)-(c_TMAP2IN))*((c_TMAP3OUT)-(c_TMAP2OUT))+IF(((c_TMAP3OUT)-(c_TMAP2OUT))&gt;=0,1,-1)*QUOTIENT(((c_TMAP3IN)-(c_TMAP2IN)),2)))&gt;=0,1,0)))</f>
        <v>421</v>
      </c>
      <c r="G670" s="7" t="n">
        <f aca="false">IF(((1000)-(c_TMAP3IN))=0,(c_TMAP3OUT)+QUOTIENT(((1000)-(c_TMAP3OUT)),2),QUOTIENT((((A670)-(c_TMAP3IN))*((1000)-(c_TMAP3OUT))+IF(((1000)-(c_TMAP3OUT))&gt;=0,1,-1)*QUOTIENT(((1000)-(c_TMAP3IN)),2)),((1000)-(c_TMAP3IN)))+(c_TMAP3OUT)+IF(((1000)-(c_TMAP3OUT))&gt;=0,IF(IF(o_WRAP=1,MOD(((1000)-(c_TMAP3IN))*(((A670)-(c_TMAP3IN))*((1000)-(c_TMAP3OUT))+IF(((1000)-(c_TMAP3OUT))&gt;=0,1,-1)*QUOTIENT(((1000)-(c_TMAP3IN)),2))+2147483648,4294967296)-2147483648,((1000)-(c_TMAP3IN))*(((A670)-(c_TMAP3IN))*((1000)-(c_TMAP3OUT))+IF(((1000)-(c_TMAP3OUT))&gt;=0,1,-1)*QUOTIENT(((1000)-(c_TMAP3IN)),2)))&lt;0,-1,0),IF(IF(o_WRAP=1,MOD(((1000)-(c_TMAP3IN))*(((A670)-(c_TMAP3IN))*((1000)-(c_TMAP3OUT))+IF(((1000)-(c_TMAP3OUT))&gt;=0,1,-1)*QUOTIENT(((1000)-(c_TMAP3IN)),2))+2147483648,4294967296)-2147483648,((1000)-(c_TMAP3IN))*(((A670)-(c_TMAP3IN))*((1000)-(c_TMAP3OUT))+IF(((1000)-(c_TMAP3OUT))&gt;=0,1,-1)*QUOTIENT(((1000)-(c_TMAP3IN)),2)))&gt;=0,1,0)))</f>
        <v>588</v>
      </c>
      <c r="H670" s="7" t="str">
        <f aca="false">IF(A670&gt;=c_TFWD,IF(AND(A670&gt;=c_TMAP3IN,c_TMAP3IN&lt;1000),"Seg4 map3-100%",IF(AND(A670&gt;=c_TMAP2IN,c_TMAP3IN&gt;c_TMAP2IN),"Seg3 map2-map3",IF(AND(A670&gt;=c_TMAP1IN,c_TMAP2IN&gt;c_TMAP1IN),"Seg2 map1-map2","Seg1 TFWD-map1"))),IF(AND(A670=0,c_TCREEP&gt;0),"Creep",IF(AND(A670&lt;=c_TRNGMIN,A670&gt;=c_TRNGMAX,c_TRNGMIN-c_TRNGMAX&lt;&gt;0),"Regen ramp","Coast (0)")))</f>
        <v>Seg4 map3-100%</v>
      </c>
      <c r="I670" s="7" t="n">
        <f aca="false">IF(A670&gt;=c_TFWD,IF(AND(A670&gt;=c_TMAP3IN,c_TMAP3IN&lt;1000),G670,IF(AND(A670&gt;=c_TMAP2IN,c_TMAP3IN&gt;c_TMAP2IN),F670,IF(AND(A670&gt;=c_TMAP1IN,c_TMAP2IN&gt;c_TMAP1IN),E670,D670))),C670)</f>
        <v>588</v>
      </c>
      <c r="J670" s="7" t="str">
        <f aca="false">IF(I670&lt;-1090,"TOO LOW",IF(I670&gt;1090,"TOO HIGH",""))</f>
        <v/>
      </c>
      <c r="K670" s="15" t="n">
        <f aca="false">IF(J670&lt;&gt;"",0,IF(I670&gt;979,1000,I670))</f>
        <v>588</v>
      </c>
      <c r="L670" s="7" t="n">
        <f aca="false">K670/10</f>
        <v>58.8</v>
      </c>
    </row>
    <row r="671" customFormat="false" ht="15" hidden="false" customHeight="false" outlineLevel="0" collapsed="false">
      <c r="A671" s="7" t="n">
        <v>666</v>
      </c>
      <c r="B671" s="7" t="n">
        <f aca="false">A671/10</f>
        <v>66.6</v>
      </c>
      <c r="C671" s="7" t="n">
        <f aca="false">IF(AND(A671=0,c_TCREEP&gt;0),10*c_TCREEP,IF(AND(A671&lt;=c_TRNGMIN,A671&gt;=c_TRNGMAX,c_TRNGMIN-c_TRNGMAX&lt;&gt;0),-10*c_TMINRN+QUOTIENT((c_TMAXRN-c_TMINRN)*(100-QUOTIENT((A671-c_TRNGMAX)*100,c_TRNGMIN-c_TRNGMAX)),-10),0))</f>
        <v>0</v>
      </c>
      <c r="D671" s="7" t="n">
        <f aca="false">IF(((c_TMAP1IN)-(c_TFWD))=0,(0)+QUOTIENT(((c_TMAP1OUT)-(0)),2),QUOTIENT((((A671)-(c_TFWD))*((c_TMAP1OUT)-(0))+IF(((c_TMAP1OUT)-(0))&gt;=0,1,-1)*QUOTIENT(((c_TMAP1IN)-(c_TFWD)),2)),((c_TMAP1IN)-(c_TFWD)))+(0)+IF(((c_TMAP1OUT)-(0))&gt;=0,IF(IF(o_WRAP=1,MOD(((c_TMAP1IN)-(c_TFWD))*(((A671)-(c_TFWD))*((c_TMAP1OUT)-(0))+IF(((c_TMAP1OUT)-(0))&gt;=0,1,-1)*QUOTIENT(((c_TMAP1IN)-(c_TFWD)),2))+2147483648,4294967296)-2147483648,((c_TMAP1IN)-(c_TFWD))*(((A671)-(c_TFWD))*((c_TMAP1OUT)-(0))+IF(((c_TMAP1OUT)-(0))&gt;=0,1,-1)*QUOTIENT(((c_TMAP1IN)-(c_TFWD)),2)))&lt;0,-1,0),IF(IF(o_WRAP=1,MOD(((c_TMAP1IN)-(c_TFWD))*(((A671)-(c_TFWD))*((c_TMAP1OUT)-(0))+IF(((c_TMAP1OUT)-(0))&gt;=0,1,-1)*QUOTIENT(((c_TMAP1IN)-(c_TFWD)),2))+2147483648,4294967296)-2147483648,((c_TMAP1IN)-(c_TFWD))*(((A671)-(c_TFWD))*((c_TMAP1OUT)-(0))+IF(((c_TMAP1OUT)-(0))&gt;=0,1,-1)*QUOTIENT(((c_TMAP1IN)-(c_TFWD)),2)))&gt;=0,1,0)))</f>
        <v>510</v>
      </c>
      <c r="E671" s="7" t="n">
        <f aca="false">IF(((c_TMAP2IN)-(c_TMAP1IN))=0,(c_TMAP1OUT)+QUOTIENT(((c_TMAP2OUT)-(c_TMAP1OUT)),2),QUOTIENT((((A671)-(c_TMAP1IN))*((c_TMAP2OUT)-(c_TMAP1OUT))+IF(((c_TMAP2OUT)-(c_TMAP1OUT))&gt;=0,1,-1)*QUOTIENT(((c_TMAP2IN)-(c_TMAP1IN)),2)),((c_TMAP2IN)-(c_TMAP1IN)))+(c_TMAP1OUT)+IF(((c_TMAP2OUT)-(c_TMAP1OUT))&gt;=0,IF(IF(o_WRAP=1,MOD(((c_TMAP2IN)-(c_TMAP1IN))*(((A671)-(c_TMAP1IN))*((c_TMAP2OUT)-(c_TMAP1OUT))+IF(((c_TMAP2OUT)-(c_TMAP1OUT))&gt;=0,1,-1)*QUOTIENT(((c_TMAP2IN)-(c_TMAP1IN)),2))+2147483648,4294967296)-2147483648,((c_TMAP2IN)-(c_TMAP1IN))*(((A671)-(c_TMAP1IN))*((c_TMAP2OUT)-(c_TMAP1OUT))+IF(((c_TMAP2OUT)-(c_TMAP1OUT))&gt;=0,1,-1)*QUOTIENT(((c_TMAP2IN)-(c_TMAP1IN)),2)))&lt;0,-1,0),IF(IF(o_WRAP=1,MOD(((c_TMAP2IN)-(c_TMAP1IN))*(((A671)-(c_TMAP1IN))*((c_TMAP2OUT)-(c_TMAP1OUT))+IF(((c_TMAP2OUT)-(c_TMAP1OUT))&gt;=0,1,-1)*QUOTIENT(((c_TMAP2IN)-(c_TMAP1IN)),2))+2147483648,4294967296)-2147483648,((c_TMAP2IN)-(c_TMAP1IN))*(((A671)-(c_TMAP1IN))*((c_TMAP2OUT)-(c_TMAP1OUT))+IF(((c_TMAP2OUT)-(c_TMAP1OUT))&gt;=0,1,-1)*QUOTIENT(((c_TMAP2IN)-(c_TMAP1IN)),2)))&gt;=0,1,0)))</f>
        <v>296</v>
      </c>
      <c r="F671" s="7" t="n">
        <f aca="false">IF(((c_TMAP3IN)-(c_TMAP2IN))=0,(c_TMAP2OUT)+QUOTIENT(((c_TMAP3OUT)-(c_TMAP2OUT)),2),QUOTIENT((((A671)-(c_TMAP2IN))*((c_TMAP3OUT)-(c_TMAP2OUT))+IF(((c_TMAP3OUT)-(c_TMAP2OUT))&gt;=0,1,-1)*QUOTIENT(((c_TMAP3IN)-(c_TMAP2IN)),2)),((c_TMAP3IN)-(c_TMAP2IN)))+(c_TMAP2OUT)+IF(((c_TMAP3OUT)-(c_TMAP2OUT))&gt;=0,IF(IF(o_WRAP=1,MOD(((c_TMAP3IN)-(c_TMAP2IN))*(((A671)-(c_TMAP2IN))*((c_TMAP3OUT)-(c_TMAP2OUT))+IF(((c_TMAP3OUT)-(c_TMAP2OUT))&gt;=0,1,-1)*QUOTIENT(((c_TMAP3IN)-(c_TMAP2IN)),2))+2147483648,4294967296)-2147483648,((c_TMAP3IN)-(c_TMAP2IN))*(((A671)-(c_TMAP2IN))*((c_TMAP3OUT)-(c_TMAP2OUT))+IF(((c_TMAP3OUT)-(c_TMAP2OUT))&gt;=0,1,-1)*QUOTIENT(((c_TMAP3IN)-(c_TMAP2IN)),2)))&lt;0,-1,0),IF(IF(o_WRAP=1,MOD(((c_TMAP3IN)-(c_TMAP2IN))*(((A671)-(c_TMAP2IN))*((c_TMAP3OUT)-(c_TMAP2OUT))+IF(((c_TMAP3OUT)-(c_TMAP2OUT))&gt;=0,1,-1)*QUOTIENT(((c_TMAP3IN)-(c_TMAP2IN)),2))+2147483648,4294967296)-2147483648,((c_TMAP3IN)-(c_TMAP2IN))*(((A671)-(c_TMAP2IN))*((c_TMAP3OUT)-(c_TMAP2OUT))+IF(((c_TMAP3OUT)-(c_TMAP2OUT))&gt;=0,1,-1)*QUOTIENT(((c_TMAP3IN)-(c_TMAP2IN)),2)))&gt;=0,1,0)))</f>
        <v>421</v>
      </c>
      <c r="G671" s="7" t="n">
        <f aca="false">IF(((1000)-(c_TMAP3IN))=0,(c_TMAP3OUT)+QUOTIENT(((1000)-(c_TMAP3OUT)),2),QUOTIENT((((A671)-(c_TMAP3IN))*((1000)-(c_TMAP3OUT))+IF(((1000)-(c_TMAP3OUT))&gt;=0,1,-1)*QUOTIENT(((1000)-(c_TMAP3IN)),2)),((1000)-(c_TMAP3IN)))+(c_TMAP3OUT)+IF(((1000)-(c_TMAP3OUT))&gt;=0,IF(IF(o_WRAP=1,MOD(((1000)-(c_TMAP3IN))*(((A671)-(c_TMAP3IN))*((1000)-(c_TMAP3OUT))+IF(((1000)-(c_TMAP3OUT))&gt;=0,1,-1)*QUOTIENT(((1000)-(c_TMAP3IN)),2))+2147483648,4294967296)-2147483648,((1000)-(c_TMAP3IN))*(((A671)-(c_TMAP3IN))*((1000)-(c_TMAP3OUT))+IF(((1000)-(c_TMAP3OUT))&gt;=0,1,-1)*QUOTIENT(((1000)-(c_TMAP3IN)),2)))&lt;0,-1,0),IF(IF(o_WRAP=1,MOD(((1000)-(c_TMAP3IN))*(((A671)-(c_TMAP3IN))*((1000)-(c_TMAP3OUT))+IF(((1000)-(c_TMAP3OUT))&gt;=0,1,-1)*QUOTIENT(((1000)-(c_TMAP3IN)),2))+2147483648,4294967296)-2147483648,((1000)-(c_TMAP3IN))*(((A671)-(c_TMAP3IN))*((1000)-(c_TMAP3OUT))+IF(((1000)-(c_TMAP3OUT))&gt;=0,1,-1)*QUOTIENT(((1000)-(c_TMAP3IN)),2)))&gt;=0,1,0)))</f>
        <v>589</v>
      </c>
      <c r="H671" s="7" t="str">
        <f aca="false">IF(A671&gt;=c_TFWD,IF(AND(A671&gt;=c_TMAP3IN,c_TMAP3IN&lt;1000),"Seg4 map3-100%",IF(AND(A671&gt;=c_TMAP2IN,c_TMAP3IN&gt;c_TMAP2IN),"Seg3 map2-map3",IF(AND(A671&gt;=c_TMAP1IN,c_TMAP2IN&gt;c_TMAP1IN),"Seg2 map1-map2","Seg1 TFWD-map1"))),IF(AND(A671=0,c_TCREEP&gt;0),"Creep",IF(AND(A671&lt;=c_TRNGMIN,A671&gt;=c_TRNGMAX,c_TRNGMIN-c_TRNGMAX&lt;&gt;0),"Regen ramp","Coast (0)")))</f>
        <v>Seg4 map3-100%</v>
      </c>
      <c r="I671" s="7" t="n">
        <f aca="false">IF(A671&gt;=c_TFWD,IF(AND(A671&gt;=c_TMAP3IN,c_TMAP3IN&lt;1000),G671,IF(AND(A671&gt;=c_TMAP2IN,c_TMAP3IN&gt;c_TMAP2IN),F671,IF(AND(A671&gt;=c_TMAP1IN,c_TMAP2IN&gt;c_TMAP1IN),E671,D671))),C671)</f>
        <v>589</v>
      </c>
      <c r="J671" s="7" t="str">
        <f aca="false">IF(I671&lt;-1090,"TOO LOW",IF(I671&gt;1090,"TOO HIGH",""))</f>
        <v/>
      </c>
      <c r="K671" s="15" t="n">
        <f aca="false">IF(J671&lt;&gt;"",0,IF(I671&gt;979,1000,I671))</f>
        <v>589</v>
      </c>
      <c r="L671" s="7" t="n">
        <f aca="false">K671/10</f>
        <v>58.9</v>
      </c>
    </row>
    <row r="672" customFormat="false" ht="15" hidden="false" customHeight="false" outlineLevel="0" collapsed="false">
      <c r="A672" s="7" t="n">
        <v>667</v>
      </c>
      <c r="B672" s="7" t="n">
        <f aca="false">A672/10</f>
        <v>66.7</v>
      </c>
      <c r="C672" s="7" t="n">
        <f aca="false">IF(AND(A672=0,c_TCREEP&gt;0),10*c_TCREEP,IF(AND(A672&lt;=c_TRNGMIN,A672&gt;=c_TRNGMAX,c_TRNGMIN-c_TRNGMAX&lt;&gt;0),-10*c_TMINRN+QUOTIENT((c_TMAXRN-c_TMINRN)*(100-QUOTIENT((A672-c_TRNGMAX)*100,c_TRNGMIN-c_TRNGMAX)),-10),0))</f>
        <v>0</v>
      </c>
      <c r="D672" s="7" t="n">
        <f aca="false">IF(((c_TMAP1IN)-(c_TFWD))=0,(0)+QUOTIENT(((c_TMAP1OUT)-(0)),2),QUOTIENT((((A672)-(c_TFWD))*((c_TMAP1OUT)-(0))+IF(((c_TMAP1OUT)-(0))&gt;=0,1,-1)*QUOTIENT(((c_TMAP1IN)-(c_TFWD)),2)),((c_TMAP1IN)-(c_TFWD)))+(0)+IF(((c_TMAP1OUT)-(0))&gt;=0,IF(IF(o_WRAP=1,MOD(((c_TMAP1IN)-(c_TFWD))*(((A672)-(c_TFWD))*((c_TMAP1OUT)-(0))+IF(((c_TMAP1OUT)-(0))&gt;=0,1,-1)*QUOTIENT(((c_TMAP1IN)-(c_TFWD)),2))+2147483648,4294967296)-2147483648,((c_TMAP1IN)-(c_TFWD))*(((A672)-(c_TFWD))*((c_TMAP1OUT)-(0))+IF(((c_TMAP1OUT)-(0))&gt;=0,1,-1)*QUOTIENT(((c_TMAP1IN)-(c_TFWD)),2)))&lt;0,-1,0),IF(IF(o_WRAP=1,MOD(((c_TMAP1IN)-(c_TFWD))*(((A672)-(c_TFWD))*((c_TMAP1OUT)-(0))+IF(((c_TMAP1OUT)-(0))&gt;=0,1,-1)*QUOTIENT(((c_TMAP1IN)-(c_TFWD)),2))+2147483648,4294967296)-2147483648,((c_TMAP1IN)-(c_TFWD))*(((A672)-(c_TFWD))*((c_TMAP1OUT)-(0))+IF(((c_TMAP1OUT)-(0))&gt;=0,1,-1)*QUOTIENT(((c_TMAP1IN)-(c_TFWD)),2)))&gt;=0,1,0)))</f>
        <v>511</v>
      </c>
      <c r="E672" s="7" t="n">
        <f aca="false">IF(((c_TMAP2IN)-(c_TMAP1IN))=0,(c_TMAP1OUT)+QUOTIENT(((c_TMAP2OUT)-(c_TMAP1OUT)),2),QUOTIENT((((A672)-(c_TMAP1IN))*((c_TMAP2OUT)-(c_TMAP1OUT))+IF(((c_TMAP2OUT)-(c_TMAP1OUT))&gt;=0,1,-1)*QUOTIENT(((c_TMAP2IN)-(c_TMAP1IN)),2)),((c_TMAP2IN)-(c_TMAP1IN)))+(c_TMAP1OUT)+IF(((c_TMAP2OUT)-(c_TMAP1OUT))&gt;=0,IF(IF(o_WRAP=1,MOD(((c_TMAP2IN)-(c_TMAP1IN))*(((A672)-(c_TMAP1IN))*((c_TMAP2OUT)-(c_TMAP1OUT))+IF(((c_TMAP2OUT)-(c_TMAP1OUT))&gt;=0,1,-1)*QUOTIENT(((c_TMAP2IN)-(c_TMAP1IN)),2))+2147483648,4294967296)-2147483648,((c_TMAP2IN)-(c_TMAP1IN))*(((A672)-(c_TMAP1IN))*((c_TMAP2OUT)-(c_TMAP1OUT))+IF(((c_TMAP2OUT)-(c_TMAP1OUT))&gt;=0,1,-1)*QUOTIENT(((c_TMAP2IN)-(c_TMAP1IN)),2)))&lt;0,-1,0),IF(IF(o_WRAP=1,MOD(((c_TMAP2IN)-(c_TMAP1IN))*(((A672)-(c_TMAP1IN))*((c_TMAP2OUT)-(c_TMAP1OUT))+IF(((c_TMAP2OUT)-(c_TMAP1OUT))&gt;=0,1,-1)*QUOTIENT(((c_TMAP2IN)-(c_TMAP1IN)),2))+2147483648,4294967296)-2147483648,((c_TMAP2IN)-(c_TMAP1IN))*(((A672)-(c_TMAP1IN))*((c_TMAP2OUT)-(c_TMAP1OUT))+IF(((c_TMAP2OUT)-(c_TMAP1OUT))&gt;=0,1,-1)*QUOTIENT(((c_TMAP2IN)-(c_TMAP1IN)),2)))&gt;=0,1,0)))</f>
        <v>297</v>
      </c>
      <c r="F672" s="7" t="n">
        <f aca="false">IF(((c_TMAP3IN)-(c_TMAP2IN))=0,(c_TMAP2OUT)+QUOTIENT(((c_TMAP3OUT)-(c_TMAP2OUT)),2),QUOTIENT((((A672)-(c_TMAP2IN))*((c_TMAP3OUT)-(c_TMAP2OUT))+IF(((c_TMAP3OUT)-(c_TMAP2OUT))&gt;=0,1,-1)*QUOTIENT(((c_TMAP3IN)-(c_TMAP2IN)),2)),((c_TMAP3IN)-(c_TMAP2IN)))+(c_TMAP2OUT)+IF(((c_TMAP3OUT)-(c_TMAP2OUT))&gt;=0,IF(IF(o_WRAP=1,MOD(((c_TMAP3IN)-(c_TMAP2IN))*(((A672)-(c_TMAP2IN))*((c_TMAP3OUT)-(c_TMAP2OUT))+IF(((c_TMAP3OUT)-(c_TMAP2OUT))&gt;=0,1,-1)*QUOTIENT(((c_TMAP3IN)-(c_TMAP2IN)),2))+2147483648,4294967296)-2147483648,((c_TMAP3IN)-(c_TMAP2IN))*(((A672)-(c_TMAP2IN))*((c_TMAP3OUT)-(c_TMAP2OUT))+IF(((c_TMAP3OUT)-(c_TMAP2OUT))&gt;=0,1,-1)*QUOTIENT(((c_TMAP3IN)-(c_TMAP2IN)),2)))&lt;0,-1,0),IF(IF(o_WRAP=1,MOD(((c_TMAP3IN)-(c_TMAP2IN))*(((A672)-(c_TMAP2IN))*((c_TMAP3OUT)-(c_TMAP2OUT))+IF(((c_TMAP3OUT)-(c_TMAP2OUT))&gt;=0,1,-1)*QUOTIENT(((c_TMAP3IN)-(c_TMAP2IN)),2))+2147483648,4294967296)-2147483648,((c_TMAP3IN)-(c_TMAP2IN))*(((A672)-(c_TMAP2IN))*((c_TMAP3OUT)-(c_TMAP2OUT))+IF(((c_TMAP3OUT)-(c_TMAP2OUT))&gt;=0,1,-1)*QUOTIENT(((c_TMAP3IN)-(c_TMAP2IN)),2)))&gt;=0,1,0)))</f>
        <v>422</v>
      </c>
      <c r="G672" s="7" t="n">
        <f aca="false">IF(((1000)-(c_TMAP3IN))=0,(c_TMAP3OUT)+QUOTIENT(((1000)-(c_TMAP3OUT)),2),QUOTIENT((((A672)-(c_TMAP3IN))*((1000)-(c_TMAP3OUT))+IF(((1000)-(c_TMAP3OUT))&gt;=0,1,-1)*QUOTIENT(((1000)-(c_TMAP3IN)),2)),((1000)-(c_TMAP3IN)))+(c_TMAP3OUT)+IF(((1000)-(c_TMAP3OUT))&gt;=0,IF(IF(o_WRAP=1,MOD(((1000)-(c_TMAP3IN))*(((A672)-(c_TMAP3IN))*((1000)-(c_TMAP3OUT))+IF(((1000)-(c_TMAP3OUT))&gt;=0,1,-1)*QUOTIENT(((1000)-(c_TMAP3IN)),2))+2147483648,4294967296)-2147483648,((1000)-(c_TMAP3IN))*(((A672)-(c_TMAP3IN))*((1000)-(c_TMAP3OUT))+IF(((1000)-(c_TMAP3OUT))&gt;=0,1,-1)*QUOTIENT(((1000)-(c_TMAP3IN)),2)))&lt;0,-1,0),IF(IF(o_WRAP=1,MOD(((1000)-(c_TMAP3IN))*(((A672)-(c_TMAP3IN))*((1000)-(c_TMAP3OUT))+IF(((1000)-(c_TMAP3OUT))&gt;=0,1,-1)*QUOTIENT(((1000)-(c_TMAP3IN)),2))+2147483648,4294967296)-2147483648,((1000)-(c_TMAP3IN))*(((A672)-(c_TMAP3IN))*((1000)-(c_TMAP3OUT))+IF(((1000)-(c_TMAP3OUT))&gt;=0,1,-1)*QUOTIENT(((1000)-(c_TMAP3IN)),2)))&gt;=0,1,0)))</f>
        <v>590</v>
      </c>
      <c r="H672" s="7" t="str">
        <f aca="false">IF(A672&gt;=c_TFWD,IF(AND(A672&gt;=c_TMAP3IN,c_TMAP3IN&lt;1000),"Seg4 map3-100%",IF(AND(A672&gt;=c_TMAP2IN,c_TMAP3IN&gt;c_TMAP2IN),"Seg3 map2-map3",IF(AND(A672&gt;=c_TMAP1IN,c_TMAP2IN&gt;c_TMAP1IN),"Seg2 map1-map2","Seg1 TFWD-map1"))),IF(AND(A672=0,c_TCREEP&gt;0),"Creep",IF(AND(A672&lt;=c_TRNGMIN,A672&gt;=c_TRNGMAX,c_TRNGMIN-c_TRNGMAX&lt;&gt;0),"Regen ramp","Coast (0)")))</f>
        <v>Seg4 map3-100%</v>
      </c>
      <c r="I672" s="7" t="n">
        <f aca="false">IF(A672&gt;=c_TFWD,IF(AND(A672&gt;=c_TMAP3IN,c_TMAP3IN&lt;1000),G672,IF(AND(A672&gt;=c_TMAP2IN,c_TMAP3IN&gt;c_TMAP2IN),F672,IF(AND(A672&gt;=c_TMAP1IN,c_TMAP2IN&gt;c_TMAP1IN),E672,D672))),C672)</f>
        <v>590</v>
      </c>
      <c r="J672" s="7" t="str">
        <f aca="false">IF(I672&lt;-1090,"TOO LOW",IF(I672&gt;1090,"TOO HIGH",""))</f>
        <v/>
      </c>
      <c r="K672" s="15" t="n">
        <f aca="false">IF(J672&lt;&gt;"",0,IF(I672&gt;979,1000,I672))</f>
        <v>590</v>
      </c>
      <c r="L672" s="7" t="n">
        <f aca="false">K672/10</f>
        <v>59</v>
      </c>
    </row>
    <row r="673" customFormat="false" ht="15" hidden="false" customHeight="false" outlineLevel="0" collapsed="false">
      <c r="A673" s="7" t="n">
        <v>668</v>
      </c>
      <c r="B673" s="7" t="n">
        <f aca="false">A673/10</f>
        <v>66.8</v>
      </c>
      <c r="C673" s="7" t="n">
        <f aca="false">IF(AND(A673=0,c_TCREEP&gt;0),10*c_TCREEP,IF(AND(A673&lt;=c_TRNGMIN,A673&gt;=c_TRNGMAX,c_TRNGMIN-c_TRNGMAX&lt;&gt;0),-10*c_TMINRN+QUOTIENT((c_TMAXRN-c_TMINRN)*(100-QUOTIENT((A673-c_TRNGMAX)*100,c_TRNGMIN-c_TRNGMAX)),-10),0))</f>
        <v>0</v>
      </c>
      <c r="D673" s="7" t="n">
        <f aca="false">IF(((c_TMAP1IN)-(c_TFWD))=0,(0)+QUOTIENT(((c_TMAP1OUT)-(0)),2),QUOTIENT((((A673)-(c_TFWD))*((c_TMAP1OUT)-(0))+IF(((c_TMAP1OUT)-(0))&gt;=0,1,-1)*QUOTIENT(((c_TMAP1IN)-(c_TFWD)),2)),((c_TMAP1IN)-(c_TFWD)))+(0)+IF(((c_TMAP1OUT)-(0))&gt;=0,IF(IF(o_WRAP=1,MOD(((c_TMAP1IN)-(c_TFWD))*(((A673)-(c_TFWD))*((c_TMAP1OUT)-(0))+IF(((c_TMAP1OUT)-(0))&gt;=0,1,-1)*QUOTIENT(((c_TMAP1IN)-(c_TFWD)),2))+2147483648,4294967296)-2147483648,((c_TMAP1IN)-(c_TFWD))*(((A673)-(c_TFWD))*((c_TMAP1OUT)-(0))+IF(((c_TMAP1OUT)-(0))&gt;=0,1,-1)*QUOTIENT(((c_TMAP1IN)-(c_TFWD)),2)))&lt;0,-1,0),IF(IF(o_WRAP=1,MOD(((c_TMAP1IN)-(c_TFWD))*(((A673)-(c_TFWD))*((c_TMAP1OUT)-(0))+IF(((c_TMAP1OUT)-(0))&gt;=0,1,-1)*QUOTIENT(((c_TMAP1IN)-(c_TFWD)),2))+2147483648,4294967296)-2147483648,((c_TMAP1IN)-(c_TFWD))*(((A673)-(c_TFWD))*((c_TMAP1OUT)-(0))+IF(((c_TMAP1OUT)-(0))&gt;=0,1,-1)*QUOTIENT(((c_TMAP1IN)-(c_TFWD)),2)))&gt;=0,1,0)))</f>
        <v>512</v>
      </c>
      <c r="E673" s="7" t="n">
        <f aca="false">IF(((c_TMAP2IN)-(c_TMAP1IN))=0,(c_TMAP1OUT)+QUOTIENT(((c_TMAP2OUT)-(c_TMAP1OUT)),2),QUOTIENT((((A673)-(c_TMAP1IN))*((c_TMAP2OUT)-(c_TMAP1OUT))+IF(((c_TMAP2OUT)-(c_TMAP1OUT))&gt;=0,1,-1)*QUOTIENT(((c_TMAP2IN)-(c_TMAP1IN)),2)),((c_TMAP2IN)-(c_TMAP1IN)))+(c_TMAP1OUT)+IF(((c_TMAP2OUT)-(c_TMAP1OUT))&gt;=0,IF(IF(o_WRAP=1,MOD(((c_TMAP2IN)-(c_TMAP1IN))*(((A673)-(c_TMAP1IN))*((c_TMAP2OUT)-(c_TMAP1OUT))+IF(((c_TMAP2OUT)-(c_TMAP1OUT))&gt;=0,1,-1)*QUOTIENT(((c_TMAP2IN)-(c_TMAP1IN)),2))+2147483648,4294967296)-2147483648,((c_TMAP2IN)-(c_TMAP1IN))*(((A673)-(c_TMAP1IN))*((c_TMAP2OUT)-(c_TMAP1OUT))+IF(((c_TMAP2OUT)-(c_TMAP1OUT))&gt;=0,1,-1)*QUOTIENT(((c_TMAP2IN)-(c_TMAP1IN)),2)))&lt;0,-1,0),IF(IF(o_WRAP=1,MOD(((c_TMAP2IN)-(c_TMAP1IN))*(((A673)-(c_TMAP1IN))*((c_TMAP2OUT)-(c_TMAP1OUT))+IF(((c_TMAP2OUT)-(c_TMAP1OUT))&gt;=0,1,-1)*QUOTIENT(((c_TMAP2IN)-(c_TMAP1IN)),2))+2147483648,4294967296)-2147483648,((c_TMAP2IN)-(c_TMAP1IN))*(((A673)-(c_TMAP1IN))*((c_TMAP2OUT)-(c_TMAP1OUT))+IF(((c_TMAP2OUT)-(c_TMAP1OUT))&gt;=0,1,-1)*QUOTIENT(((c_TMAP2IN)-(c_TMAP1IN)),2)))&gt;=0,1,0)))</f>
        <v>297</v>
      </c>
      <c r="F673" s="7" t="n">
        <f aca="false">IF(((c_TMAP3IN)-(c_TMAP2IN))=0,(c_TMAP2OUT)+QUOTIENT(((c_TMAP3OUT)-(c_TMAP2OUT)),2),QUOTIENT((((A673)-(c_TMAP2IN))*((c_TMAP3OUT)-(c_TMAP2OUT))+IF(((c_TMAP3OUT)-(c_TMAP2OUT))&gt;=0,1,-1)*QUOTIENT(((c_TMAP3IN)-(c_TMAP2IN)),2)),((c_TMAP3IN)-(c_TMAP2IN)))+(c_TMAP2OUT)+IF(((c_TMAP3OUT)-(c_TMAP2OUT))&gt;=0,IF(IF(o_WRAP=1,MOD(((c_TMAP3IN)-(c_TMAP2IN))*(((A673)-(c_TMAP2IN))*((c_TMAP3OUT)-(c_TMAP2OUT))+IF(((c_TMAP3OUT)-(c_TMAP2OUT))&gt;=0,1,-1)*QUOTIENT(((c_TMAP3IN)-(c_TMAP2IN)),2))+2147483648,4294967296)-2147483648,((c_TMAP3IN)-(c_TMAP2IN))*(((A673)-(c_TMAP2IN))*((c_TMAP3OUT)-(c_TMAP2OUT))+IF(((c_TMAP3OUT)-(c_TMAP2OUT))&gt;=0,1,-1)*QUOTIENT(((c_TMAP3IN)-(c_TMAP2IN)),2)))&lt;0,-1,0),IF(IF(o_WRAP=1,MOD(((c_TMAP3IN)-(c_TMAP2IN))*(((A673)-(c_TMAP2IN))*((c_TMAP3OUT)-(c_TMAP2OUT))+IF(((c_TMAP3OUT)-(c_TMAP2OUT))&gt;=0,1,-1)*QUOTIENT(((c_TMAP3IN)-(c_TMAP2IN)),2))+2147483648,4294967296)-2147483648,((c_TMAP3IN)-(c_TMAP2IN))*(((A673)-(c_TMAP2IN))*((c_TMAP3OUT)-(c_TMAP2OUT))+IF(((c_TMAP3OUT)-(c_TMAP2OUT))&gt;=0,1,-1)*QUOTIENT(((c_TMAP3IN)-(c_TMAP2IN)),2)))&gt;=0,1,0)))</f>
        <v>423</v>
      </c>
      <c r="G673" s="7" t="n">
        <f aca="false">IF(((1000)-(c_TMAP3IN))=0,(c_TMAP3OUT)+QUOTIENT(((1000)-(c_TMAP3OUT)),2),QUOTIENT((((A673)-(c_TMAP3IN))*((1000)-(c_TMAP3OUT))+IF(((1000)-(c_TMAP3OUT))&gt;=0,1,-1)*QUOTIENT(((1000)-(c_TMAP3IN)),2)),((1000)-(c_TMAP3IN)))+(c_TMAP3OUT)+IF(((1000)-(c_TMAP3OUT))&gt;=0,IF(IF(o_WRAP=1,MOD(((1000)-(c_TMAP3IN))*(((A673)-(c_TMAP3IN))*((1000)-(c_TMAP3OUT))+IF(((1000)-(c_TMAP3OUT))&gt;=0,1,-1)*QUOTIENT(((1000)-(c_TMAP3IN)),2))+2147483648,4294967296)-2147483648,((1000)-(c_TMAP3IN))*(((A673)-(c_TMAP3IN))*((1000)-(c_TMAP3OUT))+IF(((1000)-(c_TMAP3OUT))&gt;=0,1,-1)*QUOTIENT(((1000)-(c_TMAP3IN)),2)))&lt;0,-1,0),IF(IF(o_WRAP=1,MOD(((1000)-(c_TMAP3IN))*(((A673)-(c_TMAP3IN))*((1000)-(c_TMAP3OUT))+IF(((1000)-(c_TMAP3OUT))&gt;=0,1,-1)*QUOTIENT(((1000)-(c_TMAP3IN)),2))+2147483648,4294967296)-2147483648,((1000)-(c_TMAP3IN))*(((A673)-(c_TMAP3IN))*((1000)-(c_TMAP3OUT))+IF(((1000)-(c_TMAP3OUT))&gt;=0,1,-1)*QUOTIENT(((1000)-(c_TMAP3IN)),2)))&gt;=0,1,0)))</f>
        <v>591</v>
      </c>
      <c r="H673" s="7" t="str">
        <f aca="false">IF(A673&gt;=c_TFWD,IF(AND(A673&gt;=c_TMAP3IN,c_TMAP3IN&lt;1000),"Seg4 map3-100%",IF(AND(A673&gt;=c_TMAP2IN,c_TMAP3IN&gt;c_TMAP2IN),"Seg3 map2-map3",IF(AND(A673&gt;=c_TMAP1IN,c_TMAP2IN&gt;c_TMAP1IN),"Seg2 map1-map2","Seg1 TFWD-map1"))),IF(AND(A673=0,c_TCREEP&gt;0),"Creep",IF(AND(A673&lt;=c_TRNGMIN,A673&gt;=c_TRNGMAX,c_TRNGMIN-c_TRNGMAX&lt;&gt;0),"Regen ramp","Coast (0)")))</f>
        <v>Seg4 map3-100%</v>
      </c>
      <c r="I673" s="7" t="n">
        <f aca="false">IF(A673&gt;=c_TFWD,IF(AND(A673&gt;=c_TMAP3IN,c_TMAP3IN&lt;1000),G673,IF(AND(A673&gt;=c_TMAP2IN,c_TMAP3IN&gt;c_TMAP2IN),F673,IF(AND(A673&gt;=c_TMAP1IN,c_TMAP2IN&gt;c_TMAP1IN),E673,D673))),C673)</f>
        <v>591</v>
      </c>
      <c r="J673" s="7" t="str">
        <f aca="false">IF(I673&lt;-1090,"TOO LOW",IF(I673&gt;1090,"TOO HIGH",""))</f>
        <v/>
      </c>
      <c r="K673" s="15" t="n">
        <f aca="false">IF(J673&lt;&gt;"",0,IF(I673&gt;979,1000,I673))</f>
        <v>591</v>
      </c>
      <c r="L673" s="7" t="n">
        <f aca="false">K673/10</f>
        <v>59.1</v>
      </c>
    </row>
    <row r="674" customFormat="false" ht="15" hidden="false" customHeight="false" outlineLevel="0" collapsed="false">
      <c r="A674" s="7" t="n">
        <v>669</v>
      </c>
      <c r="B674" s="7" t="n">
        <f aca="false">A674/10</f>
        <v>66.9</v>
      </c>
      <c r="C674" s="7" t="n">
        <f aca="false">IF(AND(A674=0,c_TCREEP&gt;0),10*c_TCREEP,IF(AND(A674&lt;=c_TRNGMIN,A674&gt;=c_TRNGMAX,c_TRNGMIN-c_TRNGMAX&lt;&gt;0),-10*c_TMINRN+QUOTIENT((c_TMAXRN-c_TMINRN)*(100-QUOTIENT((A674-c_TRNGMAX)*100,c_TRNGMIN-c_TRNGMAX)),-10),0))</f>
        <v>0</v>
      </c>
      <c r="D674" s="7" t="n">
        <f aca="false">IF(((c_TMAP1IN)-(c_TFWD))=0,(0)+QUOTIENT(((c_TMAP1OUT)-(0)),2),QUOTIENT((((A674)-(c_TFWD))*((c_TMAP1OUT)-(0))+IF(((c_TMAP1OUT)-(0))&gt;=0,1,-1)*QUOTIENT(((c_TMAP1IN)-(c_TFWD)),2)),((c_TMAP1IN)-(c_TFWD)))+(0)+IF(((c_TMAP1OUT)-(0))&gt;=0,IF(IF(o_WRAP=1,MOD(((c_TMAP1IN)-(c_TFWD))*(((A674)-(c_TFWD))*((c_TMAP1OUT)-(0))+IF(((c_TMAP1OUT)-(0))&gt;=0,1,-1)*QUOTIENT(((c_TMAP1IN)-(c_TFWD)),2))+2147483648,4294967296)-2147483648,((c_TMAP1IN)-(c_TFWD))*(((A674)-(c_TFWD))*((c_TMAP1OUT)-(0))+IF(((c_TMAP1OUT)-(0))&gt;=0,1,-1)*QUOTIENT(((c_TMAP1IN)-(c_TFWD)),2)))&lt;0,-1,0),IF(IF(o_WRAP=1,MOD(((c_TMAP1IN)-(c_TFWD))*(((A674)-(c_TFWD))*((c_TMAP1OUT)-(0))+IF(((c_TMAP1OUT)-(0))&gt;=0,1,-1)*QUOTIENT(((c_TMAP1IN)-(c_TFWD)),2))+2147483648,4294967296)-2147483648,((c_TMAP1IN)-(c_TFWD))*(((A674)-(c_TFWD))*((c_TMAP1OUT)-(0))+IF(((c_TMAP1OUT)-(0))&gt;=0,1,-1)*QUOTIENT(((c_TMAP1IN)-(c_TFWD)),2)))&gt;=0,1,0)))</f>
        <v>513</v>
      </c>
      <c r="E674" s="7" t="n">
        <f aca="false">IF(((c_TMAP2IN)-(c_TMAP1IN))=0,(c_TMAP1OUT)+QUOTIENT(((c_TMAP2OUT)-(c_TMAP1OUT)),2),QUOTIENT((((A674)-(c_TMAP1IN))*((c_TMAP2OUT)-(c_TMAP1OUT))+IF(((c_TMAP2OUT)-(c_TMAP1OUT))&gt;=0,1,-1)*QUOTIENT(((c_TMAP2IN)-(c_TMAP1IN)),2)),((c_TMAP2IN)-(c_TMAP1IN)))+(c_TMAP1OUT)+IF(((c_TMAP2OUT)-(c_TMAP1OUT))&gt;=0,IF(IF(o_WRAP=1,MOD(((c_TMAP2IN)-(c_TMAP1IN))*(((A674)-(c_TMAP1IN))*((c_TMAP2OUT)-(c_TMAP1OUT))+IF(((c_TMAP2OUT)-(c_TMAP1OUT))&gt;=0,1,-1)*QUOTIENT(((c_TMAP2IN)-(c_TMAP1IN)),2))+2147483648,4294967296)-2147483648,((c_TMAP2IN)-(c_TMAP1IN))*(((A674)-(c_TMAP1IN))*((c_TMAP2OUT)-(c_TMAP1OUT))+IF(((c_TMAP2OUT)-(c_TMAP1OUT))&gt;=0,1,-1)*QUOTIENT(((c_TMAP2IN)-(c_TMAP1IN)),2)))&lt;0,-1,0),IF(IF(o_WRAP=1,MOD(((c_TMAP2IN)-(c_TMAP1IN))*(((A674)-(c_TMAP1IN))*((c_TMAP2OUT)-(c_TMAP1OUT))+IF(((c_TMAP2OUT)-(c_TMAP1OUT))&gt;=0,1,-1)*QUOTIENT(((c_TMAP2IN)-(c_TMAP1IN)),2))+2147483648,4294967296)-2147483648,((c_TMAP2IN)-(c_TMAP1IN))*(((A674)-(c_TMAP1IN))*((c_TMAP2OUT)-(c_TMAP1OUT))+IF(((c_TMAP2OUT)-(c_TMAP1OUT))&gt;=0,1,-1)*QUOTIENT(((c_TMAP2IN)-(c_TMAP1IN)),2)))&gt;=0,1,0)))</f>
        <v>298</v>
      </c>
      <c r="F674" s="7" t="n">
        <f aca="false">IF(((c_TMAP3IN)-(c_TMAP2IN))=0,(c_TMAP2OUT)+QUOTIENT(((c_TMAP3OUT)-(c_TMAP2OUT)),2),QUOTIENT((((A674)-(c_TMAP2IN))*((c_TMAP3OUT)-(c_TMAP2OUT))+IF(((c_TMAP3OUT)-(c_TMAP2OUT))&gt;=0,1,-1)*QUOTIENT(((c_TMAP3IN)-(c_TMAP2IN)),2)),((c_TMAP3IN)-(c_TMAP2IN)))+(c_TMAP2OUT)+IF(((c_TMAP3OUT)-(c_TMAP2OUT))&gt;=0,IF(IF(o_WRAP=1,MOD(((c_TMAP3IN)-(c_TMAP2IN))*(((A674)-(c_TMAP2IN))*((c_TMAP3OUT)-(c_TMAP2OUT))+IF(((c_TMAP3OUT)-(c_TMAP2OUT))&gt;=0,1,-1)*QUOTIENT(((c_TMAP3IN)-(c_TMAP2IN)),2))+2147483648,4294967296)-2147483648,((c_TMAP3IN)-(c_TMAP2IN))*(((A674)-(c_TMAP2IN))*((c_TMAP3OUT)-(c_TMAP2OUT))+IF(((c_TMAP3OUT)-(c_TMAP2OUT))&gt;=0,1,-1)*QUOTIENT(((c_TMAP3IN)-(c_TMAP2IN)),2)))&lt;0,-1,0),IF(IF(o_WRAP=1,MOD(((c_TMAP3IN)-(c_TMAP2IN))*(((A674)-(c_TMAP2IN))*((c_TMAP3OUT)-(c_TMAP2OUT))+IF(((c_TMAP3OUT)-(c_TMAP2OUT))&gt;=0,1,-1)*QUOTIENT(((c_TMAP3IN)-(c_TMAP2IN)),2))+2147483648,4294967296)-2147483648,((c_TMAP3IN)-(c_TMAP2IN))*(((A674)-(c_TMAP2IN))*((c_TMAP3OUT)-(c_TMAP2OUT))+IF(((c_TMAP3OUT)-(c_TMAP2OUT))&gt;=0,1,-1)*QUOTIENT(((c_TMAP3IN)-(c_TMAP2IN)),2)))&gt;=0,1,0)))</f>
        <v>423</v>
      </c>
      <c r="G674" s="7" t="n">
        <f aca="false">IF(((1000)-(c_TMAP3IN))=0,(c_TMAP3OUT)+QUOTIENT(((1000)-(c_TMAP3OUT)),2),QUOTIENT((((A674)-(c_TMAP3IN))*((1000)-(c_TMAP3OUT))+IF(((1000)-(c_TMAP3OUT))&gt;=0,1,-1)*QUOTIENT(((1000)-(c_TMAP3IN)),2)),((1000)-(c_TMAP3IN)))+(c_TMAP3OUT)+IF(((1000)-(c_TMAP3OUT))&gt;=0,IF(IF(o_WRAP=1,MOD(((1000)-(c_TMAP3IN))*(((A674)-(c_TMAP3IN))*((1000)-(c_TMAP3OUT))+IF(((1000)-(c_TMAP3OUT))&gt;=0,1,-1)*QUOTIENT(((1000)-(c_TMAP3IN)),2))+2147483648,4294967296)-2147483648,((1000)-(c_TMAP3IN))*(((A674)-(c_TMAP3IN))*((1000)-(c_TMAP3OUT))+IF(((1000)-(c_TMAP3OUT))&gt;=0,1,-1)*QUOTIENT(((1000)-(c_TMAP3IN)),2)))&lt;0,-1,0),IF(IF(o_WRAP=1,MOD(((1000)-(c_TMAP3IN))*(((A674)-(c_TMAP3IN))*((1000)-(c_TMAP3OUT))+IF(((1000)-(c_TMAP3OUT))&gt;=0,1,-1)*QUOTIENT(((1000)-(c_TMAP3IN)),2))+2147483648,4294967296)-2147483648,((1000)-(c_TMAP3IN))*(((A674)-(c_TMAP3IN))*((1000)-(c_TMAP3OUT))+IF(((1000)-(c_TMAP3OUT))&gt;=0,1,-1)*QUOTIENT(((1000)-(c_TMAP3IN)),2)))&gt;=0,1,0)))</f>
        <v>593</v>
      </c>
      <c r="H674" s="7" t="str">
        <f aca="false">IF(A674&gt;=c_TFWD,IF(AND(A674&gt;=c_TMAP3IN,c_TMAP3IN&lt;1000),"Seg4 map3-100%",IF(AND(A674&gt;=c_TMAP2IN,c_TMAP3IN&gt;c_TMAP2IN),"Seg3 map2-map3",IF(AND(A674&gt;=c_TMAP1IN,c_TMAP2IN&gt;c_TMAP1IN),"Seg2 map1-map2","Seg1 TFWD-map1"))),IF(AND(A674=0,c_TCREEP&gt;0),"Creep",IF(AND(A674&lt;=c_TRNGMIN,A674&gt;=c_TRNGMAX,c_TRNGMIN-c_TRNGMAX&lt;&gt;0),"Regen ramp","Coast (0)")))</f>
        <v>Seg4 map3-100%</v>
      </c>
      <c r="I674" s="7" t="n">
        <f aca="false">IF(A674&gt;=c_TFWD,IF(AND(A674&gt;=c_TMAP3IN,c_TMAP3IN&lt;1000),G674,IF(AND(A674&gt;=c_TMAP2IN,c_TMAP3IN&gt;c_TMAP2IN),F674,IF(AND(A674&gt;=c_TMAP1IN,c_TMAP2IN&gt;c_TMAP1IN),E674,D674))),C674)</f>
        <v>593</v>
      </c>
      <c r="J674" s="7" t="str">
        <f aca="false">IF(I674&lt;-1090,"TOO LOW",IF(I674&gt;1090,"TOO HIGH",""))</f>
        <v/>
      </c>
      <c r="K674" s="15" t="n">
        <f aca="false">IF(J674&lt;&gt;"",0,IF(I674&gt;979,1000,I674))</f>
        <v>593</v>
      </c>
      <c r="L674" s="7" t="n">
        <f aca="false">K674/10</f>
        <v>59.3</v>
      </c>
    </row>
    <row r="675" customFormat="false" ht="15" hidden="false" customHeight="false" outlineLevel="0" collapsed="false">
      <c r="A675" s="7" t="n">
        <v>670</v>
      </c>
      <c r="B675" s="7" t="n">
        <f aca="false">A675/10</f>
        <v>67</v>
      </c>
      <c r="C675" s="7" t="n">
        <f aca="false">IF(AND(A675=0,c_TCREEP&gt;0),10*c_TCREEP,IF(AND(A675&lt;=c_TRNGMIN,A675&gt;=c_TRNGMAX,c_TRNGMIN-c_TRNGMAX&lt;&gt;0),-10*c_TMINRN+QUOTIENT((c_TMAXRN-c_TMINRN)*(100-QUOTIENT((A675-c_TRNGMAX)*100,c_TRNGMIN-c_TRNGMAX)),-10),0))</f>
        <v>0</v>
      </c>
      <c r="D675" s="7" t="n">
        <f aca="false">IF(((c_TMAP1IN)-(c_TFWD))=0,(0)+QUOTIENT(((c_TMAP1OUT)-(0)),2),QUOTIENT((((A675)-(c_TFWD))*((c_TMAP1OUT)-(0))+IF(((c_TMAP1OUT)-(0))&gt;=0,1,-1)*QUOTIENT(((c_TMAP1IN)-(c_TFWD)),2)),((c_TMAP1IN)-(c_TFWD)))+(0)+IF(((c_TMAP1OUT)-(0))&gt;=0,IF(IF(o_WRAP=1,MOD(((c_TMAP1IN)-(c_TFWD))*(((A675)-(c_TFWD))*((c_TMAP1OUT)-(0))+IF(((c_TMAP1OUT)-(0))&gt;=0,1,-1)*QUOTIENT(((c_TMAP1IN)-(c_TFWD)),2))+2147483648,4294967296)-2147483648,((c_TMAP1IN)-(c_TFWD))*(((A675)-(c_TFWD))*((c_TMAP1OUT)-(0))+IF(((c_TMAP1OUT)-(0))&gt;=0,1,-1)*QUOTIENT(((c_TMAP1IN)-(c_TFWD)),2)))&lt;0,-1,0),IF(IF(o_WRAP=1,MOD(((c_TMAP1IN)-(c_TFWD))*(((A675)-(c_TFWD))*((c_TMAP1OUT)-(0))+IF(((c_TMAP1OUT)-(0))&gt;=0,1,-1)*QUOTIENT(((c_TMAP1IN)-(c_TFWD)),2))+2147483648,4294967296)-2147483648,((c_TMAP1IN)-(c_TFWD))*(((A675)-(c_TFWD))*((c_TMAP1OUT)-(0))+IF(((c_TMAP1OUT)-(0))&gt;=0,1,-1)*QUOTIENT(((c_TMAP1IN)-(c_TFWD)),2)))&gt;=0,1,0)))</f>
        <v>513</v>
      </c>
      <c r="E675" s="7" t="n">
        <f aca="false">IF(((c_TMAP2IN)-(c_TMAP1IN))=0,(c_TMAP1OUT)+QUOTIENT(((c_TMAP2OUT)-(c_TMAP1OUT)),2),QUOTIENT((((A675)-(c_TMAP1IN))*((c_TMAP2OUT)-(c_TMAP1OUT))+IF(((c_TMAP2OUT)-(c_TMAP1OUT))&gt;=0,1,-1)*QUOTIENT(((c_TMAP2IN)-(c_TMAP1IN)),2)),((c_TMAP2IN)-(c_TMAP1IN)))+(c_TMAP1OUT)+IF(((c_TMAP2OUT)-(c_TMAP1OUT))&gt;=0,IF(IF(o_WRAP=1,MOD(((c_TMAP2IN)-(c_TMAP1IN))*(((A675)-(c_TMAP1IN))*((c_TMAP2OUT)-(c_TMAP1OUT))+IF(((c_TMAP2OUT)-(c_TMAP1OUT))&gt;=0,1,-1)*QUOTIENT(((c_TMAP2IN)-(c_TMAP1IN)),2))+2147483648,4294967296)-2147483648,((c_TMAP2IN)-(c_TMAP1IN))*(((A675)-(c_TMAP1IN))*((c_TMAP2OUT)-(c_TMAP1OUT))+IF(((c_TMAP2OUT)-(c_TMAP1OUT))&gt;=0,1,-1)*QUOTIENT(((c_TMAP2IN)-(c_TMAP1IN)),2)))&lt;0,-1,0),IF(IF(o_WRAP=1,MOD(((c_TMAP2IN)-(c_TMAP1IN))*(((A675)-(c_TMAP1IN))*((c_TMAP2OUT)-(c_TMAP1OUT))+IF(((c_TMAP2OUT)-(c_TMAP1OUT))&gt;=0,1,-1)*QUOTIENT(((c_TMAP2IN)-(c_TMAP1IN)),2))+2147483648,4294967296)-2147483648,((c_TMAP2IN)-(c_TMAP1IN))*(((A675)-(c_TMAP1IN))*((c_TMAP2OUT)-(c_TMAP1OUT))+IF(((c_TMAP2OUT)-(c_TMAP1OUT))&gt;=0,1,-1)*QUOTIENT(((c_TMAP2IN)-(c_TMAP1IN)),2)))&gt;=0,1,0)))</f>
        <v>298</v>
      </c>
      <c r="F675" s="7" t="n">
        <f aca="false">IF(((c_TMAP3IN)-(c_TMAP2IN))=0,(c_TMAP2OUT)+QUOTIENT(((c_TMAP3OUT)-(c_TMAP2OUT)),2),QUOTIENT((((A675)-(c_TMAP2IN))*((c_TMAP3OUT)-(c_TMAP2OUT))+IF(((c_TMAP3OUT)-(c_TMAP2OUT))&gt;=0,1,-1)*QUOTIENT(((c_TMAP3IN)-(c_TMAP2IN)),2)),((c_TMAP3IN)-(c_TMAP2IN)))+(c_TMAP2OUT)+IF(((c_TMAP3OUT)-(c_TMAP2OUT))&gt;=0,IF(IF(o_WRAP=1,MOD(((c_TMAP3IN)-(c_TMAP2IN))*(((A675)-(c_TMAP2IN))*((c_TMAP3OUT)-(c_TMAP2OUT))+IF(((c_TMAP3OUT)-(c_TMAP2OUT))&gt;=0,1,-1)*QUOTIENT(((c_TMAP3IN)-(c_TMAP2IN)),2))+2147483648,4294967296)-2147483648,((c_TMAP3IN)-(c_TMAP2IN))*(((A675)-(c_TMAP2IN))*((c_TMAP3OUT)-(c_TMAP2OUT))+IF(((c_TMAP3OUT)-(c_TMAP2OUT))&gt;=0,1,-1)*QUOTIENT(((c_TMAP3IN)-(c_TMAP2IN)),2)))&lt;0,-1,0),IF(IF(o_WRAP=1,MOD(((c_TMAP3IN)-(c_TMAP2IN))*(((A675)-(c_TMAP2IN))*((c_TMAP3OUT)-(c_TMAP2OUT))+IF(((c_TMAP3OUT)-(c_TMAP2OUT))&gt;=0,1,-1)*QUOTIENT(((c_TMAP3IN)-(c_TMAP2IN)),2))+2147483648,4294967296)-2147483648,((c_TMAP3IN)-(c_TMAP2IN))*(((A675)-(c_TMAP2IN))*((c_TMAP3OUT)-(c_TMAP2OUT))+IF(((c_TMAP3OUT)-(c_TMAP2OUT))&gt;=0,1,-1)*QUOTIENT(((c_TMAP3IN)-(c_TMAP2IN)),2)))&gt;=0,1,0)))</f>
        <v>424</v>
      </c>
      <c r="G675" s="7" t="n">
        <f aca="false">IF(((1000)-(c_TMAP3IN))=0,(c_TMAP3OUT)+QUOTIENT(((1000)-(c_TMAP3OUT)),2),QUOTIENT((((A675)-(c_TMAP3IN))*((1000)-(c_TMAP3OUT))+IF(((1000)-(c_TMAP3OUT))&gt;=0,1,-1)*QUOTIENT(((1000)-(c_TMAP3IN)),2)),((1000)-(c_TMAP3IN)))+(c_TMAP3OUT)+IF(((1000)-(c_TMAP3OUT))&gt;=0,IF(IF(o_WRAP=1,MOD(((1000)-(c_TMAP3IN))*(((A675)-(c_TMAP3IN))*((1000)-(c_TMAP3OUT))+IF(((1000)-(c_TMAP3OUT))&gt;=0,1,-1)*QUOTIENT(((1000)-(c_TMAP3IN)),2))+2147483648,4294967296)-2147483648,((1000)-(c_TMAP3IN))*(((A675)-(c_TMAP3IN))*((1000)-(c_TMAP3OUT))+IF(((1000)-(c_TMAP3OUT))&gt;=0,1,-1)*QUOTIENT(((1000)-(c_TMAP3IN)),2)))&lt;0,-1,0),IF(IF(o_WRAP=1,MOD(((1000)-(c_TMAP3IN))*(((A675)-(c_TMAP3IN))*((1000)-(c_TMAP3OUT))+IF(((1000)-(c_TMAP3OUT))&gt;=0,1,-1)*QUOTIENT(((1000)-(c_TMAP3IN)),2))+2147483648,4294967296)-2147483648,((1000)-(c_TMAP3IN))*(((A675)-(c_TMAP3IN))*((1000)-(c_TMAP3OUT))+IF(((1000)-(c_TMAP3OUT))&gt;=0,1,-1)*QUOTIENT(((1000)-(c_TMAP3IN)),2)))&gt;=0,1,0)))</f>
        <v>594</v>
      </c>
      <c r="H675" s="7" t="str">
        <f aca="false">IF(A675&gt;=c_TFWD,IF(AND(A675&gt;=c_TMAP3IN,c_TMAP3IN&lt;1000),"Seg4 map3-100%",IF(AND(A675&gt;=c_TMAP2IN,c_TMAP3IN&gt;c_TMAP2IN),"Seg3 map2-map3",IF(AND(A675&gt;=c_TMAP1IN,c_TMAP2IN&gt;c_TMAP1IN),"Seg2 map1-map2","Seg1 TFWD-map1"))),IF(AND(A675=0,c_TCREEP&gt;0),"Creep",IF(AND(A675&lt;=c_TRNGMIN,A675&gt;=c_TRNGMAX,c_TRNGMIN-c_TRNGMAX&lt;&gt;0),"Regen ramp","Coast (0)")))</f>
        <v>Seg4 map3-100%</v>
      </c>
      <c r="I675" s="7" t="n">
        <f aca="false">IF(A675&gt;=c_TFWD,IF(AND(A675&gt;=c_TMAP3IN,c_TMAP3IN&lt;1000),G675,IF(AND(A675&gt;=c_TMAP2IN,c_TMAP3IN&gt;c_TMAP2IN),F675,IF(AND(A675&gt;=c_TMAP1IN,c_TMAP2IN&gt;c_TMAP1IN),E675,D675))),C675)</f>
        <v>594</v>
      </c>
      <c r="J675" s="7" t="str">
        <f aca="false">IF(I675&lt;-1090,"TOO LOW",IF(I675&gt;1090,"TOO HIGH",""))</f>
        <v/>
      </c>
      <c r="K675" s="15" t="n">
        <f aca="false">IF(J675&lt;&gt;"",0,IF(I675&gt;979,1000,I675))</f>
        <v>594</v>
      </c>
      <c r="L675" s="7" t="n">
        <f aca="false">K675/10</f>
        <v>59.4</v>
      </c>
    </row>
    <row r="676" customFormat="false" ht="15" hidden="false" customHeight="false" outlineLevel="0" collapsed="false">
      <c r="A676" s="7" t="n">
        <v>671</v>
      </c>
      <c r="B676" s="7" t="n">
        <f aca="false">A676/10</f>
        <v>67.1</v>
      </c>
      <c r="C676" s="7" t="n">
        <f aca="false">IF(AND(A676=0,c_TCREEP&gt;0),10*c_TCREEP,IF(AND(A676&lt;=c_TRNGMIN,A676&gt;=c_TRNGMAX,c_TRNGMIN-c_TRNGMAX&lt;&gt;0),-10*c_TMINRN+QUOTIENT((c_TMAXRN-c_TMINRN)*(100-QUOTIENT((A676-c_TRNGMAX)*100,c_TRNGMIN-c_TRNGMAX)),-10),0))</f>
        <v>0</v>
      </c>
      <c r="D676" s="7" t="n">
        <f aca="false">IF(((c_TMAP1IN)-(c_TFWD))=0,(0)+QUOTIENT(((c_TMAP1OUT)-(0)),2),QUOTIENT((((A676)-(c_TFWD))*((c_TMAP1OUT)-(0))+IF(((c_TMAP1OUT)-(0))&gt;=0,1,-1)*QUOTIENT(((c_TMAP1IN)-(c_TFWD)),2)),((c_TMAP1IN)-(c_TFWD)))+(0)+IF(((c_TMAP1OUT)-(0))&gt;=0,IF(IF(o_WRAP=1,MOD(((c_TMAP1IN)-(c_TFWD))*(((A676)-(c_TFWD))*((c_TMAP1OUT)-(0))+IF(((c_TMAP1OUT)-(0))&gt;=0,1,-1)*QUOTIENT(((c_TMAP1IN)-(c_TFWD)),2))+2147483648,4294967296)-2147483648,((c_TMAP1IN)-(c_TFWD))*(((A676)-(c_TFWD))*((c_TMAP1OUT)-(0))+IF(((c_TMAP1OUT)-(0))&gt;=0,1,-1)*QUOTIENT(((c_TMAP1IN)-(c_TFWD)),2)))&lt;0,-1,0),IF(IF(o_WRAP=1,MOD(((c_TMAP1IN)-(c_TFWD))*(((A676)-(c_TFWD))*((c_TMAP1OUT)-(0))+IF(((c_TMAP1OUT)-(0))&gt;=0,1,-1)*QUOTIENT(((c_TMAP1IN)-(c_TFWD)),2))+2147483648,4294967296)-2147483648,((c_TMAP1IN)-(c_TFWD))*(((A676)-(c_TFWD))*((c_TMAP1OUT)-(0))+IF(((c_TMAP1OUT)-(0))&gt;=0,1,-1)*QUOTIENT(((c_TMAP1IN)-(c_TFWD)),2)))&gt;=0,1,0)))</f>
        <v>514</v>
      </c>
      <c r="E676" s="7" t="n">
        <f aca="false">IF(((c_TMAP2IN)-(c_TMAP1IN))=0,(c_TMAP1OUT)+QUOTIENT(((c_TMAP2OUT)-(c_TMAP1OUT)),2),QUOTIENT((((A676)-(c_TMAP1IN))*((c_TMAP2OUT)-(c_TMAP1OUT))+IF(((c_TMAP2OUT)-(c_TMAP1OUT))&gt;=0,1,-1)*QUOTIENT(((c_TMAP2IN)-(c_TMAP1IN)),2)),((c_TMAP2IN)-(c_TMAP1IN)))+(c_TMAP1OUT)+IF(((c_TMAP2OUT)-(c_TMAP1OUT))&gt;=0,IF(IF(o_WRAP=1,MOD(((c_TMAP2IN)-(c_TMAP1IN))*(((A676)-(c_TMAP1IN))*((c_TMAP2OUT)-(c_TMAP1OUT))+IF(((c_TMAP2OUT)-(c_TMAP1OUT))&gt;=0,1,-1)*QUOTIENT(((c_TMAP2IN)-(c_TMAP1IN)),2))+2147483648,4294967296)-2147483648,((c_TMAP2IN)-(c_TMAP1IN))*(((A676)-(c_TMAP1IN))*((c_TMAP2OUT)-(c_TMAP1OUT))+IF(((c_TMAP2OUT)-(c_TMAP1OUT))&gt;=0,1,-1)*QUOTIENT(((c_TMAP2IN)-(c_TMAP1IN)),2)))&lt;0,-1,0),IF(IF(o_WRAP=1,MOD(((c_TMAP2IN)-(c_TMAP1IN))*(((A676)-(c_TMAP1IN))*((c_TMAP2OUT)-(c_TMAP1OUT))+IF(((c_TMAP2OUT)-(c_TMAP1OUT))&gt;=0,1,-1)*QUOTIENT(((c_TMAP2IN)-(c_TMAP1IN)),2))+2147483648,4294967296)-2147483648,((c_TMAP2IN)-(c_TMAP1IN))*(((A676)-(c_TMAP1IN))*((c_TMAP2OUT)-(c_TMAP1OUT))+IF(((c_TMAP2OUT)-(c_TMAP1OUT))&gt;=0,1,-1)*QUOTIENT(((c_TMAP2IN)-(c_TMAP1IN)),2)))&gt;=0,1,0)))</f>
        <v>298</v>
      </c>
      <c r="F676" s="7" t="n">
        <f aca="false">IF(((c_TMAP3IN)-(c_TMAP2IN))=0,(c_TMAP2OUT)+QUOTIENT(((c_TMAP3OUT)-(c_TMAP2OUT)),2),QUOTIENT((((A676)-(c_TMAP2IN))*((c_TMAP3OUT)-(c_TMAP2OUT))+IF(((c_TMAP3OUT)-(c_TMAP2OUT))&gt;=0,1,-1)*QUOTIENT(((c_TMAP3IN)-(c_TMAP2IN)),2)),((c_TMAP3IN)-(c_TMAP2IN)))+(c_TMAP2OUT)+IF(((c_TMAP3OUT)-(c_TMAP2OUT))&gt;=0,IF(IF(o_WRAP=1,MOD(((c_TMAP3IN)-(c_TMAP2IN))*(((A676)-(c_TMAP2IN))*((c_TMAP3OUT)-(c_TMAP2OUT))+IF(((c_TMAP3OUT)-(c_TMAP2OUT))&gt;=0,1,-1)*QUOTIENT(((c_TMAP3IN)-(c_TMAP2IN)),2))+2147483648,4294967296)-2147483648,((c_TMAP3IN)-(c_TMAP2IN))*(((A676)-(c_TMAP2IN))*((c_TMAP3OUT)-(c_TMAP2OUT))+IF(((c_TMAP3OUT)-(c_TMAP2OUT))&gt;=0,1,-1)*QUOTIENT(((c_TMAP3IN)-(c_TMAP2IN)),2)))&lt;0,-1,0),IF(IF(o_WRAP=1,MOD(((c_TMAP3IN)-(c_TMAP2IN))*(((A676)-(c_TMAP2IN))*((c_TMAP3OUT)-(c_TMAP2OUT))+IF(((c_TMAP3OUT)-(c_TMAP2OUT))&gt;=0,1,-1)*QUOTIENT(((c_TMAP3IN)-(c_TMAP2IN)),2))+2147483648,4294967296)-2147483648,((c_TMAP3IN)-(c_TMAP2IN))*(((A676)-(c_TMAP2IN))*((c_TMAP3OUT)-(c_TMAP2OUT))+IF(((c_TMAP3OUT)-(c_TMAP2OUT))&gt;=0,1,-1)*QUOTIENT(((c_TMAP3IN)-(c_TMAP2IN)),2)))&gt;=0,1,0)))</f>
        <v>425</v>
      </c>
      <c r="G676" s="7" t="n">
        <f aca="false">IF(((1000)-(c_TMAP3IN))=0,(c_TMAP3OUT)+QUOTIENT(((1000)-(c_TMAP3OUT)),2),QUOTIENT((((A676)-(c_TMAP3IN))*((1000)-(c_TMAP3OUT))+IF(((1000)-(c_TMAP3OUT))&gt;=0,1,-1)*QUOTIENT(((1000)-(c_TMAP3IN)),2)),((1000)-(c_TMAP3IN)))+(c_TMAP3OUT)+IF(((1000)-(c_TMAP3OUT))&gt;=0,IF(IF(o_WRAP=1,MOD(((1000)-(c_TMAP3IN))*(((A676)-(c_TMAP3IN))*((1000)-(c_TMAP3OUT))+IF(((1000)-(c_TMAP3OUT))&gt;=0,1,-1)*QUOTIENT(((1000)-(c_TMAP3IN)),2))+2147483648,4294967296)-2147483648,((1000)-(c_TMAP3IN))*(((A676)-(c_TMAP3IN))*((1000)-(c_TMAP3OUT))+IF(((1000)-(c_TMAP3OUT))&gt;=0,1,-1)*QUOTIENT(((1000)-(c_TMAP3IN)),2)))&lt;0,-1,0),IF(IF(o_WRAP=1,MOD(((1000)-(c_TMAP3IN))*(((A676)-(c_TMAP3IN))*((1000)-(c_TMAP3OUT))+IF(((1000)-(c_TMAP3OUT))&gt;=0,1,-1)*QUOTIENT(((1000)-(c_TMAP3IN)),2))+2147483648,4294967296)-2147483648,((1000)-(c_TMAP3IN))*(((A676)-(c_TMAP3IN))*((1000)-(c_TMAP3OUT))+IF(((1000)-(c_TMAP3OUT))&gt;=0,1,-1)*QUOTIENT(((1000)-(c_TMAP3IN)),2)))&gt;=0,1,0)))</f>
        <v>595</v>
      </c>
      <c r="H676" s="7" t="str">
        <f aca="false">IF(A676&gt;=c_TFWD,IF(AND(A676&gt;=c_TMAP3IN,c_TMAP3IN&lt;1000),"Seg4 map3-100%",IF(AND(A676&gt;=c_TMAP2IN,c_TMAP3IN&gt;c_TMAP2IN),"Seg3 map2-map3",IF(AND(A676&gt;=c_TMAP1IN,c_TMAP2IN&gt;c_TMAP1IN),"Seg2 map1-map2","Seg1 TFWD-map1"))),IF(AND(A676=0,c_TCREEP&gt;0),"Creep",IF(AND(A676&lt;=c_TRNGMIN,A676&gt;=c_TRNGMAX,c_TRNGMIN-c_TRNGMAX&lt;&gt;0),"Regen ramp","Coast (0)")))</f>
        <v>Seg4 map3-100%</v>
      </c>
      <c r="I676" s="7" t="n">
        <f aca="false">IF(A676&gt;=c_TFWD,IF(AND(A676&gt;=c_TMAP3IN,c_TMAP3IN&lt;1000),G676,IF(AND(A676&gt;=c_TMAP2IN,c_TMAP3IN&gt;c_TMAP2IN),F676,IF(AND(A676&gt;=c_TMAP1IN,c_TMAP2IN&gt;c_TMAP1IN),E676,D676))),C676)</f>
        <v>595</v>
      </c>
      <c r="J676" s="7" t="str">
        <f aca="false">IF(I676&lt;-1090,"TOO LOW",IF(I676&gt;1090,"TOO HIGH",""))</f>
        <v/>
      </c>
      <c r="K676" s="15" t="n">
        <f aca="false">IF(J676&lt;&gt;"",0,IF(I676&gt;979,1000,I676))</f>
        <v>595</v>
      </c>
      <c r="L676" s="7" t="n">
        <f aca="false">K676/10</f>
        <v>59.5</v>
      </c>
    </row>
    <row r="677" customFormat="false" ht="15" hidden="false" customHeight="false" outlineLevel="0" collapsed="false">
      <c r="A677" s="7" t="n">
        <v>672</v>
      </c>
      <c r="B677" s="7" t="n">
        <f aca="false">A677/10</f>
        <v>67.2</v>
      </c>
      <c r="C677" s="7" t="n">
        <f aca="false">IF(AND(A677=0,c_TCREEP&gt;0),10*c_TCREEP,IF(AND(A677&lt;=c_TRNGMIN,A677&gt;=c_TRNGMAX,c_TRNGMIN-c_TRNGMAX&lt;&gt;0),-10*c_TMINRN+QUOTIENT((c_TMAXRN-c_TMINRN)*(100-QUOTIENT((A677-c_TRNGMAX)*100,c_TRNGMIN-c_TRNGMAX)),-10),0))</f>
        <v>0</v>
      </c>
      <c r="D677" s="7" t="n">
        <f aca="false">IF(((c_TMAP1IN)-(c_TFWD))=0,(0)+QUOTIENT(((c_TMAP1OUT)-(0)),2),QUOTIENT((((A677)-(c_TFWD))*((c_TMAP1OUT)-(0))+IF(((c_TMAP1OUT)-(0))&gt;=0,1,-1)*QUOTIENT(((c_TMAP1IN)-(c_TFWD)),2)),((c_TMAP1IN)-(c_TFWD)))+(0)+IF(((c_TMAP1OUT)-(0))&gt;=0,IF(IF(o_WRAP=1,MOD(((c_TMAP1IN)-(c_TFWD))*(((A677)-(c_TFWD))*((c_TMAP1OUT)-(0))+IF(((c_TMAP1OUT)-(0))&gt;=0,1,-1)*QUOTIENT(((c_TMAP1IN)-(c_TFWD)),2))+2147483648,4294967296)-2147483648,((c_TMAP1IN)-(c_TFWD))*(((A677)-(c_TFWD))*((c_TMAP1OUT)-(0))+IF(((c_TMAP1OUT)-(0))&gt;=0,1,-1)*QUOTIENT(((c_TMAP1IN)-(c_TFWD)),2)))&lt;0,-1,0),IF(IF(o_WRAP=1,MOD(((c_TMAP1IN)-(c_TFWD))*(((A677)-(c_TFWD))*((c_TMAP1OUT)-(0))+IF(((c_TMAP1OUT)-(0))&gt;=0,1,-1)*QUOTIENT(((c_TMAP1IN)-(c_TFWD)),2))+2147483648,4294967296)-2147483648,((c_TMAP1IN)-(c_TFWD))*(((A677)-(c_TFWD))*((c_TMAP1OUT)-(0))+IF(((c_TMAP1OUT)-(0))&gt;=0,1,-1)*QUOTIENT(((c_TMAP1IN)-(c_TFWD)),2)))&gt;=0,1,0)))</f>
        <v>515</v>
      </c>
      <c r="E677" s="7" t="n">
        <f aca="false">IF(((c_TMAP2IN)-(c_TMAP1IN))=0,(c_TMAP1OUT)+QUOTIENT(((c_TMAP2OUT)-(c_TMAP1OUT)),2),QUOTIENT((((A677)-(c_TMAP1IN))*((c_TMAP2OUT)-(c_TMAP1OUT))+IF(((c_TMAP2OUT)-(c_TMAP1OUT))&gt;=0,1,-1)*QUOTIENT(((c_TMAP2IN)-(c_TMAP1IN)),2)),((c_TMAP2IN)-(c_TMAP1IN)))+(c_TMAP1OUT)+IF(((c_TMAP2OUT)-(c_TMAP1OUT))&gt;=0,IF(IF(o_WRAP=1,MOD(((c_TMAP2IN)-(c_TMAP1IN))*(((A677)-(c_TMAP1IN))*((c_TMAP2OUT)-(c_TMAP1OUT))+IF(((c_TMAP2OUT)-(c_TMAP1OUT))&gt;=0,1,-1)*QUOTIENT(((c_TMAP2IN)-(c_TMAP1IN)),2))+2147483648,4294967296)-2147483648,((c_TMAP2IN)-(c_TMAP1IN))*(((A677)-(c_TMAP1IN))*((c_TMAP2OUT)-(c_TMAP1OUT))+IF(((c_TMAP2OUT)-(c_TMAP1OUT))&gt;=0,1,-1)*QUOTIENT(((c_TMAP2IN)-(c_TMAP1IN)),2)))&lt;0,-1,0),IF(IF(o_WRAP=1,MOD(((c_TMAP2IN)-(c_TMAP1IN))*(((A677)-(c_TMAP1IN))*((c_TMAP2OUT)-(c_TMAP1OUT))+IF(((c_TMAP2OUT)-(c_TMAP1OUT))&gt;=0,1,-1)*QUOTIENT(((c_TMAP2IN)-(c_TMAP1IN)),2))+2147483648,4294967296)-2147483648,((c_TMAP2IN)-(c_TMAP1IN))*(((A677)-(c_TMAP1IN))*((c_TMAP2OUT)-(c_TMAP1OUT))+IF(((c_TMAP2OUT)-(c_TMAP1OUT))&gt;=0,1,-1)*QUOTIENT(((c_TMAP2IN)-(c_TMAP1IN)),2)))&gt;=0,1,0)))</f>
        <v>299</v>
      </c>
      <c r="F677" s="7" t="n">
        <f aca="false">IF(((c_TMAP3IN)-(c_TMAP2IN))=0,(c_TMAP2OUT)+QUOTIENT(((c_TMAP3OUT)-(c_TMAP2OUT)),2),QUOTIENT((((A677)-(c_TMAP2IN))*((c_TMAP3OUT)-(c_TMAP2OUT))+IF(((c_TMAP3OUT)-(c_TMAP2OUT))&gt;=0,1,-1)*QUOTIENT(((c_TMAP3IN)-(c_TMAP2IN)),2)),((c_TMAP3IN)-(c_TMAP2IN)))+(c_TMAP2OUT)+IF(((c_TMAP3OUT)-(c_TMAP2OUT))&gt;=0,IF(IF(o_WRAP=1,MOD(((c_TMAP3IN)-(c_TMAP2IN))*(((A677)-(c_TMAP2IN))*((c_TMAP3OUT)-(c_TMAP2OUT))+IF(((c_TMAP3OUT)-(c_TMAP2OUT))&gt;=0,1,-1)*QUOTIENT(((c_TMAP3IN)-(c_TMAP2IN)),2))+2147483648,4294967296)-2147483648,((c_TMAP3IN)-(c_TMAP2IN))*(((A677)-(c_TMAP2IN))*((c_TMAP3OUT)-(c_TMAP2OUT))+IF(((c_TMAP3OUT)-(c_TMAP2OUT))&gt;=0,1,-1)*QUOTIENT(((c_TMAP3IN)-(c_TMAP2IN)),2)))&lt;0,-1,0),IF(IF(o_WRAP=1,MOD(((c_TMAP3IN)-(c_TMAP2IN))*(((A677)-(c_TMAP2IN))*((c_TMAP3OUT)-(c_TMAP2OUT))+IF(((c_TMAP3OUT)-(c_TMAP2OUT))&gt;=0,1,-1)*QUOTIENT(((c_TMAP3IN)-(c_TMAP2IN)),2))+2147483648,4294967296)-2147483648,((c_TMAP3IN)-(c_TMAP2IN))*(((A677)-(c_TMAP2IN))*((c_TMAP3OUT)-(c_TMAP2OUT))+IF(((c_TMAP3OUT)-(c_TMAP2OUT))&gt;=0,1,-1)*QUOTIENT(((c_TMAP3IN)-(c_TMAP2IN)),2)))&gt;=0,1,0)))</f>
        <v>425</v>
      </c>
      <c r="G677" s="7" t="n">
        <f aca="false">IF(((1000)-(c_TMAP3IN))=0,(c_TMAP3OUT)+QUOTIENT(((1000)-(c_TMAP3OUT)),2),QUOTIENT((((A677)-(c_TMAP3IN))*((1000)-(c_TMAP3OUT))+IF(((1000)-(c_TMAP3OUT))&gt;=0,1,-1)*QUOTIENT(((1000)-(c_TMAP3IN)),2)),((1000)-(c_TMAP3IN)))+(c_TMAP3OUT)+IF(((1000)-(c_TMAP3OUT))&gt;=0,IF(IF(o_WRAP=1,MOD(((1000)-(c_TMAP3IN))*(((A677)-(c_TMAP3IN))*((1000)-(c_TMAP3OUT))+IF(((1000)-(c_TMAP3OUT))&gt;=0,1,-1)*QUOTIENT(((1000)-(c_TMAP3IN)),2))+2147483648,4294967296)-2147483648,((1000)-(c_TMAP3IN))*(((A677)-(c_TMAP3IN))*((1000)-(c_TMAP3OUT))+IF(((1000)-(c_TMAP3OUT))&gt;=0,1,-1)*QUOTIENT(((1000)-(c_TMAP3IN)),2)))&lt;0,-1,0),IF(IF(o_WRAP=1,MOD(((1000)-(c_TMAP3IN))*(((A677)-(c_TMAP3IN))*((1000)-(c_TMAP3OUT))+IF(((1000)-(c_TMAP3OUT))&gt;=0,1,-1)*QUOTIENT(((1000)-(c_TMAP3IN)),2))+2147483648,4294967296)-2147483648,((1000)-(c_TMAP3IN))*(((A677)-(c_TMAP3IN))*((1000)-(c_TMAP3OUT))+IF(((1000)-(c_TMAP3OUT))&gt;=0,1,-1)*QUOTIENT(((1000)-(c_TMAP3IN)),2)))&gt;=0,1,0)))</f>
        <v>596</v>
      </c>
      <c r="H677" s="7" t="str">
        <f aca="false">IF(A677&gt;=c_TFWD,IF(AND(A677&gt;=c_TMAP3IN,c_TMAP3IN&lt;1000),"Seg4 map3-100%",IF(AND(A677&gt;=c_TMAP2IN,c_TMAP3IN&gt;c_TMAP2IN),"Seg3 map2-map3",IF(AND(A677&gt;=c_TMAP1IN,c_TMAP2IN&gt;c_TMAP1IN),"Seg2 map1-map2","Seg1 TFWD-map1"))),IF(AND(A677=0,c_TCREEP&gt;0),"Creep",IF(AND(A677&lt;=c_TRNGMIN,A677&gt;=c_TRNGMAX,c_TRNGMIN-c_TRNGMAX&lt;&gt;0),"Regen ramp","Coast (0)")))</f>
        <v>Seg4 map3-100%</v>
      </c>
      <c r="I677" s="7" t="n">
        <f aca="false">IF(A677&gt;=c_TFWD,IF(AND(A677&gt;=c_TMAP3IN,c_TMAP3IN&lt;1000),G677,IF(AND(A677&gt;=c_TMAP2IN,c_TMAP3IN&gt;c_TMAP2IN),F677,IF(AND(A677&gt;=c_TMAP1IN,c_TMAP2IN&gt;c_TMAP1IN),E677,D677))),C677)</f>
        <v>596</v>
      </c>
      <c r="J677" s="7" t="str">
        <f aca="false">IF(I677&lt;-1090,"TOO LOW",IF(I677&gt;1090,"TOO HIGH",""))</f>
        <v/>
      </c>
      <c r="K677" s="15" t="n">
        <f aca="false">IF(J677&lt;&gt;"",0,IF(I677&gt;979,1000,I677))</f>
        <v>596</v>
      </c>
      <c r="L677" s="7" t="n">
        <f aca="false">K677/10</f>
        <v>59.6</v>
      </c>
    </row>
    <row r="678" customFormat="false" ht="15" hidden="false" customHeight="false" outlineLevel="0" collapsed="false">
      <c r="A678" s="7" t="n">
        <v>673</v>
      </c>
      <c r="B678" s="7" t="n">
        <f aca="false">A678/10</f>
        <v>67.3</v>
      </c>
      <c r="C678" s="7" t="n">
        <f aca="false">IF(AND(A678=0,c_TCREEP&gt;0),10*c_TCREEP,IF(AND(A678&lt;=c_TRNGMIN,A678&gt;=c_TRNGMAX,c_TRNGMIN-c_TRNGMAX&lt;&gt;0),-10*c_TMINRN+QUOTIENT((c_TMAXRN-c_TMINRN)*(100-QUOTIENT((A678-c_TRNGMAX)*100,c_TRNGMIN-c_TRNGMAX)),-10),0))</f>
        <v>0</v>
      </c>
      <c r="D678" s="7" t="n">
        <f aca="false">IF(((c_TMAP1IN)-(c_TFWD))=0,(0)+QUOTIENT(((c_TMAP1OUT)-(0)),2),QUOTIENT((((A678)-(c_TFWD))*((c_TMAP1OUT)-(0))+IF(((c_TMAP1OUT)-(0))&gt;=0,1,-1)*QUOTIENT(((c_TMAP1IN)-(c_TFWD)),2)),((c_TMAP1IN)-(c_TFWD)))+(0)+IF(((c_TMAP1OUT)-(0))&gt;=0,IF(IF(o_WRAP=1,MOD(((c_TMAP1IN)-(c_TFWD))*(((A678)-(c_TFWD))*((c_TMAP1OUT)-(0))+IF(((c_TMAP1OUT)-(0))&gt;=0,1,-1)*QUOTIENT(((c_TMAP1IN)-(c_TFWD)),2))+2147483648,4294967296)-2147483648,((c_TMAP1IN)-(c_TFWD))*(((A678)-(c_TFWD))*((c_TMAP1OUT)-(0))+IF(((c_TMAP1OUT)-(0))&gt;=0,1,-1)*QUOTIENT(((c_TMAP1IN)-(c_TFWD)),2)))&lt;0,-1,0),IF(IF(o_WRAP=1,MOD(((c_TMAP1IN)-(c_TFWD))*(((A678)-(c_TFWD))*((c_TMAP1OUT)-(0))+IF(((c_TMAP1OUT)-(0))&gt;=0,1,-1)*QUOTIENT(((c_TMAP1IN)-(c_TFWD)),2))+2147483648,4294967296)-2147483648,((c_TMAP1IN)-(c_TFWD))*(((A678)-(c_TFWD))*((c_TMAP1OUT)-(0))+IF(((c_TMAP1OUT)-(0))&gt;=0,1,-1)*QUOTIENT(((c_TMAP1IN)-(c_TFWD)),2)))&gt;=0,1,0)))</f>
        <v>516</v>
      </c>
      <c r="E678" s="7" t="n">
        <f aca="false">IF(((c_TMAP2IN)-(c_TMAP1IN))=0,(c_TMAP1OUT)+QUOTIENT(((c_TMAP2OUT)-(c_TMAP1OUT)),2),QUOTIENT((((A678)-(c_TMAP1IN))*((c_TMAP2OUT)-(c_TMAP1OUT))+IF(((c_TMAP2OUT)-(c_TMAP1OUT))&gt;=0,1,-1)*QUOTIENT(((c_TMAP2IN)-(c_TMAP1IN)),2)),((c_TMAP2IN)-(c_TMAP1IN)))+(c_TMAP1OUT)+IF(((c_TMAP2OUT)-(c_TMAP1OUT))&gt;=0,IF(IF(o_WRAP=1,MOD(((c_TMAP2IN)-(c_TMAP1IN))*(((A678)-(c_TMAP1IN))*((c_TMAP2OUT)-(c_TMAP1OUT))+IF(((c_TMAP2OUT)-(c_TMAP1OUT))&gt;=0,1,-1)*QUOTIENT(((c_TMAP2IN)-(c_TMAP1IN)),2))+2147483648,4294967296)-2147483648,((c_TMAP2IN)-(c_TMAP1IN))*(((A678)-(c_TMAP1IN))*((c_TMAP2OUT)-(c_TMAP1OUT))+IF(((c_TMAP2OUT)-(c_TMAP1OUT))&gt;=0,1,-1)*QUOTIENT(((c_TMAP2IN)-(c_TMAP1IN)),2)))&lt;0,-1,0),IF(IF(o_WRAP=1,MOD(((c_TMAP2IN)-(c_TMAP1IN))*(((A678)-(c_TMAP1IN))*((c_TMAP2OUT)-(c_TMAP1OUT))+IF(((c_TMAP2OUT)-(c_TMAP1OUT))&gt;=0,1,-1)*QUOTIENT(((c_TMAP2IN)-(c_TMAP1IN)),2))+2147483648,4294967296)-2147483648,((c_TMAP2IN)-(c_TMAP1IN))*(((A678)-(c_TMAP1IN))*((c_TMAP2OUT)-(c_TMAP1OUT))+IF(((c_TMAP2OUT)-(c_TMAP1OUT))&gt;=0,1,-1)*QUOTIENT(((c_TMAP2IN)-(c_TMAP1IN)),2)))&gt;=0,1,0)))</f>
        <v>299</v>
      </c>
      <c r="F678" s="7" t="n">
        <f aca="false">IF(((c_TMAP3IN)-(c_TMAP2IN))=0,(c_TMAP2OUT)+QUOTIENT(((c_TMAP3OUT)-(c_TMAP2OUT)),2),QUOTIENT((((A678)-(c_TMAP2IN))*((c_TMAP3OUT)-(c_TMAP2OUT))+IF(((c_TMAP3OUT)-(c_TMAP2OUT))&gt;=0,1,-1)*QUOTIENT(((c_TMAP3IN)-(c_TMAP2IN)),2)),((c_TMAP3IN)-(c_TMAP2IN)))+(c_TMAP2OUT)+IF(((c_TMAP3OUT)-(c_TMAP2OUT))&gt;=0,IF(IF(o_WRAP=1,MOD(((c_TMAP3IN)-(c_TMAP2IN))*(((A678)-(c_TMAP2IN))*((c_TMAP3OUT)-(c_TMAP2OUT))+IF(((c_TMAP3OUT)-(c_TMAP2OUT))&gt;=0,1,-1)*QUOTIENT(((c_TMAP3IN)-(c_TMAP2IN)),2))+2147483648,4294967296)-2147483648,((c_TMAP3IN)-(c_TMAP2IN))*(((A678)-(c_TMAP2IN))*((c_TMAP3OUT)-(c_TMAP2OUT))+IF(((c_TMAP3OUT)-(c_TMAP2OUT))&gt;=0,1,-1)*QUOTIENT(((c_TMAP3IN)-(c_TMAP2IN)),2)))&lt;0,-1,0),IF(IF(o_WRAP=1,MOD(((c_TMAP3IN)-(c_TMAP2IN))*(((A678)-(c_TMAP2IN))*((c_TMAP3OUT)-(c_TMAP2OUT))+IF(((c_TMAP3OUT)-(c_TMAP2OUT))&gt;=0,1,-1)*QUOTIENT(((c_TMAP3IN)-(c_TMAP2IN)),2))+2147483648,4294967296)-2147483648,((c_TMAP3IN)-(c_TMAP2IN))*(((A678)-(c_TMAP2IN))*((c_TMAP3OUT)-(c_TMAP2OUT))+IF(((c_TMAP3OUT)-(c_TMAP2OUT))&gt;=0,1,-1)*QUOTIENT(((c_TMAP3IN)-(c_TMAP2IN)),2)))&gt;=0,1,0)))</f>
        <v>426</v>
      </c>
      <c r="G678" s="7" t="n">
        <f aca="false">IF(((1000)-(c_TMAP3IN))=0,(c_TMAP3OUT)+QUOTIENT(((1000)-(c_TMAP3OUT)),2),QUOTIENT((((A678)-(c_TMAP3IN))*((1000)-(c_TMAP3OUT))+IF(((1000)-(c_TMAP3OUT))&gt;=0,1,-1)*QUOTIENT(((1000)-(c_TMAP3IN)),2)),((1000)-(c_TMAP3IN)))+(c_TMAP3OUT)+IF(((1000)-(c_TMAP3OUT))&gt;=0,IF(IF(o_WRAP=1,MOD(((1000)-(c_TMAP3IN))*(((A678)-(c_TMAP3IN))*((1000)-(c_TMAP3OUT))+IF(((1000)-(c_TMAP3OUT))&gt;=0,1,-1)*QUOTIENT(((1000)-(c_TMAP3IN)),2))+2147483648,4294967296)-2147483648,((1000)-(c_TMAP3IN))*(((A678)-(c_TMAP3IN))*((1000)-(c_TMAP3OUT))+IF(((1000)-(c_TMAP3OUT))&gt;=0,1,-1)*QUOTIENT(((1000)-(c_TMAP3IN)),2)))&lt;0,-1,0),IF(IF(o_WRAP=1,MOD(((1000)-(c_TMAP3IN))*(((A678)-(c_TMAP3IN))*((1000)-(c_TMAP3OUT))+IF(((1000)-(c_TMAP3OUT))&gt;=0,1,-1)*QUOTIENT(((1000)-(c_TMAP3IN)),2))+2147483648,4294967296)-2147483648,((1000)-(c_TMAP3IN))*(((A678)-(c_TMAP3IN))*((1000)-(c_TMAP3OUT))+IF(((1000)-(c_TMAP3OUT))&gt;=0,1,-1)*QUOTIENT(((1000)-(c_TMAP3IN)),2)))&gt;=0,1,0)))</f>
        <v>598</v>
      </c>
      <c r="H678" s="7" t="str">
        <f aca="false">IF(A678&gt;=c_TFWD,IF(AND(A678&gt;=c_TMAP3IN,c_TMAP3IN&lt;1000),"Seg4 map3-100%",IF(AND(A678&gt;=c_TMAP2IN,c_TMAP3IN&gt;c_TMAP2IN),"Seg3 map2-map3",IF(AND(A678&gt;=c_TMAP1IN,c_TMAP2IN&gt;c_TMAP1IN),"Seg2 map1-map2","Seg1 TFWD-map1"))),IF(AND(A678=0,c_TCREEP&gt;0),"Creep",IF(AND(A678&lt;=c_TRNGMIN,A678&gt;=c_TRNGMAX,c_TRNGMIN-c_TRNGMAX&lt;&gt;0),"Regen ramp","Coast (0)")))</f>
        <v>Seg4 map3-100%</v>
      </c>
      <c r="I678" s="7" t="n">
        <f aca="false">IF(A678&gt;=c_TFWD,IF(AND(A678&gt;=c_TMAP3IN,c_TMAP3IN&lt;1000),G678,IF(AND(A678&gt;=c_TMAP2IN,c_TMAP3IN&gt;c_TMAP2IN),F678,IF(AND(A678&gt;=c_TMAP1IN,c_TMAP2IN&gt;c_TMAP1IN),E678,D678))),C678)</f>
        <v>598</v>
      </c>
      <c r="J678" s="7" t="str">
        <f aca="false">IF(I678&lt;-1090,"TOO LOW",IF(I678&gt;1090,"TOO HIGH",""))</f>
        <v/>
      </c>
      <c r="K678" s="15" t="n">
        <f aca="false">IF(J678&lt;&gt;"",0,IF(I678&gt;979,1000,I678))</f>
        <v>598</v>
      </c>
      <c r="L678" s="7" t="n">
        <f aca="false">K678/10</f>
        <v>59.8</v>
      </c>
    </row>
    <row r="679" customFormat="false" ht="15" hidden="false" customHeight="false" outlineLevel="0" collapsed="false">
      <c r="A679" s="7" t="n">
        <v>674</v>
      </c>
      <c r="B679" s="7" t="n">
        <f aca="false">A679/10</f>
        <v>67.4</v>
      </c>
      <c r="C679" s="7" t="n">
        <f aca="false">IF(AND(A679=0,c_TCREEP&gt;0),10*c_TCREEP,IF(AND(A679&lt;=c_TRNGMIN,A679&gt;=c_TRNGMAX,c_TRNGMIN-c_TRNGMAX&lt;&gt;0),-10*c_TMINRN+QUOTIENT((c_TMAXRN-c_TMINRN)*(100-QUOTIENT((A679-c_TRNGMAX)*100,c_TRNGMIN-c_TRNGMAX)),-10),0))</f>
        <v>0</v>
      </c>
      <c r="D679" s="7" t="n">
        <f aca="false">IF(((c_TMAP1IN)-(c_TFWD))=0,(0)+QUOTIENT(((c_TMAP1OUT)-(0)),2),QUOTIENT((((A679)-(c_TFWD))*((c_TMAP1OUT)-(0))+IF(((c_TMAP1OUT)-(0))&gt;=0,1,-1)*QUOTIENT(((c_TMAP1IN)-(c_TFWD)),2)),((c_TMAP1IN)-(c_TFWD)))+(0)+IF(((c_TMAP1OUT)-(0))&gt;=0,IF(IF(o_WRAP=1,MOD(((c_TMAP1IN)-(c_TFWD))*(((A679)-(c_TFWD))*((c_TMAP1OUT)-(0))+IF(((c_TMAP1OUT)-(0))&gt;=0,1,-1)*QUOTIENT(((c_TMAP1IN)-(c_TFWD)),2))+2147483648,4294967296)-2147483648,((c_TMAP1IN)-(c_TFWD))*(((A679)-(c_TFWD))*((c_TMAP1OUT)-(0))+IF(((c_TMAP1OUT)-(0))&gt;=0,1,-1)*QUOTIENT(((c_TMAP1IN)-(c_TFWD)),2)))&lt;0,-1,0),IF(IF(o_WRAP=1,MOD(((c_TMAP1IN)-(c_TFWD))*(((A679)-(c_TFWD))*((c_TMAP1OUT)-(0))+IF(((c_TMAP1OUT)-(0))&gt;=0,1,-1)*QUOTIENT(((c_TMAP1IN)-(c_TFWD)),2))+2147483648,4294967296)-2147483648,((c_TMAP1IN)-(c_TFWD))*(((A679)-(c_TFWD))*((c_TMAP1OUT)-(0))+IF(((c_TMAP1OUT)-(0))&gt;=0,1,-1)*QUOTIENT(((c_TMAP1IN)-(c_TFWD)),2)))&gt;=0,1,0)))</f>
        <v>516</v>
      </c>
      <c r="E679" s="7" t="n">
        <f aca="false">IF(((c_TMAP2IN)-(c_TMAP1IN))=0,(c_TMAP1OUT)+QUOTIENT(((c_TMAP2OUT)-(c_TMAP1OUT)),2),QUOTIENT((((A679)-(c_TMAP1IN))*((c_TMAP2OUT)-(c_TMAP1OUT))+IF(((c_TMAP2OUT)-(c_TMAP1OUT))&gt;=0,1,-1)*QUOTIENT(((c_TMAP2IN)-(c_TMAP1IN)),2)),((c_TMAP2IN)-(c_TMAP1IN)))+(c_TMAP1OUT)+IF(((c_TMAP2OUT)-(c_TMAP1OUT))&gt;=0,IF(IF(o_WRAP=1,MOD(((c_TMAP2IN)-(c_TMAP1IN))*(((A679)-(c_TMAP1IN))*((c_TMAP2OUT)-(c_TMAP1OUT))+IF(((c_TMAP2OUT)-(c_TMAP1OUT))&gt;=0,1,-1)*QUOTIENT(((c_TMAP2IN)-(c_TMAP1IN)),2))+2147483648,4294967296)-2147483648,((c_TMAP2IN)-(c_TMAP1IN))*(((A679)-(c_TMAP1IN))*((c_TMAP2OUT)-(c_TMAP1OUT))+IF(((c_TMAP2OUT)-(c_TMAP1OUT))&gt;=0,1,-1)*QUOTIENT(((c_TMAP2IN)-(c_TMAP1IN)),2)))&lt;0,-1,0),IF(IF(o_WRAP=1,MOD(((c_TMAP2IN)-(c_TMAP1IN))*(((A679)-(c_TMAP1IN))*((c_TMAP2OUT)-(c_TMAP1OUT))+IF(((c_TMAP2OUT)-(c_TMAP1OUT))&gt;=0,1,-1)*QUOTIENT(((c_TMAP2IN)-(c_TMAP1IN)),2))+2147483648,4294967296)-2147483648,((c_TMAP2IN)-(c_TMAP1IN))*(((A679)-(c_TMAP1IN))*((c_TMAP2OUT)-(c_TMAP1OUT))+IF(((c_TMAP2OUT)-(c_TMAP1OUT))&gt;=0,1,-1)*QUOTIENT(((c_TMAP2IN)-(c_TMAP1IN)),2)))&gt;=0,1,0)))</f>
        <v>300</v>
      </c>
      <c r="F679" s="7" t="n">
        <f aca="false">IF(((c_TMAP3IN)-(c_TMAP2IN))=0,(c_TMAP2OUT)+QUOTIENT(((c_TMAP3OUT)-(c_TMAP2OUT)),2),QUOTIENT((((A679)-(c_TMAP2IN))*((c_TMAP3OUT)-(c_TMAP2OUT))+IF(((c_TMAP3OUT)-(c_TMAP2OUT))&gt;=0,1,-1)*QUOTIENT(((c_TMAP3IN)-(c_TMAP2IN)),2)),((c_TMAP3IN)-(c_TMAP2IN)))+(c_TMAP2OUT)+IF(((c_TMAP3OUT)-(c_TMAP2OUT))&gt;=0,IF(IF(o_WRAP=1,MOD(((c_TMAP3IN)-(c_TMAP2IN))*(((A679)-(c_TMAP2IN))*((c_TMAP3OUT)-(c_TMAP2OUT))+IF(((c_TMAP3OUT)-(c_TMAP2OUT))&gt;=0,1,-1)*QUOTIENT(((c_TMAP3IN)-(c_TMAP2IN)),2))+2147483648,4294967296)-2147483648,((c_TMAP3IN)-(c_TMAP2IN))*(((A679)-(c_TMAP2IN))*((c_TMAP3OUT)-(c_TMAP2OUT))+IF(((c_TMAP3OUT)-(c_TMAP2OUT))&gt;=0,1,-1)*QUOTIENT(((c_TMAP3IN)-(c_TMAP2IN)),2)))&lt;0,-1,0),IF(IF(o_WRAP=1,MOD(((c_TMAP3IN)-(c_TMAP2IN))*(((A679)-(c_TMAP2IN))*((c_TMAP3OUT)-(c_TMAP2OUT))+IF(((c_TMAP3OUT)-(c_TMAP2OUT))&gt;=0,1,-1)*QUOTIENT(((c_TMAP3IN)-(c_TMAP2IN)),2))+2147483648,4294967296)-2147483648,((c_TMAP3IN)-(c_TMAP2IN))*(((A679)-(c_TMAP2IN))*((c_TMAP3OUT)-(c_TMAP2OUT))+IF(((c_TMAP3OUT)-(c_TMAP2OUT))&gt;=0,1,-1)*QUOTIENT(((c_TMAP3IN)-(c_TMAP2IN)),2)))&gt;=0,1,0)))</f>
        <v>427</v>
      </c>
      <c r="G679" s="7" t="n">
        <f aca="false">IF(((1000)-(c_TMAP3IN))=0,(c_TMAP3OUT)+QUOTIENT(((1000)-(c_TMAP3OUT)),2),QUOTIENT((((A679)-(c_TMAP3IN))*((1000)-(c_TMAP3OUT))+IF(((1000)-(c_TMAP3OUT))&gt;=0,1,-1)*QUOTIENT(((1000)-(c_TMAP3IN)),2)),((1000)-(c_TMAP3IN)))+(c_TMAP3OUT)+IF(((1000)-(c_TMAP3OUT))&gt;=0,IF(IF(o_WRAP=1,MOD(((1000)-(c_TMAP3IN))*(((A679)-(c_TMAP3IN))*((1000)-(c_TMAP3OUT))+IF(((1000)-(c_TMAP3OUT))&gt;=0,1,-1)*QUOTIENT(((1000)-(c_TMAP3IN)),2))+2147483648,4294967296)-2147483648,((1000)-(c_TMAP3IN))*(((A679)-(c_TMAP3IN))*((1000)-(c_TMAP3OUT))+IF(((1000)-(c_TMAP3OUT))&gt;=0,1,-1)*QUOTIENT(((1000)-(c_TMAP3IN)),2)))&lt;0,-1,0),IF(IF(o_WRAP=1,MOD(((1000)-(c_TMAP3IN))*(((A679)-(c_TMAP3IN))*((1000)-(c_TMAP3OUT))+IF(((1000)-(c_TMAP3OUT))&gt;=0,1,-1)*QUOTIENT(((1000)-(c_TMAP3IN)),2))+2147483648,4294967296)-2147483648,((1000)-(c_TMAP3IN))*(((A679)-(c_TMAP3IN))*((1000)-(c_TMAP3OUT))+IF(((1000)-(c_TMAP3OUT))&gt;=0,1,-1)*QUOTIENT(((1000)-(c_TMAP3IN)),2)))&gt;=0,1,0)))</f>
        <v>599</v>
      </c>
      <c r="H679" s="7" t="str">
        <f aca="false">IF(A679&gt;=c_TFWD,IF(AND(A679&gt;=c_TMAP3IN,c_TMAP3IN&lt;1000),"Seg4 map3-100%",IF(AND(A679&gt;=c_TMAP2IN,c_TMAP3IN&gt;c_TMAP2IN),"Seg3 map2-map3",IF(AND(A679&gt;=c_TMAP1IN,c_TMAP2IN&gt;c_TMAP1IN),"Seg2 map1-map2","Seg1 TFWD-map1"))),IF(AND(A679=0,c_TCREEP&gt;0),"Creep",IF(AND(A679&lt;=c_TRNGMIN,A679&gt;=c_TRNGMAX,c_TRNGMIN-c_TRNGMAX&lt;&gt;0),"Regen ramp","Coast (0)")))</f>
        <v>Seg4 map3-100%</v>
      </c>
      <c r="I679" s="7" t="n">
        <f aca="false">IF(A679&gt;=c_TFWD,IF(AND(A679&gt;=c_TMAP3IN,c_TMAP3IN&lt;1000),G679,IF(AND(A679&gt;=c_TMAP2IN,c_TMAP3IN&gt;c_TMAP2IN),F679,IF(AND(A679&gt;=c_TMAP1IN,c_TMAP2IN&gt;c_TMAP1IN),E679,D679))),C679)</f>
        <v>599</v>
      </c>
      <c r="J679" s="7" t="str">
        <f aca="false">IF(I679&lt;-1090,"TOO LOW",IF(I679&gt;1090,"TOO HIGH",""))</f>
        <v/>
      </c>
      <c r="K679" s="15" t="n">
        <f aca="false">IF(J679&lt;&gt;"",0,IF(I679&gt;979,1000,I679))</f>
        <v>599</v>
      </c>
      <c r="L679" s="7" t="n">
        <f aca="false">K679/10</f>
        <v>59.9</v>
      </c>
    </row>
    <row r="680" customFormat="false" ht="15" hidden="false" customHeight="false" outlineLevel="0" collapsed="false">
      <c r="A680" s="7" t="n">
        <v>675</v>
      </c>
      <c r="B680" s="7" t="n">
        <f aca="false">A680/10</f>
        <v>67.5</v>
      </c>
      <c r="C680" s="7" t="n">
        <f aca="false">IF(AND(A680=0,c_TCREEP&gt;0),10*c_TCREEP,IF(AND(A680&lt;=c_TRNGMIN,A680&gt;=c_TRNGMAX,c_TRNGMIN-c_TRNGMAX&lt;&gt;0),-10*c_TMINRN+QUOTIENT((c_TMAXRN-c_TMINRN)*(100-QUOTIENT((A680-c_TRNGMAX)*100,c_TRNGMIN-c_TRNGMAX)),-10),0))</f>
        <v>0</v>
      </c>
      <c r="D680" s="7" t="n">
        <f aca="false">IF(((c_TMAP1IN)-(c_TFWD))=0,(0)+QUOTIENT(((c_TMAP1OUT)-(0)),2),QUOTIENT((((A680)-(c_TFWD))*((c_TMAP1OUT)-(0))+IF(((c_TMAP1OUT)-(0))&gt;=0,1,-1)*QUOTIENT(((c_TMAP1IN)-(c_TFWD)),2)),((c_TMAP1IN)-(c_TFWD)))+(0)+IF(((c_TMAP1OUT)-(0))&gt;=0,IF(IF(o_WRAP=1,MOD(((c_TMAP1IN)-(c_TFWD))*(((A680)-(c_TFWD))*((c_TMAP1OUT)-(0))+IF(((c_TMAP1OUT)-(0))&gt;=0,1,-1)*QUOTIENT(((c_TMAP1IN)-(c_TFWD)),2))+2147483648,4294967296)-2147483648,((c_TMAP1IN)-(c_TFWD))*(((A680)-(c_TFWD))*((c_TMAP1OUT)-(0))+IF(((c_TMAP1OUT)-(0))&gt;=0,1,-1)*QUOTIENT(((c_TMAP1IN)-(c_TFWD)),2)))&lt;0,-1,0),IF(IF(o_WRAP=1,MOD(((c_TMAP1IN)-(c_TFWD))*(((A680)-(c_TFWD))*((c_TMAP1OUT)-(0))+IF(((c_TMAP1OUT)-(0))&gt;=0,1,-1)*QUOTIENT(((c_TMAP1IN)-(c_TFWD)),2))+2147483648,4294967296)-2147483648,((c_TMAP1IN)-(c_TFWD))*(((A680)-(c_TFWD))*((c_TMAP1OUT)-(0))+IF(((c_TMAP1OUT)-(0))&gt;=0,1,-1)*QUOTIENT(((c_TMAP1IN)-(c_TFWD)),2)))&gt;=0,1,0)))</f>
        <v>517</v>
      </c>
      <c r="E680" s="7" t="n">
        <f aca="false">IF(((c_TMAP2IN)-(c_TMAP1IN))=0,(c_TMAP1OUT)+QUOTIENT(((c_TMAP2OUT)-(c_TMAP1OUT)),2),QUOTIENT((((A680)-(c_TMAP1IN))*((c_TMAP2OUT)-(c_TMAP1OUT))+IF(((c_TMAP2OUT)-(c_TMAP1OUT))&gt;=0,1,-1)*QUOTIENT(((c_TMAP2IN)-(c_TMAP1IN)),2)),((c_TMAP2IN)-(c_TMAP1IN)))+(c_TMAP1OUT)+IF(((c_TMAP2OUT)-(c_TMAP1OUT))&gt;=0,IF(IF(o_WRAP=1,MOD(((c_TMAP2IN)-(c_TMAP1IN))*(((A680)-(c_TMAP1IN))*((c_TMAP2OUT)-(c_TMAP1OUT))+IF(((c_TMAP2OUT)-(c_TMAP1OUT))&gt;=0,1,-1)*QUOTIENT(((c_TMAP2IN)-(c_TMAP1IN)),2))+2147483648,4294967296)-2147483648,((c_TMAP2IN)-(c_TMAP1IN))*(((A680)-(c_TMAP1IN))*((c_TMAP2OUT)-(c_TMAP1OUT))+IF(((c_TMAP2OUT)-(c_TMAP1OUT))&gt;=0,1,-1)*QUOTIENT(((c_TMAP2IN)-(c_TMAP1IN)),2)))&lt;0,-1,0),IF(IF(o_WRAP=1,MOD(((c_TMAP2IN)-(c_TMAP1IN))*(((A680)-(c_TMAP1IN))*((c_TMAP2OUT)-(c_TMAP1OUT))+IF(((c_TMAP2OUT)-(c_TMAP1OUT))&gt;=0,1,-1)*QUOTIENT(((c_TMAP2IN)-(c_TMAP1IN)),2))+2147483648,4294967296)-2147483648,((c_TMAP2IN)-(c_TMAP1IN))*(((A680)-(c_TMAP1IN))*((c_TMAP2OUT)-(c_TMAP1OUT))+IF(((c_TMAP2OUT)-(c_TMAP1OUT))&gt;=0,1,-1)*QUOTIENT(((c_TMAP2IN)-(c_TMAP1IN)),2)))&gt;=0,1,0)))</f>
        <v>300</v>
      </c>
      <c r="F680" s="7" t="n">
        <f aca="false">IF(((c_TMAP3IN)-(c_TMAP2IN))=0,(c_TMAP2OUT)+QUOTIENT(((c_TMAP3OUT)-(c_TMAP2OUT)),2),QUOTIENT((((A680)-(c_TMAP2IN))*((c_TMAP3OUT)-(c_TMAP2OUT))+IF(((c_TMAP3OUT)-(c_TMAP2OUT))&gt;=0,1,-1)*QUOTIENT(((c_TMAP3IN)-(c_TMAP2IN)),2)),((c_TMAP3IN)-(c_TMAP2IN)))+(c_TMAP2OUT)+IF(((c_TMAP3OUT)-(c_TMAP2OUT))&gt;=0,IF(IF(o_WRAP=1,MOD(((c_TMAP3IN)-(c_TMAP2IN))*(((A680)-(c_TMAP2IN))*((c_TMAP3OUT)-(c_TMAP2OUT))+IF(((c_TMAP3OUT)-(c_TMAP2OUT))&gt;=0,1,-1)*QUOTIENT(((c_TMAP3IN)-(c_TMAP2IN)),2))+2147483648,4294967296)-2147483648,((c_TMAP3IN)-(c_TMAP2IN))*(((A680)-(c_TMAP2IN))*((c_TMAP3OUT)-(c_TMAP2OUT))+IF(((c_TMAP3OUT)-(c_TMAP2OUT))&gt;=0,1,-1)*QUOTIENT(((c_TMAP3IN)-(c_TMAP2IN)),2)))&lt;0,-1,0),IF(IF(o_WRAP=1,MOD(((c_TMAP3IN)-(c_TMAP2IN))*(((A680)-(c_TMAP2IN))*((c_TMAP3OUT)-(c_TMAP2OUT))+IF(((c_TMAP3OUT)-(c_TMAP2OUT))&gt;=0,1,-1)*QUOTIENT(((c_TMAP3IN)-(c_TMAP2IN)),2))+2147483648,4294967296)-2147483648,((c_TMAP3IN)-(c_TMAP2IN))*(((A680)-(c_TMAP2IN))*((c_TMAP3OUT)-(c_TMAP2OUT))+IF(((c_TMAP3OUT)-(c_TMAP2OUT))&gt;=0,1,-1)*QUOTIENT(((c_TMAP3IN)-(c_TMAP2IN)),2)))&gt;=0,1,0)))</f>
        <v>428</v>
      </c>
      <c r="G680" s="7" t="n">
        <f aca="false">IF(((1000)-(c_TMAP3IN))=0,(c_TMAP3OUT)+QUOTIENT(((1000)-(c_TMAP3OUT)),2),QUOTIENT((((A680)-(c_TMAP3IN))*((1000)-(c_TMAP3OUT))+IF(((1000)-(c_TMAP3OUT))&gt;=0,1,-1)*QUOTIENT(((1000)-(c_TMAP3IN)),2)),((1000)-(c_TMAP3IN)))+(c_TMAP3OUT)+IF(((1000)-(c_TMAP3OUT))&gt;=0,IF(IF(o_WRAP=1,MOD(((1000)-(c_TMAP3IN))*(((A680)-(c_TMAP3IN))*((1000)-(c_TMAP3OUT))+IF(((1000)-(c_TMAP3OUT))&gt;=0,1,-1)*QUOTIENT(((1000)-(c_TMAP3IN)),2))+2147483648,4294967296)-2147483648,((1000)-(c_TMAP3IN))*(((A680)-(c_TMAP3IN))*((1000)-(c_TMAP3OUT))+IF(((1000)-(c_TMAP3OUT))&gt;=0,1,-1)*QUOTIENT(((1000)-(c_TMAP3IN)),2)))&lt;0,-1,0),IF(IF(o_WRAP=1,MOD(((1000)-(c_TMAP3IN))*(((A680)-(c_TMAP3IN))*((1000)-(c_TMAP3OUT))+IF(((1000)-(c_TMAP3OUT))&gt;=0,1,-1)*QUOTIENT(((1000)-(c_TMAP3IN)),2))+2147483648,4294967296)-2147483648,((1000)-(c_TMAP3IN))*(((A680)-(c_TMAP3IN))*((1000)-(c_TMAP3OUT))+IF(((1000)-(c_TMAP3OUT))&gt;=0,1,-1)*QUOTIENT(((1000)-(c_TMAP3IN)),2)))&gt;=0,1,0)))</f>
        <v>600</v>
      </c>
      <c r="H680" s="7" t="str">
        <f aca="false">IF(A680&gt;=c_TFWD,IF(AND(A680&gt;=c_TMAP3IN,c_TMAP3IN&lt;1000),"Seg4 map3-100%",IF(AND(A680&gt;=c_TMAP2IN,c_TMAP3IN&gt;c_TMAP2IN),"Seg3 map2-map3",IF(AND(A680&gt;=c_TMAP1IN,c_TMAP2IN&gt;c_TMAP1IN),"Seg2 map1-map2","Seg1 TFWD-map1"))),IF(AND(A680=0,c_TCREEP&gt;0),"Creep",IF(AND(A680&lt;=c_TRNGMIN,A680&gt;=c_TRNGMAX,c_TRNGMIN-c_TRNGMAX&lt;&gt;0),"Regen ramp","Coast (0)")))</f>
        <v>Seg4 map3-100%</v>
      </c>
      <c r="I680" s="7" t="n">
        <f aca="false">IF(A680&gt;=c_TFWD,IF(AND(A680&gt;=c_TMAP3IN,c_TMAP3IN&lt;1000),G680,IF(AND(A680&gt;=c_TMAP2IN,c_TMAP3IN&gt;c_TMAP2IN),F680,IF(AND(A680&gt;=c_TMAP1IN,c_TMAP2IN&gt;c_TMAP1IN),E680,D680))),C680)</f>
        <v>600</v>
      </c>
      <c r="J680" s="7" t="str">
        <f aca="false">IF(I680&lt;-1090,"TOO LOW",IF(I680&gt;1090,"TOO HIGH",""))</f>
        <v/>
      </c>
      <c r="K680" s="15" t="n">
        <f aca="false">IF(J680&lt;&gt;"",0,IF(I680&gt;979,1000,I680))</f>
        <v>600</v>
      </c>
      <c r="L680" s="7" t="n">
        <f aca="false">K680/10</f>
        <v>60</v>
      </c>
    </row>
    <row r="681" customFormat="false" ht="15" hidden="false" customHeight="false" outlineLevel="0" collapsed="false">
      <c r="A681" s="7" t="n">
        <v>676</v>
      </c>
      <c r="B681" s="7" t="n">
        <f aca="false">A681/10</f>
        <v>67.6</v>
      </c>
      <c r="C681" s="7" t="n">
        <f aca="false">IF(AND(A681=0,c_TCREEP&gt;0),10*c_TCREEP,IF(AND(A681&lt;=c_TRNGMIN,A681&gt;=c_TRNGMAX,c_TRNGMIN-c_TRNGMAX&lt;&gt;0),-10*c_TMINRN+QUOTIENT((c_TMAXRN-c_TMINRN)*(100-QUOTIENT((A681-c_TRNGMAX)*100,c_TRNGMIN-c_TRNGMAX)),-10),0))</f>
        <v>0</v>
      </c>
      <c r="D681" s="7" t="n">
        <f aca="false">IF(((c_TMAP1IN)-(c_TFWD))=0,(0)+QUOTIENT(((c_TMAP1OUT)-(0)),2),QUOTIENT((((A681)-(c_TFWD))*((c_TMAP1OUT)-(0))+IF(((c_TMAP1OUT)-(0))&gt;=0,1,-1)*QUOTIENT(((c_TMAP1IN)-(c_TFWD)),2)),((c_TMAP1IN)-(c_TFWD)))+(0)+IF(((c_TMAP1OUT)-(0))&gt;=0,IF(IF(o_WRAP=1,MOD(((c_TMAP1IN)-(c_TFWD))*(((A681)-(c_TFWD))*((c_TMAP1OUT)-(0))+IF(((c_TMAP1OUT)-(0))&gt;=0,1,-1)*QUOTIENT(((c_TMAP1IN)-(c_TFWD)),2))+2147483648,4294967296)-2147483648,((c_TMAP1IN)-(c_TFWD))*(((A681)-(c_TFWD))*((c_TMAP1OUT)-(0))+IF(((c_TMAP1OUT)-(0))&gt;=0,1,-1)*QUOTIENT(((c_TMAP1IN)-(c_TFWD)),2)))&lt;0,-1,0),IF(IF(o_WRAP=1,MOD(((c_TMAP1IN)-(c_TFWD))*(((A681)-(c_TFWD))*((c_TMAP1OUT)-(0))+IF(((c_TMAP1OUT)-(0))&gt;=0,1,-1)*QUOTIENT(((c_TMAP1IN)-(c_TFWD)),2))+2147483648,4294967296)-2147483648,((c_TMAP1IN)-(c_TFWD))*(((A681)-(c_TFWD))*((c_TMAP1OUT)-(0))+IF(((c_TMAP1OUT)-(0))&gt;=0,1,-1)*QUOTIENT(((c_TMAP1IN)-(c_TFWD)),2)))&gt;=0,1,0)))</f>
        <v>518</v>
      </c>
      <c r="E681" s="7" t="n">
        <f aca="false">IF(((c_TMAP2IN)-(c_TMAP1IN))=0,(c_TMAP1OUT)+QUOTIENT(((c_TMAP2OUT)-(c_TMAP1OUT)),2),QUOTIENT((((A681)-(c_TMAP1IN))*((c_TMAP2OUT)-(c_TMAP1OUT))+IF(((c_TMAP2OUT)-(c_TMAP1OUT))&gt;=0,1,-1)*QUOTIENT(((c_TMAP2IN)-(c_TMAP1IN)),2)),((c_TMAP2IN)-(c_TMAP1IN)))+(c_TMAP1OUT)+IF(((c_TMAP2OUT)-(c_TMAP1OUT))&gt;=0,IF(IF(o_WRAP=1,MOD(((c_TMAP2IN)-(c_TMAP1IN))*(((A681)-(c_TMAP1IN))*((c_TMAP2OUT)-(c_TMAP1OUT))+IF(((c_TMAP2OUT)-(c_TMAP1OUT))&gt;=0,1,-1)*QUOTIENT(((c_TMAP2IN)-(c_TMAP1IN)),2))+2147483648,4294967296)-2147483648,((c_TMAP2IN)-(c_TMAP1IN))*(((A681)-(c_TMAP1IN))*((c_TMAP2OUT)-(c_TMAP1OUT))+IF(((c_TMAP2OUT)-(c_TMAP1OUT))&gt;=0,1,-1)*QUOTIENT(((c_TMAP2IN)-(c_TMAP1IN)),2)))&lt;0,-1,0),IF(IF(o_WRAP=1,MOD(((c_TMAP2IN)-(c_TMAP1IN))*(((A681)-(c_TMAP1IN))*((c_TMAP2OUT)-(c_TMAP1OUT))+IF(((c_TMAP2OUT)-(c_TMAP1OUT))&gt;=0,1,-1)*QUOTIENT(((c_TMAP2IN)-(c_TMAP1IN)),2))+2147483648,4294967296)-2147483648,((c_TMAP2IN)-(c_TMAP1IN))*(((A681)-(c_TMAP1IN))*((c_TMAP2OUT)-(c_TMAP1OUT))+IF(((c_TMAP2OUT)-(c_TMAP1OUT))&gt;=0,1,-1)*QUOTIENT(((c_TMAP2IN)-(c_TMAP1IN)),2)))&gt;=0,1,0)))</f>
        <v>300</v>
      </c>
      <c r="F681" s="7" t="n">
        <f aca="false">IF(((c_TMAP3IN)-(c_TMAP2IN))=0,(c_TMAP2OUT)+QUOTIENT(((c_TMAP3OUT)-(c_TMAP2OUT)),2),QUOTIENT((((A681)-(c_TMAP2IN))*((c_TMAP3OUT)-(c_TMAP2OUT))+IF(((c_TMAP3OUT)-(c_TMAP2OUT))&gt;=0,1,-1)*QUOTIENT(((c_TMAP3IN)-(c_TMAP2IN)),2)),((c_TMAP3IN)-(c_TMAP2IN)))+(c_TMAP2OUT)+IF(((c_TMAP3OUT)-(c_TMAP2OUT))&gt;=0,IF(IF(o_WRAP=1,MOD(((c_TMAP3IN)-(c_TMAP2IN))*(((A681)-(c_TMAP2IN))*((c_TMAP3OUT)-(c_TMAP2OUT))+IF(((c_TMAP3OUT)-(c_TMAP2OUT))&gt;=0,1,-1)*QUOTIENT(((c_TMAP3IN)-(c_TMAP2IN)),2))+2147483648,4294967296)-2147483648,((c_TMAP3IN)-(c_TMAP2IN))*(((A681)-(c_TMAP2IN))*((c_TMAP3OUT)-(c_TMAP2OUT))+IF(((c_TMAP3OUT)-(c_TMAP2OUT))&gt;=0,1,-1)*QUOTIENT(((c_TMAP3IN)-(c_TMAP2IN)),2)))&lt;0,-1,0),IF(IF(o_WRAP=1,MOD(((c_TMAP3IN)-(c_TMAP2IN))*(((A681)-(c_TMAP2IN))*((c_TMAP3OUT)-(c_TMAP2OUT))+IF(((c_TMAP3OUT)-(c_TMAP2OUT))&gt;=0,1,-1)*QUOTIENT(((c_TMAP3IN)-(c_TMAP2IN)),2))+2147483648,4294967296)-2147483648,((c_TMAP3IN)-(c_TMAP2IN))*(((A681)-(c_TMAP2IN))*((c_TMAP3OUT)-(c_TMAP2OUT))+IF(((c_TMAP3OUT)-(c_TMAP2OUT))&gt;=0,1,-1)*QUOTIENT(((c_TMAP3IN)-(c_TMAP2IN)),2)))&gt;=0,1,0)))</f>
        <v>428</v>
      </c>
      <c r="G681" s="7" t="n">
        <f aca="false">IF(((1000)-(c_TMAP3IN))=0,(c_TMAP3OUT)+QUOTIENT(((1000)-(c_TMAP3OUT)),2),QUOTIENT((((A681)-(c_TMAP3IN))*((1000)-(c_TMAP3OUT))+IF(((1000)-(c_TMAP3OUT))&gt;=0,1,-1)*QUOTIENT(((1000)-(c_TMAP3IN)),2)),((1000)-(c_TMAP3IN)))+(c_TMAP3OUT)+IF(((1000)-(c_TMAP3OUT))&gt;=0,IF(IF(o_WRAP=1,MOD(((1000)-(c_TMAP3IN))*(((A681)-(c_TMAP3IN))*((1000)-(c_TMAP3OUT))+IF(((1000)-(c_TMAP3OUT))&gt;=0,1,-1)*QUOTIENT(((1000)-(c_TMAP3IN)),2))+2147483648,4294967296)-2147483648,((1000)-(c_TMAP3IN))*(((A681)-(c_TMAP3IN))*((1000)-(c_TMAP3OUT))+IF(((1000)-(c_TMAP3OUT))&gt;=0,1,-1)*QUOTIENT(((1000)-(c_TMAP3IN)),2)))&lt;0,-1,0),IF(IF(o_WRAP=1,MOD(((1000)-(c_TMAP3IN))*(((A681)-(c_TMAP3IN))*((1000)-(c_TMAP3OUT))+IF(((1000)-(c_TMAP3OUT))&gt;=0,1,-1)*QUOTIENT(((1000)-(c_TMAP3IN)),2))+2147483648,4294967296)-2147483648,((1000)-(c_TMAP3IN))*(((A681)-(c_TMAP3IN))*((1000)-(c_TMAP3OUT))+IF(((1000)-(c_TMAP3OUT))&gt;=0,1,-1)*QUOTIENT(((1000)-(c_TMAP3IN)),2)))&gt;=0,1,0)))</f>
        <v>601</v>
      </c>
      <c r="H681" s="7" t="str">
        <f aca="false">IF(A681&gt;=c_TFWD,IF(AND(A681&gt;=c_TMAP3IN,c_TMAP3IN&lt;1000),"Seg4 map3-100%",IF(AND(A681&gt;=c_TMAP2IN,c_TMAP3IN&gt;c_TMAP2IN),"Seg3 map2-map3",IF(AND(A681&gt;=c_TMAP1IN,c_TMAP2IN&gt;c_TMAP1IN),"Seg2 map1-map2","Seg1 TFWD-map1"))),IF(AND(A681=0,c_TCREEP&gt;0),"Creep",IF(AND(A681&lt;=c_TRNGMIN,A681&gt;=c_TRNGMAX,c_TRNGMIN-c_TRNGMAX&lt;&gt;0),"Regen ramp","Coast (0)")))</f>
        <v>Seg4 map3-100%</v>
      </c>
      <c r="I681" s="7" t="n">
        <f aca="false">IF(A681&gt;=c_TFWD,IF(AND(A681&gt;=c_TMAP3IN,c_TMAP3IN&lt;1000),G681,IF(AND(A681&gt;=c_TMAP2IN,c_TMAP3IN&gt;c_TMAP2IN),F681,IF(AND(A681&gt;=c_TMAP1IN,c_TMAP2IN&gt;c_TMAP1IN),E681,D681))),C681)</f>
        <v>601</v>
      </c>
      <c r="J681" s="7" t="str">
        <f aca="false">IF(I681&lt;-1090,"TOO LOW",IF(I681&gt;1090,"TOO HIGH",""))</f>
        <v/>
      </c>
      <c r="K681" s="15" t="n">
        <f aca="false">IF(J681&lt;&gt;"",0,IF(I681&gt;979,1000,I681))</f>
        <v>601</v>
      </c>
      <c r="L681" s="7" t="n">
        <f aca="false">K681/10</f>
        <v>60.1</v>
      </c>
    </row>
    <row r="682" customFormat="false" ht="15" hidden="false" customHeight="false" outlineLevel="0" collapsed="false">
      <c r="A682" s="7" t="n">
        <v>677</v>
      </c>
      <c r="B682" s="7" t="n">
        <f aca="false">A682/10</f>
        <v>67.7</v>
      </c>
      <c r="C682" s="7" t="n">
        <f aca="false">IF(AND(A682=0,c_TCREEP&gt;0),10*c_TCREEP,IF(AND(A682&lt;=c_TRNGMIN,A682&gt;=c_TRNGMAX,c_TRNGMIN-c_TRNGMAX&lt;&gt;0),-10*c_TMINRN+QUOTIENT((c_TMAXRN-c_TMINRN)*(100-QUOTIENT((A682-c_TRNGMAX)*100,c_TRNGMIN-c_TRNGMAX)),-10),0))</f>
        <v>0</v>
      </c>
      <c r="D682" s="7" t="n">
        <f aca="false">IF(((c_TMAP1IN)-(c_TFWD))=0,(0)+QUOTIENT(((c_TMAP1OUT)-(0)),2),QUOTIENT((((A682)-(c_TFWD))*((c_TMAP1OUT)-(0))+IF(((c_TMAP1OUT)-(0))&gt;=0,1,-1)*QUOTIENT(((c_TMAP1IN)-(c_TFWD)),2)),((c_TMAP1IN)-(c_TFWD)))+(0)+IF(((c_TMAP1OUT)-(0))&gt;=0,IF(IF(o_WRAP=1,MOD(((c_TMAP1IN)-(c_TFWD))*(((A682)-(c_TFWD))*((c_TMAP1OUT)-(0))+IF(((c_TMAP1OUT)-(0))&gt;=0,1,-1)*QUOTIENT(((c_TMAP1IN)-(c_TFWD)),2))+2147483648,4294967296)-2147483648,((c_TMAP1IN)-(c_TFWD))*(((A682)-(c_TFWD))*((c_TMAP1OUT)-(0))+IF(((c_TMAP1OUT)-(0))&gt;=0,1,-1)*QUOTIENT(((c_TMAP1IN)-(c_TFWD)),2)))&lt;0,-1,0),IF(IF(o_WRAP=1,MOD(((c_TMAP1IN)-(c_TFWD))*(((A682)-(c_TFWD))*((c_TMAP1OUT)-(0))+IF(((c_TMAP1OUT)-(0))&gt;=0,1,-1)*QUOTIENT(((c_TMAP1IN)-(c_TFWD)),2))+2147483648,4294967296)-2147483648,((c_TMAP1IN)-(c_TFWD))*(((A682)-(c_TFWD))*((c_TMAP1OUT)-(0))+IF(((c_TMAP1OUT)-(0))&gt;=0,1,-1)*QUOTIENT(((c_TMAP1IN)-(c_TFWD)),2)))&gt;=0,1,0)))</f>
        <v>519</v>
      </c>
      <c r="E682" s="7" t="n">
        <f aca="false">IF(((c_TMAP2IN)-(c_TMAP1IN))=0,(c_TMAP1OUT)+QUOTIENT(((c_TMAP2OUT)-(c_TMAP1OUT)),2),QUOTIENT((((A682)-(c_TMAP1IN))*((c_TMAP2OUT)-(c_TMAP1OUT))+IF(((c_TMAP2OUT)-(c_TMAP1OUT))&gt;=0,1,-1)*QUOTIENT(((c_TMAP2IN)-(c_TMAP1IN)),2)),((c_TMAP2IN)-(c_TMAP1IN)))+(c_TMAP1OUT)+IF(((c_TMAP2OUT)-(c_TMAP1OUT))&gt;=0,IF(IF(o_WRAP=1,MOD(((c_TMAP2IN)-(c_TMAP1IN))*(((A682)-(c_TMAP1IN))*((c_TMAP2OUT)-(c_TMAP1OUT))+IF(((c_TMAP2OUT)-(c_TMAP1OUT))&gt;=0,1,-1)*QUOTIENT(((c_TMAP2IN)-(c_TMAP1IN)),2))+2147483648,4294967296)-2147483648,((c_TMAP2IN)-(c_TMAP1IN))*(((A682)-(c_TMAP1IN))*((c_TMAP2OUT)-(c_TMAP1OUT))+IF(((c_TMAP2OUT)-(c_TMAP1OUT))&gt;=0,1,-1)*QUOTIENT(((c_TMAP2IN)-(c_TMAP1IN)),2)))&lt;0,-1,0),IF(IF(o_WRAP=1,MOD(((c_TMAP2IN)-(c_TMAP1IN))*(((A682)-(c_TMAP1IN))*((c_TMAP2OUT)-(c_TMAP1OUT))+IF(((c_TMAP2OUT)-(c_TMAP1OUT))&gt;=0,1,-1)*QUOTIENT(((c_TMAP2IN)-(c_TMAP1IN)),2))+2147483648,4294967296)-2147483648,((c_TMAP2IN)-(c_TMAP1IN))*(((A682)-(c_TMAP1IN))*((c_TMAP2OUT)-(c_TMAP1OUT))+IF(((c_TMAP2OUT)-(c_TMAP1OUT))&gt;=0,1,-1)*QUOTIENT(((c_TMAP2IN)-(c_TMAP1IN)),2)))&gt;=0,1,0)))</f>
        <v>301</v>
      </c>
      <c r="F682" s="7" t="n">
        <f aca="false">IF(((c_TMAP3IN)-(c_TMAP2IN))=0,(c_TMAP2OUT)+QUOTIENT(((c_TMAP3OUT)-(c_TMAP2OUT)),2),QUOTIENT((((A682)-(c_TMAP2IN))*((c_TMAP3OUT)-(c_TMAP2OUT))+IF(((c_TMAP3OUT)-(c_TMAP2OUT))&gt;=0,1,-1)*QUOTIENT(((c_TMAP3IN)-(c_TMAP2IN)),2)),((c_TMAP3IN)-(c_TMAP2IN)))+(c_TMAP2OUT)+IF(((c_TMAP3OUT)-(c_TMAP2OUT))&gt;=0,IF(IF(o_WRAP=1,MOD(((c_TMAP3IN)-(c_TMAP2IN))*(((A682)-(c_TMAP2IN))*((c_TMAP3OUT)-(c_TMAP2OUT))+IF(((c_TMAP3OUT)-(c_TMAP2OUT))&gt;=0,1,-1)*QUOTIENT(((c_TMAP3IN)-(c_TMAP2IN)),2))+2147483648,4294967296)-2147483648,((c_TMAP3IN)-(c_TMAP2IN))*(((A682)-(c_TMAP2IN))*((c_TMAP3OUT)-(c_TMAP2OUT))+IF(((c_TMAP3OUT)-(c_TMAP2OUT))&gt;=0,1,-1)*QUOTIENT(((c_TMAP3IN)-(c_TMAP2IN)),2)))&lt;0,-1,0),IF(IF(o_WRAP=1,MOD(((c_TMAP3IN)-(c_TMAP2IN))*(((A682)-(c_TMAP2IN))*((c_TMAP3OUT)-(c_TMAP2OUT))+IF(((c_TMAP3OUT)-(c_TMAP2OUT))&gt;=0,1,-1)*QUOTIENT(((c_TMAP3IN)-(c_TMAP2IN)),2))+2147483648,4294967296)-2147483648,((c_TMAP3IN)-(c_TMAP2IN))*(((A682)-(c_TMAP2IN))*((c_TMAP3OUT)-(c_TMAP2OUT))+IF(((c_TMAP3OUT)-(c_TMAP2OUT))&gt;=0,1,-1)*QUOTIENT(((c_TMAP3IN)-(c_TMAP2IN)),2)))&gt;=0,1,0)))</f>
        <v>429</v>
      </c>
      <c r="G682" s="7" t="n">
        <f aca="false">IF(((1000)-(c_TMAP3IN))=0,(c_TMAP3OUT)+QUOTIENT(((1000)-(c_TMAP3OUT)),2),QUOTIENT((((A682)-(c_TMAP3IN))*((1000)-(c_TMAP3OUT))+IF(((1000)-(c_TMAP3OUT))&gt;=0,1,-1)*QUOTIENT(((1000)-(c_TMAP3IN)),2)),((1000)-(c_TMAP3IN)))+(c_TMAP3OUT)+IF(((1000)-(c_TMAP3OUT))&gt;=0,IF(IF(o_WRAP=1,MOD(((1000)-(c_TMAP3IN))*(((A682)-(c_TMAP3IN))*((1000)-(c_TMAP3OUT))+IF(((1000)-(c_TMAP3OUT))&gt;=0,1,-1)*QUOTIENT(((1000)-(c_TMAP3IN)),2))+2147483648,4294967296)-2147483648,((1000)-(c_TMAP3IN))*(((A682)-(c_TMAP3IN))*((1000)-(c_TMAP3OUT))+IF(((1000)-(c_TMAP3OUT))&gt;=0,1,-1)*QUOTIENT(((1000)-(c_TMAP3IN)),2)))&lt;0,-1,0),IF(IF(o_WRAP=1,MOD(((1000)-(c_TMAP3IN))*(((A682)-(c_TMAP3IN))*((1000)-(c_TMAP3OUT))+IF(((1000)-(c_TMAP3OUT))&gt;=0,1,-1)*QUOTIENT(((1000)-(c_TMAP3IN)),2))+2147483648,4294967296)-2147483648,((1000)-(c_TMAP3IN))*(((A682)-(c_TMAP3IN))*((1000)-(c_TMAP3OUT))+IF(((1000)-(c_TMAP3OUT))&gt;=0,1,-1)*QUOTIENT(((1000)-(c_TMAP3IN)),2)))&gt;=0,1,0)))</f>
        <v>602</v>
      </c>
      <c r="H682" s="7" t="str">
        <f aca="false">IF(A682&gt;=c_TFWD,IF(AND(A682&gt;=c_TMAP3IN,c_TMAP3IN&lt;1000),"Seg4 map3-100%",IF(AND(A682&gt;=c_TMAP2IN,c_TMAP3IN&gt;c_TMAP2IN),"Seg3 map2-map3",IF(AND(A682&gt;=c_TMAP1IN,c_TMAP2IN&gt;c_TMAP1IN),"Seg2 map1-map2","Seg1 TFWD-map1"))),IF(AND(A682=0,c_TCREEP&gt;0),"Creep",IF(AND(A682&lt;=c_TRNGMIN,A682&gt;=c_TRNGMAX,c_TRNGMIN-c_TRNGMAX&lt;&gt;0),"Regen ramp","Coast (0)")))</f>
        <v>Seg4 map3-100%</v>
      </c>
      <c r="I682" s="7" t="n">
        <f aca="false">IF(A682&gt;=c_TFWD,IF(AND(A682&gt;=c_TMAP3IN,c_TMAP3IN&lt;1000),G682,IF(AND(A682&gt;=c_TMAP2IN,c_TMAP3IN&gt;c_TMAP2IN),F682,IF(AND(A682&gt;=c_TMAP1IN,c_TMAP2IN&gt;c_TMAP1IN),E682,D682))),C682)</f>
        <v>602</v>
      </c>
      <c r="J682" s="7" t="str">
        <f aca="false">IF(I682&lt;-1090,"TOO LOW",IF(I682&gt;1090,"TOO HIGH",""))</f>
        <v/>
      </c>
      <c r="K682" s="15" t="n">
        <f aca="false">IF(J682&lt;&gt;"",0,IF(I682&gt;979,1000,I682))</f>
        <v>602</v>
      </c>
      <c r="L682" s="7" t="n">
        <f aca="false">K682/10</f>
        <v>60.2</v>
      </c>
    </row>
    <row r="683" customFormat="false" ht="15" hidden="false" customHeight="false" outlineLevel="0" collapsed="false">
      <c r="A683" s="7" t="n">
        <v>678</v>
      </c>
      <c r="B683" s="7" t="n">
        <f aca="false">A683/10</f>
        <v>67.8</v>
      </c>
      <c r="C683" s="7" t="n">
        <f aca="false">IF(AND(A683=0,c_TCREEP&gt;0),10*c_TCREEP,IF(AND(A683&lt;=c_TRNGMIN,A683&gt;=c_TRNGMAX,c_TRNGMIN-c_TRNGMAX&lt;&gt;0),-10*c_TMINRN+QUOTIENT((c_TMAXRN-c_TMINRN)*(100-QUOTIENT((A683-c_TRNGMAX)*100,c_TRNGMIN-c_TRNGMAX)),-10),0))</f>
        <v>0</v>
      </c>
      <c r="D683" s="7" t="n">
        <f aca="false">IF(((c_TMAP1IN)-(c_TFWD))=0,(0)+QUOTIENT(((c_TMAP1OUT)-(0)),2),QUOTIENT((((A683)-(c_TFWD))*((c_TMAP1OUT)-(0))+IF(((c_TMAP1OUT)-(0))&gt;=0,1,-1)*QUOTIENT(((c_TMAP1IN)-(c_TFWD)),2)),((c_TMAP1IN)-(c_TFWD)))+(0)+IF(((c_TMAP1OUT)-(0))&gt;=0,IF(IF(o_WRAP=1,MOD(((c_TMAP1IN)-(c_TFWD))*(((A683)-(c_TFWD))*((c_TMAP1OUT)-(0))+IF(((c_TMAP1OUT)-(0))&gt;=0,1,-1)*QUOTIENT(((c_TMAP1IN)-(c_TFWD)),2))+2147483648,4294967296)-2147483648,((c_TMAP1IN)-(c_TFWD))*(((A683)-(c_TFWD))*((c_TMAP1OUT)-(0))+IF(((c_TMAP1OUT)-(0))&gt;=0,1,-1)*QUOTIENT(((c_TMAP1IN)-(c_TFWD)),2)))&lt;0,-1,0),IF(IF(o_WRAP=1,MOD(((c_TMAP1IN)-(c_TFWD))*(((A683)-(c_TFWD))*((c_TMAP1OUT)-(0))+IF(((c_TMAP1OUT)-(0))&gt;=0,1,-1)*QUOTIENT(((c_TMAP1IN)-(c_TFWD)),2))+2147483648,4294967296)-2147483648,((c_TMAP1IN)-(c_TFWD))*(((A683)-(c_TFWD))*((c_TMAP1OUT)-(0))+IF(((c_TMAP1OUT)-(0))&gt;=0,1,-1)*QUOTIENT(((c_TMAP1IN)-(c_TFWD)),2)))&gt;=0,1,0)))</f>
        <v>520</v>
      </c>
      <c r="E683" s="7" t="n">
        <f aca="false">IF(((c_TMAP2IN)-(c_TMAP1IN))=0,(c_TMAP1OUT)+QUOTIENT(((c_TMAP2OUT)-(c_TMAP1OUT)),2),QUOTIENT((((A683)-(c_TMAP1IN))*((c_TMAP2OUT)-(c_TMAP1OUT))+IF(((c_TMAP2OUT)-(c_TMAP1OUT))&gt;=0,1,-1)*QUOTIENT(((c_TMAP2IN)-(c_TMAP1IN)),2)),((c_TMAP2IN)-(c_TMAP1IN)))+(c_TMAP1OUT)+IF(((c_TMAP2OUT)-(c_TMAP1OUT))&gt;=0,IF(IF(o_WRAP=1,MOD(((c_TMAP2IN)-(c_TMAP1IN))*(((A683)-(c_TMAP1IN))*((c_TMAP2OUT)-(c_TMAP1OUT))+IF(((c_TMAP2OUT)-(c_TMAP1OUT))&gt;=0,1,-1)*QUOTIENT(((c_TMAP2IN)-(c_TMAP1IN)),2))+2147483648,4294967296)-2147483648,((c_TMAP2IN)-(c_TMAP1IN))*(((A683)-(c_TMAP1IN))*((c_TMAP2OUT)-(c_TMAP1OUT))+IF(((c_TMAP2OUT)-(c_TMAP1OUT))&gt;=0,1,-1)*QUOTIENT(((c_TMAP2IN)-(c_TMAP1IN)),2)))&lt;0,-1,0),IF(IF(o_WRAP=1,MOD(((c_TMAP2IN)-(c_TMAP1IN))*(((A683)-(c_TMAP1IN))*((c_TMAP2OUT)-(c_TMAP1OUT))+IF(((c_TMAP2OUT)-(c_TMAP1OUT))&gt;=0,1,-1)*QUOTIENT(((c_TMAP2IN)-(c_TMAP1IN)),2))+2147483648,4294967296)-2147483648,((c_TMAP2IN)-(c_TMAP1IN))*(((A683)-(c_TMAP1IN))*((c_TMAP2OUT)-(c_TMAP1OUT))+IF(((c_TMAP2OUT)-(c_TMAP1OUT))&gt;=0,1,-1)*QUOTIENT(((c_TMAP2IN)-(c_TMAP1IN)),2)))&gt;=0,1,0)))</f>
        <v>301</v>
      </c>
      <c r="F683" s="7" t="n">
        <f aca="false">IF(((c_TMAP3IN)-(c_TMAP2IN))=0,(c_TMAP2OUT)+QUOTIENT(((c_TMAP3OUT)-(c_TMAP2OUT)),2),QUOTIENT((((A683)-(c_TMAP2IN))*((c_TMAP3OUT)-(c_TMAP2OUT))+IF(((c_TMAP3OUT)-(c_TMAP2OUT))&gt;=0,1,-1)*QUOTIENT(((c_TMAP3IN)-(c_TMAP2IN)),2)),((c_TMAP3IN)-(c_TMAP2IN)))+(c_TMAP2OUT)+IF(((c_TMAP3OUT)-(c_TMAP2OUT))&gt;=0,IF(IF(o_WRAP=1,MOD(((c_TMAP3IN)-(c_TMAP2IN))*(((A683)-(c_TMAP2IN))*((c_TMAP3OUT)-(c_TMAP2OUT))+IF(((c_TMAP3OUT)-(c_TMAP2OUT))&gt;=0,1,-1)*QUOTIENT(((c_TMAP3IN)-(c_TMAP2IN)),2))+2147483648,4294967296)-2147483648,((c_TMAP3IN)-(c_TMAP2IN))*(((A683)-(c_TMAP2IN))*((c_TMAP3OUT)-(c_TMAP2OUT))+IF(((c_TMAP3OUT)-(c_TMAP2OUT))&gt;=0,1,-1)*QUOTIENT(((c_TMAP3IN)-(c_TMAP2IN)),2)))&lt;0,-1,0),IF(IF(o_WRAP=1,MOD(((c_TMAP3IN)-(c_TMAP2IN))*(((A683)-(c_TMAP2IN))*((c_TMAP3OUT)-(c_TMAP2OUT))+IF(((c_TMAP3OUT)-(c_TMAP2OUT))&gt;=0,1,-1)*QUOTIENT(((c_TMAP3IN)-(c_TMAP2IN)),2))+2147483648,4294967296)-2147483648,((c_TMAP3IN)-(c_TMAP2IN))*(((A683)-(c_TMAP2IN))*((c_TMAP3OUT)-(c_TMAP2OUT))+IF(((c_TMAP3OUT)-(c_TMAP2OUT))&gt;=0,1,-1)*QUOTIENT(((c_TMAP3IN)-(c_TMAP2IN)),2)))&gt;=0,1,0)))</f>
        <v>430</v>
      </c>
      <c r="G683" s="7" t="n">
        <f aca="false">IF(((1000)-(c_TMAP3IN))=0,(c_TMAP3OUT)+QUOTIENT(((1000)-(c_TMAP3OUT)),2),QUOTIENT((((A683)-(c_TMAP3IN))*((1000)-(c_TMAP3OUT))+IF(((1000)-(c_TMAP3OUT))&gt;=0,1,-1)*QUOTIENT(((1000)-(c_TMAP3IN)),2)),((1000)-(c_TMAP3IN)))+(c_TMAP3OUT)+IF(((1000)-(c_TMAP3OUT))&gt;=0,IF(IF(o_WRAP=1,MOD(((1000)-(c_TMAP3IN))*(((A683)-(c_TMAP3IN))*((1000)-(c_TMAP3OUT))+IF(((1000)-(c_TMAP3OUT))&gt;=0,1,-1)*QUOTIENT(((1000)-(c_TMAP3IN)),2))+2147483648,4294967296)-2147483648,((1000)-(c_TMAP3IN))*(((A683)-(c_TMAP3IN))*((1000)-(c_TMAP3OUT))+IF(((1000)-(c_TMAP3OUT))&gt;=0,1,-1)*QUOTIENT(((1000)-(c_TMAP3IN)),2)))&lt;0,-1,0),IF(IF(o_WRAP=1,MOD(((1000)-(c_TMAP3IN))*(((A683)-(c_TMAP3IN))*((1000)-(c_TMAP3OUT))+IF(((1000)-(c_TMAP3OUT))&gt;=0,1,-1)*QUOTIENT(((1000)-(c_TMAP3IN)),2))+2147483648,4294967296)-2147483648,((1000)-(c_TMAP3IN))*(((A683)-(c_TMAP3IN))*((1000)-(c_TMAP3OUT))+IF(((1000)-(c_TMAP3OUT))&gt;=0,1,-1)*QUOTIENT(((1000)-(c_TMAP3IN)),2)))&gt;=0,1,0)))</f>
        <v>604</v>
      </c>
      <c r="H683" s="7" t="str">
        <f aca="false">IF(A683&gt;=c_TFWD,IF(AND(A683&gt;=c_TMAP3IN,c_TMAP3IN&lt;1000),"Seg4 map3-100%",IF(AND(A683&gt;=c_TMAP2IN,c_TMAP3IN&gt;c_TMAP2IN),"Seg3 map2-map3",IF(AND(A683&gt;=c_TMAP1IN,c_TMAP2IN&gt;c_TMAP1IN),"Seg2 map1-map2","Seg1 TFWD-map1"))),IF(AND(A683=0,c_TCREEP&gt;0),"Creep",IF(AND(A683&lt;=c_TRNGMIN,A683&gt;=c_TRNGMAX,c_TRNGMIN-c_TRNGMAX&lt;&gt;0),"Regen ramp","Coast (0)")))</f>
        <v>Seg4 map3-100%</v>
      </c>
      <c r="I683" s="7" t="n">
        <f aca="false">IF(A683&gt;=c_TFWD,IF(AND(A683&gt;=c_TMAP3IN,c_TMAP3IN&lt;1000),G683,IF(AND(A683&gt;=c_TMAP2IN,c_TMAP3IN&gt;c_TMAP2IN),F683,IF(AND(A683&gt;=c_TMAP1IN,c_TMAP2IN&gt;c_TMAP1IN),E683,D683))),C683)</f>
        <v>604</v>
      </c>
      <c r="J683" s="7" t="str">
        <f aca="false">IF(I683&lt;-1090,"TOO LOW",IF(I683&gt;1090,"TOO HIGH",""))</f>
        <v/>
      </c>
      <c r="K683" s="15" t="n">
        <f aca="false">IF(J683&lt;&gt;"",0,IF(I683&gt;979,1000,I683))</f>
        <v>604</v>
      </c>
      <c r="L683" s="7" t="n">
        <f aca="false">K683/10</f>
        <v>60.4</v>
      </c>
    </row>
    <row r="684" customFormat="false" ht="15" hidden="false" customHeight="false" outlineLevel="0" collapsed="false">
      <c r="A684" s="7" t="n">
        <v>679</v>
      </c>
      <c r="B684" s="7" t="n">
        <f aca="false">A684/10</f>
        <v>67.9</v>
      </c>
      <c r="C684" s="7" t="n">
        <f aca="false">IF(AND(A684=0,c_TCREEP&gt;0),10*c_TCREEP,IF(AND(A684&lt;=c_TRNGMIN,A684&gt;=c_TRNGMAX,c_TRNGMIN-c_TRNGMAX&lt;&gt;0),-10*c_TMINRN+QUOTIENT((c_TMAXRN-c_TMINRN)*(100-QUOTIENT((A684-c_TRNGMAX)*100,c_TRNGMIN-c_TRNGMAX)),-10),0))</f>
        <v>0</v>
      </c>
      <c r="D684" s="7" t="n">
        <f aca="false">IF(((c_TMAP1IN)-(c_TFWD))=0,(0)+QUOTIENT(((c_TMAP1OUT)-(0)),2),QUOTIENT((((A684)-(c_TFWD))*((c_TMAP1OUT)-(0))+IF(((c_TMAP1OUT)-(0))&gt;=0,1,-1)*QUOTIENT(((c_TMAP1IN)-(c_TFWD)),2)),((c_TMAP1IN)-(c_TFWD)))+(0)+IF(((c_TMAP1OUT)-(0))&gt;=0,IF(IF(o_WRAP=1,MOD(((c_TMAP1IN)-(c_TFWD))*(((A684)-(c_TFWD))*((c_TMAP1OUT)-(0))+IF(((c_TMAP1OUT)-(0))&gt;=0,1,-1)*QUOTIENT(((c_TMAP1IN)-(c_TFWD)),2))+2147483648,4294967296)-2147483648,((c_TMAP1IN)-(c_TFWD))*(((A684)-(c_TFWD))*((c_TMAP1OUT)-(0))+IF(((c_TMAP1OUT)-(0))&gt;=0,1,-1)*QUOTIENT(((c_TMAP1IN)-(c_TFWD)),2)))&lt;0,-1,0),IF(IF(o_WRAP=1,MOD(((c_TMAP1IN)-(c_TFWD))*(((A684)-(c_TFWD))*((c_TMAP1OUT)-(0))+IF(((c_TMAP1OUT)-(0))&gt;=0,1,-1)*QUOTIENT(((c_TMAP1IN)-(c_TFWD)),2))+2147483648,4294967296)-2147483648,((c_TMAP1IN)-(c_TFWD))*(((A684)-(c_TFWD))*((c_TMAP1OUT)-(0))+IF(((c_TMAP1OUT)-(0))&gt;=0,1,-1)*QUOTIENT(((c_TMAP1IN)-(c_TFWD)),2)))&gt;=0,1,0)))</f>
        <v>520</v>
      </c>
      <c r="E684" s="7" t="n">
        <f aca="false">IF(((c_TMAP2IN)-(c_TMAP1IN))=0,(c_TMAP1OUT)+QUOTIENT(((c_TMAP2OUT)-(c_TMAP1OUT)),2),QUOTIENT((((A684)-(c_TMAP1IN))*((c_TMAP2OUT)-(c_TMAP1OUT))+IF(((c_TMAP2OUT)-(c_TMAP1OUT))&gt;=0,1,-1)*QUOTIENT(((c_TMAP2IN)-(c_TMAP1IN)),2)),((c_TMAP2IN)-(c_TMAP1IN)))+(c_TMAP1OUT)+IF(((c_TMAP2OUT)-(c_TMAP1OUT))&gt;=0,IF(IF(o_WRAP=1,MOD(((c_TMAP2IN)-(c_TMAP1IN))*(((A684)-(c_TMAP1IN))*((c_TMAP2OUT)-(c_TMAP1OUT))+IF(((c_TMAP2OUT)-(c_TMAP1OUT))&gt;=0,1,-1)*QUOTIENT(((c_TMAP2IN)-(c_TMAP1IN)),2))+2147483648,4294967296)-2147483648,((c_TMAP2IN)-(c_TMAP1IN))*(((A684)-(c_TMAP1IN))*((c_TMAP2OUT)-(c_TMAP1OUT))+IF(((c_TMAP2OUT)-(c_TMAP1OUT))&gt;=0,1,-1)*QUOTIENT(((c_TMAP2IN)-(c_TMAP1IN)),2)))&lt;0,-1,0),IF(IF(o_WRAP=1,MOD(((c_TMAP2IN)-(c_TMAP1IN))*(((A684)-(c_TMAP1IN))*((c_TMAP2OUT)-(c_TMAP1OUT))+IF(((c_TMAP2OUT)-(c_TMAP1OUT))&gt;=0,1,-1)*QUOTIENT(((c_TMAP2IN)-(c_TMAP1IN)),2))+2147483648,4294967296)-2147483648,((c_TMAP2IN)-(c_TMAP1IN))*(((A684)-(c_TMAP1IN))*((c_TMAP2OUT)-(c_TMAP1OUT))+IF(((c_TMAP2OUT)-(c_TMAP1OUT))&gt;=0,1,-1)*QUOTIENT(((c_TMAP2IN)-(c_TMAP1IN)),2)))&gt;=0,1,0)))</f>
        <v>302</v>
      </c>
      <c r="F684" s="7" t="n">
        <f aca="false">IF(((c_TMAP3IN)-(c_TMAP2IN))=0,(c_TMAP2OUT)+QUOTIENT(((c_TMAP3OUT)-(c_TMAP2OUT)),2),QUOTIENT((((A684)-(c_TMAP2IN))*((c_TMAP3OUT)-(c_TMAP2OUT))+IF(((c_TMAP3OUT)-(c_TMAP2OUT))&gt;=0,1,-1)*QUOTIENT(((c_TMAP3IN)-(c_TMAP2IN)),2)),((c_TMAP3IN)-(c_TMAP2IN)))+(c_TMAP2OUT)+IF(((c_TMAP3OUT)-(c_TMAP2OUT))&gt;=0,IF(IF(o_WRAP=1,MOD(((c_TMAP3IN)-(c_TMAP2IN))*(((A684)-(c_TMAP2IN))*((c_TMAP3OUT)-(c_TMAP2OUT))+IF(((c_TMAP3OUT)-(c_TMAP2OUT))&gt;=0,1,-1)*QUOTIENT(((c_TMAP3IN)-(c_TMAP2IN)),2))+2147483648,4294967296)-2147483648,((c_TMAP3IN)-(c_TMAP2IN))*(((A684)-(c_TMAP2IN))*((c_TMAP3OUT)-(c_TMAP2OUT))+IF(((c_TMAP3OUT)-(c_TMAP2OUT))&gt;=0,1,-1)*QUOTIENT(((c_TMAP3IN)-(c_TMAP2IN)),2)))&lt;0,-1,0),IF(IF(o_WRAP=1,MOD(((c_TMAP3IN)-(c_TMAP2IN))*(((A684)-(c_TMAP2IN))*((c_TMAP3OUT)-(c_TMAP2OUT))+IF(((c_TMAP3OUT)-(c_TMAP2OUT))&gt;=0,1,-1)*QUOTIENT(((c_TMAP3IN)-(c_TMAP2IN)),2))+2147483648,4294967296)-2147483648,((c_TMAP3IN)-(c_TMAP2IN))*(((A684)-(c_TMAP2IN))*((c_TMAP3OUT)-(c_TMAP2OUT))+IF(((c_TMAP3OUT)-(c_TMAP2OUT))&gt;=0,1,-1)*QUOTIENT(((c_TMAP3IN)-(c_TMAP2IN)),2)))&gt;=0,1,0)))</f>
        <v>430</v>
      </c>
      <c r="G684" s="7" t="n">
        <f aca="false">IF(((1000)-(c_TMAP3IN))=0,(c_TMAP3OUT)+QUOTIENT(((1000)-(c_TMAP3OUT)),2),QUOTIENT((((A684)-(c_TMAP3IN))*((1000)-(c_TMAP3OUT))+IF(((1000)-(c_TMAP3OUT))&gt;=0,1,-1)*QUOTIENT(((1000)-(c_TMAP3IN)),2)),((1000)-(c_TMAP3IN)))+(c_TMAP3OUT)+IF(((1000)-(c_TMAP3OUT))&gt;=0,IF(IF(o_WRAP=1,MOD(((1000)-(c_TMAP3IN))*(((A684)-(c_TMAP3IN))*((1000)-(c_TMAP3OUT))+IF(((1000)-(c_TMAP3OUT))&gt;=0,1,-1)*QUOTIENT(((1000)-(c_TMAP3IN)),2))+2147483648,4294967296)-2147483648,((1000)-(c_TMAP3IN))*(((A684)-(c_TMAP3IN))*((1000)-(c_TMAP3OUT))+IF(((1000)-(c_TMAP3OUT))&gt;=0,1,-1)*QUOTIENT(((1000)-(c_TMAP3IN)),2)))&lt;0,-1,0),IF(IF(o_WRAP=1,MOD(((1000)-(c_TMAP3IN))*(((A684)-(c_TMAP3IN))*((1000)-(c_TMAP3OUT))+IF(((1000)-(c_TMAP3OUT))&gt;=0,1,-1)*QUOTIENT(((1000)-(c_TMAP3IN)),2))+2147483648,4294967296)-2147483648,((1000)-(c_TMAP3IN))*(((A684)-(c_TMAP3IN))*((1000)-(c_TMAP3OUT))+IF(((1000)-(c_TMAP3OUT))&gt;=0,1,-1)*QUOTIENT(((1000)-(c_TMAP3IN)),2)))&gt;=0,1,0)))</f>
        <v>605</v>
      </c>
      <c r="H684" s="7" t="str">
        <f aca="false">IF(A684&gt;=c_TFWD,IF(AND(A684&gt;=c_TMAP3IN,c_TMAP3IN&lt;1000),"Seg4 map3-100%",IF(AND(A684&gt;=c_TMAP2IN,c_TMAP3IN&gt;c_TMAP2IN),"Seg3 map2-map3",IF(AND(A684&gt;=c_TMAP1IN,c_TMAP2IN&gt;c_TMAP1IN),"Seg2 map1-map2","Seg1 TFWD-map1"))),IF(AND(A684=0,c_TCREEP&gt;0),"Creep",IF(AND(A684&lt;=c_TRNGMIN,A684&gt;=c_TRNGMAX,c_TRNGMIN-c_TRNGMAX&lt;&gt;0),"Regen ramp","Coast (0)")))</f>
        <v>Seg4 map3-100%</v>
      </c>
      <c r="I684" s="7" t="n">
        <f aca="false">IF(A684&gt;=c_TFWD,IF(AND(A684&gt;=c_TMAP3IN,c_TMAP3IN&lt;1000),G684,IF(AND(A684&gt;=c_TMAP2IN,c_TMAP3IN&gt;c_TMAP2IN),F684,IF(AND(A684&gt;=c_TMAP1IN,c_TMAP2IN&gt;c_TMAP1IN),E684,D684))),C684)</f>
        <v>605</v>
      </c>
      <c r="J684" s="7" t="str">
        <f aca="false">IF(I684&lt;-1090,"TOO LOW",IF(I684&gt;1090,"TOO HIGH",""))</f>
        <v/>
      </c>
      <c r="K684" s="15" t="n">
        <f aca="false">IF(J684&lt;&gt;"",0,IF(I684&gt;979,1000,I684))</f>
        <v>605</v>
      </c>
      <c r="L684" s="7" t="n">
        <f aca="false">K684/10</f>
        <v>60.5</v>
      </c>
    </row>
    <row r="685" customFormat="false" ht="15" hidden="false" customHeight="false" outlineLevel="0" collapsed="false">
      <c r="A685" s="7" t="n">
        <v>680</v>
      </c>
      <c r="B685" s="7" t="n">
        <f aca="false">A685/10</f>
        <v>68</v>
      </c>
      <c r="C685" s="7" t="n">
        <f aca="false">IF(AND(A685=0,c_TCREEP&gt;0),10*c_TCREEP,IF(AND(A685&lt;=c_TRNGMIN,A685&gt;=c_TRNGMAX,c_TRNGMIN-c_TRNGMAX&lt;&gt;0),-10*c_TMINRN+QUOTIENT((c_TMAXRN-c_TMINRN)*(100-QUOTIENT((A685-c_TRNGMAX)*100,c_TRNGMIN-c_TRNGMAX)),-10),0))</f>
        <v>0</v>
      </c>
      <c r="D685" s="7" t="n">
        <f aca="false">IF(((c_TMAP1IN)-(c_TFWD))=0,(0)+QUOTIENT(((c_TMAP1OUT)-(0)),2),QUOTIENT((((A685)-(c_TFWD))*((c_TMAP1OUT)-(0))+IF(((c_TMAP1OUT)-(0))&gt;=0,1,-1)*QUOTIENT(((c_TMAP1IN)-(c_TFWD)),2)),((c_TMAP1IN)-(c_TFWD)))+(0)+IF(((c_TMAP1OUT)-(0))&gt;=0,IF(IF(o_WRAP=1,MOD(((c_TMAP1IN)-(c_TFWD))*(((A685)-(c_TFWD))*((c_TMAP1OUT)-(0))+IF(((c_TMAP1OUT)-(0))&gt;=0,1,-1)*QUOTIENT(((c_TMAP1IN)-(c_TFWD)),2))+2147483648,4294967296)-2147483648,((c_TMAP1IN)-(c_TFWD))*(((A685)-(c_TFWD))*((c_TMAP1OUT)-(0))+IF(((c_TMAP1OUT)-(0))&gt;=0,1,-1)*QUOTIENT(((c_TMAP1IN)-(c_TFWD)),2)))&lt;0,-1,0),IF(IF(o_WRAP=1,MOD(((c_TMAP1IN)-(c_TFWD))*(((A685)-(c_TFWD))*((c_TMAP1OUT)-(0))+IF(((c_TMAP1OUT)-(0))&gt;=0,1,-1)*QUOTIENT(((c_TMAP1IN)-(c_TFWD)),2))+2147483648,4294967296)-2147483648,((c_TMAP1IN)-(c_TFWD))*(((A685)-(c_TFWD))*((c_TMAP1OUT)-(0))+IF(((c_TMAP1OUT)-(0))&gt;=0,1,-1)*QUOTIENT(((c_TMAP1IN)-(c_TFWD)),2)))&gt;=0,1,0)))</f>
        <v>521</v>
      </c>
      <c r="E685" s="7" t="n">
        <f aca="false">IF(((c_TMAP2IN)-(c_TMAP1IN))=0,(c_TMAP1OUT)+QUOTIENT(((c_TMAP2OUT)-(c_TMAP1OUT)),2),QUOTIENT((((A685)-(c_TMAP1IN))*((c_TMAP2OUT)-(c_TMAP1OUT))+IF(((c_TMAP2OUT)-(c_TMAP1OUT))&gt;=0,1,-1)*QUOTIENT(((c_TMAP2IN)-(c_TMAP1IN)),2)),((c_TMAP2IN)-(c_TMAP1IN)))+(c_TMAP1OUT)+IF(((c_TMAP2OUT)-(c_TMAP1OUT))&gt;=0,IF(IF(o_WRAP=1,MOD(((c_TMAP2IN)-(c_TMAP1IN))*(((A685)-(c_TMAP1IN))*((c_TMAP2OUT)-(c_TMAP1OUT))+IF(((c_TMAP2OUT)-(c_TMAP1OUT))&gt;=0,1,-1)*QUOTIENT(((c_TMAP2IN)-(c_TMAP1IN)),2))+2147483648,4294967296)-2147483648,((c_TMAP2IN)-(c_TMAP1IN))*(((A685)-(c_TMAP1IN))*((c_TMAP2OUT)-(c_TMAP1OUT))+IF(((c_TMAP2OUT)-(c_TMAP1OUT))&gt;=0,1,-1)*QUOTIENT(((c_TMAP2IN)-(c_TMAP1IN)),2)))&lt;0,-1,0),IF(IF(o_WRAP=1,MOD(((c_TMAP2IN)-(c_TMAP1IN))*(((A685)-(c_TMAP1IN))*((c_TMAP2OUT)-(c_TMAP1OUT))+IF(((c_TMAP2OUT)-(c_TMAP1OUT))&gt;=0,1,-1)*QUOTIENT(((c_TMAP2IN)-(c_TMAP1IN)),2))+2147483648,4294967296)-2147483648,((c_TMAP2IN)-(c_TMAP1IN))*(((A685)-(c_TMAP1IN))*((c_TMAP2OUT)-(c_TMAP1OUT))+IF(((c_TMAP2OUT)-(c_TMAP1OUT))&gt;=0,1,-1)*QUOTIENT(((c_TMAP2IN)-(c_TMAP1IN)),2)))&gt;=0,1,0)))</f>
        <v>302</v>
      </c>
      <c r="F685" s="7" t="n">
        <f aca="false">IF(((c_TMAP3IN)-(c_TMAP2IN))=0,(c_TMAP2OUT)+QUOTIENT(((c_TMAP3OUT)-(c_TMAP2OUT)),2),QUOTIENT((((A685)-(c_TMAP2IN))*((c_TMAP3OUT)-(c_TMAP2OUT))+IF(((c_TMAP3OUT)-(c_TMAP2OUT))&gt;=0,1,-1)*QUOTIENT(((c_TMAP3IN)-(c_TMAP2IN)),2)),((c_TMAP3IN)-(c_TMAP2IN)))+(c_TMAP2OUT)+IF(((c_TMAP3OUT)-(c_TMAP2OUT))&gt;=0,IF(IF(o_WRAP=1,MOD(((c_TMAP3IN)-(c_TMAP2IN))*(((A685)-(c_TMAP2IN))*((c_TMAP3OUT)-(c_TMAP2OUT))+IF(((c_TMAP3OUT)-(c_TMAP2OUT))&gt;=0,1,-1)*QUOTIENT(((c_TMAP3IN)-(c_TMAP2IN)),2))+2147483648,4294967296)-2147483648,((c_TMAP3IN)-(c_TMAP2IN))*(((A685)-(c_TMAP2IN))*((c_TMAP3OUT)-(c_TMAP2OUT))+IF(((c_TMAP3OUT)-(c_TMAP2OUT))&gt;=0,1,-1)*QUOTIENT(((c_TMAP3IN)-(c_TMAP2IN)),2)))&lt;0,-1,0),IF(IF(o_WRAP=1,MOD(((c_TMAP3IN)-(c_TMAP2IN))*(((A685)-(c_TMAP2IN))*((c_TMAP3OUT)-(c_TMAP2OUT))+IF(((c_TMAP3OUT)-(c_TMAP2OUT))&gt;=0,1,-1)*QUOTIENT(((c_TMAP3IN)-(c_TMAP2IN)),2))+2147483648,4294967296)-2147483648,((c_TMAP3IN)-(c_TMAP2IN))*(((A685)-(c_TMAP2IN))*((c_TMAP3OUT)-(c_TMAP2OUT))+IF(((c_TMAP3OUT)-(c_TMAP2OUT))&gt;=0,1,-1)*QUOTIENT(((c_TMAP3IN)-(c_TMAP2IN)),2)))&gt;=0,1,0)))</f>
        <v>431</v>
      </c>
      <c r="G685" s="7" t="n">
        <f aca="false">IF(((1000)-(c_TMAP3IN))=0,(c_TMAP3OUT)+QUOTIENT(((1000)-(c_TMAP3OUT)),2),QUOTIENT((((A685)-(c_TMAP3IN))*((1000)-(c_TMAP3OUT))+IF(((1000)-(c_TMAP3OUT))&gt;=0,1,-1)*QUOTIENT(((1000)-(c_TMAP3IN)),2)),((1000)-(c_TMAP3IN)))+(c_TMAP3OUT)+IF(((1000)-(c_TMAP3OUT))&gt;=0,IF(IF(o_WRAP=1,MOD(((1000)-(c_TMAP3IN))*(((A685)-(c_TMAP3IN))*((1000)-(c_TMAP3OUT))+IF(((1000)-(c_TMAP3OUT))&gt;=0,1,-1)*QUOTIENT(((1000)-(c_TMAP3IN)),2))+2147483648,4294967296)-2147483648,((1000)-(c_TMAP3IN))*(((A685)-(c_TMAP3IN))*((1000)-(c_TMAP3OUT))+IF(((1000)-(c_TMAP3OUT))&gt;=0,1,-1)*QUOTIENT(((1000)-(c_TMAP3IN)),2)))&lt;0,-1,0),IF(IF(o_WRAP=1,MOD(((1000)-(c_TMAP3IN))*(((A685)-(c_TMAP3IN))*((1000)-(c_TMAP3OUT))+IF(((1000)-(c_TMAP3OUT))&gt;=0,1,-1)*QUOTIENT(((1000)-(c_TMAP3IN)),2))+2147483648,4294967296)-2147483648,((1000)-(c_TMAP3IN))*(((A685)-(c_TMAP3IN))*((1000)-(c_TMAP3OUT))+IF(((1000)-(c_TMAP3OUT))&gt;=0,1,-1)*QUOTIENT(((1000)-(c_TMAP3IN)),2)))&gt;=0,1,0)))</f>
        <v>606</v>
      </c>
      <c r="H685" s="7" t="str">
        <f aca="false">IF(A685&gt;=c_TFWD,IF(AND(A685&gt;=c_TMAP3IN,c_TMAP3IN&lt;1000),"Seg4 map3-100%",IF(AND(A685&gt;=c_TMAP2IN,c_TMAP3IN&gt;c_TMAP2IN),"Seg3 map2-map3",IF(AND(A685&gt;=c_TMAP1IN,c_TMAP2IN&gt;c_TMAP1IN),"Seg2 map1-map2","Seg1 TFWD-map1"))),IF(AND(A685=0,c_TCREEP&gt;0),"Creep",IF(AND(A685&lt;=c_TRNGMIN,A685&gt;=c_TRNGMAX,c_TRNGMIN-c_TRNGMAX&lt;&gt;0),"Regen ramp","Coast (0)")))</f>
        <v>Seg4 map3-100%</v>
      </c>
      <c r="I685" s="7" t="n">
        <f aca="false">IF(A685&gt;=c_TFWD,IF(AND(A685&gt;=c_TMAP3IN,c_TMAP3IN&lt;1000),G685,IF(AND(A685&gt;=c_TMAP2IN,c_TMAP3IN&gt;c_TMAP2IN),F685,IF(AND(A685&gt;=c_TMAP1IN,c_TMAP2IN&gt;c_TMAP1IN),E685,D685))),C685)</f>
        <v>606</v>
      </c>
      <c r="J685" s="7" t="str">
        <f aca="false">IF(I685&lt;-1090,"TOO LOW",IF(I685&gt;1090,"TOO HIGH",""))</f>
        <v/>
      </c>
      <c r="K685" s="15" t="n">
        <f aca="false">IF(J685&lt;&gt;"",0,IF(I685&gt;979,1000,I685))</f>
        <v>606</v>
      </c>
      <c r="L685" s="7" t="n">
        <f aca="false">K685/10</f>
        <v>60.6</v>
      </c>
    </row>
    <row r="686" customFormat="false" ht="15" hidden="false" customHeight="false" outlineLevel="0" collapsed="false">
      <c r="A686" s="7" t="n">
        <v>681</v>
      </c>
      <c r="B686" s="7" t="n">
        <f aca="false">A686/10</f>
        <v>68.1</v>
      </c>
      <c r="C686" s="7" t="n">
        <f aca="false">IF(AND(A686=0,c_TCREEP&gt;0),10*c_TCREEP,IF(AND(A686&lt;=c_TRNGMIN,A686&gt;=c_TRNGMAX,c_TRNGMIN-c_TRNGMAX&lt;&gt;0),-10*c_TMINRN+QUOTIENT((c_TMAXRN-c_TMINRN)*(100-QUOTIENT((A686-c_TRNGMAX)*100,c_TRNGMIN-c_TRNGMAX)),-10),0))</f>
        <v>0</v>
      </c>
      <c r="D686" s="7" t="n">
        <f aca="false">IF(((c_TMAP1IN)-(c_TFWD))=0,(0)+QUOTIENT(((c_TMAP1OUT)-(0)),2),QUOTIENT((((A686)-(c_TFWD))*((c_TMAP1OUT)-(0))+IF(((c_TMAP1OUT)-(0))&gt;=0,1,-1)*QUOTIENT(((c_TMAP1IN)-(c_TFWD)),2)),((c_TMAP1IN)-(c_TFWD)))+(0)+IF(((c_TMAP1OUT)-(0))&gt;=0,IF(IF(o_WRAP=1,MOD(((c_TMAP1IN)-(c_TFWD))*(((A686)-(c_TFWD))*((c_TMAP1OUT)-(0))+IF(((c_TMAP1OUT)-(0))&gt;=0,1,-1)*QUOTIENT(((c_TMAP1IN)-(c_TFWD)),2))+2147483648,4294967296)-2147483648,((c_TMAP1IN)-(c_TFWD))*(((A686)-(c_TFWD))*((c_TMAP1OUT)-(0))+IF(((c_TMAP1OUT)-(0))&gt;=0,1,-1)*QUOTIENT(((c_TMAP1IN)-(c_TFWD)),2)))&lt;0,-1,0),IF(IF(o_WRAP=1,MOD(((c_TMAP1IN)-(c_TFWD))*(((A686)-(c_TFWD))*((c_TMAP1OUT)-(0))+IF(((c_TMAP1OUT)-(0))&gt;=0,1,-1)*QUOTIENT(((c_TMAP1IN)-(c_TFWD)),2))+2147483648,4294967296)-2147483648,((c_TMAP1IN)-(c_TFWD))*(((A686)-(c_TFWD))*((c_TMAP1OUT)-(0))+IF(((c_TMAP1OUT)-(0))&gt;=0,1,-1)*QUOTIENT(((c_TMAP1IN)-(c_TFWD)),2)))&gt;=0,1,0)))</f>
        <v>522</v>
      </c>
      <c r="E686" s="7" t="n">
        <f aca="false">IF(((c_TMAP2IN)-(c_TMAP1IN))=0,(c_TMAP1OUT)+QUOTIENT(((c_TMAP2OUT)-(c_TMAP1OUT)),2),QUOTIENT((((A686)-(c_TMAP1IN))*((c_TMAP2OUT)-(c_TMAP1OUT))+IF(((c_TMAP2OUT)-(c_TMAP1OUT))&gt;=0,1,-1)*QUOTIENT(((c_TMAP2IN)-(c_TMAP1IN)),2)),((c_TMAP2IN)-(c_TMAP1IN)))+(c_TMAP1OUT)+IF(((c_TMAP2OUT)-(c_TMAP1OUT))&gt;=0,IF(IF(o_WRAP=1,MOD(((c_TMAP2IN)-(c_TMAP1IN))*(((A686)-(c_TMAP1IN))*((c_TMAP2OUT)-(c_TMAP1OUT))+IF(((c_TMAP2OUT)-(c_TMAP1OUT))&gt;=0,1,-1)*QUOTIENT(((c_TMAP2IN)-(c_TMAP1IN)),2))+2147483648,4294967296)-2147483648,((c_TMAP2IN)-(c_TMAP1IN))*(((A686)-(c_TMAP1IN))*((c_TMAP2OUT)-(c_TMAP1OUT))+IF(((c_TMAP2OUT)-(c_TMAP1OUT))&gt;=0,1,-1)*QUOTIENT(((c_TMAP2IN)-(c_TMAP1IN)),2)))&lt;0,-1,0),IF(IF(o_WRAP=1,MOD(((c_TMAP2IN)-(c_TMAP1IN))*(((A686)-(c_TMAP1IN))*((c_TMAP2OUT)-(c_TMAP1OUT))+IF(((c_TMAP2OUT)-(c_TMAP1OUT))&gt;=0,1,-1)*QUOTIENT(((c_TMAP2IN)-(c_TMAP1IN)),2))+2147483648,4294967296)-2147483648,((c_TMAP2IN)-(c_TMAP1IN))*(((A686)-(c_TMAP1IN))*((c_TMAP2OUT)-(c_TMAP1OUT))+IF(((c_TMAP2OUT)-(c_TMAP1OUT))&gt;=0,1,-1)*QUOTIENT(((c_TMAP2IN)-(c_TMAP1IN)),2)))&gt;=0,1,0)))</f>
        <v>302</v>
      </c>
      <c r="F686" s="7" t="n">
        <f aca="false">IF(((c_TMAP3IN)-(c_TMAP2IN))=0,(c_TMAP2OUT)+QUOTIENT(((c_TMAP3OUT)-(c_TMAP2OUT)),2),QUOTIENT((((A686)-(c_TMAP2IN))*((c_TMAP3OUT)-(c_TMAP2OUT))+IF(((c_TMAP3OUT)-(c_TMAP2OUT))&gt;=0,1,-1)*QUOTIENT(((c_TMAP3IN)-(c_TMAP2IN)),2)),((c_TMAP3IN)-(c_TMAP2IN)))+(c_TMAP2OUT)+IF(((c_TMAP3OUT)-(c_TMAP2OUT))&gt;=0,IF(IF(o_WRAP=1,MOD(((c_TMAP3IN)-(c_TMAP2IN))*(((A686)-(c_TMAP2IN))*((c_TMAP3OUT)-(c_TMAP2OUT))+IF(((c_TMAP3OUT)-(c_TMAP2OUT))&gt;=0,1,-1)*QUOTIENT(((c_TMAP3IN)-(c_TMAP2IN)),2))+2147483648,4294967296)-2147483648,((c_TMAP3IN)-(c_TMAP2IN))*(((A686)-(c_TMAP2IN))*((c_TMAP3OUT)-(c_TMAP2OUT))+IF(((c_TMAP3OUT)-(c_TMAP2OUT))&gt;=0,1,-1)*QUOTIENT(((c_TMAP3IN)-(c_TMAP2IN)),2)))&lt;0,-1,0),IF(IF(o_WRAP=1,MOD(((c_TMAP3IN)-(c_TMAP2IN))*(((A686)-(c_TMAP2IN))*((c_TMAP3OUT)-(c_TMAP2OUT))+IF(((c_TMAP3OUT)-(c_TMAP2OUT))&gt;=0,1,-1)*QUOTIENT(((c_TMAP3IN)-(c_TMAP2IN)),2))+2147483648,4294967296)-2147483648,((c_TMAP3IN)-(c_TMAP2IN))*(((A686)-(c_TMAP2IN))*((c_TMAP3OUT)-(c_TMAP2OUT))+IF(((c_TMAP3OUT)-(c_TMAP2OUT))&gt;=0,1,-1)*QUOTIENT(((c_TMAP3IN)-(c_TMAP2IN)),2)))&gt;=0,1,0)))</f>
        <v>432</v>
      </c>
      <c r="G686" s="7" t="n">
        <f aca="false">IF(((1000)-(c_TMAP3IN))=0,(c_TMAP3OUT)+QUOTIENT(((1000)-(c_TMAP3OUT)),2),QUOTIENT((((A686)-(c_TMAP3IN))*((1000)-(c_TMAP3OUT))+IF(((1000)-(c_TMAP3OUT))&gt;=0,1,-1)*QUOTIENT(((1000)-(c_TMAP3IN)),2)),((1000)-(c_TMAP3IN)))+(c_TMAP3OUT)+IF(((1000)-(c_TMAP3OUT))&gt;=0,IF(IF(o_WRAP=1,MOD(((1000)-(c_TMAP3IN))*(((A686)-(c_TMAP3IN))*((1000)-(c_TMAP3OUT))+IF(((1000)-(c_TMAP3OUT))&gt;=0,1,-1)*QUOTIENT(((1000)-(c_TMAP3IN)),2))+2147483648,4294967296)-2147483648,((1000)-(c_TMAP3IN))*(((A686)-(c_TMAP3IN))*((1000)-(c_TMAP3OUT))+IF(((1000)-(c_TMAP3OUT))&gt;=0,1,-1)*QUOTIENT(((1000)-(c_TMAP3IN)),2)))&lt;0,-1,0),IF(IF(o_WRAP=1,MOD(((1000)-(c_TMAP3IN))*(((A686)-(c_TMAP3IN))*((1000)-(c_TMAP3OUT))+IF(((1000)-(c_TMAP3OUT))&gt;=0,1,-1)*QUOTIENT(((1000)-(c_TMAP3IN)),2))+2147483648,4294967296)-2147483648,((1000)-(c_TMAP3IN))*(((A686)-(c_TMAP3IN))*((1000)-(c_TMAP3OUT))+IF(((1000)-(c_TMAP3OUT))&gt;=0,1,-1)*QUOTIENT(((1000)-(c_TMAP3IN)),2)))&gt;=0,1,0)))</f>
        <v>607</v>
      </c>
      <c r="H686" s="7" t="str">
        <f aca="false">IF(A686&gt;=c_TFWD,IF(AND(A686&gt;=c_TMAP3IN,c_TMAP3IN&lt;1000),"Seg4 map3-100%",IF(AND(A686&gt;=c_TMAP2IN,c_TMAP3IN&gt;c_TMAP2IN),"Seg3 map2-map3",IF(AND(A686&gt;=c_TMAP1IN,c_TMAP2IN&gt;c_TMAP1IN),"Seg2 map1-map2","Seg1 TFWD-map1"))),IF(AND(A686=0,c_TCREEP&gt;0),"Creep",IF(AND(A686&lt;=c_TRNGMIN,A686&gt;=c_TRNGMAX,c_TRNGMIN-c_TRNGMAX&lt;&gt;0),"Regen ramp","Coast (0)")))</f>
        <v>Seg4 map3-100%</v>
      </c>
      <c r="I686" s="7" t="n">
        <f aca="false">IF(A686&gt;=c_TFWD,IF(AND(A686&gt;=c_TMAP3IN,c_TMAP3IN&lt;1000),G686,IF(AND(A686&gt;=c_TMAP2IN,c_TMAP3IN&gt;c_TMAP2IN),F686,IF(AND(A686&gt;=c_TMAP1IN,c_TMAP2IN&gt;c_TMAP1IN),E686,D686))),C686)</f>
        <v>607</v>
      </c>
      <c r="J686" s="7" t="str">
        <f aca="false">IF(I686&lt;-1090,"TOO LOW",IF(I686&gt;1090,"TOO HIGH",""))</f>
        <v/>
      </c>
      <c r="K686" s="15" t="n">
        <f aca="false">IF(J686&lt;&gt;"",0,IF(I686&gt;979,1000,I686))</f>
        <v>607</v>
      </c>
      <c r="L686" s="7" t="n">
        <f aca="false">K686/10</f>
        <v>60.7</v>
      </c>
    </row>
    <row r="687" customFormat="false" ht="15" hidden="false" customHeight="false" outlineLevel="0" collapsed="false">
      <c r="A687" s="7" t="n">
        <v>682</v>
      </c>
      <c r="B687" s="7" t="n">
        <f aca="false">A687/10</f>
        <v>68.2</v>
      </c>
      <c r="C687" s="7" t="n">
        <f aca="false">IF(AND(A687=0,c_TCREEP&gt;0),10*c_TCREEP,IF(AND(A687&lt;=c_TRNGMIN,A687&gt;=c_TRNGMAX,c_TRNGMIN-c_TRNGMAX&lt;&gt;0),-10*c_TMINRN+QUOTIENT((c_TMAXRN-c_TMINRN)*(100-QUOTIENT((A687-c_TRNGMAX)*100,c_TRNGMIN-c_TRNGMAX)),-10),0))</f>
        <v>0</v>
      </c>
      <c r="D687" s="7" t="n">
        <f aca="false">IF(((c_TMAP1IN)-(c_TFWD))=0,(0)+QUOTIENT(((c_TMAP1OUT)-(0)),2),QUOTIENT((((A687)-(c_TFWD))*((c_TMAP1OUT)-(0))+IF(((c_TMAP1OUT)-(0))&gt;=0,1,-1)*QUOTIENT(((c_TMAP1IN)-(c_TFWD)),2)),((c_TMAP1IN)-(c_TFWD)))+(0)+IF(((c_TMAP1OUT)-(0))&gt;=0,IF(IF(o_WRAP=1,MOD(((c_TMAP1IN)-(c_TFWD))*(((A687)-(c_TFWD))*((c_TMAP1OUT)-(0))+IF(((c_TMAP1OUT)-(0))&gt;=0,1,-1)*QUOTIENT(((c_TMAP1IN)-(c_TFWD)),2))+2147483648,4294967296)-2147483648,((c_TMAP1IN)-(c_TFWD))*(((A687)-(c_TFWD))*((c_TMAP1OUT)-(0))+IF(((c_TMAP1OUT)-(0))&gt;=0,1,-1)*QUOTIENT(((c_TMAP1IN)-(c_TFWD)),2)))&lt;0,-1,0),IF(IF(o_WRAP=1,MOD(((c_TMAP1IN)-(c_TFWD))*(((A687)-(c_TFWD))*((c_TMAP1OUT)-(0))+IF(((c_TMAP1OUT)-(0))&gt;=0,1,-1)*QUOTIENT(((c_TMAP1IN)-(c_TFWD)),2))+2147483648,4294967296)-2147483648,((c_TMAP1IN)-(c_TFWD))*(((A687)-(c_TFWD))*((c_TMAP1OUT)-(0))+IF(((c_TMAP1OUT)-(0))&gt;=0,1,-1)*QUOTIENT(((c_TMAP1IN)-(c_TFWD)),2)))&gt;=0,1,0)))</f>
        <v>523</v>
      </c>
      <c r="E687" s="7" t="n">
        <f aca="false">IF(((c_TMAP2IN)-(c_TMAP1IN))=0,(c_TMAP1OUT)+QUOTIENT(((c_TMAP2OUT)-(c_TMAP1OUT)),2),QUOTIENT((((A687)-(c_TMAP1IN))*((c_TMAP2OUT)-(c_TMAP1OUT))+IF(((c_TMAP2OUT)-(c_TMAP1OUT))&gt;=0,1,-1)*QUOTIENT(((c_TMAP2IN)-(c_TMAP1IN)),2)),((c_TMAP2IN)-(c_TMAP1IN)))+(c_TMAP1OUT)+IF(((c_TMAP2OUT)-(c_TMAP1OUT))&gt;=0,IF(IF(o_WRAP=1,MOD(((c_TMAP2IN)-(c_TMAP1IN))*(((A687)-(c_TMAP1IN))*((c_TMAP2OUT)-(c_TMAP1OUT))+IF(((c_TMAP2OUT)-(c_TMAP1OUT))&gt;=0,1,-1)*QUOTIENT(((c_TMAP2IN)-(c_TMAP1IN)),2))+2147483648,4294967296)-2147483648,((c_TMAP2IN)-(c_TMAP1IN))*(((A687)-(c_TMAP1IN))*((c_TMAP2OUT)-(c_TMAP1OUT))+IF(((c_TMAP2OUT)-(c_TMAP1OUT))&gt;=0,1,-1)*QUOTIENT(((c_TMAP2IN)-(c_TMAP1IN)),2)))&lt;0,-1,0),IF(IF(o_WRAP=1,MOD(((c_TMAP2IN)-(c_TMAP1IN))*(((A687)-(c_TMAP1IN))*((c_TMAP2OUT)-(c_TMAP1OUT))+IF(((c_TMAP2OUT)-(c_TMAP1OUT))&gt;=0,1,-1)*QUOTIENT(((c_TMAP2IN)-(c_TMAP1IN)),2))+2147483648,4294967296)-2147483648,((c_TMAP2IN)-(c_TMAP1IN))*(((A687)-(c_TMAP1IN))*((c_TMAP2OUT)-(c_TMAP1OUT))+IF(((c_TMAP2OUT)-(c_TMAP1OUT))&gt;=0,1,-1)*QUOTIENT(((c_TMAP2IN)-(c_TMAP1IN)),2)))&gt;=0,1,0)))</f>
        <v>303</v>
      </c>
      <c r="F687" s="7" t="n">
        <f aca="false">IF(((c_TMAP3IN)-(c_TMAP2IN))=0,(c_TMAP2OUT)+QUOTIENT(((c_TMAP3OUT)-(c_TMAP2OUT)),2),QUOTIENT((((A687)-(c_TMAP2IN))*((c_TMAP3OUT)-(c_TMAP2OUT))+IF(((c_TMAP3OUT)-(c_TMAP2OUT))&gt;=0,1,-1)*QUOTIENT(((c_TMAP3IN)-(c_TMAP2IN)),2)),((c_TMAP3IN)-(c_TMAP2IN)))+(c_TMAP2OUT)+IF(((c_TMAP3OUT)-(c_TMAP2OUT))&gt;=0,IF(IF(o_WRAP=1,MOD(((c_TMAP3IN)-(c_TMAP2IN))*(((A687)-(c_TMAP2IN))*((c_TMAP3OUT)-(c_TMAP2OUT))+IF(((c_TMAP3OUT)-(c_TMAP2OUT))&gt;=0,1,-1)*QUOTIENT(((c_TMAP3IN)-(c_TMAP2IN)),2))+2147483648,4294967296)-2147483648,((c_TMAP3IN)-(c_TMAP2IN))*(((A687)-(c_TMAP2IN))*((c_TMAP3OUT)-(c_TMAP2OUT))+IF(((c_TMAP3OUT)-(c_TMAP2OUT))&gt;=0,1,-1)*QUOTIENT(((c_TMAP3IN)-(c_TMAP2IN)),2)))&lt;0,-1,0),IF(IF(o_WRAP=1,MOD(((c_TMAP3IN)-(c_TMAP2IN))*(((A687)-(c_TMAP2IN))*((c_TMAP3OUT)-(c_TMAP2OUT))+IF(((c_TMAP3OUT)-(c_TMAP2OUT))&gt;=0,1,-1)*QUOTIENT(((c_TMAP3IN)-(c_TMAP2IN)),2))+2147483648,4294967296)-2147483648,((c_TMAP3IN)-(c_TMAP2IN))*(((A687)-(c_TMAP2IN))*((c_TMAP3OUT)-(c_TMAP2OUT))+IF(((c_TMAP3OUT)-(c_TMAP2OUT))&gt;=0,1,-1)*QUOTIENT(((c_TMAP3IN)-(c_TMAP2IN)),2)))&gt;=0,1,0)))</f>
        <v>432</v>
      </c>
      <c r="G687" s="7" t="n">
        <f aca="false">IF(((1000)-(c_TMAP3IN))=0,(c_TMAP3OUT)+QUOTIENT(((1000)-(c_TMAP3OUT)),2),QUOTIENT((((A687)-(c_TMAP3IN))*((1000)-(c_TMAP3OUT))+IF(((1000)-(c_TMAP3OUT))&gt;=0,1,-1)*QUOTIENT(((1000)-(c_TMAP3IN)),2)),((1000)-(c_TMAP3IN)))+(c_TMAP3OUT)+IF(((1000)-(c_TMAP3OUT))&gt;=0,IF(IF(o_WRAP=1,MOD(((1000)-(c_TMAP3IN))*(((A687)-(c_TMAP3IN))*((1000)-(c_TMAP3OUT))+IF(((1000)-(c_TMAP3OUT))&gt;=0,1,-1)*QUOTIENT(((1000)-(c_TMAP3IN)),2))+2147483648,4294967296)-2147483648,((1000)-(c_TMAP3IN))*(((A687)-(c_TMAP3IN))*((1000)-(c_TMAP3OUT))+IF(((1000)-(c_TMAP3OUT))&gt;=0,1,-1)*QUOTIENT(((1000)-(c_TMAP3IN)),2)))&lt;0,-1,0),IF(IF(o_WRAP=1,MOD(((1000)-(c_TMAP3IN))*(((A687)-(c_TMAP3IN))*((1000)-(c_TMAP3OUT))+IF(((1000)-(c_TMAP3OUT))&gt;=0,1,-1)*QUOTIENT(((1000)-(c_TMAP3IN)),2))+2147483648,4294967296)-2147483648,((1000)-(c_TMAP3IN))*(((A687)-(c_TMAP3IN))*((1000)-(c_TMAP3OUT))+IF(((1000)-(c_TMAP3OUT))&gt;=0,1,-1)*QUOTIENT(((1000)-(c_TMAP3IN)),2)))&gt;=0,1,0)))</f>
        <v>609</v>
      </c>
      <c r="H687" s="7" t="str">
        <f aca="false">IF(A687&gt;=c_TFWD,IF(AND(A687&gt;=c_TMAP3IN,c_TMAP3IN&lt;1000),"Seg4 map3-100%",IF(AND(A687&gt;=c_TMAP2IN,c_TMAP3IN&gt;c_TMAP2IN),"Seg3 map2-map3",IF(AND(A687&gt;=c_TMAP1IN,c_TMAP2IN&gt;c_TMAP1IN),"Seg2 map1-map2","Seg1 TFWD-map1"))),IF(AND(A687=0,c_TCREEP&gt;0),"Creep",IF(AND(A687&lt;=c_TRNGMIN,A687&gt;=c_TRNGMAX,c_TRNGMIN-c_TRNGMAX&lt;&gt;0),"Regen ramp","Coast (0)")))</f>
        <v>Seg4 map3-100%</v>
      </c>
      <c r="I687" s="7" t="n">
        <f aca="false">IF(A687&gt;=c_TFWD,IF(AND(A687&gt;=c_TMAP3IN,c_TMAP3IN&lt;1000),G687,IF(AND(A687&gt;=c_TMAP2IN,c_TMAP3IN&gt;c_TMAP2IN),F687,IF(AND(A687&gt;=c_TMAP1IN,c_TMAP2IN&gt;c_TMAP1IN),E687,D687))),C687)</f>
        <v>609</v>
      </c>
      <c r="J687" s="7" t="str">
        <f aca="false">IF(I687&lt;-1090,"TOO LOW",IF(I687&gt;1090,"TOO HIGH",""))</f>
        <v/>
      </c>
      <c r="K687" s="15" t="n">
        <f aca="false">IF(J687&lt;&gt;"",0,IF(I687&gt;979,1000,I687))</f>
        <v>609</v>
      </c>
      <c r="L687" s="7" t="n">
        <f aca="false">K687/10</f>
        <v>60.9</v>
      </c>
    </row>
    <row r="688" customFormat="false" ht="15" hidden="false" customHeight="false" outlineLevel="0" collapsed="false">
      <c r="A688" s="7" t="n">
        <v>683</v>
      </c>
      <c r="B688" s="7" t="n">
        <f aca="false">A688/10</f>
        <v>68.3</v>
      </c>
      <c r="C688" s="7" t="n">
        <f aca="false">IF(AND(A688=0,c_TCREEP&gt;0),10*c_TCREEP,IF(AND(A688&lt;=c_TRNGMIN,A688&gt;=c_TRNGMAX,c_TRNGMIN-c_TRNGMAX&lt;&gt;0),-10*c_TMINRN+QUOTIENT((c_TMAXRN-c_TMINRN)*(100-QUOTIENT((A688-c_TRNGMAX)*100,c_TRNGMIN-c_TRNGMAX)),-10),0))</f>
        <v>0</v>
      </c>
      <c r="D688" s="7" t="n">
        <f aca="false">IF(((c_TMAP1IN)-(c_TFWD))=0,(0)+QUOTIENT(((c_TMAP1OUT)-(0)),2),QUOTIENT((((A688)-(c_TFWD))*((c_TMAP1OUT)-(0))+IF(((c_TMAP1OUT)-(0))&gt;=0,1,-1)*QUOTIENT(((c_TMAP1IN)-(c_TFWD)),2)),((c_TMAP1IN)-(c_TFWD)))+(0)+IF(((c_TMAP1OUT)-(0))&gt;=0,IF(IF(o_WRAP=1,MOD(((c_TMAP1IN)-(c_TFWD))*(((A688)-(c_TFWD))*((c_TMAP1OUT)-(0))+IF(((c_TMAP1OUT)-(0))&gt;=0,1,-1)*QUOTIENT(((c_TMAP1IN)-(c_TFWD)),2))+2147483648,4294967296)-2147483648,((c_TMAP1IN)-(c_TFWD))*(((A688)-(c_TFWD))*((c_TMAP1OUT)-(0))+IF(((c_TMAP1OUT)-(0))&gt;=0,1,-1)*QUOTIENT(((c_TMAP1IN)-(c_TFWD)),2)))&lt;0,-1,0),IF(IF(o_WRAP=1,MOD(((c_TMAP1IN)-(c_TFWD))*(((A688)-(c_TFWD))*((c_TMAP1OUT)-(0))+IF(((c_TMAP1OUT)-(0))&gt;=0,1,-1)*QUOTIENT(((c_TMAP1IN)-(c_TFWD)),2))+2147483648,4294967296)-2147483648,((c_TMAP1IN)-(c_TFWD))*(((A688)-(c_TFWD))*((c_TMAP1OUT)-(0))+IF(((c_TMAP1OUT)-(0))&gt;=0,1,-1)*QUOTIENT(((c_TMAP1IN)-(c_TFWD)),2)))&gt;=0,1,0)))</f>
        <v>523</v>
      </c>
      <c r="E688" s="7" t="n">
        <f aca="false">IF(((c_TMAP2IN)-(c_TMAP1IN))=0,(c_TMAP1OUT)+QUOTIENT(((c_TMAP2OUT)-(c_TMAP1OUT)),2),QUOTIENT((((A688)-(c_TMAP1IN))*((c_TMAP2OUT)-(c_TMAP1OUT))+IF(((c_TMAP2OUT)-(c_TMAP1OUT))&gt;=0,1,-1)*QUOTIENT(((c_TMAP2IN)-(c_TMAP1IN)),2)),((c_TMAP2IN)-(c_TMAP1IN)))+(c_TMAP1OUT)+IF(((c_TMAP2OUT)-(c_TMAP1OUT))&gt;=0,IF(IF(o_WRAP=1,MOD(((c_TMAP2IN)-(c_TMAP1IN))*(((A688)-(c_TMAP1IN))*((c_TMAP2OUT)-(c_TMAP1OUT))+IF(((c_TMAP2OUT)-(c_TMAP1OUT))&gt;=0,1,-1)*QUOTIENT(((c_TMAP2IN)-(c_TMAP1IN)),2))+2147483648,4294967296)-2147483648,((c_TMAP2IN)-(c_TMAP1IN))*(((A688)-(c_TMAP1IN))*((c_TMAP2OUT)-(c_TMAP1OUT))+IF(((c_TMAP2OUT)-(c_TMAP1OUT))&gt;=0,1,-1)*QUOTIENT(((c_TMAP2IN)-(c_TMAP1IN)),2)))&lt;0,-1,0),IF(IF(o_WRAP=1,MOD(((c_TMAP2IN)-(c_TMAP1IN))*(((A688)-(c_TMAP1IN))*((c_TMAP2OUT)-(c_TMAP1OUT))+IF(((c_TMAP2OUT)-(c_TMAP1OUT))&gt;=0,1,-1)*QUOTIENT(((c_TMAP2IN)-(c_TMAP1IN)),2))+2147483648,4294967296)-2147483648,((c_TMAP2IN)-(c_TMAP1IN))*(((A688)-(c_TMAP1IN))*((c_TMAP2OUT)-(c_TMAP1OUT))+IF(((c_TMAP2OUT)-(c_TMAP1OUT))&gt;=0,1,-1)*QUOTIENT(((c_TMAP2IN)-(c_TMAP1IN)),2)))&gt;=0,1,0)))</f>
        <v>303</v>
      </c>
      <c r="F688" s="7" t="n">
        <f aca="false">IF(((c_TMAP3IN)-(c_TMAP2IN))=0,(c_TMAP2OUT)+QUOTIENT(((c_TMAP3OUT)-(c_TMAP2OUT)),2),QUOTIENT((((A688)-(c_TMAP2IN))*((c_TMAP3OUT)-(c_TMAP2OUT))+IF(((c_TMAP3OUT)-(c_TMAP2OUT))&gt;=0,1,-1)*QUOTIENT(((c_TMAP3IN)-(c_TMAP2IN)),2)),((c_TMAP3IN)-(c_TMAP2IN)))+(c_TMAP2OUT)+IF(((c_TMAP3OUT)-(c_TMAP2OUT))&gt;=0,IF(IF(o_WRAP=1,MOD(((c_TMAP3IN)-(c_TMAP2IN))*(((A688)-(c_TMAP2IN))*((c_TMAP3OUT)-(c_TMAP2OUT))+IF(((c_TMAP3OUT)-(c_TMAP2OUT))&gt;=0,1,-1)*QUOTIENT(((c_TMAP3IN)-(c_TMAP2IN)),2))+2147483648,4294967296)-2147483648,((c_TMAP3IN)-(c_TMAP2IN))*(((A688)-(c_TMAP2IN))*((c_TMAP3OUT)-(c_TMAP2OUT))+IF(((c_TMAP3OUT)-(c_TMAP2OUT))&gt;=0,1,-1)*QUOTIENT(((c_TMAP3IN)-(c_TMAP2IN)),2)))&lt;0,-1,0),IF(IF(o_WRAP=1,MOD(((c_TMAP3IN)-(c_TMAP2IN))*(((A688)-(c_TMAP2IN))*((c_TMAP3OUT)-(c_TMAP2OUT))+IF(((c_TMAP3OUT)-(c_TMAP2OUT))&gt;=0,1,-1)*QUOTIENT(((c_TMAP3IN)-(c_TMAP2IN)),2))+2147483648,4294967296)-2147483648,((c_TMAP3IN)-(c_TMAP2IN))*(((A688)-(c_TMAP2IN))*((c_TMAP3OUT)-(c_TMAP2OUT))+IF(((c_TMAP3OUT)-(c_TMAP2OUT))&gt;=0,1,-1)*QUOTIENT(((c_TMAP3IN)-(c_TMAP2IN)),2)))&gt;=0,1,0)))</f>
        <v>433</v>
      </c>
      <c r="G688" s="7" t="n">
        <f aca="false">IF(((1000)-(c_TMAP3IN))=0,(c_TMAP3OUT)+QUOTIENT(((1000)-(c_TMAP3OUT)),2),QUOTIENT((((A688)-(c_TMAP3IN))*((1000)-(c_TMAP3OUT))+IF(((1000)-(c_TMAP3OUT))&gt;=0,1,-1)*QUOTIENT(((1000)-(c_TMAP3IN)),2)),((1000)-(c_TMAP3IN)))+(c_TMAP3OUT)+IF(((1000)-(c_TMAP3OUT))&gt;=0,IF(IF(o_WRAP=1,MOD(((1000)-(c_TMAP3IN))*(((A688)-(c_TMAP3IN))*((1000)-(c_TMAP3OUT))+IF(((1000)-(c_TMAP3OUT))&gt;=0,1,-1)*QUOTIENT(((1000)-(c_TMAP3IN)),2))+2147483648,4294967296)-2147483648,((1000)-(c_TMAP3IN))*(((A688)-(c_TMAP3IN))*((1000)-(c_TMAP3OUT))+IF(((1000)-(c_TMAP3OUT))&gt;=0,1,-1)*QUOTIENT(((1000)-(c_TMAP3IN)),2)))&lt;0,-1,0),IF(IF(o_WRAP=1,MOD(((1000)-(c_TMAP3IN))*(((A688)-(c_TMAP3IN))*((1000)-(c_TMAP3OUT))+IF(((1000)-(c_TMAP3OUT))&gt;=0,1,-1)*QUOTIENT(((1000)-(c_TMAP3IN)),2))+2147483648,4294967296)-2147483648,((1000)-(c_TMAP3IN))*(((A688)-(c_TMAP3IN))*((1000)-(c_TMAP3OUT))+IF(((1000)-(c_TMAP3OUT))&gt;=0,1,-1)*QUOTIENT(((1000)-(c_TMAP3IN)),2)))&gt;=0,1,0)))</f>
        <v>610</v>
      </c>
      <c r="H688" s="7" t="str">
        <f aca="false">IF(A688&gt;=c_TFWD,IF(AND(A688&gt;=c_TMAP3IN,c_TMAP3IN&lt;1000),"Seg4 map3-100%",IF(AND(A688&gt;=c_TMAP2IN,c_TMAP3IN&gt;c_TMAP2IN),"Seg3 map2-map3",IF(AND(A688&gt;=c_TMAP1IN,c_TMAP2IN&gt;c_TMAP1IN),"Seg2 map1-map2","Seg1 TFWD-map1"))),IF(AND(A688=0,c_TCREEP&gt;0),"Creep",IF(AND(A688&lt;=c_TRNGMIN,A688&gt;=c_TRNGMAX,c_TRNGMIN-c_TRNGMAX&lt;&gt;0),"Regen ramp","Coast (0)")))</f>
        <v>Seg4 map3-100%</v>
      </c>
      <c r="I688" s="7" t="n">
        <f aca="false">IF(A688&gt;=c_TFWD,IF(AND(A688&gt;=c_TMAP3IN,c_TMAP3IN&lt;1000),G688,IF(AND(A688&gt;=c_TMAP2IN,c_TMAP3IN&gt;c_TMAP2IN),F688,IF(AND(A688&gt;=c_TMAP1IN,c_TMAP2IN&gt;c_TMAP1IN),E688,D688))),C688)</f>
        <v>610</v>
      </c>
      <c r="J688" s="7" t="str">
        <f aca="false">IF(I688&lt;-1090,"TOO LOW",IF(I688&gt;1090,"TOO HIGH",""))</f>
        <v/>
      </c>
      <c r="K688" s="15" t="n">
        <f aca="false">IF(J688&lt;&gt;"",0,IF(I688&gt;979,1000,I688))</f>
        <v>610</v>
      </c>
      <c r="L688" s="7" t="n">
        <f aca="false">K688/10</f>
        <v>61</v>
      </c>
    </row>
    <row r="689" customFormat="false" ht="15" hidden="false" customHeight="false" outlineLevel="0" collapsed="false">
      <c r="A689" s="7" t="n">
        <v>684</v>
      </c>
      <c r="B689" s="7" t="n">
        <f aca="false">A689/10</f>
        <v>68.4</v>
      </c>
      <c r="C689" s="7" t="n">
        <f aca="false">IF(AND(A689=0,c_TCREEP&gt;0),10*c_TCREEP,IF(AND(A689&lt;=c_TRNGMIN,A689&gt;=c_TRNGMAX,c_TRNGMIN-c_TRNGMAX&lt;&gt;0),-10*c_TMINRN+QUOTIENT((c_TMAXRN-c_TMINRN)*(100-QUOTIENT((A689-c_TRNGMAX)*100,c_TRNGMIN-c_TRNGMAX)),-10),0))</f>
        <v>0</v>
      </c>
      <c r="D689" s="7" t="n">
        <f aca="false">IF(((c_TMAP1IN)-(c_TFWD))=0,(0)+QUOTIENT(((c_TMAP1OUT)-(0)),2),QUOTIENT((((A689)-(c_TFWD))*((c_TMAP1OUT)-(0))+IF(((c_TMAP1OUT)-(0))&gt;=0,1,-1)*QUOTIENT(((c_TMAP1IN)-(c_TFWD)),2)),((c_TMAP1IN)-(c_TFWD)))+(0)+IF(((c_TMAP1OUT)-(0))&gt;=0,IF(IF(o_WRAP=1,MOD(((c_TMAP1IN)-(c_TFWD))*(((A689)-(c_TFWD))*((c_TMAP1OUT)-(0))+IF(((c_TMAP1OUT)-(0))&gt;=0,1,-1)*QUOTIENT(((c_TMAP1IN)-(c_TFWD)),2))+2147483648,4294967296)-2147483648,((c_TMAP1IN)-(c_TFWD))*(((A689)-(c_TFWD))*((c_TMAP1OUT)-(0))+IF(((c_TMAP1OUT)-(0))&gt;=0,1,-1)*QUOTIENT(((c_TMAP1IN)-(c_TFWD)),2)))&lt;0,-1,0),IF(IF(o_WRAP=1,MOD(((c_TMAP1IN)-(c_TFWD))*(((A689)-(c_TFWD))*((c_TMAP1OUT)-(0))+IF(((c_TMAP1OUT)-(0))&gt;=0,1,-1)*QUOTIENT(((c_TMAP1IN)-(c_TFWD)),2))+2147483648,4294967296)-2147483648,((c_TMAP1IN)-(c_TFWD))*(((A689)-(c_TFWD))*((c_TMAP1OUT)-(0))+IF(((c_TMAP1OUT)-(0))&gt;=0,1,-1)*QUOTIENT(((c_TMAP1IN)-(c_TFWD)),2)))&gt;=0,1,0)))</f>
        <v>524</v>
      </c>
      <c r="E689" s="7" t="n">
        <f aca="false">IF(((c_TMAP2IN)-(c_TMAP1IN))=0,(c_TMAP1OUT)+QUOTIENT(((c_TMAP2OUT)-(c_TMAP1OUT)),2),QUOTIENT((((A689)-(c_TMAP1IN))*((c_TMAP2OUT)-(c_TMAP1OUT))+IF(((c_TMAP2OUT)-(c_TMAP1OUT))&gt;=0,1,-1)*QUOTIENT(((c_TMAP2IN)-(c_TMAP1IN)),2)),((c_TMAP2IN)-(c_TMAP1IN)))+(c_TMAP1OUT)+IF(((c_TMAP2OUT)-(c_TMAP1OUT))&gt;=0,IF(IF(o_WRAP=1,MOD(((c_TMAP2IN)-(c_TMAP1IN))*(((A689)-(c_TMAP1IN))*((c_TMAP2OUT)-(c_TMAP1OUT))+IF(((c_TMAP2OUT)-(c_TMAP1OUT))&gt;=0,1,-1)*QUOTIENT(((c_TMAP2IN)-(c_TMAP1IN)),2))+2147483648,4294967296)-2147483648,((c_TMAP2IN)-(c_TMAP1IN))*(((A689)-(c_TMAP1IN))*((c_TMAP2OUT)-(c_TMAP1OUT))+IF(((c_TMAP2OUT)-(c_TMAP1OUT))&gt;=0,1,-1)*QUOTIENT(((c_TMAP2IN)-(c_TMAP1IN)),2)))&lt;0,-1,0),IF(IF(o_WRAP=1,MOD(((c_TMAP2IN)-(c_TMAP1IN))*(((A689)-(c_TMAP1IN))*((c_TMAP2OUT)-(c_TMAP1OUT))+IF(((c_TMAP2OUT)-(c_TMAP1OUT))&gt;=0,1,-1)*QUOTIENT(((c_TMAP2IN)-(c_TMAP1IN)),2))+2147483648,4294967296)-2147483648,((c_TMAP2IN)-(c_TMAP1IN))*(((A689)-(c_TMAP1IN))*((c_TMAP2OUT)-(c_TMAP1OUT))+IF(((c_TMAP2OUT)-(c_TMAP1OUT))&gt;=0,1,-1)*QUOTIENT(((c_TMAP2IN)-(c_TMAP1IN)),2)))&gt;=0,1,0)))</f>
        <v>304</v>
      </c>
      <c r="F689" s="7" t="n">
        <f aca="false">IF(((c_TMAP3IN)-(c_TMAP2IN))=0,(c_TMAP2OUT)+QUOTIENT(((c_TMAP3OUT)-(c_TMAP2OUT)),2),QUOTIENT((((A689)-(c_TMAP2IN))*((c_TMAP3OUT)-(c_TMAP2OUT))+IF(((c_TMAP3OUT)-(c_TMAP2OUT))&gt;=0,1,-1)*QUOTIENT(((c_TMAP3IN)-(c_TMAP2IN)),2)),((c_TMAP3IN)-(c_TMAP2IN)))+(c_TMAP2OUT)+IF(((c_TMAP3OUT)-(c_TMAP2OUT))&gt;=0,IF(IF(o_WRAP=1,MOD(((c_TMAP3IN)-(c_TMAP2IN))*(((A689)-(c_TMAP2IN))*((c_TMAP3OUT)-(c_TMAP2OUT))+IF(((c_TMAP3OUT)-(c_TMAP2OUT))&gt;=0,1,-1)*QUOTIENT(((c_TMAP3IN)-(c_TMAP2IN)),2))+2147483648,4294967296)-2147483648,((c_TMAP3IN)-(c_TMAP2IN))*(((A689)-(c_TMAP2IN))*((c_TMAP3OUT)-(c_TMAP2OUT))+IF(((c_TMAP3OUT)-(c_TMAP2OUT))&gt;=0,1,-1)*QUOTIENT(((c_TMAP3IN)-(c_TMAP2IN)),2)))&lt;0,-1,0),IF(IF(o_WRAP=1,MOD(((c_TMAP3IN)-(c_TMAP2IN))*(((A689)-(c_TMAP2IN))*((c_TMAP3OUT)-(c_TMAP2OUT))+IF(((c_TMAP3OUT)-(c_TMAP2OUT))&gt;=0,1,-1)*QUOTIENT(((c_TMAP3IN)-(c_TMAP2IN)),2))+2147483648,4294967296)-2147483648,((c_TMAP3IN)-(c_TMAP2IN))*(((A689)-(c_TMAP2IN))*((c_TMAP3OUT)-(c_TMAP2OUT))+IF(((c_TMAP3OUT)-(c_TMAP2OUT))&gt;=0,1,-1)*QUOTIENT(((c_TMAP3IN)-(c_TMAP2IN)),2)))&gt;=0,1,0)))</f>
        <v>434</v>
      </c>
      <c r="G689" s="7" t="n">
        <f aca="false">IF(((1000)-(c_TMAP3IN))=0,(c_TMAP3OUT)+QUOTIENT(((1000)-(c_TMAP3OUT)),2),QUOTIENT((((A689)-(c_TMAP3IN))*((1000)-(c_TMAP3OUT))+IF(((1000)-(c_TMAP3OUT))&gt;=0,1,-1)*QUOTIENT(((1000)-(c_TMAP3IN)),2)),((1000)-(c_TMAP3IN)))+(c_TMAP3OUT)+IF(((1000)-(c_TMAP3OUT))&gt;=0,IF(IF(o_WRAP=1,MOD(((1000)-(c_TMAP3IN))*(((A689)-(c_TMAP3IN))*((1000)-(c_TMAP3OUT))+IF(((1000)-(c_TMAP3OUT))&gt;=0,1,-1)*QUOTIENT(((1000)-(c_TMAP3IN)),2))+2147483648,4294967296)-2147483648,((1000)-(c_TMAP3IN))*(((A689)-(c_TMAP3IN))*((1000)-(c_TMAP3OUT))+IF(((1000)-(c_TMAP3OUT))&gt;=0,1,-1)*QUOTIENT(((1000)-(c_TMAP3IN)),2)))&lt;0,-1,0),IF(IF(o_WRAP=1,MOD(((1000)-(c_TMAP3IN))*(((A689)-(c_TMAP3IN))*((1000)-(c_TMAP3OUT))+IF(((1000)-(c_TMAP3OUT))&gt;=0,1,-1)*QUOTIENT(((1000)-(c_TMAP3IN)),2))+2147483648,4294967296)-2147483648,((1000)-(c_TMAP3IN))*(((A689)-(c_TMAP3IN))*((1000)-(c_TMAP3OUT))+IF(((1000)-(c_TMAP3OUT))&gt;=0,1,-1)*QUOTIENT(((1000)-(c_TMAP3IN)),2)))&gt;=0,1,0)))</f>
        <v>611</v>
      </c>
      <c r="H689" s="7" t="str">
        <f aca="false">IF(A689&gt;=c_TFWD,IF(AND(A689&gt;=c_TMAP3IN,c_TMAP3IN&lt;1000),"Seg4 map3-100%",IF(AND(A689&gt;=c_TMAP2IN,c_TMAP3IN&gt;c_TMAP2IN),"Seg3 map2-map3",IF(AND(A689&gt;=c_TMAP1IN,c_TMAP2IN&gt;c_TMAP1IN),"Seg2 map1-map2","Seg1 TFWD-map1"))),IF(AND(A689=0,c_TCREEP&gt;0),"Creep",IF(AND(A689&lt;=c_TRNGMIN,A689&gt;=c_TRNGMAX,c_TRNGMIN-c_TRNGMAX&lt;&gt;0),"Regen ramp","Coast (0)")))</f>
        <v>Seg4 map3-100%</v>
      </c>
      <c r="I689" s="7" t="n">
        <f aca="false">IF(A689&gt;=c_TFWD,IF(AND(A689&gt;=c_TMAP3IN,c_TMAP3IN&lt;1000),G689,IF(AND(A689&gt;=c_TMAP2IN,c_TMAP3IN&gt;c_TMAP2IN),F689,IF(AND(A689&gt;=c_TMAP1IN,c_TMAP2IN&gt;c_TMAP1IN),E689,D689))),C689)</f>
        <v>611</v>
      </c>
      <c r="J689" s="7" t="str">
        <f aca="false">IF(I689&lt;-1090,"TOO LOW",IF(I689&gt;1090,"TOO HIGH",""))</f>
        <v/>
      </c>
      <c r="K689" s="15" t="n">
        <f aca="false">IF(J689&lt;&gt;"",0,IF(I689&gt;979,1000,I689))</f>
        <v>611</v>
      </c>
      <c r="L689" s="7" t="n">
        <f aca="false">K689/10</f>
        <v>61.1</v>
      </c>
    </row>
    <row r="690" customFormat="false" ht="15" hidden="false" customHeight="false" outlineLevel="0" collapsed="false">
      <c r="A690" s="7" t="n">
        <v>685</v>
      </c>
      <c r="B690" s="7" t="n">
        <f aca="false">A690/10</f>
        <v>68.5</v>
      </c>
      <c r="C690" s="7" t="n">
        <f aca="false">IF(AND(A690=0,c_TCREEP&gt;0),10*c_TCREEP,IF(AND(A690&lt;=c_TRNGMIN,A690&gt;=c_TRNGMAX,c_TRNGMIN-c_TRNGMAX&lt;&gt;0),-10*c_TMINRN+QUOTIENT((c_TMAXRN-c_TMINRN)*(100-QUOTIENT((A690-c_TRNGMAX)*100,c_TRNGMIN-c_TRNGMAX)),-10),0))</f>
        <v>0</v>
      </c>
      <c r="D690" s="7" t="n">
        <f aca="false">IF(((c_TMAP1IN)-(c_TFWD))=0,(0)+QUOTIENT(((c_TMAP1OUT)-(0)),2),QUOTIENT((((A690)-(c_TFWD))*((c_TMAP1OUT)-(0))+IF(((c_TMAP1OUT)-(0))&gt;=0,1,-1)*QUOTIENT(((c_TMAP1IN)-(c_TFWD)),2)),((c_TMAP1IN)-(c_TFWD)))+(0)+IF(((c_TMAP1OUT)-(0))&gt;=0,IF(IF(o_WRAP=1,MOD(((c_TMAP1IN)-(c_TFWD))*(((A690)-(c_TFWD))*((c_TMAP1OUT)-(0))+IF(((c_TMAP1OUT)-(0))&gt;=0,1,-1)*QUOTIENT(((c_TMAP1IN)-(c_TFWD)),2))+2147483648,4294967296)-2147483648,((c_TMAP1IN)-(c_TFWD))*(((A690)-(c_TFWD))*((c_TMAP1OUT)-(0))+IF(((c_TMAP1OUT)-(0))&gt;=0,1,-1)*QUOTIENT(((c_TMAP1IN)-(c_TFWD)),2)))&lt;0,-1,0),IF(IF(o_WRAP=1,MOD(((c_TMAP1IN)-(c_TFWD))*(((A690)-(c_TFWD))*((c_TMAP1OUT)-(0))+IF(((c_TMAP1OUT)-(0))&gt;=0,1,-1)*QUOTIENT(((c_TMAP1IN)-(c_TFWD)),2))+2147483648,4294967296)-2147483648,((c_TMAP1IN)-(c_TFWD))*(((A690)-(c_TFWD))*((c_TMAP1OUT)-(0))+IF(((c_TMAP1OUT)-(0))&gt;=0,1,-1)*QUOTIENT(((c_TMAP1IN)-(c_TFWD)),2)))&gt;=0,1,0)))</f>
        <v>525</v>
      </c>
      <c r="E690" s="7" t="n">
        <f aca="false">IF(((c_TMAP2IN)-(c_TMAP1IN))=0,(c_TMAP1OUT)+QUOTIENT(((c_TMAP2OUT)-(c_TMAP1OUT)),2),QUOTIENT((((A690)-(c_TMAP1IN))*((c_TMAP2OUT)-(c_TMAP1OUT))+IF(((c_TMAP2OUT)-(c_TMAP1OUT))&gt;=0,1,-1)*QUOTIENT(((c_TMAP2IN)-(c_TMAP1IN)),2)),((c_TMAP2IN)-(c_TMAP1IN)))+(c_TMAP1OUT)+IF(((c_TMAP2OUT)-(c_TMAP1OUT))&gt;=0,IF(IF(o_WRAP=1,MOD(((c_TMAP2IN)-(c_TMAP1IN))*(((A690)-(c_TMAP1IN))*((c_TMAP2OUT)-(c_TMAP1OUT))+IF(((c_TMAP2OUT)-(c_TMAP1OUT))&gt;=0,1,-1)*QUOTIENT(((c_TMAP2IN)-(c_TMAP1IN)),2))+2147483648,4294967296)-2147483648,((c_TMAP2IN)-(c_TMAP1IN))*(((A690)-(c_TMAP1IN))*((c_TMAP2OUT)-(c_TMAP1OUT))+IF(((c_TMAP2OUT)-(c_TMAP1OUT))&gt;=0,1,-1)*QUOTIENT(((c_TMAP2IN)-(c_TMAP1IN)),2)))&lt;0,-1,0),IF(IF(o_WRAP=1,MOD(((c_TMAP2IN)-(c_TMAP1IN))*(((A690)-(c_TMAP1IN))*((c_TMAP2OUT)-(c_TMAP1OUT))+IF(((c_TMAP2OUT)-(c_TMAP1OUT))&gt;=0,1,-1)*QUOTIENT(((c_TMAP2IN)-(c_TMAP1IN)),2))+2147483648,4294967296)-2147483648,((c_TMAP2IN)-(c_TMAP1IN))*(((A690)-(c_TMAP1IN))*((c_TMAP2OUT)-(c_TMAP1OUT))+IF(((c_TMAP2OUT)-(c_TMAP1OUT))&gt;=0,1,-1)*QUOTIENT(((c_TMAP2IN)-(c_TMAP1IN)),2)))&gt;=0,1,0)))</f>
        <v>304</v>
      </c>
      <c r="F690" s="7" t="n">
        <f aca="false">IF(((c_TMAP3IN)-(c_TMAP2IN))=0,(c_TMAP2OUT)+QUOTIENT(((c_TMAP3OUT)-(c_TMAP2OUT)),2),QUOTIENT((((A690)-(c_TMAP2IN))*((c_TMAP3OUT)-(c_TMAP2OUT))+IF(((c_TMAP3OUT)-(c_TMAP2OUT))&gt;=0,1,-1)*QUOTIENT(((c_TMAP3IN)-(c_TMAP2IN)),2)),((c_TMAP3IN)-(c_TMAP2IN)))+(c_TMAP2OUT)+IF(((c_TMAP3OUT)-(c_TMAP2OUT))&gt;=0,IF(IF(o_WRAP=1,MOD(((c_TMAP3IN)-(c_TMAP2IN))*(((A690)-(c_TMAP2IN))*((c_TMAP3OUT)-(c_TMAP2OUT))+IF(((c_TMAP3OUT)-(c_TMAP2OUT))&gt;=0,1,-1)*QUOTIENT(((c_TMAP3IN)-(c_TMAP2IN)),2))+2147483648,4294967296)-2147483648,((c_TMAP3IN)-(c_TMAP2IN))*(((A690)-(c_TMAP2IN))*((c_TMAP3OUT)-(c_TMAP2OUT))+IF(((c_TMAP3OUT)-(c_TMAP2OUT))&gt;=0,1,-1)*QUOTIENT(((c_TMAP3IN)-(c_TMAP2IN)),2)))&lt;0,-1,0),IF(IF(o_WRAP=1,MOD(((c_TMAP3IN)-(c_TMAP2IN))*(((A690)-(c_TMAP2IN))*((c_TMAP3OUT)-(c_TMAP2OUT))+IF(((c_TMAP3OUT)-(c_TMAP2OUT))&gt;=0,1,-1)*QUOTIENT(((c_TMAP3IN)-(c_TMAP2IN)),2))+2147483648,4294967296)-2147483648,((c_TMAP3IN)-(c_TMAP2IN))*(((A690)-(c_TMAP2IN))*((c_TMAP3OUT)-(c_TMAP2OUT))+IF(((c_TMAP3OUT)-(c_TMAP2OUT))&gt;=0,1,-1)*QUOTIENT(((c_TMAP3IN)-(c_TMAP2IN)),2)))&gt;=0,1,0)))</f>
        <v>435</v>
      </c>
      <c r="G690" s="7" t="n">
        <f aca="false">IF(((1000)-(c_TMAP3IN))=0,(c_TMAP3OUT)+QUOTIENT(((1000)-(c_TMAP3OUT)),2),QUOTIENT((((A690)-(c_TMAP3IN))*((1000)-(c_TMAP3OUT))+IF(((1000)-(c_TMAP3OUT))&gt;=0,1,-1)*QUOTIENT(((1000)-(c_TMAP3IN)),2)),((1000)-(c_TMAP3IN)))+(c_TMAP3OUT)+IF(((1000)-(c_TMAP3OUT))&gt;=0,IF(IF(o_WRAP=1,MOD(((1000)-(c_TMAP3IN))*(((A690)-(c_TMAP3IN))*((1000)-(c_TMAP3OUT))+IF(((1000)-(c_TMAP3OUT))&gt;=0,1,-1)*QUOTIENT(((1000)-(c_TMAP3IN)),2))+2147483648,4294967296)-2147483648,((1000)-(c_TMAP3IN))*(((A690)-(c_TMAP3IN))*((1000)-(c_TMAP3OUT))+IF(((1000)-(c_TMAP3OUT))&gt;=0,1,-1)*QUOTIENT(((1000)-(c_TMAP3IN)),2)))&lt;0,-1,0),IF(IF(o_WRAP=1,MOD(((1000)-(c_TMAP3IN))*(((A690)-(c_TMAP3IN))*((1000)-(c_TMAP3OUT))+IF(((1000)-(c_TMAP3OUT))&gt;=0,1,-1)*QUOTIENT(((1000)-(c_TMAP3IN)),2))+2147483648,4294967296)-2147483648,((1000)-(c_TMAP3IN))*(((A690)-(c_TMAP3IN))*((1000)-(c_TMAP3OUT))+IF(((1000)-(c_TMAP3OUT))&gt;=0,1,-1)*QUOTIENT(((1000)-(c_TMAP3IN)),2)))&gt;=0,1,0)))</f>
        <v>612</v>
      </c>
      <c r="H690" s="7" t="str">
        <f aca="false">IF(A690&gt;=c_TFWD,IF(AND(A690&gt;=c_TMAP3IN,c_TMAP3IN&lt;1000),"Seg4 map3-100%",IF(AND(A690&gt;=c_TMAP2IN,c_TMAP3IN&gt;c_TMAP2IN),"Seg3 map2-map3",IF(AND(A690&gt;=c_TMAP1IN,c_TMAP2IN&gt;c_TMAP1IN),"Seg2 map1-map2","Seg1 TFWD-map1"))),IF(AND(A690=0,c_TCREEP&gt;0),"Creep",IF(AND(A690&lt;=c_TRNGMIN,A690&gt;=c_TRNGMAX,c_TRNGMIN-c_TRNGMAX&lt;&gt;0),"Regen ramp","Coast (0)")))</f>
        <v>Seg4 map3-100%</v>
      </c>
      <c r="I690" s="7" t="n">
        <f aca="false">IF(A690&gt;=c_TFWD,IF(AND(A690&gt;=c_TMAP3IN,c_TMAP3IN&lt;1000),G690,IF(AND(A690&gt;=c_TMAP2IN,c_TMAP3IN&gt;c_TMAP2IN),F690,IF(AND(A690&gt;=c_TMAP1IN,c_TMAP2IN&gt;c_TMAP1IN),E690,D690))),C690)</f>
        <v>612</v>
      </c>
      <c r="J690" s="7" t="str">
        <f aca="false">IF(I690&lt;-1090,"TOO LOW",IF(I690&gt;1090,"TOO HIGH",""))</f>
        <v/>
      </c>
      <c r="K690" s="15" t="n">
        <f aca="false">IF(J690&lt;&gt;"",0,IF(I690&gt;979,1000,I690))</f>
        <v>612</v>
      </c>
      <c r="L690" s="7" t="n">
        <f aca="false">K690/10</f>
        <v>61.2</v>
      </c>
    </row>
    <row r="691" customFormat="false" ht="15" hidden="false" customHeight="false" outlineLevel="0" collapsed="false">
      <c r="A691" s="7" t="n">
        <v>686</v>
      </c>
      <c r="B691" s="7" t="n">
        <f aca="false">A691/10</f>
        <v>68.6</v>
      </c>
      <c r="C691" s="7" t="n">
        <f aca="false">IF(AND(A691=0,c_TCREEP&gt;0),10*c_TCREEP,IF(AND(A691&lt;=c_TRNGMIN,A691&gt;=c_TRNGMAX,c_TRNGMIN-c_TRNGMAX&lt;&gt;0),-10*c_TMINRN+QUOTIENT((c_TMAXRN-c_TMINRN)*(100-QUOTIENT((A691-c_TRNGMAX)*100,c_TRNGMIN-c_TRNGMAX)),-10),0))</f>
        <v>0</v>
      </c>
      <c r="D691" s="7" t="n">
        <f aca="false">IF(((c_TMAP1IN)-(c_TFWD))=0,(0)+QUOTIENT(((c_TMAP1OUT)-(0)),2),QUOTIENT((((A691)-(c_TFWD))*((c_TMAP1OUT)-(0))+IF(((c_TMAP1OUT)-(0))&gt;=0,1,-1)*QUOTIENT(((c_TMAP1IN)-(c_TFWD)),2)),((c_TMAP1IN)-(c_TFWD)))+(0)+IF(((c_TMAP1OUT)-(0))&gt;=0,IF(IF(o_WRAP=1,MOD(((c_TMAP1IN)-(c_TFWD))*(((A691)-(c_TFWD))*((c_TMAP1OUT)-(0))+IF(((c_TMAP1OUT)-(0))&gt;=0,1,-1)*QUOTIENT(((c_TMAP1IN)-(c_TFWD)),2))+2147483648,4294967296)-2147483648,((c_TMAP1IN)-(c_TFWD))*(((A691)-(c_TFWD))*((c_TMAP1OUT)-(0))+IF(((c_TMAP1OUT)-(0))&gt;=0,1,-1)*QUOTIENT(((c_TMAP1IN)-(c_TFWD)),2)))&lt;0,-1,0),IF(IF(o_WRAP=1,MOD(((c_TMAP1IN)-(c_TFWD))*(((A691)-(c_TFWD))*((c_TMAP1OUT)-(0))+IF(((c_TMAP1OUT)-(0))&gt;=0,1,-1)*QUOTIENT(((c_TMAP1IN)-(c_TFWD)),2))+2147483648,4294967296)-2147483648,((c_TMAP1IN)-(c_TFWD))*(((A691)-(c_TFWD))*((c_TMAP1OUT)-(0))+IF(((c_TMAP1OUT)-(0))&gt;=0,1,-1)*QUOTIENT(((c_TMAP1IN)-(c_TFWD)),2)))&gt;=0,1,0)))</f>
        <v>526</v>
      </c>
      <c r="E691" s="7" t="n">
        <f aca="false">IF(((c_TMAP2IN)-(c_TMAP1IN))=0,(c_TMAP1OUT)+QUOTIENT(((c_TMAP2OUT)-(c_TMAP1OUT)),2),QUOTIENT((((A691)-(c_TMAP1IN))*((c_TMAP2OUT)-(c_TMAP1OUT))+IF(((c_TMAP2OUT)-(c_TMAP1OUT))&gt;=0,1,-1)*QUOTIENT(((c_TMAP2IN)-(c_TMAP1IN)),2)),((c_TMAP2IN)-(c_TMAP1IN)))+(c_TMAP1OUT)+IF(((c_TMAP2OUT)-(c_TMAP1OUT))&gt;=0,IF(IF(o_WRAP=1,MOD(((c_TMAP2IN)-(c_TMAP1IN))*(((A691)-(c_TMAP1IN))*((c_TMAP2OUT)-(c_TMAP1OUT))+IF(((c_TMAP2OUT)-(c_TMAP1OUT))&gt;=0,1,-1)*QUOTIENT(((c_TMAP2IN)-(c_TMAP1IN)),2))+2147483648,4294967296)-2147483648,((c_TMAP2IN)-(c_TMAP1IN))*(((A691)-(c_TMAP1IN))*((c_TMAP2OUT)-(c_TMAP1OUT))+IF(((c_TMAP2OUT)-(c_TMAP1OUT))&gt;=0,1,-1)*QUOTIENT(((c_TMAP2IN)-(c_TMAP1IN)),2)))&lt;0,-1,0),IF(IF(o_WRAP=1,MOD(((c_TMAP2IN)-(c_TMAP1IN))*(((A691)-(c_TMAP1IN))*((c_TMAP2OUT)-(c_TMAP1OUT))+IF(((c_TMAP2OUT)-(c_TMAP1OUT))&gt;=0,1,-1)*QUOTIENT(((c_TMAP2IN)-(c_TMAP1IN)),2))+2147483648,4294967296)-2147483648,((c_TMAP2IN)-(c_TMAP1IN))*(((A691)-(c_TMAP1IN))*((c_TMAP2OUT)-(c_TMAP1OUT))+IF(((c_TMAP2OUT)-(c_TMAP1OUT))&gt;=0,1,-1)*QUOTIENT(((c_TMAP2IN)-(c_TMAP1IN)),2)))&gt;=0,1,0)))</f>
        <v>304</v>
      </c>
      <c r="F691" s="7" t="n">
        <f aca="false">IF(((c_TMAP3IN)-(c_TMAP2IN))=0,(c_TMAP2OUT)+QUOTIENT(((c_TMAP3OUT)-(c_TMAP2OUT)),2),QUOTIENT((((A691)-(c_TMAP2IN))*((c_TMAP3OUT)-(c_TMAP2OUT))+IF(((c_TMAP3OUT)-(c_TMAP2OUT))&gt;=0,1,-1)*QUOTIENT(((c_TMAP3IN)-(c_TMAP2IN)),2)),((c_TMAP3IN)-(c_TMAP2IN)))+(c_TMAP2OUT)+IF(((c_TMAP3OUT)-(c_TMAP2OUT))&gt;=0,IF(IF(o_WRAP=1,MOD(((c_TMAP3IN)-(c_TMAP2IN))*(((A691)-(c_TMAP2IN))*((c_TMAP3OUT)-(c_TMAP2OUT))+IF(((c_TMAP3OUT)-(c_TMAP2OUT))&gt;=0,1,-1)*QUOTIENT(((c_TMAP3IN)-(c_TMAP2IN)),2))+2147483648,4294967296)-2147483648,((c_TMAP3IN)-(c_TMAP2IN))*(((A691)-(c_TMAP2IN))*((c_TMAP3OUT)-(c_TMAP2OUT))+IF(((c_TMAP3OUT)-(c_TMAP2OUT))&gt;=0,1,-1)*QUOTIENT(((c_TMAP3IN)-(c_TMAP2IN)),2)))&lt;0,-1,0),IF(IF(o_WRAP=1,MOD(((c_TMAP3IN)-(c_TMAP2IN))*(((A691)-(c_TMAP2IN))*((c_TMAP3OUT)-(c_TMAP2OUT))+IF(((c_TMAP3OUT)-(c_TMAP2OUT))&gt;=0,1,-1)*QUOTIENT(((c_TMAP3IN)-(c_TMAP2IN)),2))+2147483648,4294967296)-2147483648,((c_TMAP3IN)-(c_TMAP2IN))*(((A691)-(c_TMAP2IN))*((c_TMAP3OUT)-(c_TMAP2OUT))+IF(((c_TMAP3OUT)-(c_TMAP2OUT))&gt;=0,1,-1)*QUOTIENT(((c_TMAP3IN)-(c_TMAP2IN)),2)))&gt;=0,1,0)))</f>
        <v>435</v>
      </c>
      <c r="G691" s="7" t="n">
        <f aca="false">IF(((1000)-(c_TMAP3IN))=0,(c_TMAP3OUT)+QUOTIENT(((1000)-(c_TMAP3OUT)),2),QUOTIENT((((A691)-(c_TMAP3IN))*((1000)-(c_TMAP3OUT))+IF(((1000)-(c_TMAP3OUT))&gt;=0,1,-1)*QUOTIENT(((1000)-(c_TMAP3IN)),2)),((1000)-(c_TMAP3IN)))+(c_TMAP3OUT)+IF(((1000)-(c_TMAP3OUT))&gt;=0,IF(IF(o_WRAP=1,MOD(((1000)-(c_TMAP3IN))*(((A691)-(c_TMAP3IN))*((1000)-(c_TMAP3OUT))+IF(((1000)-(c_TMAP3OUT))&gt;=0,1,-1)*QUOTIENT(((1000)-(c_TMAP3IN)),2))+2147483648,4294967296)-2147483648,((1000)-(c_TMAP3IN))*(((A691)-(c_TMAP3IN))*((1000)-(c_TMAP3OUT))+IF(((1000)-(c_TMAP3OUT))&gt;=0,1,-1)*QUOTIENT(((1000)-(c_TMAP3IN)),2)))&lt;0,-1,0),IF(IF(o_WRAP=1,MOD(((1000)-(c_TMAP3IN))*(((A691)-(c_TMAP3IN))*((1000)-(c_TMAP3OUT))+IF(((1000)-(c_TMAP3OUT))&gt;=0,1,-1)*QUOTIENT(((1000)-(c_TMAP3IN)),2))+2147483648,4294967296)-2147483648,((1000)-(c_TMAP3IN))*(((A691)-(c_TMAP3IN))*((1000)-(c_TMAP3OUT))+IF(((1000)-(c_TMAP3OUT))&gt;=0,1,-1)*QUOTIENT(((1000)-(c_TMAP3IN)),2)))&gt;=0,1,0)))</f>
        <v>614</v>
      </c>
      <c r="H691" s="7" t="str">
        <f aca="false">IF(A691&gt;=c_TFWD,IF(AND(A691&gt;=c_TMAP3IN,c_TMAP3IN&lt;1000),"Seg4 map3-100%",IF(AND(A691&gt;=c_TMAP2IN,c_TMAP3IN&gt;c_TMAP2IN),"Seg3 map2-map3",IF(AND(A691&gt;=c_TMAP1IN,c_TMAP2IN&gt;c_TMAP1IN),"Seg2 map1-map2","Seg1 TFWD-map1"))),IF(AND(A691=0,c_TCREEP&gt;0),"Creep",IF(AND(A691&lt;=c_TRNGMIN,A691&gt;=c_TRNGMAX,c_TRNGMIN-c_TRNGMAX&lt;&gt;0),"Regen ramp","Coast (0)")))</f>
        <v>Seg4 map3-100%</v>
      </c>
      <c r="I691" s="7" t="n">
        <f aca="false">IF(A691&gt;=c_TFWD,IF(AND(A691&gt;=c_TMAP3IN,c_TMAP3IN&lt;1000),G691,IF(AND(A691&gt;=c_TMAP2IN,c_TMAP3IN&gt;c_TMAP2IN),F691,IF(AND(A691&gt;=c_TMAP1IN,c_TMAP2IN&gt;c_TMAP1IN),E691,D691))),C691)</f>
        <v>614</v>
      </c>
      <c r="J691" s="7" t="str">
        <f aca="false">IF(I691&lt;-1090,"TOO LOW",IF(I691&gt;1090,"TOO HIGH",""))</f>
        <v/>
      </c>
      <c r="K691" s="15" t="n">
        <f aca="false">IF(J691&lt;&gt;"",0,IF(I691&gt;979,1000,I691))</f>
        <v>614</v>
      </c>
      <c r="L691" s="7" t="n">
        <f aca="false">K691/10</f>
        <v>61.4</v>
      </c>
    </row>
    <row r="692" customFormat="false" ht="15" hidden="false" customHeight="false" outlineLevel="0" collapsed="false">
      <c r="A692" s="7" t="n">
        <v>687</v>
      </c>
      <c r="B692" s="7" t="n">
        <f aca="false">A692/10</f>
        <v>68.7</v>
      </c>
      <c r="C692" s="7" t="n">
        <f aca="false">IF(AND(A692=0,c_TCREEP&gt;0),10*c_TCREEP,IF(AND(A692&lt;=c_TRNGMIN,A692&gt;=c_TRNGMAX,c_TRNGMIN-c_TRNGMAX&lt;&gt;0),-10*c_TMINRN+QUOTIENT((c_TMAXRN-c_TMINRN)*(100-QUOTIENT((A692-c_TRNGMAX)*100,c_TRNGMIN-c_TRNGMAX)),-10),0))</f>
        <v>0</v>
      </c>
      <c r="D692" s="7" t="n">
        <f aca="false">IF(((c_TMAP1IN)-(c_TFWD))=0,(0)+QUOTIENT(((c_TMAP1OUT)-(0)),2),QUOTIENT((((A692)-(c_TFWD))*((c_TMAP1OUT)-(0))+IF(((c_TMAP1OUT)-(0))&gt;=0,1,-1)*QUOTIENT(((c_TMAP1IN)-(c_TFWD)),2)),((c_TMAP1IN)-(c_TFWD)))+(0)+IF(((c_TMAP1OUT)-(0))&gt;=0,IF(IF(o_WRAP=1,MOD(((c_TMAP1IN)-(c_TFWD))*(((A692)-(c_TFWD))*((c_TMAP1OUT)-(0))+IF(((c_TMAP1OUT)-(0))&gt;=0,1,-1)*QUOTIENT(((c_TMAP1IN)-(c_TFWD)),2))+2147483648,4294967296)-2147483648,((c_TMAP1IN)-(c_TFWD))*(((A692)-(c_TFWD))*((c_TMAP1OUT)-(0))+IF(((c_TMAP1OUT)-(0))&gt;=0,1,-1)*QUOTIENT(((c_TMAP1IN)-(c_TFWD)),2)))&lt;0,-1,0),IF(IF(o_WRAP=1,MOD(((c_TMAP1IN)-(c_TFWD))*(((A692)-(c_TFWD))*((c_TMAP1OUT)-(0))+IF(((c_TMAP1OUT)-(0))&gt;=0,1,-1)*QUOTIENT(((c_TMAP1IN)-(c_TFWD)),2))+2147483648,4294967296)-2147483648,((c_TMAP1IN)-(c_TFWD))*(((A692)-(c_TFWD))*((c_TMAP1OUT)-(0))+IF(((c_TMAP1OUT)-(0))&gt;=0,1,-1)*QUOTIENT(((c_TMAP1IN)-(c_TFWD)),2)))&gt;=0,1,0)))</f>
        <v>527</v>
      </c>
      <c r="E692" s="7" t="n">
        <f aca="false">IF(((c_TMAP2IN)-(c_TMAP1IN))=0,(c_TMAP1OUT)+QUOTIENT(((c_TMAP2OUT)-(c_TMAP1OUT)),2),QUOTIENT((((A692)-(c_TMAP1IN))*((c_TMAP2OUT)-(c_TMAP1OUT))+IF(((c_TMAP2OUT)-(c_TMAP1OUT))&gt;=0,1,-1)*QUOTIENT(((c_TMAP2IN)-(c_TMAP1IN)),2)),((c_TMAP2IN)-(c_TMAP1IN)))+(c_TMAP1OUT)+IF(((c_TMAP2OUT)-(c_TMAP1OUT))&gt;=0,IF(IF(o_WRAP=1,MOD(((c_TMAP2IN)-(c_TMAP1IN))*(((A692)-(c_TMAP1IN))*((c_TMAP2OUT)-(c_TMAP1OUT))+IF(((c_TMAP2OUT)-(c_TMAP1OUT))&gt;=0,1,-1)*QUOTIENT(((c_TMAP2IN)-(c_TMAP1IN)),2))+2147483648,4294967296)-2147483648,((c_TMAP2IN)-(c_TMAP1IN))*(((A692)-(c_TMAP1IN))*((c_TMAP2OUT)-(c_TMAP1OUT))+IF(((c_TMAP2OUT)-(c_TMAP1OUT))&gt;=0,1,-1)*QUOTIENT(((c_TMAP2IN)-(c_TMAP1IN)),2)))&lt;0,-1,0),IF(IF(o_WRAP=1,MOD(((c_TMAP2IN)-(c_TMAP1IN))*(((A692)-(c_TMAP1IN))*((c_TMAP2OUT)-(c_TMAP1OUT))+IF(((c_TMAP2OUT)-(c_TMAP1OUT))&gt;=0,1,-1)*QUOTIENT(((c_TMAP2IN)-(c_TMAP1IN)),2))+2147483648,4294967296)-2147483648,((c_TMAP2IN)-(c_TMAP1IN))*(((A692)-(c_TMAP1IN))*((c_TMAP2OUT)-(c_TMAP1OUT))+IF(((c_TMAP2OUT)-(c_TMAP1OUT))&gt;=0,1,-1)*QUOTIENT(((c_TMAP2IN)-(c_TMAP1IN)),2)))&gt;=0,1,0)))</f>
        <v>305</v>
      </c>
      <c r="F692" s="7" t="n">
        <f aca="false">IF(((c_TMAP3IN)-(c_TMAP2IN))=0,(c_TMAP2OUT)+QUOTIENT(((c_TMAP3OUT)-(c_TMAP2OUT)),2),QUOTIENT((((A692)-(c_TMAP2IN))*((c_TMAP3OUT)-(c_TMAP2OUT))+IF(((c_TMAP3OUT)-(c_TMAP2OUT))&gt;=0,1,-1)*QUOTIENT(((c_TMAP3IN)-(c_TMAP2IN)),2)),((c_TMAP3IN)-(c_TMAP2IN)))+(c_TMAP2OUT)+IF(((c_TMAP3OUT)-(c_TMAP2OUT))&gt;=0,IF(IF(o_WRAP=1,MOD(((c_TMAP3IN)-(c_TMAP2IN))*(((A692)-(c_TMAP2IN))*((c_TMAP3OUT)-(c_TMAP2OUT))+IF(((c_TMAP3OUT)-(c_TMAP2OUT))&gt;=0,1,-1)*QUOTIENT(((c_TMAP3IN)-(c_TMAP2IN)),2))+2147483648,4294967296)-2147483648,((c_TMAP3IN)-(c_TMAP2IN))*(((A692)-(c_TMAP2IN))*((c_TMAP3OUT)-(c_TMAP2OUT))+IF(((c_TMAP3OUT)-(c_TMAP2OUT))&gt;=0,1,-1)*QUOTIENT(((c_TMAP3IN)-(c_TMAP2IN)),2)))&lt;0,-1,0),IF(IF(o_WRAP=1,MOD(((c_TMAP3IN)-(c_TMAP2IN))*(((A692)-(c_TMAP2IN))*((c_TMAP3OUT)-(c_TMAP2OUT))+IF(((c_TMAP3OUT)-(c_TMAP2OUT))&gt;=0,1,-1)*QUOTIENT(((c_TMAP3IN)-(c_TMAP2IN)),2))+2147483648,4294967296)-2147483648,((c_TMAP3IN)-(c_TMAP2IN))*(((A692)-(c_TMAP2IN))*((c_TMAP3OUT)-(c_TMAP2OUT))+IF(((c_TMAP3OUT)-(c_TMAP2OUT))&gt;=0,1,-1)*QUOTIENT(((c_TMAP3IN)-(c_TMAP2IN)),2)))&gt;=0,1,0)))</f>
        <v>436</v>
      </c>
      <c r="G692" s="7" t="n">
        <f aca="false">IF(((1000)-(c_TMAP3IN))=0,(c_TMAP3OUT)+QUOTIENT(((1000)-(c_TMAP3OUT)),2),QUOTIENT((((A692)-(c_TMAP3IN))*((1000)-(c_TMAP3OUT))+IF(((1000)-(c_TMAP3OUT))&gt;=0,1,-1)*QUOTIENT(((1000)-(c_TMAP3IN)),2)),((1000)-(c_TMAP3IN)))+(c_TMAP3OUT)+IF(((1000)-(c_TMAP3OUT))&gt;=0,IF(IF(o_WRAP=1,MOD(((1000)-(c_TMAP3IN))*(((A692)-(c_TMAP3IN))*((1000)-(c_TMAP3OUT))+IF(((1000)-(c_TMAP3OUT))&gt;=0,1,-1)*QUOTIENT(((1000)-(c_TMAP3IN)),2))+2147483648,4294967296)-2147483648,((1000)-(c_TMAP3IN))*(((A692)-(c_TMAP3IN))*((1000)-(c_TMAP3OUT))+IF(((1000)-(c_TMAP3OUT))&gt;=0,1,-1)*QUOTIENT(((1000)-(c_TMAP3IN)),2)))&lt;0,-1,0),IF(IF(o_WRAP=1,MOD(((1000)-(c_TMAP3IN))*(((A692)-(c_TMAP3IN))*((1000)-(c_TMAP3OUT))+IF(((1000)-(c_TMAP3OUT))&gt;=0,1,-1)*QUOTIENT(((1000)-(c_TMAP3IN)),2))+2147483648,4294967296)-2147483648,((1000)-(c_TMAP3IN))*(((A692)-(c_TMAP3IN))*((1000)-(c_TMAP3OUT))+IF(((1000)-(c_TMAP3OUT))&gt;=0,1,-1)*QUOTIENT(((1000)-(c_TMAP3IN)),2)))&gt;=0,1,0)))</f>
        <v>615</v>
      </c>
      <c r="H692" s="7" t="str">
        <f aca="false">IF(A692&gt;=c_TFWD,IF(AND(A692&gt;=c_TMAP3IN,c_TMAP3IN&lt;1000),"Seg4 map3-100%",IF(AND(A692&gt;=c_TMAP2IN,c_TMAP3IN&gt;c_TMAP2IN),"Seg3 map2-map3",IF(AND(A692&gt;=c_TMAP1IN,c_TMAP2IN&gt;c_TMAP1IN),"Seg2 map1-map2","Seg1 TFWD-map1"))),IF(AND(A692=0,c_TCREEP&gt;0),"Creep",IF(AND(A692&lt;=c_TRNGMIN,A692&gt;=c_TRNGMAX,c_TRNGMIN-c_TRNGMAX&lt;&gt;0),"Regen ramp","Coast (0)")))</f>
        <v>Seg4 map3-100%</v>
      </c>
      <c r="I692" s="7" t="n">
        <f aca="false">IF(A692&gt;=c_TFWD,IF(AND(A692&gt;=c_TMAP3IN,c_TMAP3IN&lt;1000),G692,IF(AND(A692&gt;=c_TMAP2IN,c_TMAP3IN&gt;c_TMAP2IN),F692,IF(AND(A692&gt;=c_TMAP1IN,c_TMAP2IN&gt;c_TMAP1IN),E692,D692))),C692)</f>
        <v>615</v>
      </c>
      <c r="J692" s="7" t="str">
        <f aca="false">IF(I692&lt;-1090,"TOO LOW",IF(I692&gt;1090,"TOO HIGH",""))</f>
        <v/>
      </c>
      <c r="K692" s="15" t="n">
        <f aca="false">IF(J692&lt;&gt;"",0,IF(I692&gt;979,1000,I692))</f>
        <v>615</v>
      </c>
      <c r="L692" s="7" t="n">
        <f aca="false">K692/10</f>
        <v>61.5</v>
      </c>
    </row>
    <row r="693" customFormat="false" ht="15" hidden="false" customHeight="false" outlineLevel="0" collapsed="false">
      <c r="A693" s="7" t="n">
        <v>688</v>
      </c>
      <c r="B693" s="7" t="n">
        <f aca="false">A693/10</f>
        <v>68.8</v>
      </c>
      <c r="C693" s="7" t="n">
        <f aca="false">IF(AND(A693=0,c_TCREEP&gt;0),10*c_TCREEP,IF(AND(A693&lt;=c_TRNGMIN,A693&gt;=c_TRNGMAX,c_TRNGMIN-c_TRNGMAX&lt;&gt;0),-10*c_TMINRN+QUOTIENT((c_TMAXRN-c_TMINRN)*(100-QUOTIENT((A693-c_TRNGMAX)*100,c_TRNGMIN-c_TRNGMAX)),-10),0))</f>
        <v>0</v>
      </c>
      <c r="D693" s="7" t="n">
        <f aca="false">IF(((c_TMAP1IN)-(c_TFWD))=0,(0)+QUOTIENT(((c_TMAP1OUT)-(0)),2),QUOTIENT((((A693)-(c_TFWD))*((c_TMAP1OUT)-(0))+IF(((c_TMAP1OUT)-(0))&gt;=0,1,-1)*QUOTIENT(((c_TMAP1IN)-(c_TFWD)),2)),((c_TMAP1IN)-(c_TFWD)))+(0)+IF(((c_TMAP1OUT)-(0))&gt;=0,IF(IF(o_WRAP=1,MOD(((c_TMAP1IN)-(c_TFWD))*(((A693)-(c_TFWD))*((c_TMAP1OUT)-(0))+IF(((c_TMAP1OUT)-(0))&gt;=0,1,-1)*QUOTIENT(((c_TMAP1IN)-(c_TFWD)),2))+2147483648,4294967296)-2147483648,((c_TMAP1IN)-(c_TFWD))*(((A693)-(c_TFWD))*((c_TMAP1OUT)-(0))+IF(((c_TMAP1OUT)-(0))&gt;=0,1,-1)*QUOTIENT(((c_TMAP1IN)-(c_TFWD)),2)))&lt;0,-1,0),IF(IF(o_WRAP=1,MOD(((c_TMAP1IN)-(c_TFWD))*(((A693)-(c_TFWD))*((c_TMAP1OUT)-(0))+IF(((c_TMAP1OUT)-(0))&gt;=0,1,-1)*QUOTIENT(((c_TMAP1IN)-(c_TFWD)),2))+2147483648,4294967296)-2147483648,((c_TMAP1IN)-(c_TFWD))*(((A693)-(c_TFWD))*((c_TMAP1OUT)-(0))+IF(((c_TMAP1OUT)-(0))&gt;=0,1,-1)*QUOTIENT(((c_TMAP1IN)-(c_TFWD)),2)))&gt;=0,1,0)))</f>
        <v>527</v>
      </c>
      <c r="E693" s="7" t="n">
        <f aca="false">IF(((c_TMAP2IN)-(c_TMAP1IN))=0,(c_TMAP1OUT)+QUOTIENT(((c_TMAP2OUT)-(c_TMAP1OUT)),2),QUOTIENT((((A693)-(c_TMAP1IN))*((c_TMAP2OUT)-(c_TMAP1OUT))+IF(((c_TMAP2OUT)-(c_TMAP1OUT))&gt;=0,1,-1)*QUOTIENT(((c_TMAP2IN)-(c_TMAP1IN)),2)),((c_TMAP2IN)-(c_TMAP1IN)))+(c_TMAP1OUT)+IF(((c_TMAP2OUT)-(c_TMAP1OUT))&gt;=0,IF(IF(o_WRAP=1,MOD(((c_TMAP2IN)-(c_TMAP1IN))*(((A693)-(c_TMAP1IN))*((c_TMAP2OUT)-(c_TMAP1OUT))+IF(((c_TMAP2OUT)-(c_TMAP1OUT))&gt;=0,1,-1)*QUOTIENT(((c_TMAP2IN)-(c_TMAP1IN)),2))+2147483648,4294967296)-2147483648,((c_TMAP2IN)-(c_TMAP1IN))*(((A693)-(c_TMAP1IN))*((c_TMAP2OUT)-(c_TMAP1OUT))+IF(((c_TMAP2OUT)-(c_TMAP1OUT))&gt;=0,1,-1)*QUOTIENT(((c_TMAP2IN)-(c_TMAP1IN)),2)))&lt;0,-1,0),IF(IF(o_WRAP=1,MOD(((c_TMAP2IN)-(c_TMAP1IN))*(((A693)-(c_TMAP1IN))*((c_TMAP2OUT)-(c_TMAP1OUT))+IF(((c_TMAP2OUT)-(c_TMAP1OUT))&gt;=0,1,-1)*QUOTIENT(((c_TMAP2IN)-(c_TMAP1IN)),2))+2147483648,4294967296)-2147483648,((c_TMAP2IN)-(c_TMAP1IN))*(((A693)-(c_TMAP1IN))*((c_TMAP2OUT)-(c_TMAP1OUT))+IF(((c_TMAP2OUT)-(c_TMAP1OUT))&gt;=0,1,-1)*QUOTIENT(((c_TMAP2IN)-(c_TMAP1IN)),2)))&gt;=0,1,0)))</f>
        <v>305</v>
      </c>
      <c r="F693" s="7" t="n">
        <f aca="false">IF(((c_TMAP3IN)-(c_TMAP2IN))=0,(c_TMAP2OUT)+QUOTIENT(((c_TMAP3OUT)-(c_TMAP2OUT)),2),QUOTIENT((((A693)-(c_TMAP2IN))*((c_TMAP3OUT)-(c_TMAP2OUT))+IF(((c_TMAP3OUT)-(c_TMAP2OUT))&gt;=0,1,-1)*QUOTIENT(((c_TMAP3IN)-(c_TMAP2IN)),2)),((c_TMAP3IN)-(c_TMAP2IN)))+(c_TMAP2OUT)+IF(((c_TMAP3OUT)-(c_TMAP2OUT))&gt;=0,IF(IF(o_WRAP=1,MOD(((c_TMAP3IN)-(c_TMAP2IN))*(((A693)-(c_TMAP2IN))*((c_TMAP3OUT)-(c_TMAP2OUT))+IF(((c_TMAP3OUT)-(c_TMAP2OUT))&gt;=0,1,-1)*QUOTIENT(((c_TMAP3IN)-(c_TMAP2IN)),2))+2147483648,4294967296)-2147483648,((c_TMAP3IN)-(c_TMAP2IN))*(((A693)-(c_TMAP2IN))*((c_TMAP3OUT)-(c_TMAP2OUT))+IF(((c_TMAP3OUT)-(c_TMAP2OUT))&gt;=0,1,-1)*QUOTIENT(((c_TMAP3IN)-(c_TMAP2IN)),2)))&lt;0,-1,0),IF(IF(o_WRAP=1,MOD(((c_TMAP3IN)-(c_TMAP2IN))*(((A693)-(c_TMAP2IN))*((c_TMAP3OUT)-(c_TMAP2OUT))+IF(((c_TMAP3OUT)-(c_TMAP2OUT))&gt;=0,1,-1)*QUOTIENT(((c_TMAP3IN)-(c_TMAP2IN)),2))+2147483648,4294967296)-2147483648,((c_TMAP3IN)-(c_TMAP2IN))*(((A693)-(c_TMAP2IN))*((c_TMAP3OUT)-(c_TMAP2OUT))+IF(((c_TMAP3OUT)-(c_TMAP2OUT))&gt;=0,1,-1)*QUOTIENT(((c_TMAP3IN)-(c_TMAP2IN)),2)))&gt;=0,1,0)))</f>
        <v>437</v>
      </c>
      <c r="G693" s="7" t="n">
        <f aca="false">IF(((1000)-(c_TMAP3IN))=0,(c_TMAP3OUT)+QUOTIENT(((1000)-(c_TMAP3OUT)),2),QUOTIENT((((A693)-(c_TMAP3IN))*((1000)-(c_TMAP3OUT))+IF(((1000)-(c_TMAP3OUT))&gt;=0,1,-1)*QUOTIENT(((1000)-(c_TMAP3IN)),2)),((1000)-(c_TMAP3IN)))+(c_TMAP3OUT)+IF(((1000)-(c_TMAP3OUT))&gt;=0,IF(IF(o_WRAP=1,MOD(((1000)-(c_TMAP3IN))*(((A693)-(c_TMAP3IN))*((1000)-(c_TMAP3OUT))+IF(((1000)-(c_TMAP3OUT))&gt;=0,1,-1)*QUOTIENT(((1000)-(c_TMAP3IN)),2))+2147483648,4294967296)-2147483648,((1000)-(c_TMAP3IN))*(((A693)-(c_TMAP3IN))*((1000)-(c_TMAP3OUT))+IF(((1000)-(c_TMAP3OUT))&gt;=0,1,-1)*QUOTIENT(((1000)-(c_TMAP3IN)),2)))&lt;0,-1,0),IF(IF(o_WRAP=1,MOD(((1000)-(c_TMAP3IN))*(((A693)-(c_TMAP3IN))*((1000)-(c_TMAP3OUT))+IF(((1000)-(c_TMAP3OUT))&gt;=0,1,-1)*QUOTIENT(((1000)-(c_TMAP3IN)),2))+2147483648,4294967296)-2147483648,((1000)-(c_TMAP3IN))*(((A693)-(c_TMAP3IN))*((1000)-(c_TMAP3OUT))+IF(((1000)-(c_TMAP3OUT))&gt;=0,1,-1)*QUOTIENT(((1000)-(c_TMAP3IN)),2)))&gt;=0,1,0)))</f>
        <v>616</v>
      </c>
      <c r="H693" s="7" t="str">
        <f aca="false">IF(A693&gt;=c_TFWD,IF(AND(A693&gt;=c_TMAP3IN,c_TMAP3IN&lt;1000),"Seg4 map3-100%",IF(AND(A693&gt;=c_TMAP2IN,c_TMAP3IN&gt;c_TMAP2IN),"Seg3 map2-map3",IF(AND(A693&gt;=c_TMAP1IN,c_TMAP2IN&gt;c_TMAP1IN),"Seg2 map1-map2","Seg1 TFWD-map1"))),IF(AND(A693=0,c_TCREEP&gt;0),"Creep",IF(AND(A693&lt;=c_TRNGMIN,A693&gt;=c_TRNGMAX,c_TRNGMIN-c_TRNGMAX&lt;&gt;0),"Regen ramp","Coast (0)")))</f>
        <v>Seg4 map3-100%</v>
      </c>
      <c r="I693" s="7" t="n">
        <f aca="false">IF(A693&gt;=c_TFWD,IF(AND(A693&gt;=c_TMAP3IN,c_TMAP3IN&lt;1000),G693,IF(AND(A693&gt;=c_TMAP2IN,c_TMAP3IN&gt;c_TMAP2IN),F693,IF(AND(A693&gt;=c_TMAP1IN,c_TMAP2IN&gt;c_TMAP1IN),E693,D693))),C693)</f>
        <v>616</v>
      </c>
      <c r="J693" s="7" t="str">
        <f aca="false">IF(I693&lt;-1090,"TOO LOW",IF(I693&gt;1090,"TOO HIGH",""))</f>
        <v/>
      </c>
      <c r="K693" s="15" t="n">
        <f aca="false">IF(J693&lt;&gt;"",0,IF(I693&gt;979,1000,I693))</f>
        <v>616</v>
      </c>
      <c r="L693" s="7" t="n">
        <f aca="false">K693/10</f>
        <v>61.6</v>
      </c>
    </row>
    <row r="694" customFormat="false" ht="15" hidden="false" customHeight="false" outlineLevel="0" collapsed="false">
      <c r="A694" s="7" t="n">
        <v>689</v>
      </c>
      <c r="B694" s="7" t="n">
        <f aca="false">A694/10</f>
        <v>68.9</v>
      </c>
      <c r="C694" s="7" t="n">
        <f aca="false">IF(AND(A694=0,c_TCREEP&gt;0),10*c_TCREEP,IF(AND(A694&lt;=c_TRNGMIN,A694&gt;=c_TRNGMAX,c_TRNGMIN-c_TRNGMAX&lt;&gt;0),-10*c_TMINRN+QUOTIENT((c_TMAXRN-c_TMINRN)*(100-QUOTIENT((A694-c_TRNGMAX)*100,c_TRNGMIN-c_TRNGMAX)),-10),0))</f>
        <v>0</v>
      </c>
      <c r="D694" s="7" t="n">
        <f aca="false">IF(((c_TMAP1IN)-(c_TFWD))=0,(0)+QUOTIENT(((c_TMAP1OUT)-(0)),2),QUOTIENT((((A694)-(c_TFWD))*((c_TMAP1OUT)-(0))+IF(((c_TMAP1OUT)-(0))&gt;=0,1,-1)*QUOTIENT(((c_TMAP1IN)-(c_TFWD)),2)),((c_TMAP1IN)-(c_TFWD)))+(0)+IF(((c_TMAP1OUT)-(0))&gt;=0,IF(IF(o_WRAP=1,MOD(((c_TMAP1IN)-(c_TFWD))*(((A694)-(c_TFWD))*((c_TMAP1OUT)-(0))+IF(((c_TMAP1OUT)-(0))&gt;=0,1,-1)*QUOTIENT(((c_TMAP1IN)-(c_TFWD)),2))+2147483648,4294967296)-2147483648,((c_TMAP1IN)-(c_TFWD))*(((A694)-(c_TFWD))*((c_TMAP1OUT)-(0))+IF(((c_TMAP1OUT)-(0))&gt;=0,1,-1)*QUOTIENT(((c_TMAP1IN)-(c_TFWD)),2)))&lt;0,-1,0),IF(IF(o_WRAP=1,MOD(((c_TMAP1IN)-(c_TFWD))*(((A694)-(c_TFWD))*((c_TMAP1OUT)-(0))+IF(((c_TMAP1OUT)-(0))&gt;=0,1,-1)*QUOTIENT(((c_TMAP1IN)-(c_TFWD)),2))+2147483648,4294967296)-2147483648,((c_TMAP1IN)-(c_TFWD))*(((A694)-(c_TFWD))*((c_TMAP1OUT)-(0))+IF(((c_TMAP1OUT)-(0))&gt;=0,1,-1)*QUOTIENT(((c_TMAP1IN)-(c_TFWD)),2)))&gt;=0,1,0)))</f>
        <v>528</v>
      </c>
      <c r="E694" s="7" t="n">
        <f aca="false">IF(((c_TMAP2IN)-(c_TMAP1IN))=0,(c_TMAP1OUT)+QUOTIENT(((c_TMAP2OUT)-(c_TMAP1OUT)),2),QUOTIENT((((A694)-(c_TMAP1IN))*((c_TMAP2OUT)-(c_TMAP1OUT))+IF(((c_TMAP2OUT)-(c_TMAP1OUT))&gt;=0,1,-1)*QUOTIENT(((c_TMAP2IN)-(c_TMAP1IN)),2)),((c_TMAP2IN)-(c_TMAP1IN)))+(c_TMAP1OUT)+IF(((c_TMAP2OUT)-(c_TMAP1OUT))&gt;=0,IF(IF(o_WRAP=1,MOD(((c_TMAP2IN)-(c_TMAP1IN))*(((A694)-(c_TMAP1IN))*((c_TMAP2OUT)-(c_TMAP1OUT))+IF(((c_TMAP2OUT)-(c_TMAP1OUT))&gt;=0,1,-1)*QUOTIENT(((c_TMAP2IN)-(c_TMAP1IN)),2))+2147483648,4294967296)-2147483648,((c_TMAP2IN)-(c_TMAP1IN))*(((A694)-(c_TMAP1IN))*((c_TMAP2OUT)-(c_TMAP1OUT))+IF(((c_TMAP2OUT)-(c_TMAP1OUT))&gt;=0,1,-1)*QUOTIENT(((c_TMAP2IN)-(c_TMAP1IN)),2)))&lt;0,-1,0),IF(IF(o_WRAP=1,MOD(((c_TMAP2IN)-(c_TMAP1IN))*(((A694)-(c_TMAP1IN))*((c_TMAP2OUT)-(c_TMAP1OUT))+IF(((c_TMAP2OUT)-(c_TMAP1OUT))&gt;=0,1,-1)*QUOTIENT(((c_TMAP2IN)-(c_TMAP1IN)),2))+2147483648,4294967296)-2147483648,((c_TMAP2IN)-(c_TMAP1IN))*(((A694)-(c_TMAP1IN))*((c_TMAP2OUT)-(c_TMAP1OUT))+IF(((c_TMAP2OUT)-(c_TMAP1OUT))&gt;=0,1,-1)*QUOTIENT(((c_TMAP2IN)-(c_TMAP1IN)),2)))&gt;=0,1,0)))</f>
        <v>306</v>
      </c>
      <c r="F694" s="7" t="n">
        <f aca="false">IF(((c_TMAP3IN)-(c_TMAP2IN))=0,(c_TMAP2OUT)+QUOTIENT(((c_TMAP3OUT)-(c_TMAP2OUT)),2),QUOTIENT((((A694)-(c_TMAP2IN))*((c_TMAP3OUT)-(c_TMAP2OUT))+IF(((c_TMAP3OUT)-(c_TMAP2OUT))&gt;=0,1,-1)*QUOTIENT(((c_TMAP3IN)-(c_TMAP2IN)),2)),((c_TMAP3IN)-(c_TMAP2IN)))+(c_TMAP2OUT)+IF(((c_TMAP3OUT)-(c_TMAP2OUT))&gt;=0,IF(IF(o_WRAP=1,MOD(((c_TMAP3IN)-(c_TMAP2IN))*(((A694)-(c_TMAP2IN))*((c_TMAP3OUT)-(c_TMAP2OUT))+IF(((c_TMAP3OUT)-(c_TMAP2OUT))&gt;=0,1,-1)*QUOTIENT(((c_TMAP3IN)-(c_TMAP2IN)),2))+2147483648,4294967296)-2147483648,((c_TMAP3IN)-(c_TMAP2IN))*(((A694)-(c_TMAP2IN))*((c_TMAP3OUT)-(c_TMAP2OUT))+IF(((c_TMAP3OUT)-(c_TMAP2OUT))&gt;=0,1,-1)*QUOTIENT(((c_TMAP3IN)-(c_TMAP2IN)),2)))&lt;0,-1,0),IF(IF(o_WRAP=1,MOD(((c_TMAP3IN)-(c_TMAP2IN))*(((A694)-(c_TMAP2IN))*((c_TMAP3OUT)-(c_TMAP2OUT))+IF(((c_TMAP3OUT)-(c_TMAP2OUT))&gt;=0,1,-1)*QUOTIENT(((c_TMAP3IN)-(c_TMAP2IN)),2))+2147483648,4294967296)-2147483648,((c_TMAP3IN)-(c_TMAP2IN))*(((A694)-(c_TMAP2IN))*((c_TMAP3OUT)-(c_TMAP2OUT))+IF(((c_TMAP3OUT)-(c_TMAP2OUT))&gt;=0,1,-1)*QUOTIENT(((c_TMAP3IN)-(c_TMAP2IN)),2)))&gt;=0,1,0)))</f>
        <v>437</v>
      </c>
      <c r="G694" s="7" t="n">
        <f aca="false">IF(((1000)-(c_TMAP3IN))=0,(c_TMAP3OUT)+QUOTIENT(((1000)-(c_TMAP3OUT)),2),QUOTIENT((((A694)-(c_TMAP3IN))*((1000)-(c_TMAP3OUT))+IF(((1000)-(c_TMAP3OUT))&gt;=0,1,-1)*QUOTIENT(((1000)-(c_TMAP3IN)),2)),((1000)-(c_TMAP3IN)))+(c_TMAP3OUT)+IF(((1000)-(c_TMAP3OUT))&gt;=0,IF(IF(o_WRAP=1,MOD(((1000)-(c_TMAP3IN))*(((A694)-(c_TMAP3IN))*((1000)-(c_TMAP3OUT))+IF(((1000)-(c_TMAP3OUT))&gt;=0,1,-1)*QUOTIENT(((1000)-(c_TMAP3IN)),2))+2147483648,4294967296)-2147483648,((1000)-(c_TMAP3IN))*(((A694)-(c_TMAP3IN))*((1000)-(c_TMAP3OUT))+IF(((1000)-(c_TMAP3OUT))&gt;=0,1,-1)*QUOTIENT(((1000)-(c_TMAP3IN)),2)))&lt;0,-1,0),IF(IF(o_WRAP=1,MOD(((1000)-(c_TMAP3IN))*(((A694)-(c_TMAP3IN))*((1000)-(c_TMAP3OUT))+IF(((1000)-(c_TMAP3OUT))&gt;=0,1,-1)*QUOTIENT(((1000)-(c_TMAP3IN)),2))+2147483648,4294967296)-2147483648,((1000)-(c_TMAP3IN))*(((A694)-(c_TMAP3IN))*((1000)-(c_TMAP3OUT))+IF(((1000)-(c_TMAP3OUT))&gt;=0,1,-1)*QUOTIENT(((1000)-(c_TMAP3IN)),2)))&gt;=0,1,0)))</f>
        <v>617</v>
      </c>
      <c r="H694" s="7" t="str">
        <f aca="false">IF(A694&gt;=c_TFWD,IF(AND(A694&gt;=c_TMAP3IN,c_TMAP3IN&lt;1000),"Seg4 map3-100%",IF(AND(A694&gt;=c_TMAP2IN,c_TMAP3IN&gt;c_TMAP2IN),"Seg3 map2-map3",IF(AND(A694&gt;=c_TMAP1IN,c_TMAP2IN&gt;c_TMAP1IN),"Seg2 map1-map2","Seg1 TFWD-map1"))),IF(AND(A694=0,c_TCREEP&gt;0),"Creep",IF(AND(A694&lt;=c_TRNGMIN,A694&gt;=c_TRNGMAX,c_TRNGMIN-c_TRNGMAX&lt;&gt;0),"Regen ramp","Coast (0)")))</f>
        <v>Seg4 map3-100%</v>
      </c>
      <c r="I694" s="7" t="n">
        <f aca="false">IF(A694&gt;=c_TFWD,IF(AND(A694&gt;=c_TMAP3IN,c_TMAP3IN&lt;1000),G694,IF(AND(A694&gt;=c_TMAP2IN,c_TMAP3IN&gt;c_TMAP2IN),F694,IF(AND(A694&gt;=c_TMAP1IN,c_TMAP2IN&gt;c_TMAP1IN),E694,D694))),C694)</f>
        <v>617</v>
      </c>
      <c r="J694" s="7" t="str">
        <f aca="false">IF(I694&lt;-1090,"TOO LOW",IF(I694&gt;1090,"TOO HIGH",""))</f>
        <v/>
      </c>
      <c r="K694" s="15" t="n">
        <f aca="false">IF(J694&lt;&gt;"",0,IF(I694&gt;979,1000,I694))</f>
        <v>617</v>
      </c>
      <c r="L694" s="7" t="n">
        <f aca="false">K694/10</f>
        <v>61.7</v>
      </c>
    </row>
    <row r="695" customFormat="false" ht="15" hidden="false" customHeight="false" outlineLevel="0" collapsed="false">
      <c r="A695" s="7" t="n">
        <v>690</v>
      </c>
      <c r="B695" s="7" t="n">
        <f aca="false">A695/10</f>
        <v>69</v>
      </c>
      <c r="C695" s="7" t="n">
        <f aca="false">IF(AND(A695=0,c_TCREEP&gt;0),10*c_TCREEP,IF(AND(A695&lt;=c_TRNGMIN,A695&gt;=c_TRNGMAX,c_TRNGMIN-c_TRNGMAX&lt;&gt;0),-10*c_TMINRN+QUOTIENT((c_TMAXRN-c_TMINRN)*(100-QUOTIENT((A695-c_TRNGMAX)*100,c_TRNGMIN-c_TRNGMAX)),-10),0))</f>
        <v>0</v>
      </c>
      <c r="D695" s="7" t="n">
        <f aca="false">IF(((c_TMAP1IN)-(c_TFWD))=0,(0)+QUOTIENT(((c_TMAP1OUT)-(0)),2),QUOTIENT((((A695)-(c_TFWD))*((c_TMAP1OUT)-(0))+IF(((c_TMAP1OUT)-(0))&gt;=0,1,-1)*QUOTIENT(((c_TMAP1IN)-(c_TFWD)),2)),((c_TMAP1IN)-(c_TFWD)))+(0)+IF(((c_TMAP1OUT)-(0))&gt;=0,IF(IF(o_WRAP=1,MOD(((c_TMAP1IN)-(c_TFWD))*(((A695)-(c_TFWD))*((c_TMAP1OUT)-(0))+IF(((c_TMAP1OUT)-(0))&gt;=0,1,-1)*QUOTIENT(((c_TMAP1IN)-(c_TFWD)),2))+2147483648,4294967296)-2147483648,((c_TMAP1IN)-(c_TFWD))*(((A695)-(c_TFWD))*((c_TMAP1OUT)-(0))+IF(((c_TMAP1OUT)-(0))&gt;=0,1,-1)*QUOTIENT(((c_TMAP1IN)-(c_TFWD)),2)))&lt;0,-1,0),IF(IF(o_WRAP=1,MOD(((c_TMAP1IN)-(c_TFWD))*(((A695)-(c_TFWD))*((c_TMAP1OUT)-(0))+IF(((c_TMAP1OUT)-(0))&gt;=0,1,-1)*QUOTIENT(((c_TMAP1IN)-(c_TFWD)),2))+2147483648,4294967296)-2147483648,((c_TMAP1IN)-(c_TFWD))*(((A695)-(c_TFWD))*((c_TMAP1OUT)-(0))+IF(((c_TMAP1OUT)-(0))&gt;=0,1,-1)*QUOTIENT(((c_TMAP1IN)-(c_TFWD)),2)))&gt;=0,1,0)))</f>
        <v>529</v>
      </c>
      <c r="E695" s="7" t="n">
        <f aca="false">IF(((c_TMAP2IN)-(c_TMAP1IN))=0,(c_TMAP1OUT)+QUOTIENT(((c_TMAP2OUT)-(c_TMAP1OUT)),2),QUOTIENT((((A695)-(c_TMAP1IN))*((c_TMAP2OUT)-(c_TMAP1OUT))+IF(((c_TMAP2OUT)-(c_TMAP1OUT))&gt;=0,1,-1)*QUOTIENT(((c_TMAP2IN)-(c_TMAP1IN)),2)),((c_TMAP2IN)-(c_TMAP1IN)))+(c_TMAP1OUT)+IF(((c_TMAP2OUT)-(c_TMAP1OUT))&gt;=0,IF(IF(o_WRAP=1,MOD(((c_TMAP2IN)-(c_TMAP1IN))*(((A695)-(c_TMAP1IN))*((c_TMAP2OUT)-(c_TMAP1OUT))+IF(((c_TMAP2OUT)-(c_TMAP1OUT))&gt;=0,1,-1)*QUOTIENT(((c_TMAP2IN)-(c_TMAP1IN)),2))+2147483648,4294967296)-2147483648,((c_TMAP2IN)-(c_TMAP1IN))*(((A695)-(c_TMAP1IN))*((c_TMAP2OUT)-(c_TMAP1OUT))+IF(((c_TMAP2OUT)-(c_TMAP1OUT))&gt;=0,1,-1)*QUOTIENT(((c_TMAP2IN)-(c_TMAP1IN)),2)))&lt;0,-1,0),IF(IF(o_WRAP=1,MOD(((c_TMAP2IN)-(c_TMAP1IN))*(((A695)-(c_TMAP1IN))*((c_TMAP2OUT)-(c_TMAP1OUT))+IF(((c_TMAP2OUT)-(c_TMAP1OUT))&gt;=0,1,-1)*QUOTIENT(((c_TMAP2IN)-(c_TMAP1IN)),2))+2147483648,4294967296)-2147483648,((c_TMAP2IN)-(c_TMAP1IN))*(((A695)-(c_TMAP1IN))*((c_TMAP2OUT)-(c_TMAP1OUT))+IF(((c_TMAP2OUT)-(c_TMAP1OUT))&gt;=0,1,-1)*QUOTIENT(((c_TMAP2IN)-(c_TMAP1IN)),2)))&gt;=0,1,0)))</f>
        <v>306</v>
      </c>
      <c r="F695" s="7" t="n">
        <f aca="false">IF(((c_TMAP3IN)-(c_TMAP2IN))=0,(c_TMAP2OUT)+QUOTIENT(((c_TMAP3OUT)-(c_TMAP2OUT)),2),QUOTIENT((((A695)-(c_TMAP2IN))*((c_TMAP3OUT)-(c_TMAP2OUT))+IF(((c_TMAP3OUT)-(c_TMAP2OUT))&gt;=0,1,-1)*QUOTIENT(((c_TMAP3IN)-(c_TMAP2IN)),2)),((c_TMAP3IN)-(c_TMAP2IN)))+(c_TMAP2OUT)+IF(((c_TMAP3OUT)-(c_TMAP2OUT))&gt;=0,IF(IF(o_WRAP=1,MOD(((c_TMAP3IN)-(c_TMAP2IN))*(((A695)-(c_TMAP2IN))*((c_TMAP3OUT)-(c_TMAP2OUT))+IF(((c_TMAP3OUT)-(c_TMAP2OUT))&gt;=0,1,-1)*QUOTIENT(((c_TMAP3IN)-(c_TMAP2IN)),2))+2147483648,4294967296)-2147483648,((c_TMAP3IN)-(c_TMAP2IN))*(((A695)-(c_TMAP2IN))*((c_TMAP3OUT)-(c_TMAP2OUT))+IF(((c_TMAP3OUT)-(c_TMAP2OUT))&gt;=0,1,-1)*QUOTIENT(((c_TMAP3IN)-(c_TMAP2IN)),2)))&lt;0,-1,0),IF(IF(o_WRAP=1,MOD(((c_TMAP3IN)-(c_TMAP2IN))*(((A695)-(c_TMAP2IN))*((c_TMAP3OUT)-(c_TMAP2OUT))+IF(((c_TMAP3OUT)-(c_TMAP2OUT))&gt;=0,1,-1)*QUOTIENT(((c_TMAP3IN)-(c_TMAP2IN)),2))+2147483648,4294967296)-2147483648,((c_TMAP3IN)-(c_TMAP2IN))*(((A695)-(c_TMAP2IN))*((c_TMAP3OUT)-(c_TMAP2OUT))+IF(((c_TMAP3OUT)-(c_TMAP2OUT))&gt;=0,1,-1)*QUOTIENT(((c_TMAP3IN)-(c_TMAP2IN)),2)))&gt;=0,1,0)))</f>
        <v>438</v>
      </c>
      <c r="G695" s="7" t="n">
        <f aca="false">IF(((1000)-(c_TMAP3IN))=0,(c_TMAP3OUT)+QUOTIENT(((1000)-(c_TMAP3OUT)),2),QUOTIENT((((A695)-(c_TMAP3IN))*((1000)-(c_TMAP3OUT))+IF(((1000)-(c_TMAP3OUT))&gt;=0,1,-1)*QUOTIENT(((1000)-(c_TMAP3IN)),2)),((1000)-(c_TMAP3IN)))+(c_TMAP3OUT)+IF(((1000)-(c_TMAP3OUT))&gt;=0,IF(IF(o_WRAP=1,MOD(((1000)-(c_TMAP3IN))*(((A695)-(c_TMAP3IN))*((1000)-(c_TMAP3OUT))+IF(((1000)-(c_TMAP3OUT))&gt;=0,1,-1)*QUOTIENT(((1000)-(c_TMAP3IN)),2))+2147483648,4294967296)-2147483648,((1000)-(c_TMAP3IN))*(((A695)-(c_TMAP3IN))*((1000)-(c_TMAP3OUT))+IF(((1000)-(c_TMAP3OUT))&gt;=0,1,-1)*QUOTIENT(((1000)-(c_TMAP3IN)),2)))&lt;0,-1,0),IF(IF(o_WRAP=1,MOD(((1000)-(c_TMAP3IN))*(((A695)-(c_TMAP3IN))*((1000)-(c_TMAP3OUT))+IF(((1000)-(c_TMAP3OUT))&gt;=0,1,-1)*QUOTIENT(((1000)-(c_TMAP3IN)),2))+2147483648,4294967296)-2147483648,((1000)-(c_TMAP3IN))*(((A695)-(c_TMAP3IN))*((1000)-(c_TMAP3OUT))+IF(((1000)-(c_TMAP3OUT))&gt;=0,1,-1)*QUOTIENT(((1000)-(c_TMAP3IN)),2)))&gt;=0,1,0)))</f>
        <v>618</v>
      </c>
      <c r="H695" s="7" t="str">
        <f aca="false">IF(A695&gt;=c_TFWD,IF(AND(A695&gt;=c_TMAP3IN,c_TMAP3IN&lt;1000),"Seg4 map3-100%",IF(AND(A695&gt;=c_TMAP2IN,c_TMAP3IN&gt;c_TMAP2IN),"Seg3 map2-map3",IF(AND(A695&gt;=c_TMAP1IN,c_TMAP2IN&gt;c_TMAP1IN),"Seg2 map1-map2","Seg1 TFWD-map1"))),IF(AND(A695=0,c_TCREEP&gt;0),"Creep",IF(AND(A695&lt;=c_TRNGMIN,A695&gt;=c_TRNGMAX,c_TRNGMIN-c_TRNGMAX&lt;&gt;0),"Regen ramp","Coast (0)")))</f>
        <v>Seg4 map3-100%</v>
      </c>
      <c r="I695" s="7" t="n">
        <f aca="false">IF(A695&gt;=c_TFWD,IF(AND(A695&gt;=c_TMAP3IN,c_TMAP3IN&lt;1000),G695,IF(AND(A695&gt;=c_TMAP2IN,c_TMAP3IN&gt;c_TMAP2IN),F695,IF(AND(A695&gt;=c_TMAP1IN,c_TMAP2IN&gt;c_TMAP1IN),E695,D695))),C695)</f>
        <v>618</v>
      </c>
      <c r="J695" s="7" t="str">
        <f aca="false">IF(I695&lt;-1090,"TOO LOW",IF(I695&gt;1090,"TOO HIGH",""))</f>
        <v/>
      </c>
      <c r="K695" s="15" t="n">
        <f aca="false">IF(J695&lt;&gt;"",0,IF(I695&gt;979,1000,I695))</f>
        <v>618</v>
      </c>
      <c r="L695" s="7" t="n">
        <f aca="false">K695/10</f>
        <v>61.8</v>
      </c>
    </row>
    <row r="696" customFormat="false" ht="15" hidden="false" customHeight="false" outlineLevel="0" collapsed="false">
      <c r="A696" s="7" t="n">
        <v>691</v>
      </c>
      <c r="B696" s="7" t="n">
        <f aca="false">A696/10</f>
        <v>69.1</v>
      </c>
      <c r="C696" s="7" t="n">
        <f aca="false">IF(AND(A696=0,c_TCREEP&gt;0),10*c_TCREEP,IF(AND(A696&lt;=c_TRNGMIN,A696&gt;=c_TRNGMAX,c_TRNGMIN-c_TRNGMAX&lt;&gt;0),-10*c_TMINRN+QUOTIENT((c_TMAXRN-c_TMINRN)*(100-QUOTIENT((A696-c_TRNGMAX)*100,c_TRNGMIN-c_TRNGMAX)),-10),0))</f>
        <v>0</v>
      </c>
      <c r="D696" s="7" t="n">
        <f aca="false">IF(((c_TMAP1IN)-(c_TFWD))=0,(0)+QUOTIENT(((c_TMAP1OUT)-(0)),2),QUOTIENT((((A696)-(c_TFWD))*((c_TMAP1OUT)-(0))+IF(((c_TMAP1OUT)-(0))&gt;=0,1,-1)*QUOTIENT(((c_TMAP1IN)-(c_TFWD)),2)),((c_TMAP1IN)-(c_TFWD)))+(0)+IF(((c_TMAP1OUT)-(0))&gt;=0,IF(IF(o_WRAP=1,MOD(((c_TMAP1IN)-(c_TFWD))*(((A696)-(c_TFWD))*((c_TMAP1OUT)-(0))+IF(((c_TMAP1OUT)-(0))&gt;=0,1,-1)*QUOTIENT(((c_TMAP1IN)-(c_TFWD)),2))+2147483648,4294967296)-2147483648,((c_TMAP1IN)-(c_TFWD))*(((A696)-(c_TFWD))*((c_TMAP1OUT)-(0))+IF(((c_TMAP1OUT)-(0))&gt;=0,1,-1)*QUOTIENT(((c_TMAP1IN)-(c_TFWD)),2)))&lt;0,-1,0),IF(IF(o_WRAP=1,MOD(((c_TMAP1IN)-(c_TFWD))*(((A696)-(c_TFWD))*((c_TMAP1OUT)-(0))+IF(((c_TMAP1OUT)-(0))&gt;=0,1,-1)*QUOTIENT(((c_TMAP1IN)-(c_TFWD)),2))+2147483648,4294967296)-2147483648,((c_TMAP1IN)-(c_TFWD))*(((A696)-(c_TFWD))*((c_TMAP1OUT)-(0))+IF(((c_TMAP1OUT)-(0))&gt;=0,1,-1)*QUOTIENT(((c_TMAP1IN)-(c_TFWD)),2)))&gt;=0,1,0)))</f>
        <v>530</v>
      </c>
      <c r="E696" s="7" t="n">
        <f aca="false">IF(((c_TMAP2IN)-(c_TMAP1IN))=0,(c_TMAP1OUT)+QUOTIENT(((c_TMAP2OUT)-(c_TMAP1OUT)),2),QUOTIENT((((A696)-(c_TMAP1IN))*((c_TMAP2OUT)-(c_TMAP1OUT))+IF(((c_TMAP2OUT)-(c_TMAP1OUT))&gt;=0,1,-1)*QUOTIENT(((c_TMAP2IN)-(c_TMAP1IN)),2)),((c_TMAP2IN)-(c_TMAP1IN)))+(c_TMAP1OUT)+IF(((c_TMAP2OUT)-(c_TMAP1OUT))&gt;=0,IF(IF(o_WRAP=1,MOD(((c_TMAP2IN)-(c_TMAP1IN))*(((A696)-(c_TMAP1IN))*((c_TMAP2OUT)-(c_TMAP1OUT))+IF(((c_TMAP2OUT)-(c_TMAP1OUT))&gt;=0,1,-1)*QUOTIENT(((c_TMAP2IN)-(c_TMAP1IN)),2))+2147483648,4294967296)-2147483648,((c_TMAP2IN)-(c_TMAP1IN))*(((A696)-(c_TMAP1IN))*((c_TMAP2OUT)-(c_TMAP1OUT))+IF(((c_TMAP2OUT)-(c_TMAP1OUT))&gt;=0,1,-1)*QUOTIENT(((c_TMAP2IN)-(c_TMAP1IN)),2)))&lt;0,-1,0),IF(IF(o_WRAP=1,MOD(((c_TMAP2IN)-(c_TMAP1IN))*(((A696)-(c_TMAP1IN))*((c_TMAP2OUT)-(c_TMAP1OUT))+IF(((c_TMAP2OUT)-(c_TMAP1OUT))&gt;=0,1,-1)*QUOTIENT(((c_TMAP2IN)-(c_TMAP1IN)),2))+2147483648,4294967296)-2147483648,((c_TMAP2IN)-(c_TMAP1IN))*(((A696)-(c_TMAP1IN))*((c_TMAP2OUT)-(c_TMAP1OUT))+IF(((c_TMAP2OUT)-(c_TMAP1OUT))&gt;=0,1,-1)*QUOTIENT(((c_TMAP2IN)-(c_TMAP1IN)),2)))&gt;=0,1,0)))</f>
        <v>306</v>
      </c>
      <c r="F696" s="7" t="n">
        <f aca="false">IF(((c_TMAP3IN)-(c_TMAP2IN))=0,(c_TMAP2OUT)+QUOTIENT(((c_TMAP3OUT)-(c_TMAP2OUT)),2),QUOTIENT((((A696)-(c_TMAP2IN))*((c_TMAP3OUT)-(c_TMAP2OUT))+IF(((c_TMAP3OUT)-(c_TMAP2OUT))&gt;=0,1,-1)*QUOTIENT(((c_TMAP3IN)-(c_TMAP2IN)),2)),((c_TMAP3IN)-(c_TMAP2IN)))+(c_TMAP2OUT)+IF(((c_TMAP3OUT)-(c_TMAP2OUT))&gt;=0,IF(IF(o_WRAP=1,MOD(((c_TMAP3IN)-(c_TMAP2IN))*(((A696)-(c_TMAP2IN))*((c_TMAP3OUT)-(c_TMAP2OUT))+IF(((c_TMAP3OUT)-(c_TMAP2OUT))&gt;=0,1,-1)*QUOTIENT(((c_TMAP3IN)-(c_TMAP2IN)),2))+2147483648,4294967296)-2147483648,((c_TMAP3IN)-(c_TMAP2IN))*(((A696)-(c_TMAP2IN))*((c_TMAP3OUT)-(c_TMAP2OUT))+IF(((c_TMAP3OUT)-(c_TMAP2OUT))&gt;=0,1,-1)*QUOTIENT(((c_TMAP3IN)-(c_TMAP2IN)),2)))&lt;0,-1,0),IF(IF(o_WRAP=1,MOD(((c_TMAP3IN)-(c_TMAP2IN))*(((A696)-(c_TMAP2IN))*((c_TMAP3OUT)-(c_TMAP2OUT))+IF(((c_TMAP3OUT)-(c_TMAP2OUT))&gt;=0,1,-1)*QUOTIENT(((c_TMAP3IN)-(c_TMAP2IN)),2))+2147483648,4294967296)-2147483648,((c_TMAP3IN)-(c_TMAP2IN))*(((A696)-(c_TMAP2IN))*((c_TMAP3OUT)-(c_TMAP2OUT))+IF(((c_TMAP3OUT)-(c_TMAP2OUT))&gt;=0,1,-1)*QUOTIENT(((c_TMAP3IN)-(c_TMAP2IN)),2)))&gt;=0,1,0)))</f>
        <v>439</v>
      </c>
      <c r="G696" s="7" t="n">
        <f aca="false">IF(((1000)-(c_TMAP3IN))=0,(c_TMAP3OUT)+QUOTIENT(((1000)-(c_TMAP3OUT)),2),QUOTIENT((((A696)-(c_TMAP3IN))*((1000)-(c_TMAP3OUT))+IF(((1000)-(c_TMAP3OUT))&gt;=0,1,-1)*QUOTIENT(((1000)-(c_TMAP3IN)),2)),((1000)-(c_TMAP3IN)))+(c_TMAP3OUT)+IF(((1000)-(c_TMAP3OUT))&gt;=0,IF(IF(o_WRAP=1,MOD(((1000)-(c_TMAP3IN))*(((A696)-(c_TMAP3IN))*((1000)-(c_TMAP3OUT))+IF(((1000)-(c_TMAP3OUT))&gt;=0,1,-1)*QUOTIENT(((1000)-(c_TMAP3IN)),2))+2147483648,4294967296)-2147483648,((1000)-(c_TMAP3IN))*(((A696)-(c_TMAP3IN))*((1000)-(c_TMAP3OUT))+IF(((1000)-(c_TMAP3OUT))&gt;=0,1,-1)*QUOTIENT(((1000)-(c_TMAP3IN)),2)))&lt;0,-1,0),IF(IF(o_WRAP=1,MOD(((1000)-(c_TMAP3IN))*(((A696)-(c_TMAP3IN))*((1000)-(c_TMAP3OUT))+IF(((1000)-(c_TMAP3OUT))&gt;=0,1,-1)*QUOTIENT(((1000)-(c_TMAP3IN)),2))+2147483648,4294967296)-2147483648,((1000)-(c_TMAP3IN))*(((A696)-(c_TMAP3IN))*((1000)-(c_TMAP3OUT))+IF(((1000)-(c_TMAP3OUT))&gt;=0,1,-1)*QUOTIENT(((1000)-(c_TMAP3IN)),2)))&gt;=0,1,0)))</f>
        <v>620</v>
      </c>
      <c r="H696" s="7" t="str">
        <f aca="false">IF(A696&gt;=c_TFWD,IF(AND(A696&gt;=c_TMAP3IN,c_TMAP3IN&lt;1000),"Seg4 map3-100%",IF(AND(A696&gt;=c_TMAP2IN,c_TMAP3IN&gt;c_TMAP2IN),"Seg3 map2-map3",IF(AND(A696&gt;=c_TMAP1IN,c_TMAP2IN&gt;c_TMAP1IN),"Seg2 map1-map2","Seg1 TFWD-map1"))),IF(AND(A696=0,c_TCREEP&gt;0),"Creep",IF(AND(A696&lt;=c_TRNGMIN,A696&gt;=c_TRNGMAX,c_TRNGMIN-c_TRNGMAX&lt;&gt;0),"Regen ramp","Coast (0)")))</f>
        <v>Seg4 map3-100%</v>
      </c>
      <c r="I696" s="7" t="n">
        <f aca="false">IF(A696&gt;=c_TFWD,IF(AND(A696&gt;=c_TMAP3IN,c_TMAP3IN&lt;1000),G696,IF(AND(A696&gt;=c_TMAP2IN,c_TMAP3IN&gt;c_TMAP2IN),F696,IF(AND(A696&gt;=c_TMAP1IN,c_TMAP2IN&gt;c_TMAP1IN),E696,D696))),C696)</f>
        <v>620</v>
      </c>
      <c r="J696" s="7" t="str">
        <f aca="false">IF(I696&lt;-1090,"TOO LOW",IF(I696&gt;1090,"TOO HIGH",""))</f>
        <v/>
      </c>
      <c r="K696" s="15" t="n">
        <f aca="false">IF(J696&lt;&gt;"",0,IF(I696&gt;979,1000,I696))</f>
        <v>620</v>
      </c>
      <c r="L696" s="7" t="n">
        <f aca="false">K696/10</f>
        <v>62</v>
      </c>
    </row>
    <row r="697" customFormat="false" ht="15" hidden="false" customHeight="false" outlineLevel="0" collapsed="false">
      <c r="A697" s="7" t="n">
        <v>692</v>
      </c>
      <c r="B697" s="7" t="n">
        <f aca="false">A697/10</f>
        <v>69.2</v>
      </c>
      <c r="C697" s="7" t="n">
        <f aca="false">IF(AND(A697=0,c_TCREEP&gt;0),10*c_TCREEP,IF(AND(A697&lt;=c_TRNGMIN,A697&gt;=c_TRNGMAX,c_TRNGMIN-c_TRNGMAX&lt;&gt;0),-10*c_TMINRN+QUOTIENT((c_TMAXRN-c_TMINRN)*(100-QUOTIENT((A697-c_TRNGMAX)*100,c_TRNGMIN-c_TRNGMAX)),-10),0))</f>
        <v>0</v>
      </c>
      <c r="D697" s="7" t="n">
        <f aca="false">IF(((c_TMAP1IN)-(c_TFWD))=0,(0)+QUOTIENT(((c_TMAP1OUT)-(0)),2),QUOTIENT((((A697)-(c_TFWD))*((c_TMAP1OUT)-(0))+IF(((c_TMAP1OUT)-(0))&gt;=0,1,-1)*QUOTIENT(((c_TMAP1IN)-(c_TFWD)),2)),((c_TMAP1IN)-(c_TFWD)))+(0)+IF(((c_TMAP1OUT)-(0))&gt;=0,IF(IF(o_WRAP=1,MOD(((c_TMAP1IN)-(c_TFWD))*(((A697)-(c_TFWD))*((c_TMAP1OUT)-(0))+IF(((c_TMAP1OUT)-(0))&gt;=0,1,-1)*QUOTIENT(((c_TMAP1IN)-(c_TFWD)),2))+2147483648,4294967296)-2147483648,((c_TMAP1IN)-(c_TFWD))*(((A697)-(c_TFWD))*((c_TMAP1OUT)-(0))+IF(((c_TMAP1OUT)-(0))&gt;=0,1,-1)*QUOTIENT(((c_TMAP1IN)-(c_TFWD)),2)))&lt;0,-1,0),IF(IF(o_WRAP=1,MOD(((c_TMAP1IN)-(c_TFWD))*(((A697)-(c_TFWD))*((c_TMAP1OUT)-(0))+IF(((c_TMAP1OUT)-(0))&gt;=0,1,-1)*QUOTIENT(((c_TMAP1IN)-(c_TFWD)),2))+2147483648,4294967296)-2147483648,((c_TMAP1IN)-(c_TFWD))*(((A697)-(c_TFWD))*((c_TMAP1OUT)-(0))+IF(((c_TMAP1OUT)-(0))&gt;=0,1,-1)*QUOTIENT(((c_TMAP1IN)-(c_TFWD)),2)))&gt;=0,1,0)))</f>
        <v>530</v>
      </c>
      <c r="E697" s="7" t="n">
        <f aca="false">IF(((c_TMAP2IN)-(c_TMAP1IN))=0,(c_TMAP1OUT)+QUOTIENT(((c_TMAP2OUT)-(c_TMAP1OUT)),2),QUOTIENT((((A697)-(c_TMAP1IN))*((c_TMAP2OUT)-(c_TMAP1OUT))+IF(((c_TMAP2OUT)-(c_TMAP1OUT))&gt;=0,1,-1)*QUOTIENT(((c_TMAP2IN)-(c_TMAP1IN)),2)),((c_TMAP2IN)-(c_TMAP1IN)))+(c_TMAP1OUT)+IF(((c_TMAP2OUT)-(c_TMAP1OUT))&gt;=0,IF(IF(o_WRAP=1,MOD(((c_TMAP2IN)-(c_TMAP1IN))*(((A697)-(c_TMAP1IN))*((c_TMAP2OUT)-(c_TMAP1OUT))+IF(((c_TMAP2OUT)-(c_TMAP1OUT))&gt;=0,1,-1)*QUOTIENT(((c_TMAP2IN)-(c_TMAP1IN)),2))+2147483648,4294967296)-2147483648,((c_TMAP2IN)-(c_TMAP1IN))*(((A697)-(c_TMAP1IN))*((c_TMAP2OUT)-(c_TMAP1OUT))+IF(((c_TMAP2OUT)-(c_TMAP1OUT))&gt;=0,1,-1)*QUOTIENT(((c_TMAP2IN)-(c_TMAP1IN)),2)))&lt;0,-1,0),IF(IF(o_WRAP=1,MOD(((c_TMAP2IN)-(c_TMAP1IN))*(((A697)-(c_TMAP1IN))*((c_TMAP2OUT)-(c_TMAP1OUT))+IF(((c_TMAP2OUT)-(c_TMAP1OUT))&gt;=0,1,-1)*QUOTIENT(((c_TMAP2IN)-(c_TMAP1IN)),2))+2147483648,4294967296)-2147483648,((c_TMAP2IN)-(c_TMAP1IN))*(((A697)-(c_TMAP1IN))*((c_TMAP2OUT)-(c_TMAP1OUT))+IF(((c_TMAP2OUT)-(c_TMAP1OUT))&gt;=0,1,-1)*QUOTIENT(((c_TMAP2IN)-(c_TMAP1IN)),2)))&gt;=0,1,0)))</f>
        <v>307</v>
      </c>
      <c r="F697" s="7" t="n">
        <f aca="false">IF(((c_TMAP3IN)-(c_TMAP2IN))=0,(c_TMAP2OUT)+QUOTIENT(((c_TMAP3OUT)-(c_TMAP2OUT)),2),QUOTIENT((((A697)-(c_TMAP2IN))*((c_TMAP3OUT)-(c_TMAP2OUT))+IF(((c_TMAP3OUT)-(c_TMAP2OUT))&gt;=0,1,-1)*QUOTIENT(((c_TMAP3IN)-(c_TMAP2IN)),2)),((c_TMAP3IN)-(c_TMAP2IN)))+(c_TMAP2OUT)+IF(((c_TMAP3OUT)-(c_TMAP2OUT))&gt;=0,IF(IF(o_WRAP=1,MOD(((c_TMAP3IN)-(c_TMAP2IN))*(((A697)-(c_TMAP2IN))*((c_TMAP3OUT)-(c_TMAP2OUT))+IF(((c_TMAP3OUT)-(c_TMAP2OUT))&gt;=0,1,-1)*QUOTIENT(((c_TMAP3IN)-(c_TMAP2IN)),2))+2147483648,4294967296)-2147483648,((c_TMAP3IN)-(c_TMAP2IN))*(((A697)-(c_TMAP2IN))*((c_TMAP3OUT)-(c_TMAP2OUT))+IF(((c_TMAP3OUT)-(c_TMAP2OUT))&gt;=0,1,-1)*QUOTIENT(((c_TMAP3IN)-(c_TMAP2IN)),2)))&lt;0,-1,0),IF(IF(o_WRAP=1,MOD(((c_TMAP3IN)-(c_TMAP2IN))*(((A697)-(c_TMAP2IN))*((c_TMAP3OUT)-(c_TMAP2OUT))+IF(((c_TMAP3OUT)-(c_TMAP2OUT))&gt;=0,1,-1)*QUOTIENT(((c_TMAP3IN)-(c_TMAP2IN)),2))+2147483648,4294967296)-2147483648,((c_TMAP3IN)-(c_TMAP2IN))*(((A697)-(c_TMAP2IN))*((c_TMAP3OUT)-(c_TMAP2OUT))+IF(((c_TMAP3OUT)-(c_TMAP2OUT))&gt;=0,1,-1)*QUOTIENT(((c_TMAP3IN)-(c_TMAP2IN)),2)))&gt;=0,1,0)))</f>
        <v>439</v>
      </c>
      <c r="G697" s="7" t="n">
        <f aca="false">IF(((1000)-(c_TMAP3IN))=0,(c_TMAP3OUT)+QUOTIENT(((1000)-(c_TMAP3OUT)),2),QUOTIENT((((A697)-(c_TMAP3IN))*((1000)-(c_TMAP3OUT))+IF(((1000)-(c_TMAP3OUT))&gt;=0,1,-1)*QUOTIENT(((1000)-(c_TMAP3IN)),2)),((1000)-(c_TMAP3IN)))+(c_TMAP3OUT)+IF(((1000)-(c_TMAP3OUT))&gt;=0,IF(IF(o_WRAP=1,MOD(((1000)-(c_TMAP3IN))*(((A697)-(c_TMAP3IN))*((1000)-(c_TMAP3OUT))+IF(((1000)-(c_TMAP3OUT))&gt;=0,1,-1)*QUOTIENT(((1000)-(c_TMAP3IN)),2))+2147483648,4294967296)-2147483648,((1000)-(c_TMAP3IN))*(((A697)-(c_TMAP3IN))*((1000)-(c_TMAP3OUT))+IF(((1000)-(c_TMAP3OUT))&gt;=0,1,-1)*QUOTIENT(((1000)-(c_TMAP3IN)),2)))&lt;0,-1,0),IF(IF(o_WRAP=1,MOD(((1000)-(c_TMAP3IN))*(((A697)-(c_TMAP3IN))*((1000)-(c_TMAP3OUT))+IF(((1000)-(c_TMAP3OUT))&gt;=0,1,-1)*QUOTIENT(((1000)-(c_TMAP3IN)),2))+2147483648,4294967296)-2147483648,((1000)-(c_TMAP3IN))*(((A697)-(c_TMAP3IN))*((1000)-(c_TMAP3OUT))+IF(((1000)-(c_TMAP3OUT))&gt;=0,1,-1)*QUOTIENT(((1000)-(c_TMAP3IN)),2)))&gt;=0,1,0)))</f>
        <v>621</v>
      </c>
      <c r="H697" s="7" t="str">
        <f aca="false">IF(A697&gt;=c_TFWD,IF(AND(A697&gt;=c_TMAP3IN,c_TMAP3IN&lt;1000),"Seg4 map3-100%",IF(AND(A697&gt;=c_TMAP2IN,c_TMAP3IN&gt;c_TMAP2IN),"Seg3 map2-map3",IF(AND(A697&gt;=c_TMAP1IN,c_TMAP2IN&gt;c_TMAP1IN),"Seg2 map1-map2","Seg1 TFWD-map1"))),IF(AND(A697=0,c_TCREEP&gt;0),"Creep",IF(AND(A697&lt;=c_TRNGMIN,A697&gt;=c_TRNGMAX,c_TRNGMIN-c_TRNGMAX&lt;&gt;0),"Regen ramp","Coast (0)")))</f>
        <v>Seg4 map3-100%</v>
      </c>
      <c r="I697" s="7" t="n">
        <f aca="false">IF(A697&gt;=c_TFWD,IF(AND(A697&gt;=c_TMAP3IN,c_TMAP3IN&lt;1000),G697,IF(AND(A697&gt;=c_TMAP2IN,c_TMAP3IN&gt;c_TMAP2IN),F697,IF(AND(A697&gt;=c_TMAP1IN,c_TMAP2IN&gt;c_TMAP1IN),E697,D697))),C697)</f>
        <v>621</v>
      </c>
      <c r="J697" s="7" t="str">
        <f aca="false">IF(I697&lt;-1090,"TOO LOW",IF(I697&gt;1090,"TOO HIGH",""))</f>
        <v/>
      </c>
      <c r="K697" s="15" t="n">
        <f aca="false">IF(J697&lt;&gt;"",0,IF(I697&gt;979,1000,I697))</f>
        <v>621</v>
      </c>
      <c r="L697" s="7" t="n">
        <f aca="false">K697/10</f>
        <v>62.1</v>
      </c>
    </row>
    <row r="698" customFormat="false" ht="15" hidden="false" customHeight="false" outlineLevel="0" collapsed="false">
      <c r="A698" s="7" t="n">
        <v>693</v>
      </c>
      <c r="B698" s="7" t="n">
        <f aca="false">A698/10</f>
        <v>69.3</v>
      </c>
      <c r="C698" s="7" t="n">
        <f aca="false">IF(AND(A698=0,c_TCREEP&gt;0),10*c_TCREEP,IF(AND(A698&lt;=c_TRNGMIN,A698&gt;=c_TRNGMAX,c_TRNGMIN-c_TRNGMAX&lt;&gt;0),-10*c_TMINRN+QUOTIENT((c_TMAXRN-c_TMINRN)*(100-QUOTIENT((A698-c_TRNGMAX)*100,c_TRNGMIN-c_TRNGMAX)),-10),0))</f>
        <v>0</v>
      </c>
      <c r="D698" s="7" t="n">
        <f aca="false">IF(((c_TMAP1IN)-(c_TFWD))=0,(0)+QUOTIENT(((c_TMAP1OUT)-(0)),2),QUOTIENT((((A698)-(c_TFWD))*((c_TMAP1OUT)-(0))+IF(((c_TMAP1OUT)-(0))&gt;=0,1,-1)*QUOTIENT(((c_TMAP1IN)-(c_TFWD)),2)),((c_TMAP1IN)-(c_TFWD)))+(0)+IF(((c_TMAP1OUT)-(0))&gt;=0,IF(IF(o_WRAP=1,MOD(((c_TMAP1IN)-(c_TFWD))*(((A698)-(c_TFWD))*((c_TMAP1OUT)-(0))+IF(((c_TMAP1OUT)-(0))&gt;=0,1,-1)*QUOTIENT(((c_TMAP1IN)-(c_TFWD)),2))+2147483648,4294967296)-2147483648,((c_TMAP1IN)-(c_TFWD))*(((A698)-(c_TFWD))*((c_TMAP1OUT)-(0))+IF(((c_TMAP1OUT)-(0))&gt;=0,1,-1)*QUOTIENT(((c_TMAP1IN)-(c_TFWD)),2)))&lt;0,-1,0),IF(IF(o_WRAP=1,MOD(((c_TMAP1IN)-(c_TFWD))*(((A698)-(c_TFWD))*((c_TMAP1OUT)-(0))+IF(((c_TMAP1OUT)-(0))&gt;=0,1,-1)*QUOTIENT(((c_TMAP1IN)-(c_TFWD)),2))+2147483648,4294967296)-2147483648,((c_TMAP1IN)-(c_TFWD))*(((A698)-(c_TFWD))*((c_TMAP1OUT)-(0))+IF(((c_TMAP1OUT)-(0))&gt;=0,1,-1)*QUOTIENT(((c_TMAP1IN)-(c_TFWD)),2)))&gt;=0,1,0)))</f>
        <v>531</v>
      </c>
      <c r="E698" s="7" t="n">
        <f aca="false">IF(((c_TMAP2IN)-(c_TMAP1IN))=0,(c_TMAP1OUT)+QUOTIENT(((c_TMAP2OUT)-(c_TMAP1OUT)),2),QUOTIENT((((A698)-(c_TMAP1IN))*((c_TMAP2OUT)-(c_TMAP1OUT))+IF(((c_TMAP2OUT)-(c_TMAP1OUT))&gt;=0,1,-1)*QUOTIENT(((c_TMAP2IN)-(c_TMAP1IN)),2)),((c_TMAP2IN)-(c_TMAP1IN)))+(c_TMAP1OUT)+IF(((c_TMAP2OUT)-(c_TMAP1OUT))&gt;=0,IF(IF(o_WRAP=1,MOD(((c_TMAP2IN)-(c_TMAP1IN))*(((A698)-(c_TMAP1IN))*((c_TMAP2OUT)-(c_TMAP1OUT))+IF(((c_TMAP2OUT)-(c_TMAP1OUT))&gt;=0,1,-1)*QUOTIENT(((c_TMAP2IN)-(c_TMAP1IN)),2))+2147483648,4294967296)-2147483648,((c_TMAP2IN)-(c_TMAP1IN))*(((A698)-(c_TMAP1IN))*((c_TMAP2OUT)-(c_TMAP1OUT))+IF(((c_TMAP2OUT)-(c_TMAP1OUT))&gt;=0,1,-1)*QUOTIENT(((c_TMAP2IN)-(c_TMAP1IN)),2)))&lt;0,-1,0),IF(IF(o_WRAP=1,MOD(((c_TMAP2IN)-(c_TMAP1IN))*(((A698)-(c_TMAP1IN))*((c_TMAP2OUT)-(c_TMAP1OUT))+IF(((c_TMAP2OUT)-(c_TMAP1OUT))&gt;=0,1,-1)*QUOTIENT(((c_TMAP2IN)-(c_TMAP1IN)),2))+2147483648,4294967296)-2147483648,((c_TMAP2IN)-(c_TMAP1IN))*(((A698)-(c_TMAP1IN))*((c_TMAP2OUT)-(c_TMAP1OUT))+IF(((c_TMAP2OUT)-(c_TMAP1OUT))&gt;=0,1,-1)*QUOTIENT(((c_TMAP2IN)-(c_TMAP1IN)),2)))&gt;=0,1,0)))</f>
        <v>307</v>
      </c>
      <c r="F698" s="7" t="n">
        <f aca="false">IF(((c_TMAP3IN)-(c_TMAP2IN))=0,(c_TMAP2OUT)+QUOTIENT(((c_TMAP3OUT)-(c_TMAP2OUT)),2),QUOTIENT((((A698)-(c_TMAP2IN))*((c_TMAP3OUT)-(c_TMAP2OUT))+IF(((c_TMAP3OUT)-(c_TMAP2OUT))&gt;=0,1,-1)*QUOTIENT(((c_TMAP3IN)-(c_TMAP2IN)),2)),((c_TMAP3IN)-(c_TMAP2IN)))+(c_TMAP2OUT)+IF(((c_TMAP3OUT)-(c_TMAP2OUT))&gt;=0,IF(IF(o_WRAP=1,MOD(((c_TMAP3IN)-(c_TMAP2IN))*(((A698)-(c_TMAP2IN))*((c_TMAP3OUT)-(c_TMAP2OUT))+IF(((c_TMAP3OUT)-(c_TMAP2OUT))&gt;=0,1,-1)*QUOTIENT(((c_TMAP3IN)-(c_TMAP2IN)),2))+2147483648,4294967296)-2147483648,((c_TMAP3IN)-(c_TMAP2IN))*(((A698)-(c_TMAP2IN))*((c_TMAP3OUT)-(c_TMAP2OUT))+IF(((c_TMAP3OUT)-(c_TMAP2OUT))&gt;=0,1,-1)*QUOTIENT(((c_TMAP3IN)-(c_TMAP2IN)),2)))&lt;0,-1,0),IF(IF(o_WRAP=1,MOD(((c_TMAP3IN)-(c_TMAP2IN))*(((A698)-(c_TMAP2IN))*((c_TMAP3OUT)-(c_TMAP2OUT))+IF(((c_TMAP3OUT)-(c_TMAP2OUT))&gt;=0,1,-1)*QUOTIENT(((c_TMAP3IN)-(c_TMAP2IN)),2))+2147483648,4294967296)-2147483648,((c_TMAP3IN)-(c_TMAP2IN))*(((A698)-(c_TMAP2IN))*((c_TMAP3OUT)-(c_TMAP2OUT))+IF(((c_TMAP3OUT)-(c_TMAP2OUT))&gt;=0,1,-1)*QUOTIENT(((c_TMAP3IN)-(c_TMAP2IN)),2)))&gt;=0,1,0)))</f>
        <v>440</v>
      </c>
      <c r="G698" s="7" t="n">
        <f aca="false">IF(((1000)-(c_TMAP3IN))=0,(c_TMAP3OUT)+QUOTIENT(((1000)-(c_TMAP3OUT)),2),QUOTIENT((((A698)-(c_TMAP3IN))*((1000)-(c_TMAP3OUT))+IF(((1000)-(c_TMAP3OUT))&gt;=0,1,-1)*QUOTIENT(((1000)-(c_TMAP3IN)),2)),((1000)-(c_TMAP3IN)))+(c_TMAP3OUT)+IF(((1000)-(c_TMAP3OUT))&gt;=0,IF(IF(o_WRAP=1,MOD(((1000)-(c_TMAP3IN))*(((A698)-(c_TMAP3IN))*((1000)-(c_TMAP3OUT))+IF(((1000)-(c_TMAP3OUT))&gt;=0,1,-1)*QUOTIENT(((1000)-(c_TMAP3IN)),2))+2147483648,4294967296)-2147483648,((1000)-(c_TMAP3IN))*(((A698)-(c_TMAP3IN))*((1000)-(c_TMAP3OUT))+IF(((1000)-(c_TMAP3OUT))&gt;=0,1,-1)*QUOTIENT(((1000)-(c_TMAP3IN)),2)))&lt;0,-1,0),IF(IF(o_WRAP=1,MOD(((1000)-(c_TMAP3IN))*(((A698)-(c_TMAP3IN))*((1000)-(c_TMAP3OUT))+IF(((1000)-(c_TMAP3OUT))&gt;=0,1,-1)*QUOTIENT(((1000)-(c_TMAP3IN)),2))+2147483648,4294967296)-2147483648,((1000)-(c_TMAP3IN))*(((A698)-(c_TMAP3IN))*((1000)-(c_TMAP3OUT))+IF(((1000)-(c_TMAP3OUT))&gt;=0,1,-1)*QUOTIENT(((1000)-(c_TMAP3IN)),2)))&gt;=0,1,0)))</f>
        <v>622</v>
      </c>
      <c r="H698" s="7" t="str">
        <f aca="false">IF(A698&gt;=c_TFWD,IF(AND(A698&gt;=c_TMAP3IN,c_TMAP3IN&lt;1000),"Seg4 map3-100%",IF(AND(A698&gt;=c_TMAP2IN,c_TMAP3IN&gt;c_TMAP2IN),"Seg3 map2-map3",IF(AND(A698&gt;=c_TMAP1IN,c_TMAP2IN&gt;c_TMAP1IN),"Seg2 map1-map2","Seg1 TFWD-map1"))),IF(AND(A698=0,c_TCREEP&gt;0),"Creep",IF(AND(A698&lt;=c_TRNGMIN,A698&gt;=c_TRNGMAX,c_TRNGMIN-c_TRNGMAX&lt;&gt;0),"Regen ramp","Coast (0)")))</f>
        <v>Seg4 map3-100%</v>
      </c>
      <c r="I698" s="7" t="n">
        <f aca="false">IF(A698&gt;=c_TFWD,IF(AND(A698&gt;=c_TMAP3IN,c_TMAP3IN&lt;1000),G698,IF(AND(A698&gt;=c_TMAP2IN,c_TMAP3IN&gt;c_TMAP2IN),F698,IF(AND(A698&gt;=c_TMAP1IN,c_TMAP2IN&gt;c_TMAP1IN),E698,D698))),C698)</f>
        <v>622</v>
      </c>
      <c r="J698" s="7" t="str">
        <f aca="false">IF(I698&lt;-1090,"TOO LOW",IF(I698&gt;1090,"TOO HIGH",""))</f>
        <v/>
      </c>
      <c r="K698" s="15" t="n">
        <f aca="false">IF(J698&lt;&gt;"",0,IF(I698&gt;979,1000,I698))</f>
        <v>622</v>
      </c>
      <c r="L698" s="7" t="n">
        <f aca="false">K698/10</f>
        <v>62.2</v>
      </c>
    </row>
    <row r="699" customFormat="false" ht="15" hidden="false" customHeight="false" outlineLevel="0" collapsed="false">
      <c r="A699" s="7" t="n">
        <v>694</v>
      </c>
      <c r="B699" s="7" t="n">
        <f aca="false">A699/10</f>
        <v>69.4</v>
      </c>
      <c r="C699" s="7" t="n">
        <f aca="false">IF(AND(A699=0,c_TCREEP&gt;0),10*c_TCREEP,IF(AND(A699&lt;=c_TRNGMIN,A699&gt;=c_TRNGMAX,c_TRNGMIN-c_TRNGMAX&lt;&gt;0),-10*c_TMINRN+QUOTIENT((c_TMAXRN-c_TMINRN)*(100-QUOTIENT((A699-c_TRNGMAX)*100,c_TRNGMIN-c_TRNGMAX)),-10),0))</f>
        <v>0</v>
      </c>
      <c r="D699" s="7" t="n">
        <f aca="false">IF(((c_TMAP1IN)-(c_TFWD))=0,(0)+QUOTIENT(((c_TMAP1OUT)-(0)),2),QUOTIENT((((A699)-(c_TFWD))*((c_TMAP1OUT)-(0))+IF(((c_TMAP1OUT)-(0))&gt;=0,1,-1)*QUOTIENT(((c_TMAP1IN)-(c_TFWD)),2)),((c_TMAP1IN)-(c_TFWD)))+(0)+IF(((c_TMAP1OUT)-(0))&gt;=0,IF(IF(o_WRAP=1,MOD(((c_TMAP1IN)-(c_TFWD))*(((A699)-(c_TFWD))*((c_TMAP1OUT)-(0))+IF(((c_TMAP1OUT)-(0))&gt;=0,1,-1)*QUOTIENT(((c_TMAP1IN)-(c_TFWD)),2))+2147483648,4294967296)-2147483648,((c_TMAP1IN)-(c_TFWD))*(((A699)-(c_TFWD))*((c_TMAP1OUT)-(0))+IF(((c_TMAP1OUT)-(0))&gt;=0,1,-1)*QUOTIENT(((c_TMAP1IN)-(c_TFWD)),2)))&lt;0,-1,0),IF(IF(o_WRAP=1,MOD(((c_TMAP1IN)-(c_TFWD))*(((A699)-(c_TFWD))*((c_TMAP1OUT)-(0))+IF(((c_TMAP1OUT)-(0))&gt;=0,1,-1)*QUOTIENT(((c_TMAP1IN)-(c_TFWD)),2))+2147483648,4294967296)-2147483648,((c_TMAP1IN)-(c_TFWD))*(((A699)-(c_TFWD))*((c_TMAP1OUT)-(0))+IF(((c_TMAP1OUT)-(0))&gt;=0,1,-1)*QUOTIENT(((c_TMAP1IN)-(c_TFWD)),2)))&gt;=0,1,0)))</f>
        <v>532</v>
      </c>
      <c r="E699" s="7" t="n">
        <f aca="false">IF(((c_TMAP2IN)-(c_TMAP1IN))=0,(c_TMAP1OUT)+QUOTIENT(((c_TMAP2OUT)-(c_TMAP1OUT)),2),QUOTIENT((((A699)-(c_TMAP1IN))*((c_TMAP2OUT)-(c_TMAP1OUT))+IF(((c_TMAP2OUT)-(c_TMAP1OUT))&gt;=0,1,-1)*QUOTIENT(((c_TMAP2IN)-(c_TMAP1IN)),2)),((c_TMAP2IN)-(c_TMAP1IN)))+(c_TMAP1OUT)+IF(((c_TMAP2OUT)-(c_TMAP1OUT))&gt;=0,IF(IF(o_WRAP=1,MOD(((c_TMAP2IN)-(c_TMAP1IN))*(((A699)-(c_TMAP1IN))*((c_TMAP2OUT)-(c_TMAP1OUT))+IF(((c_TMAP2OUT)-(c_TMAP1OUT))&gt;=0,1,-1)*QUOTIENT(((c_TMAP2IN)-(c_TMAP1IN)),2))+2147483648,4294967296)-2147483648,((c_TMAP2IN)-(c_TMAP1IN))*(((A699)-(c_TMAP1IN))*((c_TMAP2OUT)-(c_TMAP1OUT))+IF(((c_TMAP2OUT)-(c_TMAP1OUT))&gt;=0,1,-1)*QUOTIENT(((c_TMAP2IN)-(c_TMAP1IN)),2)))&lt;0,-1,0),IF(IF(o_WRAP=1,MOD(((c_TMAP2IN)-(c_TMAP1IN))*(((A699)-(c_TMAP1IN))*((c_TMAP2OUT)-(c_TMAP1OUT))+IF(((c_TMAP2OUT)-(c_TMAP1OUT))&gt;=0,1,-1)*QUOTIENT(((c_TMAP2IN)-(c_TMAP1IN)),2))+2147483648,4294967296)-2147483648,((c_TMAP2IN)-(c_TMAP1IN))*(((A699)-(c_TMAP1IN))*((c_TMAP2OUT)-(c_TMAP1OUT))+IF(((c_TMAP2OUT)-(c_TMAP1OUT))&gt;=0,1,-1)*QUOTIENT(((c_TMAP2IN)-(c_TMAP1IN)),2)))&gt;=0,1,0)))</f>
        <v>308</v>
      </c>
      <c r="F699" s="7" t="n">
        <f aca="false">IF(((c_TMAP3IN)-(c_TMAP2IN))=0,(c_TMAP2OUT)+QUOTIENT(((c_TMAP3OUT)-(c_TMAP2OUT)),2),QUOTIENT((((A699)-(c_TMAP2IN))*((c_TMAP3OUT)-(c_TMAP2OUT))+IF(((c_TMAP3OUT)-(c_TMAP2OUT))&gt;=0,1,-1)*QUOTIENT(((c_TMAP3IN)-(c_TMAP2IN)),2)),((c_TMAP3IN)-(c_TMAP2IN)))+(c_TMAP2OUT)+IF(((c_TMAP3OUT)-(c_TMAP2OUT))&gt;=0,IF(IF(o_WRAP=1,MOD(((c_TMAP3IN)-(c_TMAP2IN))*(((A699)-(c_TMAP2IN))*((c_TMAP3OUT)-(c_TMAP2OUT))+IF(((c_TMAP3OUT)-(c_TMAP2OUT))&gt;=0,1,-1)*QUOTIENT(((c_TMAP3IN)-(c_TMAP2IN)),2))+2147483648,4294967296)-2147483648,((c_TMAP3IN)-(c_TMAP2IN))*(((A699)-(c_TMAP2IN))*((c_TMAP3OUT)-(c_TMAP2OUT))+IF(((c_TMAP3OUT)-(c_TMAP2OUT))&gt;=0,1,-1)*QUOTIENT(((c_TMAP3IN)-(c_TMAP2IN)),2)))&lt;0,-1,0),IF(IF(o_WRAP=1,MOD(((c_TMAP3IN)-(c_TMAP2IN))*(((A699)-(c_TMAP2IN))*((c_TMAP3OUT)-(c_TMAP2OUT))+IF(((c_TMAP3OUT)-(c_TMAP2OUT))&gt;=0,1,-1)*QUOTIENT(((c_TMAP3IN)-(c_TMAP2IN)),2))+2147483648,4294967296)-2147483648,((c_TMAP3IN)-(c_TMAP2IN))*(((A699)-(c_TMAP2IN))*((c_TMAP3OUT)-(c_TMAP2OUT))+IF(((c_TMAP3OUT)-(c_TMAP2OUT))&gt;=0,1,-1)*QUOTIENT(((c_TMAP3IN)-(c_TMAP2IN)),2)))&gt;=0,1,0)))</f>
        <v>441</v>
      </c>
      <c r="G699" s="7" t="n">
        <f aca="false">IF(((1000)-(c_TMAP3IN))=0,(c_TMAP3OUT)+QUOTIENT(((1000)-(c_TMAP3OUT)),2),QUOTIENT((((A699)-(c_TMAP3IN))*((1000)-(c_TMAP3OUT))+IF(((1000)-(c_TMAP3OUT))&gt;=0,1,-1)*QUOTIENT(((1000)-(c_TMAP3IN)),2)),((1000)-(c_TMAP3IN)))+(c_TMAP3OUT)+IF(((1000)-(c_TMAP3OUT))&gt;=0,IF(IF(o_WRAP=1,MOD(((1000)-(c_TMAP3IN))*(((A699)-(c_TMAP3IN))*((1000)-(c_TMAP3OUT))+IF(((1000)-(c_TMAP3OUT))&gt;=0,1,-1)*QUOTIENT(((1000)-(c_TMAP3IN)),2))+2147483648,4294967296)-2147483648,((1000)-(c_TMAP3IN))*(((A699)-(c_TMAP3IN))*((1000)-(c_TMAP3OUT))+IF(((1000)-(c_TMAP3OUT))&gt;=0,1,-1)*QUOTIENT(((1000)-(c_TMAP3IN)),2)))&lt;0,-1,0),IF(IF(o_WRAP=1,MOD(((1000)-(c_TMAP3IN))*(((A699)-(c_TMAP3IN))*((1000)-(c_TMAP3OUT))+IF(((1000)-(c_TMAP3OUT))&gt;=0,1,-1)*QUOTIENT(((1000)-(c_TMAP3IN)),2))+2147483648,4294967296)-2147483648,((1000)-(c_TMAP3IN))*(((A699)-(c_TMAP3IN))*((1000)-(c_TMAP3OUT))+IF(((1000)-(c_TMAP3OUT))&gt;=0,1,-1)*QUOTIENT(((1000)-(c_TMAP3IN)),2)))&gt;=0,1,0)))</f>
        <v>623</v>
      </c>
      <c r="H699" s="7" t="str">
        <f aca="false">IF(A699&gt;=c_TFWD,IF(AND(A699&gt;=c_TMAP3IN,c_TMAP3IN&lt;1000),"Seg4 map3-100%",IF(AND(A699&gt;=c_TMAP2IN,c_TMAP3IN&gt;c_TMAP2IN),"Seg3 map2-map3",IF(AND(A699&gt;=c_TMAP1IN,c_TMAP2IN&gt;c_TMAP1IN),"Seg2 map1-map2","Seg1 TFWD-map1"))),IF(AND(A699=0,c_TCREEP&gt;0),"Creep",IF(AND(A699&lt;=c_TRNGMIN,A699&gt;=c_TRNGMAX,c_TRNGMIN-c_TRNGMAX&lt;&gt;0),"Regen ramp","Coast (0)")))</f>
        <v>Seg4 map3-100%</v>
      </c>
      <c r="I699" s="7" t="n">
        <f aca="false">IF(A699&gt;=c_TFWD,IF(AND(A699&gt;=c_TMAP3IN,c_TMAP3IN&lt;1000),G699,IF(AND(A699&gt;=c_TMAP2IN,c_TMAP3IN&gt;c_TMAP2IN),F699,IF(AND(A699&gt;=c_TMAP1IN,c_TMAP2IN&gt;c_TMAP1IN),E699,D699))),C699)</f>
        <v>623</v>
      </c>
      <c r="J699" s="7" t="str">
        <f aca="false">IF(I699&lt;-1090,"TOO LOW",IF(I699&gt;1090,"TOO HIGH",""))</f>
        <v/>
      </c>
      <c r="K699" s="15" t="n">
        <f aca="false">IF(J699&lt;&gt;"",0,IF(I699&gt;979,1000,I699))</f>
        <v>623</v>
      </c>
      <c r="L699" s="7" t="n">
        <f aca="false">K699/10</f>
        <v>62.3</v>
      </c>
    </row>
    <row r="700" customFormat="false" ht="15" hidden="false" customHeight="false" outlineLevel="0" collapsed="false">
      <c r="A700" s="7" t="n">
        <v>695</v>
      </c>
      <c r="B700" s="7" t="n">
        <f aca="false">A700/10</f>
        <v>69.5</v>
      </c>
      <c r="C700" s="7" t="n">
        <f aca="false">IF(AND(A700=0,c_TCREEP&gt;0),10*c_TCREEP,IF(AND(A700&lt;=c_TRNGMIN,A700&gt;=c_TRNGMAX,c_TRNGMIN-c_TRNGMAX&lt;&gt;0),-10*c_TMINRN+QUOTIENT((c_TMAXRN-c_TMINRN)*(100-QUOTIENT((A700-c_TRNGMAX)*100,c_TRNGMIN-c_TRNGMAX)),-10),0))</f>
        <v>0</v>
      </c>
      <c r="D700" s="7" t="n">
        <f aca="false">IF(((c_TMAP1IN)-(c_TFWD))=0,(0)+QUOTIENT(((c_TMAP1OUT)-(0)),2),QUOTIENT((((A700)-(c_TFWD))*((c_TMAP1OUT)-(0))+IF(((c_TMAP1OUT)-(0))&gt;=0,1,-1)*QUOTIENT(((c_TMAP1IN)-(c_TFWD)),2)),((c_TMAP1IN)-(c_TFWD)))+(0)+IF(((c_TMAP1OUT)-(0))&gt;=0,IF(IF(o_WRAP=1,MOD(((c_TMAP1IN)-(c_TFWD))*(((A700)-(c_TFWD))*((c_TMAP1OUT)-(0))+IF(((c_TMAP1OUT)-(0))&gt;=0,1,-1)*QUOTIENT(((c_TMAP1IN)-(c_TFWD)),2))+2147483648,4294967296)-2147483648,((c_TMAP1IN)-(c_TFWD))*(((A700)-(c_TFWD))*((c_TMAP1OUT)-(0))+IF(((c_TMAP1OUT)-(0))&gt;=0,1,-1)*QUOTIENT(((c_TMAP1IN)-(c_TFWD)),2)))&lt;0,-1,0),IF(IF(o_WRAP=1,MOD(((c_TMAP1IN)-(c_TFWD))*(((A700)-(c_TFWD))*((c_TMAP1OUT)-(0))+IF(((c_TMAP1OUT)-(0))&gt;=0,1,-1)*QUOTIENT(((c_TMAP1IN)-(c_TFWD)),2))+2147483648,4294967296)-2147483648,((c_TMAP1IN)-(c_TFWD))*(((A700)-(c_TFWD))*((c_TMAP1OUT)-(0))+IF(((c_TMAP1OUT)-(0))&gt;=0,1,-1)*QUOTIENT(((c_TMAP1IN)-(c_TFWD)),2)))&gt;=0,1,0)))</f>
        <v>533</v>
      </c>
      <c r="E700" s="7" t="n">
        <f aca="false">IF(((c_TMAP2IN)-(c_TMAP1IN))=0,(c_TMAP1OUT)+QUOTIENT(((c_TMAP2OUT)-(c_TMAP1OUT)),2),QUOTIENT((((A700)-(c_TMAP1IN))*((c_TMAP2OUT)-(c_TMAP1OUT))+IF(((c_TMAP2OUT)-(c_TMAP1OUT))&gt;=0,1,-1)*QUOTIENT(((c_TMAP2IN)-(c_TMAP1IN)),2)),((c_TMAP2IN)-(c_TMAP1IN)))+(c_TMAP1OUT)+IF(((c_TMAP2OUT)-(c_TMAP1OUT))&gt;=0,IF(IF(o_WRAP=1,MOD(((c_TMAP2IN)-(c_TMAP1IN))*(((A700)-(c_TMAP1IN))*((c_TMAP2OUT)-(c_TMAP1OUT))+IF(((c_TMAP2OUT)-(c_TMAP1OUT))&gt;=0,1,-1)*QUOTIENT(((c_TMAP2IN)-(c_TMAP1IN)),2))+2147483648,4294967296)-2147483648,((c_TMAP2IN)-(c_TMAP1IN))*(((A700)-(c_TMAP1IN))*((c_TMAP2OUT)-(c_TMAP1OUT))+IF(((c_TMAP2OUT)-(c_TMAP1OUT))&gt;=0,1,-1)*QUOTIENT(((c_TMAP2IN)-(c_TMAP1IN)),2)))&lt;0,-1,0),IF(IF(o_WRAP=1,MOD(((c_TMAP2IN)-(c_TMAP1IN))*(((A700)-(c_TMAP1IN))*((c_TMAP2OUT)-(c_TMAP1OUT))+IF(((c_TMAP2OUT)-(c_TMAP1OUT))&gt;=0,1,-1)*QUOTIENT(((c_TMAP2IN)-(c_TMAP1IN)),2))+2147483648,4294967296)-2147483648,((c_TMAP2IN)-(c_TMAP1IN))*(((A700)-(c_TMAP1IN))*((c_TMAP2OUT)-(c_TMAP1OUT))+IF(((c_TMAP2OUT)-(c_TMAP1OUT))&gt;=0,1,-1)*QUOTIENT(((c_TMAP2IN)-(c_TMAP1IN)),2)))&gt;=0,1,0)))</f>
        <v>308</v>
      </c>
      <c r="F700" s="7" t="n">
        <f aca="false">IF(((c_TMAP3IN)-(c_TMAP2IN))=0,(c_TMAP2OUT)+QUOTIENT(((c_TMAP3OUT)-(c_TMAP2OUT)),2),QUOTIENT((((A700)-(c_TMAP2IN))*((c_TMAP3OUT)-(c_TMAP2OUT))+IF(((c_TMAP3OUT)-(c_TMAP2OUT))&gt;=0,1,-1)*QUOTIENT(((c_TMAP3IN)-(c_TMAP2IN)),2)),((c_TMAP3IN)-(c_TMAP2IN)))+(c_TMAP2OUT)+IF(((c_TMAP3OUT)-(c_TMAP2OUT))&gt;=0,IF(IF(o_WRAP=1,MOD(((c_TMAP3IN)-(c_TMAP2IN))*(((A700)-(c_TMAP2IN))*((c_TMAP3OUT)-(c_TMAP2OUT))+IF(((c_TMAP3OUT)-(c_TMAP2OUT))&gt;=0,1,-1)*QUOTIENT(((c_TMAP3IN)-(c_TMAP2IN)),2))+2147483648,4294967296)-2147483648,((c_TMAP3IN)-(c_TMAP2IN))*(((A700)-(c_TMAP2IN))*((c_TMAP3OUT)-(c_TMAP2OUT))+IF(((c_TMAP3OUT)-(c_TMAP2OUT))&gt;=0,1,-1)*QUOTIENT(((c_TMAP3IN)-(c_TMAP2IN)),2)))&lt;0,-1,0),IF(IF(o_WRAP=1,MOD(((c_TMAP3IN)-(c_TMAP2IN))*(((A700)-(c_TMAP2IN))*((c_TMAP3OUT)-(c_TMAP2OUT))+IF(((c_TMAP3OUT)-(c_TMAP2OUT))&gt;=0,1,-1)*QUOTIENT(((c_TMAP3IN)-(c_TMAP2IN)),2))+2147483648,4294967296)-2147483648,((c_TMAP3IN)-(c_TMAP2IN))*(((A700)-(c_TMAP2IN))*((c_TMAP3OUT)-(c_TMAP2OUT))+IF(((c_TMAP3OUT)-(c_TMAP2OUT))&gt;=0,1,-1)*QUOTIENT(((c_TMAP3IN)-(c_TMAP2IN)),2)))&gt;=0,1,0)))</f>
        <v>442</v>
      </c>
      <c r="G700" s="7" t="n">
        <f aca="false">IF(((1000)-(c_TMAP3IN))=0,(c_TMAP3OUT)+QUOTIENT(((1000)-(c_TMAP3OUT)),2),QUOTIENT((((A700)-(c_TMAP3IN))*((1000)-(c_TMAP3OUT))+IF(((1000)-(c_TMAP3OUT))&gt;=0,1,-1)*QUOTIENT(((1000)-(c_TMAP3IN)),2)),((1000)-(c_TMAP3IN)))+(c_TMAP3OUT)+IF(((1000)-(c_TMAP3OUT))&gt;=0,IF(IF(o_WRAP=1,MOD(((1000)-(c_TMAP3IN))*(((A700)-(c_TMAP3IN))*((1000)-(c_TMAP3OUT))+IF(((1000)-(c_TMAP3OUT))&gt;=0,1,-1)*QUOTIENT(((1000)-(c_TMAP3IN)),2))+2147483648,4294967296)-2147483648,((1000)-(c_TMAP3IN))*(((A700)-(c_TMAP3IN))*((1000)-(c_TMAP3OUT))+IF(((1000)-(c_TMAP3OUT))&gt;=0,1,-1)*QUOTIENT(((1000)-(c_TMAP3IN)),2)))&lt;0,-1,0),IF(IF(o_WRAP=1,MOD(((1000)-(c_TMAP3IN))*(((A700)-(c_TMAP3IN))*((1000)-(c_TMAP3OUT))+IF(((1000)-(c_TMAP3OUT))&gt;=0,1,-1)*QUOTIENT(((1000)-(c_TMAP3IN)),2))+2147483648,4294967296)-2147483648,((1000)-(c_TMAP3IN))*(((A700)-(c_TMAP3IN))*((1000)-(c_TMAP3OUT))+IF(((1000)-(c_TMAP3OUT))&gt;=0,1,-1)*QUOTIENT(((1000)-(c_TMAP3IN)),2)))&gt;=0,1,0)))</f>
        <v>625</v>
      </c>
      <c r="H700" s="7" t="str">
        <f aca="false">IF(A700&gt;=c_TFWD,IF(AND(A700&gt;=c_TMAP3IN,c_TMAP3IN&lt;1000),"Seg4 map3-100%",IF(AND(A700&gt;=c_TMAP2IN,c_TMAP3IN&gt;c_TMAP2IN),"Seg3 map2-map3",IF(AND(A700&gt;=c_TMAP1IN,c_TMAP2IN&gt;c_TMAP1IN),"Seg2 map1-map2","Seg1 TFWD-map1"))),IF(AND(A700=0,c_TCREEP&gt;0),"Creep",IF(AND(A700&lt;=c_TRNGMIN,A700&gt;=c_TRNGMAX,c_TRNGMIN-c_TRNGMAX&lt;&gt;0),"Regen ramp","Coast (0)")))</f>
        <v>Seg4 map3-100%</v>
      </c>
      <c r="I700" s="7" t="n">
        <f aca="false">IF(A700&gt;=c_TFWD,IF(AND(A700&gt;=c_TMAP3IN,c_TMAP3IN&lt;1000),G700,IF(AND(A700&gt;=c_TMAP2IN,c_TMAP3IN&gt;c_TMAP2IN),F700,IF(AND(A700&gt;=c_TMAP1IN,c_TMAP2IN&gt;c_TMAP1IN),E700,D700))),C700)</f>
        <v>625</v>
      </c>
      <c r="J700" s="7" t="str">
        <f aca="false">IF(I700&lt;-1090,"TOO LOW",IF(I700&gt;1090,"TOO HIGH",""))</f>
        <v/>
      </c>
      <c r="K700" s="15" t="n">
        <f aca="false">IF(J700&lt;&gt;"",0,IF(I700&gt;979,1000,I700))</f>
        <v>625</v>
      </c>
      <c r="L700" s="7" t="n">
        <f aca="false">K700/10</f>
        <v>62.5</v>
      </c>
    </row>
    <row r="701" customFormat="false" ht="15" hidden="false" customHeight="false" outlineLevel="0" collapsed="false">
      <c r="A701" s="7" t="n">
        <v>696</v>
      </c>
      <c r="B701" s="7" t="n">
        <f aca="false">A701/10</f>
        <v>69.6</v>
      </c>
      <c r="C701" s="7" t="n">
        <f aca="false">IF(AND(A701=0,c_TCREEP&gt;0),10*c_TCREEP,IF(AND(A701&lt;=c_TRNGMIN,A701&gt;=c_TRNGMAX,c_TRNGMIN-c_TRNGMAX&lt;&gt;0),-10*c_TMINRN+QUOTIENT((c_TMAXRN-c_TMINRN)*(100-QUOTIENT((A701-c_TRNGMAX)*100,c_TRNGMIN-c_TRNGMAX)),-10),0))</f>
        <v>0</v>
      </c>
      <c r="D701" s="7" t="n">
        <f aca="false">IF(((c_TMAP1IN)-(c_TFWD))=0,(0)+QUOTIENT(((c_TMAP1OUT)-(0)),2),QUOTIENT((((A701)-(c_TFWD))*((c_TMAP1OUT)-(0))+IF(((c_TMAP1OUT)-(0))&gt;=0,1,-1)*QUOTIENT(((c_TMAP1IN)-(c_TFWD)),2)),((c_TMAP1IN)-(c_TFWD)))+(0)+IF(((c_TMAP1OUT)-(0))&gt;=0,IF(IF(o_WRAP=1,MOD(((c_TMAP1IN)-(c_TFWD))*(((A701)-(c_TFWD))*((c_TMAP1OUT)-(0))+IF(((c_TMAP1OUT)-(0))&gt;=0,1,-1)*QUOTIENT(((c_TMAP1IN)-(c_TFWD)),2))+2147483648,4294967296)-2147483648,((c_TMAP1IN)-(c_TFWD))*(((A701)-(c_TFWD))*((c_TMAP1OUT)-(0))+IF(((c_TMAP1OUT)-(0))&gt;=0,1,-1)*QUOTIENT(((c_TMAP1IN)-(c_TFWD)),2)))&lt;0,-1,0),IF(IF(o_WRAP=1,MOD(((c_TMAP1IN)-(c_TFWD))*(((A701)-(c_TFWD))*((c_TMAP1OUT)-(0))+IF(((c_TMAP1OUT)-(0))&gt;=0,1,-1)*QUOTIENT(((c_TMAP1IN)-(c_TFWD)),2))+2147483648,4294967296)-2147483648,((c_TMAP1IN)-(c_TFWD))*(((A701)-(c_TFWD))*((c_TMAP1OUT)-(0))+IF(((c_TMAP1OUT)-(0))&gt;=0,1,-1)*QUOTIENT(((c_TMAP1IN)-(c_TFWD)),2)))&gt;=0,1,0)))</f>
        <v>534</v>
      </c>
      <c r="E701" s="7" t="n">
        <f aca="false">IF(((c_TMAP2IN)-(c_TMAP1IN))=0,(c_TMAP1OUT)+QUOTIENT(((c_TMAP2OUT)-(c_TMAP1OUT)),2),QUOTIENT((((A701)-(c_TMAP1IN))*((c_TMAP2OUT)-(c_TMAP1OUT))+IF(((c_TMAP2OUT)-(c_TMAP1OUT))&gt;=0,1,-1)*QUOTIENT(((c_TMAP2IN)-(c_TMAP1IN)),2)),((c_TMAP2IN)-(c_TMAP1IN)))+(c_TMAP1OUT)+IF(((c_TMAP2OUT)-(c_TMAP1OUT))&gt;=0,IF(IF(o_WRAP=1,MOD(((c_TMAP2IN)-(c_TMAP1IN))*(((A701)-(c_TMAP1IN))*((c_TMAP2OUT)-(c_TMAP1OUT))+IF(((c_TMAP2OUT)-(c_TMAP1OUT))&gt;=0,1,-1)*QUOTIENT(((c_TMAP2IN)-(c_TMAP1IN)),2))+2147483648,4294967296)-2147483648,((c_TMAP2IN)-(c_TMAP1IN))*(((A701)-(c_TMAP1IN))*((c_TMAP2OUT)-(c_TMAP1OUT))+IF(((c_TMAP2OUT)-(c_TMAP1OUT))&gt;=0,1,-1)*QUOTIENT(((c_TMAP2IN)-(c_TMAP1IN)),2)))&lt;0,-1,0),IF(IF(o_WRAP=1,MOD(((c_TMAP2IN)-(c_TMAP1IN))*(((A701)-(c_TMAP1IN))*((c_TMAP2OUT)-(c_TMAP1OUT))+IF(((c_TMAP2OUT)-(c_TMAP1OUT))&gt;=0,1,-1)*QUOTIENT(((c_TMAP2IN)-(c_TMAP1IN)),2))+2147483648,4294967296)-2147483648,((c_TMAP2IN)-(c_TMAP1IN))*(((A701)-(c_TMAP1IN))*((c_TMAP2OUT)-(c_TMAP1OUT))+IF(((c_TMAP2OUT)-(c_TMAP1OUT))&gt;=0,1,-1)*QUOTIENT(((c_TMAP2IN)-(c_TMAP1IN)),2)))&gt;=0,1,0)))</f>
        <v>308</v>
      </c>
      <c r="F701" s="7" t="n">
        <f aca="false">IF(((c_TMAP3IN)-(c_TMAP2IN))=0,(c_TMAP2OUT)+QUOTIENT(((c_TMAP3OUT)-(c_TMAP2OUT)),2),QUOTIENT((((A701)-(c_TMAP2IN))*((c_TMAP3OUT)-(c_TMAP2OUT))+IF(((c_TMAP3OUT)-(c_TMAP2OUT))&gt;=0,1,-1)*QUOTIENT(((c_TMAP3IN)-(c_TMAP2IN)),2)),((c_TMAP3IN)-(c_TMAP2IN)))+(c_TMAP2OUT)+IF(((c_TMAP3OUT)-(c_TMAP2OUT))&gt;=0,IF(IF(o_WRAP=1,MOD(((c_TMAP3IN)-(c_TMAP2IN))*(((A701)-(c_TMAP2IN))*((c_TMAP3OUT)-(c_TMAP2OUT))+IF(((c_TMAP3OUT)-(c_TMAP2OUT))&gt;=0,1,-1)*QUOTIENT(((c_TMAP3IN)-(c_TMAP2IN)),2))+2147483648,4294967296)-2147483648,((c_TMAP3IN)-(c_TMAP2IN))*(((A701)-(c_TMAP2IN))*((c_TMAP3OUT)-(c_TMAP2OUT))+IF(((c_TMAP3OUT)-(c_TMAP2OUT))&gt;=0,1,-1)*QUOTIENT(((c_TMAP3IN)-(c_TMAP2IN)),2)))&lt;0,-1,0),IF(IF(o_WRAP=1,MOD(((c_TMAP3IN)-(c_TMAP2IN))*(((A701)-(c_TMAP2IN))*((c_TMAP3OUT)-(c_TMAP2OUT))+IF(((c_TMAP3OUT)-(c_TMAP2OUT))&gt;=0,1,-1)*QUOTIENT(((c_TMAP3IN)-(c_TMAP2IN)),2))+2147483648,4294967296)-2147483648,((c_TMAP3IN)-(c_TMAP2IN))*(((A701)-(c_TMAP2IN))*((c_TMAP3OUT)-(c_TMAP2OUT))+IF(((c_TMAP3OUT)-(c_TMAP2OUT))&gt;=0,1,-1)*QUOTIENT(((c_TMAP3IN)-(c_TMAP2IN)),2)))&gt;=0,1,0)))</f>
        <v>442</v>
      </c>
      <c r="G701" s="7" t="n">
        <f aca="false">IF(((1000)-(c_TMAP3IN))=0,(c_TMAP3OUT)+QUOTIENT(((1000)-(c_TMAP3OUT)),2),QUOTIENT((((A701)-(c_TMAP3IN))*((1000)-(c_TMAP3OUT))+IF(((1000)-(c_TMAP3OUT))&gt;=0,1,-1)*QUOTIENT(((1000)-(c_TMAP3IN)),2)),((1000)-(c_TMAP3IN)))+(c_TMAP3OUT)+IF(((1000)-(c_TMAP3OUT))&gt;=0,IF(IF(o_WRAP=1,MOD(((1000)-(c_TMAP3IN))*(((A701)-(c_TMAP3IN))*((1000)-(c_TMAP3OUT))+IF(((1000)-(c_TMAP3OUT))&gt;=0,1,-1)*QUOTIENT(((1000)-(c_TMAP3IN)),2))+2147483648,4294967296)-2147483648,((1000)-(c_TMAP3IN))*(((A701)-(c_TMAP3IN))*((1000)-(c_TMAP3OUT))+IF(((1000)-(c_TMAP3OUT))&gt;=0,1,-1)*QUOTIENT(((1000)-(c_TMAP3IN)),2)))&lt;0,-1,0),IF(IF(o_WRAP=1,MOD(((1000)-(c_TMAP3IN))*(((A701)-(c_TMAP3IN))*((1000)-(c_TMAP3OUT))+IF(((1000)-(c_TMAP3OUT))&gt;=0,1,-1)*QUOTIENT(((1000)-(c_TMAP3IN)),2))+2147483648,4294967296)-2147483648,((1000)-(c_TMAP3IN))*(((A701)-(c_TMAP3IN))*((1000)-(c_TMAP3OUT))+IF(((1000)-(c_TMAP3OUT))&gt;=0,1,-1)*QUOTIENT(((1000)-(c_TMAP3IN)),2)))&gt;=0,1,0)))</f>
        <v>626</v>
      </c>
      <c r="H701" s="7" t="str">
        <f aca="false">IF(A701&gt;=c_TFWD,IF(AND(A701&gt;=c_TMAP3IN,c_TMAP3IN&lt;1000),"Seg4 map3-100%",IF(AND(A701&gt;=c_TMAP2IN,c_TMAP3IN&gt;c_TMAP2IN),"Seg3 map2-map3",IF(AND(A701&gt;=c_TMAP1IN,c_TMAP2IN&gt;c_TMAP1IN),"Seg2 map1-map2","Seg1 TFWD-map1"))),IF(AND(A701=0,c_TCREEP&gt;0),"Creep",IF(AND(A701&lt;=c_TRNGMIN,A701&gt;=c_TRNGMAX,c_TRNGMIN-c_TRNGMAX&lt;&gt;0),"Regen ramp","Coast (0)")))</f>
        <v>Seg4 map3-100%</v>
      </c>
      <c r="I701" s="7" t="n">
        <f aca="false">IF(A701&gt;=c_TFWD,IF(AND(A701&gt;=c_TMAP3IN,c_TMAP3IN&lt;1000),G701,IF(AND(A701&gt;=c_TMAP2IN,c_TMAP3IN&gt;c_TMAP2IN),F701,IF(AND(A701&gt;=c_TMAP1IN,c_TMAP2IN&gt;c_TMAP1IN),E701,D701))),C701)</f>
        <v>626</v>
      </c>
      <c r="J701" s="7" t="str">
        <f aca="false">IF(I701&lt;-1090,"TOO LOW",IF(I701&gt;1090,"TOO HIGH",""))</f>
        <v/>
      </c>
      <c r="K701" s="15" t="n">
        <f aca="false">IF(J701&lt;&gt;"",0,IF(I701&gt;979,1000,I701))</f>
        <v>626</v>
      </c>
      <c r="L701" s="7" t="n">
        <f aca="false">K701/10</f>
        <v>62.6</v>
      </c>
    </row>
    <row r="702" customFormat="false" ht="15" hidden="false" customHeight="false" outlineLevel="0" collapsed="false">
      <c r="A702" s="7" t="n">
        <v>697</v>
      </c>
      <c r="B702" s="7" t="n">
        <f aca="false">A702/10</f>
        <v>69.7</v>
      </c>
      <c r="C702" s="7" t="n">
        <f aca="false">IF(AND(A702=0,c_TCREEP&gt;0),10*c_TCREEP,IF(AND(A702&lt;=c_TRNGMIN,A702&gt;=c_TRNGMAX,c_TRNGMIN-c_TRNGMAX&lt;&gt;0),-10*c_TMINRN+QUOTIENT((c_TMAXRN-c_TMINRN)*(100-QUOTIENT((A702-c_TRNGMAX)*100,c_TRNGMIN-c_TRNGMAX)),-10),0))</f>
        <v>0</v>
      </c>
      <c r="D702" s="7" t="n">
        <f aca="false">IF(((c_TMAP1IN)-(c_TFWD))=0,(0)+QUOTIENT(((c_TMAP1OUT)-(0)),2),QUOTIENT((((A702)-(c_TFWD))*((c_TMAP1OUT)-(0))+IF(((c_TMAP1OUT)-(0))&gt;=0,1,-1)*QUOTIENT(((c_TMAP1IN)-(c_TFWD)),2)),((c_TMAP1IN)-(c_TFWD)))+(0)+IF(((c_TMAP1OUT)-(0))&gt;=0,IF(IF(o_WRAP=1,MOD(((c_TMAP1IN)-(c_TFWD))*(((A702)-(c_TFWD))*((c_TMAP1OUT)-(0))+IF(((c_TMAP1OUT)-(0))&gt;=0,1,-1)*QUOTIENT(((c_TMAP1IN)-(c_TFWD)),2))+2147483648,4294967296)-2147483648,((c_TMAP1IN)-(c_TFWD))*(((A702)-(c_TFWD))*((c_TMAP1OUT)-(0))+IF(((c_TMAP1OUT)-(0))&gt;=0,1,-1)*QUOTIENT(((c_TMAP1IN)-(c_TFWD)),2)))&lt;0,-1,0),IF(IF(o_WRAP=1,MOD(((c_TMAP1IN)-(c_TFWD))*(((A702)-(c_TFWD))*((c_TMAP1OUT)-(0))+IF(((c_TMAP1OUT)-(0))&gt;=0,1,-1)*QUOTIENT(((c_TMAP1IN)-(c_TFWD)),2))+2147483648,4294967296)-2147483648,((c_TMAP1IN)-(c_TFWD))*(((A702)-(c_TFWD))*((c_TMAP1OUT)-(0))+IF(((c_TMAP1OUT)-(0))&gt;=0,1,-1)*QUOTIENT(((c_TMAP1IN)-(c_TFWD)),2)))&gt;=0,1,0)))</f>
        <v>534</v>
      </c>
      <c r="E702" s="7" t="n">
        <f aca="false">IF(((c_TMAP2IN)-(c_TMAP1IN))=0,(c_TMAP1OUT)+QUOTIENT(((c_TMAP2OUT)-(c_TMAP1OUT)),2),QUOTIENT((((A702)-(c_TMAP1IN))*((c_TMAP2OUT)-(c_TMAP1OUT))+IF(((c_TMAP2OUT)-(c_TMAP1OUT))&gt;=0,1,-1)*QUOTIENT(((c_TMAP2IN)-(c_TMAP1IN)),2)),((c_TMAP2IN)-(c_TMAP1IN)))+(c_TMAP1OUT)+IF(((c_TMAP2OUT)-(c_TMAP1OUT))&gt;=0,IF(IF(o_WRAP=1,MOD(((c_TMAP2IN)-(c_TMAP1IN))*(((A702)-(c_TMAP1IN))*((c_TMAP2OUT)-(c_TMAP1OUT))+IF(((c_TMAP2OUT)-(c_TMAP1OUT))&gt;=0,1,-1)*QUOTIENT(((c_TMAP2IN)-(c_TMAP1IN)),2))+2147483648,4294967296)-2147483648,((c_TMAP2IN)-(c_TMAP1IN))*(((A702)-(c_TMAP1IN))*((c_TMAP2OUT)-(c_TMAP1OUT))+IF(((c_TMAP2OUT)-(c_TMAP1OUT))&gt;=0,1,-1)*QUOTIENT(((c_TMAP2IN)-(c_TMAP1IN)),2)))&lt;0,-1,0),IF(IF(o_WRAP=1,MOD(((c_TMAP2IN)-(c_TMAP1IN))*(((A702)-(c_TMAP1IN))*((c_TMAP2OUT)-(c_TMAP1OUT))+IF(((c_TMAP2OUT)-(c_TMAP1OUT))&gt;=0,1,-1)*QUOTIENT(((c_TMAP2IN)-(c_TMAP1IN)),2))+2147483648,4294967296)-2147483648,((c_TMAP2IN)-(c_TMAP1IN))*(((A702)-(c_TMAP1IN))*((c_TMAP2OUT)-(c_TMAP1OUT))+IF(((c_TMAP2OUT)-(c_TMAP1OUT))&gt;=0,1,-1)*QUOTIENT(((c_TMAP2IN)-(c_TMAP1IN)),2)))&gt;=0,1,0)))</f>
        <v>309</v>
      </c>
      <c r="F702" s="7" t="n">
        <f aca="false">IF(((c_TMAP3IN)-(c_TMAP2IN))=0,(c_TMAP2OUT)+QUOTIENT(((c_TMAP3OUT)-(c_TMAP2OUT)),2),QUOTIENT((((A702)-(c_TMAP2IN))*((c_TMAP3OUT)-(c_TMAP2OUT))+IF(((c_TMAP3OUT)-(c_TMAP2OUT))&gt;=0,1,-1)*QUOTIENT(((c_TMAP3IN)-(c_TMAP2IN)),2)),((c_TMAP3IN)-(c_TMAP2IN)))+(c_TMAP2OUT)+IF(((c_TMAP3OUT)-(c_TMAP2OUT))&gt;=0,IF(IF(o_WRAP=1,MOD(((c_TMAP3IN)-(c_TMAP2IN))*(((A702)-(c_TMAP2IN))*((c_TMAP3OUT)-(c_TMAP2OUT))+IF(((c_TMAP3OUT)-(c_TMAP2OUT))&gt;=0,1,-1)*QUOTIENT(((c_TMAP3IN)-(c_TMAP2IN)),2))+2147483648,4294967296)-2147483648,((c_TMAP3IN)-(c_TMAP2IN))*(((A702)-(c_TMAP2IN))*((c_TMAP3OUT)-(c_TMAP2OUT))+IF(((c_TMAP3OUT)-(c_TMAP2OUT))&gt;=0,1,-1)*QUOTIENT(((c_TMAP3IN)-(c_TMAP2IN)),2)))&lt;0,-1,0),IF(IF(o_WRAP=1,MOD(((c_TMAP3IN)-(c_TMAP2IN))*(((A702)-(c_TMAP2IN))*((c_TMAP3OUT)-(c_TMAP2OUT))+IF(((c_TMAP3OUT)-(c_TMAP2OUT))&gt;=0,1,-1)*QUOTIENT(((c_TMAP3IN)-(c_TMAP2IN)),2))+2147483648,4294967296)-2147483648,((c_TMAP3IN)-(c_TMAP2IN))*(((A702)-(c_TMAP2IN))*((c_TMAP3OUT)-(c_TMAP2OUT))+IF(((c_TMAP3OUT)-(c_TMAP2OUT))&gt;=0,1,-1)*QUOTIENT(((c_TMAP3IN)-(c_TMAP2IN)),2)))&gt;=0,1,0)))</f>
        <v>443</v>
      </c>
      <c r="G702" s="7" t="n">
        <f aca="false">IF(((1000)-(c_TMAP3IN))=0,(c_TMAP3OUT)+QUOTIENT(((1000)-(c_TMAP3OUT)),2),QUOTIENT((((A702)-(c_TMAP3IN))*((1000)-(c_TMAP3OUT))+IF(((1000)-(c_TMAP3OUT))&gt;=0,1,-1)*QUOTIENT(((1000)-(c_TMAP3IN)),2)),((1000)-(c_TMAP3IN)))+(c_TMAP3OUT)+IF(((1000)-(c_TMAP3OUT))&gt;=0,IF(IF(o_WRAP=1,MOD(((1000)-(c_TMAP3IN))*(((A702)-(c_TMAP3IN))*((1000)-(c_TMAP3OUT))+IF(((1000)-(c_TMAP3OUT))&gt;=0,1,-1)*QUOTIENT(((1000)-(c_TMAP3IN)),2))+2147483648,4294967296)-2147483648,((1000)-(c_TMAP3IN))*(((A702)-(c_TMAP3IN))*((1000)-(c_TMAP3OUT))+IF(((1000)-(c_TMAP3OUT))&gt;=0,1,-1)*QUOTIENT(((1000)-(c_TMAP3IN)),2)))&lt;0,-1,0),IF(IF(o_WRAP=1,MOD(((1000)-(c_TMAP3IN))*(((A702)-(c_TMAP3IN))*((1000)-(c_TMAP3OUT))+IF(((1000)-(c_TMAP3OUT))&gt;=0,1,-1)*QUOTIENT(((1000)-(c_TMAP3IN)),2))+2147483648,4294967296)-2147483648,((1000)-(c_TMAP3IN))*(((A702)-(c_TMAP3IN))*((1000)-(c_TMAP3OUT))+IF(((1000)-(c_TMAP3OUT))&gt;=0,1,-1)*QUOTIENT(((1000)-(c_TMAP3IN)),2)))&gt;=0,1,0)))</f>
        <v>627</v>
      </c>
      <c r="H702" s="7" t="str">
        <f aca="false">IF(A702&gt;=c_TFWD,IF(AND(A702&gt;=c_TMAP3IN,c_TMAP3IN&lt;1000),"Seg4 map3-100%",IF(AND(A702&gt;=c_TMAP2IN,c_TMAP3IN&gt;c_TMAP2IN),"Seg3 map2-map3",IF(AND(A702&gt;=c_TMAP1IN,c_TMAP2IN&gt;c_TMAP1IN),"Seg2 map1-map2","Seg1 TFWD-map1"))),IF(AND(A702=0,c_TCREEP&gt;0),"Creep",IF(AND(A702&lt;=c_TRNGMIN,A702&gt;=c_TRNGMAX,c_TRNGMIN-c_TRNGMAX&lt;&gt;0),"Regen ramp","Coast (0)")))</f>
        <v>Seg4 map3-100%</v>
      </c>
      <c r="I702" s="7" t="n">
        <f aca="false">IF(A702&gt;=c_TFWD,IF(AND(A702&gt;=c_TMAP3IN,c_TMAP3IN&lt;1000),G702,IF(AND(A702&gt;=c_TMAP2IN,c_TMAP3IN&gt;c_TMAP2IN),F702,IF(AND(A702&gt;=c_TMAP1IN,c_TMAP2IN&gt;c_TMAP1IN),E702,D702))),C702)</f>
        <v>627</v>
      </c>
      <c r="J702" s="7" t="str">
        <f aca="false">IF(I702&lt;-1090,"TOO LOW",IF(I702&gt;1090,"TOO HIGH",""))</f>
        <v/>
      </c>
      <c r="K702" s="15" t="n">
        <f aca="false">IF(J702&lt;&gt;"",0,IF(I702&gt;979,1000,I702))</f>
        <v>627</v>
      </c>
      <c r="L702" s="7" t="n">
        <f aca="false">K702/10</f>
        <v>62.7</v>
      </c>
    </row>
    <row r="703" customFormat="false" ht="15" hidden="false" customHeight="false" outlineLevel="0" collapsed="false">
      <c r="A703" s="7" t="n">
        <v>698</v>
      </c>
      <c r="B703" s="7" t="n">
        <f aca="false">A703/10</f>
        <v>69.8</v>
      </c>
      <c r="C703" s="7" t="n">
        <f aca="false">IF(AND(A703=0,c_TCREEP&gt;0),10*c_TCREEP,IF(AND(A703&lt;=c_TRNGMIN,A703&gt;=c_TRNGMAX,c_TRNGMIN-c_TRNGMAX&lt;&gt;0),-10*c_TMINRN+QUOTIENT((c_TMAXRN-c_TMINRN)*(100-QUOTIENT((A703-c_TRNGMAX)*100,c_TRNGMIN-c_TRNGMAX)),-10),0))</f>
        <v>0</v>
      </c>
      <c r="D703" s="7" t="n">
        <f aca="false">IF(((c_TMAP1IN)-(c_TFWD))=0,(0)+QUOTIENT(((c_TMAP1OUT)-(0)),2),QUOTIENT((((A703)-(c_TFWD))*((c_TMAP1OUT)-(0))+IF(((c_TMAP1OUT)-(0))&gt;=0,1,-1)*QUOTIENT(((c_TMAP1IN)-(c_TFWD)),2)),((c_TMAP1IN)-(c_TFWD)))+(0)+IF(((c_TMAP1OUT)-(0))&gt;=0,IF(IF(o_WRAP=1,MOD(((c_TMAP1IN)-(c_TFWD))*(((A703)-(c_TFWD))*((c_TMAP1OUT)-(0))+IF(((c_TMAP1OUT)-(0))&gt;=0,1,-1)*QUOTIENT(((c_TMAP1IN)-(c_TFWD)),2))+2147483648,4294967296)-2147483648,((c_TMAP1IN)-(c_TFWD))*(((A703)-(c_TFWD))*((c_TMAP1OUT)-(0))+IF(((c_TMAP1OUT)-(0))&gt;=0,1,-1)*QUOTIENT(((c_TMAP1IN)-(c_TFWD)),2)))&lt;0,-1,0),IF(IF(o_WRAP=1,MOD(((c_TMAP1IN)-(c_TFWD))*(((A703)-(c_TFWD))*((c_TMAP1OUT)-(0))+IF(((c_TMAP1OUT)-(0))&gt;=0,1,-1)*QUOTIENT(((c_TMAP1IN)-(c_TFWD)),2))+2147483648,4294967296)-2147483648,((c_TMAP1IN)-(c_TFWD))*(((A703)-(c_TFWD))*((c_TMAP1OUT)-(0))+IF(((c_TMAP1OUT)-(0))&gt;=0,1,-1)*QUOTIENT(((c_TMAP1IN)-(c_TFWD)),2)))&gt;=0,1,0)))</f>
        <v>535</v>
      </c>
      <c r="E703" s="7" t="n">
        <f aca="false">IF(((c_TMAP2IN)-(c_TMAP1IN))=0,(c_TMAP1OUT)+QUOTIENT(((c_TMAP2OUT)-(c_TMAP1OUT)),2),QUOTIENT((((A703)-(c_TMAP1IN))*((c_TMAP2OUT)-(c_TMAP1OUT))+IF(((c_TMAP2OUT)-(c_TMAP1OUT))&gt;=0,1,-1)*QUOTIENT(((c_TMAP2IN)-(c_TMAP1IN)),2)),((c_TMAP2IN)-(c_TMAP1IN)))+(c_TMAP1OUT)+IF(((c_TMAP2OUT)-(c_TMAP1OUT))&gt;=0,IF(IF(o_WRAP=1,MOD(((c_TMAP2IN)-(c_TMAP1IN))*(((A703)-(c_TMAP1IN))*((c_TMAP2OUT)-(c_TMAP1OUT))+IF(((c_TMAP2OUT)-(c_TMAP1OUT))&gt;=0,1,-1)*QUOTIENT(((c_TMAP2IN)-(c_TMAP1IN)),2))+2147483648,4294967296)-2147483648,((c_TMAP2IN)-(c_TMAP1IN))*(((A703)-(c_TMAP1IN))*((c_TMAP2OUT)-(c_TMAP1OUT))+IF(((c_TMAP2OUT)-(c_TMAP1OUT))&gt;=0,1,-1)*QUOTIENT(((c_TMAP2IN)-(c_TMAP1IN)),2)))&lt;0,-1,0),IF(IF(o_WRAP=1,MOD(((c_TMAP2IN)-(c_TMAP1IN))*(((A703)-(c_TMAP1IN))*((c_TMAP2OUT)-(c_TMAP1OUT))+IF(((c_TMAP2OUT)-(c_TMAP1OUT))&gt;=0,1,-1)*QUOTIENT(((c_TMAP2IN)-(c_TMAP1IN)),2))+2147483648,4294967296)-2147483648,((c_TMAP2IN)-(c_TMAP1IN))*(((A703)-(c_TMAP1IN))*((c_TMAP2OUT)-(c_TMAP1OUT))+IF(((c_TMAP2OUT)-(c_TMAP1OUT))&gt;=0,1,-1)*QUOTIENT(((c_TMAP2IN)-(c_TMAP1IN)),2)))&gt;=0,1,0)))</f>
        <v>309</v>
      </c>
      <c r="F703" s="7" t="n">
        <f aca="false">IF(((c_TMAP3IN)-(c_TMAP2IN))=0,(c_TMAP2OUT)+QUOTIENT(((c_TMAP3OUT)-(c_TMAP2OUT)),2),QUOTIENT((((A703)-(c_TMAP2IN))*((c_TMAP3OUT)-(c_TMAP2OUT))+IF(((c_TMAP3OUT)-(c_TMAP2OUT))&gt;=0,1,-1)*QUOTIENT(((c_TMAP3IN)-(c_TMAP2IN)),2)),((c_TMAP3IN)-(c_TMAP2IN)))+(c_TMAP2OUT)+IF(((c_TMAP3OUT)-(c_TMAP2OUT))&gt;=0,IF(IF(o_WRAP=1,MOD(((c_TMAP3IN)-(c_TMAP2IN))*(((A703)-(c_TMAP2IN))*((c_TMAP3OUT)-(c_TMAP2OUT))+IF(((c_TMAP3OUT)-(c_TMAP2OUT))&gt;=0,1,-1)*QUOTIENT(((c_TMAP3IN)-(c_TMAP2IN)),2))+2147483648,4294967296)-2147483648,((c_TMAP3IN)-(c_TMAP2IN))*(((A703)-(c_TMAP2IN))*((c_TMAP3OUT)-(c_TMAP2OUT))+IF(((c_TMAP3OUT)-(c_TMAP2OUT))&gt;=0,1,-1)*QUOTIENT(((c_TMAP3IN)-(c_TMAP2IN)),2)))&lt;0,-1,0),IF(IF(o_WRAP=1,MOD(((c_TMAP3IN)-(c_TMAP2IN))*(((A703)-(c_TMAP2IN))*((c_TMAP3OUT)-(c_TMAP2OUT))+IF(((c_TMAP3OUT)-(c_TMAP2OUT))&gt;=0,1,-1)*QUOTIENT(((c_TMAP3IN)-(c_TMAP2IN)),2))+2147483648,4294967296)-2147483648,((c_TMAP3IN)-(c_TMAP2IN))*(((A703)-(c_TMAP2IN))*((c_TMAP3OUT)-(c_TMAP2OUT))+IF(((c_TMAP3OUT)-(c_TMAP2OUT))&gt;=0,1,-1)*QUOTIENT(((c_TMAP3IN)-(c_TMAP2IN)),2)))&gt;=0,1,0)))</f>
        <v>444</v>
      </c>
      <c r="G703" s="7" t="n">
        <f aca="false">IF(((1000)-(c_TMAP3IN))=0,(c_TMAP3OUT)+QUOTIENT(((1000)-(c_TMAP3OUT)),2),QUOTIENT((((A703)-(c_TMAP3IN))*((1000)-(c_TMAP3OUT))+IF(((1000)-(c_TMAP3OUT))&gt;=0,1,-1)*QUOTIENT(((1000)-(c_TMAP3IN)),2)),((1000)-(c_TMAP3IN)))+(c_TMAP3OUT)+IF(((1000)-(c_TMAP3OUT))&gt;=0,IF(IF(o_WRAP=1,MOD(((1000)-(c_TMAP3IN))*(((A703)-(c_TMAP3IN))*((1000)-(c_TMAP3OUT))+IF(((1000)-(c_TMAP3OUT))&gt;=0,1,-1)*QUOTIENT(((1000)-(c_TMAP3IN)),2))+2147483648,4294967296)-2147483648,((1000)-(c_TMAP3IN))*(((A703)-(c_TMAP3IN))*((1000)-(c_TMAP3OUT))+IF(((1000)-(c_TMAP3OUT))&gt;=0,1,-1)*QUOTIENT(((1000)-(c_TMAP3IN)),2)))&lt;0,-1,0),IF(IF(o_WRAP=1,MOD(((1000)-(c_TMAP3IN))*(((A703)-(c_TMAP3IN))*((1000)-(c_TMAP3OUT))+IF(((1000)-(c_TMAP3OUT))&gt;=0,1,-1)*QUOTIENT(((1000)-(c_TMAP3IN)),2))+2147483648,4294967296)-2147483648,((1000)-(c_TMAP3IN))*(((A703)-(c_TMAP3IN))*((1000)-(c_TMAP3OUT))+IF(((1000)-(c_TMAP3OUT))&gt;=0,1,-1)*QUOTIENT(((1000)-(c_TMAP3IN)),2)))&gt;=0,1,0)))</f>
        <v>628</v>
      </c>
      <c r="H703" s="7" t="str">
        <f aca="false">IF(A703&gt;=c_TFWD,IF(AND(A703&gt;=c_TMAP3IN,c_TMAP3IN&lt;1000),"Seg4 map3-100%",IF(AND(A703&gt;=c_TMAP2IN,c_TMAP3IN&gt;c_TMAP2IN),"Seg3 map2-map3",IF(AND(A703&gt;=c_TMAP1IN,c_TMAP2IN&gt;c_TMAP1IN),"Seg2 map1-map2","Seg1 TFWD-map1"))),IF(AND(A703=0,c_TCREEP&gt;0),"Creep",IF(AND(A703&lt;=c_TRNGMIN,A703&gt;=c_TRNGMAX,c_TRNGMIN-c_TRNGMAX&lt;&gt;0),"Regen ramp","Coast (0)")))</f>
        <v>Seg4 map3-100%</v>
      </c>
      <c r="I703" s="7" t="n">
        <f aca="false">IF(A703&gt;=c_TFWD,IF(AND(A703&gt;=c_TMAP3IN,c_TMAP3IN&lt;1000),G703,IF(AND(A703&gt;=c_TMAP2IN,c_TMAP3IN&gt;c_TMAP2IN),F703,IF(AND(A703&gt;=c_TMAP1IN,c_TMAP2IN&gt;c_TMAP1IN),E703,D703))),C703)</f>
        <v>628</v>
      </c>
      <c r="J703" s="7" t="str">
        <f aca="false">IF(I703&lt;-1090,"TOO LOW",IF(I703&gt;1090,"TOO HIGH",""))</f>
        <v/>
      </c>
      <c r="K703" s="15" t="n">
        <f aca="false">IF(J703&lt;&gt;"",0,IF(I703&gt;979,1000,I703))</f>
        <v>628</v>
      </c>
      <c r="L703" s="7" t="n">
        <f aca="false">K703/10</f>
        <v>62.8</v>
      </c>
    </row>
    <row r="704" customFormat="false" ht="15" hidden="false" customHeight="false" outlineLevel="0" collapsed="false">
      <c r="A704" s="7" t="n">
        <v>699</v>
      </c>
      <c r="B704" s="7" t="n">
        <f aca="false">A704/10</f>
        <v>69.9</v>
      </c>
      <c r="C704" s="7" t="n">
        <f aca="false">IF(AND(A704=0,c_TCREEP&gt;0),10*c_TCREEP,IF(AND(A704&lt;=c_TRNGMIN,A704&gt;=c_TRNGMAX,c_TRNGMIN-c_TRNGMAX&lt;&gt;0),-10*c_TMINRN+QUOTIENT((c_TMAXRN-c_TMINRN)*(100-QUOTIENT((A704-c_TRNGMAX)*100,c_TRNGMIN-c_TRNGMAX)),-10),0))</f>
        <v>0</v>
      </c>
      <c r="D704" s="7" t="n">
        <f aca="false">IF(((c_TMAP1IN)-(c_TFWD))=0,(0)+QUOTIENT(((c_TMAP1OUT)-(0)),2),QUOTIENT((((A704)-(c_TFWD))*((c_TMAP1OUT)-(0))+IF(((c_TMAP1OUT)-(0))&gt;=0,1,-1)*QUOTIENT(((c_TMAP1IN)-(c_TFWD)),2)),((c_TMAP1IN)-(c_TFWD)))+(0)+IF(((c_TMAP1OUT)-(0))&gt;=0,IF(IF(o_WRAP=1,MOD(((c_TMAP1IN)-(c_TFWD))*(((A704)-(c_TFWD))*((c_TMAP1OUT)-(0))+IF(((c_TMAP1OUT)-(0))&gt;=0,1,-1)*QUOTIENT(((c_TMAP1IN)-(c_TFWD)),2))+2147483648,4294967296)-2147483648,((c_TMAP1IN)-(c_TFWD))*(((A704)-(c_TFWD))*((c_TMAP1OUT)-(0))+IF(((c_TMAP1OUT)-(0))&gt;=0,1,-1)*QUOTIENT(((c_TMAP1IN)-(c_TFWD)),2)))&lt;0,-1,0),IF(IF(o_WRAP=1,MOD(((c_TMAP1IN)-(c_TFWD))*(((A704)-(c_TFWD))*((c_TMAP1OUT)-(0))+IF(((c_TMAP1OUT)-(0))&gt;=0,1,-1)*QUOTIENT(((c_TMAP1IN)-(c_TFWD)),2))+2147483648,4294967296)-2147483648,((c_TMAP1IN)-(c_TFWD))*(((A704)-(c_TFWD))*((c_TMAP1OUT)-(0))+IF(((c_TMAP1OUT)-(0))&gt;=0,1,-1)*QUOTIENT(((c_TMAP1IN)-(c_TFWD)),2)))&gt;=0,1,0)))</f>
        <v>536</v>
      </c>
      <c r="E704" s="7" t="n">
        <f aca="false">IF(((c_TMAP2IN)-(c_TMAP1IN))=0,(c_TMAP1OUT)+QUOTIENT(((c_TMAP2OUT)-(c_TMAP1OUT)),2),QUOTIENT((((A704)-(c_TMAP1IN))*((c_TMAP2OUT)-(c_TMAP1OUT))+IF(((c_TMAP2OUT)-(c_TMAP1OUT))&gt;=0,1,-1)*QUOTIENT(((c_TMAP2IN)-(c_TMAP1IN)),2)),((c_TMAP2IN)-(c_TMAP1IN)))+(c_TMAP1OUT)+IF(((c_TMAP2OUT)-(c_TMAP1OUT))&gt;=0,IF(IF(o_WRAP=1,MOD(((c_TMAP2IN)-(c_TMAP1IN))*(((A704)-(c_TMAP1IN))*((c_TMAP2OUT)-(c_TMAP1OUT))+IF(((c_TMAP2OUT)-(c_TMAP1OUT))&gt;=0,1,-1)*QUOTIENT(((c_TMAP2IN)-(c_TMAP1IN)),2))+2147483648,4294967296)-2147483648,((c_TMAP2IN)-(c_TMAP1IN))*(((A704)-(c_TMAP1IN))*((c_TMAP2OUT)-(c_TMAP1OUT))+IF(((c_TMAP2OUT)-(c_TMAP1OUT))&gt;=0,1,-1)*QUOTIENT(((c_TMAP2IN)-(c_TMAP1IN)),2)))&lt;0,-1,0),IF(IF(o_WRAP=1,MOD(((c_TMAP2IN)-(c_TMAP1IN))*(((A704)-(c_TMAP1IN))*((c_TMAP2OUT)-(c_TMAP1OUT))+IF(((c_TMAP2OUT)-(c_TMAP1OUT))&gt;=0,1,-1)*QUOTIENT(((c_TMAP2IN)-(c_TMAP1IN)),2))+2147483648,4294967296)-2147483648,((c_TMAP2IN)-(c_TMAP1IN))*(((A704)-(c_TMAP1IN))*((c_TMAP2OUT)-(c_TMAP1OUT))+IF(((c_TMAP2OUT)-(c_TMAP1OUT))&gt;=0,1,-1)*QUOTIENT(((c_TMAP2IN)-(c_TMAP1IN)),2)))&gt;=0,1,0)))</f>
        <v>310</v>
      </c>
      <c r="F704" s="7" t="n">
        <f aca="false">IF(((c_TMAP3IN)-(c_TMAP2IN))=0,(c_TMAP2OUT)+QUOTIENT(((c_TMAP3OUT)-(c_TMAP2OUT)),2),QUOTIENT((((A704)-(c_TMAP2IN))*((c_TMAP3OUT)-(c_TMAP2OUT))+IF(((c_TMAP3OUT)-(c_TMAP2OUT))&gt;=0,1,-1)*QUOTIENT(((c_TMAP3IN)-(c_TMAP2IN)),2)),((c_TMAP3IN)-(c_TMAP2IN)))+(c_TMAP2OUT)+IF(((c_TMAP3OUT)-(c_TMAP2OUT))&gt;=0,IF(IF(o_WRAP=1,MOD(((c_TMAP3IN)-(c_TMAP2IN))*(((A704)-(c_TMAP2IN))*((c_TMAP3OUT)-(c_TMAP2OUT))+IF(((c_TMAP3OUT)-(c_TMAP2OUT))&gt;=0,1,-1)*QUOTIENT(((c_TMAP3IN)-(c_TMAP2IN)),2))+2147483648,4294967296)-2147483648,((c_TMAP3IN)-(c_TMAP2IN))*(((A704)-(c_TMAP2IN))*((c_TMAP3OUT)-(c_TMAP2OUT))+IF(((c_TMAP3OUT)-(c_TMAP2OUT))&gt;=0,1,-1)*QUOTIENT(((c_TMAP3IN)-(c_TMAP2IN)),2)))&lt;0,-1,0),IF(IF(o_WRAP=1,MOD(((c_TMAP3IN)-(c_TMAP2IN))*(((A704)-(c_TMAP2IN))*((c_TMAP3OUT)-(c_TMAP2OUT))+IF(((c_TMAP3OUT)-(c_TMAP2OUT))&gt;=0,1,-1)*QUOTIENT(((c_TMAP3IN)-(c_TMAP2IN)),2))+2147483648,4294967296)-2147483648,((c_TMAP3IN)-(c_TMAP2IN))*(((A704)-(c_TMAP2IN))*((c_TMAP3OUT)-(c_TMAP2OUT))+IF(((c_TMAP3OUT)-(c_TMAP2OUT))&gt;=0,1,-1)*QUOTIENT(((c_TMAP3IN)-(c_TMAP2IN)),2)))&gt;=0,1,0)))</f>
        <v>444</v>
      </c>
      <c r="G704" s="7" t="n">
        <f aca="false">IF(((1000)-(c_TMAP3IN))=0,(c_TMAP3OUT)+QUOTIENT(((1000)-(c_TMAP3OUT)),2),QUOTIENT((((A704)-(c_TMAP3IN))*((1000)-(c_TMAP3OUT))+IF(((1000)-(c_TMAP3OUT))&gt;=0,1,-1)*QUOTIENT(((1000)-(c_TMAP3IN)),2)),((1000)-(c_TMAP3IN)))+(c_TMAP3OUT)+IF(((1000)-(c_TMAP3OUT))&gt;=0,IF(IF(o_WRAP=1,MOD(((1000)-(c_TMAP3IN))*(((A704)-(c_TMAP3IN))*((1000)-(c_TMAP3OUT))+IF(((1000)-(c_TMAP3OUT))&gt;=0,1,-1)*QUOTIENT(((1000)-(c_TMAP3IN)),2))+2147483648,4294967296)-2147483648,((1000)-(c_TMAP3IN))*(((A704)-(c_TMAP3IN))*((1000)-(c_TMAP3OUT))+IF(((1000)-(c_TMAP3OUT))&gt;=0,1,-1)*QUOTIENT(((1000)-(c_TMAP3IN)),2)))&lt;0,-1,0),IF(IF(o_WRAP=1,MOD(((1000)-(c_TMAP3IN))*(((A704)-(c_TMAP3IN))*((1000)-(c_TMAP3OUT))+IF(((1000)-(c_TMAP3OUT))&gt;=0,1,-1)*QUOTIENT(((1000)-(c_TMAP3IN)),2))+2147483648,4294967296)-2147483648,((1000)-(c_TMAP3IN))*(((A704)-(c_TMAP3IN))*((1000)-(c_TMAP3OUT))+IF(((1000)-(c_TMAP3OUT))&gt;=0,1,-1)*QUOTIENT(((1000)-(c_TMAP3IN)),2)))&gt;=0,1,0)))</f>
        <v>630</v>
      </c>
      <c r="H704" s="7" t="str">
        <f aca="false">IF(A704&gt;=c_TFWD,IF(AND(A704&gt;=c_TMAP3IN,c_TMAP3IN&lt;1000),"Seg4 map3-100%",IF(AND(A704&gt;=c_TMAP2IN,c_TMAP3IN&gt;c_TMAP2IN),"Seg3 map2-map3",IF(AND(A704&gt;=c_TMAP1IN,c_TMAP2IN&gt;c_TMAP1IN),"Seg2 map1-map2","Seg1 TFWD-map1"))),IF(AND(A704=0,c_TCREEP&gt;0),"Creep",IF(AND(A704&lt;=c_TRNGMIN,A704&gt;=c_TRNGMAX,c_TRNGMIN-c_TRNGMAX&lt;&gt;0),"Regen ramp","Coast (0)")))</f>
        <v>Seg4 map3-100%</v>
      </c>
      <c r="I704" s="7" t="n">
        <f aca="false">IF(A704&gt;=c_TFWD,IF(AND(A704&gt;=c_TMAP3IN,c_TMAP3IN&lt;1000),G704,IF(AND(A704&gt;=c_TMAP2IN,c_TMAP3IN&gt;c_TMAP2IN),F704,IF(AND(A704&gt;=c_TMAP1IN,c_TMAP2IN&gt;c_TMAP1IN),E704,D704))),C704)</f>
        <v>630</v>
      </c>
      <c r="J704" s="7" t="str">
        <f aca="false">IF(I704&lt;-1090,"TOO LOW",IF(I704&gt;1090,"TOO HIGH",""))</f>
        <v/>
      </c>
      <c r="K704" s="15" t="n">
        <f aca="false">IF(J704&lt;&gt;"",0,IF(I704&gt;979,1000,I704))</f>
        <v>630</v>
      </c>
      <c r="L704" s="7" t="n">
        <f aca="false">K704/10</f>
        <v>63</v>
      </c>
    </row>
    <row r="705" customFormat="false" ht="15" hidden="false" customHeight="false" outlineLevel="0" collapsed="false">
      <c r="A705" s="7" t="n">
        <v>700</v>
      </c>
      <c r="B705" s="7" t="n">
        <f aca="false">A705/10</f>
        <v>70</v>
      </c>
      <c r="C705" s="7" t="n">
        <f aca="false">IF(AND(A705=0,c_TCREEP&gt;0),10*c_TCREEP,IF(AND(A705&lt;=c_TRNGMIN,A705&gt;=c_TRNGMAX,c_TRNGMIN-c_TRNGMAX&lt;&gt;0),-10*c_TMINRN+QUOTIENT((c_TMAXRN-c_TMINRN)*(100-QUOTIENT((A705-c_TRNGMAX)*100,c_TRNGMIN-c_TRNGMAX)),-10),0))</f>
        <v>0</v>
      </c>
      <c r="D705" s="7" t="n">
        <f aca="false">IF(((c_TMAP1IN)-(c_TFWD))=0,(0)+QUOTIENT(((c_TMAP1OUT)-(0)),2),QUOTIENT((((A705)-(c_TFWD))*((c_TMAP1OUT)-(0))+IF(((c_TMAP1OUT)-(0))&gt;=0,1,-1)*QUOTIENT(((c_TMAP1IN)-(c_TFWD)),2)),((c_TMAP1IN)-(c_TFWD)))+(0)+IF(((c_TMAP1OUT)-(0))&gt;=0,IF(IF(o_WRAP=1,MOD(((c_TMAP1IN)-(c_TFWD))*(((A705)-(c_TFWD))*((c_TMAP1OUT)-(0))+IF(((c_TMAP1OUT)-(0))&gt;=0,1,-1)*QUOTIENT(((c_TMAP1IN)-(c_TFWD)),2))+2147483648,4294967296)-2147483648,((c_TMAP1IN)-(c_TFWD))*(((A705)-(c_TFWD))*((c_TMAP1OUT)-(0))+IF(((c_TMAP1OUT)-(0))&gt;=0,1,-1)*QUOTIENT(((c_TMAP1IN)-(c_TFWD)),2)))&lt;0,-1,0),IF(IF(o_WRAP=1,MOD(((c_TMAP1IN)-(c_TFWD))*(((A705)-(c_TFWD))*((c_TMAP1OUT)-(0))+IF(((c_TMAP1OUT)-(0))&gt;=0,1,-1)*QUOTIENT(((c_TMAP1IN)-(c_TFWD)),2))+2147483648,4294967296)-2147483648,((c_TMAP1IN)-(c_TFWD))*(((A705)-(c_TFWD))*((c_TMAP1OUT)-(0))+IF(((c_TMAP1OUT)-(0))&gt;=0,1,-1)*QUOTIENT(((c_TMAP1IN)-(c_TFWD)),2)))&gt;=0,1,0)))</f>
        <v>537</v>
      </c>
      <c r="E705" s="7" t="n">
        <f aca="false">IF(((c_TMAP2IN)-(c_TMAP1IN))=0,(c_TMAP1OUT)+QUOTIENT(((c_TMAP2OUT)-(c_TMAP1OUT)),2),QUOTIENT((((A705)-(c_TMAP1IN))*((c_TMAP2OUT)-(c_TMAP1OUT))+IF(((c_TMAP2OUT)-(c_TMAP1OUT))&gt;=0,1,-1)*QUOTIENT(((c_TMAP2IN)-(c_TMAP1IN)),2)),((c_TMAP2IN)-(c_TMAP1IN)))+(c_TMAP1OUT)+IF(((c_TMAP2OUT)-(c_TMAP1OUT))&gt;=0,IF(IF(o_WRAP=1,MOD(((c_TMAP2IN)-(c_TMAP1IN))*(((A705)-(c_TMAP1IN))*((c_TMAP2OUT)-(c_TMAP1OUT))+IF(((c_TMAP2OUT)-(c_TMAP1OUT))&gt;=0,1,-1)*QUOTIENT(((c_TMAP2IN)-(c_TMAP1IN)),2))+2147483648,4294967296)-2147483648,((c_TMAP2IN)-(c_TMAP1IN))*(((A705)-(c_TMAP1IN))*((c_TMAP2OUT)-(c_TMAP1OUT))+IF(((c_TMAP2OUT)-(c_TMAP1OUT))&gt;=0,1,-1)*QUOTIENT(((c_TMAP2IN)-(c_TMAP1IN)),2)))&lt;0,-1,0),IF(IF(o_WRAP=1,MOD(((c_TMAP2IN)-(c_TMAP1IN))*(((A705)-(c_TMAP1IN))*((c_TMAP2OUT)-(c_TMAP1OUT))+IF(((c_TMAP2OUT)-(c_TMAP1OUT))&gt;=0,1,-1)*QUOTIENT(((c_TMAP2IN)-(c_TMAP1IN)),2))+2147483648,4294967296)-2147483648,((c_TMAP2IN)-(c_TMAP1IN))*(((A705)-(c_TMAP1IN))*((c_TMAP2OUT)-(c_TMAP1OUT))+IF(((c_TMAP2OUT)-(c_TMAP1OUT))&gt;=0,1,-1)*QUOTIENT(((c_TMAP2IN)-(c_TMAP1IN)),2)))&gt;=0,1,0)))</f>
        <v>310</v>
      </c>
      <c r="F705" s="7" t="n">
        <f aca="false">IF(((c_TMAP3IN)-(c_TMAP2IN))=0,(c_TMAP2OUT)+QUOTIENT(((c_TMAP3OUT)-(c_TMAP2OUT)),2),QUOTIENT((((A705)-(c_TMAP2IN))*((c_TMAP3OUT)-(c_TMAP2OUT))+IF(((c_TMAP3OUT)-(c_TMAP2OUT))&gt;=0,1,-1)*QUOTIENT(((c_TMAP3IN)-(c_TMAP2IN)),2)),((c_TMAP3IN)-(c_TMAP2IN)))+(c_TMAP2OUT)+IF(((c_TMAP3OUT)-(c_TMAP2OUT))&gt;=0,IF(IF(o_WRAP=1,MOD(((c_TMAP3IN)-(c_TMAP2IN))*(((A705)-(c_TMAP2IN))*((c_TMAP3OUT)-(c_TMAP2OUT))+IF(((c_TMAP3OUT)-(c_TMAP2OUT))&gt;=0,1,-1)*QUOTIENT(((c_TMAP3IN)-(c_TMAP2IN)),2))+2147483648,4294967296)-2147483648,((c_TMAP3IN)-(c_TMAP2IN))*(((A705)-(c_TMAP2IN))*((c_TMAP3OUT)-(c_TMAP2OUT))+IF(((c_TMAP3OUT)-(c_TMAP2OUT))&gt;=0,1,-1)*QUOTIENT(((c_TMAP3IN)-(c_TMAP2IN)),2)))&lt;0,-1,0),IF(IF(o_WRAP=1,MOD(((c_TMAP3IN)-(c_TMAP2IN))*(((A705)-(c_TMAP2IN))*((c_TMAP3OUT)-(c_TMAP2OUT))+IF(((c_TMAP3OUT)-(c_TMAP2OUT))&gt;=0,1,-1)*QUOTIENT(((c_TMAP3IN)-(c_TMAP2IN)),2))+2147483648,4294967296)-2147483648,((c_TMAP3IN)-(c_TMAP2IN))*(((A705)-(c_TMAP2IN))*((c_TMAP3OUT)-(c_TMAP2OUT))+IF(((c_TMAP3OUT)-(c_TMAP2OUT))&gt;=0,1,-1)*QUOTIENT(((c_TMAP3IN)-(c_TMAP2IN)),2)))&gt;=0,1,0)))</f>
        <v>445</v>
      </c>
      <c r="G705" s="7" t="n">
        <f aca="false">IF(((1000)-(c_TMAP3IN))=0,(c_TMAP3OUT)+QUOTIENT(((1000)-(c_TMAP3OUT)),2),QUOTIENT((((A705)-(c_TMAP3IN))*((1000)-(c_TMAP3OUT))+IF(((1000)-(c_TMAP3OUT))&gt;=0,1,-1)*QUOTIENT(((1000)-(c_TMAP3IN)),2)),((1000)-(c_TMAP3IN)))+(c_TMAP3OUT)+IF(((1000)-(c_TMAP3OUT))&gt;=0,IF(IF(o_WRAP=1,MOD(((1000)-(c_TMAP3IN))*(((A705)-(c_TMAP3IN))*((1000)-(c_TMAP3OUT))+IF(((1000)-(c_TMAP3OUT))&gt;=0,1,-1)*QUOTIENT(((1000)-(c_TMAP3IN)),2))+2147483648,4294967296)-2147483648,((1000)-(c_TMAP3IN))*(((A705)-(c_TMAP3IN))*((1000)-(c_TMAP3OUT))+IF(((1000)-(c_TMAP3OUT))&gt;=0,1,-1)*QUOTIENT(((1000)-(c_TMAP3IN)),2)))&lt;0,-1,0),IF(IF(o_WRAP=1,MOD(((1000)-(c_TMAP3IN))*(((A705)-(c_TMAP3IN))*((1000)-(c_TMAP3OUT))+IF(((1000)-(c_TMAP3OUT))&gt;=0,1,-1)*QUOTIENT(((1000)-(c_TMAP3IN)),2))+2147483648,4294967296)-2147483648,((1000)-(c_TMAP3IN))*(((A705)-(c_TMAP3IN))*((1000)-(c_TMAP3OUT))+IF(((1000)-(c_TMAP3OUT))&gt;=0,1,-1)*QUOTIENT(((1000)-(c_TMAP3IN)),2)))&gt;=0,1,0)))</f>
        <v>631</v>
      </c>
      <c r="H705" s="7" t="str">
        <f aca="false">IF(A705&gt;=c_TFWD,IF(AND(A705&gt;=c_TMAP3IN,c_TMAP3IN&lt;1000),"Seg4 map3-100%",IF(AND(A705&gt;=c_TMAP2IN,c_TMAP3IN&gt;c_TMAP2IN),"Seg3 map2-map3",IF(AND(A705&gt;=c_TMAP1IN,c_TMAP2IN&gt;c_TMAP1IN),"Seg2 map1-map2","Seg1 TFWD-map1"))),IF(AND(A705=0,c_TCREEP&gt;0),"Creep",IF(AND(A705&lt;=c_TRNGMIN,A705&gt;=c_TRNGMAX,c_TRNGMIN-c_TRNGMAX&lt;&gt;0),"Regen ramp","Coast (0)")))</f>
        <v>Seg4 map3-100%</v>
      </c>
      <c r="I705" s="7" t="n">
        <f aca="false">IF(A705&gt;=c_TFWD,IF(AND(A705&gt;=c_TMAP3IN,c_TMAP3IN&lt;1000),G705,IF(AND(A705&gt;=c_TMAP2IN,c_TMAP3IN&gt;c_TMAP2IN),F705,IF(AND(A705&gt;=c_TMAP1IN,c_TMAP2IN&gt;c_TMAP1IN),E705,D705))),C705)</f>
        <v>631</v>
      </c>
      <c r="J705" s="7" t="str">
        <f aca="false">IF(I705&lt;-1090,"TOO LOW",IF(I705&gt;1090,"TOO HIGH",""))</f>
        <v/>
      </c>
      <c r="K705" s="15" t="n">
        <f aca="false">IF(J705&lt;&gt;"",0,IF(I705&gt;979,1000,I705))</f>
        <v>631</v>
      </c>
      <c r="L705" s="7" t="n">
        <f aca="false">K705/10</f>
        <v>63.1</v>
      </c>
    </row>
    <row r="706" customFormat="false" ht="15" hidden="false" customHeight="false" outlineLevel="0" collapsed="false">
      <c r="A706" s="7" t="n">
        <v>701</v>
      </c>
      <c r="B706" s="7" t="n">
        <f aca="false">A706/10</f>
        <v>70.1</v>
      </c>
      <c r="C706" s="7" t="n">
        <f aca="false">IF(AND(A706=0,c_TCREEP&gt;0),10*c_TCREEP,IF(AND(A706&lt;=c_TRNGMIN,A706&gt;=c_TRNGMAX,c_TRNGMIN-c_TRNGMAX&lt;&gt;0),-10*c_TMINRN+QUOTIENT((c_TMAXRN-c_TMINRN)*(100-QUOTIENT((A706-c_TRNGMAX)*100,c_TRNGMIN-c_TRNGMAX)),-10),0))</f>
        <v>0</v>
      </c>
      <c r="D706" s="7" t="n">
        <f aca="false">IF(((c_TMAP1IN)-(c_TFWD))=0,(0)+QUOTIENT(((c_TMAP1OUT)-(0)),2),QUOTIENT((((A706)-(c_TFWD))*((c_TMAP1OUT)-(0))+IF(((c_TMAP1OUT)-(0))&gt;=0,1,-1)*QUOTIENT(((c_TMAP1IN)-(c_TFWD)),2)),((c_TMAP1IN)-(c_TFWD)))+(0)+IF(((c_TMAP1OUT)-(0))&gt;=0,IF(IF(o_WRAP=1,MOD(((c_TMAP1IN)-(c_TFWD))*(((A706)-(c_TFWD))*((c_TMAP1OUT)-(0))+IF(((c_TMAP1OUT)-(0))&gt;=0,1,-1)*QUOTIENT(((c_TMAP1IN)-(c_TFWD)),2))+2147483648,4294967296)-2147483648,((c_TMAP1IN)-(c_TFWD))*(((A706)-(c_TFWD))*((c_TMAP1OUT)-(0))+IF(((c_TMAP1OUT)-(0))&gt;=0,1,-1)*QUOTIENT(((c_TMAP1IN)-(c_TFWD)),2)))&lt;0,-1,0),IF(IF(o_WRAP=1,MOD(((c_TMAP1IN)-(c_TFWD))*(((A706)-(c_TFWD))*((c_TMAP1OUT)-(0))+IF(((c_TMAP1OUT)-(0))&gt;=0,1,-1)*QUOTIENT(((c_TMAP1IN)-(c_TFWD)),2))+2147483648,4294967296)-2147483648,((c_TMAP1IN)-(c_TFWD))*(((A706)-(c_TFWD))*((c_TMAP1OUT)-(0))+IF(((c_TMAP1OUT)-(0))&gt;=0,1,-1)*QUOTIENT(((c_TMAP1IN)-(c_TFWD)),2)))&gt;=0,1,0)))</f>
        <v>537</v>
      </c>
      <c r="E706" s="7" t="n">
        <f aca="false">IF(((c_TMAP2IN)-(c_TMAP1IN))=0,(c_TMAP1OUT)+QUOTIENT(((c_TMAP2OUT)-(c_TMAP1OUT)),2),QUOTIENT((((A706)-(c_TMAP1IN))*((c_TMAP2OUT)-(c_TMAP1OUT))+IF(((c_TMAP2OUT)-(c_TMAP1OUT))&gt;=0,1,-1)*QUOTIENT(((c_TMAP2IN)-(c_TMAP1IN)),2)),((c_TMAP2IN)-(c_TMAP1IN)))+(c_TMAP1OUT)+IF(((c_TMAP2OUT)-(c_TMAP1OUT))&gt;=0,IF(IF(o_WRAP=1,MOD(((c_TMAP2IN)-(c_TMAP1IN))*(((A706)-(c_TMAP1IN))*((c_TMAP2OUT)-(c_TMAP1OUT))+IF(((c_TMAP2OUT)-(c_TMAP1OUT))&gt;=0,1,-1)*QUOTIENT(((c_TMAP2IN)-(c_TMAP1IN)),2))+2147483648,4294967296)-2147483648,((c_TMAP2IN)-(c_TMAP1IN))*(((A706)-(c_TMAP1IN))*((c_TMAP2OUT)-(c_TMAP1OUT))+IF(((c_TMAP2OUT)-(c_TMAP1OUT))&gt;=0,1,-1)*QUOTIENT(((c_TMAP2IN)-(c_TMAP1IN)),2)))&lt;0,-1,0),IF(IF(o_WRAP=1,MOD(((c_TMAP2IN)-(c_TMAP1IN))*(((A706)-(c_TMAP1IN))*((c_TMAP2OUT)-(c_TMAP1OUT))+IF(((c_TMAP2OUT)-(c_TMAP1OUT))&gt;=0,1,-1)*QUOTIENT(((c_TMAP2IN)-(c_TMAP1IN)),2))+2147483648,4294967296)-2147483648,((c_TMAP2IN)-(c_TMAP1IN))*(((A706)-(c_TMAP1IN))*((c_TMAP2OUT)-(c_TMAP1OUT))+IF(((c_TMAP2OUT)-(c_TMAP1OUT))&gt;=0,1,-1)*QUOTIENT(((c_TMAP2IN)-(c_TMAP1IN)),2)))&gt;=0,1,0)))</f>
        <v>310</v>
      </c>
      <c r="F706" s="7" t="n">
        <f aca="false">IF(((c_TMAP3IN)-(c_TMAP2IN))=0,(c_TMAP2OUT)+QUOTIENT(((c_TMAP3OUT)-(c_TMAP2OUT)),2),QUOTIENT((((A706)-(c_TMAP2IN))*((c_TMAP3OUT)-(c_TMAP2OUT))+IF(((c_TMAP3OUT)-(c_TMAP2OUT))&gt;=0,1,-1)*QUOTIENT(((c_TMAP3IN)-(c_TMAP2IN)),2)),((c_TMAP3IN)-(c_TMAP2IN)))+(c_TMAP2OUT)+IF(((c_TMAP3OUT)-(c_TMAP2OUT))&gt;=0,IF(IF(o_WRAP=1,MOD(((c_TMAP3IN)-(c_TMAP2IN))*(((A706)-(c_TMAP2IN))*((c_TMAP3OUT)-(c_TMAP2OUT))+IF(((c_TMAP3OUT)-(c_TMAP2OUT))&gt;=0,1,-1)*QUOTIENT(((c_TMAP3IN)-(c_TMAP2IN)),2))+2147483648,4294967296)-2147483648,((c_TMAP3IN)-(c_TMAP2IN))*(((A706)-(c_TMAP2IN))*((c_TMAP3OUT)-(c_TMAP2OUT))+IF(((c_TMAP3OUT)-(c_TMAP2OUT))&gt;=0,1,-1)*QUOTIENT(((c_TMAP3IN)-(c_TMAP2IN)),2)))&lt;0,-1,0),IF(IF(o_WRAP=1,MOD(((c_TMAP3IN)-(c_TMAP2IN))*(((A706)-(c_TMAP2IN))*((c_TMAP3OUT)-(c_TMAP2OUT))+IF(((c_TMAP3OUT)-(c_TMAP2OUT))&gt;=0,1,-1)*QUOTIENT(((c_TMAP3IN)-(c_TMAP2IN)),2))+2147483648,4294967296)-2147483648,((c_TMAP3IN)-(c_TMAP2IN))*(((A706)-(c_TMAP2IN))*((c_TMAP3OUT)-(c_TMAP2OUT))+IF(((c_TMAP3OUT)-(c_TMAP2OUT))&gt;=0,1,-1)*QUOTIENT(((c_TMAP3IN)-(c_TMAP2IN)),2)))&gt;=0,1,0)))</f>
        <v>446</v>
      </c>
      <c r="G706" s="7" t="n">
        <f aca="false">IF(((1000)-(c_TMAP3IN))=0,(c_TMAP3OUT)+QUOTIENT(((1000)-(c_TMAP3OUT)),2),QUOTIENT((((A706)-(c_TMAP3IN))*((1000)-(c_TMAP3OUT))+IF(((1000)-(c_TMAP3OUT))&gt;=0,1,-1)*QUOTIENT(((1000)-(c_TMAP3IN)),2)),((1000)-(c_TMAP3IN)))+(c_TMAP3OUT)+IF(((1000)-(c_TMAP3OUT))&gt;=0,IF(IF(o_WRAP=1,MOD(((1000)-(c_TMAP3IN))*(((A706)-(c_TMAP3IN))*((1000)-(c_TMAP3OUT))+IF(((1000)-(c_TMAP3OUT))&gt;=0,1,-1)*QUOTIENT(((1000)-(c_TMAP3IN)),2))+2147483648,4294967296)-2147483648,((1000)-(c_TMAP3IN))*(((A706)-(c_TMAP3IN))*((1000)-(c_TMAP3OUT))+IF(((1000)-(c_TMAP3OUT))&gt;=0,1,-1)*QUOTIENT(((1000)-(c_TMAP3IN)),2)))&lt;0,-1,0),IF(IF(o_WRAP=1,MOD(((1000)-(c_TMAP3IN))*(((A706)-(c_TMAP3IN))*((1000)-(c_TMAP3OUT))+IF(((1000)-(c_TMAP3OUT))&gt;=0,1,-1)*QUOTIENT(((1000)-(c_TMAP3IN)),2))+2147483648,4294967296)-2147483648,((1000)-(c_TMAP3IN))*(((A706)-(c_TMAP3IN))*((1000)-(c_TMAP3OUT))+IF(((1000)-(c_TMAP3OUT))&gt;=0,1,-1)*QUOTIENT(((1000)-(c_TMAP3IN)),2)))&gt;=0,1,0)))</f>
        <v>632</v>
      </c>
      <c r="H706" s="7" t="str">
        <f aca="false">IF(A706&gt;=c_TFWD,IF(AND(A706&gt;=c_TMAP3IN,c_TMAP3IN&lt;1000),"Seg4 map3-100%",IF(AND(A706&gt;=c_TMAP2IN,c_TMAP3IN&gt;c_TMAP2IN),"Seg3 map2-map3",IF(AND(A706&gt;=c_TMAP1IN,c_TMAP2IN&gt;c_TMAP1IN),"Seg2 map1-map2","Seg1 TFWD-map1"))),IF(AND(A706=0,c_TCREEP&gt;0),"Creep",IF(AND(A706&lt;=c_TRNGMIN,A706&gt;=c_TRNGMAX,c_TRNGMIN-c_TRNGMAX&lt;&gt;0),"Regen ramp","Coast (0)")))</f>
        <v>Seg4 map3-100%</v>
      </c>
      <c r="I706" s="7" t="n">
        <f aca="false">IF(A706&gt;=c_TFWD,IF(AND(A706&gt;=c_TMAP3IN,c_TMAP3IN&lt;1000),G706,IF(AND(A706&gt;=c_TMAP2IN,c_TMAP3IN&gt;c_TMAP2IN),F706,IF(AND(A706&gt;=c_TMAP1IN,c_TMAP2IN&gt;c_TMAP1IN),E706,D706))),C706)</f>
        <v>632</v>
      </c>
      <c r="J706" s="7" t="str">
        <f aca="false">IF(I706&lt;-1090,"TOO LOW",IF(I706&gt;1090,"TOO HIGH",""))</f>
        <v/>
      </c>
      <c r="K706" s="15" t="n">
        <f aca="false">IF(J706&lt;&gt;"",0,IF(I706&gt;979,1000,I706))</f>
        <v>632</v>
      </c>
      <c r="L706" s="7" t="n">
        <f aca="false">K706/10</f>
        <v>63.2</v>
      </c>
    </row>
    <row r="707" customFormat="false" ht="15" hidden="false" customHeight="false" outlineLevel="0" collapsed="false">
      <c r="A707" s="7" t="n">
        <v>702</v>
      </c>
      <c r="B707" s="7" t="n">
        <f aca="false">A707/10</f>
        <v>70.2</v>
      </c>
      <c r="C707" s="7" t="n">
        <f aca="false">IF(AND(A707=0,c_TCREEP&gt;0),10*c_TCREEP,IF(AND(A707&lt;=c_TRNGMIN,A707&gt;=c_TRNGMAX,c_TRNGMIN-c_TRNGMAX&lt;&gt;0),-10*c_TMINRN+QUOTIENT((c_TMAXRN-c_TMINRN)*(100-QUOTIENT((A707-c_TRNGMAX)*100,c_TRNGMIN-c_TRNGMAX)),-10),0))</f>
        <v>0</v>
      </c>
      <c r="D707" s="7" t="n">
        <f aca="false">IF(((c_TMAP1IN)-(c_TFWD))=0,(0)+QUOTIENT(((c_TMAP1OUT)-(0)),2),QUOTIENT((((A707)-(c_TFWD))*((c_TMAP1OUT)-(0))+IF(((c_TMAP1OUT)-(0))&gt;=0,1,-1)*QUOTIENT(((c_TMAP1IN)-(c_TFWD)),2)),((c_TMAP1IN)-(c_TFWD)))+(0)+IF(((c_TMAP1OUT)-(0))&gt;=0,IF(IF(o_WRAP=1,MOD(((c_TMAP1IN)-(c_TFWD))*(((A707)-(c_TFWD))*((c_TMAP1OUT)-(0))+IF(((c_TMAP1OUT)-(0))&gt;=0,1,-1)*QUOTIENT(((c_TMAP1IN)-(c_TFWD)),2))+2147483648,4294967296)-2147483648,((c_TMAP1IN)-(c_TFWD))*(((A707)-(c_TFWD))*((c_TMAP1OUT)-(0))+IF(((c_TMAP1OUT)-(0))&gt;=0,1,-1)*QUOTIENT(((c_TMAP1IN)-(c_TFWD)),2)))&lt;0,-1,0),IF(IF(o_WRAP=1,MOD(((c_TMAP1IN)-(c_TFWD))*(((A707)-(c_TFWD))*((c_TMAP1OUT)-(0))+IF(((c_TMAP1OUT)-(0))&gt;=0,1,-1)*QUOTIENT(((c_TMAP1IN)-(c_TFWD)),2))+2147483648,4294967296)-2147483648,((c_TMAP1IN)-(c_TFWD))*(((A707)-(c_TFWD))*((c_TMAP1OUT)-(0))+IF(((c_TMAP1OUT)-(0))&gt;=0,1,-1)*QUOTIENT(((c_TMAP1IN)-(c_TFWD)),2)))&gt;=0,1,0)))</f>
        <v>538</v>
      </c>
      <c r="E707" s="7" t="n">
        <f aca="false">IF(((c_TMAP2IN)-(c_TMAP1IN))=0,(c_TMAP1OUT)+QUOTIENT(((c_TMAP2OUT)-(c_TMAP1OUT)),2),QUOTIENT((((A707)-(c_TMAP1IN))*((c_TMAP2OUT)-(c_TMAP1OUT))+IF(((c_TMAP2OUT)-(c_TMAP1OUT))&gt;=0,1,-1)*QUOTIENT(((c_TMAP2IN)-(c_TMAP1IN)),2)),((c_TMAP2IN)-(c_TMAP1IN)))+(c_TMAP1OUT)+IF(((c_TMAP2OUT)-(c_TMAP1OUT))&gt;=0,IF(IF(o_WRAP=1,MOD(((c_TMAP2IN)-(c_TMAP1IN))*(((A707)-(c_TMAP1IN))*((c_TMAP2OUT)-(c_TMAP1OUT))+IF(((c_TMAP2OUT)-(c_TMAP1OUT))&gt;=0,1,-1)*QUOTIENT(((c_TMAP2IN)-(c_TMAP1IN)),2))+2147483648,4294967296)-2147483648,((c_TMAP2IN)-(c_TMAP1IN))*(((A707)-(c_TMAP1IN))*((c_TMAP2OUT)-(c_TMAP1OUT))+IF(((c_TMAP2OUT)-(c_TMAP1OUT))&gt;=0,1,-1)*QUOTIENT(((c_TMAP2IN)-(c_TMAP1IN)),2)))&lt;0,-1,0),IF(IF(o_WRAP=1,MOD(((c_TMAP2IN)-(c_TMAP1IN))*(((A707)-(c_TMAP1IN))*((c_TMAP2OUT)-(c_TMAP1OUT))+IF(((c_TMAP2OUT)-(c_TMAP1OUT))&gt;=0,1,-1)*QUOTIENT(((c_TMAP2IN)-(c_TMAP1IN)),2))+2147483648,4294967296)-2147483648,((c_TMAP2IN)-(c_TMAP1IN))*(((A707)-(c_TMAP1IN))*((c_TMAP2OUT)-(c_TMAP1OUT))+IF(((c_TMAP2OUT)-(c_TMAP1OUT))&gt;=0,1,-1)*QUOTIENT(((c_TMAP2IN)-(c_TMAP1IN)),2)))&gt;=0,1,0)))</f>
        <v>311</v>
      </c>
      <c r="F707" s="7" t="n">
        <f aca="false">IF(((c_TMAP3IN)-(c_TMAP2IN))=0,(c_TMAP2OUT)+QUOTIENT(((c_TMAP3OUT)-(c_TMAP2OUT)),2),QUOTIENT((((A707)-(c_TMAP2IN))*((c_TMAP3OUT)-(c_TMAP2OUT))+IF(((c_TMAP3OUT)-(c_TMAP2OUT))&gt;=0,1,-1)*QUOTIENT(((c_TMAP3IN)-(c_TMAP2IN)),2)),((c_TMAP3IN)-(c_TMAP2IN)))+(c_TMAP2OUT)+IF(((c_TMAP3OUT)-(c_TMAP2OUT))&gt;=0,IF(IF(o_WRAP=1,MOD(((c_TMAP3IN)-(c_TMAP2IN))*(((A707)-(c_TMAP2IN))*((c_TMAP3OUT)-(c_TMAP2OUT))+IF(((c_TMAP3OUT)-(c_TMAP2OUT))&gt;=0,1,-1)*QUOTIENT(((c_TMAP3IN)-(c_TMAP2IN)),2))+2147483648,4294967296)-2147483648,((c_TMAP3IN)-(c_TMAP2IN))*(((A707)-(c_TMAP2IN))*((c_TMAP3OUT)-(c_TMAP2OUT))+IF(((c_TMAP3OUT)-(c_TMAP2OUT))&gt;=0,1,-1)*QUOTIENT(((c_TMAP3IN)-(c_TMAP2IN)),2)))&lt;0,-1,0),IF(IF(o_WRAP=1,MOD(((c_TMAP3IN)-(c_TMAP2IN))*(((A707)-(c_TMAP2IN))*((c_TMAP3OUT)-(c_TMAP2OUT))+IF(((c_TMAP3OUT)-(c_TMAP2OUT))&gt;=0,1,-1)*QUOTIENT(((c_TMAP3IN)-(c_TMAP2IN)),2))+2147483648,4294967296)-2147483648,((c_TMAP3IN)-(c_TMAP2IN))*(((A707)-(c_TMAP2IN))*((c_TMAP3OUT)-(c_TMAP2OUT))+IF(((c_TMAP3OUT)-(c_TMAP2OUT))&gt;=0,1,-1)*QUOTIENT(((c_TMAP3IN)-(c_TMAP2IN)),2)))&gt;=0,1,0)))</f>
        <v>446</v>
      </c>
      <c r="G707" s="7" t="n">
        <f aca="false">IF(((1000)-(c_TMAP3IN))=0,(c_TMAP3OUT)+QUOTIENT(((1000)-(c_TMAP3OUT)),2),QUOTIENT((((A707)-(c_TMAP3IN))*((1000)-(c_TMAP3OUT))+IF(((1000)-(c_TMAP3OUT))&gt;=0,1,-1)*QUOTIENT(((1000)-(c_TMAP3IN)),2)),((1000)-(c_TMAP3IN)))+(c_TMAP3OUT)+IF(((1000)-(c_TMAP3OUT))&gt;=0,IF(IF(o_WRAP=1,MOD(((1000)-(c_TMAP3IN))*(((A707)-(c_TMAP3IN))*((1000)-(c_TMAP3OUT))+IF(((1000)-(c_TMAP3OUT))&gt;=0,1,-1)*QUOTIENT(((1000)-(c_TMAP3IN)),2))+2147483648,4294967296)-2147483648,((1000)-(c_TMAP3IN))*(((A707)-(c_TMAP3IN))*((1000)-(c_TMAP3OUT))+IF(((1000)-(c_TMAP3OUT))&gt;=0,1,-1)*QUOTIENT(((1000)-(c_TMAP3IN)),2)))&lt;0,-1,0),IF(IF(o_WRAP=1,MOD(((1000)-(c_TMAP3IN))*(((A707)-(c_TMAP3IN))*((1000)-(c_TMAP3OUT))+IF(((1000)-(c_TMAP3OUT))&gt;=0,1,-1)*QUOTIENT(((1000)-(c_TMAP3IN)),2))+2147483648,4294967296)-2147483648,((1000)-(c_TMAP3IN))*(((A707)-(c_TMAP3IN))*((1000)-(c_TMAP3OUT))+IF(((1000)-(c_TMAP3OUT))&gt;=0,1,-1)*QUOTIENT(((1000)-(c_TMAP3IN)),2)))&gt;=0,1,0)))</f>
        <v>633</v>
      </c>
      <c r="H707" s="7" t="str">
        <f aca="false">IF(A707&gt;=c_TFWD,IF(AND(A707&gt;=c_TMAP3IN,c_TMAP3IN&lt;1000),"Seg4 map3-100%",IF(AND(A707&gt;=c_TMAP2IN,c_TMAP3IN&gt;c_TMAP2IN),"Seg3 map2-map3",IF(AND(A707&gt;=c_TMAP1IN,c_TMAP2IN&gt;c_TMAP1IN),"Seg2 map1-map2","Seg1 TFWD-map1"))),IF(AND(A707=0,c_TCREEP&gt;0),"Creep",IF(AND(A707&lt;=c_TRNGMIN,A707&gt;=c_TRNGMAX,c_TRNGMIN-c_TRNGMAX&lt;&gt;0),"Regen ramp","Coast (0)")))</f>
        <v>Seg4 map3-100%</v>
      </c>
      <c r="I707" s="7" t="n">
        <f aca="false">IF(A707&gt;=c_TFWD,IF(AND(A707&gt;=c_TMAP3IN,c_TMAP3IN&lt;1000),G707,IF(AND(A707&gt;=c_TMAP2IN,c_TMAP3IN&gt;c_TMAP2IN),F707,IF(AND(A707&gt;=c_TMAP1IN,c_TMAP2IN&gt;c_TMAP1IN),E707,D707))),C707)</f>
        <v>633</v>
      </c>
      <c r="J707" s="7" t="str">
        <f aca="false">IF(I707&lt;-1090,"TOO LOW",IF(I707&gt;1090,"TOO HIGH",""))</f>
        <v/>
      </c>
      <c r="K707" s="15" t="n">
        <f aca="false">IF(J707&lt;&gt;"",0,IF(I707&gt;979,1000,I707))</f>
        <v>633</v>
      </c>
      <c r="L707" s="7" t="n">
        <f aca="false">K707/10</f>
        <v>63.3</v>
      </c>
    </row>
    <row r="708" customFormat="false" ht="15" hidden="false" customHeight="false" outlineLevel="0" collapsed="false">
      <c r="A708" s="7" t="n">
        <v>703</v>
      </c>
      <c r="B708" s="7" t="n">
        <f aca="false">A708/10</f>
        <v>70.3</v>
      </c>
      <c r="C708" s="7" t="n">
        <f aca="false">IF(AND(A708=0,c_TCREEP&gt;0),10*c_TCREEP,IF(AND(A708&lt;=c_TRNGMIN,A708&gt;=c_TRNGMAX,c_TRNGMIN-c_TRNGMAX&lt;&gt;0),-10*c_TMINRN+QUOTIENT((c_TMAXRN-c_TMINRN)*(100-QUOTIENT((A708-c_TRNGMAX)*100,c_TRNGMIN-c_TRNGMAX)),-10),0))</f>
        <v>0</v>
      </c>
      <c r="D708" s="7" t="n">
        <f aca="false">IF(((c_TMAP1IN)-(c_TFWD))=0,(0)+QUOTIENT(((c_TMAP1OUT)-(0)),2),QUOTIENT((((A708)-(c_TFWD))*((c_TMAP1OUT)-(0))+IF(((c_TMAP1OUT)-(0))&gt;=0,1,-1)*QUOTIENT(((c_TMAP1IN)-(c_TFWD)),2)),((c_TMAP1IN)-(c_TFWD)))+(0)+IF(((c_TMAP1OUT)-(0))&gt;=0,IF(IF(o_WRAP=1,MOD(((c_TMAP1IN)-(c_TFWD))*(((A708)-(c_TFWD))*((c_TMAP1OUT)-(0))+IF(((c_TMAP1OUT)-(0))&gt;=0,1,-1)*QUOTIENT(((c_TMAP1IN)-(c_TFWD)),2))+2147483648,4294967296)-2147483648,((c_TMAP1IN)-(c_TFWD))*(((A708)-(c_TFWD))*((c_TMAP1OUT)-(0))+IF(((c_TMAP1OUT)-(0))&gt;=0,1,-1)*QUOTIENT(((c_TMAP1IN)-(c_TFWD)),2)))&lt;0,-1,0),IF(IF(o_WRAP=1,MOD(((c_TMAP1IN)-(c_TFWD))*(((A708)-(c_TFWD))*((c_TMAP1OUT)-(0))+IF(((c_TMAP1OUT)-(0))&gt;=0,1,-1)*QUOTIENT(((c_TMAP1IN)-(c_TFWD)),2))+2147483648,4294967296)-2147483648,((c_TMAP1IN)-(c_TFWD))*(((A708)-(c_TFWD))*((c_TMAP1OUT)-(0))+IF(((c_TMAP1OUT)-(0))&gt;=0,1,-1)*QUOTIENT(((c_TMAP1IN)-(c_TFWD)),2)))&gt;=0,1,0)))</f>
        <v>539</v>
      </c>
      <c r="E708" s="7" t="n">
        <f aca="false">IF(((c_TMAP2IN)-(c_TMAP1IN))=0,(c_TMAP1OUT)+QUOTIENT(((c_TMAP2OUT)-(c_TMAP1OUT)),2),QUOTIENT((((A708)-(c_TMAP1IN))*((c_TMAP2OUT)-(c_TMAP1OUT))+IF(((c_TMAP2OUT)-(c_TMAP1OUT))&gt;=0,1,-1)*QUOTIENT(((c_TMAP2IN)-(c_TMAP1IN)),2)),((c_TMAP2IN)-(c_TMAP1IN)))+(c_TMAP1OUT)+IF(((c_TMAP2OUT)-(c_TMAP1OUT))&gt;=0,IF(IF(o_WRAP=1,MOD(((c_TMAP2IN)-(c_TMAP1IN))*(((A708)-(c_TMAP1IN))*((c_TMAP2OUT)-(c_TMAP1OUT))+IF(((c_TMAP2OUT)-(c_TMAP1OUT))&gt;=0,1,-1)*QUOTIENT(((c_TMAP2IN)-(c_TMAP1IN)),2))+2147483648,4294967296)-2147483648,((c_TMAP2IN)-(c_TMAP1IN))*(((A708)-(c_TMAP1IN))*((c_TMAP2OUT)-(c_TMAP1OUT))+IF(((c_TMAP2OUT)-(c_TMAP1OUT))&gt;=0,1,-1)*QUOTIENT(((c_TMAP2IN)-(c_TMAP1IN)),2)))&lt;0,-1,0),IF(IF(o_WRAP=1,MOD(((c_TMAP2IN)-(c_TMAP1IN))*(((A708)-(c_TMAP1IN))*((c_TMAP2OUT)-(c_TMAP1OUT))+IF(((c_TMAP2OUT)-(c_TMAP1OUT))&gt;=0,1,-1)*QUOTIENT(((c_TMAP2IN)-(c_TMAP1IN)),2))+2147483648,4294967296)-2147483648,((c_TMAP2IN)-(c_TMAP1IN))*(((A708)-(c_TMAP1IN))*((c_TMAP2OUT)-(c_TMAP1OUT))+IF(((c_TMAP2OUT)-(c_TMAP1OUT))&gt;=0,1,-1)*QUOTIENT(((c_TMAP2IN)-(c_TMAP1IN)),2)))&gt;=0,1,0)))</f>
        <v>311</v>
      </c>
      <c r="F708" s="7" t="n">
        <f aca="false">IF(((c_TMAP3IN)-(c_TMAP2IN))=0,(c_TMAP2OUT)+QUOTIENT(((c_TMAP3OUT)-(c_TMAP2OUT)),2),QUOTIENT((((A708)-(c_TMAP2IN))*((c_TMAP3OUT)-(c_TMAP2OUT))+IF(((c_TMAP3OUT)-(c_TMAP2OUT))&gt;=0,1,-1)*QUOTIENT(((c_TMAP3IN)-(c_TMAP2IN)),2)),((c_TMAP3IN)-(c_TMAP2IN)))+(c_TMAP2OUT)+IF(((c_TMAP3OUT)-(c_TMAP2OUT))&gt;=0,IF(IF(o_WRAP=1,MOD(((c_TMAP3IN)-(c_TMAP2IN))*(((A708)-(c_TMAP2IN))*((c_TMAP3OUT)-(c_TMAP2OUT))+IF(((c_TMAP3OUT)-(c_TMAP2OUT))&gt;=0,1,-1)*QUOTIENT(((c_TMAP3IN)-(c_TMAP2IN)),2))+2147483648,4294967296)-2147483648,((c_TMAP3IN)-(c_TMAP2IN))*(((A708)-(c_TMAP2IN))*((c_TMAP3OUT)-(c_TMAP2OUT))+IF(((c_TMAP3OUT)-(c_TMAP2OUT))&gt;=0,1,-1)*QUOTIENT(((c_TMAP3IN)-(c_TMAP2IN)),2)))&lt;0,-1,0),IF(IF(o_WRAP=1,MOD(((c_TMAP3IN)-(c_TMAP2IN))*(((A708)-(c_TMAP2IN))*((c_TMAP3OUT)-(c_TMAP2OUT))+IF(((c_TMAP3OUT)-(c_TMAP2OUT))&gt;=0,1,-1)*QUOTIENT(((c_TMAP3IN)-(c_TMAP2IN)),2))+2147483648,4294967296)-2147483648,((c_TMAP3IN)-(c_TMAP2IN))*(((A708)-(c_TMAP2IN))*((c_TMAP3OUT)-(c_TMAP2OUT))+IF(((c_TMAP3OUT)-(c_TMAP2OUT))&gt;=0,1,-1)*QUOTIENT(((c_TMAP3IN)-(c_TMAP2IN)),2)))&gt;=0,1,0)))</f>
        <v>447</v>
      </c>
      <c r="G708" s="7" t="n">
        <f aca="false">IF(((1000)-(c_TMAP3IN))=0,(c_TMAP3OUT)+QUOTIENT(((1000)-(c_TMAP3OUT)),2),QUOTIENT((((A708)-(c_TMAP3IN))*((1000)-(c_TMAP3OUT))+IF(((1000)-(c_TMAP3OUT))&gt;=0,1,-1)*QUOTIENT(((1000)-(c_TMAP3IN)),2)),((1000)-(c_TMAP3IN)))+(c_TMAP3OUT)+IF(((1000)-(c_TMAP3OUT))&gt;=0,IF(IF(o_WRAP=1,MOD(((1000)-(c_TMAP3IN))*(((A708)-(c_TMAP3IN))*((1000)-(c_TMAP3OUT))+IF(((1000)-(c_TMAP3OUT))&gt;=0,1,-1)*QUOTIENT(((1000)-(c_TMAP3IN)),2))+2147483648,4294967296)-2147483648,((1000)-(c_TMAP3IN))*(((A708)-(c_TMAP3IN))*((1000)-(c_TMAP3OUT))+IF(((1000)-(c_TMAP3OUT))&gt;=0,1,-1)*QUOTIENT(((1000)-(c_TMAP3IN)),2)))&lt;0,-1,0),IF(IF(o_WRAP=1,MOD(((1000)-(c_TMAP3IN))*(((A708)-(c_TMAP3IN))*((1000)-(c_TMAP3OUT))+IF(((1000)-(c_TMAP3OUT))&gt;=0,1,-1)*QUOTIENT(((1000)-(c_TMAP3IN)),2))+2147483648,4294967296)-2147483648,((1000)-(c_TMAP3IN))*(((A708)-(c_TMAP3IN))*((1000)-(c_TMAP3OUT))+IF(((1000)-(c_TMAP3OUT))&gt;=0,1,-1)*QUOTIENT(((1000)-(c_TMAP3IN)),2)))&gt;=0,1,0)))</f>
        <v>634</v>
      </c>
      <c r="H708" s="7" t="str">
        <f aca="false">IF(A708&gt;=c_TFWD,IF(AND(A708&gt;=c_TMAP3IN,c_TMAP3IN&lt;1000),"Seg4 map3-100%",IF(AND(A708&gt;=c_TMAP2IN,c_TMAP3IN&gt;c_TMAP2IN),"Seg3 map2-map3",IF(AND(A708&gt;=c_TMAP1IN,c_TMAP2IN&gt;c_TMAP1IN),"Seg2 map1-map2","Seg1 TFWD-map1"))),IF(AND(A708=0,c_TCREEP&gt;0),"Creep",IF(AND(A708&lt;=c_TRNGMIN,A708&gt;=c_TRNGMAX,c_TRNGMIN-c_TRNGMAX&lt;&gt;0),"Regen ramp","Coast (0)")))</f>
        <v>Seg4 map3-100%</v>
      </c>
      <c r="I708" s="7" t="n">
        <f aca="false">IF(A708&gt;=c_TFWD,IF(AND(A708&gt;=c_TMAP3IN,c_TMAP3IN&lt;1000),G708,IF(AND(A708&gt;=c_TMAP2IN,c_TMAP3IN&gt;c_TMAP2IN),F708,IF(AND(A708&gt;=c_TMAP1IN,c_TMAP2IN&gt;c_TMAP1IN),E708,D708))),C708)</f>
        <v>634</v>
      </c>
      <c r="J708" s="7" t="str">
        <f aca="false">IF(I708&lt;-1090,"TOO LOW",IF(I708&gt;1090,"TOO HIGH",""))</f>
        <v/>
      </c>
      <c r="K708" s="15" t="n">
        <f aca="false">IF(J708&lt;&gt;"",0,IF(I708&gt;979,1000,I708))</f>
        <v>634</v>
      </c>
      <c r="L708" s="7" t="n">
        <f aca="false">K708/10</f>
        <v>63.4</v>
      </c>
    </row>
    <row r="709" customFormat="false" ht="15" hidden="false" customHeight="false" outlineLevel="0" collapsed="false">
      <c r="A709" s="7" t="n">
        <v>704</v>
      </c>
      <c r="B709" s="7" t="n">
        <f aca="false">A709/10</f>
        <v>70.4</v>
      </c>
      <c r="C709" s="7" t="n">
        <f aca="false">IF(AND(A709=0,c_TCREEP&gt;0),10*c_TCREEP,IF(AND(A709&lt;=c_TRNGMIN,A709&gt;=c_TRNGMAX,c_TRNGMIN-c_TRNGMAX&lt;&gt;0),-10*c_TMINRN+QUOTIENT((c_TMAXRN-c_TMINRN)*(100-QUOTIENT((A709-c_TRNGMAX)*100,c_TRNGMIN-c_TRNGMAX)),-10),0))</f>
        <v>0</v>
      </c>
      <c r="D709" s="7" t="n">
        <f aca="false">IF(((c_TMAP1IN)-(c_TFWD))=0,(0)+QUOTIENT(((c_TMAP1OUT)-(0)),2),QUOTIENT((((A709)-(c_TFWD))*((c_TMAP1OUT)-(0))+IF(((c_TMAP1OUT)-(0))&gt;=0,1,-1)*QUOTIENT(((c_TMAP1IN)-(c_TFWD)),2)),((c_TMAP1IN)-(c_TFWD)))+(0)+IF(((c_TMAP1OUT)-(0))&gt;=0,IF(IF(o_WRAP=1,MOD(((c_TMAP1IN)-(c_TFWD))*(((A709)-(c_TFWD))*((c_TMAP1OUT)-(0))+IF(((c_TMAP1OUT)-(0))&gt;=0,1,-1)*QUOTIENT(((c_TMAP1IN)-(c_TFWD)),2))+2147483648,4294967296)-2147483648,((c_TMAP1IN)-(c_TFWD))*(((A709)-(c_TFWD))*((c_TMAP1OUT)-(0))+IF(((c_TMAP1OUT)-(0))&gt;=0,1,-1)*QUOTIENT(((c_TMAP1IN)-(c_TFWD)),2)))&lt;0,-1,0),IF(IF(o_WRAP=1,MOD(((c_TMAP1IN)-(c_TFWD))*(((A709)-(c_TFWD))*((c_TMAP1OUT)-(0))+IF(((c_TMAP1OUT)-(0))&gt;=0,1,-1)*QUOTIENT(((c_TMAP1IN)-(c_TFWD)),2))+2147483648,4294967296)-2147483648,((c_TMAP1IN)-(c_TFWD))*(((A709)-(c_TFWD))*((c_TMAP1OUT)-(0))+IF(((c_TMAP1OUT)-(0))&gt;=0,1,-1)*QUOTIENT(((c_TMAP1IN)-(c_TFWD)),2)))&gt;=0,1,0)))</f>
        <v>540</v>
      </c>
      <c r="E709" s="7" t="n">
        <f aca="false">IF(((c_TMAP2IN)-(c_TMAP1IN))=0,(c_TMAP1OUT)+QUOTIENT(((c_TMAP2OUT)-(c_TMAP1OUT)),2),QUOTIENT((((A709)-(c_TMAP1IN))*((c_TMAP2OUT)-(c_TMAP1OUT))+IF(((c_TMAP2OUT)-(c_TMAP1OUT))&gt;=0,1,-1)*QUOTIENT(((c_TMAP2IN)-(c_TMAP1IN)),2)),((c_TMAP2IN)-(c_TMAP1IN)))+(c_TMAP1OUT)+IF(((c_TMAP2OUT)-(c_TMAP1OUT))&gt;=0,IF(IF(o_WRAP=1,MOD(((c_TMAP2IN)-(c_TMAP1IN))*(((A709)-(c_TMAP1IN))*((c_TMAP2OUT)-(c_TMAP1OUT))+IF(((c_TMAP2OUT)-(c_TMAP1OUT))&gt;=0,1,-1)*QUOTIENT(((c_TMAP2IN)-(c_TMAP1IN)),2))+2147483648,4294967296)-2147483648,((c_TMAP2IN)-(c_TMAP1IN))*(((A709)-(c_TMAP1IN))*((c_TMAP2OUT)-(c_TMAP1OUT))+IF(((c_TMAP2OUT)-(c_TMAP1OUT))&gt;=0,1,-1)*QUOTIENT(((c_TMAP2IN)-(c_TMAP1IN)),2)))&lt;0,-1,0),IF(IF(o_WRAP=1,MOD(((c_TMAP2IN)-(c_TMAP1IN))*(((A709)-(c_TMAP1IN))*((c_TMAP2OUT)-(c_TMAP1OUT))+IF(((c_TMAP2OUT)-(c_TMAP1OUT))&gt;=0,1,-1)*QUOTIENT(((c_TMAP2IN)-(c_TMAP1IN)),2))+2147483648,4294967296)-2147483648,((c_TMAP2IN)-(c_TMAP1IN))*(((A709)-(c_TMAP1IN))*((c_TMAP2OUT)-(c_TMAP1OUT))+IF(((c_TMAP2OUT)-(c_TMAP1OUT))&gt;=0,1,-1)*QUOTIENT(((c_TMAP2IN)-(c_TMAP1IN)),2)))&gt;=0,1,0)))</f>
        <v>312</v>
      </c>
      <c r="F709" s="7" t="n">
        <f aca="false">IF(((c_TMAP3IN)-(c_TMAP2IN))=0,(c_TMAP2OUT)+QUOTIENT(((c_TMAP3OUT)-(c_TMAP2OUT)),2),QUOTIENT((((A709)-(c_TMAP2IN))*((c_TMAP3OUT)-(c_TMAP2OUT))+IF(((c_TMAP3OUT)-(c_TMAP2OUT))&gt;=0,1,-1)*QUOTIENT(((c_TMAP3IN)-(c_TMAP2IN)),2)),((c_TMAP3IN)-(c_TMAP2IN)))+(c_TMAP2OUT)+IF(((c_TMAP3OUT)-(c_TMAP2OUT))&gt;=0,IF(IF(o_WRAP=1,MOD(((c_TMAP3IN)-(c_TMAP2IN))*(((A709)-(c_TMAP2IN))*((c_TMAP3OUT)-(c_TMAP2OUT))+IF(((c_TMAP3OUT)-(c_TMAP2OUT))&gt;=0,1,-1)*QUOTIENT(((c_TMAP3IN)-(c_TMAP2IN)),2))+2147483648,4294967296)-2147483648,((c_TMAP3IN)-(c_TMAP2IN))*(((A709)-(c_TMAP2IN))*((c_TMAP3OUT)-(c_TMAP2OUT))+IF(((c_TMAP3OUT)-(c_TMAP2OUT))&gt;=0,1,-1)*QUOTIENT(((c_TMAP3IN)-(c_TMAP2IN)),2)))&lt;0,-1,0),IF(IF(o_WRAP=1,MOD(((c_TMAP3IN)-(c_TMAP2IN))*(((A709)-(c_TMAP2IN))*((c_TMAP3OUT)-(c_TMAP2OUT))+IF(((c_TMAP3OUT)-(c_TMAP2OUT))&gt;=0,1,-1)*QUOTIENT(((c_TMAP3IN)-(c_TMAP2IN)),2))+2147483648,4294967296)-2147483648,((c_TMAP3IN)-(c_TMAP2IN))*(((A709)-(c_TMAP2IN))*((c_TMAP3OUT)-(c_TMAP2OUT))+IF(((c_TMAP3OUT)-(c_TMAP2OUT))&gt;=0,1,-1)*QUOTIENT(((c_TMAP3IN)-(c_TMAP2IN)),2)))&gt;=0,1,0)))</f>
        <v>448</v>
      </c>
      <c r="G709" s="7" t="n">
        <f aca="false">IF(((1000)-(c_TMAP3IN))=0,(c_TMAP3OUT)+QUOTIENT(((1000)-(c_TMAP3OUT)),2),QUOTIENT((((A709)-(c_TMAP3IN))*((1000)-(c_TMAP3OUT))+IF(((1000)-(c_TMAP3OUT))&gt;=0,1,-1)*QUOTIENT(((1000)-(c_TMAP3IN)),2)),((1000)-(c_TMAP3IN)))+(c_TMAP3OUT)+IF(((1000)-(c_TMAP3OUT))&gt;=0,IF(IF(o_WRAP=1,MOD(((1000)-(c_TMAP3IN))*(((A709)-(c_TMAP3IN))*((1000)-(c_TMAP3OUT))+IF(((1000)-(c_TMAP3OUT))&gt;=0,1,-1)*QUOTIENT(((1000)-(c_TMAP3IN)),2))+2147483648,4294967296)-2147483648,((1000)-(c_TMAP3IN))*(((A709)-(c_TMAP3IN))*((1000)-(c_TMAP3OUT))+IF(((1000)-(c_TMAP3OUT))&gt;=0,1,-1)*QUOTIENT(((1000)-(c_TMAP3IN)),2)))&lt;0,-1,0),IF(IF(o_WRAP=1,MOD(((1000)-(c_TMAP3IN))*(((A709)-(c_TMAP3IN))*((1000)-(c_TMAP3OUT))+IF(((1000)-(c_TMAP3OUT))&gt;=0,1,-1)*QUOTIENT(((1000)-(c_TMAP3IN)),2))+2147483648,4294967296)-2147483648,((1000)-(c_TMAP3IN))*(((A709)-(c_TMAP3IN))*((1000)-(c_TMAP3OUT))+IF(((1000)-(c_TMAP3OUT))&gt;=0,1,-1)*QUOTIENT(((1000)-(c_TMAP3IN)),2)))&gt;=0,1,0)))</f>
        <v>636</v>
      </c>
      <c r="H709" s="7" t="str">
        <f aca="false">IF(A709&gt;=c_TFWD,IF(AND(A709&gt;=c_TMAP3IN,c_TMAP3IN&lt;1000),"Seg4 map3-100%",IF(AND(A709&gt;=c_TMAP2IN,c_TMAP3IN&gt;c_TMAP2IN),"Seg3 map2-map3",IF(AND(A709&gt;=c_TMAP1IN,c_TMAP2IN&gt;c_TMAP1IN),"Seg2 map1-map2","Seg1 TFWD-map1"))),IF(AND(A709=0,c_TCREEP&gt;0),"Creep",IF(AND(A709&lt;=c_TRNGMIN,A709&gt;=c_TRNGMAX,c_TRNGMIN-c_TRNGMAX&lt;&gt;0),"Regen ramp","Coast (0)")))</f>
        <v>Seg4 map3-100%</v>
      </c>
      <c r="I709" s="7" t="n">
        <f aca="false">IF(A709&gt;=c_TFWD,IF(AND(A709&gt;=c_TMAP3IN,c_TMAP3IN&lt;1000),G709,IF(AND(A709&gt;=c_TMAP2IN,c_TMAP3IN&gt;c_TMAP2IN),F709,IF(AND(A709&gt;=c_TMAP1IN,c_TMAP2IN&gt;c_TMAP1IN),E709,D709))),C709)</f>
        <v>636</v>
      </c>
      <c r="J709" s="7" t="str">
        <f aca="false">IF(I709&lt;-1090,"TOO LOW",IF(I709&gt;1090,"TOO HIGH",""))</f>
        <v/>
      </c>
      <c r="K709" s="15" t="n">
        <f aca="false">IF(J709&lt;&gt;"",0,IF(I709&gt;979,1000,I709))</f>
        <v>636</v>
      </c>
      <c r="L709" s="7" t="n">
        <f aca="false">K709/10</f>
        <v>63.6</v>
      </c>
    </row>
    <row r="710" customFormat="false" ht="15" hidden="false" customHeight="false" outlineLevel="0" collapsed="false">
      <c r="A710" s="7" t="n">
        <v>705</v>
      </c>
      <c r="B710" s="7" t="n">
        <f aca="false">A710/10</f>
        <v>70.5</v>
      </c>
      <c r="C710" s="7" t="n">
        <f aca="false">IF(AND(A710=0,c_TCREEP&gt;0),10*c_TCREEP,IF(AND(A710&lt;=c_TRNGMIN,A710&gt;=c_TRNGMAX,c_TRNGMIN-c_TRNGMAX&lt;&gt;0),-10*c_TMINRN+QUOTIENT((c_TMAXRN-c_TMINRN)*(100-QUOTIENT((A710-c_TRNGMAX)*100,c_TRNGMIN-c_TRNGMAX)),-10),0))</f>
        <v>0</v>
      </c>
      <c r="D710" s="7" t="n">
        <f aca="false">IF(((c_TMAP1IN)-(c_TFWD))=0,(0)+QUOTIENT(((c_TMAP1OUT)-(0)),2),QUOTIENT((((A710)-(c_TFWD))*((c_TMAP1OUT)-(0))+IF(((c_TMAP1OUT)-(0))&gt;=0,1,-1)*QUOTIENT(((c_TMAP1IN)-(c_TFWD)),2)),((c_TMAP1IN)-(c_TFWD)))+(0)+IF(((c_TMAP1OUT)-(0))&gt;=0,IF(IF(o_WRAP=1,MOD(((c_TMAP1IN)-(c_TFWD))*(((A710)-(c_TFWD))*((c_TMAP1OUT)-(0))+IF(((c_TMAP1OUT)-(0))&gt;=0,1,-1)*QUOTIENT(((c_TMAP1IN)-(c_TFWD)),2))+2147483648,4294967296)-2147483648,((c_TMAP1IN)-(c_TFWD))*(((A710)-(c_TFWD))*((c_TMAP1OUT)-(0))+IF(((c_TMAP1OUT)-(0))&gt;=0,1,-1)*QUOTIENT(((c_TMAP1IN)-(c_TFWD)),2)))&lt;0,-1,0),IF(IF(o_WRAP=1,MOD(((c_TMAP1IN)-(c_TFWD))*(((A710)-(c_TFWD))*((c_TMAP1OUT)-(0))+IF(((c_TMAP1OUT)-(0))&gt;=0,1,-1)*QUOTIENT(((c_TMAP1IN)-(c_TFWD)),2))+2147483648,4294967296)-2147483648,((c_TMAP1IN)-(c_TFWD))*(((A710)-(c_TFWD))*((c_TMAP1OUT)-(0))+IF(((c_TMAP1OUT)-(0))&gt;=0,1,-1)*QUOTIENT(((c_TMAP1IN)-(c_TFWD)),2)))&gt;=0,1,0)))</f>
        <v>541</v>
      </c>
      <c r="E710" s="7" t="n">
        <f aca="false">IF(((c_TMAP2IN)-(c_TMAP1IN))=0,(c_TMAP1OUT)+QUOTIENT(((c_TMAP2OUT)-(c_TMAP1OUT)),2),QUOTIENT((((A710)-(c_TMAP1IN))*((c_TMAP2OUT)-(c_TMAP1OUT))+IF(((c_TMAP2OUT)-(c_TMAP1OUT))&gt;=0,1,-1)*QUOTIENT(((c_TMAP2IN)-(c_TMAP1IN)),2)),((c_TMAP2IN)-(c_TMAP1IN)))+(c_TMAP1OUT)+IF(((c_TMAP2OUT)-(c_TMAP1OUT))&gt;=0,IF(IF(o_WRAP=1,MOD(((c_TMAP2IN)-(c_TMAP1IN))*(((A710)-(c_TMAP1IN))*((c_TMAP2OUT)-(c_TMAP1OUT))+IF(((c_TMAP2OUT)-(c_TMAP1OUT))&gt;=0,1,-1)*QUOTIENT(((c_TMAP2IN)-(c_TMAP1IN)),2))+2147483648,4294967296)-2147483648,((c_TMAP2IN)-(c_TMAP1IN))*(((A710)-(c_TMAP1IN))*((c_TMAP2OUT)-(c_TMAP1OUT))+IF(((c_TMAP2OUT)-(c_TMAP1OUT))&gt;=0,1,-1)*QUOTIENT(((c_TMAP2IN)-(c_TMAP1IN)),2)))&lt;0,-1,0),IF(IF(o_WRAP=1,MOD(((c_TMAP2IN)-(c_TMAP1IN))*(((A710)-(c_TMAP1IN))*((c_TMAP2OUT)-(c_TMAP1OUT))+IF(((c_TMAP2OUT)-(c_TMAP1OUT))&gt;=0,1,-1)*QUOTIENT(((c_TMAP2IN)-(c_TMAP1IN)),2))+2147483648,4294967296)-2147483648,((c_TMAP2IN)-(c_TMAP1IN))*(((A710)-(c_TMAP1IN))*((c_TMAP2OUT)-(c_TMAP1OUT))+IF(((c_TMAP2OUT)-(c_TMAP1OUT))&gt;=0,1,-1)*QUOTIENT(((c_TMAP2IN)-(c_TMAP1IN)),2)))&gt;=0,1,0)))</f>
        <v>312</v>
      </c>
      <c r="F710" s="7" t="n">
        <f aca="false">IF(((c_TMAP3IN)-(c_TMAP2IN))=0,(c_TMAP2OUT)+QUOTIENT(((c_TMAP3OUT)-(c_TMAP2OUT)),2),QUOTIENT((((A710)-(c_TMAP2IN))*((c_TMAP3OUT)-(c_TMAP2OUT))+IF(((c_TMAP3OUT)-(c_TMAP2OUT))&gt;=0,1,-1)*QUOTIENT(((c_TMAP3IN)-(c_TMAP2IN)),2)),((c_TMAP3IN)-(c_TMAP2IN)))+(c_TMAP2OUT)+IF(((c_TMAP3OUT)-(c_TMAP2OUT))&gt;=0,IF(IF(o_WRAP=1,MOD(((c_TMAP3IN)-(c_TMAP2IN))*(((A710)-(c_TMAP2IN))*((c_TMAP3OUT)-(c_TMAP2OUT))+IF(((c_TMAP3OUT)-(c_TMAP2OUT))&gt;=0,1,-1)*QUOTIENT(((c_TMAP3IN)-(c_TMAP2IN)),2))+2147483648,4294967296)-2147483648,((c_TMAP3IN)-(c_TMAP2IN))*(((A710)-(c_TMAP2IN))*((c_TMAP3OUT)-(c_TMAP2OUT))+IF(((c_TMAP3OUT)-(c_TMAP2OUT))&gt;=0,1,-1)*QUOTIENT(((c_TMAP3IN)-(c_TMAP2IN)),2)))&lt;0,-1,0),IF(IF(o_WRAP=1,MOD(((c_TMAP3IN)-(c_TMAP2IN))*(((A710)-(c_TMAP2IN))*((c_TMAP3OUT)-(c_TMAP2OUT))+IF(((c_TMAP3OUT)-(c_TMAP2OUT))&gt;=0,1,-1)*QUOTIENT(((c_TMAP3IN)-(c_TMAP2IN)),2))+2147483648,4294967296)-2147483648,((c_TMAP3IN)-(c_TMAP2IN))*(((A710)-(c_TMAP2IN))*((c_TMAP3OUT)-(c_TMAP2OUT))+IF(((c_TMAP3OUT)-(c_TMAP2OUT))&gt;=0,1,-1)*QUOTIENT(((c_TMAP3IN)-(c_TMAP2IN)),2)))&gt;=0,1,0)))</f>
        <v>449</v>
      </c>
      <c r="G710" s="7" t="n">
        <f aca="false">IF(((1000)-(c_TMAP3IN))=0,(c_TMAP3OUT)+QUOTIENT(((1000)-(c_TMAP3OUT)),2),QUOTIENT((((A710)-(c_TMAP3IN))*((1000)-(c_TMAP3OUT))+IF(((1000)-(c_TMAP3OUT))&gt;=0,1,-1)*QUOTIENT(((1000)-(c_TMAP3IN)),2)),((1000)-(c_TMAP3IN)))+(c_TMAP3OUT)+IF(((1000)-(c_TMAP3OUT))&gt;=0,IF(IF(o_WRAP=1,MOD(((1000)-(c_TMAP3IN))*(((A710)-(c_TMAP3IN))*((1000)-(c_TMAP3OUT))+IF(((1000)-(c_TMAP3OUT))&gt;=0,1,-1)*QUOTIENT(((1000)-(c_TMAP3IN)),2))+2147483648,4294967296)-2147483648,((1000)-(c_TMAP3IN))*(((A710)-(c_TMAP3IN))*((1000)-(c_TMAP3OUT))+IF(((1000)-(c_TMAP3OUT))&gt;=0,1,-1)*QUOTIENT(((1000)-(c_TMAP3IN)),2)))&lt;0,-1,0),IF(IF(o_WRAP=1,MOD(((1000)-(c_TMAP3IN))*(((A710)-(c_TMAP3IN))*((1000)-(c_TMAP3OUT))+IF(((1000)-(c_TMAP3OUT))&gt;=0,1,-1)*QUOTIENT(((1000)-(c_TMAP3IN)),2))+2147483648,4294967296)-2147483648,((1000)-(c_TMAP3IN))*(((A710)-(c_TMAP3IN))*((1000)-(c_TMAP3OUT))+IF(((1000)-(c_TMAP3OUT))&gt;=0,1,-1)*QUOTIENT(((1000)-(c_TMAP3IN)),2)))&gt;=0,1,0)))</f>
        <v>637</v>
      </c>
      <c r="H710" s="7" t="str">
        <f aca="false">IF(A710&gt;=c_TFWD,IF(AND(A710&gt;=c_TMAP3IN,c_TMAP3IN&lt;1000),"Seg4 map3-100%",IF(AND(A710&gt;=c_TMAP2IN,c_TMAP3IN&gt;c_TMAP2IN),"Seg3 map2-map3",IF(AND(A710&gt;=c_TMAP1IN,c_TMAP2IN&gt;c_TMAP1IN),"Seg2 map1-map2","Seg1 TFWD-map1"))),IF(AND(A710=0,c_TCREEP&gt;0),"Creep",IF(AND(A710&lt;=c_TRNGMIN,A710&gt;=c_TRNGMAX,c_TRNGMIN-c_TRNGMAX&lt;&gt;0),"Regen ramp","Coast (0)")))</f>
        <v>Seg4 map3-100%</v>
      </c>
      <c r="I710" s="7" t="n">
        <f aca="false">IF(A710&gt;=c_TFWD,IF(AND(A710&gt;=c_TMAP3IN,c_TMAP3IN&lt;1000),G710,IF(AND(A710&gt;=c_TMAP2IN,c_TMAP3IN&gt;c_TMAP2IN),F710,IF(AND(A710&gt;=c_TMAP1IN,c_TMAP2IN&gt;c_TMAP1IN),E710,D710))),C710)</f>
        <v>637</v>
      </c>
      <c r="J710" s="7" t="str">
        <f aca="false">IF(I710&lt;-1090,"TOO LOW",IF(I710&gt;1090,"TOO HIGH",""))</f>
        <v/>
      </c>
      <c r="K710" s="15" t="n">
        <f aca="false">IF(J710&lt;&gt;"",0,IF(I710&gt;979,1000,I710))</f>
        <v>637</v>
      </c>
      <c r="L710" s="7" t="n">
        <f aca="false">K710/10</f>
        <v>63.7</v>
      </c>
    </row>
    <row r="711" customFormat="false" ht="15" hidden="false" customHeight="false" outlineLevel="0" collapsed="false">
      <c r="A711" s="7" t="n">
        <v>706</v>
      </c>
      <c r="B711" s="7" t="n">
        <f aca="false">A711/10</f>
        <v>70.6</v>
      </c>
      <c r="C711" s="7" t="n">
        <f aca="false">IF(AND(A711=0,c_TCREEP&gt;0),10*c_TCREEP,IF(AND(A711&lt;=c_TRNGMIN,A711&gt;=c_TRNGMAX,c_TRNGMIN-c_TRNGMAX&lt;&gt;0),-10*c_TMINRN+QUOTIENT((c_TMAXRN-c_TMINRN)*(100-QUOTIENT((A711-c_TRNGMAX)*100,c_TRNGMIN-c_TRNGMAX)),-10),0))</f>
        <v>0</v>
      </c>
      <c r="D711" s="7" t="n">
        <f aca="false">IF(((c_TMAP1IN)-(c_TFWD))=0,(0)+QUOTIENT(((c_TMAP1OUT)-(0)),2),QUOTIENT((((A711)-(c_TFWD))*((c_TMAP1OUT)-(0))+IF(((c_TMAP1OUT)-(0))&gt;=0,1,-1)*QUOTIENT(((c_TMAP1IN)-(c_TFWD)),2)),((c_TMAP1IN)-(c_TFWD)))+(0)+IF(((c_TMAP1OUT)-(0))&gt;=0,IF(IF(o_WRAP=1,MOD(((c_TMAP1IN)-(c_TFWD))*(((A711)-(c_TFWD))*((c_TMAP1OUT)-(0))+IF(((c_TMAP1OUT)-(0))&gt;=0,1,-1)*QUOTIENT(((c_TMAP1IN)-(c_TFWD)),2))+2147483648,4294967296)-2147483648,((c_TMAP1IN)-(c_TFWD))*(((A711)-(c_TFWD))*((c_TMAP1OUT)-(0))+IF(((c_TMAP1OUT)-(0))&gt;=0,1,-1)*QUOTIENT(((c_TMAP1IN)-(c_TFWD)),2)))&lt;0,-1,0),IF(IF(o_WRAP=1,MOD(((c_TMAP1IN)-(c_TFWD))*(((A711)-(c_TFWD))*((c_TMAP1OUT)-(0))+IF(((c_TMAP1OUT)-(0))&gt;=0,1,-1)*QUOTIENT(((c_TMAP1IN)-(c_TFWD)),2))+2147483648,4294967296)-2147483648,((c_TMAP1IN)-(c_TFWD))*(((A711)-(c_TFWD))*((c_TMAP1OUT)-(0))+IF(((c_TMAP1OUT)-(0))&gt;=0,1,-1)*QUOTIENT(((c_TMAP1IN)-(c_TFWD)),2)))&gt;=0,1,0)))</f>
        <v>541</v>
      </c>
      <c r="E711" s="7" t="n">
        <f aca="false">IF(((c_TMAP2IN)-(c_TMAP1IN))=0,(c_TMAP1OUT)+QUOTIENT(((c_TMAP2OUT)-(c_TMAP1OUT)),2),QUOTIENT((((A711)-(c_TMAP1IN))*((c_TMAP2OUT)-(c_TMAP1OUT))+IF(((c_TMAP2OUT)-(c_TMAP1OUT))&gt;=0,1,-1)*QUOTIENT(((c_TMAP2IN)-(c_TMAP1IN)),2)),((c_TMAP2IN)-(c_TMAP1IN)))+(c_TMAP1OUT)+IF(((c_TMAP2OUT)-(c_TMAP1OUT))&gt;=0,IF(IF(o_WRAP=1,MOD(((c_TMAP2IN)-(c_TMAP1IN))*(((A711)-(c_TMAP1IN))*((c_TMAP2OUT)-(c_TMAP1OUT))+IF(((c_TMAP2OUT)-(c_TMAP1OUT))&gt;=0,1,-1)*QUOTIENT(((c_TMAP2IN)-(c_TMAP1IN)),2))+2147483648,4294967296)-2147483648,((c_TMAP2IN)-(c_TMAP1IN))*(((A711)-(c_TMAP1IN))*((c_TMAP2OUT)-(c_TMAP1OUT))+IF(((c_TMAP2OUT)-(c_TMAP1OUT))&gt;=0,1,-1)*QUOTIENT(((c_TMAP2IN)-(c_TMAP1IN)),2)))&lt;0,-1,0),IF(IF(o_WRAP=1,MOD(((c_TMAP2IN)-(c_TMAP1IN))*(((A711)-(c_TMAP1IN))*((c_TMAP2OUT)-(c_TMAP1OUT))+IF(((c_TMAP2OUT)-(c_TMAP1OUT))&gt;=0,1,-1)*QUOTIENT(((c_TMAP2IN)-(c_TMAP1IN)),2))+2147483648,4294967296)-2147483648,((c_TMAP2IN)-(c_TMAP1IN))*(((A711)-(c_TMAP1IN))*((c_TMAP2OUT)-(c_TMAP1OUT))+IF(((c_TMAP2OUT)-(c_TMAP1OUT))&gt;=0,1,-1)*QUOTIENT(((c_TMAP2IN)-(c_TMAP1IN)),2)))&gt;=0,1,0)))</f>
        <v>312</v>
      </c>
      <c r="F711" s="7" t="n">
        <f aca="false">IF(((c_TMAP3IN)-(c_TMAP2IN))=0,(c_TMAP2OUT)+QUOTIENT(((c_TMAP3OUT)-(c_TMAP2OUT)),2),QUOTIENT((((A711)-(c_TMAP2IN))*((c_TMAP3OUT)-(c_TMAP2OUT))+IF(((c_TMAP3OUT)-(c_TMAP2OUT))&gt;=0,1,-1)*QUOTIENT(((c_TMAP3IN)-(c_TMAP2IN)),2)),((c_TMAP3IN)-(c_TMAP2IN)))+(c_TMAP2OUT)+IF(((c_TMAP3OUT)-(c_TMAP2OUT))&gt;=0,IF(IF(o_WRAP=1,MOD(((c_TMAP3IN)-(c_TMAP2IN))*(((A711)-(c_TMAP2IN))*((c_TMAP3OUT)-(c_TMAP2OUT))+IF(((c_TMAP3OUT)-(c_TMAP2OUT))&gt;=0,1,-1)*QUOTIENT(((c_TMAP3IN)-(c_TMAP2IN)),2))+2147483648,4294967296)-2147483648,((c_TMAP3IN)-(c_TMAP2IN))*(((A711)-(c_TMAP2IN))*((c_TMAP3OUT)-(c_TMAP2OUT))+IF(((c_TMAP3OUT)-(c_TMAP2OUT))&gt;=0,1,-1)*QUOTIENT(((c_TMAP3IN)-(c_TMAP2IN)),2)))&lt;0,-1,0),IF(IF(o_WRAP=1,MOD(((c_TMAP3IN)-(c_TMAP2IN))*(((A711)-(c_TMAP2IN))*((c_TMAP3OUT)-(c_TMAP2OUT))+IF(((c_TMAP3OUT)-(c_TMAP2OUT))&gt;=0,1,-1)*QUOTIENT(((c_TMAP3IN)-(c_TMAP2IN)),2))+2147483648,4294967296)-2147483648,((c_TMAP3IN)-(c_TMAP2IN))*(((A711)-(c_TMAP2IN))*((c_TMAP3OUT)-(c_TMAP2OUT))+IF(((c_TMAP3OUT)-(c_TMAP2OUT))&gt;=0,1,-1)*QUOTIENT(((c_TMAP3IN)-(c_TMAP2IN)),2)))&gt;=0,1,0)))</f>
        <v>449</v>
      </c>
      <c r="G711" s="7" t="n">
        <f aca="false">IF(((1000)-(c_TMAP3IN))=0,(c_TMAP3OUT)+QUOTIENT(((1000)-(c_TMAP3OUT)),2),QUOTIENT((((A711)-(c_TMAP3IN))*((1000)-(c_TMAP3OUT))+IF(((1000)-(c_TMAP3OUT))&gt;=0,1,-1)*QUOTIENT(((1000)-(c_TMAP3IN)),2)),((1000)-(c_TMAP3IN)))+(c_TMAP3OUT)+IF(((1000)-(c_TMAP3OUT))&gt;=0,IF(IF(o_WRAP=1,MOD(((1000)-(c_TMAP3IN))*(((A711)-(c_TMAP3IN))*((1000)-(c_TMAP3OUT))+IF(((1000)-(c_TMAP3OUT))&gt;=0,1,-1)*QUOTIENT(((1000)-(c_TMAP3IN)),2))+2147483648,4294967296)-2147483648,((1000)-(c_TMAP3IN))*(((A711)-(c_TMAP3IN))*((1000)-(c_TMAP3OUT))+IF(((1000)-(c_TMAP3OUT))&gt;=0,1,-1)*QUOTIENT(((1000)-(c_TMAP3IN)),2)))&lt;0,-1,0),IF(IF(o_WRAP=1,MOD(((1000)-(c_TMAP3IN))*(((A711)-(c_TMAP3IN))*((1000)-(c_TMAP3OUT))+IF(((1000)-(c_TMAP3OUT))&gt;=0,1,-1)*QUOTIENT(((1000)-(c_TMAP3IN)),2))+2147483648,4294967296)-2147483648,((1000)-(c_TMAP3IN))*(((A711)-(c_TMAP3IN))*((1000)-(c_TMAP3OUT))+IF(((1000)-(c_TMAP3OUT))&gt;=0,1,-1)*QUOTIENT(((1000)-(c_TMAP3IN)),2)))&gt;=0,1,0)))</f>
        <v>638</v>
      </c>
      <c r="H711" s="7" t="str">
        <f aca="false">IF(A711&gt;=c_TFWD,IF(AND(A711&gt;=c_TMAP3IN,c_TMAP3IN&lt;1000),"Seg4 map3-100%",IF(AND(A711&gt;=c_TMAP2IN,c_TMAP3IN&gt;c_TMAP2IN),"Seg3 map2-map3",IF(AND(A711&gt;=c_TMAP1IN,c_TMAP2IN&gt;c_TMAP1IN),"Seg2 map1-map2","Seg1 TFWD-map1"))),IF(AND(A711=0,c_TCREEP&gt;0),"Creep",IF(AND(A711&lt;=c_TRNGMIN,A711&gt;=c_TRNGMAX,c_TRNGMIN-c_TRNGMAX&lt;&gt;0),"Regen ramp","Coast (0)")))</f>
        <v>Seg4 map3-100%</v>
      </c>
      <c r="I711" s="7" t="n">
        <f aca="false">IF(A711&gt;=c_TFWD,IF(AND(A711&gt;=c_TMAP3IN,c_TMAP3IN&lt;1000),G711,IF(AND(A711&gt;=c_TMAP2IN,c_TMAP3IN&gt;c_TMAP2IN),F711,IF(AND(A711&gt;=c_TMAP1IN,c_TMAP2IN&gt;c_TMAP1IN),E711,D711))),C711)</f>
        <v>638</v>
      </c>
      <c r="J711" s="7" t="str">
        <f aca="false">IF(I711&lt;-1090,"TOO LOW",IF(I711&gt;1090,"TOO HIGH",""))</f>
        <v/>
      </c>
      <c r="K711" s="15" t="n">
        <f aca="false">IF(J711&lt;&gt;"",0,IF(I711&gt;979,1000,I711))</f>
        <v>638</v>
      </c>
      <c r="L711" s="7" t="n">
        <f aca="false">K711/10</f>
        <v>63.8</v>
      </c>
    </row>
    <row r="712" customFormat="false" ht="15" hidden="false" customHeight="false" outlineLevel="0" collapsed="false">
      <c r="A712" s="7" t="n">
        <v>707</v>
      </c>
      <c r="B712" s="7" t="n">
        <f aca="false">A712/10</f>
        <v>70.7</v>
      </c>
      <c r="C712" s="7" t="n">
        <f aca="false">IF(AND(A712=0,c_TCREEP&gt;0),10*c_TCREEP,IF(AND(A712&lt;=c_TRNGMIN,A712&gt;=c_TRNGMAX,c_TRNGMIN-c_TRNGMAX&lt;&gt;0),-10*c_TMINRN+QUOTIENT((c_TMAXRN-c_TMINRN)*(100-QUOTIENT((A712-c_TRNGMAX)*100,c_TRNGMIN-c_TRNGMAX)),-10),0))</f>
        <v>0</v>
      </c>
      <c r="D712" s="7" t="n">
        <f aca="false">IF(((c_TMAP1IN)-(c_TFWD))=0,(0)+QUOTIENT(((c_TMAP1OUT)-(0)),2),QUOTIENT((((A712)-(c_TFWD))*((c_TMAP1OUT)-(0))+IF(((c_TMAP1OUT)-(0))&gt;=0,1,-1)*QUOTIENT(((c_TMAP1IN)-(c_TFWD)),2)),((c_TMAP1IN)-(c_TFWD)))+(0)+IF(((c_TMAP1OUT)-(0))&gt;=0,IF(IF(o_WRAP=1,MOD(((c_TMAP1IN)-(c_TFWD))*(((A712)-(c_TFWD))*((c_TMAP1OUT)-(0))+IF(((c_TMAP1OUT)-(0))&gt;=0,1,-1)*QUOTIENT(((c_TMAP1IN)-(c_TFWD)),2))+2147483648,4294967296)-2147483648,((c_TMAP1IN)-(c_TFWD))*(((A712)-(c_TFWD))*((c_TMAP1OUT)-(0))+IF(((c_TMAP1OUT)-(0))&gt;=0,1,-1)*QUOTIENT(((c_TMAP1IN)-(c_TFWD)),2)))&lt;0,-1,0),IF(IF(o_WRAP=1,MOD(((c_TMAP1IN)-(c_TFWD))*(((A712)-(c_TFWD))*((c_TMAP1OUT)-(0))+IF(((c_TMAP1OUT)-(0))&gt;=0,1,-1)*QUOTIENT(((c_TMAP1IN)-(c_TFWD)),2))+2147483648,4294967296)-2147483648,((c_TMAP1IN)-(c_TFWD))*(((A712)-(c_TFWD))*((c_TMAP1OUT)-(0))+IF(((c_TMAP1OUT)-(0))&gt;=0,1,-1)*QUOTIENT(((c_TMAP1IN)-(c_TFWD)),2)))&gt;=0,1,0)))</f>
        <v>542</v>
      </c>
      <c r="E712" s="7" t="n">
        <f aca="false">IF(((c_TMAP2IN)-(c_TMAP1IN))=0,(c_TMAP1OUT)+QUOTIENT(((c_TMAP2OUT)-(c_TMAP1OUT)),2),QUOTIENT((((A712)-(c_TMAP1IN))*((c_TMAP2OUT)-(c_TMAP1OUT))+IF(((c_TMAP2OUT)-(c_TMAP1OUT))&gt;=0,1,-1)*QUOTIENT(((c_TMAP2IN)-(c_TMAP1IN)),2)),((c_TMAP2IN)-(c_TMAP1IN)))+(c_TMAP1OUT)+IF(((c_TMAP2OUT)-(c_TMAP1OUT))&gt;=0,IF(IF(o_WRAP=1,MOD(((c_TMAP2IN)-(c_TMAP1IN))*(((A712)-(c_TMAP1IN))*((c_TMAP2OUT)-(c_TMAP1OUT))+IF(((c_TMAP2OUT)-(c_TMAP1OUT))&gt;=0,1,-1)*QUOTIENT(((c_TMAP2IN)-(c_TMAP1IN)),2))+2147483648,4294967296)-2147483648,((c_TMAP2IN)-(c_TMAP1IN))*(((A712)-(c_TMAP1IN))*((c_TMAP2OUT)-(c_TMAP1OUT))+IF(((c_TMAP2OUT)-(c_TMAP1OUT))&gt;=0,1,-1)*QUOTIENT(((c_TMAP2IN)-(c_TMAP1IN)),2)))&lt;0,-1,0),IF(IF(o_WRAP=1,MOD(((c_TMAP2IN)-(c_TMAP1IN))*(((A712)-(c_TMAP1IN))*((c_TMAP2OUT)-(c_TMAP1OUT))+IF(((c_TMAP2OUT)-(c_TMAP1OUT))&gt;=0,1,-1)*QUOTIENT(((c_TMAP2IN)-(c_TMAP1IN)),2))+2147483648,4294967296)-2147483648,((c_TMAP2IN)-(c_TMAP1IN))*(((A712)-(c_TMAP1IN))*((c_TMAP2OUT)-(c_TMAP1OUT))+IF(((c_TMAP2OUT)-(c_TMAP1OUT))&gt;=0,1,-1)*QUOTIENT(((c_TMAP2IN)-(c_TMAP1IN)),2)))&gt;=0,1,0)))</f>
        <v>313</v>
      </c>
      <c r="F712" s="7" t="n">
        <f aca="false">IF(((c_TMAP3IN)-(c_TMAP2IN))=0,(c_TMAP2OUT)+QUOTIENT(((c_TMAP3OUT)-(c_TMAP2OUT)),2),QUOTIENT((((A712)-(c_TMAP2IN))*((c_TMAP3OUT)-(c_TMAP2OUT))+IF(((c_TMAP3OUT)-(c_TMAP2OUT))&gt;=0,1,-1)*QUOTIENT(((c_TMAP3IN)-(c_TMAP2IN)),2)),((c_TMAP3IN)-(c_TMAP2IN)))+(c_TMAP2OUT)+IF(((c_TMAP3OUT)-(c_TMAP2OUT))&gt;=0,IF(IF(o_WRAP=1,MOD(((c_TMAP3IN)-(c_TMAP2IN))*(((A712)-(c_TMAP2IN))*((c_TMAP3OUT)-(c_TMAP2OUT))+IF(((c_TMAP3OUT)-(c_TMAP2OUT))&gt;=0,1,-1)*QUOTIENT(((c_TMAP3IN)-(c_TMAP2IN)),2))+2147483648,4294967296)-2147483648,((c_TMAP3IN)-(c_TMAP2IN))*(((A712)-(c_TMAP2IN))*((c_TMAP3OUT)-(c_TMAP2OUT))+IF(((c_TMAP3OUT)-(c_TMAP2OUT))&gt;=0,1,-1)*QUOTIENT(((c_TMAP3IN)-(c_TMAP2IN)),2)))&lt;0,-1,0),IF(IF(o_WRAP=1,MOD(((c_TMAP3IN)-(c_TMAP2IN))*(((A712)-(c_TMAP2IN))*((c_TMAP3OUT)-(c_TMAP2OUT))+IF(((c_TMAP3OUT)-(c_TMAP2OUT))&gt;=0,1,-1)*QUOTIENT(((c_TMAP3IN)-(c_TMAP2IN)),2))+2147483648,4294967296)-2147483648,((c_TMAP3IN)-(c_TMAP2IN))*(((A712)-(c_TMAP2IN))*((c_TMAP3OUT)-(c_TMAP2OUT))+IF(((c_TMAP3OUT)-(c_TMAP2OUT))&gt;=0,1,-1)*QUOTIENT(((c_TMAP3IN)-(c_TMAP2IN)),2)))&gt;=0,1,0)))</f>
        <v>450</v>
      </c>
      <c r="G712" s="7" t="n">
        <f aca="false">IF(((1000)-(c_TMAP3IN))=0,(c_TMAP3OUT)+QUOTIENT(((1000)-(c_TMAP3OUT)),2),QUOTIENT((((A712)-(c_TMAP3IN))*((1000)-(c_TMAP3OUT))+IF(((1000)-(c_TMAP3OUT))&gt;=0,1,-1)*QUOTIENT(((1000)-(c_TMAP3IN)),2)),((1000)-(c_TMAP3IN)))+(c_TMAP3OUT)+IF(((1000)-(c_TMAP3OUT))&gt;=0,IF(IF(o_WRAP=1,MOD(((1000)-(c_TMAP3IN))*(((A712)-(c_TMAP3IN))*((1000)-(c_TMAP3OUT))+IF(((1000)-(c_TMAP3OUT))&gt;=0,1,-1)*QUOTIENT(((1000)-(c_TMAP3IN)),2))+2147483648,4294967296)-2147483648,((1000)-(c_TMAP3IN))*(((A712)-(c_TMAP3IN))*((1000)-(c_TMAP3OUT))+IF(((1000)-(c_TMAP3OUT))&gt;=0,1,-1)*QUOTIENT(((1000)-(c_TMAP3IN)),2)))&lt;0,-1,0),IF(IF(o_WRAP=1,MOD(((1000)-(c_TMAP3IN))*(((A712)-(c_TMAP3IN))*((1000)-(c_TMAP3OUT))+IF(((1000)-(c_TMAP3OUT))&gt;=0,1,-1)*QUOTIENT(((1000)-(c_TMAP3IN)),2))+2147483648,4294967296)-2147483648,((1000)-(c_TMAP3IN))*(((A712)-(c_TMAP3IN))*((1000)-(c_TMAP3OUT))+IF(((1000)-(c_TMAP3OUT))&gt;=0,1,-1)*QUOTIENT(((1000)-(c_TMAP3IN)),2)))&gt;=0,1,0)))</f>
        <v>639</v>
      </c>
      <c r="H712" s="7" t="str">
        <f aca="false">IF(A712&gt;=c_TFWD,IF(AND(A712&gt;=c_TMAP3IN,c_TMAP3IN&lt;1000),"Seg4 map3-100%",IF(AND(A712&gt;=c_TMAP2IN,c_TMAP3IN&gt;c_TMAP2IN),"Seg3 map2-map3",IF(AND(A712&gt;=c_TMAP1IN,c_TMAP2IN&gt;c_TMAP1IN),"Seg2 map1-map2","Seg1 TFWD-map1"))),IF(AND(A712=0,c_TCREEP&gt;0),"Creep",IF(AND(A712&lt;=c_TRNGMIN,A712&gt;=c_TRNGMAX,c_TRNGMIN-c_TRNGMAX&lt;&gt;0),"Regen ramp","Coast (0)")))</f>
        <v>Seg4 map3-100%</v>
      </c>
      <c r="I712" s="7" t="n">
        <f aca="false">IF(A712&gt;=c_TFWD,IF(AND(A712&gt;=c_TMAP3IN,c_TMAP3IN&lt;1000),G712,IF(AND(A712&gt;=c_TMAP2IN,c_TMAP3IN&gt;c_TMAP2IN),F712,IF(AND(A712&gt;=c_TMAP1IN,c_TMAP2IN&gt;c_TMAP1IN),E712,D712))),C712)</f>
        <v>639</v>
      </c>
      <c r="J712" s="7" t="str">
        <f aca="false">IF(I712&lt;-1090,"TOO LOW",IF(I712&gt;1090,"TOO HIGH",""))</f>
        <v/>
      </c>
      <c r="K712" s="15" t="n">
        <f aca="false">IF(J712&lt;&gt;"",0,IF(I712&gt;979,1000,I712))</f>
        <v>639</v>
      </c>
      <c r="L712" s="7" t="n">
        <f aca="false">K712/10</f>
        <v>63.9</v>
      </c>
    </row>
    <row r="713" customFormat="false" ht="15" hidden="false" customHeight="false" outlineLevel="0" collapsed="false">
      <c r="A713" s="7" t="n">
        <v>708</v>
      </c>
      <c r="B713" s="7" t="n">
        <f aca="false">A713/10</f>
        <v>70.8</v>
      </c>
      <c r="C713" s="7" t="n">
        <f aca="false">IF(AND(A713=0,c_TCREEP&gt;0),10*c_TCREEP,IF(AND(A713&lt;=c_TRNGMIN,A713&gt;=c_TRNGMAX,c_TRNGMIN-c_TRNGMAX&lt;&gt;0),-10*c_TMINRN+QUOTIENT((c_TMAXRN-c_TMINRN)*(100-QUOTIENT((A713-c_TRNGMAX)*100,c_TRNGMIN-c_TRNGMAX)),-10),0))</f>
        <v>0</v>
      </c>
      <c r="D713" s="7" t="n">
        <f aca="false">IF(((c_TMAP1IN)-(c_TFWD))=0,(0)+QUOTIENT(((c_TMAP1OUT)-(0)),2),QUOTIENT((((A713)-(c_TFWD))*((c_TMAP1OUT)-(0))+IF(((c_TMAP1OUT)-(0))&gt;=0,1,-1)*QUOTIENT(((c_TMAP1IN)-(c_TFWD)),2)),((c_TMAP1IN)-(c_TFWD)))+(0)+IF(((c_TMAP1OUT)-(0))&gt;=0,IF(IF(o_WRAP=1,MOD(((c_TMAP1IN)-(c_TFWD))*(((A713)-(c_TFWD))*((c_TMAP1OUT)-(0))+IF(((c_TMAP1OUT)-(0))&gt;=0,1,-1)*QUOTIENT(((c_TMAP1IN)-(c_TFWD)),2))+2147483648,4294967296)-2147483648,((c_TMAP1IN)-(c_TFWD))*(((A713)-(c_TFWD))*((c_TMAP1OUT)-(0))+IF(((c_TMAP1OUT)-(0))&gt;=0,1,-1)*QUOTIENT(((c_TMAP1IN)-(c_TFWD)),2)))&lt;0,-1,0),IF(IF(o_WRAP=1,MOD(((c_TMAP1IN)-(c_TFWD))*(((A713)-(c_TFWD))*((c_TMAP1OUT)-(0))+IF(((c_TMAP1OUT)-(0))&gt;=0,1,-1)*QUOTIENT(((c_TMAP1IN)-(c_TFWD)),2))+2147483648,4294967296)-2147483648,((c_TMAP1IN)-(c_TFWD))*(((A713)-(c_TFWD))*((c_TMAP1OUT)-(0))+IF(((c_TMAP1OUT)-(0))&gt;=0,1,-1)*QUOTIENT(((c_TMAP1IN)-(c_TFWD)),2)))&gt;=0,1,0)))</f>
        <v>543</v>
      </c>
      <c r="E713" s="7" t="n">
        <f aca="false">IF(((c_TMAP2IN)-(c_TMAP1IN))=0,(c_TMAP1OUT)+QUOTIENT(((c_TMAP2OUT)-(c_TMAP1OUT)),2),QUOTIENT((((A713)-(c_TMAP1IN))*((c_TMAP2OUT)-(c_TMAP1OUT))+IF(((c_TMAP2OUT)-(c_TMAP1OUT))&gt;=0,1,-1)*QUOTIENT(((c_TMAP2IN)-(c_TMAP1IN)),2)),((c_TMAP2IN)-(c_TMAP1IN)))+(c_TMAP1OUT)+IF(((c_TMAP2OUT)-(c_TMAP1OUT))&gt;=0,IF(IF(o_WRAP=1,MOD(((c_TMAP2IN)-(c_TMAP1IN))*(((A713)-(c_TMAP1IN))*((c_TMAP2OUT)-(c_TMAP1OUT))+IF(((c_TMAP2OUT)-(c_TMAP1OUT))&gt;=0,1,-1)*QUOTIENT(((c_TMAP2IN)-(c_TMAP1IN)),2))+2147483648,4294967296)-2147483648,((c_TMAP2IN)-(c_TMAP1IN))*(((A713)-(c_TMAP1IN))*((c_TMAP2OUT)-(c_TMAP1OUT))+IF(((c_TMAP2OUT)-(c_TMAP1OUT))&gt;=0,1,-1)*QUOTIENT(((c_TMAP2IN)-(c_TMAP1IN)),2)))&lt;0,-1,0),IF(IF(o_WRAP=1,MOD(((c_TMAP2IN)-(c_TMAP1IN))*(((A713)-(c_TMAP1IN))*((c_TMAP2OUT)-(c_TMAP1OUT))+IF(((c_TMAP2OUT)-(c_TMAP1OUT))&gt;=0,1,-1)*QUOTIENT(((c_TMAP2IN)-(c_TMAP1IN)),2))+2147483648,4294967296)-2147483648,((c_TMAP2IN)-(c_TMAP1IN))*(((A713)-(c_TMAP1IN))*((c_TMAP2OUT)-(c_TMAP1OUT))+IF(((c_TMAP2OUT)-(c_TMAP1OUT))&gt;=0,1,-1)*QUOTIENT(((c_TMAP2IN)-(c_TMAP1IN)),2)))&gt;=0,1,0)))</f>
        <v>313</v>
      </c>
      <c r="F713" s="7" t="n">
        <f aca="false">IF(((c_TMAP3IN)-(c_TMAP2IN))=0,(c_TMAP2OUT)+QUOTIENT(((c_TMAP3OUT)-(c_TMAP2OUT)),2),QUOTIENT((((A713)-(c_TMAP2IN))*((c_TMAP3OUT)-(c_TMAP2OUT))+IF(((c_TMAP3OUT)-(c_TMAP2OUT))&gt;=0,1,-1)*QUOTIENT(((c_TMAP3IN)-(c_TMAP2IN)),2)),((c_TMAP3IN)-(c_TMAP2IN)))+(c_TMAP2OUT)+IF(((c_TMAP3OUT)-(c_TMAP2OUT))&gt;=0,IF(IF(o_WRAP=1,MOD(((c_TMAP3IN)-(c_TMAP2IN))*(((A713)-(c_TMAP2IN))*((c_TMAP3OUT)-(c_TMAP2OUT))+IF(((c_TMAP3OUT)-(c_TMAP2OUT))&gt;=0,1,-1)*QUOTIENT(((c_TMAP3IN)-(c_TMAP2IN)),2))+2147483648,4294967296)-2147483648,((c_TMAP3IN)-(c_TMAP2IN))*(((A713)-(c_TMAP2IN))*((c_TMAP3OUT)-(c_TMAP2OUT))+IF(((c_TMAP3OUT)-(c_TMAP2OUT))&gt;=0,1,-1)*QUOTIENT(((c_TMAP3IN)-(c_TMAP2IN)),2)))&lt;0,-1,0),IF(IF(o_WRAP=1,MOD(((c_TMAP3IN)-(c_TMAP2IN))*(((A713)-(c_TMAP2IN))*((c_TMAP3OUT)-(c_TMAP2OUT))+IF(((c_TMAP3OUT)-(c_TMAP2OUT))&gt;=0,1,-1)*QUOTIENT(((c_TMAP3IN)-(c_TMAP2IN)),2))+2147483648,4294967296)-2147483648,((c_TMAP3IN)-(c_TMAP2IN))*(((A713)-(c_TMAP2IN))*((c_TMAP3OUT)-(c_TMAP2OUT))+IF(((c_TMAP3OUT)-(c_TMAP2OUT))&gt;=0,1,-1)*QUOTIENT(((c_TMAP3IN)-(c_TMAP2IN)),2)))&gt;=0,1,0)))</f>
        <v>451</v>
      </c>
      <c r="G713" s="7" t="n">
        <f aca="false">IF(((1000)-(c_TMAP3IN))=0,(c_TMAP3OUT)+QUOTIENT(((1000)-(c_TMAP3OUT)),2),QUOTIENT((((A713)-(c_TMAP3IN))*((1000)-(c_TMAP3OUT))+IF(((1000)-(c_TMAP3OUT))&gt;=0,1,-1)*QUOTIENT(((1000)-(c_TMAP3IN)),2)),((1000)-(c_TMAP3IN)))+(c_TMAP3OUT)+IF(((1000)-(c_TMAP3OUT))&gt;=0,IF(IF(o_WRAP=1,MOD(((1000)-(c_TMAP3IN))*(((A713)-(c_TMAP3IN))*((1000)-(c_TMAP3OUT))+IF(((1000)-(c_TMAP3OUT))&gt;=0,1,-1)*QUOTIENT(((1000)-(c_TMAP3IN)),2))+2147483648,4294967296)-2147483648,((1000)-(c_TMAP3IN))*(((A713)-(c_TMAP3IN))*((1000)-(c_TMAP3OUT))+IF(((1000)-(c_TMAP3OUT))&gt;=0,1,-1)*QUOTIENT(((1000)-(c_TMAP3IN)),2)))&lt;0,-1,0),IF(IF(o_WRAP=1,MOD(((1000)-(c_TMAP3IN))*(((A713)-(c_TMAP3IN))*((1000)-(c_TMAP3OUT))+IF(((1000)-(c_TMAP3OUT))&gt;=0,1,-1)*QUOTIENT(((1000)-(c_TMAP3IN)),2))+2147483648,4294967296)-2147483648,((1000)-(c_TMAP3IN))*(((A713)-(c_TMAP3IN))*((1000)-(c_TMAP3OUT))+IF(((1000)-(c_TMAP3OUT))&gt;=0,1,-1)*QUOTIENT(((1000)-(c_TMAP3IN)),2)))&gt;=0,1,0)))</f>
        <v>641</v>
      </c>
      <c r="H713" s="7" t="str">
        <f aca="false">IF(A713&gt;=c_TFWD,IF(AND(A713&gt;=c_TMAP3IN,c_TMAP3IN&lt;1000),"Seg4 map3-100%",IF(AND(A713&gt;=c_TMAP2IN,c_TMAP3IN&gt;c_TMAP2IN),"Seg3 map2-map3",IF(AND(A713&gt;=c_TMAP1IN,c_TMAP2IN&gt;c_TMAP1IN),"Seg2 map1-map2","Seg1 TFWD-map1"))),IF(AND(A713=0,c_TCREEP&gt;0),"Creep",IF(AND(A713&lt;=c_TRNGMIN,A713&gt;=c_TRNGMAX,c_TRNGMIN-c_TRNGMAX&lt;&gt;0),"Regen ramp","Coast (0)")))</f>
        <v>Seg4 map3-100%</v>
      </c>
      <c r="I713" s="7" t="n">
        <f aca="false">IF(A713&gt;=c_TFWD,IF(AND(A713&gt;=c_TMAP3IN,c_TMAP3IN&lt;1000),G713,IF(AND(A713&gt;=c_TMAP2IN,c_TMAP3IN&gt;c_TMAP2IN),F713,IF(AND(A713&gt;=c_TMAP1IN,c_TMAP2IN&gt;c_TMAP1IN),E713,D713))),C713)</f>
        <v>641</v>
      </c>
      <c r="J713" s="7" t="str">
        <f aca="false">IF(I713&lt;-1090,"TOO LOW",IF(I713&gt;1090,"TOO HIGH",""))</f>
        <v/>
      </c>
      <c r="K713" s="15" t="n">
        <f aca="false">IF(J713&lt;&gt;"",0,IF(I713&gt;979,1000,I713))</f>
        <v>641</v>
      </c>
      <c r="L713" s="7" t="n">
        <f aca="false">K713/10</f>
        <v>64.1</v>
      </c>
    </row>
    <row r="714" customFormat="false" ht="15" hidden="false" customHeight="false" outlineLevel="0" collapsed="false">
      <c r="A714" s="7" t="n">
        <v>709</v>
      </c>
      <c r="B714" s="7" t="n">
        <f aca="false">A714/10</f>
        <v>70.9</v>
      </c>
      <c r="C714" s="7" t="n">
        <f aca="false">IF(AND(A714=0,c_TCREEP&gt;0),10*c_TCREEP,IF(AND(A714&lt;=c_TRNGMIN,A714&gt;=c_TRNGMAX,c_TRNGMIN-c_TRNGMAX&lt;&gt;0),-10*c_TMINRN+QUOTIENT((c_TMAXRN-c_TMINRN)*(100-QUOTIENT((A714-c_TRNGMAX)*100,c_TRNGMIN-c_TRNGMAX)),-10),0))</f>
        <v>0</v>
      </c>
      <c r="D714" s="7" t="n">
        <f aca="false">IF(((c_TMAP1IN)-(c_TFWD))=0,(0)+QUOTIENT(((c_TMAP1OUT)-(0)),2),QUOTIENT((((A714)-(c_TFWD))*((c_TMAP1OUT)-(0))+IF(((c_TMAP1OUT)-(0))&gt;=0,1,-1)*QUOTIENT(((c_TMAP1IN)-(c_TFWD)),2)),((c_TMAP1IN)-(c_TFWD)))+(0)+IF(((c_TMAP1OUT)-(0))&gt;=0,IF(IF(o_WRAP=1,MOD(((c_TMAP1IN)-(c_TFWD))*(((A714)-(c_TFWD))*((c_TMAP1OUT)-(0))+IF(((c_TMAP1OUT)-(0))&gt;=0,1,-1)*QUOTIENT(((c_TMAP1IN)-(c_TFWD)),2))+2147483648,4294967296)-2147483648,((c_TMAP1IN)-(c_TFWD))*(((A714)-(c_TFWD))*((c_TMAP1OUT)-(0))+IF(((c_TMAP1OUT)-(0))&gt;=0,1,-1)*QUOTIENT(((c_TMAP1IN)-(c_TFWD)),2)))&lt;0,-1,0),IF(IF(o_WRAP=1,MOD(((c_TMAP1IN)-(c_TFWD))*(((A714)-(c_TFWD))*((c_TMAP1OUT)-(0))+IF(((c_TMAP1OUT)-(0))&gt;=0,1,-1)*QUOTIENT(((c_TMAP1IN)-(c_TFWD)),2))+2147483648,4294967296)-2147483648,((c_TMAP1IN)-(c_TFWD))*(((A714)-(c_TFWD))*((c_TMAP1OUT)-(0))+IF(((c_TMAP1OUT)-(0))&gt;=0,1,-1)*QUOTIENT(((c_TMAP1IN)-(c_TFWD)),2)))&gt;=0,1,0)))</f>
        <v>544</v>
      </c>
      <c r="E714" s="7" t="n">
        <f aca="false">IF(((c_TMAP2IN)-(c_TMAP1IN))=0,(c_TMAP1OUT)+QUOTIENT(((c_TMAP2OUT)-(c_TMAP1OUT)),2),QUOTIENT((((A714)-(c_TMAP1IN))*((c_TMAP2OUT)-(c_TMAP1OUT))+IF(((c_TMAP2OUT)-(c_TMAP1OUT))&gt;=0,1,-1)*QUOTIENT(((c_TMAP2IN)-(c_TMAP1IN)),2)),((c_TMAP2IN)-(c_TMAP1IN)))+(c_TMAP1OUT)+IF(((c_TMAP2OUT)-(c_TMAP1OUT))&gt;=0,IF(IF(o_WRAP=1,MOD(((c_TMAP2IN)-(c_TMAP1IN))*(((A714)-(c_TMAP1IN))*((c_TMAP2OUT)-(c_TMAP1OUT))+IF(((c_TMAP2OUT)-(c_TMAP1OUT))&gt;=0,1,-1)*QUOTIENT(((c_TMAP2IN)-(c_TMAP1IN)),2))+2147483648,4294967296)-2147483648,((c_TMAP2IN)-(c_TMAP1IN))*(((A714)-(c_TMAP1IN))*((c_TMAP2OUT)-(c_TMAP1OUT))+IF(((c_TMAP2OUT)-(c_TMAP1OUT))&gt;=0,1,-1)*QUOTIENT(((c_TMAP2IN)-(c_TMAP1IN)),2)))&lt;0,-1,0),IF(IF(o_WRAP=1,MOD(((c_TMAP2IN)-(c_TMAP1IN))*(((A714)-(c_TMAP1IN))*((c_TMAP2OUT)-(c_TMAP1OUT))+IF(((c_TMAP2OUT)-(c_TMAP1OUT))&gt;=0,1,-1)*QUOTIENT(((c_TMAP2IN)-(c_TMAP1IN)),2))+2147483648,4294967296)-2147483648,((c_TMAP2IN)-(c_TMAP1IN))*(((A714)-(c_TMAP1IN))*((c_TMAP2OUT)-(c_TMAP1OUT))+IF(((c_TMAP2OUT)-(c_TMAP1OUT))&gt;=0,1,-1)*QUOTIENT(((c_TMAP2IN)-(c_TMAP1IN)),2)))&gt;=0,1,0)))</f>
        <v>314</v>
      </c>
      <c r="F714" s="7" t="n">
        <f aca="false">IF(((c_TMAP3IN)-(c_TMAP2IN))=0,(c_TMAP2OUT)+QUOTIENT(((c_TMAP3OUT)-(c_TMAP2OUT)),2),QUOTIENT((((A714)-(c_TMAP2IN))*((c_TMAP3OUT)-(c_TMAP2OUT))+IF(((c_TMAP3OUT)-(c_TMAP2OUT))&gt;=0,1,-1)*QUOTIENT(((c_TMAP3IN)-(c_TMAP2IN)),2)),((c_TMAP3IN)-(c_TMAP2IN)))+(c_TMAP2OUT)+IF(((c_TMAP3OUT)-(c_TMAP2OUT))&gt;=0,IF(IF(o_WRAP=1,MOD(((c_TMAP3IN)-(c_TMAP2IN))*(((A714)-(c_TMAP2IN))*((c_TMAP3OUT)-(c_TMAP2OUT))+IF(((c_TMAP3OUT)-(c_TMAP2OUT))&gt;=0,1,-1)*QUOTIENT(((c_TMAP3IN)-(c_TMAP2IN)),2))+2147483648,4294967296)-2147483648,((c_TMAP3IN)-(c_TMAP2IN))*(((A714)-(c_TMAP2IN))*((c_TMAP3OUT)-(c_TMAP2OUT))+IF(((c_TMAP3OUT)-(c_TMAP2OUT))&gt;=0,1,-1)*QUOTIENT(((c_TMAP3IN)-(c_TMAP2IN)),2)))&lt;0,-1,0),IF(IF(o_WRAP=1,MOD(((c_TMAP3IN)-(c_TMAP2IN))*(((A714)-(c_TMAP2IN))*((c_TMAP3OUT)-(c_TMAP2OUT))+IF(((c_TMAP3OUT)-(c_TMAP2OUT))&gt;=0,1,-1)*QUOTIENT(((c_TMAP3IN)-(c_TMAP2IN)),2))+2147483648,4294967296)-2147483648,((c_TMAP3IN)-(c_TMAP2IN))*(((A714)-(c_TMAP2IN))*((c_TMAP3OUT)-(c_TMAP2OUT))+IF(((c_TMAP3OUT)-(c_TMAP2OUT))&gt;=0,1,-1)*QUOTIENT(((c_TMAP3IN)-(c_TMAP2IN)),2)))&gt;=0,1,0)))</f>
        <v>451</v>
      </c>
      <c r="G714" s="7" t="n">
        <f aca="false">IF(((1000)-(c_TMAP3IN))=0,(c_TMAP3OUT)+QUOTIENT(((1000)-(c_TMAP3OUT)),2),QUOTIENT((((A714)-(c_TMAP3IN))*((1000)-(c_TMAP3OUT))+IF(((1000)-(c_TMAP3OUT))&gt;=0,1,-1)*QUOTIENT(((1000)-(c_TMAP3IN)),2)),((1000)-(c_TMAP3IN)))+(c_TMAP3OUT)+IF(((1000)-(c_TMAP3OUT))&gt;=0,IF(IF(o_WRAP=1,MOD(((1000)-(c_TMAP3IN))*(((A714)-(c_TMAP3IN))*((1000)-(c_TMAP3OUT))+IF(((1000)-(c_TMAP3OUT))&gt;=0,1,-1)*QUOTIENT(((1000)-(c_TMAP3IN)),2))+2147483648,4294967296)-2147483648,((1000)-(c_TMAP3IN))*(((A714)-(c_TMAP3IN))*((1000)-(c_TMAP3OUT))+IF(((1000)-(c_TMAP3OUT))&gt;=0,1,-1)*QUOTIENT(((1000)-(c_TMAP3IN)),2)))&lt;0,-1,0),IF(IF(o_WRAP=1,MOD(((1000)-(c_TMAP3IN))*(((A714)-(c_TMAP3IN))*((1000)-(c_TMAP3OUT))+IF(((1000)-(c_TMAP3OUT))&gt;=0,1,-1)*QUOTIENT(((1000)-(c_TMAP3IN)),2))+2147483648,4294967296)-2147483648,((1000)-(c_TMAP3IN))*(((A714)-(c_TMAP3IN))*((1000)-(c_TMAP3OUT))+IF(((1000)-(c_TMAP3OUT))&gt;=0,1,-1)*QUOTIENT(((1000)-(c_TMAP3IN)),2)))&gt;=0,1,0)))</f>
        <v>642</v>
      </c>
      <c r="H714" s="7" t="str">
        <f aca="false">IF(A714&gt;=c_TFWD,IF(AND(A714&gt;=c_TMAP3IN,c_TMAP3IN&lt;1000),"Seg4 map3-100%",IF(AND(A714&gt;=c_TMAP2IN,c_TMAP3IN&gt;c_TMAP2IN),"Seg3 map2-map3",IF(AND(A714&gt;=c_TMAP1IN,c_TMAP2IN&gt;c_TMAP1IN),"Seg2 map1-map2","Seg1 TFWD-map1"))),IF(AND(A714=0,c_TCREEP&gt;0),"Creep",IF(AND(A714&lt;=c_TRNGMIN,A714&gt;=c_TRNGMAX,c_TRNGMIN-c_TRNGMAX&lt;&gt;0),"Regen ramp","Coast (0)")))</f>
        <v>Seg4 map3-100%</v>
      </c>
      <c r="I714" s="7" t="n">
        <f aca="false">IF(A714&gt;=c_TFWD,IF(AND(A714&gt;=c_TMAP3IN,c_TMAP3IN&lt;1000),G714,IF(AND(A714&gt;=c_TMAP2IN,c_TMAP3IN&gt;c_TMAP2IN),F714,IF(AND(A714&gt;=c_TMAP1IN,c_TMAP2IN&gt;c_TMAP1IN),E714,D714))),C714)</f>
        <v>642</v>
      </c>
      <c r="J714" s="7" t="str">
        <f aca="false">IF(I714&lt;-1090,"TOO LOW",IF(I714&gt;1090,"TOO HIGH",""))</f>
        <v/>
      </c>
      <c r="K714" s="15" t="n">
        <f aca="false">IF(J714&lt;&gt;"",0,IF(I714&gt;979,1000,I714))</f>
        <v>642</v>
      </c>
      <c r="L714" s="7" t="n">
        <f aca="false">K714/10</f>
        <v>64.2</v>
      </c>
    </row>
    <row r="715" customFormat="false" ht="15" hidden="false" customHeight="false" outlineLevel="0" collapsed="false">
      <c r="A715" s="7" t="n">
        <v>710</v>
      </c>
      <c r="B715" s="7" t="n">
        <f aca="false">A715/10</f>
        <v>71</v>
      </c>
      <c r="C715" s="7" t="n">
        <f aca="false">IF(AND(A715=0,c_TCREEP&gt;0),10*c_TCREEP,IF(AND(A715&lt;=c_TRNGMIN,A715&gt;=c_TRNGMAX,c_TRNGMIN-c_TRNGMAX&lt;&gt;0),-10*c_TMINRN+QUOTIENT((c_TMAXRN-c_TMINRN)*(100-QUOTIENT((A715-c_TRNGMAX)*100,c_TRNGMIN-c_TRNGMAX)),-10),0))</f>
        <v>0</v>
      </c>
      <c r="D715" s="7" t="n">
        <f aca="false">IF(((c_TMAP1IN)-(c_TFWD))=0,(0)+QUOTIENT(((c_TMAP1OUT)-(0)),2),QUOTIENT((((A715)-(c_TFWD))*((c_TMAP1OUT)-(0))+IF(((c_TMAP1OUT)-(0))&gt;=0,1,-1)*QUOTIENT(((c_TMAP1IN)-(c_TFWD)),2)),((c_TMAP1IN)-(c_TFWD)))+(0)+IF(((c_TMAP1OUT)-(0))&gt;=0,IF(IF(o_WRAP=1,MOD(((c_TMAP1IN)-(c_TFWD))*(((A715)-(c_TFWD))*((c_TMAP1OUT)-(0))+IF(((c_TMAP1OUT)-(0))&gt;=0,1,-1)*QUOTIENT(((c_TMAP1IN)-(c_TFWD)),2))+2147483648,4294967296)-2147483648,((c_TMAP1IN)-(c_TFWD))*(((A715)-(c_TFWD))*((c_TMAP1OUT)-(0))+IF(((c_TMAP1OUT)-(0))&gt;=0,1,-1)*QUOTIENT(((c_TMAP1IN)-(c_TFWD)),2)))&lt;0,-1,0),IF(IF(o_WRAP=1,MOD(((c_TMAP1IN)-(c_TFWD))*(((A715)-(c_TFWD))*((c_TMAP1OUT)-(0))+IF(((c_TMAP1OUT)-(0))&gt;=0,1,-1)*QUOTIENT(((c_TMAP1IN)-(c_TFWD)),2))+2147483648,4294967296)-2147483648,((c_TMAP1IN)-(c_TFWD))*(((A715)-(c_TFWD))*((c_TMAP1OUT)-(0))+IF(((c_TMAP1OUT)-(0))&gt;=0,1,-1)*QUOTIENT(((c_TMAP1IN)-(c_TFWD)),2)))&gt;=0,1,0)))</f>
        <v>544</v>
      </c>
      <c r="E715" s="7" t="n">
        <f aca="false">IF(((c_TMAP2IN)-(c_TMAP1IN))=0,(c_TMAP1OUT)+QUOTIENT(((c_TMAP2OUT)-(c_TMAP1OUT)),2),QUOTIENT((((A715)-(c_TMAP1IN))*((c_TMAP2OUT)-(c_TMAP1OUT))+IF(((c_TMAP2OUT)-(c_TMAP1OUT))&gt;=0,1,-1)*QUOTIENT(((c_TMAP2IN)-(c_TMAP1IN)),2)),((c_TMAP2IN)-(c_TMAP1IN)))+(c_TMAP1OUT)+IF(((c_TMAP2OUT)-(c_TMAP1OUT))&gt;=0,IF(IF(o_WRAP=1,MOD(((c_TMAP2IN)-(c_TMAP1IN))*(((A715)-(c_TMAP1IN))*((c_TMAP2OUT)-(c_TMAP1OUT))+IF(((c_TMAP2OUT)-(c_TMAP1OUT))&gt;=0,1,-1)*QUOTIENT(((c_TMAP2IN)-(c_TMAP1IN)),2))+2147483648,4294967296)-2147483648,((c_TMAP2IN)-(c_TMAP1IN))*(((A715)-(c_TMAP1IN))*((c_TMAP2OUT)-(c_TMAP1OUT))+IF(((c_TMAP2OUT)-(c_TMAP1OUT))&gt;=0,1,-1)*QUOTIENT(((c_TMAP2IN)-(c_TMAP1IN)),2)))&lt;0,-1,0),IF(IF(o_WRAP=1,MOD(((c_TMAP2IN)-(c_TMAP1IN))*(((A715)-(c_TMAP1IN))*((c_TMAP2OUT)-(c_TMAP1OUT))+IF(((c_TMAP2OUT)-(c_TMAP1OUT))&gt;=0,1,-1)*QUOTIENT(((c_TMAP2IN)-(c_TMAP1IN)),2))+2147483648,4294967296)-2147483648,((c_TMAP2IN)-(c_TMAP1IN))*(((A715)-(c_TMAP1IN))*((c_TMAP2OUT)-(c_TMAP1OUT))+IF(((c_TMAP2OUT)-(c_TMAP1OUT))&gt;=0,1,-1)*QUOTIENT(((c_TMAP2IN)-(c_TMAP1IN)),2)))&gt;=0,1,0)))</f>
        <v>314</v>
      </c>
      <c r="F715" s="7" t="n">
        <f aca="false">IF(((c_TMAP3IN)-(c_TMAP2IN))=0,(c_TMAP2OUT)+QUOTIENT(((c_TMAP3OUT)-(c_TMAP2OUT)),2),QUOTIENT((((A715)-(c_TMAP2IN))*((c_TMAP3OUT)-(c_TMAP2OUT))+IF(((c_TMAP3OUT)-(c_TMAP2OUT))&gt;=0,1,-1)*QUOTIENT(((c_TMAP3IN)-(c_TMAP2IN)),2)),((c_TMAP3IN)-(c_TMAP2IN)))+(c_TMAP2OUT)+IF(((c_TMAP3OUT)-(c_TMAP2OUT))&gt;=0,IF(IF(o_WRAP=1,MOD(((c_TMAP3IN)-(c_TMAP2IN))*(((A715)-(c_TMAP2IN))*((c_TMAP3OUT)-(c_TMAP2OUT))+IF(((c_TMAP3OUT)-(c_TMAP2OUT))&gt;=0,1,-1)*QUOTIENT(((c_TMAP3IN)-(c_TMAP2IN)),2))+2147483648,4294967296)-2147483648,((c_TMAP3IN)-(c_TMAP2IN))*(((A715)-(c_TMAP2IN))*((c_TMAP3OUT)-(c_TMAP2OUT))+IF(((c_TMAP3OUT)-(c_TMAP2OUT))&gt;=0,1,-1)*QUOTIENT(((c_TMAP3IN)-(c_TMAP2IN)),2)))&lt;0,-1,0),IF(IF(o_WRAP=1,MOD(((c_TMAP3IN)-(c_TMAP2IN))*(((A715)-(c_TMAP2IN))*((c_TMAP3OUT)-(c_TMAP2OUT))+IF(((c_TMAP3OUT)-(c_TMAP2OUT))&gt;=0,1,-1)*QUOTIENT(((c_TMAP3IN)-(c_TMAP2IN)),2))+2147483648,4294967296)-2147483648,((c_TMAP3IN)-(c_TMAP2IN))*(((A715)-(c_TMAP2IN))*((c_TMAP3OUT)-(c_TMAP2OUT))+IF(((c_TMAP3OUT)-(c_TMAP2OUT))&gt;=0,1,-1)*QUOTIENT(((c_TMAP3IN)-(c_TMAP2IN)),2)))&gt;=0,1,0)))</f>
        <v>452</v>
      </c>
      <c r="G715" s="7" t="n">
        <f aca="false">IF(((1000)-(c_TMAP3IN))=0,(c_TMAP3OUT)+QUOTIENT(((1000)-(c_TMAP3OUT)),2),QUOTIENT((((A715)-(c_TMAP3IN))*((1000)-(c_TMAP3OUT))+IF(((1000)-(c_TMAP3OUT))&gt;=0,1,-1)*QUOTIENT(((1000)-(c_TMAP3IN)),2)),((1000)-(c_TMAP3IN)))+(c_TMAP3OUT)+IF(((1000)-(c_TMAP3OUT))&gt;=0,IF(IF(o_WRAP=1,MOD(((1000)-(c_TMAP3IN))*(((A715)-(c_TMAP3IN))*((1000)-(c_TMAP3OUT))+IF(((1000)-(c_TMAP3OUT))&gt;=0,1,-1)*QUOTIENT(((1000)-(c_TMAP3IN)),2))+2147483648,4294967296)-2147483648,((1000)-(c_TMAP3IN))*(((A715)-(c_TMAP3IN))*((1000)-(c_TMAP3OUT))+IF(((1000)-(c_TMAP3OUT))&gt;=0,1,-1)*QUOTIENT(((1000)-(c_TMAP3IN)),2)))&lt;0,-1,0),IF(IF(o_WRAP=1,MOD(((1000)-(c_TMAP3IN))*(((A715)-(c_TMAP3IN))*((1000)-(c_TMAP3OUT))+IF(((1000)-(c_TMAP3OUT))&gt;=0,1,-1)*QUOTIENT(((1000)-(c_TMAP3IN)),2))+2147483648,4294967296)-2147483648,((1000)-(c_TMAP3IN))*(((A715)-(c_TMAP3IN))*((1000)-(c_TMAP3OUT))+IF(((1000)-(c_TMAP3OUT))&gt;=0,1,-1)*QUOTIENT(((1000)-(c_TMAP3IN)),2)))&gt;=0,1,0)))</f>
        <v>643</v>
      </c>
      <c r="H715" s="7" t="str">
        <f aca="false">IF(A715&gt;=c_TFWD,IF(AND(A715&gt;=c_TMAP3IN,c_TMAP3IN&lt;1000),"Seg4 map3-100%",IF(AND(A715&gt;=c_TMAP2IN,c_TMAP3IN&gt;c_TMAP2IN),"Seg3 map2-map3",IF(AND(A715&gt;=c_TMAP1IN,c_TMAP2IN&gt;c_TMAP1IN),"Seg2 map1-map2","Seg1 TFWD-map1"))),IF(AND(A715=0,c_TCREEP&gt;0),"Creep",IF(AND(A715&lt;=c_TRNGMIN,A715&gt;=c_TRNGMAX,c_TRNGMIN-c_TRNGMAX&lt;&gt;0),"Regen ramp","Coast (0)")))</f>
        <v>Seg4 map3-100%</v>
      </c>
      <c r="I715" s="7" t="n">
        <f aca="false">IF(A715&gt;=c_TFWD,IF(AND(A715&gt;=c_TMAP3IN,c_TMAP3IN&lt;1000),G715,IF(AND(A715&gt;=c_TMAP2IN,c_TMAP3IN&gt;c_TMAP2IN),F715,IF(AND(A715&gt;=c_TMAP1IN,c_TMAP2IN&gt;c_TMAP1IN),E715,D715))),C715)</f>
        <v>643</v>
      </c>
      <c r="J715" s="7" t="str">
        <f aca="false">IF(I715&lt;-1090,"TOO LOW",IF(I715&gt;1090,"TOO HIGH",""))</f>
        <v/>
      </c>
      <c r="K715" s="15" t="n">
        <f aca="false">IF(J715&lt;&gt;"",0,IF(I715&gt;979,1000,I715))</f>
        <v>643</v>
      </c>
      <c r="L715" s="7" t="n">
        <f aca="false">K715/10</f>
        <v>64.3</v>
      </c>
    </row>
    <row r="716" customFormat="false" ht="15" hidden="false" customHeight="false" outlineLevel="0" collapsed="false">
      <c r="A716" s="7" t="n">
        <v>711</v>
      </c>
      <c r="B716" s="7" t="n">
        <f aca="false">A716/10</f>
        <v>71.1</v>
      </c>
      <c r="C716" s="7" t="n">
        <f aca="false">IF(AND(A716=0,c_TCREEP&gt;0),10*c_TCREEP,IF(AND(A716&lt;=c_TRNGMIN,A716&gt;=c_TRNGMAX,c_TRNGMIN-c_TRNGMAX&lt;&gt;0),-10*c_TMINRN+QUOTIENT((c_TMAXRN-c_TMINRN)*(100-QUOTIENT((A716-c_TRNGMAX)*100,c_TRNGMIN-c_TRNGMAX)),-10),0))</f>
        <v>0</v>
      </c>
      <c r="D716" s="7" t="n">
        <f aca="false">IF(((c_TMAP1IN)-(c_TFWD))=0,(0)+QUOTIENT(((c_TMAP1OUT)-(0)),2),QUOTIENT((((A716)-(c_TFWD))*((c_TMAP1OUT)-(0))+IF(((c_TMAP1OUT)-(0))&gt;=0,1,-1)*QUOTIENT(((c_TMAP1IN)-(c_TFWD)),2)),((c_TMAP1IN)-(c_TFWD)))+(0)+IF(((c_TMAP1OUT)-(0))&gt;=0,IF(IF(o_WRAP=1,MOD(((c_TMAP1IN)-(c_TFWD))*(((A716)-(c_TFWD))*((c_TMAP1OUT)-(0))+IF(((c_TMAP1OUT)-(0))&gt;=0,1,-1)*QUOTIENT(((c_TMAP1IN)-(c_TFWD)),2))+2147483648,4294967296)-2147483648,((c_TMAP1IN)-(c_TFWD))*(((A716)-(c_TFWD))*((c_TMAP1OUT)-(0))+IF(((c_TMAP1OUT)-(0))&gt;=0,1,-1)*QUOTIENT(((c_TMAP1IN)-(c_TFWD)),2)))&lt;0,-1,0),IF(IF(o_WRAP=1,MOD(((c_TMAP1IN)-(c_TFWD))*(((A716)-(c_TFWD))*((c_TMAP1OUT)-(0))+IF(((c_TMAP1OUT)-(0))&gt;=0,1,-1)*QUOTIENT(((c_TMAP1IN)-(c_TFWD)),2))+2147483648,4294967296)-2147483648,((c_TMAP1IN)-(c_TFWD))*(((A716)-(c_TFWD))*((c_TMAP1OUT)-(0))+IF(((c_TMAP1OUT)-(0))&gt;=0,1,-1)*QUOTIENT(((c_TMAP1IN)-(c_TFWD)),2)))&gt;=0,1,0)))</f>
        <v>545</v>
      </c>
      <c r="E716" s="7" t="n">
        <f aca="false">IF(((c_TMAP2IN)-(c_TMAP1IN))=0,(c_TMAP1OUT)+QUOTIENT(((c_TMAP2OUT)-(c_TMAP1OUT)),2),QUOTIENT((((A716)-(c_TMAP1IN))*((c_TMAP2OUT)-(c_TMAP1OUT))+IF(((c_TMAP2OUT)-(c_TMAP1OUT))&gt;=0,1,-1)*QUOTIENT(((c_TMAP2IN)-(c_TMAP1IN)),2)),((c_TMAP2IN)-(c_TMAP1IN)))+(c_TMAP1OUT)+IF(((c_TMAP2OUT)-(c_TMAP1OUT))&gt;=0,IF(IF(o_WRAP=1,MOD(((c_TMAP2IN)-(c_TMAP1IN))*(((A716)-(c_TMAP1IN))*((c_TMAP2OUT)-(c_TMAP1OUT))+IF(((c_TMAP2OUT)-(c_TMAP1OUT))&gt;=0,1,-1)*QUOTIENT(((c_TMAP2IN)-(c_TMAP1IN)),2))+2147483648,4294967296)-2147483648,((c_TMAP2IN)-(c_TMAP1IN))*(((A716)-(c_TMAP1IN))*((c_TMAP2OUT)-(c_TMAP1OUT))+IF(((c_TMAP2OUT)-(c_TMAP1OUT))&gt;=0,1,-1)*QUOTIENT(((c_TMAP2IN)-(c_TMAP1IN)),2)))&lt;0,-1,0),IF(IF(o_WRAP=1,MOD(((c_TMAP2IN)-(c_TMAP1IN))*(((A716)-(c_TMAP1IN))*((c_TMAP2OUT)-(c_TMAP1OUT))+IF(((c_TMAP2OUT)-(c_TMAP1OUT))&gt;=0,1,-1)*QUOTIENT(((c_TMAP2IN)-(c_TMAP1IN)),2))+2147483648,4294967296)-2147483648,((c_TMAP2IN)-(c_TMAP1IN))*(((A716)-(c_TMAP1IN))*((c_TMAP2OUT)-(c_TMAP1OUT))+IF(((c_TMAP2OUT)-(c_TMAP1OUT))&gt;=0,1,-1)*QUOTIENT(((c_TMAP2IN)-(c_TMAP1IN)),2)))&gt;=0,1,0)))</f>
        <v>314</v>
      </c>
      <c r="F716" s="7" t="n">
        <f aca="false">IF(((c_TMAP3IN)-(c_TMAP2IN))=0,(c_TMAP2OUT)+QUOTIENT(((c_TMAP3OUT)-(c_TMAP2OUT)),2),QUOTIENT((((A716)-(c_TMAP2IN))*((c_TMAP3OUT)-(c_TMAP2OUT))+IF(((c_TMAP3OUT)-(c_TMAP2OUT))&gt;=0,1,-1)*QUOTIENT(((c_TMAP3IN)-(c_TMAP2IN)),2)),((c_TMAP3IN)-(c_TMAP2IN)))+(c_TMAP2OUT)+IF(((c_TMAP3OUT)-(c_TMAP2OUT))&gt;=0,IF(IF(o_WRAP=1,MOD(((c_TMAP3IN)-(c_TMAP2IN))*(((A716)-(c_TMAP2IN))*((c_TMAP3OUT)-(c_TMAP2OUT))+IF(((c_TMAP3OUT)-(c_TMAP2OUT))&gt;=0,1,-1)*QUOTIENT(((c_TMAP3IN)-(c_TMAP2IN)),2))+2147483648,4294967296)-2147483648,((c_TMAP3IN)-(c_TMAP2IN))*(((A716)-(c_TMAP2IN))*((c_TMAP3OUT)-(c_TMAP2OUT))+IF(((c_TMAP3OUT)-(c_TMAP2OUT))&gt;=0,1,-1)*QUOTIENT(((c_TMAP3IN)-(c_TMAP2IN)),2)))&lt;0,-1,0),IF(IF(o_WRAP=1,MOD(((c_TMAP3IN)-(c_TMAP2IN))*(((A716)-(c_TMAP2IN))*((c_TMAP3OUT)-(c_TMAP2OUT))+IF(((c_TMAP3OUT)-(c_TMAP2OUT))&gt;=0,1,-1)*QUOTIENT(((c_TMAP3IN)-(c_TMAP2IN)),2))+2147483648,4294967296)-2147483648,((c_TMAP3IN)-(c_TMAP2IN))*(((A716)-(c_TMAP2IN))*((c_TMAP3OUT)-(c_TMAP2OUT))+IF(((c_TMAP3OUT)-(c_TMAP2OUT))&gt;=0,1,-1)*QUOTIENT(((c_TMAP3IN)-(c_TMAP2IN)),2)))&gt;=0,1,0)))</f>
        <v>453</v>
      </c>
      <c r="G716" s="7" t="n">
        <f aca="false">IF(((1000)-(c_TMAP3IN))=0,(c_TMAP3OUT)+QUOTIENT(((1000)-(c_TMAP3OUT)),2),QUOTIENT((((A716)-(c_TMAP3IN))*((1000)-(c_TMAP3OUT))+IF(((1000)-(c_TMAP3OUT))&gt;=0,1,-1)*QUOTIENT(((1000)-(c_TMAP3IN)),2)),((1000)-(c_TMAP3IN)))+(c_TMAP3OUT)+IF(((1000)-(c_TMAP3OUT))&gt;=0,IF(IF(o_WRAP=1,MOD(((1000)-(c_TMAP3IN))*(((A716)-(c_TMAP3IN))*((1000)-(c_TMAP3OUT))+IF(((1000)-(c_TMAP3OUT))&gt;=0,1,-1)*QUOTIENT(((1000)-(c_TMAP3IN)),2))+2147483648,4294967296)-2147483648,((1000)-(c_TMAP3IN))*(((A716)-(c_TMAP3IN))*((1000)-(c_TMAP3OUT))+IF(((1000)-(c_TMAP3OUT))&gt;=0,1,-1)*QUOTIENT(((1000)-(c_TMAP3IN)),2)))&lt;0,-1,0),IF(IF(o_WRAP=1,MOD(((1000)-(c_TMAP3IN))*(((A716)-(c_TMAP3IN))*((1000)-(c_TMAP3OUT))+IF(((1000)-(c_TMAP3OUT))&gt;=0,1,-1)*QUOTIENT(((1000)-(c_TMAP3IN)),2))+2147483648,4294967296)-2147483648,((1000)-(c_TMAP3IN))*(((A716)-(c_TMAP3IN))*((1000)-(c_TMAP3OUT))+IF(((1000)-(c_TMAP3OUT))&gt;=0,1,-1)*QUOTIENT(((1000)-(c_TMAP3IN)),2)))&gt;=0,1,0)))</f>
        <v>644</v>
      </c>
      <c r="H716" s="7" t="str">
        <f aca="false">IF(A716&gt;=c_TFWD,IF(AND(A716&gt;=c_TMAP3IN,c_TMAP3IN&lt;1000),"Seg4 map3-100%",IF(AND(A716&gt;=c_TMAP2IN,c_TMAP3IN&gt;c_TMAP2IN),"Seg3 map2-map3",IF(AND(A716&gt;=c_TMAP1IN,c_TMAP2IN&gt;c_TMAP1IN),"Seg2 map1-map2","Seg1 TFWD-map1"))),IF(AND(A716=0,c_TCREEP&gt;0),"Creep",IF(AND(A716&lt;=c_TRNGMIN,A716&gt;=c_TRNGMAX,c_TRNGMIN-c_TRNGMAX&lt;&gt;0),"Regen ramp","Coast (0)")))</f>
        <v>Seg4 map3-100%</v>
      </c>
      <c r="I716" s="7" t="n">
        <f aca="false">IF(A716&gt;=c_TFWD,IF(AND(A716&gt;=c_TMAP3IN,c_TMAP3IN&lt;1000),G716,IF(AND(A716&gt;=c_TMAP2IN,c_TMAP3IN&gt;c_TMAP2IN),F716,IF(AND(A716&gt;=c_TMAP1IN,c_TMAP2IN&gt;c_TMAP1IN),E716,D716))),C716)</f>
        <v>644</v>
      </c>
      <c r="J716" s="7" t="str">
        <f aca="false">IF(I716&lt;-1090,"TOO LOW",IF(I716&gt;1090,"TOO HIGH",""))</f>
        <v/>
      </c>
      <c r="K716" s="15" t="n">
        <f aca="false">IF(J716&lt;&gt;"",0,IF(I716&gt;979,1000,I716))</f>
        <v>644</v>
      </c>
      <c r="L716" s="7" t="n">
        <f aca="false">K716/10</f>
        <v>64.4</v>
      </c>
    </row>
    <row r="717" customFormat="false" ht="15" hidden="false" customHeight="false" outlineLevel="0" collapsed="false">
      <c r="A717" s="7" t="n">
        <v>712</v>
      </c>
      <c r="B717" s="7" t="n">
        <f aca="false">A717/10</f>
        <v>71.2</v>
      </c>
      <c r="C717" s="7" t="n">
        <f aca="false">IF(AND(A717=0,c_TCREEP&gt;0),10*c_TCREEP,IF(AND(A717&lt;=c_TRNGMIN,A717&gt;=c_TRNGMAX,c_TRNGMIN-c_TRNGMAX&lt;&gt;0),-10*c_TMINRN+QUOTIENT((c_TMAXRN-c_TMINRN)*(100-QUOTIENT((A717-c_TRNGMAX)*100,c_TRNGMIN-c_TRNGMAX)),-10),0))</f>
        <v>0</v>
      </c>
      <c r="D717" s="7" t="n">
        <f aca="false">IF(((c_TMAP1IN)-(c_TFWD))=0,(0)+QUOTIENT(((c_TMAP1OUT)-(0)),2),QUOTIENT((((A717)-(c_TFWD))*((c_TMAP1OUT)-(0))+IF(((c_TMAP1OUT)-(0))&gt;=0,1,-1)*QUOTIENT(((c_TMAP1IN)-(c_TFWD)),2)),((c_TMAP1IN)-(c_TFWD)))+(0)+IF(((c_TMAP1OUT)-(0))&gt;=0,IF(IF(o_WRAP=1,MOD(((c_TMAP1IN)-(c_TFWD))*(((A717)-(c_TFWD))*((c_TMAP1OUT)-(0))+IF(((c_TMAP1OUT)-(0))&gt;=0,1,-1)*QUOTIENT(((c_TMAP1IN)-(c_TFWD)),2))+2147483648,4294967296)-2147483648,((c_TMAP1IN)-(c_TFWD))*(((A717)-(c_TFWD))*((c_TMAP1OUT)-(0))+IF(((c_TMAP1OUT)-(0))&gt;=0,1,-1)*QUOTIENT(((c_TMAP1IN)-(c_TFWD)),2)))&lt;0,-1,0),IF(IF(o_WRAP=1,MOD(((c_TMAP1IN)-(c_TFWD))*(((A717)-(c_TFWD))*((c_TMAP1OUT)-(0))+IF(((c_TMAP1OUT)-(0))&gt;=0,1,-1)*QUOTIENT(((c_TMAP1IN)-(c_TFWD)),2))+2147483648,4294967296)-2147483648,((c_TMAP1IN)-(c_TFWD))*(((A717)-(c_TFWD))*((c_TMAP1OUT)-(0))+IF(((c_TMAP1OUT)-(0))&gt;=0,1,-1)*QUOTIENT(((c_TMAP1IN)-(c_TFWD)),2)))&gt;=0,1,0)))</f>
        <v>546</v>
      </c>
      <c r="E717" s="7" t="n">
        <f aca="false">IF(((c_TMAP2IN)-(c_TMAP1IN))=0,(c_TMAP1OUT)+QUOTIENT(((c_TMAP2OUT)-(c_TMAP1OUT)),2),QUOTIENT((((A717)-(c_TMAP1IN))*((c_TMAP2OUT)-(c_TMAP1OUT))+IF(((c_TMAP2OUT)-(c_TMAP1OUT))&gt;=0,1,-1)*QUOTIENT(((c_TMAP2IN)-(c_TMAP1IN)),2)),((c_TMAP2IN)-(c_TMAP1IN)))+(c_TMAP1OUT)+IF(((c_TMAP2OUT)-(c_TMAP1OUT))&gt;=0,IF(IF(o_WRAP=1,MOD(((c_TMAP2IN)-(c_TMAP1IN))*(((A717)-(c_TMAP1IN))*((c_TMAP2OUT)-(c_TMAP1OUT))+IF(((c_TMAP2OUT)-(c_TMAP1OUT))&gt;=0,1,-1)*QUOTIENT(((c_TMAP2IN)-(c_TMAP1IN)),2))+2147483648,4294967296)-2147483648,((c_TMAP2IN)-(c_TMAP1IN))*(((A717)-(c_TMAP1IN))*((c_TMAP2OUT)-(c_TMAP1OUT))+IF(((c_TMAP2OUT)-(c_TMAP1OUT))&gt;=0,1,-1)*QUOTIENT(((c_TMAP2IN)-(c_TMAP1IN)),2)))&lt;0,-1,0),IF(IF(o_WRAP=1,MOD(((c_TMAP2IN)-(c_TMAP1IN))*(((A717)-(c_TMAP1IN))*((c_TMAP2OUT)-(c_TMAP1OUT))+IF(((c_TMAP2OUT)-(c_TMAP1OUT))&gt;=0,1,-1)*QUOTIENT(((c_TMAP2IN)-(c_TMAP1IN)),2))+2147483648,4294967296)-2147483648,((c_TMAP2IN)-(c_TMAP1IN))*(((A717)-(c_TMAP1IN))*((c_TMAP2OUT)-(c_TMAP1OUT))+IF(((c_TMAP2OUT)-(c_TMAP1OUT))&gt;=0,1,-1)*QUOTIENT(((c_TMAP2IN)-(c_TMAP1IN)),2)))&gt;=0,1,0)))</f>
        <v>315</v>
      </c>
      <c r="F717" s="7" t="n">
        <f aca="false">IF(((c_TMAP3IN)-(c_TMAP2IN))=0,(c_TMAP2OUT)+QUOTIENT(((c_TMAP3OUT)-(c_TMAP2OUT)),2),QUOTIENT((((A717)-(c_TMAP2IN))*((c_TMAP3OUT)-(c_TMAP2OUT))+IF(((c_TMAP3OUT)-(c_TMAP2OUT))&gt;=0,1,-1)*QUOTIENT(((c_TMAP3IN)-(c_TMAP2IN)),2)),((c_TMAP3IN)-(c_TMAP2IN)))+(c_TMAP2OUT)+IF(((c_TMAP3OUT)-(c_TMAP2OUT))&gt;=0,IF(IF(o_WRAP=1,MOD(((c_TMAP3IN)-(c_TMAP2IN))*(((A717)-(c_TMAP2IN))*((c_TMAP3OUT)-(c_TMAP2OUT))+IF(((c_TMAP3OUT)-(c_TMAP2OUT))&gt;=0,1,-1)*QUOTIENT(((c_TMAP3IN)-(c_TMAP2IN)),2))+2147483648,4294967296)-2147483648,((c_TMAP3IN)-(c_TMAP2IN))*(((A717)-(c_TMAP2IN))*((c_TMAP3OUT)-(c_TMAP2OUT))+IF(((c_TMAP3OUT)-(c_TMAP2OUT))&gt;=0,1,-1)*QUOTIENT(((c_TMAP3IN)-(c_TMAP2IN)),2)))&lt;0,-1,0),IF(IF(o_WRAP=1,MOD(((c_TMAP3IN)-(c_TMAP2IN))*(((A717)-(c_TMAP2IN))*((c_TMAP3OUT)-(c_TMAP2OUT))+IF(((c_TMAP3OUT)-(c_TMAP2OUT))&gt;=0,1,-1)*QUOTIENT(((c_TMAP3IN)-(c_TMAP2IN)),2))+2147483648,4294967296)-2147483648,((c_TMAP3IN)-(c_TMAP2IN))*(((A717)-(c_TMAP2IN))*((c_TMAP3OUT)-(c_TMAP2OUT))+IF(((c_TMAP3OUT)-(c_TMAP2OUT))&gt;=0,1,-1)*QUOTIENT(((c_TMAP3IN)-(c_TMAP2IN)),2)))&gt;=0,1,0)))</f>
        <v>453</v>
      </c>
      <c r="G717" s="7" t="n">
        <f aca="false">IF(((1000)-(c_TMAP3IN))=0,(c_TMAP3OUT)+QUOTIENT(((1000)-(c_TMAP3OUT)),2),QUOTIENT((((A717)-(c_TMAP3IN))*((1000)-(c_TMAP3OUT))+IF(((1000)-(c_TMAP3OUT))&gt;=0,1,-1)*QUOTIENT(((1000)-(c_TMAP3IN)),2)),((1000)-(c_TMAP3IN)))+(c_TMAP3OUT)+IF(((1000)-(c_TMAP3OUT))&gt;=0,IF(IF(o_WRAP=1,MOD(((1000)-(c_TMAP3IN))*(((A717)-(c_TMAP3IN))*((1000)-(c_TMAP3OUT))+IF(((1000)-(c_TMAP3OUT))&gt;=0,1,-1)*QUOTIENT(((1000)-(c_TMAP3IN)),2))+2147483648,4294967296)-2147483648,((1000)-(c_TMAP3IN))*(((A717)-(c_TMAP3IN))*((1000)-(c_TMAP3OUT))+IF(((1000)-(c_TMAP3OUT))&gt;=0,1,-1)*QUOTIENT(((1000)-(c_TMAP3IN)),2)))&lt;0,-1,0),IF(IF(o_WRAP=1,MOD(((1000)-(c_TMAP3IN))*(((A717)-(c_TMAP3IN))*((1000)-(c_TMAP3OUT))+IF(((1000)-(c_TMAP3OUT))&gt;=0,1,-1)*QUOTIENT(((1000)-(c_TMAP3IN)),2))+2147483648,4294967296)-2147483648,((1000)-(c_TMAP3IN))*(((A717)-(c_TMAP3IN))*((1000)-(c_TMAP3OUT))+IF(((1000)-(c_TMAP3OUT))&gt;=0,1,-1)*QUOTIENT(((1000)-(c_TMAP3IN)),2)))&gt;=0,1,0)))</f>
        <v>646</v>
      </c>
      <c r="H717" s="7" t="str">
        <f aca="false">IF(A717&gt;=c_TFWD,IF(AND(A717&gt;=c_TMAP3IN,c_TMAP3IN&lt;1000),"Seg4 map3-100%",IF(AND(A717&gt;=c_TMAP2IN,c_TMAP3IN&gt;c_TMAP2IN),"Seg3 map2-map3",IF(AND(A717&gt;=c_TMAP1IN,c_TMAP2IN&gt;c_TMAP1IN),"Seg2 map1-map2","Seg1 TFWD-map1"))),IF(AND(A717=0,c_TCREEP&gt;0),"Creep",IF(AND(A717&lt;=c_TRNGMIN,A717&gt;=c_TRNGMAX,c_TRNGMIN-c_TRNGMAX&lt;&gt;0),"Regen ramp","Coast (0)")))</f>
        <v>Seg4 map3-100%</v>
      </c>
      <c r="I717" s="7" t="n">
        <f aca="false">IF(A717&gt;=c_TFWD,IF(AND(A717&gt;=c_TMAP3IN,c_TMAP3IN&lt;1000),G717,IF(AND(A717&gt;=c_TMAP2IN,c_TMAP3IN&gt;c_TMAP2IN),F717,IF(AND(A717&gt;=c_TMAP1IN,c_TMAP2IN&gt;c_TMAP1IN),E717,D717))),C717)</f>
        <v>646</v>
      </c>
      <c r="J717" s="7" t="str">
        <f aca="false">IF(I717&lt;-1090,"TOO LOW",IF(I717&gt;1090,"TOO HIGH",""))</f>
        <v/>
      </c>
      <c r="K717" s="15" t="n">
        <f aca="false">IF(J717&lt;&gt;"",0,IF(I717&gt;979,1000,I717))</f>
        <v>646</v>
      </c>
      <c r="L717" s="7" t="n">
        <f aca="false">K717/10</f>
        <v>64.6</v>
      </c>
    </row>
    <row r="718" customFormat="false" ht="15" hidden="false" customHeight="false" outlineLevel="0" collapsed="false">
      <c r="A718" s="7" t="n">
        <v>713</v>
      </c>
      <c r="B718" s="7" t="n">
        <f aca="false">A718/10</f>
        <v>71.3</v>
      </c>
      <c r="C718" s="7" t="n">
        <f aca="false">IF(AND(A718=0,c_TCREEP&gt;0),10*c_TCREEP,IF(AND(A718&lt;=c_TRNGMIN,A718&gt;=c_TRNGMAX,c_TRNGMIN-c_TRNGMAX&lt;&gt;0),-10*c_TMINRN+QUOTIENT((c_TMAXRN-c_TMINRN)*(100-QUOTIENT((A718-c_TRNGMAX)*100,c_TRNGMIN-c_TRNGMAX)),-10),0))</f>
        <v>0</v>
      </c>
      <c r="D718" s="7" t="n">
        <f aca="false">IF(((c_TMAP1IN)-(c_TFWD))=0,(0)+QUOTIENT(((c_TMAP1OUT)-(0)),2),QUOTIENT((((A718)-(c_TFWD))*((c_TMAP1OUT)-(0))+IF(((c_TMAP1OUT)-(0))&gt;=0,1,-1)*QUOTIENT(((c_TMAP1IN)-(c_TFWD)),2)),((c_TMAP1IN)-(c_TFWD)))+(0)+IF(((c_TMAP1OUT)-(0))&gt;=0,IF(IF(o_WRAP=1,MOD(((c_TMAP1IN)-(c_TFWD))*(((A718)-(c_TFWD))*((c_TMAP1OUT)-(0))+IF(((c_TMAP1OUT)-(0))&gt;=0,1,-1)*QUOTIENT(((c_TMAP1IN)-(c_TFWD)),2))+2147483648,4294967296)-2147483648,((c_TMAP1IN)-(c_TFWD))*(((A718)-(c_TFWD))*((c_TMAP1OUT)-(0))+IF(((c_TMAP1OUT)-(0))&gt;=0,1,-1)*QUOTIENT(((c_TMAP1IN)-(c_TFWD)),2)))&lt;0,-1,0),IF(IF(o_WRAP=1,MOD(((c_TMAP1IN)-(c_TFWD))*(((A718)-(c_TFWD))*((c_TMAP1OUT)-(0))+IF(((c_TMAP1OUT)-(0))&gt;=0,1,-1)*QUOTIENT(((c_TMAP1IN)-(c_TFWD)),2))+2147483648,4294967296)-2147483648,((c_TMAP1IN)-(c_TFWD))*(((A718)-(c_TFWD))*((c_TMAP1OUT)-(0))+IF(((c_TMAP1OUT)-(0))&gt;=0,1,-1)*QUOTIENT(((c_TMAP1IN)-(c_TFWD)),2)))&gt;=0,1,0)))</f>
        <v>547</v>
      </c>
      <c r="E718" s="7" t="n">
        <f aca="false">IF(((c_TMAP2IN)-(c_TMAP1IN))=0,(c_TMAP1OUT)+QUOTIENT(((c_TMAP2OUT)-(c_TMAP1OUT)),2),QUOTIENT((((A718)-(c_TMAP1IN))*((c_TMAP2OUT)-(c_TMAP1OUT))+IF(((c_TMAP2OUT)-(c_TMAP1OUT))&gt;=0,1,-1)*QUOTIENT(((c_TMAP2IN)-(c_TMAP1IN)),2)),((c_TMAP2IN)-(c_TMAP1IN)))+(c_TMAP1OUT)+IF(((c_TMAP2OUT)-(c_TMAP1OUT))&gt;=0,IF(IF(o_WRAP=1,MOD(((c_TMAP2IN)-(c_TMAP1IN))*(((A718)-(c_TMAP1IN))*((c_TMAP2OUT)-(c_TMAP1OUT))+IF(((c_TMAP2OUT)-(c_TMAP1OUT))&gt;=0,1,-1)*QUOTIENT(((c_TMAP2IN)-(c_TMAP1IN)),2))+2147483648,4294967296)-2147483648,((c_TMAP2IN)-(c_TMAP1IN))*(((A718)-(c_TMAP1IN))*((c_TMAP2OUT)-(c_TMAP1OUT))+IF(((c_TMAP2OUT)-(c_TMAP1OUT))&gt;=0,1,-1)*QUOTIENT(((c_TMAP2IN)-(c_TMAP1IN)),2)))&lt;0,-1,0),IF(IF(o_WRAP=1,MOD(((c_TMAP2IN)-(c_TMAP1IN))*(((A718)-(c_TMAP1IN))*((c_TMAP2OUT)-(c_TMAP1OUT))+IF(((c_TMAP2OUT)-(c_TMAP1OUT))&gt;=0,1,-1)*QUOTIENT(((c_TMAP2IN)-(c_TMAP1IN)),2))+2147483648,4294967296)-2147483648,((c_TMAP2IN)-(c_TMAP1IN))*(((A718)-(c_TMAP1IN))*((c_TMAP2OUT)-(c_TMAP1OUT))+IF(((c_TMAP2OUT)-(c_TMAP1OUT))&gt;=0,1,-1)*QUOTIENT(((c_TMAP2IN)-(c_TMAP1IN)),2)))&gt;=0,1,0)))</f>
        <v>315</v>
      </c>
      <c r="F718" s="7" t="n">
        <f aca="false">IF(((c_TMAP3IN)-(c_TMAP2IN))=0,(c_TMAP2OUT)+QUOTIENT(((c_TMAP3OUT)-(c_TMAP2OUT)),2),QUOTIENT((((A718)-(c_TMAP2IN))*((c_TMAP3OUT)-(c_TMAP2OUT))+IF(((c_TMAP3OUT)-(c_TMAP2OUT))&gt;=0,1,-1)*QUOTIENT(((c_TMAP3IN)-(c_TMAP2IN)),2)),((c_TMAP3IN)-(c_TMAP2IN)))+(c_TMAP2OUT)+IF(((c_TMAP3OUT)-(c_TMAP2OUT))&gt;=0,IF(IF(o_WRAP=1,MOD(((c_TMAP3IN)-(c_TMAP2IN))*(((A718)-(c_TMAP2IN))*((c_TMAP3OUT)-(c_TMAP2OUT))+IF(((c_TMAP3OUT)-(c_TMAP2OUT))&gt;=0,1,-1)*QUOTIENT(((c_TMAP3IN)-(c_TMAP2IN)),2))+2147483648,4294967296)-2147483648,((c_TMAP3IN)-(c_TMAP2IN))*(((A718)-(c_TMAP2IN))*((c_TMAP3OUT)-(c_TMAP2OUT))+IF(((c_TMAP3OUT)-(c_TMAP2OUT))&gt;=0,1,-1)*QUOTIENT(((c_TMAP3IN)-(c_TMAP2IN)),2)))&lt;0,-1,0),IF(IF(o_WRAP=1,MOD(((c_TMAP3IN)-(c_TMAP2IN))*(((A718)-(c_TMAP2IN))*((c_TMAP3OUT)-(c_TMAP2OUT))+IF(((c_TMAP3OUT)-(c_TMAP2OUT))&gt;=0,1,-1)*QUOTIENT(((c_TMAP3IN)-(c_TMAP2IN)),2))+2147483648,4294967296)-2147483648,((c_TMAP3IN)-(c_TMAP2IN))*(((A718)-(c_TMAP2IN))*((c_TMAP3OUT)-(c_TMAP2OUT))+IF(((c_TMAP3OUT)-(c_TMAP2OUT))&gt;=0,1,-1)*QUOTIENT(((c_TMAP3IN)-(c_TMAP2IN)),2)))&gt;=0,1,0)))</f>
        <v>454</v>
      </c>
      <c r="G718" s="7" t="n">
        <f aca="false">IF(((1000)-(c_TMAP3IN))=0,(c_TMAP3OUT)+QUOTIENT(((1000)-(c_TMAP3OUT)),2),QUOTIENT((((A718)-(c_TMAP3IN))*((1000)-(c_TMAP3OUT))+IF(((1000)-(c_TMAP3OUT))&gt;=0,1,-1)*QUOTIENT(((1000)-(c_TMAP3IN)),2)),((1000)-(c_TMAP3IN)))+(c_TMAP3OUT)+IF(((1000)-(c_TMAP3OUT))&gt;=0,IF(IF(o_WRAP=1,MOD(((1000)-(c_TMAP3IN))*(((A718)-(c_TMAP3IN))*((1000)-(c_TMAP3OUT))+IF(((1000)-(c_TMAP3OUT))&gt;=0,1,-1)*QUOTIENT(((1000)-(c_TMAP3IN)),2))+2147483648,4294967296)-2147483648,((1000)-(c_TMAP3IN))*(((A718)-(c_TMAP3IN))*((1000)-(c_TMAP3OUT))+IF(((1000)-(c_TMAP3OUT))&gt;=0,1,-1)*QUOTIENT(((1000)-(c_TMAP3IN)),2)))&lt;0,-1,0),IF(IF(o_WRAP=1,MOD(((1000)-(c_TMAP3IN))*(((A718)-(c_TMAP3IN))*((1000)-(c_TMAP3OUT))+IF(((1000)-(c_TMAP3OUT))&gt;=0,1,-1)*QUOTIENT(((1000)-(c_TMAP3IN)),2))+2147483648,4294967296)-2147483648,((1000)-(c_TMAP3IN))*(((A718)-(c_TMAP3IN))*((1000)-(c_TMAP3OUT))+IF(((1000)-(c_TMAP3OUT))&gt;=0,1,-1)*QUOTIENT(((1000)-(c_TMAP3IN)),2)))&gt;=0,1,0)))</f>
        <v>647</v>
      </c>
      <c r="H718" s="7" t="str">
        <f aca="false">IF(A718&gt;=c_TFWD,IF(AND(A718&gt;=c_TMAP3IN,c_TMAP3IN&lt;1000),"Seg4 map3-100%",IF(AND(A718&gt;=c_TMAP2IN,c_TMAP3IN&gt;c_TMAP2IN),"Seg3 map2-map3",IF(AND(A718&gt;=c_TMAP1IN,c_TMAP2IN&gt;c_TMAP1IN),"Seg2 map1-map2","Seg1 TFWD-map1"))),IF(AND(A718=0,c_TCREEP&gt;0),"Creep",IF(AND(A718&lt;=c_TRNGMIN,A718&gt;=c_TRNGMAX,c_TRNGMIN-c_TRNGMAX&lt;&gt;0),"Regen ramp","Coast (0)")))</f>
        <v>Seg4 map3-100%</v>
      </c>
      <c r="I718" s="7" t="n">
        <f aca="false">IF(A718&gt;=c_TFWD,IF(AND(A718&gt;=c_TMAP3IN,c_TMAP3IN&lt;1000),G718,IF(AND(A718&gt;=c_TMAP2IN,c_TMAP3IN&gt;c_TMAP2IN),F718,IF(AND(A718&gt;=c_TMAP1IN,c_TMAP2IN&gt;c_TMAP1IN),E718,D718))),C718)</f>
        <v>647</v>
      </c>
      <c r="J718" s="7" t="str">
        <f aca="false">IF(I718&lt;-1090,"TOO LOW",IF(I718&gt;1090,"TOO HIGH",""))</f>
        <v/>
      </c>
      <c r="K718" s="15" t="n">
        <f aca="false">IF(J718&lt;&gt;"",0,IF(I718&gt;979,1000,I718))</f>
        <v>647</v>
      </c>
      <c r="L718" s="7" t="n">
        <f aca="false">K718/10</f>
        <v>64.7</v>
      </c>
    </row>
    <row r="719" customFormat="false" ht="15" hidden="false" customHeight="false" outlineLevel="0" collapsed="false">
      <c r="A719" s="7" t="n">
        <v>714</v>
      </c>
      <c r="B719" s="7" t="n">
        <f aca="false">A719/10</f>
        <v>71.4</v>
      </c>
      <c r="C719" s="7" t="n">
        <f aca="false">IF(AND(A719=0,c_TCREEP&gt;0),10*c_TCREEP,IF(AND(A719&lt;=c_TRNGMIN,A719&gt;=c_TRNGMAX,c_TRNGMIN-c_TRNGMAX&lt;&gt;0),-10*c_TMINRN+QUOTIENT((c_TMAXRN-c_TMINRN)*(100-QUOTIENT((A719-c_TRNGMAX)*100,c_TRNGMIN-c_TRNGMAX)),-10),0))</f>
        <v>0</v>
      </c>
      <c r="D719" s="7" t="n">
        <f aca="false">IF(((c_TMAP1IN)-(c_TFWD))=0,(0)+QUOTIENT(((c_TMAP1OUT)-(0)),2),QUOTIENT((((A719)-(c_TFWD))*((c_TMAP1OUT)-(0))+IF(((c_TMAP1OUT)-(0))&gt;=0,1,-1)*QUOTIENT(((c_TMAP1IN)-(c_TFWD)),2)),((c_TMAP1IN)-(c_TFWD)))+(0)+IF(((c_TMAP1OUT)-(0))&gt;=0,IF(IF(o_WRAP=1,MOD(((c_TMAP1IN)-(c_TFWD))*(((A719)-(c_TFWD))*((c_TMAP1OUT)-(0))+IF(((c_TMAP1OUT)-(0))&gt;=0,1,-1)*QUOTIENT(((c_TMAP1IN)-(c_TFWD)),2))+2147483648,4294967296)-2147483648,((c_TMAP1IN)-(c_TFWD))*(((A719)-(c_TFWD))*((c_TMAP1OUT)-(0))+IF(((c_TMAP1OUT)-(0))&gt;=0,1,-1)*QUOTIENT(((c_TMAP1IN)-(c_TFWD)),2)))&lt;0,-1,0),IF(IF(o_WRAP=1,MOD(((c_TMAP1IN)-(c_TFWD))*(((A719)-(c_TFWD))*((c_TMAP1OUT)-(0))+IF(((c_TMAP1OUT)-(0))&gt;=0,1,-1)*QUOTIENT(((c_TMAP1IN)-(c_TFWD)),2))+2147483648,4294967296)-2147483648,((c_TMAP1IN)-(c_TFWD))*(((A719)-(c_TFWD))*((c_TMAP1OUT)-(0))+IF(((c_TMAP1OUT)-(0))&gt;=0,1,-1)*QUOTIENT(((c_TMAP1IN)-(c_TFWD)),2)))&gt;=0,1,0)))</f>
        <v>548</v>
      </c>
      <c r="E719" s="7" t="n">
        <f aca="false">IF(((c_TMAP2IN)-(c_TMAP1IN))=0,(c_TMAP1OUT)+QUOTIENT(((c_TMAP2OUT)-(c_TMAP1OUT)),2),QUOTIENT((((A719)-(c_TMAP1IN))*((c_TMAP2OUT)-(c_TMAP1OUT))+IF(((c_TMAP2OUT)-(c_TMAP1OUT))&gt;=0,1,-1)*QUOTIENT(((c_TMAP2IN)-(c_TMAP1IN)),2)),((c_TMAP2IN)-(c_TMAP1IN)))+(c_TMAP1OUT)+IF(((c_TMAP2OUT)-(c_TMAP1OUT))&gt;=0,IF(IF(o_WRAP=1,MOD(((c_TMAP2IN)-(c_TMAP1IN))*(((A719)-(c_TMAP1IN))*((c_TMAP2OUT)-(c_TMAP1OUT))+IF(((c_TMAP2OUT)-(c_TMAP1OUT))&gt;=0,1,-1)*QUOTIENT(((c_TMAP2IN)-(c_TMAP1IN)),2))+2147483648,4294967296)-2147483648,((c_TMAP2IN)-(c_TMAP1IN))*(((A719)-(c_TMAP1IN))*((c_TMAP2OUT)-(c_TMAP1OUT))+IF(((c_TMAP2OUT)-(c_TMAP1OUT))&gt;=0,1,-1)*QUOTIENT(((c_TMAP2IN)-(c_TMAP1IN)),2)))&lt;0,-1,0),IF(IF(o_WRAP=1,MOD(((c_TMAP2IN)-(c_TMAP1IN))*(((A719)-(c_TMAP1IN))*((c_TMAP2OUT)-(c_TMAP1OUT))+IF(((c_TMAP2OUT)-(c_TMAP1OUT))&gt;=0,1,-1)*QUOTIENT(((c_TMAP2IN)-(c_TMAP1IN)),2))+2147483648,4294967296)-2147483648,((c_TMAP2IN)-(c_TMAP1IN))*(((A719)-(c_TMAP1IN))*((c_TMAP2OUT)-(c_TMAP1OUT))+IF(((c_TMAP2OUT)-(c_TMAP1OUT))&gt;=0,1,-1)*QUOTIENT(((c_TMAP2IN)-(c_TMAP1IN)),2)))&gt;=0,1,0)))</f>
        <v>316</v>
      </c>
      <c r="F719" s="7" t="n">
        <f aca="false">IF(((c_TMAP3IN)-(c_TMAP2IN))=0,(c_TMAP2OUT)+QUOTIENT(((c_TMAP3OUT)-(c_TMAP2OUT)),2),QUOTIENT((((A719)-(c_TMAP2IN))*((c_TMAP3OUT)-(c_TMAP2OUT))+IF(((c_TMAP3OUT)-(c_TMAP2OUT))&gt;=0,1,-1)*QUOTIENT(((c_TMAP3IN)-(c_TMAP2IN)),2)),((c_TMAP3IN)-(c_TMAP2IN)))+(c_TMAP2OUT)+IF(((c_TMAP3OUT)-(c_TMAP2OUT))&gt;=0,IF(IF(o_WRAP=1,MOD(((c_TMAP3IN)-(c_TMAP2IN))*(((A719)-(c_TMAP2IN))*((c_TMAP3OUT)-(c_TMAP2OUT))+IF(((c_TMAP3OUT)-(c_TMAP2OUT))&gt;=0,1,-1)*QUOTIENT(((c_TMAP3IN)-(c_TMAP2IN)),2))+2147483648,4294967296)-2147483648,((c_TMAP3IN)-(c_TMAP2IN))*(((A719)-(c_TMAP2IN))*((c_TMAP3OUT)-(c_TMAP2OUT))+IF(((c_TMAP3OUT)-(c_TMAP2OUT))&gt;=0,1,-1)*QUOTIENT(((c_TMAP3IN)-(c_TMAP2IN)),2)))&lt;0,-1,0),IF(IF(o_WRAP=1,MOD(((c_TMAP3IN)-(c_TMAP2IN))*(((A719)-(c_TMAP2IN))*((c_TMAP3OUT)-(c_TMAP2OUT))+IF(((c_TMAP3OUT)-(c_TMAP2OUT))&gt;=0,1,-1)*QUOTIENT(((c_TMAP3IN)-(c_TMAP2IN)),2))+2147483648,4294967296)-2147483648,((c_TMAP3IN)-(c_TMAP2IN))*(((A719)-(c_TMAP2IN))*((c_TMAP3OUT)-(c_TMAP2OUT))+IF(((c_TMAP3OUT)-(c_TMAP2OUT))&gt;=0,1,-1)*QUOTIENT(((c_TMAP3IN)-(c_TMAP2IN)),2)))&gt;=0,1,0)))</f>
        <v>455</v>
      </c>
      <c r="G719" s="7" t="n">
        <f aca="false">IF(((1000)-(c_TMAP3IN))=0,(c_TMAP3OUT)+QUOTIENT(((1000)-(c_TMAP3OUT)),2),QUOTIENT((((A719)-(c_TMAP3IN))*((1000)-(c_TMAP3OUT))+IF(((1000)-(c_TMAP3OUT))&gt;=0,1,-1)*QUOTIENT(((1000)-(c_TMAP3IN)),2)),((1000)-(c_TMAP3IN)))+(c_TMAP3OUT)+IF(((1000)-(c_TMAP3OUT))&gt;=0,IF(IF(o_WRAP=1,MOD(((1000)-(c_TMAP3IN))*(((A719)-(c_TMAP3IN))*((1000)-(c_TMAP3OUT))+IF(((1000)-(c_TMAP3OUT))&gt;=0,1,-1)*QUOTIENT(((1000)-(c_TMAP3IN)),2))+2147483648,4294967296)-2147483648,((1000)-(c_TMAP3IN))*(((A719)-(c_TMAP3IN))*((1000)-(c_TMAP3OUT))+IF(((1000)-(c_TMAP3OUT))&gt;=0,1,-1)*QUOTIENT(((1000)-(c_TMAP3IN)),2)))&lt;0,-1,0),IF(IF(o_WRAP=1,MOD(((1000)-(c_TMAP3IN))*(((A719)-(c_TMAP3IN))*((1000)-(c_TMAP3OUT))+IF(((1000)-(c_TMAP3OUT))&gt;=0,1,-1)*QUOTIENT(((1000)-(c_TMAP3IN)),2))+2147483648,4294967296)-2147483648,((1000)-(c_TMAP3IN))*(((A719)-(c_TMAP3IN))*((1000)-(c_TMAP3OUT))+IF(((1000)-(c_TMAP3OUT))&gt;=0,1,-1)*QUOTIENT(((1000)-(c_TMAP3IN)),2)))&gt;=0,1,0)))</f>
        <v>648</v>
      </c>
      <c r="H719" s="7" t="str">
        <f aca="false">IF(A719&gt;=c_TFWD,IF(AND(A719&gt;=c_TMAP3IN,c_TMAP3IN&lt;1000),"Seg4 map3-100%",IF(AND(A719&gt;=c_TMAP2IN,c_TMAP3IN&gt;c_TMAP2IN),"Seg3 map2-map3",IF(AND(A719&gt;=c_TMAP1IN,c_TMAP2IN&gt;c_TMAP1IN),"Seg2 map1-map2","Seg1 TFWD-map1"))),IF(AND(A719=0,c_TCREEP&gt;0),"Creep",IF(AND(A719&lt;=c_TRNGMIN,A719&gt;=c_TRNGMAX,c_TRNGMIN-c_TRNGMAX&lt;&gt;0),"Regen ramp","Coast (0)")))</f>
        <v>Seg4 map3-100%</v>
      </c>
      <c r="I719" s="7" t="n">
        <f aca="false">IF(A719&gt;=c_TFWD,IF(AND(A719&gt;=c_TMAP3IN,c_TMAP3IN&lt;1000),G719,IF(AND(A719&gt;=c_TMAP2IN,c_TMAP3IN&gt;c_TMAP2IN),F719,IF(AND(A719&gt;=c_TMAP1IN,c_TMAP2IN&gt;c_TMAP1IN),E719,D719))),C719)</f>
        <v>648</v>
      </c>
      <c r="J719" s="7" t="str">
        <f aca="false">IF(I719&lt;-1090,"TOO LOW",IF(I719&gt;1090,"TOO HIGH",""))</f>
        <v/>
      </c>
      <c r="K719" s="15" t="n">
        <f aca="false">IF(J719&lt;&gt;"",0,IF(I719&gt;979,1000,I719))</f>
        <v>648</v>
      </c>
      <c r="L719" s="7" t="n">
        <f aca="false">K719/10</f>
        <v>64.8</v>
      </c>
    </row>
    <row r="720" customFormat="false" ht="15" hidden="false" customHeight="false" outlineLevel="0" collapsed="false">
      <c r="A720" s="7" t="n">
        <v>715</v>
      </c>
      <c r="B720" s="7" t="n">
        <f aca="false">A720/10</f>
        <v>71.5</v>
      </c>
      <c r="C720" s="7" t="n">
        <f aca="false">IF(AND(A720=0,c_TCREEP&gt;0),10*c_TCREEP,IF(AND(A720&lt;=c_TRNGMIN,A720&gt;=c_TRNGMAX,c_TRNGMIN-c_TRNGMAX&lt;&gt;0),-10*c_TMINRN+QUOTIENT((c_TMAXRN-c_TMINRN)*(100-QUOTIENT((A720-c_TRNGMAX)*100,c_TRNGMIN-c_TRNGMAX)),-10),0))</f>
        <v>0</v>
      </c>
      <c r="D720" s="7" t="n">
        <f aca="false">IF(((c_TMAP1IN)-(c_TFWD))=0,(0)+QUOTIENT(((c_TMAP1OUT)-(0)),2),QUOTIENT((((A720)-(c_TFWD))*((c_TMAP1OUT)-(0))+IF(((c_TMAP1OUT)-(0))&gt;=0,1,-1)*QUOTIENT(((c_TMAP1IN)-(c_TFWD)),2)),((c_TMAP1IN)-(c_TFWD)))+(0)+IF(((c_TMAP1OUT)-(0))&gt;=0,IF(IF(o_WRAP=1,MOD(((c_TMAP1IN)-(c_TFWD))*(((A720)-(c_TFWD))*((c_TMAP1OUT)-(0))+IF(((c_TMAP1OUT)-(0))&gt;=0,1,-1)*QUOTIENT(((c_TMAP1IN)-(c_TFWD)),2))+2147483648,4294967296)-2147483648,((c_TMAP1IN)-(c_TFWD))*(((A720)-(c_TFWD))*((c_TMAP1OUT)-(0))+IF(((c_TMAP1OUT)-(0))&gt;=0,1,-1)*QUOTIENT(((c_TMAP1IN)-(c_TFWD)),2)))&lt;0,-1,0),IF(IF(o_WRAP=1,MOD(((c_TMAP1IN)-(c_TFWD))*(((A720)-(c_TFWD))*((c_TMAP1OUT)-(0))+IF(((c_TMAP1OUT)-(0))&gt;=0,1,-1)*QUOTIENT(((c_TMAP1IN)-(c_TFWD)),2))+2147483648,4294967296)-2147483648,((c_TMAP1IN)-(c_TFWD))*(((A720)-(c_TFWD))*((c_TMAP1OUT)-(0))+IF(((c_TMAP1OUT)-(0))&gt;=0,1,-1)*QUOTIENT(((c_TMAP1IN)-(c_TFWD)),2)))&gt;=0,1,0)))</f>
        <v>548</v>
      </c>
      <c r="E720" s="7" t="n">
        <f aca="false">IF(((c_TMAP2IN)-(c_TMAP1IN))=0,(c_TMAP1OUT)+QUOTIENT(((c_TMAP2OUT)-(c_TMAP1OUT)),2),QUOTIENT((((A720)-(c_TMAP1IN))*((c_TMAP2OUT)-(c_TMAP1OUT))+IF(((c_TMAP2OUT)-(c_TMAP1OUT))&gt;=0,1,-1)*QUOTIENT(((c_TMAP2IN)-(c_TMAP1IN)),2)),((c_TMAP2IN)-(c_TMAP1IN)))+(c_TMAP1OUT)+IF(((c_TMAP2OUT)-(c_TMAP1OUT))&gt;=0,IF(IF(o_WRAP=1,MOD(((c_TMAP2IN)-(c_TMAP1IN))*(((A720)-(c_TMAP1IN))*((c_TMAP2OUT)-(c_TMAP1OUT))+IF(((c_TMAP2OUT)-(c_TMAP1OUT))&gt;=0,1,-1)*QUOTIENT(((c_TMAP2IN)-(c_TMAP1IN)),2))+2147483648,4294967296)-2147483648,((c_TMAP2IN)-(c_TMAP1IN))*(((A720)-(c_TMAP1IN))*((c_TMAP2OUT)-(c_TMAP1OUT))+IF(((c_TMAP2OUT)-(c_TMAP1OUT))&gt;=0,1,-1)*QUOTIENT(((c_TMAP2IN)-(c_TMAP1IN)),2)))&lt;0,-1,0),IF(IF(o_WRAP=1,MOD(((c_TMAP2IN)-(c_TMAP1IN))*(((A720)-(c_TMAP1IN))*((c_TMAP2OUT)-(c_TMAP1OUT))+IF(((c_TMAP2OUT)-(c_TMAP1OUT))&gt;=0,1,-1)*QUOTIENT(((c_TMAP2IN)-(c_TMAP1IN)),2))+2147483648,4294967296)-2147483648,((c_TMAP2IN)-(c_TMAP1IN))*(((A720)-(c_TMAP1IN))*((c_TMAP2OUT)-(c_TMAP1OUT))+IF(((c_TMAP2OUT)-(c_TMAP1OUT))&gt;=0,1,-1)*QUOTIENT(((c_TMAP2IN)-(c_TMAP1IN)),2)))&gt;=0,1,0)))</f>
        <v>316</v>
      </c>
      <c r="F720" s="7" t="n">
        <f aca="false">IF(((c_TMAP3IN)-(c_TMAP2IN))=0,(c_TMAP2OUT)+QUOTIENT(((c_TMAP3OUT)-(c_TMAP2OUT)),2),QUOTIENT((((A720)-(c_TMAP2IN))*((c_TMAP3OUT)-(c_TMAP2OUT))+IF(((c_TMAP3OUT)-(c_TMAP2OUT))&gt;=0,1,-1)*QUOTIENT(((c_TMAP3IN)-(c_TMAP2IN)),2)),((c_TMAP3IN)-(c_TMAP2IN)))+(c_TMAP2OUT)+IF(((c_TMAP3OUT)-(c_TMAP2OUT))&gt;=0,IF(IF(o_WRAP=1,MOD(((c_TMAP3IN)-(c_TMAP2IN))*(((A720)-(c_TMAP2IN))*((c_TMAP3OUT)-(c_TMAP2OUT))+IF(((c_TMAP3OUT)-(c_TMAP2OUT))&gt;=0,1,-1)*QUOTIENT(((c_TMAP3IN)-(c_TMAP2IN)),2))+2147483648,4294967296)-2147483648,((c_TMAP3IN)-(c_TMAP2IN))*(((A720)-(c_TMAP2IN))*((c_TMAP3OUT)-(c_TMAP2OUT))+IF(((c_TMAP3OUT)-(c_TMAP2OUT))&gt;=0,1,-1)*QUOTIENT(((c_TMAP3IN)-(c_TMAP2IN)),2)))&lt;0,-1,0),IF(IF(o_WRAP=1,MOD(((c_TMAP3IN)-(c_TMAP2IN))*(((A720)-(c_TMAP2IN))*((c_TMAP3OUT)-(c_TMAP2OUT))+IF(((c_TMAP3OUT)-(c_TMAP2OUT))&gt;=0,1,-1)*QUOTIENT(((c_TMAP3IN)-(c_TMAP2IN)),2))+2147483648,4294967296)-2147483648,((c_TMAP3IN)-(c_TMAP2IN))*(((A720)-(c_TMAP2IN))*((c_TMAP3OUT)-(c_TMAP2OUT))+IF(((c_TMAP3OUT)-(c_TMAP2OUT))&gt;=0,1,-1)*QUOTIENT(((c_TMAP3IN)-(c_TMAP2IN)),2)))&gt;=0,1,0)))</f>
        <v>456</v>
      </c>
      <c r="G720" s="7" t="n">
        <f aca="false">IF(((1000)-(c_TMAP3IN))=0,(c_TMAP3OUT)+QUOTIENT(((1000)-(c_TMAP3OUT)),2),QUOTIENT((((A720)-(c_TMAP3IN))*((1000)-(c_TMAP3OUT))+IF(((1000)-(c_TMAP3OUT))&gt;=0,1,-1)*QUOTIENT(((1000)-(c_TMAP3IN)),2)),((1000)-(c_TMAP3IN)))+(c_TMAP3OUT)+IF(((1000)-(c_TMAP3OUT))&gt;=0,IF(IF(o_WRAP=1,MOD(((1000)-(c_TMAP3IN))*(((A720)-(c_TMAP3IN))*((1000)-(c_TMAP3OUT))+IF(((1000)-(c_TMAP3OUT))&gt;=0,1,-1)*QUOTIENT(((1000)-(c_TMAP3IN)),2))+2147483648,4294967296)-2147483648,((1000)-(c_TMAP3IN))*(((A720)-(c_TMAP3IN))*((1000)-(c_TMAP3OUT))+IF(((1000)-(c_TMAP3OUT))&gt;=0,1,-1)*QUOTIENT(((1000)-(c_TMAP3IN)),2)))&lt;0,-1,0),IF(IF(o_WRAP=1,MOD(((1000)-(c_TMAP3IN))*(((A720)-(c_TMAP3IN))*((1000)-(c_TMAP3OUT))+IF(((1000)-(c_TMAP3OUT))&gt;=0,1,-1)*QUOTIENT(((1000)-(c_TMAP3IN)),2))+2147483648,4294967296)-2147483648,((1000)-(c_TMAP3IN))*(((A720)-(c_TMAP3IN))*((1000)-(c_TMAP3OUT))+IF(((1000)-(c_TMAP3OUT))&gt;=0,1,-1)*QUOTIENT(((1000)-(c_TMAP3IN)),2)))&gt;=0,1,0)))</f>
        <v>649</v>
      </c>
      <c r="H720" s="7" t="str">
        <f aca="false">IF(A720&gt;=c_TFWD,IF(AND(A720&gt;=c_TMAP3IN,c_TMAP3IN&lt;1000),"Seg4 map3-100%",IF(AND(A720&gt;=c_TMAP2IN,c_TMAP3IN&gt;c_TMAP2IN),"Seg3 map2-map3",IF(AND(A720&gt;=c_TMAP1IN,c_TMAP2IN&gt;c_TMAP1IN),"Seg2 map1-map2","Seg1 TFWD-map1"))),IF(AND(A720=0,c_TCREEP&gt;0),"Creep",IF(AND(A720&lt;=c_TRNGMIN,A720&gt;=c_TRNGMAX,c_TRNGMIN-c_TRNGMAX&lt;&gt;0),"Regen ramp","Coast (0)")))</f>
        <v>Seg4 map3-100%</v>
      </c>
      <c r="I720" s="7" t="n">
        <f aca="false">IF(A720&gt;=c_TFWD,IF(AND(A720&gt;=c_TMAP3IN,c_TMAP3IN&lt;1000),G720,IF(AND(A720&gt;=c_TMAP2IN,c_TMAP3IN&gt;c_TMAP2IN),F720,IF(AND(A720&gt;=c_TMAP1IN,c_TMAP2IN&gt;c_TMAP1IN),E720,D720))),C720)</f>
        <v>649</v>
      </c>
      <c r="J720" s="7" t="str">
        <f aca="false">IF(I720&lt;-1090,"TOO LOW",IF(I720&gt;1090,"TOO HIGH",""))</f>
        <v/>
      </c>
      <c r="K720" s="15" t="n">
        <f aca="false">IF(J720&lt;&gt;"",0,IF(I720&gt;979,1000,I720))</f>
        <v>649</v>
      </c>
      <c r="L720" s="7" t="n">
        <f aca="false">K720/10</f>
        <v>64.9</v>
      </c>
    </row>
    <row r="721" customFormat="false" ht="15" hidden="false" customHeight="false" outlineLevel="0" collapsed="false">
      <c r="A721" s="7" t="n">
        <v>716</v>
      </c>
      <c r="B721" s="7" t="n">
        <f aca="false">A721/10</f>
        <v>71.6</v>
      </c>
      <c r="C721" s="7" t="n">
        <f aca="false">IF(AND(A721=0,c_TCREEP&gt;0),10*c_TCREEP,IF(AND(A721&lt;=c_TRNGMIN,A721&gt;=c_TRNGMAX,c_TRNGMIN-c_TRNGMAX&lt;&gt;0),-10*c_TMINRN+QUOTIENT((c_TMAXRN-c_TMINRN)*(100-QUOTIENT((A721-c_TRNGMAX)*100,c_TRNGMIN-c_TRNGMAX)),-10),0))</f>
        <v>0</v>
      </c>
      <c r="D721" s="7" t="n">
        <f aca="false">IF(((c_TMAP1IN)-(c_TFWD))=0,(0)+QUOTIENT(((c_TMAP1OUT)-(0)),2),QUOTIENT((((A721)-(c_TFWD))*((c_TMAP1OUT)-(0))+IF(((c_TMAP1OUT)-(0))&gt;=0,1,-1)*QUOTIENT(((c_TMAP1IN)-(c_TFWD)),2)),((c_TMAP1IN)-(c_TFWD)))+(0)+IF(((c_TMAP1OUT)-(0))&gt;=0,IF(IF(o_WRAP=1,MOD(((c_TMAP1IN)-(c_TFWD))*(((A721)-(c_TFWD))*((c_TMAP1OUT)-(0))+IF(((c_TMAP1OUT)-(0))&gt;=0,1,-1)*QUOTIENT(((c_TMAP1IN)-(c_TFWD)),2))+2147483648,4294967296)-2147483648,((c_TMAP1IN)-(c_TFWD))*(((A721)-(c_TFWD))*((c_TMAP1OUT)-(0))+IF(((c_TMAP1OUT)-(0))&gt;=0,1,-1)*QUOTIENT(((c_TMAP1IN)-(c_TFWD)),2)))&lt;0,-1,0),IF(IF(o_WRAP=1,MOD(((c_TMAP1IN)-(c_TFWD))*(((A721)-(c_TFWD))*((c_TMAP1OUT)-(0))+IF(((c_TMAP1OUT)-(0))&gt;=0,1,-1)*QUOTIENT(((c_TMAP1IN)-(c_TFWD)),2))+2147483648,4294967296)-2147483648,((c_TMAP1IN)-(c_TFWD))*(((A721)-(c_TFWD))*((c_TMAP1OUT)-(0))+IF(((c_TMAP1OUT)-(0))&gt;=0,1,-1)*QUOTIENT(((c_TMAP1IN)-(c_TFWD)),2)))&gt;=0,1,0)))</f>
        <v>549</v>
      </c>
      <c r="E721" s="7" t="n">
        <f aca="false">IF(((c_TMAP2IN)-(c_TMAP1IN))=0,(c_TMAP1OUT)+QUOTIENT(((c_TMAP2OUT)-(c_TMAP1OUT)),2),QUOTIENT((((A721)-(c_TMAP1IN))*((c_TMAP2OUT)-(c_TMAP1OUT))+IF(((c_TMAP2OUT)-(c_TMAP1OUT))&gt;=0,1,-1)*QUOTIENT(((c_TMAP2IN)-(c_TMAP1IN)),2)),((c_TMAP2IN)-(c_TMAP1IN)))+(c_TMAP1OUT)+IF(((c_TMAP2OUT)-(c_TMAP1OUT))&gt;=0,IF(IF(o_WRAP=1,MOD(((c_TMAP2IN)-(c_TMAP1IN))*(((A721)-(c_TMAP1IN))*((c_TMAP2OUT)-(c_TMAP1OUT))+IF(((c_TMAP2OUT)-(c_TMAP1OUT))&gt;=0,1,-1)*QUOTIENT(((c_TMAP2IN)-(c_TMAP1IN)),2))+2147483648,4294967296)-2147483648,((c_TMAP2IN)-(c_TMAP1IN))*(((A721)-(c_TMAP1IN))*((c_TMAP2OUT)-(c_TMAP1OUT))+IF(((c_TMAP2OUT)-(c_TMAP1OUT))&gt;=0,1,-1)*QUOTIENT(((c_TMAP2IN)-(c_TMAP1IN)),2)))&lt;0,-1,0),IF(IF(o_WRAP=1,MOD(((c_TMAP2IN)-(c_TMAP1IN))*(((A721)-(c_TMAP1IN))*((c_TMAP2OUT)-(c_TMAP1OUT))+IF(((c_TMAP2OUT)-(c_TMAP1OUT))&gt;=0,1,-1)*QUOTIENT(((c_TMAP2IN)-(c_TMAP1IN)),2))+2147483648,4294967296)-2147483648,((c_TMAP2IN)-(c_TMAP1IN))*(((A721)-(c_TMAP1IN))*((c_TMAP2OUT)-(c_TMAP1OUT))+IF(((c_TMAP2OUT)-(c_TMAP1OUT))&gt;=0,1,-1)*QUOTIENT(((c_TMAP2IN)-(c_TMAP1IN)),2)))&gt;=0,1,0)))</f>
        <v>316</v>
      </c>
      <c r="F721" s="7" t="n">
        <f aca="false">IF(((c_TMAP3IN)-(c_TMAP2IN))=0,(c_TMAP2OUT)+QUOTIENT(((c_TMAP3OUT)-(c_TMAP2OUT)),2),QUOTIENT((((A721)-(c_TMAP2IN))*((c_TMAP3OUT)-(c_TMAP2OUT))+IF(((c_TMAP3OUT)-(c_TMAP2OUT))&gt;=0,1,-1)*QUOTIENT(((c_TMAP3IN)-(c_TMAP2IN)),2)),((c_TMAP3IN)-(c_TMAP2IN)))+(c_TMAP2OUT)+IF(((c_TMAP3OUT)-(c_TMAP2OUT))&gt;=0,IF(IF(o_WRAP=1,MOD(((c_TMAP3IN)-(c_TMAP2IN))*(((A721)-(c_TMAP2IN))*((c_TMAP3OUT)-(c_TMAP2OUT))+IF(((c_TMAP3OUT)-(c_TMAP2OUT))&gt;=0,1,-1)*QUOTIENT(((c_TMAP3IN)-(c_TMAP2IN)),2))+2147483648,4294967296)-2147483648,((c_TMAP3IN)-(c_TMAP2IN))*(((A721)-(c_TMAP2IN))*((c_TMAP3OUT)-(c_TMAP2OUT))+IF(((c_TMAP3OUT)-(c_TMAP2OUT))&gt;=0,1,-1)*QUOTIENT(((c_TMAP3IN)-(c_TMAP2IN)),2)))&lt;0,-1,0),IF(IF(o_WRAP=1,MOD(((c_TMAP3IN)-(c_TMAP2IN))*(((A721)-(c_TMAP2IN))*((c_TMAP3OUT)-(c_TMAP2OUT))+IF(((c_TMAP3OUT)-(c_TMAP2OUT))&gt;=0,1,-1)*QUOTIENT(((c_TMAP3IN)-(c_TMAP2IN)),2))+2147483648,4294967296)-2147483648,((c_TMAP3IN)-(c_TMAP2IN))*(((A721)-(c_TMAP2IN))*((c_TMAP3OUT)-(c_TMAP2OUT))+IF(((c_TMAP3OUT)-(c_TMAP2OUT))&gt;=0,1,-1)*QUOTIENT(((c_TMAP3IN)-(c_TMAP2IN)),2)))&gt;=0,1,0)))</f>
        <v>456</v>
      </c>
      <c r="G721" s="7" t="n">
        <f aca="false">IF(((1000)-(c_TMAP3IN))=0,(c_TMAP3OUT)+QUOTIENT(((1000)-(c_TMAP3OUT)),2),QUOTIENT((((A721)-(c_TMAP3IN))*((1000)-(c_TMAP3OUT))+IF(((1000)-(c_TMAP3OUT))&gt;=0,1,-1)*QUOTIENT(((1000)-(c_TMAP3IN)),2)),((1000)-(c_TMAP3IN)))+(c_TMAP3OUT)+IF(((1000)-(c_TMAP3OUT))&gt;=0,IF(IF(o_WRAP=1,MOD(((1000)-(c_TMAP3IN))*(((A721)-(c_TMAP3IN))*((1000)-(c_TMAP3OUT))+IF(((1000)-(c_TMAP3OUT))&gt;=0,1,-1)*QUOTIENT(((1000)-(c_TMAP3IN)),2))+2147483648,4294967296)-2147483648,((1000)-(c_TMAP3IN))*(((A721)-(c_TMAP3IN))*((1000)-(c_TMAP3OUT))+IF(((1000)-(c_TMAP3OUT))&gt;=0,1,-1)*QUOTIENT(((1000)-(c_TMAP3IN)),2)))&lt;0,-1,0),IF(IF(o_WRAP=1,MOD(((1000)-(c_TMAP3IN))*(((A721)-(c_TMAP3IN))*((1000)-(c_TMAP3OUT))+IF(((1000)-(c_TMAP3OUT))&gt;=0,1,-1)*QUOTIENT(((1000)-(c_TMAP3IN)),2))+2147483648,4294967296)-2147483648,((1000)-(c_TMAP3IN))*(((A721)-(c_TMAP3IN))*((1000)-(c_TMAP3OUT))+IF(((1000)-(c_TMAP3OUT))&gt;=0,1,-1)*QUOTIENT(((1000)-(c_TMAP3IN)),2)))&gt;=0,1,0)))</f>
        <v>650</v>
      </c>
      <c r="H721" s="7" t="str">
        <f aca="false">IF(A721&gt;=c_TFWD,IF(AND(A721&gt;=c_TMAP3IN,c_TMAP3IN&lt;1000),"Seg4 map3-100%",IF(AND(A721&gt;=c_TMAP2IN,c_TMAP3IN&gt;c_TMAP2IN),"Seg3 map2-map3",IF(AND(A721&gt;=c_TMAP1IN,c_TMAP2IN&gt;c_TMAP1IN),"Seg2 map1-map2","Seg1 TFWD-map1"))),IF(AND(A721=0,c_TCREEP&gt;0),"Creep",IF(AND(A721&lt;=c_TRNGMIN,A721&gt;=c_TRNGMAX,c_TRNGMIN-c_TRNGMAX&lt;&gt;0),"Regen ramp","Coast (0)")))</f>
        <v>Seg4 map3-100%</v>
      </c>
      <c r="I721" s="7" t="n">
        <f aca="false">IF(A721&gt;=c_TFWD,IF(AND(A721&gt;=c_TMAP3IN,c_TMAP3IN&lt;1000),G721,IF(AND(A721&gt;=c_TMAP2IN,c_TMAP3IN&gt;c_TMAP2IN),F721,IF(AND(A721&gt;=c_TMAP1IN,c_TMAP2IN&gt;c_TMAP1IN),E721,D721))),C721)</f>
        <v>650</v>
      </c>
      <c r="J721" s="7" t="str">
        <f aca="false">IF(I721&lt;-1090,"TOO LOW",IF(I721&gt;1090,"TOO HIGH",""))</f>
        <v/>
      </c>
      <c r="K721" s="15" t="n">
        <f aca="false">IF(J721&lt;&gt;"",0,IF(I721&gt;979,1000,I721))</f>
        <v>650</v>
      </c>
      <c r="L721" s="7" t="n">
        <f aca="false">K721/10</f>
        <v>65</v>
      </c>
    </row>
    <row r="722" customFormat="false" ht="15" hidden="false" customHeight="false" outlineLevel="0" collapsed="false">
      <c r="A722" s="7" t="n">
        <v>717</v>
      </c>
      <c r="B722" s="7" t="n">
        <f aca="false">A722/10</f>
        <v>71.7</v>
      </c>
      <c r="C722" s="7" t="n">
        <f aca="false">IF(AND(A722=0,c_TCREEP&gt;0),10*c_TCREEP,IF(AND(A722&lt;=c_TRNGMIN,A722&gt;=c_TRNGMAX,c_TRNGMIN-c_TRNGMAX&lt;&gt;0),-10*c_TMINRN+QUOTIENT((c_TMAXRN-c_TMINRN)*(100-QUOTIENT((A722-c_TRNGMAX)*100,c_TRNGMIN-c_TRNGMAX)),-10),0))</f>
        <v>0</v>
      </c>
      <c r="D722" s="7" t="n">
        <f aca="false">IF(((c_TMAP1IN)-(c_TFWD))=0,(0)+QUOTIENT(((c_TMAP1OUT)-(0)),2),QUOTIENT((((A722)-(c_TFWD))*((c_TMAP1OUT)-(0))+IF(((c_TMAP1OUT)-(0))&gt;=0,1,-1)*QUOTIENT(((c_TMAP1IN)-(c_TFWD)),2)),((c_TMAP1IN)-(c_TFWD)))+(0)+IF(((c_TMAP1OUT)-(0))&gt;=0,IF(IF(o_WRAP=1,MOD(((c_TMAP1IN)-(c_TFWD))*(((A722)-(c_TFWD))*((c_TMAP1OUT)-(0))+IF(((c_TMAP1OUT)-(0))&gt;=0,1,-1)*QUOTIENT(((c_TMAP1IN)-(c_TFWD)),2))+2147483648,4294967296)-2147483648,((c_TMAP1IN)-(c_TFWD))*(((A722)-(c_TFWD))*((c_TMAP1OUT)-(0))+IF(((c_TMAP1OUT)-(0))&gt;=0,1,-1)*QUOTIENT(((c_TMAP1IN)-(c_TFWD)),2)))&lt;0,-1,0),IF(IF(o_WRAP=1,MOD(((c_TMAP1IN)-(c_TFWD))*(((A722)-(c_TFWD))*((c_TMAP1OUT)-(0))+IF(((c_TMAP1OUT)-(0))&gt;=0,1,-1)*QUOTIENT(((c_TMAP1IN)-(c_TFWD)),2))+2147483648,4294967296)-2147483648,((c_TMAP1IN)-(c_TFWD))*(((A722)-(c_TFWD))*((c_TMAP1OUT)-(0))+IF(((c_TMAP1OUT)-(0))&gt;=0,1,-1)*QUOTIENT(((c_TMAP1IN)-(c_TFWD)),2)))&gt;=0,1,0)))</f>
        <v>550</v>
      </c>
      <c r="E722" s="7" t="n">
        <f aca="false">IF(((c_TMAP2IN)-(c_TMAP1IN))=0,(c_TMAP1OUT)+QUOTIENT(((c_TMAP2OUT)-(c_TMAP1OUT)),2),QUOTIENT((((A722)-(c_TMAP1IN))*((c_TMAP2OUT)-(c_TMAP1OUT))+IF(((c_TMAP2OUT)-(c_TMAP1OUT))&gt;=0,1,-1)*QUOTIENT(((c_TMAP2IN)-(c_TMAP1IN)),2)),((c_TMAP2IN)-(c_TMAP1IN)))+(c_TMAP1OUT)+IF(((c_TMAP2OUT)-(c_TMAP1OUT))&gt;=0,IF(IF(o_WRAP=1,MOD(((c_TMAP2IN)-(c_TMAP1IN))*(((A722)-(c_TMAP1IN))*((c_TMAP2OUT)-(c_TMAP1OUT))+IF(((c_TMAP2OUT)-(c_TMAP1OUT))&gt;=0,1,-1)*QUOTIENT(((c_TMAP2IN)-(c_TMAP1IN)),2))+2147483648,4294967296)-2147483648,((c_TMAP2IN)-(c_TMAP1IN))*(((A722)-(c_TMAP1IN))*((c_TMAP2OUT)-(c_TMAP1OUT))+IF(((c_TMAP2OUT)-(c_TMAP1OUT))&gt;=0,1,-1)*QUOTIENT(((c_TMAP2IN)-(c_TMAP1IN)),2)))&lt;0,-1,0),IF(IF(o_WRAP=1,MOD(((c_TMAP2IN)-(c_TMAP1IN))*(((A722)-(c_TMAP1IN))*((c_TMAP2OUT)-(c_TMAP1OUT))+IF(((c_TMAP2OUT)-(c_TMAP1OUT))&gt;=0,1,-1)*QUOTIENT(((c_TMAP2IN)-(c_TMAP1IN)),2))+2147483648,4294967296)-2147483648,((c_TMAP2IN)-(c_TMAP1IN))*(((A722)-(c_TMAP1IN))*((c_TMAP2OUT)-(c_TMAP1OUT))+IF(((c_TMAP2OUT)-(c_TMAP1OUT))&gt;=0,1,-1)*QUOTIENT(((c_TMAP2IN)-(c_TMAP1IN)),2)))&gt;=0,1,0)))</f>
        <v>317</v>
      </c>
      <c r="F722" s="7" t="n">
        <f aca="false">IF(((c_TMAP3IN)-(c_TMAP2IN))=0,(c_TMAP2OUT)+QUOTIENT(((c_TMAP3OUT)-(c_TMAP2OUT)),2),QUOTIENT((((A722)-(c_TMAP2IN))*((c_TMAP3OUT)-(c_TMAP2OUT))+IF(((c_TMAP3OUT)-(c_TMAP2OUT))&gt;=0,1,-1)*QUOTIENT(((c_TMAP3IN)-(c_TMAP2IN)),2)),((c_TMAP3IN)-(c_TMAP2IN)))+(c_TMAP2OUT)+IF(((c_TMAP3OUT)-(c_TMAP2OUT))&gt;=0,IF(IF(o_WRAP=1,MOD(((c_TMAP3IN)-(c_TMAP2IN))*(((A722)-(c_TMAP2IN))*((c_TMAP3OUT)-(c_TMAP2OUT))+IF(((c_TMAP3OUT)-(c_TMAP2OUT))&gt;=0,1,-1)*QUOTIENT(((c_TMAP3IN)-(c_TMAP2IN)),2))+2147483648,4294967296)-2147483648,((c_TMAP3IN)-(c_TMAP2IN))*(((A722)-(c_TMAP2IN))*((c_TMAP3OUT)-(c_TMAP2OUT))+IF(((c_TMAP3OUT)-(c_TMAP2OUT))&gt;=0,1,-1)*QUOTIENT(((c_TMAP3IN)-(c_TMAP2IN)),2)))&lt;0,-1,0),IF(IF(o_WRAP=1,MOD(((c_TMAP3IN)-(c_TMAP2IN))*(((A722)-(c_TMAP2IN))*((c_TMAP3OUT)-(c_TMAP2OUT))+IF(((c_TMAP3OUT)-(c_TMAP2OUT))&gt;=0,1,-1)*QUOTIENT(((c_TMAP3IN)-(c_TMAP2IN)),2))+2147483648,4294967296)-2147483648,((c_TMAP3IN)-(c_TMAP2IN))*(((A722)-(c_TMAP2IN))*((c_TMAP3OUT)-(c_TMAP2OUT))+IF(((c_TMAP3OUT)-(c_TMAP2OUT))&gt;=0,1,-1)*QUOTIENT(((c_TMAP3IN)-(c_TMAP2IN)),2)))&gt;=0,1,0)))</f>
        <v>457</v>
      </c>
      <c r="G722" s="7" t="n">
        <f aca="false">IF(((1000)-(c_TMAP3IN))=0,(c_TMAP3OUT)+QUOTIENT(((1000)-(c_TMAP3OUT)),2),QUOTIENT((((A722)-(c_TMAP3IN))*((1000)-(c_TMAP3OUT))+IF(((1000)-(c_TMAP3OUT))&gt;=0,1,-1)*QUOTIENT(((1000)-(c_TMAP3IN)),2)),((1000)-(c_TMAP3IN)))+(c_TMAP3OUT)+IF(((1000)-(c_TMAP3OUT))&gt;=0,IF(IF(o_WRAP=1,MOD(((1000)-(c_TMAP3IN))*(((A722)-(c_TMAP3IN))*((1000)-(c_TMAP3OUT))+IF(((1000)-(c_TMAP3OUT))&gt;=0,1,-1)*QUOTIENT(((1000)-(c_TMAP3IN)),2))+2147483648,4294967296)-2147483648,((1000)-(c_TMAP3IN))*(((A722)-(c_TMAP3IN))*((1000)-(c_TMAP3OUT))+IF(((1000)-(c_TMAP3OUT))&gt;=0,1,-1)*QUOTIENT(((1000)-(c_TMAP3IN)),2)))&lt;0,-1,0),IF(IF(o_WRAP=1,MOD(((1000)-(c_TMAP3IN))*(((A722)-(c_TMAP3IN))*((1000)-(c_TMAP3OUT))+IF(((1000)-(c_TMAP3OUT))&gt;=0,1,-1)*QUOTIENT(((1000)-(c_TMAP3IN)),2))+2147483648,4294967296)-2147483648,((1000)-(c_TMAP3IN))*(((A722)-(c_TMAP3IN))*((1000)-(c_TMAP3OUT))+IF(((1000)-(c_TMAP3OUT))&gt;=0,1,-1)*QUOTIENT(((1000)-(c_TMAP3IN)),2)))&gt;=0,1,0)))</f>
        <v>652</v>
      </c>
      <c r="H722" s="7" t="str">
        <f aca="false">IF(A722&gt;=c_TFWD,IF(AND(A722&gt;=c_TMAP3IN,c_TMAP3IN&lt;1000),"Seg4 map3-100%",IF(AND(A722&gt;=c_TMAP2IN,c_TMAP3IN&gt;c_TMAP2IN),"Seg3 map2-map3",IF(AND(A722&gt;=c_TMAP1IN,c_TMAP2IN&gt;c_TMAP1IN),"Seg2 map1-map2","Seg1 TFWD-map1"))),IF(AND(A722=0,c_TCREEP&gt;0),"Creep",IF(AND(A722&lt;=c_TRNGMIN,A722&gt;=c_TRNGMAX,c_TRNGMIN-c_TRNGMAX&lt;&gt;0),"Regen ramp","Coast (0)")))</f>
        <v>Seg4 map3-100%</v>
      </c>
      <c r="I722" s="7" t="n">
        <f aca="false">IF(A722&gt;=c_TFWD,IF(AND(A722&gt;=c_TMAP3IN,c_TMAP3IN&lt;1000),G722,IF(AND(A722&gt;=c_TMAP2IN,c_TMAP3IN&gt;c_TMAP2IN),F722,IF(AND(A722&gt;=c_TMAP1IN,c_TMAP2IN&gt;c_TMAP1IN),E722,D722))),C722)</f>
        <v>652</v>
      </c>
      <c r="J722" s="7" t="str">
        <f aca="false">IF(I722&lt;-1090,"TOO LOW",IF(I722&gt;1090,"TOO HIGH",""))</f>
        <v/>
      </c>
      <c r="K722" s="15" t="n">
        <f aca="false">IF(J722&lt;&gt;"",0,IF(I722&gt;979,1000,I722))</f>
        <v>652</v>
      </c>
      <c r="L722" s="7" t="n">
        <f aca="false">K722/10</f>
        <v>65.2</v>
      </c>
    </row>
    <row r="723" customFormat="false" ht="15" hidden="false" customHeight="false" outlineLevel="0" collapsed="false">
      <c r="A723" s="7" t="n">
        <v>718</v>
      </c>
      <c r="B723" s="7" t="n">
        <f aca="false">A723/10</f>
        <v>71.8</v>
      </c>
      <c r="C723" s="7" t="n">
        <f aca="false">IF(AND(A723=0,c_TCREEP&gt;0),10*c_TCREEP,IF(AND(A723&lt;=c_TRNGMIN,A723&gt;=c_TRNGMAX,c_TRNGMIN-c_TRNGMAX&lt;&gt;0),-10*c_TMINRN+QUOTIENT((c_TMAXRN-c_TMINRN)*(100-QUOTIENT((A723-c_TRNGMAX)*100,c_TRNGMIN-c_TRNGMAX)),-10),0))</f>
        <v>0</v>
      </c>
      <c r="D723" s="7" t="n">
        <f aca="false">IF(((c_TMAP1IN)-(c_TFWD))=0,(0)+QUOTIENT(((c_TMAP1OUT)-(0)),2),QUOTIENT((((A723)-(c_TFWD))*((c_TMAP1OUT)-(0))+IF(((c_TMAP1OUT)-(0))&gt;=0,1,-1)*QUOTIENT(((c_TMAP1IN)-(c_TFWD)),2)),((c_TMAP1IN)-(c_TFWD)))+(0)+IF(((c_TMAP1OUT)-(0))&gt;=0,IF(IF(o_WRAP=1,MOD(((c_TMAP1IN)-(c_TFWD))*(((A723)-(c_TFWD))*((c_TMAP1OUT)-(0))+IF(((c_TMAP1OUT)-(0))&gt;=0,1,-1)*QUOTIENT(((c_TMAP1IN)-(c_TFWD)),2))+2147483648,4294967296)-2147483648,((c_TMAP1IN)-(c_TFWD))*(((A723)-(c_TFWD))*((c_TMAP1OUT)-(0))+IF(((c_TMAP1OUT)-(0))&gt;=0,1,-1)*QUOTIENT(((c_TMAP1IN)-(c_TFWD)),2)))&lt;0,-1,0),IF(IF(o_WRAP=1,MOD(((c_TMAP1IN)-(c_TFWD))*(((A723)-(c_TFWD))*((c_TMAP1OUT)-(0))+IF(((c_TMAP1OUT)-(0))&gt;=0,1,-1)*QUOTIENT(((c_TMAP1IN)-(c_TFWD)),2))+2147483648,4294967296)-2147483648,((c_TMAP1IN)-(c_TFWD))*(((A723)-(c_TFWD))*((c_TMAP1OUT)-(0))+IF(((c_TMAP1OUT)-(0))&gt;=0,1,-1)*QUOTIENT(((c_TMAP1IN)-(c_TFWD)),2)))&gt;=0,1,0)))</f>
        <v>551</v>
      </c>
      <c r="E723" s="7" t="n">
        <f aca="false">IF(((c_TMAP2IN)-(c_TMAP1IN))=0,(c_TMAP1OUT)+QUOTIENT(((c_TMAP2OUT)-(c_TMAP1OUT)),2),QUOTIENT((((A723)-(c_TMAP1IN))*((c_TMAP2OUT)-(c_TMAP1OUT))+IF(((c_TMAP2OUT)-(c_TMAP1OUT))&gt;=0,1,-1)*QUOTIENT(((c_TMAP2IN)-(c_TMAP1IN)),2)),((c_TMAP2IN)-(c_TMAP1IN)))+(c_TMAP1OUT)+IF(((c_TMAP2OUT)-(c_TMAP1OUT))&gt;=0,IF(IF(o_WRAP=1,MOD(((c_TMAP2IN)-(c_TMAP1IN))*(((A723)-(c_TMAP1IN))*((c_TMAP2OUT)-(c_TMAP1OUT))+IF(((c_TMAP2OUT)-(c_TMAP1OUT))&gt;=0,1,-1)*QUOTIENT(((c_TMAP2IN)-(c_TMAP1IN)),2))+2147483648,4294967296)-2147483648,((c_TMAP2IN)-(c_TMAP1IN))*(((A723)-(c_TMAP1IN))*((c_TMAP2OUT)-(c_TMAP1OUT))+IF(((c_TMAP2OUT)-(c_TMAP1OUT))&gt;=0,1,-1)*QUOTIENT(((c_TMAP2IN)-(c_TMAP1IN)),2)))&lt;0,-1,0),IF(IF(o_WRAP=1,MOD(((c_TMAP2IN)-(c_TMAP1IN))*(((A723)-(c_TMAP1IN))*((c_TMAP2OUT)-(c_TMAP1OUT))+IF(((c_TMAP2OUT)-(c_TMAP1OUT))&gt;=0,1,-1)*QUOTIENT(((c_TMAP2IN)-(c_TMAP1IN)),2))+2147483648,4294967296)-2147483648,((c_TMAP2IN)-(c_TMAP1IN))*(((A723)-(c_TMAP1IN))*((c_TMAP2OUT)-(c_TMAP1OUT))+IF(((c_TMAP2OUT)-(c_TMAP1OUT))&gt;=0,1,-1)*QUOTIENT(((c_TMAP2IN)-(c_TMAP1IN)),2)))&gt;=0,1,0)))</f>
        <v>317</v>
      </c>
      <c r="F723" s="7" t="n">
        <f aca="false">IF(((c_TMAP3IN)-(c_TMAP2IN))=0,(c_TMAP2OUT)+QUOTIENT(((c_TMAP3OUT)-(c_TMAP2OUT)),2),QUOTIENT((((A723)-(c_TMAP2IN))*((c_TMAP3OUT)-(c_TMAP2OUT))+IF(((c_TMAP3OUT)-(c_TMAP2OUT))&gt;=0,1,-1)*QUOTIENT(((c_TMAP3IN)-(c_TMAP2IN)),2)),((c_TMAP3IN)-(c_TMAP2IN)))+(c_TMAP2OUT)+IF(((c_TMAP3OUT)-(c_TMAP2OUT))&gt;=0,IF(IF(o_WRAP=1,MOD(((c_TMAP3IN)-(c_TMAP2IN))*(((A723)-(c_TMAP2IN))*((c_TMAP3OUT)-(c_TMAP2OUT))+IF(((c_TMAP3OUT)-(c_TMAP2OUT))&gt;=0,1,-1)*QUOTIENT(((c_TMAP3IN)-(c_TMAP2IN)),2))+2147483648,4294967296)-2147483648,((c_TMAP3IN)-(c_TMAP2IN))*(((A723)-(c_TMAP2IN))*((c_TMAP3OUT)-(c_TMAP2OUT))+IF(((c_TMAP3OUT)-(c_TMAP2OUT))&gt;=0,1,-1)*QUOTIENT(((c_TMAP3IN)-(c_TMAP2IN)),2)))&lt;0,-1,0),IF(IF(o_WRAP=1,MOD(((c_TMAP3IN)-(c_TMAP2IN))*(((A723)-(c_TMAP2IN))*((c_TMAP3OUT)-(c_TMAP2OUT))+IF(((c_TMAP3OUT)-(c_TMAP2OUT))&gt;=0,1,-1)*QUOTIENT(((c_TMAP3IN)-(c_TMAP2IN)),2))+2147483648,4294967296)-2147483648,((c_TMAP3IN)-(c_TMAP2IN))*(((A723)-(c_TMAP2IN))*((c_TMAP3OUT)-(c_TMAP2OUT))+IF(((c_TMAP3OUT)-(c_TMAP2OUT))&gt;=0,1,-1)*QUOTIENT(((c_TMAP3IN)-(c_TMAP2IN)),2)))&gt;=0,1,0)))</f>
        <v>458</v>
      </c>
      <c r="G723" s="7" t="n">
        <f aca="false">IF(((1000)-(c_TMAP3IN))=0,(c_TMAP3OUT)+QUOTIENT(((1000)-(c_TMAP3OUT)),2),QUOTIENT((((A723)-(c_TMAP3IN))*((1000)-(c_TMAP3OUT))+IF(((1000)-(c_TMAP3OUT))&gt;=0,1,-1)*QUOTIENT(((1000)-(c_TMAP3IN)),2)),((1000)-(c_TMAP3IN)))+(c_TMAP3OUT)+IF(((1000)-(c_TMAP3OUT))&gt;=0,IF(IF(o_WRAP=1,MOD(((1000)-(c_TMAP3IN))*(((A723)-(c_TMAP3IN))*((1000)-(c_TMAP3OUT))+IF(((1000)-(c_TMAP3OUT))&gt;=0,1,-1)*QUOTIENT(((1000)-(c_TMAP3IN)),2))+2147483648,4294967296)-2147483648,((1000)-(c_TMAP3IN))*(((A723)-(c_TMAP3IN))*((1000)-(c_TMAP3OUT))+IF(((1000)-(c_TMAP3OUT))&gt;=0,1,-1)*QUOTIENT(((1000)-(c_TMAP3IN)),2)))&lt;0,-1,0),IF(IF(o_WRAP=1,MOD(((1000)-(c_TMAP3IN))*(((A723)-(c_TMAP3IN))*((1000)-(c_TMAP3OUT))+IF(((1000)-(c_TMAP3OUT))&gt;=0,1,-1)*QUOTIENT(((1000)-(c_TMAP3IN)),2))+2147483648,4294967296)-2147483648,((1000)-(c_TMAP3IN))*(((A723)-(c_TMAP3IN))*((1000)-(c_TMAP3OUT))+IF(((1000)-(c_TMAP3OUT))&gt;=0,1,-1)*QUOTIENT(((1000)-(c_TMAP3IN)),2)))&gt;=0,1,0)))</f>
        <v>653</v>
      </c>
      <c r="H723" s="7" t="str">
        <f aca="false">IF(A723&gt;=c_TFWD,IF(AND(A723&gt;=c_TMAP3IN,c_TMAP3IN&lt;1000),"Seg4 map3-100%",IF(AND(A723&gt;=c_TMAP2IN,c_TMAP3IN&gt;c_TMAP2IN),"Seg3 map2-map3",IF(AND(A723&gt;=c_TMAP1IN,c_TMAP2IN&gt;c_TMAP1IN),"Seg2 map1-map2","Seg1 TFWD-map1"))),IF(AND(A723=0,c_TCREEP&gt;0),"Creep",IF(AND(A723&lt;=c_TRNGMIN,A723&gt;=c_TRNGMAX,c_TRNGMIN-c_TRNGMAX&lt;&gt;0),"Regen ramp","Coast (0)")))</f>
        <v>Seg4 map3-100%</v>
      </c>
      <c r="I723" s="7" t="n">
        <f aca="false">IF(A723&gt;=c_TFWD,IF(AND(A723&gt;=c_TMAP3IN,c_TMAP3IN&lt;1000),G723,IF(AND(A723&gt;=c_TMAP2IN,c_TMAP3IN&gt;c_TMAP2IN),F723,IF(AND(A723&gt;=c_TMAP1IN,c_TMAP2IN&gt;c_TMAP1IN),E723,D723))),C723)</f>
        <v>653</v>
      </c>
      <c r="J723" s="7" t="str">
        <f aca="false">IF(I723&lt;-1090,"TOO LOW",IF(I723&gt;1090,"TOO HIGH",""))</f>
        <v/>
      </c>
      <c r="K723" s="15" t="n">
        <f aca="false">IF(J723&lt;&gt;"",0,IF(I723&gt;979,1000,I723))</f>
        <v>653</v>
      </c>
      <c r="L723" s="7" t="n">
        <f aca="false">K723/10</f>
        <v>65.3</v>
      </c>
    </row>
    <row r="724" customFormat="false" ht="15" hidden="false" customHeight="false" outlineLevel="0" collapsed="false">
      <c r="A724" s="7" t="n">
        <v>719</v>
      </c>
      <c r="B724" s="7" t="n">
        <f aca="false">A724/10</f>
        <v>71.9</v>
      </c>
      <c r="C724" s="7" t="n">
        <f aca="false">IF(AND(A724=0,c_TCREEP&gt;0),10*c_TCREEP,IF(AND(A724&lt;=c_TRNGMIN,A724&gt;=c_TRNGMAX,c_TRNGMIN-c_TRNGMAX&lt;&gt;0),-10*c_TMINRN+QUOTIENT((c_TMAXRN-c_TMINRN)*(100-QUOTIENT((A724-c_TRNGMAX)*100,c_TRNGMIN-c_TRNGMAX)),-10),0))</f>
        <v>0</v>
      </c>
      <c r="D724" s="7" t="n">
        <f aca="false">IF(((c_TMAP1IN)-(c_TFWD))=0,(0)+QUOTIENT(((c_TMAP1OUT)-(0)),2),QUOTIENT((((A724)-(c_TFWD))*((c_TMAP1OUT)-(0))+IF(((c_TMAP1OUT)-(0))&gt;=0,1,-1)*QUOTIENT(((c_TMAP1IN)-(c_TFWD)),2)),((c_TMAP1IN)-(c_TFWD)))+(0)+IF(((c_TMAP1OUT)-(0))&gt;=0,IF(IF(o_WRAP=1,MOD(((c_TMAP1IN)-(c_TFWD))*(((A724)-(c_TFWD))*((c_TMAP1OUT)-(0))+IF(((c_TMAP1OUT)-(0))&gt;=0,1,-1)*QUOTIENT(((c_TMAP1IN)-(c_TFWD)),2))+2147483648,4294967296)-2147483648,((c_TMAP1IN)-(c_TFWD))*(((A724)-(c_TFWD))*((c_TMAP1OUT)-(0))+IF(((c_TMAP1OUT)-(0))&gt;=0,1,-1)*QUOTIENT(((c_TMAP1IN)-(c_TFWD)),2)))&lt;0,-1,0),IF(IF(o_WRAP=1,MOD(((c_TMAP1IN)-(c_TFWD))*(((A724)-(c_TFWD))*((c_TMAP1OUT)-(0))+IF(((c_TMAP1OUT)-(0))&gt;=0,1,-1)*QUOTIENT(((c_TMAP1IN)-(c_TFWD)),2))+2147483648,4294967296)-2147483648,((c_TMAP1IN)-(c_TFWD))*(((A724)-(c_TFWD))*((c_TMAP1OUT)-(0))+IF(((c_TMAP1OUT)-(0))&gt;=0,1,-1)*QUOTIENT(((c_TMAP1IN)-(c_TFWD)),2)))&gt;=0,1,0)))</f>
        <v>551</v>
      </c>
      <c r="E724" s="7" t="n">
        <f aca="false">IF(((c_TMAP2IN)-(c_TMAP1IN))=0,(c_TMAP1OUT)+QUOTIENT(((c_TMAP2OUT)-(c_TMAP1OUT)),2),QUOTIENT((((A724)-(c_TMAP1IN))*((c_TMAP2OUT)-(c_TMAP1OUT))+IF(((c_TMAP2OUT)-(c_TMAP1OUT))&gt;=0,1,-1)*QUOTIENT(((c_TMAP2IN)-(c_TMAP1IN)),2)),((c_TMAP2IN)-(c_TMAP1IN)))+(c_TMAP1OUT)+IF(((c_TMAP2OUT)-(c_TMAP1OUT))&gt;=0,IF(IF(o_WRAP=1,MOD(((c_TMAP2IN)-(c_TMAP1IN))*(((A724)-(c_TMAP1IN))*((c_TMAP2OUT)-(c_TMAP1OUT))+IF(((c_TMAP2OUT)-(c_TMAP1OUT))&gt;=0,1,-1)*QUOTIENT(((c_TMAP2IN)-(c_TMAP1IN)),2))+2147483648,4294967296)-2147483648,((c_TMAP2IN)-(c_TMAP1IN))*(((A724)-(c_TMAP1IN))*((c_TMAP2OUT)-(c_TMAP1OUT))+IF(((c_TMAP2OUT)-(c_TMAP1OUT))&gt;=0,1,-1)*QUOTIENT(((c_TMAP2IN)-(c_TMAP1IN)),2)))&lt;0,-1,0),IF(IF(o_WRAP=1,MOD(((c_TMAP2IN)-(c_TMAP1IN))*(((A724)-(c_TMAP1IN))*((c_TMAP2OUT)-(c_TMAP1OUT))+IF(((c_TMAP2OUT)-(c_TMAP1OUT))&gt;=0,1,-1)*QUOTIENT(((c_TMAP2IN)-(c_TMAP1IN)),2))+2147483648,4294967296)-2147483648,((c_TMAP2IN)-(c_TMAP1IN))*(((A724)-(c_TMAP1IN))*((c_TMAP2OUT)-(c_TMAP1OUT))+IF(((c_TMAP2OUT)-(c_TMAP1OUT))&gt;=0,1,-1)*QUOTIENT(((c_TMAP2IN)-(c_TMAP1IN)),2)))&gt;=0,1,0)))</f>
        <v>318</v>
      </c>
      <c r="F724" s="7" t="n">
        <f aca="false">IF(((c_TMAP3IN)-(c_TMAP2IN))=0,(c_TMAP2OUT)+QUOTIENT(((c_TMAP3OUT)-(c_TMAP2OUT)),2),QUOTIENT((((A724)-(c_TMAP2IN))*((c_TMAP3OUT)-(c_TMAP2OUT))+IF(((c_TMAP3OUT)-(c_TMAP2OUT))&gt;=0,1,-1)*QUOTIENT(((c_TMAP3IN)-(c_TMAP2IN)),2)),((c_TMAP3IN)-(c_TMAP2IN)))+(c_TMAP2OUT)+IF(((c_TMAP3OUT)-(c_TMAP2OUT))&gt;=0,IF(IF(o_WRAP=1,MOD(((c_TMAP3IN)-(c_TMAP2IN))*(((A724)-(c_TMAP2IN))*((c_TMAP3OUT)-(c_TMAP2OUT))+IF(((c_TMAP3OUT)-(c_TMAP2OUT))&gt;=0,1,-1)*QUOTIENT(((c_TMAP3IN)-(c_TMAP2IN)),2))+2147483648,4294967296)-2147483648,((c_TMAP3IN)-(c_TMAP2IN))*(((A724)-(c_TMAP2IN))*((c_TMAP3OUT)-(c_TMAP2OUT))+IF(((c_TMAP3OUT)-(c_TMAP2OUT))&gt;=0,1,-1)*QUOTIENT(((c_TMAP3IN)-(c_TMAP2IN)),2)))&lt;0,-1,0),IF(IF(o_WRAP=1,MOD(((c_TMAP3IN)-(c_TMAP2IN))*(((A724)-(c_TMAP2IN))*((c_TMAP3OUT)-(c_TMAP2OUT))+IF(((c_TMAP3OUT)-(c_TMAP2OUT))&gt;=0,1,-1)*QUOTIENT(((c_TMAP3IN)-(c_TMAP2IN)),2))+2147483648,4294967296)-2147483648,((c_TMAP3IN)-(c_TMAP2IN))*(((A724)-(c_TMAP2IN))*((c_TMAP3OUT)-(c_TMAP2OUT))+IF(((c_TMAP3OUT)-(c_TMAP2OUT))&gt;=0,1,-1)*QUOTIENT(((c_TMAP3IN)-(c_TMAP2IN)),2)))&gt;=0,1,0)))</f>
        <v>458</v>
      </c>
      <c r="G724" s="7" t="n">
        <f aca="false">IF(((1000)-(c_TMAP3IN))=0,(c_TMAP3OUT)+QUOTIENT(((1000)-(c_TMAP3OUT)),2),QUOTIENT((((A724)-(c_TMAP3IN))*((1000)-(c_TMAP3OUT))+IF(((1000)-(c_TMAP3OUT))&gt;=0,1,-1)*QUOTIENT(((1000)-(c_TMAP3IN)),2)),((1000)-(c_TMAP3IN)))+(c_TMAP3OUT)+IF(((1000)-(c_TMAP3OUT))&gt;=0,IF(IF(o_WRAP=1,MOD(((1000)-(c_TMAP3IN))*(((A724)-(c_TMAP3IN))*((1000)-(c_TMAP3OUT))+IF(((1000)-(c_TMAP3OUT))&gt;=0,1,-1)*QUOTIENT(((1000)-(c_TMAP3IN)),2))+2147483648,4294967296)-2147483648,((1000)-(c_TMAP3IN))*(((A724)-(c_TMAP3IN))*((1000)-(c_TMAP3OUT))+IF(((1000)-(c_TMAP3OUT))&gt;=0,1,-1)*QUOTIENT(((1000)-(c_TMAP3IN)),2)))&lt;0,-1,0),IF(IF(o_WRAP=1,MOD(((1000)-(c_TMAP3IN))*(((A724)-(c_TMAP3IN))*((1000)-(c_TMAP3OUT))+IF(((1000)-(c_TMAP3OUT))&gt;=0,1,-1)*QUOTIENT(((1000)-(c_TMAP3IN)),2))+2147483648,4294967296)-2147483648,((1000)-(c_TMAP3IN))*(((A724)-(c_TMAP3IN))*((1000)-(c_TMAP3OUT))+IF(((1000)-(c_TMAP3OUT))&gt;=0,1,-1)*QUOTIENT(((1000)-(c_TMAP3IN)),2)))&gt;=0,1,0)))</f>
        <v>654</v>
      </c>
      <c r="H724" s="7" t="str">
        <f aca="false">IF(A724&gt;=c_TFWD,IF(AND(A724&gt;=c_TMAP3IN,c_TMAP3IN&lt;1000),"Seg4 map3-100%",IF(AND(A724&gt;=c_TMAP2IN,c_TMAP3IN&gt;c_TMAP2IN),"Seg3 map2-map3",IF(AND(A724&gt;=c_TMAP1IN,c_TMAP2IN&gt;c_TMAP1IN),"Seg2 map1-map2","Seg1 TFWD-map1"))),IF(AND(A724=0,c_TCREEP&gt;0),"Creep",IF(AND(A724&lt;=c_TRNGMIN,A724&gt;=c_TRNGMAX,c_TRNGMIN-c_TRNGMAX&lt;&gt;0),"Regen ramp","Coast (0)")))</f>
        <v>Seg4 map3-100%</v>
      </c>
      <c r="I724" s="7" t="n">
        <f aca="false">IF(A724&gt;=c_TFWD,IF(AND(A724&gt;=c_TMAP3IN,c_TMAP3IN&lt;1000),G724,IF(AND(A724&gt;=c_TMAP2IN,c_TMAP3IN&gt;c_TMAP2IN),F724,IF(AND(A724&gt;=c_TMAP1IN,c_TMAP2IN&gt;c_TMAP1IN),E724,D724))),C724)</f>
        <v>654</v>
      </c>
      <c r="J724" s="7" t="str">
        <f aca="false">IF(I724&lt;-1090,"TOO LOW",IF(I724&gt;1090,"TOO HIGH",""))</f>
        <v/>
      </c>
      <c r="K724" s="15" t="n">
        <f aca="false">IF(J724&lt;&gt;"",0,IF(I724&gt;979,1000,I724))</f>
        <v>654</v>
      </c>
      <c r="L724" s="7" t="n">
        <f aca="false">K724/10</f>
        <v>65.4</v>
      </c>
    </row>
    <row r="725" customFormat="false" ht="15" hidden="false" customHeight="false" outlineLevel="0" collapsed="false">
      <c r="A725" s="7" t="n">
        <v>720</v>
      </c>
      <c r="B725" s="7" t="n">
        <f aca="false">A725/10</f>
        <v>72</v>
      </c>
      <c r="C725" s="7" t="n">
        <f aca="false">IF(AND(A725=0,c_TCREEP&gt;0),10*c_TCREEP,IF(AND(A725&lt;=c_TRNGMIN,A725&gt;=c_TRNGMAX,c_TRNGMIN-c_TRNGMAX&lt;&gt;0),-10*c_TMINRN+QUOTIENT((c_TMAXRN-c_TMINRN)*(100-QUOTIENT((A725-c_TRNGMAX)*100,c_TRNGMIN-c_TRNGMAX)),-10),0))</f>
        <v>0</v>
      </c>
      <c r="D725" s="7" t="n">
        <f aca="false">IF(((c_TMAP1IN)-(c_TFWD))=0,(0)+QUOTIENT(((c_TMAP1OUT)-(0)),2),QUOTIENT((((A725)-(c_TFWD))*((c_TMAP1OUT)-(0))+IF(((c_TMAP1OUT)-(0))&gt;=0,1,-1)*QUOTIENT(((c_TMAP1IN)-(c_TFWD)),2)),((c_TMAP1IN)-(c_TFWD)))+(0)+IF(((c_TMAP1OUT)-(0))&gt;=0,IF(IF(o_WRAP=1,MOD(((c_TMAP1IN)-(c_TFWD))*(((A725)-(c_TFWD))*((c_TMAP1OUT)-(0))+IF(((c_TMAP1OUT)-(0))&gt;=0,1,-1)*QUOTIENT(((c_TMAP1IN)-(c_TFWD)),2))+2147483648,4294967296)-2147483648,((c_TMAP1IN)-(c_TFWD))*(((A725)-(c_TFWD))*((c_TMAP1OUT)-(0))+IF(((c_TMAP1OUT)-(0))&gt;=0,1,-1)*QUOTIENT(((c_TMAP1IN)-(c_TFWD)),2)))&lt;0,-1,0),IF(IF(o_WRAP=1,MOD(((c_TMAP1IN)-(c_TFWD))*(((A725)-(c_TFWD))*((c_TMAP1OUT)-(0))+IF(((c_TMAP1OUT)-(0))&gt;=0,1,-1)*QUOTIENT(((c_TMAP1IN)-(c_TFWD)),2))+2147483648,4294967296)-2147483648,((c_TMAP1IN)-(c_TFWD))*(((A725)-(c_TFWD))*((c_TMAP1OUT)-(0))+IF(((c_TMAP1OUT)-(0))&gt;=0,1,-1)*QUOTIENT(((c_TMAP1IN)-(c_TFWD)),2)))&gt;=0,1,0)))</f>
        <v>552</v>
      </c>
      <c r="E725" s="7" t="n">
        <f aca="false">IF(((c_TMAP2IN)-(c_TMAP1IN))=0,(c_TMAP1OUT)+QUOTIENT(((c_TMAP2OUT)-(c_TMAP1OUT)),2),QUOTIENT((((A725)-(c_TMAP1IN))*((c_TMAP2OUT)-(c_TMAP1OUT))+IF(((c_TMAP2OUT)-(c_TMAP1OUT))&gt;=0,1,-1)*QUOTIENT(((c_TMAP2IN)-(c_TMAP1IN)),2)),((c_TMAP2IN)-(c_TMAP1IN)))+(c_TMAP1OUT)+IF(((c_TMAP2OUT)-(c_TMAP1OUT))&gt;=0,IF(IF(o_WRAP=1,MOD(((c_TMAP2IN)-(c_TMAP1IN))*(((A725)-(c_TMAP1IN))*((c_TMAP2OUT)-(c_TMAP1OUT))+IF(((c_TMAP2OUT)-(c_TMAP1OUT))&gt;=0,1,-1)*QUOTIENT(((c_TMAP2IN)-(c_TMAP1IN)),2))+2147483648,4294967296)-2147483648,((c_TMAP2IN)-(c_TMAP1IN))*(((A725)-(c_TMAP1IN))*((c_TMAP2OUT)-(c_TMAP1OUT))+IF(((c_TMAP2OUT)-(c_TMAP1OUT))&gt;=0,1,-1)*QUOTIENT(((c_TMAP2IN)-(c_TMAP1IN)),2)))&lt;0,-1,0),IF(IF(o_WRAP=1,MOD(((c_TMAP2IN)-(c_TMAP1IN))*(((A725)-(c_TMAP1IN))*((c_TMAP2OUT)-(c_TMAP1OUT))+IF(((c_TMAP2OUT)-(c_TMAP1OUT))&gt;=0,1,-1)*QUOTIENT(((c_TMAP2IN)-(c_TMAP1IN)),2))+2147483648,4294967296)-2147483648,((c_TMAP2IN)-(c_TMAP1IN))*(((A725)-(c_TMAP1IN))*((c_TMAP2OUT)-(c_TMAP1OUT))+IF(((c_TMAP2OUT)-(c_TMAP1OUT))&gt;=0,1,-1)*QUOTIENT(((c_TMAP2IN)-(c_TMAP1IN)),2)))&gt;=0,1,0)))</f>
        <v>318</v>
      </c>
      <c r="F725" s="7" t="n">
        <f aca="false">IF(((c_TMAP3IN)-(c_TMAP2IN))=0,(c_TMAP2OUT)+QUOTIENT(((c_TMAP3OUT)-(c_TMAP2OUT)),2),QUOTIENT((((A725)-(c_TMAP2IN))*((c_TMAP3OUT)-(c_TMAP2OUT))+IF(((c_TMAP3OUT)-(c_TMAP2OUT))&gt;=0,1,-1)*QUOTIENT(((c_TMAP3IN)-(c_TMAP2IN)),2)),((c_TMAP3IN)-(c_TMAP2IN)))+(c_TMAP2OUT)+IF(((c_TMAP3OUT)-(c_TMAP2OUT))&gt;=0,IF(IF(o_WRAP=1,MOD(((c_TMAP3IN)-(c_TMAP2IN))*(((A725)-(c_TMAP2IN))*((c_TMAP3OUT)-(c_TMAP2OUT))+IF(((c_TMAP3OUT)-(c_TMAP2OUT))&gt;=0,1,-1)*QUOTIENT(((c_TMAP3IN)-(c_TMAP2IN)),2))+2147483648,4294967296)-2147483648,((c_TMAP3IN)-(c_TMAP2IN))*(((A725)-(c_TMAP2IN))*((c_TMAP3OUT)-(c_TMAP2OUT))+IF(((c_TMAP3OUT)-(c_TMAP2OUT))&gt;=0,1,-1)*QUOTIENT(((c_TMAP3IN)-(c_TMAP2IN)),2)))&lt;0,-1,0),IF(IF(o_WRAP=1,MOD(((c_TMAP3IN)-(c_TMAP2IN))*(((A725)-(c_TMAP2IN))*((c_TMAP3OUT)-(c_TMAP2OUT))+IF(((c_TMAP3OUT)-(c_TMAP2OUT))&gt;=0,1,-1)*QUOTIENT(((c_TMAP3IN)-(c_TMAP2IN)),2))+2147483648,4294967296)-2147483648,((c_TMAP3IN)-(c_TMAP2IN))*(((A725)-(c_TMAP2IN))*((c_TMAP3OUT)-(c_TMAP2OUT))+IF(((c_TMAP3OUT)-(c_TMAP2OUT))&gt;=0,1,-1)*QUOTIENT(((c_TMAP3IN)-(c_TMAP2IN)),2)))&gt;=0,1,0)))</f>
        <v>459</v>
      </c>
      <c r="G725" s="7" t="n">
        <f aca="false">IF(((1000)-(c_TMAP3IN))=0,(c_TMAP3OUT)+QUOTIENT(((1000)-(c_TMAP3OUT)),2),QUOTIENT((((A725)-(c_TMAP3IN))*((1000)-(c_TMAP3OUT))+IF(((1000)-(c_TMAP3OUT))&gt;=0,1,-1)*QUOTIENT(((1000)-(c_TMAP3IN)),2)),((1000)-(c_TMAP3IN)))+(c_TMAP3OUT)+IF(((1000)-(c_TMAP3OUT))&gt;=0,IF(IF(o_WRAP=1,MOD(((1000)-(c_TMAP3IN))*(((A725)-(c_TMAP3IN))*((1000)-(c_TMAP3OUT))+IF(((1000)-(c_TMAP3OUT))&gt;=0,1,-1)*QUOTIENT(((1000)-(c_TMAP3IN)),2))+2147483648,4294967296)-2147483648,((1000)-(c_TMAP3IN))*(((A725)-(c_TMAP3IN))*((1000)-(c_TMAP3OUT))+IF(((1000)-(c_TMAP3OUT))&gt;=0,1,-1)*QUOTIENT(((1000)-(c_TMAP3IN)),2)))&lt;0,-1,0),IF(IF(o_WRAP=1,MOD(((1000)-(c_TMAP3IN))*(((A725)-(c_TMAP3IN))*((1000)-(c_TMAP3OUT))+IF(((1000)-(c_TMAP3OUT))&gt;=0,1,-1)*QUOTIENT(((1000)-(c_TMAP3IN)),2))+2147483648,4294967296)-2147483648,((1000)-(c_TMAP3IN))*(((A725)-(c_TMAP3IN))*((1000)-(c_TMAP3OUT))+IF(((1000)-(c_TMAP3OUT))&gt;=0,1,-1)*QUOTIENT(((1000)-(c_TMAP3IN)),2)))&gt;=0,1,0)))</f>
        <v>655</v>
      </c>
      <c r="H725" s="7" t="str">
        <f aca="false">IF(A725&gt;=c_TFWD,IF(AND(A725&gt;=c_TMAP3IN,c_TMAP3IN&lt;1000),"Seg4 map3-100%",IF(AND(A725&gt;=c_TMAP2IN,c_TMAP3IN&gt;c_TMAP2IN),"Seg3 map2-map3",IF(AND(A725&gt;=c_TMAP1IN,c_TMAP2IN&gt;c_TMAP1IN),"Seg2 map1-map2","Seg1 TFWD-map1"))),IF(AND(A725=0,c_TCREEP&gt;0),"Creep",IF(AND(A725&lt;=c_TRNGMIN,A725&gt;=c_TRNGMAX,c_TRNGMIN-c_TRNGMAX&lt;&gt;0),"Regen ramp","Coast (0)")))</f>
        <v>Seg4 map3-100%</v>
      </c>
      <c r="I725" s="7" t="n">
        <f aca="false">IF(A725&gt;=c_TFWD,IF(AND(A725&gt;=c_TMAP3IN,c_TMAP3IN&lt;1000),G725,IF(AND(A725&gt;=c_TMAP2IN,c_TMAP3IN&gt;c_TMAP2IN),F725,IF(AND(A725&gt;=c_TMAP1IN,c_TMAP2IN&gt;c_TMAP1IN),E725,D725))),C725)</f>
        <v>655</v>
      </c>
      <c r="J725" s="7" t="str">
        <f aca="false">IF(I725&lt;-1090,"TOO LOW",IF(I725&gt;1090,"TOO HIGH",""))</f>
        <v/>
      </c>
      <c r="K725" s="15" t="n">
        <f aca="false">IF(J725&lt;&gt;"",0,IF(I725&gt;979,1000,I725))</f>
        <v>655</v>
      </c>
      <c r="L725" s="7" t="n">
        <f aca="false">K725/10</f>
        <v>65.5</v>
      </c>
    </row>
    <row r="726" customFormat="false" ht="15" hidden="false" customHeight="false" outlineLevel="0" collapsed="false">
      <c r="A726" s="7" t="n">
        <v>721</v>
      </c>
      <c r="B726" s="7" t="n">
        <f aca="false">A726/10</f>
        <v>72.1</v>
      </c>
      <c r="C726" s="7" t="n">
        <f aca="false">IF(AND(A726=0,c_TCREEP&gt;0),10*c_TCREEP,IF(AND(A726&lt;=c_TRNGMIN,A726&gt;=c_TRNGMAX,c_TRNGMIN-c_TRNGMAX&lt;&gt;0),-10*c_TMINRN+QUOTIENT((c_TMAXRN-c_TMINRN)*(100-QUOTIENT((A726-c_TRNGMAX)*100,c_TRNGMIN-c_TRNGMAX)),-10),0))</f>
        <v>0</v>
      </c>
      <c r="D726" s="7" t="n">
        <f aca="false">IF(((c_TMAP1IN)-(c_TFWD))=0,(0)+QUOTIENT(((c_TMAP1OUT)-(0)),2),QUOTIENT((((A726)-(c_TFWD))*((c_TMAP1OUT)-(0))+IF(((c_TMAP1OUT)-(0))&gt;=0,1,-1)*QUOTIENT(((c_TMAP1IN)-(c_TFWD)),2)),((c_TMAP1IN)-(c_TFWD)))+(0)+IF(((c_TMAP1OUT)-(0))&gt;=0,IF(IF(o_WRAP=1,MOD(((c_TMAP1IN)-(c_TFWD))*(((A726)-(c_TFWD))*((c_TMAP1OUT)-(0))+IF(((c_TMAP1OUT)-(0))&gt;=0,1,-1)*QUOTIENT(((c_TMAP1IN)-(c_TFWD)),2))+2147483648,4294967296)-2147483648,((c_TMAP1IN)-(c_TFWD))*(((A726)-(c_TFWD))*((c_TMAP1OUT)-(0))+IF(((c_TMAP1OUT)-(0))&gt;=0,1,-1)*QUOTIENT(((c_TMAP1IN)-(c_TFWD)),2)))&lt;0,-1,0),IF(IF(o_WRAP=1,MOD(((c_TMAP1IN)-(c_TFWD))*(((A726)-(c_TFWD))*((c_TMAP1OUT)-(0))+IF(((c_TMAP1OUT)-(0))&gt;=0,1,-1)*QUOTIENT(((c_TMAP1IN)-(c_TFWD)),2))+2147483648,4294967296)-2147483648,((c_TMAP1IN)-(c_TFWD))*(((A726)-(c_TFWD))*((c_TMAP1OUT)-(0))+IF(((c_TMAP1OUT)-(0))&gt;=0,1,-1)*QUOTIENT(((c_TMAP1IN)-(c_TFWD)),2)))&gt;=0,1,0)))</f>
        <v>553</v>
      </c>
      <c r="E726" s="7" t="n">
        <f aca="false">IF(((c_TMAP2IN)-(c_TMAP1IN))=0,(c_TMAP1OUT)+QUOTIENT(((c_TMAP2OUT)-(c_TMAP1OUT)),2),QUOTIENT((((A726)-(c_TMAP1IN))*((c_TMAP2OUT)-(c_TMAP1OUT))+IF(((c_TMAP2OUT)-(c_TMAP1OUT))&gt;=0,1,-1)*QUOTIENT(((c_TMAP2IN)-(c_TMAP1IN)),2)),((c_TMAP2IN)-(c_TMAP1IN)))+(c_TMAP1OUT)+IF(((c_TMAP2OUT)-(c_TMAP1OUT))&gt;=0,IF(IF(o_WRAP=1,MOD(((c_TMAP2IN)-(c_TMAP1IN))*(((A726)-(c_TMAP1IN))*((c_TMAP2OUT)-(c_TMAP1OUT))+IF(((c_TMAP2OUT)-(c_TMAP1OUT))&gt;=0,1,-1)*QUOTIENT(((c_TMAP2IN)-(c_TMAP1IN)),2))+2147483648,4294967296)-2147483648,((c_TMAP2IN)-(c_TMAP1IN))*(((A726)-(c_TMAP1IN))*((c_TMAP2OUT)-(c_TMAP1OUT))+IF(((c_TMAP2OUT)-(c_TMAP1OUT))&gt;=0,1,-1)*QUOTIENT(((c_TMAP2IN)-(c_TMAP1IN)),2)))&lt;0,-1,0),IF(IF(o_WRAP=1,MOD(((c_TMAP2IN)-(c_TMAP1IN))*(((A726)-(c_TMAP1IN))*((c_TMAP2OUT)-(c_TMAP1OUT))+IF(((c_TMAP2OUT)-(c_TMAP1OUT))&gt;=0,1,-1)*QUOTIENT(((c_TMAP2IN)-(c_TMAP1IN)),2))+2147483648,4294967296)-2147483648,((c_TMAP2IN)-(c_TMAP1IN))*(((A726)-(c_TMAP1IN))*((c_TMAP2OUT)-(c_TMAP1OUT))+IF(((c_TMAP2OUT)-(c_TMAP1OUT))&gt;=0,1,-1)*QUOTIENT(((c_TMAP2IN)-(c_TMAP1IN)),2)))&gt;=0,1,0)))</f>
        <v>318</v>
      </c>
      <c r="F726" s="7" t="n">
        <f aca="false">IF(((c_TMAP3IN)-(c_TMAP2IN))=0,(c_TMAP2OUT)+QUOTIENT(((c_TMAP3OUT)-(c_TMAP2OUT)),2),QUOTIENT((((A726)-(c_TMAP2IN))*((c_TMAP3OUT)-(c_TMAP2OUT))+IF(((c_TMAP3OUT)-(c_TMAP2OUT))&gt;=0,1,-1)*QUOTIENT(((c_TMAP3IN)-(c_TMAP2IN)),2)),((c_TMAP3IN)-(c_TMAP2IN)))+(c_TMAP2OUT)+IF(((c_TMAP3OUT)-(c_TMAP2OUT))&gt;=0,IF(IF(o_WRAP=1,MOD(((c_TMAP3IN)-(c_TMAP2IN))*(((A726)-(c_TMAP2IN))*((c_TMAP3OUT)-(c_TMAP2OUT))+IF(((c_TMAP3OUT)-(c_TMAP2OUT))&gt;=0,1,-1)*QUOTIENT(((c_TMAP3IN)-(c_TMAP2IN)),2))+2147483648,4294967296)-2147483648,((c_TMAP3IN)-(c_TMAP2IN))*(((A726)-(c_TMAP2IN))*((c_TMAP3OUT)-(c_TMAP2OUT))+IF(((c_TMAP3OUT)-(c_TMAP2OUT))&gt;=0,1,-1)*QUOTIENT(((c_TMAP3IN)-(c_TMAP2IN)),2)))&lt;0,-1,0),IF(IF(o_WRAP=1,MOD(((c_TMAP3IN)-(c_TMAP2IN))*(((A726)-(c_TMAP2IN))*((c_TMAP3OUT)-(c_TMAP2OUT))+IF(((c_TMAP3OUT)-(c_TMAP2OUT))&gt;=0,1,-1)*QUOTIENT(((c_TMAP3IN)-(c_TMAP2IN)),2))+2147483648,4294967296)-2147483648,((c_TMAP3IN)-(c_TMAP2IN))*(((A726)-(c_TMAP2IN))*((c_TMAP3OUT)-(c_TMAP2OUT))+IF(((c_TMAP3OUT)-(c_TMAP2OUT))&gt;=0,1,-1)*QUOTIENT(((c_TMAP3IN)-(c_TMAP2IN)),2)))&gt;=0,1,0)))</f>
        <v>460</v>
      </c>
      <c r="G726" s="7" t="n">
        <f aca="false">IF(((1000)-(c_TMAP3IN))=0,(c_TMAP3OUT)+QUOTIENT(((1000)-(c_TMAP3OUT)),2),QUOTIENT((((A726)-(c_TMAP3IN))*((1000)-(c_TMAP3OUT))+IF(((1000)-(c_TMAP3OUT))&gt;=0,1,-1)*QUOTIENT(((1000)-(c_TMAP3IN)),2)),((1000)-(c_TMAP3IN)))+(c_TMAP3OUT)+IF(((1000)-(c_TMAP3OUT))&gt;=0,IF(IF(o_WRAP=1,MOD(((1000)-(c_TMAP3IN))*(((A726)-(c_TMAP3IN))*((1000)-(c_TMAP3OUT))+IF(((1000)-(c_TMAP3OUT))&gt;=0,1,-1)*QUOTIENT(((1000)-(c_TMAP3IN)),2))+2147483648,4294967296)-2147483648,((1000)-(c_TMAP3IN))*(((A726)-(c_TMAP3IN))*((1000)-(c_TMAP3OUT))+IF(((1000)-(c_TMAP3OUT))&gt;=0,1,-1)*QUOTIENT(((1000)-(c_TMAP3IN)),2)))&lt;0,-1,0),IF(IF(o_WRAP=1,MOD(((1000)-(c_TMAP3IN))*(((A726)-(c_TMAP3IN))*((1000)-(c_TMAP3OUT))+IF(((1000)-(c_TMAP3OUT))&gt;=0,1,-1)*QUOTIENT(((1000)-(c_TMAP3IN)),2))+2147483648,4294967296)-2147483648,((1000)-(c_TMAP3IN))*(((A726)-(c_TMAP3IN))*((1000)-(c_TMAP3OUT))+IF(((1000)-(c_TMAP3OUT))&gt;=0,1,-1)*QUOTIENT(((1000)-(c_TMAP3IN)),2)))&gt;=0,1,0)))</f>
        <v>657</v>
      </c>
      <c r="H726" s="7" t="str">
        <f aca="false">IF(A726&gt;=c_TFWD,IF(AND(A726&gt;=c_TMAP3IN,c_TMAP3IN&lt;1000),"Seg4 map3-100%",IF(AND(A726&gt;=c_TMAP2IN,c_TMAP3IN&gt;c_TMAP2IN),"Seg3 map2-map3",IF(AND(A726&gt;=c_TMAP1IN,c_TMAP2IN&gt;c_TMAP1IN),"Seg2 map1-map2","Seg1 TFWD-map1"))),IF(AND(A726=0,c_TCREEP&gt;0),"Creep",IF(AND(A726&lt;=c_TRNGMIN,A726&gt;=c_TRNGMAX,c_TRNGMIN-c_TRNGMAX&lt;&gt;0),"Regen ramp","Coast (0)")))</f>
        <v>Seg4 map3-100%</v>
      </c>
      <c r="I726" s="7" t="n">
        <f aca="false">IF(A726&gt;=c_TFWD,IF(AND(A726&gt;=c_TMAP3IN,c_TMAP3IN&lt;1000),G726,IF(AND(A726&gt;=c_TMAP2IN,c_TMAP3IN&gt;c_TMAP2IN),F726,IF(AND(A726&gt;=c_TMAP1IN,c_TMAP2IN&gt;c_TMAP1IN),E726,D726))),C726)</f>
        <v>657</v>
      </c>
      <c r="J726" s="7" t="str">
        <f aca="false">IF(I726&lt;-1090,"TOO LOW",IF(I726&gt;1090,"TOO HIGH",""))</f>
        <v/>
      </c>
      <c r="K726" s="15" t="n">
        <f aca="false">IF(J726&lt;&gt;"",0,IF(I726&gt;979,1000,I726))</f>
        <v>657</v>
      </c>
      <c r="L726" s="7" t="n">
        <f aca="false">K726/10</f>
        <v>65.7</v>
      </c>
    </row>
    <row r="727" customFormat="false" ht="15" hidden="false" customHeight="false" outlineLevel="0" collapsed="false">
      <c r="A727" s="7" t="n">
        <v>722</v>
      </c>
      <c r="B727" s="7" t="n">
        <f aca="false">A727/10</f>
        <v>72.2</v>
      </c>
      <c r="C727" s="7" t="n">
        <f aca="false">IF(AND(A727=0,c_TCREEP&gt;0),10*c_TCREEP,IF(AND(A727&lt;=c_TRNGMIN,A727&gt;=c_TRNGMAX,c_TRNGMIN-c_TRNGMAX&lt;&gt;0),-10*c_TMINRN+QUOTIENT((c_TMAXRN-c_TMINRN)*(100-QUOTIENT((A727-c_TRNGMAX)*100,c_TRNGMIN-c_TRNGMAX)),-10),0))</f>
        <v>0</v>
      </c>
      <c r="D727" s="7" t="n">
        <f aca="false">IF(((c_TMAP1IN)-(c_TFWD))=0,(0)+QUOTIENT(((c_TMAP1OUT)-(0)),2),QUOTIENT((((A727)-(c_TFWD))*((c_TMAP1OUT)-(0))+IF(((c_TMAP1OUT)-(0))&gt;=0,1,-1)*QUOTIENT(((c_TMAP1IN)-(c_TFWD)),2)),((c_TMAP1IN)-(c_TFWD)))+(0)+IF(((c_TMAP1OUT)-(0))&gt;=0,IF(IF(o_WRAP=1,MOD(((c_TMAP1IN)-(c_TFWD))*(((A727)-(c_TFWD))*((c_TMAP1OUT)-(0))+IF(((c_TMAP1OUT)-(0))&gt;=0,1,-1)*QUOTIENT(((c_TMAP1IN)-(c_TFWD)),2))+2147483648,4294967296)-2147483648,((c_TMAP1IN)-(c_TFWD))*(((A727)-(c_TFWD))*((c_TMAP1OUT)-(0))+IF(((c_TMAP1OUT)-(0))&gt;=0,1,-1)*QUOTIENT(((c_TMAP1IN)-(c_TFWD)),2)))&lt;0,-1,0),IF(IF(o_WRAP=1,MOD(((c_TMAP1IN)-(c_TFWD))*(((A727)-(c_TFWD))*((c_TMAP1OUT)-(0))+IF(((c_TMAP1OUT)-(0))&gt;=0,1,-1)*QUOTIENT(((c_TMAP1IN)-(c_TFWD)),2))+2147483648,4294967296)-2147483648,((c_TMAP1IN)-(c_TFWD))*(((A727)-(c_TFWD))*((c_TMAP1OUT)-(0))+IF(((c_TMAP1OUT)-(0))&gt;=0,1,-1)*QUOTIENT(((c_TMAP1IN)-(c_TFWD)),2)))&gt;=0,1,0)))</f>
        <v>554</v>
      </c>
      <c r="E727" s="7" t="n">
        <f aca="false">IF(((c_TMAP2IN)-(c_TMAP1IN))=0,(c_TMAP1OUT)+QUOTIENT(((c_TMAP2OUT)-(c_TMAP1OUT)),2),QUOTIENT((((A727)-(c_TMAP1IN))*((c_TMAP2OUT)-(c_TMAP1OUT))+IF(((c_TMAP2OUT)-(c_TMAP1OUT))&gt;=0,1,-1)*QUOTIENT(((c_TMAP2IN)-(c_TMAP1IN)),2)),((c_TMAP2IN)-(c_TMAP1IN)))+(c_TMAP1OUT)+IF(((c_TMAP2OUT)-(c_TMAP1OUT))&gt;=0,IF(IF(o_WRAP=1,MOD(((c_TMAP2IN)-(c_TMAP1IN))*(((A727)-(c_TMAP1IN))*((c_TMAP2OUT)-(c_TMAP1OUT))+IF(((c_TMAP2OUT)-(c_TMAP1OUT))&gt;=0,1,-1)*QUOTIENT(((c_TMAP2IN)-(c_TMAP1IN)),2))+2147483648,4294967296)-2147483648,((c_TMAP2IN)-(c_TMAP1IN))*(((A727)-(c_TMAP1IN))*((c_TMAP2OUT)-(c_TMAP1OUT))+IF(((c_TMAP2OUT)-(c_TMAP1OUT))&gt;=0,1,-1)*QUOTIENT(((c_TMAP2IN)-(c_TMAP1IN)),2)))&lt;0,-1,0),IF(IF(o_WRAP=1,MOD(((c_TMAP2IN)-(c_TMAP1IN))*(((A727)-(c_TMAP1IN))*((c_TMAP2OUT)-(c_TMAP1OUT))+IF(((c_TMAP2OUT)-(c_TMAP1OUT))&gt;=0,1,-1)*QUOTIENT(((c_TMAP2IN)-(c_TMAP1IN)),2))+2147483648,4294967296)-2147483648,((c_TMAP2IN)-(c_TMAP1IN))*(((A727)-(c_TMAP1IN))*((c_TMAP2OUT)-(c_TMAP1OUT))+IF(((c_TMAP2OUT)-(c_TMAP1OUT))&gt;=0,1,-1)*QUOTIENT(((c_TMAP2IN)-(c_TMAP1IN)),2)))&gt;=0,1,0)))</f>
        <v>319</v>
      </c>
      <c r="F727" s="7" t="n">
        <f aca="false">IF(((c_TMAP3IN)-(c_TMAP2IN))=0,(c_TMAP2OUT)+QUOTIENT(((c_TMAP3OUT)-(c_TMAP2OUT)),2),QUOTIENT((((A727)-(c_TMAP2IN))*((c_TMAP3OUT)-(c_TMAP2OUT))+IF(((c_TMAP3OUT)-(c_TMAP2OUT))&gt;=0,1,-1)*QUOTIENT(((c_TMAP3IN)-(c_TMAP2IN)),2)),((c_TMAP3IN)-(c_TMAP2IN)))+(c_TMAP2OUT)+IF(((c_TMAP3OUT)-(c_TMAP2OUT))&gt;=0,IF(IF(o_WRAP=1,MOD(((c_TMAP3IN)-(c_TMAP2IN))*(((A727)-(c_TMAP2IN))*((c_TMAP3OUT)-(c_TMAP2OUT))+IF(((c_TMAP3OUT)-(c_TMAP2OUT))&gt;=0,1,-1)*QUOTIENT(((c_TMAP3IN)-(c_TMAP2IN)),2))+2147483648,4294967296)-2147483648,((c_TMAP3IN)-(c_TMAP2IN))*(((A727)-(c_TMAP2IN))*((c_TMAP3OUT)-(c_TMAP2OUT))+IF(((c_TMAP3OUT)-(c_TMAP2OUT))&gt;=0,1,-1)*QUOTIENT(((c_TMAP3IN)-(c_TMAP2IN)),2)))&lt;0,-1,0),IF(IF(o_WRAP=1,MOD(((c_TMAP3IN)-(c_TMAP2IN))*(((A727)-(c_TMAP2IN))*((c_TMAP3OUT)-(c_TMAP2OUT))+IF(((c_TMAP3OUT)-(c_TMAP2OUT))&gt;=0,1,-1)*QUOTIENT(((c_TMAP3IN)-(c_TMAP2IN)),2))+2147483648,4294967296)-2147483648,((c_TMAP3IN)-(c_TMAP2IN))*(((A727)-(c_TMAP2IN))*((c_TMAP3OUT)-(c_TMAP2OUT))+IF(((c_TMAP3OUT)-(c_TMAP2OUT))&gt;=0,1,-1)*QUOTIENT(((c_TMAP3IN)-(c_TMAP2IN)),2)))&gt;=0,1,0)))</f>
        <v>460</v>
      </c>
      <c r="G727" s="7" t="n">
        <f aca="false">IF(((1000)-(c_TMAP3IN))=0,(c_TMAP3OUT)+QUOTIENT(((1000)-(c_TMAP3OUT)),2),QUOTIENT((((A727)-(c_TMAP3IN))*((1000)-(c_TMAP3OUT))+IF(((1000)-(c_TMAP3OUT))&gt;=0,1,-1)*QUOTIENT(((1000)-(c_TMAP3IN)),2)),((1000)-(c_TMAP3IN)))+(c_TMAP3OUT)+IF(((1000)-(c_TMAP3OUT))&gt;=0,IF(IF(o_WRAP=1,MOD(((1000)-(c_TMAP3IN))*(((A727)-(c_TMAP3IN))*((1000)-(c_TMAP3OUT))+IF(((1000)-(c_TMAP3OUT))&gt;=0,1,-1)*QUOTIENT(((1000)-(c_TMAP3IN)),2))+2147483648,4294967296)-2147483648,((1000)-(c_TMAP3IN))*(((A727)-(c_TMAP3IN))*((1000)-(c_TMAP3OUT))+IF(((1000)-(c_TMAP3OUT))&gt;=0,1,-1)*QUOTIENT(((1000)-(c_TMAP3IN)),2)))&lt;0,-1,0),IF(IF(o_WRAP=1,MOD(((1000)-(c_TMAP3IN))*(((A727)-(c_TMAP3IN))*((1000)-(c_TMAP3OUT))+IF(((1000)-(c_TMAP3OUT))&gt;=0,1,-1)*QUOTIENT(((1000)-(c_TMAP3IN)),2))+2147483648,4294967296)-2147483648,((1000)-(c_TMAP3IN))*(((A727)-(c_TMAP3IN))*((1000)-(c_TMAP3OUT))+IF(((1000)-(c_TMAP3OUT))&gt;=0,1,-1)*QUOTIENT(((1000)-(c_TMAP3IN)),2)))&gt;=0,1,0)))</f>
        <v>658</v>
      </c>
      <c r="H727" s="7" t="str">
        <f aca="false">IF(A727&gt;=c_TFWD,IF(AND(A727&gt;=c_TMAP3IN,c_TMAP3IN&lt;1000),"Seg4 map3-100%",IF(AND(A727&gt;=c_TMAP2IN,c_TMAP3IN&gt;c_TMAP2IN),"Seg3 map2-map3",IF(AND(A727&gt;=c_TMAP1IN,c_TMAP2IN&gt;c_TMAP1IN),"Seg2 map1-map2","Seg1 TFWD-map1"))),IF(AND(A727=0,c_TCREEP&gt;0),"Creep",IF(AND(A727&lt;=c_TRNGMIN,A727&gt;=c_TRNGMAX,c_TRNGMIN-c_TRNGMAX&lt;&gt;0),"Regen ramp","Coast (0)")))</f>
        <v>Seg4 map3-100%</v>
      </c>
      <c r="I727" s="7" t="n">
        <f aca="false">IF(A727&gt;=c_TFWD,IF(AND(A727&gt;=c_TMAP3IN,c_TMAP3IN&lt;1000),G727,IF(AND(A727&gt;=c_TMAP2IN,c_TMAP3IN&gt;c_TMAP2IN),F727,IF(AND(A727&gt;=c_TMAP1IN,c_TMAP2IN&gt;c_TMAP1IN),E727,D727))),C727)</f>
        <v>658</v>
      </c>
      <c r="J727" s="7" t="str">
        <f aca="false">IF(I727&lt;-1090,"TOO LOW",IF(I727&gt;1090,"TOO HIGH",""))</f>
        <v/>
      </c>
      <c r="K727" s="15" t="n">
        <f aca="false">IF(J727&lt;&gt;"",0,IF(I727&gt;979,1000,I727))</f>
        <v>658</v>
      </c>
      <c r="L727" s="7" t="n">
        <f aca="false">K727/10</f>
        <v>65.8</v>
      </c>
    </row>
    <row r="728" customFormat="false" ht="15" hidden="false" customHeight="false" outlineLevel="0" collapsed="false">
      <c r="A728" s="7" t="n">
        <v>723</v>
      </c>
      <c r="B728" s="7" t="n">
        <f aca="false">A728/10</f>
        <v>72.3</v>
      </c>
      <c r="C728" s="7" t="n">
        <f aca="false">IF(AND(A728=0,c_TCREEP&gt;0),10*c_TCREEP,IF(AND(A728&lt;=c_TRNGMIN,A728&gt;=c_TRNGMAX,c_TRNGMIN-c_TRNGMAX&lt;&gt;0),-10*c_TMINRN+QUOTIENT((c_TMAXRN-c_TMINRN)*(100-QUOTIENT((A728-c_TRNGMAX)*100,c_TRNGMIN-c_TRNGMAX)),-10),0))</f>
        <v>0</v>
      </c>
      <c r="D728" s="7" t="n">
        <f aca="false">IF(((c_TMAP1IN)-(c_TFWD))=0,(0)+QUOTIENT(((c_TMAP1OUT)-(0)),2),QUOTIENT((((A728)-(c_TFWD))*((c_TMAP1OUT)-(0))+IF(((c_TMAP1OUT)-(0))&gt;=0,1,-1)*QUOTIENT(((c_TMAP1IN)-(c_TFWD)),2)),((c_TMAP1IN)-(c_TFWD)))+(0)+IF(((c_TMAP1OUT)-(0))&gt;=0,IF(IF(o_WRAP=1,MOD(((c_TMAP1IN)-(c_TFWD))*(((A728)-(c_TFWD))*((c_TMAP1OUT)-(0))+IF(((c_TMAP1OUT)-(0))&gt;=0,1,-1)*QUOTIENT(((c_TMAP1IN)-(c_TFWD)),2))+2147483648,4294967296)-2147483648,((c_TMAP1IN)-(c_TFWD))*(((A728)-(c_TFWD))*((c_TMAP1OUT)-(0))+IF(((c_TMAP1OUT)-(0))&gt;=0,1,-1)*QUOTIENT(((c_TMAP1IN)-(c_TFWD)),2)))&lt;0,-1,0),IF(IF(o_WRAP=1,MOD(((c_TMAP1IN)-(c_TFWD))*(((A728)-(c_TFWD))*((c_TMAP1OUT)-(0))+IF(((c_TMAP1OUT)-(0))&gt;=0,1,-1)*QUOTIENT(((c_TMAP1IN)-(c_TFWD)),2))+2147483648,4294967296)-2147483648,((c_TMAP1IN)-(c_TFWD))*(((A728)-(c_TFWD))*((c_TMAP1OUT)-(0))+IF(((c_TMAP1OUT)-(0))&gt;=0,1,-1)*QUOTIENT(((c_TMAP1IN)-(c_TFWD)),2)))&gt;=0,1,0)))</f>
        <v>555</v>
      </c>
      <c r="E728" s="7" t="n">
        <f aca="false">IF(((c_TMAP2IN)-(c_TMAP1IN))=0,(c_TMAP1OUT)+QUOTIENT(((c_TMAP2OUT)-(c_TMAP1OUT)),2),QUOTIENT((((A728)-(c_TMAP1IN))*((c_TMAP2OUT)-(c_TMAP1OUT))+IF(((c_TMAP2OUT)-(c_TMAP1OUT))&gt;=0,1,-1)*QUOTIENT(((c_TMAP2IN)-(c_TMAP1IN)),2)),((c_TMAP2IN)-(c_TMAP1IN)))+(c_TMAP1OUT)+IF(((c_TMAP2OUT)-(c_TMAP1OUT))&gt;=0,IF(IF(o_WRAP=1,MOD(((c_TMAP2IN)-(c_TMAP1IN))*(((A728)-(c_TMAP1IN))*((c_TMAP2OUT)-(c_TMAP1OUT))+IF(((c_TMAP2OUT)-(c_TMAP1OUT))&gt;=0,1,-1)*QUOTIENT(((c_TMAP2IN)-(c_TMAP1IN)),2))+2147483648,4294967296)-2147483648,((c_TMAP2IN)-(c_TMAP1IN))*(((A728)-(c_TMAP1IN))*((c_TMAP2OUT)-(c_TMAP1OUT))+IF(((c_TMAP2OUT)-(c_TMAP1OUT))&gt;=0,1,-1)*QUOTIENT(((c_TMAP2IN)-(c_TMAP1IN)),2)))&lt;0,-1,0),IF(IF(o_WRAP=1,MOD(((c_TMAP2IN)-(c_TMAP1IN))*(((A728)-(c_TMAP1IN))*((c_TMAP2OUT)-(c_TMAP1OUT))+IF(((c_TMAP2OUT)-(c_TMAP1OUT))&gt;=0,1,-1)*QUOTIENT(((c_TMAP2IN)-(c_TMAP1IN)),2))+2147483648,4294967296)-2147483648,((c_TMAP2IN)-(c_TMAP1IN))*(((A728)-(c_TMAP1IN))*((c_TMAP2OUT)-(c_TMAP1OUT))+IF(((c_TMAP2OUT)-(c_TMAP1OUT))&gt;=0,1,-1)*QUOTIENT(((c_TMAP2IN)-(c_TMAP1IN)),2)))&gt;=0,1,0)))</f>
        <v>319</v>
      </c>
      <c r="F728" s="7" t="n">
        <f aca="false">IF(((c_TMAP3IN)-(c_TMAP2IN))=0,(c_TMAP2OUT)+QUOTIENT(((c_TMAP3OUT)-(c_TMAP2OUT)),2),QUOTIENT((((A728)-(c_TMAP2IN))*((c_TMAP3OUT)-(c_TMAP2OUT))+IF(((c_TMAP3OUT)-(c_TMAP2OUT))&gt;=0,1,-1)*QUOTIENT(((c_TMAP3IN)-(c_TMAP2IN)),2)),((c_TMAP3IN)-(c_TMAP2IN)))+(c_TMAP2OUT)+IF(((c_TMAP3OUT)-(c_TMAP2OUT))&gt;=0,IF(IF(o_WRAP=1,MOD(((c_TMAP3IN)-(c_TMAP2IN))*(((A728)-(c_TMAP2IN))*((c_TMAP3OUT)-(c_TMAP2OUT))+IF(((c_TMAP3OUT)-(c_TMAP2OUT))&gt;=0,1,-1)*QUOTIENT(((c_TMAP3IN)-(c_TMAP2IN)),2))+2147483648,4294967296)-2147483648,((c_TMAP3IN)-(c_TMAP2IN))*(((A728)-(c_TMAP2IN))*((c_TMAP3OUT)-(c_TMAP2OUT))+IF(((c_TMAP3OUT)-(c_TMAP2OUT))&gt;=0,1,-1)*QUOTIENT(((c_TMAP3IN)-(c_TMAP2IN)),2)))&lt;0,-1,0),IF(IF(o_WRAP=1,MOD(((c_TMAP3IN)-(c_TMAP2IN))*(((A728)-(c_TMAP2IN))*((c_TMAP3OUT)-(c_TMAP2OUT))+IF(((c_TMAP3OUT)-(c_TMAP2OUT))&gt;=0,1,-1)*QUOTIENT(((c_TMAP3IN)-(c_TMAP2IN)),2))+2147483648,4294967296)-2147483648,((c_TMAP3IN)-(c_TMAP2IN))*(((A728)-(c_TMAP2IN))*((c_TMAP3OUT)-(c_TMAP2OUT))+IF(((c_TMAP3OUT)-(c_TMAP2OUT))&gt;=0,1,-1)*QUOTIENT(((c_TMAP3IN)-(c_TMAP2IN)),2)))&gt;=0,1,0)))</f>
        <v>461</v>
      </c>
      <c r="G728" s="7" t="n">
        <f aca="false">IF(((1000)-(c_TMAP3IN))=0,(c_TMAP3OUT)+QUOTIENT(((1000)-(c_TMAP3OUT)),2),QUOTIENT((((A728)-(c_TMAP3IN))*((1000)-(c_TMAP3OUT))+IF(((1000)-(c_TMAP3OUT))&gt;=0,1,-1)*QUOTIENT(((1000)-(c_TMAP3IN)),2)),((1000)-(c_TMAP3IN)))+(c_TMAP3OUT)+IF(((1000)-(c_TMAP3OUT))&gt;=0,IF(IF(o_WRAP=1,MOD(((1000)-(c_TMAP3IN))*(((A728)-(c_TMAP3IN))*((1000)-(c_TMAP3OUT))+IF(((1000)-(c_TMAP3OUT))&gt;=0,1,-1)*QUOTIENT(((1000)-(c_TMAP3IN)),2))+2147483648,4294967296)-2147483648,((1000)-(c_TMAP3IN))*(((A728)-(c_TMAP3IN))*((1000)-(c_TMAP3OUT))+IF(((1000)-(c_TMAP3OUT))&gt;=0,1,-1)*QUOTIENT(((1000)-(c_TMAP3IN)),2)))&lt;0,-1,0),IF(IF(o_WRAP=1,MOD(((1000)-(c_TMAP3IN))*(((A728)-(c_TMAP3IN))*((1000)-(c_TMAP3OUT))+IF(((1000)-(c_TMAP3OUT))&gt;=0,1,-1)*QUOTIENT(((1000)-(c_TMAP3IN)),2))+2147483648,4294967296)-2147483648,((1000)-(c_TMAP3IN))*(((A728)-(c_TMAP3IN))*((1000)-(c_TMAP3OUT))+IF(((1000)-(c_TMAP3OUT))&gt;=0,1,-1)*QUOTIENT(((1000)-(c_TMAP3IN)),2)))&gt;=0,1,0)))</f>
        <v>659</v>
      </c>
      <c r="H728" s="7" t="str">
        <f aca="false">IF(A728&gt;=c_TFWD,IF(AND(A728&gt;=c_TMAP3IN,c_TMAP3IN&lt;1000),"Seg4 map3-100%",IF(AND(A728&gt;=c_TMAP2IN,c_TMAP3IN&gt;c_TMAP2IN),"Seg3 map2-map3",IF(AND(A728&gt;=c_TMAP1IN,c_TMAP2IN&gt;c_TMAP1IN),"Seg2 map1-map2","Seg1 TFWD-map1"))),IF(AND(A728=0,c_TCREEP&gt;0),"Creep",IF(AND(A728&lt;=c_TRNGMIN,A728&gt;=c_TRNGMAX,c_TRNGMIN-c_TRNGMAX&lt;&gt;0),"Regen ramp","Coast (0)")))</f>
        <v>Seg4 map3-100%</v>
      </c>
      <c r="I728" s="7" t="n">
        <f aca="false">IF(A728&gt;=c_TFWD,IF(AND(A728&gt;=c_TMAP3IN,c_TMAP3IN&lt;1000),G728,IF(AND(A728&gt;=c_TMAP2IN,c_TMAP3IN&gt;c_TMAP2IN),F728,IF(AND(A728&gt;=c_TMAP1IN,c_TMAP2IN&gt;c_TMAP1IN),E728,D728))),C728)</f>
        <v>659</v>
      </c>
      <c r="J728" s="7" t="str">
        <f aca="false">IF(I728&lt;-1090,"TOO LOW",IF(I728&gt;1090,"TOO HIGH",""))</f>
        <v/>
      </c>
      <c r="K728" s="15" t="n">
        <f aca="false">IF(J728&lt;&gt;"",0,IF(I728&gt;979,1000,I728))</f>
        <v>659</v>
      </c>
      <c r="L728" s="7" t="n">
        <f aca="false">K728/10</f>
        <v>65.9</v>
      </c>
    </row>
    <row r="729" customFormat="false" ht="15" hidden="false" customHeight="false" outlineLevel="0" collapsed="false">
      <c r="A729" s="7" t="n">
        <v>724</v>
      </c>
      <c r="B729" s="7" t="n">
        <f aca="false">A729/10</f>
        <v>72.4</v>
      </c>
      <c r="C729" s="7" t="n">
        <f aca="false">IF(AND(A729=0,c_TCREEP&gt;0),10*c_TCREEP,IF(AND(A729&lt;=c_TRNGMIN,A729&gt;=c_TRNGMAX,c_TRNGMIN-c_TRNGMAX&lt;&gt;0),-10*c_TMINRN+QUOTIENT((c_TMAXRN-c_TMINRN)*(100-QUOTIENT((A729-c_TRNGMAX)*100,c_TRNGMIN-c_TRNGMAX)),-10),0))</f>
        <v>0</v>
      </c>
      <c r="D729" s="7" t="n">
        <f aca="false">IF(((c_TMAP1IN)-(c_TFWD))=0,(0)+QUOTIENT(((c_TMAP1OUT)-(0)),2),QUOTIENT((((A729)-(c_TFWD))*((c_TMAP1OUT)-(0))+IF(((c_TMAP1OUT)-(0))&gt;=0,1,-1)*QUOTIENT(((c_TMAP1IN)-(c_TFWD)),2)),((c_TMAP1IN)-(c_TFWD)))+(0)+IF(((c_TMAP1OUT)-(0))&gt;=0,IF(IF(o_WRAP=1,MOD(((c_TMAP1IN)-(c_TFWD))*(((A729)-(c_TFWD))*((c_TMAP1OUT)-(0))+IF(((c_TMAP1OUT)-(0))&gt;=0,1,-1)*QUOTIENT(((c_TMAP1IN)-(c_TFWD)),2))+2147483648,4294967296)-2147483648,((c_TMAP1IN)-(c_TFWD))*(((A729)-(c_TFWD))*((c_TMAP1OUT)-(0))+IF(((c_TMAP1OUT)-(0))&gt;=0,1,-1)*QUOTIENT(((c_TMAP1IN)-(c_TFWD)),2)))&lt;0,-1,0),IF(IF(o_WRAP=1,MOD(((c_TMAP1IN)-(c_TFWD))*(((A729)-(c_TFWD))*((c_TMAP1OUT)-(0))+IF(((c_TMAP1OUT)-(0))&gt;=0,1,-1)*QUOTIENT(((c_TMAP1IN)-(c_TFWD)),2))+2147483648,4294967296)-2147483648,((c_TMAP1IN)-(c_TFWD))*(((A729)-(c_TFWD))*((c_TMAP1OUT)-(0))+IF(((c_TMAP1OUT)-(0))&gt;=0,1,-1)*QUOTIENT(((c_TMAP1IN)-(c_TFWD)),2)))&gt;=0,1,0)))</f>
        <v>555</v>
      </c>
      <c r="E729" s="7" t="n">
        <f aca="false">IF(((c_TMAP2IN)-(c_TMAP1IN))=0,(c_TMAP1OUT)+QUOTIENT(((c_TMAP2OUT)-(c_TMAP1OUT)),2),QUOTIENT((((A729)-(c_TMAP1IN))*((c_TMAP2OUT)-(c_TMAP1OUT))+IF(((c_TMAP2OUT)-(c_TMAP1OUT))&gt;=0,1,-1)*QUOTIENT(((c_TMAP2IN)-(c_TMAP1IN)),2)),((c_TMAP2IN)-(c_TMAP1IN)))+(c_TMAP1OUT)+IF(((c_TMAP2OUT)-(c_TMAP1OUT))&gt;=0,IF(IF(o_WRAP=1,MOD(((c_TMAP2IN)-(c_TMAP1IN))*(((A729)-(c_TMAP1IN))*((c_TMAP2OUT)-(c_TMAP1OUT))+IF(((c_TMAP2OUT)-(c_TMAP1OUT))&gt;=0,1,-1)*QUOTIENT(((c_TMAP2IN)-(c_TMAP1IN)),2))+2147483648,4294967296)-2147483648,((c_TMAP2IN)-(c_TMAP1IN))*(((A729)-(c_TMAP1IN))*((c_TMAP2OUT)-(c_TMAP1OUT))+IF(((c_TMAP2OUT)-(c_TMAP1OUT))&gt;=0,1,-1)*QUOTIENT(((c_TMAP2IN)-(c_TMAP1IN)),2)))&lt;0,-1,0),IF(IF(o_WRAP=1,MOD(((c_TMAP2IN)-(c_TMAP1IN))*(((A729)-(c_TMAP1IN))*((c_TMAP2OUT)-(c_TMAP1OUT))+IF(((c_TMAP2OUT)-(c_TMAP1OUT))&gt;=0,1,-1)*QUOTIENT(((c_TMAP2IN)-(c_TMAP1IN)),2))+2147483648,4294967296)-2147483648,((c_TMAP2IN)-(c_TMAP1IN))*(((A729)-(c_TMAP1IN))*((c_TMAP2OUT)-(c_TMAP1OUT))+IF(((c_TMAP2OUT)-(c_TMAP1OUT))&gt;=0,1,-1)*QUOTIENT(((c_TMAP2IN)-(c_TMAP1IN)),2)))&gt;=0,1,0)))</f>
        <v>320</v>
      </c>
      <c r="F729" s="7" t="n">
        <f aca="false">IF(((c_TMAP3IN)-(c_TMAP2IN))=0,(c_TMAP2OUT)+QUOTIENT(((c_TMAP3OUT)-(c_TMAP2OUT)),2),QUOTIENT((((A729)-(c_TMAP2IN))*((c_TMAP3OUT)-(c_TMAP2OUT))+IF(((c_TMAP3OUT)-(c_TMAP2OUT))&gt;=0,1,-1)*QUOTIENT(((c_TMAP3IN)-(c_TMAP2IN)),2)),((c_TMAP3IN)-(c_TMAP2IN)))+(c_TMAP2OUT)+IF(((c_TMAP3OUT)-(c_TMAP2OUT))&gt;=0,IF(IF(o_WRAP=1,MOD(((c_TMAP3IN)-(c_TMAP2IN))*(((A729)-(c_TMAP2IN))*((c_TMAP3OUT)-(c_TMAP2OUT))+IF(((c_TMAP3OUT)-(c_TMAP2OUT))&gt;=0,1,-1)*QUOTIENT(((c_TMAP3IN)-(c_TMAP2IN)),2))+2147483648,4294967296)-2147483648,((c_TMAP3IN)-(c_TMAP2IN))*(((A729)-(c_TMAP2IN))*((c_TMAP3OUT)-(c_TMAP2OUT))+IF(((c_TMAP3OUT)-(c_TMAP2OUT))&gt;=0,1,-1)*QUOTIENT(((c_TMAP3IN)-(c_TMAP2IN)),2)))&lt;0,-1,0),IF(IF(o_WRAP=1,MOD(((c_TMAP3IN)-(c_TMAP2IN))*(((A729)-(c_TMAP2IN))*((c_TMAP3OUT)-(c_TMAP2OUT))+IF(((c_TMAP3OUT)-(c_TMAP2OUT))&gt;=0,1,-1)*QUOTIENT(((c_TMAP3IN)-(c_TMAP2IN)),2))+2147483648,4294967296)-2147483648,((c_TMAP3IN)-(c_TMAP2IN))*(((A729)-(c_TMAP2IN))*((c_TMAP3OUT)-(c_TMAP2OUT))+IF(((c_TMAP3OUT)-(c_TMAP2OUT))&gt;=0,1,-1)*QUOTIENT(((c_TMAP3IN)-(c_TMAP2IN)),2)))&gt;=0,1,0)))</f>
        <v>462</v>
      </c>
      <c r="G729" s="7" t="n">
        <f aca="false">IF(((1000)-(c_TMAP3IN))=0,(c_TMAP3OUT)+QUOTIENT(((1000)-(c_TMAP3OUT)),2),QUOTIENT((((A729)-(c_TMAP3IN))*((1000)-(c_TMAP3OUT))+IF(((1000)-(c_TMAP3OUT))&gt;=0,1,-1)*QUOTIENT(((1000)-(c_TMAP3IN)),2)),((1000)-(c_TMAP3IN)))+(c_TMAP3OUT)+IF(((1000)-(c_TMAP3OUT))&gt;=0,IF(IF(o_WRAP=1,MOD(((1000)-(c_TMAP3IN))*(((A729)-(c_TMAP3IN))*((1000)-(c_TMAP3OUT))+IF(((1000)-(c_TMAP3OUT))&gt;=0,1,-1)*QUOTIENT(((1000)-(c_TMAP3IN)),2))+2147483648,4294967296)-2147483648,((1000)-(c_TMAP3IN))*(((A729)-(c_TMAP3IN))*((1000)-(c_TMAP3OUT))+IF(((1000)-(c_TMAP3OUT))&gt;=0,1,-1)*QUOTIENT(((1000)-(c_TMAP3IN)),2)))&lt;0,-1,0),IF(IF(o_WRAP=1,MOD(((1000)-(c_TMAP3IN))*(((A729)-(c_TMAP3IN))*((1000)-(c_TMAP3OUT))+IF(((1000)-(c_TMAP3OUT))&gt;=0,1,-1)*QUOTIENT(((1000)-(c_TMAP3IN)),2))+2147483648,4294967296)-2147483648,((1000)-(c_TMAP3IN))*(((A729)-(c_TMAP3IN))*((1000)-(c_TMAP3OUT))+IF(((1000)-(c_TMAP3OUT))&gt;=0,1,-1)*QUOTIENT(((1000)-(c_TMAP3IN)),2)))&gt;=0,1,0)))</f>
        <v>660</v>
      </c>
      <c r="H729" s="7" t="str">
        <f aca="false">IF(A729&gt;=c_TFWD,IF(AND(A729&gt;=c_TMAP3IN,c_TMAP3IN&lt;1000),"Seg4 map3-100%",IF(AND(A729&gt;=c_TMAP2IN,c_TMAP3IN&gt;c_TMAP2IN),"Seg3 map2-map3",IF(AND(A729&gt;=c_TMAP1IN,c_TMAP2IN&gt;c_TMAP1IN),"Seg2 map1-map2","Seg1 TFWD-map1"))),IF(AND(A729=0,c_TCREEP&gt;0),"Creep",IF(AND(A729&lt;=c_TRNGMIN,A729&gt;=c_TRNGMAX,c_TRNGMIN-c_TRNGMAX&lt;&gt;0),"Regen ramp","Coast (0)")))</f>
        <v>Seg4 map3-100%</v>
      </c>
      <c r="I729" s="7" t="n">
        <f aca="false">IF(A729&gt;=c_TFWD,IF(AND(A729&gt;=c_TMAP3IN,c_TMAP3IN&lt;1000),G729,IF(AND(A729&gt;=c_TMAP2IN,c_TMAP3IN&gt;c_TMAP2IN),F729,IF(AND(A729&gt;=c_TMAP1IN,c_TMAP2IN&gt;c_TMAP1IN),E729,D729))),C729)</f>
        <v>660</v>
      </c>
      <c r="J729" s="7" t="str">
        <f aca="false">IF(I729&lt;-1090,"TOO LOW",IF(I729&gt;1090,"TOO HIGH",""))</f>
        <v/>
      </c>
      <c r="K729" s="15" t="n">
        <f aca="false">IF(J729&lt;&gt;"",0,IF(I729&gt;979,1000,I729))</f>
        <v>660</v>
      </c>
      <c r="L729" s="7" t="n">
        <f aca="false">K729/10</f>
        <v>66</v>
      </c>
    </row>
    <row r="730" customFormat="false" ht="15" hidden="false" customHeight="false" outlineLevel="0" collapsed="false">
      <c r="A730" s="7" t="n">
        <v>725</v>
      </c>
      <c r="B730" s="7" t="n">
        <f aca="false">A730/10</f>
        <v>72.5</v>
      </c>
      <c r="C730" s="7" t="n">
        <f aca="false">IF(AND(A730=0,c_TCREEP&gt;0),10*c_TCREEP,IF(AND(A730&lt;=c_TRNGMIN,A730&gt;=c_TRNGMAX,c_TRNGMIN-c_TRNGMAX&lt;&gt;0),-10*c_TMINRN+QUOTIENT((c_TMAXRN-c_TMINRN)*(100-QUOTIENT((A730-c_TRNGMAX)*100,c_TRNGMIN-c_TRNGMAX)),-10),0))</f>
        <v>0</v>
      </c>
      <c r="D730" s="7" t="n">
        <f aca="false">IF(((c_TMAP1IN)-(c_TFWD))=0,(0)+QUOTIENT(((c_TMAP1OUT)-(0)),2),QUOTIENT((((A730)-(c_TFWD))*((c_TMAP1OUT)-(0))+IF(((c_TMAP1OUT)-(0))&gt;=0,1,-1)*QUOTIENT(((c_TMAP1IN)-(c_TFWD)),2)),((c_TMAP1IN)-(c_TFWD)))+(0)+IF(((c_TMAP1OUT)-(0))&gt;=0,IF(IF(o_WRAP=1,MOD(((c_TMAP1IN)-(c_TFWD))*(((A730)-(c_TFWD))*((c_TMAP1OUT)-(0))+IF(((c_TMAP1OUT)-(0))&gt;=0,1,-1)*QUOTIENT(((c_TMAP1IN)-(c_TFWD)),2))+2147483648,4294967296)-2147483648,((c_TMAP1IN)-(c_TFWD))*(((A730)-(c_TFWD))*((c_TMAP1OUT)-(0))+IF(((c_TMAP1OUT)-(0))&gt;=0,1,-1)*QUOTIENT(((c_TMAP1IN)-(c_TFWD)),2)))&lt;0,-1,0),IF(IF(o_WRAP=1,MOD(((c_TMAP1IN)-(c_TFWD))*(((A730)-(c_TFWD))*((c_TMAP1OUT)-(0))+IF(((c_TMAP1OUT)-(0))&gt;=0,1,-1)*QUOTIENT(((c_TMAP1IN)-(c_TFWD)),2))+2147483648,4294967296)-2147483648,((c_TMAP1IN)-(c_TFWD))*(((A730)-(c_TFWD))*((c_TMAP1OUT)-(0))+IF(((c_TMAP1OUT)-(0))&gt;=0,1,-1)*QUOTIENT(((c_TMAP1IN)-(c_TFWD)),2)))&gt;=0,1,0)))</f>
        <v>556</v>
      </c>
      <c r="E730" s="7" t="n">
        <f aca="false">IF(((c_TMAP2IN)-(c_TMAP1IN))=0,(c_TMAP1OUT)+QUOTIENT(((c_TMAP2OUT)-(c_TMAP1OUT)),2),QUOTIENT((((A730)-(c_TMAP1IN))*((c_TMAP2OUT)-(c_TMAP1OUT))+IF(((c_TMAP2OUT)-(c_TMAP1OUT))&gt;=0,1,-1)*QUOTIENT(((c_TMAP2IN)-(c_TMAP1IN)),2)),((c_TMAP2IN)-(c_TMAP1IN)))+(c_TMAP1OUT)+IF(((c_TMAP2OUT)-(c_TMAP1OUT))&gt;=0,IF(IF(o_WRAP=1,MOD(((c_TMAP2IN)-(c_TMAP1IN))*(((A730)-(c_TMAP1IN))*((c_TMAP2OUT)-(c_TMAP1OUT))+IF(((c_TMAP2OUT)-(c_TMAP1OUT))&gt;=0,1,-1)*QUOTIENT(((c_TMAP2IN)-(c_TMAP1IN)),2))+2147483648,4294967296)-2147483648,((c_TMAP2IN)-(c_TMAP1IN))*(((A730)-(c_TMAP1IN))*((c_TMAP2OUT)-(c_TMAP1OUT))+IF(((c_TMAP2OUT)-(c_TMAP1OUT))&gt;=0,1,-1)*QUOTIENT(((c_TMAP2IN)-(c_TMAP1IN)),2)))&lt;0,-1,0),IF(IF(o_WRAP=1,MOD(((c_TMAP2IN)-(c_TMAP1IN))*(((A730)-(c_TMAP1IN))*((c_TMAP2OUT)-(c_TMAP1OUT))+IF(((c_TMAP2OUT)-(c_TMAP1OUT))&gt;=0,1,-1)*QUOTIENT(((c_TMAP2IN)-(c_TMAP1IN)),2))+2147483648,4294967296)-2147483648,((c_TMAP2IN)-(c_TMAP1IN))*(((A730)-(c_TMAP1IN))*((c_TMAP2OUT)-(c_TMAP1OUT))+IF(((c_TMAP2OUT)-(c_TMAP1OUT))&gt;=0,1,-1)*QUOTIENT(((c_TMAP2IN)-(c_TMAP1IN)),2)))&gt;=0,1,0)))</f>
        <v>320</v>
      </c>
      <c r="F730" s="7" t="n">
        <f aca="false">IF(((c_TMAP3IN)-(c_TMAP2IN))=0,(c_TMAP2OUT)+QUOTIENT(((c_TMAP3OUT)-(c_TMAP2OUT)),2),QUOTIENT((((A730)-(c_TMAP2IN))*((c_TMAP3OUT)-(c_TMAP2OUT))+IF(((c_TMAP3OUT)-(c_TMAP2OUT))&gt;=0,1,-1)*QUOTIENT(((c_TMAP3IN)-(c_TMAP2IN)),2)),((c_TMAP3IN)-(c_TMAP2IN)))+(c_TMAP2OUT)+IF(((c_TMAP3OUT)-(c_TMAP2OUT))&gt;=0,IF(IF(o_WRAP=1,MOD(((c_TMAP3IN)-(c_TMAP2IN))*(((A730)-(c_TMAP2IN))*((c_TMAP3OUT)-(c_TMAP2OUT))+IF(((c_TMAP3OUT)-(c_TMAP2OUT))&gt;=0,1,-1)*QUOTIENT(((c_TMAP3IN)-(c_TMAP2IN)),2))+2147483648,4294967296)-2147483648,((c_TMAP3IN)-(c_TMAP2IN))*(((A730)-(c_TMAP2IN))*((c_TMAP3OUT)-(c_TMAP2OUT))+IF(((c_TMAP3OUT)-(c_TMAP2OUT))&gt;=0,1,-1)*QUOTIENT(((c_TMAP3IN)-(c_TMAP2IN)),2)))&lt;0,-1,0),IF(IF(o_WRAP=1,MOD(((c_TMAP3IN)-(c_TMAP2IN))*(((A730)-(c_TMAP2IN))*((c_TMAP3OUT)-(c_TMAP2OUT))+IF(((c_TMAP3OUT)-(c_TMAP2OUT))&gt;=0,1,-1)*QUOTIENT(((c_TMAP3IN)-(c_TMAP2IN)),2))+2147483648,4294967296)-2147483648,((c_TMAP3IN)-(c_TMAP2IN))*(((A730)-(c_TMAP2IN))*((c_TMAP3OUT)-(c_TMAP2OUT))+IF(((c_TMAP3OUT)-(c_TMAP2OUT))&gt;=0,1,-1)*QUOTIENT(((c_TMAP3IN)-(c_TMAP2IN)),2)))&gt;=0,1,0)))</f>
        <v>463</v>
      </c>
      <c r="G730" s="7" t="n">
        <f aca="false">IF(((1000)-(c_TMAP3IN))=0,(c_TMAP3OUT)+QUOTIENT(((1000)-(c_TMAP3OUT)),2),QUOTIENT((((A730)-(c_TMAP3IN))*((1000)-(c_TMAP3OUT))+IF(((1000)-(c_TMAP3OUT))&gt;=0,1,-1)*QUOTIENT(((1000)-(c_TMAP3IN)),2)),((1000)-(c_TMAP3IN)))+(c_TMAP3OUT)+IF(((1000)-(c_TMAP3OUT))&gt;=0,IF(IF(o_WRAP=1,MOD(((1000)-(c_TMAP3IN))*(((A730)-(c_TMAP3IN))*((1000)-(c_TMAP3OUT))+IF(((1000)-(c_TMAP3OUT))&gt;=0,1,-1)*QUOTIENT(((1000)-(c_TMAP3IN)),2))+2147483648,4294967296)-2147483648,((1000)-(c_TMAP3IN))*(((A730)-(c_TMAP3IN))*((1000)-(c_TMAP3OUT))+IF(((1000)-(c_TMAP3OUT))&gt;=0,1,-1)*QUOTIENT(((1000)-(c_TMAP3IN)),2)))&lt;0,-1,0),IF(IF(o_WRAP=1,MOD(((1000)-(c_TMAP3IN))*(((A730)-(c_TMAP3IN))*((1000)-(c_TMAP3OUT))+IF(((1000)-(c_TMAP3OUT))&gt;=0,1,-1)*QUOTIENT(((1000)-(c_TMAP3IN)),2))+2147483648,4294967296)-2147483648,((1000)-(c_TMAP3IN))*(((A730)-(c_TMAP3IN))*((1000)-(c_TMAP3OUT))+IF(((1000)-(c_TMAP3OUT))&gt;=0,1,-1)*QUOTIENT(((1000)-(c_TMAP3IN)),2)))&gt;=0,1,0)))</f>
        <v>662</v>
      </c>
      <c r="H730" s="7" t="str">
        <f aca="false">IF(A730&gt;=c_TFWD,IF(AND(A730&gt;=c_TMAP3IN,c_TMAP3IN&lt;1000),"Seg4 map3-100%",IF(AND(A730&gt;=c_TMAP2IN,c_TMAP3IN&gt;c_TMAP2IN),"Seg3 map2-map3",IF(AND(A730&gt;=c_TMAP1IN,c_TMAP2IN&gt;c_TMAP1IN),"Seg2 map1-map2","Seg1 TFWD-map1"))),IF(AND(A730=0,c_TCREEP&gt;0),"Creep",IF(AND(A730&lt;=c_TRNGMIN,A730&gt;=c_TRNGMAX,c_TRNGMIN-c_TRNGMAX&lt;&gt;0),"Regen ramp","Coast (0)")))</f>
        <v>Seg4 map3-100%</v>
      </c>
      <c r="I730" s="7" t="n">
        <f aca="false">IF(A730&gt;=c_TFWD,IF(AND(A730&gt;=c_TMAP3IN,c_TMAP3IN&lt;1000),G730,IF(AND(A730&gt;=c_TMAP2IN,c_TMAP3IN&gt;c_TMAP2IN),F730,IF(AND(A730&gt;=c_TMAP1IN,c_TMAP2IN&gt;c_TMAP1IN),E730,D730))),C730)</f>
        <v>662</v>
      </c>
      <c r="J730" s="7" t="str">
        <f aca="false">IF(I730&lt;-1090,"TOO LOW",IF(I730&gt;1090,"TOO HIGH",""))</f>
        <v/>
      </c>
      <c r="K730" s="15" t="n">
        <f aca="false">IF(J730&lt;&gt;"",0,IF(I730&gt;979,1000,I730))</f>
        <v>662</v>
      </c>
      <c r="L730" s="7" t="n">
        <f aca="false">K730/10</f>
        <v>66.2</v>
      </c>
    </row>
    <row r="731" customFormat="false" ht="15" hidden="false" customHeight="false" outlineLevel="0" collapsed="false">
      <c r="A731" s="7" t="n">
        <v>726</v>
      </c>
      <c r="B731" s="7" t="n">
        <f aca="false">A731/10</f>
        <v>72.6</v>
      </c>
      <c r="C731" s="7" t="n">
        <f aca="false">IF(AND(A731=0,c_TCREEP&gt;0),10*c_TCREEP,IF(AND(A731&lt;=c_TRNGMIN,A731&gt;=c_TRNGMAX,c_TRNGMIN-c_TRNGMAX&lt;&gt;0),-10*c_TMINRN+QUOTIENT((c_TMAXRN-c_TMINRN)*(100-QUOTIENT((A731-c_TRNGMAX)*100,c_TRNGMIN-c_TRNGMAX)),-10),0))</f>
        <v>0</v>
      </c>
      <c r="D731" s="7" t="n">
        <f aca="false">IF(((c_TMAP1IN)-(c_TFWD))=0,(0)+QUOTIENT(((c_TMAP1OUT)-(0)),2),QUOTIENT((((A731)-(c_TFWD))*((c_TMAP1OUT)-(0))+IF(((c_TMAP1OUT)-(0))&gt;=0,1,-1)*QUOTIENT(((c_TMAP1IN)-(c_TFWD)),2)),((c_TMAP1IN)-(c_TFWD)))+(0)+IF(((c_TMAP1OUT)-(0))&gt;=0,IF(IF(o_WRAP=1,MOD(((c_TMAP1IN)-(c_TFWD))*(((A731)-(c_TFWD))*((c_TMAP1OUT)-(0))+IF(((c_TMAP1OUT)-(0))&gt;=0,1,-1)*QUOTIENT(((c_TMAP1IN)-(c_TFWD)),2))+2147483648,4294967296)-2147483648,((c_TMAP1IN)-(c_TFWD))*(((A731)-(c_TFWD))*((c_TMAP1OUT)-(0))+IF(((c_TMAP1OUT)-(0))&gt;=0,1,-1)*QUOTIENT(((c_TMAP1IN)-(c_TFWD)),2)))&lt;0,-1,0),IF(IF(o_WRAP=1,MOD(((c_TMAP1IN)-(c_TFWD))*(((A731)-(c_TFWD))*((c_TMAP1OUT)-(0))+IF(((c_TMAP1OUT)-(0))&gt;=0,1,-1)*QUOTIENT(((c_TMAP1IN)-(c_TFWD)),2))+2147483648,4294967296)-2147483648,((c_TMAP1IN)-(c_TFWD))*(((A731)-(c_TFWD))*((c_TMAP1OUT)-(0))+IF(((c_TMAP1OUT)-(0))&gt;=0,1,-1)*QUOTIENT(((c_TMAP1IN)-(c_TFWD)),2)))&gt;=0,1,0)))</f>
        <v>557</v>
      </c>
      <c r="E731" s="7" t="n">
        <f aca="false">IF(((c_TMAP2IN)-(c_TMAP1IN))=0,(c_TMAP1OUT)+QUOTIENT(((c_TMAP2OUT)-(c_TMAP1OUT)),2),QUOTIENT((((A731)-(c_TMAP1IN))*((c_TMAP2OUT)-(c_TMAP1OUT))+IF(((c_TMAP2OUT)-(c_TMAP1OUT))&gt;=0,1,-1)*QUOTIENT(((c_TMAP2IN)-(c_TMAP1IN)),2)),((c_TMAP2IN)-(c_TMAP1IN)))+(c_TMAP1OUT)+IF(((c_TMAP2OUT)-(c_TMAP1OUT))&gt;=0,IF(IF(o_WRAP=1,MOD(((c_TMAP2IN)-(c_TMAP1IN))*(((A731)-(c_TMAP1IN))*((c_TMAP2OUT)-(c_TMAP1OUT))+IF(((c_TMAP2OUT)-(c_TMAP1OUT))&gt;=0,1,-1)*QUOTIENT(((c_TMAP2IN)-(c_TMAP1IN)),2))+2147483648,4294967296)-2147483648,((c_TMAP2IN)-(c_TMAP1IN))*(((A731)-(c_TMAP1IN))*((c_TMAP2OUT)-(c_TMAP1OUT))+IF(((c_TMAP2OUT)-(c_TMAP1OUT))&gt;=0,1,-1)*QUOTIENT(((c_TMAP2IN)-(c_TMAP1IN)),2)))&lt;0,-1,0),IF(IF(o_WRAP=1,MOD(((c_TMAP2IN)-(c_TMAP1IN))*(((A731)-(c_TMAP1IN))*((c_TMAP2OUT)-(c_TMAP1OUT))+IF(((c_TMAP2OUT)-(c_TMAP1OUT))&gt;=0,1,-1)*QUOTIENT(((c_TMAP2IN)-(c_TMAP1IN)),2))+2147483648,4294967296)-2147483648,((c_TMAP2IN)-(c_TMAP1IN))*(((A731)-(c_TMAP1IN))*((c_TMAP2OUT)-(c_TMAP1OUT))+IF(((c_TMAP2OUT)-(c_TMAP1OUT))&gt;=0,1,-1)*QUOTIENT(((c_TMAP2IN)-(c_TMAP1IN)),2)))&gt;=0,1,0)))</f>
        <v>320</v>
      </c>
      <c r="F731" s="7" t="n">
        <f aca="false">IF(((c_TMAP3IN)-(c_TMAP2IN))=0,(c_TMAP2OUT)+QUOTIENT(((c_TMAP3OUT)-(c_TMAP2OUT)),2),QUOTIENT((((A731)-(c_TMAP2IN))*((c_TMAP3OUT)-(c_TMAP2OUT))+IF(((c_TMAP3OUT)-(c_TMAP2OUT))&gt;=0,1,-1)*QUOTIENT(((c_TMAP3IN)-(c_TMAP2IN)),2)),((c_TMAP3IN)-(c_TMAP2IN)))+(c_TMAP2OUT)+IF(((c_TMAP3OUT)-(c_TMAP2OUT))&gt;=0,IF(IF(o_WRAP=1,MOD(((c_TMAP3IN)-(c_TMAP2IN))*(((A731)-(c_TMAP2IN))*((c_TMAP3OUT)-(c_TMAP2OUT))+IF(((c_TMAP3OUT)-(c_TMAP2OUT))&gt;=0,1,-1)*QUOTIENT(((c_TMAP3IN)-(c_TMAP2IN)),2))+2147483648,4294967296)-2147483648,((c_TMAP3IN)-(c_TMAP2IN))*(((A731)-(c_TMAP2IN))*((c_TMAP3OUT)-(c_TMAP2OUT))+IF(((c_TMAP3OUT)-(c_TMAP2OUT))&gt;=0,1,-1)*QUOTIENT(((c_TMAP3IN)-(c_TMAP2IN)),2)))&lt;0,-1,0),IF(IF(o_WRAP=1,MOD(((c_TMAP3IN)-(c_TMAP2IN))*(((A731)-(c_TMAP2IN))*((c_TMAP3OUT)-(c_TMAP2OUT))+IF(((c_TMAP3OUT)-(c_TMAP2OUT))&gt;=0,1,-1)*QUOTIENT(((c_TMAP3IN)-(c_TMAP2IN)),2))+2147483648,4294967296)-2147483648,((c_TMAP3IN)-(c_TMAP2IN))*(((A731)-(c_TMAP2IN))*((c_TMAP3OUT)-(c_TMAP2OUT))+IF(((c_TMAP3OUT)-(c_TMAP2OUT))&gt;=0,1,-1)*QUOTIENT(((c_TMAP3IN)-(c_TMAP2IN)),2)))&gt;=0,1,0)))</f>
        <v>463</v>
      </c>
      <c r="G731" s="7" t="n">
        <f aca="false">IF(((1000)-(c_TMAP3IN))=0,(c_TMAP3OUT)+QUOTIENT(((1000)-(c_TMAP3OUT)),2),QUOTIENT((((A731)-(c_TMAP3IN))*((1000)-(c_TMAP3OUT))+IF(((1000)-(c_TMAP3OUT))&gt;=0,1,-1)*QUOTIENT(((1000)-(c_TMAP3IN)),2)),((1000)-(c_TMAP3IN)))+(c_TMAP3OUT)+IF(((1000)-(c_TMAP3OUT))&gt;=0,IF(IF(o_WRAP=1,MOD(((1000)-(c_TMAP3IN))*(((A731)-(c_TMAP3IN))*((1000)-(c_TMAP3OUT))+IF(((1000)-(c_TMAP3OUT))&gt;=0,1,-1)*QUOTIENT(((1000)-(c_TMAP3IN)),2))+2147483648,4294967296)-2147483648,((1000)-(c_TMAP3IN))*(((A731)-(c_TMAP3IN))*((1000)-(c_TMAP3OUT))+IF(((1000)-(c_TMAP3OUT))&gt;=0,1,-1)*QUOTIENT(((1000)-(c_TMAP3IN)),2)))&lt;0,-1,0),IF(IF(o_WRAP=1,MOD(((1000)-(c_TMAP3IN))*(((A731)-(c_TMAP3IN))*((1000)-(c_TMAP3OUT))+IF(((1000)-(c_TMAP3OUT))&gt;=0,1,-1)*QUOTIENT(((1000)-(c_TMAP3IN)),2))+2147483648,4294967296)-2147483648,((1000)-(c_TMAP3IN))*(((A731)-(c_TMAP3IN))*((1000)-(c_TMAP3OUT))+IF(((1000)-(c_TMAP3OUT))&gt;=0,1,-1)*QUOTIENT(((1000)-(c_TMAP3IN)),2)))&gt;=0,1,0)))</f>
        <v>663</v>
      </c>
      <c r="H731" s="7" t="str">
        <f aca="false">IF(A731&gt;=c_TFWD,IF(AND(A731&gt;=c_TMAP3IN,c_TMAP3IN&lt;1000),"Seg4 map3-100%",IF(AND(A731&gt;=c_TMAP2IN,c_TMAP3IN&gt;c_TMAP2IN),"Seg3 map2-map3",IF(AND(A731&gt;=c_TMAP1IN,c_TMAP2IN&gt;c_TMAP1IN),"Seg2 map1-map2","Seg1 TFWD-map1"))),IF(AND(A731=0,c_TCREEP&gt;0),"Creep",IF(AND(A731&lt;=c_TRNGMIN,A731&gt;=c_TRNGMAX,c_TRNGMIN-c_TRNGMAX&lt;&gt;0),"Regen ramp","Coast (0)")))</f>
        <v>Seg4 map3-100%</v>
      </c>
      <c r="I731" s="7" t="n">
        <f aca="false">IF(A731&gt;=c_TFWD,IF(AND(A731&gt;=c_TMAP3IN,c_TMAP3IN&lt;1000),G731,IF(AND(A731&gt;=c_TMAP2IN,c_TMAP3IN&gt;c_TMAP2IN),F731,IF(AND(A731&gt;=c_TMAP1IN,c_TMAP2IN&gt;c_TMAP1IN),E731,D731))),C731)</f>
        <v>663</v>
      </c>
      <c r="J731" s="7" t="str">
        <f aca="false">IF(I731&lt;-1090,"TOO LOW",IF(I731&gt;1090,"TOO HIGH",""))</f>
        <v/>
      </c>
      <c r="K731" s="15" t="n">
        <f aca="false">IF(J731&lt;&gt;"",0,IF(I731&gt;979,1000,I731))</f>
        <v>663</v>
      </c>
      <c r="L731" s="7" t="n">
        <f aca="false">K731/10</f>
        <v>66.3</v>
      </c>
    </row>
    <row r="732" customFormat="false" ht="15" hidden="false" customHeight="false" outlineLevel="0" collapsed="false">
      <c r="A732" s="7" t="n">
        <v>727</v>
      </c>
      <c r="B732" s="7" t="n">
        <f aca="false">A732/10</f>
        <v>72.7</v>
      </c>
      <c r="C732" s="7" t="n">
        <f aca="false">IF(AND(A732=0,c_TCREEP&gt;0),10*c_TCREEP,IF(AND(A732&lt;=c_TRNGMIN,A732&gt;=c_TRNGMAX,c_TRNGMIN-c_TRNGMAX&lt;&gt;0),-10*c_TMINRN+QUOTIENT((c_TMAXRN-c_TMINRN)*(100-QUOTIENT((A732-c_TRNGMAX)*100,c_TRNGMIN-c_TRNGMAX)),-10),0))</f>
        <v>0</v>
      </c>
      <c r="D732" s="7" t="n">
        <f aca="false">IF(((c_TMAP1IN)-(c_TFWD))=0,(0)+QUOTIENT(((c_TMAP1OUT)-(0)),2),QUOTIENT((((A732)-(c_TFWD))*((c_TMAP1OUT)-(0))+IF(((c_TMAP1OUT)-(0))&gt;=0,1,-1)*QUOTIENT(((c_TMAP1IN)-(c_TFWD)),2)),((c_TMAP1IN)-(c_TFWD)))+(0)+IF(((c_TMAP1OUT)-(0))&gt;=0,IF(IF(o_WRAP=1,MOD(((c_TMAP1IN)-(c_TFWD))*(((A732)-(c_TFWD))*((c_TMAP1OUT)-(0))+IF(((c_TMAP1OUT)-(0))&gt;=0,1,-1)*QUOTIENT(((c_TMAP1IN)-(c_TFWD)),2))+2147483648,4294967296)-2147483648,((c_TMAP1IN)-(c_TFWD))*(((A732)-(c_TFWD))*((c_TMAP1OUT)-(0))+IF(((c_TMAP1OUT)-(0))&gt;=0,1,-1)*QUOTIENT(((c_TMAP1IN)-(c_TFWD)),2)))&lt;0,-1,0),IF(IF(o_WRAP=1,MOD(((c_TMAP1IN)-(c_TFWD))*(((A732)-(c_TFWD))*((c_TMAP1OUT)-(0))+IF(((c_TMAP1OUT)-(0))&gt;=0,1,-1)*QUOTIENT(((c_TMAP1IN)-(c_TFWD)),2))+2147483648,4294967296)-2147483648,((c_TMAP1IN)-(c_TFWD))*(((A732)-(c_TFWD))*((c_TMAP1OUT)-(0))+IF(((c_TMAP1OUT)-(0))&gt;=0,1,-1)*QUOTIENT(((c_TMAP1IN)-(c_TFWD)),2)))&gt;=0,1,0)))</f>
        <v>558</v>
      </c>
      <c r="E732" s="7" t="n">
        <f aca="false">IF(((c_TMAP2IN)-(c_TMAP1IN))=0,(c_TMAP1OUT)+QUOTIENT(((c_TMAP2OUT)-(c_TMAP1OUT)),2),QUOTIENT((((A732)-(c_TMAP1IN))*((c_TMAP2OUT)-(c_TMAP1OUT))+IF(((c_TMAP2OUT)-(c_TMAP1OUT))&gt;=0,1,-1)*QUOTIENT(((c_TMAP2IN)-(c_TMAP1IN)),2)),((c_TMAP2IN)-(c_TMAP1IN)))+(c_TMAP1OUT)+IF(((c_TMAP2OUT)-(c_TMAP1OUT))&gt;=0,IF(IF(o_WRAP=1,MOD(((c_TMAP2IN)-(c_TMAP1IN))*(((A732)-(c_TMAP1IN))*((c_TMAP2OUT)-(c_TMAP1OUT))+IF(((c_TMAP2OUT)-(c_TMAP1OUT))&gt;=0,1,-1)*QUOTIENT(((c_TMAP2IN)-(c_TMAP1IN)),2))+2147483648,4294967296)-2147483648,((c_TMAP2IN)-(c_TMAP1IN))*(((A732)-(c_TMAP1IN))*((c_TMAP2OUT)-(c_TMAP1OUT))+IF(((c_TMAP2OUT)-(c_TMAP1OUT))&gt;=0,1,-1)*QUOTIENT(((c_TMAP2IN)-(c_TMAP1IN)),2)))&lt;0,-1,0),IF(IF(o_WRAP=1,MOD(((c_TMAP2IN)-(c_TMAP1IN))*(((A732)-(c_TMAP1IN))*((c_TMAP2OUT)-(c_TMAP1OUT))+IF(((c_TMAP2OUT)-(c_TMAP1OUT))&gt;=0,1,-1)*QUOTIENT(((c_TMAP2IN)-(c_TMAP1IN)),2))+2147483648,4294967296)-2147483648,((c_TMAP2IN)-(c_TMAP1IN))*(((A732)-(c_TMAP1IN))*((c_TMAP2OUT)-(c_TMAP1OUT))+IF(((c_TMAP2OUT)-(c_TMAP1OUT))&gt;=0,1,-1)*QUOTIENT(((c_TMAP2IN)-(c_TMAP1IN)),2)))&gt;=0,1,0)))</f>
        <v>321</v>
      </c>
      <c r="F732" s="7" t="n">
        <f aca="false">IF(((c_TMAP3IN)-(c_TMAP2IN))=0,(c_TMAP2OUT)+QUOTIENT(((c_TMAP3OUT)-(c_TMAP2OUT)),2),QUOTIENT((((A732)-(c_TMAP2IN))*((c_TMAP3OUT)-(c_TMAP2OUT))+IF(((c_TMAP3OUT)-(c_TMAP2OUT))&gt;=0,1,-1)*QUOTIENT(((c_TMAP3IN)-(c_TMAP2IN)),2)),((c_TMAP3IN)-(c_TMAP2IN)))+(c_TMAP2OUT)+IF(((c_TMAP3OUT)-(c_TMAP2OUT))&gt;=0,IF(IF(o_WRAP=1,MOD(((c_TMAP3IN)-(c_TMAP2IN))*(((A732)-(c_TMAP2IN))*((c_TMAP3OUT)-(c_TMAP2OUT))+IF(((c_TMAP3OUT)-(c_TMAP2OUT))&gt;=0,1,-1)*QUOTIENT(((c_TMAP3IN)-(c_TMAP2IN)),2))+2147483648,4294967296)-2147483648,((c_TMAP3IN)-(c_TMAP2IN))*(((A732)-(c_TMAP2IN))*((c_TMAP3OUT)-(c_TMAP2OUT))+IF(((c_TMAP3OUT)-(c_TMAP2OUT))&gt;=0,1,-1)*QUOTIENT(((c_TMAP3IN)-(c_TMAP2IN)),2)))&lt;0,-1,0),IF(IF(o_WRAP=1,MOD(((c_TMAP3IN)-(c_TMAP2IN))*(((A732)-(c_TMAP2IN))*((c_TMAP3OUT)-(c_TMAP2OUT))+IF(((c_TMAP3OUT)-(c_TMAP2OUT))&gt;=0,1,-1)*QUOTIENT(((c_TMAP3IN)-(c_TMAP2IN)),2))+2147483648,4294967296)-2147483648,((c_TMAP3IN)-(c_TMAP2IN))*(((A732)-(c_TMAP2IN))*((c_TMAP3OUT)-(c_TMAP2OUT))+IF(((c_TMAP3OUT)-(c_TMAP2OUT))&gt;=0,1,-1)*QUOTIENT(((c_TMAP3IN)-(c_TMAP2IN)),2)))&gt;=0,1,0)))</f>
        <v>464</v>
      </c>
      <c r="G732" s="7" t="n">
        <f aca="false">IF(((1000)-(c_TMAP3IN))=0,(c_TMAP3OUT)+QUOTIENT(((1000)-(c_TMAP3OUT)),2),QUOTIENT((((A732)-(c_TMAP3IN))*((1000)-(c_TMAP3OUT))+IF(((1000)-(c_TMAP3OUT))&gt;=0,1,-1)*QUOTIENT(((1000)-(c_TMAP3IN)),2)),((1000)-(c_TMAP3IN)))+(c_TMAP3OUT)+IF(((1000)-(c_TMAP3OUT))&gt;=0,IF(IF(o_WRAP=1,MOD(((1000)-(c_TMAP3IN))*(((A732)-(c_TMAP3IN))*((1000)-(c_TMAP3OUT))+IF(((1000)-(c_TMAP3OUT))&gt;=0,1,-1)*QUOTIENT(((1000)-(c_TMAP3IN)),2))+2147483648,4294967296)-2147483648,((1000)-(c_TMAP3IN))*(((A732)-(c_TMAP3IN))*((1000)-(c_TMAP3OUT))+IF(((1000)-(c_TMAP3OUT))&gt;=0,1,-1)*QUOTIENT(((1000)-(c_TMAP3IN)),2)))&lt;0,-1,0),IF(IF(o_WRAP=1,MOD(((1000)-(c_TMAP3IN))*(((A732)-(c_TMAP3IN))*((1000)-(c_TMAP3OUT))+IF(((1000)-(c_TMAP3OUT))&gt;=0,1,-1)*QUOTIENT(((1000)-(c_TMAP3IN)),2))+2147483648,4294967296)-2147483648,((1000)-(c_TMAP3IN))*(((A732)-(c_TMAP3IN))*((1000)-(c_TMAP3OUT))+IF(((1000)-(c_TMAP3OUT))&gt;=0,1,-1)*QUOTIENT(((1000)-(c_TMAP3IN)),2)))&gt;=0,1,0)))</f>
        <v>664</v>
      </c>
      <c r="H732" s="7" t="str">
        <f aca="false">IF(A732&gt;=c_TFWD,IF(AND(A732&gt;=c_TMAP3IN,c_TMAP3IN&lt;1000),"Seg4 map3-100%",IF(AND(A732&gt;=c_TMAP2IN,c_TMAP3IN&gt;c_TMAP2IN),"Seg3 map2-map3",IF(AND(A732&gt;=c_TMAP1IN,c_TMAP2IN&gt;c_TMAP1IN),"Seg2 map1-map2","Seg1 TFWD-map1"))),IF(AND(A732=0,c_TCREEP&gt;0),"Creep",IF(AND(A732&lt;=c_TRNGMIN,A732&gt;=c_TRNGMAX,c_TRNGMIN-c_TRNGMAX&lt;&gt;0),"Regen ramp","Coast (0)")))</f>
        <v>Seg4 map3-100%</v>
      </c>
      <c r="I732" s="7" t="n">
        <f aca="false">IF(A732&gt;=c_TFWD,IF(AND(A732&gt;=c_TMAP3IN,c_TMAP3IN&lt;1000),G732,IF(AND(A732&gt;=c_TMAP2IN,c_TMAP3IN&gt;c_TMAP2IN),F732,IF(AND(A732&gt;=c_TMAP1IN,c_TMAP2IN&gt;c_TMAP1IN),E732,D732))),C732)</f>
        <v>664</v>
      </c>
      <c r="J732" s="7" t="str">
        <f aca="false">IF(I732&lt;-1090,"TOO LOW",IF(I732&gt;1090,"TOO HIGH",""))</f>
        <v/>
      </c>
      <c r="K732" s="15" t="n">
        <f aca="false">IF(J732&lt;&gt;"",0,IF(I732&gt;979,1000,I732))</f>
        <v>664</v>
      </c>
      <c r="L732" s="7" t="n">
        <f aca="false">K732/10</f>
        <v>66.4</v>
      </c>
    </row>
    <row r="733" customFormat="false" ht="15" hidden="false" customHeight="false" outlineLevel="0" collapsed="false">
      <c r="A733" s="7" t="n">
        <v>728</v>
      </c>
      <c r="B733" s="7" t="n">
        <f aca="false">A733/10</f>
        <v>72.8</v>
      </c>
      <c r="C733" s="7" t="n">
        <f aca="false">IF(AND(A733=0,c_TCREEP&gt;0),10*c_TCREEP,IF(AND(A733&lt;=c_TRNGMIN,A733&gt;=c_TRNGMAX,c_TRNGMIN-c_TRNGMAX&lt;&gt;0),-10*c_TMINRN+QUOTIENT((c_TMAXRN-c_TMINRN)*(100-QUOTIENT((A733-c_TRNGMAX)*100,c_TRNGMIN-c_TRNGMAX)),-10),0))</f>
        <v>0</v>
      </c>
      <c r="D733" s="7" t="n">
        <f aca="false">IF(((c_TMAP1IN)-(c_TFWD))=0,(0)+QUOTIENT(((c_TMAP1OUT)-(0)),2),QUOTIENT((((A733)-(c_TFWD))*((c_TMAP1OUT)-(0))+IF(((c_TMAP1OUT)-(0))&gt;=0,1,-1)*QUOTIENT(((c_TMAP1IN)-(c_TFWD)),2)),((c_TMAP1IN)-(c_TFWD)))+(0)+IF(((c_TMAP1OUT)-(0))&gt;=0,IF(IF(o_WRAP=1,MOD(((c_TMAP1IN)-(c_TFWD))*(((A733)-(c_TFWD))*((c_TMAP1OUT)-(0))+IF(((c_TMAP1OUT)-(0))&gt;=0,1,-1)*QUOTIENT(((c_TMAP1IN)-(c_TFWD)),2))+2147483648,4294967296)-2147483648,((c_TMAP1IN)-(c_TFWD))*(((A733)-(c_TFWD))*((c_TMAP1OUT)-(0))+IF(((c_TMAP1OUT)-(0))&gt;=0,1,-1)*QUOTIENT(((c_TMAP1IN)-(c_TFWD)),2)))&lt;0,-1,0),IF(IF(o_WRAP=1,MOD(((c_TMAP1IN)-(c_TFWD))*(((A733)-(c_TFWD))*((c_TMAP1OUT)-(0))+IF(((c_TMAP1OUT)-(0))&gt;=0,1,-1)*QUOTIENT(((c_TMAP1IN)-(c_TFWD)),2))+2147483648,4294967296)-2147483648,((c_TMAP1IN)-(c_TFWD))*(((A733)-(c_TFWD))*((c_TMAP1OUT)-(0))+IF(((c_TMAP1OUT)-(0))&gt;=0,1,-1)*QUOTIENT(((c_TMAP1IN)-(c_TFWD)),2)))&gt;=0,1,0)))</f>
        <v>558</v>
      </c>
      <c r="E733" s="7" t="n">
        <f aca="false">IF(((c_TMAP2IN)-(c_TMAP1IN))=0,(c_TMAP1OUT)+QUOTIENT(((c_TMAP2OUT)-(c_TMAP1OUT)),2),QUOTIENT((((A733)-(c_TMAP1IN))*((c_TMAP2OUT)-(c_TMAP1OUT))+IF(((c_TMAP2OUT)-(c_TMAP1OUT))&gt;=0,1,-1)*QUOTIENT(((c_TMAP2IN)-(c_TMAP1IN)),2)),((c_TMAP2IN)-(c_TMAP1IN)))+(c_TMAP1OUT)+IF(((c_TMAP2OUT)-(c_TMAP1OUT))&gt;=0,IF(IF(o_WRAP=1,MOD(((c_TMAP2IN)-(c_TMAP1IN))*(((A733)-(c_TMAP1IN))*((c_TMAP2OUT)-(c_TMAP1OUT))+IF(((c_TMAP2OUT)-(c_TMAP1OUT))&gt;=0,1,-1)*QUOTIENT(((c_TMAP2IN)-(c_TMAP1IN)),2))+2147483648,4294967296)-2147483648,((c_TMAP2IN)-(c_TMAP1IN))*(((A733)-(c_TMAP1IN))*((c_TMAP2OUT)-(c_TMAP1OUT))+IF(((c_TMAP2OUT)-(c_TMAP1OUT))&gt;=0,1,-1)*QUOTIENT(((c_TMAP2IN)-(c_TMAP1IN)),2)))&lt;0,-1,0),IF(IF(o_WRAP=1,MOD(((c_TMAP2IN)-(c_TMAP1IN))*(((A733)-(c_TMAP1IN))*((c_TMAP2OUT)-(c_TMAP1OUT))+IF(((c_TMAP2OUT)-(c_TMAP1OUT))&gt;=0,1,-1)*QUOTIENT(((c_TMAP2IN)-(c_TMAP1IN)),2))+2147483648,4294967296)-2147483648,((c_TMAP2IN)-(c_TMAP1IN))*(((A733)-(c_TMAP1IN))*((c_TMAP2OUT)-(c_TMAP1OUT))+IF(((c_TMAP2OUT)-(c_TMAP1OUT))&gt;=0,1,-1)*QUOTIENT(((c_TMAP2IN)-(c_TMAP1IN)),2)))&gt;=0,1,0)))</f>
        <v>321</v>
      </c>
      <c r="F733" s="7" t="n">
        <f aca="false">IF(((c_TMAP3IN)-(c_TMAP2IN))=0,(c_TMAP2OUT)+QUOTIENT(((c_TMAP3OUT)-(c_TMAP2OUT)),2),QUOTIENT((((A733)-(c_TMAP2IN))*((c_TMAP3OUT)-(c_TMAP2OUT))+IF(((c_TMAP3OUT)-(c_TMAP2OUT))&gt;=0,1,-1)*QUOTIENT(((c_TMAP3IN)-(c_TMAP2IN)),2)),((c_TMAP3IN)-(c_TMAP2IN)))+(c_TMAP2OUT)+IF(((c_TMAP3OUT)-(c_TMAP2OUT))&gt;=0,IF(IF(o_WRAP=1,MOD(((c_TMAP3IN)-(c_TMAP2IN))*(((A733)-(c_TMAP2IN))*((c_TMAP3OUT)-(c_TMAP2OUT))+IF(((c_TMAP3OUT)-(c_TMAP2OUT))&gt;=0,1,-1)*QUOTIENT(((c_TMAP3IN)-(c_TMAP2IN)),2))+2147483648,4294967296)-2147483648,((c_TMAP3IN)-(c_TMAP2IN))*(((A733)-(c_TMAP2IN))*((c_TMAP3OUT)-(c_TMAP2OUT))+IF(((c_TMAP3OUT)-(c_TMAP2OUT))&gt;=0,1,-1)*QUOTIENT(((c_TMAP3IN)-(c_TMAP2IN)),2)))&lt;0,-1,0),IF(IF(o_WRAP=1,MOD(((c_TMAP3IN)-(c_TMAP2IN))*(((A733)-(c_TMAP2IN))*((c_TMAP3OUT)-(c_TMAP2OUT))+IF(((c_TMAP3OUT)-(c_TMAP2OUT))&gt;=0,1,-1)*QUOTIENT(((c_TMAP3IN)-(c_TMAP2IN)),2))+2147483648,4294967296)-2147483648,((c_TMAP3IN)-(c_TMAP2IN))*(((A733)-(c_TMAP2IN))*((c_TMAP3OUT)-(c_TMAP2OUT))+IF(((c_TMAP3OUT)-(c_TMAP2OUT))&gt;=0,1,-1)*QUOTIENT(((c_TMAP3IN)-(c_TMAP2IN)),2)))&gt;=0,1,0)))</f>
        <v>465</v>
      </c>
      <c r="G733" s="7" t="n">
        <f aca="false">IF(((1000)-(c_TMAP3IN))=0,(c_TMAP3OUT)+QUOTIENT(((1000)-(c_TMAP3OUT)),2),QUOTIENT((((A733)-(c_TMAP3IN))*((1000)-(c_TMAP3OUT))+IF(((1000)-(c_TMAP3OUT))&gt;=0,1,-1)*QUOTIENT(((1000)-(c_TMAP3IN)),2)),((1000)-(c_TMAP3IN)))+(c_TMAP3OUT)+IF(((1000)-(c_TMAP3OUT))&gt;=0,IF(IF(o_WRAP=1,MOD(((1000)-(c_TMAP3IN))*(((A733)-(c_TMAP3IN))*((1000)-(c_TMAP3OUT))+IF(((1000)-(c_TMAP3OUT))&gt;=0,1,-1)*QUOTIENT(((1000)-(c_TMAP3IN)),2))+2147483648,4294967296)-2147483648,((1000)-(c_TMAP3IN))*(((A733)-(c_TMAP3IN))*((1000)-(c_TMAP3OUT))+IF(((1000)-(c_TMAP3OUT))&gt;=0,1,-1)*QUOTIENT(((1000)-(c_TMAP3IN)),2)))&lt;0,-1,0),IF(IF(o_WRAP=1,MOD(((1000)-(c_TMAP3IN))*(((A733)-(c_TMAP3IN))*((1000)-(c_TMAP3OUT))+IF(((1000)-(c_TMAP3OUT))&gt;=0,1,-1)*QUOTIENT(((1000)-(c_TMAP3IN)),2))+2147483648,4294967296)-2147483648,((1000)-(c_TMAP3IN))*(((A733)-(c_TMAP3IN))*((1000)-(c_TMAP3OUT))+IF(((1000)-(c_TMAP3OUT))&gt;=0,1,-1)*QUOTIENT(((1000)-(c_TMAP3IN)),2)))&gt;=0,1,0)))</f>
        <v>665</v>
      </c>
      <c r="H733" s="7" t="str">
        <f aca="false">IF(A733&gt;=c_TFWD,IF(AND(A733&gt;=c_TMAP3IN,c_TMAP3IN&lt;1000),"Seg4 map3-100%",IF(AND(A733&gt;=c_TMAP2IN,c_TMAP3IN&gt;c_TMAP2IN),"Seg3 map2-map3",IF(AND(A733&gt;=c_TMAP1IN,c_TMAP2IN&gt;c_TMAP1IN),"Seg2 map1-map2","Seg1 TFWD-map1"))),IF(AND(A733=0,c_TCREEP&gt;0),"Creep",IF(AND(A733&lt;=c_TRNGMIN,A733&gt;=c_TRNGMAX,c_TRNGMIN-c_TRNGMAX&lt;&gt;0),"Regen ramp","Coast (0)")))</f>
        <v>Seg4 map3-100%</v>
      </c>
      <c r="I733" s="7" t="n">
        <f aca="false">IF(A733&gt;=c_TFWD,IF(AND(A733&gt;=c_TMAP3IN,c_TMAP3IN&lt;1000),G733,IF(AND(A733&gt;=c_TMAP2IN,c_TMAP3IN&gt;c_TMAP2IN),F733,IF(AND(A733&gt;=c_TMAP1IN,c_TMAP2IN&gt;c_TMAP1IN),E733,D733))),C733)</f>
        <v>665</v>
      </c>
      <c r="J733" s="7" t="str">
        <f aca="false">IF(I733&lt;-1090,"TOO LOW",IF(I733&gt;1090,"TOO HIGH",""))</f>
        <v/>
      </c>
      <c r="K733" s="15" t="n">
        <f aca="false">IF(J733&lt;&gt;"",0,IF(I733&gt;979,1000,I733))</f>
        <v>665</v>
      </c>
      <c r="L733" s="7" t="n">
        <f aca="false">K733/10</f>
        <v>66.5</v>
      </c>
    </row>
    <row r="734" customFormat="false" ht="15" hidden="false" customHeight="false" outlineLevel="0" collapsed="false">
      <c r="A734" s="7" t="n">
        <v>729</v>
      </c>
      <c r="B734" s="7" t="n">
        <f aca="false">A734/10</f>
        <v>72.9</v>
      </c>
      <c r="C734" s="7" t="n">
        <f aca="false">IF(AND(A734=0,c_TCREEP&gt;0),10*c_TCREEP,IF(AND(A734&lt;=c_TRNGMIN,A734&gt;=c_TRNGMAX,c_TRNGMIN-c_TRNGMAX&lt;&gt;0),-10*c_TMINRN+QUOTIENT((c_TMAXRN-c_TMINRN)*(100-QUOTIENT((A734-c_TRNGMAX)*100,c_TRNGMIN-c_TRNGMAX)),-10),0))</f>
        <v>0</v>
      </c>
      <c r="D734" s="7" t="n">
        <f aca="false">IF(((c_TMAP1IN)-(c_TFWD))=0,(0)+QUOTIENT(((c_TMAP1OUT)-(0)),2),QUOTIENT((((A734)-(c_TFWD))*((c_TMAP1OUT)-(0))+IF(((c_TMAP1OUT)-(0))&gt;=0,1,-1)*QUOTIENT(((c_TMAP1IN)-(c_TFWD)),2)),((c_TMAP1IN)-(c_TFWD)))+(0)+IF(((c_TMAP1OUT)-(0))&gt;=0,IF(IF(o_WRAP=1,MOD(((c_TMAP1IN)-(c_TFWD))*(((A734)-(c_TFWD))*((c_TMAP1OUT)-(0))+IF(((c_TMAP1OUT)-(0))&gt;=0,1,-1)*QUOTIENT(((c_TMAP1IN)-(c_TFWD)),2))+2147483648,4294967296)-2147483648,((c_TMAP1IN)-(c_TFWD))*(((A734)-(c_TFWD))*((c_TMAP1OUT)-(0))+IF(((c_TMAP1OUT)-(0))&gt;=0,1,-1)*QUOTIENT(((c_TMAP1IN)-(c_TFWD)),2)))&lt;0,-1,0),IF(IF(o_WRAP=1,MOD(((c_TMAP1IN)-(c_TFWD))*(((A734)-(c_TFWD))*((c_TMAP1OUT)-(0))+IF(((c_TMAP1OUT)-(0))&gt;=0,1,-1)*QUOTIENT(((c_TMAP1IN)-(c_TFWD)),2))+2147483648,4294967296)-2147483648,((c_TMAP1IN)-(c_TFWD))*(((A734)-(c_TFWD))*((c_TMAP1OUT)-(0))+IF(((c_TMAP1OUT)-(0))&gt;=0,1,-1)*QUOTIENT(((c_TMAP1IN)-(c_TFWD)),2)))&gt;=0,1,0)))</f>
        <v>559</v>
      </c>
      <c r="E734" s="7" t="n">
        <f aca="false">IF(((c_TMAP2IN)-(c_TMAP1IN))=0,(c_TMAP1OUT)+QUOTIENT(((c_TMAP2OUT)-(c_TMAP1OUT)),2),QUOTIENT((((A734)-(c_TMAP1IN))*((c_TMAP2OUT)-(c_TMAP1OUT))+IF(((c_TMAP2OUT)-(c_TMAP1OUT))&gt;=0,1,-1)*QUOTIENT(((c_TMAP2IN)-(c_TMAP1IN)),2)),((c_TMAP2IN)-(c_TMAP1IN)))+(c_TMAP1OUT)+IF(((c_TMAP2OUT)-(c_TMAP1OUT))&gt;=0,IF(IF(o_WRAP=1,MOD(((c_TMAP2IN)-(c_TMAP1IN))*(((A734)-(c_TMAP1IN))*((c_TMAP2OUT)-(c_TMAP1OUT))+IF(((c_TMAP2OUT)-(c_TMAP1OUT))&gt;=0,1,-1)*QUOTIENT(((c_TMAP2IN)-(c_TMAP1IN)),2))+2147483648,4294967296)-2147483648,((c_TMAP2IN)-(c_TMAP1IN))*(((A734)-(c_TMAP1IN))*((c_TMAP2OUT)-(c_TMAP1OUT))+IF(((c_TMAP2OUT)-(c_TMAP1OUT))&gt;=0,1,-1)*QUOTIENT(((c_TMAP2IN)-(c_TMAP1IN)),2)))&lt;0,-1,0),IF(IF(o_WRAP=1,MOD(((c_TMAP2IN)-(c_TMAP1IN))*(((A734)-(c_TMAP1IN))*((c_TMAP2OUT)-(c_TMAP1OUT))+IF(((c_TMAP2OUT)-(c_TMAP1OUT))&gt;=0,1,-1)*QUOTIENT(((c_TMAP2IN)-(c_TMAP1IN)),2))+2147483648,4294967296)-2147483648,((c_TMAP2IN)-(c_TMAP1IN))*(((A734)-(c_TMAP1IN))*((c_TMAP2OUT)-(c_TMAP1OUT))+IF(((c_TMAP2OUT)-(c_TMAP1OUT))&gt;=0,1,-1)*QUOTIENT(((c_TMAP2IN)-(c_TMAP1IN)),2)))&gt;=0,1,0)))</f>
        <v>322</v>
      </c>
      <c r="F734" s="7" t="n">
        <f aca="false">IF(((c_TMAP3IN)-(c_TMAP2IN))=0,(c_TMAP2OUT)+QUOTIENT(((c_TMAP3OUT)-(c_TMAP2OUT)),2),QUOTIENT((((A734)-(c_TMAP2IN))*((c_TMAP3OUT)-(c_TMAP2OUT))+IF(((c_TMAP3OUT)-(c_TMAP2OUT))&gt;=0,1,-1)*QUOTIENT(((c_TMAP3IN)-(c_TMAP2IN)),2)),((c_TMAP3IN)-(c_TMAP2IN)))+(c_TMAP2OUT)+IF(((c_TMAP3OUT)-(c_TMAP2OUT))&gt;=0,IF(IF(o_WRAP=1,MOD(((c_TMAP3IN)-(c_TMAP2IN))*(((A734)-(c_TMAP2IN))*((c_TMAP3OUT)-(c_TMAP2OUT))+IF(((c_TMAP3OUT)-(c_TMAP2OUT))&gt;=0,1,-1)*QUOTIENT(((c_TMAP3IN)-(c_TMAP2IN)),2))+2147483648,4294967296)-2147483648,((c_TMAP3IN)-(c_TMAP2IN))*(((A734)-(c_TMAP2IN))*((c_TMAP3OUT)-(c_TMAP2OUT))+IF(((c_TMAP3OUT)-(c_TMAP2OUT))&gt;=0,1,-1)*QUOTIENT(((c_TMAP3IN)-(c_TMAP2IN)),2)))&lt;0,-1,0),IF(IF(o_WRAP=1,MOD(((c_TMAP3IN)-(c_TMAP2IN))*(((A734)-(c_TMAP2IN))*((c_TMAP3OUT)-(c_TMAP2OUT))+IF(((c_TMAP3OUT)-(c_TMAP2OUT))&gt;=0,1,-1)*QUOTIENT(((c_TMAP3IN)-(c_TMAP2IN)),2))+2147483648,4294967296)-2147483648,((c_TMAP3IN)-(c_TMAP2IN))*(((A734)-(c_TMAP2IN))*((c_TMAP3OUT)-(c_TMAP2OUT))+IF(((c_TMAP3OUT)-(c_TMAP2OUT))&gt;=0,1,-1)*QUOTIENT(((c_TMAP3IN)-(c_TMAP2IN)),2)))&gt;=0,1,0)))</f>
        <v>465</v>
      </c>
      <c r="G734" s="7" t="n">
        <f aca="false">IF(((1000)-(c_TMAP3IN))=0,(c_TMAP3OUT)+QUOTIENT(((1000)-(c_TMAP3OUT)),2),QUOTIENT((((A734)-(c_TMAP3IN))*((1000)-(c_TMAP3OUT))+IF(((1000)-(c_TMAP3OUT))&gt;=0,1,-1)*QUOTIENT(((1000)-(c_TMAP3IN)),2)),((1000)-(c_TMAP3IN)))+(c_TMAP3OUT)+IF(((1000)-(c_TMAP3OUT))&gt;=0,IF(IF(o_WRAP=1,MOD(((1000)-(c_TMAP3IN))*(((A734)-(c_TMAP3IN))*((1000)-(c_TMAP3OUT))+IF(((1000)-(c_TMAP3OUT))&gt;=0,1,-1)*QUOTIENT(((1000)-(c_TMAP3IN)),2))+2147483648,4294967296)-2147483648,((1000)-(c_TMAP3IN))*(((A734)-(c_TMAP3IN))*((1000)-(c_TMAP3OUT))+IF(((1000)-(c_TMAP3OUT))&gt;=0,1,-1)*QUOTIENT(((1000)-(c_TMAP3IN)),2)))&lt;0,-1,0),IF(IF(o_WRAP=1,MOD(((1000)-(c_TMAP3IN))*(((A734)-(c_TMAP3IN))*((1000)-(c_TMAP3OUT))+IF(((1000)-(c_TMAP3OUT))&gt;=0,1,-1)*QUOTIENT(((1000)-(c_TMAP3IN)),2))+2147483648,4294967296)-2147483648,((1000)-(c_TMAP3IN))*(((A734)-(c_TMAP3IN))*((1000)-(c_TMAP3OUT))+IF(((1000)-(c_TMAP3OUT))&gt;=0,1,-1)*QUOTIENT(((1000)-(c_TMAP3IN)),2)))&gt;=0,1,0)))</f>
        <v>666</v>
      </c>
      <c r="H734" s="7" t="str">
        <f aca="false">IF(A734&gt;=c_TFWD,IF(AND(A734&gt;=c_TMAP3IN,c_TMAP3IN&lt;1000),"Seg4 map3-100%",IF(AND(A734&gt;=c_TMAP2IN,c_TMAP3IN&gt;c_TMAP2IN),"Seg3 map2-map3",IF(AND(A734&gt;=c_TMAP1IN,c_TMAP2IN&gt;c_TMAP1IN),"Seg2 map1-map2","Seg1 TFWD-map1"))),IF(AND(A734=0,c_TCREEP&gt;0),"Creep",IF(AND(A734&lt;=c_TRNGMIN,A734&gt;=c_TRNGMAX,c_TRNGMIN-c_TRNGMAX&lt;&gt;0),"Regen ramp","Coast (0)")))</f>
        <v>Seg4 map3-100%</v>
      </c>
      <c r="I734" s="7" t="n">
        <f aca="false">IF(A734&gt;=c_TFWD,IF(AND(A734&gt;=c_TMAP3IN,c_TMAP3IN&lt;1000),G734,IF(AND(A734&gt;=c_TMAP2IN,c_TMAP3IN&gt;c_TMAP2IN),F734,IF(AND(A734&gt;=c_TMAP1IN,c_TMAP2IN&gt;c_TMAP1IN),E734,D734))),C734)</f>
        <v>666</v>
      </c>
      <c r="J734" s="7" t="str">
        <f aca="false">IF(I734&lt;-1090,"TOO LOW",IF(I734&gt;1090,"TOO HIGH",""))</f>
        <v/>
      </c>
      <c r="K734" s="15" t="n">
        <f aca="false">IF(J734&lt;&gt;"",0,IF(I734&gt;979,1000,I734))</f>
        <v>666</v>
      </c>
      <c r="L734" s="7" t="n">
        <f aca="false">K734/10</f>
        <v>66.6</v>
      </c>
    </row>
    <row r="735" customFormat="false" ht="15" hidden="false" customHeight="false" outlineLevel="0" collapsed="false">
      <c r="A735" s="7" t="n">
        <v>730</v>
      </c>
      <c r="B735" s="7" t="n">
        <f aca="false">A735/10</f>
        <v>73</v>
      </c>
      <c r="C735" s="7" t="n">
        <f aca="false">IF(AND(A735=0,c_TCREEP&gt;0),10*c_TCREEP,IF(AND(A735&lt;=c_TRNGMIN,A735&gt;=c_TRNGMAX,c_TRNGMIN-c_TRNGMAX&lt;&gt;0),-10*c_TMINRN+QUOTIENT((c_TMAXRN-c_TMINRN)*(100-QUOTIENT((A735-c_TRNGMAX)*100,c_TRNGMIN-c_TRNGMAX)),-10),0))</f>
        <v>0</v>
      </c>
      <c r="D735" s="7" t="n">
        <f aca="false">IF(((c_TMAP1IN)-(c_TFWD))=0,(0)+QUOTIENT(((c_TMAP1OUT)-(0)),2),QUOTIENT((((A735)-(c_TFWD))*((c_TMAP1OUT)-(0))+IF(((c_TMAP1OUT)-(0))&gt;=0,1,-1)*QUOTIENT(((c_TMAP1IN)-(c_TFWD)),2)),((c_TMAP1IN)-(c_TFWD)))+(0)+IF(((c_TMAP1OUT)-(0))&gt;=0,IF(IF(o_WRAP=1,MOD(((c_TMAP1IN)-(c_TFWD))*(((A735)-(c_TFWD))*((c_TMAP1OUT)-(0))+IF(((c_TMAP1OUT)-(0))&gt;=0,1,-1)*QUOTIENT(((c_TMAP1IN)-(c_TFWD)),2))+2147483648,4294967296)-2147483648,((c_TMAP1IN)-(c_TFWD))*(((A735)-(c_TFWD))*((c_TMAP1OUT)-(0))+IF(((c_TMAP1OUT)-(0))&gt;=0,1,-1)*QUOTIENT(((c_TMAP1IN)-(c_TFWD)),2)))&lt;0,-1,0),IF(IF(o_WRAP=1,MOD(((c_TMAP1IN)-(c_TFWD))*(((A735)-(c_TFWD))*((c_TMAP1OUT)-(0))+IF(((c_TMAP1OUT)-(0))&gt;=0,1,-1)*QUOTIENT(((c_TMAP1IN)-(c_TFWD)),2))+2147483648,4294967296)-2147483648,((c_TMAP1IN)-(c_TFWD))*(((A735)-(c_TFWD))*((c_TMAP1OUT)-(0))+IF(((c_TMAP1OUT)-(0))&gt;=0,1,-1)*QUOTIENT(((c_TMAP1IN)-(c_TFWD)),2)))&gt;=0,1,0)))</f>
        <v>560</v>
      </c>
      <c r="E735" s="7" t="n">
        <f aca="false">IF(((c_TMAP2IN)-(c_TMAP1IN))=0,(c_TMAP1OUT)+QUOTIENT(((c_TMAP2OUT)-(c_TMAP1OUT)),2),QUOTIENT((((A735)-(c_TMAP1IN))*((c_TMAP2OUT)-(c_TMAP1OUT))+IF(((c_TMAP2OUT)-(c_TMAP1OUT))&gt;=0,1,-1)*QUOTIENT(((c_TMAP2IN)-(c_TMAP1IN)),2)),((c_TMAP2IN)-(c_TMAP1IN)))+(c_TMAP1OUT)+IF(((c_TMAP2OUT)-(c_TMAP1OUT))&gt;=0,IF(IF(o_WRAP=1,MOD(((c_TMAP2IN)-(c_TMAP1IN))*(((A735)-(c_TMAP1IN))*((c_TMAP2OUT)-(c_TMAP1OUT))+IF(((c_TMAP2OUT)-(c_TMAP1OUT))&gt;=0,1,-1)*QUOTIENT(((c_TMAP2IN)-(c_TMAP1IN)),2))+2147483648,4294967296)-2147483648,((c_TMAP2IN)-(c_TMAP1IN))*(((A735)-(c_TMAP1IN))*((c_TMAP2OUT)-(c_TMAP1OUT))+IF(((c_TMAP2OUT)-(c_TMAP1OUT))&gt;=0,1,-1)*QUOTIENT(((c_TMAP2IN)-(c_TMAP1IN)),2)))&lt;0,-1,0),IF(IF(o_WRAP=1,MOD(((c_TMAP2IN)-(c_TMAP1IN))*(((A735)-(c_TMAP1IN))*((c_TMAP2OUT)-(c_TMAP1OUT))+IF(((c_TMAP2OUT)-(c_TMAP1OUT))&gt;=0,1,-1)*QUOTIENT(((c_TMAP2IN)-(c_TMAP1IN)),2))+2147483648,4294967296)-2147483648,((c_TMAP2IN)-(c_TMAP1IN))*(((A735)-(c_TMAP1IN))*((c_TMAP2OUT)-(c_TMAP1OUT))+IF(((c_TMAP2OUT)-(c_TMAP1OUT))&gt;=0,1,-1)*QUOTIENT(((c_TMAP2IN)-(c_TMAP1IN)),2)))&gt;=0,1,0)))</f>
        <v>322</v>
      </c>
      <c r="F735" s="7" t="n">
        <f aca="false">IF(((c_TMAP3IN)-(c_TMAP2IN))=0,(c_TMAP2OUT)+QUOTIENT(((c_TMAP3OUT)-(c_TMAP2OUT)),2),QUOTIENT((((A735)-(c_TMAP2IN))*((c_TMAP3OUT)-(c_TMAP2OUT))+IF(((c_TMAP3OUT)-(c_TMAP2OUT))&gt;=0,1,-1)*QUOTIENT(((c_TMAP3IN)-(c_TMAP2IN)),2)),((c_TMAP3IN)-(c_TMAP2IN)))+(c_TMAP2OUT)+IF(((c_TMAP3OUT)-(c_TMAP2OUT))&gt;=0,IF(IF(o_WRAP=1,MOD(((c_TMAP3IN)-(c_TMAP2IN))*(((A735)-(c_TMAP2IN))*((c_TMAP3OUT)-(c_TMAP2OUT))+IF(((c_TMAP3OUT)-(c_TMAP2OUT))&gt;=0,1,-1)*QUOTIENT(((c_TMAP3IN)-(c_TMAP2IN)),2))+2147483648,4294967296)-2147483648,((c_TMAP3IN)-(c_TMAP2IN))*(((A735)-(c_TMAP2IN))*((c_TMAP3OUT)-(c_TMAP2OUT))+IF(((c_TMAP3OUT)-(c_TMAP2OUT))&gt;=0,1,-1)*QUOTIENT(((c_TMAP3IN)-(c_TMAP2IN)),2)))&lt;0,-1,0),IF(IF(o_WRAP=1,MOD(((c_TMAP3IN)-(c_TMAP2IN))*(((A735)-(c_TMAP2IN))*((c_TMAP3OUT)-(c_TMAP2OUT))+IF(((c_TMAP3OUT)-(c_TMAP2OUT))&gt;=0,1,-1)*QUOTIENT(((c_TMAP3IN)-(c_TMAP2IN)),2))+2147483648,4294967296)-2147483648,((c_TMAP3IN)-(c_TMAP2IN))*(((A735)-(c_TMAP2IN))*((c_TMAP3OUT)-(c_TMAP2OUT))+IF(((c_TMAP3OUT)-(c_TMAP2OUT))&gt;=0,1,-1)*QUOTIENT(((c_TMAP3IN)-(c_TMAP2IN)),2)))&gt;=0,1,0)))</f>
        <v>466</v>
      </c>
      <c r="G735" s="7" t="n">
        <f aca="false">IF(((1000)-(c_TMAP3IN))=0,(c_TMAP3OUT)+QUOTIENT(((1000)-(c_TMAP3OUT)),2),QUOTIENT((((A735)-(c_TMAP3IN))*((1000)-(c_TMAP3OUT))+IF(((1000)-(c_TMAP3OUT))&gt;=0,1,-1)*QUOTIENT(((1000)-(c_TMAP3IN)),2)),((1000)-(c_TMAP3IN)))+(c_TMAP3OUT)+IF(((1000)-(c_TMAP3OUT))&gt;=0,IF(IF(o_WRAP=1,MOD(((1000)-(c_TMAP3IN))*(((A735)-(c_TMAP3IN))*((1000)-(c_TMAP3OUT))+IF(((1000)-(c_TMAP3OUT))&gt;=0,1,-1)*QUOTIENT(((1000)-(c_TMAP3IN)),2))+2147483648,4294967296)-2147483648,((1000)-(c_TMAP3IN))*(((A735)-(c_TMAP3IN))*((1000)-(c_TMAP3OUT))+IF(((1000)-(c_TMAP3OUT))&gt;=0,1,-1)*QUOTIENT(((1000)-(c_TMAP3IN)),2)))&lt;0,-1,0),IF(IF(o_WRAP=1,MOD(((1000)-(c_TMAP3IN))*(((A735)-(c_TMAP3IN))*((1000)-(c_TMAP3OUT))+IF(((1000)-(c_TMAP3OUT))&gt;=0,1,-1)*QUOTIENT(((1000)-(c_TMAP3IN)),2))+2147483648,4294967296)-2147483648,((1000)-(c_TMAP3IN))*(((A735)-(c_TMAP3IN))*((1000)-(c_TMAP3OUT))+IF(((1000)-(c_TMAP3OUT))&gt;=0,1,-1)*QUOTIENT(((1000)-(c_TMAP3IN)),2)))&gt;=0,1,0)))</f>
        <v>668</v>
      </c>
      <c r="H735" s="7" t="str">
        <f aca="false">IF(A735&gt;=c_TFWD,IF(AND(A735&gt;=c_TMAP3IN,c_TMAP3IN&lt;1000),"Seg4 map3-100%",IF(AND(A735&gt;=c_TMAP2IN,c_TMAP3IN&gt;c_TMAP2IN),"Seg3 map2-map3",IF(AND(A735&gt;=c_TMAP1IN,c_TMAP2IN&gt;c_TMAP1IN),"Seg2 map1-map2","Seg1 TFWD-map1"))),IF(AND(A735=0,c_TCREEP&gt;0),"Creep",IF(AND(A735&lt;=c_TRNGMIN,A735&gt;=c_TRNGMAX,c_TRNGMIN-c_TRNGMAX&lt;&gt;0),"Regen ramp","Coast (0)")))</f>
        <v>Seg4 map3-100%</v>
      </c>
      <c r="I735" s="7" t="n">
        <f aca="false">IF(A735&gt;=c_TFWD,IF(AND(A735&gt;=c_TMAP3IN,c_TMAP3IN&lt;1000),G735,IF(AND(A735&gt;=c_TMAP2IN,c_TMAP3IN&gt;c_TMAP2IN),F735,IF(AND(A735&gt;=c_TMAP1IN,c_TMAP2IN&gt;c_TMAP1IN),E735,D735))),C735)</f>
        <v>668</v>
      </c>
      <c r="J735" s="7" t="str">
        <f aca="false">IF(I735&lt;-1090,"TOO LOW",IF(I735&gt;1090,"TOO HIGH",""))</f>
        <v/>
      </c>
      <c r="K735" s="15" t="n">
        <f aca="false">IF(J735&lt;&gt;"",0,IF(I735&gt;979,1000,I735))</f>
        <v>668</v>
      </c>
      <c r="L735" s="7" t="n">
        <f aca="false">K735/10</f>
        <v>66.8</v>
      </c>
    </row>
    <row r="736" customFormat="false" ht="15" hidden="false" customHeight="false" outlineLevel="0" collapsed="false">
      <c r="A736" s="7" t="n">
        <v>731</v>
      </c>
      <c r="B736" s="7" t="n">
        <f aca="false">A736/10</f>
        <v>73.1</v>
      </c>
      <c r="C736" s="7" t="n">
        <f aca="false">IF(AND(A736=0,c_TCREEP&gt;0),10*c_TCREEP,IF(AND(A736&lt;=c_TRNGMIN,A736&gt;=c_TRNGMAX,c_TRNGMIN-c_TRNGMAX&lt;&gt;0),-10*c_TMINRN+QUOTIENT((c_TMAXRN-c_TMINRN)*(100-QUOTIENT((A736-c_TRNGMAX)*100,c_TRNGMIN-c_TRNGMAX)),-10),0))</f>
        <v>0</v>
      </c>
      <c r="D736" s="7" t="n">
        <f aca="false">IF(((c_TMAP1IN)-(c_TFWD))=0,(0)+QUOTIENT(((c_TMAP1OUT)-(0)),2),QUOTIENT((((A736)-(c_TFWD))*((c_TMAP1OUT)-(0))+IF(((c_TMAP1OUT)-(0))&gt;=0,1,-1)*QUOTIENT(((c_TMAP1IN)-(c_TFWD)),2)),((c_TMAP1IN)-(c_TFWD)))+(0)+IF(((c_TMAP1OUT)-(0))&gt;=0,IF(IF(o_WRAP=1,MOD(((c_TMAP1IN)-(c_TFWD))*(((A736)-(c_TFWD))*((c_TMAP1OUT)-(0))+IF(((c_TMAP1OUT)-(0))&gt;=0,1,-1)*QUOTIENT(((c_TMAP1IN)-(c_TFWD)),2))+2147483648,4294967296)-2147483648,((c_TMAP1IN)-(c_TFWD))*(((A736)-(c_TFWD))*((c_TMAP1OUT)-(0))+IF(((c_TMAP1OUT)-(0))&gt;=0,1,-1)*QUOTIENT(((c_TMAP1IN)-(c_TFWD)),2)))&lt;0,-1,0),IF(IF(o_WRAP=1,MOD(((c_TMAP1IN)-(c_TFWD))*(((A736)-(c_TFWD))*((c_TMAP1OUT)-(0))+IF(((c_TMAP1OUT)-(0))&gt;=0,1,-1)*QUOTIENT(((c_TMAP1IN)-(c_TFWD)),2))+2147483648,4294967296)-2147483648,((c_TMAP1IN)-(c_TFWD))*(((A736)-(c_TFWD))*((c_TMAP1OUT)-(0))+IF(((c_TMAP1OUT)-(0))&gt;=0,1,-1)*QUOTIENT(((c_TMAP1IN)-(c_TFWD)),2)))&gt;=0,1,0)))</f>
        <v>561</v>
      </c>
      <c r="E736" s="7" t="n">
        <f aca="false">IF(((c_TMAP2IN)-(c_TMAP1IN))=0,(c_TMAP1OUT)+QUOTIENT(((c_TMAP2OUT)-(c_TMAP1OUT)),2),QUOTIENT((((A736)-(c_TMAP1IN))*((c_TMAP2OUT)-(c_TMAP1OUT))+IF(((c_TMAP2OUT)-(c_TMAP1OUT))&gt;=0,1,-1)*QUOTIENT(((c_TMAP2IN)-(c_TMAP1IN)),2)),((c_TMAP2IN)-(c_TMAP1IN)))+(c_TMAP1OUT)+IF(((c_TMAP2OUT)-(c_TMAP1OUT))&gt;=0,IF(IF(o_WRAP=1,MOD(((c_TMAP2IN)-(c_TMAP1IN))*(((A736)-(c_TMAP1IN))*((c_TMAP2OUT)-(c_TMAP1OUT))+IF(((c_TMAP2OUT)-(c_TMAP1OUT))&gt;=0,1,-1)*QUOTIENT(((c_TMAP2IN)-(c_TMAP1IN)),2))+2147483648,4294967296)-2147483648,((c_TMAP2IN)-(c_TMAP1IN))*(((A736)-(c_TMAP1IN))*((c_TMAP2OUT)-(c_TMAP1OUT))+IF(((c_TMAP2OUT)-(c_TMAP1OUT))&gt;=0,1,-1)*QUOTIENT(((c_TMAP2IN)-(c_TMAP1IN)),2)))&lt;0,-1,0),IF(IF(o_WRAP=1,MOD(((c_TMAP2IN)-(c_TMAP1IN))*(((A736)-(c_TMAP1IN))*((c_TMAP2OUT)-(c_TMAP1OUT))+IF(((c_TMAP2OUT)-(c_TMAP1OUT))&gt;=0,1,-1)*QUOTIENT(((c_TMAP2IN)-(c_TMAP1IN)),2))+2147483648,4294967296)-2147483648,((c_TMAP2IN)-(c_TMAP1IN))*(((A736)-(c_TMAP1IN))*((c_TMAP2OUT)-(c_TMAP1OUT))+IF(((c_TMAP2OUT)-(c_TMAP1OUT))&gt;=0,1,-1)*QUOTIENT(((c_TMAP2IN)-(c_TMAP1IN)),2)))&gt;=0,1,0)))</f>
        <v>322</v>
      </c>
      <c r="F736" s="7" t="n">
        <f aca="false">IF(((c_TMAP3IN)-(c_TMAP2IN))=0,(c_TMAP2OUT)+QUOTIENT(((c_TMAP3OUT)-(c_TMAP2OUT)),2),QUOTIENT((((A736)-(c_TMAP2IN))*((c_TMAP3OUT)-(c_TMAP2OUT))+IF(((c_TMAP3OUT)-(c_TMAP2OUT))&gt;=0,1,-1)*QUOTIENT(((c_TMAP3IN)-(c_TMAP2IN)),2)),((c_TMAP3IN)-(c_TMAP2IN)))+(c_TMAP2OUT)+IF(((c_TMAP3OUT)-(c_TMAP2OUT))&gt;=0,IF(IF(o_WRAP=1,MOD(((c_TMAP3IN)-(c_TMAP2IN))*(((A736)-(c_TMAP2IN))*((c_TMAP3OUT)-(c_TMAP2OUT))+IF(((c_TMAP3OUT)-(c_TMAP2OUT))&gt;=0,1,-1)*QUOTIENT(((c_TMAP3IN)-(c_TMAP2IN)),2))+2147483648,4294967296)-2147483648,((c_TMAP3IN)-(c_TMAP2IN))*(((A736)-(c_TMAP2IN))*((c_TMAP3OUT)-(c_TMAP2OUT))+IF(((c_TMAP3OUT)-(c_TMAP2OUT))&gt;=0,1,-1)*QUOTIENT(((c_TMAP3IN)-(c_TMAP2IN)),2)))&lt;0,-1,0),IF(IF(o_WRAP=1,MOD(((c_TMAP3IN)-(c_TMAP2IN))*(((A736)-(c_TMAP2IN))*((c_TMAP3OUT)-(c_TMAP2OUT))+IF(((c_TMAP3OUT)-(c_TMAP2OUT))&gt;=0,1,-1)*QUOTIENT(((c_TMAP3IN)-(c_TMAP2IN)),2))+2147483648,4294967296)-2147483648,((c_TMAP3IN)-(c_TMAP2IN))*(((A736)-(c_TMAP2IN))*((c_TMAP3OUT)-(c_TMAP2OUT))+IF(((c_TMAP3OUT)-(c_TMAP2OUT))&gt;=0,1,-1)*QUOTIENT(((c_TMAP3IN)-(c_TMAP2IN)),2)))&gt;=0,1,0)))</f>
        <v>467</v>
      </c>
      <c r="G736" s="7" t="n">
        <f aca="false">IF(((1000)-(c_TMAP3IN))=0,(c_TMAP3OUT)+QUOTIENT(((1000)-(c_TMAP3OUT)),2),QUOTIENT((((A736)-(c_TMAP3IN))*((1000)-(c_TMAP3OUT))+IF(((1000)-(c_TMAP3OUT))&gt;=0,1,-1)*QUOTIENT(((1000)-(c_TMAP3IN)),2)),((1000)-(c_TMAP3IN)))+(c_TMAP3OUT)+IF(((1000)-(c_TMAP3OUT))&gt;=0,IF(IF(o_WRAP=1,MOD(((1000)-(c_TMAP3IN))*(((A736)-(c_TMAP3IN))*((1000)-(c_TMAP3OUT))+IF(((1000)-(c_TMAP3OUT))&gt;=0,1,-1)*QUOTIENT(((1000)-(c_TMAP3IN)),2))+2147483648,4294967296)-2147483648,((1000)-(c_TMAP3IN))*(((A736)-(c_TMAP3IN))*((1000)-(c_TMAP3OUT))+IF(((1000)-(c_TMAP3OUT))&gt;=0,1,-1)*QUOTIENT(((1000)-(c_TMAP3IN)),2)))&lt;0,-1,0),IF(IF(o_WRAP=1,MOD(((1000)-(c_TMAP3IN))*(((A736)-(c_TMAP3IN))*((1000)-(c_TMAP3OUT))+IF(((1000)-(c_TMAP3OUT))&gt;=0,1,-1)*QUOTIENT(((1000)-(c_TMAP3IN)),2))+2147483648,4294967296)-2147483648,((1000)-(c_TMAP3IN))*(((A736)-(c_TMAP3IN))*((1000)-(c_TMAP3OUT))+IF(((1000)-(c_TMAP3OUT))&gt;=0,1,-1)*QUOTIENT(((1000)-(c_TMAP3IN)),2)))&gt;=0,1,0)))</f>
        <v>669</v>
      </c>
      <c r="H736" s="7" t="str">
        <f aca="false">IF(A736&gt;=c_TFWD,IF(AND(A736&gt;=c_TMAP3IN,c_TMAP3IN&lt;1000),"Seg4 map3-100%",IF(AND(A736&gt;=c_TMAP2IN,c_TMAP3IN&gt;c_TMAP2IN),"Seg3 map2-map3",IF(AND(A736&gt;=c_TMAP1IN,c_TMAP2IN&gt;c_TMAP1IN),"Seg2 map1-map2","Seg1 TFWD-map1"))),IF(AND(A736=0,c_TCREEP&gt;0),"Creep",IF(AND(A736&lt;=c_TRNGMIN,A736&gt;=c_TRNGMAX,c_TRNGMIN-c_TRNGMAX&lt;&gt;0),"Regen ramp","Coast (0)")))</f>
        <v>Seg4 map3-100%</v>
      </c>
      <c r="I736" s="7" t="n">
        <f aca="false">IF(A736&gt;=c_TFWD,IF(AND(A736&gt;=c_TMAP3IN,c_TMAP3IN&lt;1000),G736,IF(AND(A736&gt;=c_TMAP2IN,c_TMAP3IN&gt;c_TMAP2IN),F736,IF(AND(A736&gt;=c_TMAP1IN,c_TMAP2IN&gt;c_TMAP1IN),E736,D736))),C736)</f>
        <v>669</v>
      </c>
      <c r="J736" s="7" t="str">
        <f aca="false">IF(I736&lt;-1090,"TOO LOW",IF(I736&gt;1090,"TOO HIGH",""))</f>
        <v/>
      </c>
      <c r="K736" s="15" t="n">
        <f aca="false">IF(J736&lt;&gt;"",0,IF(I736&gt;979,1000,I736))</f>
        <v>669</v>
      </c>
      <c r="L736" s="7" t="n">
        <f aca="false">K736/10</f>
        <v>66.9</v>
      </c>
    </row>
    <row r="737" customFormat="false" ht="15" hidden="false" customHeight="false" outlineLevel="0" collapsed="false">
      <c r="A737" s="7" t="n">
        <v>732</v>
      </c>
      <c r="B737" s="7" t="n">
        <f aca="false">A737/10</f>
        <v>73.2</v>
      </c>
      <c r="C737" s="7" t="n">
        <f aca="false">IF(AND(A737=0,c_TCREEP&gt;0),10*c_TCREEP,IF(AND(A737&lt;=c_TRNGMIN,A737&gt;=c_TRNGMAX,c_TRNGMIN-c_TRNGMAX&lt;&gt;0),-10*c_TMINRN+QUOTIENT((c_TMAXRN-c_TMINRN)*(100-QUOTIENT((A737-c_TRNGMAX)*100,c_TRNGMIN-c_TRNGMAX)),-10),0))</f>
        <v>0</v>
      </c>
      <c r="D737" s="7" t="n">
        <f aca="false">IF(((c_TMAP1IN)-(c_TFWD))=0,(0)+QUOTIENT(((c_TMAP1OUT)-(0)),2),QUOTIENT((((A737)-(c_TFWD))*((c_TMAP1OUT)-(0))+IF(((c_TMAP1OUT)-(0))&gt;=0,1,-1)*QUOTIENT(((c_TMAP1IN)-(c_TFWD)),2)),((c_TMAP1IN)-(c_TFWD)))+(0)+IF(((c_TMAP1OUT)-(0))&gt;=0,IF(IF(o_WRAP=1,MOD(((c_TMAP1IN)-(c_TFWD))*(((A737)-(c_TFWD))*((c_TMAP1OUT)-(0))+IF(((c_TMAP1OUT)-(0))&gt;=0,1,-1)*QUOTIENT(((c_TMAP1IN)-(c_TFWD)),2))+2147483648,4294967296)-2147483648,((c_TMAP1IN)-(c_TFWD))*(((A737)-(c_TFWD))*((c_TMAP1OUT)-(0))+IF(((c_TMAP1OUT)-(0))&gt;=0,1,-1)*QUOTIENT(((c_TMAP1IN)-(c_TFWD)),2)))&lt;0,-1,0),IF(IF(o_WRAP=1,MOD(((c_TMAP1IN)-(c_TFWD))*(((A737)-(c_TFWD))*((c_TMAP1OUT)-(0))+IF(((c_TMAP1OUT)-(0))&gt;=0,1,-1)*QUOTIENT(((c_TMAP1IN)-(c_TFWD)),2))+2147483648,4294967296)-2147483648,((c_TMAP1IN)-(c_TFWD))*(((A737)-(c_TFWD))*((c_TMAP1OUT)-(0))+IF(((c_TMAP1OUT)-(0))&gt;=0,1,-1)*QUOTIENT(((c_TMAP1IN)-(c_TFWD)),2)))&gt;=0,1,0)))</f>
        <v>562</v>
      </c>
      <c r="E737" s="7" t="n">
        <f aca="false">IF(((c_TMAP2IN)-(c_TMAP1IN))=0,(c_TMAP1OUT)+QUOTIENT(((c_TMAP2OUT)-(c_TMAP1OUT)),2),QUOTIENT((((A737)-(c_TMAP1IN))*((c_TMAP2OUT)-(c_TMAP1OUT))+IF(((c_TMAP2OUT)-(c_TMAP1OUT))&gt;=0,1,-1)*QUOTIENT(((c_TMAP2IN)-(c_TMAP1IN)),2)),((c_TMAP2IN)-(c_TMAP1IN)))+(c_TMAP1OUT)+IF(((c_TMAP2OUT)-(c_TMAP1OUT))&gt;=0,IF(IF(o_WRAP=1,MOD(((c_TMAP2IN)-(c_TMAP1IN))*(((A737)-(c_TMAP1IN))*((c_TMAP2OUT)-(c_TMAP1OUT))+IF(((c_TMAP2OUT)-(c_TMAP1OUT))&gt;=0,1,-1)*QUOTIENT(((c_TMAP2IN)-(c_TMAP1IN)),2))+2147483648,4294967296)-2147483648,((c_TMAP2IN)-(c_TMAP1IN))*(((A737)-(c_TMAP1IN))*((c_TMAP2OUT)-(c_TMAP1OUT))+IF(((c_TMAP2OUT)-(c_TMAP1OUT))&gt;=0,1,-1)*QUOTIENT(((c_TMAP2IN)-(c_TMAP1IN)),2)))&lt;0,-1,0),IF(IF(o_WRAP=1,MOD(((c_TMAP2IN)-(c_TMAP1IN))*(((A737)-(c_TMAP1IN))*((c_TMAP2OUT)-(c_TMAP1OUT))+IF(((c_TMAP2OUT)-(c_TMAP1OUT))&gt;=0,1,-1)*QUOTIENT(((c_TMAP2IN)-(c_TMAP1IN)),2))+2147483648,4294967296)-2147483648,((c_TMAP2IN)-(c_TMAP1IN))*(((A737)-(c_TMAP1IN))*((c_TMAP2OUT)-(c_TMAP1OUT))+IF(((c_TMAP2OUT)-(c_TMAP1OUT))&gt;=0,1,-1)*QUOTIENT(((c_TMAP2IN)-(c_TMAP1IN)),2)))&gt;=0,1,0)))</f>
        <v>323</v>
      </c>
      <c r="F737" s="7" t="n">
        <f aca="false">IF(((c_TMAP3IN)-(c_TMAP2IN))=0,(c_TMAP2OUT)+QUOTIENT(((c_TMAP3OUT)-(c_TMAP2OUT)),2),QUOTIENT((((A737)-(c_TMAP2IN))*((c_TMAP3OUT)-(c_TMAP2OUT))+IF(((c_TMAP3OUT)-(c_TMAP2OUT))&gt;=0,1,-1)*QUOTIENT(((c_TMAP3IN)-(c_TMAP2IN)),2)),((c_TMAP3IN)-(c_TMAP2IN)))+(c_TMAP2OUT)+IF(((c_TMAP3OUT)-(c_TMAP2OUT))&gt;=0,IF(IF(o_WRAP=1,MOD(((c_TMAP3IN)-(c_TMAP2IN))*(((A737)-(c_TMAP2IN))*((c_TMAP3OUT)-(c_TMAP2OUT))+IF(((c_TMAP3OUT)-(c_TMAP2OUT))&gt;=0,1,-1)*QUOTIENT(((c_TMAP3IN)-(c_TMAP2IN)),2))+2147483648,4294967296)-2147483648,((c_TMAP3IN)-(c_TMAP2IN))*(((A737)-(c_TMAP2IN))*((c_TMAP3OUT)-(c_TMAP2OUT))+IF(((c_TMAP3OUT)-(c_TMAP2OUT))&gt;=0,1,-1)*QUOTIENT(((c_TMAP3IN)-(c_TMAP2IN)),2)))&lt;0,-1,0),IF(IF(o_WRAP=1,MOD(((c_TMAP3IN)-(c_TMAP2IN))*(((A737)-(c_TMAP2IN))*((c_TMAP3OUT)-(c_TMAP2OUT))+IF(((c_TMAP3OUT)-(c_TMAP2OUT))&gt;=0,1,-1)*QUOTIENT(((c_TMAP3IN)-(c_TMAP2IN)),2))+2147483648,4294967296)-2147483648,((c_TMAP3IN)-(c_TMAP2IN))*(((A737)-(c_TMAP2IN))*((c_TMAP3OUT)-(c_TMAP2OUT))+IF(((c_TMAP3OUT)-(c_TMAP2OUT))&gt;=0,1,-1)*QUOTIENT(((c_TMAP3IN)-(c_TMAP2IN)),2)))&gt;=0,1,0)))</f>
        <v>467</v>
      </c>
      <c r="G737" s="7" t="n">
        <f aca="false">IF(((1000)-(c_TMAP3IN))=0,(c_TMAP3OUT)+QUOTIENT(((1000)-(c_TMAP3OUT)),2),QUOTIENT((((A737)-(c_TMAP3IN))*((1000)-(c_TMAP3OUT))+IF(((1000)-(c_TMAP3OUT))&gt;=0,1,-1)*QUOTIENT(((1000)-(c_TMAP3IN)),2)),((1000)-(c_TMAP3IN)))+(c_TMAP3OUT)+IF(((1000)-(c_TMAP3OUT))&gt;=0,IF(IF(o_WRAP=1,MOD(((1000)-(c_TMAP3IN))*(((A737)-(c_TMAP3IN))*((1000)-(c_TMAP3OUT))+IF(((1000)-(c_TMAP3OUT))&gt;=0,1,-1)*QUOTIENT(((1000)-(c_TMAP3IN)),2))+2147483648,4294967296)-2147483648,((1000)-(c_TMAP3IN))*(((A737)-(c_TMAP3IN))*((1000)-(c_TMAP3OUT))+IF(((1000)-(c_TMAP3OUT))&gt;=0,1,-1)*QUOTIENT(((1000)-(c_TMAP3IN)),2)))&lt;0,-1,0),IF(IF(o_WRAP=1,MOD(((1000)-(c_TMAP3IN))*(((A737)-(c_TMAP3IN))*((1000)-(c_TMAP3OUT))+IF(((1000)-(c_TMAP3OUT))&gt;=0,1,-1)*QUOTIENT(((1000)-(c_TMAP3IN)),2))+2147483648,4294967296)-2147483648,((1000)-(c_TMAP3IN))*(((A737)-(c_TMAP3IN))*((1000)-(c_TMAP3OUT))+IF(((1000)-(c_TMAP3OUT))&gt;=0,1,-1)*QUOTIENT(((1000)-(c_TMAP3IN)),2)))&gt;=0,1,0)))</f>
        <v>670</v>
      </c>
      <c r="H737" s="7" t="str">
        <f aca="false">IF(A737&gt;=c_TFWD,IF(AND(A737&gt;=c_TMAP3IN,c_TMAP3IN&lt;1000),"Seg4 map3-100%",IF(AND(A737&gt;=c_TMAP2IN,c_TMAP3IN&gt;c_TMAP2IN),"Seg3 map2-map3",IF(AND(A737&gt;=c_TMAP1IN,c_TMAP2IN&gt;c_TMAP1IN),"Seg2 map1-map2","Seg1 TFWD-map1"))),IF(AND(A737=0,c_TCREEP&gt;0),"Creep",IF(AND(A737&lt;=c_TRNGMIN,A737&gt;=c_TRNGMAX,c_TRNGMIN-c_TRNGMAX&lt;&gt;0),"Regen ramp","Coast (0)")))</f>
        <v>Seg4 map3-100%</v>
      </c>
      <c r="I737" s="7" t="n">
        <f aca="false">IF(A737&gt;=c_TFWD,IF(AND(A737&gt;=c_TMAP3IN,c_TMAP3IN&lt;1000),G737,IF(AND(A737&gt;=c_TMAP2IN,c_TMAP3IN&gt;c_TMAP2IN),F737,IF(AND(A737&gt;=c_TMAP1IN,c_TMAP2IN&gt;c_TMAP1IN),E737,D737))),C737)</f>
        <v>670</v>
      </c>
      <c r="J737" s="7" t="str">
        <f aca="false">IF(I737&lt;-1090,"TOO LOW",IF(I737&gt;1090,"TOO HIGH",""))</f>
        <v/>
      </c>
      <c r="K737" s="15" t="n">
        <f aca="false">IF(J737&lt;&gt;"",0,IF(I737&gt;979,1000,I737))</f>
        <v>670</v>
      </c>
      <c r="L737" s="7" t="n">
        <f aca="false">K737/10</f>
        <v>67</v>
      </c>
    </row>
    <row r="738" customFormat="false" ht="15" hidden="false" customHeight="false" outlineLevel="0" collapsed="false">
      <c r="A738" s="7" t="n">
        <v>733</v>
      </c>
      <c r="B738" s="7" t="n">
        <f aca="false">A738/10</f>
        <v>73.3</v>
      </c>
      <c r="C738" s="7" t="n">
        <f aca="false">IF(AND(A738=0,c_TCREEP&gt;0),10*c_TCREEP,IF(AND(A738&lt;=c_TRNGMIN,A738&gt;=c_TRNGMAX,c_TRNGMIN-c_TRNGMAX&lt;&gt;0),-10*c_TMINRN+QUOTIENT((c_TMAXRN-c_TMINRN)*(100-QUOTIENT((A738-c_TRNGMAX)*100,c_TRNGMIN-c_TRNGMAX)),-10),0))</f>
        <v>0</v>
      </c>
      <c r="D738" s="7" t="n">
        <f aca="false">IF(((c_TMAP1IN)-(c_TFWD))=0,(0)+QUOTIENT(((c_TMAP1OUT)-(0)),2),QUOTIENT((((A738)-(c_TFWD))*((c_TMAP1OUT)-(0))+IF(((c_TMAP1OUT)-(0))&gt;=0,1,-1)*QUOTIENT(((c_TMAP1IN)-(c_TFWD)),2)),((c_TMAP1IN)-(c_TFWD)))+(0)+IF(((c_TMAP1OUT)-(0))&gt;=0,IF(IF(o_WRAP=1,MOD(((c_TMAP1IN)-(c_TFWD))*(((A738)-(c_TFWD))*((c_TMAP1OUT)-(0))+IF(((c_TMAP1OUT)-(0))&gt;=0,1,-1)*QUOTIENT(((c_TMAP1IN)-(c_TFWD)),2))+2147483648,4294967296)-2147483648,((c_TMAP1IN)-(c_TFWD))*(((A738)-(c_TFWD))*((c_TMAP1OUT)-(0))+IF(((c_TMAP1OUT)-(0))&gt;=0,1,-1)*QUOTIENT(((c_TMAP1IN)-(c_TFWD)),2)))&lt;0,-1,0),IF(IF(o_WRAP=1,MOD(((c_TMAP1IN)-(c_TFWD))*(((A738)-(c_TFWD))*((c_TMAP1OUT)-(0))+IF(((c_TMAP1OUT)-(0))&gt;=0,1,-1)*QUOTIENT(((c_TMAP1IN)-(c_TFWD)),2))+2147483648,4294967296)-2147483648,((c_TMAP1IN)-(c_TFWD))*(((A738)-(c_TFWD))*((c_TMAP1OUT)-(0))+IF(((c_TMAP1OUT)-(0))&gt;=0,1,-1)*QUOTIENT(((c_TMAP1IN)-(c_TFWD)),2)))&gt;=0,1,0)))</f>
        <v>562</v>
      </c>
      <c r="E738" s="7" t="n">
        <f aca="false">IF(((c_TMAP2IN)-(c_TMAP1IN))=0,(c_TMAP1OUT)+QUOTIENT(((c_TMAP2OUT)-(c_TMAP1OUT)),2),QUOTIENT((((A738)-(c_TMAP1IN))*((c_TMAP2OUT)-(c_TMAP1OUT))+IF(((c_TMAP2OUT)-(c_TMAP1OUT))&gt;=0,1,-1)*QUOTIENT(((c_TMAP2IN)-(c_TMAP1IN)),2)),((c_TMAP2IN)-(c_TMAP1IN)))+(c_TMAP1OUT)+IF(((c_TMAP2OUT)-(c_TMAP1OUT))&gt;=0,IF(IF(o_WRAP=1,MOD(((c_TMAP2IN)-(c_TMAP1IN))*(((A738)-(c_TMAP1IN))*((c_TMAP2OUT)-(c_TMAP1OUT))+IF(((c_TMAP2OUT)-(c_TMAP1OUT))&gt;=0,1,-1)*QUOTIENT(((c_TMAP2IN)-(c_TMAP1IN)),2))+2147483648,4294967296)-2147483648,((c_TMAP2IN)-(c_TMAP1IN))*(((A738)-(c_TMAP1IN))*((c_TMAP2OUT)-(c_TMAP1OUT))+IF(((c_TMAP2OUT)-(c_TMAP1OUT))&gt;=0,1,-1)*QUOTIENT(((c_TMAP2IN)-(c_TMAP1IN)),2)))&lt;0,-1,0),IF(IF(o_WRAP=1,MOD(((c_TMAP2IN)-(c_TMAP1IN))*(((A738)-(c_TMAP1IN))*((c_TMAP2OUT)-(c_TMAP1OUT))+IF(((c_TMAP2OUT)-(c_TMAP1OUT))&gt;=0,1,-1)*QUOTIENT(((c_TMAP2IN)-(c_TMAP1IN)),2))+2147483648,4294967296)-2147483648,((c_TMAP2IN)-(c_TMAP1IN))*(((A738)-(c_TMAP1IN))*((c_TMAP2OUT)-(c_TMAP1OUT))+IF(((c_TMAP2OUT)-(c_TMAP1OUT))&gt;=0,1,-1)*QUOTIENT(((c_TMAP2IN)-(c_TMAP1IN)),2)))&gt;=0,1,0)))</f>
        <v>323</v>
      </c>
      <c r="F738" s="7" t="n">
        <f aca="false">IF(((c_TMAP3IN)-(c_TMAP2IN))=0,(c_TMAP2OUT)+QUOTIENT(((c_TMAP3OUT)-(c_TMAP2OUT)),2),QUOTIENT((((A738)-(c_TMAP2IN))*((c_TMAP3OUT)-(c_TMAP2OUT))+IF(((c_TMAP3OUT)-(c_TMAP2OUT))&gt;=0,1,-1)*QUOTIENT(((c_TMAP3IN)-(c_TMAP2IN)),2)),((c_TMAP3IN)-(c_TMAP2IN)))+(c_TMAP2OUT)+IF(((c_TMAP3OUT)-(c_TMAP2OUT))&gt;=0,IF(IF(o_WRAP=1,MOD(((c_TMAP3IN)-(c_TMAP2IN))*(((A738)-(c_TMAP2IN))*((c_TMAP3OUT)-(c_TMAP2OUT))+IF(((c_TMAP3OUT)-(c_TMAP2OUT))&gt;=0,1,-1)*QUOTIENT(((c_TMAP3IN)-(c_TMAP2IN)),2))+2147483648,4294967296)-2147483648,((c_TMAP3IN)-(c_TMAP2IN))*(((A738)-(c_TMAP2IN))*((c_TMAP3OUT)-(c_TMAP2OUT))+IF(((c_TMAP3OUT)-(c_TMAP2OUT))&gt;=0,1,-1)*QUOTIENT(((c_TMAP3IN)-(c_TMAP2IN)),2)))&lt;0,-1,0),IF(IF(o_WRAP=1,MOD(((c_TMAP3IN)-(c_TMAP2IN))*(((A738)-(c_TMAP2IN))*((c_TMAP3OUT)-(c_TMAP2OUT))+IF(((c_TMAP3OUT)-(c_TMAP2OUT))&gt;=0,1,-1)*QUOTIENT(((c_TMAP3IN)-(c_TMAP2IN)),2))+2147483648,4294967296)-2147483648,((c_TMAP3IN)-(c_TMAP2IN))*(((A738)-(c_TMAP2IN))*((c_TMAP3OUT)-(c_TMAP2OUT))+IF(((c_TMAP3OUT)-(c_TMAP2OUT))&gt;=0,1,-1)*QUOTIENT(((c_TMAP3IN)-(c_TMAP2IN)),2)))&gt;=0,1,0)))</f>
        <v>468</v>
      </c>
      <c r="G738" s="7" t="n">
        <f aca="false">IF(((1000)-(c_TMAP3IN))=0,(c_TMAP3OUT)+QUOTIENT(((1000)-(c_TMAP3OUT)),2),QUOTIENT((((A738)-(c_TMAP3IN))*((1000)-(c_TMAP3OUT))+IF(((1000)-(c_TMAP3OUT))&gt;=0,1,-1)*QUOTIENT(((1000)-(c_TMAP3IN)),2)),((1000)-(c_TMAP3IN)))+(c_TMAP3OUT)+IF(((1000)-(c_TMAP3OUT))&gt;=0,IF(IF(o_WRAP=1,MOD(((1000)-(c_TMAP3IN))*(((A738)-(c_TMAP3IN))*((1000)-(c_TMAP3OUT))+IF(((1000)-(c_TMAP3OUT))&gt;=0,1,-1)*QUOTIENT(((1000)-(c_TMAP3IN)),2))+2147483648,4294967296)-2147483648,((1000)-(c_TMAP3IN))*(((A738)-(c_TMAP3IN))*((1000)-(c_TMAP3OUT))+IF(((1000)-(c_TMAP3OUT))&gt;=0,1,-1)*QUOTIENT(((1000)-(c_TMAP3IN)),2)))&lt;0,-1,0),IF(IF(o_WRAP=1,MOD(((1000)-(c_TMAP3IN))*(((A738)-(c_TMAP3IN))*((1000)-(c_TMAP3OUT))+IF(((1000)-(c_TMAP3OUT))&gt;=0,1,-1)*QUOTIENT(((1000)-(c_TMAP3IN)),2))+2147483648,4294967296)-2147483648,((1000)-(c_TMAP3IN))*(((A738)-(c_TMAP3IN))*((1000)-(c_TMAP3OUT))+IF(((1000)-(c_TMAP3OUT))&gt;=0,1,-1)*QUOTIENT(((1000)-(c_TMAP3IN)),2)))&gt;=0,1,0)))</f>
        <v>671</v>
      </c>
      <c r="H738" s="7" t="str">
        <f aca="false">IF(A738&gt;=c_TFWD,IF(AND(A738&gt;=c_TMAP3IN,c_TMAP3IN&lt;1000),"Seg4 map3-100%",IF(AND(A738&gt;=c_TMAP2IN,c_TMAP3IN&gt;c_TMAP2IN),"Seg3 map2-map3",IF(AND(A738&gt;=c_TMAP1IN,c_TMAP2IN&gt;c_TMAP1IN),"Seg2 map1-map2","Seg1 TFWD-map1"))),IF(AND(A738=0,c_TCREEP&gt;0),"Creep",IF(AND(A738&lt;=c_TRNGMIN,A738&gt;=c_TRNGMAX,c_TRNGMIN-c_TRNGMAX&lt;&gt;0),"Regen ramp","Coast (0)")))</f>
        <v>Seg4 map3-100%</v>
      </c>
      <c r="I738" s="7" t="n">
        <f aca="false">IF(A738&gt;=c_TFWD,IF(AND(A738&gt;=c_TMAP3IN,c_TMAP3IN&lt;1000),G738,IF(AND(A738&gt;=c_TMAP2IN,c_TMAP3IN&gt;c_TMAP2IN),F738,IF(AND(A738&gt;=c_TMAP1IN,c_TMAP2IN&gt;c_TMAP1IN),E738,D738))),C738)</f>
        <v>671</v>
      </c>
      <c r="J738" s="7" t="str">
        <f aca="false">IF(I738&lt;-1090,"TOO LOW",IF(I738&gt;1090,"TOO HIGH",""))</f>
        <v/>
      </c>
      <c r="K738" s="15" t="n">
        <f aca="false">IF(J738&lt;&gt;"",0,IF(I738&gt;979,1000,I738))</f>
        <v>671</v>
      </c>
      <c r="L738" s="7" t="n">
        <f aca="false">K738/10</f>
        <v>67.1</v>
      </c>
    </row>
    <row r="739" customFormat="false" ht="15" hidden="false" customHeight="false" outlineLevel="0" collapsed="false">
      <c r="A739" s="7" t="n">
        <v>734</v>
      </c>
      <c r="B739" s="7" t="n">
        <f aca="false">A739/10</f>
        <v>73.4</v>
      </c>
      <c r="C739" s="7" t="n">
        <f aca="false">IF(AND(A739=0,c_TCREEP&gt;0),10*c_TCREEP,IF(AND(A739&lt;=c_TRNGMIN,A739&gt;=c_TRNGMAX,c_TRNGMIN-c_TRNGMAX&lt;&gt;0),-10*c_TMINRN+QUOTIENT((c_TMAXRN-c_TMINRN)*(100-QUOTIENT((A739-c_TRNGMAX)*100,c_TRNGMIN-c_TRNGMAX)),-10),0))</f>
        <v>0</v>
      </c>
      <c r="D739" s="7" t="n">
        <f aca="false">IF(((c_TMAP1IN)-(c_TFWD))=0,(0)+QUOTIENT(((c_TMAP1OUT)-(0)),2),QUOTIENT((((A739)-(c_TFWD))*((c_TMAP1OUT)-(0))+IF(((c_TMAP1OUT)-(0))&gt;=0,1,-1)*QUOTIENT(((c_TMAP1IN)-(c_TFWD)),2)),((c_TMAP1IN)-(c_TFWD)))+(0)+IF(((c_TMAP1OUT)-(0))&gt;=0,IF(IF(o_WRAP=1,MOD(((c_TMAP1IN)-(c_TFWD))*(((A739)-(c_TFWD))*((c_TMAP1OUT)-(0))+IF(((c_TMAP1OUT)-(0))&gt;=0,1,-1)*QUOTIENT(((c_TMAP1IN)-(c_TFWD)),2))+2147483648,4294967296)-2147483648,((c_TMAP1IN)-(c_TFWD))*(((A739)-(c_TFWD))*((c_TMAP1OUT)-(0))+IF(((c_TMAP1OUT)-(0))&gt;=0,1,-1)*QUOTIENT(((c_TMAP1IN)-(c_TFWD)),2)))&lt;0,-1,0),IF(IF(o_WRAP=1,MOD(((c_TMAP1IN)-(c_TFWD))*(((A739)-(c_TFWD))*((c_TMAP1OUT)-(0))+IF(((c_TMAP1OUT)-(0))&gt;=0,1,-1)*QUOTIENT(((c_TMAP1IN)-(c_TFWD)),2))+2147483648,4294967296)-2147483648,((c_TMAP1IN)-(c_TFWD))*(((A739)-(c_TFWD))*((c_TMAP1OUT)-(0))+IF(((c_TMAP1OUT)-(0))&gt;=0,1,-1)*QUOTIENT(((c_TMAP1IN)-(c_TFWD)),2)))&gt;=0,1,0)))</f>
        <v>563</v>
      </c>
      <c r="E739" s="7" t="n">
        <f aca="false">IF(((c_TMAP2IN)-(c_TMAP1IN))=0,(c_TMAP1OUT)+QUOTIENT(((c_TMAP2OUT)-(c_TMAP1OUT)),2),QUOTIENT((((A739)-(c_TMAP1IN))*((c_TMAP2OUT)-(c_TMAP1OUT))+IF(((c_TMAP2OUT)-(c_TMAP1OUT))&gt;=0,1,-1)*QUOTIENT(((c_TMAP2IN)-(c_TMAP1IN)),2)),((c_TMAP2IN)-(c_TMAP1IN)))+(c_TMAP1OUT)+IF(((c_TMAP2OUT)-(c_TMAP1OUT))&gt;=0,IF(IF(o_WRAP=1,MOD(((c_TMAP2IN)-(c_TMAP1IN))*(((A739)-(c_TMAP1IN))*((c_TMAP2OUT)-(c_TMAP1OUT))+IF(((c_TMAP2OUT)-(c_TMAP1OUT))&gt;=0,1,-1)*QUOTIENT(((c_TMAP2IN)-(c_TMAP1IN)),2))+2147483648,4294967296)-2147483648,((c_TMAP2IN)-(c_TMAP1IN))*(((A739)-(c_TMAP1IN))*((c_TMAP2OUT)-(c_TMAP1OUT))+IF(((c_TMAP2OUT)-(c_TMAP1OUT))&gt;=0,1,-1)*QUOTIENT(((c_TMAP2IN)-(c_TMAP1IN)),2)))&lt;0,-1,0),IF(IF(o_WRAP=1,MOD(((c_TMAP2IN)-(c_TMAP1IN))*(((A739)-(c_TMAP1IN))*((c_TMAP2OUT)-(c_TMAP1OUT))+IF(((c_TMAP2OUT)-(c_TMAP1OUT))&gt;=0,1,-1)*QUOTIENT(((c_TMAP2IN)-(c_TMAP1IN)),2))+2147483648,4294967296)-2147483648,((c_TMAP2IN)-(c_TMAP1IN))*(((A739)-(c_TMAP1IN))*((c_TMAP2OUT)-(c_TMAP1OUT))+IF(((c_TMAP2OUT)-(c_TMAP1OUT))&gt;=0,1,-1)*QUOTIENT(((c_TMAP2IN)-(c_TMAP1IN)),2)))&gt;=0,1,0)))</f>
        <v>324</v>
      </c>
      <c r="F739" s="7" t="n">
        <f aca="false">IF(((c_TMAP3IN)-(c_TMAP2IN))=0,(c_TMAP2OUT)+QUOTIENT(((c_TMAP3OUT)-(c_TMAP2OUT)),2),QUOTIENT((((A739)-(c_TMAP2IN))*((c_TMAP3OUT)-(c_TMAP2OUT))+IF(((c_TMAP3OUT)-(c_TMAP2OUT))&gt;=0,1,-1)*QUOTIENT(((c_TMAP3IN)-(c_TMAP2IN)),2)),((c_TMAP3IN)-(c_TMAP2IN)))+(c_TMAP2OUT)+IF(((c_TMAP3OUT)-(c_TMAP2OUT))&gt;=0,IF(IF(o_WRAP=1,MOD(((c_TMAP3IN)-(c_TMAP2IN))*(((A739)-(c_TMAP2IN))*((c_TMAP3OUT)-(c_TMAP2OUT))+IF(((c_TMAP3OUT)-(c_TMAP2OUT))&gt;=0,1,-1)*QUOTIENT(((c_TMAP3IN)-(c_TMAP2IN)),2))+2147483648,4294967296)-2147483648,((c_TMAP3IN)-(c_TMAP2IN))*(((A739)-(c_TMAP2IN))*((c_TMAP3OUT)-(c_TMAP2OUT))+IF(((c_TMAP3OUT)-(c_TMAP2OUT))&gt;=0,1,-1)*QUOTIENT(((c_TMAP3IN)-(c_TMAP2IN)),2)))&lt;0,-1,0),IF(IF(o_WRAP=1,MOD(((c_TMAP3IN)-(c_TMAP2IN))*(((A739)-(c_TMAP2IN))*((c_TMAP3OUT)-(c_TMAP2OUT))+IF(((c_TMAP3OUT)-(c_TMAP2OUT))&gt;=0,1,-1)*QUOTIENT(((c_TMAP3IN)-(c_TMAP2IN)),2))+2147483648,4294967296)-2147483648,((c_TMAP3IN)-(c_TMAP2IN))*(((A739)-(c_TMAP2IN))*((c_TMAP3OUT)-(c_TMAP2OUT))+IF(((c_TMAP3OUT)-(c_TMAP2OUT))&gt;=0,1,-1)*QUOTIENT(((c_TMAP3IN)-(c_TMAP2IN)),2)))&gt;=0,1,0)))</f>
        <v>469</v>
      </c>
      <c r="G739" s="7" t="n">
        <f aca="false">IF(((1000)-(c_TMAP3IN))=0,(c_TMAP3OUT)+QUOTIENT(((1000)-(c_TMAP3OUT)),2),QUOTIENT((((A739)-(c_TMAP3IN))*((1000)-(c_TMAP3OUT))+IF(((1000)-(c_TMAP3OUT))&gt;=0,1,-1)*QUOTIENT(((1000)-(c_TMAP3IN)),2)),((1000)-(c_TMAP3IN)))+(c_TMAP3OUT)+IF(((1000)-(c_TMAP3OUT))&gt;=0,IF(IF(o_WRAP=1,MOD(((1000)-(c_TMAP3IN))*(((A739)-(c_TMAP3IN))*((1000)-(c_TMAP3OUT))+IF(((1000)-(c_TMAP3OUT))&gt;=0,1,-1)*QUOTIENT(((1000)-(c_TMAP3IN)),2))+2147483648,4294967296)-2147483648,((1000)-(c_TMAP3IN))*(((A739)-(c_TMAP3IN))*((1000)-(c_TMAP3OUT))+IF(((1000)-(c_TMAP3OUT))&gt;=0,1,-1)*QUOTIENT(((1000)-(c_TMAP3IN)),2)))&lt;0,-1,0),IF(IF(o_WRAP=1,MOD(((1000)-(c_TMAP3IN))*(((A739)-(c_TMAP3IN))*((1000)-(c_TMAP3OUT))+IF(((1000)-(c_TMAP3OUT))&gt;=0,1,-1)*QUOTIENT(((1000)-(c_TMAP3IN)),2))+2147483648,4294967296)-2147483648,((1000)-(c_TMAP3IN))*(((A739)-(c_TMAP3IN))*((1000)-(c_TMAP3OUT))+IF(((1000)-(c_TMAP3OUT))&gt;=0,1,-1)*QUOTIENT(((1000)-(c_TMAP3IN)),2)))&gt;=0,1,0)))</f>
        <v>673</v>
      </c>
      <c r="H739" s="7" t="str">
        <f aca="false">IF(A739&gt;=c_TFWD,IF(AND(A739&gt;=c_TMAP3IN,c_TMAP3IN&lt;1000),"Seg4 map3-100%",IF(AND(A739&gt;=c_TMAP2IN,c_TMAP3IN&gt;c_TMAP2IN),"Seg3 map2-map3",IF(AND(A739&gt;=c_TMAP1IN,c_TMAP2IN&gt;c_TMAP1IN),"Seg2 map1-map2","Seg1 TFWD-map1"))),IF(AND(A739=0,c_TCREEP&gt;0),"Creep",IF(AND(A739&lt;=c_TRNGMIN,A739&gt;=c_TRNGMAX,c_TRNGMIN-c_TRNGMAX&lt;&gt;0),"Regen ramp","Coast (0)")))</f>
        <v>Seg4 map3-100%</v>
      </c>
      <c r="I739" s="7" t="n">
        <f aca="false">IF(A739&gt;=c_TFWD,IF(AND(A739&gt;=c_TMAP3IN,c_TMAP3IN&lt;1000),G739,IF(AND(A739&gt;=c_TMAP2IN,c_TMAP3IN&gt;c_TMAP2IN),F739,IF(AND(A739&gt;=c_TMAP1IN,c_TMAP2IN&gt;c_TMAP1IN),E739,D739))),C739)</f>
        <v>673</v>
      </c>
      <c r="J739" s="7" t="str">
        <f aca="false">IF(I739&lt;-1090,"TOO LOW",IF(I739&gt;1090,"TOO HIGH",""))</f>
        <v/>
      </c>
      <c r="K739" s="15" t="n">
        <f aca="false">IF(J739&lt;&gt;"",0,IF(I739&gt;979,1000,I739))</f>
        <v>673</v>
      </c>
      <c r="L739" s="7" t="n">
        <f aca="false">K739/10</f>
        <v>67.3</v>
      </c>
    </row>
    <row r="740" customFormat="false" ht="15" hidden="false" customHeight="false" outlineLevel="0" collapsed="false">
      <c r="A740" s="7" t="n">
        <v>735</v>
      </c>
      <c r="B740" s="7" t="n">
        <f aca="false">A740/10</f>
        <v>73.5</v>
      </c>
      <c r="C740" s="7" t="n">
        <f aca="false">IF(AND(A740=0,c_TCREEP&gt;0),10*c_TCREEP,IF(AND(A740&lt;=c_TRNGMIN,A740&gt;=c_TRNGMAX,c_TRNGMIN-c_TRNGMAX&lt;&gt;0),-10*c_TMINRN+QUOTIENT((c_TMAXRN-c_TMINRN)*(100-QUOTIENT((A740-c_TRNGMAX)*100,c_TRNGMIN-c_TRNGMAX)),-10),0))</f>
        <v>0</v>
      </c>
      <c r="D740" s="7" t="n">
        <f aca="false">IF(((c_TMAP1IN)-(c_TFWD))=0,(0)+QUOTIENT(((c_TMAP1OUT)-(0)),2),QUOTIENT((((A740)-(c_TFWD))*((c_TMAP1OUT)-(0))+IF(((c_TMAP1OUT)-(0))&gt;=0,1,-1)*QUOTIENT(((c_TMAP1IN)-(c_TFWD)),2)),((c_TMAP1IN)-(c_TFWD)))+(0)+IF(((c_TMAP1OUT)-(0))&gt;=0,IF(IF(o_WRAP=1,MOD(((c_TMAP1IN)-(c_TFWD))*(((A740)-(c_TFWD))*((c_TMAP1OUT)-(0))+IF(((c_TMAP1OUT)-(0))&gt;=0,1,-1)*QUOTIENT(((c_TMAP1IN)-(c_TFWD)),2))+2147483648,4294967296)-2147483648,((c_TMAP1IN)-(c_TFWD))*(((A740)-(c_TFWD))*((c_TMAP1OUT)-(0))+IF(((c_TMAP1OUT)-(0))&gt;=0,1,-1)*QUOTIENT(((c_TMAP1IN)-(c_TFWD)),2)))&lt;0,-1,0),IF(IF(o_WRAP=1,MOD(((c_TMAP1IN)-(c_TFWD))*(((A740)-(c_TFWD))*((c_TMAP1OUT)-(0))+IF(((c_TMAP1OUT)-(0))&gt;=0,1,-1)*QUOTIENT(((c_TMAP1IN)-(c_TFWD)),2))+2147483648,4294967296)-2147483648,((c_TMAP1IN)-(c_TFWD))*(((A740)-(c_TFWD))*((c_TMAP1OUT)-(0))+IF(((c_TMAP1OUT)-(0))&gt;=0,1,-1)*QUOTIENT(((c_TMAP1IN)-(c_TFWD)),2)))&gt;=0,1,0)))</f>
        <v>564</v>
      </c>
      <c r="E740" s="7" t="n">
        <f aca="false">IF(((c_TMAP2IN)-(c_TMAP1IN))=0,(c_TMAP1OUT)+QUOTIENT(((c_TMAP2OUT)-(c_TMAP1OUT)),2),QUOTIENT((((A740)-(c_TMAP1IN))*((c_TMAP2OUT)-(c_TMAP1OUT))+IF(((c_TMAP2OUT)-(c_TMAP1OUT))&gt;=0,1,-1)*QUOTIENT(((c_TMAP2IN)-(c_TMAP1IN)),2)),((c_TMAP2IN)-(c_TMAP1IN)))+(c_TMAP1OUT)+IF(((c_TMAP2OUT)-(c_TMAP1OUT))&gt;=0,IF(IF(o_WRAP=1,MOD(((c_TMAP2IN)-(c_TMAP1IN))*(((A740)-(c_TMAP1IN))*((c_TMAP2OUT)-(c_TMAP1OUT))+IF(((c_TMAP2OUT)-(c_TMAP1OUT))&gt;=0,1,-1)*QUOTIENT(((c_TMAP2IN)-(c_TMAP1IN)),2))+2147483648,4294967296)-2147483648,((c_TMAP2IN)-(c_TMAP1IN))*(((A740)-(c_TMAP1IN))*((c_TMAP2OUT)-(c_TMAP1OUT))+IF(((c_TMAP2OUT)-(c_TMAP1OUT))&gt;=0,1,-1)*QUOTIENT(((c_TMAP2IN)-(c_TMAP1IN)),2)))&lt;0,-1,0),IF(IF(o_WRAP=1,MOD(((c_TMAP2IN)-(c_TMAP1IN))*(((A740)-(c_TMAP1IN))*((c_TMAP2OUT)-(c_TMAP1OUT))+IF(((c_TMAP2OUT)-(c_TMAP1OUT))&gt;=0,1,-1)*QUOTIENT(((c_TMAP2IN)-(c_TMAP1IN)),2))+2147483648,4294967296)-2147483648,((c_TMAP2IN)-(c_TMAP1IN))*(((A740)-(c_TMAP1IN))*((c_TMAP2OUT)-(c_TMAP1OUT))+IF(((c_TMAP2OUT)-(c_TMAP1OUT))&gt;=0,1,-1)*QUOTIENT(((c_TMAP2IN)-(c_TMAP1IN)),2)))&gt;=0,1,0)))</f>
        <v>324</v>
      </c>
      <c r="F740" s="7" t="n">
        <f aca="false">IF(((c_TMAP3IN)-(c_TMAP2IN))=0,(c_TMAP2OUT)+QUOTIENT(((c_TMAP3OUT)-(c_TMAP2OUT)),2),QUOTIENT((((A740)-(c_TMAP2IN))*((c_TMAP3OUT)-(c_TMAP2OUT))+IF(((c_TMAP3OUT)-(c_TMAP2OUT))&gt;=0,1,-1)*QUOTIENT(((c_TMAP3IN)-(c_TMAP2IN)),2)),((c_TMAP3IN)-(c_TMAP2IN)))+(c_TMAP2OUT)+IF(((c_TMAP3OUT)-(c_TMAP2OUT))&gt;=0,IF(IF(o_WRAP=1,MOD(((c_TMAP3IN)-(c_TMAP2IN))*(((A740)-(c_TMAP2IN))*((c_TMAP3OUT)-(c_TMAP2OUT))+IF(((c_TMAP3OUT)-(c_TMAP2OUT))&gt;=0,1,-1)*QUOTIENT(((c_TMAP3IN)-(c_TMAP2IN)),2))+2147483648,4294967296)-2147483648,((c_TMAP3IN)-(c_TMAP2IN))*(((A740)-(c_TMAP2IN))*((c_TMAP3OUT)-(c_TMAP2OUT))+IF(((c_TMAP3OUT)-(c_TMAP2OUT))&gt;=0,1,-1)*QUOTIENT(((c_TMAP3IN)-(c_TMAP2IN)),2)))&lt;0,-1,0),IF(IF(o_WRAP=1,MOD(((c_TMAP3IN)-(c_TMAP2IN))*(((A740)-(c_TMAP2IN))*((c_TMAP3OUT)-(c_TMAP2OUT))+IF(((c_TMAP3OUT)-(c_TMAP2OUT))&gt;=0,1,-1)*QUOTIENT(((c_TMAP3IN)-(c_TMAP2IN)),2))+2147483648,4294967296)-2147483648,((c_TMAP3IN)-(c_TMAP2IN))*(((A740)-(c_TMAP2IN))*((c_TMAP3OUT)-(c_TMAP2OUT))+IF(((c_TMAP3OUT)-(c_TMAP2OUT))&gt;=0,1,-1)*QUOTIENT(((c_TMAP3IN)-(c_TMAP2IN)),2)))&gt;=0,1,0)))</f>
        <v>470</v>
      </c>
      <c r="G740" s="7" t="n">
        <f aca="false">IF(((1000)-(c_TMAP3IN))=0,(c_TMAP3OUT)+QUOTIENT(((1000)-(c_TMAP3OUT)),2),QUOTIENT((((A740)-(c_TMAP3IN))*((1000)-(c_TMAP3OUT))+IF(((1000)-(c_TMAP3OUT))&gt;=0,1,-1)*QUOTIENT(((1000)-(c_TMAP3IN)),2)),((1000)-(c_TMAP3IN)))+(c_TMAP3OUT)+IF(((1000)-(c_TMAP3OUT))&gt;=0,IF(IF(o_WRAP=1,MOD(((1000)-(c_TMAP3IN))*(((A740)-(c_TMAP3IN))*((1000)-(c_TMAP3OUT))+IF(((1000)-(c_TMAP3OUT))&gt;=0,1,-1)*QUOTIENT(((1000)-(c_TMAP3IN)),2))+2147483648,4294967296)-2147483648,((1000)-(c_TMAP3IN))*(((A740)-(c_TMAP3IN))*((1000)-(c_TMAP3OUT))+IF(((1000)-(c_TMAP3OUT))&gt;=0,1,-1)*QUOTIENT(((1000)-(c_TMAP3IN)),2)))&lt;0,-1,0),IF(IF(o_WRAP=1,MOD(((1000)-(c_TMAP3IN))*(((A740)-(c_TMAP3IN))*((1000)-(c_TMAP3OUT))+IF(((1000)-(c_TMAP3OUT))&gt;=0,1,-1)*QUOTIENT(((1000)-(c_TMAP3IN)),2))+2147483648,4294967296)-2147483648,((1000)-(c_TMAP3IN))*(((A740)-(c_TMAP3IN))*((1000)-(c_TMAP3OUT))+IF(((1000)-(c_TMAP3OUT))&gt;=0,1,-1)*QUOTIENT(((1000)-(c_TMAP3IN)),2)))&gt;=0,1,0)))</f>
        <v>674</v>
      </c>
      <c r="H740" s="7" t="str">
        <f aca="false">IF(A740&gt;=c_TFWD,IF(AND(A740&gt;=c_TMAP3IN,c_TMAP3IN&lt;1000),"Seg4 map3-100%",IF(AND(A740&gt;=c_TMAP2IN,c_TMAP3IN&gt;c_TMAP2IN),"Seg3 map2-map3",IF(AND(A740&gt;=c_TMAP1IN,c_TMAP2IN&gt;c_TMAP1IN),"Seg2 map1-map2","Seg1 TFWD-map1"))),IF(AND(A740=0,c_TCREEP&gt;0),"Creep",IF(AND(A740&lt;=c_TRNGMIN,A740&gt;=c_TRNGMAX,c_TRNGMIN-c_TRNGMAX&lt;&gt;0),"Regen ramp","Coast (0)")))</f>
        <v>Seg4 map3-100%</v>
      </c>
      <c r="I740" s="7" t="n">
        <f aca="false">IF(A740&gt;=c_TFWD,IF(AND(A740&gt;=c_TMAP3IN,c_TMAP3IN&lt;1000),G740,IF(AND(A740&gt;=c_TMAP2IN,c_TMAP3IN&gt;c_TMAP2IN),F740,IF(AND(A740&gt;=c_TMAP1IN,c_TMAP2IN&gt;c_TMAP1IN),E740,D740))),C740)</f>
        <v>674</v>
      </c>
      <c r="J740" s="7" t="str">
        <f aca="false">IF(I740&lt;-1090,"TOO LOW",IF(I740&gt;1090,"TOO HIGH",""))</f>
        <v/>
      </c>
      <c r="K740" s="15" t="n">
        <f aca="false">IF(J740&lt;&gt;"",0,IF(I740&gt;979,1000,I740))</f>
        <v>674</v>
      </c>
      <c r="L740" s="7" t="n">
        <f aca="false">K740/10</f>
        <v>67.4</v>
      </c>
    </row>
    <row r="741" customFormat="false" ht="15" hidden="false" customHeight="false" outlineLevel="0" collapsed="false">
      <c r="A741" s="7" t="n">
        <v>736</v>
      </c>
      <c r="B741" s="7" t="n">
        <f aca="false">A741/10</f>
        <v>73.6</v>
      </c>
      <c r="C741" s="7" t="n">
        <f aca="false">IF(AND(A741=0,c_TCREEP&gt;0),10*c_TCREEP,IF(AND(A741&lt;=c_TRNGMIN,A741&gt;=c_TRNGMAX,c_TRNGMIN-c_TRNGMAX&lt;&gt;0),-10*c_TMINRN+QUOTIENT((c_TMAXRN-c_TMINRN)*(100-QUOTIENT((A741-c_TRNGMAX)*100,c_TRNGMIN-c_TRNGMAX)),-10),0))</f>
        <v>0</v>
      </c>
      <c r="D741" s="7" t="n">
        <f aca="false">IF(((c_TMAP1IN)-(c_TFWD))=0,(0)+QUOTIENT(((c_TMAP1OUT)-(0)),2),QUOTIENT((((A741)-(c_TFWD))*((c_TMAP1OUT)-(0))+IF(((c_TMAP1OUT)-(0))&gt;=0,1,-1)*QUOTIENT(((c_TMAP1IN)-(c_TFWD)),2)),((c_TMAP1IN)-(c_TFWD)))+(0)+IF(((c_TMAP1OUT)-(0))&gt;=0,IF(IF(o_WRAP=1,MOD(((c_TMAP1IN)-(c_TFWD))*(((A741)-(c_TFWD))*((c_TMAP1OUT)-(0))+IF(((c_TMAP1OUT)-(0))&gt;=0,1,-1)*QUOTIENT(((c_TMAP1IN)-(c_TFWD)),2))+2147483648,4294967296)-2147483648,((c_TMAP1IN)-(c_TFWD))*(((A741)-(c_TFWD))*((c_TMAP1OUT)-(0))+IF(((c_TMAP1OUT)-(0))&gt;=0,1,-1)*QUOTIENT(((c_TMAP1IN)-(c_TFWD)),2)))&lt;0,-1,0),IF(IF(o_WRAP=1,MOD(((c_TMAP1IN)-(c_TFWD))*(((A741)-(c_TFWD))*((c_TMAP1OUT)-(0))+IF(((c_TMAP1OUT)-(0))&gt;=0,1,-1)*QUOTIENT(((c_TMAP1IN)-(c_TFWD)),2))+2147483648,4294967296)-2147483648,((c_TMAP1IN)-(c_TFWD))*(((A741)-(c_TFWD))*((c_TMAP1OUT)-(0))+IF(((c_TMAP1OUT)-(0))&gt;=0,1,-1)*QUOTIENT(((c_TMAP1IN)-(c_TFWD)),2)))&gt;=0,1,0)))</f>
        <v>565</v>
      </c>
      <c r="E741" s="7" t="n">
        <f aca="false">IF(((c_TMAP2IN)-(c_TMAP1IN))=0,(c_TMAP1OUT)+QUOTIENT(((c_TMAP2OUT)-(c_TMAP1OUT)),2),QUOTIENT((((A741)-(c_TMAP1IN))*((c_TMAP2OUT)-(c_TMAP1OUT))+IF(((c_TMAP2OUT)-(c_TMAP1OUT))&gt;=0,1,-1)*QUOTIENT(((c_TMAP2IN)-(c_TMAP1IN)),2)),((c_TMAP2IN)-(c_TMAP1IN)))+(c_TMAP1OUT)+IF(((c_TMAP2OUT)-(c_TMAP1OUT))&gt;=0,IF(IF(o_WRAP=1,MOD(((c_TMAP2IN)-(c_TMAP1IN))*(((A741)-(c_TMAP1IN))*((c_TMAP2OUT)-(c_TMAP1OUT))+IF(((c_TMAP2OUT)-(c_TMAP1OUT))&gt;=0,1,-1)*QUOTIENT(((c_TMAP2IN)-(c_TMAP1IN)),2))+2147483648,4294967296)-2147483648,((c_TMAP2IN)-(c_TMAP1IN))*(((A741)-(c_TMAP1IN))*((c_TMAP2OUT)-(c_TMAP1OUT))+IF(((c_TMAP2OUT)-(c_TMAP1OUT))&gt;=0,1,-1)*QUOTIENT(((c_TMAP2IN)-(c_TMAP1IN)),2)))&lt;0,-1,0),IF(IF(o_WRAP=1,MOD(((c_TMAP2IN)-(c_TMAP1IN))*(((A741)-(c_TMAP1IN))*((c_TMAP2OUT)-(c_TMAP1OUT))+IF(((c_TMAP2OUT)-(c_TMAP1OUT))&gt;=0,1,-1)*QUOTIENT(((c_TMAP2IN)-(c_TMAP1IN)),2))+2147483648,4294967296)-2147483648,((c_TMAP2IN)-(c_TMAP1IN))*(((A741)-(c_TMAP1IN))*((c_TMAP2OUT)-(c_TMAP1OUT))+IF(((c_TMAP2OUT)-(c_TMAP1OUT))&gt;=0,1,-1)*QUOTIENT(((c_TMAP2IN)-(c_TMAP1IN)),2)))&gt;=0,1,0)))</f>
        <v>324</v>
      </c>
      <c r="F741" s="7" t="n">
        <f aca="false">IF(((c_TMAP3IN)-(c_TMAP2IN))=0,(c_TMAP2OUT)+QUOTIENT(((c_TMAP3OUT)-(c_TMAP2OUT)),2),QUOTIENT((((A741)-(c_TMAP2IN))*((c_TMAP3OUT)-(c_TMAP2OUT))+IF(((c_TMAP3OUT)-(c_TMAP2OUT))&gt;=0,1,-1)*QUOTIENT(((c_TMAP3IN)-(c_TMAP2IN)),2)),((c_TMAP3IN)-(c_TMAP2IN)))+(c_TMAP2OUT)+IF(((c_TMAP3OUT)-(c_TMAP2OUT))&gt;=0,IF(IF(o_WRAP=1,MOD(((c_TMAP3IN)-(c_TMAP2IN))*(((A741)-(c_TMAP2IN))*((c_TMAP3OUT)-(c_TMAP2OUT))+IF(((c_TMAP3OUT)-(c_TMAP2OUT))&gt;=0,1,-1)*QUOTIENT(((c_TMAP3IN)-(c_TMAP2IN)),2))+2147483648,4294967296)-2147483648,((c_TMAP3IN)-(c_TMAP2IN))*(((A741)-(c_TMAP2IN))*((c_TMAP3OUT)-(c_TMAP2OUT))+IF(((c_TMAP3OUT)-(c_TMAP2OUT))&gt;=0,1,-1)*QUOTIENT(((c_TMAP3IN)-(c_TMAP2IN)),2)))&lt;0,-1,0),IF(IF(o_WRAP=1,MOD(((c_TMAP3IN)-(c_TMAP2IN))*(((A741)-(c_TMAP2IN))*((c_TMAP3OUT)-(c_TMAP2OUT))+IF(((c_TMAP3OUT)-(c_TMAP2OUT))&gt;=0,1,-1)*QUOTIENT(((c_TMAP3IN)-(c_TMAP2IN)),2))+2147483648,4294967296)-2147483648,((c_TMAP3IN)-(c_TMAP2IN))*(((A741)-(c_TMAP2IN))*((c_TMAP3OUT)-(c_TMAP2OUT))+IF(((c_TMAP3OUT)-(c_TMAP2OUT))&gt;=0,1,-1)*QUOTIENT(((c_TMAP3IN)-(c_TMAP2IN)),2)))&gt;=0,1,0)))</f>
        <v>470</v>
      </c>
      <c r="G741" s="7" t="n">
        <f aca="false">IF(((1000)-(c_TMAP3IN))=0,(c_TMAP3OUT)+QUOTIENT(((1000)-(c_TMAP3OUT)),2),QUOTIENT((((A741)-(c_TMAP3IN))*((1000)-(c_TMAP3OUT))+IF(((1000)-(c_TMAP3OUT))&gt;=0,1,-1)*QUOTIENT(((1000)-(c_TMAP3IN)),2)),((1000)-(c_TMAP3IN)))+(c_TMAP3OUT)+IF(((1000)-(c_TMAP3OUT))&gt;=0,IF(IF(o_WRAP=1,MOD(((1000)-(c_TMAP3IN))*(((A741)-(c_TMAP3IN))*((1000)-(c_TMAP3OUT))+IF(((1000)-(c_TMAP3OUT))&gt;=0,1,-1)*QUOTIENT(((1000)-(c_TMAP3IN)),2))+2147483648,4294967296)-2147483648,((1000)-(c_TMAP3IN))*(((A741)-(c_TMAP3IN))*((1000)-(c_TMAP3OUT))+IF(((1000)-(c_TMAP3OUT))&gt;=0,1,-1)*QUOTIENT(((1000)-(c_TMAP3IN)),2)))&lt;0,-1,0),IF(IF(o_WRAP=1,MOD(((1000)-(c_TMAP3IN))*(((A741)-(c_TMAP3IN))*((1000)-(c_TMAP3OUT))+IF(((1000)-(c_TMAP3OUT))&gt;=0,1,-1)*QUOTIENT(((1000)-(c_TMAP3IN)),2))+2147483648,4294967296)-2147483648,((1000)-(c_TMAP3IN))*(((A741)-(c_TMAP3IN))*((1000)-(c_TMAP3OUT))+IF(((1000)-(c_TMAP3OUT))&gt;=0,1,-1)*QUOTIENT(((1000)-(c_TMAP3IN)),2)))&gt;=0,1,0)))</f>
        <v>675</v>
      </c>
      <c r="H741" s="7" t="str">
        <f aca="false">IF(A741&gt;=c_TFWD,IF(AND(A741&gt;=c_TMAP3IN,c_TMAP3IN&lt;1000),"Seg4 map3-100%",IF(AND(A741&gt;=c_TMAP2IN,c_TMAP3IN&gt;c_TMAP2IN),"Seg3 map2-map3",IF(AND(A741&gt;=c_TMAP1IN,c_TMAP2IN&gt;c_TMAP1IN),"Seg2 map1-map2","Seg1 TFWD-map1"))),IF(AND(A741=0,c_TCREEP&gt;0),"Creep",IF(AND(A741&lt;=c_TRNGMIN,A741&gt;=c_TRNGMAX,c_TRNGMIN-c_TRNGMAX&lt;&gt;0),"Regen ramp","Coast (0)")))</f>
        <v>Seg4 map3-100%</v>
      </c>
      <c r="I741" s="7" t="n">
        <f aca="false">IF(A741&gt;=c_TFWD,IF(AND(A741&gt;=c_TMAP3IN,c_TMAP3IN&lt;1000),G741,IF(AND(A741&gt;=c_TMAP2IN,c_TMAP3IN&gt;c_TMAP2IN),F741,IF(AND(A741&gt;=c_TMAP1IN,c_TMAP2IN&gt;c_TMAP1IN),E741,D741))),C741)</f>
        <v>675</v>
      </c>
      <c r="J741" s="7" t="str">
        <f aca="false">IF(I741&lt;-1090,"TOO LOW",IF(I741&gt;1090,"TOO HIGH",""))</f>
        <v/>
      </c>
      <c r="K741" s="15" t="n">
        <f aca="false">IF(J741&lt;&gt;"",0,IF(I741&gt;979,1000,I741))</f>
        <v>675</v>
      </c>
      <c r="L741" s="7" t="n">
        <f aca="false">K741/10</f>
        <v>67.5</v>
      </c>
    </row>
    <row r="742" customFormat="false" ht="15" hidden="false" customHeight="false" outlineLevel="0" collapsed="false">
      <c r="A742" s="7" t="n">
        <v>737</v>
      </c>
      <c r="B742" s="7" t="n">
        <f aca="false">A742/10</f>
        <v>73.7</v>
      </c>
      <c r="C742" s="7" t="n">
        <f aca="false">IF(AND(A742=0,c_TCREEP&gt;0),10*c_TCREEP,IF(AND(A742&lt;=c_TRNGMIN,A742&gt;=c_TRNGMAX,c_TRNGMIN-c_TRNGMAX&lt;&gt;0),-10*c_TMINRN+QUOTIENT((c_TMAXRN-c_TMINRN)*(100-QUOTIENT((A742-c_TRNGMAX)*100,c_TRNGMIN-c_TRNGMAX)),-10),0))</f>
        <v>0</v>
      </c>
      <c r="D742" s="7" t="n">
        <f aca="false">IF(((c_TMAP1IN)-(c_TFWD))=0,(0)+QUOTIENT(((c_TMAP1OUT)-(0)),2),QUOTIENT((((A742)-(c_TFWD))*((c_TMAP1OUT)-(0))+IF(((c_TMAP1OUT)-(0))&gt;=0,1,-1)*QUOTIENT(((c_TMAP1IN)-(c_TFWD)),2)),((c_TMAP1IN)-(c_TFWD)))+(0)+IF(((c_TMAP1OUT)-(0))&gt;=0,IF(IF(o_WRAP=1,MOD(((c_TMAP1IN)-(c_TFWD))*(((A742)-(c_TFWD))*((c_TMAP1OUT)-(0))+IF(((c_TMAP1OUT)-(0))&gt;=0,1,-1)*QUOTIENT(((c_TMAP1IN)-(c_TFWD)),2))+2147483648,4294967296)-2147483648,((c_TMAP1IN)-(c_TFWD))*(((A742)-(c_TFWD))*((c_TMAP1OUT)-(0))+IF(((c_TMAP1OUT)-(0))&gt;=0,1,-1)*QUOTIENT(((c_TMAP1IN)-(c_TFWD)),2)))&lt;0,-1,0),IF(IF(o_WRAP=1,MOD(((c_TMAP1IN)-(c_TFWD))*(((A742)-(c_TFWD))*((c_TMAP1OUT)-(0))+IF(((c_TMAP1OUT)-(0))&gt;=0,1,-1)*QUOTIENT(((c_TMAP1IN)-(c_TFWD)),2))+2147483648,4294967296)-2147483648,((c_TMAP1IN)-(c_TFWD))*(((A742)-(c_TFWD))*((c_TMAP1OUT)-(0))+IF(((c_TMAP1OUT)-(0))&gt;=0,1,-1)*QUOTIENT(((c_TMAP1IN)-(c_TFWD)),2)))&gt;=0,1,0)))</f>
        <v>565</v>
      </c>
      <c r="E742" s="7" t="n">
        <f aca="false">IF(((c_TMAP2IN)-(c_TMAP1IN))=0,(c_TMAP1OUT)+QUOTIENT(((c_TMAP2OUT)-(c_TMAP1OUT)),2),QUOTIENT((((A742)-(c_TMAP1IN))*((c_TMAP2OUT)-(c_TMAP1OUT))+IF(((c_TMAP2OUT)-(c_TMAP1OUT))&gt;=0,1,-1)*QUOTIENT(((c_TMAP2IN)-(c_TMAP1IN)),2)),((c_TMAP2IN)-(c_TMAP1IN)))+(c_TMAP1OUT)+IF(((c_TMAP2OUT)-(c_TMAP1OUT))&gt;=0,IF(IF(o_WRAP=1,MOD(((c_TMAP2IN)-(c_TMAP1IN))*(((A742)-(c_TMAP1IN))*((c_TMAP2OUT)-(c_TMAP1OUT))+IF(((c_TMAP2OUT)-(c_TMAP1OUT))&gt;=0,1,-1)*QUOTIENT(((c_TMAP2IN)-(c_TMAP1IN)),2))+2147483648,4294967296)-2147483648,((c_TMAP2IN)-(c_TMAP1IN))*(((A742)-(c_TMAP1IN))*((c_TMAP2OUT)-(c_TMAP1OUT))+IF(((c_TMAP2OUT)-(c_TMAP1OUT))&gt;=0,1,-1)*QUOTIENT(((c_TMAP2IN)-(c_TMAP1IN)),2)))&lt;0,-1,0),IF(IF(o_WRAP=1,MOD(((c_TMAP2IN)-(c_TMAP1IN))*(((A742)-(c_TMAP1IN))*((c_TMAP2OUT)-(c_TMAP1OUT))+IF(((c_TMAP2OUT)-(c_TMAP1OUT))&gt;=0,1,-1)*QUOTIENT(((c_TMAP2IN)-(c_TMAP1IN)),2))+2147483648,4294967296)-2147483648,((c_TMAP2IN)-(c_TMAP1IN))*(((A742)-(c_TMAP1IN))*((c_TMAP2OUT)-(c_TMAP1OUT))+IF(((c_TMAP2OUT)-(c_TMAP1OUT))&gt;=0,1,-1)*QUOTIENT(((c_TMAP2IN)-(c_TMAP1IN)),2)))&gt;=0,1,0)))</f>
        <v>325</v>
      </c>
      <c r="F742" s="7" t="n">
        <f aca="false">IF(((c_TMAP3IN)-(c_TMAP2IN))=0,(c_TMAP2OUT)+QUOTIENT(((c_TMAP3OUT)-(c_TMAP2OUT)),2),QUOTIENT((((A742)-(c_TMAP2IN))*((c_TMAP3OUT)-(c_TMAP2OUT))+IF(((c_TMAP3OUT)-(c_TMAP2OUT))&gt;=0,1,-1)*QUOTIENT(((c_TMAP3IN)-(c_TMAP2IN)),2)),((c_TMAP3IN)-(c_TMAP2IN)))+(c_TMAP2OUT)+IF(((c_TMAP3OUT)-(c_TMAP2OUT))&gt;=0,IF(IF(o_WRAP=1,MOD(((c_TMAP3IN)-(c_TMAP2IN))*(((A742)-(c_TMAP2IN))*((c_TMAP3OUT)-(c_TMAP2OUT))+IF(((c_TMAP3OUT)-(c_TMAP2OUT))&gt;=0,1,-1)*QUOTIENT(((c_TMAP3IN)-(c_TMAP2IN)),2))+2147483648,4294967296)-2147483648,((c_TMAP3IN)-(c_TMAP2IN))*(((A742)-(c_TMAP2IN))*((c_TMAP3OUT)-(c_TMAP2OUT))+IF(((c_TMAP3OUT)-(c_TMAP2OUT))&gt;=0,1,-1)*QUOTIENT(((c_TMAP3IN)-(c_TMAP2IN)),2)))&lt;0,-1,0),IF(IF(o_WRAP=1,MOD(((c_TMAP3IN)-(c_TMAP2IN))*(((A742)-(c_TMAP2IN))*((c_TMAP3OUT)-(c_TMAP2OUT))+IF(((c_TMAP3OUT)-(c_TMAP2OUT))&gt;=0,1,-1)*QUOTIENT(((c_TMAP3IN)-(c_TMAP2IN)),2))+2147483648,4294967296)-2147483648,((c_TMAP3IN)-(c_TMAP2IN))*(((A742)-(c_TMAP2IN))*((c_TMAP3OUT)-(c_TMAP2OUT))+IF(((c_TMAP3OUT)-(c_TMAP2OUT))&gt;=0,1,-1)*QUOTIENT(((c_TMAP3IN)-(c_TMAP2IN)),2)))&gt;=0,1,0)))</f>
        <v>471</v>
      </c>
      <c r="G742" s="7" t="n">
        <f aca="false">IF(((1000)-(c_TMAP3IN))=0,(c_TMAP3OUT)+QUOTIENT(((1000)-(c_TMAP3OUT)),2),QUOTIENT((((A742)-(c_TMAP3IN))*((1000)-(c_TMAP3OUT))+IF(((1000)-(c_TMAP3OUT))&gt;=0,1,-1)*QUOTIENT(((1000)-(c_TMAP3IN)),2)),((1000)-(c_TMAP3IN)))+(c_TMAP3OUT)+IF(((1000)-(c_TMAP3OUT))&gt;=0,IF(IF(o_WRAP=1,MOD(((1000)-(c_TMAP3IN))*(((A742)-(c_TMAP3IN))*((1000)-(c_TMAP3OUT))+IF(((1000)-(c_TMAP3OUT))&gt;=0,1,-1)*QUOTIENT(((1000)-(c_TMAP3IN)),2))+2147483648,4294967296)-2147483648,((1000)-(c_TMAP3IN))*(((A742)-(c_TMAP3IN))*((1000)-(c_TMAP3OUT))+IF(((1000)-(c_TMAP3OUT))&gt;=0,1,-1)*QUOTIENT(((1000)-(c_TMAP3IN)),2)))&lt;0,-1,0),IF(IF(o_WRAP=1,MOD(((1000)-(c_TMAP3IN))*(((A742)-(c_TMAP3IN))*((1000)-(c_TMAP3OUT))+IF(((1000)-(c_TMAP3OUT))&gt;=0,1,-1)*QUOTIENT(((1000)-(c_TMAP3IN)),2))+2147483648,4294967296)-2147483648,((1000)-(c_TMAP3IN))*(((A742)-(c_TMAP3IN))*((1000)-(c_TMAP3OUT))+IF(((1000)-(c_TMAP3OUT))&gt;=0,1,-1)*QUOTIENT(((1000)-(c_TMAP3IN)),2)))&gt;=0,1,0)))</f>
        <v>676</v>
      </c>
      <c r="H742" s="7" t="str">
        <f aca="false">IF(A742&gt;=c_TFWD,IF(AND(A742&gt;=c_TMAP3IN,c_TMAP3IN&lt;1000),"Seg4 map3-100%",IF(AND(A742&gt;=c_TMAP2IN,c_TMAP3IN&gt;c_TMAP2IN),"Seg3 map2-map3",IF(AND(A742&gt;=c_TMAP1IN,c_TMAP2IN&gt;c_TMAP1IN),"Seg2 map1-map2","Seg1 TFWD-map1"))),IF(AND(A742=0,c_TCREEP&gt;0),"Creep",IF(AND(A742&lt;=c_TRNGMIN,A742&gt;=c_TRNGMAX,c_TRNGMIN-c_TRNGMAX&lt;&gt;0),"Regen ramp","Coast (0)")))</f>
        <v>Seg4 map3-100%</v>
      </c>
      <c r="I742" s="7" t="n">
        <f aca="false">IF(A742&gt;=c_TFWD,IF(AND(A742&gt;=c_TMAP3IN,c_TMAP3IN&lt;1000),G742,IF(AND(A742&gt;=c_TMAP2IN,c_TMAP3IN&gt;c_TMAP2IN),F742,IF(AND(A742&gt;=c_TMAP1IN,c_TMAP2IN&gt;c_TMAP1IN),E742,D742))),C742)</f>
        <v>676</v>
      </c>
      <c r="J742" s="7" t="str">
        <f aca="false">IF(I742&lt;-1090,"TOO LOW",IF(I742&gt;1090,"TOO HIGH",""))</f>
        <v/>
      </c>
      <c r="K742" s="15" t="n">
        <f aca="false">IF(J742&lt;&gt;"",0,IF(I742&gt;979,1000,I742))</f>
        <v>676</v>
      </c>
      <c r="L742" s="7" t="n">
        <f aca="false">K742/10</f>
        <v>67.6</v>
      </c>
    </row>
    <row r="743" customFormat="false" ht="15" hidden="false" customHeight="false" outlineLevel="0" collapsed="false">
      <c r="A743" s="7" t="n">
        <v>738</v>
      </c>
      <c r="B743" s="7" t="n">
        <f aca="false">A743/10</f>
        <v>73.8</v>
      </c>
      <c r="C743" s="7" t="n">
        <f aca="false">IF(AND(A743=0,c_TCREEP&gt;0),10*c_TCREEP,IF(AND(A743&lt;=c_TRNGMIN,A743&gt;=c_TRNGMAX,c_TRNGMIN-c_TRNGMAX&lt;&gt;0),-10*c_TMINRN+QUOTIENT((c_TMAXRN-c_TMINRN)*(100-QUOTIENT((A743-c_TRNGMAX)*100,c_TRNGMIN-c_TRNGMAX)),-10),0))</f>
        <v>0</v>
      </c>
      <c r="D743" s="7" t="n">
        <f aca="false">IF(((c_TMAP1IN)-(c_TFWD))=0,(0)+QUOTIENT(((c_TMAP1OUT)-(0)),2),QUOTIENT((((A743)-(c_TFWD))*((c_TMAP1OUT)-(0))+IF(((c_TMAP1OUT)-(0))&gt;=0,1,-1)*QUOTIENT(((c_TMAP1IN)-(c_TFWD)),2)),((c_TMAP1IN)-(c_TFWD)))+(0)+IF(((c_TMAP1OUT)-(0))&gt;=0,IF(IF(o_WRAP=1,MOD(((c_TMAP1IN)-(c_TFWD))*(((A743)-(c_TFWD))*((c_TMAP1OUT)-(0))+IF(((c_TMAP1OUT)-(0))&gt;=0,1,-1)*QUOTIENT(((c_TMAP1IN)-(c_TFWD)),2))+2147483648,4294967296)-2147483648,((c_TMAP1IN)-(c_TFWD))*(((A743)-(c_TFWD))*((c_TMAP1OUT)-(0))+IF(((c_TMAP1OUT)-(0))&gt;=0,1,-1)*QUOTIENT(((c_TMAP1IN)-(c_TFWD)),2)))&lt;0,-1,0),IF(IF(o_WRAP=1,MOD(((c_TMAP1IN)-(c_TFWD))*(((A743)-(c_TFWD))*((c_TMAP1OUT)-(0))+IF(((c_TMAP1OUT)-(0))&gt;=0,1,-1)*QUOTIENT(((c_TMAP1IN)-(c_TFWD)),2))+2147483648,4294967296)-2147483648,((c_TMAP1IN)-(c_TFWD))*(((A743)-(c_TFWD))*((c_TMAP1OUT)-(0))+IF(((c_TMAP1OUT)-(0))&gt;=0,1,-1)*QUOTIENT(((c_TMAP1IN)-(c_TFWD)),2)))&gt;=0,1,0)))</f>
        <v>566</v>
      </c>
      <c r="E743" s="7" t="n">
        <f aca="false">IF(((c_TMAP2IN)-(c_TMAP1IN))=0,(c_TMAP1OUT)+QUOTIENT(((c_TMAP2OUT)-(c_TMAP1OUT)),2),QUOTIENT((((A743)-(c_TMAP1IN))*((c_TMAP2OUT)-(c_TMAP1OUT))+IF(((c_TMAP2OUT)-(c_TMAP1OUT))&gt;=0,1,-1)*QUOTIENT(((c_TMAP2IN)-(c_TMAP1IN)),2)),((c_TMAP2IN)-(c_TMAP1IN)))+(c_TMAP1OUT)+IF(((c_TMAP2OUT)-(c_TMAP1OUT))&gt;=0,IF(IF(o_WRAP=1,MOD(((c_TMAP2IN)-(c_TMAP1IN))*(((A743)-(c_TMAP1IN))*((c_TMAP2OUT)-(c_TMAP1OUT))+IF(((c_TMAP2OUT)-(c_TMAP1OUT))&gt;=0,1,-1)*QUOTIENT(((c_TMAP2IN)-(c_TMAP1IN)),2))+2147483648,4294967296)-2147483648,((c_TMAP2IN)-(c_TMAP1IN))*(((A743)-(c_TMAP1IN))*((c_TMAP2OUT)-(c_TMAP1OUT))+IF(((c_TMAP2OUT)-(c_TMAP1OUT))&gt;=0,1,-1)*QUOTIENT(((c_TMAP2IN)-(c_TMAP1IN)),2)))&lt;0,-1,0),IF(IF(o_WRAP=1,MOD(((c_TMAP2IN)-(c_TMAP1IN))*(((A743)-(c_TMAP1IN))*((c_TMAP2OUT)-(c_TMAP1OUT))+IF(((c_TMAP2OUT)-(c_TMAP1OUT))&gt;=0,1,-1)*QUOTIENT(((c_TMAP2IN)-(c_TMAP1IN)),2))+2147483648,4294967296)-2147483648,((c_TMAP2IN)-(c_TMAP1IN))*(((A743)-(c_TMAP1IN))*((c_TMAP2OUT)-(c_TMAP1OUT))+IF(((c_TMAP2OUT)-(c_TMAP1OUT))&gt;=0,1,-1)*QUOTIENT(((c_TMAP2IN)-(c_TMAP1IN)),2)))&gt;=0,1,0)))</f>
        <v>325</v>
      </c>
      <c r="F743" s="7" t="n">
        <f aca="false">IF(((c_TMAP3IN)-(c_TMAP2IN))=0,(c_TMAP2OUT)+QUOTIENT(((c_TMAP3OUT)-(c_TMAP2OUT)),2),QUOTIENT((((A743)-(c_TMAP2IN))*((c_TMAP3OUT)-(c_TMAP2OUT))+IF(((c_TMAP3OUT)-(c_TMAP2OUT))&gt;=0,1,-1)*QUOTIENT(((c_TMAP3IN)-(c_TMAP2IN)),2)),((c_TMAP3IN)-(c_TMAP2IN)))+(c_TMAP2OUT)+IF(((c_TMAP3OUT)-(c_TMAP2OUT))&gt;=0,IF(IF(o_WRAP=1,MOD(((c_TMAP3IN)-(c_TMAP2IN))*(((A743)-(c_TMAP2IN))*((c_TMAP3OUT)-(c_TMAP2OUT))+IF(((c_TMAP3OUT)-(c_TMAP2OUT))&gt;=0,1,-1)*QUOTIENT(((c_TMAP3IN)-(c_TMAP2IN)),2))+2147483648,4294967296)-2147483648,((c_TMAP3IN)-(c_TMAP2IN))*(((A743)-(c_TMAP2IN))*((c_TMAP3OUT)-(c_TMAP2OUT))+IF(((c_TMAP3OUT)-(c_TMAP2OUT))&gt;=0,1,-1)*QUOTIENT(((c_TMAP3IN)-(c_TMAP2IN)),2)))&lt;0,-1,0),IF(IF(o_WRAP=1,MOD(((c_TMAP3IN)-(c_TMAP2IN))*(((A743)-(c_TMAP2IN))*((c_TMAP3OUT)-(c_TMAP2OUT))+IF(((c_TMAP3OUT)-(c_TMAP2OUT))&gt;=0,1,-1)*QUOTIENT(((c_TMAP3IN)-(c_TMAP2IN)),2))+2147483648,4294967296)-2147483648,((c_TMAP3IN)-(c_TMAP2IN))*(((A743)-(c_TMAP2IN))*((c_TMAP3OUT)-(c_TMAP2OUT))+IF(((c_TMAP3OUT)-(c_TMAP2OUT))&gt;=0,1,-1)*QUOTIENT(((c_TMAP3IN)-(c_TMAP2IN)),2)))&gt;=0,1,0)))</f>
        <v>472</v>
      </c>
      <c r="G743" s="7" t="n">
        <f aca="false">IF(((1000)-(c_TMAP3IN))=0,(c_TMAP3OUT)+QUOTIENT(((1000)-(c_TMAP3OUT)),2),QUOTIENT((((A743)-(c_TMAP3IN))*((1000)-(c_TMAP3OUT))+IF(((1000)-(c_TMAP3OUT))&gt;=0,1,-1)*QUOTIENT(((1000)-(c_TMAP3IN)),2)),((1000)-(c_TMAP3IN)))+(c_TMAP3OUT)+IF(((1000)-(c_TMAP3OUT))&gt;=0,IF(IF(o_WRAP=1,MOD(((1000)-(c_TMAP3IN))*(((A743)-(c_TMAP3IN))*((1000)-(c_TMAP3OUT))+IF(((1000)-(c_TMAP3OUT))&gt;=0,1,-1)*QUOTIENT(((1000)-(c_TMAP3IN)),2))+2147483648,4294967296)-2147483648,((1000)-(c_TMAP3IN))*(((A743)-(c_TMAP3IN))*((1000)-(c_TMAP3OUT))+IF(((1000)-(c_TMAP3OUT))&gt;=0,1,-1)*QUOTIENT(((1000)-(c_TMAP3IN)),2)))&lt;0,-1,0),IF(IF(o_WRAP=1,MOD(((1000)-(c_TMAP3IN))*(((A743)-(c_TMAP3IN))*((1000)-(c_TMAP3OUT))+IF(((1000)-(c_TMAP3OUT))&gt;=0,1,-1)*QUOTIENT(((1000)-(c_TMAP3IN)),2))+2147483648,4294967296)-2147483648,((1000)-(c_TMAP3IN))*(((A743)-(c_TMAP3IN))*((1000)-(c_TMAP3OUT))+IF(((1000)-(c_TMAP3OUT))&gt;=0,1,-1)*QUOTIENT(((1000)-(c_TMAP3IN)),2)))&gt;=0,1,0)))</f>
        <v>678</v>
      </c>
      <c r="H743" s="7" t="str">
        <f aca="false">IF(A743&gt;=c_TFWD,IF(AND(A743&gt;=c_TMAP3IN,c_TMAP3IN&lt;1000),"Seg4 map3-100%",IF(AND(A743&gt;=c_TMAP2IN,c_TMAP3IN&gt;c_TMAP2IN),"Seg3 map2-map3",IF(AND(A743&gt;=c_TMAP1IN,c_TMAP2IN&gt;c_TMAP1IN),"Seg2 map1-map2","Seg1 TFWD-map1"))),IF(AND(A743=0,c_TCREEP&gt;0),"Creep",IF(AND(A743&lt;=c_TRNGMIN,A743&gt;=c_TRNGMAX,c_TRNGMIN-c_TRNGMAX&lt;&gt;0),"Regen ramp","Coast (0)")))</f>
        <v>Seg4 map3-100%</v>
      </c>
      <c r="I743" s="7" t="n">
        <f aca="false">IF(A743&gt;=c_TFWD,IF(AND(A743&gt;=c_TMAP3IN,c_TMAP3IN&lt;1000),G743,IF(AND(A743&gt;=c_TMAP2IN,c_TMAP3IN&gt;c_TMAP2IN),F743,IF(AND(A743&gt;=c_TMAP1IN,c_TMAP2IN&gt;c_TMAP1IN),E743,D743))),C743)</f>
        <v>678</v>
      </c>
      <c r="J743" s="7" t="str">
        <f aca="false">IF(I743&lt;-1090,"TOO LOW",IF(I743&gt;1090,"TOO HIGH",""))</f>
        <v/>
      </c>
      <c r="K743" s="15" t="n">
        <f aca="false">IF(J743&lt;&gt;"",0,IF(I743&gt;979,1000,I743))</f>
        <v>678</v>
      </c>
      <c r="L743" s="7" t="n">
        <f aca="false">K743/10</f>
        <v>67.8</v>
      </c>
    </row>
    <row r="744" customFormat="false" ht="15" hidden="false" customHeight="false" outlineLevel="0" collapsed="false">
      <c r="A744" s="7" t="n">
        <v>739</v>
      </c>
      <c r="B744" s="7" t="n">
        <f aca="false">A744/10</f>
        <v>73.9</v>
      </c>
      <c r="C744" s="7" t="n">
        <f aca="false">IF(AND(A744=0,c_TCREEP&gt;0),10*c_TCREEP,IF(AND(A744&lt;=c_TRNGMIN,A744&gt;=c_TRNGMAX,c_TRNGMIN-c_TRNGMAX&lt;&gt;0),-10*c_TMINRN+QUOTIENT((c_TMAXRN-c_TMINRN)*(100-QUOTIENT((A744-c_TRNGMAX)*100,c_TRNGMIN-c_TRNGMAX)),-10),0))</f>
        <v>0</v>
      </c>
      <c r="D744" s="7" t="n">
        <f aca="false">IF(((c_TMAP1IN)-(c_TFWD))=0,(0)+QUOTIENT(((c_TMAP1OUT)-(0)),2),QUOTIENT((((A744)-(c_TFWD))*((c_TMAP1OUT)-(0))+IF(((c_TMAP1OUT)-(0))&gt;=0,1,-1)*QUOTIENT(((c_TMAP1IN)-(c_TFWD)),2)),((c_TMAP1IN)-(c_TFWD)))+(0)+IF(((c_TMAP1OUT)-(0))&gt;=0,IF(IF(o_WRAP=1,MOD(((c_TMAP1IN)-(c_TFWD))*(((A744)-(c_TFWD))*((c_TMAP1OUT)-(0))+IF(((c_TMAP1OUT)-(0))&gt;=0,1,-1)*QUOTIENT(((c_TMAP1IN)-(c_TFWD)),2))+2147483648,4294967296)-2147483648,((c_TMAP1IN)-(c_TFWD))*(((A744)-(c_TFWD))*((c_TMAP1OUT)-(0))+IF(((c_TMAP1OUT)-(0))&gt;=0,1,-1)*QUOTIENT(((c_TMAP1IN)-(c_TFWD)),2)))&lt;0,-1,0),IF(IF(o_WRAP=1,MOD(((c_TMAP1IN)-(c_TFWD))*(((A744)-(c_TFWD))*((c_TMAP1OUT)-(0))+IF(((c_TMAP1OUT)-(0))&gt;=0,1,-1)*QUOTIENT(((c_TMAP1IN)-(c_TFWD)),2))+2147483648,4294967296)-2147483648,((c_TMAP1IN)-(c_TFWD))*(((A744)-(c_TFWD))*((c_TMAP1OUT)-(0))+IF(((c_TMAP1OUT)-(0))&gt;=0,1,-1)*QUOTIENT(((c_TMAP1IN)-(c_TFWD)),2)))&gt;=0,1,0)))</f>
        <v>567</v>
      </c>
      <c r="E744" s="7" t="n">
        <f aca="false">IF(((c_TMAP2IN)-(c_TMAP1IN))=0,(c_TMAP1OUT)+QUOTIENT(((c_TMAP2OUT)-(c_TMAP1OUT)),2),QUOTIENT((((A744)-(c_TMAP1IN))*((c_TMAP2OUT)-(c_TMAP1OUT))+IF(((c_TMAP2OUT)-(c_TMAP1OUT))&gt;=0,1,-1)*QUOTIENT(((c_TMAP2IN)-(c_TMAP1IN)),2)),((c_TMAP2IN)-(c_TMAP1IN)))+(c_TMAP1OUT)+IF(((c_TMAP2OUT)-(c_TMAP1OUT))&gt;=0,IF(IF(o_WRAP=1,MOD(((c_TMAP2IN)-(c_TMAP1IN))*(((A744)-(c_TMAP1IN))*((c_TMAP2OUT)-(c_TMAP1OUT))+IF(((c_TMAP2OUT)-(c_TMAP1OUT))&gt;=0,1,-1)*QUOTIENT(((c_TMAP2IN)-(c_TMAP1IN)),2))+2147483648,4294967296)-2147483648,((c_TMAP2IN)-(c_TMAP1IN))*(((A744)-(c_TMAP1IN))*((c_TMAP2OUT)-(c_TMAP1OUT))+IF(((c_TMAP2OUT)-(c_TMAP1OUT))&gt;=0,1,-1)*QUOTIENT(((c_TMAP2IN)-(c_TMAP1IN)),2)))&lt;0,-1,0),IF(IF(o_WRAP=1,MOD(((c_TMAP2IN)-(c_TMAP1IN))*(((A744)-(c_TMAP1IN))*((c_TMAP2OUT)-(c_TMAP1OUT))+IF(((c_TMAP2OUT)-(c_TMAP1OUT))&gt;=0,1,-1)*QUOTIENT(((c_TMAP2IN)-(c_TMAP1IN)),2))+2147483648,4294967296)-2147483648,((c_TMAP2IN)-(c_TMAP1IN))*(((A744)-(c_TMAP1IN))*((c_TMAP2OUT)-(c_TMAP1OUT))+IF(((c_TMAP2OUT)-(c_TMAP1OUT))&gt;=0,1,-1)*QUOTIENT(((c_TMAP2IN)-(c_TMAP1IN)),2)))&gt;=0,1,0)))</f>
        <v>326</v>
      </c>
      <c r="F744" s="7" t="n">
        <f aca="false">IF(((c_TMAP3IN)-(c_TMAP2IN))=0,(c_TMAP2OUT)+QUOTIENT(((c_TMAP3OUT)-(c_TMAP2OUT)),2),QUOTIENT((((A744)-(c_TMAP2IN))*((c_TMAP3OUT)-(c_TMAP2OUT))+IF(((c_TMAP3OUT)-(c_TMAP2OUT))&gt;=0,1,-1)*QUOTIENT(((c_TMAP3IN)-(c_TMAP2IN)),2)),((c_TMAP3IN)-(c_TMAP2IN)))+(c_TMAP2OUT)+IF(((c_TMAP3OUT)-(c_TMAP2OUT))&gt;=0,IF(IF(o_WRAP=1,MOD(((c_TMAP3IN)-(c_TMAP2IN))*(((A744)-(c_TMAP2IN))*((c_TMAP3OUT)-(c_TMAP2OUT))+IF(((c_TMAP3OUT)-(c_TMAP2OUT))&gt;=0,1,-1)*QUOTIENT(((c_TMAP3IN)-(c_TMAP2IN)),2))+2147483648,4294967296)-2147483648,((c_TMAP3IN)-(c_TMAP2IN))*(((A744)-(c_TMAP2IN))*((c_TMAP3OUT)-(c_TMAP2OUT))+IF(((c_TMAP3OUT)-(c_TMAP2OUT))&gt;=0,1,-1)*QUOTIENT(((c_TMAP3IN)-(c_TMAP2IN)),2)))&lt;0,-1,0),IF(IF(o_WRAP=1,MOD(((c_TMAP3IN)-(c_TMAP2IN))*(((A744)-(c_TMAP2IN))*((c_TMAP3OUT)-(c_TMAP2OUT))+IF(((c_TMAP3OUT)-(c_TMAP2OUT))&gt;=0,1,-1)*QUOTIENT(((c_TMAP3IN)-(c_TMAP2IN)),2))+2147483648,4294967296)-2147483648,((c_TMAP3IN)-(c_TMAP2IN))*(((A744)-(c_TMAP2IN))*((c_TMAP3OUT)-(c_TMAP2OUT))+IF(((c_TMAP3OUT)-(c_TMAP2OUT))&gt;=0,1,-1)*QUOTIENT(((c_TMAP3IN)-(c_TMAP2IN)),2)))&gt;=0,1,0)))</f>
        <v>472</v>
      </c>
      <c r="G744" s="7" t="n">
        <f aca="false">IF(((1000)-(c_TMAP3IN))=0,(c_TMAP3OUT)+QUOTIENT(((1000)-(c_TMAP3OUT)),2),QUOTIENT((((A744)-(c_TMAP3IN))*((1000)-(c_TMAP3OUT))+IF(((1000)-(c_TMAP3OUT))&gt;=0,1,-1)*QUOTIENT(((1000)-(c_TMAP3IN)),2)),((1000)-(c_TMAP3IN)))+(c_TMAP3OUT)+IF(((1000)-(c_TMAP3OUT))&gt;=0,IF(IF(o_WRAP=1,MOD(((1000)-(c_TMAP3IN))*(((A744)-(c_TMAP3IN))*((1000)-(c_TMAP3OUT))+IF(((1000)-(c_TMAP3OUT))&gt;=0,1,-1)*QUOTIENT(((1000)-(c_TMAP3IN)),2))+2147483648,4294967296)-2147483648,((1000)-(c_TMAP3IN))*(((A744)-(c_TMAP3IN))*((1000)-(c_TMAP3OUT))+IF(((1000)-(c_TMAP3OUT))&gt;=0,1,-1)*QUOTIENT(((1000)-(c_TMAP3IN)),2)))&lt;0,-1,0),IF(IF(o_WRAP=1,MOD(((1000)-(c_TMAP3IN))*(((A744)-(c_TMAP3IN))*((1000)-(c_TMAP3OUT))+IF(((1000)-(c_TMAP3OUT))&gt;=0,1,-1)*QUOTIENT(((1000)-(c_TMAP3IN)),2))+2147483648,4294967296)-2147483648,((1000)-(c_TMAP3IN))*(((A744)-(c_TMAP3IN))*((1000)-(c_TMAP3OUT))+IF(((1000)-(c_TMAP3OUT))&gt;=0,1,-1)*QUOTIENT(((1000)-(c_TMAP3IN)),2)))&gt;=0,1,0)))</f>
        <v>679</v>
      </c>
      <c r="H744" s="7" t="str">
        <f aca="false">IF(A744&gt;=c_TFWD,IF(AND(A744&gt;=c_TMAP3IN,c_TMAP3IN&lt;1000),"Seg4 map3-100%",IF(AND(A744&gt;=c_TMAP2IN,c_TMAP3IN&gt;c_TMAP2IN),"Seg3 map2-map3",IF(AND(A744&gt;=c_TMAP1IN,c_TMAP2IN&gt;c_TMAP1IN),"Seg2 map1-map2","Seg1 TFWD-map1"))),IF(AND(A744=0,c_TCREEP&gt;0),"Creep",IF(AND(A744&lt;=c_TRNGMIN,A744&gt;=c_TRNGMAX,c_TRNGMIN-c_TRNGMAX&lt;&gt;0),"Regen ramp","Coast (0)")))</f>
        <v>Seg4 map3-100%</v>
      </c>
      <c r="I744" s="7" t="n">
        <f aca="false">IF(A744&gt;=c_TFWD,IF(AND(A744&gt;=c_TMAP3IN,c_TMAP3IN&lt;1000),G744,IF(AND(A744&gt;=c_TMAP2IN,c_TMAP3IN&gt;c_TMAP2IN),F744,IF(AND(A744&gt;=c_TMAP1IN,c_TMAP2IN&gt;c_TMAP1IN),E744,D744))),C744)</f>
        <v>679</v>
      </c>
      <c r="J744" s="7" t="str">
        <f aca="false">IF(I744&lt;-1090,"TOO LOW",IF(I744&gt;1090,"TOO HIGH",""))</f>
        <v/>
      </c>
      <c r="K744" s="15" t="n">
        <f aca="false">IF(J744&lt;&gt;"",0,IF(I744&gt;979,1000,I744))</f>
        <v>679</v>
      </c>
      <c r="L744" s="7" t="n">
        <f aca="false">K744/10</f>
        <v>67.9</v>
      </c>
    </row>
    <row r="745" customFormat="false" ht="15" hidden="false" customHeight="false" outlineLevel="0" collapsed="false">
      <c r="A745" s="7" t="n">
        <v>740</v>
      </c>
      <c r="B745" s="7" t="n">
        <f aca="false">A745/10</f>
        <v>74</v>
      </c>
      <c r="C745" s="7" t="n">
        <f aca="false">IF(AND(A745=0,c_TCREEP&gt;0),10*c_TCREEP,IF(AND(A745&lt;=c_TRNGMIN,A745&gt;=c_TRNGMAX,c_TRNGMIN-c_TRNGMAX&lt;&gt;0),-10*c_TMINRN+QUOTIENT((c_TMAXRN-c_TMINRN)*(100-QUOTIENT((A745-c_TRNGMAX)*100,c_TRNGMIN-c_TRNGMAX)),-10),0))</f>
        <v>0</v>
      </c>
      <c r="D745" s="7" t="n">
        <f aca="false">IF(((c_TMAP1IN)-(c_TFWD))=0,(0)+QUOTIENT(((c_TMAP1OUT)-(0)),2),QUOTIENT((((A745)-(c_TFWD))*((c_TMAP1OUT)-(0))+IF(((c_TMAP1OUT)-(0))&gt;=0,1,-1)*QUOTIENT(((c_TMAP1IN)-(c_TFWD)),2)),((c_TMAP1IN)-(c_TFWD)))+(0)+IF(((c_TMAP1OUT)-(0))&gt;=0,IF(IF(o_WRAP=1,MOD(((c_TMAP1IN)-(c_TFWD))*(((A745)-(c_TFWD))*((c_TMAP1OUT)-(0))+IF(((c_TMAP1OUT)-(0))&gt;=0,1,-1)*QUOTIENT(((c_TMAP1IN)-(c_TFWD)),2))+2147483648,4294967296)-2147483648,((c_TMAP1IN)-(c_TFWD))*(((A745)-(c_TFWD))*((c_TMAP1OUT)-(0))+IF(((c_TMAP1OUT)-(0))&gt;=0,1,-1)*QUOTIENT(((c_TMAP1IN)-(c_TFWD)),2)))&lt;0,-1,0),IF(IF(o_WRAP=1,MOD(((c_TMAP1IN)-(c_TFWD))*(((A745)-(c_TFWD))*((c_TMAP1OUT)-(0))+IF(((c_TMAP1OUT)-(0))&gt;=0,1,-1)*QUOTIENT(((c_TMAP1IN)-(c_TFWD)),2))+2147483648,4294967296)-2147483648,((c_TMAP1IN)-(c_TFWD))*(((A745)-(c_TFWD))*((c_TMAP1OUT)-(0))+IF(((c_TMAP1OUT)-(0))&gt;=0,1,-1)*QUOTIENT(((c_TMAP1IN)-(c_TFWD)),2)))&gt;=0,1,0)))</f>
        <v>568</v>
      </c>
      <c r="E745" s="7" t="n">
        <f aca="false">IF(((c_TMAP2IN)-(c_TMAP1IN))=0,(c_TMAP1OUT)+QUOTIENT(((c_TMAP2OUT)-(c_TMAP1OUT)),2),QUOTIENT((((A745)-(c_TMAP1IN))*((c_TMAP2OUT)-(c_TMAP1OUT))+IF(((c_TMAP2OUT)-(c_TMAP1OUT))&gt;=0,1,-1)*QUOTIENT(((c_TMAP2IN)-(c_TMAP1IN)),2)),((c_TMAP2IN)-(c_TMAP1IN)))+(c_TMAP1OUT)+IF(((c_TMAP2OUT)-(c_TMAP1OUT))&gt;=0,IF(IF(o_WRAP=1,MOD(((c_TMAP2IN)-(c_TMAP1IN))*(((A745)-(c_TMAP1IN))*((c_TMAP2OUT)-(c_TMAP1OUT))+IF(((c_TMAP2OUT)-(c_TMAP1OUT))&gt;=0,1,-1)*QUOTIENT(((c_TMAP2IN)-(c_TMAP1IN)),2))+2147483648,4294967296)-2147483648,((c_TMAP2IN)-(c_TMAP1IN))*(((A745)-(c_TMAP1IN))*((c_TMAP2OUT)-(c_TMAP1OUT))+IF(((c_TMAP2OUT)-(c_TMAP1OUT))&gt;=0,1,-1)*QUOTIENT(((c_TMAP2IN)-(c_TMAP1IN)),2)))&lt;0,-1,0),IF(IF(o_WRAP=1,MOD(((c_TMAP2IN)-(c_TMAP1IN))*(((A745)-(c_TMAP1IN))*((c_TMAP2OUT)-(c_TMAP1OUT))+IF(((c_TMAP2OUT)-(c_TMAP1OUT))&gt;=0,1,-1)*QUOTIENT(((c_TMAP2IN)-(c_TMAP1IN)),2))+2147483648,4294967296)-2147483648,((c_TMAP2IN)-(c_TMAP1IN))*(((A745)-(c_TMAP1IN))*((c_TMAP2OUT)-(c_TMAP1OUT))+IF(((c_TMAP2OUT)-(c_TMAP1OUT))&gt;=0,1,-1)*QUOTIENT(((c_TMAP2IN)-(c_TMAP1IN)),2)))&gt;=0,1,0)))</f>
        <v>326</v>
      </c>
      <c r="F745" s="7" t="n">
        <f aca="false">IF(((c_TMAP3IN)-(c_TMAP2IN))=0,(c_TMAP2OUT)+QUOTIENT(((c_TMAP3OUT)-(c_TMAP2OUT)),2),QUOTIENT((((A745)-(c_TMAP2IN))*((c_TMAP3OUT)-(c_TMAP2OUT))+IF(((c_TMAP3OUT)-(c_TMAP2OUT))&gt;=0,1,-1)*QUOTIENT(((c_TMAP3IN)-(c_TMAP2IN)),2)),((c_TMAP3IN)-(c_TMAP2IN)))+(c_TMAP2OUT)+IF(((c_TMAP3OUT)-(c_TMAP2OUT))&gt;=0,IF(IF(o_WRAP=1,MOD(((c_TMAP3IN)-(c_TMAP2IN))*(((A745)-(c_TMAP2IN))*((c_TMAP3OUT)-(c_TMAP2OUT))+IF(((c_TMAP3OUT)-(c_TMAP2OUT))&gt;=0,1,-1)*QUOTIENT(((c_TMAP3IN)-(c_TMAP2IN)),2))+2147483648,4294967296)-2147483648,((c_TMAP3IN)-(c_TMAP2IN))*(((A745)-(c_TMAP2IN))*((c_TMAP3OUT)-(c_TMAP2OUT))+IF(((c_TMAP3OUT)-(c_TMAP2OUT))&gt;=0,1,-1)*QUOTIENT(((c_TMAP3IN)-(c_TMAP2IN)),2)))&lt;0,-1,0),IF(IF(o_WRAP=1,MOD(((c_TMAP3IN)-(c_TMAP2IN))*(((A745)-(c_TMAP2IN))*((c_TMAP3OUT)-(c_TMAP2OUT))+IF(((c_TMAP3OUT)-(c_TMAP2OUT))&gt;=0,1,-1)*QUOTIENT(((c_TMAP3IN)-(c_TMAP2IN)),2))+2147483648,4294967296)-2147483648,((c_TMAP3IN)-(c_TMAP2IN))*(((A745)-(c_TMAP2IN))*((c_TMAP3OUT)-(c_TMAP2OUT))+IF(((c_TMAP3OUT)-(c_TMAP2OUT))&gt;=0,1,-1)*QUOTIENT(((c_TMAP3IN)-(c_TMAP2IN)),2)))&gt;=0,1,0)))</f>
        <v>473</v>
      </c>
      <c r="G745" s="7" t="n">
        <f aca="false">IF(((1000)-(c_TMAP3IN))=0,(c_TMAP3OUT)+QUOTIENT(((1000)-(c_TMAP3OUT)),2),QUOTIENT((((A745)-(c_TMAP3IN))*((1000)-(c_TMAP3OUT))+IF(((1000)-(c_TMAP3OUT))&gt;=0,1,-1)*QUOTIENT(((1000)-(c_TMAP3IN)),2)),((1000)-(c_TMAP3IN)))+(c_TMAP3OUT)+IF(((1000)-(c_TMAP3OUT))&gt;=0,IF(IF(o_WRAP=1,MOD(((1000)-(c_TMAP3IN))*(((A745)-(c_TMAP3IN))*((1000)-(c_TMAP3OUT))+IF(((1000)-(c_TMAP3OUT))&gt;=0,1,-1)*QUOTIENT(((1000)-(c_TMAP3IN)),2))+2147483648,4294967296)-2147483648,((1000)-(c_TMAP3IN))*(((A745)-(c_TMAP3IN))*((1000)-(c_TMAP3OUT))+IF(((1000)-(c_TMAP3OUT))&gt;=0,1,-1)*QUOTIENT(((1000)-(c_TMAP3IN)),2)))&lt;0,-1,0),IF(IF(o_WRAP=1,MOD(((1000)-(c_TMAP3IN))*(((A745)-(c_TMAP3IN))*((1000)-(c_TMAP3OUT))+IF(((1000)-(c_TMAP3OUT))&gt;=0,1,-1)*QUOTIENT(((1000)-(c_TMAP3IN)),2))+2147483648,4294967296)-2147483648,((1000)-(c_TMAP3IN))*(((A745)-(c_TMAP3IN))*((1000)-(c_TMAP3OUT))+IF(((1000)-(c_TMAP3OUT))&gt;=0,1,-1)*QUOTIENT(((1000)-(c_TMAP3IN)),2)))&gt;=0,1,0)))</f>
        <v>680</v>
      </c>
      <c r="H745" s="7" t="str">
        <f aca="false">IF(A745&gt;=c_TFWD,IF(AND(A745&gt;=c_TMAP3IN,c_TMAP3IN&lt;1000),"Seg4 map3-100%",IF(AND(A745&gt;=c_TMAP2IN,c_TMAP3IN&gt;c_TMAP2IN),"Seg3 map2-map3",IF(AND(A745&gt;=c_TMAP1IN,c_TMAP2IN&gt;c_TMAP1IN),"Seg2 map1-map2","Seg1 TFWD-map1"))),IF(AND(A745=0,c_TCREEP&gt;0),"Creep",IF(AND(A745&lt;=c_TRNGMIN,A745&gt;=c_TRNGMAX,c_TRNGMIN-c_TRNGMAX&lt;&gt;0),"Regen ramp","Coast (0)")))</f>
        <v>Seg4 map3-100%</v>
      </c>
      <c r="I745" s="7" t="n">
        <f aca="false">IF(A745&gt;=c_TFWD,IF(AND(A745&gt;=c_TMAP3IN,c_TMAP3IN&lt;1000),G745,IF(AND(A745&gt;=c_TMAP2IN,c_TMAP3IN&gt;c_TMAP2IN),F745,IF(AND(A745&gt;=c_TMAP1IN,c_TMAP2IN&gt;c_TMAP1IN),E745,D745))),C745)</f>
        <v>680</v>
      </c>
      <c r="J745" s="7" t="str">
        <f aca="false">IF(I745&lt;-1090,"TOO LOW",IF(I745&gt;1090,"TOO HIGH",""))</f>
        <v/>
      </c>
      <c r="K745" s="15" t="n">
        <f aca="false">IF(J745&lt;&gt;"",0,IF(I745&gt;979,1000,I745))</f>
        <v>680</v>
      </c>
      <c r="L745" s="7" t="n">
        <f aca="false">K745/10</f>
        <v>68</v>
      </c>
    </row>
    <row r="746" customFormat="false" ht="15" hidden="false" customHeight="false" outlineLevel="0" collapsed="false">
      <c r="A746" s="7" t="n">
        <v>741</v>
      </c>
      <c r="B746" s="7" t="n">
        <f aca="false">A746/10</f>
        <v>74.1</v>
      </c>
      <c r="C746" s="7" t="n">
        <f aca="false">IF(AND(A746=0,c_TCREEP&gt;0),10*c_TCREEP,IF(AND(A746&lt;=c_TRNGMIN,A746&gt;=c_TRNGMAX,c_TRNGMIN-c_TRNGMAX&lt;&gt;0),-10*c_TMINRN+QUOTIENT((c_TMAXRN-c_TMINRN)*(100-QUOTIENT((A746-c_TRNGMAX)*100,c_TRNGMIN-c_TRNGMAX)),-10),0))</f>
        <v>0</v>
      </c>
      <c r="D746" s="7" t="n">
        <f aca="false">IF(((c_TMAP1IN)-(c_TFWD))=0,(0)+QUOTIENT(((c_TMAP1OUT)-(0)),2),QUOTIENT((((A746)-(c_TFWD))*((c_TMAP1OUT)-(0))+IF(((c_TMAP1OUT)-(0))&gt;=0,1,-1)*QUOTIENT(((c_TMAP1IN)-(c_TFWD)),2)),((c_TMAP1IN)-(c_TFWD)))+(0)+IF(((c_TMAP1OUT)-(0))&gt;=0,IF(IF(o_WRAP=1,MOD(((c_TMAP1IN)-(c_TFWD))*(((A746)-(c_TFWD))*((c_TMAP1OUT)-(0))+IF(((c_TMAP1OUT)-(0))&gt;=0,1,-1)*QUOTIENT(((c_TMAP1IN)-(c_TFWD)),2))+2147483648,4294967296)-2147483648,((c_TMAP1IN)-(c_TFWD))*(((A746)-(c_TFWD))*((c_TMAP1OUT)-(0))+IF(((c_TMAP1OUT)-(0))&gt;=0,1,-1)*QUOTIENT(((c_TMAP1IN)-(c_TFWD)),2)))&lt;0,-1,0),IF(IF(o_WRAP=1,MOD(((c_TMAP1IN)-(c_TFWD))*(((A746)-(c_TFWD))*((c_TMAP1OUT)-(0))+IF(((c_TMAP1OUT)-(0))&gt;=0,1,-1)*QUOTIENT(((c_TMAP1IN)-(c_TFWD)),2))+2147483648,4294967296)-2147483648,((c_TMAP1IN)-(c_TFWD))*(((A746)-(c_TFWD))*((c_TMAP1OUT)-(0))+IF(((c_TMAP1OUT)-(0))&gt;=0,1,-1)*QUOTIENT(((c_TMAP1IN)-(c_TFWD)),2)))&gt;=0,1,0)))</f>
        <v>569</v>
      </c>
      <c r="E746" s="7" t="n">
        <f aca="false">IF(((c_TMAP2IN)-(c_TMAP1IN))=0,(c_TMAP1OUT)+QUOTIENT(((c_TMAP2OUT)-(c_TMAP1OUT)),2),QUOTIENT((((A746)-(c_TMAP1IN))*((c_TMAP2OUT)-(c_TMAP1OUT))+IF(((c_TMAP2OUT)-(c_TMAP1OUT))&gt;=0,1,-1)*QUOTIENT(((c_TMAP2IN)-(c_TMAP1IN)),2)),((c_TMAP2IN)-(c_TMAP1IN)))+(c_TMAP1OUT)+IF(((c_TMAP2OUT)-(c_TMAP1OUT))&gt;=0,IF(IF(o_WRAP=1,MOD(((c_TMAP2IN)-(c_TMAP1IN))*(((A746)-(c_TMAP1IN))*((c_TMAP2OUT)-(c_TMAP1OUT))+IF(((c_TMAP2OUT)-(c_TMAP1OUT))&gt;=0,1,-1)*QUOTIENT(((c_TMAP2IN)-(c_TMAP1IN)),2))+2147483648,4294967296)-2147483648,((c_TMAP2IN)-(c_TMAP1IN))*(((A746)-(c_TMAP1IN))*((c_TMAP2OUT)-(c_TMAP1OUT))+IF(((c_TMAP2OUT)-(c_TMAP1OUT))&gt;=0,1,-1)*QUOTIENT(((c_TMAP2IN)-(c_TMAP1IN)),2)))&lt;0,-1,0),IF(IF(o_WRAP=1,MOD(((c_TMAP2IN)-(c_TMAP1IN))*(((A746)-(c_TMAP1IN))*((c_TMAP2OUT)-(c_TMAP1OUT))+IF(((c_TMAP2OUT)-(c_TMAP1OUT))&gt;=0,1,-1)*QUOTIENT(((c_TMAP2IN)-(c_TMAP1IN)),2))+2147483648,4294967296)-2147483648,((c_TMAP2IN)-(c_TMAP1IN))*(((A746)-(c_TMAP1IN))*((c_TMAP2OUT)-(c_TMAP1OUT))+IF(((c_TMAP2OUT)-(c_TMAP1OUT))&gt;=0,1,-1)*QUOTIENT(((c_TMAP2IN)-(c_TMAP1IN)),2)))&gt;=0,1,0)))</f>
        <v>326</v>
      </c>
      <c r="F746" s="7" t="n">
        <f aca="false">IF(((c_TMAP3IN)-(c_TMAP2IN))=0,(c_TMAP2OUT)+QUOTIENT(((c_TMAP3OUT)-(c_TMAP2OUT)),2),QUOTIENT((((A746)-(c_TMAP2IN))*((c_TMAP3OUT)-(c_TMAP2OUT))+IF(((c_TMAP3OUT)-(c_TMAP2OUT))&gt;=0,1,-1)*QUOTIENT(((c_TMAP3IN)-(c_TMAP2IN)),2)),((c_TMAP3IN)-(c_TMAP2IN)))+(c_TMAP2OUT)+IF(((c_TMAP3OUT)-(c_TMAP2OUT))&gt;=0,IF(IF(o_WRAP=1,MOD(((c_TMAP3IN)-(c_TMAP2IN))*(((A746)-(c_TMAP2IN))*((c_TMAP3OUT)-(c_TMAP2OUT))+IF(((c_TMAP3OUT)-(c_TMAP2OUT))&gt;=0,1,-1)*QUOTIENT(((c_TMAP3IN)-(c_TMAP2IN)),2))+2147483648,4294967296)-2147483648,((c_TMAP3IN)-(c_TMAP2IN))*(((A746)-(c_TMAP2IN))*((c_TMAP3OUT)-(c_TMAP2OUT))+IF(((c_TMAP3OUT)-(c_TMAP2OUT))&gt;=0,1,-1)*QUOTIENT(((c_TMAP3IN)-(c_TMAP2IN)),2)))&lt;0,-1,0),IF(IF(o_WRAP=1,MOD(((c_TMAP3IN)-(c_TMAP2IN))*(((A746)-(c_TMAP2IN))*((c_TMAP3OUT)-(c_TMAP2OUT))+IF(((c_TMAP3OUT)-(c_TMAP2OUT))&gt;=0,1,-1)*QUOTIENT(((c_TMAP3IN)-(c_TMAP2IN)),2))+2147483648,4294967296)-2147483648,((c_TMAP3IN)-(c_TMAP2IN))*(((A746)-(c_TMAP2IN))*((c_TMAP3OUT)-(c_TMAP2OUT))+IF(((c_TMAP3OUT)-(c_TMAP2OUT))&gt;=0,1,-1)*QUOTIENT(((c_TMAP3IN)-(c_TMAP2IN)),2)))&gt;=0,1,0)))</f>
        <v>474</v>
      </c>
      <c r="G746" s="7" t="n">
        <f aca="false">IF(((1000)-(c_TMAP3IN))=0,(c_TMAP3OUT)+QUOTIENT(((1000)-(c_TMAP3OUT)),2),QUOTIENT((((A746)-(c_TMAP3IN))*((1000)-(c_TMAP3OUT))+IF(((1000)-(c_TMAP3OUT))&gt;=0,1,-1)*QUOTIENT(((1000)-(c_TMAP3IN)),2)),((1000)-(c_TMAP3IN)))+(c_TMAP3OUT)+IF(((1000)-(c_TMAP3OUT))&gt;=0,IF(IF(o_WRAP=1,MOD(((1000)-(c_TMAP3IN))*(((A746)-(c_TMAP3IN))*((1000)-(c_TMAP3OUT))+IF(((1000)-(c_TMAP3OUT))&gt;=0,1,-1)*QUOTIENT(((1000)-(c_TMAP3IN)),2))+2147483648,4294967296)-2147483648,((1000)-(c_TMAP3IN))*(((A746)-(c_TMAP3IN))*((1000)-(c_TMAP3OUT))+IF(((1000)-(c_TMAP3OUT))&gt;=0,1,-1)*QUOTIENT(((1000)-(c_TMAP3IN)),2)))&lt;0,-1,0),IF(IF(o_WRAP=1,MOD(((1000)-(c_TMAP3IN))*(((A746)-(c_TMAP3IN))*((1000)-(c_TMAP3OUT))+IF(((1000)-(c_TMAP3OUT))&gt;=0,1,-1)*QUOTIENT(((1000)-(c_TMAP3IN)),2))+2147483648,4294967296)-2147483648,((1000)-(c_TMAP3IN))*(((A746)-(c_TMAP3IN))*((1000)-(c_TMAP3OUT))+IF(((1000)-(c_TMAP3OUT))&gt;=0,1,-1)*QUOTIENT(((1000)-(c_TMAP3IN)),2)))&gt;=0,1,0)))</f>
        <v>681</v>
      </c>
      <c r="H746" s="7" t="str">
        <f aca="false">IF(A746&gt;=c_TFWD,IF(AND(A746&gt;=c_TMAP3IN,c_TMAP3IN&lt;1000),"Seg4 map3-100%",IF(AND(A746&gt;=c_TMAP2IN,c_TMAP3IN&gt;c_TMAP2IN),"Seg3 map2-map3",IF(AND(A746&gt;=c_TMAP1IN,c_TMAP2IN&gt;c_TMAP1IN),"Seg2 map1-map2","Seg1 TFWD-map1"))),IF(AND(A746=0,c_TCREEP&gt;0),"Creep",IF(AND(A746&lt;=c_TRNGMIN,A746&gt;=c_TRNGMAX,c_TRNGMIN-c_TRNGMAX&lt;&gt;0),"Regen ramp","Coast (0)")))</f>
        <v>Seg4 map3-100%</v>
      </c>
      <c r="I746" s="7" t="n">
        <f aca="false">IF(A746&gt;=c_TFWD,IF(AND(A746&gt;=c_TMAP3IN,c_TMAP3IN&lt;1000),G746,IF(AND(A746&gt;=c_TMAP2IN,c_TMAP3IN&gt;c_TMAP2IN),F746,IF(AND(A746&gt;=c_TMAP1IN,c_TMAP2IN&gt;c_TMAP1IN),E746,D746))),C746)</f>
        <v>681</v>
      </c>
      <c r="J746" s="7" t="str">
        <f aca="false">IF(I746&lt;-1090,"TOO LOW",IF(I746&gt;1090,"TOO HIGH",""))</f>
        <v/>
      </c>
      <c r="K746" s="15" t="n">
        <f aca="false">IF(J746&lt;&gt;"",0,IF(I746&gt;979,1000,I746))</f>
        <v>681</v>
      </c>
      <c r="L746" s="7" t="n">
        <f aca="false">K746/10</f>
        <v>68.1</v>
      </c>
    </row>
    <row r="747" customFormat="false" ht="15" hidden="false" customHeight="false" outlineLevel="0" collapsed="false">
      <c r="A747" s="7" t="n">
        <v>742</v>
      </c>
      <c r="B747" s="7" t="n">
        <f aca="false">A747/10</f>
        <v>74.2</v>
      </c>
      <c r="C747" s="7" t="n">
        <f aca="false">IF(AND(A747=0,c_TCREEP&gt;0),10*c_TCREEP,IF(AND(A747&lt;=c_TRNGMIN,A747&gt;=c_TRNGMAX,c_TRNGMIN-c_TRNGMAX&lt;&gt;0),-10*c_TMINRN+QUOTIENT((c_TMAXRN-c_TMINRN)*(100-QUOTIENT((A747-c_TRNGMAX)*100,c_TRNGMIN-c_TRNGMAX)),-10),0))</f>
        <v>0</v>
      </c>
      <c r="D747" s="7" t="n">
        <f aca="false">IF(((c_TMAP1IN)-(c_TFWD))=0,(0)+QUOTIENT(((c_TMAP1OUT)-(0)),2),QUOTIENT((((A747)-(c_TFWD))*((c_TMAP1OUT)-(0))+IF(((c_TMAP1OUT)-(0))&gt;=0,1,-1)*QUOTIENT(((c_TMAP1IN)-(c_TFWD)),2)),((c_TMAP1IN)-(c_TFWD)))+(0)+IF(((c_TMAP1OUT)-(0))&gt;=0,IF(IF(o_WRAP=1,MOD(((c_TMAP1IN)-(c_TFWD))*(((A747)-(c_TFWD))*((c_TMAP1OUT)-(0))+IF(((c_TMAP1OUT)-(0))&gt;=0,1,-1)*QUOTIENT(((c_TMAP1IN)-(c_TFWD)),2))+2147483648,4294967296)-2147483648,((c_TMAP1IN)-(c_TFWD))*(((A747)-(c_TFWD))*((c_TMAP1OUT)-(0))+IF(((c_TMAP1OUT)-(0))&gt;=0,1,-1)*QUOTIENT(((c_TMAP1IN)-(c_TFWD)),2)))&lt;0,-1,0),IF(IF(o_WRAP=1,MOD(((c_TMAP1IN)-(c_TFWD))*(((A747)-(c_TFWD))*((c_TMAP1OUT)-(0))+IF(((c_TMAP1OUT)-(0))&gt;=0,1,-1)*QUOTIENT(((c_TMAP1IN)-(c_TFWD)),2))+2147483648,4294967296)-2147483648,((c_TMAP1IN)-(c_TFWD))*(((A747)-(c_TFWD))*((c_TMAP1OUT)-(0))+IF(((c_TMAP1OUT)-(0))&gt;=0,1,-1)*QUOTIENT(((c_TMAP1IN)-(c_TFWD)),2)))&gt;=0,1,0)))</f>
        <v>569</v>
      </c>
      <c r="E747" s="7" t="n">
        <f aca="false">IF(((c_TMAP2IN)-(c_TMAP1IN))=0,(c_TMAP1OUT)+QUOTIENT(((c_TMAP2OUT)-(c_TMAP1OUT)),2),QUOTIENT((((A747)-(c_TMAP1IN))*((c_TMAP2OUT)-(c_TMAP1OUT))+IF(((c_TMAP2OUT)-(c_TMAP1OUT))&gt;=0,1,-1)*QUOTIENT(((c_TMAP2IN)-(c_TMAP1IN)),2)),((c_TMAP2IN)-(c_TMAP1IN)))+(c_TMAP1OUT)+IF(((c_TMAP2OUT)-(c_TMAP1OUT))&gt;=0,IF(IF(o_WRAP=1,MOD(((c_TMAP2IN)-(c_TMAP1IN))*(((A747)-(c_TMAP1IN))*((c_TMAP2OUT)-(c_TMAP1OUT))+IF(((c_TMAP2OUT)-(c_TMAP1OUT))&gt;=0,1,-1)*QUOTIENT(((c_TMAP2IN)-(c_TMAP1IN)),2))+2147483648,4294967296)-2147483648,((c_TMAP2IN)-(c_TMAP1IN))*(((A747)-(c_TMAP1IN))*((c_TMAP2OUT)-(c_TMAP1OUT))+IF(((c_TMAP2OUT)-(c_TMAP1OUT))&gt;=0,1,-1)*QUOTIENT(((c_TMAP2IN)-(c_TMAP1IN)),2)))&lt;0,-1,0),IF(IF(o_WRAP=1,MOD(((c_TMAP2IN)-(c_TMAP1IN))*(((A747)-(c_TMAP1IN))*((c_TMAP2OUT)-(c_TMAP1OUT))+IF(((c_TMAP2OUT)-(c_TMAP1OUT))&gt;=0,1,-1)*QUOTIENT(((c_TMAP2IN)-(c_TMAP1IN)),2))+2147483648,4294967296)-2147483648,((c_TMAP2IN)-(c_TMAP1IN))*(((A747)-(c_TMAP1IN))*((c_TMAP2OUT)-(c_TMAP1OUT))+IF(((c_TMAP2OUT)-(c_TMAP1OUT))&gt;=0,1,-1)*QUOTIENT(((c_TMAP2IN)-(c_TMAP1IN)),2)))&gt;=0,1,0)))</f>
        <v>327</v>
      </c>
      <c r="F747" s="7" t="n">
        <f aca="false">IF(((c_TMAP3IN)-(c_TMAP2IN))=0,(c_TMAP2OUT)+QUOTIENT(((c_TMAP3OUT)-(c_TMAP2OUT)),2),QUOTIENT((((A747)-(c_TMAP2IN))*((c_TMAP3OUT)-(c_TMAP2OUT))+IF(((c_TMAP3OUT)-(c_TMAP2OUT))&gt;=0,1,-1)*QUOTIENT(((c_TMAP3IN)-(c_TMAP2IN)),2)),((c_TMAP3IN)-(c_TMAP2IN)))+(c_TMAP2OUT)+IF(((c_TMAP3OUT)-(c_TMAP2OUT))&gt;=0,IF(IF(o_WRAP=1,MOD(((c_TMAP3IN)-(c_TMAP2IN))*(((A747)-(c_TMAP2IN))*((c_TMAP3OUT)-(c_TMAP2OUT))+IF(((c_TMAP3OUT)-(c_TMAP2OUT))&gt;=0,1,-1)*QUOTIENT(((c_TMAP3IN)-(c_TMAP2IN)),2))+2147483648,4294967296)-2147483648,((c_TMAP3IN)-(c_TMAP2IN))*(((A747)-(c_TMAP2IN))*((c_TMAP3OUT)-(c_TMAP2OUT))+IF(((c_TMAP3OUT)-(c_TMAP2OUT))&gt;=0,1,-1)*QUOTIENT(((c_TMAP3IN)-(c_TMAP2IN)),2)))&lt;0,-1,0),IF(IF(o_WRAP=1,MOD(((c_TMAP3IN)-(c_TMAP2IN))*(((A747)-(c_TMAP2IN))*((c_TMAP3OUT)-(c_TMAP2OUT))+IF(((c_TMAP3OUT)-(c_TMAP2OUT))&gt;=0,1,-1)*QUOTIENT(((c_TMAP3IN)-(c_TMAP2IN)),2))+2147483648,4294967296)-2147483648,((c_TMAP3IN)-(c_TMAP2IN))*(((A747)-(c_TMAP2IN))*((c_TMAP3OUT)-(c_TMAP2OUT))+IF(((c_TMAP3OUT)-(c_TMAP2OUT))&gt;=0,1,-1)*QUOTIENT(((c_TMAP3IN)-(c_TMAP2IN)),2)))&gt;=0,1,0)))</f>
        <v>474</v>
      </c>
      <c r="G747" s="7" t="n">
        <f aca="false">IF(((1000)-(c_TMAP3IN))=0,(c_TMAP3OUT)+QUOTIENT(((1000)-(c_TMAP3OUT)),2),QUOTIENT((((A747)-(c_TMAP3IN))*((1000)-(c_TMAP3OUT))+IF(((1000)-(c_TMAP3OUT))&gt;=0,1,-1)*QUOTIENT(((1000)-(c_TMAP3IN)),2)),((1000)-(c_TMAP3IN)))+(c_TMAP3OUT)+IF(((1000)-(c_TMAP3OUT))&gt;=0,IF(IF(o_WRAP=1,MOD(((1000)-(c_TMAP3IN))*(((A747)-(c_TMAP3IN))*((1000)-(c_TMAP3OUT))+IF(((1000)-(c_TMAP3OUT))&gt;=0,1,-1)*QUOTIENT(((1000)-(c_TMAP3IN)),2))+2147483648,4294967296)-2147483648,((1000)-(c_TMAP3IN))*(((A747)-(c_TMAP3IN))*((1000)-(c_TMAP3OUT))+IF(((1000)-(c_TMAP3OUT))&gt;=0,1,-1)*QUOTIENT(((1000)-(c_TMAP3IN)),2)))&lt;0,-1,0),IF(IF(o_WRAP=1,MOD(((1000)-(c_TMAP3IN))*(((A747)-(c_TMAP3IN))*((1000)-(c_TMAP3OUT))+IF(((1000)-(c_TMAP3OUT))&gt;=0,1,-1)*QUOTIENT(((1000)-(c_TMAP3IN)),2))+2147483648,4294967296)-2147483648,((1000)-(c_TMAP3IN))*(((A747)-(c_TMAP3IN))*((1000)-(c_TMAP3OUT))+IF(((1000)-(c_TMAP3OUT))&gt;=0,1,-1)*QUOTIENT(((1000)-(c_TMAP3IN)),2)))&gt;=0,1,0)))</f>
        <v>682</v>
      </c>
      <c r="H747" s="7" t="str">
        <f aca="false">IF(A747&gt;=c_TFWD,IF(AND(A747&gt;=c_TMAP3IN,c_TMAP3IN&lt;1000),"Seg4 map3-100%",IF(AND(A747&gt;=c_TMAP2IN,c_TMAP3IN&gt;c_TMAP2IN),"Seg3 map2-map3",IF(AND(A747&gt;=c_TMAP1IN,c_TMAP2IN&gt;c_TMAP1IN),"Seg2 map1-map2","Seg1 TFWD-map1"))),IF(AND(A747=0,c_TCREEP&gt;0),"Creep",IF(AND(A747&lt;=c_TRNGMIN,A747&gt;=c_TRNGMAX,c_TRNGMIN-c_TRNGMAX&lt;&gt;0),"Regen ramp","Coast (0)")))</f>
        <v>Seg4 map3-100%</v>
      </c>
      <c r="I747" s="7" t="n">
        <f aca="false">IF(A747&gt;=c_TFWD,IF(AND(A747&gt;=c_TMAP3IN,c_TMAP3IN&lt;1000),G747,IF(AND(A747&gt;=c_TMAP2IN,c_TMAP3IN&gt;c_TMAP2IN),F747,IF(AND(A747&gt;=c_TMAP1IN,c_TMAP2IN&gt;c_TMAP1IN),E747,D747))),C747)</f>
        <v>682</v>
      </c>
      <c r="J747" s="7" t="str">
        <f aca="false">IF(I747&lt;-1090,"TOO LOW",IF(I747&gt;1090,"TOO HIGH",""))</f>
        <v/>
      </c>
      <c r="K747" s="15" t="n">
        <f aca="false">IF(J747&lt;&gt;"",0,IF(I747&gt;979,1000,I747))</f>
        <v>682</v>
      </c>
      <c r="L747" s="7" t="n">
        <f aca="false">K747/10</f>
        <v>68.2</v>
      </c>
    </row>
    <row r="748" customFormat="false" ht="15" hidden="false" customHeight="false" outlineLevel="0" collapsed="false">
      <c r="A748" s="7" t="n">
        <v>743</v>
      </c>
      <c r="B748" s="7" t="n">
        <f aca="false">A748/10</f>
        <v>74.3</v>
      </c>
      <c r="C748" s="7" t="n">
        <f aca="false">IF(AND(A748=0,c_TCREEP&gt;0),10*c_TCREEP,IF(AND(A748&lt;=c_TRNGMIN,A748&gt;=c_TRNGMAX,c_TRNGMIN-c_TRNGMAX&lt;&gt;0),-10*c_TMINRN+QUOTIENT((c_TMAXRN-c_TMINRN)*(100-QUOTIENT((A748-c_TRNGMAX)*100,c_TRNGMIN-c_TRNGMAX)),-10),0))</f>
        <v>0</v>
      </c>
      <c r="D748" s="7" t="n">
        <f aca="false">IF(((c_TMAP1IN)-(c_TFWD))=0,(0)+QUOTIENT(((c_TMAP1OUT)-(0)),2),QUOTIENT((((A748)-(c_TFWD))*((c_TMAP1OUT)-(0))+IF(((c_TMAP1OUT)-(0))&gt;=0,1,-1)*QUOTIENT(((c_TMAP1IN)-(c_TFWD)),2)),((c_TMAP1IN)-(c_TFWD)))+(0)+IF(((c_TMAP1OUT)-(0))&gt;=0,IF(IF(o_WRAP=1,MOD(((c_TMAP1IN)-(c_TFWD))*(((A748)-(c_TFWD))*((c_TMAP1OUT)-(0))+IF(((c_TMAP1OUT)-(0))&gt;=0,1,-1)*QUOTIENT(((c_TMAP1IN)-(c_TFWD)),2))+2147483648,4294967296)-2147483648,((c_TMAP1IN)-(c_TFWD))*(((A748)-(c_TFWD))*((c_TMAP1OUT)-(0))+IF(((c_TMAP1OUT)-(0))&gt;=0,1,-1)*QUOTIENT(((c_TMAP1IN)-(c_TFWD)),2)))&lt;0,-1,0),IF(IF(o_WRAP=1,MOD(((c_TMAP1IN)-(c_TFWD))*(((A748)-(c_TFWD))*((c_TMAP1OUT)-(0))+IF(((c_TMAP1OUT)-(0))&gt;=0,1,-1)*QUOTIENT(((c_TMAP1IN)-(c_TFWD)),2))+2147483648,4294967296)-2147483648,((c_TMAP1IN)-(c_TFWD))*(((A748)-(c_TFWD))*((c_TMAP1OUT)-(0))+IF(((c_TMAP1OUT)-(0))&gt;=0,1,-1)*QUOTIENT(((c_TMAP1IN)-(c_TFWD)),2)))&gt;=0,1,0)))</f>
        <v>570</v>
      </c>
      <c r="E748" s="7" t="n">
        <f aca="false">IF(((c_TMAP2IN)-(c_TMAP1IN))=0,(c_TMAP1OUT)+QUOTIENT(((c_TMAP2OUT)-(c_TMAP1OUT)),2),QUOTIENT((((A748)-(c_TMAP1IN))*((c_TMAP2OUT)-(c_TMAP1OUT))+IF(((c_TMAP2OUT)-(c_TMAP1OUT))&gt;=0,1,-1)*QUOTIENT(((c_TMAP2IN)-(c_TMAP1IN)),2)),((c_TMAP2IN)-(c_TMAP1IN)))+(c_TMAP1OUT)+IF(((c_TMAP2OUT)-(c_TMAP1OUT))&gt;=0,IF(IF(o_WRAP=1,MOD(((c_TMAP2IN)-(c_TMAP1IN))*(((A748)-(c_TMAP1IN))*((c_TMAP2OUT)-(c_TMAP1OUT))+IF(((c_TMAP2OUT)-(c_TMAP1OUT))&gt;=0,1,-1)*QUOTIENT(((c_TMAP2IN)-(c_TMAP1IN)),2))+2147483648,4294967296)-2147483648,((c_TMAP2IN)-(c_TMAP1IN))*(((A748)-(c_TMAP1IN))*((c_TMAP2OUT)-(c_TMAP1OUT))+IF(((c_TMAP2OUT)-(c_TMAP1OUT))&gt;=0,1,-1)*QUOTIENT(((c_TMAP2IN)-(c_TMAP1IN)),2)))&lt;0,-1,0),IF(IF(o_WRAP=1,MOD(((c_TMAP2IN)-(c_TMAP1IN))*(((A748)-(c_TMAP1IN))*((c_TMAP2OUT)-(c_TMAP1OUT))+IF(((c_TMAP2OUT)-(c_TMAP1OUT))&gt;=0,1,-1)*QUOTIENT(((c_TMAP2IN)-(c_TMAP1IN)),2))+2147483648,4294967296)-2147483648,((c_TMAP2IN)-(c_TMAP1IN))*(((A748)-(c_TMAP1IN))*((c_TMAP2OUT)-(c_TMAP1OUT))+IF(((c_TMAP2OUT)-(c_TMAP1OUT))&gt;=0,1,-1)*QUOTIENT(((c_TMAP2IN)-(c_TMAP1IN)),2)))&gt;=0,1,0)))</f>
        <v>327</v>
      </c>
      <c r="F748" s="7" t="n">
        <f aca="false">IF(((c_TMAP3IN)-(c_TMAP2IN))=0,(c_TMAP2OUT)+QUOTIENT(((c_TMAP3OUT)-(c_TMAP2OUT)),2),QUOTIENT((((A748)-(c_TMAP2IN))*((c_TMAP3OUT)-(c_TMAP2OUT))+IF(((c_TMAP3OUT)-(c_TMAP2OUT))&gt;=0,1,-1)*QUOTIENT(((c_TMAP3IN)-(c_TMAP2IN)),2)),((c_TMAP3IN)-(c_TMAP2IN)))+(c_TMAP2OUT)+IF(((c_TMAP3OUT)-(c_TMAP2OUT))&gt;=0,IF(IF(o_WRAP=1,MOD(((c_TMAP3IN)-(c_TMAP2IN))*(((A748)-(c_TMAP2IN))*((c_TMAP3OUT)-(c_TMAP2OUT))+IF(((c_TMAP3OUT)-(c_TMAP2OUT))&gt;=0,1,-1)*QUOTIENT(((c_TMAP3IN)-(c_TMAP2IN)),2))+2147483648,4294967296)-2147483648,((c_TMAP3IN)-(c_TMAP2IN))*(((A748)-(c_TMAP2IN))*((c_TMAP3OUT)-(c_TMAP2OUT))+IF(((c_TMAP3OUT)-(c_TMAP2OUT))&gt;=0,1,-1)*QUOTIENT(((c_TMAP3IN)-(c_TMAP2IN)),2)))&lt;0,-1,0),IF(IF(o_WRAP=1,MOD(((c_TMAP3IN)-(c_TMAP2IN))*(((A748)-(c_TMAP2IN))*((c_TMAP3OUT)-(c_TMAP2OUT))+IF(((c_TMAP3OUT)-(c_TMAP2OUT))&gt;=0,1,-1)*QUOTIENT(((c_TMAP3IN)-(c_TMAP2IN)),2))+2147483648,4294967296)-2147483648,((c_TMAP3IN)-(c_TMAP2IN))*(((A748)-(c_TMAP2IN))*((c_TMAP3OUT)-(c_TMAP2OUT))+IF(((c_TMAP3OUT)-(c_TMAP2OUT))&gt;=0,1,-1)*QUOTIENT(((c_TMAP3IN)-(c_TMAP2IN)),2)))&gt;=0,1,0)))</f>
        <v>475</v>
      </c>
      <c r="G748" s="7" t="n">
        <f aca="false">IF(((1000)-(c_TMAP3IN))=0,(c_TMAP3OUT)+QUOTIENT(((1000)-(c_TMAP3OUT)),2),QUOTIENT((((A748)-(c_TMAP3IN))*((1000)-(c_TMAP3OUT))+IF(((1000)-(c_TMAP3OUT))&gt;=0,1,-1)*QUOTIENT(((1000)-(c_TMAP3IN)),2)),((1000)-(c_TMAP3IN)))+(c_TMAP3OUT)+IF(((1000)-(c_TMAP3OUT))&gt;=0,IF(IF(o_WRAP=1,MOD(((1000)-(c_TMAP3IN))*(((A748)-(c_TMAP3IN))*((1000)-(c_TMAP3OUT))+IF(((1000)-(c_TMAP3OUT))&gt;=0,1,-1)*QUOTIENT(((1000)-(c_TMAP3IN)),2))+2147483648,4294967296)-2147483648,((1000)-(c_TMAP3IN))*(((A748)-(c_TMAP3IN))*((1000)-(c_TMAP3OUT))+IF(((1000)-(c_TMAP3OUT))&gt;=0,1,-1)*QUOTIENT(((1000)-(c_TMAP3IN)),2)))&lt;0,-1,0),IF(IF(o_WRAP=1,MOD(((1000)-(c_TMAP3IN))*(((A748)-(c_TMAP3IN))*((1000)-(c_TMAP3OUT))+IF(((1000)-(c_TMAP3OUT))&gt;=0,1,-1)*QUOTIENT(((1000)-(c_TMAP3IN)),2))+2147483648,4294967296)-2147483648,((1000)-(c_TMAP3IN))*(((A748)-(c_TMAP3IN))*((1000)-(c_TMAP3OUT))+IF(((1000)-(c_TMAP3OUT))&gt;=0,1,-1)*QUOTIENT(((1000)-(c_TMAP3IN)),2)))&gt;=0,1,0)))</f>
        <v>684</v>
      </c>
      <c r="H748" s="7" t="str">
        <f aca="false">IF(A748&gt;=c_TFWD,IF(AND(A748&gt;=c_TMAP3IN,c_TMAP3IN&lt;1000),"Seg4 map3-100%",IF(AND(A748&gt;=c_TMAP2IN,c_TMAP3IN&gt;c_TMAP2IN),"Seg3 map2-map3",IF(AND(A748&gt;=c_TMAP1IN,c_TMAP2IN&gt;c_TMAP1IN),"Seg2 map1-map2","Seg1 TFWD-map1"))),IF(AND(A748=0,c_TCREEP&gt;0),"Creep",IF(AND(A748&lt;=c_TRNGMIN,A748&gt;=c_TRNGMAX,c_TRNGMIN-c_TRNGMAX&lt;&gt;0),"Regen ramp","Coast (0)")))</f>
        <v>Seg4 map3-100%</v>
      </c>
      <c r="I748" s="7" t="n">
        <f aca="false">IF(A748&gt;=c_TFWD,IF(AND(A748&gt;=c_TMAP3IN,c_TMAP3IN&lt;1000),G748,IF(AND(A748&gt;=c_TMAP2IN,c_TMAP3IN&gt;c_TMAP2IN),F748,IF(AND(A748&gt;=c_TMAP1IN,c_TMAP2IN&gt;c_TMAP1IN),E748,D748))),C748)</f>
        <v>684</v>
      </c>
      <c r="J748" s="7" t="str">
        <f aca="false">IF(I748&lt;-1090,"TOO LOW",IF(I748&gt;1090,"TOO HIGH",""))</f>
        <v/>
      </c>
      <c r="K748" s="15" t="n">
        <f aca="false">IF(J748&lt;&gt;"",0,IF(I748&gt;979,1000,I748))</f>
        <v>684</v>
      </c>
      <c r="L748" s="7" t="n">
        <f aca="false">K748/10</f>
        <v>68.4</v>
      </c>
    </row>
    <row r="749" customFormat="false" ht="15" hidden="false" customHeight="false" outlineLevel="0" collapsed="false">
      <c r="A749" s="7" t="n">
        <v>744</v>
      </c>
      <c r="B749" s="7" t="n">
        <f aca="false">A749/10</f>
        <v>74.4</v>
      </c>
      <c r="C749" s="7" t="n">
        <f aca="false">IF(AND(A749=0,c_TCREEP&gt;0),10*c_TCREEP,IF(AND(A749&lt;=c_TRNGMIN,A749&gt;=c_TRNGMAX,c_TRNGMIN-c_TRNGMAX&lt;&gt;0),-10*c_TMINRN+QUOTIENT((c_TMAXRN-c_TMINRN)*(100-QUOTIENT((A749-c_TRNGMAX)*100,c_TRNGMIN-c_TRNGMAX)),-10),0))</f>
        <v>0</v>
      </c>
      <c r="D749" s="7" t="n">
        <f aca="false">IF(((c_TMAP1IN)-(c_TFWD))=0,(0)+QUOTIENT(((c_TMAP1OUT)-(0)),2),QUOTIENT((((A749)-(c_TFWD))*((c_TMAP1OUT)-(0))+IF(((c_TMAP1OUT)-(0))&gt;=0,1,-1)*QUOTIENT(((c_TMAP1IN)-(c_TFWD)),2)),((c_TMAP1IN)-(c_TFWD)))+(0)+IF(((c_TMAP1OUT)-(0))&gt;=0,IF(IF(o_WRAP=1,MOD(((c_TMAP1IN)-(c_TFWD))*(((A749)-(c_TFWD))*((c_TMAP1OUT)-(0))+IF(((c_TMAP1OUT)-(0))&gt;=0,1,-1)*QUOTIENT(((c_TMAP1IN)-(c_TFWD)),2))+2147483648,4294967296)-2147483648,((c_TMAP1IN)-(c_TFWD))*(((A749)-(c_TFWD))*((c_TMAP1OUT)-(0))+IF(((c_TMAP1OUT)-(0))&gt;=0,1,-1)*QUOTIENT(((c_TMAP1IN)-(c_TFWD)),2)))&lt;0,-1,0),IF(IF(o_WRAP=1,MOD(((c_TMAP1IN)-(c_TFWD))*(((A749)-(c_TFWD))*((c_TMAP1OUT)-(0))+IF(((c_TMAP1OUT)-(0))&gt;=0,1,-1)*QUOTIENT(((c_TMAP1IN)-(c_TFWD)),2))+2147483648,4294967296)-2147483648,((c_TMAP1IN)-(c_TFWD))*(((A749)-(c_TFWD))*((c_TMAP1OUT)-(0))+IF(((c_TMAP1OUT)-(0))&gt;=0,1,-1)*QUOTIENT(((c_TMAP1IN)-(c_TFWD)),2)))&gt;=0,1,0)))</f>
        <v>571</v>
      </c>
      <c r="E749" s="7" t="n">
        <f aca="false">IF(((c_TMAP2IN)-(c_TMAP1IN))=0,(c_TMAP1OUT)+QUOTIENT(((c_TMAP2OUT)-(c_TMAP1OUT)),2),QUOTIENT((((A749)-(c_TMAP1IN))*((c_TMAP2OUT)-(c_TMAP1OUT))+IF(((c_TMAP2OUT)-(c_TMAP1OUT))&gt;=0,1,-1)*QUOTIENT(((c_TMAP2IN)-(c_TMAP1IN)),2)),((c_TMAP2IN)-(c_TMAP1IN)))+(c_TMAP1OUT)+IF(((c_TMAP2OUT)-(c_TMAP1OUT))&gt;=0,IF(IF(o_WRAP=1,MOD(((c_TMAP2IN)-(c_TMAP1IN))*(((A749)-(c_TMAP1IN))*((c_TMAP2OUT)-(c_TMAP1OUT))+IF(((c_TMAP2OUT)-(c_TMAP1OUT))&gt;=0,1,-1)*QUOTIENT(((c_TMAP2IN)-(c_TMAP1IN)),2))+2147483648,4294967296)-2147483648,((c_TMAP2IN)-(c_TMAP1IN))*(((A749)-(c_TMAP1IN))*((c_TMAP2OUT)-(c_TMAP1OUT))+IF(((c_TMAP2OUT)-(c_TMAP1OUT))&gt;=0,1,-1)*QUOTIENT(((c_TMAP2IN)-(c_TMAP1IN)),2)))&lt;0,-1,0),IF(IF(o_WRAP=1,MOD(((c_TMAP2IN)-(c_TMAP1IN))*(((A749)-(c_TMAP1IN))*((c_TMAP2OUT)-(c_TMAP1OUT))+IF(((c_TMAP2OUT)-(c_TMAP1OUT))&gt;=0,1,-1)*QUOTIENT(((c_TMAP2IN)-(c_TMAP1IN)),2))+2147483648,4294967296)-2147483648,((c_TMAP2IN)-(c_TMAP1IN))*(((A749)-(c_TMAP1IN))*((c_TMAP2OUT)-(c_TMAP1OUT))+IF(((c_TMAP2OUT)-(c_TMAP1OUT))&gt;=0,1,-1)*QUOTIENT(((c_TMAP2IN)-(c_TMAP1IN)),2)))&gt;=0,1,0)))</f>
        <v>328</v>
      </c>
      <c r="F749" s="7" t="n">
        <f aca="false">IF(((c_TMAP3IN)-(c_TMAP2IN))=0,(c_TMAP2OUT)+QUOTIENT(((c_TMAP3OUT)-(c_TMAP2OUT)),2),QUOTIENT((((A749)-(c_TMAP2IN))*((c_TMAP3OUT)-(c_TMAP2OUT))+IF(((c_TMAP3OUT)-(c_TMAP2OUT))&gt;=0,1,-1)*QUOTIENT(((c_TMAP3IN)-(c_TMAP2IN)),2)),((c_TMAP3IN)-(c_TMAP2IN)))+(c_TMAP2OUT)+IF(((c_TMAP3OUT)-(c_TMAP2OUT))&gt;=0,IF(IF(o_WRAP=1,MOD(((c_TMAP3IN)-(c_TMAP2IN))*(((A749)-(c_TMAP2IN))*((c_TMAP3OUT)-(c_TMAP2OUT))+IF(((c_TMAP3OUT)-(c_TMAP2OUT))&gt;=0,1,-1)*QUOTIENT(((c_TMAP3IN)-(c_TMAP2IN)),2))+2147483648,4294967296)-2147483648,((c_TMAP3IN)-(c_TMAP2IN))*(((A749)-(c_TMAP2IN))*((c_TMAP3OUT)-(c_TMAP2OUT))+IF(((c_TMAP3OUT)-(c_TMAP2OUT))&gt;=0,1,-1)*QUOTIENT(((c_TMAP3IN)-(c_TMAP2IN)),2)))&lt;0,-1,0),IF(IF(o_WRAP=1,MOD(((c_TMAP3IN)-(c_TMAP2IN))*(((A749)-(c_TMAP2IN))*((c_TMAP3OUT)-(c_TMAP2OUT))+IF(((c_TMAP3OUT)-(c_TMAP2OUT))&gt;=0,1,-1)*QUOTIENT(((c_TMAP3IN)-(c_TMAP2IN)),2))+2147483648,4294967296)-2147483648,((c_TMAP3IN)-(c_TMAP2IN))*(((A749)-(c_TMAP2IN))*((c_TMAP3OUT)-(c_TMAP2OUT))+IF(((c_TMAP3OUT)-(c_TMAP2OUT))&gt;=0,1,-1)*QUOTIENT(((c_TMAP3IN)-(c_TMAP2IN)),2)))&gt;=0,1,0)))</f>
        <v>476</v>
      </c>
      <c r="G749" s="7" t="n">
        <f aca="false">IF(((1000)-(c_TMAP3IN))=0,(c_TMAP3OUT)+QUOTIENT(((1000)-(c_TMAP3OUT)),2),QUOTIENT((((A749)-(c_TMAP3IN))*((1000)-(c_TMAP3OUT))+IF(((1000)-(c_TMAP3OUT))&gt;=0,1,-1)*QUOTIENT(((1000)-(c_TMAP3IN)),2)),((1000)-(c_TMAP3IN)))+(c_TMAP3OUT)+IF(((1000)-(c_TMAP3OUT))&gt;=0,IF(IF(o_WRAP=1,MOD(((1000)-(c_TMAP3IN))*(((A749)-(c_TMAP3IN))*((1000)-(c_TMAP3OUT))+IF(((1000)-(c_TMAP3OUT))&gt;=0,1,-1)*QUOTIENT(((1000)-(c_TMAP3IN)),2))+2147483648,4294967296)-2147483648,((1000)-(c_TMAP3IN))*(((A749)-(c_TMAP3IN))*((1000)-(c_TMAP3OUT))+IF(((1000)-(c_TMAP3OUT))&gt;=0,1,-1)*QUOTIENT(((1000)-(c_TMAP3IN)),2)))&lt;0,-1,0),IF(IF(o_WRAP=1,MOD(((1000)-(c_TMAP3IN))*(((A749)-(c_TMAP3IN))*((1000)-(c_TMAP3OUT))+IF(((1000)-(c_TMAP3OUT))&gt;=0,1,-1)*QUOTIENT(((1000)-(c_TMAP3IN)),2))+2147483648,4294967296)-2147483648,((1000)-(c_TMAP3IN))*(((A749)-(c_TMAP3IN))*((1000)-(c_TMAP3OUT))+IF(((1000)-(c_TMAP3OUT))&gt;=0,1,-1)*QUOTIENT(((1000)-(c_TMAP3IN)),2)))&gt;=0,1,0)))</f>
        <v>685</v>
      </c>
      <c r="H749" s="7" t="str">
        <f aca="false">IF(A749&gt;=c_TFWD,IF(AND(A749&gt;=c_TMAP3IN,c_TMAP3IN&lt;1000),"Seg4 map3-100%",IF(AND(A749&gt;=c_TMAP2IN,c_TMAP3IN&gt;c_TMAP2IN),"Seg3 map2-map3",IF(AND(A749&gt;=c_TMAP1IN,c_TMAP2IN&gt;c_TMAP1IN),"Seg2 map1-map2","Seg1 TFWD-map1"))),IF(AND(A749=0,c_TCREEP&gt;0),"Creep",IF(AND(A749&lt;=c_TRNGMIN,A749&gt;=c_TRNGMAX,c_TRNGMIN-c_TRNGMAX&lt;&gt;0),"Regen ramp","Coast (0)")))</f>
        <v>Seg4 map3-100%</v>
      </c>
      <c r="I749" s="7" t="n">
        <f aca="false">IF(A749&gt;=c_TFWD,IF(AND(A749&gt;=c_TMAP3IN,c_TMAP3IN&lt;1000),G749,IF(AND(A749&gt;=c_TMAP2IN,c_TMAP3IN&gt;c_TMAP2IN),F749,IF(AND(A749&gt;=c_TMAP1IN,c_TMAP2IN&gt;c_TMAP1IN),E749,D749))),C749)</f>
        <v>685</v>
      </c>
      <c r="J749" s="7" t="str">
        <f aca="false">IF(I749&lt;-1090,"TOO LOW",IF(I749&gt;1090,"TOO HIGH",""))</f>
        <v/>
      </c>
      <c r="K749" s="15" t="n">
        <f aca="false">IF(J749&lt;&gt;"",0,IF(I749&gt;979,1000,I749))</f>
        <v>685</v>
      </c>
      <c r="L749" s="7" t="n">
        <f aca="false">K749/10</f>
        <v>68.5</v>
      </c>
    </row>
    <row r="750" customFormat="false" ht="15" hidden="false" customHeight="false" outlineLevel="0" collapsed="false">
      <c r="A750" s="7" t="n">
        <v>745</v>
      </c>
      <c r="B750" s="7" t="n">
        <f aca="false">A750/10</f>
        <v>74.5</v>
      </c>
      <c r="C750" s="7" t="n">
        <f aca="false">IF(AND(A750=0,c_TCREEP&gt;0),10*c_TCREEP,IF(AND(A750&lt;=c_TRNGMIN,A750&gt;=c_TRNGMAX,c_TRNGMIN-c_TRNGMAX&lt;&gt;0),-10*c_TMINRN+QUOTIENT((c_TMAXRN-c_TMINRN)*(100-QUOTIENT((A750-c_TRNGMAX)*100,c_TRNGMIN-c_TRNGMAX)),-10),0))</f>
        <v>0</v>
      </c>
      <c r="D750" s="7" t="n">
        <f aca="false">IF(((c_TMAP1IN)-(c_TFWD))=0,(0)+QUOTIENT(((c_TMAP1OUT)-(0)),2),QUOTIENT((((A750)-(c_TFWD))*((c_TMAP1OUT)-(0))+IF(((c_TMAP1OUT)-(0))&gt;=0,1,-1)*QUOTIENT(((c_TMAP1IN)-(c_TFWD)),2)),((c_TMAP1IN)-(c_TFWD)))+(0)+IF(((c_TMAP1OUT)-(0))&gt;=0,IF(IF(o_WRAP=1,MOD(((c_TMAP1IN)-(c_TFWD))*(((A750)-(c_TFWD))*((c_TMAP1OUT)-(0))+IF(((c_TMAP1OUT)-(0))&gt;=0,1,-1)*QUOTIENT(((c_TMAP1IN)-(c_TFWD)),2))+2147483648,4294967296)-2147483648,((c_TMAP1IN)-(c_TFWD))*(((A750)-(c_TFWD))*((c_TMAP1OUT)-(0))+IF(((c_TMAP1OUT)-(0))&gt;=0,1,-1)*QUOTIENT(((c_TMAP1IN)-(c_TFWD)),2)))&lt;0,-1,0),IF(IF(o_WRAP=1,MOD(((c_TMAP1IN)-(c_TFWD))*(((A750)-(c_TFWD))*((c_TMAP1OUT)-(0))+IF(((c_TMAP1OUT)-(0))&gt;=0,1,-1)*QUOTIENT(((c_TMAP1IN)-(c_TFWD)),2))+2147483648,4294967296)-2147483648,((c_TMAP1IN)-(c_TFWD))*(((A750)-(c_TFWD))*((c_TMAP1OUT)-(0))+IF(((c_TMAP1OUT)-(0))&gt;=0,1,-1)*QUOTIENT(((c_TMAP1IN)-(c_TFWD)),2)))&gt;=0,1,0)))</f>
        <v>572</v>
      </c>
      <c r="E750" s="7" t="n">
        <f aca="false">IF(((c_TMAP2IN)-(c_TMAP1IN))=0,(c_TMAP1OUT)+QUOTIENT(((c_TMAP2OUT)-(c_TMAP1OUT)),2),QUOTIENT((((A750)-(c_TMAP1IN))*((c_TMAP2OUT)-(c_TMAP1OUT))+IF(((c_TMAP2OUT)-(c_TMAP1OUT))&gt;=0,1,-1)*QUOTIENT(((c_TMAP2IN)-(c_TMAP1IN)),2)),((c_TMAP2IN)-(c_TMAP1IN)))+(c_TMAP1OUT)+IF(((c_TMAP2OUT)-(c_TMAP1OUT))&gt;=0,IF(IF(o_WRAP=1,MOD(((c_TMAP2IN)-(c_TMAP1IN))*(((A750)-(c_TMAP1IN))*((c_TMAP2OUT)-(c_TMAP1OUT))+IF(((c_TMAP2OUT)-(c_TMAP1OUT))&gt;=0,1,-1)*QUOTIENT(((c_TMAP2IN)-(c_TMAP1IN)),2))+2147483648,4294967296)-2147483648,((c_TMAP2IN)-(c_TMAP1IN))*(((A750)-(c_TMAP1IN))*((c_TMAP2OUT)-(c_TMAP1OUT))+IF(((c_TMAP2OUT)-(c_TMAP1OUT))&gt;=0,1,-1)*QUOTIENT(((c_TMAP2IN)-(c_TMAP1IN)),2)))&lt;0,-1,0),IF(IF(o_WRAP=1,MOD(((c_TMAP2IN)-(c_TMAP1IN))*(((A750)-(c_TMAP1IN))*((c_TMAP2OUT)-(c_TMAP1OUT))+IF(((c_TMAP2OUT)-(c_TMAP1OUT))&gt;=0,1,-1)*QUOTIENT(((c_TMAP2IN)-(c_TMAP1IN)),2))+2147483648,4294967296)-2147483648,((c_TMAP2IN)-(c_TMAP1IN))*(((A750)-(c_TMAP1IN))*((c_TMAP2OUT)-(c_TMAP1OUT))+IF(((c_TMAP2OUT)-(c_TMAP1OUT))&gt;=0,1,-1)*QUOTIENT(((c_TMAP2IN)-(c_TMAP1IN)),2)))&gt;=0,1,0)))</f>
        <v>328</v>
      </c>
      <c r="F750" s="7" t="n">
        <f aca="false">IF(((c_TMAP3IN)-(c_TMAP2IN))=0,(c_TMAP2OUT)+QUOTIENT(((c_TMAP3OUT)-(c_TMAP2OUT)),2),QUOTIENT((((A750)-(c_TMAP2IN))*((c_TMAP3OUT)-(c_TMAP2OUT))+IF(((c_TMAP3OUT)-(c_TMAP2OUT))&gt;=0,1,-1)*QUOTIENT(((c_TMAP3IN)-(c_TMAP2IN)),2)),((c_TMAP3IN)-(c_TMAP2IN)))+(c_TMAP2OUT)+IF(((c_TMAP3OUT)-(c_TMAP2OUT))&gt;=0,IF(IF(o_WRAP=1,MOD(((c_TMAP3IN)-(c_TMAP2IN))*(((A750)-(c_TMAP2IN))*((c_TMAP3OUT)-(c_TMAP2OUT))+IF(((c_TMAP3OUT)-(c_TMAP2OUT))&gt;=0,1,-1)*QUOTIENT(((c_TMAP3IN)-(c_TMAP2IN)),2))+2147483648,4294967296)-2147483648,((c_TMAP3IN)-(c_TMAP2IN))*(((A750)-(c_TMAP2IN))*((c_TMAP3OUT)-(c_TMAP2OUT))+IF(((c_TMAP3OUT)-(c_TMAP2OUT))&gt;=0,1,-1)*QUOTIENT(((c_TMAP3IN)-(c_TMAP2IN)),2)))&lt;0,-1,0),IF(IF(o_WRAP=1,MOD(((c_TMAP3IN)-(c_TMAP2IN))*(((A750)-(c_TMAP2IN))*((c_TMAP3OUT)-(c_TMAP2OUT))+IF(((c_TMAP3OUT)-(c_TMAP2OUT))&gt;=0,1,-1)*QUOTIENT(((c_TMAP3IN)-(c_TMAP2IN)),2))+2147483648,4294967296)-2147483648,((c_TMAP3IN)-(c_TMAP2IN))*(((A750)-(c_TMAP2IN))*((c_TMAP3OUT)-(c_TMAP2OUT))+IF(((c_TMAP3OUT)-(c_TMAP2OUT))&gt;=0,1,-1)*QUOTIENT(((c_TMAP3IN)-(c_TMAP2IN)),2)))&gt;=0,1,0)))</f>
        <v>477</v>
      </c>
      <c r="G750" s="7" t="n">
        <f aca="false">IF(((1000)-(c_TMAP3IN))=0,(c_TMAP3OUT)+QUOTIENT(((1000)-(c_TMAP3OUT)),2),QUOTIENT((((A750)-(c_TMAP3IN))*((1000)-(c_TMAP3OUT))+IF(((1000)-(c_TMAP3OUT))&gt;=0,1,-1)*QUOTIENT(((1000)-(c_TMAP3IN)),2)),((1000)-(c_TMAP3IN)))+(c_TMAP3OUT)+IF(((1000)-(c_TMAP3OUT))&gt;=0,IF(IF(o_WRAP=1,MOD(((1000)-(c_TMAP3IN))*(((A750)-(c_TMAP3IN))*((1000)-(c_TMAP3OUT))+IF(((1000)-(c_TMAP3OUT))&gt;=0,1,-1)*QUOTIENT(((1000)-(c_TMAP3IN)),2))+2147483648,4294967296)-2147483648,((1000)-(c_TMAP3IN))*(((A750)-(c_TMAP3IN))*((1000)-(c_TMAP3OUT))+IF(((1000)-(c_TMAP3OUT))&gt;=0,1,-1)*QUOTIENT(((1000)-(c_TMAP3IN)),2)))&lt;0,-1,0),IF(IF(o_WRAP=1,MOD(((1000)-(c_TMAP3IN))*(((A750)-(c_TMAP3IN))*((1000)-(c_TMAP3OUT))+IF(((1000)-(c_TMAP3OUT))&gt;=0,1,-1)*QUOTIENT(((1000)-(c_TMAP3IN)),2))+2147483648,4294967296)-2147483648,((1000)-(c_TMAP3IN))*(((A750)-(c_TMAP3IN))*((1000)-(c_TMAP3OUT))+IF(((1000)-(c_TMAP3OUT))&gt;=0,1,-1)*QUOTIENT(((1000)-(c_TMAP3IN)),2)))&gt;=0,1,0)))</f>
        <v>686</v>
      </c>
      <c r="H750" s="7" t="str">
        <f aca="false">IF(A750&gt;=c_TFWD,IF(AND(A750&gt;=c_TMAP3IN,c_TMAP3IN&lt;1000),"Seg4 map3-100%",IF(AND(A750&gt;=c_TMAP2IN,c_TMAP3IN&gt;c_TMAP2IN),"Seg3 map2-map3",IF(AND(A750&gt;=c_TMAP1IN,c_TMAP2IN&gt;c_TMAP1IN),"Seg2 map1-map2","Seg1 TFWD-map1"))),IF(AND(A750=0,c_TCREEP&gt;0),"Creep",IF(AND(A750&lt;=c_TRNGMIN,A750&gt;=c_TRNGMAX,c_TRNGMIN-c_TRNGMAX&lt;&gt;0),"Regen ramp","Coast (0)")))</f>
        <v>Seg4 map3-100%</v>
      </c>
      <c r="I750" s="7" t="n">
        <f aca="false">IF(A750&gt;=c_TFWD,IF(AND(A750&gt;=c_TMAP3IN,c_TMAP3IN&lt;1000),G750,IF(AND(A750&gt;=c_TMAP2IN,c_TMAP3IN&gt;c_TMAP2IN),F750,IF(AND(A750&gt;=c_TMAP1IN,c_TMAP2IN&gt;c_TMAP1IN),E750,D750))),C750)</f>
        <v>686</v>
      </c>
      <c r="J750" s="7" t="str">
        <f aca="false">IF(I750&lt;-1090,"TOO LOW",IF(I750&gt;1090,"TOO HIGH",""))</f>
        <v/>
      </c>
      <c r="K750" s="15" t="n">
        <f aca="false">IF(J750&lt;&gt;"",0,IF(I750&gt;979,1000,I750))</f>
        <v>686</v>
      </c>
      <c r="L750" s="7" t="n">
        <f aca="false">K750/10</f>
        <v>68.6</v>
      </c>
    </row>
    <row r="751" customFormat="false" ht="15" hidden="false" customHeight="false" outlineLevel="0" collapsed="false">
      <c r="A751" s="7" t="n">
        <v>746</v>
      </c>
      <c r="B751" s="7" t="n">
        <f aca="false">A751/10</f>
        <v>74.6</v>
      </c>
      <c r="C751" s="7" t="n">
        <f aca="false">IF(AND(A751=0,c_TCREEP&gt;0),10*c_TCREEP,IF(AND(A751&lt;=c_TRNGMIN,A751&gt;=c_TRNGMAX,c_TRNGMIN-c_TRNGMAX&lt;&gt;0),-10*c_TMINRN+QUOTIENT((c_TMAXRN-c_TMINRN)*(100-QUOTIENT((A751-c_TRNGMAX)*100,c_TRNGMIN-c_TRNGMAX)),-10),0))</f>
        <v>0</v>
      </c>
      <c r="D751" s="7" t="n">
        <f aca="false">IF(((c_TMAP1IN)-(c_TFWD))=0,(0)+QUOTIENT(((c_TMAP1OUT)-(0)),2),QUOTIENT((((A751)-(c_TFWD))*((c_TMAP1OUT)-(0))+IF(((c_TMAP1OUT)-(0))&gt;=0,1,-1)*QUOTIENT(((c_TMAP1IN)-(c_TFWD)),2)),((c_TMAP1IN)-(c_TFWD)))+(0)+IF(((c_TMAP1OUT)-(0))&gt;=0,IF(IF(o_WRAP=1,MOD(((c_TMAP1IN)-(c_TFWD))*(((A751)-(c_TFWD))*((c_TMAP1OUT)-(0))+IF(((c_TMAP1OUT)-(0))&gt;=0,1,-1)*QUOTIENT(((c_TMAP1IN)-(c_TFWD)),2))+2147483648,4294967296)-2147483648,((c_TMAP1IN)-(c_TFWD))*(((A751)-(c_TFWD))*((c_TMAP1OUT)-(0))+IF(((c_TMAP1OUT)-(0))&gt;=0,1,-1)*QUOTIENT(((c_TMAP1IN)-(c_TFWD)),2)))&lt;0,-1,0),IF(IF(o_WRAP=1,MOD(((c_TMAP1IN)-(c_TFWD))*(((A751)-(c_TFWD))*((c_TMAP1OUT)-(0))+IF(((c_TMAP1OUT)-(0))&gt;=0,1,-1)*QUOTIENT(((c_TMAP1IN)-(c_TFWD)),2))+2147483648,4294967296)-2147483648,((c_TMAP1IN)-(c_TFWD))*(((A751)-(c_TFWD))*((c_TMAP1OUT)-(0))+IF(((c_TMAP1OUT)-(0))&gt;=0,1,-1)*QUOTIENT(((c_TMAP1IN)-(c_TFWD)),2)))&gt;=0,1,0)))</f>
        <v>572</v>
      </c>
      <c r="E751" s="7" t="n">
        <f aca="false">IF(((c_TMAP2IN)-(c_TMAP1IN))=0,(c_TMAP1OUT)+QUOTIENT(((c_TMAP2OUT)-(c_TMAP1OUT)),2),QUOTIENT((((A751)-(c_TMAP1IN))*((c_TMAP2OUT)-(c_TMAP1OUT))+IF(((c_TMAP2OUT)-(c_TMAP1OUT))&gt;=0,1,-1)*QUOTIENT(((c_TMAP2IN)-(c_TMAP1IN)),2)),((c_TMAP2IN)-(c_TMAP1IN)))+(c_TMAP1OUT)+IF(((c_TMAP2OUT)-(c_TMAP1OUT))&gt;=0,IF(IF(o_WRAP=1,MOD(((c_TMAP2IN)-(c_TMAP1IN))*(((A751)-(c_TMAP1IN))*((c_TMAP2OUT)-(c_TMAP1OUT))+IF(((c_TMAP2OUT)-(c_TMAP1OUT))&gt;=0,1,-1)*QUOTIENT(((c_TMAP2IN)-(c_TMAP1IN)),2))+2147483648,4294967296)-2147483648,((c_TMAP2IN)-(c_TMAP1IN))*(((A751)-(c_TMAP1IN))*((c_TMAP2OUT)-(c_TMAP1OUT))+IF(((c_TMAP2OUT)-(c_TMAP1OUT))&gt;=0,1,-1)*QUOTIENT(((c_TMAP2IN)-(c_TMAP1IN)),2)))&lt;0,-1,0),IF(IF(o_WRAP=1,MOD(((c_TMAP2IN)-(c_TMAP1IN))*(((A751)-(c_TMAP1IN))*((c_TMAP2OUT)-(c_TMAP1OUT))+IF(((c_TMAP2OUT)-(c_TMAP1OUT))&gt;=0,1,-1)*QUOTIENT(((c_TMAP2IN)-(c_TMAP1IN)),2))+2147483648,4294967296)-2147483648,((c_TMAP2IN)-(c_TMAP1IN))*(((A751)-(c_TMAP1IN))*((c_TMAP2OUT)-(c_TMAP1OUT))+IF(((c_TMAP2OUT)-(c_TMAP1OUT))&gt;=0,1,-1)*QUOTIENT(((c_TMAP2IN)-(c_TMAP1IN)),2)))&gt;=0,1,0)))</f>
        <v>328</v>
      </c>
      <c r="F751" s="7" t="n">
        <f aca="false">IF(((c_TMAP3IN)-(c_TMAP2IN))=0,(c_TMAP2OUT)+QUOTIENT(((c_TMAP3OUT)-(c_TMAP2OUT)),2),QUOTIENT((((A751)-(c_TMAP2IN))*((c_TMAP3OUT)-(c_TMAP2OUT))+IF(((c_TMAP3OUT)-(c_TMAP2OUT))&gt;=0,1,-1)*QUOTIENT(((c_TMAP3IN)-(c_TMAP2IN)),2)),((c_TMAP3IN)-(c_TMAP2IN)))+(c_TMAP2OUT)+IF(((c_TMAP3OUT)-(c_TMAP2OUT))&gt;=0,IF(IF(o_WRAP=1,MOD(((c_TMAP3IN)-(c_TMAP2IN))*(((A751)-(c_TMAP2IN))*((c_TMAP3OUT)-(c_TMAP2OUT))+IF(((c_TMAP3OUT)-(c_TMAP2OUT))&gt;=0,1,-1)*QUOTIENT(((c_TMAP3IN)-(c_TMAP2IN)),2))+2147483648,4294967296)-2147483648,((c_TMAP3IN)-(c_TMAP2IN))*(((A751)-(c_TMAP2IN))*((c_TMAP3OUT)-(c_TMAP2OUT))+IF(((c_TMAP3OUT)-(c_TMAP2OUT))&gt;=0,1,-1)*QUOTIENT(((c_TMAP3IN)-(c_TMAP2IN)),2)))&lt;0,-1,0),IF(IF(o_WRAP=1,MOD(((c_TMAP3IN)-(c_TMAP2IN))*(((A751)-(c_TMAP2IN))*((c_TMAP3OUT)-(c_TMAP2OUT))+IF(((c_TMAP3OUT)-(c_TMAP2OUT))&gt;=0,1,-1)*QUOTIENT(((c_TMAP3IN)-(c_TMAP2IN)),2))+2147483648,4294967296)-2147483648,((c_TMAP3IN)-(c_TMAP2IN))*(((A751)-(c_TMAP2IN))*((c_TMAP3OUT)-(c_TMAP2OUT))+IF(((c_TMAP3OUT)-(c_TMAP2OUT))&gt;=0,1,-1)*QUOTIENT(((c_TMAP3IN)-(c_TMAP2IN)),2)))&gt;=0,1,0)))</f>
        <v>477</v>
      </c>
      <c r="G751" s="7" t="n">
        <f aca="false">IF(((1000)-(c_TMAP3IN))=0,(c_TMAP3OUT)+QUOTIENT(((1000)-(c_TMAP3OUT)),2),QUOTIENT((((A751)-(c_TMAP3IN))*((1000)-(c_TMAP3OUT))+IF(((1000)-(c_TMAP3OUT))&gt;=0,1,-1)*QUOTIENT(((1000)-(c_TMAP3IN)),2)),((1000)-(c_TMAP3IN)))+(c_TMAP3OUT)+IF(((1000)-(c_TMAP3OUT))&gt;=0,IF(IF(o_WRAP=1,MOD(((1000)-(c_TMAP3IN))*(((A751)-(c_TMAP3IN))*((1000)-(c_TMAP3OUT))+IF(((1000)-(c_TMAP3OUT))&gt;=0,1,-1)*QUOTIENT(((1000)-(c_TMAP3IN)),2))+2147483648,4294967296)-2147483648,((1000)-(c_TMAP3IN))*(((A751)-(c_TMAP3IN))*((1000)-(c_TMAP3OUT))+IF(((1000)-(c_TMAP3OUT))&gt;=0,1,-1)*QUOTIENT(((1000)-(c_TMAP3IN)),2)))&lt;0,-1,0),IF(IF(o_WRAP=1,MOD(((1000)-(c_TMAP3IN))*(((A751)-(c_TMAP3IN))*((1000)-(c_TMAP3OUT))+IF(((1000)-(c_TMAP3OUT))&gt;=0,1,-1)*QUOTIENT(((1000)-(c_TMAP3IN)),2))+2147483648,4294967296)-2147483648,((1000)-(c_TMAP3IN))*(((A751)-(c_TMAP3IN))*((1000)-(c_TMAP3OUT))+IF(((1000)-(c_TMAP3OUT))&gt;=0,1,-1)*QUOTIENT(((1000)-(c_TMAP3IN)),2)))&gt;=0,1,0)))</f>
        <v>687</v>
      </c>
      <c r="H751" s="7" t="str">
        <f aca="false">IF(A751&gt;=c_TFWD,IF(AND(A751&gt;=c_TMAP3IN,c_TMAP3IN&lt;1000),"Seg4 map3-100%",IF(AND(A751&gt;=c_TMAP2IN,c_TMAP3IN&gt;c_TMAP2IN),"Seg3 map2-map3",IF(AND(A751&gt;=c_TMAP1IN,c_TMAP2IN&gt;c_TMAP1IN),"Seg2 map1-map2","Seg1 TFWD-map1"))),IF(AND(A751=0,c_TCREEP&gt;0),"Creep",IF(AND(A751&lt;=c_TRNGMIN,A751&gt;=c_TRNGMAX,c_TRNGMIN-c_TRNGMAX&lt;&gt;0),"Regen ramp","Coast (0)")))</f>
        <v>Seg4 map3-100%</v>
      </c>
      <c r="I751" s="7" t="n">
        <f aca="false">IF(A751&gt;=c_TFWD,IF(AND(A751&gt;=c_TMAP3IN,c_TMAP3IN&lt;1000),G751,IF(AND(A751&gt;=c_TMAP2IN,c_TMAP3IN&gt;c_TMAP2IN),F751,IF(AND(A751&gt;=c_TMAP1IN,c_TMAP2IN&gt;c_TMAP1IN),E751,D751))),C751)</f>
        <v>687</v>
      </c>
      <c r="J751" s="7" t="str">
        <f aca="false">IF(I751&lt;-1090,"TOO LOW",IF(I751&gt;1090,"TOO HIGH",""))</f>
        <v/>
      </c>
      <c r="K751" s="15" t="n">
        <f aca="false">IF(J751&lt;&gt;"",0,IF(I751&gt;979,1000,I751))</f>
        <v>687</v>
      </c>
      <c r="L751" s="7" t="n">
        <f aca="false">K751/10</f>
        <v>68.7</v>
      </c>
    </row>
    <row r="752" customFormat="false" ht="15" hidden="false" customHeight="false" outlineLevel="0" collapsed="false">
      <c r="A752" s="7" t="n">
        <v>747</v>
      </c>
      <c r="B752" s="7" t="n">
        <f aca="false">A752/10</f>
        <v>74.7</v>
      </c>
      <c r="C752" s="7" t="n">
        <f aca="false">IF(AND(A752=0,c_TCREEP&gt;0),10*c_TCREEP,IF(AND(A752&lt;=c_TRNGMIN,A752&gt;=c_TRNGMAX,c_TRNGMIN-c_TRNGMAX&lt;&gt;0),-10*c_TMINRN+QUOTIENT((c_TMAXRN-c_TMINRN)*(100-QUOTIENT((A752-c_TRNGMAX)*100,c_TRNGMIN-c_TRNGMAX)),-10),0))</f>
        <v>0</v>
      </c>
      <c r="D752" s="7" t="n">
        <f aca="false">IF(((c_TMAP1IN)-(c_TFWD))=0,(0)+QUOTIENT(((c_TMAP1OUT)-(0)),2),QUOTIENT((((A752)-(c_TFWD))*((c_TMAP1OUT)-(0))+IF(((c_TMAP1OUT)-(0))&gt;=0,1,-1)*QUOTIENT(((c_TMAP1IN)-(c_TFWD)),2)),((c_TMAP1IN)-(c_TFWD)))+(0)+IF(((c_TMAP1OUT)-(0))&gt;=0,IF(IF(o_WRAP=1,MOD(((c_TMAP1IN)-(c_TFWD))*(((A752)-(c_TFWD))*((c_TMAP1OUT)-(0))+IF(((c_TMAP1OUT)-(0))&gt;=0,1,-1)*QUOTIENT(((c_TMAP1IN)-(c_TFWD)),2))+2147483648,4294967296)-2147483648,((c_TMAP1IN)-(c_TFWD))*(((A752)-(c_TFWD))*((c_TMAP1OUT)-(0))+IF(((c_TMAP1OUT)-(0))&gt;=0,1,-1)*QUOTIENT(((c_TMAP1IN)-(c_TFWD)),2)))&lt;0,-1,0),IF(IF(o_WRAP=1,MOD(((c_TMAP1IN)-(c_TFWD))*(((A752)-(c_TFWD))*((c_TMAP1OUT)-(0))+IF(((c_TMAP1OUT)-(0))&gt;=0,1,-1)*QUOTIENT(((c_TMAP1IN)-(c_TFWD)),2))+2147483648,4294967296)-2147483648,((c_TMAP1IN)-(c_TFWD))*(((A752)-(c_TFWD))*((c_TMAP1OUT)-(0))+IF(((c_TMAP1OUT)-(0))&gt;=0,1,-1)*QUOTIENT(((c_TMAP1IN)-(c_TFWD)),2)))&gt;=0,1,0)))</f>
        <v>573</v>
      </c>
      <c r="E752" s="7" t="n">
        <f aca="false">IF(((c_TMAP2IN)-(c_TMAP1IN))=0,(c_TMAP1OUT)+QUOTIENT(((c_TMAP2OUT)-(c_TMAP1OUT)),2),QUOTIENT((((A752)-(c_TMAP1IN))*((c_TMAP2OUT)-(c_TMAP1OUT))+IF(((c_TMAP2OUT)-(c_TMAP1OUT))&gt;=0,1,-1)*QUOTIENT(((c_TMAP2IN)-(c_TMAP1IN)),2)),((c_TMAP2IN)-(c_TMAP1IN)))+(c_TMAP1OUT)+IF(((c_TMAP2OUT)-(c_TMAP1OUT))&gt;=0,IF(IF(o_WRAP=1,MOD(((c_TMAP2IN)-(c_TMAP1IN))*(((A752)-(c_TMAP1IN))*((c_TMAP2OUT)-(c_TMAP1OUT))+IF(((c_TMAP2OUT)-(c_TMAP1OUT))&gt;=0,1,-1)*QUOTIENT(((c_TMAP2IN)-(c_TMAP1IN)),2))+2147483648,4294967296)-2147483648,((c_TMAP2IN)-(c_TMAP1IN))*(((A752)-(c_TMAP1IN))*((c_TMAP2OUT)-(c_TMAP1OUT))+IF(((c_TMAP2OUT)-(c_TMAP1OUT))&gt;=0,1,-1)*QUOTIENT(((c_TMAP2IN)-(c_TMAP1IN)),2)))&lt;0,-1,0),IF(IF(o_WRAP=1,MOD(((c_TMAP2IN)-(c_TMAP1IN))*(((A752)-(c_TMAP1IN))*((c_TMAP2OUT)-(c_TMAP1OUT))+IF(((c_TMAP2OUT)-(c_TMAP1OUT))&gt;=0,1,-1)*QUOTIENT(((c_TMAP2IN)-(c_TMAP1IN)),2))+2147483648,4294967296)-2147483648,((c_TMAP2IN)-(c_TMAP1IN))*(((A752)-(c_TMAP1IN))*((c_TMAP2OUT)-(c_TMAP1OUT))+IF(((c_TMAP2OUT)-(c_TMAP1OUT))&gt;=0,1,-1)*QUOTIENT(((c_TMAP2IN)-(c_TMAP1IN)),2)))&gt;=0,1,0)))</f>
        <v>329</v>
      </c>
      <c r="F752" s="7" t="n">
        <f aca="false">IF(((c_TMAP3IN)-(c_TMAP2IN))=0,(c_TMAP2OUT)+QUOTIENT(((c_TMAP3OUT)-(c_TMAP2OUT)),2),QUOTIENT((((A752)-(c_TMAP2IN))*((c_TMAP3OUT)-(c_TMAP2OUT))+IF(((c_TMAP3OUT)-(c_TMAP2OUT))&gt;=0,1,-1)*QUOTIENT(((c_TMAP3IN)-(c_TMAP2IN)),2)),((c_TMAP3IN)-(c_TMAP2IN)))+(c_TMAP2OUT)+IF(((c_TMAP3OUT)-(c_TMAP2OUT))&gt;=0,IF(IF(o_WRAP=1,MOD(((c_TMAP3IN)-(c_TMAP2IN))*(((A752)-(c_TMAP2IN))*((c_TMAP3OUT)-(c_TMAP2OUT))+IF(((c_TMAP3OUT)-(c_TMAP2OUT))&gt;=0,1,-1)*QUOTIENT(((c_TMAP3IN)-(c_TMAP2IN)),2))+2147483648,4294967296)-2147483648,((c_TMAP3IN)-(c_TMAP2IN))*(((A752)-(c_TMAP2IN))*((c_TMAP3OUT)-(c_TMAP2OUT))+IF(((c_TMAP3OUT)-(c_TMAP2OUT))&gt;=0,1,-1)*QUOTIENT(((c_TMAP3IN)-(c_TMAP2IN)),2)))&lt;0,-1,0),IF(IF(o_WRAP=1,MOD(((c_TMAP3IN)-(c_TMAP2IN))*(((A752)-(c_TMAP2IN))*((c_TMAP3OUT)-(c_TMAP2OUT))+IF(((c_TMAP3OUT)-(c_TMAP2OUT))&gt;=0,1,-1)*QUOTIENT(((c_TMAP3IN)-(c_TMAP2IN)),2))+2147483648,4294967296)-2147483648,((c_TMAP3IN)-(c_TMAP2IN))*(((A752)-(c_TMAP2IN))*((c_TMAP3OUT)-(c_TMAP2OUT))+IF(((c_TMAP3OUT)-(c_TMAP2OUT))&gt;=0,1,-1)*QUOTIENT(((c_TMAP3IN)-(c_TMAP2IN)),2)))&gt;=0,1,0)))</f>
        <v>478</v>
      </c>
      <c r="G752" s="7" t="n">
        <f aca="false">IF(((1000)-(c_TMAP3IN))=0,(c_TMAP3OUT)+QUOTIENT(((1000)-(c_TMAP3OUT)),2),QUOTIENT((((A752)-(c_TMAP3IN))*((1000)-(c_TMAP3OUT))+IF(((1000)-(c_TMAP3OUT))&gt;=0,1,-1)*QUOTIENT(((1000)-(c_TMAP3IN)),2)),((1000)-(c_TMAP3IN)))+(c_TMAP3OUT)+IF(((1000)-(c_TMAP3OUT))&gt;=0,IF(IF(o_WRAP=1,MOD(((1000)-(c_TMAP3IN))*(((A752)-(c_TMAP3IN))*((1000)-(c_TMAP3OUT))+IF(((1000)-(c_TMAP3OUT))&gt;=0,1,-1)*QUOTIENT(((1000)-(c_TMAP3IN)),2))+2147483648,4294967296)-2147483648,((1000)-(c_TMAP3IN))*(((A752)-(c_TMAP3IN))*((1000)-(c_TMAP3OUT))+IF(((1000)-(c_TMAP3OUT))&gt;=0,1,-1)*QUOTIENT(((1000)-(c_TMAP3IN)),2)))&lt;0,-1,0),IF(IF(o_WRAP=1,MOD(((1000)-(c_TMAP3IN))*(((A752)-(c_TMAP3IN))*((1000)-(c_TMAP3OUT))+IF(((1000)-(c_TMAP3OUT))&gt;=0,1,-1)*QUOTIENT(((1000)-(c_TMAP3IN)),2))+2147483648,4294967296)-2147483648,((1000)-(c_TMAP3IN))*(((A752)-(c_TMAP3IN))*((1000)-(c_TMAP3OUT))+IF(((1000)-(c_TMAP3OUT))&gt;=0,1,-1)*QUOTIENT(((1000)-(c_TMAP3IN)),2)))&gt;=0,1,0)))</f>
        <v>689</v>
      </c>
      <c r="H752" s="7" t="str">
        <f aca="false">IF(A752&gt;=c_TFWD,IF(AND(A752&gt;=c_TMAP3IN,c_TMAP3IN&lt;1000),"Seg4 map3-100%",IF(AND(A752&gt;=c_TMAP2IN,c_TMAP3IN&gt;c_TMAP2IN),"Seg3 map2-map3",IF(AND(A752&gt;=c_TMAP1IN,c_TMAP2IN&gt;c_TMAP1IN),"Seg2 map1-map2","Seg1 TFWD-map1"))),IF(AND(A752=0,c_TCREEP&gt;0),"Creep",IF(AND(A752&lt;=c_TRNGMIN,A752&gt;=c_TRNGMAX,c_TRNGMIN-c_TRNGMAX&lt;&gt;0),"Regen ramp","Coast (0)")))</f>
        <v>Seg4 map3-100%</v>
      </c>
      <c r="I752" s="7" t="n">
        <f aca="false">IF(A752&gt;=c_TFWD,IF(AND(A752&gt;=c_TMAP3IN,c_TMAP3IN&lt;1000),G752,IF(AND(A752&gt;=c_TMAP2IN,c_TMAP3IN&gt;c_TMAP2IN),F752,IF(AND(A752&gt;=c_TMAP1IN,c_TMAP2IN&gt;c_TMAP1IN),E752,D752))),C752)</f>
        <v>689</v>
      </c>
      <c r="J752" s="7" t="str">
        <f aca="false">IF(I752&lt;-1090,"TOO LOW",IF(I752&gt;1090,"TOO HIGH",""))</f>
        <v/>
      </c>
      <c r="K752" s="15" t="n">
        <f aca="false">IF(J752&lt;&gt;"",0,IF(I752&gt;979,1000,I752))</f>
        <v>689</v>
      </c>
      <c r="L752" s="7" t="n">
        <f aca="false">K752/10</f>
        <v>68.9</v>
      </c>
    </row>
    <row r="753" customFormat="false" ht="15" hidden="false" customHeight="false" outlineLevel="0" collapsed="false">
      <c r="A753" s="7" t="n">
        <v>748</v>
      </c>
      <c r="B753" s="7" t="n">
        <f aca="false">A753/10</f>
        <v>74.8</v>
      </c>
      <c r="C753" s="7" t="n">
        <f aca="false">IF(AND(A753=0,c_TCREEP&gt;0),10*c_TCREEP,IF(AND(A753&lt;=c_TRNGMIN,A753&gt;=c_TRNGMAX,c_TRNGMIN-c_TRNGMAX&lt;&gt;0),-10*c_TMINRN+QUOTIENT((c_TMAXRN-c_TMINRN)*(100-QUOTIENT((A753-c_TRNGMAX)*100,c_TRNGMIN-c_TRNGMAX)),-10),0))</f>
        <v>0</v>
      </c>
      <c r="D753" s="7" t="n">
        <f aca="false">IF(((c_TMAP1IN)-(c_TFWD))=0,(0)+QUOTIENT(((c_TMAP1OUT)-(0)),2),QUOTIENT((((A753)-(c_TFWD))*((c_TMAP1OUT)-(0))+IF(((c_TMAP1OUT)-(0))&gt;=0,1,-1)*QUOTIENT(((c_TMAP1IN)-(c_TFWD)),2)),((c_TMAP1IN)-(c_TFWD)))+(0)+IF(((c_TMAP1OUT)-(0))&gt;=0,IF(IF(o_WRAP=1,MOD(((c_TMAP1IN)-(c_TFWD))*(((A753)-(c_TFWD))*((c_TMAP1OUT)-(0))+IF(((c_TMAP1OUT)-(0))&gt;=0,1,-1)*QUOTIENT(((c_TMAP1IN)-(c_TFWD)),2))+2147483648,4294967296)-2147483648,((c_TMAP1IN)-(c_TFWD))*(((A753)-(c_TFWD))*((c_TMAP1OUT)-(0))+IF(((c_TMAP1OUT)-(0))&gt;=0,1,-1)*QUOTIENT(((c_TMAP1IN)-(c_TFWD)),2)))&lt;0,-1,0),IF(IF(o_WRAP=1,MOD(((c_TMAP1IN)-(c_TFWD))*(((A753)-(c_TFWD))*((c_TMAP1OUT)-(0))+IF(((c_TMAP1OUT)-(0))&gt;=0,1,-1)*QUOTIENT(((c_TMAP1IN)-(c_TFWD)),2))+2147483648,4294967296)-2147483648,((c_TMAP1IN)-(c_TFWD))*(((A753)-(c_TFWD))*((c_TMAP1OUT)-(0))+IF(((c_TMAP1OUT)-(0))&gt;=0,1,-1)*QUOTIENT(((c_TMAP1IN)-(c_TFWD)),2)))&gt;=0,1,0)))</f>
        <v>574</v>
      </c>
      <c r="E753" s="7" t="n">
        <f aca="false">IF(((c_TMAP2IN)-(c_TMAP1IN))=0,(c_TMAP1OUT)+QUOTIENT(((c_TMAP2OUT)-(c_TMAP1OUT)),2),QUOTIENT((((A753)-(c_TMAP1IN))*((c_TMAP2OUT)-(c_TMAP1OUT))+IF(((c_TMAP2OUT)-(c_TMAP1OUT))&gt;=0,1,-1)*QUOTIENT(((c_TMAP2IN)-(c_TMAP1IN)),2)),((c_TMAP2IN)-(c_TMAP1IN)))+(c_TMAP1OUT)+IF(((c_TMAP2OUT)-(c_TMAP1OUT))&gt;=0,IF(IF(o_WRAP=1,MOD(((c_TMAP2IN)-(c_TMAP1IN))*(((A753)-(c_TMAP1IN))*((c_TMAP2OUT)-(c_TMAP1OUT))+IF(((c_TMAP2OUT)-(c_TMAP1OUT))&gt;=0,1,-1)*QUOTIENT(((c_TMAP2IN)-(c_TMAP1IN)),2))+2147483648,4294967296)-2147483648,((c_TMAP2IN)-(c_TMAP1IN))*(((A753)-(c_TMAP1IN))*((c_TMAP2OUT)-(c_TMAP1OUT))+IF(((c_TMAP2OUT)-(c_TMAP1OUT))&gt;=0,1,-1)*QUOTIENT(((c_TMAP2IN)-(c_TMAP1IN)),2)))&lt;0,-1,0),IF(IF(o_WRAP=1,MOD(((c_TMAP2IN)-(c_TMAP1IN))*(((A753)-(c_TMAP1IN))*((c_TMAP2OUT)-(c_TMAP1OUT))+IF(((c_TMAP2OUT)-(c_TMAP1OUT))&gt;=0,1,-1)*QUOTIENT(((c_TMAP2IN)-(c_TMAP1IN)),2))+2147483648,4294967296)-2147483648,((c_TMAP2IN)-(c_TMAP1IN))*(((A753)-(c_TMAP1IN))*((c_TMAP2OUT)-(c_TMAP1OUT))+IF(((c_TMAP2OUT)-(c_TMAP1OUT))&gt;=0,1,-1)*QUOTIENT(((c_TMAP2IN)-(c_TMAP1IN)),2)))&gt;=0,1,0)))</f>
        <v>329</v>
      </c>
      <c r="F753" s="7" t="n">
        <f aca="false">IF(((c_TMAP3IN)-(c_TMAP2IN))=0,(c_TMAP2OUT)+QUOTIENT(((c_TMAP3OUT)-(c_TMAP2OUT)),2),QUOTIENT((((A753)-(c_TMAP2IN))*((c_TMAP3OUT)-(c_TMAP2OUT))+IF(((c_TMAP3OUT)-(c_TMAP2OUT))&gt;=0,1,-1)*QUOTIENT(((c_TMAP3IN)-(c_TMAP2IN)),2)),((c_TMAP3IN)-(c_TMAP2IN)))+(c_TMAP2OUT)+IF(((c_TMAP3OUT)-(c_TMAP2OUT))&gt;=0,IF(IF(o_WRAP=1,MOD(((c_TMAP3IN)-(c_TMAP2IN))*(((A753)-(c_TMAP2IN))*((c_TMAP3OUT)-(c_TMAP2OUT))+IF(((c_TMAP3OUT)-(c_TMAP2OUT))&gt;=0,1,-1)*QUOTIENT(((c_TMAP3IN)-(c_TMAP2IN)),2))+2147483648,4294967296)-2147483648,((c_TMAP3IN)-(c_TMAP2IN))*(((A753)-(c_TMAP2IN))*((c_TMAP3OUT)-(c_TMAP2OUT))+IF(((c_TMAP3OUT)-(c_TMAP2OUT))&gt;=0,1,-1)*QUOTIENT(((c_TMAP3IN)-(c_TMAP2IN)),2)))&lt;0,-1,0),IF(IF(o_WRAP=1,MOD(((c_TMAP3IN)-(c_TMAP2IN))*(((A753)-(c_TMAP2IN))*((c_TMAP3OUT)-(c_TMAP2OUT))+IF(((c_TMAP3OUT)-(c_TMAP2OUT))&gt;=0,1,-1)*QUOTIENT(((c_TMAP3IN)-(c_TMAP2IN)),2))+2147483648,4294967296)-2147483648,((c_TMAP3IN)-(c_TMAP2IN))*(((A753)-(c_TMAP2IN))*((c_TMAP3OUT)-(c_TMAP2OUT))+IF(((c_TMAP3OUT)-(c_TMAP2OUT))&gt;=0,1,-1)*QUOTIENT(((c_TMAP3IN)-(c_TMAP2IN)),2)))&gt;=0,1,0)))</f>
        <v>479</v>
      </c>
      <c r="G753" s="7" t="n">
        <f aca="false">IF(((1000)-(c_TMAP3IN))=0,(c_TMAP3OUT)+QUOTIENT(((1000)-(c_TMAP3OUT)),2),QUOTIENT((((A753)-(c_TMAP3IN))*((1000)-(c_TMAP3OUT))+IF(((1000)-(c_TMAP3OUT))&gt;=0,1,-1)*QUOTIENT(((1000)-(c_TMAP3IN)),2)),((1000)-(c_TMAP3IN)))+(c_TMAP3OUT)+IF(((1000)-(c_TMAP3OUT))&gt;=0,IF(IF(o_WRAP=1,MOD(((1000)-(c_TMAP3IN))*(((A753)-(c_TMAP3IN))*((1000)-(c_TMAP3OUT))+IF(((1000)-(c_TMAP3OUT))&gt;=0,1,-1)*QUOTIENT(((1000)-(c_TMAP3IN)),2))+2147483648,4294967296)-2147483648,((1000)-(c_TMAP3IN))*(((A753)-(c_TMAP3IN))*((1000)-(c_TMAP3OUT))+IF(((1000)-(c_TMAP3OUT))&gt;=0,1,-1)*QUOTIENT(((1000)-(c_TMAP3IN)),2)))&lt;0,-1,0),IF(IF(o_WRAP=1,MOD(((1000)-(c_TMAP3IN))*(((A753)-(c_TMAP3IN))*((1000)-(c_TMAP3OUT))+IF(((1000)-(c_TMAP3OUT))&gt;=0,1,-1)*QUOTIENT(((1000)-(c_TMAP3IN)),2))+2147483648,4294967296)-2147483648,((1000)-(c_TMAP3IN))*(((A753)-(c_TMAP3IN))*((1000)-(c_TMAP3OUT))+IF(((1000)-(c_TMAP3OUT))&gt;=0,1,-1)*QUOTIENT(((1000)-(c_TMAP3IN)),2)))&gt;=0,1,0)))</f>
        <v>690</v>
      </c>
      <c r="H753" s="7" t="str">
        <f aca="false">IF(A753&gt;=c_TFWD,IF(AND(A753&gt;=c_TMAP3IN,c_TMAP3IN&lt;1000),"Seg4 map3-100%",IF(AND(A753&gt;=c_TMAP2IN,c_TMAP3IN&gt;c_TMAP2IN),"Seg3 map2-map3",IF(AND(A753&gt;=c_TMAP1IN,c_TMAP2IN&gt;c_TMAP1IN),"Seg2 map1-map2","Seg1 TFWD-map1"))),IF(AND(A753=0,c_TCREEP&gt;0),"Creep",IF(AND(A753&lt;=c_TRNGMIN,A753&gt;=c_TRNGMAX,c_TRNGMIN-c_TRNGMAX&lt;&gt;0),"Regen ramp","Coast (0)")))</f>
        <v>Seg4 map3-100%</v>
      </c>
      <c r="I753" s="7" t="n">
        <f aca="false">IF(A753&gt;=c_TFWD,IF(AND(A753&gt;=c_TMAP3IN,c_TMAP3IN&lt;1000),G753,IF(AND(A753&gt;=c_TMAP2IN,c_TMAP3IN&gt;c_TMAP2IN),F753,IF(AND(A753&gt;=c_TMAP1IN,c_TMAP2IN&gt;c_TMAP1IN),E753,D753))),C753)</f>
        <v>690</v>
      </c>
      <c r="J753" s="7" t="str">
        <f aca="false">IF(I753&lt;-1090,"TOO LOW",IF(I753&gt;1090,"TOO HIGH",""))</f>
        <v/>
      </c>
      <c r="K753" s="15" t="n">
        <f aca="false">IF(J753&lt;&gt;"",0,IF(I753&gt;979,1000,I753))</f>
        <v>690</v>
      </c>
      <c r="L753" s="7" t="n">
        <f aca="false">K753/10</f>
        <v>69</v>
      </c>
    </row>
    <row r="754" customFormat="false" ht="15" hidden="false" customHeight="false" outlineLevel="0" collapsed="false">
      <c r="A754" s="7" t="n">
        <v>749</v>
      </c>
      <c r="B754" s="7" t="n">
        <f aca="false">A754/10</f>
        <v>74.9</v>
      </c>
      <c r="C754" s="7" t="n">
        <f aca="false">IF(AND(A754=0,c_TCREEP&gt;0),10*c_TCREEP,IF(AND(A754&lt;=c_TRNGMIN,A754&gt;=c_TRNGMAX,c_TRNGMIN-c_TRNGMAX&lt;&gt;0),-10*c_TMINRN+QUOTIENT((c_TMAXRN-c_TMINRN)*(100-QUOTIENT((A754-c_TRNGMAX)*100,c_TRNGMIN-c_TRNGMAX)),-10),0))</f>
        <v>0</v>
      </c>
      <c r="D754" s="7" t="n">
        <f aca="false">IF(((c_TMAP1IN)-(c_TFWD))=0,(0)+QUOTIENT(((c_TMAP1OUT)-(0)),2),QUOTIENT((((A754)-(c_TFWD))*((c_TMAP1OUT)-(0))+IF(((c_TMAP1OUT)-(0))&gt;=0,1,-1)*QUOTIENT(((c_TMAP1IN)-(c_TFWD)),2)),((c_TMAP1IN)-(c_TFWD)))+(0)+IF(((c_TMAP1OUT)-(0))&gt;=0,IF(IF(o_WRAP=1,MOD(((c_TMAP1IN)-(c_TFWD))*(((A754)-(c_TFWD))*((c_TMAP1OUT)-(0))+IF(((c_TMAP1OUT)-(0))&gt;=0,1,-1)*QUOTIENT(((c_TMAP1IN)-(c_TFWD)),2))+2147483648,4294967296)-2147483648,((c_TMAP1IN)-(c_TFWD))*(((A754)-(c_TFWD))*((c_TMAP1OUT)-(0))+IF(((c_TMAP1OUT)-(0))&gt;=0,1,-1)*QUOTIENT(((c_TMAP1IN)-(c_TFWD)),2)))&lt;0,-1,0),IF(IF(o_WRAP=1,MOD(((c_TMAP1IN)-(c_TFWD))*(((A754)-(c_TFWD))*((c_TMAP1OUT)-(0))+IF(((c_TMAP1OUT)-(0))&gt;=0,1,-1)*QUOTIENT(((c_TMAP1IN)-(c_TFWD)),2))+2147483648,4294967296)-2147483648,((c_TMAP1IN)-(c_TFWD))*(((A754)-(c_TFWD))*((c_TMAP1OUT)-(0))+IF(((c_TMAP1OUT)-(0))&gt;=0,1,-1)*QUOTIENT(((c_TMAP1IN)-(c_TFWD)),2)))&gt;=0,1,0)))</f>
        <v>575</v>
      </c>
      <c r="E754" s="7" t="n">
        <f aca="false">IF(((c_TMAP2IN)-(c_TMAP1IN))=0,(c_TMAP1OUT)+QUOTIENT(((c_TMAP2OUT)-(c_TMAP1OUT)),2),QUOTIENT((((A754)-(c_TMAP1IN))*((c_TMAP2OUT)-(c_TMAP1OUT))+IF(((c_TMAP2OUT)-(c_TMAP1OUT))&gt;=0,1,-1)*QUOTIENT(((c_TMAP2IN)-(c_TMAP1IN)),2)),((c_TMAP2IN)-(c_TMAP1IN)))+(c_TMAP1OUT)+IF(((c_TMAP2OUT)-(c_TMAP1OUT))&gt;=0,IF(IF(o_WRAP=1,MOD(((c_TMAP2IN)-(c_TMAP1IN))*(((A754)-(c_TMAP1IN))*((c_TMAP2OUT)-(c_TMAP1OUT))+IF(((c_TMAP2OUT)-(c_TMAP1OUT))&gt;=0,1,-1)*QUOTIENT(((c_TMAP2IN)-(c_TMAP1IN)),2))+2147483648,4294967296)-2147483648,((c_TMAP2IN)-(c_TMAP1IN))*(((A754)-(c_TMAP1IN))*((c_TMAP2OUT)-(c_TMAP1OUT))+IF(((c_TMAP2OUT)-(c_TMAP1OUT))&gt;=0,1,-1)*QUOTIENT(((c_TMAP2IN)-(c_TMAP1IN)),2)))&lt;0,-1,0),IF(IF(o_WRAP=1,MOD(((c_TMAP2IN)-(c_TMAP1IN))*(((A754)-(c_TMAP1IN))*((c_TMAP2OUT)-(c_TMAP1OUT))+IF(((c_TMAP2OUT)-(c_TMAP1OUT))&gt;=0,1,-1)*QUOTIENT(((c_TMAP2IN)-(c_TMAP1IN)),2))+2147483648,4294967296)-2147483648,((c_TMAP2IN)-(c_TMAP1IN))*(((A754)-(c_TMAP1IN))*((c_TMAP2OUT)-(c_TMAP1OUT))+IF(((c_TMAP2OUT)-(c_TMAP1OUT))&gt;=0,1,-1)*QUOTIENT(((c_TMAP2IN)-(c_TMAP1IN)),2)))&gt;=0,1,0)))</f>
        <v>330</v>
      </c>
      <c r="F754" s="7" t="n">
        <f aca="false">IF(((c_TMAP3IN)-(c_TMAP2IN))=0,(c_TMAP2OUT)+QUOTIENT(((c_TMAP3OUT)-(c_TMAP2OUT)),2),QUOTIENT((((A754)-(c_TMAP2IN))*((c_TMAP3OUT)-(c_TMAP2OUT))+IF(((c_TMAP3OUT)-(c_TMAP2OUT))&gt;=0,1,-1)*QUOTIENT(((c_TMAP3IN)-(c_TMAP2IN)),2)),((c_TMAP3IN)-(c_TMAP2IN)))+(c_TMAP2OUT)+IF(((c_TMAP3OUT)-(c_TMAP2OUT))&gt;=0,IF(IF(o_WRAP=1,MOD(((c_TMAP3IN)-(c_TMAP2IN))*(((A754)-(c_TMAP2IN))*((c_TMAP3OUT)-(c_TMAP2OUT))+IF(((c_TMAP3OUT)-(c_TMAP2OUT))&gt;=0,1,-1)*QUOTIENT(((c_TMAP3IN)-(c_TMAP2IN)),2))+2147483648,4294967296)-2147483648,((c_TMAP3IN)-(c_TMAP2IN))*(((A754)-(c_TMAP2IN))*((c_TMAP3OUT)-(c_TMAP2OUT))+IF(((c_TMAP3OUT)-(c_TMAP2OUT))&gt;=0,1,-1)*QUOTIENT(((c_TMAP3IN)-(c_TMAP2IN)),2)))&lt;0,-1,0),IF(IF(o_WRAP=1,MOD(((c_TMAP3IN)-(c_TMAP2IN))*(((A754)-(c_TMAP2IN))*((c_TMAP3OUT)-(c_TMAP2OUT))+IF(((c_TMAP3OUT)-(c_TMAP2OUT))&gt;=0,1,-1)*QUOTIENT(((c_TMAP3IN)-(c_TMAP2IN)),2))+2147483648,4294967296)-2147483648,((c_TMAP3IN)-(c_TMAP2IN))*(((A754)-(c_TMAP2IN))*((c_TMAP3OUT)-(c_TMAP2OUT))+IF(((c_TMAP3OUT)-(c_TMAP2OUT))&gt;=0,1,-1)*QUOTIENT(((c_TMAP3IN)-(c_TMAP2IN)),2)))&gt;=0,1,0)))</f>
        <v>479</v>
      </c>
      <c r="G754" s="7" t="n">
        <f aca="false">IF(((1000)-(c_TMAP3IN))=0,(c_TMAP3OUT)+QUOTIENT(((1000)-(c_TMAP3OUT)),2),QUOTIENT((((A754)-(c_TMAP3IN))*((1000)-(c_TMAP3OUT))+IF(((1000)-(c_TMAP3OUT))&gt;=0,1,-1)*QUOTIENT(((1000)-(c_TMAP3IN)),2)),((1000)-(c_TMAP3IN)))+(c_TMAP3OUT)+IF(((1000)-(c_TMAP3OUT))&gt;=0,IF(IF(o_WRAP=1,MOD(((1000)-(c_TMAP3IN))*(((A754)-(c_TMAP3IN))*((1000)-(c_TMAP3OUT))+IF(((1000)-(c_TMAP3OUT))&gt;=0,1,-1)*QUOTIENT(((1000)-(c_TMAP3IN)),2))+2147483648,4294967296)-2147483648,((1000)-(c_TMAP3IN))*(((A754)-(c_TMAP3IN))*((1000)-(c_TMAP3OUT))+IF(((1000)-(c_TMAP3OUT))&gt;=0,1,-1)*QUOTIENT(((1000)-(c_TMAP3IN)),2)))&lt;0,-1,0),IF(IF(o_WRAP=1,MOD(((1000)-(c_TMAP3IN))*(((A754)-(c_TMAP3IN))*((1000)-(c_TMAP3OUT))+IF(((1000)-(c_TMAP3OUT))&gt;=0,1,-1)*QUOTIENT(((1000)-(c_TMAP3IN)),2))+2147483648,4294967296)-2147483648,((1000)-(c_TMAP3IN))*(((A754)-(c_TMAP3IN))*((1000)-(c_TMAP3OUT))+IF(((1000)-(c_TMAP3OUT))&gt;=0,1,-1)*QUOTIENT(((1000)-(c_TMAP3IN)),2)))&gt;=0,1,0)))</f>
        <v>691</v>
      </c>
      <c r="H754" s="7" t="str">
        <f aca="false">IF(A754&gt;=c_TFWD,IF(AND(A754&gt;=c_TMAP3IN,c_TMAP3IN&lt;1000),"Seg4 map3-100%",IF(AND(A754&gt;=c_TMAP2IN,c_TMAP3IN&gt;c_TMAP2IN),"Seg3 map2-map3",IF(AND(A754&gt;=c_TMAP1IN,c_TMAP2IN&gt;c_TMAP1IN),"Seg2 map1-map2","Seg1 TFWD-map1"))),IF(AND(A754=0,c_TCREEP&gt;0),"Creep",IF(AND(A754&lt;=c_TRNGMIN,A754&gt;=c_TRNGMAX,c_TRNGMIN-c_TRNGMAX&lt;&gt;0),"Regen ramp","Coast (0)")))</f>
        <v>Seg4 map3-100%</v>
      </c>
      <c r="I754" s="7" t="n">
        <f aca="false">IF(A754&gt;=c_TFWD,IF(AND(A754&gt;=c_TMAP3IN,c_TMAP3IN&lt;1000),G754,IF(AND(A754&gt;=c_TMAP2IN,c_TMAP3IN&gt;c_TMAP2IN),F754,IF(AND(A754&gt;=c_TMAP1IN,c_TMAP2IN&gt;c_TMAP1IN),E754,D754))),C754)</f>
        <v>691</v>
      </c>
      <c r="J754" s="7" t="str">
        <f aca="false">IF(I754&lt;-1090,"TOO LOW",IF(I754&gt;1090,"TOO HIGH",""))</f>
        <v/>
      </c>
      <c r="K754" s="15" t="n">
        <f aca="false">IF(J754&lt;&gt;"",0,IF(I754&gt;979,1000,I754))</f>
        <v>691</v>
      </c>
      <c r="L754" s="7" t="n">
        <f aca="false">K754/10</f>
        <v>69.1</v>
      </c>
    </row>
    <row r="755" customFormat="false" ht="15" hidden="false" customHeight="false" outlineLevel="0" collapsed="false">
      <c r="A755" s="7" t="n">
        <v>750</v>
      </c>
      <c r="B755" s="7" t="n">
        <f aca="false">A755/10</f>
        <v>75</v>
      </c>
      <c r="C755" s="7" t="n">
        <f aca="false">IF(AND(A755=0,c_TCREEP&gt;0),10*c_TCREEP,IF(AND(A755&lt;=c_TRNGMIN,A755&gt;=c_TRNGMAX,c_TRNGMIN-c_TRNGMAX&lt;&gt;0),-10*c_TMINRN+QUOTIENT((c_TMAXRN-c_TMINRN)*(100-QUOTIENT((A755-c_TRNGMAX)*100,c_TRNGMIN-c_TRNGMAX)),-10),0))</f>
        <v>0</v>
      </c>
      <c r="D755" s="7" t="n">
        <f aca="false">IF(((c_TMAP1IN)-(c_TFWD))=0,(0)+QUOTIENT(((c_TMAP1OUT)-(0)),2),QUOTIENT((((A755)-(c_TFWD))*((c_TMAP1OUT)-(0))+IF(((c_TMAP1OUT)-(0))&gt;=0,1,-1)*QUOTIENT(((c_TMAP1IN)-(c_TFWD)),2)),((c_TMAP1IN)-(c_TFWD)))+(0)+IF(((c_TMAP1OUT)-(0))&gt;=0,IF(IF(o_WRAP=1,MOD(((c_TMAP1IN)-(c_TFWD))*(((A755)-(c_TFWD))*((c_TMAP1OUT)-(0))+IF(((c_TMAP1OUT)-(0))&gt;=0,1,-1)*QUOTIENT(((c_TMAP1IN)-(c_TFWD)),2))+2147483648,4294967296)-2147483648,((c_TMAP1IN)-(c_TFWD))*(((A755)-(c_TFWD))*((c_TMAP1OUT)-(0))+IF(((c_TMAP1OUT)-(0))&gt;=0,1,-1)*QUOTIENT(((c_TMAP1IN)-(c_TFWD)),2)))&lt;0,-1,0),IF(IF(o_WRAP=1,MOD(((c_TMAP1IN)-(c_TFWD))*(((A755)-(c_TFWD))*((c_TMAP1OUT)-(0))+IF(((c_TMAP1OUT)-(0))&gt;=0,1,-1)*QUOTIENT(((c_TMAP1IN)-(c_TFWD)),2))+2147483648,4294967296)-2147483648,((c_TMAP1IN)-(c_TFWD))*(((A755)-(c_TFWD))*((c_TMAP1OUT)-(0))+IF(((c_TMAP1OUT)-(0))&gt;=0,1,-1)*QUOTIENT(((c_TMAP1IN)-(c_TFWD)),2)))&gt;=0,1,0)))</f>
        <v>576</v>
      </c>
      <c r="E755" s="7" t="n">
        <f aca="false">IF(((c_TMAP2IN)-(c_TMAP1IN))=0,(c_TMAP1OUT)+QUOTIENT(((c_TMAP2OUT)-(c_TMAP1OUT)),2),QUOTIENT((((A755)-(c_TMAP1IN))*((c_TMAP2OUT)-(c_TMAP1OUT))+IF(((c_TMAP2OUT)-(c_TMAP1OUT))&gt;=0,1,-1)*QUOTIENT(((c_TMAP2IN)-(c_TMAP1IN)),2)),((c_TMAP2IN)-(c_TMAP1IN)))+(c_TMAP1OUT)+IF(((c_TMAP2OUT)-(c_TMAP1OUT))&gt;=0,IF(IF(o_WRAP=1,MOD(((c_TMAP2IN)-(c_TMAP1IN))*(((A755)-(c_TMAP1IN))*((c_TMAP2OUT)-(c_TMAP1OUT))+IF(((c_TMAP2OUT)-(c_TMAP1OUT))&gt;=0,1,-1)*QUOTIENT(((c_TMAP2IN)-(c_TMAP1IN)),2))+2147483648,4294967296)-2147483648,((c_TMAP2IN)-(c_TMAP1IN))*(((A755)-(c_TMAP1IN))*((c_TMAP2OUT)-(c_TMAP1OUT))+IF(((c_TMAP2OUT)-(c_TMAP1OUT))&gt;=0,1,-1)*QUOTIENT(((c_TMAP2IN)-(c_TMAP1IN)),2)))&lt;0,-1,0),IF(IF(o_WRAP=1,MOD(((c_TMAP2IN)-(c_TMAP1IN))*(((A755)-(c_TMAP1IN))*((c_TMAP2OUT)-(c_TMAP1OUT))+IF(((c_TMAP2OUT)-(c_TMAP1OUT))&gt;=0,1,-1)*QUOTIENT(((c_TMAP2IN)-(c_TMAP1IN)),2))+2147483648,4294967296)-2147483648,((c_TMAP2IN)-(c_TMAP1IN))*(((A755)-(c_TMAP1IN))*((c_TMAP2OUT)-(c_TMAP1OUT))+IF(((c_TMAP2OUT)-(c_TMAP1OUT))&gt;=0,1,-1)*QUOTIENT(((c_TMAP2IN)-(c_TMAP1IN)),2)))&gt;=0,1,0)))</f>
        <v>330</v>
      </c>
      <c r="F755" s="7" t="n">
        <f aca="false">IF(((c_TMAP3IN)-(c_TMAP2IN))=0,(c_TMAP2OUT)+QUOTIENT(((c_TMAP3OUT)-(c_TMAP2OUT)),2),QUOTIENT((((A755)-(c_TMAP2IN))*((c_TMAP3OUT)-(c_TMAP2OUT))+IF(((c_TMAP3OUT)-(c_TMAP2OUT))&gt;=0,1,-1)*QUOTIENT(((c_TMAP3IN)-(c_TMAP2IN)),2)),((c_TMAP3IN)-(c_TMAP2IN)))+(c_TMAP2OUT)+IF(((c_TMAP3OUT)-(c_TMAP2OUT))&gt;=0,IF(IF(o_WRAP=1,MOD(((c_TMAP3IN)-(c_TMAP2IN))*(((A755)-(c_TMAP2IN))*((c_TMAP3OUT)-(c_TMAP2OUT))+IF(((c_TMAP3OUT)-(c_TMAP2OUT))&gt;=0,1,-1)*QUOTIENT(((c_TMAP3IN)-(c_TMAP2IN)),2))+2147483648,4294967296)-2147483648,((c_TMAP3IN)-(c_TMAP2IN))*(((A755)-(c_TMAP2IN))*((c_TMAP3OUT)-(c_TMAP2OUT))+IF(((c_TMAP3OUT)-(c_TMAP2OUT))&gt;=0,1,-1)*QUOTIENT(((c_TMAP3IN)-(c_TMAP2IN)),2)))&lt;0,-1,0),IF(IF(o_WRAP=1,MOD(((c_TMAP3IN)-(c_TMAP2IN))*(((A755)-(c_TMAP2IN))*((c_TMAP3OUT)-(c_TMAP2OUT))+IF(((c_TMAP3OUT)-(c_TMAP2OUT))&gt;=0,1,-1)*QUOTIENT(((c_TMAP3IN)-(c_TMAP2IN)),2))+2147483648,4294967296)-2147483648,((c_TMAP3IN)-(c_TMAP2IN))*(((A755)-(c_TMAP2IN))*((c_TMAP3OUT)-(c_TMAP2OUT))+IF(((c_TMAP3OUT)-(c_TMAP2OUT))&gt;=0,1,-1)*QUOTIENT(((c_TMAP3IN)-(c_TMAP2IN)),2)))&gt;=0,1,0)))</f>
        <v>480</v>
      </c>
      <c r="G755" s="7" t="n">
        <f aca="false">IF(((1000)-(c_TMAP3IN))=0,(c_TMAP3OUT)+QUOTIENT(((1000)-(c_TMAP3OUT)),2),QUOTIENT((((A755)-(c_TMAP3IN))*((1000)-(c_TMAP3OUT))+IF(((1000)-(c_TMAP3OUT))&gt;=0,1,-1)*QUOTIENT(((1000)-(c_TMAP3IN)),2)),((1000)-(c_TMAP3IN)))+(c_TMAP3OUT)+IF(((1000)-(c_TMAP3OUT))&gt;=0,IF(IF(o_WRAP=1,MOD(((1000)-(c_TMAP3IN))*(((A755)-(c_TMAP3IN))*((1000)-(c_TMAP3OUT))+IF(((1000)-(c_TMAP3OUT))&gt;=0,1,-1)*QUOTIENT(((1000)-(c_TMAP3IN)),2))+2147483648,4294967296)-2147483648,((1000)-(c_TMAP3IN))*(((A755)-(c_TMAP3IN))*((1000)-(c_TMAP3OUT))+IF(((1000)-(c_TMAP3OUT))&gt;=0,1,-1)*QUOTIENT(((1000)-(c_TMAP3IN)),2)))&lt;0,-1,0),IF(IF(o_WRAP=1,MOD(((1000)-(c_TMAP3IN))*(((A755)-(c_TMAP3IN))*((1000)-(c_TMAP3OUT))+IF(((1000)-(c_TMAP3OUT))&gt;=0,1,-1)*QUOTIENT(((1000)-(c_TMAP3IN)),2))+2147483648,4294967296)-2147483648,((1000)-(c_TMAP3IN))*(((A755)-(c_TMAP3IN))*((1000)-(c_TMAP3OUT))+IF(((1000)-(c_TMAP3OUT))&gt;=0,1,-1)*QUOTIENT(((1000)-(c_TMAP3IN)),2)))&gt;=0,1,0)))</f>
        <v>692</v>
      </c>
      <c r="H755" s="7" t="str">
        <f aca="false">IF(A755&gt;=c_TFWD,IF(AND(A755&gt;=c_TMAP3IN,c_TMAP3IN&lt;1000),"Seg4 map3-100%",IF(AND(A755&gt;=c_TMAP2IN,c_TMAP3IN&gt;c_TMAP2IN),"Seg3 map2-map3",IF(AND(A755&gt;=c_TMAP1IN,c_TMAP2IN&gt;c_TMAP1IN),"Seg2 map1-map2","Seg1 TFWD-map1"))),IF(AND(A755=0,c_TCREEP&gt;0),"Creep",IF(AND(A755&lt;=c_TRNGMIN,A755&gt;=c_TRNGMAX,c_TRNGMIN-c_TRNGMAX&lt;&gt;0),"Regen ramp","Coast (0)")))</f>
        <v>Seg4 map3-100%</v>
      </c>
      <c r="I755" s="7" t="n">
        <f aca="false">IF(A755&gt;=c_TFWD,IF(AND(A755&gt;=c_TMAP3IN,c_TMAP3IN&lt;1000),G755,IF(AND(A755&gt;=c_TMAP2IN,c_TMAP3IN&gt;c_TMAP2IN),F755,IF(AND(A755&gt;=c_TMAP1IN,c_TMAP2IN&gt;c_TMAP1IN),E755,D755))),C755)</f>
        <v>692</v>
      </c>
      <c r="J755" s="7" t="str">
        <f aca="false">IF(I755&lt;-1090,"TOO LOW",IF(I755&gt;1090,"TOO HIGH",""))</f>
        <v/>
      </c>
      <c r="K755" s="15" t="n">
        <f aca="false">IF(J755&lt;&gt;"",0,IF(I755&gt;979,1000,I755))</f>
        <v>692</v>
      </c>
      <c r="L755" s="7" t="n">
        <f aca="false">K755/10</f>
        <v>69.2</v>
      </c>
    </row>
    <row r="756" customFormat="false" ht="15" hidden="false" customHeight="false" outlineLevel="0" collapsed="false">
      <c r="A756" s="7" t="n">
        <v>751</v>
      </c>
      <c r="B756" s="7" t="n">
        <f aca="false">A756/10</f>
        <v>75.1</v>
      </c>
      <c r="C756" s="7" t="n">
        <f aca="false">IF(AND(A756=0,c_TCREEP&gt;0),10*c_TCREEP,IF(AND(A756&lt;=c_TRNGMIN,A756&gt;=c_TRNGMAX,c_TRNGMIN-c_TRNGMAX&lt;&gt;0),-10*c_TMINRN+QUOTIENT((c_TMAXRN-c_TMINRN)*(100-QUOTIENT((A756-c_TRNGMAX)*100,c_TRNGMIN-c_TRNGMAX)),-10),0))</f>
        <v>0</v>
      </c>
      <c r="D756" s="7" t="n">
        <f aca="false">IF(((c_TMAP1IN)-(c_TFWD))=0,(0)+QUOTIENT(((c_TMAP1OUT)-(0)),2),QUOTIENT((((A756)-(c_TFWD))*((c_TMAP1OUT)-(0))+IF(((c_TMAP1OUT)-(0))&gt;=0,1,-1)*QUOTIENT(((c_TMAP1IN)-(c_TFWD)),2)),((c_TMAP1IN)-(c_TFWD)))+(0)+IF(((c_TMAP1OUT)-(0))&gt;=0,IF(IF(o_WRAP=1,MOD(((c_TMAP1IN)-(c_TFWD))*(((A756)-(c_TFWD))*((c_TMAP1OUT)-(0))+IF(((c_TMAP1OUT)-(0))&gt;=0,1,-1)*QUOTIENT(((c_TMAP1IN)-(c_TFWD)),2))+2147483648,4294967296)-2147483648,((c_TMAP1IN)-(c_TFWD))*(((A756)-(c_TFWD))*((c_TMAP1OUT)-(0))+IF(((c_TMAP1OUT)-(0))&gt;=0,1,-1)*QUOTIENT(((c_TMAP1IN)-(c_TFWD)),2)))&lt;0,-1,0),IF(IF(o_WRAP=1,MOD(((c_TMAP1IN)-(c_TFWD))*(((A756)-(c_TFWD))*((c_TMAP1OUT)-(0))+IF(((c_TMAP1OUT)-(0))&gt;=0,1,-1)*QUOTIENT(((c_TMAP1IN)-(c_TFWD)),2))+2147483648,4294967296)-2147483648,((c_TMAP1IN)-(c_TFWD))*(((A756)-(c_TFWD))*((c_TMAP1OUT)-(0))+IF(((c_TMAP1OUT)-(0))&gt;=0,1,-1)*QUOTIENT(((c_TMAP1IN)-(c_TFWD)),2)))&gt;=0,1,0)))</f>
        <v>576</v>
      </c>
      <c r="E756" s="7" t="n">
        <f aca="false">IF(((c_TMAP2IN)-(c_TMAP1IN))=0,(c_TMAP1OUT)+QUOTIENT(((c_TMAP2OUT)-(c_TMAP1OUT)),2),QUOTIENT((((A756)-(c_TMAP1IN))*((c_TMAP2OUT)-(c_TMAP1OUT))+IF(((c_TMAP2OUT)-(c_TMAP1OUT))&gt;=0,1,-1)*QUOTIENT(((c_TMAP2IN)-(c_TMAP1IN)),2)),((c_TMAP2IN)-(c_TMAP1IN)))+(c_TMAP1OUT)+IF(((c_TMAP2OUT)-(c_TMAP1OUT))&gt;=0,IF(IF(o_WRAP=1,MOD(((c_TMAP2IN)-(c_TMAP1IN))*(((A756)-(c_TMAP1IN))*((c_TMAP2OUT)-(c_TMAP1OUT))+IF(((c_TMAP2OUT)-(c_TMAP1OUT))&gt;=0,1,-1)*QUOTIENT(((c_TMAP2IN)-(c_TMAP1IN)),2))+2147483648,4294967296)-2147483648,((c_TMAP2IN)-(c_TMAP1IN))*(((A756)-(c_TMAP1IN))*((c_TMAP2OUT)-(c_TMAP1OUT))+IF(((c_TMAP2OUT)-(c_TMAP1OUT))&gt;=0,1,-1)*QUOTIENT(((c_TMAP2IN)-(c_TMAP1IN)),2)))&lt;0,-1,0),IF(IF(o_WRAP=1,MOD(((c_TMAP2IN)-(c_TMAP1IN))*(((A756)-(c_TMAP1IN))*((c_TMAP2OUT)-(c_TMAP1OUT))+IF(((c_TMAP2OUT)-(c_TMAP1OUT))&gt;=0,1,-1)*QUOTIENT(((c_TMAP2IN)-(c_TMAP1IN)),2))+2147483648,4294967296)-2147483648,((c_TMAP2IN)-(c_TMAP1IN))*(((A756)-(c_TMAP1IN))*((c_TMAP2OUT)-(c_TMAP1OUT))+IF(((c_TMAP2OUT)-(c_TMAP1OUT))&gt;=0,1,-1)*QUOTIENT(((c_TMAP2IN)-(c_TMAP1IN)),2)))&gt;=0,1,0)))</f>
        <v>330</v>
      </c>
      <c r="F756" s="7" t="n">
        <f aca="false">IF(((c_TMAP3IN)-(c_TMAP2IN))=0,(c_TMAP2OUT)+QUOTIENT(((c_TMAP3OUT)-(c_TMAP2OUT)),2),QUOTIENT((((A756)-(c_TMAP2IN))*((c_TMAP3OUT)-(c_TMAP2OUT))+IF(((c_TMAP3OUT)-(c_TMAP2OUT))&gt;=0,1,-1)*QUOTIENT(((c_TMAP3IN)-(c_TMAP2IN)),2)),((c_TMAP3IN)-(c_TMAP2IN)))+(c_TMAP2OUT)+IF(((c_TMAP3OUT)-(c_TMAP2OUT))&gt;=0,IF(IF(o_WRAP=1,MOD(((c_TMAP3IN)-(c_TMAP2IN))*(((A756)-(c_TMAP2IN))*((c_TMAP3OUT)-(c_TMAP2OUT))+IF(((c_TMAP3OUT)-(c_TMAP2OUT))&gt;=0,1,-1)*QUOTIENT(((c_TMAP3IN)-(c_TMAP2IN)),2))+2147483648,4294967296)-2147483648,((c_TMAP3IN)-(c_TMAP2IN))*(((A756)-(c_TMAP2IN))*((c_TMAP3OUT)-(c_TMAP2OUT))+IF(((c_TMAP3OUT)-(c_TMAP2OUT))&gt;=0,1,-1)*QUOTIENT(((c_TMAP3IN)-(c_TMAP2IN)),2)))&lt;0,-1,0),IF(IF(o_WRAP=1,MOD(((c_TMAP3IN)-(c_TMAP2IN))*(((A756)-(c_TMAP2IN))*((c_TMAP3OUT)-(c_TMAP2OUT))+IF(((c_TMAP3OUT)-(c_TMAP2OUT))&gt;=0,1,-1)*QUOTIENT(((c_TMAP3IN)-(c_TMAP2IN)),2))+2147483648,4294967296)-2147483648,((c_TMAP3IN)-(c_TMAP2IN))*(((A756)-(c_TMAP2IN))*((c_TMAP3OUT)-(c_TMAP2OUT))+IF(((c_TMAP3OUT)-(c_TMAP2OUT))&gt;=0,1,-1)*QUOTIENT(((c_TMAP3IN)-(c_TMAP2IN)),2)))&gt;=0,1,0)))</f>
        <v>481</v>
      </c>
      <c r="G756" s="7" t="n">
        <f aca="false">IF(((1000)-(c_TMAP3IN))=0,(c_TMAP3OUT)+QUOTIENT(((1000)-(c_TMAP3OUT)),2),QUOTIENT((((A756)-(c_TMAP3IN))*((1000)-(c_TMAP3OUT))+IF(((1000)-(c_TMAP3OUT))&gt;=0,1,-1)*QUOTIENT(((1000)-(c_TMAP3IN)),2)),((1000)-(c_TMAP3IN)))+(c_TMAP3OUT)+IF(((1000)-(c_TMAP3OUT))&gt;=0,IF(IF(o_WRAP=1,MOD(((1000)-(c_TMAP3IN))*(((A756)-(c_TMAP3IN))*((1000)-(c_TMAP3OUT))+IF(((1000)-(c_TMAP3OUT))&gt;=0,1,-1)*QUOTIENT(((1000)-(c_TMAP3IN)),2))+2147483648,4294967296)-2147483648,((1000)-(c_TMAP3IN))*(((A756)-(c_TMAP3IN))*((1000)-(c_TMAP3OUT))+IF(((1000)-(c_TMAP3OUT))&gt;=0,1,-1)*QUOTIENT(((1000)-(c_TMAP3IN)),2)))&lt;0,-1,0),IF(IF(o_WRAP=1,MOD(((1000)-(c_TMAP3IN))*(((A756)-(c_TMAP3IN))*((1000)-(c_TMAP3OUT))+IF(((1000)-(c_TMAP3OUT))&gt;=0,1,-1)*QUOTIENT(((1000)-(c_TMAP3IN)),2))+2147483648,4294967296)-2147483648,((1000)-(c_TMAP3IN))*(((A756)-(c_TMAP3IN))*((1000)-(c_TMAP3OUT))+IF(((1000)-(c_TMAP3OUT))&gt;=0,1,-1)*QUOTIENT(((1000)-(c_TMAP3IN)),2)))&gt;=0,1,0)))</f>
        <v>694</v>
      </c>
      <c r="H756" s="7" t="str">
        <f aca="false">IF(A756&gt;=c_TFWD,IF(AND(A756&gt;=c_TMAP3IN,c_TMAP3IN&lt;1000),"Seg4 map3-100%",IF(AND(A756&gt;=c_TMAP2IN,c_TMAP3IN&gt;c_TMAP2IN),"Seg3 map2-map3",IF(AND(A756&gt;=c_TMAP1IN,c_TMAP2IN&gt;c_TMAP1IN),"Seg2 map1-map2","Seg1 TFWD-map1"))),IF(AND(A756=0,c_TCREEP&gt;0),"Creep",IF(AND(A756&lt;=c_TRNGMIN,A756&gt;=c_TRNGMAX,c_TRNGMIN-c_TRNGMAX&lt;&gt;0),"Regen ramp","Coast (0)")))</f>
        <v>Seg4 map3-100%</v>
      </c>
      <c r="I756" s="7" t="n">
        <f aca="false">IF(A756&gt;=c_TFWD,IF(AND(A756&gt;=c_TMAP3IN,c_TMAP3IN&lt;1000),G756,IF(AND(A756&gt;=c_TMAP2IN,c_TMAP3IN&gt;c_TMAP2IN),F756,IF(AND(A756&gt;=c_TMAP1IN,c_TMAP2IN&gt;c_TMAP1IN),E756,D756))),C756)</f>
        <v>694</v>
      </c>
      <c r="J756" s="7" t="str">
        <f aca="false">IF(I756&lt;-1090,"TOO LOW",IF(I756&gt;1090,"TOO HIGH",""))</f>
        <v/>
      </c>
      <c r="K756" s="15" t="n">
        <f aca="false">IF(J756&lt;&gt;"",0,IF(I756&gt;979,1000,I756))</f>
        <v>694</v>
      </c>
      <c r="L756" s="7" t="n">
        <f aca="false">K756/10</f>
        <v>69.4</v>
      </c>
    </row>
    <row r="757" customFormat="false" ht="15" hidden="false" customHeight="false" outlineLevel="0" collapsed="false">
      <c r="A757" s="7" t="n">
        <v>752</v>
      </c>
      <c r="B757" s="7" t="n">
        <f aca="false">A757/10</f>
        <v>75.2</v>
      </c>
      <c r="C757" s="7" t="n">
        <f aca="false">IF(AND(A757=0,c_TCREEP&gt;0),10*c_TCREEP,IF(AND(A757&lt;=c_TRNGMIN,A757&gt;=c_TRNGMAX,c_TRNGMIN-c_TRNGMAX&lt;&gt;0),-10*c_TMINRN+QUOTIENT((c_TMAXRN-c_TMINRN)*(100-QUOTIENT((A757-c_TRNGMAX)*100,c_TRNGMIN-c_TRNGMAX)),-10),0))</f>
        <v>0</v>
      </c>
      <c r="D757" s="7" t="n">
        <f aca="false">IF(((c_TMAP1IN)-(c_TFWD))=0,(0)+QUOTIENT(((c_TMAP1OUT)-(0)),2),QUOTIENT((((A757)-(c_TFWD))*((c_TMAP1OUT)-(0))+IF(((c_TMAP1OUT)-(0))&gt;=0,1,-1)*QUOTIENT(((c_TMAP1IN)-(c_TFWD)),2)),((c_TMAP1IN)-(c_TFWD)))+(0)+IF(((c_TMAP1OUT)-(0))&gt;=0,IF(IF(o_WRAP=1,MOD(((c_TMAP1IN)-(c_TFWD))*(((A757)-(c_TFWD))*((c_TMAP1OUT)-(0))+IF(((c_TMAP1OUT)-(0))&gt;=0,1,-1)*QUOTIENT(((c_TMAP1IN)-(c_TFWD)),2))+2147483648,4294967296)-2147483648,((c_TMAP1IN)-(c_TFWD))*(((A757)-(c_TFWD))*((c_TMAP1OUT)-(0))+IF(((c_TMAP1OUT)-(0))&gt;=0,1,-1)*QUOTIENT(((c_TMAP1IN)-(c_TFWD)),2)))&lt;0,-1,0),IF(IF(o_WRAP=1,MOD(((c_TMAP1IN)-(c_TFWD))*(((A757)-(c_TFWD))*((c_TMAP1OUT)-(0))+IF(((c_TMAP1OUT)-(0))&gt;=0,1,-1)*QUOTIENT(((c_TMAP1IN)-(c_TFWD)),2))+2147483648,4294967296)-2147483648,((c_TMAP1IN)-(c_TFWD))*(((A757)-(c_TFWD))*((c_TMAP1OUT)-(0))+IF(((c_TMAP1OUT)-(0))&gt;=0,1,-1)*QUOTIENT(((c_TMAP1IN)-(c_TFWD)),2)))&gt;=0,1,0)))</f>
        <v>577</v>
      </c>
      <c r="E757" s="7" t="n">
        <f aca="false">IF(((c_TMAP2IN)-(c_TMAP1IN))=0,(c_TMAP1OUT)+QUOTIENT(((c_TMAP2OUT)-(c_TMAP1OUT)),2),QUOTIENT((((A757)-(c_TMAP1IN))*((c_TMAP2OUT)-(c_TMAP1OUT))+IF(((c_TMAP2OUT)-(c_TMAP1OUT))&gt;=0,1,-1)*QUOTIENT(((c_TMAP2IN)-(c_TMAP1IN)),2)),((c_TMAP2IN)-(c_TMAP1IN)))+(c_TMAP1OUT)+IF(((c_TMAP2OUT)-(c_TMAP1OUT))&gt;=0,IF(IF(o_WRAP=1,MOD(((c_TMAP2IN)-(c_TMAP1IN))*(((A757)-(c_TMAP1IN))*((c_TMAP2OUT)-(c_TMAP1OUT))+IF(((c_TMAP2OUT)-(c_TMAP1OUT))&gt;=0,1,-1)*QUOTIENT(((c_TMAP2IN)-(c_TMAP1IN)),2))+2147483648,4294967296)-2147483648,((c_TMAP2IN)-(c_TMAP1IN))*(((A757)-(c_TMAP1IN))*((c_TMAP2OUT)-(c_TMAP1OUT))+IF(((c_TMAP2OUT)-(c_TMAP1OUT))&gt;=0,1,-1)*QUOTIENT(((c_TMAP2IN)-(c_TMAP1IN)),2)))&lt;0,-1,0),IF(IF(o_WRAP=1,MOD(((c_TMAP2IN)-(c_TMAP1IN))*(((A757)-(c_TMAP1IN))*((c_TMAP2OUT)-(c_TMAP1OUT))+IF(((c_TMAP2OUT)-(c_TMAP1OUT))&gt;=0,1,-1)*QUOTIENT(((c_TMAP2IN)-(c_TMAP1IN)),2))+2147483648,4294967296)-2147483648,((c_TMAP2IN)-(c_TMAP1IN))*(((A757)-(c_TMAP1IN))*((c_TMAP2OUT)-(c_TMAP1OUT))+IF(((c_TMAP2OUT)-(c_TMAP1OUT))&gt;=0,1,-1)*QUOTIENT(((c_TMAP2IN)-(c_TMAP1IN)),2)))&gt;=0,1,0)))</f>
        <v>331</v>
      </c>
      <c r="F757" s="7" t="n">
        <f aca="false">IF(((c_TMAP3IN)-(c_TMAP2IN))=0,(c_TMAP2OUT)+QUOTIENT(((c_TMAP3OUT)-(c_TMAP2OUT)),2),QUOTIENT((((A757)-(c_TMAP2IN))*((c_TMAP3OUT)-(c_TMAP2OUT))+IF(((c_TMAP3OUT)-(c_TMAP2OUT))&gt;=0,1,-1)*QUOTIENT(((c_TMAP3IN)-(c_TMAP2IN)),2)),((c_TMAP3IN)-(c_TMAP2IN)))+(c_TMAP2OUT)+IF(((c_TMAP3OUT)-(c_TMAP2OUT))&gt;=0,IF(IF(o_WRAP=1,MOD(((c_TMAP3IN)-(c_TMAP2IN))*(((A757)-(c_TMAP2IN))*((c_TMAP3OUT)-(c_TMAP2OUT))+IF(((c_TMAP3OUT)-(c_TMAP2OUT))&gt;=0,1,-1)*QUOTIENT(((c_TMAP3IN)-(c_TMAP2IN)),2))+2147483648,4294967296)-2147483648,((c_TMAP3IN)-(c_TMAP2IN))*(((A757)-(c_TMAP2IN))*((c_TMAP3OUT)-(c_TMAP2OUT))+IF(((c_TMAP3OUT)-(c_TMAP2OUT))&gt;=0,1,-1)*QUOTIENT(((c_TMAP3IN)-(c_TMAP2IN)),2)))&lt;0,-1,0),IF(IF(o_WRAP=1,MOD(((c_TMAP3IN)-(c_TMAP2IN))*(((A757)-(c_TMAP2IN))*((c_TMAP3OUT)-(c_TMAP2OUT))+IF(((c_TMAP3OUT)-(c_TMAP2OUT))&gt;=0,1,-1)*QUOTIENT(((c_TMAP3IN)-(c_TMAP2IN)),2))+2147483648,4294967296)-2147483648,((c_TMAP3IN)-(c_TMAP2IN))*(((A757)-(c_TMAP2IN))*((c_TMAP3OUT)-(c_TMAP2OUT))+IF(((c_TMAP3OUT)-(c_TMAP2OUT))&gt;=0,1,-1)*QUOTIENT(((c_TMAP3IN)-(c_TMAP2IN)),2)))&gt;=0,1,0)))</f>
        <v>481</v>
      </c>
      <c r="G757" s="7" t="n">
        <f aca="false">IF(((1000)-(c_TMAP3IN))=0,(c_TMAP3OUT)+QUOTIENT(((1000)-(c_TMAP3OUT)),2),QUOTIENT((((A757)-(c_TMAP3IN))*((1000)-(c_TMAP3OUT))+IF(((1000)-(c_TMAP3OUT))&gt;=0,1,-1)*QUOTIENT(((1000)-(c_TMAP3IN)),2)),((1000)-(c_TMAP3IN)))+(c_TMAP3OUT)+IF(((1000)-(c_TMAP3OUT))&gt;=0,IF(IF(o_WRAP=1,MOD(((1000)-(c_TMAP3IN))*(((A757)-(c_TMAP3IN))*((1000)-(c_TMAP3OUT))+IF(((1000)-(c_TMAP3OUT))&gt;=0,1,-1)*QUOTIENT(((1000)-(c_TMAP3IN)),2))+2147483648,4294967296)-2147483648,((1000)-(c_TMAP3IN))*(((A757)-(c_TMAP3IN))*((1000)-(c_TMAP3OUT))+IF(((1000)-(c_TMAP3OUT))&gt;=0,1,-1)*QUOTIENT(((1000)-(c_TMAP3IN)),2)))&lt;0,-1,0),IF(IF(o_WRAP=1,MOD(((1000)-(c_TMAP3IN))*(((A757)-(c_TMAP3IN))*((1000)-(c_TMAP3OUT))+IF(((1000)-(c_TMAP3OUT))&gt;=0,1,-1)*QUOTIENT(((1000)-(c_TMAP3IN)),2))+2147483648,4294967296)-2147483648,((1000)-(c_TMAP3IN))*(((A757)-(c_TMAP3IN))*((1000)-(c_TMAP3OUT))+IF(((1000)-(c_TMAP3OUT))&gt;=0,1,-1)*QUOTIENT(((1000)-(c_TMAP3IN)),2)))&gt;=0,1,0)))</f>
        <v>695</v>
      </c>
      <c r="H757" s="7" t="str">
        <f aca="false">IF(A757&gt;=c_TFWD,IF(AND(A757&gt;=c_TMAP3IN,c_TMAP3IN&lt;1000),"Seg4 map3-100%",IF(AND(A757&gt;=c_TMAP2IN,c_TMAP3IN&gt;c_TMAP2IN),"Seg3 map2-map3",IF(AND(A757&gt;=c_TMAP1IN,c_TMAP2IN&gt;c_TMAP1IN),"Seg2 map1-map2","Seg1 TFWD-map1"))),IF(AND(A757=0,c_TCREEP&gt;0),"Creep",IF(AND(A757&lt;=c_TRNGMIN,A757&gt;=c_TRNGMAX,c_TRNGMIN-c_TRNGMAX&lt;&gt;0),"Regen ramp","Coast (0)")))</f>
        <v>Seg4 map3-100%</v>
      </c>
      <c r="I757" s="7" t="n">
        <f aca="false">IF(A757&gt;=c_TFWD,IF(AND(A757&gt;=c_TMAP3IN,c_TMAP3IN&lt;1000),G757,IF(AND(A757&gt;=c_TMAP2IN,c_TMAP3IN&gt;c_TMAP2IN),F757,IF(AND(A757&gt;=c_TMAP1IN,c_TMAP2IN&gt;c_TMAP1IN),E757,D757))),C757)</f>
        <v>695</v>
      </c>
      <c r="J757" s="7" t="str">
        <f aca="false">IF(I757&lt;-1090,"TOO LOW",IF(I757&gt;1090,"TOO HIGH",""))</f>
        <v/>
      </c>
      <c r="K757" s="15" t="n">
        <f aca="false">IF(J757&lt;&gt;"",0,IF(I757&gt;979,1000,I757))</f>
        <v>695</v>
      </c>
      <c r="L757" s="7" t="n">
        <f aca="false">K757/10</f>
        <v>69.5</v>
      </c>
    </row>
    <row r="758" customFormat="false" ht="15" hidden="false" customHeight="false" outlineLevel="0" collapsed="false">
      <c r="A758" s="7" t="n">
        <v>753</v>
      </c>
      <c r="B758" s="7" t="n">
        <f aca="false">A758/10</f>
        <v>75.3</v>
      </c>
      <c r="C758" s="7" t="n">
        <f aca="false">IF(AND(A758=0,c_TCREEP&gt;0),10*c_TCREEP,IF(AND(A758&lt;=c_TRNGMIN,A758&gt;=c_TRNGMAX,c_TRNGMIN-c_TRNGMAX&lt;&gt;0),-10*c_TMINRN+QUOTIENT((c_TMAXRN-c_TMINRN)*(100-QUOTIENT((A758-c_TRNGMAX)*100,c_TRNGMIN-c_TRNGMAX)),-10),0))</f>
        <v>0</v>
      </c>
      <c r="D758" s="7" t="n">
        <f aca="false">IF(((c_TMAP1IN)-(c_TFWD))=0,(0)+QUOTIENT(((c_TMAP1OUT)-(0)),2),QUOTIENT((((A758)-(c_TFWD))*((c_TMAP1OUT)-(0))+IF(((c_TMAP1OUT)-(0))&gt;=0,1,-1)*QUOTIENT(((c_TMAP1IN)-(c_TFWD)),2)),((c_TMAP1IN)-(c_TFWD)))+(0)+IF(((c_TMAP1OUT)-(0))&gt;=0,IF(IF(o_WRAP=1,MOD(((c_TMAP1IN)-(c_TFWD))*(((A758)-(c_TFWD))*((c_TMAP1OUT)-(0))+IF(((c_TMAP1OUT)-(0))&gt;=0,1,-1)*QUOTIENT(((c_TMAP1IN)-(c_TFWD)),2))+2147483648,4294967296)-2147483648,((c_TMAP1IN)-(c_TFWD))*(((A758)-(c_TFWD))*((c_TMAP1OUT)-(0))+IF(((c_TMAP1OUT)-(0))&gt;=0,1,-1)*QUOTIENT(((c_TMAP1IN)-(c_TFWD)),2)))&lt;0,-1,0),IF(IF(o_WRAP=1,MOD(((c_TMAP1IN)-(c_TFWD))*(((A758)-(c_TFWD))*((c_TMAP1OUT)-(0))+IF(((c_TMAP1OUT)-(0))&gt;=0,1,-1)*QUOTIENT(((c_TMAP1IN)-(c_TFWD)),2))+2147483648,4294967296)-2147483648,((c_TMAP1IN)-(c_TFWD))*(((A758)-(c_TFWD))*((c_TMAP1OUT)-(0))+IF(((c_TMAP1OUT)-(0))&gt;=0,1,-1)*QUOTIENT(((c_TMAP1IN)-(c_TFWD)),2)))&gt;=0,1,0)))</f>
        <v>578</v>
      </c>
      <c r="E758" s="7" t="n">
        <f aca="false">IF(((c_TMAP2IN)-(c_TMAP1IN))=0,(c_TMAP1OUT)+QUOTIENT(((c_TMAP2OUT)-(c_TMAP1OUT)),2),QUOTIENT((((A758)-(c_TMAP1IN))*((c_TMAP2OUT)-(c_TMAP1OUT))+IF(((c_TMAP2OUT)-(c_TMAP1OUT))&gt;=0,1,-1)*QUOTIENT(((c_TMAP2IN)-(c_TMAP1IN)),2)),((c_TMAP2IN)-(c_TMAP1IN)))+(c_TMAP1OUT)+IF(((c_TMAP2OUT)-(c_TMAP1OUT))&gt;=0,IF(IF(o_WRAP=1,MOD(((c_TMAP2IN)-(c_TMAP1IN))*(((A758)-(c_TMAP1IN))*((c_TMAP2OUT)-(c_TMAP1OUT))+IF(((c_TMAP2OUT)-(c_TMAP1OUT))&gt;=0,1,-1)*QUOTIENT(((c_TMAP2IN)-(c_TMAP1IN)),2))+2147483648,4294967296)-2147483648,((c_TMAP2IN)-(c_TMAP1IN))*(((A758)-(c_TMAP1IN))*((c_TMAP2OUT)-(c_TMAP1OUT))+IF(((c_TMAP2OUT)-(c_TMAP1OUT))&gt;=0,1,-1)*QUOTIENT(((c_TMAP2IN)-(c_TMAP1IN)),2)))&lt;0,-1,0),IF(IF(o_WRAP=1,MOD(((c_TMAP2IN)-(c_TMAP1IN))*(((A758)-(c_TMAP1IN))*((c_TMAP2OUT)-(c_TMAP1OUT))+IF(((c_TMAP2OUT)-(c_TMAP1OUT))&gt;=0,1,-1)*QUOTIENT(((c_TMAP2IN)-(c_TMAP1IN)),2))+2147483648,4294967296)-2147483648,((c_TMAP2IN)-(c_TMAP1IN))*(((A758)-(c_TMAP1IN))*((c_TMAP2OUT)-(c_TMAP1OUT))+IF(((c_TMAP2OUT)-(c_TMAP1OUT))&gt;=0,1,-1)*QUOTIENT(((c_TMAP2IN)-(c_TMAP1IN)),2)))&gt;=0,1,0)))</f>
        <v>331</v>
      </c>
      <c r="F758" s="7" t="n">
        <f aca="false">IF(((c_TMAP3IN)-(c_TMAP2IN))=0,(c_TMAP2OUT)+QUOTIENT(((c_TMAP3OUT)-(c_TMAP2OUT)),2),QUOTIENT((((A758)-(c_TMAP2IN))*((c_TMAP3OUT)-(c_TMAP2OUT))+IF(((c_TMAP3OUT)-(c_TMAP2OUT))&gt;=0,1,-1)*QUOTIENT(((c_TMAP3IN)-(c_TMAP2IN)),2)),((c_TMAP3IN)-(c_TMAP2IN)))+(c_TMAP2OUT)+IF(((c_TMAP3OUT)-(c_TMAP2OUT))&gt;=0,IF(IF(o_WRAP=1,MOD(((c_TMAP3IN)-(c_TMAP2IN))*(((A758)-(c_TMAP2IN))*((c_TMAP3OUT)-(c_TMAP2OUT))+IF(((c_TMAP3OUT)-(c_TMAP2OUT))&gt;=0,1,-1)*QUOTIENT(((c_TMAP3IN)-(c_TMAP2IN)),2))+2147483648,4294967296)-2147483648,((c_TMAP3IN)-(c_TMAP2IN))*(((A758)-(c_TMAP2IN))*((c_TMAP3OUT)-(c_TMAP2OUT))+IF(((c_TMAP3OUT)-(c_TMAP2OUT))&gt;=0,1,-1)*QUOTIENT(((c_TMAP3IN)-(c_TMAP2IN)),2)))&lt;0,-1,0),IF(IF(o_WRAP=1,MOD(((c_TMAP3IN)-(c_TMAP2IN))*(((A758)-(c_TMAP2IN))*((c_TMAP3OUT)-(c_TMAP2OUT))+IF(((c_TMAP3OUT)-(c_TMAP2OUT))&gt;=0,1,-1)*QUOTIENT(((c_TMAP3IN)-(c_TMAP2IN)),2))+2147483648,4294967296)-2147483648,((c_TMAP3IN)-(c_TMAP2IN))*(((A758)-(c_TMAP2IN))*((c_TMAP3OUT)-(c_TMAP2OUT))+IF(((c_TMAP3OUT)-(c_TMAP2OUT))&gt;=0,1,-1)*QUOTIENT(((c_TMAP3IN)-(c_TMAP2IN)),2)))&gt;=0,1,0)))</f>
        <v>482</v>
      </c>
      <c r="G758" s="7" t="n">
        <f aca="false">IF(((1000)-(c_TMAP3IN))=0,(c_TMAP3OUT)+QUOTIENT(((1000)-(c_TMAP3OUT)),2),QUOTIENT((((A758)-(c_TMAP3IN))*((1000)-(c_TMAP3OUT))+IF(((1000)-(c_TMAP3OUT))&gt;=0,1,-1)*QUOTIENT(((1000)-(c_TMAP3IN)),2)),((1000)-(c_TMAP3IN)))+(c_TMAP3OUT)+IF(((1000)-(c_TMAP3OUT))&gt;=0,IF(IF(o_WRAP=1,MOD(((1000)-(c_TMAP3IN))*(((A758)-(c_TMAP3IN))*((1000)-(c_TMAP3OUT))+IF(((1000)-(c_TMAP3OUT))&gt;=0,1,-1)*QUOTIENT(((1000)-(c_TMAP3IN)),2))+2147483648,4294967296)-2147483648,((1000)-(c_TMAP3IN))*(((A758)-(c_TMAP3IN))*((1000)-(c_TMAP3OUT))+IF(((1000)-(c_TMAP3OUT))&gt;=0,1,-1)*QUOTIENT(((1000)-(c_TMAP3IN)),2)))&lt;0,-1,0),IF(IF(o_WRAP=1,MOD(((1000)-(c_TMAP3IN))*(((A758)-(c_TMAP3IN))*((1000)-(c_TMAP3OUT))+IF(((1000)-(c_TMAP3OUT))&gt;=0,1,-1)*QUOTIENT(((1000)-(c_TMAP3IN)),2))+2147483648,4294967296)-2147483648,((1000)-(c_TMAP3IN))*(((A758)-(c_TMAP3IN))*((1000)-(c_TMAP3OUT))+IF(((1000)-(c_TMAP3OUT))&gt;=0,1,-1)*QUOTIENT(((1000)-(c_TMAP3IN)),2)))&gt;=0,1,0)))</f>
        <v>696</v>
      </c>
      <c r="H758" s="7" t="str">
        <f aca="false">IF(A758&gt;=c_TFWD,IF(AND(A758&gt;=c_TMAP3IN,c_TMAP3IN&lt;1000),"Seg4 map3-100%",IF(AND(A758&gt;=c_TMAP2IN,c_TMAP3IN&gt;c_TMAP2IN),"Seg3 map2-map3",IF(AND(A758&gt;=c_TMAP1IN,c_TMAP2IN&gt;c_TMAP1IN),"Seg2 map1-map2","Seg1 TFWD-map1"))),IF(AND(A758=0,c_TCREEP&gt;0),"Creep",IF(AND(A758&lt;=c_TRNGMIN,A758&gt;=c_TRNGMAX,c_TRNGMIN-c_TRNGMAX&lt;&gt;0),"Regen ramp","Coast (0)")))</f>
        <v>Seg4 map3-100%</v>
      </c>
      <c r="I758" s="7" t="n">
        <f aca="false">IF(A758&gt;=c_TFWD,IF(AND(A758&gt;=c_TMAP3IN,c_TMAP3IN&lt;1000),G758,IF(AND(A758&gt;=c_TMAP2IN,c_TMAP3IN&gt;c_TMAP2IN),F758,IF(AND(A758&gt;=c_TMAP1IN,c_TMAP2IN&gt;c_TMAP1IN),E758,D758))),C758)</f>
        <v>696</v>
      </c>
      <c r="J758" s="7" t="str">
        <f aca="false">IF(I758&lt;-1090,"TOO LOW",IF(I758&gt;1090,"TOO HIGH",""))</f>
        <v/>
      </c>
      <c r="K758" s="15" t="n">
        <f aca="false">IF(J758&lt;&gt;"",0,IF(I758&gt;979,1000,I758))</f>
        <v>696</v>
      </c>
      <c r="L758" s="7" t="n">
        <f aca="false">K758/10</f>
        <v>69.6</v>
      </c>
    </row>
    <row r="759" customFormat="false" ht="15" hidden="false" customHeight="false" outlineLevel="0" collapsed="false">
      <c r="A759" s="7" t="n">
        <v>754</v>
      </c>
      <c r="B759" s="7" t="n">
        <f aca="false">A759/10</f>
        <v>75.4</v>
      </c>
      <c r="C759" s="7" t="n">
        <f aca="false">IF(AND(A759=0,c_TCREEP&gt;0),10*c_TCREEP,IF(AND(A759&lt;=c_TRNGMIN,A759&gt;=c_TRNGMAX,c_TRNGMIN-c_TRNGMAX&lt;&gt;0),-10*c_TMINRN+QUOTIENT((c_TMAXRN-c_TMINRN)*(100-QUOTIENT((A759-c_TRNGMAX)*100,c_TRNGMIN-c_TRNGMAX)),-10),0))</f>
        <v>0</v>
      </c>
      <c r="D759" s="7" t="n">
        <f aca="false">IF(((c_TMAP1IN)-(c_TFWD))=0,(0)+QUOTIENT(((c_TMAP1OUT)-(0)),2),QUOTIENT((((A759)-(c_TFWD))*((c_TMAP1OUT)-(0))+IF(((c_TMAP1OUT)-(0))&gt;=0,1,-1)*QUOTIENT(((c_TMAP1IN)-(c_TFWD)),2)),((c_TMAP1IN)-(c_TFWD)))+(0)+IF(((c_TMAP1OUT)-(0))&gt;=0,IF(IF(o_WRAP=1,MOD(((c_TMAP1IN)-(c_TFWD))*(((A759)-(c_TFWD))*((c_TMAP1OUT)-(0))+IF(((c_TMAP1OUT)-(0))&gt;=0,1,-1)*QUOTIENT(((c_TMAP1IN)-(c_TFWD)),2))+2147483648,4294967296)-2147483648,((c_TMAP1IN)-(c_TFWD))*(((A759)-(c_TFWD))*((c_TMAP1OUT)-(0))+IF(((c_TMAP1OUT)-(0))&gt;=0,1,-1)*QUOTIENT(((c_TMAP1IN)-(c_TFWD)),2)))&lt;0,-1,0),IF(IF(o_WRAP=1,MOD(((c_TMAP1IN)-(c_TFWD))*(((A759)-(c_TFWD))*((c_TMAP1OUT)-(0))+IF(((c_TMAP1OUT)-(0))&gt;=0,1,-1)*QUOTIENT(((c_TMAP1IN)-(c_TFWD)),2))+2147483648,4294967296)-2147483648,((c_TMAP1IN)-(c_TFWD))*(((A759)-(c_TFWD))*((c_TMAP1OUT)-(0))+IF(((c_TMAP1OUT)-(0))&gt;=0,1,-1)*QUOTIENT(((c_TMAP1IN)-(c_TFWD)),2)))&gt;=0,1,0)))</f>
        <v>579</v>
      </c>
      <c r="E759" s="7" t="n">
        <f aca="false">IF(((c_TMAP2IN)-(c_TMAP1IN))=0,(c_TMAP1OUT)+QUOTIENT(((c_TMAP2OUT)-(c_TMAP1OUT)),2),QUOTIENT((((A759)-(c_TMAP1IN))*((c_TMAP2OUT)-(c_TMAP1OUT))+IF(((c_TMAP2OUT)-(c_TMAP1OUT))&gt;=0,1,-1)*QUOTIENT(((c_TMAP2IN)-(c_TMAP1IN)),2)),((c_TMAP2IN)-(c_TMAP1IN)))+(c_TMAP1OUT)+IF(((c_TMAP2OUT)-(c_TMAP1OUT))&gt;=0,IF(IF(o_WRAP=1,MOD(((c_TMAP2IN)-(c_TMAP1IN))*(((A759)-(c_TMAP1IN))*((c_TMAP2OUT)-(c_TMAP1OUT))+IF(((c_TMAP2OUT)-(c_TMAP1OUT))&gt;=0,1,-1)*QUOTIENT(((c_TMAP2IN)-(c_TMAP1IN)),2))+2147483648,4294967296)-2147483648,((c_TMAP2IN)-(c_TMAP1IN))*(((A759)-(c_TMAP1IN))*((c_TMAP2OUT)-(c_TMAP1OUT))+IF(((c_TMAP2OUT)-(c_TMAP1OUT))&gt;=0,1,-1)*QUOTIENT(((c_TMAP2IN)-(c_TMAP1IN)),2)))&lt;0,-1,0),IF(IF(o_WRAP=1,MOD(((c_TMAP2IN)-(c_TMAP1IN))*(((A759)-(c_TMAP1IN))*((c_TMAP2OUT)-(c_TMAP1OUT))+IF(((c_TMAP2OUT)-(c_TMAP1OUT))&gt;=0,1,-1)*QUOTIENT(((c_TMAP2IN)-(c_TMAP1IN)),2))+2147483648,4294967296)-2147483648,((c_TMAP2IN)-(c_TMAP1IN))*(((A759)-(c_TMAP1IN))*((c_TMAP2OUT)-(c_TMAP1OUT))+IF(((c_TMAP2OUT)-(c_TMAP1OUT))&gt;=0,1,-1)*QUOTIENT(((c_TMAP2IN)-(c_TMAP1IN)),2)))&gt;=0,1,0)))</f>
        <v>332</v>
      </c>
      <c r="F759" s="7" t="n">
        <f aca="false">IF(((c_TMAP3IN)-(c_TMAP2IN))=0,(c_TMAP2OUT)+QUOTIENT(((c_TMAP3OUT)-(c_TMAP2OUT)),2),QUOTIENT((((A759)-(c_TMAP2IN))*((c_TMAP3OUT)-(c_TMAP2OUT))+IF(((c_TMAP3OUT)-(c_TMAP2OUT))&gt;=0,1,-1)*QUOTIENT(((c_TMAP3IN)-(c_TMAP2IN)),2)),((c_TMAP3IN)-(c_TMAP2IN)))+(c_TMAP2OUT)+IF(((c_TMAP3OUT)-(c_TMAP2OUT))&gt;=0,IF(IF(o_WRAP=1,MOD(((c_TMAP3IN)-(c_TMAP2IN))*(((A759)-(c_TMAP2IN))*((c_TMAP3OUT)-(c_TMAP2OUT))+IF(((c_TMAP3OUT)-(c_TMAP2OUT))&gt;=0,1,-1)*QUOTIENT(((c_TMAP3IN)-(c_TMAP2IN)),2))+2147483648,4294967296)-2147483648,((c_TMAP3IN)-(c_TMAP2IN))*(((A759)-(c_TMAP2IN))*((c_TMAP3OUT)-(c_TMAP2OUT))+IF(((c_TMAP3OUT)-(c_TMAP2OUT))&gt;=0,1,-1)*QUOTIENT(((c_TMAP3IN)-(c_TMAP2IN)),2)))&lt;0,-1,0),IF(IF(o_WRAP=1,MOD(((c_TMAP3IN)-(c_TMAP2IN))*(((A759)-(c_TMAP2IN))*((c_TMAP3OUT)-(c_TMAP2OUT))+IF(((c_TMAP3OUT)-(c_TMAP2OUT))&gt;=0,1,-1)*QUOTIENT(((c_TMAP3IN)-(c_TMAP2IN)),2))+2147483648,4294967296)-2147483648,((c_TMAP3IN)-(c_TMAP2IN))*(((A759)-(c_TMAP2IN))*((c_TMAP3OUT)-(c_TMAP2OUT))+IF(((c_TMAP3OUT)-(c_TMAP2OUT))&gt;=0,1,-1)*QUOTIENT(((c_TMAP3IN)-(c_TMAP2IN)),2)))&gt;=0,1,0)))</f>
        <v>483</v>
      </c>
      <c r="G759" s="7" t="n">
        <f aca="false">IF(((1000)-(c_TMAP3IN))=0,(c_TMAP3OUT)+QUOTIENT(((1000)-(c_TMAP3OUT)),2),QUOTIENT((((A759)-(c_TMAP3IN))*((1000)-(c_TMAP3OUT))+IF(((1000)-(c_TMAP3OUT))&gt;=0,1,-1)*QUOTIENT(((1000)-(c_TMAP3IN)),2)),((1000)-(c_TMAP3IN)))+(c_TMAP3OUT)+IF(((1000)-(c_TMAP3OUT))&gt;=0,IF(IF(o_WRAP=1,MOD(((1000)-(c_TMAP3IN))*(((A759)-(c_TMAP3IN))*((1000)-(c_TMAP3OUT))+IF(((1000)-(c_TMAP3OUT))&gt;=0,1,-1)*QUOTIENT(((1000)-(c_TMAP3IN)),2))+2147483648,4294967296)-2147483648,((1000)-(c_TMAP3IN))*(((A759)-(c_TMAP3IN))*((1000)-(c_TMAP3OUT))+IF(((1000)-(c_TMAP3OUT))&gt;=0,1,-1)*QUOTIENT(((1000)-(c_TMAP3IN)),2)))&lt;0,-1,0),IF(IF(o_WRAP=1,MOD(((1000)-(c_TMAP3IN))*(((A759)-(c_TMAP3IN))*((1000)-(c_TMAP3OUT))+IF(((1000)-(c_TMAP3OUT))&gt;=0,1,-1)*QUOTIENT(((1000)-(c_TMAP3IN)),2))+2147483648,4294967296)-2147483648,((1000)-(c_TMAP3IN))*(((A759)-(c_TMAP3IN))*((1000)-(c_TMAP3OUT))+IF(((1000)-(c_TMAP3OUT))&gt;=0,1,-1)*QUOTIENT(((1000)-(c_TMAP3IN)),2)))&gt;=0,1,0)))</f>
        <v>697</v>
      </c>
      <c r="H759" s="7" t="str">
        <f aca="false">IF(A759&gt;=c_TFWD,IF(AND(A759&gt;=c_TMAP3IN,c_TMAP3IN&lt;1000),"Seg4 map3-100%",IF(AND(A759&gt;=c_TMAP2IN,c_TMAP3IN&gt;c_TMAP2IN),"Seg3 map2-map3",IF(AND(A759&gt;=c_TMAP1IN,c_TMAP2IN&gt;c_TMAP1IN),"Seg2 map1-map2","Seg1 TFWD-map1"))),IF(AND(A759=0,c_TCREEP&gt;0),"Creep",IF(AND(A759&lt;=c_TRNGMIN,A759&gt;=c_TRNGMAX,c_TRNGMIN-c_TRNGMAX&lt;&gt;0),"Regen ramp","Coast (0)")))</f>
        <v>Seg4 map3-100%</v>
      </c>
      <c r="I759" s="7" t="n">
        <f aca="false">IF(A759&gt;=c_TFWD,IF(AND(A759&gt;=c_TMAP3IN,c_TMAP3IN&lt;1000),G759,IF(AND(A759&gt;=c_TMAP2IN,c_TMAP3IN&gt;c_TMAP2IN),F759,IF(AND(A759&gt;=c_TMAP1IN,c_TMAP2IN&gt;c_TMAP1IN),E759,D759))),C759)</f>
        <v>697</v>
      </c>
      <c r="J759" s="7" t="str">
        <f aca="false">IF(I759&lt;-1090,"TOO LOW",IF(I759&gt;1090,"TOO HIGH",""))</f>
        <v/>
      </c>
      <c r="K759" s="15" t="n">
        <f aca="false">IF(J759&lt;&gt;"",0,IF(I759&gt;979,1000,I759))</f>
        <v>697</v>
      </c>
      <c r="L759" s="7" t="n">
        <f aca="false">K759/10</f>
        <v>69.7</v>
      </c>
    </row>
    <row r="760" customFormat="false" ht="15" hidden="false" customHeight="false" outlineLevel="0" collapsed="false">
      <c r="A760" s="7" t="n">
        <v>755</v>
      </c>
      <c r="B760" s="7" t="n">
        <f aca="false">A760/10</f>
        <v>75.5</v>
      </c>
      <c r="C760" s="7" t="n">
        <f aca="false">IF(AND(A760=0,c_TCREEP&gt;0),10*c_TCREEP,IF(AND(A760&lt;=c_TRNGMIN,A760&gt;=c_TRNGMAX,c_TRNGMIN-c_TRNGMAX&lt;&gt;0),-10*c_TMINRN+QUOTIENT((c_TMAXRN-c_TMINRN)*(100-QUOTIENT((A760-c_TRNGMAX)*100,c_TRNGMIN-c_TRNGMAX)),-10),0))</f>
        <v>0</v>
      </c>
      <c r="D760" s="7" t="n">
        <f aca="false">IF(((c_TMAP1IN)-(c_TFWD))=0,(0)+QUOTIENT(((c_TMAP1OUT)-(0)),2),QUOTIENT((((A760)-(c_TFWD))*((c_TMAP1OUT)-(0))+IF(((c_TMAP1OUT)-(0))&gt;=0,1,-1)*QUOTIENT(((c_TMAP1IN)-(c_TFWD)),2)),((c_TMAP1IN)-(c_TFWD)))+(0)+IF(((c_TMAP1OUT)-(0))&gt;=0,IF(IF(o_WRAP=1,MOD(((c_TMAP1IN)-(c_TFWD))*(((A760)-(c_TFWD))*((c_TMAP1OUT)-(0))+IF(((c_TMAP1OUT)-(0))&gt;=0,1,-1)*QUOTIENT(((c_TMAP1IN)-(c_TFWD)),2))+2147483648,4294967296)-2147483648,((c_TMAP1IN)-(c_TFWD))*(((A760)-(c_TFWD))*((c_TMAP1OUT)-(0))+IF(((c_TMAP1OUT)-(0))&gt;=0,1,-1)*QUOTIENT(((c_TMAP1IN)-(c_TFWD)),2)))&lt;0,-1,0),IF(IF(o_WRAP=1,MOD(((c_TMAP1IN)-(c_TFWD))*(((A760)-(c_TFWD))*((c_TMAP1OUT)-(0))+IF(((c_TMAP1OUT)-(0))&gt;=0,1,-1)*QUOTIENT(((c_TMAP1IN)-(c_TFWD)),2))+2147483648,4294967296)-2147483648,((c_TMAP1IN)-(c_TFWD))*(((A760)-(c_TFWD))*((c_TMAP1OUT)-(0))+IF(((c_TMAP1OUT)-(0))&gt;=0,1,-1)*QUOTIENT(((c_TMAP1IN)-(c_TFWD)),2)))&gt;=0,1,0)))</f>
        <v>579</v>
      </c>
      <c r="E760" s="7" t="n">
        <f aca="false">IF(((c_TMAP2IN)-(c_TMAP1IN))=0,(c_TMAP1OUT)+QUOTIENT(((c_TMAP2OUT)-(c_TMAP1OUT)),2),QUOTIENT((((A760)-(c_TMAP1IN))*((c_TMAP2OUT)-(c_TMAP1OUT))+IF(((c_TMAP2OUT)-(c_TMAP1OUT))&gt;=0,1,-1)*QUOTIENT(((c_TMAP2IN)-(c_TMAP1IN)),2)),((c_TMAP2IN)-(c_TMAP1IN)))+(c_TMAP1OUT)+IF(((c_TMAP2OUT)-(c_TMAP1OUT))&gt;=0,IF(IF(o_WRAP=1,MOD(((c_TMAP2IN)-(c_TMAP1IN))*(((A760)-(c_TMAP1IN))*((c_TMAP2OUT)-(c_TMAP1OUT))+IF(((c_TMAP2OUT)-(c_TMAP1OUT))&gt;=0,1,-1)*QUOTIENT(((c_TMAP2IN)-(c_TMAP1IN)),2))+2147483648,4294967296)-2147483648,((c_TMAP2IN)-(c_TMAP1IN))*(((A760)-(c_TMAP1IN))*((c_TMAP2OUT)-(c_TMAP1OUT))+IF(((c_TMAP2OUT)-(c_TMAP1OUT))&gt;=0,1,-1)*QUOTIENT(((c_TMAP2IN)-(c_TMAP1IN)),2)))&lt;0,-1,0),IF(IF(o_WRAP=1,MOD(((c_TMAP2IN)-(c_TMAP1IN))*(((A760)-(c_TMAP1IN))*((c_TMAP2OUT)-(c_TMAP1OUT))+IF(((c_TMAP2OUT)-(c_TMAP1OUT))&gt;=0,1,-1)*QUOTIENT(((c_TMAP2IN)-(c_TMAP1IN)),2))+2147483648,4294967296)-2147483648,((c_TMAP2IN)-(c_TMAP1IN))*(((A760)-(c_TMAP1IN))*((c_TMAP2OUT)-(c_TMAP1OUT))+IF(((c_TMAP2OUT)-(c_TMAP1OUT))&gt;=0,1,-1)*QUOTIENT(((c_TMAP2IN)-(c_TMAP1IN)),2)))&gt;=0,1,0)))</f>
        <v>332</v>
      </c>
      <c r="F760" s="7" t="n">
        <f aca="false">IF(((c_TMAP3IN)-(c_TMAP2IN))=0,(c_TMAP2OUT)+QUOTIENT(((c_TMAP3OUT)-(c_TMAP2OUT)),2),QUOTIENT((((A760)-(c_TMAP2IN))*((c_TMAP3OUT)-(c_TMAP2OUT))+IF(((c_TMAP3OUT)-(c_TMAP2OUT))&gt;=0,1,-1)*QUOTIENT(((c_TMAP3IN)-(c_TMAP2IN)),2)),((c_TMAP3IN)-(c_TMAP2IN)))+(c_TMAP2OUT)+IF(((c_TMAP3OUT)-(c_TMAP2OUT))&gt;=0,IF(IF(o_WRAP=1,MOD(((c_TMAP3IN)-(c_TMAP2IN))*(((A760)-(c_TMAP2IN))*((c_TMAP3OUT)-(c_TMAP2OUT))+IF(((c_TMAP3OUT)-(c_TMAP2OUT))&gt;=0,1,-1)*QUOTIENT(((c_TMAP3IN)-(c_TMAP2IN)),2))+2147483648,4294967296)-2147483648,((c_TMAP3IN)-(c_TMAP2IN))*(((A760)-(c_TMAP2IN))*((c_TMAP3OUT)-(c_TMAP2OUT))+IF(((c_TMAP3OUT)-(c_TMAP2OUT))&gt;=0,1,-1)*QUOTIENT(((c_TMAP3IN)-(c_TMAP2IN)),2)))&lt;0,-1,0),IF(IF(o_WRAP=1,MOD(((c_TMAP3IN)-(c_TMAP2IN))*(((A760)-(c_TMAP2IN))*((c_TMAP3OUT)-(c_TMAP2OUT))+IF(((c_TMAP3OUT)-(c_TMAP2OUT))&gt;=0,1,-1)*QUOTIENT(((c_TMAP3IN)-(c_TMAP2IN)),2))+2147483648,4294967296)-2147483648,((c_TMAP3IN)-(c_TMAP2IN))*(((A760)-(c_TMAP2IN))*((c_TMAP3OUT)-(c_TMAP2OUT))+IF(((c_TMAP3OUT)-(c_TMAP2OUT))&gt;=0,1,-1)*QUOTIENT(((c_TMAP3IN)-(c_TMAP2IN)),2)))&gt;=0,1,0)))</f>
        <v>484</v>
      </c>
      <c r="G760" s="7" t="n">
        <f aca="false">IF(((1000)-(c_TMAP3IN))=0,(c_TMAP3OUT)+QUOTIENT(((1000)-(c_TMAP3OUT)),2),QUOTIENT((((A760)-(c_TMAP3IN))*((1000)-(c_TMAP3OUT))+IF(((1000)-(c_TMAP3OUT))&gt;=0,1,-1)*QUOTIENT(((1000)-(c_TMAP3IN)),2)),((1000)-(c_TMAP3IN)))+(c_TMAP3OUT)+IF(((1000)-(c_TMAP3OUT))&gt;=0,IF(IF(o_WRAP=1,MOD(((1000)-(c_TMAP3IN))*(((A760)-(c_TMAP3IN))*((1000)-(c_TMAP3OUT))+IF(((1000)-(c_TMAP3OUT))&gt;=0,1,-1)*QUOTIENT(((1000)-(c_TMAP3IN)),2))+2147483648,4294967296)-2147483648,((1000)-(c_TMAP3IN))*(((A760)-(c_TMAP3IN))*((1000)-(c_TMAP3OUT))+IF(((1000)-(c_TMAP3OUT))&gt;=0,1,-1)*QUOTIENT(((1000)-(c_TMAP3IN)),2)))&lt;0,-1,0),IF(IF(o_WRAP=1,MOD(((1000)-(c_TMAP3IN))*(((A760)-(c_TMAP3IN))*((1000)-(c_TMAP3OUT))+IF(((1000)-(c_TMAP3OUT))&gt;=0,1,-1)*QUOTIENT(((1000)-(c_TMAP3IN)),2))+2147483648,4294967296)-2147483648,((1000)-(c_TMAP3IN))*(((A760)-(c_TMAP3IN))*((1000)-(c_TMAP3OUT))+IF(((1000)-(c_TMAP3OUT))&gt;=0,1,-1)*QUOTIENT(((1000)-(c_TMAP3IN)),2)))&gt;=0,1,0)))</f>
        <v>698</v>
      </c>
      <c r="H760" s="7" t="str">
        <f aca="false">IF(A760&gt;=c_TFWD,IF(AND(A760&gt;=c_TMAP3IN,c_TMAP3IN&lt;1000),"Seg4 map3-100%",IF(AND(A760&gt;=c_TMAP2IN,c_TMAP3IN&gt;c_TMAP2IN),"Seg3 map2-map3",IF(AND(A760&gt;=c_TMAP1IN,c_TMAP2IN&gt;c_TMAP1IN),"Seg2 map1-map2","Seg1 TFWD-map1"))),IF(AND(A760=0,c_TCREEP&gt;0),"Creep",IF(AND(A760&lt;=c_TRNGMIN,A760&gt;=c_TRNGMAX,c_TRNGMIN-c_TRNGMAX&lt;&gt;0),"Regen ramp","Coast (0)")))</f>
        <v>Seg4 map3-100%</v>
      </c>
      <c r="I760" s="7" t="n">
        <f aca="false">IF(A760&gt;=c_TFWD,IF(AND(A760&gt;=c_TMAP3IN,c_TMAP3IN&lt;1000),G760,IF(AND(A760&gt;=c_TMAP2IN,c_TMAP3IN&gt;c_TMAP2IN),F760,IF(AND(A760&gt;=c_TMAP1IN,c_TMAP2IN&gt;c_TMAP1IN),E760,D760))),C760)</f>
        <v>698</v>
      </c>
      <c r="J760" s="7" t="str">
        <f aca="false">IF(I760&lt;-1090,"TOO LOW",IF(I760&gt;1090,"TOO HIGH",""))</f>
        <v/>
      </c>
      <c r="K760" s="15" t="n">
        <f aca="false">IF(J760&lt;&gt;"",0,IF(I760&gt;979,1000,I760))</f>
        <v>698</v>
      </c>
      <c r="L760" s="7" t="n">
        <f aca="false">K760/10</f>
        <v>69.8</v>
      </c>
    </row>
    <row r="761" customFormat="false" ht="15" hidden="false" customHeight="false" outlineLevel="0" collapsed="false">
      <c r="A761" s="7" t="n">
        <v>756</v>
      </c>
      <c r="B761" s="7" t="n">
        <f aca="false">A761/10</f>
        <v>75.6</v>
      </c>
      <c r="C761" s="7" t="n">
        <f aca="false">IF(AND(A761=0,c_TCREEP&gt;0),10*c_TCREEP,IF(AND(A761&lt;=c_TRNGMIN,A761&gt;=c_TRNGMAX,c_TRNGMIN-c_TRNGMAX&lt;&gt;0),-10*c_TMINRN+QUOTIENT((c_TMAXRN-c_TMINRN)*(100-QUOTIENT((A761-c_TRNGMAX)*100,c_TRNGMIN-c_TRNGMAX)),-10),0))</f>
        <v>0</v>
      </c>
      <c r="D761" s="7" t="n">
        <f aca="false">IF(((c_TMAP1IN)-(c_TFWD))=0,(0)+QUOTIENT(((c_TMAP1OUT)-(0)),2),QUOTIENT((((A761)-(c_TFWD))*((c_TMAP1OUT)-(0))+IF(((c_TMAP1OUT)-(0))&gt;=0,1,-1)*QUOTIENT(((c_TMAP1IN)-(c_TFWD)),2)),((c_TMAP1IN)-(c_TFWD)))+(0)+IF(((c_TMAP1OUT)-(0))&gt;=0,IF(IF(o_WRAP=1,MOD(((c_TMAP1IN)-(c_TFWD))*(((A761)-(c_TFWD))*((c_TMAP1OUT)-(0))+IF(((c_TMAP1OUT)-(0))&gt;=0,1,-1)*QUOTIENT(((c_TMAP1IN)-(c_TFWD)),2))+2147483648,4294967296)-2147483648,((c_TMAP1IN)-(c_TFWD))*(((A761)-(c_TFWD))*((c_TMAP1OUT)-(0))+IF(((c_TMAP1OUT)-(0))&gt;=0,1,-1)*QUOTIENT(((c_TMAP1IN)-(c_TFWD)),2)))&lt;0,-1,0),IF(IF(o_WRAP=1,MOD(((c_TMAP1IN)-(c_TFWD))*(((A761)-(c_TFWD))*((c_TMAP1OUT)-(0))+IF(((c_TMAP1OUT)-(0))&gt;=0,1,-1)*QUOTIENT(((c_TMAP1IN)-(c_TFWD)),2))+2147483648,4294967296)-2147483648,((c_TMAP1IN)-(c_TFWD))*(((A761)-(c_TFWD))*((c_TMAP1OUT)-(0))+IF(((c_TMAP1OUT)-(0))&gt;=0,1,-1)*QUOTIENT(((c_TMAP1IN)-(c_TFWD)),2)))&gt;=0,1,0)))</f>
        <v>580</v>
      </c>
      <c r="E761" s="7" t="n">
        <f aca="false">IF(((c_TMAP2IN)-(c_TMAP1IN))=0,(c_TMAP1OUT)+QUOTIENT(((c_TMAP2OUT)-(c_TMAP1OUT)),2),QUOTIENT((((A761)-(c_TMAP1IN))*((c_TMAP2OUT)-(c_TMAP1OUT))+IF(((c_TMAP2OUT)-(c_TMAP1OUT))&gt;=0,1,-1)*QUOTIENT(((c_TMAP2IN)-(c_TMAP1IN)),2)),((c_TMAP2IN)-(c_TMAP1IN)))+(c_TMAP1OUT)+IF(((c_TMAP2OUT)-(c_TMAP1OUT))&gt;=0,IF(IF(o_WRAP=1,MOD(((c_TMAP2IN)-(c_TMAP1IN))*(((A761)-(c_TMAP1IN))*((c_TMAP2OUT)-(c_TMAP1OUT))+IF(((c_TMAP2OUT)-(c_TMAP1OUT))&gt;=0,1,-1)*QUOTIENT(((c_TMAP2IN)-(c_TMAP1IN)),2))+2147483648,4294967296)-2147483648,((c_TMAP2IN)-(c_TMAP1IN))*(((A761)-(c_TMAP1IN))*((c_TMAP2OUT)-(c_TMAP1OUT))+IF(((c_TMAP2OUT)-(c_TMAP1OUT))&gt;=0,1,-1)*QUOTIENT(((c_TMAP2IN)-(c_TMAP1IN)),2)))&lt;0,-1,0),IF(IF(o_WRAP=1,MOD(((c_TMAP2IN)-(c_TMAP1IN))*(((A761)-(c_TMAP1IN))*((c_TMAP2OUT)-(c_TMAP1OUT))+IF(((c_TMAP2OUT)-(c_TMAP1OUT))&gt;=0,1,-1)*QUOTIENT(((c_TMAP2IN)-(c_TMAP1IN)),2))+2147483648,4294967296)-2147483648,((c_TMAP2IN)-(c_TMAP1IN))*(((A761)-(c_TMAP1IN))*((c_TMAP2OUT)-(c_TMAP1OUT))+IF(((c_TMAP2OUT)-(c_TMAP1OUT))&gt;=0,1,-1)*QUOTIENT(((c_TMAP2IN)-(c_TMAP1IN)),2)))&gt;=0,1,0)))</f>
        <v>332</v>
      </c>
      <c r="F761" s="7" t="n">
        <f aca="false">IF(((c_TMAP3IN)-(c_TMAP2IN))=0,(c_TMAP2OUT)+QUOTIENT(((c_TMAP3OUT)-(c_TMAP2OUT)),2),QUOTIENT((((A761)-(c_TMAP2IN))*((c_TMAP3OUT)-(c_TMAP2OUT))+IF(((c_TMAP3OUT)-(c_TMAP2OUT))&gt;=0,1,-1)*QUOTIENT(((c_TMAP3IN)-(c_TMAP2IN)),2)),((c_TMAP3IN)-(c_TMAP2IN)))+(c_TMAP2OUT)+IF(((c_TMAP3OUT)-(c_TMAP2OUT))&gt;=0,IF(IF(o_WRAP=1,MOD(((c_TMAP3IN)-(c_TMAP2IN))*(((A761)-(c_TMAP2IN))*((c_TMAP3OUT)-(c_TMAP2OUT))+IF(((c_TMAP3OUT)-(c_TMAP2OUT))&gt;=0,1,-1)*QUOTIENT(((c_TMAP3IN)-(c_TMAP2IN)),2))+2147483648,4294967296)-2147483648,((c_TMAP3IN)-(c_TMAP2IN))*(((A761)-(c_TMAP2IN))*((c_TMAP3OUT)-(c_TMAP2OUT))+IF(((c_TMAP3OUT)-(c_TMAP2OUT))&gt;=0,1,-1)*QUOTIENT(((c_TMAP3IN)-(c_TMAP2IN)),2)))&lt;0,-1,0),IF(IF(o_WRAP=1,MOD(((c_TMAP3IN)-(c_TMAP2IN))*(((A761)-(c_TMAP2IN))*((c_TMAP3OUT)-(c_TMAP2OUT))+IF(((c_TMAP3OUT)-(c_TMAP2OUT))&gt;=0,1,-1)*QUOTIENT(((c_TMAP3IN)-(c_TMAP2IN)),2))+2147483648,4294967296)-2147483648,((c_TMAP3IN)-(c_TMAP2IN))*(((A761)-(c_TMAP2IN))*((c_TMAP3OUT)-(c_TMAP2OUT))+IF(((c_TMAP3OUT)-(c_TMAP2OUT))&gt;=0,1,-1)*QUOTIENT(((c_TMAP3IN)-(c_TMAP2IN)),2)))&gt;=0,1,0)))</f>
        <v>484</v>
      </c>
      <c r="G761" s="7" t="n">
        <f aca="false">IF(((1000)-(c_TMAP3IN))=0,(c_TMAP3OUT)+QUOTIENT(((1000)-(c_TMAP3OUT)),2),QUOTIENT((((A761)-(c_TMAP3IN))*((1000)-(c_TMAP3OUT))+IF(((1000)-(c_TMAP3OUT))&gt;=0,1,-1)*QUOTIENT(((1000)-(c_TMAP3IN)),2)),((1000)-(c_TMAP3IN)))+(c_TMAP3OUT)+IF(((1000)-(c_TMAP3OUT))&gt;=0,IF(IF(o_WRAP=1,MOD(((1000)-(c_TMAP3IN))*(((A761)-(c_TMAP3IN))*((1000)-(c_TMAP3OUT))+IF(((1000)-(c_TMAP3OUT))&gt;=0,1,-1)*QUOTIENT(((1000)-(c_TMAP3IN)),2))+2147483648,4294967296)-2147483648,((1000)-(c_TMAP3IN))*(((A761)-(c_TMAP3IN))*((1000)-(c_TMAP3OUT))+IF(((1000)-(c_TMAP3OUT))&gt;=0,1,-1)*QUOTIENT(((1000)-(c_TMAP3IN)),2)))&lt;0,-1,0),IF(IF(o_WRAP=1,MOD(((1000)-(c_TMAP3IN))*(((A761)-(c_TMAP3IN))*((1000)-(c_TMAP3OUT))+IF(((1000)-(c_TMAP3OUT))&gt;=0,1,-1)*QUOTIENT(((1000)-(c_TMAP3IN)),2))+2147483648,4294967296)-2147483648,((1000)-(c_TMAP3IN))*(((A761)-(c_TMAP3IN))*((1000)-(c_TMAP3OUT))+IF(((1000)-(c_TMAP3OUT))&gt;=0,1,-1)*QUOTIENT(((1000)-(c_TMAP3IN)),2)))&gt;=0,1,0)))</f>
        <v>700</v>
      </c>
      <c r="H761" s="7" t="str">
        <f aca="false">IF(A761&gt;=c_TFWD,IF(AND(A761&gt;=c_TMAP3IN,c_TMAP3IN&lt;1000),"Seg4 map3-100%",IF(AND(A761&gt;=c_TMAP2IN,c_TMAP3IN&gt;c_TMAP2IN),"Seg3 map2-map3",IF(AND(A761&gt;=c_TMAP1IN,c_TMAP2IN&gt;c_TMAP1IN),"Seg2 map1-map2","Seg1 TFWD-map1"))),IF(AND(A761=0,c_TCREEP&gt;0),"Creep",IF(AND(A761&lt;=c_TRNGMIN,A761&gt;=c_TRNGMAX,c_TRNGMIN-c_TRNGMAX&lt;&gt;0),"Regen ramp","Coast (0)")))</f>
        <v>Seg4 map3-100%</v>
      </c>
      <c r="I761" s="7" t="n">
        <f aca="false">IF(A761&gt;=c_TFWD,IF(AND(A761&gt;=c_TMAP3IN,c_TMAP3IN&lt;1000),G761,IF(AND(A761&gt;=c_TMAP2IN,c_TMAP3IN&gt;c_TMAP2IN),F761,IF(AND(A761&gt;=c_TMAP1IN,c_TMAP2IN&gt;c_TMAP1IN),E761,D761))),C761)</f>
        <v>700</v>
      </c>
      <c r="J761" s="7" t="str">
        <f aca="false">IF(I761&lt;-1090,"TOO LOW",IF(I761&gt;1090,"TOO HIGH",""))</f>
        <v/>
      </c>
      <c r="K761" s="15" t="n">
        <f aca="false">IF(J761&lt;&gt;"",0,IF(I761&gt;979,1000,I761))</f>
        <v>700</v>
      </c>
      <c r="L761" s="7" t="n">
        <f aca="false">K761/10</f>
        <v>70</v>
      </c>
    </row>
    <row r="762" customFormat="false" ht="15" hidden="false" customHeight="false" outlineLevel="0" collapsed="false">
      <c r="A762" s="7" t="n">
        <v>757</v>
      </c>
      <c r="B762" s="7" t="n">
        <f aca="false">A762/10</f>
        <v>75.7</v>
      </c>
      <c r="C762" s="7" t="n">
        <f aca="false">IF(AND(A762=0,c_TCREEP&gt;0),10*c_TCREEP,IF(AND(A762&lt;=c_TRNGMIN,A762&gt;=c_TRNGMAX,c_TRNGMIN-c_TRNGMAX&lt;&gt;0),-10*c_TMINRN+QUOTIENT((c_TMAXRN-c_TMINRN)*(100-QUOTIENT((A762-c_TRNGMAX)*100,c_TRNGMIN-c_TRNGMAX)),-10),0))</f>
        <v>0</v>
      </c>
      <c r="D762" s="7" t="n">
        <f aca="false">IF(((c_TMAP1IN)-(c_TFWD))=0,(0)+QUOTIENT(((c_TMAP1OUT)-(0)),2),QUOTIENT((((A762)-(c_TFWD))*((c_TMAP1OUT)-(0))+IF(((c_TMAP1OUT)-(0))&gt;=0,1,-1)*QUOTIENT(((c_TMAP1IN)-(c_TFWD)),2)),((c_TMAP1IN)-(c_TFWD)))+(0)+IF(((c_TMAP1OUT)-(0))&gt;=0,IF(IF(o_WRAP=1,MOD(((c_TMAP1IN)-(c_TFWD))*(((A762)-(c_TFWD))*((c_TMAP1OUT)-(0))+IF(((c_TMAP1OUT)-(0))&gt;=0,1,-1)*QUOTIENT(((c_TMAP1IN)-(c_TFWD)),2))+2147483648,4294967296)-2147483648,((c_TMAP1IN)-(c_TFWD))*(((A762)-(c_TFWD))*((c_TMAP1OUT)-(0))+IF(((c_TMAP1OUT)-(0))&gt;=0,1,-1)*QUOTIENT(((c_TMAP1IN)-(c_TFWD)),2)))&lt;0,-1,0),IF(IF(o_WRAP=1,MOD(((c_TMAP1IN)-(c_TFWD))*(((A762)-(c_TFWD))*((c_TMAP1OUT)-(0))+IF(((c_TMAP1OUT)-(0))&gt;=0,1,-1)*QUOTIENT(((c_TMAP1IN)-(c_TFWD)),2))+2147483648,4294967296)-2147483648,((c_TMAP1IN)-(c_TFWD))*(((A762)-(c_TFWD))*((c_TMAP1OUT)-(0))+IF(((c_TMAP1OUT)-(0))&gt;=0,1,-1)*QUOTIENT(((c_TMAP1IN)-(c_TFWD)),2)))&gt;=0,1,0)))</f>
        <v>581</v>
      </c>
      <c r="E762" s="7" t="n">
        <f aca="false">IF(((c_TMAP2IN)-(c_TMAP1IN))=0,(c_TMAP1OUT)+QUOTIENT(((c_TMAP2OUT)-(c_TMAP1OUT)),2),QUOTIENT((((A762)-(c_TMAP1IN))*((c_TMAP2OUT)-(c_TMAP1OUT))+IF(((c_TMAP2OUT)-(c_TMAP1OUT))&gt;=0,1,-1)*QUOTIENT(((c_TMAP2IN)-(c_TMAP1IN)),2)),((c_TMAP2IN)-(c_TMAP1IN)))+(c_TMAP1OUT)+IF(((c_TMAP2OUT)-(c_TMAP1OUT))&gt;=0,IF(IF(o_WRAP=1,MOD(((c_TMAP2IN)-(c_TMAP1IN))*(((A762)-(c_TMAP1IN))*((c_TMAP2OUT)-(c_TMAP1OUT))+IF(((c_TMAP2OUT)-(c_TMAP1OUT))&gt;=0,1,-1)*QUOTIENT(((c_TMAP2IN)-(c_TMAP1IN)),2))+2147483648,4294967296)-2147483648,((c_TMAP2IN)-(c_TMAP1IN))*(((A762)-(c_TMAP1IN))*((c_TMAP2OUT)-(c_TMAP1OUT))+IF(((c_TMAP2OUT)-(c_TMAP1OUT))&gt;=0,1,-1)*QUOTIENT(((c_TMAP2IN)-(c_TMAP1IN)),2)))&lt;0,-1,0),IF(IF(o_WRAP=1,MOD(((c_TMAP2IN)-(c_TMAP1IN))*(((A762)-(c_TMAP1IN))*((c_TMAP2OUT)-(c_TMAP1OUT))+IF(((c_TMAP2OUT)-(c_TMAP1OUT))&gt;=0,1,-1)*QUOTIENT(((c_TMAP2IN)-(c_TMAP1IN)),2))+2147483648,4294967296)-2147483648,((c_TMAP2IN)-(c_TMAP1IN))*(((A762)-(c_TMAP1IN))*((c_TMAP2OUT)-(c_TMAP1OUT))+IF(((c_TMAP2OUT)-(c_TMAP1OUT))&gt;=0,1,-1)*QUOTIENT(((c_TMAP2IN)-(c_TMAP1IN)),2)))&gt;=0,1,0)))</f>
        <v>333</v>
      </c>
      <c r="F762" s="7" t="n">
        <f aca="false">IF(((c_TMAP3IN)-(c_TMAP2IN))=0,(c_TMAP2OUT)+QUOTIENT(((c_TMAP3OUT)-(c_TMAP2OUT)),2),QUOTIENT((((A762)-(c_TMAP2IN))*((c_TMAP3OUT)-(c_TMAP2OUT))+IF(((c_TMAP3OUT)-(c_TMAP2OUT))&gt;=0,1,-1)*QUOTIENT(((c_TMAP3IN)-(c_TMAP2IN)),2)),((c_TMAP3IN)-(c_TMAP2IN)))+(c_TMAP2OUT)+IF(((c_TMAP3OUT)-(c_TMAP2OUT))&gt;=0,IF(IF(o_WRAP=1,MOD(((c_TMAP3IN)-(c_TMAP2IN))*(((A762)-(c_TMAP2IN))*((c_TMAP3OUT)-(c_TMAP2OUT))+IF(((c_TMAP3OUT)-(c_TMAP2OUT))&gt;=0,1,-1)*QUOTIENT(((c_TMAP3IN)-(c_TMAP2IN)),2))+2147483648,4294967296)-2147483648,((c_TMAP3IN)-(c_TMAP2IN))*(((A762)-(c_TMAP2IN))*((c_TMAP3OUT)-(c_TMAP2OUT))+IF(((c_TMAP3OUT)-(c_TMAP2OUT))&gt;=0,1,-1)*QUOTIENT(((c_TMAP3IN)-(c_TMAP2IN)),2)))&lt;0,-1,0),IF(IF(o_WRAP=1,MOD(((c_TMAP3IN)-(c_TMAP2IN))*(((A762)-(c_TMAP2IN))*((c_TMAP3OUT)-(c_TMAP2OUT))+IF(((c_TMAP3OUT)-(c_TMAP2OUT))&gt;=0,1,-1)*QUOTIENT(((c_TMAP3IN)-(c_TMAP2IN)),2))+2147483648,4294967296)-2147483648,((c_TMAP3IN)-(c_TMAP2IN))*(((A762)-(c_TMAP2IN))*((c_TMAP3OUT)-(c_TMAP2OUT))+IF(((c_TMAP3OUT)-(c_TMAP2OUT))&gt;=0,1,-1)*QUOTIENT(((c_TMAP3IN)-(c_TMAP2IN)),2)))&gt;=0,1,0)))</f>
        <v>485</v>
      </c>
      <c r="G762" s="7" t="n">
        <f aca="false">IF(((1000)-(c_TMAP3IN))=0,(c_TMAP3OUT)+QUOTIENT(((1000)-(c_TMAP3OUT)),2),QUOTIENT((((A762)-(c_TMAP3IN))*((1000)-(c_TMAP3OUT))+IF(((1000)-(c_TMAP3OUT))&gt;=0,1,-1)*QUOTIENT(((1000)-(c_TMAP3IN)),2)),((1000)-(c_TMAP3IN)))+(c_TMAP3OUT)+IF(((1000)-(c_TMAP3OUT))&gt;=0,IF(IF(o_WRAP=1,MOD(((1000)-(c_TMAP3IN))*(((A762)-(c_TMAP3IN))*((1000)-(c_TMAP3OUT))+IF(((1000)-(c_TMAP3OUT))&gt;=0,1,-1)*QUOTIENT(((1000)-(c_TMAP3IN)),2))+2147483648,4294967296)-2147483648,((1000)-(c_TMAP3IN))*(((A762)-(c_TMAP3IN))*((1000)-(c_TMAP3OUT))+IF(((1000)-(c_TMAP3OUT))&gt;=0,1,-1)*QUOTIENT(((1000)-(c_TMAP3IN)),2)))&lt;0,-1,0),IF(IF(o_WRAP=1,MOD(((1000)-(c_TMAP3IN))*(((A762)-(c_TMAP3IN))*((1000)-(c_TMAP3OUT))+IF(((1000)-(c_TMAP3OUT))&gt;=0,1,-1)*QUOTIENT(((1000)-(c_TMAP3IN)),2))+2147483648,4294967296)-2147483648,((1000)-(c_TMAP3IN))*(((A762)-(c_TMAP3IN))*((1000)-(c_TMAP3OUT))+IF(((1000)-(c_TMAP3OUT))&gt;=0,1,-1)*QUOTIENT(((1000)-(c_TMAP3IN)),2)))&gt;=0,1,0)))</f>
        <v>701</v>
      </c>
      <c r="H762" s="7" t="str">
        <f aca="false">IF(A762&gt;=c_TFWD,IF(AND(A762&gt;=c_TMAP3IN,c_TMAP3IN&lt;1000),"Seg4 map3-100%",IF(AND(A762&gt;=c_TMAP2IN,c_TMAP3IN&gt;c_TMAP2IN),"Seg3 map2-map3",IF(AND(A762&gt;=c_TMAP1IN,c_TMAP2IN&gt;c_TMAP1IN),"Seg2 map1-map2","Seg1 TFWD-map1"))),IF(AND(A762=0,c_TCREEP&gt;0),"Creep",IF(AND(A762&lt;=c_TRNGMIN,A762&gt;=c_TRNGMAX,c_TRNGMIN-c_TRNGMAX&lt;&gt;0),"Regen ramp","Coast (0)")))</f>
        <v>Seg4 map3-100%</v>
      </c>
      <c r="I762" s="7" t="n">
        <f aca="false">IF(A762&gt;=c_TFWD,IF(AND(A762&gt;=c_TMAP3IN,c_TMAP3IN&lt;1000),G762,IF(AND(A762&gt;=c_TMAP2IN,c_TMAP3IN&gt;c_TMAP2IN),F762,IF(AND(A762&gt;=c_TMAP1IN,c_TMAP2IN&gt;c_TMAP1IN),E762,D762))),C762)</f>
        <v>701</v>
      </c>
      <c r="J762" s="7" t="str">
        <f aca="false">IF(I762&lt;-1090,"TOO LOW",IF(I762&gt;1090,"TOO HIGH",""))</f>
        <v/>
      </c>
      <c r="K762" s="15" t="n">
        <f aca="false">IF(J762&lt;&gt;"",0,IF(I762&gt;979,1000,I762))</f>
        <v>701</v>
      </c>
      <c r="L762" s="7" t="n">
        <f aca="false">K762/10</f>
        <v>70.1</v>
      </c>
    </row>
    <row r="763" customFormat="false" ht="15" hidden="false" customHeight="false" outlineLevel="0" collapsed="false">
      <c r="A763" s="7" t="n">
        <v>758</v>
      </c>
      <c r="B763" s="7" t="n">
        <f aca="false">A763/10</f>
        <v>75.8</v>
      </c>
      <c r="C763" s="7" t="n">
        <f aca="false">IF(AND(A763=0,c_TCREEP&gt;0),10*c_TCREEP,IF(AND(A763&lt;=c_TRNGMIN,A763&gt;=c_TRNGMAX,c_TRNGMIN-c_TRNGMAX&lt;&gt;0),-10*c_TMINRN+QUOTIENT((c_TMAXRN-c_TMINRN)*(100-QUOTIENT((A763-c_TRNGMAX)*100,c_TRNGMIN-c_TRNGMAX)),-10),0))</f>
        <v>0</v>
      </c>
      <c r="D763" s="7" t="n">
        <f aca="false">IF(((c_TMAP1IN)-(c_TFWD))=0,(0)+QUOTIENT(((c_TMAP1OUT)-(0)),2),QUOTIENT((((A763)-(c_TFWD))*((c_TMAP1OUT)-(0))+IF(((c_TMAP1OUT)-(0))&gt;=0,1,-1)*QUOTIENT(((c_TMAP1IN)-(c_TFWD)),2)),((c_TMAP1IN)-(c_TFWD)))+(0)+IF(((c_TMAP1OUT)-(0))&gt;=0,IF(IF(o_WRAP=1,MOD(((c_TMAP1IN)-(c_TFWD))*(((A763)-(c_TFWD))*((c_TMAP1OUT)-(0))+IF(((c_TMAP1OUT)-(0))&gt;=0,1,-1)*QUOTIENT(((c_TMAP1IN)-(c_TFWD)),2))+2147483648,4294967296)-2147483648,((c_TMAP1IN)-(c_TFWD))*(((A763)-(c_TFWD))*((c_TMAP1OUT)-(0))+IF(((c_TMAP1OUT)-(0))&gt;=0,1,-1)*QUOTIENT(((c_TMAP1IN)-(c_TFWD)),2)))&lt;0,-1,0),IF(IF(o_WRAP=1,MOD(((c_TMAP1IN)-(c_TFWD))*(((A763)-(c_TFWD))*((c_TMAP1OUT)-(0))+IF(((c_TMAP1OUT)-(0))&gt;=0,1,-1)*QUOTIENT(((c_TMAP1IN)-(c_TFWD)),2))+2147483648,4294967296)-2147483648,((c_TMAP1IN)-(c_TFWD))*(((A763)-(c_TFWD))*((c_TMAP1OUT)-(0))+IF(((c_TMAP1OUT)-(0))&gt;=0,1,-1)*QUOTIENT(((c_TMAP1IN)-(c_TFWD)),2)))&gt;=0,1,0)))</f>
        <v>582</v>
      </c>
      <c r="E763" s="7" t="n">
        <f aca="false">IF(((c_TMAP2IN)-(c_TMAP1IN))=0,(c_TMAP1OUT)+QUOTIENT(((c_TMAP2OUT)-(c_TMAP1OUT)),2),QUOTIENT((((A763)-(c_TMAP1IN))*((c_TMAP2OUT)-(c_TMAP1OUT))+IF(((c_TMAP2OUT)-(c_TMAP1OUT))&gt;=0,1,-1)*QUOTIENT(((c_TMAP2IN)-(c_TMAP1IN)),2)),((c_TMAP2IN)-(c_TMAP1IN)))+(c_TMAP1OUT)+IF(((c_TMAP2OUT)-(c_TMAP1OUT))&gt;=0,IF(IF(o_WRAP=1,MOD(((c_TMAP2IN)-(c_TMAP1IN))*(((A763)-(c_TMAP1IN))*((c_TMAP2OUT)-(c_TMAP1OUT))+IF(((c_TMAP2OUT)-(c_TMAP1OUT))&gt;=0,1,-1)*QUOTIENT(((c_TMAP2IN)-(c_TMAP1IN)),2))+2147483648,4294967296)-2147483648,((c_TMAP2IN)-(c_TMAP1IN))*(((A763)-(c_TMAP1IN))*((c_TMAP2OUT)-(c_TMAP1OUT))+IF(((c_TMAP2OUT)-(c_TMAP1OUT))&gt;=0,1,-1)*QUOTIENT(((c_TMAP2IN)-(c_TMAP1IN)),2)))&lt;0,-1,0),IF(IF(o_WRAP=1,MOD(((c_TMAP2IN)-(c_TMAP1IN))*(((A763)-(c_TMAP1IN))*((c_TMAP2OUT)-(c_TMAP1OUT))+IF(((c_TMAP2OUT)-(c_TMAP1OUT))&gt;=0,1,-1)*QUOTIENT(((c_TMAP2IN)-(c_TMAP1IN)),2))+2147483648,4294967296)-2147483648,((c_TMAP2IN)-(c_TMAP1IN))*(((A763)-(c_TMAP1IN))*((c_TMAP2OUT)-(c_TMAP1OUT))+IF(((c_TMAP2OUT)-(c_TMAP1OUT))&gt;=0,1,-1)*QUOTIENT(((c_TMAP2IN)-(c_TMAP1IN)),2)))&gt;=0,1,0)))</f>
        <v>333</v>
      </c>
      <c r="F763" s="7" t="n">
        <f aca="false">IF(((c_TMAP3IN)-(c_TMAP2IN))=0,(c_TMAP2OUT)+QUOTIENT(((c_TMAP3OUT)-(c_TMAP2OUT)),2),QUOTIENT((((A763)-(c_TMAP2IN))*((c_TMAP3OUT)-(c_TMAP2OUT))+IF(((c_TMAP3OUT)-(c_TMAP2OUT))&gt;=0,1,-1)*QUOTIENT(((c_TMAP3IN)-(c_TMAP2IN)),2)),((c_TMAP3IN)-(c_TMAP2IN)))+(c_TMAP2OUT)+IF(((c_TMAP3OUT)-(c_TMAP2OUT))&gt;=0,IF(IF(o_WRAP=1,MOD(((c_TMAP3IN)-(c_TMAP2IN))*(((A763)-(c_TMAP2IN))*((c_TMAP3OUT)-(c_TMAP2OUT))+IF(((c_TMAP3OUT)-(c_TMAP2OUT))&gt;=0,1,-1)*QUOTIENT(((c_TMAP3IN)-(c_TMAP2IN)),2))+2147483648,4294967296)-2147483648,((c_TMAP3IN)-(c_TMAP2IN))*(((A763)-(c_TMAP2IN))*((c_TMAP3OUT)-(c_TMAP2OUT))+IF(((c_TMAP3OUT)-(c_TMAP2OUT))&gt;=0,1,-1)*QUOTIENT(((c_TMAP3IN)-(c_TMAP2IN)),2)))&lt;0,-1,0),IF(IF(o_WRAP=1,MOD(((c_TMAP3IN)-(c_TMAP2IN))*(((A763)-(c_TMAP2IN))*((c_TMAP3OUT)-(c_TMAP2OUT))+IF(((c_TMAP3OUT)-(c_TMAP2OUT))&gt;=0,1,-1)*QUOTIENT(((c_TMAP3IN)-(c_TMAP2IN)),2))+2147483648,4294967296)-2147483648,((c_TMAP3IN)-(c_TMAP2IN))*(((A763)-(c_TMAP2IN))*((c_TMAP3OUT)-(c_TMAP2OUT))+IF(((c_TMAP3OUT)-(c_TMAP2OUT))&gt;=0,1,-1)*QUOTIENT(((c_TMAP3IN)-(c_TMAP2IN)),2)))&gt;=0,1,0)))</f>
        <v>486</v>
      </c>
      <c r="G763" s="7" t="n">
        <f aca="false">IF(((1000)-(c_TMAP3IN))=0,(c_TMAP3OUT)+QUOTIENT(((1000)-(c_TMAP3OUT)),2),QUOTIENT((((A763)-(c_TMAP3IN))*((1000)-(c_TMAP3OUT))+IF(((1000)-(c_TMAP3OUT))&gt;=0,1,-1)*QUOTIENT(((1000)-(c_TMAP3IN)),2)),((1000)-(c_TMAP3IN)))+(c_TMAP3OUT)+IF(((1000)-(c_TMAP3OUT))&gt;=0,IF(IF(o_WRAP=1,MOD(((1000)-(c_TMAP3IN))*(((A763)-(c_TMAP3IN))*((1000)-(c_TMAP3OUT))+IF(((1000)-(c_TMAP3OUT))&gt;=0,1,-1)*QUOTIENT(((1000)-(c_TMAP3IN)),2))+2147483648,4294967296)-2147483648,((1000)-(c_TMAP3IN))*(((A763)-(c_TMAP3IN))*((1000)-(c_TMAP3OUT))+IF(((1000)-(c_TMAP3OUT))&gt;=0,1,-1)*QUOTIENT(((1000)-(c_TMAP3IN)),2)))&lt;0,-1,0),IF(IF(o_WRAP=1,MOD(((1000)-(c_TMAP3IN))*(((A763)-(c_TMAP3IN))*((1000)-(c_TMAP3OUT))+IF(((1000)-(c_TMAP3OUT))&gt;=0,1,-1)*QUOTIENT(((1000)-(c_TMAP3IN)),2))+2147483648,4294967296)-2147483648,((1000)-(c_TMAP3IN))*(((A763)-(c_TMAP3IN))*((1000)-(c_TMAP3OUT))+IF(((1000)-(c_TMAP3OUT))&gt;=0,1,-1)*QUOTIENT(((1000)-(c_TMAP3IN)),2)))&gt;=0,1,0)))</f>
        <v>702</v>
      </c>
      <c r="H763" s="7" t="str">
        <f aca="false">IF(A763&gt;=c_TFWD,IF(AND(A763&gt;=c_TMAP3IN,c_TMAP3IN&lt;1000),"Seg4 map3-100%",IF(AND(A763&gt;=c_TMAP2IN,c_TMAP3IN&gt;c_TMAP2IN),"Seg3 map2-map3",IF(AND(A763&gt;=c_TMAP1IN,c_TMAP2IN&gt;c_TMAP1IN),"Seg2 map1-map2","Seg1 TFWD-map1"))),IF(AND(A763=0,c_TCREEP&gt;0),"Creep",IF(AND(A763&lt;=c_TRNGMIN,A763&gt;=c_TRNGMAX,c_TRNGMIN-c_TRNGMAX&lt;&gt;0),"Regen ramp","Coast (0)")))</f>
        <v>Seg4 map3-100%</v>
      </c>
      <c r="I763" s="7" t="n">
        <f aca="false">IF(A763&gt;=c_TFWD,IF(AND(A763&gt;=c_TMAP3IN,c_TMAP3IN&lt;1000),G763,IF(AND(A763&gt;=c_TMAP2IN,c_TMAP3IN&gt;c_TMAP2IN),F763,IF(AND(A763&gt;=c_TMAP1IN,c_TMAP2IN&gt;c_TMAP1IN),E763,D763))),C763)</f>
        <v>702</v>
      </c>
      <c r="J763" s="7" t="str">
        <f aca="false">IF(I763&lt;-1090,"TOO LOW",IF(I763&gt;1090,"TOO HIGH",""))</f>
        <v/>
      </c>
      <c r="K763" s="15" t="n">
        <f aca="false">IF(J763&lt;&gt;"",0,IF(I763&gt;979,1000,I763))</f>
        <v>702</v>
      </c>
      <c r="L763" s="7" t="n">
        <f aca="false">K763/10</f>
        <v>70.2</v>
      </c>
    </row>
    <row r="764" customFormat="false" ht="15" hidden="false" customHeight="false" outlineLevel="0" collapsed="false">
      <c r="A764" s="7" t="n">
        <v>759</v>
      </c>
      <c r="B764" s="7" t="n">
        <f aca="false">A764/10</f>
        <v>75.9</v>
      </c>
      <c r="C764" s="7" t="n">
        <f aca="false">IF(AND(A764=0,c_TCREEP&gt;0),10*c_TCREEP,IF(AND(A764&lt;=c_TRNGMIN,A764&gt;=c_TRNGMAX,c_TRNGMIN-c_TRNGMAX&lt;&gt;0),-10*c_TMINRN+QUOTIENT((c_TMAXRN-c_TMINRN)*(100-QUOTIENT((A764-c_TRNGMAX)*100,c_TRNGMIN-c_TRNGMAX)),-10),0))</f>
        <v>0</v>
      </c>
      <c r="D764" s="7" t="n">
        <f aca="false">IF(((c_TMAP1IN)-(c_TFWD))=0,(0)+QUOTIENT(((c_TMAP1OUT)-(0)),2),QUOTIENT((((A764)-(c_TFWD))*((c_TMAP1OUT)-(0))+IF(((c_TMAP1OUT)-(0))&gt;=0,1,-1)*QUOTIENT(((c_TMAP1IN)-(c_TFWD)),2)),((c_TMAP1IN)-(c_TFWD)))+(0)+IF(((c_TMAP1OUT)-(0))&gt;=0,IF(IF(o_WRAP=1,MOD(((c_TMAP1IN)-(c_TFWD))*(((A764)-(c_TFWD))*((c_TMAP1OUT)-(0))+IF(((c_TMAP1OUT)-(0))&gt;=0,1,-1)*QUOTIENT(((c_TMAP1IN)-(c_TFWD)),2))+2147483648,4294967296)-2147483648,((c_TMAP1IN)-(c_TFWD))*(((A764)-(c_TFWD))*((c_TMAP1OUT)-(0))+IF(((c_TMAP1OUT)-(0))&gt;=0,1,-1)*QUOTIENT(((c_TMAP1IN)-(c_TFWD)),2)))&lt;0,-1,0),IF(IF(o_WRAP=1,MOD(((c_TMAP1IN)-(c_TFWD))*(((A764)-(c_TFWD))*((c_TMAP1OUT)-(0))+IF(((c_TMAP1OUT)-(0))&gt;=0,1,-1)*QUOTIENT(((c_TMAP1IN)-(c_TFWD)),2))+2147483648,4294967296)-2147483648,((c_TMAP1IN)-(c_TFWD))*(((A764)-(c_TFWD))*((c_TMAP1OUT)-(0))+IF(((c_TMAP1OUT)-(0))&gt;=0,1,-1)*QUOTIENT(((c_TMAP1IN)-(c_TFWD)),2)))&gt;=0,1,0)))</f>
        <v>583</v>
      </c>
      <c r="E764" s="7" t="n">
        <f aca="false">IF(((c_TMAP2IN)-(c_TMAP1IN))=0,(c_TMAP1OUT)+QUOTIENT(((c_TMAP2OUT)-(c_TMAP1OUT)),2),QUOTIENT((((A764)-(c_TMAP1IN))*((c_TMAP2OUT)-(c_TMAP1OUT))+IF(((c_TMAP2OUT)-(c_TMAP1OUT))&gt;=0,1,-1)*QUOTIENT(((c_TMAP2IN)-(c_TMAP1IN)),2)),((c_TMAP2IN)-(c_TMAP1IN)))+(c_TMAP1OUT)+IF(((c_TMAP2OUT)-(c_TMAP1OUT))&gt;=0,IF(IF(o_WRAP=1,MOD(((c_TMAP2IN)-(c_TMAP1IN))*(((A764)-(c_TMAP1IN))*((c_TMAP2OUT)-(c_TMAP1OUT))+IF(((c_TMAP2OUT)-(c_TMAP1OUT))&gt;=0,1,-1)*QUOTIENT(((c_TMAP2IN)-(c_TMAP1IN)),2))+2147483648,4294967296)-2147483648,((c_TMAP2IN)-(c_TMAP1IN))*(((A764)-(c_TMAP1IN))*((c_TMAP2OUT)-(c_TMAP1OUT))+IF(((c_TMAP2OUT)-(c_TMAP1OUT))&gt;=0,1,-1)*QUOTIENT(((c_TMAP2IN)-(c_TMAP1IN)),2)))&lt;0,-1,0),IF(IF(o_WRAP=1,MOD(((c_TMAP2IN)-(c_TMAP1IN))*(((A764)-(c_TMAP1IN))*((c_TMAP2OUT)-(c_TMAP1OUT))+IF(((c_TMAP2OUT)-(c_TMAP1OUT))&gt;=0,1,-1)*QUOTIENT(((c_TMAP2IN)-(c_TMAP1IN)),2))+2147483648,4294967296)-2147483648,((c_TMAP2IN)-(c_TMAP1IN))*(((A764)-(c_TMAP1IN))*((c_TMAP2OUT)-(c_TMAP1OUT))+IF(((c_TMAP2OUT)-(c_TMAP1OUT))&gt;=0,1,-1)*QUOTIENT(((c_TMAP2IN)-(c_TMAP1IN)),2)))&gt;=0,1,0)))</f>
        <v>334</v>
      </c>
      <c r="F764" s="7" t="n">
        <f aca="false">IF(((c_TMAP3IN)-(c_TMAP2IN))=0,(c_TMAP2OUT)+QUOTIENT(((c_TMAP3OUT)-(c_TMAP2OUT)),2),QUOTIENT((((A764)-(c_TMAP2IN))*((c_TMAP3OUT)-(c_TMAP2OUT))+IF(((c_TMAP3OUT)-(c_TMAP2OUT))&gt;=0,1,-1)*QUOTIENT(((c_TMAP3IN)-(c_TMAP2IN)),2)),((c_TMAP3IN)-(c_TMAP2IN)))+(c_TMAP2OUT)+IF(((c_TMAP3OUT)-(c_TMAP2OUT))&gt;=0,IF(IF(o_WRAP=1,MOD(((c_TMAP3IN)-(c_TMAP2IN))*(((A764)-(c_TMAP2IN))*((c_TMAP3OUT)-(c_TMAP2OUT))+IF(((c_TMAP3OUT)-(c_TMAP2OUT))&gt;=0,1,-1)*QUOTIENT(((c_TMAP3IN)-(c_TMAP2IN)),2))+2147483648,4294967296)-2147483648,((c_TMAP3IN)-(c_TMAP2IN))*(((A764)-(c_TMAP2IN))*((c_TMAP3OUT)-(c_TMAP2OUT))+IF(((c_TMAP3OUT)-(c_TMAP2OUT))&gt;=0,1,-1)*QUOTIENT(((c_TMAP3IN)-(c_TMAP2IN)),2)))&lt;0,-1,0),IF(IF(o_WRAP=1,MOD(((c_TMAP3IN)-(c_TMAP2IN))*(((A764)-(c_TMAP2IN))*((c_TMAP3OUT)-(c_TMAP2OUT))+IF(((c_TMAP3OUT)-(c_TMAP2OUT))&gt;=0,1,-1)*QUOTIENT(((c_TMAP3IN)-(c_TMAP2IN)),2))+2147483648,4294967296)-2147483648,((c_TMAP3IN)-(c_TMAP2IN))*(((A764)-(c_TMAP2IN))*((c_TMAP3OUT)-(c_TMAP2OUT))+IF(((c_TMAP3OUT)-(c_TMAP2OUT))&gt;=0,1,-1)*QUOTIENT(((c_TMAP3IN)-(c_TMAP2IN)),2)))&gt;=0,1,0)))</f>
        <v>486</v>
      </c>
      <c r="G764" s="7" t="n">
        <f aca="false">IF(((1000)-(c_TMAP3IN))=0,(c_TMAP3OUT)+QUOTIENT(((1000)-(c_TMAP3OUT)),2),QUOTIENT((((A764)-(c_TMAP3IN))*((1000)-(c_TMAP3OUT))+IF(((1000)-(c_TMAP3OUT))&gt;=0,1,-1)*QUOTIENT(((1000)-(c_TMAP3IN)),2)),((1000)-(c_TMAP3IN)))+(c_TMAP3OUT)+IF(((1000)-(c_TMAP3OUT))&gt;=0,IF(IF(o_WRAP=1,MOD(((1000)-(c_TMAP3IN))*(((A764)-(c_TMAP3IN))*((1000)-(c_TMAP3OUT))+IF(((1000)-(c_TMAP3OUT))&gt;=0,1,-1)*QUOTIENT(((1000)-(c_TMAP3IN)),2))+2147483648,4294967296)-2147483648,((1000)-(c_TMAP3IN))*(((A764)-(c_TMAP3IN))*((1000)-(c_TMAP3OUT))+IF(((1000)-(c_TMAP3OUT))&gt;=0,1,-1)*QUOTIENT(((1000)-(c_TMAP3IN)),2)))&lt;0,-1,0),IF(IF(o_WRAP=1,MOD(((1000)-(c_TMAP3IN))*(((A764)-(c_TMAP3IN))*((1000)-(c_TMAP3OUT))+IF(((1000)-(c_TMAP3OUT))&gt;=0,1,-1)*QUOTIENT(((1000)-(c_TMAP3IN)),2))+2147483648,4294967296)-2147483648,((1000)-(c_TMAP3IN))*(((A764)-(c_TMAP3IN))*((1000)-(c_TMAP3OUT))+IF(((1000)-(c_TMAP3OUT))&gt;=0,1,-1)*QUOTIENT(((1000)-(c_TMAP3IN)),2)))&gt;=0,1,0)))</f>
        <v>703</v>
      </c>
      <c r="H764" s="7" t="str">
        <f aca="false">IF(A764&gt;=c_TFWD,IF(AND(A764&gt;=c_TMAP3IN,c_TMAP3IN&lt;1000),"Seg4 map3-100%",IF(AND(A764&gt;=c_TMAP2IN,c_TMAP3IN&gt;c_TMAP2IN),"Seg3 map2-map3",IF(AND(A764&gt;=c_TMAP1IN,c_TMAP2IN&gt;c_TMAP1IN),"Seg2 map1-map2","Seg1 TFWD-map1"))),IF(AND(A764=0,c_TCREEP&gt;0),"Creep",IF(AND(A764&lt;=c_TRNGMIN,A764&gt;=c_TRNGMAX,c_TRNGMIN-c_TRNGMAX&lt;&gt;0),"Regen ramp","Coast (0)")))</f>
        <v>Seg4 map3-100%</v>
      </c>
      <c r="I764" s="7" t="n">
        <f aca="false">IF(A764&gt;=c_TFWD,IF(AND(A764&gt;=c_TMAP3IN,c_TMAP3IN&lt;1000),G764,IF(AND(A764&gt;=c_TMAP2IN,c_TMAP3IN&gt;c_TMAP2IN),F764,IF(AND(A764&gt;=c_TMAP1IN,c_TMAP2IN&gt;c_TMAP1IN),E764,D764))),C764)</f>
        <v>703</v>
      </c>
      <c r="J764" s="7" t="str">
        <f aca="false">IF(I764&lt;-1090,"TOO LOW",IF(I764&gt;1090,"TOO HIGH",""))</f>
        <v/>
      </c>
      <c r="K764" s="15" t="n">
        <f aca="false">IF(J764&lt;&gt;"",0,IF(I764&gt;979,1000,I764))</f>
        <v>703</v>
      </c>
      <c r="L764" s="7" t="n">
        <f aca="false">K764/10</f>
        <v>70.3</v>
      </c>
    </row>
    <row r="765" customFormat="false" ht="15" hidden="false" customHeight="false" outlineLevel="0" collapsed="false">
      <c r="A765" s="7" t="n">
        <v>760</v>
      </c>
      <c r="B765" s="7" t="n">
        <f aca="false">A765/10</f>
        <v>76</v>
      </c>
      <c r="C765" s="7" t="n">
        <f aca="false">IF(AND(A765=0,c_TCREEP&gt;0),10*c_TCREEP,IF(AND(A765&lt;=c_TRNGMIN,A765&gt;=c_TRNGMAX,c_TRNGMIN-c_TRNGMAX&lt;&gt;0),-10*c_TMINRN+QUOTIENT((c_TMAXRN-c_TMINRN)*(100-QUOTIENT((A765-c_TRNGMAX)*100,c_TRNGMIN-c_TRNGMAX)),-10),0))</f>
        <v>0</v>
      </c>
      <c r="D765" s="7" t="n">
        <f aca="false">IF(((c_TMAP1IN)-(c_TFWD))=0,(0)+QUOTIENT(((c_TMAP1OUT)-(0)),2),QUOTIENT((((A765)-(c_TFWD))*((c_TMAP1OUT)-(0))+IF(((c_TMAP1OUT)-(0))&gt;=0,1,-1)*QUOTIENT(((c_TMAP1IN)-(c_TFWD)),2)),((c_TMAP1IN)-(c_TFWD)))+(0)+IF(((c_TMAP1OUT)-(0))&gt;=0,IF(IF(o_WRAP=1,MOD(((c_TMAP1IN)-(c_TFWD))*(((A765)-(c_TFWD))*((c_TMAP1OUT)-(0))+IF(((c_TMAP1OUT)-(0))&gt;=0,1,-1)*QUOTIENT(((c_TMAP1IN)-(c_TFWD)),2))+2147483648,4294967296)-2147483648,((c_TMAP1IN)-(c_TFWD))*(((A765)-(c_TFWD))*((c_TMAP1OUT)-(0))+IF(((c_TMAP1OUT)-(0))&gt;=0,1,-1)*QUOTIENT(((c_TMAP1IN)-(c_TFWD)),2)))&lt;0,-1,0),IF(IF(o_WRAP=1,MOD(((c_TMAP1IN)-(c_TFWD))*(((A765)-(c_TFWD))*((c_TMAP1OUT)-(0))+IF(((c_TMAP1OUT)-(0))&gt;=0,1,-1)*QUOTIENT(((c_TMAP1IN)-(c_TFWD)),2))+2147483648,4294967296)-2147483648,((c_TMAP1IN)-(c_TFWD))*(((A765)-(c_TFWD))*((c_TMAP1OUT)-(0))+IF(((c_TMAP1OUT)-(0))&gt;=0,1,-1)*QUOTIENT(((c_TMAP1IN)-(c_TFWD)),2)))&gt;=0,1,0)))</f>
        <v>583</v>
      </c>
      <c r="E765" s="7" t="n">
        <f aca="false">IF(((c_TMAP2IN)-(c_TMAP1IN))=0,(c_TMAP1OUT)+QUOTIENT(((c_TMAP2OUT)-(c_TMAP1OUT)),2),QUOTIENT((((A765)-(c_TMAP1IN))*((c_TMAP2OUT)-(c_TMAP1OUT))+IF(((c_TMAP2OUT)-(c_TMAP1OUT))&gt;=0,1,-1)*QUOTIENT(((c_TMAP2IN)-(c_TMAP1IN)),2)),((c_TMAP2IN)-(c_TMAP1IN)))+(c_TMAP1OUT)+IF(((c_TMAP2OUT)-(c_TMAP1OUT))&gt;=0,IF(IF(o_WRAP=1,MOD(((c_TMAP2IN)-(c_TMAP1IN))*(((A765)-(c_TMAP1IN))*((c_TMAP2OUT)-(c_TMAP1OUT))+IF(((c_TMAP2OUT)-(c_TMAP1OUT))&gt;=0,1,-1)*QUOTIENT(((c_TMAP2IN)-(c_TMAP1IN)),2))+2147483648,4294967296)-2147483648,((c_TMAP2IN)-(c_TMAP1IN))*(((A765)-(c_TMAP1IN))*((c_TMAP2OUT)-(c_TMAP1OUT))+IF(((c_TMAP2OUT)-(c_TMAP1OUT))&gt;=0,1,-1)*QUOTIENT(((c_TMAP2IN)-(c_TMAP1IN)),2)))&lt;0,-1,0),IF(IF(o_WRAP=1,MOD(((c_TMAP2IN)-(c_TMAP1IN))*(((A765)-(c_TMAP1IN))*((c_TMAP2OUT)-(c_TMAP1OUT))+IF(((c_TMAP2OUT)-(c_TMAP1OUT))&gt;=0,1,-1)*QUOTIENT(((c_TMAP2IN)-(c_TMAP1IN)),2))+2147483648,4294967296)-2147483648,((c_TMAP2IN)-(c_TMAP1IN))*(((A765)-(c_TMAP1IN))*((c_TMAP2OUT)-(c_TMAP1OUT))+IF(((c_TMAP2OUT)-(c_TMAP1OUT))&gt;=0,1,-1)*QUOTIENT(((c_TMAP2IN)-(c_TMAP1IN)),2)))&gt;=0,1,0)))</f>
        <v>334</v>
      </c>
      <c r="F765" s="7" t="n">
        <f aca="false">IF(((c_TMAP3IN)-(c_TMAP2IN))=0,(c_TMAP2OUT)+QUOTIENT(((c_TMAP3OUT)-(c_TMAP2OUT)),2),QUOTIENT((((A765)-(c_TMAP2IN))*((c_TMAP3OUT)-(c_TMAP2OUT))+IF(((c_TMAP3OUT)-(c_TMAP2OUT))&gt;=0,1,-1)*QUOTIENT(((c_TMAP3IN)-(c_TMAP2IN)),2)),((c_TMAP3IN)-(c_TMAP2IN)))+(c_TMAP2OUT)+IF(((c_TMAP3OUT)-(c_TMAP2OUT))&gt;=0,IF(IF(o_WRAP=1,MOD(((c_TMAP3IN)-(c_TMAP2IN))*(((A765)-(c_TMAP2IN))*((c_TMAP3OUT)-(c_TMAP2OUT))+IF(((c_TMAP3OUT)-(c_TMAP2OUT))&gt;=0,1,-1)*QUOTIENT(((c_TMAP3IN)-(c_TMAP2IN)),2))+2147483648,4294967296)-2147483648,((c_TMAP3IN)-(c_TMAP2IN))*(((A765)-(c_TMAP2IN))*((c_TMAP3OUT)-(c_TMAP2OUT))+IF(((c_TMAP3OUT)-(c_TMAP2OUT))&gt;=0,1,-1)*QUOTIENT(((c_TMAP3IN)-(c_TMAP2IN)),2)))&lt;0,-1,0),IF(IF(o_WRAP=1,MOD(((c_TMAP3IN)-(c_TMAP2IN))*(((A765)-(c_TMAP2IN))*((c_TMAP3OUT)-(c_TMAP2OUT))+IF(((c_TMAP3OUT)-(c_TMAP2OUT))&gt;=0,1,-1)*QUOTIENT(((c_TMAP3IN)-(c_TMAP2IN)),2))+2147483648,4294967296)-2147483648,((c_TMAP3IN)-(c_TMAP2IN))*(((A765)-(c_TMAP2IN))*((c_TMAP3OUT)-(c_TMAP2OUT))+IF(((c_TMAP3OUT)-(c_TMAP2OUT))&gt;=0,1,-1)*QUOTIENT(((c_TMAP3IN)-(c_TMAP2IN)),2)))&gt;=0,1,0)))</f>
        <v>487</v>
      </c>
      <c r="G765" s="7" t="n">
        <f aca="false">IF(((1000)-(c_TMAP3IN))=0,(c_TMAP3OUT)+QUOTIENT(((1000)-(c_TMAP3OUT)),2),QUOTIENT((((A765)-(c_TMAP3IN))*((1000)-(c_TMAP3OUT))+IF(((1000)-(c_TMAP3OUT))&gt;=0,1,-1)*QUOTIENT(((1000)-(c_TMAP3IN)),2)),((1000)-(c_TMAP3IN)))+(c_TMAP3OUT)+IF(((1000)-(c_TMAP3OUT))&gt;=0,IF(IF(o_WRAP=1,MOD(((1000)-(c_TMAP3IN))*(((A765)-(c_TMAP3IN))*((1000)-(c_TMAP3OUT))+IF(((1000)-(c_TMAP3OUT))&gt;=0,1,-1)*QUOTIENT(((1000)-(c_TMAP3IN)),2))+2147483648,4294967296)-2147483648,((1000)-(c_TMAP3IN))*(((A765)-(c_TMAP3IN))*((1000)-(c_TMAP3OUT))+IF(((1000)-(c_TMAP3OUT))&gt;=0,1,-1)*QUOTIENT(((1000)-(c_TMAP3IN)),2)))&lt;0,-1,0),IF(IF(o_WRAP=1,MOD(((1000)-(c_TMAP3IN))*(((A765)-(c_TMAP3IN))*((1000)-(c_TMAP3OUT))+IF(((1000)-(c_TMAP3OUT))&gt;=0,1,-1)*QUOTIENT(((1000)-(c_TMAP3IN)),2))+2147483648,4294967296)-2147483648,((1000)-(c_TMAP3IN))*(((A765)-(c_TMAP3IN))*((1000)-(c_TMAP3OUT))+IF(((1000)-(c_TMAP3OUT))&gt;=0,1,-1)*QUOTIENT(((1000)-(c_TMAP3IN)),2)))&gt;=0,1,0)))</f>
        <v>705</v>
      </c>
      <c r="H765" s="7" t="str">
        <f aca="false">IF(A765&gt;=c_TFWD,IF(AND(A765&gt;=c_TMAP3IN,c_TMAP3IN&lt;1000),"Seg4 map3-100%",IF(AND(A765&gt;=c_TMAP2IN,c_TMAP3IN&gt;c_TMAP2IN),"Seg3 map2-map3",IF(AND(A765&gt;=c_TMAP1IN,c_TMAP2IN&gt;c_TMAP1IN),"Seg2 map1-map2","Seg1 TFWD-map1"))),IF(AND(A765=0,c_TCREEP&gt;0),"Creep",IF(AND(A765&lt;=c_TRNGMIN,A765&gt;=c_TRNGMAX,c_TRNGMIN-c_TRNGMAX&lt;&gt;0),"Regen ramp","Coast (0)")))</f>
        <v>Seg4 map3-100%</v>
      </c>
      <c r="I765" s="7" t="n">
        <f aca="false">IF(A765&gt;=c_TFWD,IF(AND(A765&gt;=c_TMAP3IN,c_TMAP3IN&lt;1000),G765,IF(AND(A765&gt;=c_TMAP2IN,c_TMAP3IN&gt;c_TMAP2IN),F765,IF(AND(A765&gt;=c_TMAP1IN,c_TMAP2IN&gt;c_TMAP1IN),E765,D765))),C765)</f>
        <v>705</v>
      </c>
      <c r="J765" s="7" t="str">
        <f aca="false">IF(I765&lt;-1090,"TOO LOW",IF(I765&gt;1090,"TOO HIGH",""))</f>
        <v/>
      </c>
      <c r="K765" s="15" t="n">
        <f aca="false">IF(J765&lt;&gt;"",0,IF(I765&gt;979,1000,I765))</f>
        <v>705</v>
      </c>
      <c r="L765" s="7" t="n">
        <f aca="false">K765/10</f>
        <v>70.5</v>
      </c>
    </row>
    <row r="766" customFormat="false" ht="15" hidden="false" customHeight="false" outlineLevel="0" collapsed="false">
      <c r="A766" s="7" t="n">
        <v>761</v>
      </c>
      <c r="B766" s="7" t="n">
        <f aca="false">A766/10</f>
        <v>76.1</v>
      </c>
      <c r="C766" s="7" t="n">
        <f aca="false">IF(AND(A766=0,c_TCREEP&gt;0),10*c_TCREEP,IF(AND(A766&lt;=c_TRNGMIN,A766&gt;=c_TRNGMAX,c_TRNGMIN-c_TRNGMAX&lt;&gt;0),-10*c_TMINRN+QUOTIENT((c_TMAXRN-c_TMINRN)*(100-QUOTIENT((A766-c_TRNGMAX)*100,c_TRNGMIN-c_TRNGMAX)),-10),0))</f>
        <v>0</v>
      </c>
      <c r="D766" s="7" t="n">
        <f aca="false">IF(((c_TMAP1IN)-(c_TFWD))=0,(0)+QUOTIENT(((c_TMAP1OUT)-(0)),2),QUOTIENT((((A766)-(c_TFWD))*((c_TMAP1OUT)-(0))+IF(((c_TMAP1OUT)-(0))&gt;=0,1,-1)*QUOTIENT(((c_TMAP1IN)-(c_TFWD)),2)),((c_TMAP1IN)-(c_TFWD)))+(0)+IF(((c_TMAP1OUT)-(0))&gt;=0,IF(IF(o_WRAP=1,MOD(((c_TMAP1IN)-(c_TFWD))*(((A766)-(c_TFWD))*((c_TMAP1OUT)-(0))+IF(((c_TMAP1OUT)-(0))&gt;=0,1,-1)*QUOTIENT(((c_TMAP1IN)-(c_TFWD)),2))+2147483648,4294967296)-2147483648,((c_TMAP1IN)-(c_TFWD))*(((A766)-(c_TFWD))*((c_TMAP1OUT)-(0))+IF(((c_TMAP1OUT)-(0))&gt;=0,1,-1)*QUOTIENT(((c_TMAP1IN)-(c_TFWD)),2)))&lt;0,-1,0),IF(IF(o_WRAP=1,MOD(((c_TMAP1IN)-(c_TFWD))*(((A766)-(c_TFWD))*((c_TMAP1OUT)-(0))+IF(((c_TMAP1OUT)-(0))&gt;=0,1,-1)*QUOTIENT(((c_TMAP1IN)-(c_TFWD)),2))+2147483648,4294967296)-2147483648,((c_TMAP1IN)-(c_TFWD))*(((A766)-(c_TFWD))*((c_TMAP1OUT)-(0))+IF(((c_TMAP1OUT)-(0))&gt;=0,1,-1)*QUOTIENT(((c_TMAP1IN)-(c_TFWD)),2)))&gt;=0,1,0)))</f>
        <v>584</v>
      </c>
      <c r="E766" s="7" t="n">
        <f aca="false">IF(((c_TMAP2IN)-(c_TMAP1IN))=0,(c_TMAP1OUT)+QUOTIENT(((c_TMAP2OUT)-(c_TMAP1OUT)),2),QUOTIENT((((A766)-(c_TMAP1IN))*((c_TMAP2OUT)-(c_TMAP1OUT))+IF(((c_TMAP2OUT)-(c_TMAP1OUT))&gt;=0,1,-1)*QUOTIENT(((c_TMAP2IN)-(c_TMAP1IN)),2)),((c_TMAP2IN)-(c_TMAP1IN)))+(c_TMAP1OUT)+IF(((c_TMAP2OUT)-(c_TMAP1OUT))&gt;=0,IF(IF(o_WRAP=1,MOD(((c_TMAP2IN)-(c_TMAP1IN))*(((A766)-(c_TMAP1IN))*((c_TMAP2OUT)-(c_TMAP1OUT))+IF(((c_TMAP2OUT)-(c_TMAP1OUT))&gt;=0,1,-1)*QUOTIENT(((c_TMAP2IN)-(c_TMAP1IN)),2))+2147483648,4294967296)-2147483648,((c_TMAP2IN)-(c_TMAP1IN))*(((A766)-(c_TMAP1IN))*((c_TMAP2OUT)-(c_TMAP1OUT))+IF(((c_TMAP2OUT)-(c_TMAP1OUT))&gt;=0,1,-1)*QUOTIENT(((c_TMAP2IN)-(c_TMAP1IN)),2)))&lt;0,-1,0),IF(IF(o_WRAP=1,MOD(((c_TMAP2IN)-(c_TMAP1IN))*(((A766)-(c_TMAP1IN))*((c_TMAP2OUT)-(c_TMAP1OUT))+IF(((c_TMAP2OUT)-(c_TMAP1OUT))&gt;=0,1,-1)*QUOTIENT(((c_TMAP2IN)-(c_TMAP1IN)),2))+2147483648,4294967296)-2147483648,((c_TMAP2IN)-(c_TMAP1IN))*(((A766)-(c_TMAP1IN))*((c_TMAP2OUT)-(c_TMAP1OUT))+IF(((c_TMAP2OUT)-(c_TMAP1OUT))&gt;=0,1,-1)*QUOTIENT(((c_TMAP2IN)-(c_TMAP1IN)),2)))&gt;=0,1,0)))</f>
        <v>334</v>
      </c>
      <c r="F766" s="7" t="n">
        <f aca="false">IF(((c_TMAP3IN)-(c_TMAP2IN))=0,(c_TMAP2OUT)+QUOTIENT(((c_TMAP3OUT)-(c_TMAP2OUT)),2),QUOTIENT((((A766)-(c_TMAP2IN))*((c_TMAP3OUT)-(c_TMAP2OUT))+IF(((c_TMAP3OUT)-(c_TMAP2OUT))&gt;=0,1,-1)*QUOTIENT(((c_TMAP3IN)-(c_TMAP2IN)),2)),((c_TMAP3IN)-(c_TMAP2IN)))+(c_TMAP2OUT)+IF(((c_TMAP3OUT)-(c_TMAP2OUT))&gt;=0,IF(IF(o_WRAP=1,MOD(((c_TMAP3IN)-(c_TMAP2IN))*(((A766)-(c_TMAP2IN))*((c_TMAP3OUT)-(c_TMAP2OUT))+IF(((c_TMAP3OUT)-(c_TMAP2OUT))&gt;=0,1,-1)*QUOTIENT(((c_TMAP3IN)-(c_TMAP2IN)),2))+2147483648,4294967296)-2147483648,((c_TMAP3IN)-(c_TMAP2IN))*(((A766)-(c_TMAP2IN))*((c_TMAP3OUT)-(c_TMAP2OUT))+IF(((c_TMAP3OUT)-(c_TMAP2OUT))&gt;=0,1,-1)*QUOTIENT(((c_TMAP3IN)-(c_TMAP2IN)),2)))&lt;0,-1,0),IF(IF(o_WRAP=1,MOD(((c_TMAP3IN)-(c_TMAP2IN))*(((A766)-(c_TMAP2IN))*((c_TMAP3OUT)-(c_TMAP2OUT))+IF(((c_TMAP3OUT)-(c_TMAP2OUT))&gt;=0,1,-1)*QUOTIENT(((c_TMAP3IN)-(c_TMAP2IN)),2))+2147483648,4294967296)-2147483648,((c_TMAP3IN)-(c_TMAP2IN))*(((A766)-(c_TMAP2IN))*((c_TMAP3OUT)-(c_TMAP2OUT))+IF(((c_TMAP3OUT)-(c_TMAP2OUT))&gt;=0,1,-1)*QUOTIENT(((c_TMAP3IN)-(c_TMAP2IN)),2)))&gt;=0,1,0)))</f>
        <v>488</v>
      </c>
      <c r="G766" s="7" t="n">
        <f aca="false">IF(((1000)-(c_TMAP3IN))=0,(c_TMAP3OUT)+QUOTIENT(((1000)-(c_TMAP3OUT)),2),QUOTIENT((((A766)-(c_TMAP3IN))*((1000)-(c_TMAP3OUT))+IF(((1000)-(c_TMAP3OUT))&gt;=0,1,-1)*QUOTIENT(((1000)-(c_TMAP3IN)),2)),((1000)-(c_TMAP3IN)))+(c_TMAP3OUT)+IF(((1000)-(c_TMAP3OUT))&gt;=0,IF(IF(o_WRAP=1,MOD(((1000)-(c_TMAP3IN))*(((A766)-(c_TMAP3IN))*((1000)-(c_TMAP3OUT))+IF(((1000)-(c_TMAP3OUT))&gt;=0,1,-1)*QUOTIENT(((1000)-(c_TMAP3IN)),2))+2147483648,4294967296)-2147483648,((1000)-(c_TMAP3IN))*(((A766)-(c_TMAP3IN))*((1000)-(c_TMAP3OUT))+IF(((1000)-(c_TMAP3OUT))&gt;=0,1,-1)*QUOTIENT(((1000)-(c_TMAP3IN)),2)))&lt;0,-1,0),IF(IF(o_WRAP=1,MOD(((1000)-(c_TMAP3IN))*(((A766)-(c_TMAP3IN))*((1000)-(c_TMAP3OUT))+IF(((1000)-(c_TMAP3OUT))&gt;=0,1,-1)*QUOTIENT(((1000)-(c_TMAP3IN)),2))+2147483648,4294967296)-2147483648,((1000)-(c_TMAP3IN))*(((A766)-(c_TMAP3IN))*((1000)-(c_TMAP3OUT))+IF(((1000)-(c_TMAP3OUT))&gt;=0,1,-1)*QUOTIENT(((1000)-(c_TMAP3IN)),2)))&gt;=0,1,0)))</f>
        <v>706</v>
      </c>
      <c r="H766" s="7" t="str">
        <f aca="false">IF(A766&gt;=c_TFWD,IF(AND(A766&gt;=c_TMAP3IN,c_TMAP3IN&lt;1000),"Seg4 map3-100%",IF(AND(A766&gt;=c_TMAP2IN,c_TMAP3IN&gt;c_TMAP2IN),"Seg3 map2-map3",IF(AND(A766&gt;=c_TMAP1IN,c_TMAP2IN&gt;c_TMAP1IN),"Seg2 map1-map2","Seg1 TFWD-map1"))),IF(AND(A766=0,c_TCREEP&gt;0),"Creep",IF(AND(A766&lt;=c_TRNGMIN,A766&gt;=c_TRNGMAX,c_TRNGMIN-c_TRNGMAX&lt;&gt;0),"Regen ramp","Coast (0)")))</f>
        <v>Seg4 map3-100%</v>
      </c>
      <c r="I766" s="7" t="n">
        <f aca="false">IF(A766&gt;=c_TFWD,IF(AND(A766&gt;=c_TMAP3IN,c_TMAP3IN&lt;1000),G766,IF(AND(A766&gt;=c_TMAP2IN,c_TMAP3IN&gt;c_TMAP2IN),F766,IF(AND(A766&gt;=c_TMAP1IN,c_TMAP2IN&gt;c_TMAP1IN),E766,D766))),C766)</f>
        <v>706</v>
      </c>
      <c r="J766" s="7" t="str">
        <f aca="false">IF(I766&lt;-1090,"TOO LOW",IF(I766&gt;1090,"TOO HIGH",""))</f>
        <v/>
      </c>
      <c r="K766" s="15" t="n">
        <f aca="false">IF(J766&lt;&gt;"",0,IF(I766&gt;979,1000,I766))</f>
        <v>706</v>
      </c>
      <c r="L766" s="7" t="n">
        <f aca="false">K766/10</f>
        <v>70.6</v>
      </c>
    </row>
    <row r="767" customFormat="false" ht="15" hidden="false" customHeight="false" outlineLevel="0" collapsed="false">
      <c r="A767" s="7" t="n">
        <v>762</v>
      </c>
      <c r="B767" s="7" t="n">
        <f aca="false">A767/10</f>
        <v>76.2</v>
      </c>
      <c r="C767" s="7" t="n">
        <f aca="false">IF(AND(A767=0,c_TCREEP&gt;0),10*c_TCREEP,IF(AND(A767&lt;=c_TRNGMIN,A767&gt;=c_TRNGMAX,c_TRNGMIN-c_TRNGMAX&lt;&gt;0),-10*c_TMINRN+QUOTIENT((c_TMAXRN-c_TMINRN)*(100-QUOTIENT((A767-c_TRNGMAX)*100,c_TRNGMIN-c_TRNGMAX)),-10),0))</f>
        <v>0</v>
      </c>
      <c r="D767" s="7" t="n">
        <f aca="false">IF(((c_TMAP1IN)-(c_TFWD))=0,(0)+QUOTIENT(((c_TMAP1OUT)-(0)),2),QUOTIENT((((A767)-(c_TFWD))*((c_TMAP1OUT)-(0))+IF(((c_TMAP1OUT)-(0))&gt;=0,1,-1)*QUOTIENT(((c_TMAP1IN)-(c_TFWD)),2)),((c_TMAP1IN)-(c_TFWD)))+(0)+IF(((c_TMAP1OUT)-(0))&gt;=0,IF(IF(o_WRAP=1,MOD(((c_TMAP1IN)-(c_TFWD))*(((A767)-(c_TFWD))*((c_TMAP1OUT)-(0))+IF(((c_TMAP1OUT)-(0))&gt;=0,1,-1)*QUOTIENT(((c_TMAP1IN)-(c_TFWD)),2))+2147483648,4294967296)-2147483648,((c_TMAP1IN)-(c_TFWD))*(((A767)-(c_TFWD))*((c_TMAP1OUT)-(0))+IF(((c_TMAP1OUT)-(0))&gt;=0,1,-1)*QUOTIENT(((c_TMAP1IN)-(c_TFWD)),2)))&lt;0,-1,0),IF(IF(o_WRAP=1,MOD(((c_TMAP1IN)-(c_TFWD))*(((A767)-(c_TFWD))*((c_TMAP1OUT)-(0))+IF(((c_TMAP1OUT)-(0))&gt;=0,1,-1)*QUOTIENT(((c_TMAP1IN)-(c_TFWD)),2))+2147483648,4294967296)-2147483648,((c_TMAP1IN)-(c_TFWD))*(((A767)-(c_TFWD))*((c_TMAP1OUT)-(0))+IF(((c_TMAP1OUT)-(0))&gt;=0,1,-1)*QUOTIENT(((c_TMAP1IN)-(c_TFWD)),2)))&gt;=0,1,0)))</f>
        <v>585</v>
      </c>
      <c r="E767" s="7" t="n">
        <f aca="false">IF(((c_TMAP2IN)-(c_TMAP1IN))=0,(c_TMAP1OUT)+QUOTIENT(((c_TMAP2OUT)-(c_TMAP1OUT)),2),QUOTIENT((((A767)-(c_TMAP1IN))*((c_TMAP2OUT)-(c_TMAP1OUT))+IF(((c_TMAP2OUT)-(c_TMAP1OUT))&gt;=0,1,-1)*QUOTIENT(((c_TMAP2IN)-(c_TMAP1IN)),2)),((c_TMAP2IN)-(c_TMAP1IN)))+(c_TMAP1OUT)+IF(((c_TMAP2OUT)-(c_TMAP1OUT))&gt;=0,IF(IF(o_WRAP=1,MOD(((c_TMAP2IN)-(c_TMAP1IN))*(((A767)-(c_TMAP1IN))*((c_TMAP2OUT)-(c_TMAP1OUT))+IF(((c_TMAP2OUT)-(c_TMAP1OUT))&gt;=0,1,-1)*QUOTIENT(((c_TMAP2IN)-(c_TMAP1IN)),2))+2147483648,4294967296)-2147483648,((c_TMAP2IN)-(c_TMAP1IN))*(((A767)-(c_TMAP1IN))*((c_TMAP2OUT)-(c_TMAP1OUT))+IF(((c_TMAP2OUT)-(c_TMAP1OUT))&gt;=0,1,-1)*QUOTIENT(((c_TMAP2IN)-(c_TMAP1IN)),2)))&lt;0,-1,0),IF(IF(o_WRAP=1,MOD(((c_TMAP2IN)-(c_TMAP1IN))*(((A767)-(c_TMAP1IN))*((c_TMAP2OUT)-(c_TMAP1OUT))+IF(((c_TMAP2OUT)-(c_TMAP1OUT))&gt;=0,1,-1)*QUOTIENT(((c_TMAP2IN)-(c_TMAP1IN)),2))+2147483648,4294967296)-2147483648,((c_TMAP2IN)-(c_TMAP1IN))*(((A767)-(c_TMAP1IN))*((c_TMAP2OUT)-(c_TMAP1OUT))+IF(((c_TMAP2OUT)-(c_TMAP1OUT))&gt;=0,1,-1)*QUOTIENT(((c_TMAP2IN)-(c_TMAP1IN)),2)))&gt;=0,1,0)))</f>
        <v>335</v>
      </c>
      <c r="F767" s="7" t="n">
        <f aca="false">IF(((c_TMAP3IN)-(c_TMAP2IN))=0,(c_TMAP2OUT)+QUOTIENT(((c_TMAP3OUT)-(c_TMAP2OUT)),2),QUOTIENT((((A767)-(c_TMAP2IN))*((c_TMAP3OUT)-(c_TMAP2OUT))+IF(((c_TMAP3OUT)-(c_TMAP2OUT))&gt;=0,1,-1)*QUOTIENT(((c_TMAP3IN)-(c_TMAP2IN)),2)),((c_TMAP3IN)-(c_TMAP2IN)))+(c_TMAP2OUT)+IF(((c_TMAP3OUT)-(c_TMAP2OUT))&gt;=0,IF(IF(o_WRAP=1,MOD(((c_TMAP3IN)-(c_TMAP2IN))*(((A767)-(c_TMAP2IN))*((c_TMAP3OUT)-(c_TMAP2OUT))+IF(((c_TMAP3OUT)-(c_TMAP2OUT))&gt;=0,1,-1)*QUOTIENT(((c_TMAP3IN)-(c_TMAP2IN)),2))+2147483648,4294967296)-2147483648,((c_TMAP3IN)-(c_TMAP2IN))*(((A767)-(c_TMAP2IN))*((c_TMAP3OUT)-(c_TMAP2OUT))+IF(((c_TMAP3OUT)-(c_TMAP2OUT))&gt;=0,1,-1)*QUOTIENT(((c_TMAP3IN)-(c_TMAP2IN)),2)))&lt;0,-1,0),IF(IF(o_WRAP=1,MOD(((c_TMAP3IN)-(c_TMAP2IN))*(((A767)-(c_TMAP2IN))*((c_TMAP3OUT)-(c_TMAP2OUT))+IF(((c_TMAP3OUT)-(c_TMAP2OUT))&gt;=0,1,-1)*QUOTIENT(((c_TMAP3IN)-(c_TMAP2IN)),2))+2147483648,4294967296)-2147483648,((c_TMAP3IN)-(c_TMAP2IN))*(((A767)-(c_TMAP2IN))*((c_TMAP3OUT)-(c_TMAP2OUT))+IF(((c_TMAP3OUT)-(c_TMAP2OUT))&gt;=0,1,-1)*QUOTIENT(((c_TMAP3IN)-(c_TMAP2IN)),2)))&gt;=0,1,0)))</f>
        <v>488</v>
      </c>
      <c r="G767" s="7" t="n">
        <f aca="false">IF(((1000)-(c_TMAP3IN))=0,(c_TMAP3OUT)+QUOTIENT(((1000)-(c_TMAP3OUT)),2),QUOTIENT((((A767)-(c_TMAP3IN))*((1000)-(c_TMAP3OUT))+IF(((1000)-(c_TMAP3OUT))&gt;=0,1,-1)*QUOTIENT(((1000)-(c_TMAP3IN)),2)),((1000)-(c_TMAP3IN)))+(c_TMAP3OUT)+IF(((1000)-(c_TMAP3OUT))&gt;=0,IF(IF(o_WRAP=1,MOD(((1000)-(c_TMAP3IN))*(((A767)-(c_TMAP3IN))*((1000)-(c_TMAP3OUT))+IF(((1000)-(c_TMAP3OUT))&gt;=0,1,-1)*QUOTIENT(((1000)-(c_TMAP3IN)),2))+2147483648,4294967296)-2147483648,((1000)-(c_TMAP3IN))*(((A767)-(c_TMAP3IN))*((1000)-(c_TMAP3OUT))+IF(((1000)-(c_TMAP3OUT))&gt;=0,1,-1)*QUOTIENT(((1000)-(c_TMAP3IN)),2)))&lt;0,-1,0),IF(IF(o_WRAP=1,MOD(((1000)-(c_TMAP3IN))*(((A767)-(c_TMAP3IN))*((1000)-(c_TMAP3OUT))+IF(((1000)-(c_TMAP3OUT))&gt;=0,1,-1)*QUOTIENT(((1000)-(c_TMAP3IN)),2))+2147483648,4294967296)-2147483648,((1000)-(c_TMAP3IN))*(((A767)-(c_TMAP3IN))*((1000)-(c_TMAP3OUT))+IF(((1000)-(c_TMAP3OUT))&gt;=0,1,-1)*QUOTIENT(((1000)-(c_TMAP3IN)),2)))&gt;=0,1,0)))</f>
        <v>707</v>
      </c>
      <c r="H767" s="7" t="str">
        <f aca="false">IF(A767&gt;=c_TFWD,IF(AND(A767&gt;=c_TMAP3IN,c_TMAP3IN&lt;1000),"Seg4 map3-100%",IF(AND(A767&gt;=c_TMAP2IN,c_TMAP3IN&gt;c_TMAP2IN),"Seg3 map2-map3",IF(AND(A767&gt;=c_TMAP1IN,c_TMAP2IN&gt;c_TMAP1IN),"Seg2 map1-map2","Seg1 TFWD-map1"))),IF(AND(A767=0,c_TCREEP&gt;0),"Creep",IF(AND(A767&lt;=c_TRNGMIN,A767&gt;=c_TRNGMAX,c_TRNGMIN-c_TRNGMAX&lt;&gt;0),"Regen ramp","Coast (0)")))</f>
        <v>Seg4 map3-100%</v>
      </c>
      <c r="I767" s="7" t="n">
        <f aca="false">IF(A767&gt;=c_TFWD,IF(AND(A767&gt;=c_TMAP3IN,c_TMAP3IN&lt;1000),G767,IF(AND(A767&gt;=c_TMAP2IN,c_TMAP3IN&gt;c_TMAP2IN),F767,IF(AND(A767&gt;=c_TMAP1IN,c_TMAP2IN&gt;c_TMAP1IN),E767,D767))),C767)</f>
        <v>707</v>
      </c>
      <c r="J767" s="7" t="str">
        <f aca="false">IF(I767&lt;-1090,"TOO LOW",IF(I767&gt;1090,"TOO HIGH",""))</f>
        <v/>
      </c>
      <c r="K767" s="15" t="n">
        <f aca="false">IF(J767&lt;&gt;"",0,IF(I767&gt;979,1000,I767))</f>
        <v>707</v>
      </c>
      <c r="L767" s="7" t="n">
        <f aca="false">K767/10</f>
        <v>70.7</v>
      </c>
    </row>
    <row r="768" customFormat="false" ht="15" hidden="false" customHeight="false" outlineLevel="0" collapsed="false">
      <c r="A768" s="7" t="n">
        <v>763</v>
      </c>
      <c r="B768" s="7" t="n">
        <f aca="false">A768/10</f>
        <v>76.3</v>
      </c>
      <c r="C768" s="7" t="n">
        <f aca="false">IF(AND(A768=0,c_TCREEP&gt;0),10*c_TCREEP,IF(AND(A768&lt;=c_TRNGMIN,A768&gt;=c_TRNGMAX,c_TRNGMIN-c_TRNGMAX&lt;&gt;0),-10*c_TMINRN+QUOTIENT((c_TMAXRN-c_TMINRN)*(100-QUOTIENT((A768-c_TRNGMAX)*100,c_TRNGMIN-c_TRNGMAX)),-10),0))</f>
        <v>0</v>
      </c>
      <c r="D768" s="7" t="n">
        <f aca="false">IF(((c_TMAP1IN)-(c_TFWD))=0,(0)+QUOTIENT(((c_TMAP1OUT)-(0)),2),QUOTIENT((((A768)-(c_TFWD))*((c_TMAP1OUT)-(0))+IF(((c_TMAP1OUT)-(0))&gt;=0,1,-1)*QUOTIENT(((c_TMAP1IN)-(c_TFWD)),2)),((c_TMAP1IN)-(c_TFWD)))+(0)+IF(((c_TMAP1OUT)-(0))&gt;=0,IF(IF(o_WRAP=1,MOD(((c_TMAP1IN)-(c_TFWD))*(((A768)-(c_TFWD))*((c_TMAP1OUT)-(0))+IF(((c_TMAP1OUT)-(0))&gt;=0,1,-1)*QUOTIENT(((c_TMAP1IN)-(c_TFWD)),2))+2147483648,4294967296)-2147483648,((c_TMAP1IN)-(c_TFWD))*(((A768)-(c_TFWD))*((c_TMAP1OUT)-(0))+IF(((c_TMAP1OUT)-(0))&gt;=0,1,-1)*QUOTIENT(((c_TMAP1IN)-(c_TFWD)),2)))&lt;0,-1,0),IF(IF(o_WRAP=1,MOD(((c_TMAP1IN)-(c_TFWD))*(((A768)-(c_TFWD))*((c_TMAP1OUT)-(0))+IF(((c_TMAP1OUT)-(0))&gt;=0,1,-1)*QUOTIENT(((c_TMAP1IN)-(c_TFWD)),2))+2147483648,4294967296)-2147483648,((c_TMAP1IN)-(c_TFWD))*(((A768)-(c_TFWD))*((c_TMAP1OUT)-(0))+IF(((c_TMAP1OUT)-(0))&gt;=0,1,-1)*QUOTIENT(((c_TMAP1IN)-(c_TFWD)),2)))&gt;=0,1,0)))</f>
        <v>586</v>
      </c>
      <c r="E768" s="7" t="n">
        <f aca="false">IF(((c_TMAP2IN)-(c_TMAP1IN))=0,(c_TMAP1OUT)+QUOTIENT(((c_TMAP2OUT)-(c_TMAP1OUT)),2),QUOTIENT((((A768)-(c_TMAP1IN))*((c_TMAP2OUT)-(c_TMAP1OUT))+IF(((c_TMAP2OUT)-(c_TMAP1OUT))&gt;=0,1,-1)*QUOTIENT(((c_TMAP2IN)-(c_TMAP1IN)),2)),((c_TMAP2IN)-(c_TMAP1IN)))+(c_TMAP1OUT)+IF(((c_TMAP2OUT)-(c_TMAP1OUT))&gt;=0,IF(IF(o_WRAP=1,MOD(((c_TMAP2IN)-(c_TMAP1IN))*(((A768)-(c_TMAP1IN))*((c_TMAP2OUT)-(c_TMAP1OUT))+IF(((c_TMAP2OUT)-(c_TMAP1OUT))&gt;=0,1,-1)*QUOTIENT(((c_TMAP2IN)-(c_TMAP1IN)),2))+2147483648,4294967296)-2147483648,((c_TMAP2IN)-(c_TMAP1IN))*(((A768)-(c_TMAP1IN))*((c_TMAP2OUT)-(c_TMAP1OUT))+IF(((c_TMAP2OUT)-(c_TMAP1OUT))&gt;=0,1,-1)*QUOTIENT(((c_TMAP2IN)-(c_TMAP1IN)),2)))&lt;0,-1,0),IF(IF(o_WRAP=1,MOD(((c_TMAP2IN)-(c_TMAP1IN))*(((A768)-(c_TMAP1IN))*((c_TMAP2OUT)-(c_TMAP1OUT))+IF(((c_TMAP2OUT)-(c_TMAP1OUT))&gt;=0,1,-1)*QUOTIENT(((c_TMAP2IN)-(c_TMAP1IN)),2))+2147483648,4294967296)-2147483648,((c_TMAP2IN)-(c_TMAP1IN))*(((A768)-(c_TMAP1IN))*((c_TMAP2OUT)-(c_TMAP1OUT))+IF(((c_TMAP2OUT)-(c_TMAP1OUT))&gt;=0,1,-1)*QUOTIENT(((c_TMAP2IN)-(c_TMAP1IN)),2)))&gt;=0,1,0)))</f>
        <v>335</v>
      </c>
      <c r="F768" s="7" t="n">
        <f aca="false">IF(((c_TMAP3IN)-(c_TMAP2IN))=0,(c_TMAP2OUT)+QUOTIENT(((c_TMAP3OUT)-(c_TMAP2OUT)),2),QUOTIENT((((A768)-(c_TMAP2IN))*((c_TMAP3OUT)-(c_TMAP2OUT))+IF(((c_TMAP3OUT)-(c_TMAP2OUT))&gt;=0,1,-1)*QUOTIENT(((c_TMAP3IN)-(c_TMAP2IN)),2)),((c_TMAP3IN)-(c_TMAP2IN)))+(c_TMAP2OUT)+IF(((c_TMAP3OUT)-(c_TMAP2OUT))&gt;=0,IF(IF(o_WRAP=1,MOD(((c_TMAP3IN)-(c_TMAP2IN))*(((A768)-(c_TMAP2IN))*((c_TMAP3OUT)-(c_TMAP2OUT))+IF(((c_TMAP3OUT)-(c_TMAP2OUT))&gt;=0,1,-1)*QUOTIENT(((c_TMAP3IN)-(c_TMAP2IN)),2))+2147483648,4294967296)-2147483648,((c_TMAP3IN)-(c_TMAP2IN))*(((A768)-(c_TMAP2IN))*((c_TMAP3OUT)-(c_TMAP2OUT))+IF(((c_TMAP3OUT)-(c_TMAP2OUT))&gt;=0,1,-1)*QUOTIENT(((c_TMAP3IN)-(c_TMAP2IN)),2)))&lt;0,-1,0),IF(IF(o_WRAP=1,MOD(((c_TMAP3IN)-(c_TMAP2IN))*(((A768)-(c_TMAP2IN))*((c_TMAP3OUT)-(c_TMAP2OUT))+IF(((c_TMAP3OUT)-(c_TMAP2OUT))&gt;=0,1,-1)*QUOTIENT(((c_TMAP3IN)-(c_TMAP2IN)),2))+2147483648,4294967296)-2147483648,((c_TMAP3IN)-(c_TMAP2IN))*(((A768)-(c_TMAP2IN))*((c_TMAP3OUT)-(c_TMAP2OUT))+IF(((c_TMAP3OUT)-(c_TMAP2OUT))&gt;=0,1,-1)*QUOTIENT(((c_TMAP3IN)-(c_TMAP2IN)),2)))&gt;=0,1,0)))</f>
        <v>489</v>
      </c>
      <c r="G768" s="7" t="n">
        <f aca="false">IF(((1000)-(c_TMAP3IN))=0,(c_TMAP3OUT)+QUOTIENT(((1000)-(c_TMAP3OUT)),2),QUOTIENT((((A768)-(c_TMAP3IN))*((1000)-(c_TMAP3OUT))+IF(((1000)-(c_TMAP3OUT))&gt;=0,1,-1)*QUOTIENT(((1000)-(c_TMAP3IN)),2)),((1000)-(c_TMAP3IN)))+(c_TMAP3OUT)+IF(((1000)-(c_TMAP3OUT))&gt;=0,IF(IF(o_WRAP=1,MOD(((1000)-(c_TMAP3IN))*(((A768)-(c_TMAP3IN))*((1000)-(c_TMAP3OUT))+IF(((1000)-(c_TMAP3OUT))&gt;=0,1,-1)*QUOTIENT(((1000)-(c_TMAP3IN)),2))+2147483648,4294967296)-2147483648,((1000)-(c_TMAP3IN))*(((A768)-(c_TMAP3IN))*((1000)-(c_TMAP3OUT))+IF(((1000)-(c_TMAP3OUT))&gt;=0,1,-1)*QUOTIENT(((1000)-(c_TMAP3IN)),2)))&lt;0,-1,0),IF(IF(o_WRAP=1,MOD(((1000)-(c_TMAP3IN))*(((A768)-(c_TMAP3IN))*((1000)-(c_TMAP3OUT))+IF(((1000)-(c_TMAP3OUT))&gt;=0,1,-1)*QUOTIENT(((1000)-(c_TMAP3IN)),2))+2147483648,4294967296)-2147483648,((1000)-(c_TMAP3IN))*(((A768)-(c_TMAP3IN))*((1000)-(c_TMAP3OUT))+IF(((1000)-(c_TMAP3OUT))&gt;=0,1,-1)*QUOTIENT(((1000)-(c_TMAP3IN)),2)))&gt;=0,1,0)))</f>
        <v>708</v>
      </c>
      <c r="H768" s="7" t="str">
        <f aca="false">IF(A768&gt;=c_TFWD,IF(AND(A768&gt;=c_TMAP3IN,c_TMAP3IN&lt;1000),"Seg4 map3-100%",IF(AND(A768&gt;=c_TMAP2IN,c_TMAP3IN&gt;c_TMAP2IN),"Seg3 map2-map3",IF(AND(A768&gt;=c_TMAP1IN,c_TMAP2IN&gt;c_TMAP1IN),"Seg2 map1-map2","Seg1 TFWD-map1"))),IF(AND(A768=0,c_TCREEP&gt;0),"Creep",IF(AND(A768&lt;=c_TRNGMIN,A768&gt;=c_TRNGMAX,c_TRNGMIN-c_TRNGMAX&lt;&gt;0),"Regen ramp","Coast (0)")))</f>
        <v>Seg4 map3-100%</v>
      </c>
      <c r="I768" s="7" t="n">
        <f aca="false">IF(A768&gt;=c_TFWD,IF(AND(A768&gt;=c_TMAP3IN,c_TMAP3IN&lt;1000),G768,IF(AND(A768&gt;=c_TMAP2IN,c_TMAP3IN&gt;c_TMAP2IN),F768,IF(AND(A768&gt;=c_TMAP1IN,c_TMAP2IN&gt;c_TMAP1IN),E768,D768))),C768)</f>
        <v>708</v>
      </c>
      <c r="J768" s="7" t="str">
        <f aca="false">IF(I768&lt;-1090,"TOO LOW",IF(I768&gt;1090,"TOO HIGH",""))</f>
        <v/>
      </c>
      <c r="K768" s="15" t="n">
        <f aca="false">IF(J768&lt;&gt;"",0,IF(I768&gt;979,1000,I768))</f>
        <v>708</v>
      </c>
      <c r="L768" s="7" t="n">
        <f aca="false">K768/10</f>
        <v>70.8</v>
      </c>
    </row>
    <row r="769" customFormat="false" ht="15" hidden="false" customHeight="false" outlineLevel="0" collapsed="false">
      <c r="A769" s="7" t="n">
        <v>764</v>
      </c>
      <c r="B769" s="7" t="n">
        <f aca="false">A769/10</f>
        <v>76.4</v>
      </c>
      <c r="C769" s="7" t="n">
        <f aca="false">IF(AND(A769=0,c_TCREEP&gt;0),10*c_TCREEP,IF(AND(A769&lt;=c_TRNGMIN,A769&gt;=c_TRNGMAX,c_TRNGMIN-c_TRNGMAX&lt;&gt;0),-10*c_TMINRN+QUOTIENT((c_TMAXRN-c_TMINRN)*(100-QUOTIENT((A769-c_TRNGMAX)*100,c_TRNGMIN-c_TRNGMAX)),-10),0))</f>
        <v>0</v>
      </c>
      <c r="D769" s="7" t="n">
        <f aca="false">IF(((c_TMAP1IN)-(c_TFWD))=0,(0)+QUOTIENT(((c_TMAP1OUT)-(0)),2),QUOTIENT((((A769)-(c_TFWD))*((c_TMAP1OUT)-(0))+IF(((c_TMAP1OUT)-(0))&gt;=0,1,-1)*QUOTIENT(((c_TMAP1IN)-(c_TFWD)),2)),((c_TMAP1IN)-(c_TFWD)))+(0)+IF(((c_TMAP1OUT)-(0))&gt;=0,IF(IF(o_WRAP=1,MOD(((c_TMAP1IN)-(c_TFWD))*(((A769)-(c_TFWD))*((c_TMAP1OUT)-(0))+IF(((c_TMAP1OUT)-(0))&gt;=0,1,-1)*QUOTIENT(((c_TMAP1IN)-(c_TFWD)),2))+2147483648,4294967296)-2147483648,((c_TMAP1IN)-(c_TFWD))*(((A769)-(c_TFWD))*((c_TMAP1OUT)-(0))+IF(((c_TMAP1OUT)-(0))&gt;=0,1,-1)*QUOTIENT(((c_TMAP1IN)-(c_TFWD)),2)))&lt;0,-1,0),IF(IF(o_WRAP=1,MOD(((c_TMAP1IN)-(c_TFWD))*(((A769)-(c_TFWD))*((c_TMAP1OUT)-(0))+IF(((c_TMAP1OUT)-(0))&gt;=0,1,-1)*QUOTIENT(((c_TMAP1IN)-(c_TFWD)),2))+2147483648,4294967296)-2147483648,((c_TMAP1IN)-(c_TFWD))*(((A769)-(c_TFWD))*((c_TMAP1OUT)-(0))+IF(((c_TMAP1OUT)-(0))&gt;=0,1,-1)*QUOTIENT(((c_TMAP1IN)-(c_TFWD)),2)))&gt;=0,1,0)))</f>
        <v>586</v>
      </c>
      <c r="E769" s="7" t="n">
        <f aca="false">IF(((c_TMAP2IN)-(c_TMAP1IN))=0,(c_TMAP1OUT)+QUOTIENT(((c_TMAP2OUT)-(c_TMAP1OUT)),2),QUOTIENT((((A769)-(c_TMAP1IN))*((c_TMAP2OUT)-(c_TMAP1OUT))+IF(((c_TMAP2OUT)-(c_TMAP1OUT))&gt;=0,1,-1)*QUOTIENT(((c_TMAP2IN)-(c_TMAP1IN)),2)),((c_TMAP2IN)-(c_TMAP1IN)))+(c_TMAP1OUT)+IF(((c_TMAP2OUT)-(c_TMAP1OUT))&gt;=0,IF(IF(o_WRAP=1,MOD(((c_TMAP2IN)-(c_TMAP1IN))*(((A769)-(c_TMAP1IN))*((c_TMAP2OUT)-(c_TMAP1OUT))+IF(((c_TMAP2OUT)-(c_TMAP1OUT))&gt;=0,1,-1)*QUOTIENT(((c_TMAP2IN)-(c_TMAP1IN)),2))+2147483648,4294967296)-2147483648,((c_TMAP2IN)-(c_TMAP1IN))*(((A769)-(c_TMAP1IN))*((c_TMAP2OUT)-(c_TMAP1OUT))+IF(((c_TMAP2OUT)-(c_TMAP1OUT))&gt;=0,1,-1)*QUOTIENT(((c_TMAP2IN)-(c_TMAP1IN)),2)))&lt;0,-1,0),IF(IF(o_WRAP=1,MOD(((c_TMAP2IN)-(c_TMAP1IN))*(((A769)-(c_TMAP1IN))*((c_TMAP2OUT)-(c_TMAP1OUT))+IF(((c_TMAP2OUT)-(c_TMAP1OUT))&gt;=0,1,-1)*QUOTIENT(((c_TMAP2IN)-(c_TMAP1IN)),2))+2147483648,4294967296)-2147483648,((c_TMAP2IN)-(c_TMAP1IN))*(((A769)-(c_TMAP1IN))*((c_TMAP2OUT)-(c_TMAP1OUT))+IF(((c_TMAP2OUT)-(c_TMAP1OUT))&gt;=0,1,-1)*QUOTIENT(((c_TMAP2IN)-(c_TMAP1IN)),2)))&gt;=0,1,0)))</f>
        <v>336</v>
      </c>
      <c r="F769" s="7" t="n">
        <f aca="false">IF(((c_TMAP3IN)-(c_TMAP2IN))=0,(c_TMAP2OUT)+QUOTIENT(((c_TMAP3OUT)-(c_TMAP2OUT)),2),QUOTIENT((((A769)-(c_TMAP2IN))*((c_TMAP3OUT)-(c_TMAP2OUT))+IF(((c_TMAP3OUT)-(c_TMAP2OUT))&gt;=0,1,-1)*QUOTIENT(((c_TMAP3IN)-(c_TMAP2IN)),2)),((c_TMAP3IN)-(c_TMAP2IN)))+(c_TMAP2OUT)+IF(((c_TMAP3OUT)-(c_TMAP2OUT))&gt;=0,IF(IF(o_WRAP=1,MOD(((c_TMAP3IN)-(c_TMAP2IN))*(((A769)-(c_TMAP2IN))*((c_TMAP3OUT)-(c_TMAP2OUT))+IF(((c_TMAP3OUT)-(c_TMAP2OUT))&gt;=0,1,-1)*QUOTIENT(((c_TMAP3IN)-(c_TMAP2IN)),2))+2147483648,4294967296)-2147483648,((c_TMAP3IN)-(c_TMAP2IN))*(((A769)-(c_TMAP2IN))*((c_TMAP3OUT)-(c_TMAP2OUT))+IF(((c_TMAP3OUT)-(c_TMAP2OUT))&gt;=0,1,-1)*QUOTIENT(((c_TMAP3IN)-(c_TMAP2IN)),2)))&lt;0,-1,0),IF(IF(o_WRAP=1,MOD(((c_TMAP3IN)-(c_TMAP2IN))*(((A769)-(c_TMAP2IN))*((c_TMAP3OUT)-(c_TMAP2OUT))+IF(((c_TMAP3OUT)-(c_TMAP2OUT))&gt;=0,1,-1)*QUOTIENT(((c_TMAP3IN)-(c_TMAP2IN)),2))+2147483648,4294967296)-2147483648,((c_TMAP3IN)-(c_TMAP2IN))*(((A769)-(c_TMAP2IN))*((c_TMAP3OUT)-(c_TMAP2OUT))+IF(((c_TMAP3OUT)-(c_TMAP2OUT))&gt;=0,1,-1)*QUOTIENT(((c_TMAP3IN)-(c_TMAP2IN)),2)))&gt;=0,1,0)))</f>
        <v>490</v>
      </c>
      <c r="G769" s="7" t="n">
        <f aca="false">IF(((1000)-(c_TMAP3IN))=0,(c_TMAP3OUT)+QUOTIENT(((1000)-(c_TMAP3OUT)),2),QUOTIENT((((A769)-(c_TMAP3IN))*((1000)-(c_TMAP3OUT))+IF(((1000)-(c_TMAP3OUT))&gt;=0,1,-1)*QUOTIENT(((1000)-(c_TMAP3IN)),2)),((1000)-(c_TMAP3IN)))+(c_TMAP3OUT)+IF(((1000)-(c_TMAP3OUT))&gt;=0,IF(IF(o_WRAP=1,MOD(((1000)-(c_TMAP3IN))*(((A769)-(c_TMAP3IN))*((1000)-(c_TMAP3OUT))+IF(((1000)-(c_TMAP3OUT))&gt;=0,1,-1)*QUOTIENT(((1000)-(c_TMAP3IN)),2))+2147483648,4294967296)-2147483648,((1000)-(c_TMAP3IN))*(((A769)-(c_TMAP3IN))*((1000)-(c_TMAP3OUT))+IF(((1000)-(c_TMAP3OUT))&gt;=0,1,-1)*QUOTIENT(((1000)-(c_TMAP3IN)),2)))&lt;0,-1,0),IF(IF(o_WRAP=1,MOD(((1000)-(c_TMAP3IN))*(((A769)-(c_TMAP3IN))*((1000)-(c_TMAP3OUT))+IF(((1000)-(c_TMAP3OUT))&gt;=0,1,-1)*QUOTIENT(((1000)-(c_TMAP3IN)),2))+2147483648,4294967296)-2147483648,((1000)-(c_TMAP3IN))*(((A769)-(c_TMAP3IN))*((1000)-(c_TMAP3OUT))+IF(((1000)-(c_TMAP3OUT))&gt;=0,1,-1)*QUOTIENT(((1000)-(c_TMAP3IN)),2)))&gt;=0,1,0)))</f>
        <v>710</v>
      </c>
      <c r="H769" s="7" t="str">
        <f aca="false">IF(A769&gt;=c_TFWD,IF(AND(A769&gt;=c_TMAP3IN,c_TMAP3IN&lt;1000),"Seg4 map3-100%",IF(AND(A769&gt;=c_TMAP2IN,c_TMAP3IN&gt;c_TMAP2IN),"Seg3 map2-map3",IF(AND(A769&gt;=c_TMAP1IN,c_TMAP2IN&gt;c_TMAP1IN),"Seg2 map1-map2","Seg1 TFWD-map1"))),IF(AND(A769=0,c_TCREEP&gt;0),"Creep",IF(AND(A769&lt;=c_TRNGMIN,A769&gt;=c_TRNGMAX,c_TRNGMIN-c_TRNGMAX&lt;&gt;0),"Regen ramp","Coast (0)")))</f>
        <v>Seg4 map3-100%</v>
      </c>
      <c r="I769" s="7" t="n">
        <f aca="false">IF(A769&gt;=c_TFWD,IF(AND(A769&gt;=c_TMAP3IN,c_TMAP3IN&lt;1000),G769,IF(AND(A769&gt;=c_TMAP2IN,c_TMAP3IN&gt;c_TMAP2IN),F769,IF(AND(A769&gt;=c_TMAP1IN,c_TMAP2IN&gt;c_TMAP1IN),E769,D769))),C769)</f>
        <v>710</v>
      </c>
      <c r="J769" s="7" t="str">
        <f aca="false">IF(I769&lt;-1090,"TOO LOW",IF(I769&gt;1090,"TOO HIGH",""))</f>
        <v/>
      </c>
      <c r="K769" s="15" t="n">
        <f aca="false">IF(J769&lt;&gt;"",0,IF(I769&gt;979,1000,I769))</f>
        <v>710</v>
      </c>
      <c r="L769" s="7" t="n">
        <f aca="false">K769/10</f>
        <v>71</v>
      </c>
    </row>
    <row r="770" customFormat="false" ht="15" hidden="false" customHeight="false" outlineLevel="0" collapsed="false">
      <c r="A770" s="7" t="n">
        <v>765</v>
      </c>
      <c r="B770" s="7" t="n">
        <f aca="false">A770/10</f>
        <v>76.5</v>
      </c>
      <c r="C770" s="7" t="n">
        <f aca="false">IF(AND(A770=0,c_TCREEP&gt;0),10*c_TCREEP,IF(AND(A770&lt;=c_TRNGMIN,A770&gt;=c_TRNGMAX,c_TRNGMIN-c_TRNGMAX&lt;&gt;0),-10*c_TMINRN+QUOTIENT((c_TMAXRN-c_TMINRN)*(100-QUOTIENT((A770-c_TRNGMAX)*100,c_TRNGMIN-c_TRNGMAX)),-10),0))</f>
        <v>0</v>
      </c>
      <c r="D770" s="7" t="n">
        <f aca="false">IF(((c_TMAP1IN)-(c_TFWD))=0,(0)+QUOTIENT(((c_TMAP1OUT)-(0)),2),QUOTIENT((((A770)-(c_TFWD))*((c_TMAP1OUT)-(0))+IF(((c_TMAP1OUT)-(0))&gt;=0,1,-1)*QUOTIENT(((c_TMAP1IN)-(c_TFWD)),2)),((c_TMAP1IN)-(c_TFWD)))+(0)+IF(((c_TMAP1OUT)-(0))&gt;=0,IF(IF(o_WRAP=1,MOD(((c_TMAP1IN)-(c_TFWD))*(((A770)-(c_TFWD))*((c_TMAP1OUT)-(0))+IF(((c_TMAP1OUT)-(0))&gt;=0,1,-1)*QUOTIENT(((c_TMAP1IN)-(c_TFWD)),2))+2147483648,4294967296)-2147483648,((c_TMAP1IN)-(c_TFWD))*(((A770)-(c_TFWD))*((c_TMAP1OUT)-(0))+IF(((c_TMAP1OUT)-(0))&gt;=0,1,-1)*QUOTIENT(((c_TMAP1IN)-(c_TFWD)),2)))&lt;0,-1,0),IF(IF(o_WRAP=1,MOD(((c_TMAP1IN)-(c_TFWD))*(((A770)-(c_TFWD))*((c_TMAP1OUT)-(0))+IF(((c_TMAP1OUT)-(0))&gt;=0,1,-1)*QUOTIENT(((c_TMAP1IN)-(c_TFWD)),2))+2147483648,4294967296)-2147483648,((c_TMAP1IN)-(c_TFWD))*(((A770)-(c_TFWD))*((c_TMAP1OUT)-(0))+IF(((c_TMAP1OUT)-(0))&gt;=0,1,-1)*QUOTIENT(((c_TMAP1IN)-(c_TFWD)),2)))&gt;=0,1,0)))</f>
        <v>587</v>
      </c>
      <c r="E770" s="7" t="n">
        <f aca="false">IF(((c_TMAP2IN)-(c_TMAP1IN))=0,(c_TMAP1OUT)+QUOTIENT(((c_TMAP2OUT)-(c_TMAP1OUT)),2),QUOTIENT((((A770)-(c_TMAP1IN))*((c_TMAP2OUT)-(c_TMAP1OUT))+IF(((c_TMAP2OUT)-(c_TMAP1OUT))&gt;=0,1,-1)*QUOTIENT(((c_TMAP2IN)-(c_TMAP1IN)),2)),((c_TMAP2IN)-(c_TMAP1IN)))+(c_TMAP1OUT)+IF(((c_TMAP2OUT)-(c_TMAP1OUT))&gt;=0,IF(IF(o_WRAP=1,MOD(((c_TMAP2IN)-(c_TMAP1IN))*(((A770)-(c_TMAP1IN))*((c_TMAP2OUT)-(c_TMAP1OUT))+IF(((c_TMAP2OUT)-(c_TMAP1OUT))&gt;=0,1,-1)*QUOTIENT(((c_TMAP2IN)-(c_TMAP1IN)),2))+2147483648,4294967296)-2147483648,((c_TMAP2IN)-(c_TMAP1IN))*(((A770)-(c_TMAP1IN))*((c_TMAP2OUT)-(c_TMAP1OUT))+IF(((c_TMAP2OUT)-(c_TMAP1OUT))&gt;=0,1,-1)*QUOTIENT(((c_TMAP2IN)-(c_TMAP1IN)),2)))&lt;0,-1,0),IF(IF(o_WRAP=1,MOD(((c_TMAP2IN)-(c_TMAP1IN))*(((A770)-(c_TMAP1IN))*((c_TMAP2OUT)-(c_TMAP1OUT))+IF(((c_TMAP2OUT)-(c_TMAP1OUT))&gt;=0,1,-1)*QUOTIENT(((c_TMAP2IN)-(c_TMAP1IN)),2))+2147483648,4294967296)-2147483648,((c_TMAP2IN)-(c_TMAP1IN))*(((A770)-(c_TMAP1IN))*((c_TMAP2OUT)-(c_TMAP1OUT))+IF(((c_TMAP2OUT)-(c_TMAP1OUT))&gt;=0,1,-1)*QUOTIENT(((c_TMAP2IN)-(c_TMAP1IN)),2)))&gt;=0,1,0)))</f>
        <v>336</v>
      </c>
      <c r="F770" s="7" t="n">
        <f aca="false">IF(((c_TMAP3IN)-(c_TMAP2IN))=0,(c_TMAP2OUT)+QUOTIENT(((c_TMAP3OUT)-(c_TMAP2OUT)),2),QUOTIENT((((A770)-(c_TMAP2IN))*((c_TMAP3OUT)-(c_TMAP2OUT))+IF(((c_TMAP3OUT)-(c_TMAP2OUT))&gt;=0,1,-1)*QUOTIENT(((c_TMAP3IN)-(c_TMAP2IN)),2)),((c_TMAP3IN)-(c_TMAP2IN)))+(c_TMAP2OUT)+IF(((c_TMAP3OUT)-(c_TMAP2OUT))&gt;=0,IF(IF(o_WRAP=1,MOD(((c_TMAP3IN)-(c_TMAP2IN))*(((A770)-(c_TMAP2IN))*((c_TMAP3OUT)-(c_TMAP2OUT))+IF(((c_TMAP3OUT)-(c_TMAP2OUT))&gt;=0,1,-1)*QUOTIENT(((c_TMAP3IN)-(c_TMAP2IN)),2))+2147483648,4294967296)-2147483648,((c_TMAP3IN)-(c_TMAP2IN))*(((A770)-(c_TMAP2IN))*((c_TMAP3OUT)-(c_TMAP2OUT))+IF(((c_TMAP3OUT)-(c_TMAP2OUT))&gt;=0,1,-1)*QUOTIENT(((c_TMAP3IN)-(c_TMAP2IN)),2)))&lt;0,-1,0),IF(IF(o_WRAP=1,MOD(((c_TMAP3IN)-(c_TMAP2IN))*(((A770)-(c_TMAP2IN))*((c_TMAP3OUT)-(c_TMAP2OUT))+IF(((c_TMAP3OUT)-(c_TMAP2OUT))&gt;=0,1,-1)*QUOTIENT(((c_TMAP3IN)-(c_TMAP2IN)),2))+2147483648,4294967296)-2147483648,((c_TMAP3IN)-(c_TMAP2IN))*(((A770)-(c_TMAP2IN))*((c_TMAP3OUT)-(c_TMAP2OUT))+IF(((c_TMAP3OUT)-(c_TMAP2OUT))&gt;=0,1,-1)*QUOTIENT(((c_TMAP3IN)-(c_TMAP2IN)),2)))&gt;=0,1,0)))</f>
        <v>491</v>
      </c>
      <c r="G770" s="7" t="n">
        <f aca="false">IF(((1000)-(c_TMAP3IN))=0,(c_TMAP3OUT)+QUOTIENT(((1000)-(c_TMAP3OUT)),2),QUOTIENT((((A770)-(c_TMAP3IN))*((1000)-(c_TMAP3OUT))+IF(((1000)-(c_TMAP3OUT))&gt;=0,1,-1)*QUOTIENT(((1000)-(c_TMAP3IN)),2)),((1000)-(c_TMAP3IN)))+(c_TMAP3OUT)+IF(((1000)-(c_TMAP3OUT))&gt;=0,IF(IF(o_WRAP=1,MOD(((1000)-(c_TMAP3IN))*(((A770)-(c_TMAP3IN))*((1000)-(c_TMAP3OUT))+IF(((1000)-(c_TMAP3OUT))&gt;=0,1,-1)*QUOTIENT(((1000)-(c_TMAP3IN)),2))+2147483648,4294967296)-2147483648,((1000)-(c_TMAP3IN))*(((A770)-(c_TMAP3IN))*((1000)-(c_TMAP3OUT))+IF(((1000)-(c_TMAP3OUT))&gt;=0,1,-1)*QUOTIENT(((1000)-(c_TMAP3IN)),2)))&lt;0,-1,0),IF(IF(o_WRAP=1,MOD(((1000)-(c_TMAP3IN))*(((A770)-(c_TMAP3IN))*((1000)-(c_TMAP3OUT))+IF(((1000)-(c_TMAP3OUT))&gt;=0,1,-1)*QUOTIENT(((1000)-(c_TMAP3IN)),2))+2147483648,4294967296)-2147483648,((1000)-(c_TMAP3IN))*(((A770)-(c_TMAP3IN))*((1000)-(c_TMAP3OUT))+IF(((1000)-(c_TMAP3OUT))&gt;=0,1,-1)*QUOTIENT(((1000)-(c_TMAP3IN)),2)))&gt;=0,1,0)))</f>
        <v>711</v>
      </c>
      <c r="H770" s="7" t="str">
        <f aca="false">IF(A770&gt;=c_TFWD,IF(AND(A770&gt;=c_TMAP3IN,c_TMAP3IN&lt;1000),"Seg4 map3-100%",IF(AND(A770&gt;=c_TMAP2IN,c_TMAP3IN&gt;c_TMAP2IN),"Seg3 map2-map3",IF(AND(A770&gt;=c_TMAP1IN,c_TMAP2IN&gt;c_TMAP1IN),"Seg2 map1-map2","Seg1 TFWD-map1"))),IF(AND(A770=0,c_TCREEP&gt;0),"Creep",IF(AND(A770&lt;=c_TRNGMIN,A770&gt;=c_TRNGMAX,c_TRNGMIN-c_TRNGMAX&lt;&gt;0),"Regen ramp","Coast (0)")))</f>
        <v>Seg4 map3-100%</v>
      </c>
      <c r="I770" s="7" t="n">
        <f aca="false">IF(A770&gt;=c_TFWD,IF(AND(A770&gt;=c_TMAP3IN,c_TMAP3IN&lt;1000),G770,IF(AND(A770&gt;=c_TMAP2IN,c_TMAP3IN&gt;c_TMAP2IN),F770,IF(AND(A770&gt;=c_TMAP1IN,c_TMAP2IN&gt;c_TMAP1IN),E770,D770))),C770)</f>
        <v>711</v>
      </c>
      <c r="J770" s="7" t="str">
        <f aca="false">IF(I770&lt;-1090,"TOO LOW",IF(I770&gt;1090,"TOO HIGH",""))</f>
        <v/>
      </c>
      <c r="K770" s="15" t="n">
        <f aca="false">IF(J770&lt;&gt;"",0,IF(I770&gt;979,1000,I770))</f>
        <v>711</v>
      </c>
      <c r="L770" s="7" t="n">
        <f aca="false">K770/10</f>
        <v>71.1</v>
      </c>
    </row>
    <row r="771" customFormat="false" ht="15" hidden="false" customHeight="false" outlineLevel="0" collapsed="false">
      <c r="A771" s="7" t="n">
        <v>766</v>
      </c>
      <c r="B771" s="7" t="n">
        <f aca="false">A771/10</f>
        <v>76.6</v>
      </c>
      <c r="C771" s="7" t="n">
        <f aca="false">IF(AND(A771=0,c_TCREEP&gt;0),10*c_TCREEP,IF(AND(A771&lt;=c_TRNGMIN,A771&gt;=c_TRNGMAX,c_TRNGMIN-c_TRNGMAX&lt;&gt;0),-10*c_TMINRN+QUOTIENT((c_TMAXRN-c_TMINRN)*(100-QUOTIENT((A771-c_TRNGMAX)*100,c_TRNGMIN-c_TRNGMAX)),-10),0))</f>
        <v>0</v>
      </c>
      <c r="D771" s="7" t="n">
        <f aca="false">IF(((c_TMAP1IN)-(c_TFWD))=0,(0)+QUOTIENT(((c_TMAP1OUT)-(0)),2),QUOTIENT((((A771)-(c_TFWD))*((c_TMAP1OUT)-(0))+IF(((c_TMAP1OUT)-(0))&gt;=0,1,-1)*QUOTIENT(((c_TMAP1IN)-(c_TFWD)),2)),((c_TMAP1IN)-(c_TFWD)))+(0)+IF(((c_TMAP1OUT)-(0))&gt;=0,IF(IF(o_WRAP=1,MOD(((c_TMAP1IN)-(c_TFWD))*(((A771)-(c_TFWD))*((c_TMAP1OUT)-(0))+IF(((c_TMAP1OUT)-(0))&gt;=0,1,-1)*QUOTIENT(((c_TMAP1IN)-(c_TFWD)),2))+2147483648,4294967296)-2147483648,((c_TMAP1IN)-(c_TFWD))*(((A771)-(c_TFWD))*((c_TMAP1OUT)-(0))+IF(((c_TMAP1OUT)-(0))&gt;=0,1,-1)*QUOTIENT(((c_TMAP1IN)-(c_TFWD)),2)))&lt;0,-1,0),IF(IF(o_WRAP=1,MOD(((c_TMAP1IN)-(c_TFWD))*(((A771)-(c_TFWD))*((c_TMAP1OUT)-(0))+IF(((c_TMAP1OUT)-(0))&gt;=0,1,-1)*QUOTIENT(((c_TMAP1IN)-(c_TFWD)),2))+2147483648,4294967296)-2147483648,((c_TMAP1IN)-(c_TFWD))*(((A771)-(c_TFWD))*((c_TMAP1OUT)-(0))+IF(((c_TMAP1OUT)-(0))&gt;=0,1,-1)*QUOTIENT(((c_TMAP1IN)-(c_TFWD)),2)))&gt;=0,1,0)))</f>
        <v>588</v>
      </c>
      <c r="E771" s="7" t="n">
        <f aca="false">IF(((c_TMAP2IN)-(c_TMAP1IN))=0,(c_TMAP1OUT)+QUOTIENT(((c_TMAP2OUT)-(c_TMAP1OUT)),2),QUOTIENT((((A771)-(c_TMAP1IN))*((c_TMAP2OUT)-(c_TMAP1OUT))+IF(((c_TMAP2OUT)-(c_TMAP1OUT))&gt;=0,1,-1)*QUOTIENT(((c_TMAP2IN)-(c_TMAP1IN)),2)),((c_TMAP2IN)-(c_TMAP1IN)))+(c_TMAP1OUT)+IF(((c_TMAP2OUT)-(c_TMAP1OUT))&gt;=0,IF(IF(o_WRAP=1,MOD(((c_TMAP2IN)-(c_TMAP1IN))*(((A771)-(c_TMAP1IN))*((c_TMAP2OUT)-(c_TMAP1OUT))+IF(((c_TMAP2OUT)-(c_TMAP1OUT))&gt;=0,1,-1)*QUOTIENT(((c_TMAP2IN)-(c_TMAP1IN)),2))+2147483648,4294967296)-2147483648,((c_TMAP2IN)-(c_TMAP1IN))*(((A771)-(c_TMAP1IN))*((c_TMAP2OUT)-(c_TMAP1OUT))+IF(((c_TMAP2OUT)-(c_TMAP1OUT))&gt;=0,1,-1)*QUOTIENT(((c_TMAP2IN)-(c_TMAP1IN)),2)))&lt;0,-1,0),IF(IF(o_WRAP=1,MOD(((c_TMAP2IN)-(c_TMAP1IN))*(((A771)-(c_TMAP1IN))*((c_TMAP2OUT)-(c_TMAP1OUT))+IF(((c_TMAP2OUT)-(c_TMAP1OUT))&gt;=0,1,-1)*QUOTIENT(((c_TMAP2IN)-(c_TMAP1IN)),2))+2147483648,4294967296)-2147483648,((c_TMAP2IN)-(c_TMAP1IN))*(((A771)-(c_TMAP1IN))*((c_TMAP2OUT)-(c_TMAP1OUT))+IF(((c_TMAP2OUT)-(c_TMAP1OUT))&gt;=0,1,-1)*QUOTIENT(((c_TMAP2IN)-(c_TMAP1IN)),2)))&gt;=0,1,0)))</f>
        <v>336</v>
      </c>
      <c r="F771" s="7" t="n">
        <f aca="false">IF(((c_TMAP3IN)-(c_TMAP2IN))=0,(c_TMAP2OUT)+QUOTIENT(((c_TMAP3OUT)-(c_TMAP2OUT)),2),QUOTIENT((((A771)-(c_TMAP2IN))*((c_TMAP3OUT)-(c_TMAP2OUT))+IF(((c_TMAP3OUT)-(c_TMAP2OUT))&gt;=0,1,-1)*QUOTIENT(((c_TMAP3IN)-(c_TMAP2IN)),2)),((c_TMAP3IN)-(c_TMAP2IN)))+(c_TMAP2OUT)+IF(((c_TMAP3OUT)-(c_TMAP2OUT))&gt;=0,IF(IF(o_WRAP=1,MOD(((c_TMAP3IN)-(c_TMAP2IN))*(((A771)-(c_TMAP2IN))*((c_TMAP3OUT)-(c_TMAP2OUT))+IF(((c_TMAP3OUT)-(c_TMAP2OUT))&gt;=0,1,-1)*QUOTIENT(((c_TMAP3IN)-(c_TMAP2IN)),2))+2147483648,4294967296)-2147483648,((c_TMAP3IN)-(c_TMAP2IN))*(((A771)-(c_TMAP2IN))*((c_TMAP3OUT)-(c_TMAP2OUT))+IF(((c_TMAP3OUT)-(c_TMAP2OUT))&gt;=0,1,-1)*QUOTIENT(((c_TMAP3IN)-(c_TMAP2IN)),2)))&lt;0,-1,0),IF(IF(o_WRAP=1,MOD(((c_TMAP3IN)-(c_TMAP2IN))*(((A771)-(c_TMAP2IN))*((c_TMAP3OUT)-(c_TMAP2OUT))+IF(((c_TMAP3OUT)-(c_TMAP2OUT))&gt;=0,1,-1)*QUOTIENT(((c_TMAP3IN)-(c_TMAP2IN)),2))+2147483648,4294967296)-2147483648,((c_TMAP3IN)-(c_TMAP2IN))*(((A771)-(c_TMAP2IN))*((c_TMAP3OUT)-(c_TMAP2OUT))+IF(((c_TMAP3OUT)-(c_TMAP2OUT))&gt;=0,1,-1)*QUOTIENT(((c_TMAP3IN)-(c_TMAP2IN)),2)))&gt;=0,1,0)))</f>
        <v>491</v>
      </c>
      <c r="G771" s="7" t="n">
        <f aca="false">IF(((1000)-(c_TMAP3IN))=0,(c_TMAP3OUT)+QUOTIENT(((1000)-(c_TMAP3OUT)),2),QUOTIENT((((A771)-(c_TMAP3IN))*((1000)-(c_TMAP3OUT))+IF(((1000)-(c_TMAP3OUT))&gt;=0,1,-1)*QUOTIENT(((1000)-(c_TMAP3IN)),2)),((1000)-(c_TMAP3IN)))+(c_TMAP3OUT)+IF(((1000)-(c_TMAP3OUT))&gt;=0,IF(IF(o_WRAP=1,MOD(((1000)-(c_TMAP3IN))*(((A771)-(c_TMAP3IN))*((1000)-(c_TMAP3OUT))+IF(((1000)-(c_TMAP3OUT))&gt;=0,1,-1)*QUOTIENT(((1000)-(c_TMAP3IN)),2))+2147483648,4294967296)-2147483648,((1000)-(c_TMAP3IN))*(((A771)-(c_TMAP3IN))*((1000)-(c_TMAP3OUT))+IF(((1000)-(c_TMAP3OUT))&gt;=0,1,-1)*QUOTIENT(((1000)-(c_TMAP3IN)),2)))&lt;0,-1,0),IF(IF(o_WRAP=1,MOD(((1000)-(c_TMAP3IN))*(((A771)-(c_TMAP3IN))*((1000)-(c_TMAP3OUT))+IF(((1000)-(c_TMAP3OUT))&gt;=0,1,-1)*QUOTIENT(((1000)-(c_TMAP3IN)),2))+2147483648,4294967296)-2147483648,((1000)-(c_TMAP3IN))*(((A771)-(c_TMAP3IN))*((1000)-(c_TMAP3OUT))+IF(((1000)-(c_TMAP3OUT))&gt;=0,1,-1)*QUOTIENT(((1000)-(c_TMAP3IN)),2)))&gt;=0,1,0)))</f>
        <v>712</v>
      </c>
      <c r="H771" s="7" t="str">
        <f aca="false">IF(A771&gt;=c_TFWD,IF(AND(A771&gt;=c_TMAP3IN,c_TMAP3IN&lt;1000),"Seg4 map3-100%",IF(AND(A771&gt;=c_TMAP2IN,c_TMAP3IN&gt;c_TMAP2IN),"Seg3 map2-map3",IF(AND(A771&gt;=c_TMAP1IN,c_TMAP2IN&gt;c_TMAP1IN),"Seg2 map1-map2","Seg1 TFWD-map1"))),IF(AND(A771=0,c_TCREEP&gt;0),"Creep",IF(AND(A771&lt;=c_TRNGMIN,A771&gt;=c_TRNGMAX,c_TRNGMIN-c_TRNGMAX&lt;&gt;0),"Regen ramp","Coast (0)")))</f>
        <v>Seg4 map3-100%</v>
      </c>
      <c r="I771" s="7" t="n">
        <f aca="false">IF(A771&gt;=c_TFWD,IF(AND(A771&gt;=c_TMAP3IN,c_TMAP3IN&lt;1000),G771,IF(AND(A771&gt;=c_TMAP2IN,c_TMAP3IN&gt;c_TMAP2IN),F771,IF(AND(A771&gt;=c_TMAP1IN,c_TMAP2IN&gt;c_TMAP1IN),E771,D771))),C771)</f>
        <v>712</v>
      </c>
      <c r="J771" s="7" t="str">
        <f aca="false">IF(I771&lt;-1090,"TOO LOW",IF(I771&gt;1090,"TOO HIGH",""))</f>
        <v/>
      </c>
      <c r="K771" s="15" t="n">
        <f aca="false">IF(J771&lt;&gt;"",0,IF(I771&gt;979,1000,I771))</f>
        <v>712</v>
      </c>
      <c r="L771" s="7" t="n">
        <f aca="false">K771/10</f>
        <v>71.2</v>
      </c>
    </row>
    <row r="772" customFormat="false" ht="15" hidden="false" customHeight="false" outlineLevel="0" collapsed="false">
      <c r="A772" s="7" t="n">
        <v>767</v>
      </c>
      <c r="B772" s="7" t="n">
        <f aca="false">A772/10</f>
        <v>76.7</v>
      </c>
      <c r="C772" s="7" t="n">
        <f aca="false">IF(AND(A772=0,c_TCREEP&gt;0),10*c_TCREEP,IF(AND(A772&lt;=c_TRNGMIN,A772&gt;=c_TRNGMAX,c_TRNGMIN-c_TRNGMAX&lt;&gt;0),-10*c_TMINRN+QUOTIENT((c_TMAXRN-c_TMINRN)*(100-QUOTIENT((A772-c_TRNGMAX)*100,c_TRNGMIN-c_TRNGMAX)),-10),0))</f>
        <v>0</v>
      </c>
      <c r="D772" s="7" t="n">
        <f aca="false">IF(((c_TMAP1IN)-(c_TFWD))=0,(0)+QUOTIENT(((c_TMAP1OUT)-(0)),2),QUOTIENT((((A772)-(c_TFWD))*((c_TMAP1OUT)-(0))+IF(((c_TMAP1OUT)-(0))&gt;=0,1,-1)*QUOTIENT(((c_TMAP1IN)-(c_TFWD)),2)),((c_TMAP1IN)-(c_TFWD)))+(0)+IF(((c_TMAP1OUT)-(0))&gt;=0,IF(IF(o_WRAP=1,MOD(((c_TMAP1IN)-(c_TFWD))*(((A772)-(c_TFWD))*((c_TMAP1OUT)-(0))+IF(((c_TMAP1OUT)-(0))&gt;=0,1,-1)*QUOTIENT(((c_TMAP1IN)-(c_TFWD)),2))+2147483648,4294967296)-2147483648,((c_TMAP1IN)-(c_TFWD))*(((A772)-(c_TFWD))*((c_TMAP1OUT)-(0))+IF(((c_TMAP1OUT)-(0))&gt;=0,1,-1)*QUOTIENT(((c_TMAP1IN)-(c_TFWD)),2)))&lt;0,-1,0),IF(IF(o_WRAP=1,MOD(((c_TMAP1IN)-(c_TFWD))*(((A772)-(c_TFWD))*((c_TMAP1OUT)-(0))+IF(((c_TMAP1OUT)-(0))&gt;=0,1,-1)*QUOTIENT(((c_TMAP1IN)-(c_TFWD)),2))+2147483648,4294967296)-2147483648,((c_TMAP1IN)-(c_TFWD))*(((A772)-(c_TFWD))*((c_TMAP1OUT)-(0))+IF(((c_TMAP1OUT)-(0))&gt;=0,1,-1)*QUOTIENT(((c_TMAP1IN)-(c_TFWD)),2)))&gt;=0,1,0)))</f>
        <v>589</v>
      </c>
      <c r="E772" s="7" t="n">
        <f aca="false">IF(((c_TMAP2IN)-(c_TMAP1IN))=0,(c_TMAP1OUT)+QUOTIENT(((c_TMAP2OUT)-(c_TMAP1OUT)),2),QUOTIENT((((A772)-(c_TMAP1IN))*((c_TMAP2OUT)-(c_TMAP1OUT))+IF(((c_TMAP2OUT)-(c_TMAP1OUT))&gt;=0,1,-1)*QUOTIENT(((c_TMAP2IN)-(c_TMAP1IN)),2)),((c_TMAP2IN)-(c_TMAP1IN)))+(c_TMAP1OUT)+IF(((c_TMAP2OUT)-(c_TMAP1OUT))&gt;=0,IF(IF(o_WRAP=1,MOD(((c_TMAP2IN)-(c_TMAP1IN))*(((A772)-(c_TMAP1IN))*((c_TMAP2OUT)-(c_TMAP1OUT))+IF(((c_TMAP2OUT)-(c_TMAP1OUT))&gt;=0,1,-1)*QUOTIENT(((c_TMAP2IN)-(c_TMAP1IN)),2))+2147483648,4294967296)-2147483648,((c_TMAP2IN)-(c_TMAP1IN))*(((A772)-(c_TMAP1IN))*((c_TMAP2OUT)-(c_TMAP1OUT))+IF(((c_TMAP2OUT)-(c_TMAP1OUT))&gt;=0,1,-1)*QUOTIENT(((c_TMAP2IN)-(c_TMAP1IN)),2)))&lt;0,-1,0),IF(IF(o_WRAP=1,MOD(((c_TMAP2IN)-(c_TMAP1IN))*(((A772)-(c_TMAP1IN))*((c_TMAP2OUT)-(c_TMAP1OUT))+IF(((c_TMAP2OUT)-(c_TMAP1OUT))&gt;=0,1,-1)*QUOTIENT(((c_TMAP2IN)-(c_TMAP1IN)),2))+2147483648,4294967296)-2147483648,((c_TMAP2IN)-(c_TMAP1IN))*(((A772)-(c_TMAP1IN))*((c_TMAP2OUT)-(c_TMAP1OUT))+IF(((c_TMAP2OUT)-(c_TMAP1OUT))&gt;=0,1,-1)*QUOTIENT(((c_TMAP2IN)-(c_TMAP1IN)),2)))&gt;=0,1,0)))</f>
        <v>337</v>
      </c>
      <c r="F772" s="7" t="n">
        <f aca="false">IF(((c_TMAP3IN)-(c_TMAP2IN))=0,(c_TMAP2OUT)+QUOTIENT(((c_TMAP3OUT)-(c_TMAP2OUT)),2),QUOTIENT((((A772)-(c_TMAP2IN))*((c_TMAP3OUT)-(c_TMAP2OUT))+IF(((c_TMAP3OUT)-(c_TMAP2OUT))&gt;=0,1,-1)*QUOTIENT(((c_TMAP3IN)-(c_TMAP2IN)),2)),((c_TMAP3IN)-(c_TMAP2IN)))+(c_TMAP2OUT)+IF(((c_TMAP3OUT)-(c_TMAP2OUT))&gt;=0,IF(IF(o_WRAP=1,MOD(((c_TMAP3IN)-(c_TMAP2IN))*(((A772)-(c_TMAP2IN))*((c_TMAP3OUT)-(c_TMAP2OUT))+IF(((c_TMAP3OUT)-(c_TMAP2OUT))&gt;=0,1,-1)*QUOTIENT(((c_TMAP3IN)-(c_TMAP2IN)),2))+2147483648,4294967296)-2147483648,((c_TMAP3IN)-(c_TMAP2IN))*(((A772)-(c_TMAP2IN))*((c_TMAP3OUT)-(c_TMAP2OUT))+IF(((c_TMAP3OUT)-(c_TMAP2OUT))&gt;=0,1,-1)*QUOTIENT(((c_TMAP3IN)-(c_TMAP2IN)),2)))&lt;0,-1,0),IF(IF(o_WRAP=1,MOD(((c_TMAP3IN)-(c_TMAP2IN))*(((A772)-(c_TMAP2IN))*((c_TMAP3OUT)-(c_TMAP2OUT))+IF(((c_TMAP3OUT)-(c_TMAP2OUT))&gt;=0,1,-1)*QUOTIENT(((c_TMAP3IN)-(c_TMAP2IN)),2))+2147483648,4294967296)-2147483648,((c_TMAP3IN)-(c_TMAP2IN))*(((A772)-(c_TMAP2IN))*((c_TMAP3OUT)-(c_TMAP2OUT))+IF(((c_TMAP3OUT)-(c_TMAP2OUT))&gt;=0,1,-1)*QUOTIENT(((c_TMAP3IN)-(c_TMAP2IN)),2)))&gt;=0,1,0)))</f>
        <v>492</v>
      </c>
      <c r="G772" s="7" t="n">
        <f aca="false">IF(((1000)-(c_TMAP3IN))=0,(c_TMAP3OUT)+QUOTIENT(((1000)-(c_TMAP3OUT)),2),QUOTIENT((((A772)-(c_TMAP3IN))*((1000)-(c_TMAP3OUT))+IF(((1000)-(c_TMAP3OUT))&gt;=0,1,-1)*QUOTIENT(((1000)-(c_TMAP3IN)),2)),((1000)-(c_TMAP3IN)))+(c_TMAP3OUT)+IF(((1000)-(c_TMAP3OUT))&gt;=0,IF(IF(o_WRAP=1,MOD(((1000)-(c_TMAP3IN))*(((A772)-(c_TMAP3IN))*((1000)-(c_TMAP3OUT))+IF(((1000)-(c_TMAP3OUT))&gt;=0,1,-1)*QUOTIENT(((1000)-(c_TMAP3IN)),2))+2147483648,4294967296)-2147483648,((1000)-(c_TMAP3IN))*(((A772)-(c_TMAP3IN))*((1000)-(c_TMAP3OUT))+IF(((1000)-(c_TMAP3OUT))&gt;=0,1,-1)*QUOTIENT(((1000)-(c_TMAP3IN)),2)))&lt;0,-1,0),IF(IF(o_WRAP=1,MOD(((1000)-(c_TMAP3IN))*(((A772)-(c_TMAP3IN))*((1000)-(c_TMAP3OUT))+IF(((1000)-(c_TMAP3OUT))&gt;=0,1,-1)*QUOTIENT(((1000)-(c_TMAP3IN)),2))+2147483648,4294967296)-2147483648,((1000)-(c_TMAP3IN))*(((A772)-(c_TMAP3IN))*((1000)-(c_TMAP3OUT))+IF(((1000)-(c_TMAP3OUT))&gt;=0,1,-1)*QUOTIENT(((1000)-(c_TMAP3IN)),2)))&gt;=0,1,0)))</f>
        <v>713</v>
      </c>
      <c r="H772" s="7" t="str">
        <f aca="false">IF(A772&gt;=c_TFWD,IF(AND(A772&gt;=c_TMAP3IN,c_TMAP3IN&lt;1000),"Seg4 map3-100%",IF(AND(A772&gt;=c_TMAP2IN,c_TMAP3IN&gt;c_TMAP2IN),"Seg3 map2-map3",IF(AND(A772&gt;=c_TMAP1IN,c_TMAP2IN&gt;c_TMAP1IN),"Seg2 map1-map2","Seg1 TFWD-map1"))),IF(AND(A772=0,c_TCREEP&gt;0),"Creep",IF(AND(A772&lt;=c_TRNGMIN,A772&gt;=c_TRNGMAX,c_TRNGMIN-c_TRNGMAX&lt;&gt;0),"Regen ramp","Coast (0)")))</f>
        <v>Seg4 map3-100%</v>
      </c>
      <c r="I772" s="7" t="n">
        <f aca="false">IF(A772&gt;=c_TFWD,IF(AND(A772&gt;=c_TMAP3IN,c_TMAP3IN&lt;1000),G772,IF(AND(A772&gt;=c_TMAP2IN,c_TMAP3IN&gt;c_TMAP2IN),F772,IF(AND(A772&gt;=c_TMAP1IN,c_TMAP2IN&gt;c_TMAP1IN),E772,D772))),C772)</f>
        <v>713</v>
      </c>
      <c r="J772" s="7" t="str">
        <f aca="false">IF(I772&lt;-1090,"TOO LOW",IF(I772&gt;1090,"TOO HIGH",""))</f>
        <v/>
      </c>
      <c r="K772" s="15" t="n">
        <f aca="false">IF(J772&lt;&gt;"",0,IF(I772&gt;979,1000,I772))</f>
        <v>713</v>
      </c>
      <c r="L772" s="7" t="n">
        <f aca="false">K772/10</f>
        <v>71.3</v>
      </c>
    </row>
    <row r="773" customFormat="false" ht="15" hidden="false" customHeight="false" outlineLevel="0" collapsed="false">
      <c r="A773" s="7" t="n">
        <v>768</v>
      </c>
      <c r="B773" s="7" t="n">
        <f aca="false">A773/10</f>
        <v>76.8</v>
      </c>
      <c r="C773" s="7" t="n">
        <f aca="false">IF(AND(A773=0,c_TCREEP&gt;0),10*c_TCREEP,IF(AND(A773&lt;=c_TRNGMIN,A773&gt;=c_TRNGMAX,c_TRNGMIN-c_TRNGMAX&lt;&gt;0),-10*c_TMINRN+QUOTIENT((c_TMAXRN-c_TMINRN)*(100-QUOTIENT((A773-c_TRNGMAX)*100,c_TRNGMIN-c_TRNGMAX)),-10),0))</f>
        <v>0</v>
      </c>
      <c r="D773" s="7" t="n">
        <f aca="false">IF(((c_TMAP1IN)-(c_TFWD))=0,(0)+QUOTIENT(((c_TMAP1OUT)-(0)),2),QUOTIENT((((A773)-(c_TFWD))*((c_TMAP1OUT)-(0))+IF(((c_TMAP1OUT)-(0))&gt;=0,1,-1)*QUOTIENT(((c_TMAP1IN)-(c_TFWD)),2)),((c_TMAP1IN)-(c_TFWD)))+(0)+IF(((c_TMAP1OUT)-(0))&gt;=0,IF(IF(o_WRAP=1,MOD(((c_TMAP1IN)-(c_TFWD))*(((A773)-(c_TFWD))*((c_TMAP1OUT)-(0))+IF(((c_TMAP1OUT)-(0))&gt;=0,1,-1)*QUOTIENT(((c_TMAP1IN)-(c_TFWD)),2))+2147483648,4294967296)-2147483648,((c_TMAP1IN)-(c_TFWD))*(((A773)-(c_TFWD))*((c_TMAP1OUT)-(0))+IF(((c_TMAP1OUT)-(0))&gt;=0,1,-1)*QUOTIENT(((c_TMAP1IN)-(c_TFWD)),2)))&lt;0,-1,0),IF(IF(o_WRAP=1,MOD(((c_TMAP1IN)-(c_TFWD))*(((A773)-(c_TFWD))*((c_TMAP1OUT)-(0))+IF(((c_TMAP1OUT)-(0))&gt;=0,1,-1)*QUOTIENT(((c_TMAP1IN)-(c_TFWD)),2))+2147483648,4294967296)-2147483648,((c_TMAP1IN)-(c_TFWD))*(((A773)-(c_TFWD))*((c_TMAP1OUT)-(0))+IF(((c_TMAP1OUT)-(0))&gt;=0,1,-1)*QUOTIENT(((c_TMAP1IN)-(c_TFWD)),2)))&gt;=0,1,0)))</f>
        <v>590</v>
      </c>
      <c r="E773" s="7" t="n">
        <f aca="false">IF(((c_TMAP2IN)-(c_TMAP1IN))=0,(c_TMAP1OUT)+QUOTIENT(((c_TMAP2OUT)-(c_TMAP1OUT)),2),QUOTIENT((((A773)-(c_TMAP1IN))*((c_TMAP2OUT)-(c_TMAP1OUT))+IF(((c_TMAP2OUT)-(c_TMAP1OUT))&gt;=0,1,-1)*QUOTIENT(((c_TMAP2IN)-(c_TMAP1IN)),2)),((c_TMAP2IN)-(c_TMAP1IN)))+(c_TMAP1OUT)+IF(((c_TMAP2OUT)-(c_TMAP1OUT))&gt;=0,IF(IF(o_WRAP=1,MOD(((c_TMAP2IN)-(c_TMAP1IN))*(((A773)-(c_TMAP1IN))*((c_TMAP2OUT)-(c_TMAP1OUT))+IF(((c_TMAP2OUT)-(c_TMAP1OUT))&gt;=0,1,-1)*QUOTIENT(((c_TMAP2IN)-(c_TMAP1IN)),2))+2147483648,4294967296)-2147483648,((c_TMAP2IN)-(c_TMAP1IN))*(((A773)-(c_TMAP1IN))*((c_TMAP2OUT)-(c_TMAP1OUT))+IF(((c_TMAP2OUT)-(c_TMAP1OUT))&gt;=0,1,-1)*QUOTIENT(((c_TMAP2IN)-(c_TMAP1IN)),2)))&lt;0,-1,0),IF(IF(o_WRAP=1,MOD(((c_TMAP2IN)-(c_TMAP1IN))*(((A773)-(c_TMAP1IN))*((c_TMAP2OUT)-(c_TMAP1OUT))+IF(((c_TMAP2OUT)-(c_TMAP1OUT))&gt;=0,1,-1)*QUOTIENT(((c_TMAP2IN)-(c_TMAP1IN)),2))+2147483648,4294967296)-2147483648,((c_TMAP2IN)-(c_TMAP1IN))*(((A773)-(c_TMAP1IN))*((c_TMAP2OUT)-(c_TMAP1OUT))+IF(((c_TMAP2OUT)-(c_TMAP1OUT))&gt;=0,1,-1)*QUOTIENT(((c_TMAP2IN)-(c_TMAP1IN)),2)))&gt;=0,1,0)))</f>
        <v>337</v>
      </c>
      <c r="F773" s="7" t="n">
        <f aca="false">IF(((c_TMAP3IN)-(c_TMAP2IN))=0,(c_TMAP2OUT)+QUOTIENT(((c_TMAP3OUT)-(c_TMAP2OUT)),2),QUOTIENT((((A773)-(c_TMAP2IN))*((c_TMAP3OUT)-(c_TMAP2OUT))+IF(((c_TMAP3OUT)-(c_TMAP2OUT))&gt;=0,1,-1)*QUOTIENT(((c_TMAP3IN)-(c_TMAP2IN)),2)),((c_TMAP3IN)-(c_TMAP2IN)))+(c_TMAP2OUT)+IF(((c_TMAP3OUT)-(c_TMAP2OUT))&gt;=0,IF(IF(o_WRAP=1,MOD(((c_TMAP3IN)-(c_TMAP2IN))*(((A773)-(c_TMAP2IN))*((c_TMAP3OUT)-(c_TMAP2OUT))+IF(((c_TMAP3OUT)-(c_TMAP2OUT))&gt;=0,1,-1)*QUOTIENT(((c_TMAP3IN)-(c_TMAP2IN)),2))+2147483648,4294967296)-2147483648,((c_TMAP3IN)-(c_TMAP2IN))*(((A773)-(c_TMAP2IN))*((c_TMAP3OUT)-(c_TMAP2OUT))+IF(((c_TMAP3OUT)-(c_TMAP2OUT))&gt;=0,1,-1)*QUOTIENT(((c_TMAP3IN)-(c_TMAP2IN)),2)))&lt;0,-1,0),IF(IF(o_WRAP=1,MOD(((c_TMAP3IN)-(c_TMAP2IN))*(((A773)-(c_TMAP2IN))*((c_TMAP3OUT)-(c_TMAP2OUT))+IF(((c_TMAP3OUT)-(c_TMAP2OUT))&gt;=0,1,-1)*QUOTIENT(((c_TMAP3IN)-(c_TMAP2IN)),2))+2147483648,4294967296)-2147483648,((c_TMAP3IN)-(c_TMAP2IN))*(((A773)-(c_TMAP2IN))*((c_TMAP3OUT)-(c_TMAP2OUT))+IF(((c_TMAP3OUT)-(c_TMAP2OUT))&gt;=0,1,-1)*QUOTIENT(((c_TMAP3IN)-(c_TMAP2IN)),2)))&gt;=0,1,0)))</f>
        <v>493</v>
      </c>
      <c r="G773" s="7" t="n">
        <f aca="false">IF(((1000)-(c_TMAP3IN))=0,(c_TMAP3OUT)+QUOTIENT(((1000)-(c_TMAP3OUT)),2),QUOTIENT((((A773)-(c_TMAP3IN))*((1000)-(c_TMAP3OUT))+IF(((1000)-(c_TMAP3OUT))&gt;=0,1,-1)*QUOTIENT(((1000)-(c_TMAP3IN)),2)),((1000)-(c_TMAP3IN)))+(c_TMAP3OUT)+IF(((1000)-(c_TMAP3OUT))&gt;=0,IF(IF(o_WRAP=1,MOD(((1000)-(c_TMAP3IN))*(((A773)-(c_TMAP3IN))*((1000)-(c_TMAP3OUT))+IF(((1000)-(c_TMAP3OUT))&gt;=0,1,-1)*QUOTIENT(((1000)-(c_TMAP3IN)),2))+2147483648,4294967296)-2147483648,((1000)-(c_TMAP3IN))*(((A773)-(c_TMAP3IN))*((1000)-(c_TMAP3OUT))+IF(((1000)-(c_TMAP3OUT))&gt;=0,1,-1)*QUOTIENT(((1000)-(c_TMAP3IN)),2)))&lt;0,-1,0),IF(IF(o_WRAP=1,MOD(((1000)-(c_TMAP3IN))*(((A773)-(c_TMAP3IN))*((1000)-(c_TMAP3OUT))+IF(((1000)-(c_TMAP3OUT))&gt;=0,1,-1)*QUOTIENT(((1000)-(c_TMAP3IN)),2))+2147483648,4294967296)-2147483648,((1000)-(c_TMAP3IN))*(((A773)-(c_TMAP3IN))*((1000)-(c_TMAP3OUT))+IF(((1000)-(c_TMAP3OUT))&gt;=0,1,-1)*QUOTIENT(((1000)-(c_TMAP3IN)),2)))&gt;=0,1,0)))</f>
        <v>714</v>
      </c>
      <c r="H773" s="7" t="str">
        <f aca="false">IF(A773&gt;=c_TFWD,IF(AND(A773&gt;=c_TMAP3IN,c_TMAP3IN&lt;1000),"Seg4 map3-100%",IF(AND(A773&gt;=c_TMAP2IN,c_TMAP3IN&gt;c_TMAP2IN),"Seg3 map2-map3",IF(AND(A773&gt;=c_TMAP1IN,c_TMAP2IN&gt;c_TMAP1IN),"Seg2 map1-map2","Seg1 TFWD-map1"))),IF(AND(A773=0,c_TCREEP&gt;0),"Creep",IF(AND(A773&lt;=c_TRNGMIN,A773&gt;=c_TRNGMAX,c_TRNGMIN-c_TRNGMAX&lt;&gt;0),"Regen ramp","Coast (0)")))</f>
        <v>Seg4 map3-100%</v>
      </c>
      <c r="I773" s="7" t="n">
        <f aca="false">IF(A773&gt;=c_TFWD,IF(AND(A773&gt;=c_TMAP3IN,c_TMAP3IN&lt;1000),G773,IF(AND(A773&gt;=c_TMAP2IN,c_TMAP3IN&gt;c_TMAP2IN),F773,IF(AND(A773&gt;=c_TMAP1IN,c_TMAP2IN&gt;c_TMAP1IN),E773,D773))),C773)</f>
        <v>714</v>
      </c>
      <c r="J773" s="7" t="str">
        <f aca="false">IF(I773&lt;-1090,"TOO LOW",IF(I773&gt;1090,"TOO HIGH",""))</f>
        <v/>
      </c>
      <c r="K773" s="15" t="n">
        <f aca="false">IF(J773&lt;&gt;"",0,IF(I773&gt;979,1000,I773))</f>
        <v>714</v>
      </c>
      <c r="L773" s="7" t="n">
        <f aca="false">K773/10</f>
        <v>71.4</v>
      </c>
    </row>
    <row r="774" customFormat="false" ht="15" hidden="false" customHeight="false" outlineLevel="0" collapsed="false">
      <c r="A774" s="7" t="n">
        <v>769</v>
      </c>
      <c r="B774" s="7" t="n">
        <f aca="false">A774/10</f>
        <v>76.9</v>
      </c>
      <c r="C774" s="7" t="n">
        <f aca="false">IF(AND(A774=0,c_TCREEP&gt;0),10*c_TCREEP,IF(AND(A774&lt;=c_TRNGMIN,A774&gt;=c_TRNGMAX,c_TRNGMIN-c_TRNGMAX&lt;&gt;0),-10*c_TMINRN+QUOTIENT((c_TMAXRN-c_TMINRN)*(100-QUOTIENT((A774-c_TRNGMAX)*100,c_TRNGMIN-c_TRNGMAX)),-10),0))</f>
        <v>0</v>
      </c>
      <c r="D774" s="7" t="n">
        <f aca="false">IF(((c_TMAP1IN)-(c_TFWD))=0,(0)+QUOTIENT(((c_TMAP1OUT)-(0)),2),QUOTIENT((((A774)-(c_TFWD))*((c_TMAP1OUT)-(0))+IF(((c_TMAP1OUT)-(0))&gt;=0,1,-1)*QUOTIENT(((c_TMAP1IN)-(c_TFWD)),2)),((c_TMAP1IN)-(c_TFWD)))+(0)+IF(((c_TMAP1OUT)-(0))&gt;=0,IF(IF(o_WRAP=1,MOD(((c_TMAP1IN)-(c_TFWD))*(((A774)-(c_TFWD))*((c_TMAP1OUT)-(0))+IF(((c_TMAP1OUT)-(0))&gt;=0,1,-1)*QUOTIENT(((c_TMAP1IN)-(c_TFWD)),2))+2147483648,4294967296)-2147483648,((c_TMAP1IN)-(c_TFWD))*(((A774)-(c_TFWD))*((c_TMAP1OUT)-(0))+IF(((c_TMAP1OUT)-(0))&gt;=0,1,-1)*QUOTIENT(((c_TMAP1IN)-(c_TFWD)),2)))&lt;0,-1,0),IF(IF(o_WRAP=1,MOD(((c_TMAP1IN)-(c_TFWD))*(((A774)-(c_TFWD))*((c_TMAP1OUT)-(0))+IF(((c_TMAP1OUT)-(0))&gt;=0,1,-1)*QUOTIENT(((c_TMAP1IN)-(c_TFWD)),2))+2147483648,4294967296)-2147483648,((c_TMAP1IN)-(c_TFWD))*(((A774)-(c_TFWD))*((c_TMAP1OUT)-(0))+IF(((c_TMAP1OUT)-(0))&gt;=0,1,-1)*QUOTIENT(((c_TMAP1IN)-(c_TFWD)),2)))&gt;=0,1,0)))</f>
        <v>590</v>
      </c>
      <c r="E774" s="7" t="n">
        <f aca="false">IF(((c_TMAP2IN)-(c_TMAP1IN))=0,(c_TMAP1OUT)+QUOTIENT(((c_TMAP2OUT)-(c_TMAP1OUT)),2),QUOTIENT((((A774)-(c_TMAP1IN))*((c_TMAP2OUT)-(c_TMAP1OUT))+IF(((c_TMAP2OUT)-(c_TMAP1OUT))&gt;=0,1,-1)*QUOTIENT(((c_TMAP2IN)-(c_TMAP1IN)),2)),((c_TMAP2IN)-(c_TMAP1IN)))+(c_TMAP1OUT)+IF(((c_TMAP2OUT)-(c_TMAP1OUT))&gt;=0,IF(IF(o_WRAP=1,MOD(((c_TMAP2IN)-(c_TMAP1IN))*(((A774)-(c_TMAP1IN))*((c_TMAP2OUT)-(c_TMAP1OUT))+IF(((c_TMAP2OUT)-(c_TMAP1OUT))&gt;=0,1,-1)*QUOTIENT(((c_TMAP2IN)-(c_TMAP1IN)),2))+2147483648,4294967296)-2147483648,((c_TMAP2IN)-(c_TMAP1IN))*(((A774)-(c_TMAP1IN))*((c_TMAP2OUT)-(c_TMAP1OUT))+IF(((c_TMAP2OUT)-(c_TMAP1OUT))&gt;=0,1,-1)*QUOTIENT(((c_TMAP2IN)-(c_TMAP1IN)),2)))&lt;0,-1,0),IF(IF(o_WRAP=1,MOD(((c_TMAP2IN)-(c_TMAP1IN))*(((A774)-(c_TMAP1IN))*((c_TMAP2OUT)-(c_TMAP1OUT))+IF(((c_TMAP2OUT)-(c_TMAP1OUT))&gt;=0,1,-1)*QUOTIENT(((c_TMAP2IN)-(c_TMAP1IN)),2))+2147483648,4294967296)-2147483648,((c_TMAP2IN)-(c_TMAP1IN))*(((A774)-(c_TMAP1IN))*((c_TMAP2OUT)-(c_TMAP1OUT))+IF(((c_TMAP2OUT)-(c_TMAP1OUT))&gt;=0,1,-1)*QUOTIENT(((c_TMAP2IN)-(c_TMAP1IN)),2)))&gt;=0,1,0)))</f>
        <v>338</v>
      </c>
      <c r="F774" s="7" t="n">
        <f aca="false">IF(((c_TMAP3IN)-(c_TMAP2IN))=0,(c_TMAP2OUT)+QUOTIENT(((c_TMAP3OUT)-(c_TMAP2OUT)),2),QUOTIENT((((A774)-(c_TMAP2IN))*((c_TMAP3OUT)-(c_TMAP2OUT))+IF(((c_TMAP3OUT)-(c_TMAP2OUT))&gt;=0,1,-1)*QUOTIENT(((c_TMAP3IN)-(c_TMAP2IN)),2)),((c_TMAP3IN)-(c_TMAP2IN)))+(c_TMAP2OUT)+IF(((c_TMAP3OUT)-(c_TMAP2OUT))&gt;=0,IF(IF(o_WRAP=1,MOD(((c_TMAP3IN)-(c_TMAP2IN))*(((A774)-(c_TMAP2IN))*((c_TMAP3OUT)-(c_TMAP2OUT))+IF(((c_TMAP3OUT)-(c_TMAP2OUT))&gt;=0,1,-1)*QUOTIENT(((c_TMAP3IN)-(c_TMAP2IN)),2))+2147483648,4294967296)-2147483648,((c_TMAP3IN)-(c_TMAP2IN))*(((A774)-(c_TMAP2IN))*((c_TMAP3OUT)-(c_TMAP2OUT))+IF(((c_TMAP3OUT)-(c_TMAP2OUT))&gt;=0,1,-1)*QUOTIENT(((c_TMAP3IN)-(c_TMAP2IN)),2)))&lt;0,-1,0),IF(IF(o_WRAP=1,MOD(((c_TMAP3IN)-(c_TMAP2IN))*(((A774)-(c_TMAP2IN))*((c_TMAP3OUT)-(c_TMAP2OUT))+IF(((c_TMAP3OUT)-(c_TMAP2OUT))&gt;=0,1,-1)*QUOTIENT(((c_TMAP3IN)-(c_TMAP2IN)),2))+2147483648,4294967296)-2147483648,((c_TMAP3IN)-(c_TMAP2IN))*(((A774)-(c_TMAP2IN))*((c_TMAP3OUT)-(c_TMAP2OUT))+IF(((c_TMAP3OUT)-(c_TMAP2OUT))&gt;=0,1,-1)*QUOTIENT(((c_TMAP3IN)-(c_TMAP2IN)),2)))&gt;=0,1,0)))</f>
        <v>493</v>
      </c>
      <c r="G774" s="7" t="n">
        <f aca="false">IF(((1000)-(c_TMAP3IN))=0,(c_TMAP3OUT)+QUOTIENT(((1000)-(c_TMAP3OUT)),2),QUOTIENT((((A774)-(c_TMAP3IN))*((1000)-(c_TMAP3OUT))+IF(((1000)-(c_TMAP3OUT))&gt;=0,1,-1)*QUOTIENT(((1000)-(c_TMAP3IN)),2)),((1000)-(c_TMAP3IN)))+(c_TMAP3OUT)+IF(((1000)-(c_TMAP3OUT))&gt;=0,IF(IF(o_WRAP=1,MOD(((1000)-(c_TMAP3IN))*(((A774)-(c_TMAP3IN))*((1000)-(c_TMAP3OUT))+IF(((1000)-(c_TMAP3OUT))&gt;=0,1,-1)*QUOTIENT(((1000)-(c_TMAP3IN)),2))+2147483648,4294967296)-2147483648,((1000)-(c_TMAP3IN))*(((A774)-(c_TMAP3IN))*((1000)-(c_TMAP3OUT))+IF(((1000)-(c_TMAP3OUT))&gt;=0,1,-1)*QUOTIENT(((1000)-(c_TMAP3IN)),2)))&lt;0,-1,0),IF(IF(o_WRAP=1,MOD(((1000)-(c_TMAP3IN))*(((A774)-(c_TMAP3IN))*((1000)-(c_TMAP3OUT))+IF(((1000)-(c_TMAP3OUT))&gt;=0,1,-1)*QUOTIENT(((1000)-(c_TMAP3IN)),2))+2147483648,4294967296)-2147483648,((1000)-(c_TMAP3IN))*(((A774)-(c_TMAP3IN))*((1000)-(c_TMAP3OUT))+IF(((1000)-(c_TMAP3OUT))&gt;=0,1,-1)*QUOTIENT(((1000)-(c_TMAP3IN)),2)))&gt;=0,1,0)))</f>
        <v>716</v>
      </c>
      <c r="H774" s="7" t="str">
        <f aca="false">IF(A774&gt;=c_TFWD,IF(AND(A774&gt;=c_TMAP3IN,c_TMAP3IN&lt;1000),"Seg4 map3-100%",IF(AND(A774&gt;=c_TMAP2IN,c_TMAP3IN&gt;c_TMAP2IN),"Seg3 map2-map3",IF(AND(A774&gt;=c_TMAP1IN,c_TMAP2IN&gt;c_TMAP1IN),"Seg2 map1-map2","Seg1 TFWD-map1"))),IF(AND(A774=0,c_TCREEP&gt;0),"Creep",IF(AND(A774&lt;=c_TRNGMIN,A774&gt;=c_TRNGMAX,c_TRNGMIN-c_TRNGMAX&lt;&gt;0),"Regen ramp","Coast (0)")))</f>
        <v>Seg4 map3-100%</v>
      </c>
      <c r="I774" s="7" t="n">
        <f aca="false">IF(A774&gt;=c_TFWD,IF(AND(A774&gt;=c_TMAP3IN,c_TMAP3IN&lt;1000),G774,IF(AND(A774&gt;=c_TMAP2IN,c_TMAP3IN&gt;c_TMAP2IN),F774,IF(AND(A774&gt;=c_TMAP1IN,c_TMAP2IN&gt;c_TMAP1IN),E774,D774))),C774)</f>
        <v>716</v>
      </c>
      <c r="J774" s="7" t="str">
        <f aca="false">IF(I774&lt;-1090,"TOO LOW",IF(I774&gt;1090,"TOO HIGH",""))</f>
        <v/>
      </c>
      <c r="K774" s="15" t="n">
        <f aca="false">IF(J774&lt;&gt;"",0,IF(I774&gt;979,1000,I774))</f>
        <v>716</v>
      </c>
      <c r="L774" s="7" t="n">
        <f aca="false">K774/10</f>
        <v>71.6</v>
      </c>
    </row>
    <row r="775" customFormat="false" ht="15" hidden="false" customHeight="false" outlineLevel="0" collapsed="false">
      <c r="A775" s="7" t="n">
        <v>770</v>
      </c>
      <c r="B775" s="7" t="n">
        <f aca="false">A775/10</f>
        <v>77</v>
      </c>
      <c r="C775" s="7" t="n">
        <f aca="false">IF(AND(A775=0,c_TCREEP&gt;0),10*c_TCREEP,IF(AND(A775&lt;=c_TRNGMIN,A775&gt;=c_TRNGMAX,c_TRNGMIN-c_TRNGMAX&lt;&gt;0),-10*c_TMINRN+QUOTIENT((c_TMAXRN-c_TMINRN)*(100-QUOTIENT((A775-c_TRNGMAX)*100,c_TRNGMIN-c_TRNGMAX)),-10),0))</f>
        <v>0</v>
      </c>
      <c r="D775" s="7" t="n">
        <f aca="false">IF(((c_TMAP1IN)-(c_TFWD))=0,(0)+QUOTIENT(((c_TMAP1OUT)-(0)),2),QUOTIENT((((A775)-(c_TFWD))*((c_TMAP1OUT)-(0))+IF(((c_TMAP1OUT)-(0))&gt;=0,1,-1)*QUOTIENT(((c_TMAP1IN)-(c_TFWD)),2)),((c_TMAP1IN)-(c_TFWD)))+(0)+IF(((c_TMAP1OUT)-(0))&gt;=0,IF(IF(o_WRAP=1,MOD(((c_TMAP1IN)-(c_TFWD))*(((A775)-(c_TFWD))*((c_TMAP1OUT)-(0))+IF(((c_TMAP1OUT)-(0))&gt;=0,1,-1)*QUOTIENT(((c_TMAP1IN)-(c_TFWD)),2))+2147483648,4294967296)-2147483648,((c_TMAP1IN)-(c_TFWD))*(((A775)-(c_TFWD))*((c_TMAP1OUT)-(0))+IF(((c_TMAP1OUT)-(0))&gt;=0,1,-1)*QUOTIENT(((c_TMAP1IN)-(c_TFWD)),2)))&lt;0,-1,0),IF(IF(o_WRAP=1,MOD(((c_TMAP1IN)-(c_TFWD))*(((A775)-(c_TFWD))*((c_TMAP1OUT)-(0))+IF(((c_TMAP1OUT)-(0))&gt;=0,1,-1)*QUOTIENT(((c_TMAP1IN)-(c_TFWD)),2))+2147483648,4294967296)-2147483648,((c_TMAP1IN)-(c_TFWD))*(((A775)-(c_TFWD))*((c_TMAP1OUT)-(0))+IF(((c_TMAP1OUT)-(0))&gt;=0,1,-1)*QUOTIENT(((c_TMAP1IN)-(c_TFWD)),2)))&gt;=0,1,0)))</f>
        <v>591</v>
      </c>
      <c r="E775" s="7" t="n">
        <f aca="false">IF(((c_TMAP2IN)-(c_TMAP1IN))=0,(c_TMAP1OUT)+QUOTIENT(((c_TMAP2OUT)-(c_TMAP1OUT)),2),QUOTIENT((((A775)-(c_TMAP1IN))*((c_TMAP2OUT)-(c_TMAP1OUT))+IF(((c_TMAP2OUT)-(c_TMAP1OUT))&gt;=0,1,-1)*QUOTIENT(((c_TMAP2IN)-(c_TMAP1IN)),2)),((c_TMAP2IN)-(c_TMAP1IN)))+(c_TMAP1OUT)+IF(((c_TMAP2OUT)-(c_TMAP1OUT))&gt;=0,IF(IF(o_WRAP=1,MOD(((c_TMAP2IN)-(c_TMAP1IN))*(((A775)-(c_TMAP1IN))*((c_TMAP2OUT)-(c_TMAP1OUT))+IF(((c_TMAP2OUT)-(c_TMAP1OUT))&gt;=0,1,-1)*QUOTIENT(((c_TMAP2IN)-(c_TMAP1IN)),2))+2147483648,4294967296)-2147483648,((c_TMAP2IN)-(c_TMAP1IN))*(((A775)-(c_TMAP1IN))*((c_TMAP2OUT)-(c_TMAP1OUT))+IF(((c_TMAP2OUT)-(c_TMAP1OUT))&gt;=0,1,-1)*QUOTIENT(((c_TMAP2IN)-(c_TMAP1IN)),2)))&lt;0,-1,0),IF(IF(o_WRAP=1,MOD(((c_TMAP2IN)-(c_TMAP1IN))*(((A775)-(c_TMAP1IN))*((c_TMAP2OUT)-(c_TMAP1OUT))+IF(((c_TMAP2OUT)-(c_TMAP1OUT))&gt;=0,1,-1)*QUOTIENT(((c_TMAP2IN)-(c_TMAP1IN)),2))+2147483648,4294967296)-2147483648,((c_TMAP2IN)-(c_TMAP1IN))*(((A775)-(c_TMAP1IN))*((c_TMAP2OUT)-(c_TMAP1OUT))+IF(((c_TMAP2OUT)-(c_TMAP1OUT))&gt;=0,1,-1)*QUOTIENT(((c_TMAP2IN)-(c_TMAP1IN)),2)))&gt;=0,1,0)))</f>
        <v>338</v>
      </c>
      <c r="F775" s="7" t="n">
        <f aca="false">IF(((c_TMAP3IN)-(c_TMAP2IN))=0,(c_TMAP2OUT)+QUOTIENT(((c_TMAP3OUT)-(c_TMAP2OUT)),2),QUOTIENT((((A775)-(c_TMAP2IN))*((c_TMAP3OUT)-(c_TMAP2OUT))+IF(((c_TMAP3OUT)-(c_TMAP2OUT))&gt;=0,1,-1)*QUOTIENT(((c_TMAP3IN)-(c_TMAP2IN)),2)),((c_TMAP3IN)-(c_TMAP2IN)))+(c_TMAP2OUT)+IF(((c_TMAP3OUT)-(c_TMAP2OUT))&gt;=0,IF(IF(o_WRAP=1,MOD(((c_TMAP3IN)-(c_TMAP2IN))*(((A775)-(c_TMAP2IN))*((c_TMAP3OUT)-(c_TMAP2OUT))+IF(((c_TMAP3OUT)-(c_TMAP2OUT))&gt;=0,1,-1)*QUOTIENT(((c_TMAP3IN)-(c_TMAP2IN)),2))+2147483648,4294967296)-2147483648,((c_TMAP3IN)-(c_TMAP2IN))*(((A775)-(c_TMAP2IN))*((c_TMAP3OUT)-(c_TMAP2OUT))+IF(((c_TMAP3OUT)-(c_TMAP2OUT))&gt;=0,1,-1)*QUOTIENT(((c_TMAP3IN)-(c_TMAP2IN)),2)))&lt;0,-1,0),IF(IF(o_WRAP=1,MOD(((c_TMAP3IN)-(c_TMAP2IN))*(((A775)-(c_TMAP2IN))*((c_TMAP3OUT)-(c_TMAP2OUT))+IF(((c_TMAP3OUT)-(c_TMAP2OUT))&gt;=0,1,-1)*QUOTIENT(((c_TMAP3IN)-(c_TMAP2IN)),2))+2147483648,4294967296)-2147483648,((c_TMAP3IN)-(c_TMAP2IN))*(((A775)-(c_TMAP2IN))*((c_TMAP3OUT)-(c_TMAP2OUT))+IF(((c_TMAP3OUT)-(c_TMAP2OUT))&gt;=0,1,-1)*QUOTIENT(((c_TMAP3IN)-(c_TMAP2IN)),2)))&gt;=0,1,0)))</f>
        <v>494</v>
      </c>
      <c r="G775" s="7" t="n">
        <f aca="false">IF(((1000)-(c_TMAP3IN))=0,(c_TMAP3OUT)+QUOTIENT(((1000)-(c_TMAP3OUT)),2),QUOTIENT((((A775)-(c_TMAP3IN))*((1000)-(c_TMAP3OUT))+IF(((1000)-(c_TMAP3OUT))&gt;=0,1,-1)*QUOTIENT(((1000)-(c_TMAP3IN)),2)),((1000)-(c_TMAP3IN)))+(c_TMAP3OUT)+IF(((1000)-(c_TMAP3OUT))&gt;=0,IF(IF(o_WRAP=1,MOD(((1000)-(c_TMAP3IN))*(((A775)-(c_TMAP3IN))*((1000)-(c_TMAP3OUT))+IF(((1000)-(c_TMAP3OUT))&gt;=0,1,-1)*QUOTIENT(((1000)-(c_TMAP3IN)),2))+2147483648,4294967296)-2147483648,((1000)-(c_TMAP3IN))*(((A775)-(c_TMAP3IN))*((1000)-(c_TMAP3OUT))+IF(((1000)-(c_TMAP3OUT))&gt;=0,1,-1)*QUOTIENT(((1000)-(c_TMAP3IN)),2)))&lt;0,-1,0),IF(IF(o_WRAP=1,MOD(((1000)-(c_TMAP3IN))*(((A775)-(c_TMAP3IN))*((1000)-(c_TMAP3OUT))+IF(((1000)-(c_TMAP3OUT))&gt;=0,1,-1)*QUOTIENT(((1000)-(c_TMAP3IN)),2))+2147483648,4294967296)-2147483648,((1000)-(c_TMAP3IN))*(((A775)-(c_TMAP3IN))*((1000)-(c_TMAP3OUT))+IF(((1000)-(c_TMAP3OUT))&gt;=0,1,-1)*QUOTIENT(((1000)-(c_TMAP3IN)),2)))&gt;=0,1,0)))</f>
        <v>717</v>
      </c>
      <c r="H775" s="7" t="str">
        <f aca="false">IF(A775&gt;=c_TFWD,IF(AND(A775&gt;=c_TMAP3IN,c_TMAP3IN&lt;1000),"Seg4 map3-100%",IF(AND(A775&gt;=c_TMAP2IN,c_TMAP3IN&gt;c_TMAP2IN),"Seg3 map2-map3",IF(AND(A775&gt;=c_TMAP1IN,c_TMAP2IN&gt;c_TMAP1IN),"Seg2 map1-map2","Seg1 TFWD-map1"))),IF(AND(A775=0,c_TCREEP&gt;0),"Creep",IF(AND(A775&lt;=c_TRNGMIN,A775&gt;=c_TRNGMAX,c_TRNGMIN-c_TRNGMAX&lt;&gt;0),"Regen ramp","Coast (0)")))</f>
        <v>Seg4 map3-100%</v>
      </c>
      <c r="I775" s="7" t="n">
        <f aca="false">IF(A775&gt;=c_TFWD,IF(AND(A775&gt;=c_TMAP3IN,c_TMAP3IN&lt;1000),G775,IF(AND(A775&gt;=c_TMAP2IN,c_TMAP3IN&gt;c_TMAP2IN),F775,IF(AND(A775&gt;=c_TMAP1IN,c_TMAP2IN&gt;c_TMAP1IN),E775,D775))),C775)</f>
        <v>717</v>
      </c>
      <c r="J775" s="7" t="str">
        <f aca="false">IF(I775&lt;-1090,"TOO LOW",IF(I775&gt;1090,"TOO HIGH",""))</f>
        <v/>
      </c>
      <c r="K775" s="15" t="n">
        <f aca="false">IF(J775&lt;&gt;"",0,IF(I775&gt;979,1000,I775))</f>
        <v>717</v>
      </c>
      <c r="L775" s="7" t="n">
        <f aca="false">K775/10</f>
        <v>71.7</v>
      </c>
    </row>
    <row r="776" customFormat="false" ht="15" hidden="false" customHeight="false" outlineLevel="0" collapsed="false">
      <c r="A776" s="7" t="n">
        <v>771</v>
      </c>
      <c r="B776" s="7" t="n">
        <f aca="false">A776/10</f>
        <v>77.1</v>
      </c>
      <c r="C776" s="7" t="n">
        <f aca="false">IF(AND(A776=0,c_TCREEP&gt;0),10*c_TCREEP,IF(AND(A776&lt;=c_TRNGMIN,A776&gt;=c_TRNGMAX,c_TRNGMIN-c_TRNGMAX&lt;&gt;0),-10*c_TMINRN+QUOTIENT((c_TMAXRN-c_TMINRN)*(100-QUOTIENT((A776-c_TRNGMAX)*100,c_TRNGMIN-c_TRNGMAX)),-10),0))</f>
        <v>0</v>
      </c>
      <c r="D776" s="7" t="n">
        <f aca="false">IF(((c_TMAP1IN)-(c_TFWD))=0,(0)+QUOTIENT(((c_TMAP1OUT)-(0)),2),QUOTIENT((((A776)-(c_TFWD))*((c_TMAP1OUT)-(0))+IF(((c_TMAP1OUT)-(0))&gt;=0,1,-1)*QUOTIENT(((c_TMAP1IN)-(c_TFWD)),2)),((c_TMAP1IN)-(c_TFWD)))+(0)+IF(((c_TMAP1OUT)-(0))&gt;=0,IF(IF(o_WRAP=1,MOD(((c_TMAP1IN)-(c_TFWD))*(((A776)-(c_TFWD))*((c_TMAP1OUT)-(0))+IF(((c_TMAP1OUT)-(0))&gt;=0,1,-1)*QUOTIENT(((c_TMAP1IN)-(c_TFWD)),2))+2147483648,4294967296)-2147483648,((c_TMAP1IN)-(c_TFWD))*(((A776)-(c_TFWD))*((c_TMAP1OUT)-(0))+IF(((c_TMAP1OUT)-(0))&gt;=0,1,-1)*QUOTIENT(((c_TMAP1IN)-(c_TFWD)),2)))&lt;0,-1,0),IF(IF(o_WRAP=1,MOD(((c_TMAP1IN)-(c_TFWD))*(((A776)-(c_TFWD))*((c_TMAP1OUT)-(0))+IF(((c_TMAP1OUT)-(0))&gt;=0,1,-1)*QUOTIENT(((c_TMAP1IN)-(c_TFWD)),2))+2147483648,4294967296)-2147483648,((c_TMAP1IN)-(c_TFWD))*(((A776)-(c_TFWD))*((c_TMAP1OUT)-(0))+IF(((c_TMAP1OUT)-(0))&gt;=0,1,-1)*QUOTIENT(((c_TMAP1IN)-(c_TFWD)),2)))&gt;=0,1,0)))</f>
        <v>592</v>
      </c>
      <c r="E776" s="7" t="n">
        <f aca="false">IF(((c_TMAP2IN)-(c_TMAP1IN))=0,(c_TMAP1OUT)+QUOTIENT(((c_TMAP2OUT)-(c_TMAP1OUT)),2),QUOTIENT((((A776)-(c_TMAP1IN))*((c_TMAP2OUT)-(c_TMAP1OUT))+IF(((c_TMAP2OUT)-(c_TMAP1OUT))&gt;=0,1,-1)*QUOTIENT(((c_TMAP2IN)-(c_TMAP1IN)),2)),((c_TMAP2IN)-(c_TMAP1IN)))+(c_TMAP1OUT)+IF(((c_TMAP2OUT)-(c_TMAP1OUT))&gt;=0,IF(IF(o_WRAP=1,MOD(((c_TMAP2IN)-(c_TMAP1IN))*(((A776)-(c_TMAP1IN))*((c_TMAP2OUT)-(c_TMAP1OUT))+IF(((c_TMAP2OUT)-(c_TMAP1OUT))&gt;=0,1,-1)*QUOTIENT(((c_TMAP2IN)-(c_TMAP1IN)),2))+2147483648,4294967296)-2147483648,((c_TMAP2IN)-(c_TMAP1IN))*(((A776)-(c_TMAP1IN))*((c_TMAP2OUT)-(c_TMAP1OUT))+IF(((c_TMAP2OUT)-(c_TMAP1OUT))&gt;=0,1,-1)*QUOTIENT(((c_TMAP2IN)-(c_TMAP1IN)),2)))&lt;0,-1,0),IF(IF(o_WRAP=1,MOD(((c_TMAP2IN)-(c_TMAP1IN))*(((A776)-(c_TMAP1IN))*((c_TMAP2OUT)-(c_TMAP1OUT))+IF(((c_TMAP2OUT)-(c_TMAP1OUT))&gt;=0,1,-1)*QUOTIENT(((c_TMAP2IN)-(c_TMAP1IN)),2))+2147483648,4294967296)-2147483648,((c_TMAP2IN)-(c_TMAP1IN))*(((A776)-(c_TMAP1IN))*((c_TMAP2OUT)-(c_TMAP1OUT))+IF(((c_TMAP2OUT)-(c_TMAP1OUT))&gt;=0,1,-1)*QUOTIENT(((c_TMAP2IN)-(c_TMAP1IN)),2)))&gt;=0,1,0)))</f>
        <v>338</v>
      </c>
      <c r="F776" s="7" t="n">
        <f aca="false">IF(((c_TMAP3IN)-(c_TMAP2IN))=0,(c_TMAP2OUT)+QUOTIENT(((c_TMAP3OUT)-(c_TMAP2OUT)),2),QUOTIENT((((A776)-(c_TMAP2IN))*((c_TMAP3OUT)-(c_TMAP2OUT))+IF(((c_TMAP3OUT)-(c_TMAP2OUT))&gt;=0,1,-1)*QUOTIENT(((c_TMAP3IN)-(c_TMAP2IN)),2)),((c_TMAP3IN)-(c_TMAP2IN)))+(c_TMAP2OUT)+IF(((c_TMAP3OUT)-(c_TMAP2OUT))&gt;=0,IF(IF(o_WRAP=1,MOD(((c_TMAP3IN)-(c_TMAP2IN))*(((A776)-(c_TMAP2IN))*((c_TMAP3OUT)-(c_TMAP2OUT))+IF(((c_TMAP3OUT)-(c_TMAP2OUT))&gt;=0,1,-1)*QUOTIENT(((c_TMAP3IN)-(c_TMAP2IN)),2))+2147483648,4294967296)-2147483648,((c_TMAP3IN)-(c_TMAP2IN))*(((A776)-(c_TMAP2IN))*((c_TMAP3OUT)-(c_TMAP2OUT))+IF(((c_TMAP3OUT)-(c_TMAP2OUT))&gt;=0,1,-1)*QUOTIENT(((c_TMAP3IN)-(c_TMAP2IN)),2)))&lt;0,-1,0),IF(IF(o_WRAP=1,MOD(((c_TMAP3IN)-(c_TMAP2IN))*(((A776)-(c_TMAP2IN))*((c_TMAP3OUT)-(c_TMAP2OUT))+IF(((c_TMAP3OUT)-(c_TMAP2OUT))&gt;=0,1,-1)*QUOTIENT(((c_TMAP3IN)-(c_TMAP2IN)),2))+2147483648,4294967296)-2147483648,((c_TMAP3IN)-(c_TMAP2IN))*(((A776)-(c_TMAP2IN))*((c_TMAP3OUT)-(c_TMAP2OUT))+IF(((c_TMAP3OUT)-(c_TMAP2OUT))&gt;=0,1,-1)*QUOTIENT(((c_TMAP3IN)-(c_TMAP2IN)),2)))&gt;=0,1,0)))</f>
        <v>495</v>
      </c>
      <c r="G776" s="7" t="n">
        <f aca="false">IF(((1000)-(c_TMAP3IN))=0,(c_TMAP3OUT)+QUOTIENT(((1000)-(c_TMAP3OUT)),2),QUOTIENT((((A776)-(c_TMAP3IN))*((1000)-(c_TMAP3OUT))+IF(((1000)-(c_TMAP3OUT))&gt;=0,1,-1)*QUOTIENT(((1000)-(c_TMAP3IN)),2)),((1000)-(c_TMAP3IN)))+(c_TMAP3OUT)+IF(((1000)-(c_TMAP3OUT))&gt;=0,IF(IF(o_WRAP=1,MOD(((1000)-(c_TMAP3IN))*(((A776)-(c_TMAP3IN))*((1000)-(c_TMAP3OUT))+IF(((1000)-(c_TMAP3OUT))&gt;=0,1,-1)*QUOTIENT(((1000)-(c_TMAP3IN)),2))+2147483648,4294967296)-2147483648,((1000)-(c_TMAP3IN))*(((A776)-(c_TMAP3IN))*((1000)-(c_TMAP3OUT))+IF(((1000)-(c_TMAP3OUT))&gt;=0,1,-1)*QUOTIENT(((1000)-(c_TMAP3IN)),2)))&lt;0,-1,0),IF(IF(o_WRAP=1,MOD(((1000)-(c_TMAP3IN))*(((A776)-(c_TMAP3IN))*((1000)-(c_TMAP3OUT))+IF(((1000)-(c_TMAP3OUT))&gt;=0,1,-1)*QUOTIENT(((1000)-(c_TMAP3IN)),2))+2147483648,4294967296)-2147483648,((1000)-(c_TMAP3IN))*(((A776)-(c_TMAP3IN))*((1000)-(c_TMAP3OUT))+IF(((1000)-(c_TMAP3OUT))&gt;=0,1,-1)*QUOTIENT(((1000)-(c_TMAP3IN)),2)))&gt;=0,1,0)))</f>
        <v>718</v>
      </c>
      <c r="H776" s="7" t="str">
        <f aca="false">IF(A776&gt;=c_TFWD,IF(AND(A776&gt;=c_TMAP3IN,c_TMAP3IN&lt;1000),"Seg4 map3-100%",IF(AND(A776&gt;=c_TMAP2IN,c_TMAP3IN&gt;c_TMAP2IN),"Seg3 map2-map3",IF(AND(A776&gt;=c_TMAP1IN,c_TMAP2IN&gt;c_TMAP1IN),"Seg2 map1-map2","Seg1 TFWD-map1"))),IF(AND(A776=0,c_TCREEP&gt;0),"Creep",IF(AND(A776&lt;=c_TRNGMIN,A776&gt;=c_TRNGMAX,c_TRNGMIN-c_TRNGMAX&lt;&gt;0),"Regen ramp","Coast (0)")))</f>
        <v>Seg4 map3-100%</v>
      </c>
      <c r="I776" s="7" t="n">
        <f aca="false">IF(A776&gt;=c_TFWD,IF(AND(A776&gt;=c_TMAP3IN,c_TMAP3IN&lt;1000),G776,IF(AND(A776&gt;=c_TMAP2IN,c_TMAP3IN&gt;c_TMAP2IN),F776,IF(AND(A776&gt;=c_TMAP1IN,c_TMAP2IN&gt;c_TMAP1IN),E776,D776))),C776)</f>
        <v>718</v>
      </c>
      <c r="J776" s="7" t="str">
        <f aca="false">IF(I776&lt;-1090,"TOO LOW",IF(I776&gt;1090,"TOO HIGH",""))</f>
        <v/>
      </c>
      <c r="K776" s="15" t="n">
        <f aca="false">IF(J776&lt;&gt;"",0,IF(I776&gt;979,1000,I776))</f>
        <v>718</v>
      </c>
      <c r="L776" s="7" t="n">
        <f aca="false">K776/10</f>
        <v>71.8</v>
      </c>
    </row>
    <row r="777" customFormat="false" ht="15" hidden="false" customHeight="false" outlineLevel="0" collapsed="false">
      <c r="A777" s="7" t="n">
        <v>772</v>
      </c>
      <c r="B777" s="7" t="n">
        <f aca="false">A777/10</f>
        <v>77.2</v>
      </c>
      <c r="C777" s="7" t="n">
        <f aca="false">IF(AND(A777=0,c_TCREEP&gt;0),10*c_TCREEP,IF(AND(A777&lt;=c_TRNGMIN,A777&gt;=c_TRNGMAX,c_TRNGMIN-c_TRNGMAX&lt;&gt;0),-10*c_TMINRN+QUOTIENT((c_TMAXRN-c_TMINRN)*(100-QUOTIENT((A777-c_TRNGMAX)*100,c_TRNGMIN-c_TRNGMAX)),-10),0))</f>
        <v>0</v>
      </c>
      <c r="D777" s="7" t="n">
        <f aca="false">IF(((c_TMAP1IN)-(c_TFWD))=0,(0)+QUOTIENT(((c_TMAP1OUT)-(0)),2),QUOTIENT((((A777)-(c_TFWD))*((c_TMAP1OUT)-(0))+IF(((c_TMAP1OUT)-(0))&gt;=0,1,-1)*QUOTIENT(((c_TMAP1IN)-(c_TFWD)),2)),((c_TMAP1IN)-(c_TFWD)))+(0)+IF(((c_TMAP1OUT)-(0))&gt;=0,IF(IF(o_WRAP=1,MOD(((c_TMAP1IN)-(c_TFWD))*(((A777)-(c_TFWD))*((c_TMAP1OUT)-(0))+IF(((c_TMAP1OUT)-(0))&gt;=0,1,-1)*QUOTIENT(((c_TMAP1IN)-(c_TFWD)),2))+2147483648,4294967296)-2147483648,((c_TMAP1IN)-(c_TFWD))*(((A777)-(c_TFWD))*((c_TMAP1OUT)-(0))+IF(((c_TMAP1OUT)-(0))&gt;=0,1,-1)*QUOTIENT(((c_TMAP1IN)-(c_TFWD)),2)))&lt;0,-1,0),IF(IF(o_WRAP=1,MOD(((c_TMAP1IN)-(c_TFWD))*(((A777)-(c_TFWD))*((c_TMAP1OUT)-(0))+IF(((c_TMAP1OUT)-(0))&gt;=0,1,-1)*QUOTIENT(((c_TMAP1IN)-(c_TFWD)),2))+2147483648,4294967296)-2147483648,((c_TMAP1IN)-(c_TFWD))*(((A777)-(c_TFWD))*((c_TMAP1OUT)-(0))+IF(((c_TMAP1OUT)-(0))&gt;=0,1,-1)*QUOTIENT(((c_TMAP1IN)-(c_TFWD)),2)))&gt;=0,1,0)))</f>
        <v>593</v>
      </c>
      <c r="E777" s="7" t="n">
        <f aca="false">IF(((c_TMAP2IN)-(c_TMAP1IN))=0,(c_TMAP1OUT)+QUOTIENT(((c_TMAP2OUT)-(c_TMAP1OUT)),2),QUOTIENT((((A777)-(c_TMAP1IN))*((c_TMAP2OUT)-(c_TMAP1OUT))+IF(((c_TMAP2OUT)-(c_TMAP1OUT))&gt;=0,1,-1)*QUOTIENT(((c_TMAP2IN)-(c_TMAP1IN)),2)),((c_TMAP2IN)-(c_TMAP1IN)))+(c_TMAP1OUT)+IF(((c_TMAP2OUT)-(c_TMAP1OUT))&gt;=0,IF(IF(o_WRAP=1,MOD(((c_TMAP2IN)-(c_TMAP1IN))*(((A777)-(c_TMAP1IN))*((c_TMAP2OUT)-(c_TMAP1OUT))+IF(((c_TMAP2OUT)-(c_TMAP1OUT))&gt;=0,1,-1)*QUOTIENT(((c_TMAP2IN)-(c_TMAP1IN)),2))+2147483648,4294967296)-2147483648,((c_TMAP2IN)-(c_TMAP1IN))*(((A777)-(c_TMAP1IN))*((c_TMAP2OUT)-(c_TMAP1OUT))+IF(((c_TMAP2OUT)-(c_TMAP1OUT))&gt;=0,1,-1)*QUOTIENT(((c_TMAP2IN)-(c_TMAP1IN)),2)))&lt;0,-1,0),IF(IF(o_WRAP=1,MOD(((c_TMAP2IN)-(c_TMAP1IN))*(((A777)-(c_TMAP1IN))*((c_TMAP2OUT)-(c_TMAP1OUT))+IF(((c_TMAP2OUT)-(c_TMAP1OUT))&gt;=0,1,-1)*QUOTIENT(((c_TMAP2IN)-(c_TMAP1IN)),2))+2147483648,4294967296)-2147483648,((c_TMAP2IN)-(c_TMAP1IN))*(((A777)-(c_TMAP1IN))*((c_TMAP2OUT)-(c_TMAP1OUT))+IF(((c_TMAP2OUT)-(c_TMAP1OUT))&gt;=0,1,-1)*QUOTIENT(((c_TMAP2IN)-(c_TMAP1IN)),2)))&gt;=0,1,0)))</f>
        <v>339</v>
      </c>
      <c r="F777" s="7" t="n">
        <f aca="false">IF(((c_TMAP3IN)-(c_TMAP2IN))=0,(c_TMAP2OUT)+QUOTIENT(((c_TMAP3OUT)-(c_TMAP2OUT)),2),QUOTIENT((((A777)-(c_TMAP2IN))*((c_TMAP3OUT)-(c_TMAP2OUT))+IF(((c_TMAP3OUT)-(c_TMAP2OUT))&gt;=0,1,-1)*QUOTIENT(((c_TMAP3IN)-(c_TMAP2IN)),2)),((c_TMAP3IN)-(c_TMAP2IN)))+(c_TMAP2OUT)+IF(((c_TMAP3OUT)-(c_TMAP2OUT))&gt;=0,IF(IF(o_WRAP=1,MOD(((c_TMAP3IN)-(c_TMAP2IN))*(((A777)-(c_TMAP2IN))*((c_TMAP3OUT)-(c_TMAP2OUT))+IF(((c_TMAP3OUT)-(c_TMAP2OUT))&gt;=0,1,-1)*QUOTIENT(((c_TMAP3IN)-(c_TMAP2IN)),2))+2147483648,4294967296)-2147483648,((c_TMAP3IN)-(c_TMAP2IN))*(((A777)-(c_TMAP2IN))*((c_TMAP3OUT)-(c_TMAP2OUT))+IF(((c_TMAP3OUT)-(c_TMAP2OUT))&gt;=0,1,-1)*QUOTIENT(((c_TMAP3IN)-(c_TMAP2IN)),2)))&lt;0,-1,0),IF(IF(o_WRAP=1,MOD(((c_TMAP3IN)-(c_TMAP2IN))*(((A777)-(c_TMAP2IN))*((c_TMAP3OUT)-(c_TMAP2OUT))+IF(((c_TMAP3OUT)-(c_TMAP2OUT))&gt;=0,1,-1)*QUOTIENT(((c_TMAP3IN)-(c_TMAP2IN)),2))+2147483648,4294967296)-2147483648,((c_TMAP3IN)-(c_TMAP2IN))*(((A777)-(c_TMAP2IN))*((c_TMAP3OUT)-(c_TMAP2OUT))+IF(((c_TMAP3OUT)-(c_TMAP2OUT))&gt;=0,1,-1)*QUOTIENT(((c_TMAP3IN)-(c_TMAP2IN)),2)))&gt;=0,1,0)))</f>
        <v>495</v>
      </c>
      <c r="G777" s="7" t="n">
        <f aca="false">IF(((1000)-(c_TMAP3IN))=0,(c_TMAP3OUT)+QUOTIENT(((1000)-(c_TMAP3OUT)),2),QUOTIENT((((A777)-(c_TMAP3IN))*((1000)-(c_TMAP3OUT))+IF(((1000)-(c_TMAP3OUT))&gt;=0,1,-1)*QUOTIENT(((1000)-(c_TMAP3IN)),2)),((1000)-(c_TMAP3IN)))+(c_TMAP3OUT)+IF(((1000)-(c_TMAP3OUT))&gt;=0,IF(IF(o_WRAP=1,MOD(((1000)-(c_TMAP3IN))*(((A777)-(c_TMAP3IN))*((1000)-(c_TMAP3OUT))+IF(((1000)-(c_TMAP3OUT))&gt;=0,1,-1)*QUOTIENT(((1000)-(c_TMAP3IN)),2))+2147483648,4294967296)-2147483648,((1000)-(c_TMAP3IN))*(((A777)-(c_TMAP3IN))*((1000)-(c_TMAP3OUT))+IF(((1000)-(c_TMAP3OUT))&gt;=0,1,-1)*QUOTIENT(((1000)-(c_TMAP3IN)),2)))&lt;0,-1,0),IF(IF(o_WRAP=1,MOD(((1000)-(c_TMAP3IN))*(((A777)-(c_TMAP3IN))*((1000)-(c_TMAP3OUT))+IF(((1000)-(c_TMAP3OUT))&gt;=0,1,-1)*QUOTIENT(((1000)-(c_TMAP3IN)),2))+2147483648,4294967296)-2147483648,((1000)-(c_TMAP3IN))*(((A777)-(c_TMAP3IN))*((1000)-(c_TMAP3OUT))+IF(((1000)-(c_TMAP3OUT))&gt;=0,1,-1)*QUOTIENT(((1000)-(c_TMAP3IN)),2)))&gt;=0,1,0)))</f>
        <v>719</v>
      </c>
      <c r="H777" s="7" t="str">
        <f aca="false">IF(A777&gt;=c_TFWD,IF(AND(A777&gt;=c_TMAP3IN,c_TMAP3IN&lt;1000),"Seg4 map3-100%",IF(AND(A777&gt;=c_TMAP2IN,c_TMAP3IN&gt;c_TMAP2IN),"Seg3 map2-map3",IF(AND(A777&gt;=c_TMAP1IN,c_TMAP2IN&gt;c_TMAP1IN),"Seg2 map1-map2","Seg1 TFWD-map1"))),IF(AND(A777=0,c_TCREEP&gt;0),"Creep",IF(AND(A777&lt;=c_TRNGMIN,A777&gt;=c_TRNGMAX,c_TRNGMIN-c_TRNGMAX&lt;&gt;0),"Regen ramp","Coast (0)")))</f>
        <v>Seg4 map3-100%</v>
      </c>
      <c r="I777" s="7" t="n">
        <f aca="false">IF(A777&gt;=c_TFWD,IF(AND(A777&gt;=c_TMAP3IN,c_TMAP3IN&lt;1000),G777,IF(AND(A777&gt;=c_TMAP2IN,c_TMAP3IN&gt;c_TMAP2IN),F777,IF(AND(A777&gt;=c_TMAP1IN,c_TMAP2IN&gt;c_TMAP1IN),E777,D777))),C777)</f>
        <v>719</v>
      </c>
      <c r="J777" s="7" t="str">
        <f aca="false">IF(I777&lt;-1090,"TOO LOW",IF(I777&gt;1090,"TOO HIGH",""))</f>
        <v/>
      </c>
      <c r="K777" s="15" t="n">
        <f aca="false">IF(J777&lt;&gt;"",0,IF(I777&gt;979,1000,I777))</f>
        <v>719</v>
      </c>
      <c r="L777" s="7" t="n">
        <f aca="false">K777/10</f>
        <v>71.9</v>
      </c>
    </row>
    <row r="778" customFormat="false" ht="15" hidden="false" customHeight="false" outlineLevel="0" collapsed="false">
      <c r="A778" s="7" t="n">
        <v>773</v>
      </c>
      <c r="B778" s="7" t="n">
        <f aca="false">A778/10</f>
        <v>77.3</v>
      </c>
      <c r="C778" s="7" t="n">
        <f aca="false">IF(AND(A778=0,c_TCREEP&gt;0),10*c_TCREEP,IF(AND(A778&lt;=c_TRNGMIN,A778&gt;=c_TRNGMAX,c_TRNGMIN-c_TRNGMAX&lt;&gt;0),-10*c_TMINRN+QUOTIENT((c_TMAXRN-c_TMINRN)*(100-QUOTIENT((A778-c_TRNGMAX)*100,c_TRNGMIN-c_TRNGMAX)),-10),0))</f>
        <v>0</v>
      </c>
      <c r="D778" s="7" t="n">
        <f aca="false">IF(((c_TMAP1IN)-(c_TFWD))=0,(0)+QUOTIENT(((c_TMAP1OUT)-(0)),2),QUOTIENT((((A778)-(c_TFWD))*((c_TMAP1OUT)-(0))+IF(((c_TMAP1OUT)-(0))&gt;=0,1,-1)*QUOTIENT(((c_TMAP1IN)-(c_TFWD)),2)),((c_TMAP1IN)-(c_TFWD)))+(0)+IF(((c_TMAP1OUT)-(0))&gt;=0,IF(IF(o_WRAP=1,MOD(((c_TMAP1IN)-(c_TFWD))*(((A778)-(c_TFWD))*((c_TMAP1OUT)-(0))+IF(((c_TMAP1OUT)-(0))&gt;=0,1,-1)*QUOTIENT(((c_TMAP1IN)-(c_TFWD)),2))+2147483648,4294967296)-2147483648,((c_TMAP1IN)-(c_TFWD))*(((A778)-(c_TFWD))*((c_TMAP1OUT)-(0))+IF(((c_TMAP1OUT)-(0))&gt;=0,1,-1)*QUOTIENT(((c_TMAP1IN)-(c_TFWD)),2)))&lt;0,-1,0),IF(IF(o_WRAP=1,MOD(((c_TMAP1IN)-(c_TFWD))*(((A778)-(c_TFWD))*((c_TMAP1OUT)-(0))+IF(((c_TMAP1OUT)-(0))&gt;=0,1,-1)*QUOTIENT(((c_TMAP1IN)-(c_TFWD)),2))+2147483648,4294967296)-2147483648,((c_TMAP1IN)-(c_TFWD))*(((A778)-(c_TFWD))*((c_TMAP1OUT)-(0))+IF(((c_TMAP1OUT)-(0))&gt;=0,1,-1)*QUOTIENT(((c_TMAP1IN)-(c_TFWD)),2)))&gt;=0,1,0)))</f>
        <v>593</v>
      </c>
      <c r="E778" s="7" t="n">
        <f aca="false">IF(((c_TMAP2IN)-(c_TMAP1IN))=0,(c_TMAP1OUT)+QUOTIENT(((c_TMAP2OUT)-(c_TMAP1OUT)),2),QUOTIENT((((A778)-(c_TMAP1IN))*((c_TMAP2OUT)-(c_TMAP1OUT))+IF(((c_TMAP2OUT)-(c_TMAP1OUT))&gt;=0,1,-1)*QUOTIENT(((c_TMAP2IN)-(c_TMAP1IN)),2)),((c_TMAP2IN)-(c_TMAP1IN)))+(c_TMAP1OUT)+IF(((c_TMAP2OUT)-(c_TMAP1OUT))&gt;=0,IF(IF(o_WRAP=1,MOD(((c_TMAP2IN)-(c_TMAP1IN))*(((A778)-(c_TMAP1IN))*((c_TMAP2OUT)-(c_TMAP1OUT))+IF(((c_TMAP2OUT)-(c_TMAP1OUT))&gt;=0,1,-1)*QUOTIENT(((c_TMAP2IN)-(c_TMAP1IN)),2))+2147483648,4294967296)-2147483648,((c_TMAP2IN)-(c_TMAP1IN))*(((A778)-(c_TMAP1IN))*((c_TMAP2OUT)-(c_TMAP1OUT))+IF(((c_TMAP2OUT)-(c_TMAP1OUT))&gt;=0,1,-1)*QUOTIENT(((c_TMAP2IN)-(c_TMAP1IN)),2)))&lt;0,-1,0),IF(IF(o_WRAP=1,MOD(((c_TMAP2IN)-(c_TMAP1IN))*(((A778)-(c_TMAP1IN))*((c_TMAP2OUT)-(c_TMAP1OUT))+IF(((c_TMAP2OUT)-(c_TMAP1OUT))&gt;=0,1,-1)*QUOTIENT(((c_TMAP2IN)-(c_TMAP1IN)),2))+2147483648,4294967296)-2147483648,((c_TMAP2IN)-(c_TMAP1IN))*(((A778)-(c_TMAP1IN))*((c_TMAP2OUT)-(c_TMAP1OUT))+IF(((c_TMAP2OUT)-(c_TMAP1OUT))&gt;=0,1,-1)*QUOTIENT(((c_TMAP2IN)-(c_TMAP1IN)),2)))&gt;=0,1,0)))</f>
        <v>339</v>
      </c>
      <c r="F778" s="7" t="n">
        <f aca="false">IF(((c_TMAP3IN)-(c_TMAP2IN))=0,(c_TMAP2OUT)+QUOTIENT(((c_TMAP3OUT)-(c_TMAP2OUT)),2),QUOTIENT((((A778)-(c_TMAP2IN))*((c_TMAP3OUT)-(c_TMAP2OUT))+IF(((c_TMAP3OUT)-(c_TMAP2OUT))&gt;=0,1,-1)*QUOTIENT(((c_TMAP3IN)-(c_TMAP2IN)),2)),((c_TMAP3IN)-(c_TMAP2IN)))+(c_TMAP2OUT)+IF(((c_TMAP3OUT)-(c_TMAP2OUT))&gt;=0,IF(IF(o_WRAP=1,MOD(((c_TMAP3IN)-(c_TMAP2IN))*(((A778)-(c_TMAP2IN))*((c_TMAP3OUT)-(c_TMAP2OUT))+IF(((c_TMAP3OUT)-(c_TMAP2OUT))&gt;=0,1,-1)*QUOTIENT(((c_TMAP3IN)-(c_TMAP2IN)),2))+2147483648,4294967296)-2147483648,((c_TMAP3IN)-(c_TMAP2IN))*(((A778)-(c_TMAP2IN))*((c_TMAP3OUT)-(c_TMAP2OUT))+IF(((c_TMAP3OUT)-(c_TMAP2OUT))&gt;=0,1,-1)*QUOTIENT(((c_TMAP3IN)-(c_TMAP2IN)),2)))&lt;0,-1,0),IF(IF(o_WRAP=1,MOD(((c_TMAP3IN)-(c_TMAP2IN))*(((A778)-(c_TMAP2IN))*((c_TMAP3OUT)-(c_TMAP2OUT))+IF(((c_TMAP3OUT)-(c_TMAP2OUT))&gt;=0,1,-1)*QUOTIENT(((c_TMAP3IN)-(c_TMAP2IN)),2))+2147483648,4294967296)-2147483648,((c_TMAP3IN)-(c_TMAP2IN))*(((A778)-(c_TMAP2IN))*((c_TMAP3OUT)-(c_TMAP2OUT))+IF(((c_TMAP3OUT)-(c_TMAP2OUT))&gt;=0,1,-1)*QUOTIENT(((c_TMAP3IN)-(c_TMAP2IN)),2)))&gt;=0,1,0)))</f>
        <v>496</v>
      </c>
      <c r="G778" s="7" t="n">
        <f aca="false">IF(((1000)-(c_TMAP3IN))=0,(c_TMAP3OUT)+QUOTIENT(((1000)-(c_TMAP3OUT)),2),QUOTIENT((((A778)-(c_TMAP3IN))*((1000)-(c_TMAP3OUT))+IF(((1000)-(c_TMAP3OUT))&gt;=0,1,-1)*QUOTIENT(((1000)-(c_TMAP3IN)),2)),((1000)-(c_TMAP3IN)))+(c_TMAP3OUT)+IF(((1000)-(c_TMAP3OUT))&gt;=0,IF(IF(o_WRAP=1,MOD(((1000)-(c_TMAP3IN))*(((A778)-(c_TMAP3IN))*((1000)-(c_TMAP3OUT))+IF(((1000)-(c_TMAP3OUT))&gt;=0,1,-1)*QUOTIENT(((1000)-(c_TMAP3IN)),2))+2147483648,4294967296)-2147483648,((1000)-(c_TMAP3IN))*(((A778)-(c_TMAP3IN))*((1000)-(c_TMAP3OUT))+IF(((1000)-(c_TMAP3OUT))&gt;=0,1,-1)*QUOTIENT(((1000)-(c_TMAP3IN)),2)))&lt;0,-1,0),IF(IF(o_WRAP=1,MOD(((1000)-(c_TMAP3IN))*(((A778)-(c_TMAP3IN))*((1000)-(c_TMAP3OUT))+IF(((1000)-(c_TMAP3OUT))&gt;=0,1,-1)*QUOTIENT(((1000)-(c_TMAP3IN)),2))+2147483648,4294967296)-2147483648,((1000)-(c_TMAP3IN))*(((A778)-(c_TMAP3IN))*((1000)-(c_TMAP3OUT))+IF(((1000)-(c_TMAP3OUT))&gt;=0,1,-1)*QUOTIENT(((1000)-(c_TMAP3IN)),2)))&gt;=0,1,0)))</f>
        <v>721</v>
      </c>
      <c r="H778" s="7" t="str">
        <f aca="false">IF(A778&gt;=c_TFWD,IF(AND(A778&gt;=c_TMAP3IN,c_TMAP3IN&lt;1000),"Seg4 map3-100%",IF(AND(A778&gt;=c_TMAP2IN,c_TMAP3IN&gt;c_TMAP2IN),"Seg3 map2-map3",IF(AND(A778&gt;=c_TMAP1IN,c_TMAP2IN&gt;c_TMAP1IN),"Seg2 map1-map2","Seg1 TFWD-map1"))),IF(AND(A778=0,c_TCREEP&gt;0),"Creep",IF(AND(A778&lt;=c_TRNGMIN,A778&gt;=c_TRNGMAX,c_TRNGMIN-c_TRNGMAX&lt;&gt;0),"Regen ramp","Coast (0)")))</f>
        <v>Seg4 map3-100%</v>
      </c>
      <c r="I778" s="7" t="n">
        <f aca="false">IF(A778&gt;=c_TFWD,IF(AND(A778&gt;=c_TMAP3IN,c_TMAP3IN&lt;1000),G778,IF(AND(A778&gt;=c_TMAP2IN,c_TMAP3IN&gt;c_TMAP2IN),F778,IF(AND(A778&gt;=c_TMAP1IN,c_TMAP2IN&gt;c_TMAP1IN),E778,D778))),C778)</f>
        <v>721</v>
      </c>
      <c r="J778" s="7" t="str">
        <f aca="false">IF(I778&lt;-1090,"TOO LOW",IF(I778&gt;1090,"TOO HIGH",""))</f>
        <v/>
      </c>
      <c r="K778" s="15" t="n">
        <f aca="false">IF(J778&lt;&gt;"",0,IF(I778&gt;979,1000,I778))</f>
        <v>721</v>
      </c>
      <c r="L778" s="7" t="n">
        <f aca="false">K778/10</f>
        <v>72.1</v>
      </c>
    </row>
    <row r="779" customFormat="false" ht="15" hidden="false" customHeight="false" outlineLevel="0" collapsed="false">
      <c r="A779" s="7" t="n">
        <v>774</v>
      </c>
      <c r="B779" s="7" t="n">
        <f aca="false">A779/10</f>
        <v>77.4</v>
      </c>
      <c r="C779" s="7" t="n">
        <f aca="false">IF(AND(A779=0,c_TCREEP&gt;0),10*c_TCREEP,IF(AND(A779&lt;=c_TRNGMIN,A779&gt;=c_TRNGMAX,c_TRNGMIN-c_TRNGMAX&lt;&gt;0),-10*c_TMINRN+QUOTIENT((c_TMAXRN-c_TMINRN)*(100-QUOTIENT((A779-c_TRNGMAX)*100,c_TRNGMIN-c_TRNGMAX)),-10),0))</f>
        <v>0</v>
      </c>
      <c r="D779" s="7" t="n">
        <f aca="false">IF(((c_TMAP1IN)-(c_TFWD))=0,(0)+QUOTIENT(((c_TMAP1OUT)-(0)),2),QUOTIENT((((A779)-(c_TFWD))*((c_TMAP1OUT)-(0))+IF(((c_TMAP1OUT)-(0))&gt;=0,1,-1)*QUOTIENT(((c_TMAP1IN)-(c_TFWD)),2)),((c_TMAP1IN)-(c_TFWD)))+(0)+IF(((c_TMAP1OUT)-(0))&gt;=0,IF(IF(o_WRAP=1,MOD(((c_TMAP1IN)-(c_TFWD))*(((A779)-(c_TFWD))*((c_TMAP1OUT)-(0))+IF(((c_TMAP1OUT)-(0))&gt;=0,1,-1)*QUOTIENT(((c_TMAP1IN)-(c_TFWD)),2))+2147483648,4294967296)-2147483648,((c_TMAP1IN)-(c_TFWD))*(((A779)-(c_TFWD))*((c_TMAP1OUT)-(0))+IF(((c_TMAP1OUT)-(0))&gt;=0,1,-1)*QUOTIENT(((c_TMAP1IN)-(c_TFWD)),2)))&lt;0,-1,0),IF(IF(o_WRAP=1,MOD(((c_TMAP1IN)-(c_TFWD))*(((A779)-(c_TFWD))*((c_TMAP1OUT)-(0))+IF(((c_TMAP1OUT)-(0))&gt;=0,1,-1)*QUOTIENT(((c_TMAP1IN)-(c_TFWD)),2))+2147483648,4294967296)-2147483648,((c_TMAP1IN)-(c_TFWD))*(((A779)-(c_TFWD))*((c_TMAP1OUT)-(0))+IF(((c_TMAP1OUT)-(0))&gt;=0,1,-1)*QUOTIENT(((c_TMAP1IN)-(c_TFWD)),2)))&gt;=0,1,0)))</f>
        <v>594</v>
      </c>
      <c r="E779" s="7" t="n">
        <f aca="false">IF(((c_TMAP2IN)-(c_TMAP1IN))=0,(c_TMAP1OUT)+QUOTIENT(((c_TMAP2OUT)-(c_TMAP1OUT)),2),QUOTIENT((((A779)-(c_TMAP1IN))*((c_TMAP2OUT)-(c_TMAP1OUT))+IF(((c_TMAP2OUT)-(c_TMAP1OUT))&gt;=0,1,-1)*QUOTIENT(((c_TMAP2IN)-(c_TMAP1IN)),2)),((c_TMAP2IN)-(c_TMAP1IN)))+(c_TMAP1OUT)+IF(((c_TMAP2OUT)-(c_TMAP1OUT))&gt;=0,IF(IF(o_WRAP=1,MOD(((c_TMAP2IN)-(c_TMAP1IN))*(((A779)-(c_TMAP1IN))*((c_TMAP2OUT)-(c_TMAP1OUT))+IF(((c_TMAP2OUT)-(c_TMAP1OUT))&gt;=0,1,-1)*QUOTIENT(((c_TMAP2IN)-(c_TMAP1IN)),2))+2147483648,4294967296)-2147483648,((c_TMAP2IN)-(c_TMAP1IN))*(((A779)-(c_TMAP1IN))*((c_TMAP2OUT)-(c_TMAP1OUT))+IF(((c_TMAP2OUT)-(c_TMAP1OUT))&gt;=0,1,-1)*QUOTIENT(((c_TMAP2IN)-(c_TMAP1IN)),2)))&lt;0,-1,0),IF(IF(o_WRAP=1,MOD(((c_TMAP2IN)-(c_TMAP1IN))*(((A779)-(c_TMAP1IN))*((c_TMAP2OUT)-(c_TMAP1OUT))+IF(((c_TMAP2OUT)-(c_TMAP1OUT))&gt;=0,1,-1)*QUOTIENT(((c_TMAP2IN)-(c_TMAP1IN)),2))+2147483648,4294967296)-2147483648,((c_TMAP2IN)-(c_TMAP1IN))*(((A779)-(c_TMAP1IN))*((c_TMAP2OUT)-(c_TMAP1OUT))+IF(((c_TMAP2OUT)-(c_TMAP1OUT))&gt;=0,1,-1)*QUOTIENT(((c_TMAP2IN)-(c_TMAP1IN)),2)))&gt;=0,1,0)))</f>
        <v>340</v>
      </c>
      <c r="F779" s="7" t="n">
        <f aca="false">IF(((c_TMAP3IN)-(c_TMAP2IN))=0,(c_TMAP2OUT)+QUOTIENT(((c_TMAP3OUT)-(c_TMAP2OUT)),2),QUOTIENT((((A779)-(c_TMAP2IN))*((c_TMAP3OUT)-(c_TMAP2OUT))+IF(((c_TMAP3OUT)-(c_TMAP2OUT))&gt;=0,1,-1)*QUOTIENT(((c_TMAP3IN)-(c_TMAP2IN)),2)),((c_TMAP3IN)-(c_TMAP2IN)))+(c_TMAP2OUT)+IF(((c_TMAP3OUT)-(c_TMAP2OUT))&gt;=0,IF(IF(o_WRAP=1,MOD(((c_TMAP3IN)-(c_TMAP2IN))*(((A779)-(c_TMAP2IN))*((c_TMAP3OUT)-(c_TMAP2OUT))+IF(((c_TMAP3OUT)-(c_TMAP2OUT))&gt;=0,1,-1)*QUOTIENT(((c_TMAP3IN)-(c_TMAP2IN)),2))+2147483648,4294967296)-2147483648,((c_TMAP3IN)-(c_TMAP2IN))*(((A779)-(c_TMAP2IN))*((c_TMAP3OUT)-(c_TMAP2OUT))+IF(((c_TMAP3OUT)-(c_TMAP2OUT))&gt;=0,1,-1)*QUOTIENT(((c_TMAP3IN)-(c_TMAP2IN)),2)))&lt;0,-1,0),IF(IF(o_WRAP=1,MOD(((c_TMAP3IN)-(c_TMAP2IN))*(((A779)-(c_TMAP2IN))*((c_TMAP3OUT)-(c_TMAP2OUT))+IF(((c_TMAP3OUT)-(c_TMAP2OUT))&gt;=0,1,-1)*QUOTIENT(((c_TMAP3IN)-(c_TMAP2IN)),2))+2147483648,4294967296)-2147483648,((c_TMAP3IN)-(c_TMAP2IN))*(((A779)-(c_TMAP2IN))*((c_TMAP3OUT)-(c_TMAP2OUT))+IF(((c_TMAP3OUT)-(c_TMAP2OUT))&gt;=0,1,-1)*QUOTIENT(((c_TMAP3IN)-(c_TMAP2IN)),2)))&gt;=0,1,0)))</f>
        <v>497</v>
      </c>
      <c r="G779" s="7" t="n">
        <f aca="false">IF(((1000)-(c_TMAP3IN))=0,(c_TMAP3OUT)+QUOTIENT(((1000)-(c_TMAP3OUT)),2),QUOTIENT((((A779)-(c_TMAP3IN))*((1000)-(c_TMAP3OUT))+IF(((1000)-(c_TMAP3OUT))&gt;=0,1,-1)*QUOTIENT(((1000)-(c_TMAP3IN)),2)),((1000)-(c_TMAP3IN)))+(c_TMAP3OUT)+IF(((1000)-(c_TMAP3OUT))&gt;=0,IF(IF(o_WRAP=1,MOD(((1000)-(c_TMAP3IN))*(((A779)-(c_TMAP3IN))*((1000)-(c_TMAP3OUT))+IF(((1000)-(c_TMAP3OUT))&gt;=0,1,-1)*QUOTIENT(((1000)-(c_TMAP3IN)),2))+2147483648,4294967296)-2147483648,((1000)-(c_TMAP3IN))*(((A779)-(c_TMAP3IN))*((1000)-(c_TMAP3OUT))+IF(((1000)-(c_TMAP3OUT))&gt;=0,1,-1)*QUOTIENT(((1000)-(c_TMAP3IN)),2)))&lt;0,-1,0),IF(IF(o_WRAP=1,MOD(((1000)-(c_TMAP3IN))*(((A779)-(c_TMAP3IN))*((1000)-(c_TMAP3OUT))+IF(((1000)-(c_TMAP3OUT))&gt;=0,1,-1)*QUOTIENT(((1000)-(c_TMAP3IN)),2))+2147483648,4294967296)-2147483648,((1000)-(c_TMAP3IN))*(((A779)-(c_TMAP3IN))*((1000)-(c_TMAP3OUT))+IF(((1000)-(c_TMAP3OUT))&gt;=0,1,-1)*QUOTIENT(((1000)-(c_TMAP3IN)),2)))&gt;=0,1,0)))</f>
        <v>722</v>
      </c>
      <c r="H779" s="7" t="str">
        <f aca="false">IF(A779&gt;=c_TFWD,IF(AND(A779&gt;=c_TMAP3IN,c_TMAP3IN&lt;1000),"Seg4 map3-100%",IF(AND(A779&gt;=c_TMAP2IN,c_TMAP3IN&gt;c_TMAP2IN),"Seg3 map2-map3",IF(AND(A779&gt;=c_TMAP1IN,c_TMAP2IN&gt;c_TMAP1IN),"Seg2 map1-map2","Seg1 TFWD-map1"))),IF(AND(A779=0,c_TCREEP&gt;0),"Creep",IF(AND(A779&lt;=c_TRNGMIN,A779&gt;=c_TRNGMAX,c_TRNGMIN-c_TRNGMAX&lt;&gt;0),"Regen ramp","Coast (0)")))</f>
        <v>Seg4 map3-100%</v>
      </c>
      <c r="I779" s="7" t="n">
        <f aca="false">IF(A779&gt;=c_TFWD,IF(AND(A779&gt;=c_TMAP3IN,c_TMAP3IN&lt;1000),G779,IF(AND(A779&gt;=c_TMAP2IN,c_TMAP3IN&gt;c_TMAP2IN),F779,IF(AND(A779&gt;=c_TMAP1IN,c_TMAP2IN&gt;c_TMAP1IN),E779,D779))),C779)</f>
        <v>722</v>
      </c>
      <c r="J779" s="7" t="str">
        <f aca="false">IF(I779&lt;-1090,"TOO LOW",IF(I779&gt;1090,"TOO HIGH",""))</f>
        <v/>
      </c>
      <c r="K779" s="15" t="n">
        <f aca="false">IF(J779&lt;&gt;"",0,IF(I779&gt;979,1000,I779))</f>
        <v>722</v>
      </c>
      <c r="L779" s="7" t="n">
        <f aca="false">K779/10</f>
        <v>72.2</v>
      </c>
    </row>
    <row r="780" customFormat="false" ht="15" hidden="false" customHeight="false" outlineLevel="0" collapsed="false">
      <c r="A780" s="7" t="n">
        <v>775</v>
      </c>
      <c r="B780" s="7" t="n">
        <f aca="false">A780/10</f>
        <v>77.5</v>
      </c>
      <c r="C780" s="7" t="n">
        <f aca="false">IF(AND(A780=0,c_TCREEP&gt;0),10*c_TCREEP,IF(AND(A780&lt;=c_TRNGMIN,A780&gt;=c_TRNGMAX,c_TRNGMIN-c_TRNGMAX&lt;&gt;0),-10*c_TMINRN+QUOTIENT((c_TMAXRN-c_TMINRN)*(100-QUOTIENT((A780-c_TRNGMAX)*100,c_TRNGMIN-c_TRNGMAX)),-10),0))</f>
        <v>0</v>
      </c>
      <c r="D780" s="7" t="n">
        <f aca="false">IF(((c_TMAP1IN)-(c_TFWD))=0,(0)+QUOTIENT(((c_TMAP1OUT)-(0)),2),QUOTIENT((((A780)-(c_TFWD))*((c_TMAP1OUT)-(0))+IF(((c_TMAP1OUT)-(0))&gt;=0,1,-1)*QUOTIENT(((c_TMAP1IN)-(c_TFWD)),2)),((c_TMAP1IN)-(c_TFWD)))+(0)+IF(((c_TMAP1OUT)-(0))&gt;=0,IF(IF(o_WRAP=1,MOD(((c_TMAP1IN)-(c_TFWD))*(((A780)-(c_TFWD))*((c_TMAP1OUT)-(0))+IF(((c_TMAP1OUT)-(0))&gt;=0,1,-1)*QUOTIENT(((c_TMAP1IN)-(c_TFWD)),2))+2147483648,4294967296)-2147483648,((c_TMAP1IN)-(c_TFWD))*(((A780)-(c_TFWD))*((c_TMAP1OUT)-(0))+IF(((c_TMAP1OUT)-(0))&gt;=0,1,-1)*QUOTIENT(((c_TMAP1IN)-(c_TFWD)),2)))&lt;0,-1,0),IF(IF(o_WRAP=1,MOD(((c_TMAP1IN)-(c_TFWD))*(((A780)-(c_TFWD))*((c_TMAP1OUT)-(0))+IF(((c_TMAP1OUT)-(0))&gt;=0,1,-1)*QUOTIENT(((c_TMAP1IN)-(c_TFWD)),2))+2147483648,4294967296)-2147483648,((c_TMAP1IN)-(c_TFWD))*(((A780)-(c_TFWD))*((c_TMAP1OUT)-(0))+IF(((c_TMAP1OUT)-(0))&gt;=0,1,-1)*QUOTIENT(((c_TMAP1IN)-(c_TFWD)),2)))&gt;=0,1,0)))</f>
        <v>595</v>
      </c>
      <c r="E780" s="7" t="n">
        <f aca="false">IF(((c_TMAP2IN)-(c_TMAP1IN))=0,(c_TMAP1OUT)+QUOTIENT(((c_TMAP2OUT)-(c_TMAP1OUT)),2),QUOTIENT((((A780)-(c_TMAP1IN))*((c_TMAP2OUT)-(c_TMAP1OUT))+IF(((c_TMAP2OUT)-(c_TMAP1OUT))&gt;=0,1,-1)*QUOTIENT(((c_TMAP2IN)-(c_TMAP1IN)),2)),((c_TMAP2IN)-(c_TMAP1IN)))+(c_TMAP1OUT)+IF(((c_TMAP2OUT)-(c_TMAP1OUT))&gt;=0,IF(IF(o_WRAP=1,MOD(((c_TMAP2IN)-(c_TMAP1IN))*(((A780)-(c_TMAP1IN))*((c_TMAP2OUT)-(c_TMAP1OUT))+IF(((c_TMAP2OUT)-(c_TMAP1OUT))&gt;=0,1,-1)*QUOTIENT(((c_TMAP2IN)-(c_TMAP1IN)),2))+2147483648,4294967296)-2147483648,((c_TMAP2IN)-(c_TMAP1IN))*(((A780)-(c_TMAP1IN))*((c_TMAP2OUT)-(c_TMAP1OUT))+IF(((c_TMAP2OUT)-(c_TMAP1OUT))&gt;=0,1,-1)*QUOTIENT(((c_TMAP2IN)-(c_TMAP1IN)),2)))&lt;0,-1,0),IF(IF(o_WRAP=1,MOD(((c_TMAP2IN)-(c_TMAP1IN))*(((A780)-(c_TMAP1IN))*((c_TMAP2OUT)-(c_TMAP1OUT))+IF(((c_TMAP2OUT)-(c_TMAP1OUT))&gt;=0,1,-1)*QUOTIENT(((c_TMAP2IN)-(c_TMAP1IN)),2))+2147483648,4294967296)-2147483648,((c_TMAP2IN)-(c_TMAP1IN))*(((A780)-(c_TMAP1IN))*((c_TMAP2OUT)-(c_TMAP1OUT))+IF(((c_TMAP2OUT)-(c_TMAP1OUT))&gt;=0,1,-1)*QUOTIENT(((c_TMAP2IN)-(c_TMAP1IN)),2)))&gt;=0,1,0)))</f>
        <v>340</v>
      </c>
      <c r="F780" s="7" t="n">
        <f aca="false">IF(((c_TMAP3IN)-(c_TMAP2IN))=0,(c_TMAP2OUT)+QUOTIENT(((c_TMAP3OUT)-(c_TMAP2OUT)),2),QUOTIENT((((A780)-(c_TMAP2IN))*((c_TMAP3OUT)-(c_TMAP2OUT))+IF(((c_TMAP3OUT)-(c_TMAP2OUT))&gt;=0,1,-1)*QUOTIENT(((c_TMAP3IN)-(c_TMAP2IN)),2)),((c_TMAP3IN)-(c_TMAP2IN)))+(c_TMAP2OUT)+IF(((c_TMAP3OUT)-(c_TMAP2OUT))&gt;=0,IF(IF(o_WRAP=1,MOD(((c_TMAP3IN)-(c_TMAP2IN))*(((A780)-(c_TMAP2IN))*((c_TMAP3OUT)-(c_TMAP2OUT))+IF(((c_TMAP3OUT)-(c_TMAP2OUT))&gt;=0,1,-1)*QUOTIENT(((c_TMAP3IN)-(c_TMAP2IN)),2))+2147483648,4294967296)-2147483648,((c_TMAP3IN)-(c_TMAP2IN))*(((A780)-(c_TMAP2IN))*((c_TMAP3OUT)-(c_TMAP2OUT))+IF(((c_TMAP3OUT)-(c_TMAP2OUT))&gt;=0,1,-1)*QUOTIENT(((c_TMAP3IN)-(c_TMAP2IN)),2)))&lt;0,-1,0),IF(IF(o_WRAP=1,MOD(((c_TMAP3IN)-(c_TMAP2IN))*(((A780)-(c_TMAP2IN))*((c_TMAP3OUT)-(c_TMAP2OUT))+IF(((c_TMAP3OUT)-(c_TMAP2OUT))&gt;=0,1,-1)*QUOTIENT(((c_TMAP3IN)-(c_TMAP2IN)),2))+2147483648,4294967296)-2147483648,((c_TMAP3IN)-(c_TMAP2IN))*(((A780)-(c_TMAP2IN))*((c_TMAP3OUT)-(c_TMAP2OUT))+IF(((c_TMAP3OUT)-(c_TMAP2OUT))&gt;=0,1,-1)*QUOTIENT(((c_TMAP3IN)-(c_TMAP2IN)),2)))&gt;=0,1,0)))</f>
        <v>498</v>
      </c>
      <c r="G780" s="7" t="n">
        <f aca="false">IF(((1000)-(c_TMAP3IN))=0,(c_TMAP3OUT)+QUOTIENT(((1000)-(c_TMAP3OUT)),2),QUOTIENT((((A780)-(c_TMAP3IN))*((1000)-(c_TMAP3OUT))+IF(((1000)-(c_TMAP3OUT))&gt;=0,1,-1)*QUOTIENT(((1000)-(c_TMAP3IN)),2)),((1000)-(c_TMAP3IN)))+(c_TMAP3OUT)+IF(((1000)-(c_TMAP3OUT))&gt;=0,IF(IF(o_WRAP=1,MOD(((1000)-(c_TMAP3IN))*(((A780)-(c_TMAP3IN))*((1000)-(c_TMAP3OUT))+IF(((1000)-(c_TMAP3OUT))&gt;=0,1,-1)*QUOTIENT(((1000)-(c_TMAP3IN)),2))+2147483648,4294967296)-2147483648,((1000)-(c_TMAP3IN))*(((A780)-(c_TMAP3IN))*((1000)-(c_TMAP3OUT))+IF(((1000)-(c_TMAP3OUT))&gt;=0,1,-1)*QUOTIENT(((1000)-(c_TMAP3IN)),2)))&lt;0,-1,0),IF(IF(o_WRAP=1,MOD(((1000)-(c_TMAP3IN))*(((A780)-(c_TMAP3IN))*((1000)-(c_TMAP3OUT))+IF(((1000)-(c_TMAP3OUT))&gt;=0,1,-1)*QUOTIENT(((1000)-(c_TMAP3IN)),2))+2147483648,4294967296)-2147483648,((1000)-(c_TMAP3IN))*(((A780)-(c_TMAP3IN))*((1000)-(c_TMAP3OUT))+IF(((1000)-(c_TMAP3OUT))&gt;=0,1,-1)*QUOTIENT(((1000)-(c_TMAP3IN)),2)))&gt;=0,1,0)))</f>
        <v>723</v>
      </c>
      <c r="H780" s="7" t="str">
        <f aca="false">IF(A780&gt;=c_TFWD,IF(AND(A780&gt;=c_TMAP3IN,c_TMAP3IN&lt;1000),"Seg4 map3-100%",IF(AND(A780&gt;=c_TMAP2IN,c_TMAP3IN&gt;c_TMAP2IN),"Seg3 map2-map3",IF(AND(A780&gt;=c_TMAP1IN,c_TMAP2IN&gt;c_TMAP1IN),"Seg2 map1-map2","Seg1 TFWD-map1"))),IF(AND(A780=0,c_TCREEP&gt;0),"Creep",IF(AND(A780&lt;=c_TRNGMIN,A780&gt;=c_TRNGMAX,c_TRNGMIN-c_TRNGMAX&lt;&gt;0),"Regen ramp","Coast (0)")))</f>
        <v>Seg4 map3-100%</v>
      </c>
      <c r="I780" s="7" t="n">
        <f aca="false">IF(A780&gt;=c_TFWD,IF(AND(A780&gt;=c_TMAP3IN,c_TMAP3IN&lt;1000),G780,IF(AND(A780&gt;=c_TMAP2IN,c_TMAP3IN&gt;c_TMAP2IN),F780,IF(AND(A780&gt;=c_TMAP1IN,c_TMAP2IN&gt;c_TMAP1IN),E780,D780))),C780)</f>
        <v>723</v>
      </c>
      <c r="J780" s="7" t="str">
        <f aca="false">IF(I780&lt;-1090,"TOO LOW",IF(I780&gt;1090,"TOO HIGH",""))</f>
        <v/>
      </c>
      <c r="K780" s="15" t="n">
        <f aca="false">IF(J780&lt;&gt;"",0,IF(I780&gt;979,1000,I780))</f>
        <v>723</v>
      </c>
      <c r="L780" s="7" t="n">
        <f aca="false">K780/10</f>
        <v>72.3</v>
      </c>
    </row>
    <row r="781" customFormat="false" ht="15" hidden="false" customHeight="false" outlineLevel="0" collapsed="false">
      <c r="A781" s="7" t="n">
        <v>776</v>
      </c>
      <c r="B781" s="7" t="n">
        <f aca="false">A781/10</f>
        <v>77.6</v>
      </c>
      <c r="C781" s="7" t="n">
        <f aca="false">IF(AND(A781=0,c_TCREEP&gt;0),10*c_TCREEP,IF(AND(A781&lt;=c_TRNGMIN,A781&gt;=c_TRNGMAX,c_TRNGMIN-c_TRNGMAX&lt;&gt;0),-10*c_TMINRN+QUOTIENT((c_TMAXRN-c_TMINRN)*(100-QUOTIENT((A781-c_TRNGMAX)*100,c_TRNGMIN-c_TRNGMAX)),-10),0))</f>
        <v>0</v>
      </c>
      <c r="D781" s="7" t="n">
        <f aca="false">IF(((c_TMAP1IN)-(c_TFWD))=0,(0)+QUOTIENT(((c_TMAP1OUT)-(0)),2),QUOTIENT((((A781)-(c_TFWD))*((c_TMAP1OUT)-(0))+IF(((c_TMAP1OUT)-(0))&gt;=0,1,-1)*QUOTIENT(((c_TMAP1IN)-(c_TFWD)),2)),((c_TMAP1IN)-(c_TFWD)))+(0)+IF(((c_TMAP1OUT)-(0))&gt;=0,IF(IF(o_WRAP=1,MOD(((c_TMAP1IN)-(c_TFWD))*(((A781)-(c_TFWD))*((c_TMAP1OUT)-(0))+IF(((c_TMAP1OUT)-(0))&gt;=0,1,-1)*QUOTIENT(((c_TMAP1IN)-(c_TFWD)),2))+2147483648,4294967296)-2147483648,((c_TMAP1IN)-(c_TFWD))*(((A781)-(c_TFWD))*((c_TMAP1OUT)-(0))+IF(((c_TMAP1OUT)-(0))&gt;=0,1,-1)*QUOTIENT(((c_TMAP1IN)-(c_TFWD)),2)))&lt;0,-1,0),IF(IF(o_WRAP=1,MOD(((c_TMAP1IN)-(c_TFWD))*(((A781)-(c_TFWD))*((c_TMAP1OUT)-(0))+IF(((c_TMAP1OUT)-(0))&gt;=0,1,-1)*QUOTIENT(((c_TMAP1IN)-(c_TFWD)),2))+2147483648,4294967296)-2147483648,((c_TMAP1IN)-(c_TFWD))*(((A781)-(c_TFWD))*((c_TMAP1OUT)-(0))+IF(((c_TMAP1OUT)-(0))&gt;=0,1,-1)*QUOTIENT(((c_TMAP1IN)-(c_TFWD)),2)))&gt;=0,1,0)))</f>
        <v>596</v>
      </c>
      <c r="E781" s="7" t="n">
        <f aca="false">IF(((c_TMAP2IN)-(c_TMAP1IN))=0,(c_TMAP1OUT)+QUOTIENT(((c_TMAP2OUT)-(c_TMAP1OUT)),2),QUOTIENT((((A781)-(c_TMAP1IN))*((c_TMAP2OUT)-(c_TMAP1OUT))+IF(((c_TMAP2OUT)-(c_TMAP1OUT))&gt;=0,1,-1)*QUOTIENT(((c_TMAP2IN)-(c_TMAP1IN)),2)),((c_TMAP2IN)-(c_TMAP1IN)))+(c_TMAP1OUT)+IF(((c_TMAP2OUT)-(c_TMAP1OUT))&gt;=0,IF(IF(o_WRAP=1,MOD(((c_TMAP2IN)-(c_TMAP1IN))*(((A781)-(c_TMAP1IN))*((c_TMAP2OUT)-(c_TMAP1OUT))+IF(((c_TMAP2OUT)-(c_TMAP1OUT))&gt;=0,1,-1)*QUOTIENT(((c_TMAP2IN)-(c_TMAP1IN)),2))+2147483648,4294967296)-2147483648,((c_TMAP2IN)-(c_TMAP1IN))*(((A781)-(c_TMAP1IN))*((c_TMAP2OUT)-(c_TMAP1OUT))+IF(((c_TMAP2OUT)-(c_TMAP1OUT))&gt;=0,1,-1)*QUOTIENT(((c_TMAP2IN)-(c_TMAP1IN)),2)))&lt;0,-1,0),IF(IF(o_WRAP=1,MOD(((c_TMAP2IN)-(c_TMAP1IN))*(((A781)-(c_TMAP1IN))*((c_TMAP2OUT)-(c_TMAP1OUT))+IF(((c_TMAP2OUT)-(c_TMAP1OUT))&gt;=0,1,-1)*QUOTIENT(((c_TMAP2IN)-(c_TMAP1IN)),2))+2147483648,4294967296)-2147483648,((c_TMAP2IN)-(c_TMAP1IN))*(((A781)-(c_TMAP1IN))*((c_TMAP2OUT)-(c_TMAP1OUT))+IF(((c_TMAP2OUT)-(c_TMAP1OUT))&gt;=0,1,-1)*QUOTIENT(((c_TMAP2IN)-(c_TMAP1IN)),2)))&gt;=0,1,0)))</f>
        <v>340</v>
      </c>
      <c r="F781" s="7" t="n">
        <f aca="false">IF(((c_TMAP3IN)-(c_TMAP2IN))=0,(c_TMAP2OUT)+QUOTIENT(((c_TMAP3OUT)-(c_TMAP2OUT)),2),QUOTIENT((((A781)-(c_TMAP2IN))*((c_TMAP3OUT)-(c_TMAP2OUT))+IF(((c_TMAP3OUT)-(c_TMAP2OUT))&gt;=0,1,-1)*QUOTIENT(((c_TMAP3IN)-(c_TMAP2IN)),2)),((c_TMAP3IN)-(c_TMAP2IN)))+(c_TMAP2OUT)+IF(((c_TMAP3OUT)-(c_TMAP2OUT))&gt;=0,IF(IF(o_WRAP=1,MOD(((c_TMAP3IN)-(c_TMAP2IN))*(((A781)-(c_TMAP2IN))*((c_TMAP3OUT)-(c_TMAP2OUT))+IF(((c_TMAP3OUT)-(c_TMAP2OUT))&gt;=0,1,-1)*QUOTIENT(((c_TMAP3IN)-(c_TMAP2IN)),2))+2147483648,4294967296)-2147483648,((c_TMAP3IN)-(c_TMAP2IN))*(((A781)-(c_TMAP2IN))*((c_TMAP3OUT)-(c_TMAP2OUT))+IF(((c_TMAP3OUT)-(c_TMAP2OUT))&gt;=0,1,-1)*QUOTIENT(((c_TMAP3IN)-(c_TMAP2IN)),2)))&lt;0,-1,0),IF(IF(o_WRAP=1,MOD(((c_TMAP3IN)-(c_TMAP2IN))*(((A781)-(c_TMAP2IN))*((c_TMAP3OUT)-(c_TMAP2OUT))+IF(((c_TMAP3OUT)-(c_TMAP2OUT))&gt;=0,1,-1)*QUOTIENT(((c_TMAP3IN)-(c_TMAP2IN)),2))+2147483648,4294967296)-2147483648,((c_TMAP3IN)-(c_TMAP2IN))*(((A781)-(c_TMAP2IN))*((c_TMAP3OUT)-(c_TMAP2OUT))+IF(((c_TMAP3OUT)-(c_TMAP2OUT))&gt;=0,1,-1)*QUOTIENT(((c_TMAP3IN)-(c_TMAP2IN)),2)))&gt;=0,1,0)))</f>
        <v>498</v>
      </c>
      <c r="G781" s="7" t="n">
        <f aca="false">IF(((1000)-(c_TMAP3IN))=0,(c_TMAP3OUT)+QUOTIENT(((1000)-(c_TMAP3OUT)),2),QUOTIENT((((A781)-(c_TMAP3IN))*((1000)-(c_TMAP3OUT))+IF(((1000)-(c_TMAP3OUT))&gt;=0,1,-1)*QUOTIENT(((1000)-(c_TMAP3IN)),2)),((1000)-(c_TMAP3IN)))+(c_TMAP3OUT)+IF(((1000)-(c_TMAP3OUT))&gt;=0,IF(IF(o_WRAP=1,MOD(((1000)-(c_TMAP3IN))*(((A781)-(c_TMAP3IN))*((1000)-(c_TMAP3OUT))+IF(((1000)-(c_TMAP3OUT))&gt;=0,1,-1)*QUOTIENT(((1000)-(c_TMAP3IN)),2))+2147483648,4294967296)-2147483648,((1000)-(c_TMAP3IN))*(((A781)-(c_TMAP3IN))*((1000)-(c_TMAP3OUT))+IF(((1000)-(c_TMAP3OUT))&gt;=0,1,-1)*QUOTIENT(((1000)-(c_TMAP3IN)),2)))&lt;0,-1,0),IF(IF(o_WRAP=1,MOD(((1000)-(c_TMAP3IN))*(((A781)-(c_TMAP3IN))*((1000)-(c_TMAP3OUT))+IF(((1000)-(c_TMAP3OUT))&gt;=0,1,-1)*QUOTIENT(((1000)-(c_TMAP3IN)),2))+2147483648,4294967296)-2147483648,((1000)-(c_TMAP3IN))*(((A781)-(c_TMAP3IN))*((1000)-(c_TMAP3OUT))+IF(((1000)-(c_TMAP3OUT))&gt;=0,1,-1)*QUOTIENT(((1000)-(c_TMAP3IN)),2)))&gt;=0,1,0)))</f>
        <v>724</v>
      </c>
      <c r="H781" s="7" t="str">
        <f aca="false">IF(A781&gt;=c_TFWD,IF(AND(A781&gt;=c_TMAP3IN,c_TMAP3IN&lt;1000),"Seg4 map3-100%",IF(AND(A781&gt;=c_TMAP2IN,c_TMAP3IN&gt;c_TMAP2IN),"Seg3 map2-map3",IF(AND(A781&gt;=c_TMAP1IN,c_TMAP2IN&gt;c_TMAP1IN),"Seg2 map1-map2","Seg1 TFWD-map1"))),IF(AND(A781=0,c_TCREEP&gt;0),"Creep",IF(AND(A781&lt;=c_TRNGMIN,A781&gt;=c_TRNGMAX,c_TRNGMIN-c_TRNGMAX&lt;&gt;0),"Regen ramp","Coast (0)")))</f>
        <v>Seg4 map3-100%</v>
      </c>
      <c r="I781" s="7" t="n">
        <f aca="false">IF(A781&gt;=c_TFWD,IF(AND(A781&gt;=c_TMAP3IN,c_TMAP3IN&lt;1000),G781,IF(AND(A781&gt;=c_TMAP2IN,c_TMAP3IN&gt;c_TMAP2IN),F781,IF(AND(A781&gt;=c_TMAP1IN,c_TMAP2IN&gt;c_TMAP1IN),E781,D781))),C781)</f>
        <v>724</v>
      </c>
      <c r="J781" s="7" t="str">
        <f aca="false">IF(I781&lt;-1090,"TOO LOW",IF(I781&gt;1090,"TOO HIGH",""))</f>
        <v/>
      </c>
      <c r="K781" s="15" t="n">
        <f aca="false">IF(J781&lt;&gt;"",0,IF(I781&gt;979,1000,I781))</f>
        <v>724</v>
      </c>
      <c r="L781" s="7" t="n">
        <f aca="false">K781/10</f>
        <v>72.4</v>
      </c>
    </row>
    <row r="782" customFormat="false" ht="15" hidden="false" customHeight="false" outlineLevel="0" collapsed="false">
      <c r="A782" s="7" t="n">
        <v>777</v>
      </c>
      <c r="B782" s="7" t="n">
        <f aca="false">A782/10</f>
        <v>77.7</v>
      </c>
      <c r="C782" s="7" t="n">
        <f aca="false">IF(AND(A782=0,c_TCREEP&gt;0),10*c_TCREEP,IF(AND(A782&lt;=c_TRNGMIN,A782&gt;=c_TRNGMAX,c_TRNGMIN-c_TRNGMAX&lt;&gt;0),-10*c_TMINRN+QUOTIENT((c_TMAXRN-c_TMINRN)*(100-QUOTIENT((A782-c_TRNGMAX)*100,c_TRNGMIN-c_TRNGMAX)),-10),0))</f>
        <v>0</v>
      </c>
      <c r="D782" s="7" t="n">
        <f aca="false">IF(((c_TMAP1IN)-(c_TFWD))=0,(0)+QUOTIENT(((c_TMAP1OUT)-(0)),2),QUOTIENT((((A782)-(c_TFWD))*((c_TMAP1OUT)-(0))+IF(((c_TMAP1OUT)-(0))&gt;=0,1,-1)*QUOTIENT(((c_TMAP1IN)-(c_TFWD)),2)),((c_TMAP1IN)-(c_TFWD)))+(0)+IF(((c_TMAP1OUT)-(0))&gt;=0,IF(IF(o_WRAP=1,MOD(((c_TMAP1IN)-(c_TFWD))*(((A782)-(c_TFWD))*((c_TMAP1OUT)-(0))+IF(((c_TMAP1OUT)-(0))&gt;=0,1,-1)*QUOTIENT(((c_TMAP1IN)-(c_TFWD)),2))+2147483648,4294967296)-2147483648,((c_TMAP1IN)-(c_TFWD))*(((A782)-(c_TFWD))*((c_TMAP1OUT)-(0))+IF(((c_TMAP1OUT)-(0))&gt;=0,1,-1)*QUOTIENT(((c_TMAP1IN)-(c_TFWD)),2)))&lt;0,-1,0),IF(IF(o_WRAP=1,MOD(((c_TMAP1IN)-(c_TFWD))*(((A782)-(c_TFWD))*((c_TMAP1OUT)-(0))+IF(((c_TMAP1OUT)-(0))&gt;=0,1,-1)*QUOTIENT(((c_TMAP1IN)-(c_TFWD)),2))+2147483648,4294967296)-2147483648,((c_TMAP1IN)-(c_TFWD))*(((A782)-(c_TFWD))*((c_TMAP1OUT)-(0))+IF(((c_TMAP1OUT)-(0))&gt;=0,1,-1)*QUOTIENT(((c_TMAP1IN)-(c_TFWD)),2)))&gt;=0,1,0)))</f>
        <v>597</v>
      </c>
      <c r="E782" s="7" t="n">
        <f aca="false">IF(((c_TMAP2IN)-(c_TMAP1IN))=0,(c_TMAP1OUT)+QUOTIENT(((c_TMAP2OUT)-(c_TMAP1OUT)),2),QUOTIENT((((A782)-(c_TMAP1IN))*((c_TMAP2OUT)-(c_TMAP1OUT))+IF(((c_TMAP2OUT)-(c_TMAP1OUT))&gt;=0,1,-1)*QUOTIENT(((c_TMAP2IN)-(c_TMAP1IN)),2)),((c_TMAP2IN)-(c_TMAP1IN)))+(c_TMAP1OUT)+IF(((c_TMAP2OUT)-(c_TMAP1OUT))&gt;=0,IF(IF(o_WRAP=1,MOD(((c_TMAP2IN)-(c_TMAP1IN))*(((A782)-(c_TMAP1IN))*((c_TMAP2OUT)-(c_TMAP1OUT))+IF(((c_TMAP2OUT)-(c_TMAP1OUT))&gt;=0,1,-1)*QUOTIENT(((c_TMAP2IN)-(c_TMAP1IN)),2))+2147483648,4294967296)-2147483648,((c_TMAP2IN)-(c_TMAP1IN))*(((A782)-(c_TMAP1IN))*((c_TMAP2OUT)-(c_TMAP1OUT))+IF(((c_TMAP2OUT)-(c_TMAP1OUT))&gt;=0,1,-1)*QUOTIENT(((c_TMAP2IN)-(c_TMAP1IN)),2)))&lt;0,-1,0),IF(IF(o_WRAP=1,MOD(((c_TMAP2IN)-(c_TMAP1IN))*(((A782)-(c_TMAP1IN))*((c_TMAP2OUT)-(c_TMAP1OUT))+IF(((c_TMAP2OUT)-(c_TMAP1OUT))&gt;=0,1,-1)*QUOTIENT(((c_TMAP2IN)-(c_TMAP1IN)),2))+2147483648,4294967296)-2147483648,((c_TMAP2IN)-(c_TMAP1IN))*(((A782)-(c_TMAP1IN))*((c_TMAP2OUT)-(c_TMAP1OUT))+IF(((c_TMAP2OUT)-(c_TMAP1OUT))&gt;=0,1,-1)*QUOTIENT(((c_TMAP2IN)-(c_TMAP1IN)),2)))&gt;=0,1,0)))</f>
        <v>341</v>
      </c>
      <c r="F782" s="7" t="n">
        <f aca="false">IF(((c_TMAP3IN)-(c_TMAP2IN))=0,(c_TMAP2OUT)+QUOTIENT(((c_TMAP3OUT)-(c_TMAP2OUT)),2),QUOTIENT((((A782)-(c_TMAP2IN))*((c_TMAP3OUT)-(c_TMAP2OUT))+IF(((c_TMAP3OUT)-(c_TMAP2OUT))&gt;=0,1,-1)*QUOTIENT(((c_TMAP3IN)-(c_TMAP2IN)),2)),((c_TMAP3IN)-(c_TMAP2IN)))+(c_TMAP2OUT)+IF(((c_TMAP3OUT)-(c_TMAP2OUT))&gt;=0,IF(IF(o_WRAP=1,MOD(((c_TMAP3IN)-(c_TMAP2IN))*(((A782)-(c_TMAP2IN))*((c_TMAP3OUT)-(c_TMAP2OUT))+IF(((c_TMAP3OUT)-(c_TMAP2OUT))&gt;=0,1,-1)*QUOTIENT(((c_TMAP3IN)-(c_TMAP2IN)),2))+2147483648,4294967296)-2147483648,((c_TMAP3IN)-(c_TMAP2IN))*(((A782)-(c_TMAP2IN))*((c_TMAP3OUT)-(c_TMAP2OUT))+IF(((c_TMAP3OUT)-(c_TMAP2OUT))&gt;=0,1,-1)*QUOTIENT(((c_TMAP3IN)-(c_TMAP2IN)),2)))&lt;0,-1,0),IF(IF(o_WRAP=1,MOD(((c_TMAP3IN)-(c_TMAP2IN))*(((A782)-(c_TMAP2IN))*((c_TMAP3OUT)-(c_TMAP2OUT))+IF(((c_TMAP3OUT)-(c_TMAP2OUT))&gt;=0,1,-1)*QUOTIENT(((c_TMAP3IN)-(c_TMAP2IN)),2))+2147483648,4294967296)-2147483648,((c_TMAP3IN)-(c_TMAP2IN))*(((A782)-(c_TMAP2IN))*((c_TMAP3OUT)-(c_TMAP2OUT))+IF(((c_TMAP3OUT)-(c_TMAP2OUT))&gt;=0,1,-1)*QUOTIENT(((c_TMAP3IN)-(c_TMAP2IN)),2)))&gt;=0,1,0)))</f>
        <v>499</v>
      </c>
      <c r="G782" s="7" t="n">
        <f aca="false">IF(((1000)-(c_TMAP3IN))=0,(c_TMAP3OUT)+QUOTIENT(((1000)-(c_TMAP3OUT)),2),QUOTIENT((((A782)-(c_TMAP3IN))*((1000)-(c_TMAP3OUT))+IF(((1000)-(c_TMAP3OUT))&gt;=0,1,-1)*QUOTIENT(((1000)-(c_TMAP3IN)),2)),((1000)-(c_TMAP3IN)))+(c_TMAP3OUT)+IF(((1000)-(c_TMAP3OUT))&gt;=0,IF(IF(o_WRAP=1,MOD(((1000)-(c_TMAP3IN))*(((A782)-(c_TMAP3IN))*((1000)-(c_TMAP3OUT))+IF(((1000)-(c_TMAP3OUT))&gt;=0,1,-1)*QUOTIENT(((1000)-(c_TMAP3IN)),2))+2147483648,4294967296)-2147483648,((1000)-(c_TMAP3IN))*(((A782)-(c_TMAP3IN))*((1000)-(c_TMAP3OUT))+IF(((1000)-(c_TMAP3OUT))&gt;=0,1,-1)*QUOTIENT(((1000)-(c_TMAP3IN)),2)))&lt;0,-1,0),IF(IF(o_WRAP=1,MOD(((1000)-(c_TMAP3IN))*(((A782)-(c_TMAP3IN))*((1000)-(c_TMAP3OUT))+IF(((1000)-(c_TMAP3OUT))&gt;=0,1,-1)*QUOTIENT(((1000)-(c_TMAP3IN)),2))+2147483648,4294967296)-2147483648,((1000)-(c_TMAP3IN))*(((A782)-(c_TMAP3IN))*((1000)-(c_TMAP3OUT))+IF(((1000)-(c_TMAP3OUT))&gt;=0,1,-1)*QUOTIENT(((1000)-(c_TMAP3IN)),2)))&gt;=0,1,0)))</f>
        <v>726</v>
      </c>
      <c r="H782" s="7" t="str">
        <f aca="false">IF(A782&gt;=c_TFWD,IF(AND(A782&gt;=c_TMAP3IN,c_TMAP3IN&lt;1000),"Seg4 map3-100%",IF(AND(A782&gt;=c_TMAP2IN,c_TMAP3IN&gt;c_TMAP2IN),"Seg3 map2-map3",IF(AND(A782&gt;=c_TMAP1IN,c_TMAP2IN&gt;c_TMAP1IN),"Seg2 map1-map2","Seg1 TFWD-map1"))),IF(AND(A782=0,c_TCREEP&gt;0),"Creep",IF(AND(A782&lt;=c_TRNGMIN,A782&gt;=c_TRNGMAX,c_TRNGMIN-c_TRNGMAX&lt;&gt;0),"Regen ramp","Coast (0)")))</f>
        <v>Seg4 map3-100%</v>
      </c>
      <c r="I782" s="7" t="n">
        <f aca="false">IF(A782&gt;=c_TFWD,IF(AND(A782&gt;=c_TMAP3IN,c_TMAP3IN&lt;1000),G782,IF(AND(A782&gt;=c_TMAP2IN,c_TMAP3IN&gt;c_TMAP2IN),F782,IF(AND(A782&gt;=c_TMAP1IN,c_TMAP2IN&gt;c_TMAP1IN),E782,D782))),C782)</f>
        <v>726</v>
      </c>
      <c r="J782" s="7" t="str">
        <f aca="false">IF(I782&lt;-1090,"TOO LOW",IF(I782&gt;1090,"TOO HIGH",""))</f>
        <v/>
      </c>
      <c r="K782" s="15" t="n">
        <f aca="false">IF(J782&lt;&gt;"",0,IF(I782&gt;979,1000,I782))</f>
        <v>726</v>
      </c>
      <c r="L782" s="7" t="n">
        <f aca="false">K782/10</f>
        <v>72.6</v>
      </c>
    </row>
    <row r="783" customFormat="false" ht="15" hidden="false" customHeight="false" outlineLevel="0" collapsed="false">
      <c r="A783" s="7" t="n">
        <v>778</v>
      </c>
      <c r="B783" s="7" t="n">
        <f aca="false">A783/10</f>
        <v>77.8</v>
      </c>
      <c r="C783" s="7" t="n">
        <f aca="false">IF(AND(A783=0,c_TCREEP&gt;0),10*c_TCREEP,IF(AND(A783&lt;=c_TRNGMIN,A783&gt;=c_TRNGMAX,c_TRNGMIN-c_TRNGMAX&lt;&gt;0),-10*c_TMINRN+QUOTIENT((c_TMAXRN-c_TMINRN)*(100-QUOTIENT((A783-c_TRNGMAX)*100,c_TRNGMIN-c_TRNGMAX)),-10),0))</f>
        <v>0</v>
      </c>
      <c r="D783" s="7" t="n">
        <f aca="false">IF(((c_TMAP1IN)-(c_TFWD))=0,(0)+QUOTIENT(((c_TMAP1OUT)-(0)),2),QUOTIENT((((A783)-(c_TFWD))*((c_TMAP1OUT)-(0))+IF(((c_TMAP1OUT)-(0))&gt;=0,1,-1)*QUOTIENT(((c_TMAP1IN)-(c_TFWD)),2)),((c_TMAP1IN)-(c_TFWD)))+(0)+IF(((c_TMAP1OUT)-(0))&gt;=0,IF(IF(o_WRAP=1,MOD(((c_TMAP1IN)-(c_TFWD))*(((A783)-(c_TFWD))*((c_TMAP1OUT)-(0))+IF(((c_TMAP1OUT)-(0))&gt;=0,1,-1)*QUOTIENT(((c_TMAP1IN)-(c_TFWD)),2))+2147483648,4294967296)-2147483648,((c_TMAP1IN)-(c_TFWD))*(((A783)-(c_TFWD))*((c_TMAP1OUT)-(0))+IF(((c_TMAP1OUT)-(0))&gt;=0,1,-1)*QUOTIENT(((c_TMAP1IN)-(c_TFWD)),2)))&lt;0,-1,0),IF(IF(o_WRAP=1,MOD(((c_TMAP1IN)-(c_TFWD))*(((A783)-(c_TFWD))*((c_TMAP1OUT)-(0))+IF(((c_TMAP1OUT)-(0))&gt;=0,1,-1)*QUOTIENT(((c_TMAP1IN)-(c_TFWD)),2))+2147483648,4294967296)-2147483648,((c_TMAP1IN)-(c_TFWD))*(((A783)-(c_TFWD))*((c_TMAP1OUT)-(0))+IF(((c_TMAP1OUT)-(0))&gt;=0,1,-1)*QUOTIENT(((c_TMAP1IN)-(c_TFWD)),2)))&gt;=0,1,0)))</f>
        <v>597</v>
      </c>
      <c r="E783" s="7" t="n">
        <f aca="false">IF(((c_TMAP2IN)-(c_TMAP1IN))=0,(c_TMAP1OUT)+QUOTIENT(((c_TMAP2OUT)-(c_TMAP1OUT)),2),QUOTIENT((((A783)-(c_TMAP1IN))*((c_TMAP2OUT)-(c_TMAP1OUT))+IF(((c_TMAP2OUT)-(c_TMAP1OUT))&gt;=0,1,-1)*QUOTIENT(((c_TMAP2IN)-(c_TMAP1IN)),2)),((c_TMAP2IN)-(c_TMAP1IN)))+(c_TMAP1OUT)+IF(((c_TMAP2OUT)-(c_TMAP1OUT))&gt;=0,IF(IF(o_WRAP=1,MOD(((c_TMAP2IN)-(c_TMAP1IN))*(((A783)-(c_TMAP1IN))*((c_TMAP2OUT)-(c_TMAP1OUT))+IF(((c_TMAP2OUT)-(c_TMAP1OUT))&gt;=0,1,-1)*QUOTIENT(((c_TMAP2IN)-(c_TMAP1IN)),2))+2147483648,4294967296)-2147483648,((c_TMAP2IN)-(c_TMAP1IN))*(((A783)-(c_TMAP1IN))*((c_TMAP2OUT)-(c_TMAP1OUT))+IF(((c_TMAP2OUT)-(c_TMAP1OUT))&gt;=0,1,-1)*QUOTIENT(((c_TMAP2IN)-(c_TMAP1IN)),2)))&lt;0,-1,0),IF(IF(o_WRAP=1,MOD(((c_TMAP2IN)-(c_TMAP1IN))*(((A783)-(c_TMAP1IN))*((c_TMAP2OUT)-(c_TMAP1OUT))+IF(((c_TMAP2OUT)-(c_TMAP1OUT))&gt;=0,1,-1)*QUOTIENT(((c_TMAP2IN)-(c_TMAP1IN)),2))+2147483648,4294967296)-2147483648,((c_TMAP2IN)-(c_TMAP1IN))*(((A783)-(c_TMAP1IN))*((c_TMAP2OUT)-(c_TMAP1OUT))+IF(((c_TMAP2OUT)-(c_TMAP1OUT))&gt;=0,1,-1)*QUOTIENT(((c_TMAP2IN)-(c_TMAP1IN)),2)))&gt;=0,1,0)))</f>
        <v>341</v>
      </c>
      <c r="F783" s="7" t="n">
        <f aca="false">IF(((c_TMAP3IN)-(c_TMAP2IN))=0,(c_TMAP2OUT)+QUOTIENT(((c_TMAP3OUT)-(c_TMAP2OUT)),2),QUOTIENT((((A783)-(c_TMAP2IN))*((c_TMAP3OUT)-(c_TMAP2OUT))+IF(((c_TMAP3OUT)-(c_TMAP2OUT))&gt;=0,1,-1)*QUOTIENT(((c_TMAP3IN)-(c_TMAP2IN)),2)),((c_TMAP3IN)-(c_TMAP2IN)))+(c_TMAP2OUT)+IF(((c_TMAP3OUT)-(c_TMAP2OUT))&gt;=0,IF(IF(o_WRAP=1,MOD(((c_TMAP3IN)-(c_TMAP2IN))*(((A783)-(c_TMAP2IN))*((c_TMAP3OUT)-(c_TMAP2OUT))+IF(((c_TMAP3OUT)-(c_TMAP2OUT))&gt;=0,1,-1)*QUOTIENT(((c_TMAP3IN)-(c_TMAP2IN)),2))+2147483648,4294967296)-2147483648,((c_TMAP3IN)-(c_TMAP2IN))*(((A783)-(c_TMAP2IN))*((c_TMAP3OUT)-(c_TMAP2OUT))+IF(((c_TMAP3OUT)-(c_TMAP2OUT))&gt;=0,1,-1)*QUOTIENT(((c_TMAP3IN)-(c_TMAP2IN)),2)))&lt;0,-1,0),IF(IF(o_WRAP=1,MOD(((c_TMAP3IN)-(c_TMAP2IN))*(((A783)-(c_TMAP2IN))*((c_TMAP3OUT)-(c_TMAP2OUT))+IF(((c_TMAP3OUT)-(c_TMAP2OUT))&gt;=0,1,-1)*QUOTIENT(((c_TMAP3IN)-(c_TMAP2IN)),2))+2147483648,4294967296)-2147483648,((c_TMAP3IN)-(c_TMAP2IN))*(((A783)-(c_TMAP2IN))*((c_TMAP3OUT)-(c_TMAP2OUT))+IF(((c_TMAP3OUT)-(c_TMAP2OUT))&gt;=0,1,-1)*QUOTIENT(((c_TMAP3IN)-(c_TMAP2IN)),2)))&gt;=0,1,0)))</f>
        <v>500</v>
      </c>
      <c r="G783" s="7" t="n">
        <f aca="false">IF(((1000)-(c_TMAP3IN))=0,(c_TMAP3OUT)+QUOTIENT(((1000)-(c_TMAP3OUT)),2),QUOTIENT((((A783)-(c_TMAP3IN))*((1000)-(c_TMAP3OUT))+IF(((1000)-(c_TMAP3OUT))&gt;=0,1,-1)*QUOTIENT(((1000)-(c_TMAP3IN)),2)),((1000)-(c_TMAP3IN)))+(c_TMAP3OUT)+IF(((1000)-(c_TMAP3OUT))&gt;=0,IF(IF(o_WRAP=1,MOD(((1000)-(c_TMAP3IN))*(((A783)-(c_TMAP3IN))*((1000)-(c_TMAP3OUT))+IF(((1000)-(c_TMAP3OUT))&gt;=0,1,-1)*QUOTIENT(((1000)-(c_TMAP3IN)),2))+2147483648,4294967296)-2147483648,((1000)-(c_TMAP3IN))*(((A783)-(c_TMAP3IN))*((1000)-(c_TMAP3OUT))+IF(((1000)-(c_TMAP3OUT))&gt;=0,1,-1)*QUOTIENT(((1000)-(c_TMAP3IN)),2)))&lt;0,-1,0),IF(IF(o_WRAP=1,MOD(((1000)-(c_TMAP3IN))*(((A783)-(c_TMAP3IN))*((1000)-(c_TMAP3OUT))+IF(((1000)-(c_TMAP3OUT))&gt;=0,1,-1)*QUOTIENT(((1000)-(c_TMAP3IN)),2))+2147483648,4294967296)-2147483648,((1000)-(c_TMAP3IN))*(((A783)-(c_TMAP3IN))*((1000)-(c_TMAP3OUT))+IF(((1000)-(c_TMAP3OUT))&gt;=0,1,-1)*QUOTIENT(((1000)-(c_TMAP3IN)),2)))&gt;=0,1,0)))</f>
        <v>727</v>
      </c>
      <c r="H783" s="7" t="str">
        <f aca="false">IF(A783&gt;=c_TFWD,IF(AND(A783&gt;=c_TMAP3IN,c_TMAP3IN&lt;1000),"Seg4 map3-100%",IF(AND(A783&gt;=c_TMAP2IN,c_TMAP3IN&gt;c_TMAP2IN),"Seg3 map2-map3",IF(AND(A783&gt;=c_TMAP1IN,c_TMAP2IN&gt;c_TMAP1IN),"Seg2 map1-map2","Seg1 TFWD-map1"))),IF(AND(A783=0,c_TCREEP&gt;0),"Creep",IF(AND(A783&lt;=c_TRNGMIN,A783&gt;=c_TRNGMAX,c_TRNGMIN-c_TRNGMAX&lt;&gt;0),"Regen ramp","Coast (0)")))</f>
        <v>Seg4 map3-100%</v>
      </c>
      <c r="I783" s="7" t="n">
        <f aca="false">IF(A783&gt;=c_TFWD,IF(AND(A783&gt;=c_TMAP3IN,c_TMAP3IN&lt;1000),G783,IF(AND(A783&gt;=c_TMAP2IN,c_TMAP3IN&gt;c_TMAP2IN),F783,IF(AND(A783&gt;=c_TMAP1IN,c_TMAP2IN&gt;c_TMAP1IN),E783,D783))),C783)</f>
        <v>727</v>
      </c>
      <c r="J783" s="7" t="str">
        <f aca="false">IF(I783&lt;-1090,"TOO LOW",IF(I783&gt;1090,"TOO HIGH",""))</f>
        <v/>
      </c>
      <c r="K783" s="15" t="n">
        <f aca="false">IF(J783&lt;&gt;"",0,IF(I783&gt;979,1000,I783))</f>
        <v>727</v>
      </c>
      <c r="L783" s="7" t="n">
        <f aca="false">K783/10</f>
        <v>72.7</v>
      </c>
    </row>
    <row r="784" customFormat="false" ht="15" hidden="false" customHeight="false" outlineLevel="0" collapsed="false">
      <c r="A784" s="7" t="n">
        <v>779</v>
      </c>
      <c r="B784" s="7" t="n">
        <f aca="false">A784/10</f>
        <v>77.9</v>
      </c>
      <c r="C784" s="7" t="n">
        <f aca="false">IF(AND(A784=0,c_TCREEP&gt;0),10*c_TCREEP,IF(AND(A784&lt;=c_TRNGMIN,A784&gt;=c_TRNGMAX,c_TRNGMIN-c_TRNGMAX&lt;&gt;0),-10*c_TMINRN+QUOTIENT((c_TMAXRN-c_TMINRN)*(100-QUOTIENT((A784-c_TRNGMAX)*100,c_TRNGMIN-c_TRNGMAX)),-10),0))</f>
        <v>0</v>
      </c>
      <c r="D784" s="7" t="n">
        <f aca="false">IF(((c_TMAP1IN)-(c_TFWD))=0,(0)+QUOTIENT(((c_TMAP1OUT)-(0)),2),QUOTIENT((((A784)-(c_TFWD))*((c_TMAP1OUT)-(0))+IF(((c_TMAP1OUT)-(0))&gt;=0,1,-1)*QUOTIENT(((c_TMAP1IN)-(c_TFWD)),2)),((c_TMAP1IN)-(c_TFWD)))+(0)+IF(((c_TMAP1OUT)-(0))&gt;=0,IF(IF(o_WRAP=1,MOD(((c_TMAP1IN)-(c_TFWD))*(((A784)-(c_TFWD))*((c_TMAP1OUT)-(0))+IF(((c_TMAP1OUT)-(0))&gt;=0,1,-1)*QUOTIENT(((c_TMAP1IN)-(c_TFWD)),2))+2147483648,4294967296)-2147483648,((c_TMAP1IN)-(c_TFWD))*(((A784)-(c_TFWD))*((c_TMAP1OUT)-(0))+IF(((c_TMAP1OUT)-(0))&gt;=0,1,-1)*QUOTIENT(((c_TMAP1IN)-(c_TFWD)),2)))&lt;0,-1,0),IF(IF(o_WRAP=1,MOD(((c_TMAP1IN)-(c_TFWD))*(((A784)-(c_TFWD))*((c_TMAP1OUT)-(0))+IF(((c_TMAP1OUT)-(0))&gt;=0,1,-1)*QUOTIENT(((c_TMAP1IN)-(c_TFWD)),2))+2147483648,4294967296)-2147483648,((c_TMAP1IN)-(c_TFWD))*(((A784)-(c_TFWD))*((c_TMAP1OUT)-(0))+IF(((c_TMAP1OUT)-(0))&gt;=0,1,-1)*QUOTIENT(((c_TMAP1IN)-(c_TFWD)),2)))&gt;=0,1,0)))</f>
        <v>598</v>
      </c>
      <c r="E784" s="7" t="n">
        <f aca="false">IF(((c_TMAP2IN)-(c_TMAP1IN))=0,(c_TMAP1OUT)+QUOTIENT(((c_TMAP2OUT)-(c_TMAP1OUT)),2),QUOTIENT((((A784)-(c_TMAP1IN))*((c_TMAP2OUT)-(c_TMAP1OUT))+IF(((c_TMAP2OUT)-(c_TMAP1OUT))&gt;=0,1,-1)*QUOTIENT(((c_TMAP2IN)-(c_TMAP1IN)),2)),((c_TMAP2IN)-(c_TMAP1IN)))+(c_TMAP1OUT)+IF(((c_TMAP2OUT)-(c_TMAP1OUT))&gt;=0,IF(IF(o_WRAP=1,MOD(((c_TMAP2IN)-(c_TMAP1IN))*(((A784)-(c_TMAP1IN))*((c_TMAP2OUT)-(c_TMAP1OUT))+IF(((c_TMAP2OUT)-(c_TMAP1OUT))&gt;=0,1,-1)*QUOTIENT(((c_TMAP2IN)-(c_TMAP1IN)),2))+2147483648,4294967296)-2147483648,((c_TMAP2IN)-(c_TMAP1IN))*(((A784)-(c_TMAP1IN))*((c_TMAP2OUT)-(c_TMAP1OUT))+IF(((c_TMAP2OUT)-(c_TMAP1OUT))&gt;=0,1,-1)*QUOTIENT(((c_TMAP2IN)-(c_TMAP1IN)),2)))&lt;0,-1,0),IF(IF(o_WRAP=1,MOD(((c_TMAP2IN)-(c_TMAP1IN))*(((A784)-(c_TMAP1IN))*((c_TMAP2OUT)-(c_TMAP1OUT))+IF(((c_TMAP2OUT)-(c_TMAP1OUT))&gt;=0,1,-1)*QUOTIENT(((c_TMAP2IN)-(c_TMAP1IN)),2))+2147483648,4294967296)-2147483648,((c_TMAP2IN)-(c_TMAP1IN))*(((A784)-(c_TMAP1IN))*((c_TMAP2OUT)-(c_TMAP1OUT))+IF(((c_TMAP2OUT)-(c_TMAP1OUT))&gt;=0,1,-1)*QUOTIENT(((c_TMAP2IN)-(c_TMAP1IN)),2)))&gt;=0,1,0)))</f>
        <v>342</v>
      </c>
      <c r="F784" s="7" t="n">
        <f aca="false">IF(((c_TMAP3IN)-(c_TMAP2IN))=0,(c_TMAP2OUT)+QUOTIENT(((c_TMAP3OUT)-(c_TMAP2OUT)),2),QUOTIENT((((A784)-(c_TMAP2IN))*((c_TMAP3OUT)-(c_TMAP2OUT))+IF(((c_TMAP3OUT)-(c_TMAP2OUT))&gt;=0,1,-1)*QUOTIENT(((c_TMAP3IN)-(c_TMAP2IN)),2)),((c_TMAP3IN)-(c_TMAP2IN)))+(c_TMAP2OUT)+IF(((c_TMAP3OUT)-(c_TMAP2OUT))&gt;=0,IF(IF(o_WRAP=1,MOD(((c_TMAP3IN)-(c_TMAP2IN))*(((A784)-(c_TMAP2IN))*((c_TMAP3OUT)-(c_TMAP2OUT))+IF(((c_TMAP3OUT)-(c_TMAP2OUT))&gt;=0,1,-1)*QUOTIENT(((c_TMAP3IN)-(c_TMAP2IN)),2))+2147483648,4294967296)-2147483648,((c_TMAP3IN)-(c_TMAP2IN))*(((A784)-(c_TMAP2IN))*((c_TMAP3OUT)-(c_TMAP2OUT))+IF(((c_TMAP3OUT)-(c_TMAP2OUT))&gt;=0,1,-1)*QUOTIENT(((c_TMAP3IN)-(c_TMAP2IN)),2)))&lt;0,-1,0),IF(IF(o_WRAP=1,MOD(((c_TMAP3IN)-(c_TMAP2IN))*(((A784)-(c_TMAP2IN))*((c_TMAP3OUT)-(c_TMAP2OUT))+IF(((c_TMAP3OUT)-(c_TMAP2OUT))&gt;=0,1,-1)*QUOTIENT(((c_TMAP3IN)-(c_TMAP2IN)),2))+2147483648,4294967296)-2147483648,((c_TMAP3IN)-(c_TMAP2IN))*(((A784)-(c_TMAP2IN))*((c_TMAP3OUT)-(c_TMAP2OUT))+IF(((c_TMAP3OUT)-(c_TMAP2OUT))&gt;=0,1,-1)*QUOTIENT(((c_TMAP3IN)-(c_TMAP2IN)),2)))&gt;=0,1,0)))</f>
        <v>500</v>
      </c>
      <c r="G784" s="7" t="n">
        <f aca="false">IF(((1000)-(c_TMAP3IN))=0,(c_TMAP3OUT)+QUOTIENT(((1000)-(c_TMAP3OUT)),2),QUOTIENT((((A784)-(c_TMAP3IN))*((1000)-(c_TMAP3OUT))+IF(((1000)-(c_TMAP3OUT))&gt;=0,1,-1)*QUOTIENT(((1000)-(c_TMAP3IN)),2)),((1000)-(c_TMAP3IN)))+(c_TMAP3OUT)+IF(((1000)-(c_TMAP3OUT))&gt;=0,IF(IF(o_WRAP=1,MOD(((1000)-(c_TMAP3IN))*(((A784)-(c_TMAP3IN))*((1000)-(c_TMAP3OUT))+IF(((1000)-(c_TMAP3OUT))&gt;=0,1,-1)*QUOTIENT(((1000)-(c_TMAP3IN)),2))+2147483648,4294967296)-2147483648,((1000)-(c_TMAP3IN))*(((A784)-(c_TMAP3IN))*((1000)-(c_TMAP3OUT))+IF(((1000)-(c_TMAP3OUT))&gt;=0,1,-1)*QUOTIENT(((1000)-(c_TMAP3IN)),2)))&lt;0,-1,0),IF(IF(o_WRAP=1,MOD(((1000)-(c_TMAP3IN))*(((A784)-(c_TMAP3IN))*((1000)-(c_TMAP3OUT))+IF(((1000)-(c_TMAP3OUT))&gt;=0,1,-1)*QUOTIENT(((1000)-(c_TMAP3IN)),2))+2147483648,4294967296)-2147483648,((1000)-(c_TMAP3IN))*(((A784)-(c_TMAP3IN))*((1000)-(c_TMAP3OUT))+IF(((1000)-(c_TMAP3OUT))&gt;=0,1,-1)*QUOTIENT(((1000)-(c_TMAP3IN)),2)))&gt;=0,1,0)))</f>
        <v>728</v>
      </c>
      <c r="H784" s="7" t="str">
        <f aca="false">IF(A784&gt;=c_TFWD,IF(AND(A784&gt;=c_TMAP3IN,c_TMAP3IN&lt;1000),"Seg4 map3-100%",IF(AND(A784&gt;=c_TMAP2IN,c_TMAP3IN&gt;c_TMAP2IN),"Seg3 map2-map3",IF(AND(A784&gt;=c_TMAP1IN,c_TMAP2IN&gt;c_TMAP1IN),"Seg2 map1-map2","Seg1 TFWD-map1"))),IF(AND(A784=0,c_TCREEP&gt;0),"Creep",IF(AND(A784&lt;=c_TRNGMIN,A784&gt;=c_TRNGMAX,c_TRNGMIN-c_TRNGMAX&lt;&gt;0),"Regen ramp","Coast (0)")))</f>
        <v>Seg4 map3-100%</v>
      </c>
      <c r="I784" s="7" t="n">
        <f aca="false">IF(A784&gt;=c_TFWD,IF(AND(A784&gt;=c_TMAP3IN,c_TMAP3IN&lt;1000),G784,IF(AND(A784&gt;=c_TMAP2IN,c_TMAP3IN&gt;c_TMAP2IN),F784,IF(AND(A784&gt;=c_TMAP1IN,c_TMAP2IN&gt;c_TMAP1IN),E784,D784))),C784)</f>
        <v>728</v>
      </c>
      <c r="J784" s="7" t="str">
        <f aca="false">IF(I784&lt;-1090,"TOO LOW",IF(I784&gt;1090,"TOO HIGH",""))</f>
        <v/>
      </c>
      <c r="K784" s="15" t="n">
        <f aca="false">IF(J784&lt;&gt;"",0,IF(I784&gt;979,1000,I784))</f>
        <v>728</v>
      </c>
      <c r="L784" s="7" t="n">
        <f aca="false">K784/10</f>
        <v>72.8</v>
      </c>
    </row>
    <row r="785" customFormat="false" ht="15" hidden="false" customHeight="false" outlineLevel="0" collapsed="false">
      <c r="A785" s="7" t="n">
        <v>780</v>
      </c>
      <c r="B785" s="7" t="n">
        <f aca="false">A785/10</f>
        <v>78</v>
      </c>
      <c r="C785" s="7" t="n">
        <f aca="false">IF(AND(A785=0,c_TCREEP&gt;0),10*c_TCREEP,IF(AND(A785&lt;=c_TRNGMIN,A785&gt;=c_TRNGMAX,c_TRNGMIN-c_TRNGMAX&lt;&gt;0),-10*c_TMINRN+QUOTIENT((c_TMAXRN-c_TMINRN)*(100-QUOTIENT((A785-c_TRNGMAX)*100,c_TRNGMIN-c_TRNGMAX)),-10),0))</f>
        <v>0</v>
      </c>
      <c r="D785" s="7" t="n">
        <f aca="false">IF(((c_TMAP1IN)-(c_TFWD))=0,(0)+QUOTIENT(((c_TMAP1OUT)-(0)),2),QUOTIENT((((A785)-(c_TFWD))*((c_TMAP1OUT)-(0))+IF(((c_TMAP1OUT)-(0))&gt;=0,1,-1)*QUOTIENT(((c_TMAP1IN)-(c_TFWD)),2)),((c_TMAP1IN)-(c_TFWD)))+(0)+IF(((c_TMAP1OUT)-(0))&gt;=0,IF(IF(o_WRAP=1,MOD(((c_TMAP1IN)-(c_TFWD))*(((A785)-(c_TFWD))*((c_TMAP1OUT)-(0))+IF(((c_TMAP1OUT)-(0))&gt;=0,1,-1)*QUOTIENT(((c_TMAP1IN)-(c_TFWD)),2))+2147483648,4294967296)-2147483648,((c_TMAP1IN)-(c_TFWD))*(((A785)-(c_TFWD))*((c_TMAP1OUT)-(0))+IF(((c_TMAP1OUT)-(0))&gt;=0,1,-1)*QUOTIENT(((c_TMAP1IN)-(c_TFWD)),2)))&lt;0,-1,0),IF(IF(o_WRAP=1,MOD(((c_TMAP1IN)-(c_TFWD))*(((A785)-(c_TFWD))*((c_TMAP1OUT)-(0))+IF(((c_TMAP1OUT)-(0))&gt;=0,1,-1)*QUOTIENT(((c_TMAP1IN)-(c_TFWD)),2))+2147483648,4294967296)-2147483648,((c_TMAP1IN)-(c_TFWD))*(((A785)-(c_TFWD))*((c_TMAP1OUT)-(0))+IF(((c_TMAP1OUT)-(0))&gt;=0,1,-1)*QUOTIENT(((c_TMAP1IN)-(c_TFWD)),2)))&gt;=0,1,0)))</f>
        <v>599</v>
      </c>
      <c r="E785" s="7" t="n">
        <f aca="false">IF(((c_TMAP2IN)-(c_TMAP1IN))=0,(c_TMAP1OUT)+QUOTIENT(((c_TMAP2OUT)-(c_TMAP1OUT)),2),QUOTIENT((((A785)-(c_TMAP1IN))*((c_TMAP2OUT)-(c_TMAP1OUT))+IF(((c_TMAP2OUT)-(c_TMAP1OUT))&gt;=0,1,-1)*QUOTIENT(((c_TMAP2IN)-(c_TMAP1IN)),2)),((c_TMAP2IN)-(c_TMAP1IN)))+(c_TMAP1OUT)+IF(((c_TMAP2OUT)-(c_TMAP1OUT))&gt;=0,IF(IF(o_WRAP=1,MOD(((c_TMAP2IN)-(c_TMAP1IN))*(((A785)-(c_TMAP1IN))*((c_TMAP2OUT)-(c_TMAP1OUT))+IF(((c_TMAP2OUT)-(c_TMAP1OUT))&gt;=0,1,-1)*QUOTIENT(((c_TMAP2IN)-(c_TMAP1IN)),2))+2147483648,4294967296)-2147483648,((c_TMAP2IN)-(c_TMAP1IN))*(((A785)-(c_TMAP1IN))*((c_TMAP2OUT)-(c_TMAP1OUT))+IF(((c_TMAP2OUT)-(c_TMAP1OUT))&gt;=0,1,-1)*QUOTIENT(((c_TMAP2IN)-(c_TMAP1IN)),2)))&lt;0,-1,0),IF(IF(o_WRAP=1,MOD(((c_TMAP2IN)-(c_TMAP1IN))*(((A785)-(c_TMAP1IN))*((c_TMAP2OUT)-(c_TMAP1OUT))+IF(((c_TMAP2OUT)-(c_TMAP1OUT))&gt;=0,1,-1)*QUOTIENT(((c_TMAP2IN)-(c_TMAP1IN)),2))+2147483648,4294967296)-2147483648,((c_TMAP2IN)-(c_TMAP1IN))*(((A785)-(c_TMAP1IN))*((c_TMAP2OUT)-(c_TMAP1OUT))+IF(((c_TMAP2OUT)-(c_TMAP1OUT))&gt;=0,1,-1)*QUOTIENT(((c_TMAP2IN)-(c_TMAP1IN)),2)))&gt;=0,1,0)))</f>
        <v>342</v>
      </c>
      <c r="F785" s="7" t="n">
        <f aca="false">IF(((c_TMAP3IN)-(c_TMAP2IN))=0,(c_TMAP2OUT)+QUOTIENT(((c_TMAP3OUT)-(c_TMAP2OUT)),2),QUOTIENT((((A785)-(c_TMAP2IN))*((c_TMAP3OUT)-(c_TMAP2OUT))+IF(((c_TMAP3OUT)-(c_TMAP2OUT))&gt;=0,1,-1)*QUOTIENT(((c_TMAP3IN)-(c_TMAP2IN)),2)),((c_TMAP3IN)-(c_TMAP2IN)))+(c_TMAP2OUT)+IF(((c_TMAP3OUT)-(c_TMAP2OUT))&gt;=0,IF(IF(o_WRAP=1,MOD(((c_TMAP3IN)-(c_TMAP2IN))*(((A785)-(c_TMAP2IN))*((c_TMAP3OUT)-(c_TMAP2OUT))+IF(((c_TMAP3OUT)-(c_TMAP2OUT))&gt;=0,1,-1)*QUOTIENT(((c_TMAP3IN)-(c_TMAP2IN)),2))+2147483648,4294967296)-2147483648,((c_TMAP3IN)-(c_TMAP2IN))*(((A785)-(c_TMAP2IN))*((c_TMAP3OUT)-(c_TMAP2OUT))+IF(((c_TMAP3OUT)-(c_TMAP2OUT))&gt;=0,1,-1)*QUOTIENT(((c_TMAP3IN)-(c_TMAP2IN)),2)))&lt;0,-1,0),IF(IF(o_WRAP=1,MOD(((c_TMAP3IN)-(c_TMAP2IN))*(((A785)-(c_TMAP2IN))*((c_TMAP3OUT)-(c_TMAP2OUT))+IF(((c_TMAP3OUT)-(c_TMAP2OUT))&gt;=0,1,-1)*QUOTIENT(((c_TMAP3IN)-(c_TMAP2IN)),2))+2147483648,4294967296)-2147483648,((c_TMAP3IN)-(c_TMAP2IN))*(((A785)-(c_TMAP2IN))*((c_TMAP3OUT)-(c_TMAP2OUT))+IF(((c_TMAP3OUT)-(c_TMAP2OUT))&gt;=0,1,-1)*QUOTIENT(((c_TMAP3IN)-(c_TMAP2IN)),2)))&gt;=0,1,0)))</f>
        <v>501</v>
      </c>
      <c r="G785" s="7" t="n">
        <f aca="false">IF(((1000)-(c_TMAP3IN))=0,(c_TMAP3OUT)+QUOTIENT(((1000)-(c_TMAP3OUT)),2),QUOTIENT((((A785)-(c_TMAP3IN))*((1000)-(c_TMAP3OUT))+IF(((1000)-(c_TMAP3OUT))&gt;=0,1,-1)*QUOTIENT(((1000)-(c_TMAP3IN)),2)),((1000)-(c_TMAP3IN)))+(c_TMAP3OUT)+IF(((1000)-(c_TMAP3OUT))&gt;=0,IF(IF(o_WRAP=1,MOD(((1000)-(c_TMAP3IN))*(((A785)-(c_TMAP3IN))*((1000)-(c_TMAP3OUT))+IF(((1000)-(c_TMAP3OUT))&gt;=0,1,-1)*QUOTIENT(((1000)-(c_TMAP3IN)),2))+2147483648,4294967296)-2147483648,((1000)-(c_TMAP3IN))*(((A785)-(c_TMAP3IN))*((1000)-(c_TMAP3OUT))+IF(((1000)-(c_TMAP3OUT))&gt;=0,1,-1)*QUOTIENT(((1000)-(c_TMAP3IN)),2)))&lt;0,-1,0),IF(IF(o_WRAP=1,MOD(((1000)-(c_TMAP3IN))*(((A785)-(c_TMAP3IN))*((1000)-(c_TMAP3OUT))+IF(((1000)-(c_TMAP3OUT))&gt;=0,1,-1)*QUOTIENT(((1000)-(c_TMAP3IN)),2))+2147483648,4294967296)-2147483648,((1000)-(c_TMAP3IN))*(((A785)-(c_TMAP3IN))*((1000)-(c_TMAP3OUT))+IF(((1000)-(c_TMAP3OUT))&gt;=0,1,-1)*QUOTIENT(((1000)-(c_TMAP3IN)),2)))&gt;=0,1,0)))</f>
        <v>729</v>
      </c>
      <c r="H785" s="7" t="str">
        <f aca="false">IF(A785&gt;=c_TFWD,IF(AND(A785&gt;=c_TMAP3IN,c_TMAP3IN&lt;1000),"Seg4 map3-100%",IF(AND(A785&gt;=c_TMAP2IN,c_TMAP3IN&gt;c_TMAP2IN),"Seg3 map2-map3",IF(AND(A785&gt;=c_TMAP1IN,c_TMAP2IN&gt;c_TMAP1IN),"Seg2 map1-map2","Seg1 TFWD-map1"))),IF(AND(A785=0,c_TCREEP&gt;0),"Creep",IF(AND(A785&lt;=c_TRNGMIN,A785&gt;=c_TRNGMAX,c_TRNGMIN-c_TRNGMAX&lt;&gt;0),"Regen ramp","Coast (0)")))</f>
        <v>Seg4 map3-100%</v>
      </c>
      <c r="I785" s="7" t="n">
        <f aca="false">IF(A785&gt;=c_TFWD,IF(AND(A785&gt;=c_TMAP3IN,c_TMAP3IN&lt;1000),G785,IF(AND(A785&gt;=c_TMAP2IN,c_TMAP3IN&gt;c_TMAP2IN),F785,IF(AND(A785&gt;=c_TMAP1IN,c_TMAP2IN&gt;c_TMAP1IN),E785,D785))),C785)</f>
        <v>729</v>
      </c>
      <c r="J785" s="7" t="str">
        <f aca="false">IF(I785&lt;-1090,"TOO LOW",IF(I785&gt;1090,"TOO HIGH",""))</f>
        <v/>
      </c>
      <c r="K785" s="15" t="n">
        <f aca="false">IF(J785&lt;&gt;"",0,IF(I785&gt;979,1000,I785))</f>
        <v>729</v>
      </c>
      <c r="L785" s="7" t="n">
        <f aca="false">K785/10</f>
        <v>72.9</v>
      </c>
    </row>
    <row r="786" customFormat="false" ht="15" hidden="false" customHeight="false" outlineLevel="0" collapsed="false">
      <c r="A786" s="7" t="n">
        <v>781</v>
      </c>
      <c r="B786" s="7" t="n">
        <f aca="false">A786/10</f>
        <v>78.1</v>
      </c>
      <c r="C786" s="7" t="n">
        <f aca="false">IF(AND(A786=0,c_TCREEP&gt;0),10*c_TCREEP,IF(AND(A786&lt;=c_TRNGMIN,A786&gt;=c_TRNGMAX,c_TRNGMIN-c_TRNGMAX&lt;&gt;0),-10*c_TMINRN+QUOTIENT((c_TMAXRN-c_TMINRN)*(100-QUOTIENT((A786-c_TRNGMAX)*100,c_TRNGMIN-c_TRNGMAX)),-10),0))</f>
        <v>0</v>
      </c>
      <c r="D786" s="7" t="n">
        <f aca="false">IF(((c_TMAP1IN)-(c_TFWD))=0,(0)+QUOTIENT(((c_TMAP1OUT)-(0)),2),QUOTIENT((((A786)-(c_TFWD))*((c_TMAP1OUT)-(0))+IF(((c_TMAP1OUT)-(0))&gt;=0,1,-1)*QUOTIENT(((c_TMAP1IN)-(c_TFWD)),2)),((c_TMAP1IN)-(c_TFWD)))+(0)+IF(((c_TMAP1OUT)-(0))&gt;=0,IF(IF(o_WRAP=1,MOD(((c_TMAP1IN)-(c_TFWD))*(((A786)-(c_TFWD))*((c_TMAP1OUT)-(0))+IF(((c_TMAP1OUT)-(0))&gt;=0,1,-1)*QUOTIENT(((c_TMAP1IN)-(c_TFWD)),2))+2147483648,4294967296)-2147483648,((c_TMAP1IN)-(c_TFWD))*(((A786)-(c_TFWD))*((c_TMAP1OUT)-(0))+IF(((c_TMAP1OUT)-(0))&gt;=0,1,-1)*QUOTIENT(((c_TMAP1IN)-(c_TFWD)),2)))&lt;0,-1,0),IF(IF(o_WRAP=1,MOD(((c_TMAP1IN)-(c_TFWD))*(((A786)-(c_TFWD))*((c_TMAP1OUT)-(0))+IF(((c_TMAP1OUT)-(0))&gt;=0,1,-1)*QUOTIENT(((c_TMAP1IN)-(c_TFWD)),2))+2147483648,4294967296)-2147483648,((c_TMAP1IN)-(c_TFWD))*(((A786)-(c_TFWD))*((c_TMAP1OUT)-(0))+IF(((c_TMAP1OUT)-(0))&gt;=0,1,-1)*QUOTIENT(((c_TMAP1IN)-(c_TFWD)),2)))&gt;=0,1,0)))</f>
        <v>600</v>
      </c>
      <c r="E786" s="7" t="n">
        <f aca="false">IF(((c_TMAP2IN)-(c_TMAP1IN))=0,(c_TMAP1OUT)+QUOTIENT(((c_TMAP2OUT)-(c_TMAP1OUT)),2),QUOTIENT((((A786)-(c_TMAP1IN))*((c_TMAP2OUT)-(c_TMAP1OUT))+IF(((c_TMAP2OUT)-(c_TMAP1OUT))&gt;=0,1,-1)*QUOTIENT(((c_TMAP2IN)-(c_TMAP1IN)),2)),((c_TMAP2IN)-(c_TMAP1IN)))+(c_TMAP1OUT)+IF(((c_TMAP2OUT)-(c_TMAP1OUT))&gt;=0,IF(IF(o_WRAP=1,MOD(((c_TMAP2IN)-(c_TMAP1IN))*(((A786)-(c_TMAP1IN))*((c_TMAP2OUT)-(c_TMAP1OUT))+IF(((c_TMAP2OUT)-(c_TMAP1OUT))&gt;=0,1,-1)*QUOTIENT(((c_TMAP2IN)-(c_TMAP1IN)),2))+2147483648,4294967296)-2147483648,((c_TMAP2IN)-(c_TMAP1IN))*(((A786)-(c_TMAP1IN))*((c_TMAP2OUT)-(c_TMAP1OUT))+IF(((c_TMAP2OUT)-(c_TMAP1OUT))&gt;=0,1,-1)*QUOTIENT(((c_TMAP2IN)-(c_TMAP1IN)),2)))&lt;0,-1,0),IF(IF(o_WRAP=1,MOD(((c_TMAP2IN)-(c_TMAP1IN))*(((A786)-(c_TMAP1IN))*((c_TMAP2OUT)-(c_TMAP1OUT))+IF(((c_TMAP2OUT)-(c_TMAP1OUT))&gt;=0,1,-1)*QUOTIENT(((c_TMAP2IN)-(c_TMAP1IN)),2))+2147483648,4294967296)-2147483648,((c_TMAP2IN)-(c_TMAP1IN))*(((A786)-(c_TMAP1IN))*((c_TMAP2OUT)-(c_TMAP1OUT))+IF(((c_TMAP2OUT)-(c_TMAP1OUT))&gt;=0,1,-1)*QUOTIENT(((c_TMAP2IN)-(c_TMAP1IN)),2)))&gt;=0,1,0)))</f>
        <v>342</v>
      </c>
      <c r="F786" s="7" t="n">
        <f aca="false">IF(((c_TMAP3IN)-(c_TMAP2IN))=0,(c_TMAP2OUT)+QUOTIENT(((c_TMAP3OUT)-(c_TMAP2OUT)),2),QUOTIENT((((A786)-(c_TMAP2IN))*((c_TMAP3OUT)-(c_TMAP2OUT))+IF(((c_TMAP3OUT)-(c_TMAP2OUT))&gt;=0,1,-1)*QUOTIENT(((c_TMAP3IN)-(c_TMAP2IN)),2)),((c_TMAP3IN)-(c_TMAP2IN)))+(c_TMAP2OUT)+IF(((c_TMAP3OUT)-(c_TMAP2OUT))&gt;=0,IF(IF(o_WRAP=1,MOD(((c_TMAP3IN)-(c_TMAP2IN))*(((A786)-(c_TMAP2IN))*((c_TMAP3OUT)-(c_TMAP2OUT))+IF(((c_TMAP3OUT)-(c_TMAP2OUT))&gt;=0,1,-1)*QUOTIENT(((c_TMAP3IN)-(c_TMAP2IN)),2))+2147483648,4294967296)-2147483648,((c_TMAP3IN)-(c_TMAP2IN))*(((A786)-(c_TMAP2IN))*((c_TMAP3OUT)-(c_TMAP2OUT))+IF(((c_TMAP3OUT)-(c_TMAP2OUT))&gt;=0,1,-1)*QUOTIENT(((c_TMAP3IN)-(c_TMAP2IN)),2)))&lt;0,-1,0),IF(IF(o_WRAP=1,MOD(((c_TMAP3IN)-(c_TMAP2IN))*(((A786)-(c_TMAP2IN))*((c_TMAP3OUT)-(c_TMAP2OUT))+IF(((c_TMAP3OUT)-(c_TMAP2OUT))&gt;=0,1,-1)*QUOTIENT(((c_TMAP3IN)-(c_TMAP2IN)),2))+2147483648,4294967296)-2147483648,((c_TMAP3IN)-(c_TMAP2IN))*(((A786)-(c_TMAP2IN))*((c_TMAP3OUT)-(c_TMAP2OUT))+IF(((c_TMAP3OUT)-(c_TMAP2OUT))&gt;=0,1,-1)*QUOTIENT(((c_TMAP3IN)-(c_TMAP2IN)),2)))&gt;=0,1,0)))</f>
        <v>502</v>
      </c>
      <c r="G786" s="7" t="n">
        <f aca="false">IF(((1000)-(c_TMAP3IN))=0,(c_TMAP3OUT)+QUOTIENT(((1000)-(c_TMAP3OUT)),2),QUOTIENT((((A786)-(c_TMAP3IN))*((1000)-(c_TMAP3OUT))+IF(((1000)-(c_TMAP3OUT))&gt;=0,1,-1)*QUOTIENT(((1000)-(c_TMAP3IN)),2)),((1000)-(c_TMAP3IN)))+(c_TMAP3OUT)+IF(((1000)-(c_TMAP3OUT))&gt;=0,IF(IF(o_WRAP=1,MOD(((1000)-(c_TMAP3IN))*(((A786)-(c_TMAP3IN))*((1000)-(c_TMAP3OUT))+IF(((1000)-(c_TMAP3OUT))&gt;=0,1,-1)*QUOTIENT(((1000)-(c_TMAP3IN)),2))+2147483648,4294967296)-2147483648,((1000)-(c_TMAP3IN))*(((A786)-(c_TMAP3IN))*((1000)-(c_TMAP3OUT))+IF(((1000)-(c_TMAP3OUT))&gt;=0,1,-1)*QUOTIENT(((1000)-(c_TMAP3IN)),2)))&lt;0,-1,0),IF(IF(o_WRAP=1,MOD(((1000)-(c_TMAP3IN))*(((A786)-(c_TMAP3IN))*((1000)-(c_TMAP3OUT))+IF(((1000)-(c_TMAP3OUT))&gt;=0,1,-1)*QUOTIENT(((1000)-(c_TMAP3IN)),2))+2147483648,4294967296)-2147483648,((1000)-(c_TMAP3IN))*(((A786)-(c_TMAP3IN))*((1000)-(c_TMAP3OUT))+IF(((1000)-(c_TMAP3OUT))&gt;=0,1,-1)*QUOTIENT(((1000)-(c_TMAP3IN)),2)))&gt;=0,1,0)))</f>
        <v>730</v>
      </c>
      <c r="H786" s="7" t="str">
        <f aca="false">IF(A786&gt;=c_TFWD,IF(AND(A786&gt;=c_TMAP3IN,c_TMAP3IN&lt;1000),"Seg4 map3-100%",IF(AND(A786&gt;=c_TMAP2IN,c_TMAP3IN&gt;c_TMAP2IN),"Seg3 map2-map3",IF(AND(A786&gt;=c_TMAP1IN,c_TMAP2IN&gt;c_TMAP1IN),"Seg2 map1-map2","Seg1 TFWD-map1"))),IF(AND(A786=0,c_TCREEP&gt;0),"Creep",IF(AND(A786&lt;=c_TRNGMIN,A786&gt;=c_TRNGMAX,c_TRNGMIN-c_TRNGMAX&lt;&gt;0),"Regen ramp","Coast (0)")))</f>
        <v>Seg4 map3-100%</v>
      </c>
      <c r="I786" s="7" t="n">
        <f aca="false">IF(A786&gt;=c_TFWD,IF(AND(A786&gt;=c_TMAP3IN,c_TMAP3IN&lt;1000),G786,IF(AND(A786&gt;=c_TMAP2IN,c_TMAP3IN&gt;c_TMAP2IN),F786,IF(AND(A786&gt;=c_TMAP1IN,c_TMAP2IN&gt;c_TMAP1IN),E786,D786))),C786)</f>
        <v>730</v>
      </c>
      <c r="J786" s="7" t="str">
        <f aca="false">IF(I786&lt;-1090,"TOO LOW",IF(I786&gt;1090,"TOO HIGH",""))</f>
        <v/>
      </c>
      <c r="K786" s="15" t="n">
        <f aca="false">IF(J786&lt;&gt;"",0,IF(I786&gt;979,1000,I786))</f>
        <v>730</v>
      </c>
      <c r="L786" s="7" t="n">
        <f aca="false">K786/10</f>
        <v>73</v>
      </c>
    </row>
    <row r="787" customFormat="false" ht="15" hidden="false" customHeight="false" outlineLevel="0" collapsed="false">
      <c r="A787" s="7" t="n">
        <v>782</v>
      </c>
      <c r="B787" s="7" t="n">
        <f aca="false">A787/10</f>
        <v>78.2</v>
      </c>
      <c r="C787" s="7" t="n">
        <f aca="false">IF(AND(A787=0,c_TCREEP&gt;0),10*c_TCREEP,IF(AND(A787&lt;=c_TRNGMIN,A787&gt;=c_TRNGMAX,c_TRNGMIN-c_TRNGMAX&lt;&gt;0),-10*c_TMINRN+QUOTIENT((c_TMAXRN-c_TMINRN)*(100-QUOTIENT((A787-c_TRNGMAX)*100,c_TRNGMIN-c_TRNGMAX)),-10),0))</f>
        <v>0</v>
      </c>
      <c r="D787" s="7" t="n">
        <f aca="false">IF(((c_TMAP1IN)-(c_TFWD))=0,(0)+QUOTIENT(((c_TMAP1OUT)-(0)),2),QUOTIENT((((A787)-(c_TFWD))*((c_TMAP1OUT)-(0))+IF(((c_TMAP1OUT)-(0))&gt;=0,1,-1)*QUOTIENT(((c_TMAP1IN)-(c_TFWD)),2)),((c_TMAP1IN)-(c_TFWD)))+(0)+IF(((c_TMAP1OUT)-(0))&gt;=0,IF(IF(o_WRAP=1,MOD(((c_TMAP1IN)-(c_TFWD))*(((A787)-(c_TFWD))*((c_TMAP1OUT)-(0))+IF(((c_TMAP1OUT)-(0))&gt;=0,1,-1)*QUOTIENT(((c_TMAP1IN)-(c_TFWD)),2))+2147483648,4294967296)-2147483648,((c_TMAP1IN)-(c_TFWD))*(((A787)-(c_TFWD))*((c_TMAP1OUT)-(0))+IF(((c_TMAP1OUT)-(0))&gt;=0,1,-1)*QUOTIENT(((c_TMAP1IN)-(c_TFWD)),2)))&lt;0,-1,0),IF(IF(o_WRAP=1,MOD(((c_TMAP1IN)-(c_TFWD))*(((A787)-(c_TFWD))*((c_TMAP1OUT)-(0))+IF(((c_TMAP1OUT)-(0))&gt;=0,1,-1)*QUOTIENT(((c_TMAP1IN)-(c_TFWD)),2))+2147483648,4294967296)-2147483648,((c_TMAP1IN)-(c_TFWD))*(((A787)-(c_TFWD))*((c_TMAP1OUT)-(0))+IF(((c_TMAP1OUT)-(0))&gt;=0,1,-1)*QUOTIENT(((c_TMAP1IN)-(c_TFWD)),2)))&gt;=0,1,0)))</f>
        <v>600</v>
      </c>
      <c r="E787" s="7" t="n">
        <f aca="false">IF(((c_TMAP2IN)-(c_TMAP1IN))=0,(c_TMAP1OUT)+QUOTIENT(((c_TMAP2OUT)-(c_TMAP1OUT)),2),QUOTIENT((((A787)-(c_TMAP1IN))*((c_TMAP2OUT)-(c_TMAP1OUT))+IF(((c_TMAP2OUT)-(c_TMAP1OUT))&gt;=0,1,-1)*QUOTIENT(((c_TMAP2IN)-(c_TMAP1IN)),2)),((c_TMAP2IN)-(c_TMAP1IN)))+(c_TMAP1OUT)+IF(((c_TMAP2OUT)-(c_TMAP1OUT))&gt;=0,IF(IF(o_WRAP=1,MOD(((c_TMAP2IN)-(c_TMAP1IN))*(((A787)-(c_TMAP1IN))*((c_TMAP2OUT)-(c_TMAP1OUT))+IF(((c_TMAP2OUT)-(c_TMAP1OUT))&gt;=0,1,-1)*QUOTIENT(((c_TMAP2IN)-(c_TMAP1IN)),2))+2147483648,4294967296)-2147483648,((c_TMAP2IN)-(c_TMAP1IN))*(((A787)-(c_TMAP1IN))*((c_TMAP2OUT)-(c_TMAP1OUT))+IF(((c_TMAP2OUT)-(c_TMAP1OUT))&gt;=0,1,-1)*QUOTIENT(((c_TMAP2IN)-(c_TMAP1IN)),2)))&lt;0,-1,0),IF(IF(o_WRAP=1,MOD(((c_TMAP2IN)-(c_TMAP1IN))*(((A787)-(c_TMAP1IN))*((c_TMAP2OUT)-(c_TMAP1OUT))+IF(((c_TMAP2OUT)-(c_TMAP1OUT))&gt;=0,1,-1)*QUOTIENT(((c_TMAP2IN)-(c_TMAP1IN)),2))+2147483648,4294967296)-2147483648,((c_TMAP2IN)-(c_TMAP1IN))*(((A787)-(c_TMAP1IN))*((c_TMAP2OUT)-(c_TMAP1OUT))+IF(((c_TMAP2OUT)-(c_TMAP1OUT))&gt;=0,1,-1)*QUOTIENT(((c_TMAP2IN)-(c_TMAP1IN)),2)))&gt;=0,1,0)))</f>
        <v>343</v>
      </c>
      <c r="F787" s="7" t="n">
        <f aca="false">IF(((c_TMAP3IN)-(c_TMAP2IN))=0,(c_TMAP2OUT)+QUOTIENT(((c_TMAP3OUT)-(c_TMAP2OUT)),2),QUOTIENT((((A787)-(c_TMAP2IN))*((c_TMAP3OUT)-(c_TMAP2OUT))+IF(((c_TMAP3OUT)-(c_TMAP2OUT))&gt;=0,1,-1)*QUOTIENT(((c_TMAP3IN)-(c_TMAP2IN)),2)),((c_TMAP3IN)-(c_TMAP2IN)))+(c_TMAP2OUT)+IF(((c_TMAP3OUT)-(c_TMAP2OUT))&gt;=0,IF(IF(o_WRAP=1,MOD(((c_TMAP3IN)-(c_TMAP2IN))*(((A787)-(c_TMAP2IN))*((c_TMAP3OUT)-(c_TMAP2OUT))+IF(((c_TMAP3OUT)-(c_TMAP2OUT))&gt;=0,1,-1)*QUOTIENT(((c_TMAP3IN)-(c_TMAP2IN)),2))+2147483648,4294967296)-2147483648,((c_TMAP3IN)-(c_TMAP2IN))*(((A787)-(c_TMAP2IN))*((c_TMAP3OUT)-(c_TMAP2OUT))+IF(((c_TMAP3OUT)-(c_TMAP2OUT))&gt;=0,1,-1)*QUOTIENT(((c_TMAP3IN)-(c_TMAP2IN)),2)))&lt;0,-1,0),IF(IF(o_WRAP=1,MOD(((c_TMAP3IN)-(c_TMAP2IN))*(((A787)-(c_TMAP2IN))*((c_TMAP3OUT)-(c_TMAP2OUT))+IF(((c_TMAP3OUT)-(c_TMAP2OUT))&gt;=0,1,-1)*QUOTIENT(((c_TMAP3IN)-(c_TMAP2IN)),2))+2147483648,4294967296)-2147483648,((c_TMAP3IN)-(c_TMAP2IN))*(((A787)-(c_TMAP2IN))*((c_TMAP3OUT)-(c_TMAP2OUT))+IF(((c_TMAP3OUT)-(c_TMAP2OUT))&gt;=0,1,-1)*QUOTIENT(((c_TMAP3IN)-(c_TMAP2IN)),2)))&gt;=0,1,0)))</f>
        <v>502</v>
      </c>
      <c r="G787" s="7" t="n">
        <f aca="false">IF(((1000)-(c_TMAP3IN))=0,(c_TMAP3OUT)+QUOTIENT(((1000)-(c_TMAP3OUT)),2),QUOTIENT((((A787)-(c_TMAP3IN))*((1000)-(c_TMAP3OUT))+IF(((1000)-(c_TMAP3OUT))&gt;=0,1,-1)*QUOTIENT(((1000)-(c_TMAP3IN)),2)),((1000)-(c_TMAP3IN)))+(c_TMAP3OUT)+IF(((1000)-(c_TMAP3OUT))&gt;=0,IF(IF(o_WRAP=1,MOD(((1000)-(c_TMAP3IN))*(((A787)-(c_TMAP3IN))*((1000)-(c_TMAP3OUT))+IF(((1000)-(c_TMAP3OUT))&gt;=0,1,-1)*QUOTIENT(((1000)-(c_TMAP3IN)),2))+2147483648,4294967296)-2147483648,((1000)-(c_TMAP3IN))*(((A787)-(c_TMAP3IN))*((1000)-(c_TMAP3OUT))+IF(((1000)-(c_TMAP3OUT))&gt;=0,1,-1)*QUOTIENT(((1000)-(c_TMAP3IN)),2)))&lt;0,-1,0),IF(IF(o_WRAP=1,MOD(((1000)-(c_TMAP3IN))*(((A787)-(c_TMAP3IN))*((1000)-(c_TMAP3OUT))+IF(((1000)-(c_TMAP3OUT))&gt;=0,1,-1)*QUOTIENT(((1000)-(c_TMAP3IN)),2))+2147483648,4294967296)-2147483648,((1000)-(c_TMAP3IN))*(((A787)-(c_TMAP3IN))*((1000)-(c_TMAP3OUT))+IF(((1000)-(c_TMAP3OUT))&gt;=0,1,-1)*QUOTIENT(((1000)-(c_TMAP3IN)),2)))&gt;=0,1,0)))</f>
        <v>732</v>
      </c>
      <c r="H787" s="7" t="str">
        <f aca="false">IF(A787&gt;=c_TFWD,IF(AND(A787&gt;=c_TMAP3IN,c_TMAP3IN&lt;1000),"Seg4 map3-100%",IF(AND(A787&gt;=c_TMAP2IN,c_TMAP3IN&gt;c_TMAP2IN),"Seg3 map2-map3",IF(AND(A787&gt;=c_TMAP1IN,c_TMAP2IN&gt;c_TMAP1IN),"Seg2 map1-map2","Seg1 TFWD-map1"))),IF(AND(A787=0,c_TCREEP&gt;0),"Creep",IF(AND(A787&lt;=c_TRNGMIN,A787&gt;=c_TRNGMAX,c_TRNGMIN-c_TRNGMAX&lt;&gt;0),"Regen ramp","Coast (0)")))</f>
        <v>Seg4 map3-100%</v>
      </c>
      <c r="I787" s="7" t="n">
        <f aca="false">IF(A787&gt;=c_TFWD,IF(AND(A787&gt;=c_TMAP3IN,c_TMAP3IN&lt;1000),G787,IF(AND(A787&gt;=c_TMAP2IN,c_TMAP3IN&gt;c_TMAP2IN),F787,IF(AND(A787&gt;=c_TMAP1IN,c_TMAP2IN&gt;c_TMAP1IN),E787,D787))),C787)</f>
        <v>732</v>
      </c>
      <c r="J787" s="7" t="str">
        <f aca="false">IF(I787&lt;-1090,"TOO LOW",IF(I787&gt;1090,"TOO HIGH",""))</f>
        <v/>
      </c>
      <c r="K787" s="15" t="n">
        <f aca="false">IF(J787&lt;&gt;"",0,IF(I787&gt;979,1000,I787))</f>
        <v>732</v>
      </c>
      <c r="L787" s="7" t="n">
        <f aca="false">K787/10</f>
        <v>73.2</v>
      </c>
    </row>
    <row r="788" customFormat="false" ht="15" hidden="false" customHeight="false" outlineLevel="0" collapsed="false">
      <c r="A788" s="7" t="n">
        <v>783</v>
      </c>
      <c r="B788" s="7" t="n">
        <f aca="false">A788/10</f>
        <v>78.3</v>
      </c>
      <c r="C788" s="7" t="n">
        <f aca="false">IF(AND(A788=0,c_TCREEP&gt;0),10*c_TCREEP,IF(AND(A788&lt;=c_TRNGMIN,A788&gt;=c_TRNGMAX,c_TRNGMIN-c_TRNGMAX&lt;&gt;0),-10*c_TMINRN+QUOTIENT((c_TMAXRN-c_TMINRN)*(100-QUOTIENT((A788-c_TRNGMAX)*100,c_TRNGMIN-c_TRNGMAX)),-10),0))</f>
        <v>0</v>
      </c>
      <c r="D788" s="7" t="n">
        <f aca="false">IF(((c_TMAP1IN)-(c_TFWD))=0,(0)+QUOTIENT(((c_TMAP1OUT)-(0)),2),QUOTIENT((((A788)-(c_TFWD))*((c_TMAP1OUT)-(0))+IF(((c_TMAP1OUT)-(0))&gt;=0,1,-1)*QUOTIENT(((c_TMAP1IN)-(c_TFWD)),2)),((c_TMAP1IN)-(c_TFWD)))+(0)+IF(((c_TMAP1OUT)-(0))&gt;=0,IF(IF(o_WRAP=1,MOD(((c_TMAP1IN)-(c_TFWD))*(((A788)-(c_TFWD))*((c_TMAP1OUT)-(0))+IF(((c_TMAP1OUT)-(0))&gt;=0,1,-1)*QUOTIENT(((c_TMAP1IN)-(c_TFWD)),2))+2147483648,4294967296)-2147483648,((c_TMAP1IN)-(c_TFWD))*(((A788)-(c_TFWD))*((c_TMAP1OUT)-(0))+IF(((c_TMAP1OUT)-(0))&gt;=0,1,-1)*QUOTIENT(((c_TMAP1IN)-(c_TFWD)),2)))&lt;0,-1,0),IF(IF(o_WRAP=1,MOD(((c_TMAP1IN)-(c_TFWD))*(((A788)-(c_TFWD))*((c_TMAP1OUT)-(0))+IF(((c_TMAP1OUT)-(0))&gt;=0,1,-1)*QUOTIENT(((c_TMAP1IN)-(c_TFWD)),2))+2147483648,4294967296)-2147483648,((c_TMAP1IN)-(c_TFWD))*(((A788)-(c_TFWD))*((c_TMAP1OUT)-(0))+IF(((c_TMAP1OUT)-(0))&gt;=0,1,-1)*QUOTIENT(((c_TMAP1IN)-(c_TFWD)),2)))&gt;=0,1,0)))</f>
        <v>601</v>
      </c>
      <c r="E788" s="7" t="n">
        <f aca="false">IF(((c_TMAP2IN)-(c_TMAP1IN))=0,(c_TMAP1OUT)+QUOTIENT(((c_TMAP2OUT)-(c_TMAP1OUT)),2),QUOTIENT((((A788)-(c_TMAP1IN))*((c_TMAP2OUT)-(c_TMAP1OUT))+IF(((c_TMAP2OUT)-(c_TMAP1OUT))&gt;=0,1,-1)*QUOTIENT(((c_TMAP2IN)-(c_TMAP1IN)),2)),((c_TMAP2IN)-(c_TMAP1IN)))+(c_TMAP1OUT)+IF(((c_TMAP2OUT)-(c_TMAP1OUT))&gt;=0,IF(IF(o_WRAP=1,MOD(((c_TMAP2IN)-(c_TMAP1IN))*(((A788)-(c_TMAP1IN))*((c_TMAP2OUT)-(c_TMAP1OUT))+IF(((c_TMAP2OUT)-(c_TMAP1OUT))&gt;=0,1,-1)*QUOTIENT(((c_TMAP2IN)-(c_TMAP1IN)),2))+2147483648,4294967296)-2147483648,((c_TMAP2IN)-(c_TMAP1IN))*(((A788)-(c_TMAP1IN))*((c_TMAP2OUT)-(c_TMAP1OUT))+IF(((c_TMAP2OUT)-(c_TMAP1OUT))&gt;=0,1,-1)*QUOTIENT(((c_TMAP2IN)-(c_TMAP1IN)),2)))&lt;0,-1,0),IF(IF(o_WRAP=1,MOD(((c_TMAP2IN)-(c_TMAP1IN))*(((A788)-(c_TMAP1IN))*((c_TMAP2OUT)-(c_TMAP1OUT))+IF(((c_TMAP2OUT)-(c_TMAP1OUT))&gt;=0,1,-1)*QUOTIENT(((c_TMAP2IN)-(c_TMAP1IN)),2))+2147483648,4294967296)-2147483648,((c_TMAP2IN)-(c_TMAP1IN))*(((A788)-(c_TMAP1IN))*((c_TMAP2OUT)-(c_TMAP1OUT))+IF(((c_TMAP2OUT)-(c_TMAP1OUT))&gt;=0,1,-1)*QUOTIENT(((c_TMAP2IN)-(c_TMAP1IN)),2)))&gt;=0,1,0)))</f>
        <v>343</v>
      </c>
      <c r="F788" s="7" t="n">
        <f aca="false">IF(((c_TMAP3IN)-(c_TMAP2IN))=0,(c_TMAP2OUT)+QUOTIENT(((c_TMAP3OUT)-(c_TMAP2OUT)),2),QUOTIENT((((A788)-(c_TMAP2IN))*((c_TMAP3OUT)-(c_TMAP2OUT))+IF(((c_TMAP3OUT)-(c_TMAP2OUT))&gt;=0,1,-1)*QUOTIENT(((c_TMAP3IN)-(c_TMAP2IN)),2)),((c_TMAP3IN)-(c_TMAP2IN)))+(c_TMAP2OUT)+IF(((c_TMAP3OUT)-(c_TMAP2OUT))&gt;=0,IF(IF(o_WRAP=1,MOD(((c_TMAP3IN)-(c_TMAP2IN))*(((A788)-(c_TMAP2IN))*((c_TMAP3OUT)-(c_TMAP2OUT))+IF(((c_TMAP3OUT)-(c_TMAP2OUT))&gt;=0,1,-1)*QUOTIENT(((c_TMAP3IN)-(c_TMAP2IN)),2))+2147483648,4294967296)-2147483648,((c_TMAP3IN)-(c_TMAP2IN))*(((A788)-(c_TMAP2IN))*((c_TMAP3OUT)-(c_TMAP2OUT))+IF(((c_TMAP3OUT)-(c_TMAP2OUT))&gt;=0,1,-1)*QUOTIENT(((c_TMAP3IN)-(c_TMAP2IN)),2)))&lt;0,-1,0),IF(IF(o_WRAP=1,MOD(((c_TMAP3IN)-(c_TMAP2IN))*(((A788)-(c_TMAP2IN))*((c_TMAP3OUT)-(c_TMAP2OUT))+IF(((c_TMAP3OUT)-(c_TMAP2OUT))&gt;=0,1,-1)*QUOTIENT(((c_TMAP3IN)-(c_TMAP2IN)),2))+2147483648,4294967296)-2147483648,((c_TMAP3IN)-(c_TMAP2IN))*(((A788)-(c_TMAP2IN))*((c_TMAP3OUT)-(c_TMAP2OUT))+IF(((c_TMAP3OUT)-(c_TMAP2OUT))&gt;=0,1,-1)*QUOTIENT(((c_TMAP3IN)-(c_TMAP2IN)),2)))&gt;=0,1,0)))</f>
        <v>503</v>
      </c>
      <c r="G788" s="7" t="n">
        <f aca="false">IF(((1000)-(c_TMAP3IN))=0,(c_TMAP3OUT)+QUOTIENT(((1000)-(c_TMAP3OUT)),2),QUOTIENT((((A788)-(c_TMAP3IN))*((1000)-(c_TMAP3OUT))+IF(((1000)-(c_TMAP3OUT))&gt;=0,1,-1)*QUOTIENT(((1000)-(c_TMAP3IN)),2)),((1000)-(c_TMAP3IN)))+(c_TMAP3OUT)+IF(((1000)-(c_TMAP3OUT))&gt;=0,IF(IF(o_WRAP=1,MOD(((1000)-(c_TMAP3IN))*(((A788)-(c_TMAP3IN))*((1000)-(c_TMAP3OUT))+IF(((1000)-(c_TMAP3OUT))&gt;=0,1,-1)*QUOTIENT(((1000)-(c_TMAP3IN)),2))+2147483648,4294967296)-2147483648,((1000)-(c_TMAP3IN))*(((A788)-(c_TMAP3IN))*((1000)-(c_TMAP3OUT))+IF(((1000)-(c_TMAP3OUT))&gt;=0,1,-1)*QUOTIENT(((1000)-(c_TMAP3IN)),2)))&lt;0,-1,0),IF(IF(o_WRAP=1,MOD(((1000)-(c_TMAP3IN))*(((A788)-(c_TMAP3IN))*((1000)-(c_TMAP3OUT))+IF(((1000)-(c_TMAP3OUT))&gt;=0,1,-1)*QUOTIENT(((1000)-(c_TMAP3IN)),2))+2147483648,4294967296)-2147483648,((1000)-(c_TMAP3IN))*(((A788)-(c_TMAP3IN))*((1000)-(c_TMAP3OUT))+IF(((1000)-(c_TMAP3OUT))&gt;=0,1,-1)*QUOTIENT(((1000)-(c_TMAP3IN)),2)))&gt;=0,1,0)))</f>
        <v>733</v>
      </c>
      <c r="H788" s="7" t="str">
        <f aca="false">IF(A788&gt;=c_TFWD,IF(AND(A788&gt;=c_TMAP3IN,c_TMAP3IN&lt;1000),"Seg4 map3-100%",IF(AND(A788&gt;=c_TMAP2IN,c_TMAP3IN&gt;c_TMAP2IN),"Seg3 map2-map3",IF(AND(A788&gt;=c_TMAP1IN,c_TMAP2IN&gt;c_TMAP1IN),"Seg2 map1-map2","Seg1 TFWD-map1"))),IF(AND(A788=0,c_TCREEP&gt;0),"Creep",IF(AND(A788&lt;=c_TRNGMIN,A788&gt;=c_TRNGMAX,c_TRNGMIN-c_TRNGMAX&lt;&gt;0),"Regen ramp","Coast (0)")))</f>
        <v>Seg4 map3-100%</v>
      </c>
      <c r="I788" s="7" t="n">
        <f aca="false">IF(A788&gt;=c_TFWD,IF(AND(A788&gt;=c_TMAP3IN,c_TMAP3IN&lt;1000),G788,IF(AND(A788&gt;=c_TMAP2IN,c_TMAP3IN&gt;c_TMAP2IN),F788,IF(AND(A788&gt;=c_TMAP1IN,c_TMAP2IN&gt;c_TMAP1IN),E788,D788))),C788)</f>
        <v>733</v>
      </c>
      <c r="J788" s="7" t="str">
        <f aca="false">IF(I788&lt;-1090,"TOO LOW",IF(I788&gt;1090,"TOO HIGH",""))</f>
        <v/>
      </c>
      <c r="K788" s="15" t="n">
        <f aca="false">IF(J788&lt;&gt;"",0,IF(I788&gt;979,1000,I788))</f>
        <v>733</v>
      </c>
      <c r="L788" s="7" t="n">
        <f aca="false">K788/10</f>
        <v>73.3</v>
      </c>
    </row>
    <row r="789" customFormat="false" ht="15" hidden="false" customHeight="false" outlineLevel="0" collapsed="false">
      <c r="A789" s="7" t="n">
        <v>784</v>
      </c>
      <c r="B789" s="7" t="n">
        <f aca="false">A789/10</f>
        <v>78.4</v>
      </c>
      <c r="C789" s="7" t="n">
        <f aca="false">IF(AND(A789=0,c_TCREEP&gt;0),10*c_TCREEP,IF(AND(A789&lt;=c_TRNGMIN,A789&gt;=c_TRNGMAX,c_TRNGMIN-c_TRNGMAX&lt;&gt;0),-10*c_TMINRN+QUOTIENT((c_TMAXRN-c_TMINRN)*(100-QUOTIENT((A789-c_TRNGMAX)*100,c_TRNGMIN-c_TRNGMAX)),-10),0))</f>
        <v>0</v>
      </c>
      <c r="D789" s="7" t="n">
        <f aca="false">IF(((c_TMAP1IN)-(c_TFWD))=0,(0)+QUOTIENT(((c_TMAP1OUT)-(0)),2),QUOTIENT((((A789)-(c_TFWD))*((c_TMAP1OUT)-(0))+IF(((c_TMAP1OUT)-(0))&gt;=0,1,-1)*QUOTIENT(((c_TMAP1IN)-(c_TFWD)),2)),((c_TMAP1IN)-(c_TFWD)))+(0)+IF(((c_TMAP1OUT)-(0))&gt;=0,IF(IF(o_WRAP=1,MOD(((c_TMAP1IN)-(c_TFWD))*(((A789)-(c_TFWD))*((c_TMAP1OUT)-(0))+IF(((c_TMAP1OUT)-(0))&gt;=0,1,-1)*QUOTIENT(((c_TMAP1IN)-(c_TFWD)),2))+2147483648,4294967296)-2147483648,((c_TMAP1IN)-(c_TFWD))*(((A789)-(c_TFWD))*((c_TMAP1OUT)-(0))+IF(((c_TMAP1OUT)-(0))&gt;=0,1,-1)*QUOTIENT(((c_TMAP1IN)-(c_TFWD)),2)))&lt;0,-1,0),IF(IF(o_WRAP=1,MOD(((c_TMAP1IN)-(c_TFWD))*(((A789)-(c_TFWD))*((c_TMAP1OUT)-(0))+IF(((c_TMAP1OUT)-(0))&gt;=0,1,-1)*QUOTIENT(((c_TMAP1IN)-(c_TFWD)),2))+2147483648,4294967296)-2147483648,((c_TMAP1IN)-(c_TFWD))*(((A789)-(c_TFWD))*((c_TMAP1OUT)-(0))+IF(((c_TMAP1OUT)-(0))&gt;=0,1,-1)*QUOTIENT(((c_TMAP1IN)-(c_TFWD)),2)))&gt;=0,1,0)))</f>
        <v>602</v>
      </c>
      <c r="E789" s="7" t="n">
        <f aca="false">IF(((c_TMAP2IN)-(c_TMAP1IN))=0,(c_TMAP1OUT)+QUOTIENT(((c_TMAP2OUT)-(c_TMAP1OUT)),2),QUOTIENT((((A789)-(c_TMAP1IN))*((c_TMAP2OUT)-(c_TMAP1OUT))+IF(((c_TMAP2OUT)-(c_TMAP1OUT))&gt;=0,1,-1)*QUOTIENT(((c_TMAP2IN)-(c_TMAP1IN)),2)),((c_TMAP2IN)-(c_TMAP1IN)))+(c_TMAP1OUT)+IF(((c_TMAP2OUT)-(c_TMAP1OUT))&gt;=0,IF(IF(o_WRAP=1,MOD(((c_TMAP2IN)-(c_TMAP1IN))*(((A789)-(c_TMAP1IN))*((c_TMAP2OUT)-(c_TMAP1OUT))+IF(((c_TMAP2OUT)-(c_TMAP1OUT))&gt;=0,1,-1)*QUOTIENT(((c_TMAP2IN)-(c_TMAP1IN)),2))+2147483648,4294967296)-2147483648,((c_TMAP2IN)-(c_TMAP1IN))*(((A789)-(c_TMAP1IN))*((c_TMAP2OUT)-(c_TMAP1OUT))+IF(((c_TMAP2OUT)-(c_TMAP1OUT))&gt;=0,1,-1)*QUOTIENT(((c_TMAP2IN)-(c_TMAP1IN)),2)))&lt;0,-1,0),IF(IF(o_WRAP=1,MOD(((c_TMAP2IN)-(c_TMAP1IN))*(((A789)-(c_TMAP1IN))*((c_TMAP2OUT)-(c_TMAP1OUT))+IF(((c_TMAP2OUT)-(c_TMAP1OUT))&gt;=0,1,-1)*QUOTIENT(((c_TMAP2IN)-(c_TMAP1IN)),2))+2147483648,4294967296)-2147483648,((c_TMAP2IN)-(c_TMAP1IN))*(((A789)-(c_TMAP1IN))*((c_TMAP2OUT)-(c_TMAP1OUT))+IF(((c_TMAP2OUT)-(c_TMAP1OUT))&gt;=0,1,-1)*QUOTIENT(((c_TMAP2IN)-(c_TMAP1IN)),2)))&gt;=0,1,0)))</f>
        <v>344</v>
      </c>
      <c r="F789" s="7" t="n">
        <f aca="false">IF(((c_TMAP3IN)-(c_TMAP2IN))=0,(c_TMAP2OUT)+QUOTIENT(((c_TMAP3OUT)-(c_TMAP2OUT)),2),QUOTIENT((((A789)-(c_TMAP2IN))*((c_TMAP3OUT)-(c_TMAP2OUT))+IF(((c_TMAP3OUT)-(c_TMAP2OUT))&gt;=0,1,-1)*QUOTIENT(((c_TMAP3IN)-(c_TMAP2IN)),2)),((c_TMAP3IN)-(c_TMAP2IN)))+(c_TMAP2OUT)+IF(((c_TMAP3OUT)-(c_TMAP2OUT))&gt;=0,IF(IF(o_WRAP=1,MOD(((c_TMAP3IN)-(c_TMAP2IN))*(((A789)-(c_TMAP2IN))*((c_TMAP3OUT)-(c_TMAP2OUT))+IF(((c_TMAP3OUT)-(c_TMAP2OUT))&gt;=0,1,-1)*QUOTIENT(((c_TMAP3IN)-(c_TMAP2IN)),2))+2147483648,4294967296)-2147483648,((c_TMAP3IN)-(c_TMAP2IN))*(((A789)-(c_TMAP2IN))*((c_TMAP3OUT)-(c_TMAP2OUT))+IF(((c_TMAP3OUT)-(c_TMAP2OUT))&gt;=0,1,-1)*QUOTIENT(((c_TMAP3IN)-(c_TMAP2IN)),2)))&lt;0,-1,0),IF(IF(o_WRAP=1,MOD(((c_TMAP3IN)-(c_TMAP2IN))*(((A789)-(c_TMAP2IN))*((c_TMAP3OUT)-(c_TMAP2OUT))+IF(((c_TMAP3OUT)-(c_TMAP2OUT))&gt;=0,1,-1)*QUOTIENT(((c_TMAP3IN)-(c_TMAP2IN)),2))+2147483648,4294967296)-2147483648,((c_TMAP3IN)-(c_TMAP2IN))*(((A789)-(c_TMAP2IN))*((c_TMAP3OUT)-(c_TMAP2OUT))+IF(((c_TMAP3OUT)-(c_TMAP2OUT))&gt;=0,1,-1)*QUOTIENT(((c_TMAP3IN)-(c_TMAP2IN)),2)))&gt;=0,1,0)))</f>
        <v>504</v>
      </c>
      <c r="G789" s="7" t="n">
        <f aca="false">IF(((1000)-(c_TMAP3IN))=0,(c_TMAP3OUT)+QUOTIENT(((1000)-(c_TMAP3OUT)),2),QUOTIENT((((A789)-(c_TMAP3IN))*((1000)-(c_TMAP3OUT))+IF(((1000)-(c_TMAP3OUT))&gt;=0,1,-1)*QUOTIENT(((1000)-(c_TMAP3IN)),2)),((1000)-(c_TMAP3IN)))+(c_TMAP3OUT)+IF(((1000)-(c_TMAP3OUT))&gt;=0,IF(IF(o_WRAP=1,MOD(((1000)-(c_TMAP3IN))*(((A789)-(c_TMAP3IN))*((1000)-(c_TMAP3OUT))+IF(((1000)-(c_TMAP3OUT))&gt;=0,1,-1)*QUOTIENT(((1000)-(c_TMAP3IN)),2))+2147483648,4294967296)-2147483648,((1000)-(c_TMAP3IN))*(((A789)-(c_TMAP3IN))*((1000)-(c_TMAP3OUT))+IF(((1000)-(c_TMAP3OUT))&gt;=0,1,-1)*QUOTIENT(((1000)-(c_TMAP3IN)),2)))&lt;0,-1,0),IF(IF(o_WRAP=1,MOD(((1000)-(c_TMAP3IN))*(((A789)-(c_TMAP3IN))*((1000)-(c_TMAP3OUT))+IF(((1000)-(c_TMAP3OUT))&gt;=0,1,-1)*QUOTIENT(((1000)-(c_TMAP3IN)),2))+2147483648,4294967296)-2147483648,((1000)-(c_TMAP3IN))*(((A789)-(c_TMAP3IN))*((1000)-(c_TMAP3OUT))+IF(((1000)-(c_TMAP3OUT))&gt;=0,1,-1)*QUOTIENT(((1000)-(c_TMAP3IN)),2)))&gt;=0,1,0)))</f>
        <v>734</v>
      </c>
      <c r="H789" s="7" t="str">
        <f aca="false">IF(A789&gt;=c_TFWD,IF(AND(A789&gt;=c_TMAP3IN,c_TMAP3IN&lt;1000),"Seg4 map3-100%",IF(AND(A789&gt;=c_TMAP2IN,c_TMAP3IN&gt;c_TMAP2IN),"Seg3 map2-map3",IF(AND(A789&gt;=c_TMAP1IN,c_TMAP2IN&gt;c_TMAP1IN),"Seg2 map1-map2","Seg1 TFWD-map1"))),IF(AND(A789=0,c_TCREEP&gt;0),"Creep",IF(AND(A789&lt;=c_TRNGMIN,A789&gt;=c_TRNGMAX,c_TRNGMIN-c_TRNGMAX&lt;&gt;0),"Regen ramp","Coast (0)")))</f>
        <v>Seg4 map3-100%</v>
      </c>
      <c r="I789" s="7" t="n">
        <f aca="false">IF(A789&gt;=c_TFWD,IF(AND(A789&gt;=c_TMAP3IN,c_TMAP3IN&lt;1000),G789,IF(AND(A789&gt;=c_TMAP2IN,c_TMAP3IN&gt;c_TMAP2IN),F789,IF(AND(A789&gt;=c_TMAP1IN,c_TMAP2IN&gt;c_TMAP1IN),E789,D789))),C789)</f>
        <v>734</v>
      </c>
      <c r="J789" s="7" t="str">
        <f aca="false">IF(I789&lt;-1090,"TOO LOW",IF(I789&gt;1090,"TOO HIGH",""))</f>
        <v/>
      </c>
      <c r="K789" s="15" t="n">
        <f aca="false">IF(J789&lt;&gt;"",0,IF(I789&gt;979,1000,I789))</f>
        <v>734</v>
      </c>
      <c r="L789" s="7" t="n">
        <f aca="false">K789/10</f>
        <v>73.4</v>
      </c>
    </row>
    <row r="790" customFormat="false" ht="15" hidden="false" customHeight="false" outlineLevel="0" collapsed="false">
      <c r="A790" s="7" t="n">
        <v>785</v>
      </c>
      <c r="B790" s="7" t="n">
        <f aca="false">A790/10</f>
        <v>78.5</v>
      </c>
      <c r="C790" s="7" t="n">
        <f aca="false">IF(AND(A790=0,c_TCREEP&gt;0),10*c_TCREEP,IF(AND(A790&lt;=c_TRNGMIN,A790&gt;=c_TRNGMAX,c_TRNGMIN-c_TRNGMAX&lt;&gt;0),-10*c_TMINRN+QUOTIENT((c_TMAXRN-c_TMINRN)*(100-QUOTIENT((A790-c_TRNGMAX)*100,c_TRNGMIN-c_TRNGMAX)),-10),0))</f>
        <v>0</v>
      </c>
      <c r="D790" s="7" t="n">
        <f aca="false">IF(((c_TMAP1IN)-(c_TFWD))=0,(0)+QUOTIENT(((c_TMAP1OUT)-(0)),2),QUOTIENT((((A790)-(c_TFWD))*((c_TMAP1OUT)-(0))+IF(((c_TMAP1OUT)-(0))&gt;=0,1,-1)*QUOTIENT(((c_TMAP1IN)-(c_TFWD)),2)),((c_TMAP1IN)-(c_TFWD)))+(0)+IF(((c_TMAP1OUT)-(0))&gt;=0,IF(IF(o_WRAP=1,MOD(((c_TMAP1IN)-(c_TFWD))*(((A790)-(c_TFWD))*((c_TMAP1OUT)-(0))+IF(((c_TMAP1OUT)-(0))&gt;=0,1,-1)*QUOTIENT(((c_TMAP1IN)-(c_TFWD)),2))+2147483648,4294967296)-2147483648,((c_TMAP1IN)-(c_TFWD))*(((A790)-(c_TFWD))*((c_TMAP1OUT)-(0))+IF(((c_TMAP1OUT)-(0))&gt;=0,1,-1)*QUOTIENT(((c_TMAP1IN)-(c_TFWD)),2)))&lt;0,-1,0),IF(IF(o_WRAP=1,MOD(((c_TMAP1IN)-(c_TFWD))*(((A790)-(c_TFWD))*((c_TMAP1OUT)-(0))+IF(((c_TMAP1OUT)-(0))&gt;=0,1,-1)*QUOTIENT(((c_TMAP1IN)-(c_TFWD)),2))+2147483648,4294967296)-2147483648,((c_TMAP1IN)-(c_TFWD))*(((A790)-(c_TFWD))*((c_TMAP1OUT)-(0))+IF(((c_TMAP1OUT)-(0))&gt;=0,1,-1)*QUOTIENT(((c_TMAP1IN)-(c_TFWD)),2)))&gt;=0,1,0)))</f>
        <v>603</v>
      </c>
      <c r="E790" s="7" t="n">
        <f aca="false">IF(((c_TMAP2IN)-(c_TMAP1IN))=0,(c_TMAP1OUT)+QUOTIENT(((c_TMAP2OUT)-(c_TMAP1OUT)),2),QUOTIENT((((A790)-(c_TMAP1IN))*((c_TMAP2OUT)-(c_TMAP1OUT))+IF(((c_TMAP2OUT)-(c_TMAP1OUT))&gt;=0,1,-1)*QUOTIENT(((c_TMAP2IN)-(c_TMAP1IN)),2)),((c_TMAP2IN)-(c_TMAP1IN)))+(c_TMAP1OUT)+IF(((c_TMAP2OUT)-(c_TMAP1OUT))&gt;=0,IF(IF(o_WRAP=1,MOD(((c_TMAP2IN)-(c_TMAP1IN))*(((A790)-(c_TMAP1IN))*((c_TMAP2OUT)-(c_TMAP1OUT))+IF(((c_TMAP2OUT)-(c_TMAP1OUT))&gt;=0,1,-1)*QUOTIENT(((c_TMAP2IN)-(c_TMAP1IN)),2))+2147483648,4294967296)-2147483648,((c_TMAP2IN)-(c_TMAP1IN))*(((A790)-(c_TMAP1IN))*((c_TMAP2OUT)-(c_TMAP1OUT))+IF(((c_TMAP2OUT)-(c_TMAP1OUT))&gt;=0,1,-1)*QUOTIENT(((c_TMAP2IN)-(c_TMAP1IN)),2)))&lt;0,-1,0),IF(IF(o_WRAP=1,MOD(((c_TMAP2IN)-(c_TMAP1IN))*(((A790)-(c_TMAP1IN))*((c_TMAP2OUT)-(c_TMAP1OUT))+IF(((c_TMAP2OUT)-(c_TMAP1OUT))&gt;=0,1,-1)*QUOTIENT(((c_TMAP2IN)-(c_TMAP1IN)),2))+2147483648,4294967296)-2147483648,((c_TMAP2IN)-(c_TMAP1IN))*(((A790)-(c_TMAP1IN))*((c_TMAP2OUT)-(c_TMAP1OUT))+IF(((c_TMAP2OUT)-(c_TMAP1OUT))&gt;=0,1,-1)*QUOTIENT(((c_TMAP2IN)-(c_TMAP1IN)),2)))&gt;=0,1,0)))</f>
        <v>344</v>
      </c>
      <c r="F790" s="7" t="n">
        <f aca="false">IF(((c_TMAP3IN)-(c_TMAP2IN))=0,(c_TMAP2OUT)+QUOTIENT(((c_TMAP3OUT)-(c_TMAP2OUT)),2),QUOTIENT((((A790)-(c_TMAP2IN))*((c_TMAP3OUT)-(c_TMAP2OUT))+IF(((c_TMAP3OUT)-(c_TMAP2OUT))&gt;=0,1,-1)*QUOTIENT(((c_TMAP3IN)-(c_TMAP2IN)),2)),((c_TMAP3IN)-(c_TMAP2IN)))+(c_TMAP2OUT)+IF(((c_TMAP3OUT)-(c_TMAP2OUT))&gt;=0,IF(IF(o_WRAP=1,MOD(((c_TMAP3IN)-(c_TMAP2IN))*(((A790)-(c_TMAP2IN))*((c_TMAP3OUT)-(c_TMAP2OUT))+IF(((c_TMAP3OUT)-(c_TMAP2OUT))&gt;=0,1,-1)*QUOTIENT(((c_TMAP3IN)-(c_TMAP2IN)),2))+2147483648,4294967296)-2147483648,((c_TMAP3IN)-(c_TMAP2IN))*(((A790)-(c_TMAP2IN))*((c_TMAP3OUT)-(c_TMAP2OUT))+IF(((c_TMAP3OUT)-(c_TMAP2OUT))&gt;=0,1,-1)*QUOTIENT(((c_TMAP3IN)-(c_TMAP2IN)),2)))&lt;0,-1,0),IF(IF(o_WRAP=1,MOD(((c_TMAP3IN)-(c_TMAP2IN))*(((A790)-(c_TMAP2IN))*((c_TMAP3OUT)-(c_TMAP2OUT))+IF(((c_TMAP3OUT)-(c_TMAP2OUT))&gt;=0,1,-1)*QUOTIENT(((c_TMAP3IN)-(c_TMAP2IN)),2))+2147483648,4294967296)-2147483648,((c_TMAP3IN)-(c_TMAP2IN))*(((A790)-(c_TMAP2IN))*((c_TMAP3OUT)-(c_TMAP2OUT))+IF(((c_TMAP3OUT)-(c_TMAP2OUT))&gt;=0,1,-1)*QUOTIENT(((c_TMAP3IN)-(c_TMAP2IN)),2)))&gt;=0,1,0)))</f>
        <v>505</v>
      </c>
      <c r="G790" s="7" t="n">
        <f aca="false">IF(((1000)-(c_TMAP3IN))=0,(c_TMAP3OUT)+QUOTIENT(((1000)-(c_TMAP3OUT)),2),QUOTIENT((((A790)-(c_TMAP3IN))*((1000)-(c_TMAP3OUT))+IF(((1000)-(c_TMAP3OUT))&gt;=0,1,-1)*QUOTIENT(((1000)-(c_TMAP3IN)),2)),((1000)-(c_TMAP3IN)))+(c_TMAP3OUT)+IF(((1000)-(c_TMAP3OUT))&gt;=0,IF(IF(o_WRAP=1,MOD(((1000)-(c_TMAP3IN))*(((A790)-(c_TMAP3IN))*((1000)-(c_TMAP3OUT))+IF(((1000)-(c_TMAP3OUT))&gt;=0,1,-1)*QUOTIENT(((1000)-(c_TMAP3IN)),2))+2147483648,4294967296)-2147483648,((1000)-(c_TMAP3IN))*(((A790)-(c_TMAP3IN))*((1000)-(c_TMAP3OUT))+IF(((1000)-(c_TMAP3OUT))&gt;=0,1,-1)*QUOTIENT(((1000)-(c_TMAP3IN)),2)))&lt;0,-1,0),IF(IF(o_WRAP=1,MOD(((1000)-(c_TMAP3IN))*(((A790)-(c_TMAP3IN))*((1000)-(c_TMAP3OUT))+IF(((1000)-(c_TMAP3OUT))&gt;=0,1,-1)*QUOTIENT(((1000)-(c_TMAP3IN)),2))+2147483648,4294967296)-2147483648,((1000)-(c_TMAP3IN))*(((A790)-(c_TMAP3IN))*((1000)-(c_TMAP3OUT))+IF(((1000)-(c_TMAP3OUT))&gt;=0,1,-1)*QUOTIENT(((1000)-(c_TMAP3IN)),2)))&gt;=0,1,0)))</f>
        <v>735</v>
      </c>
      <c r="H790" s="7" t="str">
        <f aca="false">IF(A790&gt;=c_TFWD,IF(AND(A790&gt;=c_TMAP3IN,c_TMAP3IN&lt;1000),"Seg4 map3-100%",IF(AND(A790&gt;=c_TMAP2IN,c_TMAP3IN&gt;c_TMAP2IN),"Seg3 map2-map3",IF(AND(A790&gt;=c_TMAP1IN,c_TMAP2IN&gt;c_TMAP1IN),"Seg2 map1-map2","Seg1 TFWD-map1"))),IF(AND(A790=0,c_TCREEP&gt;0),"Creep",IF(AND(A790&lt;=c_TRNGMIN,A790&gt;=c_TRNGMAX,c_TRNGMIN-c_TRNGMAX&lt;&gt;0),"Regen ramp","Coast (0)")))</f>
        <v>Seg4 map3-100%</v>
      </c>
      <c r="I790" s="7" t="n">
        <f aca="false">IF(A790&gt;=c_TFWD,IF(AND(A790&gt;=c_TMAP3IN,c_TMAP3IN&lt;1000),G790,IF(AND(A790&gt;=c_TMAP2IN,c_TMAP3IN&gt;c_TMAP2IN),F790,IF(AND(A790&gt;=c_TMAP1IN,c_TMAP2IN&gt;c_TMAP1IN),E790,D790))),C790)</f>
        <v>735</v>
      </c>
      <c r="J790" s="7" t="str">
        <f aca="false">IF(I790&lt;-1090,"TOO LOW",IF(I790&gt;1090,"TOO HIGH",""))</f>
        <v/>
      </c>
      <c r="K790" s="15" t="n">
        <f aca="false">IF(J790&lt;&gt;"",0,IF(I790&gt;979,1000,I790))</f>
        <v>735</v>
      </c>
      <c r="L790" s="7" t="n">
        <f aca="false">K790/10</f>
        <v>73.5</v>
      </c>
    </row>
    <row r="791" customFormat="false" ht="15" hidden="false" customHeight="false" outlineLevel="0" collapsed="false">
      <c r="A791" s="7" t="n">
        <v>786</v>
      </c>
      <c r="B791" s="7" t="n">
        <f aca="false">A791/10</f>
        <v>78.6</v>
      </c>
      <c r="C791" s="7" t="n">
        <f aca="false">IF(AND(A791=0,c_TCREEP&gt;0),10*c_TCREEP,IF(AND(A791&lt;=c_TRNGMIN,A791&gt;=c_TRNGMAX,c_TRNGMIN-c_TRNGMAX&lt;&gt;0),-10*c_TMINRN+QUOTIENT((c_TMAXRN-c_TMINRN)*(100-QUOTIENT((A791-c_TRNGMAX)*100,c_TRNGMIN-c_TRNGMAX)),-10),0))</f>
        <v>0</v>
      </c>
      <c r="D791" s="7" t="n">
        <f aca="false">IF(((c_TMAP1IN)-(c_TFWD))=0,(0)+QUOTIENT(((c_TMAP1OUT)-(0)),2),QUOTIENT((((A791)-(c_TFWD))*((c_TMAP1OUT)-(0))+IF(((c_TMAP1OUT)-(0))&gt;=0,1,-1)*QUOTIENT(((c_TMAP1IN)-(c_TFWD)),2)),((c_TMAP1IN)-(c_TFWD)))+(0)+IF(((c_TMAP1OUT)-(0))&gt;=0,IF(IF(o_WRAP=1,MOD(((c_TMAP1IN)-(c_TFWD))*(((A791)-(c_TFWD))*((c_TMAP1OUT)-(0))+IF(((c_TMAP1OUT)-(0))&gt;=0,1,-1)*QUOTIENT(((c_TMAP1IN)-(c_TFWD)),2))+2147483648,4294967296)-2147483648,((c_TMAP1IN)-(c_TFWD))*(((A791)-(c_TFWD))*((c_TMAP1OUT)-(0))+IF(((c_TMAP1OUT)-(0))&gt;=0,1,-1)*QUOTIENT(((c_TMAP1IN)-(c_TFWD)),2)))&lt;0,-1,0),IF(IF(o_WRAP=1,MOD(((c_TMAP1IN)-(c_TFWD))*(((A791)-(c_TFWD))*((c_TMAP1OUT)-(0))+IF(((c_TMAP1OUT)-(0))&gt;=0,1,-1)*QUOTIENT(((c_TMAP1IN)-(c_TFWD)),2))+2147483648,4294967296)-2147483648,((c_TMAP1IN)-(c_TFWD))*(((A791)-(c_TFWD))*((c_TMAP1OUT)-(0))+IF(((c_TMAP1OUT)-(0))&gt;=0,1,-1)*QUOTIENT(((c_TMAP1IN)-(c_TFWD)),2)))&gt;=0,1,0)))</f>
        <v>604</v>
      </c>
      <c r="E791" s="7" t="n">
        <f aca="false">IF(((c_TMAP2IN)-(c_TMAP1IN))=0,(c_TMAP1OUT)+QUOTIENT(((c_TMAP2OUT)-(c_TMAP1OUT)),2),QUOTIENT((((A791)-(c_TMAP1IN))*((c_TMAP2OUT)-(c_TMAP1OUT))+IF(((c_TMAP2OUT)-(c_TMAP1OUT))&gt;=0,1,-1)*QUOTIENT(((c_TMAP2IN)-(c_TMAP1IN)),2)),((c_TMAP2IN)-(c_TMAP1IN)))+(c_TMAP1OUT)+IF(((c_TMAP2OUT)-(c_TMAP1OUT))&gt;=0,IF(IF(o_WRAP=1,MOD(((c_TMAP2IN)-(c_TMAP1IN))*(((A791)-(c_TMAP1IN))*((c_TMAP2OUT)-(c_TMAP1OUT))+IF(((c_TMAP2OUT)-(c_TMAP1OUT))&gt;=0,1,-1)*QUOTIENT(((c_TMAP2IN)-(c_TMAP1IN)),2))+2147483648,4294967296)-2147483648,((c_TMAP2IN)-(c_TMAP1IN))*(((A791)-(c_TMAP1IN))*((c_TMAP2OUT)-(c_TMAP1OUT))+IF(((c_TMAP2OUT)-(c_TMAP1OUT))&gt;=0,1,-1)*QUOTIENT(((c_TMAP2IN)-(c_TMAP1IN)),2)))&lt;0,-1,0),IF(IF(o_WRAP=1,MOD(((c_TMAP2IN)-(c_TMAP1IN))*(((A791)-(c_TMAP1IN))*((c_TMAP2OUT)-(c_TMAP1OUT))+IF(((c_TMAP2OUT)-(c_TMAP1OUT))&gt;=0,1,-1)*QUOTIENT(((c_TMAP2IN)-(c_TMAP1IN)),2))+2147483648,4294967296)-2147483648,((c_TMAP2IN)-(c_TMAP1IN))*(((A791)-(c_TMAP1IN))*((c_TMAP2OUT)-(c_TMAP1OUT))+IF(((c_TMAP2OUT)-(c_TMAP1OUT))&gt;=0,1,-1)*QUOTIENT(((c_TMAP2IN)-(c_TMAP1IN)),2)))&gt;=0,1,0)))</f>
        <v>344</v>
      </c>
      <c r="F791" s="7" t="n">
        <f aca="false">IF(((c_TMAP3IN)-(c_TMAP2IN))=0,(c_TMAP2OUT)+QUOTIENT(((c_TMAP3OUT)-(c_TMAP2OUT)),2),QUOTIENT((((A791)-(c_TMAP2IN))*((c_TMAP3OUT)-(c_TMAP2OUT))+IF(((c_TMAP3OUT)-(c_TMAP2OUT))&gt;=0,1,-1)*QUOTIENT(((c_TMAP3IN)-(c_TMAP2IN)),2)),((c_TMAP3IN)-(c_TMAP2IN)))+(c_TMAP2OUT)+IF(((c_TMAP3OUT)-(c_TMAP2OUT))&gt;=0,IF(IF(o_WRAP=1,MOD(((c_TMAP3IN)-(c_TMAP2IN))*(((A791)-(c_TMAP2IN))*((c_TMAP3OUT)-(c_TMAP2OUT))+IF(((c_TMAP3OUT)-(c_TMAP2OUT))&gt;=0,1,-1)*QUOTIENT(((c_TMAP3IN)-(c_TMAP2IN)),2))+2147483648,4294967296)-2147483648,((c_TMAP3IN)-(c_TMAP2IN))*(((A791)-(c_TMAP2IN))*((c_TMAP3OUT)-(c_TMAP2OUT))+IF(((c_TMAP3OUT)-(c_TMAP2OUT))&gt;=0,1,-1)*QUOTIENT(((c_TMAP3IN)-(c_TMAP2IN)),2)))&lt;0,-1,0),IF(IF(o_WRAP=1,MOD(((c_TMAP3IN)-(c_TMAP2IN))*(((A791)-(c_TMAP2IN))*((c_TMAP3OUT)-(c_TMAP2OUT))+IF(((c_TMAP3OUT)-(c_TMAP2OUT))&gt;=0,1,-1)*QUOTIENT(((c_TMAP3IN)-(c_TMAP2IN)),2))+2147483648,4294967296)-2147483648,((c_TMAP3IN)-(c_TMAP2IN))*(((A791)-(c_TMAP2IN))*((c_TMAP3OUT)-(c_TMAP2OUT))+IF(((c_TMAP3OUT)-(c_TMAP2OUT))&gt;=0,1,-1)*QUOTIENT(((c_TMAP3IN)-(c_TMAP2IN)),2)))&gt;=0,1,0)))</f>
        <v>505</v>
      </c>
      <c r="G791" s="7" t="n">
        <f aca="false">IF(((1000)-(c_TMAP3IN))=0,(c_TMAP3OUT)+QUOTIENT(((1000)-(c_TMAP3OUT)),2),QUOTIENT((((A791)-(c_TMAP3IN))*((1000)-(c_TMAP3OUT))+IF(((1000)-(c_TMAP3OUT))&gt;=0,1,-1)*QUOTIENT(((1000)-(c_TMAP3IN)),2)),((1000)-(c_TMAP3IN)))+(c_TMAP3OUT)+IF(((1000)-(c_TMAP3OUT))&gt;=0,IF(IF(o_WRAP=1,MOD(((1000)-(c_TMAP3IN))*(((A791)-(c_TMAP3IN))*((1000)-(c_TMAP3OUT))+IF(((1000)-(c_TMAP3OUT))&gt;=0,1,-1)*QUOTIENT(((1000)-(c_TMAP3IN)),2))+2147483648,4294967296)-2147483648,((1000)-(c_TMAP3IN))*(((A791)-(c_TMAP3IN))*((1000)-(c_TMAP3OUT))+IF(((1000)-(c_TMAP3OUT))&gt;=0,1,-1)*QUOTIENT(((1000)-(c_TMAP3IN)),2)))&lt;0,-1,0),IF(IF(o_WRAP=1,MOD(((1000)-(c_TMAP3IN))*(((A791)-(c_TMAP3IN))*((1000)-(c_TMAP3OUT))+IF(((1000)-(c_TMAP3OUT))&gt;=0,1,-1)*QUOTIENT(((1000)-(c_TMAP3IN)),2))+2147483648,4294967296)-2147483648,((1000)-(c_TMAP3IN))*(((A791)-(c_TMAP3IN))*((1000)-(c_TMAP3OUT))+IF(((1000)-(c_TMAP3OUT))&gt;=0,1,-1)*QUOTIENT(((1000)-(c_TMAP3IN)),2)))&gt;=0,1,0)))</f>
        <v>737</v>
      </c>
      <c r="H791" s="7" t="str">
        <f aca="false">IF(A791&gt;=c_TFWD,IF(AND(A791&gt;=c_TMAP3IN,c_TMAP3IN&lt;1000),"Seg4 map3-100%",IF(AND(A791&gt;=c_TMAP2IN,c_TMAP3IN&gt;c_TMAP2IN),"Seg3 map2-map3",IF(AND(A791&gt;=c_TMAP1IN,c_TMAP2IN&gt;c_TMAP1IN),"Seg2 map1-map2","Seg1 TFWD-map1"))),IF(AND(A791=0,c_TCREEP&gt;0),"Creep",IF(AND(A791&lt;=c_TRNGMIN,A791&gt;=c_TRNGMAX,c_TRNGMIN-c_TRNGMAX&lt;&gt;0),"Regen ramp","Coast (0)")))</f>
        <v>Seg4 map3-100%</v>
      </c>
      <c r="I791" s="7" t="n">
        <f aca="false">IF(A791&gt;=c_TFWD,IF(AND(A791&gt;=c_TMAP3IN,c_TMAP3IN&lt;1000),G791,IF(AND(A791&gt;=c_TMAP2IN,c_TMAP3IN&gt;c_TMAP2IN),F791,IF(AND(A791&gt;=c_TMAP1IN,c_TMAP2IN&gt;c_TMAP1IN),E791,D791))),C791)</f>
        <v>737</v>
      </c>
      <c r="J791" s="7" t="str">
        <f aca="false">IF(I791&lt;-1090,"TOO LOW",IF(I791&gt;1090,"TOO HIGH",""))</f>
        <v/>
      </c>
      <c r="K791" s="15" t="n">
        <f aca="false">IF(J791&lt;&gt;"",0,IF(I791&gt;979,1000,I791))</f>
        <v>737</v>
      </c>
      <c r="L791" s="7" t="n">
        <f aca="false">K791/10</f>
        <v>73.7</v>
      </c>
    </row>
    <row r="792" customFormat="false" ht="15" hidden="false" customHeight="false" outlineLevel="0" collapsed="false">
      <c r="A792" s="7" t="n">
        <v>787</v>
      </c>
      <c r="B792" s="7" t="n">
        <f aca="false">A792/10</f>
        <v>78.7</v>
      </c>
      <c r="C792" s="7" t="n">
        <f aca="false">IF(AND(A792=0,c_TCREEP&gt;0),10*c_TCREEP,IF(AND(A792&lt;=c_TRNGMIN,A792&gt;=c_TRNGMAX,c_TRNGMIN-c_TRNGMAX&lt;&gt;0),-10*c_TMINRN+QUOTIENT((c_TMAXRN-c_TMINRN)*(100-QUOTIENT((A792-c_TRNGMAX)*100,c_TRNGMIN-c_TRNGMAX)),-10),0))</f>
        <v>0</v>
      </c>
      <c r="D792" s="7" t="n">
        <f aca="false">IF(((c_TMAP1IN)-(c_TFWD))=0,(0)+QUOTIENT(((c_TMAP1OUT)-(0)),2),QUOTIENT((((A792)-(c_TFWD))*((c_TMAP1OUT)-(0))+IF(((c_TMAP1OUT)-(0))&gt;=0,1,-1)*QUOTIENT(((c_TMAP1IN)-(c_TFWD)),2)),((c_TMAP1IN)-(c_TFWD)))+(0)+IF(((c_TMAP1OUT)-(0))&gt;=0,IF(IF(o_WRAP=1,MOD(((c_TMAP1IN)-(c_TFWD))*(((A792)-(c_TFWD))*((c_TMAP1OUT)-(0))+IF(((c_TMAP1OUT)-(0))&gt;=0,1,-1)*QUOTIENT(((c_TMAP1IN)-(c_TFWD)),2))+2147483648,4294967296)-2147483648,((c_TMAP1IN)-(c_TFWD))*(((A792)-(c_TFWD))*((c_TMAP1OUT)-(0))+IF(((c_TMAP1OUT)-(0))&gt;=0,1,-1)*QUOTIENT(((c_TMAP1IN)-(c_TFWD)),2)))&lt;0,-1,0),IF(IF(o_WRAP=1,MOD(((c_TMAP1IN)-(c_TFWD))*(((A792)-(c_TFWD))*((c_TMAP1OUT)-(0))+IF(((c_TMAP1OUT)-(0))&gt;=0,1,-1)*QUOTIENT(((c_TMAP1IN)-(c_TFWD)),2))+2147483648,4294967296)-2147483648,((c_TMAP1IN)-(c_TFWD))*(((A792)-(c_TFWD))*((c_TMAP1OUT)-(0))+IF(((c_TMAP1OUT)-(0))&gt;=0,1,-1)*QUOTIENT(((c_TMAP1IN)-(c_TFWD)),2)))&gt;=0,1,0)))</f>
        <v>604</v>
      </c>
      <c r="E792" s="7" t="n">
        <f aca="false">IF(((c_TMAP2IN)-(c_TMAP1IN))=0,(c_TMAP1OUT)+QUOTIENT(((c_TMAP2OUT)-(c_TMAP1OUT)),2),QUOTIENT((((A792)-(c_TMAP1IN))*((c_TMAP2OUT)-(c_TMAP1OUT))+IF(((c_TMAP2OUT)-(c_TMAP1OUT))&gt;=0,1,-1)*QUOTIENT(((c_TMAP2IN)-(c_TMAP1IN)),2)),((c_TMAP2IN)-(c_TMAP1IN)))+(c_TMAP1OUT)+IF(((c_TMAP2OUT)-(c_TMAP1OUT))&gt;=0,IF(IF(o_WRAP=1,MOD(((c_TMAP2IN)-(c_TMAP1IN))*(((A792)-(c_TMAP1IN))*((c_TMAP2OUT)-(c_TMAP1OUT))+IF(((c_TMAP2OUT)-(c_TMAP1OUT))&gt;=0,1,-1)*QUOTIENT(((c_TMAP2IN)-(c_TMAP1IN)),2))+2147483648,4294967296)-2147483648,((c_TMAP2IN)-(c_TMAP1IN))*(((A792)-(c_TMAP1IN))*((c_TMAP2OUT)-(c_TMAP1OUT))+IF(((c_TMAP2OUT)-(c_TMAP1OUT))&gt;=0,1,-1)*QUOTIENT(((c_TMAP2IN)-(c_TMAP1IN)),2)))&lt;0,-1,0),IF(IF(o_WRAP=1,MOD(((c_TMAP2IN)-(c_TMAP1IN))*(((A792)-(c_TMAP1IN))*((c_TMAP2OUT)-(c_TMAP1OUT))+IF(((c_TMAP2OUT)-(c_TMAP1OUT))&gt;=0,1,-1)*QUOTIENT(((c_TMAP2IN)-(c_TMAP1IN)),2))+2147483648,4294967296)-2147483648,((c_TMAP2IN)-(c_TMAP1IN))*(((A792)-(c_TMAP1IN))*((c_TMAP2OUT)-(c_TMAP1OUT))+IF(((c_TMAP2OUT)-(c_TMAP1OUT))&gt;=0,1,-1)*QUOTIENT(((c_TMAP2IN)-(c_TMAP1IN)),2)))&gt;=0,1,0)))</f>
        <v>345</v>
      </c>
      <c r="F792" s="7" t="n">
        <f aca="false">IF(((c_TMAP3IN)-(c_TMAP2IN))=0,(c_TMAP2OUT)+QUOTIENT(((c_TMAP3OUT)-(c_TMAP2OUT)),2),QUOTIENT((((A792)-(c_TMAP2IN))*((c_TMAP3OUT)-(c_TMAP2OUT))+IF(((c_TMAP3OUT)-(c_TMAP2OUT))&gt;=0,1,-1)*QUOTIENT(((c_TMAP3IN)-(c_TMAP2IN)),2)),((c_TMAP3IN)-(c_TMAP2IN)))+(c_TMAP2OUT)+IF(((c_TMAP3OUT)-(c_TMAP2OUT))&gt;=0,IF(IF(o_WRAP=1,MOD(((c_TMAP3IN)-(c_TMAP2IN))*(((A792)-(c_TMAP2IN))*((c_TMAP3OUT)-(c_TMAP2OUT))+IF(((c_TMAP3OUT)-(c_TMAP2OUT))&gt;=0,1,-1)*QUOTIENT(((c_TMAP3IN)-(c_TMAP2IN)),2))+2147483648,4294967296)-2147483648,((c_TMAP3IN)-(c_TMAP2IN))*(((A792)-(c_TMAP2IN))*((c_TMAP3OUT)-(c_TMAP2OUT))+IF(((c_TMAP3OUT)-(c_TMAP2OUT))&gt;=0,1,-1)*QUOTIENT(((c_TMAP3IN)-(c_TMAP2IN)),2)))&lt;0,-1,0),IF(IF(o_WRAP=1,MOD(((c_TMAP3IN)-(c_TMAP2IN))*(((A792)-(c_TMAP2IN))*((c_TMAP3OUT)-(c_TMAP2OUT))+IF(((c_TMAP3OUT)-(c_TMAP2OUT))&gt;=0,1,-1)*QUOTIENT(((c_TMAP3IN)-(c_TMAP2IN)),2))+2147483648,4294967296)-2147483648,((c_TMAP3IN)-(c_TMAP2IN))*(((A792)-(c_TMAP2IN))*((c_TMAP3OUT)-(c_TMAP2OUT))+IF(((c_TMAP3OUT)-(c_TMAP2OUT))&gt;=0,1,-1)*QUOTIENT(((c_TMAP3IN)-(c_TMAP2IN)),2)))&gt;=0,1,0)))</f>
        <v>506</v>
      </c>
      <c r="G792" s="7" t="n">
        <f aca="false">IF(((1000)-(c_TMAP3IN))=0,(c_TMAP3OUT)+QUOTIENT(((1000)-(c_TMAP3OUT)),2),QUOTIENT((((A792)-(c_TMAP3IN))*((1000)-(c_TMAP3OUT))+IF(((1000)-(c_TMAP3OUT))&gt;=0,1,-1)*QUOTIENT(((1000)-(c_TMAP3IN)),2)),((1000)-(c_TMAP3IN)))+(c_TMAP3OUT)+IF(((1000)-(c_TMAP3OUT))&gt;=0,IF(IF(o_WRAP=1,MOD(((1000)-(c_TMAP3IN))*(((A792)-(c_TMAP3IN))*((1000)-(c_TMAP3OUT))+IF(((1000)-(c_TMAP3OUT))&gt;=0,1,-1)*QUOTIENT(((1000)-(c_TMAP3IN)),2))+2147483648,4294967296)-2147483648,((1000)-(c_TMAP3IN))*(((A792)-(c_TMAP3IN))*((1000)-(c_TMAP3OUT))+IF(((1000)-(c_TMAP3OUT))&gt;=0,1,-1)*QUOTIENT(((1000)-(c_TMAP3IN)),2)))&lt;0,-1,0),IF(IF(o_WRAP=1,MOD(((1000)-(c_TMAP3IN))*(((A792)-(c_TMAP3IN))*((1000)-(c_TMAP3OUT))+IF(((1000)-(c_TMAP3OUT))&gt;=0,1,-1)*QUOTIENT(((1000)-(c_TMAP3IN)),2))+2147483648,4294967296)-2147483648,((1000)-(c_TMAP3IN))*(((A792)-(c_TMAP3IN))*((1000)-(c_TMAP3OUT))+IF(((1000)-(c_TMAP3OUT))&gt;=0,1,-1)*QUOTIENT(((1000)-(c_TMAP3IN)),2)))&gt;=0,1,0)))</f>
        <v>738</v>
      </c>
      <c r="H792" s="7" t="str">
        <f aca="false">IF(A792&gt;=c_TFWD,IF(AND(A792&gt;=c_TMAP3IN,c_TMAP3IN&lt;1000),"Seg4 map3-100%",IF(AND(A792&gt;=c_TMAP2IN,c_TMAP3IN&gt;c_TMAP2IN),"Seg3 map2-map3",IF(AND(A792&gt;=c_TMAP1IN,c_TMAP2IN&gt;c_TMAP1IN),"Seg2 map1-map2","Seg1 TFWD-map1"))),IF(AND(A792=0,c_TCREEP&gt;0),"Creep",IF(AND(A792&lt;=c_TRNGMIN,A792&gt;=c_TRNGMAX,c_TRNGMIN-c_TRNGMAX&lt;&gt;0),"Regen ramp","Coast (0)")))</f>
        <v>Seg4 map3-100%</v>
      </c>
      <c r="I792" s="7" t="n">
        <f aca="false">IF(A792&gt;=c_TFWD,IF(AND(A792&gt;=c_TMAP3IN,c_TMAP3IN&lt;1000),G792,IF(AND(A792&gt;=c_TMAP2IN,c_TMAP3IN&gt;c_TMAP2IN),F792,IF(AND(A792&gt;=c_TMAP1IN,c_TMAP2IN&gt;c_TMAP1IN),E792,D792))),C792)</f>
        <v>738</v>
      </c>
      <c r="J792" s="7" t="str">
        <f aca="false">IF(I792&lt;-1090,"TOO LOW",IF(I792&gt;1090,"TOO HIGH",""))</f>
        <v/>
      </c>
      <c r="K792" s="15" t="n">
        <f aca="false">IF(J792&lt;&gt;"",0,IF(I792&gt;979,1000,I792))</f>
        <v>738</v>
      </c>
      <c r="L792" s="7" t="n">
        <f aca="false">K792/10</f>
        <v>73.8</v>
      </c>
    </row>
    <row r="793" customFormat="false" ht="15" hidden="false" customHeight="false" outlineLevel="0" collapsed="false">
      <c r="A793" s="7" t="n">
        <v>788</v>
      </c>
      <c r="B793" s="7" t="n">
        <f aca="false">A793/10</f>
        <v>78.8</v>
      </c>
      <c r="C793" s="7" t="n">
        <f aca="false">IF(AND(A793=0,c_TCREEP&gt;0),10*c_TCREEP,IF(AND(A793&lt;=c_TRNGMIN,A793&gt;=c_TRNGMAX,c_TRNGMIN-c_TRNGMAX&lt;&gt;0),-10*c_TMINRN+QUOTIENT((c_TMAXRN-c_TMINRN)*(100-QUOTIENT((A793-c_TRNGMAX)*100,c_TRNGMIN-c_TRNGMAX)),-10),0))</f>
        <v>0</v>
      </c>
      <c r="D793" s="7" t="n">
        <f aca="false">IF(((c_TMAP1IN)-(c_TFWD))=0,(0)+QUOTIENT(((c_TMAP1OUT)-(0)),2),QUOTIENT((((A793)-(c_TFWD))*((c_TMAP1OUT)-(0))+IF(((c_TMAP1OUT)-(0))&gt;=0,1,-1)*QUOTIENT(((c_TMAP1IN)-(c_TFWD)),2)),((c_TMAP1IN)-(c_TFWD)))+(0)+IF(((c_TMAP1OUT)-(0))&gt;=0,IF(IF(o_WRAP=1,MOD(((c_TMAP1IN)-(c_TFWD))*(((A793)-(c_TFWD))*((c_TMAP1OUT)-(0))+IF(((c_TMAP1OUT)-(0))&gt;=0,1,-1)*QUOTIENT(((c_TMAP1IN)-(c_TFWD)),2))+2147483648,4294967296)-2147483648,((c_TMAP1IN)-(c_TFWD))*(((A793)-(c_TFWD))*((c_TMAP1OUT)-(0))+IF(((c_TMAP1OUT)-(0))&gt;=0,1,-1)*QUOTIENT(((c_TMAP1IN)-(c_TFWD)),2)))&lt;0,-1,0),IF(IF(o_WRAP=1,MOD(((c_TMAP1IN)-(c_TFWD))*(((A793)-(c_TFWD))*((c_TMAP1OUT)-(0))+IF(((c_TMAP1OUT)-(0))&gt;=0,1,-1)*QUOTIENT(((c_TMAP1IN)-(c_TFWD)),2))+2147483648,4294967296)-2147483648,((c_TMAP1IN)-(c_TFWD))*(((A793)-(c_TFWD))*((c_TMAP1OUT)-(0))+IF(((c_TMAP1OUT)-(0))&gt;=0,1,-1)*QUOTIENT(((c_TMAP1IN)-(c_TFWD)),2)))&gt;=0,1,0)))</f>
        <v>605</v>
      </c>
      <c r="E793" s="7" t="n">
        <f aca="false">IF(((c_TMAP2IN)-(c_TMAP1IN))=0,(c_TMAP1OUT)+QUOTIENT(((c_TMAP2OUT)-(c_TMAP1OUT)),2),QUOTIENT((((A793)-(c_TMAP1IN))*((c_TMAP2OUT)-(c_TMAP1OUT))+IF(((c_TMAP2OUT)-(c_TMAP1OUT))&gt;=0,1,-1)*QUOTIENT(((c_TMAP2IN)-(c_TMAP1IN)),2)),((c_TMAP2IN)-(c_TMAP1IN)))+(c_TMAP1OUT)+IF(((c_TMAP2OUT)-(c_TMAP1OUT))&gt;=0,IF(IF(o_WRAP=1,MOD(((c_TMAP2IN)-(c_TMAP1IN))*(((A793)-(c_TMAP1IN))*((c_TMAP2OUT)-(c_TMAP1OUT))+IF(((c_TMAP2OUT)-(c_TMAP1OUT))&gt;=0,1,-1)*QUOTIENT(((c_TMAP2IN)-(c_TMAP1IN)),2))+2147483648,4294967296)-2147483648,((c_TMAP2IN)-(c_TMAP1IN))*(((A793)-(c_TMAP1IN))*((c_TMAP2OUT)-(c_TMAP1OUT))+IF(((c_TMAP2OUT)-(c_TMAP1OUT))&gt;=0,1,-1)*QUOTIENT(((c_TMAP2IN)-(c_TMAP1IN)),2)))&lt;0,-1,0),IF(IF(o_WRAP=1,MOD(((c_TMAP2IN)-(c_TMAP1IN))*(((A793)-(c_TMAP1IN))*((c_TMAP2OUT)-(c_TMAP1OUT))+IF(((c_TMAP2OUT)-(c_TMAP1OUT))&gt;=0,1,-1)*QUOTIENT(((c_TMAP2IN)-(c_TMAP1IN)),2))+2147483648,4294967296)-2147483648,((c_TMAP2IN)-(c_TMAP1IN))*(((A793)-(c_TMAP1IN))*((c_TMAP2OUT)-(c_TMAP1OUT))+IF(((c_TMAP2OUT)-(c_TMAP1OUT))&gt;=0,1,-1)*QUOTIENT(((c_TMAP2IN)-(c_TMAP1IN)),2)))&gt;=0,1,0)))</f>
        <v>345</v>
      </c>
      <c r="F793" s="7" t="n">
        <f aca="false">IF(((c_TMAP3IN)-(c_TMAP2IN))=0,(c_TMAP2OUT)+QUOTIENT(((c_TMAP3OUT)-(c_TMAP2OUT)),2),QUOTIENT((((A793)-(c_TMAP2IN))*((c_TMAP3OUT)-(c_TMAP2OUT))+IF(((c_TMAP3OUT)-(c_TMAP2OUT))&gt;=0,1,-1)*QUOTIENT(((c_TMAP3IN)-(c_TMAP2IN)),2)),((c_TMAP3IN)-(c_TMAP2IN)))+(c_TMAP2OUT)+IF(((c_TMAP3OUT)-(c_TMAP2OUT))&gt;=0,IF(IF(o_WRAP=1,MOD(((c_TMAP3IN)-(c_TMAP2IN))*(((A793)-(c_TMAP2IN))*((c_TMAP3OUT)-(c_TMAP2OUT))+IF(((c_TMAP3OUT)-(c_TMAP2OUT))&gt;=0,1,-1)*QUOTIENT(((c_TMAP3IN)-(c_TMAP2IN)),2))+2147483648,4294967296)-2147483648,((c_TMAP3IN)-(c_TMAP2IN))*(((A793)-(c_TMAP2IN))*((c_TMAP3OUT)-(c_TMAP2OUT))+IF(((c_TMAP3OUT)-(c_TMAP2OUT))&gt;=0,1,-1)*QUOTIENT(((c_TMAP3IN)-(c_TMAP2IN)),2)))&lt;0,-1,0),IF(IF(o_WRAP=1,MOD(((c_TMAP3IN)-(c_TMAP2IN))*(((A793)-(c_TMAP2IN))*((c_TMAP3OUT)-(c_TMAP2OUT))+IF(((c_TMAP3OUT)-(c_TMAP2OUT))&gt;=0,1,-1)*QUOTIENT(((c_TMAP3IN)-(c_TMAP2IN)),2))+2147483648,4294967296)-2147483648,((c_TMAP3IN)-(c_TMAP2IN))*(((A793)-(c_TMAP2IN))*((c_TMAP3OUT)-(c_TMAP2OUT))+IF(((c_TMAP3OUT)-(c_TMAP2OUT))&gt;=0,1,-1)*QUOTIENT(((c_TMAP3IN)-(c_TMAP2IN)),2)))&gt;=0,1,0)))</f>
        <v>507</v>
      </c>
      <c r="G793" s="7" t="n">
        <f aca="false">IF(((1000)-(c_TMAP3IN))=0,(c_TMAP3OUT)+QUOTIENT(((1000)-(c_TMAP3OUT)),2),QUOTIENT((((A793)-(c_TMAP3IN))*((1000)-(c_TMAP3OUT))+IF(((1000)-(c_TMAP3OUT))&gt;=0,1,-1)*QUOTIENT(((1000)-(c_TMAP3IN)),2)),((1000)-(c_TMAP3IN)))+(c_TMAP3OUT)+IF(((1000)-(c_TMAP3OUT))&gt;=0,IF(IF(o_WRAP=1,MOD(((1000)-(c_TMAP3IN))*(((A793)-(c_TMAP3IN))*((1000)-(c_TMAP3OUT))+IF(((1000)-(c_TMAP3OUT))&gt;=0,1,-1)*QUOTIENT(((1000)-(c_TMAP3IN)),2))+2147483648,4294967296)-2147483648,((1000)-(c_TMAP3IN))*(((A793)-(c_TMAP3IN))*((1000)-(c_TMAP3OUT))+IF(((1000)-(c_TMAP3OUT))&gt;=0,1,-1)*QUOTIENT(((1000)-(c_TMAP3IN)),2)))&lt;0,-1,0),IF(IF(o_WRAP=1,MOD(((1000)-(c_TMAP3IN))*(((A793)-(c_TMAP3IN))*((1000)-(c_TMAP3OUT))+IF(((1000)-(c_TMAP3OUT))&gt;=0,1,-1)*QUOTIENT(((1000)-(c_TMAP3IN)),2))+2147483648,4294967296)-2147483648,((1000)-(c_TMAP3IN))*(((A793)-(c_TMAP3IN))*((1000)-(c_TMAP3OUT))+IF(((1000)-(c_TMAP3OUT))&gt;=0,1,-1)*QUOTIENT(((1000)-(c_TMAP3IN)),2)))&gt;=0,1,0)))</f>
        <v>739</v>
      </c>
      <c r="H793" s="7" t="str">
        <f aca="false">IF(A793&gt;=c_TFWD,IF(AND(A793&gt;=c_TMAP3IN,c_TMAP3IN&lt;1000),"Seg4 map3-100%",IF(AND(A793&gt;=c_TMAP2IN,c_TMAP3IN&gt;c_TMAP2IN),"Seg3 map2-map3",IF(AND(A793&gt;=c_TMAP1IN,c_TMAP2IN&gt;c_TMAP1IN),"Seg2 map1-map2","Seg1 TFWD-map1"))),IF(AND(A793=0,c_TCREEP&gt;0),"Creep",IF(AND(A793&lt;=c_TRNGMIN,A793&gt;=c_TRNGMAX,c_TRNGMIN-c_TRNGMAX&lt;&gt;0),"Regen ramp","Coast (0)")))</f>
        <v>Seg4 map3-100%</v>
      </c>
      <c r="I793" s="7" t="n">
        <f aca="false">IF(A793&gt;=c_TFWD,IF(AND(A793&gt;=c_TMAP3IN,c_TMAP3IN&lt;1000),G793,IF(AND(A793&gt;=c_TMAP2IN,c_TMAP3IN&gt;c_TMAP2IN),F793,IF(AND(A793&gt;=c_TMAP1IN,c_TMAP2IN&gt;c_TMAP1IN),E793,D793))),C793)</f>
        <v>739</v>
      </c>
      <c r="J793" s="7" t="str">
        <f aca="false">IF(I793&lt;-1090,"TOO LOW",IF(I793&gt;1090,"TOO HIGH",""))</f>
        <v/>
      </c>
      <c r="K793" s="15" t="n">
        <f aca="false">IF(J793&lt;&gt;"",0,IF(I793&gt;979,1000,I793))</f>
        <v>739</v>
      </c>
      <c r="L793" s="7" t="n">
        <f aca="false">K793/10</f>
        <v>73.9</v>
      </c>
    </row>
    <row r="794" customFormat="false" ht="15" hidden="false" customHeight="false" outlineLevel="0" collapsed="false">
      <c r="A794" s="7" t="n">
        <v>789</v>
      </c>
      <c r="B794" s="7" t="n">
        <f aca="false">A794/10</f>
        <v>78.9</v>
      </c>
      <c r="C794" s="7" t="n">
        <f aca="false">IF(AND(A794=0,c_TCREEP&gt;0),10*c_TCREEP,IF(AND(A794&lt;=c_TRNGMIN,A794&gt;=c_TRNGMAX,c_TRNGMIN-c_TRNGMAX&lt;&gt;0),-10*c_TMINRN+QUOTIENT((c_TMAXRN-c_TMINRN)*(100-QUOTIENT((A794-c_TRNGMAX)*100,c_TRNGMIN-c_TRNGMAX)),-10),0))</f>
        <v>0</v>
      </c>
      <c r="D794" s="7" t="n">
        <f aca="false">IF(((c_TMAP1IN)-(c_TFWD))=0,(0)+QUOTIENT(((c_TMAP1OUT)-(0)),2),QUOTIENT((((A794)-(c_TFWD))*((c_TMAP1OUT)-(0))+IF(((c_TMAP1OUT)-(0))&gt;=0,1,-1)*QUOTIENT(((c_TMAP1IN)-(c_TFWD)),2)),((c_TMAP1IN)-(c_TFWD)))+(0)+IF(((c_TMAP1OUT)-(0))&gt;=0,IF(IF(o_WRAP=1,MOD(((c_TMAP1IN)-(c_TFWD))*(((A794)-(c_TFWD))*((c_TMAP1OUT)-(0))+IF(((c_TMAP1OUT)-(0))&gt;=0,1,-1)*QUOTIENT(((c_TMAP1IN)-(c_TFWD)),2))+2147483648,4294967296)-2147483648,((c_TMAP1IN)-(c_TFWD))*(((A794)-(c_TFWD))*((c_TMAP1OUT)-(0))+IF(((c_TMAP1OUT)-(0))&gt;=0,1,-1)*QUOTIENT(((c_TMAP1IN)-(c_TFWD)),2)))&lt;0,-1,0),IF(IF(o_WRAP=1,MOD(((c_TMAP1IN)-(c_TFWD))*(((A794)-(c_TFWD))*((c_TMAP1OUT)-(0))+IF(((c_TMAP1OUT)-(0))&gt;=0,1,-1)*QUOTIENT(((c_TMAP1IN)-(c_TFWD)),2))+2147483648,4294967296)-2147483648,((c_TMAP1IN)-(c_TFWD))*(((A794)-(c_TFWD))*((c_TMAP1OUT)-(0))+IF(((c_TMAP1OUT)-(0))&gt;=0,1,-1)*QUOTIENT(((c_TMAP1IN)-(c_TFWD)),2)))&gt;=0,1,0)))</f>
        <v>606</v>
      </c>
      <c r="E794" s="7" t="n">
        <f aca="false">IF(((c_TMAP2IN)-(c_TMAP1IN))=0,(c_TMAP1OUT)+QUOTIENT(((c_TMAP2OUT)-(c_TMAP1OUT)),2),QUOTIENT((((A794)-(c_TMAP1IN))*((c_TMAP2OUT)-(c_TMAP1OUT))+IF(((c_TMAP2OUT)-(c_TMAP1OUT))&gt;=0,1,-1)*QUOTIENT(((c_TMAP2IN)-(c_TMAP1IN)),2)),((c_TMAP2IN)-(c_TMAP1IN)))+(c_TMAP1OUT)+IF(((c_TMAP2OUT)-(c_TMAP1OUT))&gt;=0,IF(IF(o_WRAP=1,MOD(((c_TMAP2IN)-(c_TMAP1IN))*(((A794)-(c_TMAP1IN))*((c_TMAP2OUT)-(c_TMAP1OUT))+IF(((c_TMAP2OUT)-(c_TMAP1OUT))&gt;=0,1,-1)*QUOTIENT(((c_TMAP2IN)-(c_TMAP1IN)),2))+2147483648,4294967296)-2147483648,((c_TMAP2IN)-(c_TMAP1IN))*(((A794)-(c_TMAP1IN))*((c_TMAP2OUT)-(c_TMAP1OUT))+IF(((c_TMAP2OUT)-(c_TMAP1OUT))&gt;=0,1,-1)*QUOTIENT(((c_TMAP2IN)-(c_TMAP1IN)),2)))&lt;0,-1,0),IF(IF(o_WRAP=1,MOD(((c_TMAP2IN)-(c_TMAP1IN))*(((A794)-(c_TMAP1IN))*((c_TMAP2OUT)-(c_TMAP1OUT))+IF(((c_TMAP2OUT)-(c_TMAP1OUT))&gt;=0,1,-1)*QUOTIENT(((c_TMAP2IN)-(c_TMAP1IN)),2))+2147483648,4294967296)-2147483648,((c_TMAP2IN)-(c_TMAP1IN))*(((A794)-(c_TMAP1IN))*((c_TMAP2OUT)-(c_TMAP1OUT))+IF(((c_TMAP2OUT)-(c_TMAP1OUT))&gt;=0,1,-1)*QUOTIENT(((c_TMAP2IN)-(c_TMAP1IN)),2)))&gt;=0,1,0)))</f>
        <v>346</v>
      </c>
      <c r="F794" s="7" t="n">
        <f aca="false">IF(((c_TMAP3IN)-(c_TMAP2IN))=0,(c_TMAP2OUT)+QUOTIENT(((c_TMAP3OUT)-(c_TMAP2OUT)),2),QUOTIENT((((A794)-(c_TMAP2IN))*((c_TMAP3OUT)-(c_TMAP2OUT))+IF(((c_TMAP3OUT)-(c_TMAP2OUT))&gt;=0,1,-1)*QUOTIENT(((c_TMAP3IN)-(c_TMAP2IN)),2)),((c_TMAP3IN)-(c_TMAP2IN)))+(c_TMAP2OUT)+IF(((c_TMAP3OUT)-(c_TMAP2OUT))&gt;=0,IF(IF(o_WRAP=1,MOD(((c_TMAP3IN)-(c_TMAP2IN))*(((A794)-(c_TMAP2IN))*((c_TMAP3OUT)-(c_TMAP2OUT))+IF(((c_TMAP3OUT)-(c_TMAP2OUT))&gt;=0,1,-1)*QUOTIENT(((c_TMAP3IN)-(c_TMAP2IN)),2))+2147483648,4294967296)-2147483648,((c_TMAP3IN)-(c_TMAP2IN))*(((A794)-(c_TMAP2IN))*((c_TMAP3OUT)-(c_TMAP2OUT))+IF(((c_TMAP3OUT)-(c_TMAP2OUT))&gt;=0,1,-1)*QUOTIENT(((c_TMAP3IN)-(c_TMAP2IN)),2)))&lt;0,-1,0),IF(IF(o_WRAP=1,MOD(((c_TMAP3IN)-(c_TMAP2IN))*(((A794)-(c_TMAP2IN))*((c_TMAP3OUT)-(c_TMAP2OUT))+IF(((c_TMAP3OUT)-(c_TMAP2OUT))&gt;=0,1,-1)*QUOTIENT(((c_TMAP3IN)-(c_TMAP2IN)),2))+2147483648,4294967296)-2147483648,((c_TMAP3IN)-(c_TMAP2IN))*(((A794)-(c_TMAP2IN))*((c_TMAP3OUT)-(c_TMAP2OUT))+IF(((c_TMAP3OUT)-(c_TMAP2OUT))&gt;=0,1,-1)*QUOTIENT(((c_TMAP3IN)-(c_TMAP2IN)),2)))&gt;=0,1,0)))</f>
        <v>507</v>
      </c>
      <c r="G794" s="7" t="n">
        <f aca="false">IF(((1000)-(c_TMAP3IN))=0,(c_TMAP3OUT)+QUOTIENT(((1000)-(c_TMAP3OUT)),2),QUOTIENT((((A794)-(c_TMAP3IN))*((1000)-(c_TMAP3OUT))+IF(((1000)-(c_TMAP3OUT))&gt;=0,1,-1)*QUOTIENT(((1000)-(c_TMAP3IN)),2)),((1000)-(c_TMAP3IN)))+(c_TMAP3OUT)+IF(((1000)-(c_TMAP3OUT))&gt;=0,IF(IF(o_WRAP=1,MOD(((1000)-(c_TMAP3IN))*(((A794)-(c_TMAP3IN))*((1000)-(c_TMAP3OUT))+IF(((1000)-(c_TMAP3OUT))&gt;=0,1,-1)*QUOTIENT(((1000)-(c_TMAP3IN)),2))+2147483648,4294967296)-2147483648,((1000)-(c_TMAP3IN))*(((A794)-(c_TMAP3IN))*((1000)-(c_TMAP3OUT))+IF(((1000)-(c_TMAP3OUT))&gt;=0,1,-1)*QUOTIENT(((1000)-(c_TMAP3IN)),2)))&lt;0,-1,0),IF(IF(o_WRAP=1,MOD(((1000)-(c_TMAP3IN))*(((A794)-(c_TMAP3IN))*((1000)-(c_TMAP3OUT))+IF(((1000)-(c_TMAP3OUT))&gt;=0,1,-1)*QUOTIENT(((1000)-(c_TMAP3IN)),2))+2147483648,4294967296)-2147483648,((1000)-(c_TMAP3IN))*(((A794)-(c_TMAP3IN))*((1000)-(c_TMAP3OUT))+IF(((1000)-(c_TMAP3OUT))&gt;=0,1,-1)*QUOTIENT(((1000)-(c_TMAP3IN)),2)))&gt;=0,1,0)))</f>
        <v>740</v>
      </c>
      <c r="H794" s="7" t="str">
        <f aca="false">IF(A794&gt;=c_TFWD,IF(AND(A794&gt;=c_TMAP3IN,c_TMAP3IN&lt;1000),"Seg4 map3-100%",IF(AND(A794&gt;=c_TMAP2IN,c_TMAP3IN&gt;c_TMAP2IN),"Seg3 map2-map3",IF(AND(A794&gt;=c_TMAP1IN,c_TMAP2IN&gt;c_TMAP1IN),"Seg2 map1-map2","Seg1 TFWD-map1"))),IF(AND(A794=0,c_TCREEP&gt;0),"Creep",IF(AND(A794&lt;=c_TRNGMIN,A794&gt;=c_TRNGMAX,c_TRNGMIN-c_TRNGMAX&lt;&gt;0),"Regen ramp","Coast (0)")))</f>
        <v>Seg4 map3-100%</v>
      </c>
      <c r="I794" s="7" t="n">
        <f aca="false">IF(A794&gt;=c_TFWD,IF(AND(A794&gt;=c_TMAP3IN,c_TMAP3IN&lt;1000),G794,IF(AND(A794&gt;=c_TMAP2IN,c_TMAP3IN&gt;c_TMAP2IN),F794,IF(AND(A794&gt;=c_TMAP1IN,c_TMAP2IN&gt;c_TMAP1IN),E794,D794))),C794)</f>
        <v>740</v>
      </c>
      <c r="J794" s="7" t="str">
        <f aca="false">IF(I794&lt;-1090,"TOO LOW",IF(I794&gt;1090,"TOO HIGH",""))</f>
        <v/>
      </c>
      <c r="K794" s="15" t="n">
        <f aca="false">IF(J794&lt;&gt;"",0,IF(I794&gt;979,1000,I794))</f>
        <v>740</v>
      </c>
      <c r="L794" s="7" t="n">
        <f aca="false">K794/10</f>
        <v>74</v>
      </c>
    </row>
    <row r="795" customFormat="false" ht="15" hidden="false" customHeight="false" outlineLevel="0" collapsed="false">
      <c r="A795" s="7" t="n">
        <v>790</v>
      </c>
      <c r="B795" s="7" t="n">
        <f aca="false">A795/10</f>
        <v>79</v>
      </c>
      <c r="C795" s="7" t="n">
        <f aca="false">IF(AND(A795=0,c_TCREEP&gt;0),10*c_TCREEP,IF(AND(A795&lt;=c_TRNGMIN,A795&gt;=c_TRNGMAX,c_TRNGMIN-c_TRNGMAX&lt;&gt;0),-10*c_TMINRN+QUOTIENT((c_TMAXRN-c_TMINRN)*(100-QUOTIENT((A795-c_TRNGMAX)*100,c_TRNGMIN-c_TRNGMAX)),-10),0))</f>
        <v>0</v>
      </c>
      <c r="D795" s="7" t="n">
        <f aca="false">IF(((c_TMAP1IN)-(c_TFWD))=0,(0)+QUOTIENT(((c_TMAP1OUT)-(0)),2),QUOTIENT((((A795)-(c_TFWD))*((c_TMAP1OUT)-(0))+IF(((c_TMAP1OUT)-(0))&gt;=0,1,-1)*QUOTIENT(((c_TMAP1IN)-(c_TFWD)),2)),((c_TMAP1IN)-(c_TFWD)))+(0)+IF(((c_TMAP1OUT)-(0))&gt;=0,IF(IF(o_WRAP=1,MOD(((c_TMAP1IN)-(c_TFWD))*(((A795)-(c_TFWD))*((c_TMAP1OUT)-(0))+IF(((c_TMAP1OUT)-(0))&gt;=0,1,-1)*QUOTIENT(((c_TMAP1IN)-(c_TFWD)),2))+2147483648,4294967296)-2147483648,((c_TMAP1IN)-(c_TFWD))*(((A795)-(c_TFWD))*((c_TMAP1OUT)-(0))+IF(((c_TMAP1OUT)-(0))&gt;=0,1,-1)*QUOTIENT(((c_TMAP1IN)-(c_TFWD)),2)))&lt;0,-1,0),IF(IF(o_WRAP=1,MOD(((c_TMAP1IN)-(c_TFWD))*(((A795)-(c_TFWD))*((c_TMAP1OUT)-(0))+IF(((c_TMAP1OUT)-(0))&gt;=0,1,-1)*QUOTIENT(((c_TMAP1IN)-(c_TFWD)),2))+2147483648,4294967296)-2147483648,((c_TMAP1IN)-(c_TFWD))*(((A795)-(c_TFWD))*((c_TMAP1OUT)-(0))+IF(((c_TMAP1OUT)-(0))&gt;=0,1,-1)*QUOTIENT(((c_TMAP1IN)-(c_TFWD)),2)))&gt;=0,1,0)))</f>
        <v>607</v>
      </c>
      <c r="E795" s="7" t="n">
        <f aca="false">IF(((c_TMAP2IN)-(c_TMAP1IN))=0,(c_TMAP1OUT)+QUOTIENT(((c_TMAP2OUT)-(c_TMAP1OUT)),2),QUOTIENT((((A795)-(c_TMAP1IN))*((c_TMAP2OUT)-(c_TMAP1OUT))+IF(((c_TMAP2OUT)-(c_TMAP1OUT))&gt;=0,1,-1)*QUOTIENT(((c_TMAP2IN)-(c_TMAP1IN)),2)),((c_TMAP2IN)-(c_TMAP1IN)))+(c_TMAP1OUT)+IF(((c_TMAP2OUT)-(c_TMAP1OUT))&gt;=0,IF(IF(o_WRAP=1,MOD(((c_TMAP2IN)-(c_TMAP1IN))*(((A795)-(c_TMAP1IN))*((c_TMAP2OUT)-(c_TMAP1OUT))+IF(((c_TMAP2OUT)-(c_TMAP1OUT))&gt;=0,1,-1)*QUOTIENT(((c_TMAP2IN)-(c_TMAP1IN)),2))+2147483648,4294967296)-2147483648,((c_TMAP2IN)-(c_TMAP1IN))*(((A795)-(c_TMAP1IN))*((c_TMAP2OUT)-(c_TMAP1OUT))+IF(((c_TMAP2OUT)-(c_TMAP1OUT))&gt;=0,1,-1)*QUOTIENT(((c_TMAP2IN)-(c_TMAP1IN)),2)))&lt;0,-1,0),IF(IF(o_WRAP=1,MOD(((c_TMAP2IN)-(c_TMAP1IN))*(((A795)-(c_TMAP1IN))*((c_TMAP2OUT)-(c_TMAP1OUT))+IF(((c_TMAP2OUT)-(c_TMAP1OUT))&gt;=0,1,-1)*QUOTIENT(((c_TMAP2IN)-(c_TMAP1IN)),2))+2147483648,4294967296)-2147483648,((c_TMAP2IN)-(c_TMAP1IN))*(((A795)-(c_TMAP1IN))*((c_TMAP2OUT)-(c_TMAP1OUT))+IF(((c_TMAP2OUT)-(c_TMAP1OUT))&gt;=0,1,-1)*QUOTIENT(((c_TMAP2IN)-(c_TMAP1IN)),2)))&gt;=0,1,0)))</f>
        <v>346</v>
      </c>
      <c r="F795" s="7" t="n">
        <f aca="false">IF(((c_TMAP3IN)-(c_TMAP2IN))=0,(c_TMAP2OUT)+QUOTIENT(((c_TMAP3OUT)-(c_TMAP2OUT)),2),QUOTIENT((((A795)-(c_TMAP2IN))*((c_TMAP3OUT)-(c_TMAP2OUT))+IF(((c_TMAP3OUT)-(c_TMAP2OUT))&gt;=0,1,-1)*QUOTIENT(((c_TMAP3IN)-(c_TMAP2IN)),2)),((c_TMAP3IN)-(c_TMAP2IN)))+(c_TMAP2OUT)+IF(((c_TMAP3OUT)-(c_TMAP2OUT))&gt;=0,IF(IF(o_WRAP=1,MOD(((c_TMAP3IN)-(c_TMAP2IN))*(((A795)-(c_TMAP2IN))*((c_TMAP3OUT)-(c_TMAP2OUT))+IF(((c_TMAP3OUT)-(c_TMAP2OUT))&gt;=0,1,-1)*QUOTIENT(((c_TMAP3IN)-(c_TMAP2IN)),2))+2147483648,4294967296)-2147483648,((c_TMAP3IN)-(c_TMAP2IN))*(((A795)-(c_TMAP2IN))*((c_TMAP3OUT)-(c_TMAP2OUT))+IF(((c_TMAP3OUT)-(c_TMAP2OUT))&gt;=0,1,-1)*QUOTIENT(((c_TMAP3IN)-(c_TMAP2IN)),2)))&lt;0,-1,0),IF(IF(o_WRAP=1,MOD(((c_TMAP3IN)-(c_TMAP2IN))*(((A795)-(c_TMAP2IN))*((c_TMAP3OUT)-(c_TMAP2OUT))+IF(((c_TMAP3OUT)-(c_TMAP2OUT))&gt;=0,1,-1)*QUOTIENT(((c_TMAP3IN)-(c_TMAP2IN)),2))+2147483648,4294967296)-2147483648,((c_TMAP3IN)-(c_TMAP2IN))*(((A795)-(c_TMAP2IN))*((c_TMAP3OUT)-(c_TMAP2OUT))+IF(((c_TMAP3OUT)-(c_TMAP2OUT))&gt;=0,1,-1)*QUOTIENT(((c_TMAP3IN)-(c_TMAP2IN)),2)))&gt;=0,1,0)))</f>
        <v>508</v>
      </c>
      <c r="G795" s="7" t="n">
        <f aca="false">IF(((1000)-(c_TMAP3IN))=0,(c_TMAP3OUT)+QUOTIENT(((1000)-(c_TMAP3OUT)),2),QUOTIENT((((A795)-(c_TMAP3IN))*((1000)-(c_TMAP3OUT))+IF(((1000)-(c_TMAP3OUT))&gt;=0,1,-1)*QUOTIENT(((1000)-(c_TMAP3IN)),2)),((1000)-(c_TMAP3IN)))+(c_TMAP3OUT)+IF(((1000)-(c_TMAP3OUT))&gt;=0,IF(IF(o_WRAP=1,MOD(((1000)-(c_TMAP3IN))*(((A795)-(c_TMAP3IN))*((1000)-(c_TMAP3OUT))+IF(((1000)-(c_TMAP3OUT))&gt;=0,1,-1)*QUOTIENT(((1000)-(c_TMAP3IN)),2))+2147483648,4294967296)-2147483648,((1000)-(c_TMAP3IN))*(((A795)-(c_TMAP3IN))*((1000)-(c_TMAP3OUT))+IF(((1000)-(c_TMAP3OUT))&gt;=0,1,-1)*QUOTIENT(((1000)-(c_TMAP3IN)),2)))&lt;0,-1,0),IF(IF(o_WRAP=1,MOD(((1000)-(c_TMAP3IN))*(((A795)-(c_TMAP3IN))*((1000)-(c_TMAP3OUT))+IF(((1000)-(c_TMAP3OUT))&gt;=0,1,-1)*QUOTIENT(((1000)-(c_TMAP3IN)),2))+2147483648,4294967296)-2147483648,((1000)-(c_TMAP3IN))*(((A795)-(c_TMAP3IN))*((1000)-(c_TMAP3OUT))+IF(((1000)-(c_TMAP3OUT))&gt;=0,1,-1)*QUOTIENT(((1000)-(c_TMAP3IN)),2)))&gt;=0,1,0)))</f>
        <v>742</v>
      </c>
      <c r="H795" s="7" t="str">
        <f aca="false">IF(A795&gt;=c_TFWD,IF(AND(A795&gt;=c_TMAP3IN,c_TMAP3IN&lt;1000),"Seg4 map3-100%",IF(AND(A795&gt;=c_TMAP2IN,c_TMAP3IN&gt;c_TMAP2IN),"Seg3 map2-map3",IF(AND(A795&gt;=c_TMAP1IN,c_TMAP2IN&gt;c_TMAP1IN),"Seg2 map1-map2","Seg1 TFWD-map1"))),IF(AND(A795=0,c_TCREEP&gt;0),"Creep",IF(AND(A795&lt;=c_TRNGMIN,A795&gt;=c_TRNGMAX,c_TRNGMIN-c_TRNGMAX&lt;&gt;0),"Regen ramp","Coast (0)")))</f>
        <v>Seg4 map3-100%</v>
      </c>
      <c r="I795" s="7" t="n">
        <f aca="false">IF(A795&gt;=c_TFWD,IF(AND(A795&gt;=c_TMAP3IN,c_TMAP3IN&lt;1000),G795,IF(AND(A795&gt;=c_TMAP2IN,c_TMAP3IN&gt;c_TMAP2IN),F795,IF(AND(A795&gt;=c_TMAP1IN,c_TMAP2IN&gt;c_TMAP1IN),E795,D795))),C795)</f>
        <v>742</v>
      </c>
      <c r="J795" s="7" t="str">
        <f aca="false">IF(I795&lt;-1090,"TOO LOW",IF(I795&gt;1090,"TOO HIGH",""))</f>
        <v/>
      </c>
      <c r="K795" s="15" t="n">
        <f aca="false">IF(J795&lt;&gt;"",0,IF(I795&gt;979,1000,I795))</f>
        <v>742</v>
      </c>
      <c r="L795" s="7" t="n">
        <f aca="false">K795/10</f>
        <v>74.2</v>
      </c>
    </row>
    <row r="796" customFormat="false" ht="15" hidden="false" customHeight="false" outlineLevel="0" collapsed="false">
      <c r="A796" s="7" t="n">
        <v>791</v>
      </c>
      <c r="B796" s="7" t="n">
        <f aca="false">A796/10</f>
        <v>79.1</v>
      </c>
      <c r="C796" s="7" t="n">
        <f aca="false">IF(AND(A796=0,c_TCREEP&gt;0),10*c_TCREEP,IF(AND(A796&lt;=c_TRNGMIN,A796&gt;=c_TRNGMAX,c_TRNGMIN-c_TRNGMAX&lt;&gt;0),-10*c_TMINRN+QUOTIENT((c_TMAXRN-c_TMINRN)*(100-QUOTIENT((A796-c_TRNGMAX)*100,c_TRNGMIN-c_TRNGMAX)),-10),0))</f>
        <v>0</v>
      </c>
      <c r="D796" s="7" t="n">
        <f aca="false">IF(((c_TMAP1IN)-(c_TFWD))=0,(0)+QUOTIENT(((c_TMAP1OUT)-(0)),2),QUOTIENT((((A796)-(c_TFWD))*((c_TMAP1OUT)-(0))+IF(((c_TMAP1OUT)-(0))&gt;=0,1,-1)*QUOTIENT(((c_TMAP1IN)-(c_TFWD)),2)),((c_TMAP1IN)-(c_TFWD)))+(0)+IF(((c_TMAP1OUT)-(0))&gt;=0,IF(IF(o_WRAP=1,MOD(((c_TMAP1IN)-(c_TFWD))*(((A796)-(c_TFWD))*((c_TMAP1OUT)-(0))+IF(((c_TMAP1OUT)-(0))&gt;=0,1,-1)*QUOTIENT(((c_TMAP1IN)-(c_TFWD)),2))+2147483648,4294967296)-2147483648,((c_TMAP1IN)-(c_TFWD))*(((A796)-(c_TFWD))*((c_TMAP1OUT)-(0))+IF(((c_TMAP1OUT)-(0))&gt;=0,1,-1)*QUOTIENT(((c_TMAP1IN)-(c_TFWD)),2)))&lt;0,-1,0),IF(IF(o_WRAP=1,MOD(((c_TMAP1IN)-(c_TFWD))*(((A796)-(c_TFWD))*((c_TMAP1OUT)-(0))+IF(((c_TMAP1OUT)-(0))&gt;=0,1,-1)*QUOTIENT(((c_TMAP1IN)-(c_TFWD)),2))+2147483648,4294967296)-2147483648,((c_TMAP1IN)-(c_TFWD))*(((A796)-(c_TFWD))*((c_TMAP1OUT)-(0))+IF(((c_TMAP1OUT)-(0))&gt;=0,1,-1)*QUOTIENT(((c_TMAP1IN)-(c_TFWD)),2)))&gt;=0,1,0)))</f>
        <v>607</v>
      </c>
      <c r="E796" s="7" t="n">
        <f aca="false">IF(((c_TMAP2IN)-(c_TMAP1IN))=0,(c_TMAP1OUT)+QUOTIENT(((c_TMAP2OUT)-(c_TMAP1OUT)),2),QUOTIENT((((A796)-(c_TMAP1IN))*((c_TMAP2OUT)-(c_TMAP1OUT))+IF(((c_TMAP2OUT)-(c_TMAP1OUT))&gt;=0,1,-1)*QUOTIENT(((c_TMAP2IN)-(c_TMAP1IN)),2)),((c_TMAP2IN)-(c_TMAP1IN)))+(c_TMAP1OUT)+IF(((c_TMAP2OUT)-(c_TMAP1OUT))&gt;=0,IF(IF(o_WRAP=1,MOD(((c_TMAP2IN)-(c_TMAP1IN))*(((A796)-(c_TMAP1IN))*((c_TMAP2OUT)-(c_TMAP1OUT))+IF(((c_TMAP2OUT)-(c_TMAP1OUT))&gt;=0,1,-1)*QUOTIENT(((c_TMAP2IN)-(c_TMAP1IN)),2))+2147483648,4294967296)-2147483648,((c_TMAP2IN)-(c_TMAP1IN))*(((A796)-(c_TMAP1IN))*((c_TMAP2OUT)-(c_TMAP1OUT))+IF(((c_TMAP2OUT)-(c_TMAP1OUT))&gt;=0,1,-1)*QUOTIENT(((c_TMAP2IN)-(c_TMAP1IN)),2)))&lt;0,-1,0),IF(IF(o_WRAP=1,MOD(((c_TMAP2IN)-(c_TMAP1IN))*(((A796)-(c_TMAP1IN))*((c_TMAP2OUT)-(c_TMAP1OUT))+IF(((c_TMAP2OUT)-(c_TMAP1OUT))&gt;=0,1,-1)*QUOTIENT(((c_TMAP2IN)-(c_TMAP1IN)),2))+2147483648,4294967296)-2147483648,((c_TMAP2IN)-(c_TMAP1IN))*(((A796)-(c_TMAP1IN))*((c_TMAP2OUT)-(c_TMAP1OUT))+IF(((c_TMAP2OUT)-(c_TMAP1OUT))&gt;=0,1,-1)*QUOTIENT(((c_TMAP2IN)-(c_TMAP1IN)),2)))&gt;=0,1,0)))</f>
        <v>346</v>
      </c>
      <c r="F796" s="7" t="n">
        <f aca="false">IF(((c_TMAP3IN)-(c_TMAP2IN))=0,(c_TMAP2OUT)+QUOTIENT(((c_TMAP3OUT)-(c_TMAP2OUT)),2),QUOTIENT((((A796)-(c_TMAP2IN))*((c_TMAP3OUT)-(c_TMAP2OUT))+IF(((c_TMAP3OUT)-(c_TMAP2OUT))&gt;=0,1,-1)*QUOTIENT(((c_TMAP3IN)-(c_TMAP2IN)),2)),((c_TMAP3IN)-(c_TMAP2IN)))+(c_TMAP2OUT)+IF(((c_TMAP3OUT)-(c_TMAP2OUT))&gt;=0,IF(IF(o_WRAP=1,MOD(((c_TMAP3IN)-(c_TMAP2IN))*(((A796)-(c_TMAP2IN))*((c_TMAP3OUT)-(c_TMAP2OUT))+IF(((c_TMAP3OUT)-(c_TMAP2OUT))&gt;=0,1,-1)*QUOTIENT(((c_TMAP3IN)-(c_TMAP2IN)),2))+2147483648,4294967296)-2147483648,((c_TMAP3IN)-(c_TMAP2IN))*(((A796)-(c_TMAP2IN))*((c_TMAP3OUT)-(c_TMAP2OUT))+IF(((c_TMAP3OUT)-(c_TMAP2OUT))&gt;=0,1,-1)*QUOTIENT(((c_TMAP3IN)-(c_TMAP2IN)),2)))&lt;0,-1,0),IF(IF(o_WRAP=1,MOD(((c_TMAP3IN)-(c_TMAP2IN))*(((A796)-(c_TMAP2IN))*((c_TMAP3OUT)-(c_TMAP2OUT))+IF(((c_TMAP3OUT)-(c_TMAP2OUT))&gt;=0,1,-1)*QUOTIENT(((c_TMAP3IN)-(c_TMAP2IN)),2))+2147483648,4294967296)-2147483648,((c_TMAP3IN)-(c_TMAP2IN))*(((A796)-(c_TMAP2IN))*((c_TMAP3OUT)-(c_TMAP2OUT))+IF(((c_TMAP3OUT)-(c_TMAP2OUT))&gt;=0,1,-1)*QUOTIENT(((c_TMAP3IN)-(c_TMAP2IN)),2)))&gt;=0,1,0)))</f>
        <v>509</v>
      </c>
      <c r="G796" s="7" t="n">
        <f aca="false">IF(((1000)-(c_TMAP3IN))=0,(c_TMAP3OUT)+QUOTIENT(((1000)-(c_TMAP3OUT)),2),QUOTIENT((((A796)-(c_TMAP3IN))*((1000)-(c_TMAP3OUT))+IF(((1000)-(c_TMAP3OUT))&gt;=0,1,-1)*QUOTIENT(((1000)-(c_TMAP3IN)),2)),((1000)-(c_TMAP3IN)))+(c_TMAP3OUT)+IF(((1000)-(c_TMAP3OUT))&gt;=0,IF(IF(o_WRAP=1,MOD(((1000)-(c_TMAP3IN))*(((A796)-(c_TMAP3IN))*((1000)-(c_TMAP3OUT))+IF(((1000)-(c_TMAP3OUT))&gt;=0,1,-1)*QUOTIENT(((1000)-(c_TMAP3IN)),2))+2147483648,4294967296)-2147483648,((1000)-(c_TMAP3IN))*(((A796)-(c_TMAP3IN))*((1000)-(c_TMAP3OUT))+IF(((1000)-(c_TMAP3OUT))&gt;=0,1,-1)*QUOTIENT(((1000)-(c_TMAP3IN)),2)))&lt;0,-1,0),IF(IF(o_WRAP=1,MOD(((1000)-(c_TMAP3IN))*(((A796)-(c_TMAP3IN))*((1000)-(c_TMAP3OUT))+IF(((1000)-(c_TMAP3OUT))&gt;=0,1,-1)*QUOTIENT(((1000)-(c_TMAP3IN)),2))+2147483648,4294967296)-2147483648,((1000)-(c_TMAP3IN))*(((A796)-(c_TMAP3IN))*((1000)-(c_TMAP3OUT))+IF(((1000)-(c_TMAP3OUT))&gt;=0,1,-1)*QUOTIENT(((1000)-(c_TMAP3IN)),2)))&gt;=0,1,0)))</f>
        <v>743</v>
      </c>
      <c r="H796" s="7" t="str">
        <f aca="false">IF(A796&gt;=c_TFWD,IF(AND(A796&gt;=c_TMAP3IN,c_TMAP3IN&lt;1000),"Seg4 map3-100%",IF(AND(A796&gt;=c_TMAP2IN,c_TMAP3IN&gt;c_TMAP2IN),"Seg3 map2-map3",IF(AND(A796&gt;=c_TMAP1IN,c_TMAP2IN&gt;c_TMAP1IN),"Seg2 map1-map2","Seg1 TFWD-map1"))),IF(AND(A796=0,c_TCREEP&gt;0),"Creep",IF(AND(A796&lt;=c_TRNGMIN,A796&gt;=c_TRNGMAX,c_TRNGMIN-c_TRNGMAX&lt;&gt;0),"Regen ramp","Coast (0)")))</f>
        <v>Seg4 map3-100%</v>
      </c>
      <c r="I796" s="7" t="n">
        <f aca="false">IF(A796&gt;=c_TFWD,IF(AND(A796&gt;=c_TMAP3IN,c_TMAP3IN&lt;1000),G796,IF(AND(A796&gt;=c_TMAP2IN,c_TMAP3IN&gt;c_TMAP2IN),F796,IF(AND(A796&gt;=c_TMAP1IN,c_TMAP2IN&gt;c_TMAP1IN),E796,D796))),C796)</f>
        <v>743</v>
      </c>
      <c r="J796" s="7" t="str">
        <f aca="false">IF(I796&lt;-1090,"TOO LOW",IF(I796&gt;1090,"TOO HIGH",""))</f>
        <v/>
      </c>
      <c r="K796" s="15" t="n">
        <f aca="false">IF(J796&lt;&gt;"",0,IF(I796&gt;979,1000,I796))</f>
        <v>743</v>
      </c>
      <c r="L796" s="7" t="n">
        <f aca="false">K796/10</f>
        <v>74.3</v>
      </c>
    </row>
    <row r="797" customFormat="false" ht="15" hidden="false" customHeight="false" outlineLevel="0" collapsed="false">
      <c r="A797" s="7" t="n">
        <v>792</v>
      </c>
      <c r="B797" s="7" t="n">
        <f aca="false">A797/10</f>
        <v>79.2</v>
      </c>
      <c r="C797" s="7" t="n">
        <f aca="false">IF(AND(A797=0,c_TCREEP&gt;0),10*c_TCREEP,IF(AND(A797&lt;=c_TRNGMIN,A797&gt;=c_TRNGMAX,c_TRNGMIN-c_TRNGMAX&lt;&gt;0),-10*c_TMINRN+QUOTIENT((c_TMAXRN-c_TMINRN)*(100-QUOTIENT((A797-c_TRNGMAX)*100,c_TRNGMIN-c_TRNGMAX)),-10),0))</f>
        <v>0</v>
      </c>
      <c r="D797" s="7" t="n">
        <f aca="false">IF(((c_TMAP1IN)-(c_TFWD))=0,(0)+QUOTIENT(((c_TMAP1OUT)-(0)),2),QUOTIENT((((A797)-(c_TFWD))*((c_TMAP1OUT)-(0))+IF(((c_TMAP1OUT)-(0))&gt;=0,1,-1)*QUOTIENT(((c_TMAP1IN)-(c_TFWD)),2)),((c_TMAP1IN)-(c_TFWD)))+(0)+IF(((c_TMAP1OUT)-(0))&gt;=0,IF(IF(o_WRAP=1,MOD(((c_TMAP1IN)-(c_TFWD))*(((A797)-(c_TFWD))*((c_TMAP1OUT)-(0))+IF(((c_TMAP1OUT)-(0))&gt;=0,1,-1)*QUOTIENT(((c_TMAP1IN)-(c_TFWD)),2))+2147483648,4294967296)-2147483648,((c_TMAP1IN)-(c_TFWD))*(((A797)-(c_TFWD))*((c_TMAP1OUT)-(0))+IF(((c_TMAP1OUT)-(0))&gt;=0,1,-1)*QUOTIENT(((c_TMAP1IN)-(c_TFWD)),2)))&lt;0,-1,0),IF(IF(o_WRAP=1,MOD(((c_TMAP1IN)-(c_TFWD))*(((A797)-(c_TFWD))*((c_TMAP1OUT)-(0))+IF(((c_TMAP1OUT)-(0))&gt;=0,1,-1)*QUOTIENT(((c_TMAP1IN)-(c_TFWD)),2))+2147483648,4294967296)-2147483648,((c_TMAP1IN)-(c_TFWD))*(((A797)-(c_TFWD))*((c_TMAP1OUT)-(0))+IF(((c_TMAP1OUT)-(0))&gt;=0,1,-1)*QUOTIENT(((c_TMAP1IN)-(c_TFWD)),2)))&gt;=0,1,0)))</f>
        <v>608</v>
      </c>
      <c r="E797" s="7" t="n">
        <f aca="false">IF(((c_TMAP2IN)-(c_TMAP1IN))=0,(c_TMAP1OUT)+QUOTIENT(((c_TMAP2OUT)-(c_TMAP1OUT)),2),QUOTIENT((((A797)-(c_TMAP1IN))*((c_TMAP2OUT)-(c_TMAP1OUT))+IF(((c_TMAP2OUT)-(c_TMAP1OUT))&gt;=0,1,-1)*QUOTIENT(((c_TMAP2IN)-(c_TMAP1IN)),2)),((c_TMAP2IN)-(c_TMAP1IN)))+(c_TMAP1OUT)+IF(((c_TMAP2OUT)-(c_TMAP1OUT))&gt;=0,IF(IF(o_WRAP=1,MOD(((c_TMAP2IN)-(c_TMAP1IN))*(((A797)-(c_TMAP1IN))*((c_TMAP2OUT)-(c_TMAP1OUT))+IF(((c_TMAP2OUT)-(c_TMAP1OUT))&gt;=0,1,-1)*QUOTIENT(((c_TMAP2IN)-(c_TMAP1IN)),2))+2147483648,4294967296)-2147483648,((c_TMAP2IN)-(c_TMAP1IN))*(((A797)-(c_TMAP1IN))*((c_TMAP2OUT)-(c_TMAP1OUT))+IF(((c_TMAP2OUT)-(c_TMAP1OUT))&gt;=0,1,-1)*QUOTIENT(((c_TMAP2IN)-(c_TMAP1IN)),2)))&lt;0,-1,0),IF(IF(o_WRAP=1,MOD(((c_TMAP2IN)-(c_TMAP1IN))*(((A797)-(c_TMAP1IN))*((c_TMAP2OUT)-(c_TMAP1OUT))+IF(((c_TMAP2OUT)-(c_TMAP1OUT))&gt;=0,1,-1)*QUOTIENT(((c_TMAP2IN)-(c_TMAP1IN)),2))+2147483648,4294967296)-2147483648,((c_TMAP2IN)-(c_TMAP1IN))*(((A797)-(c_TMAP1IN))*((c_TMAP2OUT)-(c_TMAP1OUT))+IF(((c_TMAP2OUT)-(c_TMAP1OUT))&gt;=0,1,-1)*QUOTIENT(((c_TMAP2IN)-(c_TMAP1IN)),2)))&gt;=0,1,0)))</f>
        <v>347</v>
      </c>
      <c r="F797" s="7" t="n">
        <f aca="false">IF(((c_TMAP3IN)-(c_TMAP2IN))=0,(c_TMAP2OUT)+QUOTIENT(((c_TMAP3OUT)-(c_TMAP2OUT)),2),QUOTIENT((((A797)-(c_TMAP2IN))*((c_TMAP3OUT)-(c_TMAP2OUT))+IF(((c_TMAP3OUT)-(c_TMAP2OUT))&gt;=0,1,-1)*QUOTIENT(((c_TMAP3IN)-(c_TMAP2IN)),2)),((c_TMAP3IN)-(c_TMAP2IN)))+(c_TMAP2OUT)+IF(((c_TMAP3OUT)-(c_TMAP2OUT))&gt;=0,IF(IF(o_WRAP=1,MOD(((c_TMAP3IN)-(c_TMAP2IN))*(((A797)-(c_TMAP2IN))*((c_TMAP3OUT)-(c_TMAP2OUT))+IF(((c_TMAP3OUT)-(c_TMAP2OUT))&gt;=0,1,-1)*QUOTIENT(((c_TMAP3IN)-(c_TMAP2IN)),2))+2147483648,4294967296)-2147483648,((c_TMAP3IN)-(c_TMAP2IN))*(((A797)-(c_TMAP2IN))*((c_TMAP3OUT)-(c_TMAP2OUT))+IF(((c_TMAP3OUT)-(c_TMAP2OUT))&gt;=0,1,-1)*QUOTIENT(((c_TMAP3IN)-(c_TMAP2IN)),2)))&lt;0,-1,0),IF(IF(o_WRAP=1,MOD(((c_TMAP3IN)-(c_TMAP2IN))*(((A797)-(c_TMAP2IN))*((c_TMAP3OUT)-(c_TMAP2OUT))+IF(((c_TMAP3OUT)-(c_TMAP2OUT))&gt;=0,1,-1)*QUOTIENT(((c_TMAP3IN)-(c_TMAP2IN)),2))+2147483648,4294967296)-2147483648,((c_TMAP3IN)-(c_TMAP2IN))*(((A797)-(c_TMAP2IN))*((c_TMAP3OUT)-(c_TMAP2OUT))+IF(((c_TMAP3OUT)-(c_TMAP2OUT))&gt;=0,1,-1)*QUOTIENT(((c_TMAP3IN)-(c_TMAP2IN)),2)))&gt;=0,1,0)))</f>
        <v>509</v>
      </c>
      <c r="G797" s="7" t="n">
        <f aca="false">IF(((1000)-(c_TMAP3IN))=0,(c_TMAP3OUT)+QUOTIENT(((1000)-(c_TMAP3OUT)),2),QUOTIENT((((A797)-(c_TMAP3IN))*((1000)-(c_TMAP3OUT))+IF(((1000)-(c_TMAP3OUT))&gt;=0,1,-1)*QUOTIENT(((1000)-(c_TMAP3IN)),2)),((1000)-(c_TMAP3IN)))+(c_TMAP3OUT)+IF(((1000)-(c_TMAP3OUT))&gt;=0,IF(IF(o_WRAP=1,MOD(((1000)-(c_TMAP3IN))*(((A797)-(c_TMAP3IN))*((1000)-(c_TMAP3OUT))+IF(((1000)-(c_TMAP3OUT))&gt;=0,1,-1)*QUOTIENT(((1000)-(c_TMAP3IN)),2))+2147483648,4294967296)-2147483648,((1000)-(c_TMAP3IN))*(((A797)-(c_TMAP3IN))*((1000)-(c_TMAP3OUT))+IF(((1000)-(c_TMAP3OUT))&gt;=0,1,-1)*QUOTIENT(((1000)-(c_TMAP3IN)),2)))&lt;0,-1,0),IF(IF(o_WRAP=1,MOD(((1000)-(c_TMAP3IN))*(((A797)-(c_TMAP3IN))*((1000)-(c_TMAP3OUT))+IF(((1000)-(c_TMAP3OUT))&gt;=0,1,-1)*QUOTIENT(((1000)-(c_TMAP3IN)),2))+2147483648,4294967296)-2147483648,((1000)-(c_TMAP3IN))*(((A797)-(c_TMAP3IN))*((1000)-(c_TMAP3OUT))+IF(((1000)-(c_TMAP3OUT))&gt;=0,1,-1)*QUOTIENT(((1000)-(c_TMAP3IN)),2)))&gt;=0,1,0)))</f>
        <v>744</v>
      </c>
      <c r="H797" s="7" t="str">
        <f aca="false">IF(A797&gt;=c_TFWD,IF(AND(A797&gt;=c_TMAP3IN,c_TMAP3IN&lt;1000),"Seg4 map3-100%",IF(AND(A797&gt;=c_TMAP2IN,c_TMAP3IN&gt;c_TMAP2IN),"Seg3 map2-map3",IF(AND(A797&gt;=c_TMAP1IN,c_TMAP2IN&gt;c_TMAP1IN),"Seg2 map1-map2","Seg1 TFWD-map1"))),IF(AND(A797=0,c_TCREEP&gt;0),"Creep",IF(AND(A797&lt;=c_TRNGMIN,A797&gt;=c_TRNGMAX,c_TRNGMIN-c_TRNGMAX&lt;&gt;0),"Regen ramp","Coast (0)")))</f>
        <v>Seg4 map3-100%</v>
      </c>
      <c r="I797" s="7" t="n">
        <f aca="false">IF(A797&gt;=c_TFWD,IF(AND(A797&gt;=c_TMAP3IN,c_TMAP3IN&lt;1000),G797,IF(AND(A797&gt;=c_TMAP2IN,c_TMAP3IN&gt;c_TMAP2IN),F797,IF(AND(A797&gt;=c_TMAP1IN,c_TMAP2IN&gt;c_TMAP1IN),E797,D797))),C797)</f>
        <v>744</v>
      </c>
      <c r="J797" s="7" t="str">
        <f aca="false">IF(I797&lt;-1090,"TOO LOW",IF(I797&gt;1090,"TOO HIGH",""))</f>
        <v/>
      </c>
      <c r="K797" s="15" t="n">
        <f aca="false">IF(J797&lt;&gt;"",0,IF(I797&gt;979,1000,I797))</f>
        <v>744</v>
      </c>
      <c r="L797" s="7" t="n">
        <f aca="false">K797/10</f>
        <v>74.4</v>
      </c>
    </row>
    <row r="798" customFormat="false" ht="15" hidden="false" customHeight="false" outlineLevel="0" collapsed="false">
      <c r="A798" s="7" t="n">
        <v>793</v>
      </c>
      <c r="B798" s="7" t="n">
        <f aca="false">A798/10</f>
        <v>79.3</v>
      </c>
      <c r="C798" s="7" t="n">
        <f aca="false">IF(AND(A798=0,c_TCREEP&gt;0),10*c_TCREEP,IF(AND(A798&lt;=c_TRNGMIN,A798&gt;=c_TRNGMAX,c_TRNGMIN-c_TRNGMAX&lt;&gt;0),-10*c_TMINRN+QUOTIENT((c_TMAXRN-c_TMINRN)*(100-QUOTIENT((A798-c_TRNGMAX)*100,c_TRNGMIN-c_TRNGMAX)),-10),0))</f>
        <v>0</v>
      </c>
      <c r="D798" s="7" t="n">
        <f aca="false">IF(((c_TMAP1IN)-(c_TFWD))=0,(0)+QUOTIENT(((c_TMAP1OUT)-(0)),2),QUOTIENT((((A798)-(c_TFWD))*((c_TMAP1OUT)-(0))+IF(((c_TMAP1OUT)-(0))&gt;=0,1,-1)*QUOTIENT(((c_TMAP1IN)-(c_TFWD)),2)),((c_TMAP1IN)-(c_TFWD)))+(0)+IF(((c_TMAP1OUT)-(0))&gt;=0,IF(IF(o_WRAP=1,MOD(((c_TMAP1IN)-(c_TFWD))*(((A798)-(c_TFWD))*((c_TMAP1OUT)-(0))+IF(((c_TMAP1OUT)-(0))&gt;=0,1,-1)*QUOTIENT(((c_TMAP1IN)-(c_TFWD)),2))+2147483648,4294967296)-2147483648,((c_TMAP1IN)-(c_TFWD))*(((A798)-(c_TFWD))*((c_TMAP1OUT)-(0))+IF(((c_TMAP1OUT)-(0))&gt;=0,1,-1)*QUOTIENT(((c_TMAP1IN)-(c_TFWD)),2)))&lt;0,-1,0),IF(IF(o_WRAP=1,MOD(((c_TMAP1IN)-(c_TFWD))*(((A798)-(c_TFWD))*((c_TMAP1OUT)-(0))+IF(((c_TMAP1OUT)-(0))&gt;=0,1,-1)*QUOTIENT(((c_TMAP1IN)-(c_TFWD)),2))+2147483648,4294967296)-2147483648,((c_TMAP1IN)-(c_TFWD))*(((A798)-(c_TFWD))*((c_TMAP1OUT)-(0))+IF(((c_TMAP1OUT)-(0))&gt;=0,1,-1)*QUOTIENT(((c_TMAP1IN)-(c_TFWD)),2)))&gt;=0,1,0)))</f>
        <v>609</v>
      </c>
      <c r="E798" s="7" t="n">
        <f aca="false">IF(((c_TMAP2IN)-(c_TMAP1IN))=0,(c_TMAP1OUT)+QUOTIENT(((c_TMAP2OUT)-(c_TMAP1OUT)),2),QUOTIENT((((A798)-(c_TMAP1IN))*((c_TMAP2OUT)-(c_TMAP1OUT))+IF(((c_TMAP2OUT)-(c_TMAP1OUT))&gt;=0,1,-1)*QUOTIENT(((c_TMAP2IN)-(c_TMAP1IN)),2)),((c_TMAP2IN)-(c_TMAP1IN)))+(c_TMAP1OUT)+IF(((c_TMAP2OUT)-(c_TMAP1OUT))&gt;=0,IF(IF(o_WRAP=1,MOD(((c_TMAP2IN)-(c_TMAP1IN))*(((A798)-(c_TMAP1IN))*((c_TMAP2OUT)-(c_TMAP1OUT))+IF(((c_TMAP2OUT)-(c_TMAP1OUT))&gt;=0,1,-1)*QUOTIENT(((c_TMAP2IN)-(c_TMAP1IN)),2))+2147483648,4294967296)-2147483648,((c_TMAP2IN)-(c_TMAP1IN))*(((A798)-(c_TMAP1IN))*((c_TMAP2OUT)-(c_TMAP1OUT))+IF(((c_TMAP2OUT)-(c_TMAP1OUT))&gt;=0,1,-1)*QUOTIENT(((c_TMAP2IN)-(c_TMAP1IN)),2)))&lt;0,-1,0),IF(IF(o_WRAP=1,MOD(((c_TMAP2IN)-(c_TMAP1IN))*(((A798)-(c_TMAP1IN))*((c_TMAP2OUT)-(c_TMAP1OUT))+IF(((c_TMAP2OUT)-(c_TMAP1OUT))&gt;=0,1,-1)*QUOTIENT(((c_TMAP2IN)-(c_TMAP1IN)),2))+2147483648,4294967296)-2147483648,((c_TMAP2IN)-(c_TMAP1IN))*(((A798)-(c_TMAP1IN))*((c_TMAP2OUT)-(c_TMAP1OUT))+IF(((c_TMAP2OUT)-(c_TMAP1OUT))&gt;=0,1,-1)*QUOTIENT(((c_TMAP2IN)-(c_TMAP1IN)),2)))&gt;=0,1,0)))</f>
        <v>347</v>
      </c>
      <c r="F798" s="7" t="n">
        <f aca="false">IF(((c_TMAP3IN)-(c_TMAP2IN))=0,(c_TMAP2OUT)+QUOTIENT(((c_TMAP3OUT)-(c_TMAP2OUT)),2),QUOTIENT((((A798)-(c_TMAP2IN))*((c_TMAP3OUT)-(c_TMAP2OUT))+IF(((c_TMAP3OUT)-(c_TMAP2OUT))&gt;=0,1,-1)*QUOTIENT(((c_TMAP3IN)-(c_TMAP2IN)),2)),((c_TMAP3IN)-(c_TMAP2IN)))+(c_TMAP2OUT)+IF(((c_TMAP3OUT)-(c_TMAP2OUT))&gt;=0,IF(IF(o_WRAP=1,MOD(((c_TMAP3IN)-(c_TMAP2IN))*(((A798)-(c_TMAP2IN))*((c_TMAP3OUT)-(c_TMAP2OUT))+IF(((c_TMAP3OUT)-(c_TMAP2OUT))&gt;=0,1,-1)*QUOTIENT(((c_TMAP3IN)-(c_TMAP2IN)),2))+2147483648,4294967296)-2147483648,((c_TMAP3IN)-(c_TMAP2IN))*(((A798)-(c_TMAP2IN))*((c_TMAP3OUT)-(c_TMAP2OUT))+IF(((c_TMAP3OUT)-(c_TMAP2OUT))&gt;=0,1,-1)*QUOTIENT(((c_TMAP3IN)-(c_TMAP2IN)),2)))&lt;0,-1,0),IF(IF(o_WRAP=1,MOD(((c_TMAP3IN)-(c_TMAP2IN))*(((A798)-(c_TMAP2IN))*((c_TMAP3OUT)-(c_TMAP2OUT))+IF(((c_TMAP3OUT)-(c_TMAP2OUT))&gt;=0,1,-1)*QUOTIENT(((c_TMAP3IN)-(c_TMAP2IN)),2))+2147483648,4294967296)-2147483648,((c_TMAP3IN)-(c_TMAP2IN))*(((A798)-(c_TMAP2IN))*((c_TMAP3OUT)-(c_TMAP2OUT))+IF(((c_TMAP3OUT)-(c_TMAP2OUT))&gt;=0,1,-1)*QUOTIENT(((c_TMAP3IN)-(c_TMAP2IN)),2)))&gt;=0,1,0)))</f>
        <v>510</v>
      </c>
      <c r="G798" s="7" t="n">
        <f aca="false">IF(((1000)-(c_TMAP3IN))=0,(c_TMAP3OUT)+QUOTIENT(((1000)-(c_TMAP3OUT)),2),QUOTIENT((((A798)-(c_TMAP3IN))*((1000)-(c_TMAP3OUT))+IF(((1000)-(c_TMAP3OUT))&gt;=0,1,-1)*QUOTIENT(((1000)-(c_TMAP3IN)),2)),((1000)-(c_TMAP3IN)))+(c_TMAP3OUT)+IF(((1000)-(c_TMAP3OUT))&gt;=0,IF(IF(o_WRAP=1,MOD(((1000)-(c_TMAP3IN))*(((A798)-(c_TMAP3IN))*((1000)-(c_TMAP3OUT))+IF(((1000)-(c_TMAP3OUT))&gt;=0,1,-1)*QUOTIENT(((1000)-(c_TMAP3IN)),2))+2147483648,4294967296)-2147483648,((1000)-(c_TMAP3IN))*(((A798)-(c_TMAP3IN))*((1000)-(c_TMAP3OUT))+IF(((1000)-(c_TMAP3OUT))&gt;=0,1,-1)*QUOTIENT(((1000)-(c_TMAP3IN)),2)))&lt;0,-1,0),IF(IF(o_WRAP=1,MOD(((1000)-(c_TMAP3IN))*(((A798)-(c_TMAP3IN))*((1000)-(c_TMAP3OUT))+IF(((1000)-(c_TMAP3OUT))&gt;=0,1,-1)*QUOTIENT(((1000)-(c_TMAP3IN)),2))+2147483648,4294967296)-2147483648,((1000)-(c_TMAP3IN))*(((A798)-(c_TMAP3IN))*((1000)-(c_TMAP3OUT))+IF(((1000)-(c_TMAP3OUT))&gt;=0,1,-1)*QUOTIENT(((1000)-(c_TMAP3IN)),2)))&gt;=0,1,0)))</f>
        <v>745</v>
      </c>
      <c r="H798" s="7" t="str">
        <f aca="false">IF(A798&gt;=c_TFWD,IF(AND(A798&gt;=c_TMAP3IN,c_TMAP3IN&lt;1000),"Seg4 map3-100%",IF(AND(A798&gt;=c_TMAP2IN,c_TMAP3IN&gt;c_TMAP2IN),"Seg3 map2-map3",IF(AND(A798&gt;=c_TMAP1IN,c_TMAP2IN&gt;c_TMAP1IN),"Seg2 map1-map2","Seg1 TFWD-map1"))),IF(AND(A798=0,c_TCREEP&gt;0),"Creep",IF(AND(A798&lt;=c_TRNGMIN,A798&gt;=c_TRNGMAX,c_TRNGMIN-c_TRNGMAX&lt;&gt;0),"Regen ramp","Coast (0)")))</f>
        <v>Seg4 map3-100%</v>
      </c>
      <c r="I798" s="7" t="n">
        <f aca="false">IF(A798&gt;=c_TFWD,IF(AND(A798&gt;=c_TMAP3IN,c_TMAP3IN&lt;1000),G798,IF(AND(A798&gt;=c_TMAP2IN,c_TMAP3IN&gt;c_TMAP2IN),F798,IF(AND(A798&gt;=c_TMAP1IN,c_TMAP2IN&gt;c_TMAP1IN),E798,D798))),C798)</f>
        <v>745</v>
      </c>
      <c r="J798" s="7" t="str">
        <f aca="false">IF(I798&lt;-1090,"TOO LOW",IF(I798&gt;1090,"TOO HIGH",""))</f>
        <v/>
      </c>
      <c r="K798" s="15" t="n">
        <f aca="false">IF(J798&lt;&gt;"",0,IF(I798&gt;979,1000,I798))</f>
        <v>745</v>
      </c>
      <c r="L798" s="7" t="n">
        <f aca="false">K798/10</f>
        <v>74.5</v>
      </c>
    </row>
    <row r="799" customFormat="false" ht="15" hidden="false" customHeight="false" outlineLevel="0" collapsed="false">
      <c r="A799" s="7" t="n">
        <v>794</v>
      </c>
      <c r="B799" s="7" t="n">
        <f aca="false">A799/10</f>
        <v>79.4</v>
      </c>
      <c r="C799" s="7" t="n">
        <f aca="false">IF(AND(A799=0,c_TCREEP&gt;0),10*c_TCREEP,IF(AND(A799&lt;=c_TRNGMIN,A799&gt;=c_TRNGMAX,c_TRNGMIN-c_TRNGMAX&lt;&gt;0),-10*c_TMINRN+QUOTIENT((c_TMAXRN-c_TMINRN)*(100-QUOTIENT((A799-c_TRNGMAX)*100,c_TRNGMIN-c_TRNGMAX)),-10),0))</f>
        <v>0</v>
      </c>
      <c r="D799" s="7" t="n">
        <f aca="false">IF(((c_TMAP1IN)-(c_TFWD))=0,(0)+QUOTIENT(((c_TMAP1OUT)-(0)),2),QUOTIENT((((A799)-(c_TFWD))*((c_TMAP1OUT)-(0))+IF(((c_TMAP1OUT)-(0))&gt;=0,1,-1)*QUOTIENT(((c_TMAP1IN)-(c_TFWD)),2)),((c_TMAP1IN)-(c_TFWD)))+(0)+IF(((c_TMAP1OUT)-(0))&gt;=0,IF(IF(o_WRAP=1,MOD(((c_TMAP1IN)-(c_TFWD))*(((A799)-(c_TFWD))*((c_TMAP1OUT)-(0))+IF(((c_TMAP1OUT)-(0))&gt;=0,1,-1)*QUOTIENT(((c_TMAP1IN)-(c_TFWD)),2))+2147483648,4294967296)-2147483648,((c_TMAP1IN)-(c_TFWD))*(((A799)-(c_TFWD))*((c_TMAP1OUT)-(0))+IF(((c_TMAP1OUT)-(0))&gt;=0,1,-1)*QUOTIENT(((c_TMAP1IN)-(c_TFWD)),2)))&lt;0,-1,0),IF(IF(o_WRAP=1,MOD(((c_TMAP1IN)-(c_TFWD))*(((A799)-(c_TFWD))*((c_TMAP1OUT)-(0))+IF(((c_TMAP1OUT)-(0))&gt;=0,1,-1)*QUOTIENT(((c_TMAP1IN)-(c_TFWD)),2))+2147483648,4294967296)-2147483648,((c_TMAP1IN)-(c_TFWD))*(((A799)-(c_TFWD))*((c_TMAP1OUT)-(0))+IF(((c_TMAP1OUT)-(0))&gt;=0,1,-1)*QUOTIENT(((c_TMAP1IN)-(c_TFWD)),2)))&gt;=0,1,0)))</f>
        <v>610</v>
      </c>
      <c r="E799" s="7" t="n">
        <f aca="false">IF(((c_TMAP2IN)-(c_TMAP1IN))=0,(c_TMAP1OUT)+QUOTIENT(((c_TMAP2OUT)-(c_TMAP1OUT)),2),QUOTIENT((((A799)-(c_TMAP1IN))*((c_TMAP2OUT)-(c_TMAP1OUT))+IF(((c_TMAP2OUT)-(c_TMAP1OUT))&gt;=0,1,-1)*QUOTIENT(((c_TMAP2IN)-(c_TMAP1IN)),2)),((c_TMAP2IN)-(c_TMAP1IN)))+(c_TMAP1OUT)+IF(((c_TMAP2OUT)-(c_TMAP1OUT))&gt;=0,IF(IF(o_WRAP=1,MOD(((c_TMAP2IN)-(c_TMAP1IN))*(((A799)-(c_TMAP1IN))*((c_TMAP2OUT)-(c_TMAP1OUT))+IF(((c_TMAP2OUT)-(c_TMAP1OUT))&gt;=0,1,-1)*QUOTIENT(((c_TMAP2IN)-(c_TMAP1IN)),2))+2147483648,4294967296)-2147483648,((c_TMAP2IN)-(c_TMAP1IN))*(((A799)-(c_TMAP1IN))*((c_TMAP2OUT)-(c_TMAP1OUT))+IF(((c_TMAP2OUT)-(c_TMAP1OUT))&gt;=0,1,-1)*QUOTIENT(((c_TMAP2IN)-(c_TMAP1IN)),2)))&lt;0,-1,0),IF(IF(o_WRAP=1,MOD(((c_TMAP2IN)-(c_TMAP1IN))*(((A799)-(c_TMAP1IN))*((c_TMAP2OUT)-(c_TMAP1OUT))+IF(((c_TMAP2OUT)-(c_TMAP1OUT))&gt;=0,1,-1)*QUOTIENT(((c_TMAP2IN)-(c_TMAP1IN)),2))+2147483648,4294967296)-2147483648,((c_TMAP2IN)-(c_TMAP1IN))*(((A799)-(c_TMAP1IN))*((c_TMAP2OUT)-(c_TMAP1OUT))+IF(((c_TMAP2OUT)-(c_TMAP1OUT))&gt;=0,1,-1)*QUOTIENT(((c_TMAP2IN)-(c_TMAP1IN)),2)))&gt;=0,1,0)))</f>
        <v>348</v>
      </c>
      <c r="F799" s="7" t="n">
        <f aca="false">IF(((c_TMAP3IN)-(c_TMAP2IN))=0,(c_TMAP2OUT)+QUOTIENT(((c_TMAP3OUT)-(c_TMAP2OUT)),2),QUOTIENT((((A799)-(c_TMAP2IN))*((c_TMAP3OUT)-(c_TMAP2OUT))+IF(((c_TMAP3OUT)-(c_TMAP2OUT))&gt;=0,1,-1)*QUOTIENT(((c_TMAP3IN)-(c_TMAP2IN)),2)),((c_TMAP3IN)-(c_TMAP2IN)))+(c_TMAP2OUT)+IF(((c_TMAP3OUT)-(c_TMAP2OUT))&gt;=0,IF(IF(o_WRAP=1,MOD(((c_TMAP3IN)-(c_TMAP2IN))*(((A799)-(c_TMAP2IN))*((c_TMAP3OUT)-(c_TMAP2OUT))+IF(((c_TMAP3OUT)-(c_TMAP2OUT))&gt;=0,1,-1)*QUOTIENT(((c_TMAP3IN)-(c_TMAP2IN)),2))+2147483648,4294967296)-2147483648,((c_TMAP3IN)-(c_TMAP2IN))*(((A799)-(c_TMAP2IN))*((c_TMAP3OUT)-(c_TMAP2OUT))+IF(((c_TMAP3OUT)-(c_TMAP2OUT))&gt;=0,1,-1)*QUOTIENT(((c_TMAP3IN)-(c_TMAP2IN)),2)))&lt;0,-1,0),IF(IF(o_WRAP=1,MOD(((c_TMAP3IN)-(c_TMAP2IN))*(((A799)-(c_TMAP2IN))*((c_TMAP3OUT)-(c_TMAP2OUT))+IF(((c_TMAP3OUT)-(c_TMAP2OUT))&gt;=0,1,-1)*QUOTIENT(((c_TMAP3IN)-(c_TMAP2IN)),2))+2147483648,4294967296)-2147483648,((c_TMAP3IN)-(c_TMAP2IN))*(((A799)-(c_TMAP2IN))*((c_TMAP3OUT)-(c_TMAP2OUT))+IF(((c_TMAP3OUT)-(c_TMAP2OUT))&gt;=0,1,-1)*QUOTIENT(((c_TMAP3IN)-(c_TMAP2IN)),2)))&gt;=0,1,0)))</f>
        <v>511</v>
      </c>
      <c r="G799" s="7" t="n">
        <f aca="false">IF(((1000)-(c_TMAP3IN))=0,(c_TMAP3OUT)+QUOTIENT(((1000)-(c_TMAP3OUT)),2),QUOTIENT((((A799)-(c_TMAP3IN))*((1000)-(c_TMAP3OUT))+IF(((1000)-(c_TMAP3OUT))&gt;=0,1,-1)*QUOTIENT(((1000)-(c_TMAP3IN)),2)),((1000)-(c_TMAP3IN)))+(c_TMAP3OUT)+IF(((1000)-(c_TMAP3OUT))&gt;=0,IF(IF(o_WRAP=1,MOD(((1000)-(c_TMAP3IN))*(((A799)-(c_TMAP3IN))*((1000)-(c_TMAP3OUT))+IF(((1000)-(c_TMAP3OUT))&gt;=0,1,-1)*QUOTIENT(((1000)-(c_TMAP3IN)),2))+2147483648,4294967296)-2147483648,((1000)-(c_TMAP3IN))*(((A799)-(c_TMAP3IN))*((1000)-(c_TMAP3OUT))+IF(((1000)-(c_TMAP3OUT))&gt;=0,1,-1)*QUOTIENT(((1000)-(c_TMAP3IN)),2)))&lt;0,-1,0),IF(IF(o_WRAP=1,MOD(((1000)-(c_TMAP3IN))*(((A799)-(c_TMAP3IN))*((1000)-(c_TMAP3OUT))+IF(((1000)-(c_TMAP3OUT))&gt;=0,1,-1)*QUOTIENT(((1000)-(c_TMAP3IN)),2))+2147483648,4294967296)-2147483648,((1000)-(c_TMAP3IN))*(((A799)-(c_TMAP3IN))*((1000)-(c_TMAP3OUT))+IF(((1000)-(c_TMAP3OUT))&gt;=0,1,-1)*QUOTIENT(((1000)-(c_TMAP3IN)),2)))&gt;=0,1,0)))</f>
        <v>746</v>
      </c>
      <c r="H799" s="7" t="str">
        <f aca="false">IF(A799&gt;=c_TFWD,IF(AND(A799&gt;=c_TMAP3IN,c_TMAP3IN&lt;1000),"Seg4 map3-100%",IF(AND(A799&gt;=c_TMAP2IN,c_TMAP3IN&gt;c_TMAP2IN),"Seg3 map2-map3",IF(AND(A799&gt;=c_TMAP1IN,c_TMAP2IN&gt;c_TMAP1IN),"Seg2 map1-map2","Seg1 TFWD-map1"))),IF(AND(A799=0,c_TCREEP&gt;0),"Creep",IF(AND(A799&lt;=c_TRNGMIN,A799&gt;=c_TRNGMAX,c_TRNGMIN-c_TRNGMAX&lt;&gt;0),"Regen ramp","Coast (0)")))</f>
        <v>Seg4 map3-100%</v>
      </c>
      <c r="I799" s="7" t="n">
        <f aca="false">IF(A799&gt;=c_TFWD,IF(AND(A799&gt;=c_TMAP3IN,c_TMAP3IN&lt;1000),G799,IF(AND(A799&gt;=c_TMAP2IN,c_TMAP3IN&gt;c_TMAP2IN),F799,IF(AND(A799&gt;=c_TMAP1IN,c_TMAP2IN&gt;c_TMAP1IN),E799,D799))),C799)</f>
        <v>746</v>
      </c>
      <c r="J799" s="7" t="str">
        <f aca="false">IF(I799&lt;-1090,"TOO LOW",IF(I799&gt;1090,"TOO HIGH",""))</f>
        <v/>
      </c>
      <c r="K799" s="15" t="n">
        <f aca="false">IF(J799&lt;&gt;"",0,IF(I799&gt;979,1000,I799))</f>
        <v>746</v>
      </c>
      <c r="L799" s="7" t="n">
        <f aca="false">K799/10</f>
        <v>74.6</v>
      </c>
    </row>
    <row r="800" customFormat="false" ht="15" hidden="false" customHeight="false" outlineLevel="0" collapsed="false">
      <c r="A800" s="7" t="n">
        <v>795</v>
      </c>
      <c r="B800" s="7" t="n">
        <f aca="false">A800/10</f>
        <v>79.5</v>
      </c>
      <c r="C800" s="7" t="n">
        <f aca="false">IF(AND(A800=0,c_TCREEP&gt;0),10*c_TCREEP,IF(AND(A800&lt;=c_TRNGMIN,A800&gt;=c_TRNGMAX,c_TRNGMIN-c_TRNGMAX&lt;&gt;0),-10*c_TMINRN+QUOTIENT((c_TMAXRN-c_TMINRN)*(100-QUOTIENT((A800-c_TRNGMAX)*100,c_TRNGMIN-c_TRNGMAX)),-10),0))</f>
        <v>0</v>
      </c>
      <c r="D800" s="7" t="n">
        <f aca="false">IF(((c_TMAP1IN)-(c_TFWD))=0,(0)+QUOTIENT(((c_TMAP1OUT)-(0)),2),QUOTIENT((((A800)-(c_TFWD))*((c_TMAP1OUT)-(0))+IF(((c_TMAP1OUT)-(0))&gt;=0,1,-1)*QUOTIENT(((c_TMAP1IN)-(c_TFWD)),2)),((c_TMAP1IN)-(c_TFWD)))+(0)+IF(((c_TMAP1OUT)-(0))&gt;=0,IF(IF(o_WRAP=1,MOD(((c_TMAP1IN)-(c_TFWD))*(((A800)-(c_TFWD))*((c_TMAP1OUT)-(0))+IF(((c_TMAP1OUT)-(0))&gt;=0,1,-1)*QUOTIENT(((c_TMAP1IN)-(c_TFWD)),2))+2147483648,4294967296)-2147483648,((c_TMAP1IN)-(c_TFWD))*(((A800)-(c_TFWD))*((c_TMAP1OUT)-(0))+IF(((c_TMAP1OUT)-(0))&gt;=0,1,-1)*QUOTIENT(((c_TMAP1IN)-(c_TFWD)),2)))&lt;0,-1,0),IF(IF(o_WRAP=1,MOD(((c_TMAP1IN)-(c_TFWD))*(((A800)-(c_TFWD))*((c_TMAP1OUT)-(0))+IF(((c_TMAP1OUT)-(0))&gt;=0,1,-1)*QUOTIENT(((c_TMAP1IN)-(c_TFWD)),2))+2147483648,4294967296)-2147483648,((c_TMAP1IN)-(c_TFWD))*(((A800)-(c_TFWD))*((c_TMAP1OUT)-(0))+IF(((c_TMAP1OUT)-(0))&gt;=0,1,-1)*QUOTIENT(((c_TMAP1IN)-(c_TFWD)),2)))&gt;=0,1,0)))</f>
        <v>611</v>
      </c>
      <c r="E800" s="7" t="n">
        <f aca="false">IF(((c_TMAP2IN)-(c_TMAP1IN))=0,(c_TMAP1OUT)+QUOTIENT(((c_TMAP2OUT)-(c_TMAP1OUT)),2),QUOTIENT((((A800)-(c_TMAP1IN))*((c_TMAP2OUT)-(c_TMAP1OUT))+IF(((c_TMAP2OUT)-(c_TMAP1OUT))&gt;=0,1,-1)*QUOTIENT(((c_TMAP2IN)-(c_TMAP1IN)),2)),((c_TMAP2IN)-(c_TMAP1IN)))+(c_TMAP1OUT)+IF(((c_TMAP2OUT)-(c_TMAP1OUT))&gt;=0,IF(IF(o_WRAP=1,MOD(((c_TMAP2IN)-(c_TMAP1IN))*(((A800)-(c_TMAP1IN))*((c_TMAP2OUT)-(c_TMAP1OUT))+IF(((c_TMAP2OUT)-(c_TMAP1OUT))&gt;=0,1,-1)*QUOTIENT(((c_TMAP2IN)-(c_TMAP1IN)),2))+2147483648,4294967296)-2147483648,((c_TMAP2IN)-(c_TMAP1IN))*(((A800)-(c_TMAP1IN))*((c_TMAP2OUT)-(c_TMAP1OUT))+IF(((c_TMAP2OUT)-(c_TMAP1OUT))&gt;=0,1,-1)*QUOTIENT(((c_TMAP2IN)-(c_TMAP1IN)),2)))&lt;0,-1,0),IF(IF(o_WRAP=1,MOD(((c_TMAP2IN)-(c_TMAP1IN))*(((A800)-(c_TMAP1IN))*((c_TMAP2OUT)-(c_TMAP1OUT))+IF(((c_TMAP2OUT)-(c_TMAP1OUT))&gt;=0,1,-1)*QUOTIENT(((c_TMAP2IN)-(c_TMAP1IN)),2))+2147483648,4294967296)-2147483648,((c_TMAP2IN)-(c_TMAP1IN))*(((A800)-(c_TMAP1IN))*((c_TMAP2OUT)-(c_TMAP1OUT))+IF(((c_TMAP2OUT)-(c_TMAP1OUT))&gt;=0,1,-1)*QUOTIENT(((c_TMAP2IN)-(c_TMAP1IN)),2)))&gt;=0,1,0)))</f>
        <v>348</v>
      </c>
      <c r="F800" s="7" t="n">
        <f aca="false">IF(((c_TMAP3IN)-(c_TMAP2IN))=0,(c_TMAP2OUT)+QUOTIENT(((c_TMAP3OUT)-(c_TMAP2OUT)),2),QUOTIENT((((A800)-(c_TMAP2IN))*((c_TMAP3OUT)-(c_TMAP2OUT))+IF(((c_TMAP3OUT)-(c_TMAP2OUT))&gt;=0,1,-1)*QUOTIENT(((c_TMAP3IN)-(c_TMAP2IN)),2)),((c_TMAP3IN)-(c_TMAP2IN)))+(c_TMAP2OUT)+IF(((c_TMAP3OUT)-(c_TMAP2OUT))&gt;=0,IF(IF(o_WRAP=1,MOD(((c_TMAP3IN)-(c_TMAP2IN))*(((A800)-(c_TMAP2IN))*((c_TMAP3OUT)-(c_TMAP2OUT))+IF(((c_TMAP3OUT)-(c_TMAP2OUT))&gt;=0,1,-1)*QUOTIENT(((c_TMAP3IN)-(c_TMAP2IN)),2))+2147483648,4294967296)-2147483648,((c_TMAP3IN)-(c_TMAP2IN))*(((A800)-(c_TMAP2IN))*((c_TMAP3OUT)-(c_TMAP2OUT))+IF(((c_TMAP3OUT)-(c_TMAP2OUT))&gt;=0,1,-1)*QUOTIENT(((c_TMAP3IN)-(c_TMAP2IN)),2)))&lt;0,-1,0),IF(IF(o_WRAP=1,MOD(((c_TMAP3IN)-(c_TMAP2IN))*(((A800)-(c_TMAP2IN))*((c_TMAP3OUT)-(c_TMAP2OUT))+IF(((c_TMAP3OUT)-(c_TMAP2OUT))&gt;=0,1,-1)*QUOTIENT(((c_TMAP3IN)-(c_TMAP2IN)),2))+2147483648,4294967296)-2147483648,((c_TMAP3IN)-(c_TMAP2IN))*(((A800)-(c_TMAP2IN))*((c_TMAP3OUT)-(c_TMAP2OUT))+IF(((c_TMAP3OUT)-(c_TMAP2OUT))&gt;=0,1,-1)*QUOTIENT(((c_TMAP3IN)-(c_TMAP2IN)),2)))&gt;=0,1,0)))</f>
        <v>512</v>
      </c>
      <c r="G800" s="7" t="n">
        <f aca="false">IF(((1000)-(c_TMAP3IN))=0,(c_TMAP3OUT)+QUOTIENT(((1000)-(c_TMAP3OUT)),2),QUOTIENT((((A800)-(c_TMAP3IN))*((1000)-(c_TMAP3OUT))+IF(((1000)-(c_TMAP3OUT))&gt;=0,1,-1)*QUOTIENT(((1000)-(c_TMAP3IN)),2)),((1000)-(c_TMAP3IN)))+(c_TMAP3OUT)+IF(((1000)-(c_TMAP3OUT))&gt;=0,IF(IF(o_WRAP=1,MOD(((1000)-(c_TMAP3IN))*(((A800)-(c_TMAP3IN))*((1000)-(c_TMAP3OUT))+IF(((1000)-(c_TMAP3OUT))&gt;=0,1,-1)*QUOTIENT(((1000)-(c_TMAP3IN)),2))+2147483648,4294967296)-2147483648,((1000)-(c_TMAP3IN))*(((A800)-(c_TMAP3IN))*((1000)-(c_TMAP3OUT))+IF(((1000)-(c_TMAP3OUT))&gt;=0,1,-1)*QUOTIENT(((1000)-(c_TMAP3IN)),2)))&lt;0,-1,0),IF(IF(o_WRAP=1,MOD(((1000)-(c_TMAP3IN))*(((A800)-(c_TMAP3IN))*((1000)-(c_TMAP3OUT))+IF(((1000)-(c_TMAP3OUT))&gt;=0,1,-1)*QUOTIENT(((1000)-(c_TMAP3IN)),2))+2147483648,4294967296)-2147483648,((1000)-(c_TMAP3IN))*(((A800)-(c_TMAP3IN))*((1000)-(c_TMAP3OUT))+IF(((1000)-(c_TMAP3OUT))&gt;=0,1,-1)*QUOTIENT(((1000)-(c_TMAP3IN)),2)))&gt;=0,1,0)))</f>
        <v>748</v>
      </c>
      <c r="H800" s="7" t="str">
        <f aca="false">IF(A800&gt;=c_TFWD,IF(AND(A800&gt;=c_TMAP3IN,c_TMAP3IN&lt;1000),"Seg4 map3-100%",IF(AND(A800&gt;=c_TMAP2IN,c_TMAP3IN&gt;c_TMAP2IN),"Seg3 map2-map3",IF(AND(A800&gt;=c_TMAP1IN,c_TMAP2IN&gt;c_TMAP1IN),"Seg2 map1-map2","Seg1 TFWD-map1"))),IF(AND(A800=0,c_TCREEP&gt;0),"Creep",IF(AND(A800&lt;=c_TRNGMIN,A800&gt;=c_TRNGMAX,c_TRNGMIN-c_TRNGMAX&lt;&gt;0),"Regen ramp","Coast (0)")))</f>
        <v>Seg4 map3-100%</v>
      </c>
      <c r="I800" s="7" t="n">
        <f aca="false">IF(A800&gt;=c_TFWD,IF(AND(A800&gt;=c_TMAP3IN,c_TMAP3IN&lt;1000),G800,IF(AND(A800&gt;=c_TMAP2IN,c_TMAP3IN&gt;c_TMAP2IN),F800,IF(AND(A800&gt;=c_TMAP1IN,c_TMAP2IN&gt;c_TMAP1IN),E800,D800))),C800)</f>
        <v>748</v>
      </c>
      <c r="J800" s="7" t="str">
        <f aca="false">IF(I800&lt;-1090,"TOO LOW",IF(I800&gt;1090,"TOO HIGH",""))</f>
        <v/>
      </c>
      <c r="K800" s="15" t="n">
        <f aca="false">IF(J800&lt;&gt;"",0,IF(I800&gt;979,1000,I800))</f>
        <v>748</v>
      </c>
      <c r="L800" s="7" t="n">
        <f aca="false">K800/10</f>
        <v>74.8</v>
      </c>
    </row>
    <row r="801" customFormat="false" ht="15" hidden="false" customHeight="false" outlineLevel="0" collapsed="false">
      <c r="A801" s="7" t="n">
        <v>796</v>
      </c>
      <c r="B801" s="7" t="n">
        <f aca="false">A801/10</f>
        <v>79.6</v>
      </c>
      <c r="C801" s="7" t="n">
        <f aca="false">IF(AND(A801=0,c_TCREEP&gt;0),10*c_TCREEP,IF(AND(A801&lt;=c_TRNGMIN,A801&gt;=c_TRNGMAX,c_TRNGMIN-c_TRNGMAX&lt;&gt;0),-10*c_TMINRN+QUOTIENT((c_TMAXRN-c_TMINRN)*(100-QUOTIENT((A801-c_TRNGMAX)*100,c_TRNGMIN-c_TRNGMAX)),-10),0))</f>
        <v>0</v>
      </c>
      <c r="D801" s="7" t="n">
        <f aca="false">IF(((c_TMAP1IN)-(c_TFWD))=0,(0)+QUOTIENT(((c_TMAP1OUT)-(0)),2),QUOTIENT((((A801)-(c_TFWD))*((c_TMAP1OUT)-(0))+IF(((c_TMAP1OUT)-(0))&gt;=0,1,-1)*QUOTIENT(((c_TMAP1IN)-(c_TFWD)),2)),((c_TMAP1IN)-(c_TFWD)))+(0)+IF(((c_TMAP1OUT)-(0))&gt;=0,IF(IF(o_WRAP=1,MOD(((c_TMAP1IN)-(c_TFWD))*(((A801)-(c_TFWD))*((c_TMAP1OUT)-(0))+IF(((c_TMAP1OUT)-(0))&gt;=0,1,-1)*QUOTIENT(((c_TMAP1IN)-(c_TFWD)),2))+2147483648,4294967296)-2147483648,((c_TMAP1IN)-(c_TFWD))*(((A801)-(c_TFWD))*((c_TMAP1OUT)-(0))+IF(((c_TMAP1OUT)-(0))&gt;=0,1,-1)*QUOTIENT(((c_TMAP1IN)-(c_TFWD)),2)))&lt;0,-1,0),IF(IF(o_WRAP=1,MOD(((c_TMAP1IN)-(c_TFWD))*(((A801)-(c_TFWD))*((c_TMAP1OUT)-(0))+IF(((c_TMAP1OUT)-(0))&gt;=0,1,-1)*QUOTIENT(((c_TMAP1IN)-(c_TFWD)),2))+2147483648,4294967296)-2147483648,((c_TMAP1IN)-(c_TFWD))*(((A801)-(c_TFWD))*((c_TMAP1OUT)-(0))+IF(((c_TMAP1OUT)-(0))&gt;=0,1,-1)*QUOTIENT(((c_TMAP1IN)-(c_TFWD)),2)))&gt;=0,1,0)))</f>
        <v>611</v>
      </c>
      <c r="E801" s="7" t="n">
        <f aca="false">IF(((c_TMAP2IN)-(c_TMAP1IN))=0,(c_TMAP1OUT)+QUOTIENT(((c_TMAP2OUT)-(c_TMAP1OUT)),2),QUOTIENT((((A801)-(c_TMAP1IN))*((c_TMAP2OUT)-(c_TMAP1OUT))+IF(((c_TMAP2OUT)-(c_TMAP1OUT))&gt;=0,1,-1)*QUOTIENT(((c_TMAP2IN)-(c_TMAP1IN)),2)),((c_TMAP2IN)-(c_TMAP1IN)))+(c_TMAP1OUT)+IF(((c_TMAP2OUT)-(c_TMAP1OUT))&gt;=0,IF(IF(o_WRAP=1,MOD(((c_TMAP2IN)-(c_TMAP1IN))*(((A801)-(c_TMAP1IN))*((c_TMAP2OUT)-(c_TMAP1OUT))+IF(((c_TMAP2OUT)-(c_TMAP1OUT))&gt;=0,1,-1)*QUOTIENT(((c_TMAP2IN)-(c_TMAP1IN)),2))+2147483648,4294967296)-2147483648,((c_TMAP2IN)-(c_TMAP1IN))*(((A801)-(c_TMAP1IN))*((c_TMAP2OUT)-(c_TMAP1OUT))+IF(((c_TMAP2OUT)-(c_TMAP1OUT))&gt;=0,1,-1)*QUOTIENT(((c_TMAP2IN)-(c_TMAP1IN)),2)))&lt;0,-1,0),IF(IF(o_WRAP=1,MOD(((c_TMAP2IN)-(c_TMAP1IN))*(((A801)-(c_TMAP1IN))*((c_TMAP2OUT)-(c_TMAP1OUT))+IF(((c_TMAP2OUT)-(c_TMAP1OUT))&gt;=0,1,-1)*QUOTIENT(((c_TMAP2IN)-(c_TMAP1IN)),2))+2147483648,4294967296)-2147483648,((c_TMAP2IN)-(c_TMAP1IN))*(((A801)-(c_TMAP1IN))*((c_TMAP2OUT)-(c_TMAP1OUT))+IF(((c_TMAP2OUT)-(c_TMAP1OUT))&gt;=0,1,-1)*QUOTIENT(((c_TMAP2IN)-(c_TMAP1IN)),2)))&gt;=0,1,0)))</f>
        <v>348</v>
      </c>
      <c r="F801" s="7" t="n">
        <f aca="false">IF(((c_TMAP3IN)-(c_TMAP2IN))=0,(c_TMAP2OUT)+QUOTIENT(((c_TMAP3OUT)-(c_TMAP2OUT)),2),QUOTIENT((((A801)-(c_TMAP2IN))*((c_TMAP3OUT)-(c_TMAP2OUT))+IF(((c_TMAP3OUT)-(c_TMAP2OUT))&gt;=0,1,-1)*QUOTIENT(((c_TMAP3IN)-(c_TMAP2IN)),2)),((c_TMAP3IN)-(c_TMAP2IN)))+(c_TMAP2OUT)+IF(((c_TMAP3OUT)-(c_TMAP2OUT))&gt;=0,IF(IF(o_WRAP=1,MOD(((c_TMAP3IN)-(c_TMAP2IN))*(((A801)-(c_TMAP2IN))*((c_TMAP3OUT)-(c_TMAP2OUT))+IF(((c_TMAP3OUT)-(c_TMAP2OUT))&gt;=0,1,-1)*QUOTIENT(((c_TMAP3IN)-(c_TMAP2IN)),2))+2147483648,4294967296)-2147483648,((c_TMAP3IN)-(c_TMAP2IN))*(((A801)-(c_TMAP2IN))*((c_TMAP3OUT)-(c_TMAP2OUT))+IF(((c_TMAP3OUT)-(c_TMAP2OUT))&gt;=0,1,-1)*QUOTIENT(((c_TMAP3IN)-(c_TMAP2IN)),2)))&lt;0,-1,0),IF(IF(o_WRAP=1,MOD(((c_TMAP3IN)-(c_TMAP2IN))*(((A801)-(c_TMAP2IN))*((c_TMAP3OUT)-(c_TMAP2OUT))+IF(((c_TMAP3OUT)-(c_TMAP2OUT))&gt;=0,1,-1)*QUOTIENT(((c_TMAP3IN)-(c_TMAP2IN)),2))+2147483648,4294967296)-2147483648,((c_TMAP3IN)-(c_TMAP2IN))*(((A801)-(c_TMAP2IN))*((c_TMAP3OUT)-(c_TMAP2OUT))+IF(((c_TMAP3OUT)-(c_TMAP2OUT))&gt;=0,1,-1)*QUOTIENT(((c_TMAP3IN)-(c_TMAP2IN)),2)))&gt;=0,1,0)))</f>
        <v>512</v>
      </c>
      <c r="G801" s="7" t="n">
        <f aca="false">IF(((1000)-(c_TMAP3IN))=0,(c_TMAP3OUT)+QUOTIENT(((1000)-(c_TMAP3OUT)),2),QUOTIENT((((A801)-(c_TMAP3IN))*((1000)-(c_TMAP3OUT))+IF(((1000)-(c_TMAP3OUT))&gt;=0,1,-1)*QUOTIENT(((1000)-(c_TMAP3IN)),2)),((1000)-(c_TMAP3IN)))+(c_TMAP3OUT)+IF(((1000)-(c_TMAP3OUT))&gt;=0,IF(IF(o_WRAP=1,MOD(((1000)-(c_TMAP3IN))*(((A801)-(c_TMAP3IN))*((1000)-(c_TMAP3OUT))+IF(((1000)-(c_TMAP3OUT))&gt;=0,1,-1)*QUOTIENT(((1000)-(c_TMAP3IN)),2))+2147483648,4294967296)-2147483648,((1000)-(c_TMAP3IN))*(((A801)-(c_TMAP3IN))*((1000)-(c_TMAP3OUT))+IF(((1000)-(c_TMAP3OUT))&gt;=0,1,-1)*QUOTIENT(((1000)-(c_TMAP3IN)),2)))&lt;0,-1,0),IF(IF(o_WRAP=1,MOD(((1000)-(c_TMAP3IN))*(((A801)-(c_TMAP3IN))*((1000)-(c_TMAP3OUT))+IF(((1000)-(c_TMAP3OUT))&gt;=0,1,-1)*QUOTIENT(((1000)-(c_TMAP3IN)),2))+2147483648,4294967296)-2147483648,((1000)-(c_TMAP3IN))*(((A801)-(c_TMAP3IN))*((1000)-(c_TMAP3OUT))+IF(((1000)-(c_TMAP3OUT))&gt;=0,1,-1)*QUOTIENT(((1000)-(c_TMAP3IN)),2)))&gt;=0,1,0)))</f>
        <v>749</v>
      </c>
      <c r="H801" s="7" t="str">
        <f aca="false">IF(A801&gt;=c_TFWD,IF(AND(A801&gt;=c_TMAP3IN,c_TMAP3IN&lt;1000),"Seg4 map3-100%",IF(AND(A801&gt;=c_TMAP2IN,c_TMAP3IN&gt;c_TMAP2IN),"Seg3 map2-map3",IF(AND(A801&gt;=c_TMAP1IN,c_TMAP2IN&gt;c_TMAP1IN),"Seg2 map1-map2","Seg1 TFWD-map1"))),IF(AND(A801=0,c_TCREEP&gt;0),"Creep",IF(AND(A801&lt;=c_TRNGMIN,A801&gt;=c_TRNGMAX,c_TRNGMIN-c_TRNGMAX&lt;&gt;0),"Regen ramp","Coast (0)")))</f>
        <v>Seg4 map3-100%</v>
      </c>
      <c r="I801" s="7" t="n">
        <f aca="false">IF(A801&gt;=c_TFWD,IF(AND(A801&gt;=c_TMAP3IN,c_TMAP3IN&lt;1000),G801,IF(AND(A801&gt;=c_TMAP2IN,c_TMAP3IN&gt;c_TMAP2IN),F801,IF(AND(A801&gt;=c_TMAP1IN,c_TMAP2IN&gt;c_TMAP1IN),E801,D801))),C801)</f>
        <v>749</v>
      </c>
      <c r="J801" s="7" t="str">
        <f aca="false">IF(I801&lt;-1090,"TOO LOW",IF(I801&gt;1090,"TOO HIGH",""))</f>
        <v/>
      </c>
      <c r="K801" s="15" t="n">
        <f aca="false">IF(J801&lt;&gt;"",0,IF(I801&gt;979,1000,I801))</f>
        <v>749</v>
      </c>
      <c r="L801" s="7" t="n">
        <f aca="false">K801/10</f>
        <v>74.9</v>
      </c>
    </row>
    <row r="802" customFormat="false" ht="15" hidden="false" customHeight="false" outlineLevel="0" collapsed="false">
      <c r="A802" s="7" t="n">
        <v>797</v>
      </c>
      <c r="B802" s="7" t="n">
        <f aca="false">A802/10</f>
        <v>79.7</v>
      </c>
      <c r="C802" s="7" t="n">
        <f aca="false">IF(AND(A802=0,c_TCREEP&gt;0),10*c_TCREEP,IF(AND(A802&lt;=c_TRNGMIN,A802&gt;=c_TRNGMAX,c_TRNGMIN-c_TRNGMAX&lt;&gt;0),-10*c_TMINRN+QUOTIENT((c_TMAXRN-c_TMINRN)*(100-QUOTIENT((A802-c_TRNGMAX)*100,c_TRNGMIN-c_TRNGMAX)),-10),0))</f>
        <v>0</v>
      </c>
      <c r="D802" s="7" t="n">
        <f aca="false">IF(((c_TMAP1IN)-(c_TFWD))=0,(0)+QUOTIENT(((c_TMAP1OUT)-(0)),2),QUOTIENT((((A802)-(c_TFWD))*((c_TMAP1OUT)-(0))+IF(((c_TMAP1OUT)-(0))&gt;=0,1,-1)*QUOTIENT(((c_TMAP1IN)-(c_TFWD)),2)),((c_TMAP1IN)-(c_TFWD)))+(0)+IF(((c_TMAP1OUT)-(0))&gt;=0,IF(IF(o_WRAP=1,MOD(((c_TMAP1IN)-(c_TFWD))*(((A802)-(c_TFWD))*((c_TMAP1OUT)-(0))+IF(((c_TMAP1OUT)-(0))&gt;=0,1,-1)*QUOTIENT(((c_TMAP1IN)-(c_TFWD)),2))+2147483648,4294967296)-2147483648,((c_TMAP1IN)-(c_TFWD))*(((A802)-(c_TFWD))*((c_TMAP1OUT)-(0))+IF(((c_TMAP1OUT)-(0))&gt;=0,1,-1)*QUOTIENT(((c_TMAP1IN)-(c_TFWD)),2)))&lt;0,-1,0),IF(IF(o_WRAP=1,MOD(((c_TMAP1IN)-(c_TFWD))*(((A802)-(c_TFWD))*((c_TMAP1OUT)-(0))+IF(((c_TMAP1OUT)-(0))&gt;=0,1,-1)*QUOTIENT(((c_TMAP1IN)-(c_TFWD)),2))+2147483648,4294967296)-2147483648,((c_TMAP1IN)-(c_TFWD))*(((A802)-(c_TFWD))*((c_TMAP1OUT)-(0))+IF(((c_TMAP1OUT)-(0))&gt;=0,1,-1)*QUOTIENT(((c_TMAP1IN)-(c_TFWD)),2)))&gt;=0,1,0)))</f>
        <v>612</v>
      </c>
      <c r="E802" s="7" t="n">
        <f aca="false">IF(((c_TMAP2IN)-(c_TMAP1IN))=0,(c_TMAP1OUT)+QUOTIENT(((c_TMAP2OUT)-(c_TMAP1OUT)),2),QUOTIENT((((A802)-(c_TMAP1IN))*((c_TMAP2OUT)-(c_TMAP1OUT))+IF(((c_TMAP2OUT)-(c_TMAP1OUT))&gt;=0,1,-1)*QUOTIENT(((c_TMAP2IN)-(c_TMAP1IN)),2)),((c_TMAP2IN)-(c_TMAP1IN)))+(c_TMAP1OUT)+IF(((c_TMAP2OUT)-(c_TMAP1OUT))&gt;=0,IF(IF(o_WRAP=1,MOD(((c_TMAP2IN)-(c_TMAP1IN))*(((A802)-(c_TMAP1IN))*((c_TMAP2OUT)-(c_TMAP1OUT))+IF(((c_TMAP2OUT)-(c_TMAP1OUT))&gt;=0,1,-1)*QUOTIENT(((c_TMAP2IN)-(c_TMAP1IN)),2))+2147483648,4294967296)-2147483648,((c_TMAP2IN)-(c_TMAP1IN))*(((A802)-(c_TMAP1IN))*((c_TMAP2OUT)-(c_TMAP1OUT))+IF(((c_TMAP2OUT)-(c_TMAP1OUT))&gt;=0,1,-1)*QUOTIENT(((c_TMAP2IN)-(c_TMAP1IN)),2)))&lt;0,-1,0),IF(IF(o_WRAP=1,MOD(((c_TMAP2IN)-(c_TMAP1IN))*(((A802)-(c_TMAP1IN))*((c_TMAP2OUT)-(c_TMAP1OUT))+IF(((c_TMAP2OUT)-(c_TMAP1OUT))&gt;=0,1,-1)*QUOTIENT(((c_TMAP2IN)-(c_TMAP1IN)),2))+2147483648,4294967296)-2147483648,((c_TMAP2IN)-(c_TMAP1IN))*(((A802)-(c_TMAP1IN))*((c_TMAP2OUT)-(c_TMAP1OUT))+IF(((c_TMAP2OUT)-(c_TMAP1OUT))&gt;=0,1,-1)*QUOTIENT(((c_TMAP2IN)-(c_TMAP1IN)),2)))&gt;=0,1,0)))</f>
        <v>349</v>
      </c>
      <c r="F802" s="7" t="n">
        <f aca="false">IF(((c_TMAP3IN)-(c_TMAP2IN))=0,(c_TMAP2OUT)+QUOTIENT(((c_TMAP3OUT)-(c_TMAP2OUT)),2),QUOTIENT((((A802)-(c_TMAP2IN))*((c_TMAP3OUT)-(c_TMAP2OUT))+IF(((c_TMAP3OUT)-(c_TMAP2OUT))&gt;=0,1,-1)*QUOTIENT(((c_TMAP3IN)-(c_TMAP2IN)),2)),((c_TMAP3IN)-(c_TMAP2IN)))+(c_TMAP2OUT)+IF(((c_TMAP3OUT)-(c_TMAP2OUT))&gt;=0,IF(IF(o_WRAP=1,MOD(((c_TMAP3IN)-(c_TMAP2IN))*(((A802)-(c_TMAP2IN))*((c_TMAP3OUT)-(c_TMAP2OUT))+IF(((c_TMAP3OUT)-(c_TMAP2OUT))&gt;=0,1,-1)*QUOTIENT(((c_TMAP3IN)-(c_TMAP2IN)),2))+2147483648,4294967296)-2147483648,((c_TMAP3IN)-(c_TMAP2IN))*(((A802)-(c_TMAP2IN))*((c_TMAP3OUT)-(c_TMAP2OUT))+IF(((c_TMAP3OUT)-(c_TMAP2OUT))&gt;=0,1,-1)*QUOTIENT(((c_TMAP3IN)-(c_TMAP2IN)),2)))&lt;0,-1,0),IF(IF(o_WRAP=1,MOD(((c_TMAP3IN)-(c_TMAP2IN))*(((A802)-(c_TMAP2IN))*((c_TMAP3OUT)-(c_TMAP2OUT))+IF(((c_TMAP3OUT)-(c_TMAP2OUT))&gt;=0,1,-1)*QUOTIENT(((c_TMAP3IN)-(c_TMAP2IN)),2))+2147483648,4294967296)-2147483648,((c_TMAP3IN)-(c_TMAP2IN))*(((A802)-(c_TMAP2IN))*((c_TMAP3OUT)-(c_TMAP2OUT))+IF(((c_TMAP3OUT)-(c_TMAP2OUT))&gt;=0,1,-1)*QUOTIENT(((c_TMAP3IN)-(c_TMAP2IN)),2)))&gt;=0,1,0)))</f>
        <v>513</v>
      </c>
      <c r="G802" s="7" t="n">
        <f aca="false">IF(((1000)-(c_TMAP3IN))=0,(c_TMAP3OUT)+QUOTIENT(((1000)-(c_TMAP3OUT)),2),QUOTIENT((((A802)-(c_TMAP3IN))*((1000)-(c_TMAP3OUT))+IF(((1000)-(c_TMAP3OUT))&gt;=0,1,-1)*QUOTIENT(((1000)-(c_TMAP3IN)),2)),((1000)-(c_TMAP3IN)))+(c_TMAP3OUT)+IF(((1000)-(c_TMAP3OUT))&gt;=0,IF(IF(o_WRAP=1,MOD(((1000)-(c_TMAP3IN))*(((A802)-(c_TMAP3IN))*((1000)-(c_TMAP3OUT))+IF(((1000)-(c_TMAP3OUT))&gt;=0,1,-1)*QUOTIENT(((1000)-(c_TMAP3IN)),2))+2147483648,4294967296)-2147483648,((1000)-(c_TMAP3IN))*(((A802)-(c_TMAP3IN))*((1000)-(c_TMAP3OUT))+IF(((1000)-(c_TMAP3OUT))&gt;=0,1,-1)*QUOTIENT(((1000)-(c_TMAP3IN)),2)))&lt;0,-1,0),IF(IF(o_WRAP=1,MOD(((1000)-(c_TMAP3IN))*(((A802)-(c_TMAP3IN))*((1000)-(c_TMAP3OUT))+IF(((1000)-(c_TMAP3OUT))&gt;=0,1,-1)*QUOTIENT(((1000)-(c_TMAP3IN)),2))+2147483648,4294967296)-2147483648,((1000)-(c_TMAP3IN))*(((A802)-(c_TMAP3IN))*((1000)-(c_TMAP3OUT))+IF(((1000)-(c_TMAP3OUT))&gt;=0,1,-1)*QUOTIENT(((1000)-(c_TMAP3IN)),2)))&gt;=0,1,0)))</f>
        <v>750</v>
      </c>
      <c r="H802" s="7" t="str">
        <f aca="false">IF(A802&gt;=c_TFWD,IF(AND(A802&gt;=c_TMAP3IN,c_TMAP3IN&lt;1000),"Seg4 map3-100%",IF(AND(A802&gt;=c_TMAP2IN,c_TMAP3IN&gt;c_TMAP2IN),"Seg3 map2-map3",IF(AND(A802&gt;=c_TMAP1IN,c_TMAP2IN&gt;c_TMAP1IN),"Seg2 map1-map2","Seg1 TFWD-map1"))),IF(AND(A802=0,c_TCREEP&gt;0),"Creep",IF(AND(A802&lt;=c_TRNGMIN,A802&gt;=c_TRNGMAX,c_TRNGMIN-c_TRNGMAX&lt;&gt;0),"Regen ramp","Coast (0)")))</f>
        <v>Seg4 map3-100%</v>
      </c>
      <c r="I802" s="7" t="n">
        <f aca="false">IF(A802&gt;=c_TFWD,IF(AND(A802&gt;=c_TMAP3IN,c_TMAP3IN&lt;1000),G802,IF(AND(A802&gt;=c_TMAP2IN,c_TMAP3IN&gt;c_TMAP2IN),F802,IF(AND(A802&gt;=c_TMAP1IN,c_TMAP2IN&gt;c_TMAP1IN),E802,D802))),C802)</f>
        <v>750</v>
      </c>
      <c r="J802" s="7" t="str">
        <f aca="false">IF(I802&lt;-1090,"TOO LOW",IF(I802&gt;1090,"TOO HIGH",""))</f>
        <v/>
      </c>
      <c r="K802" s="15" t="n">
        <f aca="false">IF(J802&lt;&gt;"",0,IF(I802&gt;979,1000,I802))</f>
        <v>750</v>
      </c>
      <c r="L802" s="7" t="n">
        <f aca="false">K802/10</f>
        <v>75</v>
      </c>
    </row>
    <row r="803" customFormat="false" ht="15" hidden="false" customHeight="false" outlineLevel="0" collapsed="false">
      <c r="A803" s="7" t="n">
        <v>798</v>
      </c>
      <c r="B803" s="7" t="n">
        <f aca="false">A803/10</f>
        <v>79.8</v>
      </c>
      <c r="C803" s="7" t="n">
        <f aca="false">IF(AND(A803=0,c_TCREEP&gt;0),10*c_TCREEP,IF(AND(A803&lt;=c_TRNGMIN,A803&gt;=c_TRNGMAX,c_TRNGMIN-c_TRNGMAX&lt;&gt;0),-10*c_TMINRN+QUOTIENT((c_TMAXRN-c_TMINRN)*(100-QUOTIENT((A803-c_TRNGMAX)*100,c_TRNGMIN-c_TRNGMAX)),-10),0))</f>
        <v>0</v>
      </c>
      <c r="D803" s="7" t="n">
        <f aca="false">IF(((c_TMAP1IN)-(c_TFWD))=0,(0)+QUOTIENT(((c_TMAP1OUT)-(0)),2),QUOTIENT((((A803)-(c_TFWD))*((c_TMAP1OUT)-(0))+IF(((c_TMAP1OUT)-(0))&gt;=0,1,-1)*QUOTIENT(((c_TMAP1IN)-(c_TFWD)),2)),((c_TMAP1IN)-(c_TFWD)))+(0)+IF(((c_TMAP1OUT)-(0))&gt;=0,IF(IF(o_WRAP=1,MOD(((c_TMAP1IN)-(c_TFWD))*(((A803)-(c_TFWD))*((c_TMAP1OUT)-(0))+IF(((c_TMAP1OUT)-(0))&gt;=0,1,-1)*QUOTIENT(((c_TMAP1IN)-(c_TFWD)),2))+2147483648,4294967296)-2147483648,((c_TMAP1IN)-(c_TFWD))*(((A803)-(c_TFWD))*((c_TMAP1OUT)-(0))+IF(((c_TMAP1OUT)-(0))&gt;=0,1,-1)*QUOTIENT(((c_TMAP1IN)-(c_TFWD)),2)))&lt;0,-1,0),IF(IF(o_WRAP=1,MOD(((c_TMAP1IN)-(c_TFWD))*(((A803)-(c_TFWD))*((c_TMAP1OUT)-(0))+IF(((c_TMAP1OUT)-(0))&gt;=0,1,-1)*QUOTIENT(((c_TMAP1IN)-(c_TFWD)),2))+2147483648,4294967296)-2147483648,((c_TMAP1IN)-(c_TFWD))*(((A803)-(c_TFWD))*((c_TMAP1OUT)-(0))+IF(((c_TMAP1OUT)-(0))&gt;=0,1,-1)*QUOTIENT(((c_TMAP1IN)-(c_TFWD)),2)))&gt;=0,1,0)))</f>
        <v>613</v>
      </c>
      <c r="E803" s="7" t="n">
        <f aca="false">IF(((c_TMAP2IN)-(c_TMAP1IN))=0,(c_TMAP1OUT)+QUOTIENT(((c_TMAP2OUT)-(c_TMAP1OUT)),2),QUOTIENT((((A803)-(c_TMAP1IN))*((c_TMAP2OUT)-(c_TMAP1OUT))+IF(((c_TMAP2OUT)-(c_TMAP1OUT))&gt;=0,1,-1)*QUOTIENT(((c_TMAP2IN)-(c_TMAP1IN)),2)),((c_TMAP2IN)-(c_TMAP1IN)))+(c_TMAP1OUT)+IF(((c_TMAP2OUT)-(c_TMAP1OUT))&gt;=0,IF(IF(o_WRAP=1,MOD(((c_TMAP2IN)-(c_TMAP1IN))*(((A803)-(c_TMAP1IN))*((c_TMAP2OUT)-(c_TMAP1OUT))+IF(((c_TMAP2OUT)-(c_TMAP1OUT))&gt;=0,1,-1)*QUOTIENT(((c_TMAP2IN)-(c_TMAP1IN)),2))+2147483648,4294967296)-2147483648,((c_TMAP2IN)-(c_TMAP1IN))*(((A803)-(c_TMAP1IN))*((c_TMAP2OUT)-(c_TMAP1OUT))+IF(((c_TMAP2OUT)-(c_TMAP1OUT))&gt;=0,1,-1)*QUOTIENT(((c_TMAP2IN)-(c_TMAP1IN)),2)))&lt;0,-1,0),IF(IF(o_WRAP=1,MOD(((c_TMAP2IN)-(c_TMAP1IN))*(((A803)-(c_TMAP1IN))*((c_TMAP2OUT)-(c_TMAP1OUT))+IF(((c_TMAP2OUT)-(c_TMAP1OUT))&gt;=0,1,-1)*QUOTIENT(((c_TMAP2IN)-(c_TMAP1IN)),2))+2147483648,4294967296)-2147483648,((c_TMAP2IN)-(c_TMAP1IN))*(((A803)-(c_TMAP1IN))*((c_TMAP2OUT)-(c_TMAP1OUT))+IF(((c_TMAP2OUT)-(c_TMAP1OUT))&gt;=0,1,-1)*QUOTIENT(((c_TMAP2IN)-(c_TMAP1IN)),2)))&gt;=0,1,0)))</f>
        <v>349</v>
      </c>
      <c r="F803" s="7" t="n">
        <f aca="false">IF(((c_TMAP3IN)-(c_TMAP2IN))=0,(c_TMAP2OUT)+QUOTIENT(((c_TMAP3OUT)-(c_TMAP2OUT)),2),QUOTIENT((((A803)-(c_TMAP2IN))*((c_TMAP3OUT)-(c_TMAP2OUT))+IF(((c_TMAP3OUT)-(c_TMAP2OUT))&gt;=0,1,-1)*QUOTIENT(((c_TMAP3IN)-(c_TMAP2IN)),2)),((c_TMAP3IN)-(c_TMAP2IN)))+(c_TMAP2OUT)+IF(((c_TMAP3OUT)-(c_TMAP2OUT))&gt;=0,IF(IF(o_WRAP=1,MOD(((c_TMAP3IN)-(c_TMAP2IN))*(((A803)-(c_TMAP2IN))*((c_TMAP3OUT)-(c_TMAP2OUT))+IF(((c_TMAP3OUT)-(c_TMAP2OUT))&gt;=0,1,-1)*QUOTIENT(((c_TMAP3IN)-(c_TMAP2IN)),2))+2147483648,4294967296)-2147483648,((c_TMAP3IN)-(c_TMAP2IN))*(((A803)-(c_TMAP2IN))*((c_TMAP3OUT)-(c_TMAP2OUT))+IF(((c_TMAP3OUT)-(c_TMAP2OUT))&gt;=0,1,-1)*QUOTIENT(((c_TMAP3IN)-(c_TMAP2IN)),2)))&lt;0,-1,0),IF(IF(o_WRAP=1,MOD(((c_TMAP3IN)-(c_TMAP2IN))*(((A803)-(c_TMAP2IN))*((c_TMAP3OUT)-(c_TMAP2OUT))+IF(((c_TMAP3OUT)-(c_TMAP2OUT))&gt;=0,1,-1)*QUOTIENT(((c_TMAP3IN)-(c_TMAP2IN)),2))+2147483648,4294967296)-2147483648,((c_TMAP3IN)-(c_TMAP2IN))*(((A803)-(c_TMAP2IN))*((c_TMAP3OUT)-(c_TMAP2OUT))+IF(((c_TMAP3OUT)-(c_TMAP2OUT))&gt;=0,1,-1)*QUOTIENT(((c_TMAP3IN)-(c_TMAP2IN)),2)))&gt;=0,1,0)))</f>
        <v>514</v>
      </c>
      <c r="G803" s="7" t="n">
        <f aca="false">IF(((1000)-(c_TMAP3IN))=0,(c_TMAP3OUT)+QUOTIENT(((1000)-(c_TMAP3OUT)),2),QUOTIENT((((A803)-(c_TMAP3IN))*((1000)-(c_TMAP3OUT))+IF(((1000)-(c_TMAP3OUT))&gt;=0,1,-1)*QUOTIENT(((1000)-(c_TMAP3IN)),2)),((1000)-(c_TMAP3IN)))+(c_TMAP3OUT)+IF(((1000)-(c_TMAP3OUT))&gt;=0,IF(IF(o_WRAP=1,MOD(((1000)-(c_TMAP3IN))*(((A803)-(c_TMAP3IN))*((1000)-(c_TMAP3OUT))+IF(((1000)-(c_TMAP3OUT))&gt;=0,1,-1)*QUOTIENT(((1000)-(c_TMAP3IN)),2))+2147483648,4294967296)-2147483648,((1000)-(c_TMAP3IN))*(((A803)-(c_TMAP3IN))*((1000)-(c_TMAP3OUT))+IF(((1000)-(c_TMAP3OUT))&gt;=0,1,-1)*QUOTIENT(((1000)-(c_TMAP3IN)),2)))&lt;0,-1,0),IF(IF(o_WRAP=1,MOD(((1000)-(c_TMAP3IN))*(((A803)-(c_TMAP3IN))*((1000)-(c_TMAP3OUT))+IF(((1000)-(c_TMAP3OUT))&gt;=0,1,-1)*QUOTIENT(((1000)-(c_TMAP3IN)),2))+2147483648,4294967296)-2147483648,((1000)-(c_TMAP3IN))*(((A803)-(c_TMAP3IN))*((1000)-(c_TMAP3OUT))+IF(((1000)-(c_TMAP3OUT))&gt;=0,1,-1)*QUOTIENT(((1000)-(c_TMAP3IN)),2)))&gt;=0,1,0)))</f>
        <v>751</v>
      </c>
      <c r="H803" s="7" t="str">
        <f aca="false">IF(A803&gt;=c_TFWD,IF(AND(A803&gt;=c_TMAP3IN,c_TMAP3IN&lt;1000),"Seg4 map3-100%",IF(AND(A803&gt;=c_TMAP2IN,c_TMAP3IN&gt;c_TMAP2IN),"Seg3 map2-map3",IF(AND(A803&gt;=c_TMAP1IN,c_TMAP2IN&gt;c_TMAP1IN),"Seg2 map1-map2","Seg1 TFWD-map1"))),IF(AND(A803=0,c_TCREEP&gt;0),"Creep",IF(AND(A803&lt;=c_TRNGMIN,A803&gt;=c_TRNGMAX,c_TRNGMIN-c_TRNGMAX&lt;&gt;0),"Regen ramp","Coast (0)")))</f>
        <v>Seg4 map3-100%</v>
      </c>
      <c r="I803" s="7" t="n">
        <f aca="false">IF(A803&gt;=c_TFWD,IF(AND(A803&gt;=c_TMAP3IN,c_TMAP3IN&lt;1000),G803,IF(AND(A803&gt;=c_TMAP2IN,c_TMAP3IN&gt;c_TMAP2IN),F803,IF(AND(A803&gt;=c_TMAP1IN,c_TMAP2IN&gt;c_TMAP1IN),E803,D803))),C803)</f>
        <v>751</v>
      </c>
      <c r="J803" s="7" t="str">
        <f aca="false">IF(I803&lt;-1090,"TOO LOW",IF(I803&gt;1090,"TOO HIGH",""))</f>
        <v/>
      </c>
      <c r="K803" s="15" t="n">
        <f aca="false">IF(J803&lt;&gt;"",0,IF(I803&gt;979,1000,I803))</f>
        <v>751</v>
      </c>
      <c r="L803" s="7" t="n">
        <f aca="false">K803/10</f>
        <v>75.1</v>
      </c>
    </row>
    <row r="804" customFormat="false" ht="15" hidden="false" customHeight="false" outlineLevel="0" collapsed="false">
      <c r="A804" s="7" t="n">
        <v>799</v>
      </c>
      <c r="B804" s="7" t="n">
        <f aca="false">A804/10</f>
        <v>79.9</v>
      </c>
      <c r="C804" s="7" t="n">
        <f aca="false">IF(AND(A804=0,c_TCREEP&gt;0),10*c_TCREEP,IF(AND(A804&lt;=c_TRNGMIN,A804&gt;=c_TRNGMAX,c_TRNGMIN-c_TRNGMAX&lt;&gt;0),-10*c_TMINRN+QUOTIENT((c_TMAXRN-c_TMINRN)*(100-QUOTIENT((A804-c_TRNGMAX)*100,c_TRNGMIN-c_TRNGMAX)),-10),0))</f>
        <v>0</v>
      </c>
      <c r="D804" s="7" t="n">
        <f aca="false">IF(((c_TMAP1IN)-(c_TFWD))=0,(0)+QUOTIENT(((c_TMAP1OUT)-(0)),2),QUOTIENT((((A804)-(c_TFWD))*((c_TMAP1OUT)-(0))+IF(((c_TMAP1OUT)-(0))&gt;=0,1,-1)*QUOTIENT(((c_TMAP1IN)-(c_TFWD)),2)),((c_TMAP1IN)-(c_TFWD)))+(0)+IF(((c_TMAP1OUT)-(0))&gt;=0,IF(IF(o_WRAP=1,MOD(((c_TMAP1IN)-(c_TFWD))*(((A804)-(c_TFWD))*((c_TMAP1OUT)-(0))+IF(((c_TMAP1OUT)-(0))&gt;=0,1,-1)*QUOTIENT(((c_TMAP1IN)-(c_TFWD)),2))+2147483648,4294967296)-2147483648,((c_TMAP1IN)-(c_TFWD))*(((A804)-(c_TFWD))*((c_TMAP1OUT)-(0))+IF(((c_TMAP1OUT)-(0))&gt;=0,1,-1)*QUOTIENT(((c_TMAP1IN)-(c_TFWD)),2)))&lt;0,-1,0),IF(IF(o_WRAP=1,MOD(((c_TMAP1IN)-(c_TFWD))*(((A804)-(c_TFWD))*((c_TMAP1OUT)-(0))+IF(((c_TMAP1OUT)-(0))&gt;=0,1,-1)*QUOTIENT(((c_TMAP1IN)-(c_TFWD)),2))+2147483648,4294967296)-2147483648,((c_TMAP1IN)-(c_TFWD))*(((A804)-(c_TFWD))*((c_TMAP1OUT)-(0))+IF(((c_TMAP1OUT)-(0))&gt;=0,1,-1)*QUOTIENT(((c_TMAP1IN)-(c_TFWD)),2)))&gt;=0,1,0)))</f>
        <v>614</v>
      </c>
      <c r="E804" s="7" t="n">
        <f aca="false">IF(((c_TMAP2IN)-(c_TMAP1IN))=0,(c_TMAP1OUT)+QUOTIENT(((c_TMAP2OUT)-(c_TMAP1OUT)),2),QUOTIENT((((A804)-(c_TMAP1IN))*((c_TMAP2OUT)-(c_TMAP1OUT))+IF(((c_TMAP2OUT)-(c_TMAP1OUT))&gt;=0,1,-1)*QUOTIENT(((c_TMAP2IN)-(c_TMAP1IN)),2)),((c_TMAP2IN)-(c_TMAP1IN)))+(c_TMAP1OUT)+IF(((c_TMAP2OUT)-(c_TMAP1OUT))&gt;=0,IF(IF(o_WRAP=1,MOD(((c_TMAP2IN)-(c_TMAP1IN))*(((A804)-(c_TMAP1IN))*((c_TMAP2OUT)-(c_TMAP1OUT))+IF(((c_TMAP2OUT)-(c_TMAP1OUT))&gt;=0,1,-1)*QUOTIENT(((c_TMAP2IN)-(c_TMAP1IN)),2))+2147483648,4294967296)-2147483648,((c_TMAP2IN)-(c_TMAP1IN))*(((A804)-(c_TMAP1IN))*((c_TMAP2OUT)-(c_TMAP1OUT))+IF(((c_TMAP2OUT)-(c_TMAP1OUT))&gt;=0,1,-1)*QUOTIENT(((c_TMAP2IN)-(c_TMAP1IN)),2)))&lt;0,-1,0),IF(IF(o_WRAP=1,MOD(((c_TMAP2IN)-(c_TMAP1IN))*(((A804)-(c_TMAP1IN))*((c_TMAP2OUT)-(c_TMAP1OUT))+IF(((c_TMAP2OUT)-(c_TMAP1OUT))&gt;=0,1,-1)*QUOTIENT(((c_TMAP2IN)-(c_TMAP1IN)),2))+2147483648,4294967296)-2147483648,((c_TMAP2IN)-(c_TMAP1IN))*(((A804)-(c_TMAP1IN))*((c_TMAP2OUT)-(c_TMAP1OUT))+IF(((c_TMAP2OUT)-(c_TMAP1OUT))&gt;=0,1,-1)*QUOTIENT(((c_TMAP2IN)-(c_TMAP1IN)),2)))&gt;=0,1,0)))</f>
        <v>350</v>
      </c>
      <c r="F804" s="7" t="n">
        <f aca="false">IF(((c_TMAP3IN)-(c_TMAP2IN))=0,(c_TMAP2OUT)+QUOTIENT(((c_TMAP3OUT)-(c_TMAP2OUT)),2),QUOTIENT((((A804)-(c_TMAP2IN))*((c_TMAP3OUT)-(c_TMAP2OUT))+IF(((c_TMAP3OUT)-(c_TMAP2OUT))&gt;=0,1,-1)*QUOTIENT(((c_TMAP3IN)-(c_TMAP2IN)),2)),((c_TMAP3IN)-(c_TMAP2IN)))+(c_TMAP2OUT)+IF(((c_TMAP3OUT)-(c_TMAP2OUT))&gt;=0,IF(IF(o_WRAP=1,MOD(((c_TMAP3IN)-(c_TMAP2IN))*(((A804)-(c_TMAP2IN))*((c_TMAP3OUT)-(c_TMAP2OUT))+IF(((c_TMAP3OUT)-(c_TMAP2OUT))&gt;=0,1,-1)*QUOTIENT(((c_TMAP3IN)-(c_TMAP2IN)),2))+2147483648,4294967296)-2147483648,((c_TMAP3IN)-(c_TMAP2IN))*(((A804)-(c_TMAP2IN))*((c_TMAP3OUT)-(c_TMAP2OUT))+IF(((c_TMAP3OUT)-(c_TMAP2OUT))&gt;=0,1,-1)*QUOTIENT(((c_TMAP3IN)-(c_TMAP2IN)),2)))&lt;0,-1,0),IF(IF(o_WRAP=1,MOD(((c_TMAP3IN)-(c_TMAP2IN))*(((A804)-(c_TMAP2IN))*((c_TMAP3OUT)-(c_TMAP2OUT))+IF(((c_TMAP3OUT)-(c_TMAP2OUT))&gt;=0,1,-1)*QUOTIENT(((c_TMAP3IN)-(c_TMAP2IN)),2))+2147483648,4294967296)-2147483648,((c_TMAP3IN)-(c_TMAP2IN))*(((A804)-(c_TMAP2IN))*((c_TMAP3OUT)-(c_TMAP2OUT))+IF(((c_TMAP3OUT)-(c_TMAP2OUT))&gt;=0,1,-1)*QUOTIENT(((c_TMAP3IN)-(c_TMAP2IN)),2)))&gt;=0,1,0)))</f>
        <v>514</v>
      </c>
      <c r="G804" s="7" t="n">
        <f aca="false">IF(((1000)-(c_TMAP3IN))=0,(c_TMAP3OUT)+QUOTIENT(((1000)-(c_TMAP3OUT)),2),QUOTIENT((((A804)-(c_TMAP3IN))*((1000)-(c_TMAP3OUT))+IF(((1000)-(c_TMAP3OUT))&gt;=0,1,-1)*QUOTIENT(((1000)-(c_TMAP3IN)),2)),((1000)-(c_TMAP3IN)))+(c_TMAP3OUT)+IF(((1000)-(c_TMAP3OUT))&gt;=0,IF(IF(o_WRAP=1,MOD(((1000)-(c_TMAP3IN))*(((A804)-(c_TMAP3IN))*((1000)-(c_TMAP3OUT))+IF(((1000)-(c_TMAP3OUT))&gt;=0,1,-1)*QUOTIENT(((1000)-(c_TMAP3IN)),2))+2147483648,4294967296)-2147483648,((1000)-(c_TMAP3IN))*(((A804)-(c_TMAP3IN))*((1000)-(c_TMAP3OUT))+IF(((1000)-(c_TMAP3OUT))&gt;=0,1,-1)*QUOTIENT(((1000)-(c_TMAP3IN)),2)))&lt;0,-1,0),IF(IF(o_WRAP=1,MOD(((1000)-(c_TMAP3IN))*(((A804)-(c_TMAP3IN))*((1000)-(c_TMAP3OUT))+IF(((1000)-(c_TMAP3OUT))&gt;=0,1,-1)*QUOTIENT(((1000)-(c_TMAP3IN)),2))+2147483648,4294967296)-2147483648,((1000)-(c_TMAP3IN))*(((A804)-(c_TMAP3IN))*((1000)-(c_TMAP3OUT))+IF(((1000)-(c_TMAP3OUT))&gt;=0,1,-1)*QUOTIENT(((1000)-(c_TMAP3IN)),2)))&gt;=0,1,0)))</f>
        <v>753</v>
      </c>
      <c r="H804" s="7" t="str">
        <f aca="false">IF(A804&gt;=c_TFWD,IF(AND(A804&gt;=c_TMAP3IN,c_TMAP3IN&lt;1000),"Seg4 map3-100%",IF(AND(A804&gt;=c_TMAP2IN,c_TMAP3IN&gt;c_TMAP2IN),"Seg3 map2-map3",IF(AND(A804&gt;=c_TMAP1IN,c_TMAP2IN&gt;c_TMAP1IN),"Seg2 map1-map2","Seg1 TFWD-map1"))),IF(AND(A804=0,c_TCREEP&gt;0),"Creep",IF(AND(A804&lt;=c_TRNGMIN,A804&gt;=c_TRNGMAX,c_TRNGMIN-c_TRNGMAX&lt;&gt;0),"Regen ramp","Coast (0)")))</f>
        <v>Seg4 map3-100%</v>
      </c>
      <c r="I804" s="7" t="n">
        <f aca="false">IF(A804&gt;=c_TFWD,IF(AND(A804&gt;=c_TMAP3IN,c_TMAP3IN&lt;1000),G804,IF(AND(A804&gt;=c_TMAP2IN,c_TMAP3IN&gt;c_TMAP2IN),F804,IF(AND(A804&gt;=c_TMAP1IN,c_TMAP2IN&gt;c_TMAP1IN),E804,D804))),C804)</f>
        <v>753</v>
      </c>
      <c r="J804" s="7" t="str">
        <f aca="false">IF(I804&lt;-1090,"TOO LOW",IF(I804&gt;1090,"TOO HIGH",""))</f>
        <v/>
      </c>
      <c r="K804" s="15" t="n">
        <f aca="false">IF(J804&lt;&gt;"",0,IF(I804&gt;979,1000,I804))</f>
        <v>753</v>
      </c>
      <c r="L804" s="7" t="n">
        <f aca="false">K804/10</f>
        <v>75.3</v>
      </c>
    </row>
    <row r="805" customFormat="false" ht="15" hidden="false" customHeight="false" outlineLevel="0" collapsed="false">
      <c r="A805" s="7" t="n">
        <v>800</v>
      </c>
      <c r="B805" s="7" t="n">
        <f aca="false">A805/10</f>
        <v>80</v>
      </c>
      <c r="C805" s="7" t="n">
        <f aca="false">IF(AND(A805=0,c_TCREEP&gt;0),10*c_TCREEP,IF(AND(A805&lt;=c_TRNGMIN,A805&gt;=c_TRNGMAX,c_TRNGMIN-c_TRNGMAX&lt;&gt;0),-10*c_TMINRN+QUOTIENT((c_TMAXRN-c_TMINRN)*(100-QUOTIENT((A805-c_TRNGMAX)*100,c_TRNGMIN-c_TRNGMAX)),-10),0))</f>
        <v>0</v>
      </c>
      <c r="D805" s="7" t="n">
        <f aca="false">IF(((c_TMAP1IN)-(c_TFWD))=0,(0)+QUOTIENT(((c_TMAP1OUT)-(0)),2),QUOTIENT((((A805)-(c_TFWD))*((c_TMAP1OUT)-(0))+IF(((c_TMAP1OUT)-(0))&gt;=0,1,-1)*QUOTIENT(((c_TMAP1IN)-(c_TFWD)),2)),((c_TMAP1IN)-(c_TFWD)))+(0)+IF(((c_TMAP1OUT)-(0))&gt;=0,IF(IF(o_WRAP=1,MOD(((c_TMAP1IN)-(c_TFWD))*(((A805)-(c_TFWD))*((c_TMAP1OUT)-(0))+IF(((c_TMAP1OUT)-(0))&gt;=0,1,-1)*QUOTIENT(((c_TMAP1IN)-(c_TFWD)),2))+2147483648,4294967296)-2147483648,((c_TMAP1IN)-(c_TFWD))*(((A805)-(c_TFWD))*((c_TMAP1OUT)-(0))+IF(((c_TMAP1OUT)-(0))&gt;=0,1,-1)*QUOTIENT(((c_TMAP1IN)-(c_TFWD)),2)))&lt;0,-1,0),IF(IF(o_WRAP=1,MOD(((c_TMAP1IN)-(c_TFWD))*(((A805)-(c_TFWD))*((c_TMAP1OUT)-(0))+IF(((c_TMAP1OUT)-(0))&gt;=0,1,-1)*QUOTIENT(((c_TMAP1IN)-(c_TFWD)),2))+2147483648,4294967296)-2147483648,((c_TMAP1IN)-(c_TFWD))*(((A805)-(c_TFWD))*((c_TMAP1OUT)-(0))+IF(((c_TMAP1OUT)-(0))&gt;=0,1,-1)*QUOTIENT(((c_TMAP1IN)-(c_TFWD)),2)))&gt;=0,1,0)))</f>
        <v>614</v>
      </c>
      <c r="E805" s="7" t="n">
        <f aca="false">IF(((c_TMAP2IN)-(c_TMAP1IN))=0,(c_TMAP1OUT)+QUOTIENT(((c_TMAP2OUT)-(c_TMAP1OUT)),2),QUOTIENT((((A805)-(c_TMAP1IN))*((c_TMAP2OUT)-(c_TMAP1OUT))+IF(((c_TMAP2OUT)-(c_TMAP1OUT))&gt;=0,1,-1)*QUOTIENT(((c_TMAP2IN)-(c_TMAP1IN)),2)),((c_TMAP2IN)-(c_TMAP1IN)))+(c_TMAP1OUT)+IF(((c_TMAP2OUT)-(c_TMAP1OUT))&gt;=0,IF(IF(o_WRAP=1,MOD(((c_TMAP2IN)-(c_TMAP1IN))*(((A805)-(c_TMAP1IN))*((c_TMAP2OUT)-(c_TMAP1OUT))+IF(((c_TMAP2OUT)-(c_TMAP1OUT))&gt;=0,1,-1)*QUOTIENT(((c_TMAP2IN)-(c_TMAP1IN)),2))+2147483648,4294967296)-2147483648,((c_TMAP2IN)-(c_TMAP1IN))*(((A805)-(c_TMAP1IN))*((c_TMAP2OUT)-(c_TMAP1OUT))+IF(((c_TMAP2OUT)-(c_TMAP1OUT))&gt;=0,1,-1)*QUOTIENT(((c_TMAP2IN)-(c_TMAP1IN)),2)))&lt;0,-1,0),IF(IF(o_WRAP=1,MOD(((c_TMAP2IN)-(c_TMAP1IN))*(((A805)-(c_TMAP1IN))*((c_TMAP2OUT)-(c_TMAP1OUT))+IF(((c_TMAP2OUT)-(c_TMAP1OUT))&gt;=0,1,-1)*QUOTIENT(((c_TMAP2IN)-(c_TMAP1IN)),2))+2147483648,4294967296)-2147483648,((c_TMAP2IN)-(c_TMAP1IN))*(((A805)-(c_TMAP1IN))*((c_TMAP2OUT)-(c_TMAP1OUT))+IF(((c_TMAP2OUT)-(c_TMAP1OUT))&gt;=0,1,-1)*QUOTIENT(((c_TMAP2IN)-(c_TMAP1IN)),2)))&gt;=0,1,0)))</f>
        <v>350</v>
      </c>
      <c r="F805" s="7" t="n">
        <f aca="false">IF(((c_TMAP3IN)-(c_TMAP2IN))=0,(c_TMAP2OUT)+QUOTIENT(((c_TMAP3OUT)-(c_TMAP2OUT)),2),QUOTIENT((((A805)-(c_TMAP2IN))*((c_TMAP3OUT)-(c_TMAP2OUT))+IF(((c_TMAP3OUT)-(c_TMAP2OUT))&gt;=0,1,-1)*QUOTIENT(((c_TMAP3IN)-(c_TMAP2IN)),2)),((c_TMAP3IN)-(c_TMAP2IN)))+(c_TMAP2OUT)+IF(((c_TMAP3OUT)-(c_TMAP2OUT))&gt;=0,IF(IF(o_WRAP=1,MOD(((c_TMAP3IN)-(c_TMAP2IN))*(((A805)-(c_TMAP2IN))*((c_TMAP3OUT)-(c_TMAP2OUT))+IF(((c_TMAP3OUT)-(c_TMAP2OUT))&gt;=0,1,-1)*QUOTIENT(((c_TMAP3IN)-(c_TMAP2IN)),2))+2147483648,4294967296)-2147483648,((c_TMAP3IN)-(c_TMAP2IN))*(((A805)-(c_TMAP2IN))*((c_TMAP3OUT)-(c_TMAP2OUT))+IF(((c_TMAP3OUT)-(c_TMAP2OUT))&gt;=0,1,-1)*QUOTIENT(((c_TMAP3IN)-(c_TMAP2IN)),2)))&lt;0,-1,0),IF(IF(o_WRAP=1,MOD(((c_TMAP3IN)-(c_TMAP2IN))*(((A805)-(c_TMAP2IN))*((c_TMAP3OUT)-(c_TMAP2OUT))+IF(((c_TMAP3OUT)-(c_TMAP2OUT))&gt;=0,1,-1)*QUOTIENT(((c_TMAP3IN)-(c_TMAP2IN)),2))+2147483648,4294967296)-2147483648,((c_TMAP3IN)-(c_TMAP2IN))*(((A805)-(c_TMAP2IN))*((c_TMAP3OUT)-(c_TMAP2OUT))+IF(((c_TMAP3OUT)-(c_TMAP2OUT))&gt;=0,1,-1)*QUOTIENT(((c_TMAP3IN)-(c_TMAP2IN)),2)))&gt;=0,1,0)))</f>
        <v>515</v>
      </c>
      <c r="G805" s="7" t="n">
        <f aca="false">IF(((1000)-(c_TMAP3IN))=0,(c_TMAP3OUT)+QUOTIENT(((1000)-(c_TMAP3OUT)),2),QUOTIENT((((A805)-(c_TMAP3IN))*((1000)-(c_TMAP3OUT))+IF(((1000)-(c_TMAP3OUT))&gt;=0,1,-1)*QUOTIENT(((1000)-(c_TMAP3IN)),2)),((1000)-(c_TMAP3IN)))+(c_TMAP3OUT)+IF(((1000)-(c_TMAP3OUT))&gt;=0,IF(IF(o_WRAP=1,MOD(((1000)-(c_TMAP3IN))*(((A805)-(c_TMAP3IN))*((1000)-(c_TMAP3OUT))+IF(((1000)-(c_TMAP3OUT))&gt;=0,1,-1)*QUOTIENT(((1000)-(c_TMAP3IN)),2))+2147483648,4294967296)-2147483648,((1000)-(c_TMAP3IN))*(((A805)-(c_TMAP3IN))*((1000)-(c_TMAP3OUT))+IF(((1000)-(c_TMAP3OUT))&gt;=0,1,-1)*QUOTIENT(((1000)-(c_TMAP3IN)),2)))&lt;0,-1,0),IF(IF(o_WRAP=1,MOD(((1000)-(c_TMAP3IN))*(((A805)-(c_TMAP3IN))*((1000)-(c_TMAP3OUT))+IF(((1000)-(c_TMAP3OUT))&gt;=0,1,-1)*QUOTIENT(((1000)-(c_TMAP3IN)),2))+2147483648,4294967296)-2147483648,((1000)-(c_TMAP3IN))*(((A805)-(c_TMAP3IN))*((1000)-(c_TMAP3OUT))+IF(((1000)-(c_TMAP3OUT))&gt;=0,1,-1)*QUOTIENT(((1000)-(c_TMAP3IN)),2)))&gt;=0,1,0)))</f>
        <v>754</v>
      </c>
      <c r="H805" s="7" t="str">
        <f aca="false">IF(A805&gt;=c_TFWD,IF(AND(A805&gt;=c_TMAP3IN,c_TMAP3IN&lt;1000),"Seg4 map3-100%",IF(AND(A805&gt;=c_TMAP2IN,c_TMAP3IN&gt;c_TMAP2IN),"Seg3 map2-map3",IF(AND(A805&gt;=c_TMAP1IN,c_TMAP2IN&gt;c_TMAP1IN),"Seg2 map1-map2","Seg1 TFWD-map1"))),IF(AND(A805=0,c_TCREEP&gt;0),"Creep",IF(AND(A805&lt;=c_TRNGMIN,A805&gt;=c_TRNGMAX,c_TRNGMIN-c_TRNGMAX&lt;&gt;0),"Regen ramp","Coast (0)")))</f>
        <v>Seg4 map3-100%</v>
      </c>
      <c r="I805" s="7" t="n">
        <f aca="false">IF(A805&gt;=c_TFWD,IF(AND(A805&gt;=c_TMAP3IN,c_TMAP3IN&lt;1000),G805,IF(AND(A805&gt;=c_TMAP2IN,c_TMAP3IN&gt;c_TMAP2IN),F805,IF(AND(A805&gt;=c_TMAP1IN,c_TMAP2IN&gt;c_TMAP1IN),E805,D805))),C805)</f>
        <v>754</v>
      </c>
      <c r="J805" s="7" t="str">
        <f aca="false">IF(I805&lt;-1090,"TOO LOW",IF(I805&gt;1090,"TOO HIGH",""))</f>
        <v/>
      </c>
      <c r="K805" s="15" t="n">
        <f aca="false">IF(J805&lt;&gt;"",0,IF(I805&gt;979,1000,I805))</f>
        <v>754</v>
      </c>
      <c r="L805" s="7" t="n">
        <f aca="false">K805/10</f>
        <v>75.4</v>
      </c>
    </row>
    <row r="806" customFormat="false" ht="15" hidden="false" customHeight="false" outlineLevel="0" collapsed="false">
      <c r="A806" s="7" t="n">
        <v>801</v>
      </c>
      <c r="B806" s="7" t="n">
        <f aca="false">A806/10</f>
        <v>80.1</v>
      </c>
      <c r="C806" s="7" t="n">
        <f aca="false">IF(AND(A806=0,c_TCREEP&gt;0),10*c_TCREEP,IF(AND(A806&lt;=c_TRNGMIN,A806&gt;=c_TRNGMAX,c_TRNGMIN-c_TRNGMAX&lt;&gt;0),-10*c_TMINRN+QUOTIENT((c_TMAXRN-c_TMINRN)*(100-QUOTIENT((A806-c_TRNGMAX)*100,c_TRNGMIN-c_TRNGMAX)),-10),0))</f>
        <v>0</v>
      </c>
      <c r="D806" s="7" t="n">
        <f aca="false">IF(((c_TMAP1IN)-(c_TFWD))=0,(0)+QUOTIENT(((c_TMAP1OUT)-(0)),2),QUOTIENT((((A806)-(c_TFWD))*((c_TMAP1OUT)-(0))+IF(((c_TMAP1OUT)-(0))&gt;=0,1,-1)*QUOTIENT(((c_TMAP1IN)-(c_TFWD)),2)),((c_TMAP1IN)-(c_TFWD)))+(0)+IF(((c_TMAP1OUT)-(0))&gt;=0,IF(IF(o_WRAP=1,MOD(((c_TMAP1IN)-(c_TFWD))*(((A806)-(c_TFWD))*((c_TMAP1OUT)-(0))+IF(((c_TMAP1OUT)-(0))&gt;=0,1,-1)*QUOTIENT(((c_TMAP1IN)-(c_TFWD)),2))+2147483648,4294967296)-2147483648,((c_TMAP1IN)-(c_TFWD))*(((A806)-(c_TFWD))*((c_TMAP1OUT)-(0))+IF(((c_TMAP1OUT)-(0))&gt;=0,1,-1)*QUOTIENT(((c_TMAP1IN)-(c_TFWD)),2)))&lt;0,-1,0),IF(IF(o_WRAP=1,MOD(((c_TMAP1IN)-(c_TFWD))*(((A806)-(c_TFWD))*((c_TMAP1OUT)-(0))+IF(((c_TMAP1OUT)-(0))&gt;=0,1,-1)*QUOTIENT(((c_TMAP1IN)-(c_TFWD)),2))+2147483648,4294967296)-2147483648,((c_TMAP1IN)-(c_TFWD))*(((A806)-(c_TFWD))*((c_TMAP1OUT)-(0))+IF(((c_TMAP1OUT)-(0))&gt;=0,1,-1)*QUOTIENT(((c_TMAP1IN)-(c_TFWD)),2)))&gt;=0,1,0)))</f>
        <v>615</v>
      </c>
      <c r="E806" s="7" t="n">
        <f aca="false">IF(((c_TMAP2IN)-(c_TMAP1IN))=0,(c_TMAP1OUT)+QUOTIENT(((c_TMAP2OUT)-(c_TMAP1OUT)),2),QUOTIENT((((A806)-(c_TMAP1IN))*((c_TMAP2OUT)-(c_TMAP1OUT))+IF(((c_TMAP2OUT)-(c_TMAP1OUT))&gt;=0,1,-1)*QUOTIENT(((c_TMAP2IN)-(c_TMAP1IN)),2)),((c_TMAP2IN)-(c_TMAP1IN)))+(c_TMAP1OUT)+IF(((c_TMAP2OUT)-(c_TMAP1OUT))&gt;=0,IF(IF(o_WRAP=1,MOD(((c_TMAP2IN)-(c_TMAP1IN))*(((A806)-(c_TMAP1IN))*((c_TMAP2OUT)-(c_TMAP1OUT))+IF(((c_TMAP2OUT)-(c_TMAP1OUT))&gt;=0,1,-1)*QUOTIENT(((c_TMAP2IN)-(c_TMAP1IN)),2))+2147483648,4294967296)-2147483648,((c_TMAP2IN)-(c_TMAP1IN))*(((A806)-(c_TMAP1IN))*((c_TMAP2OUT)-(c_TMAP1OUT))+IF(((c_TMAP2OUT)-(c_TMAP1OUT))&gt;=0,1,-1)*QUOTIENT(((c_TMAP2IN)-(c_TMAP1IN)),2)))&lt;0,-1,0),IF(IF(o_WRAP=1,MOD(((c_TMAP2IN)-(c_TMAP1IN))*(((A806)-(c_TMAP1IN))*((c_TMAP2OUT)-(c_TMAP1OUT))+IF(((c_TMAP2OUT)-(c_TMAP1OUT))&gt;=0,1,-1)*QUOTIENT(((c_TMAP2IN)-(c_TMAP1IN)),2))+2147483648,4294967296)-2147483648,((c_TMAP2IN)-(c_TMAP1IN))*(((A806)-(c_TMAP1IN))*((c_TMAP2OUT)-(c_TMAP1OUT))+IF(((c_TMAP2OUT)-(c_TMAP1OUT))&gt;=0,1,-1)*QUOTIENT(((c_TMAP2IN)-(c_TMAP1IN)),2)))&gt;=0,1,0)))</f>
        <v>350</v>
      </c>
      <c r="F806" s="7" t="n">
        <f aca="false">IF(((c_TMAP3IN)-(c_TMAP2IN))=0,(c_TMAP2OUT)+QUOTIENT(((c_TMAP3OUT)-(c_TMAP2OUT)),2),QUOTIENT((((A806)-(c_TMAP2IN))*((c_TMAP3OUT)-(c_TMAP2OUT))+IF(((c_TMAP3OUT)-(c_TMAP2OUT))&gt;=0,1,-1)*QUOTIENT(((c_TMAP3IN)-(c_TMAP2IN)),2)),((c_TMAP3IN)-(c_TMAP2IN)))+(c_TMAP2OUT)+IF(((c_TMAP3OUT)-(c_TMAP2OUT))&gt;=0,IF(IF(o_WRAP=1,MOD(((c_TMAP3IN)-(c_TMAP2IN))*(((A806)-(c_TMAP2IN))*((c_TMAP3OUT)-(c_TMAP2OUT))+IF(((c_TMAP3OUT)-(c_TMAP2OUT))&gt;=0,1,-1)*QUOTIENT(((c_TMAP3IN)-(c_TMAP2IN)),2))+2147483648,4294967296)-2147483648,((c_TMAP3IN)-(c_TMAP2IN))*(((A806)-(c_TMAP2IN))*((c_TMAP3OUT)-(c_TMAP2OUT))+IF(((c_TMAP3OUT)-(c_TMAP2OUT))&gt;=0,1,-1)*QUOTIENT(((c_TMAP3IN)-(c_TMAP2IN)),2)))&lt;0,-1,0),IF(IF(o_WRAP=1,MOD(((c_TMAP3IN)-(c_TMAP2IN))*(((A806)-(c_TMAP2IN))*((c_TMAP3OUT)-(c_TMAP2OUT))+IF(((c_TMAP3OUT)-(c_TMAP2OUT))&gt;=0,1,-1)*QUOTIENT(((c_TMAP3IN)-(c_TMAP2IN)),2))+2147483648,4294967296)-2147483648,((c_TMAP3IN)-(c_TMAP2IN))*(((A806)-(c_TMAP2IN))*((c_TMAP3OUT)-(c_TMAP2OUT))+IF(((c_TMAP3OUT)-(c_TMAP2OUT))&gt;=0,1,-1)*QUOTIENT(((c_TMAP3IN)-(c_TMAP2IN)),2)))&gt;=0,1,0)))</f>
        <v>516</v>
      </c>
      <c r="G806" s="7" t="n">
        <f aca="false">IF(((1000)-(c_TMAP3IN))=0,(c_TMAP3OUT)+QUOTIENT(((1000)-(c_TMAP3OUT)),2),QUOTIENT((((A806)-(c_TMAP3IN))*((1000)-(c_TMAP3OUT))+IF(((1000)-(c_TMAP3OUT))&gt;=0,1,-1)*QUOTIENT(((1000)-(c_TMAP3IN)),2)),((1000)-(c_TMAP3IN)))+(c_TMAP3OUT)+IF(((1000)-(c_TMAP3OUT))&gt;=0,IF(IF(o_WRAP=1,MOD(((1000)-(c_TMAP3IN))*(((A806)-(c_TMAP3IN))*((1000)-(c_TMAP3OUT))+IF(((1000)-(c_TMAP3OUT))&gt;=0,1,-1)*QUOTIENT(((1000)-(c_TMAP3IN)),2))+2147483648,4294967296)-2147483648,((1000)-(c_TMAP3IN))*(((A806)-(c_TMAP3IN))*((1000)-(c_TMAP3OUT))+IF(((1000)-(c_TMAP3OUT))&gt;=0,1,-1)*QUOTIENT(((1000)-(c_TMAP3IN)),2)))&lt;0,-1,0),IF(IF(o_WRAP=1,MOD(((1000)-(c_TMAP3IN))*(((A806)-(c_TMAP3IN))*((1000)-(c_TMAP3OUT))+IF(((1000)-(c_TMAP3OUT))&gt;=0,1,-1)*QUOTIENT(((1000)-(c_TMAP3IN)),2))+2147483648,4294967296)-2147483648,((1000)-(c_TMAP3IN))*(((A806)-(c_TMAP3IN))*((1000)-(c_TMAP3OUT))+IF(((1000)-(c_TMAP3OUT))&gt;=0,1,-1)*QUOTIENT(((1000)-(c_TMAP3IN)),2)))&gt;=0,1,0)))</f>
        <v>755</v>
      </c>
      <c r="H806" s="7" t="str">
        <f aca="false">IF(A806&gt;=c_TFWD,IF(AND(A806&gt;=c_TMAP3IN,c_TMAP3IN&lt;1000),"Seg4 map3-100%",IF(AND(A806&gt;=c_TMAP2IN,c_TMAP3IN&gt;c_TMAP2IN),"Seg3 map2-map3",IF(AND(A806&gt;=c_TMAP1IN,c_TMAP2IN&gt;c_TMAP1IN),"Seg2 map1-map2","Seg1 TFWD-map1"))),IF(AND(A806=0,c_TCREEP&gt;0),"Creep",IF(AND(A806&lt;=c_TRNGMIN,A806&gt;=c_TRNGMAX,c_TRNGMIN-c_TRNGMAX&lt;&gt;0),"Regen ramp","Coast (0)")))</f>
        <v>Seg4 map3-100%</v>
      </c>
      <c r="I806" s="7" t="n">
        <f aca="false">IF(A806&gt;=c_TFWD,IF(AND(A806&gt;=c_TMAP3IN,c_TMAP3IN&lt;1000),G806,IF(AND(A806&gt;=c_TMAP2IN,c_TMAP3IN&gt;c_TMAP2IN),F806,IF(AND(A806&gt;=c_TMAP1IN,c_TMAP2IN&gt;c_TMAP1IN),E806,D806))),C806)</f>
        <v>755</v>
      </c>
      <c r="J806" s="7" t="str">
        <f aca="false">IF(I806&lt;-1090,"TOO LOW",IF(I806&gt;1090,"TOO HIGH",""))</f>
        <v/>
      </c>
      <c r="K806" s="15" t="n">
        <f aca="false">IF(J806&lt;&gt;"",0,IF(I806&gt;979,1000,I806))</f>
        <v>755</v>
      </c>
      <c r="L806" s="7" t="n">
        <f aca="false">K806/10</f>
        <v>75.5</v>
      </c>
    </row>
    <row r="807" customFormat="false" ht="15" hidden="false" customHeight="false" outlineLevel="0" collapsed="false">
      <c r="A807" s="7" t="n">
        <v>802</v>
      </c>
      <c r="B807" s="7" t="n">
        <f aca="false">A807/10</f>
        <v>80.2</v>
      </c>
      <c r="C807" s="7" t="n">
        <f aca="false">IF(AND(A807=0,c_TCREEP&gt;0),10*c_TCREEP,IF(AND(A807&lt;=c_TRNGMIN,A807&gt;=c_TRNGMAX,c_TRNGMIN-c_TRNGMAX&lt;&gt;0),-10*c_TMINRN+QUOTIENT((c_TMAXRN-c_TMINRN)*(100-QUOTIENT((A807-c_TRNGMAX)*100,c_TRNGMIN-c_TRNGMAX)),-10),0))</f>
        <v>0</v>
      </c>
      <c r="D807" s="7" t="n">
        <f aca="false">IF(((c_TMAP1IN)-(c_TFWD))=0,(0)+QUOTIENT(((c_TMAP1OUT)-(0)),2),QUOTIENT((((A807)-(c_TFWD))*((c_TMAP1OUT)-(0))+IF(((c_TMAP1OUT)-(0))&gt;=0,1,-1)*QUOTIENT(((c_TMAP1IN)-(c_TFWD)),2)),((c_TMAP1IN)-(c_TFWD)))+(0)+IF(((c_TMAP1OUT)-(0))&gt;=0,IF(IF(o_WRAP=1,MOD(((c_TMAP1IN)-(c_TFWD))*(((A807)-(c_TFWD))*((c_TMAP1OUT)-(0))+IF(((c_TMAP1OUT)-(0))&gt;=0,1,-1)*QUOTIENT(((c_TMAP1IN)-(c_TFWD)),2))+2147483648,4294967296)-2147483648,((c_TMAP1IN)-(c_TFWD))*(((A807)-(c_TFWD))*((c_TMAP1OUT)-(0))+IF(((c_TMAP1OUT)-(0))&gt;=0,1,-1)*QUOTIENT(((c_TMAP1IN)-(c_TFWD)),2)))&lt;0,-1,0),IF(IF(o_WRAP=1,MOD(((c_TMAP1IN)-(c_TFWD))*(((A807)-(c_TFWD))*((c_TMAP1OUT)-(0))+IF(((c_TMAP1OUT)-(0))&gt;=0,1,-1)*QUOTIENT(((c_TMAP1IN)-(c_TFWD)),2))+2147483648,4294967296)-2147483648,((c_TMAP1IN)-(c_TFWD))*(((A807)-(c_TFWD))*((c_TMAP1OUT)-(0))+IF(((c_TMAP1OUT)-(0))&gt;=0,1,-1)*QUOTIENT(((c_TMAP1IN)-(c_TFWD)),2)))&gt;=0,1,0)))</f>
        <v>616</v>
      </c>
      <c r="E807" s="7" t="n">
        <f aca="false">IF(((c_TMAP2IN)-(c_TMAP1IN))=0,(c_TMAP1OUT)+QUOTIENT(((c_TMAP2OUT)-(c_TMAP1OUT)),2),QUOTIENT((((A807)-(c_TMAP1IN))*((c_TMAP2OUT)-(c_TMAP1OUT))+IF(((c_TMAP2OUT)-(c_TMAP1OUT))&gt;=0,1,-1)*QUOTIENT(((c_TMAP2IN)-(c_TMAP1IN)),2)),((c_TMAP2IN)-(c_TMAP1IN)))+(c_TMAP1OUT)+IF(((c_TMAP2OUT)-(c_TMAP1OUT))&gt;=0,IF(IF(o_WRAP=1,MOD(((c_TMAP2IN)-(c_TMAP1IN))*(((A807)-(c_TMAP1IN))*((c_TMAP2OUT)-(c_TMAP1OUT))+IF(((c_TMAP2OUT)-(c_TMAP1OUT))&gt;=0,1,-1)*QUOTIENT(((c_TMAP2IN)-(c_TMAP1IN)),2))+2147483648,4294967296)-2147483648,((c_TMAP2IN)-(c_TMAP1IN))*(((A807)-(c_TMAP1IN))*((c_TMAP2OUT)-(c_TMAP1OUT))+IF(((c_TMAP2OUT)-(c_TMAP1OUT))&gt;=0,1,-1)*QUOTIENT(((c_TMAP2IN)-(c_TMAP1IN)),2)))&lt;0,-1,0),IF(IF(o_WRAP=1,MOD(((c_TMAP2IN)-(c_TMAP1IN))*(((A807)-(c_TMAP1IN))*((c_TMAP2OUT)-(c_TMAP1OUT))+IF(((c_TMAP2OUT)-(c_TMAP1OUT))&gt;=0,1,-1)*QUOTIENT(((c_TMAP2IN)-(c_TMAP1IN)),2))+2147483648,4294967296)-2147483648,((c_TMAP2IN)-(c_TMAP1IN))*(((A807)-(c_TMAP1IN))*((c_TMAP2OUT)-(c_TMAP1OUT))+IF(((c_TMAP2OUT)-(c_TMAP1OUT))&gt;=0,1,-1)*QUOTIENT(((c_TMAP2IN)-(c_TMAP1IN)),2)))&gt;=0,1,0)))</f>
        <v>351</v>
      </c>
      <c r="F807" s="7" t="n">
        <f aca="false">IF(((c_TMAP3IN)-(c_TMAP2IN))=0,(c_TMAP2OUT)+QUOTIENT(((c_TMAP3OUT)-(c_TMAP2OUT)),2),QUOTIENT((((A807)-(c_TMAP2IN))*((c_TMAP3OUT)-(c_TMAP2OUT))+IF(((c_TMAP3OUT)-(c_TMAP2OUT))&gt;=0,1,-1)*QUOTIENT(((c_TMAP3IN)-(c_TMAP2IN)),2)),((c_TMAP3IN)-(c_TMAP2IN)))+(c_TMAP2OUT)+IF(((c_TMAP3OUT)-(c_TMAP2OUT))&gt;=0,IF(IF(o_WRAP=1,MOD(((c_TMAP3IN)-(c_TMAP2IN))*(((A807)-(c_TMAP2IN))*((c_TMAP3OUT)-(c_TMAP2OUT))+IF(((c_TMAP3OUT)-(c_TMAP2OUT))&gt;=0,1,-1)*QUOTIENT(((c_TMAP3IN)-(c_TMAP2IN)),2))+2147483648,4294967296)-2147483648,((c_TMAP3IN)-(c_TMAP2IN))*(((A807)-(c_TMAP2IN))*((c_TMAP3OUT)-(c_TMAP2OUT))+IF(((c_TMAP3OUT)-(c_TMAP2OUT))&gt;=0,1,-1)*QUOTIENT(((c_TMAP3IN)-(c_TMAP2IN)),2)))&lt;0,-1,0),IF(IF(o_WRAP=1,MOD(((c_TMAP3IN)-(c_TMAP2IN))*(((A807)-(c_TMAP2IN))*((c_TMAP3OUT)-(c_TMAP2OUT))+IF(((c_TMAP3OUT)-(c_TMAP2OUT))&gt;=0,1,-1)*QUOTIENT(((c_TMAP3IN)-(c_TMAP2IN)),2))+2147483648,4294967296)-2147483648,((c_TMAP3IN)-(c_TMAP2IN))*(((A807)-(c_TMAP2IN))*((c_TMAP3OUT)-(c_TMAP2OUT))+IF(((c_TMAP3OUT)-(c_TMAP2OUT))&gt;=0,1,-1)*QUOTIENT(((c_TMAP3IN)-(c_TMAP2IN)),2)))&gt;=0,1,0)))</f>
        <v>516</v>
      </c>
      <c r="G807" s="7" t="n">
        <f aca="false">IF(((1000)-(c_TMAP3IN))=0,(c_TMAP3OUT)+QUOTIENT(((1000)-(c_TMAP3OUT)),2),QUOTIENT((((A807)-(c_TMAP3IN))*((1000)-(c_TMAP3OUT))+IF(((1000)-(c_TMAP3OUT))&gt;=0,1,-1)*QUOTIENT(((1000)-(c_TMAP3IN)),2)),((1000)-(c_TMAP3IN)))+(c_TMAP3OUT)+IF(((1000)-(c_TMAP3OUT))&gt;=0,IF(IF(o_WRAP=1,MOD(((1000)-(c_TMAP3IN))*(((A807)-(c_TMAP3IN))*((1000)-(c_TMAP3OUT))+IF(((1000)-(c_TMAP3OUT))&gt;=0,1,-1)*QUOTIENT(((1000)-(c_TMAP3IN)),2))+2147483648,4294967296)-2147483648,((1000)-(c_TMAP3IN))*(((A807)-(c_TMAP3IN))*((1000)-(c_TMAP3OUT))+IF(((1000)-(c_TMAP3OUT))&gt;=0,1,-1)*QUOTIENT(((1000)-(c_TMAP3IN)),2)))&lt;0,-1,0),IF(IF(o_WRAP=1,MOD(((1000)-(c_TMAP3IN))*(((A807)-(c_TMAP3IN))*((1000)-(c_TMAP3OUT))+IF(((1000)-(c_TMAP3OUT))&gt;=0,1,-1)*QUOTIENT(((1000)-(c_TMAP3IN)),2))+2147483648,4294967296)-2147483648,((1000)-(c_TMAP3IN))*(((A807)-(c_TMAP3IN))*((1000)-(c_TMAP3OUT))+IF(((1000)-(c_TMAP3OUT))&gt;=0,1,-1)*QUOTIENT(((1000)-(c_TMAP3IN)),2)))&gt;=0,1,0)))</f>
        <v>756</v>
      </c>
      <c r="H807" s="7" t="str">
        <f aca="false">IF(A807&gt;=c_TFWD,IF(AND(A807&gt;=c_TMAP3IN,c_TMAP3IN&lt;1000),"Seg4 map3-100%",IF(AND(A807&gt;=c_TMAP2IN,c_TMAP3IN&gt;c_TMAP2IN),"Seg3 map2-map3",IF(AND(A807&gt;=c_TMAP1IN,c_TMAP2IN&gt;c_TMAP1IN),"Seg2 map1-map2","Seg1 TFWD-map1"))),IF(AND(A807=0,c_TCREEP&gt;0),"Creep",IF(AND(A807&lt;=c_TRNGMIN,A807&gt;=c_TRNGMAX,c_TRNGMIN-c_TRNGMAX&lt;&gt;0),"Regen ramp","Coast (0)")))</f>
        <v>Seg4 map3-100%</v>
      </c>
      <c r="I807" s="7" t="n">
        <f aca="false">IF(A807&gt;=c_TFWD,IF(AND(A807&gt;=c_TMAP3IN,c_TMAP3IN&lt;1000),G807,IF(AND(A807&gt;=c_TMAP2IN,c_TMAP3IN&gt;c_TMAP2IN),F807,IF(AND(A807&gt;=c_TMAP1IN,c_TMAP2IN&gt;c_TMAP1IN),E807,D807))),C807)</f>
        <v>756</v>
      </c>
      <c r="J807" s="7" t="str">
        <f aca="false">IF(I807&lt;-1090,"TOO LOW",IF(I807&gt;1090,"TOO HIGH",""))</f>
        <v/>
      </c>
      <c r="K807" s="15" t="n">
        <f aca="false">IF(J807&lt;&gt;"",0,IF(I807&gt;979,1000,I807))</f>
        <v>756</v>
      </c>
      <c r="L807" s="7" t="n">
        <f aca="false">K807/10</f>
        <v>75.6</v>
      </c>
    </row>
    <row r="808" customFormat="false" ht="15" hidden="false" customHeight="false" outlineLevel="0" collapsed="false">
      <c r="A808" s="7" t="n">
        <v>803</v>
      </c>
      <c r="B808" s="7" t="n">
        <f aca="false">A808/10</f>
        <v>80.3</v>
      </c>
      <c r="C808" s="7" t="n">
        <f aca="false">IF(AND(A808=0,c_TCREEP&gt;0),10*c_TCREEP,IF(AND(A808&lt;=c_TRNGMIN,A808&gt;=c_TRNGMAX,c_TRNGMIN-c_TRNGMAX&lt;&gt;0),-10*c_TMINRN+QUOTIENT((c_TMAXRN-c_TMINRN)*(100-QUOTIENT((A808-c_TRNGMAX)*100,c_TRNGMIN-c_TRNGMAX)),-10),0))</f>
        <v>0</v>
      </c>
      <c r="D808" s="7" t="n">
        <f aca="false">IF(((c_TMAP1IN)-(c_TFWD))=0,(0)+QUOTIENT(((c_TMAP1OUT)-(0)),2),QUOTIENT((((A808)-(c_TFWD))*((c_TMAP1OUT)-(0))+IF(((c_TMAP1OUT)-(0))&gt;=0,1,-1)*QUOTIENT(((c_TMAP1IN)-(c_TFWD)),2)),((c_TMAP1IN)-(c_TFWD)))+(0)+IF(((c_TMAP1OUT)-(0))&gt;=0,IF(IF(o_WRAP=1,MOD(((c_TMAP1IN)-(c_TFWD))*(((A808)-(c_TFWD))*((c_TMAP1OUT)-(0))+IF(((c_TMAP1OUT)-(0))&gt;=0,1,-1)*QUOTIENT(((c_TMAP1IN)-(c_TFWD)),2))+2147483648,4294967296)-2147483648,((c_TMAP1IN)-(c_TFWD))*(((A808)-(c_TFWD))*((c_TMAP1OUT)-(0))+IF(((c_TMAP1OUT)-(0))&gt;=0,1,-1)*QUOTIENT(((c_TMAP1IN)-(c_TFWD)),2)))&lt;0,-1,0),IF(IF(o_WRAP=1,MOD(((c_TMAP1IN)-(c_TFWD))*(((A808)-(c_TFWD))*((c_TMAP1OUT)-(0))+IF(((c_TMAP1OUT)-(0))&gt;=0,1,-1)*QUOTIENT(((c_TMAP1IN)-(c_TFWD)),2))+2147483648,4294967296)-2147483648,((c_TMAP1IN)-(c_TFWD))*(((A808)-(c_TFWD))*((c_TMAP1OUT)-(0))+IF(((c_TMAP1OUT)-(0))&gt;=0,1,-1)*QUOTIENT(((c_TMAP1IN)-(c_TFWD)),2)))&gt;=0,1,0)))</f>
        <v>617</v>
      </c>
      <c r="E808" s="7" t="n">
        <f aca="false">IF(((c_TMAP2IN)-(c_TMAP1IN))=0,(c_TMAP1OUT)+QUOTIENT(((c_TMAP2OUT)-(c_TMAP1OUT)),2),QUOTIENT((((A808)-(c_TMAP1IN))*((c_TMAP2OUT)-(c_TMAP1OUT))+IF(((c_TMAP2OUT)-(c_TMAP1OUT))&gt;=0,1,-1)*QUOTIENT(((c_TMAP2IN)-(c_TMAP1IN)),2)),((c_TMAP2IN)-(c_TMAP1IN)))+(c_TMAP1OUT)+IF(((c_TMAP2OUT)-(c_TMAP1OUT))&gt;=0,IF(IF(o_WRAP=1,MOD(((c_TMAP2IN)-(c_TMAP1IN))*(((A808)-(c_TMAP1IN))*((c_TMAP2OUT)-(c_TMAP1OUT))+IF(((c_TMAP2OUT)-(c_TMAP1OUT))&gt;=0,1,-1)*QUOTIENT(((c_TMAP2IN)-(c_TMAP1IN)),2))+2147483648,4294967296)-2147483648,((c_TMAP2IN)-(c_TMAP1IN))*(((A808)-(c_TMAP1IN))*((c_TMAP2OUT)-(c_TMAP1OUT))+IF(((c_TMAP2OUT)-(c_TMAP1OUT))&gt;=0,1,-1)*QUOTIENT(((c_TMAP2IN)-(c_TMAP1IN)),2)))&lt;0,-1,0),IF(IF(o_WRAP=1,MOD(((c_TMAP2IN)-(c_TMAP1IN))*(((A808)-(c_TMAP1IN))*((c_TMAP2OUT)-(c_TMAP1OUT))+IF(((c_TMAP2OUT)-(c_TMAP1OUT))&gt;=0,1,-1)*QUOTIENT(((c_TMAP2IN)-(c_TMAP1IN)),2))+2147483648,4294967296)-2147483648,((c_TMAP2IN)-(c_TMAP1IN))*(((A808)-(c_TMAP1IN))*((c_TMAP2OUT)-(c_TMAP1OUT))+IF(((c_TMAP2OUT)-(c_TMAP1OUT))&gt;=0,1,-1)*QUOTIENT(((c_TMAP2IN)-(c_TMAP1IN)),2)))&gt;=0,1,0)))</f>
        <v>351</v>
      </c>
      <c r="F808" s="7" t="n">
        <f aca="false">IF(((c_TMAP3IN)-(c_TMAP2IN))=0,(c_TMAP2OUT)+QUOTIENT(((c_TMAP3OUT)-(c_TMAP2OUT)),2),QUOTIENT((((A808)-(c_TMAP2IN))*((c_TMAP3OUT)-(c_TMAP2OUT))+IF(((c_TMAP3OUT)-(c_TMAP2OUT))&gt;=0,1,-1)*QUOTIENT(((c_TMAP3IN)-(c_TMAP2IN)),2)),((c_TMAP3IN)-(c_TMAP2IN)))+(c_TMAP2OUT)+IF(((c_TMAP3OUT)-(c_TMAP2OUT))&gt;=0,IF(IF(o_WRAP=1,MOD(((c_TMAP3IN)-(c_TMAP2IN))*(((A808)-(c_TMAP2IN))*((c_TMAP3OUT)-(c_TMAP2OUT))+IF(((c_TMAP3OUT)-(c_TMAP2OUT))&gt;=0,1,-1)*QUOTIENT(((c_TMAP3IN)-(c_TMAP2IN)),2))+2147483648,4294967296)-2147483648,((c_TMAP3IN)-(c_TMAP2IN))*(((A808)-(c_TMAP2IN))*((c_TMAP3OUT)-(c_TMAP2OUT))+IF(((c_TMAP3OUT)-(c_TMAP2OUT))&gt;=0,1,-1)*QUOTIENT(((c_TMAP3IN)-(c_TMAP2IN)),2)))&lt;0,-1,0),IF(IF(o_WRAP=1,MOD(((c_TMAP3IN)-(c_TMAP2IN))*(((A808)-(c_TMAP2IN))*((c_TMAP3OUT)-(c_TMAP2OUT))+IF(((c_TMAP3OUT)-(c_TMAP2OUT))&gt;=0,1,-1)*QUOTIENT(((c_TMAP3IN)-(c_TMAP2IN)),2))+2147483648,4294967296)-2147483648,((c_TMAP3IN)-(c_TMAP2IN))*(((A808)-(c_TMAP2IN))*((c_TMAP3OUT)-(c_TMAP2OUT))+IF(((c_TMAP3OUT)-(c_TMAP2OUT))&gt;=0,1,-1)*QUOTIENT(((c_TMAP3IN)-(c_TMAP2IN)),2)))&gt;=0,1,0)))</f>
        <v>517</v>
      </c>
      <c r="G808" s="7" t="n">
        <f aca="false">IF(((1000)-(c_TMAP3IN))=0,(c_TMAP3OUT)+QUOTIENT(((1000)-(c_TMAP3OUT)),2),QUOTIENT((((A808)-(c_TMAP3IN))*((1000)-(c_TMAP3OUT))+IF(((1000)-(c_TMAP3OUT))&gt;=0,1,-1)*QUOTIENT(((1000)-(c_TMAP3IN)),2)),((1000)-(c_TMAP3IN)))+(c_TMAP3OUT)+IF(((1000)-(c_TMAP3OUT))&gt;=0,IF(IF(o_WRAP=1,MOD(((1000)-(c_TMAP3IN))*(((A808)-(c_TMAP3IN))*((1000)-(c_TMAP3OUT))+IF(((1000)-(c_TMAP3OUT))&gt;=0,1,-1)*QUOTIENT(((1000)-(c_TMAP3IN)),2))+2147483648,4294967296)-2147483648,((1000)-(c_TMAP3IN))*(((A808)-(c_TMAP3IN))*((1000)-(c_TMAP3OUT))+IF(((1000)-(c_TMAP3OUT))&gt;=0,1,-1)*QUOTIENT(((1000)-(c_TMAP3IN)),2)))&lt;0,-1,0),IF(IF(o_WRAP=1,MOD(((1000)-(c_TMAP3IN))*(((A808)-(c_TMAP3IN))*((1000)-(c_TMAP3OUT))+IF(((1000)-(c_TMAP3OUT))&gt;=0,1,-1)*QUOTIENT(((1000)-(c_TMAP3IN)),2))+2147483648,4294967296)-2147483648,((1000)-(c_TMAP3IN))*(((A808)-(c_TMAP3IN))*((1000)-(c_TMAP3OUT))+IF(((1000)-(c_TMAP3OUT))&gt;=0,1,-1)*QUOTIENT(((1000)-(c_TMAP3IN)),2)))&gt;=0,1,0)))</f>
        <v>758</v>
      </c>
      <c r="H808" s="7" t="str">
        <f aca="false">IF(A808&gt;=c_TFWD,IF(AND(A808&gt;=c_TMAP3IN,c_TMAP3IN&lt;1000),"Seg4 map3-100%",IF(AND(A808&gt;=c_TMAP2IN,c_TMAP3IN&gt;c_TMAP2IN),"Seg3 map2-map3",IF(AND(A808&gt;=c_TMAP1IN,c_TMAP2IN&gt;c_TMAP1IN),"Seg2 map1-map2","Seg1 TFWD-map1"))),IF(AND(A808=0,c_TCREEP&gt;0),"Creep",IF(AND(A808&lt;=c_TRNGMIN,A808&gt;=c_TRNGMAX,c_TRNGMIN-c_TRNGMAX&lt;&gt;0),"Regen ramp","Coast (0)")))</f>
        <v>Seg4 map3-100%</v>
      </c>
      <c r="I808" s="7" t="n">
        <f aca="false">IF(A808&gt;=c_TFWD,IF(AND(A808&gt;=c_TMAP3IN,c_TMAP3IN&lt;1000),G808,IF(AND(A808&gt;=c_TMAP2IN,c_TMAP3IN&gt;c_TMAP2IN),F808,IF(AND(A808&gt;=c_TMAP1IN,c_TMAP2IN&gt;c_TMAP1IN),E808,D808))),C808)</f>
        <v>758</v>
      </c>
      <c r="J808" s="7" t="str">
        <f aca="false">IF(I808&lt;-1090,"TOO LOW",IF(I808&gt;1090,"TOO HIGH",""))</f>
        <v/>
      </c>
      <c r="K808" s="15" t="n">
        <f aca="false">IF(J808&lt;&gt;"",0,IF(I808&gt;979,1000,I808))</f>
        <v>758</v>
      </c>
      <c r="L808" s="7" t="n">
        <f aca="false">K808/10</f>
        <v>75.8</v>
      </c>
    </row>
    <row r="809" customFormat="false" ht="15" hidden="false" customHeight="false" outlineLevel="0" collapsed="false">
      <c r="A809" s="7" t="n">
        <v>804</v>
      </c>
      <c r="B809" s="7" t="n">
        <f aca="false">A809/10</f>
        <v>80.4</v>
      </c>
      <c r="C809" s="7" t="n">
        <f aca="false">IF(AND(A809=0,c_TCREEP&gt;0),10*c_TCREEP,IF(AND(A809&lt;=c_TRNGMIN,A809&gt;=c_TRNGMAX,c_TRNGMIN-c_TRNGMAX&lt;&gt;0),-10*c_TMINRN+QUOTIENT((c_TMAXRN-c_TMINRN)*(100-QUOTIENT((A809-c_TRNGMAX)*100,c_TRNGMIN-c_TRNGMAX)),-10),0))</f>
        <v>0</v>
      </c>
      <c r="D809" s="7" t="n">
        <f aca="false">IF(((c_TMAP1IN)-(c_TFWD))=0,(0)+QUOTIENT(((c_TMAP1OUT)-(0)),2),QUOTIENT((((A809)-(c_TFWD))*((c_TMAP1OUT)-(0))+IF(((c_TMAP1OUT)-(0))&gt;=0,1,-1)*QUOTIENT(((c_TMAP1IN)-(c_TFWD)),2)),((c_TMAP1IN)-(c_TFWD)))+(0)+IF(((c_TMAP1OUT)-(0))&gt;=0,IF(IF(o_WRAP=1,MOD(((c_TMAP1IN)-(c_TFWD))*(((A809)-(c_TFWD))*((c_TMAP1OUT)-(0))+IF(((c_TMAP1OUT)-(0))&gt;=0,1,-1)*QUOTIENT(((c_TMAP1IN)-(c_TFWD)),2))+2147483648,4294967296)-2147483648,((c_TMAP1IN)-(c_TFWD))*(((A809)-(c_TFWD))*((c_TMAP1OUT)-(0))+IF(((c_TMAP1OUT)-(0))&gt;=0,1,-1)*QUOTIENT(((c_TMAP1IN)-(c_TFWD)),2)))&lt;0,-1,0),IF(IF(o_WRAP=1,MOD(((c_TMAP1IN)-(c_TFWD))*(((A809)-(c_TFWD))*((c_TMAP1OUT)-(0))+IF(((c_TMAP1OUT)-(0))&gt;=0,1,-1)*QUOTIENT(((c_TMAP1IN)-(c_TFWD)),2))+2147483648,4294967296)-2147483648,((c_TMAP1IN)-(c_TFWD))*(((A809)-(c_TFWD))*((c_TMAP1OUT)-(0))+IF(((c_TMAP1OUT)-(0))&gt;=0,1,-1)*QUOTIENT(((c_TMAP1IN)-(c_TFWD)),2)))&gt;=0,1,0)))</f>
        <v>618</v>
      </c>
      <c r="E809" s="7" t="n">
        <f aca="false">IF(((c_TMAP2IN)-(c_TMAP1IN))=0,(c_TMAP1OUT)+QUOTIENT(((c_TMAP2OUT)-(c_TMAP1OUT)),2),QUOTIENT((((A809)-(c_TMAP1IN))*((c_TMAP2OUT)-(c_TMAP1OUT))+IF(((c_TMAP2OUT)-(c_TMAP1OUT))&gt;=0,1,-1)*QUOTIENT(((c_TMAP2IN)-(c_TMAP1IN)),2)),((c_TMAP2IN)-(c_TMAP1IN)))+(c_TMAP1OUT)+IF(((c_TMAP2OUT)-(c_TMAP1OUT))&gt;=0,IF(IF(o_WRAP=1,MOD(((c_TMAP2IN)-(c_TMAP1IN))*(((A809)-(c_TMAP1IN))*((c_TMAP2OUT)-(c_TMAP1OUT))+IF(((c_TMAP2OUT)-(c_TMAP1OUT))&gt;=0,1,-1)*QUOTIENT(((c_TMAP2IN)-(c_TMAP1IN)),2))+2147483648,4294967296)-2147483648,((c_TMAP2IN)-(c_TMAP1IN))*(((A809)-(c_TMAP1IN))*((c_TMAP2OUT)-(c_TMAP1OUT))+IF(((c_TMAP2OUT)-(c_TMAP1OUT))&gt;=0,1,-1)*QUOTIENT(((c_TMAP2IN)-(c_TMAP1IN)),2)))&lt;0,-1,0),IF(IF(o_WRAP=1,MOD(((c_TMAP2IN)-(c_TMAP1IN))*(((A809)-(c_TMAP1IN))*((c_TMAP2OUT)-(c_TMAP1OUT))+IF(((c_TMAP2OUT)-(c_TMAP1OUT))&gt;=0,1,-1)*QUOTIENT(((c_TMAP2IN)-(c_TMAP1IN)),2))+2147483648,4294967296)-2147483648,((c_TMAP2IN)-(c_TMAP1IN))*(((A809)-(c_TMAP1IN))*((c_TMAP2OUT)-(c_TMAP1OUT))+IF(((c_TMAP2OUT)-(c_TMAP1OUT))&gt;=0,1,-1)*QUOTIENT(((c_TMAP2IN)-(c_TMAP1IN)),2)))&gt;=0,1,0)))</f>
        <v>352</v>
      </c>
      <c r="F809" s="7" t="n">
        <f aca="false">IF(((c_TMAP3IN)-(c_TMAP2IN))=0,(c_TMAP2OUT)+QUOTIENT(((c_TMAP3OUT)-(c_TMAP2OUT)),2),QUOTIENT((((A809)-(c_TMAP2IN))*((c_TMAP3OUT)-(c_TMAP2OUT))+IF(((c_TMAP3OUT)-(c_TMAP2OUT))&gt;=0,1,-1)*QUOTIENT(((c_TMAP3IN)-(c_TMAP2IN)),2)),((c_TMAP3IN)-(c_TMAP2IN)))+(c_TMAP2OUT)+IF(((c_TMAP3OUT)-(c_TMAP2OUT))&gt;=0,IF(IF(o_WRAP=1,MOD(((c_TMAP3IN)-(c_TMAP2IN))*(((A809)-(c_TMAP2IN))*((c_TMAP3OUT)-(c_TMAP2OUT))+IF(((c_TMAP3OUT)-(c_TMAP2OUT))&gt;=0,1,-1)*QUOTIENT(((c_TMAP3IN)-(c_TMAP2IN)),2))+2147483648,4294967296)-2147483648,((c_TMAP3IN)-(c_TMAP2IN))*(((A809)-(c_TMAP2IN))*((c_TMAP3OUT)-(c_TMAP2OUT))+IF(((c_TMAP3OUT)-(c_TMAP2OUT))&gt;=0,1,-1)*QUOTIENT(((c_TMAP3IN)-(c_TMAP2IN)),2)))&lt;0,-1,0),IF(IF(o_WRAP=1,MOD(((c_TMAP3IN)-(c_TMAP2IN))*(((A809)-(c_TMAP2IN))*((c_TMAP3OUT)-(c_TMAP2OUT))+IF(((c_TMAP3OUT)-(c_TMAP2OUT))&gt;=0,1,-1)*QUOTIENT(((c_TMAP3IN)-(c_TMAP2IN)),2))+2147483648,4294967296)-2147483648,((c_TMAP3IN)-(c_TMAP2IN))*(((A809)-(c_TMAP2IN))*((c_TMAP3OUT)-(c_TMAP2OUT))+IF(((c_TMAP3OUT)-(c_TMAP2OUT))&gt;=0,1,-1)*QUOTIENT(((c_TMAP3IN)-(c_TMAP2IN)),2)))&gt;=0,1,0)))</f>
        <v>518</v>
      </c>
      <c r="G809" s="7" t="n">
        <f aca="false">IF(((1000)-(c_TMAP3IN))=0,(c_TMAP3OUT)+QUOTIENT(((1000)-(c_TMAP3OUT)),2),QUOTIENT((((A809)-(c_TMAP3IN))*((1000)-(c_TMAP3OUT))+IF(((1000)-(c_TMAP3OUT))&gt;=0,1,-1)*QUOTIENT(((1000)-(c_TMAP3IN)),2)),((1000)-(c_TMAP3IN)))+(c_TMAP3OUT)+IF(((1000)-(c_TMAP3OUT))&gt;=0,IF(IF(o_WRAP=1,MOD(((1000)-(c_TMAP3IN))*(((A809)-(c_TMAP3IN))*((1000)-(c_TMAP3OUT))+IF(((1000)-(c_TMAP3OUT))&gt;=0,1,-1)*QUOTIENT(((1000)-(c_TMAP3IN)),2))+2147483648,4294967296)-2147483648,((1000)-(c_TMAP3IN))*(((A809)-(c_TMAP3IN))*((1000)-(c_TMAP3OUT))+IF(((1000)-(c_TMAP3OUT))&gt;=0,1,-1)*QUOTIENT(((1000)-(c_TMAP3IN)),2)))&lt;0,-1,0),IF(IF(o_WRAP=1,MOD(((1000)-(c_TMAP3IN))*(((A809)-(c_TMAP3IN))*((1000)-(c_TMAP3OUT))+IF(((1000)-(c_TMAP3OUT))&gt;=0,1,-1)*QUOTIENT(((1000)-(c_TMAP3IN)),2))+2147483648,4294967296)-2147483648,((1000)-(c_TMAP3IN))*(((A809)-(c_TMAP3IN))*((1000)-(c_TMAP3OUT))+IF(((1000)-(c_TMAP3OUT))&gt;=0,1,-1)*QUOTIENT(((1000)-(c_TMAP3IN)),2)))&gt;=0,1,0)))</f>
        <v>759</v>
      </c>
      <c r="H809" s="7" t="str">
        <f aca="false">IF(A809&gt;=c_TFWD,IF(AND(A809&gt;=c_TMAP3IN,c_TMAP3IN&lt;1000),"Seg4 map3-100%",IF(AND(A809&gt;=c_TMAP2IN,c_TMAP3IN&gt;c_TMAP2IN),"Seg3 map2-map3",IF(AND(A809&gt;=c_TMAP1IN,c_TMAP2IN&gt;c_TMAP1IN),"Seg2 map1-map2","Seg1 TFWD-map1"))),IF(AND(A809=0,c_TCREEP&gt;0),"Creep",IF(AND(A809&lt;=c_TRNGMIN,A809&gt;=c_TRNGMAX,c_TRNGMIN-c_TRNGMAX&lt;&gt;0),"Regen ramp","Coast (0)")))</f>
        <v>Seg4 map3-100%</v>
      </c>
      <c r="I809" s="7" t="n">
        <f aca="false">IF(A809&gt;=c_TFWD,IF(AND(A809&gt;=c_TMAP3IN,c_TMAP3IN&lt;1000),G809,IF(AND(A809&gt;=c_TMAP2IN,c_TMAP3IN&gt;c_TMAP2IN),F809,IF(AND(A809&gt;=c_TMAP1IN,c_TMAP2IN&gt;c_TMAP1IN),E809,D809))),C809)</f>
        <v>759</v>
      </c>
      <c r="J809" s="7" t="str">
        <f aca="false">IF(I809&lt;-1090,"TOO LOW",IF(I809&gt;1090,"TOO HIGH",""))</f>
        <v/>
      </c>
      <c r="K809" s="15" t="n">
        <f aca="false">IF(J809&lt;&gt;"",0,IF(I809&gt;979,1000,I809))</f>
        <v>759</v>
      </c>
      <c r="L809" s="7" t="n">
        <f aca="false">K809/10</f>
        <v>75.9</v>
      </c>
    </row>
    <row r="810" customFormat="false" ht="15" hidden="false" customHeight="false" outlineLevel="0" collapsed="false">
      <c r="A810" s="7" t="n">
        <v>805</v>
      </c>
      <c r="B810" s="7" t="n">
        <f aca="false">A810/10</f>
        <v>80.5</v>
      </c>
      <c r="C810" s="7" t="n">
        <f aca="false">IF(AND(A810=0,c_TCREEP&gt;0),10*c_TCREEP,IF(AND(A810&lt;=c_TRNGMIN,A810&gt;=c_TRNGMAX,c_TRNGMIN-c_TRNGMAX&lt;&gt;0),-10*c_TMINRN+QUOTIENT((c_TMAXRN-c_TMINRN)*(100-QUOTIENT((A810-c_TRNGMAX)*100,c_TRNGMIN-c_TRNGMAX)),-10),0))</f>
        <v>0</v>
      </c>
      <c r="D810" s="7" t="n">
        <f aca="false">IF(((c_TMAP1IN)-(c_TFWD))=0,(0)+QUOTIENT(((c_TMAP1OUT)-(0)),2),QUOTIENT((((A810)-(c_TFWD))*((c_TMAP1OUT)-(0))+IF(((c_TMAP1OUT)-(0))&gt;=0,1,-1)*QUOTIENT(((c_TMAP1IN)-(c_TFWD)),2)),((c_TMAP1IN)-(c_TFWD)))+(0)+IF(((c_TMAP1OUT)-(0))&gt;=0,IF(IF(o_WRAP=1,MOD(((c_TMAP1IN)-(c_TFWD))*(((A810)-(c_TFWD))*((c_TMAP1OUT)-(0))+IF(((c_TMAP1OUT)-(0))&gt;=0,1,-1)*QUOTIENT(((c_TMAP1IN)-(c_TFWD)),2))+2147483648,4294967296)-2147483648,((c_TMAP1IN)-(c_TFWD))*(((A810)-(c_TFWD))*((c_TMAP1OUT)-(0))+IF(((c_TMAP1OUT)-(0))&gt;=0,1,-1)*QUOTIENT(((c_TMAP1IN)-(c_TFWD)),2)))&lt;0,-1,0),IF(IF(o_WRAP=1,MOD(((c_TMAP1IN)-(c_TFWD))*(((A810)-(c_TFWD))*((c_TMAP1OUT)-(0))+IF(((c_TMAP1OUT)-(0))&gt;=0,1,-1)*QUOTIENT(((c_TMAP1IN)-(c_TFWD)),2))+2147483648,4294967296)-2147483648,((c_TMAP1IN)-(c_TFWD))*(((A810)-(c_TFWD))*((c_TMAP1OUT)-(0))+IF(((c_TMAP1OUT)-(0))&gt;=0,1,-1)*QUOTIENT(((c_TMAP1IN)-(c_TFWD)),2)))&gt;=0,1,0)))</f>
        <v>618</v>
      </c>
      <c r="E810" s="7" t="n">
        <f aca="false">IF(((c_TMAP2IN)-(c_TMAP1IN))=0,(c_TMAP1OUT)+QUOTIENT(((c_TMAP2OUT)-(c_TMAP1OUT)),2),QUOTIENT((((A810)-(c_TMAP1IN))*((c_TMAP2OUT)-(c_TMAP1OUT))+IF(((c_TMAP2OUT)-(c_TMAP1OUT))&gt;=0,1,-1)*QUOTIENT(((c_TMAP2IN)-(c_TMAP1IN)),2)),((c_TMAP2IN)-(c_TMAP1IN)))+(c_TMAP1OUT)+IF(((c_TMAP2OUT)-(c_TMAP1OUT))&gt;=0,IF(IF(o_WRAP=1,MOD(((c_TMAP2IN)-(c_TMAP1IN))*(((A810)-(c_TMAP1IN))*((c_TMAP2OUT)-(c_TMAP1OUT))+IF(((c_TMAP2OUT)-(c_TMAP1OUT))&gt;=0,1,-1)*QUOTIENT(((c_TMAP2IN)-(c_TMAP1IN)),2))+2147483648,4294967296)-2147483648,((c_TMAP2IN)-(c_TMAP1IN))*(((A810)-(c_TMAP1IN))*((c_TMAP2OUT)-(c_TMAP1OUT))+IF(((c_TMAP2OUT)-(c_TMAP1OUT))&gt;=0,1,-1)*QUOTIENT(((c_TMAP2IN)-(c_TMAP1IN)),2)))&lt;0,-1,0),IF(IF(o_WRAP=1,MOD(((c_TMAP2IN)-(c_TMAP1IN))*(((A810)-(c_TMAP1IN))*((c_TMAP2OUT)-(c_TMAP1OUT))+IF(((c_TMAP2OUT)-(c_TMAP1OUT))&gt;=0,1,-1)*QUOTIENT(((c_TMAP2IN)-(c_TMAP1IN)),2))+2147483648,4294967296)-2147483648,((c_TMAP2IN)-(c_TMAP1IN))*(((A810)-(c_TMAP1IN))*((c_TMAP2OUT)-(c_TMAP1OUT))+IF(((c_TMAP2OUT)-(c_TMAP1OUT))&gt;=0,1,-1)*QUOTIENT(((c_TMAP2IN)-(c_TMAP1IN)),2)))&gt;=0,1,0)))</f>
        <v>352</v>
      </c>
      <c r="F810" s="7" t="n">
        <f aca="false">IF(((c_TMAP3IN)-(c_TMAP2IN))=0,(c_TMAP2OUT)+QUOTIENT(((c_TMAP3OUT)-(c_TMAP2OUT)),2),QUOTIENT((((A810)-(c_TMAP2IN))*((c_TMAP3OUT)-(c_TMAP2OUT))+IF(((c_TMAP3OUT)-(c_TMAP2OUT))&gt;=0,1,-1)*QUOTIENT(((c_TMAP3IN)-(c_TMAP2IN)),2)),((c_TMAP3IN)-(c_TMAP2IN)))+(c_TMAP2OUT)+IF(((c_TMAP3OUT)-(c_TMAP2OUT))&gt;=0,IF(IF(o_WRAP=1,MOD(((c_TMAP3IN)-(c_TMAP2IN))*(((A810)-(c_TMAP2IN))*((c_TMAP3OUT)-(c_TMAP2OUT))+IF(((c_TMAP3OUT)-(c_TMAP2OUT))&gt;=0,1,-1)*QUOTIENT(((c_TMAP3IN)-(c_TMAP2IN)),2))+2147483648,4294967296)-2147483648,((c_TMAP3IN)-(c_TMAP2IN))*(((A810)-(c_TMAP2IN))*((c_TMAP3OUT)-(c_TMAP2OUT))+IF(((c_TMAP3OUT)-(c_TMAP2OUT))&gt;=0,1,-1)*QUOTIENT(((c_TMAP3IN)-(c_TMAP2IN)),2)))&lt;0,-1,0),IF(IF(o_WRAP=1,MOD(((c_TMAP3IN)-(c_TMAP2IN))*(((A810)-(c_TMAP2IN))*((c_TMAP3OUT)-(c_TMAP2OUT))+IF(((c_TMAP3OUT)-(c_TMAP2OUT))&gt;=0,1,-1)*QUOTIENT(((c_TMAP3IN)-(c_TMAP2IN)),2))+2147483648,4294967296)-2147483648,((c_TMAP3IN)-(c_TMAP2IN))*(((A810)-(c_TMAP2IN))*((c_TMAP3OUT)-(c_TMAP2OUT))+IF(((c_TMAP3OUT)-(c_TMAP2OUT))&gt;=0,1,-1)*QUOTIENT(((c_TMAP3IN)-(c_TMAP2IN)),2)))&gt;=0,1,0)))</f>
        <v>519</v>
      </c>
      <c r="G810" s="7" t="n">
        <f aca="false">IF(((1000)-(c_TMAP3IN))=0,(c_TMAP3OUT)+QUOTIENT(((1000)-(c_TMAP3OUT)),2),QUOTIENT((((A810)-(c_TMAP3IN))*((1000)-(c_TMAP3OUT))+IF(((1000)-(c_TMAP3OUT))&gt;=0,1,-1)*QUOTIENT(((1000)-(c_TMAP3IN)),2)),((1000)-(c_TMAP3IN)))+(c_TMAP3OUT)+IF(((1000)-(c_TMAP3OUT))&gt;=0,IF(IF(o_WRAP=1,MOD(((1000)-(c_TMAP3IN))*(((A810)-(c_TMAP3IN))*((1000)-(c_TMAP3OUT))+IF(((1000)-(c_TMAP3OUT))&gt;=0,1,-1)*QUOTIENT(((1000)-(c_TMAP3IN)),2))+2147483648,4294967296)-2147483648,((1000)-(c_TMAP3IN))*(((A810)-(c_TMAP3IN))*((1000)-(c_TMAP3OUT))+IF(((1000)-(c_TMAP3OUT))&gt;=0,1,-1)*QUOTIENT(((1000)-(c_TMAP3IN)),2)))&lt;0,-1,0),IF(IF(o_WRAP=1,MOD(((1000)-(c_TMAP3IN))*(((A810)-(c_TMAP3IN))*((1000)-(c_TMAP3OUT))+IF(((1000)-(c_TMAP3OUT))&gt;=0,1,-1)*QUOTIENT(((1000)-(c_TMAP3IN)),2))+2147483648,4294967296)-2147483648,((1000)-(c_TMAP3IN))*(((A810)-(c_TMAP3IN))*((1000)-(c_TMAP3OUT))+IF(((1000)-(c_TMAP3OUT))&gt;=0,1,-1)*QUOTIENT(((1000)-(c_TMAP3IN)),2)))&gt;=0,1,0)))</f>
        <v>760</v>
      </c>
      <c r="H810" s="7" t="str">
        <f aca="false">IF(A810&gt;=c_TFWD,IF(AND(A810&gt;=c_TMAP3IN,c_TMAP3IN&lt;1000),"Seg4 map3-100%",IF(AND(A810&gt;=c_TMAP2IN,c_TMAP3IN&gt;c_TMAP2IN),"Seg3 map2-map3",IF(AND(A810&gt;=c_TMAP1IN,c_TMAP2IN&gt;c_TMAP1IN),"Seg2 map1-map2","Seg1 TFWD-map1"))),IF(AND(A810=0,c_TCREEP&gt;0),"Creep",IF(AND(A810&lt;=c_TRNGMIN,A810&gt;=c_TRNGMAX,c_TRNGMIN-c_TRNGMAX&lt;&gt;0),"Regen ramp","Coast (0)")))</f>
        <v>Seg4 map3-100%</v>
      </c>
      <c r="I810" s="7" t="n">
        <f aca="false">IF(A810&gt;=c_TFWD,IF(AND(A810&gt;=c_TMAP3IN,c_TMAP3IN&lt;1000),G810,IF(AND(A810&gt;=c_TMAP2IN,c_TMAP3IN&gt;c_TMAP2IN),F810,IF(AND(A810&gt;=c_TMAP1IN,c_TMAP2IN&gt;c_TMAP1IN),E810,D810))),C810)</f>
        <v>760</v>
      </c>
      <c r="J810" s="7" t="str">
        <f aca="false">IF(I810&lt;-1090,"TOO LOW",IF(I810&gt;1090,"TOO HIGH",""))</f>
        <v/>
      </c>
      <c r="K810" s="15" t="n">
        <f aca="false">IF(J810&lt;&gt;"",0,IF(I810&gt;979,1000,I810))</f>
        <v>760</v>
      </c>
      <c r="L810" s="7" t="n">
        <f aca="false">K810/10</f>
        <v>76</v>
      </c>
    </row>
    <row r="811" customFormat="false" ht="15" hidden="false" customHeight="false" outlineLevel="0" collapsed="false">
      <c r="A811" s="7" t="n">
        <v>806</v>
      </c>
      <c r="B811" s="7" t="n">
        <f aca="false">A811/10</f>
        <v>80.6</v>
      </c>
      <c r="C811" s="7" t="n">
        <f aca="false">IF(AND(A811=0,c_TCREEP&gt;0),10*c_TCREEP,IF(AND(A811&lt;=c_TRNGMIN,A811&gt;=c_TRNGMAX,c_TRNGMIN-c_TRNGMAX&lt;&gt;0),-10*c_TMINRN+QUOTIENT((c_TMAXRN-c_TMINRN)*(100-QUOTIENT((A811-c_TRNGMAX)*100,c_TRNGMIN-c_TRNGMAX)),-10),0))</f>
        <v>0</v>
      </c>
      <c r="D811" s="7" t="n">
        <f aca="false">IF(((c_TMAP1IN)-(c_TFWD))=0,(0)+QUOTIENT(((c_TMAP1OUT)-(0)),2),QUOTIENT((((A811)-(c_TFWD))*((c_TMAP1OUT)-(0))+IF(((c_TMAP1OUT)-(0))&gt;=0,1,-1)*QUOTIENT(((c_TMAP1IN)-(c_TFWD)),2)),((c_TMAP1IN)-(c_TFWD)))+(0)+IF(((c_TMAP1OUT)-(0))&gt;=0,IF(IF(o_WRAP=1,MOD(((c_TMAP1IN)-(c_TFWD))*(((A811)-(c_TFWD))*((c_TMAP1OUT)-(0))+IF(((c_TMAP1OUT)-(0))&gt;=0,1,-1)*QUOTIENT(((c_TMAP1IN)-(c_TFWD)),2))+2147483648,4294967296)-2147483648,((c_TMAP1IN)-(c_TFWD))*(((A811)-(c_TFWD))*((c_TMAP1OUT)-(0))+IF(((c_TMAP1OUT)-(0))&gt;=0,1,-1)*QUOTIENT(((c_TMAP1IN)-(c_TFWD)),2)))&lt;0,-1,0),IF(IF(o_WRAP=1,MOD(((c_TMAP1IN)-(c_TFWD))*(((A811)-(c_TFWD))*((c_TMAP1OUT)-(0))+IF(((c_TMAP1OUT)-(0))&gt;=0,1,-1)*QUOTIENT(((c_TMAP1IN)-(c_TFWD)),2))+2147483648,4294967296)-2147483648,((c_TMAP1IN)-(c_TFWD))*(((A811)-(c_TFWD))*((c_TMAP1OUT)-(0))+IF(((c_TMAP1OUT)-(0))&gt;=0,1,-1)*QUOTIENT(((c_TMAP1IN)-(c_TFWD)),2)))&gt;=0,1,0)))</f>
        <v>619</v>
      </c>
      <c r="E811" s="7" t="n">
        <f aca="false">IF(((c_TMAP2IN)-(c_TMAP1IN))=0,(c_TMAP1OUT)+QUOTIENT(((c_TMAP2OUT)-(c_TMAP1OUT)),2),QUOTIENT((((A811)-(c_TMAP1IN))*((c_TMAP2OUT)-(c_TMAP1OUT))+IF(((c_TMAP2OUT)-(c_TMAP1OUT))&gt;=0,1,-1)*QUOTIENT(((c_TMAP2IN)-(c_TMAP1IN)),2)),((c_TMAP2IN)-(c_TMAP1IN)))+(c_TMAP1OUT)+IF(((c_TMAP2OUT)-(c_TMAP1OUT))&gt;=0,IF(IF(o_WRAP=1,MOD(((c_TMAP2IN)-(c_TMAP1IN))*(((A811)-(c_TMAP1IN))*((c_TMAP2OUT)-(c_TMAP1OUT))+IF(((c_TMAP2OUT)-(c_TMAP1OUT))&gt;=0,1,-1)*QUOTIENT(((c_TMAP2IN)-(c_TMAP1IN)),2))+2147483648,4294967296)-2147483648,((c_TMAP2IN)-(c_TMAP1IN))*(((A811)-(c_TMAP1IN))*((c_TMAP2OUT)-(c_TMAP1OUT))+IF(((c_TMAP2OUT)-(c_TMAP1OUT))&gt;=0,1,-1)*QUOTIENT(((c_TMAP2IN)-(c_TMAP1IN)),2)))&lt;0,-1,0),IF(IF(o_WRAP=1,MOD(((c_TMAP2IN)-(c_TMAP1IN))*(((A811)-(c_TMAP1IN))*((c_TMAP2OUT)-(c_TMAP1OUT))+IF(((c_TMAP2OUT)-(c_TMAP1OUT))&gt;=0,1,-1)*QUOTIENT(((c_TMAP2IN)-(c_TMAP1IN)),2))+2147483648,4294967296)-2147483648,((c_TMAP2IN)-(c_TMAP1IN))*(((A811)-(c_TMAP1IN))*((c_TMAP2OUT)-(c_TMAP1OUT))+IF(((c_TMAP2OUT)-(c_TMAP1OUT))&gt;=0,1,-1)*QUOTIENT(((c_TMAP2IN)-(c_TMAP1IN)),2)))&gt;=0,1,0)))</f>
        <v>352</v>
      </c>
      <c r="F811" s="7" t="n">
        <f aca="false">IF(((c_TMAP3IN)-(c_TMAP2IN))=0,(c_TMAP2OUT)+QUOTIENT(((c_TMAP3OUT)-(c_TMAP2OUT)),2),QUOTIENT((((A811)-(c_TMAP2IN))*((c_TMAP3OUT)-(c_TMAP2OUT))+IF(((c_TMAP3OUT)-(c_TMAP2OUT))&gt;=0,1,-1)*QUOTIENT(((c_TMAP3IN)-(c_TMAP2IN)),2)),((c_TMAP3IN)-(c_TMAP2IN)))+(c_TMAP2OUT)+IF(((c_TMAP3OUT)-(c_TMAP2OUT))&gt;=0,IF(IF(o_WRAP=1,MOD(((c_TMAP3IN)-(c_TMAP2IN))*(((A811)-(c_TMAP2IN))*((c_TMAP3OUT)-(c_TMAP2OUT))+IF(((c_TMAP3OUT)-(c_TMAP2OUT))&gt;=0,1,-1)*QUOTIENT(((c_TMAP3IN)-(c_TMAP2IN)),2))+2147483648,4294967296)-2147483648,((c_TMAP3IN)-(c_TMAP2IN))*(((A811)-(c_TMAP2IN))*((c_TMAP3OUT)-(c_TMAP2OUT))+IF(((c_TMAP3OUT)-(c_TMAP2OUT))&gt;=0,1,-1)*QUOTIENT(((c_TMAP3IN)-(c_TMAP2IN)),2)))&lt;0,-1,0),IF(IF(o_WRAP=1,MOD(((c_TMAP3IN)-(c_TMAP2IN))*(((A811)-(c_TMAP2IN))*((c_TMAP3OUT)-(c_TMAP2OUT))+IF(((c_TMAP3OUT)-(c_TMAP2OUT))&gt;=0,1,-1)*QUOTIENT(((c_TMAP3IN)-(c_TMAP2IN)),2))+2147483648,4294967296)-2147483648,((c_TMAP3IN)-(c_TMAP2IN))*(((A811)-(c_TMAP2IN))*((c_TMAP3OUT)-(c_TMAP2OUT))+IF(((c_TMAP3OUT)-(c_TMAP2OUT))&gt;=0,1,-1)*QUOTIENT(((c_TMAP3IN)-(c_TMAP2IN)),2)))&gt;=0,1,0)))</f>
        <v>519</v>
      </c>
      <c r="G811" s="7" t="n">
        <f aca="false">IF(((1000)-(c_TMAP3IN))=0,(c_TMAP3OUT)+QUOTIENT(((1000)-(c_TMAP3OUT)),2),QUOTIENT((((A811)-(c_TMAP3IN))*((1000)-(c_TMAP3OUT))+IF(((1000)-(c_TMAP3OUT))&gt;=0,1,-1)*QUOTIENT(((1000)-(c_TMAP3IN)),2)),((1000)-(c_TMAP3IN)))+(c_TMAP3OUT)+IF(((1000)-(c_TMAP3OUT))&gt;=0,IF(IF(o_WRAP=1,MOD(((1000)-(c_TMAP3IN))*(((A811)-(c_TMAP3IN))*((1000)-(c_TMAP3OUT))+IF(((1000)-(c_TMAP3OUT))&gt;=0,1,-1)*QUOTIENT(((1000)-(c_TMAP3IN)),2))+2147483648,4294967296)-2147483648,((1000)-(c_TMAP3IN))*(((A811)-(c_TMAP3IN))*((1000)-(c_TMAP3OUT))+IF(((1000)-(c_TMAP3OUT))&gt;=0,1,-1)*QUOTIENT(((1000)-(c_TMAP3IN)),2)))&lt;0,-1,0),IF(IF(o_WRAP=1,MOD(((1000)-(c_TMAP3IN))*(((A811)-(c_TMAP3IN))*((1000)-(c_TMAP3OUT))+IF(((1000)-(c_TMAP3OUT))&gt;=0,1,-1)*QUOTIENT(((1000)-(c_TMAP3IN)),2))+2147483648,4294967296)-2147483648,((1000)-(c_TMAP3IN))*(((A811)-(c_TMAP3IN))*((1000)-(c_TMAP3OUT))+IF(((1000)-(c_TMAP3OUT))&gt;=0,1,-1)*QUOTIENT(((1000)-(c_TMAP3IN)),2)))&gt;=0,1,0)))</f>
        <v>761</v>
      </c>
      <c r="H811" s="7" t="str">
        <f aca="false">IF(A811&gt;=c_TFWD,IF(AND(A811&gt;=c_TMAP3IN,c_TMAP3IN&lt;1000),"Seg4 map3-100%",IF(AND(A811&gt;=c_TMAP2IN,c_TMAP3IN&gt;c_TMAP2IN),"Seg3 map2-map3",IF(AND(A811&gt;=c_TMAP1IN,c_TMAP2IN&gt;c_TMAP1IN),"Seg2 map1-map2","Seg1 TFWD-map1"))),IF(AND(A811=0,c_TCREEP&gt;0),"Creep",IF(AND(A811&lt;=c_TRNGMIN,A811&gt;=c_TRNGMAX,c_TRNGMIN-c_TRNGMAX&lt;&gt;0),"Regen ramp","Coast (0)")))</f>
        <v>Seg4 map3-100%</v>
      </c>
      <c r="I811" s="7" t="n">
        <f aca="false">IF(A811&gt;=c_TFWD,IF(AND(A811&gt;=c_TMAP3IN,c_TMAP3IN&lt;1000),G811,IF(AND(A811&gt;=c_TMAP2IN,c_TMAP3IN&gt;c_TMAP2IN),F811,IF(AND(A811&gt;=c_TMAP1IN,c_TMAP2IN&gt;c_TMAP1IN),E811,D811))),C811)</f>
        <v>761</v>
      </c>
      <c r="J811" s="7" t="str">
        <f aca="false">IF(I811&lt;-1090,"TOO LOW",IF(I811&gt;1090,"TOO HIGH",""))</f>
        <v/>
      </c>
      <c r="K811" s="15" t="n">
        <f aca="false">IF(J811&lt;&gt;"",0,IF(I811&gt;979,1000,I811))</f>
        <v>761</v>
      </c>
      <c r="L811" s="7" t="n">
        <f aca="false">K811/10</f>
        <v>76.1</v>
      </c>
    </row>
    <row r="812" customFormat="false" ht="15" hidden="false" customHeight="false" outlineLevel="0" collapsed="false">
      <c r="A812" s="7" t="n">
        <v>807</v>
      </c>
      <c r="B812" s="7" t="n">
        <f aca="false">A812/10</f>
        <v>80.7</v>
      </c>
      <c r="C812" s="7" t="n">
        <f aca="false">IF(AND(A812=0,c_TCREEP&gt;0),10*c_TCREEP,IF(AND(A812&lt;=c_TRNGMIN,A812&gt;=c_TRNGMAX,c_TRNGMIN-c_TRNGMAX&lt;&gt;0),-10*c_TMINRN+QUOTIENT((c_TMAXRN-c_TMINRN)*(100-QUOTIENT((A812-c_TRNGMAX)*100,c_TRNGMIN-c_TRNGMAX)),-10),0))</f>
        <v>0</v>
      </c>
      <c r="D812" s="7" t="n">
        <f aca="false">IF(((c_TMAP1IN)-(c_TFWD))=0,(0)+QUOTIENT(((c_TMAP1OUT)-(0)),2),QUOTIENT((((A812)-(c_TFWD))*((c_TMAP1OUT)-(0))+IF(((c_TMAP1OUT)-(0))&gt;=0,1,-1)*QUOTIENT(((c_TMAP1IN)-(c_TFWD)),2)),((c_TMAP1IN)-(c_TFWD)))+(0)+IF(((c_TMAP1OUT)-(0))&gt;=0,IF(IF(o_WRAP=1,MOD(((c_TMAP1IN)-(c_TFWD))*(((A812)-(c_TFWD))*((c_TMAP1OUT)-(0))+IF(((c_TMAP1OUT)-(0))&gt;=0,1,-1)*QUOTIENT(((c_TMAP1IN)-(c_TFWD)),2))+2147483648,4294967296)-2147483648,((c_TMAP1IN)-(c_TFWD))*(((A812)-(c_TFWD))*((c_TMAP1OUT)-(0))+IF(((c_TMAP1OUT)-(0))&gt;=0,1,-1)*QUOTIENT(((c_TMAP1IN)-(c_TFWD)),2)))&lt;0,-1,0),IF(IF(o_WRAP=1,MOD(((c_TMAP1IN)-(c_TFWD))*(((A812)-(c_TFWD))*((c_TMAP1OUT)-(0))+IF(((c_TMAP1OUT)-(0))&gt;=0,1,-1)*QUOTIENT(((c_TMAP1IN)-(c_TFWD)),2))+2147483648,4294967296)-2147483648,((c_TMAP1IN)-(c_TFWD))*(((A812)-(c_TFWD))*((c_TMAP1OUT)-(0))+IF(((c_TMAP1OUT)-(0))&gt;=0,1,-1)*QUOTIENT(((c_TMAP1IN)-(c_TFWD)),2)))&gt;=0,1,0)))</f>
        <v>620</v>
      </c>
      <c r="E812" s="7" t="n">
        <f aca="false">IF(((c_TMAP2IN)-(c_TMAP1IN))=0,(c_TMAP1OUT)+QUOTIENT(((c_TMAP2OUT)-(c_TMAP1OUT)),2),QUOTIENT((((A812)-(c_TMAP1IN))*((c_TMAP2OUT)-(c_TMAP1OUT))+IF(((c_TMAP2OUT)-(c_TMAP1OUT))&gt;=0,1,-1)*QUOTIENT(((c_TMAP2IN)-(c_TMAP1IN)),2)),((c_TMAP2IN)-(c_TMAP1IN)))+(c_TMAP1OUT)+IF(((c_TMAP2OUT)-(c_TMAP1OUT))&gt;=0,IF(IF(o_WRAP=1,MOD(((c_TMAP2IN)-(c_TMAP1IN))*(((A812)-(c_TMAP1IN))*((c_TMAP2OUT)-(c_TMAP1OUT))+IF(((c_TMAP2OUT)-(c_TMAP1OUT))&gt;=0,1,-1)*QUOTIENT(((c_TMAP2IN)-(c_TMAP1IN)),2))+2147483648,4294967296)-2147483648,((c_TMAP2IN)-(c_TMAP1IN))*(((A812)-(c_TMAP1IN))*((c_TMAP2OUT)-(c_TMAP1OUT))+IF(((c_TMAP2OUT)-(c_TMAP1OUT))&gt;=0,1,-1)*QUOTIENT(((c_TMAP2IN)-(c_TMAP1IN)),2)))&lt;0,-1,0),IF(IF(o_WRAP=1,MOD(((c_TMAP2IN)-(c_TMAP1IN))*(((A812)-(c_TMAP1IN))*((c_TMAP2OUT)-(c_TMAP1OUT))+IF(((c_TMAP2OUT)-(c_TMAP1OUT))&gt;=0,1,-1)*QUOTIENT(((c_TMAP2IN)-(c_TMAP1IN)),2))+2147483648,4294967296)-2147483648,((c_TMAP2IN)-(c_TMAP1IN))*(((A812)-(c_TMAP1IN))*((c_TMAP2OUT)-(c_TMAP1OUT))+IF(((c_TMAP2OUT)-(c_TMAP1OUT))&gt;=0,1,-1)*QUOTIENT(((c_TMAP2IN)-(c_TMAP1IN)),2)))&gt;=0,1,0)))</f>
        <v>353</v>
      </c>
      <c r="F812" s="7" t="n">
        <f aca="false">IF(((c_TMAP3IN)-(c_TMAP2IN))=0,(c_TMAP2OUT)+QUOTIENT(((c_TMAP3OUT)-(c_TMAP2OUT)),2),QUOTIENT((((A812)-(c_TMAP2IN))*((c_TMAP3OUT)-(c_TMAP2OUT))+IF(((c_TMAP3OUT)-(c_TMAP2OUT))&gt;=0,1,-1)*QUOTIENT(((c_TMAP3IN)-(c_TMAP2IN)),2)),((c_TMAP3IN)-(c_TMAP2IN)))+(c_TMAP2OUT)+IF(((c_TMAP3OUT)-(c_TMAP2OUT))&gt;=0,IF(IF(o_WRAP=1,MOD(((c_TMAP3IN)-(c_TMAP2IN))*(((A812)-(c_TMAP2IN))*((c_TMAP3OUT)-(c_TMAP2OUT))+IF(((c_TMAP3OUT)-(c_TMAP2OUT))&gt;=0,1,-1)*QUOTIENT(((c_TMAP3IN)-(c_TMAP2IN)),2))+2147483648,4294967296)-2147483648,((c_TMAP3IN)-(c_TMAP2IN))*(((A812)-(c_TMAP2IN))*((c_TMAP3OUT)-(c_TMAP2OUT))+IF(((c_TMAP3OUT)-(c_TMAP2OUT))&gt;=0,1,-1)*QUOTIENT(((c_TMAP3IN)-(c_TMAP2IN)),2)))&lt;0,-1,0),IF(IF(o_WRAP=1,MOD(((c_TMAP3IN)-(c_TMAP2IN))*(((A812)-(c_TMAP2IN))*((c_TMAP3OUT)-(c_TMAP2OUT))+IF(((c_TMAP3OUT)-(c_TMAP2OUT))&gt;=0,1,-1)*QUOTIENT(((c_TMAP3IN)-(c_TMAP2IN)),2))+2147483648,4294967296)-2147483648,((c_TMAP3IN)-(c_TMAP2IN))*(((A812)-(c_TMAP2IN))*((c_TMAP3OUT)-(c_TMAP2OUT))+IF(((c_TMAP3OUT)-(c_TMAP2OUT))&gt;=0,1,-1)*QUOTIENT(((c_TMAP3IN)-(c_TMAP2IN)),2)))&gt;=0,1,0)))</f>
        <v>520</v>
      </c>
      <c r="G812" s="7" t="n">
        <f aca="false">IF(((1000)-(c_TMAP3IN))=0,(c_TMAP3OUT)+QUOTIENT(((1000)-(c_TMAP3OUT)),2),QUOTIENT((((A812)-(c_TMAP3IN))*((1000)-(c_TMAP3OUT))+IF(((1000)-(c_TMAP3OUT))&gt;=0,1,-1)*QUOTIENT(((1000)-(c_TMAP3IN)),2)),((1000)-(c_TMAP3IN)))+(c_TMAP3OUT)+IF(((1000)-(c_TMAP3OUT))&gt;=0,IF(IF(o_WRAP=1,MOD(((1000)-(c_TMAP3IN))*(((A812)-(c_TMAP3IN))*((1000)-(c_TMAP3OUT))+IF(((1000)-(c_TMAP3OUT))&gt;=0,1,-1)*QUOTIENT(((1000)-(c_TMAP3IN)),2))+2147483648,4294967296)-2147483648,((1000)-(c_TMAP3IN))*(((A812)-(c_TMAP3IN))*((1000)-(c_TMAP3OUT))+IF(((1000)-(c_TMAP3OUT))&gt;=0,1,-1)*QUOTIENT(((1000)-(c_TMAP3IN)),2)))&lt;0,-1,0),IF(IF(o_WRAP=1,MOD(((1000)-(c_TMAP3IN))*(((A812)-(c_TMAP3IN))*((1000)-(c_TMAP3OUT))+IF(((1000)-(c_TMAP3OUT))&gt;=0,1,-1)*QUOTIENT(((1000)-(c_TMAP3IN)),2))+2147483648,4294967296)-2147483648,((1000)-(c_TMAP3IN))*(((A812)-(c_TMAP3IN))*((1000)-(c_TMAP3OUT))+IF(((1000)-(c_TMAP3OUT))&gt;=0,1,-1)*QUOTIENT(((1000)-(c_TMAP3IN)),2)))&gt;=0,1,0)))</f>
        <v>762</v>
      </c>
      <c r="H812" s="7" t="str">
        <f aca="false">IF(A812&gt;=c_TFWD,IF(AND(A812&gt;=c_TMAP3IN,c_TMAP3IN&lt;1000),"Seg4 map3-100%",IF(AND(A812&gt;=c_TMAP2IN,c_TMAP3IN&gt;c_TMAP2IN),"Seg3 map2-map3",IF(AND(A812&gt;=c_TMAP1IN,c_TMAP2IN&gt;c_TMAP1IN),"Seg2 map1-map2","Seg1 TFWD-map1"))),IF(AND(A812=0,c_TCREEP&gt;0),"Creep",IF(AND(A812&lt;=c_TRNGMIN,A812&gt;=c_TRNGMAX,c_TRNGMIN-c_TRNGMAX&lt;&gt;0),"Regen ramp","Coast (0)")))</f>
        <v>Seg4 map3-100%</v>
      </c>
      <c r="I812" s="7" t="n">
        <f aca="false">IF(A812&gt;=c_TFWD,IF(AND(A812&gt;=c_TMAP3IN,c_TMAP3IN&lt;1000),G812,IF(AND(A812&gt;=c_TMAP2IN,c_TMAP3IN&gt;c_TMAP2IN),F812,IF(AND(A812&gt;=c_TMAP1IN,c_TMAP2IN&gt;c_TMAP1IN),E812,D812))),C812)</f>
        <v>762</v>
      </c>
      <c r="J812" s="7" t="str">
        <f aca="false">IF(I812&lt;-1090,"TOO LOW",IF(I812&gt;1090,"TOO HIGH",""))</f>
        <v/>
      </c>
      <c r="K812" s="15" t="n">
        <f aca="false">IF(J812&lt;&gt;"",0,IF(I812&gt;979,1000,I812))</f>
        <v>762</v>
      </c>
      <c r="L812" s="7" t="n">
        <f aca="false">K812/10</f>
        <v>76.2</v>
      </c>
    </row>
    <row r="813" customFormat="false" ht="15" hidden="false" customHeight="false" outlineLevel="0" collapsed="false">
      <c r="A813" s="7" t="n">
        <v>808</v>
      </c>
      <c r="B813" s="7" t="n">
        <f aca="false">A813/10</f>
        <v>80.8</v>
      </c>
      <c r="C813" s="7" t="n">
        <f aca="false">IF(AND(A813=0,c_TCREEP&gt;0),10*c_TCREEP,IF(AND(A813&lt;=c_TRNGMIN,A813&gt;=c_TRNGMAX,c_TRNGMIN-c_TRNGMAX&lt;&gt;0),-10*c_TMINRN+QUOTIENT((c_TMAXRN-c_TMINRN)*(100-QUOTIENT((A813-c_TRNGMAX)*100,c_TRNGMIN-c_TRNGMAX)),-10),0))</f>
        <v>0</v>
      </c>
      <c r="D813" s="7" t="n">
        <f aca="false">IF(((c_TMAP1IN)-(c_TFWD))=0,(0)+QUOTIENT(((c_TMAP1OUT)-(0)),2),QUOTIENT((((A813)-(c_TFWD))*((c_TMAP1OUT)-(0))+IF(((c_TMAP1OUT)-(0))&gt;=0,1,-1)*QUOTIENT(((c_TMAP1IN)-(c_TFWD)),2)),((c_TMAP1IN)-(c_TFWD)))+(0)+IF(((c_TMAP1OUT)-(0))&gt;=0,IF(IF(o_WRAP=1,MOD(((c_TMAP1IN)-(c_TFWD))*(((A813)-(c_TFWD))*((c_TMAP1OUT)-(0))+IF(((c_TMAP1OUT)-(0))&gt;=0,1,-1)*QUOTIENT(((c_TMAP1IN)-(c_TFWD)),2))+2147483648,4294967296)-2147483648,((c_TMAP1IN)-(c_TFWD))*(((A813)-(c_TFWD))*((c_TMAP1OUT)-(0))+IF(((c_TMAP1OUT)-(0))&gt;=0,1,-1)*QUOTIENT(((c_TMAP1IN)-(c_TFWD)),2)))&lt;0,-1,0),IF(IF(o_WRAP=1,MOD(((c_TMAP1IN)-(c_TFWD))*(((A813)-(c_TFWD))*((c_TMAP1OUT)-(0))+IF(((c_TMAP1OUT)-(0))&gt;=0,1,-1)*QUOTIENT(((c_TMAP1IN)-(c_TFWD)),2))+2147483648,4294967296)-2147483648,((c_TMAP1IN)-(c_TFWD))*(((A813)-(c_TFWD))*((c_TMAP1OUT)-(0))+IF(((c_TMAP1OUT)-(0))&gt;=0,1,-1)*QUOTIENT(((c_TMAP1IN)-(c_TFWD)),2)))&gt;=0,1,0)))</f>
        <v>621</v>
      </c>
      <c r="E813" s="7" t="n">
        <f aca="false">IF(((c_TMAP2IN)-(c_TMAP1IN))=0,(c_TMAP1OUT)+QUOTIENT(((c_TMAP2OUT)-(c_TMAP1OUT)),2),QUOTIENT((((A813)-(c_TMAP1IN))*((c_TMAP2OUT)-(c_TMAP1OUT))+IF(((c_TMAP2OUT)-(c_TMAP1OUT))&gt;=0,1,-1)*QUOTIENT(((c_TMAP2IN)-(c_TMAP1IN)),2)),((c_TMAP2IN)-(c_TMAP1IN)))+(c_TMAP1OUT)+IF(((c_TMAP2OUT)-(c_TMAP1OUT))&gt;=0,IF(IF(o_WRAP=1,MOD(((c_TMAP2IN)-(c_TMAP1IN))*(((A813)-(c_TMAP1IN))*((c_TMAP2OUT)-(c_TMAP1OUT))+IF(((c_TMAP2OUT)-(c_TMAP1OUT))&gt;=0,1,-1)*QUOTIENT(((c_TMAP2IN)-(c_TMAP1IN)),2))+2147483648,4294967296)-2147483648,((c_TMAP2IN)-(c_TMAP1IN))*(((A813)-(c_TMAP1IN))*((c_TMAP2OUT)-(c_TMAP1OUT))+IF(((c_TMAP2OUT)-(c_TMAP1OUT))&gt;=0,1,-1)*QUOTIENT(((c_TMAP2IN)-(c_TMAP1IN)),2)))&lt;0,-1,0),IF(IF(o_WRAP=1,MOD(((c_TMAP2IN)-(c_TMAP1IN))*(((A813)-(c_TMAP1IN))*((c_TMAP2OUT)-(c_TMAP1OUT))+IF(((c_TMAP2OUT)-(c_TMAP1OUT))&gt;=0,1,-1)*QUOTIENT(((c_TMAP2IN)-(c_TMAP1IN)),2))+2147483648,4294967296)-2147483648,((c_TMAP2IN)-(c_TMAP1IN))*(((A813)-(c_TMAP1IN))*((c_TMAP2OUT)-(c_TMAP1OUT))+IF(((c_TMAP2OUT)-(c_TMAP1OUT))&gt;=0,1,-1)*QUOTIENT(((c_TMAP2IN)-(c_TMAP1IN)),2)))&gt;=0,1,0)))</f>
        <v>353</v>
      </c>
      <c r="F813" s="7" t="n">
        <f aca="false">IF(((c_TMAP3IN)-(c_TMAP2IN))=0,(c_TMAP2OUT)+QUOTIENT(((c_TMAP3OUT)-(c_TMAP2OUT)),2),QUOTIENT((((A813)-(c_TMAP2IN))*((c_TMAP3OUT)-(c_TMAP2OUT))+IF(((c_TMAP3OUT)-(c_TMAP2OUT))&gt;=0,1,-1)*QUOTIENT(((c_TMAP3IN)-(c_TMAP2IN)),2)),((c_TMAP3IN)-(c_TMAP2IN)))+(c_TMAP2OUT)+IF(((c_TMAP3OUT)-(c_TMAP2OUT))&gt;=0,IF(IF(o_WRAP=1,MOD(((c_TMAP3IN)-(c_TMAP2IN))*(((A813)-(c_TMAP2IN))*((c_TMAP3OUT)-(c_TMAP2OUT))+IF(((c_TMAP3OUT)-(c_TMAP2OUT))&gt;=0,1,-1)*QUOTIENT(((c_TMAP3IN)-(c_TMAP2IN)),2))+2147483648,4294967296)-2147483648,((c_TMAP3IN)-(c_TMAP2IN))*(((A813)-(c_TMAP2IN))*((c_TMAP3OUT)-(c_TMAP2OUT))+IF(((c_TMAP3OUT)-(c_TMAP2OUT))&gt;=0,1,-1)*QUOTIENT(((c_TMAP3IN)-(c_TMAP2IN)),2)))&lt;0,-1,0),IF(IF(o_WRAP=1,MOD(((c_TMAP3IN)-(c_TMAP2IN))*(((A813)-(c_TMAP2IN))*((c_TMAP3OUT)-(c_TMAP2OUT))+IF(((c_TMAP3OUT)-(c_TMAP2OUT))&gt;=0,1,-1)*QUOTIENT(((c_TMAP3IN)-(c_TMAP2IN)),2))+2147483648,4294967296)-2147483648,((c_TMAP3IN)-(c_TMAP2IN))*(((A813)-(c_TMAP2IN))*((c_TMAP3OUT)-(c_TMAP2OUT))+IF(((c_TMAP3OUT)-(c_TMAP2OUT))&gt;=0,1,-1)*QUOTIENT(((c_TMAP3IN)-(c_TMAP2IN)),2)))&gt;=0,1,0)))</f>
        <v>521</v>
      </c>
      <c r="G813" s="7" t="n">
        <f aca="false">IF(((1000)-(c_TMAP3IN))=0,(c_TMAP3OUT)+QUOTIENT(((1000)-(c_TMAP3OUT)),2),QUOTIENT((((A813)-(c_TMAP3IN))*((1000)-(c_TMAP3OUT))+IF(((1000)-(c_TMAP3OUT))&gt;=0,1,-1)*QUOTIENT(((1000)-(c_TMAP3IN)),2)),((1000)-(c_TMAP3IN)))+(c_TMAP3OUT)+IF(((1000)-(c_TMAP3OUT))&gt;=0,IF(IF(o_WRAP=1,MOD(((1000)-(c_TMAP3IN))*(((A813)-(c_TMAP3IN))*((1000)-(c_TMAP3OUT))+IF(((1000)-(c_TMAP3OUT))&gt;=0,1,-1)*QUOTIENT(((1000)-(c_TMAP3IN)),2))+2147483648,4294967296)-2147483648,((1000)-(c_TMAP3IN))*(((A813)-(c_TMAP3IN))*((1000)-(c_TMAP3OUT))+IF(((1000)-(c_TMAP3OUT))&gt;=0,1,-1)*QUOTIENT(((1000)-(c_TMAP3IN)),2)))&lt;0,-1,0),IF(IF(o_WRAP=1,MOD(((1000)-(c_TMAP3IN))*(((A813)-(c_TMAP3IN))*((1000)-(c_TMAP3OUT))+IF(((1000)-(c_TMAP3OUT))&gt;=0,1,-1)*QUOTIENT(((1000)-(c_TMAP3IN)),2))+2147483648,4294967296)-2147483648,((1000)-(c_TMAP3IN))*(((A813)-(c_TMAP3IN))*((1000)-(c_TMAP3OUT))+IF(((1000)-(c_TMAP3OUT))&gt;=0,1,-1)*QUOTIENT(((1000)-(c_TMAP3IN)),2)))&gt;=0,1,0)))</f>
        <v>764</v>
      </c>
      <c r="H813" s="7" t="str">
        <f aca="false">IF(A813&gt;=c_TFWD,IF(AND(A813&gt;=c_TMAP3IN,c_TMAP3IN&lt;1000),"Seg4 map3-100%",IF(AND(A813&gt;=c_TMAP2IN,c_TMAP3IN&gt;c_TMAP2IN),"Seg3 map2-map3",IF(AND(A813&gt;=c_TMAP1IN,c_TMAP2IN&gt;c_TMAP1IN),"Seg2 map1-map2","Seg1 TFWD-map1"))),IF(AND(A813=0,c_TCREEP&gt;0),"Creep",IF(AND(A813&lt;=c_TRNGMIN,A813&gt;=c_TRNGMAX,c_TRNGMIN-c_TRNGMAX&lt;&gt;0),"Regen ramp","Coast (0)")))</f>
        <v>Seg4 map3-100%</v>
      </c>
      <c r="I813" s="7" t="n">
        <f aca="false">IF(A813&gt;=c_TFWD,IF(AND(A813&gt;=c_TMAP3IN,c_TMAP3IN&lt;1000),G813,IF(AND(A813&gt;=c_TMAP2IN,c_TMAP3IN&gt;c_TMAP2IN),F813,IF(AND(A813&gt;=c_TMAP1IN,c_TMAP2IN&gt;c_TMAP1IN),E813,D813))),C813)</f>
        <v>764</v>
      </c>
      <c r="J813" s="7" t="str">
        <f aca="false">IF(I813&lt;-1090,"TOO LOW",IF(I813&gt;1090,"TOO HIGH",""))</f>
        <v/>
      </c>
      <c r="K813" s="15" t="n">
        <f aca="false">IF(J813&lt;&gt;"",0,IF(I813&gt;979,1000,I813))</f>
        <v>764</v>
      </c>
      <c r="L813" s="7" t="n">
        <f aca="false">K813/10</f>
        <v>76.4</v>
      </c>
    </row>
    <row r="814" customFormat="false" ht="15" hidden="false" customHeight="false" outlineLevel="0" collapsed="false">
      <c r="A814" s="7" t="n">
        <v>809</v>
      </c>
      <c r="B814" s="7" t="n">
        <f aca="false">A814/10</f>
        <v>80.9</v>
      </c>
      <c r="C814" s="7" t="n">
        <f aca="false">IF(AND(A814=0,c_TCREEP&gt;0),10*c_TCREEP,IF(AND(A814&lt;=c_TRNGMIN,A814&gt;=c_TRNGMAX,c_TRNGMIN-c_TRNGMAX&lt;&gt;0),-10*c_TMINRN+QUOTIENT((c_TMAXRN-c_TMINRN)*(100-QUOTIENT((A814-c_TRNGMAX)*100,c_TRNGMIN-c_TRNGMAX)),-10),0))</f>
        <v>0</v>
      </c>
      <c r="D814" s="7" t="n">
        <f aca="false">IF(((c_TMAP1IN)-(c_TFWD))=0,(0)+QUOTIENT(((c_TMAP1OUT)-(0)),2),QUOTIENT((((A814)-(c_TFWD))*((c_TMAP1OUT)-(0))+IF(((c_TMAP1OUT)-(0))&gt;=0,1,-1)*QUOTIENT(((c_TMAP1IN)-(c_TFWD)),2)),((c_TMAP1IN)-(c_TFWD)))+(0)+IF(((c_TMAP1OUT)-(0))&gt;=0,IF(IF(o_WRAP=1,MOD(((c_TMAP1IN)-(c_TFWD))*(((A814)-(c_TFWD))*((c_TMAP1OUT)-(0))+IF(((c_TMAP1OUT)-(0))&gt;=0,1,-1)*QUOTIENT(((c_TMAP1IN)-(c_TFWD)),2))+2147483648,4294967296)-2147483648,((c_TMAP1IN)-(c_TFWD))*(((A814)-(c_TFWD))*((c_TMAP1OUT)-(0))+IF(((c_TMAP1OUT)-(0))&gt;=0,1,-1)*QUOTIENT(((c_TMAP1IN)-(c_TFWD)),2)))&lt;0,-1,0),IF(IF(o_WRAP=1,MOD(((c_TMAP1IN)-(c_TFWD))*(((A814)-(c_TFWD))*((c_TMAP1OUT)-(0))+IF(((c_TMAP1OUT)-(0))&gt;=0,1,-1)*QUOTIENT(((c_TMAP1IN)-(c_TFWD)),2))+2147483648,4294967296)-2147483648,((c_TMAP1IN)-(c_TFWD))*(((A814)-(c_TFWD))*((c_TMAP1OUT)-(0))+IF(((c_TMAP1OUT)-(0))&gt;=0,1,-1)*QUOTIENT(((c_TMAP1IN)-(c_TFWD)),2)))&gt;=0,1,0)))</f>
        <v>621</v>
      </c>
      <c r="E814" s="7" t="n">
        <f aca="false">IF(((c_TMAP2IN)-(c_TMAP1IN))=0,(c_TMAP1OUT)+QUOTIENT(((c_TMAP2OUT)-(c_TMAP1OUT)),2),QUOTIENT((((A814)-(c_TMAP1IN))*((c_TMAP2OUT)-(c_TMAP1OUT))+IF(((c_TMAP2OUT)-(c_TMAP1OUT))&gt;=0,1,-1)*QUOTIENT(((c_TMAP2IN)-(c_TMAP1IN)),2)),((c_TMAP2IN)-(c_TMAP1IN)))+(c_TMAP1OUT)+IF(((c_TMAP2OUT)-(c_TMAP1OUT))&gt;=0,IF(IF(o_WRAP=1,MOD(((c_TMAP2IN)-(c_TMAP1IN))*(((A814)-(c_TMAP1IN))*((c_TMAP2OUT)-(c_TMAP1OUT))+IF(((c_TMAP2OUT)-(c_TMAP1OUT))&gt;=0,1,-1)*QUOTIENT(((c_TMAP2IN)-(c_TMAP1IN)),2))+2147483648,4294967296)-2147483648,((c_TMAP2IN)-(c_TMAP1IN))*(((A814)-(c_TMAP1IN))*((c_TMAP2OUT)-(c_TMAP1OUT))+IF(((c_TMAP2OUT)-(c_TMAP1OUT))&gt;=0,1,-1)*QUOTIENT(((c_TMAP2IN)-(c_TMAP1IN)),2)))&lt;0,-1,0),IF(IF(o_WRAP=1,MOD(((c_TMAP2IN)-(c_TMAP1IN))*(((A814)-(c_TMAP1IN))*((c_TMAP2OUT)-(c_TMAP1OUT))+IF(((c_TMAP2OUT)-(c_TMAP1OUT))&gt;=0,1,-1)*QUOTIENT(((c_TMAP2IN)-(c_TMAP1IN)),2))+2147483648,4294967296)-2147483648,((c_TMAP2IN)-(c_TMAP1IN))*(((A814)-(c_TMAP1IN))*((c_TMAP2OUT)-(c_TMAP1OUT))+IF(((c_TMAP2OUT)-(c_TMAP1OUT))&gt;=0,1,-1)*QUOTIENT(((c_TMAP2IN)-(c_TMAP1IN)),2)))&gt;=0,1,0)))</f>
        <v>354</v>
      </c>
      <c r="F814" s="7" t="n">
        <f aca="false">IF(((c_TMAP3IN)-(c_TMAP2IN))=0,(c_TMAP2OUT)+QUOTIENT(((c_TMAP3OUT)-(c_TMAP2OUT)),2),QUOTIENT((((A814)-(c_TMAP2IN))*((c_TMAP3OUT)-(c_TMAP2OUT))+IF(((c_TMAP3OUT)-(c_TMAP2OUT))&gt;=0,1,-1)*QUOTIENT(((c_TMAP3IN)-(c_TMAP2IN)),2)),((c_TMAP3IN)-(c_TMAP2IN)))+(c_TMAP2OUT)+IF(((c_TMAP3OUT)-(c_TMAP2OUT))&gt;=0,IF(IF(o_WRAP=1,MOD(((c_TMAP3IN)-(c_TMAP2IN))*(((A814)-(c_TMAP2IN))*((c_TMAP3OUT)-(c_TMAP2OUT))+IF(((c_TMAP3OUT)-(c_TMAP2OUT))&gt;=0,1,-1)*QUOTIENT(((c_TMAP3IN)-(c_TMAP2IN)),2))+2147483648,4294967296)-2147483648,((c_TMAP3IN)-(c_TMAP2IN))*(((A814)-(c_TMAP2IN))*((c_TMAP3OUT)-(c_TMAP2OUT))+IF(((c_TMAP3OUT)-(c_TMAP2OUT))&gt;=0,1,-1)*QUOTIENT(((c_TMAP3IN)-(c_TMAP2IN)),2)))&lt;0,-1,0),IF(IF(o_WRAP=1,MOD(((c_TMAP3IN)-(c_TMAP2IN))*(((A814)-(c_TMAP2IN))*((c_TMAP3OUT)-(c_TMAP2OUT))+IF(((c_TMAP3OUT)-(c_TMAP2OUT))&gt;=0,1,-1)*QUOTIENT(((c_TMAP3IN)-(c_TMAP2IN)),2))+2147483648,4294967296)-2147483648,((c_TMAP3IN)-(c_TMAP2IN))*(((A814)-(c_TMAP2IN))*((c_TMAP3OUT)-(c_TMAP2OUT))+IF(((c_TMAP3OUT)-(c_TMAP2OUT))&gt;=0,1,-1)*QUOTIENT(((c_TMAP3IN)-(c_TMAP2IN)),2)))&gt;=0,1,0)))</f>
        <v>521</v>
      </c>
      <c r="G814" s="7" t="n">
        <f aca="false">IF(((1000)-(c_TMAP3IN))=0,(c_TMAP3OUT)+QUOTIENT(((1000)-(c_TMAP3OUT)),2),QUOTIENT((((A814)-(c_TMAP3IN))*((1000)-(c_TMAP3OUT))+IF(((1000)-(c_TMAP3OUT))&gt;=0,1,-1)*QUOTIENT(((1000)-(c_TMAP3IN)),2)),((1000)-(c_TMAP3IN)))+(c_TMAP3OUT)+IF(((1000)-(c_TMAP3OUT))&gt;=0,IF(IF(o_WRAP=1,MOD(((1000)-(c_TMAP3IN))*(((A814)-(c_TMAP3IN))*((1000)-(c_TMAP3OUT))+IF(((1000)-(c_TMAP3OUT))&gt;=0,1,-1)*QUOTIENT(((1000)-(c_TMAP3IN)),2))+2147483648,4294967296)-2147483648,((1000)-(c_TMAP3IN))*(((A814)-(c_TMAP3IN))*((1000)-(c_TMAP3OUT))+IF(((1000)-(c_TMAP3OUT))&gt;=0,1,-1)*QUOTIENT(((1000)-(c_TMAP3IN)),2)))&lt;0,-1,0),IF(IF(o_WRAP=1,MOD(((1000)-(c_TMAP3IN))*(((A814)-(c_TMAP3IN))*((1000)-(c_TMAP3OUT))+IF(((1000)-(c_TMAP3OUT))&gt;=0,1,-1)*QUOTIENT(((1000)-(c_TMAP3IN)),2))+2147483648,4294967296)-2147483648,((1000)-(c_TMAP3IN))*(((A814)-(c_TMAP3IN))*((1000)-(c_TMAP3OUT))+IF(((1000)-(c_TMAP3OUT))&gt;=0,1,-1)*QUOTIENT(((1000)-(c_TMAP3IN)),2)))&gt;=0,1,0)))</f>
        <v>765</v>
      </c>
      <c r="H814" s="7" t="str">
        <f aca="false">IF(A814&gt;=c_TFWD,IF(AND(A814&gt;=c_TMAP3IN,c_TMAP3IN&lt;1000),"Seg4 map3-100%",IF(AND(A814&gt;=c_TMAP2IN,c_TMAP3IN&gt;c_TMAP2IN),"Seg3 map2-map3",IF(AND(A814&gt;=c_TMAP1IN,c_TMAP2IN&gt;c_TMAP1IN),"Seg2 map1-map2","Seg1 TFWD-map1"))),IF(AND(A814=0,c_TCREEP&gt;0),"Creep",IF(AND(A814&lt;=c_TRNGMIN,A814&gt;=c_TRNGMAX,c_TRNGMIN-c_TRNGMAX&lt;&gt;0),"Regen ramp","Coast (0)")))</f>
        <v>Seg4 map3-100%</v>
      </c>
      <c r="I814" s="7" t="n">
        <f aca="false">IF(A814&gt;=c_TFWD,IF(AND(A814&gt;=c_TMAP3IN,c_TMAP3IN&lt;1000),G814,IF(AND(A814&gt;=c_TMAP2IN,c_TMAP3IN&gt;c_TMAP2IN),F814,IF(AND(A814&gt;=c_TMAP1IN,c_TMAP2IN&gt;c_TMAP1IN),E814,D814))),C814)</f>
        <v>765</v>
      </c>
      <c r="J814" s="7" t="str">
        <f aca="false">IF(I814&lt;-1090,"TOO LOW",IF(I814&gt;1090,"TOO HIGH",""))</f>
        <v/>
      </c>
      <c r="K814" s="15" t="n">
        <f aca="false">IF(J814&lt;&gt;"",0,IF(I814&gt;979,1000,I814))</f>
        <v>765</v>
      </c>
      <c r="L814" s="7" t="n">
        <f aca="false">K814/10</f>
        <v>76.5</v>
      </c>
    </row>
    <row r="815" customFormat="false" ht="15" hidden="false" customHeight="false" outlineLevel="0" collapsed="false">
      <c r="A815" s="7" t="n">
        <v>810</v>
      </c>
      <c r="B815" s="7" t="n">
        <f aca="false">A815/10</f>
        <v>81</v>
      </c>
      <c r="C815" s="7" t="n">
        <f aca="false">IF(AND(A815=0,c_TCREEP&gt;0),10*c_TCREEP,IF(AND(A815&lt;=c_TRNGMIN,A815&gt;=c_TRNGMAX,c_TRNGMIN-c_TRNGMAX&lt;&gt;0),-10*c_TMINRN+QUOTIENT((c_TMAXRN-c_TMINRN)*(100-QUOTIENT((A815-c_TRNGMAX)*100,c_TRNGMIN-c_TRNGMAX)),-10),0))</f>
        <v>0</v>
      </c>
      <c r="D815" s="7" t="n">
        <f aca="false">IF(((c_TMAP1IN)-(c_TFWD))=0,(0)+QUOTIENT(((c_TMAP1OUT)-(0)),2),QUOTIENT((((A815)-(c_TFWD))*((c_TMAP1OUT)-(0))+IF(((c_TMAP1OUT)-(0))&gt;=0,1,-1)*QUOTIENT(((c_TMAP1IN)-(c_TFWD)),2)),((c_TMAP1IN)-(c_TFWD)))+(0)+IF(((c_TMAP1OUT)-(0))&gt;=0,IF(IF(o_WRAP=1,MOD(((c_TMAP1IN)-(c_TFWD))*(((A815)-(c_TFWD))*((c_TMAP1OUT)-(0))+IF(((c_TMAP1OUT)-(0))&gt;=0,1,-1)*QUOTIENT(((c_TMAP1IN)-(c_TFWD)),2))+2147483648,4294967296)-2147483648,((c_TMAP1IN)-(c_TFWD))*(((A815)-(c_TFWD))*((c_TMAP1OUT)-(0))+IF(((c_TMAP1OUT)-(0))&gt;=0,1,-1)*QUOTIENT(((c_TMAP1IN)-(c_TFWD)),2)))&lt;0,-1,0),IF(IF(o_WRAP=1,MOD(((c_TMAP1IN)-(c_TFWD))*(((A815)-(c_TFWD))*((c_TMAP1OUT)-(0))+IF(((c_TMAP1OUT)-(0))&gt;=0,1,-1)*QUOTIENT(((c_TMAP1IN)-(c_TFWD)),2))+2147483648,4294967296)-2147483648,((c_TMAP1IN)-(c_TFWD))*(((A815)-(c_TFWD))*((c_TMAP1OUT)-(0))+IF(((c_TMAP1OUT)-(0))&gt;=0,1,-1)*QUOTIENT(((c_TMAP1IN)-(c_TFWD)),2)))&gt;=0,1,0)))</f>
        <v>622</v>
      </c>
      <c r="E815" s="7" t="n">
        <f aca="false">IF(((c_TMAP2IN)-(c_TMAP1IN))=0,(c_TMAP1OUT)+QUOTIENT(((c_TMAP2OUT)-(c_TMAP1OUT)),2),QUOTIENT((((A815)-(c_TMAP1IN))*((c_TMAP2OUT)-(c_TMAP1OUT))+IF(((c_TMAP2OUT)-(c_TMAP1OUT))&gt;=0,1,-1)*QUOTIENT(((c_TMAP2IN)-(c_TMAP1IN)),2)),((c_TMAP2IN)-(c_TMAP1IN)))+(c_TMAP1OUT)+IF(((c_TMAP2OUT)-(c_TMAP1OUT))&gt;=0,IF(IF(o_WRAP=1,MOD(((c_TMAP2IN)-(c_TMAP1IN))*(((A815)-(c_TMAP1IN))*((c_TMAP2OUT)-(c_TMAP1OUT))+IF(((c_TMAP2OUT)-(c_TMAP1OUT))&gt;=0,1,-1)*QUOTIENT(((c_TMAP2IN)-(c_TMAP1IN)),2))+2147483648,4294967296)-2147483648,((c_TMAP2IN)-(c_TMAP1IN))*(((A815)-(c_TMAP1IN))*((c_TMAP2OUT)-(c_TMAP1OUT))+IF(((c_TMAP2OUT)-(c_TMAP1OUT))&gt;=0,1,-1)*QUOTIENT(((c_TMAP2IN)-(c_TMAP1IN)),2)))&lt;0,-1,0),IF(IF(o_WRAP=1,MOD(((c_TMAP2IN)-(c_TMAP1IN))*(((A815)-(c_TMAP1IN))*((c_TMAP2OUT)-(c_TMAP1OUT))+IF(((c_TMAP2OUT)-(c_TMAP1OUT))&gt;=0,1,-1)*QUOTIENT(((c_TMAP2IN)-(c_TMAP1IN)),2))+2147483648,4294967296)-2147483648,((c_TMAP2IN)-(c_TMAP1IN))*(((A815)-(c_TMAP1IN))*((c_TMAP2OUT)-(c_TMAP1OUT))+IF(((c_TMAP2OUT)-(c_TMAP1OUT))&gt;=0,1,-1)*QUOTIENT(((c_TMAP2IN)-(c_TMAP1IN)),2)))&gt;=0,1,0)))</f>
        <v>354</v>
      </c>
      <c r="F815" s="7" t="n">
        <f aca="false">IF(((c_TMAP3IN)-(c_TMAP2IN))=0,(c_TMAP2OUT)+QUOTIENT(((c_TMAP3OUT)-(c_TMAP2OUT)),2),QUOTIENT((((A815)-(c_TMAP2IN))*((c_TMAP3OUT)-(c_TMAP2OUT))+IF(((c_TMAP3OUT)-(c_TMAP2OUT))&gt;=0,1,-1)*QUOTIENT(((c_TMAP3IN)-(c_TMAP2IN)),2)),((c_TMAP3IN)-(c_TMAP2IN)))+(c_TMAP2OUT)+IF(((c_TMAP3OUT)-(c_TMAP2OUT))&gt;=0,IF(IF(o_WRAP=1,MOD(((c_TMAP3IN)-(c_TMAP2IN))*(((A815)-(c_TMAP2IN))*((c_TMAP3OUT)-(c_TMAP2OUT))+IF(((c_TMAP3OUT)-(c_TMAP2OUT))&gt;=0,1,-1)*QUOTIENT(((c_TMAP3IN)-(c_TMAP2IN)),2))+2147483648,4294967296)-2147483648,((c_TMAP3IN)-(c_TMAP2IN))*(((A815)-(c_TMAP2IN))*((c_TMAP3OUT)-(c_TMAP2OUT))+IF(((c_TMAP3OUT)-(c_TMAP2OUT))&gt;=0,1,-1)*QUOTIENT(((c_TMAP3IN)-(c_TMAP2IN)),2)))&lt;0,-1,0),IF(IF(o_WRAP=1,MOD(((c_TMAP3IN)-(c_TMAP2IN))*(((A815)-(c_TMAP2IN))*((c_TMAP3OUT)-(c_TMAP2OUT))+IF(((c_TMAP3OUT)-(c_TMAP2OUT))&gt;=0,1,-1)*QUOTIENT(((c_TMAP3IN)-(c_TMAP2IN)),2))+2147483648,4294967296)-2147483648,((c_TMAP3IN)-(c_TMAP2IN))*(((A815)-(c_TMAP2IN))*((c_TMAP3OUT)-(c_TMAP2OUT))+IF(((c_TMAP3OUT)-(c_TMAP2OUT))&gt;=0,1,-1)*QUOTIENT(((c_TMAP3IN)-(c_TMAP2IN)),2)))&gt;=0,1,0)))</f>
        <v>522</v>
      </c>
      <c r="G815" s="7" t="n">
        <f aca="false">IF(((1000)-(c_TMAP3IN))=0,(c_TMAP3OUT)+QUOTIENT(((1000)-(c_TMAP3OUT)),2),QUOTIENT((((A815)-(c_TMAP3IN))*((1000)-(c_TMAP3OUT))+IF(((1000)-(c_TMAP3OUT))&gt;=0,1,-1)*QUOTIENT(((1000)-(c_TMAP3IN)),2)),((1000)-(c_TMAP3IN)))+(c_TMAP3OUT)+IF(((1000)-(c_TMAP3OUT))&gt;=0,IF(IF(o_WRAP=1,MOD(((1000)-(c_TMAP3IN))*(((A815)-(c_TMAP3IN))*((1000)-(c_TMAP3OUT))+IF(((1000)-(c_TMAP3OUT))&gt;=0,1,-1)*QUOTIENT(((1000)-(c_TMAP3IN)),2))+2147483648,4294967296)-2147483648,((1000)-(c_TMAP3IN))*(((A815)-(c_TMAP3IN))*((1000)-(c_TMAP3OUT))+IF(((1000)-(c_TMAP3OUT))&gt;=0,1,-1)*QUOTIENT(((1000)-(c_TMAP3IN)),2)))&lt;0,-1,0),IF(IF(o_WRAP=1,MOD(((1000)-(c_TMAP3IN))*(((A815)-(c_TMAP3IN))*((1000)-(c_TMAP3OUT))+IF(((1000)-(c_TMAP3OUT))&gt;=0,1,-1)*QUOTIENT(((1000)-(c_TMAP3IN)),2))+2147483648,4294967296)-2147483648,((1000)-(c_TMAP3IN))*(((A815)-(c_TMAP3IN))*((1000)-(c_TMAP3OUT))+IF(((1000)-(c_TMAP3OUT))&gt;=0,1,-1)*QUOTIENT(((1000)-(c_TMAP3IN)),2)))&gt;=0,1,0)))</f>
        <v>766</v>
      </c>
      <c r="H815" s="7" t="str">
        <f aca="false">IF(A815&gt;=c_TFWD,IF(AND(A815&gt;=c_TMAP3IN,c_TMAP3IN&lt;1000),"Seg4 map3-100%",IF(AND(A815&gt;=c_TMAP2IN,c_TMAP3IN&gt;c_TMAP2IN),"Seg3 map2-map3",IF(AND(A815&gt;=c_TMAP1IN,c_TMAP2IN&gt;c_TMAP1IN),"Seg2 map1-map2","Seg1 TFWD-map1"))),IF(AND(A815=0,c_TCREEP&gt;0),"Creep",IF(AND(A815&lt;=c_TRNGMIN,A815&gt;=c_TRNGMAX,c_TRNGMIN-c_TRNGMAX&lt;&gt;0),"Regen ramp","Coast (0)")))</f>
        <v>Seg4 map3-100%</v>
      </c>
      <c r="I815" s="7" t="n">
        <f aca="false">IF(A815&gt;=c_TFWD,IF(AND(A815&gt;=c_TMAP3IN,c_TMAP3IN&lt;1000),G815,IF(AND(A815&gt;=c_TMAP2IN,c_TMAP3IN&gt;c_TMAP2IN),F815,IF(AND(A815&gt;=c_TMAP1IN,c_TMAP2IN&gt;c_TMAP1IN),E815,D815))),C815)</f>
        <v>766</v>
      </c>
      <c r="J815" s="7" t="str">
        <f aca="false">IF(I815&lt;-1090,"TOO LOW",IF(I815&gt;1090,"TOO HIGH",""))</f>
        <v/>
      </c>
      <c r="K815" s="15" t="n">
        <f aca="false">IF(J815&lt;&gt;"",0,IF(I815&gt;979,1000,I815))</f>
        <v>766</v>
      </c>
      <c r="L815" s="7" t="n">
        <f aca="false">K815/10</f>
        <v>76.6</v>
      </c>
    </row>
    <row r="816" customFormat="false" ht="15" hidden="false" customHeight="false" outlineLevel="0" collapsed="false">
      <c r="A816" s="7" t="n">
        <v>811</v>
      </c>
      <c r="B816" s="7" t="n">
        <f aca="false">A816/10</f>
        <v>81.1</v>
      </c>
      <c r="C816" s="7" t="n">
        <f aca="false">IF(AND(A816=0,c_TCREEP&gt;0),10*c_TCREEP,IF(AND(A816&lt;=c_TRNGMIN,A816&gt;=c_TRNGMAX,c_TRNGMIN-c_TRNGMAX&lt;&gt;0),-10*c_TMINRN+QUOTIENT((c_TMAXRN-c_TMINRN)*(100-QUOTIENT((A816-c_TRNGMAX)*100,c_TRNGMIN-c_TRNGMAX)),-10),0))</f>
        <v>0</v>
      </c>
      <c r="D816" s="7" t="n">
        <f aca="false">IF(((c_TMAP1IN)-(c_TFWD))=0,(0)+QUOTIENT(((c_TMAP1OUT)-(0)),2),QUOTIENT((((A816)-(c_TFWD))*((c_TMAP1OUT)-(0))+IF(((c_TMAP1OUT)-(0))&gt;=0,1,-1)*QUOTIENT(((c_TMAP1IN)-(c_TFWD)),2)),((c_TMAP1IN)-(c_TFWD)))+(0)+IF(((c_TMAP1OUT)-(0))&gt;=0,IF(IF(o_WRAP=1,MOD(((c_TMAP1IN)-(c_TFWD))*(((A816)-(c_TFWD))*((c_TMAP1OUT)-(0))+IF(((c_TMAP1OUT)-(0))&gt;=0,1,-1)*QUOTIENT(((c_TMAP1IN)-(c_TFWD)),2))+2147483648,4294967296)-2147483648,((c_TMAP1IN)-(c_TFWD))*(((A816)-(c_TFWD))*((c_TMAP1OUT)-(0))+IF(((c_TMAP1OUT)-(0))&gt;=0,1,-1)*QUOTIENT(((c_TMAP1IN)-(c_TFWD)),2)))&lt;0,-1,0),IF(IF(o_WRAP=1,MOD(((c_TMAP1IN)-(c_TFWD))*(((A816)-(c_TFWD))*((c_TMAP1OUT)-(0))+IF(((c_TMAP1OUT)-(0))&gt;=0,1,-1)*QUOTIENT(((c_TMAP1IN)-(c_TFWD)),2))+2147483648,4294967296)-2147483648,((c_TMAP1IN)-(c_TFWD))*(((A816)-(c_TFWD))*((c_TMAP1OUT)-(0))+IF(((c_TMAP1OUT)-(0))&gt;=0,1,-1)*QUOTIENT(((c_TMAP1IN)-(c_TFWD)),2)))&gt;=0,1,0)))</f>
        <v>623</v>
      </c>
      <c r="E816" s="7" t="n">
        <f aca="false">IF(((c_TMAP2IN)-(c_TMAP1IN))=0,(c_TMAP1OUT)+QUOTIENT(((c_TMAP2OUT)-(c_TMAP1OUT)),2),QUOTIENT((((A816)-(c_TMAP1IN))*((c_TMAP2OUT)-(c_TMAP1OUT))+IF(((c_TMAP2OUT)-(c_TMAP1OUT))&gt;=0,1,-1)*QUOTIENT(((c_TMAP2IN)-(c_TMAP1IN)),2)),((c_TMAP2IN)-(c_TMAP1IN)))+(c_TMAP1OUT)+IF(((c_TMAP2OUT)-(c_TMAP1OUT))&gt;=0,IF(IF(o_WRAP=1,MOD(((c_TMAP2IN)-(c_TMAP1IN))*(((A816)-(c_TMAP1IN))*((c_TMAP2OUT)-(c_TMAP1OUT))+IF(((c_TMAP2OUT)-(c_TMAP1OUT))&gt;=0,1,-1)*QUOTIENT(((c_TMAP2IN)-(c_TMAP1IN)),2))+2147483648,4294967296)-2147483648,((c_TMAP2IN)-(c_TMAP1IN))*(((A816)-(c_TMAP1IN))*((c_TMAP2OUT)-(c_TMAP1OUT))+IF(((c_TMAP2OUT)-(c_TMAP1OUT))&gt;=0,1,-1)*QUOTIENT(((c_TMAP2IN)-(c_TMAP1IN)),2)))&lt;0,-1,0),IF(IF(o_WRAP=1,MOD(((c_TMAP2IN)-(c_TMAP1IN))*(((A816)-(c_TMAP1IN))*((c_TMAP2OUT)-(c_TMAP1OUT))+IF(((c_TMAP2OUT)-(c_TMAP1OUT))&gt;=0,1,-1)*QUOTIENT(((c_TMAP2IN)-(c_TMAP1IN)),2))+2147483648,4294967296)-2147483648,((c_TMAP2IN)-(c_TMAP1IN))*(((A816)-(c_TMAP1IN))*((c_TMAP2OUT)-(c_TMAP1OUT))+IF(((c_TMAP2OUT)-(c_TMAP1OUT))&gt;=0,1,-1)*QUOTIENT(((c_TMAP2IN)-(c_TMAP1IN)),2)))&gt;=0,1,0)))</f>
        <v>354</v>
      </c>
      <c r="F816" s="7" t="n">
        <f aca="false">IF(((c_TMAP3IN)-(c_TMAP2IN))=0,(c_TMAP2OUT)+QUOTIENT(((c_TMAP3OUT)-(c_TMAP2OUT)),2),QUOTIENT((((A816)-(c_TMAP2IN))*((c_TMAP3OUT)-(c_TMAP2OUT))+IF(((c_TMAP3OUT)-(c_TMAP2OUT))&gt;=0,1,-1)*QUOTIENT(((c_TMAP3IN)-(c_TMAP2IN)),2)),((c_TMAP3IN)-(c_TMAP2IN)))+(c_TMAP2OUT)+IF(((c_TMAP3OUT)-(c_TMAP2OUT))&gt;=0,IF(IF(o_WRAP=1,MOD(((c_TMAP3IN)-(c_TMAP2IN))*(((A816)-(c_TMAP2IN))*((c_TMAP3OUT)-(c_TMAP2OUT))+IF(((c_TMAP3OUT)-(c_TMAP2OUT))&gt;=0,1,-1)*QUOTIENT(((c_TMAP3IN)-(c_TMAP2IN)),2))+2147483648,4294967296)-2147483648,((c_TMAP3IN)-(c_TMAP2IN))*(((A816)-(c_TMAP2IN))*((c_TMAP3OUT)-(c_TMAP2OUT))+IF(((c_TMAP3OUT)-(c_TMAP2OUT))&gt;=0,1,-1)*QUOTIENT(((c_TMAP3IN)-(c_TMAP2IN)),2)))&lt;0,-1,0),IF(IF(o_WRAP=1,MOD(((c_TMAP3IN)-(c_TMAP2IN))*(((A816)-(c_TMAP2IN))*((c_TMAP3OUT)-(c_TMAP2OUT))+IF(((c_TMAP3OUT)-(c_TMAP2OUT))&gt;=0,1,-1)*QUOTIENT(((c_TMAP3IN)-(c_TMAP2IN)),2))+2147483648,4294967296)-2147483648,((c_TMAP3IN)-(c_TMAP2IN))*(((A816)-(c_TMAP2IN))*((c_TMAP3OUT)-(c_TMAP2OUT))+IF(((c_TMAP3OUT)-(c_TMAP2OUT))&gt;=0,1,-1)*QUOTIENT(((c_TMAP3IN)-(c_TMAP2IN)),2)))&gt;=0,1,0)))</f>
        <v>523</v>
      </c>
      <c r="G816" s="7" t="n">
        <f aca="false">IF(((1000)-(c_TMAP3IN))=0,(c_TMAP3OUT)+QUOTIENT(((1000)-(c_TMAP3OUT)),2),QUOTIENT((((A816)-(c_TMAP3IN))*((1000)-(c_TMAP3OUT))+IF(((1000)-(c_TMAP3OUT))&gt;=0,1,-1)*QUOTIENT(((1000)-(c_TMAP3IN)),2)),((1000)-(c_TMAP3IN)))+(c_TMAP3OUT)+IF(((1000)-(c_TMAP3OUT))&gt;=0,IF(IF(o_WRAP=1,MOD(((1000)-(c_TMAP3IN))*(((A816)-(c_TMAP3IN))*((1000)-(c_TMAP3OUT))+IF(((1000)-(c_TMAP3OUT))&gt;=0,1,-1)*QUOTIENT(((1000)-(c_TMAP3IN)),2))+2147483648,4294967296)-2147483648,((1000)-(c_TMAP3IN))*(((A816)-(c_TMAP3IN))*((1000)-(c_TMAP3OUT))+IF(((1000)-(c_TMAP3OUT))&gt;=0,1,-1)*QUOTIENT(((1000)-(c_TMAP3IN)),2)))&lt;0,-1,0),IF(IF(o_WRAP=1,MOD(((1000)-(c_TMAP3IN))*(((A816)-(c_TMAP3IN))*((1000)-(c_TMAP3OUT))+IF(((1000)-(c_TMAP3OUT))&gt;=0,1,-1)*QUOTIENT(((1000)-(c_TMAP3IN)),2))+2147483648,4294967296)-2147483648,((1000)-(c_TMAP3IN))*(((A816)-(c_TMAP3IN))*((1000)-(c_TMAP3OUT))+IF(((1000)-(c_TMAP3OUT))&gt;=0,1,-1)*QUOTIENT(((1000)-(c_TMAP3IN)),2)))&gt;=0,1,0)))</f>
        <v>767</v>
      </c>
      <c r="H816" s="7" t="str">
        <f aca="false">IF(A816&gt;=c_TFWD,IF(AND(A816&gt;=c_TMAP3IN,c_TMAP3IN&lt;1000),"Seg4 map3-100%",IF(AND(A816&gt;=c_TMAP2IN,c_TMAP3IN&gt;c_TMAP2IN),"Seg3 map2-map3",IF(AND(A816&gt;=c_TMAP1IN,c_TMAP2IN&gt;c_TMAP1IN),"Seg2 map1-map2","Seg1 TFWD-map1"))),IF(AND(A816=0,c_TCREEP&gt;0),"Creep",IF(AND(A816&lt;=c_TRNGMIN,A816&gt;=c_TRNGMAX,c_TRNGMIN-c_TRNGMAX&lt;&gt;0),"Regen ramp","Coast (0)")))</f>
        <v>Seg4 map3-100%</v>
      </c>
      <c r="I816" s="7" t="n">
        <f aca="false">IF(A816&gt;=c_TFWD,IF(AND(A816&gt;=c_TMAP3IN,c_TMAP3IN&lt;1000),G816,IF(AND(A816&gt;=c_TMAP2IN,c_TMAP3IN&gt;c_TMAP2IN),F816,IF(AND(A816&gt;=c_TMAP1IN,c_TMAP2IN&gt;c_TMAP1IN),E816,D816))),C816)</f>
        <v>767</v>
      </c>
      <c r="J816" s="7" t="str">
        <f aca="false">IF(I816&lt;-1090,"TOO LOW",IF(I816&gt;1090,"TOO HIGH",""))</f>
        <v/>
      </c>
      <c r="K816" s="15" t="n">
        <f aca="false">IF(J816&lt;&gt;"",0,IF(I816&gt;979,1000,I816))</f>
        <v>767</v>
      </c>
      <c r="L816" s="7" t="n">
        <f aca="false">K816/10</f>
        <v>76.7</v>
      </c>
    </row>
    <row r="817" customFormat="false" ht="15" hidden="false" customHeight="false" outlineLevel="0" collapsed="false">
      <c r="A817" s="7" t="n">
        <v>812</v>
      </c>
      <c r="B817" s="7" t="n">
        <f aca="false">A817/10</f>
        <v>81.2</v>
      </c>
      <c r="C817" s="7" t="n">
        <f aca="false">IF(AND(A817=0,c_TCREEP&gt;0),10*c_TCREEP,IF(AND(A817&lt;=c_TRNGMIN,A817&gt;=c_TRNGMAX,c_TRNGMIN-c_TRNGMAX&lt;&gt;0),-10*c_TMINRN+QUOTIENT((c_TMAXRN-c_TMINRN)*(100-QUOTIENT((A817-c_TRNGMAX)*100,c_TRNGMIN-c_TRNGMAX)),-10),0))</f>
        <v>0</v>
      </c>
      <c r="D817" s="7" t="n">
        <f aca="false">IF(((c_TMAP1IN)-(c_TFWD))=0,(0)+QUOTIENT(((c_TMAP1OUT)-(0)),2),QUOTIENT((((A817)-(c_TFWD))*((c_TMAP1OUT)-(0))+IF(((c_TMAP1OUT)-(0))&gt;=0,1,-1)*QUOTIENT(((c_TMAP1IN)-(c_TFWD)),2)),((c_TMAP1IN)-(c_TFWD)))+(0)+IF(((c_TMAP1OUT)-(0))&gt;=0,IF(IF(o_WRAP=1,MOD(((c_TMAP1IN)-(c_TFWD))*(((A817)-(c_TFWD))*((c_TMAP1OUT)-(0))+IF(((c_TMAP1OUT)-(0))&gt;=0,1,-1)*QUOTIENT(((c_TMAP1IN)-(c_TFWD)),2))+2147483648,4294967296)-2147483648,((c_TMAP1IN)-(c_TFWD))*(((A817)-(c_TFWD))*((c_TMAP1OUT)-(0))+IF(((c_TMAP1OUT)-(0))&gt;=0,1,-1)*QUOTIENT(((c_TMAP1IN)-(c_TFWD)),2)))&lt;0,-1,0),IF(IF(o_WRAP=1,MOD(((c_TMAP1IN)-(c_TFWD))*(((A817)-(c_TFWD))*((c_TMAP1OUT)-(0))+IF(((c_TMAP1OUT)-(0))&gt;=0,1,-1)*QUOTIENT(((c_TMAP1IN)-(c_TFWD)),2))+2147483648,4294967296)-2147483648,((c_TMAP1IN)-(c_TFWD))*(((A817)-(c_TFWD))*((c_TMAP1OUT)-(0))+IF(((c_TMAP1OUT)-(0))&gt;=0,1,-1)*QUOTIENT(((c_TMAP1IN)-(c_TFWD)),2)))&gt;=0,1,0)))</f>
        <v>624</v>
      </c>
      <c r="E817" s="7" t="n">
        <f aca="false">IF(((c_TMAP2IN)-(c_TMAP1IN))=0,(c_TMAP1OUT)+QUOTIENT(((c_TMAP2OUT)-(c_TMAP1OUT)),2),QUOTIENT((((A817)-(c_TMAP1IN))*((c_TMAP2OUT)-(c_TMAP1OUT))+IF(((c_TMAP2OUT)-(c_TMAP1OUT))&gt;=0,1,-1)*QUOTIENT(((c_TMAP2IN)-(c_TMAP1IN)),2)),((c_TMAP2IN)-(c_TMAP1IN)))+(c_TMAP1OUT)+IF(((c_TMAP2OUT)-(c_TMAP1OUT))&gt;=0,IF(IF(o_WRAP=1,MOD(((c_TMAP2IN)-(c_TMAP1IN))*(((A817)-(c_TMAP1IN))*((c_TMAP2OUT)-(c_TMAP1OUT))+IF(((c_TMAP2OUT)-(c_TMAP1OUT))&gt;=0,1,-1)*QUOTIENT(((c_TMAP2IN)-(c_TMAP1IN)),2))+2147483648,4294967296)-2147483648,((c_TMAP2IN)-(c_TMAP1IN))*(((A817)-(c_TMAP1IN))*((c_TMAP2OUT)-(c_TMAP1OUT))+IF(((c_TMAP2OUT)-(c_TMAP1OUT))&gt;=0,1,-1)*QUOTIENT(((c_TMAP2IN)-(c_TMAP1IN)),2)))&lt;0,-1,0),IF(IF(o_WRAP=1,MOD(((c_TMAP2IN)-(c_TMAP1IN))*(((A817)-(c_TMAP1IN))*((c_TMAP2OUT)-(c_TMAP1OUT))+IF(((c_TMAP2OUT)-(c_TMAP1OUT))&gt;=0,1,-1)*QUOTIENT(((c_TMAP2IN)-(c_TMAP1IN)),2))+2147483648,4294967296)-2147483648,((c_TMAP2IN)-(c_TMAP1IN))*(((A817)-(c_TMAP1IN))*((c_TMAP2OUT)-(c_TMAP1OUT))+IF(((c_TMAP2OUT)-(c_TMAP1OUT))&gt;=0,1,-1)*QUOTIENT(((c_TMAP2IN)-(c_TMAP1IN)),2)))&gt;=0,1,0)))</f>
        <v>355</v>
      </c>
      <c r="F817" s="7" t="n">
        <f aca="false">IF(((c_TMAP3IN)-(c_TMAP2IN))=0,(c_TMAP2OUT)+QUOTIENT(((c_TMAP3OUT)-(c_TMAP2OUT)),2),QUOTIENT((((A817)-(c_TMAP2IN))*((c_TMAP3OUT)-(c_TMAP2OUT))+IF(((c_TMAP3OUT)-(c_TMAP2OUT))&gt;=0,1,-1)*QUOTIENT(((c_TMAP3IN)-(c_TMAP2IN)),2)),((c_TMAP3IN)-(c_TMAP2IN)))+(c_TMAP2OUT)+IF(((c_TMAP3OUT)-(c_TMAP2OUT))&gt;=0,IF(IF(o_WRAP=1,MOD(((c_TMAP3IN)-(c_TMAP2IN))*(((A817)-(c_TMAP2IN))*((c_TMAP3OUT)-(c_TMAP2OUT))+IF(((c_TMAP3OUT)-(c_TMAP2OUT))&gt;=0,1,-1)*QUOTIENT(((c_TMAP3IN)-(c_TMAP2IN)),2))+2147483648,4294967296)-2147483648,((c_TMAP3IN)-(c_TMAP2IN))*(((A817)-(c_TMAP2IN))*((c_TMAP3OUT)-(c_TMAP2OUT))+IF(((c_TMAP3OUT)-(c_TMAP2OUT))&gt;=0,1,-1)*QUOTIENT(((c_TMAP3IN)-(c_TMAP2IN)),2)))&lt;0,-1,0),IF(IF(o_WRAP=1,MOD(((c_TMAP3IN)-(c_TMAP2IN))*(((A817)-(c_TMAP2IN))*((c_TMAP3OUT)-(c_TMAP2OUT))+IF(((c_TMAP3OUT)-(c_TMAP2OUT))&gt;=0,1,-1)*QUOTIENT(((c_TMAP3IN)-(c_TMAP2IN)),2))+2147483648,4294967296)-2147483648,((c_TMAP3IN)-(c_TMAP2IN))*(((A817)-(c_TMAP2IN))*((c_TMAP3OUT)-(c_TMAP2OUT))+IF(((c_TMAP3OUT)-(c_TMAP2OUT))&gt;=0,1,-1)*QUOTIENT(((c_TMAP3IN)-(c_TMAP2IN)),2)))&gt;=0,1,0)))</f>
        <v>523</v>
      </c>
      <c r="G817" s="7" t="n">
        <f aca="false">IF(((1000)-(c_TMAP3IN))=0,(c_TMAP3OUT)+QUOTIENT(((1000)-(c_TMAP3OUT)),2),QUOTIENT((((A817)-(c_TMAP3IN))*((1000)-(c_TMAP3OUT))+IF(((1000)-(c_TMAP3OUT))&gt;=0,1,-1)*QUOTIENT(((1000)-(c_TMAP3IN)),2)),((1000)-(c_TMAP3IN)))+(c_TMAP3OUT)+IF(((1000)-(c_TMAP3OUT))&gt;=0,IF(IF(o_WRAP=1,MOD(((1000)-(c_TMAP3IN))*(((A817)-(c_TMAP3IN))*((1000)-(c_TMAP3OUT))+IF(((1000)-(c_TMAP3OUT))&gt;=0,1,-1)*QUOTIENT(((1000)-(c_TMAP3IN)),2))+2147483648,4294967296)-2147483648,((1000)-(c_TMAP3IN))*(((A817)-(c_TMAP3IN))*((1000)-(c_TMAP3OUT))+IF(((1000)-(c_TMAP3OUT))&gt;=0,1,-1)*QUOTIENT(((1000)-(c_TMAP3IN)),2)))&lt;0,-1,0),IF(IF(o_WRAP=1,MOD(((1000)-(c_TMAP3IN))*(((A817)-(c_TMAP3IN))*((1000)-(c_TMAP3OUT))+IF(((1000)-(c_TMAP3OUT))&gt;=0,1,-1)*QUOTIENT(((1000)-(c_TMAP3IN)),2))+2147483648,4294967296)-2147483648,((1000)-(c_TMAP3IN))*(((A817)-(c_TMAP3IN))*((1000)-(c_TMAP3OUT))+IF(((1000)-(c_TMAP3OUT))&gt;=0,1,-1)*QUOTIENT(((1000)-(c_TMAP3IN)),2)))&gt;=0,1,0)))</f>
        <v>769</v>
      </c>
      <c r="H817" s="7" t="str">
        <f aca="false">IF(A817&gt;=c_TFWD,IF(AND(A817&gt;=c_TMAP3IN,c_TMAP3IN&lt;1000),"Seg4 map3-100%",IF(AND(A817&gt;=c_TMAP2IN,c_TMAP3IN&gt;c_TMAP2IN),"Seg3 map2-map3",IF(AND(A817&gt;=c_TMAP1IN,c_TMAP2IN&gt;c_TMAP1IN),"Seg2 map1-map2","Seg1 TFWD-map1"))),IF(AND(A817=0,c_TCREEP&gt;0),"Creep",IF(AND(A817&lt;=c_TRNGMIN,A817&gt;=c_TRNGMAX,c_TRNGMIN-c_TRNGMAX&lt;&gt;0),"Regen ramp","Coast (0)")))</f>
        <v>Seg4 map3-100%</v>
      </c>
      <c r="I817" s="7" t="n">
        <f aca="false">IF(A817&gt;=c_TFWD,IF(AND(A817&gt;=c_TMAP3IN,c_TMAP3IN&lt;1000),G817,IF(AND(A817&gt;=c_TMAP2IN,c_TMAP3IN&gt;c_TMAP2IN),F817,IF(AND(A817&gt;=c_TMAP1IN,c_TMAP2IN&gt;c_TMAP1IN),E817,D817))),C817)</f>
        <v>769</v>
      </c>
      <c r="J817" s="7" t="str">
        <f aca="false">IF(I817&lt;-1090,"TOO LOW",IF(I817&gt;1090,"TOO HIGH",""))</f>
        <v/>
      </c>
      <c r="K817" s="15" t="n">
        <f aca="false">IF(J817&lt;&gt;"",0,IF(I817&gt;979,1000,I817))</f>
        <v>769</v>
      </c>
      <c r="L817" s="7" t="n">
        <f aca="false">K817/10</f>
        <v>76.9</v>
      </c>
    </row>
    <row r="818" customFormat="false" ht="15" hidden="false" customHeight="false" outlineLevel="0" collapsed="false">
      <c r="A818" s="7" t="n">
        <v>813</v>
      </c>
      <c r="B818" s="7" t="n">
        <f aca="false">A818/10</f>
        <v>81.3</v>
      </c>
      <c r="C818" s="7" t="n">
        <f aca="false">IF(AND(A818=0,c_TCREEP&gt;0),10*c_TCREEP,IF(AND(A818&lt;=c_TRNGMIN,A818&gt;=c_TRNGMAX,c_TRNGMIN-c_TRNGMAX&lt;&gt;0),-10*c_TMINRN+QUOTIENT((c_TMAXRN-c_TMINRN)*(100-QUOTIENT((A818-c_TRNGMAX)*100,c_TRNGMIN-c_TRNGMAX)),-10),0))</f>
        <v>0</v>
      </c>
      <c r="D818" s="7" t="n">
        <f aca="false">IF(((c_TMAP1IN)-(c_TFWD))=0,(0)+QUOTIENT(((c_TMAP1OUT)-(0)),2),QUOTIENT((((A818)-(c_TFWD))*((c_TMAP1OUT)-(0))+IF(((c_TMAP1OUT)-(0))&gt;=0,1,-1)*QUOTIENT(((c_TMAP1IN)-(c_TFWD)),2)),((c_TMAP1IN)-(c_TFWD)))+(0)+IF(((c_TMAP1OUT)-(0))&gt;=0,IF(IF(o_WRAP=1,MOD(((c_TMAP1IN)-(c_TFWD))*(((A818)-(c_TFWD))*((c_TMAP1OUT)-(0))+IF(((c_TMAP1OUT)-(0))&gt;=0,1,-1)*QUOTIENT(((c_TMAP1IN)-(c_TFWD)),2))+2147483648,4294967296)-2147483648,((c_TMAP1IN)-(c_TFWD))*(((A818)-(c_TFWD))*((c_TMAP1OUT)-(0))+IF(((c_TMAP1OUT)-(0))&gt;=0,1,-1)*QUOTIENT(((c_TMAP1IN)-(c_TFWD)),2)))&lt;0,-1,0),IF(IF(o_WRAP=1,MOD(((c_TMAP1IN)-(c_TFWD))*(((A818)-(c_TFWD))*((c_TMAP1OUT)-(0))+IF(((c_TMAP1OUT)-(0))&gt;=0,1,-1)*QUOTIENT(((c_TMAP1IN)-(c_TFWD)),2))+2147483648,4294967296)-2147483648,((c_TMAP1IN)-(c_TFWD))*(((A818)-(c_TFWD))*((c_TMAP1OUT)-(0))+IF(((c_TMAP1OUT)-(0))&gt;=0,1,-1)*QUOTIENT(((c_TMAP1IN)-(c_TFWD)),2)))&gt;=0,1,0)))</f>
        <v>625</v>
      </c>
      <c r="E818" s="7" t="n">
        <f aca="false">IF(((c_TMAP2IN)-(c_TMAP1IN))=0,(c_TMAP1OUT)+QUOTIENT(((c_TMAP2OUT)-(c_TMAP1OUT)),2),QUOTIENT((((A818)-(c_TMAP1IN))*((c_TMAP2OUT)-(c_TMAP1OUT))+IF(((c_TMAP2OUT)-(c_TMAP1OUT))&gt;=0,1,-1)*QUOTIENT(((c_TMAP2IN)-(c_TMAP1IN)),2)),((c_TMAP2IN)-(c_TMAP1IN)))+(c_TMAP1OUT)+IF(((c_TMAP2OUT)-(c_TMAP1OUT))&gt;=0,IF(IF(o_WRAP=1,MOD(((c_TMAP2IN)-(c_TMAP1IN))*(((A818)-(c_TMAP1IN))*((c_TMAP2OUT)-(c_TMAP1OUT))+IF(((c_TMAP2OUT)-(c_TMAP1OUT))&gt;=0,1,-1)*QUOTIENT(((c_TMAP2IN)-(c_TMAP1IN)),2))+2147483648,4294967296)-2147483648,((c_TMAP2IN)-(c_TMAP1IN))*(((A818)-(c_TMAP1IN))*((c_TMAP2OUT)-(c_TMAP1OUT))+IF(((c_TMAP2OUT)-(c_TMAP1OUT))&gt;=0,1,-1)*QUOTIENT(((c_TMAP2IN)-(c_TMAP1IN)),2)))&lt;0,-1,0),IF(IF(o_WRAP=1,MOD(((c_TMAP2IN)-(c_TMAP1IN))*(((A818)-(c_TMAP1IN))*((c_TMAP2OUT)-(c_TMAP1OUT))+IF(((c_TMAP2OUT)-(c_TMAP1OUT))&gt;=0,1,-1)*QUOTIENT(((c_TMAP2IN)-(c_TMAP1IN)),2))+2147483648,4294967296)-2147483648,((c_TMAP2IN)-(c_TMAP1IN))*(((A818)-(c_TMAP1IN))*((c_TMAP2OUT)-(c_TMAP1OUT))+IF(((c_TMAP2OUT)-(c_TMAP1OUT))&gt;=0,1,-1)*QUOTIENT(((c_TMAP2IN)-(c_TMAP1IN)),2)))&gt;=0,1,0)))</f>
        <v>355</v>
      </c>
      <c r="F818" s="7" t="n">
        <f aca="false">IF(((c_TMAP3IN)-(c_TMAP2IN))=0,(c_TMAP2OUT)+QUOTIENT(((c_TMAP3OUT)-(c_TMAP2OUT)),2),QUOTIENT((((A818)-(c_TMAP2IN))*((c_TMAP3OUT)-(c_TMAP2OUT))+IF(((c_TMAP3OUT)-(c_TMAP2OUT))&gt;=0,1,-1)*QUOTIENT(((c_TMAP3IN)-(c_TMAP2IN)),2)),((c_TMAP3IN)-(c_TMAP2IN)))+(c_TMAP2OUT)+IF(((c_TMAP3OUT)-(c_TMAP2OUT))&gt;=0,IF(IF(o_WRAP=1,MOD(((c_TMAP3IN)-(c_TMAP2IN))*(((A818)-(c_TMAP2IN))*((c_TMAP3OUT)-(c_TMAP2OUT))+IF(((c_TMAP3OUT)-(c_TMAP2OUT))&gt;=0,1,-1)*QUOTIENT(((c_TMAP3IN)-(c_TMAP2IN)),2))+2147483648,4294967296)-2147483648,((c_TMAP3IN)-(c_TMAP2IN))*(((A818)-(c_TMAP2IN))*((c_TMAP3OUT)-(c_TMAP2OUT))+IF(((c_TMAP3OUT)-(c_TMAP2OUT))&gt;=0,1,-1)*QUOTIENT(((c_TMAP3IN)-(c_TMAP2IN)),2)))&lt;0,-1,0),IF(IF(o_WRAP=1,MOD(((c_TMAP3IN)-(c_TMAP2IN))*(((A818)-(c_TMAP2IN))*((c_TMAP3OUT)-(c_TMAP2OUT))+IF(((c_TMAP3OUT)-(c_TMAP2OUT))&gt;=0,1,-1)*QUOTIENT(((c_TMAP3IN)-(c_TMAP2IN)),2))+2147483648,4294967296)-2147483648,((c_TMAP3IN)-(c_TMAP2IN))*(((A818)-(c_TMAP2IN))*((c_TMAP3OUT)-(c_TMAP2OUT))+IF(((c_TMAP3OUT)-(c_TMAP2OUT))&gt;=0,1,-1)*QUOTIENT(((c_TMAP3IN)-(c_TMAP2IN)),2)))&gt;=0,1,0)))</f>
        <v>524</v>
      </c>
      <c r="G818" s="7" t="n">
        <f aca="false">IF(((1000)-(c_TMAP3IN))=0,(c_TMAP3OUT)+QUOTIENT(((1000)-(c_TMAP3OUT)),2),QUOTIENT((((A818)-(c_TMAP3IN))*((1000)-(c_TMAP3OUT))+IF(((1000)-(c_TMAP3OUT))&gt;=0,1,-1)*QUOTIENT(((1000)-(c_TMAP3IN)),2)),((1000)-(c_TMAP3IN)))+(c_TMAP3OUT)+IF(((1000)-(c_TMAP3OUT))&gt;=0,IF(IF(o_WRAP=1,MOD(((1000)-(c_TMAP3IN))*(((A818)-(c_TMAP3IN))*((1000)-(c_TMAP3OUT))+IF(((1000)-(c_TMAP3OUT))&gt;=0,1,-1)*QUOTIENT(((1000)-(c_TMAP3IN)),2))+2147483648,4294967296)-2147483648,((1000)-(c_TMAP3IN))*(((A818)-(c_TMAP3IN))*((1000)-(c_TMAP3OUT))+IF(((1000)-(c_TMAP3OUT))&gt;=0,1,-1)*QUOTIENT(((1000)-(c_TMAP3IN)),2)))&lt;0,-1,0),IF(IF(o_WRAP=1,MOD(((1000)-(c_TMAP3IN))*(((A818)-(c_TMAP3IN))*((1000)-(c_TMAP3OUT))+IF(((1000)-(c_TMAP3OUT))&gt;=0,1,-1)*QUOTIENT(((1000)-(c_TMAP3IN)),2))+2147483648,4294967296)-2147483648,((1000)-(c_TMAP3IN))*(((A818)-(c_TMAP3IN))*((1000)-(c_TMAP3OUT))+IF(((1000)-(c_TMAP3OUT))&gt;=0,1,-1)*QUOTIENT(((1000)-(c_TMAP3IN)),2)))&gt;=0,1,0)))</f>
        <v>770</v>
      </c>
      <c r="H818" s="7" t="str">
        <f aca="false">IF(A818&gt;=c_TFWD,IF(AND(A818&gt;=c_TMAP3IN,c_TMAP3IN&lt;1000),"Seg4 map3-100%",IF(AND(A818&gt;=c_TMAP2IN,c_TMAP3IN&gt;c_TMAP2IN),"Seg3 map2-map3",IF(AND(A818&gt;=c_TMAP1IN,c_TMAP2IN&gt;c_TMAP1IN),"Seg2 map1-map2","Seg1 TFWD-map1"))),IF(AND(A818=0,c_TCREEP&gt;0),"Creep",IF(AND(A818&lt;=c_TRNGMIN,A818&gt;=c_TRNGMAX,c_TRNGMIN-c_TRNGMAX&lt;&gt;0),"Regen ramp","Coast (0)")))</f>
        <v>Seg4 map3-100%</v>
      </c>
      <c r="I818" s="7" t="n">
        <f aca="false">IF(A818&gt;=c_TFWD,IF(AND(A818&gt;=c_TMAP3IN,c_TMAP3IN&lt;1000),G818,IF(AND(A818&gt;=c_TMAP2IN,c_TMAP3IN&gt;c_TMAP2IN),F818,IF(AND(A818&gt;=c_TMAP1IN,c_TMAP2IN&gt;c_TMAP1IN),E818,D818))),C818)</f>
        <v>770</v>
      </c>
      <c r="J818" s="7" t="str">
        <f aca="false">IF(I818&lt;-1090,"TOO LOW",IF(I818&gt;1090,"TOO HIGH",""))</f>
        <v/>
      </c>
      <c r="K818" s="15" t="n">
        <f aca="false">IF(J818&lt;&gt;"",0,IF(I818&gt;979,1000,I818))</f>
        <v>770</v>
      </c>
      <c r="L818" s="7" t="n">
        <f aca="false">K818/10</f>
        <v>77</v>
      </c>
    </row>
    <row r="819" customFormat="false" ht="15" hidden="false" customHeight="false" outlineLevel="0" collapsed="false">
      <c r="A819" s="7" t="n">
        <v>814</v>
      </c>
      <c r="B819" s="7" t="n">
        <f aca="false">A819/10</f>
        <v>81.4</v>
      </c>
      <c r="C819" s="7" t="n">
        <f aca="false">IF(AND(A819=0,c_TCREEP&gt;0),10*c_TCREEP,IF(AND(A819&lt;=c_TRNGMIN,A819&gt;=c_TRNGMAX,c_TRNGMIN-c_TRNGMAX&lt;&gt;0),-10*c_TMINRN+QUOTIENT((c_TMAXRN-c_TMINRN)*(100-QUOTIENT((A819-c_TRNGMAX)*100,c_TRNGMIN-c_TRNGMAX)),-10),0))</f>
        <v>0</v>
      </c>
      <c r="D819" s="7" t="n">
        <f aca="false">IF(((c_TMAP1IN)-(c_TFWD))=0,(0)+QUOTIENT(((c_TMAP1OUT)-(0)),2),QUOTIENT((((A819)-(c_TFWD))*((c_TMAP1OUT)-(0))+IF(((c_TMAP1OUT)-(0))&gt;=0,1,-1)*QUOTIENT(((c_TMAP1IN)-(c_TFWD)),2)),((c_TMAP1IN)-(c_TFWD)))+(0)+IF(((c_TMAP1OUT)-(0))&gt;=0,IF(IF(o_WRAP=1,MOD(((c_TMAP1IN)-(c_TFWD))*(((A819)-(c_TFWD))*((c_TMAP1OUT)-(0))+IF(((c_TMAP1OUT)-(0))&gt;=0,1,-1)*QUOTIENT(((c_TMAP1IN)-(c_TFWD)),2))+2147483648,4294967296)-2147483648,((c_TMAP1IN)-(c_TFWD))*(((A819)-(c_TFWD))*((c_TMAP1OUT)-(0))+IF(((c_TMAP1OUT)-(0))&gt;=0,1,-1)*QUOTIENT(((c_TMAP1IN)-(c_TFWD)),2)))&lt;0,-1,0),IF(IF(o_WRAP=1,MOD(((c_TMAP1IN)-(c_TFWD))*(((A819)-(c_TFWD))*((c_TMAP1OUT)-(0))+IF(((c_TMAP1OUT)-(0))&gt;=0,1,-1)*QUOTIENT(((c_TMAP1IN)-(c_TFWD)),2))+2147483648,4294967296)-2147483648,((c_TMAP1IN)-(c_TFWD))*(((A819)-(c_TFWD))*((c_TMAP1OUT)-(0))+IF(((c_TMAP1OUT)-(0))&gt;=0,1,-1)*QUOTIENT(((c_TMAP1IN)-(c_TFWD)),2)))&gt;=0,1,0)))</f>
        <v>625</v>
      </c>
      <c r="E819" s="7" t="n">
        <f aca="false">IF(((c_TMAP2IN)-(c_TMAP1IN))=0,(c_TMAP1OUT)+QUOTIENT(((c_TMAP2OUT)-(c_TMAP1OUT)),2),QUOTIENT((((A819)-(c_TMAP1IN))*((c_TMAP2OUT)-(c_TMAP1OUT))+IF(((c_TMAP2OUT)-(c_TMAP1OUT))&gt;=0,1,-1)*QUOTIENT(((c_TMAP2IN)-(c_TMAP1IN)),2)),((c_TMAP2IN)-(c_TMAP1IN)))+(c_TMAP1OUT)+IF(((c_TMAP2OUT)-(c_TMAP1OUT))&gt;=0,IF(IF(o_WRAP=1,MOD(((c_TMAP2IN)-(c_TMAP1IN))*(((A819)-(c_TMAP1IN))*((c_TMAP2OUT)-(c_TMAP1OUT))+IF(((c_TMAP2OUT)-(c_TMAP1OUT))&gt;=0,1,-1)*QUOTIENT(((c_TMAP2IN)-(c_TMAP1IN)),2))+2147483648,4294967296)-2147483648,((c_TMAP2IN)-(c_TMAP1IN))*(((A819)-(c_TMAP1IN))*((c_TMAP2OUT)-(c_TMAP1OUT))+IF(((c_TMAP2OUT)-(c_TMAP1OUT))&gt;=0,1,-1)*QUOTIENT(((c_TMAP2IN)-(c_TMAP1IN)),2)))&lt;0,-1,0),IF(IF(o_WRAP=1,MOD(((c_TMAP2IN)-(c_TMAP1IN))*(((A819)-(c_TMAP1IN))*((c_TMAP2OUT)-(c_TMAP1OUT))+IF(((c_TMAP2OUT)-(c_TMAP1OUT))&gt;=0,1,-1)*QUOTIENT(((c_TMAP2IN)-(c_TMAP1IN)),2))+2147483648,4294967296)-2147483648,((c_TMAP2IN)-(c_TMAP1IN))*(((A819)-(c_TMAP1IN))*((c_TMAP2OUT)-(c_TMAP1OUT))+IF(((c_TMAP2OUT)-(c_TMAP1OUT))&gt;=0,1,-1)*QUOTIENT(((c_TMAP2IN)-(c_TMAP1IN)),2)))&gt;=0,1,0)))</f>
        <v>356</v>
      </c>
      <c r="F819" s="7" t="n">
        <f aca="false">IF(((c_TMAP3IN)-(c_TMAP2IN))=0,(c_TMAP2OUT)+QUOTIENT(((c_TMAP3OUT)-(c_TMAP2OUT)),2),QUOTIENT((((A819)-(c_TMAP2IN))*((c_TMAP3OUT)-(c_TMAP2OUT))+IF(((c_TMAP3OUT)-(c_TMAP2OUT))&gt;=0,1,-1)*QUOTIENT(((c_TMAP3IN)-(c_TMAP2IN)),2)),((c_TMAP3IN)-(c_TMAP2IN)))+(c_TMAP2OUT)+IF(((c_TMAP3OUT)-(c_TMAP2OUT))&gt;=0,IF(IF(o_WRAP=1,MOD(((c_TMAP3IN)-(c_TMAP2IN))*(((A819)-(c_TMAP2IN))*((c_TMAP3OUT)-(c_TMAP2OUT))+IF(((c_TMAP3OUT)-(c_TMAP2OUT))&gt;=0,1,-1)*QUOTIENT(((c_TMAP3IN)-(c_TMAP2IN)),2))+2147483648,4294967296)-2147483648,((c_TMAP3IN)-(c_TMAP2IN))*(((A819)-(c_TMAP2IN))*((c_TMAP3OUT)-(c_TMAP2OUT))+IF(((c_TMAP3OUT)-(c_TMAP2OUT))&gt;=0,1,-1)*QUOTIENT(((c_TMAP3IN)-(c_TMAP2IN)),2)))&lt;0,-1,0),IF(IF(o_WRAP=1,MOD(((c_TMAP3IN)-(c_TMAP2IN))*(((A819)-(c_TMAP2IN))*((c_TMAP3OUT)-(c_TMAP2OUT))+IF(((c_TMAP3OUT)-(c_TMAP2OUT))&gt;=0,1,-1)*QUOTIENT(((c_TMAP3IN)-(c_TMAP2IN)),2))+2147483648,4294967296)-2147483648,((c_TMAP3IN)-(c_TMAP2IN))*(((A819)-(c_TMAP2IN))*((c_TMAP3OUT)-(c_TMAP2OUT))+IF(((c_TMAP3OUT)-(c_TMAP2OUT))&gt;=0,1,-1)*QUOTIENT(((c_TMAP3IN)-(c_TMAP2IN)),2)))&gt;=0,1,0)))</f>
        <v>525</v>
      </c>
      <c r="G819" s="7" t="n">
        <f aca="false">IF(((1000)-(c_TMAP3IN))=0,(c_TMAP3OUT)+QUOTIENT(((1000)-(c_TMAP3OUT)),2),QUOTIENT((((A819)-(c_TMAP3IN))*((1000)-(c_TMAP3OUT))+IF(((1000)-(c_TMAP3OUT))&gt;=0,1,-1)*QUOTIENT(((1000)-(c_TMAP3IN)),2)),((1000)-(c_TMAP3IN)))+(c_TMAP3OUT)+IF(((1000)-(c_TMAP3OUT))&gt;=0,IF(IF(o_WRAP=1,MOD(((1000)-(c_TMAP3IN))*(((A819)-(c_TMAP3IN))*((1000)-(c_TMAP3OUT))+IF(((1000)-(c_TMAP3OUT))&gt;=0,1,-1)*QUOTIENT(((1000)-(c_TMAP3IN)),2))+2147483648,4294967296)-2147483648,((1000)-(c_TMAP3IN))*(((A819)-(c_TMAP3IN))*((1000)-(c_TMAP3OUT))+IF(((1000)-(c_TMAP3OUT))&gt;=0,1,-1)*QUOTIENT(((1000)-(c_TMAP3IN)),2)))&lt;0,-1,0),IF(IF(o_WRAP=1,MOD(((1000)-(c_TMAP3IN))*(((A819)-(c_TMAP3IN))*((1000)-(c_TMAP3OUT))+IF(((1000)-(c_TMAP3OUT))&gt;=0,1,-1)*QUOTIENT(((1000)-(c_TMAP3IN)),2))+2147483648,4294967296)-2147483648,((1000)-(c_TMAP3IN))*(((A819)-(c_TMAP3IN))*((1000)-(c_TMAP3OUT))+IF(((1000)-(c_TMAP3OUT))&gt;=0,1,-1)*QUOTIENT(((1000)-(c_TMAP3IN)),2)))&gt;=0,1,0)))</f>
        <v>771</v>
      </c>
      <c r="H819" s="7" t="str">
        <f aca="false">IF(A819&gt;=c_TFWD,IF(AND(A819&gt;=c_TMAP3IN,c_TMAP3IN&lt;1000),"Seg4 map3-100%",IF(AND(A819&gt;=c_TMAP2IN,c_TMAP3IN&gt;c_TMAP2IN),"Seg3 map2-map3",IF(AND(A819&gt;=c_TMAP1IN,c_TMAP2IN&gt;c_TMAP1IN),"Seg2 map1-map2","Seg1 TFWD-map1"))),IF(AND(A819=0,c_TCREEP&gt;0),"Creep",IF(AND(A819&lt;=c_TRNGMIN,A819&gt;=c_TRNGMAX,c_TRNGMIN-c_TRNGMAX&lt;&gt;0),"Regen ramp","Coast (0)")))</f>
        <v>Seg4 map3-100%</v>
      </c>
      <c r="I819" s="7" t="n">
        <f aca="false">IF(A819&gt;=c_TFWD,IF(AND(A819&gt;=c_TMAP3IN,c_TMAP3IN&lt;1000),G819,IF(AND(A819&gt;=c_TMAP2IN,c_TMAP3IN&gt;c_TMAP2IN),F819,IF(AND(A819&gt;=c_TMAP1IN,c_TMAP2IN&gt;c_TMAP1IN),E819,D819))),C819)</f>
        <v>771</v>
      </c>
      <c r="J819" s="7" t="str">
        <f aca="false">IF(I819&lt;-1090,"TOO LOW",IF(I819&gt;1090,"TOO HIGH",""))</f>
        <v/>
      </c>
      <c r="K819" s="15" t="n">
        <f aca="false">IF(J819&lt;&gt;"",0,IF(I819&gt;979,1000,I819))</f>
        <v>771</v>
      </c>
      <c r="L819" s="7" t="n">
        <f aca="false">K819/10</f>
        <v>77.1</v>
      </c>
    </row>
    <row r="820" customFormat="false" ht="15" hidden="false" customHeight="false" outlineLevel="0" collapsed="false">
      <c r="A820" s="7" t="n">
        <v>815</v>
      </c>
      <c r="B820" s="7" t="n">
        <f aca="false">A820/10</f>
        <v>81.5</v>
      </c>
      <c r="C820" s="7" t="n">
        <f aca="false">IF(AND(A820=0,c_TCREEP&gt;0),10*c_TCREEP,IF(AND(A820&lt;=c_TRNGMIN,A820&gt;=c_TRNGMAX,c_TRNGMIN-c_TRNGMAX&lt;&gt;0),-10*c_TMINRN+QUOTIENT((c_TMAXRN-c_TMINRN)*(100-QUOTIENT((A820-c_TRNGMAX)*100,c_TRNGMIN-c_TRNGMAX)),-10),0))</f>
        <v>0</v>
      </c>
      <c r="D820" s="7" t="n">
        <f aca="false">IF(((c_TMAP1IN)-(c_TFWD))=0,(0)+QUOTIENT(((c_TMAP1OUT)-(0)),2),QUOTIENT((((A820)-(c_TFWD))*((c_TMAP1OUT)-(0))+IF(((c_TMAP1OUT)-(0))&gt;=0,1,-1)*QUOTIENT(((c_TMAP1IN)-(c_TFWD)),2)),((c_TMAP1IN)-(c_TFWD)))+(0)+IF(((c_TMAP1OUT)-(0))&gt;=0,IF(IF(o_WRAP=1,MOD(((c_TMAP1IN)-(c_TFWD))*(((A820)-(c_TFWD))*((c_TMAP1OUT)-(0))+IF(((c_TMAP1OUT)-(0))&gt;=0,1,-1)*QUOTIENT(((c_TMAP1IN)-(c_TFWD)),2))+2147483648,4294967296)-2147483648,((c_TMAP1IN)-(c_TFWD))*(((A820)-(c_TFWD))*((c_TMAP1OUT)-(0))+IF(((c_TMAP1OUT)-(0))&gt;=0,1,-1)*QUOTIENT(((c_TMAP1IN)-(c_TFWD)),2)))&lt;0,-1,0),IF(IF(o_WRAP=1,MOD(((c_TMAP1IN)-(c_TFWD))*(((A820)-(c_TFWD))*((c_TMAP1OUT)-(0))+IF(((c_TMAP1OUT)-(0))&gt;=0,1,-1)*QUOTIENT(((c_TMAP1IN)-(c_TFWD)),2))+2147483648,4294967296)-2147483648,((c_TMAP1IN)-(c_TFWD))*(((A820)-(c_TFWD))*((c_TMAP1OUT)-(0))+IF(((c_TMAP1OUT)-(0))&gt;=0,1,-1)*QUOTIENT(((c_TMAP1IN)-(c_TFWD)),2)))&gt;=0,1,0)))</f>
        <v>626</v>
      </c>
      <c r="E820" s="7" t="n">
        <f aca="false">IF(((c_TMAP2IN)-(c_TMAP1IN))=0,(c_TMAP1OUT)+QUOTIENT(((c_TMAP2OUT)-(c_TMAP1OUT)),2),QUOTIENT((((A820)-(c_TMAP1IN))*((c_TMAP2OUT)-(c_TMAP1OUT))+IF(((c_TMAP2OUT)-(c_TMAP1OUT))&gt;=0,1,-1)*QUOTIENT(((c_TMAP2IN)-(c_TMAP1IN)),2)),((c_TMAP2IN)-(c_TMAP1IN)))+(c_TMAP1OUT)+IF(((c_TMAP2OUT)-(c_TMAP1OUT))&gt;=0,IF(IF(o_WRAP=1,MOD(((c_TMAP2IN)-(c_TMAP1IN))*(((A820)-(c_TMAP1IN))*((c_TMAP2OUT)-(c_TMAP1OUT))+IF(((c_TMAP2OUT)-(c_TMAP1OUT))&gt;=0,1,-1)*QUOTIENT(((c_TMAP2IN)-(c_TMAP1IN)),2))+2147483648,4294967296)-2147483648,((c_TMAP2IN)-(c_TMAP1IN))*(((A820)-(c_TMAP1IN))*((c_TMAP2OUT)-(c_TMAP1OUT))+IF(((c_TMAP2OUT)-(c_TMAP1OUT))&gt;=0,1,-1)*QUOTIENT(((c_TMAP2IN)-(c_TMAP1IN)),2)))&lt;0,-1,0),IF(IF(o_WRAP=1,MOD(((c_TMAP2IN)-(c_TMAP1IN))*(((A820)-(c_TMAP1IN))*((c_TMAP2OUT)-(c_TMAP1OUT))+IF(((c_TMAP2OUT)-(c_TMAP1OUT))&gt;=0,1,-1)*QUOTIENT(((c_TMAP2IN)-(c_TMAP1IN)),2))+2147483648,4294967296)-2147483648,((c_TMAP2IN)-(c_TMAP1IN))*(((A820)-(c_TMAP1IN))*((c_TMAP2OUT)-(c_TMAP1OUT))+IF(((c_TMAP2OUT)-(c_TMAP1OUT))&gt;=0,1,-1)*QUOTIENT(((c_TMAP2IN)-(c_TMAP1IN)),2)))&gt;=0,1,0)))</f>
        <v>356</v>
      </c>
      <c r="F820" s="7" t="n">
        <f aca="false">IF(((c_TMAP3IN)-(c_TMAP2IN))=0,(c_TMAP2OUT)+QUOTIENT(((c_TMAP3OUT)-(c_TMAP2OUT)),2),QUOTIENT((((A820)-(c_TMAP2IN))*((c_TMAP3OUT)-(c_TMAP2OUT))+IF(((c_TMAP3OUT)-(c_TMAP2OUT))&gt;=0,1,-1)*QUOTIENT(((c_TMAP3IN)-(c_TMAP2IN)),2)),((c_TMAP3IN)-(c_TMAP2IN)))+(c_TMAP2OUT)+IF(((c_TMAP3OUT)-(c_TMAP2OUT))&gt;=0,IF(IF(o_WRAP=1,MOD(((c_TMAP3IN)-(c_TMAP2IN))*(((A820)-(c_TMAP2IN))*((c_TMAP3OUT)-(c_TMAP2OUT))+IF(((c_TMAP3OUT)-(c_TMAP2OUT))&gt;=0,1,-1)*QUOTIENT(((c_TMAP3IN)-(c_TMAP2IN)),2))+2147483648,4294967296)-2147483648,((c_TMAP3IN)-(c_TMAP2IN))*(((A820)-(c_TMAP2IN))*((c_TMAP3OUT)-(c_TMAP2OUT))+IF(((c_TMAP3OUT)-(c_TMAP2OUT))&gt;=0,1,-1)*QUOTIENT(((c_TMAP3IN)-(c_TMAP2IN)),2)))&lt;0,-1,0),IF(IF(o_WRAP=1,MOD(((c_TMAP3IN)-(c_TMAP2IN))*(((A820)-(c_TMAP2IN))*((c_TMAP3OUT)-(c_TMAP2OUT))+IF(((c_TMAP3OUT)-(c_TMAP2OUT))&gt;=0,1,-1)*QUOTIENT(((c_TMAP3IN)-(c_TMAP2IN)),2))+2147483648,4294967296)-2147483648,((c_TMAP3IN)-(c_TMAP2IN))*(((A820)-(c_TMAP2IN))*((c_TMAP3OUT)-(c_TMAP2OUT))+IF(((c_TMAP3OUT)-(c_TMAP2OUT))&gt;=0,1,-1)*QUOTIENT(((c_TMAP3IN)-(c_TMAP2IN)),2)))&gt;=0,1,0)))</f>
        <v>526</v>
      </c>
      <c r="G820" s="7" t="n">
        <f aca="false">IF(((1000)-(c_TMAP3IN))=0,(c_TMAP3OUT)+QUOTIENT(((1000)-(c_TMAP3OUT)),2),QUOTIENT((((A820)-(c_TMAP3IN))*((1000)-(c_TMAP3OUT))+IF(((1000)-(c_TMAP3OUT))&gt;=0,1,-1)*QUOTIENT(((1000)-(c_TMAP3IN)),2)),((1000)-(c_TMAP3IN)))+(c_TMAP3OUT)+IF(((1000)-(c_TMAP3OUT))&gt;=0,IF(IF(o_WRAP=1,MOD(((1000)-(c_TMAP3IN))*(((A820)-(c_TMAP3IN))*((1000)-(c_TMAP3OUT))+IF(((1000)-(c_TMAP3OUT))&gt;=0,1,-1)*QUOTIENT(((1000)-(c_TMAP3IN)),2))+2147483648,4294967296)-2147483648,((1000)-(c_TMAP3IN))*(((A820)-(c_TMAP3IN))*((1000)-(c_TMAP3OUT))+IF(((1000)-(c_TMAP3OUT))&gt;=0,1,-1)*QUOTIENT(((1000)-(c_TMAP3IN)),2)))&lt;0,-1,0),IF(IF(o_WRAP=1,MOD(((1000)-(c_TMAP3IN))*(((A820)-(c_TMAP3IN))*((1000)-(c_TMAP3OUT))+IF(((1000)-(c_TMAP3OUT))&gt;=0,1,-1)*QUOTIENT(((1000)-(c_TMAP3IN)),2))+2147483648,4294967296)-2147483648,((1000)-(c_TMAP3IN))*(((A820)-(c_TMAP3IN))*((1000)-(c_TMAP3OUT))+IF(((1000)-(c_TMAP3OUT))&gt;=0,1,-1)*QUOTIENT(((1000)-(c_TMAP3IN)),2)))&gt;=0,1,0)))</f>
        <v>772</v>
      </c>
      <c r="H820" s="7" t="str">
        <f aca="false">IF(A820&gt;=c_TFWD,IF(AND(A820&gt;=c_TMAP3IN,c_TMAP3IN&lt;1000),"Seg4 map3-100%",IF(AND(A820&gt;=c_TMAP2IN,c_TMAP3IN&gt;c_TMAP2IN),"Seg3 map2-map3",IF(AND(A820&gt;=c_TMAP1IN,c_TMAP2IN&gt;c_TMAP1IN),"Seg2 map1-map2","Seg1 TFWD-map1"))),IF(AND(A820=0,c_TCREEP&gt;0),"Creep",IF(AND(A820&lt;=c_TRNGMIN,A820&gt;=c_TRNGMAX,c_TRNGMIN-c_TRNGMAX&lt;&gt;0),"Regen ramp","Coast (0)")))</f>
        <v>Seg4 map3-100%</v>
      </c>
      <c r="I820" s="7" t="n">
        <f aca="false">IF(A820&gt;=c_TFWD,IF(AND(A820&gt;=c_TMAP3IN,c_TMAP3IN&lt;1000),G820,IF(AND(A820&gt;=c_TMAP2IN,c_TMAP3IN&gt;c_TMAP2IN),F820,IF(AND(A820&gt;=c_TMAP1IN,c_TMAP2IN&gt;c_TMAP1IN),E820,D820))),C820)</f>
        <v>772</v>
      </c>
      <c r="J820" s="7" t="str">
        <f aca="false">IF(I820&lt;-1090,"TOO LOW",IF(I820&gt;1090,"TOO HIGH",""))</f>
        <v/>
      </c>
      <c r="K820" s="15" t="n">
        <f aca="false">IF(J820&lt;&gt;"",0,IF(I820&gt;979,1000,I820))</f>
        <v>772</v>
      </c>
      <c r="L820" s="7" t="n">
        <f aca="false">K820/10</f>
        <v>77.2</v>
      </c>
    </row>
    <row r="821" customFormat="false" ht="15" hidden="false" customHeight="false" outlineLevel="0" collapsed="false">
      <c r="A821" s="7" t="n">
        <v>816</v>
      </c>
      <c r="B821" s="7" t="n">
        <f aca="false">A821/10</f>
        <v>81.6</v>
      </c>
      <c r="C821" s="7" t="n">
        <f aca="false">IF(AND(A821=0,c_TCREEP&gt;0),10*c_TCREEP,IF(AND(A821&lt;=c_TRNGMIN,A821&gt;=c_TRNGMAX,c_TRNGMIN-c_TRNGMAX&lt;&gt;0),-10*c_TMINRN+QUOTIENT((c_TMAXRN-c_TMINRN)*(100-QUOTIENT((A821-c_TRNGMAX)*100,c_TRNGMIN-c_TRNGMAX)),-10),0))</f>
        <v>0</v>
      </c>
      <c r="D821" s="7" t="n">
        <f aca="false">IF(((c_TMAP1IN)-(c_TFWD))=0,(0)+QUOTIENT(((c_TMAP1OUT)-(0)),2),QUOTIENT((((A821)-(c_TFWD))*((c_TMAP1OUT)-(0))+IF(((c_TMAP1OUT)-(0))&gt;=0,1,-1)*QUOTIENT(((c_TMAP1IN)-(c_TFWD)),2)),((c_TMAP1IN)-(c_TFWD)))+(0)+IF(((c_TMAP1OUT)-(0))&gt;=0,IF(IF(o_WRAP=1,MOD(((c_TMAP1IN)-(c_TFWD))*(((A821)-(c_TFWD))*((c_TMAP1OUT)-(0))+IF(((c_TMAP1OUT)-(0))&gt;=0,1,-1)*QUOTIENT(((c_TMAP1IN)-(c_TFWD)),2))+2147483648,4294967296)-2147483648,((c_TMAP1IN)-(c_TFWD))*(((A821)-(c_TFWD))*((c_TMAP1OUT)-(0))+IF(((c_TMAP1OUT)-(0))&gt;=0,1,-1)*QUOTIENT(((c_TMAP1IN)-(c_TFWD)),2)))&lt;0,-1,0),IF(IF(o_WRAP=1,MOD(((c_TMAP1IN)-(c_TFWD))*(((A821)-(c_TFWD))*((c_TMAP1OUT)-(0))+IF(((c_TMAP1OUT)-(0))&gt;=0,1,-1)*QUOTIENT(((c_TMAP1IN)-(c_TFWD)),2))+2147483648,4294967296)-2147483648,((c_TMAP1IN)-(c_TFWD))*(((A821)-(c_TFWD))*((c_TMAP1OUT)-(0))+IF(((c_TMAP1OUT)-(0))&gt;=0,1,-1)*QUOTIENT(((c_TMAP1IN)-(c_TFWD)),2)))&gt;=0,1,0)))</f>
        <v>627</v>
      </c>
      <c r="E821" s="7" t="n">
        <f aca="false">IF(((c_TMAP2IN)-(c_TMAP1IN))=0,(c_TMAP1OUT)+QUOTIENT(((c_TMAP2OUT)-(c_TMAP1OUT)),2),QUOTIENT((((A821)-(c_TMAP1IN))*((c_TMAP2OUT)-(c_TMAP1OUT))+IF(((c_TMAP2OUT)-(c_TMAP1OUT))&gt;=0,1,-1)*QUOTIENT(((c_TMAP2IN)-(c_TMAP1IN)),2)),((c_TMAP2IN)-(c_TMAP1IN)))+(c_TMAP1OUT)+IF(((c_TMAP2OUT)-(c_TMAP1OUT))&gt;=0,IF(IF(o_WRAP=1,MOD(((c_TMAP2IN)-(c_TMAP1IN))*(((A821)-(c_TMAP1IN))*((c_TMAP2OUT)-(c_TMAP1OUT))+IF(((c_TMAP2OUT)-(c_TMAP1OUT))&gt;=0,1,-1)*QUOTIENT(((c_TMAP2IN)-(c_TMAP1IN)),2))+2147483648,4294967296)-2147483648,((c_TMAP2IN)-(c_TMAP1IN))*(((A821)-(c_TMAP1IN))*((c_TMAP2OUT)-(c_TMAP1OUT))+IF(((c_TMAP2OUT)-(c_TMAP1OUT))&gt;=0,1,-1)*QUOTIENT(((c_TMAP2IN)-(c_TMAP1IN)),2)))&lt;0,-1,0),IF(IF(o_WRAP=1,MOD(((c_TMAP2IN)-(c_TMAP1IN))*(((A821)-(c_TMAP1IN))*((c_TMAP2OUT)-(c_TMAP1OUT))+IF(((c_TMAP2OUT)-(c_TMAP1OUT))&gt;=0,1,-1)*QUOTIENT(((c_TMAP2IN)-(c_TMAP1IN)),2))+2147483648,4294967296)-2147483648,((c_TMAP2IN)-(c_TMAP1IN))*(((A821)-(c_TMAP1IN))*((c_TMAP2OUT)-(c_TMAP1OUT))+IF(((c_TMAP2OUT)-(c_TMAP1OUT))&gt;=0,1,-1)*QUOTIENT(((c_TMAP2IN)-(c_TMAP1IN)),2)))&gt;=0,1,0)))</f>
        <v>356</v>
      </c>
      <c r="F821" s="7" t="n">
        <f aca="false">IF(((c_TMAP3IN)-(c_TMAP2IN))=0,(c_TMAP2OUT)+QUOTIENT(((c_TMAP3OUT)-(c_TMAP2OUT)),2),QUOTIENT((((A821)-(c_TMAP2IN))*((c_TMAP3OUT)-(c_TMAP2OUT))+IF(((c_TMAP3OUT)-(c_TMAP2OUT))&gt;=0,1,-1)*QUOTIENT(((c_TMAP3IN)-(c_TMAP2IN)),2)),((c_TMAP3IN)-(c_TMAP2IN)))+(c_TMAP2OUT)+IF(((c_TMAP3OUT)-(c_TMAP2OUT))&gt;=0,IF(IF(o_WRAP=1,MOD(((c_TMAP3IN)-(c_TMAP2IN))*(((A821)-(c_TMAP2IN))*((c_TMAP3OUT)-(c_TMAP2OUT))+IF(((c_TMAP3OUT)-(c_TMAP2OUT))&gt;=0,1,-1)*QUOTIENT(((c_TMAP3IN)-(c_TMAP2IN)),2))+2147483648,4294967296)-2147483648,((c_TMAP3IN)-(c_TMAP2IN))*(((A821)-(c_TMAP2IN))*((c_TMAP3OUT)-(c_TMAP2OUT))+IF(((c_TMAP3OUT)-(c_TMAP2OUT))&gt;=0,1,-1)*QUOTIENT(((c_TMAP3IN)-(c_TMAP2IN)),2)))&lt;0,-1,0),IF(IF(o_WRAP=1,MOD(((c_TMAP3IN)-(c_TMAP2IN))*(((A821)-(c_TMAP2IN))*((c_TMAP3OUT)-(c_TMAP2OUT))+IF(((c_TMAP3OUT)-(c_TMAP2OUT))&gt;=0,1,-1)*QUOTIENT(((c_TMAP3IN)-(c_TMAP2IN)),2))+2147483648,4294967296)-2147483648,((c_TMAP3IN)-(c_TMAP2IN))*(((A821)-(c_TMAP2IN))*((c_TMAP3OUT)-(c_TMAP2OUT))+IF(((c_TMAP3OUT)-(c_TMAP2OUT))&gt;=0,1,-1)*QUOTIENT(((c_TMAP3IN)-(c_TMAP2IN)),2)))&gt;=0,1,0)))</f>
        <v>526</v>
      </c>
      <c r="G821" s="7" t="n">
        <f aca="false">IF(((1000)-(c_TMAP3IN))=0,(c_TMAP3OUT)+QUOTIENT(((1000)-(c_TMAP3OUT)),2),QUOTIENT((((A821)-(c_TMAP3IN))*((1000)-(c_TMAP3OUT))+IF(((1000)-(c_TMAP3OUT))&gt;=0,1,-1)*QUOTIENT(((1000)-(c_TMAP3IN)),2)),((1000)-(c_TMAP3IN)))+(c_TMAP3OUT)+IF(((1000)-(c_TMAP3OUT))&gt;=0,IF(IF(o_WRAP=1,MOD(((1000)-(c_TMAP3IN))*(((A821)-(c_TMAP3IN))*((1000)-(c_TMAP3OUT))+IF(((1000)-(c_TMAP3OUT))&gt;=0,1,-1)*QUOTIENT(((1000)-(c_TMAP3IN)),2))+2147483648,4294967296)-2147483648,((1000)-(c_TMAP3IN))*(((A821)-(c_TMAP3IN))*((1000)-(c_TMAP3OUT))+IF(((1000)-(c_TMAP3OUT))&gt;=0,1,-1)*QUOTIENT(((1000)-(c_TMAP3IN)),2)))&lt;0,-1,0),IF(IF(o_WRAP=1,MOD(((1000)-(c_TMAP3IN))*(((A821)-(c_TMAP3IN))*((1000)-(c_TMAP3OUT))+IF(((1000)-(c_TMAP3OUT))&gt;=0,1,-1)*QUOTIENT(((1000)-(c_TMAP3IN)),2))+2147483648,4294967296)-2147483648,((1000)-(c_TMAP3IN))*(((A821)-(c_TMAP3IN))*((1000)-(c_TMAP3OUT))+IF(((1000)-(c_TMAP3OUT))&gt;=0,1,-1)*QUOTIENT(((1000)-(c_TMAP3IN)),2)))&gt;=0,1,0)))</f>
        <v>774</v>
      </c>
      <c r="H821" s="7" t="str">
        <f aca="false">IF(A821&gt;=c_TFWD,IF(AND(A821&gt;=c_TMAP3IN,c_TMAP3IN&lt;1000),"Seg4 map3-100%",IF(AND(A821&gt;=c_TMAP2IN,c_TMAP3IN&gt;c_TMAP2IN),"Seg3 map2-map3",IF(AND(A821&gt;=c_TMAP1IN,c_TMAP2IN&gt;c_TMAP1IN),"Seg2 map1-map2","Seg1 TFWD-map1"))),IF(AND(A821=0,c_TCREEP&gt;0),"Creep",IF(AND(A821&lt;=c_TRNGMIN,A821&gt;=c_TRNGMAX,c_TRNGMIN-c_TRNGMAX&lt;&gt;0),"Regen ramp","Coast (0)")))</f>
        <v>Seg4 map3-100%</v>
      </c>
      <c r="I821" s="7" t="n">
        <f aca="false">IF(A821&gt;=c_TFWD,IF(AND(A821&gt;=c_TMAP3IN,c_TMAP3IN&lt;1000),G821,IF(AND(A821&gt;=c_TMAP2IN,c_TMAP3IN&gt;c_TMAP2IN),F821,IF(AND(A821&gt;=c_TMAP1IN,c_TMAP2IN&gt;c_TMAP1IN),E821,D821))),C821)</f>
        <v>774</v>
      </c>
      <c r="J821" s="7" t="str">
        <f aca="false">IF(I821&lt;-1090,"TOO LOW",IF(I821&gt;1090,"TOO HIGH",""))</f>
        <v/>
      </c>
      <c r="K821" s="15" t="n">
        <f aca="false">IF(J821&lt;&gt;"",0,IF(I821&gt;979,1000,I821))</f>
        <v>774</v>
      </c>
      <c r="L821" s="7" t="n">
        <f aca="false">K821/10</f>
        <v>77.4</v>
      </c>
    </row>
    <row r="822" customFormat="false" ht="15" hidden="false" customHeight="false" outlineLevel="0" collapsed="false">
      <c r="A822" s="7" t="n">
        <v>817</v>
      </c>
      <c r="B822" s="7" t="n">
        <f aca="false">A822/10</f>
        <v>81.7</v>
      </c>
      <c r="C822" s="7" t="n">
        <f aca="false">IF(AND(A822=0,c_TCREEP&gt;0),10*c_TCREEP,IF(AND(A822&lt;=c_TRNGMIN,A822&gt;=c_TRNGMAX,c_TRNGMIN-c_TRNGMAX&lt;&gt;0),-10*c_TMINRN+QUOTIENT((c_TMAXRN-c_TMINRN)*(100-QUOTIENT((A822-c_TRNGMAX)*100,c_TRNGMIN-c_TRNGMAX)),-10),0))</f>
        <v>0</v>
      </c>
      <c r="D822" s="7" t="n">
        <f aca="false">IF(((c_TMAP1IN)-(c_TFWD))=0,(0)+QUOTIENT(((c_TMAP1OUT)-(0)),2),QUOTIENT((((A822)-(c_TFWD))*((c_TMAP1OUT)-(0))+IF(((c_TMAP1OUT)-(0))&gt;=0,1,-1)*QUOTIENT(((c_TMAP1IN)-(c_TFWD)),2)),((c_TMAP1IN)-(c_TFWD)))+(0)+IF(((c_TMAP1OUT)-(0))&gt;=0,IF(IF(o_WRAP=1,MOD(((c_TMAP1IN)-(c_TFWD))*(((A822)-(c_TFWD))*((c_TMAP1OUT)-(0))+IF(((c_TMAP1OUT)-(0))&gt;=0,1,-1)*QUOTIENT(((c_TMAP1IN)-(c_TFWD)),2))+2147483648,4294967296)-2147483648,((c_TMAP1IN)-(c_TFWD))*(((A822)-(c_TFWD))*((c_TMAP1OUT)-(0))+IF(((c_TMAP1OUT)-(0))&gt;=0,1,-1)*QUOTIENT(((c_TMAP1IN)-(c_TFWD)),2)))&lt;0,-1,0),IF(IF(o_WRAP=1,MOD(((c_TMAP1IN)-(c_TFWD))*(((A822)-(c_TFWD))*((c_TMAP1OUT)-(0))+IF(((c_TMAP1OUT)-(0))&gt;=0,1,-1)*QUOTIENT(((c_TMAP1IN)-(c_TFWD)),2))+2147483648,4294967296)-2147483648,((c_TMAP1IN)-(c_TFWD))*(((A822)-(c_TFWD))*((c_TMAP1OUT)-(0))+IF(((c_TMAP1OUT)-(0))&gt;=0,1,-1)*QUOTIENT(((c_TMAP1IN)-(c_TFWD)),2)))&gt;=0,1,0)))</f>
        <v>628</v>
      </c>
      <c r="E822" s="7" t="n">
        <f aca="false">IF(((c_TMAP2IN)-(c_TMAP1IN))=0,(c_TMAP1OUT)+QUOTIENT(((c_TMAP2OUT)-(c_TMAP1OUT)),2),QUOTIENT((((A822)-(c_TMAP1IN))*((c_TMAP2OUT)-(c_TMAP1OUT))+IF(((c_TMAP2OUT)-(c_TMAP1OUT))&gt;=0,1,-1)*QUOTIENT(((c_TMAP2IN)-(c_TMAP1IN)),2)),((c_TMAP2IN)-(c_TMAP1IN)))+(c_TMAP1OUT)+IF(((c_TMAP2OUT)-(c_TMAP1OUT))&gt;=0,IF(IF(o_WRAP=1,MOD(((c_TMAP2IN)-(c_TMAP1IN))*(((A822)-(c_TMAP1IN))*((c_TMAP2OUT)-(c_TMAP1OUT))+IF(((c_TMAP2OUT)-(c_TMAP1OUT))&gt;=0,1,-1)*QUOTIENT(((c_TMAP2IN)-(c_TMAP1IN)),2))+2147483648,4294967296)-2147483648,((c_TMAP2IN)-(c_TMAP1IN))*(((A822)-(c_TMAP1IN))*((c_TMAP2OUT)-(c_TMAP1OUT))+IF(((c_TMAP2OUT)-(c_TMAP1OUT))&gt;=0,1,-1)*QUOTIENT(((c_TMAP2IN)-(c_TMAP1IN)),2)))&lt;0,-1,0),IF(IF(o_WRAP=1,MOD(((c_TMAP2IN)-(c_TMAP1IN))*(((A822)-(c_TMAP1IN))*((c_TMAP2OUT)-(c_TMAP1OUT))+IF(((c_TMAP2OUT)-(c_TMAP1OUT))&gt;=0,1,-1)*QUOTIENT(((c_TMAP2IN)-(c_TMAP1IN)),2))+2147483648,4294967296)-2147483648,((c_TMAP2IN)-(c_TMAP1IN))*(((A822)-(c_TMAP1IN))*((c_TMAP2OUT)-(c_TMAP1OUT))+IF(((c_TMAP2OUT)-(c_TMAP1OUT))&gt;=0,1,-1)*QUOTIENT(((c_TMAP2IN)-(c_TMAP1IN)),2)))&gt;=0,1,0)))</f>
        <v>357</v>
      </c>
      <c r="F822" s="7" t="n">
        <f aca="false">IF(((c_TMAP3IN)-(c_TMAP2IN))=0,(c_TMAP2OUT)+QUOTIENT(((c_TMAP3OUT)-(c_TMAP2OUT)),2),QUOTIENT((((A822)-(c_TMAP2IN))*((c_TMAP3OUT)-(c_TMAP2OUT))+IF(((c_TMAP3OUT)-(c_TMAP2OUT))&gt;=0,1,-1)*QUOTIENT(((c_TMAP3IN)-(c_TMAP2IN)),2)),((c_TMAP3IN)-(c_TMAP2IN)))+(c_TMAP2OUT)+IF(((c_TMAP3OUT)-(c_TMAP2OUT))&gt;=0,IF(IF(o_WRAP=1,MOD(((c_TMAP3IN)-(c_TMAP2IN))*(((A822)-(c_TMAP2IN))*((c_TMAP3OUT)-(c_TMAP2OUT))+IF(((c_TMAP3OUT)-(c_TMAP2OUT))&gt;=0,1,-1)*QUOTIENT(((c_TMAP3IN)-(c_TMAP2IN)),2))+2147483648,4294967296)-2147483648,((c_TMAP3IN)-(c_TMAP2IN))*(((A822)-(c_TMAP2IN))*((c_TMAP3OUT)-(c_TMAP2OUT))+IF(((c_TMAP3OUT)-(c_TMAP2OUT))&gt;=0,1,-1)*QUOTIENT(((c_TMAP3IN)-(c_TMAP2IN)),2)))&lt;0,-1,0),IF(IF(o_WRAP=1,MOD(((c_TMAP3IN)-(c_TMAP2IN))*(((A822)-(c_TMAP2IN))*((c_TMAP3OUT)-(c_TMAP2OUT))+IF(((c_TMAP3OUT)-(c_TMAP2OUT))&gt;=0,1,-1)*QUOTIENT(((c_TMAP3IN)-(c_TMAP2IN)),2))+2147483648,4294967296)-2147483648,((c_TMAP3IN)-(c_TMAP2IN))*(((A822)-(c_TMAP2IN))*((c_TMAP3OUT)-(c_TMAP2OUT))+IF(((c_TMAP3OUT)-(c_TMAP2OUT))&gt;=0,1,-1)*QUOTIENT(((c_TMAP3IN)-(c_TMAP2IN)),2)))&gt;=0,1,0)))</f>
        <v>527</v>
      </c>
      <c r="G822" s="7" t="n">
        <f aca="false">IF(((1000)-(c_TMAP3IN))=0,(c_TMAP3OUT)+QUOTIENT(((1000)-(c_TMAP3OUT)),2),QUOTIENT((((A822)-(c_TMAP3IN))*((1000)-(c_TMAP3OUT))+IF(((1000)-(c_TMAP3OUT))&gt;=0,1,-1)*QUOTIENT(((1000)-(c_TMAP3IN)),2)),((1000)-(c_TMAP3IN)))+(c_TMAP3OUT)+IF(((1000)-(c_TMAP3OUT))&gt;=0,IF(IF(o_WRAP=1,MOD(((1000)-(c_TMAP3IN))*(((A822)-(c_TMAP3IN))*((1000)-(c_TMAP3OUT))+IF(((1000)-(c_TMAP3OUT))&gt;=0,1,-1)*QUOTIENT(((1000)-(c_TMAP3IN)),2))+2147483648,4294967296)-2147483648,((1000)-(c_TMAP3IN))*(((A822)-(c_TMAP3IN))*((1000)-(c_TMAP3OUT))+IF(((1000)-(c_TMAP3OUT))&gt;=0,1,-1)*QUOTIENT(((1000)-(c_TMAP3IN)),2)))&lt;0,-1,0),IF(IF(o_WRAP=1,MOD(((1000)-(c_TMAP3IN))*(((A822)-(c_TMAP3IN))*((1000)-(c_TMAP3OUT))+IF(((1000)-(c_TMAP3OUT))&gt;=0,1,-1)*QUOTIENT(((1000)-(c_TMAP3IN)),2))+2147483648,4294967296)-2147483648,((1000)-(c_TMAP3IN))*(((A822)-(c_TMAP3IN))*((1000)-(c_TMAP3OUT))+IF(((1000)-(c_TMAP3OUT))&gt;=0,1,-1)*QUOTIENT(((1000)-(c_TMAP3IN)),2)))&gt;=0,1,0)))</f>
        <v>775</v>
      </c>
      <c r="H822" s="7" t="str">
        <f aca="false">IF(A822&gt;=c_TFWD,IF(AND(A822&gt;=c_TMAP3IN,c_TMAP3IN&lt;1000),"Seg4 map3-100%",IF(AND(A822&gt;=c_TMAP2IN,c_TMAP3IN&gt;c_TMAP2IN),"Seg3 map2-map3",IF(AND(A822&gt;=c_TMAP1IN,c_TMAP2IN&gt;c_TMAP1IN),"Seg2 map1-map2","Seg1 TFWD-map1"))),IF(AND(A822=0,c_TCREEP&gt;0),"Creep",IF(AND(A822&lt;=c_TRNGMIN,A822&gt;=c_TRNGMAX,c_TRNGMIN-c_TRNGMAX&lt;&gt;0),"Regen ramp","Coast (0)")))</f>
        <v>Seg4 map3-100%</v>
      </c>
      <c r="I822" s="7" t="n">
        <f aca="false">IF(A822&gt;=c_TFWD,IF(AND(A822&gt;=c_TMAP3IN,c_TMAP3IN&lt;1000),G822,IF(AND(A822&gt;=c_TMAP2IN,c_TMAP3IN&gt;c_TMAP2IN),F822,IF(AND(A822&gt;=c_TMAP1IN,c_TMAP2IN&gt;c_TMAP1IN),E822,D822))),C822)</f>
        <v>775</v>
      </c>
      <c r="J822" s="7" t="str">
        <f aca="false">IF(I822&lt;-1090,"TOO LOW",IF(I822&gt;1090,"TOO HIGH",""))</f>
        <v/>
      </c>
      <c r="K822" s="15" t="n">
        <f aca="false">IF(J822&lt;&gt;"",0,IF(I822&gt;979,1000,I822))</f>
        <v>775</v>
      </c>
      <c r="L822" s="7" t="n">
        <f aca="false">K822/10</f>
        <v>77.5</v>
      </c>
    </row>
    <row r="823" customFormat="false" ht="15" hidden="false" customHeight="false" outlineLevel="0" collapsed="false">
      <c r="A823" s="7" t="n">
        <v>818</v>
      </c>
      <c r="B823" s="7" t="n">
        <f aca="false">A823/10</f>
        <v>81.8</v>
      </c>
      <c r="C823" s="7" t="n">
        <f aca="false">IF(AND(A823=0,c_TCREEP&gt;0),10*c_TCREEP,IF(AND(A823&lt;=c_TRNGMIN,A823&gt;=c_TRNGMAX,c_TRNGMIN-c_TRNGMAX&lt;&gt;0),-10*c_TMINRN+QUOTIENT((c_TMAXRN-c_TMINRN)*(100-QUOTIENT((A823-c_TRNGMAX)*100,c_TRNGMIN-c_TRNGMAX)),-10),0))</f>
        <v>0</v>
      </c>
      <c r="D823" s="7" t="n">
        <f aca="false">IF(((c_TMAP1IN)-(c_TFWD))=0,(0)+QUOTIENT(((c_TMAP1OUT)-(0)),2),QUOTIENT((((A823)-(c_TFWD))*((c_TMAP1OUT)-(0))+IF(((c_TMAP1OUT)-(0))&gt;=0,1,-1)*QUOTIENT(((c_TMAP1IN)-(c_TFWD)),2)),((c_TMAP1IN)-(c_TFWD)))+(0)+IF(((c_TMAP1OUT)-(0))&gt;=0,IF(IF(o_WRAP=1,MOD(((c_TMAP1IN)-(c_TFWD))*(((A823)-(c_TFWD))*((c_TMAP1OUT)-(0))+IF(((c_TMAP1OUT)-(0))&gt;=0,1,-1)*QUOTIENT(((c_TMAP1IN)-(c_TFWD)),2))+2147483648,4294967296)-2147483648,((c_TMAP1IN)-(c_TFWD))*(((A823)-(c_TFWD))*((c_TMAP1OUT)-(0))+IF(((c_TMAP1OUT)-(0))&gt;=0,1,-1)*QUOTIENT(((c_TMAP1IN)-(c_TFWD)),2)))&lt;0,-1,0),IF(IF(o_WRAP=1,MOD(((c_TMAP1IN)-(c_TFWD))*(((A823)-(c_TFWD))*((c_TMAP1OUT)-(0))+IF(((c_TMAP1OUT)-(0))&gt;=0,1,-1)*QUOTIENT(((c_TMAP1IN)-(c_TFWD)),2))+2147483648,4294967296)-2147483648,((c_TMAP1IN)-(c_TFWD))*(((A823)-(c_TFWD))*((c_TMAP1OUT)-(0))+IF(((c_TMAP1OUT)-(0))&gt;=0,1,-1)*QUOTIENT(((c_TMAP1IN)-(c_TFWD)),2)))&gt;=0,1,0)))</f>
        <v>628</v>
      </c>
      <c r="E823" s="7" t="n">
        <f aca="false">IF(((c_TMAP2IN)-(c_TMAP1IN))=0,(c_TMAP1OUT)+QUOTIENT(((c_TMAP2OUT)-(c_TMAP1OUT)),2),QUOTIENT((((A823)-(c_TMAP1IN))*((c_TMAP2OUT)-(c_TMAP1OUT))+IF(((c_TMAP2OUT)-(c_TMAP1OUT))&gt;=0,1,-1)*QUOTIENT(((c_TMAP2IN)-(c_TMAP1IN)),2)),((c_TMAP2IN)-(c_TMAP1IN)))+(c_TMAP1OUT)+IF(((c_TMAP2OUT)-(c_TMAP1OUT))&gt;=0,IF(IF(o_WRAP=1,MOD(((c_TMAP2IN)-(c_TMAP1IN))*(((A823)-(c_TMAP1IN))*((c_TMAP2OUT)-(c_TMAP1OUT))+IF(((c_TMAP2OUT)-(c_TMAP1OUT))&gt;=0,1,-1)*QUOTIENT(((c_TMAP2IN)-(c_TMAP1IN)),2))+2147483648,4294967296)-2147483648,((c_TMAP2IN)-(c_TMAP1IN))*(((A823)-(c_TMAP1IN))*((c_TMAP2OUT)-(c_TMAP1OUT))+IF(((c_TMAP2OUT)-(c_TMAP1OUT))&gt;=0,1,-1)*QUOTIENT(((c_TMAP2IN)-(c_TMAP1IN)),2)))&lt;0,-1,0),IF(IF(o_WRAP=1,MOD(((c_TMAP2IN)-(c_TMAP1IN))*(((A823)-(c_TMAP1IN))*((c_TMAP2OUT)-(c_TMAP1OUT))+IF(((c_TMAP2OUT)-(c_TMAP1OUT))&gt;=0,1,-1)*QUOTIENT(((c_TMAP2IN)-(c_TMAP1IN)),2))+2147483648,4294967296)-2147483648,((c_TMAP2IN)-(c_TMAP1IN))*(((A823)-(c_TMAP1IN))*((c_TMAP2OUT)-(c_TMAP1OUT))+IF(((c_TMAP2OUT)-(c_TMAP1OUT))&gt;=0,1,-1)*QUOTIENT(((c_TMAP2IN)-(c_TMAP1IN)),2)))&gt;=0,1,0)))</f>
        <v>357</v>
      </c>
      <c r="F823" s="7" t="n">
        <f aca="false">IF(((c_TMAP3IN)-(c_TMAP2IN))=0,(c_TMAP2OUT)+QUOTIENT(((c_TMAP3OUT)-(c_TMAP2OUT)),2),QUOTIENT((((A823)-(c_TMAP2IN))*((c_TMAP3OUT)-(c_TMAP2OUT))+IF(((c_TMAP3OUT)-(c_TMAP2OUT))&gt;=0,1,-1)*QUOTIENT(((c_TMAP3IN)-(c_TMAP2IN)),2)),((c_TMAP3IN)-(c_TMAP2IN)))+(c_TMAP2OUT)+IF(((c_TMAP3OUT)-(c_TMAP2OUT))&gt;=0,IF(IF(o_WRAP=1,MOD(((c_TMAP3IN)-(c_TMAP2IN))*(((A823)-(c_TMAP2IN))*((c_TMAP3OUT)-(c_TMAP2OUT))+IF(((c_TMAP3OUT)-(c_TMAP2OUT))&gt;=0,1,-1)*QUOTIENT(((c_TMAP3IN)-(c_TMAP2IN)),2))+2147483648,4294967296)-2147483648,((c_TMAP3IN)-(c_TMAP2IN))*(((A823)-(c_TMAP2IN))*((c_TMAP3OUT)-(c_TMAP2OUT))+IF(((c_TMAP3OUT)-(c_TMAP2OUT))&gt;=0,1,-1)*QUOTIENT(((c_TMAP3IN)-(c_TMAP2IN)),2)))&lt;0,-1,0),IF(IF(o_WRAP=1,MOD(((c_TMAP3IN)-(c_TMAP2IN))*(((A823)-(c_TMAP2IN))*((c_TMAP3OUT)-(c_TMAP2OUT))+IF(((c_TMAP3OUT)-(c_TMAP2OUT))&gt;=0,1,-1)*QUOTIENT(((c_TMAP3IN)-(c_TMAP2IN)),2))+2147483648,4294967296)-2147483648,((c_TMAP3IN)-(c_TMAP2IN))*(((A823)-(c_TMAP2IN))*((c_TMAP3OUT)-(c_TMAP2OUT))+IF(((c_TMAP3OUT)-(c_TMAP2OUT))&gt;=0,1,-1)*QUOTIENT(((c_TMAP3IN)-(c_TMAP2IN)),2)))&gt;=0,1,0)))</f>
        <v>528</v>
      </c>
      <c r="G823" s="7" t="n">
        <f aca="false">IF(((1000)-(c_TMAP3IN))=0,(c_TMAP3OUT)+QUOTIENT(((1000)-(c_TMAP3OUT)),2),QUOTIENT((((A823)-(c_TMAP3IN))*((1000)-(c_TMAP3OUT))+IF(((1000)-(c_TMAP3OUT))&gt;=0,1,-1)*QUOTIENT(((1000)-(c_TMAP3IN)),2)),((1000)-(c_TMAP3IN)))+(c_TMAP3OUT)+IF(((1000)-(c_TMAP3OUT))&gt;=0,IF(IF(o_WRAP=1,MOD(((1000)-(c_TMAP3IN))*(((A823)-(c_TMAP3IN))*((1000)-(c_TMAP3OUT))+IF(((1000)-(c_TMAP3OUT))&gt;=0,1,-1)*QUOTIENT(((1000)-(c_TMAP3IN)),2))+2147483648,4294967296)-2147483648,((1000)-(c_TMAP3IN))*(((A823)-(c_TMAP3IN))*((1000)-(c_TMAP3OUT))+IF(((1000)-(c_TMAP3OUT))&gt;=0,1,-1)*QUOTIENT(((1000)-(c_TMAP3IN)),2)))&lt;0,-1,0),IF(IF(o_WRAP=1,MOD(((1000)-(c_TMAP3IN))*(((A823)-(c_TMAP3IN))*((1000)-(c_TMAP3OUT))+IF(((1000)-(c_TMAP3OUT))&gt;=0,1,-1)*QUOTIENT(((1000)-(c_TMAP3IN)),2))+2147483648,4294967296)-2147483648,((1000)-(c_TMAP3IN))*(((A823)-(c_TMAP3IN))*((1000)-(c_TMAP3OUT))+IF(((1000)-(c_TMAP3OUT))&gt;=0,1,-1)*QUOTIENT(((1000)-(c_TMAP3IN)),2)))&gt;=0,1,0)))</f>
        <v>776</v>
      </c>
      <c r="H823" s="7" t="str">
        <f aca="false">IF(A823&gt;=c_TFWD,IF(AND(A823&gt;=c_TMAP3IN,c_TMAP3IN&lt;1000),"Seg4 map3-100%",IF(AND(A823&gt;=c_TMAP2IN,c_TMAP3IN&gt;c_TMAP2IN),"Seg3 map2-map3",IF(AND(A823&gt;=c_TMAP1IN,c_TMAP2IN&gt;c_TMAP1IN),"Seg2 map1-map2","Seg1 TFWD-map1"))),IF(AND(A823=0,c_TCREEP&gt;0),"Creep",IF(AND(A823&lt;=c_TRNGMIN,A823&gt;=c_TRNGMAX,c_TRNGMIN-c_TRNGMAX&lt;&gt;0),"Regen ramp","Coast (0)")))</f>
        <v>Seg4 map3-100%</v>
      </c>
      <c r="I823" s="7" t="n">
        <f aca="false">IF(A823&gt;=c_TFWD,IF(AND(A823&gt;=c_TMAP3IN,c_TMAP3IN&lt;1000),G823,IF(AND(A823&gt;=c_TMAP2IN,c_TMAP3IN&gt;c_TMAP2IN),F823,IF(AND(A823&gt;=c_TMAP1IN,c_TMAP2IN&gt;c_TMAP1IN),E823,D823))),C823)</f>
        <v>776</v>
      </c>
      <c r="J823" s="7" t="str">
        <f aca="false">IF(I823&lt;-1090,"TOO LOW",IF(I823&gt;1090,"TOO HIGH",""))</f>
        <v/>
      </c>
      <c r="K823" s="15" t="n">
        <f aca="false">IF(J823&lt;&gt;"",0,IF(I823&gt;979,1000,I823))</f>
        <v>776</v>
      </c>
      <c r="L823" s="7" t="n">
        <f aca="false">K823/10</f>
        <v>77.6</v>
      </c>
    </row>
    <row r="824" customFormat="false" ht="15" hidden="false" customHeight="false" outlineLevel="0" collapsed="false">
      <c r="A824" s="7" t="n">
        <v>819</v>
      </c>
      <c r="B824" s="7" t="n">
        <f aca="false">A824/10</f>
        <v>81.9</v>
      </c>
      <c r="C824" s="7" t="n">
        <f aca="false">IF(AND(A824=0,c_TCREEP&gt;0),10*c_TCREEP,IF(AND(A824&lt;=c_TRNGMIN,A824&gt;=c_TRNGMAX,c_TRNGMIN-c_TRNGMAX&lt;&gt;0),-10*c_TMINRN+QUOTIENT((c_TMAXRN-c_TMINRN)*(100-QUOTIENT((A824-c_TRNGMAX)*100,c_TRNGMIN-c_TRNGMAX)),-10),0))</f>
        <v>0</v>
      </c>
      <c r="D824" s="7" t="n">
        <f aca="false">IF(((c_TMAP1IN)-(c_TFWD))=0,(0)+QUOTIENT(((c_TMAP1OUT)-(0)),2),QUOTIENT((((A824)-(c_TFWD))*((c_TMAP1OUT)-(0))+IF(((c_TMAP1OUT)-(0))&gt;=0,1,-1)*QUOTIENT(((c_TMAP1IN)-(c_TFWD)),2)),((c_TMAP1IN)-(c_TFWD)))+(0)+IF(((c_TMAP1OUT)-(0))&gt;=0,IF(IF(o_WRAP=1,MOD(((c_TMAP1IN)-(c_TFWD))*(((A824)-(c_TFWD))*((c_TMAP1OUT)-(0))+IF(((c_TMAP1OUT)-(0))&gt;=0,1,-1)*QUOTIENT(((c_TMAP1IN)-(c_TFWD)),2))+2147483648,4294967296)-2147483648,((c_TMAP1IN)-(c_TFWD))*(((A824)-(c_TFWD))*((c_TMAP1OUT)-(0))+IF(((c_TMAP1OUT)-(0))&gt;=0,1,-1)*QUOTIENT(((c_TMAP1IN)-(c_TFWD)),2)))&lt;0,-1,0),IF(IF(o_WRAP=1,MOD(((c_TMAP1IN)-(c_TFWD))*(((A824)-(c_TFWD))*((c_TMAP1OUT)-(0))+IF(((c_TMAP1OUT)-(0))&gt;=0,1,-1)*QUOTIENT(((c_TMAP1IN)-(c_TFWD)),2))+2147483648,4294967296)-2147483648,((c_TMAP1IN)-(c_TFWD))*(((A824)-(c_TFWD))*((c_TMAP1OUT)-(0))+IF(((c_TMAP1OUT)-(0))&gt;=0,1,-1)*QUOTIENT(((c_TMAP1IN)-(c_TFWD)),2)))&gt;=0,1,0)))</f>
        <v>629</v>
      </c>
      <c r="E824" s="7" t="n">
        <f aca="false">IF(((c_TMAP2IN)-(c_TMAP1IN))=0,(c_TMAP1OUT)+QUOTIENT(((c_TMAP2OUT)-(c_TMAP1OUT)),2),QUOTIENT((((A824)-(c_TMAP1IN))*((c_TMAP2OUT)-(c_TMAP1OUT))+IF(((c_TMAP2OUT)-(c_TMAP1OUT))&gt;=0,1,-1)*QUOTIENT(((c_TMAP2IN)-(c_TMAP1IN)),2)),((c_TMAP2IN)-(c_TMAP1IN)))+(c_TMAP1OUT)+IF(((c_TMAP2OUT)-(c_TMAP1OUT))&gt;=0,IF(IF(o_WRAP=1,MOD(((c_TMAP2IN)-(c_TMAP1IN))*(((A824)-(c_TMAP1IN))*((c_TMAP2OUT)-(c_TMAP1OUT))+IF(((c_TMAP2OUT)-(c_TMAP1OUT))&gt;=0,1,-1)*QUOTIENT(((c_TMAP2IN)-(c_TMAP1IN)),2))+2147483648,4294967296)-2147483648,((c_TMAP2IN)-(c_TMAP1IN))*(((A824)-(c_TMAP1IN))*((c_TMAP2OUT)-(c_TMAP1OUT))+IF(((c_TMAP2OUT)-(c_TMAP1OUT))&gt;=0,1,-1)*QUOTIENT(((c_TMAP2IN)-(c_TMAP1IN)),2)))&lt;0,-1,0),IF(IF(o_WRAP=1,MOD(((c_TMAP2IN)-(c_TMAP1IN))*(((A824)-(c_TMAP1IN))*((c_TMAP2OUT)-(c_TMAP1OUT))+IF(((c_TMAP2OUT)-(c_TMAP1OUT))&gt;=0,1,-1)*QUOTIENT(((c_TMAP2IN)-(c_TMAP1IN)),2))+2147483648,4294967296)-2147483648,((c_TMAP2IN)-(c_TMAP1IN))*(((A824)-(c_TMAP1IN))*((c_TMAP2OUT)-(c_TMAP1OUT))+IF(((c_TMAP2OUT)-(c_TMAP1OUT))&gt;=0,1,-1)*QUOTIENT(((c_TMAP2IN)-(c_TMAP1IN)),2)))&gt;=0,1,0)))</f>
        <v>358</v>
      </c>
      <c r="F824" s="7" t="n">
        <f aca="false">IF(((c_TMAP3IN)-(c_TMAP2IN))=0,(c_TMAP2OUT)+QUOTIENT(((c_TMAP3OUT)-(c_TMAP2OUT)),2),QUOTIENT((((A824)-(c_TMAP2IN))*((c_TMAP3OUT)-(c_TMAP2OUT))+IF(((c_TMAP3OUT)-(c_TMAP2OUT))&gt;=0,1,-1)*QUOTIENT(((c_TMAP3IN)-(c_TMAP2IN)),2)),((c_TMAP3IN)-(c_TMAP2IN)))+(c_TMAP2OUT)+IF(((c_TMAP3OUT)-(c_TMAP2OUT))&gt;=0,IF(IF(o_WRAP=1,MOD(((c_TMAP3IN)-(c_TMAP2IN))*(((A824)-(c_TMAP2IN))*((c_TMAP3OUT)-(c_TMAP2OUT))+IF(((c_TMAP3OUT)-(c_TMAP2OUT))&gt;=0,1,-1)*QUOTIENT(((c_TMAP3IN)-(c_TMAP2IN)),2))+2147483648,4294967296)-2147483648,((c_TMAP3IN)-(c_TMAP2IN))*(((A824)-(c_TMAP2IN))*((c_TMAP3OUT)-(c_TMAP2OUT))+IF(((c_TMAP3OUT)-(c_TMAP2OUT))&gt;=0,1,-1)*QUOTIENT(((c_TMAP3IN)-(c_TMAP2IN)),2)))&lt;0,-1,0),IF(IF(o_WRAP=1,MOD(((c_TMAP3IN)-(c_TMAP2IN))*(((A824)-(c_TMAP2IN))*((c_TMAP3OUT)-(c_TMAP2OUT))+IF(((c_TMAP3OUT)-(c_TMAP2OUT))&gt;=0,1,-1)*QUOTIENT(((c_TMAP3IN)-(c_TMAP2IN)),2))+2147483648,4294967296)-2147483648,((c_TMAP3IN)-(c_TMAP2IN))*(((A824)-(c_TMAP2IN))*((c_TMAP3OUT)-(c_TMAP2OUT))+IF(((c_TMAP3OUT)-(c_TMAP2OUT))&gt;=0,1,-1)*QUOTIENT(((c_TMAP3IN)-(c_TMAP2IN)),2)))&gt;=0,1,0)))</f>
        <v>528</v>
      </c>
      <c r="G824" s="7" t="n">
        <f aca="false">IF(((1000)-(c_TMAP3IN))=0,(c_TMAP3OUT)+QUOTIENT(((1000)-(c_TMAP3OUT)),2),QUOTIENT((((A824)-(c_TMAP3IN))*((1000)-(c_TMAP3OUT))+IF(((1000)-(c_TMAP3OUT))&gt;=0,1,-1)*QUOTIENT(((1000)-(c_TMAP3IN)),2)),((1000)-(c_TMAP3IN)))+(c_TMAP3OUT)+IF(((1000)-(c_TMAP3OUT))&gt;=0,IF(IF(o_WRAP=1,MOD(((1000)-(c_TMAP3IN))*(((A824)-(c_TMAP3IN))*((1000)-(c_TMAP3OUT))+IF(((1000)-(c_TMAP3OUT))&gt;=0,1,-1)*QUOTIENT(((1000)-(c_TMAP3IN)),2))+2147483648,4294967296)-2147483648,((1000)-(c_TMAP3IN))*(((A824)-(c_TMAP3IN))*((1000)-(c_TMAP3OUT))+IF(((1000)-(c_TMAP3OUT))&gt;=0,1,-1)*QUOTIENT(((1000)-(c_TMAP3IN)),2)))&lt;0,-1,0),IF(IF(o_WRAP=1,MOD(((1000)-(c_TMAP3IN))*(((A824)-(c_TMAP3IN))*((1000)-(c_TMAP3OUT))+IF(((1000)-(c_TMAP3OUT))&gt;=0,1,-1)*QUOTIENT(((1000)-(c_TMAP3IN)),2))+2147483648,4294967296)-2147483648,((1000)-(c_TMAP3IN))*(((A824)-(c_TMAP3IN))*((1000)-(c_TMAP3OUT))+IF(((1000)-(c_TMAP3OUT))&gt;=0,1,-1)*QUOTIENT(((1000)-(c_TMAP3IN)),2)))&gt;=0,1,0)))</f>
        <v>777</v>
      </c>
      <c r="H824" s="7" t="str">
        <f aca="false">IF(A824&gt;=c_TFWD,IF(AND(A824&gt;=c_TMAP3IN,c_TMAP3IN&lt;1000),"Seg4 map3-100%",IF(AND(A824&gt;=c_TMAP2IN,c_TMAP3IN&gt;c_TMAP2IN),"Seg3 map2-map3",IF(AND(A824&gt;=c_TMAP1IN,c_TMAP2IN&gt;c_TMAP1IN),"Seg2 map1-map2","Seg1 TFWD-map1"))),IF(AND(A824=0,c_TCREEP&gt;0),"Creep",IF(AND(A824&lt;=c_TRNGMIN,A824&gt;=c_TRNGMAX,c_TRNGMIN-c_TRNGMAX&lt;&gt;0),"Regen ramp","Coast (0)")))</f>
        <v>Seg4 map3-100%</v>
      </c>
      <c r="I824" s="7" t="n">
        <f aca="false">IF(A824&gt;=c_TFWD,IF(AND(A824&gt;=c_TMAP3IN,c_TMAP3IN&lt;1000),G824,IF(AND(A824&gt;=c_TMAP2IN,c_TMAP3IN&gt;c_TMAP2IN),F824,IF(AND(A824&gt;=c_TMAP1IN,c_TMAP2IN&gt;c_TMAP1IN),E824,D824))),C824)</f>
        <v>777</v>
      </c>
      <c r="J824" s="7" t="str">
        <f aca="false">IF(I824&lt;-1090,"TOO LOW",IF(I824&gt;1090,"TOO HIGH",""))</f>
        <v/>
      </c>
      <c r="K824" s="15" t="n">
        <f aca="false">IF(J824&lt;&gt;"",0,IF(I824&gt;979,1000,I824))</f>
        <v>777</v>
      </c>
      <c r="L824" s="7" t="n">
        <f aca="false">K824/10</f>
        <v>77.7</v>
      </c>
    </row>
    <row r="825" customFormat="false" ht="15" hidden="false" customHeight="false" outlineLevel="0" collapsed="false">
      <c r="A825" s="7" t="n">
        <v>820</v>
      </c>
      <c r="B825" s="7" t="n">
        <f aca="false">A825/10</f>
        <v>82</v>
      </c>
      <c r="C825" s="7" t="n">
        <f aca="false">IF(AND(A825=0,c_TCREEP&gt;0),10*c_TCREEP,IF(AND(A825&lt;=c_TRNGMIN,A825&gt;=c_TRNGMAX,c_TRNGMIN-c_TRNGMAX&lt;&gt;0),-10*c_TMINRN+QUOTIENT((c_TMAXRN-c_TMINRN)*(100-QUOTIENT((A825-c_TRNGMAX)*100,c_TRNGMIN-c_TRNGMAX)),-10),0))</f>
        <v>0</v>
      </c>
      <c r="D825" s="7" t="n">
        <f aca="false">IF(((c_TMAP1IN)-(c_TFWD))=0,(0)+QUOTIENT(((c_TMAP1OUT)-(0)),2),QUOTIENT((((A825)-(c_TFWD))*((c_TMAP1OUT)-(0))+IF(((c_TMAP1OUT)-(0))&gt;=0,1,-1)*QUOTIENT(((c_TMAP1IN)-(c_TFWD)),2)),((c_TMAP1IN)-(c_TFWD)))+(0)+IF(((c_TMAP1OUT)-(0))&gt;=0,IF(IF(o_WRAP=1,MOD(((c_TMAP1IN)-(c_TFWD))*(((A825)-(c_TFWD))*((c_TMAP1OUT)-(0))+IF(((c_TMAP1OUT)-(0))&gt;=0,1,-1)*QUOTIENT(((c_TMAP1IN)-(c_TFWD)),2))+2147483648,4294967296)-2147483648,((c_TMAP1IN)-(c_TFWD))*(((A825)-(c_TFWD))*((c_TMAP1OUT)-(0))+IF(((c_TMAP1OUT)-(0))&gt;=0,1,-1)*QUOTIENT(((c_TMAP1IN)-(c_TFWD)),2)))&lt;0,-1,0),IF(IF(o_WRAP=1,MOD(((c_TMAP1IN)-(c_TFWD))*(((A825)-(c_TFWD))*((c_TMAP1OUT)-(0))+IF(((c_TMAP1OUT)-(0))&gt;=0,1,-1)*QUOTIENT(((c_TMAP1IN)-(c_TFWD)),2))+2147483648,4294967296)-2147483648,((c_TMAP1IN)-(c_TFWD))*(((A825)-(c_TFWD))*((c_TMAP1OUT)-(0))+IF(((c_TMAP1OUT)-(0))&gt;=0,1,-1)*QUOTIENT(((c_TMAP1IN)-(c_TFWD)),2)))&gt;=0,1,0)))</f>
        <v>630</v>
      </c>
      <c r="E825" s="7" t="n">
        <f aca="false">IF(((c_TMAP2IN)-(c_TMAP1IN))=0,(c_TMAP1OUT)+QUOTIENT(((c_TMAP2OUT)-(c_TMAP1OUT)),2),QUOTIENT((((A825)-(c_TMAP1IN))*((c_TMAP2OUT)-(c_TMAP1OUT))+IF(((c_TMAP2OUT)-(c_TMAP1OUT))&gt;=0,1,-1)*QUOTIENT(((c_TMAP2IN)-(c_TMAP1IN)),2)),((c_TMAP2IN)-(c_TMAP1IN)))+(c_TMAP1OUT)+IF(((c_TMAP2OUT)-(c_TMAP1OUT))&gt;=0,IF(IF(o_WRAP=1,MOD(((c_TMAP2IN)-(c_TMAP1IN))*(((A825)-(c_TMAP1IN))*((c_TMAP2OUT)-(c_TMAP1OUT))+IF(((c_TMAP2OUT)-(c_TMAP1OUT))&gt;=0,1,-1)*QUOTIENT(((c_TMAP2IN)-(c_TMAP1IN)),2))+2147483648,4294967296)-2147483648,((c_TMAP2IN)-(c_TMAP1IN))*(((A825)-(c_TMAP1IN))*((c_TMAP2OUT)-(c_TMAP1OUT))+IF(((c_TMAP2OUT)-(c_TMAP1OUT))&gt;=0,1,-1)*QUOTIENT(((c_TMAP2IN)-(c_TMAP1IN)),2)))&lt;0,-1,0),IF(IF(o_WRAP=1,MOD(((c_TMAP2IN)-(c_TMAP1IN))*(((A825)-(c_TMAP1IN))*((c_TMAP2OUT)-(c_TMAP1OUT))+IF(((c_TMAP2OUT)-(c_TMAP1OUT))&gt;=0,1,-1)*QUOTIENT(((c_TMAP2IN)-(c_TMAP1IN)),2))+2147483648,4294967296)-2147483648,((c_TMAP2IN)-(c_TMAP1IN))*(((A825)-(c_TMAP1IN))*((c_TMAP2OUT)-(c_TMAP1OUT))+IF(((c_TMAP2OUT)-(c_TMAP1OUT))&gt;=0,1,-1)*QUOTIENT(((c_TMAP2IN)-(c_TMAP1IN)),2)))&gt;=0,1,0)))</f>
        <v>358</v>
      </c>
      <c r="F825" s="7" t="n">
        <f aca="false">IF(((c_TMAP3IN)-(c_TMAP2IN))=0,(c_TMAP2OUT)+QUOTIENT(((c_TMAP3OUT)-(c_TMAP2OUT)),2),QUOTIENT((((A825)-(c_TMAP2IN))*((c_TMAP3OUT)-(c_TMAP2OUT))+IF(((c_TMAP3OUT)-(c_TMAP2OUT))&gt;=0,1,-1)*QUOTIENT(((c_TMAP3IN)-(c_TMAP2IN)),2)),((c_TMAP3IN)-(c_TMAP2IN)))+(c_TMAP2OUT)+IF(((c_TMAP3OUT)-(c_TMAP2OUT))&gt;=0,IF(IF(o_WRAP=1,MOD(((c_TMAP3IN)-(c_TMAP2IN))*(((A825)-(c_TMAP2IN))*((c_TMAP3OUT)-(c_TMAP2OUT))+IF(((c_TMAP3OUT)-(c_TMAP2OUT))&gt;=0,1,-1)*QUOTIENT(((c_TMAP3IN)-(c_TMAP2IN)),2))+2147483648,4294967296)-2147483648,((c_TMAP3IN)-(c_TMAP2IN))*(((A825)-(c_TMAP2IN))*((c_TMAP3OUT)-(c_TMAP2OUT))+IF(((c_TMAP3OUT)-(c_TMAP2OUT))&gt;=0,1,-1)*QUOTIENT(((c_TMAP3IN)-(c_TMAP2IN)),2)))&lt;0,-1,0),IF(IF(o_WRAP=1,MOD(((c_TMAP3IN)-(c_TMAP2IN))*(((A825)-(c_TMAP2IN))*((c_TMAP3OUT)-(c_TMAP2OUT))+IF(((c_TMAP3OUT)-(c_TMAP2OUT))&gt;=0,1,-1)*QUOTIENT(((c_TMAP3IN)-(c_TMAP2IN)),2))+2147483648,4294967296)-2147483648,((c_TMAP3IN)-(c_TMAP2IN))*(((A825)-(c_TMAP2IN))*((c_TMAP3OUT)-(c_TMAP2OUT))+IF(((c_TMAP3OUT)-(c_TMAP2OUT))&gt;=0,1,-1)*QUOTIENT(((c_TMAP3IN)-(c_TMAP2IN)),2)))&gt;=0,1,0)))</f>
        <v>529</v>
      </c>
      <c r="G825" s="7" t="n">
        <f aca="false">IF(((1000)-(c_TMAP3IN))=0,(c_TMAP3OUT)+QUOTIENT(((1000)-(c_TMAP3OUT)),2),QUOTIENT((((A825)-(c_TMAP3IN))*((1000)-(c_TMAP3OUT))+IF(((1000)-(c_TMAP3OUT))&gt;=0,1,-1)*QUOTIENT(((1000)-(c_TMAP3IN)),2)),((1000)-(c_TMAP3IN)))+(c_TMAP3OUT)+IF(((1000)-(c_TMAP3OUT))&gt;=0,IF(IF(o_WRAP=1,MOD(((1000)-(c_TMAP3IN))*(((A825)-(c_TMAP3IN))*((1000)-(c_TMAP3OUT))+IF(((1000)-(c_TMAP3OUT))&gt;=0,1,-1)*QUOTIENT(((1000)-(c_TMAP3IN)),2))+2147483648,4294967296)-2147483648,((1000)-(c_TMAP3IN))*(((A825)-(c_TMAP3IN))*((1000)-(c_TMAP3OUT))+IF(((1000)-(c_TMAP3OUT))&gt;=0,1,-1)*QUOTIENT(((1000)-(c_TMAP3IN)),2)))&lt;0,-1,0),IF(IF(o_WRAP=1,MOD(((1000)-(c_TMAP3IN))*(((A825)-(c_TMAP3IN))*((1000)-(c_TMAP3OUT))+IF(((1000)-(c_TMAP3OUT))&gt;=0,1,-1)*QUOTIENT(((1000)-(c_TMAP3IN)),2))+2147483648,4294967296)-2147483648,((1000)-(c_TMAP3IN))*(((A825)-(c_TMAP3IN))*((1000)-(c_TMAP3OUT))+IF(((1000)-(c_TMAP3OUT))&gt;=0,1,-1)*QUOTIENT(((1000)-(c_TMAP3IN)),2)))&gt;=0,1,0)))</f>
        <v>778</v>
      </c>
      <c r="H825" s="7" t="str">
        <f aca="false">IF(A825&gt;=c_TFWD,IF(AND(A825&gt;=c_TMAP3IN,c_TMAP3IN&lt;1000),"Seg4 map3-100%",IF(AND(A825&gt;=c_TMAP2IN,c_TMAP3IN&gt;c_TMAP2IN),"Seg3 map2-map3",IF(AND(A825&gt;=c_TMAP1IN,c_TMAP2IN&gt;c_TMAP1IN),"Seg2 map1-map2","Seg1 TFWD-map1"))),IF(AND(A825=0,c_TCREEP&gt;0),"Creep",IF(AND(A825&lt;=c_TRNGMIN,A825&gt;=c_TRNGMAX,c_TRNGMIN-c_TRNGMAX&lt;&gt;0),"Regen ramp","Coast (0)")))</f>
        <v>Seg4 map3-100%</v>
      </c>
      <c r="I825" s="7" t="n">
        <f aca="false">IF(A825&gt;=c_TFWD,IF(AND(A825&gt;=c_TMAP3IN,c_TMAP3IN&lt;1000),G825,IF(AND(A825&gt;=c_TMAP2IN,c_TMAP3IN&gt;c_TMAP2IN),F825,IF(AND(A825&gt;=c_TMAP1IN,c_TMAP2IN&gt;c_TMAP1IN),E825,D825))),C825)</f>
        <v>778</v>
      </c>
      <c r="J825" s="7" t="str">
        <f aca="false">IF(I825&lt;-1090,"TOO LOW",IF(I825&gt;1090,"TOO HIGH",""))</f>
        <v/>
      </c>
      <c r="K825" s="15" t="n">
        <f aca="false">IF(J825&lt;&gt;"",0,IF(I825&gt;979,1000,I825))</f>
        <v>778</v>
      </c>
      <c r="L825" s="7" t="n">
        <f aca="false">K825/10</f>
        <v>77.8</v>
      </c>
    </row>
    <row r="826" customFormat="false" ht="15" hidden="false" customHeight="false" outlineLevel="0" collapsed="false">
      <c r="A826" s="7" t="n">
        <v>821</v>
      </c>
      <c r="B826" s="7" t="n">
        <f aca="false">A826/10</f>
        <v>82.1</v>
      </c>
      <c r="C826" s="7" t="n">
        <f aca="false">IF(AND(A826=0,c_TCREEP&gt;0),10*c_TCREEP,IF(AND(A826&lt;=c_TRNGMIN,A826&gt;=c_TRNGMAX,c_TRNGMIN-c_TRNGMAX&lt;&gt;0),-10*c_TMINRN+QUOTIENT((c_TMAXRN-c_TMINRN)*(100-QUOTIENT((A826-c_TRNGMAX)*100,c_TRNGMIN-c_TRNGMAX)),-10),0))</f>
        <v>0</v>
      </c>
      <c r="D826" s="7" t="n">
        <f aca="false">IF(((c_TMAP1IN)-(c_TFWD))=0,(0)+QUOTIENT(((c_TMAP1OUT)-(0)),2),QUOTIENT((((A826)-(c_TFWD))*((c_TMAP1OUT)-(0))+IF(((c_TMAP1OUT)-(0))&gt;=0,1,-1)*QUOTIENT(((c_TMAP1IN)-(c_TFWD)),2)),((c_TMAP1IN)-(c_TFWD)))+(0)+IF(((c_TMAP1OUT)-(0))&gt;=0,IF(IF(o_WRAP=1,MOD(((c_TMAP1IN)-(c_TFWD))*(((A826)-(c_TFWD))*((c_TMAP1OUT)-(0))+IF(((c_TMAP1OUT)-(0))&gt;=0,1,-1)*QUOTIENT(((c_TMAP1IN)-(c_TFWD)),2))+2147483648,4294967296)-2147483648,((c_TMAP1IN)-(c_TFWD))*(((A826)-(c_TFWD))*((c_TMAP1OUT)-(0))+IF(((c_TMAP1OUT)-(0))&gt;=0,1,-1)*QUOTIENT(((c_TMAP1IN)-(c_TFWD)),2)))&lt;0,-1,0),IF(IF(o_WRAP=1,MOD(((c_TMAP1IN)-(c_TFWD))*(((A826)-(c_TFWD))*((c_TMAP1OUT)-(0))+IF(((c_TMAP1OUT)-(0))&gt;=0,1,-1)*QUOTIENT(((c_TMAP1IN)-(c_TFWD)),2))+2147483648,4294967296)-2147483648,((c_TMAP1IN)-(c_TFWD))*(((A826)-(c_TFWD))*((c_TMAP1OUT)-(0))+IF(((c_TMAP1OUT)-(0))&gt;=0,1,-1)*QUOTIENT(((c_TMAP1IN)-(c_TFWD)),2)))&gt;=0,1,0)))</f>
        <v>631</v>
      </c>
      <c r="E826" s="7" t="n">
        <f aca="false">IF(((c_TMAP2IN)-(c_TMAP1IN))=0,(c_TMAP1OUT)+QUOTIENT(((c_TMAP2OUT)-(c_TMAP1OUT)),2),QUOTIENT((((A826)-(c_TMAP1IN))*((c_TMAP2OUT)-(c_TMAP1OUT))+IF(((c_TMAP2OUT)-(c_TMAP1OUT))&gt;=0,1,-1)*QUOTIENT(((c_TMAP2IN)-(c_TMAP1IN)),2)),((c_TMAP2IN)-(c_TMAP1IN)))+(c_TMAP1OUT)+IF(((c_TMAP2OUT)-(c_TMAP1OUT))&gt;=0,IF(IF(o_WRAP=1,MOD(((c_TMAP2IN)-(c_TMAP1IN))*(((A826)-(c_TMAP1IN))*((c_TMAP2OUT)-(c_TMAP1OUT))+IF(((c_TMAP2OUT)-(c_TMAP1OUT))&gt;=0,1,-1)*QUOTIENT(((c_TMAP2IN)-(c_TMAP1IN)),2))+2147483648,4294967296)-2147483648,((c_TMAP2IN)-(c_TMAP1IN))*(((A826)-(c_TMAP1IN))*((c_TMAP2OUT)-(c_TMAP1OUT))+IF(((c_TMAP2OUT)-(c_TMAP1OUT))&gt;=0,1,-1)*QUOTIENT(((c_TMAP2IN)-(c_TMAP1IN)),2)))&lt;0,-1,0),IF(IF(o_WRAP=1,MOD(((c_TMAP2IN)-(c_TMAP1IN))*(((A826)-(c_TMAP1IN))*((c_TMAP2OUT)-(c_TMAP1OUT))+IF(((c_TMAP2OUT)-(c_TMAP1OUT))&gt;=0,1,-1)*QUOTIENT(((c_TMAP2IN)-(c_TMAP1IN)),2))+2147483648,4294967296)-2147483648,((c_TMAP2IN)-(c_TMAP1IN))*(((A826)-(c_TMAP1IN))*((c_TMAP2OUT)-(c_TMAP1OUT))+IF(((c_TMAP2OUT)-(c_TMAP1OUT))&gt;=0,1,-1)*QUOTIENT(((c_TMAP2IN)-(c_TMAP1IN)),2)))&gt;=0,1,0)))</f>
        <v>358</v>
      </c>
      <c r="F826" s="7" t="n">
        <f aca="false">IF(((c_TMAP3IN)-(c_TMAP2IN))=0,(c_TMAP2OUT)+QUOTIENT(((c_TMAP3OUT)-(c_TMAP2OUT)),2),QUOTIENT((((A826)-(c_TMAP2IN))*((c_TMAP3OUT)-(c_TMAP2OUT))+IF(((c_TMAP3OUT)-(c_TMAP2OUT))&gt;=0,1,-1)*QUOTIENT(((c_TMAP3IN)-(c_TMAP2IN)),2)),((c_TMAP3IN)-(c_TMAP2IN)))+(c_TMAP2OUT)+IF(((c_TMAP3OUT)-(c_TMAP2OUT))&gt;=0,IF(IF(o_WRAP=1,MOD(((c_TMAP3IN)-(c_TMAP2IN))*(((A826)-(c_TMAP2IN))*((c_TMAP3OUT)-(c_TMAP2OUT))+IF(((c_TMAP3OUT)-(c_TMAP2OUT))&gt;=0,1,-1)*QUOTIENT(((c_TMAP3IN)-(c_TMAP2IN)),2))+2147483648,4294967296)-2147483648,((c_TMAP3IN)-(c_TMAP2IN))*(((A826)-(c_TMAP2IN))*((c_TMAP3OUT)-(c_TMAP2OUT))+IF(((c_TMAP3OUT)-(c_TMAP2OUT))&gt;=0,1,-1)*QUOTIENT(((c_TMAP3IN)-(c_TMAP2IN)),2)))&lt;0,-1,0),IF(IF(o_WRAP=1,MOD(((c_TMAP3IN)-(c_TMAP2IN))*(((A826)-(c_TMAP2IN))*((c_TMAP3OUT)-(c_TMAP2OUT))+IF(((c_TMAP3OUT)-(c_TMAP2OUT))&gt;=0,1,-1)*QUOTIENT(((c_TMAP3IN)-(c_TMAP2IN)),2))+2147483648,4294967296)-2147483648,((c_TMAP3IN)-(c_TMAP2IN))*(((A826)-(c_TMAP2IN))*((c_TMAP3OUT)-(c_TMAP2OUT))+IF(((c_TMAP3OUT)-(c_TMAP2OUT))&gt;=0,1,-1)*QUOTIENT(((c_TMAP3IN)-(c_TMAP2IN)),2)))&gt;=0,1,0)))</f>
        <v>530</v>
      </c>
      <c r="G826" s="7" t="n">
        <f aca="false">IF(((1000)-(c_TMAP3IN))=0,(c_TMAP3OUT)+QUOTIENT(((1000)-(c_TMAP3OUT)),2),QUOTIENT((((A826)-(c_TMAP3IN))*((1000)-(c_TMAP3OUT))+IF(((1000)-(c_TMAP3OUT))&gt;=0,1,-1)*QUOTIENT(((1000)-(c_TMAP3IN)),2)),((1000)-(c_TMAP3IN)))+(c_TMAP3OUT)+IF(((1000)-(c_TMAP3OUT))&gt;=0,IF(IF(o_WRAP=1,MOD(((1000)-(c_TMAP3IN))*(((A826)-(c_TMAP3IN))*((1000)-(c_TMAP3OUT))+IF(((1000)-(c_TMAP3OUT))&gt;=0,1,-1)*QUOTIENT(((1000)-(c_TMAP3IN)),2))+2147483648,4294967296)-2147483648,((1000)-(c_TMAP3IN))*(((A826)-(c_TMAP3IN))*((1000)-(c_TMAP3OUT))+IF(((1000)-(c_TMAP3OUT))&gt;=0,1,-1)*QUOTIENT(((1000)-(c_TMAP3IN)),2)))&lt;0,-1,0),IF(IF(o_WRAP=1,MOD(((1000)-(c_TMAP3IN))*(((A826)-(c_TMAP3IN))*((1000)-(c_TMAP3OUT))+IF(((1000)-(c_TMAP3OUT))&gt;=0,1,-1)*QUOTIENT(((1000)-(c_TMAP3IN)),2))+2147483648,4294967296)-2147483648,((1000)-(c_TMAP3IN))*(((A826)-(c_TMAP3IN))*((1000)-(c_TMAP3OUT))+IF(((1000)-(c_TMAP3OUT))&gt;=0,1,-1)*QUOTIENT(((1000)-(c_TMAP3IN)),2)))&gt;=0,1,0)))</f>
        <v>780</v>
      </c>
      <c r="H826" s="7" t="str">
        <f aca="false">IF(A826&gt;=c_TFWD,IF(AND(A826&gt;=c_TMAP3IN,c_TMAP3IN&lt;1000),"Seg4 map3-100%",IF(AND(A826&gt;=c_TMAP2IN,c_TMAP3IN&gt;c_TMAP2IN),"Seg3 map2-map3",IF(AND(A826&gt;=c_TMAP1IN,c_TMAP2IN&gt;c_TMAP1IN),"Seg2 map1-map2","Seg1 TFWD-map1"))),IF(AND(A826=0,c_TCREEP&gt;0),"Creep",IF(AND(A826&lt;=c_TRNGMIN,A826&gt;=c_TRNGMAX,c_TRNGMIN-c_TRNGMAX&lt;&gt;0),"Regen ramp","Coast (0)")))</f>
        <v>Seg4 map3-100%</v>
      </c>
      <c r="I826" s="7" t="n">
        <f aca="false">IF(A826&gt;=c_TFWD,IF(AND(A826&gt;=c_TMAP3IN,c_TMAP3IN&lt;1000),G826,IF(AND(A826&gt;=c_TMAP2IN,c_TMAP3IN&gt;c_TMAP2IN),F826,IF(AND(A826&gt;=c_TMAP1IN,c_TMAP2IN&gt;c_TMAP1IN),E826,D826))),C826)</f>
        <v>780</v>
      </c>
      <c r="J826" s="7" t="str">
        <f aca="false">IF(I826&lt;-1090,"TOO LOW",IF(I826&gt;1090,"TOO HIGH",""))</f>
        <v/>
      </c>
      <c r="K826" s="15" t="n">
        <f aca="false">IF(J826&lt;&gt;"",0,IF(I826&gt;979,1000,I826))</f>
        <v>780</v>
      </c>
      <c r="L826" s="7" t="n">
        <f aca="false">K826/10</f>
        <v>78</v>
      </c>
    </row>
    <row r="827" customFormat="false" ht="15" hidden="false" customHeight="false" outlineLevel="0" collapsed="false">
      <c r="A827" s="7" t="n">
        <v>822</v>
      </c>
      <c r="B827" s="7" t="n">
        <f aca="false">A827/10</f>
        <v>82.2</v>
      </c>
      <c r="C827" s="7" t="n">
        <f aca="false">IF(AND(A827=0,c_TCREEP&gt;0),10*c_TCREEP,IF(AND(A827&lt;=c_TRNGMIN,A827&gt;=c_TRNGMAX,c_TRNGMIN-c_TRNGMAX&lt;&gt;0),-10*c_TMINRN+QUOTIENT((c_TMAXRN-c_TMINRN)*(100-QUOTIENT((A827-c_TRNGMAX)*100,c_TRNGMIN-c_TRNGMAX)),-10),0))</f>
        <v>0</v>
      </c>
      <c r="D827" s="7" t="n">
        <f aca="false">IF(((c_TMAP1IN)-(c_TFWD))=0,(0)+QUOTIENT(((c_TMAP1OUT)-(0)),2),QUOTIENT((((A827)-(c_TFWD))*((c_TMAP1OUT)-(0))+IF(((c_TMAP1OUT)-(0))&gt;=0,1,-1)*QUOTIENT(((c_TMAP1IN)-(c_TFWD)),2)),((c_TMAP1IN)-(c_TFWD)))+(0)+IF(((c_TMAP1OUT)-(0))&gt;=0,IF(IF(o_WRAP=1,MOD(((c_TMAP1IN)-(c_TFWD))*(((A827)-(c_TFWD))*((c_TMAP1OUT)-(0))+IF(((c_TMAP1OUT)-(0))&gt;=0,1,-1)*QUOTIENT(((c_TMAP1IN)-(c_TFWD)),2))+2147483648,4294967296)-2147483648,((c_TMAP1IN)-(c_TFWD))*(((A827)-(c_TFWD))*((c_TMAP1OUT)-(0))+IF(((c_TMAP1OUT)-(0))&gt;=0,1,-1)*QUOTIENT(((c_TMAP1IN)-(c_TFWD)),2)))&lt;0,-1,0),IF(IF(o_WRAP=1,MOD(((c_TMAP1IN)-(c_TFWD))*(((A827)-(c_TFWD))*((c_TMAP1OUT)-(0))+IF(((c_TMAP1OUT)-(0))&gt;=0,1,-1)*QUOTIENT(((c_TMAP1IN)-(c_TFWD)),2))+2147483648,4294967296)-2147483648,((c_TMAP1IN)-(c_TFWD))*(((A827)-(c_TFWD))*((c_TMAP1OUT)-(0))+IF(((c_TMAP1OUT)-(0))&gt;=0,1,-1)*QUOTIENT(((c_TMAP1IN)-(c_TFWD)),2)))&gt;=0,1,0)))</f>
        <v>632</v>
      </c>
      <c r="E827" s="7" t="n">
        <f aca="false">IF(((c_TMAP2IN)-(c_TMAP1IN))=0,(c_TMAP1OUT)+QUOTIENT(((c_TMAP2OUT)-(c_TMAP1OUT)),2),QUOTIENT((((A827)-(c_TMAP1IN))*((c_TMAP2OUT)-(c_TMAP1OUT))+IF(((c_TMAP2OUT)-(c_TMAP1OUT))&gt;=0,1,-1)*QUOTIENT(((c_TMAP2IN)-(c_TMAP1IN)),2)),((c_TMAP2IN)-(c_TMAP1IN)))+(c_TMAP1OUT)+IF(((c_TMAP2OUT)-(c_TMAP1OUT))&gt;=0,IF(IF(o_WRAP=1,MOD(((c_TMAP2IN)-(c_TMAP1IN))*(((A827)-(c_TMAP1IN))*((c_TMAP2OUT)-(c_TMAP1OUT))+IF(((c_TMAP2OUT)-(c_TMAP1OUT))&gt;=0,1,-1)*QUOTIENT(((c_TMAP2IN)-(c_TMAP1IN)),2))+2147483648,4294967296)-2147483648,((c_TMAP2IN)-(c_TMAP1IN))*(((A827)-(c_TMAP1IN))*((c_TMAP2OUT)-(c_TMAP1OUT))+IF(((c_TMAP2OUT)-(c_TMAP1OUT))&gt;=0,1,-1)*QUOTIENT(((c_TMAP2IN)-(c_TMAP1IN)),2)))&lt;0,-1,0),IF(IF(o_WRAP=1,MOD(((c_TMAP2IN)-(c_TMAP1IN))*(((A827)-(c_TMAP1IN))*((c_TMAP2OUT)-(c_TMAP1OUT))+IF(((c_TMAP2OUT)-(c_TMAP1OUT))&gt;=0,1,-1)*QUOTIENT(((c_TMAP2IN)-(c_TMAP1IN)),2))+2147483648,4294967296)-2147483648,((c_TMAP2IN)-(c_TMAP1IN))*(((A827)-(c_TMAP1IN))*((c_TMAP2OUT)-(c_TMAP1OUT))+IF(((c_TMAP2OUT)-(c_TMAP1OUT))&gt;=0,1,-1)*QUOTIENT(((c_TMAP2IN)-(c_TMAP1IN)),2)))&gt;=0,1,0)))</f>
        <v>359</v>
      </c>
      <c r="F827" s="7" t="n">
        <f aca="false">IF(((c_TMAP3IN)-(c_TMAP2IN))=0,(c_TMAP2OUT)+QUOTIENT(((c_TMAP3OUT)-(c_TMAP2OUT)),2),QUOTIENT((((A827)-(c_TMAP2IN))*((c_TMAP3OUT)-(c_TMAP2OUT))+IF(((c_TMAP3OUT)-(c_TMAP2OUT))&gt;=0,1,-1)*QUOTIENT(((c_TMAP3IN)-(c_TMAP2IN)),2)),((c_TMAP3IN)-(c_TMAP2IN)))+(c_TMAP2OUT)+IF(((c_TMAP3OUT)-(c_TMAP2OUT))&gt;=0,IF(IF(o_WRAP=1,MOD(((c_TMAP3IN)-(c_TMAP2IN))*(((A827)-(c_TMAP2IN))*((c_TMAP3OUT)-(c_TMAP2OUT))+IF(((c_TMAP3OUT)-(c_TMAP2OUT))&gt;=0,1,-1)*QUOTIENT(((c_TMAP3IN)-(c_TMAP2IN)),2))+2147483648,4294967296)-2147483648,((c_TMAP3IN)-(c_TMAP2IN))*(((A827)-(c_TMAP2IN))*((c_TMAP3OUT)-(c_TMAP2OUT))+IF(((c_TMAP3OUT)-(c_TMAP2OUT))&gt;=0,1,-1)*QUOTIENT(((c_TMAP3IN)-(c_TMAP2IN)),2)))&lt;0,-1,0),IF(IF(o_WRAP=1,MOD(((c_TMAP3IN)-(c_TMAP2IN))*(((A827)-(c_TMAP2IN))*((c_TMAP3OUT)-(c_TMAP2OUT))+IF(((c_TMAP3OUT)-(c_TMAP2OUT))&gt;=0,1,-1)*QUOTIENT(((c_TMAP3IN)-(c_TMAP2IN)),2))+2147483648,4294967296)-2147483648,((c_TMAP3IN)-(c_TMAP2IN))*(((A827)-(c_TMAP2IN))*((c_TMAP3OUT)-(c_TMAP2OUT))+IF(((c_TMAP3OUT)-(c_TMAP2OUT))&gt;=0,1,-1)*QUOTIENT(((c_TMAP3IN)-(c_TMAP2IN)),2)))&gt;=0,1,0)))</f>
        <v>530</v>
      </c>
      <c r="G827" s="7" t="n">
        <f aca="false">IF(((1000)-(c_TMAP3IN))=0,(c_TMAP3OUT)+QUOTIENT(((1000)-(c_TMAP3OUT)),2),QUOTIENT((((A827)-(c_TMAP3IN))*((1000)-(c_TMAP3OUT))+IF(((1000)-(c_TMAP3OUT))&gt;=0,1,-1)*QUOTIENT(((1000)-(c_TMAP3IN)),2)),((1000)-(c_TMAP3IN)))+(c_TMAP3OUT)+IF(((1000)-(c_TMAP3OUT))&gt;=0,IF(IF(o_WRAP=1,MOD(((1000)-(c_TMAP3IN))*(((A827)-(c_TMAP3IN))*((1000)-(c_TMAP3OUT))+IF(((1000)-(c_TMAP3OUT))&gt;=0,1,-1)*QUOTIENT(((1000)-(c_TMAP3IN)),2))+2147483648,4294967296)-2147483648,((1000)-(c_TMAP3IN))*(((A827)-(c_TMAP3IN))*((1000)-(c_TMAP3OUT))+IF(((1000)-(c_TMAP3OUT))&gt;=0,1,-1)*QUOTIENT(((1000)-(c_TMAP3IN)),2)))&lt;0,-1,0),IF(IF(o_WRAP=1,MOD(((1000)-(c_TMAP3IN))*(((A827)-(c_TMAP3IN))*((1000)-(c_TMAP3OUT))+IF(((1000)-(c_TMAP3OUT))&gt;=0,1,-1)*QUOTIENT(((1000)-(c_TMAP3IN)),2))+2147483648,4294967296)-2147483648,((1000)-(c_TMAP3IN))*(((A827)-(c_TMAP3IN))*((1000)-(c_TMAP3OUT))+IF(((1000)-(c_TMAP3OUT))&gt;=0,1,-1)*QUOTIENT(((1000)-(c_TMAP3IN)),2)))&gt;=0,1,0)))</f>
        <v>781</v>
      </c>
      <c r="H827" s="7" t="str">
        <f aca="false">IF(A827&gt;=c_TFWD,IF(AND(A827&gt;=c_TMAP3IN,c_TMAP3IN&lt;1000),"Seg4 map3-100%",IF(AND(A827&gt;=c_TMAP2IN,c_TMAP3IN&gt;c_TMAP2IN),"Seg3 map2-map3",IF(AND(A827&gt;=c_TMAP1IN,c_TMAP2IN&gt;c_TMAP1IN),"Seg2 map1-map2","Seg1 TFWD-map1"))),IF(AND(A827=0,c_TCREEP&gt;0),"Creep",IF(AND(A827&lt;=c_TRNGMIN,A827&gt;=c_TRNGMAX,c_TRNGMIN-c_TRNGMAX&lt;&gt;0),"Regen ramp","Coast (0)")))</f>
        <v>Seg4 map3-100%</v>
      </c>
      <c r="I827" s="7" t="n">
        <f aca="false">IF(A827&gt;=c_TFWD,IF(AND(A827&gt;=c_TMAP3IN,c_TMAP3IN&lt;1000),G827,IF(AND(A827&gt;=c_TMAP2IN,c_TMAP3IN&gt;c_TMAP2IN),F827,IF(AND(A827&gt;=c_TMAP1IN,c_TMAP2IN&gt;c_TMAP1IN),E827,D827))),C827)</f>
        <v>781</v>
      </c>
      <c r="J827" s="7" t="str">
        <f aca="false">IF(I827&lt;-1090,"TOO LOW",IF(I827&gt;1090,"TOO HIGH",""))</f>
        <v/>
      </c>
      <c r="K827" s="15" t="n">
        <f aca="false">IF(J827&lt;&gt;"",0,IF(I827&gt;979,1000,I827))</f>
        <v>781</v>
      </c>
      <c r="L827" s="7" t="n">
        <f aca="false">K827/10</f>
        <v>78.1</v>
      </c>
    </row>
    <row r="828" customFormat="false" ht="15" hidden="false" customHeight="false" outlineLevel="0" collapsed="false">
      <c r="A828" s="7" t="n">
        <v>823</v>
      </c>
      <c r="B828" s="7" t="n">
        <f aca="false">A828/10</f>
        <v>82.3</v>
      </c>
      <c r="C828" s="7" t="n">
        <f aca="false">IF(AND(A828=0,c_TCREEP&gt;0),10*c_TCREEP,IF(AND(A828&lt;=c_TRNGMIN,A828&gt;=c_TRNGMAX,c_TRNGMIN-c_TRNGMAX&lt;&gt;0),-10*c_TMINRN+QUOTIENT((c_TMAXRN-c_TMINRN)*(100-QUOTIENT((A828-c_TRNGMAX)*100,c_TRNGMIN-c_TRNGMAX)),-10),0))</f>
        <v>0</v>
      </c>
      <c r="D828" s="7" t="n">
        <f aca="false">IF(((c_TMAP1IN)-(c_TFWD))=0,(0)+QUOTIENT(((c_TMAP1OUT)-(0)),2),QUOTIENT((((A828)-(c_TFWD))*((c_TMAP1OUT)-(0))+IF(((c_TMAP1OUT)-(0))&gt;=0,1,-1)*QUOTIENT(((c_TMAP1IN)-(c_TFWD)),2)),((c_TMAP1IN)-(c_TFWD)))+(0)+IF(((c_TMAP1OUT)-(0))&gt;=0,IF(IF(o_WRAP=1,MOD(((c_TMAP1IN)-(c_TFWD))*(((A828)-(c_TFWD))*((c_TMAP1OUT)-(0))+IF(((c_TMAP1OUT)-(0))&gt;=0,1,-1)*QUOTIENT(((c_TMAP1IN)-(c_TFWD)),2))+2147483648,4294967296)-2147483648,((c_TMAP1IN)-(c_TFWD))*(((A828)-(c_TFWD))*((c_TMAP1OUT)-(0))+IF(((c_TMAP1OUT)-(0))&gt;=0,1,-1)*QUOTIENT(((c_TMAP1IN)-(c_TFWD)),2)))&lt;0,-1,0),IF(IF(o_WRAP=1,MOD(((c_TMAP1IN)-(c_TFWD))*(((A828)-(c_TFWD))*((c_TMAP1OUT)-(0))+IF(((c_TMAP1OUT)-(0))&gt;=0,1,-1)*QUOTIENT(((c_TMAP1IN)-(c_TFWD)),2))+2147483648,4294967296)-2147483648,((c_TMAP1IN)-(c_TFWD))*(((A828)-(c_TFWD))*((c_TMAP1OUT)-(0))+IF(((c_TMAP1OUT)-(0))&gt;=0,1,-1)*QUOTIENT(((c_TMAP1IN)-(c_TFWD)),2)))&gt;=0,1,0)))</f>
        <v>632</v>
      </c>
      <c r="E828" s="7" t="n">
        <f aca="false">IF(((c_TMAP2IN)-(c_TMAP1IN))=0,(c_TMAP1OUT)+QUOTIENT(((c_TMAP2OUT)-(c_TMAP1OUT)),2),QUOTIENT((((A828)-(c_TMAP1IN))*((c_TMAP2OUT)-(c_TMAP1OUT))+IF(((c_TMAP2OUT)-(c_TMAP1OUT))&gt;=0,1,-1)*QUOTIENT(((c_TMAP2IN)-(c_TMAP1IN)),2)),((c_TMAP2IN)-(c_TMAP1IN)))+(c_TMAP1OUT)+IF(((c_TMAP2OUT)-(c_TMAP1OUT))&gt;=0,IF(IF(o_WRAP=1,MOD(((c_TMAP2IN)-(c_TMAP1IN))*(((A828)-(c_TMAP1IN))*((c_TMAP2OUT)-(c_TMAP1OUT))+IF(((c_TMAP2OUT)-(c_TMAP1OUT))&gt;=0,1,-1)*QUOTIENT(((c_TMAP2IN)-(c_TMAP1IN)),2))+2147483648,4294967296)-2147483648,((c_TMAP2IN)-(c_TMAP1IN))*(((A828)-(c_TMAP1IN))*((c_TMAP2OUT)-(c_TMAP1OUT))+IF(((c_TMAP2OUT)-(c_TMAP1OUT))&gt;=0,1,-1)*QUOTIENT(((c_TMAP2IN)-(c_TMAP1IN)),2)))&lt;0,-1,0),IF(IF(o_WRAP=1,MOD(((c_TMAP2IN)-(c_TMAP1IN))*(((A828)-(c_TMAP1IN))*((c_TMAP2OUT)-(c_TMAP1OUT))+IF(((c_TMAP2OUT)-(c_TMAP1OUT))&gt;=0,1,-1)*QUOTIENT(((c_TMAP2IN)-(c_TMAP1IN)),2))+2147483648,4294967296)-2147483648,((c_TMAP2IN)-(c_TMAP1IN))*(((A828)-(c_TMAP1IN))*((c_TMAP2OUT)-(c_TMAP1OUT))+IF(((c_TMAP2OUT)-(c_TMAP1OUT))&gt;=0,1,-1)*QUOTIENT(((c_TMAP2IN)-(c_TMAP1IN)),2)))&gt;=0,1,0)))</f>
        <v>359</v>
      </c>
      <c r="F828" s="7" t="n">
        <f aca="false">IF(((c_TMAP3IN)-(c_TMAP2IN))=0,(c_TMAP2OUT)+QUOTIENT(((c_TMAP3OUT)-(c_TMAP2OUT)),2),QUOTIENT((((A828)-(c_TMAP2IN))*((c_TMAP3OUT)-(c_TMAP2OUT))+IF(((c_TMAP3OUT)-(c_TMAP2OUT))&gt;=0,1,-1)*QUOTIENT(((c_TMAP3IN)-(c_TMAP2IN)),2)),((c_TMAP3IN)-(c_TMAP2IN)))+(c_TMAP2OUT)+IF(((c_TMAP3OUT)-(c_TMAP2OUT))&gt;=0,IF(IF(o_WRAP=1,MOD(((c_TMAP3IN)-(c_TMAP2IN))*(((A828)-(c_TMAP2IN))*((c_TMAP3OUT)-(c_TMAP2OUT))+IF(((c_TMAP3OUT)-(c_TMAP2OUT))&gt;=0,1,-1)*QUOTIENT(((c_TMAP3IN)-(c_TMAP2IN)),2))+2147483648,4294967296)-2147483648,((c_TMAP3IN)-(c_TMAP2IN))*(((A828)-(c_TMAP2IN))*((c_TMAP3OUT)-(c_TMAP2OUT))+IF(((c_TMAP3OUT)-(c_TMAP2OUT))&gt;=0,1,-1)*QUOTIENT(((c_TMAP3IN)-(c_TMAP2IN)),2)))&lt;0,-1,0),IF(IF(o_WRAP=1,MOD(((c_TMAP3IN)-(c_TMAP2IN))*(((A828)-(c_TMAP2IN))*((c_TMAP3OUT)-(c_TMAP2OUT))+IF(((c_TMAP3OUT)-(c_TMAP2OUT))&gt;=0,1,-1)*QUOTIENT(((c_TMAP3IN)-(c_TMAP2IN)),2))+2147483648,4294967296)-2147483648,((c_TMAP3IN)-(c_TMAP2IN))*(((A828)-(c_TMAP2IN))*((c_TMAP3OUT)-(c_TMAP2OUT))+IF(((c_TMAP3OUT)-(c_TMAP2OUT))&gt;=0,1,-1)*QUOTIENT(((c_TMAP3IN)-(c_TMAP2IN)),2)))&gt;=0,1,0)))</f>
        <v>531</v>
      </c>
      <c r="G828" s="7" t="n">
        <f aca="false">IF(((1000)-(c_TMAP3IN))=0,(c_TMAP3OUT)+QUOTIENT(((1000)-(c_TMAP3OUT)),2),QUOTIENT((((A828)-(c_TMAP3IN))*((1000)-(c_TMAP3OUT))+IF(((1000)-(c_TMAP3OUT))&gt;=0,1,-1)*QUOTIENT(((1000)-(c_TMAP3IN)),2)),((1000)-(c_TMAP3IN)))+(c_TMAP3OUT)+IF(((1000)-(c_TMAP3OUT))&gt;=0,IF(IF(o_WRAP=1,MOD(((1000)-(c_TMAP3IN))*(((A828)-(c_TMAP3IN))*((1000)-(c_TMAP3OUT))+IF(((1000)-(c_TMAP3OUT))&gt;=0,1,-1)*QUOTIENT(((1000)-(c_TMAP3IN)),2))+2147483648,4294967296)-2147483648,((1000)-(c_TMAP3IN))*(((A828)-(c_TMAP3IN))*((1000)-(c_TMAP3OUT))+IF(((1000)-(c_TMAP3OUT))&gt;=0,1,-1)*QUOTIENT(((1000)-(c_TMAP3IN)),2)))&lt;0,-1,0),IF(IF(o_WRAP=1,MOD(((1000)-(c_TMAP3IN))*(((A828)-(c_TMAP3IN))*((1000)-(c_TMAP3OUT))+IF(((1000)-(c_TMAP3OUT))&gt;=0,1,-1)*QUOTIENT(((1000)-(c_TMAP3IN)),2))+2147483648,4294967296)-2147483648,((1000)-(c_TMAP3IN))*(((A828)-(c_TMAP3IN))*((1000)-(c_TMAP3OUT))+IF(((1000)-(c_TMAP3OUT))&gt;=0,1,-1)*QUOTIENT(((1000)-(c_TMAP3IN)),2)))&gt;=0,1,0)))</f>
        <v>782</v>
      </c>
      <c r="H828" s="7" t="str">
        <f aca="false">IF(A828&gt;=c_TFWD,IF(AND(A828&gt;=c_TMAP3IN,c_TMAP3IN&lt;1000),"Seg4 map3-100%",IF(AND(A828&gt;=c_TMAP2IN,c_TMAP3IN&gt;c_TMAP2IN),"Seg3 map2-map3",IF(AND(A828&gt;=c_TMAP1IN,c_TMAP2IN&gt;c_TMAP1IN),"Seg2 map1-map2","Seg1 TFWD-map1"))),IF(AND(A828=0,c_TCREEP&gt;0),"Creep",IF(AND(A828&lt;=c_TRNGMIN,A828&gt;=c_TRNGMAX,c_TRNGMIN-c_TRNGMAX&lt;&gt;0),"Regen ramp","Coast (0)")))</f>
        <v>Seg4 map3-100%</v>
      </c>
      <c r="I828" s="7" t="n">
        <f aca="false">IF(A828&gt;=c_TFWD,IF(AND(A828&gt;=c_TMAP3IN,c_TMAP3IN&lt;1000),G828,IF(AND(A828&gt;=c_TMAP2IN,c_TMAP3IN&gt;c_TMAP2IN),F828,IF(AND(A828&gt;=c_TMAP1IN,c_TMAP2IN&gt;c_TMAP1IN),E828,D828))),C828)</f>
        <v>782</v>
      </c>
      <c r="J828" s="7" t="str">
        <f aca="false">IF(I828&lt;-1090,"TOO LOW",IF(I828&gt;1090,"TOO HIGH",""))</f>
        <v/>
      </c>
      <c r="K828" s="15" t="n">
        <f aca="false">IF(J828&lt;&gt;"",0,IF(I828&gt;979,1000,I828))</f>
        <v>782</v>
      </c>
      <c r="L828" s="7" t="n">
        <f aca="false">K828/10</f>
        <v>78.2</v>
      </c>
    </row>
    <row r="829" customFormat="false" ht="15" hidden="false" customHeight="false" outlineLevel="0" collapsed="false">
      <c r="A829" s="7" t="n">
        <v>824</v>
      </c>
      <c r="B829" s="7" t="n">
        <f aca="false">A829/10</f>
        <v>82.4</v>
      </c>
      <c r="C829" s="7" t="n">
        <f aca="false">IF(AND(A829=0,c_TCREEP&gt;0),10*c_TCREEP,IF(AND(A829&lt;=c_TRNGMIN,A829&gt;=c_TRNGMAX,c_TRNGMIN-c_TRNGMAX&lt;&gt;0),-10*c_TMINRN+QUOTIENT((c_TMAXRN-c_TMINRN)*(100-QUOTIENT((A829-c_TRNGMAX)*100,c_TRNGMIN-c_TRNGMAX)),-10),0))</f>
        <v>0</v>
      </c>
      <c r="D829" s="7" t="n">
        <f aca="false">IF(((c_TMAP1IN)-(c_TFWD))=0,(0)+QUOTIENT(((c_TMAP1OUT)-(0)),2),QUOTIENT((((A829)-(c_TFWD))*((c_TMAP1OUT)-(0))+IF(((c_TMAP1OUT)-(0))&gt;=0,1,-1)*QUOTIENT(((c_TMAP1IN)-(c_TFWD)),2)),((c_TMAP1IN)-(c_TFWD)))+(0)+IF(((c_TMAP1OUT)-(0))&gt;=0,IF(IF(o_WRAP=1,MOD(((c_TMAP1IN)-(c_TFWD))*(((A829)-(c_TFWD))*((c_TMAP1OUT)-(0))+IF(((c_TMAP1OUT)-(0))&gt;=0,1,-1)*QUOTIENT(((c_TMAP1IN)-(c_TFWD)),2))+2147483648,4294967296)-2147483648,((c_TMAP1IN)-(c_TFWD))*(((A829)-(c_TFWD))*((c_TMAP1OUT)-(0))+IF(((c_TMAP1OUT)-(0))&gt;=0,1,-1)*QUOTIENT(((c_TMAP1IN)-(c_TFWD)),2)))&lt;0,-1,0),IF(IF(o_WRAP=1,MOD(((c_TMAP1IN)-(c_TFWD))*(((A829)-(c_TFWD))*((c_TMAP1OUT)-(0))+IF(((c_TMAP1OUT)-(0))&gt;=0,1,-1)*QUOTIENT(((c_TMAP1IN)-(c_TFWD)),2))+2147483648,4294967296)-2147483648,((c_TMAP1IN)-(c_TFWD))*(((A829)-(c_TFWD))*((c_TMAP1OUT)-(0))+IF(((c_TMAP1OUT)-(0))&gt;=0,1,-1)*QUOTIENT(((c_TMAP1IN)-(c_TFWD)),2)))&gt;=0,1,0)))</f>
        <v>633</v>
      </c>
      <c r="E829" s="7" t="n">
        <f aca="false">IF(((c_TMAP2IN)-(c_TMAP1IN))=0,(c_TMAP1OUT)+QUOTIENT(((c_TMAP2OUT)-(c_TMAP1OUT)),2),QUOTIENT((((A829)-(c_TMAP1IN))*((c_TMAP2OUT)-(c_TMAP1OUT))+IF(((c_TMAP2OUT)-(c_TMAP1OUT))&gt;=0,1,-1)*QUOTIENT(((c_TMAP2IN)-(c_TMAP1IN)),2)),((c_TMAP2IN)-(c_TMAP1IN)))+(c_TMAP1OUT)+IF(((c_TMAP2OUT)-(c_TMAP1OUT))&gt;=0,IF(IF(o_WRAP=1,MOD(((c_TMAP2IN)-(c_TMAP1IN))*(((A829)-(c_TMAP1IN))*((c_TMAP2OUT)-(c_TMAP1OUT))+IF(((c_TMAP2OUT)-(c_TMAP1OUT))&gt;=0,1,-1)*QUOTIENT(((c_TMAP2IN)-(c_TMAP1IN)),2))+2147483648,4294967296)-2147483648,((c_TMAP2IN)-(c_TMAP1IN))*(((A829)-(c_TMAP1IN))*((c_TMAP2OUT)-(c_TMAP1OUT))+IF(((c_TMAP2OUT)-(c_TMAP1OUT))&gt;=0,1,-1)*QUOTIENT(((c_TMAP2IN)-(c_TMAP1IN)),2)))&lt;0,-1,0),IF(IF(o_WRAP=1,MOD(((c_TMAP2IN)-(c_TMAP1IN))*(((A829)-(c_TMAP1IN))*((c_TMAP2OUT)-(c_TMAP1OUT))+IF(((c_TMAP2OUT)-(c_TMAP1OUT))&gt;=0,1,-1)*QUOTIENT(((c_TMAP2IN)-(c_TMAP1IN)),2))+2147483648,4294967296)-2147483648,((c_TMAP2IN)-(c_TMAP1IN))*(((A829)-(c_TMAP1IN))*((c_TMAP2OUT)-(c_TMAP1OUT))+IF(((c_TMAP2OUT)-(c_TMAP1OUT))&gt;=0,1,-1)*QUOTIENT(((c_TMAP2IN)-(c_TMAP1IN)),2)))&gt;=0,1,0)))</f>
        <v>360</v>
      </c>
      <c r="F829" s="7" t="n">
        <f aca="false">IF(((c_TMAP3IN)-(c_TMAP2IN))=0,(c_TMAP2OUT)+QUOTIENT(((c_TMAP3OUT)-(c_TMAP2OUT)),2),QUOTIENT((((A829)-(c_TMAP2IN))*((c_TMAP3OUT)-(c_TMAP2OUT))+IF(((c_TMAP3OUT)-(c_TMAP2OUT))&gt;=0,1,-1)*QUOTIENT(((c_TMAP3IN)-(c_TMAP2IN)),2)),((c_TMAP3IN)-(c_TMAP2IN)))+(c_TMAP2OUT)+IF(((c_TMAP3OUT)-(c_TMAP2OUT))&gt;=0,IF(IF(o_WRAP=1,MOD(((c_TMAP3IN)-(c_TMAP2IN))*(((A829)-(c_TMAP2IN))*((c_TMAP3OUT)-(c_TMAP2OUT))+IF(((c_TMAP3OUT)-(c_TMAP2OUT))&gt;=0,1,-1)*QUOTIENT(((c_TMAP3IN)-(c_TMAP2IN)),2))+2147483648,4294967296)-2147483648,((c_TMAP3IN)-(c_TMAP2IN))*(((A829)-(c_TMAP2IN))*((c_TMAP3OUT)-(c_TMAP2OUT))+IF(((c_TMAP3OUT)-(c_TMAP2OUT))&gt;=0,1,-1)*QUOTIENT(((c_TMAP3IN)-(c_TMAP2IN)),2)))&lt;0,-1,0),IF(IF(o_WRAP=1,MOD(((c_TMAP3IN)-(c_TMAP2IN))*(((A829)-(c_TMAP2IN))*((c_TMAP3OUT)-(c_TMAP2OUT))+IF(((c_TMAP3OUT)-(c_TMAP2OUT))&gt;=0,1,-1)*QUOTIENT(((c_TMAP3IN)-(c_TMAP2IN)),2))+2147483648,4294967296)-2147483648,((c_TMAP3IN)-(c_TMAP2IN))*(((A829)-(c_TMAP2IN))*((c_TMAP3OUT)-(c_TMAP2OUT))+IF(((c_TMAP3OUT)-(c_TMAP2OUT))&gt;=0,1,-1)*QUOTIENT(((c_TMAP3IN)-(c_TMAP2IN)),2)))&gt;=0,1,0)))</f>
        <v>532</v>
      </c>
      <c r="G829" s="7" t="n">
        <f aca="false">IF(((1000)-(c_TMAP3IN))=0,(c_TMAP3OUT)+QUOTIENT(((1000)-(c_TMAP3OUT)),2),QUOTIENT((((A829)-(c_TMAP3IN))*((1000)-(c_TMAP3OUT))+IF(((1000)-(c_TMAP3OUT))&gt;=0,1,-1)*QUOTIENT(((1000)-(c_TMAP3IN)),2)),((1000)-(c_TMAP3IN)))+(c_TMAP3OUT)+IF(((1000)-(c_TMAP3OUT))&gt;=0,IF(IF(o_WRAP=1,MOD(((1000)-(c_TMAP3IN))*(((A829)-(c_TMAP3IN))*((1000)-(c_TMAP3OUT))+IF(((1000)-(c_TMAP3OUT))&gt;=0,1,-1)*QUOTIENT(((1000)-(c_TMAP3IN)),2))+2147483648,4294967296)-2147483648,((1000)-(c_TMAP3IN))*(((A829)-(c_TMAP3IN))*((1000)-(c_TMAP3OUT))+IF(((1000)-(c_TMAP3OUT))&gt;=0,1,-1)*QUOTIENT(((1000)-(c_TMAP3IN)),2)))&lt;0,-1,0),IF(IF(o_WRAP=1,MOD(((1000)-(c_TMAP3IN))*(((A829)-(c_TMAP3IN))*((1000)-(c_TMAP3OUT))+IF(((1000)-(c_TMAP3OUT))&gt;=0,1,-1)*QUOTIENT(((1000)-(c_TMAP3IN)),2))+2147483648,4294967296)-2147483648,((1000)-(c_TMAP3IN))*(((A829)-(c_TMAP3IN))*((1000)-(c_TMAP3OUT))+IF(((1000)-(c_TMAP3OUT))&gt;=0,1,-1)*QUOTIENT(((1000)-(c_TMAP3IN)),2)))&gt;=0,1,0)))</f>
        <v>783</v>
      </c>
      <c r="H829" s="7" t="str">
        <f aca="false">IF(A829&gt;=c_TFWD,IF(AND(A829&gt;=c_TMAP3IN,c_TMAP3IN&lt;1000),"Seg4 map3-100%",IF(AND(A829&gt;=c_TMAP2IN,c_TMAP3IN&gt;c_TMAP2IN),"Seg3 map2-map3",IF(AND(A829&gt;=c_TMAP1IN,c_TMAP2IN&gt;c_TMAP1IN),"Seg2 map1-map2","Seg1 TFWD-map1"))),IF(AND(A829=0,c_TCREEP&gt;0),"Creep",IF(AND(A829&lt;=c_TRNGMIN,A829&gt;=c_TRNGMAX,c_TRNGMIN-c_TRNGMAX&lt;&gt;0),"Regen ramp","Coast (0)")))</f>
        <v>Seg4 map3-100%</v>
      </c>
      <c r="I829" s="7" t="n">
        <f aca="false">IF(A829&gt;=c_TFWD,IF(AND(A829&gt;=c_TMAP3IN,c_TMAP3IN&lt;1000),G829,IF(AND(A829&gt;=c_TMAP2IN,c_TMAP3IN&gt;c_TMAP2IN),F829,IF(AND(A829&gt;=c_TMAP1IN,c_TMAP2IN&gt;c_TMAP1IN),E829,D829))),C829)</f>
        <v>783</v>
      </c>
      <c r="J829" s="7" t="str">
        <f aca="false">IF(I829&lt;-1090,"TOO LOW",IF(I829&gt;1090,"TOO HIGH",""))</f>
        <v/>
      </c>
      <c r="K829" s="15" t="n">
        <f aca="false">IF(J829&lt;&gt;"",0,IF(I829&gt;979,1000,I829))</f>
        <v>783</v>
      </c>
      <c r="L829" s="7" t="n">
        <f aca="false">K829/10</f>
        <v>78.3</v>
      </c>
    </row>
    <row r="830" customFormat="false" ht="15" hidden="false" customHeight="false" outlineLevel="0" collapsed="false">
      <c r="A830" s="7" t="n">
        <v>825</v>
      </c>
      <c r="B830" s="7" t="n">
        <f aca="false">A830/10</f>
        <v>82.5</v>
      </c>
      <c r="C830" s="7" t="n">
        <f aca="false">IF(AND(A830=0,c_TCREEP&gt;0),10*c_TCREEP,IF(AND(A830&lt;=c_TRNGMIN,A830&gt;=c_TRNGMAX,c_TRNGMIN-c_TRNGMAX&lt;&gt;0),-10*c_TMINRN+QUOTIENT((c_TMAXRN-c_TMINRN)*(100-QUOTIENT((A830-c_TRNGMAX)*100,c_TRNGMIN-c_TRNGMAX)),-10),0))</f>
        <v>0</v>
      </c>
      <c r="D830" s="7" t="n">
        <f aca="false">IF(((c_TMAP1IN)-(c_TFWD))=0,(0)+QUOTIENT(((c_TMAP1OUT)-(0)),2),QUOTIENT((((A830)-(c_TFWD))*((c_TMAP1OUT)-(0))+IF(((c_TMAP1OUT)-(0))&gt;=0,1,-1)*QUOTIENT(((c_TMAP1IN)-(c_TFWD)),2)),((c_TMAP1IN)-(c_TFWD)))+(0)+IF(((c_TMAP1OUT)-(0))&gt;=0,IF(IF(o_WRAP=1,MOD(((c_TMAP1IN)-(c_TFWD))*(((A830)-(c_TFWD))*((c_TMAP1OUT)-(0))+IF(((c_TMAP1OUT)-(0))&gt;=0,1,-1)*QUOTIENT(((c_TMAP1IN)-(c_TFWD)),2))+2147483648,4294967296)-2147483648,((c_TMAP1IN)-(c_TFWD))*(((A830)-(c_TFWD))*((c_TMAP1OUT)-(0))+IF(((c_TMAP1OUT)-(0))&gt;=0,1,-1)*QUOTIENT(((c_TMAP1IN)-(c_TFWD)),2)))&lt;0,-1,0),IF(IF(o_WRAP=1,MOD(((c_TMAP1IN)-(c_TFWD))*(((A830)-(c_TFWD))*((c_TMAP1OUT)-(0))+IF(((c_TMAP1OUT)-(0))&gt;=0,1,-1)*QUOTIENT(((c_TMAP1IN)-(c_TFWD)),2))+2147483648,4294967296)-2147483648,((c_TMAP1IN)-(c_TFWD))*(((A830)-(c_TFWD))*((c_TMAP1OUT)-(0))+IF(((c_TMAP1OUT)-(0))&gt;=0,1,-1)*QUOTIENT(((c_TMAP1IN)-(c_TFWD)),2)))&gt;=0,1,0)))</f>
        <v>634</v>
      </c>
      <c r="E830" s="7" t="n">
        <f aca="false">IF(((c_TMAP2IN)-(c_TMAP1IN))=0,(c_TMAP1OUT)+QUOTIENT(((c_TMAP2OUT)-(c_TMAP1OUT)),2),QUOTIENT((((A830)-(c_TMAP1IN))*((c_TMAP2OUT)-(c_TMAP1OUT))+IF(((c_TMAP2OUT)-(c_TMAP1OUT))&gt;=0,1,-1)*QUOTIENT(((c_TMAP2IN)-(c_TMAP1IN)),2)),((c_TMAP2IN)-(c_TMAP1IN)))+(c_TMAP1OUT)+IF(((c_TMAP2OUT)-(c_TMAP1OUT))&gt;=0,IF(IF(o_WRAP=1,MOD(((c_TMAP2IN)-(c_TMAP1IN))*(((A830)-(c_TMAP1IN))*((c_TMAP2OUT)-(c_TMAP1OUT))+IF(((c_TMAP2OUT)-(c_TMAP1OUT))&gt;=0,1,-1)*QUOTIENT(((c_TMAP2IN)-(c_TMAP1IN)),2))+2147483648,4294967296)-2147483648,((c_TMAP2IN)-(c_TMAP1IN))*(((A830)-(c_TMAP1IN))*((c_TMAP2OUT)-(c_TMAP1OUT))+IF(((c_TMAP2OUT)-(c_TMAP1OUT))&gt;=0,1,-1)*QUOTIENT(((c_TMAP2IN)-(c_TMAP1IN)),2)))&lt;0,-1,0),IF(IF(o_WRAP=1,MOD(((c_TMAP2IN)-(c_TMAP1IN))*(((A830)-(c_TMAP1IN))*((c_TMAP2OUT)-(c_TMAP1OUT))+IF(((c_TMAP2OUT)-(c_TMAP1OUT))&gt;=0,1,-1)*QUOTIENT(((c_TMAP2IN)-(c_TMAP1IN)),2))+2147483648,4294967296)-2147483648,((c_TMAP2IN)-(c_TMAP1IN))*(((A830)-(c_TMAP1IN))*((c_TMAP2OUT)-(c_TMAP1OUT))+IF(((c_TMAP2OUT)-(c_TMAP1OUT))&gt;=0,1,-1)*QUOTIENT(((c_TMAP2IN)-(c_TMAP1IN)),2)))&gt;=0,1,0)))</f>
        <v>360</v>
      </c>
      <c r="F830" s="7" t="n">
        <f aca="false">IF(((c_TMAP3IN)-(c_TMAP2IN))=0,(c_TMAP2OUT)+QUOTIENT(((c_TMAP3OUT)-(c_TMAP2OUT)),2),QUOTIENT((((A830)-(c_TMAP2IN))*((c_TMAP3OUT)-(c_TMAP2OUT))+IF(((c_TMAP3OUT)-(c_TMAP2OUT))&gt;=0,1,-1)*QUOTIENT(((c_TMAP3IN)-(c_TMAP2IN)),2)),((c_TMAP3IN)-(c_TMAP2IN)))+(c_TMAP2OUT)+IF(((c_TMAP3OUT)-(c_TMAP2OUT))&gt;=0,IF(IF(o_WRAP=1,MOD(((c_TMAP3IN)-(c_TMAP2IN))*(((A830)-(c_TMAP2IN))*((c_TMAP3OUT)-(c_TMAP2OUT))+IF(((c_TMAP3OUT)-(c_TMAP2OUT))&gt;=0,1,-1)*QUOTIENT(((c_TMAP3IN)-(c_TMAP2IN)),2))+2147483648,4294967296)-2147483648,((c_TMAP3IN)-(c_TMAP2IN))*(((A830)-(c_TMAP2IN))*((c_TMAP3OUT)-(c_TMAP2OUT))+IF(((c_TMAP3OUT)-(c_TMAP2OUT))&gt;=0,1,-1)*QUOTIENT(((c_TMAP3IN)-(c_TMAP2IN)),2)))&lt;0,-1,0),IF(IF(o_WRAP=1,MOD(((c_TMAP3IN)-(c_TMAP2IN))*(((A830)-(c_TMAP2IN))*((c_TMAP3OUT)-(c_TMAP2OUT))+IF(((c_TMAP3OUT)-(c_TMAP2OUT))&gt;=0,1,-1)*QUOTIENT(((c_TMAP3IN)-(c_TMAP2IN)),2))+2147483648,4294967296)-2147483648,((c_TMAP3IN)-(c_TMAP2IN))*(((A830)-(c_TMAP2IN))*((c_TMAP3OUT)-(c_TMAP2OUT))+IF(((c_TMAP3OUT)-(c_TMAP2OUT))&gt;=0,1,-1)*QUOTIENT(((c_TMAP3IN)-(c_TMAP2IN)),2)))&gt;=0,1,0)))</f>
        <v>533</v>
      </c>
      <c r="G830" s="7" t="n">
        <f aca="false">IF(((1000)-(c_TMAP3IN))=0,(c_TMAP3OUT)+QUOTIENT(((1000)-(c_TMAP3OUT)),2),QUOTIENT((((A830)-(c_TMAP3IN))*((1000)-(c_TMAP3OUT))+IF(((1000)-(c_TMAP3OUT))&gt;=0,1,-1)*QUOTIENT(((1000)-(c_TMAP3IN)),2)),((1000)-(c_TMAP3IN)))+(c_TMAP3OUT)+IF(((1000)-(c_TMAP3OUT))&gt;=0,IF(IF(o_WRAP=1,MOD(((1000)-(c_TMAP3IN))*(((A830)-(c_TMAP3IN))*((1000)-(c_TMAP3OUT))+IF(((1000)-(c_TMAP3OUT))&gt;=0,1,-1)*QUOTIENT(((1000)-(c_TMAP3IN)),2))+2147483648,4294967296)-2147483648,((1000)-(c_TMAP3IN))*(((A830)-(c_TMAP3IN))*((1000)-(c_TMAP3OUT))+IF(((1000)-(c_TMAP3OUT))&gt;=0,1,-1)*QUOTIENT(((1000)-(c_TMAP3IN)),2)))&lt;0,-1,0),IF(IF(o_WRAP=1,MOD(((1000)-(c_TMAP3IN))*(((A830)-(c_TMAP3IN))*((1000)-(c_TMAP3OUT))+IF(((1000)-(c_TMAP3OUT))&gt;=0,1,-1)*QUOTIENT(((1000)-(c_TMAP3IN)),2))+2147483648,4294967296)-2147483648,((1000)-(c_TMAP3IN))*(((A830)-(c_TMAP3IN))*((1000)-(c_TMAP3OUT))+IF(((1000)-(c_TMAP3OUT))&gt;=0,1,-1)*QUOTIENT(((1000)-(c_TMAP3IN)),2)))&gt;=0,1,0)))</f>
        <v>785</v>
      </c>
      <c r="H830" s="7" t="str">
        <f aca="false">IF(A830&gt;=c_TFWD,IF(AND(A830&gt;=c_TMAP3IN,c_TMAP3IN&lt;1000),"Seg4 map3-100%",IF(AND(A830&gt;=c_TMAP2IN,c_TMAP3IN&gt;c_TMAP2IN),"Seg3 map2-map3",IF(AND(A830&gt;=c_TMAP1IN,c_TMAP2IN&gt;c_TMAP1IN),"Seg2 map1-map2","Seg1 TFWD-map1"))),IF(AND(A830=0,c_TCREEP&gt;0),"Creep",IF(AND(A830&lt;=c_TRNGMIN,A830&gt;=c_TRNGMAX,c_TRNGMIN-c_TRNGMAX&lt;&gt;0),"Regen ramp","Coast (0)")))</f>
        <v>Seg4 map3-100%</v>
      </c>
      <c r="I830" s="7" t="n">
        <f aca="false">IF(A830&gt;=c_TFWD,IF(AND(A830&gt;=c_TMAP3IN,c_TMAP3IN&lt;1000),G830,IF(AND(A830&gt;=c_TMAP2IN,c_TMAP3IN&gt;c_TMAP2IN),F830,IF(AND(A830&gt;=c_TMAP1IN,c_TMAP2IN&gt;c_TMAP1IN),E830,D830))),C830)</f>
        <v>785</v>
      </c>
      <c r="J830" s="7" t="str">
        <f aca="false">IF(I830&lt;-1090,"TOO LOW",IF(I830&gt;1090,"TOO HIGH",""))</f>
        <v/>
      </c>
      <c r="K830" s="15" t="n">
        <f aca="false">IF(J830&lt;&gt;"",0,IF(I830&gt;979,1000,I830))</f>
        <v>785</v>
      </c>
      <c r="L830" s="7" t="n">
        <f aca="false">K830/10</f>
        <v>78.5</v>
      </c>
    </row>
    <row r="831" customFormat="false" ht="15" hidden="false" customHeight="false" outlineLevel="0" collapsed="false">
      <c r="A831" s="7" t="n">
        <v>826</v>
      </c>
      <c r="B831" s="7" t="n">
        <f aca="false">A831/10</f>
        <v>82.6</v>
      </c>
      <c r="C831" s="7" t="n">
        <f aca="false">IF(AND(A831=0,c_TCREEP&gt;0),10*c_TCREEP,IF(AND(A831&lt;=c_TRNGMIN,A831&gt;=c_TRNGMAX,c_TRNGMIN-c_TRNGMAX&lt;&gt;0),-10*c_TMINRN+QUOTIENT((c_TMAXRN-c_TMINRN)*(100-QUOTIENT((A831-c_TRNGMAX)*100,c_TRNGMIN-c_TRNGMAX)),-10),0))</f>
        <v>0</v>
      </c>
      <c r="D831" s="7" t="n">
        <f aca="false">IF(((c_TMAP1IN)-(c_TFWD))=0,(0)+QUOTIENT(((c_TMAP1OUT)-(0)),2),QUOTIENT((((A831)-(c_TFWD))*((c_TMAP1OUT)-(0))+IF(((c_TMAP1OUT)-(0))&gt;=0,1,-1)*QUOTIENT(((c_TMAP1IN)-(c_TFWD)),2)),((c_TMAP1IN)-(c_TFWD)))+(0)+IF(((c_TMAP1OUT)-(0))&gt;=0,IF(IF(o_WRAP=1,MOD(((c_TMAP1IN)-(c_TFWD))*(((A831)-(c_TFWD))*((c_TMAP1OUT)-(0))+IF(((c_TMAP1OUT)-(0))&gt;=0,1,-1)*QUOTIENT(((c_TMAP1IN)-(c_TFWD)),2))+2147483648,4294967296)-2147483648,((c_TMAP1IN)-(c_TFWD))*(((A831)-(c_TFWD))*((c_TMAP1OUT)-(0))+IF(((c_TMAP1OUT)-(0))&gt;=0,1,-1)*QUOTIENT(((c_TMAP1IN)-(c_TFWD)),2)))&lt;0,-1,0),IF(IF(o_WRAP=1,MOD(((c_TMAP1IN)-(c_TFWD))*(((A831)-(c_TFWD))*((c_TMAP1OUT)-(0))+IF(((c_TMAP1OUT)-(0))&gt;=0,1,-1)*QUOTIENT(((c_TMAP1IN)-(c_TFWD)),2))+2147483648,4294967296)-2147483648,((c_TMAP1IN)-(c_TFWD))*(((A831)-(c_TFWD))*((c_TMAP1OUT)-(0))+IF(((c_TMAP1OUT)-(0))&gt;=0,1,-1)*QUOTIENT(((c_TMAP1IN)-(c_TFWD)),2)))&gt;=0,1,0)))</f>
        <v>635</v>
      </c>
      <c r="E831" s="7" t="n">
        <f aca="false">IF(((c_TMAP2IN)-(c_TMAP1IN))=0,(c_TMAP1OUT)+QUOTIENT(((c_TMAP2OUT)-(c_TMAP1OUT)),2),QUOTIENT((((A831)-(c_TMAP1IN))*((c_TMAP2OUT)-(c_TMAP1OUT))+IF(((c_TMAP2OUT)-(c_TMAP1OUT))&gt;=0,1,-1)*QUOTIENT(((c_TMAP2IN)-(c_TMAP1IN)),2)),((c_TMAP2IN)-(c_TMAP1IN)))+(c_TMAP1OUT)+IF(((c_TMAP2OUT)-(c_TMAP1OUT))&gt;=0,IF(IF(o_WRAP=1,MOD(((c_TMAP2IN)-(c_TMAP1IN))*(((A831)-(c_TMAP1IN))*((c_TMAP2OUT)-(c_TMAP1OUT))+IF(((c_TMAP2OUT)-(c_TMAP1OUT))&gt;=0,1,-1)*QUOTIENT(((c_TMAP2IN)-(c_TMAP1IN)),2))+2147483648,4294967296)-2147483648,((c_TMAP2IN)-(c_TMAP1IN))*(((A831)-(c_TMAP1IN))*((c_TMAP2OUT)-(c_TMAP1OUT))+IF(((c_TMAP2OUT)-(c_TMAP1OUT))&gt;=0,1,-1)*QUOTIENT(((c_TMAP2IN)-(c_TMAP1IN)),2)))&lt;0,-1,0),IF(IF(o_WRAP=1,MOD(((c_TMAP2IN)-(c_TMAP1IN))*(((A831)-(c_TMAP1IN))*((c_TMAP2OUT)-(c_TMAP1OUT))+IF(((c_TMAP2OUT)-(c_TMAP1OUT))&gt;=0,1,-1)*QUOTIENT(((c_TMAP2IN)-(c_TMAP1IN)),2))+2147483648,4294967296)-2147483648,((c_TMAP2IN)-(c_TMAP1IN))*(((A831)-(c_TMAP1IN))*((c_TMAP2OUT)-(c_TMAP1OUT))+IF(((c_TMAP2OUT)-(c_TMAP1OUT))&gt;=0,1,-1)*QUOTIENT(((c_TMAP2IN)-(c_TMAP1IN)),2)))&gt;=0,1,0)))</f>
        <v>360</v>
      </c>
      <c r="F831" s="7" t="n">
        <f aca="false">IF(((c_TMAP3IN)-(c_TMAP2IN))=0,(c_TMAP2OUT)+QUOTIENT(((c_TMAP3OUT)-(c_TMAP2OUT)),2),QUOTIENT((((A831)-(c_TMAP2IN))*((c_TMAP3OUT)-(c_TMAP2OUT))+IF(((c_TMAP3OUT)-(c_TMAP2OUT))&gt;=0,1,-1)*QUOTIENT(((c_TMAP3IN)-(c_TMAP2IN)),2)),((c_TMAP3IN)-(c_TMAP2IN)))+(c_TMAP2OUT)+IF(((c_TMAP3OUT)-(c_TMAP2OUT))&gt;=0,IF(IF(o_WRAP=1,MOD(((c_TMAP3IN)-(c_TMAP2IN))*(((A831)-(c_TMAP2IN))*((c_TMAP3OUT)-(c_TMAP2OUT))+IF(((c_TMAP3OUT)-(c_TMAP2OUT))&gt;=0,1,-1)*QUOTIENT(((c_TMAP3IN)-(c_TMAP2IN)),2))+2147483648,4294967296)-2147483648,((c_TMAP3IN)-(c_TMAP2IN))*(((A831)-(c_TMAP2IN))*((c_TMAP3OUT)-(c_TMAP2OUT))+IF(((c_TMAP3OUT)-(c_TMAP2OUT))&gt;=0,1,-1)*QUOTIENT(((c_TMAP3IN)-(c_TMAP2IN)),2)))&lt;0,-1,0),IF(IF(o_WRAP=1,MOD(((c_TMAP3IN)-(c_TMAP2IN))*(((A831)-(c_TMAP2IN))*((c_TMAP3OUT)-(c_TMAP2OUT))+IF(((c_TMAP3OUT)-(c_TMAP2OUT))&gt;=0,1,-1)*QUOTIENT(((c_TMAP3IN)-(c_TMAP2IN)),2))+2147483648,4294967296)-2147483648,((c_TMAP3IN)-(c_TMAP2IN))*(((A831)-(c_TMAP2IN))*((c_TMAP3OUT)-(c_TMAP2OUT))+IF(((c_TMAP3OUT)-(c_TMAP2OUT))&gt;=0,1,-1)*QUOTIENT(((c_TMAP3IN)-(c_TMAP2IN)),2)))&gt;=0,1,0)))</f>
        <v>533</v>
      </c>
      <c r="G831" s="7" t="n">
        <f aca="false">IF(((1000)-(c_TMAP3IN))=0,(c_TMAP3OUT)+QUOTIENT(((1000)-(c_TMAP3OUT)),2),QUOTIENT((((A831)-(c_TMAP3IN))*((1000)-(c_TMAP3OUT))+IF(((1000)-(c_TMAP3OUT))&gt;=0,1,-1)*QUOTIENT(((1000)-(c_TMAP3IN)),2)),((1000)-(c_TMAP3IN)))+(c_TMAP3OUT)+IF(((1000)-(c_TMAP3OUT))&gt;=0,IF(IF(o_WRAP=1,MOD(((1000)-(c_TMAP3IN))*(((A831)-(c_TMAP3IN))*((1000)-(c_TMAP3OUT))+IF(((1000)-(c_TMAP3OUT))&gt;=0,1,-1)*QUOTIENT(((1000)-(c_TMAP3IN)),2))+2147483648,4294967296)-2147483648,((1000)-(c_TMAP3IN))*(((A831)-(c_TMAP3IN))*((1000)-(c_TMAP3OUT))+IF(((1000)-(c_TMAP3OUT))&gt;=0,1,-1)*QUOTIENT(((1000)-(c_TMAP3IN)),2)))&lt;0,-1,0),IF(IF(o_WRAP=1,MOD(((1000)-(c_TMAP3IN))*(((A831)-(c_TMAP3IN))*((1000)-(c_TMAP3OUT))+IF(((1000)-(c_TMAP3OUT))&gt;=0,1,-1)*QUOTIENT(((1000)-(c_TMAP3IN)),2))+2147483648,4294967296)-2147483648,((1000)-(c_TMAP3IN))*(((A831)-(c_TMAP3IN))*((1000)-(c_TMAP3OUT))+IF(((1000)-(c_TMAP3OUT))&gt;=0,1,-1)*QUOTIENT(((1000)-(c_TMAP3IN)),2)))&gt;=0,1,0)))</f>
        <v>786</v>
      </c>
      <c r="H831" s="7" t="str">
        <f aca="false">IF(A831&gt;=c_TFWD,IF(AND(A831&gt;=c_TMAP3IN,c_TMAP3IN&lt;1000),"Seg4 map3-100%",IF(AND(A831&gt;=c_TMAP2IN,c_TMAP3IN&gt;c_TMAP2IN),"Seg3 map2-map3",IF(AND(A831&gt;=c_TMAP1IN,c_TMAP2IN&gt;c_TMAP1IN),"Seg2 map1-map2","Seg1 TFWD-map1"))),IF(AND(A831=0,c_TCREEP&gt;0),"Creep",IF(AND(A831&lt;=c_TRNGMIN,A831&gt;=c_TRNGMAX,c_TRNGMIN-c_TRNGMAX&lt;&gt;0),"Regen ramp","Coast (0)")))</f>
        <v>Seg4 map3-100%</v>
      </c>
      <c r="I831" s="7" t="n">
        <f aca="false">IF(A831&gt;=c_TFWD,IF(AND(A831&gt;=c_TMAP3IN,c_TMAP3IN&lt;1000),G831,IF(AND(A831&gt;=c_TMAP2IN,c_TMAP3IN&gt;c_TMAP2IN),F831,IF(AND(A831&gt;=c_TMAP1IN,c_TMAP2IN&gt;c_TMAP1IN),E831,D831))),C831)</f>
        <v>786</v>
      </c>
      <c r="J831" s="7" t="str">
        <f aca="false">IF(I831&lt;-1090,"TOO LOW",IF(I831&gt;1090,"TOO HIGH",""))</f>
        <v/>
      </c>
      <c r="K831" s="15" t="n">
        <f aca="false">IF(J831&lt;&gt;"",0,IF(I831&gt;979,1000,I831))</f>
        <v>786</v>
      </c>
      <c r="L831" s="7" t="n">
        <f aca="false">K831/10</f>
        <v>78.6</v>
      </c>
    </row>
    <row r="832" customFormat="false" ht="15" hidden="false" customHeight="false" outlineLevel="0" collapsed="false">
      <c r="A832" s="7" t="n">
        <v>827</v>
      </c>
      <c r="B832" s="7" t="n">
        <f aca="false">A832/10</f>
        <v>82.7</v>
      </c>
      <c r="C832" s="7" t="n">
        <f aca="false">IF(AND(A832=0,c_TCREEP&gt;0),10*c_TCREEP,IF(AND(A832&lt;=c_TRNGMIN,A832&gt;=c_TRNGMAX,c_TRNGMIN-c_TRNGMAX&lt;&gt;0),-10*c_TMINRN+QUOTIENT((c_TMAXRN-c_TMINRN)*(100-QUOTIENT((A832-c_TRNGMAX)*100,c_TRNGMIN-c_TRNGMAX)),-10),0))</f>
        <v>0</v>
      </c>
      <c r="D832" s="7" t="n">
        <f aca="false">IF(((c_TMAP1IN)-(c_TFWD))=0,(0)+QUOTIENT(((c_TMAP1OUT)-(0)),2),QUOTIENT((((A832)-(c_TFWD))*((c_TMAP1OUT)-(0))+IF(((c_TMAP1OUT)-(0))&gt;=0,1,-1)*QUOTIENT(((c_TMAP1IN)-(c_TFWD)),2)),((c_TMAP1IN)-(c_TFWD)))+(0)+IF(((c_TMAP1OUT)-(0))&gt;=0,IF(IF(o_WRAP=1,MOD(((c_TMAP1IN)-(c_TFWD))*(((A832)-(c_TFWD))*((c_TMAP1OUT)-(0))+IF(((c_TMAP1OUT)-(0))&gt;=0,1,-1)*QUOTIENT(((c_TMAP1IN)-(c_TFWD)),2))+2147483648,4294967296)-2147483648,((c_TMAP1IN)-(c_TFWD))*(((A832)-(c_TFWD))*((c_TMAP1OUT)-(0))+IF(((c_TMAP1OUT)-(0))&gt;=0,1,-1)*QUOTIENT(((c_TMAP1IN)-(c_TFWD)),2)))&lt;0,-1,0),IF(IF(o_WRAP=1,MOD(((c_TMAP1IN)-(c_TFWD))*(((A832)-(c_TFWD))*((c_TMAP1OUT)-(0))+IF(((c_TMAP1OUT)-(0))&gt;=0,1,-1)*QUOTIENT(((c_TMAP1IN)-(c_TFWD)),2))+2147483648,4294967296)-2147483648,((c_TMAP1IN)-(c_TFWD))*(((A832)-(c_TFWD))*((c_TMAP1OUT)-(0))+IF(((c_TMAP1OUT)-(0))&gt;=0,1,-1)*QUOTIENT(((c_TMAP1IN)-(c_TFWD)),2)))&gt;=0,1,0)))</f>
        <v>635</v>
      </c>
      <c r="E832" s="7" t="n">
        <f aca="false">IF(((c_TMAP2IN)-(c_TMAP1IN))=0,(c_TMAP1OUT)+QUOTIENT(((c_TMAP2OUT)-(c_TMAP1OUT)),2),QUOTIENT((((A832)-(c_TMAP1IN))*((c_TMAP2OUT)-(c_TMAP1OUT))+IF(((c_TMAP2OUT)-(c_TMAP1OUT))&gt;=0,1,-1)*QUOTIENT(((c_TMAP2IN)-(c_TMAP1IN)),2)),((c_TMAP2IN)-(c_TMAP1IN)))+(c_TMAP1OUT)+IF(((c_TMAP2OUT)-(c_TMAP1OUT))&gt;=0,IF(IF(o_WRAP=1,MOD(((c_TMAP2IN)-(c_TMAP1IN))*(((A832)-(c_TMAP1IN))*((c_TMAP2OUT)-(c_TMAP1OUT))+IF(((c_TMAP2OUT)-(c_TMAP1OUT))&gt;=0,1,-1)*QUOTIENT(((c_TMAP2IN)-(c_TMAP1IN)),2))+2147483648,4294967296)-2147483648,((c_TMAP2IN)-(c_TMAP1IN))*(((A832)-(c_TMAP1IN))*((c_TMAP2OUT)-(c_TMAP1OUT))+IF(((c_TMAP2OUT)-(c_TMAP1OUT))&gt;=0,1,-1)*QUOTIENT(((c_TMAP2IN)-(c_TMAP1IN)),2)))&lt;0,-1,0),IF(IF(o_WRAP=1,MOD(((c_TMAP2IN)-(c_TMAP1IN))*(((A832)-(c_TMAP1IN))*((c_TMAP2OUT)-(c_TMAP1OUT))+IF(((c_TMAP2OUT)-(c_TMAP1OUT))&gt;=0,1,-1)*QUOTIENT(((c_TMAP2IN)-(c_TMAP1IN)),2))+2147483648,4294967296)-2147483648,((c_TMAP2IN)-(c_TMAP1IN))*(((A832)-(c_TMAP1IN))*((c_TMAP2OUT)-(c_TMAP1OUT))+IF(((c_TMAP2OUT)-(c_TMAP1OUT))&gt;=0,1,-1)*QUOTIENT(((c_TMAP2IN)-(c_TMAP1IN)),2)))&gt;=0,1,0)))</f>
        <v>361</v>
      </c>
      <c r="F832" s="7" t="n">
        <f aca="false">IF(((c_TMAP3IN)-(c_TMAP2IN))=0,(c_TMAP2OUT)+QUOTIENT(((c_TMAP3OUT)-(c_TMAP2OUT)),2),QUOTIENT((((A832)-(c_TMAP2IN))*((c_TMAP3OUT)-(c_TMAP2OUT))+IF(((c_TMAP3OUT)-(c_TMAP2OUT))&gt;=0,1,-1)*QUOTIENT(((c_TMAP3IN)-(c_TMAP2IN)),2)),((c_TMAP3IN)-(c_TMAP2IN)))+(c_TMAP2OUT)+IF(((c_TMAP3OUT)-(c_TMAP2OUT))&gt;=0,IF(IF(o_WRAP=1,MOD(((c_TMAP3IN)-(c_TMAP2IN))*(((A832)-(c_TMAP2IN))*((c_TMAP3OUT)-(c_TMAP2OUT))+IF(((c_TMAP3OUT)-(c_TMAP2OUT))&gt;=0,1,-1)*QUOTIENT(((c_TMAP3IN)-(c_TMAP2IN)),2))+2147483648,4294967296)-2147483648,((c_TMAP3IN)-(c_TMAP2IN))*(((A832)-(c_TMAP2IN))*((c_TMAP3OUT)-(c_TMAP2OUT))+IF(((c_TMAP3OUT)-(c_TMAP2OUT))&gt;=0,1,-1)*QUOTIENT(((c_TMAP3IN)-(c_TMAP2IN)),2)))&lt;0,-1,0),IF(IF(o_WRAP=1,MOD(((c_TMAP3IN)-(c_TMAP2IN))*(((A832)-(c_TMAP2IN))*((c_TMAP3OUT)-(c_TMAP2OUT))+IF(((c_TMAP3OUT)-(c_TMAP2OUT))&gt;=0,1,-1)*QUOTIENT(((c_TMAP3IN)-(c_TMAP2IN)),2))+2147483648,4294967296)-2147483648,((c_TMAP3IN)-(c_TMAP2IN))*(((A832)-(c_TMAP2IN))*((c_TMAP3OUT)-(c_TMAP2OUT))+IF(((c_TMAP3OUT)-(c_TMAP2OUT))&gt;=0,1,-1)*QUOTIENT(((c_TMAP3IN)-(c_TMAP2IN)),2)))&gt;=0,1,0)))</f>
        <v>534</v>
      </c>
      <c r="G832" s="7" t="n">
        <f aca="false">IF(((1000)-(c_TMAP3IN))=0,(c_TMAP3OUT)+QUOTIENT(((1000)-(c_TMAP3OUT)),2),QUOTIENT((((A832)-(c_TMAP3IN))*((1000)-(c_TMAP3OUT))+IF(((1000)-(c_TMAP3OUT))&gt;=0,1,-1)*QUOTIENT(((1000)-(c_TMAP3IN)),2)),((1000)-(c_TMAP3IN)))+(c_TMAP3OUT)+IF(((1000)-(c_TMAP3OUT))&gt;=0,IF(IF(o_WRAP=1,MOD(((1000)-(c_TMAP3IN))*(((A832)-(c_TMAP3IN))*((1000)-(c_TMAP3OUT))+IF(((1000)-(c_TMAP3OUT))&gt;=0,1,-1)*QUOTIENT(((1000)-(c_TMAP3IN)),2))+2147483648,4294967296)-2147483648,((1000)-(c_TMAP3IN))*(((A832)-(c_TMAP3IN))*((1000)-(c_TMAP3OUT))+IF(((1000)-(c_TMAP3OUT))&gt;=0,1,-1)*QUOTIENT(((1000)-(c_TMAP3IN)),2)))&lt;0,-1,0),IF(IF(o_WRAP=1,MOD(((1000)-(c_TMAP3IN))*(((A832)-(c_TMAP3IN))*((1000)-(c_TMAP3OUT))+IF(((1000)-(c_TMAP3OUT))&gt;=0,1,-1)*QUOTIENT(((1000)-(c_TMAP3IN)),2))+2147483648,4294967296)-2147483648,((1000)-(c_TMAP3IN))*(((A832)-(c_TMAP3IN))*((1000)-(c_TMAP3OUT))+IF(((1000)-(c_TMAP3OUT))&gt;=0,1,-1)*QUOTIENT(((1000)-(c_TMAP3IN)),2)))&gt;=0,1,0)))</f>
        <v>787</v>
      </c>
      <c r="H832" s="7" t="str">
        <f aca="false">IF(A832&gt;=c_TFWD,IF(AND(A832&gt;=c_TMAP3IN,c_TMAP3IN&lt;1000),"Seg4 map3-100%",IF(AND(A832&gt;=c_TMAP2IN,c_TMAP3IN&gt;c_TMAP2IN),"Seg3 map2-map3",IF(AND(A832&gt;=c_TMAP1IN,c_TMAP2IN&gt;c_TMAP1IN),"Seg2 map1-map2","Seg1 TFWD-map1"))),IF(AND(A832=0,c_TCREEP&gt;0),"Creep",IF(AND(A832&lt;=c_TRNGMIN,A832&gt;=c_TRNGMAX,c_TRNGMIN-c_TRNGMAX&lt;&gt;0),"Regen ramp","Coast (0)")))</f>
        <v>Seg4 map3-100%</v>
      </c>
      <c r="I832" s="7" t="n">
        <f aca="false">IF(A832&gt;=c_TFWD,IF(AND(A832&gt;=c_TMAP3IN,c_TMAP3IN&lt;1000),G832,IF(AND(A832&gt;=c_TMAP2IN,c_TMAP3IN&gt;c_TMAP2IN),F832,IF(AND(A832&gt;=c_TMAP1IN,c_TMAP2IN&gt;c_TMAP1IN),E832,D832))),C832)</f>
        <v>787</v>
      </c>
      <c r="J832" s="7" t="str">
        <f aca="false">IF(I832&lt;-1090,"TOO LOW",IF(I832&gt;1090,"TOO HIGH",""))</f>
        <v/>
      </c>
      <c r="K832" s="15" t="n">
        <f aca="false">IF(J832&lt;&gt;"",0,IF(I832&gt;979,1000,I832))</f>
        <v>787</v>
      </c>
      <c r="L832" s="7" t="n">
        <f aca="false">K832/10</f>
        <v>78.7</v>
      </c>
    </row>
    <row r="833" customFormat="false" ht="15" hidden="false" customHeight="false" outlineLevel="0" collapsed="false">
      <c r="A833" s="7" t="n">
        <v>828</v>
      </c>
      <c r="B833" s="7" t="n">
        <f aca="false">A833/10</f>
        <v>82.8</v>
      </c>
      <c r="C833" s="7" t="n">
        <f aca="false">IF(AND(A833=0,c_TCREEP&gt;0),10*c_TCREEP,IF(AND(A833&lt;=c_TRNGMIN,A833&gt;=c_TRNGMAX,c_TRNGMIN-c_TRNGMAX&lt;&gt;0),-10*c_TMINRN+QUOTIENT((c_TMAXRN-c_TMINRN)*(100-QUOTIENT((A833-c_TRNGMAX)*100,c_TRNGMIN-c_TRNGMAX)),-10),0))</f>
        <v>0</v>
      </c>
      <c r="D833" s="7" t="n">
        <f aca="false">IF(((c_TMAP1IN)-(c_TFWD))=0,(0)+QUOTIENT(((c_TMAP1OUT)-(0)),2),QUOTIENT((((A833)-(c_TFWD))*((c_TMAP1OUT)-(0))+IF(((c_TMAP1OUT)-(0))&gt;=0,1,-1)*QUOTIENT(((c_TMAP1IN)-(c_TFWD)),2)),((c_TMAP1IN)-(c_TFWD)))+(0)+IF(((c_TMAP1OUT)-(0))&gt;=0,IF(IF(o_WRAP=1,MOD(((c_TMAP1IN)-(c_TFWD))*(((A833)-(c_TFWD))*((c_TMAP1OUT)-(0))+IF(((c_TMAP1OUT)-(0))&gt;=0,1,-1)*QUOTIENT(((c_TMAP1IN)-(c_TFWD)),2))+2147483648,4294967296)-2147483648,((c_TMAP1IN)-(c_TFWD))*(((A833)-(c_TFWD))*((c_TMAP1OUT)-(0))+IF(((c_TMAP1OUT)-(0))&gt;=0,1,-1)*QUOTIENT(((c_TMAP1IN)-(c_TFWD)),2)))&lt;0,-1,0),IF(IF(o_WRAP=1,MOD(((c_TMAP1IN)-(c_TFWD))*(((A833)-(c_TFWD))*((c_TMAP1OUT)-(0))+IF(((c_TMAP1OUT)-(0))&gt;=0,1,-1)*QUOTIENT(((c_TMAP1IN)-(c_TFWD)),2))+2147483648,4294967296)-2147483648,((c_TMAP1IN)-(c_TFWD))*(((A833)-(c_TFWD))*((c_TMAP1OUT)-(0))+IF(((c_TMAP1OUT)-(0))&gt;=0,1,-1)*QUOTIENT(((c_TMAP1IN)-(c_TFWD)),2)))&gt;=0,1,0)))</f>
        <v>636</v>
      </c>
      <c r="E833" s="7" t="n">
        <f aca="false">IF(((c_TMAP2IN)-(c_TMAP1IN))=0,(c_TMAP1OUT)+QUOTIENT(((c_TMAP2OUT)-(c_TMAP1OUT)),2),QUOTIENT((((A833)-(c_TMAP1IN))*((c_TMAP2OUT)-(c_TMAP1OUT))+IF(((c_TMAP2OUT)-(c_TMAP1OUT))&gt;=0,1,-1)*QUOTIENT(((c_TMAP2IN)-(c_TMAP1IN)),2)),((c_TMAP2IN)-(c_TMAP1IN)))+(c_TMAP1OUT)+IF(((c_TMAP2OUT)-(c_TMAP1OUT))&gt;=0,IF(IF(o_WRAP=1,MOD(((c_TMAP2IN)-(c_TMAP1IN))*(((A833)-(c_TMAP1IN))*((c_TMAP2OUT)-(c_TMAP1OUT))+IF(((c_TMAP2OUT)-(c_TMAP1OUT))&gt;=0,1,-1)*QUOTIENT(((c_TMAP2IN)-(c_TMAP1IN)),2))+2147483648,4294967296)-2147483648,((c_TMAP2IN)-(c_TMAP1IN))*(((A833)-(c_TMAP1IN))*((c_TMAP2OUT)-(c_TMAP1OUT))+IF(((c_TMAP2OUT)-(c_TMAP1OUT))&gt;=0,1,-1)*QUOTIENT(((c_TMAP2IN)-(c_TMAP1IN)),2)))&lt;0,-1,0),IF(IF(o_WRAP=1,MOD(((c_TMAP2IN)-(c_TMAP1IN))*(((A833)-(c_TMAP1IN))*((c_TMAP2OUT)-(c_TMAP1OUT))+IF(((c_TMAP2OUT)-(c_TMAP1OUT))&gt;=0,1,-1)*QUOTIENT(((c_TMAP2IN)-(c_TMAP1IN)),2))+2147483648,4294967296)-2147483648,((c_TMAP2IN)-(c_TMAP1IN))*(((A833)-(c_TMAP1IN))*((c_TMAP2OUT)-(c_TMAP1OUT))+IF(((c_TMAP2OUT)-(c_TMAP1OUT))&gt;=0,1,-1)*QUOTIENT(((c_TMAP2IN)-(c_TMAP1IN)),2)))&gt;=0,1,0)))</f>
        <v>361</v>
      </c>
      <c r="F833" s="7" t="n">
        <f aca="false">IF(((c_TMAP3IN)-(c_TMAP2IN))=0,(c_TMAP2OUT)+QUOTIENT(((c_TMAP3OUT)-(c_TMAP2OUT)),2),QUOTIENT((((A833)-(c_TMAP2IN))*((c_TMAP3OUT)-(c_TMAP2OUT))+IF(((c_TMAP3OUT)-(c_TMAP2OUT))&gt;=0,1,-1)*QUOTIENT(((c_TMAP3IN)-(c_TMAP2IN)),2)),((c_TMAP3IN)-(c_TMAP2IN)))+(c_TMAP2OUT)+IF(((c_TMAP3OUT)-(c_TMAP2OUT))&gt;=0,IF(IF(o_WRAP=1,MOD(((c_TMAP3IN)-(c_TMAP2IN))*(((A833)-(c_TMAP2IN))*((c_TMAP3OUT)-(c_TMAP2OUT))+IF(((c_TMAP3OUT)-(c_TMAP2OUT))&gt;=0,1,-1)*QUOTIENT(((c_TMAP3IN)-(c_TMAP2IN)),2))+2147483648,4294967296)-2147483648,((c_TMAP3IN)-(c_TMAP2IN))*(((A833)-(c_TMAP2IN))*((c_TMAP3OUT)-(c_TMAP2OUT))+IF(((c_TMAP3OUT)-(c_TMAP2OUT))&gt;=0,1,-1)*QUOTIENT(((c_TMAP3IN)-(c_TMAP2IN)),2)))&lt;0,-1,0),IF(IF(o_WRAP=1,MOD(((c_TMAP3IN)-(c_TMAP2IN))*(((A833)-(c_TMAP2IN))*((c_TMAP3OUT)-(c_TMAP2OUT))+IF(((c_TMAP3OUT)-(c_TMAP2OUT))&gt;=0,1,-1)*QUOTIENT(((c_TMAP3IN)-(c_TMAP2IN)),2))+2147483648,4294967296)-2147483648,((c_TMAP3IN)-(c_TMAP2IN))*(((A833)-(c_TMAP2IN))*((c_TMAP3OUT)-(c_TMAP2OUT))+IF(((c_TMAP3OUT)-(c_TMAP2OUT))&gt;=0,1,-1)*QUOTIENT(((c_TMAP3IN)-(c_TMAP2IN)),2)))&gt;=0,1,0)))</f>
        <v>535</v>
      </c>
      <c r="G833" s="7" t="n">
        <f aca="false">IF(((1000)-(c_TMAP3IN))=0,(c_TMAP3OUT)+QUOTIENT(((1000)-(c_TMAP3OUT)),2),QUOTIENT((((A833)-(c_TMAP3IN))*((1000)-(c_TMAP3OUT))+IF(((1000)-(c_TMAP3OUT))&gt;=0,1,-1)*QUOTIENT(((1000)-(c_TMAP3IN)),2)),((1000)-(c_TMAP3IN)))+(c_TMAP3OUT)+IF(((1000)-(c_TMAP3OUT))&gt;=0,IF(IF(o_WRAP=1,MOD(((1000)-(c_TMAP3IN))*(((A833)-(c_TMAP3IN))*((1000)-(c_TMAP3OUT))+IF(((1000)-(c_TMAP3OUT))&gt;=0,1,-1)*QUOTIENT(((1000)-(c_TMAP3IN)),2))+2147483648,4294967296)-2147483648,((1000)-(c_TMAP3IN))*(((A833)-(c_TMAP3IN))*((1000)-(c_TMAP3OUT))+IF(((1000)-(c_TMAP3OUT))&gt;=0,1,-1)*QUOTIENT(((1000)-(c_TMAP3IN)),2)))&lt;0,-1,0),IF(IF(o_WRAP=1,MOD(((1000)-(c_TMAP3IN))*(((A833)-(c_TMAP3IN))*((1000)-(c_TMAP3OUT))+IF(((1000)-(c_TMAP3OUT))&gt;=0,1,-1)*QUOTIENT(((1000)-(c_TMAP3IN)),2))+2147483648,4294967296)-2147483648,((1000)-(c_TMAP3IN))*(((A833)-(c_TMAP3IN))*((1000)-(c_TMAP3OUT))+IF(((1000)-(c_TMAP3OUT))&gt;=0,1,-1)*QUOTIENT(((1000)-(c_TMAP3IN)),2)))&gt;=0,1,0)))</f>
        <v>788</v>
      </c>
      <c r="H833" s="7" t="str">
        <f aca="false">IF(A833&gt;=c_TFWD,IF(AND(A833&gt;=c_TMAP3IN,c_TMAP3IN&lt;1000),"Seg4 map3-100%",IF(AND(A833&gt;=c_TMAP2IN,c_TMAP3IN&gt;c_TMAP2IN),"Seg3 map2-map3",IF(AND(A833&gt;=c_TMAP1IN,c_TMAP2IN&gt;c_TMAP1IN),"Seg2 map1-map2","Seg1 TFWD-map1"))),IF(AND(A833=0,c_TCREEP&gt;0),"Creep",IF(AND(A833&lt;=c_TRNGMIN,A833&gt;=c_TRNGMAX,c_TRNGMIN-c_TRNGMAX&lt;&gt;0),"Regen ramp","Coast (0)")))</f>
        <v>Seg4 map3-100%</v>
      </c>
      <c r="I833" s="7" t="n">
        <f aca="false">IF(A833&gt;=c_TFWD,IF(AND(A833&gt;=c_TMAP3IN,c_TMAP3IN&lt;1000),G833,IF(AND(A833&gt;=c_TMAP2IN,c_TMAP3IN&gt;c_TMAP2IN),F833,IF(AND(A833&gt;=c_TMAP1IN,c_TMAP2IN&gt;c_TMAP1IN),E833,D833))),C833)</f>
        <v>788</v>
      </c>
      <c r="J833" s="7" t="str">
        <f aca="false">IF(I833&lt;-1090,"TOO LOW",IF(I833&gt;1090,"TOO HIGH",""))</f>
        <v/>
      </c>
      <c r="K833" s="15" t="n">
        <f aca="false">IF(J833&lt;&gt;"",0,IF(I833&gt;979,1000,I833))</f>
        <v>788</v>
      </c>
      <c r="L833" s="7" t="n">
        <f aca="false">K833/10</f>
        <v>78.8</v>
      </c>
    </row>
    <row r="834" customFormat="false" ht="15" hidden="false" customHeight="false" outlineLevel="0" collapsed="false">
      <c r="A834" s="7" t="n">
        <v>829</v>
      </c>
      <c r="B834" s="7" t="n">
        <f aca="false">A834/10</f>
        <v>82.9</v>
      </c>
      <c r="C834" s="7" t="n">
        <f aca="false">IF(AND(A834=0,c_TCREEP&gt;0),10*c_TCREEP,IF(AND(A834&lt;=c_TRNGMIN,A834&gt;=c_TRNGMAX,c_TRNGMIN-c_TRNGMAX&lt;&gt;0),-10*c_TMINRN+QUOTIENT((c_TMAXRN-c_TMINRN)*(100-QUOTIENT((A834-c_TRNGMAX)*100,c_TRNGMIN-c_TRNGMAX)),-10),0))</f>
        <v>0</v>
      </c>
      <c r="D834" s="7" t="n">
        <f aca="false">IF(((c_TMAP1IN)-(c_TFWD))=0,(0)+QUOTIENT(((c_TMAP1OUT)-(0)),2),QUOTIENT((((A834)-(c_TFWD))*((c_TMAP1OUT)-(0))+IF(((c_TMAP1OUT)-(0))&gt;=0,1,-1)*QUOTIENT(((c_TMAP1IN)-(c_TFWD)),2)),((c_TMAP1IN)-(c_TFWD)))+(0)+IF(((c_TMAP1OUT)-(0))&gt;=0,IF(IF(o_WRAP=1,MOD(((c_TMAP1IN)-(c_TFWD))*(((A834)-(c_TFWD))*((c_TMAP1OUT)-(0))+IF(((c_TMAP1OUT)-(0))&gt;=0,1,-1)*QUOTIENT(((c_TMAP1IN)-(c_TFWD)),2))+2147483648,4294967296)-2147483648,((c_TMAP1IN)-(c_TFWD))*(((A834)-(c_TFWD))*((c_TMAP1OUT)-(0))+IF(((c_TMAP1OUT)-(0))&gt;=0,1,-1)*QUOTIENT(((c_TMAP1IN)-(c_TFWD)),2)))&lt;0,-1,0),IF(IF(o_WRAP=1,MOD(((c_TMAP1IN)-(c_TFWD))*(((A834)-(c_TFWD))*((c_TMAP1OUT)-(0))+IF(((c_TMAP1OUT)-(0))&gt;=0,1,-1)*QUOTIENT(((c_TMAP1IN)-(c_TFWD)),2))+2147483648,4294967296)-2147483648,((c_TMAP1IN)-(c_TFWD))*(((A834)-(c_TFWD))*((c_TMAP1OUT)-(0))+IF(((c_TMAP1OUT)-(0))&gt;=0,1,-1)*QUOTIENT(((c_TMAP1IN)-(c_TFWD)),2)))&gt;=0,1,0)))</f>
        <v>637</v>
      </c>
      <c r="E834" s="7" t="n">
        <f aca="false">IF(((c_TMAP2IN)-(c_TMAP1IN))=0,(c_TMAP1OUT)+QUOTIENT(((c_TMAP2OUT)-(c_TMAP1OUT)),2),QUOTIENT((((A834)-(c_TMAP1IN))*((c_TMAP2OUT)-(c_TMAP1OUT))+IF(((c_TMAP2OUT)-(c_TMAP1OUT))&gt;=0,1,-1)*QUOTIENT(((c_TMAP2IN)-(c_TMAP1IN)),2)),((c_TMAP2IN)-(c_TMAP1IN)))+(c_TMAP1OUT)+IF(((c_TMAP2OUT)-(c_TMAP1OUT))&gt;=0,IF(IF(o_WRAP=1,MOD(((c_TMAP2IN)-(c_TMAP1IN))*(((A834)-(c_TMAP1IN))*((c_TMAP2OUT)-(c_TMAP1OUT))+IF(((c_TMAP2OUT)-(c_TMAP1OUT))&gt;=0,1,-1)*QUOTIENT(((c_TMAP2IN)-(c_TMAP1IN)),2))+2147483648,4294967296)-2147483648,((c_TMAP2IN)-(c_TMAP1IN))*(((A834)-(c_TMAP1IN))*((c_TMAP2OUT)-(c_TMAP1OUT))+IF(((c_TMAP2OUT)-(c_TMAP1OUT))&gt;=0,1,-1)*QUOTIENT(((c_TMAP2IN)-(c_TMAP1IN)),2)))&lt;0,-1,0),IF(IF(o_WRAP=1,MOD(((c_TMAP2IN)-(c_TMAP1IN))*(((A834)-(c_TMAP1IN))*((c_TMAP2OUT)-(c_TMAP1OUT))+IF(((c_TMAP2OUT)-(c_TMAP1OUT))&gt;=0,1,-1)*QUOTIENT(((c_TMAP2IN)-(c_TMAP1IN)),2))+2147483648,4294967296)-2147483648,((c_TMAP2IN)-(c_TMAP1IN))*(((A834)-(c_TMAP1IN))*((c_TMAP2OUT)-(c_TMAP1OUT))+IF(((c_TMAP2OUT)-(c_TMAP1OUT))&gt;=0,1,-1)*QUOTIENT(((c_TMAP2IN)-(c_TMAP1IN)),2)))&gt;=0,1,0)))</f>
        <v>362</v>
      </c>
      <c r="F834" s="7" t="n">
        <f aca="false">IF(((c_TMAP3IN)-(c_TMAP2IN))=0,(c_TMAP2OUT)+QUOTIENT(((c_TMAP3OUT)-(c_TMAP2OUT)),2),QUOTIENT((((A834)-(c_TMAP2IN))*((c_TMAP3OUT)-(c_TMAP2OUT))+IF(((c_TMAP3OUT)-(c_TMAP2OUT))&gt;=0,1,-1)*QUOTIENT(((c_TMAP3IN)-(c_TMAP2IN)),2)),((c_TMAP3IN)-(c_TMAP2IN)))+(c_TMAP2OUT)+IF(((c_TMAP3OUT)-(c_TMAP2OUT))&gt;=0,IF(IF(o_WRAP=1,MOD(((c_TMAP3IN)-(c_TMAP2IN))*(((A834)-(c_TMAP2IN))*((c_TMAP3OUT)-(c_TMAP2OUT))+IF(((c_TMAP3OUT)-(c_TMAP2OUT))&gt;=0,1,-1)*QUOTIENT(((c_TMAP3IN)-(c_TMAP2IN)),2))+2147483648,4294967296)-2147483648,((c_TMAP3IN)-(c_TMAP2IN))*(((A834)-(c_TMAP2IN))*((c_TMAP3OUT)-(c_TMAP2OUT))+IF(((c_TMAP3OUT)-(c_TMAP2OUT))&gt;=0,1,-1)*QUOTIENT(((c_TMAP3IN)-(c_TMAP2IN)),2)))&lt;0,-1,0),IF(IF(o_WRAP=1,MOD(((c_TMAP3IN)-(c_TMAP2IN))*(((A834)-(c_TMAP2IN))*((c_TMAP3OUT)-(c_TMAP2OUT))+IF(((c_TMAP3OUT)-(c_TMAP2OUT))&gt;=0,1,-1)*QUOTIENT(((c_TMAP3IN)-(c_TMAP2IN)),2))+2147483648,4294967296)-2147483648,((c_TMAP3IN)-(c_TMAP2IN))*(((A834)-(c_TMAP2IN))*((c_TMAP3OUT)-(c_TMAP2OUT))+IF(((c_TMAP3OUT)-(c_TMAP2OUT))&gt;=0,1,-1)*QUOTIENT(((c_TMAP3IN)-(c_TMAP2IN)),2)))&gt;=0,1,0)))</f>
        <v>535</v>
      </c>
      <c r="G834" s="7" t="n">
        <f aca="false">IF(((1000)-(c_TMAP3IN))=0,(c_TMAP3OUT)+QUOTIENT(((1000)-(c_TMAP3OUT)),2),QUOTIENT((((A834)-(c_TMAP3IN))*((1000)-(c_TMAP3OUT))+IF(((1000)-(c_TMAP3OUT))&gt;=0,1,-1)*QUOTIENT(((1000)-(c_TMAP3IN)),2)),((1000)-(c_TMAP3IN)))+(c_TMAP3OUT)+IF(((1000)-(c_TMAP3OUT))&gt;=0,IF(IF(o_WRAP=1,MOD(((1000)-(c_TMAP3IN))*(((A834)-(c_TMAP3IN))*((1000)-(c_TMAP3OUT))+IF(((1000)-(c_TMAP3OUT))&gt;=0,1,-1)*QUOTIENT(((1000)-(c_TMAP3IN)),2))+2147483648,4294967296)-2147483648,((1000)-(c_TMAP3IN))*(((A834)-(c_TMAP3IN))*((1000)-(c_TMAP3OUT))+IF(((1000)-(c_TMAP3OUT))&gt;=0,1,-1)*QUOTIENT(((1000)-(c_TMAP3IN)),2)))&lt;0,-1,0),IF(IF(o_WRAP=1,MOD(((1000)-(c_TMAP3IN))*(((A834)-(c_TMAP3IN))*((1000)-(c_TMAP3OUT))+IF(((1000)-(c_TMAP3OUT))&gt;=0,1,-1)*QUOTIENT(((1000)-(c_TMAP3IN)),2))+2147483648,4294967296)-2147483648,((1000)-(c_TMAP3IN))*(((A834)-(c_TMAP3IN))*((1000)-(c_TMAP3OUT))+IF(((1000)-(c_TMAP3OUT))&gt;=0,1,-1)*QUOTIENT(((1000)-(c_TMAP3IN)),2)))&gt;=0,1,0)))</f>
        <v>790</v>
      </c>
      <c r="H834" s="7" t="str">
        <f aca="false">IF(A834&gt;=c_TFWD,IF(AND(A834&gt;=c_TMAP3IN,c_TMAP3IN&lt;1000),"Seg4 map3-100%",IF(AND(A834&gt;=c_TMAP2IN,c_TMAP3IN&gt;c_TMAP2IN),"Seg3 map2-map3",IF(AND(A834&gt;=c_TMAP1IN,c_TMAP2IN&gt;c_TMAP1IN),"Seg2 map1-map2","Seg1 TFWD-map1"))),IF(AND(A834=0,c_TCREEP&gt;0),"Creep",IF(AND(A834&lt;=c_TRNGMIN,A834&gt;=c_TRNGMAX,c_TRNGMIN-c_TRNGMAX&lt;&gt;0),"Regen ramp","Coast (0)")))</f>
        <v>Seg4 map3-100%</v>
      </c>
      <c r="I834" s="7" t="n">
        <f aca="false">IF(A834&gt;=c_TFWD,IF(AND(A834&gt;=c_TMAP3IN,c_TMAP3IN&lt;1000),G834,IF(AND(A834&gt;=c_TMAP2IN,c_TMAP3IN&gt;c_TMAP2IN),F834,IF(AND(A834&gt;=c_TMAP1IN,c_TMAP2IN&gt;c_TMAP1IN),E834,D834))),C834)</f>
        <v>790</v>
      </c>
      <c r="J834" s="7" t="str">
        <f aca="false">IF(I834&lt;-1090,"TOO LOW",IF(I834&gt;1090,"TOO HIGH",""))</f>
        <v/>
      </c>
      <c r="K834" s="15" t="n">
        <f aca="false">IF(J834&lt;&gt;"",0,IF(I834&gt;979,1000,I834))</f>
        <v>790</v>
      </c>
      <c r="L834" s="7" t="n">
        <f aca="false">K834/10</f>
        <v>79</v>
      </c>
    </row>
    <row r="835" customFormat="false" ht="15" hidden="false" customHeight="false" outlineLevel="0" collapsed="false">
      <c r="A835" s="7" t="n">
        <v>830</v>
      </c>
      <c r="B835" s="7" t="n">
        <f aca="false">A835/10</f>
        <v>83</v>
      </c>
      <c r="C835" s="7" t="n">
        <f aca="false">IF(AND(A835=0,c_TCREEP&gt;0),10*c_TCREEP,IF(AND(A835&lt;=c_TRNGMIN,A835&gt;=c_TRNGMAX,c_TRNGMIN-c_TRNGMAX&lt;&gt;0),-10*c_TMINRN+QUOTIENT((c_TMAXRN-c_TMINRN)*(100-QUOTIENT((A835-c_TRNGMAX)*100,c_TRNGMIN-c_TRNGMAX)),-10),0))</f>
        <v>0</v>
      </c>
      <c r="D835" s="7" t="n">
        <f aca="false">IF(((c_TMAP1IN)-(c_TFWD))=0,(0)+QUOTIENT(((c_TMAP1OUT)-(0)),2),QUOTIENT((((A835)-(c_TFWD))*((c_TMAP1OUT)-(0))+IF(((c_TMAP1OUT)-(0))&gt;=0,1,-1)*QUOTIENT(((c_TMAP1IN)-(c_TFWD)),2)),((c_TMAP1IN)-(c_TFWD)))+(0)+IF(((c_TMAP1OUT)-(0))&gt;=0,IF(IF(o_WRAP=1,MOD(((c_TMAP1IN)-(c_TFWD))*(((A835)-(c_TFWD))*((c_TMAP1OUT)-(0))+IF(((c_TMAP1OUT)-(0))&gt;=0,1,-1)*QUOTIENT(((c_TMAP1IN)-(c_TFWD)),2))+2147483648,4294967296)-2147483648,((c_TMAP1IN)-(c_TFWD))*(((A835)-(c_TFWD))*((c_TMAP1OUT)-(0))+IF(((c_TMAP1OUT)-(0))&gt;=0,1,-1)*QUOTIENT(((c_TMAP1IN)-(c_TFWD)),2)))&lt;0,-1,0),IF(IF(o_WRAP=1,MOD(((c_TMAP1IN)-(c_TFWD))*(((A835)-(c_TFWD))*((c_TMAP1OUT)-(0))+IF(((c_TMAP1OUT)-(0))&gt;=0,1,-1)*QUOTIENT(((c_TMAP1IN)-(c_TFWD)),2))+2147483648,4294967296)-2147483648,((c_TMAP1IN)-(c_TFWD))*(((A835)-(c_TFWD))*((c_TMAP1OUT)-(0))+IF(((c_TMAP1OUT)-(0))&gt;=0,1,-1)*QUOTIENT(((c_TMAP1IN)-(c_TFWD)),2)))&gt;=0,1,0)))</f>
        <v>638</v>
      </c>
      <c r="E835" s="7" t="n">
        <f aca="false">IF(((c_TMAP2IN)-(c_TMAP1IN))=0,(c_TMAP1OUT)+QUOTIENT(((c_TMAP2OUT)-(c_TMAP1OUT)),2),QUOTIENT((((A835)-(c_TMAP1IN))*((c_TMAP2OUT)-(c_TMAP1OUT))+IF(((c_TMAP2OUT)-(c_TMAP1OUT))&gt;=0,1,-1)*QUOTIENT(((c_TMAP2IN)-(c_TMAP1IN)),2)),((c_TMAP2IN)-(c_TMAP1IN)))+(c_TMAP1OUT)+IF(((c_TMAP2OUT)-(c_TMAP1OUT))&gt;=0,IF(IF(o_WRAP=1,MOD(((c_TMAP2IN)-(c_TMAP1IN))*(((A835)-(c_TMAP1IN))*((c_TMAP2OUT)-(c_TMAP1OUT))+IF(((c_TMAP2OUT)-(c_TMAP1OUT))&gt;=0,1,-1)*QUOTIENT(((c_TMAP2IN)-(c_TMAP1IN)),2))+2147483648,4294967296)-2147483648,((c_TMAP2IN)-(c_TMAP1IN))*(((A835)-(c_TMAP1IN))*((c_TMAP2OUT)-(c_TMAP1OUT))+IF(((c_TMAP2OUT)-(c_TMAP1OUT))&gt;=0,1,-1)*QUOTIENT(((c_TMAP2IN)-(c_TMAP1IN)),2)))&lt;0,-1,0),IF(IF(o_WRAP=1,MOD(((c_TMAP2IN)-(c_TMAP1IN))*(((A835)-(c_TMAP1IN))*((c_TMAP2OUT)-(c_TMAP1OUT))+IF(((c_TMAP2OUT)-(c_TMAP1OUT))&gt;=0,1,-1)*QUOTIENT(((c_TMAP2IN)-(c_TMAP1IN)),2))+2147483648,4294967296)-2147483648,((c_TMAP2IN)-(c_TMAP1IN))*(((A835)-(c_TMAP1IN))*((c_TMAP2OUT)-(c_TMAP1OUT))+IF(((c_TMAP2OUT)-(c_TMAP1OUT))&gt;=0,1,-1)*QUOTIENT(((c_TMAP2IN)-(c_TMAP1IN)),2)))&gt;=0,1,0)))</f>
        <v>362</v>
      </c>
      <c r="F835" s="7" t="n">
        <f aca="false">IF(((c_TMAP3IN)-(c_TMAP2IN))=0,(c_TMAP2OUT)+QUOTIENT(((c_TMAP3OUT)-(c_TMAP2OUT)),2),QUOTIENT((((A835)-(c_TMAP2IN))*((c_TMAP3OUT)-(c_TMAP2OUT))+IF(((c_TMAP3OUT)-(c_TMAP2OUT))&gt;=0,1,-1)*QUOTIENT(((c_TMAP3IN)-(c_TMAP2IN)),2)),((c_TMAP3IN)-(c_TMAP2IN)))+(c_TMAP2OUT)+IF(((c_TMAP3OUT)-(c_TMAP2OUT))&gt;=0,IF(IF(o_WRAP=1,MOD(((c_TMAP3IN)-(c_TMAP2IN))*(((A835)-(c_TMAP2IN))*((c_TMAP3OUT)-(c_TMAP2OUT))+IF(((c_TMAP3OUT)-(c_TMAP2OUT))&gt;=0,1,-1)*QUOTIENT(((c_TMAP3IN)-(c_TMAP2IN)),2))+2147483648,4294967296)-2147483648,((c_TMAP3IN)-(c_TMAP2IN))*(((A835)-(c_TMAP2IN))*((c_TMAP3OUT)-(c_TMAP2OUT))+IF(((c_TMAP3OUT)-(c_TMAP2OUT))&gt;=0,1,-1)*QUOTIENT(((c_TMAP3IN)-(c_TMAP2IN)),2)))&lt;0,-1,0),IF(IF(o_WRAP=1,MOD(((c_TMAP3IN)-(c_TMAP2IN))*(((A835)-(c_TMAP2IN))*((c_TMAP3OUT)-(c_TMAP2OUT))+IF(((c_TMAP3OUT)-(c_TMAP2OUT))&gt;=0,1,-1)*QUOTIENT(((c_TMAP3IN)-(c_TMAP2IN)),2))+2147483648,4294967296)-2147483648,((c_TMAP3IN)-(c_TMAP2IN))*(((A835)-(c_TMAP2IN))*((c_TMAP3OUT)-(c_TMAP2OUT))+IF(((c_TMAP3OUT)-(c_TMAP2OUT))&gt;=0,1,-1)*QUOTIENT(((c_TMAP3IN)-(c_TMAP2IN)),2)))&gt;=0,1,0)))</f>
        <v>536</v>
      </c>
      <c r="G835" s="7" t="n">
        <f aca="false">IF(((1000)-(c_TMAP3IN))=0,(c_TMAP3OUT)+QUOTIENT(((1000)-(c_TMAP3OUT)),2),QUOTIENT((((A835)-(c_TMAP3IN))*((1000)-(c_TMAP3OUT))+IF(((1000)-(c_TMAP3OUT))&gt;=0,1,-1)*QUOTIENT(((1000)-(c_TMAP3IN)),2)),((1000)-(c_TMAP3IN)))+(c_TMAP3OUT)+IF(((1000)-(c_TMAP3OUT))&gt;=0,IF(IF(o_WRAP=1,MOD(((1000)-(c_TMAP3IN))*(((A835)-(c_TMAP3IN))*((1000)-(c_TMAP3OUT))+IF(((1000)-(c_TMAP3OUT))&gt;=0,1,-1)*QUOTIENT(((1000)-(c_TMAP3IN)),2))+2147483648,4294967296)-2147483648,((1000)-(c_TMAP3IN))*(((A835)-(c_TMAP3IN))*((1000)-(c_TMAP3OUT))+IF(((1000)-(c_TMAP3OUT))&gt;=0,1,-1)*QUOTIENT(((1000)-(c_TMAP3IN)),2)))&lt;0,-1,0),IF(IF(o_WRAP=1,MOD(((1000)-(c_TMAP3IN))*(((A835)-(c_TMAP3IN))*((1000)-(c_TMAP3OUT))+IF(((1000)-(c_TMAP3OUT))&gt;=0,1,-1)*QUOTIENT(((1000)-(c_TMAP3IN)),2))+2147483648,4294967296)-2147483648,((1000)-(c_TMAP3IN))*(((A835)-(c_TMAP3IN))*((1000)-(c_TMAP3OUT))+IF(((1000)-(c_TMAP3OUT))&gt;=0,1,-1)*QUOTIENT(((1000)-(c_TMAP3IN)),2)))&gt;=0,1,0)))</f>
        <v>791</v>
      </c>
      <c r="H835" s="7" t="str">
        <f aca="false">IF(A835&gt;=c_TFWD,IF(AND(A835&gt;=c_TMAP3IN,c_TMAP3IN&lt;1000),"Seg4 map3-100%",IF(AND(A835&gt;=c_TMAP2IN,c_TMAP3IN&gt;c_TMAP2IN),"Seg3 map2-map3",IF(AND(A835&gt;=c_TMAP1IN,c_TMAP2IN&gt;c_TMAP1IN),"Seg2 map1-map2","Seg1 TFWD-map1"))),IF(AND(A835=0,c_TCREEP&gt;0),"Creep",IF(AND(A835&lt;=c_TRNGMIN,A835&gt;=c_TRNGMAX,c_TRNGMIN-c_TRNGMAX&lt;&gt;0),"Regen ramp","Coast (0)")))</f>
        <v>Seg4 map3-100%</v>
      </c>
      <c r="I835" s="7" t="n">
        <f aca="false">IF(A835&gt;=c_TFWD,IF(AND(A835&gt;=c_TMAP3IN,c_TMAP3IN&lt;1000),G835,IF(AND(A835&gt;=c_TMAP2IN,c_TMAP3IN&gt;c_TMAP2IN),F835,IF(AND(A835&gt;=c_TMAP1IN,c_TMAP2IN&gt;c_TMAP1IN),E835,D835))),C835)</f>
        <v>791</v>
      </c>
      <c r="J835" s="7" t="str">
        <f aca="false">IF(I835&lt;-1090,"TOO LOW",IF(I835&gt;1090,"TOO HIGH",""))</f>
        <v/>
      </c>
      <c r="K835" s="15" t="n">
        <f aca="false">IF(J835&lt;&gt;"",0,IF(I835&gt;979,1000,I835))</f>
        <v>791</v>
      </c>
      <c r="L835" s="7" t="n">
        <f aca="false">K835/10</f>
        <v>79.1</v>
      </c>
    </row>
    <row r="836" customFormat="false" ht="15" hidden="false" customHeight="false" outlineLevel="0" collapsed="false">
      <c r="A836" s="7" t="n">
        <v>831</v>
      </c>
      <c r="B836" s="7" t="n">
        <f aca="false">A836/10</f>
        <v>83.1</v>
      </c>
      <c r="C836" s="7" t="n">
        <f aca="false">IF(AND(A836=0,c_TCREEP&gt;0),10*c_TCREEP,IF(AND(A836&lt;=c_TRNGMIN,A836&gt;=c_TRNGMAX,c_TRNGMIN-c_TRNGMAX&lt;&gt;0),-10*c_TMINRN+QUOTIENT((c_TMAXRN-c_TMINRN)*(100-QUOTIENT((A836-c_TRNGMAX)*100,c_TRNGMIN-c_TRNGMAX)),-10),0))</f>
        <v>0</v>
      </c>
      <c r="D836" s="7" t="n">
        <f aca="false">IF(((c_TMAP1IN)-(c_TFWD))=0,(0)+QUOTIENT(((c_TMAP1OUT)-(0)),2),QUOTIENT((((A836)-(c_TFWD))*((c_TMAP1OUT)-(0))+IF(((c_TMAP1OUT)-(0))&gt;=0,1,-1)*QUOTIENT(((c_TMAP1IN)-(c_TFWD)),2)),((c_TMAP1IN)-(c_TFWD)))+(0)+IF(((c_TMAP1OUT)-(0))&gt;=0,IF(IF(o_WRAP=1,MOD(((c_TMAP1IN)-(c_TFWD))*(((A836)-(c_TFWD))*((c_TMAP1OUT)-(0))+IF(((c_TMAP1OUT)-(0))&gt;=0,1,-1)*QUOTIENT(((c_TMAP1IN)-(c_TFWD)),2))+2147483648,4294967296)-2147483648,((c_TMAP1IN)-(c_TFWD))*(((A836)-(c_TFWD))*((c_TMAP1OUT)-(0))+IF(((c_TMAP1OUT)-(0))&gt;=0,1,-1)*QUOTIENT(((c_TMAP1IN)-(c_TFWD)),2)))&lt;0,-1,0),IF(IF(o_WRAP=1,MOD(((c_TMAP1IN)-(c_TFWD))*(((A836)-(c_TFWD))*((c_TMAP1OUT)-(0))+IF(((c_TMAP1OUT)-(0))&gt;=0,1,-1)*QUOTIENT(((c_TMAP1IN)-(c_TFWD)),2))+2147483648,4294967296)-2147483648,((c_TMAP1IN)-(c_TFWD))*(((A836)-(c_TFWD))*((c_TMAP1OUT)-(0))+IF(((c_TMAP1OUT)-(0))&gt;=0,1,-1)*QUOTIENT(((c_TMAP1IN)-(c_TFWD)),2)))&gt;=0,1,0)))</f>
        <v>639</v>
      </c>
      <c r="E836" s="7" t="n">
        <f aca="false">IF(((c_TMAP2IN)-(c_TMAP1IN))=0,(c_TMAP1OUT)+QUOTIENT(((c_TMAP2OUT)-(c_TMAP1OUT)),2),QUOTIENT((((A836)-(c_TMAP1IN))*((c_TMAP2OUT)-(c_TMAP1OUT))+IF(((c_TMAP2OUT)-(c_TMAP1OUT))&gt;=0,1,-1)*QUOTIENT(((c_TMAP2IN)-(c_TMAP1IN)),2)),((c_TMAP2IN)-(c_TMAP1IN)))+(c_TMAP1OUT)+IF(((c_TMAP2OUT)-(c_TMAP1OUT))&gt;=0,IF(IF(o_WRAP=1,MOD(((c_TMAP2IN)-(c_TMAP1IN))*(((A836)-(c_TMAP1IN))*((c_TMAP2OUT)-(c_TMAP1OUT))+IF(((c_TMAP2OUT)-(c_TMAP1OUT))&gt;=0,1,-1)*QUOTIENT(((c_TMAP2IN)-(c_TMAP1IN)),2))+2147483648,4294967296)-2147483648,((c_TMAP2IN)-(c_TMAP1IN))*(((A836)-(c_TMAP1IN))*((c_TMAP2OUT)-(c_TMAP1OUT))+IF(((c_TMAP2OUT)-(c_TMAP1OUT))&gt;=0,1,-1)*QUOTIENT(((c_TMAP2IN)-(c_TMAP1IN)),2)))&lt;0,-1,0),IF(IF(o_WRAP=1,MOD(((c_TMAP2IN)-(c_TMAP1IN))*(((A836)-(c_TMAP1IN))*((c_TMAP2OUT)-(c_TMAP1OUT))+IF(((c_TMAP2OUT)-(c_TMAP1OUT))&gt;=0,1,-1)*QUOTIENT(((c_TMAP2IN)-(c_TMAP1IN)),2))+2147483648,4294967296)-2147483648,((c_TMAP2IN)-(c_TMAP1IN))*(((A836)-(c_TMAP1IN))*((c_TMAP2OUT)-(c_TMAP1OUT))+IF(((c_TMAP2OUT)-(c_TMAP1OUT))&gt;=0,1,-1)*QUOTIENT(((c_TMAP2IN)-(c_TMAP1IN)),2)))&gt;=0,1,0)))</f>
        <v>362</v>
      </c>
      <c r="F836" s="7" t="n">
        <f aca="false">IF(((c_TMAP3IN)-(c_TMAP2IN))=0,(c_TMAP2OUT)+QUOTIENT(((c_TMAP3OUT)-(c_TMAP2OUT)),2),QUOTIENT((((A836)-(c_TMAP2IN))*((c_TMAP3OUT)-(c_TMAP2OUT))+IF(((c_TMAP3OUT)-(c_TMAP2OUT))&gt;=0,1,-1)*QUOTIENT(((c_TMAP3IN)-(c_TMAP2IN)),2)),((c_TMAP3IN)-(c_TMAP2IN)))+(c_TMAP2OUT)+IF(((c_TMAP3OUT)-(c_TMAP2OUT))&gt;=0,IF(IF(o_WRAP=1,MOD(((c_TMAP3IN)-(c_TMAP2IN))*(((A836)-(c_TMAP2IN))*((c_TMAP3OUT)-(c_TMAP2OUT))+IF(((c_TMAP3OUT)-(c_TMAP2OUT))&gt;=0,1,-1)*QUOTIENT(((c_TMAP3IN)-(c_TMAP2IN)),2))+2147483648,4294967296)-2147483648,((c_TMAP3IN)-(c_TMAP2IN))*(((A836)-(c_TMAP2IN))*((c_TMAP3OUT)-(c_TMAP2OUT))+IF(((c_TMAP3OUT)-(c_TMAP2OUT))&gt;=0,1,-1)*QUOTIENT(((c_TMAP3IN)-(c_TMAP2IN)),2)))&lt;0,-1,0),IF(IF(o_WRAP=1,MOD(((c_TMAP3IN)-(c_TMAP2IN))*(((A836)-(c_TMAP2IN))*((c_TMAP3OUT)-(c_TMAP2OUT))+IF(((c_TMAP3OUT)-(c_TMAP2OUT))&gt;=0,1,-1)*QUOTIENT(((c_TMAP3IN)-(c_TMAP2IN)),2))+2147483648,4294967296)-2147483648,((c_TMAP3IN)-(c_TMAP2IN))*(((A836)-(c_TMAP2IN))*((c_TMAP3OUT)-(c_TMAP2OUT))+IF(((c_TMAP3OUT)-(c_TMAP2OUT))&gt;=0,1,-1)*QUOTIENT(((c_TMAP3IN)-(c_TMAP2IN)),2)))&gt;=0,1,0)))</f>
        <v>537</v>
      </c>
      <c r="G836" s="7" t="n">
        <f aca="false">IF(((1000)-(c_TMAP3IN))=0,(c_TMAP3OUT)+QUOTIENT(((1000)-(c_TMAP3OUT)),2),QUOTIENT((((A836)-(c_TMAP3IN))*((1000)-(c_TMAP3OUT))+IF(((1000)-(c_TMAP3OUT))&gt;=0,1,-1)*QUOTIENT(((1000)-(c_TMAP3IN)),2)),((1000)-(c_TMAP3IN)))+(c_TMAP3OUT)+IF(((1000)-(c_TMAP3OUT))&gt;=0,IF(IF(o_WRAP=1,MOD(((1000)-(c_TMAP3IN))*(((A836)-(c_TMAP3IN))*((1000)-(c_TMAP3OUT))+IF(((1000)-(c_TMAP3OUT))&gt;=0,1,-1)*QUOTIENT(((1000)-(c_TMAP3IN)),2))+2147483648,4294967296)-2147483648,((1000)-(c_TMAP3IN))*(((A836)-(c_TMAP3IN))*((1000)-(c_TMAP3OUT))+IF(((1000)-(c_TMAP3OUT))&gt;=0,1,-1)*QUOTIENT(((1000)-(c_TMAP3IN)),2)))&lt;0,-1,0),IF(IF(o_WRAP=1,MOD(((1000)-(c_TMAP3IN))*(((A836)-(c_TMAP3IN))*((1000)-(c_TMAP3OUT))+IF(((1000)-(c_TMAP3OUT))&gt;=0,1,-1)*QUOTIENT(((1000)-(c_TMAP3IN)),2))+2147483648,4294967296)-2147483648,((1000)-(c_TMAP3IN))*(((A836)-(c_TMAP3IN))*((1000)-(c_TMAP3OUT))+IF(((1000)-(c_TMAP3OUT))&gt;=0,1,-1)*QUOTIENT(((1000)-(c_TMAP3IN)),2)))&gt;=0,1,0)))</f>
        <v>792</v>
      </c>
      <c r="H836" s="7" t="str">
        <f aca="false">IF(A836&gt;=c_TFWD,IF(AND(A836&gt;=c_TMAP3IN,c_TMAP3IN&lt;1000),"Seg4 map3-100%",IF(AND(A836&gt;=c_TMAP2IN,c_TMAP3IN&gt;c_TMAP2IN),"Seg3 map2-map3",IF(AND(A836&gt;=c_TMAP1IN,c_TMAP2IN&gt;c_TMAP1IN),"Seg2 map1-map2","Seg1 TFWD-map1"))),IF(AND(A836=0,c_TCREEP&gt;0),"Creep",IF(AND(A836&lt;=c_TRNGMIN,A836&gt;=c_TRNGMAX,c_TRNGMIN-c_TRNGMAX&lt;&gt;0),"Regen ramp","Coast (0)")))</f>
        <v>Seg4 map3-100%</v>
      </c>
      <c r="I836" s="7" t="n">
        <f aca="false">IF(A836&gt;=c_TFWD,IF(AND(A836&gt;=c_TMAP3IN,c_TMAP3IN&lt;1000),G836,IF(AND(A836&gt;=c_TMAP2IN,c_TMAP3IN&gt;c_TMAP2IN),F836,IF(AND(A836&gt;=c_TMAP1IN,c_TMAP2IN&gt;c_TMAP1IN),E836,D836))),C836)</f>
        <v>792</v>
      </c>
      <c r="J836" s="7" t="str">
        <f aca="false">IF(I836&lt;-1090,"TOO LOW",IF(I836&gt;1090,"TOO HIGH",""))</f>
        <v/>
      </c>
      <c r="K836" s="15" t="n">
        <f aca="false">IF(J836&lt;&gt;"",0,IF(I836&gt;979,1000,I836))</f>
        <v>792</v>
      </c>
      <c r="L836" s="7" t="n">
        <f aca="false">K836/10</f>
        <v>79.2</v>
      </c>
    </row>
    <row r="837" customFormat="false" ht="15" hidden="false" customHeight="false" outlineLevel="0" collapsed="false">
      <c r="A837" s="7" t="n">
        <v>832</v>
      </c>
      <c r="B837" s="7" t="n">
        <f aca="false">A837/10</f>
        <v>83.2</v>
      </c>
      <c r="C837" s="7" t="n">
        <f aca="false">IF(AND(A837=0,c_TCREEP&gt;0),10*c_TCREEP,IF(AND(A837&lt;=c_TRNGMIN,A837&gt;=c_TRNGMAX,c_TRNGMIN-c_TRNGMAX&lt;&gt;0),-10*c_TMINRN+QUOTIENT((c_TMAXRN-c_TMINRN)*(100-QUOTIENT((A837-c_TRNGMAX)*100,c_TRNGMIN-c_TRNGMAX)),-10),0))</f>
        <v>0</v>
      </c>
      <c r="D837" s="7" t="n">
        <f aca="false">IF(((c_TMAP1IN)-(c_TFWD))=0,(0)+QUOTIENT(((c_TMAP1OUT)-(0)),2),QUOTIENT((((A837)-(c_TFWD))*((c_TMAP1OUT)-(0))+IF(((c_TMAP1OUT)-(0))&gt;=0,1,-1)*QUOTIENT(((c_TMAP1IN)-(c_TFWD)),2)),((c_TMAP1IN)-(c_TFWD)))+(0)+IF(((c_TMAP1OUT)-(0))&gt;=0,IF(IF(o_WRAP=1,MOD(((c_TMAP1IN)-(c_TFWD))*(((A837)-(c_TFWD))*((c_TMAP1OUT)-(0))+IF(((c_TMAP1OUT)-(0))&gt;=0,1,-1)*QUOTIENT(((c_TMAP1IN)-(c_TFWD)),2))+2147483648,4294967296)-2147483648,((c_TMAP1IN)-(c_TFWD))*(((A837)-(c_TFWD))*((c_TMAP1OUT)-(0))+IF(((c_TMAP1OUT)-(0))&gt;=0,1,-1)*QUOTIENT(((c_TMAP1IN)-(c_TFWD)),2)))&lt;0,-1,0),IF(IF(o_WRAP=1,MOD(((c_TMAP1IN)-(c_TFWD))*(((A837)-(c_TFWD))*((c_TMAP1OUT)-(0))+IF(((c_TMAP1OUT)-(0))&gt;=0,1,-1)*QUOTIENT(((c_TMAP1IN)-(c_TFWD)),2))+2147483648,4294967296)-2147483648,((c_TMAP1IN)-(c_TFWD))*(((A837)-(c_TFWD))*((c_TMAP1OUT)-(0))+IF(((c_TMAP1OUT)-(0))&gt;=0,1,-1)*QUOTIENT(((c_TMAP1IN)-(c_TFWD)),2)))&gt;=0,1,0)))</f>
        <v>639</v>
      </c>
      <c r="E837" s="7" t="n">
        <f aca="false">IF(((c_TMAP2IN)-(c_TMAP1IN))=0,(c_TMAP1OUT)+QUOTIENT(((c_TMAP2OUT)-(c_TMAP1OUT)),2),QUOTIENT((((A837)-(c_TMAP1IN))*((c_TMAP2OUT)-(c_TMAP1OUT))+IF(((c_TMAP2OUT)-(c_TMAP1OUT))&gt;=0,1,-1)*QUOTIENT(((c_TMAP2IN)-(c_TMAP1IN)),2)),((c_TMAP2IN)-(c_TMAP1IN)))+(c_TMAP1OUT)+IF(((c_TMAP2OUT)-(c_TMAP1OUT))&gt;=0,IF(IF(o_WRAP=1,MOD(((c_TMAP2IN)-(c_TMAP1IN))*(((A837)-(c_TMAP1IN))*((c_TMAP2OUT)-(c_TMAP1OUT))+IF(((c_TMAP2OUT)-(c_TMAP1OUT))&gt;=0,1,-1)*QUOTIENT(((c_TMAP2IN)-(c_TMAP1IN)),2))+2147483648,4294967296)-2147483648,((c_TMAP2IN)-(c_TMAP1IN))*(((A837)-(c_TMAP1IN))*((c_TMAP2OUT)-(c_TMAP1OUT))+IF(((c_TMAP2OUT)-(c_TMAP1OUT))&gt;=0,1,-1)*QUOTIENT(((c_TMAP2IN)-(c_TMAP1IN)),2)))&lt;0,-1,0),IF(IF(o_WRAP=1,MOD(((c_TMAP2IN)-(c_TMAP1IN))*(((A837)-(c_TMAP1IN))*((c_TMAP2OUT)-(c_TMAP1OUT))+IF(((c_TMAP2OUT)-(c_TMAP1OUT))&gt;=0,1,-1)*QUOTIENT(((c_TMAP2IN)-(c_TMAP1IN)),2))+2147483648,4294967296)-2147483648,((c_TMAP2IN)-(c_TMAP1IN))*(((A837)-(c_TMAP1IN))*((c_TMAP2OUT)-(c_TMAP1OUT))+IF(((c_TMAP2OUT)-(c_TMAP1OUT))&gt;=0,1,-1)*QUOTIENT(((c_TMAP2IN)-(c_TMAP1IN)),2)))&gt;=0,1,0)))</f>
        <v>363</v>
      </c>
      <c r="F837" s="7" t="n">
        <f aca="false">IF(((c_TMAP3IN)-(c_TMAP2IN))=0,(c_TMAP2OUT)+QUOTIENT(((c_TMAP3OUT)-(c_TMAP2OUT)),2),QUOTIENT((((A837)-(c_TMAP2IN))*((c_TMAP3OUT)-(c_TMAP2OUT))+IF(((c_TMAP3OUT)-(c_TMAP2OUT))&gt;=0,1,-1)*QUOTIENT(((c_TMAP3IN)-(c_TMAP2IN)),2)),((c_TMAP3IN)-(c_TMAP2IN)))+(c_TMAP2OUT)+IF(((c_TMAP3OUT)-(c_TMAP2OUT))&gt;=0,IF(IF(o_WRAP=1,MOD(((c_TMAP3IN)-(c_TMAP2IN))*(((A837)-(c_TMAP2IN))*((c_TMAP3OUT)-(c_TMAP2OUT))+IF(((c_TMAP3OUT)-(c_TMAP2OUT))&gt;=0,1,-1)*QUOTIENT(((c_TMAP3IN)-(c_TMAP2IN)),2))+2147483648,4294967296)-2147483648,((c_TMAP3IN)-(c_TMAP2IN))*(((A837)-(c_TMAP2IN))*((c_TMAP3OUT)-(c_TMAP2OUT))+IF(((c_TMAP3OUT)-(c_TMAP2OUT))&gt;=0,1,-1)*QUOTIENT(((c_TMAP3IN)-(c_TMAP2IN)),2)))&lt;0,-1,0),IF(IF(o_WRAP=1,MOD(((c_TMAP3IN)-(c_TMAP2IN))*(((A837)-(c_TMAP2IN))*((c_TMAP3OUT)-(c_TMAP2OUT))+IF(((c_TMAP3OUT)-(c_TMAP2OUT))&gt;=0,1,-1)*QUOTIENT(((c_TMAP3IN)-(c_TMAP2IN)),2))+2147483648,4294967296)-2147483648,((c_TMAP3IN)-(c_TMAP2IN))*(((A837)-(c_TMAP2IN))*((c_TMAP3OUT)-(c_TMAP2OUT))+IF(((c_TMAP3OUT)-(c_TMAP2OUT))&gt;=0,1,-1)*QUOTIENT(((c_TMAP3IN)-(c_TMAP2IN)),2)))&gt;=0,1,0)))</f>
        <v>537</v>
      </c>
      <c r="G837" s="7" t="n">
        <f aca="false">IF(((1000)-(c_TMAP3IN))=0,(c_TMAP3OUT)+QUOTIENT(((1000)-(c_TMAP3OUT)),2),QUOTIENT((((A837)-(c_TMAP3IN))*((1000)-(c_TMAP3OUT))+IF(((1000)-(c_TMAP3OUT))&gt;=0,1,-1)*QUOTIENT(((1000)-(c_TMAP3IN)),2)),((1000)-(c_TMAP3IN)))+(c_TMAP3OUT)+IF(((1000)-(c_TMAP3OUT))&gt;=0,IF(IF(o_WRAP=1,MOD(((1000)-(c_TMAP3IN))*(((A837)-(c_TMAP3IN))*((1000)-(c_TMAP3OUT))+IF(((1000)-(c_TMAP3OUT))&gt;=0,1,-1)*QUOTIENT(((1000)-(c_TMAP3IN)),2))+2147483648,4294967296)-2147483648,((1000)-(c_TMAP3IN))*(((A837)-(c_TMAP3IN))*((1000)-(c_TMAP3OUT))+IF(((1000)-(c_TMAP3OUT))&gt;=0,1,-1)*QUOTIENT(((1000)-(c_TMAP3IN)),2)))&lt;0,-1,0),IF(IF(o_WRAP=1,MOD(((1000)-(c_TMAP3IN))*(((A837)-(c_TMAP3IN))*((1000)-(c_TMAP3OUT))+IF(((1000)-(c_TMAP3OUT))&gt;=0,1,-1)*QUOTIENT(((1000)-(c_TMAP3IN)),2))+2147483648,4294967296)-2147483648,((1000)-(c_TMAP3IN))*(((A837)-(c_TMAP3IN))*((1000)-(c_TMAP3OUT))+IF(((1000)-(c_TMAP3OUT))&gt;=0,1,-1)*QUOTIENT(((1000)-(c_TMAP3IN)),2)))&gt;=0,1,0)))</f>
        <v>793</v>
      </c>
      <c r="H837" s="7" t="str">
        <f aca="false">IF(A837&gt;=c_TFWD,IF(AND(A837&gt;=c_TMAP3IN,c_TMAP3IN&lt;1000),"Seg4 map3-100%",IF(AND(A837&gt;=c_TMAP2IN,c_TMAP3IN&gt;c_TMAP2IN),"Seg3 map2-map3",IF(AND(A837&gt;=c_TMAP1IN,c_TMAP2IN&gt;c_TMAP1IN),"Seg2 map1-map2","Seg1 TFWD-map1"))),IF(AND(A837=0,c_TCREEP&gt;0),"Creep",IF(AND(A837&lt;=c_TRNGMIN,A837&gt;=c_TRNGMAX,c_TRNGMIN-c_TRNGMAX&lt;&gt;0),"Regen ramp","Coast (0)")))</f>
        <v>Seg4 map3-100%</v>
      </c>
      <c r="I837" s="7" t="n">
        <f aca="false">IF(A837&gt;=c_TFWD,IF(AND(A837&gt;=c_TMAP3IN,c_TMAP3IN&lt;1000),G837,IF(AND(A837&gt;=c_TMAP2IN,c_TMAP3IN&gt;c_TMAP2IN),F837,IF(AND(A837&gt;=c_TMAP1IN,c_TMAP2IN&gt;c_TMAP1IN),E837,D837))),C837)</f>
        <v>793</v>
      </c>
      <c r="J837" s="7" t="str">
        <f aca="false">IF(I837&lt;-1090,"TOO LOW",IF(I837&gt;1090,"TOO HIGH",""))</f>
        <v/>
      </c>
      <c r="K837" s="15" t="n">
        <f aca="false">IF(J837&lt;&gt;"",0,IF(I837&gt;979,1000,I837))</f>
        <v>793</v>
      </c>
      <c r="L837" s="7" t="n">
        <f aca="false">K837/10</f>
        <v>79.3</v>
      </c>
    </row>
    <row r="838" customFormat="false" ht="15" hidden="false" customHeight="false" outlineLevel="0" collapsed="false">
      <c r="A838" s="7" t="n">
        <v>833</v>
      </c>
      <c r="B838" s="7" t="n">
        <f aca="false">A838/10</f>
        <v>83.3</v>
      </c>
      <c r="C838" s="7" t="n">
        <f aca="false">IF(AND(A838=0,c_TCREEP&gt;0),10*c_TCREEP,IF(AND(A838&lt;=c_TRNGMIN,A838&gt;=c_TRNGMAX,c_TRNGMIN-c_TRNGMAX&lt;&gt;0),-10*c_TMINRN+QUOTIENT((c_TMAXRN-c_TMINRN)*(100-QUOTIENT((A838-c_TRNGMAX)*100,c_TRNGMIN-c_TRNGMAX)),-10),0))</f>
        <v>0</v>
      </c>
      <c r="D838" s="7" t="n">
        <f aca="false">IF(((c_TMAP1IN)-(c_TFWD))=0,(0)+QUOTIENT(((c_TMAP1OUT)-(0)),2),QUOTIENT((((A838)-(c_TFWD))*((c_TMAP1OUT)-(0))+IF(((c_TMAP1OUT)-(0))&gt;=0,1,-1)*QUOTIENT(((c_TMAP1IN)-(c_TFWD)),2)),((c_TMAP1IN)-(c_TFWD)))+(0)+IF(((c_TMAP1OUT)-(0))&gt;=0,IF(IF(o_WRAP=1,MOD(((c_TMAP1IN)-(c_TFWD))*(((A838)-(c_TFWD))*((c_TMAP1OUT)-(0))+IF(((c_TMAP1OUT)-(0))&gt;=0,1,-1)*QUOTIENT(((c_TMAP1IN)-(c_TFWD)),2))+2147483648,4294967296)-2147483648,((c_TMAP1IN)-(c_TFWD))*(((A838)-(c_TFWD))*((c_TMAP1OUT)-(0))+IF(((c_TMAP1OUT)-(0))&gt;=0,1,-1)*QUOTIENT(((c_TMAP1IN)-(c_TFWD)),2)))&lt;0,-1,0),IF(IF(o_WRAP=1,MOD(((c_TMAP1IN)-(c_TFWD))*(((A838)-(c_TFWD))*((c_TMAP1OUT)-(0))+IF(((c_TMAP1OUT)-(0))&gt;=0,1,-1)*QUOTIENT(((c_TMAP1IN)-(c_TFWD)),2))+2147483648,4294967296)-2147483648,((c_TMAP1IN)-(c_TFWD))*(((A838)-(c_TFWD))*((c_TMAP1OUT)-(0))+IF(((c_TMAP1OUT)-(0))&gt;=0,1,-1)*QUOTIENT(((c_TMAP1IN)-(c_TFWD)),2)))&gt;=0,1,0)))</f>
        <v>640</v>
      </c>
      <c r="E838" s="7" t="n">
        <f aca="false">IF(((c_TMAP2IN)-(c_TMAP1IN))=0,(c_TMAP1OUT)+QUOTIENT(((c_TMAP2OUT)-(c_TMAP1OUT)),2),QUOTIENT((((A838)-(c_TMAP1IN))*((c_TMAP2OUT)-(c_TMAP1OUT))+IF(((c_TMAP2OUT)-(c_TMAP1OUT))&gt;=0,1,-1)*QUOTIENT(((c_TMAP2IN)-(c_TMAP1IN)),2)),((c_TMAP2IN)-(c_TMAP1IN)))+(c_TMAP1OUT)+IF(((c_TMAP2OUT)-(c_TMAP1OUT))&gt;=0,IF(IF(o_WRAP=1,MOD(((c_TMAP2IN)-(c_TMAP1IN))*(((A838)-(c_TMAP1IN))*((c_TMAP2OUT)-(c_TMAP1OUT))+IF(((c_TMAP2OUT)-(c_TMAP1OUT))&gt;=0,1,-1)*QUOTIENT(((c_TMAP2IN)-(c_TMAP1IN)),2))+2147483648,4294967296)-2147483648,((c_TMAP2IN)-(c_TMAP1IN))*(((A838)-(c_TMAP1IN))*((c_TMAP2OUT)-(c_TMAP1OUT))+IF(((c_TMAP2OUT)-(c_TMAP1OUT))&gt;=0,1,-1)*QUOTIENT(((c_TMAP2IN)-(c_TMAP1IN)),2)))&lt;0,-1,0),IF(IF(o_WRAP=1,MOD(((c_TMAP2IN)-(c_TMAP1IN))*(((A838)-(c_TMAP1IN))*((c_TMAP2OUT)-(c_TMAP1OUT))+IF(((c_TMAP2OUT)-(c_TMAP1OUT))&gt;=0,1,-1)*QUOTIENT(((c_TMAP2IN)-(c_TMAP1IN)),2))+2147483648,4294967296)-2147483648,((c_TMAP2IN)-(c_TMAP1IN))*(((A838)-(c_TMAP1IN))*((c_TMAP2OUT)-(c_TMAP1OUT))+IF(((c_TMAP2OUT)-(c_TMAP1OUT))&gt;=0,1,-1)*QUOTIENT(((c_TMAP2IN)-(c_TMAP1IN)),2)))&gt;=0,1,0)))</f>
        <v>363</v>
      </c>
      <c r="F838" s="7" t="n">
        <f aca="false">IF(((c_TMAP3IN)-(c_TMAP2IN))=0,(c_TMAP2OUT)+QUOTIENT(((c_TMAP3OUT)-(c_TMAP2OUT)),2),QUOTIENT((((A838)-(c_TMAP2IN))*((c_TMAP3OUT)-(c_TMAP2OUT))+IF(((c_TMAP3OUT)-(c_TMAP2OUT))&gt;=0,1,-1)*QUOTIENT(((c_TMAP3IN)-(c_TMAP2IN)),2)),((c_TMAP3IN)-(c_TMAP2IN)))+(c_TMAP2OUT)+IF(((c_TMAP3OUT)-(c_TMAP2OUT))&gt;=0,IF(IF(o_WRAP=1,MOD(((c_TMAP3IN)-(c_TMAP2IN))*(((A838)-(c_TMAP2IN))*((c_TMAP3OUT)-(c_TMAP2OUT))+IF(((c_TMAP3OUT)-(c_TMAP2OUT))&gt;=0,1,-1)*QUOTIENT(((c_TMAP3IN)-(c_TMAP2IN)),2))+2147483648,4294967296)-2147483648,((c_TMAP3IN)-(c_TMAP2IN))*(((A838)-(c_TMAP2IN))*((c_TMAP3OUT)-(c_TMAP2OUT))+IF(((c_TMAP3OUT)-(c_TMAP2OUT))&gt;=0,1,-1)*QUOTIENT(((c_TMAP3IN)-(c_TMAP2IN)),2)))&lt;0,-1,0),IF(IF(o_WRAP=1,MOD(((c_TMAP3IN)-(c_TMAP2IN))*(((A838)-(c_TMAP2IN))*((c_TMAP3OUT)-(c_TMAP2OUT))+IF(((c_TMAP3OUT)-(c_TMAP2OUT))&gt;=0,1,-1)*QUOTIENT(((c_TMAP3IN)-(c_TMAP2IN)),2))+2147483648,4294967296)-2147483648,((c_TMAP3IN)-(c_TMAP2IN))*(((A838)-(c_TMAP2IN))*((c_TMAP3OUT)-(c_TMAP2OUT))+IF(((c_TMAP3OUT)-(c_TMAP2OUT))&gt;=0,1,-1)*QUOTIENT(((c_TMAP3IN)-(c_TMAP2IN)),2)))&gt;=0,1,0)))</f>
        <v>538</v>
      </c>
      <c r="G838" s="7" t="n">
        <f aca="false">IF(((1000)-(c_TMAP3IN))=0,(c_TMAP3OUT)+QUOTIENT(((1000)-(c_TMAP3OUT)),2),QUOTIENT((((A838)-(c_TMAP3IN))*((1000)-(c_TMAP3OUT))+IF(((1000)-(c_TMAP3OUT))&gt;=0,1,-1)*QUOTIENT(((1000)-(c_TMAP3IN)),2)),((1000)-(c_TMAP3IN)))+(c_TMAP3OUT)+IF(((1000)-(c_TMAP3OUT))&gt;=0,IF(IF(o_WRAP=1,MOD(((1000)-(c_TMAP3IN))*(((A838)-(c_TMAP3IN))*((1000)-(c_TMAP3OUT))+IF(((1000)-(c_TMAP3OUT))&gt;=0,1,-1)*QUOTIENT(((1000)-(c_TMAP3IN)),2))+2147483648,4294967296)-2147483648,((1000)-(c_TMAP3IN))*(((A838)-(c_TMAP3IN))*((1000)-(c_TMAP3OUT))+IF(((1000)-(c_TMAP3OUT))&gt;=0,1,-1)*QUOTIENT(((1000)-(c_TMAP3IN)),2)))&lt;0,-1,0),IF(IF(o_WRAP=1,MOD(((1000)-(c_TMAP3IN))*(((A838)-(c_TMAP3IN))*((1000)-(c_TMAP3OUT))+IF(((1000)-(c_TMAP3OUT))&gt;=0,1,-1)*QUOTIENT(((1000)-(c_TMAP3IN)),2))+2147483648,4294967296)-2147483648,((1000)-(c_TMAP3IN))*(((A838)-(c_TMAP3IN))*((1000)-(c_TMAP3OUT))+IF(((1000)-(c_TMAP3OUT))&gt;=0,1,-1)*QUOTIENT(((1000)-(c_TMAP3IN)),2)))&gt;=0,1,0)))</f>
        <v>794</v>
      </c>
      <c r="H838" s="7" t="str">
        <f aca="false">IF(A838&gt;=c_TFWD,IF(AND(A838&gt;=c_TMAP3IN,c_TMAP3IN&lt;1000),"Seg4 map3-100%",IF(AND(A838&gt;=c_TMAP2IN,c_TMAP3IN&gt;c_TMAP2IN),"Seg3 map2-map3",IF(AND(A838&gt;=c_TMAP1IN,c_TMAP2IN&gt;c_TMAP1IN),"Seg2 map1-map2","Seg1 TFWD-map1"))),IF(AND(A838=0,c_TCREEP&gt;0),"Creep",IF(AND(A838&lt;=c_TRNGMIN,A838&gt;=c_TRNGMAX,c_TRNGMIN-c_TRNGMAX&lt;&gt;0),"Regen ramp","Coast (0)")))</f>
        <v>Seg4 map3-100%</v>
      </c>
      <c r="I838" s="7" t="n">
        <f aca="false">IF(A838&gt;=c_TFWD,IF(AND(A838&gt;=c_TMAP3IN,c_TMAP3IN&lt;1000),G838,IF(AND(A838&gt;=c_TMAP2IN,c_TMAP3IN&gt;c_TMAP2IN),F838,IF(AND(A838&gt;=c_TMAP1IN,c_TMAP2IN&gt;c_TMAP1IN),E838,D838))),C838)</f>
        <v>794</v>
      </c>
      <c r="J838" s="7" t="str">
        <f aca="false">IF(I838&lt;-1090,"TOO LOW",IF(I838&gt;1090,"TOO HIGH",""))</f>
        <v/>
      </c>
      <c r="K838" s="15" t="n">
        <f aca="false">IF(J838&lt;&gt;"",0,IF(I838&gt;979,1000,I838))</f>
        <v>794</v>
      </c>
      <c r="L838" s="7" t="n">
        <f aca="false">K838/10</f>
        <v>79.4</v>
      </c>
    </row>
    <row r="839" customFormat="false" ht="15" hidden="false" customHeight="false" outlineLevel="0" collapsed="false">
      <c r="A839" s="7" t="n">
        <v>834</v>
      </c>
      <c r="B839" s="7" t="n">
        <f aca="false">A839/10</f>
        <v>83.4</v>
      </c>
      <c r="C839" s="7" t="n">
        <f aca="false">IF(AND(A839=0,c_TCREEP&gt;0),10*c_TCREEP,IF(AND(A839&lt;=c_TRNGMIN,A839&gt;=c_TRNGMAX,c_TRNGMIN-c_TRNGMAX&lt;&gt;0),-10*c_TMINRN+QUOTIENT((c_TMAXRN-c_TMINRN)*(100-QUOTIENT((A839-c_TRNGMAX)*100,c_TRNGMIN-c_TRNGMAX)),-10),0))</f>
        <v>0</v>
      </c>
      <c r="D839" s="7" t="n">
        <f aca="false">IF(((c_TMAP1IN)-(c_TFWD))=0,(0)+QUOTIENT(((c_TMAP1OUT)-(0)),2),QUOTIENT((((A839)-(c_TFWD))*((c_TMAP1OUT)-(0))+IF(((c_TMAP1OUT)-(0))&gt;=0,1,-1)*QUOTIENT(((c_TMAP1IN)-(c_TFWD)),2)),((c_TMAP1IN)-(c_TFWD)))+(0)+IF(((c_TMAP1OUT)-(0))&gt;=0,IF(IF(o_WRAP=1,MOD(((c_TMAP1IN)-(c_TFWD))*(((A839)-(c_TFWD))*((c_TMAP1OUT)-(0))+IF(((c_TMAP1OUT)-(0))&gt;=0,1,-1)*QUOTIENT(((c_TMAP1IN)-(c_TFWD)),2))+2147483648,4294967296)-2147483648,((c_TMAP1IN)-(c_TFWD))*(((A839)-(c_TFWD))*((c_TMAP1OUT)-(0))+IF(((c_TMAP1OUT)-(0))&gt;=0,1,-1)*QUOTIENT(((c_TMAP1IN)-(c_TFWD)),2)))&lt;0,-1,0),IF(IF(o_WRAP=1,MOD(((c_TMAP1IN)-(c_TFWD))*(((A839)-(c_TFWD))*((c_TMAP1OUT)-(0))+IF(((c_TMAP1OUT)-(0))&gt;=0,1,-1)*QUOTIENT(((c_TMAP1IN)-(c_TFWD)),2))+2147483648,4294967296)-2147483648,((c_TMAP1IN)-(c_TFWD))*(((A839)-(c_TFWD))*((c_TMAP1OUT)-(0))+IF(((c_TMAP1OUT)-(0))&gt;=0,1,-1)*QUOTIENT(((c_TMAP1IN)-(c_TFWD)),2)))&gt;=0,1,0)))</f>
        <v>641</v>
      </c>
      <c r="E839" s="7" t="n">
        <f aca="false">IF(((c_TMAP2IN)-(c_TMAP1IN))=0,(c_TMAP1OUT)+QUOTIENT(((c_TMAP2OUT)-(c_TMAP1OUT)),2),QUOTIENT((((A839)-(c_TMAP1IN))*((c_TMAP2OUT)-(c_TMAP1OUT))+IF(((c_TMAP2OUT)-(c_TMAP1OUT))&gt;=0,1,-1)*QUOTIENT(((c_TMAP2IN)-(c_TMAP1IN)),2)),((c_TMAP2IN)-(c_TMAP1IN)))+(c_TMAP1OUT)+IF(((c_TMAP2OUT)-(c_TMAP1OUT))&gt;=0,IF(IF(o_WRAP=1,MOD(((c_TMAP2IN)-(c_TMAP1IN))*(((A839)-(c_TMAP1IN))*((c_TMAP2OUT)-(c_TMAP1OUT))+IF(((c_TMAP2OUT)-(c_TMAP1OUT))&gt;=0,1,-1)*QUOTIENT(((c_TMAP2IN)-(c_TMAP1IN)),2))+2147483648,4294967296)-2147483648,((c_TMAP2IN)-(c_TMAP1IN))*(((A839)-(c_TMAP1IN))*((c_TMAP2OUT)-(c_TMAP1OUT))+IF(((c_TMAP2OUT)-(c_TMAP1OUT))&gt;=0,1,-1)*QUOTIENT(((c_TMAP2IN)-(c_TMAP1IN)),2)))&lt;0,-1,0),IF(IF(o_WRAP=1,MOD(((c_TMAP2IN)-(c_TMAP1IN))*(((A839)-(c_TMAP1IN))*((c_TMAP2OUT)-(c_TMAP1OUT))+IF(((c_TMAP2OUT)-(c_TMAP1OUT))&gt;=0,1,-1)*QUOTIENT(((c_TMAP2IN)-(c_TMAP1IN)),2))+2147483648,4294967296)-2147483648,((c_TMAP2IN)-(c_TMAP1IN))*(((A839)-(c_TMAP1IN))*((c_TMAP2OUT)-(c_TMAP1OUT))+IF(((c_TMAP2OUT)-(c_TMAP1OUT))&gt;=0,1,-1)*QUOTIENT(((c_TMAP2IN)-(c_TMAP1IN)),2)))&gt;=0,1,0)))</f>
        <v>364</v>
      </c>
      <c r="F839" s="7" t="n">
        <f aca="false">IF(((c_TMAP3IN)-(c_TMAP2IN))=0,(c_TMAP2OUT)+QUOTIENT(((c_TMAP3OUT)-(c_TMAP2OUT)),2),QUOTIENT((((A839)-(c_TMAP2IN))*((c_TMAP3OUT)-(c_TMAP2OUT))+IF(((c_TMAP3OUT)-(c_TMAP2OUT))&gt;=0,1,-1)*QUOTIENT(((c_TMAP3IN)-(c_TMAP2IN)),2)),((c_TMAP3IN)-(c_TMAP2IN)))+(c_TMAP2OUT)+IF(((c_TMAP3OUT)-(c_TMAP2OUT))&gt;=0,IF(IF(o_WRAP=1,MOD(((c_TMAP3IN)-(c_TMAP2IN))*(((A839)-(c_TMAP2IN))*((c_TMAP3OUT)-(c_TMAP2OUT))+IF(((c_TMAP3OUT)-(c_TMAP2OUT))&gt;=0,1,-1)*QUOTIENT(((c_TMAP3IN)-(c_TMAP2IN)),2))+2147483648,4294967296)-2147483648,((c_TMAP3IN)-(c_TMAP2IN))*(((A839)-(c_TMAP2IN))*((c_TMAP3OUT)-(c_TMAP2OUT))+IF(((c_TMAP3OUT)-(c_TMAP2OUT))&gt;=0,1,-1)*QUOTIENT(((c_TMAP3IN)-(c_TMAP2IN)),2)))&lt;0,-1,0),IF(IF(o_WRAP=1,MOD(((c_TMAP3IN)-(c_TMAP2IN))*(((A839)-(c_TMAP2IN))*((c_TMAP3OUT)-(c_TMAP2OUT))+IF(((c_TMAP3OUT)-(c_TMAP2OUT))&gt;=0,1,-1)*QUOTIENT(((c_TMAP3IN)-(c_TMAP2IN)),2))+2147483648,4294967296)-2147483648,((c_TMAP3IN)-(c_TMAP2IN))*(((A839)-(c_TMAP2IN))*((c_TMAP3OUT)-(c_TMAP2OUT))+IF(((c_TMAP3OUT)-(c_TMAP2OUT))&gt;=0,1,-1)*QUOTIENT(((c_TMAP3IN)-(c_TMAP2IN)),2)))&gt;=0,1,0)))</f>
        <v>539</v>
      </c>
      <c r="G839" s="7" t="n">
        <f aca="false">IF(((1000)-(c_TMAP3IN))=0,(c_TMAP3OUT)+QUOTIENT(((1000)-(c_TMAP3OUT)),2),QUOTIENT((((A839)-(c_TMAP3IN))*((1000)-(c_TMAP3OUT))+IF(((1000)-(c_TMAP3OUT))&gt;=0,1,-1)*QUOTIENT(((1000)-(c_TMAP3IN)),2)),((1000)-(c_TMAP3IN)))+(c_TMAP3OUT)+IF(((1000)-(c_TMAP3OUT))&gt;=0,IF(IF(o_WRAP=1,MOD(((1000)-(c_TMAP3IN))*(((A839)-(c_TMAP3IN))*((1000)-(c_TMAP3OUT))+IF(((1000)-(c_TMAP3OUT))&gt;=0,1,-1)*QUOTIENT(((1000)-(c_TMAP3IN)),2))+2147483648,4294967296)-2147483648,((1000)-(c_TMAP3IN))*(((A839)-(c_TMAP3IN))*((1000)-(c_TMAP3OUT))+IF(((1000)-(c_TMAP3OUT))&gt;=0,1,-1)*QUOTIENT(((1000)-(c_TMAP3IN)),2)))&lt;0,-1,0),IF(IF(o_WRAP=1,MOD(((1000)-(c_TMAP3IN))*(((A839)-(c_TMAP3IN))*((1000)-(c_TMAP3OUT))+IF(((1000)-(c_TMAP3OUT))&gt;=0,1,-1)*QUOTIENT(((1000)-(c_TMAP3IN)),2))+2147483648,4294967296)-2147483648,((1000)-(c_TMAP3IN))*(((A839)-(c_TMAP3IN))*((1000)-(c_TMAP3OUT))+IF(((1000)-(c_TMAP3OUT))&gt;=0,1,-1)*QUOTIENT(((1000)-(c_TMAP3IN)),2)))&gt;=0,1,0)))</f>
        <v>796</v>
      </c>
      <c r="H839" s="7" t="str">
        <f aca="false">IF(A839&gt;=c_TFWD,IF(AND(A839&gt;=c_TMAP3IN,c_TMAP3IN&lt;1000),"Seg4 map3-100%",IF(AND(A839&gt;=c_TMAP2IN,c_TMAP3IN&gt;c_TMAP2IN),"Seg3 map2-map3",IF(AND(A839&gt;=c_TMAP1IN,c_TMAP2IN&gt;c_TMAP1IN),"Seg2 map1-map2","Seg1 TFWD-map1"))),IF(AND(A839=0,c_TCREEP&gt;0),"Creep",IF(AND(A839&lt;=c_TRNGMIN,A839&gt;=c_TRNGMAX,c_TRNGMIN-c_TRNGMAX&lt;&gt;0),"Regen ramp","Coast (0)")))</f>
        <v>Seg4 map3-100%</v>
      </c>
      <c r="I839" s="7" t="n">
        <f aca="false">IF(A839&gt;=c_TFWD,IF(AND(A839&gt;=c_TMAP3IN,c_TMAP3IN&lt;1000),G839,IF(AND(A839&gt;=c_TMAP2IN,c_TMAP3IN&gt;c_TMAP2IN),F839,IF(AND(A839&gt;=c_TMAP1IN,c_TMAP2IN&gt;c_TMAP1IN),E839,D839))),C839)</f>
        <v>796</v>
      </c>
      <c r="J839" s="7" t="str">
        <f aca="false">IF(I839&lt;-1090,"TOO LOW",IF(I839&gt;1090,"TOO HIGH",""))</f>
        <v/>
      </c>
      <c r="K839" s="15" t="n">
        <f aca="false">IF(J839&lt;&gt;"",0,IF(I839&gt;979,1000,I839))</f>
        <v>796</v>
      </c>
      <c r="L839" s="7" t="n">
        <f aca="false">K839/10</f>
        <v>79.6</v>
      </c>
    </row>
    <row r="840" customFormat="false" ht="15" hidden="false" customHeight="false" outlineLevel="0" collapsed="false">
      <c r="A840" s="7" t="n">
        <v>835</v>
      </c>
      <c r="B840" s="7" t="n">
        <f aca="false">A840/10</f>
        <v>83.5</v>
      </c>
      <c r="C840" s="7" t="n">
        <f aca="false">IF(AND(A840=0,c_TCREEP&gt;0),10*c_TCREEP,IF(AND(A840&lt;=c_TRNGMIN,A840&gt;=c_TRNGMAX,c_TRNGMIN-c_TRNGMAX&lt;&gt;0),-10*c_TMINRN+QUOTIENT((c_TMAXRN-c_TMINRN)*(100-QUOTIENT((A840-c_TRNGMAX)*100,c_TRNGMIN-c_TRNGMAX)),-10),0))</f>
        <v>0</v>
      </c>
      <c r="D840" s="7" t="n">
        <f aca="false">IF(((c_TMAP1IN)-(c_TFWD))=0,(0)+QUOTIENT(((c_TMAP1OUT)-(0)),2),QUOTIENT((((A840)-(c_TFWD))*((c_TMAP1OUT)-(0))+IF(((c_TMAP1OUT)-(0))&gt;=0,1,-1)*QUOTIENT(((c_TMAP1IN)-(c_TFWD)),2)),((c_TMAP1IN)-(c_TFWD)))+(0)+IF(((c_TMAP1OUT)-(0))&gt;=0,IF(IF(o_WRAP=1,MOD(((c_TMAP1IN)-(c_TFWD))*(((A840)-(c_TFWD))*((c_TMAP1OUT)-(0))+IF(((c_TMAP1OUT)-(0))&gt;=0,1,-1)*QUOTIENT(((c_TMAP1IN)-(c_TFWD)),2))+2147483648,4294967296)-2147483648,((c_TMAP1IN)-(c_TFWD))*(((A840)-(c_TFWD))*((c_TMAP1OUT)-(0))+IF(((c_TMAP1OUT)-(0))&gt;=0,1,-1)*QUOTIENT(((c_TMAP1IN)-(c_TFWD)),2)))&lt;0,-1,0),IF(IF(o_WRAP=1,MOD(((c_TMAP1IN)-(c_TFWD))*(((A840)-(c_TFWD))*((c_TMAP1OUT)-(0))+IF(((c_TMAP1OUT)-(0))&gt;=0,1,-1)*QUOTIENT(((c_TMAP1IN)-(c_TFWD)),2))+2147483648,4294967296)-2147483648,((c_TMAP1IN)-(c_TFWD))*(((A840)-(c_TFWD))*((c_TMAP1OUT)-(0))+IF(((c_TMAP1OUT)-(0))&gt;=0,1,-1)*QUOTIENT(((c_TMAP1IN)-(c_TFWD)),2)))&gt;=0,1,0)))</f>
        <v>642</v>
      </c>
      <c r="E840" s="7" t="n">
        <f aca="false">IF(((c_TMAP2IN)-(c_TMAP1IN))=0,(c_TMAP1OUT)+QUOTIENT(((c_TMAP2OUT)-(c_TMAP1OUT)),2),QUOTIENT((((A840)-(c_TMAP1IN))*((c_TMAP2OUT)-(c_TMAP1OUT))+IF(((c_TMAP2OUT)-(c_TMAP1OUT))&gt;=0,1,-1)*QUOTIENT(((c_TMAP2IN)-(c_TMAP1IN)),2)),((c_TMAP2IN)-(c_TMAP1IN)))+(c_TMAP1OUT)+IF(((c_TMAP2OUT)-(c_TMAP1OUT))&gt;=0,IF(IF(o_WRAP=1,MOD(((c_TMAP2IN)-(c_TMAP1IN))*(((A840)-(c_TMAP1IN))*((c_TMAP2OUT)-(c_TMAP1OUT))+IF(((c_TMAP2OUT)-(c_TMAP1OUT))&gt;=0,1,-1)*QUOTIENT(((c_TMAP2IN)-(c_TMAP1IN)),2))+2147483648,4294967296)-2147483648,((c_TMAP2IN)-(c_TMAP1IN))*(((A840)-(c_TMAP1IN))*((c_TMAP2OUT)-(c_TMAP1OUT))+IF(((c_TMAP2OUT)-(c_TMAP1OUT))&gt;=0,1,-1)*QUOTIENT(((c_TMAP2IN)-(c_TMAP1IN)),2)))&lt;0,-1,0),IF(IF(o_WRAP=1,MOD(((c_TMAP2IN)-(c_TMAP1IN))*(((A840)-(c_TMAP1IN))*((c_TMAP2OUT)-(c_TMAP1OUT))+IF(((c_TMAP2OUT)-(c_TMAP1OUT))&gt;=0,1,-1)*QUOTIENT(((c_TMAP2IN)-(c_TMAP1IN)),2))+2147483648,4294967296)-2147483648,((c_TMAP2IN)-(c_TMAP1IN))*(((A840)-(c_TMAP1IN))*((c_TMAP2OUT)-(c_TMAP1OUT))+IF(((c_TMAP2OUT)-(c_TMAP1OUT))&gt;=0,1,-1)*QUOTIENT(((c_TMAP2IN)-(c_TMAP1IN)),2)))&gt;=0,1,0)))</f>
        <v>364</v>
      </c>
      <c r="F840" s="7" t="n">
        <f aca="false">IF(((c_TMAP3IN)-(c_TMAP2IN))=0,(c_TMAP2OUT)+QUOTIENT(((c_TMAP3OUT)-(c_TMAP2OUT)),2),QUOTIENT((((A840)-(c_TMAP2IN))*((c_TMAP3OUT)-(c_TMAP2OUT))+IF(((c_TMAP3OUT)-(c_TMAP2OUT))&gt;=0,1,-1)*QUOTIENT(((c_TMAP3IN)-(c_TMAP2IN)),2)),((c_TMAP3IN)-(c_TMAP2IN)))+(c_TMAP2OUT)+IF(((c_TMAP3OUT)-(c_TMAP2OUT))&gt;=0,IF(IF(o_WRAP=1,MOD(((c_TMAP3IN)-(c_TMAP2IN))*(((A840)-(c_TMAP2IN))*((c_TMAP3OUT)-(c_TMAP2OUT))+IF(((c_TMAP3OUT)-(c_TMAP2OUT))&gt;=0,1,-1)*QUOTIENT(((c_TMAP3IN)-(c_TMAP2IN)),2))+2147483648,4294967296)-2147483648,((c_TMAP3IN)-(c_TMAP2IN))*(((A840)-(c_TMAP2IN))*((c_TMAP3OUT)-(c_TMAP2OUT))+IF(((c_TMAP3OUT)-(c_TMAP2OUT))&gt;=0,1,-1)*QUOTIENT(((c_TMAP3IN)-(c_TMAP2IN)),2)))&lt;0,-1,0),IF(IF(o_WRAP=1,MOD(((c_TMAP3IN)-(c_TMAP2IN))*(((A840)-(c_TMAP2IN))*((c_TMAP3OUT)-(c_TMAP2OUT))+IF(((c_TMAP3OUT)-(c_TMAP2OUT))&gt;=0,1,-1)*QUOTIENT(((c_TMAP3IN)-(c_TMAP2IN)),2))+2147483648,4294967296)-2147483648,((c_TMAP3IN)-(c_TMAP2IN))*(((A840)-(c_TMAP2IN))*((c_TMAP3OUT)-(c_TMAP2OUT))+IF(((c_TMAP3OUT)-(c_TMAP2OUT))&gt;=0,1,-1)*QUOTIENT(((c_TMAP3IN)-(c_TMAP2IN)),2)))&gt;=0,1,0)))</f>
        <v>540</v>
      </c>
      <c r="G840" s="7" t="n">
        <f aca="false">IF(((1000)-(c_TMAP3IN))=0,(c_TMAP3OUT)+QUOTIENT(((1000)-(c_TMAP3OUT)),2),QUOTIENT((((A840)-(c_TMAP3IN))*((1000)-(c_TMAP3OUT))+IF(((1000)-(c_TMAP3OUT))&gt;=0,1,-1)*QUOTIENT(((1000)-(c_TMAP3IN)),2)),((1000)-(c_TMAP3IN)))+(c_TMAP3OUT)+IF(((1000)-(c_TMAP3OUT))&gt;=0,IF(IF(o_WRAP=1,MOD(((1000)-(c_TMAP3IN))*(((A840)-(c_TMAP3IN))*((1000)-(c_TMAP3OUT))+IF(((1000)-(c_TMAP3OUT))&gt;=0,1,-1)*QUOTIENT(((1000)-(c_TMAP3IN)),2))+2147483648,4294967296)-2147483648,((1000)-(c_TMAP3IN))*(((A840)-(c_TMAP3IN))*((1000)-(c_TMAP3OUT))+IF(((1000)-(c_TMAP3OUT))&gt;=0,1,-1)*QUOTIENT(((1000)-(c_TMAP3IN)),2)))&lt;0,-1,0),IF(IF(o_WRAP=1,MOD(((1000)-(c_TMAP3IN))*(((A840)-(c_TMAP3IN))*((1000)-(c_TMAP3OUT))+IF(((1000)-(c_TMAP3OUT))&gt;=0,1,-1)*QUOTIENT(((1000)-(c_TMAP3IN)),2))+2147483648,4294967296)-2147483648,((1000)-(c_TMAP3IN))*(((A840)-(c_TMAP3IN))*((1000)-(c_TMAP3OUT))+IF(((1000)-(c_TMAP3OUT))&gt;=0,1,-1)*QUOTIENT(((1000)-(c_TMAP3IN)),2)))&gt;=0,1,0)))</f>
        <v>797</v>
      </c>
      <c r="H840" s="7" t="str">
        <f aca="false">IF(A840&gt;=c_TFWD,IF(AND(A840&gt;=c_TMAP3IN,c_TMAP3IN&lt;1000),"Seg4 map3-100%",IF(AND(A840&gt;=c_TMAP2IN,c_TMAP3IN&gt;c_TMAP2IN),"Seg3 map2-map3",IF(AND(A840&gt;=c_TMAP1IN,c_TMAP2IN&gt;c_TMAP1IN),"Seg2 map1-map2","Seg1 TFWD-map1"))),IF(AND(A840=0,c_TCREEP&gt;0),"Creep",IF(AND(A840&lt;=c_TRNGMIN,A840&gt;=c_TRNGMAX,c_TRNGMIN-c_TRNGMAX&lt;&gt;0),"Regen ramp","Coast (0)")))</f>
        <v>Seg4 map3-100%</v>
      </c>
      <c r="I840" s="7" t="n">
        <f aca="false">IF(A840&gt;=c_TFWD,IF(AND(A840&gt;=c_TMAP3IN,c_TMAP3IN&lt;1000),G840,IF(AND(A840&gt;=c_TMAP2IN,c_TMAP3IN&gt;c_TMAP2IN),F840,IF(AND(A840&gt;=c_TMAP1IN,c_TMAP2IN&gt;c_TMAP1IN),E840,D840))),C840)</f>
        <v>797</v>
      </c>
      <c r="J840" s="7" t="str">
        <f aca="false">IF(I840&lt;-1090,"TOO LOW",IF(I840&gt;1090,"TOO HIGH",""))</f>
        <v/>
      </c>
      <c r="K840" s="15" t="n">
        <f aca="false">IF(J840&lt;&gt;"",0,IF(I840&gt;979,1000,I840))</f>
        <v>797</v>
      </c>
      <c r="L840" s="7" t="n">
        <f aca="false">K840/10</f>
        <v>79.7</v>
      </c>
    </row>
    <row r="841" customFormat="false" ht="15" hidden="false" customHeight="false" outlineLevel="0" collapsed="false">
      <c r="A841" s="7" t="n">
        <v>836</v>
      </c>
      <c r="B841" s="7" t="n">
        <f aca="false">A841/10</f>
        <v>83.6</v>
      </c>
      <c r="C841" s="7" t="n">
        <f aca="false">IF(AND(A841=0,c_TCREEP&gt;0),10*c_TCREEP,IF(AND(A841&lt;=c_TRNGMIN,A841&gt;=c_TRNGMAX,c_TRNGMIN-c_TRNGMAX&lt;&gt;0),-10*c_TMINRN+QUOTIENT((c_TMAXRN-c_TMINRN)*(100-QUOTIENT((A841-c_TRNGMAX)*100,c_TRNGMIN-c_TRNGMAX)),-10),0))</f>
        <v>0</v>
      </c>
      <c r="D841" s="7" t="n">
        <f aca="false">IF(((c_TMAP1IN)-(c_TFWD))=0,(0)+QUOTIENT(((c_TMAP1OUT)-(0)),2),QUOTIENT((((A841)-(c_TFWD))*((c_TMAP1OUT)-(0))+IF(((c_TMAP1OUT)-(0))&gt;=0,1,-1)*QUOTIENT(((c_TMAP1IN)-(c_TFWD)),2)),((c_TMAP1IN)-(c_TFWD)))+(0)+IF(((c_TMAP1OUT)-(0))&gt;=0,IF(IF(o_WRAP=1,MOD(((c_TMAP1IN)-(c_TFWD))*(((A841)-(c_TFWD))*((c_TMAP1OUT)-(0))+IF(((c_TMAP1OUT)-(0))&gt;=0,1,-1)*QUOTIENT(((c_TMAP1IN)-(c_TFWD)),2))+2147483648,4294967296)-2147483648,((c_TMAP1IN)-(c_TFWD))*(((A841)-(c_TFWD))*((c_TMAP1OUT)-(0))+IF(((c_TMAP1OUT)-(0))&gt;=0,1,-1)*QUOTIENT(((c_TMAP1IN)-(c_TFWD)),2)))&lt;0,-1,0),IF(IF(o_WRAP=1,MOD(((c_TMAP1IN)-(c_TFWD))*(((A841)-(c_TFWD))*((c_TMAP1OUT)-(0))+IF(((c_TMAP1OUT)-(0))&gt;=0,1,-1)*QUOTIENT(((c_TMAP1IN)-(c_TFWD)),2))+2147483648,4294967296)-2147483648,((c_TMAP1IN)-(c_TFWD))*(((A841)-(c_TFWD))*((c_TMAP1OUT)-(0))+IF(((c_TMAP1OUT)-(0))&gt;=0,1,-1)*QUOTIENT(((c_TMAP1IN)-(c_TFWD)),2)))&gt;=0,1,0)))</f>
        <v>642</v>
      </c>
      <c r="E841" s="7" t="n">
        <f aca="false">IF(((c_TMAP2IN)-(c_TMAP1IN))=0,(c_TMAP1OUT)+QUOTIENT(((c_TMAP2OUT)-(c_TMAP1OUT)),2),QUOTIENT((((A841)-(c_TMAP1IN))*((c_TMAP2OUT)-(c_TMAP1OUT))+IF(((c_TMAP2OUT)-(c_TMAP1OUT))&gt;=0,1,-1)*QUOTIENT(((c_TMAP2IN)-(c_TMAP1IN)),2)),((c_TMAP2IN)-(c_TMAP1IN)))+(c_TMAP1OUT)+IF(((c_TMAP2OUT)-(c_TMAP1OUT))&gt;=0,IF(IF(o_WRAP=1,MOD(((c_TMAP2IN)-(c_TMAP1IN))*(((A841)-(c_TMAP1IN))*((c_TMAP2OUT)-(c_TMAP1OUT))+IF(((c_TMAP2OUT)-(c_TMAP1OUT))&gt;=0,1,-1)*QUOTIENT(((c_TMAP2IN)-(c_TMAP1IN)),2))+2147483648,4294967296)-2147483648,((c_TMAP2IN)-(c_TMAP1IN))*(((A841)-(c_TMAP1IN))*((c_TMAP2OUT)-(c_TMAP1OUT))+IF(((c_TMAP2OUT)-(c_TMAP1OUT))&gt;=0,1,-1)*QUOTIENT(((c_TMAP2IN)-(c_TMAP1IN)),2)))&lt;0,-1,0),IF(IF(o_WRAP=1,MOD(((c_TMAP2IN)-(c_TMAP1IN))*(((A841)-(c_TMAP1IN))*((c_TMAP2OUT)-(c_TMAP1OUT))+IF(((c_TMAP2OUT)-(c_TMAP1OUT))&gt;=0,1,-1)*QUOTIENT(((c_TMAP2IN)-(c_TMAP1IN)),2))+2147483648,4294967296)-2147483648,((c_TMAP2IN)-(c_TMAP1IN))*(((A841)-(c_TMAP1IN))*((c_TMAP2OUT)-(c_TMAP1OUT))+IF(((c_TMAP2OUT)-(c_TMAP1OUT))&gt;=0,1,-1)*QUOTIENT(((c_TMAP2IN)-(c_TMAP1IN)),2)))&gt;=0,1,0)))</f>
        <v>364</v>
      </c>
      <c r="F841" s="7" t="n">
        <f aca="false">IF(((c_TMAP3IN)-(c_TMAP2IN))=0,(c_TMAP2OUT)+QUOTIENT(((c_TMAP3OUT)-(c_TMAP2OUT)),2),QUOTIENT((((A841)-(c_TMAP2IN))*((c_TMAP3OUT)-(c_TMAP2OUT))+IF(((c_TMAP3OUT)-(c_TMAP2OUT))&gt;=0,1,-1)*QUOTIENT(((c_TMAP3IN)-(c_TMAP2IN)),2)),((c_TMAP3IN)-(c_TMAP2IN)))+(c_TMAP2OUT)+IF(((c_TMAP3OUT)-(c_TMAP2OUT))&gt;=0,IF(IF(o_WRAP=1,MOD(((c_TMAP3IN)-(c_TMAP2IN))*(((A841)-(c_TMAP2IN))*((c_TMAP3OUT)-(c_TMAP2OUT))+IF(((c_TMAP3OUT)-(c_TMAP2OUT))&gt;=0,1,-1)*QUOTIENT(((c_TMAP3IN)-(c_TMAP2IN)),2))+2147483648,4294967296)-2147483648,((c_TMAP3IN)-(c_TMAP2IN))*(((A841)-(c_TMAP2IN))*((c_TMAP3OUT)-(c_TMAP2OUT))+IF(((c_TMAP3OUT)-(c_TMAP2OUT))&gt;=0,1,-1)*QUOTIENT(((c_TMAP3IN)-(c_TMAP2IN)),2)))&lt;0,-1,0),IF(IF(o_WRAP=1,MOD(((c_TMAP3IN)-(c_TMAP2IN))*(((A841)-(c_TMAP2IN))*((c_TMAP3OUT)-(c_TMAP2OUT))+IF(((c_TMAP3OUT)-(c_TMAP2OUT))&gt;=0,1,-1)*QUOTIENT(((c_TMAP3IN)-(c_TMAP2IN)),2))+2147483648,4294967296)-2147483648,((c_TMAP3IN)-(c_TMAP2IN))*(((A841)-(c_TMAP2IN))*((c_TMAP3OUT)-(c_TMAP2OUT))+IF(((c_TMAP3OUT)-(c_TMAP2OUT))&gt;=0,1,-1)*QUOTIENT(((c_TMAP3IN)-(c_TMAP2IN)),2)))&gt;=0,1,0)))</f>
        <v>540</v>
      </c>
      <c r="G841" s="7" t="n">
        <f aca="false">IF(((1000)-(c_TMAP3IN))=0,(c_TMAP3OUT)+QUOTIENT(((1000)-(c_TMAP3OUT)),2),QUOTIENT((((A841)-(c_TMAP3IN))*((1000)-(c_TMAP3OUT))+IF(((1000)-(c_TMAP3OUT))&gt;=0,1,-1)*QUOTIENT(((1000)-(c_TMAP3IN)),2)),((1000)-(c_TMAP3IN)))+(c_TMAP3OUT)+IF(((1000)-(c_TMAP3OUT))&gt;=0,IF(IF(o_WRAP=1,MOD(((1000)-(c_TMAP3IN))*(((A841)-(c_TMAP3IN))*((1000)-(c_TMAP3OUT))+IF(((1000)-(c_TMAP3OUT))&gt;=0,1,-1)*QUOTIENT(((1000)-(c_TMAP3IN)),2))+2147483648,4294967296)-2147483648,((1000)-(c_TMAP3IN))*(((A841)-(c_TMAP3IN))*((1000)-(c_TMAP3OUT))+IF(((1000)-(c_TMAP3OUT))&gt;=0,1,-1)*QUOTIENT(((1000)-(c_TMAP3IN)),2)))&lt;0,-1,0),IF(IF(o_WRAP=1,MOD(((1000)-(c_TMAP3IN))*(((A841)-(c_TMAP3IN))*((1000)-(c_TMAP3OUT))+IF(((1000)-(c_TMAP3OUT))&gt;=0,1,-1)*QUOTIENT(((1000)-(c_TMAP3IN)),2))+2147483648,4294967296)-2147483648,((1000)-(c_TMAP3IN))*(((A841)-(c_TMAP3IN))*((1000)-(c_TMAP3OUT))+IF(((1000)-(c_TMAP3OUT))&gt;=0,1,-1)*QUOTIENT(((1000)-(c_TMAP3IN)),2)))&gt;=0,1,0)))</f>
        <v>798</v>
      </c>
      <c r="H841" s="7" t="str">
        <f aca="false">IF(A841&gt;=c_TFWD,IF(AND(A841&gt;=c_TMAP3IN,c_TMAP3IN&lt;1000),"Seg4 map3-100%",IF(AND(A841&gt;=c_TMAP2IN,c_TMAP3IN&gt;c_TMAP2IN),"Seg3 map2-map3",IF(AND(A841&gt;=c_TMAP1IN,c_TMAP2IN&gt;c_TMAP1IN),"Seg2 map1-map2","Seg1 TFWD-map1"))),IF(AND(A841=0,c_TCREEP&gt;0),"Creep",IF(AND(A841&lt;=c_TRNGMIN,A841&gt;=c_TRNGMAX,c_TRNGMIN-c_TRNGMAX&lt;&gt;0),"Regen ramp","Coast (0)")))</f>
        <v>Seg4 map3-100%</v>
      </c>
      <c r="I841" s="7" t="n">
        <f aca="false">IF(A841&gt;=c_TFWD,IF(AND(A841&gt;=c_TMAP3IN,c_TMAP3IN&lt;1000),G841,IF(AND(A841&gt;=c_TMAP2IN,c_TMAP3IN&gt;c_TMAP2IN),F841,IF(AND(A841&gt;=c_TMAP1IN,c_TMAP2IN&gt;c_TMAP1IN),E841,D841))),C841)</f>
        <v>798</v>
      </c>
      <c r="J841" s="7" t="str">
        <f aca="false">IF(I841&lt;-1090,"TOO LOW",IF(I841&gt;1090,"TOO HIGH",""))</f>
        <v/>
      </c>
      <c r="K841" s="15" t="n">
        <f aca="false">IF(J841&lt;&gt;"",0,IF(I841&gt;979,1000,I841))</f>
        <v>798</v>
      </c>
      <c r="L841" s="7" t="n">
        <f aca="false">K841/10</f>
        <v>79.8</v>
      </c>
    </row>
    <row r="842" customFormat="false" ht="15" hidden="false" customHeight="false" outlineLevel="0" collapsed="false">
      <c r="A842" s="7" t="n">
        <v>837</v>
      </c>
      <c r="B842" s="7" t="n">
        <f aca="false">A842/10</f>
        <v>83.7</v>
      </c>
      <c r="C842" s="7" t="n">
        <f aca="false">IF(AND(A842=0,c_TCREEP&gt;0),10*c_TCREEP,IF(AND(A842&lt;=c_TRNGMIN,A842&gt;=c_TRNGMAX,c_TRNGMIN-c_TRNGMAX&lt;&gt;0),-10*c_TMINRN+QUOTIENT((c_TMAXRN-c_TMINRN)*(100-QUOTIENT((A842-c_TRNGMAX)*100,c_TRNGMIN-c_TRNGMAX)),-10),0))</f>
        <v>0</v>
      </c>
      <c r="D842" s="7" t="n">
        <f aca="false">IF(((c_TMAP1IN)-(c_TFWD))=0,(0)+QUOTIENT(((c_TMAP1OUT)-(0)),2),QUOTIENT((((A842)-(c_TFWD))*((c_TMAP1OUT)-(0))+IF(((c_TMAP1OUT)-(0))&gt;=0,1,-1)*QUOTIENT(((c_TMAP1IN)-(c_TFWD)),2)),((c_TMAP1IN)-(c_TFWD)))+(0)+IF(((c_TMAP1OUT)-(0))&gt;=0,IF(IF(o_WRAP=1,MOD(((c_TMAP1IN)-(c_TFWD))*(((A842)-(c_TFWD))*((c_TMAP1OUT)-(0))+IF(((c_TMAP1OUT)-(0))&gt;=0,1,-1)*QUOTIENT(((c_TMAP1IN)-(c_TFWD)),2))+2147483648,4294967296)-2147483648,((c_TMAP1IN)-(c_TFWD))*(((A842)-(c_TFWD))*((c_TMAP1OUT)-(0))+IF(((c_TMAP1OUT)-(0))&gt;=0,1,-1)*QUOTIENT(((c_TMAP1IN)-(c_TFWD)),2)))&lt;0,-1,0),IF(IF(o_WRAP=1,MOD(((c_TMAP1IN)-(c_TFWD))*(((A842)-(c_TFWD))*((c_TMAP1OUT)-(0))+IF(((c_TMAP1OUT)-(0))&gt;=0,1,-1)*QUOTIENT(((c_TMAP1IN)-(c_TFWD)),2))+2147483648,4294967296)-2147483648,((c_TMAP1IN)-(c_TFWD))*(((A842)-(c_TFWD))*((c_TMAP1OUT)-(0))+IF(((c_TMAP1OUT)-(0))&gt;=0,1,-1)*QUOTIENT(((c_TMAP1IN)-(c_TFWD)),2)))&gt;=0,1,0)))</f>
        <v>643</v>
      </c>
      <c r="E842" s="7" t="n">
        <f aca="false">IF(((c_TMAP2IN)-(c_TMAP1IN))=0,(c_TMAP1OUT)+QUOTIENT(((c_TMAP2OUT)-(c_TMAP1OUT)),2),QUOTIENT((((A842)-(c_TMAP1IN))*((c_TMAP2OUT)-(c_TMAP1OUT))+IF(((c_TMAP2OUT)-(c_TMAP1OUT))&gt;=0,1,-1)*QUOTIENT(((c_TMAP2IN)-(c_TMAP1IN)),2)),((c_TMAP2IN)-(c_TMAP1IN)))+(c_TMAP1OUT)+IF(((c_TMAP2OUT)-(c_TMAP1OUT))&gt;=0,IF(IF(o_WRAP=1,MOD(((c_TMAP2IN)-(c_TMAP1IN))*(((A842)-(c_TMAP1IN))*((c_TMAP2OUT)-(c_TMAP1OUT))+IF(((c_TMAP2OUT)-(c_TMAP1OUT))&gt;=0,1,-1)*QUOTIENT(((c_TMAP2IN)-(c_TMAP1IN)),2))+2147483648,4294967296)-2147483648,((c_TMAP2IN)-(c_TMAP1IN))*(((A842)-(c_TMAP1IN))*((c_TMAP2OUT)-(c_TMAP1OUT))+IF(((c_TMAP2OUT)-(c_TMAP1OUT))&gt;=0,1,-1)*QUOTIENT(((c_TMAP2IN)-(c_TMAP1IN)),2)))&lt;0,-1,0),IF(IF(o_WRAP=1,MOD(((c_TMAP2IN)-(c_TMAP1IN))*(((A842)-(c_TMAP1IN))*((c_TMAP2OUT)-(c_TMAP1OUT))+IF(((c_TMAP2OUT)-(c_TMAP1OUT))&gt;=0,1,-1)*QUOTIENT(((c_TMAP2IN)-(c_TMAP1IN)),2))+2147483648,4294967296)-2147483648,((c_TMAP2IN)-(c_TMAP1IN))*(((A842)-(c_TMAP1IN))*((c_TMAP2OUT)-(c_TMAP1OUT))+IF(((c_TMAP2OUT)-(c_TMAP1OUT))&gt;=0,1,-1)*QUOTIENT(((c_TMAP2IN)-(c_TMAP1IN)),2)))&gt;=0,1,0)))</f>
        <v>365</v>
      </c>
      <c r="F842" s="7" t="n">
        <f aca="false">IF(((c_TMAP3IN)-(c_TMAP2IN))=0,(c_TMAP2OUT)+QUOTIENT(((c_TMAP3OUT)-(c_TMAP2OUT)),2),QUOTIENT((((A842)-(c_TMAP2IN))*((c_TMAP3OUT)-(c_TMAP2OUT))+IF(((c_TMAP3OUT)-(c_TMAP2OUT))&gt;=0,1,-1)*QUOTIENT(((c_TMAP3IN)-(c_TMAP2IN)),2)),((c_TMAP3IN)-(c_TMAP2IN)))+(c_TMAP2OUT)+IF(((c_TMAP3OUT)-(c_TMAP2OUT))&gt;=0,IF(IF(o_WRAP=1,MOD(((c_TMAP3IN)-(c_TMAP2IN))*(((A842)-(c_TMAP2IN))*((c_TMAP3OUT)-(c_TMAP2OUT))+IF(((c_TMAP3OUT)-(c_TMAP2OUT))&gt;=0,1,-1)*QUOTIENT(((c_TMAP3IN)-(c_TMAP2IN)),2))+2147483648,4294967296)-2147483648,((c_TMAP3IN)-(c_TMAP2IN))*(((A842)-(c_TMAP2IN))*((c_TMAP3OUT)-(c_TMAP2OUT))+IF(((c_TMAP3OUT)-(c_TMAP2OUT))&gt;=0,1,-1)*QUOTIENT(((c_TMAP3IN)-(c_TMAP2IN)),2)))&lt;0,-1,0),IF(IF(o_WRAP=1,MOD(((c_TMAP3IN)-(c_TMAP2IN))*(((A842)-(c_TMAP2IN))*((c_TMAP3OUT)-(c_TMAP2OUT))+IF(((c_TMAP3OUT)-(c_TMAP2OUT))&gt;=0,1,-1)*QUOTIENT(((c_TMAP3IN)-(c_TMAP2IN)),2))+2147483648,4294967296)-2147483648,((c_TMAP3IN)-(c_TMAP2IN))*(((A842)-(c_TMAP2IN))*((c_TMAP3OUT)-(c_TMAP2OUT))+IF(((c_TMAP3OUT)-(c_TMAP2OUT))&gt;=0,1,-1)*QUOTIENT(((c_TMAP3IN)-(c_TMAP2IN)),2)))&gt;=0,1,0)))</f>
        <v>541</v>
      </c>
      <c r="G842" s="7" t="n">
        <f aca="false">IF(((1000)-(c_TMAP3IN))=0,(c_TMAP3OUT)+QUOTIENT(((1000)-(c_TMAP3OUT)),2),QUOTIENT((((A842)-(c_TMAP3IN))*((1000)-(c_TMAP3OUT))+IF(((1000)-(c_TMAP3OUT))&gt;=0,1,-1)*QUOTIENT(((1000)-(c_TMAP3IN)),2)),((1000)-(c_TMAP3IN)))+(c_TMAP3OUT)+IF(((1000)-(c_TMAP3OUT))&gt;=0,IF(IF(o_WRAP=1,MOD(((1000)-(c_TMAP3IN))*(((A842)-(c_TMAP3IN))*((1000)-(c_TMAP3OUT))+IF(((1000)-(c_TMAP3OUT))&gt;=0,1,-1)*QUOTIENT(((1000)-(c_TMAP3IN)),2))+2147483648,4294967296)-2147483648,((1000)-(c_TMAP3IN))*(((A842)-(c_TMAP3IN))*((1000)-(c_TMAP3OUT))+IF(((1000)-(c_TMAP3OUT))&gt;=0,1,-1)*QUOTIENT(((1000)-(c_TMAP3IN)),2)))&lt;0,-1,0),IF(IF(o_WRAP=1,MOD(((1000)-(c_TMAP3IN))*(((A842)-(c_TMAP3IN))*((1000)-(c_TMAP3OUT))+IF(((1000)-(c_TMAP3OUT))&gt;=0,1,-1)*QUOTIENT(((1000)-(c_TMAP3IN)),2))+2147483648,4294967296)-2147483648,((1000)-(c_TMAP3IN))*(((A842)-(c_TMAP3IN))*((1000)-(c_TMAP3OUT))+IF(((1000)-(c_TMAP3OUT))&gt;=0,1,-1)*QUOTIENT(((1000)-(c_TMAP3IN)),2)))&gt;=0,1,0)))</f>
        <v>799</v>
      </c>
      <c r="H842" s="7" t="str">
        <f aca="false">IF(A842&gt;=c_TFWD,IF(AND(A842&gt;=c_TMAP3IN,c_TMAP3IN&lt;1000),"Seg4 map3-100%",IF(AND(A842&gt;=c_TMAP2IN,c_TMAP3IN&gt;c_TMAP2IN),"Seg3 map2-map3",IF(AND(A842&gt;=c_TMAP1IN,c_TMAP2IN&gt;c_TMAP1IN),"Seg2 map1-map2","Seg1 TFWD-map1"))),IF(AND(A842=0,c_TCREEP&gt;0),"Creep",IF(AND(A842&lt;=c_TRNGMIN,A842&gt;=c_TRNGMAX,c_TRNGMIN-c_TRNGMAX&lt;&gt;0),"Regen ramp","Coast (0)")))</f>
        <v>Seg4 map3-100%</v>
      </c>
      <c r="I842" s="7" t="n">
        <f aca="false">IF(A842&gt;=c_TFWD,IF(AND(A842&gt;=c_TMAP3IN,c_TMAP3IN&lt;1000),G842,IF(AND(A842&gt;=c_TMAP2IN,c_TMAP3IN&gt;c_TMAP2IN),F842,IF(AND(A842&gt;=c_TMAP1IN,c_TMAP2IN&gt;c_TMAP1IN),E842,D842))),C842)</f>
        <v>799</v>
      </c>
      <c r="J842" s="7" t="str">
        <f aca="false">IF(I842&lt;-1090,"TOO LOW",IF(I842&gt;1090,"TOO HIGH",""))</f>
        <v/>
      </c>
      <c r="K842" s="15" t="n">
        <f aca="false">IF(J842&lt;&gt;"",0,IF(I842&gt;979,1000,I842))</f>
        <v>799</v>
      </c>
      <c r="L842" s="7" t="n">
        <f aca="false">K842/10</f>
        <v>79.9</v>
      </c>
    </row>
    <row r="843" customFormat="false" ht="15" hidden="false" customHeight="false" outlineLevel="0" collapsed="false">
      <c r="A843" s="7" t="n">
        <v>838</v>
      </c>
      <c r="B843" s="7" t="n">
        <f aca="false">A843/10</f>
        <v>83.8</v>
      </c>
      <c r="C843" s="7" t="n">
        <f aca="false">IF(AND(A843=0,c_TCREEP&gt;0),10*c_TCREEP,IF(AND(A843&lt;=c_TRNGMIN,A843&gt;=c_TRNGMAX,c_TRNGMIN-c_TRNGMAX&lt;&gt;0),-10*c_TMINRN+QUOTIENT((c_TMAXRN-c_TMINRN)*(100-QUOTIENT((A843-c_TRNGMAX)*100,c_TRNGMIN-c_TRNGMAX)),-10),0))</f>
        <v>0</v>
      </c>
      <c r="D843" s="7" t="n">
        <f aca="false">IF(((c_TMAP1IN)-(c_TFWD))=0,(0)+QUOTIENT(((c_TMAP1OUT)-(0)),2),QUOTIENT((((A843)-(c_TFWD))*((c_TMAP1OUT)-(0))+IF(((c_TMAP1OUT)-(0))&gt;=0,1,-1)*QUOTIENT(((c_TMAP1IN)-(c_TFWD)),2)),((c_TMAP1IN)-(c_TFWD)))+(0)+IF(((c_TMAP1OUT)-(0))&gt;=0,IF(IF(o_WRAP=1,MOD(((c_TMAP1IN)-(c_TFWD))*(((A843)-(c_TFWD))*((c_TMAP1OUT)-(0))+IF(((c_TMAP1OUT)-(0))&gt;=0,1,-1)*QUOTIENT(((c_TMAP1IN)-(c_TFWD)),2))+2147483648,4294967296)-2147483648,((c_TMAP1IN)-(c_TFWD))*(((A843)-(c_TFWD))*((c_TMAP1OUT)-(0))+IF(((c_TMAP1OUT)-(0))&gt;=0,1,-1)*QUOTIENT(((c_TMAP1IN)-(c_TFWD)),2)))&lt;0,-1,0),IF(IF(o_WRAP=1,MOD(((c_TMAP1IN)-(c_TFWD))*(((A843)-(c_TFWD))*((c_TMAP1OUT)-(0))+IF(((c_TMAP1OUT)-(0))&gt;=0,1,-1)*QUOTIENT(((c_TMAP1IN)-(c_TFWD)),2))+2147483648,4294967296)-2147483648,((c_TMAP1IN)-(c_TFWD))*(((A843)-(c_TFWD))*((c_TMAP1OUT)-(0))+IF(((c_TMAP1OUT)-(0))&gt;=0,1,-1)*QUOTIENT(((c_TMAP1IN)-(c_TFWD)),2)))&gt;=0,1,0)))</f>
        <v>644</v>
      </c>
      <c r="E843" s="7" t="n">
        <f aca="false">IF(((c_TMAP2IN)-(c_TMAP1IN))=0,(c_TMAP1OUT)+QUOTIENT(((c_TMAP2OUT)-(c_TMAP1OUT)),2),QUOTIENT((((A843)-(c_TMAP1IN))*((c_TMAP2OUT)-(c_TMAP1OUT))+IF(((c_TMAP2OUT)-(c_TMAP1OUT))&gt;=0,1,-1)*QUOTIENT(((c_TMAP2IN)-(c_TMAP1IN)),2)),((c_TMAP2IN)-(c_TMAP1IN)))+(c_TMAP1OUT)+IF(((c_TMAP2OUT)-(c_TMAP1OUT))&gt;=0,IF(IF(o_WRAP=1,MOD(((c_TMAP2IN)-(c_TMAP1IN))*(((A843)-(c_TMAP1IN))*((c_TMAP2OUT)-(c_TMAP1OUT))+IF(((c_TMAP2OUT)-(c_TMAP1OUT))&gt;=0,1,-1)*QUOTIENT(((c_TMAP2IN)-(c_TMAP1IN)),2))+2147483648,4294967296)-2147483648,((c_TMAP2IN)-(c_TMAP1IN))*(((A843)-(c_TMAP1IN))*((c_TMAP2OUT)-(c_TMAP1OUT))+IF(((c_TMAP2OUT)-(c_TMAP1OUT))&gt;=0,1,-1)*QUOTIENT(((c_TMAP2IN)-(c_TMAP1IN)),2)))&lt;0,-1,0),IF(IF(o_WRAP=1,MOD(((c_TMAP2IN)-(c_TMAP1IN))*(((A843)-(c_TMAP1IN))*((c_TMAP2OUT)-(c_TMAP1OUT))+IF(((c_TMAP2OUT)-(c_TMAP1OUT))&gt;=0,1,-1)*QUOTIENT(((c_TMAP2IN)-(c_TMAP1IN)),2))+2147483648,4294967296)-2147483648,((c_TMAP2IN)-(c_TMAP1IN))*(((A843)-(c_TMAP1IN))*((c_TMAP2OUT)-(c_TMAP1OUT))+IF(((c_TMAP2OUT)-(c_TMAP1OUT))&gt;=0,1,-1)*QUOTIENT(((c_TMAP2IN)-(c_TMAP1IN)),2)))&gt;=0,1,0)))</f>
        <v>365</v>
      </c>
      <c r="F843" s="7" t="n">
        <f aca="false">IF(((c_TMAP3IN)-(c_TMAP2IN))=0,(c_TMAP2OUT)+QUOTIENT(((c_TMAP3OUT)-(c_TMAP2OUT)),2),QUOTIENT((((A843)-(c_TMAP2IN))*((c_TMAP3OUT)-(c_TMAP2OUT))+IF(((c_TMAP3OUT)-(c_TMAP2OUT))&gt;=0,1,-1)*QUOTIENT(((c_TMAP3IN)-(c_TMAP2IN)),2)),((c_TMAP3IN)-(c_TMAP2IN)))+(c_TMAP2OUT)+IF(((c_TMAP3OUT)-(c_TMAP2OUT))&gt;=0,IF(IF(o_WRAP=1,MOD(((c_TMAP3IN)-(c_TMAP2IN))*(((A843)-(c_TMAP2IN))*((c_TMAP3OUT)-(c_TMAP2OUT))+IF(((c_TMAP3OUT)-(c_TMAP2OUT))&gt;=0,1,-1)*QUOTIENT(((c_TMAP3IN)-(c_TMAP2IN)),2))+2147483648,4294967296)-2147483648,((c_TMAP3IN)-(c_TMAP2IN))*(((A843)-(c_TMAP2IN))*((c_TMAP3OUT)-(c_TMAP2OUT))+IF(((c_TMAP3OUT)-(c_TMAP2OUT))&gt;=0,1,-1)*QUOTIENT(((c_TMAP3IN)-(c_TMAP2IN)),2)))&lt;0,-1,0),IF(IF(o_WRAP=1,MOD(((c_TMAP3IN)-(c_TMAP2IN))*(((A843)-(c_TMAP2IN))*((c_TMAP3OUT)-(c_TMAP2OUT))+IF(((c_TMAP3OUT)-(c_TMAP2OUT))&gt;=0,1,-1)*QUOTIENT(((c_TMAP3IN)-(c_TMAP2IN)),2))+2147483648,4294967296)-2147483648,((c_TMAP3IN)-(c_TMAP2IN))*(((A843)-(c_TMAP2IN))*((c_TMAP3OUT)-(c_TMAP2OUT))+IF(((c_TMAP3OUT)-(c_TMAP2OUT))&gt;=0,1,-1)*QUOTIENT(((c_TMAP3IN)-(c_TMAP2IN)),2)))&gt;=0,1,0)))</f>
        <v>542</v>
      </c>
      <c r="G843" s="7" t="n">
        <f aca="false">IF(((1000)-(c_TMAP3IN))=0,(c_TMAP3OUT)+QUOTIENT(((1000)-(c_TMAP3OUT)),2),QUOTIENT((((A843)-(c_TMAP3IN))*((1000)-(c_TMAP3OUT))+IF(((1000)-(c_TMAP3OUT))&gt;=0,1,-1)*QUOTIENT(((1000)-(c_TMAP3IN)),2)),((1000)-(c_TMAP3IN)))+(c_TMAP3OUT)+IF(((1000)-(c_TMAP3OUT))&gt;=0,IF(IF(o_WRAP=1,MOD(((1000)-(c_TMAP3IN))*(((A843)-(c_TMAP3IN))*((1000)-(c_TMAP3OUT))+IF(((1000)-(c_TMAP3OUT))&gt;=0,1,-1)*QUOTIENT(((1000)-(c_TMAP3IN)),2))+2147483648,4294967296)-2147483648,((1000)-(c_TMAP3IN))*(((A843)-(c_TMAP3IN))*((1000)-(c_TMAP3OUT))+IF(((1000)-(c_TMAP3OUT))&gt;=0,1,-1)*QUOTIENT(((1000)-(c_TMAP3IN)),2)))&lt;0,-1,0),IF(IF(o_WRAP=1,MOD(((1000)-(c_TMAP3IN))*(((A843)-(c_TMAP3IN))*((1000)-(c_TMAP3OUT))+IF(((1000)-(c_TMAP3OUT))&gt;=0,1,-1)*QUOTIENT(((1000)-(c_TMAP3IN)),2))+2147483648,4294967296)-2147483648,((1000)-(c_TMAP3IN))*(((A843)-(c_TMAP3IN))*((1000)-(c_TMAP3OUT))+IF(((1000)-(c_TMAP3OUT))&gt;=0,1,-1)*QUOTIENT(((1000)-(c_TMAP3IN)),2)))&gt;=0,1,0)))</f>
        <v>801</v>
      </c>
      <c r="H843" s="7" t="str">
        <f aca="false">IF(A843&gt;=c_TFWD,IF(AND(A843&gt;=c_TMAP3IN,c_TMAP3IN&lt;1000),"Seg4 map3-100%",IF(AND(A843&gt;=c_TMAP2IN,c_TMAP3IN&gt;c_TMAP2IN),"Seg3 map2-map3",IF(AND(A843&gt;=c_TMAP1IN,c_TMAP2IN&gt;c_TMAP1IN),"Seg2 map1-map2","Seg1 TFWD-map1"))),IF(AND(A843=0,c_TCREEP&gt;0),"Creep",IF(AND(A843&lt;=c_TRNGMIN,A843&gt;=c_TRNGMAX,c_TRNGMIN-c_TRNGMAX&lt;&gt;0),"Regen ramp","Coast (0)")))</f>
        <v>Seg4 map3-100%</v>
      </c>
      <c r="I843" s="7" t="n">
        <f aca="false">IF(A843&gt;=c_TFWD,IF(AND(A843&gt;=c_TMAP3IN,c_TMAP3IN&lt;1000),G843,IF(AND(A843&gt;=c_TMAP2IN,c_TMAP3IN&gt;c_TMAP2IN),F843,IF(AND(A843&gt;=c_TMAP1IN,c_TMAP2IN&gt;c_TMAP1IN),E843,D843))),C843)</f>
        <v>801</v>
      </c>
      <c r="J843" s="7" t="str">
        <f aca="false">IF(I843&lt;-1090,"TOO LOW",IF(I843&gt;1090,"TOO HIGH",""))</f>
        <v/>
      </c>
      <c r="K843" s="15" t="n">
        <f aca="false">IF(J843&lt;&gt;"",0,IF(I843&gt;979,1000,I843))</f>
        <v>801</v>
      </c>
      <c r="L843" s="7" t="n">
        <f aca="false">K843/10</f>
        <v>80.1</v>
      </c>
    </row>
    <row r="844" customFormat="false" ht="15" hidden="false" customHeight="false" outlineLevel="0" collapsed="false">
      <c r="A844" s="7" t="n">
        <v>839</v>
      </c>
      <c r="B844" s="7" t="n">
        <f aca="false">A844/10</f>
        <v>83.9</v>
      </c>
      <c r="C844" s="7" t="n">
        <f aca="false">IF(AND(A844=0,c_TCREEP&gt;0),10*c_TCREEP,IF(AND(A844&lt;=c_TRNGMIN,A844&gt;=c_TRNGMAX,c_TRNGMIN-c_TRNGMAX&lt;&gt;0),-10*c_TMINRN+QUOTIENT((c_TMAXRN-c_TMINRN)*(100-QUOTIENT((A844-c_TRNGMAX)*100,c_TRNGMIN-c_TRNGMAX)),-10),0))</f>
        <v>0</v>
      </c>
      <c r="D844" s="7" t="n">
        <f aca="false">IF(((c_TMAP1IN)-(c_TFWD))=0,(0)+QUOTIENT(((c_TMAP1OUT)-(0)),2),QUOTIENT((((A844)-(c_TFWD))*((c_TMAP1OUT)-(0))+IF(((c_TMAP1OUT)-(0))&gt;=0,1,-1)*QUOTIENT(((c_TMAP1IN)-(c_TFWD)),2)),((c_TMAP1IN)-(c_TFWD)))+(0)+IF(((c_TMAP1OUT)-(0))&gt;=0,IF(IF(o_WRAP=1,MOD(((c_TMAP1IN)-(c_TFWD))*(((A844)-(c_TFWD))*((c_TMAP1OUT)-(0))+IF(((c_TMAP1OUT)-(0))&gt;=0,1,-1)*QUOTIENT(((c_TMAP1IN)-(c_TFWD)),2))+2147483648,4294967296)-2147483648,((c_TMAP1IN)-(c_TFWD))*(((A844)-(c_TFWD))*((c_TMAP1OUT)-(0))+IF(((c_TMAP1OUT)-(0))&gt;=0,1,-1)*QUOTIENT(((c_TMAP1IN)-(c_TFWD)),2)))&lt;0,-1,0),IF(IF(o_WRAP=1,MOD(((c_TMAP1IN)-(c_TFWD))*(((A844)-(c_TFWD))*((c_TMAP1OUT)-(0))+IF(((c_TMAP1OUT)-(0))&gt;=0,1,-1)*QUOTIENT(((c_TMAP1IN)-(c_TFWD)),2))+2147483648,4294967296)-2147483648,((c_TMAP1IN)-(c_TFWD))*(((A844)-(c_TFWD))*((c_TMAP1OUT)-(0))+IF(((c_TMAP1OUT)-(0))&gt;=0,1,-1)*QUOTIENT(((c_TMAP1IN)-(c_TFWD)),2)))&gt;=0,1,0)))</f>
        <v>645</v>
      </c>
      <c r="E844" s="7" t="n">
        <f aca="false">IF(((c_TMAP2IN)-(c_TMAP1IN))=0,(c_TMAP1OUT)+QUOTIENT(((c_TMAP2OUT)-(c_TMAP1OUT)),2),QUOTIENT((((A844)-(c_TMAP1IN))*((c_TMAP2OUT)-(c_TMAP1OUT))+IF(((c_TMAP2OUT)-(c_TMAP1OUT))&gt;=0,1,-1)*QUOTIENT(((c_TMAP2IN)-(c_TMAP1IN)),2)),((c_TMAP2IN)-(c_TMAP1IN)))+(c_TMAP1OUT)+IF(((c_TMAP2OUT)-(c_TMAP1OUT))&gt;=0,IF(IF(o_WRAP=1,MOD(((c_TMAP2IN)-(c_TMAP1IN))*(((A844)-(c_TMAP1IN))*((c_TMAP2OUT)-(c_TMAP1OUT))+IF(((c_TMAP2OUT)-(c_TMAP1OUT))&gt;=0,1,-1)*QUOTIENT(((c_TMAP2IN)-(c_TMAP1IN)),2))+2147483648,4294967296)-2147483648,((c_TMAP2IN)-(c_TMAP1IN))*(((A844)-(c_TMAP1IN))*((c_TMAP2OUT)-(c_TMAP1OUT))+IF(((c_TMAP2OUT)-(c_TMAP1OUT))&gt;=0,1,-1)*QUOTIENT(((c_TMAP2IN)-(c_TMAP1IN)),2)))&lt;0,-1,0),IF(IF(o_WRAP=1,MOD(((c_TMAP2IN)-(c_TMAP1IN))*(((A844)-(c_TMAP1IN))*((c_TMAP2OUT)-(c_TMAP1OUT))+IF(((c_TMAP2OUT)-(c_TMAP1OUT))&gt;=0,1,-1)*QUOTIENT(((c_TMAP2IN)-(c_TMAP1IN)),2))+2147483648,4294967296)-2147483648,((c_TMAP2IN)-(c_TMAP1IN))*(((A844)-(c_TMAP1IN))*((c_TMAP2OUT)-(c_TMAP1OUT))+IF(((c_TMAP2OUT)-(c_TMAP1OUT))&gt;=0,1,-1)*QUOTIENT(((c_TMAP2IN)-(c_TMAP1IN)),2)))&gt;=0,1,0)))</f>
        <v>366</v>
      </c>
      <c r="F844" s="7" t="n">
        <f aca="false">IF(((c_TMAP3IN)-(c_TMAP2IN))=0,(c_TMAP2OUT)+QUOTIENT(((c_TMAP3OUT)-(c_TMAP2OUT)),2),QUOTIENT((((A844)-(c_TMAP2IN))*((c_TMAP3OUT)-(c_TMAP2OUT))+IF(((c_TMAP3OUT)-(c_TMAP2OUT))&gt;=0,1,-1)*QUOTIENT(((c_TMAP3IN)-(c_TMAP2IN)),2)),((c_TMAP3IN)-(c_TMAP2IN)))+(c_TMAP2OUT)+IF(((c_TMAP3OUT)-(c_TMAP2OUT))&gt;=0,IF(IF(o_WRAP=1,MOD(((c_TMAP3IN)-(c_TMAP2IN))*(((A844)-(c_TMAP2IN))*((c_TMAP3OUT)-(c_TMAP2OUT))+IF(((c_TMAP3OUT)-(c_TMAP2OUT))&gt;=0,1,-1)*QUOTIENT(((c_TMAP3IN)-(c_TMAP2IN)),2))+2147483648,4294967296)-2147483648,((c_TMAP3IN)-(c_TMAP2IN))*(((A844)-(c_TMAP2IN))*((c_TMAP3OUT)-(c_TMAP2OUT))+IF(((c_TMAP3OUT)-(c_TMAP2OUT))&gt;=0,1,-1)*QUOTIENT(((c_TMAP3IN)-(c_TMAP2IN)),2)))&lt;0,-1,0),IF(IF(o_WRAP=1,MOD(((c_TMAP3IN)-(c_TMAP2IN))*(((A844)-(c_TMAP2IN))*((c_TMAP3OUT)-(c_TMAP2OUT))+IF(((c_TMAP3OUT)-(c_TMAP2OUT))&gt;=0,1,-1)*QUOTIENT(((c_TMAP3IN)-(c_TMAP2IN)),2))+2147483648,4294967296)-2147483648,((c_TMAP3IN)-(c_TMAP2IN))*(((A844)-(c_TMAP2IN))*((c_TMAP3OUT)-(c_TMAP2OUT))+IF(((c_TMAP3OUT)-(c_TMAP2OUT))&gt;=0,1,-1)*QUOTIENT(((c_TMAP3IN)-(c_TMAP2IN)),2)))&gt;=0,1,0)))</f>
        <v>542</v>
      </c>
      <c r="G844" s="7" t="n">
        <f aca="false">IF(((1000)-(c_TMAP3IN))=0,(c_TMAP3OUT)+QUOTIENT(((1000)-(c_TMAP3OUT)),2),QUOTIENT((((A844)-(c_TMAP3IN))*((1000)-(c_TMAP3OUT))+IF(((1000)-(c_TMAP3OUT))&gt;=0,1,-1)*QUOTIENT(((1000)-(c_TMAP3IN)),2)),((1000)-(c_TMAP3IN)))+(c_TMAP3OUT)+IF(((1000)-(c_TMAP3OUT))&gt;=0,IF(IF(o_WRAP=1,MOD(((1000)-(c_TMAP3IN))*(((A844)-(c_TMAP3IN))*((1000)-(c_TMAP3OUT))+IF(((1000)-(c_TMAP3OUT))&gt;=0,1,-1)*QUOTIENT(((1000)-(c_TMAP3IN)),2))+2147483648,4294967296)-2147483648,((1000)-(c_TMAP3IN))*(((A844)-(c_TMAP3IN))*((1000)-(c_TMAP3OUT))+IF(((1000)-(c_TMAP3OUT))&gt;=0,1,-1)*QUOTIENT(((1000)-(c_TMAP3IN)),2)))&lt;0,-1,0),IF(IF(o_WRAP=1,MOD(((1000)-(c_TMAP3IN))*(((A844)-(c_TMAP3IN))*((1000)-(c_TMAP3OUT))+IF(((1000)-(c_TMAP3OUT))&gt;=0,1,-1)*QUOTIENT(((1000)-(c_TMAP3IN)),2))+2147483648,4294967296)-2147483648,((1000)-(c_TMAP3IN))*(((A844)-(c_TMAP3IN))*((1000)-(c_TMAP3OUT))+IF(((1000)-(c_TMAP3OUT))&gt;=0,1,-1)*QUOTIENT(((1000)-(c_TMAP3IN)),2)))&gt;=0,1,0)))</f>
        <v>802</v>
      </c>
      <c r="H844" s="7" t="str">
        <f aca="false">IF(A844&gt;=c_TFWD,IF(AND(A844&gt;=c_TMAP3IN,c_TMAP3IN&lt;1000),"Seg4 map3-100%",IF(AND(A844&gt;=c_TMAP2IN,c_TMAP3IN&gt;c_TMAP2IN),"Seg3 map2-map3",IF(AND(A844&gt;=c_TMAP1IN,c_TMAP2IN&gt;c_TMAP1IN),"Seg2 map1-map2","Seg1 TFWD-map1"))),IF(AND(A844=0,c_TCREEP&gt;0),"Creep",IF(AND(A844&lt;=c_TRNGMIN,A844&gt;=c_TRNGMAX,c_TRNGMIN-c_TRNGMAX&lt;&gt;0),"Regen ramp","Coast (0)")))</f>
        <v>Seg4 map3-100%</v>
      </c>
      <c r="I844" s="7" t="n">
        <f aca="false">IF(A844&gt;=c_TFWD,IF(AND(A844&gt;=c_TMAP3IN,c_TMAP3IN&lt;1000),G844,IF(AND(A844&gt;=c_TMAP2IN,c_TMAP3IN&gt;c_TMAP2IN),F844,IF(AND(A844&gt;=c_TMAP1IN,c_TMAP2IN&gt;c_TMAP1IN),E844,D844))),C844)</f>
        <v>802</v>
      </c>
      <c r="J844" s="7" t="str">
        <f aca="false">IF(I844&lt;-1090,"TOO LOW",IF(I844&gt;1090,"TOO HIGH",""))</f>
        <v/>
      </c>
      <c r="K844" s="15" t="n">
        <f aca="false">IF(J844&lt;&gt;"",0,IF(I844&gt;979,1000,I844))</f>
        <v>802</v>
      </c>
      <c r="L844" s="7" t="n">
        <f aca="false">K844/10</f>
        <v>80.2</v>
      </c>
    </row>
    <row r="845" customFormat="false" ht="15" hidden="false" customHeight="false" outlineLevel="0" collapsed="false">
      <c r="A845" s="7" t="n">
        <v>840</v>
      </c>
      <c r="B845" s="7" t="n">
        <f aca="false">A845/10</f>
        <v>84</v>
      </c>
      <c r="C845" s="7" t="n">
        <f aca="false">IF(AND(A845=0,c_TCREEP&gt;0),10*c_TCREEP,IF(AND(A845&lt;=c_TRNGMIN,A845&gt;=c_TRNGMAX,c_TRNGMIN-c_TRNGMAX&lt;&gt;0),-10*c_TMINRN+QUOTIENT((c_TMAXRN-c_TMINRN)*(100-QUOTIENT((A845-c_TRNGMAX)*100,c_TRNGMIN-c_TRNGMAX)),-10),0))</f>
        <v>0</v>
      </c>
      <c r="D845" s="7" t="n">
        <f aca="false">IF(((c_TMAP1IN)-(c_TFWD))=0,(0)+QUOTIENT(((c_TMAP1OUT)-(0)),2),QUOTIENT((((A845)-(c_TFWD))*((c_TMAP1OUT)-(0))+IF(((c_TMAP1OUT)-(0))&gt;=0,1,-1)*QUOTIENT(((c_TMAP1IN)-(c_TFWD)),2)),((c_TMAP1IN)-(c_TFWD)))+(0)+IF(((c_TMAP1OUT)-(0))&gt;=0,IF(IF(o_WRAP=1,MOD(((c_TMAP1IN)-(c_TFWD))*(((A845)-(c_TFWD))*((c_TMAP1OUT)-(0))+IF(((c_TMAP1OUT)-(0))&gt;=0,1,-1)*QUOTIENT(((c_TMAP1IN)-(c_TFWD)),2))+2147483648,4294967296)-2147483648,((c_TMAP1IN)-(c_TFWD))*(((A845)-(c_TFWD))*((c_TMAP1OUT)-(0))+IF(((c_TMAP1OUT)-(0))&gt;=0,1,-1)*QUOTIENT(((c_TMAP1IN)-(c_TFWD)),2)))&lt;0,-1,0),IF(IF(o_WRAP=1,MOD(((c_TMAP1IN)-(c_TFWD))*(((A845)-(c_TFWD))*((c_TMAP1OUT)-(0))+IF(((c_TMAP1OUT)-(0))&gt;=0,1,-1)*QUOTIENT(((c_TMAP1IN)-(c_TFWD)),2))+2147483648,4294967296)-2147483648,((c_TMAP1IN)-(c_TFWD))*(((A845)-(c_TFWD))*((c_TMAP1OUT)-(0))+IF(((c_TMAP1OUT)-(0))&gt;=0,1,-1)*QUOTIENT(((c_TMAP1IN)-(c_TFWD)),2)))&gt;=0,1,0)))</f>
        <v>646</v>
      </c>
      <c r="E845" s="7" t="n">
        <f aca="false">IF(((c_TMAP2IN)-(c_TMAP1IN))=0,(c_TMAP1OUT)+QUOTIENT(((c_TMAP2OUT)-(c_TMAP1OUT)),2),QUOTIENT((((A845)-(c_TMAP1IN))*((c_TMAP2OUT)-(c_TMAP1OUT))+IF(((c_TMAP2OUT)-(c_TMAP1OUT))&gt;=0,1,-1)*QUOTIENT(((c_TMAP2IN)-(c_TMAP1IN)),2)),((c_TMAP2IN)-(c_TMAP1IN)))+(c_TMAP1OUT)+IF(((c_TMAP2OUT)-(c_TMAP1OUT))&gt;=0,IF(IF(o_WRAP=1,MOD(((c_TMAP2IN)-(c_TMAP1IN))*(((A845)-(c_TMAP1IN))*((c_TMAP2OUT)-(c_TMAP1OUT))+IF(((c_TMAP2OUT)-(c_TMAP1OUT))&gt;=0,1,-1)*QUOTIENT(((c_TMAP2IN)-(c_TMAP1IN)),2))+2147483648,4294967296)-2147483648,((c_TMAP2IN)-(c_TMAP1IN))*(((A845)-(c_TMAP1IN))*((c_TMAP2OUT)-(c_TMAP1OUT))+IF(((c_TMAP2OUT)-(c_TMAP1OUT))&gt;=0,1,-1)*QUOTIENT(((c_TMAP2IN)-(c_TMAP1IN)),2)))&lt;0,-1,0),IF(IF(o_WRAP=1,MOD(((c_TMAP2IN)-(c_TMAP1IN))*(((A845)-(c_TMAP1IN))*((c_TMAP2OUT)-(c_TMAP1OUT))+IF(((c_TMAP2OUT)-(c_TMAP1OUT))&gt;=0,1,-1)*QUOTIENT(((c_TMAP2IN)-(c_TMAP1IN)),2))+2147483648,4294967296)-2147483648,((c_TMAP2IN)-(c_TMAP1IN))*(((A845)-(c_TMAP1IN))*((c_TMAP2OUT)-(c_TMAP1OUT))+IF(((c_TMAP2OUT)-(c_TMAP1OUT))&gt;=0,1,-1)*QUOTIENT(((c_TMAP2IN)-(c_TMAP1IN)),2)))&gt;=0,1,0)))</f>
        <v>366</v>
      </c>
      <c r="F845" s="7" t="n">
        <f aca="false">IF(((c_TMAP3IN)-(c_TMAP2IN))=0,(c_TMAP2OUT)+QUOTIENT(((c_TMAP3OUT)-(c_TMAP2OUT)),2),QUOTIENT((((A845)-(c_TMAP2IN))*((c_TMAP3OUT)-(c_TMAP2OUT))+IF(((c_TMAP3OUT)-(c_TMAP2OUT))&gt;=0,1,-1)*QUOTIENT(((c_TMAP3IN)-(c_TMAP2IN)),2)),((c_TMAP3IN)-(c_TMAP2IN)))+(c_TMAP2OUT)+IF(((c_TMAP3OUT)-(c_TMAP2OUT))&gt;=0,IF(IF(o_WRAP=1,MOD(((c_TMAP3IN)-(c_TMAP2IN))*(((A845)-(c_TMAP2IN))*((c_TMAP3OUT)-(c_TMAP2OUT))+IF(((c_TMAP3OUT)-(c_TMAP2OUT))&gt;=0,1,-1)*QUOTIENT(((c_TMAP3IN)-(c_TMAP2IN)),2))+2147483648,4294967296)-2147483648,((c_TMAP3IN)-(c_TMAP2IN))*(((A845)-(c_TMAP2IN))*((c_TMAP3OUT)-(c_TMAP2OUT))+IF(((c_TMAP3OUT)-(c_TMAP2OUT))&gt;=0,1,-1)*QUOTIENT(((c_TMAP3IN)-(c_TMAP2IN)),2)))&lt;0,-1,0),IF(IF(o_WRAP=1,MOD(((c_TMAP3IN)-(c_TMAP2IN))*(((A845)-(c_TMAP2IN))*((c_TMAP3OUT)-(c_TMAP2OUT))+IF(((c_TMAP3OUT)-(c_TMAP2OUT))&gt;=0,1,-1)*QUOTIENT(((c_TMAP3IN)-(c_TMAP2IN)),2))+2147483648,4294967296)-2147483648,((c_TMAP3IN)-(c_TMAP2IN))*(((A845)-(c_TMAP2IN))*((c_TMAP3OUT)-(c_TMAP2OUT))+IF(((c_TMAP3OUT)-(c_TMAP2OUT))&gt;=0,1,-1)*QUOTIENT(((c_TMAP3IN)-(c_TMAP2IN)),2)))&gt;=0,1,0)))</f>
        <v>543</v>
      </c>
      <c r="G845" s="7" t="n">
        <f aca="false">IF(((1000)-(c_TMAP3IN))=0,(c_TMAP3OUT)+QUOTIENT(((1000)-(c_TMAP3OUT)),2),QUOTIENT((((A845)-(c_TMAP3IN))*((1000)-(c_TMAP3OUT))+IF(((1000)-(c_TMAP3OUT))&gt;=0,1,-1)*QUOTIENT(((1000)-(c_TMAP3IN)),2)),((1000)-(c_TMAP3IN)))+(c_TMAP3OUT)+IF(((1000)-(c_TMAP3OUT))&gt;=0,IF(IF(o_WRAP=1,MOD(((1000)-(c_TMAP3IN))*(((A845)-(c_TMAP3IN))*((1000)-(c_TMAP3OUT))+IF(((1000)-(c_TMAP3OUT))&gt;=0,1,-1)*QUOTIENT(((1000)-(c_TMAP3IN)),2))+2147483648,4294967296)-2147483648,((1000)-(c_TMAP3IN))*(((A845)-(c_TMAP3IN))*((1000)-(c_TMAP3OUT))+IF(((1000)-(c_TMAP3OUT))&gt;=0,1,-1)*QUOTIENT(((1000)-(c_TMAP3IN)),2)))&lt;0,-1,0),IF(IF(o_WRAP=1,MOD(((1000)-(c_TMAP3IN))*(((A845)-(c_TMAP3IN))*((1000)-(c_TMAP3OUT))+IF(((1000)-(c_TMAP3OUT))&gt;=0,1,-1)*QUOTIENT(((1000)-(c_TMAP3IN)),2))+2147483648,4294967296)-2147483648,((1000)-(c_TMAP3IN))*(((A845)-(c_TMAP3IN))*((1000)-(c_TMAP3OUT))+IF(((1000)-(c_TMAP3OUT))&gt;=0,1,-1)*QUOTIENT(((1000)-(c_TMAP3IN)),2)))&gt;=0,1,0)))</f>
        <v>803</v>
      </c>
      <c r="H845" s="7" t="str">
        <f aca="false">IF(A845&gt;=c_TFWD,IF(AND(A845&gt;=c_TMAP3IN,c_TMAP3IN&lt;1000),"Seg4 map3-100%",IF(AND(A845&gt;=c_TMAP2IN,c_TMAP3IN&gt;c_TMAP2IN),"Seg3 map2-map3",IF(AND(A845&gt;=c_TMAP1IN,c_TMAP2IN&gt;c_TMAP1IN),"Seg2 map1-map2","Seg1 TFWD-map1"))),IF(AND(A845=0,c_TCREEP&gt;0),"Creep",IF(AND(A845&lt;=c_TRNGMIN,A845&gt;=c_TRNGMAX,c_TRNGMIN-c_TRNGMAX&lt;&gt;0),"Regen ramp","Coast (0)")))</f>
        <v>Seg4 map3-100%</v>
      </c>
      <c r="I845" s="7" t="n">
        <f aca="false">IF(A845&gt;=c_TFWD,IF(AND(A845&gt;=c_TMAP3IN,c_TMAP3IN&lt;1000),G845,IF(AND(A845&gt;=c_TMAP2IN,c_TMAP3IN&gt;c_TMAP2IN),F845,IF(AND(A845&gt;=c_TMAP1IN,c_TMAP2IN&gt;c_TMAP1IN),E845,D845))),C845)</f>
        <v>803</v>
      </c>
      <c r="J845" s="7" t="str">
        <f aca="false">IF(I845&lt;-1090,"TOO LOW",IF(I845&gt;1090,"TOO HIGH",""))</f>
        <v/>
      </c>
      <c r="K845" s="15" t="n">
        <f aca="false">IF(J845&lt;&gt;"",0,IF(I845&gt;979,1000,I845))</f>
        <v>803</v>
      </c>
      <c r="L845" s="7" t="n">
        <f aca="false">K845/10</f>
        <v>80.3</v>
      </c>
    </row>
    <row r="846" customFormat="false" ht="15" hidden="false" customHeight="false" outlineLevel="0" collapsed="false">
      <c r="A846" s="7" t="n">
        <v>841</v>
      </c>
      <c r="B846" s="7" t="n">
        <f aca="false">A846/10</f>
        <v>84.1</v>
      </c>
      <c r="C846" s="7" t="n">
        <f aca="false">IF(AND(A846=0,c_TCREEP&gt;0),10*c_TCREEP,IF(AND(A846&lt;=c_TRNGMIN,A846&gt;=c_TRNGMAX,c_TRNGMIN-c_TRNGMAX&lt;&gt;0),-10*c_TMINRN+QUOTIENT((c_TMAXRN-c_TMINRN)*(100-QUOTIENT((A846-c_TRNGMAX)*100,c_TRNGMIN-c_TRNGMAX)),-10),0))</f>
        <v>0</v>
      </c>
      <c r="D846" s="7" t="n">
        <f aca="false">IF(((c_TMAP1IN)-(c_TFWD))=0,(0)+QUOTIENT(((c_TMAP1OUT)-(0)),2),QUOTIENT((((A846)-(c_TFWD))*((c_TMAP1OUT)-(0))+IF(((c_TMAP1OUT)-(0))&gt;=0,1,-1)*QUOTIENT(((c_TMAP1IN)-(c_TFWD)),2)),((c_TMAP1IN)-(c_TFWD)))+(0)+IF(((c_TMAP1OUT)-(0))&gt;=0,IF(IF(o_WRAP=1,MOD(((c_TMAP1IN)-(c_TFWD))*(((A846)-(c_TFWD))*((c_TMAP1OUT)-(0))+IF(((c_TMAP1OUT)-(0))&gt;=0,1,-1)*QUOTIENT(((c_TMAP1IN)-(c_TFWD)),2))+2147483648,4294967296)-2147483648,((c_TMAP1IN)-(c_TFWD))*(((A846)-(c_TFWD))*((c_TMAP1OUT)-(0))+IF(((c_TMAP1OUT)-(0))&gt;=0,1,-1)*QUOTIENT(((c_TMAP1IN)-(c_TFWD)),2)))&lt;0,-1,0),IF(IF(o_WRAP=1,MOD(((c_TMAP1IN)-(c_TFWD))*(((A846)-(c_TFWD))*((c_TMAP1OUT)-(0))+IF(((c_TMAP1OUT)-(0))&gt;=0,1,-1)*QUOTIENT(((c_TMAP1IN)-(c_TFWD)),2))+2147483648,4294967296)-2147483648,((c_TMAP1IN)-(c_TFWD))*(((A846)-(c_TFWD))*((c_TMAP1OUT)-(0))+IF(((c_TMAP1OUT)-(0))&gt;=0,1,-1)*QUOTIENT(((c_TMAP1IN)-(c_TFWD)),2)))&gt;=0,1,0)))</f>
        <v>646</v>
      </c>
      <c r="E846" s="7" t="n">
        <f aca="false">IF(((c_TMAP2IN)-(c_TMAP1IN))=0,(c_TMAP1OUT)+QUOTIENT(((c_TMAP2OUT)-(c_TMAP1OUT)),2),QUOTIENT((((A846)-(c_TMAP1IN))*((c_TMAP2OUT)-(c_TMAP1OUT))+IF(((c_TMAP2OUT)-(c_TMAP1OUT))&gt;=0,1,-1)*QUOTIENT(((c_TMAP2IN)-(c_TMAP1IN)),2)),((c_TMAP2IN)-(c_TMAP1IN)))+(c_TMAP1OUT)+IF(((c_TMAP2OUT)-(c_TMAP1OUT))&gt;=0,IF(IF(o_WRAP=1,MOD(((c_TMAP2IN)-(c_TMAP1IN))*(((A846)-(c_TMAP1IN))*((c_TMAP2OUT)-(c_TMAP1OUT))+IF(((c_TMAP2OUT)-(c_TMAP1OUT))&gt;=0,1,-1)*QUOTIENT(((c_TMAP2IN)-(c_TMAP1IN)),2))+2147483648,4294967296)-2147483648,((c_TMAP2IN)-(c_TMAP1IN))*(((A846)-(c_TMAP1IN))*((c_TMAP2OUT)-(c_TMAP1OUT))+IF(((c_TMAP2OUT)-(c_TMAP1OUT))&gt;=0,1,-1)*QUOTIENT(((c_TMAP2IN)-(c_TMAP1IN)),2)))&lt;0,-1,0),IF(IF(o_WRAP=1,MOD(((c_TMAP2IN)-(c_TMAP1IN))*(((A846)-(c_TMAP1IN))*((c_TMAP2OUT)-(c_TMAP1OUT))+IF(((c_TMAP2OUT)-(c_TMAP1OUT))&gt;=0,1,-1)*QUOTIENT(((c_TMAP2IN)-(c_TMAP1IN)),2))+2147483648,4294967296)-2147483648,((c_TMAP2IN)-(c_TMAP1IN))*(((A846)-(c_TMAP1IN))*((c_TMAP2OUT)-(c_TMAP1OUT))+IF(((c_TMAP2OUT)-(c_TMAP1OUT))&gt;=0,1,-1)*QUOTIENT(((c_TMAP2IN)-(c_TMAP1IN)),2)))&gt;=0,1,0)))</f>
        <v>366</v>
      </c>
      <c r="F846" s="7" t="n">
        <f aca="false">IF(((c_TMAP3IN)-(c_TMAP2IN))=0,(c_TMAP2OUT)+QUOTIENT(((c_TMAP3OUT)-(c_TMAP2OUT)),2),QUOTIENT((((A846)-(c_TMAP2IN))*((c_TMAP3OUT)-(c_TMAP2OUT))+IF(((c_TMAP3OUT)-(c_TMAP2OUT))&gt;=0,1,-1)*QUOTIENT(((c_TMAP3IN)-(c_TMAP2IN)),2)),((c_TMAP3IN)-(c_TMAP2IN)))+(c_TMAP2OUT)+IF(((c_TMAP3OUT)-(c_TMAP2OUT))&gt;=0,IF(IF(o_WRAP=1,MOD(((c_TMAP3IN)-(c_TMAP2IN))*(((A846)-(c_TMAP2IN))*((c_TMAP3OUT)-(c_TMAP2OUT))+IF(((c_TMAP3OUT)-(c_TMAP2OUT))&gt;=0,1,-1)*QUOTIENT(((c_TMAP3IN)-(c_TMAP2IN)),2))+2147483648,4294967296)-2147483648,((c_TMAP3IN)-(c_TMAP2IN))*(((A846)-(c_TMAP2IN))*((c_TMAP3OUT)-(c_TMAP2OUT))+IF(((c_TMAP3OUT)-(c_TMAP2OUT))&gt;=0,1,-1)*QUOTIENT(((c_TMAP3IN)-(c_TMAP2IN)),2)))&lt;0,-1,0),IF(IF(o_WRAP=1,MOD(((c_TMAP3IN)-(c_TMAP2IN))*(((A846)-(c_TMAP2IN))*((c_TMAP3OUT)-(c_TMAP2OUT))+IF(((c_TMAP3OUT)-(c_TMAP2OUT))&gt;=0,1,-1)*QUOTIENT(((c_TMAP3IN)-(c_TMAP2IN)),2))+2147483648,4294967296)-2147483648,((c_TMAP3IN)-(c_TMAP2IN))*(((A846)-(c_TMAP2IN))*((c_TMAP3OUT)-(c_TMAP2OUT))+IF(((c_TMAP3OUT)-(c_TMAP2OUT))&gt;=0,1,-1)*QUOTIENT(((c_TMAP3IN)-(c_TMAP2IN)),2)))&gt;=0,1,0)))</f>
        <v>544</v>
      </c>
      <c r="G846" s="7" t="n">
        <f aca="false">IF(((1000)-(c_TMAP3IN))=0,(c_TMAP3OUT)+QUOTIENT(((1000)-(c_TMAP3OUT)),2),QUOTIENT((((A846)-(c_TMAP3IN))*((1000)-(c_TMAP3OUT))+IF(((1000)-(c_TMAP3OUT))&gt;=0,1,-1)*QUOTIENT(((1000)-(c_TMAP3IN)),2)),((1000)-(c_TMAP3IN)))+(c_TMAP3OUT)+IF(((1000)-(c_TMAP3OUT))&gt;=0,IF(IF(o_WRAP=1,MOD(((1000)-(c_TMAP3IN))*(((A846)-(c_TMAP3IN))*((1000)-(c_TMAP3OUT))+IF(((1000)-(c_TMAP3OUT))&gt;=0,1,-1)*QUOTIENT(((1000)-(c_TMAP3IN)),2))+2147483648,4294967296)-2147483648,((1000)-(c_TMAP3IN))*(((A846)-(c_TMAP3IN))*((1000)-(c_TMAP3OUT))+IF(((1000)-(c_TMAP3OUT))&gt;=0,1,-1)*QUOTIENT(((1000)-(c_TMAP3IN)),2)))&lt;0,-1,0),IF(IF(o_WRAP=1,MOD(((1000)-(c_TMAP3IN))*(((A846)-(c_TMAP3IN))*((1000)-(c_TMAP3OUT))+IF(((1000)-(c_TMAP3OUT))&gt;=0,1,-1)*QUOTIENT(((1000)-(c_TMAP3IN)),2))+2147483648,4294967296)-2147483648,((1000)-(c_TMAP3IN))*(((A846)-(c_TMAP3IN))*((1000)-(c_TMAP3OUT))+IF(((1000)-(c_TMAP3OUT))&gt;=0,1,-1)*QUOTIENT(((1000)-(c_TMAP3IN)),2)))&gt;=0,1,0)))</f>
        <v>804</v>
      </c>
      <c r="H846" s="7" t="str">
        <f aca="false">IF(A846&gt;=c_TFWD,IF(AND(A846&gt;=c_TMAP3IN,c_TMAP3IN&lt;1000),"Seg4 map3-100%",IF(AND(A846&gt;=c_TMAP2IN,c_TMAP3IN&gt;c_TMAP2IN),"Seg3 map2-map3",IF(AND(A846&gt;=c_TMAP1IN,c_TMAP2IN&gt;c_TMAP1IN),"Seg2 map1-map2","Seg1 TFWD-map1"))),IF(AND(A846=0,c_TCREEP&gt;0),"Creep",IF(AND(A846&lt;=c_TRNGMIN,A846&gt;=c_TRNGMAX,c_TRNGMIN-c_TRNGMAX&lt;&gt;0),"Regen ramp","Coast (0)")))</f>
        <v>Seg4 map3-100%</v>
      </c>
      <c r="I846" s="7" t="n">
        <f aca="false">IF(A846&gt;=c_TFWD,IF(AND(A846&gt;=c_TMAP3IN,c_TMAP3IN&lt;1000),G846,IF(AND(A846&gt;=c_TMAP2IN,c_TMAP3IN&gt;c_TMAP2IN),F846,IF(AND(A846&gt;=c_TMAP1IN,c_TMAP2IN&gt;c_TMAP1IN),E846,D846))),C846)</f>
        <v>804</v>
      </c>
      <c r="J846" s="7" t="str">
        <f aca="false">IF(I846&lt;-1090,"TOO LOW",IF(I846&gt;1090,"TOO HIGH",""))</f>
        <v/>
      </c>
      <c r="K846" s="15" t="n">
        <f aca="false">IF(J846&lt;&gt;"",0,IF(I846&gt;979,1000,I846))</f>
        <v>804</v>
      </c>
      <c r="L846" s="7" t="n">
        <f aca="false">K846/10</f>
        <v>80.4</v>
      </c>
    </row>
    <row r="847" customFormat="false" ht="15" hidden="false" customHeight="false" outlineLevel="0" collapsed="false">
      <c r="A847" s="7" t="n">
        <v>842</v>
      </c>
      <c r="B847" s="7" t="n">
        <f aca="false">A847/10</f>
        <v>84.2</v>
      </c>
      <c r="C847" s="7" t="n">
        <f aca="false">IF(AND(A847=0,c_TCREEP&gt;0),10*c_TCREEP,IF(AND(A847&lt;=c_TRNGMIN,A847&gt;=c_TRNGMAX,c_TRNGMIN-c_TRNGMAX&lt;&gt;0),-10*c_TMINRN+QUOTIENT((c_TMAXRN-c_TMINRN)*(100-QUOTIENT((A847-c_TRNGMAX)*100,c_TRNGMIN-c_TRNGMAX)),-10),0))</f>
        <v>0</v>
      </c>
      <c r="D847" s="7" t="n">
        <f aca="false">IF(((c_TMAP1IN)-(c_TFWD))=0,(0)+QUOTIENT(((c_TMAP1OUT)-(0)),2),QUOTIENT((((A847)-(c_TFWD))*((c_TMAP1OUT)-(0))+IF(((c_TMAP1OUT)-(0))&gt;=0,1,-1)*QUOTIENT(((c_TMAP1IN)-(c_TFWD)),2)),((c_TMAP1IN)-(c_TFWD)))+(0)+IF(((c_TMAP1OUT)-(0))&gt;=0,IF(IF(o_WRAP=1,MOD(((c_TMAP1IN)-(c_TFWD))*(((A847)-(c_TFWD))*((c_TMAP1OUT)-(0))+IF(((c_TMAP1OUT)-(0))&gt;=0,1,-1)*QUOTIENT(((c_TMAP1IN)-(c_TFWD)),2))+2147483648,4294967296)-2147483648,((c_TMAP1IN)-(c_TFWD))*(((A847)-(c_TFWD))*((c_TMAP1OUT)-(0))+IF(((c_TMAP1OUT)-(0))&gt;=0,1,-1)*QUOTIENT(((c_TMAP1IN)-(c_TFWD)),2)))&lt;0,-1,0),IF(IF(o_WRAP=1,MOD(((c_TMAP1IN)-(c_TFWD))*(((A847)-(c_TFWD))*((c_TMAP1OUT)-(0))+IF(((c_TMAP1OUT)-(0))&gt;=0,1,-1)*QUOTIENT(((c_TMAP1IN)-(c_TFWD)),2))+2147483648,4294967296)-2147483648,((c_TMAP1IN)-(c_TFWD))*(((A847)-(c_TFWD))*((c_TMAP1OUT)-(0))+IF(((c_TMAP1OUT)-(0))&gt;=0,1,-1)*QUOTIENT(((c_TMAP1IN)-(c_TFWD)),2)))&gt;=0,1,0)))</f>
        <v>647</v>
      </c>
      <c r="E847" s="7" t="n">
        <f aca="false">IF(((c_TMAP2IN)-(c_TMAP1IN))=0,(c_TMAP1OUT)+QUOTIENT(((c_TMAP2OUT)-(c_TMAP1OUT)),2),QUOTIENT((((A847)-(c_TMAP1IN))*((c_TMAP2OUT)-(c_TMAP1OUT))+IF(((c_TMAP2OUT)-(c_TMAP1OUT))&gt;=0,1,-1)*QUOTIENT(((c_TMAP2IN)-(c_TMAP1IN)),2)),((c_TMAP2IN)-(c_TMAP1IN)))+(c_TMAP1OUT)+IF(((c_TMAP2OUT)-(c_TMAP1OUT))&gt;=0,IF(IF(o_WRAP=1,MOD(((c_TMAP2IN)-(c_TMAP1IN))*(((A847)-(c_TMAP1IN))*((c_TMAP2OUT)-(c_TMAP1OUT))+IF(((c_TMAP2OUT)-(c_TMAP1OUT))&gt;=0,1,-1)*QUOTIENT(((c_TMAP2IN)-(c_TMAP1IN)),2))+2147483648,4294967296)-2147483648,((c_TMAP2IN)-(c_TMAP1IN))*(((A847)-(c_TMAP1IN))*((c_TMAP2OUT)-(c_TMAP1OUT))+IF(((c_TMAP2OUT)-(c_TMAP1OUT))&gt;=0,1,-1)*QUOTIENT(((c_TMAP2IN)-(c_TMAP1IN)),2)))&lt;0,-1,0),IF(IF(o_WRAP=1,MOD(((c_TMAP2IN)-(c_TMAP1IN))*(((A847)-(c_TMAP1IN))*((c_TMAP2OUT)-(c_TMAP1OUT))+IF(((c_TMAP2OUT)-(c_TMAP1OUT))&gt;=0,1,-1)*QUOTIENT(((c_TMAP2IN)-(c_TMAP1IN)),2))+2147483648,4294967296)-2147483648,((c_TMAP2IN)-(c_TMAP1IN))*(((A847)-(c_TMAP1IN))*((c_TMAP2OUT)-(c_TMAP1OUT))+IF(((c_TMAP2OUT)-(c_TMAP1OUT))&gt;=0,1,-1)*QUOTIENT(((c_TMAP2IN)-(c_TMAP1IN)),2)))&gt;=0,1,0)))</f>
        <v>367</v>
      </c>
      <c r="F847" s="7" t="n">
        <f aca="false">IF(((c_TMAP3IN)-(c_TMAP2IN))=0,(c_TMAP2OUT)+QUOTIENT(((c_TMAP3OUT)-(c_TMAP2OUT)),2),QUOTIENT((((A847)-(c_TMAP2IN))*((c_TMAP3OUT)-(c_TMAP2OUT))+IF(((c_TMAP3OUT)-(c_TMAP2OUT))&gt;=0,1,-1)*QUOTIENT(((c_TMAP3IN)-(c_TMAP2IN)),2)),((c_TMAP3IN)-(c_TMAP2IN)))+(c_TMAP2OUT)+IF(((c_TMAP3OUT)-(c_TMAP2OUT))&gt;=0,IF(IF(o_WRAP=1,MOD(((c_TMAP3IN)-(c_TMAP2IN))*(((A847)-(c_TMAP2IN))*((c_TMAP3OUT)-(c_TMAP2OUT))+IF(((c_TMAP3OUT)-(c_TMAP2OUT))&gt;=0,1,-1)*QUOTIENT(((c_TMAP3IN)-(c_TMAP2IN)),2))+2147483648,4294967296)-2147483648,((c_TMAP3IN)-(c_TMAP2IN))*(((A847)-(c_TMAP2IN))*((c_TMAP3OUT)-(c_TMAP2OUT))+IF(((c_TMAP3OUT)-(c_TMAP2OUT))&gt;=0,1,-1)*QUOTIENT(((c_TMAP3IN)-(c_TMAP2IN)),2)))&lt;0,-1,0),IF(IF(o_WRAP=1,MOD(((c_TMAP3IN)-(c_TMAP2IN))*(((A847)-(c_TMAP2IN))*((c_TMAP3OUT)-(c_TMAP2OUT))+IF(((c_TMAP3OUT)-(c_TMAP2OUT))&gt;=0,1,-1)*QUOTIENT(((c_TMAP3IN)-(c_TMAP2IN)),2))+2147483648,4294967296)-2147483648,((c_TMAP3IN)-(c_TMAP2IN))*(((A847)-(c_TMAP2IN))*((c_TMAP3OUT)-(c_TMAP2OUT))+IF(((c_TMAP3OUT)-(c_TMAP2OUT))&gt;=0,1,-1)*QUOTIENT(((c_TMAP3IN)-(c_TMAP2IN)),2)))&gt;=0,1,0)))</f>
        <v>544</v>
      </c>
      <c r="G847" s="7" t="n">
        <f aca="false">IF(((1000)-(c_TMAP3IN))=0,(c_TMAP3OUT)+QUOTIENT(((1000)-(c_TMAP3OUT)),2),QUOTIENT((((A847)-(c_TMAP3IN))*((1000)-(c_TMAP3OUT))+IF(((1000)-(c_TMAP3OUT))&gt;=0,1,-1)*QUOTIENT(((1000)-(c_TMAP3IN)),2)),((1000)-(c_TMAP3IN)))+(c_TMAP3OUT)+IF(((1000)-(c_TMAP3OUT))&gt;=0,IF(IF(o_WRAP=1,MOD(((1000)-(c_TMAP3IN))*(((A847)-(c_TMAP3IN))*((1000)-(c_TMAP3OUT))+IF(((1000)-(c_TMAP3OUT))&gt;=0,1,-1)*QUOTIENT(((1000)-(c_TMAP3IN)),2))+2147483648,4294967296)-2147483648,((1000)-(c_TMAP3IN))*(((A847)-(c_TMAP3IN))*((1000)-(c_TMAP3OUT))+IF(((1000)-(c_TMAP3OUT))&gt;=0,1,-1)*QUOTIENT(((1000)-(c_TMAP3IN)),2)))&lt;0,-1,0),IF(IF(o_WRAP=1,MOD(((1000)-(c_TMAP3IN))*(((A847)-(c_TMAP3IN))*((1000)-(c_TMAP3OUT))+IF(((1000)-(c_TMAP3OUT))&gt;=0,1,-1)*QUOTIENT(((1000)-(c_TMAP3IN)),2))+2147483648,4294967296)-2147483648,((1000)-(c_TMAP3IN))*(((A847)-(c_TMAP3IN))*((1000)-(c_TMAP3OUT))+IF(((1000)-(c_TMAP3OUT))&gt;=0,1,-1)*QUOTIENT(((1000)-(c_TMAP3IN)),2)))&gt;=0,1,0)))</f>
        <v>806</v>
      </c>
      <c r="H847" s="7" t="str">
        <f aca="false">IF(A847&gt;=c_TFWD,IF(AND(A847&gt;=c_TMAP3IN,c_TMAP3IN&lt;1000),"Seg4 map3-100%",IF(AND(A847&gt;=c_TMAP2IN,c_TMAP3IN&gt;c_TMAP2IN),"Seg3 map2-map3",IF(AND(A847&gt;=c_TMAP1IN,c_TMAP2IN&gt;c_TMAP1IN),"Seg2 map1-map2","Seg1 TFWD-map1"))),IF(AND(A847=0,c_TCREEP&gt;0),"Creep",IF(AND(A847&lt;=c_TRNGMIN,A847&gt;=c_TRNGMAX,c_TRNGMIN-c_TRNGMAX&lt;&gt;0),"Regen ramp","Coast (0)")))</f>
        <v>Seg4 map3-100%</v>
      </c>
      <c r="I847" s="7" t="n">
        <f aca="false">IF(A847&gt;=c_TFWD,IF(AND(A847&gt;=c_TMAP3IN,c_TMAP3IN&lt;1000),G847,IF(AND(A847&gt;=c_TMAP2IN,c_TMAP3IN&gt;c_TMAP2IN),F847,IF(AND(A847&gt;=c_TMAP1IN,c_TMAP2IN&gt;c_TMAP1IN),E847,D847))),C847)</f>
        <v>806</v>
      </c>
      <c r="J847" s="7" t="str">
        <f aca="false">IF(I847&lt;-1090,"TOO LOW",IF(I847&gt;1090,"TOO HIGH",""))</f>
        <v/>
      </c>
      <c r="K847" s="15" t="n">
        <f aca="false">IF(J847&lt;&gt;"",0,IF(I847&gt;979,1000,I847))</f>
        <v>806</v>
      </c>
      <c r="L847" s="7" t="n">
        <f aca="false">K847/10</f>
        <v>80.6</v>
      </c>
    </row>
    <row r="848" customFormat="false" ht="15" hidden="false" customHeight="false" outlineLevel="0" collapsed="false">
      <c r="A848" s="7" t="n">
        <v>843</v>
      </c>
      <c r="B848" s="7" t="n">
        <f aca="false">A848/10</f>
        <v>84.3</v>
      </c>
      <c r="C848" s="7" t="n">
        <f aca="false">IF(AND(A848=0,c_TCREEP&gt;0),10*c_TCREEP,IF(AND(A848&lt;=c_TRNGMIN,A848&gt;=c_TRNGMAX,c_TRNGMIN-c_TRNGMAX&lt;&gt;0),-10*c_TMINRN+QUOTIENT((c_TMAXRN-c_TMINRN)*(100-QUOTIENT((A848-c_TRNGMAX)*100,c_TRNGMIN-c_TRNGMAX)),-10),0))</f>
        <v>0</v>
      </c>
      <c r="D848" s="7" t="n">
        <f aca="false">IF(((c_TMAP1IN)-(c_TFWD))=0,(0)+QUOTIENT(((c_TMAP1OUT)-(0)),2),QUOTIENT((((A848)-(c_TFWD))*((c_TMAP1OUT)-(0))+IF(((c_TMAP1OUT)-(0))&gt;=0,1,-1)*QUOTIENT(((c_TMAP1IN)-(c_TFWD)),2)),((c_TMAP1IN)-(c_TFWD)))+(0)+IF(((c_TMAP1OUT)-(0))&gt;=0,IF(IF(o_WRAP=1,MOD(((c_TMAP1IN)-(c_TFWD))*(((A848)-(c_TFWD))*((c_TMAP1OUT)-(0))+IF(((c_TMAP1OUT)-(0))&gt;=0,1,-1)*QUOTIENT(((c_TMAP1IN)-(c_TFWD)),2))+2147483648,4294967296)-2147483648,((c_TMAP1IN)-(c_TFWD))*(((A848)-(c_TFWD))*((c_TMAP1OUT)-(0))+IF(((c_TMAP1OUT)-(0))&gt;=0,1,-1)*QUOTIENT(((c_TMAP1IN)-(c_TFWD)),2)))&lt;0,-1,0),IF(IF(o_WRAP=1,MOD(((c_TMAP1IN)-(c_TFWD))*(((A848)-(c_TFWD))*((c_TMAP1OUT)-(0))+IF(((c_TMAP1OUT)-(0))&gt;=0,1,-1)*QUOTIENT(((c_TMAP1IN)-(c_TFWD)),2))+2147483648,4294967296)-2147483648,((c_TMAP1IN)-(c_TFWD))*(((A848)-(c_TFWD))*((c_TMAP1OUT)-(0))+IF(((c_TMAP1OUT)-(0))&gt;=0,1,-1)*QUOTIENT(((c_TMAP1IN)-(c_TFWD)),2)))&gt;=0,1,0)))</f>
        <v>648</v>
      </c>
      <c r="E848" s="7" t="n">
        <f aca="false">IF(((c_TMAP2IN)-(c_TMAP1IN))=0,(c_TMAP1OUT)+QUOTIENT(((c_TMAP2OUT)-(c_TMAP1OUT)),2),QUOTIENT((((A848)-(c_TMAP1IN))*((c_TMAP2OUT)-(c_TMAP1OUT))+IF(((c_TMAP2OUT)-(c_TMAP1OUT))&gt;=0,1,-1)*QUOTIENT(((c_TMAP2IN)-(c_TMAP1IN)),2)),((c_TMAP2IN)-(c_TMAP1IN)))+(c_TMAP1OUT)+IF(((c_TMAP2OUT)-(c_TMAP1OUT))&gt;=0,IF(IF(o_WRAP=1,MOD(((c_TMAP2IN)-(c_TMAP1IN))*(((A848)-(c_TMAP1IN))*((c_TMAP2OUT)-(c_TMAP1OUT))+IF(((c_TMAP2OUT)-(c_TMAP1OUT))&gt;=0,1,-1)*QUOTIENT(((c_TMAP2IN)-(c_TMAP1IN)),2))+2147483648,4294967296)-2147483648,((c_TMAP2IN)-(c_TMAP1IN))*(((A848)-(c_TMAP1IN))*((c_TMAP2OUT)-(c_TMAP1OUT))+IF(((c_TMAP2OUT)-(c_TMAP1OUT))&gt;=0,1,-1)*QUOTIENT(((c_TMAP2IN)-(c_TMAP1IN)),2)))&lt;0,-1,0),IF(IF(o_WRAP=1,MOD(((c_TMAP2IN)-(c_TMAP1IN))*(((A848)-(c_TMAP1IN))*((c_TMAP2OUT)-(c_TMAP1OUT))+IF(((c_TMAP2OUT)-(c_TMAP1OUT))&gt;=0,1,-1)*QUOTIENT(((c_TMAP2IN)-(c_TMAP1IN)),2))+2147483648,4294967296)-2147483648,((c_TMAP2IN)-(c_TMAP1IN))*(((A848)-(c_TMAP1IN))*((c_TMAP2OUT)-(c_TMAP1OUT))+IF(((c_TMAP2OUT)-(c_TMAP1OUT))&gt;=0,1,-1)*QUOTIENT(((c_TMAP2IN)-(c_TMAP1IN)),2)))&gt;=0,1,0)))</f>
        <v>367</v>
      </c>
      <c r="F848" s="7" t="n">
        <f aca="false">IF(((c_TMAP3IN)-(c_TMAP2IN))=0,(c_TMAP2OUT)+QUOTIENT(((c_TMAP3OUT)-(c_TMAP2OUT)),2),QUOTIENT((((A848)-(c_TMAP2IN))*((c_TMAP3OUT)-(c_TMAP2OUT))+IF(((c_TMAP3OUT)-(c_TMAP2OUT))&gt;=0,1,-1)*QUOTIENT(((c_TMAP3IN)-(c_TMAP2IN)),2)),((c_TMAP3IN)-(c_TMAP2IN)))+(c_TMAP2OUT)+IF(((c_TMAP3OUT)-(c_TMAP2OUT))&gt;=0,IF(IF(o_WRAP=1,MOD(((c_TMAP3IN)-(c_TMAP2IN))*(((A848)-(c_TMAP2IN))*((c_TMAP3OUT)-(c_TMAP2OUT))+IF(((c_TMAP3OUT)-(c_TMAP2OUT))&gt;=0,1,-1)*QUOTIENT(((c_TMAP3IN)-(c_TMAP2IN)),2))+2147483648,4294967296)-2147483648,((c_TMAP3IN)-(c_TMAP2IN))*(((A848)-(c_TMAP2IN))*((c_TMAP3OUT)-(c_TMAP2OUT))+IF(((c_TMAP3OUT)-(c_TMAP2OUT))&gt;=0,1,-1)*QUOTIENT(((c_TMAP3IN)-(c_TMAP2IN)),2)))&lt;0,-1,0),IF(IF(o_WRAP=1,MOD(((c_TMAP3IN)-(c_TMAP2IN))*(((A848)-(c_TMAP2IN))*((c_TMAP3OUT)-(c_TMAP2OUT))+IF(((c_TMAP3OUT)-(c_TMAP2OUT))&gt;=0,1,-1)*QUOTIENT(((c_TMAP3IN)-(c_TMAP2IN)),2))+2147483648,4294967296)-2147483648,((c_TMAP3IN)-(c_TMAP2IN))*(((A848)-(c_TMAP2IN))*((c_TMAP3OUT)-(c_TMAP2OUT))+IF(((c_TMAP3OUT)-(c_TMAP2OUT))&gt;=0,1,-1)*QUOTIENT(((c_TMAP3IN)-(c_TMAP2IN)),2)))&gt;=0,1,0)))</f>
        <v>545</v>
      </c>
      <c r="G848" s="7" t="n">
        <f aca="false">IF(((1000)-(c_TMAP3IN))=0,(c_TMAP3OUT)+QUOTIENT(((1000)-(c_TMAP3OUT)),2),QUOTIENT((((A848)-(c_TMAP3IN))*((1000)-(c_TMAP3OUT))+IF(((1000)-(c_TMAP3OUT))&gt;=0,1,-1)*QUOTIENT(((1000)-(c_TMAP3IN)),2)),((1000)-(c_TMAP3IN)))+(c_TMAP3OUT)+IF(((1000)-(c_TMAP3OUT))&gt;=0,IF(IF(o_WRAP=1,MOD(((1000)-(c_TMAP3IN))*(((A848)-(c_TMAP3IN))*((1000)-(c_TMAP3OUT))+IF(((1000)-(c_TMAP3OUT))&gt;=0,1,-1)*QUOTIENT(((1000)-(c_TMAP3IN)),2))+2147483648,4294967296)-2147483648,((1000)-(c_TMAP3IN))*(((A848)-(c_TMAP3IN))*((1000)-(c_TMAP3OUT))+IF(((1000)-(c_TMAP3OUT))&gt;=0,1,-1)*QUOTIENT(((1000)-(c_TMAP3IN)),2)))&lt;0,-1,0),IF(IF(o_WRAP=1,MOD(((1000)-(c_TMAP3IN))*(((A848)-(c_TMAP3IN))*((1000)-(c_TMAP3OUT))+IF(((1000)-(c_TMAP3OUT))&gt;=0,1,-1)*QUOTIENT(((1000)-(c_TMAP3IN)),2))+2147483648,4294967296)-2147483648,((1000)-(c_TMAP3IN))*(((A848)-(c_TMAP3IN))*((1000)-(c_TMAP3OUT))+IF(((1000)-(c_TMAP3OUT))&gt;=0,1,-1)*QUOTIENT(((1000)-(c_TMAP3IN)),2)))&gt;=0,1,0)))</f>
        <v>807</v>
      </c>
      <c r="H848" s="7" t="str">
        <f aca="false">IF(A848&gt;=c_TFWD,IF(AND(A848&gt;=c_TMAP3IN,c_TMAP3IN&lt;1000),"Seg4 map3-100%",IF(AND(A848&gt;=c_TMAP2IN,c_TMAP3IN&gt;c_TMAP2IN),"Seg3 map2-map3",IF(AND(A848&gt;=c_TMAP1IN,c_TMAP2IN&gt;c_TMAP1IN),"Seg2 map1-map2","Seg1 TFWD-map1"))),IF(AND(A848=0,c_TCREEP&gt;0),"Creep",IF(AND(A848&lt;=c_TRNGMIN,A848&gt;=c_TRNGMAX,c_TRNGMIN-c_TRNGMAX&lt;&gt;0),"Regen ramp","Coast (0)")))</f>
        <v>Seg4 map3-100%</v>
      </c>
      <c r="I848" s="7" t="n">
        <f aca="false">IF(A848&gt;=c_TFWD,IF(AND(A848&gt;=c_TMAP3IN,c_TMAP3IN&lt;1000),G848,IF(AND(A848&gt;=c_TMAP2IN,c_TMAP3IN&gt;c_TMAP2IN),F848,IF(AND(A848&gt;=c_TMAP1IN,c_TMAP2IN&gt;c_TMAP1IN),E848,D848))),C848)</f>
        <v>807</v>
      </c>
      <c r="J848" s="7" t="str">
        <f aca="false">IF(I848&lt;-1090,"TOO LOW",IF(I848&gt;1090,"TOO HIGH",""))</f>
        <v/>
      </c>
      <c r="K848" s="15" t="n">
        <f aca="false">IF(J848&lt;&gt;"",0,IF(I848&gt;979,1000,I848))</f>
        <v>807</v>
      </c>
      <c r="L848" s="7" t="n">
        <f aca="false">K848/10</f>
        <v>80.7</v>
      </c>
    </row>
    <row r="849" customFormat="false" ht="15" hidden="false" customHeight="false" outlineLevel="0" collapsed="false">
      <c r="A849" s="7" t="n">
        <v>844</v>
      </c>
      <c r="B849" s="7" t="n">
        <f aca="false">A849/10</f>
        <v>84.4</v>
      </c>
      <c r="C849" s="7" t="n">
        <f aca="false">IF(AND(A849=0,c_TCREEP&gt;0),10*c_TCREEP,IF(AND(A849&lt;=c_TRNGMIN,A849&gt;=c_TRNGMAX,c_TRNGMIN-c_TRNGMAX&lt;&gt;0),-10*c_TMINRN+QUOTIENT((c_TMAXRN-c_TMINRN)*(100-QUOTIENT((A849-c_TRNGMAX)*100,c_TRNGMIN-c_TRNGMAX)),-10),0))</f>
        <v>0</v>
      </c>
      <c r="D849" s="7" t="n">
        <f aca="false">IF(((c_TMAP1IN)-(c_TFWD))=0,(0)+QUOTIENT(((c_TMAP1OUT)-(0)),2),QUOTIENT((((A849)-(c_TFWD))*((c_TMAP1OUT)-(0))+IF(((c_TMAP1OUT)-(0))&gt;=0,1,-1)*QUOTIENT(((c_TMAP1IN)-(c_TFWD)),2)),((c_TMAP1IN)-(c_TFWD)))+(0)+IF(((c_TMAP1OUT)-(0))&gt;=0,IF(IF(o_WRAP=1,MOD(((c_TMAP1IN)-(c_TFWD))*(((A849)-(c_TFWD))*((c_TMAP1OUT)-(0))+IF(((c_TMAP1OUT)-(0))&gt;=0,1,-1)*QUOTIENT(((c_TMAP1IN)-(c_TFWD)),2))+2147483648,4294967296)-2147483648,((c_TMAP1IN)-(c_TFWD))*(((A849)-(c_TFWD))*((c_TMAP1OUT)-(0))+IF(((c_TMAP1OUT)-(0))&gt;=0,1,-1)*QUOTIENT(((c_TMAP1IN)-(c_TFWD)),2)))&lt;0,-1,0),IF(IF(o_WRAP=1,MOD(((c_TMAP1IN)-(c_TFWD))*(((A849)-(c_TFWD))*((c_TMAP1OUT)-(0))+IF(((c_TMAP1OUT)-(0))&gt;=0,1,-1)*QUOTIENT(((c_TMAP1IN)-(c_TFWD)),2))+2147483648,4294967296)-2147483648,((c_TMAP1IN)-(c_TFWD))*(((A849)-(c_TFWD))*((c_TMAP1OUT)-(0))+IF(((c_TMAP1OUT)-(0))&gt;=0,1,-1)*QUOTIENT(((c_TMAP1IN)-(c_TFWD)),2)))&gt;=0,1,0)))</f>
        <v>649</v>
      </c>
      <c r="E849" s="7" t="n">
        <f aca="false">IF(((c_TMAP2IN)-(c_TMAP1IN))=0,(c_TMAP1OUT)+QUOTIENT(((c_TMAP2OUT)-(c_TMAP1OUT)),2),QUOTIENT((((A849)-(c_TMAP1IN))*((c_TMAP2OUT)-(c_TMAP1OUT))+IF(((c_TMAP2OUT)-(c_TMAP1OUT))&gt;=0,1,-1)*QUOTIENT(((c_TMAP2IN)-(c_TMAP1IN)),2)),((c_TMAP2IN)-(c_TMAP1IN)))+(c_TMAP1OUT)+IF(((c_TMAP2OUT)-(c_TMAP1OUT))&gt;=0,IF(IF(o_WRAP=1,MOD(((c_TMAP2IN)-(c_TMAP1IN))*(((A849)-(c_TMAP1IN))*((c_TMAP2OUT)-(c_TMAP1OUT))+IF(((c_TMAP2OUT)-(c_TMAP1OUT))&gt;=0,1,-1)*QUOTIENT(((c_TMAP2IN)-(c_TMAP1IN)),2))+2147483648,4294967296)-2147483648,((c_TMAP2IN)-(c_TMAP1IN))*(((A849)-(c_TMAP1IN))*((c_TMAP2OUT)-(c_TMAP1OUT))+IF(((c_TMAP2OUT)-(c_TMAP1OUT))&gt;=0,1,-1)*QUOTIENT(((c_TMAP2IN)-(c_TMAP1IN)),2)))&lt;0,-1,0),IF(IF(o_WRAP=1,MOD(((c_TMAP2IN)-(c_TMAP1IN))*(((A849)-(c_TMAP1IN))*((c_TMAP2OUT)-(c_TMAP1OUT))+IF(((c_TMAP2OUT)-(c_TMAP1OUT))&gt;=0,1,-1)*QUOTIENT(((c_TMAP2IN)-(c_TMAP1IN)),2))+2147483648,4294967296)-2147483648,((c_TMAP2IN)-(c_TMAP1IN))*(((A849)-(c_TMAP1IN))*((c_TMAP2OUT)-(c_TMAP1OUT))+IF(((c_TMAP2OUT)-(c_TMAP1OUT))&gt;=0,1,-1)*QUOTIENT(((c_TMAP2IN)-(c_TMAP1IN)),2)))&gt;=0,1,0)))</f>
        <v>368</v>
      </c>
      <c r="F849" s="7" t="n">
        <f aca="false">IF(((c_TMAP3IN)-(c_TMAP2IN))=0,(c_TMAP2OUT)+QUOTIENT(((c_TMAP3OUT)-(c_TMAP2OUT)),2),QUOTIENT((((A849)-(c_TMAP2IN))*((c_TMAP3OUT)-(c_TMAP2OUT))+IF(((c_TMAP3OUT)-(c_TMAP2OUT))&gt;=0,1,-1)*QUOTIENT(((c_TMAP3IN)-(c_TMAP2IN)),2)),((c_TMAP3IN)-(c_TMAP2IN)))+(c_TMAP2OUT)+IF(((c_TMAP3OUT)-(c_TMAP2OUT))&gt;=0,IF(IF(o_WRAP=1,MOD(((c_TMAP3IN)-(c_TMAP2IN))*(((A849)-(c_TMAP2IN))*((c_TMAP3OUT)-(c_TMAP2OUT))+IF(((c_TMAP3OUT)-(c_TMAP2OUT))&gt;=0,1,-1)*QUOTIENT(((c_TMAP3IN)-(c_TMAP2IN)),2))+2147483648,4294967296)-2147483648,((c_TMAP3IN)-(c_TMAP2IN))*(((A849)-(c_TMAP2IN))*((c_TMAP3OUT)-(c_TMAP2OUT))+IF(((c_TMAP3OUT)-(c_TMAP2OUT))&gt;=0,1,-1)*QUOTIENT(((c_TMAP3IN)-(c_TMAP2IN)),2)))&lt;0,-1,0),IF(IF(o_WRAP=1,MOD(((c_TMAP3IN)-(c_TMAP2IN))*(((A849)-(c_TMAP2IN))*((c_TMAP3OUT)-(c_TMAP2OUT))+IF(((c_TMAP3OUT)-(c_TMAP2OUT))&gt;=0,1,-1)*QUOTIENT(((c_TMAP3IN)-(c_TMAP2IN)),2))+2147483648,4294967296)-2147483648,((c_TMAP3IN)-(c_TMAP2IN))*(((A849)-(c_TMAP2IN))*((c_TMAP3OUT)-(c_TMAP2OUT))+IF(((c_TMAP3OUT)-(c_TMAP2OUT))&gt;=0,1,-1)*QUOTIENT(((c_TMAP3IN)-(c_TMAP2IN)),2)))&gt;=0,1,0)))</f>
        <v>546</v>
      </c>
      <c r="G849" s="7" t="n">
        <f aca="false">IF(((1000)-(c_TMAP3IN))=0,(c_TMAP3OUT)+QUOTIENT(((1000)-(c_TMAP3OUT)),2),QUOTIENT((((A849)-(c_TMAP3IN))*((1000)-(c_TMAP3OUT))+IF(((1000)-(c_TMAP3OUT))&gt;=0,1,-1)*QUOTIENT(((1000)-(c_TMAP3IN)),2)),((1000)-(c_TMAP3IN)))+(c_TMAP3OUT)+IF(((1000)-(c_TMAP3OUT))&gt;=0,IF(IF(o_WRAP=1,MOD(((1000)-(c_TMAP3IN))*(((A849)-(c_TMAP3IN))*((1000)-(c_TMAP3OUT))+IF(((1000)-(c_TMAP3OUT))&gt;=0,1,-1)*QUOTIENT(((1000)-(c_TMAP3IN)),2))+2147483648,4294967296)-2147483648,((1000)-(c_TMAP3IN))*(((A849)-(c_TMAP3IN))*((1000)-(c_TMAP3OUT))+IF(((1000)-(c_TMAP3OUT))&gt;=0,1,-1)*QUOTIENT(((1000)-(c_TMAP3IN)),2)))&lt;0,-1,0),IF(IF(o_WRAP=1,MOD(((1000)-(c_TMAP3IN))*(((A849)-(c_TMAP3IN))*((1000)-(c_TMAP3OUT))+IF(((1000)-(c_TMAP3OUT))&gt;=0,1,-1)*QUOTIENT(((1000)-(c_TMAP3IN)),2))+2147483648,4294967296)-2147483648,((1000)-(c_TMAP3IN))*(((A849)-(c_TMAP3IN))*((1000)-(c_TMAP3OUT))+IF(((1000)-(c_TMAP3OUT))&gt;=0,1,-1)*QUOTIENT(((1000)-(c_TMAP3IN)),2)))&gt;=0,1,0)))</f>
        <v>808</v>
      </c>
      <c r="H849" s="7" t="str">
        <f aca="false">IF(A849&gt;=c_TFWD,IF(AND(A849&gt;=c_TMAP3IN,c_TMAP3IN&lt;1000),"Seg4 map3-100%",IF(AND(A849&gt;=c_TMAP2IN,c_TMAP3IN&gt;c_TMAP2IN),"Seg3 map2-map3",IF(AND(A849&gt;=c_TMAP1IN,c_TMAP2IN&gt;c_TMAP1IN),"Seg2 map1-map2","Seg1 TFWD-map1"))),IF(AND(A849=0,c_TCREEP&gt;0),"Creep",IF(AND(A849&lt;=c_TRNGMIN,A849&gt;=c_TRNGMAX,c_TRNGMIN-c_TRNGMAX&lt;&gt;0),"Regen ramp","Coast (0)")))</f>
        <v>Seg4 map3-100%</v>
      </c>
      <c r="I849" s="7" t="n">
        <f aca="false">IF(A849&gt;=c_TFWD,IF(AND(A849&gt;=c_TMAP3IN,c_TMAP3IN&lt;1000),G849,IF(AND(A849&gt;=c_TMAP2IN,c_TMAP3IN&gt;c_TMAP2IN),F849,IF(AND(A849&gt;=c_TMAP1IN,c_TMAP2IN&gt;c_TMAP1IN),E849,D849))),C849)</f>
        <v>808</v>
      </c>
      <c r="J849" s="7" t="str">
        <f aca="false">IF(I849&lt;-1090,"TOO LOW",IF(I849&gt;1090,"TOO HIGH",""))</f>
        <v/>
      </c>
      <c r="K849" s="15" t="n">
        <f aca="false">IF(J849&lt;&gt;"",0,IF(I849&gt;979,1000,I849))</f>
        <v>808</v>
      </c>
      <c r="L849" s="7" t="n">
        <f aca="false">K849/10</f>
        <v>80.8</v>
      </c>
    </row>
    <row r="850" customFormat="false" ht="15" hidden="false" customHeight="false" outlineLevel="0" collapsed="false">
      <c r="A850" s="7" t="n">
        <v>845</v>
      </c>
      <c r="B850" s="7" t="n">
        <f aca="false">A850/10</f>
        <v>84.5</v>
      </c>
      <c r="C850" s="7" t="n">
        <f aca="false">IF(AND(A850=0,c_TCREEP&gt;0),10*c_TCREEP,IF(AND(A850&lt;=c_TRNGMIN,A850&gt;=c_TRNGMAX,c_TRNGMIN-c_TRNGMAX&lt;&gt;0),-10*c_TMINRN+QUOTIENT((c_TMAXRN-c_TMINRN)*(100-QUOTIENT((A850-c_TRNGMAX)*100,c_TRNGMIN-c_TRNGMAX)),-10),0))</f>
        <v>0</v>
      </c>
      <c r="D850" s="7" t="n">
        <f aca="false">IF(((c_TMAP1IN)-(c_TFWD))=0,(0)+QUOTIENT(((c_TMAP1OUT)-(0)),2),QUOTIENT((((A850)-(c_TFWD))*((c_TMAP1OUT)-(0))+IF(((c_TMAP1OUT)-(0))&gt;=0,1,-1)*QUOTIENT(((c_TMAP1IN)-(c_TFWD)),2)),((c_TMAP1IN)-(c_TFWD)))+(0)+IF(((c_TMAP1OUT)-(0))&gt;=0,IF(IF(o_WRAP=1,MOD(((c_TMAP1IN)-(c_TFWD))*(((A850)-(c_TFWD))*((c_TMAP1OUT)-(0))+IF(((c_TMAP1OUT)-(0))&gt;=0,1,-1)*QUOTIENT(((c_TMAP1IN)-(c_TFWD)),2))+2147483648,4294967296)-2147483648,((c_TMAP1IN)-(c_TFWD))*(((A850)-(c_TFWD))*((c_TMAP1OUT)-(0))+IF(((c_TMAP1OUT)-(0))&gt;=0,1,-1)*QUOTIENT(((c_TMAP1IN)-(c_TFWD)),2)))&lt;0,-1,0),IF(IF(o_WRAP=1,MOD(((c_TMAP1IN)-(c_TFWD))*(((A850)-(c_TFWD))*((c_TMAP1OUT)-(0))+IF(((c_TMAP1OUT)-(0))&gt;=0,1,-1)*QUOTIENT(((c_TMAP1IN)-(c_TFWD)),2))+2147483648,4294967296)-2147483648,((c_TMAP1IN)-(c_TFWD))*(((A850)-(c_TFWD))*((c_TMAP1OUT)-(0))+IF(((c_TMAP1OUT)-(0))&gt;=0,1,-1)*QUOTIENT(((c_TMAP1IN)-(c_TFWD)),2)))&gt;=0,1,0)))</f>
        <v>649</v>
      </c>
      <c r="E850" s="7" t="n">
        <f aca="false">IF(((c_TMAP2IN)-(c_TMAP1IN))=0,(c_TMAP1OUT)+QUOTIENT(((c_TMAP2OUT)-(c_TMAP1OUT)),2),QUOTIENT((((A850)-(c_TMAP1IN))*((c_TMAP2OUT)-(c_TMAP1OUT))+IF(((c_TMAP2OUT)-(c_TMAP1OUT))&gt;=0,1,-1)*QUOTIENT(((c_TMAP2IN)-(c_TMAP1IN)),2)),((c_TMAP2IN)-(c_TMAP1IN)))+(c_TMAP1OUT)+IF(((c_TMAP2OUT)-(c_TMAP1OUT))&gt;=0,IF(IF(o_WRAP=1,MOD(((c_TMAP2IN)-(c_TMAP1IN))*(((A850)-(c_TMAP1IN))*((c_TMAP2OUT)-(c_TMAP1OUT))+IF(((c_TMAP2OUT)-(c_TMAP1OUT))&gt;=0,1,-1)*QUOTIENT(((c_TMAP2IN)-(c_TMAP1IN)),2))+2147483648,4294967296)-2147483648,((c_TMAP2IN)-(c_TMAP1IN))*(((A850)-(c_TMAP1IN))*((c_TMAP2OUT)-(c_TMAP1OUT))+IF(((c_TMAP2OUT)-(c_TMAP1OUT))&gt;=0,1,-1)*QUOTIENT(((c_TMAP2IN)-(c_TMAP1IN)),2)))&lt;0,-1,0),IF(IF(o_WRAP=1,MOD(((c_TMAP2IN)-(c_TMAP1IN))*(((A850)-(c_TMAP1IN))*((c_TMAP2OUT)-(c_TMAP1OUT))+IF(((c_TMAP2OUT)-(c_TMAP1OUT))&gt;=0,1,-1)*QUOTIENT(((c_TMAP2IN)-(c_TMAP1IN)),2))+2147483648,4294967296)-2147483648,((c_TMAP2IN)-(c_TMAP1IN))*(((A850)-(c_TMAP1IN))*((c_TMAP2OUT)-(c_TMAP1OUT))+IF(((c_TMAP2OUT)-(c_TMAP1OUT))&gt;=0,1,-1)*QUOTIENT(((c_TMAP2IN)-(c_TMAP1IN)),2)))&gt;=0,1,0)))</f>
        <v>368</v>
      </c>
      <c r="F850" s="7" t="n">
        <f aca="false">IF(((c_TMAP3IN)-(c_TMAP2IN))=0,(c_TMAP2OUT)+QUOTIENT(((c_TMAP3OUT)-(c_TMAP2OUT)),2),QUOTIENT((((A850)-(c_TMAP2IN))*((c_TMAP3OUT)-(c_TMAP2OUT))+IF(((c_TMAP3OUT)-(c_TMAP2OUT))&gt;=0,1,-1)*QUOTIENT(((c_TMAP3IN)-(c_TMAP2IN)),2)),((c_TMAP3IN)-(c_TMAP2IN)))+(c_TMAP2OUT)+IF(((c_TMAP3OUT)-(c_TMAP2OUT))&gt;=0,IF(IF(o_WRAP=1,MOD(((c_TMAP3IN)-(c_TMAP2IN))*(((A850)-(c_TMAP2IN))*((c_TMAP3OUT)-(c_TMAP2OUT))+IF(((c_TMAP3OUT)-(c_TMAP2OUT))&gt;=0,1,-1)*QUOTIENT(((c_TMAP3IN)-(c_TMAP2IN)),2))+2147483648,4294967296)-2147483648,((c_TMAP3IN)-(c_TMAP2IN))*(((A850)-(c_TMAP2IN))*((c_TMAP3OUT)-(c_TMAP2OUT))+IF(((c_TMAP3OUT)-(c_TMAP2OUT))&gt;=0,1,-1)*QUOTIENT(((c_TMAP3IN)-(c_TMAP2IN)),2)))&lt;0,-1,0),IF(IF(o_WRAP=1,MOD(((c_TMAP3IN)-(c_TMAP2IN))*(((A850)-(c_TMAP2IN))*((c_TMAP3OUT)-(c_TMAP2OUT))+IF(((c_TMAP3OUT)-(c_TMAP2OUT))&gt;=0,1,-1)*QUOTIENT(((c_TMAP3IN)-(c_TMAP2IN)),2))+2147483648,4294967296)-2147483648,((c_TMAP3IN)-(c_TMAP2IN))*(((A850)-(c_TMAP2IN))*((c_TMAP3OUT)-(c_TMAP2OUT))+IF(((c_TMAP3OUT)-(c_TMAP2OUT))&gt;=0,1,-1)*QUOTIENT(((c_TMAP3IN)-(c_TMAP2IN)),2)))&gt;=0,1,0)))</f>
        <v>547</v>
      </c>
      <c r="G850" s="7" t="n">
        <f aca="false">IF(((1000)-(c_TMAP3IN))=0,(c_TMAP3OUT)+QUOTIENT(((1000)-(c_TMAP3OUT)),2),QUOTIENT((((A850)-(c_TMAP3IN))*((1000)-(c_TMAP3OUT))+IF(((1000)-(c_TMAP3OUT))&gt;=0,1,-1)*QUOTIENT(((1000)-(c_TMAP3IN)),2)),((1000)-(c_TMAP3IN)))+(c_TMAP3OUT)+IF(((1000)-(c_TMAP3OUT))&gt;=0,IF(IF(o_WRAP=1,MOD(((1000)-(c_TMAP3IN))*(((A850)-(c_TMAP3IN))*((1000)-(c_TMAP3OUT))+IF(((1000)-(c_TMAP3OUT))&gt;=0,1,-1)*QUOTIENT(((1000)-(c_TMAP3IN)),2))+2147483648,4294967296)-2147483648,((1000)-(c_TMAP3IN))*(((A850)-(c_TMAP3IN))*((1000)-(c_TMAP3OUT))+IF(((1000)-(c_TMAP3OUT))&gt;=0,1,-1)*QUOTIENT(((1000)-(c_TMAP3IN)),2)))&lt;0,-1,0),IF(IF(o_WRAP=1,MOD(((1000)-(c_TMAP3IN))*(((A850)-(c_TMAP3IN))*((1000)-(c_TMAP3OUT))+IF(((1000)-(c_TMAP3OUT))&gt;=0,1,-1)*QUOTIENT(((1000)-(c_TMAP3IN)),2))+2147483648,4294967296)-2147483648,((1000)-(c_TMAP3IN))*(((A850)-(c_TMAP3IN))*((1000)-(c_TMAP3OUT))+IF(((1000)-(c_TMAP3OUT))&gt;=0,1,-1)*QUOTIENT(((1000)-(c_TMAP3IN)),2)))&gt;=0,1,0)))</f>
        <v>809</v>
      </c>
      <c r="H850" s="7" t="str">
        <f aca="false">IF(A850&gt;=c_TFWD,IF(AND(A850&gt;=c_TMAP3IN,c_TMAP3IN&lt;1000),"Seg4 map3-100%",IF(AND(A850&gt;=c_TMAP2IN,c_TMAP3IN&gt;c_TMAP2IN),"Seg3 map2-map3",IF(AND(A850&gt;=c_TMAP1IN,c_TMAP2IN&gt;c_TMAP1IN),"Seg2 map1-map2","Seg1 TFWD-map1"))),IF(AND(A850=0,c_TCREEP&gt;0),"Creep",IF(AND(A850&lt;=c_TRNGMIN,A850&gt;=c_TRNGMAX,c_TRNGMIN-c_TRNGMAX&lt;&gt;0),"Regen ramp","Coast (0)")))</f>
        <v>Seg4 map3-100%</v>
      </c>
      <c r="I850" s="7" t="n">
        <f aca="false">IF(A850&gt;=c_TFWD,IF(AND(A850&gt;=c_TMAP3IN,c_TMAP3IN&lt;1000),G850,IF(AND(A850&gt;=c_TMAP2IN,c_TMAP3IN&gt;c_TMAP2IN),F850,IF(AND(A850&gt;=c_TMAP1IN,c_TMAP2IN&gt;c_TMAP1IN),E850,D850))),C850)</f>
        <v>809</v>
      </c>
      <c r="J850" s="7" t="str">
        <f aca="false">IF(I850&lt;-1090,"TOO LOW",IF(I850&gt;1090,"TOO HIGH",""))</f>
        <v/>
      </c>
      <c r="K850" s="15" t="n">
        <f aca="false">IF(J850&lt;&gt;"",0,IF(I850&gt;979,1000,I850))</f>
        <v>809</v>
      </c>
      <c r="L850" s="7" t="n">
        <f aca="false">K850/10</f>
        <v>80.9</v>
      </c>
    </row>
    <row r="851" customFormat="false" ht="15" hidden="false" customHeight="false" outlineLevel="0" collapsed="false">
      <c r="A851" s="7" t="n">
        <v>846</v>
      </c>
      <c r="B851" s="7" t="n">
        <f aca="false">A851/10</f>
        <v>84.6</v>
      </c>
      <c r="C851" s="7" t="n">
        <f aca="false">IF(AND(A851=0,c_TCREEP&gt;0),10*c_TCREEP,IF(AND(A851&lt;=c_TRNGMIN,A851&gt;=c_TRNGMAX,c_TRNGMIN-c_TRNGMAX&lt;&gt;0),-10*c_TMINRN+QUOTIENT((c_TMAXRN-c_TMINRN)*(100-QUOTIENT((A851-c_TRNGMAX)*100,c_TRNGMIN-c_TRNGMAX)),-10),0))</f>
        <v>0</v>
      </c>
      <c r="D851" s="7" t="n">
        <f aca="false">IF(((c_TMAP1IN)-(c_TFWD))=0,(0)+QUOTIENT(((c_TMAP1OUT)-(0)),2),QUOTIENT((((A851)-(c_TFWD))*((c_TMAP1OUT)-(0))+IF(((c_TMAP1OUT)-(0))&gt;=0,1,-1)*QUOTIENT(((c_TMAP1IN)-(c_TFWD)),2)),((c_TMAP1IN)-(c_TFWD)))+(0)+IF(((c_TMAP1OUT)-(0))&gt;=0,IF(IF(o_WRAP=1,MOD(((c_TMAP1IN)-(c_TFWD))*(((A851)-(c_TFWD))*((c_TMAP1OUT)-(0))+IF(((c_TMAP1OUT)-(0))&gt;=0,1,-1)*QUOTIENT(((c_TMAP1IN)-(c_TFWD)),2))+2147483648,4294967296)-2147483648,((c_TMAP1IN)-(c_TFWD))*(((A851)-(c_TFWD))*((c_TMAP1OUT)-(0))+IF(((c_TMAP1OUT)-(0))&gt;=0,1,-1)*QUOTIENT(((c_TMAP1IN)-(c_TFWD)),2)))&lt;0,-1,0),IF(IF(o_WRAP=1,MOD(((c_TMAP1IN)-(c_TFWD))*(((A851)-(c_TFWD))*((c_TMAP1OUT)-(0))+IF(((c_TMAP1OUT)-(0))&gt;=0,1,-1)*QUOTIENT(((c_TMAP1IN)-(c_TFWD)),2))+2147483648,4294967296)-2147483648,((c_TMAP1IN)-(c_TFWD))*(((A851)-(c_TFWD))*((c_TMAP1OUT)-(0))+IF(((c_TMAP1OUT)-(0))&gt;=0,1,-1)*QUOTIENT(((c_TMAP1IN)-(c_TFWD)),2)))&gt;=0,1,0)))</f>
        <v>650</v>
      </c>
      <c r="E851" s="7" t="n">
        <f aca="false">IF(((c_TMAP2IN)-(c_TMAP1IN))=0,(c_TMAP1OUT)+QUOTIENT(((c_TMAP2OUT)-(c_TMAP1OUT)),2),QUOTIENT((((A851)-(c_TMAP1IN))*((c_TMAP2OUT)-(c_TMAP1OUT))+IF(((c_TMAP2OUT)-(c_TMAP1OUT))&gt;=0,1,-1)*QUOTIENT(((c_TMAP2IN)-(c_TMAP1IN)),2)),((c_TMAP2IN)-(c_TMAP1IN)))+(c_TMAP1OUT)+IF(((c_TMAP2OUT)-(c_TMAP1OUT))&gt;=0,IF(IF(o_WRAP=1,MOD(((c_TMAP2IN)-(c_TMAP1IN))*(((A851)-(c_TMAP1IN))*((c_TMAP2OUT)-(c_TMAP1OUT))+IF(((c_TMAP2OUT)-(c_TMAP1OUT))&gt;=0,1,-1)*QUOTIENT(((c_TMAP2IN)-(c_TMAP1IN)),2))+2147483648,4294967296)-2147483648,((c_TMAP2IN)-(c_TMAP1IN))*(((A851)-(c_TMAP1IN))*((c_TMAP2OUT)-(c_TMAP1OUT))+IF(((c_TMAP2OUT)-(c_TMAP1OUT))&gt;=0,1,-1)*QUOTIENT(((c_TMAP2IN)-(c_TMAP1IN)),2)))&lt;0,-1,0),IF(IF(o_WRAP=1,MOD(((c_TMAP2IN)-(c_TMAP1IN))*(((A851)-(c_TMAP1IN))*((c_TMAP2OUT)-(c_TMAP1OUT))+IF(((c_TMAP2OUT)-(c_TMAP1OUT))&gt;=0,1,-1)*QUOTIENT(((c_TMAP2IN)-(c_TMAP1IN)),2))+2147483648,4294967296)-2147483648,((c_TMAP2IN)-(c_TMAP1IN))*(((A851)-(c_TMAP1IN))*((c_TMAP2OUT)-(c_TMAP1OUT))+IF(((c_TMAP2OUT)-(c_TMAP1OUT))&gt;=0,1,-1)*QUOTIENT(((c_TMAP2IN)-(c_TMAP1IN)),2)))&gt;=0,1,0)))</f>
        <v>368</v>
      </c>
      <c r="F851" s="7" t="n">
        <f aca="false">IF(((c_TMAP3IN)-(c_TMAP2IN))=0,(c_TMAP2OUT)+QUOTIENT(((c_TMAP3OUT)-(c_TMAP2OUT)),2),QUOTIENT((((A851)-(c_TMAP2IN))*((c_TMAP3OUT)-(c_TMAP2OUT))+IF(((c_TMAP3OUT)-(c_TMAP2OUT))&gt;=0,1,-1)*QUOTIENT(((c_TMAP3IN)-(c_TMAP2IN)),2)),((c_TMAP3IN)-(c_TMAP2IN)))+(c_TMAP2OUT)+IF(((c_TMAP3OUT)-(c_TMAP2OUT))&gt;=0,IF(IF(o_WRAP=1,MOD(((c_TMAP3IN)-(c_TMAP2IN))*(((A851)-(c_TMAP2IN))*((c_TMAP3OUT)-(c_TMAP2OUT))+IF(((c_TMAP3OUT)-(c_TMAP2OUT))&gt;=0,1,-1)*QUOTIENT(((c_TMAP3IN)-(c_TMAP2IN)),2))+2147483648,4294967296)-2147483648,((c_TMAP3IN)-(c_TMAP2IN))*(((A851)-(c_TMAP2IN))*((c_TMAP3OUT)-(c_TMAP2OUT))+IF(((c_TMAP3OUT)-(c_TMAP2OUT))&gt;=0,1,-1)*QUOTIENT(((c_TMAP3IN)-(c_TMAP2IN)),2)))&lt;0,-1,0),IF(IF(o_WRAP=1,MOD(((c_TMAP3IN)-(c_TMAP2IN))*(((A851)-(c_TMAP2IN))*((c_TMAP3OUT)-(c_TMAP2OUT))+IF(((c_TMAP3OUT)-(c_TMAP2OUT))&gt;=0,1,-1)*QUOTIENT(((c_TMAP3IN)-(c_TMAP2IN)),2))+2147483648,4294967296)-2147483648,((c_TMAP3IN)-(c_TMAP2IN))*(((A851)-(c_TMAP2IN))*((c_TMAP3OUT)-(c_TMAP2OUT))+IF(((c_TMAP3OUT)-(c_TMAP2OUT))&gt;=0,1,-1)*QUOTIENT(((c_TMAP3IN)-(c_TMAP2IN)),2)))&gt;=0,1,0)))</f>
        <v>547</v>
      </c>
      <c r="G851" s="7" t="n">
        <f aca="false">IF(((1000)-(c_TMAP3IN))=0,(c_TMAP3OUT)+QUOTIENT(((1000)-(c_TMAP3OUT)),2),QUOTIENT((((A851)-(c_TMAP3IN))*((1000)-(c_TMAP3OUT))+IF(((1000)-(c_TMAP3OUT))&gt;=0,1,-1)*QUOTIENT(((1000)-(c_TMAP3IN)),2)),((1000)-(c_TMAP3IN)))+(c_TMAP3OUT)+IF(((1000)-(c_TMAP3OUT))&gt;=0,IF(IF(o_WRAP=1,MOD(((1000)-(c_TMAP3IN))*(((A851)-(c_TMAP3IN))*((1000)-(c_TMAP3OUT))+IF(((1000)-(c_TMAP3OUT))&gt;=0,1,-1)*QUOTIENT(((1000)-(c_TMAP3IN)),2))+2147483648,4294967296)-2147483648,((1000)-(c_TMAP3IN))*(((A851)-(c_TMAP3IN))*((1000)-(c_TMAP3OUT))+IF(((1000)-(c_TMAP3OUT))&gt;=0,1,-1)*QUOTIENT(((1000)-(c_TMAP3IN)),2)))&lt;0,-1,0),IF(IF(o_WRAP=1,MOD(((1000)-(c_TMAP3IN))*(((A851)-(c_TMAP3IN))*((1000)-(c_TMAP3OUT))+IF(((1000)-(c_TMAP3OUT))&gt;=0,1,-1)*QUOTIENT(((1000)-(c_TMAP3IN)),2))+2147483648,4294967296)-2147483648,((1000)-(c_TMAP3IN))*(((A851)-(c_TMAP3IN))*((1000)-(c_TMAP3OUT))+IF(((1000)-(c_TMAP3OUT))&gt;=0,1,-1)*QUOTIENT(((1000)-(c_TMAP3IN)),2)))&gt;=0,1,0)))</f>
        <v>810</v>
      </c>
      <c r="H851" s="7" t="str">
        <f aca="false">IF(A851&gt;=c_TFWD,IF(AND(A851&gt;=c_TMAP3IN,c_TMAP3IN&lt;1000),"Seg4 map3-100%",IF(AND(A851&gt;=c_TMAP2IN,c_TMAP3IN&gt;c_TMAP2IN),"Seg3 map2-map3",IF(AND(A851&gt;=c_TMAP1IN,c_TMAP2IN&gt;c_TMAP1IN),"Seg2 map1-map2","Seg1 TFWD-map1"))),IF(AND(A851=0,c_TCREEP&gt;0),"Creep",IF(AND(A851&lt;=c_TRNGMIN,A851&gt;=c_TRNGMAX,c_TRNGMIN-c_TRNGMAX&lt;&gt;0),"Regen ramp","Coast (0)")))</f>
        <v>Seg4 map3-100%</v>
      </c>
      <c r="I851" s="7" t="n">
        <f aca="false">IF(A851&gt;=c_TFWD,IF(AND(A851&gt;=c_TMAP3IN,c_TMAP3IN&lt;1000),G851,IF(AND(A851&gt;=c_TMAP2IN,c_TMAP3IN&gt;c_TMAP2IN),F851,IF(AND(A851&gt;=c_TMAP1IN,c_TMAP2IN&gt;c_TMAP1IN),E851,D851))),C851)</f>
        <v>810</v>
      </c>
      <c r="J851" s="7" t="str">
        <f aca="false">IF(I851&lt;-1090,"TOO LOW",IF(I851&gt;1090,"TOO HIGH",""))</f>
        <v/>
      </c>
      <c r="K851" s="15" t="n">
        <f aca="false">IF(J851&lt;&gt;"",0,IF(I851&gt;979,1000,I851))</f>
        <v>810</v>
      </c>
      <c r="L851" s="7" t="n">
        <f aca="false">K851/10</f>
        <v>81</v>
      </c>
    </row>
    <row r="852" customFormat="false" ht="15" hidden="false" customHeight="false" outlineLevel="0" collapsed="false">
      <c r="A852" s="7" t="n">
        <v>847</v>
      </c>
      <c r="B852" s="7" t="n">
        <f aca="false">A852/10</f>
        <v>84.7</v>
      </c>
      <c r="C852" s="7" t="n">
        <f aca="false">IF(AND(A852=0,c_TCREEP&gt;0),10*c_TCREEP,IF(AND(A852&lt;=c_TRNGMIN,A852&gt;=c_TRNGMAX,c_TRNGMIN-c_TRNGMAX&lt;&gt;0),-10*c_TMINRN+QUOTIENT((c_TMAXRN-c_TMINRN)*(100-QUOTIENT((A852-c_TRNGMAX)*100,c_TRNGMIN-c_TRNGMAX)),-10),0))</f>
        <v>0</v>
      </c>
      <c r="D852" s="7" t="n">
        <f aca="false">IF(((c_TMAP1IN)-(c_TFWD))=0,(0)+QUOTIENT(((c_TMAP1OUT)-(0)),2),QUOTIENT((((A852)-(c_TFWD))*((c_TMAP1OUT)-(0))+IF(((c_TMAP1OUT)-(0))&gt;=0,1,-1)*QUOTIENT(((c_TMAP1IN)-(c_TFWD)),2)),((c_TMAP1IN)-(c_TFWD)))+(0)+IF(((c_TMAP1OUT)-(0))&gt;=0,IF(IF(o_WRAP=1,MOD(((c_TMAP1IN)-(c_TFWD))*(((A852)-(c_TFWD))*((c_TMAP1OUT)-(0))+IF(((c_TMAP1OUT)-(0))&gt;=0,1,-1)*QUOTIENT(((c_TMAP1IN)-(c_TFWD)),2))+2147483648,4294967296)-2147483648,((c_TMAP1IN)-(c_TFWD))*(((A852)-(c_TFWD))*((c_TMAP1OUT)-(0))+IF(((c_TMAP1OUT)-(0))&gt;=0,1,-1)*QUOTIENT(((c_TMAP1IN)-(c_TFWD)),2)))&lt;0,-1,0),IF(IF(o_WRAP=1,MOD(((c_TMAP1IN)-(c_TFWD))*(((A852)-(c_TFWD))*((c_TMAP1OUT)-(0))+IF(((c_TMAP1OUT)-(0))&gt;=0,1,-1)*QUOTIENT(((c_TMAP1IN)-(c_TFWD)),2))+2147483648,4294967296)-2147483648,((c_TMAP1IN)-(c_TFWD))*(((A852)-(c_TFWD))*((c_TMAP1OUT)-(0))+IF(((c_TMAP1OUT)-(0))&gt;=0,1,-1)*QUOTIENT(((c_TMAP1IN)-(c_TFWD)),2)))&gt;=0,1,0)))</f>
        <v>651</v>
      </c>
      <c r="E852" s="7" t="n">
        <f aca="false">IF(((c_TMAP2IN)-(c_TMAP1IN))=0,(c_TMAP1OUT)+QUOTIENT(((c_TMAP2OUT)-(c_TMAP1OUT)),2),QUOTIENT((((A852)-(c_TMAP1IN))*((c_TMAP2OUT)-(c_TMAP1OUT))+IF(((c_TMAP2OUT)-(c_TMAP1OUT))&gt;=0,1,-1)*QUOTIENT(((c_TMAP2IN)-(c_TMAP1IN)),2)),((c_TMAP2IN)-(c_TMAP1IN)))+(c_TMAP1OUT)+IF(((c_TMAP2OUT)-(c_TMAP1OUT))&gt;=0,IF(IF(o_WRAP=1,MOD(((c_TMAP2IN)-(c_TMAP1IN))*(((A852)-(c_TMAP1IN))*((c_TMAP2OUT)-(c_TMAP1OUT))+IF(((c_TMAP2OUT)-(c_TMAP1OUT))&gt;=0,1,-1)*QUOTIENT(((c_TMAP2IN)-(c_TMAP1IN)),2))+2147483648,4294967296)-2147483648,((c_TMAP2IN)-(c_TMAP1IN))*(((A852)-(c_TMAP1IN))*((c_TMAP2OUT)-(c_TMAP1OUT))+IF(((c_TMAP2OUT)-(c_TMAP1OUT))&gt;=0,1,-1)*QUOTIENT(((c_TMAP2IN)-(c_TMAP1IN)),2)))&lt;0,-1,0),IF(IF(o_WRAP=1,MOD(((c_TMAP2IN)-(c_TMAP1IN))*(((A852)-(c_TMAP1IN))*((c_TMAP2OUT)-(c_TMAP1OUT))+IF(((c_TMAP2OUT)-(c_TMAP1OUT))&gt;=0,1,-1)*QUOTIENT(((c_TMAP2IN)-(c_TMAP1IN)),2))+2147483648,4294967296)-2147483648,((c_TMAP2IN)-(c_TMAP1IN))*(((A852)-(c_TMAP1IN))*((c_TMAP2OUT)-(c_TMAP1OUT))+IF(((c_TMAP2OUT)-(c_TMAP1OUT))&gt;=0,1,-1)*QUOTIENT(((c_TMAP2IN)-(c_TMAP1IN)),2)))&gt;=0,1,0)))</f>
        <v>369</v>
      </c>
      <c r="F852" s="7" t="n">
        <f aca="false">IF(((c_TMAP3IN)-(c_TMAP2IN))=0,(c_TMAP2OUT)+QUOTIENT(((c_TMAP3OUT)-(c_TMAP2OUT)),2),QUOTIENT((((A852)-(c_TMAP2IN))*((c_TMAP3OUT)-(c_TMAP2OUT))+IF(((c_TMAP3OUT)-(c_TMAP2OUT))&gt;=0,1,-1)*QUOTIENT(((c_TMAP3IN)-(c_TMAP2IN)),2)),((c_TMAP3IN)-(c_TMAP2IN)))+(c_TMAP2OUT)+IF(((c_TMAP3OUT)-(c_TMAP2OUT))&gt;=0,IF(IF(o_WRAP=1,MOD(((c_TMAP3IN)-(c_TMAP2IN))*(((A852)-(c_TMAP2IN))*((c_TMAP3OUT)-(c_TMAP2OUT))+IF(((c_TMAP3OUT)-(c_TMAP2OUT))&gt;=0,1,-1)*QUOTIENT(((c_TMAP3IN)-(c_TMAP2IN)),2))+2147483648,4294967296)-2147483648,((c_TMAP3IN)-(c_TMAP2IN))*(((A852)-(c_TMAP2IN))*((c_TMAP3OUT)-(c_TMAP2OUT))+IF(((c_TMAP3OUT)-(c_TMAP2OUT))&gt;=0,1,-1)*QUOTIENT(((c_TMAP3IN)-(c_TMAP2IN)),2)))&lt;0,-1,0),IF(IF(o_WRAP=1,MOD(((c_TMAP3IN)-(c_TMAP2IN))*(((A852)-(c_TMAP2IN))*((c_TMAP3OUT)-(c_TMAP2OUT))+IF(((c_TMAP3OUT)-(c_TMAP2OUT))&gt;=0,1,-1)*QUOTIENT(((c_TMAP3IN)-(c_TMAP2IN)),2))+2147483648,4294967296)-2147483648,((c_TMAP3IN)-(c_TMAP2IN))*(((A852)-(c_TMAP2IN))*((c_TMAP3OUT)-(c_TMAP2OUT))+IF(((c_TMAP3OUT)-(c_TMAP2OUT))&gt;=0,1,-1)*QUOTIENT(((c_TMAP3IN)-(c_TMAP2IN)),2)))&gt;=0,1,0)))</f>
        <v>548</v>
      </c>
      <c r="G852" s="7" t="n">
        <f aca="false">IF(((1000)-(c_TMAP3IN))=0,(c_TMAP3OUT)+QUOTIENT(((1000)-(c_TMAP3OUT)),2),QUOTIENT((((A852)-(c_TMAP3IN))*((1000)-(c_TMAP3OUT))+IF(((1000)-(c_TMAP3OUT))&gt;=0,1,-1)*QUOTIENT(((1000)-(c_TMAP3IN)),2)),((1000)-(c_TMAP3IN)))+(c_TMAP3OUT)+IF(((1000)-(c_TMAP3OUT))&gt;=0,IF(IF(o_WRAP=1,MOD(((1000)-(c_TMAP3IN))*(((A852)-(c_TMAP3IN))*((1000)-(c_TMAP3OUT))+IF(((1000)-(c_TMAP3OUT))&gt;=0,1,-1)*QUOTIENT(((1000)-(c_TMAP3IN)),2))+2147483648,4294967296)-2147483648,((1000)-(c_TMAP3IN))*(((A852)-(c_TMAP3IN))*((1000)-(c_TMAP3OUT))+IF(((1000)-(c_TMAP3OUT))&gt;=0,1,-1)*QUOTIENT(((1000)-(c_TMAP3IN)),2)))&lt;0,-1,0),IF(IF(o_WRAP=1,MOD(((1000)-(c_TMAP3IN))*(((A852)-(c_TMAP3IN))*((1000)-(c_TMAP3OUT))+IF(((1000)-(c_TMAP3OUT))&gt;=0,1,-1)*QUOTIENT(((1000)-(c_TMAP3IN)),2))+2147483648,4294967296)-2147483648,((1000)-(c_TMAP3IN))*(((A852)-(c_TMAP3IN))*((1000)-(c_TMAP3OUT))+IF(((1000)-(c_TMAP3OUT))&gt;=0,1,-1)*QUOTIENT(((1000)-(c_TMAP3IN)),2)))&gt;=0,1,0)))</f>
        <v>812</v>
      </c>
      <c r="H852" s="7" t="str">
        <f aca="false">IF(A852&gt;=c_TFWD,IF(AND(A852&gt;=c_TMAP3IN,c_TMAP3IN&lt;1000),"Seg4 map3-100%",IF(AND(A852&gt;=c_TMAP2IN,c_TMAP3IN&gt;c_TMAP2IN),"Seg3 map2-map3",IF(AND(A852&gt;=c_TMAP1IN,c_TMAP2IN&gt;c_TMAP1IN),"Seg2 map1-map2","Seg1 TFWD-map1"))),IF(AND(A852=0,c_TCREEP&gt;0),"Creep",IF(AND(A852&lt;=c_TRNGMIN,A852&gt;=c_TRNGMAX,c_TRNGMIN-c_TRNGMAX&lt;&gt;0),"Regen ramp","Coast (0)")))</f>
        <v>Seg4 map3-100%</v>
      </c>
      <c r="I852" s="7" t="n">
        <f aca="false">IF(A852&gt;=c_TFWD,IF(AND(A852&gt;=c_TMAP3IN,c_TMAP3IN&lt;1000),G852,IF(AND(A852&gt;=c_TMAP2IN,c_TMAP3IN&gt;c_TMAP2IN),F852,IF(AND(A852&gt;=c_TMAP1IN,c_TMAP2IN&gt;c_TMAP1IN),E852,D852))),C852)</f>
        <v>812</v>
      </c>
      <c r="J852" s="7" t="str">
        <f aca="false">IF(I852&lt;-1090,"TOO LOW",IF(I852&gt;1090,"TOO HIGH",""))</f>
        <v/>
      </c>
      <c r="K852" s="15" t="n">
        <f aca="false">IF(J852&lt;&gt;"",0,IF(I852&gt;979,1000,I852))</f>
        <v>812</v>
      </c>
      <c r="L852" s="7" t="n">
        <f aca="false">K852/10</f>
        <v>81.2</v>
      </c>
    </row>
    <row r="853" customFormat="false" ht="15" hidden="false" customHeight="false" outlineLevel="0" collapsed="false">
      <c r="A853" s="7" t="n">
        <v>848</v>
      </c>
      <c r="B853" s="7" t="n">
        <f aca="false">A853/10</f>
        <v>84.8</v>
      </c>
      <c r="C853" s="7" t="n">
        <f aca="false">IF(AND(A853=0,c_TCREEP&gt;0),10*c_TCREEP,IF(AND(A853&lt;=c_TRNGMIN,A853&gt;=c_TRNGMAX,c_TRNGMIN-c_TRNGMAX&lt;&gt;0),-10*c_TMINRN+QUOTIENT((c_TMAXRN-c_TMINRN)*(100-QUOTIENT((A853-c_TRNGMAX)*100,c_TRNGMIN-c_TRNGMAX)),-10),0))</f>
        <v>0</v>
      </c>
      <c r="D853" s="7" t="n">
        <f aca="false">IF(((c_TMAP1IN)-(c_TFWD))=0,(0)+QUOTIENT(((c_TMAP1OUT)-(0)),2),QUOTIENT((((A853)-(c_TFWD))*((c_TMAP1OUT)-(0))+IF(((c_TMAP1OUT)-(0))&gt;=0,1,-1)*QUOTIENT(((c_TMAP1IN)-(c_TFWD)),2)),((c_TMAP1IN)-(c_TFWD)))+(0)+IF(((c_TMAP1OUT)-(0))&gt;=0,IF(IF(o_WRAP=1,MOD(((c_TMAP1IN)-(c_TFWD))*(((A853)-(c_TFWD))*((c_TMAP1OUT)-(0))+IF(((c_TMAP1OUT)-(0))&gt;=0,1,-1)*QUOTIENT(((c_TMAP1IN)-(c_TFWD)),2))+2147483648,4294967296)-2147483648,((c_TMAP1IN)-(c_TFWD))*(((A853)-(c_TFWD))*((c_TMAP1OUT)-(0))+IF(((c_TMAP1OUT)-(0))&gt;=0,1,-1)*QUOTIENT(((c_TMAP1IN)-(c_TFWD)),2)))&lt;0,-1,0),IF(IF(o_WRAP=1,MOD(((c_TMAP1IN)-(c_TFWD))*(((A853)-(c_TFWD))*((c_TMAP1OUT)-(0))+IF(((c_TMAP1OUT)-(0))&gt;=0,1,-1)*QUOTIENT(((c_TMAP1IN)-(c_TFWD)),2))+2147483648,4294967296)-2147483648,((c_TMAP1IN)-(c_TFWD))*(((A853)-(c_TFWD))*((c_TMAP1OUT)-(0))+IF(((c_TMAP1OUT)-(0))&gt;=0,1,-1)*QUOTIENT(((c_TMAP1IN)-(c_TFWD)),2)))&gt;=0,1,0)))</f>
        <v>652</v>
      </c>
      <c r="E853" s="7" t="n">
        <f aca="false">IF(((c_TMAP2IN)-(c_TMAP1IN))=0,(c_TMAP1OUT)+QUOTIENT(((c_TMAP2OUT)-(c_TMAP1OUT)),2),QUOTIENT((((A853)-(c_TMAP1IN))*((c_TMAP2OUT)-(c_TMAP1OUT))+IF(((c_TMAP2OUT)-(c_TMAP1OUT))&gt;=0,1,-1)*QUOTIENT(((c_TMAP2IN)-(c_TMAP1IN)),2)),((c_TMAP2IN)-(c_TMAP1IN)))+(c_TMAP1OUT)+IF(((c_TMAP2OUT)-(c_TMAP1OUT))&gt;=0,IF(IF(o_WRAP=1,MOD(((c_TMAP2IN)-(c_TMAP1IN))*(((A853)-(c_TMAP1IN))*((c_TMAP2OUT)-(c_TMAP1OUT))+IF(((c_TMAP2OUT)-(c_TMAP1OUT))&gt;=0,1,-1)*QUOTIENT(((c_TMAP2IN)-(c_TMAP1IN)),2))+2147483648,4294967296)-2147483648,((c_TMAP2IN)-(c_TMAP1IN))*(((A853)-(c_TMAP1IN))*((c_TMAP2OUT)-(c_TMAP1OUT))+IF(((c_TMAP2OUT)-(c_TMAP1OUT))&gt;=0,1,-1)*QUOTIENT(((c_TMAP2IN)-(c_TMAP1IN)),2)))&lt;0,-1,0),IF(IF(o_WRAP=1,MOD(((c_TMAP2IN)-(c_TMAP1IN))*(((A853)-(c_TMAP1IN))*((c_TMAP2OUT)-(c_TMAP1OUT))+IF(((c_TMAP2OUT)-(c_TMAP1OUT))&gt;=0,1,-1)*QUOTIENT(((c_TMAP2IN)-(c_TMAP1IN)),2))+2147483648,4294967296)-2147483648,((c_TMAP2IN)-(c_TMAP1IN))*(((A853)-(c_TMAP1IN))*((c_TMAP2OUT)-(c_TMAP1OUT))+IF(((c_TMAP2OUT)-(c_TMAP1OUT))&gt;=0,1,-1)*QUOTIENT(((c_TMAP2IN)-(c_TMAP1IN)),2)))&gt;=0,1,0)))</f>
        <v>369</v>
      </c>
      <c r="F853" s="7" t="n">
        <f aca="false">IF(((c_TMAP3IN)-(c_TMAP2IN))=0,(c_TMAP2OUT)+QUOTIENT(((c_TMAP3OUT)-(c_TMAP2OUT)),2),QUOTIENT((((A853)-(c_TMAP2IN))*((c_TMAP3OUT)-(c_TMAP2OUT))+IF(((c_TMAP3OUT)-(c_TMAP2OUT))&gt;=0,1,-1)*QUOTIENT(((c_TMAP3IN)-(c_TMAP2IN)),2)),((c_TMAP3IN)-(c_TMAP2IN)))+(c_TMAP2OUT)+IF(((c_TMAP3OUT)-(c_TMAP2OUT))&gt;=0,IF(IF(o_WRAP=1,MOD(((c_TMAP3IN)-(c_TMAP2IN))*(((A853)-(c_TMAP2IN))*((c_TMAP3OUT)-(c_TMAP2OUT))+IF(((c_TMAP3OUT)-(c_TMAP2OUT))&gt;=0,1,-1)*QUOTIENT(((c_TMAP3IN)-(c_TMAP2IN)),2))+2147483648,4294967296)-2147483648,((c_TMAP3IN)-(c_TMAP2IN))*(((A853)-(c_TMAP2IN))*((c_TMAP3OUT)-(c_TMAP2OUT))+IF(((c_TMAP3OUT)-(c_TMAP2OUT))&gt;=0,1,-1)*QUOTIENT(((c_TMAP3IN)-(c_TMAP2IN)),2)))&lt;0,-1,0),IF(IF(o_WRAP=1,MOD(((c_TMAP3IN)-(c_TMAP2IN))*(((A853)-(c_TMAP2IN))*((c_TMAP3OUT)-(c_TMAP2OUT))+IF(((c_TMAP3OUT)-(c_TMAP2OUT))&gt;=0,1,-1)*QUOTIENT(((c_TMAP3IN)-(c_TMAP2IN)),2))+2147483648,4294967296)-2147483648,((c_TMAP3IN)-(c_TMAP2IN))*(((A853)-(c_TMAP2IN))*((c_TMAP3OUT)-(c_TMAP2OUT))+IF(((c_TMAP3OUT)-(c_TMAP2OUT))&gt;=0,1,-1)*QUOTIENT(((c_TMAP3IN)-(c_TMAP2IN)),2)))&gt;=0,1,0)))</f>
        <v>549</v>
      </c>
      <c r="G853" s="7" t="n">
        <f aca="false">IF(((1000)-(c_TMAP3IN))=0,(c_TMAP3OUT)+QUOTIENT(((1000)-(c_TMAP3OUT)),2),QUOTIENT((((A853)-(c_TMAP3IN))*((1000)-(c_TMAP3OUT))+IF(((1000)-(c_TMAP3OUT))&gt;=0,1,-1)*QUOTIENT(((1000)-(c_TMAP3IN)),2)),((1000)-(c_TMAP3IN)))+(c_TMAP3OUT)+IF(((1000)-(c_TMAP3OUT))&gt;=0,IF(IF(o_WRAP=1,MOD(((1000)-(c_TMAP3IN))*(((A853)-(c_TMAP3IN))*((1000)-(c_TMAP3OUT))+IF(((1000)-(c_TMAP3OUT))&gt;=0,1,-1)*QUOTIENT(((1000)-(c_TMAP3IN)),2))+2147483648,4294967296)-2147483648,((1000)-(c_TMAP3IN))*(((A853)-(c_TMAP3IN))*((1000)-(c_TMAP3OUT))+IF(((1000)-(c_TMAP3OUT))&gt;=0,1,-1)*QUOTIENT(((1000)-(c_TMAP3IN)),2)))&lt;0,-1,0),IF(IF(o_WRAP=1,MOD(((1000)-(c_TMAP3IN))*(((A853)-(c_TMAP3IN))*((1000)-(c_TMAP3OUT))+IF(((1000)-(c_TMAP3OUT))&gt;=0,1,-1)*QUOTIENT(((1000)-(c_TMAP3IN)),2))+2147483648,4294967296)-2147483648,((1000)-(c_TMAP3IN))*(((A853)-(c_TMAP3IN))*((1000)-(c_TMAP3OUT))+IF(((1000)-(c_TMAP3OUT))&gt;=0,1,-1)*QUOTIENT(((1000)-(c_TMAP3IN)),2)))&gt;=0,1,0)))</f>
        <v>813</v>
      </c>
      <c r="H853" s="7" t="str">
        <f aca="false">IF(A853&gt;=c_TFWD,IF(AND(A853&gt;=c_TMAP3IN,c_TMAP3IN&lt;1000),"Seg4 map3-100%",IF(AND(A853&gt;=c_TMAP2IN,c_TMAP3IN&gt;c_TMAP2IN),"Seg3 map2-map3",IF(AND(A853&gt;=c_TMAP1IN,c_TMAP2IN&gt;c_TMAP1IN),"Seg2 map1-map2","Seg1 TFWD-map1"))),IF(AND(A853=0,c_TCREEP&gt;0),"Creep",IF(AND(A853&lt;=c_TRNGMIN,A853&gt;=c_TRNGMAX,c_TRNGMIN-c_TRNGMAX&lt;&gt;0),"Regen ramp","Coast (0)")))</f>
        <v>Seg4 map3-100%</v>
      </c>
      <c r="I853" s="7" t="n">
        <f aca="false">IF(A853&gt;=c_TFWD,IF(AND(A853&gt;=c_TMAP3IN,c_TMAP3IN&lt;1000),G853,IF(AND(A853&gt;=c_TMAP2IN,c_TMAP3IN&gt;c_TMAP2IN),F853,IF(AND(A853&gt;=c_TMAP1IN,c_TMAP2IN&gt;c_TMAP1IN),E853,D853))),C853)</f>
        <v>813</v>
      </c>
      <c r="J853" s="7" t="str">
        <f aca="false">IF(I853&lt;-1090,"TOO LOW",IF(I853&gt;1090,"TOO HIGH",""))</f>
        <v/>
      </c>
      <c r="K853" s="15" t="n">
        <f aca="false">IF(J853&lt;&gt;"",0,IF(I853&gt;979,1000,I853))</f>
        <v>813</v>
      </c>
      <c r="L853" s="7" t="n">
        <f aca="false">K853/10</f>
        <v>81.3</v>
      </c>
    </row>
    <row r="854" customFormat="false" ht="15" hidden="false" customHeight="false" outlineLevel="0" collapsed="false">
      <c r="A854" s="7" t="n">
        <v>849</v>
      </c>
      <c r="B854" s="7" t="n">
        <f aca="false">A854/10</f>
        <v>84.9</v>
      </c>
      <c r="C854" s="7" t="n">
        <f aca="false">IF(AND(A854=0,c_TCREEP&gt;0),10*c_TCREEP,IF(AND(A854&lt;=c_TRNGMIN,A854&gt;=c_TRNGMAX,c_TRNGMIN-c_TRNGMAX&lt;&gt;0),-10*c_TMINRN+QUOTIENT((c_TMAXRN-c_TMINRN)*(100-QUOTIENT((A854-c_TRNGMAX)*100,c_TRNGMIN-c_TRNGMAX)),-10),0))</f>
        <v>0</v>
      </c>
      <c r="D854" s="7" t="n">
        <f aca="false">IF(((c_TMAP1IN)-(c_TFWD))=0,(0)+QUOTIENT(((c_TMAP1OUT)-(0)),2),QUOTIENT((((A854)-(c_TFWD))*((c_TMAP1OUT)-(0))+IF(((c_TMAP1OUT)-(0))&gt;=0,1,-1)*QUOTIENT(((c_TMAP1IN)-(c_TFWD)),2)),((c_TMAP1IN)-(c_TFWD)))+(0)+IF(((c_TMAP1OUT)-(0))&gt;=0,IF(IF(o_WRAP=1,MOD(((c_TMAP1IN)-(c_TFWD))*(((A854)-(c_TFWD))*((c_TMAP1OUT)-(0))+IF(((c_TMAP1OUT)-(0))&gt;=0,1,-1)*QUOTIENT(((c_TMAP1IN)-(c_TFWD)),2))+2147483648,4294967296)-2147483648,((c_TMAP1IN)-(c_TFWD))*(((A854)-(c_TFWD))*((c_TMAP1OUT)-(0))+IF(((c_TMAP1OUT)-(0))&gt;=0,1,-1)*QUOTIENT(((c_TMAP1IN)-(c_TFWD)),2)))&lt;0,-1,0),IF(IF(o_WRAP=1,MOD(((c_TMAP1IN)-(c_TFWD))*(((A854)-(c_TFWD))*((c_TMAP1OUT)-(0))+IF(((c_TMAP1OUT)-(0))&gt;=0,1,-1)*QUOTIENT(((c_TMAP1IN)-(c_TFWD)),2))+2147483648,4294967296)-2147483648,((c_TMAP1IN)-(c_TFWD))*(((A854)-(c_TFWD))*((c_TMAP1OUT)-(0))+IF(((c_TMAP1OUT)-(0))&gt;=0,1,-1)*QUOTIENT(((c_TMAP1IN)-(c_TFWD)),2)))&gt;=0,1,0)))</f>
        <v>653</v>
      </c>
      <c r="E854" s="7" t="n">
        <f aca="false">IF(((c_TMAP2IN)-(c_TMAP1IN))=0,(c_TMAP1OUT)+QUOTIENT(((c_TMAP2OUT)-(c_TMAP1OUT)),2),QUOTIENT((((A854)-(c_TMAP1IN))*((c_TMAP2OUT)-(c_TMAP1OUT))+IF(((c_TMAP2OUT)-(c_TMAP1OUT))&gt;=0,1,-1)*QUOTIENT(((c_TMAP2IN)-(c_TMAP1IN)),2)),((c_TMAP2IN)-(c_TMAP1IN)))+(c_TMAP1OUT)+IF(((c_TMAP2OUT)-(c_TMAP1OUT))&gt;=0,IF(IF(o_WRAP=1,MOD(((c_TMAP2IN)-(c_TMAP1IN))*(((A854)-(c_TMAP1IN))*((c_TMAP2OUT)-(c_TMAP1OUT))+IF(((c_TMAP2OUT)-(c_TMAP1OUT))&gt;=0,1,-1)*QUOTIENT(((c_TMAP2IN)-(c_TMAP1IN)),2))+2147483648,4294967296)-2147483648,((c_TMAP2IN)-(c_TMAP1IN))*(((A854)-(c_TMAP1IN))*((c_TMAP2OUT)-(c_TMAP1OUT))+IF(((c_TMAP2OUT)-(c_TMAP1OUT))&gt;=0,1,-1)*QUOTIENT(((c_TMAP2IN)-(c_TMAP1IN)),2)))&lt;0,-1,0),IF(IF(o_WRAP=1,MOD(((c_TMAP2IN)-(c_TMAP1IN))*(((A854)-(c_TMAP1IN))*((c_TMAP2OUT)-(c_TMAP1OUT))+IF(((c_TMAP2OUT)-(c_TMAP1OUT))&gt;=0,1,-1)*QUOTIENT(((c_TMAP2IN)-(c_TMAP1IN)),2))+2147483648,4294967296)-2147483648,((c_TMAP2IN)-(c_TMAP1IN))*(((A854)-(c_TMAP1IN))*((c_TMAP2OUT)-(c_TMAP1OUT))+IF(((c_TMAP2OUT)-(c_TMAP1OUT))&gt;=0,1,-1)*QUOTIENT(((c_TMAP2IN)-(c_TMAP1IN)),2)))&gt;=0,1,0)))</f>
        <v>370</v>
      </c>
      <c r="F854" s="7" t="n">
        <f aca="false">IF(((c_TMAP3IN)-(c_TMAP2IN))=0,(c_TMAP2OUT)+QUOTIENT(((c_TMAP3OUT)-(c_TMAP2OUT)),2),QUOTIENT((((A854)-(c_TMAP2IN))*((c_TMAP3OUT)-(c_TMAP2OUT))+IF(((c_TMAP3OUT)-(c_TMAP2OUT))&gt;=0,1,-1)*QUOTIENT(((c_TMAP3IN)-(c_TMAP2IN)),2)),((c_TMAP3IN)-(c_TMAP2IN)))+(c_TMAP2OUT)+IF(((c_TMAP3OUT)-(c_TMAP2OUT))&gt;=0,IF(IF(o_WRAP=1,MOD(((c_TMAP3IN)-(c_TMAP2IN))*(((A854)-(c_TMAP2IN))*((c_TMAP3OUT)-(c_TMAP2OUT))+IF(((c_TMAP3OUT)-(c_TMAP2OUT))&gt;=0,1,-1)*QUOTIENT(((c_TMAP3IN)-(c_TMAP2IN)),2))+2147483648,4294967296)-2147483648,((c_TMAP3IN)-(c_TMAP2IN))*(((A854)-(c_TMAP2IN))*((c_TMAP3OUT)-(c_TMAP2OUT))+IF(((c_TMAP3OUT)-(c_TMAP2OUT))&gt;=0,1,-1)*QUOTIENT(((c_TMAP3IN)-(c_TMAP2IN)),2)))&lt;0,-1,0),IF(IF(o_WRAP=1,MOD(((c_TMAP3IN)-(c_TMAP2IN))*(((A854)-(c_TMAP2IN))*((c_TMAP3OUT)-(c_TMAP2OUT))+IF(((c_TMAP3OUT)-(c_TMAP2OUT))&gt;=0,1,-1)*QUOTIENT(((c_TMAP3IN)-(c_TMAP2IN)),2))+2147483648,4294967296)-2147483648,((c_TMAP3IN)-(c_TMAP2IN))*(((A854)-(c_TMAP2IN))*((c_TMAP3OUT)-(c_TMAP2OUT))+IF(((c_TMAP3OUT)-(c_TMAP2OUT))&gt;=0,1,-1)*QUOTIENT(((c_TMAP3IN)-(c_TMAP2IN)),2)))&gt;=0,1,0)))</f>
        <v>549</v>
      </c>
      <c r="G854" s="7" t="n">
        <f aca="false">IF(((1000)-(c_TMAP3IN))=0,(c_TMAP3OUT)+QUOTIENT(((1000)-(c_TMAP3OUT)),2),QUOTIENT((((A854)-(c_TMAP3IN))*((1000)-(c_TMAP3OUT))+IF(((1000)-(c_TMAP3OUT))&gt;=0,1,-1)*QUOTIENT(((1000)-(c_TMAP3IN)),2)),((1000)-(c_TMAP3IN)))+(c_TMAP3OUT)+IF(((1000)-(c_TMAP3OUT))&gt;=0,IF(IF(o_WRAP=1,MOD(((1000)-(c_TMAP3IN))*(((A854)-(c_TMAP3IN))*((1000)-(c_TMAP3OUT))+IF(((1000)-(c_TMAP3OUT))&gt;=0,1,-1)*QUOTIENT(((1000)-(c_TMAP3IN)),2))+2147483648,4294967296)-2147483648,((1000)-(c_TMAP3IN))*(((A854)-(c_TMAP3IN))*((1000)-(c_TMAP3OUT))+IF(((1000)-(c_TMAP3OUT))&gt;=0,1,-1)*QUOTIENT(((1000)-(c_TMAP3IN)),2)))&lt;0,-1,0),IF(IF(o_WRAP=1,MOD(((1000)-(c_TMAP3IN))*(((A854)-(c_TMAP3IN))*((1000)-(c_TMAP3OUT))+IF(((1000)-(c_TMAP3OUT))&gt;=0,1,-1)*QUOTIENT(((1000)-(c_TMAP3IN)),2))+2147483648,4294967296)-2147483648,((1000)-(c_TMAP3IN))*(((A854)-(c_TMAP3IN))*((1000)-(c_TMAP3OUT))+IF(((1000)-(c_TMAP3OUT))&gt;=0,1,-1)*QUOTIENT(((1000)-(c_TMAP3IN)),2)))&gt;=0,1,0)))</f>
        <v>814</v>
      </c>
      <c r="H854" s="7" t="str">
        <f aca="false">IF(A854&gt;=c_TFWD,IF(AND(A854&gt;=c_TMAP3IN,c_TMAP3IN&lt;1000),"Seg4 map3-100%",IF(AND(A854&gt;=c_TMAP2IN,c_TMAP3IN&gt;c_TMAP2IN),"Seg3 map2-map3",IF(AND(A854&gt;=c_TMAP1IN,c_TMAP2IN&gt;c_TMAP1IN),"Seg2 map1-map2","Seg1 TFWD-map1"))),IF(AND(A854=0,c_TCREEP&gt;0),"Creep",IF(AND(A854&lt;=c_TRNGMIN,A854&gt;=c_TRNGMAX,c_TRNGMIN-c_TRNGMAX&lt;&gt;0),"Regen ramp","Coast (0)")))</f>
        <v>Seg4 map3-100%</v>
      </c>
      <c r="I854" s="7" t="n">
        <f aca="false">IF(A854&gt;=c_TFWD,IF(AND(A854&gt;=c_TMAP3IN,c_TMAP3IN&lt;1000),G854,IF(AND(A854&gt;=c_TMAP2IN,c_TMAP3IN&gt;c_TMAP2IN),F854,IF(AND(A854&gt;=c_TMAP1IN,c_TMAP2IN&gt;c_TMAP1IN),E854,D854))),C854)</f>
        <v>814</v>
      </c>
      <c r="J854" s="7" t="str">
        <f aca="false">IF(I854&lt;-1090,"TOO LOW",IF(I854&gt;1090,"TOO HIGH",""))</f>
        <v/>
      </c>
      <c r="K854" s="15" t="n">
        <f aca="false">IF(J854&lt;&gt;"",0,IF(I854&gt;979,1000,I854))</f>
        <v>814</v>
      </c>
      <c r="L854" s="7" t="n">
        <f aca="false">K854/10</f>
        <v>81.4</v>
      </c>
    </row>
    <row r="855" customFormat="false" ht="15" hidden="false" customHeight="false" outlineLevel="0" collapsed="false">
      <c r="A855" s="7" t="n">
        <v>850</v>
      </c>
      <c r="B855" s="7" t="n">
        <f aca="false">A855/10</f>
        <v>85</v>
      </c>
      <c r="C855" s="7" t="n">
        <f aca="false">IF(AND(A855=0,c_TCREEP&gt;0),10*c_TCREEP,IF(AND(A855&lt;=c_TRNGMIN,A855&gt;=c_TRNGMAX,c_TRNGMIN-c_TRNGMAX&lt;&gt;0),-10*c_TMINRN+QUOTIENT((c_TMAXRN-c_TMINRN)*(100-QUOTIENT((A855-c_TRNGMAX)*100,c_TRNGMIN-c_TRNGMAX)),-10),0))</f>
        <v>0</v>
      </c>
      <c r="D855" s="7" t="n">
        <f aca="false">IF(((c_TMAP1IN)-(c_TFWD))=0,(0)+QUOTIENT(((c_TMAP1OUT)-(0)),2),QUOTIENT((((A855)-(c_TFWD))*((c_TMAP1OUT)-(0))+IF(((c_TMAP1OUT)-(0))&gt;=0,1,-1)*QUOTIENT(((c_TMAP1IN)-(c_TFWD)),2)),((c_TMAP1IN)-(c_TFWD)))+(0)+IF(((c_TMAP1OUT)-(0))&gt;=0,IF(IF(o_WRAP=1,MOD(((c_TMAP1IN)-(c_TFWD))*(((A855)-(c_TFWD))*((c_TMAP1OUT)-(0))+IF(((c_TMAP1OUT)-(0))&gt;=0,1,-1)*QUOTIENT(((c_TMAP1IN)-(c_TFWD)),2))+2147483648,4294967296)-2147483648,((c_TMAP1IN)-(c_TFWD))*(((A855)-(c_TFWD))*((c_TMAP1OUT)-(0))+IF(((c_TMAP1OUT)-(0))&gt;=0,1,-1)*QUOTIENT(((c_TMAP1IN)-(c_TFWD)),2)))&lt;0,-1,0),IF(IF(o_WRAP=1,MOD(((c_TMAP1IN)-(c_TFWD))*(((A855)-(c_TFWD))*((c_TMAP1OUT)-(0))+IF(((c_TMAP1OUT)-(0))&gt;=0,1,-1)*QUOTIENT(((c_TMAP1IN)-(c_TFWD)),2))+2147483648,4294967296)-2147483648,((c_TMAP1IN)-(c_TFWD))*(((A855)-(c_TFWD))*((c_TMAP1OUT)-(0))+IF(((c_TMAP1OUT)-(0))&gt;=0,1,-1)*QUOTIENT(((c_TMAP1IN)-(c_TFWD)),2)))&gt;=0,1,0)))</f>
        <v>653</v>
      </c>
      <c r="E855" s="7" t="n">
        <f aca="false">IF(((c_TMAP2IN)-(c_TMAP1IN))=0,(c_TMAP1OUT)+QUOTIENT(((c_TMAP2OUT)-(c_TMAP1OUT)),2),QUOTIENT((((A855)-(c_TMAP1IN))*((c_TMAP2OUT)-(c_TMAP1OUT))+IF(((c_TMAP2OUT)-(c_TMAP1OUT))&gt;=0,1,-1)*QUOTIENT(((c_TMAP2IN)-(c_TMAP1IN)),2)),((c_TMAP2IN)-(c_TMAP1IN)))+(c_TMAP1OUT)+IF(((c_TMAP2OUT)-(c_TMAP1OUT))&gt;=0,IF(IF(o_WRAP=1,MOD(((c_TMAP2IN)-(c_TMAP1IN))*(((A855)-(c_TMAP1IN))*((c_TMAP2OUT)-(c_TMAP1OUT))+IF(((c_TMAP2OUT)-(c_TMAP1OUT))&gt;=0,1,-1)*QUOTIENT(((c_TMAP2IN)-(c_TMAP1IN)),2))+2147483648,4294967296)-2147483648,((c_TMAP2IN)-(c_TMAP1IN))*(((A855)-(c_TMAP1IN))*((c_TMAP2OUT)-(c_TMAP1OUT))+IF(((c_TMAP2OUT)-(c_TMAP1OUT))&gt;=0,1,-1)*QUOTIENT(((c_TMAP2IN)-(c_TMAP1IN)),2)))&lt;0,-1,0),IF(IF(o_WRAP=1,MOD(((c_TMAP2IN)-(c_TMAP1IN))*(((A855)-(c_TMAP1IN))*((c_TMAP2OUT)-(c_TMAP1OUT))+IF(((c_TMAP2OUT)-(c_TMAP1OUT))&gt;=0,1,-1)*QUOTIENT(((c_TMAP2IN)-(c_TMAP1IN)),2))+2147483648,4294967296)-2147483648,((c_TMAP2IN)-(c_TMAP1IN))*(((A855)-(c_TMAP1IN))*((c_TMAP2OUT)-(c_TMAP1OUT))+IF(((c_TMAP2OUT)-(c_TMAP1OUT))&gt;=0,1,-1)*QUOTIENT(((c_TMAP2IN)-(c_TMAP1IN)),2)))&gt;=0,1,0)))</f>
        <v>370</v>
      </c>
      <c r="F855" s="7" t="n">
        <f aca="false">IF(((c_TMAP3IN)-(c_TMAP2IN))=0,(c_TMAP2OUT)+QUOTIENT(((c_TMAP3OUT)-(c_TMAP2OUT)),2),QUOTIENT((((A855)-(c_TMAP2IN))*((c_TMAP3OUT)-(c_TMAP2OUT))+IF(((c_TMAP3OUT)-(c_TMAP2OUT))&gt;=0,1,-1)*QUOTIENT(((c_TMAP3IN)-(c_TMAP2IN)),2)),((c_TMAP3IN)-(c_TMAP2IN)))+(c_TMAP2OUT)+IF(((c_TMAP3OUT)-(c_TMAP2OUT))&gt;=0,IF(IF(o_WRAP=1,MOD(((c_TMAP3IN)-(c_TMAP2IN))*(((A855)-(c_TMAP2IN))*((c_TMAP3OUT)-(c_TMAP2OUT))+IF(((c_TMAP3OUT)-(c_TMAP2OUT))&gt;=0,1,-1)*QUOTIENT(((c_TMAP3IN)-(c_TMAP2IN)),2))+2147483648,4294967296)-2147483648,((c_TMAP3IN)-(c_TMAP2IN))*(((A855)-(c_TMAP2IN))*((c_TMAP3OUT)-(c_TMAP2OUT))+IF(((c_TMAP3OUT)-(c_TMAP2OUT))&gt;=0,1,-1)*QUOTIENT(((c_TMAP3IN)-(c_TMAP2IN)),2)))&lt;0,-1,0),IF(IF(o_WRAP=1,MOD(((c_TMAP3IN)-(c_TMAP2IN))*(((A855)-(c_TMAP2IN))*((c_TMAP3OUT)-(c_TMAP2OUT))+IF(((c_TMAP3OUT)-(c_TMAP2OUT))&gt;=0,1,-1)*QUOTIENT(((c_TMAP3IN)-(c_TMAP2IN)),2))+2147483648,4294967296)-2147483648,((c_TMAP3IN)-(c_TMAP2IN))*(((A855)-(c_TMAP2IN))*((c_TMAP3OUT)-(c_TMAP2OUT))+IF(((c_TMAP3OUT)-(c_TMAP2OUT))&gt;=0,1,-1)*QUOTIENT(((c_TMAP3IN)-(c_TMAP2IN)),2)))&gt;=0,1,0)))</f>
        <v>550</v>
      </c>
      <c r="G855" s="7" t="n">
        <f aca="false">IF(((1000)-(c_TMAP3IN))=0,(c_TMAP3OUT)+QUOTIENT(((1000)-(c_TMAP3OUT)),2),QUOTIENT((((A855)-(c_TMAP3IN))*((1000)-(c_TMAP3OUT))+IF(((1000)-(c_TMAP3OUT))&gt;=0,1,-1)*QUOTIENT(((1000)-(c_TMAP3IN)),2)),((1000)-(c_TMAP3IN)))+(c_TMAP3OUT)+IF(((1000)-(c_TMAP3OUT))&gt;=0,IF(IF(o_WRAP=1,MOD(((1000)-(c_TMAP3IN))*(((A855)-(c_TMAP3IN))*((1000)-(c_TMAP3OUT))+IF(((1000)-(c_TMAP3OUT))&gt;=0,1,-1)*QUOTIENT(((1000)-(c_TMAP3IN)),2))+2147483648,4294967296)-2147483648,((1000)-(c_TMAP3IN))*(((A855)-(c_TMAP3IN))*((1000)-(c_TMAP3OUT))+IF(((1000)-(c_TMAP3OUT))&gt;=0,1,-1)*QUOTIENT(((1000)-(c_TMAP3IN)),2)))&lt;0,-1,0),IF(IF(o_WRAP=1,MOD(((1000)-(c_TMAP3IN))*(((A855)-(c_TMAP3IN))*((1000)-(c_TMAP3OUT))+IF(((1000)-(c_TMAP3OUT))&gt;=0,1,-1)*QUOTIENT(((1000)-(c_TMAP3IN)),2))+2147483648,4294967296)-2147483648,((1000)-(c_TMAP3IN))*(((A855)-(c_TMAP3IN))*((1000)-(c_TMAP3OUT))+IF(((1000)-(c_TMAP3OUT))&gt;=0,1,-1)*QUOTIENT(((1000)-(c_TMAP3IN)),2)))&gt;=0,1,0)))</f>
        <v>815</v>
      </c>
      <c r="H855" s="7" t="str">
        <f aca="false">IF(A855&gt;=c_TFWD,IF(AND(A855&gt;=c_TMAP3IN,c_TMAP3IN&lt;1000),"Seg4 map3-100%",IF(AND(A855&gt;=c_TMAP2IN,c_TMAP3IN&gt;c_TMAP2IN),"Seg3 map2-map3",IF(AND(A855&gt;=c_TMAP1IN,c_TMAP2IN&gt;c_TMAP1IN),"Seg2 map1-map2","Seg1 TFWD-map1"))),IF(AND(A855=0,c_TCREEP&gt;0),"Creep",IF(AND(A855&lt;=c_TRNGMIN,A855&gt;=c_TRNGMAX,c_TRNGMIN-c_TRNGMAX&lt;&gt;0),"Regen ramp","Coast (0)")))</f>
        <v>Seg4 map3-100%</v>
      </c>
      <c r="I855" s="7" t="n">
        <f aca="false">IF(A855&gt;=c_TFWD,IF(AND(A855&gt;=c_TMAP3IN,c_TMAP3IN&lt;1000),G855,IF(AND(A855&gt;=c_TMAP2IN,c_TMAP3IN&gt;c_TMAP2IN),F855,IF(AND(A855&gt;=c_TMAP1IN,c_TMAP2IN&gt;c_TMAP1IN),E855,D855))),C855)</f>
        <v>815</v>
      </c>
      <c r="J855" s="7" t="str">
        <f aca="false">IF(I855&lt;-1090,"TOO LOW",IF(I855&gt;1090,"TOO HIGH",""))</f>
        <v/>
      </c>
      <c r="K855" s="15" t="n">
        <f aca="false">IF(J855&lt;&gt;"",0,IF(I855&gt;979,1000,I855))</f>
        <v>815</v>
      </c>
      <c r="L855" s="7" t="n">
        <f aca="false">K855/10</f>
        <v>81.5</v>
      </c>
    </row>
    <row r="856" customFormat="false" ht="15" hidden="false" customHeight="false" outlineLevel="0" collapsed="false">
      <c r="A856" s="7" t="n">
        <v>851</v>
      </c>
      <c r="B856" s="7" t="n">
        <f aca="false">A856/10</f>
        <v>85.1</v>
      </c>
      <c r="C856" s="7" t="n">
        <f aca="false">IF(AND(A856=0,c_TCREEP&gt;0),10*c_TCREEP,IF(AND(A856&lt;=c_TRNGMIN,A856&gt;=c_TRNGMAX,c_TRNGMIN-c_TRNGMAX&lt;&gt;0),-10*c_TMINRN+QUOTIENT((c_TMAXRN-c_TMINRN)*(100-QUOTIENT((A856-c_TRNGMAX)*100,c_TRNGMIN-c_TRNGMAX)),-10),0))</f>
        <v>0</v>
      </c>
      <c r="D856" s="7" t="n">
        <f aca="false">IF(((c_TMAP1IN)-(c_TFWD))=0,(0)+QUOTIENT(((c_TMAP1OUT)-(0)),2),QUOTIENT((((A856)-(c_TFWD))*((c_TMAP1OUT)-(0))+IF(((c_TMAP1OUT)-(0))&gt;=0,1,-1)*QUOTIENT(((c_TMAP1IN)-(c_TFWD)),2)),((c_TMAP1IN)-(c_TFWD)))+(0)+IF(((c_TMAP1OUT)-(0))&gt;=0,IF(IF(o_WRAP=1,MOD(((c_TMAP1IN)-(c_TFWD))*(((A856)-(c_TFWD))*((c_TMAP1OUT)-(0))+IF(((c_TMAP1OUT)-(0))&gt;=0,1,-1)*QUOTIENT(((c_TMAP1IN)-(c_TFWD)),2))+2147483648,4294967296)-2147483648,((c_TMAP1IN)-(c_TFWD))*(((A856)-(c_TFWD))*((c_TMAP1OUT)-(0))+IF(((c_TMAP1OUT)-(0))&gt;=0,1,-1)*QUOTIENT(((c_TMAP1IN)-(c_TFWD)),2)))&lt;0,-1,0),IF(IF(o_WRAP=1,MOD(((c_TMAP1IN)-(c_TFWD))*(((A856)-(c_TFWD))*((c_TMAP1OUT)-(0))+IF(((c_TMAP1OUT)-(0))&gt;=0,1,-1)*QUOTIENT(((c_TMAP1IN)-(c_TFWD)),2))+2147483648,4294967296)-2147483648,((c_TMAP1IN)-(c_TFWD))*(((A856)-(c_TFWD))*((c_TMAP1OUT)-(0))+IF(((c_TMAP1OUT)-(0))&gt;=0,1,-1)*QUOTIENT(((c_TMAP1IN)-(c_TFWD)),2)))&gt;=0,1,0)))</f>
        <v>654</v>
      </c>
      <c r="E856" s="7" t="n">
        <f aca="false">IF(((c_TMAP2IN)-(c_TMAP1IN))=0,(c_TMAP1OUT)+QUOTIENT(((c_TMAP2OUT)-(c_TMAP1OUT)),2),QUOTIENT((((A856)-(c_TMAP1IN))*((c_TMAP2OUT)-(c_TMAP1OUT))+IF(((c_TMAP2OUT)-(c_TMAP1OUT))&gt;=0,1,-1)*QUOTIENT(((c_TMAP2IN)-(c_TMAP1IN)),2)),((c_TMAP2IN)-(c_TMAP1IN)))+(c_TMAP1OUT)+IF(((c_TMAP2OUT)-(c_TMAP1OUT))&gt;=0,IF(IF(o_WRAP=1,MOD(((c_TMAP2IN)-(c_TMAP1IN))*(((A856)-(c_TMAP1IN))*((c_TMAP2OUT)-(c_TMAP1OUT))+IF(((c_TMAP2OUT)-(c_TMAP1OUT))&gt;=0,1,-1)*QUOTIENT(((c_TMAP2IN)-(c_TMAP1IN)),2))+2147483648,4294967296)-2147483648,((c_TMAP2IN)-(c_TMAP1IN))*(((A856)-(c_TMAP1IN))*((c_TMAP2OUT)-(c_TMAP1OUT))+IF(((c_TMAP2OUT)-(c_TMAP1OUT))&gt;=0,1,-1)*QUOTIENT(((c_TMAP2IN)-(c_TMAP1IN)),2)))&lt;0,-1,0),IF(IF(o_WRAP=1,MOD(((c_TMAP2IN)-(c_TMAP1IN))*(((A856)-(c_TMAP1IN))*((c_TMAP2OUT)-(c_TMAP1OUT))+IF(((c_TMAP2OUT)-(c_TMAP1OUT))&gt;=0,1,-1)*QUOTIENT(((c_TMAP2IN)-(c_TMAP1IN)),2))+2147483648,4294967296)-2147483648,((c_TMAP2IN)-(c_TMAP1IN))*(((A856)-(c_TMAP1IN))*((c_TMAP2OUT)-(c_TMAP1OUT))+IF(((c_TMAP2OUT)-(c_TMAP1OUT))&gt;=0,1,-1)*QUOTIENT(((c_TMAP2IN)-(c_TMAP1IN)),2)))&gt;=0,1,0)))</f>
        <v>370</v>
      </c>
      <c r="F856" s="7" t="n">
        <f aca="false">IF(((c_TMAP3IN)-(c_TMAP2IN))=0,(c_TMAP2OUT)+QUOTIENT(((c_TMAP3OUT)-(c_TMAP2OUT)),2),QUOTIENT((((A856)-(c_TMAP2IN))*((c_TMAP3OUT)-(c_TMAP2OUT))+IF(((c_TMAP3OUT)-(c_TMAP2OUT))&gt;=0,1,-1)*QUOTIENT(((c_TMAP3IN)-(c_TMAP2IN)),2)),((c_TMAP3IN)-(c_TMAP2IN)))+(c_TMAP2OUT)+IF(((c_TMAP3OUT)-(c_TMAP2OUT))&gt;=0,IF(IF(o_WRAP=1,MOD(((c_TMAP3IN)-(c_TMAP2IN))*(((A856)-(c_TMAP2IN))*((c_TMAP3OUT)-(c_TMAP2OUT))+IF(((c_TMAP3OUT)-(c_TMAP2OUT))&gt;=0,1,-1)*QUOTIENT(((c_TMAP3IN)-(c_TMAP2IN)),2))+2147483648,4294967296)-2147483648,((c_TMAP3IN)-(c_TMAP2IN))*(((A856)-(c_TMAP2IN))*((c_TMAP3OUT)-(c_TMAP2OUT))+IF(((c_TMAP3OUT)-(c_TMAP2OUT))&gt;=0,1,-1)*QUOTIENT(((c_TMAP3IN)-(c_TMAP2IN)),2)))&lt;0,-1,0),IF(IF(o_WRAP=1,MOD(((c_TMAP3IN)-(c_TMAP2IN))*(((A856)-(c_TMAP2IN))*((c_TMAP3OUT)-(c_TMAP2OUT))+IF(((c_TMAP3OUT)-(c_TMAP2OUT))&gt;=0,1,-1)*QUOTIENT(((c_TMAP3IN)-(c_TMAP2IN)),2))+2147483648,4294967296)-2147483648,((c_TMAP3IN)-(c_TMAP2IN))*(((A856)-(c_TMAP2IN))*((c_TMAP3OUT)-(c_TMAP2OUT))+IF(((c_TMAP3OUT)-(c_TMAP2OUT))&gt;=0,1,-1)*QUOTIENT(((c_TMAP3IN)-(c_TMAP2IN)),2)))&gt;=0,1,0)))</f>
        <v>551</v>
      </c>
      <c r="G856" s="7" t="n">
        <f aca="false">IF(((1000)-(c_TMAP3IN))=0,(c_TMAP3OUT)+QUOTIENT(((1000)-(c_TMAP3OUT)),2),QUOTIENT((((A856)-(c_TMAP3IN))*((1000)-(c_TMAP3OUT))+IF(((1000)-(c_TMAP3OUT))&gt;=0,1,-1)*QUOTIENT(((1000)-(c_TMAP3IN)),2)),((1000)-(c_TMAP3IN)))+(c_TMAP3OUT)+IF(((1000)-(c_TMAP3OUT))&gt;=0,IF(IF(o_WRAP=1,MOD(((1000)-(c_TMAP3IN))*(((A856)-(c_TMAP3IN))*((1000)-(c_TMAP3OUT))+IF(((1000)-(c_TMAP3OUT))&gt;=0,1,-1)*QUOTIENT(((1000)-(c_TMAP3IN)),2))+2147483648,4294967296)-2147483648,((1000)-(c_TMAP3IN))*(((A856)-(c_TMAP3IN))*((1000)-(c_TMAP3OUT))+IF(((1000)-(c_TMAP3OUT))&gt;=0,1,-1)*QUOTIENT(((1000)-(c_TMAP3IN)),2)))&lt;0,-1,0),IF(IF(o_WRAP=1,MOD(((1000)-(c_TMAP3IN))*(((A856)-(c_TMAP3IN))*((1000)-(c_TMAP3OUT))+IF(((1000)-(c_TMAP3OUT))&gt;=0,1,-1)*QUOTIENT(((1000)-(c_TMAP3IN)),2))+2147483648,4294967296)-2147483648,((1000)-(c_TMAP3IN))*(((A856)-(c_TMAP3IN))*((1000)-(c_TMAP3OUT))+IF(((1000)-(c_TMAP3OUT))&gt;=0,1,-1)*QUOTIENT(((1000)-(c_TMAP3IN)),2)))&gt;=0,1,0)))</f>
        <v>817</v>
      </c>
      <c r="H856" s="7" t="str">
        <f aca="false">IF(A856&gt;=c_TFWD,IF(AND(A856&gt;=c_TMAP3IN,c_TMAP3IN&lt;1000),"Seg4 map3-100%",IF(AND(A856&gt;=c_TMAP2IN,c_TMAP3IN&gt;c_TMAP2IN),"Seg3 map2-map3",IF(AND(A856&gt;=c_TMAP1IN,c_TMAP2IN&gt;c_TMAP1IN),"Seg2 map1-map2","Seg1 TFWD-map1"))),IF(AND(A856=0,c_TCREEP&gt;0),"Creep",IF(AND(A856&lt;=c_TRNGMIN,A856&gt;=c_TRNGMAX,c_TRNGMIN-c_TRNGMAX&lt;&gt;0),"Regen ramp","Coast (0)")))</f>
        <v>Seg4 map3-100%</v>
      </c>
      <c r="I856" s="7" t="n">
        <f aca="false">IF(A856&gt;=c_TFWD,IF(AND(A856&gt;=c_TMAP3IN,c_TMAP3IN&lt;1000),G856,IF(AND(A856&gt;=c_TMAP2IN,c_TMAP3IN&gt;c_TMAP2IN),F856,IF(AND(A856&gt;=c_TMAP1IN,c_TMAP2IN&gt;c_TMAP1IN),E856,D856))),C856)</f>
        <v>817</v>
      </c>
      <c r="J856" s="7" t="str">
        <f aca="false">IF(I856&lt;-1090,"TOO LOW",IF(I856&gt;1090,"TOO HIGH",""))</f>
        <v/>
      </c>
      <c r="K856" s="15" t="n">
        <f aca="false">IF(J856&lt;&gt;"",0,IF(I856&gt;979,1000,I856))</f>
        <v>817</v>
      </c>
      <c r="L856" s="7" t="n">
        <f aca="false">K856/10</f>
        <v>81.7</v>
      </c>
    </row>
    <row r="857" customFormat="false" ht="15" hidden="false" customHeight="false" outlineLevel="0" collapsed="false">
      <c r="A857" s="7" t="n">
        <v>852</v>
      </c>
      <c r="B857" s="7" t="n">
        <f aca="false">A857/10</f>
        <v>85.2</v>
      </c>
      <c r="C857" s="7" t="n">
        <f aca="false">IF(AND(A857=0,c_TCREEP&gt;0),10*c_TCREEP,IF(AND(A857&lt;=c_TRNGMIN,A857&gt;=c_TRNGMAX,c_TRNGMIN-c_TRNGMAX&lt;&gt;0),-10*c_TMINRN+QUOTIENT((c_TMAXRN-c_TMINRN)*(100-QUOTIENT((A857-c_TRNGMAX)*100,c_TRNGMIN-c_TRNGMAX)),-10),0))</f>
        <v>0</v>
      </c>
      <c r="D857" s="7" t="n">
        <f aca="false">IF(((c_TMAP1IN)-(c_TFWD))=0,(0)+QUOTIENT(((c_TMAP1OUT)-(0)),2),QUOTIENT((((A857)-(c_TFWD))*((c_TMAP1OUT)-(0))+IF(((c_TMAP1OUT)-(0))&gt;=0,1,-1)*QUOTIENT(((c_TMAP1IN)-(c_TFWD)),2)),((c_TMAP1IN)-(c_TFWD)))+(0)+IF(((c_TMAP1OUT)-(0))&gt;=0,IF(IF(o_WRAP=1,MOD(((c_TMAP1IN)-(c_TFWD))*(((A857)-(c_TFWD))*((c_TMAP1OUT)-(0))+IF(((c_TMAP1OUT)-(0))&gt;=0,1,-1)*QUOTIENT(((c_TMAP1IN)-(c_TFWD)),2))+2147483648,4294967296)-2147483648,((c_TMAP1IN)-(c_TFWD))*(((A857)-(c_TFWD))*((c_TMAP1OUT)-(0))+IF(((c_TMAP1OUT)-(0))&gt;=0,1,-1)*QUOTIENT(((c_TMAP1IN)-(c_TFWD)),2)))&lt;0,-1,0),IF(IF(o_WRAP=1,MOD(((c_TMAP1IN)-(c_TFWD))*(((A857)-(c_TFWD))*((c_TMAP1OUT)-(0))+IF(((c_TMAP1OUT)-(0))&gt;=0,1,-1)*QUOTIENT(((c_TMAP1IN)-(c_TFWD)),2))+2147483648,4294967296)-2147483648,((c_TMAP1IN)-(c_TFWD))*(((A857)-(c_TFWD))*((c_TMAP1OUT)-(0))+IF(((c_TMAP1OUT)-(0))&gt;=0,1,-1)*QUOTIENT(((c_TMAP1IN)-(c_TFWD)),2)))&gt;=0,1,0)))</f>
        <v>655</v>
      </c>
      <c r="E857" s="7" t="n">
        <f aca="false">IF(((c_TMAP2IN)-(c_TMAP1IN))=0,(c_TMAP1OUT)+QUOTIENT(((c_TMAP2OUT)-(c_TMAP1OUT)),2),QUOTIENT((((A857)-(c_TMAP1IN))*((c_TMAP2OUT)-(c_TMAP1OUT))+IF(((c_TMAP2OUT)-(c_TMAP1OUT))&gt;=0,1,-1)*QUOTIENT(((c_TMAP2IN)-(c_TMAP1IN)),2)),((c_TMAP2IN)-(c_TMAP1IN)))+(c_TMAP1OUT)+IF(((c_TMAP2OUT)-(c_TMAP1OUT))&gt;=0,IF(IF(o_WRAP=1,MOD(((c_TMAP2IN)-(c_TMAP1IN))*(((A857)-(c_TMAP1IN))*((c_TMAP2OUT)-(c_TMAP1OUT))+IF(((c_TMAP2OUT)-(c_TMAP1OUT))&gt;=0,1,-1)*QUOTIENT(((c_TMAP2IN)-(c_TMAP1IN)),2))+2147483648,4294967296)-2147483648,((c_TMAP2IN)-(c_TMAP1IN))*(((A857)-(c_TMAP1IN))*((c_TMAP2OUT)-(c_TMAP1OUT))+IF(((c_TMAP2OUT)-(c_TMAP1OUT))&gt;=0,1,-1)*QUOTIENT(((c_TMAP2IN)-(c_TMAP1IN)),2)))&lt;0,-1,0),IF(IF(o_WRAP=1,MOD(((c_TMAP2IN)-(c_TMAP1IN))*(((A857)-(c_TMAP1IN))*((c_TMAP2OUT)-(c_TMAP1OUT))+IF(((c_TMAP2OUT)-(c_TMAP1OUT))&gt;=0,1,-1)*QUOTIENT(((c_TMAP2IN)-(c_TMAP1IN)),2))+2147483648,4294967296)-2147483648,((c_TMAP2IN)-(c_TMAP1IN))*(((A857)-(c_TMAP1IN))*((c_TMAP2OUT)-(c_TMAP1OUT))+IF(((c_TMAP2OUT)-(c_TMAP1OUT))&gt;=0,1,-1)*QUOTIENT(((c_TMAP2IN)-(c_TMAP1IN)),2)))&gt;=0,1,0)))</f>
        <v>371</v>
      </c>
      <c r="F857" s="7" t="n">
        <f aca="false">IF(((c_TMAP3IN)-(c_TMAP2IN))=0,(c_TMAP2OUT)+QUOTIENT(((c_TMAP3OUT)-(c_TMAP2OUT)),2),QUOTIENT((((A857)-(c_TMAP2IN))*((c_TMAP3OUT)-(c_TMAP2OUT))+IF(((c_TMAP3OUT)-(c_TMAP2OUT))&gt;=0,1,-1)*QUOTIENT(((c_TMAP3IN)-(c_TMAP2IN)),2)),((c_TMAP3IN)-(c_TMAP2IN)))+(c_TMAP2OUT)+IF(((c_TMAP3OUT)-(c_TMAP2OUT))&gt;=0,IF(IF(o_WRAP=1,MOD(((c_TMAP3IN)-(c_TMAP2IN))*(((A857)-(c_TMAP2IN))*((c_TMAP3OUT)-(c_TMAP2OUT))+IF(((c_TMAP3OUT)-(c_TMAP2OUT))&gt;=0,1,-1)*QUOTIENT(((c_TMAP3IN)-(c_TMAP2IN)),2))+2147483648,4294967296)-2147483648,((c_TMAP3IN)-(c_TMAP2IN))*(((A857)-(c_TMAP2IN))*((c_TMAP3OUT)-(c_TMAP2OUT))+IF(((c_TMAP3OUT)-(c_TMAP2OUT))&gt;=0,1,-1)*QUOTIENT(((c_TMAP3IN)-(c_TMAP2IN)),2)))&lt;0,-1,0),IF(IF(o_WRAP=1,MOD(((c_TMAP3IN)-(c_TMAP2IN))*(((A857)-(c_TMAP2IN))*((c_TMAP3OUT)-(c_TMAP2OUT))+IF(((c_TMAP3OUT)-(c_TMAP2OUT))&gt;=0,1,-1)*QUOTIENT(((c_TMAP3IN)-(c_TMAP2IN)),2))+2147483648,4294967296)-2147483648,((c_TMAP3IN)-(c_TMAP2IN))*(((A857)-(c_TMAP2IN))*((c_TMAP3OUT)-(c_TMAP2OUT))+IF(((c_TMAP3OUT)-(c_TMAP2OUT))&gt;=0,1,-1)*QUOTIENT(((c_TMAP3IN)-(c_TMAP2IN)),2)))&gt;=0,1,0)))</f>
        <v>551</v>
      </c>
      <c r="G857" s="7" t="n">
        <f aca="false">IF(((1000)-(c_TMAP3IN))=0,(c_TMAP3OUT)+QUOTIENT(((1000)-(c_TMAP3OUT)),2),QUOTIENT((((A857)-(c_TMAP3IN))*((1000)-(c_TMAP3OUT))+IF(((1000)-(c_TMAP3OUT))&gt;=0,1,-1)*QUOTIENT(((1000)-(c_TMAP3IN)),2)),((1000)-(c_TMAP3IN)))+(c_TMAP3OUT)+IF(((1000)-(c_TMAP3OUT))&gt;=0,IF(IF(o_WRAP=1,MOD(((1000)-(c_TMAP3IN))*(((A857)-(c_TMAP3IN))*((1000)-(c_TMAP3OUT))+IF(((1000)-(c_TMAP3OUT))&gt;=0,1,-1)*QUOTIENT(((1000)-(c_TMAP3IN)),2))+2147483648,4294967296)-2147483648,((1000)-(c_TMAP3IN))*(((A857)-(c_TMAP3IN))*((1000)-(c_TMAP3OUT))+IF(((1000)-(c_TMAP3OUT))&gt;=0,1,-1)*QUOTIENT(((1000)-(c_TMAP3IN)),2)))&lt;0,-1,0),IF(IF(o_WRAP=1,MOD(((1000)-(c_TMAP3IN))*(((A857)-(c_TMAP3IN))*((1000)-(c_TMAP3OUT))+IF(((1000)-(c_TMAP3OUT))&gt;=0,1,-1)*QUOTIENT(((1000)-(c_TMAP3IN)),2))+2147483648,4294967296)-2147483648,((1000)-(c_TMAP3IN))*(((A857)-(c_TMAP3IN))*((1000)-(c_TMAP3OUT))+IF(((1000)-(c_TMAP3OUT))&gt;=0,1,-1)*QUOTIENT(((1000)-(c_TMAP3IN)),2)))&gt;=0,1,0)))</f>
        <v>818</v>
      </c>
      <c r="H857" s="7" t="str">
        <f aca="false">IF(A857&gt;=c_TFWD,IF(AND(A857&gt;=c_TMAP3IN,c_TMAP3IN&lt;1000),"Seg4 map3-100%",IF(AND(A857&gt;=c_TMAP2IN,c_TMAP3IN&gt;c_TMAP2IN),"Seg3 map2-map3",IF(AND(A857&gt;=c_TMAP1IN,c_TMAP2IN&gt;c_TMAP1IN),"Seg2 map1-map2","Seg1 TFWD-map1"))),IF(AND(A857=0,c_TCREEP&gt;0),"Creep",IF(AND(A857&lt;=c_TRNGMIN,A857&gt;=c_TRNGMAX,c_TRNGMIN-c_TRNGMAX&lt;&gt;0),"Regen ramp","Coast (0)")))</f>
        <v>Seg4 map3-100%</v>
      </c>
      <c r="I857" s="7" t="n">
        <f aca="false">IF(A857&gt;=c_TFWD,IF(AND(A857&gt;=c_TMAP3IN,c_TMAP3IN&lt;1000),G857,IF(AND(A857&gt;=c_TMAP2IN,c_TMAP3IN&gt;c_TMAP2IN),F857,IF(AND(A857&gt;=c_TMAP1IN,c_TMAP2IN&gt;c_TMAP1IN),E857,D857))),C857)</f>
        <v>818</v>
      </c>
      <c r="J857" s="7" t="str">
        <f aca="false">IF(I857&lt;-1090,"TOO LOW",IF(I857&gt;1090,"TOO HIGH",""))</f>
        <v/>
      </c>
      <c r="K857" s="15" t="n">
        <f aca="false">IF(J857&lt;&gt;"",0,IF(I857&gt;979,1000,I857))</f>
        <v>818</v>
      </c>
      <c r="L857" s="7" t="n">
        <f aca="false">K857/10</f>
        <v>81.8</v>
      </c>
    </row>
    <row r="858" customFormat="false" ht="15" hidden="false" customHeight="false" outlineLevel="0" collapsed="false">
      <c r="A858" s="7" t="n">
        <v>853</v>
      </c>
      <c r="B858" s="7" t="n">
        <f aca="false">A858/10</f>
        <v>85.3</v>
      </c>
      <c r="C858" s="7" t="n">
        <f aca="false">IF(AND(A858=0,c_TCREEP&gt;0),10*c_TCREEP,IF(AND(A858&lt;=c_TRNGMIN,A858&gt;=c_TRNGMAX,c_TRNGMIN-c_TRNGMAX&lt;&gt;0),-10*c_TMINRN+QUOTIENT((c_TMAXRN-c_TMINRN)*(100-QUOTIENT((A858-c_TRNGMAX)*100,c_TRNGMIN-c_TRNGMAX)),-10),0))</f>
        <v>0</v>
      </c>
      <c r="D858" s="7" t="n">
        <f aca="false">IF(((c_TMAP1IN)-(c_TFWD))=0,(0)+QUOTIENT(((c_TMAP1OUT)-(0)),2),QUOTIENT((((A858)-(c_TFWD))*((c_TMAP1OUT)-(0))+IF(((c_TMAP1OUT)-(0))&gt;=0,1,-1)*QUOTIENT(((c_TMAP1IN)-(c_TFWD)),2)),((c_TMAP1IN)-(c_TFWD)))+(0)+IF(((c_TMAP1OUT)-(0))&gt;=0,IF(IF(o_WRAP=1,MOD(((c_TMAP1IN)-(c_TFWD))*(((A858)-(c_TFWD))*((c_TMAP1OUT)-(0))+IF(((c_TMAP1OUT)-(0))&gt;=0,1,-1)*QUOTIENT(((c_TMAP1IN)-(c_TFWD)),2))+2147483648,4294967296)-2147483648,((c_TMAP1IN)-(c_TFWD))*(((A858)-(c_TFWD))*((c_TMAP1OUT)-(0))+IF(((c_TMAP1OUT)-(0))&gt;=0,1,-1)*QUOTIENT(((c_TMAP1IN)-(c_TFWD)),2)))&lt;0,-1,0),IF(IF(o_WRAP=1,MOD(((c_TMAP1IN)-(c_TFWD))*(((A858)-(c_TFWD))*((c_TMAP1OUT)-(0))+IF(((c_TMAP1OUT)-(0))&gt;=0,1,-1)*QUOTIENT(((c_TMAP1IN)-(c_TFWD)),2))+2147483648,4294967296)-2147483648,((c_TMAP1IN)-(c_TFWD))*(((A858)-(c_TFWD))*((c_TMAP1OUT)-(0))+IF(((c_TMAP1OUT)-(0))&gt;=0,1,-1)*QUOTIENT(((c_TMAP1IN)-(c_TFWD)),2)))&gt;=0,1,0)))</f>
        <v>656</v>
      </c>
      <c r="E858" s="7" t="n">
        <f aca="false">IF(((c_TMAP2IN)-(c_TMAP1IN))=0,(c_TMAP1OUT)+QUOTIENT(((c_TMAP2OUT)-(c_TMAP1OUT)),2),QUOTIENT((((A858)-(c_TMAP1IN))*((c_TMAP2OUT)-(c_TMAP1OUT))+IF(((c_TMAP2OUT)-(c_TMAP1OUT))&gt;=0,1,-1)*QUOTIENT(((c_TMAP2IN)-(c_TMAP1IN)),2)),((c_TMAP2IN)-(c_TMAP1IN)))+(c_TMAP1OUT)+IF(((c_TMAP2OUT)-(c_TMAP1OUT))&gt;=0,IF(IF(o_WRAP=1,MOD(((c_TMAP2IN)-(c_TMAP1IN))*(((A858)-(c_TMAP1IN))*((c_TMAP2OUT)-(c_TMAP1OUT))+IF(((c_TMAP2OUT)-(c_TMAP1OUT))&gt;=0,1,-1)*QUOTIENT(((c_TMAP2IN)-(c_TMAP1IN)),2))+2147483648,4294967296)-2147483648,((c_TMAP2IN)-(c_TMAP1IN))*(((A858)-(c_TMAP1IN))*((c_TMAP2OUT)-(c_TMAP1OUT))+IF(((c_TMAP2OUT)-(c_TMAP1OUT))&gt;=0,1,-1)*QUOTIENT(((c_TMAP2IN)-(c_TMAP1IN)),2)))&lt;0,-1,0),IF(IF(o_WRAP=1,MOD(((c_TMAP2IN)-(c_TMAP1IN))*(((A858)-(c_TMAP1IN))*((c_TMAP2OUT)-(c_TMAP1OUT))+IF(((c_TMAP2OUT)-(c_TMAP1OUT))&gt;=0,1,-1)*QUOTIENT(((c_TMAP2IN)-(c_TMAP1IN)),2))+2147483648,4294967296)-2147483648,((c_TMAP2IN)-(c_TMAP1IN))*(((A858)-(c_TMAP1IN))*((c_TMAP2OUT)-(c_TMAP1OUT))+IF(((c_TMAP2OUT)-(c_TMAP1OUT))&gt;=0,1,-1)*QUOTIENT(((c_TMAP2IN)-(c_TMAP1IN)),2)))&gt;=0,1,0)))</f>
        <v>371</v>
      </c>
      <c r="F858" s="7" t="n">
        <f aca="false">IF(((c_TMAP3IN)-(c_TMAP2IN))=0,(c_TMAP2OUT)+QUOTIENT(((c_TMAP3OUT)-(c_TMAP2OUT)),2),QUOTIENT((((A858)-(c_TMAP2IN))*((c_TMAP3OUT)-(c_TMAP2OUT))+IF(((c_TMAP3OUT)-(c_TMAP2OUT))&gt;=0,1,-1)*QUOTIENT(((c_TMAP3IN)-(c_TMAP2IN)),2)),((c_TMAP3IN)-(c_TMAP2IN)))+(c_TMAP2OUT)+IF(((c_TMAP3OUT)-(c_TMAP2OUT))&gt;=0,IF(IF(o_WRAP=1,MOD(((c_TMAP3IN)-(c_TMAP2IN))*(((A858)-(c_TMAP2IN))*((c_TMAP3OUT)-(c_TMAP2OUT))+IF(((c_TMAP3OUT)-(c_TMAP2OUT))&gt;=0,1,-1)*QUOTIENT(((c_TMAP3IN)-(c_TMAP2IN)),2))+2147483648,4294967296)-2147483648,((c_TMAP3IN)-(c_TMAP2IN))*(((A858)-(c_TMAP2IN))*((c_TMAP3OUT)-(c_TMAP2OUT))+IF(((c_TMAP3OUT)-(c_TMAP2OUT))&gt;=0,1,-1)*QUOTIENT(((c_TMAP3IN)-(c_TMAP2IN)),2)))&lt;0,-1,0),IF(IF(o_WRAP=1,MOD(((c_TMAP3IN)-(c_TMAP2IN))*(((A858)-(c_TMAP2IN))*((c_TMAP3OUT)-(c_TMAP2OUT))+IF(((c_TMAP3OUT)-(c_TMAP2OUT))&gt;=0,1,-1)*QUOTIENT(((c_TMAP3IN)-(c_TMAP2IN)),2))+2147483648,4294967296)-2147483648,((c_TMAP3IN)-(c_TMAP2IN))*(((A858)-(c_TMAP2IN))*((c_TMAP3OUT)-(c_TMAP2OUT))+IF(((c_TMAP3OUT)-(c_TMAP2OUT))&gt;=0,1,-1)*QUOTIENT(((c_TMAP3IN)-(c_TMAP2IN)),2)))&gt;=0,1,0)))</f>
        <v>552</v>
      </c>
      <c r="G858" s="7" t="n">
        <f aca="false">IF(((1000)-(c_TMAP3IN))=0,(c_TMAP3OUT)+QUOTIENT(((1000)-(c_TMAP3OUT)),2),QUOTIENT((((A858)-(c_TMAP3IN))*((1000)-(c_TMAP3OUT))+IF(((1000)-(c_TMAP3OUT))&gt;=0,1,-1)*QUOTIENT(((1000)-(c_TMAP3IN)),2)),((1000)-(c_TMAP3IN)))+(c_TMAP3OUT)+IF(((1000)-(c_TMAP3OUT))&gt;=0,IF(IF(o_WRAP=1,MOD(((1000)-(c_TMAP3IN))*(((A858)-(c_TMAP3IN))*((1000)-(c_TMAP3OUT))+IF(((1000)-(c_TMAP3OUT))&gt;=0,1,-1)*QUOTIENT(((1000)-(c_TMAP3IN)),2))+2147483648,4294967296)-2147483648,((1000)-(c_TMAP3IN))*(((A858)-(c_TMAP3IN))*((1000)-(c_TMAP3OUT))+IF(((1000)-(c_TMAP3OUT))&gt;=0,1,-1)*QUOTIENT(((1000)-(c_TMAP3IN)),2)))&lt;0,-1,0),IF(IF(o_WRAP=1,MOD(((1000)-(c_TMAP3IN))*(((A858)-(c_TMAP3IN))*((1000)-(c_TMAP3OUT))+IF(((1000)-(c_TMAP3OUT))&gt;=0,1,-1)*QUOTIENT(((1000)-(c_TMAP3IN)),2))+2147483648,4294967296)-2147483648,((1000)-(c_TMAP3IN))*(((A858)-(c_TMAP3IN))*((1000)-(c_TMAP3OUT))+IF(((1000)-(c_TMAP3OUT))&gt;=0,1,-1)*QUOTIENT(((1000)-(c_TMAP3IN)),2)))&gt;=0,1,0)))</f>
        <v>819</v>
      </c>
      <c r="H858" s="7" t="str">
        <f aca="false">IF(A858&gt;=c_TFWD,IF(AND(A858&gt;=c_TMAP3IN,c_TMAP3IN&lt;1000),"Seg4 map3-100%",IF(AND(A858&gt;=c_TMAP2IN,c_TMAP3IN&gt;c_TMAP2IN),"Seg3 map2-map3",IF(AND(A858&gt;=c_TMAP1IN,c_TMAP2IN&gt;c_TMAP1IN),"Seg2 map1-map2","Seg1 TFWD-map1"))),IF(AND(A858=0,c_TCREEP&gt;0),"Creep",IF(AND(A858&lt;=c_TRNGMIN,A858&gt;=c_TRNGMAX,c_TRNGMIN-c_TRNGMAX&lt;&gt;0),"Regen ramp","Coast (0)")))</f>
        <v>Seg4 map3-100%</v>
      </c>
      <c r="I858" s="7" t="n">
        <f aca="false">IF(A858&gt;=c_TFWD,IF(AND(A858&gt;=c_TMAP3IN,c_TMAP3IN&lt;1000),G858,IF(AND(A858&gt;=c_TMAP2IN,c_TMAP3IN&gt;c_TMAP2IN),F858,IF(AND(A858&gt;=c_TMAP1IN,c_TMAP2IN&gt;c_TMAP1IN),E858,D858))),C858)</f>
        <v>819</v>
      </c>
      <c r="J858" s="7" t="str">
        <f aca="false">IF(I858&lt;-1090,"TOO LOW",IF(I858&gt;1090,"TOO HIGH",""))</f>
        <v/>
      </c>
      <c r="K858" s="15" t="n">
        <f aca="false">IF(J858&lt;&gt;"",0,IF(I858&gt;979,1000,I858))</f>
        <v>819</v>
      </c>
      <c r="L858" s="7" t="n">
        <f aca="false">K858/10</f>
        <v>81.9</v>
      </c>
    </row>
    <row r="859" customFormat="false" ht="15" hidden="false" customHeight="false" outlineLevel="0" collapsed="false">
      <c r="A859" s="7" t="n">
        <v>854</v>
      </c>
      <c r="B859" s="7" t="n">
        <f aca="false">A859/10</f>
        <v>85.4</v>
      </c>
      <c r="C859" s="7" t="n">
        <f aca="false">IF(AND(A859=0,c_TCREEP&gt;0),10*c_TCREEP,IF(AND(A859&lt;=c_TRNGMIN,A859&gt;=c_TRNGMAX,c_TRNGMIN-c_TRNGMAX&lt;&gt;0),-10*c_TMINRN+QUOTIENT((c_TMAXRN-c_TMINRN)*(100-QUOTIENT((A859-c_TRNGMAX)*100,c_TRNGMIN-c_TRNGMAX)),-10),0))</f>
        <v>0</v>
      </c>
      <c r="D859" s="7" t="n">
        <f aca="false">IF(((c_TMAP1IN)-(c_TFWD))=0,(0)+QUOTIENT(((c_TMAP1OUT)-(0)),2),QUOTIENT((((A859)-(c_TFWD))*((c_TMAP1OUT)-(0))+IF(((c_TMAP1OUT)-(0))&gt;=0,1,-1)*QUOTIENT(((c_TMAP1IN)-(c_TFWD)),2)),((c_TMAP1IN)-(c_TFWD)))+(0)+IF(((c_TMAP1OUT)-(0))&gt;=0,IF(IF(o_WRAP=1,MOD(((c_TMAP1IN)-(c_TFWD))*(((A859)-(c_TFWD))*((c_TMAP1OUT)-(0))+IF(((c_TMAP1OUT)-(0))&gt;=0,1,-1)*QUOTIENT(((c_TMAP1IN)-(c_TFWD)),2))+2147483648,4294967296)-2147483648,((c_TMAP1IN)-(c_TFWD))*(((A859)-(c_TFWD))*((c_TMAP1OUT)-(0))+IF(((c_TMAP1OUT)-(0))&gt;=0,1,-1)*QUOTIENT(((c_TMAP1IN)-(c_TFWD)),2)))&lt;0,-1,0),IF(IF(o_WRAP=1,MOD(((c_TMAP1IN)-(c_TFWD))*(((A859)-(c_TFWD))*((c_TMAP1OUT)-(0))+IF(((c_TMAP1OUT)-(0))&gt;=0,1,-1)*QUOTIENT(((c_TMAP1IN)-(c_TFWD)),2))+2147483648,4294967296)-2147483648,((c_TMAP1IN)-(c_TFWD))*(((A859)-(c_TFWD))*((c_TMAP1OUT)-(0))+IF(((c_TMAP1OUT)-(0))&gt;=0,1,-1)*QUOTIENT(((c_TMAP1IN)-(c_TFWD)),2)))&gt;=0,1,0)))</f>
        <v>656</v>
      </c>
      <c r="E859" s="7" t="n">
        <f aca="false">IF(((c_TMAP2IN)-(c_TMAP1IN))=0,(c_TMAP1OUT)+QUOTIENT(((c_TMAP2OUT)-(c_TMAP1OUT)),2),QUOTIENT((((A859)-(c_TMAP1IN))*((c_TMAP2OUT)-(c_TMAP1OUT))+IF(((c_TMAP2OUT)-(c_TMAP1OUT))&gt;=0,1,-1)*QUOTIENT(((c_TMAP2IN)-(c_TMAP1IN)),2)),((c_TMAP2IN)-(c_TMAP1IN)))+(c_TMAP1OUT)+IF(((c_TMAP2OUT)-(c_TMAP1OUT))&gt;=0,IF(IF(o_WRAP=1,MOD(((c_TMAP2IN)-(c_TMAP1IN))*(((A859)-(c_TMAP1IN))*((c_TMAP2OUT)-(c_TMAP1OUT))+IF(((c_TMAP2OUT)-(c_TMAP1OUT))&gt;=0,1,-1)*QUOTIENT(((c_TMAP2IN)-(c_TMAP1IN)),2))+2147483648,4294967296)-2147483648,((c_TMAP2IN)-(c_TMAP1IN))*(((A859)-(c_TMAP1IN))*((c_TMAP2OUT)-(c_TMAP1OUT))+IF(((c_TMAP2OUT)-(c_TMAP1OUT))&gt;=0,1,-1)*QUOTIENT(((c_TMAP2IN)-(c_TMAP1IN)),2)))&lt;0,-1,0),IF(IF(o_WRAP=1,MOD(((c_TMAP2IN)-(c_TMAP1IN))*(((A859)-(c_TMAP1IN))*((c_TMAP2OUT)-(c_TMAP1OUT))+IF(((c_TMAP2OUT)-(c_TMAP1OUT))&gt;=0,1,-1)*QUOTIENT(((c_TMAP2IN)-(c_TMAP1IN)),2))+2147483648,4294967296)-2147483648,((c_TMAP2IN)-(c_TMAP1IN))*(((A859)-(c_TMAP1IN))*((c_TMAP2OUT)-(c_TMAP1OUT))+IF(((c_TMAP2OUT)-(c_TMAP1OUT))&gt;=0,1,-1)*QUOTIENT(((c_TMAP2IN)-(c_TMAP1IN)),2)))&gt;=0,1,0)))</f>
        <v>372</v>
      </c>
      <c r="F859" s="7" t="n">
        <f aca="false">IF(((c_TMAP3IN)-(c_TMAP2IN))=0,(c_TMAP2OUT)+QUOTIENT(((c_TMAP3OUT)-(c_TMAP2OUT)),2),QUOTIENT((((A859)-(c_TMAP2IN))*((c_TMAP3OUT)-(c_TMAP2OUT))+IF(((c_TMAP3OUT)-(c_TMAP2OUT))&gt;=0,1,-1)*QUOTIENT(((c_TMAP3IN)-(c_TMAP2IN)),2)),((c_TMAP3IN)-(c_TMAP2IN)))+(c_TMAP2OUT)+IF(((c_TMAP3OUT)-(c_TMAP2OUT))&gt;=0,IF(IF(o_WRAP=1,MOD(((c_TMAP3IN)-(c_TMAP2IN))*(((A859)-(c_TMAP2IN))*((c_TMAP3OUT)-(c_TMAP2OUT))+IF(((c_TMAP3OUT)-(c_TMAP2OUT))&gt;=0,1,-1)*QUOTIENT(((c_TMAP3IN)-(c_TMAP2IN)),2))+2147483648,4294967296)-2147483648,((c_TMAP3IN)-(c_TMAP2IN))*(((A859)-(c_TMAP2IN))*((c_TMAP3OUT)-(c_TMAP2OUT))+IF(((c_TMAP3OUT)-(c_TMAP2OUT))&gt;=0,1,-1)*QUOTIENT(((c_TMAP3IN)-(c_TMAP2IN)),2)))&lt;0,-1,0),IF(IF(o_WRAP=1,MOD(((c_TMAP3IN)-(c_TMAP2IN))*(((A859)-(c_TMAP2IN))*((c_TMAP3OUT)-(c_TMAP2OUT))+IF(((c_TMAP3OUT)-(c_TMAP2OUT))&gt;=0,1,-1)*QUOTIENT(((c_TMAP3IN)-(c_TMAP2IN)),2))+2147483648,4294967296)-2147483648,((c_TMAP3IN)-(c_TMAP2IN))*(((A859)-(c_TMAP2IN))*((c_TMAP3OUT)-(c_TMAP2OUT))+IF(((c_TMAP3OUT)-(c_TMAP2OUT))&gt;=0,1,-1)*QUOTIENT(((c_TMAP3IN)-(c_TMAP2IN)),2)))&gt;=0,1,0)))</f>
        <v>553</v>
      </c>
      <c r="G859" s="7" t="n">
        <f aca="false">IF(((1000)-(c_TMAP3IN))=0,(c_TMAP3OUT)+QUOTIENT(((1000)-(c_TMAP3OUT)),2),QUOTIENT((((A859)-(c_TMAP3IN))*((1000)-(c_TMAP3OUT))+IF(((1000)-(c_TMAP3OUT))&gt;=0,1,-1)*QUOTIENT(((1000)-(c_TMAP3IN)),2)),((1000)-(c_TMAP3IN)))+(c_TMAP3OUT)+IF(((1000)-(c_TMAP3OUT))&gt;=0,IF(IF(o_WRAP=1,MOD(((1000)-(c_TMAP3IN))*(((A859)-(c_TMAP3IN))*((1000)-(c_TMAP3OUT))+IF(((1000)-(c_TMAP3OUT))&gt;=0,1,-1)*QUOTIENT(((1000)-(c_TMAP3IN)),2))+2147483648,4294967296)-2147483648,((1000)-(c_TMAP3IN))*(((A859)-(c_TMAP3IN))*((1000)-(c_TMAP3OUT))+IF(((1000)-(c_TMAP3OUT))&gt;=0,1,-1)*QUOTIENT(((1000)-(c_TMAP3IN)),2)))&lt;0,-1,0),IF(IF(o_WRAP=1,MOD(((1000)-(c_TMAP3IN))*(((A859)-(c_TMAP3IN))*((1000)-(c_TMAP3OUT))+IF(((1000)-(c_TMAP3OUT))&gt;=0,1,-1)*QUOTIENT(((1000)-(c_TMAP3IN)),2))+2147483648,4294967296)-2147483648,((1000)-(c_TMAP3IN))*(((A859)-(c_TMAP3IN))*((1000)-(c_TMAP3OUT))+IF(((1000)-(c_TMAP3OUT))&gt;=0,1,-1)*QUOTIENT(((1000)-(c_TMAP3IN)),2)))&gt;=0,1,0)))</f>
        <v>820</v>
      </c>
      <c r="H859" s="7" t="str">
        <f aca="false">IF(A859&gt;=c_TFWD,IF(AND(A859&gt;=c_TMAP3IN,c_TMAP3IN&lt;1000),"Seg4 map3-100%",IF(AND(A859&gt;=c_TMAP2IN,c_TMAP3IN&gt;c_TMAP2IN),"Seg3 map2-map3",IF(AND(A859&gt;=c_TMAP1IN,c_TMAP2IN&gt;c_TMAP1IN),"Seg2 map1-map2","Seg1 TFWD-map1"))),IF(AND(A859=0,c_TCREEP&gt;0),"Creep",IF(AND(A859&lt;=c_TRNGMIN,A859&gt;=c_TRNGMAX,c_TRNGMIN-c_TRNGMAX&lt;&gt;0),"Regen ramp","Coast (0)")))</f>
        <v>Seg4 map3-100%</v>
      </c>
      <c r="I859" s="7" t="n">
        <f aca="false">IF(A859&gt;=c_TFWD,IF(AND(A859&gt;=c_TMAP3IN,c_TMAP3IN&lt;1000),G859,IF(AND(A859&gt;=c_TMAP2IN,c_TMAP3IN&gt;c_TMAP2IN),F859,IF(AND(A859&gt;=c_TMAP1IN,c_TMAP2IN&gt;c_TMAP1IN),E859,D859))),C859)</f>
        <v>820</v>
      </c>
      <c r="J859" s="7" t="str">
        <f aca="false">IF(I859&lt;-1090,"TOO LOW",IF(I859&gt;1090,"TOO HIGH",""))</f>
        <v/>
      </c>
      <c r="K859" s="15" t="n">
        <f aca="false">IF(J859&lt;&gt;"",0,IF(I859&gt;979,1000,I859))</f>
        <v>820</v>
      </c>
      <c r="L859" s="7" t="n">
        <f aca="false">K859/10</f>
        <v>82</v>
      </c>
    </row>
    <row r="860" customFormat="false" ht="15" hidden="false" customHeight="false" outlineLevel="0" collapsed="false">
      <c r="A860" s="7" t="n">
        <v>855</v>
      </c>
      <c r="B860" s="7" t="n">
        <f aca="false">A860/10</f>
        <v>85.5</v>
      </c>
      <c r="C860" s="7" t="n">
        <f aca="false">IF(AND(A860=0,c_TCREEP&gt;0),10*c_TCREEP,IF(AND(A860&lt;=c_TRNGMIN,A860&gt;=c_TRNGMAX,c_TRNGMIN-c_TRNGMAX&lt;&gt;0),-10*c_TMINRN+QUOTIENT((c_TMAXRN-c_TMINRN)*(100-QUOTIENT((A860-c_TRNGMAX)*100,c_TRNGMIN-c_TRNGMAX)),-10),0))</f>
        <v>0</v>
      </c>
      <c r="D860" s="7" t="n">
        <f aca="false">IF(((c_TMAP1IN)-(c_TFWD))=0,(0)+QUOTIENT(((c_TMAP1OUT)-(0)),2),QUOTIENT((((A860)-(c_TFWD))*((c_TMAP1OUT)-(0))+IF(((c_TMAP1OUT)-(0))&gt;=0,1,-1)*QUOTIENT(((c_TMAP1IN)-(c_TFWD)),2)),((c_TMAP1IN)-(c_TFWD)))+(0)+IF(((c_TMAP1OUT)-(0))&gt;=0,IF(IF(o_WRAP=1,MOD(((c_TMAP1IN)-(c_TFWD))*(((A860)-(c_TFWD))*((c_TMAP1OUT)-(0))+IF(((c_TMAP1OUT)-(0))&gt;=0,1,-1)*QUOTIENT(((c_TMAP1IN)-(c_TFWD)),2))+2147483648,4294967296)-2147483648,((c_TMAP1IN)-(c_TFWD))*(((A860)-(c_TFWD))*((c_TMAP1OUT)-(0))+IF(((c_TMAP1OUT)-(0))&gt;=0,1,-1)*QUOTIENT(((c_TMAP1IN)-(c_TFWD)),2)))&lt;0,-1,0),IF(IF(o_WRAP=1,MOD(((c_TMAP1IN)-(c_TFWD))*(((A860)-(c_TFWD))*((c_TMAP1OUT)-(0))+IF(((c_TMAP1OUT)-(0))&gt;=0,1,-1)*QUOTIENT(((c_TMAP1IN)-(c_TFWD)),2))+2147483648,4294967296)-2147483648,((c_TMAP1IN)-(c_TFWD))*(((A860)-(c_TFWD))*((c_TMAP1OUT)-(0))+IF(((c_TMAP1OUT)-(0))&gt;=0,1,-1)*QUOTIENT(((c_TMAP1IN)-(c_TFWD)),2)))&gt;=0,1,0)))</f>
        <v>657</v>
      </c>
      <c r="E860" s="7" t="n">
        <f aca="false">IF(((c_TMAP2IN)-(c_TMAP1IN))=0,(c_TMAP1OUT)+QUOTIENT(((c_TMAP2OUT)-(c_TMAP1OUT)),2),QUOTIENT((((A860)-(c_TMAP1IN))*((c_TMAP2OUT)-(c_TMAP1OUT))+IF(((c_TMAP2OUT)-(c_TMAP1OUT))&gt;=0,1,-1)*QUOTIENT(((c_TMAP2IN)-(c_TMAP1IN)),2)),((c_TMAP2IN)-(c_TMAP1IN)))+(c_TMAP1OUT)+IF(((c_TMAP2OUT)-(c_TMAP1OUT))&gt;=0,IF(IF(o_WRAP=1,MOD(((c_TMAP2IN)-(c_TMAP1IN))*(((A860)-(c_TMAP1IN))*((c_TMAP2OUT)-(c_TMAP1OUT))+IF(((c_TMAP2OUT)-(c_TMAP1OUT))&gt;=0,1,-1)*QUOTIENT(((c_TMAP2IN)-(c_TMAP1IN)),2))+2147483648,4294967296)-2147483648,((c_TMAP2IN)-(c_TMAP1IN))*(((A860)-(c_TMAP1IN))*((c_TMAP2OUT)-(c_TMAP1OUT))+IF(((c_TMAP2OUT)-(c_TMAP1OUT))&gt;=0,1,-1)*QUOTIENT(((c_TMAP2IN)-(c_TMAP1IN)),2)))&lt;0,-1,0),IF(IF(o_WRAP=1,MOD(((c_TMAP2IN)-(c_TMAP1IN))*(((A860)-(c_TMAP1IN))*((c_TMAP2OUT)-(c_TMAP1OUT))+IF(((c_TMAP2OUT)-(c_TMAP1OUT))&gt;=0,1,-1)*QUOTIENT(((c_TMAP2IN)-(c_TMAP1IN)),2))+2147483648,4294967296)-2147483648,((c_TMAP2IN)-(c_TMAP1IN))*(((A860)-(c_TMAP1IN))*((c_TMAP2OUT)-(c_TMAP1OUT))+IF(((c_TMAP2OUT)-(c_TMAP1OUT))&gt;=0,1,-1)*QUOTIENT(((c_TMAP2IN)-(c_TMAP1IN)),2)))&gt;=0,1,0)))</f>
        <v>372</v>
      </c>
      <c r="F860" s="7" t="n">
        <f aca="false">IF(((c_TMAP3IN)-(c_TMAP2IN))=0,(c_TMAP2OUT)+QUOTIENT(((c_TMAP3OUT)-(c_TMAP2OUT)),2),QUOTIENT((((A860)-(c_TMAP2IN))*((c_TMAP3OUT)-(c_TMAP2OUT))+IF(((c_TMAP3OUT)-(c_TMAP2OUT))&gt;=0,1,-1)*QUOTIENT(((c_TMAP3IN)-(c_TMAP2IN)),2)),((c_TMAP3IN)-(c_TMAP2IN)))+(c_TMAP2OUT)+IF(((c_TMAP3OUT)-(c_TMAP2OUT))&gt;=0,IF(IF(o_WRAP=1,MOD(((c_TMAP3IN)-(c_TMAP2IN))*(((A860)-(c_TMAP2IN))*((c_TMAP3OUT)-(c_TMAP2OUT))+IF(((c_TMAP3OUT)-(c_TMAP2OUT))&gt;=0,1,-1)*QUOTIENT(((c_TMAP3IN)-(c_TMAP2IN)),2))+2147483648,4294967296)-2147483648,((c_TMAP3IN)-(c_TMAP2IN))*(((A860)-(c_TMAP2IN))*((c_TMAP3OUT)-(c_TMAP2OUT))+IF(((c_TMAP3OUT)-(c_TMAP2OUT))&gt;=0,1,-1)*QUOTIENT(((c_TMAP3IN)-(c_TMAP2IN)),2)))&lt;0,-1,0),IF(IF(o_WRAP=1,MOD(((c_TMAP3IN)-(c_TMAP2IN))*(((A860)-(c_TMAP2IN))*((c_TMAP3OUT)-(c_TMAP2OUT))+IF(((c_TMAP3OUT)-(c_TMAP2OUT))&gt;=0,1,-1)*QUOTIENT(((c_TMAP3IN)-(c_TMAP2IN)),2))+2147483648,4294967296)-2147483648,((c_TMAP3IN)-(c_TMAP2IN))*(((A860)-(c_TMAP2IN))*((c_TMAP3OUT)-(c_TMAP2OUT))+IF(((c_TMAP3OUT)-(c_TMAP2OUT))&gt;=0,1,-1)*QUOTIENT(((c_TMAP3IN)-(c_TMAP2IN)),2)))&gt;=0,1,0)))</f>
        <v>554</v>
      </c>
      <c r="G860" s="7" t="n">
        <f aca="false">IF(((1000)-(c_TMAP3IN))=0,(c_TMAP3OUT)+QUOTIENT(((1000)-(c_TMAP3OUT)),2),QUOTIENT((((A860)-(c_TMAP3IN))*((1000)-(c_TMAP3OUT))+IF(((1000)-(c_TMAP3OUT))&gt;=0,1,-1)*QUOTIENT(((1000)-(c_TMAP3IN)),2)),((1000)-(c_TMAP3IN)))+(c_TMAP3OUT)+IF(((1000)-(c_TMAP3OUT))&gt;=0,IF(IF(o_WRAP=1,MOD(((1000)-(c_TMAP3IN))*(((A860)-(c_TMAP3IN))*((1000)-(c_TMAP3OUT))+IF(((1000)-(c_TMAP3OUT))&gt;=0,1,-1)*QUOTIENT(((1000)-(c_TMAP3IN)),2))+2147483648,4294967296)-2147483648,((1000)-(c_TMAP3IN))*(((A860)-(c_TMAP3IN))*((1000)-(c_TMAP3OUT))+IF(((1000)-(c_TMAP3OUT))&gt;=0,1,-1)*QUOTIENT(((1000)-(c_TMAP3IN)),2)))&lt;0,-1,0),IF(IF(o_WRAP=1,MOD(((1000)-(c_TMAP3IN))*(((A860)-(c_TMAP3IN))*((1000)-(c_TMAP3OUT))+IF(((1000)-(c_TMAP3OUT))&gt;=0,1,-1)*QUOTIENT(((1000)-(c_TMAP3IN)),2))+2147483648,4294967296)-2147483648,((1000)-(c_TMAP3IN))*(((A860)-(c_TMAP3IN))*((1000)-(c_TMAP3OUT))+IF(((1000)-(c_TMAP3OUT))&gt;=0,1,-1)*QUOTIENT(((1000)-(c_TMAP3IN)),2)))&gt;=0,1,0)))</f>
        <v>822</v>
      </c>
      <c r="H860" s="7" t="str">
        <f aca="false">IF(A860&gt;=c_TFWD,IF(AND(A860&gt;=c_TMAP3IN,c_TMAP3IN&lt;1000),"Seg4 map3-100%",IF(AND(A860&gt;=c_TMAP2IN,c_TMAP3IN&gt;c_TMAP2IN),"Seg3 map2-map3",IF(AND(A860&gt;=c_TMAP1IN,c_TMAP2IN&gt;c_TMAP1IN),"Seg2 map1-map2","Seg1 TFWD-map1"))),IF(AND(A860=0,c_TCREEP&gt;0),"Creep",IF(AND(A860&lt;=c_TRNGMIN,A860&gt;=c_TRNGMAX,c_TRNGMIN-c_TRNGMAX&lt;&gt;0),"Regen ramp","Coast (0)")))</f>
        <v>Seg4 map3-100%</v>
      </c>
      <c r="I860" s="7" t="n">
        <f aca="false">IF(A860&gt;=c_TFWD,IF(AND(A860&gt;=c_TMAP3IN,c_TMAP3IN&lt;1000),G860,IF(AND(A860&gt;=c_TMAP2IN,c_TMAP3IN&gt;c_TMAP2IN),F860,IF(AND(A860&gt;=c_TMAP1IN,c_TMAP2IN&gt;c_TMAP1IN),E860,D860))),C860)</f>
        <v>822</v>
      </c>
      <c r="J860" s="7" t="str">
        <f aca="false">IF(I860&lt;-1090,"TOO LOW",IF(I860&gt;1090,"TOO HIGH",""))</f>
        <v/>
      </c>
      <c r="K860" s="15" t="n">
        <f aca="false">IF(J860&lt;&gt;"",0,IF(I860&gt;979,1000,I860))</f>
        <v>822</v>
      </c>
      <c r="L860" s="7" t="n">
        <f aca="false">K860/10</f>
        <v>82.2</v>
      </c>
    </row>
    <row r="861" customFormat="false" ht="15" hidden="false" customHeight="false" outlineLevel="0" collapsed="false">
      <c r="A861" s="7" t="n">
        <v>856</v>
      </c>
      <c r="B861" s="7" t="n">
        <f aca="false">A861/10</f>
        <v>85.6</v>
      </c>
      <c r="C861" s="7" t="n">
        <f aca="false">IF(AND(A861=0,c_TCREEP&gt;0),10*c_TCREEP,IF(AND(A861&lt;=c_TRNGMIN,A861&gt;=c_TRNGMAX,c_TRNGMIN-c_TRNGMAX&lt;&gt;0),-10*c_TMINRN+QUOTIENT((c_TMAXRN-c_TMINRN)*(100-QUOTIENT((A861-c_TRNGMAX)*100,c_TRNGMIN-c_TRNGMAX)),-10),0))</f>
        <v>0</v>
      </c>
      <c r="D861" s="7" t="n">
        <f aca="false">IF(((c_TMAP1IN)-(c_TFWD))=0,(0)+QUOTIENT(((c_TMAP1OUT)-(0)),2),QUOTIENT((((A861)-(c_TFWD))*((c_TMAP1OUT)-(0))+IF(((c_TMAP1OUT)-(0))&gt;=0,1,-1)*QUOTIENT(((c_TMAP1IN)-(c_TFWD)),2)),((c_TMAP1IN)-(c_TFWD)))+(0)+IF(((c_TMAP1OUT)-(0))&gt;=0,IF(IF(o_WRAP=1,MOD(((c_TMAP1IN)-(c_TFWD))*(((A861)-(c_TFWD))*((c_TMAP1OUT)-(0))+IF(((c_TMAP1OUT)-(0))&gt;=0,1,-1)*QUOTIENT(((c_TMAP1IN)-(c_TFWD)),2))+2147483648,4294967296)-2147483648,((c_TMAP1IN)-(c_TFWD))*(((A861)-(c_TFWD))*((c_TMAP1OUT)-(0))+IF(((c_TMAP1OUT)-(0))&gt;=0,1,-1)*QUOTIENT(((c_TMAP1IN)-(c_TFWD)),2)))&lt;0,-1,0),IF(IF(o_WRAP=1,MOD(((c_TMAP1IN)-(c_TFWD))*(((A861)-(c_TFWD))*((c_TMAP1OUT)-(0))+IF(((c_TMAP1OUT)-(0))&gt;=0,1,-1)*QUOTIENT(((c_TMAP1IN)-(c_TFWD)),2))+2147483648,4294967296)-2147483648,((c_TMAP1IN)-(c_TFWD))*(((A861)-(c_TFWD))*((c_TMAP1OUT)-(0))+IF(((c_TMAP1OUT)-(0))&gt;=0,1,-1)*QUOTIENT(((c_TMAP1IN)-(c_TFWD)),2)))&gt;=0,1,0)))</f>
        <v>658</v>
      </c>
      <c r="E861" s="7" t="n">
        <f aca="false">IF(((c_TMAP2IN)-(c_TMAP1IN))=0,(c_TMAP1OUT)+QUOTIENT(((c_TMAP2OUT)-(c_TMAP1OUT)),2),QUOTIENT((((A861)-(c_TMAP1IN))*((c_TMAP2OUT)-(c_TMAP1OUT))+IF(((c_TMAP2OUT)-(c_TMAP1OUT))&gt;=0,1,-1)*QUOTIENT(((c_TMAP2IN)-(c_TMAP1IN)),2)),((c_TMAP2IN)-(c_TMAP1IN)))+(c_TMAP1OUT)+IF(((c_TMAP2OUT)-(c_TMAP1OUT))&gt;=0,IF(IF(o_WRAP=1,MOD(((c_TMAP2IN)-(c_TMAP1IN))*(((A861)-(c_TMAP1IN))*((c_TMAP2OUT)-(c_TMAP1OUT))+IF(((c_TMAP2OUT)-(c_TMAP1OUT))&gt;=0,1,-1)*QUOTIENT(((c_TMAP2IN)-(c_TMAP1IN)),2))+2147483648,4294967296)-2147483648,((c_TMAP2IN)-(c_TMAP1IN))*(((A861)-(c_TMAP1IN))*((c_TMAP2OUT)-(c_TMAP1OUT))+IF(((c_TMAP2OUT)-(c_TMAP1OUT))&gt;=0,1,-1)*QUOTIENT(((c_TMAP2IN)-(c_TMAP1IN)),2)))&lt;0,-1,0),IF(IF(o_WRAP=1,MOD(((c_TMAP2IN)-(c_TMAP1IN))*(((A861)-(c_TMAP1IN))*((c_TMAP2OUT)-(c_TMAP1OUT))+IF(((c_TMAP2OUT)-(c_TMAP1OUT))&gt;=0,1,-1)*QUOTIENT(((c_TMAP2IN)-(c_TMAP1IN)),2))+2147483648,4294967296)-2147483648,((c_TMAP2IN)-(c_TMAP1IN))*(((A861)-(c_TMAP1IN))*((c_TMAP2OUT)-(c_TMAP1OUT))+IF(((c_TMAP2OUT)-(c_TMAP1OUT))&gt;=0,1,-1)*QUOTIENT(((c_TMAP2IN)-(c_TMAP1IN)),2)))&gt;=0,1,0)))</f>
        <v>372</v>
      </c>
      <c r="F861" s="7" t="n">
        <f aca="false">IF(((c_TMAP3IN)-(c_TMAP2IN))=0,(c_TMAP2OUT)+QUOTIENT(((c_TMAP3OUT)-(c_TMAP2OUT)),2),QUOTIENT((((A861)-(c_TMAP2IN))*((c_TMAP3OUT)-(c_TMAP2OUT))+IF(((c_TMAP3OUT)-(c_TMAP2OUT))&gt;=0,1,-1)*QUOTIENT(((c_TMAP3IN)-(c_TMAP2IN)),2)),((c_TMAP3IN)-(c_TMAP2IN)))+(c_TMAP2OUT)+IF(((c_TMAP3OUT)-(c_TMAP2OUT))&gt;=0,IF(IF(o_WRAP=1,MOD(((c_TMAP3IN)-(c_TMAP2IN))*(((A861)-(c_TMAP2IN))*((c_TMAP3OUT)-(c_TMAP2OUT))+IF(((c_TMAP3OUT)-(c_TMAP2OUT))&gt;=0,1,-1)*QUOTIENT(((c_TMAP3IN)-(c_TMAP2IN)),2))+2147483648,4294967296)-2147483648,((c_TMAP3IN)-(c_TMAP2IN))*(((A861)-(c_TMAP2IN))*((c_TMAP3OUT)-(c_TMAP2OUT))+IF(((c_TMAP3OUT)-(c_TMAP2OUT))&gt;=0,1,-1)*QUOTIENT(((c_TMAP3IN)-(c_TMAP2IN)),2)))&lt;0,-1,0),IF(IF(o_WRAP=1,MOD(((c_TMAP3IN)-(c_TMAP2IN))*(((A861)-(c_TMAP2IN))*((c_TMAP3OUT)-(c_TMAP2OUT))+IF(((c_TMAP3OUT)-(c_TMAP2OUT))&gt;=0,1,-1)*QUOTIENT(((c_TMAP3IN)-(c_TMAP2IN)),2))+2147483648,4294967296)-2147483648,((c_TMAP3IN)-(c_TMAP2IN))*(((A861)-(c_TMAP2IN))*((c_TMAP3OUT)-(c_TMAP2OUT))+IF(((c_TMAP3OUT)-(c_TMAP2OUT))&gt;=0,1,-1)*QUOTIENT(((c_TMAP3IN)-(c_TMAP2IN)),2)))&gt;=0,1,0)))</f>
        <v>554</v>
      </c>
      <c r="G861" s="7" t="n">
        <f aca="false">IF(((1000)-(c_TMAP3IN))=0,(c_TMAP3OUT)+QUOTIENT(((1000)-(c_TMAP3OUT)),2),QUOTIENT((((A861)-(c_TMAP3IN))*((1000)-(c_TMAP3OUT))+IF(((1000)-(c_TMAP3OUT))&gt;=0,1,-1)*QUOTIENT(((1000)-(c_TMAP3IN)),2)),((1000)-(c_TMAP3IN)))+(c_TMAP3OUT)+IF(((1000)-(c_TMAP3OUT))&gt;=0,IF(IF(o_WRAP=1,MOD(((1000)-(c_TMAP3IN))*(((A861)-(c_TMAP3IN))*((1000)-(c_TMAP3OUT))+IF(((1000)-(c_TMAP3OUT))&gt;=0,1,-1)*QUOTIENT(((1000)-(c_TMAP3IN)),2))+2147483648,4294967296)-2147483648,((1000)-(c_TMAP3IN))*(((A861)-(c_TMAP3IN))*((1000)-(c_TMAP3OUT))+IF(((1000)-(c_TMAP3OUT))&gt;=0,1,-1)*QUOTIENT(((1000)-(c_TMAP3IN)),2)))&lt;0,-1,0),IF(IF(o_WRAP=1,MOD(((1000)-(c_TMAP3IN))*(((A861)-(c_TMAP3IN))*((1000)-(c_TMAP3OUT))+IF(((1000)-(c_TMAP3OUT))&gt;=0,1,-1)*QUOTIENT(((1000)-(c_TMAP3IN)),2))+2147483648,4294967296)-2147483648,((1000)-(c_TMAP3IN))*(((A861)-(c_TMAP3IN))*((1000)-(c_TMAP3OUT))+IF(((1000)-(c_TMAP3OUT))&gt;=0,1,-1)*QUOTIENT(((1000)-(c_TMAP3IN)),2)))&gt;=0,1,0)))</f>
        <v>823</v>
      </c>
      <c r="H861" s="7" t="str">
        <f aca="false">IF(A861&gt;=c_TFWD,IF(AND(A861&gt;=c_TMAP3IN,c_TMAP3IN&lt;1000),"Seg4 map3-100%",IF(AND(A861&gt;=c_TMAP2IN,c_TMAP3IN&gt;c_TMAP2IN),"Seg3 map2-map3",IF(AND(A861&gt;=c_TMAP1IN,c_TMAP2IN&gt;c_TMAP1IN),"Seg2 map1-map2","Seg1 TFWD-map1"))),IF(AND(A861=0,c_TCREEP&gt;0),"Creep",IF(AND(A861&lt;=c_TRNGMIN,A861&gt;=c_TRNGMAX,c_TRNGMIN-c_TRNGMAX&lt;&gt;0),"Regen ramp","Coast (0)")))</f>
        <v>Seg4 map3-100%</v>
      </c>
      <c r="I861" s="7" t="n">
        <f aca="false">IF(A861&gt;=c_TFWD,IF(AND(A861&gt;=c_TMAP3IN,c_TMAP3IN&lt;1000),G861,IF(AND(A861&gt;=c_TMAP2IN,c_TMAP3IN&gt;c_TMAP2IN),F861,IF(AND(A861&gt;=c_TMAP1IN,c_TMAP2IN&gt;c_TMAP1IN),E861,D861))),C861)</f>
        <v>823</v>
      </c>
      <c r="J861" s="7" t="str">
        <f aca="false">IF(I861&lt;-1090,"TOO LOW",IF(I861&gt;1090,"TOO HIGH",""))</f>
        <v/>
      </c>
      <c r="K861" s="15" t="n">
        <f aca="false">IF(J861&lt;&gt;"",0,IF(I861&gt;979,1000,I861))</f>
        <v>823</v>
      </c>
      <c r="L861" s="7" t="n">
        <f aca="false">K861/10</f>
        <v>82.3</v>
      </c>
    </row>
    <row r="862" customFormat="false" ht="15" hidden="false" customHeight="false" outlineLevel="0" collapsed="false">
      <c r="A862" s="7" t="n">
        <v>857</v>
      </c>
      <c r="B862" s="7" t="n">
        <f aca="false">A862/10</f>
        <v>85.7</v>
      </c>
      <c r="C862" s="7" t="n">
        <f aca="false">IF(AND(A862=0,c_TCREEP&gt;0),10*c_TCREEP,IF(AND(A862&lt;=c_TRNGMIN,A862&gt;=c_TRNGMAX,c_TRNGMIN-c_TRNGMAX&lt;&gt;0),-10*c_TMINRN+QUOTIENT((c_TMAXRN-c_TMINRN)*(100-QUOTIENT((A862-c_TRNGMAX)*100,c_TRNGMIN-c_TRNGMAX)),-10),0))</f>
        <v>0</v>
      </c>
      <c r="D862" s="7" t="n">
        <f aca="false">IF(((c_TMAP1IN)-(c_TFWD))=0,(0)+QUOTIENT(((c_TMAP1OUT)-(0)),2),QUOTIENT((((A862)-(c_TFWD))*((c_TMAP1OUT)-(0))+IF(((c_TMAP1OUT)-(0))&gt;=0,1,-1)*QUOTIENT(((c_TMAP1IN)-(c_TFWD)),2)),((c_TMAP1IN)-(c_TFWD)))+(0)+IF(((c_TMAP1OUT)-(0))&gt;=0,IF(IF(o_WRAP=1,MOD(((c_TMAP1IN)-(c_TFWD))*(((A862)-(c_TFWD))*((c_TMAP1OUT)-(0))+IF(((c_TMAP1OUT)-(0))&gt;=0,1,-1)*QUOTIENT(((c_TMAP1IN)-(c_TFWD)),2))+2147483648,4294967296)-2147483648,((c_TMAP1IN)-(c_TFWD))*(((A862)-(c_TFWD))*((c_TMAP1OUT)-(0))+IF(((c_TMAP1OUT)-(0))&gt;=0,1,-1)*QUOTIENT(((c_TMAP1IN)-(c_TFWD)),2)))&lt;0,-1,0),IF(IF(o_WRAP=1,MOD(((c_TMAP1IN)-(c_TFWD))*(((A862)-(c_TFWD))*((c_TMAP1OUT)-(0))+IF(((c_TMAP1OUT)-(0))&gt;=0,1,-1)*QUOTIENT(((c_TMAP1IN)-(c_TFWD)),2))+2147483648,4294967296)-2147483648,((c_TMAP1IN)-(c_TFWD))*(((A862)-(c_TFWD))*((c_TMAP1OUT)-(0))+IF(((c_TMAP1OUT)-(0))&gt;=0,1,-1)*QUOTIENT(((c_TMAP1IN)-(c_TFWD)),2)))&gt;=0,1,0)))</f>
        <v>659</v>
      </c>
      <c r="E862" s="7" t="n">
        <f aca="false">IF(((c_TMAP2IN)-(c_TMAP1IN))=0,(c_TMAP1OUT)+QUOTIENT(((c_TMAP2OUT)-(c_TMAP1OUT)),2),QUOTIENT((((A862)-(c_TMAP1IN))*((c_TMAP2OUT)-(c_TMAP1OUT))+IF(((c_TMAP2OUT)-(c_TMAP1OUT))&gt;=0,1,-1)*QUOTIENT(((c_TMAP2IN)-(c_TMAP1IN)),2)),((c_TMAP2IN)-(c_TMAP1IN)))+(c_TMAP1OUT)+IF(((c_TMAP2OUT)-(c_TMAP1OUT))&gt;=0,IF(IF(o_WRAP=1,MOD(((c_TMAP2IN)-(c_TMAP1IN))*(((A862)-(c_TMAP1IN))*((c_TMAP2OUT)-(c_TMAP1OUT))+IF(((c_TMAP2OUT)-(c_TMAP1OUT))&gt;=0,1,-1)*QUOTIENT(((c_TMAP2IN)-(c_TMAP1IN)),2))+2147483648,4294967296)-2147483648,((c_TMAP2IN)-(c_TMAP1IN))*(((A862)-(c_TMAP1IN))*((c_TMAP2OUT)-(c_TMAP1OUT))+IF(((c_TMAP2OUT)-(c_TMAP1OUT))&gt;=0,1,-1)*QUOTIENT(((c_TMAP2IN)-(c_TMAP1IN)),2)))&lt;0,-1,0),IF(IF(o_WRAP=1,MOD(((c_TMAP2IN)-(c_TMAP1IN))*(((A862)-(c_TMAP1IN))*((c_TMAP2OUT)-(c_TMAP1OUT))+IF(((c_TMAP2OUT)-(c_TMAP1OUT))&gt;=0,1,-1)*QUOTIENT(((c_TMAP2IN)-(c_TMAP1IN)),2))+2147483648,4294967296)-2147483648,((c_TMAP2IN)-(c_TMAP1IN))*(((A862)-(c_TMAP1IN))*((c_TMAP2OUT)-(c_TMAP1OUT))+IF(((c_TMAP2OUT)-(c_TMAP1OUT))&gt;=0,1,-1)*QUOTIENT(((c_TMAP2IN)-(c_TMAP1IN)),2)))&gt;=0,1,0)))</f>
        <v>373</v>
      </c>
      <c r="F862" s="7" t="n">
        <f aca="false">IF(((c_TMAP3IN)-(c_TMAP2IN))=0,(c_TMAP2OUT)+QUOTIENT(((c_TMAP3OUT)-(c_TMAP2OUT)),2),QUOTIENT((((A862)-(c_TMAP2IN))*((c_TMAP3OUT)-(c_TMAP2OUT))+IF(((c_TMAP3OUT)-(c_TMAP2OUT))&gt;=0,1,-1)*QUOTIENT(((c_TMAP3IN)-(c_TMAP2IN)),2)),((c_TMAP3IN)-(c_TMAP2IN)))+(c_TMAP2OUT)+IF(((c_TMAP3OUT)-(c_TMAP2OUT))&gt;=0,IF(IF(o_WRAP=1,MOD(((c_TMAP3IN)-(c_TMAP2IN))*(((A862)-(c_TMAP2IN))*((c_TMAP3OUT)-(c_TMAP2OUT))+IF(((c_TMAP3OUT)-(c_TMAP2OUT))&gt;=0,1,-1)*QUOTIENT(((c_TMAP3IN)-(c_TMAP2IN)),2))+2147483648,4294967296)-2147483648,((c_TMAP3IN)-(c_TMAP2IN))*(((A862)-(c_TMAP2IN))*((c_TMAP3OUT)-(c_TMAP2OUT))+IF(((c_TMAP3OUT)-(c_TMAP2OUT))&gt;=0,1,-1)*QUOTIENT(((c_TMAP3IN)-(c_TMAP2IN)),2)))&lt;0,-1,0),IF(IF(o_WRAP=1,MOD(((c_TMAP3IN)-(c_TMAP2IN))*(((A862)-(c_TMAP2IN))*((c_TMAP3OUT)-(c_TMAP2OUT))+IF(((c_TMAP3OUT)-(c_TMAP2OUT))&gt;=0,1,-1)*QUOTIENT(((c_TMAP3IN)-(c_TMAP2IN)),2))+2147483648,4294967296)-2147483648,((c_TMAP3IN)-(c_TMAP2IN))*(((A862)-(c_TMAP2IN))*((c_TMAP3OUT)-(c_TMAP2OUT))+IF(((c_TMAP3OUT)-(c_TMAP2OUT))&gt;=0,1,-1)*QUOTIENT(((c_TMAP3IN)-(c_TMAP2IN)),2)))&gt;=0,1,0)))</f>
        <v>555</v>
      </c>
      <c r="G862" s="7" t="n">
        <f aca="false">IF(((1000)-(c_TMAP3IN))=0,(c_TMAP3OUT)+QUOTIENT(((1000)-(c_TMAP3OUT)),2),QUOTIENT((((A862)-(c_TMAP3IN))*((1000)-(c_TMAP3OUT))+IF(((1000)-(c_TMAP3OUT))&gt;=0,1,-1)*QUOTIENT(((1000)-(c_TMAP3IN)),2)),((1000)-(c_TMAP3IN)))+(c_TMAP3OUT)+IF(((1000)-(c_TMAP3OUT))&gt;=0,IF(IF(o_WRAP=1,MOD(((1000)-(c_TMAP3IN))*(((A862)-(c_TMAP3IN))*((1000)-(c_TMAP3OUT))+IF(((1000)-(c_TMAP3OUT))&gt;=0,1,-1)*QUOTIENT(((1000)-(c_TMAP3IN)),2))+2147483648,4294967296)-2147483648,((1000)-(c_TMAP3IN))*(((A862)-(c_TMAP3IN))*((1000)-(c_TMAP3OUT))+IF(((1000)-(c_TMAP3OUT))&gt;=0,1,-1)*QUOTIENT(((1000)-(c_TMAP3IN)),2)))&lt;0,-1,0),IF(IF(o_WRAP=1,MOD(((1000)-(c_TMAP3IN))*(((A862)-(c_TMAP3IN))*((1000)-(c_TMAP3OUT))+IF(((1000)-(c_TMAP3OUT))&gt;=0,1,-1)*QUOTIENT(((1000)-(c_TMAP3IN)),2))+2147483648,4294967296)-2147483648,((1000)-(c_TMAP3IN))*(((A862)-(c_TMAP3IN))*((1000)-(c_TMAP3OUT))+IF(((1000)-(c_TMAP3OUT))&gt;=0,1,-1)*QUOTIENT(((1000)-(c_TMAP3IN)),2)))&gt;=0,1,0)))</f>
        <v>824</v>
      </c>
      <c r="H862" s="7" t="str">
        <f aca="false">IF(A862&gt;=c_TFWD,IF(AND(A862&gt;=c_TMAP3IN,c_TMAP3IN&lt;1000),"Seg4 map3-100%",IF(AND(A862&gt;=c_TMAP2IN,c_TMAP3IN&gt;c_TMAP2IN),"Seg3 map2-map3",IF(AND(A862&gt;=c_TMAP1IN,c_TMAP2IN&gt;c_TMAP1IN),"Seg2 map1-map2","Seg1 TFWD-map1"))),IF(AND(A862=0,c_TCREEP&gt;0),"Creep",IF(AND(A862&lt;=c_TRNGMIN,A862&gt;=c_TRNGMAX,c_TRNGMIN-c_TRNGMAX&lt;&gt;0),"Regen ramp","Coast (0)")))</f>
        <v>Seg4 map3-100%</v>
      </c>
      <c r="I862" s="7" t="n">
        <f aca="false">IF(A862&gt;=c_TFWD,IF(AND(A862&gt;=c_TMAP3IN,c_TMAP3IN&lt;1000),G862,IF(AND(A862&gt;=c_TMAP2IN,c_TMAP3IN&gt;c_TMAP2IN),F862,IF(AND(A862&gt;=c_TMAP1IN,c_TMAP2IN&gt;c_TMAP1IN),E862,D862))),C862)</f>
        <v>824</v>
      </c>
      <c r="J862" s="7" t="str">
        <f aca="false">IF(I862&lt;-1090,"TOO LOW",IF(I862&gt;1090,"TOO HIGH",""))</f>
        <v/>
      </c>
      <c r="K862" s="15" t="n">
        <f aca="false">IF(J862&lt;&gt;"",0,IF(I862&gt;979,1000,I862))</f>
        <v>824</v>
      </c>
      <c r="L862" s="7" t="n">
        <f aca="false">K862/10</f>
        <v>82.4</v>
      </c>
    </row>
    <row r="863" customFormat="false" ht="15" hidden="false" customHeight="false" outlineLevel="0" collapsed="false">
      <c r="A863" s="7" t="n">
        <v>858</v>
      </c>
      <c r="B863" s="7" t="n">
        <f aca="false">A863/10</f>
        <v>85.8</v>
      </c>
      <c r="C863" s="7" t="n">
        <f aca="false">IF(AND(A863=0,c_TCREEP&gt;0),10*c_TCREEP,IF(AND(A863&lt;=c_TRNGMIN,A863&gt;=c_TRNGMAX,c_TRNGMIN-c_TRNGMAX&lt;&gt;0),-10*c_TMINRN+QUOTIENT((c_TMAXRN-c_TMINRN)*(100-QUOTIENT((A863-c_TRNGMAX)*100,c_TRNGMIN-c_TRNGMAX)),-10),0))</f>
        <v>0</v>
      </c>
      <c r="D863" s="7" t="n">
        <f aca="false">IF(((c_TMAP1IN)-(c_TFWD))=0,(0)+QUOTIENT(((c_TMAP1OUT)-(0)),2),QUOTIENT((((A863)-(c_TFWD))*((c_TMAP1OUT)-(0))+IF(((c_TMAP1OUT)-(0))&gt;=0,1,-1)*QUOTIENT(((c_TMAP1IN)-(c_TFWD)),2)),((c_TMAP1IN)-(c_TFWD)))+(0)+IF(((c_TMAP1OUT)-(0))&gt;=0,IF(IF(o_WRAP=1,MOD(((c_TMAP1IN)-(c_TFWD))*(((A863)-(c_TFWD))*((c_TMAP1OUT)-(0))+IF(((c_TMAP1OUT)-(0))&gt;=0,1,-1)*QUOTIENT(((c_TMAP1IN)-(c_TFWD)),2))+2147483648,4294967296)-2147483648,((c_TMAP1IN)-(c_TFWD))*(((A863)-(c_TFWD))*((c_TMAP1OUT)-(0))+IF(((c_TMAP1OUT)-(0))&gt;=0,1,-1)*QUOTIENT(((c_TMAP1IN)-(c_TFWD)),2)))&lt;0,-1,0),IF(IF(o_WRAP=1,MOD(((c_TMAP1IN)-(c_TFWD))*(((A863)-(c_TFWD))*((c_TMAP1OUT)-(0))+IF(((c_TMAP1OUT)-(0))&gt;=0,1,-1)*QUOTIENT(((c_TMAP1IN)-(c_TFWD)),2))+2147483648,4294967296)-2147483648,((c_TMAP1IN)-(c_TFWD))*(((A863)-(c_TFWD))*((c_TMAP1OUT)-(0))+IF(((c_TMAP1OUT)-(0))&gt;=0,1,-1)*QUOTIENT(((c_TMAP1IN)-(c_TFWD)),2)))&gt;=0,1,0)))</f>
        <v>660</v>
      </c>
      <c r="E863" s="7" t="n">
        <f aca="false">IF(((c_TMAP2IN)-(c_TMAP1IN))=0,(c_TMAP1OUT)+QUOTIENT(((c_TMAP2OUT)-(c_TMAP1OUT)),2),QUOTIENT((((A863)-(c_TMAP1IN))*((c_TMAP2OUT)-(c_TMAP1OUT))+IF(((c_TMAP2OUT)-(c_TMAP1OUT))&gt;=0,1,-1)*QUOTIENT(((c_TMAP2IN)-(c_TMAP1IN)),2)),((c_TMAP2IN)-(c_TMAP1IN)))+(c_TMAP1OUT)+IF(((c_TMAP2OUT)-(c_TMAP1OUT))&gt;=0,IF(IF(o_WRAP=1,MOD(((c_TMAP2IN)-(c_TMAP1IN))*(((A863)-(c_TMAP1IN))*((c_TMAP2OUT)-(c_TMAP1OUT))+IF(((c_TMAP2OUT)-(c_TMAP1OUT))&gt;=0,1,-1)*QUOTIENT(((c_TMAP2IN)-(c_TMAP1IN)),2))+2147483648,4294967296)-2147483648,((c_TMAP2IN)-(c_TMAP1IN))*(((A863)-(c_TMAP1IN))*((c_TMAP2OUT)-(c_TMAP1OUT))+IF(((c_TMAP2OUT)-(c_TMAP1OUT))&gt;=0,1,-1)*QUOTIENT(((c_TMAP2IN)-(c_TMAP1IN)),2)))&lt;0,-1,0),IF(IF(o_WRAP=1,MOD(((c_TMAP2IN)-(c_TMAP1IN))*(((A863)-(c_TMAP1IN))*((c_TMAP2OUT)-(c_TMAP1OUT))+IF(((c_TMAP2OUT)-(c_TMAP1OUT))&gt;=0,1,-1)*QUOTIENT(((c_TMAP2IN)-(c_TMAP1IN)),2))+2147483648,4294967296)-2147483648,((c_TMAP2IN)-(c_TMAP1IN))*(((A863)-(c_TMAP1IN))*((c_TMAP2OUT)-(c_TMAP1OUT))+IF(((c_TMAP2OUT)-(c_TMAP1OUT))&gt;=0,1,-1)*QUOTIENT(((c_TMAP2IN)-(c_TMAP1IN)),2)))&gt;=0,1,0)))</f>
        <v>373</v>
      </c>
      <c r="F863" s="7" t="n">
        <f aca="false">IF(((c_TMAP3IN)-(c_TMAP2IN))=0,(c_TMAP2OUT)+QUOTIENT(((c_TMAP3OUT)-(c_TMAP2OUT)),2),QUOTIENT((((A863)-(c_TMAP2IN))*((c_TMAP3OUT)-(c_TMAP2OUT))+IF(((c_TMAP3OUT)-(c_TMAP2OUT))&gt;=0,1,-1)*QUOTIENT(((c_TMAP3IN)-(c_TMAP2IN)),2)),((c_TMAP3IN)-(c_TMAP2IN)))+(c_TMAP2OUT)+IF(((c_TMAP3OUT)-(c_TMAP2OUT))&gt;=0,IF(IF(o_WRAP=1,MOD(((c_TMAP3IN)-(c_TMAP2IN))*(((A863)-(c_TMAP2IN))*((c_TMAP3OUT)-(c_TMAP2OUT))+IF(((c_TMAP3OUT)-(c_TMAP2OUT))&gt;=0,1,-1)*QUOTIENT(((c_TMAP3IN)-(c_TMAP2IN)),2))+2147483648,4294967296)-2147483648,((c_TMAP3IN)-(c_TMAP2IN))*(((A863)-(c_TMAP2IN))*((c_TMAP3OUT)-(c_TMAP2OUT))+IF(((c_TMAP3OUT)-(c_TMAP2OUT))&gt;=0,1,-1)*QUOTIENT(((c_TMAP3IN)-(c_TMAP2IN)),2)))&lt;0,-1,0),IF(IF(o_WRAP=1,MOD(((c_TMAP3IN)-(c_TMAP2IN))*(((A863)-(c_TMAP2IN))*((c_TMAP3OUT)-(c_TMAP2OUT))+IF(((c_TMAP3OUT)-(c_TMAP2OUT))&gt;=0,1,-1)*QUOTIENT(((c_TMAP3IN)-(c_TMAP2IN)),2))+2147483648,4294967296)-2147483648,((c_TMAP3IN)-(c_TMAP2IN))*(((A863)-(c_TMAP2IN))*((c_TMAP3OUT)-(c_TMAP2OUT))+IF(((c_TMAP3OUT)-(c_TMAP2OUT))&gt;=0,1,-1)*QUOTIENT(((c_TMAP3IN)-(c_TMAP2IN)),2)))&gt;=0,1,0)))</f>
        <v>556</v>
      </c>
      <c r="G863" s="7" t="n">
        <f aca="false">IF(((1000)-(c_TMAP3IN))=0,(c_TMAP3OUT)+QUOTIENT(((1000)-(c_TMAP3OUT)),2),QUOTIENT((((A863)-(c_TMAP3IN))*((1000)-(c_TMAP3OUT))+IF(((1000)-(c_TMAP3OUT))&gt;=0,1,-1)*QUOTIENT(((1000)-(c_TMAP3IN)),2)),((1000)-(c_TMAP3IN)))+(c_TMAP3OUT)+IF(((1000)-(c_TMAP3OUT))&gt;=0,IF(IF(o_WRAP=1,MOD(((1000)-(c_TMAP3IN))*(((A863)-(c_TMAP3IN))*((1000)-(c_TMAP3OUT))+IF(((1000)-(c_TMAP3OUT))&gt;=0,1,-1)*QUOTIENT(((1000)-(c_TMAP3IN)),2))+2147483648,4294967296)-2147483648,((1000)-(c_TMAP3IN))*(((A863)-(c_TMAP3IN))*((1000)-(c_TMAP3OUT))+IF(((1000)-(c_TMAP3OUT))&gt;=0,1,-1)*QUOTIENT(((1000)-(c_TMAP3IN)),2)))&lt;0,-1,0),IF(IF(o_WRAP=1,MOD(((1000)-(c_TMAP3IN))*(((A863)-(c_TMAP3IN))*((1000)-(c_TMAP3OUT))+IF(((1000)-(c_TMAP3OUT))&gt;=0,1,-1)*QUOTIENT(((1000)-(c_TMAP3IN)),2))+2147483648,4294967296)-2147483648,((1000)-(c_TMAP3IN))*(((A863)-(c_TMAP3IN))*((1000)-(c_TMAP3OUT))+IF(((1000)-(c_TMAP3OUT))&gt;=0,1,-1)*QUOTIENT(((1000)-(c_TMAP3IN)),2)))&gt;=0,1,0)))</f>
        <v>825</v>
      </c>
      <c r="H863" s="7" t="str">
        <f aca="false">IF(A863&gt;=c_TFWD,IF(AND(A863&gt;=c_TMAP3IN,c_TMAP3IN&lt;1000),"Seg4 map3-100%",IF(AND(A863&gt;=c_TMAP2IN,c_TMAP3IN&gt;c_TMAP2IN),"Seg3 map2-map3",IF(AND(A863&gt;=c_TMAP1IN,c_TMAP2IN&gt;c_TMAP1IN),"Seg2 map1-map2","Seg1 TFWD-map1"))),IF(AND(A863=0,c_TCREEP&gt;0),"Creep",IF(AND(A863&lt;=c_TRNGMIN,A863&gt;=c_TRNGMAX,c_TRNGMIN-c_TRNGMAX&lt;&gt;0),"Regen ramp","Coast (0)")))</f>
        <v>Seg4 map3-100%</v>
      </c>
      <c r="I863" s="7" t="n">
        <f aca="false">IF(A863&gt;=c_TFWD,IF(AND(A863&gt;=c_TMAP3IN,c_TMAP3IN&lt;1000),G863,IF(AND(A863&gt;=c_TMAP2IN,c_TMAP3IN&gt;c_TMAP2IN),F863,IF(AND(A863&gt;=c_TMAP1IN,c_TMAP2IN&gt;c_TMAP1IN),E863,D863))),C863)</f>
        <v>825</v>
      </c>
      <c r="J863" s="7" t="str">
        <f aca="false">IF(I863&lt;-1090,"TOO LOW",IF(I863&gt;1090,"TOO HIGH",""))</f>
        <v/>
      </c>
      <c r="K863" s="15" t="n">
        <f aca="false">IF(J863&lt;&gt;"",0,IF(I863&gt;979,1000,I863))</f>
        <v>825</v>
      </c>
      <c r="L863" s="7" t="n">
        <f aca="false">K863/10</f>
        <v>82.5</v>
      </c>
    </row>
    <row r="864" customFormat="false" ht="15" hidden="false" customHeight="false" outlineLevel="0" collapsed="false">
      <c r="A864" s="7" t="n">
        <v>859</v>
      </c>
      <c r="B864" s="7" t="n">
        <f aca="false">A864/10</f>
        <v>85.9</v>
      </c>
      <c r="C864" s="7" t="n">
        <f aca="false">IF(AND(A864=0,c_TCREEP&gt;0),10*c_TCREEP,IF(AND(A864&lt;=c_TRNGMIN,A864&gt;=c_TRNGMAX,c_TRNGMIN-c_TRNGMAX&lt;&gt;0),-10*c_TMINRN+QUOTIENT((c_TMAXRN-c_TMINRN)*(100-QUOTIENT((A864-c_TRNGMAX)*100,c_TRNGMIN-c_TRNGMAX)),-10),0))</f>
        <v>0</v>
      </c>
      <c r="D864" s="7" t="n">
        <f aca="false">IF(((c_TMAP1IN)-(c_TFWD))=0,(0)+QUOTIENT(((c_TMAP1OUT)-(0)),2),QUOTIENT((((A864)-(c_TFWD))*((c_TMAP1OUT)-(0))+IF(((c_TMAP1OUT)-(0))&gt;=0,1,-1)*QUOTIENT(((c_TMAP1IN)-(c_TFWD)),2)),((c_TMAP1IN)-(c_TFWD)))+(0)+IF(((c_TMAP1OUT)-(0))&gt;=0,IF(IF(o_WRAP=1,MOD(((c_TMAP1IN)-(c_TFWD))*(((A864)-(c_TFWD))*((c_TMAP1OUT)-(0))+IF(((c_TMAP1OUT)-(0))&gt;=0,1,-1)*QUOTIENT(((c_TMAP1IN)-(c_TFWD)),2))+2147483648,4294967296)-2147483648,((c_TMAP1IN)-(c_TFWD))*(((A864)-(c_TFWD))*((c_TMAP1OUT)-(0))+IF(((c_TMAP1OUT)-(0))&gt;=0,1,-1)*QUOTIENT(((c_TMAP1IN)-(c_TFWD)),2)))&lt;0,-1,0),IF(IF(o_WRAP=1,MOD(((c_TMAP1IN)-(c_TFWD))*(((A864)-(c_TFWD))*((c_TMAP1OUT)-(0))+IF(((c_TMAP1OUT)-(0))&gt;=0,1,-1)*QUOTIENT(((c_TMAP1IN)-(c_TFWD)),2))+2147483648,4294967296)-2147483648,((c_TMAP1IN)-(c_TFWD))*(((A864)-(c_TFWD))*((c_TMAP1OUT)-(0))+IF(((c_TMAP1OUT)-(0))&gt;=0,1,-1)*QUOTIENT(((c_TMAP1IN)-(c_TFWD)),2)))&gt;=0,1,0)))</f>
        <v>660</v>
      </c>
      <c r="E864" s="7" t="n">
        <f aca="false">IF(((c_TMAP2IN)-(c_TMAP1IN))=0,(c_TMAP1OUT)+QUOTIENT(((c_TMAP2OUT)-(c_TMAP1OUT)),2),QUOTIENT((((A864)-(c_TMAP1IN))*((c_TMAP2OUT)-(c_TMAP1OUT))+IF(((c_TMAP2OUT)-(c_TMAP1OUT))&gt;=0,1,-1)*QUOTIENT(((c_TMAP2IN)-(c_TMAP1IN)),2)),((c_TMAP2IN)-(c_TMAP1IN)))+(c_TMAP1OUT)+IF(((c_TMAP2OUT)-(c_TMAP1OUT))&gt;=0,IF(IF(o_WRAP=1,MOD(((c_TMAP2IN)-(c_TMAP1IN))*(((A864)-(c_TMAP1IN))*((c_TMAP2OUT)-(c_TMAP1OUT))+IF(((c_TMAP2OUT)-(c_TMAP1OUT))&gt;=0,1,-1)*QUOTIENT(((c_TMAP2IN)-(c_TMAP1IN)),2))+2147483648,4294967296)-2147483648,((c_TMAP2IN)-(c_TMAP1IN))*(((A864)-(c_TMAP1IN))*((c_TMAP2OUT)-(c_TMAP1OUT))+IF(((c_TMAP2OUT)-(c_TMAP1OUT))&gt;=0,1,-1)*QUOTIENT(((c_TMAP2IN)-(c_TMAP1IN)),2)))&lt;0,-1,0),IF(IF(o_WRAP=1,MOD(((c_TMAP2IN)-(c_TMAP1IN))*(((A864)-(c_TMAP1IN))*((c_TMAP2OUT)-(c_TMAP1OUT))+IF(((c_TMAP2OUT)-(c_TMAP1OUT))&gt;=0,1,-1)*QUOTIENT(((c_TMAP2IN)-(c_TMAP1IN)),2))+2147483648,4294967296)-2147483648,((c_TMAP2IN)-(c_TMAP1IN))*(((A864)-(c_TMAP1IN))*((c_TMAP2OUT)-(c_TMAP1OUT))+IF(((c_TMAP2OUT)-(c_TMAP1OUT))&gt;=0,1,-1)*QUOTIENT(((c_TMAP2IN)-(c_TMAP1IN)),2)))&gt;=0,1,0)))</f>
        <v>374</v>
      </c>
      <c r="F864" s="7" t="n">
        <f aca="false">IF(((c_TMAP3IN)-(c_TMAP2IN))=0,(c_TMAP2OUT)+QUOTIENT(((c_TMAP3OUT)-(c_TMAP2OUT)),2),QUOTIENT((((A864)-(c_TMAP2IN))*((c_TMAP3OUT)-(c_TMAP2OUT))+IF(((c_TMAP3OUT)-(c_TMAP2OUT))&gt;=0,1,-1)*QUOTIENT(((c_TMAP3IN)-(c_TMAP2IN)),2)),((c_TMAP3IN)-(c_TMAP2IN)))+(c_TMAP2OUT)+IF(((c_TMAP3OUT)-(c_TMAP2OUT))&gt;=0,IF(IF(o_WRAP=1,MOD(((c_TMAP3IN)-(c_TMAP2IN))*(((A864)-(c_TMAP2IN))*((c_TMAP3OUT)-(c_TMAP2OUT))+IF(((c_TMAP3OUT)-(c_TMAP2OUT))&gt;=0,1,-1)*QUOTIENT(((c_TMAP3IN)-(c_TMAP2IN)),2))+2147483648,4294967296)-2147483648,((c_TMAP3IN)-(c_TMAP2IN))*(((A864)-(c_TMAP2IN))*((c_TMAP3OUT)-(c_TMAP2OUT))+IF(((c_TMAP3OUT)-(c_TMAP2OUT))&gt;=0,1,-1)*QUOTIENT(((c_TMAP3IN)-(c_TMAP2IN)),2)))&lt;0,-1,0),IF(IF(o_WRAP=1,MOD(((c_TMAP3IN)-(c_TMAP2IN))*(((A864)-(c_TMAP2IN))*((c_TMAP3OUT)-(c_TMAP2OUT))+IF(((c_TMAP3OUT)-(c_TMAP2OUT))&gt;=0,1,-1)*QUOTIENT(((c_TMAP3IN)-(c_TMAP2IN)),2))+2147483648,4294967296)-2147483648,((c_TMAP3IN)-(c_TMAP2IN))*(((A864)-(c_TMAP2IN))*((c_TMAP3OUT)-(c_TMAP2OUT))+IF(((c_TMAP3OUT)-(c_TMAP2OUT))&gt;=0,1,-1)*QUOTIENT(((c_TMAP3IN)-(c_TMAP2IN)),2)))&gt;=0,1,0)))</f>
        <v>556</v>
      </c>
      <c r="G864" s="7" t="n">
        <f aca="false">IF(((1000)-(c_TMAP3IN))=0,(c_TMAP3OUT)+QUOTIENT(((1000)-(c_TMAP3OUT)),2),QUOTIENT((((A864)-(c_TMAP3IN))*((1000)-(c_TMAP3OUT))+IF(((1000)-(c_TMAP3OUT))&gt;=0,1,-1)*QUOTIENT(((1000)-(c_TMAP3IN)),2)),((1000)-(c_TMAP3IN)))+(c_TMAP3OUT)+IF(((1000)-(c_TMAP3OUT))&gt;=0,IF(IF(o_WRAP=1,MOD(((1000)-(c_TMAP3IN))*(((A864)-(c_TMAP3IN))*((1000)-(c_TMAP3OUT))+IF(((1000)-(c_TMAP3OUT))&gt;=0,1,-1)*QUOTIENT(((1000)-(c_TMAP3IN)),2))+2147483648,4294967296)-2147483648,((1000)-(c_TMAP3IN))*(((A864)-(c_TMAP3IN))*((1000)-(c_TMAP3OUT))+IF(((1000)-(c_TMAP3OUT))&gt;=0,1,-1)*QUOTIENT(((1000)-(c_TMAP3IN)),2)))&lt;0,-1,0),IF(IF(o_WRAP=1,MOD(((1000)-(c_TMAP3IN))*(((A864)-(c_TMAP3IN))*((1000)-(c_TMAP3OUT))+IF(((1000)-(c_TMAP3OUT))&gt;=0,1,-1)*QUOTIENT(((1000)-(c_TMAP3IN)),2))+2147483648,4294967296)-2147483648,((1000)-(c_TMAP3IN))*(((A864)-(c_TMAP3IN))*((1000)-(c_TMAP3OUT))+IF(((1000)-(c_TMAP3OUT))&gt;=0,1,-1)*QUOTIENT(((1000)-(c_TMAP3IN)),2)))&gt;=0,1,0)))</f>
        <v>826</v>
      </c>
      <c r="H864" s="7" t="str">
        <f aca="false">IF(A864&gt;=c_TFWD,IF(AND(A864&gt;=c_TMAP3IN,c_TMAP3IN&lt;1000),"Seg4 map3-100%",IF(AND(A864&gt;=c_TMAP2IN,c_TMAP3IN&gt;c_TMAP2IN),"Seg3 map2-map3",IF(AND(A864&gt;=c_TMAP1IN,c_TMAP2IN&gt;c_TMAP1IN),"Seg2 map1-map2","Seg1 TFWD-map1"))),IF(AND(A864=0,c_TCREEP&gt;0),"Creep",IF(AND(A864&lt;=c_TRNGMIN,A864&gt;=c_TRNGMAX,c_TRNGMIN-c_TRNGMAX&lt;&gt;0),"Regen ramp","Coast (0)")))</f>
        <v>Seg4 map3-100%</v>
      </c>
      <c r="I864" s="7" t="n">
        <f aca="false">IF(A864&gt;=c_TFWD,IF(AND(A864&gt;=c_TMAP3IN,c_TMAP3IN&lt;1000),G864,IF(AND(A864&gt;=c_TMAP2IN,c_TMAP3IN&gt;c_TMAP2IN),F864,IF(AND(A864&gt;=c_TMAP1IN,c_TMAP2IN&gt;c_TMAP1IN),E864,D864))),C864)</f>
        <v>826</v>
      </c>
      <c r="J864" s="7" t="str">
        <f aca="false">IF(I864&lt;-1090,"TOO LOW",IF(I864&gt;1090,"TOO HIGH",""))</f>
        <v/>
      </c>
      <c r="K864" s="15" t="n">
        <f aca="false">IF(J864&lt;&gt;"",0,IF(I864&gt;979,1000,I864))</f>
        <v>826</v>
      </c>
      <c r="L864" s="7" t="n">
        <f aca="false">K864/10</f>
        <v>82.6</v>
      </c>
    </row>
    <row r="865" customFormat="false" ht="15" hidden="false" customHeight="false" outlineLevel="0" collapsed="false">
      <c r="A865" s="7" t="n">
        <v>860</v>
      </c>
      <c r="B865" s="7" t="n">
        <f aca="false">A865/10</f>
        <v>86</v>
      </c>
      <c r="C865" s="7" t="n">
        <f aca="false">IF(AND(A865=0,c_TCREEP&gt;0),10*c_TCREEP,IF(AND(A865&lt;=c_TRNGMIN,A865&gt;=c_TRNGMAX,c_TRNGMIN-c_TRNGMAX&lt;&gt;0),-10*c_TMINRN+QUOTIENT((c_TMAXRN-c_TMINRN)*(100-QUOTIENT((A865-c_TRNGMAX)*100,c_TRNGMIN-c_TRNGMAX)),-10),0))</f>
        <v>0</v>
      </c>
      <c r="D865" s="7" t="n">
        <f aca="false">IF(((c_TMAP1IN)-(c_TFWD))=0,(0)+QUOTIENT(((c_TMAP1OUT)-(0)),2),QUOTIENT((((A865)-(c_TFWD))*((c_TMAP1OUT)-(0))+IF(((c_TMAP1OUT)-(0))&gt;=0,1,-1)*QUOTIENT(((c_TMAP1IN)-(c_TFWD)),2)),((c_TMAP1IN)-(c_TFWD)))+(0)+IF(((c_TMAP1OUT)-(0))&gt;=0,IF(IF(o_WRAP=1,MOD(((c_TMAP1IN)-(c_TFWD))*(((A865)-(c_TFWD))*((c_TMAP1OUT)-(0))+IF(((c_TMAP1OUT)-(0))&gt;=0,1,-1)*QUOTIENT(((c_TMAP1IN)-(c_TFWD)),2))+2147483648,4294967296)-2147483648,((c_TMAP1IN)-(c_TFWD))*(((A865)-(c_TFWD))*((c_TMAP1OUT)-(0))+IF(((c_TMAP1OUT)-(0))&gt;=0,1,-1)*QUOTIENT(((c_TMAP1IN)-(c_TFWD)),2)))&lt;0,-1,0),IF(IF(o_WRAP=1,MOD(((c_TMAP1IN)-(c_TFWD))*(((A865)-(c_TFWD))*((c_TMAP1OUT)-(0))+IF(((c_TMAP1OUT)-(0))&gt;=0,1,-1)*QUOTIENT(((c_TMAP1IN)-(c_TFWD)),2))+2147483648,4294967296)-2147483648,((c_TMAP1IN)-(c_TFWD))*(((A865)-(c_TFWD))*((c_TMAP1OUT)-(0))+IF(((c_TMAP1OUT)-(0))&gt;=0,1,-1)*QUOTIENT(((c_TMAP1IN)-(c_TFWD)),2)))&gt;=0,1,0)))</f>
        <v>661</v>
      </c>
      <c r="E865" s="7" t="n">
        <f aca="false">IF(((c_TMAP2IN)-(c_TMAP1IN))=0,(c_TMAP1OUT)+QUOTIENT(((c_TMAP2OUT)-(c_TMAP1OUT)),2),QUOTIENT((((A865)-(c_TMAP1IN))*((c_TMAP2OUT)-(c_TMAP1OUT))+IF(((c_TMAP2OUT)-(c_TMAP1OUT))&gt;=0,1,-1)*QUOTIENT(((c_TMAP2IN)-(c_TMAP1IN)),2)),((c_TMAP2IN)-(c_TMAP1IN)))+(c_TMAP1OUT)+IF(((c_TMAP2OUT)-(c_TMAP1OUT))&gt;=0,IF(IF(o_WRAP=1,MOD(((c_TMAP2IN)-(c_TMAP1IN))*(((A865)-(c_TMAP1IN))*((c_TMAP2OUT)-(c_TMAP1OUT))+IF(((c_TMAP2OUT)-(c_TMAP1OUT))&gt;=0,1,-1)*QUOTIENT(((c_TMAP2IN)-(c_TMAP1IN)),2))+2147483648,4294967296)-2147483648,((c_TMAP2IN)-(c_TMAP1IN))*(((A865)-(c_TMAP1IN))*((c_TMAP2OUT)-(c_TMAP1OUT))+IF(((c_TMAP2OUT)-(c_TMAP1OUT))&gt;=0,1,-1)*QUOTIENT(((c_TMAP2IN)-(c_TMAP1IN)),2)))&lt;0,-1,0),IF(IF(o_WRAP=1,MOD(((c_TMAP2IN)-(c_TMAP1IN))*(((A865)-(c_TMAP1IN))*((c_TMAP2OUT)-(c_TMAP1OUT))+IF(((c_TMAP2OUT)-(c_TMAP1OUT))&gt;=0,1,-1)*QUOTIENT(((c_TMAP2IN)-(c_TMAP1IN)),2))+2147483648,4294967296)-2147483648,((c_TMAP2IN)-(c_TMAP1IN))*(((A865)-(c_TMAP1IN))*((c_TMAP2OUT)-(c_TMAP1OUT))+IF(((c_TMAP2OUT)-(c_TMAP1OUT))&gt;=0,1,-1)*QUOTIENT(((c_TMAP2IN)-(c_TMAP1IN)),2)))&gt;=0,1,0)))</f>
        <v>374</v>
      </c>
      <c r="F865" s="7" t="n">
        <f aca="false">IF(((c_TMAP3IN)-(c_TMAP2IN))=0,(c_TMAP2OUT)+QUOTIENT(((c_TMAP3OUT)-(c_TMAP2OUT)),2),QUOTIENT((((A865)-(c_TMAP2IN))*((c_TMAP3OUT)-(c_TMAP2OUT))+IF(((c_TMAP3OUT)-(c_TMAP2OUT))&gt;=0,1,-1)*QUOTIENT(((c_TMAP3IN)-(c_TMAP2IN)),2)),((c_TMAP3IN)-(c_TMAP2IN)))+(c_TMAP2OUT)+IF(((c_TMAP3OUT)-(c_TMAP2OUT))&gt;=0,IF(IF(o_WRAP=1,MOD(((c_TMAP3IN)-(c_TMAP2IN))*(((A865)-(c_TMAP2IN))*((c_TMAP3OUT)-(c_TMAP2OUT))+IF(((c_TMAP3OUT)-(c_TMAP2OUT))&gt;=0,1,-1)*QUOTIENT(((c_TMAP3IN)-(c_TMAP2IN)),2))+2147483648,4294967296)-2147483648,((c_TMAP3IN)-(c_TMAP2IN))*(((A865)-(c_TMAP2IN))*((c_TMAP3OUT)-(c_TMAP2OUT))+IF(((c_TMAP3OUT)-(c_TMAP2OUT))&gt;=0,1,-1)*QUOTIENT(((c_TMAP3IN)-(c_TMAP2IN)),2)))&lt;0,-1,0),IF(IF(o_WRAP=1,MOD(((c_TMAP3IN)-(c_TMAP2IN))*(((A865)-(c_TMAP2IN))*((c_TMAP3OUT)-(c_TMAP2OUT))+IF(((c_TMAP3OUT)-(c_TMAP2OUT))&gt;=0,1,-1)*QUOTIENT(((c_TMAP3IN)-(c_TMAP2IN)),2))+2147483648,4294967296)-2147483648,((c_TMAP3IN)-(c_TMAP2IN))*(((A865)-(c_TMAP2IN))*((c_TMAP3OUT)-(c_TMAP2OUT))+IF(((c_TMAP3OUT)-(c_TMAP2OUT))&gt;=0,1,-1)*QUOTIENT(((c_TMAP3IN)-(c_TMAP2IN)),2)))&gt;=0,1,0)))</f>
        <v>557</v>
      </c>
      <c r="G865" s="7" t="n">
        <f aca="false">IF(((1000)-(c_TMAP3IN))=0,(c_TMAP3OUT)+QUOTIENT(((1000)-(c_TMAP3OUT)),2),QUOTIENT((((A865)-(c_TMAP3IN))*((1000)-(c_TMAP3OUT))+IF(((1000)-(c_TMAP3OUT))&gt;=0,1,-1)*QUOTIENT(((1000)-(c_TMAP3IN)),2)),((1000)-(c_TMAP3IN)))+(c_TMAP3OUT)+IF(((1000)-(c_TMAP3OUT))&gt;=0,IF(IF(o_WRAP=1,MOD(((1000)-(c_TMAP3IN))*(((A865)-(c_TMAP3IN))*((1000)-(c_TMAP3OUT))+IF(((1000)-(c_TMAP3OUT))&gt;=0,1,-1)*QUOTIENT(((1000)-(c_TMAP3IN)),2))+2147483648,4294967296)-2147483648,((1000)-(c_TMAP3IN))*(((A865)-(c_TMAP3IN))*((1000)-(c_TMAP3OUT))+IF(((1000)-(c_TMAP3OUT))&gt;=0,1,-1)*QUOTIENT(((1000)-(c_TMAP3IN)),2)))&lt;0,-1,0),IF(IF(o_WRAP=1,MOD(((1000)-(c_TMAP3IN))*(((A865)-(c_TMAP3IN))*((1000)-(c_TMAP3OUT))+IF(((1000)-(c_TMAP3OUT))&gt;=0,1,-1)*QUOTIENT(((1000)-(c_TMAP3IN)),2))+2147483648,4294967296)-2147483648,((1000)-(c_TMAP3IN))*(((A865)-(c_TMAP3IN))*((1000)-(c_TMAP3OUT))+IF(((1000)-(c_TMAP3OUT))&gt;=0,1,-1)*QUOTIENT(((1000)-(c_TMAP3IN)),2)))&gt;=0,1,0)))</f>
        <v>828</v>
      </c>
      <c r="H865" s="7" t="str">
        <f aca="false">IF(A865&gt;=c_TFWD,IF(AND(A865&gt;=c_TMAP3IN,c_TMAP3IN&lt;1000),"Seg4 map3-100%",IF(AND(A865&gt;=c_TMAP2IN,c_TMAP3IN&gt;c_TMAP2IN),"Seg3 map2-map3",IF(AND(A865&gt;=c_TMAP1IN,c_TMAP2IN&gt;c_TMAP1IN),"Seg2 map1-map2","Seg1 TFWD-map1"))),IF(AND(A865=0,c_TCREEP&gt;0),"Creep",IF(AND(A865&lt;=c_TRNGMIN,A865&gt;=c_TRNGMAX,c_TRNGMIN-c_TRNGMAX&lt;&gt;0),"Regen ramp","Coast (0)")))</f>
        <v>Seg4 map3-100%</v>
      </c>
      <c r="I865" s="7" t="n">
        <f aca="false">IF(A865&gt;=c_TFWD,IF(AND(A865&gt;=c_TMAP3IN,c_TMAP3IN&lt;1000),G865,IF(AND(A865&gt;=c_TMAP2IN,c_TMAP3IN&gt;c_TMAP2IN),F865,IF(AND(A865&gt;=c_TMAP1IN,c_TMAP2IN&gt;c_TMAP1IN),E865,D865))),C865)</f>
        <v>828</v>
      </c>
      <c r="J865" s="7" t="str">
        <f aca="false">IF(I865&lt;-1090,"TOO LOW",IF(I865&gt;1090,"TOO HIGH",""))</f>
        <v/>
      </c>
      <c r="K865" s="15" t="n">
        <f aca="false">IF(J865&lt;&gt;"",0,IF(I865&gt;979,1000,I865))</f>
        <v>828</v>
      </c>
      <c r="L865" s="7" t="n">
        <f aca="false">K865/10</f>
        <v>82.8</v>
      </c>
    </row>
    <row r="866" customFormat="false" ht="15" hidden="false" customHeight="false" outlineLevel="0" collapsed="false">
      <c r="A866" s="7" t="n">
        <v>861</v>
      </c>
      <c r="B866" s="7" t="n">
        <f aca="false">A866/10</f>
        <v>86.1</v>
      </c>
      <c r="C866" s="7" t="n">
        <f aca="false">IF(AND(A866=0,c_TCREEP&gt;0),10*c_TCREEP,IF(AND(A866&lt;=c_TRNGMIN,A866&gt;=c_TRNGMAX,c_TRNGMIN-c_TRNGMAX&lt;&gt;0),-10*c_TMINRN+QUOTIENT((c_TMAXRN-c_TMINRN)*(100-QUOTIENT((A866-c_TRNGMAX)*100,c_TRNGMIN-c_TRNGMAX)),-10),0))</f>
        <v>0</v>
      </c>
      <c r="D866" s="7" t="n">
        <f aca="false">IF(((c_TMAP1IN)-(c_TFWD))=0,(0)+QUOTIENT(((c_TMAP1OUT)-(0)),2),QUOTIENT((((A866)-(c_TFWD))*((c_TMAP1OUT)-(0))+IF(((c_TMAP1OUT)-(0))&gt;=0,1,-1)*QUOTIENT(((c_TMAP1IN)-(c_TFWD)),2)),((c_TMAP1IN)-(c_TFWD)))+(0)+IF(((c_TMAP1OUT)-(0))&gt;=0,IF(IF(o_WRAP=1,MOD(((c_TMAP1IN)-(c_TFWD))*(((A866)-(c_TFWD))*((c_TMAP1OUT)-(0))+IF(((c_TMAP1OUT)-(0))&gt;=0,1,-1)*QUOTIENT(((c_TMAP1IN)-(c_TFWD)),2))+2147483648,4294967296)-2147483648,((c_TMAP1IN)-(c_TFWD))*(((A866)-(c_TFWD))*((c_TMAP1OUT)-(0))+IF(((c_TMAP1OUT)-(0))&gt;=0,1,-1)*QUOTIENT(((c_TMAP1IN)-(c_TFWD)),2)))&lt;0,-1,0),IF(IF(o_WRAP=1,MOD(((c_TMAP1IN)-(c_TFWD))*(((A866)-(c_TFWD))*((c_TMAP1OUT)-(0))+IF(((c_TMAP1OUT)-(0))&gt;=0,1,-1)*QUOTIENT(((c_TMAP1IN)-(c_TFWD)),2))+2147483648,4294967296)-2147483648,((c_TMAP1IN)-(c_TFWD))*(((A866)-(c_TFWD))*((c_TMAP1OUT)-(0))+IF(((c_TMAP1OUT)-(0))&gt;=0,1,-1)*QUOTIENT(((c_TMAP1IN)-(c_TFWD)),2)))&gt;=0,1,0)))</f>
        <v>662</v>
      </c>
      <c r="E866" s="7" t="n">
        <f aca="false">IF(((c_TMAP2IN)-(c_TMAP1IN))=0,(c_TMAP1OUT)+QUOTIENT(((c_TMAP2OUT)-(c_TMAP1OUT)),2),QUOTIENT((((A866)-(c_TMAP1IN))*((c_TMAP2OUT)-(c_TMAP1OUT))+IF(((c_TMAP2OUT)-(c_TMAP1OUT))&gt;=0,1,-1)*QUOTIENT(((c_TMAP2IN)-(c_TMAP1IN)),2)),((c_TMAP2IN)-(c_TMAP1IN)))+(c_TMAP1OUT)+IF(((c_TMAP2OUT)-(c_TMAP1OUT))&gt;=0,IF(IF(o_WRAP=1,MOD(((c_TMAP2IN)-(c_TMAP1IN))*(((A866)-(c_TMAP1IN))*((c_TMAP2OUT)-(c_TMAP1OUT))+IF(((c_TMAP2OUT)-(c_TMAP1OUT))&gt;=0,1,-1)*QUOTIENT(((c_TMAP2IN)-(c_TMAP1IN)),2))+2147483648,4294967296)-2147483648,((c_TMAP2IN)-(c_TMAP1IN))*(((A866)-(c_TMAP1IN))*((c_TMAP2OUT)-(c_TMAP1OUT))+IF(((c_TMAP2OUT)-(c_TMAP1OUT))&gt;=0,1,-1)*QUOTIENT(((c_TMAP2IN)-(c_TMAP1IN)),2)))&lt;0,-1,0),IF(IF(o_WRAP=1,MOD(((c_TMAP2IN)-(c_TMAP1IN))*(((A866)-(c_TMAP1IN))*((c_TMAP2OUT)-(c_TMAP1OUT))+IF(((c_TMAP2OUT)-(c_TMAP1OUT))&gt;=0,1,-1)*QUOTIENT(((c_TMAP2IN)-(c_TMAP1IN)),2))+2147483648,4294967296)-2147483648,((c_TMAP2IN)-(c_TMAP1IN))*(((A866)-(c_TMAP1IN))*((c_TMAP2OUT)-(c_TMAP1OUT))+IF(((c_TMAP2OUT)-(c_TMAP1OUT))&gt;=0,1,-1)*QUOTIENT(((c_TMAP2IN)-(c_TMAP1IN)),2)))&gt;=0,1,0)))</f>
        <v>374</v>
      </c>
      <c r="F866" s="7" t="n">
        <f aca="false">IF(((c_TMAP3IN)-(c_TMAP2IN))=0,(c_TMAP2OUT)+QUOTIENT(((c_TMAP3OUT)-(c_TMAP2OUT)),2),QUOTIENT((((A866)-(c_TMAP2IN))*((c_TMAP3OUT)-(c_TMAP2OUT))+IF(((c_TMAP3OUT)-(c_TMAP2OUT))&gt;=0,1,-1)*QUOTIENT(((c_TMAP3IN)-(c_TMAP2IN)),2)),((c_TMAP3IN)-(c_TMAP2IN)))+(c_TMAP2OUT)+IF(((c_TMAP3OUT)-(c_TMAP2OUT))&gt;=0,IF(IF(o_WRAP=1,MOD(((c_TMAP3IN)-(c_TMAP2IN))*(((A866)-(c_TMAP2IN))*((c_TMAP3OUT)-(c_TMAP2OUT))+IF(((c_TMAP3OUT)-(c_TMAP2OUT))&gt;=0,1,-1)*QUOTIENT(((c_TMAP3IN)-(c_TMAP2IN)),2))+2147483648,4294967296)-2147483648,((c_TMAP3IN)-(c_TMAP2IN))*(((A866)-(c_TMAP2IN))*((c_TMAP3OUT)-(c_TMAP2OUT))+IF(((c_TMAP3OUT)-(c_TMAP2OUT))&gt;=0,1,-1)*QUOTIENT(((c_TMAP3IN)-(c_TMAP2IN)),2)))&lt;0,-1,0),IF(IF(o_WRAP=1,MOD(((c_TMAP3IN)-(c_TMAP2IN))*(((A866)-(c_TMAP2IN))*((c_TMAP3OUT)-(c_TMAP2OUT))+IF(((c_TMAP3OUT)-(c_TMAP2OUT))&gt;=0,1,-1)*QUOTIENT(((c_TMAP3IN)-(c_TMAP2IN)),2))+2147483648,4294967296)-2147483648,((c_TMAP3IN)-(c_TMAP2IN))*(((A866)-(c_TMAP2IN))*((c_TMAP3OUT)-(c_TMAP2OUT))+IF(((c_TMAP3OUT)-(c_TMAP2OUT))&gt;=0,1,-1)*QUOTIENT(((c_TMAP3IN)-(c_TMAP2IN)),2)))&gt;=0,1,0)))</f>
        <v>558</v>
      </c>
      <c r="G866" s="7" t="n">
        <f aca="false">IF(((1000)-(c_TMAP3IN))=0,(c_TMAP3OUT)+QUOTIENT(((1000)-(c_TMAP3OUT)),2),QUOTIENT((((A866)-(c_TMAP3IN))*((1000)-(c_TMAP3OUT))+IF(((1000)-(c_TMAP3OUT))&gt;=0,1,-1)*QUOTIENT(((1000)-(c_TMAP3IN)),2)),((1000)-(c_TMAP3IN)))+(c_TMAP3OUT)+IF(((1000)-(c_TMAP3OUT))&gt;=0,IF(IF(o_WRAP=1,MOD(((1000)-(c_TMAP3IN))*(((A866)-(c_TMAP3IN))*((1000)-(c_TMAP3OUT))+IF(((1000)-(c_TMAP3OUT))&gt;=0,1,-1)*QUOTIENT(((1000)-(c_TMAP3IN)),2))+2147483648,4294967296)-2147483648,((1000)-(c_TMAP3IN))*(((A866)-(c_TMAP3IN))*((1000)-(c_TMAP3OUT))+IF(((1000)-(c_TMAP3OUT))&gt;=0,1,-1)*QUOTIENT(((1000)-(c_TMAP3IN)),2)))&lt;0,-1,0),IF(IF(o_WRAP=1,MOD(((1000)-(c_TMAP3IN))*(((A866)-(c_TMAP3IN))*((1000)-(c_TMAP3OUT))+IF(((1000)-(c_TMAP3OUT))&gt;=0,1,-1)*QUOTIENT(((1000)-(c_TMAP3IN)),2))+2147483648,4294967296)-2147483648,((1000)-(c_TMAP3IN))*(((A866)-(c_TMAP3IN))*((1000)-(c_TMAP3OUT))+IF(((1000)-(c_TMAP3OUT))&gt;=0,1,-1)*QUOTIENT(((1000)-(c_TMAP3IN)),2)))&gt;=0,1,0)))</f>
        <v>829</v>
      </c>
      <c r="H866" s="7" t="str">
        <f aca="false">IF(A866&gt;=c_TFWD,IF(AND(A866&gt;=c_TMAP3IN,c_TMAP3IN&lt;1000),"Seg4 map3-100%",IF(AND(A866&gt;=c_TMAP2IN,c_TMAP3IN&gt;c_TMAP2IN),"Seg3 map2-map3",IF(AND(A866&gt;=c_TMAP1IN,c_TMAP2IN&gt;c_TMAP1IN),"Seg2 map1-map2","Seg1 TFWD-map1"))),IF(AND(A866=0,c_TCREEP&gt;0),"Creep",IF(AND(A866&lt;=c_TRNGMIN,A866&gt;=c_TRNGMAX,c_TRNGMIN-c_TRNGMAX&lt;&gt;0),"Regen ramp","Coast (0)")))</f>
        <v>Seg4 map3-100%</v>
      </c>
      <c r="I866" s="7" t="n">
        <f aca="false">IF(A866&gt;=c_TFWD,IF(AND(A866&gt;=c_TMAP3IN,c_TMAP3IN&lt;1000),G866,IF(AND(A866&gt;=c_TMAP2IN,c_TMAP3IN&gt;c_TMAP2IN),F866,IF(AND(A866&gt;=c_TMAP1IN,c_TMAP2IN&gt;c_TMAP1IN),E866,D866))),C866)</f>
        <v>829</v>
      </c>
      <c r="J866" s="7" t="str">
        <f aca="false">IF(I866&lt;-1090,"TOO LOW",IF(I866&gt;1090,"TOO HIGH",""))</f>
        <v/>
      </c>
      <c r="K866" s="15" t="n">
        <f aca="false">IF(J866&lt;&gt;"",0,IF(I866&gt;979,1000,I866))</f>
        <v>829</v>
      </c>
      <c r="L866" s="7" t="n">
        <f aca="false">K866/10</f>
        <v>82.9</v>
      </c>
    </row>
    <row r="867" customFormat="false" ht="15" hidden="false" customHeight="false" outlineLevel="0" collapsed="false">
      <c r="A867" s="7" t="n">
        <v>862</v>
      </c>
      <c r="B867" s="7" t="n">
        <f aca="false">A867/10</f>
        <v>86.2</v>
      </c>
      <c r="C867" s="7" t="n">
        <f aca="false">IF(AND(A867=0,c_TCREEP&gt;0),10*c_TCREEP,IF(AND(A867&lt;=c_TRNGMIN,A867&gt;=c_TRNGMAX,c_TRNGMIN-c_TRNGMAX&lt;&gt;0),-10*c_TMINRN+QUOTIENT((c_TMAXRN-c_TMINRN)*(100-QUOTIENT((A867-c_TRNGMAX)*100,c_TRNGMIN-c_TRNGMAX)),-10),0))</f>
        <v>0</v>
      </c>
      <c r="D867" s="7" t="n">
        <f aca="false">IF(((c_TMAP1IN)-(c_TFWD))=0,(0)+QUOTIENT(((c_TMAP1OUT)-(0)),2),QUOTIENT((((A867)-(c_TFWD))*((c_TMAP1OUT)-(0))+IF(((c_TMAP1OUT)-(0))&gt;=0,1,-1)*QUOTIENT(((c_TMAP1IN)-(c_TFWD)),2)),((c_TMAP1IN)-(c_TFWD)))+(0)+IF(((c_TMAP1OUT)-(0))&gt;=0,IF(IF(o_WRAP=1,MOD(((c_TMAP1IN)-(c_TFWD))*(((A867)-(c_TFWD))*((c_TMAP1OUT)-(0))+IF(((c_TMAP1OUT)-(0))&gt;=0,1,-1)*QUOTIENT(((c_TMAP1IN)-(c_TFWD)),2))+2147483648,4294967296)-2147483648,((c_TMAP1IN)-(c_TFWD))*(((A867)-(c_TFWD))*((c_TMAP1OUT)-(0))+IF(((c_TMAP1OUT)-(0))&gt;=0,1,-1)*QUOTIENT(((c_TMAP1IN)-(c_TFWD)),2)))&lt;0,-1,0),IF(IF(o_WRAP=1,MOD(((c_TMAP1IN)-(c_TFWD))*(((A867)-(c_TFWD))*((c_TMAP1OUT)-(0))+IF(((c_TMAP1OUT)-(0))&gt;=0,1,-1)*QUOTIENT(((c_TMAP1IN)-(c_TFWD)),2))+2147483648,4294967296)-2147483648,((c_TMAP1IN)-(c_TFWD))*(((A867)-(c_TFWD))*((c_TMAP1OUT)-(0))+IF(((c_TMAP1OUT)-(0))&gt;=0,1,-1)*QUOTIENT(((c_TMAP1IN)-(c_TFWD)),2)))&gt;=0,1,0)))</f>
        <v>663</v>
      </c>
      <c r="E867" s="7" t="n">
        <f aca="false">IF(((c_TMAP2IN)-(c_TMAP1IN))=0,(c_TMAP1OUT)+QUOTIENT(((c_TMAP2OUT)-(c_TMAP1OUT)),2),QUOTIENT((((A867)-(c_TMAP1IN))*((c_TMAP2OUT)-(c_TMAP1OUT))+IF(((c_TMAP2OUT)-(c_TMAP1OUT))&gt;=0,1,-1)*QUOTIENT(((c_TMAP2IN)-(c_TMAP1IN)),2)),((c_TMAP2IN)-(c_TMAP1IN)))+(c_TMAP1OUT)+IF(((c_TMAP2OUT)-(c_TMAP1OUT))&gt;=0,IF(IF(o_WRAP=1,MOD(((c_TMAP2IN)-(c_TMAP1IN))*(((A867)-(c_TMAP1IN))*((c_TMAP2OUT)-(c_TMAP1OUT))+IF(((c_TMAP2OUT)-(c_TMAP1OUT))&gt;=0,1,-1)*QUOTIENT(((c_TMAP2IN)-(c_TMAP1IN)),2))+2147483648,4294967296)-2147483648,((c_TMAP2IN)-(c_TMAP1IN))*(((A867)-(c_TMAP1IN))*((c_TMAP2OUT)-(c_TMAP1OUT))+IF(((c_TMAP2OUT)-(c_TMAP1OUT))&gt;=0,1,-1)*QUOTIENT(((c_TMAP2IN)-(c_TMAP1IN)),2)))&lt;0,-1,0),IF(IF(o_WRAP=1,MOD(((c_TMAP2IN)-(c_TMAP1IN))*(((A867)-(c_TMAP1IN))*((c_TMAP2OUT)-(c_TMAP1OUT))+IF(((c_TMAP2OUT)-(c_TMAP1OUT))&gt;=0,1,-1)*QUOTIENT(((c_TMAP2IN)-(c_TMAP1IN)),2))+2147483648,4294967296)-2147483648,((c_TMAP2IN)-(c_TMAP1IN))*(((A867)-(c_TMAP1IN))*((c_TMAP2OUT)-(c_TMAP1OUT))+IF(((c_TMAP2OUT)-(c_TMAP1OUT))&gt;=0,1,-1)*QUOTIENT(((c_TMAP2IN)-(c_TMAP1IN)),2)))&gt;=0,1,0)))</f>
        <v>375</v>
      </c>
      <c r="F867" s="7" t="n">
        <f aca="false">IF(((c_TMAP3IN)-(c_TMAP2IN))=0,(c_TMAP2OUT)+QUOTIENT(((c_TMAP3OUT)-(c_TMAP2OUT)),2),QUOTIENT((((A867)-(c_TMAP2IN))*((c_TMAP3OUT)-(c_TMAP2OUT))+IF(((c_TMAP3OUT)-(c_TMAP2OUT))&gt;=0,1,-1)*QUOTIENT(((c_TMAP3IN)-(c_TMAP2IN)),2)),((c_TMAP3IN)-(c_TMAP2IN)))+(c_TMAP2OUT)+IF(((c_TMAP3OUT)-(c_TMAP2OUT))&gt;=0,IF(IF(o_WRAP=1,MOD(((c_TMAP3IN)-(c_TMAP2IN))*(((A867)-(c_TMAP2IN))*((c_TMAP3OUT)-(c_TMAP2OUT))+IF(((c_TMAP3OUT)-(c_TMAP2OUT))&gt;=0,1,-1)*QUOTIENT(((c_TMAP3IN)-(c_TMAP2IN)),2))+2147483648,4294967296)-2147483648,((c_TMAP3IN)-(c_TMAP2IN))*(((A867)-(c_TMAP2IN))*((c_TMAP3OUT)-(c_TMAP2OUT))+IF(((c_TMAP3OUT)-(c_TMAP2OUT))&gt;=0,1,-1)*QUOTIENT(((c_TMAP3IN)-(c_TMAP2IN)),2)))&lt;0,-1,0),IF(IF(o_WRAP=1,MOD(((c_TMAP3IN)-(c_TMAP2IN))*(((A867)-(c_TMAP2IN))*((c_TMAP3OUT)-(c_TMAP2OUT))+IF(((c_TMAP3OUT)-(c_TMAP2OUT))&gt;=0,1,-1)*QUOTIENT(((c_TMAP3IN)-(c_TMAP2IN)),2))+2147483648,4294967296)-2147483648,((c_TMAP3IN)-(c_TMAP2IN))*(((A867)-(c_TMAP2IN))*((c_TMAP3OUT)-(c_TMAP2OUT))+IF(((c_TMAP3OUT)-(c_TMAP2OUT))&gt;=0,1,-1)*QUOTIENT(((c_TMAP3IN)-(c_TMAP2IN)),2)))&gt;=0,1,0)))</f>
        <v>558</v>
      </c>
      <c r="G867" s="7" t="n">
        <f aca="false">IF(((1000)-(c_TMAP3IN))=0,(c_TMAP3OUT)+QUOTIENT(((1000)-(c_TMAP3OUT)),2),QUOTIENT((((A867)-(c_TMAP3IN))*((1000)-(c_TMAP3OUT))+IF(((1000)-(c_TMAP3OUT))&gt;=0,1,-1)*QUOTIENT(((1000)-(c_TMAP3IN)),2)),((1000)-(c_TMAP3IN)))+(c_TMAP3OUT)+IF(((1000)-(c_TMAP3OUT))&gt;=0,IF(IF(o_WRAP=1,MOD(((1000)-(c_TMAP3IN))*(((A867)-(c_TMAP3IN))*((1000)-(c_TMAP3OUT))+IF(((1000)-(c_TMAP3OUT))&gt;=0,1,-1)*QUOTIENT(((1000)-(c_TMAP3IN)),2))+2147483648,4294967296)-2147483648,((1000)-(c_TMAP3IN))*(((A867)-(c_TMAP3IN))*((1000)-(c_TMAP3OUT))+IF(((1000)-(c_TMAP3OUT))&gt;=0,1,-1)*QUOTIENT(((1000)-(c_TMAP3IN)),2)))&lt;0,-1,0),IF(IF(o_WRAP=1,MOD(((1000)-(c_TMAP3IN))*(((A867)-(c_TMAP3IN))*((1000)-(c_TMAP3OUT))+IF(((1000)-(c_TMAP3OUT))&gt;=0,1,-1)*QUOTIENT(((1000)-(c_TMAP3IN)),2))+2147483648,4294967296)-2147483648,((1000)-(c_TMAP3IN))*(((A867)-(c_TMAP3IN))*((1000)-(c_TMAP3OUT))+IF(((1000)-(c_TMAP3OUT))&gt;=0,1,-1)*QUOTIENT(((1000)-(c_TMAP3IN)),2)))&gt;=0,1,0)))</f>
        <v>830</v>
      </c>
      <c r="H867" s="7" t="str">
        <f aca="false">IF(A867&gt;=c_TFWD,IF(AND(A867&gt;=c_TMAP3IN,c_TMAP3IN&lt;1000),"Seg4 map3-100%",IF(AND(A867&gt;=c_TMAP2IN,c_TMAP3IN&gt;c_TMAP2IN),"Seg3 map2-map3",IF(AND(A867&gt;=c_TMAP1IN,c_TMAP2IN&gt;c_TMAP1IN),"Seg2 map1-map2","Seg1 TFWD-map1"))),IF(AND(A867=0,c_TCREEP&gt;0),"Creep",IF(AND(A867&lt;=c_TRNGMIN,A867&gt;=c_TRNGMAX,c_TRNGMIN-c_TRNGMAX&lt;&gt;0),"Regen ramp","Coast (0)")))</f>
        <v>Seg4 map3-100%</v>
      </c>
      <c r="I867" s="7" t="n">
        <f aca="false">IF(A867&gt;=c_TFWD,IF(AND(A867&gt;=c_TMAP3IN,c_TMAP3IN&lt;1000),G867,IF(AND(A867&gt;=c_TMAP2IN,c_TMAP3IN&gt;c_TMAP2IN),F867,IF(AND(A867&gt;=c_TMAP1IN,c_TMAP2IN&gt;c_TMAP1IN),E867,D867))),C867)</f>
        <v>830</v>
      </c>
      <c r="J867" s="7" t="str">
        <f aca="false">IF(I867&lt;-1090,"TOO LOW",IF(I867&gt;1090,"TOO HIGH",""))</f>
        <v/>
      </c>
      <c r="K867" s="15" t="n">
        <f aca="false">IF(J867&lt;&gt;"",0,IF(I867&gt;979,1000,I867))</f>
        <v>830</v>
      </c>
      <c r="L867" s="7" t="n">
        <f aca="false">K867/10</f>
        <v>83</v>
      </c>
    </row>
    <row r="868" customFormat="false" ht="15" hidden="false" customHeight="false" outlineLevel="0" collapsed="false">
      <c r="A868" s="7" t="n">
        <v>863</v>
      </c>
      <c r="B868" s="7" t="n">
        <f aca="false">A868/10</f>
        <v>86.3</v>
      </c>
      <c r="C868" s="7" t="n">
        <f aca="false">IF(AND(A868=0,c_TCREEP&gt;0),10*c_TCREEP,IF(AND(A868&lt;=c_TRNGMIN,A868&gt;=c_TRNGMAX,c_TRNGMIN-c_TRNGMAX&lt;&gt;0),-10*c_TMINRN+QUOTIENT((c_TMAXRN-c_TMINRN)*(100-QUOTIENT((A868-c_TRNGMAX)*100,c_TRNGMIN-c_TRNGMAX)),-10),0))</f>
        <v>0</v>
      </c>
      <c r="D868" s="7" t="n">
        <f aca="false">IF(((c_TMAP1IN)-(c_TFWD))=0,(0)+QUOTIENT(((c_TMAP1OUT)-(0)),2),QUOTIENT((((A868)-(c_TFWD))*((c_TMAP1OUT)-(0))+IF(((c_TMAP1OUT)-(0))&gt;=0,1,-1)*QUOTIENT(((c_TMAP1IN)-(c_TFWD)),2)),((c_TMAP1IN)-(c_TFWD)))+(0)+IF(((c_TMAP1OUT)-(0))&gt;=0,IF(IF(o_WRAP=1,MOD(((c_TMAP1IN)-(c_TFWD))*(((A868)-(c_TFWD))*((c_TMAP1OUT)-(0))+IF(((c_TMAP1OUT)-(0))&gt;=0,1,-1)*QUOTIENT(((c_TMAP1IN)-(c_TFWD)),2))+2147483648,4294967296)-2147483648,((c_TMAP1IN)-(c_TFWD))*(((A868)-(c_TFWD))*((c_TMAP1OUT)-(0))+IF(((c_TMAP1OUT)-(0))&gt;=0,1,-1)*QUOTIENT(((c_TMAP1IN)-(c_TFWD)),2)))&lt;0,-1,0),IF(IF(o_WRAP=1,MOD(((c_TMAP1IN)-(c_TFWD))*(((A868)-(c_TFWD))*((c_TMAP1OUT)-(0))+IF(((c_TMAP1OUT)-(0))&gt;=0,1,-1)*QUOTIENT(((c_TMAP1IN)-(c_TFWD)),2))+2147483648,4294967296)-2147483648,((c_TMAP1IN)-(c_TFWD))*(((A868)-(c_TFWD))*((c_TMAP1OUT)-(0))+IF(((c_TMAP1OUT)-(0))&gt;=0,1,-1)*QUOTIENT(((c_TMAP1IN)-(c_TFWD)),2)))&gt;=0,1,0)))</f>
        <v>663</v>
      </c>
      <c r="E868" s="7" t="n">
        <f aca="false">IF(((c_TMAP2IN)-(c_TMAP1IN))=0,(c_TMAP1OUT)+QUOTIENT(((c_TMAP2OUT)-(c_TMAP1OUT)),2),QUOTIENT((((A868)-(c_TMAP1IN))*((c_TMAP2OUT)-(c_TMAP1OUT))+IF(((c_TMAP2OUT)-(c_TMAP1OUT))&gt;=0,1,-1)*QUOTIENT(((c_TMAP2IN)-(c_TMAP1IN)),2)),((c_TMAP2IN)-(c_TMAP1IN)))+(c_TMAP1OUT)+IF(((c_TMAP2OUT)-(c_TMAP1OUT))&gt;=0,IF(IF(o_WRAP=1,MOD(((c_TMAP2IN)-(c_TMAP1IN))*(((A868)-(c_TMAP1IN))*((c_TMAP2OUT)-(c_TMAP1OUT))+IF(((c_TMAP2OUT)-(c_TMAP1OUT))&gt;=0,1,-1)*QUOTIENT(((c_TMAP2IN)-(c_TMAP1IN)),2))+2147483648,4294967296)-2147483648,((c_TMAP2IN)-(c_TMAP1IN))*(((A868)-(c_TMAP1IN))*((c_TMAP2OUT)-(c_TMAP1OUT))+IF(((c_TMAP2OUT)-(c_TMAP1OUT))&gt;=0,1,-1)*QUOTIENT(((c_TMAP2IN)-(c_TMAP1IN)),2)))&lt;0,-1,0),IF(IF(o_WRAP=1,MOD(((c_TMAP2IN)-(c_TMAP1IN))*(((A868)-(c_TMAP1IN))*((c_TMAP2OUT)-(c_TMAP1OUT))+IF(((c_TMAP2OUT)-(c_TMAP1OUT))&gt;=0,1,-1)*QUOTIENT(((c_TMAP2IN)-(c_TMAP1IN)),2))+2147483648,4294967296)-2147483648,((c_TMAP2IN)-(c_TMAP1IN))*(((A868)-(c_TMAP1IN))*((c_TMAP2OUT)-(c_TMAP1OUT))+IF(((c_TMAP2OUT)-(c_TMAP1OUT))&gt;=0,1,-1)*QUOTIENT(((c_TMAP2IN)-(c_TMAP1IN)),2)))&gt;=0,1,0)))</f>
        <v>375</v>
      </c>
      <c r="F868" s="7" t="n">
        <f aca="false">IF(((c_TMAP3IN)-(c_TMAP2IN))=0,(c_TMAP2OUT)+QUOTIENT(((c_TMAP3OUT)-(c_TMAP2OUT)),2),QUOTIENT((((A868)-(c_TMAP2IN))*((c_TMAP3OUT)-(c_TMAP2OUT))+IF(((c_TMAP3OUT)-(c_TMAP2OUT))&gt;=0,1,-1)*QUOTIENT(((c_TMAP3IN)-(c_TMAP2IN)),2)),((c_TMAP3IN)-(c_TMAP2IN)))+(c_TMAP2OUT)+IF(((c_TMAP3OUT)-(c_TMAP2OUT))&gt;=0,IF(IF(o_WRAP=1,MOD(((c_TMAP3IN)-(c_TMAP2IN))*(((A868)-(c_TMAP2IN))*((c_TMAP3OUT)-(c_TMAP2OUT))+IF(((c_TMAP3OUT)-(c_TMAP2OUT))&gt;=0,1,-1)*QUOTIENT(((c_TMAP3IN)-(c_TMAP2IN)),2))+2147483648,4294967296)-2147483648,((c_TMAP3IN)-(c_TMAP2IN))*(((A868)-(c_TMAP2IN))*((c_TMAP3OUT)-(c_TMAP2OUT))+IF(((c_TMAP3OUT)-(c_TMAP2OUT))&gt;=0,1,-1)*QUOTIENT(((c_TMAP3IN)-(c_TMAP2IN)),2)))&lt;0,-1,0),IF(IF(o_WRAP=1,MOD(((c_TMAP3IN)-(c_TMAP2IN))*(((A868)-(c_TMAP2IN))*((c_TMAP3OUT)-(c_TMAP2OUT))+IF(((c_TMAP3OUT)-(c_TMAP2OUT))&gt;=0,1,-1)*QUOTIENT(((c_TMAP3IN)-(c_TMAP2IN)),2))+2147483648,4294967296)-2147483648,((c_TMAP3IN)-(c_TMAP2IN))*(((A868)-(c_TMAP2IN))*((c_TMAP3OUT)-(c_TMAP2OUT))+IF(((c_TMAP3OUT)-(c_TMAP2OUT))&gt;=0,1,-1)*QUOTIENT(((c_TMAP3IN)-(c_TMAP2IN)),2)))&gt;=0,1,0)))</f>
        <v>559</v>
      </c>
      <c r="G868" s="7" t="n">
        <f aca="false">IF(((1000)-(c_TMAP3IN))=0,(c_TMAP3OUT)+QUOTIENT(((1000)-(c_TMAP3OUT)),2),QUOTIENT((((A868)-(c_TMAP3IN))*((1000)-(c_TMAP3OUT))+IF(((1000)-(c_TMAP3OUT))&gt;=0,1,-1)*QUOTIENT(((1000)-(c_TMAP3IN)),2)),((1000)-(c_TMAP3IN)))+(c_TMAP3OUT)+IF(((1000)-(c_TMAP3OUT))&gt;=0,IF(IF(o_WRAP=1,MOD(((1000)-(c_TMAP3IN))*(((A868)-(c_TMAP3IN))*((1000)-(c_TMAP3OUT))+IF(((1000)-(c_TMAP3OUT))&gt;=0,1,-1)*QUOTIENT(((1000)-(c_TMAP3IN)),2))+2147483648,4294967296)-2147483648,((1000)-(c_TMAP3IN))*(((A868)-(c_TMAP3IN))*((1000)-(c_TMAP3OUT))+IF(((1000)-(c_TMAP3OUT))&gt;=0,1,-1)*QUOTIENT(((1000)-(c_TMAP3IN)),2)))&lt;0,-1,0),IF(IF(o_WRAP=1,MOD(((1000)-(c_TMAP3IN))*(((A868)-(c_TMAP3IN))*((1000)-(c_TMAP3OUT))+IF(((1000)-(c_TMAP3OUT))&gt;=0,1,-1)*QUOTIENT(((1000)-(c_TMAP3IN)),2))+2147483648,4294967296)-2147483648,((1000)-(c_TMAP3IN))*(((A868)-(c_TMAP3IN))*((1000)-(c_TMAP3OUT))+IF(((1000)-(c_TMAP3OUT))&gt;=0,1,-1)*QUOTIENT(((1000)-(c_TMAP3IN)),2)))&gt;=0,1,0)))</f>
        <v>831</v>
      </c>
      <c r="H868" s="7" t="str">
        <f aca="false">IF(A868&gt;=c_TFWD,IF(AND(A868&gt;=c_TMAP3IN,c_TMAP3IN&lt;1000),"Seg4 map3-100%",IF(AND(A868&gt;=c_TMAP2IN,c_TMAP3IN&gt;c_TMAP2IN),"Seg3 map2-map3",IF(AND(A868&gt;=c_TMAP1IN,c_TMAP2IN&gt;c_TMAP1IN),"Seg2 map1-map2","Seg1 TFWD-map1"))),IF(AND(A868=0,c_TCREEP&gt;0),"Creep",IF(AND(A868&lt;=c_TRNGMIN,A868&gt;=c_TRNGMAX,c_TRNGMIN-c_TRNGMAX&lt;&gt;0),"Regen ramp","Coast (0)")))</f>
        <v>Seg4 map3-100%</v>
      </c>
      <c r="I868" s="7" t="n">
        <f aca="false">IF(A868&gt;=c_TFWD,IF(AND(A868&gt;=c_TMAP3IN,c_TMAP3IN&lt;1000),G868,IF(AND(A868&gt;=c_TMAP2IN,c_TMAP3IN&gt;c_TMAP2IN),F868,IF(AND(A868&gt;=c_TMAP1IN,c_TMAP2IN&gt;c_TMAP1IN),E868,D868))),C868)</f>
        <v>831</v>
      </c>
      <c r="J868" s="7" t="str">
        <f aca="false">IF(I868&lt;-1090,"TOO LOW",IF(I868&gt;1090,"TOO HIGH",""))</f>
        <v/>
      </c>
      <c r="K868" s="15" t="n">
        <f aca="false">IF(J868&lt;&gt;"",0,IF(I868&gt;979,1000,I868))</f>
        <v>831</v>
      </c>
      <c r="L868" s="7" t="n">
        <f aca="false">K868/10</f>
        <v>83.1</v>
      </c>
    </row>
    <row r="869" customFormat="false" ht="15" hidden="false" customHeight="false" outlineLevel="0" collapsed="false">
      <c r="A869" s="7" t="n">
        <v>864</v>
      </c>
      <c r="B869" s="7" t="n">
        <f aca="false">A869/10</f>
        <v>86.4</v>
      </c>
      <c r="C869" s="7" t="n">
        <f aca="false">IF(AND(A869=0,c_TCREEP&gt;0),10*c_TCREEP,IF(AND(A869&lt;=c_TRNGMIN,A869&gt;=c_TRNGMAX,c_TRNGMIN-c_TRNGMAX&lt;&gt;0),-10*c_TMINRN+QUOTIENT((c_TMAXRN-c_TMINRN)*(100-QUOTIENT((A869-c_TRNGMAX)*100,c_TRNGMIN-c_TRNGMAX)),-10),0))</f>
        <v>0</v>
      </c>
      <c r="D869" s="7" t="n">
        <f aca="false">IF(((c_TMAP1IN)-(c_TFWD))=0,(0)+QUOTIENT(((c_TMAP1OUT)-(0)),2),QUOTIENT((((A869)-(c_TFWD))*((c_TMAP1OUT)-(0))+IF(((c_TMAP1OUT)-(0))&gt;=0,1,-1)*QUOTIENT(((c_TMAP1IN)-(c_TFWD)),2)),((c_TMAP1IN)-(c_TFWD)))+(0)+IF(((c_TMAP1OUT)-(0))&gt;=0,IF(IF(o_WRAP=1,MOD(((c_TMAP1IN)-(c_TFWD))*(((A869)-(c_TFWD))*((c_TMAP1OUT)-(0))+IF(((c_TMAP1OUT)-(0))&gt;=0,1,-1)*QUOTIENT(((c_TMAP1IN)-(c_TFWD)),2))+2147483648,4294967296)-2147483648,((c_TMAP1IN)-(c_TFWD))*(((A869)-(c_TFWD))*((c_TMAP1OUT)-(0))+IF(((c_TMAP1OUT)-(0))&gt;=0,1,-1)*QUOTIENT(((c_TMAP1IN)-(c_TFWD)),2)))&lt;0,-1,0),IF(IF(o_WRAP=1,MOD(((c_TMAP1IN)-(c_TFWD))*(((A869)-(c_TFWD))*((c_TMAP1OUT)-(0))+IF(((c_TMAP1OUT)-(0))&gt;=0,1,-1)*QUOTIENT(((c_TMAP1IN)-(c_TFWD)),2))+2147483648,4294967296)-2147483648,((c_TMAP1IN)-(c_TFWD))*(((A869)-(c_TFWD))*((c_TMAP1OUT)-(0))+IF(((c_TMAP1OUT)-(0))&gt;=0,1,-1)*QUOTIENT(((c_TMAP1IN)-(c_TFWD)),2)))&gt;=0,1,0)))</f>
        <v>664</v>
      </c>
      <c r="E869" s="7" t="n">
        <f aca="false">IF(((c_TMAP2IN)-(c_TMAP1IN))=0,(c_TMAP1OUT)+QUOTIENT(((c_TMAP2OUT)-(c_TMAP1OUT)),2),QUOTIENT((((A869)-(c_TMAP1IN))*((c_TMAP2OUT)-(c_TMAP1OUT))+IF(((c_TMAP2OUT)-(c_TMAP1OUT))&gt;=0,1,-1)*QUOTIENT(((c_TMAP2IN)-(c_TMAP1IN)),2)),((c_TMAP2IN)-(c_TMAP1IN)))+(c_TMAP1OUT)+IF(((c_TMAP2OUT)-(c_TMAP1OUT))&gt;=0,IF(IF(o_WRAP=1,MOD(((c_TMAP2IN)-(c_TMAP1IN))*(((A869)-(c_TMAP1IN))*((c_TMAP2OUT)-(c_TMAP1OUT))+IF(((c_TMAP2OUT)-(c_TMAP1OUT))&gt;=0,1,-1)*QUOTIENT(((c_TMAP2IN)-(c_TMAP1IN)),2))+2147483648,4294967296)-2147483648,((c_TMAP2IN)-(c_TMAP1IN))*(((A869)-(c_TMAP1IN))*((c_TMAP2OUT)-(c_TMAP1OUT))+IF(((c_TMAP2OUT)-(c_TMAP1OUT))&gt;=0,1,-1)*QUOTIENT(((c_TMAP2IN)-(c_TMAP1IN)),2)))&lt;0,-1,0),IF(IF(o_WRAP=1,MOD(((c_TMAP2IN)-(c_TMAP1IN))*(((A869)-(c_TMAP1IN))*((c_TMAP2OUT)-(c_TMAP1OUT))+IF(((c_TMAP2OUT)-(c_TMAP1OUT))&gt;=0,1,-1)*QUOTIENT(((c_TMAP2IN)-(c_TMAP1IN)),2))+2147483648,4294967296)-2147483648,((c_TMAP2IN)-(c_TMAP1IN))*(((A869)-(c_TMAP1IN))*((c_TMAP2OUT)-(c_TMAP1OUT))+IF(((c_TMAP2OUT)-(c_TMAP1OUT))&gt;=0,1,-1)*QUOTIENT(((c_TMAP2IN)-(c_TMAP1IN)),2)))&gt;=0,1,0)))</f>
        <v>376</v>
      </c>
      <c r="F869" s="7" t="n">
        <f aca="false">IF(((c_TMAP3IN)-(c_TMAP2IN))=0,(c_TMAP2OUT)+QUOTIENT(((c_TMAP3OUT)-(c_TMAP2OUT)),2),QUOTIENT((((A869)-(c_TMAP2IN))*((c_TMAP3OUT)-(c_TMAP2OUT))+IF(((c_TMAP3OUT)-(c_TMAP2OUT))&gt;=0,1,-1)*QUOTIENT(((c_TMAP3IN)-(c_TMAP2IN)),2)),((c_TMAP3IN)-(c_TMAP2IN)))+(c_TMAP2OUT)+IF(((c_TMAP3OUT)-(c_TMAP2OUT))&gt;=0,IF(IF(o_WRAP=1,MOD(((c_TMAP3IN)-(c_TMAP2IN))*(((A869)-(c_TMAP2IN))*((c_TMAP3OUT)-(c_TMAP2OUT))+IF(((c_TMAP3OUT)-(c_TMAP2OUT))&gt;=0,1,-1)*QUOTIENT(((c_TMAP3IN)-(c_TMAP2IN)),2))+2147483648,4294967296)-2147483648,((c_TMAP3IN)-(c_TMAP2IN))*(((A869)-(c_TMAP2IN))*((c_TMAP3OUT)-(c_TMAP2OUT))+IF(((c_TMAP3OUT)-(c_TMAP2OUT))&gt;=0,1,-1)*QUOTIENT(((c_TMAP3IN)-(c_TMAP2IN)),2)))&lt;0,-1,0),IF(IF(o_WRAP=1,MOD(((c_TMAP3IN)-(c_TMAP2IN))*(((A869)-(c_TMAP2IN))*((c_TMAP3OUT)-(c_TMAP2OUT))+IF(((c_TMAP3OUT)-(c_TMAP2OUT))&gt;=0,1,-1)*QUOTIENT(((c_TMAP3IN)-(c_TMAP2IN)),2))+2147483648,4294967296)-2147483648,((c_TMAP3IN)-(c_TMAP2IN))*(((A869)-(c_TMAP2IN))*((c_TMAP3OUT)-(c_TMAP2OUT))+IF(((c_TMAP3OUT)-(c_TMAP2OUT))&gt;=0,1,-1)*QUOTIENT(((c_TMAP3IN)-(c_TMAP2IN)),2)))&gt;=0,1,0)))</f>
        <v>560</v>
      </c>
      <c r="G869" s="7" t="n">
        <f aca="false">IF(((1000)-(c_TMAP3IN))=0,(c_TMAP3OUT)+QUOTIENT(((1000)-(c_TMAP3OUT)),2),QUOTIENT((((A869)-(c_TMAP3IN))*((1000)-(c_TMAP3OUT))+IF(((1000)-(c_TMAP3OUT))&gt;=0,1,-1)*QUOTIENT(((1000)-(c_TMAP3IN)),2)),((1000)-(c_TMAP3IN)))+(c_TMAP3OUT)+IF(((1000)-(c_TMAP3OUT))&gt;=0,IF(IF(o_WRAP=1,MOD(((1000)-(c_TMAP3IN))*(((A869)-(c_TMAP3IN))*((1000)-(c_TMAP3OUT))+IF(((1000)-(c_TMAP3OUT))&gt;=0,1,-1)*QUOTIENT(((1000)-(c_TMAP3IN)),2))+2147483648,4294967296)-2147483648,((1000)-(c_TMAP3IN))*(((A869)-(c_TMAP3IN))*((1000)-(c_TMAP3OUT))+IF(((1000)-(c_TMAP3OUT))&gt;=0,1,-1)*QUOTIENT(((1000)-(c_TMAP3IN)),2)))&lt;0,-1,0),IF(IF(o_WRAP=1,MOD(((1000)-(c_TMAP3IN))*(((A869)-(c_TMAP3IN))*((1000)-(c_TMAP3OUT))+IF(((1000)-(c_TMAP3OUT))&gt;=0,1,-1)*QUOTIENT(((1000)-(c_TMAP3IN)),2))+2147483648,4294967296)-2147483648,((1000)-(c_TMAP3IN))*(((A869)-(c_TMAP3IN))*((1000)-(c_TMAP3OUT))+IF(((1000)-(c_TMAP3OUT))&gt;=0,1,-1)*QUOTIENT(((1000)-(c_TMAP3IN)),2)))&gt;=0,1,0)))</f>
        <v>833</v>
      </c>
      <c r="H869" s="7" t="str">
        <f aca="false">IF(A869&gt;=c_TFWD,IF(AND(A869&gt;=c_TMAP3IN,c_TMAP3IN&lt;1000),"Seg4 map3-100%",IF(AND(A869&gt;=c_TMAP2IN,c_TMAP3IN&gt;c_TMAP2IN),"Seg3 map2-map3",IF(AND(A869&gt;=c_TMAP1IN,c_TMAP2IN&gt;c_TMAP1IN),"Seg2 map1-map2","Seg1 TFWD-map1"))),IF(AND(A869=0,c_TCREEP&gt;0),"Creep",IF(AND(A869&lt;=c_TRNGMIN,A869&gt;=c_TRNGMAX,c_TRNGMIN-c_TRNGMAX&lt;&gt;0),"Regen ramp","Coast (0)")))</f>
        <v>Seg4 map3-100%</v>
      </c>
      <c r="I869" s="7" t="n">
        <f aca="false">IF(A869&gt;=c_TFWD,IF(AND(A869&gt;=c_TMAP3IN,c_TMAP3IN&lt;1000),G869,IF(AND(A869&gt;=c_TMAP2IN,c_TMAP3IN&gt;c_TMAP2IN),F869,IF(AND(A869&gt;=c_TMAP1IN,c_TMAP2IN&gt;c_TMAP1IN),E869,D869))),C869)</f>
        <v>833</v>
      </c>
      <c r="J869" s="7" t="str">
        <f aca="false">IF(I869&lt;-1090,"TOO LOW",IF(I869&gt;1090,"TOO HIGH",""))</f>
        <v/>
      </c>
      <c r="K869" s="15" t="n">
        <f aca="false">IF(J869&lt;&gt;"",0,IF(I869&gt;979,1000,I869))</f>
        <v>833</v>
      </c>
      <c r="L869" s="7" t="n">
        <f aca="false">K869/10</f>
        <v>83.3</v>
      </c>
    </row>
    <row r="870" customFormat="false" ht="15" hidden="false" customHeight="false" outlineLevel="0" collapsed="false">
      <c r="A870" s="7" t="n">
        <v>865</v>
      </c>
      <c r="B870" s="7" t="n">
        <f aca="false">A870/10</f>
        <v>86.5</v>
      </c>
      <c r="C870" s="7" t="n">
        <f aca="false">IF(AND(A870=0,c_TCREEP&gt;0),10*c_TCREEP,IF(AND(A870&lt;=c_TRNGMIN,A870&gt;=c_TRNGMAX,c_TRNGMIN-c_TRNGMAX&lt;&gt;0),-10*c_TMINRN+QUOTIENT((c_TMAXRN-c_TMINRN)*(100-QUOTIENT((A870-c_TRNGMAX)*100,c_TRNGMIN-c_TRNGMAX)),-10),0))</f>
        <v>0</v>
      </c>
      <c r="D870" s="7" t="n">
        <f aca="false">IF(((c_TMAP1IN)-(c_TFWD))=0,(0)+QUOTIENT(((c_TMAP1OUT)-(0)),2),QUOTIENT((((A870)-(c_TFWD))*((c_TMAP1OUT)-(0))+IF(((c_TMAP1OUT)-(0))&gt;=0,1,-1)*QUOTIENT(((c_TMAP1IN)-(c_TFWD)),2)),((c_TMAP1IN)-(c_TFWD)))+(0)+IF(((c_TMAP1OUT)-(0))&gt;=0,IF(IF(o_WRAP=1,MOD(((c_TMAP1IN)-(c_TFWD))*(((A870)-(c_TFWD))*((c_TMAP1OUT)-(0))+IF(((c_TMAP1OUT)-(0))&gt;=0,1,-1)*QUOTIENT(((c_TMAP1IN)-(c_TFWD)),2))+2147483648,4294967296)-2147483648,((c_TMAP1IN)-(c_TFWD))*(((A870)-(c_TFWD))*((c_TMAP1OUT)-(0))+IF(((c_TMAP1OUT)-(0))&gt;=0,1,-1)*QUOTIENT(((c_TMAP1IN)-(c_TFWD)),2)))&lt;0,-1,0),IF(IF(o_WRAP=1,MOD(((c_TMAP1IN)-(c_TFWD))*(((A870)-(c_TFWD))*((c_TMAP1OUT)-(0))+IF(((c_TMAP1OUT)-(0))&gt;=0,1,-1)*QUOTIENT(((c_TMAP1IN)-(c_TFWD)),2))+2147483648,4294967296)-2147483648,((c_TMAP1IN)-(c_TFWD))*(((A870)-(c_TFWD))*((c_TMAP1OUT)-(0))+IF(((c_TMAP1OUT)-(0))&gt;=0,1,-1)*QUOTIENT(((c_TMAP1IN)-(c_TFWD)),2)))&gt;=0,1,0)))</f>
        <v>665</v>
      </c>
      <c r="E870" s="7" t="n">
        <f aca="false">IF(((c_TMAP2IN)-(c_TMAP1IN))=0,(c_TMAP1OUT)+QUOTIENT(((c_TMAP2OUT)-(c_TMAP1OUT)),2),QUOTIENT((((A870)-(c_TMAP1IN))*((c_TMAP2OUT)-(c_TMAP1OUT))+IF(((c_TMAP2OUT)-(c_TMAP1OUT))&gt;=0,1,-1)*QUOTIENT(((c_TMAP2IN)-(c_TMAP1IN)),2)),((c_TMAP2IN)-(c_TMAP1IN)))+(c_TMAP1OUT)+IF(((c_TMAP2OUT)-(c_TMAP1OUT))&gt;=0,IF(IF(o_WRAP=1,MOD(((c_TMAP2IN)-(c_TMAP1IN))*(((A870)-(c_TMAP1IN))*((c_TMAP2OUT)-(c_TMAP1OUT))+IF(((c_TMAP2OUT)-(c_TMAP1OUT))&gt;=0,1,-1)*QUOTIENT(((c_TMAP2IN)-(c_TMAP1IN)),2))+2147483648,4294967296)-2147483648,((c_TMAP2IN)-(c_TMAP1IN))*(((A870)-(c_TMAP1IN))*((c_TMAP2OUT)-(c_TMAP1OUT))+IF(((c_TMAP2OUT)-(c_TMAP1OUT))&gt;=0,1,-1)*QUOTIENT(((c_TMAP2IN)-(c_TMAP1IN)),2)))&lt;0,-1,0),IF(IF(o_WRAP=1,MOD(((c_TMAP2IN)-(c_TMAP1IN))*(((A870)-(c_TMAP1IN))*((c_TMAP2OUT)-(c_TMAP1OUT))+IF(((c_TMAP2OUT)-(c_TMAP1OUT))&gt;=0,1,-1)*QUOTIENT(((c_TMAP2IN)-(c_TMAP1IN)),2))+2147483648,4294967296)-2147483648,((c_TMAP2IN)-(c_TMAP1IN))*(((A870)-(c_TMAP1IN))*((c_TMAP2OUT)-(c_TMAP1OUT))+IF(((c_TMAP2OUT)-(c_TMAP1OUT))&gt;=0,1,-1)*QUOTIENT(((c_TMAP2IN)-(c_TMAP1IN)),2)))&gt;=0,1,0)))</f>
        <v>376</v>
      </c>
      <c r="F870" s="7" t="n">
        <f aca="false">IF(((c_TMAP3IN)-(c_TMAP2IN))=0,(c_TMAP2OUT)+QUOTIENT(((c_TMAP3OUT)-(c_TMAP2OUT)),2),QUOTIENT((((A870)-(c_TMAP2IN))*((c_TMAP3OUT)-(c_TMAP2OUT))+IF(((c_TMAP3OUT)-(c_TMAP2OUT))&gt;=0,1,-1)*QUOTIENT(((c_TMAP3IN)-(c_TMAP2IN)),2)),((c_TMAP3IN)-(c_TMAP2IN)))+(c_TMAP2OUT)+IF(((c_TMAP3OUT)-(c_TMAP2OUT))&gt;=0,IF(IF(o_WRAP=1,MOD(((c_TMAP3IN)-(c_TMAP2IN))*(((A870)-(c_TMAP2IN))*((c_TMAP3OUT)-(c_TMAP2OUT))+IF(((c_TMAP3OUT)-(c_TMAP2OUT))&gt;=0,1,-1)*QUOTIENT(((c_TMAP3IN)-(c_TMAP2IN)),2))+2147483648,4294967296)-2147483648,((c_TMAP3IN)-(c_TMAP2IN))*(((A870)-(c_TMAP2IN))*((c_TMAP3OUT)-(c_TMAP2OUT))+IF(((c_TMAP3OUT)-(c_TMAP2OUT))&gt;=0,1,-1)*QUOTIENT(((c_TMAP3IN)-(c_TMAP2IN)),2)))&lt;0,-1,0),IF(IF(o_WRAP=1,MOD(((c_TMAP3IN)-(c_TMAP2IN))*(((A870)-(c_TMAP2IN))*((c_TMAP3OUT)-(c_TMAP2OUT))+IF(((c_TMAP3OUT)-(c_TMAP2OUT))&gt;=0,1,-1)*QUOTIENT(((c_TMAP3IN)-(c_TMAP2IN)),2))+2147483648,4294967296)-2147483648,((c_TMAP3IN)-(c_TMAP2IN))*(((A870)-(c_TMAP2IN))*((c_TMAP3OUT)-(c_TMAP2OUT))+IF(((c_TMAP3OUT)-(c_TMAP2OUT))&gt;=0,1,-1)*QUOTIENT(((c_TMAP3IN)-(c_TMAP2IN)),2)))&gt;=0,1,0)))</f>
        <v>561</v>
      </c>
      <c r="G870" s="7" t="n">
        <f aca="false">IF(((1000)-(c_TMAP3IN))=0,(c_TMAP3OUT)+QUOTIENT(((1000)-(c_TMAP3OUT)),2),QUOTIENT((((A870)-(c_TMAP3IN))*((1000)-(c_TMAP3OUT))+IF(((1000)-(c_TMAP3OUT))&gt;=0,1,-1)*QUOTIENT(((1000)-(c_TMAP3IN)),2)),((1000)-(c_TMAP3IN)))+(c_TMAP3OUT)+IF(((1000)-(c_TMAP3OUT))&gt;=0,IF(IF(o_WRAP=1,MOD(((1000)-(c_TMAP3IN))*(((A870)-(c_TMAP3IN))*((1000)-(c_TMAP3OUT))+IF(((1000)-(c_TMAP3OUT))&gt;=0,1,-1)*QUOTIENT(((1000)-(c_TMAP3IN)),2))+2147483648,4294967296)-2147483648,((1000)-(c_TMAP3IN))*(((A870)-(c_TMAP3IN))*((1000)-(c_TMAP3OUT))+IF(((1000)-(c_TMAP3OUT))&gt;=0,1,-1)*QUOTIENT(((1000)-(c_TMAP3IN)),2)))&lt;0,-1,0),IF(IF(o_WRAP=1,MOD(((1000)-(c_TMAP3IN))*(((A870)-(c_TMAP3IN))*((1000)-(c_TMAP3OUT))+IF(((1000)-(c_TMAP3OUT))&gt;=0,1,-1)*QUOTIENT(((1000)-(c_TMAP3IN)),2))+2147483648,4294967296)-2147483648,((1000)-(c_TMAP3IN))*(((A870)-(c_TMAP3IN))*((1000)-(c_TMAP3OUT))+IF(((1000)-(c_TMAP3OUT))&gt;=0,1,-1)*QUOTIENT(((1000)-(c_TMAP3IN)),2)))&gt;=0,1,0)))</f>
        <v>834</v>
      </c>
      <c r="H870" s="7" t="str">
        <f aca="false">IF(A870&gt;=c_TFWD,IF(AND(A870&gt;=c_TMAP3IN,c_TMAP3IN&lt;1000),"Seg4 map3-100%",IF(AND(A870&gt;=c_TMAP2IN,c_TMAP3IN&gt;c_TMAP2IN),"Seg3 map2-map3",IF(AND(A870&gt;=c_TMAP1IN,c_TMAP2IN&gt;c_TMAP1IN),"Seg2 map1-map2","Seg1 TFWD-map1"))),IF(AND(A870=0,c_TCREEP&gt;0),"Creep",IF(AND(A870&lt;=c_TRNGMIN,A870&gt;=c_TRNGMAX,c_TRNGMIN-c_TRNGMAX&lt;&gt;0),"Regen ramp","Coast (0)")))</f>
        <v>Seg4 map3-100%</v>
      </c>
      <c r="I870" s="7" t="n">
        <f aca="false">IF(A870&gt;=c_TFWD,IF(AND(A870&gt;=c_TMAP3IN,c_TMAP3IN&lt;1000),G870,IF(AND(A870&gt;=c_TMAP2IN,c_TMAP3IN&gt;c_TMAP2IN),F870,IF(AND(A870&gt;=c_TMAP1IN,c_TMAP2IN&gt;c_TMAP1IN),E870,D870))),C870)</f>
        <v>834</v>
      </c>
      <c r="J870" s="7" t="str">
        <f aca="false">IF(I870&lt;-1090,"TOO LOW",IF(I870&gt;1090,"TOO HIGH",""))</f>
        <v/>
      </c>
      <c r="K870" s="15" t="n">
        <f aca="false">IF(J870&lt;&gt;"",0,IF(I870&gt;979,1000,I870))</f>
        <v>834</v>
      </c>
      <c r="L870" s="7" t="n">
        <f aca="false">K870/10</f>
        <v>83.4</v>
      </c>
    </row>
    <row r="871" customFormat="false" ht="15" hidden="false" customHeight="false" outlineLevel="0" collapsed="false">
      <c r="A871" s="7" t="n">
        <v>866</v>
      </c>
      <c r="B871" s="7" t="n">
        <f aca="false">A871/10</f>
        <v>86.6</v>
      </c>
      <c r="C871" s="7" t="n">
        <f aca="false">IF(AND(A871=0,c_TCREEP&gt;0),10*c_TCREEP,IF(AND(A871&lt;=c_TRNGMIN,A871&gt;=c_TRNGMAX,c_TRNGMIN-c_TRNGMAX&lt;&gt;0),-10*c_TMINRN+QUOTIENT((c_TMAXRN-c_TMINRN)*(100-QUOTIENT((A871-c_TRNGMAX)*100,c_TRNGMIN-c_TRNGMAX)),-10),0))</f>
        <v>0</v>
      </c>
      <c r="D871" s="7" t="n">
        <f aca="false">IF(((c_TMAP1IN)-(c_TFWD))=0,(0)+QUOTIENT(((c_TMAP1OUT)-(0)),2),QUOTIENT((((A871)-(c_TFWD))*((c_TMAP1OUT)-(0))+IF(((c_TMAP1OUT)-(0))&gt;=0,1,-1)*QUOTIENT(((c_TMAP1IN)-(c_TFWD)),2)),((c_TMAP1IN)-(c_TFWD)))+(0)+IF(((c_TMAP1OUT)-(0))&gt;=0,IF(IF(o_WRAP=1,MOD(((c_TMAP1IN)-(c_TFWD))*(((A871)-(c_TFWD))*((c_TMAP1OUT)-(0))+IF(((c_TMAP1OUT)-(0))&gt;=0,1,-1)*QUOTIENT(((c_TMAP1IN)-(c_TFWD)),2))+2147483648,4294967296)-2147483648,((c_TMAP1IN)-(c_TFWD))*(((A871)-(c_TFWD))*((c_TMAP1OUT)-(0))+IF(((c_TMAP1OUT)-(0))&gt;=0,1,-1)*QUOTIENT(((c_TMAP1IN)-(c_TFWD)),2)))&lt;0,-1,0),IF(IF(o_WRAP=1,MOD(((c_TMAP1IN)-(c_TFWD))*(((A871)-(c_TFWD))*((c_TMAP1OUT)-(0))+IF(((c_TMAP1OUT)-(0))&gt;=0,1,-1)*QUOTIENT(((c_TMAP1IN)-(c_TFWD)),2))+2147483648,4294967296)-2147483648,((c_TMAP1IN)-(c_TFWD))*(((A871)-(c_TFWD))*((c_TMAP1OUT)-(0))+IF(((c_TMAP1OUT)-(0))&gt;=0,1,-1)*QUOTIENT(((c_TMAP1IN)-(c_TFWD)),2)))&gt;=0,1,0)))</f>
        <v>666</v>
      </c>
      <c r="E871" s="7" t="n">
        <f aca="false">IF(((c_TMAP2IN)-(c_TMAP1IN))=0,(c_TMAP1OUT)+QUOTIENT(((c_TMAP2OUT)-(c_TMAP1OUT)),2),QUOTIENT((((A871)-(c_TMAP1IN))*((c_TMAP2OUT)-(c_TMAP1OUT))+IF(((c_TMAP2OUT)-(c_TMAP1OUT))&gt;=0,1,-1)*QUOTIENT(((c_TMAP2IN)-(c_TMAP1IN)),2)),((c_TMAP2IN)-(c_TMAP1IN)))+(c_TMAP1OUT)+IF(((c_TMAP2OUT)-(c_TMAP1OUT))&gt;=0,IF(IF(o_WRAP=1,MOD(((c_TMAP2IN)-(c_TMAP1IN))*(((A871)-(c_TMAP1IN))*((c_TMAP2OUT)-(c_TMAP1OUT))+IF(((c_TMAP2OUT)-(c_TMAP1OUT))&gt;=0,1,-1)*QUOTIENT(((c_TMAP2IN)-(c_TMAP1IN)),2))+2147483648,4294967296)-2147483648,((c_TMAP2IN)-(c_TMAP1IN))*(((A871)-(c_TMAP1IN))*((c_TMAP2OUT)-(c_TMAP1OUT))+IF(((c_TMAP2OUT)-(c_TMAP1OUT))&gt;=0,1,-1)*QUOTIENT(((c_TMAP2IN)-(c_TMAP1IN)),2)))&lt;0,-1,0),IF(IF(o_WRAP=1,MOD(((c_TMAP2IN)-(c_TMAP1IN))*(((A871)-(c_TMAP1IN))*((c_TMAP2OUT)-(c_TMAP1OUT))+IF(((c_TMAP2OUT)-(c_TMAP1OUT))&gt;=0,1,-1)*QUOTIENT(((c_TMAP2IN)-(c_TMAP1IN)),2))+2147483648,4294967296)-2147483648,((c_TMAP2IN)-(c_TMAP1IN))*(((A871)-(c_TMAP1IN))*((c_TMAP2OUT)-(c_TMAP1OUT))+IF(((c_TMAP2OUT)-(c_TMAP1OUT))&gt;=0,1,-1)*QUOTIENT(((c_TMAP2IN)-(c_TMAP1IN)),2)))&gt;=0,1,0)))</f>
        <v>376</v>
      </c>
      <c r="F871" s="7" t="n">
        <f aca="false">IF(((c_TMAP3IN)-(c_TMAP2IN))=0,(c_TMAP2OUT)+QUOTIENT(((c_TMAP3OUT)-(c_TMAP2OUT)),2),QUOTIENT((((A871)-(c_TMAP2IN))*((c_TMAP3OUT)-(c_TMAP2OUT))+IF(((c_TMAP3OUT)-(c_TMAP2OUT))&gt;=0,1,-1)*QUOTIENT(((c_TMAP3IN)-(c_TMAP2IN)),2)),((c_TMAP3IN)-(c_TMAP2IN)))+(c_TMAP2OUT)+IF(((c_TMAP3OUT)-(c_TMAP2OUT))&gt;=0,IF(IF(o_WRAP=1,MOD(((c_TMAP3IN)-(c_TMAP2IN))*(((A871)-(c_TMAP2IN))*((c_TMAP3OUT)-(c_TMAP2OUT))+IF(((c_TMAP3OUT)-(c_TMAP2OUT))&gt;=0,1,-1)*QUOTIENT(((c_TMAP3IN)-(c_TMAP2IN)),2))+2147483648,4294967296)-2147483648,((c_TMAP3IN)-(c_TMAP2IN))*(((A871)-(c_TMAP2IN))*((c_TMAP3OUT)-(c_TMAP2OUT))+IF(((c_TMAP3OUT)-(c_TMAP2OUT))&gt;=0,1,-1)*QUOTIENT(((c_TMAP3IN)-(c_TMAP2IN)),2)))&lt;0,-1,0),IF(IF(o_WRAP=1,MOD(((c_TMAP3IN)-(c_TMAP2IN))*(((A871)-(c_TMAP2IN))*((c_TMAP3OUT)-(c_TMAP2OUT))+IF(((c_TMAP3OUT)-(c_TMAP2OUT))&gt;=0,1,-1)*QUOTIENT(((c_TMAP3IN)-(c_TMAP2IN)),2))+2147483648,4294967296)-2147483648,((c_TMAP3IN)-(c_TMAP2IN))*(((A871)-(c_TMAP2IN))*((c_TMAP3OUT)-(c_TMAP2OUT))+IF(((c_TMAP3OUT)-(c_TMAP2OUT))&gt;=0,1,-1)*QUOTIENT(((c_TMAP3IN)-(c_TMAP2IN)),2)))&gt;=0,1,0)))</f>
        <v>561</v>
      </c>
      <c r="G871" s="7" t="n">
        <f aca="false">IF(((1000)-(c_TMAP3IN))=0,(c_TMAP3OUT)+QUOTIENT(((1000)-(c_TMAP3OUT)),2),QUOTIENT((((A871)-(c_TMAP3IN))*((1000)-(c_TMAP3OUT))+IF(((1000)-(c_TMAP3OUT))&gt;=0,1,-1)*QUOTIENT(((1000)-(c_TMAP3IN)),2)),((1000)-(c_TMAP3IN)))+(c_TMAP3OUT)+IF(((1000)-(c_TMAP3OUT))&gt;=0,IF(IF(o_WRAP=1,MOD(((1000)-(c_TMAP3IN))*(((A871)-(c_TMAP3IN))*((1000)-(c_TMAP3OUT))+IF(((1000)-(c_TMAP3OUT))&gt;=0,1,-1)*QUOTIENT(((1000)-(c_TMAP3IN)),2))+2147483648,4294967296)-2147483648,((1000)-(c_TMAP3IN))*(((A871)-(c_TMAP3IN))*((1000)-(c_TMAP3OUT))+IF(((1000)-(c_TMAP3OUT))&gt;=0,1,-1)*QUOTIENT(((1000)-(c_TMAP3IN)),2)))&lt;0,-1,0),IF(IF(o_WRAP=1,MOD(((1000)-(c_TMAP3IN))*(((A871)-(c_TMAP3IN))*((1000)-(c_TMAP3OUT))+IF(((1000)-(c_TMAP3OUT))&gt;=0,1,-1)*QUOTIENT(((1000)-(c_TMAP3IN)),2))+2147483648,4294967296)-2147483648,((1000)-(c_TMAP3IN))*(((A871)-(c_TMAP3IN))*((1000)-(c_TMAP3OUT))+IF(((1000)-(c_TMAP3OUT))&gt;=0,1,-1)*QUOTIENT(((1000)-(c_TMAP3IN)),2)))&gt;=0,1,0)))</f>
        <v>835</v>
      </c>
      <c r="H871" s="7" t="str">
        <f aca="false">IF(A871&gt;=c_TFWD,IF(AND(A871&gt;=c_TMAP3IN,c_TMAP3IN&lt;1000),"Seg4 map3-100%",IF(AND(A871&gt;=c_TMAP2IN,c_TMAP3IN&gt;c_TMAP2IN),"Seg3 map2-map3",IF(AND(A871&gt;=c_TMAP1IN,c_TMAP2IN&gt;c_TMAP1IN),"Seg2 map1-map2","Seg1 TFWD-map1"))),IF(AND(A871=0,c_TCREEP&gt;0),"Creep",IF(AND(A871&lt;=c_TRNGMIN,A871&gt;=c_TRNGMAX,c_TRNGMIN-c_TRNGMAX&lt;&gt;0),"Regen ramp","Coast (0)")))</f>
        <v>Seg4 map3-100%</v>
      </c>
      <c r="I871" s="7" t="n">
        <f aca="false">IF(A871&gt;=c_TFWD,IF(AND(A871&gt;=c_TMAP3IN,c_TMAP3IN&lt;1000),G871,IF(AND(A871&gt;=c_TMAP2IN,c_TMAP3IN&gt;c_TMAP2IN),F871,IF(AND(A871&gt;=c_TMAP1IN,c_TMAP2IN&gt;c_TMAP1IN),E871,D871))),C871)</f>
        <v>835</v>
      </c>
      <c r="J871" s="7" t="str">
        <f aca="false">IF(I871&lt;-1090,"TOO LOW",IF(I871&gt;1090,"TOO HIGH",""))</f>
        <v/>
      </c>
      <c r="K871" s="15" t="n">
        <f aca="false">IF(J871&lt;&gt;"",0,IF(I871&gt;979,1000,I871))</f>
        <v>835</v>
      </c>
      <c r="L871" s="7" t="n">
        <f aca="false">K871/10</f>
        <v>83.5</v>
      </c>
    </row>
    <row r="872" customFormat="false" ht="15" hidden="false" customHeight="false" outlineLevel="0" collapsed="false">
      <c r="A872" s="7" t="n">
        <v>867</v>
      </c>
      <c r="B872" s="7" t="n">
        <f aca="false">A872/10</f>
        <v>86.7</v>
      </c>
      <c r="C872" s="7" t="n">
        <f aca="false">IF(AND(A872=0,c_TCREEP&gt;0),10*c_TCREEP,IF(AND(A872&lt;=c_TRNGMIN,A872&gt;=c_TRNGMAX,c_TRNGMIN-c_TRNGMAX&lt;&gt;0),-10*c_TMINRN+QUOTIENT((c_TMAXRN-c_TMINRN)*(100-QUOTIENT((A872-c_TRNGMAX)*100,c_TRNGMIN-c_TRNGMAX)),-10),0))</f>
        <v>0</v>
      </c>
      <c r="D872" s="7" t="n">
        <f aca="false">IF(((c_TMAP1IN)-(c_TFWD))=0,(0)+QUOTIENT(((c_TMAP1OUT)-(0)),2),QUOTIENT((((A872)-(c_TFWD))*((c_TMAP1OUT)-(0))+IF(((c_TMAP1OUT)-(0))&gt;=0,1,-1)*QUOTIENT(((c_TMAP1IN)-(c_TFWD)),2)),((c_TMAP1IN)-(c_TFWD)))+(0)+IF(((c_TMAP1OUT)-(0))&gt;=0,IF(IF(o_WRAP=1,MOD(((c_TMAP1IN)-(c_TFWD))*(((A872)-(c_TFWD))*((c_TMAP1OUT)-(0))+IF(((c_TMAP1OUT)-(0))&gt;=0,1,-1)*QUOTIENT(((c_TMAP1IN)-(c_TFWD)),2))+2147483648,4294967296)-2147483648,((c_TMAP1IN)-(c_TFWD))*(((A872)-(c_TFWD))*((c_TMAP1OUT)-(0))+IF(((c_TMAP1OUT)-(0))&gt;=0,1,-1)*QUOTIENT(((c_TMAP1IN)-(c_TFWD)),2)))&lt;0,-1,0),IF(IF(o_WRAP=1,MOD(((c_TMAP1IN)-(c_TFWD))*(((A872)-(c_TFWD))*((c_TMAP1OUT)-(0))+IF(((c_TMAP1OUT)-(0))&gt;=0,1,-1)*QUOTIENT(((c_TMAP1IN)-(c_TFWD)),2))+2147483648,4294967296)-2147483648,((c_TMAP1IN)-(c_TFWD))*(((A872)-(c_TFWD))*((c_TMAP1OUT)-(0))+IF(((c_TMAP1OUT)-(0))&gt;=0,1,-1)*QUOTIENT(((c_TMAP1IN)-(c_TFWD)),2)))&gt;=0,1,0)))</f>
        <v>667</v>
      </c>
      <c r="E872" s="7" t="n">
        <f aca="false">IF(((c_TMAP2IN)-(c_TMAP1IN))=0,(c_TMAP1OUT)+QUOTIENT(((c_TMAP2OUT)-(c_TMAP1OUT)),2),QUOTIENT((((A872)-(c_TMAP1IN))*((c_TMAP2OUT)-(c_TMAP1OUT))+IF(((c_TMAP2OUT)-(c_TMAP1OUT))&gt;=0,1,-1)*QUOTIENT(((c_TMAP2IN)-(c_TMAP1IN)),2)),((c_TMAP2IN)-(c_TMAP1IN)))+(c_TMAP1OUT)+IF(((c_TMAP2OUT)-(c_TMAP1OUT))&gt;=0,IF(IF(o_WRAP=1,MOD(((c_TMAP2IN)-(c_TMAP1IN))*(((A872)-(c_TMAP1IN))*((c_TMAP2OUT)-(c_TMAP1OUT))+IF(((c_TMAP2OUT)-(c_TMAP1OUT))&gt;=0,1,-1)*QUOTIENT(((c_TMAP2IN)-(c_TMAP1IN)),2))+2147483648,4294967296)-2147483648,((c_TMAP2IN)-(c_TMAP1IN))*(((A872)-(c_TMAP1IN))*((c_TMAP2OUT)-(c_TMAP1OUT))+IF(((c_TMAP2OUT)-(c_TMAP1OUT))&gt;=0,1,-1)*QUOTIENT(((c_TMAP2IN)-(c_TMAP1IN)),2)))&lt;0,-1,0),IF(IF(o_WRAP=1,MOD(((c_TMAP2IN)-(c_TMAP1IN))*(((A872)-(c_TMAP1IN))*((c_TMAP2OUT)-(c_TMAP1OUT))+IF(((c_TMAP2OUT)-(c_TMAP1OUT))&gt;=0,1,-1)*QUOTIENT(((c_TMAP2IN)-(c_TMAP1IN)),2))+2147483648,4294967296)-2147483648,((c_TMAP2IN)-(c_TMAP1IN))*(((A872)-(c_TMAP1IN))*((c_TMAP2OUT)-(c_TMAP1OUT))+IF(((c_TMAP2OUT)-(c_TMAP1OUT))&gt;=0,1,-1)*QUOTIENT(((c_TMAP2IN)-(c_TMAP1IN)),2)))&gt;=0,1,0)))</f>
        <v>377</v>
      </c>
      <c r="F872" s="7" t="n">
        <f aca="false">IF(((c_TMAP3IN)-(c_TMAP2IN))=0,(c_TMAP2OUT)+QUOTIENT(((c_TMAP3OUT)-(c_TMAP2OUT)),2),QUOTIENT((((A872)-(c_TMAP2IN))*((c_TMAP3OUT)-(c_TMAP2OUT))+IF(((c_TMAP3OUT)-(c_TMAP2OUT))&gt;=0,1,-1)*QUOTIENT(((c_TMAP3IN)-(c_TMAP2IN)),2)),((c_TMAP3IN)-(c_TMAP2IN)))+(c_TMAP2OUT)+IF(((c_TMAP3OUT)-(c_TMAP2OUT))&gt;=0,IF(IF(o_WRAP=1,MOD(((c_TMAP3IN)-(c_TMAP2IN))*(((A872)-(c_TMAP2IN))*((c_TMAP3OUT)-(c_TMAP2OUT))+IF(((c_TMAP3OUT)-(c_TMAP2OUT))&gt;=0,1,-1)*QUOTIENT(((c_TMAP3IN)-(c_TMAP2IN)),2))+2147483648,4294967296)-2147483648,((c_TMAP3IN)-(c_TMAP2IN))*(((A872)-(c_TMAP2IN))*((c_TMAP3OUT)-(c_TMAP2OUT))+IF(((c_TMAP3OUT)-(c_TMAP2OUT))&gt;=0,1,-1)*QUOTIENT(((c_TMAP3IN)-(c_TMAP2IN)),2)))&lt;0,-1,0),IF(IF(o_WRAP=1,MOD(((c_TMAP3IN)-(c_TMAP2IN))*(((A872)-(c_TMAP2IN))*((c_TMAP3OUT)-(c_TMAP2OUT))+IF(((c_TMAP3OUT)-(c_TMAP2OUT))&gt;=0,1,-1)*QUOTIENT(((c_TMAP3IN)-(c_TMAP2IN)),2))+2147483648,4294967296)-2147483648,((c_TMAP3IN)-(c_TMAP2IN))*(((A872)-(c_TMAP2IN))*((c_TMAP3OUT)-(c_TMAP2OUT))+IF(((c_TMAP3OUT)-(c_TMAP2OUT))&gt;=0,1,-1)*QUOTIENT(((c_TMAP3IN)-(c_TMAP2IN)),2)))&gt;=0,1,0)))</f>
        <v>562</v>
      </c>
      <c r="G872" s="7" t="n">
        <f aca="false">IF(((1000)-(c_TMAP3IN))=0,(c_TMAP3OUT)+QUOTIENT(((1000)-(c_TMAP3OUT)),2),QUOTIENT((((A872)-(c_TMAP3IN))*((1000)-(c_TMAP3OUT))+IF(((1000)-(c_TMAP3OUT))&gt;=0,1,-1)*QUOTIENT(((1000)-(c_TMAP3IN)),2)),((1000)-(c_TMAP3IN)))+(c_TMAP3OUT)+IF(((1000)-(c_TMAP3OUT))&gt;=0,IF(IF(o_WRAP=1,MOD(((1000)-(c_TMAP3IN))*(((A872)-(c_TMAP3IN))*((1000)-(c_TMAP3OUT))+IF(((1000)-(c_TMAP3OUT))&gt;=0,1,-1)*QUOTIENT(((1000)-(c_TMAP3IN)),2))+2147483648,4294967296)-2147483648,((1000)-(c_TMAP3IN))*(((A872)-(c_TMAP3IN))*((1000)-(c_TMAP3OUT))+IF(((1000)-(c_TMAP3OUT))&gt;=0,1,-1)*QUOTIENT(((1000)-(c_TMAP3IN)),2)))&lt;0,-1,0),IF(IF(o_WRAP=1,MOD(((1000)-(c_TMAP3IN))*(((A872)-(c_TMAP3IN))*((1000)-(c_TMAP3OUT))+IF(((1000)-(c_TMAP3OUT))&gt;=0,1,-1)*QUOTIENT(((1000)-(c_TMAP3IN)),2))+2147483648,4294967296)-2147483648,((1000)-(c_TMAP3IN))*(((A872)-(c_TMAP3IN))*((1000)-(c_TMAP3OUT))+IF(((1000)-(c_TMAP3OUT))&gt;=0,1,-1)*QUOTIENT(((1000)-(c_TMAP3IN)),2)))&gt;=0,1,0)))</f>
        <v>836</v>
      </c>
      <c r="H872" s="7" t="str">
        <f aca="false">IF(A872&gt;=c_TFWD,IF(AND(A872&gt;=c_TMAP3IN,c_TMAP3IN&lt;1000),"Seg4 map3-100%",IF(AND(A872&gt;=c_TMAP2IN,c_TMAP3IN&gt;c_TMAP2IN),"Seg3 map2-map3",IF(AND(A872&gt;=c_TMAP1IN,c_TMAP2IN&gt;c_TMAP1IN),"Seg2 map1-map2","Seg1 TFWD-map1"))),IF(AND(A872=0,c_TCREEP&gt;0),"Creep",IF(AND(A872&lt;=c_TRNGMIN,A872&gt;=c_TRNGMAX,c_TRNGMIN-c_TRNGMAX&lt;&gt;0),"Regen ramp","Coast (0)")))</f>
        <v>Seg4 map3-100%</v>
      </c>
      <c r="I872" s="7" t="n">
        <f aca="false">IF(A872&gt;=c_TFWD,IF(AND(A872&gt;=c_TMAP3IN,c_TMAP3IN&lt;1000),G872,IF(AND(A872&gt;=c_TMAP2IN,c_TMAP3IN&gt;c_TMAP2IN),F872,IF(AND(A872&gt;=c_TMAP1IN,c_TMAP2IN&gt;c_TMAP1IN),E872,D872))),C872)</f>
        <v>836</v>
      </c>
      <c r="J872" s="7" t="str">
        <f aca="false">IF(I872&lt;-1090,"TOO LOW",IF(I872&gt;1090,"TOO HIGH",""))</f>
        <v/>
      </c>
      <c r="K872" s="15" t="n">
        <f aca="false">IF(J872&lt;&gt;"",0,IF(I872&gt;979,1000,I872))</f>
        <v>836</v>
      </c>
      <c r="L872" s="7" t="n">
        <f aca="false">K872/10</f>
        <v>83.6</v>
      </c>
    </row>
    <row r="873" customFormat="false" ht="15" hidden="false" customHeight="false" outlineLevel="0" collapsed="false">
      <c r="A873" s="7" t="n">
        <v>868</v>
      </c>
      <c r="B873" s="7" t="n">
        <f aca="false">A873/10</f>
        <v>86.8</v>
      </c>
      <c r="C873" s="7" t="n">
        <f aca="false">IF(AND(A873=0,c_TCREEP&gt;0),10*c_TCREEP,IF(AND(A873&lt;=c_TRNGMIN,A873&gt;=c_TRNGMAX,c_TRNGMIN-c_TRNGMAX&lt;&gt;0),-10*c_TMINRN+QUOTIENT((c_TMAXRN-c_TMINRN)*(100-QUOTIENT((A873-c_TRNGMAX)*100,c_TRNGMIN-c_TRNGMAX)),-10),0))</f>
        <v>0</v>
      </c>
      <c r="D873" s="7" t="n">
        <f aca="false">IF(((c_TMAP1IN)-(c_TFWD))=0,(0)+QUOTIENT(((c_TMAP1OUT)-(0)),2),QUOTIENT((((A873)-(c_TFWD))*((c_TMAP1OUT)-(0))+IF(((c_TMAP1OUT)-(0))&gt;=0,1,-1)*QUOTIENT(((c_TMAP1IN)-(c_TFWD)),2)),((c_TMAP1IN)-(c_TFWD)))+(0)+IF(((c_TMAP1OUT)-(0))&gt;=0,IF(IF(o_WRAP=1,MOD(((c_TMAP1IN)-(c_TFWD))*(((A873)-(c_TFWD))*((c_TMAP1OUT)-(0))+IF(((c_TMAP1OUT)-(0))&gt;=0,1,-1)*QUOTIENT(((c_TMAP1IN)-(c_TFWD)),2))+2147483648,4294967296)-2147483648,((c_TMAP1IN)-(c_TFWD))*(((A873)-(c_TFWD))*((c_TMAP1OUT)-(0))+IF(((c_TMAP1OUT)-(0))&gt;=0,1,-1)*QUOTIENT(((c_TMAP1IN)-(c_TFWD)),2)))&lt;0,-1,0),IF(IF(o_WRAP=1,MOD(((c_TMAP1IN)-(c_TFWD))*(((A873)-(c_TFWD))*((c_TMAP1OUT)-(0))+IF(((c_TMAP1OUT)-(0))&gt;=0,1,-1)*QUOTIENT(((c_TMAP1IN)-(c_TFWD)),2))+2147483648,4294967296)-2147483648,((c_TMAP1IN)-(c_TFWD))*(((A873)-(c_TFWD))*((c_TMAP1OUT)-(0))+IF(((c_TMAP1OUT)-(0))&gt;=0,1,-1)*QUOTIENT(((c_TMAP1IN)-(c_TFWD)),2)))&gt;=0,1,0)))</f>
        <v>667</v>
      </c>
      <c r="E873" s="7" t="n">
        <f aca="false">IF(((c_TMAP2IN)-(c_TMAP1IN))=0,(c_TMAP1OUT)+QUOTIENT(((c_TMAP2OUT)-(c_TMAP1OUT)),2),QUOTIENT((((A873)-(c_TMAP1IN))*((c_TMAP2OUT)-(c_TMAP1OUT))+IF(((c_TMAP2OUT)-(c_TMAP1OUT))&gt;=0,1,-1)*QUOTIENT(((c_TMAP2IN)-(c_TMAP1IN)),2)),((c_TMAP2IN)-(c_TMAP1IN)))+(c_TMAP1OUT)+IF(((c_TMAP2OUT)-(c_TMAP1OUT))&gt;=0,IF(IF(o_WRAP=1,MOD(((c_TMAP2IN)-(c_TMAP1IN))*(((A873)-(c_TMAP1IN))*((c_TMAP2OUT)-(c_TMAP1OUT))+IF(((c_TMAP2OUT)-(c_TMAP1OUT))&gt;=0,1,-1)*QUOTIENT(((c_TMAP2IN)-(c_TMAP1IN)),2))+2147483648,4294967296)-2147483648,((c_TMAP2IN)-(c_TMAP1IN))*(((A873)-(c_TMAP1IN))*((c_TMAP2OUT)-(c_TMAP1OUT))+IF(((c_TMAP2OUT)-(c_TMAP1OUT))&gt;=0,1,-1)*QUOTIENT(((c_TMAP2IN)-(c_TMAP1IN)),2)))&lt;0,-1,0),IF(IF(o_WRAP=1,MOD(((c_TMAP2IN)-(c_TMAP1IN))*(((A873)-(c_TMAP1IN))*((c_TMAP2OUT)-(c_TMAP1OUT))+IF(((c_TMAP2OUT)-(c_TMAP1OUT))&gt;=0,1,-1)*QUOTIENT(((c_TMAP2IN)-(c_TMAP1IN)),2))+2147483648,4294967296)-2147483648,((c_TMAP2IN)-(c_TMAP1IN))*(((A873)-(c_TMAP1IN))*((c_TMAP2OUT)-(c_TMAP1OUT))+IF(((c_TMAP2OUT)-(c_TMAP1OUT))&gt;=0,1,-1)*QUOTIENT(((c_TMAP2IN)-(c_TMAP1IN)),2)))&gt;=0,1,0)))</f>
        <v>377</v>
      </c>
      <c r="F873" s="7" t="n">
        <f aca="false">IF(((c_TMAP3IN)-(c_TMAP2IN))=0,(c_TMAP2OUT)+QUOTIENT(((c_TMAP3OUT)-(c_TMAP2OUT)),2),QUOTIENT((((A873)-(c_TMAP2IN))*((c_TMAP3OUT)-(c_TMAP2OUT))+IF(((c_TMAP3OUT)-(c_TMAP2OUT))&gt;=0,1,-1)*QUOTIENT(((c_TMAP3IN)-(c_TMAP2IN)),2)),((c_TMAP3IN)-(c_TMAP2IN)))+(c_TMAP2OUT)+IF(((c_TMAP3OUT)-(c_TMAP2OUT))&gt;=0,IF(IF(o_WRAP=1,MOD(((c_TMAP3IN)-(c_TMAP2IN))*(((A873)-(c_TMAP2IN))*((c_TMAP3OUT)-(c_TMAP2OUT))+IF(((c_TMAP3OUT)-(c_TMAP2OUT))&gt;=0,1,-1)*QUOTIENT(((c_TMAP3IN)-(c_TMAP2IN)),2))+2147483648,4294967296)-2147483648,((c_TMAP3IN)-(c_TMAP2IN))*(((A873)-(c_TMAP2IN))*((c_TMAP3OUT)-(c_TMAP2OUT))+IF(((c_TMAP3OUT)-(c_TMAP2OUT))&gt;=0,1,-1)*QUOTIENT(((c_TMAP3IN)-(c_TMAP2IN)),2)))&lt;0,-1,0),IF(IF(o_WRAP=1,MOD(((c_TMAP3IN)-(c_TMAP2IN))*(((A873)-(c_TMAP2IN))*((c_TMAP3OUT)-(c_TMAP2OUT))+IF(((c_TMAP3OUT)-(c_TMAP2OUT))&gt;=0,1,-1)*QUOTIENT(((c_TMAP3IN)-(c_TMAP2IN)),2))+2147483648,4294967296)-2147483648,((c_TMAP3IN)-(c_TMAP2IN))*(((A873)-(c_TMAP2IN))*((c_TMAP3OUT)-(c_TMAP2OUT))+IF(((c_TMAP3OUT)-(c_TMAP2OUT))&gt;=0,1,-1)*QUOTIENT(((c_TMAP3IN)-(c_TMAP2IN)),2)))&gt;=0,1,0)))</f>
        <v>563</v>
      </c>
      <c r="G873" s="7" t="n">
        <f aca="false">IF(((1000)-(c_TMAP3IN))=0,(c_TMAP3OUT)+QUOTIENT(((1000)-(c_TMAP3OUT)),2),QUOTIENT((((A873)-(c_TMAP3IN))*((1000)-(c_TMAP3OUT))+IF(((1000)-(c_TMAP3OUT))&gt;=0,1,-1)*QUOTIENT(((1000)-(c_TMAP3IN)),2)),((1000)-(c_TMAP3IN)))+(c_TMAP3OUT)+IF(((1000)-(c_TMAP3OUT))&gt;=0,IF(IF(o_WRAP=1,MOD(((1000)-(c_TMAP3IN))*(((A873)-(c_TMAP3IN))*((1000)-(c_TMAP3OUT))+IF(((1000)-(c_TMAP3OUT))&gt;=0,1,-1)*QUOTIENT(((1000)-(c_TMAP3IN)),2))+2147483648,4294967296)-2147483648,((1000)-(c_TMAP3IN))*(((A873)-(c_TMAP3IN))*((1000)-(c_TMAP3OUT))+IF(((1000)-(c_TMAP3OUT))&gt;=0,1,-1)*QUOTIENT(((1000)-(c_TMAP3IN)),2)))&lt;0,-1,0),IF(IF(o_WRAP=1,MOD(((1000)-(c_TMAP3IN))*(((A873)-(c_TMAP3IN))*((1000)-(c_TMAP3OUT))+IF(((1000)-(c_TMAP3OUT))&gt;=0,1,-1)*QUOTIENT(((1000)-(c_TMAP3IN)),2))+2147483648,4294967296)-2147483648,((1000)-(c_TMAP3IN))*(((A873)-(c_TMAP3IN))*((1000)-(c_TMAP3OUT))+IF(((1000)-(c_TMAP3OUT))&gt;=0,1,-1)*QUOTIENT(((1000)-(c_TMAP3IN)),2)))&gt;=0,1,0)))</f>
        <v>838</v>
      </c>
      <c r="H873" s="7" t="str">
        <f aca="false">IF(A873&gt;=c_TFWD,IF(AND(A873&gt;=c_TMAP3IN,c_TMAP3IN&lt;1000),"Seg4 map3-100%",IF(AND(A873&gt;=c_TMAP2IN,c_TMAP3IN&gt;c_TMAP2IN),"Seg3 map2-map3",IF(AND(A873&gt;=c_TMAP1IN,c_TMAP2IN&gt;c_TMAP1IN),"Seg2 map1-map2","Seg1 TFWD-map1"))),IF(AND(A873=0,c_TCREEP&gt;0),"Creep",IF(AND(A873&lt;=c_TRNGMIN,A873&gt;=c_TRNGMAX,c_TRNGMIN-c_TRNGMAX&lt;&gt;0),"Regen ramp","Coast (0)")))</f>
        <v>Seg4 map3-100%</v>
      </c>
      <c r="I873" s="7" t="n">
        <f aca="false">IF(A873&gt;=c_TFWD,IF(AND(A873&gt;=c_TMAP3IN,c_TMAP3IN&lt;1000),G873,IF(AND(A873&gt;=c_TMAP2IN,c_TMAP3IN&gt;c_TMAP2IN),F873,IF(AND(A873&gt;=c_TMAP1IN,c_TMAP2IN&gt;c_TMAP1IN),E873,D873))),C873)</f>
        <v>838</v>
      </c>
      <c r="J873" s="7" t="str">
        <f aca="false">IF(I873&lt;-1090,"TOO LOW",IF(I873&gt;1090,"TOO HIGH",""))</f>
        <v/>
      </c>
      <c r="K873" s="15" t="n">
        <f aca="false">IF(J873&lt;&gt;"",0,IF(I873&gt;979,1000,I873))</f>
        <v>838</v>
      </c>
      <c r="L873" s="7" t="n">
        <f aca="false">K873/10</f>
        <v>83.8</v>
      </c>
    </row>
    <row r="874" customFormat="false" ht="15" hidden="false" customHeight="false" outlineLevel="0" collapsed="false">
      <c r="A874" s="7" t="n">
        <v>869</v>
      </c>
      <c r="B874" s="7" t="n">
        <f aca="false">A874/10</f>
        <v>86.9</v>
      </c>
      <c r="C874" s="7" t="n">
        <f aca="false">IF(AND(A874=0,c_TCREEP&gt;0),10*c_TCREEP,IF(AND(A874&lt;=c_TRNGMIN,A874&gt;=c_TRNGMAX,c_TRNGMIN-c_TRNGMAX&lt;&gt;0),-10*c_TMINRN+QUOTIENT((c_TMAXRN-c_TMINRN)*(100-QUOTIENT((A874-c_TRNGMAX)*100,c_TRNGMIN-c_TRNGMAX)),-10),0))</f>
        <v>0</v>
      </c>
      <c r="D874" s="7" t="n">
        <f aca="false">IF(((c_TMAP1IN)-(c_TFWD))=0,(0)+QUOTIENT(((c_TMAP1OUT)-(0)),2),QUOTIENT((((A874)-(c_TFWD))*((c_TMAP1OUT)-(0))+IF(((c_TMAP1OUT)-(0))&gt;=0,1,-1)*QUOTIENT(((c_TMAP1IN)-(c_TFWD)),2)),((c_TMAP1IN)-(c_TFWD)))+(0)+IF(((c_TMAP1OUT)-(0))&gt;=0,IF(IF(o_WRAP=1,MOD(((c_TMAP1IN)-(c_TFWD))*(((A874)-(c_TFWD))*((c_TMAP1OUT)-(0))+IF(((c_TMAP1OUT)-(0))&gt;=0,1,-1)*QUOTIENT(((c_TMAP1IN)-(c_TFWD)),2))+2147483648,4294967296)-2147483648,((c_TMAP1IN)-(c_TFWD))*(((A874)-(c_TFWD))*((c_TMAP1OUT)-(0))+IF(((c_TMAP1OUT)-(0))&gt;=0,1,-1)*QUOTIENT(((c_TMAP1IN)-(c_TFWD)),2)))&lt;0,-1,0),IF(IF(o_WRAP=1,MOD(((c_TMAP1IN)-(c_TFWD))*(((A874)-(c_TFWD))*((c_TMAP1OUT)-(0))+IF(((c_TMAP1OUT)-(0))&gt;=0,1,-1)*QUOTIENT(((c_TMAP1IN)-(c_TFWD)),2))+2147483648,4294967296)-2147483648,((c_TMAP1IN)-(c_TFWD))*(((A874)-(c_TFWD))*((c_TMAP1OUT)-(0))+IF(((c_TMAP1OUT)-(0))&gt;=0,1,-1)*QUOTIENT(((c_TMAP1IN)-(c_TFWD)),2)))&gt;=0,1,0)))</f>
        <v>668</v>
      </c>
      <c r="E874" s="7" t="n">
        <f aca="false">IF(((c_TMAP2IN)-(c_TMAP1IN))=0,(c_TMAP1OUT)+QUOTIENT(((c_TMAP2OUT)-(c_TMAP1OUT)),2),QUOTIENT((((A874)-(c_TMAP1IN))*((c_TMAP2OUT)-(c_TMAP1OUT))+IF(((c_TMAP2OUT)-(c_TMAP1OUT))&gt;=0,1,-1)*QUOTIENT(((c_TMAP2IN)-(c_TMAP1IN)),2)),((c_TMAP2IN)-(c_TMAP1IN)))+(c_TMAP1OUT)+IF(((c_TMAP2OUT)-(c_TMAP1OUT))&gt;=0,IF(IF(o_WRAP=1,MOD(((c_TMAP2IN)-(c_TMAP1IN))*(((A874)-(c_TMAP1IN))*((c_TMAP2OUT)-(c_TMAP1OUT))+IF(((c_TMAP2OUT)-(c_TMAP1OUT))&gt;=0,1,-1)*QUOTIENT(((c_TMAP2IN)-(c_TMAP1IN)),2))+2147483648,4294967296)-2147483648,((c_TMAP2IN)-(c_TMAP1IN))*(((A874)-(c_TMAP1IN))*((c_TMAP2OUT)-(c_TMAP1OUT))+IF(((c_TMAP2OUT)-(c_TMAP1OUT))&gt;=0,1,-1)*QUOTIENT(((c_TMAP2IN)-(c_TMAP1IN)),2)))&lt;0,-1,0),IF(IF(o_WRAP=1,MOD(((c_TMAP2IN)-(c_TMAP1IN))*(((A874)-(c_TMAP1IN))*((c_TMAP2OUT)-(c_TMAP1OUT))+IF(((c_TMAP2OUT)-(c_TMAP1OUT))&gt;=0,1,-1)*QUOTIENT(((c_TMAP2IN)-(c_TMAP1IN)),2))+2147483648,4294967296)-2147483648,((c_TMAP2IN)-(c_TMAP1IN))*(((A874)-(c_TMAP1IN))*((c_TMAP2OUT)-(c_TMAP1OUT))+IF(((c_TMAP2OUT)-(c_TMAP1OUT))&gt;=0,1,-1)*QUOTIENT(((c_TMAP2IN)-(c_TMAP1IN)),2)))&gt;=0,1,0)))</f>
        <v>378</v>
      </c>
      <c r="F874" s="7" t="n">
        <f aca="false">IF(((c_TMAP3IN)-(c_TMAP2IN))=0,(c_TMAP2OUT)+QUOTIENT(((c_TMAP3OUT)-(c_TMAP2OUT)),2),QUOTIENT((((A874)-(c_TMAP2IN))*((c_TMAP3OUT)-(c_TMAP2OUT))+IF(((c_TMAP3OUT)-(c_TMAP2OUT))&gt;=0,1,-1)*QUOTIENT(((c_TMAP3IN)-(c_TMAP2IN)),2)),((c_TMAP3IN)-(c_TMAP2IN)))+(c_TMAP2OUT)+IF(((c_TMAP3OUT)-(c_TMAP2OUT))&gt;=0,IF(IF(o_WRAP=1,MOD(((c_TMAP3IN)-(c_TMAP2IN))*(((A874)-(c_TMAP2IN))*((c_TMAP3OUT)-(c_TMAP2OUT))+IF(((c_TMAP3OUT)-(c_TMAP2OUT))&gt;=0,1,-1)*QUOTIENT(((c_TMAP3IN)-(c_TMAP2IN)),2))+2147483648,4294967296)-2147483648,((c_TMAP3IN)-(c_TMAP2IN))*(((A874)-(c_TMAP2IN))*((c_TMAP3OUT)-(c_TMAP2OUT))+IF(((c_TMAP3OUT)-(c_TMAP2OUT))&gt;=0,1,-1)*QUOTIENT(((c_TMAP3IN)-(c_TMAP2IN)),2)))&lt;0,-1,0),IF(IF(o_WRAP=1,MOD(((c_TMAP3IN)-(c_TMAP2IN))*(((A874)-(c_TMAP2IN))*((c_TMAP3OUT)-(c_TMAP2OUT))+IF(((c_TMAP3OUT)-(c_TMAP2OUT))&gt;=0,1,-1)*QUOTIENT(((c_TMAP3IN)-(c_TMAP2IN)),2))+2147483648,4294967296)-2147483648,((c_TMAP3IN)-(c_TMAP2IN))*(((A874)-(c_TMAP2IN))*((c_TMAP3OUT)-(c_TMAP2OUT))+IF(((c_TMAP3OUT)-(c_TMAP2OUT))&gt;=0,1,-1)*QUOTIENT(((c_TMAP3IN)-(c_TMAP2IN)),2)))&gt;=0,1,0)))</f>
        <v>563</v>
      </c>
      <c r="G874" s="7" t="n">
        <f aca="false">IF(((1000)-(c_TMAP3IN))=0,(c_TMAP3OUT)+QUOTIENT(((1000)-(c_TMAP3OUT)),2),QUOTIENT((((A874)-(c_TMAP3IN))*((1000)-(c_TMAP3OUT))+IF(((1000)-(c_TMAP3OUT))&gt;=0,1,-1)*QUOTIENT(((1000)-(c_TMAP3IN)),2)),((1000)-(c_TMAP3IN)))+(c_TMAP3OUT)+IF(((1000)-(c_TMAP3OUT))&gt;=0,IF(IF(o_WRAP=1,MOD(((1000)-(c_TMAP3IN))*(((A874)-(c_TMAP3IN))*((1000)-(c_TMAP3OUT))+IF(((1000)-(c_TMAP3OUT))&gt;=0,1,-1)*QUOTIENT(((1000)-(c_TMAP3IN)),2))+2147483648,4294967296)-2147483648,((1000)-(c_TMAP3IN))*(((A874)-(c_TMAP3IN))*((1000)-(c_TMAP3OUT))+IF(((1000)-(c_TMAP3OUT))&gt;=0,1,-1)*QUOTIENT(((1000)-(c_TMAP3IN)),2)))&lt;0,-1,0),IF(IF(o_WRAP=1,MOD(((1000)-(c_TMAP3IN))*(((A874)-(c_TMAP3IN))*((1000)-(c_TMAP3OUT))+IF(((1000)-(c_TMAP3OUT))&gt;=0,1,-1)*QUOTIENT(((1000)-(c_TMAP3IN)),2))+2147483648,4294967296)-2147483648,((1000)-(c_TMAP3IN))*(((A874)-(c_TMAP3IN))*((1000)-(c_TMAP3OUT))+IF(((1000)-(c_TMAP3OUT))&gt;=0,1,-1)*QUOTIENT(((1000)-(c_TMAP3IN)),2)))&gt;=0,1,0)))</f>
        <v>839</v>
      </c>
      <c r="H874" s="7" t="str">
        <f aca="false">IF(A874&gt;=c_TFWD,IF(AND(A874&gt;=c_TMAP3IN,c_TMAP3IN&lt;1000),"Seg4 map3-100%",IF(AND(A874&gt;=c_TMAP2IN,c_TMAP3IN&gt;c_TMAP2IN),"Seg3 map2-map3",IF(AND(A874&gt;=c_TMAP1IN,c_TMAP2IN&gt;c_TMAP1IN),"Seg2 map1-map2","Seg1 TFWD-map1"))),IF(AND(A874=0,c_TCREEP&gt;0),"Creep",IF(AND(A874&lt;=c_TRNGMIN,A874&gt;=c_TRNGMAX,c_TRNGMIN-c_TRNGMAX&lt;&gt;0),"Regen ramp","Coast (0)")))</f>
        <v>Seg4 map3-100%</v>
      </c>
      <c r="I874" s="7" t="n">
        <f aca="false">IF(A874&gt;=c_TFWD,IF(AND(A874&gt;=c_TMAP3IN,c_TMAP3IN&lt;1000),G874,IF(AND(A874&gt;=c_TMAP2IN,c_TMAP3IN&gt;c_TMAP2IN),F874,IF(AND(A874&gt;=c_TMAP1IN,c_TMAP2IN&gt;c_TMAP1IN),E874,D874))),C874)</f>
        <v>839</v>
      </c>
      <c r="J874" s="7" t="str">
        <f aca="false">IF(I874&lt;-1090,"TOO LOW",IF(I874&gt;1090,"TOO HIGH",""))</f>
        <v/>
      </c>
      <c r="K874" s="15" t="n">
        <f aca="false">IF(J874&lt;&gt;"",0,IF(I874&gt;979,1000,I874))</f>
        <v>839</v>
      </c>
      <c r="L874" s="7" t="n">
        <f aca="false">K874/10</f>
        <v>83.9</v>
      </c>
    </row>
    <row r="875" customFormat="false" ht="15" hidden="false" customHeight="false" outlineLevel="0" collapsed="false">
      <c r="A875" s="7" t="n">
        <v>870</v>
      </c>
      <c r="B875" s="7" t="n">
        <f aca="false">A875/10</f>
        <v>87</v>
      </c>
      <c r="C875" s="7" t="n">
        <f aca="false">IF(AND(A875=0,c_TCREEP&gt;0),10*c_TCREEP,IF(AND(A875&lt;=c_TRNGMIN,A875&gt;=c_TRNGMAX,c_TRNGMIN-c_TRNGMAX&lt;&gt;0),-10*c_TMINRN+QUOTIENT((c_TMAXRN-c_TMINRN)*(100-QUOTIENT((A875-c_TRNGMAX)*100,c_TRNGMIN-c_TRNGMAX)),-10),0))</f>
        <v>0</v>
      </c>
      <c r="D875" s="7" t="n">
        <f aca="false">IF(((c_TMAP1IN)-(c_TFWD))=0,(0)+QUOTIENT(((c_TMAP1OUT)-(0)),2),QUOTIENT((((A875)-(c_TFWD))*((c_TMAP1OUT)-(0))+IF(((c_TMAP1OUT)-(0))&gt;=0,1,-1)*QUOTIENT(((c_TMAP1IN)-(c_TFWD)),2)),((c_TMAP1IN)-(c_TFWD)))+(0)+IF(((c_TMAP1OUT)-(0))&gt;=0,IF(IF(o_WRAP=1,MOD(((c_TMAP1IN)-(c_TFWD))*(((A875)-(c_TFWD))*((c_TMAP1OUT)-(0))+IF(((c_TMAP1OUT)-(0))&gt;=0,1,-1)*QUOTIENT(((c_TMAP1IN)-(c_TFWD)),2))+2147483648,4294967296)-2147483648,((c_TMAP1IN)-(c_TFWD))*(((A875)-(c_TFWD))*((c_TMAP1OUT)-(0))+IF(((c_TMAP1OUT)-(0))&gt;=0,1,-1)*QUOTIENT(((c_TMAP1IN)-(c_TFWD)),2)))&lt;0,-1,0),IF(IF(o_WRAP=1,MOD(((c_TMAP1IN)-(c_TFWD))*(((A875)-(c_TFWD))*((c_TMAP1OUT)-(0))+IF(((c_TMAP1OUT)-(0))&gt;=0,1,-1)*QUOTIENT(((c_TMAP1IN)-(c_TFWD)),2))+2147483648,4294967296)-2147483648,((c_TMAP1IN)-(c_TFWD))*(((A875)-(c_TFWD))*((c_TMAP1OUT)-(0))+IF(((c_TMAP1OUT)-(0))&gt;=0,1,-1)*QUOTIENT(((c_TMAP1IN)-(c_TFWD)),2)))&gt;=0,1,0)))</f>
        <v>669</v>
      </c>
      <c r="E875" s="7" t="n">
        <f aca="false">IF(((c_TMAP2IN)-(c_TMAP1IN))=0,(c_TMAP1OUT)+QUOTIENT(((c_TMAP2OUT)-(c_TMAP1OUT)),2),QUOTIENT((((A875)-(c_TMAP1IN))*((c_TMAP2OUT)-(c_TMAP1OUT))+IF(((c_TMAP2OUT)-(c_TMAP1OUT))&gt;=0,1,-1)*QUOTIENT(((c_TMAP2IN)-(c_TMAP1IN)),2)),((c_TMAP2IN)-(c_TMAP1IN)))+(c_TMAP1OUT)+IF(((c_TMAP2OUT)-(c_TMAP1OUT))&gt;=0,IF(IF(o_WRAP=1,MOD(((c_TMAP2IN)-(c_TMAP1IN))*(((A875)-(c_TMAP1IN))*((c_TMAP2OUT)-(c_TMAP1OUT))+IF(((c_TMAP2OUT)-(c_TMAP1OUT))&gt;=0,1,-1)*QUOTIENT(((c_TMAP2IN)-(c_TMAP1IN)),2))+2147483648,4294967296)-2147483648,((c_TMAP2IN)-(c_TMAP1IN))*(((A875)-(c_TMAP1IN))*((c_TMAP2OUT)-(c_TMAP1OUT))+IF(((c_TMAP2OUT)-(c_TMAP1OUT))&gt;=0,1,-1)*QUOTIENT(((c_TMAP2IN)-(c_TMAP1IN)),2)))&lt;0,-1,0),IF(IF(o_WRAP=1,MOD(((c_TMAP2IN)-(c_TMAP1IN))*(((A875)-(c_TMAP1IN))*((c_TMAP2OUT)-(c_TMAP1OUT))+IF(((c_TMAP2OUT)-(c_TMAP1OUT))&gt;=0,1,-1)*QUOTIENT(((c_TMAP2IN)-(c_TMAP1IN)),2))+2147483648,4294967296)-2147483648,((c_TMAP2IN)-(c_TMAP1IN))*(((A875)-(c_TMAP1IN))*((c_TMAP2OUT)-(c_TMAP1OUT))+IF(((c_TMAP2OUT)-(c_TMAP1OUT))&gt;=0,1,-1)*QUOTIENT(((c_TMAP2IN)-(c_TMAP1IN)),2)))&gt;=0,1,0)))</f>
        <v>378</v>
      </c>
      <c r="F875" s="7" t="n">
        <f aca="false">IF(((c_TMAP3IN)-(c_TMAP2IN))=0,(c_TMAP2OUT)+QUOTIENT(((c_TMAP3OUT)-(c_TMAP2OUT)),2),QUOTIENT((((A875)-(c_TMAP2IN))*((c_TMAP3OUT)-(c_TMAP2OUT))+IF(((c_TMAP3OUT)-(c_TMAP2OUT))&gt;=0,1,-1)*QUOTIENT(((c_TMAP3IN)-(c_TMAP2IN)),2)),((c_TMAP3IN)-(c_TMAP2IN)))+(c_TMAP2OUT)+IF(((c_TMAP3OUT)-(c_TMAP2OUT))&gt;=0,IF(IF(o_WRAP=1,MOD(((c_TMAP3IN)-(c_TMAP2IN))*(((A875)-(c_TMAP2IN))*((c_TMAP3OUT)-(c_TMAP2OUT))+IF(((c_TMAP3OUT)-(c_TMAP2OUT))&gt;=0,1,-1)*QUOTIENT(((c_TMAP3IN)-(c_TMAP2IN)),2))+2147483648,4294967296)-2147483648,((c_TMAP3IN)-(c_TMAP2IN))*(((A875)-(c_TMAP2IN))*((c_TMAP3OUT)-(c_TMAP2OUT))+IF(((c_TMAP3OUT)-(c_TMAP2OUT))&gt;=0,1,-1)*QUOTIENT(((c_TMAP3IN)-(c_TMAP2IN)),2)))&lt;0,-1,0),IF(IF(o_WRAP=1,MOD(((c_TMAP3IN)-(c_TMAP2IN))*(((A875)-(c_TMAP2IN))*((c_TMAP3OUT)-(c_TMAP2OUT))+IF(((c_TMAP3OUT)-(c_TMAP2OUT))&gt;=0,1,-1)*QUOTIENT(((c_TMAP3IN)-(c_TMAP2IN)),2))+2147483648,4294967296)-2147483648,((c_TMAP3IN)-(c_TMAP2IN))*(((A875)-(c_TMAP2IN))*((c_TMAP3OUT)-(c_TMAP2OUT))+IF(((c_TMAP3OUT)-(c_TMAP2OUT))&gt;=0,1,-1)*QUOTIENT(((c_TMAP3IN)-(c_TMAP2IN)),2)))&gt;=0,1,0)))</f>
        <v>564</v>
      </c>
      <c r="G875" s="7" t="n">
        <f aca="false">IF(((1000)-(c_TMAP3IN))=0,(c_TMAP3OUT)+QUOTIENT(((1000)-(c_TMAP3OUT)),2),QUOTIENT((((A875)-(c_TMAP3IN))*((1000)-(c_TMAP3OUT))+IF(((1000)-(c_TMAP3OUT))&gt;=0,1,-1)*QUOTIENT(((1000)-(c_TMAP3IN)),2)),((1000)-(c_TMAP3IN)))+(c_TMAP3OUT)+IF(((1000)-(c_TMAP3OUT))&gt;=0,IF(IF(o_WRAP=1,MOD(((1000)-(c_TMAP3IN))*(((A875)-(c_TMAP3IN))*((1000)-(c_TMAP3OUT))+IF(((1000)-(c_TMAP3OUT))&gt;=0,1,-1)*QUOTIENT(((1000)-(c_TMAP3IN)),2))+2147483648,4294967296)-2147483648,((1000)-(c_TMAP3IN))*(((A875)-(c_TMAP3IN))*((1000)-(c_TMAP3OUT))+IF(((1000)-(c_TMAP3OUT))&gt;=0,1,-1)*QUOTIENT(((1000)-(c_TMAP3IN)),2)))&lt;0,-1,0),IF(IF(o_WRAP=1,MOD(((1000)-(c_TMAP3IN))*(((A875)-(c_TMAP3IN))*((1000)-(c_TMAP3OUT))+IF(((1000)-(c_TMAP3OUT))&gt;=0,1,-1)*QUOTIENT(((1000)-(c_TMAP3IN)),2))+2147483648,4294967296)-2147483648,((1000)-(c_TMAP3IN))*(((A875)-(c_TMAP3IN))*((1000)-(c_TMAP3OUT))+IF(((1000)-(c_TMAP3OUT))&gt;=0,1,-1)*QUOTIENT(((1000)-(c_TMAP3IN)),2)))&gt;=0,1,0)))</f>
        <v>840</v>
      </c>
      <c r="H875" s="7" t="str">
        <f aca="false">IF(A875&gt;=c_TFWD,IF(AND(A875&gt;=c_TMAP3IN,c_TMAP3IN&lt;1000),"Seg4 map3-100%",IF(AND(A875&gt;=c_TMAP2IN,c_TMAP3IN&gt;c_TMAP2IN),"Seg3 map2-map3",IF(AND(A875&gt;=c_TMAP1IN,c_TMAP2IN&gt;c_TMAP1IN),"Seg2 map1-map2","Seg1 TFWD-map1"))),IF(AND(A875=0,c_TCREEP&gt;0),"Creep",IF(AND(A875&lt;=c_TRNGMIN,A875&gt;=c_TRNGMAX,c_TRNGMIN-c_TRNGMAX&lt;&gt;0),"Regen ramp","Coast (0)")))</f>
        <v>Seg4 map3-100%</v>
      </c>
      <c r="I875" s="7" t="n">
        <f aca="false">IF(A875&gt;=c_TFWD,IF(AND(A875&gt;=c_TMAP3IN,c_TMAP3IN&lt;1000),G875,IF(AND(A875&gt;=c_TMAP2IN,c_TMAP3IN&gt;c_TMAP2IN),F875,IF(AND(A875&gt;=c_TMAP1IN,c_TMAP2IN&gt;c_TMAP1IN),E875,D875))),C875)</f>
        <v>840</v>
      </c>
      <c r="J875" s="7" t="str">
        <f aca="false">IF(I875&lt;-1090,"TOO LOW",IF(I875&gt;1090,"TOO HIGH",""))</f>
        <v/>
      </c>
      <c r="K875" s="15" t="n">
        <f aca="false">IF(J875&lt;&gt;"",0,IF(I875&gt;979,1000,I875))</f>
        <v>840</v>
      </c>
      <c r="L875" s="7" t="n">
        <f aca="false">K875/10</f>
        <v>84</v>
      </c>
    </row>
    <row r="876" customFormat="false" ht="15" hidden="false" customHeight="false" outlineLevel="0" collapsed="false">
      <c r="A876" s="7" t="n">
        <v>871</v>
      </c>
      <c r="B876" s="7" t="n">
        <f aca="false">A876/10</f>
        <v>87.1</v>
      </c>
      <c r="C876" s="7" t="n">
        <f aca="false">IF(AND(A876=0,c_TCREEP&gt;0),10*c_TCREEP,IF(AND(A876&lt;=c_TRNGMIN,A876&gt;=c_TRNGMAX,c_TRNGMIN-c_TRNGMAX&lt;&gt;0),-10*c_TMINRN+QUOTIENT((c_TMAXRN-c_TMINRN)*(100-QUOTIENT((A876-c_TRNGMAX)*100,c_TRNGMIN-c_TRNGMAX)),-10),0))</f>
        <v>0</v>
      </c>
      <c r="D876" s="7" t="n">
        <f aca="false">IF(((c_TMAP1IN)-(c_TFWD))=0,(0)+QUOTIENT(((c_TMAP1OUT)-(0)),2),QUOTIENT((((A876)-(c_TFWD))*((c_TMAP1OUT)-(0))+IF(((c_TMAP1OUT)-(0))&gt;=0,1,-1)*QUOTIENT(((c_TMAP1IN)-(c_TFWD)),2)),((c_TMAP1IN)-(c_TFWD)))+(0)+IF(((c_TMAP1OUT)-(0))&gt;=0,IF(IF(o_WRAP=1,MOD(((c_TMAP1IN)-(c_TFWD))*(((A876)-(c_TFWD))*((c_TMAP1OUT)-(0))+IF(((c_TMAP1OUT)-(0))&gt;=0,1,-1)*QUOTIENT(((c_TMAP1IN)-(c_TFWD)),2))+2147483648,4294967296)-2147483648,((c_TMAP1IN)-(c_TFWD))*(((A876)-(c_TFWD))*((c_TMAP1OUT)-(0))+IF(((c_TMAP1OUT)-(0))&gt;=0,1,-1)*QUOTIENT(((c_TMAP1IN)-(c_TFWD)),2)))&lt;0,-1,0),IF(IF(o_WRAP=1,MOD(((c_TMAP1IN)-(c_TFWD))*(((A876)-(c_TFWD))*((c_TMAP1OUT)-(0))+IF(((c_TMAP1OUT)-(0))&gt;=0,1,-1)*QUOTIENT(((c_TMAP1IN)-(c_TFWD)),2))+2147483648,4294967296)-2147483648,((c_TMAP1IN)-(c_TFWD))*(((A876)-(c_TFWD))*((c_TMAP1OUT)-(0))+IF(((c_TMAP1OUT)-(0))&gt;=0,1,-1)*QUOTIENT(((c_TMAP1IN)-(c_TFWD)),2)))&gt;=0,1,0)))</f>
        <v>670</v>
      </c>
      <c r="E876" s="7" t="n">
        <f aca="false">IF(((c_TMAP2IN)-(c_TMAP1IN))=0,(c_TMAP1OUT)+QUOTIENT(((c_TMAP2OUT)-(c_TMAP1OUT)),2),QUOTIENT((((A876)-(c_TMAP1IN))*((c_TMAP2OUT)-(c_TMAP1OUT))+IF(((c_TMAP2OUT)-(c_TMAP1OUT))&gt;=0,1,-1)*QUOTIENT(((c_TMAP2IN)-(c_TMAP1IN)),2)),((c_TMAP2IN)-(c_TMAP1IN)))+(c_TMAP1OUT)+IF(((c_TMAP2OUT)-(c_TMAP1OUT))&gt;=0,IF(IF(o_WRAP=1,MOD(((c_TMAP2IN)-(c_TMAP1IN))*(((A876)-(c_TMAP1IN))*((c_TMAP2OUT)-(c_TMAP1OUT))+IF(((c_TMAP2OUT)-(c_TMAP1OUT))&gt;=0,1,-1)*QUOTIENT(((c_TMAP2IN)-(c_TMAP1IN)),2))+2147483648,4294967296)-2147483648,((c_TMAP2IN)-(c_TMAP1IN))*(((A876)-(c_TMAP1IN))*((c_TMAP2OUT)-(c_TMAP1OUT))+IF(((c_TMAP2OUT)-(c_TMAP1OUT))&gt;=0,1,-1)*QUOTIENT(((c_TMAP2IN)-(c_TMAP1IN)),2)))&lt;0,-1,0),IF(IF(o_WRAP=1,MOD(((c_TMAP2IN)-(c_TMAP1IN))*(((A876)-(c_TMAP1IN))*((c_TMAP2OUT)-(c_TMAP1OUT))+IF(((c_TMAP2OUT)-(c_TMAP1OUT))&gt;=0,1,-1)*QUOTIENT(((c_TMAP2IN)-(c_TMAP1IN)),2))+2147483648,4294967296)-2147483648,((c_TMAP2IN)-(c_TMAP1IN))*(((A876)-(c_TMAP1IN))*((c_TMAP2OUT)-(c_TMAP1OUT))+IF(((c_TMAP2OUT)-(c_TMAP1OUT))&gt;=0,1,-1)*QUOTIENT(((c_TMAP2IN)-(c_TMAP1IN)),2)))&gt;=0,1,0)))</f>
        <v>378</v>
      </c>
      <c r="F876" s="7" t="n">
        <f aca="false">IF(((c_TMAP3IN)-(c_TMAP2IN))=0,(c_TMAP2OUT)+QUOTIENT(((c_TMAP3OUT)-(c_TMAP2OUT)),2),QUOTIENT((((A876)-(c_TMAP2IN))*((c_TMAP3OUT)-(c_TMAP2OUT))+IF(((c_TMAP3OUT)-(c_TMAP2OUT))&gt;=0,1,-1)*QUOTIENT(((c_TMAP3IN)-(c_TMAP2IN)),2)),((c_TMAP3IN)-(c_TMAP2IN)))+(c_TMAP2OUT)+IF(((c_TMAP3OUT)-(c_TMAP2OUT))&gt;=0,IF(IF(o_WRAP=1,MOD(((c_TMAP3IN)-(c_TMAP2IN))*(((A876)-(c_TMAP2IN))*((c_TMAP3OUT)-(c_TMAP2OUT))+IF(((c_TMAP3OUT)-(c_TMAP2OUT))&gt;=0,1,-1)*QUOTIENT(((c_TMAP3IN)-(c_TMAP2IN)),2))+2147483648,4294967296)-2147483648,((c_TMAP3IN)-(c_TMAP2IN))*(((A876)-(c_TMAP2IN))*((c_TMAP3OUT)-(c_TMAP2OUT))+IF(((c_TMAP3OUT)-(c_TMAP2OUT))&gt;=0,1,-1)*QUOTIENT(((c_TMAP3IN)-(c_TMAP2IN)),2)))&lt;0,-1,0),IF(IF(o_WRAP=1,MOD(((c_TMAP3IN)-(c_TMAP2IN))*(((A876)-(c_TMAP2IN))*((c_TMAP3OUT)-(c_TMAP2OUT))+IF(((c_TMAP3OUT)-(c_TMAP2OUT))&gt;=0,1,-1)*QUOTIENT(((c_TMAP3IN)-(c_TMAP2IN)),2))+2147483648,4294967296)-2147483648,((c_TMAP3IN)-(c_TMAP2IN))*(((A876)-(c_TMAP2IN))*((c_TMAP3OUT)-(c_TMAP2OUT))+IF(((c_TMAP3OUT)-(c_TMAP2OUT))&gt;=0,1,-1)*QUOTIENT(((c_TMAP3IN)-(c_TMAP2IN)),2)))&gt;=0,1,0)))</f>
        <v>565</v>
      </c>
      <c r="G876" s="7" t="n">
        <f aca="false">IF(((1000)-(c_TMAP3IN))=0,(c_TMAP3OUT)+QUOTIENT(((1000)-(c_TMAP3OUT)),2),QUOTIENT((((A876)-(c_TMAP3IN))*((1000)-(c_TMAP3OUT))+IF(((1000)-(c_TMAP3OUT))&gt;=0,1,-1)*QUOTIENT(((1000)-(c_TMAP3IN)),2)),((1000)-(c_TMAP3IN)))+(c_TMAP3OUT)+IF(((1000)-(c_TMAP3OUT))&gt;=0,IF(IF(o_WRAP=1,MOD(((1000)-(c_TMAP3IN))*(((A876)-(c_TMAP3IN))*((1000)-(c_TMAP3OUT))+IF(((1000)-(c_TMAP3OUT))&gt;=0,1,-1)*QUOTIENT(((1000)-(c_TMAP3IN)),2))+2147483648,4294967296)-2147483648,((1000)-(c_TMAP3IN))*(((A876)-(c_TMAP3IN))*((1000)-(c_TMAP3OUT))+IF(((1000)-(c_TMAP3OUT))&gt;=0,1,-1)*QUOTIENT(((1000)-(c_TMAP3IN)),2)))&lt;0,-1,0),IF(IF(o_WRAP=1,MOD(((1000)-(c_TMAP3IN))*(((A876)-(c_TMAP3IN))*((1000)-(c_TMAP3OUT))+IF(((1000)-(c_TMAP3OUT))&gt;=0,1,-1)*QUOTIENT(((1000)-(c_TMAP3IN)),2))+2147483648,4294967296)-2147483648,((1000)-(c_TMAP3IN))*(((A876)-(c_TMAP3IN))*((1000)-(c_TMAP3OUT))+IF(((1000)-(c_TMAP3OUT))&gt;=0,1,-1)*QUOTIENT(((1000)-(c_TMAP3IN)),2)))&gt;=0,1,0)))</f>
        <v>841</v>
      </c>
      <c r="H876" s="7" t="str">
        <f aca="false">IF(A876&gt;=c_TFWD,IF(AND(A876&gt;=c_TMAP3IN,c_TMAP3IN&lt;1000),"Seg4 map3-100%",IF(AND(A876&gt;=c_TMAP2IN,c_TMAP3IN&gt;c_TMAP2IN),"Seg3 map2-map3",IF(AND(A876&gt;=c_TMAP1IN,c_TMAP2IN&gt;c_TMAP1IN),"Seg2 map1-map2","Seg1 TFWD-map1"))),IF(AND(A876=0,c_TCREEP&gt;0),"Creep",IF(AND(A876&lt;=c_TRNGMIN,A876&gt;=c_TRNGMAX,c_TRNGMIN-c_TRNGMAX&lt;&gt;0),"Regen ramp","Coast (0)")))</f>
        <v>Seg4 map3-100%</v>
      </c>
      <c r="I876" s="7" t="n">
        <f aca="false">IF(A876&gt;=c_TFWD,IF(AND(A876&gt;=c_TMAP3IN,c_TMAP3IN&lt;1000),G876,IF(AND(A876&gt;=c_TMAP2IN,c_TMAP3IN&gt;c_TMAP2IN),F876,IF(AND(A876&gt;=c_TMAP1IN,c_TMAP2IN&gt;c_TMAP1IN),E876,D876))),C876)</f>
        <v>841</v>
      </c>
      <c r="J876" s="7" t="str">
        <f aca="false">IF(I876&lt;-1090,"TOO LOW",IF(I876&gt;1090,"TOO HIGH",""))</f>
        <v/>
      </c>
      <c r="K876" s="15" t="n">
        <f aca="false">IF(J876&lt;&gt;"",0,IF(I876&gt;979,1000,I876))</f>
        <v>841</v>
      </c>
      <c r="L876" s="7" t="n">
        <f aca="false">K876/10</f>
        <v>84.1</v>
      </c>
    </row>
    <row r="877" customFormat="false" ht="15" hidden="false" customHeight="false" outlineLevel="0" collapsed="false">
      <c r="A877" s="7" t="n">
        <v>872</v>
      </c>
      <c r="B877" s="7" t="n">
        <f aca="false">A877/10</f>
        <v>87.2</v>
      </c>
      <c r="C877" s="7" t="n">
        <f aca="false">IF(AND(A877=0,c_TCREEP&gt;0),10*c_TCREEP,IF(AND(A877&lt;=c_TRNGMIN,A877&gt;=c_TRNGMAX,c_TRNGMIN-c_TRNGMAX&lt;&gt;0),-10*c_TMINRN+QUOTIENT((c_TMAXRN-c_TMINRN)*(100-QUOTIENT((A877-c_TRNGMAX)*100,c_TRNGMIN-c_TRNGMAX)),-10),0))</f>
        <v>0</v>
      </c>
      <c r="D877" s="7" t="n">
        <f aca="false">IF(((c_TMAP1IN)-(c_TFWD))=0,(0)+QUOTIENT(((c_TMAP1OUT)-(0)),2),QUOTIENT((((A877)-(c_TFWD))*((c_TMAP1OUT)-(0))+IF(((c_TMAP1OUT)-(0))&gt;=0,1,-1)*QUOTIENT(((c_TMAP1IN)-(c_TFWD)),2)),((c_TMAP1IN)-(c_TFWD)))+(0)+IF(((c_TMAP1OUT)-(0))&gt;=0,IF(IF(o_WRAP=1,MOD(((c_TMAP1IN)-(c_TFWD))*(((A877)-(c_TFWD))*((c_TMAP1OUT)-(0))+IF(((c_TMAP1OUT)-(0))&gt;=0,1,-1)*QUOTIENT(((c_TMAP1IN)-(c_TFWD)),2))+2147483648,4294967296)-2147483648,((c_TMAP1IN)-(c_TFWD))*(((A877)-(c_TFWD))*((c_TMAP1OUT)-(0))+IF(((c_TMAP1OUT)-(0))&gt;=0,1,-1)*QUOTIENT(((c_TMAP1IN)-(c_TFWD)),2)))&lt;0,-1,0),IF(IF(o_WRAP=1,MOD(((c_TMAP1IN)-(c_TFWD))*(((A877)-(c_TFWD))*((c_TMAP1OUT)-(0))+IF(((c_TMAP1OUT)-(0))&gt;=0,1,-1)*QUOTIENT(((c_TMAP1IN)-(c_TFWD)),2))+2147483648,4294967296)-2147483648,((c_TMAP1IN)-(c_TFWD))*(((A877)-(c_TFWD))*((c_TMAP1OUT)-(0))+IF(((c_TMAP1OUT)-(0))&gt;=0,1,-1)*QUOTIENT(((c_TMAP1IN)-(c_TFWD)),2)))&gt;=0,1,0)))</f>
        <v>670</v>
      </c>
      <c r="E877" s="7" t="n">
        <f aca="false">IF(((c_TMAP2IN)-(c_TMAP1IN))=0,(c_TMAP1OUT)+QUOTIENT(((c_TMAP2OUT)-(c_TMAP1OUT)),2),QUOTIENT((((A877)-(c_TMAP1IN))*((c_TMAP2OUT)-(c_TMAP1OUT))+IF(((c_TMAP2OUT)-(c_TMAP1OUT))&gt;=0,1,-1)*QUOTIENT(((c_TMAP2IN)-(c_TMAP1IN)),2)),((c_TMAP2IN)-(c_TMAP1IN)))+(c_TMAP1OUT)+IF(((c_TMAP2OUT)-(c_TMAP1OUT))&gt;=0,IF(IF(o_WRAP=1,MOD(((c_TMAP2IN)-(c_TMAP1IN))*(((A877)-(c_TMAP1IN))*((c_TMAP2OUT)-(c_TMAP1OUT))+IF(((c_TMAP2OUT)-(c_TMAP1OUT))&gt;=0,1,-1)*QUOTIENT(((c_TMAP2IN)-(c_TMAP1IN)),2))+2147483648,4294967296)-2147483648,((c_TMAP2IN)-(c_TMAP1IN))*(((A877)-(c_TMAP1IN))*((c_TMAP2OUT)-(c_TMAP1OUT))+IF(((c_TMAP2OUT)-(c_TMAP1OUT))&gt;=0,1,-1)*QUOTIENT(((c_TMAP2IN)-(c_TMAP1IN)),2)))&lt;0,-1,0),IF(IF(o_WRAP=1,MOD(((c_TMAP2IN)-(c_TMAP1IN))*(((A877)-(c_TMAP1IN))*((c_TMAP2OUT)-(c_TMAP1OUT))+IF(((c_TMAP2OUT)-(c_TMAP1OUT))&gt;=0,1,-1)*QUOTIENT(((c_TMAP2IN)-(c_TMAP1IN)),2))+2147483648,4294967296)-2147483648,((c_TMAP2IN)-(c_TMAP1IN))*(((A877)-(c_TMAP1IN))*((c_TMAP2OUT)-(c_TMAP1OUT))+IF(((c_TMAP2OUT)-(c_TMAP1OUT))&gt;=0,1,-1)*QUOTIENT(((c_TMAP2IN)-(c_TMAP1IN)),2)))&gt;=0,1,0)))</f>
        <v>379</v>
      </c>
      <c r="F877" s="7" t="n">
        <f aca="false">IF(((c_TMAP3IN)-(c_TMAP2IN))=0,(c_TMAP2OUT)+QUOTIENT(((c_TMAP3OUT)-(c_TMAP2OUT)),2),QUOTIENT((((A877)-(c_TMAP2IN))*((c_TMAP3OUT)-(c_TMAP2OUT))+IF(((c_TMAP3OUT)-(c_TMAP2OUT))&gt;=0,1,-1)*QUOTIENT(((c_TMAP3IN)-(c_TMAP2IN)),2)),((c_TMAP3IN)-(c_TMAP2IN)))+(c_TMAP2OUT)+IF(((c_TMAP3OUT)-(c_TMAP2OUT))&gt;=0,IF(IF(o_WRAP=1,MOD(((c_TMAP3IN)-(c_TMAP2IN))*(((A877)-(c_TMAP2IN))*((c_TMAP3OUT)-(c_TMAP2OUT))+IF(((c_TMAP3OUT)-(c_TMAP2OUT))&gt;=0,1,-1)*QUOTIENT(((c_TMAP3IN)-(c_TMAP2IN)),2))+2147483648,4294967296)-2147483648,((c_TMAP3IN)-(c_TMAP2IN))*(((A877)-(c_TMAP2IN))*((c_TMAP3OUT)-(c_TMAP2OUT))+IF(((c_TMAP3OUT)-(c_TMAP2OUT))&gt;=0,1,-1)*QUOTIENT(((c_TMAP3IN)-(c_TMAP2IN)),2)))&lt;0,-1,0),IF(IF(o_WRAP=1,MOD(((c_TMAP3IN)-(c_TMAP2IN))*(((A877)-(c_TMAP2IN))*((c_TMAP3OUT)-(c_TMAP2OUT))+IF(((c_TMAP3OUT)-(c_TMAP2OUT))&gt;=0,1,-1)*QUOTIENT(((c_TMAP3IN)-(c_TMAP2IN)),2))+2147483648,4294967296)-2147483648,((c_TMAP3IN)-(c_TMAP2IN))*(((A877)-(c_TMAP2IN))*((c_TMAP3OUT)-(c_TMAP2OUT))+IF(((c_TMAP3OUT)-(c_TMAP2OUT))&gt;=0,1,-1)*QUOTIENT(((c_TMAP3IN)-(c_TMAP2IN)),2)))&gt;=0,1,0)))</f>
        <v>565</v>
      </c>
      <c r="G877" s="7" t="n">
        <f aca="false">IF(((1000)-(c_TMAP3IN))=0,(c_TMAP3OUT)+QUOTIENT(((1000)-(c_TMAP3OUT)),2),QUOTIENT((((A877)-(c_TMAP3IN))*((1000)-(c_TMAP3OUT))+IF(((1000)-(c_TMAP3OUT))&gt;=0,1,-1)*QUOTIENT(((1000)-(c_TMAP3IN)),2)),((1000)-(c_TMAP3IN)))+(c_TMAP3OUT)+IF(((1000)-(c_TMAP3OUT))&gt;=0,IF(IF(o_WRAP=1,MOD(((1000)-(c_TMAP3IN))*(((A877)-(c_TMAP3IN))*((1000)-(c_TMAP3OUT))+IF(((1000)-(c_TMAP3OUT))&gt;=0,1,-1)*QUOTIENT(((1000)-(c_TMAP3IN)),2))+2147483648,4294967296)-2147483648,((1000)-(c_TMAP3IN))*(((A877)-(c_TMAP3IN))*((1000)-(c_TMAP3OUT))+IF(((1000)-(c_TMAP3OUT))&gt;=0,1,-1)*QUOTIENT(((1000)-(c_TMAP3IN)),2)))&lt;0,-1,0),IF(IF(o_WRAP=1,MOD(((1000)-(c_TMAP3IN))*(((A877)-(c_TMAP3IN))*((1000)-(c_TMAP3OUT))+IF(((1000)-(c_TMAP3OUT))&gt;=0,1,-1)*QUOTIENT(((1000)-(c_TMAP3IN)),2))+2147483648,4294967296)-2147483648,((1000)-(c_TMAP3IN))*(((A877)-(c_TMAP3IN))*((1000)-(c_TMAP3OUT))+IF(((1000)-(c_TMAP3OUT))&gt;=0,1,-1)*QUOTIENT(((1000)-(c_TMAP3IN)),2)))&gt;=0,1,0)))</f>
        <v>842</v>
      </c>
      <c r="H877" s="7" t="str">
        <f aca="false">IF(A877&gt;=c_TFWD,IF(AND(A877&gt;=c_TMAP3IN,c_TMAP3IN&lt;1000),"Seg4 map3-100%",IF(AND(A877&gt;=c_TMAP2IN,c_TMAP3IN&gt;c_TMAP2IN),"Seg3 map2-map3",IF(AND(A877&gt;=c_TMAP1IN,c_TMAP2IN&gt;c_TMAP1IN),"Seg2 map1-map2","Seg1 TFWD-map1"))),IF(AND(A877=0,c_TCREEP&gt;0),"Creep",IF(AND(A877&lt;=c_TRNGMIN,A877&gt;=c_TRNGMAX,c_TRNGMIN-c_TRNGMAX&lt;&gt;0),"Regen ramp","Coast (0)")))</f>
        <v>Seg4 map3-100%</v>
      </c>
      <c r="I877" s="7" t="n">
        <f aca="false">IF(A877&gt;=c_TFWD,IF(AND(A877&gt;=c_TMAP3IN,c_TMAP3IN&lt;1000),G877,IF(AND(A877&gt;=c_TMAP2IN,c_TMAP3IN&gt;c_TMAP2IN),F877,IF(AND(A877&gt;=c_TMAP1IN,c_TMAP2IN&gt;c_TMAP1IN),E877,D877))),C877)</f>
        <v>842</v>
      </c>
      <c r="J877" s="7" t="str">
        <f aca="false">IF(I877&lt;-1090,"TOO LOW",IF(I877&gt;1090,"TOO HIGH",""))</f>
        <v/>
      </c>
      <c r="K877" s="15" t="n">
        <f aca="false">IF(J877&lt;&gt;"",0,IF(I877&gt;979,1000,I877))</f>
        <v>842</v>
      </c>
      <c r="L877" s="7" t="n">
        <f aca="false">K877/10</f>
        <v>84.2</v>
      </c>
    </row>
    <row r="878" customFormat="false" ht="15" hidden="false" customHeight="false" outlineLevel="0" collapsed="false">
      <c r="A878" s="7" t="n">
        <v>873</v>
      </c>
      <c r="B878" s="7" t="n">
        <f aca="false">A878/10</f>
        <v>87.3</v>
      </c>
      <c r="C878" s="7" t="n">
        <f aca="false">IF(AND(A878=0,c_TCREEP&gt;0),10*c_TCREEP,IF(AND(A878&lt;=c_TRNGMIN,A878&gt;=c_TRNGMAX,c_TRNGMIN-c_TRNGMAX&lt;&gt;0),-10*c_TMINRN+QUOTIENT((c_TMAXRN-c_TMINRN)*(100-QUOTIENT((A878-c_TRNGMAX)*100,c_TRNGMIN-c_TRNGMAX)),-10),0))</f>
        <v>0</v>
      </c>
      <c r="D878" s="7" t="n">
        <f aca="false">IF(((c_TMAP1IN)-(c_TFWD))=0,(0)+QUOTIENT(((c_TMAP1OUT)-(0)),2),QUOTIENT((((A878)-(c_TFWD))*((c_TMAP1OUT)-(0))+IF(((c_TMAP1OUT)-(0))&gt;=0,1,-1)*QUOTIENT(((c_TMAP1IN)-(c_TFWD)),2)),((c_TMAP1IN)-(c_TFWD)))+(0)+IF(((c_TMAP1OUT)-(0))&gt;=0,IF(IF(o_WRAP=1,MOD(((c_TMAP1IN)-(c_TFWD))*(((A878)-(c_TFWD))*((c_TMAP1OUT)-(0))+IF(((c_TMAP1OUT)-(0))&gt;=0,1,-1)*QUOTIENT(((c_TMAP1IN)-(c_TFWD)),2))+2147483648,4294967296)-2147483648,((c_TMAP1IN)-(c_TFWD))*(((A878)-(c_TFWD))*((c_TMAP1OUT)-(0))+IF(((c_TMAP1OUT)-(0))&gt;=0,1,-1)*QUOTIENT(((c_TMAP1IN)-(c_TFWD)),2)))&lt;0,-1,0),IF(IF(o_WRAP=1,MOD(((c_TMAP1IN)-(c_TFWD))*(((A878)-(c_TFWD))*((c_TMAP1OUT)-(0))+IF(((c_TMAP1OUT)-(0))&gt;=0,1,-1)*QUOTIENT(((c_TMAP1IN)-(c_TFWD)),2))+2147483648,4294967296)-2147483648,((c_TMAP1IN)-(c_TFWD))*(((A878)-(c_TFWD))*((c_TMAP1OUT)-(0))+IF(((c_TMAP1OUT)-(0))&gt;=0,1,-1)*QUOTIENT(((c_TMAP1IN)-(c_TFWD)),2)))&gt;=0,1,0)))</f>
        <v>671</v>
      </c>
      <c r="E878" s="7" t="n">
        <f aca="false">IF(((c_TMAP2IN)-(c_TMAP1IN))=0,(c_TMAP1OUT)+QUOTIENT(((c_TMAP2OUT)-(c_TMAP1OUT)),2),QUOTIENT((((A878)-(c_TMAP1IN))*((c_TMAP2OUT)-(c_TMAP1OUT))+IF(((c_TMAP2OUT)-(c_TMAP1OUT))&gt;=0,1,-1)*QUOTIENT(((c_TMAP2IN)-(c_TMAP1IN)),2)),((c_TMAP2IN)-(c_TMAP1IN)))+(c_TMAP1OUT)+IF(((c_TMAP2OUT)-(c_TMAP1OUT))&gt;=0,IF(IF(o_WRAP=1,MOD(((c_TMAP2IN)-(c_TMAP1IN))*(((A878)-(c_TMAP1IN))*((c_TMAP2OUT)-(c_TMAP1OUT))+IF(((c_TMAP2OUT)-(c_TMAP1OUT))&gt;=0,1,-1)*QUOTIENT(((c_TMAP2IN)-(c_TMAP1IN)),2))+2147483648,4294967296)-2147483648,((c_TMAP2IN)-(c_TMAP1IN))*(((A878)-(c_TMAP1IN))*((c_TMAP2OUT)-(c_TMAP1OUT))+IF(((c_TMAP2OUT)-(c_TMAP1OUT))&gt;=0,1,-1)*QUOTIENT(((c_TMAP2IN)-(c_TMAP1IN)),2)))&lt;0,-1,0),IF(IF(o_WRAP=1,MOD(((c_TMAP2IN)-(c_TMAP1IN))*(((A878)-(c_TMAP1IN))*((c_TMAP2OUT)-(c_TMAP1OUT))+IF(((c_TMAP2OUT)-(c_TMAP1OUT))&gt;=0,1,-1)*QUOTIENT(((c_TMAP2IN)-(c_TMAP1IN)),2))+2147483648,4294967296)-2147483648,((c_TMAP2IN)-(c_TMAP1IN))*(((A878)-(c_TMAP1IN))*((c_TMAP2OUT)-(c_TMAP1OUT))+IF(((c_TMAP2OUT)-(c_TMAP1OUT))&gt;=0,1,-1)*QUOTIENT(((c_TMAP2IN)-(c_TMAP1IN)),2)))&gt;=0,1,0)))</f>
        <v>379</v>
      </c>
      <c r="F878" s="7" t="n">
        <f aca="false">IF(((c_TMAP3IN)-(c_TMAP2IN))=0,(c_TMAP2OUT)+QUOTIENT(((c_TMAP3OUT)-(c_TMAP2OUT)),2),QUOTIENT((((A878)-(c_TMAP2IN))*((c_TMAP3OUT)-(c_TMAP2OUT))+IF(((c_TMAP3OUT)-(c_TMAP2OUT))&gt;=0,1,-1)*QUOTIENT(((c_TMAP3IN)-(c_TMAP2IN)),2)),((c_TMAP3IN)-(c_TMAP2IN)))+(c_TMAP2OUT)+IF(((c_TMAP3OUT)-(c_TMAP2OUT))&gt;=0,IF(IF(o_WRAP=1,MOD(((c_TMAP3IN)-(c_TMAP2IN))*(((A878)-(c_TMAP2IN))*((c_TMAP3OUT)-(c_TMAP2OUT))+IF(((c_TMAP3OUT)-(c_TMAP2OUT))&gt;=0,1,-1)*QUOTIENT(((c_TMAP3IN)-(c_TMAP2IN)),2))+2147483648,4294967296)-2147483648,((c_TMAP3IN)-(c_TMAP2IN))*(((A878)-(c_TMAP2IN))*((c_TMAP3OUT)-(c_TMAP2OUT))+IF(((c_TMAP3OUT)-(c_TMAP2OUT))&gt;=0,1,-1)*QUOTIENT(((c_TMAP3IN)-(c_TMAP2IN)),2)))&lt;0,-1,0),IF(IF(o_WRAP=1,MOD(((c_TMAP3IN)-(c_TMAP2IN))*(((A878)-(c_TMAP2IN))*((c_TMAP3OUT)-(c_TMAP2OUT))+IF(((c_TMAP3OUT)-(c_TMAP2OUT))&gt;=0,1,-1)*QUOTIENT(((c_TMAP3IN)-(c_TMAP2IN)),2))+2147483648,4294967296)-2147483648,((c_TMAP3IN)-(c_TMAP2IN))*(((A878)-(c_TMAP2IN))*((c_TMAP3OUT)-(c_TMAP2OUT))+IF(((c_TMAP3OUT)-(c_TMAP2OUT))&gt;=0,1,-1)*QUOTIENT(((c_TMAP3IN)-(c_TMAP2IN)),2)))&gt;=0,1,0)))</f>
        <v>566</v>
      </c>
      <c r="G878" s="7" t="n">
        <f aca="false">IF(((1000)-(c_TMAP3IN))=0,(c_TMAP3OUT)+QUOTIENT(((1000)-(c_TMAP3OUT)),2),QUOTIENT((((A878)-(c_TMAP3IN))*((1000)-(c_TMAP3OUT))+IF(((1000)-(c_TMAP3OUT))&gt;=0,1,-1)*QUOTIENT(((1000)-(c_TMAP3IN)),2)),((1000)-(c_TMAP3IN)))+(c_TMAP3OUT)+IF(((1000)-(c_TMAP3OUT))&gt;=0,IF(IF(o_WRAP=1,MOD(((1000)-(c_TMAP3IN))*(((A878)-(c_TMAP3IN))*((1000)-(c_TMAP3OUT))+IF(((1000)-(c_TMAP3OUT))&gt;=0,1,-1)*QUOTIENT(((1000)-(c_TMAP3IN)),2))+2147483648,4294967296)-2147483648,((1000)-(c_TMAP3IN))*(((A878)-(c_TMAP3IN))*((1000)-(c_TMAP3OUT))+IF(((1000)-(c_TMAP3OUT))&gt;=0,1,-1)*QUOTIENT(((1000)-(c_TMAP3IN)),2)))&lt;0,-1,0),IF(IF(o_WRAP=1,MOD(((1000)-(c_TMAP3IN))*(((A878)-(c_TMAP3IN))*((1000)-(c_TMAP3OUT))+IF(((1000)-(c_TMAP3OUT))&gt;=0,1,-1)*QUOTIENT(((1000)-(c_TMAP3IN)),2))+2147483648,4294967296)-2147483648,((1000)-(c_TMAP3IN))*(((A878)-(c_TMAP3IN))*((1000)-(c_TMAP3OUT))+IF(((1000)-(c_TMAP3OUT))&gt;=0,1,-1)*QUOTIENT(((1000)-(c_TMAP3IN)),2)))&gt;=0,1,0)))</f>
        <v>844</v>
      </c>
      <c r="H878" s="7" t="str">
        <f aca="false">IF(A878&gt;=c_TFWD,IF(AND(A878&gt;=c_TMAP3IN,c_TMAP3IN&lt;1000),"Seg4 map3-100%",IF(AND(A878&gt;=c_TMAP2IN,c_TMAP3IN&gt;c_TMAP2IN),"Seg3 map2-map3",IF(AND(A878&gt;=c_TMAP1IN,c_TMAP2IN&gt;c_TMAP1IN),"Seg2 map1-map2","Seg1 TFWD-map1"))),IF(AND(A878=0,c_TCREEP&gt;0),"Creep",IF(AND(A878&lt;=c_TRNGMIN,A878&gt;=c_TRNGMAX,c_TRNGMIN-c_TRNGMAX&lt;&gt;0),"Regen ramp","Coast (0)")))</f>
        <v>Seg4 map3-100%</v>
      </c>
      <c r="I878" s="7" t="n">
        <f aca="false">IF(A878&gt;=c_TFWD,IF(AND(A878&gt;=c_TMAP3IN,c_TMAP3IN&lt;1000),G878,IF(AND(A878&gt;=c_TMAP2IN,c_TMAP3IN&gt;c_TMAP2IN),F878,IF(AND(A878&gt;=c_TMAP1IN,c_TMAP2IN&gt;c_TMAP1IN),E878,D878))),C878)</f>
        <v>844</v>
      </c>
      <c r="J878" s="7" t="str">
        <f aca="false">IF(I878&lt;-1090,"TOO LOW",IF(I878&gt;1090,"TOO HIGH",""))</f>
        <v/>
      </c>
      <c r="K878" s="15" t="n">
        <f aca="false">IF(J878&lt;&gt;"",0,IF(I878&gt;979,1000,I878))</f>
        <v>844</v>
      </c>
      <c r="L878" s="7" t="n">
        <f aca="false">K878/10</f>
        <v>84.4</v>
      </c>
    </row>
    <row r="879" customFormat="false" ht="15" hidden="false" customHeight="false" outlineLevel="0" collapsed="false">
      <c r="A879" s="7" t="n">
        <v>874</v>
      </c>
      <c r="B879" s="7" t="n">
        <f aca="false">A879/10</f>
        <v>87.4</v>
      </c>
      <c r="C879" s="7" t="n">
        <f aca="false">IF(AND(A879=0,c_TCREEP&gt;0),10*c_TCREEP,IF(AND(A879&lt;=c_TRNGMIN,A879&gt;=c_TRNGMAX,c_TRNGMIN-c_TRNGMAX&lt;&gt;0),-10*c_TMINRN+QUOTIENT((c_TMAXRN-c_TMINRN)*(100-QUOTIENT((A879-c_TRNGMAX)*100,c_TRNGMIN-c_TRNGMAX)),-10),0))</f>
        <v>0</v>
      </c>
      <c r="D879" s="7" t="n">
        <f aca="false">IF(((c_TMAP1IN)-(c_TFWD))=0,(0)+QUOTIENT(((c_TMAP1OUT)-(0)),2),QUOTIENT((((A879)-(c_TFWD))*((c_TMAP1OUT)-(0))+IF(((c_TMAP1OUT)-(0))&gt;=0,1,-1)*QUOTIENT(((c_TMAP1IN)-(c_TFWD)),2)),((c_TMAP1IN)-(c_TFWD)))+(0)+IF(((c_TMAP1OUT)-(0))&gt;=0,IF(IF(o_WRAP=1,MOD(((c_TMAP1IN)-(c_TFWD))*(((A879)-(c_TFWD))*((c_TMAP1OUT)-(0))+IF(((c_TMAP1OUT)-(0))&gt;=0,1,-1)*QUOTIENT(((c_TMAP1IN)-(c_TFWD)),2))+2147483648,4294967296)-2147483648,((c_TMAP1IN)-(c_TFWD))*(((A879)-(c_TFWD))*((c_TMAP1OUT)-(0))+IF(((c_TMAP1OUT)-(0))&gt;=0,1,-1)*QUOTIENT(((c_TMAP1IN)-(c_TFWD)),2)))&lt;0,-1,0),IF(IF(o_WRAP=1,MOD(((c_TMAP1IN)-(c_TFWD))*(((A879)-(c_TFWD))*((c_TMAP1OUT)-(0))+IF(((c_TMAP1OUT)-(0))&gt;=0,1,-1)*QUOTIENT(((c_TMAP1IN)-(c_TFWD)),2))+2147483648,4294967296)-2147483648,((c_TMAP1IN)-(c_TFWD))*(((A879)-(c_TFWD))*((c_TMAP1OUT)-(0))+IF(((c_TMAP1OUT)-(0))&gt;=0,1,-1)*QUOTIENT(((c_TMAP1IN)-(c_TFWD)),2)))&gt;=0,1,0)))</f>
        <v>672</v>
      </c>
      <c r="E879" s="7" t="n">
        <f aca="false">IF(((c_TMAP2IN)-(c_TMAP1IN))=0,(c_TMAP1OUT)+QUOTIENT(((c_TMAP2OUT)-(c_TMAP1OUT)),2),QUOTIENT((((A879)-(c_TMAP1IN))*((c_TMAP2OUT)-(c_TMAP1OUT))+IF(((c_TMAP2OUT)-(c_TMAP1OUT))&gt;=0,1,-1)*QUOTIENT(((c_TMAP2IN)-(c_TMAP1IN)),2)),((c_TMAP2IN)-(c_TMAP1IN)))+(c_TMAP1OUT)+IF(((c_TMAP2OUT)-(c_TMAP1OUT))&gt;=0,IF(IF(o_WRAP=1,MOD(((c_TMAP2IN)-(c_TMAP1IN))*(((A879)-(c_TMAP1IN))*((c_TMAP2OUT)-(c_TMAP1OUT))+IF(((c_TMAP2OUT)-(c_TMAP1OUT))&gt;=0,1,-1)*QUOTIENT(((c_TMAP2IN)-(c_TMAP1IN)),2))+2147483648,4294967296)-2147483648,((c_TMAP2IN)-(c_TMAP1IN))*(((A879)-(c_TMAP1IN))*((c_TMAP2OUT)-(c_TMAP1OUT))+IF(((c_TMAP2OUT)-(c_TMAP1OUT))&gt;=0,1,-1)*QUOTIENT(((c_TMAP2IN)-(c_TMAP1IN)),2)))&lt;0,-1,0),IF(IF(o_WRAP=1,MOD(((c_TMAP2IN)-(c_TMAP1IN))*(((A879)-(c_TMAP1IN))*((c_TMAP2OUT)-(c_TMAP1OUT))+IF(((c_TMAP2OUT)-(c_TMAP1OUT))&gt;=0,1,-1)*QUOTIENT(((c_TMAP2IN)-(c_TMAP1IN)),2))+2147483648,4294967296)-2147483648,((c_TMAP2IN)-(c_TMAP1IN))*(((A879)-(c_TMAP1IN))*((c_TMAP2OUT)-(c_TMAP1OUT))+IF(((c_TMAP2OUT)-(c_TMAP1OUT))&gt;=0,1,-1)*QUOTIENT(((c_TMAP2IN)-(c_TMAP1IN)),2)))&gt;=0,1,0)))</f>
        <v>380</v>
      </c>
      <c r="F879" s="7" t="n">
        <f aca="false">IF(((c_TMAP3IN)-(c_TMAP2IN))=0,(c_TMAP2OUT)+QUOTIENT(((c_TMAP3OUT)-(c_TMAP2OUT)),2),QUOTIENT((((A879)-(c_TMAP2IN))*((c_TMAP3OUT)-(c_TMAP2OUT))+IF(((c_TMAP3OUT)-(c_TMAP2OUT))&gt;=0,1,-1)*QUOTIENT(((c_TMAP3IN)-(c_TMAP2IN)),2)),((c_TMAP3IN)-(c_TMAP2IN)))+(c_TMAP2OUT)+IF(((c_TMAP3OUT)-(c_TMAP2OUT))&gt;=0,IF(IF(o_WRAP=1,MOD(((c_TMAP3IN)-(c_TMAP2IN))*(((A879)-(c_TMAP2IN))*((c_TMAP3OUT)-(c_TMAP2OUT))+IF(((c_TMAP3OUT)-(c_TMAP2OUT))&gt;=0,1,-1)*QUOTIENT(((c_TMAP3IN)-(c_TMAP2IN)),2))+2147483648,4294967296)-2147483648,((c_TMAP3IN)-(c_TMAP2IN))*(((A879)-(c_TMAP2IN))*((c_TMAP3OUT)-(c_TMAP2OUT))+IF(((c_TMAP3OUT)-(c_TMAP2OUT))&gt;=0,1,-1)*QUOTIENT(((c_TMAP3IN)-(c_TMAP2IN)),2)))&lt;0,-1,0),IF(IF(o_WRAP=1,MOD(((c_TMAP3IN)-(c_TMAP2IN))*(((A879)-(c_TMAP2IN))*((c_TMAP3OUT)-(c_TMAP2OUT))+IF(((c_TMAP3OUT)-(c_TMAP2OUT))&gt;=0,1,-1)*QUOTIENT(((c_TMAP3IN)-(c_TMAP2IN)),2))+2147483648,4294967296)-2147483648,((c_TMAP3IN)-(c_TMAP2IN))*(((A879)-(c_TMAP2IN))*((c_TMAP3OUT)-(c_TMAP2OUT))+IF(((c_TMAP3OUT)-(c_TMAP2OUT))&gt;=0,1,-1)*QUOTIENT(((c_TMAP3IN)-(c_TMAP2IN)),2)))&gt;=0,1,0)))</f>
        <v>567</v>
      </c>
      <c r="G879" s="7" t="n">
        <f aca="false">IF(((1000)-(c_TMAP3IN))=0,(c_TMAP3OUT)+QUOTIENT(((1000)-(c_TMAP3OUT)),2),QUOTIENT((((A879)-(c_TMAP3IN))*((1000)-(c_TMAP3OUT))+IF(((1000)-(c_TMAP3OUT))&gt;=0,1,-1)*QUOTIENT(((1000)-(c_TMAP3IN)),2)),((1000)-(c_TMAP3IN)))+(c_TMAP3OUT)+IF(((1000)-(c_TMAP3OUT))&gt;=0,IF(IF(o_WRAP=1,MOD(((1000)-(c_TMAP3IN))*(((A879)-(c_TMAP3IN))*((1000)-(c_TMAP3OUT))+IF(((1000)-(c_TMAP3OUT))&gt;=0,1,-1)*QUOTIENT(((1000)-(c_TMAP3IN)),2))+2147483648,4294967296)-2147483648,((1000)-(c_TMAP3IN))*(((A879)-(c_TMAP3IN))*((1000)-(c_TMAP3OUT))+IF(((1000)-(c_TMAP3OUT))&gt;=0,1,-1)*QUOTIENT(((1000)-(c_TMAP3IN)),2)))&lt;0,-1,0),IF(IF(o_WRAP=1,MOD(((1000)-(c_TMAP3IN))*(((A879)-(c_TMAP3IN))*((1000)-(c_TMAP3OUT))+IF(((1000)-(c_TMAP3OUT))&gt;=0,1,-1)*QUOTIENT(((1000)-(c_TMAP3IN)),2))+2147483648,4294967296)-2147483648,((1000)-(c_TMAP3IN))*(((A879)-(c_TMAP3IN))*((1000)-(c_TMAP3OUT))+IF(((1000)-(c_TMAP3OUT))&gt;=0,1,-1)*QUOTIENT(((1000)-(c_TMAP3IN)),2)))&gt;=0,1,0)))</f>
        <v>845</v>
      </c>
      <c r="H879" s="7" t="str">
        <f aca="false">IF(A879&gt;=c_TFWD,IF(AND(A879&gt;=c_TMAP3IN,c_TMAP3IN&lt;1000),"Seg4 map3-100%",IF(AND(A879&gt;=c_TMAP2IN,c_TMAP3IN&gt;c_TMAP2IN),"Seg3 map2-map3",IF(AND(A879&gt;=c_TMAP1IN,c_TMAP2IN&gt;c_TMAP1IN),"Seg2 map1-map2","Seg1 TFWD-map1"))),IF(AND(A879=0,c_TCREEP&gt;0),"Creep",IF(AND(A879&lt;=c_TRNGMIN,A879&gt;=c_TRNGMAX,c_TRNGMIN-c_TRNGMAX&lt;&gt;0),"Regen ramp","Coast (0)")))</f>
        <v>Seg4 map3-100%</v>
      </c>
      <c r="I879" s="7" t="n">
        <f aca="false">IF(A879&gt;=c_TFWD,IF(AND(A879&gt;=c_TMAP3IN,c_TMAP3IN&lt;1000),G879,IF(AND(A879&gt;=c_TMAP2IN,c_TMAP3IN&gt;c_TMAP2IN),F879,IF(AND(A879&gt;=c_TMAP1IN,c_TMAP2IN&gt;c_TMAP1IN),E879,D879))),C879)</f>
        <v>845</v>
      </c>
      <c r="J879" s="7" t="str">
        <f aca="false">IF(I879&lt;-1090,"TOO LOW",IF(I879&gt;1090,"TOO HIGH",""))</f>
        <v/>
      </c>
      <c r="K879" s="15" t="n">
        <f aca="false">IF(J879&lt;&gt;"",0,IF(I879&gt;979,1000,I879))</f>
        <v>845</v>
      </c>
      <c r="L879" s="7" t="n">
        <f aca="false">K879/10</f>
        <v>84.5</v>
      </c>
    </row>
    <row r="880" customFormat="false" ht="15" hidden="false" customHeight="false" outlineLevel="0" collapsed="false">
      <c r="A880" s="7" t="n">
        <v>875</v>
      </c>
      <c r="B880" s="7" t="n">
        <f aca="false">A880/10</f>
        <v>87.5</v>
      </c>
      <c r="C880" s="7" t="n">
        <f aca="false">IF(AND(A880=0,c_TCREEP&gt;0),10*c_TCREEP,IF(AND(A880&lt;=c_TRNGMIN,A880&gt;=c_TRNGMAX,c_TRNGMIN-c_TRNGMAX&lt;&gt;0),-10*c_TMINRN+QUOTIENT((c_TMAXRN-c_TMINRN)*(100-QUOTIENT((A880-c_TRNGMAX)*100,c_TRNGMIN-c_TRNGMAX)),-10),0))</f>
        <v>0</v>
      </c>
      <c r="D880" s="7" t="n">
        <f aca="false">IF(((c_TMAP1IN)-(c_TFWD))=0,(0)+QUOTIENT(((c_TMAP1OUT)-(0)),2),QUOTIENT((((A880)-(c_TFWD))*((c_TMAP1OUT)-(0))+IF(((c_TMAP1OUT)-(0))&gt;=0,1,-1)*QUOTIENT(((c_TMAP1IN)-(c_TFWD)),2)),((c_TMAP1IN)-(c_TFWD)))+(0)+IF(((c_TMAP1OUT)-(0))&gt;=0,IF(IF(o_WRAP=1,MOD(((c_TMAP1IN)-(c_TFWD))*(((A880)-(c_TFWD))*((c_TMAP1OUT)-(0))+IF(((c_TMAP1OUT)-(0))&gt;=0,1,-1)*QUOTIENT(((c_TMAP1IN)-(c_TFWD)),2))+2147483648,4294967296)-2147483648,((c_TMAP1IN)-(c_TFWD))*(((A880)-(c_TFWD))*((c_TMAP1OUT)-(0))+IF(((c_TMAP1OUT)-(0))&gt;=0,1,-1)*QUOTIENT(((c_TMAP1IN)-(c_TFWD)),2)))&lt;0,-1,0),IF(IF(o_WRAP=1,MOD(((c_TMAP1IN)-(c_TFWD))*(((A880)-(c_TFWD))*((c_TMAP1OUT)-(0))+IF(((c_TMAP1OUT)-(0))&gt;=0,1,-1)*QUOTIENT(((c_TMAP1IN)-(c_TFWD)),2))+2147483648,4294967296)-2147483648,((c_TMAP1IN)-(c_TFWD))*(((A880)-(c_TFWD))*((c_TMAP1OUT)-(0))+IF(((c_TMAP1OUT)-(0))&gt;=0,1,-1)*QUOTIENT(((c_TMAP1IN)-(c_TFWD)),2)))&gt;=0,1,0)))</f>
        <v>673</v>
      </c>
      <c r="E880" s="7" t="n">
        <f aca="false">IF(((c_TMAP2IN)-(c_TMAP1IN))=0,(c_TMAP1OUT)+QUOTIENT(((c_TMAP2OUT)-(c_TMAP1OUT)),2),QUOTIENT((((A880)-(c_TMAP1IN))*((c_TMAP2OUT)-(c_TMAP1OUT))+IF(((c_TMAP2OUT)-(c_TMAP1OUT))&gt;=0,1,-1)*QUOTIENT(((c_TMAP2IN)-(c_TMAP1IN)),2)),((c_TMAP2IN)-(c_TMAP1IN)))+(c_TMAP1OUT)+IF(((c_TMAP2OUT)-(c_TMAP1OUT))&gt;=0,IF(IF(o_WRAP=1,MOD(((c_TMAP2IN)-(c_TMAP1IN))*(((A880)-(c_TMAP1IN))*((c_TMAP2OUT)-(c_TMAP1OUT))+IF(((c_TMAP2OUT)-(c_TMAP1OUT))&gt;=0,1,-1)*QUOTIENT(((c_TMAP2IN)-(c_TMAP1IN)),2))+2147483648,4294967296)-2147483648,((c_TMAP2IN)-(c_TMAP1IN))*(((A880)-(c_TMAP1IN))*((c_TMAP2OUT)-(c_TMAP1OUT))+IF(((c_TMAP2OUT)-(c_TMAP1OUT))&gt;=0,1,-1)*QUOTIENT(((c_TMAP2IN)-(c_TMAP1IN)),2)))&lt;0,-1,0),IF(IF(o_WRAP=1,MOD(((c_TMAP2IN)-(c_TMAP1IN))*(((A880)-(c_TMAP1IN))*((c_TMAP2OUT)-(c_TMAP1OUT))+IF(((c_TMAP2OUT)-(c_TMAP1OUT))&gt;=0,1,-1)*QUOTIENT(((c_TMAP2IN)-(c_TMAP1IN)),2))+2147483648,4294967296)-2147483648,((c_TMAP2IN)-(c_TMAP1IN))*(((A880)-(c_TMAP1IN))*((c_TMAP2OUT)-(c_TMAP1OUT))+IF(((c_TMAP2OUT)-(c_TMAP1OUT))&gt;=0,1,-1)*QUOTIENT(((c_TMAP2IN)-(c_TMAP1IN)),2)))&gt;=0,1,0)))</f>
        <v>380</v>
      </c>
      <c r="F880" s="7" t="n">
        <f aca="false">IF(((c_TMAP3IN)-(c_TMAP2IN))=0,(c_TMAP2OUT)+QUOTIENT(((c_TMAP3OUT)-(c_TMAP2OUT)),2),QUOTIENT((((A880)-(c_TMAP2IN))*((c_TMAP3OUT)-(c_TMAP2OUT))+IF(((c_TMAP3OUT)-(c_TMAP2OUT))&gt;=0,1,-1)*QUOTIENT(((c_TMAP3IN)-(c_TMAP2IN)),2)),((c_TMAP3IN)-(c_TMAP2IN)))+(c_TMAP2OUT)+IF(((c_TMAP3OUT)-(c_TMAP2OUT))&gt;=0,IF(IF(o_WRAP=1,MOD(((c_TMAP3IN)-(c_TMAP2IN))*(((A880)-(c_TMAP2IN))*((c_TMAP3OUT)-(c_TMAP2OUT))+IF(((c_TMAP3OUT)-(c_TMAP2OUT))&gt;=0,1,-1)*QUOTIENT(((c_TMAP3IN)-(c_TMAP2IN)),2))+2147483648,4294967296)-2147483648,((c_TMAP3IN)-(c_TMAP2IN))*(((A880)-(c_TMAP2IN))*((c_TMAP3OUT)-(c_TMAP2OUT))+IF(((c_TMAP3OUT)-(c_TMAP2OUT))&gt;=0,1,-1)*QUOTIENT(((c_TMAP3IN)-(c_TMAP2IN)),2)))&lt;0,-1,0),IF(IF(o_WRAP=1,MOD(((c_TMAP3IN)-(c_TMAP2IN))*(((A880)-(c_TMAP2IN))*((c_TMAP3OUT)-(c_TMAP2OUT))+IF(((c_TMAP3OUT)-(c_TMAP2OUT))&gt;=0,1,-1)*QUOTIENT(((c_TMAP3IN)-(c_TMAP2IN)),2))+2147483648,4294967296)-2147483648,((c_TMAP3IN)-(c_TMAP2IN))*(((A880)-(c_TMAP2IN))*((c_TMAP3OUT)-(c_TMAP2OUT))+IF(((c_TMAP3OUT)-(c_TMAP2OUT))&gt;=0,1,-1)*QUOTIENT(((c_TMAP3IN)-(c_TMAP2IN)),2)))&gt;=0,1,0)))</f>
        <v>568</v>
      </c>
      <c r="G880" s="7" t="n">
        <f aca="false">IF(((1000)-(c_TMAP3IN))=0,(c_TMAP3OUT)+QUOTIENT(((1000)-(c_TMAP3OUT)),2),QUOTIENT((((A880)-(c_TMAP3IN))*((1000)-(c_TMAP3OUT))+IF(((1000)-(c_TMAP3OUT))&gt;=0,1,-1)*QUOTIENT(((1000)-(c_TMAP3IN)),2)),((1000)-(c_TMAP3IN)))+(c_TMAP3OUT)+IF(((1000)-(c_TMAP3OUT))&gt;=0,IF(IF(o_WRAP=1,MOD(((1000)-(c_TMAP3IN))*(((A880)-(c_TMAP3IN))*((1000)-(c_TMAP3OUT))+IF(((1000)-(c_TMAP3OUT))&gt;=0,1,-1)*QUOTIENT(((1000)-(c_TMAP3IN)),2))+2147483648,4294967296)-2147483648,((1000)-(c_TMAP3IN))*(((A880)-(c_TMAP3IN))*((1000)-(c_TMAP3OUT))+IF(((1000)-(c_TMAP3OUT))&gt;=0,1,-1)*QUOTIENT(((1000)-(c_TMAP3IN)),2)))&lt;0,-1,0),IF(IF(o_WRAP=1,MOD(((1000)-(c_TMAP3IN))*(((A880)-(c_TMAP3IN))*((1000)-(c_TMAP3OUT))+IF(((1000)-(c_TMAP3OUT))&gt;=0,1,-1)*QUOTIENT(((1000)-(c_TMAP3IN)),2))+2147483648,4294967296)-2147483648,((1000)-(c_TMAP3IN))*(((A880)-(c_TMAP3IN))*((1000)-(c_TMAP3OUT))+IF(((1000)-(c_TMAP3OUT))&gt;=0,1,-1)*QUOTIENT(((1000)-(c_TMAP3IN)),2)))&gt;=0,1,0)))</f>
        <v>846</v>
      </c>
      <c r="H880" s="7" t="str">
        <f aca="false">IF(A880&gt;=c_TFWD,IF(AND(A880&gt;=c_TMAP3IN,c_TMAP3IN&lt;1000),"Seg4 map3-100%",IF(AND(A880&gt;=c_TMAP2IN,c_TMAP3IN&gt;c_TMAP2IN),"Seg3 map2-map3",IF(AND(A880&gt;=c_TMAP1IN,c_TMAP2IN&gt;c_TMAP1IN),"Seg2 map1-map2","Seg1 TFWD-map1"))),IF(AND(A880=0,c_TCREEP&gt;0),"Creep",IF(AND(A880&lt;=c_TRNGMIN,A880&gt;=c_TRNGMAX,c_TRNGMIN-c_TRNGMAX&lt;&gt;0),"Regen ramp","Coast (0)")))</f>
        <v>Seg4 map3-100%</v>
      </c>
      <c r="I880" s="7" t="n">
        <f aca="false">IF(A880&gt;=c_TFWD,IF(AND(A880&gt;=c_TMAP3IN,c_TMAP3IN&lt;1000),G880,IF(AND(A880&gt;=c_TMAP2IN,c_TMAP3IN&gt;c_TMAP2IN),F880,IF(AND(A880&gt;=c_TMAP1IN,c_TMAP2IN&gt;c_TMAP1IN),E880,D880))),C880)</f>
        <v>846</v>
      </c>
      <c r="J880" s="7" t="str">
        <f aca="false">IF(I880&lt;-1090,"TOO LOW",IF(I880&gt;1090,"TOO HIGH",""))</f>
        <v/>
      </c>
      <c r="K880" s="15" t="n">
        <f aca="false">IF(J880&lt;&gt;"",0,IF(I880&gt;979,1000,I880))</f>
        <v>846</v>
      </c>
      <c r="L880" s="7" t="n">
        <f aca="false">K880/10</f>
        <v>84.6</v>
      </c>
    </row>
    <row r="881" customFormat="false" ht="15" hidden="false" customHeight="false" outlineLevel="0" collapsed="false">
      <c r="A881" s="7" t="n">
        <v>876</v>
      </c>
      <c r="B881" s="7" t="n">
        <f aca="false">A881/10</f>
        <v>87.6</v>
      </c>
      <c r="C881" s="7" t="n">
        <f aca="false">IF(AND(A881=0,c_TCREEP&gt;0),10*c_TCREEP,IF(AND(A881&lt;=c_TRNGMIN,A881&gt;=c_TRNGMAX,c_TRNGMIN-c_TRNGMAX&lt;&gt;0),-10*c_TMINRN+QUOTIENT((c_TMAXRN-c_TMINRN)*(100-QUOTIENT((A881-c_TRNGMAX)*100,c_TRNGMIN-c_TRNGMAX)),-10),0))</f>
        <v>0</v>
      </c>
      <c r="D881" s="7" t="n">
        <f aca="false">IF(((c_TMAP1IN)-(c_TFWD))=0,(0)+QUOTIENT(((c_TMAP1OUT)-(0)),2),QUOTIENT((((A881)-(c_TFWD))*((c_TMAP1OUT)-(0))+IF(((c_TMAP1OUT)-(0))&gt;=0,1,-1)*QUOTIENT(((c_TMAP1IN)-(c_TFWD)),2)),((c_TMAP1IN)-(c_TFWD)))+(0)+IF(((c_TMAP1OUT)-(0))&gt;=0,IF(IF(o_WRAP=1,MOD(((c_TMAP1IN)-(c_TFWD))*(((A881)-(c_TFWD))*((c_TMAP1OUT)-(0))+IF(((c_TMAP1OUT)-(0))&gt;=0,1,-1)*QUOTIENT(((c_TMAP1IN)-(c_TFWD)),2))+2147483648,4294967296)-2147483648,((c_TMAP1IN)-(c_TFWD))*(((A881)-(c_TFWD))*((c_TMAP1OUT)-(0))+IF(((c_TMAP1OUT)-(0))&gt;=0,1,-1)*QUOTIENT(((c_TMAP1IN)-(c_TFWD)),2)))&lt;0,-1,0),IF(IF(o_WRAP=1,MOD(((c_TMAP1IN)-(c_TFWD))*(((A881)-(c_TFWD))*((c_TMAP1OUT)-(0))+IF(((c_TMAP1OUT)-(0))&gt;=0,1,-1)*QUOTIENT(((c_TMAP1IN)-(c_TFWD)),2))+2147483648,4294967296)-2147483648,((c_TMAP1IN)-(c_TFWD))*(((A881)-(c_TFWD))*((c_TMAP1OUT)-(0))+IF(((c_TMAP1OUT)-(0))&gt;=0,1,-1)*QUOTIENT(((c_TMAP1IN)-(c_TFWD)),2)))&gt;=0,1,0)))</f>
        <v>674</v>
      </c>
      <c r="E881" s="7" t="n">
        <f aca="false">IF(((c_TMAP2IN)-(c_TMAP1IN))=0,(c_TMAP1OUT)+QUOTIENT(((c_TMAP2OUT)-(c_TMAP1OUT)),2),QUOTIENT((((A881)-(c_TMAP1IN))*((c_TMAP2OUT)-(c_TMAP1OUT))+IF(((c_TMAP2OUT)-(c_TMAP1OUT))&gt;=0,1,-1)*QUOTIENT(((c_TMAP2IN)-(c_TMAP1IN)),2)),((c_TMAP2IN)-(c_TMAP1IN)))+(c_TMAP1OUT)+IF(((c_TMAP2OUT)-(c_TMAP1OUT))&gt;=0,IF(IF(o_WRAP=1,MOD(((c_TMAP2IN)-(c_TMAP1IN))*(((A881)-(c_TMAP1IN))*((c_TMAP2OUT)-(c_TMAP1OUT))+IF(((c_TMAP2OUT)-(c_TMAP1OUT))&gt;=0,1,-1)*QUOTIENT(((c_TMAP2IN)-(c_TMAP1IN)),2))+2147483648,4294967296)-2147483648,((c_TMAP2IN)-(c_TMAP1IN))*(((A881)-(c_TMAP1IN))*((c_TMAP2OUT)-(c_TMAP1OUT))+IF(((c_TMAP2OUT)-(c_TMAP1OUT))&gt;=0,1,-1)*QUOTIENT(((c_TMAP2IN)-(c_TMAP1IN)),2)))&lt;0,-1,0),IF(IF(o_WRAP=1,MOD(((c_TMAP2IN)-(c_TMAP1IN))*(((A881)-(c_TMAP1IN))*((c_TMAP2OUT)-(c_TMAP1OUT))+IF(((c_TMAP2OUT)-(c_TMAP1OUT))&gt;=0,1,-1)*QUOTIENT(((c_TMAP2IN)-(c_TMAP1IN)),2))+2147483648,4294967296)-2147483648,((c_TMAP2IN)-(c_TMAP1IN))*(((A881)-(c_TMAP1IN))*((c_TMAP2OUT)-(c_TMAP1OUT))+IF(((c_TMAP2OUT)-(c_TMAP1OUT))&gt;=0,1,-1)*QUOTIENT(((c_TMAP2IN)-(c_TMAP1IN)),2)))&gt;=0,1,0)))</f>
        <v>380</v>
      </c>
      <c r="F881" s="7" t="n">
        <f aca="false">IF(((c_TMAP3IN)-(c_TMAP2IN))=0,(c_TMAP2OUT)+QUOTIENT(((c_TMAP3OUT)-(c_TMAP2OUT)),2),QUOTIENT((((A881)-(c_TMAP2IN))*((c_TMAP3OUT)-(c_TMAP2OUT))+IF(((c_TMAP3OUT)-(c_TMAP2OUT))&gt;=0,1,-1)*QUOTIENT(((c_TMAP3IN)-(c_TMAP2IN)),2)),((c_TMAP3IN)-(c_TMAP2IN)))+(c_TMAP2OUT)+IF(((c_TMAP3OUT)-(c_TMAP2OUT))&gt;=0,IF(IF(o_WRAP=1,MOD(((c_TMAP3IN)-(c_TMAP2IN))*(((A881)-(c_TMAP2IN))*((c_TMAP3OUT)-(c_TMAP2OUT))+IF(((c_TMAP3OUT)-(c_TMAP2OUT))&gt;=0,1,-1)*QUOTIENT(((c_TMAP3IN)-(c_TMAP2IN)),2))+2147483648,4294967296)-2147483648,((c_TMAP3IN)-(c_TMAP2IN))*(((A881)-(c_TMAP2IN))*((c_TMAP3OUT)-(c_TMAP2OUT))+IF(((c_TMAP3OUT)-(c_TMAP2OUT))&gt;=0,1,-1)*QUOTIENT(((c_TMAP3IN)-(c_TMAP2IN)),2)))&lt;0,-1,0),IF(IF(o_WRAP=1,MOD(((c_TMAP3IN)-(c_TMAP2IN))*(((A881)-(c_TMAP2IN))*((c_TMAP3OUT)-(c_TMAP2OUT))+IF(((c_TMAP3OUT)-(c_TMAP2OUT))&gt;=0,1,-1)*QUOTIENT(((c_TMAP3IN)-(c_TMAP2IN)),2))+2147483648,4294967296)-2147483648,((c_TMAP3IN)-(c_TMAP2IN))*(((A881)-(c_TMAP2IN))*((c_TMAP3OUT)-(c_TMAP2OUT))+IF(((c_TMAP3OUT)-(c_TMAP2OUT))&gt;=0,1,-1)*QUOTIENT(((c_TMAP3IN)-(c_TMAP2IN)),2)))&gt;=0,1,0)))</f>
        <v>568</v>
      </c>
      <c r="G881" s="7" t="n">
        <f aca="false">IF(((1000)-(c_TMAP3IN))=0,(c_TMAP3OUT)+QUOTIENT(((1000)-(c_TMAP3OUT)),2),QUOTIENT((((A881)-(c_TMAP3IN))*((1000)-(c_TMAP3OUT))+IF(((1000)-(c_TMAP3OUT))&gt;=0,1,-1)*QUOTIENT(((1000)-(c_TMAP3IN)),2)),((1000)-(c_TMAP3IN)))+(c_TMAP3OUT)+IF(((1000)-(c_TMAP3OUT))&gt;=0,IF(IF(o_WRAP=1,MOD(((1000)-(c_TMAP3IN))*(((A881)-(c_TMAP3IN))*((1000)-(c_TMAP3OUT))+IF(((1000)-(c_TMAP3OUT))&gt;=0,1,-1)*QUOTIENT(((1000)-(c_TMAP3IN)),2))+2147483648,4294967296)-2147483648,((1000)-(c_TMAP3IN))*(((A881)-(c_TMAP3IN))*((1000)-(c_TMAP3OUT))+IF(((1000)-(c_TMAP3OUT))&gt;=0,1,-1)*QUOTIENT(((1000)-(c_TMAP3IN)),2)))&lt;0,-1,0),IF(IF(o_WRAP=1,MOD(((1000)-(c_TMAP3IN))*(((A881)-(c_TMAP3IN))*((1000)-(c_TMAP3OUT))+IF(((1000)-(c_TMAP3OUT))&gt;=0,1,-1)*QUOTIENT(((1000)-(c_TMAP3IN)),2))+2147483648,4294967296)-2147483648,((1000)-(c_TMAP3IN))*(((A881)-(c_TMAP3IN))*((1000)-(c_TMAP3OUT))+IF(((1000)-(c_TMAP3OUT))&gt;=0,1,-1)*QUOTIENT(((1000)-(c_TMAP3IN)),2)))&gt;=0,1,0)))</f>
        <v>847</v>
      </c>
      <c r="H881" s="7" t="str">
        <f aca="false">IF(A881&gt;=c_TFWD,IF(AND(A881&gt;=c_TMAP3IN,c_TMAP3IN&lt;1000),"Seg4 map3-100%",IF(AND(A881&gt;=c_TMAP2IN,c_TMAP3IN&gt;c_TMAP2IN),"Seg3 map2-map3",IF(AND(A881&gt;=c_TMAP1IN,c_TMAP2IN&gt;c_TMAP1IN),"Seg2 map1-map2","Seg1 TFWD-map1"))),IF(AND(A881=0,c_TCREEP&gt;0),"Creep",IF(AND(A881&lt;=c_TRNGMIN,A881&gt;=c_TRNGMAX,c_TRNGMIN-c_TRNGMAX&lt;&gt;0),"Regen ramp","Coast (0)")))</f>
        <v>Seg4 map3-100%</v>
      </c>
      <c r="I881" s="7" t="n">
        <f aca="false">IF(A881&gt;=c_TFWD,IF(AND(A881&gt;=c_TMAP3IN,c_TMAP3IN&lt;1000),G881,IF(AND(A881&gt;=c_TMAP2IN,c_TMAP3IN&gt;c_TMAP2IN),F881,IF(AND(A881&gt;=c_TMAP1IN,c_TMAP2IN&gt;c_TMAP1IN),E881,D881))),C881)</f>
        <v>847</v>
      </c>
      <c r="J881" s="7" t="str">
        <f aca="false">IF(I881&lt;-1090,"TOO LOW",IF(I881&gt;1090,"TOO HIGH",""))</f>
        <v/>
      </c>
      <c r="K881" s="15" t="n">
        <f aca="false">IF(J881&lt;&gt;"",0,IF(I881&gt;979,1000,I881))</f>
        <v>847</v>
      </c>
      <c r="L881" s="7" t="n">
        <f aca="false">K881/10</f>
        <v>84.7</v>
      </c>
    </row>
    <row r="882" customFormat="false" ht="15" hidden="false" customHeight="false" outlineLevel="0" collapsed="false">
      <c r="A882" s="7" t="n">
        <v>877</v>
      </c>
      <c r="B882" s="7" t="n">
        <f aca="false">A882/10</f>
        <v>87.7</v>
      </c>
      <c r="C882" s="7" t="n">
        <f aca="false">IF(AND(A882=0,c_TCREEP&gt;0),10*c_TCREEP,IF(AND(A882&lt;=c_TRNGMIN,A882&gt;=c_TRNGMAX,c_TRNGMIN-c_TRNGMAX&lt;&gt;0),-10*c_TMINRN+QUOTIENT((c_TMAXRN-c_TMINRN)*(100-QUOTIENT((A882-c_TRNGMAX)*100,c_TRNGMIN-c_TRNGMAX)),-10),0))</f>
        <v>0</v>
      </c>
      <c r="D882" s="7" t="n">
        <f aca="false">IF(((c_TMAP1IN)-(c_TFWD))=0,(0)+QUOTIENT(((c_TMAP1OUT)-(0)),2),QUOTIENT((((A882)-(c_TFWD))*((c_TMAP1OUT)-(0))+IF(((c_TMAP1OUT)-(0))&gt;=0,1,-1)*QUOTIENT(((c_TMAP1IN)-(c_TFWD)),2)),((c_TMAP1IN)-(c_TFWD)))+(0)+IF(((c_TMAP1OUT)-(0))&gt;=0,IF(IF(o_WRAP=1,MOD(((c_TMAP1IN)-(c_TFWD))*(((A882)-(c_TFWD))*((c_TMAP1OUT)-(0))+IF(((c_TMAP1OUT)-(0))&gt;=0,1,-1)*QUOTIENT(((c_TMAP1IN)-(c_TFWD)),2))+2147483648,4294967296)-2147483648,((c_TMAP1IN)-(c_TFWD))*(((A882)-(c_TFWD))*((c_TMAP1OUT)-(0))+IF(((c_TMAP1OUT)-(0))&gt;=0,1,-1)*QUOTIENT(((c_TMAP1IN)-(c_TFWD)),2)))&lt;0,-1,0),IF(IF(o_WRAP=1,MOD(((c_TMAP1IN)-(c_TFWD))*(((A882)-(c_TFWD))*((c_TMAP1OUT)-(0))+IF(((c_TMAP1OUT)-(0))&gt;=0,1,-1)*QUOTIENT(((c_TMAP1IN)-(c_TFWD)),2))+2147483648,4294967296)-2147483648,((c_TMAP1IN)-(c_TFWD))*(((A882)-(c_TFWD))*((c_TMAP1OUT)-(0))+IF(((c_TMAP1OUT)-(0))&gt;=0,1,-1)*QUOTIENT(((c_TMAP1IN)-(c_TFWD)),2)))&gt;=0,1,0)))</f>
        <v>674</v>
      </c>
      <c r="E882" s="7" t="n">
        <f aca="false">IF(((c_TMAP2IN)-(c_TMAP1IN))=0,(c_TMAP1OUT)+QUOTIENT(((c_TMAP2OUT)-(c_TMAP1OUT)),2),QUOTIENT((((A882)-(c_TMAP1IN))*((c_TMAP2OUT)-(c_TMAP1OUT))+IF(((c_TMAP2OUT)-(c_TMAP1OUT))&gt;=0,1,-1)*QUOTIENT(((c_TMAP2IN)-(c_TMAP1IN)),2)),((c_TMAP2IN)-(c_TMAP1IN)))+(c_TMAP1OUT)+IF(((c_TMAP2OUT)-(c_TMAP1OUT))&gt;=0,IF(IF(o_WRAP=1,MOD(((c_TMAP2IN)-(c_TMAP1IN))*(((A882)-(c_TMAP1IN))*((c_TMAP2OUT)-(c_TMAP1OUT))+IF(((c_TMAP2OUT)-(c_TMAP1OUT))&gt;=0,1,-1)*QUOTIENT(((c_TMAP2IN)-(c_TMAP1IN)),2))+2147483648,4294967296)-2147483648,((c_TMAP2IN)-(c_TMAP1IN))*(((A882)-(c_TMAP1IN))*((c_TMAP2OUT)-(c_TMAP1OUT))+IF(((c_TMAP2OUT)-(c_TMAP1OUT))&gt;=0,1,-1)*QUOTIENT(((c_TMAP2IN)-(c_TMAP1IN)),2)))&lt;0,-1,0),IF(IF(o_WRAP=1,MOD(((c_TMAP2IN)-(c_TMAP1IN))*(((A882)-(c_TMAP1IN))*((c_TMAP2OUT)-(c_TMAP1OUT))+IF(((c_TMAP2OUT)-(c_TMAP1OUT))&gt;=0,1,-1)*QUOTIENT(((c_TMAP2IN)-(c_TMAP1IN)),2))+2147483648,4294967296)-2147483648,((c_TMAP2IN)-(c_TMAP1IN))*(((A882)-(c_TMAP1IN))*((c_TMAP2OUT)-(c_TMAP1OUT))+IF(((c_TMAP2OUT)-(c_TMAP1OUT))&gt;=0,1,-1)*QUOTIENT(((c_TMAP2IN)-(c_TMAP1IN)),2)))&gt;=0,1,0)))</f>
        <v>381</v>
      </c>
      <c r="F882" s="7" t="n">
        <f aca="false">IF(((c_TMAP3IN)-(c_TMAP2IN))=0,(c_TMAP2OUT)+QUOTIENT(((c_TMAP3OUT)-(c_TMAP2OUT)),2),QUOTIENT((((A882)-(c_TMAP2IN))*((c_TMAP3OUT)-(c_TMAP2OUT))+IF(((c_TMAP3OUT)-(c_TMAP2OUT))&gt;=0,1,-1)*QUOTIENT(((c_TMAP3IN)-(c_TMAP2IN)),2)),((c_TMAP3IN)-(c_TMAP2IN)))+(c_TMAP2OUT)+IF(((c_TMAP3OUT)-(c_TMAP2OUT))&gt;=0,IF(IF(o_WRAP=1,MOD(((c_TMAP3IN)-(c_TMAP2IN))*(((A882)-(c_TMAP2IN))*((c_TMAP3OUT)-(c_TMAP2OUT))+IF(((c_TMAP3OUT)-(c_TMAP2OUT))&gt;=0,1,-1)*QUOTIENT(((c_TMAP3IN)-(c_TMAP2IN)),2))+2147483648,4294967296)-2147483648,((c_TMAP3IN)-(c_TMAP2IN))*(((A882)-(c_TMAP2IN))*((c_TMAP3OUT)-(c_TMAP2OUT))+IF(((c_TMAP3OUT)-(c_TMAP2OUT))&gt;=0,1,-1)*QUOTIENT(((c_TMAP3IN)-(c_TMAP2IN)),2)))&lt;0,-1,0),IF(IF(o_WRAP=1,MOD(((c_TMAP3IN)-(c_TMAP2IN))*(((A882)-(c_TMAP2IN))*((c_TMAP3OUT)-(c_TMAP2OUT))+IF(((c_TMAP3OUT)-(c_TMAP2OUT))&gt;=0,1,-1)*QUOTIENT(((c_TMAP3IN)-(c_TMAP2IN)),2))+2147483648,4294967296)-2147483648,((c_TMAP3IN)-(c_TMAP2IN))*(((A882)-(c_TMAP2IN))*((c_TMAP3OUT)-(c_TMAP2OUT))+IF(((c_TMAP3OUT)-(c_TMAP2OUT))&gt;=0,1,-1)*QUOTIENT(((c_TMAP3IN)-(c_TMAP2IN)),2)))&gt;=0,1,0)))</f>
        <v>569</v>
      </c>
      <c r="G882" s="7" t="n">
        <f aca="false">IF(((1000)-(c_TMAP3IN))=0,(c_TMAP3OUT)+QUOTIENT(((1000)-(c_TMAP3OUT)),2),QUOTIENT((((A882)-(c_TMAP3IN))*((1000)-(c_TMAP3OUT))+IF(((1000)-(c_TMAP3OUT))&gt;=0,1,-1)*QUOTIENT(((1000)-(c_TMAP3IN)),2)),((1000)-(c_TMAP3IN)))+(c_TMAP3OUT)+IF(((1000)-(c_TMAP3OUT))&gt;=0,IF(IF(o_WRAP=1,MOD(((1000)-(c_TMAP3IN))*(((A882)-(c_TMAP3IN))*((1000)-(c_TMAP3OUT))+IF(((1000)-(c_TMAP3OUT))&gt;=0,1,-1)*QUOTIENT(((1000)-(c_TMAP3IN)),2))+2147483648,4294967296)-2147483648,((1000)-(c_TMAP3IN))*(((A882)-(c_TMAP3IN))*((1000)-(c_TMAP3OUT))+IF(((1000)-(c_TMAP3OUT))&gt;=0,1,-1)*QUOTIENT(((1000)-(c_TMAP3IN)),2)))&lt;0,-1,0),IF(IF(o_WRAP=1,MOD(((1000)-(c_TMAP3IN))*(((A882)-(c_TMAP3IN))*((1000)-(c_TMAP3OUT))+IF(((1000)-(c_TMAP3OUT))&gt;=0,1,-1)*QUOTIENT(((1000)-(c_TMAP3IN)),2))+2147483648,4294967296)-2147483648,((1000)-(c_TMAP3IN))*(((A882)-(c_TMAP3IN))*((1000)-(c_TMAP3OUT))+IF(((1000)-(c_TMAP3OUT))&gt;=0,1,-1)*QUOTIENT(((1000)-(c_TMAP3IN)),2)))&gt;=0,1,0)))</f>
        <v>849</v>
      </c>
      <c r="H882" s="7" t="str">
        <f aca="false">IF(A882&gt;=c_TFWD,IF(AND(A882&gt;=c_TMAP3IN,c_TMAP3IN&lt;1000),"Seg4 map3-100%",IF(AND(A882&gt;=c_TMAP2IN,c_TMAP3IN&gt;c_TMAP2IN),"Seg3 map2-map3",IF(AND(A882&gt;=c_TMAP1IN,c_TMAP2IN&gt;c_TMAP1IN),"Seg2 map1-map2","Seg1 TFWD-map1"))),IF(AND(A882=0,c_TCREEP&gt;0),"Creep",IF(AND(A882&lt;=c_TRNGMIN,A882&gt;=c_TRNGMAX,c_TRNGMIN-c_TRNGMAX&lt;&gt;0),"Regen ramp","Coast (0)")))</f>
        <v>Seg4 map3-100%</v>
      </c>
      <c r="I882" s="7" t="n">
        <f aca="false">IF(A882&gt;=c_TFWD,IF(AND(A882&gt;=c_TMAP3IN,c_TMAP3IN&lt;1000),G882,IF(AND(A882&gt;=c_TMAP2IN,c_TMAP3IN&gt;c_TMAP2IN),F882,IF(AND(A882&gt;=c_TMAP1IN,c_TMAP2IN&gt;c_TMAP1IN),E882,D882))),C882)</f>
        <v>849</v>
      </c>
      <c r="J882" s="7" t="str">
        <f aca="false">IF(I882&lt;-1090,"TOO LOW",IF(I882&gt;1090,"TOO HIGH",""))</f>
        <v/>
      </c>
      <c r="K882" s="15" t="n">
        <f aca="false">IF(J882&lt;&gt;"",0,IF(I882&gt;979,1000,I882))</f>
        <v>849</v>
      </c>
      <c r="L882" s="7" t="n">
        <f aca="false">K882/10</f>
        <v>84.9</v>
      </c>
    </row>
    <row r="883" customFormat="false" ht="15" hidden="false" customHeight="false" outlineLevel="0" collapsed="false">
      <c r="A883" s="7" t="n">
        <v>878</v>
      </c>
      <c r="B883" s="7" t="n">
        <f aca="false">A883/10</f>
        <v>87.8</v>
      </c>
      <c r="C883" s="7" t="n">
        <f aca="false">IF(AND(A883=0,c_TCREEP&gt;0),10*c_TCREEP,IF(AND(A883&lt;=c_TRNGMIN,A883&gt;=c_TRNGMAX,c_TRNGMIN-c_TRNGMAX&lt;&gt;0),-10*c_TMINRN+QUOTIENT((c_TMAXRN-c_TMINRN)*(100-QUOTIENT((A883-c_TRNGMAX)*100,c_TRNGMIN-c_TRNGMAX)),-10),0))</f>
        <v>0</v>
      </c>
      <c r="D883" s="7" t="n">
        <f aca="false">IF(((c_TMAP1IN)-(c_TFWD))=0,(0)+QUOTIENT(((c_TMAP1OUT)-(0)),2),QUOTIENT((((A883)-(c_TFWD))*((c_TMAP1OUT)-(0))+IF(((c_TMAP1OUT)-(0))&gt;=0,1,-1)*QUOTIENT(((c_TMAP1IN)-(c_TFWD)),2)),((c_TMAP1IN)-(c_TFWD)))+(0)+IF(((c_TMAP1OUT)-(0))&gt;=0,IF(IF(o_WRAP=1,MOD(((c_TMAP1IN)-(c_TFWD))*(((A883)-(c_TFWD))*((c_TMAP1OUT)-(0))+IF(((c_TMAP1OUT)-(0))&gt;=0,1,-1)*QUOTIENT(((c_TMAP1IN)-(c_TFWD)),2))+2147483648,4294967296)-2147483648,((c_TMAP1IN)-(c_TFWD))*(((A883)-(c_TFWD))*((c_TMAP1OUT)-(0))+IF(((c_TMAP1OUT)-(0))&gt;=0,1,-1)*QUOTIENT(((c_TMAP1IN)-(c_TFWD)),2)))&lt;0,-1,0),IF(IF(o_WRAP=1,MOD(((c_TMAP1IN)-(c_TFWD))*(((A883)-(c_TFWD))*((c_TMAP1OUT)-(0))+IF(((c_TMAP1OUT)-(0))&gt;=0,1,-1)*QUOTIENT(((c_TMAP1IN)-(c_TFWD)),2))+2147483648,4294967296)-2147483648,((c_TMAP1IN)-(c_TFWD))*(((A883)-(c_TFWD))*((c_TMAP1OUT)-(0))+IF(((c_TMAP1OUT)-(0))&gt;=0,1,-1)*QUOTIENT(((c_TMAP1IN)-(c_TFWD)),2)))&gt;=0,1,0)))</f>
        <v>675</v>
      </c>
      <c r="E883" s="7" t="n">
        <f aca="false">IF(((c_TMAP2IN)-(c_TMAP1IN))=0,(c_TMAP1OUT)+QUOTIENT(((c_TMAP2OUT)-(c_TMAP1OUT)),2),QUOTIENT((((A883)-(c_TMAP1IN))*((c_TMAP2OUT)-(c_TMAP1OUT))+IF(((c_TMAP2OUT)-(c_TMAP1OUT))&gt;=0,1,-1)*QUOTIENT(((c_TMAP2IN)-(c_TMAP1IN)),2)),((c_TMAP2IN)-(c_TMAP1IN)))+(c_TMAP1OUT)+IF(((c_TMAP2OUT)-(c_TMAP1OUT))&gt;=0,IF(IF(o_WRAP=1,MOD(((c_TMAP2IN)-(c_TMAP1IN))*(((A883)-(c_TMAP1IN))*((c_TMAP2OUT)-(c_TMAP1OUT))+IF(((c_TMAP2OUT)-(c_TMAP1OUT))&gt;=0,1,-1)*QUOTIENT(((c_TMAP2IN)-(c_TMAP1IN)),2))+2147483648,4294967296)-2147483648,((c_TMAP2IN)-(c_TMAP1IN))*(((A883)-(c_TMAP1IN))*((c_TMAP2OUT)-(c_TMAP1OUT))+IF(((c_TMAP2OUT)-(c_TMAP1OUT))&gt;=0,1,-1)*QUOTIENT(((c_TMAP2IN)-(c_TMAP1IN)),2)))&lt;0,-1,0),IF(IF(o_WRAP=1,MOD(((c_TMAP2IN)-(c_TMAP1IN))*(((A883)-(c_TMAP1IN))*((c_TMAP2OUT)-(c_TMAP1OUT))+IF(((c_TMAP2OUT)-(c_TMAP1OUT))&gt;=0,1,-1)*QUOTIENT(((c_TMAP2IN)-(c_TMAP1IN)),2))+2147483648,4294967296)-2147483648,((c_TMAP2IN)-(c_TMAP1IN))*(((A883)-(c_TMAP1IN))*((c_TMAP2OUT)-(c_TMAP1OUT))+IF(((c_TMAP2OUT)-(c_TMAP1OUT))&gt;=0,1,-1)*QUOTIENT(((c_TMAP2IN)-(c_TMAP1IN)),2)))&gt;=0,1,0)))</f>
        <v>381</v>
      </c>
      <c r="F883" s="7" t="n">
        <f aca="false">IF(((c_TMAP3IN)-(c_TMAP2IN))=0,(c_TMAP2OUT)+QUOTIENT(((c_TMAP3OUT)-(c_TMAP2OUT)),2),QUOTIENT((((A883)-(c_TMAP2IN))*((c_TMAP3OUT)-(c_TMAP2OUT))+IF(((c_TMAP3OUT)-(c_TMAP2OUT))&gt;=0,1,-1)*QUOTIENT(((c_TMAP3IN)-(c_TMAP2IN)),2)),((c_TMAP3IN)-(c_TMAP2IN)))+(c_TMAP2OUT)+IF(((c_TMAP3OUT)-(c_TMAP2OUT))&gt;=0,IF(IF(o_WRAP=1,MOD(((c_TMAP3IN)-(c_TMAP2IN))*(((A883)-(c_TMAP2IN))*((c_TMAP3OUT)-(c_TMAP2OUT))+IF(((c_TMAP3OUT)-(c_TMAP2OUT))&gt;=0,1,-1)*QUOTIENT(((c_TMAP3IN)-(c_TMAP2IN)),2))+2147483648,4294967296)-2147483648,((c_TMAP3IN)-(c_TMAP2IN))*(((A883)-(c_TMAP2IN))*((c_TMAP3OUT)-(c_TMAP2OUT))+IF(((c_TMAP3OUT)-(c_TMAP2OUT))&gt;=0,1,-1)*QUOTIENT(((c_TMAP3IN)-(c_TMAP2IN)),2)))&lt;0,-1,0),IF(IF(o_WRAP=1,MOD(((c_TMAP3IN)-(c_TMAP2IN))*(((A883)-(c_TMAP2IN))*((c_TMAP3OUT)-(c_TMAP2OUT))+IF(((c_TMAP3OUT)-(c_TMAP2OUT))&gt;=0,1,-1)*QUOTIENT(((c_TMAP3IN)-(c_TMAP2IN)),2))+2147483648,4294967296)-2147483648,((c_TMAP3IN)-(c_TMAP2IN))*(((A883)-(c_TMAP2IN))*((c_TMAP3OUT)-(c_TMAP2OUT))+IF(((c_TMAP3OUT)-(c_TMAP2OUT))&gt;=0,1,-1)*QUOTIENT(((c_TMAP3IN)-(c_TMAP2IN)),2)))&gt;=0,1,0)))</f>
        <v>570</v>
      </c>
      <c r="G883" s="7" t="n">
        <f aca="false">IF(((1000)-(c_TMAP3IN))=0,(c_TMAP3OUT)+QUOTIENT(((1000)-(c_TMAP3OUT)),2),QUOTIENT((((A883)-(c_TMAP3IN))*((1000)-(c_TMAP3OUT))+IF(((1000)-(c_TMAP3OUT))&gt;=0,1,-1)*QUOTIENT(((1000)-(c_TMAP3IN)),2)),((1000)-(c_TMAP3IN)))+(c_TMAP3OUT)+IF(((1000)-(c_TMAP3OUT))&gt;=0,IF(IF(o_WRAP=1,MOD(((1000)-(c_TMAP3IN))*(((A883)-(c_TMAP3IN))*((1000)-(c_TMAP3OUT))+IF(((1000)-(c_TMAP3OUT))&gt;=0,1,-1)*QUOTIENT(((1000)-(c_TMAP3IN)),2))+2147483648,4294967296)-2147483648,((1000)-(c_TMAP3IN))*(((A883)-(c_TMAP3IN))*((1000)-(c_TMAP3OUT))+IF(((1000)-(c_TMAP3OUT))&gt;=0,1,-1)*QUOTIENT(((1000)-(c_TMAP3IN)),2)))&lt;0,-1,0),IF(IF(o_WRAP=1,MOD(((1000)-(c_TMAP3IN))*(((A883)-(c_TMAP3IN))*((1000)-(c_TMAP3OUT))+IF(((1000)-(c_TMAP3OUT))&gt;=0,1,-1)*QUOTIENT(((1000)-(c_TMAP3IN)),2))+2147483648,4294967296)-2147483648,((1000)-(c_TMAP3IN))*(((A883)-(c_TMAP3IN))*((1000)-(c_TMAP3OUT))+IF(((1000)-(c_TMAP3OUT))&gt;=0,1,-1)*QUOTIENT(((1000)-(c_TMAP3IN)),2)))&gt;=0,1,0)))</f>
        <v>850</v>
      </c>
      <c r="H883" s="7" t="str">
        <f aca="false">IF(A883&gt;=c_TFWD,IF(AND(A883&gt;=c_TMAP3IN,c_TMAP3IN&lt;1000),"Seg4 map3-100%",IF(AND(A883&gt;=c_TMAP2IN,c_TMAP3IN&gt;c_TMAP2IN),"Seg3 map2-map3",IF(AND(A883&gt;=c_TMAP1IN,c_TMAP2IN&gt;c_TMAP1IN),"Seg2 map1-map2","Seg1 TFWD-map1"))),IF(AND(A883=0,c_TCREEP&gt;0),"Creep",IF(AND(A883&lt;=c_TRNGMIN,A883&gt;=c_TRNGMAX,c_TRNGMIN-c_TRNGMAX&lt;&gt;0),"Regen ramp","Coast (0)")))</f>
        <v>Seg4 map3-100%</v>
      </c>
      <c r="I883" s="7" t="n">
        <f aca="false">IF(A883&gt;=c_TFWD,IF(AND(A883&gt;=c_TMAP3IN,c_TMAP3IN&lt;1000),G883,IF(AND(A883&gt;=c_TMAP2IN,c_TMAP3IN&gt;c_TMAP2IN),F883,IF(AND(A883&gt;=c_TMAP1IN,c_TMAP2IN&gt;c_TMAP1IN),E883,D883))),C883)</f>
        <v>850</v>
      </c>
      <c r="J883" s="7" t="str">
        <f aca="false">IF(I883&lt;-1090,"TOO LOW",IF(I883&gt;1090,"TOO HIGH",""))</f>
        <v/>
      </c>
      <c r="K883" s="15" t="n">
        <f aca="false">IF(J883&lt;&gt;"",0,IF(I883&gt;979,1000,I883))</f>
        <v>850</v>
      </c>
      <c r="L883" s="7" t="n">
        <f aca="false">K883/10</f>
        <v>85</v>
      </c>
    </row>
    <row r="884" customFormat="false" ht="15" hidden="false" customHeight="false" outlineLevel="0" collapsed="false">
      <c r="A884" s="7" t="n">
        <v>879</v>
      </c>
      <c r="B884" s="7" t="n">
        <f aca="false">A884/10</f>
        <v>87.9</v>
      </c>
      <c r="C884" s="7" t="n">
        <f aca="false">IF(AND(A884=0,c_TCREEP&gt;0),10*c_TCREEP,IF(AND(A884&lt;=c_TRNGMIN,A884&gt;=c_TRNGMAX,c_TRNGMIN-c_TRNGMAX&lt;&gt;0),-10*c_TMINRN+QUOTIENT((c_TMAXRN-c_TMINRN)*(100-QUOTIENT((A884-c_TRNGMAX)*100,c_TRNGMIN-c_TRNGMAX)),-10),0))</f>
        <v>0</v>
      </c>
      <c r="D884" s="7" t="n">
        <f aca="false">IF(((c_TMAP1IN)-(c_TFWD))=0,(0)+QUOTIENT(((c_TMAP1OUT)-(0)),2),QUOTIENT((((A884)-(c_TFWD))*((c_TMAP1OUT)-(0))+IF(((c_TMAP1OUT)-(0))&gt;=0,1,-1)*QUOTIENT(((c_TMAP1IN)-(c_TFWD)),2)),((c_TMAP1IN)-(c_TFWD)))+(0)+IF(((c_TMAP1OUT)-(0))&gt;=0,IF(IF(o_WRAP=1,MOD(((c_TMAP1IN)-(c_TFWD))*(((A884)-(c_TFWD))*((c_TMAP1OUT)-(0))+IF(((c_TMAP1OUT)-(0))&gt;=0,1,-1)*QUOTIENT(((c_TMAP1IN)-(c_TFWD)),2))+2147483648,4294967296)-2147483648,((c_TMAP1IN)-(c_TFWD))*(((A884)-(c_TFWD))*((c_TMAP1OUT)-(0))+IF(((c_TMAP1OUT)-(0))&gt;=0,1,-1)*QUOTIENT(((c_TMAP1IN)-(c_TFWD)),2)))&lt;0,-1,0),IF(IF(o_WRAP=1,MOD(((c_TMAP1IN)-(c_TFWD))*(((A884)-(c_TFWD))*((c_TMAP1OUT)-(0))+IF(((c_TMAP1OUT)-(0))&gt;=0,1,-1)*QUOTIENT(((c_TMAP1IN)-(c_TFWD)),2))+2147483648,4294967296)-2147483648,((c_TMAP1IN)-(c_TFWD))*(((A884)-(c_TFWD))*((c_TMAP1OUT)-(0))+IF(((c_TMAP1OUT)-(0))&gt;=0,1,-1)*QUOTIENT(((c_TMAP1IN)-(c_TFWD)),2)))&gt;=0,1,0)))</f>
        <v>676</v>
      </c>
      <c r="E884" s="7" t="n">
        <f aca="false">IF(((c_TMAP2IN)-(c_TMAP1IN))=0,(c_TMAP1OUT)+QUOTIENT(((c_TMAP2OUT)-(c_TMAP1OUT)),2),QUOTIENT((((A884)-(c_TMAP1IN))*((c_TMAP2OUT)-(c_TMAP1OUT))+IF(((c_TMAP2OUT)-(c_TMAP1OUT))&gt;=0,1,-1)*QUOTIENT(((c_TMAP2IN)-(c_TMAP1IN)),2)),((c_TMAP2IN)-(c_TMAP1IN)))+(c_TMAP1OUT)+IF(((c_TMAP2OUT)-(c_TMAP1OUT))&gt;=0,IF(IF(o_WRAP=1,MOD(((c_TMAP2IN)-(c_TMAP1IN))*(((A884)-(c_TMAP1IN))*((c_TMAP2OUT)-(c_TMAP1OUT))+IF(((c_TMAP2OUT)-(c_TMAP1OUT))&gt;=0,1,-1)*QUOTIENT(((c_TMAP2IN)-(c_TMAP1IN)),2))+2147483648,4294967296)-2147483648,((c_TMAP2IN)-(c_TMAP1IN))*(((A884)-(c_TMAP1IN))*((c_TMAP2OUT)-(c_TMAP1OUT))+IF(((c_TMAP2OUT)-(c_TMAP1OUT))&gt;=0,1,-1)*QUOTIENT(((c_TMAP2IN)-(c_TMAP1IN)),2)))&lt;0,-1,0),IF(IF(o_WRAP=1,MOD(((c_TMAP2IN)-(c_TMAP1IN))*(((A884)-(c_TMAP1IN))*((c_TMAP2OUT)-(c_TMAP1OUT))+IF(((c_TMAP2OUT)-(c_TMAP1OUT))&gt;=0,1,-1)*QUOTIENT(((c_TMAP2IN)-(c_TMAP1IN)),2))+2147483648,4294967296)-2147483648,((c_TMAP2IN)-(c_TMAP1IN))*(((A884)-(c_TMAP1IN))*((c_TMAP2OUT)-(c_TMAP1OUT))+IF(((c_TMAP2OUT)-(c_TMAP1OUT))&gt;=0,1,-1)*QUOTIENT(((c_TMAP2IN)-(c_TMAP1IN)),2)))&gt;=0,1,0)))</f>
        <v>382</v>
      </c>
      <c r="F884" s="7" t="n">
        <f aca="false">IF(((c_TMAP3IN)-(c_TMAP2IN))=0,(c_TMAP2OUT)+QUOTIENT(((c_TMAP3OUT)-(c_TMAP2OUT)),2),QUOTIENT((((A884)-(c_TMAP2IN))*((c_TMAP3OUT)-(c_TMAP2OUT))+IF(((c_TMAP3OUT)-(c_TMAP2OUT))&gt;=0,1,-1)*QUOTIENT(((c_TMAP3IN)-(c_TMAP2IN)),2)),((c_TMAP3IN)-(c_TMAP2IN)))+(c_TMAP2OUT)+IF(((c_TMAP3OUT)-(c_TMAP2OUT))&gt;=0,IF(IF(o_WRAP=1,MOD(((c_TMAP3IN)-(c_TMAP2IN))*(((A884)-(c_TMAP2IN))*((c_TMAP3OUT)-(c_TMAP2OUT))+IF(((c_TMAP3OUT)-(c_TMAP2OUT))&gt;=0,1,-1)*QUOTIENT(((c_TMAP3IN)-(c_TMAP2IN)),2))+2147483648,4294967296)-2147483648,((c_TMAP3IN)-(c_TMAP2IN))*(((A884)-(c_TMAP2IN))*((c_TMAP3OUT)-(c_TMAP2OUT))+IF(((c_TMAP3OUT)-(c_TMAP2OUT))&gt;=0,1,-1)*QUOTIENT(((c_TMAP3IN)-(c_TMAP2IN)),2)))&lt;0,-1,0),IF(IF(o_WRAP=1,MOD(((c_TMAP3IN)-(c_TMAP2IN))*(((A884)-(c_TMAP2IN))*((c_TMAP3OUT)-(c_TMAP2OUT))+IF(((c_TMAP3OUT)-(c_TMAP2OUT))&gt;=0,1,-1)*QUOTIENT(((c_TMAP3IN)-(c_TMAP2IN)),2))+2147483648,4294967296)-2147483648,((c_TMAP3IN)-(c_TMAP2IN))*(((A884)-(c_TMAP2IN))*((c_TMAP3OUT)-(c_TMAP2OUT))+IF(((c_TMAP3OUT)-(c_TMAP2OUT))&gt;=0,1,-1)*QUOTIENT(((c_TMAP3IN)-(c_TMAP2IN)),2)))&gt;=0,1,0)))</f>
        <v>570</v>
      </c>
      <c r="G884" s="7" t="n">
        <f aca="false">IF(((1000)-(c_TMAP3IN))=0,(c_TMAP3OUT)+QUOTIENT(((1000)-(c_TMAP3OUT)),2),QUOTIENT((((A884)-(c_TMAP3IN))*((1000)-(c_TMAP3OUT))+IF(((1000)-(c_TMAP3OUT))&gt;=0,1,-1)*QUOTIENT(((1000)-(c_TMAP3IN)),2)),((1000)-(c_TMAP3IN)))+(c_TMAP3OUT)+IF(((1000)-(c_TMAP3OUT))&gt;=0,IF(IF(o_WRAP=1,MOD(((1000)-(c_TMAP3IN))*(((A884)-(c_TMAP3IN))*((1000)-(c_TMAP3OUT))+IF(((1000)-(c_TMAP3OUT))&gt;=0,1,-1)*QUOTIENT(((1000)-(c_TMAP3IN)),2))+2147483648,4294967296)-2147483648,((1000)-(c_TMAP3IN))*(((A884)-(c_TMAP3IN))*((1000)-(c_TMAP3OUT))+IF(((1000)-(c_TMAP3OUT))&gt;=0,1,-1)*QUOTIENT(((1000)-(c_TMAP3IN)),2)))&lt;0,-1,0),IF(IF(o_WRAP=1,MOD(((1000)-(c_TMAP3IN))*(((A884)-(c_TMAP3IN))*((1000)-(c_TMAP3OUT))+IF(((1000)-(c_TMAP3OUT))&gt;=0,1,-1)*QUOTIENT(((1000)-(c_TMAP3IN)),2))+2147483648,4294967296)-2147483648,((1000)-(c_TMAP3IN))*(((A884)-(c_TMAP3IN))*((1000)-(c_TMAP3OUT))+IF(((1000)-(c_TMAP3OUT))&gt;=0,1,-1)*QUOTIENT(((1000)-(c_TMAP3IN)),2)))&gt;=0,1,0)))</f>
        <v>851</v>
      </c>
      <c r="H884" s="7" t="str">
        <f aca="false">IF(A884&gt;=c_TFWD,IF(AND(A884&gt;=c_TMAP3IN,c_TMAP3IN&lt;1000),"Seg4 map3-100%",IF(AND(A884&gt;=c_TMAP2IN,c_TMAP3IN&gt;c_TMAP2IN),"Seg3 map2-map3",IF(AND(A884&gt;=c_TMAP1IN,c_TMAP2IN&gt;c_TMAP1IN),"Seg2 map1-map2","Seg1 TFWD-map1"))),IF(AND(A884=0,c_TCREEP&gt;0),"Creep",IF(AND(A884&lt;=c_TRNGMIN,A884&gt;=c_TRNGMAX,c_TRNGMIN-c_TRNGMAX&lt;&gt;0),"Regen ramp","Coast (0)")))</f>
        <v>Seg4 map3-100%</v>
      </c>
      <c r="I884" s="7" t="n">
        <f aca="false">IF(A884&gt;=c_TFWD,IF(AND(A884&gt;=c_TMAP3IN,c_TMAP3IN&lt;1000),G884,IF(AND(A884&gt;=c_TMAP2IN,c_TMAP3IN&gt;c_TMAP2IN),F884,IF(AND(A884&gt;=c_TMAP1IN,c_TMAP2IN&gt;c_TMAP1IN),E884,D884))),C884)</f>
        <v>851</v>
      </c>
      <c r="J884" s="7" t="str">
        <f aca="false">IF(I884&lt;-1090,"TOO LOW",IF(I884&gt;1090,"TOO HIGH",""))</f>
        <v/>
      </c>
      <c r="K884" s="15" t="n">
        <f aca="false">IF(J884&lt;&gt;"",0,IF(I884&gt;979,1000,I884))</f>
        <v>851</v>
      </c>
      <c r="L884" s="7" t="n">
        <f aca="false">K884/10</f>
        <v>85.1</v>
      </c>
    </row>
    <row r="885" customFormat="false" ht="15" hidden="false" customHeight="false" outlineLevel="0" collapsed="false">
      <c r="A885" s="7" t="n">
        <v>880</v>
      </c>
      <c r="B885" s="7" t="n">
        <f aca="false">A885/10</f>
        <v>88</v>
      </c>
      <c r="C885" s="7" t="n">
        <f aca="false">IF(AND(A885=0,c_TCREEP&gt;0),10*c_TCREEP,IF(AND(A885&lt;=c_TRNGMIN,A885&gt;=c_TRNGMAX,c_TRNGMIN-c_TRNGMAX&lt;&gt;0),-10*c_TMINRN+QUOTIENT((c_TMAXRN-c_TMINRN)*(100-QUOTIENT((A885-c_TRNGMAX)*100,c_TRNGMIN-c_TRNGMAX)),-10),0))</f>
        <v>0</v>
      </c>
      <c r="D885" s="7" t="n">
        <f aca="false">IF(((c_TMAP1IN)-(c_TFWD))=0,(0)+QUOTIENT(((c_TMAP1OUT)-(0)),2),QUOTIENT((((A885)-(c_TFWD))*((c_TMAP1OUT)-(0))+IF(((c_TMAP1OUT)-(0))&gt;=0,1,-1)*QUOTIENT(((c_TMAP1IN)-(c_TFWD)),2)),((c_TMAP1IN)-(c_TFWD)))+(0)+IF(((c_TMAP1OUT)-(0))&gt;=0,IF(IF(o_WRAP=1,MOD(((c_TMAP1IN)-(c_TFWD))*(((A885)-(c_TFWD))*((c_TMAP1OUT)-(0))+IF(((c_TMAP1OUT)-(0))&gt;=0,1,-1)*QUOTIENT(((c_TMAP1IN)-(c_TFWD)),2))+2147483648,4294967296)-2147483648,((c_TMAP1IN)-(c_TFWD))*(((A885)-(c_TFWD))*((c_TMAP1OUT)-(0))+IF(((c_TMAP1OUT)-(0))&gt;=0,1,-1)*QUOTIENT(((c_TMAP1IN)-(c_TFWD)),2)))&lt;0,-1,0),IF(IF(o_WRAP=1,MOD(((c_TMAP1IN)-(c_TFWD))*(((A885)-(c_TFWD))*((c_TMAP1OUT)-(0))+IF(((c_TMAP1OUT)-(0))&gt;=0,1,-1)*QUOTIENT(((c_TMAP1IN)-(c_TFWD)),2))+2147483648,4294967296)-2147483648,((c_TMAP1IN)-(c_TFWD))*(((A885)-(c_TFWD))*((c_TMAP1OUT)-(0))+IF(((c_TMAP1OUT)-(0))&gt;=0,1,-1)*QUOTIENT(((c_TMAP1IN)-(c_TFWD)),2)))&gt;=0,1,0)))</f>
        <v>677</v>
      </c>
      <c r="E885" s="7" t="n">
        <f aca="false">IF(((c_TMAP2IN)-(c_TMAP1IN))=0,(c_TMAP1OUT)+QUOTIENT(((c_TMAP2OUT)-(c_TMAP1OUT)),2),QUOTIENT((((A885)-(c_TMAP1IN))*((c_TMAP2OUT)-(c_TMAP1OUT))+IF(((c_TMAP2OUT)-(c_TMAP1OUT))&gt;=0,1,-1)*QUOTIENT(((c_TMAP2IN)-(c_TMAP1IN)),2)),((c_TMAP2IN)-(c_TMAP1IN)))+(c_TMAP1OUT)+IF(((c_TMAP2OUT)-(c_TMAP1OUT))&gt;=0,IF(IF(o_WRAP=1,MOD(((c_TMAP2IN)-(c_TMAP1IN))*(((A885)-(c_TMAP1IN))*((c_TMAP2OUT)-(c_TMAP1OUT))+IF(((c_TMAP2OUT)-(c_TMAP1OUT))&gt;=0,1,-1)*QUOTIENT(((c_TMAP2IN)-(c_TMAP1IN)),2))+2147483648,4294967296)-2147483648,((c_TMAP2IN)-(c_TMAP1IN))*(((A885)-(c_TMAP1IN))*((c_TMAP2OUT)-(c_TMAP1OUT))+IF(((c_TMAP2OUT)-(c_TMAP1OUT))&gt;=0,1,-1)*QUOTIENT(((c_TMAP2IN)-(c_TMAP1IN)),2)))&lt;0,-1,0),IF(IF(o_WRAP=1,MOD(((c_TMAP2IN)-(c_TMAP1IN))*(((A885)-(c_TMAP1IN))*((c_TMAP2OUT)-(c_TMAP1OUT))+IF(((c_TMAP2OUT)-(c_TMAP1OUT))&gt;=0,1,-1)*QUOTIENT(((c_TMAP2IN)-(c_TMAP1IN)),2))+2147483648,4294967296)-2147483648,((c_TMAP2IN)-(c_TMAP1IN))*(((A885)-(c_TMAP1IN))*((c_TMAP2OUT)-(c_TMAP1OUT))+IF(((c_TMAP2OUT)-(c_TMAP1OUT))&gt;=0,1,-1)*QUOTIENT(((c_TMAP2IN)-(c_TMAP1IN)),2)))&gt;=0,1,0)))</f>
        <v>382</v>
      </c>
      <c r="F885" s="7" t="n">
        <f aca="false">IF(((c_TMAP3IN)-(c_TMAP2IN))=0,(c_TMAP2OUT)+QUOTIENT(((c_TMAP3OUT)-(c_TMAP2OUT)),2),QUOTIENT((((A885)-(c_TMAP2IN))*((c_TMAP3OUT)-(c_TMAP2OUT))+IF(((c_TMAP3OUT)-(c_TMAP2OUT))&gt;=0,1,-1)*QUOTIENT(((c_TMAP3IN)-(c_TMAP2IN)),2)),((c_TMAP3IN)-(c_TMAP2IN)))+(c_TMAP2OUT)+IF(((c_TMAP3OUT)-(c_TMAP2OUT))&gt;=0,IF(IF(o_WRAP=1,MOD(((c_TMAP3IN)-(c_TMAP2IN))*(((A885)-(c_TMAP2IN))*((c_TMAP3OUT)-(c_TMAP2OUT))+IF(((c_TMAP3OUT)-(c_TMAP2OUT))&gt;=0,1,-1)*QUOTIENT(((c_TMAP3IN)-(c_TMAP2IN)),2))+2147483648,4294967296)-2147483648,((c_TMAP3IN)-(c_TMAP2IN))*(((A885)-(c_TMAP2IN))*((c_TMAP3OUT)-(c_TMAP2OUT))+IF(((c_TMAP3OUT)-(c_TMAP2OUT))&gt;=0,1,-1)*QUOTIENT(((c_TMAP3IN)-(c_TMAP2IN)),2)))&lt;0,-1,0),IF(IF(o_WRAP=1,MOD(((c_TMAP3IN)-(c_TMAP2IN))*(((A885)-(c_TMAP2IN))*((c_TMAP3OUT)-(c_TMAP2OUT))+IF(((c_TMAP3OUT)-(c_TMAP2OUT))&gt;=0,1,-1)*QUOTIENT(((c_TMAP3IN)-(c_TMAP2IN)),2))+2147483648,4294967296)-2147483648,((c_TMAP3IN)-(c_TMAP2IN))*(((A885)-(c_TMAP2IN))*((c_TMAP3OUT)-(c_TMAP2OUT))+IF(((c_TMAP3OUT)-(c_TMAP2OUT))&gt;=0,1,-1)*QUOTIENT(((c_TMAP3IN)-(c_TMAP2IN)),2)))&gt;=0,1,0)))</f>
        <v>571</v>
      </c>
      <c r="G885" s="7" t="n">
        <f aca="false">IF(((1000)-(c_TMAP3IN))=0,(c_TMAP3OUT)+QUOTIENT(((1000)-(c_TMAP3OUT)),2),QUOTIENT((((A885)-(c_TMAP3IN))*((1000)-(c_TMAP3OUT))+IF(((1000)-(c_TMAP3OUT))&gt;=0,1,-1)*QUOTIENT(((1000)-(c_TMAP3IN)),2)),((1000)-(c_TMAP3IN)))+(c_TMAP3OUT)+IF(((1000)-(c_TMAP3OUT))&gt;=0,IF(IF(o_WRAP=1,MOD(((1000)-(c_TMAP3IN))*(((A885)-(c_TMAP3IN))*((1000)-(c_TMAP3OUT))+IF(((1000)-(c_TMAP3OUT))&gt;=0,1,-1)*QUOTIENT(((1000)-(c_TMAP3IN)),2))+2147483648,4294967296)-2147483648,((1000)-(c_TMAP3IN))*(((A885)-(c_TMAP3IN))*((1000)-(c_TMAP3OUT))+IF(((1000)-(c_TMAP3OUT))&gt;=0,1,-1)*QUOTIENT(((1000)-(c_TMAP3IN)),2)))&lt;0,-1,0),IF(IF(o_WRAP=1,MOD(((1000)-(c_TMAP3IN))*(((A885)-(c_TMAP3IN))*((1000)-(c_TMAP3OUT))+IF(((1000)-(c_TMAP3OUT))&gt;=0,1,-1)*QUOTIENT(((1000)-(c_TMAP3IN)),2))+2147483648,4294967296)-2147483648,((1000)-(c_TMAP3IN))*(((A885)-(c_TMAP3IN))*((1000)-(c_TMAP3OUT))+IF(((1000)-(c_TMAP3OUT))&gt;=0,1,-1)*QUOTIENT(((1000)-(c_TMAP3IN)),2)))&gt;=0,1,0)))</f>
        <v>852</v>
      </c>
      <c r="H885" s="7" t="str">
        <f aca="false">IF(A885&gt;=c_TFWD,IF(AND(A885&gt;=c_TMAP3IN,c_TMAP3IN&lt;1000),"Seg4 map3-100%",IF(AND(A885&gt;=c_TMAP2IN,c_TMAP3IN&gt;c_TMAP2IN),"Seg3 map2-map3",IF(AND(A885&gt;=c_TMAP1IN,c_TMAP2IN&gt;c_TMAP1IN),"Seg2 map1-map2","Seg1 TFWD-map1"))),IF(AND(A885=0,c_TCREEP&gt;0),"Creep",IF(AND(A885&lt;=c_TRNGMIN,A885&gt;=c_TRNGMAX,c_TRNGMIN-c_TRNGMAX&lt;&gt;0),"Regen ramp","Coast (0)")))</f>
        <v>Seg4 map3-100%</v>
      </c>
      <c r="I885" s="7" t="n">
        <f aca="false">IF(A885&gt;=c_TFWD,IF(AND(A885&gt;=c_TMAP3IN,c_TMAP3IN&lt;1000),G885,IF(AND(A885&gt;=c_TMAP2IN,c_TMAP3IN&gt;c_TMAP2IN),F885,IF(AND(A885&gt;=c_TMAP1IN,c_TMAP2IN&gt;c_TMAP1IN),E885,D885))),C885)</f>
        <v>852</v>
      </c>
      <c r="J885" s="7" t="str">
        <f aca="false">IF(I885&lt;-1090,"TOO LOW",IF(I885&gt;1090,"TOO HIGH",""))</f>
        <v/>
      </c>
      <c r="K885" s="15" t="n">
        <f aca="false">IF(J885&lt;&gt;"",0,IF(I885&gt;979,1000,I885))</f>
        <v>852</v>
      </c>
      <c r="L885" s="7" t="n">
        <f aca="false">K885/10</f>
        <v>85.2</v>
      </c>
    </row>
    <row r="886" customFormat="false" ht="15" hidden="false" customHeight="false" outlineLevel="0" collapsed="false">
      <c r="A886" s="7" t="n">
        <v>881</v>
      </c>
      <c r="B886" s="7" t="n">
        <f aca="false">A886/10</f>
        <v>88.1</v>
      </c>
      <c r="C886" s="7" t="n">
        <f aca="false">IF(AND(A886=0,c_TCREEP&gt;0),10*c_TCREEP,IF(AND(A886&lt;=c_TRNGMIN,A886&gt;=c_TRNGMAX,c_TRNGMIN-c_TRNGMAX&lt;&gt;0),-10*c_TMINRN+QUOTIENT((c_TMAXRN-c_TMINRN)*(100-QUOTIENT((A886-c_TRNGMAX)*100,c_TRNGMIN-c_TRNGMAX)),-10),0))</f>
        <v>0</v>
      </c>
      <c r="D886" s="7" t="n">
        <f aca="false">IF(((c_TMAP1IN)-(c_TFWD))=0,(0)+QUOTIENT(((c_TMAP1OUT)-(0)),2),QUOTIENT((((A886)-(c_TFWD))*((c_TMAP1OUT)-(0))+IF(((c_TMAP1OUT)-(0))&gt;=0,1,-1)*QUOTIENT(((c_TMAP1IN)-(c_TFWD)),2)),((c_TMAP1IN)-(c_TFWD)))+(0)+IF(((c_TMAP1OUT)-(0))&gt;=0,IF(IF(o_WRAP=1,MOD(((c_TMAP1IN)-(c_TFWD))*(((A886)-(c_TFWD))*((c_TMAP1OUT)-(0))+IF(((c_TMAP1OUT)-(0))&gt;=0,1,-1)*QUOTIENT(((c_TMAP1IN)-(c_TFWD)),2))+2147483648,4294967296)-2147483648,((c_TMAP1IN)-(c_TFWD))*(((A886)-(c_TFWD))*((c_TMAP1OUT)-(0))+IF(((c_TMAP1OUT)-(0))&gt;=0,1,-1)*QUOTIENT(((c_TMAP1IN)-(c_TFWD)),2)))&lt;0,-1,0),IF(IF(o_WRAP=1,MOD(((c_TMAP1IN)-(c_TFWD))*(((A886)-(c_TFWD))*((c_TMAP1OUT)-(0))+IF(((c_TMAP1OUT)-(0))&gt;=0,1,-1)*QUOTIENT(((c_TMAP1IN)-(c_TFWD)),2))+2147483648,4294967296)-2147483648,((c_TMAP1IN)-(c_TFWD))*(((A886)-(c_TFWD))*((c_TMAP1OUT)-(0))+IF(((c_TMAP1OUT)-(0))&gt;=0,1,-1)*QUOTIENT(((c_TMAP1IN)-(c_TFWD)),2)))&gt;=0,1,0)))</f>
        <v>677</v>
      </c>
      <c r="E886" s="7" t="n">
        <f aca="false">IF(((c_TMAP2IN)-(c_TMAP1IN))=0,(c_TMAP1OUT)+QUOTIENT(((c_TMAP2OUT)-(c_TMAP1OUT)),2),QUOTIENT((((A886)-(c_TMAP1IN))*((c_TMAP2OUT)-(c_TMAP1OUT))+IF(((c_TMAP2OUT)-(c_TMAP1OUT))&gt;=0,1,-1)*QUOTIENT(((c_TMAP2IN)-(c_TMAP1IN)),2)),((c_TMAP2IN)-(c_TMAP1IN)))+(c_TMAP1OUT)+IF(((c_TMAP2OUT)-(c_TMAP1OUT))&gt;=0,IF(IF(o_WRAP=1,MOD(((c_TMAP2IN)-(c_TMAP1IN))*(((A886)-(c_TMAP1IN))*((c_TMAP2OUT)-(c_TMAP1OUT))+IF(((c_TMAP2OUT)-(c_TMAP1OUT))&gt;=0,1,-1)*QUOTIENT(((c_TMAP2IN)-(c_TMAP1IN)),2))+2147483648,4294967296)-2147483648,((c_TMAP2IN)-(c_TMAP1IN))*(((A886)-(c_TMAP1IN))*((c_TMAP2OUT)-(c_TMAP1OUT))+IF(((c_TMAP2OUT)-(c_TMAP1OUT))&gt;=0,1,-1)*QUOTIENT(((c_TMAP2IN)-(c_TMAP1IN)),2)))&lt;0,-1,0),IF(IF(o_WRAP=1,MOD(((c_TMAP2IN)-(c_TMAP1IN))*(((A886)-(c_TMAP1IN))*((c_TMAP2OUT)-(c_TMAP1OUT))+IF(((c_TMAP2OUT)-(c_TMAP1OUT))&gt;=0,1,-1)*QUOTIENT(((c_TMAP2IN)-(c_TMAP1IN)),2))+2147483648,4294967296)-2147483648,((c_TMAP2IN)-(c_TMAP1IN))*(((A886)-(c_TMAP1IN))*((c_TMAP2OUT)-(c_TMAP1OUT))+IF(((c_TMAP2OUT)-(c_TMAP1OUT))&gt;=0,1,-1)*QUOTIENT(((c_TMAP2IN)-(c_TMAP1IN)),2)))&gt;=0,1,0)))</f>
        <v>382</v>
      </c>
      <c r="F886" s="7" t="n">
        <f aca="false">IF(((c_TMAP3IN)-(c_TMAP2IN))=0,(c_TMAP2OUT)+QUOTIENT(((c_TMAP3OUT)-(c_TMAP2OUT)),2),QUOTIENT((((A886)-(c_TMAP2IN))*((c_TMAP3OUT)-(c_TMAP2OUT))+IF(((c_TMAP3OUT)-(c_TMAP2OUT))&gt;=0,1,-1)*QUOTIENT(((c_TMAP3IN)-(c_TMAP2IN)),2)),((c_TMAP3IN)-(c_TMAP2IN)))+(c_TMAP2OUT)+IF(((c_TMAP3OUT)-(c_TMAP2OUT))&gt;=0,IF(IF(o_WRAP=1,MOD(((c_TMAP3IN)-(c_TMAP2IN))*(((A886)-(c_TMAP2IN))*((c_TMAP3OUT)-(c_TMAP2OUT))+IF(((c_TMAP3OUT)-(c_TMAP2OUT))&gt;=0,1,-1)*QUOTIENT(((c_TMAP3IN)-(c_TMAP2IN)),2))+2147483648,4294967296)-2147483648,((c_TMAP3IN)-(c_TMAP2IN))*(((A886)-(c_TMAP2IN))*((c_TMAP3OUT)-(c_TMAP2OUT))+IF(((c_TMAP3OUT)-(c_TMAP2OUT))&gt;=0,1,-1)*QUOTIENT(((c_TMAP3IN)-(c_TMAP2IN)),2)))&lt;0,-1,0),IF(IF(o_WRAP=1,MOD(((c_TMAP3IN)-(c_TMAP2IN))*(((A886)-(c_TMAP2IN))*((c_TMAP3OUT)-(c_TMAP2OUT))+IF(((c_TMAP3OUT)-(c_TMAP2OUT))&gt;=0,1,-1)*QUOTIENT(((c_TMAP3IN)-(c_TMAP2IN)),2))+2147483648,4294967296)-2147483648,((c_TMAP3IN)-(c_TMAP2IN))*(((A886)-(c_TMAP2IN))*((c_TMAP3OUT)-(c_TMAP2OUT))+IF(((c_TMAP3OUT)-(c_TMAP2OUT))&gt;=0,1,-1)*QUOTIENT(((c_TMAP3IN)-(c_TMAP2IN)),2)))&gt;=0,1,0)))</f>
        <v>572</v>
      </c>
      <c r="G886" s="7" t="n">
        <f aca="false">IF(((1000)-(c_TMAP3IN))=0,(c_TMAP3OUT)+QUOTIENT(((1000)-(c_TMAP3OUT)),2),QUOTIENT((((A886)-(c_TMAP3IN))*((1000)-(c_TMAP3OUT))+IF(((1000)-(c_TMAP3OUT))&gt;=0,1,-1)*QUOTIENT(((1000)-(c_TMAP3IN)),2)),((1000)-(c_TMAP3IN)))+(c_TMAP3OUT)+IF(((1000)-(c_TMAP3OUT))&gt;=0,IF(IF(o_WRAP=1,MOD(((1000)-(c_TMAP3IN))*(((A886)-(c_TMAP3IN))*((1000)-(c_TMAP3OUT))+IF(((1000)-(c_TMAP3OUT))&gt;=0,1,-1)*QUOTIENT(((1000)-(c_TMAP3IN)),2))+2147483648,4294967296)-2147483648,((1000)-(c_TMAP3IN))*(((A886)-(c_TMAP3IN))*((1000)-(c_TMAP3OUT))+IF(((1000)-(c_TMAP3OUT))&gt;=0,1,-1)*QUOTIENT(((1000)-(c_TMAP3IN)),2)))&lt;0,-1,0),IF(IF(o_WRAP=1,MOD(((1000)-(c_TMAP3IN))*(((A886)-(c_TMAP3IN))*((1000)-(c_TMAP3OUT))+IF(((1000)-(c_TMAP3OUT))&gt;=0,1,-1)*QUOTIENT(((1000)-(c_TMAP3IN)),2))+2147483648,4294967296)-2147483648,((1000)-(c_TMAP3IN))*(((A886)-(c_TMAP3IN))*((1000)-(c_TMAP3OUT))+IF(((1000)-(c_TMAP3OUT))&gt;=0,1,-1)*QUOTIENT(((1000)-(c_TMAP3IN)),2)))&gt;=0,1,0)))</f>
        <v>854</v>
      </c>
      <c r="H886" s="7" t="str">
        <f aca="false">IF(A886&gt;=c_TFWD,IF(AND(A886&gt;=c_TMAP3IN,c_TMAP3IN&lt;1000),"Seg4 map3-100%",IF(AND(A886&gt;=c_TMAP2IN,c_TMAP3IN&gt;c_TMAP2IN),"Seg3 map2-map3",IF(AND(A886&gt;=c_TMAP1IN,c_TMAP2IN&gt;c_TMAP1IN),"Seg2 map1-map2","Seg1 TFWD-map1"))),IF(AND(A886=0,c_TCREEP&gt;0),"Creep",IF(AND(A886&lt;=c_TRNGMIN,A886&gt;=c_TRNGMAX,c_TRNGMIN-c_TRNGMAX&lt;&gt;0),"Regen ramp","Coast (0)")))</f>
        <v>Seg4 map3-100%</v>
      </c>
      <c r="I886" s="7" t="n">
        <f aca="false">IF(A886&gt;=c_TFWD,IF(AND(A886&gt;=c_TMAP3IN,c_TMAP3IN&lt;1000),G886,IF(AND(A886&gt;=c_TMAP2IN,c_TMAP3IN&gt;c_TMAP2IN),F886,IF(AND(A886&gt;=c_TMAP1IN,c_TMAP2IN&gt;c_TMAP1IN),E886,D886))),C886)</f>
        <v>854</v>
      </c>
      <c r="J886" s="7" t="str">
        <f aca="false">IF(I886&lt;-1090,"TOO LOW",IF(I886&gt;1090,"TOO HIGH",""))</f>
        <v/>
      </c>
      <c r="K886" s="15" t="n">
        <f aca="false">IF(J886&lt;&gt;"",0,IF(I886&gt;979,1000,I886))</f>
        <v>854</v>
      </c>
      <c r="L886" s="7" t="n">
        <f aca="false">K886/10</f>
        <v>85.4</v>
      </c>
    </row>
    <row r="887" customFormat="false" ht="15" hidden="false" customHeight="false" outlineLevel="0" collapsed="false">
      <c r="A887" s="7" t="n">
        <v>882</v>
      </c>
      <c r="B887" s="7" t="n">
        <f aca="false">A887/10</f>
        <v>88.2</v>
      </c>
      <c r="C887" s="7" t="n">
        <f aca="false">IF(AND(A887=0,c_TCREEP&gt;0),10*c_TCREEP,IF(AND(A887&lt;=c_TRNGMIN,A887&gt;=c_TRNGMAX,c_TRNGMIN-c_TRNGMAX&lt;&gt;0),-10*c_TMINRN+QUOTIENT((c_TMAXRN-c_TMINRN)*(100-QUOTIENT((A887-c_TRNGMAX)*100,c_TRNGMIN-c_TRNGMAX)),-10),0))</f>
        <v>0</v>
      </c>
      <c r="D887" s="7" t="n">
        <f aca="false">IF(((c_TMAP1IN)-(c_TFWD))=0,(0)+QUOTIENT(((c_TMAP1OUT)-(0)),2),QUOTIENT((((A887)-(c_TFWD))*((c_TMAP1OUT)-(0))+IF(((c_TMAP1OUT)-(0))&gt;=0,1,-1)*QUOTIENT(((c_TMAP1IN)-(c_TFWD)),2)),((c_TMAP1IN)-(c_TFWD)))+(0)+IF(((c_TMAP1OUT)-(0))&gt;=0,IF(IF(o_WRAP=1,MOD(((c_TMAP1IN)-(c_TFWD))*(((A887)-(c_TFWD))*((c_TMAP1OUT)-(0))+IF(((c_TMAP1OUT)-(0))&gt;=0,1,-1)*QUOTIENT(((c_TMAP1IN)-(c_TFWD)),2))+2147483648,4294967296)-2147483648,((c_TMAP1IN)-(c_TFWD))*(((A887)-(c_TFWD))*((c_TMAP1OUT)-(0))+IF(((c_TMAP1OUT)-(0))&gt;=0,1,-1)*QUOTIENT(((c_TMAP1IN)-(c_TFWD)),2)))&lt;0,-1,0),IF(IF(o_WRAP=1,MOD(((c_TMAP1IN)-(c_TFWD))*(((A887)-(c_TFWD))*((c_TMAP1OUT)-(0))+IF(((c_TMAP1OUT)-(0))&gt;=0,1,-1)*QUOTIENT(((c_TMAP1IN)-(c_TFWD)),2))+2147483648,4294967296)-2147483648,((c_TMAP1IN)-(c_TFWD))*(((A887)-(c_TFWD))*((c_TMAP1OUT)-(0))+IF(((c_TMAP1OUT)-(0))&gt;=0,1,-1)*QUOTIENT(((c_TMAP1IN)-(c_TFWD)),2)))&gt;=0,1,0)))</f>
        <v>678</v>
      </c>
      <c r="E887" s="7" t="n">
        <f aca="false">IF(((c_TMAP2IN)-(c_TMAP1IN))=0,(c_TMAP1OUT)+QUOTIENT(((c_TMAP2OUT)-(c_TMAP1OUT)),2),QUOTIENT((((A887)-(c_TMAP1IN))*((c_TMAP2OUT)-(c_TMAP1OUT))+IF(((c_TMAP2OUT)-(c_TMAP1OUT))&gt;=0,1,-1)*QUOTIENT(((c_TMAP2IN)-(c_TMAP1IN)),2)),((c_TMAP2IN)-(c_TMAP1IN)))+(c_TMAP1OUT)+IF(((c_TMAP2OUT)-(c_TMAP1OUT))&gt;=0,IF(IF(o_WRAP=1,MOD(((c_TMAP2IN)-(c_TMAP1IN))*(((A887)-(c_TMAP1IN))*((c_TMAP2OUT)-(c_TMAP1OUT))+IF(((c_TMAP2OUT)-(c_TMAP1OUT))&gt;=0,1,-1)*QUOTIENT(((c_TMAP2IN)-(c_TMAP1IN)),2))+2147483648,4294967296)-2147483648,((c_TMAP2IN)-(c_TMAP1IN))*(((A887)-(c_TMAP1IN))*((c_TMAP2OUT)-(c_TMAP1OUT))+IF(((c_TMAP2OUT)-(c_TMAP1OUT))&gt;=0,1,-1)*QUOTIENT(((c_TMAP2IN)-(c_TMAP1IN)),2)))&lt;0,-1,0),IF(IF(o_WRAP=1,MOD(((c_TMAP2IN)-(c_TMAP1IN))*(((A887)-(c_TMAP1IN))*((c_TMAP2OUT)-(c_TMAP1OUT))+IF(((c_TMAP2OUT)-(c_TMAP1OUT))&gt;=0,1,-1)*QUOTIENT(((c_TMAP2IN)-(c_TMAP1IN)),2))+2147483648,4294967296)-2147483648,((c_TMAP2IN)-(c_TMAP1IN))*(((A887)-(c_TMAP1IN))*((c_TMAP2OUT)-(c_TMAP1OUT))+IF(((c_TMAP2OUT)-(c_TMAP1OUT))&gt;=0,1,-1)*QUOTIENT(((c_TMAP2IN)-(c_TMAP1IN)),2)))&gt;=0,1,0)))</f>
        <v>383</v>
      </c>
      <c r="F887" s="7" t="n">
        <f aca="false">IF(((c_TMAP3IN)-(c_TMAP2IN))=0,(c_TMAP2OUT)+QUOTIENT(((c_TMAP3OUT)-(c_TMAP2OUT)),2),QUOTIENT((((A887)-(c_TMAP2IN))*((c_TMAP3OUT)-(c_TMAP2OUT))+IF(((c_TMAP3OUT)-(c_TMAP2OUT))&gt;=0,1,-1)*QUOTIENT(((c_TMAP3IN)-(c_TMAP2IN)),2)),((c_TMAP3IN)-(c_TMAP2IN)))+(c_TMAP2OUT)+IF(((c_TMAP3OUT)-(c_TMAP2OUT))&gt;=0,IF(IF(o_WRAP=1,MOD(((c_TMAP3IN)-(c_TMAP2IN))*(((A887)-(c_TMAP2IN))*((c_TMAP3OUT)-(c_TMAP2OUT))+IF(((c_TMAP3OUT)-(c_TMAP2OUT))&gt;=0,1,-1)*QUOTIENT(((c_TMAP3IN)-(c_TMAP2IN)),2))+2147483648,4294967296)-2147483648,((c_TMAP3IN)-(c_TMAP2IN))*(((A887)-(c_TMAP2IN))*((c_TMAP3OUT)-(c_TMAP2OUT))+IF(((c_TMAP3OUT)-(c_TMAP2OUT))&gt;=0,1,-1)*QUOTIENT(((c_TMAP3IN)-(c_TMAP2IN)),2)))&lt;0,-1,0),IF(IF(o_WRAP=1,MOD(((c_TMAP3IN)-(c_TMAP2IN))*(((A887)-(c_TMAP2IN))*((c_TMAP3OUT)-(c_TMAP2OUT))+IF(((c_TMAP3OUT)-(c_TMAP2OUT))&gt;=0,1,-1)*QUOTIENT(((c_TMAP3IN)-(c_TMAP2IN)),2))+2147483648,4294967296)-2147483648,((c_TMAP3IN)-(c_TMAP2IN))*(((A887)-(c_TMAP2IN))*((c_TMAP3OUT)-(c_TMAP2OUT))+IF(((c_TMAP3OUT)-(c_TMAP2OUT))&gt;=0,1,-1)*QUOTIENT(((c_TMAP3IN)-(c_TMAP2IN)),2)))&gt;=0,1,0)))</f>
        <v>572</v>
      </c>
      <c r="G887" s="7" t="n">
        <f aca="false">IF(((1000)-(c_TMAP3IN))=0,(c_TMAP3OUT)+QUOTIENT(((1000)-(c_TMAP3OUT)),2),QUOTIENT((((A887)-(c_TMAP3IN))*((1000)-(c_TMAP3OUT))+IF(((1000)-(c_TMAP3OUT))&gt;=0,1,-1)*QUOTIENT(((1000)-(c_TMAP3IN)),2)),((1000)-(c_TMAP3IN)))+(c_TMAP3OUT)+IF(((1000)-(c_TMAP3OUT))&gt;=0,IF(IF(o_WRAP=1,MOD(((1000)-(c_TMAP3IN))*(((A887)-(c_TMAP3IN))*((1000)-(c_TMAP3OUT))+IF(((1000)-(c_TMAP3OUT))&gt;=0,1,-1)*QUOTIENT(((1000)-(c_TMAP3IN)),2))+2147483648,4294967296)-2147483648,((1000)-(c_TMAP3IN))*(((A887)-(c_TMAP3IN))*((1000)-(c_TMAP3OUT))+IF(((1000)-(c_TMAP3OUT))&gt;=0,1,-1)*QUOTIENT(((1000)-(c_TMAP3IN)),2)))&lt;0,-1,0),IF(IF(o_WRAP=1,MOD(((1000)-(c_TMAP3IN))*(((A887)-(c_TMAP3IN))*((1000)-(c_TMAP3OUT))+IF(((1000)-(c_TMAP3OUT))&gt;=0,1,-1)*QUOTIENT(((1000)-(c_TMAP3IN)),2))+2147483648,4294967296)-2147483648,((1000)-(c_TMAP3IN))*(((A887)-(c_TMAP3IN))*((1000)-(c_TMAP3OUT))+IF(((1000)-(c_TMAP3OUT))&gt;=0,1,-1)*QUOTIENT(((1000)-(c_TMAP3IN)),2)))&gt;=0,1,0)))</f>
        <v>855</v>
      </c>
      <c r="H887" s="7" t="str">
        <f aca="false">IF(A887&gt;=c_TFWD,IF(AND(A887&gt;=c_TMAP3IN,c_TMAP3IN&lt;1000),"Seg4 map3-100%",IF(AND(A887&gt;=c_TMAP2IN,c_TMAP3IN&gt;c_TMAP2IN),"Seg3 map2-map3",IF(AND(A887&gt;=c_TMAP1IN,c_TMAP2IN&gt;c_TMAP1IN),"Seg2 map1-map2","Seg1 TFWD-map1"))),IF(AND(A887=0,c_TCREEP&gt;0),"Creep",IF(AND(A887&lt;=c_TRNGMIN,A887&gt;=c_TRNGMAX,c_TRNGMIN-c_TRNGMAX&lt;&gt;0),"Regen ramp","Coast (0)")))</f>
        <v>Seg4 map3-100%</v>
      </c>
      <c r="I887" s="7" t="n">
        <f aca="false">IF(A887&gt;=c_TFWD,IF(AND(A887&gt;=c_TMAP3IN,c_TMAP3IN&lt;1000),G887,IF(AND(A887&gt;=c_TMAP2IN,c_TMAP3IN&gt;c_TMAP2IN),F887,IF(AND(A887&gt;=c_TMAP1IN,c_TMAP2IN&gt;c_TMAP1IN),E887,D887))),C887)</f>
        <v>855</v>
      </c>
      <c r="J887" s="7" t="str">
        <f aca="false">IF(I887&lt;-1090,"TOO LOW",IF(I887&gt;1090,"TOO HIGH",""))</f>
        <v/>
      </c>
      <c r="K887" s="15" t="n">
        <f aca="false">IF(J887&lt;&gt;"",0,IF(I887&gt;979,1000,I887))</f>
        <v>855</v>
      </c>
      <c r="L887" s="7" t="n">
        <f aca="false">K887/10</f>
        <v>85.5</v>
      </c>
    </row>
    <row r="888" customFormat="false" ht="15" hidden="false" customHeight="false" outlineLevel="0" collapsed="false">
      <c r="A888" s="7" t="n">
        <v>883</v>
      </c>
      <c r="B888" s="7" t="n">
        <f aca="false">A888/10</f>
        <v>88.3</v>
      </c>
      <c r="C888" s="7" t="n">
        <f aca="false">IF(AND(A888=0,c_TCREEP&gt;0),10*c_TCREEP,IF(AND(A888&lt;=c_TRNGMIN,A888&gt;=c_TRNGMAX,c_TRNGMIN-c_TRNGMAX&lt;&gt;0),-10*c_TMINRN+QUOTIENT((c_TMAXRN-c_TMINRN)*(100-QUOTIENT((A888-c_TRNGMAX)*100,c_TRNGMIN-c_TRNGMAX)),-10),0))</f>
        <v>0</v>
      </c>
      <c r="D888" s="7" t="n">
        <f aca="false">IF(((c_TMAP1IN)-(c_TFWD))=0,(0)+QUOTIENT(((c_TMAP1OUT)-(0)),2),QUOTIENT((((A888)-(c_TFWD))*((c_TMAP1OUT)-(0))+IF(((c_TMAP1OUT)-(0))&gt;=0,1,-1)*QUOTIENT(((c_TMAP1IN)-(c_TFWD)),2)),((c_TMAP1IN)-(c_TFWD)))+(0)+IF(((c_TMAP1OUT)-(0))&gt;=0,IF(IF(o_WRAP=1,MOD(((c_TMAP1IN)-(c_TFWD))*(((A888)-(c_TFWD))*((c_TMAP1OUT)-(0))+IF(((c_TMAP1OUT)-(0))&gt;=0,1,-1)*QUOTIENT(((c_TMAP1IN)-(c_TFWD)),2))+2147483648,4294967296)-2147483648,((c_TMAP1IN)-(c_TFWD))*(((A888)-(c_TFWD))*((c_TMAP1OUT)-(0))+IF(((c_TMAP1OUT)-(0))&gt;=0,1,-1)*QUOTIENT(((c_TMAP1IN)-(c_TFWD)),2)))&lt;0,-1,0),IF(IF(o_WRAP=1,MOD(((c_TMAP1IN)-(c_TFWD))*(((A888)-(c_TFWD))*((c_TMAP1OUT)-(0))+IF(((c_TMAP1OUT)-(0))&gt;=0,1,-1)*QUOTIENT(((c_TMAP1IN)-(c_TFWD)),2))+2147483648,4294967296)-2147483648,((c_TMAP1IN)-(c_TFWD))*(((A888)-(c_TFWD))*((c_TMAP1OUT)-(0))+IF(((c_TMAP1OUT)-(0))&gt;=0,1,-1)*QUOTIENT(((c_TMAP1IN)-(c_TFWD)),2)))&gt;=0,1,0)))</f>
        <v>679</v>
      </c>
      <c r="E888" s="7" t="n">
        <f aca="false">IF(((c_TMAP2IN)-(c_TMAP1IN))=0,(c_TMAP1OUT)+QUOTIENT(((c_TMAP2OUT)-(c_TMAP1OUT)),2),QUOTIENT((((A888)-(c_TMAP1IN))*((c_TMAP2OUT)-(c_TMAP1OUT))+IF(((c_TMAP2OUT)-(c_TMAP1OUT))&gt;=0,1,-1)*QUOTIENT(((c_TMAP2IN)-(c_TMAP1IN)),2)),((c_TMAP2IN)-(c_TMAP1IN)))+(c_TMAP1OUT)+IF(((c_TMAP2OUT)-(c_TMAP1OUT))&gt;=0,IF(IF(o_WRAP=1,MOD(((c_TMAP2IN)-(c_TMAP1IN))*(((A888)-(c_TMAP1IN))*((c_TMAP2OUT)-(c_TMAP1OUT))+IF(((c_TMAP2OUT)-(c_TMAP1OUT))&gt;=0,1,-1)*QUOTIENT(((c_TMAP2IN)-(c_TMAP1IN)),2))+2147483648,4294967296)-2147483648,((c_TMAP2IN)-(c_TMAP1IN))*(((A888)-(c_TMAP1IN))*((c_TMAP2OUT)-(c_TMAP1OUT))+IF(((c_TMAP2OUT)-(c_TMAP1OUT))&gt;=0,1,-1)*QUOTIENT(((c_TMAP2IN)-(c_TMAP1IN)),2)))&lt;0,-1,0),IF(IF(o_WRAP=1,MOD(((c_TMAP2IN)-(c_TMAP1IN))*(((A888)-(c_TMAP1IN))*((c_TMAP2OUT)-(c_TMAP1OUT))+IF(((c_TMAP2OUT)-(c_TMAP1OUT))&gt;=0,1,-1)*QUOTIENT(((c_TMAP2IN)-(c_TMAP1IN)),2))+2147483648,4294967296)-2147483648,((c_TMAP2IN)-(c_TMAP1IN))*(((A888)-(c_TMAP1IN))*((c_TMAP2OUT)-(c_TMAP1OUT))+IF(((c_TMAP2OUT)-(c_TMAP1OUT))&gt;=0,1,-1)*QUOTIENT(((c_TMAP2IN)-(c_TMAP1IN)),2)))&gt;=0,1,0)))</f>
        <v>383</v>
      </c>
      <c r="F888" s="7" t="n">
        <f aca="false">IF(((c_TMAP3IN)-(c_TMAP2IN))=0,(c_TMAP2OUT)+QUOTIENT(((c_TMAP3OUT)-(c_TMAP2OUT)),2),QUOTIENT((((A888)-(c_TMAP2IN))*((c_TMAP3OUT)-(c_TMAP2OUT))+IF(((c_TMAP3OUT)-(c_TMAP2OUT))&gt;=0,1,-1)*QUOTIENT(((c_TMAP3IN)-(c_TMAP2IN)),2)),((c_TMAP3IN)-(c_TMAP2IN)))+(c_TMAP2OUT)+IF(((c_TMAP3OUT)-(c_TMAP2OUT))&gt;=0,IF(IF(o_WRAP=1,MOD(((c_TMAP3IN)-(c_TMAP2IN))*(((A888)-(c_TMAP2IN))*((c_TMAP3OUT)-(c_TMAP2OUT))+IF(((c_TMAP3OUT)-(c_TMAP2OUT))&gt;=0,1,-1)*QUOTIENT(((c_TMAP3IN)-(c_TMAP2IN)),2))+2147483648,4294967296)-2147483648,((c_TMAP3IN)-(c_TMAP2IN))*(((A888)-(c_TMAP2IN))*((c_TMAP3OUT)-(c_TMAP2OUT))+IF(((c_TMAP3OUT)-(c_TMAP2OUT))&gt;=0,1,-1)*QUOTIENT(((c_TMAP3IN)-(c_TMAP2IN)),2)))&lt;0,-1,0),IF(IF(o_WRAP=1,MOD(((c_TMAP3IN)-(c_TMAP2IN))*(((A888)-(c_TMAP2IN))*((c_TMAP3OUT)-(c_TMAP2OUT))+IF(((c_TMAP3OUT)-(c_TMAP2OUT))&gt;=0,1,-1)*QUOTIENT(((c_TMAP3IN)-(c_TMAP2IN)),2))+2147483648,4294967296)-2147483648,((c_TMAP3IN)-(c_TMAP2IN))*(((A888)-(c_TMAP2IN))*((c_TMAP3OUT)-(c_TMAP2OUT))+IF(((c_TMAP3OUT)-(c_TMAP2OUT))&gt;=0,1,-1)*QUOTIENT(((c_TMAP3IN)-(c_TMAP2IN)),2)))&gt;=0,1,0)))</f>
        <v>573</v>
      </c>
      <c r="G888" s="7" t="n">
        <f aca="false">IF(((1000)-(c_TMAP3IN))=0,(c_TMAP3OUT)+QUOTIENT(((1000)-(c_TMAP3OUT)),2),QUOTIENT((((A888)-(c_TMAP3IN))*((1000)-(c_TMAP3OUT))+IF(((1000)-(c_TMAP3OUT))&gt;=0,1,-1)*QUOTIENT(((1000)-(c_TMAP3IN)),2)),((1000)-(c_TMAP3IN)))+(c_TMAP3OUT)+IF(((1000)-(c_TMAP3OUT))&gt;=0,IF(IF(o_WRAP=1,MOD(((1000)-(c_TMAP3IN))*(((A888)-(c_TMAP3IN))*((1000)-(c_TMAP3OUT))+IF(((1000)-(c_TMAP3OUT))&gt;=0,1,-1)*QUOTIENT(((1000)-(c_TMAP3IN)),2))+2147483648,4294967296)-2147483648,((1000)-(c_TMAP3IN))*(((A888)-(c_TMAP3IN))*((1000)-(c_TMAP3OUT))+IF(((1000)-(c_TMAP3OUT))&gt;=0,1,-1)*QUOTIENT(((1000)-(c_TMAP3IN)),2)))&lt;0,-1,0),IF(IF(o_WRAP=1,MOD(((1000)-(c_TMAP3IN))*(((A888)-(c_TMAP3IN))*((1000)-(c_TMAP3OUT))+IF(((1000)-(c_TMAP3OUT))&gt;=0,1,-1)*QUOTIENT(((1000)-(c_TMAP3IN)),2))+2147483648,4294967296)-2147483648,((1000)-(c_TMAP3IN))*(((A888)-(c_TMAP3IN))*((1000)-(c_TMAP3OUT))+IF(((1000)-(c_TMAP3OUT))&gt;=0,1,-1)*QUOTIENT(((1000)-(c_TMAP3IN)),2)))&gt;=0,1,0)))</f>
        <v>856</v>
      </c>
      <c r="H888" s="7" t="str">
        <f aca="false">IF(A888&gt;=c_TFWD,IF(AND(A888&gt;=c_TMAP3IN,c_TMAP3IN&lt;1000),"Seg4 map3-100%",IF(AND(A888&gt;=c_TMAP2IN,c_TMAP3IN&gt;c_TMAP2IN),"Seg3 map2-map3",IF(AND(A888&gt;=c_TMAP1IN,c_TMAP2IN&gt;c_TMAP1IN),"Seg2 map1-map2","Seg1 TFWD-map1"))),IF(AND(A888=0,c_TCREEP&gt;0),"Creep",IF(AND(A888&lt;=c_TRNGMIN,A888&gt;=c_TRNGMAX,c_TRNGMIN-c_TRNGMAX&lt;&gt;0),"Regen ramp","Coast (0)")))</f>
        <v>Seg4 map3-100%</v>
      </c>
      <c r="I888" s="7" t="n">
        <f aca="false">IF(A888&gt;=c_TFWD,IF(AND(A888&gt;=c_TMAP3IN,c_TMAP3IN&lt;1000),G888,IF(AND(A888&gt;=c_TMAP2IN,c_TMAP3IN&gt;c_TMAP2IN),F888,IF(AND(A888&gt;=c_TMAP1IN,c_TMAP2IN&gt;c_TMAP1IN),E888,D888))),C888)</f>
        <v>856</v>
      </c>
      <c r="J888" s="7" t="str">
        <f aca="false">IF(I888&lt;-1090,"TOO LOW",IF(I888&gt;1090,"TOO HIGH",""))</f>
        <v/>
      </c>
      <c r="K888" s="15" t="n">
        <f aca="false">IF(J888&lt;&gt;"",0,IF(I888&gt;979,1000,I888))</f>
        <v>856</v>
      </c>
      <c r="L888" s="7" t="n">
        <f aca="false">K888/10</f>
        <v>85.6</v>
      </c>
    </row>
    <row r="889" customFormat="false" ht="15" hidden="false" customHeight="false" outlineLevel="0" collapsed="false">
      <c r="A889" s="7" t="n">
        <v>884</v>
      </c>
      <c r="B889" s="7" t="n">
        <f aca="false">A889/10</f>
        <v>88.4</v>
      </c>
      <c r="C889" s="7" t="n">
        <f aca="false">IF(AND(A889=0,c_TCREEP&gt;0),10*c_TCREEP,IF(AND(A889&lt;=c_TRNGMIN,A889&gt;=c_TRNGMAX,c_TRNGMIN-c_TRNGMAX&lt;&gt;0),-10*c_TMINRN+QUOTIENT((c_TMAXRN-c_TMINRN)*(100-QUOTIENT((A889-c_TRNGMAX)*100,c_TRNGMIN-c_TRNGMAX)),-10),0))</f>
        <v>0</v>
      </c>
      <c r="D889" s="7" t="n">
        <f aca="false">IF(((c_TMAP1IN)-(c_TFWD))=0,(0)+QUOTIENT(((c_TMAP1OUT)-(0)),2),QUOTIENT((((A889)-(c_TFWD))*((c_TMAP1OUT)-(0))+IF(((c_TMAP1OUT)-(0))&gt;=0,1,-1)*QUOTIENT(((c_TMAP1IN)-(c_TFWD)),2)),((c_TMAP1IN)-(c_TFWD)))+(0)+IF(((c_TMAP1OUT)-(0))&gt;=0,IF(IF(o_WRAP=1,MOD(((c_TMAP1IN)-(c_TFWD))*(((A889)-(c_TFWD))*((c_TMAP1OUT)-(0))+IF(((c_TMAP1OUT)-(0))&gt;=0,1,-1)*QUOTIENT(((c_TMAP1IN)-(c_TFWD)),2))+2147483648,4294967296)-2147483648,((c_TMAP1IN)-(c_TFWD))*(((A889)-(c_TFWD))*((c_TMAP1OUT)-(0))+IF(((c_TMAP1OUT)-(0))&gt;=0,1,-1)*QUOTIENT(((c_TMAP1IN)-(c_TFWD)),2)))&lt;0,-1,0),IF(IF(o_WRAP=1,MOD(((c_TMAP1IN)-(c_TFWD))*(((A889)-(c_TFWD))*((c_TMAP1OUT)-(0))+IF(((c_TMAP1OUT)-(0))&gt;=0,1,-1)*QUOTIENT(((c_TMAP1IN)-(c_TFWD)),2))+2147483648,4294967296)-2147483648,((c_TMAP1IN)-(c_TFWD))*(((A889)-(c_TFWD))*((c_TMAP1OUT)-(0))+IF(((c_TMAP1OUT)-(0))&gt;=0,1,-1)*QUOTIENT(((c_TMAP1IN)-(c_TFWD)),2)))&gt;=0,1,0)))</f>
        <v>680</v>
      </c>
      <c r="E889" s="7" t="n">
        <f aca="false">IF(((c_TMAP2IN)-(c_TMAP1IN))=0,(c_TMAP1OUT)+QUOTIENT(((c_TMAP2OUT)-(c_TMAP1OUT)),2),QUOTIENT((((A889)-(c_TMAP1IN))*((c_TMAP2OUT)-(c_TMAP1OUT))+IF(((c_TMAP2OUT)-(c_TMAP1OUT))&gt;=0,1,-1)*QUOTIENT(((c_TMAP2IN)-(c_TMAP1IN)),2)),((c_TMAP2IN)-(c_TMAP1IN)))+(c_TMAP1OUT)+IF(((c_TMAP2OUT)-(c_TMAP1OUT))&gt;=0,IF(IF(o_WRAP=1,MOD(((c_TMAP2IN)-(c_TMAP1IN))*(((A889)-(c_TMAP1IN))*((c_TMAP2OUT)-(c_TMAP1OUT))+IF(((c_TMAP2OUT)-(c_TMAP1OUT))&gt;=0,1,-1)*QUOTIENT(((c_TMAP2IN)-(c_TMAP1IN)),2))+2147483648,4294967296)-2147483648,((c_TMAP2IN)-(c_TMAP1IN))*(((A889)-(c_TMAP1IN))*((c_TMAP2OUT)-(c_TMAP1OUT))+IF(((c_TMAP2OUT)-(c_TMAP1OUT))&gt;=0,1,-1)*QUOTIENT(((c_TMAP2IN)-(c_TMAP1IN)),2)))&lt;0,-1,0),IF(IF(o_WRAP=1,MOD(((c_TMAP2IN)-(c_TMAP1IN))*(((A889)-(c_TMAP1IN))*((c_TMAP2OUT)-(c_TMAP1OUT))+IF(((c_TMAP2OUT)-(c_TMAP1OUT))&gt;=0,1,-1)*QUOTIENT(((c_TMAP2IN)-(c_TMAP1IN)),2))+2147483648,4294967296)-2147483648,((c_TMAP2IN)-(c_TMAP1IN))*(((A889)-(c_TMAP1IN))*((c_TMAP2OUT)-(c_TMAP1OUT))+IF(((c_TMAP2OUT)-(c_TMAP1OUT))&gt;=0,1,-1)*QUOTIENT(((c_TMAP2IN)-(c_TMAP1IN)),2)))&gt;=0,1,0)))</f>
        <v>384</v>
      </c>
      <c r="F889" s="7" t="n">
        <f aca="false">IF(((c_TMAP3IN)-(c_TMAP2IN))=0,(c_TMAP2OUT)+QUOTIENT(((c_TMAP3OUT)-(c_TMAP2OUT)),2),QUOTIENT((((A889)-(c_TMAP2IN))*((c_TMAP3OUT)-(c_TMAP2OUT))+IF(((c_TMAP3OUT)-(c_TMAP2OUT))&gt;=0,1,-1)*QUOTIENT(((c_TMAP3IN)-(c_TMAP2IN)),2)),((c_TMAP3IN)-(c_TMAP2IN)))+(c_TMAP2OUT)+IF(((c_TMAP3OUT)-(c_TMAP2OUT))&gt;=0,IF(IF(o_WRAP=1,MOD(((c_TMAP3IN)-(c_TMAP2IN))*(((A889)-(c_TMAP2IN))*((c_TMAP3OUT)-(c_TMAP2OUT))+IF(((c_TMAP3OUT)-(c_TMAP2OUT))&gt;=0,1,-1)*QUOTIENT(((c_TMAP3IN)-(c_TMAP2IN)),2))+2147483648,4294967296)-2147483648,((c_TMAP3IN)-(c_TMAP2IN))*(((A889)-(c_TMAP2IN))*((c_TMAP3OUT)-(c_TMAP2OUT))+IF(((c_TMAP3OUT)-(c_TMAP2OUT))&gt;=0,1,-1)*QUOTIENT(((c_TMAP3IN)-(c_TMAP2IN)),2)))&lt;0,-1,0),IF(IF(o_WRAP=1,MOD(((c_TMAP3IN)-(c_TMAP2IN))*(((A889)-(c_TMAP2IN))*((c_TMAP3OUT)-(c_TMAP2OUT))+IF(((c_TMAP3OUT)-(c_TMAP2OUT))&gt;=0,1,-1)*QUOTIENT(((c_TMAP3IN)-(c_TMAP2IN)),2))+2147483648,4294967296)-2147483648,((c_TMAP3IN)-(c_TMAP2IN))*(((A889)-(c_TMAP2IN))*((c_TMAP3OUT)-(c_TMAP2OUT))+IF(((c_TMAP3OUT)-(c_TMAP2OUT))&gt;=0,1,-1)*QUOTIENT(((c_TMAP3IN)-(c_TMAP2IN)),2)))&gt;=0,1,0)))</f>
        <v>574</v>
      </c>
      <c r="G889" s="7" t="n">
        <f aca="false">IF(((1000)-(c_TMAP3IN))=0,(c_TMAP3OUT)+QUOTIENT(((1000)-(c_TMAP3OUT)),2),QUOTIENT((((A889)-(c_TMAP3IN))*((1000)-(c_TMAP3OUT))+IF(((1000)-(c_TMAP3OUT))&gt;=0,1,-1)*QUOTIENT(((1000)-(c_TMAP3IN)),2)),((1000)-(c_TMAP3IN)))+(c_TMAP3OUT)+IF(((1000)-(c_TMAP3OUT))&gt;=0,IF(IF(o_WRAP=1,MOD(((1000)-(c_TMAP3IN))*(((A889)-(c_TMAP3IN))*((1000)-(c_TMAP3OUT))+IF(((1000)-(c_TMAP3OUT))&gt;=0,1,-1)*QUOTIENT(((1000)-(c_TMAP3IN)),2))+2147483648,4294967296)-2147483648,((1000)-(c_TMAP3IN))*(((A889)-(c_TMAP3IN))*((1000)-(c_TMAP3OUT))+IF(((1000)-(c_TMAP3OUT))&gt;=0,1,-1)*QUOTIENT(((1000)-(c_TMAP3IN)),2)))&lt;0,-1,0),IF(IF(o_WRAP=1,MOD(((1000)-(c_TMAP3IN))*(((A889)-(c_TMAP3IN))*((1000)-(c_TMAP3OUT))+IF(((1000)-(c_TMAP3OUT))&gt;=0,1,-1)*QUOTIENT(((1000)-(c_TMAP3IN)),2))+2147483648,4294967296)-2147483648,((1000)-(c_TMAP3IN))*(((A889)-(c_TMAP3IN))*((1000)-(c_TMAP3OUT))+IF(((1000)-(c_TMAP3OUT))&gt;=0,1,-1)*QUOTIENT(((1000)-(c_TMAP3IN)),2)))&gt;=0,1,0)))</f>
        <v>857</v>
      </c>
      <c r="H889" s="7" t="str">
        <f aca="false">IF(A889&gt;=c_TFWD,IF(AND(A889&gt;=c_TMAP3IN,c_TMAP3IN&lt;1000),"Seg4 map3-100%",IF(AND(A889&gt;=c_TMAP2IN,c_TMAP3IN&gt;c_TMAP2IN),"Seg3 map2-map3",IF(AND(A889&gt;=c_TMAP1IN,c_TMAP2IN&gt;c_TMAP1IN),"Seg2 map1-map2","Seg1 TFWD-map1"))),IF(AND(A889=0,c_TCREEP&gt;0),"Creep",IF(AND(A889&lt;=c_TRNGMIN,A889&gt;=c_TRNGMAX,c_TRNGMIN-c_TRNGMAX&lt;&gt;0),"Regen ramp","Coast (0)")))</f>
        <v>Seg4 map3-100%</v>
      </c>
      <c r="I889" s="7" t="n">
        <f aca="false">IF(A889&gt;=c_TFWD,IF(AND(A889&gt;=c_TMAP3IN,c_TMAP3IN&lt;1000),G889,IF(AND(A889&gt;=c_TMAP2IN,c_TMAP3IN&gt;c_TMAP2IN),F889,IF(AND(A889&gt;=c_TMAP1IN,c_TMAP2IN&gt;c_TMAP1IN),E889,D889))),C889)</f>
        <v>857</v>
      </c>
      <c r="J889" s="7" t="str">
        <f aca="false">IF(I889&lt;-1090,"TOO LOW",IF(I889&gt;1090,"TOO HIGH",""))</f>
        <v/>
      </c>
      <c r="K889" s="15" t="n">
        <f aca="false">IF(J889&lt;&gt;"",0,IF(I889&gt;979,1000,I889))</f>
        <v>857</v>
      </c>
      <c r="L889" s="7" t="n">
        <f aca="false">K889/10</f>
        <v>85.7</v>
      </c>
    </row>
    <row r="890" customFormat="false" ht="15" hidden="false" customHeight="false" outlineLevel="0" collapsed="false">
      <c r="A890" s="7" t="n">
        <v>885</v>
      </c>
      <c r="B890" s="7" t="n">
        <f aca="false">A890/10</f>
        <v>88.5</v>
      </c>
      <c r="C890" s="7" t="n">
        <f aca="false">IF(AND(A890=0,c_TCREEP&gt;0),10*c_TCREEP,IF(AND(A890&lt;=c_TRNGMIN,A890&gt;=c_TRNGMAX,c_TRNGMIN-c_TRNGMAX&lt;&gt;0),-10*c_TMINRN+QUOTIENT((c_TMAXRN-c_TMINRN)*(100-QUOTIENT((A890-c_TRNGMAX)*100,c_TRNGMIN-c_TRNGMAX)),-10),0))</f>
        <v>0</v>
      </c>
      <c r="D890" s="7" t="n">
        <f aca="false">IF(((c_TMAP1IN)-(c_TFWD))=0,(0)+QUOTIENT(((c_TMAP1OUT)-(0)),2),QUOTIENT((((A890)-(c_TFWD))*((c_TMAP1OUT)-(0))+IF(((c_TMAP1OUT)-(0))&gt;=0,1,-1)*QUOTIENT(((c_TMAP1IN)-(c_TFWD)),2)),((c_TMAP1IN)-(c_TFWD)))+(0)+IF(((c_TMAP1OUT)-(0))&gt;=0,IF(IF(o_WRAP=1,MOD(((c_TMAP1IN)-(c_TFWD))*(((A890)-(c_TFWD))*((c_TMAP1OUT)-(0))+IF(((c_TMAP1OUT)-(0))&gt;=0,1,-1)*QUOTIENT(((c_TMAP1IN)-(c_TFWD)),2))+2147483648,4294967296)-2147483648,((c_TMAP1IN)-(c_TFWD))*(((A890)-(c_TFWD))*((c_TMAP1OUT)-(0))+IF(((c_TMAP1OUT)-(0))&gt;=0,1,-1)*QUOTIENT(((c_TMAP1IN)-(c_TFWD)),2)))&lt;0,-1,0),IF(IF(o_WRAP=1,MOD(((c_TMAP1IN)-(c_TFWD))*(((A890)-(c_TFWD))*((c_TMAP1OUT)-(0))+IF(((c_TMAP1OUT)-(0))&gt;=0,1,-1)*QUOTIENT(((c_TMAP1IN)-(c_TFWD)),2))+2147483648,4294967296)-2147483648,((c_TMAP1IN)-(c_TFWD))*(((A890)-(c_TFWD))*((c_TMAP1OUT)-(0))+IF(((c_TMAP1OUT)-(0))&gt;=0,1,-1)*QUOTIENT(((c_TMAP1IN)-(c_TFWD)),2)))&gt;=0,1,0)))</f>
        <v>681</v>
      </c>
      <c r="E890" s="7" t="n">
        <f aca="false">IF(((c_TMAP2IN)-(c_TMAP1IN))=0,(c_TMAP1OUT)+QUOTIENT(((c_TMAP2OUT)-(c_TMAP1OUT)),2),QUOTIENT((((A890)-(c_TMAP1IN))*((c_TMAP2OUT)-(c_TMAP1OUT))+IF(((c_TMAP2OUT)-(c_TMAP1OUT))&gt;=0,1,-1)*QUOTIENT(((c_TMAP2IN)-(c_TMAP1IN)),2)),((c_TMAP2IN)-(c_TMAP1IN)))+(c_TMAP1OUT)+IF(((c_TMAP2OUT)-(c_TMAP1OUT))&gt;=0,IF(IF(o_WRAP=1,MOD(((c_TMAP2IN)-(c_TMAP1IN))*(((A890)-(c_TMAP1IN))*((c_TMAP2OUT)-(c_TMAP1OUT))+IF(((c_TMAP2OUT)-(c_TMAP1OUT))&gt;=0,1,-1)*QUOTIENT(((c_TMAP2IN)-(c_TMAP1IN)),2))+2147483648,4294967296)-2147483648,((c_TMAP2IN)-(c_TMAP1IN))*(((A890)-(c_TMAP1IN))*((c_TMAP2OUT)-(c_TMAP1OUT))+IF(((c_TMAP2OUT)-(c_TMAP1OUT))&gt;=0,1,-1)*QUOTIENT(((c_TMAP2IN)-(c_TMAP1IN)),2)))&lt;0,-1,0),IF(IF(o_WRAP=1,MOD(((c_TMAP2IN)-(c_TMAP1IN))*(((A890)-(c_TMAP1IN))*((c_TMAP2OUT)-(c_TMAP1OUT))+IF(((c_TMAP2OUT)-(c_TMAP1OUT))&gt;=0,1,-1)*QUOTIENT(((c_TMAP2IN)-(c_TMAP1IN)),2))+2147483648,4294967296)-2147483648,((c_TMAP2IN)-(c_TMAP1IN))*(((A890)-(c_TMAP1IN))*((c_TMAP2OUT)-(c_TMAP1OUT))+IF(((c_TMAP2OUT)-(c_TMAP1OUT))&gt;=0,1,-1)*QUOTIENT(((c_TMAP2IN)-(c_TMAP1IN)),2)))&gt;=0,1,0)))</f>
        <v>384</v>
      </c>
      <c r="F890" s="7" t="n">
        <f aca="false">IF(((c_TMAP3IN)-(c_TMAP2IN))=0,(c_TMAP2OUT)+QUOTIENT(((c_TMAP3OUT)-(c_TMAP2OUT)),2),QUOTIENT((((A890)-(c_TMAP2IN))*((c_TMAP3OUT)-(c_TMAP2OUT))+IF(((c_TMAP3OUT)-(c_TMAP2OUT))&gt;=0,1,-1)*QUOTIENT(((c_TMAP3IN)-(c_TMAP2IN)),2)),((c_TMAP3IN)-(c_TMAP2IN)))+(c_TMAP2OUT)+IF(((c_TMAP3OUT)-(c_TMAP2OUT))&gt;=0,IF(IF(o_WRAP=1,MOD(((c_TMAP3IN)-(c_TMAP2IN))*(((A890)-(c_TMAP2IN))*((c_TMAP3OUT)-(c_TMAP2OUT))+IF(((c_TMAP3OUT)-(c_TMAP2OUT))&gt;=0,1,-1)*QUOTIENT(((c_TMAP3IN)-(c_TMAP2IN)),2))+2147483648,4294967296)-2147483648,((c_TMAP3IN)-(c_TMAP2IN))*(((A890)-(c_TMAP2IN))*((c_TMAP3OUT)-(c_TMAP2OUT))+IF(((c_TMAP3OUT)-(c_TMAP2OUT))&gt;=0,1,-1)*QUOTIENT(((c_TMAP3IN)-(c_TMAP2IN)),2)))&lt;0,-1,0),IF(IF(o_WRAP=1,MOD(((c_TMAP3IN)-(c_TMAP2IN))*(((A890)-(c_TMAP2IN))*((c_TMAP3OUT)-(c_TMAP2OUT))+IF(((c_TMAP3OUT)-(c_TMAP2OUT))&gt;=0,1,-1)*QUOTIENT(((c_TMAP3IN)-(c_TMAP2IN)),2))+2147483648,4294967296)-2147483648,((c_TMAP3IN)-(c_TMAP2IN))*(((A890)-(c_TMAP2IN))*((c_TMAP3OUT)-(c_TMAP2OUT))+IF(((c_TMAP3OUT)-(c_TMAP2OUT))&gt;=0,1,-1)*QUOTIENT(((c_TMAP3IN)-(c_TMAP2IN)),2)))&gt;=0,1,0)))</f>
        <v>575</v>
      </c>
      <c r="G890" s="7" t="n">
        <f aca="false">IF(((1000)-(c_TMAP3IN))=0,(c_TMAP3OUT)+QUOTIENT(((1000)-(c_TMAP3OUT)),2),QUOTIENT((((A890)-(c_TMAP3IN))*((1000)-(c_TMAP3OUT))+IF(((1000)-(c_TMAP3OUT))&gt;=0,1,-1)*QUOTIENT(((1000)-(c_TMAP3IN)),2)),((1000)-(c_TMAP3IN)))+(c_TMAP3OUT)+IF(((1000)-(c_TMAP3OUT))&gt;=0,IF(IF(o_WRAP=1,MOD(((1000)-(c_TMAP3IN))*(((A890)-(c_TMAP3IN))*((1000)-(c_TMAP3OUT))+IF(((1000)-(c_TMAP3OUT))&gt;=0,1,-1)*QUOTIENT(((1000)-(c_TMAP3IN)),2))+2147483648,4294967296)-2147483648,((1000)-(c_TMAP3IN))*(((A890)-(c_TMAP3IN))*((1000)-(c_TMAP3OUT))+IF(((1000)-(c_TMAP3OUT))&gt;=0,1,-1)*QUOTIENT(((1000)-(c_TMAP3IN)),2)))&lt;0,-1,0),IF(IF(o_WRAP=1,MOD(((1000)-(c_TMAP3IN))*(((A890)-(c_TMAP3IN))*((1000)-(c_TMAP3OUT))+IF(((1000)-(c_TMAP3OUT))&gt;=0,1,-1)*QUOTIENT(((1000)-(c_TMAP3IN)),2))+2147483648,4294967296)-2147483648,((1000)-(c_TMAP3IN))*(((A890)-(c_TMAP3IN))*((1000)-(c_TMAP3OUT))+IF(((1000)-(c_TMAP3OUT))&gt;=0,1,-1)*QUOTIENT(((1000)-(c_TMAP3IN)),2)))&gt;=0,1,0)))</f>
        <v>858</v>
      </c>
      <c r="H890" s="7" t="str">
        <f aca="false">IF(A890&gt;=c_TFWD,IF(AND(A890&gt;=c_TMAP3IN,c_TMAP3IN&lt;1000),"Seg4 map3-100%",IF(AND(A890&gt;=c_TMAP2IN,c_TMAP3IN&gt;c_TMAP2IN),"Seg3 map2-map3",IF(AND(A890&gt;=c_TMAP1IN,c_TMAP2IN&gt;c_TMAP1IN),"Seg2 map1-map2","Seg1 TFWD-map1"))),IF(AND(A890=0,c_TCREEP&gt;0),"Creep",IF(AND(A890&lt;=c_TRNGMIN,A890&gt;=c_TRNGMAX,c_TRNGMIN-c_TRNGMAX&lt;&gt;0),"Regen ramp","Coast (0)")))</f>
        <v>Seg4 map3-100%</v>
      </c>
      <c r="I890" s="7" t="n">
        <f aca="false">IF(A890&gt;=c_TFWD,IF(AND(A890&gt;=c_TMAP3IN,c_TMAP3IN&lt;1000),G890,IF(AND(A890&gt;=c_TMAP2IN,c_TMAP3IN&gt;c_TMAP2IN),F890,IF(AND(A890&gt;=c_TMAP1IN,c_TMAP2IN&gt;c_TMAP1IN),E890,D890))),C890)</f>
        <v>858</v>
      </c>
      <c r="J890" s="7" t="str">
        <f aca="false">IF(I890&lt;-1090,"TOO LOW",IF(I890&gt;1090,"TOO HIGH",""))</f>
        <v/>
      </c>
      <c r="K890" s="15" t="n">
        <f aca="false">IF(J890&lt;&gt;"",0,IF(I890&gt;979,1000,I890))</f>
        <v>858</v>
      </c>
      <c r="L890" s="7" t="n">
        <f aca="false">K890/10</f>
        <v>85.8</v>
      </c>
    </row>
    <row r="891" customFormat="false" ht="15" hidden="false" customHeight="false" outlineLevel="0" collapsed="false">
      <c r="A891" s="7" t="n">
        <v>886</v>
      </c>
      <c r="B891" s="7" t="n">
        <f aca="false">A891/10</f>
        <v>88.6</v>
      </c>
      <c r="C891" s="7" t="n">
        <f aca="false">IF(AND(A891=0,c_TCREEP&gt;0),10*c_TCREEP,IF(AND(A891&lt;=c_TRNGMIN,A891&gt;=c_TRNGMAX,c_TRNGMIN-c_TRNGMAX&lt;&gt;0),-10*c_TMINRN+QUOTIENT((c_TMAXRN-c_TMINRN)*(100-QUOTIENT((A891-c_TRNGMAX)*100,c_TRNGMIN-c_TRNGMAX)),-10),0))</f>
        <v>0</v>
      </c>
      <c r="D891" s="7" t="n">
        <f aca="false">IF(((c_TMAP1IN)-(c_TFWD))=0,(0)+QUOTIENT(((c_TMAP1OUT)-(0)),2),QUOTIENT((((A891)-(c_TFWD))*((c_TMAP1OUT)-(0))+IF(((c_TMAP1OUT)-(0))&gt;=0,1,-1)*QUOTIENT(((c_TMAP1IN)-(c_TFWD)),2)),((c_TMAP1IN)-(c_TFWD)))+(0)+IF(((c_TMAP1OUT)-(0))&gt;=0,IF(IF(o_WRAP=1,MOD(((c_TMAP1IN)-(c_TFWD))*(((A891)-(c_TFWD))*((c_TMAP1OUT)-(0))+IF(((c_TMAP1OUT)-(0))&gt;=0,1,-1)*QUOTIENT(((c_TMAP1IN)-(c_TFWD)),2))+2147483648,4294967296)-2147483648,((c_TMAP1IN)-(c_TFWD))*(((A891)-(c_TFWD))*((c_TMAP1OUT)-(0))+IF(((c_TMAP1OUT)-(0))&gt;=0,1,-1)*QUOTIENT(((c_TMAP1IN)-(c_TFWD)),2)))&lt;0,-1,0),IF(IF(o_WRAP=1,MOD(((c_TMAP1IN)-(c_TFWD))*(((A891)-(c_TFWD))*((c_TMAP1OUT)-(0))+IF(((c_TMAP1OUT)-(0))&gt;=0,1,-1)*QUOTIENT(((c_TMAP1IN)-(c_TFWD)),2))+2147483648,4294967296)-2147483648,((c_TMAP1IN)-(c_TFWD))*(((A891)-(c_TFWD))*((c_TMAP1OUT)-(0))+IF(((c_TMAP1OUT)-(0))&gt;=0,1,-1)*QUOTIENT(((c_TMAP1IN)-(c_TFWD)),2)))&gt;=0,1,0)))</f>
        <v>681</v>
      </c>
      <c r="E891" s="7" t="n">
        <f aca="false">IF(((c_TMAP2IN)-(c_TMAP1IN))=0,(c_TMAP1OUT)+QUOTIENT(((c_TMAP2OUT)-(c_TMAP1OUT)),2),QUOTIENT((((A891)-(c_TMAP1IN))*((c_TMAP2OUT)-(c_TMAP1OUT))+IF(((c_TMAP2OUT)-(c_TMAP1OUT))&gt;=0,1,-1)*QUOTIENT(((c_TMAP2IN)-(c_TMAP1IN)),2)),((c_TMAP2IN)-(c_TMAP1IN)))+(c_TMAP1OUT)+IF(((c_TMAP2OUT)-(c_TMAP1OUT))&gt;=0,IF(IF(o_WRAP=1,MOD(((c_TMAP2IN)-(c_TMAP1IN))*(((A891)-(c_TMAP1IN))*((c_TMAP2OUT)-(c_TMAP1OUT))+IF(((c_TMAP2OUT)-(c_TMAP1OUT))&gt;=0,1,-1)*QUOTIENT(((c_TMAP2IN)-(c_TMAP1IN)),2))+2147483648,4294967296)-2147483648,((c_TMAP2IN)-(c_TMAP1IN))*(((A891)-(c_TMAP1IN))*((c_TMAP2OUT)-(c_TMAP1OUT))+IF(((c_TMAP2OUT)-(c_TMAP1OUT))&gt;=0,1,-1)*QUOTIENT(((c_TMAP2IN)-(c_TMAP1IN)),2)))&lt;0,-1,0),IF(IF(o_WRAP=1,MOD(((c_TMAP2IN)-(c_TMAP1IN))*(((A891)-(c_TMAP1IN))*((c_TMAP2OUT)-(c_TMAP1OUT))+IF(((c_TMAP2OUT)-(c_TMAP1OUT))&gt;=0,1,-1)*QUOTIENT(((c_TMAP2IN)-(c_TMAP1IN)),2))+2147483648,4294967296)-2147483648,((c_TMAP2IN)-(c_TMAP1IN))*(((A891)-(c_TMAP1IN))*((c_TMAP2OUT)-(c_TMAP1OUT))+IF(((c_TMAP2OUT)-(c_TMAP1OUT))&gt;=0,1,-1)*QUOTIENT(((c_TMAP2IN)-(c_TMAP1IN)),2)))&gt;=0,1,0)))</f>
        <v>384</v>
      </c>
      <c r="F891" s="7" t="n">
        <f aca="false">IF(((c_TMAP3IN)-(c_TMAP2IN))=0,(c_TMAP2OUT)+QUOTIENT(((c_TMAP3OUT)-(c_TMAP2OUT)),2),QUOTIENT((((A891)-(c_TMAP2IN))*((c_TMAP3OUT)-(c_TMAP2OUT))+IF(((c_TMAP3OUT)-(c_TMAP2OUT))&gt;=0,1,-1)*QUOTIENT(((c_TMAP3IN)-(c_TMAP2IN)),2)),((c_TMAP3IN)-(c_TMAP2IN)))+(c_TMAP2OUT)+IF(((c_TMAP3OUT)-(c_TMAP2OUT))&gt;=0,IF(IF(o_WRAP=1,MOD(((c_TMAP3IN)-(c_TMAP2IN))*(((A891)-(c_TMAP2IN))*((c_TMAP3OUT)-(c_TMAP2OUT))+IF(((c_TMAP3OUT)-(c_TMAP2OUT))&gt;=0,1,-1)*QUOTIENT(((c_TMAP3IN)-(c_TMAP2IN)),2))+2147483648,4294967296)-2147483648,((c_TMAP3IN)-(c_TMAP2IN))*(((A891)-(c_TMAP2IN))*((c_TMAP3OUT)-(c_TMAP2OUT))+IF(((c_TMAP3OUT)-(c_TMAP2OUT))&gt;=0,1,-1)*QUOTIENT(((c_TMAP3IN)-(c_TMAP2IN)),2)))&lt;0,-1,0),IF(IF(o_WRAP=1,MOD(((c_TMAP3IN)-(c_TMAP2IN))*(((A891)-(c_TMAP2IN))*((c_TMAP3OUT)-(c_TMAP2OUT))+IF(((c_TMAP3OUT)-(c_TMAP2OUT))&gt;=0,1,-1)*QUOTIENT(((c_TMAP3IN)-(c_TMAP2IN)),2))+2147483648,4294967296)-2147483648,((c_TMAP3IN)-(c_TMAP2IN))*(((A891)-(c_TMAP2IN))*((c_TMAP3OUT)-(c_TMAP2OUT))+IF(((c_TMAP3OUT)-(c_TMAP2OUT))&gt;=0,1,-1)*QUOTIENT(((c_TMAP3IN)-(c_TMAP2IN)),2)))&gt;=0,1,0)))</f>
        <v>575</v>
      </c>
      <c r="G891" s="7" t="n">
        <f aca="false">IF(((1000)-(c_TMAP3IN))=0,(c_TMAP3OUT)+QUOTIENT(((1000)-(c_TMAP3OUT)),2),QUOTIENT((((A891)-(c_TMAP3IN))*((1000)-(c_TMAP3OUT))+IF(((1000)-(c_TMAP3OUT))&gt;=0,1,-1)*QUOTIENT(((1000)-(c_TMAP3IN)),2)),((1000)-(c_TMAP3IN)))+(c_TMAP3OUT)+IF(((1000)-(c_TMAP3OUT))&gt;=0,IF(IF(o_WRAP=1,MOD(((1000)-(c_TMAP3IN))*(((A891)-(c_TMAP3IN))*((1000)-(c_TMAP3OUT))+IF(((1000)-(c_TMAP3OUT))&gt;=0,1,-1)*QUOTIENT(((1000)-(c_TMAP3IN)),2))+2147483648,4294967296)-2147483648,((1000)-(c_TMAP3IN))*(((A891)-(c_TMAP3IN))*((1000)-(c_TMAP3OUT))+IF(((1000)-(c_TMAP3OUT))&gt;=0,1,-1)*QUOTIENT(((1000)-(c_TMAP3IN)),2)))&lt;0,-1,0),IF(IF(o_WRAP=1,MOD(((1000)-(c_TMAP3IN))*(((A891)-(c_TMAP3IN))*((1000)-(c_TMAP3OUT))+IF(((1000)-(c_TMAP3OUT))&gt;=0,1,-1)*QUOTIENT(((1000)-(c_TMAP3IN)),2))+2147483648,4294967296)-2147483648,((1000)-(c_TMAP3IN))*(((A891)-(c_TMAP3IN))*((1000)-(c_TMAP3OUT))+IF(((1000)-(c_TMAP3OUT))&gt;=0,1,-1)*QUOTIENT(((1000)-(c_TMAP3IN)),2)))&gt;=0,1,0)))</f>
        <v>860</v>
      </c>
      <c r="H891" s="7" t="str">
        <f aca="false">IF(A891&gt;=c_TFWD,IF(AND(A891&gt;=c_TMAP3IN,c_TMAP3IN&lt;1000),"Seg4 map3-100%",IF(AND(A891&gt;=c_TMAP2IN,c_TMAP3IN&gt;c_TMAP2IN),"Seg3 map2-map3",IF(AND(A891&gt;=c_TMAP1IN,c_TMAP2IN&gt;c_TMAP1IN),"Seg2 map1-map2","Seg1 TFWD-map1"))),IF(AND(A891=0,c_TCREEP&gt;0),"Creep",IF(AND(A891&lt;=c_TRNGMIN,A891&gt;=c_TRNGMAX,c_TRNGMIN-c_TRNGMAX&lt;&gt;0),"Regen ramp","Coast (0)")))</f>
        <v>Seg4 map3-100%</v>
      </c>
      <c r="I891" s="7" t="n">
        <f aca="false">IF(A891&gt;=c_TFWD,IF(AND(A891&gt;=c_TMAP3IN,c_TMAP3IN&lt;1000),G891,IF(AND(A891&gt;=c_TMAP2IN,c_TMAP3IN&gt;c_TMAP2IN),F891,IF(AND(A891&gt;=c_TMAP1IN,c_TMAP2IN&gt;c_TMAP1IN),E891,D891))),C891)</f>
        <v>860</v>
      </c>
      <c r="J891" s="7" t="str">
        <f aca="false">IF(I891&lt;-1090,"TOO LOW",IF(I891&gt;1090,"TOO HIGH",""))</f>
        <v/>
      </c>
      <c r="K891" s="15" t="n">
        <f aca="false">IF(J891&lt;&gt;"",0,IF(I891&gt;979,1000,I891))</f>
        <v>860</v>
      </c>
      <c r="L891" s="7" t="n">
        <f aca="false">K891/10</f>
        <v>86</v>
      </c>
    </row>
    <row r="892" customFormat="false" ht="15" hidden="false" customHeight="false" outlineLevel="0" collapsed="false">
      <c r="A892" s="7" t="n">
        <v>887</v>
      </c>
      <c r="B892" s="7" t="n">
        <f aca="false">A892/10</f>
        <v>88.7</v>
      </c>
      <c r="C892" s="7" t="n">
        <f aca="false">IF(AND(A892=0,c_TCREEP&gt;0),10*c_TCREEP,IF(AND(A892&lt;=c_TRNGMIN,A892&gt;=c_TRNGMAX,c_TRNGMIN-c_TRNGMAX&lt;&gt;0),-10*c_TMINRN+QUOTIENT((c_TMAXRN-c_TMINRN)*(100-QUOTIENT((A892-c_TRNGMAX)*100,c_TRNGMIN-c_TRNGMAX)),-10),0))</f>
        <v>0</v>
      </c>
      <c r="D892" s="7" t="n">
        <f aca="false">IF(((c_TMAP1IN)-(c_TFWD))=0,(0)+QUOTIENT(((c_TMAP1OUT)-(0)),2),QUOTIENT((((A892)-(c_TFWD))*((c_TMAP1OUT)-(0))+IF(((c_TMAP1OUT)-(0))&gt;=0,1,-1)*QUOTIENT(((c_TMAP1IN)-(c_TFWD)),2)),((c_TMAP1IN)-(c_TFWD)))+(0)+IF(((c_TMAP1OUT)-(0))&gt;=0,IF(IF(o_WRAP=1,MOD(((c_TMAP1IN)-(c_TFWD))*(((A892)-(c_TFWD))*((c_TMAP1OUT)-(0))+IF(((c_TMAP1OUT)-(0))&gt;=0,1,-1)*QUOTIENT(((c_TMAP1IN)-(c_TFWD)),2))+2147483648,4294967296)-2147483648,((c_TMAP1IN)-(c_TFWD))*(((A892)-(c_TFWD))*((c_TMAP1OUT)-(0))+IF(((c_TMAP1OUT)-(0))&gt;=0,1,-1)*QUOTIENT(((c_TMAP1IN)-(c_TFWD)),2)))&lt;0,-1,0),IF(IF(o_WRAP=1,MOD(((c_TMAP1IN)-(c_TFWD))*(((A892)-(c_TFWD))*((c_TMAP1OUT)-(0))+IF(((c_TMAP1OUT)-(0))&gt;=0,1,-1)*QUOTIENT(((c_TMAP1IN)-(c_TFWD)),2))+2147483648,4294967296)-2147483648,((c_TMAP1IN)-(c_TFWD))*(((A892)-(c_TFWD))*((c_TMAP1OUT)-(0))+IF(((c_TMAP1OUT)-(0))&gt;=0,1,-1)*QUOTIENT(((c_TMAP1IN)-(c_TFWD)),2)))&gt;=0,1,0)))</f>
        <v>682</v>
      </c>
      <c r="E892" s="7" t="n">
        <f aca="false">IF(((c_TMAP2IN)-(c_TMAP1IN))=0,(c_TMAP1OUT)+QUOTIENT(((c_TMAP2OUT)-(c_TMAP1OUT)),2),QUOTIENT((((A892)-(c_TMAP1IN))*((c_TMAP2OUT)-(c_TMAP1OUT))+IF(((c_TMAP2OUT)-(c_TMAP1OUT))&gt;=0,1,-1)*QUOTIENT(((c_TMAP2IN)-(c_TMAP1IN)),2)),((c_TMAP2IN)-(c_TMAP1IN)))+(c_TMAP1OUT)+IF(((c_TMAP2OUT)-(c_TMAP1OUT))&gt;=0,IF(IF(o_WRAP=1,MOD(((c_TMAP2IN)-(c_TMAP1IN))*(((A892)-(c_TMAP1IN))*((c_TMAP2OUT)-(c_TMAP1OUT))+IF(((c_TMAP2OUT)-(c_TMAP1OUT))&gt;=0,1,-1)*QUOTIENT(((c_TMAP2IN)-(c_TMAP1IN)),2))+2147483648,4294967296)-2147483648,((c_TMAP2IN)-(c_TMAP1IN))*(((A892)-(c_TMAP1IN))*((c_TMAP2OUT)-(c_TMAP1OUT))+IF(((c_TMAP2OUT)-(c_TMAP1OUT))&gt;=0,1,-1)*QUOTIENT(((c_TMAP2IN)-(c_TMAP1IN)),2)))&lt;0,-1,0),IF(IF(o_WRAP=1,MOD(((c_TMAP2IN)-(c_TMAP1IN))*(((A892)-(c_TMAP1IN))*((c_TMAP2OUT)-(c_TMAP1OUT))+IF(((c_TMAP2OUT)-(c_TMAP1OUT))&gt;=0,1,-1)*QUOTIENT(((c_TMAP2IN)-(c_TMAP1IN)),2))+2147483648,4294967296)-2147483648,((c_TMAP2IN)-(c_TMAP1IN))*(((A892)-(c_TMAP1IN))*((c_TMAP2OUT)-(c_TMAP1OUT))+IF(((c_TMAP2OUT)-(c_TMAP1OUT))&gt;=0,1,-1)*QUOTIENT(((c_TMAP2IN)-(c_TMAP1IN)),2)))&gt;=0,1,0)))</f>
        <v>385</v>
      </c>
      <c r="F892" s="7" t="n">
        <f aca="false">IF(((c_TMAP3IN)-(c_TMAP2IN))=0,(c_TMAP2OUT)+QUOTIENT(((c_TMAP3OUT)-(c_TMAP2OUT)),2),QUOTIENT((((A892)-(c_TMAP2IN))*((c_TMAP3OUT)-(c_TMAP2OUT))+IF(((c_TMAP3OUT)-(c_TMAP2OUT))&gt;=0,1,-1)*QUOTIENT(((c_TMAP3IN)-(c_TMAP2IN)),2)),((c_TMAP3IN)-(c_TMAP2IN)))+(c_TMAP2OUT)+IF(((c_TMAP3OUT)-(c_TMAP2OUT))&gt;=0,IF(IF(o_WRAP=1,MOD(((c_TMAP3IN)-(c_TMAP2IN))*(((A892)-(c_TMAP2IN))*((c_TMAP3OUT)-(c_TMAP2OUT))+IF(((c_TMAP3OUT)-(c_TMAP2OUT))&gt;=0,1,-1)*QUOTIENT(((c_TMAP3IN)-(c_TMAP2IN)),2))+2147483648,4294967296)-2147483648,((c_TMAP3IN)-(c_TMAP2IN))*(((A892)-(c_TMAP2IN))*((c_TMAP3OUT)-(c_TMAP2OUT))+IF(((c_TMAP3OUT)-(c_TMAP2OUT))&gt;=0,1,-1)*QUOTIENT(((c_TMAP3IN)-(c_TMAP2IN)),2)))&lt;0,-1,0),IF(IF(o_WRAP=1,MOD(((c_TMAP3IN)-(c_TMAP2IN))*(((A892)-(c_TMAP2IN))*((c_TMAP3OUT)-(c_TMAP2OUT))+IF(((c_TMAP3OUT)-(c_TMAP2OUT))&gt;=0,1,-1)*QUOTIENT(((c_TMAP3IN)-(c_TMAP2IN)),2))+2147483648,4294967296)-2147483648,((c_TMAP3IN)-(c_TMAP2IN))*(((A892)-(c_TMAP2IN))*((c_TMAP3OUT)-(c_TMAP2OUT))+IF(((c_TMAP3OUT)-(c_TMAP2OUT))&gt;=0,1,-1)*QUOTIENT(((c_TMAP3IN)-(c_TMAP2IN)),2)))&gt;=0,1,0)))</f>
        <v>576</v>
      </c>
      <c r="G892" s="7" t="n">
        <f aca="false">IF(((1000)-(c_TMAP3IN))=0,(c_TMAP3OUT)+QUOTIENT(((1000)-(c_TMAP3OUT)),2),QUOTIENT((((A892)-(c_TMAP3IN))*((1000)-(c_TMAP3OUT))+IF(((1000)-(c_TMAP3OUT))&gt;=0,1,-1)*QUOTIENT(((1000)-(c_TMAP3IN)),2)),((1000)-(c_TMAP3IN)))+(c_TMAP3OUT)+IF(((1000)-(c_TMAP3OUT))&gt;=0,IF(IF(o_WRAP=1,MOD(((1000)-(c_TMAP3IN))*(((A892)-(c_TMAP3IN))*((1000)-(c_TMAP3OUT))+IF(((1000)-(c_TMAP3OUT))&gt;=0,1,-1)*QUOTIENT(((1000)-(c_TMAP3IN)),2))+2147483648,4294967296)-2147483648,((1000)-(c_TMAP3IN))*(((A892)-(c_TMAP3IN))*((1000)-(c_TMAP3OUT))+IF(((1000)-(c_TMAP3OUT))&gt;=0,1,-1)*QUOTIENT(((1000)-(c_TMAP3IN)),2)))&lt;0,-1,0),IF(IF(o_WRAP=1,MOD(((1000)-(c_TMAP3IN))*(((A892)-(c_TMAP3IN))*((1000)-(c_TMAP3OUT))+IF(((1000)-(c_TMAP3OUT))&gt;=0,1,-1)*QUOTIENT(((1000)-(c_TMAP3IN)),2))+2147483648,4294967296)-2147483648,((1000)-(c_TMAP3IN))*(((A892)-(c_TMAP3IN))*((1000)-(c_TMAP3OUT))+IF(((1000)-(c_TMAP3OUT))&gt;=0,1,-1)*QUOTIENT(((1000)-(c_TMAP3IN)),2)))&gt;=0,1,0)))</f>
        <v>861</v>
      </c>
      <c r="H892" s="7" t="str">
        <f aca="false">IF(A892&gt;=c_TFWD,IF(AND(A892&gt;=c_TMAP3IN,c_TMAP3IN&lt;1000),"Seg4 map3-100%",IF(AND(A892&gt;=c_TMAP2IN,c_TMAP3IN&gt;c_TMAP2IN),"Seg3 map2-map3",IF(AND(A892&gt;=c_TMAP1IN,c_TMAP2IN&gt;c_TMAP1IN),"Seg2 map1-map2","Seg1 TFWD-map1"))),IF(AND(A892=0,c_TCREEP&gt;0),"Creep",IF(AND(A892&lt;=c_TRNGMIN,A892&gt;=c_TRNGMAX,c_TRNGMIN-c_TRNGMAX&lt;&gt;0),"Regen ramp","Coast (0)")))</f>
        <v>Seg4 map3-100%</v>
      </c>
      <c r="I892" s="7" t="n">
        <f aca="false">IF(A892&gt;=c_TFWD,IF(AND(A892&gt;=c_TMAP3IN,c_TMAP3IN&lt;1000),G892,IF(AND(A892&gt;=c_TMAP2IN,c_TMAP3IN&gt;c_TMAP2IN),F892,IF(AND(A892&gt;=c_TMAP1IN,c_TMAP2IN&gt;c_TMAP1IN),E892,D892))),C892)</f>
        <v>861</v>
      </c>
      <c r="J892" s="7" t="str">
        <f aca="false">IF(I892&lt;-1090,"TOO LOW",IF(I892&gt;1090,"TOO HIGH",""))</f>
        <v/>
      </c>
      <c r="K892" s="15" t="n">
        <f aca="false">IF(J892&lt;&gt;"",0,IF(I892&gt;979,1000,I892))</f>
        <v>861</v>
      </c>
      <c r="L892" s="7" t="n">
        <f aca="false">K892/10</f>
        <v>86.1</v>
      </c>
    </row>
    <row r="893" customFormat="false" ht="15" hidden="false" customHeight="false" outlineLevel="0" collapsed="false">
      <c r="A893" s="7" t="n">
        <v>888</v>
      </c>
      <c r="B893" s="7" t="n">
        <f aca="false">A893/10</f>
        <v>88.8</v>
      </c>
      <c r="C893" s="7" t="n">
        <f aca="false">IF(AND(A893=0,c_TCREEP&gt;0),10*c_TCREEP,IF(AND(A893&lt;=c_TRNGMIN,A893&gt;=c_TRNGMAX,c_TRNGMIN-c_TRNGMAX&lt;&gt;0),-10*c_TMINRN+QUOTIENT((c_TMAXRN-c_TMINRN)*(100-QUOTIENT((A893-c_TRNGMAX)*100,c_TRNGMIN-c_TRNGMAX)),-10),0))</f>
        <v>0</v>
      </c>
      <c r="D893" s="7" t="n">
        <f aca="false">IF(((c_TMAP1IN)-(c_TFWD))=0,(0)+QUOTIENT(((c_TMAP1OUT)-(0)),2),QUOTIENT((((A893)-(c_TFWD))*((c_TMAP1OUT)-(0))+IF(((c_TMAP1OUT)-(0))&gt;=0,1,-1)*QUOTIENT(((c_TMAP1IN)-(c_TFWD)),2)),((c_TMAP1IN)-(c_TFWD)))+(0)+IF(((c_TMAP1OUT)-(0))&gt;=0,IF(IF(o_WRAP=1,MOD(((c_TMAP1IN)-(c_TFWD))*(((A893)-(c_TFWD))*((c_TMAP1OUT)-(0))+IF(((c_TMAP1OUT)-(0))&gt;=0,1,-1)*QUOTIENT(((c_TMAP1IN)-(c_TFWD)),2))+2147483648,4294967296)-2147483648,((c_TMAP1IN)-(c_TFWD))*(((A893)-(c_TFWD))*((c_TMAP1OUT)-(0))+IF(((c_TMAP1OUT)-(0))&gt;=0,1,-1)*QUOTIENT(((c_TMAP1IN)-(c_TFWD)),2)))&lt;0,-1,0),IF(IF(o_WRAP=1,MOD(((c_TMAP1IN)-(c_TFWD))*(((A893)-(c_TFWD))*((c_TMAP1OUT)-(0))+IF(((c_TMAP1OUT)-(0))&gt;=0,1,-1)*QUOTIENT(((c_TMAP1IN)-(c_TFWD)),2))+2147483648,4294967296)-2147483648,((c_TMAP1IN)-(c_TFWD))*(((A893)-(c_TFWD))*((c_TMAP1OUT)-(0))+IF(((c_TMAP1OUT)-(0))&gt;=0,1,-1)*QUOTIENT(((c_TMAP1IN)-(c_TFWD)),2)))&gt;=0,1,0)))</f>
        <v>683</v>
      </c>
      <c r="E893" s="7" t="n">
        <f aca="false">IF(((c_TMAP2IN)-(c_TMAP1IN))=0,(c_TMAP1OUT)+QUOTIENT(((c_TMAP2OUT)-(c_TMAP1OUT)),2),QUOTIENT((((A893)-(c_TMAP1IN))*((c_TMAP2OUT)-(c_TMAP1OUT))+IF(((c_TMAP2OUT)-(c_TMAP1OUT))&gt;=0,1,-1)*QUOTIENT(((c_TMAP2IN)-(c_TMAP1IN)),2)),((c_TMAP2IN)-(c_TMAP1IN)))+(c_TMAP1OUT)+IF(((c_TMAP2OUT)-(c_TMAP1OUT))&gt;=0,IF(IF(o_WRAP=1,MOD(((c_TMAP2IN)-(c_TMAP1IN))*(((A893)-(c_TMAP1IN))*((c_TMAP2OUT)-(c_TMAP1OUT))+IF(((c_TMAP2OUT)-(c_TMAP1OUT))&gt;=0,1,-1)*QUOTIENT(((c_TMAP2IN)-(c_TMAP1IN)),2))+2147483648,4294967296)-2147483648,((c_TMAP2IN)-(c_TMAP1IN))*(((A893)-(c_TMAP1IN))*((c_TMAP2OUT)-(c_TMAP1OUT))+IF(((c_TMAP2OUT)-(c_TMAP1OUT))&gt;=0,1,-1)*QUOTIENT(((c_TMAP2IN)-(c_TMAP1IN)),2)))&lt;0,-1,0),IF(IF(o_WRAP=1,MOD(((c_TMAP2IN)-(c_TMAP1IN))*(((A893)-(c_TMAP1IN))*((c_TMAP2OUT)-(c_TMAP1OUT))+IF(((c_TMAP2OUT)-(c_TMAP1OUT))&gt;=0,1,-1)*QUOTIENT(((c_TMAP2IN)-(c_TMAP1IN)),2))+2147483648,4294967296)-2147483648,((c_TMAP2IN)-(c_TMAP1IN))*(((A893)-(c_TMAP1IN))*((c_TMAP2OUT)-(c_TMAP1OUT))+IF(((c_TMAP2OUT)-(c_TMAP1OUT))&gt;=0,1,-1)*QUOTIENT(((c_TMAP2IN)-(c_TMAP1IN)),2)))&gt;=0,1,0)))</f>
        <v>385</v>
      </c>
      <c r="F893" s="7" t="n">
        <f aca="false">IF(((c_TMAP3IN)-(c_TMAP2IN))=0,(c_TMAP2OUT)+QUOTIENT(((c_TMAP3OUT)-(c_TMAP2OUT)),2),QUOTIENT((((A893)-(c_TMAP2IN))*((c_TMAP3OUT)-(c_TMAP2OUT))+IF(((c_TMAP3OUT)-(c_TMAP2OUT))&gt;=0,1,-1)*QUOTIENT(((c_TMAP3IN)-(c_TMAP2IN)),2)),((c_TMAP3IN)-(c_TMAP2IN)))+(c_TMAP2OUT)+IF(((c_TMAP3OUT)-(c_TMAP2OUT))&gt;=0,IF(IF(o_WRAP=1,MOD(((c_TMAP3IN)-(c_TMAP2IN))*(((A893)-(c_TMAP2IN))*((c_TMAP3OUT)-(c_TMAP2OUT))+IF(((c_TMAP3OUT)-(c_TMAP2OUT))&gt;=0,1,-1)*QUOTIENT(((c_TMAP3IN)-(c_TMAP2IN)),2))+2147483648,4294967296)-2147483648,((c_TMAP3IN)-(c_TMAP2IN))*(((A893)-(c_TMAP2IN))*((c_TMAP3OUT)-(c_TMAP2OUT))+IF(((c_TMAP3OUT)-(c_TMAP2OUT))&gt;=0,1,-1)*QUOTIENT(((c_TMAP3IN)-(c_TMAP2IN)),2)))&lt;0,-1,0),IF(IF(o_WRAP=1,MOD(((c_TMAP3IN)-(c_TMAP2IN))*(((A893)-(c_TMAP2IN))*((c_TMAP3OUT)-(c_TMAP2OUT))+IF(((c_TMAP3OUT)-(c_TMAP2OUT))&gt;=0,1,-1)*QUOTIENT(((c_TMAP3IN)-(c_TMAP2IN)),2))+2147483648,4294967296)-2147483648,((c_TMAP3IN)-(c_TMAP2IN))*(((A893)-(c_TMAP2IN))*((c_TMAP3OUT)-(c_TMAP2OUT))+IF(((c_TMAP3OUT)-(c_TMAP2OUT))&gt;=0,1,-1)*QUOTIENT(((c_TMAP3IN)-(c_TMAP2IN)),2)))&gt;=0,1,0)))</f>
        <v>577</v>
      </c>
      <c r="G893" s="7" t="n">
        <f aca="false">IF(((1000)-(c_TMAP3IN))=0,(c_TMAP3OUT)+QUOTIENT(((1000)-(c_TMAP3OUT)),2),QUOTIENT((((A893)-(c_TMAP3IN))*((1000)-(c_TMAP3OUT))+IF(((1000)-(c_TMAP3OUT))&gt;=0,1,-1)*QUOTIENT(((1000)-(c_TMAP3IN)),2)),((1000)-(c_TMAP3IN)))+(c_TMAP3OUT)+IF(((1000)-(c_TMAP3OUT))&gt;=0,IF(IF(o_WRAP=1,MOD(((1000)-(c_TMAP3IN))*(((A893)-(c_TMAP3IN))*((1000)-(c_TMAP3OUT))+IF(((1000)-(c_TMAP3OUT))&gt;=0,1,-1)*QUOTIENT(((1000)-(c_TMAP3IN)),2))+2147483648,4294967296)-2147483648,((1000)-(c_TMAP3IN))*(((A893)-(c_TMAP3IN))*((1000)-(c_TMAP3OUT))+IF(((1000)-(c_TMAP3OUT))&gt;=0,1,-1)*QUOTIENT(((1000)-(c_TMAP3IN)),2)))&lt;0,-1,0),IF(IF(o_WRAP=1,MOD(((1000)-(c_TMAP3IN))*(((A893)-(c_TMAP3IN))*((1000)-(c_TMAP3OUT))+IF(((1000)-(c_TMAP3OUT))&gt;=0,1,-1)*QUOTIENT(((1000)-(c_TMAP3IN)),2))+2147483648,4294967296)-2147483648,((1000)-(c_TMAP3IN))*(((A893)-(c_TMAP3IN))*((1000)-(c_TMAP3OUT))+IF(((1000)-(c_TMAP3OUT))&gt;=0,1,-1)*QUOTIENT(((1000)-(c_TMAP3IN)),2)))&gt;=0,1,0)))</f>
        <v>862</v>
      </c>
      <c r="H893" s="7" t="str">
        <f aca="false">IF(A893&gt;=c_TFWD,IF(AND(A893&gt;=c_TMAP3IN,c_TMAP3IN&lt;1000),"Seg4 map3-100%",IF(AND(A893&gt;=c_TMAP2IN,c_TMAP3IN&gt;c_TMAP2IN),"Seg3 map2-map3",IF(AND(A893&gt;=c_TMAP1IN,c_TMAP2IN&gt;c_TMAP1IN),"Seg2 map1-map2","Seg1 TFWD-map1"))),IF(AND(A893=0,c_TCREEP&gt;0),"Creep",IF(AND(A893&lt;=c_TRNGMIN,A893&gt;=c_TRNGMAX,c_TRNGMIN-c_TRNGMAX&lt;&gt;0),"Regen ramp","Coast (0)")))</f>
        <v>Seg4 map3-100%</v>
      </c>
      <c r="I893" s="7" t="n">
        <f aca="false">IF(A893&gt;=c_TFWD,IF(AND(A893&gt;=c_TMAP3IN,c_TMAP3IN&lt;1000),G893,IF(AND(A893&gt;=c_TMAP2IN,c_TMAP3IN&gt;c_TMAP2IN),F893,IF(AND(A893&gt;=c_TMAP1IN,c_TMAP2IN&gt;c_TMAP1IN),E893,D893))),C893)</f>
        <v>862</v>
      </c>
      <c r="J893" s="7" t="str">
        <f aca="false">IF(I893&lt;-1090,"TOO LOW",IF(I893&gt;1090,"TOO HIGH",""))</f>
        <v/>
      </c>
      <c r="K893" s="15" t="n">
        <f aca="false">IF(J893&lt;&gt;"",0,IF(I893&gt;979,1000,I893))</f>
        <v>862</v>
      </c>
      <c r="L893" s="7" t="n">
        <f aca="false">K893/10</f>
        <v>86.2</v>
      </c>
    </row>
    <row r="894" customFormat="false" ht="15" hidden="false" customHeight="false" outlineLevel="0" collapsed="false">
      <c r="A894" s="7" t="n">
        <v>889</v>
      </c>
      <c r="B894" s="7" t="n">
        <f aca="false">A894/10</f>
        <v>88.9</v>
      </c>
      <c r="C894" s="7" t="n">
        <f aca="false">IF(AND(A894=0,c_TCREEP&gt;0),10*c_TCREEP,IF(AND(A894&lt;=c_TRNGMIN,A894&gt;=c_TRNGMAX,c_TRNGMIN-c_TRNGMAX&lt;&gt;0),-10*c_TMINRN+QUOTIENT((c_TMAXRN-c_TMINRN)*(100-QUOTIENT((A894-c_TRNGMAX)*100,c_TRNGMIN-c_TRNGMAX)),-10),0))</f>
        <v>0</v>
      </c>
      <c r="D894" s="7" t="n">
        <f aca="false">IF(((c_TMAP1IN)-(c_TFWD))=0,(0)+QUOTIENT(((c_TMAP1OUT)-(0)),2),QUOTIENT((((A894)-(c_TFWD))*((c_TMAP1OUT)-(0))+IF(((c_TMAP1OUT)-(0))&gt;=0,1,-1)*QUOTIENT(((c_TMAP1IN)-(c_TFWD)),2)),((c_TMAP1IN)-(c_TFWD)))+(0)+IF(((c_TMAP1OUT)-(0))&gt;=0,IF(IF(o_WRAP=1,MOD(((c_TMAP1IN)-(c_TFWD))*(((A894)-(c_TFWD))*((c_TMAP1OUT)-(0))+IF(((c_TMAP1OUT)-(0))&gt;=0,1,-1)*QUOTIENT(((c_TMAP1IN)-(c_TFWD)),2))+2147483648,4294967296)-2147483648,((c_TMAP1IN)-(c_TFWD))*(((A894)-(c_TFWD))*((c_TMAP1OUT)-(0))+IF(((c_TMAP1OUT)-(0))&gt;=0,1,-1)*QUOTIENT(((c_TMAP1IN)-(c_TFWD)),2)))&lt;0,-1,0),IF(IF(o_WRAP=1,MOD(((c_TMAP1IN)-(c_TFWD))*(((A894)-(c_TFWD))*((c_TMAP1OUT)-(0))+IF(((c_TMAP1OUT)-(0))&gt;=0,1,-1)*QUOTIENT(((c_TMAP1IN)-(c_TFWD)),2))+2147483648,4294967296)-2147483648,((c_TMAP1IN)-(c_TFWD))*(((A894)-(c_TFWD))*((c_TMAP1OUT)-(0))+IF(((c_TMAP1OUT)-(0))&gt;=0,1,-1)*QUOTIENT(((c_TMAP1IN)-(c_TFWD)),2)))&gt;=0,1,0)))</f>
        <v>684</v>
      </c>
      <c r="E894" s="7" t="n">
        <f aca="false">IF(((c_TMAP2IN)-(c_TMAP1IN))=0,(c_TMAP1OUT)+QUOTIENT(((c_TMAP2OUT)-(c_TMAP1OUT)),2),QUOTIENT((((A894)-(c_TMAP1IN))*((c_TMAP2OUT)-(c_TMAP1OUT))+IF(((c_TMAP2OUT)-(c_TMAP1OUT))&gt;=0,1,-1)*QUOTIENT(((c_TMAP2IN)-(c_TMAP1IN)),2)),((c_TMAP2IN)-(c_TMAP1IN)))+(c_TMAP1OUT)+IF(((c_TMAP2OUT)-(c_TMAP1OUT))&gt;=0,IF(IF(o_WRAP=1,MOD(((c_TMAP2IN)-(c_TMAP1IN))*(((A894)-(c_TMAP1IN))*((c_TMAP2OUT)-(c_TMAP1OUT))+IF(((c_TMAP2OUT)-(c_TMAP1OUT))&gt;=0,1,-1)*QUOTIENT(((c_TMAP2IN)-(c_TMAP1IN)),2))+2147483648,4294967296)-2147483648,((c_TMAP2IN)-(c_TMAP1IN))*(((A894)-(c_TMAP1IN))*((c_TMAP2OUT)-(c_TMAP1OUT))+IF(((c_TMAP2OUT)-(c_TMAP1OUT))&gt;=0,1,-1)*QUOTIENT(((c_TMAP2IN)-(c_TMAP1IN)),2)))&lt;0,-1,0),IF(IF(o_WRAP=1,MOD(((c_TMAP2IN)-(c_TMAP1IN))*(((A894)-(c_TMAP1IN))*((c_TMAP2OUT)-(c_TMAP1OUT))+IF(((c_TMAP2OUT)-(c_TMAP1OUT))&gt;=0,1,-1)*QUOTIENT(((c_TMAP2IN)-(c_TMAP1IN)),2))+2147483648,4294967296)-2147483648,((c_TMAP2IN)-(c_TMAP1IN))*(((A894)-(c_TMAP1IN))*((c_TMAP2OUT)-(c_TMAP1OUT))+IF(((c_TMAP2OUT)-(c_TMAP1OUT))&gt;=0,1,-1)*QUOTIENT(((c_TMAP2IN)-(c_TMAP1IN)),2)))&gt;=0,1,0)))</f>
        <v>386</v>
      </c>
      <c r="F894" s="7" t="n">
        <f aca="false">IF(((c_TMAP3IN)-(c_TMAP2IN))=0,(c_TMAP2OUT)+QUOTIENT(((c_TMAP3OUT)-(c_TMAP2OUT)),2),QUOTIENT((((A894)-(c_TMAP2IN))*((c_TMAP3OUT)-(c_TMAP2OUT))+IF(((c_TMAP3OUT)-(c_TMAP2OUT))&gt;=0,1,-1)*QUOTIENT(((c_TMAP3IN)-(c_TMAP2IN)),2)),((c_TMAP3IN)-(c_TMAP2IN)))+(c_TMAP2OUT)+IF(((c_TMAP3OUT)-(c_TMAP2OUT))&gt;=0,IF(IF(o_WRAP=1,MOD(((c_TMAP3IN)-(c_TMAP2IN))*(((A894)-(c_TMAP2IN))*((c_TMAP3OUT)-(c_TMAP2OUT))+IF(((c_TMAP3OUT)-(c_TMAP2OUT))&gt;=0,1,-1)*QUOTIENT(((c_TMAP3IN)-(c_TMAP2IN)),2))+2147483648,4294967296)-2147483648,((c_TMAP3IN)-(c_TMAP2IN))*(((A894)-(c_TMAP2IN))*((c_TMAP3OUT)-(c_TMAP2OUT))+IF(((c_TMAP3OUT)-(c_TMAP2OUT))&gt;=0,1,-1)*QUOTIENT(((c_TMAP3IN)-(c_TMAP2IN)),2)))&lt;0,-1,0),IF(IF(o_WRAP=1,MOD(((c_TMAP3IN)-(c_TMAP2IN))*(((A894)-(c_TMAP2IN))*((c_TMAP3OUT)-(c_TMAP2OUT))+IF(((c_TMAP3OUT)-(c_TMAP2OUT))&gt;=0,1,-1)*QUOTIENT(((c_TMAP3IN)-(c_TMAP2IN)),2))+2147483648,4294967296)-2147483648,((c_TMAP3IN)-(c_TMAP2IN))*(((A894)-(c_TMAP2IN))*((c_TMAP3OUT)-(c_TMAP2OUT))+IF(((c_TMAP3OUT)-(c_TMAP2OUT))&gt;=0,1,-1)*QUOTIENT(((c_TMAP3IN)-(c_TMAP2IN)),2)))&gt;=0,1,0)))</f>
        <v>577</v>
      </c>
      <c r="G894" s="7" t="n">
        <f aca="false">IF(((1000)-(c_TMAP3IN))=0,(c_TMAP3OUT)+QUOTIENT(((1000)-(c_TMAP3OUT)),2),QUOTIENT((((A894)-(c_TMAP3IN))*((1000)-(c_TMAP3OUT))+IF(((1000)-(c_TMAP3OUT))&gt;=0,1,-1)*QUOTIENT(((1000)-(c_TMAP3IN)),2)),((1000)-(c_TMAP3IN)))+(c_TMAP3OUT)+IF(((1000)-(c_TMAP3OUT))&gt;=0,IF(IF(o_WRAP=1,MOD(((1000)-(c_TMAP3IN))*(((A894)-(c_TMAP3IN))*((1000)-(c_TMAP3OUT))+IF(((1000)-(c_TMAP3OUT))&gt;=0,1,-1)*QUOTIENT(((1000)-(c_TMAP3IN)),2))+2147483648,4294967296)-2147483648,((1000)-(c_TMAP3IN))*(((A894)-(c_TMAP3IN))*((1000)-(c_TMAP3OUT))+IF(((1000)-(c_TMAP3OUT))&gt;=0,1,-1)*QUOTIENT(((1000)-(c_TMAP3IN)),2)))&lt;0,-1,0),IF(IF(o_WRAP=1,MOD(((1000)-(c_TMAP3IN))*(((A894)-(c_TMAP3IN))*((1000)-(c_TMAP3OUT))+IF(((1000)-(c_TMAP3OUT))&gt;=0,1,-1)*QUOTIENT(((1000)-(c_TMAP3IN)),2))+2147483648,4294967296)-2147483648,((1000)-(c_TMAP3IN))*(((A894)-(c_TMAP3IN))*((1000)-(c_TMAP3OUT))+IF(((1000)-(c_TMAP3OUT))&gt;=0,1,-1)*QUOTIENT(((1000)-(c_TMAP3IN)),2)))&gt;=0,1,0)))</f>
        <v>863</v>
      </c>
      <c r="H894" s="7" t="str">
        <f aca="false">IF(A894&gt;=c_TFWD,IF(AND(A894&gt;=c_TMAP3IN,c_TMAP3IN&lt;1000),"Seg4 map3-100%",IF(AND(A894&gt;=c_TMAP2IN,c_TMAP3IN&gt;c_TMAP2IN),"Seg3 map2-map3",IF(AND(A894&gt;=c_TMAP1IN,c_TMAP2IN&gt;c_TMAP1IN),"Seg2 map1-map2","Seg1 TFWD-map1"))),IF(AND(A894=0,c_TCREEP&gt;0),"Creep",IF(AND(A894&lt;=c_TRNGMIN,A894&gt;=c_TRNGMAX,c_TRNGMIN-c_TRNGMAX&lt;&gt;0),"Regen ramp","Coast (0)")))</f>
        <v>Seg4 map3-100%</v>
      </c>
      <c r="I894" s="7" t="n">
        <f aca="false">IF(A894&gt;=c_TFWD,IF(AND(A894&gt;=c_TMAP3IN,c_TMAP3IN&lt;1000),G894,IF(AND(A894&gt;=c_TMAP2IN,c_TMAP3IN&gt;c_TMAP2IN),F894,IF(AND(A894&gt;=c_TMAP1IN,c_TMAP2IN&gt;c_TMAP1IN),E894,D894))),C894)</f>
        <v>863</v>
      </c>
      <c r="J894" s="7" t="str">
        <f aca="false">IF(I894&lt;-1090,"TOO LOW",IF(I894&gt;1090,"TOO HIGH",""))</f>
        <v/>
      </c>
      <c r="K894" s="15" t="n">
        <f aca="false">IF(J894&lt;&gt;"",0,IF(I894&gt;979,1000,I894))</f>
        <v>863</v>
      </c>
      <c r="L894" s="7" t="n">
        <f aca="false">K894/10</f>
        <v>86.3</v>
      </c>
    </row>
    <row r="895" customFormat="false" ht="15" hidden="false" customHeight="false" outlineLevel="0" collapsed="false">
      <c r="A895" s="7" t="n">
        <v>890</v>
      </c>
      <c r="B895" s="7" t="n">
        <f aca="false">A895/10</f>
        <v>89</v>
      </c>
      <c r="C895" s="7" t="n">
        <f aca="false">IF(AND(A895=0,c_TCREEP&gt;0),10*c_TCREEP,IF(AND(A895&lt;=c_TRNGMIN,A895&gt;=c_TRNGMAX,c_TRNGMIN-c_TRNGMAX&lt;&gt;0),-10*c_TMINRN+QUOTIENT((c_TMAXRN-c_TMINRN)*(100-QUOTIENT((A895-c_TRNGMAX)*100,c_TRNGMIN-c_TRNGMAX)),-10),0))</f>
        <v>0</v>
      </c>
      <c r="D895" s="7" t="n">
        <f aca="false">IF(((c_TMAP1IN)-(c_TFWD))=0,(0)+QUOTIENT(((c_TMAP1OUT)-(0)),2),QUOTIENT((((A895)-(c_TFWD))*((c_TMAP1OUT)-(0))+IF(((c_TMAP1OUT)-(0))&gt;=0,1,-1)*QUOTIENT(((c_TMAP1IN)-(c_TFWD)),2)),((c_TMAP1IN)-(c_TFWD)))+(0)+IF(((c_TMAP1OUT)-(0))&gt;=0,IF(IF(o_WRAP=1,MOD(((c_TMAP1IN)-(c_TFWD))*(((A895)-(c_TFWD))*((c_TMAP1OUT)-(0))+IF(((c_TMAP1OUT)-(0))&gt;=0,1,-1)*QUOTIENT(((c_TMAP1IN)-(c_TFWD)),2))+2147483648,4294967296)-2147483648,((c_TMAP1IN)-(c_TFWD))*(((A895)-(c_TFWD))*((c_TMAP1OUT)-(0))+IF(((c_TMAP1OUT)-(0))&gt;=0,1,-1)*QUOTIENT(((c_TMAP1IN)-(c_TFWD)),2)))&lt;0,-1,0),IF(IF(o_WRAP=1,MOD(((c_TMAP1IN)-(c_TFWD))*(((A895)-(c_TFWD))*((c_TMAP1OUT)-(0))+IF(((c_TMAP1OUT)-(0))&gt;=0,1,-1)*QUOTIENT(((c_TMAP1IN)-(c_TFWD)),2))+2147483648,4294967296)-2147483648,((c_TMAP1IN)-(c_TFWD))*(((A895)-(c_TFWD))*((c_TMAP1OUT)-(0))+IF(((c_TMAP1OUT)-(0))&gt;=0,1,-1)*QUOTIENT(((c_TMAP1IN)-(c_TFWD)),2)))&gt;=0,1,0)))</f>
        <v>684</v>
      </c>
      <c r="E895" s="7" t="n">
        <f aca="false">IF(((c_TMAP2IN)-(c_TMAP1IN))=0,(c_TMAP1OUT)+QUOTIENT(((c_TMAP2OUT)-(c_TMAP1OUT)),2),QUOTIENT((((A895)-(c_TMAP1IN))*((c_TMAP2OUT)-(c_TMAP1OUT))+IF(((c_TMAP2OUT)-(c_TMAP1OUT))&gt;=0,1,-1)*QUOTIENT(((c_TMAP2IN)-(c_TMAP1IN)),2)),((c_TMAP2IN)-(c_TMAP1IN)))+(c_TMAP1OUT)+IF(((c_TMAP2OUT)-(c_TMAP1OUT))&gt;=0,IF(IF(o_WRAP=1,MOD(((c_TMAP2IN)-(c_TMAP1IN))*(((A895)-(c_TMAP1IN))*((c_TMAP2OUT)-(c_TMAP1OUT))+IF(((c_TMAP2OUT)-(c_TMAP1OUT))&gt;=0,1,-1)*QUOTIENT(((c_TMAP2IN)-(c_TMAP1IN)),2))+2147483648,4294967296)-2147483648,((c_TMAP2IN)-(c_TMAP1IN))*(((A895)-(c_TMAP1IN))*((c_TMAP2OUT)-(c_TMAP1OUT))+IF(((c_TMAP2OUT)-(c_TMAP1OUT))&gt;=0,1,-1)*QUOTIENT(((c_TMAP2IN)-(c_TMAP1IN)),2)))&lt;0,-1,0),IF(IF(o_WRAP=1,MOD(((c_TMAP2IN)-(c_TMAP1IN))*(((A895)-(c_TMAP1IN))*((c_TMAP2OUT)-(c_TMAP1OUT))+IF(((c_TMAP2OUT)-(c_TMAP1OUT))&gt;=0,1,-1)*QUOTIENT(((c_TMAP2IN)-(c_TMAP1IN)),2))+2147483648,4294967296)-2147483648,((c_TMAP2IN)-(c_TMAP1IN))*(((A895)-(c_TMAP1IN))*((c_TMAP2OUT)-(c_TMAP1OUT))+IF(((c_TMAP2OUT)-(c_TMAP1OUT))&gt;=0,1,-1)*QUOTIENT(((c_TMAP2IN)-(c_TMAP1IN)),2)))&gt;=0,1,0)))</f>
        <v>386</v>
      </c>
      <c r="F895" s="7" t="n">
        <f aca="false">IF(((c_TMAP3IN)-(c_TMAP2IN))=0,(c_TMAP2OUT)+QUOTIENT(((c_TMAP3OUT)-(c_TMAP2OUT)),2),QUOTIENT((((A895)-(c_TMAP2IN))*((c_TMAP3OUT)-(c_TMAP2OUT))+IF(((c_TMAP3OUT)-(c_TMAP2OUT))&gt;=0,1,-1)*QUOTIENT(((c_TMAP3IN)-(c_TMAP2IN)),2)),((c_TMAP3IN)-(c_TMAP2IN)))+(c_TMAP2OUT)+IF(((c_TMAP3OUT)-(c_TMAP2OUT))&gt;=0,IF(IF(o_WRAP=1,MOD(((c_TMAP3IN)-(c_TMAP2IN))*(((A895)-(c_TMAP2IN))*((c_TMAP3OUT)-(c_TMAP2OUT))+IF(((c_TMAP3OUT)-(c_TMAP2OUT))&gt;=0,1,-1)*QUOTIENT(((c_TMAP3IN)-(c_TMAP2IN)),2))+2147483648,4294967296)-2147483648,((c_TMAP3IN)-(c_TMAP2IN))*(((A895)-(c_TMAP2IN))*((c_TMAP3OUT)-(c_TMAP2OUT))+IF(((c_TMAP3OUT)-(c_TMAP2OUT))&gt;=0,1,-1)*QUOTIENT(((c_TMAP3IN)-(c_TMAP2IN)),2)))&lt;0,-1,0),IF(IF(o_WRAP=1,MOD(((c_TMAP3IN)-(c_TMAP2IN))*(((A895)-(c_TMAP2IN))*((c_TMAP3OUT)-(c_TMAP2OUT))+IF(((c_TMAP3OUT)-(c_TMAP2OUT))&gt;=0,1,-1)*QUOTIENT(((c_TMAP3IN)-(c_TMAP2IN)),2))+2147483648,4294967296)-2147483648,((c_TMAP3IN)-(c_TMAP2IN))*(((A895)-(c_TMAP2IN))*((c_TMAP3OUT)-(c_TMAP2OUT))+IF(((c_TMAP3OUT)-(c_TMAP2OUT))&gt;=0,1,-1)*QUOTIENT(((c_TMAP3IN)-(c_TMAP2IN)),2)))&gt;=0,1,0)))</f>
        <v>578</v>
      </c>
      <c r="G895" s="7" t="n">
        <f aca="false">IF(((1000)-(c_TMAP3IN))=0,(c_TMAP3OUT)+QUOTIENT(((1000)-(c_TMAP3OUT)),2),QUOTIENT((((A895)-(c_TMAP3IN))*((1000)-(c_TMAP3OUT))+IF(((1000)-(c_TMAP3OUT))&gt;=0,1,-1)*QUOTIENT(((1000)-(c_TMAP3IN)),2)),((1000)-(c_TMAP3IN)))+(c_TMAP3OUT)+IF(((1000)-(c_TMAP3OUT))&gt;=0,IF(IF(o_WRAP=1,MOD(((1000)-(c_TMAP3IN))*(((A895)-(c_TMAP3IN))*((1000)-(c_TMAP3OUT))+IF(((1000)-(c_TMAP3OUT))&gt;=0,1,-1)*QUOTIENT(((1000)-(c_TMAP3IN)),2))+2147483648,4294967296)-2147483648,((1000)-(c_TMAP3IN))*(((A895)-(c_TMAP3IN))*((1000)-(c_TMAP3OUT))+IF(((1000)-(c_TMAP3OUT))&gt;=0,1,-1)*QUOTIENT(((1000)-(c_TMAP3IN)),2)))&lt;0,-1,0),IF(IF(o_WRAP=1,MOD(((1000)-(c_TMAP3IN))*(((A895)-(c_TMAP3IN))*((1000)-(c_TMAP3OUT))+IF(((1000)-(c_TMAP3OUT))&gt;=0,1,-1)*QUOTIENT(((1000)-(c_TMAP3IN)),2))+2147483648,4294967296)-2147483648,((1000)-(c_TMAP3IN))*(((A895)-(c_TMAP3IN))*((1000)-(c_TMAP3OUT))+IF(((1000)-(c_TMAP3OUT))&gt;=0,1,-1)*QUOTIENT(((1000)-(c_TMAP3IN)),2)))&gt;=0,1,0)))</f>
        <v>865</v>
      </c>
      <c r="H895" s="7" t="str">
        <f aca="false">IF(A895&gt;=c_TFWD,IF(AND(A895&gt;=c_TMAP3IN,c_TMAP3IN&lt;1000),"Seg4 map3-100%",IF(AND(A895&gt;=c_TMAP2IN,c_TMAP3IN&gt;c_TMAP2IN),"Seg3 map2-map3",IF(AND(A895&gt;=c_TMAP1IN,c_TMAP2IN&gt;c_TMAP1IN),"Seg2 map1-map2","Seg1 TFWD-map1"))),IF(AND(A895=0,c_TCREEP&gt;0),"Creep",IF(AND(A895&lt;=c_TRNGMIN,A895&gt;=c_TRNGMAX,c_TRNGMIN-c_TRNGMAX&lt;&gt;0),"Regen ramp","Coast (0)")))</f>
        <v>Seg4 map3-100%</v>
      </c>
      <c r="I895" s="7" t="n">
        <f aca="false">IF(A895&gt;=c_TFWD,IF(AND(A895&gt;=c_TMAP3IN,c_TMAP3IN&lt;1000),G895,IF(AND(A895&gt;=c_TMAP2IN,c_TMAP3IN&gt;c_TMAP2IN),F895,IF(AND(A895&gt;=c_TMAP1IN,c_TMAP2IN&gt;c_TMAP1IN),E895,D895))),C895)</f>
        <v>865</v>
      </c>
      <c r="J895" s="7" t="str">
        <f aca="false">IF(I895&lt;-1090,"TOO LOW",IF(I895&gt;1090,"TOO HIGH",""))</f>
        <v/>
      </c>
      <c r="K895" s="15" t="n">
        <f aca="false">IF(J895&lt;&gt;"",0,IF(I895&gt;979,1000,I895))</f>
        <v>865</v>
      </c>
      <c r="L895" s="7" t="n">
        <f aca="false">K895/10</f>
        <v>86.5</v>
      </c>
    </row>
    <row r="896" customFormat="false" ht="15" hidden="false" customHeight="false" outlineLevel="0" collapsed="false">
      <c r="A896" s="7" t="n">
        <v>891</v>
      </c>
      <c r="B896" s="7" t="n">
        <f aca="false">A896/10</f>
        <v>89.1</v>
      </c>
      <c r="C896" s="7" t="n">
        <f aca="false">IF(AND(A896=0,c_TCREEP&gt;0),10*c_TCREEP,IF(AND(A896&lt;=c_TRNGMIN,A896&gt;=c_TRNGMAX,c_TRNGMIN-c_TRNGMAX&lt;&gt;0),-10*c_TMINRN+QUOTIENT((c_TMAXRN-c_TMINRN)*(100-QUOTIENT((A896-c_TRNGMAX)*100,c_TRNGMIN-c_TRNGMAX)),-10),0))</f>
        <v>0</v>
      </c>
      <c r="D896" s="7" t="n">
        <f aca="false">IF(((c_TMAP1IN)-(c_TFWD))=0,(0)+QUOTIENT(((c_TMAP1OUT)-(0)),2),QUOTIENT((((A896)-(c_TFWD))*((c_TMAP1OUT)-(0))+IF(((c_TMAP1OUT)-(0))&gt;=0,1,-1)*QUOTIENT(((c_TMAP1IN)-(c_TFWD)),2)),((c_TMAP1IN)-(c_TFWD)))+(0)+IF(((c_TMAP1OUT)-(0))&gt;=0,IF(IF(o_WRAP=1,MOD(((c_TMAP1IN)-(c_TFWD))*(((A896)-(c_TFWD))*((c_TMAP1OUT)-(0))+IF(((c_TMAP1OUT)-(0))&gt;=0,1,-1)*QUOTIENT(((c_TMAP1IN)-(c_TFWD)),2))+2147483648,4294967296)-2147483648,((c_TMAP1IN)-(c_TFWD))*(((A896)-(c_TFWD))*((c_TMAP1OUT)-(0))+IF(((c_TMAP1OUT)-(0))&gt;=0,1,-1)*QUOTIENT(((c_TMAP1IN)-(c_TFWD)),2)))&lt;0,-1,0),IF(IF(o_WRAP=1,MOD(((c_TMAP1IN)-(c_TFWD))*(((A896)-(c_TFWD))*((c_TMAP1OUT)-(0))+IF(((c_TMAP1OUT)-(0))&gt;=0,1,-1)*QUOTIENT(((c_TMAP1IN)-(c_TFWD)),2))+2147483648,4294967296)-2147483648,((c_TMAP1IN)-(c_TFWD))*(((A896)-(c_TFWD))*((c_TMAP1OUT)-(0))+IF(((c_TMAP1OUT)-(0))&gt;=0,1,-1)*QUOTIENT(((c_TMAP1IN)-(c_TFWD)),2)))&gt;=0,1,0)))</f>
        <v>685</v>
      </c>
      <c r="E896" s="7" t="n">
        <f aca="false">IF(((c_TMAP2IN)-(c_TMAP1IN))=0,(c_TMAP1OUT)+QUOTIENT(((c_TMAP2OUT)-(c_TMAP1OUT)),2),QUOTIENT((((A896)-(c_TMAP1IN))*((c_TMAP2OUT)-(c_TMAP1OUT))+IF(((c_TMAP2OUT)-(c_TMAP1OUT))&gt;=0,1,-1)*QUOTIENT(((c_TMAP2IN)-(c_TMAP1IN)),2)),((c_TMAP2IN)-(c_TMAP1IN)))+(c_TMAP1OUT)+IF(((c_TMAP2OUT)-(c_TMAP1OUT))&gt;=0,IF(IF(o_WRAP=1,MOD(((c_TMAP2IN)-(c_TMAP1IN))*(((A896)-(c_TMAP1IN))*((c_TMAP2OUT)-(c_TMAP1OUT))+IF(((c_TMAP2OUT)-(c_TMAP1OUT))&gt;=0,1,-1)*QUOTIENT(((c_TMAP2IN)-(c_TMAP1IN)),2))+2147483648,4294967296)-2147483648,((c_TMAP2IN)-(c_TMAP1IN))*(((A896)-(c_TMAP1IN))*((c_TMAP2OUT)-(c_TMAP1OUT))+IF(((c_TMAP2OUT)-(c_TMAP1OUT))&gt;=0,1,-1)*QUOTIENT(((c_TMAP2IN)-(c_TMAP1IN)),2)))&lt;0,-1,0),IF(IF(o_WRAP=1,MOD(((c_TMAP2IN)-(c_TMAP1IN))*(((A896)-(c_TMAP1IN))*((c_TMAP2OUT)-(c_TMAP1OUT))+IF(((c_TMAP2OUT)-(c_TMAP1OUT))&gt;=0,1,-1)*QUOTIENT(((c_TMAP2IN)-(c_TMAP1IN)),2))+2147483648,4294967296)-2147483648,((c_TMAP2IN)-(c_TMAP1IN))*(((A896)-(c_TMAP1IN))*((c_TMAP2OUT)-(c_TMAP1OUT))+IF(((c_TMAP2OUT)-(c_TMAP1OUT))&gt;=0,1,-1)*QUOTIENT(((c_TMAP2IN)-(c_TMAP1IN)),2)))&gt;=0,1,0)))</f>
        <v>386</v>
      </c>
      <c r="F896" s="7" t="n">
        <f aca="false">IF(((c_TMAP3IN)-(c_TMAP2IN))=0,(c_TMAP2OUT)+QUOTIENT(((c_TMAP3OUT)-(c_TMAP2OUT)),2),QUOTIENT((((A896)-(c_TMAP2IN))*((c_TMAP3OUT)-(c_TMAP2OUT))+IF(((c_TMAP3OUT)-(c_TMAP2OUT))&gt;=0,1,-1)*QUOTIENT(((c_TMAP3IN)-(c_TMAP2IN)),2)),((c_TMAP3IN)-(c_TMAP2IN)))+(c_TMAP2OUT)+IF(((c_TMAP3OUT)-(c_TMAP2OUT))&gt;=0,IF(IF(o_WRAP=1,MOD(((c_TMAP3IN)-(c_TMAP2IN))*(((A896)-(c_TMAP2IN))*((c_TMAP3OUT)-(c_TMAP2OUT))+IF(((c_TMAP3OUT)-(c_TMAP2OUT))&gt;=0,1,-1)*QUOTIENT(((c_TMAP3IN)-(c_TMAP2IN)),2))+2147483648,4294967296)-2147483648,((c_TMAP3IN)-(c_TMAP2IN))*(((A896)-(c_TMAP2IN))*((c_TMAP3OUT)-(c_TMAP2OUT))+IF(((c_TMAP3OUT)-(c_TMAP2OUT))&gt;=0,1,-1)*QUOTIENT(((c_TMAP3IN)-(c_TMAP2IN)),2)))&lt;0,-1,0),IF(IF(o_WRAP=1,MOD(((c_TMAP3IN)-(c_TMAP2IN))*(((A896)-(c_TMAP2IN))*((c_TMAP3OUT)-(c_TMAP2OUT))+IF(((c_TMAP3OUT)-(c_TMAP2OUT))&gt;=0,1,-1)*QUOTIENT(((c_TMAP3IN)-(c_TMAP2IN)),2))+2147483648,4294967296)-2147483648,((c_TMAP3IN)-(c_TMAP2IN))*(((A896)-(c_TMAP2IN))*((c_TMAP3OUT)-(c_TMAP2OUT))+IF(((c_TMAP3OUT)-(c_TMAP2OUT))&gt;=0,1,-1)*QUOTIENT(((c_TMAP3IN)-(c_TMAP2IN)),2)))&gt;=0,1,0)))</f>
        <v>579</v>
      </c>
      <c r="G896" s="7" t="n">
        <f aca="false">IF(((1000)-(c_TMAP3IN))=0,(c_TMAP3OUT)+QUOTIENT(((1000)-(c_TMAP3OUT)),2),QUOTIENT((((A896)-(c_TMAP3IN))*((1000)-(c_TMAP3OUT))+IF(((1000)-(c_TMAP3OUT))&gt;=0,1,-1)*QUOTIENT(((1000)-(c_TMAP3IN)),2)),((1000)-(c_TMAP3IN)))+(c_TMAP3OUT)+IF(((1000)-(c_TMAP3OUT))&gt;=0,IF(IF(o_WRAP=1,MOD(((1000)-(c_TMAP3IN))*(((A896)-(c_TMAP3IN))*((1000)-(c_TMAP3OUT))+IF(((1000)-(c_TMAP3OUT))&gt;=0,1,-1)*QUOTIENT(((1000)-(c_TMAP3IN)),2))+2147483648,4294967296)-2147483648,((1000)-(c_TMAP3IN))*(((A896)-(c_TMAP3IN))*((1000)-(c_TMAP3OUT))+IF(((1000)-(c_TMAP3OUT))&gt;=0,1,-1)*QUOTIENT(((1000)-(c_TMAP3IN)),2)))&lt;0,-1,0),IF(IF(o_WRAP=1,MOD(((1000)-(c_TMAP3IN))*(((A896)-(c_TMAP3IN))*((1000)-(c_TMAP3OUT))+IF(((1000)-(c_TMAP3OUT))&gt;=0,1,-1)*QUOTIENT(((1000)-(c_TMAP3IN)),2))+2147483648,4294967296)-2147483648,((1000)-(c_TMAP3IN))*(((A896)-(c_TMAP3IN))*((1000)-(c_TMAP3OUT))+IF(((1000)-(c_TMAP3OUT))&gt;=0,1,-1)*QUOTIENT(((1000)-(c_TMAP3IN)),2)))&gt;=0,1,0)))</f>
        <v>866</v>
      </c>
      <c r="H896" s="7" t="str">
        <f aca="false">IF(A896&gt;=c_TFWD,IF(AND(A896&gt;=c_TMAP3IN,c_TMAP3IN&lt;1000),"Seg4 map3-100%",IF(AND(A896&gt;=c_TMAP2IN,c_TMAP3IN&gt;c_TMAP2IN),"Seg3 map2-map3",IF(AND(A896&gt;=c_TMAP1IN,c_TMAP2IN&gt;c_TMAP1IN),"Seg2 map1-map2","Seg1 TFWD-map1"))),IF(AND(A896=0,c_TCREEP&gt;0),"Creep",IF(AND(A896&lt;=c_TRNGMIN,A896&gt;=c_TRNGMAX,c_TRNGMIN-c_TRNGMAX&lt;&gt;0),"Regen ramp","Coast (0)")))</f>
        <v>Seg4 map3-100%</v>
      </c>
      <c r="I896" s="7" t="n">
        <f aca="false">IF(A896&gt;=c_TFWD,IF(AND(A896&gt;=c_TMAP3IN,c_TMAP3IN&lt;1000),G896,IF(AND(A896&gt;=c_TMAP2IN,c_TMAP3IN&gt;c_TMAP2IN),F896,IF(AND(A896&gt;=c_TMAP1IN,c_TMAP2IN&gt;c_TMAP1IN),E896,D896))),C896)</f>
        <v>866</v>
      </c>
      <c r="J896" s="7" t="str">
        <f aca="false">IF(I896&lt;-1090,"TOO LOW",IF(I896&gt;1090,"TOO HIGH",""))</f>
        <v/>
      </c>
      <c r="K896" s="15" t="n">
        <f aca="false">IF(J896&lt;&gt;"",0,IF(I896&gt;979,1000,I896))</f>
        <v>866</v>
      </c>
      <c r="L896" s="7" t="n">
        <f aca="false">K896/10</f>
        <v>86.6</v>
      </c>
    </row>
    <row r="897" customFormat="false" ht="15" hidden="false" customHeight="false" outlineLevel="0" collapsed="false">
      <c r="A897" s="7" t="n">
        <v>892</v>
      </c>
      <c r="B897" s="7" t="n">
        <f aca="false">A897/10</f>
        <v>89.2</v>
      </c>
      <c r="C897" s="7" t="n">
        <f aca="false">IF(AND(A897=0,c_TCREEP&gt;0),10*c_TCREEP,IF(AND(A897&lt;=c_TRNGMIN,A897&gt;=c_TRNGMAX,c_TRNGMIN-c_TRNGMAX&lt;&gt;0),-10*c_TMINRN+QUOTIENT((c_TMAXRN-c_TMINRN)*(100-QUOTIENT((A897-c_TRNGMAX)*100,c_TRNGMIN-c_TRNGMAX)),-10),0))</f>
        <v>0</v>
      </c>
      <c r="D897" s="7" t="n">
        <f aca="false">IF(((c_TMAP1IN)-(c_TFWD))=0,(0)+QUOTIENT(((c_TMAP1OUT)-(0)),2),QUOTIENT((((A897)-(c_TFWD))*((c_TMAP1OUT)-(0))+IF(((c_TMAP1OUT)-(0))&gt;=0,1,-1)*QUOTIENT(((c_TMAP1IN)-(c_TFWD)),2)),((c_TMAP1IN)-(c_TFWD)))+(0)+IF(((c_TMAP1OUT)-(0))&gt;=0,IF(IF(o_WRAP=1,MOD(((c_TMAP1IN)-(c_TFWD))*(((A897)-(c_TFWD))*((c_TMAP1OUT)-(0))+IF(((c_TMAP1OUT)-(0))&gt;=0,1,-1)*QUOTIENT(((c_TMAP1IN)-(c_TFWD)),2))+2147483648,4294967296)-2147483648,((c_TMAP1IN)-(c_TFWD))*(((A897)-(c_TFWD))*((c_TMAP1OUT)-(0))+IF(((c_TMAP1OUT)-(0))&gt;=0,1,-1)*QUOTIENT(((c_TMAP1IN)-(c_TFWD)),2)))&lt;0,-1,0),IF(IF(o_WRAP=1,MOD(((c_TMAP1IN)-(c_TFWD))*(((A897)-(c_TFWD))*((c_TMAP1OUT)-(0))+IF(((c_TMAP1OUT)-(0))&gt;=0,1,-1)*QUOTIENT(((c_TMAP1IN)-(c_TFWD)),2))+2147483648,4294967296)-2147483648,((c_TMAP1IN)-(c_TFWD))*(((A897)-(c_TFWD))*((c_TMAP1OUT)-(0))+IF(((c_TMAP1OUT)-(0))&gt;=0,1,-1)*QUOTIENT(((c_TMAP1IN)-(c_TFWD)),2)))&gt;=0,1,0)))</f>
        <v>686</v>
      </c>
      <c r="E897" s="7" t="n">
        <f aca="false">IF(((c_TMAP2IN)-(c_TMAP1IN))=0,(c_TMAP1OUT)+QUOTIENT(((c_TMAP2OUT)-(c_TMAP1OUT)),2),QUOTIENT((((A897)-(c_TMAP1IN))*((c_TMAP2OUT)-(c_TMAP1OUT))+IF(((c_TMAP2OUT)-(c_TMAP1OUT))&gt;=0,1,-1)*QUOTIENT(((c_TMAP2IN)-(c_TMAP1IN)),2)),((c_TMAP2IN)-(c_TMAP1IN)))+(c_TMAP1OUT)+IF(((c_TMAP2OUT)-(c_TMAP1OUT))&gt;=0,IF(IF(o_WRAP=1,MOD(((c_TMAP2IN)-(c_TMAP1IN))*(((A897)-(c_TMAP1IN))*((c_TMAP2OUT)-(c_TMAP1OUT))+IF(((c_TMAP2OUT)-(c_TMAP1OUT))&gt;=0,1,-1)*QUOTIENT(((c_TMAP2IN)-(c_TMAP1IN)),2))+2147483648,4294967296)-2147483648,((c_TMAP2IN)-(c_TMAP1IN))*(((A897)-(c_TMAP1IN))*((c_TMAP2OUT)-(c_TMAP1OUT))+IF(((c_TMAP2OUT)-(c_TMAP1OUT))&gt;=0,1,-1)*QUOTIENT(((c_TMAP2IN)-(c_TMAP1IN)),2)))&lt;0,-1,0),IF(IF(o_WRAP=1,MOD(((c_TMAP2IN)-(c_TMAP1IN))*(((A897)-(c_TMAP1IN))*((c_TMAP2OUT)-(c_TMAP1OUT))+IF(((c_TMAP2OUT)-(c_TMAP1OUT))&gt;=0,1,-1)*QUOTIENT(((c_TMAP2IN)-(c_TMAP1IN)),2))+2147483648,4294967296)-2147483648,((c_TMAP2IN)-(c_TMAP1IN))*(((A897)-(c_TMAP1IN))*((c_TMAP2OUT)-(c_TMAP1OUT))+IF(((c_TMAP2OUT)-(c_TMAP1OUT))&gt;=0,1,-1)*QUOTIENT(((c_TMAP2IN)-(c_TMAP1IN)),2)))&gt;=0,1,0)))</f>
        <v>387</v>
      </c>
      <c r="F897" s="7" t="n">
        <f aca="false">IF(((c_TMAP3IN)-(c_TMAP2IN))=0,(c_TMAP2OUT)+QUOTIENT(((c_TMAP3OUT)-(c_TMAP2OUT)),2),QUOTIENT((((A897)-(c_TMAP2IN))*((c_TMAP3OUT)-(c_TMAP2OUT))+IF(((c_TMAP3OUT)-(c_TMAP2OUT))&gt;=0,1,-1)*QUOTIENT(((c_TMAP3IN)-(c_TMAP2IN)),2)),((c_TMAP3IN)-(c_TMAP2IN)))+(c_TMAP2OUT)+IF(((c_TMAP3OUT)-(c_TMAP2OUT))&gt;=0,IF(IF(o_WRAP=1,MOD(((c_TMAP3IN)-(c_TMAP2IN))*(((A897)-(c_TMAP2IN))*((c_TMAP3OUT)-(c_TMAP2OUT))+IF(((c_TMAP3OUT)-(c_TMAP2OUT))&gt;=0,1,-1)*QUOTIENT(((c_TMAP3IN)-(c_TMAP2IN)),2))+2147483648,4294967296)-2147483648,((c_TMAP3IN)-(c_TMAP2IN))*(((A897)-(c_TMAP2IN))*((c_TMAP3OUT)-(c_TMAP2OUT))+IF(((c_TMAP3OUT)-(c_TMAP2OUT))&gt;=0,1,-1)*QUOTIENT(((c_TMAP3IN)-(c_TMAP2IN)),2)))&lt;0,-1,0),IF(IF(o_WRAP=1,MOD(((c_TMAP3IN)-(c_TMAP2IN))*(((A897)-(c_TMAP2IN))*((c_TMAP3OUT)-(c_TMAP2OUT))+IF(((c_TMAP3OUT)-(c_TMAP2OUT))&gt;=0,1,-1)*QUOTIENT(((c_TMAP3IN)-(c_TMAP2IN)),2))+2147483648,4294967296)-2147483648,((c_TMAP3IN)-(c_TMAP2IN))*(((A897)-(c_TMAP2IN))*((c_TMAP3OUT)-(c_TMAP2OUT))+IF(((c_TMAP3OUT)-(c_TMAP2OUT))&gt;=0,1,-1)*QUOTIENT(((c_TMAP3IN)-(c_TMAP2IN)),2)))&gt;=0,1,0)))</f>
        <v>579</v>
      </c>
      <c r="G897" s="7" t="n">
        <f aca="false">IF(((1000)-(c_TMAP3IN))=0,(c_TMAP3OUT)+QUOTIENT(((1000)-(c_TMAP3OUT)),2),QUOTIENT((((A897)-(c_TMAP3IN))*((1000)-(c_TMAP3OUT))+IF(((1000)-(c_TMAP3OUT))&gt;=0,1,-1)*QUOTIENT(((1000)-(c_TMAP3IN)),2)),((1000)-(c_TMAP3IN)))+(c_TMAP3OUT)+IF(((1000)-(c_TMAP3OUT))&gt;=0,IF(IF(o_WRAP=1,MOD(((1000)-(c_TMAP3IN))*(((A897)-(c_TMAP3IN))*((1000)-(c_TMAP3OUT))+IF(((1000)-(c_TMAP3OUT))&gt;=0,1,-1)*QUOTIENT(((1000)-(c_TMAP3IN)),2))+2147483648,4294967296)-2147483648,((1000)-(c_TMAP3IN))*(((A897)-(c_TMAP3IN))*((1000)-(c_TMAP3OUT))+IF(((1000)-(c_TMAP3OUT))&gt;=0,1,-1)*QUOTIENT(((1000)-(c_TMAP3IN)),2)))&lt;0,-1,0),IF(IF(o_WRAP=1,MOD(((1000)-(c_TMAP3IN))*(((A897)-(c_TMAP3IN))*((1000)-(c_TMAP3OUT))+IF(((1000)-(c_TMAP3OUT))&gt;=0,1,-1)*QUOTIENT(((1000)-(c_TMAP3IN)),2))+2147483648,4294967296)-2147483648,((1000)-(c_TMAP3IN))*(((A897)-(c_TMAP3IN))*((1000)-(c_TMAP3OUT))+IF(((1000)-(c_TMAP3OUT))&gt;=0,1,-1)*QUOTIENT(((1000)-(c_TMAP3IN)),2)))&gt;=0,1,0)))</f>
        <v>867</v>
      </c>
      <c r="H897" s="7" t="str">
        <f aca="false">IF(A897&gt;=c_TFWD,IF(AND(A897&gt;=c_TMAP3IN,c_TMAP3IN&lt;1000),"Seg4 map3-100%",IF(AND(A897&gt;=c_TMAP2IN,c_TMAP3IN&gt;c_TMAP2IN),"Seg3 map2-map3",IF(AND(A897&gt;=c_TMAP1IN,c_TMAP2IN&gt;c_TMAP1IN),"Seg2 map1-map2","Seg1 TFWD-map1"))),IF(AND(A897=0,c_TCREEP&gt;0),"Creep",IF(AND(A897&lt;=c_TRNGMIN,A897&gt;=c_TRNGMAX,c_TRNGMIN-c_TRNGMAX&lt;&gt;0),"Regen ramp","Coast (0)")))</f>
        <v>Seg4 map3-100%</v>
      </c>
      <c r="I897" s="7" t="n">
        <f aca="false">IF(A897&gt;=c_TFWD,IF(AND(A897&gt;=c_TMAP3IN,c_TMAP3IN&lt;1000),G897,IF(AND(A897&gt;=c_TMAP2IN,c_TMAP3IN&gt;c_TMAP2IN),F897,IF(AND(A897&gt;=c_TMAP1IN,c_TMAP2IN&gt;c_TMAP1IN),E897,D897))),C897)</f>
        <v>867</v>
      </c>
      <c r="J897" s="7" t="str">
        <f aca="false">IF(I897&lt;-1090,"TOO LOW",IF(I897&gt;1090,"TOO HIGH",""))</f>
        <v/>
      </c>
      <c r="K897" s="15" t="n">
        <f aca="false">IF(J897&lt;&gt;"",0,IF(I897&gt;979,1000,I897))</f>
        <v>867</v>
      </c>
      <c r="L897" s="7" t="n">
        <f aca="false">K897/10</f>
        <v>86.7</v>
      </c>
    </row>
    <row r="898" customFormat="false" ht="15" hidden="false" customHeight="false" outlineLevel="0" collapsed="false">
      <c r="A898" s="7" t="n">
        <v>893</v>
      </c>
      <c r="B898" s="7" t="n">
        <f aca="false">A898/10</f>
        <v>89.3</v>
      </c>
      <c r="C898" s="7" t="n">
        <f aca="false">IF(AND(A898=0,c_TCREEP&gt;0),10*c_TCREEP,IF(AND(A898&lt;=c_TRNGMIN,A898&gt;=c_TRNGMAX,c_TRNGMIN-c_TRNGMAX&lt;&gt;0),-10*c_TMINRN+QUOTIENT((c_TMAXRN-c_TMINRN)*(100-QUOTIENT((A898-c_TRNGMAX)*100,c_TRNGMIN-c_TRNGMAX)),-10),0))</f>
        <v>0</v>
      </c>
      <c r="D898" s="7" t="n">
        <f aca="false">IF(((c_TMAP1IN)-(c_TFWD))=0,(0)+QUOTIENT(((c_TMAP1OUT)-(0)),2),QUOTIENT((((A898)-(c_TFWD))*((c_TMAP1OUT)-(0))+IF(((c_TMAP1OUT)-(0))&gt;=0,1,-1)*QUOTIENT(((c_TMAP1IN)-(c_TFWD)),2)),((c_TMAP1IN)-(c_TFWD)))+(0)+IF(((c_TMAP1OUT)-(0))&gt;=0,IF(IF(o_WRAP=1,MOD(((c_TMAP1IN)-(c_TFWD))*(((A898)-(c_TFWD))*((c_TMAP1OUT)-(0))+IF(((c_TMAP1OUT)-(0))&gt;=0,1,-1)*QUOTIENT(((c_TMAP1IN)-(c_TFWD)),2))+2147483648,4294967296)-2147483648,((c_TMAP1IN)-(c_TFWD))*(((A898)-(c_TFWD))*((c_TMAP1OUT)-(0))+IF(((c_TMAP1OUT)-(0))&gt;=0,1,-1)*QUOTIENT(((c_TMAP1IN)-(c_TFWD)),2)))&lt;0,-1,0),IF(IF(o_WRAP=1,MOD(((c_TMAP1IN)-(c_TFWD))*(((A898)-(c_TFWD))*((c_TMAP1OUT)-(0))+IF(((c_TMAP1OUT)-(0))&gt;=0,1,-1)*QUOTIENT(((c_TMAP1IN)-(c_TFWD)),2))+2147483648,4294967296)-2147483648,((c_TMAP1IN)-(c_TFWD))*(((A898)-(c_TFWD))*((c_TMAP1OUT)-(0))+IF(((c_TMAP1OUT)-(0))&gt;=0,1,-1)*QUOTIENT(((c_TMAP1IN)-(c_TFWD)),2)))&gt;=0,1,0)))</f>
        <v>687</v>
      </c>
      <c r="E898" s="7" t="n">
        <f aca="false">IF(((c_TMAP2IN)-(c_TMAP1IN))=0,(c_TMAP1OUT)+QUOTIENT(((c_TMAP2OUT)-(c_TMAP1OUT)),2),QUOTIENT((((A898)-(c_TMAP1IN))*((c_TMAP2OUT)-(c_TMAP1OUT))+IF(((c_TMAP2OUT)-(c_TMAP1OUT))&gt;=0,1,-1)*QUOTIENT(((c_TMAP2IN)-(c_TMAP1IN)),2)),((c_TMAP2IN)-(c_TMAP1IN)))+(c_TMAP1OUT)+IF(((c_TMAP2OUT)-(c_TMAP1OUT))&gt;=0,IF(IF(o_WRAP=1,MOD(((c_TMAP2IN)-(c_TMAP1IN))*(((A898)-(c_TMAP1IN))*((c_TMAP2OUT)-(c_TMAP1OUT))+IF(((c_TMAP2OUT)-(c_TMAP1OUT))&gt;=0,1,-1)*QUOTIENT(((c_TMAP2IN)-(c_TMAP1IN)),2))+2147483648,4294967296)-2147483648,((c_TMAP2IN)-(c_TMAP1IN))*(((A898)-(c_TMAP1IN))*((c_TMAP2OUT)-(c_TMAP1OUT))+IF(((c_TMAP2OUT)-(c_TMAP1OUT))&gt;=0,1,-1)*QUOTIENT(((c_TMAP2IN)-(c_TMAP1IN)),2)))&lt;0,-1,0),IF(IF(o_WRAP=1,MOD(((c_TMAP2IN)-(c_TMAP1IN))*(((A898)-(c_TMAP1IN))*((c_TMAP2OUT)-(c_TMAP1OUT))+IF(((c_TMAP2OUT)-(c_TMAP1OUT))&gt;=0,1,-1)*QUOTIENT(((c_TMAP2IN)-(c_TMAP1IN)),2))+2147483648,4294967296)-2147483648,((c_TMAP2IN)-(c_TMAP1IN))*(((A898)-(c_TMAP1IN))*((c_TMAP2OUT)-(c_TMAP1OUT))+IF(((c_TMAP2OUT)-(c_TMAP1OUT))&gt;=0,1,-1)*QUOTIENT(((c_TMAP2IN)-(c_TMAP1IN)),2)))&gt;=0,1,0)))</f>
        <v>387</v>
      </c>
      <c r="F898" s="7" t="n">
        <f aca="false">IF(((c_TMAP3IN)-(c_TMAP2IN))=0,(c_TMAP2OUT)+QUOTIENT(((c_TMAP3OUT)-(c_TMAP2OUT)),2),QUOTIENT((((A898)-(c_TMAP2IN))*((c_TMAP3OUT)-(c_TMAP2OUT))+IF(((c_TMAP3OUT)-(c_TMAP2OUT))&gt;=0,1,-1)*QUOTIENT(((c_TMAP3IN)-(c_TMAP2IN)),2)),((c_TMAP3IN)-(c_TMAP2IN)))+(c_TMAP2OUT)+IF(((c_TMAP3OUT)-(c_TMAP2OUT))&gt;=0,IF(IF(o_WRAP=1,MOD(((c_TMAP3IN)-(c_TMAP2IN))*(((A898)-(c_TMAP2IN))*((c_TMAP3OUT)-(c_TMAP2OUT))+IF(((c_TMAP3OUT)-(c_TMAP2OUT))&gt;=0,1,-1)*QUOTIENT(((c_TMAP3IN)-(c_TMAP2IN)),2))+2147483648,4294967296)-2147483648,((c_TMAP3IN)-(c_TMAP2IN))*(((A898)-(c_TMAP2IN))*((c_TMAP3OUT)-(c_TMAP2OUT))+IF(((c_TMAP3OUT)-(c_TMAP2OUT))&gt;=0,1,-1)*QUOTIENT(((c_TMAP3IN)-(c_TMAP2IN)),2)))&lt;0,-1,0),IF(IF(o_WRAP=1,MOD(((c_TMAP3IN)-(c_TMAP2IN))*(((A898)-(c_TMAP2IN))*((c_TMAP3OUT)-(c_TMAP2OUT))+IF(((c_TMAP3OUT)-(c_TMAP2OUT))&gt;=0,1,-1)*QUOTIENT(((c_TMAP3IN)-(c_TMAP2IN)),2))+2147483648,4294967296)-2147483648,((c_TMAP3IN)-(c_TMAP2IN))*(((A898)-(c_TMAP2IN))*((c_TMAP3OUT)-(c_TMAP2OUT))+IF(((c_TMAP3OUT)-(c_TMAP2OUT))&gt;=0,1,-1)*QUOTIENT(((c_TMAP3IN)-(c_TMAP2IN)),2)))&gt;=0,1,0)))</f>
        <v>580</v>
      </c>
      <c r="G898" s="7" t="n">
        <f aca="false">IF(((1000)-(c_TMAP3IN))=0,(c_TMAP3OUT)+QUOTIENT(((1000)-(c_TMAP3OUT)),2),QUOTIENT((((A898)-(c_TMAP3IN))*((1000)-(c_TMAP3OUT))+IF(((1000)-(c_TMAP3OUT))&gt;=0,1,-1)*QUOTIENT(((1000)-(c_TMAP3IN)),2)),((1000)-(c_TMAP3IN)))+(c_TMAP3OUT)+IF(((1000)-(c_TMAP3OUT))&gt;=0,IF(IF(o_WRAP=1,MOD(((1000)-(c_TMAP3IN))*(((A898)-(c_TMAP3IN))*((1000)-(c_TMAP3OUT))+IF(((1000)-(c_TMAP3OUT))&gt;=0,1,-1)*QUOTIENT(((1000)-(c_TMAP3IN)),2))+2147483648,4294967296)-2147483648,((1000)-(c_TMAP3IN))*(((A898)-(c_TMAP3IN))*((1000)-(c_TMAP3OUT))+IF(((1000)-(c_TMAP3OUT))&gt;=0,1,-1)*QUOTIENT(((1000)-(c_TMAP3IN)),2)))&lt;0,-1,0),IF(IF(o_WRAP=1,MOD(((1000)-(c_TMAP3IN))*(((A898)-(c_TMAP3IN))*((1000)-(c_TMAP3OUT))+IF(((1000)-(c_TMAP3OUT))&gt;=0,1,-1)*QUOTIENT(((1000)-(c_TMAP3IN)),2))+2147483648,4294967296)-2147483648,((1000)-(c_TMAP3IN))*(((A898)-(c_TMAP3IN))*((1000)-(c_TMAP3OUT))+IF(((1000)-(c_TMAP3OUT))&gt;=0,1,-1)*QUOTIENT(((1000)-(c_TMAP3IN)),2)))&gt;=0,1,0)))</f>
        <v>868</v>
      </c>
      <c r="H898" s="7" t="str">
        <f aca="false">IF(A898&gt;=c_TFWD,IF(AND(A898&gt;=c_TMAP3IN,c_TMAP3IN&lt;1000),"Seg4 map3-100%",IF(AND(A898&gt;=c_TMAP2IN,c_TMAP3IN&gt;c_TMAP2IN),"Seg3 map2-map3",IF(AND(A898&gt;=c_TMAP1IN,c_TMAP2IN&gt;c_TMAP1IN),"Seg2 map1-map2","Seg1 TFWD-map1"))),IF(AND(A898=0,c_TCREEP&gt;0),"Creep",IF(AND(A898&lt;=c_TRNGMIN,A898&gt;=c_TRNGMAX,c_TRNGMIN-c_TRNGMAX&lt;&gt;0),"Regen ramp","Coast (0)")))</f>
        <v>Seg4 map3-100%</v>
      </c>
      <c r="I898" s="7" t="n">
        <f aca="false">IF(A898&gt;=c_TFWD,IF(AND(A898&gt;=c_TMAP3IN,c_TMAP3IN&lt;1000),G898,IF(AND(A898&gt;=c_TMAP2IN,c_TMAP3IN&gt;c_TMAP2IN),F898,IF(AND(A898&gt;=c_TMAP1IN,c_TMAP2IN&gt;c_TMAP1IN),E898,D898))),C898)</f>
        <v>868</v>
      </c>
      <c r="J898" s="7" t="str">
        <f aca="false">IF(I898&lt;-1090,"TOO LOW",IF(I898&gt;1090,"TOO HIGH",""))</f>
        <v/>
      </c>
      <c r="K898" s="15" t="n">
        <f aca="false">IF(J898&lt;&gt;"",0,IF(I898&gt;979,1000,I898))</f>
        <v>868</v>
      </c>
      <c r="L898" s="7" t="n">
        <f aca="false">K898/10</f>
        <v>86.8</v>
      </c>
    </row>
    <row r="899" customFormat="false" ht="15" hidden="false" customHeight="false" outlineLevel="0" collapsed="false">
      <c r="A899" s="7" t="n">
        <v>894</v>
      </c>
      <c r="B899" s="7" t="n">
        <f aca="false">A899/10</f>
        <v>89.4</v>
      </c>
      <c r="C899" s="7" t="n">
        <f aca="false">IF(AND(A899=0,c_TCREEP&gt;0),10*c_TCREEP,IF(AND(A899&lt;=c_TRNGMIN,A899&gt;=c_TRNGMAX,c_TRNGMIN-c_TRNGMAX&lt;&gt;0),-10*c_TMINRN+QUOTIENT((c_TMAXRN-c_TMINRN)*(100-QUOTIENT((A899-c_TRNGMAX)*100,c_TRNGMIN-c_TRNGMAX)),-10),0))</f>
        <v>0</v>
      </c>
      <c r="D899" s="7" t="n">
        <f aca="false">IF(((c_TMAP1IN)-(c_TFWD))=0,(0)+QUOTIENT(((c_TMAP1OUT)-(0)),2),QUOTIENT((((A899)-(c_TFWD))*((c_TMAP1OUT)-(0))+IF(((c_TMAP1OUT)-(0))&gt;=0,1,-1)*QUOTIENT(((c_TMAP1IN)-(c_TFWD)),2)),((c_TMAP1IN)-(c_TFWD)))+(0)+IF(((c_TMAP1OUT)-(0))&gt;=0,IF(IF(o_WRAP=1,MOD(((c_TMAP1IN)-(c_TFWD))*(((A899)-(c_TFWD))*((c_TMAP1OUT)-(0))+IF(((c_TMAP1OUT)-(0))&gt;=0,1,-1)*QUOTIENT(((c_TMAP1IN)-(c_TFWD)),2))+2147483648,4294967296)-2147483648,((c_TMAP1IN)-(c_TFWD))*(((A899)-(c_TFWD))*((c_TMAP1OUT)-(0))+IF(((c_TMAP1OUT)-(0))&gt;=0,1,-1)*QUOTIENT(((c_TMAP1IN)-(c_TFWD)),2)))&lt;0,-1,0),IF(IF(o_WRAP=1,MOD(((c_TMAP1IN)-(c_TFWD))*(((A899)-(c_TFWD))*((c_TMAP1OUT)-(0))+IF(((c_TMAP1OUT)-(0))&gt;=0,1,-1)*QUOTIENT(((c_TMAP1IN)-(c_TFWD)),2))+2147483648,4294967296)-2147483648,((c_TMAP1IN)-(c_TFWD))*(((A899)-(c_TFWD))*((c_TMAP1OUT)-(0))+IF(((c_TMAP1OUT)-(0))&gt;=0,1,-1)*QUOTIENT(((c_TMAP1IN)-(c_TFWD)),2)))&gt;=0,1,0)))</f>
        <v>688</v>
      </c>
      <c r="E899" s="7" t="n">
        <f aca="false">IF(((c_TMAP2IN)-(c_TMAP1IN))=0,(c_TMAP1OUT)+QUOTIENT(((c_TMAP2OUT)-(c_TMAP1OUT)),2),QUOTIENT((((A899)-(c_TMAP1IN))*((c_TMAP2OUT)-(c_TMAP1OUT))+IF(((c_TMAP2OUT)-(c_TMAP1OUT))&gt;=0,1,-1)*QUOTIENT(((c_TMAP2IN)-(c_TMAP1IN)),2)),((c_TMAP2IN)-(c_TMAP1IN)))+(c_TMAP1OUT)+IF(((c_TMAP2OUT)-(c_TMAP1OUT))&gt;=0,IF(IF(o_WRAP=1,MOD(((c_TMAP2IN)-(c_TMAP1IN))*(((A899)-(c_TMAP1IN))*((c_TMAP2OUT)-(c_TMAP1OUT))+IF(((c_TMAP2OUT)-(c_TMAP1OUT))&gt;=0,1,-1)*QUOTIENT(((c_TMAP2IN)-(c_TMAP1IN)),2))+2147483648,4294967296)-2147483648,((c_TMAP2IN)-(c_TMAP1IN))*(((A899)-(c_TMAP1IN))*((c_TMAP2OUT)-(c_TMAP1OUT))+IF(((c_TMAP2OUT)-(c_TMAP1OUT))&gt;=0,1,-1)*QUOTIENT(((c_TMAP2IN)-(c_TMAP1IN)),2)))&lt;0,-1,0),IF(IF(o_WRAP=1,MOD(((c_TMAP2IN)-(c_TMAP1IN))*(((A899)-(c_TMAP1IN))*((c_TMAP2OUT)-(c_TMAP1OUT))+IF(((c_TMAP2OUT)-(c_TMAP1OUT))&gt;=0,1,-1)*QUOTIENT(((c_TMAP2IN)-(c_TMAP1IN)),2))+2147483648,4294967296)-2147483648,((c_TMAP2IN)-(c_TMAP1IN))*(((A899)-(c_TMAP1IN))*((c_TMAP2OUT)-(c_TMAP1OUT))+IF(((c_TMAP2OUT)-(c_TMAP1OUT))&gt;=0,1,-1)*QUOTIENT(((c_TMAP2IN)-(c_TMAP1IN)),2)))&gt;=0,1,0)))</f>
        <v>388</v>
      </c>
      <c r="F899" s="7" t="n">
        <f aca="false">IF(((c_TMAP3IN)-(c_TMAP2IN))=0,(c_TMAP2OUT)+QUOTIENT(((c_TMAP3OUT)-(c_TMAP2OUT)),2),QUOTIENT((((A899)-(c_TMAP2IN))*((c_TMAP3OUT)-(c_TMAP2OUT))+IF(((c_TMAP3OUT)-(c_TMAP2OUT))&gt;=0,1,-1)*QUOTIENT(((c_TMAP3IN)-(c_TMAP2IN)),2)),((c_TMAP3IN)-(c_TMAP2IN)))+(c_TMAP2OUT)+IF(((c_TMAP3OUT)-(c_TMAP2OUT))&gt;=0,IF(IF(o_WRAP=1,MOD(((c_TMAP3IN)-(c_TMAP2IN))*(((A899)-(c_TMAP2IN))*((c_TMAP3OUT)-(c_TMAP2OUT))+IF(((c_TMAP3OUT)-(c_TMAP2OUT))&gt;=0,1,-1)*QUOTIENT(((c_TMAP3IN)-(c_TMAP2IN)),2))+2147483648,4294967296)-2147483648,((c_TMAP3IN)-(c_TMAP2IN))*(((A899)-(c_TMAP2IN))*((c_TMAP3OUT)-(c_TMAP2OUT))+IF(((c_TMAP3OUT)-(c_TMAP2OUT))&gt;=0,1,-1)*QUOTIENT(((c_TMAP3IN)-(c_TMAP2IN)),2)))&lt;0,-1,0),IF(IF(o_WRAP=1,MOD(((c_TMAP3IN)-(c_TMAP2IN))*(((A899)-(c_TMAP2IN))*((c_TMAP3OUT)-(c_TMAP2OUT))+IF(((c_TMAP3OUT)-(c_TMAP2OUT))&gt;=0,1,-1)*QUOTIENT(((c_TMAP3IN)-(c_TMAP2IN)),2))+2147483648,4294967296)-2147483648,((c_TMAP3IN)-(c_TMAP2IN))*(((A899)-(c_TMAP2IN))*((c_TMAP3OUT)-(c_TMAP2OUT))+IF(((c_TMAP3OUT)-(c_TMAP2OUT))&gt;=0,1,-1)*QUOTIENT(((c_TMAP3IN)-(c_TMAP2IN)),2)))&gt;=0,1,0)))</f>
        <v>581</v>
      </c>
      <c r="G899" s="7" t="n">
        <f aca="false">IF(((1000)-(c_TMAP3IN))=0,(c_TMAP3OUT)+QUOTIENT(((1000)-(c_TMAP3OUT)),2),QUOTIENT((((A899)-(c_TMAP3IN))*((1000)-(c_TMAP3OUT))+IF(((1000)-(c_TMAP3OUT))&gt;=0,1,-1)*QUOTIENT(((1000)-(c_TMAP3IN)),2)),((1000)-(c_TMAP3IN)))+(c_TMAP3OUT)+IF(((1000)-(c_TMAP3OUT))&gt;=0,IF(IF(o_WRAP=1,MOD(((1000)-(c_TMAP3IN))*(((A899)-(c_TMAP3IN))*((1000)-(c_TMAP3OUT))+IF(((1000)-(c_TMAP3OUT))&gt;=0,1,-1)*QUOTIENT(((1000)-(c_TMAP3IN)),2))+2147483648,4294967296)-2147483648,((1000)-(c_TMAP3IN))*(((A899)-(c_TMAP3IN))*((1000)-(c_TMAP3OUT))+IF(((1000)-(c_TMAP3OUT))&gt;=0,1,-1)*QUOTIENT(((1000)-(c_TMAP3IN)),2)))&lt;0,-1,0),IF(IF(o_WRAP=1,MOD(((1000)-(c_TMAP3IN))*(((A899)-(c_TMAP3IN))*((1000)-(c_TMAP3OUT))+IF(((1000)-(c_TMAP3OUT))&gt;=0,1,-1)*QUOTIENT(((1000)-(c_TMAP3IN)),2))+2147483648,4294967296)-2147483648,((1000)-(c_TMAP3IN))*(((A899)-(c_TMAP3IN))*((1000)-(c_TMAP3OUT))+IF(((1000)-(c_TMAP3OUT))&gt;=0,1,-1)*QUOTIENT(((1000)-(c_TMAP3IN)),2)))&gt;=0,1,0)))</f>
        <v>870</v>
      </c>
      <c r="H899" s="7" t="str">
        <f aca="false">IF(A899&gt;=c_TFWD,IF(AND(A899&gt;=c_TMAP3IN,c_TMAP3IN&lt;1000),"Seg4 map3-100%",IF(AND(A899&gt;=c_TMAP2IN,c_TMAP3IN&gt;c_TMAP2IN),"Seg3 map2-map3",IF(AND(A899&gt;=c_TMAP1IN,c_TMAP2IN&gt;c_TMAP1IN),"Seg2 map1-map2","Seg1 TFWD-map1"))),IF(AND(A899=0,c_TCREEP&gt;0),"Creep",IF(AND(A899&lt;=c_TRNGMIN,A899&gt;=c_TRNGMAX,c_TRNGMIN-c_TRNGMAX&lt;&gt;0),"Regen ramp","Coast (0)")))</f>
        <v>Seg4 map3-100%</v>
      </c>
      <c r="I899" s="7" t="n">
        <f aca="false">IF(A899&gt;=c_TFWD,IF(AND(A899&gt;=c_TMAP3IN,c_TMAP3IN&lt;1000),G899,IF(AND(A899&gt;=c_TMAP2IN,c_TMAP3IN&gt;c_TMAP2IN),F899,IF(AND(A899&gt;=c_TMAP1IN,c_TMAP2IN&gt;c_TMAP1IN),E899,D899))),C899)</f>
        <v>870</v>
      </c>
      <c r="J899" s="7" t="str">
        <f aca="false">IF(I899&lt;-1090,"TOO LOW",IF(I899&gt;1090,"TOO HIGH",""))</f>
        <v/>
      </c>
      <c r="K899" s="15" t="n">
        <f aca="false">IF(J899&lt;&gt;"",0,IF(I899&gt;979,1000,I899))</f>
        <v>870</v>
      </c>
      <c r="L899" s="7" t="n">
        <f aca="false">K899/10</f>
        <v>87</v>
      </c>
    </row>
    <row r="900" customFormat="false" ht="15" hidden="false" customHeight="false" outlineLevel="0" collapsed="false">
      <c r="A900" s="7" t="n">
        <v>895</v>
      </c>
      <c r="B900" s="7" t="n">
        <f aca="false">A900/10</f>
        <v>89.5</v>
      </c>
      <c r="C900" s="7" t="n">
        <f aca="false">IF(AND(A900=0,c_TCREEP&gt;0),10*c_TCREEP,IF(AND(A900&lt;=c_TRNGMIN,A900&gt;=c_TRNGMAX,c_TRNGMIN-c_TRNGMAX&lt;&gt;0),-10*c_TMINRN+QUOTIENT((c_TMAXRN-c_TMINRN)*(100-QUOTIENT((A900-c_TRNGMAX)*100,c_TRNGMIN-c_TRNGMAX)),-10),0))</f>
        <v>0</v>
      </c>
      <c r="D900" s="7" t="n">
        <f aca="false">IF(((c_TMAP1IN)-(c_TFWD))=0,(0)+QUOTIENT(((c_TMAP1OUT)-(0)),2),QUOTIENT((((A900)-(c_TFWD))*((c_TMAP1OUT)-(0))+IF(((c_TMAP1OUT)-(0))&gt;=0,1,-1)*QUOTIENT(((c_TMAP1IN)-(c_TFWD)),2)),((c_TMAP1IN)-(c_TFWD)))+(0)+IF(((c_TMAP1OUT)-(0))&gt;=0,IF(IF(o_WRAP=1,MOD(((c_TMAP1IN)-(c_TFWD))*(((A900)-(c_TFWD))*((c_TMAP1OUT)-(0))+IF(((c_TMAP1OUT)-(0))&gt;=0,1,-1)*QUOTIENT(((c_TMAP1IN)-(c_TFWD)),2))+2147483648,4294967296)-2147483648,((c_TMAP1IN)-(c_TFWD))*(((A900)-(c_TFWD))*((c_TMAP1OUT)-(0))+IF(((c_TMAP1OUT)-(0))&gt;=0,1,-1)*QUOTIENT(((c_TMAP1IN)-(c_TFWD)),2)))&lt;0,-1,0),IF(IF(o_WRAP=1,MOD(((c_TMAP1IN)-(c_TFWD))*(((A900)-(c_TFWD))*((c_TMAP1OUT)-(0))+IF(((c_TMAP1OUT)-(0))&gt;=0,1,-1)*QUOTIENT(((c_TMAP1IN)-(c_TFWD)),2))+2147483648,4294967296)-2147483648,((c_TMAP1IN)-(c_TFWD))*(((A900)-(c_TFWD))*((c_TMAP1OUT)-(0))+IF(((c_TMAP1OUT)-(0))&gt;=0,1,-1)*QUOTIENT(((c_TMAP1IN)-(c_TFWD)),2)))&gt;=0,1,0)))</f>
        <v>688</v>
      </c>
      <c r="E900" s="7" t="n">
        <f aca="false">IF(((c_TMAP2IN)-(c_TMAP1IN))=0,(c_TMAP1OUT)+QUOTIENT(((c_TMAP2OUT)-(c_TMAP1OUT)),2),QUOTIENT((((A900)-(c_TMAP1IN))*((c_TMAP2OUT)-(c_TMAP1OUT))+IF(((c_TMAP2OUT)-(c_TMAP1OUT))&gt;=0,1,-1)*QUOTIENT(((c_TMAP2IN)-(c_TMAP1IN)),2)),((c_TMAP2IN)-(c_TMAP1IN)))+(c_TMAP1OUT)+IF(((c_TMAP2OUT)-(c_TMAP1OUT))&gt;=0,IF(IF(o_WRAP=1,MOD(((c_TMAP2IN)-(c_TMAP1IN))*(((A900)-(c_TMAP1IN))*((c_TMAP2OUT)-(c_TMAP1OUT))+IF(((c_TMAP2OUT)-(c_TMAP1OUT))&gt;=0,1,-1)*QUOTIENT(((c_TMAP2IN)-(c_TMAP1IN)),2))+2147483648,4294967296)-2147483648,((c_TMAP2IN)-(c_TMAP1IN))*(((A900)-(c_TMAP1IN))*((c_TMAP2OUT)-(c_TMAP1OUT))+IF(((c_TMAP2OUT)-(c_TMAP1OUT))&gt;=0,1,-1)*QUOTIENT(((c_TMAP2IN)-(c_TMAP1IN)),2)))&lt;0,-1,0),IF(IF(o_WRAP=1,MOD(((c_TMAP2IN)-(c_TMAP1IN))*(((A900)-(c_TMAP1IN))*((c_TMAP2OUT)-(c_TMAP1OUT))+IF(((c_TMAP2OUT)-(c_TMAP1OUT))&gt;=0,1,-1)*QUOTIENT(((c_TMAP2IN)-(c_TMAP1IN)),2))+2147483648,4294967296)-2147483648,((c_TMAP2IN)-(c_TMAP1IN))*(((A900)-(c_TMAP1IN))*((c_TMAP2OUT)-(c_TMAP1OUT))+IF(((c_TMAP2OUT)-(c_TMAP1OUT))&gt;=0,1,-1)*QUOTIENT(((c_TMAP2IN)-(c_TMAP1IN)),2)))&gt;=0,1,0)))</f>
        <v>388</v>
      </c>
      <c r="F900" s="7" t="n">
        <f aca="false">IF(((c_TMAP3IN)-(c_TMAP2IN))=0,(c_TMAP2OUT)+QUOTIENT(((c_TMAP3OUT)-(c_TMAP2OUT)),2),QUOTIENT((((A900)-(c_TMAP2IN))*((c_TMAP3OUT)-(c_TMAP2OUT))+IF(((c_TMAP3OUT)-(c_TMAP2OUT))&gt;=0,1,-1)*QUOTIENT(((c_TMAP3IN)-(c_TMAP2IN)),2)),((c_TMAP3IN)-(c_TMAP2IN)))+(c_TMAP2OUT)+IF(((c_TMAP3OUT)-(c_TMAP2OUT))&gt;=0,IF(IF(o_WRAP=1,MOD(((c_TMAP3IN)-(c_TMAP2IN))*(((A900)-(c_TMAP2IN))*((c_TMAP3OUT)-(c_TMAP2OUT))+IF(((c_TMAP3OUT)-(c_TMAP2OUT))&gt;=0,1,-1)*QUOTIENT(((c_TMAP3IN)-(c_TMAP2IN)),2))+2147483648,4294967296)-2147483648,((c_TMAP3IN)-(c_TMAP2IN))*(((A900)-(c_TMAP2IN))*((c_TMAP3OUT)-(c_TMAP2OUT))+IF(((c_TMAP3OUT)-(c_TMAP2OUT))&gt;=0,1,-1)*QUOTIENT(((c_TMAP3IN)-(c_TMAP2IN)),2)))&lt;0,-1,0),IF(IF(o_WRAP=1,MOD(((c_TMAP3IN)-(c_TMAP2IN))*(((A900)-(c_TMAP2IN))*((c_TMAP3OUT)-(c_TMAP2OUT))+IF(((c_TMAP3OUT)-(c_TMAP2OUT))&gt;=0,1,-1)*QUOTIENT(((c_TMAP3IN)-(c_TMAP2IN)),2))+2147483648,4294967296)-2147483648,((c_TMAP3IN)-(c_TMAP2IN))*(((A900)-(c_TMAP2IN))*((c_TMAP3OUT)-(c_TMAP2OUT))+IF(((c_TMAP3OUT)-(c_TMAP2OUT))&gt;=0,1,-1)*QUOTIENT(((c_TMAP3IN)-(c_TMAP2IN)),2)))&gt;=0,1,0)))</f>
        <v>582</v>
      </c>
      <c r="G900" s="7" t="n">
        <f aca="false">IF(((1000)-(c_TMAP3IN))=0,(c_TMAP3OUT)+QUOTIENT(((1000)-(c_TMAP3OUT)),2),QUOTIENT((((A900)-(c_TMAP3IN))*((1000)-(c_TMAP3OUT))+IF(((1000)-(c_TMAP3OUT))&gt;=0,1,-1)*QUOTIENT(((1000)-(c_TMAP3IN)),2)),((1000)-(c_TMAP3IN)))+(c_TMAP3OUT)+IF(((1000)-(c_TMAP3OUT))&gt;=0,IF(IF(o_WRAP=1,MOD(((1000)-(c_TMAP3IN))*(((A900)-(c_TMAP3IN))*((1000)-(c_TMAP3OUT))+IF(((1000)-(c_TMAP3OUT))&gt;=0,1,-1)*QUOTIENT(((1000)-(c_TMAP3IN)),2))+2147483648,4294967296)-2147483648,((1000)-(c_TMAP3IN))*(((A900)-(c_TMAP3IN))*((1000)-(c_TMAP3OUT))+IF(((1000)-(c_TMAP3OUT))&gt;=0,1,-1)*QUOTIENT(((1000)-(c_TMAP3IN)),2)))&lt;0,-1,0),IF(IF(o_WRAP=1,MOD(((1000)-(c_TMAP3IN))*(((A900)-(c_TMAP3IN))*((1000)-(c_TMAP3OUT))+IF(((1000)-(c_TMAP3OUT))&gt;=0,1,-1)*QUOTIENT(((1000)-(c_TMAP3IN)),2))+2147483648,4294967296)-2147483648,((1000)-(c_TMAP3IN))*(((A900)-(c_TMAP3IN))*((1000)-(c_TMAP3OUT))+IF(((1000)-(c_TMAP3OUT))&gt;=0,1,-1)*QUOTIENT(((1000)-(c_TMAP3IN)),2)))&gt;=0,1,0)))</f>
        <v>871</v>
      </c>
      <c r="H900" s="7" t="str">
        <f aca="false">IF(A900&gt;=c_TFWD,IF(AND(A900&gt;=c_TMAP3IN,c_TMAP3IN&lt;1000),"Seg4 map3-100%",IF(AND(A900&gt;=c_TMAP2IN,c_TMAP3IN&gt;c_TMAP2IN),"Seg3 map2-map3",IF(AND(A900&gt;=c_TMAP1IN,c_TMAP2IN&gt;c_TMAP1IN),"Seg2 map1-map2","Seg1 TFWD-map1"))),IF(AND(A900=0,c_TCREEP&gt;0),"Creep",IF(AND(A900&lt;=c_TRNGMIN,A900&gt;=c_TRNGMAX,c_TRNGMIN-c_TRNGMAX&lt;&gt;0),"Regen ramp","Coast (0)")))</f>
        <v>Seg4 map3-100%</v>
      </c>
      <c r="I900" s="7" t="n">
        <f aca="false">IF(A900&gt;=c_TFWD,IF(AND(A900&gt;=c_TMAP3IN,c_TMAP3IN&lt;1000),G900,IF(AND(A900&gt;=c_TMAP2IN,c_TMAP3IN&gt;c_TMAP2IN),F900,IF(AND(A900&gt;=c_TMAP1IN,c_TMAP2IN&gt;c_TMAP1IN),E900,D900))),C900)</f>
        <v>871</v>
      </c>
      <c r="J900" s="7" t="str">
        <f aca="false">IF(I900&lt;-1090,"TOO LOW",IF(I900&gt;1090,"TOO HIGH",""))</f>
        <v/>
      </c>
      <c r="K900" s="15" t="n">
        <f aca="false">IF(J900&lt;&gt;"",0,IF(I900&gt;979,1000,I900))</f>
        <v>871</v>
      </c>
      <c r="L900" s="7" t="n">
        <f aca="false">K900/10</f>
        <v>87.1</v>
      </c>
    </row>
    <row r="901" customFormat="false" ht="15" hidden="false" customHeight="false" outlineLevel="0" collapsed="false">
      <c r="A901" s="7" t="n">
        <v>896</v>
      </c>
      <c r="B901" s="7" t="n">
        <f aca="false">A901/10</f>
        <v>89.6</v>
      </c>
      <c r="C901" s="7" t="n">
        <f aca="false">IF(AND(A901=0,c_TCREEP&gt;0),10*c_TCREEP,IF(AND(A901&lt;=c_TRNGMIN,A901&gt;=c_TRNGMAX,c_TRNGMIN-c_TRNGMAX&lt;&gt;0),-10*c_TMINRN+QUOTIENT((c_TMAXRN-c_TMINRN)*(100-QUOTIENT((A901-c_TRNGMAX)*100,c_TRNGMIN-c_TRNGMAX)),-10),0))</f>
        <v>0</v>
      </c>
      <c r="D901" s="7" t="n">
        <f aca="false">IF(((c_TMAP1IN)-(c_TFWD))=0,(0)+QUOTIENT(((c_TMAP1OUT)-(0)),2),QUOTIENT((((A901)-(c_TFWD))*((c_TMAP1OUT)-(0))+IF(((c_TMAP1OUT)-(0))&gt;=0,1,-1)*QUOTIENT(((c_TMAP1IN)-(c_TFWD)),2)),((c_TMAP1IN)-(c_TFWD)))+(0)+IF(((c_TMAP1OUT)-(0))&gt;=0,IF(IF(o_WRAP=1,MOD(((c_TMAP1IN)-(c_TFWD))*(((A901)-(c_TFWD))*((c_TMAP1OUT)-(0))+IF(((c_TMAP1OUT)-(0))&gt;=0,1,-1)*QUOTIENT(((c_TMAP1IN)-(c_TFWD)),2))+2147483648,4294967296)-2147483648,((c_TMAP1IN)-(c_TFWD))*(((A901)-(c_TFWD))*((c_TMAP1OUT)-(0))+IF(((c_TMAP1OUT)-(0))&gt;=0,1,-1)*QUOTIENT(((c_TMAP1IN)-(c_TFWD)),2)))&lt;0,-1,0),IF(IF(o_WRAP=1,MOD(((c_TMAP1IN)-(c_TFWD))*(((A901)-(c_TFWD))*((c_TMAP1OUT)-(0))+IF(((c_TMAP1OUT)-(0))&gt;=0,1,-1)*QUOTIENT(((c_TMAP1IN)-(c_TFWD)),2))+2147483648,4294967296)-2147483648,((c_TMAP1IN)-(c_TFWD))*(((A901)-(c_TFWD))*((c_TMAP1OUT)-(0))+IF(((c_TMAP1OUT)-(0))&gt;=0,1,-1)*QUOTIENT(((c_TMAP1IN)-(c_TFWD)),2)))&gt;=0,1,0)))</f>
        <v>689</v>
      </c>
      <c r="E901" s="7" t="n">
        <f aca="false">IF(((c_TMAP2IN)-(c_TMAP1IN))=0,(c_TMAP1OUT)+QUOTIENT(((c_TMAP2OUT)-(c_TMAP1OUT)),2),QUOTIENT((((A901)-(c_TMAP1IN))*((c_TMAP2OUT)-(c_TMAP1OUT))+IF(((c_TMAP2OUT)-(c_TMAP1OUT))&gt;=0,1,-1)*QUOTIENT(((c_TMAP2IN)-(c_TMAP1IN)),2)),((c_TMAP2IN)-(c_TMAP1IN)))+(c_TMAP1OUT)+IF(((c_TMAP2OUT)-(c_TMAP1OUT))&gt;=0,IF(IF(o_WRAP=1,MOD(((c_TMAP2IN)-(c_TMAP1IN))*(((A901)-(c_TMAP1IN))*((c_TMAP2OUT)-(c_TMAP1OUT))+IF(((c_TMAP2OUT)-(c_TMAP1OUT))&gt;=0,1,-1)*QUOTIENT(((c_TMAP2IN)-(c_TMAP1IN)),2))+2147483648,4294967296)-2147483648,((c_TMAP2IN)-(c_TMAP1IN))*(((A901)-(c_TMAP1IN))*((c_TMAP2OUT)-(c_TMAP1OUT))+IF(((c_TMAP2OUT)-(c_TMAP1OUT))&gt;=0,1,-1)*QUOTIENT(((c_TMAP2IN)-(c_TMAP1IN)),2)))&lt;0,-1,0),IF(IF(o_WRAP=1,MOD(((c_TMAP2IN)-(c_TMAP1IN))*(((A901)-(c_TMAP1IN))*((c_TMAP2OUT)-(c_TMAP1OUT))+IF(((c_TMAP2OUT)-(c_TMAP1OUT))&gt;=0,1,-1)*QUOTIENT(((c_TMAP2IN)-(c_TMAP1IN)),2))+2147483648,4294967296)-2147483648,((c_TMAP2IN)-(c_TMAP1IN))*(((A901)-(c_TMAP1IN))*((c_TMAP2OUT)-(c_TMAP1OUT))+IF(((c_TMAP2OUT)-(c_TMAP1OUT))&gt;=0,1,-1)*QUOTIENT(((c_TMAP2IN)-(c_TMAP1IN)),2)))&gt;=0,1,0)))</f>
        <v>388</v>
      </c>
      <c r="F901" s="7" t="n">
        <f aca="false">IF(((c_TMAP3IN)-(c_TMAP2IN))=0,(c_TMAP2OUT)+QUOTIENT(((c_TMAP3OUT)-(c_TMAP2OUT)),2),QUOTIENT((((A901)-(c_TMAP2IN))*((c_TMAP3OUT)-(c_TMAP2OUT))+IF(((c_TMAP3OUT)-(c_TMAP2OUT))&gt;=0,1,-1)*QUOTIENT(((c_TMAP3IN)-(c_TMAP2IN)),2)),((c_TMAP3IN)-(c_TMAP2IN)))+(c_TMAP2OUT)+IF(((c_TMAP3OUT)-(c_TMAP2OUT))&gt;=0,IF(IF(o_WRAP=1,MOD(((c_TMAP3IN)-(c_TMAP2IN))*(((A901)-(c_TMAP2IN))*((c_TMAP3OUT)-(c_TMAP2OUT))+IF(((c_TMAP3OUT)-(c_TMAP2OUT))&gt;=0,1,-1)*QUOTIENT(((c_TMAP3IN)-(c_TMAP2IN)),2))+2147483648,4294967296)-2147483648,((c_TMAP3IN)-(c_TMAP2IN))*(((A901)-(c_TMAP2IN))*((c_TMAP3OUT)-(c_TMAP2OUT))+IF(((c_TMAP3OUT)-(c_TMAP2OUT))&gt;=0,1,-1)*QUOTIENT(((c_TMAP3IN)-(c_TMAP2IN)),2)))&lt;0,-1,0),IF(IF(o_WRAP=1,MOD(((c_TMAP3IN)-(c_TMAP2IN))*(((A901)-(c_TMAP2IN))*((c_TMAP3OUT)-(c_TMAP2OUT))+IF(((c_TMAP3OUT)-(c_TMAP2OUT))&gt;=0,1,-1)*QUOTIENT(((c_TMAP3IN)-(c_TMAP2IN)),2))+2147483648,4294967296)-2147483648,((c_TMAP3IN)-(c_TMAP2IN))*(((A901)-(c_TMAP2IN))*((c_TMAP3OUT)-(c_TMAP2OUT))+IF(((c_TMAP3OUT)-(c_TMAP2OUT))&gt;=0,1,-1)*QUOTIENT(((c_TMAP3IN)-(c_TMAP2IN)),2)))&gt;=0,1,0)))</f>
        <v>582</v>
      </c>
      <c r="G901" s="7" t="n">
        <f aca="false">IF(((1000)-(c_TMAP3IN))=0,(c_TMAP3OUT)+QUOTIENT(((1000)-(c_TMAP3OUT)),2),QUOTIENT((((A901)-(c_TMAP3IN))*((1000)-(c_TMAP3OUT))+IF(((1000)-(c_TMAP3OUT))&gt;=0,1,-1)*QUOTIENT(((1000)-(c_TMAP3IN)),2)),((1000)-(c_TMAP3IN)))+(c_TMAP3OUT)+IF(((1000)-(c_TMAP3OUT))&gt;=0,IF(IF(o_WRAP=1,MOD(((1000)-(c_TMAP3IN))*(((A901)-(c_TMAP3IN))*((1000)-(c_TMAP3OUT))+IF(((1000)-(c_TMAP3OUT))&gt;=0,1,-1)*QUOTIENT(((1000)-(c_TMAP3IN)),2))+2147483648,4294967296)-2147483648,((1000)-(c_TMAP3IN))*(((A901)-(c_TMAP3IN))*((1000)-(c_TMAP3OUT))+IF(((1000)-(c_TMAP3OUT))&gt;=0,1,-1)*QUOTIENT(((1000)-(c_TMAP3IN)),2)))&lt;0,-1,0),IF(IF(o_WRAP=1,MOD(((1000)-(c_TMAP3IN))*(((A901)-(c_TMAP3IN))*((1000)-(c_TMAP3OUT))+IF(((1000)-(c_TMAP3OUT))&gt;=0,1,-1)*QUOTIENT(((1000)-(c_TMAP3IN)),2))+2147483648,4294967296)-2147483648,((1000)-(c_TMAP3IN))*(((A901)-(c_TMAP3IN))*((1000)-(c_TMAP3OUT))+IF(((1000)-(c_TMAP3OUT))&gt;=0,1,-1)*QUOTIENT(((1000)-(c_TMAP3IN)),2)))&gt;=0,1,0)))</f>
        <v>872</v>
      </c>
      <c r="H901" s="7" t="str">
        <f aca="false">IF(A901&gt;=c_TFWD,IF(AND(A901&gt;=c_TMAP3IN,c_TMAP3IN&lt;1000),"Seg4 map3-100%",IF(AND(A901&gt;=c_TMAP2IN,c_TMAP3IN&gt;c_TMAP2IN),"Seg3 map2-map3",IF(AND(A901&gt;=c_TMAP1IN,c_TMAP2IN&gt;c_TMAP1IN),"Seg2 map1-map2","Seg1 TFWD-map1"))),IF(AND(A901=0,c_TCREEP&gt;0),"Creep",IF(AND(A901&lt;=c_TRNGMIN,A901&gt;=c_TRNGMAX,c_TRNGMIN-c_TRNGMAX&lt;&gt;0),"Regen ramp","Coast (0)")))</f>
        <v>Seg4 map3-100%</v>
      </c>
      <c r="I901" s="7" t="n">
        <f aca="false">IF(A901&gt;=c_TFWD,IF(AND(A901&gt;=c_TMAP3IN,c_TMAP3IN&lt;1000),G901,IF(AND(A901&gt;=c_TMAP2IN,c_TMAP3IN&gt;c_TMAP2IN),F901,IF(AND(A901&gt;=c_TMAP1IN,c_TMAP2IN&gt;c_TMAP1IN),E901,D901))),C901)</f>
        <v>872</v>
      </c>
      <c r="J901" s="7" t="str">
        <f aca="false">IF(I901&lt;-1090,"TOO LOW",IF(I901&gt;1090,"TOO HIGH",""))</f>
        <v/>
      </c>
      <c r="K901" s="15" t="n">
        <f aca="false">IF(J901&lt;&gt;"",0,IF(I901&gt;979,1000,I901))</f>
        <v>872</v>
      </c>
      <c r="L901" s="7" t="n">
        <f aca="false">K901/10</f>
        <v>87.2</v>
      </c>
    </row>
    <row r="902" customFormat="false" ht="15" hidden="false" customHeight="false" outlineLevel="0" collapsed="false">
      <c r="A902" s="7" t="n">
        <v>897</v>
      </c>
      <c r="B902" s="7" t="n">
        <f aca="false">A902/10</f>
        <v>89.7</v>
      </c>
      <c r="C902" s="7" t="n">
        <f aca="false">IF(AND(A902=0,c_TCREEP&gt;0),10*c_TCREEP,IF(AND(A902&lt;=c_TRNGMIN,A902&gt;=c_TRNGMAX,c_TRNGMIN-c_TRNGMAX&lt;&gt;0),-10*c_TMINRN+QUOTIENT((c_TMAXRN-c_TMINRN)*(100-QUOTIENT((A902-c_TRNGMAX)*100,c_TRNGMIN-c_TRNGMAX)),-10),0))</f>
        <v>0</v>
      </c>
      <c r="D902" s="7" t="n">
        <f aca="false">IF(((c_TMAP1IN)-(c_TFWD))=0,(0)+QUOTIENT(((c_TMAP1OUT)-(0)),2),QUOTIENT((((A902)-(c_TFWD))*((c_TMAP1OUT)-(0))+IF(((c_TMAP1OUT)-(0))&gt;=0,1,-1)*QUOTIENT(((c_TMAP1IN)-(c_TFWD)),2)),((c_TMAP1IN)-(c_TFWD)))+(0)+IF(((c_TMAP1OUT)-(0))&gt;=0,IF(IF(o_WRAP=1,MOD(((c_TMAP1IN)-(c_TFWD))*(((A902)-(c_TFWD))*((c_TMAP1OUT)-(0))+IF(((c_TMAP1OUT)-(0))&gt;=0,1,-1)*QUOTIENT(((c_TMAP1IN)-(c_TFWD)),2))+2147483648,4294967296)-2147483648,((c_TMAP1IN)-(c_TFWD))*(((A902)-(c_TFWD))*((c_TMAP1OUT)-(0))+IF(((c_TMAP1OUT)-(0))&gt;=0,1,-1)*QUOTIENT(((c_TMAP1IN)-(c_TFWD)),2)))&lt;0,-1,0),IF(IF(o_WRAP=1,MOD(((c_TMAP1IN)-(c_TFWD))*(((A902)-(c_TFWD))*((c_TMAP1OUT)-(0))+IF(((c_TMAP1OUT)-(0))&gt;=0,1,-1)*QUOTIENT(((c_TMAP1IN)-(c_TFWD)),2))+2147483648,4294967296)-2147483648,((c_TMAP1IN)-(c_TFWD))*(((A902)-(c_TFWD))*((c_TMAP1OUT)-(0))+IF(((c_TMAP1OUT)-(0))&gt;=0,1,-1)*QUOTIENT(((c_TMAP1IN)-(c_TFWD)),2)))&gt;=0,1,0)))</f>
        <v>690</v>
      </c>
      <c r="E902" s="7" t="n">
        <f aca="false">IF(((c_TMAP2IN)-(c_TMAP1IN))=0,(c_TMAP1OUT)+QUOTIENT(((c_TMAP2OUT)-(c_TMAP1OUT)),2),QUOTIENT((((A902)-(c_TMAP1IN))*((c_TMAP2OUT)-(c_TMAP1OUT))+IF(((c_TMAP2OUT)-(c_TMAP1OUT))&gt;=0,1,-1)*QUOTIENT(((c_TMAP2IN)-(c_TMAP1IN)),2)),((c_TMAP2IN)-(c_TMAP1IN)))+(c_TMAP1OUT)+IF(((c_TMAP2OUT)-(c_TMAP1OUT))&gt;=0,IF(IF(o_WRAP=1,MOD(((c_TMAP2IN)-(c_TMAP1IN))*(((A902)-(c_TMAP1IN))*((c_TMAP2OUT)-(c_TMAP1OUT))+IF(((c_TMAP2OUT)-(c_TMAP1OUT))&gt;=0,1,-1)*QUOTIENT(((c_TMAP2IN)-(c_TMAP1IN)),2))+2147483648,4294967296)-2147483648,((c_TMAP2IN)-(c_TMAP1IN))*(((A902)-(c_TMAP1IN))*((c_TMAP2OUT)-(c_TMAP1OUT))+IF(((c_TMAP2OUT)-(c_TMAP1OUT))&gt;=0,1,-1)*QUOTIENT(((c_TMAP2IN)-(c_TMAP1IN)),2)))&lt;0,-1,0),IF(IF(o_WRAP=1,MOD(((c_TMAP2IN)-(c_TMAP1IN))*(((A902)-(c_TMAP1IN))*((c_TMAP2OUT)-(c_TMAP1OUT))+IF(((c_TMAP2OUT)-(c_TMAP1OUT))&gt;=0,1,-1)*QUOTIENT(((c_TMAP2IN)-(c_TMAP1IN)),2))+2147483648,4294967296)-2147483648,((c_TMAP2IN)-(c_TMAP1IN))*(((A902)-(c_TMAP1IN))*((c_TMAP2OUT)-(c_TMAP1OUT))+IF(((c_TMAP2OUT)-(c_TMAP1OUT))&gt;=0,1,-1)*QUOTIENT(((c_TMAP2IN)-(c_TMAP1IN)),2)))&gt;=0,1,0)))</f>
        <v>389</v>
      </c>
      <c r="F902" s="7" t="n">
        <f aca="false">IF(((c_TMAP3IN)-(c_TMAP2IN))=0,(c_TMAP2OUT)+QUOTIENT(((c_TMAP3OUT)-(c_TMAP2OUT)),2),QUOTIENT((((A902)-(c_TMAP2IN))*((c_TMAP3OUT)-(c_TMAP2OUT))+IF(((c_TMAP3OUT)-(c_TMAP2OUT))&gt;=0,1,-1)*QUOTIENT(((c_TMAP3IN)-(c_TMAP2IN)),2)),((c_TMAP3IN)-(c_TMAP2IN)))+(c_TMAP2OUT)+IF(((c_TMAP3OUT)-(c_TMAP2OUT))&gt;=0,IF(IF(o_WRAP=1,MOD(((c_TMAP3IN)-(c_TMAP2IN))*(((A902)-(c_TMAP2IN))*((c_TMAP3OUT)-(c_TMAP2OUT))+IF(((c_TMAP3OUT)-(c_TMAP2OUT))&gt;=0,1,-1)*QUOTIENT(((c_TMAP3IN)-(c_TMAP2IN)),2))+2147483648,4294967296)-2147483648,((c_TMAP3IN)-(c_TMAP2IN))*(((A902)-(c_TMAP2IN))*((c_TMAP3OUT)-(c_TMAP2OUT))+IF(((c_TMAP3OUT)-(c_TMAP2OUT))&gt;=0,1,-1)*QUOTIENT(((c_TMAP3IN)-(c_TMAP2IN)),2)))&lt;0,-1,0),IF(IF(o_WRAP=1,MOD(((c_TMAP3IN)-(c_TMAP2IN))*(((A902)-(c_TMAP2IN))*((c_TMAP3OUT)-(c_TMAP2OUT))+IF(((c_TMAP3OUT)-(c_TMAP2OUT))&gt;=0,1,-1)*QUOTIENT(((c_TMAP3IN)-(c_TMAP2IN)),2))+2147483648,4294967296)-2147483648,((c_TMAP3IN)-(c_TMAP2IN))*(((A902)-(c_TMAP2IN))*((c_TMAP3OUT)-(c_TMAP2OUT))+IF(((c_TMAP3OUT)-(c_TMAP2OUT))&gt;=0,1,-1)*QUOTIENT(((c_TMAP3IN)-(c_TMAP2IN)),2)))&gt;=0,1,0)))</f>
        <v>583</v>
      </c>
      <c r="G902" s="7" t="n">
        <f aca="false">IF(((1000)-(c_TMAP3IN))=0,(c_TMAP3OUT)+QUOTIENT(((1000)-(c_TMAP3OUT)),2),QUOTIENT((((A902)-(c_TMAP3IN))*((1000)-(c_TMAP3OUT))+IF(((1000)-(c_TMAP3OUT))&gt;=0,1,-1)*QUOTIENT(((1000)-(c_TMAP3IN)),2)),((1000)-(c_TMAP3IN)))+(c_TMAP3OUT)+IF(((1000)-(c_TMAP3OUT))&gt;=0,IF(IF(o_WRAP=1,MOD(((1000)-(c_TMAP3IN))*(((A902)-(c_TMAP3IN))*((1000)-(c_TMAP3OUT))+IF(((1000)-(c_TMAP3OUT))&gt;=0,1,-1)*QUOTIENT(((1000)-(c_TMAP3IN)),2))+2147483648,4294967296)-2147483648,((1000)-(c_TMAP3IN))*(((A902)-(c_TMAP3IN))*((1000)-(c_TMAP3OUT))+IF(((1000)-(c_TMAP3OUT))&gt;=0,1,-1)*QUOTIENT(((1000)-(c_TMAP3IN)),2)))&lt;0,-1,0),IF(IF(o_WRAP=1,MOD(((1000)-(c_TMAP3IN))*(((A902)-(c_TMAP3IN))*((1000)-(c_TMAP3OUT))+IF(((1000)-(c_TMAP3OUT))&gt;=0,1,-1)*QUOTIENT(((1000)-(c_TMAP3IN)),2))+2147483648,4294967296)-2147483648,((1000)-(c_TMAP3IN))*(((A902)-(c_TMAP3IN))*((1000)-(c_TMAP3OUT))+IF(((1000)-(c_TMAP3OUT))&gt;=0,1,-1)*QUOTIENT(((1000)-(c_TMAP3IN)),2)))&gt;=0,1,0)))</f>
        <v>873</v>
      </c>
      <c r="H902" s="7" t="str">
        <f aca="false">IF(A902&gt;=c_TFWD,IF(AND(A902&gt;=c_TMAP3IN,c_TMAP3IN&lt;1000),"Seg4 map3-100%",IF(AND(A902&gt;=c_TMAP2IN,c_TMAP3IN&gt;c_TMAP2IN),"Seg3 map2-map3",IF(AND(A902&gt;=c_TMAP1IN,c_TMAP2IN&gt;c_TMAP1IN),"Seg2 map1-map2","Seg1 TFWD-map1"))),IF(AND(A902=0,c_TCREEP&gt;0),"Creep",IF(AND(A902&lt;=c_TRNGMIN,A902&gt;=c_TRNGMAX,c_TRNGMIN-c_TRNGMAX&lt;&gt;0),"Regen ramp","Coast (0)")))</f>
        <v>Seg4 map3-100%</v>
      </c>
      <c r="I902" s="7" t="n">
        <f aca="false">IF(A902&gt;=c_TFWD,IF(AND(A902&gt;=c_TMAP3IN,c_TMAP3IN&lt;1000),G902,IF(AND(A902&gt;=c_TMAP2IN,c_TMAP3IN&gt;c_TMAP2IN),F902,IF(AND(A902&gt;=c_TMAP1IN,c_TMAP2IN&gt;c_TMAP1IN),E902,D902))),C902)</f>
        <v>873</v>
      </c>
      <c r="J902" s="7" t="str">
        <f aca="false">IF(I902&lt;-1090,"TOO LOW",IF(I902&gt;1090,"TOO HIGH",""))</f>
        <v/>
      </c>
      <c r="K902" s="15" t="n">
        <f aca="false">IF(J902&lt;&gt;"",0,IF(I902&gt;979,1000,I902))</f>
        <v>873</v>
      </c>
      <c r="L902" s="7" t="n">
        <f aca="false">K902/10</f>
        <v>87.3</v>
      </c>
    </row>
    <row r="903" customFormat="false" ht="15" hidden="false" customHeight="false" outlineLevel="0" collapsed="false">
      <c r="A903" s="7" t="n">
        <v>898</v>
      </c>
      <c r="B903" s="7" t="n">
        <f aca="false">A903/10</f>
        <v>89.8</v>
      </c>
      <c r="C903" s="7" t="n">
        <f aca="false">IF(AND(A903=0,c_TCREEP&gt;0),10*c_TCREEP,IF(AND(A903&lt;=c_TRNGMIN,A903&gt;=c_TRNGMAX,c_TRNGMIN-c_TRNGMAX&lt;&gt;0),-10*c_TMINRN+QUOTIENT((c_TMAXRN-c_TMINRN)*(100-QUOTIENT((A903-c_TRNGMAX)*100,c_TRNGMIN-c_TRNGMAX)),-10),0))</f>
        <v>0</v>
      </c>
      <c r="D903" s="7" t="n">
        <f aca="false">IF(((c_TMAP1IN)-(c_TFWD))=0,(0)+QUOTIENT(((c_TMAP1OUT)-(0)),2),QUOTIENT((((A903)-(c_TFWD))*((c_TMAP1OUT)-(0))+IF(((c_TMAP1OUT)-(0))&gt;=0,1,-1)*QUOTIENT(((c_TMAP1IN)-(c_TFWD)),2)),((c_TMAP1IN)-(c_TFWD)))+(0)+IF(((c_TMAP1OUT)-(0))&gt;=0,IF(IF(o_WRAP=1,MOD(((c_TMAP1IN)-(c_TFWD))*(((A903)-(c_TFWD))*((c_TMAP1OUT)-(0))+IF(((c_TMAP1OUT)-(0))&gt;=0,1,-1)*QUOTIENT(((c_TMAP1IN)-(c_TFWD)),2))+2147483648,4294967296)-2147483648,((c_TMAP1IN)-(c_TFWD))*(((A903)-(c_TFWD))*((c_TMAP1OUT)-(0))+IF(((c_TMAP1OUT)-(0))&gt;=0,1,-1)*QUOTIENT(((c_TMAP1IN)-(c_TFWD)),2)))&lt;0,-1,0),IF(IF(o_WRAP=1,MOD(((c_TMAP1IN)-(c_TFWD))*(((A903)-(c_TFWD))*((c_TMAP1OUT)-(0))+IF(((c_TMAP1OUT)-(0))&gt;=0,1,-1)*QUOTIENT(((c_TMAP1IN)-(c_TFWD)),2))+2147483648,4294967296)-2147483648,((c_TMAP1IN)-(c_TFWD))*(((A903)-(c_TFWD))*((c_TMAP1OUT)-(0))+IF(((c_TMAP1OUT)-(0))&gt;=0,1,-1)*QUOTIENT(((c_TMAP1IN)-(c_TFWD)),2)))&gt;=0,1,0)))</f>
        <v>691</v>
      </c>
      <c r="E903" s="7" t="n">
        <f aca="false">IF(((c_TMAP2IN)-(c_TMAP1IN))=0,(c_TMAP1OUT)+QUOTIENT(((c_TMAP2OUT)-(c_TMAP1OUT)),2),QUOTIENT((((A903)-(c_TMAP1IN))*((c_TMAP2OUT)-(c_TMAP1OUT))+IF(((c_TMAP2OUT)-(c_TMAP1OUT))&gt;=0,1,-1)*QUOTIENT(((c_TMAP2IN)-(c_TMAP1IN)),2)),((c_TMAP2IN)-(c_TMAP1IN)))+(c_TMAP1OUT)+IF(((c_TMAP2OUT)-(c_TMAP1OUT))&gt;=0,IF(IF(o_WRAP=1,MOD(((c_TMAP2IN)-(c_TMAP1IN))*(((A903)-(c_TMAP1IN))*((c_TMAP2OUT)-(c_TMAP1OUT))+IF(((c_TMAP2OUT)-(c_TMAP1OUT))&gt;=0,1,-1)*QUOTIENT(((c_TMAP2IN)-(c_TMAP1IN)),2))+2147483648,4294967296)-2147483648,((c_TMAP2IN)-(c_TMAP1IN))*(((A903)-(c_TMAP1IN))*((c_TMAP2OUT)-(c_TMAP1OUT))+IF(((c_TMAP2OUT)-(c_TMAP1OUT))&gt;=0,1,-1)*QUOTIENT(((c_TMAP2IN)-(c_TMAP1IN)),2)))&lt;0,-1,0),IF(IF(o_WRAP=1,MOD(((c_TMAP2IN)-(c_TMAP1IN))*(((A903)-(c_TMAP1IN))*((c_TMAP2OUT)-(c_TMAP1OUT))+IF(((c_TMAP2OUT)-(c_TMAP1OUT))&gt;=0,1,-1)*QUOTIENT(((c_TMAP2IN)-(c_TMAP1IN)),2))+2147483648,4294967296)-2147483648,((c_TMAP2IN)-(c_TMAP1IN))*(((A903)-(c_TMAP1IN))*((c_TMAP2OUT)-(c_TMAP1OUT))+IF(((c_TMAP2OUT)-(c_TMAP1OUT))&gt;=0,1,-1)*QUOTIENT(((c_TMAP2IN)-(c_TMAP1IN)),2)))&gt;=0,1,0)))</f>
        <v>389</v>
      </c>
      <c r="F903" s="7" t="n">
        <f aca="false">IF(((c_TMAP3IN)-(c_TMAP2IN))=0,(c_TMAP2OUT)+QUOTIENT(((c_TMAP3OUT)-(c_TMAP2OUT)),2),QUOTIENT((((A903)-(c_TMAP2IN))*((c_TMAP3OUT)-(c_TMAP2OUT))+IF(((c_TMAP3OUT)-(c_TMAP2OUT))&gt;=0,1,-1)*QUOTIENT(((c_TMAP3IN)-(c_TMAP2IN)),2)),((c_TMAP3IN)-(c_TMAP2IN)))+(c_TMAP2OUT)+IF(((c_TMAP3OUT)-(c_TMAP2OUT))&gt;=0,IF(IF(o_WRAP=1,MOD(((c_TMAP3IN)-(c_TMAP2IN))*(((A903)-(c_TMAP2IN))*((c_TMAP3OUT)-(c_TMAP2OUT))+IF(((c_TMAP3OUT)-(c_TMAP2OUT))&gt;=0,1,-1)*QUOTIENT(((c_TMAP3IN)-(c_TMAP2IN)),2))+2147483648,4294967296)-2147483648,((c_TMAP3IN)-(c_TMAP2IN))*(((A903)-(c_TMAP2IN))*((c_TMAP3OUT)-(c_TMAP2OUT))+IF(((c_TMAP3OUT)-(c_TMAP2OUT))&gt;=0,1,-1)*QUOTIENT(((c_TMAP3IN)-(c_TMAP2IN)),2)))&lt;0,-1,0),IF(IF(o_WRAP=1,MOD(((c_TMAP3IN)-(c_TMAP2IN))*(((A903)-(c_TMAP2IN))*((c_TMAP3OUT)-(c_TMAP2OUT))+IF(((c_TMAP3OUT)-(c_TMAP2OUT))&gt;=0,1,-1)*QUOTIENT(((c_TMAP3IN)-(c_TMAP2IN)),2))+2147483648,4294967296)-2147483648,((c_TMAP3IN)-(c_TMAP2IN))*(((A903)-(c_TMAP2IN))*((c_TMAP3OUT)-(c_TMAP2OUT))+IF(((c_TMAP3OUT)-(c_TMAP2OUT))&gt;=0,1,-1)*QUOTIENT(((c_TMAP3IN)-(c_TMAP2IN)),2)))&gt;=0,1,0)))</f>
        <v>584</v>
      </c>
      <c r="G903" s="7" t="n">
        <f aca="false">IF(((1000)-(c_TMAP3IN))=0,(c_TMAP3OUT)+QUOTIENT(((1000)-(c_TMAP3OUT)),2),QUOTIENT((((A903)-(c_TMAP3IN))*((1000)-(c_TMAP3OUT))+IF(((1000)-(c_TMAP3OUT))&gt;=0,1,-1)*QUOTIENT(((1000)-(c_TMAP3IN)),2)),((1000)-(c_TMAP3IN)))+(c_TMAP3OUT)+IF(((1000)-(c_TMAP3OUT))&gt;=0,IF(IF(o_WRAP=1,MOD(((1000)-(c_TMAP3IN))*(((A903)-(c_TMAP3IN))*((1000)-(c_TMAP3OUT))+IF(((1000)-(c_TMAP3OUT))&gt;=0,1,-1)*QUOTIENT(((1000)-(c_TMAP3IN)),2))+2147483648,4294967296)-2147483648,((1000)-(c_TMAP3IN))*(((A903)-(c_TMAP3IN))*((1000)-(c_TMAP3OUT))+IF(((1000)-(c_TMAP3OUT))&gt;=0,1,-1)*QUOTIENT(((1000)-(c_TMAP3IN)),2)))&lt;0,-1,0),IF(IF(o_WRAP=1,MOD(((1000)-(c_TMAP3IN))*(((A903)-(c_TMAP3IN))*((1000)-(c_TMAP3OUT))+IF(((1000)-(c_TMAP3OUT))&gt;=0,1,-1)*QUOTIENT(((1000)-(c_TMAP3IN)),2))+2147483648,4294967296)-2147483648,((1000)-(c_TMAP3IN))*(((A903)-(c_TMAP3IN))*((1000)-(c_TMAP3OUT))+IF(((1000)-(c_TMAP3OUT))&gt;=0,1,-1)*QUOTIENT(((1000)-(c_TMAP3IN)),2)))&gt;=0,1,0)))</f>
        <v>874</v>
      </c>
      <c r="H903" s="7" t="str">
        <f aca="false">IF(A903&gt;=c_TFWD,IF(AND(A903&gt;=c_TMAP3IN,c_TMAP3IN&lt;1000),"Seg4 map3-100%",IF(AND(A903&gt;=c_TMAP2IN,c_TMAP3IN&gt;c_TMAP2IN),"Seg3 map2-map3",IF(AND(A903&gt;=c_TMAP1IN,c_TMAP2IN&gt;c_TMAP1IN),"Seg2 map1-map2","Seg1 TFWD-map1"))),IF(AND(A903=0,c_TCREEP&gt;0),"Creep",IF(AND(A903&lt;=c_TRNGMIN,A903&gt;=c_TRNGMAX,c_TRNGMIN-c_TRNGMAX&lt;&gt;0),"Regen ramp","Coast (0)")))</f>
        <v>Seg4 map3-100%</v>
      </c>
      <c r="I903" s="7" t="n">
        <f aca="false">IF(A903&gt;=c_TFWD,IF(AND(A903&gt;=c_TMAP3IN,c_TMAP3IN&lt;1000),G903,IF(AND(A903&gt;=c_TMAP2IN,c_TMAP3IN&gt;c_TMAP2IN),F903,IF(AND(A903&gt;=c_TMAP1IN,c_TMAP2IN&gt;c_TMAP1IN),E903,D903))),C903)</f>
        <v>874</v>
      </c>
      <c r="J903" s="7" t="str">
        <f aca="false">IF(I903&lt;-1090,"TOO LOW",IF(I903&gt;1090,"TOO HIGH",""))</f>
        <v/>
      </c>
      <c r="K903" s="15" t="n">
        <f aca="false">IF(J903&lt;&gt;"",0,IF(I903&gt;979,1000,I903))</f>
        <v>874</v>
      </c>
      <c r="L903" s="7" t="n">
        <f aca="false">K903/10</f>
        <v>87.4</v>
      </c>
    </row>
    <row r="904" customFormat="false" ht="15" hidden="false" customHeight="false" outlineLevel="0" collapsed="false">
      <c r="A904" s="7" t="n">
        <v>899</v>
      </c>
      <c r="B904" s="7" t="n">
        <f aca="false">A904/10</f>
        <v>89.9</v>
      </c>
      <c r="C904" s="7" t="n">
        <f aca="false">IF(AND(A904=0,c_TCREEP&gt;0),10*c_TCREEP,IF(AND(A904&lt;=c_TRNGMIN,A904&gt;=c_TRNGMAX,c_TRNGMIN-c_TRNGMAX&lt;&gt;0),-10*c_TMINRN+QUOTIENT((c_TMAXRN-c_TMINRN)*(100-QUOTIENT((A904-c_TRNGMAX)*100,c_TRNGMIN-c_TRNGMAX)),-10),0))</f>
        <v>0</v>
      </c>
      <c r="D904" s="7" t="n">
        <f aca="false">IF(((c_TMAP1IN)-(c_TFWD))=0,(0)+QUOTIENT(((c_TMAP1OUT)-(0)),2),QUOTIENT((((A904)-(c_TFWD))*((c_TMAP1OUT)-(0))+IF(((c_TMAP1OUT)-(0))&gt;=0,1,-1)*QUOTIENT(((c_TMAP1IN)-(c_TFWD)),2)),((c_TMAP1IN)-(c_TFWD)))+(0)+IF(((c_TMAP1OUT)-(0))&gt;=0,IF(IF(o_WRAP=1,MOD(((c_TMAP1IN)-(c_TFWD))*(((A904)-(c_TFWD))*((c_TMAP1OUT)-(0))+IF(((c_TMAP1OUT)-(0))&gt;=0,1,-1)*QUOTIENT(((c_TMAP1IN)-(c_TFWD)),2))+2147483648,4294967296)-2147483648,((c_TMAP1IN)-(c_TFWD))*(((A904)-(c_TFWD))*((c_TMAP1OUT)-(0))+IF(((c_TMAP1OUT)-(0))&gt;=0,1,-1)*QUOTIENT(((c_TMAP1IN)-(c_TFWD)),2)))&lt;0,-1,0),IF(IF(o_WRAP=1,MOD(((c_TMAP1IN)-(c_TFWD))*(((A904)-(c_TFWD))*((c_TMAP1OUT)-(0))+IF(((c_TMAP1OUT)-(0))&gt;=0,1,-1)*QUOTIENT(((c_TMAP1IN)-(c_TFWD)),2))+2147483648,4294967296)-2147483648,((c_TMAP1IN)-(c_TFWD))*(((A904)-(c_TFWD))*((c_TMAP1OUT)-(0))+IF(((c_TMAP1OUT)-(0))&gt;=0,1,-1)*QUOTIENT(((c_TMAP1IN)-(c_TFWD)),2)))&gt;=0,1,0)))</f>
        <v>691</v>
      </c>
      <c r="E904" s="7" t="n">
        <f aca="false">IF(((c_TMAP2IN)-(c_TMAP1IN))=0,(c_TMAP1OUT)+QUOTIENT(((c_TMAP2OUT)-(c_TMAP1OUT)),2),QUOTIENT((((A904)-(c_TMAP1IN))*((c_TMAP2OUT)-(c_TMAP1OUT))+IF(((c_TMAP2OUT)-(c_TMAP1OUT))&gt;=0,1,-1)*QUOTIENT(((c_TMAP2IN)-(c_TMAP1IN)),2)),((c_TMAP2IN)-(c_TMAP1IN)))+(c_TMAP1OUT)+IF(((c_TMAP2OUT)-(c_TMAP1OUT))&gt;=0,IF(IF(o_WRAP=1,MOD(((c_TMAP2IN)-(c_TMAP1IN))*(((A904)-(c_TMAP1IN))*((c_TMAP2OUT)-(c_TMAP1OUT))+IF(((c_TMAP2OUT)-(c_TMAP1OUT))&gt;=0,1,-1)*QUOTIENT(((c_TMAP2IN)-(c_TMAP1IN)),2))+2147483648,4294967296)-2147483648,((c_TMAP2IN)-(c_TMAP1IN))*(((A904)-(c_TMAP1IN))*((c_TMAP2OUT)-(c_TMAP1OUT))+IF(((c_TMAP2OUT)-(c_TMAP1OUT))&gt;=0,1,-1)*QUOTIENT(((c_TMAP2IN)-(c_TMAP1IN)),2)))&lt;0,-1,0),IF(IF(o_WRAP=1,MOD(((c_TMAP2IN)-(c_TMAP1IN))*(((A904)-(c_TMAP1IN))*((c_TMAP2OUT)-(c_TMAP1OUT))+IF(((c_TMAP2OUT)-(c_TMAP1OUT))&gt;=0,1,-1)*QUOTIENT(((c_TMAP2IN)-(c_TMAP1IN)),2))+2147483648,4294967296)-2147483648,((c_TMAP2IN)-(c_TMAP1IN))*(((A904)-(c_TMAP1IN))*((c_TMAP2OUT)-(c_TMAP1OUT))+IF(((c_TMAP2OUT)-(c_TMAP1OUT))&gt;=0,1,-1)*QUOTIENT(((c_TMAP2IN)-(c_TMAP1IN)),2)))&gt;=0,1,0)))</f>
        <v>390</v>
      </c>
      <c r="F904" s="7" t="n">
        <f aca="false">IF(((c_TMAP3IN)-(c_TMAP2IN))=0,(c_TMAP2OUT)+QUOTIENT(((c_TMAP3OUT)-(c_TMAP2OUT)),2),QUOTIENT((((A904)-(c_TMAP2IN))*((c_TMAP3OUT)-(c_TMAP2OUT))+IF(((c_TMAP3OUT)-(c_TMAP2OUT))&gt;=0,1,-1)*QUOTIENT(((c_TMAP3IN)-(c_TMAP2IN)),2)),((c_TMAP3IN)-(c_TMAP2IN)))+(c_TMAP2OUT)+IF(((c_TMAP3OUT)-(c_TMAP2OUT))&gt;=0,IF(IF(o_WRAP=1,MOD(((c_TMAP3IN)-(c_TMAP2IN))*(((A904)-(c_TMAP2IN))*((c_TMAP3OUT)-(c_TMAP2OUT))+IF(((c_TMAP3OUT)-(c_TMAP2OUT))&gt;=0,1,-1)*QUOTIENT(((c_TMAP3IN)-(c_TMAP2IN)),2))+2147483648,4294967296)-2147483648,((c_TMAP3IN)-(c_TMAP2IN))*(((A904)-(c_TMAP2IN))*((c_TMAP3OUT)-(c_TMAP2OUT))+IF(((c_TMAP3OUT)-(c_TMAP2OUT))&gt;=0,1,-1)*QUOTIENT(((c_TMAP3IN)-(c_TMAP2IN)),2)))&lt;0,-1,0),IF(IF(o_WRAP=1,MOD(((c_TMAP3IN)-(c_TMAP2IN))*(((A904)-(c_TMAP2IN))*((c_TMAP3OUT)-(c_TMAP2OUT))+IF(((c_TMAP3OUT)-(c_TMAP2OUT))&gt;=0,1,-1)*QUOTIENT(((c_TMAP3IN)-(c_TMAP2IN)),2))+2147483648,4294967296)-2147483648,((c_TMAP3IN)-(c_TMAP2IN))*(((A904)-(c_TMAP2IN))*((c_TMAP3OUT)-(c_TMAP2OUT))+IF(((c_TMAP3OUT)-(c_TMAP2OUT))&gt;=0,1,-1)*QUOTIENT(((c_TMAP3IN)-(c_TMAP2IN)),2)))&gt;=0,1,0)))</f>
        <v>584</v>
      </c>
      <c r="G904" s="7" t="n">
        <f aca="false">IF(((1000)-(c_TMAP3IN))=0,(c_TMAP3OUT)+QUOTIENT(((1000)-(c_TMAP3OUT)),2),QUOTIENT((((A904)-(c_TMAP3IN))*((1000)-(c_TMAP3OUT))+IF(((1000)-(c_TMAP3OUT))&gt;=0,1,-1)*QUOTIENT(((1000)-(c_TMAP3IN)),2)),((1000)-(c_TMAP3IN)))+(c_TMAP3OUT)+IF(((1000)-(c_TMAP3OUT))&gt;=0,IF(IF(o_WRAP=1,MOD(((1000)-(c_TMAP3IN))*(((A904)-(c_TMAP3IN))*((1000)-(c_TMAP3OUT))+IF(((1000)-(c_TMAP3OUT))&gt;=0,1,-1)*QUOTIENT(((1000)-(c_TMAP3IN)),2))+2147483648,4294967296)-2147483648,((1000)-(c_TMAP3IN))*(((A904)-(c_TMAP3IN))*((1000)-(c_TMAP3OUT))+IF(((1000)-(c_TMAP3OUT))&gt;=0,1,-1)*QUOTIENT(((1000)-(c_TMAP3IN)),2)))&lt;0,-1,0),IF(IF(o_WRAP=1,MOD(((1000)-(c_TMAP3IN))*(((A904)-(c_TMAP3IN))*((1000)-(c_TMAP3OUT))+IF(((1000)-(c_TMAP3OUT))&gt;=0,1,-1)*QUOTIENT(((1000)-(c_TMAP3IN)),2))+2147483648,4294967296)-2147483648,((1000)-(c_TMAP3IN))*(((A904)-(c_TMAP3IN))*((1000)-(c_TMAP3OUT))+IF(((1000)-(c_TMAP3OUT))&gt;=0,1,-1)*QUOTIENT(((1000)-(c_TMAP3IN)),2)))&gt;=0,1,0)))</f>
        <v>876</v>
      </c>
      <c r="H904" s="7" t="str">
        <f aca="false">IF(A904&gt;=c_TFWD,IF(AND(A904&gt;=c_TMAP3IN,c_TMAP3IN&lt;1000),"Seg4 map3-100%",IF(AND(A904&gt;=c_TMAP2IN,c_TMAP3IN&gt;c_TMAP2IN),"Seg3 map2-map3",IF(AND(A904&gt;=c_TMAP1IN,c_TMAP2IN&gt;c_TMAP1IN),"Seg2 map1-map2","Seg1 TFWD-map1"))),IF(AND(A904=0,c_TCREEP&gt;0),"Creep",IF(AND(A904&lt;=c_TRNGMIN,A904&gt;=c_TRNGMAX,c_TRNGMIN-c_TRNGMAX&lt;&gt;0),"Regen ramp","Coast (0)")))</f>
        <v>Seg4 map3-100%</v>
      </c>
      <c r="I904" s="7" t="n">
        <f aca="false">IF(A904&gt;=c_TFWD,IF(AND(A904&gt;=c_TMAP3IN,c_TMAP3IN&lt;1000),G904,IF(AND(A904&gt;=c_TMAP2IN,c_TMAP3IN&gt;c_TMAP2IN),F904,IF(AND(A904&gt;=c_TMAP1IN,c_TMAP2IN&gt;c_TMAP1IN),E904,D904))),C904)</f>
        <v>876</v>
      </c>
      <c r="J904" s="7" t="str">
        <f aca="false">IF(I904&lt;-1090,"TOO LOW",IF(I904&gt;1090,"TOO HIGH",""))</f>
        <v/>
      </c>
      <c r="K904" s="15" t="n">
        <f aca="false">IF(J904&lt;&gt;"",0,IF(I904&gt;979,1000,I904))</f>
        <v>876</v>
      </c>
      <c r="L904" s="7" t="n">
        <f aca="false">K904/10</f>
        <v>87.6</v>
      </c>
    </row>
    <row r="905" customFormat="false" ht="15" hidden="false" customHeight="false" outlineLevel="0" collapsed="false">
      <c r="A905" s="7" t="n">
        <v>900</v>
      </c>
      <c r="B905" s="7" t="n">
        <f aca="false">A905/10</f>
        <v>90</v>
      </c>
      <c r="C905" s="7" t="n">
        <f aca="false">IF(AND(A905=0,c_TCREEP&gt;0),10*c_TCREEP,IF(AND(A905&lt;=c_TRNGMIN,A905&gt;=c_TRNGMAX,c_TRNGMIN-c_TRNGMAX&lt;&gt;0),-10*c_TMINRN+QUOTIENT((c_TMAXRN-c_TMINRN)*(100-QUOTIENT((A905-c_TRNGMAX)*100,c_TRNGMIN-c_TRNGMAX)),-10),0))</f>
        <v>0</v>
      </c>
      <c r="D905" s="7" t="n">
        <f aca="false">IF(((c_TMAP1IN)-(c_TFWD))=0,(0)+QUOTIENT(((c_TMAP1OUT)-(0)),2),QUOTIENT((((A905)-(c_TFWD))*((c_TMAP1OUT)-(0))+IF(((c_TMAP1OUT)-(0))&gt;=0,1,-1)*QUOTIENT(((c_TMAP1IN)-(c_TFWD)),2)),((c_TMAP1IN)-(c_TFWD)))+(0)+IF(((c_TMAP1OUT)-(0))&gt;=0,IF(IF(o_WRAP=1,MOD(((c_TMAP1IN)-(c_TFWD))*(((A905)-(c_TFWD))*((c_TMAP1OUT)-(0))+IF(((c_TMAP1OUT)-(0))&gt;=0,1,-1)*QUOTIENT(((c_TMAP1IN)-(c_TFWD)),2))+2147483648,4294967296)-2147483648,((c_TMAP1IN)-(c_TFWD))*(((A905)-(c_TFWD))*((c_TMAP1OUT)-(0))+IF(((c_TMAP1OUT)-(0))&gt;=0,1,-1)*QUOTIENT(((c_TMAP1IN)-(c_TFWD)),2)))&lt;0,-1,0),IF(IF(o_WRAP=1,MOD(((c_TMAP1IN)-(c_TFWD))*(((A905)-(c_TFWD))*((c_TMAP1OUT)-(0))+IF(((c_TMAP1OUT)-(0))&gt;=0,1,-1)*QUOTIENT(((c_TMAP1IN)-(c_TFWD)),2))+2147483648,4294967296)-2147483648,((c_TMAP1IN)-(c_TFWD))*(((A905)-(c_TFWD))*((c_TMAP1OUT)-(0))+IF(((c_TMAP1OUT)-(0))&gt;=0,1,-1)*QUOTIENT(((c_TMAP1IN)-(c_TFWD)),2)))&gt;=0,1,0)))</f>
        <v>692</v>
      </c>
      <c r="E905" s="7" t="n">
        <f aca="false">IF(((c_TMAP2IN)-(c_TMAP1IN))=0,(c_TMAP1OUT)+QUOTIENT(((c_TMAP2OUT)-(c_TMAP1OUT)),2),QUOTIENT((((A905)-(c_TMAP1IN))*((c_TMAP2OUT)-(c_TMAP1OUT))+IF(((c_TMAP2OUT)-(c_TMAP1OUT))&gt;=0,1,-1)*QUOTIENT(((c_TMAP2IN)-(c_TMAP1IN)),2)),((c_TMAP2IN)-(c_TMAP1IN)))+(c_TMAP1OUT)+IF(((c_TMAP2OUT)-(c_TMAP1OUT))&gt;=0,IF(IF(o_WRAP=1,MOD(((c_TMAP2IN)-(c_TMAP1IN))*(((A905)-(c_TMAP1IN))*((c_TMAP2OUT)-(c_TMAP1OUT))+IF(((c_TMAP2OUT)-(c_TMAP1OUT))&gt;=0,1,-1)*QUOTIENT(((c_TMAP2IN)-(c_TMAP1IN)),2))+2147483648,4294967296)-2147483648,((c_TMAP2IN)-(c_TMAP1IN))*(((A905)-(c_TMAP1IN))*((c_TMAP2OUT)-(c_TMAP1OUT))+IF(((c_TMAP2OUT)-(c_TMAP1OUT))&gt;=0,1,-1)*QUOTIENT(((c_TMAP2IN)-(c_TMAP1IN)),2)))&lt;0,-1,0),IF(IF(o_WRAP=1,MOD(((c_TMAP2IN)-(c_TMAP1IN))*(((A905)-(c_TMAP1IN))*((c_TMAP2OUT)-(c_TMAP1OUT))+IF(((c_TMAP2OUT)-(c_TMAP1OUT))&gt;=0,1,-1)*QUOTIENT(((c_TMAP2IN)-(c_TMAP1IN)),2))+2147483648,4294967296)-2147483648,((c_TMAP2IN)-(c_TMAP1IN))*(((A905)-(c_TMAP1IN))*((c_TMAP2OUT)-(c_TMAP1OUT))+IF(((c_TMAP2OUT)-(c_TMAP1OUT))&gt;=0,1,-1)*QUOTIENT(((c_TMAP2IN)-(c_TMAP1IN)),2)))&gt;=0,1,0)))</f>
        <v>390</v>
      </c>
      <c r="F905" s="7" t="n">
        <f aca="false">IF(((c_TMAP3IN)-(c_TMAP2IN))=0,(c_TMAP2OUT)+QUOTIENT(((c_TMAP3OUT)-(c_TMAP2OUT)),2),QUOTIENT((((A905)-(c_TMAP2IN))*((c_TMAP3OUT)-(c_TMAP2OUT))+IF(((c_TMAP3OUT)-(c_TMAP2OUT))&gt;=0,1,-1)*QUOTIENT(((c_TMAP3IN)-(c_TMAP2IN)),2)),((c_TMAP3IN)-(c_TMAP2IN)))+(c_TMAP2OUT)+IF(((c_TMAP3OUT)-(c_TMAP2OUT))&gt;=0,IF(IF(o_WRAP=1,MOD(((c_TMAP3IN)-(c_TMAP2IN))*(((A905)-(c_TMAP2IN))*((c_TMAP3OUT)-(c_TMAP2OUT))+IF(((c_TMAP3OUT)-(c_TMAP2OUT))&gt;=0,1,-1)*QUOTIENT(((c_TMAP3IN)-(c_TMAP2IN)),2))+2147483648,4294967296)-2147483648,((c_TMAP3IN)-(c_TMAP2IN))*(((A905)-(c_TMAP2IN))*((c_TMAP3OUT)-(c_TMAP2OUT))+IF(((c_TMAP3OUT)-(c_TMAP2OUT))&gt;=0,1,-1)*QUOTIENT(((c_TMAP3IN)-(c_TMAP2IN)),2)))&lt;0,-1,0),IF(IF(o_WRAP=1,MOD(((c_TMAP3IN)-(c_TMAP2IN))*(((A905)-(c_TMAP2IN))*((c_TMAP3OUT)-(c_TMAP2OUT))+IF(((c_TMAP3OUT)-(c_TMAP2OUT))&gt;=0,1,-1)*QUOTIENT(((c_TMAP3IN)-(c_TMAP2IN)),2))+2147483648,4294967296)-2147483648,((c_TMAP3IN)-(c_TMAP2IN))*(((A905)-(c_TMAP2IN))*((c_TMAP3OUT)-(c_TMAP2OUT))+IF(((c_TMAP3OUT)-(c_TMAP2OUT))&gt;=0,1,-1)*QUOTIENT(((c_TMAP3IN)-(c_TMAP2IN)),2)))&gt;=0,1,0)))</f>
        <v>585</v>
      </c>
      <c r="G905" s="7" t="n">
        <f aca="false">IF(((1000)-(c_TMAP3IN))=0,(c_TMAP3OUT)+QUOTIENT(((1000)-(c_TMAP3OUT)),2),QUOTIENT((((A905)-(c_TMAP3IN))*((1000)-(c_TMAP3OUT))+IF(((1000)-(c_TMAP3OUT))&gt;=0,1,-1)*QUOTIENT(((1000)-(c_TMAP3IN)),2)),((1000)-(c_TMAP3IN)))+(c_TMAP3OUT)+IF(((1000)-(c_TMAP3OUT))&gt;=0,IF(IF(o_WRAP=1,MOD(((1000)-(c_TMAP3IN))*(((A905)-(c_TMAP3IN))*((1000)-(c_TMAP3OUT))+IF(((1000)-(c_TMAP3OUT))&gt;=0,1,-1)*QUOTIENT(((1000)-(c_TMAP3IN)),2))+2147483648,4294967296)-2147483648,((1000)-(c_TMAP3IN))*(((A905)-(c_TMAP3IN))*((1000)-(c_TMAP3OUT))+IF(((1000)-(c_TMAP3OUT))&gt;=0,1,-1)*QUOTIENT(((1000)-(c_TMAP3IN)),2)))&lt;0,-1,0),IF(IF(o_WRAP=1,MOD(((1000)-(c_TMAP3IN))*(((A905)-(c_TMAP3IN))*((1000)-(c_TMAP3OUT))+IF(((1000)-(c_TMAP3OUT))&gt;=0,1,-1)*QUOTIENT(((1000)-(c_TMAP3IN)),2))+2147483648,4294967296)-2147483648,((1000)-(c_TMAP3IN))*(((A905)-(c_TMAP3IN))*((1000)-(c_TMAP3OUT))+IF(((1000)-(c_TMAP3OUT))&gt;=0,1,-1)*QUOTIENT(((1000)-(c_TMAP3IN)),2)))&gt;=0,1,0)))</f>
        <v>877</v>
      </c>
      <c r="H905" s="7" t="str">
        <f aca="false">IF(A905&gt;=c_TFWD,IF(AND(A905&gt;=c_TMAP3IN,c_TMAP3IN&lt;1000),"Seg4 map3-100%",IF(AND(A905&gt;=c_TMAP2IN,c_TMAP3IN&gt;c_TMAP2IN),"Seg3 map2-map3",IF(AND(A905&gt;=c_TMAP1IN,c_TMAP2IN&gt;c_TMAP1IN),"Seg2 map1-map2","Seg1 TFWD-map1"))),IF(AND(A905=0,c_TCREEP&gt;0),"Creep",IF(AND(A905&lt;=c_TRNGMIN,A905&gt;=c_TRNGMAX,c_TRNGMIN-c_TRNGMAX&lt;&gt;0),"Regen ramp","Coast (0)")))</f>
        <v>Seg4 map3-100%</v>
      </c>
      <c r="I905" s="7" t="n">
        <f aca="false">IF(A905&gt;=c_TFWD,IF(AND(A905&gt;=c_TMAP3IN,c_TMAP3IN&lt;1000),G905,IF(AND(A905&gt;=c_TMAP2IN,c_TMAP3IN&gt;c_TMAP2IN),F905,IF(AND(A905&gt;=c_TMAP1IN,c_TMAP2IN&gt;c_TMAP1IN),E905,D905))),C905)</f>
        <v>877</v>
      </c>
      <c r="J905" s="7" t="str">
        <f aca="false">IF(I905&lt;-1090,"TOO LOW",IF(I905&gt;1090,"TOO HIGH",""))</f>
        <v/>
      </c>
      <c r="K905" s="15" t="n">
        <f aca="false">IF(J905&lt;&gt;"",0,IF(I905&gt;979,1000,I905))</f>
        <v>877</v>
      </c>
      <c r="L905" s="7" t="n">
        <f aca="false">K905/10</f>
        <v>87.7</v>
      </c>
    </row>
    <row r="906" customFormat="false" ht="15" hidden="false" customHeight="false" outlineLevel="0" collapsed="false">
      <c r="A906" s="7" t="n">
        <v>901</v>
      </c>
      <c r="B906" s="7" t="n">
        <f aca="false">A906/10</f>
        <v>90.1</v>
      </c>
      <c r="C906" s="7" t="n">
        <f aca="false">IF(AND(A906=0,c_TCREEP&gt;0),10*c_TCREEP,IF(AND(A906&lt;=c_TRNGMIN,A906&gt;=c_TRNGMAX,c_TRNGMIN-c_TRNGMAX&lt;&gt;0),-10*c_TMINRN+QUOTIENT((c_TMAXRN-c_TMINRN)*(100-QUOTIENT((A906-c_TRNGMAX)*100,c_TRNGMIN-c_TRNGMAX)),-10),0))</f>
        <v>0</v>
      </c>
      <c r="D906" s="7" t="n">
        <f aca="false">IF(((c_TMAP1IN)-(c_TFWD))=0,(0)+QUOTIENT(((c_TMAP1OUT)-(0)),2),QUOTIENT((((A906)-(c_TFWD))*((c_TMAP1OUT)-(0))+IF(((c_TMAP1OUT)-(0))&gt;=0,1,-1)*QUOTIENT(((c_TMAP1IN)-(c_TFWD)),2)),((c_TMAP1IN)-(c_TFWD)))+(0)+IF(((c_TMAP1OUT)-(0))&gt;=0,IF(IF(o_WRAP=1,MOD(((c_TMAP1IN)-(c_TFWD))*(((A906)-(c_TFWD))*((c_TMAP1OUT)-(0))+IF(((c_TMAP1OUT)-(0))&gt;=0,1,-1)*QUOTIENT(((c_TMAP1IN)-(c_TFWD)),2))+2147483648,4294967296)-2147483648,((c_TMAP1IN)-(c_TFWD))*(((A906)-(c_TFWD))*((c_TMAP1OUT)-(0))+IF(((c_TMAP1OUT)-(0))&gt;=0,1,-1)*QUOTIENT(((c_TMAP1IN)-(c_TFWD)),2)))&lt;0,-1,0),IF(IF(o_WRAP=1,MOD(((c_TMAP1IN)-(c_TFWD))*(((A906)-(c_TFWD))*((c_TMAP1OUT)-(0))+IF(((c_TMAP1OUT)-(0))&gt;=0,1,-1)*QUOTIENT(((c_TMAP1IN)-(c_TFWD)),2))+2147483648,4294967296)-2147483648,((c_TMAP1IN)-(c_TFWD))*(((A906)-(c_TFWD))*((c_TMAP1OUT)-(0))+IF(((c_TMAP1OUT)-(0))&gt;=0,1,-1)*QUOTIENT(((c_TMAP1IN)-(c_TFWD)),2)))&gt;=0,1,0)))</f>
        <v>693</v>
      </c>
      <c r="E906" s="7" t="n">
        <f aca="false">IF(((c_TMAP2IN)-(c_TMAP1IN))=0,(c_TMAP1OUT)+QUOTIENT(((c_TMAP2OUT)-(c_TMAP1OUT)),2),QUOTIENT((((A906)-(c_TMAP1IN))*((c_TMAP2OUT)-(c_TMAP1OUT))+IF(((c_TMAP2OUT)-(c_TMAP1OUT))&gt;=0,1,-1)*QUOTIENT(((c_TMAP2IN)-(c_TMAP1IN)),2)),((c_TMAP2IN)-(c_TMAP1IN)))+(c_TMAP1OUT)+IF(((c_TMAP2OUT)-(c_TMAP1OUT))&gt;=0,IF(IF(o_WRAP=1,MOD(((c_TMAP2IN)-(c_TMAP1IN))*(((A906)-(c_TMAP1IN))*((c_TMAP2OUT)-(c_TMAP1OUT))+IF(((c_TMAP2OUT)-(c_TMAP1OUT))&gt;=0,1,-1)*QUOTIENT(((c_TMAP2IN)-(c_TMAP1IN)),2))+2147483648,4294967296)-2147483648,((c_TMAP2IN)-(c_TMAP1IN))*(((A906)-(c_TMAP1IN))*((c_TMAP2OUT)-(c_TMAP1OUT))+IF(((c_TMAP2OUT)-(c_TMAP1OUT))&gt;=0,1,-1)*QUOTIENT(((c_TMAP2IN)-(c_TMAP1IN)),2)))&lt;0,-1,0),IF(IF(o_WRAP=1,MOD(((c_TMAP2IN)-(c_TMAP1IN))*(((A906)-(c_TMAP1IN))*((c_TMAP2OUT)-(c_TMAP1OUT))+IF(((c_TMAP2OUT)-(c_TMAP1OUT))&gt;=0,1,-1)*QUOTIENT(((c_TMAP2IN)-(c_TMAP1IN)),2))+2147483648,4294967296)-2147483648,((c_TMAP2IN)-(c_TMAP1IN))*(((A906)-(c_TMAP1IN))*((c_TMAP2OUT)-(c_TMAP1OUT))+IF(((c_TMAP2OUT)-(c_TMAP1OUT))&gt;=0,1,-1)*QUOTIENT(((c_TMAP2IN)-(c_TMAP1IN)),2)))&gt;=0,1,0)))</f>
        <v>390</v>
      </c>
      <c r="F906" s="7" t="n">
        <f aca="false">IF(((c_TMAP3IN)-(c_TMAP2IN))=0,(c_TMAP2OUT)+QUOTIENT(((c_TMAP3OUT)-(c_TMAP2OUT)),2),QUOTIENT((((A906)-(c_TMAP2IN))*((c_TMAP3OUT)-(c_TMAP2OUT))+IF(((c_TMAP3OUT)-(c_TMAP2OUT))&gt;=0,1,-1)*QUOTIENT(((c_TMAP3IN)-(c_TMAP2IN)),2)),((c_TMAP3IN)-(c_TMAP2IN)))+(c_TMAP2OUT)+IF(((c_TMAP3OUT)-(c_TMAP2OUT))&gt;=0,IF(IF(o_WRAP=1,MOD(((c_TMAP3IN)-(c_TMAP2IN))*(((A906)-(c_TMAP2IN))*((c_TMAP3OUT)-(c_TMAP2OUT))+IF(((c_TMAP3OUT)-(c_TMAP2OUT))&gt;=0,1,-1)*QUOTIENT(((c_TMAP3IN)-(c_TMAP2IN)),2))+2147483648,4294967296)-2147483648,((c_TMAP3IN)-(c_TMAP2IN))*(((A906)-(c_TMAP2IN))*((c_TMAP3OUT)-(c_TMAP2OUT))+IF(((c_TMAP3OUT)-(c_TMAP2OUT))&gt;=0,1,-1)*QUOTIENT(((c_TMAP3IN)-(c_TMAP2IN)),2)))&lt;0,-1,0),IF(IF(o_WRAP=1,MOD(((c_TMAP3IN)-(c_TMAP2IN))*(((A906)-(c_TMAP2IN))*((c_TMAP3OUT)-(c_TMAP2OUT))+IF(((c_TMAP3OUT)-(c_TMAP2OUT))&gt;=0,1,-1)*QUOTIENT(((c_TMAP3IN)-(c_TMAP2IN)),2))+2147483648,4294967296)-2147483648,((c_TMAP3IN)-(c_TMAP2IN))*(((A906)-(c_TMAP2IN))*((c_TMAP3OUT)-(c_TMAP2OUT))+IF(((c_TMAP3OUT)-(c_TMAP2OUT))&gt;=0,1,-1)*QUOTIENT(((c_TMAP3IN)-(c_TMAP2IN)),2)))&gt;=0,1,0)))</f>
        <v>586</v>
      </c>
      <c r="G906" s="7" t="n">
        <f aca="false">IF(((1000)-(c_TMAP3IN))=0,(c_TMAP3OUT)+QUOTIENT(((1000)-(c_TMAP3OUT)),2),QUOTIENT((((A906)-(c_TMAP3IN))*((1000)-(c_TMAP3OUT))+IF(((1000)-(c_TMAP3OUT))&gt;=0,1,-1)*QUOTIENT(((1000)-(c_TMAP3IN)),2)),((1000)-(c_TMAP3IN)))+(c_TMAP3OUT)+IF(((1000)-(c_TMAP3OUT))&gt;=0,IF(IF(o_WRAP=1,MOD(((1000)-(c_TMAP3IN))*(((A906)-(c_TMAP3IN))*((1000)-(c_TMAP3OUT))+IF(((1000)-(c_TMAP3OUT))&gt;=0,1,-1)*QUOTIENT(((1000)-(c_TMAP3IN)),2))+2147483648,4294967296)-2147483648,((1000)-(c_TMAP3IN))*(((A906)-(c_TMAP3IN))*((1000)-(c_TMAP3OUT))+IF(((1000)-(c_TMAP3OUT))&gt;=0,1,-1)*QUOTIENT(((1000)-(c_TMAP3IN)),2)))&lt;0,-1,0),IF(IF(o_WRAP=1,MOD(((1000)-(c_TMAP3IN))*(((A906)-(c_TMAP3IN))*((1000)-(c_TMAP3OUT))+IF(((1000)-(c_TMAP3OUT))&gt;=0,1,-1)*QUOTIENT(((1000)-(c_TMAP3IN)),2))+2147483648,4294967296)-2147483648,((1000)-(c_TMAP3IN))*(((A906)-(c_TMAP3IN))*((1000)-(c_TMAP3OUT))+IF(((1000)-(c_TMAP3OUT))&gt;=0,1,-1)*QUOTIENT(((1000)-(c_TMAP3IN)),2)))&gt;=0,1,0)))</f>
        <v>878</v>
      </c>
      <c r="H906" s="7" t="str">
        <f aca="false">IF(A906&gt;=c_TFWD,IF(AND(A906&gt;=c_TMAP3IN,c_TMAP3IN&lt;1000),"Seg4 map3-100%",IF(AND(A906&gt;=c_TMAP2IN,c_TMAP3IN&gt;c_TMAP2IN),"Seg3 map2-map3",IF(AND(A906&gt;=c_TMAP1IN,c_TMAP2IN&gt;c_TMAP1IN),"Seg2 map1-map2","Seg1 TFWD-map1"))),IF(AND(A906=0,c_TCREEP&gt;0),"Creep",IF(AND(A906&lt;=c_TRNGMIN,A906&gt;=c_TRNGMAX,c_TRNGMIN-c_TRNGMAX&lt;&gt;0),"Regen ramp","Coast (0)")))</f>
        <v>Seg4 map3-100%</v>
      </c>
      <c r="I906" s="7" t="n">
        <f aca="false">IF(A906&gt;=c_TFWD,IF(AND(A906&gt;=c_TMAP3IN,c_TMAP3IN&lt;1000),G906,IF(AND(A906&gt;=c_TMAP2IN,c_TMAP3IN&gt;c_TMAP2IN),F906,IF(AND(A906&gt;=c_TMAP1IN,c_TMAP2IN&gt;c_TMAP1IN),E906,D906))),C906)</f>
        <v>878</v>
      </c>
      <c r="J906" s="7" t="str">
        <f aca="false">IF(I906&lt;-1090,"TOO LOW",IF(I906&gt;1090,"TOO HIGH",""))</f>
        <v/>
      </c>
      <c r="K906" s="15" t="n">
        <f aca="false">IF(J906&lt;&gt;"",0,IF(I906&gt;979,1000,I906))</f>
        <v>878</v>
      </c>
      <c r="L906" s="7" t="n">
        <f aca="false">K906/10</f>
        <v>87.8</v>
      </c>
    </row>
    <row r="907" customFormat="false" ht="15" hidden="false" customHeight="false" outlineLevel="0" collapsed="false">
      <c r="A907" s="7" t="n">
        <v>902</v>
      </c>
      <c r="B907" s="7" t="n">
        <f aca="false">A907/10</f>
        <v>90.2</v>
      </c>
      <c r="C907" s="7" t="n">
        <f aca="false">IF(AND(A907=0,c_TCREEP&gt;0),10*c_TCREEP,IF(AND(A907&lt;=c_TRNGMIN,A907&gt;=c_TRNGMAX,c_TRNGMIN-c_TRNGMAX&lt;&gt;0),-10*c_TMINRN+QUOTIENT((c_TMAXRN-c_TMINRN)*(100-QUOTIENT((A907-c_TRNGMAX)*100,c_TRNGMIN-c_TRNGMAX)),-10),0))</f>
        <v>0</v>
      </c>
      <c r="D907" s="7" t="n">
        <f aca="false">IF(((c_TMAP1IN)-(c_TFWD))=0,(0)+QUOTIENT(((c_TMAP1OUT)-(0)),2),QUOTIENT((((A907)-(c_TFWD))*((c_TMAP1OUT)-(0))+IF(((c_TMAP1OUT)-(0))&gt;=0,1,-1)*QUOTIENT(((c_TMAP1IN)-(c_TFWD)),2)),((c_TMAP1IN)-(c_TFWD)))+(0)+IF(((c_TMAP1OUT)-(0))&gt;=0,IF(IF(o_WRAP=1,MOD(((c_TMAP1IN)-(c_TFWD))*(((A907)-(c_TFWD))*((c_TMAP1OUT)-(0))+IF(((c_TMAP1OUT)-(0))&gt;=0,1,-1)*QUOTIENT(((c_TMAP1IN)-(c_TFWD)),2))+2147483648,4294967296)-2147483648,((c_TMAP1IN)-(c_TFWD))*(((A907)-(c_TFWD))*((c_TMAP1OUT)-(0))+IF(((c_TMAP1OUT)-(0))&gt;=0,1,-1)*QUOTIENT(((c_TMAP1IN)-(c_TFWD)),2)))&lt;0,-1,0),IF(IF(o_WRAP=1,MOD(((c_TMAP1IN)-(c_TFWD))*(((A907)-(c_TFWD))*((c_TMAP1OUT)-(0))+IF(((c_TMAP1OUT)-(0))&gt;=0,1,-1)*QUOTIENT(((c_TMAP1IN)-(c_TFWD)),2))+2147483648,4294967296)-2147483648,((c_TMAP1IN)-(c_TFWD))*(((A907)-(c_TFWD))*((c_TMAP1OUT)-(0))+IF(((c_TMAP1OUT)-(0))&gt;=0,1,-1)*QUOTIENT(((c_TMAP1IN)-(c_TFWD)),2)))&gt;=0,1,0)))</f>
        <v>694</v>
      </c>
      <c r="E907" s="7" t="n">
        <f aca="false">IF(((c_TMAP2IN)-(c_TMAP1IN))=0,(c_TMAP1OUT)+QUOTIENT(((c_TMAP2OUT)-(c_TMAP1OUT)),2),QUOTIENT((((A907)-(c_TMAP1IN))*((c_TMAP2OUT)-(c_TMAP1OUT))+IF(((c_TMAP2OUT)-(c_TMAP1OUT))&gt;=0,1,-1)*QUOTIENT(((c_TMAP2IN)-(c_TMAP1IN)),2)),((c_TMAP2IN)-(c_TMAP1IN)))+(c_TMAP1OUT)+IF(((c_TMAP2OUT)-(c_TMAP1OUT))&gt;=0,IF(IF(o_WRAP=1,MOD(((c_TMAP2IN)-(c_TMAP1IN))*(((A907)-(c_TMAP1IN))*((c_TMAP2OUT)-(c_TMAP1OUT))+IF(((c_TMAP2OUT)-(c_TMAP1OUT))&gt;=0,1,-1)*QUOTIENT(((c_TMAP2IN)-(c_TMAP1IN)),2))+2147483648,4294967296)-2147483648,((c_TMAP2IN)-(c_TMAP1IN))*(((A907)-(c_TMAP1IN))*((c_TMAP2OUT)-(c_TMAP1OUT))+IF(((c_TMAP2OUT)-(c_TMAP1OUT))&gt;=0,1,-1)*QUOTIENT(((c_TMAP2IN)-(c_TMAP1IN)),2)))&lt;0,-1,0),IF(IF(o_WRAP=1,MOD(((c_TMAP2IN)-(c_TMAP1IN))*(((A907)-(c_TMAP1IN))*((c_TMAP2OUT)-(c_TMAP1OUT))+IF(((c_TMAP2OUT)-(c_TMAP1OUT))&gt;=0,1,-1)*QUOTIENT(((c_TMAP2IN)-(c_TMAP1IN)),2))+2147483648,4294967296)-2147483648,((c_TMAP2IN)-(c_TMAP1IN))*(((A907)-(c_TMAP1IN))*((c_TMAP2OUT)-(c_TMAP1OUT))+IF(((c_TMAP2OUT)-(c_TMAP1OUT))&gt;=0,1,-1)*QUOTIENT(((c_TMAP2IN)-(c_TMAP1IN)),2)))&gt;=0,1,0)))</f>
        <v>391</v>
      </c>
      <c r="F907" s="7" t="n">
        <f aca="false">IF(((c_TMAP3IN)-(c_TMAP2IN))=0,(c_TMAP2OUT)+QUOTIENT(((c_TMAP3OUT)-(c_TMAP2OUT)),2),QUOTIENT((((A907)-(c_TMAP2IN))*((c_TMAP3OUT)-(c_TMAP2OUT))+IF(((c_TMAP3OUT)-(c_TMAP2OUT))&gt;=0,1,-1)*QUOTIENT(((c_TMAP3IN)-(c_TMAP2IN)),2)),((c_TMAP3IN)-(c_TMAP2IN)))+(c_TMAP2OUT)+IF(((c_TMAP3OUT)-(c_TMAP2OUT))&gt;=0,IF(IF(o_WRAP=1,MOD(((c_TMAP3IN)-(c_TMAP2IN))*(((A907)-(c_TMAP2IN))*((c_TMAP3OUT)-(c_TMAP2OUT))+IF(((c_TMAP3OUT)-(c_TMAP2OUT))&gt;=0,1,-1)*QUOTIENT(((c_TMAP3IN)-(c_TMAP2IN)),2))+2147483648,4294967296)-2147483648,((c_TMAP3IN)-(c_TMAP2IN))*(((A907)-(c_TMAP2IN))*((c_TMAP3OUT)-(c_TMAP2OUT))+IF(((c_TMAP3OUT)-(c_TMAP2OUT))&gt;=0,1,-1)*QUOTIENT(((c_TMAP3IN)-(c_TMAP2IN)),2)))&lt;0,-1,0),IF(IF(o_WRAP=1,MOD(((c_TMAP3IN)-(c_TMAP2IN))*(((A907)-(c_TMAP2IN))*((c_TMAP3OUT)-(c_TMAP2OUT))+IF(((c_TMAP3OUT)-(c_TMAP2OUT))&gt;=0,1,-1)*QUOTIENT(((c_TMAP3IN)-(c_TMAP2IN)),2))+2147483648,4294967296)-2147483648,((c_TMAP3IN)-(c_TMAP2IN))*(((A907)-(c_TMAP2IN))*((c_TMAP3OUT)-(c_TMAP2OUT))+IF(((c_TMAP3OUT)-(c_TMAP2OUT))&gt;=0,1,-1)*QUOTIENT(((c_TMAP3IN)-(c_TMAP2IN)),2)))&gt;=0,1,0)))</f>
        <v>586</v>
      </c>
      <c r="G907" s="7" t="n">
        <f aca="false">IF(((1000)-(c_TMAP3IN))=0,(c_TMAP3OUT)+QUOTIENT(((1000)-(c_TMAP3OUT)),2),QUOTIENT((((A907)-(c_TMAP3IN))*((1000)-(c_TMAP3OUT))+IF(((1000)-(c_TMAP3OUT))&gt;=0,1,-1)*QUOTIENT(((1000)-(c_TMAP3IN)),2)),((1000)-(c_TMAP3IN)))+(c_TMAP3OUT)+IF(((1000)-(c_TMAP3OUT))&gt;=0,IF(IF(o_WRAP=1,MOD(((1000)-(c_TMAP3IN))*(((A907)-(c_TMAP3IN))*((1000)-(c_TMAP3OUT))+IF(((1000)-(c_TMAP3OUT))&gt;=0,1,-1)*QUOTIENT(((1000)-(c_TMAP3IN)),2))+2147483648,4294967296)-2147483648,((1000)-(c_TMAP3IN))*(((A907)-(c_TMAP3IN))*((1000)-(c_TMAP3OUT))+IF(((1000)-(c_TMAP3OUT))&gt;=0,1,-1)*QUOTIENT(((1000)-(c_TMAP3IN)),2)))&lt;0,-1,0),IF(IF(o_WRAP=1,MOD(((1000)-(c_TMAP3IN))*(((A907)-(c_TMAP3IN))*((1000)-(c_TMAP3OUT))+IF(((1000)-(c_TMAP3OUT))&gt;=0,1,-1)*QUOTIENT(((1000)-(c_TMAP3IN)),2))+2147483648,4294967296)-2147483648,((1000)-(c_TMAP3IN))*(((A907)-(c_TMAP3IN))*((1000)-(c_TMAP3OUT))+IF(((1000)-(c_TMAP3OUT))&gt;=0,1,-1)*QUOTIENT(((1000)-(c_TMAP3IN)),2)))&gt;=0,1,0)))</f>
        <v>879</v>
      </c>
      <c r="H907" s="7" t="str">
        <f aca="false">IF(A907&gt;=c_TFWD,IF(AND(A907&gt;=c_TMAP3IN,c_TMAP3IN&lt;1000),"Seg4 map3-100%",IF(AND(A907&gt;=c_TMAP2IN,c_TMAP3IN&gt;c_TMAP2IN),"Seg3 map2-map3",IF(AND(A907&gt;=c_TMAP1IN,c_TMAP2IN&gt;c_TMAP1IN),"Seg2 map1-map2","Seg1 TFWD-map1"))),IF(AND(A907=0,c_TCREEP&gt;0),"Creep",IF(AND(A907&lt;=c_TRNGMIN,A907&gt;=c_TRNGMAX,c_TRNGMIN-c_TRNGMAX&lt;&gt;0),"Regen ramp","Coast (0)")))</f>
        <v>Seg4 map3-100%</v>
      </c>
      <c r="I907" s="7" t="n">
        <f aca="false">IF(A907&gt;=c_TFWD,IF(AND(A907&gt;=c_TMAP3IN,c_TMAP3IN&lt;1000),G907,IF(AND(A907&gt;=c_TMAP2IN,c_TMAP3IN&gt;c_TMAP2IN),F907,IF(AND(A907&gt;=c_TMAP1IN,c_TMAP2IN&gt;c_TMAP1IN),E907,D907))),C907)</f>
        <v>879</v>
      </c>
      <c r="J907" s="7" t="str">
        <f aca="false">IF(I907&lt;-1090,"TOO LOW",IF(I907&gt;1090,"TOO HIGH",""))</f>
        <v/>
      </c>
      <c r="K907" s="15" t="n">
        <f aca="false">IF(J907&lt;&gt;"",0,IF(I907&gt;979,1000,I907))</f>
        <v>879</v>
      </c>
      <c r="L907" s="7" t="n">
        <f aca="false">K907/10</f>
        <v>87.9</v>
      </c>
    </row>
    <row r="908" customFormat="false" ht="15" hidden="false" customHeight="false" outlineLevel="0" collapsed="false">
      <c r="A908" s="7" t="n">
        <v>903</v>
      </c>
      <c r="B908" s="7" t="n">
        <f aca="false">A908/10</f>
        <v>90.3</v>
      </c>
      <c r="C908" s="7" t="n">
        <f aca="false">IF(AND(A908=0,c_TCREEP&gt;0),10*c_TCREEP,IF(AND(A908&lt;=c_TRNGMIN,A908&gt;=c_TRNGMAX,c_TRNGMIN-c_TRNGMAX&lt;&gt;0),-10*c_TMINRN+QUOTIENT((c_TMAXRN-c_TMINRN)*(100-QUOTIENT((A908-c_TRNGMAX)*100,c_TRNGMIN-c_TRNGMAX)),-10),0))</f>
        <v>0</v>
      </c>
      <c r="D908" s="7" t="n">
        <f aca="false">IF(((c_TMAP1IN)-(c_TFWD))=0,(0)+QUOTIENT(((c_TMAP1OUT)-(0)),2),QUOTIENT((((A908)-(c_TFWD))*((c_TMAP1OUT)-(0))+IF(((c_TMAP1OUT)-(0))&gt;=0,1,-1)*QUOTIENT(((c_TMAP1IN)-(c_TFWD)),2)),((c_TMAP1IN)-(c_TFWD)))+(0)+IF(((c_TMAP1OUT)-(0))&gt;=0,IF(IF(o_WRAP=1,MOD(((c_TMAP1IN)-(c_TFWD))*(((A908)-(c_TFWD))*((c_TMAP1OUT)-(0))+IF(((c_TMAP1OUT)-(0))&gt;=0,1,-1)*QUOTIENT(((c_TMAP1IN)-(c_TFWD)),2))+2147483648,4294967296)-2147483648,((c_TMAP1IN)-(c_TFWD))*(((A908)-(c_TFWD))*((c_TMAP1OUT)-(0))+IF(((c_TMAP1OUT)-(0))&gt;=0,1,-1)*QUOTIENT(((c_TMAP1IN)-(c_TFWD)),2)))&lt;0,-1,0),IF(IF(o_WRAP=1,MOD(((c_TMAP1IN)-(c_TFWD))*(((A908)-(c_TFWD))*((c_TMAP1OUT)-(0))+IF(((c_TMAP1OUT)-(0))&gt;=0,1,-1)*QUOTIENT(((c_TMAP1IN)-(c_TFWD)),2))+2147483648,4294967296)-2147483648,((c_TMAP1IN)-(c_TFWD))*(((A908)-(c_TFWD))*((c_TMAP1OUT)-(0))+IF(((c_TMAP1OUT)-(0))&gt;=0,1,-1)*QUOTIENT(((c_TMAP1IN)-(c_TFWD)),2)))&gt;=0,1,0)))</f>
        <v>695</v>
      </c>
      <c r="E908" s="7" t="n">
        <f aca="false">IF(((c_TMAP2IN)-(c_TMAP1IN))=0,(c_TMAP1OUT)+QUOTIENT(((c_TMAP2OUT)-(c_TMAP1OUT)),2),QUOTIENT((((A908)-(c_TMAP1IN))*((c_TMAP2OUT)-(c_TMAP1OUT))+IF(((c_TMAP2OUT)-(c_TMAP1OUT))&gt;=0,1,-1)*QUOTIENT(((c_TMAP2IN)-(c_TMAP1IN)),2)),((c_TMAP2IN)-(c_TMAP1IN)))+(c_TMAP1OUT)+IF(((c_TMAP2OUT)-(c_TMAP1OUT))&gt;=0,IF(IF(o_WRAP=1,MOD(((c_TMAP2IN)-(c_TMAP1IN))*(((A908)-(c_TMAP1IN))*((c_TMAP2OUT)-(c_TMAP1OUT))+IF(((c_TMAP2OUT)-(c_TMAP1OUT))&gt;=0,1,-1)*QUOTIENT(((c_TMAP2IN)-(c_TMAP1IN)),2))+2147483648,4294967296)-2147483648,((c_TMAP2IN)-(c_TMAP1IN))*(((A908)-(c_TMAP1IN))*((c_TMAP2OUT)-(c_TMAP1OUT))+IF(((c_TMAP2OUT)-(c_TMAP1OUT))&gt;=0,1,-1)*QUOTIENT(((c_TMAP2IN)-(c_TMAP1IN)),2)))&lt;0,-1,0),IF(IF(o_WRAP=1,MOD(((c_TMAP2IN)-(c_TMAP1IN))*(((A908)-(c_TMAP1IN))*((c_TMAP2OUT)-(c_TMAP1OUT))+IF(((c_TMAP2OUT)-(c_TMAP1OUT))&gt;=0,1,-1)*QUOTIENT(((c_TMAP2IN)-(c_TMAP1IN)),2))+2147483648,4294967296)-2147483648,((c_TMAP2IN)-(c_TMAP1IN))*(((A908)-(c_TMAP1IN))*((c_TMAP2OUT)-(c_TMAP1OUT))+IF(((c_TMAP2OUT)-(c_TMAP1OUT))&gt;=0,1,-1)*QUOTIENT(((c_TMAP2IN)-(c_TMAP1IN)),2)))&gt;=0,1,0)))</f>
        <v>391</v>
      </c>
      <c r="F908" s="7" t="n">
        <f aca="false">IF(((c_TMAP3IN)-(c_TMAP2IN))=0,(c_TMAP2OUT)+QUOTIENT(((c_TMAP3OUT)-(c_TMAP2OUT)),2),QUOTIENT((((A908)-(c_TMAP2IN))*((c_TMAP3OUT)-(c_TMAP2OUT))+IF(((c_TMAP3OUT)-(c_TMAP2OUT))&gt;=0,1,-1)*QUOTIENT(((c_TMAP3IN)-(c_TMAP2IN)),2)),((c_TMAP3IN)-(c_TMAP2IN)))+(c_TMAP2OUT)+IF(((c_TMAP3OUT)-(c_TMAP2OUT))&gt;=0,IF(IF(o_WRAP=1,MOD(((c_TMAP3IN)-(c_TMAP2IN))*(((A908)-(c_TMAP2IN))*((c_TMAP3OUT)-(c_TMAP2OUT))+IF(((c_TMAP3OUT)-(c_TMAP2OUT))&gt;=0,1,-1)*QUOTIENT(((c_TMAP3IN)-(c_TMAP2IN)),2))+2147483648,4294967296)-2147483648,((c_TMAP3IN)-(c_TMAP2IN))*(((A908)-(c_TMAP2IN))*((c_TMAP3OUT)-(c_TMAP2OUT))+IF(((c_TMAP3OUT)-(c_TMAP2OUT))&gt;=0,1,-1)*QUOTIENT(((c_TMAP3IN)-(c_TMAP2IN)),2)))&lt;0,-1,0),IF(IF(o_WRAP=1,MOD(((c_TMAP3IN)-(c_TMAP2IN))*(((A908)-(c_TMAP2IN))*((c_TMAP3OUT)-(c_TMAP2OUT))+IF(((c_TMAP3OUT)-(c_TMAP2OUT))&gt;=0,1,-1)*QUOTIENT(((c_TMAP3IN)-(c_TMAP2IN)),2))+2147483648,4294967296)-2147483648,((c_TMAP3IN)-(c_TMAP2IN))*(((A908)-(c_TMAP2IN))*((c_TMAP3OUT)-(c_TMAP2OUT))+IF(((c_TMAP3OUT)-(c_TMAP2OUT))&gt;=0,1,-1)*QUOTIENT(((c_TMAP3IN)-(c_TMAP2IN)),2)))&gt;=0,1,0)))</f>
        <v>587</v>
      </c>
      <c r="G908" s="7" t="n">
        <f aca="false">IF(((1000)-(c_TMAP3IN))=0,(c_TMAP3OUT)+QUOTIENT(((1000)-(c_TMAP3OUT)),2),QUOTIENT((((A908)-(c_TMAP3IN))*((1000)-(c_TMAP3OUT))+IF(((1000)-(c_TMAP3OUT))&gt;=0,1,-1)*QUOTIENT(((1000)-(c_TMAP3IN)),2)),((1000)-(c_TMAP3IN)))+(c_TMAP3OUT)+IF(((1000)-(c_TMAP3OUT))&gt;=0,IF(IF(o_WRAP=1,MOD(((1000)-(c_TMAP3IN))*(((A908)-(c_TMAP3IN))*((1000)-(c_TMAP3OUT))+IF(((1000)-(c_TMAP3OUT))&gt;=0,1,-1)*QUOTIENT(((1000)-(c_TMAP3IN)),2))+2147483648,4294967296)-2147483648,((1000)-(c_TMAP3IN))*(((A908)-(c_TMAP3IN))*((1000)-(c_TMAP3OUT))+IF(((1000)-(c_TMAP3OUT))&gt;=0,1,-1)*QUOTIENT(((1000)-(c_TMAP3IN)),2)))&lt;0,-1,0),IF(IF(o_WRAP=1,MOD(((1000)-(c_TMAP3IN))*(((A908)-(c_TMAP3IN))*((1000)-(c_TMAP3OUT))+IF(((1000)-(c_TMAP3OUT))&gt;=0,1,-1)*QUOTIENT(((1000)-(c_TMAP3IN)),2))+2147483648,4294967296)-2147483648,((1000)-(c_TMAP3IN))*(((A908)-(c_TMAP3IN))*((1000)-(c_TMAP3OUT))+IF(((1000)-(c_TMAP3OUT))&gt;=0,1,-1)*QUOTIENT(((1000)-(c_TMAP3IN)),2)))&gt;=0,1,0)))</f>
        <v>881</v>
      </c>
      <c r="H908" s="7" t="str">
        <f aca="false">IF(A908&gt;=c_TFWD,IF(AND(A908&gt;=c_TMAP3IN,c_TMAP3IN&lt;1000),"Seg4 map3-100%",IF(AND(A908&gt;=c_TMAP2IN,c_TMAP3IN&gt;c_TMAP2IN),"Seg3 map2-map3",IF(AND(A908&gt;=c_TMAP1IN,c_TMAP2IN&gt;c_TMAP1IN),"Seg2 map1-map2","Seg1 TFWD-map1"))),IF(AND(A908=0,c_TCREEP&gt;0),"Creep",IF(AND(A908&lt;=c_TRNGMIN,A908&gt;=c_TRNGMAX,c_TRNGMIN-c_TRNGMAX&lt;&gt;0),"Regen ramp","Coast (0)")))</f>
        <v>Seg4 map3-100%</v>
      </c>
      <c r="I908" s="7" t="n">
        <f aca="false">IF(A908&gt;=c_TFWD,IF(AND(A908&gt;=c_TMAP3IN,c_TMAP3IN&lt;1000),G908,IF(AND(A908&gt;=c_TMAP2IN,c_TMAP3IN&gt;c_TMAP2IN),F908,IF(AND(A908&gt;=c_TMAP1IN,c_TMAP2IN&gt;c_TMAP1IN),E908,D908))),C908)</f>
        <v>881</v>
      </c>
      <c r="J908" s="7" t="str">
        <f aca="false">IF(I908&lt;-1090,"TOO LOW",IF(I908&gt;1090,"TOO HIGH",""))</f>
        <v/>
      </c>
      <c r="K908" s="15" t="n">
        <f aca="false">IF(J908&lt;&gt;"",0,IF(I908&gt;979,1000,I908))</f>
        <v>881</v>
      </c>
      <c r="L908" s="7" t="n">
        <f aca="false">K908/10</f>
        <v>88.1</v>
      </c>
    </row>
    <row r="909" customFormat="false" ht="15" hidden="false" customHeight="false" outlineLevel="0" collapsed="false">
      <c r="A909" s="7" t="n">
        <v>904</v>
      </c>
      <c r="B909" s="7" t="n">
        <f aca="false">A909/10</f>
        <v>90.4</v>
      </c>
      <c r="C909" s="7" t="n">
        <f aca="false">IF(AND(A909=0,c_TCREEP&gt;0),10*c_TCREEP,IF(AND(A909&lt;=c_TRNGMIN,A909&gt;=c_TRNGMAX,c_TRNGMIN-c_TRNGMAX&lt;&gt;0),-10*c_TMINRN+QUOTIENT((c_TMAXRN-c_TMINRN)*(100-QUOTIENT((A909-c_TRNGMAX)*100,c_TRNGMIN-c_TRNGMAX)),-10),0))</f>
        <v>0</v>
      </c>
      <c r="D909" s="7" t="n">
        <f aca="false">IF(((c_TMAP1IN)-(c_TFWD))=0,(0)+QUOTIENT(((c_TMAP1OUT)-(0)),2),QUOTIENT((((A909)-(c_TFWD))*((c_TMAP1OUT)-(0))+IF(((c_TMAP1OUT)-(0))&gt;=0,1,-1)*QUOTIENT(((c_TMAP1IN)-(c_TFWD)),2)),((c_TMAP1IN)-(c_TFWD)))+(0)+IF(((c_TMAP1OUT)-(0))&gt;=0,IF(IF(o_WRAP=1,MOD(((c_TMAP1IN)-(c_TFWD))*(((A909)-(c_TFWD))*((c_TMAP1OUT)-(0))+IF(((c_TMAP1OUT)-(0))&gt;=0,1,-1)*QUOTIENT(((c_TMAP1IN)-(c_TFWD)),2))+2147483648,4294967296)-2147483648,((c_TMAP1IN)-(c_TFWD))*(((A909)-(c_TFWD))*((c_TMAP1OUT)-(0))+IF(((c_TMAP1OUT)-(0))&gt;=0,1,-1)*QUOTIENT(((c_TMAP1IN)-(c_TFWD)),2)))&lt;0,-1,0),IF(IF(o_WRAP=1,MOD(((c_TMAP1IN)-(c_TFWD))*(((A909)-(c_TFWD))*((c_TMAP1OUT)-(0))+IF(((c_TMAP1OUT)-(0))&gt;=0,1,-1)*QUOTIENT(((c_TMAP1IN)-(c_TFWD)),2))+2147483648,4294967296)-2147483648,((c_TMAP1IN)-(c_TFWD))*(((A909)-(c_TFWD))*((c_TMAP1OUT)-(0))+IF(((c_TMAP1OUT)-(0))&gt;=0,1,-1)*QUOTIENT(((c_TMAP1IN)-(c_TFWD)),2)))&gt;=0,1,0)))</f>
        <v>695</v>
      </c>
      <c r="E909" s="7" t="n">
        <f aca="false">IF(((c_TMAP2IN)-(c_TMAP1IN))=0,(c_TMAP1OUT)+QUOTIENT(((c_TMAP2OUT)-(c_TMAP1OUT)),2),QUOTIENT((((A909)-(c_TMAP1IN))*((c_TMAP2OUT)-(c_TMAP1OUT))+IF(((c_TMAP2OUT)-(c_TMAP1OUT))&gt;=0,1,-1)*QUOTIENT(((c_TMAP2IN)-(c_TMAP1IN)),2)),((c_TMAP2IN)-(c_TMAP1IN)))+(c_TMAP1OUT)+IF(((c_TMAP2OUT)-(c_TMAP1OUT))&gt;=0,IF(IF(o_WRAP=1,MOD(((c_TMAP2IN)-(c_TMAP1IN))*(((A909)-(c_TMAP1IN))*((c_TMAP2OUT)-(c_TMAP1OUT))+IF(((c_TMAP2OUT)-(c_TMAP1OUT))&gt;=0,1,-1)*QUOTIENT(((c_TMAP2IN)-(c_TMAP1IN)),2))+2147483648,4294967296)-2147483648,((c_TMAP2IN)-(c_TMAP1IN))*(((A909)-(c_TMAP1IN))*((c_TMAP2OUT)-(c_TMAP1OUT))+IF(((c_TMAP2OUT)-(c_TMAP1OUT))&gt;=0,1,-1)*QUOTIENT(((c_TMAP2IN)-(c_TMAP1IN)),2)))&lt;0,-1,0),IF(IF(o_WRAP=1,MOD(((c_TMAP2IN)-(c_TMAP1IN))*(((A909)-(c_TMAP1IN))*((c_TMAP2OUT)-(c_TMAP1OUT))+IF(((c_TMAP2OUT)-(c_TMAP1OUT))&gt;=0,1,-1)*QUOTIENT(((c_TMAP2IN)-(c_TMAP1IN)),2))+2147483648,4294967296)-2147483648,((c_TMAP2IN)-(c_TMAP1IN))*(((A909)-(c_TMAP1IN))*((c_TMAP2OUT)-(c_TMAP1OUT))+IF(((c_TMAP2OUT)-(c_TMAP1OUT))&gt;=0,1,-1)*QUOTIENT(((c_TMAP2IN)-(c_TMAP1IN)),2)))&gt;=0,1,0)))</f>
        <v>392</v>
      </c>
      <c r="F909" s="7" t="n">
        <f aca="false">IF(((c_TMAP3IN)-(c_TMAP2IN))=0,(c_TMAP2OUT)+QUOTIENT(((c_TMAP3OUT)-(c_TMAP2OUT)),2),QUOTIENT((((A909)-(c_TMAP2IN))*((c_TMAP3OUT)-(c_TMAP2OUT))+IF(((c_TMAP3OUT)-(c_TMAP2OUT))&gt;=0,1,-1)*QUOTIENT(((c_TMAP3IN)-(c_TMAP2IN)),2)),((c_TMAP3IN)-(c_TMAP2IN)))+(c_TMAP2OUT)+IF(((c_TMAP3OUT)-(c_TMAP2OUT))&gt;=0,IF(IF(o_WRAP=1,MOD(((c_TMAP3IN)-(c_TMAP2IN))*(((A909)-(c_TMAP2IN))*((c_TMAP3OUT)-(c_TMAP2OUT))+IF(((c_TMAP3OUT)-(c_TMAP2OUT))&gt;=0,1,-1)*QUOTIENT(((c_TMAP3IN)-(c_TMAP2IN)),2))+2147483648,4294967296)-2147483648,((c_TMAP3IN)-(c_TMAP2IN))*(((A909)-(c_TMAP2IN))*((c_TMAP3OUT)-(c_TMAP2OUT))+IF(((c_TMAP3OUT)-(c_TMAP2OUT))&gt;=0,1,-1)*QUOTIENT(((c_TMAP3IN)-(c_TMAP2IN)),2)))&lt;0,-1,0),IF(IF(o_WRAP=1,MOD(((c_TMAP3IN)-(c_TMAP2IN))*(((A909)-(c_TMAP2IN))*((c_TMAP3OUT)-(c_TMAP2OUT))+IF(((c_TMAP3OUT)-(c_TMAP2OUT))&gt;=0,1,-1)*QUOTIENT(((c_TMAP3IN)-(c_TMAP2IN)),2))+2147483648,4294967296)-2147483648,((c_TMAP3IN)-(c_TMAP2IN))*(((A909)-(c_TMAP2IN))*((c_TMAP3OUT)-(c_TMAP2OUT))+IF(((c_TMAP3OUT)-(c_TMAP2OUT))&gt;=0,1,-1)*QUOTIENT(((c_TMAP3IN)-(c_TMAP2IN)),2)))&gt;=0,1,0)))</f>
        <v>588</v>
      </c>
      <c r="G909" s="7" t="n">
        <f aca="false">IF(((1000)-(c_TMAP3IN))=0,(c_TMAP3OUT)+QUOTIENT(((1000)-(c_TMAP3OUT)),2),QUOTIENT((((A909)-(c_TMAP3IN))*((1000)-(c_TMAP3OUT))+IF(((1000)-(c_TMAP3OUT))&gt;=0,1,-1)*QUOTIENT(((1000)-(c_TMAP3IN)),2)),((1000)-(c_TMAP3IN)))+(c_TMAP3OUT)+IF(((1000)-(c_TMAP3OUT))&gt;=0,IF(IF(o_WRAP=1,MOD(((1000)-(c_TMAP3IN))*(((A909)-(c_TMAP3IN))*((1000)-(c_TMAP3OUT))+IF(((1000)-(c_TMAP3OUT))&gt;=0,1,-1)*QUOTIENT(((1000)-(c_TMAP3IN)),2))+2147483648,4294967296)-2147483648,((1000)-(c_TMAP3IN))*(((A909)-(c_TMAP3IN))*((1000)-(c_TMAP3OUT))+IF(((1000)-(c_TMAP3OUT))&gt;=0,1,-1)*QUOTIENT(((1000)-(c_TMAP3IN)),2)))&lt;0,-1,0),IF(IF(o_WRAP=1,MOD(((1000)-(c_TMAP3IN))*(((A909)-(c_TMAP3IN))*((1000)-(c_TMAP3OUT))+IF(((1000)-(c_TMAP3OUT))&gt;=0,1,-1)*QUOTIENT(((1000)-(c_TMAP3IN)),2))+2147483648,4294967296)-2147483648,((1000)-(c_TMAP3IN))*(((A909)-(c_TMAP3IN))*((1000)-(c_TMAP3OUT))+IF(((1000)-(c_TMAP3OUT))&gt;=0,1,-1)*QUOTIENT(((1000)-(c_TMAP3IN)),2)))&gt;=0,1,0)))</f>
        <v>882</v>
      </c>
      <c r="H909" s="7" t="str">
        <f aca="false">IF(A909&gt;=c_TFWD,IF(AND(A909&gt;=c_TMAP3IN,c_TMAP3IN&lt;1000),"Seg4 map3-100%",IF(AND(A909&gt;=c_TMAP2IN,c_TMAP3IN&gt;c_TMAP2IN),"Seg3 map2-map3",IF(AND(A909&gt;=c_TMAP1IN,c_TMAP2IN&gt;c_TMAP1IN),"Seg2 map1-map2","Seg1 TFWD-map1"))),IF(AND(A909=0,c_TCREEP&gt;0),"Creep",IF(AND(A909&lt;=c_TRNGMIN,A909&gt;=c_TRNGMAX,c_TRNGMIN-c_TRNGMAX&lt;&gt;0),"Regen ramp","Coast (0)")))</f>
        <v>Seg4 map3-100%</v>
      </c>
      <c r="I909" s="7" t="n">
        <f aca="false">IF(A909&gt;=c_TFWD,IF(AND(A909&gt;=c_TMAP3IN,c_TMAP3IN&lt;1000),G909,IF(AND(A909&gt;=c_TMAP2IN,c_TMAP3IN&gt;c_TMAP2IN),F909,IF(AND(A909&gt;=c_TMAP1IN,c_TMAP2IN&gt;c_TMAP1IN),E909,D909))),C909)</f>
        <v>882</v>
      </c>
      <c r="J909" s="7" t="str">
        <f aca="false">IF(I909&lt;-1090,"TOO LOW",IF(I909&gt;1090,"TOO HIGH",""))</f>
        <v/>
      </c>
      <c r="K909" s="15" t="n">
        <f aca="false">IF(J909&lt;&gt;"",0,IF(I909&gt;979,1000,I909))</f>
        <v>882</v>
      </c>
      <c r="L909" s="7" t="n">
        <f aca="false">K909/10</f>
        <v>88.2</v>
      </c>
    </row>
    <row r="910" customFormat="false" ht="15" hidden="false" customHeight="false" outlineLevel="0" collapsed="false">
      <c r="A910" s="7" t="n">
        <v>905</v>
      </c>
      <c r="B910" s="7" t="n">
        <f aca="false">A910/10</f>
        <v>90.5</v>
      </c>
      <c r="C910" s="7" t="n">
        <f aca="false">IF(AND(A910=0,c_TCREEP&gt;0),10*c_TCREEP,IF(AND(A910&lt;=c_TRNGMIN,A910&gt;=c_TRNGMAX,c_TRNGMIN-c_TRNGMAX&lt;&gt;0),-10*c_TMINRN+QUOTIENT((c_TMAXRN-c_TMINRN)*(100-QUOTIENT((A910-c_TRNGMAX)*100,c_TRNGMIN-c_TRNGMAX)),-10),0))</f>
        <v>0</v>
      </c>
      <c r="D910" s="7" t="n">
        <f aca="false">IF(((c_TMAP1IN)-(c_TFWD))=0,(0)+QUOTIENT(((c_TMAP1OUT)-(0)),2),QUOTIENT((((A910)-(c_TFWD))*((c_TMAP1OUT)-(0))+IF(((c_TMAP1OUT)-(0))&gt;=0,1,-1)*QUOTIENT(((c_TMAP1IN)-(c_TFWD)),2)),((c_TMAP1IN)-(c_TFWD)))+(0)+IF(((c_TMAP1OUT)-(0))&gt;=0,IF(IF(o_WRAP=1,MOD(((c_TMAP1IN)-(c_TFWD))*(((A910)-(c_TFWD))*((c_TMAP1OUT)-(0))+IF(((c_TMAP1OUT)-(0))&gt;=0,1,-1)*QUOTIENT(((c_TMAP1IN)-(c_TFWD)),2))+2147483648,4294967296)-2147483648,((c_TMAP1IN)-(c_TFWD))*(((A910)-(c_TFWD))*((c_TMAP1OUT)-(0))+IF(((c_TMAP1OUT)-(0))&gt;=0,1,-1)*QUOTIENT(((c_TMAP1IN)-(c_TFWD)),2)))&lt;0,-1,0),IF(IF(o_WRAP=1,MOD(((c_TMAP1IN)-(c_TFWD))*(((A910)-(c_TFWD))*((c_TMAP1OUT)-(0))+IF(((c_TMAP1OUT)-(0))&gt;=0,1,-1)*QUOTIENT(((c_TMAP1IN)-(c_TFWD)),2))+2147483648,4294967296)-2147483648,((c_TMAP1IN)-(c_TFWD))*(((A910)-(c_TFWD))*((c_TMAP1OUT)-(0))+IF(((c_TMAP1OUT)-(0))&gt;=0,1,-1)*QUOTIENT(((c_TMAP1IN)-(c_TFWD)),2)))&gt;=0,1,0)))</f>
        <v>696</v>
      </c>
      <c r="E910" s="7" t="n">
        <f aca="false">IF(((c_TMAP2IN)-(c_TMAP1IN))=0,(c_TMAP1OUT)+QUOTIENT(((c_TMAP2OUT)-(c_TMAP1OUT)),2),QUOTIENT((((A910)-(c_TMAP1IN))*((c_TMAP2OUT)-(c_TMAP1OUT))+IF(((c_TMAP2OUT)-(c_TMAP1OUT))&gt;=0,1,-1)*QUOTIENT(((c_TMAP2IN)-(c_TMAP1IN)),2)),((c_TMAP2IN)-(c_TMAP1IN)))+(c_TMAP1OUT)+IF(((c_TMAP2OUT)-(c_TMAP1OUT))&gt;=0,IF(IF(o_WRAP=1,MOD(((c_TMAP2IN)-(c_TMAP1IN))*(((A910)-(c_TMAP1IN))*((c_TMAP2OUT)-(c_TMAP1OUT))+IF(((c_TMAP2OUT)-(c_TMAP1OUT))&gt;=0,1,-1)*QUOTIENT(((c_TMAP2IN)-(c_TMAP1IN)),2))+2147483648,4294967296)-2147483648,((c_TMAP2IN)-(c_TMAP1IN))*(((A910)-(c_TMAP1IN))*((c_TMAP2OUT)-(c_TMAP1OUT))+IF(((c_TMAP2OUT)-(c_TMAP1OUT))&gt;=0,1,-1)*QUOTIENT(((c_TMAP2IN)-(c_TMAP1IN)),2)))&lt;0,-1,0),IF(IF(o_WRAP=1,MOD(((c_TMAP2IN)-(c_TMAP1IN))*(((A910)-(c_TMAP1IN))*((c_TMAP2OUT)-(c_TMAP1OUT))+IF(((c_TMAP2OUT)-(c_TMAP1OUT))&gt;=0,1,-1)*QUOTIENT(((c_TMAP2IN)-(c_TMAP1IN)),2))+2147483648,4294967296)-2147483648,((c_TMAP2IN)-(c_TMAP1IN))*(((A910)-(c_TMAP1IN))*((c_TMAP2OUT)-(c_TMAP1OUT))+IF(((c_TMAP2OUT)-(c_TMAP1OUT))&gt;=0,1,-1)*QUOTIENT(((c_TMAP2IN)-(c_TMAP1IN)),2)))&gt;=0,1,0)))</f>
        <v>392</v>
      </c>
      <c r="F910" s="7" t="n">
        <f aca="false">IF(((c_TMAP3IN)-(c_TMAP2IN))=0,(c_TMAP2OUT)+QUOTIENT(((c_TMAP3OUT)-(c_TMAP2OUT)),2),QUOTIENT((((A910)-(c_TMAP2IN))*((c_TMAP3OUT)-(c_TMAP2OUT))+IF(((c_TMAP3OUT)-(c_TMAP2OUT))&gt;=0,1,-1)*QUOTIENT(((c_TMAP3IN)-(c_TMAP2IN)),2)),((c_TMAP3IN)-(c_TMAP2IN)))+(c_TMAP2OUT)+IF(((c_TMAP3OUT)-(c_TMAP2OUT))&gt;=0,IF(IF(o_WRAP=1,MOD(((c_TMAP3IN)-(c_TMAP2IN))*(((A910)-(c_TMAP2IN))*((c_TMAP3OUT)-(c_TMAP2OUT))+IF(((c_TMAP3OUT)-(c_TMAP2OUT))&gt;=0,1,-1)*QUOTIENT(((c_TMAP3IN)-(c_TMAP2IN)),2))+2147483648,4294967296)-2147483648,((c_TMAP3IN)-(c_TMAP2IN))*(((A910)-(c_TMAP2IN))*((c_TMAP3OUT)-(c_TMAP2OUT))+IF(((c_TMAP3OUT)-(c_TMAP2OUT))&gt;=0,1,-1)*QUOTIENT(((c_TMAP3IN)-(c_TMAP2IN)),2)))&lt;0,-1,0),IF(IF(o_WRAP=1,MOD(((c_TMAP3IN)-(c_TMAP2IN))*(((A910)-(c_TMAP2IN))*((c_TMAP3OUT)-(c_TMAP2OUT))+IF(((c_TMAP3OUT)-(c_TMAP2OUT))&gt;=0,1,-1)*QUOTIENT(((c_TMAP3IN)-(c_TMAP2IN)),2))+2147483648,4294967296)-2147483648,((c_TMAP3IN)-(c_TMAP2IN))*(((A910)-(c_TMAP2IN))*((c_TMAP3OUT)-(c_TMAP2OUT))+IF(((c_TMAP3OUT)-(c_TMAP2OUT))&gt;=0,1,-1)*QUOTIENT(((c_TMAP3IN)-(c_TMAP2IN)),2)))&gt;=0,1,0)))</f>
        <v>589</v>
      </c>
      <c r="G910" s="7" t="n">
        <f aca="false">IF(((1000)-(c_TMAP3IN))=0,(c_TMAP3OUT)+QUOTIENT(((1000)-(c_TMAP3OUT)),2),QUOTIENT((((A910)-(c_TMAP3IN))*((1000)-(c_TMAP3OUT))+IF(((1000)-(c_TMAP3OUT))&gt;=0,1,-1)*QUOTIENT(((1000)-(c_TMAP3IN)),2)),((1000)-(c_TMAP3IN)))+(c_TMAP3OUT)+IF(((1000)-(c_TMAP3OUT))&gt;=0,IF(IF(o_WRAP=1,MOD(((1000)-(c_TMAP3IN))*(((A910)-(c_TMAP3IN))*((1000)-(c_TMAP3OUT))+IF(((1000)-(c_TMAP3OUT))&gt;=0,1,-1)*QUOTIENT(((1000)-(c_TMAP3IN)),2))+2147483648,4294967296)-2147483648,((1000)-(c_TMAP3IN))*(((A910)-(c_TMAP3IN))*((1000)-(c_TMAP3OUT))+IF(((1000)-(c_TMAP3OUT))&gt;=0,1,-1)*QUOTIENT(((1000)-(c_TMAP3IN)),2)))&lt;0,-1,0),IF(IF(o_WRAP=1,MOD(((1000)-(c_TMAP3IN))*(((A910)-(c_TMAP3IN))*((1000)-(c_TMAP3OUT))+IF(((1000)-(c_TMAP3OUT))&gt;=0,1,-1)*QUOTIENT(((1000)-(c_TMAP3IN)),2))+2147483648,4294967296)-2147483648,((1000)-(c_TMAP3IN))*(((A910)-(c_TMAP3IN))*((1000)-(c_TMAP3OUT))+IF(((1000)-(c_TMAP3OUT))&gt;=0,1,-1)*QUOTIENT(((1000)-(c_TMAP3IN)),2)))&gt;=0,1,0)))</f>
        <v>883</v>
      </c>
      <c r="H910" s="7" t="str">
        <f aca="false">IF(A910&gt;=c_TFWD,IF(AND(A910&gt;=c_TMAP3IN,c_TMAP3IN&lt;1000),"Seg4 map3-100%",IF(AND(A910&gt;=c_TMAP2IN,c_TMAP3IN&gt;c_TMAP2IN),"Seg3 map2-map3",IF(AND(A910&gt;=c_TMAP1IN,c_TMAP2IN&gt;c_TMAP1IN),"Seg2 map1-map2","Seg1 TFWD-map1"))),IF(AND(A910=0,c_TCREEP&gt;0),"Creep",IF(AND(A910&lt;=c_TRNGMIN,A910&gt;=c_TRNGMAX,c_TRNGMIN-c_TRNGMAX&lt;&gt;0),"Regen ramp","Coast (0)")))</f>
        <v>Seg4 map3-100%</v>
      </c>
      <c r="I910" s="7" t="n">
        <f aca="false">IF(A910&gt;=c_TFWD,IF(AND(A910&gt;=c_TMAP3IN,c_TMAP3IN&lt;1000),G910,IF(AND(A910&gt;=c_TMAP2IN,c_TMAP3IN&gt;c_TMAP2IN),F910,IF(AND(A910&gt;=c_TMAP1IN,c_TMAP2IN&gt;c_TMAP1IN),E910,D910))),C910)</f>
        <v>883</v>
      </c>
      <c r="J910" s="7" t="str">
        <f aca="false">IF(I910&lt;-1090,"TOO LOW",IF(I910&gt;1090,"TOO HIGH",""))</f>
        <v/>
      </c>
      <c r="K910" s="15" t="n">
        <f aca="false">IF(J910&lt;&gt;"",0,IF(I910&gt;979,1000,I910))</f>
        <v>883</v>
      </c>
      <c r="L910" s="7" t="n">
        <f aca="false">K910/10</f>
        <v>88.3</v>
      </c>
    </row>
    <row r="911" customFormat="false" ht="15" hidden="false" customHeight="false" outlineLevel="0" collapsed="false">
      <c r="A911" s="7" t="n">
        <v>906</v>
      </c>
      <c r="B911" s="7" t="n">
        <f aca="false">A911/10</f>
        <v>90.6</v>
      </c>
      <c r="C911" s="7" t="n">
        <f aca="false">IF(AND(A911=0,c_TCREEP&gt;0),10*c_TCREEP,IF(AND(A911&lt;=c_TRNGMIN,A911&gt;=c_TRNGMAX,c_TRNGMIN-c_TRNGMAX&lt;&gt;0),-10*c_TMINRN+QUOTIENT((c_TMAXRN-c_TMINRN)*(100-QUOTIENT((A911-c_TRNGMAX)*100,c_TRNGMIN-c_TRNGMAX)),-10),0))</f>
        <v>0</v>
      </c>
      <c r="D911" s="7" t="n">
        <f aca="false">IF(((c_TMAP1IN)-(c_TFWD))=0,(0)+QUOTIENT(((c_TMAP1OUT)-(0)),2),QUOTIENT((((A911)-(c_TFWD))*((c_TMAP1OUT)-(0))+IF(((c_TMAP1OUT)-(0))&gt;=0,1,-1)*QUOTIENT(((c_TMAP1IN)-(c_TFWD)),2)),((c_TMAP1IN)-(c_TFWD)))+(0)+IF(((c_TMAP1OUT)-(0))&gt;=0,IF(IF(o_WRAP=1,MOD(((c_TMAP1IN)-(c_TFWD))*(((A911)-(c_TFWD))*((c_TMAP1OUT)-(0))+IF(((c_TMAP1OUT)-(0))&gt;=0,1,-1)*QUOTIENT(((c_TMAP1IN)-(c_TFWD)),2))+2147483648,4294967296)-2147483648,((c_TMAP1IN)-(c_TFWD))*(((A911)-(c_TFWD))*((c_TMAP1OUT)-(0))+IF(((c_TMAP1OUT)-(0))&gt;=0,1,-1)*QUOTIENT(((c_TMAP1IN)-(c_TFWD)),2)))&lt;0,-1,0),IF(IF(o_WRAP=1,MOD(((c_TMAP1IN)-(c_TFWD))*(((A911)-(c_TFWD))*((c_TMAP1OUT)-(0))+IF(((c_TMAP1OUT)-(0))&gt;=0,1,-1)*QUOTIENT(((c_TMAP1IN)-(c_TFWD)),2))+2147483648,4294967296)-2147483648,((c_TMAP1IN)-(c_TFWD))*(((A911)-(c_TFWD))*((c_TMAP1OUT)-(0))+IF(((c_TMAP1OUT)-(0))&gt;=0,1,-1)*QUOTIENT(((c_TMAP1IN)-(c_TFWD)),2)))&gt;=0,1,0)))</f>
        <v>697</v>
      </c>
      <c r="E911" s="7" t="n">
        <f aca="false">IF(((c_TMAP2IN)-(c_TMAP1IN))=0,(c_TMAP1OUT)+QUOTIENT(((c_TMAP2OUT)-(c_TMAP1OUT)),2),QUOTIENT((((A911)-(c_TMAP1IN))*((c_TMAP2OUT)-(c_TMAP1OUT))+IF(((c_TMAP2OUT)-(c_TMAP1OUT))&gt;=0,1,-1)*QUOTIENT(((c_TMAP2IN)-(c_TMAP1IN)),2)),((c_TMAP2IN)-(c_TMAP1IN)))+(c_TMAP1OUT)+IF(((c_TMAP2OUT)-(c_TMAP1OUT))&gt;=0,IF(IF(o_WRAP=1,MOD(((c_TMAP2IN)-(c_TMAP1IN))*(((A911)-(c_TMAP1IN))*((c_TMAP2OUT)-(c_TMAP1OUT))+IF(((c_TMAP2OUT)-(c_TMAP1OUT))&gt;=0,1,-1)*QUOTIENT(((c_TMAP2IN)-(c_TMAP1IN)),2))+2147483648,4294967296)-2147483648,((c_TMAP2IN)-(c_TMAP1IN))*(((A911)-(c_TMAP1IN))*((c_TMAP2OUT)-(c_TMAP1OUT))+IF(((c_TMAP2OUT)-(c_TMAP1OUT))&gt;=0,1,-1)*QUOTIENT(((c_TMAP2IN)-(c_TMAP1IN)),2)))&lt;0,-1,0),IF(IF(o_WRAP=1,MOD(((c_TMAP2IN)-(c_TMAP1IN))*(((A911)-(c_TMAP1IN))*((c_TMAP2OUT)-(c_TMAP1OUT))+IF(((c_TMAP2OUT)-(c_TMAP1OUT))&gt;=0,1,-1)*QUOTIENT(((c_TMAP2IN)-(c_TMAP1IN)),2))+2147483648,4294967296)-2147483648,((c_TMAP2IN)-(c_TMAP1IN))*(((A911)-(c_TMAP1IN))*((c_TMAP2OUT)-(c_TMAP1OUT))+IF(((c_TMAP2OUT)-(c_TMAP1OUT))&gt;=0,1,-1)*QUOTIENT(((c_TMAP2IN)-(c_TMAP1IN)),2)))&gt;=0,1,0)))</f>
        <v>392</v>
      </c>
      <c r="F911" s="7" t="n">
        <f aca="false">IF(((c_TMAP3IN)-(c_TMAP2IN))=0,(c_TMAP2OUT)+QUOTIENT(((c_TMAP3OUT)-(c_TMAP2OUT)),2),QUOTIENT((((A911)-(c_TMAP2IN))*((c_TMAP3OUT)-(c_TMAP2OUT))+IF(((c_TMAP3OUT)-(c_TMAP2OUT))&gt;=0,1,-1)*QUOTIENT(((c_TMAP3IN)-(c_TMAP2IN)),2)),((c_TMAP3IN)-(c_TMAP2IN)))+(c_TMAP2OUT)+IF(((c_TMAP3OUT)-(c_TMAP2OUT))&gt;=0,IF(IF(o_WRAP=1,MOD(((c_TMAP3IN)-(c_TMAP2IN))*(((A911)-(c_TMAP2IN))*((c_TMAP3OUT)-(c_TMAP2OUT))+IF(((c_TMAP3OUT)-(c_TMAP2OUT))&gt;=0,1,-1)*QUOTIENT(((c_TMAP3IN)-(c_TMAP2IN)),2))+2147483648,4294967296)-2147483648,((c_TMAP3IN)-(c_TMAP2IN))*(((A911)-(c_TMAP2IN))*((c_TMAP3OUT)-(c_TMAP2OUT))+IF(((c_TMAP3OUT)-(c_TMAP2OUT))&gt;=0,1,-1)*QUOTIENT(((c_TMAP3IN)-(c_TMAP2IN)),2)))&lt;0,-1,0),IF(IF(o_WRAP=1,MOD(((c_TMAP3IN)-(c_TMAP2IN))*(((A911)-(c_TMAP2IN))*((c_TMAP3OUT)-(c_TMAP2OUT))+IF(((c_TMAP3OUT)-(c_TMAP2OUT))&gt;=0,1,-1)*QUOTIENT(((c_TMAP3IN)-(c_TMAP2IN)),2))+2147483648,4294967296)-2147483648,((c_TMAP3IN)-(c_TMAP2IN))*(((A911)-(c_TMAP2IN))*((c_TMAP3OUT)-(c_TMAP2OUT))+IF(((c_TMAP3OUT)-(c_TMAP2OUT))&gt;=0,1,-1)*QUOTIENT(((c_TMAP3IN)-(c_TMAP2IN)),2)))&gt;=0,1,0)))</f>
        <v>589</v>
      </c>
      <c r="G911" s="7" t="n">
        <f aca="false">IF(((1000)-(c_TMAP3IN))=0,(c_TMAP3OUT)+QUOTIENT(((1000)-(c_TMAP3OUT)),2),QUOTIENT((((A911)-(c_TMAP3IN))*((1000)-(c_TMAP3OUT))+IF(((1000)-(c_TMAP3OUT))&gt;=0,1,-1)*QUOTIENT(((1000)-(c_TMAP3IN)),2)),((1000)-(c_TMAP3IN)))+(c_TMAP3OUT)+IF(((1000)-(c_TMAP3OUT))&gt;=0,IF(IF(o_WRAP=1,MOD(((1000)-(c_TMAP3IN))*(((A911)-(c_TMAP3IN))*((1000)-(c_TMAP3OUT))+IF(((1000)-(c_TMAP3OUT))&gt;=0,1,-1)*QUOTIENT(((1000)-(c_TMAP3IN)),2))+2147483648,4294967296)-2147483648,((1000)-(c_TMAP3IN))*(((A911)-(c_TMAP3IN))*((1000)-(c_TMAP3OUT))+IF(((1000)-(c_TMAP3OUT))&gt;=0,1,-1)*QUOTIENT(((1000)-(c_TMAP3IN)),2)))&lt;0,-1,0),IF(IF(o_WRAP=1,MOD(((1000)-(c_TMAP3IN))*(((A911)-(c_TMAP3IN))*((1000)-(c_TMAP3OUT))+IF(((1000)-(c_TMAP3OUT))&gt;=0,1,-1)*QUOTIENT(((1000)-(c_TMAP3IN)),2))+2147483648,4294967296)-2147483648,((1000)-(c_TMAP3IN))*(((A911)-(c_TMAP3IN))*((1000)-(c_TMAP3OUT))+IF(((1000)-(c_TMAP3OUT))&gt;=0,1,-1)*QUOTIENT(((1000)-(c_TMAP3IN)),2)))&gt;=0,1,0)))</f>
        <v>884</v>
      </c>
      <c r="H911" s="7" t="str">
        <f aca="false">IF(A911&gt;=c_TFWD,IF(AND(A911&gt;=c_TMAP3IN,c_TMAP3IN&lt;1000),"Seg4 map3-100%",IF(AND(A911&gt;=c_TMAP2IN,c_TMAP3IN&gt;c_TMAP2IN),"Seg3 map2-map3",IF(AND(A911&gt;=c_TMAP1IN,c_TMAP2IN&gt;c_TMAP1IN),"Seg2 map1-map2","Seg1 TFWD-map1"))),IF(AND(A911=0,c_TCREEP&gt;0),"Creep",IF(AND(A911&lt;=c_TRNGMIN,A911&gt;=c_TRNGMAX,c_TRNGMIN-c_TRNGMAX&lt;&gt;0),"Regen ramp","Coast (0)")))</f>
        <v>Seg4 map3-100%</v>
      </c>
      <c r="I911" s="7" t="n">
        <f aca="false">IF(A911&gt;=c_TFWD,IF(AND(A911&gt;=c_TMAP3IN,c_TMAP3IN&lt;1000),G911,IF(AND(A911&gt;=c_TMAP2IN,c_TMAP3IN&gt;c_TMAP2IN),F911,IF(AND(A911&gt;=c_TMAP1IN,c_TMAP2IN&gt;c_TMAP1IN),E911,D911))),C911)</f>
        <v>884</v>
      </c>
      <c r="J911" s="7" t="str">
        <f aca="false">IF(I911&lt;-1090,"TOO LOW",IF(I911&gt;1090,"TOO HIGH",""))</f>
        <v/>
      </c>
      <c r="K911" s="15" t="n">
        <f aca="false">IF(J911&lt;&gt;"",0,IF(I911&gt;979,1000,I911))</f>
        <v>884</v>
      </c>
      <c r="L911" s="7" t="n">
        <f aca="false">K911/10</f>
        <v>88.4</v>
      </c>
    </row>
    <row r="912" customFormat="false" ht="15" hidden="false" customHeight="false" outlineLevel="0" collapsed="false">
      <c r="A912" s="7" t="n">
        <v>907</v>
      </c>
      <c r="B912" s="7" t="n">
        <f aca="false">A912/10</f>
        <v>90.7</v>
      </c>
      <c r="C912" s="7" t="n">
        <f aca="false">IF(AND(A912=0,c_TCREEP&gt;0),10*c_TCREEP,IF(AND(A912&lt;=c_TRNGMIN,A912&gt;=c_TRNGMAX,c_TRNGMIN-c_TRNGMAX&lt;&gt;0),-10*c_TMINRN+QUOTIENT((c_TMAXRN-c_TMINRN)*(100-QUOTIENT((A912-c_TRNGMAX)*100,c_TRNGMIN-c_TRNGMAX)),-10),0))</f>
        <v>0</v>
      </c>
      <c r="D912" s="7" t="n">
        <f aca="false">IF(((c_TMAP1IN)-(c_TFWD))=0,(0)+QUOTIENT(((c_TMAP1OUT)-(0)),2),QUOTIENT((((A912)-(c_TFWD))*((c_TMAP1OUT)-(0))+IF(((c_TMAP1OUT)-(0))&gt;=0,1,-1)*QUOTIENT(((c_TMAP1IN)-(c_TFWD)),2)),((c_TMAP1IN)-(c_TFWD)))+(0)+IF(((c_TMAP1OUT)-(0))&gt;=0,IF(IF(o_WRAP=1,MOD(((c_TMAP1IN)-(c_TFWD))*(((A912)-(c_TFWD))*((c_TMAP1OUT)-(0))+IF(((c_TMAP1OUT)-(0))&gt;=0,1,-1)*QUOTIENT(((c_TMAP1IN)-(c_TFWD)),2))+2147483648,4294967296)-2147483648,((c_TMAP1IN)-(c_TFWD))*(((A912)-(c_TFWD))*((c_TMAP1OUT)-(0))+IF(((c_TMAP1OUT)-(0))&gt;=0,1,-1)*QUOTIENT(((c_TMAP1IN)-(c_TFWD)),2)))&lt;0,-1,0),IF(IF(o_WRAP=1,MOD(((c_TMAP1IN)-(c_TFWD))*(((A912)-(c_TFWD))*((c_TMAP1OUT)-(0))+IF(((c_TMAP1OUT)-(0))&gt;=0,1,-1)*QUOTIENT(((c_TMAP1IN)-(c_TFWD)),2))+2147483648,4294967296)-2147483648,((c_TMAP1IN)-(c_TFWD))*(((A912)-(c_TFWD))*((c_TMAP1OUT)-(0))+IF(((c_TMAP1OUT)-(0))&gt;=0,1,-1)*QUOTIENT(((c_TMAP1IN)-(c_TFWD)),2)))&gt;=0,1,0)))</f>
        <v>698</v>
      </c>
      <c r="E912" s="7" t="n">
        <f aca="false">IF(((c_TMAP2IN)-(c_TMAP1IN))=0,(c_TMAP1OUT)+QUOTIENT(((c_TMAP2OUT)-(c_TMAP1OUT)),2),QUOTIENT((((A912)-(c_TMAP1IN))*((c_TMAP2OUT)-(c_TMAP1OUT))+IF(((c_TMAP2OUT)-(c_TMAP1OUT))&gt;=0,1,-1)*QUOTIENT(((c_TMAP2IN)-(c_TMAP1IN)),2)),((c_TMAP2IN)-(c_TMAP1IN)))+(c_TMAP1OUT)+IF(((c_TMAP2OUT)-(c_TMAP1OUT))&gt;=0,IF(IF(o_WRAP=1,MOD(((c_TMAP2IN)-(c_TMAP1IN))*(((A912)-(c_TMAP1IN))*((c_TMAP2OUT)-(c_TMAP1OUT))+IF(((c_TMAP2OUT)-(c_TMAP1OUT))&gt;=0,1,-1)*QUOTIENT(((c_TMAP2IN)-(c_TMAP1IN)),2))+2147483648,4294967296)-2147483648,((c_TMAP2IN)-(c_TMAP1IN))*(((A912)-(c_TMAP1IN))*((c_TMAP2OUT)-(c_TMAP1OUT))+IF(((c_TMAP2OUT)-(c_TMAP1OUT))&gt;=0,1,-1)*QUOTIENT(((c_TMAP2IN)-(c_TMAP1IN)),2)))&lt;0,-1,0),IF(IF(o_WRAP=1,MOD(((c_TMAP2IN)-(c_TMAP1IN))*(((A912)-(c_TMAP1IN))*((c_TMAP2OUT)-(c_TMAP1OUT))+IF(((c_TMAP2OUT)-(c_TMAP1OUT))&gt;=0,1,-1)*QUOTIENT(((c_TMAP2IN)-(c_TMAP1IN)),2))+2147483648,4294967296)-2147483648,((c_TMAP2IN)-(c_TMAP1IN))*(((A912)-(c_TMAP1IN))*((c_TMAP2OUT)-(c_TMAP1OUT))+IF(((c_TMAP2OUT)-(c_TMAP1OUT))&gt;=0,1,-1)*QUOTIENT(((c_TMAP2IN)-(c_TMAP1IN)),2)))&gt;=0,1,0)))</f>
        <v>393</v>
      </c>
      <c r="F912" s="7" t="n">
        <f aca="false">IF(((c_TMAP3IN)-(c_TMAP2IN))=0,(c_TMAP2OUT)+QUOTIENT(((c_TMAP3OUT)-(c_TMAP2OUT)),2),QUOTIENT((((A912)-(c_TMAP2IN))*((c_TMAP3OUT)-(c_TMAP2OUT))+IF(((c_TMAP3OUT)-(c_TMAP2OUT))&gt;=0,1,-1)*QUOTIENT(((c_TMAP3IN)-(c_TMAP2IN)),2)),((c_TMAP3IN)-(c_TMAP2IN)))+(c_TMAP2OUT)+IF(((c_TMAP3OUT)-(c_TMAP2OUT))&gt;=0,IF(IF(o_WRAP=1,MOD(((c_TMAP3IN)-(c_TMAP2IN))*(((A912)-(c_TMAP2IN))*((c_TMAP3OUT)-(c_TMAP2OUT))+IF(((c_TMAP3OUT)-(c_TMAP2OUT))&gt;=0,1,-1)*QUOTIENT(((c_TMAP3IN)-(c_TMAP2IN)),2))+2147483648,4294967296)-2147483648,((c_TMAP3IN)-(c_TMAP2IN))*(((A912)-(c_TMAP2IN))*((c_TMAP3OUT)-(c_TMAP2OUT))+IF(((c_TMAP3OUT)-(c_TMAP2OUT))&gt;=0,1,-1)*QUOTIENT(((c_TMAP3IN)-(c_TMAP2IN)),2)))&lt;0,-1,0),IF(IF(o_WRAP=1,MOD(((c_TMAP3IN)-(c_TMAP2IN))*(((A912)-(c_TMAP2IN))*((c_TMAP3OUT)-(c_TMAP2OUT))+IF(((c_TMAP3OUT)-(c_TMAP2OUT))&gt;=0,1,-1)*QUOTIENT(((c_TMAP3IN)-(c_TMAP2IN)),2))+2147483648,4294967296)-2147483648,((c_TMAP3IN)-(c_TMAP2IN))*(((A912)-(c_TMAP2IN))*((c_TMAP3OUT)-(c_TMAP2OUT))+IF(((c_TMAP3OUT)-(c_TMAP2OUT))&gt;=0,1,-1)*QUOTIENT(((c_TMAP3IN)-(c_TMAP2IN)),2)))&gt;=0,1,0)))</f>
        <v>590</v>
      </c>
      <c r="G912" s="7" t="n">
        <f aca="false">IF(((1000)-(c_TMAP3IN))=0,(c_TMAP3OUT)+QUOTIENT(((1000)-(c_TMAP3OUT)),2),QUOTIENT((((A912)-(c_TMAP3IN))*((1000)-(c_TMAP3OUT))+IF(((1000)-(c_TMAP3OUT))&gt;=0,1,-1)*QUOTIENT(((1000)-(c_TMAP3IN)),2)),((1000)-(c_TMAP3IN)))+(c_TMAP3OUT)+IF(((1000)-(c_TMAP3OUT))&gt;=0,IF(IF(o_WRAP=1,MOD(((1000)-(c_TMAP3IN))*(((A912)-(c_TMAP3IN))*((1000)-(c_TMAP3OUT))+IF(((1000)-(c_TMAP3OUT))&gt;=0,1,-1)*QUOTIENT(((1000)-(c_TMAP3IN)),2))+2147483648,4294967296)-2147483648,((1000)-(c_TMAP3IN))*(((A912)-(c_TMAP3IN))*((1000)-(c_TMAP3OUT))+IF(((1000)-(c_TMAP3OUT))&gt;=0,1,-1)*QUOTIENT(((1000)-(c_TMAP3IN)),2)))&lt;0,-1,0),IF(IF(o_WRAP=1,MOD(((1000)-(c_TMAP3IN))*(((A912)-(c_TMAP3IN))*((1000)-(c_TMAP3OUT))+IF(((1000)-(c_TMAP3OUT))&gt;=0,1,-1)*QUOTIENT(((1000)-(c_TMAP3IN)),2))+2147483648,4294967296)-2147483648,((1000)-(c_TMAP3IN))*(((A912)-(c_TMAP3IN))*((1000)-(c_TMAP3OUT))+IF(((1000)-(c_TMAP3OUT))&gt;=0,1,-1)*QUOTIENT(((1000)-(c_TMAP3IN)),2)))&gt;=0,1,0)))</f>
        <v>886</v>
      </c>
      <c r="H912" s="7" t="str">
        <f aca="false">IF(A912&gt;=c_TFWD,IF(AND(A912&gt;=c_TMAP3IN,c_TMAP3IN&lt;1000),"Seg4 map3-100%",IF(AND(A912&gt;=c_TMAP2IN,c_TMAP3IN&gt;c_TMAP2IN),"Seg3 map2-map3",IF(AND(A912&gt;=c_TMAP1IN,c_TMAP2IN&gt;c_TMAP1IN),"Seg2 map1-map2","Seg1 TFWD-map1"))),IF(AND(A912=0,c_TCREEP&gt;0),"Creep",IF(AND(A912&lt;=c_TRNGMIN,A912&gt;=c_TRNGMAX,c_TRNGMIN-c_TRNGMAX&lt;&gt;0),"Regen ramp","Coast (0)")))</f>
        <v>Seg4 map3-100%</v>
      </c>
      <c r="I912" s="7" t="n">
        <f aca="false">IF(A912&gt;=c_TFWD,IF(AND(A912&gt;=c_TMAP3IN,c_TMAP3IN&lt;1000),G912,IF(AND(A912&gt;=c_TMAP2IN,c_TMAP3IN&gt;c_TMAP2IN),F912,IF(AND(A912&gt;=c_TMAP1IN,c_TMAP2IN&gt;c_TMAP1IN),E912,D912))),C912)</f>
        <v>886</v>
      </c>
      <c r="J912" s="7" t="str">
        <f aca="false">IF(I912&lt;-1090,"TOO LOW",IF(I912&gt;1090,"TOO HIGH",""))</f>
        <v/>
      </c>
      <c r="K912" s="15" t="n">
        <f aca="false">IF(J912&lt;&gt;"",0,IF(I912&gt;979,1000,I912))</f>
        <v>886</v>
      </c>
      <c r="L912" s="7" t="n">
        <f aca="false">K912/10</f>
        <v>88.6</v>
      </c>
    </row>
    <row r="913" customFormat="false" ht="15" hidden="false" customHeight="false" outlineLevel="0" collapsed="false">
      <c r="A913" s="7" t="n">
        <v>908</v>
      </c>
      <c r="B913" s="7" t="n">
        <f aca="false">A913/10</f>
        <v>90.8</v>
      </c>
      <c r="C913" s="7" t="n">
        <f aca="false">IF(AND(A913=0,c_TCREEP&gt;0),10*c_TCREEP,IF(AND(A913&lt;=c_TRNGMIN,A913&gt;=c_TRNGMAX,c_TRNGMIN-c_TRNGMAX&lt;&gt;0),-10*c_TMINRN+QUOTIENT((c_TMAXRN-c_TMINRN)*(100-QUOTIENT((A913-c_TRNGMAX)*100,c_TRNGMIN-c_TRNGMAX)),-10),0))</f>
        <v>0</v>
      </c>
      <c r="D913" s="7" t="n">
        <f aca="false">IF(((c_TMAP1IN)-(c_TFWD))=0,(0)+QUOTIENT(((c_TMAP1OUT)-(0)),2),QUOTIENT((((A913)-(c_TFWD))*((c_TMAP1OUT)-(0))+IF(((c_TMAP1OUT)-(0))&gt;=0,1,-1)*QUOTIENT(((c_TMAP1IN)-(c_TFWD)),2)),((c_TMAP1IN)-(c_TFWD)))+(0)+IF(((c_TMAP1OUT)-(0))&gt;=0,IF(IF(o_WRAP=1,MOD(((c_TMAP1IN)-(c_TFWD))*(((A913)-(c_TFWD))*((c_TMAP1OUT)-(0))+IF(((c_TMAP1OUT)-(0))&gt;=0,1,-1)*QUOTIENT(((c_TMAP1IN)-(c_TFWD)),2))+2147483648,4294967296)-2147483648,((c_TMAP1IN)-(c_TFWD))*(((A913)-(c_TFWD))*((c_TMAP1OUT)-(0))+IF(((c_TMAP1OUT)-(0))&gt;=0,1,-1)*QUOTIENT(((c_TMAP1IN)-(c_TFWD)),2)))&lt;0,-1,0),IF(IF(o_WRAP=1,MOD(((c_TMAP1IN)-(c_TFWD))*(((A913)-(c_TFWD))*((c_TMAP1OUT)-(0))+IF(((c_TMAP1OUT)-(0))&gt;=0,1,-1)*QUOTIENT(((c_TMAP1IN)-(c_TFWD)),2))+2147483648,4294967296)-2147483648,((c_TMAP1IN)-(c_TFWD))*(((A913)-(c_TFWD))*((c_TMAP1OUT)-(0))+IF(((c_TMAP1OUT)-(0))&gt;=0,1,-1)*QUOTIENT(((c_TMAP1IN)-(c_TFWD)),2)))&gt;=0,1,0)))</f>
        <v>698</v>
      </c>
      <c r="E913" s="7" t="n">
        <f aca="false">IF(((c_TMAP2IN)-(c_TMAP1IN))=0,(c_TMAP1OUT)+QUOTIENT(((c_TMAP2OUT)-(c_TMAP1OUT)),2),QUOTIENT((((A913)-(c_TMAP1IN))*((c_TMAP2OUT)-(c_TMAP1OUT))+IF(((c_TMAP2OUT)-(c_TMAP1OUT))&gt;=0,1,-1)*QUOTIENT(((c_TMAP2IN)-(c_TMAP1IN)),2)),((c_TMAP2IN)-(c_TMAP1IN)))+(c_TMAP1OUT)+IF(((c_TMAP2OUT)-(c_TMAP1OUT))&gt;=0,IF(IF(o_WRAP=1,MOD(((c_TMAP2IN)-(c_TMAP1IN))*(((A913)-(c_TMAP1IN))*((c_TMAP2OUT)-(c_TMAP1OUT))+IF(((c_TMAP2OUT)-(c_TMAP1OUT))&gt;=0,1,-1)*QUOTIENT(((c_TMAP2IN)-(c_TMAP1IN)),2))+2147483648,4294967296)-2147483648,((c_TMAP2IN)-(c_TMAP1IN))*(((A913)-(c_TMAP1IN))*((c_TMAP2OUT)-(c_TMAP1OUT))+IF(((c_TMAP2OUT)-(c_TMAP1OUT))&gt;=0,1,-1)*QUOTIENT(((c_TMAP2IN)-(c_TMAP1IN)),2)))&lt;0,-1,0),IF(IF(o_WRAP=1,MOD(((c_TMAP2IN)-(c_TMAP1IN))*(((A913)-(c_TMAP1IN))*((c_TMAP2OUT)-(c_TMAP1OUT))+IF(((c_TMAP2OUT)-(c_TMAP1OUT))&gt;=0,1,-1)*QUOTIENT(((c_TMAP2IN)-(c_TMAP1IN)),2))+2147483648,4294967296)-2147483648,((c_TMAP2IN)-(c_TMAP1IN))*(((A913)-(c_TMAP1IN))*((c_TMAP2OUT)-(c_TMAP1OUT))+IF(((c_TMAP2OUT)-(c_TMAP1OUT))&gt;=0,1,-1)*QUOTIENT(((c_TMAP2IN)-(c_TMAP1IN)),2)))&gt;=0,1,0)))</f>
        <v>393</v>
      </c>
      <c r="F913" s="7" t="n">
        <f aca="false">IF(((c_TMAP3IN)-(c_TMAP2IN))=0,(c_TMAP2OUT)+QUOTIENT(((c_TMAP3OUT)-(c_TMAP2OUT)),2),QUOTIENT((((A913)-(c_TMAP2IN))*((c_TMAP3OUT)-(c_TMAP2OUT))+IF(((c_TMAP3OUT)-(c_TMAP2OUT))&gt;=0,1,-1)*QUOTIENT(((c_TMAP3IN)-(c_TMAP2IN)),2)),((c_TMAP3IN)-(c_TMAP2IN)))+(c_TMAP2OUT)+IF(((c_TMAP3OUT)-(c_TMAP2OUT))&gt;=0,IF(IF(o_WRAP=1,MOD(((c_TMAP3IN)-(c_TMAP2IN))*(((A913)-(c_TMAP2IN))*((c_TMAP3OUT)-(c_TMAP2OUT))+IF(((c_TMAP3OUT)-(c_TMAP2OUT))&gt;=0,1,-1)*QUOTIENT(((c_TMAP3IN)-(c_TMAP2IN)),2))+2147483648,4294967296)-2147483648,((c_TMAP3IN)-(c_TMAP2IN))*(((A913)-(c_TMAP2IN))*((c_TMAP3OUT)-(c_TMAP2OUT))+IF(((c_TMAP3OUT)-(c_TMAP2OUT))&gt;=0,1,-1)*QUOTIENT(((c_TMAP3IN)-(c_TMAP2IN)),2)))&lt;0,-1,0),IF(IF(o_WRAP=1,MOD(((c_TMAP3IN)-(c_TMAP2IN))*(((A913)-(c_TMAP2IN))*((c_TMAP3OUT)-(c_TMAP2OUT))+IF(((c_TMAP3OUT)-(c_TMAP2OUT))&gt;=0,1,-1)*QUOTIENT(((c_TMAP3IN)-(c_TMAP2IN)),2))+2147483648,4294967296)-2147483648,((c_TMAP3IN)-(c_TMAP2IN))*(((A913)-(c_TMAP2IN))*((c_TMAP3OUT)-(c_TMAP2OUT))+IF(((c_TMAP3OUT)-(c_TMAP2OUT))&gt;=0,1,-1)*QUOTIENT(((c_TMAP3IN)-(c_TMAP2IN)),2)))&gt;=0,1,0)))</f>
        <v>591</v>
      </c>
      <c r="G913" s="7" t="n">
        <f aca="false">IF(((1000)-(c_TMAP3IN))=0,(c_TMAP3OUT)+QUOTIENT(((1000)-(c_TMAP3OUT)),2),QUOTIENT((((A913)-(c_TMAP3IN))*((1000)-(c_TMAP3OUT))+IF(((1000)-(c_TMAP3OUT))&gt;=0,1,-1)*QUOTIENT(((1000)-(c_TMAP3IN)),2)),((1000)-(c_TMAP3IN)))+(c_TMAP3OUT)+IF(((1000)-(c_TMAP3OUT))&gt;=0,IF(IF(o_WRAP=1,MOD(((1000)-(c_TMAP3IN))*(((A913)-(c_TMAP3IN))*((1000)-(c_TMAP3OUT))+IF(((1000)-(c_TMAP3OUT))&gt;=0,1,-1)*QUOTIENT(((1000)-(c_TMAP3IN)),2))+2147483648,4294967296)-2147483648,((1000)-(c_TMAP3IN))*(((A913)-(c_TMAP3IN))*((1000)-(c_TMAP3OUT))+IF(((1000)-(c_TMAP3OUT))&gt;=0,1,-1)*QUOTIENT(((1000)-(c_TMAP3IN)),2)))&lt;0,-1,0),IF(IF(o_WRAP=1,MOD(((1000)-(c_TMAP3IN))*(((A913)-(c_TMAP3IN))*((1000)-(c_TMAP3OUT))+IF(((1000)-(c_TMAP3OUT))&gt;=0,1,-1)*QUOTIENT(((1000)-(c_TMAP3IN)),2))+2147483648,4294967296)-2147483648,((1000)-(c_TMAP3IN))*(((A913)-(c_TMAP3IN))*((1000)-(c_TMAP3OUT))+IF(((1000)-(c_TMAP3OUT))&gt;=0,1,-1)*QUOTIENT(((1000)-(c_TMAP3IN)),2)))&gt;=0,1,0)))</f>
        <v>887</v>
      </c>
      <c r="H913" s="7" t="str">
        <f aca="false">IF(A913&gt;=c_TFWD,IF(AND(A913&gt;=c_TMAP3IN,c_TMAP3IN&lt;1000),"Seg4 map3-100%",IF(AND(A913&gt;=c_TMAP2IN,c_TMAP3IN&gt;c_TMAP2IN),"Seg3 map2-map3",IF(AND(A913&gt;=c_TMAP1IN,c_TMAP2IN&gt;c_TMAP1IN),"Seg2 map1-map2","Seg1 TFWD-map1"))),IF(AND(A913=0,c_TCREEP&gt;0),"Creep",IF(AND(A913&lt;=c_TRNGMIN,A913&gt;=c_TRNGMAX,c_TRNGMIN-c_TRNGMAX&lt;&gt;0),"Regen ramp","Coast (0)")))</f>
        <v>Seg4 map3-100%</v>
      </c>
      <c r="I913" s="7" t="n">
        <f aca="false">IF(A913&gt;=c_TFWD,IF(AND(A913&gt;=c_TMAP3IN,c_TMAP3IN&lt;1000),G913,IF(AND(A913&gt;=c_TMAP2IN,c_TMAP3IN&gt;c_TMAP2IN),F913,IF(AND(A913&gt;=c_TMAP1IN,c_TMAP2IN&gt;c_TMAP1IN),E913,D913))),C913)</f>
        <v>887</v>
      </c>
      <c r="J913" s="7" t="str">
        <f aca="false">IF(I913&lt;-1090,"TOO LOW",IF(I913&gt;1090,"TOO HIGH",""))</f>
        <v/>
      </c>
      <c r="K913" s="15" t="n">
        <f aca="false">IF(J913&lt;&gt;"",0,IF(I913&gt;979,1000,I913))</f>
        <v>887</v>
      </c>
      <c r="L913" s="7" t="n">
        <f aca="false">K913/10</f>
        <v>88.7</v>
      </c>
    </row>
    <row r="914" customFormat="false" ht="15" hidden="false" customHeight="false" outlineLevel="0" collapsed="false">
      <c r="A914" s="7" t="n">
        <v>909</v>
      </c>
      <c r="B914" s="7" t="n">
        <f aca="false">A914/10</f>
        <v>90.9</v>
      </c>
      <c r="C914" s="7" t="n">
        <f aca="false">IF(AND(A914=0,c_TCREEP&gt;0),10*c_TCREEP,IF(AND(A914&lt;=c_TRNGMIN,A914&gt;=c_TRNGMAX,c_TRNGMIN-c_TRNGMAX&lt;&gt;0),-10*c_TMINRN+QUOTIENT((c_TMAXRN-c_TMINRN)*(100-QUOTIENT((A914-c_TRNGMAX)*100,c_TRNGMIN-c_TRNGMAX)),-10),0))</f>
        <v>0</v>
      </c>
      <c r="D914" s="7" t="n">
        <f aca="false">IF(((c_TMAP1IN)-(c_TFWD))=0,(0)+QUOTIENT(((c_TMAP1OUT)-(0)),2),QUOTIENT((((A914)-(c_TFWD))*((c_TMAP1OUT)-(0))+IF(((c_TMAP1OUT)-(0))&gt;=0,1,-1)*QUOTIENT(((c_TMAP1IN)-(c_TFWD)),2)),((c_TMAP1IN)-(c_TFWD)))+(0)+IF(((c_TMAP1OUT)-(0))&gt;=0,IF(IF(o_WRAP=1,MOD(((c_TMAP1IN)-(c_TFWD))*(((A914)-(c_TFWD))*((c_TMAP1OUT)-(0))+IF(((c_TMAP1OUT)-(0))&gt;=0,1,-1)*QUOTIENT(((c_TMAP1IN)-(c_TFWD)),2))+2147483648,4294967296)-2147483648,((c_TMAP1IN)-(c_TFWD))*(((A914)-(c_TFWD))*((c_TMAP1OUT)-(0))+IF(((c_TMAP1OUT)-(0))&gt;=0,1,-1)*QUOTIENT(((c_TMAP1IN)-(c_TFWD)),2)))&lt;0,-1,0),IF(IF(o_WRAP=1,MOD(((c_TMAP1IN)-(c_TFWD))*(((A914)-(c_TFWD))*((c_TMAP1OUT)-(0))+IF(((c_TMAP1OUT)-(0))&gt;=0,1,-1)*QUOTIENT(((c_TMAP1IN)-(c_TFWD)),2))+2147483648,4294967296)-2147483648,((c_TMAP1IN)-(c_TFWD))*(((A914)-(c_TFWD))*((c_TMAP1OUT)-(0))+IF(((c_TMAP1OUT)-(0))&gt;=0,1,-1)*QUOTIENT(((c_TMAP1IN)-(c_TFWD)),2)))&gt;=0,1,0)))</f>
        <v>699</v>
      </c>
      <c r="E914" s="7" t="n">
        <f aca="false">IF(((c_TMAP2IN)-(c_TMAP1IN))=0,(c_TMAP1OUT)+QUOTIENT(((c_TMAP2OUT)-(c_TMAP1OUT)),2),QUOTIENT((((A914)-(c_TMAP1IN))*((c_TMAP2OUT)-(c_TMAP1OUT))+IF(((c_TMAP2OUT)-(c_TMAP1OUT))&gt;=0,1,-1)*QUOTIENT(((c_TMAP2IN)-(c_TMAP1IN)),2)),((c_TMAP2IN)-(c_TMAP1IN)))+(c_TMAP1OUT)+IF(((c_TMAP2OUT)-(c_TMAP1OUT))&gt;=0,IF(IF(o_WRAP=1,MOD(((c_TMAP2IN)-(c_TMAP1IN))*(((A914)-(c_TMAP1IN))*((c_TMAP2OUT)-(c_TMAP1OUT))+IF(((c_TMAP2OUT)-(c_TMAP1OUT))&gt;=0,1,-1)*QUOTIENT(((c_TMAP2IN)-(c_TMAP1IN)),2))+2147483648,4294967296)-2147483648,((c_TMAP2IN)-(c_TMAP1IN))*(((A914)-(c_TMAP1IN))*((c_TMAP2OUT)-(c_TMAP1OUT))+IF(((c_TMAP2OUT)-(c_TMAP1OUT))&gt;=0,1,-1)*QUOTIENT(((c_TMAP2IN)-(c_TMAP1IN)),2)))&lt;0,-1,0),IF(IF(o_WRAP=1,MOD(((c_TMAP2IN)-(c_TMAP1IN))*(((A914)-(c_TMAP1IN))*((c_TMAP2OUT)-(c_TMAP1OUT))+IF(((c_TMAP2OUT)-(c_TMAP1OUT))&gt;=0,1,-1)*QUOTIENT(((c_TMAP2IN)-(c_TMAP1IN)),2))+2147483648,4294967296)-2147483648,((c_TMAP2IN)-(c_TMAP1IN))*(((A914)-(c_TMAP1IN))*((c_TMAP2OUT)-(c_TMAP1OUT))+IF(((c_TMAP2OUT)-(c_TMAP1OUT))&gt;=0,1,-1)*QUOTIENT(((c_TMAP2IN)-(c_TMAP1IN)),2)))&gt;=0,1,0)))</f>
        <v>394</v>
      </c>
      <c r="F914" s="7" t="n">
        <f aca="false">IF(((c_TMAP3IN)-(c_TMAP2IN))=0,(c_TMAP2OUT)+QUOTIENT(((c_TMAP3OUT)-(c_TMAP2OUT)),2),QUOTIENT((((A914)-(c_TMAP2IN))*((c_TMAP3OUT)-(c_TMAP2OUT))+IF(((c_TMAP3OUT)-(c_TMAP2OUT))&gt;=0,1,-1)*QUOTIENT(((c_TMAP3IN)-(c_TMAP2IN)),2)),((c_TMAP3IN)-(c_TMAP2IN)))+(c_TMAP2OUT)+IF(((c_TMAP3OUT)-(c_TMAP2OUT))&gt;=0,IF(IF(o_WRAP=1,MOD(((c_TMAP3IN)-(c_TMAP2IN))*(((A914)-(c_TMAP2IN))*((c_TMAP3OUT)-(c_TMAP2OUT))+IF(((c_TMAP3OUT)-(c_TMAP2OUT))&gt;=0,1,-1)*QUOTIENT(((c_TMAP3IN)-(c_TMAP2IN)),2))+2147483648,4294967296)-2147483648,((c_TMAP3IN)-(c_TMAP2IN))*(((A914)-(c_TMAP2IN))*((c_TMAP3OUT)-(c_TMAP2OUT))+IF(((c_TMAP3OUT)-(c_TMAP2OUT))&gt;=0,1,-1)*QUOTIENT(((c_TMAP3IN)-(c_TMAP2IN)),2)))&lt;0,-1,0),IF(IF(o_WRAP=1,MOD(((c_TMAP3IN)-(c_TMAP2IN))*(((A914)-(c_TMAP2IN))*((c_TMAP3OUT)-(c_TMAP2OUT))+IF(((c_TMAP3OUT)-(c_TMAP2OUT))&gt;=0,1,-1)*QUOTIENT(((c_TMAP3IN)-(c_TMAP2IN)),2))+2147483648,4294967296)-2147483648,((c_TMAP3IN)-(c_TMAP2IN))*(((A914)-(c_TMAP2IN))*((c_TMAP3OUT)-(c_TMAP2OUT))+IF(((c_TMAP3OUT)-(c_TMAP2OUT))&gt;=0,1,-1)*QUOTIENT(((c_TMAP3IN)-(c_TMAP2IN)),2)))&gt;=0,1,0)))</f>
        <v>591</v>
      </c>
      <c r="G914" s="7" t="n">
        <f aca="false">IF(((1000)-(c_TMAP3IN))=0,(c_TMAP3OUT)+QUOTIENT(((1000)-(c_TMAP3OUT)),2),QUOTIENT((((A914)-(c_TMAP3IN))*((1000)-(c_TMAP3OUT))+IF(((1000)-(c_TMAP3OUT))&gt;=0,1,-1)*QUOTIENT(((1000)-(c_TMAP3IN)),2)),((1000)-(c_TMAP3IN)))+(c_TMAP3OUT)+IF(((1000)-(c_TMAP3OUT))&gt;=0,IF(IF(o_WRAP=1,MOD(((1000)-(c_TMAP3IN))*(((A914)-(c_TMAP3IN))*((1000)-(c_TMAP3OUT))+IF(((1000)-(c_TMAP3OUT))&gt;=0,1,-1)*QUOTIENT(((1000)-(c_TMAP3IN)),2))+2147483648,4294967296)-2147483648,((1000)-(c_TMAP3IN))*(((A914)-(c_TMAP3IN))*((1000)-(c_TMAP3OUT))+IF(((1000)-(c_TMAP3OUT))&gt;=0,1,-1)*QUOTIENT(((1000)-(c_TMAP3IN)),2)))&lt;0,-1,0),IF(IF(o_WRAP=1,MOD(((1000)-(c_TMAP3IN))*(((A914)-(c_TMAP3IN))*((1000)-(c_TMAP3OUT))+IF(((1000)-(c_TMAP3OUT))&gt;=0,1,-1)*QUOTIENT(((1000)-(c_TMAP3IN)),2))+2147483648,4294967296)-2147483648,((1000)-(c_TMAP3IN))*(((A914)-(c_TMAP3IN))*((1000)-(c_TMAP3OUT))+IF(((1000)-(c_TMAP3OUT))&gt;=0,1,-1)*QUOTIENT(((1000)-(c_TMAP3IN)),2)))&gt;=0,1,0)))</f>
        <v>888</v>
      </c>
      <c r="H914" s="7" t="str">
        <f aca="false">IF(A914&gt;=c_TFWD,IF(AND(A914&gt;=c_TMAP3IN,c_TMAP3IN&lt;1000),"Seg4 map3-100%",IF(AND(A914&gt;=c_TMAP2IN,c_TMAP3IN&gt;c_TMAP2IN),"Seg3 map2-map3",IF(AND(A914&gt;=c_TMAP1IN,c_TMAP2IN&gt;c_TMAP1IN),"Seg2 map1-map2","Seg1 TFWD-map1"))),IF(AND(A914=0,c_TCREEP&gt;0),"Creep",IF(AND(A914&lt;=c_TRNGMIN,A914&gt;=c_TRNGMAX,c_TRNGMIN-c_TRNGMAX&lt;&gt;0),"Regen ramp","Coast (0)")))</f>
        <v>Seg4 map3-100%</v>
      </c>
      <c r="I914" s="7" t="n">
        <f aca="false">IF(A914&gt;=c_TFWD,IF(AND(A914&gt;=c_TMAP3IN,c_TMAP3IN&lt;1000),G914,IF(AND(A914&gt;=c_TMAP2IN,c_TMAP3IN&gt;c_TMAP2IN),F914,IF(AND(A914&gt;=c_TMAP1IN,c_TMAP2IN&gt;c_TMAP1IN),E914,D914))),C914)</f>
        <v>888</v>
      </c>
      <c r="J914" s="7" t="str">
        <f aca="false">IF(I914&lt;-1090,"TOO LOW",IF(I914&gt;1090,"TOO HIGH",""))</f>
        <v/>
      </c>
      <c r="K914" s="15" t="n">
        <f aca="false">IF(J914&lt;&gt;"",0,IF(I914&gt;979,1000,I914))</f>
        <v>888</v>
      </c>
      <c r="L914" s="7" t="n">
        <f aca="false">K914/10</f>
        <v>88.8</v>
      </c>
    </row>
    <row r="915" customFormat="false" ht="15" hidden="false" customHeight="false" outlineLevel="0" collapsed="false">
      <c r="A915" s="7" t="n">
        <v>910</v>
      </c>
      <c r="B915" s="7" t="n">
        <f aca="false">A915/10</f>
        <v>91</v>
      </c>
      <c r="C915" s="7" t="n">
        <f aca="false">IF(AND(A915=0,c_TCREEP&gt;0),10*c_TCREEP,IF(AND(A915&lt;=c_TRNGMIN,A915&gt;=c_TRNGMAX,c_TRNGMIN-c_TRNGMAX&lt;&gt;0),-10*c_TMINRN+QUOTIENT((c_TMAXRN-c_TMINRN)*(100-QUOTIENT((A915-c_TRNGMAX)*100,c_TRNGMIN-c_TRNGMAX)),-10),0))</f>
        <v>0</v>
      </c>
      <c r="D915" s="7" t="n">
        <f aca="false">IF(((c_TMAP1IN)-(c_TFWD))=0,(0)+QUOTIENT(((c_TMAP1OUT)-(0)),2),QUOTIENT((((A915)-(c_TFWD))*((c_TMAP1OUT)-(0))+IF(((c_TMAP1OUT)-(0))&gt;=0,1,-1)*QUOTIENT(((c_TMAP1IN)-(c_TFWD)),2)),((c_TMAP1IN)-(c_TFWD)))+(0)+IF(((c_TMAP1OUT)-(0))&gt;=0,IF(IF(o_WRAP=1,MOD(((c_TMAP1IN)-(c_TFWD))*(((A915)-(c_TFWD))*((c_TMAP1OUT)-(0))+IF(((c_TMAP1OUT)-(0))&gt;=0,1,-1)*QUOTIENT(((c_TMAP1IN)-(c_TFWD)),2))+2147483648,4294967296)-2147483648,((c_TMAP1IN)-(c_TFWD))*(((A915)-(c_TFWD))*((c_TMAP1OUT)-(0))+IF(((c_TMAP1OUT)-(0))&gt;=0,1,-1)*QUOTIENT(((c_TMAP1IN)-(c_TFWD)),2)))&lt;0,-1,0),IF(IF(o_WRAP=1,MOD(((c_TMAP1IN)-(c_TFWD))*(((A915)-(c_TFWD))*((c_TMAP1OUT)-(0))+IF(((c_TMAP1OUT)-(0))&gt;=0,1,-1)*QUOTIENT(((c_TMAP1IN)-(c_TFWD)),2))+2147483648,4294967296)-2147483648,((c_TMAP1IN)-(c_TFWD))*(((A915)-(c_TFWD))*((c_TMAP1OUT)-(0))+IF(((c_TMAP1OUT)-(0))&gt;=0,1,-1)*QUOTIENT(((c_TMAP1IN)-(c_TFWD)),2)))&gt;=0,1,0)))</f>
        <v>700</v>
      </c>
      <c r="E915" s="7" t="n">
        <f aca="false">IF(((c_TMAP2IN)-(c_TMAP1IN))=0,(c_TMAP1OUT)+QUOTIENT(((c_TMAP2OUT)-(c_TMAP1OUT)),2),QUOTIENT((((A915)-(c_TMAP1IN))*((c_TMAP2OUT)-(c_TMAP1OUT))+IF(((c_TMAP2OUT)-(c_TMAP1OUT))&gt;=0,1,-1)*QUOTIENT(((c_TMAP2IN)-(c_TMAP1IN)),2)),((c_TMAP2IN)-(c_TMAP1IN)))+(c_TMAP1OUT)+IF(((c_TMAP2OUT)-(c_TMAP1OUT))&gt;=0,IF(IF(o_WRAP=1,MOD(((c_TMAP2IN)-(c_TMAP1IN))*(((A915)-(c_TMAP1IN))*((c_TMAP2OUT)-(c_TMAP1OUT))+IF(((c_TMAP2OUT)-(c_TMAP1OUT))&gt;=0,1,-1)*QUOTIENT(((c_TMAP2IN)-(c_TMAP1IN)),2))+2147483648,4294967296)-2147483648,((c_TMAP2IN)-(c_TMAP1IN))*(((A915)-(c_TMAP1IN))*((c_TMAP2OUT)-(c_TMAP1OUT))+IF(((c_TMAP2OUT)-(c_TMAP1OUT))&gt;=0,1,-1)*QUOTIENT(((c_TMAP2IN)-(c_TMAP1IN)),2)))&lt;0,-1,0),IF(IF(o_WRAP=1,MOD(((c_TMAP2IN)-(c_TMAP1IN))*(((A915)-(c_TMAP1IN))*((c_TMAP2OUT)-(c_TMAP1OUT))+IF(((c_TMAP2OUT)-(c_TMAP1OUT))&gt;=0,1,-1)*QUOTIENT(((c_TMAP2IN)-(c_TMAP1IN)),2))+2147483648,4294967296)-2147483648,((c_TMAP2IN)-(c_TMAP1IN))*(((A915)-(c_TMAP1IN))*((c_TMAP2OUT)-(c_TMAP1OUT))+IF(((c_TMAP2OUT)-(c_TMAP1OUT))&gt;=0,1,-1)*QUOTIENT(((c_TMAP2IN)-(c_TMAP1IN)),2)))&gt;=0,1,0)))</f>
        <v>394</v>
      </c>
      <c r="F915" s="7" t="n">
        <f aca="false">IF(((c_TMAP3IN)-(c_TMAP2IN))=0,(c_TMAP2OUT)+QUOTIENT(((c_TMAP3OUT)-(c_TMAP2OUT)),2),QUOTIENT((((A915)-(c_TMAP2IN))*((c_TMAP3OUT)-(c_TMAP2OUT))+IF(((c_TMAP3OUT)-(c_TMAP2OUT))&gt;=0,1,-1)*QUOTIENT(((c_TMAP3IN)-(c_TMAP2IN)),2)),((c_TMAP3IN)-(c_TMAP2IN)))+(c_TMAP2OUT)+IF(((c_TMAP3OUT)-(c_TMAP2OUT))&gt;=0,IF(IF(o_WRAP=1,MOD(((c_TMAP3IN)-(c_TMAP2IN))*(((A915)-(c_TMAP2IN))*((c_TMAP3OUT)-(c_TMAP2OUT))+IF(((c_TMAP3OUT)-(c_TMAP2OUT))&gt;=0,1,-1)*QUOTIENT(((c_TMAP3IN)-(c_TMAP2IN)),2))+2147483648,4294967296)-2147483648,((c_TMAP3IN)-(c_TMAP2IN))*(((A915)-(c_TMAP2IN))*((c_TMAP3OUT)-(c_TMAP2OUT))+IF(((c_TMAP3OUT)-(c_TMAP2OUT))&gt;=0,1,-1)*QUOTIENT(((c_TMAP3IN)-(c_TMAP2IN)),2)))&lt;0,-1,0),IF(IF(o_WRAP=1,MOD(((c_TMAP3IN)-(c_TMAP2IN))*(((A915)-(c_TMAP2IN))*((c_TMAP3OUT)-(c_TMAP2OUT))+IF(((c_TMAP3OUT)-(c_TMAP2OUT))&gt;=0,1,-1)*QUOTIENT(((c_TMAP3IN)-(c_TMAP2IN)),2))+2147483648,4294967296)-2147483648,((c_TMAP3IN)-(c_TMAP2IN))*(((A915)-(c_TMAP2IN))*((c_TMAP3OUT)-(c_TMAP2OUT))+IF(((c_TMAP3OUT)-(c_TMAP2OUT))&gt;=0,1,-1)*QUOTIENT(((c_TMAP3IN)-(c_TMAP2IN)),2)))&gt;=0,1,0)))</f>
        <v>592</v>
      </c>
      <c r="G915" s="7" t="n">
        <f aca="false">IF(((1000)-(c_TMAP3IN))=0,(c_TMAP3OUT)+QUOTIENT(((1000)-(c_TMAP3OUT)),2),QUOTIENT((((A915)-(c_TMAP3IN))*((1000)-(c_TMAP3OUT))+IF(((1000)-(c_TMAP3OUT))&gt;=0,1,-1)*QUOTIENT(((1000)-(c_TMAP3IN)),2)),((1000)-(c_TMAP3IN)))+(c_TMAP3OUT)+IF(((1000)-(c_TMAP3OUT))&gt;=0,IF(IF(o_WRAP=1,MOD(((1000)-(c_TMAP3IN))*(((A915)-(c_TMAP3IN))*((1000)-(c_TMAP3OUT))+IF(((1000)-(c_TMAP3OUT))&gt;=0,1,-1)*QUOTIENT(((1000)-(c_TMAP3IN)),2))+2147483648,4294967296)-2147483648,((1000)-(c_TMAP3IN))*(((A915)-(c_TMAP3IN))*((1000)-(c_TMAP3OUT))+IF(((1000)-(c_TMAP3OUT))&gt;=0,1,-1)*QUOTIENT(((1000)-(c_TMAP3IN)),2)))&lt;0,-1,0),IF(IF(o_WRAP=1,MOD(((1000)-(c_TMAP3IN))*(((A915)-(c_TMAP3IN))*((1000)-(c_TMAP3OUT))+IF(((1000)-(c_TMAP3OUT))&gt;=0,1,-1)*QUOTIENT(((1000)-(c_TMAP3IN)),2))+2147483648,4294967296)-2147483648,((1000)-(c_TMAP3IN))*(((A915)-(c_TMAP3IN))*((1000)-(c_TMAP3OUT))+IF(((1000)-(c_TMAP3OUT))&gt;=0,1,-1)*QUOTIENT(((1000)-(c_TMAP3IN)),2)))&gt;=0,1,0)))</f>
        <v>889</v>
      </c>
      <c r="H915" s="7" t="str">
        <f aca="false">IF(A915&gt;=c_TFWD,IF(AND(A915&gt;=c_TMAP3IN,c_TMAP3IN&lt;1000),"Seg4 map3-100%",IF(AND(A915&gt;=c_TMAP2IN,c_TMAP3IN&gt;c_TMAP2IN),"Seg3 map2-map3",IF(AND(A915&gt;=c_TMAP1IN,c_TMAP2IN&gt;c_TMAP1IN),"Seg2 map1-map2","Seg1 TFWD-map1"))),IF(AND(A915=0,c_TCREEP&gt;0),"Creep",IF(AND(A915&lt;=c_TRNGMIN,A915&gt;=c_TRNGMAX,c_TRNGMIN-c_TRNGMAX&lt;&gt;0),"Regen ramp","Coast (0)")))</f>
        <v>Seg4 map3-100%</v>
      </c>
      <c r="I915" s="7" t="n">
        <f aca="false">IF(A915&gt;=c_TFWD,IF(AND(A915&gt;=c_TMAP3IN,c_TMAP3IN&lt;1000),G915,IF(AND(A915&gt;=c_TMAP2IN,c_TMAP3IN&gt;c_TMAP2IN),F915,IF(AND(A915&gt;=c_TMAP1IN,c_TMAP2IN&gt;c_TMAP1IN),E915,D915))),C915)</f>
        <v>889</v>
      </c>
      <c r="J915" s="7" t="str">
        <f aca="false">IF(I915&lt;-1090,"TOO LOW",IF(I915&gt;1090,"TOO HIGH",""))</f>
        <v/>
      </c>
      <c r="K915" s="15" t="n">
        <f aca="false">IF(J915&lt;&gt;"",0,IF(I915&gt;979,1000,I915))</f>
        <v>889</v>
      </c>
      <c r="L915" s="7" t="n">
        <f aca="false">K915/10</f>
        <v>88.9</v>
      </c>
    </row>
    <row r="916" customFormat="false" ht="15" hidden="false" customHeight="false" outlineLevel="0" collapsed="false">
      <c r="A916" s="7" t="n">
        <v>911</v>
      </c>
      <c r="B916" s="7" t="n">
        <f aca="false">A916/10</f>
        <v>91.1</v>
      </c>
      <c r="C916" s="7" t="n">
        <f aca="false">IF(AND(A916=0,c_TCREEP&gt;0),10*c_TCREEP,IF(AND(A916&lt;=c_TRNGMIN,A916&gt;=c_TRNGMAX,c_TRNGMIN-c_TRNGMAX&lt;&gt;0),-10*c_TMINRN+QUOTIENT((c_TMAXRN-c_TMINRN)*(100-QUOTIENT((A916-c_TRNGMAX)*100,c_TRNGMIN-c_TRNGMAX)),-10),0))</f>
        <v>0</v>
      </c>
      <c r="D916" s="7" t="n">
        <f aca="false">IF(((c_TMAP1IN)-(c_TFWD))=0,(0)+QUOTIENT(((c_TMAP1OUT)-(0)),2),QUOTIENT((((A916)-(c_TFWD))*((c_TMAP1OUT)-(0))+IF(((c_TMAP1OUT)-(0))&gt;=0,1,-1)*QUOTIENT(((c_TMAP1IN)-(c_TFWD)),2)),((c_TMAP1IN)-(c_TFWD)))+(0)+IF(((c_TMAP1OUT)-(0))&gt;=0,IF(IF(o_WRAP=1,MOD(((c_TMAP1IN)-(c_TFWD))*(((A916)-(c_TFWD))*((c_TMAP1OUT)-(0))+IF(((c_TMAP1OUT)-(0))&gt;=0,1,-1)*QUOTIENT(((c_TMAP1IN)-(c_TFWD)),2))+2147483648,4294967296)-2147483648,((c_TMAP1IN)-(c_TFWD))*(((A916)-(c_TFWD))*((c_TMAP1OUT)-(0))+IF(((c_TMAP1OUT)-(0))&gt;=0,1,-1)*QUOTIENT(((c_TMAP1IN)-(c_TFWD)),2)))&lt;0,-1,0),IF(IF(o_WRAP=1,MOD(((c_TMAP1IN)-(c_TFWD))*(((A916)-(c_TFWD))*((c_TMAP1OUT)-(0))+IF(((c_TMAP1OUT)-(0))&gt;=0,1,-1)*QUOTIENT(((c_TMAP1IN)-(c_TFWD)),2))+2147483648,4294967296)-2147483648,((c_TMAP1IN)-(c_TFWD))*(((A916)-(c_TFWD))*((c_TMAP1OUT)-(0))+IF(((c_TMAP1OUT)-(0))&gt;=0,1,-1)*QUOTIENT(((c_TMAP1IN)-(c_TFWD)),2)))&gt;=0,1,0)))</f>
        <v>701</v>
      </c>
      <c r="E916" s="7" t="n">
        <f aca="false">IF(((c_TMAP2IN)-(c_TMAP1IN))=0,(c_TMAP1OUT)+QUOTIENT(((c_TMAP2OUT)-(c_TMAP1OUT)),2),QUOTIENT((((A916)-(c_TMAP1IN))*((c_TMAP2OUT)-(c_TMAP1OUT))+IF(((c_TMAP2OUT)-(c_TMAP1OUT))&gt;=0,1,-1)*QUOTIENT(((c_TMAP2IN)-(c_TMAP1IN)),2)),((c_TMAP2IN)-(c_TMAP1IN)))+(c_TMAP1OUT)+IF(((c_TMAP2OUT)-(c_TMAP1OUT))&gt;=0,IF(IF(o_WRAP=1,MOD(((c_TMAP2IN)-(c_TMAP1IN))*(((A916)-(c_TMAP1IN))*((c_TMAP2OUT)-(c_TMAP1OUT))+IF(((c_TMAP2OUT)-(c_TMAP1OUT))&gt;=0,1,-1)*QUOTIENT(((c_TMAP2IN)-(c_TMAP1IN)),2))+2147483648,4294967296)-2147483648,((c_TMAP2IN)-(c_TMAP1IN))*(((A916)-(c_TMAP1IN))*((c_TMAP2OUT)-(c_TMAP1OUT))+IF(((c_TMAP2OUT)-(c_TMAP1OUT))&gt;=0,1,-1)*QUOTIENT(((c_TMAP2IN)-(c_TMAP1IN)),2)))&lt;0,-1,0),IF(IF(o_WRAP=1,MOD(((c_TMAP2IN)-(c_TMAP1IN))*(((A916)-(c_TMAP1IN))*((c_TMAP2OUT)-(c_TMAP1OUT))+IF(((c_TMAP2OUT)-(c_TMAP1OUT))&gt;=0,1,-1)*QUOTIENT(((c_TMAP2IN)-(c_TMAP1IN)),2))+2147483648,4294967296)-2147483648,((c_TMAP2IN)-(c_TMAP1IN))*(((A916)-(c_TMAP1IN))*((c_TMAP2OUT)-(c_TMAP1OUT))+IF(((c_TMAP2OUT)-(c_TMAP1OUT))&gt;=0,1,-1)*QUOTIENT(((c_TMAP2IN)-(c_TMAP1IN)),2)))&gt;=0,1,0)))</f>
        <v>394</v>
      </c>
      <c r="F916" s="7" t="n">
        <f aca="false">IF(((c_TMAP3IN)-(c_TMAP2IN))=0,(c_TMAP2OUT)+QUOTIENT(((c_TMAP3OUT)-(c_TMAP2OUT)),2),QUOTIENT((((A916)-(c_TMAP2IN))*((c_TMAP3OUT)-(c_TMAP2OUT))+IF(((c_TMAP3OUT)-(c_TMAP2OUT))&gt;=0,1,-1)*QUOTIENT(((c_TMAP3IN)-(c_TMAP2IN)),2)),((c_TMAP3IN)-(c_TMAP2IN)))+(c_TMAP2OUT)+IF(((c_TMAP3OUT)-(c_TMAP2OUT))&gt;=0,IF(IF(o_WRAP=1,MOD(((c_TMAP3IN)-(c_TMAP2IN))*(((A916)-(c_TMAP2IN))*((c_TMAP3OUT)-(c_TMAP2OUT))+IF(((c_TMAP3OUT)-(c_TMAP2OUT))&gt;=0,1,-1)*QUOTIENT(((c_TMAP3IN)-(c_TMAP2IN)),2))+2147483648,4294967296)-2147483648,((c_TMAP3IN)-(c_TMAP2IN))*(((A916)-(c_TMAP2IN))*((c_TMAP3OUT)-(c_TMAP2OUT))+IF(((c_TMAP3OUT)-(c_TMAP2OUT))&gt;=0,1,-1)*QUOTIENT(((c_TMAP3IN)-(c_TMAP2IN)),2)))&lt;0,-1,0),IF(IF(o_WRAP=1,MOD(((c_TMAP3IN)-(c_TMAP2IN))*(((A916)-(c_TMAP2IN))*((c_TMAP3OUT)-(c_TMAP2OUT))+IF(((c_TMAP3OUT)-(c_TMAP2OUT))&gt;=0,1,-1)*QUOTIENT(((c_TMAP3IN)-(c_TMAP2IN)),2))+2147483648,4294967296)-2147483648,((c_TMAP3IN)-(c_TMAP2IN))*(((A916)-(c_TMAP2IN))*((c_TMAP3OUT)-(c_TMAP2OUT))+IF(((c_TMAP3OUT)-(c_TMAP2OUT))&gt;=0,1,-1)*QUOTIENT(((c_TMAP3IN)-(c_TMAP2IN)),2)))&gt;=0,1,0)))</f>
        <v>593</v>
      </c>
      <c r="G916" s="7" t="n">
        <f aca="false">IF(((1000)-(c_TMAP3IN))=0,(c_TMAP3OUT)+QUOTIENT(((1000)-(c_TMAP3OUT)),2),QUOTIENT((((A916)-(c_TMAP3IN))*((1000)-(c_TMAP3OUT))+IF(((1000)-(c_TMAP3OUT))&gt;=0,1,-1)*QUOTIENT(((1000)-(c_TMAP3IN)),2)),((1000)-(c_TMAP3IN)))+(c_TMAP3OUT)+IF(((1000)-(c_TMAP3OUT))&gt;=0,IF(IF(o_WRAP=1,MOD(((1000)-(c_TMAP3IN))*(((A916)-(c_TMAP3IN))*((1000)-(c_TMAP3OUT))+IF(((1000)-(c_TMAP3OUT))&gt;=0,1,-1)*QUOTIENT(((1000)-(c_TMAP3IN)),2))+2147483648,4294967296)-2147483648,((1000)-(c_TMAP3IN))*(((A916)-(c_TMAP3IN))*((1000)-(c_TMAP3OUT))+IF(((1000)-(c_TMAP3OUT))&gt;=0,1,-1)*QUOTIENT(((1000)-(c_TMAP3IN)),2)))&lt;0,-1,0),IF(IF(o_WRAP=1,MOD(((1000)-(c_TMAP3IN))*(((A916)-(c_TMAP3IN))*((1000)-(c_TMAP3OUT))+IF(((1000)-(c_TMAP3OUT))&gt;=0,1,-1)*QUOTIENT(((1000)-(c_TMAP3IN)),2))+2147483648,4294967296)-2147483648,((1000)-(c_TMAP3IN))*(((A916)-(c_TMAP3IN))*((1000)-(c_TMAP3OUT))+IF(((1000)-(c_TMAP3OUT))&gt;=0,1,-1)*QUOTIENT(((1000)-(c_TMAP3IN)),2)))&gt;=0,1,0)))</f>
        <v>890</v>
      </c>
      <c r="H916" s="7" t="str">
        <f aca="false">IF(A916&gt;=c_TFWD,IF(AND(A916&gt;=c_TMAP3IN,c_TMAP3IN&lt;1000),"Seg4 map3-100%",IF(AND(A916&gt;=c_TMAP2IN,c_TMAP3IN&gt;c_TMAP2IN),"Seg3 map2-map3",IF(AND(A916&gt;=c_TMAP1IN,c_TMAP2IN&gt;c_TMAP1IN),"Seg2 map1-map2","Seg1 TFWD-map1"))),IF(AND(A916=0,c_TCREEP&gt;0),"Creep",IF(AND(A916&lt;=c_TRNGMIN,A916&gt;=c_TRNGMAX,c_TRNGMIN-c_TRNGMAX&lt;&gt;0),"Regen ramp","Coast (0)")))</f>
        <v>Seg4 map3-100%</v>
      </c>
      <c r="I916" s="7" t="n">
        <f aca="false">IF(A916&gt;=c_TFWD,IF(AND(A916&gt;=c_TMAP3IN,c_TMAP3IN&lt;1000),G916,IF(AND(A916&gt;=c_TMAP2IN,c_TMAP3IN&gt;c_TMAP2IN),F916,IF(AND(A916&gt;=c_TMAP1IN,c_TMAP2IN&gt;c_TMAP1IN),E916,D916))),C916)</f>
        <v>890</v>
      </c>
      <c r="J916" s="7" t="str">
        <f aca="false">IF(I916&lt;-1090,"TOO LOW",IF(I916&gt;1090,"TOO HIGH",""))</f>
        <v/>
      </c>
      <c r="K916" s="15" t="n">
        <f aca="false">IF(J916&lt;&gt;"",0,IF(I916&gt;979,1000,I916))</f>
        <v>890</v>
      </c>
      <c r="L916" s="7" t="n">
        <f aca="false">K916/10</f>
        <v>89</v>
      </c>
    </row>
    <row r="917" customFormat="false" ht="15" hidden="false" customHeight="false" outlineLevel="0" collapsed="false">
      <c r="A917" s="7" t="n">
        <v>912</v>
      </c>
      <c r="B917" s="7" t="n">
        <f aca="false">A917/10</f>
        <v>91.2</v>
      </c>
      <c r="C917" s="7" t="n">
        <f aca="false">IF(AND(A917=0,c_TCREEP&gt;0),10*c_TCREEP,IF(AND(A917&lt;=c_TRNGMIN,A917&gt;=c_TRNGMAX,c_TRNGMIN-c_TRNGMAX&lt;&gt;0),-10*c_TMINRN+QUOTIENT((c_TMAXRN-c_TMINRN)*(100-QUOTIENT((A917-c_TRNGMAX)*100,c_TRNGMIN-c_TRNGMAX)),-10),0))</f>
        <v>0</v>
      </c>
      <c r="D917" s="7" t="n">
        <f aca="false">IF(((c_TMAP1IN)-(c_TFWD))=0,(0)+QUOTIENT(((c_TMAP1OUT)-(0)),2),QUOTIENT((((A917)-(c_TFWD))*((c_TMAP1OUT)-(0))+IF(((c_TMAP1OUT)-(0))&gt;=0,1,-1)*QUOTIENT(((c_TMAP1IN)-(c_TFWD)),2)),((c_TMAP1IN)-(c_TFWD)))+(0)+IF(((c_TMAP1OUT)-(0))&gt;=0,IF(IF(o_WRAP=1,MOD(((c_TMAP1IN)-(c_TFWD))*(((A917)-(c_TFWD))*((c_TMAP1OUT)-(0))+IF(((c_TMAP1OUT)-(0))&gt;=0,1,-1)*QUOTIENT(((c_TMAP1IN)-(c_TFWD)),2))+2147483648,4294967296)-2147483648,((c_TMAP1IN)-(c_TFWD))*(((A917)-(c_TFWD))*((c_TMAP1OUT)-(0))+IF(((c_TMAP1OUT)-(0))&gt;=0,1,-1)*QUOTIENT(((c_TMAP1IN)-(c_TFWD)),2)))&lt;0,-1,0),IF(IF(o_WRAP=1,MOD(((c_TMAP1IN)-(c_TFWD))*(((A917)-(c_TFWD))*((c_TMAP1OUT)-(0))+IF(((c_TMAP1OUT)-(0))&gt;=0,1,-1)*QUOTIENT(((c_TMAP1IN)-(c_TFWD)),2))+2147483648,4294967296)-2147483648,((c_TMAP1IN)-(c_TFWD))*(((A917)-(c_TFWD))*((c_TMAP1OUT)-(0))+IF(((c_TMAP1OUT)-(0))&gt;=0,1,-1)*QUOTIENT(((c_TMAP1IN)-(c_TFWD)),2)))&gt;=0,1,0)))</f>
        <v>702</v>
      </c>
      <c r="E917" s="7" t="n">
        <f aca="false">IF(((c_TMAP2IN)-(c_TMAP1IN))=0,(c_TMAP1OUT)+QUOTIENT(((c_TMAP2OUT)-(c_TMAP1OUT)),2),QUOTIENT((((A917)-(c_TMAP1IN))*((c_TMAP2OUT)-(c_TMAP1OUT))+IF(((c_TMAP2OUT)-(c_TMAP1OUT))&gt;=0,1,-1)*QUOTIENT(((c_TMAP2IN)-(c_TMAP1IN)),2)),((c_TMAP2IN)-(c_TMAP1IN)))+(c_TMAP1OUT)+IF(((c_TMAP2OUT)-(c_TMAP1OUT))&gt;=0,IF(IF(o_WRAP=1,MOD(((c_TMAP2IN)-(c_TMAP1IN))*(((A917)-(c_TMAP1IN))*((c_TMAP2OUT)-(c_TMAP1OUT))+IF(((c_TMAP2OUT)-(c_TMAP1OUT))&gt;=0,1,-1)*QUOTIENT(((c_TMAP2IN)-(c_TMAP1IN)),2))+2147483648,4294967296)-2147483648,((c_TMAP2IN)-(c_TMAP1IN))*(((A917)-(c_TMAP1IN))*((c_TMAP2OUT)-(c_TMAP1OUT))+IF(((c_TMAP2OUT)-(c_TMAP1OUT))&gt;=0,1,-1)*QUOTIENT(((c_TMAP2IN)-(c_TMAP1IN)),2)))&lt;0,-1,0),IF(IF(o_WRAP=1,MOD(((c_TMAP2IN)-(c_TMAP1IN))*(((A917)-(c_TMAP1IN))*((c_TMAP2OUT)-(c_TMAP1OUT))+IF(((c_TMAP2OUT)-(c_TMAP1OUT))&gt;=0,1,-1)*QUOTIENT(((c_TMAP2IN)-(c_TMAP1IN)),2))+2147483648,4294967296)-2147483648,((c_TMAP2IN)-(c_TMAP1IN))*(((A917)-(c_TMAP1IN))*((c_TMAP2OUT)-(c_TMAP1OUT))+IF(((c_TMAP2OUT)-(c_TMAP1OUT))&gt;=0,1,-1)*QUOTIENT(((c_TMAP2IN)-(c_TMAP1IN)),2)))&gt;=0,1,0)))</f>
        <v>395</v>
      </c>
      <c r="F917" s="7" t="n">
        <f aca="false">IF(((c_TMAP3IN)-(c_TMAP2IN))=0,(c_TMAP2OUT)+QUOTIENT(((c_TMAP3OUT)-(c_TMAP2OUT)),2),QUOTIENT((((A917)-(c_TMAP2IN))*((c_TMAP3OUT)-(c_TMAP2OUT))+IF(((c_TMAP3OUT)-(c_TMAP2OUT))&gt;=0,1,-1)*QUOTIENT(((c_TMAP3IN)-(c_TMAP2IN)),2)),((c_TMAP3IN)-(c_TMAP2IN)))+(c_TMAP2OUT)+IF(((c_TMAP3OUT)-(c_TMAP2OUT))&gt;=0,IF(IF(o_WRAP=1,MOD(((c_TMAP3IN)-(c_TMAP2IN))*(((A917)-(c_TMAP2IN))*((c_TMAP3OUT)-(c_TMAP2OUT))+IF(((c_TMAP3OUT)-(c_TMAP2OUT))&gt;=0,1,-1)*QUOTIENT(((c_TMAP3IN)-(c_TMAP2IN)),2))+2147483648,4294967296)-2147483648,((c_TMAP3IN)-(c_TMAP2IN))*(((A917)-(c_TMAP2IN))*((c_TMAP3OUT)-(c_TMAP2OUT))+IF(((c_TMAP3OUT)-(c_TMAP2OUT))&gt;=0,1,-1)*QUOTIENT(((c_TMAP3IN)-(c_TMAP2IN)),2)))&lt;0,-1,0),IF(IF(o_WRAP=1,MOD(((c_TMAP3IN)-(c_TMAP2IN))*(((A917)-(c_TMAP2IN))*((c_TMAP3OUT)-(c_TMAP2OUT))+IF(((c_TMAP3OUT)-(c_TMAP2OUT))&gt;=0,1,-1)*QUOTIENT(((c_TMAP3IN)-(c_TMAP2IN)),2))+2147483648,4294967296)-2147483648,((c_TMAP3IN)-(c_TMAP2IN))*(((A917)-(c_TMAP2IN))*((c_TMAP3OUT)-(c_TMAP2OUT))+IF(((c_TMAP3OUT)-(c_TMAP2OUT))&gt;=0,1,-1)*QUOTIENT(((c_TMAP3IN)-(c_TMAP2IN)),2)))&gt;=0,1,0)))</f>
        <v>593</v>
      </c>
      <c r="G917" s="7" t="n">
        <f aca="false">IF(((1000)-(c_TMAP3IN))=0,(c_TMAP3OUT)+QUOTIENT(((1000)-(c_TMAP3OUT)),2),QUOTIENT((((A917)-(c_TMAP3IN))*((1000)-(c_TMAP3OUT))+IF(((1000)-(c_TMAP3OUT))&gt;=0,1,-1)*QUOTIENT(((1000)-(c_TMAP3IN)),2)),((1000)-(c_TMAP3IN)))+(c_TMAP3OUT)+IF(((1000)-(c_TMAP3OUT))&gt;=0,IF(IF(o_WRAP=1,MOD(((1000)-(c_TMAP3IN))*(((A917)-(c_TMAP3IN))*((1000)-(c_TMAP3OUT))+IF(((1000)-(c_TMAP3OUT))&gt;=0,1,-1)*QUOTIENT(((1000)-(c_TMAP3IN)),2))+2147483648,4294967296)-2147483648,((1000)-(c_TMAP3IN))*(((A917)-(c_TMAP3IN))*((1000)-(c_TMAP3OUT))+IF(((1000)-(c_TMAP3OUT))&gt;=0,1,-1)*QUOTIENT(((1000)-(c_TMAP3IN)),2)))&lt;0,-1,0),IF(IF(o_WRAP=1,MOD(((1000)-(c_TMAP3IN))*(((A917)-(c_TMAP3IN))*((1000)-(c_TMAP3OUT))+IF(((1000)-(c_TMAP3OUT))&gt;=0,1,-1)*QUOTIENT(((1000)-(c_TMAP3IN)),2))+2147483648,4294967296)-2147483648,((1000)-(c_TMAP3IN))*(((A917)-(c_TMAP3IN))*((1000)-(c_TMAP3OUT))+IF(((1000)-(c_TMAP3OUT))&gt;=0,1,-1)*QUOTIENT(((1000)-(c_TMAP3IN)),2)))&gt;=0,1,0)))</f>
        <v>892</v>
      </c>
      <c r="H917" s="7" t="str">
        <f aca="false">IF(A917&gt;=c_TFWD,IF(AND(A917&gt;=c_TMAP3IN,c_TMAP3IN&lt;1000),"Seg4 map3-100%",IF(AND(A917&gt;=c_TMAP2IN,c_TMAP3IN&gt;c_TMAP2IN),"Seg3 map2-map3",IF(AND(A917&gt;=c_TMAP1IN,c_TMAP2IN&gt;c_TMAP1IN),"Seg2 map1-map2","Seg1 TFWD-map1"))),IF(AND(A917=0,c_TCREEP&gt;0),"Creep",IF(AND(A917&lt;=c_TRNGMIN,A917&gt;=c_TRNGMAX,c_TRNGMIN-c_TRNGMAX&lt;&gt;0),"Regen ramp","Coast (0)")))</f>
        <v>Seg4 map3-100%</v>
      </c>
      <c r="I917" s="7" t="n">
        <f aca="false">IF(A917&gt;=c_TFWD,IF(AND(A917&gt;=c_TMAP3IN,c_TMAP3IN&lt;1000),G917,IF(AND(A917&gt;=c_TMAP2IN,c_TMAP3IN&gt;c_TMAP2IN),F917,IF(AND(A917&gt;=c_TMAP1IN,c_TMAP2IN&gt;c_TMAP1IN),E917,D917))),C917)</f>
        <v>892</v>
      </c>
      <c r="J917" s="7" t="str">
        <f aca="false">IF(I917&lt;-1090,"TOO LOW",IF(I917&gt;1090,"TOO HIGH",""))</f>
        <v/>
      </c>
      <c r="K917" s="15" t="n">
        <f aca="false">IF(J917&lt;&gt;"",0,IF(I917&gt;979,1000,I917))</f>
        <v>892</v>
      </c>
      <c r="L917" s="7" t="n">
        <f aca="false">K917/10</f>
        <v>89.2</v>
      </c>
    </row>
    <row r="918" customFormat="false" ht="15" hidden="false" customHeight="false" outlineLevel="0" collapsed="false">
      <c r="A918" s="7" t="n">
        <v>913</v>
      </c>
      <c r="B918" s="7" t="n">
        <f aca="false">A918/10</f>
        <v>91.3</v>
      </c>
      <c r="C918" s="7" t="n">
        <f aca="false">IF(AND(A918=0,c_TCREEP&gt;0),10*c_TCREEP,IF(AND(A918&lt;=c_TRNGMIN,A918&gt;=c_TRNGMAX,c_TRNGMIN-c_TRNGMAX&lt;&gt;0),-10*c_TMINRN+QUOTIENT((c_TMAXRN-c_TMINRN)*(100-QUOTIENT((A918-c_TRNGMAX)*100,c_TRNGMIN-c_TRNGMAX)),-10),0))</f>
        <v>0</v>
      </c>
      <c r="D918" s="7" t="n">
        <f aca="false">IF(((c_TMAP1IN)-(c_TFWD))=0,(0)+QUOTIENT(((c_TMAP1OUT)-(0)),2),QUOTIENT((((A918)-(c_TFWD))*((c_TMAP1OUT)-(0))+IF(((c_TMAP1OUT)-(0))&gt;=0,1,-1)*QUOTIENT(((c_TMAP1IN)-(c_TFWD)),2)),((c_TMAP1IN)-(c_TFWD)))+(0)+IF(((c_TMAP1OUT)-(0))&gt;=0,IF(IF(o_WRAP=1,MOD(((c_TMAP1IN)-(c_TFWD))*(((A918)-(c_TFWD))*((c_TMAP1OUT)-(0))+IF(((c_TMAP1OUT)-(0))&gt;=0,1,-1)*QUOTIENT(((c_TMAP1IN)-(c_TFWD)),2))+2147483648,4294967296)-2147483648,((c_TMAP1IN)-(c_TFWD))*(((A918)-(c_TFWD))*((c_TMAP1OUT)-(0))+IF(((c_TMAP1OUT)-(0))&gt;=0,1,-1)*QUOTIENT(((c_TMAP1IN)-(c_TFWD)),2)))&lt;0,-1,0),IF(IF(o_WRAP=1,MOD(((c_TMAP1IN)-(c_TFWD))*(((A918)-(c_TFWD))*((c_TMAP1OUT)-(0))+IF(((c_TMAP1OUT)-(0))&gt;=0,1,-1)*QUOTIENT(((c_TMAP1IN)-(c_TFWD)),2))+2147483648,4294967296)-2147483648,((c_TMAP1IN)-(c_TFWD))*(((A918)-(c_TFWD))*((c_TMAP1OUT)-(0))+IF(((c_TMAP1OUT)-(0))&gt;=0,1,-1)*QUOTIENT(((c_TMAP1IN)-(c_TFWD)),2)))&gt;=0,1,0)))</f>
        <v>702</v>
      </c>
      <c r="E918" s="7" t="n">
        <f aca="false">IF(((c_TMAP2IN)-(c_TMAP1IN))=0,(c_TMAP1OUT)+QUOTIENT(((c_TMAP2OUT)-(c_TMAP1OUT)),2),QUOTIENT((((A918)-(c_TMAP1IN))*((c_TMAP2OUT)-(c_TMAP1OUT))+IF(((c_TMAP2OUT)-(c_TMAP1OUT))&gt;=0,1,-1)*QUOTIENT(((c_TMAP2IN)-(c_TMAP1IN)),2)),((c_TMAP2IN)-(c_TMAP1IN)))+(c_TMAP1OUT)+IF(((c_TMAP2OUT)-(c_TMAP1OUT))&gt;=0,IF(IF(o_WRAP=1,MOD(((c_TMAP2IN)-(c_TMAP1IN))*(((A918)-(c_TMAP1IN))*((c_TMAP2OUT)-(c_TMAP1OUT))+IF(((c_TMAP2OUT)-(c_TMAP1OUT))&gt;=0,1,-1)*QUOTIENT(((c_TMAP2IN)-(c_TMAP1IN)),2))+2147483648,4294967296)-2147483648,((c_TMAP2IN)-(c_TMAP1IN))*(((A918)-(c_TMAP1IN))*((c_TMAP2OUT)-(c_TMAP1OUT))+IF(((c_TMAP2OUT)-(c_TMAP1OUT))&gt;=0,1,-1)*QUOTIENT(((c_TMAP2IN)-(c_TMAP1IN)),2)))&lt;0,-1,0),IF(IF(o_WRAP=1,MOD(((c_TMAP2IN)-(c_TMAP1IN))*(((A918)-(c_TMAP1IN))*((c_TMAP2OUT)-(c_TMAP1OUT))+IF(((c_TMAP2OUT)-(c_TMAP1OUT))&gt;=0,1,-1)*QUOTIENT(((c_TMAP2IN)-(c_TMAP1IN)),2))+2147483648,4294967296)-2147483648,((c_TMAP2IN)-(c_TMAP1IN))*(((A918)-(c_TMAP1IN))*((c_TMAP2OUT)-(c_TMAP1OUT))+IF(((c_TMAP2OUT)-(c_TMAP1OUT))&gt;=0,1,-1)*QUOTIENT(((c_TMAP2IN)-(c_TMAP1IN)),2)))&gt;=0,1,0)))</f>
        <v>395</v>
      </c>
      <c r="F918" s="7" t="n">
        <f aca="false">IF(((c_TMAP3IN)-(c_TMAP2IN))=0,(c_TMAP2OUT)+QUOTIENT(((c_TMAP3OUT)-(c_TMAP2OUT)),2),QUOTIENT((((A918)-(c_TMAP2IN))*((c_TMAP3OUT)-(c_TMAP2OUT))+IF(((c_TMAP3OUT)-(c_TMAP2OUT))&gt;=0,1,-1)*QUOTIENT(((c_TMAP3IN)-(c_TMAP2IN)),2)),((c_TMAP3IN)-(c_TMAP2IN)))+(c_TMAP2OUT)+IF(((c_TMAP3OUT)-(c_TMAP2OUT))&gt;=0,IF(IF(o_WRAP=1,MOD(((c_TMAP3IN)-(c_TMAP2IN))*(((A918)-(c_TMAP2IN))*((c_TMAP3OUT)-(c_TMAP2OUT))+IF(((c_TMAP3OUT)-(c_TMAP2OUT))&gt;=0,1,-1)*QUOTIENT(((c_TMAP3IN)-(c_TMAP2IN)),2))+2147483648,4294967296)-2147483648,((c_TMAP3IN)-(c_TMAP2IN))*(((A918)-(c_TMAP2IN))*((c_TMAP3OUT)-(c_TMAP2OUT))+IF(((c_TMAP3OUT)-(c_TMAP2OUT))&gt;=0,1,-1)*QUOTIENT(((c_TMAP3IN)-(c_TMAP2IN)),2)))&lt;0,-1,0),IF(IF(o_WRAP=1,MOD(((c_TMAP3IN)-(c_TMAP2IN))*(((A918)-(c_TMAP2IN))*((c_TMAP3OUT)-(c_TMAP2OUT))+IF(((c_TMAP3OUT)-(c_TMAP2OUT))&gt;=0,1,-1)*QUOTIENT(((c_TMAP3IN)-(c_TMAP2IN)),2))+2147483648,4294967296)-2147483648,((c_TMAP3IN)-(c_TMAP2IN))*(((A918)-(c_TMAP2IN))*((c_TMAP3OUT)-(c_TMAP2OUT))+IF(((c_TMAP3OUT)-(c_TMAP2OUT))&gt;=0,1,-1)*QUOTIENT(((c_TMAP3IN)-(c_TMAP2IN)),2)))&gt;=0,1,0)))</f>
        <v>594</v>
      </c>
      <c r="G918" s="7" t="n">
        <f aca="false">IF(((1000)-(c_TMAP3IN))=0,(c_TMAP3OUT)+QUOTIENT(((1000)-(c_TMAP3OUT)),2),QUOTIENT((((A918)-(c_TMAP3IN))*((1000)-(c_TMAP3OUT))+IF(((1000)-(c_TMAP3OUT))&gt;=0,1,-1)*QUOTIENT(((1000)-(c_TMAP3IN)),2)),((1000)-(c_TMAP3IN)))+(c_TMAP3OUT)+IF(((1000)-(c_TMAP3OUT))&gt;=0,IF(IF(o_WRAP=1,MOD(((1000)-(c_TMAP3IN))*(((A918)-(c_TMAP3IN))*((1000)-(c_TMAP3OUT))+IF(((1000)-(c_TMAP3OUT))&gt;=0,1,-1)*QUOTIENT(((1000)-(c_TMAP3IN)),2))+2147483648,4294967296)-2147483648,((1000)-(c_TMAP3IN))*(((A918)-(c_TMAP3IN))*((1000)-(c_TMAP3OUT))+IF(((1000)-(c_TMAP3OUT))&gt;=0,1,-1)*QUOTIENT(((1000)-(c_TMAP3IN)),2)))&lt;0,-1,0),IF(IF(o_WRAP=1,MOD(((1000)-(c_TMAP3IN))*(((A918)-(c_TMAP3IN))*((1000)-(c_TMAP3OUT))+IF(((1000)-(c_TMAP3OUT))&gt;=0,1,-1)*QUOTIENT(((1000)-(c_TMAP3IN)),2))+2147483648,4294967296)-2147483648,((1000)-(c_TMAP3IN))*(((A918)-(c_TMAP3IN))*((1000)-(c_TMAP3OUT))+IF(((1000)-(c_TMAP3OUT))&gt;=0,1,-1)*QUOTIENT(((1000)-(c_TMAP3IN)),2)))&gt;=0,1,0)))</f>
        <v>893</v>
      </c>
      <c r="H918" s="7" t="str">
        <f aca="false">IF(A918&gt;=c_TFWD,IF(AND(A918&gt;=c_TMAP3IN,c_TMAP3IN&lt;1000),"Seg4 map3-100%",IF(AND(A918&gt;=c_TMAP2IN,c_TMAP3IN&gt;c_TMAP2IN),"Seg3 map2-map3",IF(AND(A918&gt;=c_TMAP1IN,c_TMAP2IN&gt;c_TMAP1IN),"Seg2 map1-map2","Seg1 TFWD-map1"))),IF(AND(A918=0,c_TCREEP&gt;0),"Creep",IF(AND(A918&lt;=c_TRNGMIN,A918&gt;=c_TRNGMAX,c_TRNGMIN-c_TRNGMAX&lt;&gt;0),"Regen ramp","Coast (0)")))</f>
        <v>Seg4 map3-100%</v>
      </c>
      <c r="I918" s="7" t="n">
        <f aca="false">IF(A918&gt;=c_TFWD,IF(AND(A918&gt;=c_TMAP3IN,c_TMAP3IN&lt;1000),G918,IF(AND(A918&gt;=c_TMAP2IN,c_TMAP3IN&gt;c_TMAP2IN),F918,IF(AND(A918&gt;=c_TMAP1IN,c_TMAP2IN&gt;c_TMAP1IN),E918,D918))),C918)</f>
        <v>893</v>
      </c>
      <c r="J918" s="7" t="str">
        <f aca="false">IF(I918&lt;-1090,"TOO LOW",IF(I918&gt;1090,"TOO HIGH",""))</f>
        <v/>
      </c>
      <c r="K918" s="15" t="n">
        <f aca="false">IF(J918&lt;&gt;"",0,IF(I918&gt;979,1000,I918))</f>
        <v>893</v>
      </c>
      <c r="L918" s="7" t="n">
        <f aca="false">K918/10</f>
        <v>89.3</v>
      </c>
    </row>
    <row r="919" customFormat="false" ht="15" hidden="false" customHeight="false" outlineLevel="0" collapsed="false">
      <c r="A919" s="7" t="n">
        <v>914</v>
      </c>
      <c r="B919" s="7" t="n">
        <f aca="false">A919/10</f>
        <v>91.4</v>
      </c>
      <c r="C919" s="7" t="n">
        <f aca="false">IF(AND(A919=0,c_TCREEP&gt;0),10*c_TCREEP,IF(AND(A919&lt;=c_TRNGMIN,A919&gt;=c_TRNGMAX,c_TRNGMIN-c_TRNGMAX&lt;&gt;0),-10*c_TMINRN+QUOTIENT((c_TMAXRN-c_TMINRN)*(100-QUOTIENT((A919-c_TRNGMAX)*100,c_TRNGMIN-c_TRNGMAX)),-10),0))</f>
        <v>0</v>
      </c>
      <c r="D919" s="7" t="n">
        <f aca="false">IF(((c_TMAP1IN)-(c_TFWD))=0,(0)+QUOTIENT(((c_TMAP1OUT)-(0)),2),QUOTIENT((((A919)-(c_TFWD))*((c_TMAP1OUT)-(0))+IF(((c_TMAP1OUT)-(0))&gt;=0,1,-1)*QUOTIENT(((c_TMAP1IN)-(c_TFWD)),2)),((c_TMAP1IN)-(c_TFWD)))+(0)+IF(((c_TMAP1OUT)-(0))&gt;=0,IF(IF(o_WRAP=1,MOD(((c_TMAP1IN)-(c_TFWD))*(((A919)-(c_TFWD))*((c_TMAP1OUT)-(0))+IF(((c_TMAP1OUT)-(0))&gt;=0,1,-1)*QUOTIENT(((c_TMAP1IN)-(c_TFWD)),2))+2147483648,4294967296)-2147483648,((c_TMAP1IN)-(c_TFWD))*(((A919)-(c_TFWD))*((c_TMAP1OUT)-(0))+IF(((c_TMAP1OUT)-(0))&gt;=0,1,-1)*QUOTIENT(((c_TMAP1IN)-(c_TFWD)),2)))&lt;0,-1,0),IF(IF(o_WRAP=1,MOD(((c_TMAP1IN)-(c_TFWD))*(((A919)-(c_TFWD))*((c_TMAP1OUT)-(0))+IF(((c_TMAP1OUT)-(0))&gt;=0,1,-1)*QUOTIENT(((c_TMAP1IN)-(c_TFWD)),2))+2147483648,4294967296)-2147483648,((c_TMAP1IN)-(c_TFWD))*(((A919)-(c_TFWD))*((c_TMAP1OUT)-(0))+IF(((c_TMAP1OUT)-(0))&gt;=0,1,-1)*QUOTIENT(((c_TMAP1IN)-(c_TFWD)),2)))&gt;=0,1,0)))</f>
        <v>703</v>
      </c>
      <c r="E919" s="7" t="n">
        <f aca="false">IF(((c_TMAP2IN)-(c_TMAP1IN))=0,(c_TMAP1OUT)+QUOTIENT(((c_TMAP2OUT)-(c_TMAP1OUT)),2),QUOTIENT((((A919)-(c_TMAP1IN))*((c_TMAP2OUT)-(c_TMAP1OUT))+IF(((c_TMAP2OUT)-(c_TMAP1OUT))&gt;=0,1,-1)*QUOTIENT(((c_TMAP2IN)-(c_TMAP1IN)),2)),((c_TMAP2IN)-(c_TMAP1IN)))+(c_TMAP1OUT)+IF(((c_TMAP2OUT)-(c_TMAP1OUT))&gt;=0,IF(IF(o_WRAP=1,MOD(((c_TMAP2IN)-(c_TMAP1IN))*(((A919)-(c_TMAP1IN))*((c_TMAP2OUT)-(c_TMAP1OUT))+IF(((c_TMAP2OUT)-(c_TMAP1OUT))&gt;=0,1,-1)*QUOTIENT(((c_TMAP2IN)-(c_TMAP1IN)),2))+2147483648,4294967296)-2147483648,((c_TMAP2IN)-(c_TMAP1IN))*(((A919)-(c_TMAP1IN))*((c_TMAP2OUT)-(c_TMAP1OUT))+IF(((c_TMAP2OUT)-(c_TMAP1OUT))&gt;=0,1,-1)*QUOTIENT(((c_TMAP2IN)-(c_TMAP1IN)),2)))&lt;0,-1,0),IF(IF(o_WRAP=1,MOD(((c_TMAP2IN)-(c_TMAP1IN))*(((A919)-(c_TMAP1IN))*((c_TMAP2OUT)-(c_TMAP1OUT))+IF(((c_TMAP2OUT)-(c_TMAP1OUT))&gt;=0,1,-1)*QUOTIENT(((c_TMAP2IN)-(c_TMAP1IN)),2))+2147483648,4294967296)-2147483648,((c_TMAP2IN)-(c_TMAP1IN))*(((A919)-(c_TMAP1IN))*((c_TMAP2OUT)-(c_TMAP1OUT))+IF(((c_TMAP2OUT)-(c_TMAP1OUT))&gt;=0,1,-1)*QUOTIENT(((c_TMAP2IN)-(c_TMAP1IN)),2)))&gt;=0,1,0)))</f>
        <v>396</v>
      </c>
      <c r="F919" s="7" t="n">
        <f aca="false">IF(((c_TMAP3IN)-(c_TMAP2IN))=0,(c_TMAP2OUT)+QUOTIENT(((c_TMAP3OUT)-(c_TMAP2OUT)),2),QUOTIENT((((A919)-(c_TMAP2IN))*((c_TMAP3OUT)-(c_TMAP2OUT))+IF(((c_TMAP3OUT)-(c_TMAP2OUT))&gt;=0,1,-1)*QUOTIENT(((c_TMAP3IN)-(c_TMAP2IN)),2)),((c_TMAP3IN)-(c_TMAP2IN)))+(c_TMAP2OUT)+IF(((c_TMAP3OUT)-(c_TMAP2OUT))&gt;=0,IF(IF(o_WRAP=1,MOD(((c_TMAP3IN)-(c_TMAP2IN))*(((A919)-(c_TMAP2IN))*((c_TMAP3OUT)-(c_TMAP2OUT))+IF(((c_TMAP3OUT)-(c_TMAP2OUT))&gt;=0,1,-1)*QUOTIENT(((c_TMAP3IN)-(c_TMAP2IN)),2))+2147483648,4294967296)-2147483648,((c_TMAP3IN)-(c_TMAP2IN))*(((A919)-(c_TMAP2IN))*((c_TMAP3OUT)-(c_TMAP2OUT))+IF(((c_TMAP3OUT)-(c_TMAP2OUT))&gt;=0,1,-1)*QUOTIENT(((c_TMAP3IN)-(c_TMAP2IN)),2)))&lt;0,-1,0),IF(IF(o_WRAP=1,MOD(((c_TMAP3IN)-(c_TMAP2IN))*(((A919)-(c_TMAP2IN))*((c_TMAP3OUT)-(c_TMAP2OUT))+IF(((c_TMAP3OUT)-(c_TMAP2OUT))&gt;=0,1,-1)*QUOTIENT(((c_TMAP3IN)-(c_TMAP2IN)),2))+2147483648,4294967296)-2147483648,((c_TMAP3IN)-(c_TMAP2IN))*(((A919)-(c_TMAP2IN))*((c_TMAP3OUT)-(c_TMAP2OUT))+IF(((c_TMAP3OUT)-(c_TMAP2OUT))&gt;=0,1,-1)*QUOTIENT(((c_TMAP3IN)-(c_TMAP2IN)),2)))&gt;=0,1,0)))</f>
        <v>595</v>
      </c>
      <c r="G919" s="7" t="n">
        <f aca="false">IF(((1000)-(c_TMAP3IN))=0,(c_TMAP3OUT)+QUOTIENT(((1000)-(c_TMAP3OUT)),2),QUOTIENT((((A919)-(c_TMAP3IN))*((1000)-(c_TMAP3OUT))+IF(((1000)-(c_TMAP3OUT))&gt;=0,1,-1)*QUOTIENT(((1000)-(c_TMAP3IN)),2)),((1000)-(c_TMAP3IN)))+(c_TMAP3OUT)+IF(((1000)-(c_TMAP3OUT))&gt;=0,IF(IF(o_WRAP=1,MOD(((1000)-(c_TMAP3IN))*(((A919)-(c_TMAP3IN))*((1000)-(c_TMAP3OUT))+IF(((1000)-(c_TMAP3OUT))&gt;=0,1,-1)*QUOTIENT(((1000)-(c_TMAP3IN)),2))+2147483648,4294967296)-2147483648,((1000)-(c_TMAP3IN))*(((A919)-(c_TMAP3IN))*((1000)-(c_TMAP3OUT))+IF(((1000)-(c_TMAP3OUT))&gt;=0,1,-1)*QUOTIENT(((1000)-(c_TMAP3IN)),2)))&lt;0,-1,0),IF(IF(o_WRAP=1,MOD(((1000)-(c_TMAP3IN))*(((A919)-(c_TMAP3IN))*((1000)-(c_TMAP3OUT))+IF(((1000)-(c_TMAP3OUT))&gt;=0,1,-1)*QUOTIENT(((1000)-(c_TMAP3IN)),2))+2147483648,4294967296)-2147483648,((1000)-(c_TMAP3IN))*(((A919)-(c_TMAP3IN))*((1000)-(c_TMAP3OUT))+IF(((1000)-(c_TMAP3OUT))&gt;=0,1,-1)*QUOTIENT(((1000)-(c_TMAP3IN)),2)))&gt;=0,1,0)))</f>
        <v>894</v>
      </c>
      <c r="H919" s="7" t="str">
        <f aca="false">IF(A919&gt;=c_TFWD,IF(AND(A919&gt;=c_TMAP3IN,c_TMAP3IN&lt;1000),"Seg4 map3-100%",IF(AND(A919&gt;=c_TMAP2IN,c_TMAP3IN&gt;c_TMAP2IN),"Seg3 map2-map3",IF(AND(A919&gt;=c_TMAP1IN,c_TMAP2IN&gt;c_TMAP1IN),"Seg2 map1-map2","Seg1 TFWD-map1"))),IF(AND(A919=0,c_TCREEP&gt;0),"Creep",IF(AND(A919&lt;=c_TRNGMIN,A919&gt;=c_TRNGMAX,c_TRNGMIN-c_TRNGMAX&lt;&gt;0),"Regen ramp","Coast (0)")))</f>
        <v>Seg4 map3-100%</v>
      </c>
      <c r="I919" s="7" t="n">
        <f aca="false">IF(A919&gt;=c_TFWD,IF(AND(A919&gt;=c_TMAP3IN,c_TMAP3IN&lt;1000),G919,IF(AND(A919&gt;=c_TMAP2IN,c_TMAP3IN&gt;c_TMAP2IN),F919,IF(AND(A919&gt;=c_TMAP1IN,c_TMAP2IN&gt;c_TMAP1IN),E919,D919))),C919)</f>
        <v>894</v>
      </c>
      <c r="J919" s="7" t="str">
        <f aca="false">IF(I919&lt;-1090,"TOO LOW",IF(I919&gt;1090,"TOO HIGH",""))</f>
        <v/>
      </c>
      <c r="K919" s="15" t="n">
        <f aca="false">IF(J919&lt;&gt;"",0,IF(I919&gt;979,1000,I919))</f>
        <v>894</v>
      </c>
      <c r="L919" s="7" t="n">
        <f aca="false">K919/10</f>
        <v>89.4</v>
      </c>
    </row>
    <row r="920" customFormat="false" ht="15" hidden="false" customHeight="false" outlineLevel="0" collapsed="false">
      <c r="A920" s="7" t="n">
        <v>915</v>
      </c>
      <c r="B920" s="7" t="n">
        <f aca="false">A920/10</f>
        <v>91.5</v>
      </c>
      <c r="C920" s="7" t="n">
        <f aca="false">IF(AND(A920=0,c_TCREEP&gt;0),10*c_TCREEP,IF(AND(A920&lt;=c_TRNGMIN,A920&gt;=c_TRNGMAX,c_TRNGMIN-c_TRNGMAX&lt;&gt;0),-10*c_TMINRN+QUOTIENT((c_TMAXRN-c_TMINRN)*(100-QUOTIENT((A920-c_TRNGMAX)*100,c_TRNGMIN-c_TRNGMAX)),-10),0))</f>
        <v>0</v>
      </c>
      <c r="D920" s="7" t="n">
        <f aca="false">IF(((c_TMAP1IN)-(c_TFWD))=0,(0)+QUOTIENT(((c_TMAP1OUT)-(0)),2),QUOTIENT((((A920)-(c_TFWD))*((c_TMAP1OUT)-(0))+IF(((c_TMAP1OUT)-(0))&gt;=0,1,-1)*QUOTIENT(((c_TMAP1IN)-(c_TFWD)),2)),((c_TMAP1IN)-(c_TFWD)))+(0)+IF(((c_TMAP1OUT)-(0))&gt;=0,IF(IF(o_WRAP=1,MOD(((c_TMAP1IN)-(c_TFWD))*(((A920)-(c_TFWD))*((c_TMAP1OUT)-(0))+IF(((c_TMAP1OUT)-(0))&gt;=0,1,-1)*QUOTIENT(((c_TMAP1IN)-(c_TFWD)),2))+2147483648,4294967296)-2147483648,((c_TMAP1IN)-(c_TFWD))*(((A920)-(c_TFWD))*((c_TMAP1OUT)-(0))+IF(((c_TMAP1OUT)-(0))&gt;=0,1,-1)*QUOTIENT(((c_TMAP1IN)-(c_TFWD)),2)))&lt;0,-1,0),IF(IF(o_WRAP=1,MOD(((c_TMAP1IN)-(c_TFWD))*(((A920)-(c_TFWD))*((c_TMAP1OUT)-(0))+IF(((c_TMAP1OUT)-(0))&gt;=0,1,-1)*QUOTIENT(((c_TMAP1IN)-(c_TFWD)),2))+2147483648,4294967296)-2147483648,((c_TMAP1IN)-(c_TFWD))*(((A920)-(c_TFWD))*((c_TMAP1OUT)-(0))+IF(((c_TMAP1OUT)-(0))&gt;=0,1,-1)*QUOTIENT(((c_TMAP1IN)-(c_TFWD)),2)))&gt;=0,1,0)))</f>
        <v>704</v>
      </c>
      <c r="E920" s="7" t="n">
        <f aca="false">IF(((c_TMAP2IN)-(c_TMAP1IN))=0,(c_TMAP1OUT)+QUOTIENT(((c_TMAP2OUT)-(c_TMAP1OUT)),2),QUOTIENT((((A920)-(c_TMAP1IN))*((c_TMAP2OUT)-(c_TMAP1OUT))+IF(((c_TMAP2OUT)-(c_TMAP1OUT))&gt;=0,1,-1)*QUOTIENT(((c_TMAP2IN)-(c_TMAP1IN)),2)),((c_TMAP2IN)-(c_TMAP1IN)))+(c_TMAP1OUT)+IF(((c_TMAP2OUT)-(c_TMAP1OUT))&gt;=0,IF(IF(o_WRAP=1,MOD(((c_TMAP2IN)-(c_TMAP1IN))*(((A920)-(c_TMAP1IN))*((c_TMAP2OUT)-(c_TMAP1OUT))+IF(((c_TMAP2OUT)-(c_TMAP1OUT))&gt;=0,1,-1)*QUOTIENT(((c_TMAP2IN)-(c_TMAP1IN)),2))+2147483648,4294967296)-2147483648,((c_TMAP2IN)-(c_TMAP1IN))*(((A920)-(c_TMAP1IN))*((c_TMAP2OUT)-(c_TMAP1OUT))+IF(((c_TMAP2OUT)-(c_TMAP1OUT))&gt;=0,1,-1)*QUOTIENT(((c_TMAP2IN)-(c_TMAP1IN)),2)))&lt;0,-1,0),IF(IF(o_WRAP=1,MOD(((c_TMAP2IN)-(c_TMAP1IN))*(((A920)-(c_TMAP1IN))*((c_TMAP2OUT)-(c_TMAP1OUT))+IF(((c_TMAP2OUT)-(c_TMAP1OUT))&gt;=0,1,-1)*QUOTIENT(((c_TMAP2IN)-(c_TMAP1IN)),2))+2147483648,4294967296)-2147483648,((c_TMAP2IN)-(c_TMAP1IN))*(((A920)-(c_TMAP1IN))*((c_TMAP2OUT)-(c_TMAP1OUT))+IF(((c_TMAP2OUT)-(c_TMAP1OUT))&gt;=0,1,-1)*QUOTIENT(((c_TMAP2IN)-(c_TMAP1IN)),2)))&gt;=0,1,0)))</f>
        <v>396</v>
      </c>
      <c r="F920" s="7" t="n">
        <f aca="false">IF(((c_TMAP3IN)-(c_TMAP2IN))=0,(c_TMAP2OUT)+QUOTIENT(((c_TMAP3OUT)-(c_TMAP2OUT)),2),QUOTIENT((((A920)-(c_TMAP2IN))*((c_TMAP3OUT)-(c_TMAP2OUT))+IF(((c_TMAP3OUT)-(c_TMAP2OUT))&gt;=0,1,-1)*QUOTIENT(((c_TMAP3IN)-(c_TMAP2IN)),2)),((c_TMAP3IN)-(c_TMAP2IN)))+(c_TMAP2OUT)+IF(((c_TMAP3OUT)-(c_TMAP2OUT))&gt;=0,IF(IF(o_WRAP=1,MOD(((c_TMAP3IN)-(c_TMAP2IN))*(((A920)-(c_TMAP2IN))*((c_TMAP3OUT)-(c_TMAP2OUT))+IF(((c_TMAP3OUT)-(c_TMAP2OUT))&gt;=0,1,-1)*QUOTIENT(((c_TMAP3IN)-(c_TMAP2IN)),2))+2147483648,4294967296)-2147483648,((c_TMAP3IN)-(c_TMAP2IN))*(((A920)-(c_TMAP2IN))*((c_TMAP3OUT)-(c_TMAP2OUT))+IF(((c_TMAP3OUT)-(c_TMAP2OUT))&gt;=0,1,-1)*QUOTIENT(((c_TMAP3IN)-(c_TMAP2IN)),2)))&lt;0,-1,0),IF(IF(o_WRAP=1,MOD(((c_TMAP3IN)-(c_TMAP2IN))*(((A920)-(c_TMAP2IN))*((c_TMAP3OUT)-(c_TMAP2OUT))+IF(((c_TMAP3OUT)-(c_TMAP2OUT))&gt;=0,1,-1)*QUOTIENT(((c_TMAP3IN)-(c_TMAP2IN)),2))+2147483648,4294967296)-2147483648,((c_TMAP3IN)-(c_TMAP2IN))*(((A920)-(c_TMAP2IN))*((c_TMAP3OUT)-(c_TMAP2OUT))+IF(((c_TMAP3OUT)-(c_TMAP2OUT))&gt;=0,1,-1)*QUOTIENT(((c_TMAP3IN)-(c_TMAP2IN)),2)))&gt;=0,1,0)))</f>
        <v>596</v>
      </c>
      <c r="G920" s="7" t="n">
        <f aca="false">IF(((1000)-(c_TMAP3IN))=0,(c_TMAP3OUT)+QUOTIENT(((1000)-(c_TMAP3OUT)),2),QUOTIENT((((A920)-(c_TMAP3IN))*((1000)-(c_TMAP3OUT))+IF(((1000)-(c_TMAP3OUT))&gt;=0,1,-1)*QUOTIENT(((1000)-(c_TMAP3IN)),2)),((1000)-(c_TMAP3IN)))+(c_TMAP3OUT)+IF(((1000)-(c_TMAP3OUT))&gt;=0,IF(IF(o_WRAP=1,MOD(((1000)-(c_TMAP3IN))*(((A920)-(c_TMAP3IN))*((1000)-(c_TMAP3OUT))+IF(((1000)-(c_TMAP3OUT))&gt;=0,1,-1)*QUOTIENT(((1000)-(c_TMAP3IN)),2))+2147483648,4294967296)-2147483648,((1000)-(c_TMAP3IN))*(((A920)-(c_TMAP3IN))*((1000)-(c_TMAP3OUT))+IF(((1000)-(c_TMAP3OUT))&gt;=0,1,-1)*QUOTIENT(((1000)-(c_TMAP3IN)),2)))&lt;0,-1,0),IF(IF(o_WRAP=1,MOD(((1000)-(c_TMAP3IN))*(((A920)-(c_TMAP3IN))*((1000)-(c_TMAP3OUT))+IF(((1000)-(c_TMAP3OUT))&gt;=0,1,-1)*QUOTIENT(((1000)-(c_TMAP3IN)),2))+2147483648,4294967296)-2147483648,((1000)-(c_TMAP3IN))*(((A920)-(c_TMAP3IN))*((1000)-(c_TMAP3OUT))+IF(((1000)-(c_TMAP3OUT))&gt;=0,1,-1)*QUOTIENT(((1000)-(c_TMAP3IN)),2)))&gt;=0,1,0)))</f>
        <v>895</v>
      </c>
      <c r="H920" s="7" t="str">
        <f aca="false">IF(A920&gt;=c_TFWD,IF(AND(A920&gt;=c_TMAP3IN,c_TMAP3IN&lt;1000),"Seg4 map3-100%",IF(AND(A920&gt;=c_TMAP2IN,c_TMAP3IN&gt;c_TMAP2IN),"Seg3 map2-map3",IF(AND(A920&gt;=c_TMAP1IN,c_TMAP2IN&gt;c_TMAP1IN),"Seg2 map1-map2","Seg1 TFWD-map1"))),IF(AND(A920=0,c_TCREEP&gt;0),"Creep",IF(AND(A920&lt;=c_TRNGMIN,A920&gt;=c_TRNGMAX,c_TRNGMIN-c_TRNGMAX&lt;&gt;0),"Regen ramp","Coast (0)")))</f>
        <v>Seg4 map3-100%</v>
      </c>
      <c r="I920" s="7" t="n">
        <f aca="false">IF(A920&gt;=c_TFWD,IF(AND(A920&gt;=c_TMAP3IN,c_TMAP3IN&lt;1000),G920,IF(AND(A920&gt;=c_TMAP2IN,c_TMAP3IN&gt;c_TMAP2IN),F920,IF(AND(A920&gt;=c_TMAP1IN,c_TMAP2IN&gt;c_TMAP1IN),E920,D920))),C920)</f>
        <v>895</v>
      </c>
      <c r="J920" s="7" t="str">
        <f aca="false">IF(I920&lt;-1090,"TOO LOW",IF(I920&gt;1090,"TOO HIGH",""))</f>
        <v/>
      </c>
      <c r="K920" s="15" t="n">
        <f aca="false">IF(J920&lt;&gt;"",0,IF(I920&gt;979,1000,I920))</f>
        <v>895</v>
      </c>
      <c r="L920" s="7" t="n">
        <f aca="false">K920/10</f>
        <v>89.5</v>
      </c>
    </row>
    <row r="921" customFormat="false" ht="15" hidden="false" customHeight="false" outlineLevel="0" collapsed="false">
      <c r="A921" s="7" t="n">
        <v>916</v>
      </c>
      <c r="B921" s="7" t="n">
        <f aca="false">A921/10</f>
        <v>91.6</v>
      </c>
      <c r="C921" s="7" t="n">
        <f aca="false">IF(AND(A921=0,c_TCREEP&gt;0),10*c_TCREEP,IF(AND(A921&lt;=c_TRNGMIN,A921&gt;=c_TRNGMAX,c_TRNGMIN-c_TRNGMAX&lt;&gt;0),-10*c_TMINRN+QUOTIENT((c_TMAXRN-c_TMINRN)*(100-QUOTIENT((A921-c_TRNGMAX)*100,c_TRNGMIN-c_TRNGMAX)),-10),0))</f>
        <v>0</v>
      </c>
      <c r="D921" s="7" t="n">
        <f aca="false">IF(((c_TMAP1IN)-(c_TFWD))=0,(0)+QUOTIENT(((c_TMAP1OUT)-(0)),2),QUOTIENT((((A921)-(c_TFWD))*((c_TMAP1OUT)-(0))+IF(((c_TMAP1OUT)-(0))&gt;=0,1,-1)*QUOTIENT(((c_TMAP1IN)-(c_TFWD)),2)),((c_TMAP1IN)-(c_TFWD)))+(0)+IF(((c_TMAP1OUT)-(0))&gt;=0,IF(IF(o_WRAP=1,MOD(((c_TMAP1IN)-(c_TFWD))*(((A921)-(c_TFWD))*((c_TMAP1OUT)-(0))+IF(((c_TMAP1OUT)-(0))&gt;=0,1,-1)*QUOTIENT(((c_TMAP1IN)-(c_TFWD)),2))+2147483648,4294967296)-2147483648,((c_TMAP1IN)-(c_TFWD))*(((A921)-(c_TFWD))*((c_TMAP1OUT)-(0))+IF(((c_TMAP1OUT)-(0))&gt;=0,1,-1)*QUOTIENT(((c_TMAP1IN)-(c_TFWD)),2)))&lt;0,-1,0),IF(IF(o_WRAP=1,MOD(((c_TMAP1IN)-(c_TFWD))*(((A921)-(c_TFWD))*((c_TMAP1OUT)-(0))+IF(((c_TMAP1OUT)-(0))&gt;=0,1,-1)*QUOTIENT(((c_TMAP1IN)-(c_TFWD)),2))+2147483648,4294967296)-2147483648,((c_TMAP1IN)-(c_TFWD))*(((A921)-(c_TFWD))*((c_TMAP1OUT)-(0))+IF(((c_TMAP1OUT)-(0))&gt;=0,1,-1)*QUOTIENT(((c_TMAP1IN)-(c_TFWD)),2)))&gt;=0,1,0)))</f>
        <v>705</v>
      </c>
      <c r="E921" s="7" t="n">
        <f aca="false">IF(((c_TMAP2IN)-(c_TMAP1IN))=0,(c_TMAP1OUT)+QUOTIENT(((c_TMAP2OUT)-(c_TMAP1OUT)),2),QUOTIENT((((A921)-(c_TMAP1IN))*((c_TMAP2OUT)-(c_TMAP1OUT))+IF(((c_TMAP2OUT)-(c_TMAP1OUT))&gt;=0,1,-1)*QUOTIENT(((c_TMAP2IN)-(c_TMAP1IN)),2)),((c_TMAP2IN)-(c_TMAP1IN)))+(c_TMAP1OUT)+IF(((c_TMAP2OUT)-(c_TMAP1OUT))&gt;=0,IF(IF(o_WRAP=1,MOD(((c_TMAP2IN)-(c_TMAP1IN))*(((A921)-(c_TMAP1IN))*((c_TMAP2OUT)-(c_TMAP1OUT))+IF(((c_TMAP2OUT)-(c_TMAP1OUT))&gt;=0,1,-1)*QUOTIENT(((c_TMAP2IN)-(c_TMAP1IN)),2))+2147483648,4294967296)-2147483648,((c_TMAP2IN)-(c_TMAP1IN))*(((A921)-(c_TMAP1IN))*((c_TMAP2OUT)-(c_TMAP1OUT))+IF(((c_TMAP2OUT)-(c_TMAP1OUT))&gt;=0,1,-1)*QUOTIENT(((c_TMAP2IN)-(c_TMAP1IN)),2)))&lt;0,-1,0),IF(IF(o_WRAP=1,MOD(((c_TMAP2IN)-(c_TMAP1IN))*(((A921)-(c_TMAP1IN))*((c_TMAP2OUT)-(c_TMAP1OUT))+IF(((c_TMAP2OUT)-(c_TMAP1OUT))&gt;=0,1,-1)*QUOTIENT(((c_TMAP2IN)-(c_TMAP1IN)),2))+2147483648,4294967296)-2147483648,((c_TMAP2IN)-(c_TMAP1IN))*(((A921)-(c_TMAP1IN))*((c_TMAP2OUT)-(c_TMAP1OUT))+IF(((c_TMAP2OUT)-(c_TMAP1OUT))&gt;=0,1,-1)*QUOTIENT(((c_TMAP2IN)-(c_TMAP1IN)),2)))&gt;=0,1,0)))</f>
        <v>396</v>
      </c>
      <c r="F921" s="7" t="n">
        <f aca="false">IF(((c_TMAP3IN)-(c_TMAP2IN))=0,(c_TMAP2OUT)+QUOTIENT(((c_TMAP3OUT)-(c_TMAP2OUT)),2),QUOTIENT((((A921)-(c_TMAP2IN))*((c_TMAP3OUT)-(c_TMAP2OUT))+IF(((c_TMAP3OUT)-(c_TMAP2OUT))&gt;=0,1,-1)*QUOTIENT(((c_TMAP3IN)-(c_TMAP2IN)),2)),((c_TMAP3IN)-(c_TMAP2IN)))+(c_TMAP2OUT)+IF(((c_TMAP3OUT)-(c_TMAP2OUT))&gt;=0,IF(IF(o_WRAP=1,MOD(((c_TMAP3IN)-(c_TMAP2IN))*(((A921)-(c_TMAP2IN))*((c_TMAP3OUT)-(c_TMAP2OUT))+IF(((c_TMAP3OUT)-(c_TMAP2OUT))&gt;=0,1,-1)*QUOTIENT(((c_TMAP3IN)-(c_TMAP2IN)),2))+2147483648,4294967296)-2147483648,((c_TMAP3IN)-(c_TMAP2IN))*(((A921)-(c_TMAP2IN))*((c_TMAP3OUT)-(c_TMAP2OUT))+IF(((c_TMAP3OUT)-(c_TMAP2OUT))&gt;=0,1,-1)*QUOTIENT(((c_TMAP3IN)-(c_TMAP2IN)),2)))&lt;0,-1,0),IF(IF(o_WRAP=1,MOD(((c_TMAP3IN)-(c_TMAP2IN))*(((A921)-(c_TMAP2IN))*((c_TMAP3OUT)-(c_TMAP2OUT))+IF(((c_TMAP3OUT)-(c_TMAP2OUT))&gt;=0,1,-1)*QUOTIENT(((c_TMAP3IN)-(c_TMAP2IN)),2))+2147483648,4294967296)-2147483648,((c_TMAP3IN)-(c_TMAP2IN))*(((A921)-(c_TMAP2IN))*((c_TMAP3OUT)-(c_TMAP2OUT))+IF(((c_TMAP3OUT)-(c_TMAP2OUT))&gt;=0,1,-1)*QUOTIENT(((c_TMAP3IN)-(c_TMAP2IN)),2)))&gt;=0,1,0)))</f>
        <v>596</v>
      </c>
      <c r="G921" s="7" t="n">
        <f aca="false">IF(((1000)-(c_TMAP3IN))=0,(c_TMAP3OUT)+QUOTIENT(((1000)-(c_TMAP3OUT)),2),QUOTIENT((((A921)-(c_TMAP3IN))*((1000)-(c_TMAP3OUT))+IF(((1000)-(c_TMAP3OUT))&gt;=0,1,-1)*QUOTIENT(((1000)-(c_TMAP3IN)),2)),((1000)-(c_TMAP3IN)))+(c_TMAP3OUT)+IF(((1000)-(c_TMAP3OUT))&gt;=0,IF(IF(o_WRAP=1,MOD(((1000)-(c_TMAP3IN))*(((A921)-(c_TMAP3IN))*((1000)-(c_TMAP3OUT))+IF(((1000)-(c_TMAP3OUT))&gt;=0,1,-1)*QUOTIENT(((1000)-(c_TMAP3IN)),2))+2147483648,4294967296)-2147483648,((1000)-(c_TMAP3IN))*(((A921)-(c_TMAP3IN))*((1000)-(c_TMAP3OUT))+IF(((1000)-(c_TMAP3OUT))&gt;=0,1,-1)*QUOTIENT(((1000)-(c_TMAP3IN)),2)))&lt;0,-1,0),IF(IF(o_WRAP=1,MOD(((1000)-(c_TMAP3IN))*(((A921)-(c_TMAP3IN))*((1000)-(c_TMAP3OUT))+IF(((1000)-(c_TMAP3OUT))&gt;=0,1,-1)*QUOTIENT(((1000)-(c_TMAP3IN)),2))+2147483648,4294967296)-2147483648,((1000)-(c_TMAP3IN))*(((A921)-(c_TMAP3IN))*((1000)-(c_TMAP3OUT))+IF(((1000)-(c_TMAP3OUT))&gt;=0,1,-1)*QUOTIENT(((1000)-(c_TMAP3IN)),2)))&gt;=0,1,0)))</f>
        <v>897</v>
      </c>
      <c r="H921" s="7" t="str">
        <f aca="false">IF(A921&gt;=c_TFWD,IF(AND(A921&gt;=c_TMAP3IN,c_TMAP3IN&lt;1000),"Seg4 map3-100%",IF(AND(A921&gt;=c_TMAP2IN,c_TMAP3IN&gt;c_TMAP2IN),"Seg3 map2-map3",IF(AND(A921&gt;=c_TMAP1IN,c_TMAP2IN&gt;c_TMAP1IN),"Seg2 map1-map2","Seg1 TFWD-map1"))),IF(AND(A921=0,c_TCREEP&gt;0),"Creep",IF(AND(A921&lt;=c_TRNGMIN,A921&gt;=c_TRNGMAX,c_TRNGMIN-c_TRNGMAX&lt;&gt;0),"Regen ramp","Coast (0)")))</f>
        <v>Seg4 map3-100%</v>
      </c>
      <c r="I921" s="7" t="n">
        <f aca="false">IF(A921&gt;=c_TFWD,IF(AND(A921&gt;=c_TMAP3IN,c_TMAP3IN&lt;1000),G921,IF(AND(A921&gt;=c_TMAP2IN,c_TMAP3IN&gt;c_TMAP2IN),F921,IF(AND(A921&gt;=c_TMAP1IN,c_TMAP2IN&gt;c_TMAP1IN),E921,D921))),C921)</f>
        <v>897</v>
      </c>
      <c r="J921" s="7" t="str">
        <f aca="false">IF(I921&lt;-1090,"TOO LOW",IF(I921&gt;1090,"TOO HIGH",""))</f>
        <v/>
      </c>
      <c r="K921" s="15" t="n">
        <f aca="false">IF(J921&lt;&gt;"",0,IF(I921&gt;979,1000,I921))</f>
        <v>897</v>
      </c>
      <c r="L921" s="7" t="n">
        <f aca="false">K921/10</f>
        <v>89.7</v>
      </c>
    </row>
    <row r="922" customFormat="false" ht="15" hidden="false" customHeight="false" outlineLevel="0" collapsed="false">
      <c r="A922" s="7" t="n">
        <v>917</v>
      </c>
      <c r="B922" s="7" t="n">
        <f aca="false">A922/10</f>
        <v>91.7</v>
      </c>
      <c r="C922" s="7" t="n">
        <f aca="false">IF(AND(A922=0,c_TCREEP&gt;0),10*c_TCREEP,IF(AND(A922&lt;=c_TRNGMIN,A922&gt;=c_TRNGMAX,c_TRNGMIN-c_TRNGMAX&lt;&gt;0),-10*c_TMINRN+QUOTIENT((c_TMAXRN-c_TMINRN)*(100-QUOTIENT((A922-c_TRNGMAX)*100,c_TRNGMIN-c_TRNGMAX)),-10),0))</f>
        <v>0</v>
      </c>
      <c r="D922" s="7" t="n">
        <f aca="false">IF(((c_TMAP1IN)-(c_TFWD))=0,(0)+QUOTIENT(((c_TMAP1OUT)-(0)),2),QUOTIENT((((A922)-(c_TFWD))*((c_TMAP1OUT)-(0))+IF(((c_TMAP1OUT)-(0))&gt;=0,1,-1)*QUOTIENT(((c_TMAP1IN)-(c_TFWD)),2)),((c_TMAP1IN)-(c_TFWD)))+(0)+IF(((c_TMAP1OUT)-(0))&gt;=0,IF(IF(o_WRAP=1,MOD(((c_TMAP1IN)-(c_TFWD))*(((A922)-(c_TFWD))*((c_TMAP1OUT)-(0))+IF(((c_TMAP1OUT)-(0))&gt;=0,1,-1)*QUOTIENT(((c_TMAP1IN)-(c_TFWD)),2))+2147483648,4294967296)-2147483648,((c_TMAP1IN)-(c_TFWD))*(((A922)-(c_TFWD))*((c_TMAP1OUT)-(0))+IF(((c_TMAP1OUT)-(0))&gt;=0,1,-1)*QUOTIENT(((c_TMAP1IN)-(c_TFWD)),2)))&lt;0,-1,0),IF(IF(o_WRAP=1,MOD(((c_TMAP1IN)-(c_TFWD))*(((A922)-(c_TFWD))*((c_TMAP1OUT)-(0))+IF(((c_TMAP1OUT)-(0))&gt;=0,1,-1)*QUOTIENT(((c_TMAP1IN)-(c_TFWD)),2))+2147483648,4294967296)-2147483648,((c_TMAP1IN)-(c_TFWD))*(((A922)-(c_TFWD))*((c_TMAP1OUT)-(0))+IF(((c_TMAP1OUT)-(0))&gt;=0,1,-1)*QUOTIENT(((c_TMAP1IN)-(c_TFWD)),2)))&gt;=0,1,0)))</f>
        <v>705</v>
      </c>
      <c r="E922" s="7" t="n">
        <f aca="false">IF(((c_TMAP2IN)-(c_TMAP1IN))=0,(c_TMAP1OUT)+QUOTIENT(((c_TMAP2OUT)-(c_TMAP1OUT)),2),QUOTIENT((((A922)-(c_TMAP1IN))*((c_TMAP2OUT)-(c_TMAP1OUT))+IF(((c_TMAP2OUT)-(c_TMAP1OUT))&gt;=0,1,-1)*QUOTIENT(((c_TMAP2IN)-(c_TMAP1IN)),2)),((c_TMAP2IN)-(c_TMAP1IN)))+(c_TMAP1OUT)+IF(((c_TMAP2OUT)-(c_TMAP1OUT))&gt;=0,IF(IF(o_WRAP=1,MOD(((c_TMAP2IN)-(c_TMAP1IN))*(((A922)-(c_TMAP1IN))*((c_TMAP2OUT)-(c_TMAP1OUT))+IF(((c_TMAP2OUT)-(c_TMAP1OUT))&gt;=0,1,-1)*QUOTIENT(((c_TMAP2IN)-(c_TMAP1IN)),2))+2147483648,4294967296)-2147483648,((c_TMAP2IN)-(c_TMAP1IN))*(((A922)-(c_TMAP1IN))*((c_TMAP2OUT)-(c_TMAP1OUT))+IF(((c_TMAP2OUT)-(c_TMAP1OUT))&gt;=0,1,-1)*QUOTIENT(((c_TMAP2IN)-(c_TMAP1IN)),2)))&lt;0,-1,0),IF(IF(o_WRAP=1,MOD(((c_TMAP2IN)-(c_TMAP1IN))*(((A922)-(c_TMAP1IN))*((c_TMAP2OUT)-(c_TMAP1OUT))+IF(((c_TMAP2OUT)-(c_TMAP1OUT))&gt;=0,1,-1)*QUOTIENT(((c_TMAP2IN)-(c_TMAP1IN)),2))+2147483648,4294967296)-2147483648,((c_TMAP2IN)-(c_TMAP1IN))*(((A922)-(c_TMAP1IN))*((c_TMAP2OUT)-(c_TMAP1OUT))+IF(((c_TMAP2OUT)-(c_TMAP1OUT))&gt;=0,1,-1)*QUOTIENT(((c_TMAP2IN)-(c_TMAP1IN)),2)))&gt;=0,1,0)))</f>
        <v>397</v>
      </c>
      <c r="F922" s="7" t="n">
        <f aca="false">IF(((c_TMAP3IN)-(c_TMAP2IN))=0,(c_TMAP2OUT)+QUOTIENT(((c_TMAP3OUT)-(c_TMAP2OUT)),2),QUOTIENT((((A922)-(c_TMAP2IN))*((c_TMAP3OUT)-(c_TMAP2OUT))+IF(((c_TMAP3OUT)-(c_TMAP2OUT))&gt;=0,1,-1)*QUOTIENT(((c_TMAP3IN)-(c_TMAP2IN)),2)),((c_TMAP3IN)-(c_TMAP2IN)))+(c_TMAP2OUT)+IF(((c_TMAP3OUT)-(c_TMAP2OUT))&gt;=0,IF(IF(o_WRAP=1,MOD(((c_TMAP3IN)-(c_TMAP2IN))*(((A922)-(c_TMAP2IN))*((c_TMAP3OUT)-(c_TMAP2OUT))+IF(((c_TMAP3OUT)-(c_TMAP2OUT))&gt;=0,1,-1)*QUOTIENT(((c_TMAP3IN)-(c_TMAP2IN)),2))+2147483648,4294967296)-2147483648,((c_TMAP3IN)-(c_TMAP2IN))*(((A922)-(c_TMAP2IN))*((c_TMAP3OUT)-(c_TMAP2OUT))+IF(((c_TMAP3OUT)-(c_TMAP2OUT))&gt;=0,1,-1)*QUOTIENT(((c_TMAP3IN)-(c_TMAP2IN)),2)))&lt;0,-1,0),IF(IF(o_WRAP=1,MOD(((c_TMAP3IN)-(c_TMAP2IN))*(((A922)-(c_TMAP2IN))*((c_TMAP3OUT)-(c_TMAP2OUT))+IF(((c_TMAP3OUT)-(c_TMAP2OUT))&gt;=0,1,-1)*QUOTIENT(((c_TMAP3IN)-(c_TMAP2IN)),2))+2147483648,4294967296)-2147483648,((c_TMAP3IN)-(c_TMAP2IN))*(((A922)-(c_TMAP2IN))*((c_TMAP3OUT)-(c_TMAP2OUT))+IF(((c_TMAP3OUT)-(c_TMAP2OUT))&gt;=0,1,-1)*QUOTIENT(((c_TMAP3IN)-(c_TMAP2IN)),2)))&gt;=0,1,0)))</f>
        <v>597</v>
      </c>
      <c r="G922" s="7" t="n">
        <f aca="false">IF(((1000)-(c_TMAP3IN))=0,(c_TMAP3OUT)+QUOTIENT(((1000)-(c_TMAP3OUT)),2),QUOTIENT((((A922)-(c_TMAP3IN))*((1000)-(c_TMAP3OUT))+IF(((1000)-(c_TMAP3OUT))&gt;=0,1,-1)*QUOTIENT(((1000)-(c_TMAP3IN)),2)),((1000)-(c_TMAP3IN)))+(c_TMAP3OUT)+IF(((1000)-(c_TMAP3OUT))&gt;=0,IF(IF(o_WRAP=1,MOD(((1000)-(c_TMAP3IN))*(((A922)-(c_TMAP3IN))*((1000)-(c_TMAP3OUT))+IF(((1000)-(c_TMAP3OUT))&gt;=0,1,-1)*QUOTIENT(((1000)-(c_TMAP3IN)),2))+2147483648,4294967296)-2147483648,((1000)-(c_TMAP3IN))*(((A922)-(c_TMAP3IN))*((1000)-(c_TMAP3OUT))+IF(((1000)-(c_TMAP3OUT))&gt;=0,1,-1)*QUOTIENT(((1000)-(c_TMAP3IN)),2)))&lt;0,-1,0),IF(IF(o_WRAP=1,MOD(((1000)-(c_TMAP3IN))*(((A922)-(c_TMAP3IN))*((1000)-(c_TMAP3OUT))+IF(((1000)-(c_TMAP3OUT))&gt;=0,1,-1)*QUOTIENT(((1000)-(c_TMAP3IN)),2))+2147483648,4294967296)-2147483648,((1000)-(c_TMAP3IN))*(((A922)-(c_TMAP3IN))*((1000)-(c_TMAP3OUT))+IF(((1000)-(c_TMAP3OUT))&gt;=0,1,-1)*QUOTIENT(((1000)-(c_TMAP3IN)),2)))&gt;=0,1,0)))</f>
        <v>898</v>
      </c>
      <c r="H922" s="7" t="str">
        <f aca="false">IF(A922&gt;=c_TFWD,IF(AND(A922&gt;=c_TMAP3IN,c_TMAP3IN&lt;1000),"Seg4 map3-100%",IF(AND(A922&gt;=c_TMAP2IN,c_TMAP3IN&gt;c_TMAP2IN),"Seg3 map2-map3",IF(AND(A922&gt;=c_TMAP1IN,c_TMAP2IN&gt;c_TMAP1IN),"Seg2 map1-map2","Seg1 TFWD-map1"))),IF(AND(A922=0,c_TCREEP&gt;0),"Creep",IF(AND(A922&lt;=c_TRNGMIN,A922&gt;=c_TRNGMAX,c_TRNGMIN-c_TRNGMAX&lt;&gt;0),"Regen ramp","Coast (0)")))</f>
        <v>Seg4 map3-100%</v>
      </c>
      <c r="I922" s="7" t="n">
        <f aca="false">IF(A922&gt;=c_TFWD,IF(AND(A922&gt;=c_TMAP3IN,c_TMAP3IN&lt;1000),G922,IF(AND(A922&gt;=c_TMAP2IN,c_TMAP3IN&gt;c_TMAP2IN),F922,IF(AND(A922&gt;=c_TMAP1IN,c_TMAP2IN&gt;c_TMAP1IN),E922,D922))),C922)</f>
        <v>898</v>
      </c>
      <c r="J922" s="7" t="str">
        <f aca="false">IF(I922&lt;-1090,"TOO LOW",IF(I922&gt;1090,"TOO HIGH",""))</f>
        <v/>
      </c>
      <c r="K922" s="15" t="n">
        <f aca="false">IF(J922&lt;&gt;"",0,IF(I922&gt;979,1000,I922))</f>
        <v>898</v>
      </c>
      <c r="L922" s="7" t="n">
        <f aca="false">K922/10</f>
        <v>89.8</v>
      </c>
    </row>
    <row r="923" customFormat="false" ht="15" hidden="false" customHeight="false" outlineLevel="0" collapsed="false">
      <c r="A923" s="7" t="n">
        <v>918</v>
      </c>
      <c r="B923" s="7" t="n">
        <f aca="false">A923/10</f>
        <v>91.8</v>
      </c>
      <c r="C923" s="7" t="n">
        <f aca="false">IF(AND(A923=0,c_TCREEP&gt;0),10*c_TCREEP,IF(AND(A923&lt;=c_TRNGMIN,A923&gt;=c_TRNGMAX,c_TRNGMIN-c_TRNGMAX&lt;&gt;0),-10*c_TMINRN+QUOTIENT((c_TMAXRN-c_TMINRN)*(100-QUOTIENT((A923-c_TRNGMAX)*100,c_TRNGMIN-c_TRNGMAX)),-10),0))</f>
        <v>0</v>
      </c>
      <c r="D923" s="7" t="n">
        <f aca="false">IF(((c_TMAP1IN)-(c_TFWD))=0,(0)+QUOTIENT(((c_TMAP1OUT)-(0)),2),QUOTIENT((((A923)-(c_TFWD))*((c_TMAP1OUT)-(0))+IF(((c_TMAP1OUT)-(0))&gt;=0,1,-1)*QUOTIENT(((c_TMAP1IN)-(c_TFWD)),2)),((c_TMAP1IN)-(c_TFWD)))+(0)+IF(((c_TMAP1OUT)-(0))&gt;=0,IF(IF(o_WRAP=1,MOD(((c_TMAP1IN)-(c_TFWD))*(((A923)-(c_TFWD))*((c_TMAP1OUT)-(0))+IF(((c_TMAP1OUT)-(0))&gt;=0,1,-1)*QUOTIENT(((c_TMAP1IN)-(c_TFWD)),2))+2147483648,4294967296)-2147483648,((c_TMAP1IN)-(c_TFWD))*(((A923)-(c_TFWD))*((c_TMAP1OUT)-(0))+IF(((c_TMAP1OUT)-(0))&gt;=0,1,-1)*QUOTIENT(((c_TMAP1IN)-(c_TFWD)),2)))&lt;0,-1,0),IF(IF(o_WRAP=1,MOD(((c_TMAP1IN)-(c_TFWD))*(((A923)-(c_TFWD))*((c_TMAP1OUT)-(0))+IF(((c_TMAP1OUT)-(0))&gt;=0,1,-1)*QUOTIENT(((c_TMAP1IN)-(c_TFWD)),2))+2147483648,4294967296)-2147483648,((c_TMAP1IN)-(c_TFWD))*(((A923)-(c_TFWD))*((c_TMAP1OUT)-(0))+IF(((c_TMAP1OUT)-(0))&gt;=0,1,-1)*QUOTIENT(((c_TMAP1IN)-(c_TFWD)),2)))&gt;=0,1,0)))</f>
        <v>706</v>
      </c>
      <c r="E923" s="7" t="n">
        <f aca="false">IF(((c_TMAP2IN)-(c_TMAP1IN))=0,(c_TMAP1OUT)+QUOTIENT(((c_TMAP2OUT)-(c_TMAP1OUT)),2),QUOTIENT((((A923)-(c_TMAP1IN))*((c_TMAP2OUT)-(c_TMAP1OUT))+IF(((c_TMAP2OUT)-(c_TMAP1OUT))&gt;=0,1,-1)*QUOTIENT(((c_TMAP2IN)-(c_TMAP1IN)),2)),((c_TMAP2IN)-(c_TMAP1IN)))+(c_TMAP1OUT)+IF(((c_TMAP2OUT)-(c_TMAP1OUT))&gt;=0,IF(IF(o_WRAP=1,MOD(((c_TMAP2IN)-(c_TMAP1IN))*(((A923)-(c_TMAP1IN))*((c_TMAP2OUT)-(c_TMAP1OUT))+IF(((c_TMAP2OUT)-(c_TMAP1OUT))&gt;=0,1,-1)*QUOTIENT(((c_TMAP2IN)-(c_TMAP1IN)),2))+2147483648,4294967296)-2147483648,((c_TMAP2IN)-(c_TMAP1IN))*(((A923)-(c_TMAP1IN))*((c_TMAP2OUT)-(c_TMAP1OUT))+IF(((c_TMAP2OUT)-(c_TMAP1OUT))&gt;=0,1,-1)*QUOTIENT(((c_TMAP2IN)-(c_TMAP1IN)),2)))&lt;0,-1,0),IF(IF(o_WRAP=1,MOD(((c_TMAP2IN)-(c_TMAP1IN))*(((A923)-(c_TMAP1IN))*((c_TMAP2OUT)-(c_TMAP1OUT))+IF(((c_TMAP2OUT)-(c_TMAP1OUT))&gt;=0,1,-1)*QUOTIENT(((c_TMAP2IN)-(c_TMAP1IN)),2))+2147483648,4294967296)-2147483648,((c_TMAP2IN)-(c_TMAP1IN))*(((A923)-(c_TMAP1IN))*((c_TMAP2OUT)-(c_TMAP1OUT))+IF(((c_TMAP2OUT)-(c_TMAP1OUT))&gt;=0,1,-1)*QUOTIENT(((c_TMAP2IN)-(c_TMAP1IN)),2)))&gt;=0,1,0)))</f>
        <v>397</v>
      </c>
      <c r="F923" s="7" t="n">
        <f aca="false">IF(((c_TMAP3IN)-(c_TMAP2IN))=0,(c_TMAP2OUT)+QUOTIENT(((c_TMAP3OUT)-(c_TMAP2OUT)),2),QUOTIENT((((A923)-(c_TMAP2IN))*((c_TMAP3OUT)-(c_TMAP2OUT))+IF(((c_TMAP3OUT)-(c_TMAP2OUT))&gt;=0,1,-1)*QUOTIENT(((c_TMAP3IN)-(c_TMAP2IN)),2)),((c_TMAP3IN)-(c_TMAP2IN)))+(c_TMAP2OUT)+IF(((c_TMAP3OUT)-(c_TMAP2OUT))&gt;=0,IF(IF(o_WRAP=1,MOD(((c_TMAP3IN)-(c_TMAP2IN))*(((A923)-(c_TMAP2IN))*((c_TMAP3OUT)-(c_TMAP2OUT))+IF(((c_TMAP3OUT)-(c_TMAP2OUT))&gt;=0,1,-1)*QUOTIENT(((c_TMAP3IN)-(c_TMAP2IN)),2))+2147483648,4294967296)-2147483648,((c_TMAP3IN)-(c_TMAP2IN))*(((A923)-(c_TMAP2IN))*((c_TMAP3OUT)-(c_TMAP2OUT))+IF(((c_TMAP3OUT)-(c_TMAP2OUT))&gt;=0,1,-1)*QUOTIENT(((c_TMAP3IN)-(c_TMAP2IN)),2)))&lt;0,-1,0),IF(IF(o_WRAP=1,MOD(((c_TMAP3IN)-(c_TMAP2IN))*(((A923)-(c_TMAP2IN))*((c_TMAP3OUT)-(c_TMAP2OUT))+IF(((c_TMAP3OUT)-(c_TMAP2OUT))&gt;=0,1,-1)*QUOTIENT(((c_TMAP3IN)-(c_TMAP2IN)),2))+2147483648,4294967296)-2147483648,((c_TMAP3IN)-(c_TMAP2IN))*(((A923)-(c_TMAP2IN))*((c_TMAP3OUT)-(c_TMAP2OUT))+IF(((c_TMAP3OUT)-(c_TMAP2OUT))&gt;=0,1,-1)*QUOTIENT(((c_TMAP3IN)-(c_TMAP2IN)),2)))&gt;=0,1,0)))</f>
        <v>598</v>
      </c>
      <c r="G923" s="7" t="n">
        <f aca="false">IF(((1000)-(c_TMAP3IN))=0,(c_TMAP3OUT)+QUOTIENT(((1000)-(c_TMAP3OUT)),2),QUOTIENT((((A923)-(c_TMAP3IN))*((1000)-(c_TMAP3OUT))+IF(((1000)-(c_TMAP3OUT))&gt;=0,1,-1)*QUOTIENT(((1000)-(c_TMAP3IN)),2)),((1000)-(c_TMAP3IN)))+(c_TMAP3OUT)+IF(((1000)-(c_TMAP3OUT))&gt;=0,IF(IF(o_WRAP=1,MOD(((1000)-(c_TMAP3IN))*(((A923)-(c_TMAP3IN))*((1000)-(c_TMAP3OUT))+IF(((1000)-(c_TMAP3OUT))&gt;=0,1,-1)*QUOTIENT(((1000)-(c_TMAP3IN)),2))+2147483648,4294967296)-2147483648,((1000)-(c_TMAP3IN))*(((A923)-(c_TMAP3IN))*((1000)-(c_TMAP3OUT))+IF(((1000)-(c_TMAP3OUT))&gt;=0,1,-1)*QUOTIENT(((1000)-(c_TMAP3IN)),2)))&lt;0,-1,0),IF(IF(o_WRAP=1,MOD(((1000)-(c_TMAP3IN))*(((A923)-(c_TMAP3IN))*((1000)-(c_TMAP3OUT))+IF(((1000)-(c_TMAP3OUT))&gt;=0,1,-1)*QUOTIENT(((1000)-(c_TMAP3IN)),2))+2147483648,4294967296)-2147483648,((1000)-(c_TMAP3IN))*(((A923)-(c_TMAP3IN))*((1000)-(c_TMAP3OUT))+IF(((1000)-(c_TMAP3OUT))&gt;=0,1,-1)*QUOTIENT(((1000)-(c_TMAP3IN)),2)))&gt;=0,1,0)))</f>
        <v>899</v>
      </c>
      <c r="H923" s="7" t="str">
        <f aca="false">IF(A923&gt;=c_TFWD,IF(AND(A923&gt;=c_TMAP3IN,c_TMAP3IN&lt;1000),"Seg4 map3-100%",IF(AND(A923&gt;=c_TMAP2IN,c_TMAP3IN&gt;c_TMAP2IN),"Seg3 map2-map3",IF(AND(A923&gt;=c_TMAP1IN,c_TMAP2IN&gt;c_TMAP1IN),"Seg2 map1-map2","Seg1 TFWD-map1"))),IF(AND(A923=0,c_TCREEP&gt;0),"Creep",IF(AND(A923&lt;=c_TRNGMIN,A923&gt;=c_TRNGMAX,c_TRNGMIN-c_TRNGMAX&lt;&gt;0),"Regen ramp","Coast (0)")))</f>
        <v>Seg4 map3-100%</v>
      </c>
      <c r="I923" s="7" t="n">
        <f aca="false">IF(A923&gt;=c_TFWD,IF(AND(A923&gt;=c_TMAP3IN,c_TMAP3IN&lt;1000),G923,IF(AND(A923&gt;=c_TMAP2IN,c_TMAP3IN&gt;c_TMAP2IN),F923,IF(AND(A923&gt;=c_TMAP1IN,c_TMAP2IN&gt;c_TMAP1IN),E923,D923))),C923)</f>
        <v>899</v>
      </c>
      <c r="J923" s="7" t="str">
        <f aca="false">IF(I923&lt;-1090,"TOO LOW",IF(I923&gt;1090,"TOO HIGH",""))</f>
        <v/>
      </c>
      <c r="K923" s="15" t="n">
        <f aca="false">IF(J923&lt;&gt;"",0,IF(I923&gt;979,1000,I923))</f>
        <v>899</v>
      </c>
      <c r="L923" s="7" t="n">
        <f aca="false">K923/10</f>
        <v>89.9</v>
      </c>
    </row>
    <row r="924" customFormat="false" ht="15" hidden="false" customHeight="false" outlineLevel="0" collapsed="false">
      <c r="A924" s="7" t="n">
        <v>919</v>
      </c>
      <c r="B924" s="7" t="n">
        <f aca="false">A924/10</f>
        <v>91.9</v>
      </c>
      <c r="C924" s="7" t="n">
        <f aca="false">IF(AND(A924=0,c_TCREEP&gt;0),10*c_TCREEP,IF(AND(A924&lt;=c_TRNGMIN,A924&gt;=c_TRNGMAX,c_TRNGMIN-c_TRNGMAX&lt;&gt;0),-10*c_TMINRN+QUOTIENT((c_TMAXRN-c_TMINRN)*(100-QUOTIENT((A924-c_TRNGMAX)*100,c_TRNGMIN-c_TRNGMAX)),-10),0))</f>
        <v>0</v>
      </c>
      <c r="D924" s="7" t="n">
        <f aca="false">IF(((c_TMAP1IN)-(c_TFWD))=0,(0)+QUOTIENT(((c_TMAP1OUT)-(0)),2),QUOTIENT((((A924)-(c_TFWD))*((c_TMAP1OUT)-(0))+IF(((c_TMAP1OUT)-(0))&gt;=0,1,-1)*QUOTIENT(((c_TMAP1IN)-(c_TFWD)),2)),((c_TMAP1IN)-(c_TFWD)))+(0)+IF(((c_TMAP1OUT)-(0))&gt;=0,IF(IF(o_WRAP=1,MOD(((c_TMAP1IN)-(c_TFWD))*(((A924)-(c_TFWD))*((c_TMAP1OUT)-(0))+IF(((c_TMAP1OUT)-(0))&gt;=0,1,-1)*QUOTIENT(((c_TMAP1IN)-(c_TFWD)),2))+2147483648,4294967296)-2147483648,((c_TMAP1IN)-(c_TFWD))*(((A924)-(c_TFWD))*((c_TMAP1OUT)-(0))+IF(((c_TMAP1OUT)-(0))&gt;=0,1,-1)*QUOTIENT(((c_TMAP1IN)-(c_TFWD)),2)))&lt;0,-1,0),IF(IF(o_WRAP=1,MOD(((c_TMAP1IN)-(c_TFWD))*(((A924)-(c_TFWD))*((c_TMAP1OUT)-(0))+IF(((c_TMAP1OUT)-(0))&gt;=0,1,-1)*QUOTIENT(((c_TMAP1IN)-(c_TFWD)),2))+2147483648,4294967296)-2147483648,((c_TMAP1IN)-(c_TFWD))*(((A924)-(c_TFWD))*((c_TMAP1OUT)-(0))+IF(((c_TMAP1OUT)-(0))&gt;=0,1,-1)*QUOTIENT(((c_TMAP1IN)-(c_TFWD)),2)))&gt;=0,1,0)))</f>
        <v>707</v>
      </c>
      <c r="E924" s="7" t="n">
        <f aca="false">IF(((c_TMAP2IN)-(c_TMAP1IN))=0,(c_TMAP1OUT)+QUOTIENT(((c_TMAP2OUT)-(c_TMAP1OUT)),2),QUOTIENT((((A924)-(c_TMAP1IN))*((c_TMAP2OUT)-(c_TMAP1OUT))+IF(((c_TMAP2OUT)-(c_TMAP1OUT))&gt;=0,1,-1)*QUOTIENT(((c_TMAP2IN)-(c_TMAP1IN)),2)),((c_TMAP2IN)-(c_TMAP1IN)))+(c_TMAP1OUT)+IF(((c_TMAP2OUT)-(c_TMAP1OUT))&gt;=0,IF(IF(o_WRAP=1,MOD(((c_TMAP2IN)-(c_TMAP1IN))*(((A924)-(c_TMAP1IN))*((c_TMAP2OUT)-(c_TMAP1OUT))+IF(((c_TMAP2OUT)-(c_TMAP1OUT))&gt;=0,1,-1)*QUOTIENT(((c_TMAP2IN)-(c_TMAP1IN)),2))+2147483648,4294967296)-2147483648,((c_TMAP2IN)-(c_TMAP1IN))*(((A924)-(c_TMAP1IN))*((c_TMAP2OUT)-(c_TMAP1OUT))+IF(((c_TMAP2OUT)-(c_TMAP1OUT))&gt;=0,1,-1)*QUOTIENT(((c_TMAP2IN)-(c_TMAP1IN)),2)))&lt;0,-1,0),IF(IF(o_WRAP=1,MOD(((c_TMAP2IN)-(c_TMAP1IN))*(((A924)-(c_TMAP1IN))*((c_TMAP2OUT)-(c_TMAP1OUT))+IF(((c_TMAP2OUT)-(c_TMAP1OUT))&gt;=0,1,-1)*QUOTIENT(((c_TMAP2IN)-(c_TMAP1IN)),2))+2147483648,4294967296)-2147483648,((c_TMAP2IN)-(c_TMAP1IN))*(((A924)-(c_TMAP1IN))*((c_TMAP2OUT)-(c_TMAP1OUT))+IF(((c_TMAP2OUT)-(c_TMAP1OUT))&gt;=0,1,-1)*QUOTIENT(((c_TMAP2IN)-(c_TMAP1IN)),2)))&gt;=0,1,0)))</f>
        <v>398</v>
      </c>
      <c r="F924" s="7" t="n">
        <f aca="false">IF(((c_TMAP3IN)-(c_TMAP2IN))=0,(c_TMAP2OUT)+QUOTIENT(((c_TMAP3OUT)-(c_TMAP2OUT)),2),QUOTIENT((((A924)-(c_TMAP2IN))*((c_TMAP3OUT)-(c_TMAP2OUT))+IF(((c_TMAP3OUT)-(c_TMAP2OUT))&gt;=0,1,-1)*QUOTIENT(((c_TMAP3IN)-(c_TMAP2IN)),2)),((c_TMAP3IN)-(c_TMAP2IN)))+(c_TMAP2OUT)+IF(((c_TMAP3OUT)-(c_TMAP2OUT))&gt;=0,IF(IF(o_WRAP=1,MOD(((c_TMAP3IN)-(c_TMAP2IN))*(((A924)-(c_TMAP2IN))*((c_TMAP3OUT)-(c_TMAP2OUT))+IF(((c_TMAP3OUT)-(c_TMAP2OUT))&gt;=0,1,-1)*QUOTIENT(((c_TMAP3IN)-(c_TMAP2IN)),2))+2147483648,4294967296)-2147483648,((c_TMAP3IN)-(c_TMAP2IN))*(((A924)-(c_TMAP2IN))*((c_TMAP3OUT)-(c_TMAP2OUT))+IF(((c_TMAP3OUT)-(c_TMAP2OUT))&gt;=0,1,-1)*QUOTIENT(((c_TMAP3IN)-(c_TMAP2IN)),2)))&lt;0,-1,0),IF(IF(o_WRAP=1,MOD(((c_TMAP3IN)-(c_TMAP2IN))*(((A924)-(c_TMAP2IN))*((c_TMAP3OUT)-(c_TMAP2OUT))+IF(((c_TMAP3OUT)-(c_TMAP2OUT))&gt;=0,1,-1)*QUOTIENT(((c_TMAP3IN)-(c_TMAP2IN)),2))+2147483648,4294967296)-2147483648,((c_TMAP3IN)-(c_TMAP2IN))*(((A924)-(c_TMAP2IN))*((c_TMAP3OUT)-(c_TMAP2OUT))+IF(((c_TMAP3OUT)-(c_TMAP2OUT))&gt;=0,1,-1)*QUOTIENT(((c_TMAP3IN)-(c_TMAP2IN)),2)))&gt;=0,1,0)))</f>
        <v>598</v>
      </c>
      <c r="G924" s="7" t="n">
        <f aca="false">IF(((1000)-(c_TMAP3IN))=0,(c_TMAP3OUT)+QUOTIENT(((1000)-(c_TMAP3OUT)),2),QUOTIENT((((A924)-(c_TMAP3IN))*((1000)-(c_TMAP3OUT))+IF(((1000)-(c_TMAP3OUT))&gt;=0,1,-1)*QUOTIENT(((1000)-(c_TMAP3IN)),2)),((1000)-(c_TMAP3IN)))+(c_TMAP3OUT)+IF(((1000)-(c_TMAP3OUT))&gt;=0,IF(IF(o_WRAP=1,MOD(((1000)-(c_TMAP3IN))*(((A924)-(c_TMAP3IN))*((1000)-(c_TMAP3OUT))+IF(((1000)-(c_TMAP3OUT))&gt;=0,1,-1)*QUOTIENT(((1000)-(c_TMAP3IN)),2))+2147483648,4294967296)-2147483648,((1000)-(c_TMAP3IN))*(((A924)-(c_TMAP3IN))*((1000)-(c_TMAP3OUT))+IF(((1000)-(c_TMAP3OUT))&gt;=0,1,-1)*QUOTIENT(((1000)-(c_TMAP3IN)),2)))&lt;0,-1,0),IF(IF(o_WRAP=1,MOD(((1000)-(c_TMAP3IN))*(((A924)-(c_TMAP3IN))*((1000)-(c_TMAP3OUT))+IF(((1000)-(c_TMAP3OUT))&gt;=0,1,-1)*QUOTIENT(((1000)-(c_TMAP3IN)),2))+2147483648,4294967296)-2147483648,((1000)-(c_TMAP3IN))*(((A924)-(c_TMAP3IN))*((1000)-(c_TMAP3OUT))+IF(((1000)-(c_TMAP3OUT))&gt;=0,1,-1)*QUOTIENT(((1000)-(c_TMAP3IN)),2)))&gt;=0,1,0)))</f>
        <v>900</v>
      </c>
      <c r="H924" s="7" t="str">
        <f aca="false">IF(A924&gt;=c_TFWD,IF(AND(A924&gt;=c_TMAP3IN,c_TMAP3IN&lt;1000),"Seg4 map3-100%",IF(AND(A924&gt;=c_TMAP2IN,c_TMAP3IN&gt;c_TMAP2IN),"Seg3 map2-map3",IF(AND(A924&gt;=c_TMAP1IN,c_TMAP2IN&gt;c_TMAP1IN),"Seg2 map1-map2","Seg1 TFWD-map1"))),IF(AND(A924=0,c_TCREEP&gt;0),"Creep",IF(AND(A924&lt;=c_TRNGMIN,A924&gt;=c_TRNGMAX,c_TRNGMIN-c_TRNGMAX&lt;&gt;0),"Regen ramp","Coast (0)")))</f>
        <v>Seg4 map3-100%</v>
      </c>
      <c r="I924" s="7" t="n">
        <f aca="false">IF(A924&gt;=c_TFWD,IF(AND(A924&gt;=c_TMAP3IN,c_TMAP3IN&lt;1000),G924,IF(AND(A924&gt;=c_TMAP2IN,c_TMAP3IN&gt;c_TMAP2IN),F924,IF(AND(A924&gt;=c_TMAP1IN,c_TMAP2IN&gt;c_TMAP1IN),E924,D924))),C924)</f>
        <v>900</v>
      </c>
      <c r="J924" s="7" t="str">
        <f aca="false">IF(I924&lt;-1090,"TOO LOW",IF(I924&gt;1090,"TOO HIGH",""))</f>
        <v/>
      </c>
      <c r="K924" s="15" t="n">
        <f aca="false">IF(J924&lt;&gt;"",0,IF(I924&gt;979,1000,I924))</f>
        <v>900</v>
      </c>
      <c r="L924" s="7" t="n">
        <f aca="false">K924/10</f>
        <v>90</v>
      </c>
    </row>
    <row r="925" customFormat="false" ht="15" hidden="false" customHeight="false" outlineLevel="0" collapsed="false">
      <c r="A925" s="7" t="n">
        <v>920</v>
      </c>
      <c r="B925" s="7" t="n">
        <f aca="false">A925/10</f>
        <v>92</v>
      </c>
      <c r="C925" s="7" t="n">
        <f aca="false">IF(AND(A925=0,c_TCREEP&gt;0),10*c_TCREEP,IF(AND(A925&lt;=c_TRNGMIN,A925&gt;=c_TRNGMAX,c_TRNGMIN-c_TRNGMAX&lt;&gt;0),-10*c_TMINRN+QUOTIENT((c_TMAXRN-c_TMINRN)*(100-QUOTIENT((A925-c_TRNGMAX)*100,c_TRNGMIN-c_TRNGMAX)),-10),0))</f>
        <v>0</v>
      </c>
      <c r="D925" s="7" t="n">
        <f aca="false">IF(((c_TMAP1IN)-(c_TFWD))=0,(0)+QUOTIENT(((c_TMAP1OUT)-(0)),2),QUOTIENT((((A925)-(c_TFWD))*((c_TMAP1OUT)-(0))+IF(((c_TMAP1OUT)-(0))&gt;=0,1,-1)*QUOTIENT(((c_TMAP1IN)-(c_TFWD)),2)),((c_TMAP1IN)-(c_TFWD)))+(0)+IF(((c_TMAP1OUT)-(0))&gt;=0,IF(IF(o_WRAP=1,MOD(((c_TMAP1IN)-(c_TFWD))*(((A925)-(c_TFWD))*((c_TMAP1OUT)-(0))+IF(((c_TMAP1OUT)-(0))&gt;=0,1,-1)*QUOTIENT(((c_TMAP1IN)-(c_TFWD)),2))+2147483648,4294967296)-2147483648,((c_TMAP1IN)-(c_TFWD))*(((A925)-(c_TFWD))*((c_TMAP1OUT)-(0))+IF(((c_TMAP1OUT)-(0))&gt;=0,1,-1)*QUOTIENT(((c_TMAP1IN)-(c_TFWD)),2)))&lt;0,-1,0),IF(IF(o_WRAP=1,MOD(((c_TMAP1IN)-(c_TFWD))*(((A925)-(c_TFWD))*((c_TMAP1OUT)-(0))+IF(((c_TMAP1OUT)-(0))&gt;=0,1,-1)*QUOTIENT(((c_TMAP1IN)-(c_TFWD)),2))+2147483648,4294967296)-2147483648,((c_TMAP1IN)-(c_TFWD))*(((A925)-(c_TFWD))*((c_TMAP1OUT)-(0))+IF(((c_TMAP1OUT)-(0))&gt;=0,1,-1)*QUOTIENT(((c_TMAP1IN)-(c_TFWD)),2)))&gt;=0,1,0)))</f>
        <v>708</v>
      </c>
      <c r="E925" s="7" t="n">
        <f aca="false">IF(((c_TMAP2IN)-(c_TMAP1IN))=0,(c_TMAP1OUT)+QUOTIENT(((c_TMAP2OUT)-(c_TMAP1OUT)),2),QUOTIENT((((A925)-(c_TMAP1IN))*((c_TMAP2OUT)-(c_TMAP1OUT))+IF(((c_TMAP2OUT)-(c_TMAP1OUT))&gt;=0,1,-1)*QUOTIENT(((c_TMAP2IN)-(c_TMAP1IN)),2)),((c_TMAP2IN)-(c_TMAP1IN)))+(c_TMAP1OUT)+IF(((c_TMAP2OUT)-(c_TMAP1OUT))&gt;=0,IF(IF(o_WRAP=1,MOD(((c_TMAP2IN)-(c_TMAP1IN))*(((A925)-(c_TMAP1IN))*((c_TMAP2OUT)-(c_TMAP1OUT))+IF(((c_TMAP2OUT)-(c_TMAP1OUT))&gt;=0,1,-1)*QUOTIENT(((c_TMAP2IN)-(c_TMAP1IN)),2))+2147483648,4294967296)-2147483648,((c_TMAP2IN)-(c_TMAP1IN))*(((A925)-(c_TMAP1IN))*((c_TMAP2OUT)-(c_TMAP1OUT))+IF(((c_TMAP2OUT)-(c_TMAP1OUT))&gt;=0,1,-1)*QUOTIENT(((c_TMAP2IN)-(c_TMAP1IN)),2)))&lt;0,-1,0),IF(IF(o_WRAP=1,MOD(((c_TMAP2IN)-(c_TMAP1IN))*(((A925)-(c_TMAP1IN))*((c_TMAP2OUT)-(c_TMAP1OUT))+IF(((c_TMAP2OUT)-(c_TMAP1OUT))&gt;=0,1,-1)*QUOTIENT(((c_TMAP2IN)-(c_TMAP1IN)),2))+2147483648,4294967296)-2147483648,((c_TMAP2IN)-(c_TMAP1IN))*(((A925)-(c_TMAP1IN))*((c_TMAP2OUT)-(c_TMAP1OUT))+IF(((c_TMAP2OUT)-(c_TMAP1OUT))&gt;=0,1,-1)*QUOTIENT(((c_TMAP2IN)-(c_TMAP1IN)),2)))&gt;=0,1,0)))</f>
        <v>398</v>
      </c>
      <c r="F925" s="7" t="n">
        <f aca="false">IF(((c_TMAP3IN)-(c_TMAP2IN))=0,(c_TMAP2OUT)+QUOTIENT(((c_TMAP3OUT)-(c_TMAP2OUT)),2),QUOTIENT((((A925)-(c_TMAP2IN))*((c_TMAP3OUT)-(c_TMAP2OUT))+IF(((c_TMAP3OUT)-(c_TMAP2OUT))&gt;=0,1,-1)*QUOTIENT(((c_TMAP3IN)-(c_TMAP2IN)),2)),((c_TMAP3IN)-(c_TMAP2IN)))+(c_TMAP2OUT)+IF(((c_TMAP3OUT)-(c_TMAP2OUT))&gt;=0,IF(IF(o_WRAP=1,MOD(((c_TMAP3IN)-(c_TMAP2IN))*(((A925)-(c_TMAP2IN))*((c_TMAP3OUT)-(c_TMAP2OUT))+IF(((c_TMAP3OUT)-(c_TMAP2OUT))&gt;=0,1,-1)*QUOTIENT(((c_TMAP3IN)-(c_TMAP2IN)),2))+2147483648,4294967296)-2147483648,((c_TMAP3IN)-(c_TMAP2IN))*(((A925)-(c_TMAP2IN))*((c_TMAP3OUT)-(c_TMAP2OUT))+IF(((c_TMAP3OUT)-(c_TMAP2OUT))&gt;=0,1,-1)*QUOTIENT(((c_TMAP3IN)-(c_TMAP2IN)),2)))&lt;0,-1,0),IF(IF(o_WRAP=1,MOD(((c_TMAP3IN)-(c_TMAP2IN))*(((A925)-(c_TMAP2IN))*((c_TMAP3OUT)-(c_TMAP2OUT))+IF(((c_TMAP3OUT)-(c_TMAP2OUT))&gt;=0,1,-1)*QUOTIENT(((c_TMAP3IN)-(c_TMAP2IN)),2))+2147483648,4294967296)-2147483648,((c_TMAP3IN)-(c_TMAP2IN))*(((A925)-(c_TMAP2IN))*((c_TMAP3OUT)-(c_TMAP2OUT))+IF(((c_TMAP3OUT)-(c_TMAP2OUT))&gt;=0,1,-1)*QUOTIENT(((c_TMAP3IN)-(c_TMAP2IN)),2)))&gt;=0,1,0)))</f>
        <v>599</v>
      </c>
      <c r="G925" s="7" t="n">
        <f aca="false">IF(((1000)-(c_TMAP3IN))=0,(c_TMAP3OUT)+QUOTIENT(((1000)-(c_TMAP3OUT)),2),QUOTIENT((((A925)-(c_TMAP3IN))*((1000)-(c_TMAP3OUT))+IF(((1000)-(c_TMAP3OUT))&gt;=0,1,-1)*QUOTIENT(((1000)-(c_TMAP3IN)),2)),((1000)-(c_TMAP3IN)))+(c_TMAP3OUT)+IF(((1000)-(c_TMAP3OUT))&gt;=0,IF(IF(o_WRAP=1,MOD(((1000)-(c_TMAP3IN))*(((A925)-(c_TMAP3IN))*((1000)-(c_TMAP3OUT))+IF(((1000)-(c_TMAP3OUT))&gt;=0,1,-1)*QUOTIENT(((1000)-(c_TMAP3IN)),2))+2147483648,4294967296)-2147483648,((1000)-(c_TMAP3IN))*(((A925)-(c_TMAP3IN))*((1000)-(c_TMAP3OUT))+IF(((1000)-(c_TMAP3OUT))&gt;=0,1,-1)*QUOTIENT(((1000)-(c_TMAP3IN)),2)))&lt;0,-1,0),IF(IF(o_WRAP=1,MOD(((1000)-(c_TMAP3IN))*(((A925)-(c_TMAP3IN))*((1000)-(c_TMAP3OUT))+IF(((1000)-(c_TMAP3OUT))&gt;=0,1,-1)*QUOTIENT(((1000)-(c_TMAP3IN)),2))+2147483648,4294967296)-2147483648,((1000)-(c_TMAP3IN))*(((A925)-(c_TMAP3IN))*((1000)-(c_TMAP3OUT))+IF(((1000)-(c_TMAP3OUT))&gt;=0,1,-1)*QUOTIENT(((1000)-(c_TMAP3IN)),2)))&gt;=0,1,0)))</f>
        <v>902</v>
      </c>
      <c r="H925" s="7" t="str">
        <f aca="false">IF(A925&gt;=c_TFWD,IF(AND(A925&gt;=c_TMAP3IN,c_TMAP3IN&lt;1000),"Seg4 map3-100%",IF(AND(A925&gt;=c_TMAP2IN,c_TMAP3IN&gt;c_TMAP2IN),"Seg3 map2-map3",IF(AND(A925&gt;=c_TMAP1IN,c_TMAP2IN&gt;c_TMAP1IN),"Seg2 map1-map2","Seg1 TFWD-map1"))),IF(AND(A925=0,c_TCREEP&gt;0),"Creep",IF(AND(A925&lt;=c_TRNGMIN,A925&gt;=c_TRNGMAX,c_TRNGMIN-c_TRNGMAX&lt;&gt;0),"Regen ramp","Coast (0)")))</f>
        <v>Seg4 map3-100%</v>
      </c>
      <c r="I925" s="7" t="n">
        <f aca="false">IF(A925&gt;=c_TFWD,IF(AND(A925&gt;=c_TMAP3IN,c_TMAP3IN&lt;1000),G925,IF(AND(A925&gt;=c_TMAP2IN,c_TMAP3IN&gt;c_TMAP2IN),F925,IF(AND(A925&gt;=c_TMAP1IN,c_TMAP2IN&gt;c_TMAP1IN),E925,D925))),C925)</f>
        <v>902</v>
      </c>
      <c r="J925" s="7" t="str">
        <f aca="false">IF(I925&lt;-1090,"TOO LOW",IF(I925&gt;1090,"TOO HIGH",""))</f>
        <v/>
      </c>
      <c r="K925" s="15" t="n">
        <f aca="false">IF(J925&lt;&gt;"",0,IF(I925&gt;979,1000,I925))</f>
        <v>902</v>
      </c>
      <c r="L925" s="7" t="n">
        <f aca="false">K925/10</f>
        <v>90.2</v>
      </c>
    </row>
    <row r="926" customFormat="false" ht="15" hidden="false" customHeight="false" outlineLevel="0" collapsed="false">
      <c r="A926" s="7" t="n">
        <v>921</v>
      </c>
      <c r="B926" s="7" t="n">
        <f aca="false">A926/10</f>
        <v>92.1</v>
      </c>
      <c r="C926" s="7" t="n">
        <f aca="false">IF(AND(A926=0,c_TCREEP&gt;0),10*c_TCREEP,IF(AND(A926&lt;=c_TRNGMIN,A926&gt;=c_TRNGMAX,c_TRNGMIN-c_TRNGMAX&lt;&gt;0),-10*c_TMINRN+QUOTIENT((c_TMAXRN-c_TMINRN)*(100-QUOTIENT((A926-c_TRNGMAX)*100,c_TRNGMIN-c_TRNGMAX)),-10),0))</f>
        <v>0</v>
      </c>
      <c r="D926" s="7" t="n">
        <f aca="false">IF(((c_TMAP1IN)-(c_TFWD))=0,(0)+QUOTIENT(((c_TMAP1OUT)-(0)),2),QUOTIENT((((A926)-(c_TFWD))*((c_TMAP1OUT)-(0))+IF(((c_TMAP1OUT)-(0))&gt;=0,1,-1)*QUOTIENT(((c_TMAP1IN)-(c_TFWD)),2)),((c_TMAP1IN)-(c_TFWD)))+(0)+IF(((c_TMAP1OUT)-(0))&gt;=0,IF(IF(o_WRAP=1,MOD(((c_TMAP1IN)-(c_TFWD))*(((A926)-(c_TFWD))*((c_TMAP1OUT)-(0))+IF(((c_TMAP1OUT)-(0))&gt;=0,1,-1)*QUOTIENT(((c_TMAP1IN)-(c_TFWD)),2))+2147483648,4294967296)-2147483648,((c_TMAP1IN)-(c_TFWD))*(((A926)-(c_TFWD))*((c_TMAP1OUT)-(0))+IF(((c_TMAP1OUT)-(0))&gt;=0,1,-1)*QUOTIENT(((c_TMAP1IN)-(c_TFWD)),2)))&lt;0,-1,0),IF(IF(o_WRAP=1,MOD(((c_TMAP1IN)-(c_TFWD))*(((A926)-(c_TFWD))*((c_TMAP1OUT)-(0))+IF(((c_TMAP1OUT)-(0))&gt;=0,1,-1)*QUOTIENT(((c_TMAP1IN)-(c_TFWD)),2))+2147483648,4294967296)-2147483648,((c_TMAP1IN)-(c_TFWD))*(((A926)-(c_TFWD))*((c_TMAP1OUT)-(0))+IF(((c_TMAP1OUT)-(0))&gt;=0,1,-1)*QUOTIENT(((c_TMAP1IN)-(c_TFWD)),2)))&gt;=0,1,0)))</f>
        <v>709</v>
      </c>
      <c r="E926" s="7" t="n">
        <f aca="false">IF(((c_TMAP2IN)-(c_TMAP1IN))=0,(c_TMAP1OUT)+QUOTIENT(((c_TMAP2OUT)-(c_TMAP1OUT)),2),QUOTIENT((((A926)-(c_TMAP1IN))*((c_TMAP2OUT)-(c_TMAP1OUT))+IF(((c_TMAP2OUT)-(c_TMAP1OUT))&gt;=0,1,-1)*QUOTIENT(((c_TMAP2IN)-(c_TMAP1IN)),2)),((c_TMAP2IN)-(c_TMAP1IN)))+(c_TMAP1OUT)+IF(((c_TMAP2OUT)-(c_TMAP1OUT))&gt;=0,IF(IF(o_WRAP=1,MOD(((c_TMAP2IN)-(c_TMAP1IN))*(((A926)-(c_TMAP1IN))*((c_TMAP2OUT)-(c_TMAP1OUT))+IF(((c_TMAP2OUT)-(c_TMAP1OUT))&gt;=0,1,-1)*QUOTIENT(((c_TMAP2IN)-(c_TMAP1IN)),2))+2147483648,4294967296)-2147483648,((c_TMAP2IN)-(c_TMAP1IN))*(((A926)-(c_TMAP1IN))*((c_TMAP2OUT)-(c_TMAP1OUT))+IF(((c_TMAP2OUT)-(c_TMAP1OUT))&gt;=0,1,-1)*QUOTIENT(((c_TMAP2IN)-(c_TMAP1IN)),2)))&lt;0,-1,0),IF(IF(o_WRAP=1,MOD(((c_TMAP2IN)-(c_TMAP1IN))*(((A926)-(c_TMAP1IN))*((c_TMAP2OUT)-(c_TMAP1OUT))+IF(((c_TMAP2OUT)-(c_TMAP1OUT))&gt;=0,1,-1)*QUOTIENT(((c_TMAP2IN)-(c_TMAP1IN)),2))+2147483648,4294967296)-2147483648,((c_TMAP2IN)-(c_TMAP1IN))*(((A926)-(c_TMAP1IN))*((c_TMAP2OUT)-(c_TMAP1OUT))+IF(((c_TMAP2OUT)-(c_TMAP1OUT))&gt;=0,1,-1)*QUOTIENT(((c_TMAP2IN)-(c_TMAP1IN)),2)))&gt;=0,1,0)))</f>
        <v>398</v>
      </c>
      <c r="F926" s="7" t="n">
        <f aca="false">IF(((c_TMAP3IN)-(c_TMAP2IN))=0,(c_TMAP2OUT)+QUOTIENT(((c_TMAP3OUT)-(c_TMAP2OUT)),2),QUOTIENT((((A926)-(c_TMAP2IN))*((c_TMAP3OUT)-(c_TMAP2OUT))+IF(((c_TMAP3OUT)-(c_TMAP2OUT))&gt;=0,1,-1)*QUOTIENT(((c_TMAP3IN)-(c_TMAP2IN)),2)),((c_TMAP3IN)-(c_TMAP2IN)))+(c_TMAP2OUT)+IF(((c_TMAP3OUT)-(c_TMAP2OUT))&gt;=0,IF(IF(o_WRAP=1,MOD(((c_TMAP3IN)-(c_TMAP2IN))*(((A926)-(c_TMAP2IN))*((c_TMAP3OUT)-(c_TMAP2OUT))+IF(((c_TMAP3OUT)-(c_TMAP2OUT))&gt;=0,1,-1)*QUOTIENT(((c_TMAP3IN)-(c_TMAP2IN)),2))+2147483648,4294967296)-2147483648,((c_TMAP3IN)-(c_TMAP2IN))*(((A926)-(c_TMAP2IN))*((c_TMAP3OUT)-(c_TMAP2OUT))+IF(((c_TMAP3OUT)-(c_TMAP2OUT))&gt;=0,1,-1)*QUOTIENT(((c_TMAP3IN)-(c_TMAP2IN)),2)))&lt;0,-1,0),IF(IF(o_WRAP=1,MOD(((c_TMAP3IN)-(c_TMAP2IN))*(((A926)-(c_TMAP2IN))*((c_TMAP3OUT)-(c_TMAP2OUT))+IF(((c_TMAP3OUT)-(c_TMAP2OUT))&gt;=0,1,-1)*QUOTIENT(((c_TMAP3IN)-(c_TMAP2IN)),2))+2147483648,4294967296)-2147483648,((c_TMAP3IN)-(c_TMAP2IN))*(((A926)-(c_TMAP2IN))*((c_TMAP3OUT)-(c_TMAP2OUT))+IF(((c_TMAP3OUT)-(c_TMAP2OUT))&gt;=0,1,-1)*QUOTIENT(((c_TMAP3IN)-(c_TMAP2IN)),2)))&gt;=0,1,0)))</f>
        <v>600</v>
      </c>
      <c r="G926" s="7" t="n">
        <f aca="false">IF(((1000)-(c_TMAP3IN))=0,(c_TMAP3OUT)+QUOTIENT(((1000)-(c_TMAP3OUT)),2),QUOTIENT((((A926)-(c_TMAP3IN))*((1000)-(c_TMAP3OUT))+IF(((1000)-(c_TMAP3OUT))&gt;=0,1,-1)*QUOTIENT(((1000)-(c_TMAP3IN)),2)),((1000)-(c_TMAP3IN)))+(c_TMAP3OUT)+IF(((1000)-(c_TMAP3OUT))&gt;=0,IF(IF(o_WRAP=1,MOD(((1000)-(c_TMAP3IN))*(((A926)-(c_TMAP3IN))*((1000)-(c_TMAP3OUT))+IF(((1000)-(c_TMAP3OUT))&gt;=0,1,-1)*QUOTIENT(((1000)-(c_TMAP3IN)),2))+2147483648,4294967296)-2147483648,((1000)-(c_TMAP3IN))*(((A926)-(c_TMAP3IN))*((1000)-(c_TMAP3OUT))+IF(((1000)-(c_TMAP3OUT))&gt;=0,1,-1)*QUOTIENT(((1000)-(c_TMAP3IN)),2)))&lt;0,-1,0),IF(IF(o_WRAP=1,MOD(((1000)-(c_TMAP3IN))*(((A926)-(c_TMAP3IN))*((1000)-(c_TMAP3OUT))+IF(((1000)-(c_TMAP3OUT))&gt;=0,1,-1)*QUOTIENT(((1000)-(c_TMAP3IN)),2))+2147483648,4294967296)-2147483648,((1000)-(c_TMAP3IN))*(((A926)-(c_TMAP3IN))*((1000)-(c_TMAP3OUT))+IF(((1000)-(c_TMAP3OUT))&gt;=0,1,-1)*QUOTIENT(((1000)-(c_TMAP3IN)),2)))&gt;=0,1,0)))</f>
        <v>903</v>
      </c>
      <c r="H926" s="7" t="str">
        <f aca="false">IF(A926&gt;=c_TFWD,IF(AND(A926&gt;=c_TMAP3IN,c_TMAP3IN&lt;1000),"Seg4 map3-100%",IF(AND(A926&gt;=c_TMAP2IN,c_TMAP3IN&gt;c_TMAP2IN),"Seg3 map2-map3",IF(AND(A926&gt;=c_TMAP1IN,c_TMAP2IN&gt;c_TMAP1IN),"Seg2 map1-map2","Seg1 TFWD-map1"))),IF(AND(A926=0,c_TCREEP&gt;0),"Creep",IF(AND(A926&lt;=c_TRNGMIN,A926&gt;=c_TRNGMAX,c_TRNGMIN-c_TRNGMAX&lt;&gt;0),"Regen ramp","Coast (0)")))</f>
        <v>Seg4 map3-100%</v>
      </c>
      <c r="I926" s="7" t="n">
        <f aca="false">IF(A926&gt;=c_TFWD,IF(AND(A926&gt;=c_TMAP3IN,c_TMAP3IN&lt;1000),G926,IF(AND(A926&gt;=c_TMAP2IN,c_TMAP3IN&gt;c_TMAP2IN),F926,IF(AND(A926&gt;=c_TMAP1IN,c_TMAP2IN&gt;c_TMAP1IN),E926,D926))),C926)</f>
        <v>903</v>
      </c>
      <c r="J926" s="7" t="str">
        <f aca="false">IF(I926&lt;-1090,"TOO LOW",IF(I926&gt;1090,"TOO HIGH",""))</f>
        <v/>
      </c>
      <c r="K926" s="15" t="n">
        <f aca="false">IF(J926&lt;&gt;"",0,IF(I926&gt;979,1000,I926))</f>
        <v>903</v>
      </c>
      <c r="L926" s="7" t="n">
        <f aca="false">K926/10</f>
        <v>90.3</v>
      </c>
    </row>
    <row r="927" customFormat="false" ht="15" hidden="false" customHeight="false" outlineLevel="0" collapsed="false">
      <c r="A927" s="7" t="n">
        <v>922</v>
      </c>
      <c r="B927" s="7" t="n">
        <f aca="false">A927/10</f>
        <v>92.2</v>
      </c>
      <c r="C927" s="7" t="n">
        <f aca="false">IF(AND(A927=0,c_TCREEP&gt;0),10*c_TCREEP,IF(AND(A927&lt;=c_TRNGMIN,A927&gt;=c_TRNGMAX,c_TRNGMIN-c_TRNGMAX&lt;&gt;0),-10*c_TMINRN+QUOTIENT((c_TMAXRN-c_TMINRN)*(100-QUOTIENT((A927-c_TRNGMAX)*100,c_TRNGMIN-c_TRNGMAX)),-10),0))</f>
        <v>0</v>
      </c>
      <c r="D927" s="7" t="n">
        <f aca="false">IF(((c_TMAP1IN)-(c_TFWD))=0,(0)+QUOTIENT(((c_TMAP1OUT)-(0)),2),QUOTIENT((((A927)-(c_TFWD))*((c_TMAP1OUT)-(0))+IF(((c_TMAP1OUT)-(0))&gt;=0,1,-1)*QUOTIENT(((c_TMAP1IN)-(c_TFWD)),2)),((c_TMAP1IN)-(c_TFWD)))+(0)+IF(((c_TMAP1OUT)-(0))&gt;=0,IF(IF(o_WRAP=1,MOD(((c_TMAP1IN)-(c_TFWD))*(((A927)-(c_TFWD))*((c_TMAP1OUT)-(0))+IF(((c_TMAP1OUT)-(0))&gt;=0,1,-1)*QUOTIENT(((c_TMAP1IN)-(c_TFWD)),2))+2147483648,4294967296)-2147483648,((c_TMAP1IN)-(c_TFWD))*(((A927)-(c_TFWD))*((c_TMAP1OUT)-(0))+IF(((c_TMAP1OUT)-(0))&gt;=0,1,-1)*QUOTIENT(((c_TMAP1IN)-(c_TFWD)),2)))&lt;0,-1,0),IF(IF(o_WRAP=1,MOD(((c_TMAP1IN)-(c_TFWD))*(((A927)-(c_TFWD))*((c_TMAP1OUT)-(0))+IF(((c_TMAP1OUT)-(0))&gt;=0,1,-1)*QUOTIENT(((c_TMAP1IN)-(c_TFWD)),2))+2147483648,4294967296)-2147483648,((c_TMAP1IN)-(c_TFWD))*(((A927)-(c_TFWD))*((c_TMAP1OUT)-(0))+IF(((c_TMAP1OUT)-(0))&gt;=0,1,-1)*QUOTIENT(((c_TMAP1IN)-(c_TFWD)),2)))&gt;=0,1,0)))</f>
        <v>709</v>
      </c>
      <c r="E927" s="7" t="n">
        <f aca="false">IF(((c_TMAP2IN)-(c_TMAP1IN))=0,(c_TMAP1OUT)+QUOTIENT(((c_TMAP2OUT)-(c_TMAP1OUT)),2),QUOTIENT((((A927)-(c_TMAP1IN))*((c_TMAP2OUT)-(c_TMAP1OUT))+IF(((c_TMAP2OUT)-(c_TMAP1OUT))&gt;=0,1,-1)*QUOTIENT(((c_TMAP2IN)-(c_TMAP1IN)),2)),((c_TMAP2IN)-(c_TMAP1IN)))+(c_TMAP1OUT)+IF(((c_TMAP2OUT)-(c_TMAP1OUT))&gt;=0,IF(IF(o_WRAP=1,MOD(((c_TMAP2IN)-(c_TMAP1IN))*(((A927)-(c_TMAP1IN))*((c_TMAP2OUT)-(c_TMAP1OUT))+IF(((c_TMAP2OUT)-(c_TMAP1OUT))&gt;=0,1,-1)*QUOTIENT(((c_TMAP2IN)-(c_TMAP1IN)),2))+2147483648,4294967296)-2147483648,((c_TMAP2IN)-(c_TMAP1IN))*(((A927)-(c_TMAP1IN))*((c_TMAP2OUT)-(c_TMAP1OUT))+IF(((c_TMAP2OUT)-(c_TMAP1OUT))&gt;=0,1,-1)*QUOTIENT(((c_TMAP2IN)-(c_TMAP1IN)),2)))&lt;0,-1,0),IF(IF(o_WRAP=1,MOD(((c_TMAP2IN)-(c_TMAP1IN))*(((A927)-(c_TMAP1IN))*((c_TMAP2OUT)-(c_TMAP1OUT))+IF(((c_TMAP2OUT)-(c_TMAP1OUT))&gt;=0,1,-1)*QUOTIENT(((c_TMAP2IN)-(c_TMAP1IN)),2))+2147483648,4294967296)-2147483648,((c_TMAP2IN)-(c_TMAP1IN))*(((A927)-(c_TMAP1IN))*((c_TMAP2OUT)-(c_TMAP1OUT))+IF(((c_TMAP2OUT)-(c_TMAP1OUT))&gt;=0,1,-1)*QUOTIENT(((c_TMAP2IN)-(c_TMAP1IN)),2)))&gt;=0,1,0)))</f>
        <v>399</v>
      </c>
      <c r="F927" s="7" t="n">
        <f aca="false">IF(((c_TMAP3IN)-(c_TMAP2IN))=0,(c_TMAP2OUT)+QUOTIENT(((c_TMAP3OUT)-(c_TMAP2OUT)),2),QUOTIENT((((A927)-(c_TMAP2IN))*((c_TMAP3OUT)-(c_TMAP2OUT))+IF(((c_TMAP3OUT)-(c_TMAP2OUT))&gt;=0,1,-1)*QUOTIENT(((c_TMAP3IN)-(c_TMAP2IN)),2)),((c_TMAP3IN)-(c_TMAP2IN)))+(c_TMAP2OUT)+IF(((c_TMAP3OUT)-(c_TMAP2OUT))&gt;=0,IF(IF(o_WRAP=1,MOD(((c_TMAP3IN)-(c_TMAP2IN))*(((A927)-(c_TMAP2IN))*((c_TMAP3OUT)-(c_TMAP2OUT))+IF(((c_TMAP3OUT)-(c_TMAP2OUT))&gt;=0,1,-1)*QUOTIENT(((c_TMAP3IN)-(c_TMAP2IN)),2))+2147483648,4294967296)-2147483648,((c_TMAP3IN)-(c_TMAP2IN))*(((A927)-(c_TMAP2IN))*((c_TMAP3OUT)-(c_TMAP2OUT))+IF(((c_TMAP3OUT)-(c_TMAP2OUT))&gt;=0,1,-1)*QUOTIENT(((c_TMAP3IN)-(c_TMAP2IN)),2)))&lt;0,-1,0),IF(IF(o_WRAP=1,MOD(((c_TMAP3IN)-(c_TMAP2IN))*(((A927)-(c_TMAP2IN))*((c_TMAP3OUT)-(c_TMAP2OUT))+IF(((c_TMAP3OUT)-(c_TMAP2OUT))&gt;=0,1,-1)*QUOTIENT(((c_TMAP3IN)-(c_TMAP2IN)),2))+2147483648,4294967296)-2147483648,((c_TMAP3IN)-(c_TMAP2IN))*(((A927)-(c_TMAP2IN))*((c_TMAP3OUT)-(c_TMAP2OUT))+IF(((c_TMAP3OUT)-(c_TMAP2OUT))&gt;=0,1,-1)*QUOTIENT(((c_TMAP3IN)-(c_TMAP2IN)),2)))&gt;=0,1,0)))</f>
        <v>600</v>
      </c>
      <c r="G927" s="7" t="n">
        <f aca="false">IF(((1000)-(c_TMAP3IN))=0,(c_TMAP3OUT)+QUOTIENT(((1000)-(c_TMAP3OUT)),2),QUOTIENT((((A927)-(c_TMAP3IN))*((1000)-(c_TMAP3OUT))+IF(((1000)-(c_TMAP3OUT))&gt;=0,1,-1)*QUOTIENT(((1000)-(c_TMAP3IN)),2)),((1000)-(c_TMAP3IN)))+(c_TMAP3OUT)+IF(((1000)-(c_TMAP3OUT))&gt;=0,IF(IF(o_WRAP=1,MOD(((1000)-(c_TMAP3IN))*(((A927)-(c_TMAP3IN))*((1000)-(c_TMAP3OUT))+IF(((1000)-(c_TMAP3OUT))&gt;=0,1,-1)*QUOTIENT(((1000)-(c_TMAP3IN)),2))+2147483648,4294967296)-2147483648,((1000)-(c_TMAP3IN))*(((A927)-(c_TMAP3IN))*((1000)-(c_TMAP3OUT))+IF(((1000)-(c_TMAP3OUT))&gt;=0,1,-1)*QUOTIENT(((1000)-(c_TMAP3IN)),2)))&lt;0,-1,0),IF(IF(o_WRAP=1,MOD(((1000)-(c_TMAP3IN))*(((A927)-(c_TMAP3IN))*((1000)-(c_TMAP3OUT))+IF(((1000)-(c_TMAP3OUT))&gt;=0,1,-1)*QUOTIENT(((1000)-(c_TMAP3IN)),2))+2147483648,4294967296)-2147483648,((1000)-(c_TMAP3IN))*(((A927)-(c_TMAP3IN))*((1000)-(c_TMAP3OUT))+IF(((1000)-(c_TMAP3OUT))&gt;=0,1,-1)*QUOTIENT(((1000)-(c_TMAP3IN)),2)))&gt;=0,1,0)))</f>
        <v>904</v>
      </c>
      <c r="H927" s="7" t="str">
        <f aca="false">IF(A927&gt;=c_TFWD,IF(AND(A927&gt;=c_TMAP3IN,c_TMAP3IN&lt;1000),"Seg4 map3-100%",IF(AND(A927&gt;=c_TMAP2IN,c_TMAP3IN&gt;c_TMAP2IN),"Seg3 map2-map3",IF(AND(A927&gt;=c_TMAP1IN,c_TMAP2IN&gt;c_TMAP1IN),"Seg2 map1-map2","Seg1 TFWD-map1"))),IF(AND(A927=0,c_TCREEP&gt;0),"Creep",IF(AND(A927&lt;=c_TRNGMIN,A927&gt;=c_TRNGMAX,c_TRNGMIN-c_TRNGMAX&lt;&gt;0),"Regen ramp","Coast (0)")))</f>
        <v>Seg4 map3-100%</v>
      </c>
      <c r="I927" s="7" t="n">
        <f aca="false">IF(A927&gt;=c_TFWD,IF(AND(A927&gt;=c_TMAP3IN,c_TMAP3IN&lt;1000),G927,IF(AND(A927&gt;=c_TMAP2IN,c_TMAP3IN&gt;c_TMAP2IN),F927,IF(AND(A927&gt;=c_TMAP1IN,c_TMAP2IN&gt;c_TMAP1IN),E927,D927))),C927)</f>
        <v>904</v>
      </c>
      <c r="J927" s="7" t="str">
        <f aca="false">IF(I927&lt;-1090,"TOO LOW",IF(I927&gt;1090,"TOO HIGH",""))</f>
        <v/>
      </c>
      <c r="K927" s="15" t="n">
        <f aca="false">IF(J927&lt;&gt;"",0,IF(I927&gt;979,1000,I927))</f>
        <v>904</v>
      </c>
      <c r="L927" s="7" t="n">
        <f aca="false">K927/10</f>
        <v>90.4</v>
      </c>
    </row>
    <row r="928" customFormat="false" ht="15" hidden="false" customHeight="false" outlineLevel="0" collapsed="false">
      <c r="A928" s="7" t="n">
        <v>923</v>
      </c>
      <c r="B928" s="7" t="n">
        <f aca="false">A928/10</f>
        <v>92.3</v>
      </c>
      <c r="C928" s="7" t="n">
        <f aca="false">IF(AND(A928=0,c_TCREEP&gt;0),10*c_TCREEP,IF(AND(A928&lt;=c_TRNGMIN,A928&gt;=c_TRNGMAX,c_TRNGMIN-c_TRNGMAX&lt;&gt;0),-10*c_TMINRN+QUOTIENT((c_TMAXRN-c_TMINRN)*(100-QUOTIENT((A928-c_TRNGMAX)*100,c_TRNGMIN-c_TRNGMAX)),-10),0))</f>
        <v>0</v>
      </c>
      <c r="D928" s="7" t="n">
        <f aca="false">IF(((c_TMAP1IN)-(c_TFWD))=0,(0)+QUOTIENT(((c_TMAP1OUT)-(0)),2),QUOTIENT((((A928)-(c_TFWD))*((c_TMAP1OUT)-(0))+IF(((c_TMAP1OUT)-(0))&gt;=0,1,-1)*QUOTIENT(((c_TMAP1IN)-(c_TFWD)),2)),((c_TMAP1IN)-(c_TFWD)))+(0)+IF(((c_TMAP1OUT)-(0))&gt;=0,IF(IF(o_WRAP=1,MOD(((c_TMAP1IN)-(c_TFWD))*(((A928)-(c_TFWD))*((c_TMAP1OUT)-(0))+IF(((c_TMAP1OUT)-(0))&gt;=0,1,-1)*QUOTIENT(((c_TMAP1IN)-(c_TFWD)),2))+2147483648,4294967296)-2147483648,((c_TMAP1IN)-(c_TFWD))*(((A928)-(c_TFWD))*((c_TMAP1OUT)-(0))+IF(((c_TMAP1OUT)-(0))&gt;=0,1,-1)*QUOTIENT(((c_TMAP1IN)-(c_TFWD)),2)))&lt;0,-1,0),IF(IF(o_WRAP=1,MOD(((c_TMAP1IN)-(c_TFWD))*(((A928)-(c_TFWD))*((c_TMAP1OUT)-(0))+IF(((c_TMAP1OUT)-(0))&gt;=0,1,-1)*QUOTIENT(((c_TMAP1IN)-(c_TFWD)),2))+2147483648,4294967296)-2147483648,((c_TMAP1IN)-(c_TFWD))*(((A928)-(c_TFWD))*((c_TMAP1OUT)-(0))+IF(((c_TMAP1OUT)-(0))&gt;=0,1,-1)*QUOTIENT(((c_TMAP1IN)-(c_TFWD)),2)))&gt;=0,1,0)))</f>
        <v>710</v>
      </c>
      <c r="E928" s="7" t="n">
        <f aca="false">IF(((c_TMAP2IN)-(c_TMAP1IN))=0,(c_TMAP1OUT)+QUOTIENT(((c_TMAP2OUT)-(c_TMAP1OUT)),2),QUOTIENT((((A928)-(c_TMAP1IN))*((c_TMAP2OUT)-(c_TMAP1OUT))+IF(((c_TMAP2OUT)-(c_TMAP1OUT))&gt;=0,1,-1)*QUOTIENT(((c_TMAP2IN)-(c_TMAP1IN)),2)),((c_TMAP2IN)-(c_TMAP1IN)))+(c_TMAP1OUT)+IF(((c_TMAP2OUT)-(c_TMAP1OUT))&gt;=0,IF(IF(o_WRAP=1,MOD(((c_TMAP2IN)-(c_TMAP1IN))*(((A928)-(c_TMAP1IN))*((c_TMAP2OUT)-(c_TMAP1OUT))+IF(((c_TMAP2OUT)-(c_TMAP1OUT))&gt;=0,1,-1)*QUOTIENT(((c_TMAP2IN)-(c_TMAP1IN)),2))+2147483648,4294967296)-2147483648,((c_TMAP2IN)-(c_TMAP1IN))*(((A928)-(c_TMAP1IN))*((c_TMAP2OUT)-(c_TMAP1OUT))+IF(((c_TMAP2OUT)-(c_TMAP1OUT))&gt;=0,1,-1)*QUOTIENT(((c_TMAP2IN)-(c_TMAP1IN)),2)))&lt;0,-1,0),IF(IF(o_WRAP=1,MOD(((c_TMAP2IN)-(c_TMAP1IN))*(((A928)-(c_TMAP1IN))*((c_TMAP2OUT)-(c_TMAP1OUT))+IF(((c_TMAP2OUT)-(c_TMAP1OUT))&gt;=0,1,-1)*QUOTIENT(((c_TMAP2IN)-(c_TMAP1IN)),2))+2147483648,4294967296)-2147483648,((c_TMAP2IN)-(c_TMAP1IN))*(((A928)-(c_TMAP1IN))*((c_TMAP2OUT)-(c_TMAP1OUT))+IF(((c_TMAP2OUT)-(c_TMAP1OUT))&gt;=0,1,-1)*QUOTIENT(((c_TMAP2IN)-(c_TMAP1IN)),2)))&gt;=0,1,0)))</f>
        <v>399</v>
      </c>
      <c r="F928" s="7" t="n">
        <f aca="false">IF(((c_TMAP3IN)-(c_TMAP2IN))=0,(c_TMAP2OUT)+QUOTIENT(((c_TMAP3OUT)-(c_TMAP2OUT)),2),QUOTIENT((((A928)-(c_TMAP2IN))*((c_TMAP3OUT)-(c_TMAP2OUT))+IF(((c_TMAP3OUT)-(c_TMAP2OUT))&gt;=0,1,-1)*QUOTIENT(((c_TMAP3IN)-(c_TMAP2IN)),2)),((c_TMAP3IN)-(c_TMAP2IN)))+(c_TMAP2OUT)+IF(((c_TMAP3OUT)-(c_TMAP2OUT))&gt;=0,IF(IF(o_WRAP=1,MOD(((c_TMAP3IN)-(c_TMAP2IN))*(((A928)-(c_TMAP2IN))*((c_TMAP3OUT)-(c_TMAP2OUT))+IF(((c_TMAP3OUT)-(c_TMAP2OUT))&gt;=0,1,-1)*QUOTIENT(((c_TMAP3IN)-(c_TMAP2IN)),2))+2147483648,4294967296)-2147483648,((c_TMAP3IN)-(c_TMAP2IN))*(((A928)-(c_TMAP2IN))*((c_TMAP3OUT)-(c_TMAP2OUT))+IF(((c_TMAP3OUT)-(c_TMAP2OUT))&gt;=0,1,-1)*QUOTIENT(((c_TMAP3IN)-(c_TMAP2IN)),2)))&lt;0,-1,0),IF(IF(o_WRAP=1,MOD(((c_TMAP3IN)-(c_TMAP2IN))*(((A928)-(c_TMAP2IN))*((c_TMAP3OUT)-(c_TMAP2OUT))+IF(((c_TMAP3OUT)-(c_TMAP2OUT))&gt;=0,1,-1)*QUOTIENT(((c_TMAP3IN)-(c_TMAP2IN)),2))+2147483648,4294967296)-2147483648,((c_TMAP3IN)-(c_TMAP2IN))*(((A928)-(c_TMAP2IN))*((c_TMAP3OUT)-(c_TMAP2OUT))+IF(((c_TMAP3OUT)-(c_TMAP2OUT))&gt;=0,1,-1)*QUOTIENT(((c_TMAP3IN)-(c_TMAP2IN)),2)))&gt;=0,1,0)))</f>
        <v>601</v>
      </c>
      <c r="G928" s="7" t="n">
        <f aca="false">IF(((1000)-(c_TMAP3IN))=0,(c_TMAP3OUT)+QUOTIENT(((1000)-(c_TMAP3OUT)),2),QUOTIENT((((A928)-(c_TMAP3IN))*((1000)-(c_TMAP3OUT))+IF(((1000)-(c_TMAP3OUT))&gt;=0,1,-1)*QUOTIENT(((1000)-(c_TMAP3IN)),2)),((1000)-(c_TMAP3IN)))+(c_TMAP3OUT)+IF(((1000)-(c_TMAP3OUT))&gt;=0,IF(IF(o_WRAP=1,MOD(((1000)-(c_TMAP3IN))*(((A928)-(c_TMAP3IN))*((1000)-(c_TMAP3OUT))+IF(((1000)-(c_TMAP3OUT))&gt;=0,1,-1)*QUOTIENT(((1000)-(c_TMAP3IN)),2))+2147483648,4294967296)-2147483648,((1000)-(c_TMAP3IN))*(((A928)-(c_TMAP3IN))*((1000)-(c_TMAP3OUT))+IF(((1000)-(c_TMAP3OUT))&gt;=0,1,-1)*QUOTIENT(((1000)-(c_TMAP3IN)),2)))&lt;0,-1,0),IF(IF(o_WRAP=1,MOD(((1000)-(c_TMAP3IN))*(((A928)-(c_TMAP3IN))*((1000)-(c_TMAP3OUT))+IF(((1000)-(c_TMAP3OUT))&gt;=0,1,-1)*QUOTIENT(((1000)-(c_TMAP3IN)),2))+2147483648,4294967296)-2147483648,((1000)-(c_TMAP3IN))*(((A928)-(c_TMAP3IN))*((1000)-(c_TMAP3OUT))+IF(((1000)-(c_TMAP3OUT))&gt;=0,1,-1)*QUOTIENT(((1000)-(c_TMAP3IN)),2)))&gt;=0,1,0)))</f>
        <v>905</v>
      </c>
      <c r="H928" s="7" t="str">
        <f aca="false">IF(A928&gt;=c_TFWD,IF(AND(A928&gt;=c_TMAP3IN,c_TMAP3IN&lt;1000),"Seg4 map3-100%",IF(AND(A928&gt;=c_TMAP2IN,c_TMAP3IN&gt;c_TMAP2IN),"Seg3 map2-map3",IF(AND(A928&gt;=c_TMAP1IN,c_TMAP2IN&gt;c_TMAP1IN),"Seg2 map1-map2","Seg1 TFWD-map1"))),IF(AND(A928=0,c_TCREEP&gt;0),"Creep",IF(AND(A928&lt;=c_TRNGMIN,A928&gt;=c_TRNGMAX,c_TRNGMIN-c_TRNGMAX&lt;&gt;0),"Regen ramp","Coast (0)")))</f>
        <v>Seg4 map3-100%</v>
      </c>
      <c r="I928" s="7" t="n">
        <f aca="false">IF(A928&gt;=c_TFWD,IF(AND(A928&gt;=c_TMAP3IN,c_TMAP3IN&lt;1000),G928,IF(AND(A928&gt;=c_TMAP2IN,c_TMAP3IN&gt;c_TMAP2IN),F928,IF(AND(A928&gt;=c_TMAP1IN,c_TMAP2IN&gt;c_TMAP1IN),E928,D928))),C928)</f>
        <v>905</v>
      </c>
      <c r="J928" s="7" t="str">
        <f aca="false">IF(I928&lt;-1090,"TOO LOW",IF(I928&gt;1090,"TOO HIGH",""))</f>
        <v/>
      </c>
      <c r="K928" s="15" t="n">
        <f aca="false">IF(J928&lt;&gt;"",0,IF(I928&gt;979,1000,I928))</f>
        <v>905</v>
      </c>
      <c r="L928" s="7" t="n">
        <f aca="false">K928/10</f>
        <v>90.5</v>
      </c>
    </row>
    <row r="929" customFormat="false" ht="15" hidden="false" customHeight="false" outlineLevel="0" collapsed="false">
      <c r="A929" s="7" t="n">
        <v>924</v>
      </c>
      <c r="B929" s="7" t="n">
        <f aca="false">A929/10</f>
        <v>92.4</v>
      </c>
      <c r="C929" s="7" t="n">
        <f aca="false">IF(AND(A929=0,c_TCREEP&gt;0),10*c_TCREEP,IF(AND(A929&lt;=c_TRNGMIN,A929&gt;=c_TRNGMAX,c_TRNGMIN-c_TRNGMAX&lt;&gt;0),-10*c_TMINRN+QUOTIENT((c_TMAXRN-c_TMINRN)*(100-QUOTIENT((A929-c_TRNGMAX)*100,c_TRNGMIN-c_TRNGMAX)),-10),0))</f>
        <v>0</v>
      </c>
      <c r="D929" s="7" t="n">
        <f aca="false">IF(((c_TMAP1IN)-(c_TFWD))=0,(0)+QUOTIENT(((c_TMAP1OUT)-(0)),2),QUOTIENT((((A929)-(c_TFWD))*((c_TMAP1OUT)-(0))+IF(((c_TMAP1OUT)-(0))&gt;=0,1,-1)*QUOTIENT(((c_TMAP1IN)-(c_TFWD)),2)),((c_TMAP1IN)-(c_TFWD)))+(0)+IF(((c_TMAP1OUT)-(0))&gt;=0,IF(IF(o_WRAP=1,MOD(((c_TMAP1IN)-(c_TFWD))*(((A929)-(c_TFWD))*((c_TMAP1OUT)-(0))+IF(((c_TMAP1OUT)-(0))&gt;=0,1,-1)*QUOTIENT(((c_TMAP1IN)-(c_TFWD)),2))+2147483648,4294967296)-2147483648,((c_TMAP1IN)-(c_TFWD))*(((A929)-(c_TFWD))*((c_TMAP1OUT)-(0))+IF(((c_TMAP1OUT)-(0))&gt;=0,1,-1)*QUOTIENT(((c_TMAP1IN)-(c_TFWD)),2)))&lt;0,-1,0),IF(IF(o_WRAP=1,MOD(((c_TMAP1IN)-(c_TFWD))*(((A929)-(c_TFWD))*((c_TMAP1OUT)-(0))+IF(((c_TMAP1OUT)-(0))&gt;=0,1,-1)*QUOTIENT(((c_TMAP1IN)-(c_TFWD)),2))+2147483648,4294967296)-2147483648,((c_TMAP1IN)-(c_TFWD))*(((A929)-(c_TFWD))*((c_TMAP1OUT)-(0))+IF(((c_TMAP1OUT)-(0))&gt;=0,1,-1)*QUOTIENT(((c_TMAP1IN)-(c_TFWD)),2)))&gt;=0,1,0)))</f>
        <v>711</v>
      </c>
      <c r="E929" s="7" t="n">
        <f aca="false">IF(((c_TMAP2IN)-(c_TMAP1IN))=0,(c_TMAP1OUT)+QUOTIENT(((c_TMAP2OUT)-(c_TMAP1OUT)),2),QUOTIENT((((A929)-(c_TMAP1IN))*((c_TMAP2OUT)-(c_TMAP1OUT))+IF(((c_TMAP2OUT)-(c_TMAP1OUT))&gt;=0,1,-1)*QUOTIENT(((c_TMAP2IN)-(c_TMAP1IN)),2)),((c_TMAP2IN)-(c_TMAP1IN)))+(c_TMAP1OUT)+IF(((c_TMAP2OUT)-(c_TMAP1OUT))&gt;=0,IF(IF(o_WRAP=1,MOD(((c_TMAP2IN)-(c_TMAP1IN))*(((A929)-(c_TMAP1IN))*((c_TMAP2OUT)-(c_TMAP1OUT))+IF(((c_TMAP2OUT)-(c_TMAP1OUT))&gt;=0,1,-1)*QUOTIENT(((c_TMAP2IN)-(c_TMAP1IN)),2))+2147483648,4294967296)-2147483648,((c_TMAP2IN)-(c_TMAP1IN))*(((A929)-(c_TMAP1IN))*((c_TMAP2OUT)-(c_TMAP1OUT))+IF(((c_TMAP2OUT)-(c_TMAP1OUT))&gt;=0,1,-1)*QUOTIENT(((c_TMAP2IN)-(c_TMAP1IN)),2)))&lt;0,-1,0),IF(IF(o_WRAP=1,MOD(((c_TMAP2IN)-(c_TMAP1IN))*(((A929)-(c_TMAP1IN))*((c_TMAP2OUT)-(c_TMAP1OUT))+IF(((c_TMAP2OUT)-(c_TMAP1OUT))&gt;=0,1,-1)*QUOTIENT(((c_TMAP2IN)-(c_TMAP1IN)),2))+2147483648,4294967296)-2147483648,((c_TMAP2IN)-(c_TMAP1IN))*(((A929)-(c_TMAP1IN))*((c_TMAP2OUT)-(c_TMAP1OUT))+IF(((c_TMAP2OUT)-(c_TMAP1OUT))&gt;=0,1,-1)*QUOTIENT(((c_TMAP2IN)-(c_TMAP1IN)),2)))&gt;=0,1,0)))</f>
        <v>400</v>
      </c>
      <c r="F929" s="7" t="n">
        <f aca="false">IF(((c_TMAP3IN)-(c_TMAP2IN))=0,(c_TMAP2OUT)+QUOTIENT(((c_TMAP3OUT)-(c_TMAP2OUT)),2),QUOTIENT((((A929)-(c_TMAP2IN))*((c_TMAP3OUT)-(c_TMAP2OUT))+IF(((c_TMAP3OUT)-(c_TMAP2OUT))&gt;=0,1,-1)*QUOTIENT(((c_TMAP3IN)-(c_TMAP2IN)),2)),((c_TMAP3IN)-(c_TMAP2IN)))+(c_TMAP2OUT)+IF(((c_TMAP3OUT)-(c_TMAP2OUT))&gt;=0,IF(IF(o_WRAP=1,MOD(((c_TMAP3IN)-(c_TMAP2IN))*(((A929)-(c_TMAP2IN))*((c_TMAP3OUT)-(c_TMAP2OUT))+IF(((c_TMAP3OUT)-(c_TMAP2OUT))&gt;=0,1,-1)*QUOTIENT(((c_TMAP3IN)-(c_TMAP2IN)),2))+2147483648,4294967296)-2147483648,((c_TMAP3IN)-(c_TMAP2IN))*(((A929)-(c_TMAP2IN))*((c_TMAP3OUT)-(c_TMAP2OUT))+IF(((c_TMAP3OUT)-(c_TMAP2OUT))&gt;=0,1,-1)*QUOTIENT(((c_TMAP3IN)-(c_TMAP2IN)),2)))&lt;0,-1,0),IF(IF(o_WRAP=1,MOD(((c_TMAP3IN)-(c_TMAP2IN))*(((A929)-(c_TMAP2IN))*((c_TMAP3OUT)-(c_TMAP2OUT))+IF(((c_TMAP3OUT)-(c_TMAP2OUT))&gt;=0,1,-1)*QUOTIENT(((c_TMAP3IN)-(c_TMAP2IN)),2))+2147483648,4294967296)-2147483648,((c_TMAP3IN)-(c_TMAP2IN))*(((A929)-(c_TMAP2IN))*((c_TMAP3OUT)-(c_TMAP2OUT))+IF(((c_TMAP3OUT)-(c_TMAP2OUT))&gt;=0,1,-1)*QUOTIENT(((c_TMAP3IN)-(c_TMAP2IN)),2)))&gt;=0,1,0)))</f>
        <v>602</v>
      </c>
      <c r="G929" s="7" t="n">
        <f aca="false">IF(((1000)-(c_TMAP3IN))=0,(c_TMAP3OUT)+QUOTIENT(((1000)-(c_TMAP3OUT)),2),QUOTIENT((((A929)-(c_TMAP3IN))*((1000)-(c_TMAP3OUT))+IF(((1000)-(c_TMAP3OUT))&gt;=0,1,-1)*QUOTIENT(((1000)-(c_TMAP3IN)),2)),((1000)-(c_TMAP3IN)))+(c_TMAP3OUT)+IF(((1000)-(c_TMAP3OUT))&gt;=0,IF(IF(o_WRAP=1,MOD(((1000)-(c_TMAP3IN))*(((A929)-(c_TMAP3IN))*((1000)-(c_TMAP3OUT))+IF(((1000)-(c_TMAP3OUT))&gt;=0,1,-1)*QUOTIENT(((1000)-(c_TMAP3IN)),2))+2147483648,4294967296)-2147483648,((1000)-(c_TMAP3IN))*(((A929)-(c_TMAP3IN))*((1000)-(c_TMAP3OUT))+IF(((1000)-(c_TMAP3OUT))&gt;=0,1,-1)*QUOTIENT(((1000)-(c_TMAP3IN)),2)))&lt;0,-1,0),IF(IF(o_WRAP=1,MOD(((1000)-(c_TMAP3IN))*(((A929)-(c_TMAP3IN))*((1000)-(c_TMAP3OUT))+IF(((1000)-(c_TMAP3OUT))&gt;=0,1,-1)*QUOTIENT(((1000)-(c_TMAP3IN)),2))+2147483648,4294967296)-2147483648,((1000)-(c_TMAP3IN))*(((A929)-(c_TMAP3IN))*((1000)-(c_TMAP3OUT))+IF(((1000)-(c_TMAP3OUT))&gt;=0,1,-1)*QUOTIENT(((1000)-(c_TMAP3IN)),2)))&gt;=0,1,0)))</f>
        <v>906</v>
      </c>
      <c r="H929" s="7" t="str">
        <f aca="false">IF(A929&gt;=c_TFWD,IF(AND(A929&gt;=c_TMAP3IN,c_TMAP3IN&lt;1000),"Seg4 map3-100%",IF(AND(A929&gt;=c_TMAP2IN,c_TMAP3IN&gt;c_TMAP2IN),"Seg3 map2-map3",IF(AND(A929&gt;=c_TMAP1IN,c_TMAP2IN&gt;c_TMAP1IN),"Seg2 map1-map2","Seg1 TFWD-map1"))),IF(AND(A929=0,c_TCREEP&gt;0),"Creep",IF(AND(A929&lt;=c_TRNGMIN,A929&gt;=c_TRNGMAX,c_TRNGMIN-c_TRNGMAX&lt;&gt;0),"Regen ramp","Coast (0)")))</f>
        <v>Seg4 map3-100%</v>
      </c>
      <c r="I929" s="7" t="n">
        <f aca="false">IF(A929&gt;=c_TFWD,IF(AND(A929&gt;=c_TMAP3IN,c_TMAP3IN&lt;1000),G929,IF(AND(A929&gt;=c_TMAP2IN,c_TMAP3IN&gt;c_TMAP2IN),F929,IF(AND(A929&gt;=c_TMAP1IN,c_TMAP2IN&gt;c_TMAP1IN),E929,D929))),C929)</f>
        <v>906</v>
      </c>
      <c r="J929" s="7" t="str">
        <f aca="false">IF(I929&lt;-1090,"TOO LOW",IF(I929&gt;1090,"TOO HIGH",""))</f>
        <v/>
      </c>
      <c r="K929" s="15" t="n">
        <f aca="false">IF(J929&lt;&gt;"",0,IF(I929&gt;979,1000,I929))</f>
        <v>906</v>
      </c>
      <c r="L929" s="7" t="n">
        <f aca="false">K929/10</f>
        <v>90.6</v>
      </c>
    </row>
    <row r="930" customFormat="false" ht="15" hidden="false" customHeight="false" outlineLevel="0" collapsed="false">
      <c r="A930" s="7" t="n">
        <v>925</v>
      </c>
      <c r="B930" s="7" t="n">
        <f aca="false">A930/10</f>
        <v>92.5</v>
      </c>
      <c r="C930" s="7" t="n">
        <f aca="false">IF(AND(A930=0,c_TCREEP&gt;0),10*c_TCREEP,IF(AND(A930&lt;=c_TRNGMIN,A930&gt;=c_TRNGMAX,c_TRNGMIN-c_TRNGMAX&lt;&gt;0),-10*c_TMINRN+QUOTIENT((c_TMAXRN-c_TMINRN)*(100-QUOTIENT((A930-c_TRNGMAX)*100,c_TRNGMIN-c_TRNGMAX)),-10),0))</f>
        <v>0</v>
      </c>
      <c r="D930" s="7" t="n">
        <f aca="false">IF(((c_TMAP1IN)-(c_TFWD))=0,(0)+QUOTIENT(((c_TMAP1OUT)-(0)),2),QUOTIENT((((A930)-(c_TFWD))*((c_TMAP1OUT)-(0))+IF(((c_TMAP1OUT)-(0))&gt;=0,1,-1)*QUOTIENT(((c_TMAP1IN)-(c_TFWD)),2)),((c_TMAP1IN)-(c_TFWD)))+(0)+IF(((c_TMAP1OUT)-(0))&gt;=0,IF(IF(o_WRAP=1,MOD(((c_TMAP1IN)-(c_TFWD))*(((A930)-(c_TFWD))*((c_TMAP1OUT)-(0))+IF(((c_TMAP1OUT)-(0))&gt;=0,1,-1)*QUOTIENT(((c_TMAP1IN)-(c_TFWD)),2))+2147483648,4294967296)-2147483648,((c_TMAP1IN)-(c_TFWD))*(((A930)-(c_TFWD))*((c_TMAP1OUT)-(0))+IF(((c_TMAP1OUT)-(0))&gt;=0,1,-1)*QUOTIENT(((c_TMAP1IN)-(c_TFWD)),2)))&lt;0,-1,0),IF(IF(o_WRAP=1,MOD(((c_TMAP1IN)-(c_TFWD))*(((A930)-(c_TFWD))*((c_TMAP1OUT)-(0))+IF(((c_TMAP1OUT)-(0))&gt;=0,1,-1)*QUOTIENT(((c_TMAP1IN)-(c_TFWD)),2))+2147483648,4294967296)-2147483648,((c_TMAP1IN)-(c_TFWD))*(((A930)-(c_TFWD))*((c_TMAP1OUT)-(0))+IF(((c_TMAP1OUT)-(0))&gt;=0,1,-1)*QUOTIENT(((c_TMAP1IN)-(c_TFWD)),2)))&gt;=0,1,0)))</f>
        <v>712</v>
      </c>
      <c r="E930" s="7" t="n">
        <f aca="false">IF(((c_TMAP2IN)-(c_TMAP1IN))=0,(c_TMAP1OUT)+QUOTIENT(((c_TMAP2OUT)-(c_TMAP1OUT)),2),QUOTIENT((((A930)-(c_TMAP1IN))*((c_TMAP2OUT)-(c_TMAP1OUT))+IF(((c_TMAP2OUT)-(c_TMAP1OUT))&gt;=0,1,-1)*QUOTIENT(((c_TMAP2IN)-(c_TMAP1IN)),2)),((c_TMAP2IN)-(c_TMAP1IN)))+(c_TMAP1OUT)+IF(((c_TMAP2OUT)-(c_TMAP1OUT))&gt;=0,IF(IF(o_WRAP=1,MOD(((c_TMAP2IN)-(c_TMAP1IN))*(((A930)-(c_TMAP1IN))*((c_TMAP2OUT)-(c_TMAP1OUT))+IF(((c_TMAP2OUT)-(c_TMAP1OUT))&gt;=0,1,-1)*QUOTIENT(((c_TMAP2IN)-(c_TMAP1IN)),2))+2147483648,4294967296)-2147483648,((c_TMAP2IN)-(c_TMAP1IN))*(((A930)-(c_TMAP1IN))*((c_TMAP2OUT)-(c_TMAP1OUT))+IF(((c_TMAP2OUT)-(c_TMAP1OUT))&gt;=0,1,-1)*QUOTIENT(((c_TMAP2IN)-(c_TMAP1IN)),2)))&lt;0,-1,0),IF(IF(o_WRAP=1,MOD(((c_TMAP2IN)-(c_TMAP1IN))*(((A930)-(c_TMAP1IN))*((c_TMAP2OUT)-(c_TMAP1OUT))+IF(((c_TMAP2OUT)-(c_TMAP1OUT))&gt;=0,1,-1)*QUOTIENT(((c_TMAP2IN)-(c_TMAP1IN)),2))+2147483648,4294967296)-2147483648,((c_TMAP2IN)-(c_TMAP1IN))*(((A930)-(c_TMAP1IN))*((c_TMAP2OUT)-(c_TMAP1OUT))+IF(((c_TMAP2OUT)-(c_TMAP1OUT))&gt;=0,1,-1)*QUOTIENT(((c_TMAP2IN)-(c_TMAP1IN)),2)))&gt;=0,1,0)))</f>
        <v>400</v>
      </c>
      <c r="F930" s="7" t="n">
        <f aca="false">IF(((c_TMAP3IN)-(c_TMAP2IN))=0,(c_TMAP2OUT)+QUOTIENT(((c_TMAP3OUT)-(c_TMAP2OUT)),2),QUOTIENT((((A930)-(c_TMAP2IN))*((c_TMAP3OUT)-(c_TMAP2OUT))+IF(((c_TMAP3OUT)-(c_TMAP2OUT))&gt;=0,1,-1)*QUOTIENT(((c_TMAP3IN)-(c_TMAP2IN)),2)),((c_TMAP3IN)-(c_TMAP2IN)))+(c_TMAP2OUT)+IF(((c_TMAP3OUT)-(c_TMAP2OUT))&gt;=0,IF(IF(o_WRAP=1,MOD(((c_TMAP3IN)-(c_TMAP2IN))*(((A930)-(c_TMAP2IN))*((c_TMAP3OUT)-(c_TMAP2OUT))+IF(((c_TMAP3OUT)-(c_TMAP2OUT))&gt;=0,1,-1)*QUOTIENT(((c_TMAP3IN)-(c_TMAP2IN)),2))+2147483648,4294967296)-2147483648,((c_TMAP3IN)-(c_TMAP2IN))*(((A930)-(c_TMAP2IN))*((c_TMAP3OUT)-(c_TMAP2OUT))+IF(((c_TMAP3OUT)-(c_TMAP2OUT))&gt;=0,1,-1)*QUOTIENT(((c_TMAP3IN)-(c_TMAP2IN)),2)))&lt;0,-1,0),IF(IF(o_WRAP=1,MOD(((c_TMAP3IN)-(c_TMAP2IN))*(((A930)-(c_TMAP2IN))*((c_TMAP3OUT)-(c_TMAP2OUT))+IF(((c_TMAP3OUT)-(c_TMAP2OUT))&gt;=0,1,-1)*QUOTIENT(((c_TMAP3IN)-(c_TMAP2IN)),2))+2147483648,4294967296)-2147483648,((c_TMAP3IN)-(c_TMAP2IN))*(((A930)-(c_TMAP2IN))*((c_TMAP3OUT)-(c_TMAP2OUT))+IF(((c_TMAP3OUT)-(c_TMAP2OUT))&gt;=0,1,-1)*QUOTIENT(((c_TMAP3IN)-(c_TMAP2IN)),2)))&gt;=0,1,0)))</f>
        <v>603</v>
      </c>
      <c r="G930" s="7" t="n">
        <f aca="false">IF(((1000)-(c_TMAP3IN))=0,(c_TMAP3OUT)+QUOTIENT(((1000)-(c_TMAP3OUT)),2),QUOTIENT((((A930)-(c_TMAP3IN))*((1000)-(c_TMAP3OUT))+IF(((1000)-(c_TMAP3OUT))&gt;=0,1,-1)*QUOTIENT(((1000)-(c_TMAP3IN)),2)),((1000)-(c_TMAP3IN)))+(c_TMAP3OUT)+IF(((1000)-(c_TMAP3OUT))&gt;=0,IF(IF(o_WRAP=1,MOD(((1000)-(c_TMAP3IN))*(((A930)-(c_TMAP3IN))*((1000)-(c_TMAP3OUT))+IF(((1000)-(c_TMAP3OUT))&gt;=0,1,-1)*QUOTIENT(((1000)-(c_TMAP3IN)),2))+2147483648,4294967296)-2147483648,((1000)-(c_TMAP3IN))*(((A930)-(c_TMAP3IN))*((1000)-(c_TMAP3OUT))+IF(((1000)-(c_TMAP3OUT))&gt;=0,1,-1)*QUOTIENT(((1000)-(c_TMAP3IN)),2)))&lt;0,-1,0),IF(IF(o_WRAP=1,MOD(((1000)-(c_TMAP3IN))*(((A930)-(c_TMAP3IN))*((1000)-(c_TMAP3OUT))+IF(((1000)-(c_TMAP3OUT))&gt;=0,1,-1)*QUOTIENT(((1000)-(c_TMAP3IN)),2))+2147483648,4294967296)-2147483648,((1000)-(c_TMAP3IN))*(((A930)-(c_TMAP3IN))*((1000)-(c_TMAP3OUT))+IF(((1000)-(c_TMAP3OUT))&gt;=0,1,-1)*QUOTIENT(((1000)-(c_TMAP3IN)),2)))&gt;=0,1,0)))</f>
        <v>908</v>
      </c>
      <c r="H930" s="7" t="str">
        <f aca="false">IF(A930&gt;=c_TFWD,IF(AND(A930&gt;=c_TMAP3IN,c_TMAP3IN&lt;1000),"Seg4 map3-100%",IF(AND(A930&gt;=c_TMAP2IN,c_TMAP3IN&gt;c_TMAP2IN),"Seg3 map2-map3",IF(AND(A930&gt;=c_TMAP1IN,c_TMAP2IN&gt;c_TMAP1IN),"Seg2 map1-map2","Seg1 TFWD-map1"))),IF(AND(A930=0,c_TCREEP&gt;0),"Creep",IF(AND(A930&lt;=c_TRNGMIN,A930&gt;=c_TRNGMAX,c_TRNGMIN-c_TRNGMAX&lt;&gt;0),"Regen ramp","Coast (0)")))</f>
        <v>Seg4 map3-100%</v>
      </c>
      <c r="I930" s="7" t="n">
        <f aca="false">IF(A930&gt;=c_TFWD,IF(AND(A930&gt;=c_TMAP3IN,c_TMAP3IN&lt;1000),G930,IF(AND(A930&gt;=c_TMAP2IN,c_TMAP3IN&gt;c_TMAP2IN),F930,IF(AND(A930&gt;=c_TMAP1IN,c_TMAP2IN&gt;c_TMAP1IN),E930,D930))),C930)</f>
        <v>908</v>
      </c>
      <c r="J930" s="7" t="str">
        <f aca="false">IF(I930&lt;-1090,"TOO LOW",IF(I930&gt;1090,"TOO HIGH",""))</f>
        <v/>
      </c>
      <c r="K930" s="15" t="n">
        <f aca="false">IF(J930&lt;&gt;"",0,IF(I930&gt;979,1000,I930))</f>
        <v>908</v>
      </c>
      <c r="L930" s="7" t="n">
        <f aca="false">K930/10</f>
        <v>90.8</v>
      </c>
    </row>
    <row r="931" customFormat="false" ht="15" hidden="false" customHeight="false" outlineLevel="0" collapsed="false">
      <c r="A931" s="7" t="n">
        <v>926</v>
      </c>
      <c r="B931" s="7" t="n">
        <f aca="false">A931/10</f>
        <v>92.6</v>
      </c>
      <c r="C931" s="7" t="n">
        <f aca="false">IF(AND(A931=0,c_TCREEP&gt;0),10*c_TCREEP,IF(AND(A931&lt;=c_TRNGMIN,A931&gt;=c_TRNGMAX,c_TRNGMIN-c_TRNGMAX&lt;&gt;0),-10*c_TMINRN+QUOTIENT((c_TMAXRN-c_TMINRN)*(100-QUOTIENT((A931-c_TRNGMAX)*100,c_TRNGMIN-c_TRNGMAX)),-10),0))</f>
        <v>0</v>
      </c>
      <c r="D931" s="7" t="n">
        <f aca="false">IF(((c_TMAP1IN)-(c_TFWD))=0,(0)+QUOTIENT(((c_TMAP1OUT)-(0)),2),QUOTIENT((((A931)-(c_TFWD))*((c_TMAP1OUT)-(0))+IF(((c_TMAP1OUT)-(0))&gt;=0,1,-1)*QUOTIENT(((c_TMAP1IN)-(c_TFWD)),2)),((c_TMAP1IN)-(c_TFWD)))+(0)+IF(((c_TMAP1OUT)-(0))&gt;=0,IF(IF(o_WRAP=1,MOD(((c_TMAP1IN)-(c_TFWD))*(((A931)-(c_TFWD))*((c_TMAP1OUT)-(0))+IF(((c_TMAP1OUT)-(0))&gt;=0,1,-1)*QUOTIENT(((c_TMAP1IN)-(c_TFWD)),2))+2147483648,4294967296)-2147483648,((c_TMAP1IN)-(c_TFWD))*(((A931)-(c_TFWD))*((c_TMAP1OUT)-(0))+IF(((c_TMAP1OUT)-(0))&gt;=0,1,-1)*QUOTIENT(((c_TMAP1IN)-(c_TFWD)),2)))&lt;0,-1,0),IF(IF(o_WRAP=1,MOD(((c_TMAP1IN)-(c_TFWD))*(((A931)-(c_TFWD))*((c_TMAP1OUT)-(0))+IF(((c_TMAP1OUT)-(0))&gt;=0,1,-1)*QUOTIENT(((c_TMAP1IN)-(c_TFWD)),2))+2147483648,4294967296)-2147483648,((c_TMAP1IN)-(c_TFWD))*(((A931)-(c_TFWD))*((c_TMAP1OUT)-(0))+IF(((c_TMAP1OUT)-(0))&gt;=0,1,-1)*QUOTIENT(((c_TMAP1IN)-(c_TFWD)),2)))&gt;=0,1,0)))</f>
        <v>712</v>
      </c>
      <c r="E931" s="7" t="n">
        <f aca="false">IF(((c_TMAP2IN)-(c_TMAP1IN))=0,(c_TMAP1OUT)+QUOTIENT(((c_TMAP2OUT)-(c_TMAP1OUT)),2),QUOTIENT((((A931)-(c_TMAP1IN))*((c_TMAP2OUT)-(c_TMAP1OUT))+IF(((c_TMAP2OUT)-(c_TMAP1OUT))&gt;=0,1,-1)*QUOTIENT(((c_TMAP2IN)-(c_TMAP1IN)),2)),((c_TMAP2IN)-(c_TMAP1IN)))+(c_TMAP1OUT)+IF(((c_TMAP2OUT)-(c_TMAP1OUT))&gt;=0,IF(IF(o_WRAP=1,MOD(((c_TMAP2IN)-(c_TMAP1IN))*(((A931)-(c_TMAP1IN))*((c_TMAP2OUT)-(c_TMAP1OUT))+IF(((c_TMAP2OUT)-(c_TMAP1OUT))&gt;=0,1,-1)*QUOTIENT(((c_TMAP2IN)-(c_TMAP1IN)),2))+2147483648,4294967296)-2147483648,((c_TMAP2IN)-(c_TMAP1IN))*(((A931)-(c_TMAP1IN))*((c_TMAP2OUT)-(c_TMAP1OUT))+IF(((c_TMAP2OUT)-(c_TMAP1OUT))&gt;=0,1,-1)*QUOTIENT(((c_TMAP2IN)-(c_TMAP1IN)),2)))&lt;0,-1,0),IF(IF(o_WRAP=1,MOD(((c_TMAP2IN)-(c_TMAP1IN))*(((A931)-(c_TMAP1IN))*((c_TMAP2OUT)-(c_TMAP1OUT))+IF(((c_TMAP2OUT)-(c_TMAP1OUT))&gt;=0,1,-1)*QUOTIENT(((c_TMAP2IN)-(c_TMAP1IN)),2))+2147483648,4294967296)-2147483648,((c_TMAP2IN)-(c_TMAP1IN))*(((A931)-(c_TMAP1IN))*((c_TMAP2OUT)-(c_TMAP1OUT))+IF(((c_TMAP2OUT)-(c_TMAP1OUT))&gt;=0,1,-1)*QUOTIENT(((c_TMAP2IN)-(c_TMAP1IN)),2)))&gt;=0,1,0)))</f>
        <v>400</v>
      </c>
      <c r="F931" s="7" t="n">
        <f aca="false">IF(((c_TMAP3IN)-(c_TMAP2IN))=0,(c_TMAP2OUT)+QUOTIENT(((c_TMAP3OUT)-(c_TMAP2OUT)),2),QUOTIENT((((A931)-(c_TMAP2IN))*((c_TMAP3OUT)-(c_TMAP2OUT))+IF(((c_TMAP3OUT)-(c_TMAP2OUT))&gt;=0,1,-1)*QUOTIENT(((c_TMAP3IN)-(c_TMAP2IN)),2)),((c_TMAP3IN)-(c_TMAP2IN)))+(c_TMAP2OUT)+IF(((c_TMAP3OUT)-(c_TMAP2OUT))&gt;=0,IF(IF(o_WRAP=1,MOD(((c_TMAP3IN)-(c_TMAP2IN))*(((A931)-(c_TMAP2IN))*((c_TMAP3OUT)-(c_TMAP2OUT))+IF(((c_TMAP3OUT)-(c_TMAP2OUT))&gt;=0,1,-1)*QUOTIENT(((c_TMAP3IN)-(c_TMAP2IN)),2))+2147483648,4294967296)-2147483648,((c_TMAP3IN)-(c_TMAP2IN))*(((A931)-(c_TMAP2IN))*((c_TMAP3OUT)-(c_TMAP2OUT))+IF(((c_TMAP3OUT)-(c_TMAP2OUT))&gt;=0,1,-1)*QUOTIENT(((c_TMAP3IN)-(c_TMAP2IN)),2)))&lt;0,-1,0),IF(IF(o_WRAP=1,MOD(((c_TMAP3IN)-(c_TMAP2IN))*(((A931)-(c_TMAP2IN))*((c_TMAP3OUT)-(c_TMAP2OUT))+IF(((c_TMAP3OUT)-(c_TMAP2OUT))&gt;=0,1,-1)*QUOTIENT(((c_TMAP3IN)-(c_TMAP2IN)),2))+2147483648,4294967296)-2147483648,((c_TMAP3IN)-(c_TMAP2IN))*(((A931)-(c_TMAP2IN))*((c_TMAP3OUT)-(c_TMAP2OUT))+IF(((c_TMAP3OUT)-(c_TMAP2OUT))&gt;=0,1,-1)*QUOTIENT(((c_TMAP3IN)-(c_TMAP2IN)),2)))&gt;=0,1,0)))</f>
        <v>603</v>
      </c>
      <c r="G931" s="7" t="n">
        <f aca="false">IF(((1000)-(c_TMAP3IN))=0,(c_TMAP3OUT)+QUOTIENT(((1000)-(c_TMAP3OUT)),2),QUOTIENT((((A931)-(c_TMAP3IN))*((1000)-(c_TMAP3OUT))+IF(((1000)-(c_TMAP3OUT))&gt;=0,1,-1)*QUOTIENT(((1000)-(c_TMAP3IN)),2)),((1000)-(c_TMAP3IN)))+(c_TMAP3OUT)+IF(((1000)-(c_TMAP3OUT))&gt;=0,IF(IF(o_WRAP=1,MOD(((1000)-(c_TMAP3IN))*(((A931)-(c_TMAP3IN))*((1000)-(c_TMAP3OUT))+IF(((1000)-(c_TMAP3OUT))&gt;=0,1,-1)*QUOTIENT(((1000)-(c_TMAP3IN)),2))+2147483648,4294967296)-2147483648,((1000)-(c_TMAP3IN))*(((A931)-(c_TMAP3IN))*((1000)-(c_TMAP3OUT))+IF(((1000)-(c_TMAP3OUT))&gt;=0,1,-1)*QUOTIENT(((1000)-(c_TMAP3IN)),2)))&lt;0,-1,0),IF(IF(o_WRAP=1,MOD(((1000)-(c_TMAP3IN))*(((A931)-(c_TMAP3IN))*((1000)-(c_TMAP3OUT))+IF(((1000)-(c_TMAP3OUT))&gt;=0,1,-1)*QUOTIENT(((1000)-(c_TMAP3IN)),2))+2147483648,4294967296)-2147483648,((1000)-(c_TMAP3IN))*(((A931)-(c_TMAP3IN))*((1000)-(c_TMAP3OUT))+IF(((1000)-(c_TMAP3OUT))&gt;=0,1,-1)*QUOTIENT(((1000)-(c_TMAP3IN)),2)))&gt;=0,1,0)))</f>
        <v>909</v>
      </c>
      <c r="H931" s="7" t="str">
        <f aca="false">IF(A931&gt;=c_TFWD,IF(AND(A931&gt;=c_TMAP3IN,c_TMAP3IN&lt;1000),"Seg4 map3-100%",IF(AND(A931&gt;=c_TMAP2IN,c_TMAP3IN&gt;c_TMAP2IN),"Seg3 map2-map3",IF(AND(A931&gt;=c_TMAP1IN,c_TMAP2IN&gt;c_TMAP1IN),"Seg2 map1-map2","Seg1 TFWD-map1"))),IF(AND(A931=0,c_TCREEP&gt;0),"Creep",IF(AND(A931&lt;=c_TRNGMIN,A931&gt;=c_TRNGMAX,c_TRNGMIN-c_TRNGMAX&lt;&gt;0),"Regen ramp","Coast (0)")))</f>
        <v>Seg4 map3-100%</v>
      </c>
      <c r="I931" s="7" t="n">
        <f aca="false">IF(A931&gt;=c_TFWD,IF(AND(A931&gt;=c_TMAP3IN,c_TMAP3IN&lt;1000),G931,IF(AND(A931&gt;=c_TMAP2IN,c_TMAP3IN&gt;c_TMAP2IN),F931,IF(AND(A931&gt;=c_TMAP1IN,c_TMAP2IN&gt;c_TMAP1IN),E931,D931))),C931)</f>
        <v>909</v>
      </c>
      <c r="J931" s="7" t="str">
        <f aca="false">IF(I931&lt;-1090,"TOO LOW",IF(I931&gt;1090,"TOO HIGH",""))</f>
        <v/>
      </c>
      <c r="K931" s="15" t="n">
        <f aca="false">IF(J931&lt;&gt;"",0,IF(I931&gt;979,1000,I931))</f>
        <v>909</v>
      </c>
      <c r="L931" s="7" t="n">
        <f aca="false">K931/10</f>
        <v>90.9</v>
      </c>
    </row>
    <row r="932" customFormat="false" ht="15" hidden="false" customHeight="false" outlineLevel="0" collapsed="false">
      <c r="A932" s="7" t="n">
        <v>927</v>
      </c>
      <c r="B932" s="7" t="n">
        <f aca="false">A932/10</f>
        <v>92.7</v>
      </c>
      <c r="C932" s="7" t="n">
        <f aca="false">IF(AND(A932=0,c_TCREEP&gt;0),10*c_TCREEP,IF(AND(A932&lt;=c_TRNGMIN,A932&gt;=c_TRNGMAX,c_TRNGMIN-c_TRNGMAX&lt;&gt;0),-10*c_TMINRN+QUOTIENT((c_TMAXRN-c_TMINRN)*(100-QUOTIENT((A932-c_TRNGMAX)*100,c_TRNGMIN-c_TRNGMAX)),-10),0))</f>
        <v>0</v>
      </c>
      <c r="D932" s="7" t="n">
        <f aca="false">IF(((c_TMAP1IN)-(c_TFWD))=0,(0)+QUOTIENT(((c_TMAP1OUT)-(0)),2),QUOTIENT((((A932)-(c_TFWD))*((c_TMAP1OUT)-(0))+IF(((c_TMAP1OUT)-(0))&gt;=0,1,-1)*QUOTIENT(((c_TMAP1IN)-(c_TFWD)),2)),((c_TMAP1IN)-(c_TFWD)))+(0)+IF(((c_TMAP1OUT)-(0))&gt;=0,IF(IF(o_WRAP=1,MOD(((c_TMAP1IN)-(c_TFWD))*(((A932)-(c_TFWD))*((c_TMAP1OUT)-(0))+IF(((c_TMAP1OUT)-(0))&gt;=0,1,-1)*QUOTIENT(((c_TMAP1IN)-(c_TFWD)),2))+2147483648,4294967296)-2147483648,((c_TMAP1IN)-(c_TFWD))*(((A932)-(c_TFWD))*((c_TMAP1OUT)-(0))+IF(((c_TMAP1OUT)-(0))&gt;=0,1,-1)*QUOTIENT(((c_TMAP1IN)-(c_TFWD)),2)))&lt;0,-1,0),IF(IF(o_WRAP=1,MOD(((c_TMAP1IN)-(c_TFWD))*(((A932)-(c_TFWD))*((c_TMAP1OUT)-(0))+IF(((c_TMAP1OUT)-(0))&gt;=0,1,-1)*QUOTIENT(((c_TMAP1IN)-(c_TFWD)),2))+2147483648,4294967296)-2147483648,((c_TMAP1IN)-(c_TFWD))*(((A932)-(c_TFWD))*((c_TMAP1OUT)-(0))+IF(((c_TMAP1OUT)-(0))&gt;=0,1,-1)*QUOTIENT(((c_TMAP1IN)-(c_TFWD)),2)))&gt;=0,1,0)))</f>
        <v>713</v>
      </c>
      <c r="E932" s="7" t="n">
        <f aca="false">IF(((c_TMAP2IN)-(c_TMAP1IN))=0,(c_TMAP1OUT)+QUOTIENT(((c_TMAP2OUT)-(c_TMAP1OUT)),2),QUOTIENT((((A932)-(c_TMAP1IN))*((c_TMAP2OUT)-(c_TMAP1OUT))+IF(((c_TMAP2OUT)-(c_TMAP1OUT))&gt;=0,1,-1)*QUOTIENT(((c_TMAP2IN)-(c_TMAP1IN)),2)),((c_TMAP2IN)-(c_TMAP1IN)))+(c_TMAP1OUT)+IF(((c_TMAP2OUT)-(c_TMAP1OUT))&gt;=0,IF(IF(o_WRAP=1,MOD(((c_TMAP2IN)-(c_TMAP1IN))*(((A932)-(c_TMAP1IN))*((c_TMAP2OUT)-(c_TMAP1OUT))+IF(((c_TMAP2OUT)-(c_TMAP1OUT))&gt;=0,1,-1)*QUOTIENT(((c_TMAP2IN)-(c_TMAP1IN)),2))+2147483648,4294967296)-2147483648,((c_TMAP2IN)-(c_TMAP1IN))*(((A932)-(c_TMAP1IN))*((c_TMAP2OUT)-(c_TMAP1OUT))+IF(((c_TMAP2OUT)-(c_TMAP1OUT))&gt;=0,1,-1)*QUOTIENT(((c_TMAP2IN)-(c_TMAP1IN)),2)))&lt;0,-1,0),IF(IF(o_WRAP=1,MOD(((c_TMAP2IN)-(c_TMAP1IN))*(((A932)-(c_TMAP1IN))*((c_TMAP2OUT)-(c_TMAP1OUT))+IF(((c_TMAP2OUT)-(c_TMAP1OUT))&gt;=0,1,-1)*QUOTIENT(((c_TMAP2IN)-(c_TMAP1IN)),2))+2147483648,4294967296)-2147483648,((c_TMAP2IN)-(c_TMAP1IN))*(((A932)-(c_TMAP1IN))*((c_TMAP2OUT)-(c_TMAP1OUT))+IF(((c_TMAP2OUT)-(c_TMAP1OUT))&gt;=0,1,-1)*QUOTIENT(((c_TMAP2IN)-(c_TMAP1IN)),2)))&gt;=0,1,0)))</f>
        <v>401</v>
      </c>
      <c r="F932" s="7" t="n">
        <f aca="false">IF(((c_TMAP3IN)-(c_TMAP2IN))=0,(c_TMAP2OUT)+QUOTIENT(((c_TMAP3OUT)-(c_TMAP2OUT)),2),QUOTIENT((((A932)-(c_TMAP2IN))*((c_TMAP3OUT)-(c_TMAP2OUT))+IF(((c_TMAP3OUT)-(c_TMAP2OUT))&gt;=0,1,-1)*QUOTIENT(((c_TMAP3IN)-(c_TMAP2IN)),2)),((c_TMAP3IN)-(c_TMAP2IN)))+(c_TMAP2OUT)+IF(((c_TMAP3OUT)-(c_TMAP2OUT))&gt;=0,IF(IF(o_WRAP=1,MOD(((c_TMAP3IN)-(c_TMAP2IN))*(((A932)-(c_TMAP2IN))*((c_TMAP3OUT)-(c_TMAP2OUT))+IF(((c_TMAP3OUT)-(c_TMAP2OUT))&gt;=0,1,-1)*QUOTIENT(((c_TMAP3IN)-(c_TMAP2IN)),2))+2147483648,4294967296)-2147483648,((c_TMAP3IN)-(c_TMAP2IN))*(((A932)-(c_TMAP2IN))*((c_TMAP3OUT)-(c_TMAP2OUT))+IF(((c_TMAP3OUT)-(c_TMAP2OUT))&gt;=0,1,-1)*QUOTIENT(((c_TMAP3IN)-(c_TMAP2IN)),2)))&lt;0,-1,0),IF(IF(o_WRAP=1,MOD(((c_TMAP3IN)-(c_TMAP2IN))*(((A932)-(c_TMAP2IN))*((c_TMAP3OUT)-(c_TMAP2OUT))+IF(((c_TMAP3OUT)-(c_TMAP2OUT))&gt;=0,1,-1)*QUOTIENT(((c_TMAP3IN)-(c_TMAP2IN)),2))+2147483648,4294967296)-2147483648,((c_TMAP3IN)-(c_TMAP2IN))*(((A932)-(c_TMAP2IN))*((c_TMAP3OUT)-(c_TMAP2OUT))+IF(((c_TMAP3OUT)-(c_TMAP2OUT))&gt;=0,1,-1)*QUOTIENT(((c_TMAP3IN)-(c_TMAP2IN)),2)))&gt;=0,1,0)))</f>
        <v>604</v>
      </c>
      <c r="G932" s="7" t="n">
        <f aca="false">IF(((1000)-(c_TMAP3IN))=0,(c_TMAP3OUT)+QUOTIENT(((1000)-(c_TMAP3OUT)),2),QUOTIENT((((A932)-(c_TMAP3IN))*((1000)-(c_TMAP3OUT))+IF(((1000)-(c_TMAP3OUT))&gt;=0,1,-1)*QUOTIENT(((1000)-(c_TMAP3IN)),2)),((1000)-(c_TMAP3IN)))+(c_TMAP3OUT)+IF(((1000)-(c_TMAP3OUT))&gt;=0,IF(IF(o_WRAP=1,MOD(((1000)-(c_TMAP3IN))*(((A932)-(c_TMAP3IN))*((1000)-(c_TMAP3OUT))+IF(((1000)-(c_TMAP3OUT))&gt;=0,1,-1)*QUOTIENT(((1000)-(c_TMAP3IN)),2))+2147483648,4294967296)-2147483648,((1000)-(c_TMAP3IN))*(((A932)-(c_TMAP3IN))*((1000)-(c_TMAP3OUT))+IF(((1000)-(c_TMAP3OUT))&gt;=0,1,-1)*QUOTIENT(((1000)-(c_TMAP3IN)),2)))&lt;0,-1,0),IF(IF(o_WRAP=1,MOD(((1000)-(c_TMAP3IN))*(((A932)-(c_TMAP3IN))*((1000)-(c_TMAP3OUT))+IF(((1000)-(c_TMAP3OUT))&gt;=0,1,-1)*QUOTIENT(((1000)-(c_TMAP3IN)),2))+2147483648,4294967296)-2147483648,((1000)-(c_TMAP3IN))*(((A932)-(c_TMAP3IN))*((1000)-(c_TMAP3OUT))+IF(((1000)-(c_TMAP3OUT))&gt;=0,1,-1)*QUOTIENT(((1000)-(c_TMAP3IN)),2)))&gt;=0,1,0)))</f>
        <v>910</v>
      </c>
      <c r="H932" s="7" t="str">
        <f aca="false">IF(A932&gt;=c_TFWD,IF(AND(A932&gt;=c_TMAP3IN,c_TMAP3IN&lt;1000),"Seg4 map3-100%",IF(AND(A932&gt;=c_TMAP2IN,c_TMAP3IN&gt;c_TMAP2IN),"Seg3 map2-map3",IF(AND(A932&gt;=c_TMAP1IN,c_TMAP2IN&gt;c_TMAP1IN),"Seg2 map1-map2","Seg1 TFWD-map1"))),IF(AND(A932=0,c_TCREEP&gt;0),"Creep",IF(AND(A932&lt;=c_TRNGMIN,A932&gt;=c_TRNGMAX,c_TRNGMIN-c_TRNGMAX&lt;&gt;0),"Regen ramp","Coast (0)")))</f>
        <v>Seg4 map3-100%</v>
      </c>
      <c r="I932" s="7" t="n">
        <f aca="false">IF(A932&gt;=c_TFWD,IF(AND(A932&gt;=c_TMAP3IN,c_TMAP3IN&lt;1000),G932,IF(AND(A932&gt;=c_TMAP2IN,c_TMAP3IN&gt;c_TMAP2IN),F932,IF(AND(A932&gt;=c_TMAP1IN,c_TMAP2IN&gt;c_TMAP1IN),E932,D932))),C932)</f>
        <v>910</v>
      </c>
      <c r="J932" s="7" t="str">
        <f aca="false">IF(I932&lt;-1090,"TOO LOW",IF(I932&gt;1090,"TOO HIGH",""))</f>
        <v/>
      </c>
      <c r="K932" s="15" t="n">
        <f aca="false">IF(J932&lt;&gt;"",0,IF(I932&gt;979,1000,I932))</f>
        <v>910</v>
      </c>
      <c r="L932" s="7" t="n">
        <f aca="false">K932/10</f>
        <v>91</v>
      </c>
    </row>
    <row r="933" customFormat="false" ht="15" hidden="false" customHeight="false" outlineLevel="0" collapsed="false">
      <c r="A933" s="7" t="n">
        <v>928</v>
      </c>
      <c r="B933" s="7" t="n">
        <f aca="false">A933/10</f>
        <v>92.8</v>
      </c>
      <c r="C933" s="7" t="n">
        <f aca="false">IF(AND(A933=0,c_TCREEP&gt;0),10*c_TCREEP,IF(AND(A933&lt;=c_TRNGMIN,A933&gt;=c_TRNGMAX,c_TRNGMIN-c_TRNGMAX&lt;&gt;0),-10*c_TMINRN+QUOTIENT((c_TMAXRN-c_TMINRN)*(100-QUOTIENT((A933-c_TRNGMAX)*100,c_TRNGMIN-c_TRNGMAX)),-10),0))</f>
        <v>0</v>
      </c>
      <c r="D933" s="7" t="n">
        <f aca="false">IF(((c_TMAP1IN)-(c_TFWD))=0,(0)+QUOTIENT(((c_TMAP1OUT)-(0)),2),QUOTIENT((((A933)-(c_TFWD))*((c_TMAP1OUT)-(0))+IF(((c_TMAP1OUT)-(0))&gt;=0,1,-1)*QUOTIENT(((c_TMAP1IN)-(c_TFWD)),2)),((c_TMAP1IN)-(c_TFWD)))+(0)+IF(((c_TMAP1OUT)-(0))&gt;=0,IF(IF(o_WRAP=1,MOD(((c_TMAP1IN)-(c_TFWD))*(((A933)-(c_TFWD))*((c_TMAP1OUT)-(0))+IF(((c_TMAP1OUT)-(0))&gt;=0,1,-1)*QUOTIENT(((c_TMAP1IN)-(c_TFWD)),2))+2147483648,4294967296)-2147483648,((c_TMAP1IN)-(c_TFWD))*(((A933)-(c_TFWD))*((c_TMAP1OUT)-(0))+IF(((c_TMAP1OUT)-(0))&gt;=0,1,-1)*QUOTIENT(((c_TMAP1IN)-(c_TFWD)),2)))&lt;0,-1,0),IF(IF(o_WRAP=1,MOD(((c_TMAP1IN)-(c_TFWD))*(((A933)-(c_TFWD))*((c_TMAP1OUT)-(0))+IF(((c_TMAP1OUT)-(0))&gt;=0,1,-1)*QUOTIENT(((c_TMAP1IN)-(c_TFWD)),2))+2147483648,4294967296)-2147483648,((c_TMAP1IN)-(c_TFWD))*(((A933)-(c_TFWD))*((c_TMAP1OUT)-(0))+IF(((c_TMAP1OUT)-(0))&gt;=0,1,-1)*QUOTIENT(((c_TMAP1IN)-(c_TFWD)),2)))&gt;=0,1,0)))</f>
        <v>714</v>
      </c>
      <c r="E933" s="7" t="n">
        <f aca="false">IF(((c_TMAP2IN)-(c_TMAP1IN))=0,(c_TMAP1OUT)+QUOTIENT(((c_TMAP2OUT)-(c_TMAP1OUT)),2),QUOTIENT((((A933)-(c_TMAP1IN))*((c_TMAP2OUT)-(c_TMAP1OUT))+IF(((c_TMAP2OUT)-(c_TMAP1OUT))&gt;=0,1,-1)*QUOTIENT(((c_TMAP2IN)-(c_TMAP1IN)),2)),((c_TMAP2IN)-(c_TMAP1IN)))+(c_TMAP1OUT)+IF(((c_TMAP2OUT)-(c_TMAP1OUT))&gt;=0,IF(IF(o_WRAP=1,MOD(((c_TMAP2IN)-(c_TMAP1IN))*(((A933)-(c_TMAP1IN))*((c_TMAP2OUT)-(c_TMAP1OUT))+IF(((c_TMAP2OUT)-(c_TMAP1OUT))&gt;=0,1,-1)*QUOTIENT(((c_TMAP2IN)-(c_TMAP1IN)),2))+2147483648,4294967296)-2147483648,((c_TMAP2IN)-(c_TMAP1IN))*(((A933)-(c_TMAP1IN))*((c_TMAP2OUT)-(c_TMAP1OUT))+IF(((c_TMAP2OUT)-(c_TMAP1OUT))&gt;=0,1,-1)*QUOTIENT(((c_TMAP2IN)-(c_TMAP1IN)),2)))&lt;0,-1,0),IF(IF(o_WRAP=1,MOD(((c_TMAP2IN)-(c_TMAP1IN))*(((A933)-(c_TMAP1IN))*((c_TMAP2OUT)-(c_TMAP1OUT))+IF(((c_TMAP2OUT)-(c_TMAP1OUT))&gt;=0,1,-1)*QUOTIENT(((c_TMAP2IN)-(c_TMAP1IN)),2))+2147483648,4294967296)-2147483648,((c_TMAP2IN)-(c_TMAP1IN))*(((A933)-(c_TMAP1IN))*((c_TMAP2OUT)-(c_TMAP1OUT))+IF(((c_TMAP2OUT)-(c_TMAP1OUT))&gt;=0,1,-1)*QUOTIENT(((c_TMAP2IN)-(c_TMAP1IN)),2)))&gt;=0,1,0)))</f>
        <v>401</v>
      </c>
      <c r="F933" s="7" t="n">
        <f aca="false">IF(((c_TMAP3IN)-(c_TMAP2IN))=0,(c_TMAP2OUT)+QUOTIENT(((c_TMAP3OUT)-(c_TMAP2OUT)),2),QUOTIENT((((A933)-(c_TMAP2IN))*((c_TMAP3OUT)-(c_TMAP2OUT))+IF(((c_TMAP3OUT)-(c_TMAP2OUT))&gt;=0,1,-1)*QUOTIENT(((c_TMAP3IN)-(c_TMAP2IN)),2)),((c_TMAP3IN)-(c_TMAP2IN)))+(c_TMAP2OUT)+IF(((c_TMAP3OUT)-(c_TMAP2OUT))&gt;=0,IF(IF(o_WRAP=1,MOD(((c_TMAP3IN)-(c_TMAP2IN))*(((A933)-(c_TMAP2IN))*((c_TMAP3OUT)-(c_TMAP2OUT))+IF(((c_TMAP3OUT)-(c_TMAP2OUT))&gt;=0,1,-1)*QUOTIENT(((c_TMAP3IN)-(c_TMAP2IN)),2))+2147483648,4294967296)-2147483648,((c_TMAP3IN)-(c_TMAP2IN))*(((A933)-(c_TMAP2IN))*((c_TMAP3OUT)-(c_TMAP2OUT))+IF(((c_TMAP3OUT)-(c_TMAP2OUT))&gt;=0,1,-1)*QUOTIENT(((c_TMAP3IN)-(c_TMAP2IN)),2)))&lt;0,-1,0),IF(IF(o_WRAP=1,MOD(((c_TMAP3IN)-(c_TMAP2IN))*(((A933)-(c_TMAP2IN))*((c_TMAP3OUT)-(c_TMAP2OUT))+IF(((c_TMAP3OUT)-(c_TMAP2OUT))&gt;=0,1,-1)*QUOTIENT(((c_TMAP3IN)-(c_TMAP2IN)),2))+2147483648,4294967296)-2147483648,((c_TMAP3IN)-(c_TMAP2IN))*(((A933)-(c_TMAP2IN))*((c_TMAP3OUT)-(c_TMAP2OUT))+IF(((c_TMAP3OUT)-(c_TMAP2OUT))&gt;=0,1,-1)*QUOTIENT(((c_TMAP3IN)-(c_TMAP2IN)),2)))&gt;=0,1,0)))</f>
        <v>605</v>
      </c>
      <c r="G933" s="7" t="n">
        <f aca="false">IF(((1000)-(c_TMAP3IN))=0,(c_TMAP3OUT)+QUOTIENT(((1000)-(c_TMAP3OUT)),2),QUOTIENT((((A933)-(c_TMAP3IN))*((1000)-(c_TMAP3OUT))+IF(((1000)-(c_TMAP3OUT))&gt;=0,1,-1)*QUOTIENT(((1000)-(c_TMAP3IN)),2)),((1000)-(c_TMAP3IN)))+(c_TMAP3OUT)+IF(((1000)-(c_TMAP3OUT))&gt;=0,IF(IF(o_WRAP=1,MOD(((1000)-(c_TMAP3IN))*(((A933)-(c_TMAP3IN))*((1000)-(c_TMAP3OUT))+IF(((1000)-(c_TMAP3OUT))&gt;=0,1,-1)*QUOTIENT(((1000)-(c_TMAP3IN)),2))+2147483648,4294967296)-2147483648,((1000)-(c_TMAP3IN))*(((A933)-(c_TMAP3IN))*((1000)-(c_TMAP3OUT))+IF(((1000)-(c_TMAP3OUT))&gt;=0,1,-1)*QUOTIENT(((1000)-(c_TMAP3IN)),2)))&lt;0,-1,0),IF(IF(o_WRAP=1,MOD(((1000)-(c_TMAP3IN))*(((A933)-(c_TMAP3IN))*((1000)-(c_TMAP3OUT))+IF(((1000)-(c_TMAP3OUT))&gt;=0,1,-1)*QUOTIENT(((1000)-(c_TMAP3IN)),2))+2147483648,4294967296)-2147483648,((1000)-(c_TMAP3IN))*(((A933)-(c_TMAP3IN))*((1000)-(c_TMAP3OUT))+IF(((1000)-(c_TMAP3OUT))&gt;=0,1,-1)*QUOTIENT(((1000)-(c_TMAP3IN)),2)))&gt;=0,1,0)))</f>
        <v>911</v>
      </c>
      <c r="H933" s="7" t="str">
        <f aca="false">IF(A933&gt;=c_TFWD,IF(AND(A933&gt;=c_TMAP3IN,c_TMAP3IN&lt;1000),"Seg4 map3-100%",IF(AND(A933&gt;=c_TMAP2IN,c_TMAP3IN&gt;c_TMAP2IN),"Seg3 map2-map3",IF(AND(A933&gt;=c_TMAP1IN,c_TMAP2IN&gt;c_TMAP1IN),"Seg2 map1-map2","Seg1 TFWD-map1"))),IF(AND(A933=0,c_TCREEP&gt;0),"Creep",IF(AND(A933&lt;=c_TRNGMIN,A933&gt;=c_TRNGMAX,c_TRNGMIN-c_TRNGMAX&lt;&gt;0),"Regen ramp","Coast (0)")))</f>
        <v>Seg4 map3-100%</v>
      </c>
      <c r="I933" s="7" t="n">
        <f aca="false">IF(A933&gt;=c_TFWD,IF(AND(A933&gt;=c_TMAP3IN,c_TMAP3IN&lt;1000),G933,IF(AND(A933&gt;=c_TMAP2IN,c_TMAP3IN&gt;c_TMAP2IN),F933,IF(AND(A933&gt;=c_TMAP1IN,c_TMAP2IN&gt;c_TMAP1IN),E933,D933))),C933)</f>
        <v>911</v>
      </c>
      <c r="J933" s="7" t="str">
        <f aca="false">IF(I933&lt;-1090,"TOO LOW",IF(I933&gt;1090,"TOO HIGH",""))</f>
        <v/>
      </c>
      <c r="K933" s="15" t="n">
        <f aca="false">IF(J933&lt;&gt;"",0,IF(I933&gt;979,1000,I933))</f>
        <v>911</v>
      </c>
      <c r="L933" s="7" t="n">
        <f aca="false">K933/10</f>
        <v>91.1</v>
      </c>
    </row>
    <row r="934" customFormat="false" ht="15" hidden="false" customHeight="false" outlineLevel="0" collapsed="false">
      <c r="A934" s="7" t="n">
        <v>929</v>
      </c>
      <c r="B934" s="7" t="n">
        <f aca="false">A934/10</f>
        <v>92.9</v>
      </c>
      <c r="C934" s="7" t="n">
        <f aca="false">IF(AND(A934=0,c_TCREEP&gt;0),10*c_TCREEP,IF(AND(A934&lt;=c_TRNGMIN,A934&gt;=c_TRNGMAX,c_TRNGMIN-c_TRNGMAX&lt;&gt;0),-10*c_TMINRN+QUOTIENT((c_TMAXRN-c_TMINRN)*(100-QUOTIENT((A934-c_TRNGMAX)*100,c_TRNGMIN-c_TRNGMAX)),-10),0))</f>
        <v>0</v>
      </c>
      <c r="D934" s="7" t="n">
        <f aca="false">IF(((c_TMAP1IN)-(c_TFWD))=0,(0)+QUOTIENT(((c_TMAP1OUT)-(0)),2),QUOTIENT((((A934)-(c_TFWD))*((c_TMAP1OUT)-(0))+IF(((c_TMAP1OUT)-(0))&gt;=0,1,-1)*QUOTIENT(((c_TMAP1IN)-(c_TFWD)),2)),((c_TMAP1IN)-(c_TFWD)))+(0)+IF(((c_TMAP1OUT)-(0))&gt;=0,IF(IF(o_WRAP=1,MOD(((c_TMAP1IN)-(c_TFWD))*(((A934)-(c_TFWD))*((c_TMAP1OUT)-(0))+IF(((c_TMAP1OUT)-(0))&gt;=0,1,-1)*QUOTIENT(((c_TMAP1IN)-(c_TFWD)),2))+2147483648,4294967296)-2147483648,((c_TMAP1IN)-(c_TFWD))*(((A934)-(c_TFWD))*((c_TMAP1OUT)-(0))+IF(((c_TMAP1OUT)-(0))&gt;=0,1,-1)*QUOTIENT(((c_TMAP1IN)-(c_TFWD)),2)))&lt;0,-1,0),IF(IF(o_WRAP=1,MOD(((c_TMAP1IN)-(c_TFWD))*(((A934)-(c_TFWD))*((c_TMAP1OUT)-(0))+IF(((c_TMAP1OUT)-(0))&gt;=0,1,-1)*QUOTIENT(((c_TMAP1IN)-(c_TFWD)),2))+2147483648,4294967296)-2147483648,((c_TMAP1IN)-(c_TFWD))*(((A934)-(c_TFWD))*((c_TMAP1OUT)-(0))+IF(((c_TMAP1OUT)-(0))&gt;=0,1,-1)*QUOTIENT(((c_TMAP1IN)-(c_TFWD)),2)))&gt;=0,1,0)))</f>
        <v>715</v>
      </c>
      <c r="E934" s="7" t="n">
        <f aca="false">IF(((c_TMAP2IN)-(c_TMAP1IN))=0,(c_TMAP1OUT)+QUOTIENT(((c_TMAP2OUT)-(c_TMAP1OUT)),2),QUOTIENT((((A934)-(c_TMAP1IN))*((c_TMAP2OUT)-(c_TMAP1OUT))+IF(((c_TMAP2OUT)-(c_TMAP1OUT))&gt;=0,1,-1)*QUOTIENT(((c_TMAP2IN)-(c_TMAP1IN)),2)),((c_TMAP2IN)-(c_TMAP1IN)))+(c_TMAP1OUT)+IF(((c_TMAP2OUT)-(c_TMAP1OUT))&gt;=0,IF(IF(o_WRAP=1,MOD(((c_TMAP2IN)-(c_TMAP1IN))*(((A934)-(c_TMAP1IN))*((c_TMAP2OUT)-(c_TMAP1OUT))+IF(((c_TMAP2OUT)-(c_TMAP1OUT))&gt;=0,1,-1)*QUOTIENT(((c_TMAP2IN)-(c_TMAP1IN)),2))+2147483648,4294967296)-2147483648,((c_TMAP2IN)-(c_TMAP1IN))*(((A934)-(c_TMAP1IN))*((c_TMAP2OUT)-(c_TMAP1OUT))+IF(((c_TMAP2OUT)-(c_TMAP1OUT))&gt;=0,1,-1)*QUOTIENT(((c_TMAP2IN)-(c_TMAP1IN)),2)))&lt;0,-1,0),IF(IF(o_WRAP=1,MOD(((c_TMAP2IN)-(c_TMAP1IN))*(((A934)-(c_TMAP1IN))*((c_TMAP2OUT)-(c_TMAP1OUT))+IF(((c_TMAP2OUT)-(c_TMAP1OUT))&gt;=0,1,-1)*QUOTIENT(((c_TMAP2IN)-(c_TMAP1IN)),2))+2147483648,4294967296)-2147483648,((c_TMAP2IN)-(c_TMAP1IN))*(((A934)-(c_TMAP1IN))*((c_TMAP2OUT)-(c_TMAP1OUT))+IF(((c_TMAP2OUT)-(c_TMAP1OUT))&gt;=0,1,-1)*QUOTIENT(((c_TMAP2IN)-(c_TMAP1IN)),2)))&gt;=0,1,0)))</f>
        <v>402</v>
      </c>
      <c r="F934" s="7" t="n">
        <f aca="false">IF(((c_TMAP3IN)-(c_TMAP2IN))=0,(c_TMAP2OUT)+QUOTIENT(((c_TMAP3OUT)-(c_TMAP2OUT)),2),QUOTIENT((((A934)-(c_TMAP2IN))*((c_TMAP3OUT)-(c_TMAP2OUT))+IF(((c_TMAP3OUT)-(c_TMAP2OUT))&gt;=0,1,-1)*QUOTIENT(((c_TMAP3IN)-(c_TMAP2IN)),2)),((c_TMAP3IN)-(c_TMAP2IN)))+(c_TMAP2OUT)+IF(((c_TMAP3OUT)-(c_TMAP2OUT))&gt;=0,IF(IF(o_WRAP=1,MOD(((c_TMAP3IN)-(c_TMAP2IN))*(((A934)-(c_TMAP2IN))*((c_TMAP3OUT)-(c_TMAP2OUT))+IF(((c_TMAP3OUT)-(c_TMAP2OUT))&gt;=0,1,-1)*QUOTIENT(((c_TMAP3IN)-(c_TMAP2IN)),2))+2147483648,4294967296)-2147483648,((c_TMAP3IN)-(c_TMAP2IN))*(((A934)-(c_TMAP2IN))*((c_TMAP3OUT)-(c_TMAP2OUT))+IF(((c_TMAP3OUT)-(c_TMAP2OUT))&gt;=0,1,-1)*QUOTIENT(((c_TMAP3IN)-(c_TMAP2IN)),2)))&lt;0,-1,0),IF(IF(o_WRAP=1,MOD(((c_TMAP3IN)-(c_TMAP2IN))*(((A934)-(c_TMAP2IN))*((c_TMAP3OUT)-(c_TMAP2OUT))+IF(((c_TMAP3OUT)-(c_TMAP2OUT))&gt;=0,1,-1)*QUOTIENT(((c_TMAP3IN)-(c_TMAP2IN)),2))+2147483648,4294967296)-2147483648,((c_TMAP3IN)-(c_TMAP2IN))*(((A934)-(c_TMAP2IN))*((c_TMAP3OUT)-(c_TMAP2OUT))+IF(((c_TMAP3OUT)-(c_TMAP2OUT))&gt;=0,1,-1)*QUOTIENT(((c_TMAP3IN)-(c_TMAP2IN)),2)))&gt;=0,1,0)))</f>
        <v>605</v>
      </c>
      <c r="G934" s="7" t="n">
        <f aca="false">IF(((1000)-(c_TMAP3IN))=0,(c_TMAP3OUT)+QUOTIENT(((1000)-(c_TMAP3OUT)),2),QUOTIENT((((A934)-(c_TMAP3IN))*((1000)-(c_TMAP3OUT))+IF(((1000)-(c_TMAP3OUT))&gt;=0,1,-1)*QUOTIENT(((1000)-(c_TMAP3IN)),2)),((1000)-(c_TMAP3IN)))+(c_TMAP3OUT)+IF(((1000)-(c_TMAP3OUT))&gt;=0,IF(IF(o_WRAP=1,MOD(((1000)-(c_TMAP3IN))*(((A934)-(c_TMAP3IN))*((1000)-(c_TMAP3OUT))+IF(((1000)-(c_TMAP3OUT))&gt;=0,1,-1)*QUOTIENT(((1000)-(c_TMAP3IN)),2))+2147483648,4294967296)-2147483648,((1000)-(c_TMAP3IN))*(((A934)-(c_TMAP3IN))*((1000)-(c_TMAP3OUT))+IF(((1000)-(c_TMAP3OUT))&gt;=0,1,-1)*QUOTIENT(((1000)-(c_TMAP3IN)),2)))&lt;0,-1,0),IF(IF(o_WRAP=1,MOD(((1000)-(c_TMAP3IN))*(((A934)-(c_TMAP3IN))*((1000)-(c_TMAP3OUT))+IF(((1000)-(c_TMAP3OUT))&gt;=0,1,-1)*QUOTIENT(((1000)-(c_TMAP3IN)),2))+2147483648,4294967296)-2147483648,((1000)-(c_TMAP3IN))*(((A934)-(c_TMAP3IN))*((1000)-(c_TMAP3OUT))+IF(((1000)-(c_TMAP3OUT))&gt;=0,1,-1)*QUOTIENT(((1000)-(c_TMAP3IN)),2)))&gt;=0,1,0)))</f>
        <v>913</v>
      </c>
      <c r="H934" s="7" t="str">
        <f aca="false">IF(A934&gt;=c_TFWD,IF(AND(A934&gt;=c_TMAP3IN,c_TMAP3IN&lt;1000),"Seg4 map3-100%",IF(AND(A934&gt;=c_TMAP2IN,c_TMAP3IN&gt;c_TMAP2IN),"Seg3 map2-map3",IF(AND(A934&gt;=c_TMAP1IN,c_TMAP2IN&gt;c_TMAP1IN),"Seg2 map1-map2","Seg1 TFWD-map1"))),IF(AND(A934=0,c_TCREEP&gt;0),"Creep",IF(AND(A934&lt;=c_TRNGMIN,A934&gt;=c_TRNGMAX,c_TRNGMIN-c_TRNGMAX&lt;&gt;0),"Regen ramp","Coast (0)")))</f>
        <v>Seg4 map3-100%</v>
      </c>
      <c r="I934" s="7" t="n">
        <f aca="false">IF(A934&gt;=c_TFWD,IF(AND(A934&gt;=c_TMAP3IN,c_TMAP3IN&lt;1000),G934,IF(AND(A934&gt;=c_TMAP2IN,c_TMAP3IN&gt;c_TMAP2IN),F934,IF(AND(A934&gt;=c_TMAP1IN,c_TMAP2IN&gt;c_TMAP1IN),E934,D934))),C934)</f>
        <v>913</v>
      </c>
      <c r="J934" s="7" t="str">
        <f aca="false">IF(I934&lt;-1090,"TOO LOW",IF(I934&gt;1090,"TOO HIGH",""))</f>
        <v/>
      </c>
      <c r="K934" s="15" t="n">
        <f aca="false">IF(J934&lt;&gt;"",0,IF(I934&gt;979,1000,I934))</f>
        <v>913</v>
      </c>
      <c r="L934" s="7" t="n">
        <f aca="false">K934/10</f>
        <v>91.3</v>
      </c>
    </row>
    <row r="935" customFormat="false" ht="15" hidden="false" customHeight="false" outlineLevel="0" collapsed="false">
      <c r="A935" s="7" t="n">
        <v>930</v>
      </c>
      <c r="B935" s="7" t="n">
        <f aca="false">A935/10</f>
        <v>93</v>
      </c>
      <c r="C935" s="7" t="n">
        <f aca="false">IF(AND(A935=0,c_TCREEP&gt;0),10*c_TCREEP,IF(AND(A935&lt;=c_TRNGMIN,A935&gt;=c_TRNGMAX,c_TRNGMIN-c_TRNGMAX&lt;&gt;0),-10*c_TMINRN+QUOTIENT((c_TMAXRN-c_TMINRN)*(100-QUOTIENT((A935-c_TRNGMAX)*100,c_TRNGMIN-c_TRNGMAX)),-10),0))</f>
        <v>0</v>
      </c>
      <c r="D935" s="7" t="n">
        <f aca="false">IF(((c_TMAP1IN)-(c_TFWD))=0,(0)+QUOTIENT(((c_TMAP1OUT)-(0)),2),QUOTIENT((((A935)-(c_TFWD))*((c_TMAP1OUT)-(0))+IF(((c_TMAP1OUT)-(0))&gt;=0,1,-1)*QUOTIENT(((c_TMAP1IN)-(c_TFWD)),2)),((c_TMAP1IN)-(c_TFWD)))+(0)+IF(((c_TMAP1OUT)-(0))&gt;=0,IF(IF(o_WRAP=1,MOD(((c_TMAP1IN)-(c_TFWD))*(((A935)-(c_TFWD))*((c_TMAP1OUT)-(0))+IF(((c_TMAP1OUT)-(0))&gt;=0,1,-1)*QUOTIENT(((c_TMAP1IN)-(c_TFWD)),2))+2147483648,4294967296)-2147483648,((c_TMAP1IN)-(c_TFWD))*(((A935)-(c_TFWD))*((c_TMAP1OUT)-(0))+IF(((c_TMAP1OUT)-(0))&gt;=0,1,-1)*QUOTIENT(((c_TMAP1IN)-(c_TFWD)),2)))&lt;0,-1,0),IF(IF(o_WRAP=1,MOD(((c_TMAP1IN)-(c_TFWD))*(((A935)-(c_TFWD))*((c_TMAP1OUT)-(0))+IF(((c_TMAP1OUT)-(0))&gt;=0,1,-1)*QUOTIENT(((c_TMAP1IN)-(c_TFWD)),2))+2147483648,4294967296)-2147483648,((c_TMAP1IN)-(c_TFWD))*(((A935)-(c_TFWD))*((c_TMAP1OUT)-(0))+IF(((c_TMAP1OUT)-(0))&gt;=0,1,-1)*QUOTIENT(((c_TMAP1IN)-(c_TFWD)),2)))&gt;=0,1,0)))</f>
        <v>716</v>
      </c>
      <c r="E935" s="7" t="n">
        <f aca="false">IF(((c_TMAP2IN)-(c_TMAP1IN))=0,(c_TMAP1OUT)+QUOTIENT(((c_TMAP2OUT)-(c_TMAP1OUT)),2),QUOTIENT((((A935)-(c_TMAP1IN))*((c_TMAP2OUT)-(c_TMAP1OUT))+IF(((c_TMAP2OUT)-(c_TMAP1OUT))&gt;=0,1,-1)*QUOTIENT(((c_TMAP2IN)-(c_TMAP1IN)),2)),((c_TMAP2IN)-(c_TMAP1IN)))+(c_TMAP1OUT)+IF(((c_TMAP2OUT)-(c_TMAP1OUT))&gt;=0,IF(IF(o_WRAP=1,MOD(((c_TMAP2IN)-(c_TMAP1IN))*(((A935)-(c_TMAP1IN))*((c_TMAP2OUT)-(c_TMAP1OUT))+IF(((c_TMAP2OUT)-(c_TMAP1OUT))&gt;=0,1,-1)*QUOTIENT(((c_TMAP2IN)-(c_TMAP1IN)),2))+2147483648,4294967296)-2147483648,((c_TMAP2IN)-(c_TMAP1IN))*(((A935)-(c_TMAP1IN))*((c_TMAP2OUT)-(c_TMAP1OUT))+IF(((c_TMAP2OUT)-(c_TMAP1OUT))&gt;=0,1,-1)*QUOTIENT(((c_TMAP2IN)-(c_TMAP1IN)),2)))&lt;0,-1,0),IF(IF(o_WRAP=1,MOD(((c_TMAP2IN)-(c_TMAP1IN))*(((A935)-(c_TMAP1IN))*((c_TMAP2OUT)-(c_TMAP1OUT))+IF(((c_TMAP2OUT)-(c_TMAP1OUT))&gt;=0,1,-1)*QUOTIENT(((c_TMAP2IN)-(c_TMAP1IN)),2))+2147483648,4294967296)-2147483648,((c_TMAP2IN)-(c_TMAP1IN))*(((A935)-(c_TMAP1IN))*((c_TMAP2OUT)-(c_TMAP1OUT))+IF(((c_TMAP2OUT)-(c_TMAP1OUT))&gt;=0,1,-1)*QUOTIENT(((c_TMAP2IN)-(c_TMAP1IN)),2)))&gt;=0,1,0)))</f>
        <v>402</v>
      </c>
      <c r="F935" s="7" t="n">
        <f aca="false">IF(((c_TMAP3IN)-(c_TMAP2IN))=0,(c_TMAP2OUT)+QUOTIENT(((c_TMAP3OUT)-(c_TMAP2OUT)),2),QUOTIENT((((A935)-(c_TMAP2IN))*((c_TMAP3OUT)-(c_TMAP2OUT))+IF(((c_TMAP3OUT)-(c_TMAP2OUT))&gt;=0,1,-1)*QUOTIENT(((c_TMAP3IN)-(c_TMAP2IN)),2)),((c_TMAP3IN)-(c_TMAP2IN)))+(c_TMAP2OUT)+IF(((c_TMAP3OUT)-(c_TMAP2OUT))&gt;=0,IF(IF(o_WRAP=1,MOD(((c_TMAP3IN)-(c_TMAP2IN))*(((A935)-(c_TMAP2IN))*((c_TMAP3OUT)-(c_TMAP2OUT))+IF(((c_TMAP3OUT)-(c_TMAP2OUT))&gt;=0,1,-1)*QUOTIENT(((c_TMAP3IN)-(c_TMAP2IN)),2))+2147483648,4294967296)-2147483648,((c_TMAP3IN)-(c_TMAP2IN))*(((A935)-(c_TMAP2IN))*((c_TMAP3OUT)-(c_TMAP2OUT))+IF(((c_TMAP3OUT)-(c_TMAP2OUT))&gt;=0,1,-1)*QUOTIENT(((c_TMAP3IN)-(c_TMAP2IN)),2)))&lt;0,-1,0),IF(IF(o_WRAP=1,MOD(((c_TMAP3IN)-(c_TMAP2IN))*(((A935)-(c_TMAP2IN))*((c_TMAP3OUT)-(c_TMAP2OUT))+IF(((c_TMAP3OUT)-(c_TMAP2OUT))&gt;=0,1,-1)*QUOTIENT(((c_TMAP3IN)-(c_TMAP2IN)),2))+2147483648,4294967296)-2147483648,((c_TMAP3IN)-(c_TMAP2IN))*(((A935)-(c_TMAP2IN))*((c_TMAP3OUT)-(c_TMAP2OUT))+IF(((c_TMAP3OUT)-(c_TMAP2OUT))&gt;=0,1,-1)*QUOTIENT(((c_TMAP3IN)-(c_TMAP2IN)),2)))&gt;=0,1,0)))</f>
        <v>606</v>
      </c>
      <c r="G935" s="7" t="n">
        <f aca="false">IF(((1000)-(c_TMAP3IN))=0,(c_TMAP3OUT)+QUOTIENT(((1000)-(c_TMAP3OUT)),2),QUOTIENT((((A935)-(c_TMAP3IN))*((1000)-(c_TMAP3OUT))+IF(((1000)-(c_TMAP3OUT))&gt;=0,1,-1)*QUOTIENT(((1000)-(c_TMAP3IN)),2)),((1000)-(c_TMAP3IN)))+(c_TMAP3OUT)+IF(((1000)-(c_TMAP3OUT))&gt;=0,IF(IF(o_WRAP=1,MOD(((1000)-(c_TMAP3IN))*(((A935)-(c_TMAP3IN))*((1000)-(c_TMAP3OUT))+IF(((1000)-(c_TMAP3OUT))&gt;=0,1,-1)*QUOTIENT(((1000)-(c_TMAP3IN)),2))+2147483648,4294967296)-2147483648,((1000)-(c_TMAP3IN))*(((A935)-(c_TMAP3IN))*((1000)-(c_TMAP3OUT))+IF(((1000)-(c_TMAP3OUT))&gt;=0,1,-1)*QUOTIENT(((1000)-(c_TMAP3IN)),2)))&lt;0,-1,0),IF(IF(o_WRAP=1,MOD(((1000)-(c_TMAP3IN))*(((A935)-(c_TMAP3IN))*((1000)-(c_TMAP3OUT))+IF(((1000)-(c_TMAP3OUT))&gt;=0,1,-1)*QUOTIENT(((1000)-(c_TMAP3IN)),2))+2147483648,4294967296)-2147483648,((1000)-(c_TMAP3IN))*(((A935)-(c_TMAP3IN))*((1000)-(c_TMAP3OUT))+IF(((1000)-(c_TMAP3OUT))&gt;=0,1,-1)*QUOTIENT(((1000)-(c_TMAP3IN)),2)))&gt;=0,1,0)))</f>
        <v>914</v>
      </c>
      <c r="H935" s="7" t="str">
        <f aca="false">IF(A935&gt;=c_TFWD,IF(AND(A935&gt;=c_TMAP3IN,c_TMAP3IN&lt;1000),"Seg4 map3-100%",IF(AND(A935&gt;=c_TMAP2IN,c_TMAP3IN&gt;c_TMAP2IN),"Seg3 map2-map3",IF(AND(A935&gt;=c_TMAP1IN,c_TMAP2IN&gt;c_TMAP1IN),"Seg2 map1-map2","Seg1 TFWD-map1"))),IF(AND(A935=0,c_TCREEP&gt;0),"Creep",IF(AND(A935&lt;=c_TRNGMIN,A935&gt;=c_TRNGMAX,c_TRNGMIN-c_TRNGMAX&lt;&gt;0),"Regen ramp","Coast (0)")))</f>
        <v>Seg4 map3-100%</v>
      </c>
      <c r="I935" s="7" t="n">
        <f aca="false">IF(A935&gt;=c_TFWD,IF(AND(A935&gt;=c_TMAP3IN,c_TMAP3IN&lt;1000),G935,IF(AND(A935&gt;=c_TMAP2IN,c_TMAP3IN&gt;c_TMAP2IN),F935,IF(AND(A935&gt;=c_TMAP1IN,c_TMAP2IN&gt;c_TMAP1IN),E935,D935))),C935)</f>
        <v>914</v>
      </c>
      <c r="J935" s="7" t="str">
        <f aca="false">IF(I935&lt;-1090,"TOO LOW",IF(I935&gt;1090,"TOO HIGH",""))</f>
        <v/>
      </c>
      <c r="K935" s="15" t="n">
        <f aca="false">IF(J935&lt;&gt;"",0,IF(I935&gt;979,1000,I935))</f>
        <v>914</v>
      </c>
      <c r="L935" s="7" t="n">
        <f aca="false">K935/10</f>
        <v>91.4</v>
      </c>
    </row>
    <row r="936" customFormat="false" ht="15" hidden="false" customHeight="false" outlineLevel="0" collapsed="false">
      <c r="A936" s="7" t="n">
        <v>931</v>
      </c>
      <c r="B936" s="7" t="n">
        <f aca="false">A936/10</f>
        <v>93.1</v>
      </c>
      <c r="C936" s="7" t="n">
        <f aca="false">IF(AND(A936=0,c_TCREEP&gt;0),10*c_TCREEP,IF(AND(A936&lt;=c_TRNGMIN,A936&gt;=c_TRNGMAX,c_TRNGMIN-c_TRNGMAX&lt;&gt;0),-10*c_TMINRN+QUOTIENT((c_TMAXRN-c_TMINRN)*(100-QUOTIENT((A936-c_TRNGMAX)*100,c_TRNGMIN-c_TRNGMAX)),-10),0))</f>
        <v>0</v>
      </c>
      <c r="D936" s="7" t="n">
        <f aca="false">IF(((c_TMAP1IN)-(c_TFWD))=0,(0)+QUOTIENT(((c_TMAP1OUT)-(0)),2),QUOTIENT((((A936)-(c_TFWD))*((c_TMAP1OUT)-(0))+IF(((c_TMAP1OUT)-(0))&gt;=0,1,-1)*QUOTIENT(((c_TMAP1IN)-(c_TFWD)),2)),((c_TMAP1IN)-(c_TFWD)))+(0)+IF(((c_TMAP1OUT)-(0))&gt;=0,IF(IF(o_WRAP=1,MOD(((c_TMAP1IN)-(c_TFWD))*(((A936)-(c_TFWD))*((c_TMAP1OUT)-(0))+IF(((c_TMAP1OUT)-(0))&gt;=0,1,-1)*QUOTIENT(((c_TMAP1IN)-(c_TFWD)),2))+2147483648,4294967296)-2147483648,((c_TMAP1IN)-(c_TFWD))*(((A936)-(c_TFWD))*((c_TMAP1OUT)-(0))+IF(((c_TMAP1OUT)-(0))&gt;=0,1,-1)*QUOTIENT(((c_TMAP1IN)-(c_TFWD)),2)))&lt;0,-1,0),IF(IF(o_WRAP=1,MOD(((c_TMAP1IN)-(c_TFWD))*(((A936)-(c_TFWD))*((c_TMAP1OUT)-(0))+IF(((c_TMAP1OUT)-(0))&gt;=0,1,-1)*QUOTIENT(((c_TMAP1IN)-(c_TFWD)),2))+2147483648,4294967296)-2147483648,((c_TMAP1IN)-(c_TFWD))*(((A936)-(c_TFWD))*((c_TMAP1OUT)-(0))+IF(((c_TMAP1OUT)-(0))&gt;=0,1,-1)*QUOTIENT(((c_TMAP1IN)-(c_TFWD)),2)))&gt;=0,1,0)))</f>
        <v>716</v>
      </c>
      <c r="E936" s="7" t="n">
        <f aca="false">IF(((c_TMAP2IN)-(c_TMAP1IN))=0,(c_TMAP1OUT)+QUOTIENT(((c_TMAP2OUT)-(c_TMAP1OUT)),2),QUOTIENT((((A936)-(c_TMAP1IN))*((c_TMAP2OUT)-(c_TMAP1OUT))+IF(((c_TMAP2OUT)-(c_TMAP1OUT))&gt;=0,1,-1)*QUOTIENT(((c_TMAP2IN)-(c_TMAP1IN)),2)),((c_TMAP2IN)-(c_TMAP1IN)))+(c_TMAP1OUT)+IF(((c_TMAP2OUT)-(c_TMAP1OUT))&gt;=0,IF(IF(o_WRAP=1,MOD(((c_TMAP2IN)-(c_TMAP1IN))*(((A936)-(c_TMAP1IN))*((c_TMAP2OUT)-(c_TMAP1OUT))+IF(((c_TMAP2OUT)-(c_TMAP1OUT))&gt;=0,1,-1)*QUOTIENT(((c_TMAP2IN)-(c_TMAP1IN)),2))+2147483648,4294967296)-2147483648,((c_TMAP2IN)-(c_TMAP1IN))*(((A936)-(c_TMAP1IN))*((c_TMAP2OUT)-(c_TMAP1OUT))+IF(((c_TMAP2OUT)-(c_TMAP1OUT))&gt;=0,1,-1)*QUOTIENT(((c_TMAP2IN)-(c_TMAP1IN)),2)))&lt;0,-1,0),IF(IF(o_WRAP=1,MOD(((c_TMAP2IN)-(c_TMAP1IN))*(((A936)-(c_TMAP1IN))*((c_TMAP2OUT)-(c_TMAP1OUT))+IF(((c_TMAP2OUT)-(c_TMAP1OUT))&gt;=0,1,-1)*QUOTIENT(((c_TMAP2IN)-(c_TMAP1IN)),2))+2147483648,4294967296)-2147483648,((c_TMAP2IN)-(c_TMAP1IN))*(((A936)-(c_TMAP1IN))*((c_TMAP2OUT)-(c_TMAP1OUT))+IF(((c_TMAP2OUT)-(c_TMAP1OUT))&gt;=0,1,-1)*QUOTIENT(((c_TMAP2IN)-(c_TMAP1IN)),2)))&gt;=0,1,0)))</f>
        <v>402</v>
      </c>
      <c r="F936" s="7" t="n">
        <f aca="false">IF(((c_TMAP3IN)-(c_TMAP2IN))=0,(c_TMAP2OUT)+QUOTIENT(((c_TMAP3OUT)-(c_TMAP2OUT)),2),QUOTIENT((((A936)-(c_TMAP2IN))*((c_TMAP3OUT)-(c_TMAP2OUT))+IF(((c_TMAP3OUT)-(c_TMAP2OUT))&gt;=0,1,-1)*QUOTIENT(((c_TMAP3IN)-(c_TMAP2IN)),2)),((c_TMAP3IN)-(c_TMAP2IN)))+(c_TMAP2OUT)+IF(((c_TMAP3OUT)-(c_TMAP2OUT))&gt;=0,IF(IF(o_WRAP=1,MOD(((c_TMAP3IN)-(c_TMAP2IN))*(((A936)-(c_TMAP2IN))*((c_TMAP3OUT)-(c_TMAP2OUT))+IF(((c_TMAP3OUT)-(c_TMAP2OUT))&gt;=0,1,-1)*QUOTIENT(((c_TMAP3IN)-(c_TMAP2IN)),2))+2147483648,4294967296)-2147483648,((c_TMAP3IN)-(c_TMAP2IN))*(((A936)-(c_TMAP2IN))*((c_TMAP3OUT)-(c_TMAP2OUT))+IF(((c_TMAP3OUT)-(c_TMAP2OUT))&gt;=0,1,-1)*QUOTIENT(((c_TMAP3IN)-(c_TMAP2IN)),2)))&lt;0,-1,0),IF(IF(o_WRAP=1,MOD(((c_TMAP3IN)-(c_TMAP2IN))*(((A936)-(c_TMAP2IN))*((c_TMAP3OUT)-(c_TMAP2OUT))+IF(((c_TMAP3OUT)-(c_TMAP2OUT))&gt;=0,1,-1)*QUOTIENT(((c_TMAP3IN)-(c_TMAP2IN)),2))+2147483648,4294967296)-2147483648,((c_TMAP3IN)-(c_TMAP2IN))*(((A936)-(c_TMAP2IN))*((c_TMAP3OUT)-(c_TMAP2OUT))+IF(((c_TMAP3OUT)-(c_TMAP2OUT))&gt;=0,1,-1)*QUOTIENT(((c_TMAP3IN)-(c_TMAP2IN)),2)))&gt;=0,1,0)))</f>
        <v>607</v>
      </c>
      <c r="G936" s="7" t="n">
        <f aca="false">IF(((1000)-(c_TMAP3IN))=0,(c_TMAP3OUT)+QUOTIENT(((1000)-(c_TMAP3OUT)),2),QUOTIENT((((A936)-(c_TMAP3IN))*((1000)-(c_TMAP3OUT))+IF(((1000)-(c_TMAP3OUT))&gt;=0,1,-1)*QUOTIENT(((1000)-(c_TMAP3IN)),2)),((1000)-(c_TMAP3IN)))+(c_TMAP3OUT)+IF(((1000)-(c_TMAP3OUT))&gt;=0,IF(IF(o_WRAP=1,MOD(((1000)-(c_TMAP3IN))*(((A936)-(c_TMAP3IN))*((1000)-(c_TMAP3OUT))+IF(((1000)-(c_TMAP3OUT))&gt;=0,1,-1)*QUOTIENT(((1000)-(c_TMAP3IN)),2))+2147483648,4294967296)-2147483648,((1000)-(c_TMAP3IN))*(((A936)-(c_TMAP3IN))*((1000)-(c_TMAP3OUT))+IF(((1000)-(c_TMAP3OUT))&gt;=0,1,-1)*QUOTIENT(((1000)-(c_TMAP3IN)),2)))&lt;0,-1,0),IF(IF(o_WRAP=1,MOD(((1000)-(c_TMAP3IN))*(((A936)-(c_TMAP3IN))*((1000)-(c_TMAP3OUT))+IF(((1000)-(c_TMAP3OUT))&gt;=0,1,-1)*QUOTIENT(((1000)-(c_TMAP3IN)),2))+2147483648,4294967296)-2147483648,((1000)-(c_TMAP3IN))*(((A936)-(c_TMAP3IN))*((1000)-(c_TMAP3OUT))+IF(((1000)-(c_TMAP3OUT))&gt;=0,1,-1)*QUOTIENT(((1000)-(c_TMAP3IN)),2)))&gt;=0,1,0)))</f>
        <v>915</v>
      </c>
      <c r="H936" s="7" t="str">
        <f aca="false">IF(A936&gt;=c_TFWD,IF(AND(A936&gt;=c_TMAP3IN,c_TMAP3IN&lt;1000),"Seg4 map3-100%",IF(AND(A936&gt;=c_TMAP2IN,c_TMAP3IN&gt;c_TMAP2IN),"Seg3 map2-map3",IF(AND(A936&gt;=c_TMAP1IN,c_TMAP2IN&gt;c_TMAP1IN),"Seg2 map1-map2","Seg1 TFWD-map1"))),IF(AND(A936=0,c_TCREEP&gt;0),"Creep",IF(AND(A936&lt;=c_TRNGMIN,A936&gt;=c_TRNGMAX,c_TRNGMIN-c_TRNGMAX&lt;&gt;0),"Regen ramp","Coast (0)")))</f>
        <v>Seg4 map3-100%</v>
      </c>
      <c r="I936" s="7" t="n">
        <f aca="false">IF(A936&gt;=c_TFWD,IF(AND(A936&gt;=c_TMAP3IN,c_TMAP3IN&lt;1000),G936,IF(AND(A936&gt;=c_TMAP2IN,c_TMAP3IN&gt;c_TMAP2IN),F936,IF(AND(A936&gt;=c_TMAP1IN,c_TMAP2IN&gt;c_TMAP1IN),E936,D936))),C936)</f>
        <v>915</v>
      </c>
      <c r="J936" s="7" t="str">
        <f aca="false">IF(I936&lt;-1090,"TOO LOW",IF(I936&gt;1090,"TOO HIGH",""))</f>
        <v/>
      </c>
      <c r="K936" s="15" t="n">
        <f aca="false">IF(J936&lt;&gt;"",0,IF(I936&gt;979,1000,I936))</f>
        <v>915</v>
      </c>
      <c r="L936" s="7" t="n">
        <f aca="false">K936/10</f>
        <v>91.5</v>
      </c>
    </row>
    <row r="937" customFormat="false" ht="15" hidden="false" customHeight="false" outlineLevel="0" collapsed="false">
      <c r="A937" s="7" t="n">
        <v>932</v>
      </c>
      <c r="B937" s="7" t="n">
        <f aca="false">A937/10</f>
        <v>93.2</v>
      </c>
      <c r="C937" s="7" t="n">
        <f aca="false">IF(AND(A937=0,c_TCREEP&gt;0),10*c_TCREEP,IF(AND(A937&lt;=c_TRNGMIN,A937&gt;=c_TRNGMAX,c_TRNGMIN-c_TRNGMAX&lt;&gt;0),-10*c_TMINRN+QUOTIENT((c_TMAXRN-c_TMINRN)*(100-QUOTIENT((A937-c_TRNGMAX)*100,c_TRNGMIN-c_TRNGMAX)),-10),0))</f>
        <v>0</v>
      </c>
      <c r="D937" s="7" t="n">
        <f aca="false">IF(((c_TMAP1IN)-(c_TFWD))=0,(0)+QUOTIENT(((c_TMAP1OUT)-(0)),2),QUOTIENT((((A937)-(c_TFWD))*((c_TMAP1OUT)-(0))+IF(((c_TMAP1OUT)-(0))&gt;=0,1,-1)*QUOTIENT(((c_TMAP1IN)-(c_TFWD)),2)),((c_TMAP1IN)-(c_TFWD)))+(0)+IF(((c_TMAP1OUT)-(0))&gt;=0,IF(IF(o_WRAP=1,MOD(((c_TMAP1IN)-(c_TFWD))*(((A937)-(c_TFWD))*((c_TMAP1OUT)-(0))+IF(((c_TMAP1OUT)-(0))&gt;=0,1,-1)*QUOTIENT(((c_TMAP1IN)-(c_TFWD)),2))+2147483648,4294967296)-2147483648,((c_TMAP1IN)-(c_TFWD))*(((A937)-(c_TFWD))*((c_TMAP1OUT)-(0))+IF(((c_TMAP1OUT)-(0))&gt;=0,1,-1)*QUOTIENT(((c_TMAP1IN)-(c_TFWD)),2)))&lt;0,-1,0),IF(IF(o_WRAP=1,MOD(((c_TMAP1IN)-(c_TFWD))*(((A937)-(c_TFWD))*((c_TMAP1OUT)-(0))+IF(((c_TMAP1OUT)-(0))&gt;=0,1,-1)*QUOTIENT(((c_TMAP1IN)-(c_TFWD)),2))+2147483648,4294967296)-2147483648,((c_TMAP1IN)-(c_TFWD))*(((A937)-(c_TFWD))*((c_TMAP1OUT)-(0))+IF(((c_TMAP1OUT)-(0))&gt;=0,1,-1)*QUOTIENT(((c_TMAP1IN)-(c_TFWD)),2)))&gt;=0,1,0)))</f>
        <v>717</v>
      </c>
      <c r="E937" s="7" t="n">
        <f aca="false">IF(((c_TMAP2IN)-(c_TMAP1IN))=0,(c_TMAP1OUT)+QUOTIENT(((c_TMAP2OUT)-(c_TMAP1OUT)),2),QUOTIENT((((A937)-(c_TMAP1IN))*((c_TMAP2OUT)-(c_TMAP1OUT))+IF(((c_TMAP2OUT)-(c_TMAP1OUT))&gt;=0,1,-1)*QUOTIENT(((c_TMAP2IN)-(c_TMAP1IN)),2)),((c_TMAP2IN)-(c_TMAP1IN)))+(c_TMAP1OUT)+IF(((c_TMAP2OUT)-(c_TMAP1OUT))&gt;=0,IF(IF(o_WRAP=1,MOD(((c_TMAP2IN)-(c_TMAP1IN))*(((A937)-(c_TMAP1IN))*((c_TMAP2OUT)-(c_TMAP1OUT))+IF(((c_TMAP2OUT)-(c_TMAP1OUT))&gt;=0,1,-1)*QUOTIENT(((c_TMAP2IN)-(c_TMAP1IN)),2))+2147483648,4294967296)-2147483648,((c_TMAP2IN)-(c_TMAP1IN))*(((A937)-(c_TMAP1IN))*((c_TMAP2OUT)-(c_TMAP1OUT))+IF(((c_TMAP2OUT)-(c_TMAP1OUT))&gt;=0,1,-1)*QUOTIENT(((c_TMAP2IN)-(c_TMAP1IN)),2)))&lt;0,-1,0),IF(IF(o_WRAP=1,MOD(((c_TMAP2IN)-(c_TMAP1IN))*(((A937)-(c_TMAP1IN))*((c_TMAP2OUT)-(c_TMAP1OUT))+IF(((c_TMAP2OUT)-(c_TMAP1OUT))&gt;=0,1,-1)*QUOTIENT(((c_TMAP2IN)-(c_TMAP1IN)),2))+2147483648,4294967296)-2147483648,((c_TMAP2IN)-(c_TMAP1IN))*(((A937)-(c_TMAP1IN))*((c_TMAP2OUT)-(c_TMAP1OUT))+IF(((c_TMAP2OUT)-(c_TMAP1OUT))&gt;=0,1,-1)*QUOTIENT(((c_TMAP2IN)-(c_TMAP1IN)),2)))&gt;=0,1,0)))</f>
        <v>403</v>
      </c>
      <c r="F937" s="7" t="n">
        <f aca="false">IF(((c_TMAP3IN)-(c_TMAP2IN))=0,(c_TMAP2OUT)+QUOTIENT(((c_TMAP3OUT)-(c_TMAP2OUT)),2),QUOTIENT((((A937)-(c_TMAP2IN))*((c_TMAP3OUT)-(c_TMAP2OUT))+IF(((c_TMAP3OUT)-(c_TMAP2OUT))&gt;=0,1,-1)*QUOTIENT(((c_TMAP3IN)-(c_TMAP2IN)),2)),((c_TMAP3IN)-(c_TMAP2IN)))+(c_TMAP2OUT)+IF(((c_TMAP3OUT)-(c_TMAP2OUT))&gt;=0,IF(IF(o_WRAP=1,MOD(((c_TMAP3IN)-(c_TMAP2IN))*(((A937)-(c_TMAP2IN))*((c_TMAP3OUT)-(c_TMAP2OUT))+IF(((c_TMAP3OUT)-(c_TMAP2OUT))&gt;=0,1,-1)*QUOTIENT(((c_TMAP3IN)-(c_TMAP2IN)),2))+2147483648,4294967296)-2147483648,((c_TMAP3IN)-(c_TMAP2IN))*(((A937)-(c_TMAP2IN))*((c_TMAP3OUT)-(c_TMAP2OUT))+IF(((c_TMAP3OUT)-(c_TMAP2OUT))&gt;=0,1,-1)*QUOTIENT(((c_TMAP3IN)-(c_TMAP2IN)),2)))&lt;0,-1,0),IF(IF(o_WRAP=1,MOD(((c_TMAP3IN)-(c_TMAP2IN))*(((A937)-(c_TMAP2IN))*((c_TMAP3OUT)-(c_TMAP2OUT))+IF(((c_TMAP3OUT)-(c_TMAP2OUT))&gt;=0,1,-1)*QUOTIENT(((c_TMAP3IN)-(c_TMAP2IN)),2))+2147483648,4294967296)-2147483648,((c_TMAP3IN)-(c_TMAP2IN))*(((A937)-(c_TMAP2IN))*((c_TMAP3OUT)-(c_TMAP2OUT))+IF(((c_TMAP3OUT)-(c_TMAP2OUT))&gt;=0,1,-1)*QUOTIENT(((c_TMAP3IN)-(c_TMAP2IN)),2)))&gt;=0,1,0)))</f>
        <v>607</v>
      </c>
      <c r="G937" s="7" t="n">
        <f aca="false">IF(((1000)-(c_TMAP3IN))=0,(c_TMAP3OUT)+QUOTIENT(((1000)-(c_TMAP3OUT)),2),QUOTIENT((((A937)-(c_TMAP3IN))*((1000)-(c_TMAP3OUT))+IF(((1000)-(c_TMAP3OUT))&gt;=0,1,-1)*QUOTIENT(((1000)-(c_TMAP3IN)),2)),((1000)-(c_TMAP3IN)))+(c_TMAP3OUT)+IF(((1000)-(c_TMAP3OUT))&gt;=0,IF(IF(o_WRAP=1,MOD(((1000)-(c_TMAP3IN))*(((A937)-(c_TMAP3IN))*((1000)-(c_TMAP3OUT))+IF(((1000)-(c_TMAP3OUT))&gt;=0,1,-1)*QUOTIENT(((1000)-(c_TMAP3IN)),2))+2147483648,4294967296)-2147483648,((1000)-(c_TMAP3IN))*(((A937)-(c_TMAP3IN))*((1000)-(c_TMAP3OUT))+IF(((1000)-(c_TMAP3OUT))&gt;=0,1,-1)*QUOTIENT(((1000)-(c_TMAP3IN)),2)))&lt;0,-1,0),IF(IF(o_WRAP=1,MOD(((1000)-(c_TMAP3IN))*(((A937)-(c_TMAP3IN))*((1000)-(c_TMAP3OUT))+IF(((1000)-(c_TMAP3OUT))&gt;=0,1,-1)*QUOTIENT(((1000)-(c_TMAP3IN)),2))+2147483648,4294967296)-2147483648,((1000)-(c_TMAP3IN))*(((A937)-(c_TMAP3IN))*((1000)-(c_TMAP3OUT))+IF(((1000)-(c_TMAP3OUT))&gt;=0,1,-1)*QUOTIENT(((1000)-(c_TMAP3IN)),2)))&gt;=0,1,0)))</f>
        <v>916</v>
      </c>
      <c r="H937" s="7" t="str">
        <f aca="false">IF(A937&gt;=c_TFWD,IF(AND(A937&gt;=c_TMAP3IN,c_TMAP3IN&lt;1000),"Seg4 map3-100%",IF(AND(A937&gt;=c_TMAP2IN,c_TMAP3IN&gt;c_TMAP2IN),"Seg3 map2-map3",IF(AND(A937&gt;=c_TMAP1IN,c_TMAP2IN&gt;c_TMAP1IN),"Seg2 map1-map2","Seg1 TFWD-map1"))),IF(AND(A937=0,c_TCREEP&gt;0),"Creep",IF(AND(A937&lt;=c_TRNGMIN,A937&gt;=c_TRNGMAX,c_TRNGMIN-c_TRNGMAX&lt;&gt;0),"Regen ramp","Coast (0)")))</f>
        <v>Seg4 map3-100%</v>
      </c>
      <c r="I937" s="7" t="n">
        <f aca="false">IF(A937&gt;=c_TFWD,IF(AND(A937&gt;=c_TMAP3IN,c_TMAP3IN&lt;1000),G937,IF(AND(A937&gt;=c_TMAP2IN,c_TMAP3IN&gt;c_TMAP2IN),F937,IF(AND(A937&gt;=c_TMAP1IN,c_TMAP2IN&gt;c_TMAP1IN),E937,D937))),C937)</f>
        <v>916</v>
      </c>
      <c r="J937" s="7" t="str">
        <f aca="false">IF(I937&lt;-1090,"TOO LOW",IF(I937&gt;1090,"TOO HIGH",""))</f>
        <v/>
      </c>
      <c r="K937" s="15" t="n">
        <f aca="false">IF(J937&lt;&gt;"",0,IF(I937&gt;979,1000,I937))</f>
        <v>916</v>
      </c>
      <c r="L937" s="7" t="n">
        <f aca="false">K937/10</f>
        <v>91.6</v>
      </c>
    </row>
    <row r="938" customFormat="false" ht="15" hidden="false" customHeight="false" outlineLevel="0" collapsed="false">
      <c r="A938" s="7" t="n">
        <v>933</v>
      </c>
      <c r="B938" s="7" t="n">
        <f aca="false">A938/10</f>
        <v>93.3</v>
      </c>
      <c r="C938" s="7" t="n">
        <f aca="false">IF(AND(A938=0,c_TCREEP&gt;0),10*c_TCREEP,IF(AND(A938&lt;=c_TRNGMIN,A938&gt;=c_TRNGMAX,c_TRNGMIN-c_TRNGMAX&lt;&gt;0),-10*c_TMINRN+QUOTIENT((c_TMAXRN-c_TMINRN)*(100-QUOTIENT((A938-c_TRNGMAX)*100,c_TRNGMIN-c_TRNGMAX)),-10),0))</f>
        <v>0</v>
      </c>
      <c r="D938" s="7" t="n">
        <f aca="false">IF(((c_TMAP1IN)-(c_TFWD))=0,(0)+QUOTIENT(((c_TMAP1OUT)-(0)),2),QUOTIENT((((A938)-(c_TFWD))*((c_TMAP1OUT)-(0))+IF(((c_TMAP1OUT)-(0))&gt;=0,1,-1)*QUOTIENT(((c_TMAP1IN)-(c_TFWD)),2)),((c_TMAP1IN)-(c_TFWD)))+(0)+IF(((c_TMAP1OUT)-(0))&gt;=0,IF(IF(o_WRAP=1,MOD(((c_TMAP1IN)-(c_TFWD))*(((A938)-(c_TFWD))*((c_TMAP1OUT)-(0))+IF(((c_TMAP1OUT)-(0))&gt;=0,1,-1)*QUOTIENT(((c_TMAP1IN)-(c_TFWD)),2))+2147483648,4294967296)-2147483648,((c_TMAP1IN)-(c_TFWD))*(((A938)-(c_TFWD))*((c_TMAP1OUT)-(0))+IF(((c_TMAP1OUT)-(0))&gt;=0,1,-1)*QUOTIENT(((c_TMAP1IN)-(c_TFWD)),2)))&lt;0,-1,0),IF(IF(o_WRAP=1,MOD(((c_TMAP1IN)-(c_TFWD))*(((A938)-(c_TFWD))*((c_TMAP1OUT)-(0))+IF(((c_TMAP1OUT)-(0))&gt;=0,1,-1)*QUOTIENT(((c_TMAP1IN)-(c_TFWD)),2))+2147483648,4294967296)-2147483648,((c_TMAP1IN)-(c_TFWD))*(((A938)-(c_TFWD))*((c_TMAP1OUT)-(0))+IF(((c_TMAP1OUT)-(0))&gt;=0,1,-1)*QUOTIENT(((c_TMAP1IN)-(c_TFWD)),2)))&gt;=0,1,0)))</f>
        <v>718</v>
      </c>
      <c r="E938" s="7" t="n">
        <f aca="false">IF(((c_TMAP2IN)-(c_TMAP1IN))=0,(c_TMAP1OUT)+QUOTIENT(((c_TMAP2OUT)-(c_TMAP1OUT)),2),QUOTIENT((((A938)-(c_TMAP1IN))*((c_TMAP2OUT)-(c_TMAP1OUT))+IF(((c_TMAP2OUT)-(c_TMAP1OUT))&gt;=0,1,-1)*QUOTIENT(((c_TMAP2IN)-(c_TMAP1IN)),2)),((c_TMAP2IN)-(c_TMAP1IN)))+(c_TMAP1OUT)+IF(((c_TMAP2OUT)-(c_TMAP1OUT))&gt;=0,IF(IF(o_WRAP=1,MOD(((c_TMAP2IN)-(c_TMAP1IN))*(((A938)-(c_TMAP1IN))*((c_TMAP2OUT)-(c_TMAP1OUT))+IF(((c_TMAP2OUT)-(c_TMAP1OUT))&gt;=0,1,-1)*QUOTIENT(((c_TMAP2IN)-(c_TMAP1IN)),2))+2147483648,4294967296)-2147483648,((c_TMAP2IN)-(c_TMAP1IN))*(((A938)-(c_TMAP1IN))*((c_TMAP2OUT)-(c_TMAP1OUT))+IF(((c_TMAP2OUT)-(c_TMAP1OUT))&gt;=0,1,-1)*QUOTIENT(((c_TMAP2IN)-(c_TMAP1IN)),2)))&lt;0,-1,0),IF(IF(o_WRAP=1,MOD(((c_TMAP2IN)-(c_TMAP1IN))*(((A938)-(c_TMAP1IN))*((c_TMAP2OUT)-(c_TMAP1OUT))+IF(((c_TMAP2OUT)-(c_TMAP1OUT))&gt;=0,1,-1)*QUOTIENT(((c_TMAP2IN)-(c_TMAP1IN)),2))+2147483648,4294967296)-2147483648,((c_TMAP2IN)-(c_TMAP1IN))*(((A938)-(c_TMAP1IN))*((c_TMAP2OUT)-(c_TMAP1OUT))+IF(((c_TMAP2OUT)-(c_TMAP1OUT))&gt;=0,1,-1)*QUOTIENT(((c_TMAP2IN)-(c_TMAP1IN)),2)))&gt;=0,1,0)))</f>
        <v>403</v>
      </c>
      <c r="F938" s="7" t="n">
        <f aca="false">IF(((c_TMAP3IN)-(c_TMAP2IN))=0,(c_TMAP2OUT)+QUOTIENT(((c_TMAP3OUT)-(c_TMAP2OUT)),2),QUOTIENT((((A938)-(c_TMAP2IN))*((c_TMAP3OUT)-(c_TMAP2OUT))+IF(((c_TMAP3OUT)-(c_TMAP2OUT))&gt;=0,1,-1)*QUOTIENT(((c_TMAP3IN)-(c_TMAP2IN)),2)),((c_TMAP3IN)-(c_TMAP2IN)))+(c_TMAP2OUT)+IF(((c_TMAP3OUT)-(c_TMAP2OUT))&gt;=0,IF(IF(o_WRAP=1,MOD(((c_TMAP3IN)-(c_TMAP2IN))*(((A938)-(c_TMAP2IN))*((c_TMAP3OUT)-(c_TMAP2OUT))+IF(((c_TMAP3OUT)-(c_TMAP2OUT))&gt;=0,1,-1)*QUOTIENT(((c_TMAP3IN)-(c_TMAP2IN)),2))+2147483648,4294967296)-2147483648,((c_TMAP3IN)-(c_TMAP2IN))*(((A938)-(c_TMAP2IN))*((c_TMAP3OUT)-(c_TMAP2OUT))+IF(((c_TMAP3OUT)-(c_TMAP2OUT))&gt;=0,1,-1)*QUOTIENT(((c_TMAP3IN)-(c_TMAP2IN)),2)))&lt;0,-1,0),IF(IF(o_WRAP=1,MOD(((c_TMAP3IN)-(c_TMAP2IN))*(((A938)-(c_TMAP2IN))*((c_TMAP3OUT)-(c_TMAP2OUT))+IF(((c_TMAP3OUT)-(c_TMAP2OUT))&gt;=0,1,-1)*QUOTIENT(((c_TMAP3IN)-(c_TMAP2IN)),2))+2147483648,4294967296)-2147483648,((c_TMAP3IN)-(c_TMAP2IN))*(((A938)-(c_TMAP2IN))*((c_TMAP3OUT)-(c_TMAP2OUT))+IF(((c_TMAP3OUT)-(c_TMAP2OUT))&gt;=0,1,-1)*QUOTIENT(((c_TMAP3IN)-(c_TMAP2IN)),2)))&gt;=0,1,0)))</f>
        <v>608</v>
      </c>
      <c r="G938" s="7" t="n">
        <f aca="false">IF(((1000)-(c_TMAP3IN))=0,(c_TMAP3OUT)+QUOTIENT(((1000)-(c_TMAP3OUT)),2),QUOTIENT((((A938)-(c_TMAP3IN))*((1000)-(c_TMAP3OUT))+IF(((1000)-(c_TMAP3OUT))&gt;=0,1,-1)*QUOTIENT(((1000)-(c_TMAP3IN)),2)),((1000)-(c_TMAP3IN)))+(c_TMAP3OUT)+IF(((1000)-(c_TMAP3OUT))&gt;=0,IF(IF(o_WRAP=1,MOD(((1000)-(c_TMAP3IN))*(((A938)-(c_TMAP3IN))*((1000)-(c_TMAP3OUT))+IF(((1000)-(c_TMAP3OUT))&gt;=0,1,-1)*QUOTIENT(((1000)-(c_TMAP3IN)),2))+2147483648,4294967296)-2147483648,((1000)-(c_TMAP3IN))*(((A938)-(c_TMAP3IN))*((1000)-(c_TMAP3OUT))+IF(((1000)-(c_TMAP3OUT))&gt;=0,1,-1)*QUOTIENT(((1000)-(c_TMAP3IN)),2)))&lt;0,-1,0),IF(IF(o_WRAP=1,MOD(((1000)-(c_TMAP3IN))*(((A938)-(c_TMAP3IN))*((1000)-(c_TMAP3OUT))+IF(((1000)-(c_TMAP3OUT))&gt;=0,1,-1)*QUOTIENT(((1000)-(c_TMAP3IN)),2))+2147483648,4294967296)-2147483648,((1000)-(c_TMAP3IN))*(((A938)-(c_TMAP3IN))*((1000)-(c_TMAP3OUT))+IF(((1000)-(c_TMAP3OUT))&gt;=0,1,-1)*QUOTIENT(((1000)-(c_TMAP3IN)),2)))&gt;=0,1,0)))</f>
        <v>918</v>
      </c>
      <c r="H938" s="7" t="str">
        <f aca="false">IF(A938&gt;=c_TFWD,IF(AND(A938&gt;=c_TMAP3IN,c_TMAP3IN&lt;1000),"Seg4 map3-100%",IF(AND(A938&gt;=c_TMAP2IN,c_TMAP3IN&gt;c_TMAP2IN),"Seg3 map2-map3",IF(AND(A938&gt;=c_TMAP1IN,c_TMAP2IN&gt;c_TMAP1IN),"Seg2 map1-map2","Seg1 TFWD-map1"))),IF(AND(A938=0,c_TCREEP&gt;0),"Creep",IF(AND(A938&lt;=c_TRNGMIN,A938&gt;=c_TRNGMAX,c_TRNGMIN-c_TRNGMAX&lt;&gt;0),"Regen ramp","Coast (0)")))</f>
        <v>Seg4 map3-100%</v>
      </c>
      <c r="I938" s="7" t="n">
        <f aca="false">IF(A938&gt;=c_TFWD,IF(AND(A938&gt;=c_TMAP3IN,c_TMAP3IN&lt;1000),G938,IF(AND(A938&gt;=c_TMAP2IN,c_TMAP3IN&gt;c_TMAP2IN),F938,IF(AND(A938&gt;=c_TMAP1IN,c_TMAP2IN&gt;c_TMAP1IN),E938,D938))),C938)</f>
        <v>918</v>
      </c>
      <c r="J938" s="7" t="str">
        <f aca="false">IF(I938&lt;-1090,"TOO LOW",IF(I938&gt;1090,"TOO HIGH",""))</f>
        <v/>
      </c>
      <c r="K938" s="15" t="n">
        <f aca="false">IF(J938&lt;&gt;"",0,IF(I938&gt;979,1000,I938))</f>
        <v>918</v>
      </c>
      <c r="L938" s="7" t="n">
        <f aca="false">K938/10</f>
        <v>91.8</v>
      </c>
    </row>
    <row r="939" customFormat="false" ht="15" hidden="false" customHeight="false" outlineLevel="0" collapsed="false">
      <c r="A939" s="7" t="n">
        <v>934</v>
      </c>
      <c r="B939" s="7" t="n">
        <f aca="false">A939/10</f>
        <v>93.4</v>
      </c>
      <c r="C939" s="7" t="n">
        <f aca="false">IF(AND(A939=0,c_TCREEP&gt;0),10*c_TCREEP,IF(AND(A939&lt;=c_TRNGMIN,A939&gt;=c_TRNGMAX,c_TRNGMIN-c_TRNGMAX&lt;&gt;0),-10*c_TMINRN+QUOTIENT((c_TMAXRN-c_TMINRN)*(100-QUOTIENT((A939-c_TRNGMAX)*100,c_TRNGMIN-c_TRNGMAX)),-10),0))</f>
        <v>0</v>
      </c>
      <c r="D939" s="7" t="n">
        <f aca="false">IF(((c_TMAP1IN)-(c_TFWD))=0,(0)+QUOTIENT(((c_TMAP1OUT)-(0)),2),QUOTIENT((((A939)-(c_TFWD))*((c_TMAP1OUT)-(0))+IF(((c_TMAP1OUT)-(0))&gt;=0,1,-1)*QUOTIENT(((c_TMAP1IN)-(c_TFWD)),2)),((c_TMAP1IN)-(c_TFWD)))+(0)+IF(((c_TMAP1OUT)-(0))&gt;=0,IF(IF(o_WRAP=1,MOD(((c_TMAP1IN)-(c_TFWD))*(((A939)-(c_TFWD))*((c_TMAP1OUT)-(0))+IF(((c_TMAP1OUT)-(0))&gt;=0,1,-1)*QUOTIENT(((c_TMAP1IN)-(c_TFWD)),2))+2147483648,4294967296)-2147483648,((c_TMAP1IN)-(c_TFWD))*(((A939)-(c_TFWD))*((c_TMAP1OUT)-(0))+IF(((c_TMAP1OUT)-(0))&gt;=0,1,-1)*QUOTIENT(((c_TMAP1IN)-(c_TFWD)),2)))&lt;0,-1,0),IF(IF(o_WRAP=1,MOD(((c_TMAP1IN)-(c_TFWD))*(((A939)-(c_TFWD))*((c_TMAP1OUT)-(0))+IF(((c_TMAP1OUT)-(0))&gt;=0,1,-1)*QUOTIENT(((c_TMAP1IN)-(c_TFWD)),2))+2147483648,4294967296)-2147483648,((c_TMAP1IN)-(c_TFWD))*(((A939)-(c_TFWD))*((c_TMAP1OUT)-(0))+IF(((c_TMAP1OUT)-(0))&gt;=0,1,-1)*QUOTIENT(((c_TMAP1IN)-(c_TFWD)),2)))&gt;=0,1,0)))</f>
        <v>719</v>
      </c>
      <c r="E939" s="7" t="n">
        <f aca="false">IF(((c_TMAP2IN)-(c_TMAP1IN))=0,(c_TMAP1OUT)+QUOTIENT(((c_TMAP2OUT)-(c_TMAP1OUT)),2),QUOTIENT((((A939)-(c_TMAP1IN))*((c_TMAP2OUT)-(c_TMAP1OUT))+IF(((c_TMAP2OUT)-(c_TMAP1OUT))&gt;=0,1,-1)*QUOTIENT(((c_TMAP2IN)-(c_TMAP1IN)),2)),((c_TMAP2IN)-(c_TMAP1IN)))+(c_TMAP1OUT)+IF(((c_TMAP2OUT)-(c_TMAP1OUT))&gt;=0,IF(IF(o_WRAP=1,MOD(((c_TMAP2IN)-(c_TMAP1IN))*(((A939)-(c_TMAP1IN))*((c_TMAP2OUT)-(c_TMAP1OUT))+IF(((c_TMAP2OUT)-(c_TMAP1OUT))&gt;=0,1,-1)*QUOTIENT(((c_TMAP2IN)-(c_TMAP1IN)),2))+2147483648,4294967296)-2147483648,((c_TMAP2IN)-(c_TMAP1IN))*(((A939)-(c_TMAP1IN))*((c_TMAP2OUT)-(c_TMAP1OUT))+IF(((c_TMAP2OUT)-(c_TMAP1OUT))&gt;=0,1,-1)*QUOTIENT(((c_TMAP2IN)-(c_TMAP1IN)),2)))&lt;0,-1,0),IF(IF(o_WRAP=1,MOD(((c_TMAP2IN)-(c_TMAP1IN))*(((A939)-(c_TMAP1IN))*((c_TMAP2OUT)-(c_TMAP1OUT))+IF(((c_TMAP2OUT)-(c_TMAP1OUT))&gt;=0,1,-1)*QUOTIENT(((c_TMAP2IN)-(c_TMAP1IN)),2))+2147483648,4294967296)-2147483648,((c_TMAP2IN)-(c_TMAP1IN))*(((A939)-(c_TMAP1IN))*((c_TMAP2OUT)-(c_TMAP1OUT))+IF(((c_TMAP2OUT)-(c_TMAP1OUT))&gt;=0,1,-1)*QUOTIENT(((c_TMAP2IN)-(c_TMAP1IN)),2)))&gt;=0,1,0)))</f>
        <v>404</v>
      </c>
      <c r="F939" s="7" t="n">
        <f aca="false">IF(((c_TMAP3IN)-(c_TMAP2IN))=0,(c_TMAP2OUT)+QUOTIENT(((c_TMAP3OUT)-(c_TMAP2OUT)),2),QUOTIENT((((A939)-(c_TMAP2IN))*((c_TMAP3OUT)-(c_TMAP2OUT))+IF(((c_TMAP3OUT)-(c_TMAP2OUT))&gt;=0,1,-1)*QUOTIENT(((c_TMAP3IN)-(c_TMAP2IN)),2)),((c_TMAP3IN)-(c_TMAP2IN)))+(c_TMAP2OUT)+IF(((c_TMAP3OUT)-(c_TMAP2OUT))&gt;=0,IF(IF(o_WRAP=1,MOD(((c_TMAP3IN)-(c_TMAP2IN))*(((A939)-(c_TMAP2IN))*((c_TMAP3OUT)-(c_TMAP2OUT))+IF(((c_TMAP3OUT)-(c_TMAP2OUT))&gt;=0,1,-1)*QUOTIENT(((c_TMAP3IN)-(c_TMAP2IN)),2))+2147483648,4294967296)-2147483648,((c_TMAP3IN)-(c_TMAP2IN))*(((A939)-(c_TMAP2IN))*((c_TMAP3OUT)-(c_TMAP2OUT))+IF(((c_TMAP3OUT)-(c_TMAP2OUT))&gt;=0,1,-1)*QUOTIENT(((c_TMAP3IN)-(c_TMAP2IN)),2)))&lt;0,-1,0),IF(IF(o_WRAP=1,MOD(((c_TMAP3IN)-(c_TMAP2IN))*(((A939)-(c_TMAP2IN))*((c_TMAP3OUT)-(c_TMAP2OUT))+IF(((c_TMAP3OUT)-(c_TMAP2OUT))&gt;=0,1,-1)*QUOTIENT(((c_TMAP3IN)-(c_TMAP2IN)),2))+2147483648,4294967296)-2147483648,((c_TMAP3IN)-(c_TMAP2IN))*(((A939)-(c_TMAP2IN))*((c_TMAP3OUT)-(c_TMAP2OUT))+IF(((c_TMAP3OUT)-(c_TMAP2OUT))&gt;=0,1,-1)*QUOTIENT(((c_TMAP3IN)-(c_TMAP2IN)),2)))&gt;=0,1,0)))</f>
        <v>609</v>
      </c>
      <c r="G939" s="7" t="n">
        <f aca="false">IF(((1000)-(c_TMAP3IN))=0,(c_TMAP3OUT)+QUOTIENT(((1000)-(c_TMAP3OUT)),2),QUOTIENT((((A939)-(c_TMAP3IN))*((1000)-(c_TMAP3OUT))+IF(((1000)-(c_TMAP3OUT))&gt;=0,1,-1)*QUOTIENT(((1000)-(c_TMAP3IN)),2)),((1000)-(c_TMAP3IN)))+(c_TMAP3OUT)+IF(((1000)-(c_TMAP3OUT))&gt;=0,IF(IF(o_WRAP=1,MOD(((1000)-(c_TMAP3IN))*(((A939)-(c_TMAP3IN))*((1000)-(c_TMAP3OUT))+IF(((1000)-(c_TMAP3OUT))&gt;=0,1,-1)*QUOTIENT(((1000)-(c_TMAP3IN)),2))+2147483648,4294967296)-2147483648,((1000)-(c_TMAP3IN))*(((A939)-(c_TMAP3IN))*((1000)-(c_TMAP3OUT))+IF(((1000)-(c_TMAP3OUT))&gt;=0,1,-1)*QUOTIENT(((1000)-(c_TMAP3IN)),2)))&lt;0,-1,0),IF(IF(o_WRAP=1,MOD(((1000)-(c_TMAP3IN))*(((A939)-(c_TMAP3IN))*((1000)-(c_TMAP3OUT))+IF(((1000)-(c_TMAP3OUT))&gt;=0,1,-1)*QUOTIENT(((1000)-(c_TMAP3IN)),2))+2147483648,4294967296)-2147483648,((1000)-(c_TMAP3IN))*(((A939)-(c_TMAP3IN))*((1000)-(c_TMAP3OUT))+IF(((1000)-(c_TMAP3OUT))&gt;=0,1,-1)*QUOTIENT(((1000)-(c_TMAP3IN)),2)))&gt;=0,1,0)))</f>
        <v>919</v>
      </c>
      <c r="H939" s="7" t="str">
        <f aca="false">IF(A939&gt;=c_TFWD,IF(AND(A939&gt;=c_TMAP3IN,c_TMAP3IN&lt;1000),"Seg4 map3-100%",IF(AND(A939&gt;=c_TMAP2IN,c_TMAP3IN&gt;c_TMAP2IN),"Seg3 map2-map3",IF(AND(A939&gt;=c_TMAP1IN,c_TMAP2IN&gt;c_TMAP1IN),"Seg2 map1-map2","Seg1 TFWD-map1"))),IF(AND(A939=0,c_TCREEP&gt;0),"Creep",IF(AND(A939&lt;=c_TRNGMIN,A939&gt;=c_TRNGMAX,c_TRNGMIN-c_TRNGMAX&lt;&gt;0),"Regen ramp","Coast (0)")))</f>
        <v>Seg4 map3-100%</v>
      </c>
      <c r="I939" s="7" t="n">
        <f aca="false">IF(A939&gt;=c_TFWD,IF(AND(A939&gt;=c_TMAP3IN,c_TMAP3IN&lt;1000),G939,IF(AND(A939&gt;=c_TMAP2IN,c_TMAP3IN&gt;c_TMAP2IN),F939,IF(AND(A939&gt;=c_TMAP1IN,c_TMAP2IN&gt;c_TMAP1IN),E939,D939))),C939)</f>
        <v>919</v>
      </c>
      <c r="J939" s="7" t="str">
        <f aca="false">IF(I939&lt;-1090,"TOO LOW",IF(I939&gt;1090,"TOO HIGH",""))</f>
        <v/>
      </c>
      <c r="K939" s="15" t="n">
        <f aca="false">IF(J939&lt;&gt;"",0,IF(I939&gt;979,1000,I939))</f>
        <v>919</v>
      </c>
      <c r="L939" s="7" t="n">
        <f aca="false">K939/10</f>
        <v>91.9</v>
      </c>
    </row>
    <row r="940" customFormat="false" ht="15" hidden="false" customHeight="false" outlineLevel="0" collapsed="false">
      <c r="A940" s="7" t="n">
        <v>935</v>
      </c>
      <c r="B940" s="7" t="n">
        <f aca="false">A940/10</f>
        <v>93.5</v>
      </c>
      <c r="C940" s="7" t="n">
        <f aca="false">IF(AND(A940=0,c_TCREEP&gt;0),10*c_TCREEP,IF(AND(A940&lt;=c_TRNGMIN,A940&gt;=c_TRNGMAX,c_TRNGMIN-c_TRNGMAX&lt;&gt;0),-10*c_TMINRN+QUOTIENT((c_TMAXRN-c_TMINRN)*(100-QUOTIENT((A940-c_TRNGMAX)*100,c_TRNGMIN-c_TRNGMAX)),-10),0))</f>
        <v>0</v>
      </c>
      <c r="D940" s="7" t="n">
        <f aca="false">IF(((c_TMAP1IN)-(c_TFWD))=0,(0)+QUOTIENT(((c_TMAP1OUT)-(0)),2),QUOTIENT((((A940)-(c_TFWD))*((c_TMAP1OUT)-(0))+IF(((c_TMAP1OUT)-(0))&gt;=0,1,-1)*QUOTIENT(((c_TMAP1IN)-(c_TFWD)),2)),((c_TMAP1IN)-(c_TFWD)))+(0)+IF(((c_TMAP1OUT)-(0))&gt;=0,IF(IF(o_WRAP=1,MOD(((c_TMAP1IN)-(c_TFWD))*(((A940)-(c_TFWD))*((c_TMAP1OUT)-(0))+IF(((c_TMAP1OUT)-(0))&gt;=0,1,-1)*QUOTIENT(((c_TMAP1IN)-(c_TFWD)),2))+2147483648,4294967296)-2147483648,((c_TMAP1IN)-(c_TFWD))*(((A940)-(c_TFWD))*((c_TMAP1OUT)-(0))+IF(((c_TMAP1OUT)-(0))&gt;=0,1,-1)*QUOTIENT(((c_TMAP1IN)-(c_TFWD)),2)))&lt;0,-1,0),IF(IF(o_WRAP=1,MOD(((c_TMAP1IN)-(c_TFWD))*(((A940)-(c_TFWD))*((c_TMAP1OUT)-(0))+IF(((c_TMAP1OUT)-(0))&gt;=0,1,-1)*QUOTIENT(((c_TMAP1IN)-(c_TFWD)),2))+2147483648,4294967296)-2147483648,((c_TMAP1IN)-(c_TFWD))*(((A940)-(c_TFWD))*((c_TMAP1OUT)-(0))+IF(((c_TMAP1OUT)-(0))&gt;=0,1,-1)*QUOTIENT(((c_TMAP1IN)-(c_TFWD)),2)))&gt;=0,1,0)))</f>
        <v>719</v>
      </c>
      <c r="E940" s="7" t="n">
        <f aca="false">IF(((c_TMAP2IN)-(c_TMAP1IN))=0,(c_TMAP1OUT)+QUOTIENT(((c_TMAP2OUT)-(c_TMAP1OUT)),2),QUOTIENT((((A940)-(c_TMAP1IN))*((c_TMAP2OUT)-(c_TMAP1OUT))+IF(((c_TMAP2OUT)-(c_TMAP1OUT))&gt;=0,1,-1)*QUOTIENT(((c_TMAP2IN)-(c_TMAP1IN)),2)),((c_TMAP2IN)-(c_TMAP1IN)))+(c_TMAP1OUT)+IF(((c_TMAP2OUT)-(c_TMAP1OUT))&gt;=0,IF(IF(o_WRAP=1,MOD(((c_TMAP2IN)-(c_TMAP1IN))*(((A940)-(c_TMAP1IN))*((c_TMAP2OUT)-(c_TMAP1OUT))+IF(((c_TMAP2OUT)-(c_TMAP1OUT))&gt;=0,1,-1)*QUOTIENT(((c_TMAP2IN)-(c_TMAP1IN)),2))+2147483648,4294967296)-2147483648,((c_TMAP2IN)-(c_TMAP1IN))*(((A940)-(c_TMAP1IN))*((c_TMAP2OUT)-(c_TMAP1OUT))+IF(((c_TMAP2OUT)-(c_TMAP1OUT))&gt;=0,1,-1)*QUOTIENT(((c_TMAP2IN)-(c_TMAP1IN)),2)))&lt;0,-1,0),IF(IF(o_WRAP=1,MOD(((c_TMAP2IN)-(c_TMAP1IN))*(((A940)-(c_TMAP1IN))*((c_TMAP2OUT)-(c_TMAP1OUT))+IF(((c_TMAP2OUT)-(c_TMAP1OUT))&gt;=0,1,-1)*QUOTIENT(((c_TMAP2IN)-(c_TMAP1IN)),2))+2147483648,4294967296)-2147483648,((c_TMAP2IN)-(c_TMAP1IN))*(((A940)-(c_TMAP1IN))*((c_TMAP2OUT)-(c_TMAP1OUT))+IF(((c_TMAP2OUT)-(c_TMAP1OUT))&gt;=0,1,-1)*QUOTIENT(((c_TMAP2IN)-(c_TMAP1IN)),2)))&gt;=0,1,0)))</f>
        <v>404</v>
      </c>
      <c r="F940" s="7" t="n">
        <f aca="false">IF(((c_TMAP3IN)-(c_TMAP2IN))=0,(c_TMAP2OUT)+QUOTIENT(((c_TMAP3OUT)-(c_TMAP2OUT)),2),QUOTIENT((((A940)-(c_TMAP2IN))*((c_TMAP3OUT)-(c_TMAP2OUT))+IF(((c_TMAP3OUT)-(c_TMAP2OUT))&gt;=0,1,-1)*QUOTIENT(((c_TMAP3IN)-(c_TMAP2IN)),2)),((c_TMAP3IN)-(c_TMAP2IN)))+(c_TMAP2OUT)+IF(((c_TMAP3OUT)-(c_TMAP2OUT))&gt;=0,IF(IF(o_WRAP=1,MOD(((c_TMAP3IN)-(c_TMAP2IN))*(((A940)-(c_TMAP2IN))*((c_TMAP3OUT)-(c_TMAP2OUT))+IF(((c_TMAP3OUT)-(c_TMAP2OUT))&gt;=0,1,-1)*QUOTIENT(((c_TMAP3IN)-(c_TMAP2IN)),2))+2147483648,4294967296)-2147483648,((c_TMAP3IN)-(c_TMAP2IN))*(((A940)-(c_TMAP2IN))*((c_TMAP3OUT)-(c_TMAP2OUT))+IF(((c_TMAP3OUT)-(c_TMAP2OUT))&gt;=0,1,-1)*QUOTIENT(((c_TMAP3IN)-(c_TMAP2IN)),2)))&lt;0,-1,0),IF(IF(o_WRAP=1,MOD(((c_TMAP3IN)-(c_TMAP2IN))*(((A940)-(c_TMAP2IN))*((c_TMAP3OUT)-(c_TMAP2OUT))+IF(((c_TMAP3OUT)-(c_TMAP2OUT))&gt;=0,1,-1)*QUOTIENT(((c_TMAP3IN)-(c_TMAP2IN)),2))+2147483648,4294967296)-2147483648,((c_TMAP3IN)-(c_TMAP2IN))*(((A940)-(c_TMAP2IN))*((c_TMAP3OUT)-(c_TMAP2OUT))+IF(((c_TMAP3OUT)-(c_TMAP2OUT))&gt;=0,1,-1)*QUOTIENT(((c_TMAP3IN)-(c_TMAP2IN)),2)))&gt;=0,1,0)))</f>
        <v>610</v>
      </c>
      <c r="G940" s="7" t="n">
        <f aca="false">IF(((1000)-(c_TMAP3IN))=0,(c_TMAP3OUT)+QUOTIENT(((1000)-(c_TMAP3OUT)),2),QUOTIENT((((A940)-(c_TMAP3IN))*((1000)-(c_TMAP3OUT))+IF(((1000)-(c_TMAP3OUT))&gt;=0,1,-1)*QUOTIENT(((1000)-(c_TMAP3IN)),2)),((1000)-(c_TMAP3IN)))+(c_TMAP3OUT)+IF(((1000)-(c_TMAP3OUT))&gt;=0,IF(IF(o_WRAP=1,MOD(((1000)-(c_TMAP3IN))*(((A940)-(c_TMAP3IN))*((1000)-(c_TMAP3OUT))+IF(((1000)-(c_TMAP3OUT))&gt;=0,1,-1)*QUOTIENT(((1000)-(c_TMAP3IN)),2))+2147483648,4294967296)-2147483648,((1000)-(c_TMAP3IN))*(((A940)-(c_TMAP3IN))*((1000)-(c_TMAP3OUT))+IF(((1000)-(c_TMAP3OUT))&gt;=0,1,-1)*QUOTIENT(((1000)-(c_TMAP3IN)),2)))&lt;0,-1,0),IF(IF(o_WRAP=1,MOD(((1000)-(c_TMAP3IN))*(((A940)-(c_TMAP3IN))*((1000)-(c_TMAP3OUT))+IF(((1000)-(c_TMAP3OUT))&gt;=0,1,-1)*QUOTIENT(((1000)-(c_TMAP3IN)),2))+2147483648,4294967296)-2147483648,((1000)-(c_TMAP3IN))*(((A940)-(c_TMAP3IN))*((1000)-(c_TMAP3OUT))+IF(((1000)-(c_TMAP3OUT))&gt;=0,1,-1)*QUOTIENT(((1000)-(c_TMAP3IN)),2)))&gt;=0,1,0)))</f>
        <v>920</v>
      </c>
      <c r="H940" s="7" t="str">
        <f aca="false">IF(A940&gt;=c_TFWD,IF(AND(A940&gt;=c_TMAP3IN,c_TMAP3IN&lt;1000),"Seg4 map3-100%",IF(AND(A940&gt;=c_TMAP2IN,c_TMAP3IN&gt;c_TMAP2IN),"Seg3 map2-map3",IF(AND(A940&gt;=c_TMAP1IN,c_TMAP2IN&gt;c_TMAP1IN),"Seg2 map1-map2","Seg1 TFWD-map1"))),IF(AND(A940=0,c_TCREEP&gt;0),"Creep",IF(AND(A940&lt;=c_TRNGMIN,A940&gt;=c_TRNGMAX,c_TRNGMIN-c_TRNGMAX&lt;&gt;0),"Regen ramp","Coast (0)")))</f>
        <v>Seg4 map3-100%</v>
      </c>
      <c r="I940" s="7" t="n">
        <f aca="false">IF(A940&gt;=c_TFWD,IF(AND(A940&gt;=c_TMAP3IN,c_TMAP3IN&lt;1000),G940,IF(AND(A940&gt;=c_TMAP2IN,c_TMAP3IN&gt;c_TMAP2IN),F940,IF(AND(A940&gt;=c_TMAP1IN,c_TMAP2IN&gt;c_TMAP1IN),E940,D940))),C940)</f>
        <v>920</v>
      </c>
      <c r="J940" s="7" t="str">
        <f aca="false">IF(I940&lt;-1090,"TOO LOW",IF(I940&gt;1090,"TOO HIGH",""))</f>
        <v/>
      </c>
      <c r="K940" s="15" t="n">
        <f aca="false">IF(J940&lt;&gt;"",0,IF(I940&gt;979,1000,I940))</f>
        <v>920</v>
      </c>
      <c r="L940" s="7" t="n">
        <f aca="false">K940/10</f>
        <v>92</v>
      </c>
    </row>
    <row r="941" customFormat="false" ht="15" hidden="false" customHeight="false" outlineLevel="0" collapsed="false">
      <c r="A941" s="7" t="n">
        <v>936</v>
      </c>
      <c r="B941" s="7" t="n">
        <f aca="false">A941/10</f>
        <v>93.6</v>
      </c>
      <c r="C941" s="7" t="n">
        <f aca="false">IF(AND(A941=0,c_TCREEP&gt;0),10*c_TCREEP,IF(AND(A941&lt;=c_TRNGMIN,A941&gt;=c_TRNGMAX,c_TRNGMIN-c_TRNGMAX&lt;&gt;0),-10*c_TMINRN+QUOTIENT((c_TMAXRN-c_TMINRN)*(100-QUOTIENT((A941-c_TRNGMAX)*100,c_TRNGMIN-c_TRNGMAX)),-10),0))</f>
        <v>0</v>
      </c>
      <c r="D941" s="7" t="n">
        <f aca="false">IF(((c_TMAP1IN)-(c_TFWD))=0,(0)+QUOTIENT(((c_TMAP1OUT)-(0)),2),QUOTIENT((((A941)-(c_TFWD))*((c_TMAP1OUT)-(0))+IF(((c_TMAP1OUT)-(0))&gt;=0,1,-1)*QUOTIENT(((c_TMAP1IN)-(c_TFWD)),2)),((c_TMAP1IN)-(c_TFWD)))+(0)+IF(((c_TMAP1OUT)-(0))&gt;=0,IF(IF(o_WRAP=1,MOD(((c_TMAP1IN)-(c_TFWD))*(((A941)-(c_TFWD))*((c_TMAP1OUT)-(0))+IF(((c_TMAP1OUT)-(0))&gt;=0,1,-1)*QUOTIENT(((c_TMAP1IN)-(c_TFWD)),2))+2147483648,4294967296)-2147483648,((c_TMAP1IN)-(c_TFWD))*(((A941)-(c_TFWD))*((c_TMAP1OUT)-(0))+IF(((c_TMAP1OUT)-(0))&gt;=0,1,-1)*QUOTIENT(((c_TMAP1IN)-(c_TFWD)),2)))&lt;0,-1,0),IF(IF(o_WRAP=1,MOD(((c_TMAP1IN)-(c_TFWD))*(((A941)-(c_TFWD))*((c_TMAP1OUT)-(0))+IF(((c_TMAP1OUT)-(0))&gt;=0,1,-1)*QUOTIENT(((c_TMAP1IN)-(c_TFWD)),2))+2147483648,4294967296)-2147483648,((c_TMAP1IN)-(c_TFWD))*(((A941)-(c_TFWD))*((c_TMAP1OUT)-(0))+IF(((c_TMAP1OUT)-(0))&gt;=0,1,-1)*QUOTIENT(((c_TMAP1IN)-(c_TFWD)),2)))&gt;=0,1,0)))</f>
        <v>720</v>
      </c>
      <c r="E941" s="7" t="n">
        <f aca="false">IF(((c_TMAP2IN)-(c_TMAP1IN))=0,(c_TMAP1OUT)+QUOTIENT(((c_TMAP2OUT)-(c_TMAP1OUT)),2),QUOTIENT((((A941)-(c_TMAP1IN))*((c_TMAP2OUT)-(c_TMAP1OUT))+IF(((c_TMAP2OUT)-(c_TMAP1OUT))&gt;=0,1,-1)*QUOTIENT(((c_TMAP2IN)-(c_TMAP1IN)),2)),((c_TMAP2IN)-(c_TMAP1IN)))+(c_TMAP1OUT)+IF(((c_TMAP2OUT)-(c_TMAP1OUT))&gt;=0,IF(IF(o_WRAP=1,MOD(((c_TMAP2IN)-(c_TMAP1IN))*(((A941)-(c_TMAP1IN))*((c_TMAP2OUT)-(c_TMAP1OUT))+IF(((c_TMAP2OUT)-(c_TMAP1OUT))&gt;=0,1,-1)*QUOTIENT(((c_TMAP2IN)-(c_TMAP1IN)),2))+2147483648,4294967296)-2147483648,((c_TMAP2IN)-(c_TMAP1IN))*(((A941)-(c_TMAP1IN))*((c_TMAP2OUT)-(c_TMAP1OUT))+IF(((c_TMAP2OUT)-(c_TMAP1OUT))&gt;=0,1,-1)*QUOTIENT(((c_TMAP2IN)-(c_TMAP1IN)),2)))&lt;0,-1,0),IF(IF(o_WRAP=1,MOD(((c_TMAP2IN)-(c_TMAP1IN))*(((A941)-(c_TMAP1IN))*((c_TMAP2OUT)-(c_TMAP1OUT))+IF(((c_TMAP2OUT)-(c_TMAP1OUT))&gt;=0,1,-1)*QUOTIENT(((c_TMAP2IN)-(c_TMAP1IN)),2))+2147483648,4294967296)-2147483648,((c_TMAP2IN)-(c_TMAP1IN))*(((A941)-(c_TMAP1IN))*((c_TMAP2OUT)-(c_TMAP1OUT))+IF(((c_TMAP2OUT)-(c_TMAP1OUT))&gt;=0,1,-1)*QUOTIENT(((c_TMAP2IN)-(c_TMAP1IN)),2)))&gt;=0,1,0)))</f>
        <v>404</v>
      </c>
      <c r="F941" s="7" t="n">
        <f aca="false">IF(((c_TMAP3IN)-(c_TMAP2IN))=0,(c_TMAP2OUT)+QUOTIENT(((c_TMAP3OUT)-(c_TMAP2OUT)),2),QUOTIENT((((A941)-(c_TMAP2IN))*((c_TMAP3OUT)-(c_TMAP2OUT))+IF(((c_TMAP3OUT)-(c_TMAP2OUT))&gt;=0,1,-1)*QUOTIENT(((c_TMAP3IN)-(c_TMAP2IN)),2)),((c_TMAP3IN)-(c_TMAP2IN)))+(c_TMAP2OUT)+IF(((c_TMAP3OUT)-(c_TMAP2OUT))&gt;=0,IF(IF(o_WRAP=1,MOD(((c_TMAP3IN)-(c_TMAP2IN))*(((A941)-(c_TMAP2IN))*((c_TMAP3OUT)-(c_TMAP2OUT))+IF(((c_TMAP3OUT)-(c_TMAP2OUT))&gt;=0,1,-1)*QUOTIENT(((c_TMAP3IN)-(c_TMAP2IN)),2))+2147483648,4294967296)-2147483648,((c_TMAP3IN)-(c_TMAP2IN))*(((A941)-(c_TMAP2IN))*((c_TMAP3OUT)-(c_TMAP2OUT))+IF(((c_TMAP3OUT)-(c_TMAP2OUT))&gt;=0,1,-1)*QUOTIENT(((c_TMAP3IN)-(c_TMAP2IN)),2)))&lt;0,-1,0),IF(IF(o_WRAP=1,MOD(((c_TMAP3IN)-(c_TMAP2IN))*(((A941)-(c_TMAP2IN))*((c_TMAP3OUT)-(c_TMAP2OUT))+IF(((c_TMAP3OUT)-(c_TMAP2OUT))&gt;=0,1,-1)*QUOTIENT(((c_TMAP3IN)-(c_TMAP2IN)),2))+2147483648,4294967296)-2147483648,((c_TMAP3IN)-(c_TMAP2IN))*(((A941)-(c_TMAP2IN))*((c_TMAP3OUT)-(c_TMAP2OUT))+IF(((c_TMAP3OUT)-(c_TMAP2OUT))&gt;=0,1,-1)*QUOTIENT(((c_TMAP3IN)-(c_TMAP2IN)),2)))&gt;=0,1,0)))</f>
        <v>610</v>
      </c>
      <c r="G941" s="7" t="n">
        <f aca="false">IF(((1000)-(c_TMAP3IN))=0,(c_TMAP3OUT)+QUOTIENT(((1000)-(c_TMAP3OUT)),2),QUOTIENT((((A941)-(c_TMAP3IN))*((1000)-(c_TMAP3OUT))+IF(((1000)-(c_TMAP3OUT))&gt;=0,1,-1)*QUOTIENT(((1000)-(c_TMAP3IN)),2)),((1000)-(c_TMAP3IN)))+(c_TMAP3OUT)+IF(((1000)-(c_TMAP3OUT))&gt;=0,IF(IF(o_WRAP=1,MOD(((1000)-(c_TMAP3IN))*(((A941)-(c_TMAP3IN))*((1000)-(c_TMAP3OUT))+IF(((1000)-(c_TMAP3OUT))&gt;=0,1,-1)*QUOTIENT(((1000)-(c_TMAP3IN)),2))+2147483648,4294967296)-2147483648,((1000)-(c_TMAP3IN))*(((A941)-(c_TMAP3IN))*((1000)-(c_TMAP3OUT))+IF(((1000)-(c_TMAP3OUT))&gt;=0,1,-1)*QUOTIENT(((1000)-(c_TMAP3IN)),2)))&lt;0,-1,0),IF(IF(o_WRAP=1,MOD(((1000)-(c_TMAP3IN))*(((A941)-(c_TMAP3IN))*((1000)-(c_TMAP3OUT))+IF(((1000)-(c_TMAP3OUT))&gt;=0,1,-1)*QUOTIENT(((1000)-(c_TMAP3IN)),2))+2147483648,4294967296)-2147483648,((1000)-(c_TMAP3IN))*(((A941)-(c_TMAP3IN))*((1000)-(c_TMAP3OUT))+IF(((1000)-(c_TMAP3OUT))&gt;=0,1,-1)*QUOTIENT(((1000)-(c_TMAP3IN)),2)))&gt;=0,1,0)))</f>
        <v>921</v>
      </c>
      <c r="H941" s="7" t="str">
        <f aca="false">IF(A941&gt;=c_TFWD,IF(AND(A941&gt;=c_TMAP3IN,c_TMAP3IN&lt;1000),"Seg4 map3-100%",IF(AND(A941&gt;=c_TMAP2IN,c_TMAP3IN&gt;c_TMAP2IN),"Seg3 map2-map3",IF(AND(A941&gt;=c_TMAP1IN,c_TMAP2IN&gt;c_TMAP1IN),"Seg2 map1-map2","Seg1 TFWD-map1"))),IF(AND(A941=0,c_TCREEP&gt;0),"Creep",IF(AND(A941&lt;=c_TRNGMIN,A941&gt;=c_TRNGMAX,c_TRNGMIN-c_TRNGMAX&lt;&gt;0),"Regen ramp","Coast (0)")))</f>
        <v>Seg4 map3-100%</v>
      </c>
      <c r="I941" s="7" t="n">
        <f aca="false">IF(A941&gt;=c_TFWD,IF(AND(A941&gt;=c_TMAP3IN,c_TMAP3IN&lt;1000),G941,IF(AND(A941&gt;=c_TMAP2IN,c_TMAP3IN&gt;c_TMAP2IN),F941,IF(AND(A941&gt;=c_TMAP1IN,c_TMAP2IN&gt;c_TMAP1IN),E941,D941))),C941)</f>
        <v>921</v>
      </c>
      <c r="J941" s="7" t="str">
        <f aca="false">IF(I941&lt;-1090,"TOO LOW",IF(I941&gt;1090,"TOO HIGH",""))</f>
        <v/>
      </c>
      <c r="K941" s="15" t="n">
        <f aca="false">IF(J941&lt;&gt;"",0,IF(I941&gt;979,1000,I941))</f>
        <v>921</v>
      </c>
      <c r="L941" s="7" t="n">
        <f aca="false">K941/10</f>
        <v>92.1</v>
      </c>
    </row>
    <row r="942" customFormat="false" ht="15" hidden="false" customHeight="false" outlineLevel="0" collapsed="false">
      <c r="A942" s="7" t="n">
        <v>937</v>
      </c>
      <c r="B942" s="7" t="n">
        <f aca="false">A942/10</f>
        <v>93.7</v>
      </c>
      <c r="C942" s="7" t="n">
        <f aca="false">IF(AND(A942=0,c_TCREEP&gt;0),10*c_TCREEP,IF(AND(A942&lt;=c_TRNGMIN,A942&gt;=c_TRNGMAX,c_TRNGMIN-c_TRNGMAX&lt;&gt;0),-10*c_TMINRN+QUOTIENT((c_TMAXRN-c_TMINRN)*(100-QUOTIENT((A942-c_TRNGMAX)*100,c_TRNGMIN-c_TRNGMAX)),-10),0))</f>
        <v>0</v>
      </c>
      <c r="D942" s="7" t="n">
        <f aca="false">IF(((c_TMAP1IN)-(c_TFWD))=0,(0)+QUOTIENT(((c_TMAP1OUT)-(0)),2),QUOTIENT((((A942)-(c_TFWD))*((c_TMAP1OUT)-(0))+IF(((c_TMAP1OUT)-(0))&gt;=0,1,-1)*QUOTIENT(((c_TMAP1IN)-(c_TFWD)),2)),((c_TMAP1IN)-(c_TFWD)))+(0)+IF(((c_TMAP1OUT)-(0))&gt;=0,IF(IF(o_WRAP=1,MOD(((c_TMAP1IN)-(c_TFWD))*(((A942)-(c_TFWD))*((c_TMAP1OUT)-(0))+IF(((c_TMAP1OUT)-(0))&gt;=0,1,-1)*QUOTIENT(((c_TMAP1IN)-(c_TFWD)),2))+2147483648,4294967296)-2147483648,((c_TMAP1IN)-(c_TFWD))*(((A942)-(c_TFWD))*((c_TMAP1OUT)-(0))+IF(((c_TMAP1OUT)-(0))&gt;=0,1,-1)*QUOTIENT(((c_TMAP1IN)-(c_TFWD)),2)))&lt;0,-1,0),IF(IF(o_WRAP=1,MOD(((c_TMAP1IN)-(c_TFWD))*(((A942)-(c_TFWD))*((c_TMAP1OUT)-(0))+IF(((c_TMAP1OUT)-(0))&gt;=0,1,-1)*QUOTIENT(((c_TMAP1IN)-(c_TFWD)),2))+2147483648,4294967296)-2147483648,((c_TMAP1IN)-(c_TFWD))*(((A942)-(c_TFWD))*((c_TMAP1OUT)-(0))+IF(((c_TMAP1OUT)-(0))&gt;=0,1,-1)*QUOTIENT(((c_TMAP1IN)-(c_TFWD)),2)))&gt;=0,1,0)))</f>
        <v>721</v>
      </c>
      <c r="E942" s="7" t="n">
        <f aca="false">IF(((c_TMAP2IN)-(c_TMAP1IN))=0,(c_TMAP1OUT)+QUOTIENT(((c_TMAP2OUT)-(c_TMAP1OUT)),2),QUOTIENT((((A942)-(c_TMAP1IN))*((c_TMAP2OUT)-(c_TMAP1OUT))+IF(((c_TMAP2OUT)-(c_TMAP1OUT))&gt;=0,1,-1)*QUOTIENT(((c_TMAP2IN)-(c_TMAP1IN)),2)),((c_TMAP2IN)-(c_TMAP1IN)))+(c_TMAP1OUT)+IF(((c_TMAP2OUT)-(c_TMAP1OUT))&gt;=0,IF(IF(o_WRAP=1,MOD(((c_TMAP2IN)-(c_TMAP1IN))*(((A942)-(c_TMAP1IN))*((c_TMAP2OUT)-(c_TMAP1OUT))+IF(((c_TMAP2OUT)-(c_TMAP1OUT))&gt;=0,1,-1)*QUOTIENT(((c_TMAP2IN)-(c_TMAP1IN)),2))+2147483648,4294967296)-2147483648,((c_TMAP2IN)-(c_TMAP1IN))*(((A942)-(c_TMAP1IN))*((c_TMAP2OUT)-(c_TMAP1OUT))+IF(((c_TMAP2OUT)-(c_TMAP1OUT))&gt;=0,1,-1)*QUOTIENT(((c_TMAP2IN)-(c_TMAP1IN)),2)))&lt;0,-1,0),IF(IF(o_WRAP=1,MOD(((c_TMAP2IN)-(c_TMAP1IN))*(((A942)-(c_TMAP1IN))*((c_TMAP2OUT)-(c_TMAP1OUT))+IF(((c_TMAP2OUT)-(c_TMAP1OUT))&gt;=0,1,-1)*QUOTIENT(((c_TMAP2IN)-(c_TMAP1IN)),2))+2147483648,4294967296)-2147483648,((c_TMAP2IN)-(c_TMAP1IN))*(((A942)-(c_TMAP1IN))*((c_TMAP2OUT)-(c_TMAP1OUT))+IF(((c_TMAP2OUT)-(c_TMAP1OUT))&gt;=0,1,-1)*QUOTIENT(((c_TMAP2IN)-(c_TMAP1IN)),2)))&gt;=0,1,0)))</f>
        <v>405</v>
      </c>
      <c r="F942" s="7" t="n">
        <f aca="false">IF(((c_TMAP3IN)-(c_TMAP2IN))=0,(c_TMAP2OUT)+QUOTIENT(((c_TMAP3OUT)-(c_TMAP2OUT)),2),QUOTIENT((((A942)-(c_TMAP2IN))*((c_TMAP3OUT)-(c_TMAP2OUT))+IF(((c_TMAP3OUT)-(c_TMAP2OUT))&gt;=0,1,-1)*QUOTIENT(((c_TMAP3IN)-(c_TMAP2IN)),2)),((c_TMAP3IN)-(c_TMAP2IN)))+(c_TMAP2OUT)+IF(((c_TMAP3OUT)-(c_TMAP2OUT))&gt;=0,IF(IF(o_WRAP=1,MOD(((c_TMAP3IN)-(c_TMAP2IN))*(((A942)-(c_TMAP2IN))*((c_TMAP3OUT)-(c_TMAP2OUT))+IF(((c_TMAP3OUT)-(c_TMAP2OUT))&gt;=0,1,-1)*QUOTIENT(((c_TMAP3IN)-(c_TMAP2IN)),2))+2147483648,4294967296)-2147483648,((c_TMAP3IN)-(c_TMAP2IN))*(((A942)-(c_TMAP2IN))*((c_TMAP3OUT)-(c_TMAP2OUT))+IF(((c_TMAP3OUT)-(c_TMAP2OUT))&gt;=0,1,-1)*QUOTIENT(((c_TMAP3IN)-(c_TMAP2IN)),2)))&lt;0,-1,0),IF(IF(o_WRAP=1,MOD(((c_TMAP3IN)-(c_TMAP2IN))*(((A942)-(c_TMAP2IN))*((c_TMAP3OUT)-(c_TMAP2OUT))+IF(((c_TMAP3OUT)-(c_TMAP2OUT))&gt;=0,1,-1)*QUOTIENT(((c_TMAP3IN)-(c_TMAP2IN)),2))+2147483648,4294967296)-2147483648,((c_TMAP3IN)-(c_TMAP2IN))*(((A942)-(c_TMAP2IN))*((c_TMAP3OUT)-(c_TMAP2OUT))+IF(((c_TMAP3OUT)-(c_TMAP2OUT))&gt;=0,1,-1)*QUOTIENT(((c_TMAP3IN)-(c_TMAP2IN)),2)))&gt;=0,1,0)))</f>
        <v>611</v>
      </c>
      <c r="G942" s="7" t="n">
        <f aca="false">IF(((1000)-(c_TMAP3IN))=0,(c_TMAP3OUT)+QUOTIENT(((1000)-(c_TMAP3OUT)),2),QUOTIENT((((A942)-(c_TMAP3IN))*((1000)-(c_TMAP3OUT))+IF(((1000)-(c_TMAP3OUT))&gt;=0,1,-1)*QUOTIENT(((1000)-(c_TMAP3IN)),2)),((1000)-(c_TMAP3IN)))+(c_TMAP3OUT)+IF(((1000)-(c_TMAP3OUT))&gt;=0,IF(IF(o_WRAP=1,MOD(((1000)-(c_TMAP3IN))*(((A942)-(c_TMAP3IN))*((1000)-(c_TMAP3OUT))+IF(((1000)-(c_TMAP3OUT))&gt;=0,1,-1)*QUOTIENT(((1000)-(c_TMAP3IN)),2))+2147483648,4294967296)-2147483648,((1000)-(c_TMAP3IN))*(((A942)-(c_TMAP3IN))*((1000)-(c_TMAP3OUT))+IF(((1000)-(c_TMAP3OUT))&gt;=0,1,-1)*QUOTIENT(((1000)-(c_TMAP3IN)),2)))&lt;0,-1,0),IF(IF(o_WRAP=1,MOD(((1000)-(c_TMAP3IN))*(((A942)-(c_TMAP3IN))*((1000)-(c_TMAP3OUT))+IF(((1000)-(c_TMAP3OUT))&gt;=0,1,-1)*QUOTIENT(((1000)-(c_TMAP3IN)),2))+2147483648,4294967296)-2147483648,((1000)-(c_TMAP3IN))*(((A942)-(c_TMAP3IN))*((1000)-(c_TMAP3OUT))+IF(((1000)-(c_TMAP3OUT))&gt;=0,1,-1)*QUOTIENT(((1000)-(c_TMAP3IN)),2)))&gt;=0,1,0)))</f>
        <v>922</v>
      </c>
      <c r="H942" s="7" t="str">
        <f aca="false">IF(A942&gt;=c_TFWD,IF(AND(A942&gt;=c_TMAP3IN,c_TMAP3IN&lt;1000),"Seg4 map3-100%",IF(AND(A942&gt;=c_TMAP2IN,c_TMAP3IN&gt;c_TMAP2IN),"Seg3 map2-map3",IF(AND(A942&gt;=c_TMAP1IN,c_TMAP2IN&gt;c_TMAP1IN),"Seg2 map1-map2","Seg1 TFWD-map1"))),IF(AND(A942=0,c_TCREEP&gt;0),"Creep",IF(AND(A942&lt;=c_TRNGMIN,A942&gt;=c_TRNGMAX,c_TRNGMIN-c_TRNGMAX&lt;&gt;0),"Regen ramp","Coast (0)")))</f>
        <v>Seg4 map3-100%</v>
      </c>
      <c r="I942" s="7" t="n">
        <f aca="false">IF(A942&gt;=c_TFWD,IF(AND(A942&gt;=c_TMAP3IN,c_TMAP3IN&lt;1000),G942,IF(AND(A942&gt;=c_TMAP2IN,c_TMAP3IN&gt;c_TMAP2IN),F942,IF(AND(A942&gt;=c_TMAP1IN,c_TMAP2IN&gt;c_TMAP1IN),E942,D942))),C942)</f>
        <v>922</v>
      </c>
      <c r="J942" s="7" t="str">
        <f aca="false">IF(I942&lt;-1090,"TOO LOW",IF(I942&gt;1090,"TOO HIGH",""))</f>
        <v/>
      </c>
      <c r="K942" s="15" t="n">
        <f aca="false">IF(J942&lt;&gt;"",0,IF(I942&gt;979,1000,I942))</f>
        <v>922</v>
      </c>
      <c r="L942" s="7" t="n">
        <f aca="false">K942/10</f>
        <v>92.2</v>
      </c>
    </row>
    <row r="943" customFormat="false" ht="15" hidden="false" customHeight="false" outlineLevel="0" collapsed="false">
      <c r="A943" s="7" t="n">
        <v>938</v>
      </c>
      <c r="B943" s="7" t="n">
        <f aca="false">A943/10</f>
        <v>93.8</v>
      </c>
      <c r="C943" s="7" t="n">
        <f aca="false">IF(AND(A943=0,c_TCREEP&gt;0),10*c_TCREEP,IF(AND(A943&lt;=c_TRNGMIN,A943&gt;=c_TRNGMAX,c_TRNGMIN-c_TRNGMAX&lt;&gt;0),-10*c_TMINRN+QUOTIENT((c_TMAXRN-c_TMINRN)*(100-QUOTIENT((A943-c_TRNGMAX)*100,c_TRNGMIN-c_TRNGMAX)),-10),0))</f>
        <v>0</v>
      </c>
      <c r="D943" s="7" t="n">
        <f aca="false">IF(((c_TMAP1IN)-(c_TFWD))=0,(0)+QUOTIENT(((c_TMAP1OUT)-(0)),2),QUOTIENT((((A943)-(c_TFWD))*((c_TMAP1OUT)-(0))+IF(((c_TMAP1OUT)-(0))&gt;=0,1,-1)*QUOTIENT(((c_TMAP1IN)-(c_TFWD)),2)),((c_TMAP1IN)-(c_TFWD)))+(0)+IF(((c_TMAP1OUT)-(0))&gt;=0,IF(IF(o_WRAP=1,MOD(((c_TMAP1IN)-(c_TFWD))*(((A943)-(c_TFWD))*((c_TMAP1OUT)-(0))+IF(((c_TMAP1OUT)-(0))&gt;=0,1,-1)*QUOTIENT(((c_TMAP1IN)-(c_TFWD)),2))+2147483648,4294967296)-2147483648,((c_TMAP1IN)-(c_TFWD))*(((A943)-(c_TFWD))*((c_TMAP1OUT)-(0))+IF(((c_TMAP1OUT)-(0))&gt;=0,1,-1)*QUOTIENT(((c_TMAP1IN)-(c_TFWD)),2)))&lt;0,-1,0),IF(IF(o_WRAP=1,MOD(((c_TMAP1IN)-(c_TFWD))*(((A943)-(c_TFWD))*((c_TMAP1OUT)-(0))+IF(((c_TMAP1OUT)-(0))&gt;=0,1,-1)*QUOTIENT(((c_TMAP1IN)-(c_TFWD)),2))+2147483648,4294967296)-2147483648,((c_TMAP1IN)-(c_TFWD))*(((A943)-(c_TFWD))*((c_TMAP1OUT)-(0))+IF(((c_TMAP1OUT)-(0))&gt;=0,1,-1)*QUOTIENT(((c_TMAP1IN)-(c_TFWD)),2)))&gt;=0,1,0)))</f>
        <v>722</v>
      </c>
      <c r="E943" s="7" t="n">
        <f aca="false">IF(((c_TMAP2IN)-(c_TMAP1IN))=0,(c_TMAP1OUT)+QUOTIENT(((c_TMAP2OUT)-(c_TMAP1OUT)),2),QUOTIENT((((A943)-(c_TMAP1IN))*((c_TMAP2OUT)-(c_TMAP1OUT))+IF(((c_TMAP2OUT)-(c_TMAP1OUT))&gt;=0,1,-1)*QUOTIENT(((c_TMAP2IN)-(c_TMAP1IN)),2)),((c_TMAP2IN)-(c_TMAP1IN)))+(c_TMAP1OUT)+IF(((c_TMAP2OUT)-(c_TMAP1OUT))&gt;=0,IF(IF(o_WRAP=1,MOD(((c_TMAP2IN)-(c_TMAP1IN))*(((A943)-(c_TMAP1IN))*((c_TMAP2OUT)-(c_TMAP1OUT))+IF(((c_TMAP2OUT)-(c_TMAP1OUT))&gt;=0,1,-1)*QUOTIENT(((c_TMAP2IN)-(c_TMAP1IN)),2))+2147483648,4294967296)-2147483648,((c_TMAP2IN)-(c_TMAP1IN))*(((A943)-(c_TMAP1IN))*((c_TMAP2OUT)-(c_TMAP1OUT))+IF(((c_TMAP2OUT)-(c_TMAP1OUT))&gt;=0,1,-1)*QUOTIENT(((c_TMAP2IN)-(c_TMAP1IN)),2)))&lt;0,-1,0),IF(IF(o_WRAP=1,MOD(((c_TMAP2IN)-(c_TMAP1IN))*(((A943)-(c_TMAP1IN))*((c_TMAP2OUT)-(c_TMAP1OUT))+IF(((c_TMAP2OUT)-(c_TMAP1OUT))&gt;=0,1,-1)*QUOTIENT(((c_TMAP2IN)-(c_TMAP1IN)),2))+2147483648,4294967296)-2147483648,((c_TMAP2IN)-(c_TMAP1IN))*(((A943)-(c_TMAP1IN))*((c_TMAP2OUT)-(c_TMAP1OUT))+IF(((c_TMAP2OUT)-(c_TMAP1OUT))&gt;=0,1,-1)*QUOTIENT(((c_TMAP2IN)-(c_TMAP1IN)),2)))&gt;=0,1,0)))</f>
        <v>405</v>
      </c>
      <c r="F943" s="7" t="n">
        <f aca="false">IF(((c_TMAP3IN)-(c_TMAP2IN))=0,(c_TMAP2OUT)+QUOTIENT(((c_TMAP3OUT)-(c_TMAP2OUT)),2),QUOTIENT((((A943)-(c_TMAP2IN))*((c_TMAP3OUT)-(c_TMAP2OUT))+IF(((c_TMAP3OUT)-(c_TMAP2OUT))&gt;=0,1,-1)*QUOTIENT(((c_TMAP3IN)-(c_TMAP2IN)),2)),((c_TMAP3IN)-(c_TMAP2IN)))+(c_TMAP2OUT)+IF(((c_TMAP3OUT)-(c_TMAP2OUT))&gt;=0,IF(IF(o_WRAP=1,MOD(((c_TMAP3IN)-(c_TMAP2IN))*(((A943)-(c_TMAP2IN))*((c_TMAP3OUT)-(c_TMAP2OUT))+IF(((c_TMAP3OUT)-(c_TMAP2OUT))&gt;=0,1,-1)*QUOTIENT(((c_TMAP3IN)-(c_TMAP2IN)),2))+2147483648,4294967296)-2147483648,((c_TMAP3IN)-(c_TMAP2IN))*(((A943)-(c_TMAP2IN))*((c_TMAP3OUT)-(c_TMAP2OUT))+IF(((c_TMAP3OUT)-(c_TMAP2OUT))&gt;=0,1,-1)*QUOTIENT(((c_TMAP3IN)-(c_TMAP2IN)),2)))&lt;0,-1,0),IF(IF(o_WRAP=1,MOD(((c_TMAP3IN)-(c_TMAP2IN))*(((A943)-(c_TMAP2IN))*((c_TMAP3OUT)-(c_TMAP2OUT))+IF(((c_TMAP3OUT)-(c_TMAP2OUT))&gt;=0,1,-1)*QUOTIENT(((c_TMAP3IN)-(c_TMAP2IN)),2))+2147483648,4294967296)-2147483648,((c_TMAP3IN)-(c_TMAP2IN))*(((A943)-(c_TMAP2IN))*((c_TMAP3OUT)-(c_TMAP2OUT))+IF(((c_TMAP3OUT)-(c_TMAP2OUT))&gt;=0,1,-1)*QUOTIENT(((c_TMAP3IN)-(c_TMAP2IN)),2)))&gt;=0,1,0)))</f>
        <v>612</v>
      </c>
      <c r="G943" s="7" t="n">
        <f aca="false">IF(((1000)-(c_TMAP3IN))=0,(c_TMAP3OUT)+QUOTIENT(((1000)-(c_TMAP3OUT)),2),QUOTIENT((((A943)-(c_TMAP3IN))*((1000)-(c_TMAP3OUT))+IF(((1000)-(c_TMAP3OUT))&gt;=0,1,-1)*QUOTIENT(((1000)-(c_TMAP3IN)),2)),((1000)-(c_TMAP3IN)))+(c_TMAP3OUT)+IF(((1000)-(c_TMAP3OUT))&gt;=0,IF(IF(o_WRAP=1,MOD(((1000)-(c_TMAP3IN))*(((A943)-(c_TMAP3IN))*((1000)-(c_TMAP3OUT))+IF(((1000)-(c_TMAP3OUT))&gt;=0,1,-1)*QUOTIENT(((1000)-(c_TMAP3IN)),2))+2147483648,4294967296)-2147483648,((1000)-(c_TMAP3IN))*(((A943)-(c_TMAP3IN))*((1000)-(c_TMAP3OUT))+IF(((1000)-(c_TMAP3OUT))&gt;=0,1,-1)*QUOTIENT(((1000)-(c_TMAP3IN)),2)))&lt;0,-1,0),IF(IF(o_WRAP=1,MOD(((1000)-(c_TMAP3IN))*(((A943)-(c_TMAP3IN))*((1000)-(c_TMAP3OUT))+IF(((1000)-(c_TMAP3OUT))&gt;=0,1,-1)*QUOTIENT(((1000)-(c_TMAP3IN)),2))+2147483648,4294967296)-2147483648,((1000)-(c_TMAP3IN))*(((A943)-(c_TMAP3IN))*((1000)-(c_TMAP3OUT))+IF(((1000)-(c_TMAP3OUT))&gt;=0,1,-1)*QUOTIENT(((1000)-(c_TMAP3IN)),2)))&gt;=0,1,0)))</f>
        <v>924</v>
      </c>
      <c r="H943" s="7" t="str">
        <f aca="false">IF(A943&gt;=c_TFWD,IF(AND(A943&gt;=c_TMAP3IN,c_TMAP3IN&lt;1000),"Seg4 map3-100%",IF(AND(A943&gt;=c_TMAP2IN,c_TMAP3IN&gt;c_TMAP2IN),"Seg3 map2-map3",IF(AND(A943&gt;=c_TMAP1IN,c_TMAP2IN&gt;c_TMAP1IN),"Seg2 map1-map2","Seg1 TFWD-map1"))),IF(AND(A943=0,c_TCREEP&gt;0),"Creep",IF(AND(A943&lt;=c_TRNGMIN,A943&gt;=c_TRNGMAX,c_TRNGMIN-c_TRNGMAX&lt;&gt;0),"Regen ramp","Coast (0)")))</f>
        <v>Seg4 map3-100%</v>
      </c>
      <c r="I943" s="7" t="n">
        <f aca="false">IF(A943&gt;=c_TFWD,IF(AND(A943&gt;=c_TMAP3IN,c_TMAP3IN&lt;1000),G943,IF(AND(A943&gt;=c_TMAP2IN,c_TMAP3IN&gt;c_TMAP2IN),F943,IF(AND(A943&gt;=c_TMAP1IN,c_TMAP2IN&gt;c_TMAP1IN),E943,D943))),C943)</f>
        <v>924</v>
      </c>
      <c r="J943" s="7" t="str">
        <f aca="false">IF(I943&lt;-1090,"TOO LOW",IF(I943&gt;1090,"TOO HIGH",""))</f>
        <v/>
      </c>
      <c r="K943" s="15" t="n">
        <f aca="false">IF(J943&lt;&gt;"",0,IF(I943&gt;979,1000,I943))</f>
        <v>924</v>
      </c>
      <c r="L943" s="7" t="n">
        <f aca="false">K943/10</f>
        <v>92.4</v>
      </c>
    </row>
    <row r="944" customFormat="false" ht="15" hidden="false" customHeight="false" outlineLevel="0" collapsed="false">
      <c r="A944" s="7" t="n">
        <v>939</v>
      </c>
      <c r="B944" s="7" t="n">
        <f aca="false">A944/10</f>
        <v>93.9</v>
      </c>
      <c r="C944" s="7" t="n">
        <f aca="false">IF(AND(A944=0,c_TCREEP&gt;0),10*c_TCREEP,IF(AND(A944&lt;=c_TRNGMIN,A944&gt;=c_TRNGMAX,c_TRNGMIN-c_TRNGMAX&lt;&gt;0),-10*c_TMINRN+QUOTIENT((c_TMAXRN-c_TMINRN)*(100-QUOTIENT((A944-c_TRNGMAX)*100,c_TRNGMIN-c_TRNGMAX)),-10),0))</f>
        <v>0</v>
      </c>
      <c r="D944" s="7" t="n">
        <f aca="false">IF(((c_TMAP1IN)-(c_TFWD))=0,(0)+QUOTIENT(((c_TMAP1OUT)-(0)),2),QUOTIENT((((A944)-(c_TFWD))*((c_TMAP1OUT)-(0))+IF(((c_TMAP1OUT)-(0))&gt;=0,1,-1)*QUOTIENT(((c_TMAP1IN)-(c_TFWD)),2)),((c_TMAP1IN)-(c_TFWD)))+(0)+IF(((c_TMAP1OUT)-(0))&gt;=0,IF(IF(o_WRAP=1,MOD(((c_TMAP1IN)-(c_TFWD))*(((A944)-(c_TFWD))*((c_TMAP1OUT)-(0))+IF(((c_TMAP1OUT)-(0))&gt;=0,1,-1)*QUOTIENT(((c_TMAP1IN)-(c_TFWD)),2))+2147483648,4294967296)-2147483648,((c_TMAP1IN)-(c_TFWD))*(((A944)-(c_TFWD))*((c_TMAP1OUT)-(0))+IF(((c_TMAP1OUT)-(0))&gt;=0,1,-1)*QUOTIENT(((c_TMAP1IN)-(c_TFWD)),2)))&lt;0,-1,0),IF(IF(o_WRAP=1,MOD(((c_TMAP1IN)-(c_TFWD))*(((A944)-(c_TFWD))*((c_TMAP1OUT)-(0))+IF(((c_TMAP1OUT)-(0))&gt;=0,1,-1)*QUOTIENT(((c_TMAP1IN)-(c_TFWD)),2))+2147483648,4294967296)-2147483648,((c_TMAP1IN)-(c_TFWD))*(((A944)-(c_TFWD))*((c_TMAP1OUT)-(0))+IF(((c_TMAP1OUT)-(0))&gt;=0,1,-1)*QUOTIENT(((c_TMAP1IN)-(c_TFWD)),2)))&gt;=0,1,0)))</f>
        <v>723</v>
      </c>
      <c r="E944" s="7" t="n">
        <f aca="false">IF(((c_TMAP2IN)-(c_TMAP1IN))=0,(c_TMAP1OUT)+QUOTIENT(((c_TMAP2OUT)-(c_TMAP1OUT)),2),QUOTIENT((((A944)-(c_TMAP1IN))*((c_TMAP2OUT)-(c_TMAP1OUT))+IF(((c_TMAP2OUT)-(c_TMAP1OUT))&gt;=0,1,-1)*QUOTIENT(((c_TMAP2IN)-(c_TMAP1IN)),2)),((c_TMAP2IN)-(c_TMAP1IN)))+(c_TMAP1OUT)+IF(((c_TMAP2OUT)-(c_TMAP1OUT))&gt;=0,IF(IF(o_WRAP=1,MOD(((c_TMAP2IN)-(c_TMAP1IN))*(((A944)-(c_TMAP1IN))*((c_TMAP2OUT)-(c_TMAP1OUT))+IF(((c_TMAP2OUT)-(c_TMAP1OUT))&gt;=0,1,-1)*QUOTIENT(((c_TMAP2IN)-(c_TMAP1IN)),2))+2147483648,4294967296)-2147483648,((c_TMAP2IN)-(c_TMAP1IN))*(((A944)-(c_TMAP1IN))*((c_TMAP2OUT)-(c_TMAP1OUT))+IF(((c_TMAP2OUT)-(c_TMAP1OUT))&gt;=0,1,-1)*QUOTIENT(((c_TMAP2IN)-(c_TMAP1IN)),2)))&lt;0,-1,0),IF(IF(o_WRAP=1,MOD(((c_TMAP2IN)-(c_TMAP1IN))*(((A944)-(c_TMAP1IN))*((c_TMAP2OUT)-(c_TMAP1OUT))+IF(((c_TMAP2OUT)-(c_TMAP1OUT))&gt;=0,1,-1)*QUOTIENT(((c_TMAP2IN)-(c_TMAP1IN)),2))+2147483648,4294967296)-2147483648,((c_TMAP2IN)-(c_TMAP1IN))*(((A944)-(c_TMAP1IN))*((c_TMAP2OUT)-(c_TMAP1OUT))+IF(((c_TMAP2OUT)-(c_TMAP1OUT))&gt;=0,1,-1)*QUOTIENT(((c_TMAP2IN)-(c_TMAP1IN)),2)))&gt;=0,1,0)))</f>
        <v>406</v>
      </c>
      <c r="F944" s="7" t="n">
        <f aca="false">IF(((c_TMAP3IN)-(c_TMAP2IN))=0,(c_TMAP2OUT)+QUOTIENT(((c_TMAP3OUT)-(c_TMAP2OUT)),2),QUOTIENT((((A944)-(c_TMAP2IN))*((c_TMAP3OUT)-(c_TMAP2OUT))+IF(((c_TMAP3OUT)-(c_TMAP2OUT))&gt;=0,1,-1)*QUOTIENT(((c_TMAP3IN)-(c_TMAP2IN)),2)),((c_TMAP3IN)-(c_TMAP2IN)))+(c_TMAP2OUT)+IF(((c_TMAP3OUT)-(c_TMAP2OUT))&gt;=0,IF(IF(o_WRAP=1,MOD(((c_TMAP3IN)-(c_TMAP2IN))*(((A944)-(c_TMAP2IN))*((c_TMAP3OUT)-(c_TMAP2OUT))+IF(((c_TMAP3OUT)-(c_TMAP2OUT))&gt;=0,1,-1)*QUOTIENT(((c_TMAP3IN)-(c_TMAP2IN)),2))+2147483648,4294967296)-2147483648,((c_TMAP3IN)-(c_TMAP2IN))*(((A944)-(c_TMAP2IN))*((c_TMAP3OUT)-(c_TMAP2OUT))+IF(((c_TMAP3OUT)-(c_TMAP2OUT))&gt;=0,1,-1)*QUOTIENT(((c_TMAP3IN)-(c_TMAP2IN)),2)))&lt;0,-1,0),IF(IF(o_WRAP=1,MOD(((c_TMAP3IN)-(c_TMAP2IN))*(((A944)-(c_TMAP2IN))*((c_TMAP3OUT)-(c_TMAP2OUT))+IF(((c_TMAP3OUT)-(c_TMAP2OUT))&gt;=0,1,-1)*QUOTIENT(((c_TMAP3IN)-(c_TMAP2IN)),2))+2147483648,4294967296)-2147483648,((c_TMAP3IN)-(c_TMAP2IN))*(((A944)-(c_TMAP2IN))*((c_TMAP3OUT)-(c_TMAP2OUT))+IF(((c_TMAP3OUT)-(c_TMAP2OUT))&gt;=0,1,-1)*QUOTIENT(((c_TMAP3IN)-(c_TMAP2IN)),2)))&gt;=0,1,0)))</f>
        <v>612</v>
      </c>
      <c r="G944" s="7" t="n">
        <f aca="false">IF(((1000)-(c_TMAP3IN))=0,(c_TMAP3OUT)+QUOTIENT(((1000)-(c_TMAP3OUT)),2),QUOTIENT((((A944)-(c_TMAP3IN))*((1000)-(c_TMAP3OUT))+IF(((1000)-(c_TMAP3OUT))&gt;=0,1,-1)*QUOTIENT(((1000)-(c_TMAP3IN)),2)),((1000)-(c_TMAP3IN)))+(c_TMAP3OUT)+IF(((1000)-(c_TMAP3OUT))&gt;=0,IF(IF(o_WRAP=1,MOD(((1000)-(c_TMAP3IN))*(((A944)-(c_TMAP3IN))*((1000)-(c_TMAP3OUT))+IF(((1000)-(c_TMAP3OUT))&gt;=0,1,-1)*QUOTIENT(((1000)-(c_TMAP3IN)),2))+2147483648,4294967296)-2147483648,((1000)-(c_TMAP3IN))*(((A944)-(c_TMAP3IN))*((1000)-(c_TMAP3OUT))+IF(((1000)-(c_TMAP3OUT))&gt;=0,1,-1)*QUOTIENT(((1000)-(c_TMAP3IN)),2)))&lt;0,-1,0),IF(IF(o_WRAP=1,MOD(((1000)-(c_TMAP3IN))*(((A944)-(c_TMAP3IN))*((1000)-(c_TMAP3OUT))+IF(((1000)-(c_TMAP3OUT))&gt;=0,1,-1)*QUOTIENT(((1000)-(c_TMAP3IN)),2))+2147483648,4294967296)-2147483648,((1000)-(c_TMAP3IN))*(((A944)-(c_TMAP3IN))*((1000)-(c_TMAP3OUT))+IF(((1000)-(c_TMAP3OUT))&gt;=0,1,-1)*QUOTIENT(((1000)-(c_TMAP3IN)),2)))&gt;=0,1,0)))</f>
        <v>925</v>
      </c>
      <c r="H944" s="7" t="str">
        <f aca="false">IF(A944&gt;=c_TFWD,IF(AND(A944&gt;=c_TMAP3IN,c_TMAP3IN&lt;1000),"Seg4 map3-100%",IF(AND(A944&gt;=c_TMAP2IN,c_TMAP3IN&gt;c_TMAP2IN),"Seg3 map2-map3",IF(AND(A944&gt;=c_TMAP1IN,c_TMAP2IN&gt;c_TMAP1IN),"Seg2 map1-map2","Seg1 TFWD-map1"))),IF(AND(A944=0,c_TCREEP&gt;0),"Creep",IF(AND(A944&lt;=c_TRNGMIN,A944&gt;=c_TRNGMAX,c_TRNGMIN-c_TRNGMAX&lt;&gt;0),"Regen ramp","Coast (0)")))</f>
        <v>Seg4 map3-100%</v>
      </c>
      <c r="I944" s="7" t="n">
        <f aca="false">IF(A944&gt;=c_TFWD,IF(AND(A944&gt;=c_TMAP3IN,c_TMAP3IN&lt;1000),G944,IF(AND(A944&gt;=c_TMAP2IN,c_TMAP3IN&gt;c_TMAP2IN),F944,IF(AND(A944&gt;=c_TMAP1IN,c_TMAP2IN&gt;c_TMAP1IN),E944,D944))),C944)</f>
        <v>925</v>
      </c>
      <c r="J944" s="7" t="str">
        <f aca="false">IF(I944&lt;-1090,"TOO LOW",IF(I944&gt;1090,"TOO HIGH",""))</f>
        <v/>
      </c>
      <c r="K944" s="15" t="n">
        <f aca="false">IF(J944&lt;&gt;"",0,IF(I944&gt;979,1000,I944))</f>
        <v>925</v>
      </c>
      <c r="L944" s="7" t="n">
        <f aca="false">K944/10</f>
        <v>92.5</v>
      </c>
    </row>
    <row r="945" customFormat="false" ht="15" hidden="false" customHeight="false" outlineLevel="0" collapsed="false">
      <c r="A945" s="7" t="n">
        <v>940</v>
      </c>
      <c r="B945" s="7" t="n">
        <f aca="false">A945/10</f>
        <v>94</v>
      </c>
      <c r="C945" s="7" t="n">
        <f aca="false">IF(AND(A945=0,c_TCREEP&gt;0),10*c_TCREEP,IF(AND(A945&lt;=c_TRNGMIN,A945&gt;=c_TRNGMAX,c_TRNGMIN-c_TRNGMAX&lt;&gt;0),-10*c_TMINRN+QUOTIENT((c_TMAXRN-c_TMINRN)*(100-QUOTIENT((A945-c_TRNGMAX)*100,c_TRNGMIN-c_TRNGMAX)),-10),0))</f>
        <v>0</v>
      </c>
      <c r="D945" s="7" t="n">
        <f aca="false">IF(((c_TMAP1IN)-(c_TFWD))=0,(0)+QUOTIENT(((c_TMAP1OUT)-(0)),2),QUOTIENT((((A945)-(c_TFWD))*((c_TMAP1OUT)-(0))+IF(((c_TMAP1OUT)-(0))&gt;=0,1,-1)*QUOTIENT(((c_TMAP1IN)-(c_TFWD)),2)),((c_TMAP1IN)-(c_TFWD)))+(0)+IF(((c_TMAP1OUT)-(0))&gt;=0,IF(IF(o_WRAP=1,MOD(((c_TMAP1IN)-(c_TFWD))*(((A945)-(c_TFWD))*((c_TMAP1OUT)-(0))+IF(((c_TMAP1OUT)-(0))&gt;=0,1,-1)*QUOTIENT(((c_TMAP1IN)-(c_TFWD)),2))+2147483648,4294967296)-2147483648,((c_TMAP1IN)-(c_TFWD))*(((A945)-(c_TFWD))*((c_TMAP1OUT)-(0))+IF(((c_TMAP1OUT)-(0))&gt;=0,1,-1)*QUOTIENT(((c_TMAP1IN)-(c_TFWD)),2)))&lt;0,-1,0),IF(IF(o_WRAP=1,MOD(((c_TMAP1IN)-(c_TFWD))*(((A945)-(c_TFWD))*((c_TMAP1OUT)-(0))+IF(((c_TMAP1OUT)-(0))&gt;=0,1,-1)*QUOTIENT(((c_TMAP1IN)-(c_TFWD)),2))+2147483648,4294967296)-2147483648,((c_TMAP1IN)-(c_TFWD))*(((A945)-(c_TFWD))*((c_TMAP1OUT)-(0))+IF(((c_TMAP1OUT)-(0))&gt;=0,1,-1)*QUOTIENT(((c_TMAP1IN)-(c_TFWD)),2)))&gt;=0,1,0)))</f>
        <v>723</v>
      </c>
      <c r="E945" s="7" t="n">
        <f aca="false">IF(((c_TMAP2IN)-(c_TMAP1IN))=0,(c_TMAP1OUT)+QUOTIENT(((c_TMAP2OUT)-(c_TMAP1OUT)),2),QUOTIENT((((A945)-(c_TMAP1IN))*((c_TMAP2OUT)-(c_TMAP1OUT))+IF(((c_TMAP2OUT)-(c_TMAP1OUT))&gt;=0,1,-1)*QUOTIENT(((c_TMAP2IN)-(c_TMAP1IN)),2)),((c_TMAP2IN)-(c_TMAP1IN)))+(c_TMAP1OUT)+IF(((c_TMAP2OUT)-(c_TMAP1OUT))&gt;=0,IF(IF(o_WRAP=1,MOD(((c_TMAP2IN)-(c_TMAP1IN))*(((A945)-(c_TMAP1IN))*((c_TMAP2OUT)-(c_TMAP1OUT))+IF(((c_TMAP2OUT)-(c_TMAP1OUT))&gt;=0,1,-1)*QUOTIENT(((c_TMAP2IN)-(c_TMAP1IN)),2))+2147483648,4294967296)-2147483648,((c_TMAP2IN)-(c_TMAP1IN))*(((A945)-(c_TMAP1IN))*((c_TMAP2OUT)-(c_TMAP1OUT))+IF(((c_TMAP2OUT)-(c_TMAP1OUT))&gt;=0,1,-1)*QUOTIENT(((c_TMAP2IN)-(c_TMAP1IN)),2)))&lt;0,-1,0),IF(IF(o_WRAP=1,MOD(((c_TMAP2IN)-(c_TMAP1IN))*(((A945)-(c_TMAP1IN))*((c_TMAP2OUT)-(c_TMAP1OUT))+IF(((c_TMAP2OUT)-(c_TMAP1OUT))&gt;=0,1,-1)*QUOTIENT(((c_TMAP2IN)-(c_TMAP1IN)),2))+2147483648,4294967296)-2147483648,((c_TMAP2IN)-(c_TMAP1IN))*(((A945)-(c_TMAP1IN))*((c_TMAP2OUT)-(c_TMAP1OUT))+IF(((c_TMAP2OUT)-(c_TMAP1OUT))&gt;=0,1,-1)*QUOTIENT(((c_TMAP2IN)-(c_TMAP1IN)),2)))&gt;=0,1,0)))</f>
        <v>406</v>
      </c>
      <c r="F945" s="7" t="n">
        <f aca="false">IF(((c_TMAP3IN)-(c_TMAP2IN))=0,(c_TMAP2OUT)+QUOTIENT(((c_TMAP3OUT)-(c_TMAP2OUT)),2),QUOTIENT((((A945)-(c_TMAP2IN))*((c_TMAP3OUT)-(c_TMAP2OUT))+IF(((c_TMAP3OUT)-(c_TMAP2OUT))&gt;=0,1,-1)*QUOTIENT(((c_TMAP3IN)-(c_TMAP2IN)),2)),((c_TMAP3IN)-(c_TMAP2IN)))+(c_TMAP2OUT)+IF(((c_TMAP3OUT)-(c_TMAP2OUT))&gt;=0,IF(IF(o_WRAP=1,MOD(((c_TMAP3IN)-(c_TMAP2IN))*(((A945)-(c_TMAP2IN))*((c_TMAP3OUT)-(c_TMAP2OUT))+IF(((c_TMAP3OUT)-(c_TMAP2OUT))&gt;=0,1,-1)*QUOTIENT(((c_TMAP3IN)-(c_TMAP2IN)),2))+2147483648,4294967296)-2147483648,((c_TMAP3IN)-(c_TMAP2IN))*(((A945)-(c_TMAP2IN))*((c_TMAP3OUT)-(c_TMAP2OUT))+IF(((c_TMAP3OUT)-(c_TMAP2OUT))&gt;=0,1,-1)*QUOTIENT(((c_TMAP3IN)-(c_TMAP2IN)),2)))&lt;0,-1,0),IF(IF(o_WRAP=1,MOD(((c_TMAP3IN)-(c_TMAP2IN))*(((A945)-(c_TMAP2IN))*((c_TMAP3OUT)-(c_TMAP2OUT))+IF(((c_TMAP3OUT)-(c_TMAP2OUT))&gt;=0,1,-1)*QUOTIENT(((c_TMAP3IN)-(c_TMAP2IN)),2))+2147483648,4294967296)-2147483648,((c_TMAP3IN)-(c_TMAP2IN))*(((A945)-(c_TMAP2IN))*((c_TMAP3OUT)-(c_TMAP2OUT))+IF(((c_TMAP3OUT)-(c_TMAP2OUT))&gt;=0,1,-1)*QUOTIENT(((c_TMAP3IN)-(c_TMAP2IN)),2)))&gt;=0,1,0)))</f>
        <v>613</v>
      </c>
      <c r="G945" s="7" t="n">
        <f aca="false">IF(((1000)-(c_TMAP3IN))=0,(c_TMAP3OUT)+QUOTIENT(((1000)-(c_TMAP3OUT)),2),QUOTIENT((((A945)-(c_TMAP3IN))*((1000)-(c_TMAP3OUT))+IF(((1000)-(c_TMAP3OUT))&gt;=0,1,-1)*QUOTIENT(((1000)-(c_TMAP3IN)),2)),((1000)-(c_TMAP3IN)))+(c_TMAP3OUT)+IF(((1000)-(c_TMAP3OUT))&gt;=0,IF(IF(o_WRAP=1,MOD(((1000)-(c_TMAP3IN))*(((A945)-(c_TMAP3IN))*((1000)-(c_TMAP3OUT))+IF(((1000)-(c_TMAP3OUT))&gt;=0,1,-1)*QUOTIENT(((1000)-(c_TMAP3IN)),2))+2147483648,4294967296)-2147483648,((1000)-(c_TMAP3IN))*(((A945)-(c_TMAP3IN))*((1000)-(c_TMAP3OUT))+IF(((1000)-(c_TMAP3OUT))&gt;=0,1,-1)*QUOTIENT(((1000)-(c_TMAP3IN)),2)))&lt;0,-1,0),IF(IF(o_WRAP=1,MOD(((1000)-(c_TMAP3IN))*(((A945)-(c_TMAP3IN))*((1000)-(c_TMAP3OUT))+IF(((1000)-(c_TMAP3OUT))&gt;=0,1,-1)*QUOTIENT(((1000)-(c_TMAP3IN)),2))+2147483648,4294967296)-2147483648,((1000)-(c_TMAP3IN))*(((A945)-(c_TMAP3IN))*((1000)-(c_TMAP3OUT))+IF(((1000)-(c_TMAP3OUT))&gt;=0,1,-1)*QUOTIENT(((1000)-(c_TMAP3IN)),2)))&gt;=0,1,0)))</f>
        <v>926</v>
      </c>
      <c r="H945" s="7" t="str">
        <f aca="false">IF(A945&gt;=c_TFWD,IF(AND(A945&gt;=c_TMAP3IN,c_TMAP3IN&lt;1000),"Seg4 map3-100%",IF(AND(A945&gt;=c_TMAP2IN,c_TMAP3IN&gt;c_TMAP2IN),"Seg3 map2-map3",IF(AND(A945&gt;=c_TMAP1IN,c_TMAP2IN&gt;c_TMAP1IN),"Seg2 map1-map2","Seg1 TFWD-map1"))),IF(AND(A945=0,c_TCREEP&gt;0),"Creep",IF(AND(A945&lt;=c_TRNGMIN,A945&gt;=c_TRNGMAX,c_TRNGMIN-c_TRNGMAX&lt;&gt;0),"Regen ramp","Coast (0)")))</f>
        <v>Seg4 map3-100%</v>
      </c>
      <c r="I945" s="7" t="n">
        <f aca="false">IF(A945&gt;=c_TFWD,IF(AND(A945&gt;=c_TMAP3IN,c_TMAP3IN&lt;1000),G945,IF(AND(A945&gt;=c_TMAP2IN,c_TMAP3IN&gt;c_TMAP2IN),F945,IF(AND(A945&gt;=c_TMAP1IN,c_TMAP2IN&gt;c_TMAP1IN),E945,D945))),C945)</f>
        <v>926</v>
      </c>
      <c r="J945" s="7" t="str">
        <f aca="false">IF(I945&lt;-1090,"TOO LOW",IF(I945&gt;1090,"TOO HIGH",""))</f>
        <v/>
      </c>
      <c r="K945" s="15" t="n">
        <f aca="false">IF(J945&lt;&gt;"",0,IF(I945&gt;979,1000,I945))</f>
        <v>926</v>
      </c>
      <c r="L945" s="7" t="n">
        <f aca="false">K945/10</f>
        <v>92.6</v>
      </c>
    </row>
    <row r="946" customFormat="false" ht="15" hidden="false" customHeight="false" outlineLevel="0" collapsed="false">
      <c r="A946" s="7" t="n">
        <v>941</v>
      </c>
      <c r="B946" s="7" t="n">
        <f aca="false">A946/10</f>
        <v>94.1</v>
      </c>
      <c r="C946" s="7" t="n">
        <f aca="false">IF(AND(A946=0,c_TCREEP&gt;0),10*c_TCREEP,IF(AND(A946&lt;=c_TRNGMIN,A946&gt;=c_TRNGMAX,c_TRNGMIN-c_TRNGMAX&lt;&gt;0),-10*c_TMINRN+QUOTIENT((c_TMAXRN-c_TMINRN)*(100-QUOTIENT((A946-c_TRNGMAX)*100,c_TRNGMIN-c_TRNGMAX)),-10),0))</f>
        <v>0</v>
      </c>
      <c r="D946" s="7" t="n">
        <f aca="false">IF(((c_TMAP1IN)-(c_TFWD))=0,(0)+QUOTIENT(((c_TMAP1OUT)-(0)),2),QUOTIENT((((A946)-(c_TFWD))*((c_TMAP1OUT)-(0))+IF(((c_TMAP1OUT)-(0))&gt;=0,1,-1)*QUOTIENT(((c_TMAP1IN)-(c_TFWD)),2)),((c_TMAP1IN)-(c_TFWD)))+(0)+IF(((c_TMAP1OUT)-(0))&gt;=0,IF(IF(o_WRAP=1,MOD(((c_TMAP1IN)-(c_TFWD))*(((A946)-(c_TFWD))*((c_TMAP1OUT)-(0))+IF(((c_TMAP1OUT)-(0))&gt;=0,1,-1)*QUOTIENT(((c_TMAP1IN)-(c_TFWD)),2))+2147483648,4294967296)-2147483648,((c_TMAP1IN)-(c_TFWD))*(((A946)-(c_TFWD))*((c_TMAP1OUT)-(0))+IF(((c_TMAP1OUT)-(0))&gt;=0,1,-1)*QUOTIENT(((c_TMAP1IN)-(c_TFWD)),2)))&lt;0,-1,0),IF(IF(o_WRAP=1,MOD(((c_TMAP1IN)-(c_TFWD))*(((A946)-(c_TFWD))*((c_TMAP1OUT)-(0))+IF(((c_TMAP1OUT)-(0))&gt;=0,1,-1)*QUOTIENT(((c_TMAP1IN)-(c_TFWD)),2))+2147483648,4294967296)-2147483648,((c_TMAP1IN)-(c_TFWD))*(((A946)-(c_TFWD))*((c_TMAP1OUT)-(0))+IF(((c_TMAP1OUT)-(0))&gt;=0,1,-1)*QUOTIENT(((c_TMAP1IN)-(c_TFWD)),2)))&gt;=0,1,0)))</f>
        <v>724</v>
      </c>
      <c r="E946" s="7" t="n">
        <f aca="false">IF(((c_TMAP2IN)-(c_TMAP1IN))=0,(c_TMAP1OUT)+QUOTIENT(((c_TMAP2OUT)-(c_TMAP1OUT)),2),QUOTIENT((((A946)-(c_TMAP1IN))*((c_TMAP2OUT)-(c_TMAP1OUT))+IF(((c_TMAP2OUT)-(c_TMAP1OUT))&gt;=0,1,-1)*QUOTIENT(((c_TMAP2IN)-(c_TMAP1IN)),2)),((c_TMAP2IN)-(c_TMAP1IN)))+(c_TMAP1OUT)+IF(((c_TMAP2OUT)-(c_TMAP1OUT))&gt;=0,IF(IF(o_WRAP=1,MOD(((c_TMAP2IN)-(c_TMAP1IN))*(((A946)-(c_TMAP1IN))*((c_TMAP2OUT)-(c_TMAP1OUT))+IF(((c_TMAP2OUT)-(c_TMAP1OUT))&gt;=0,1,-1)*QUOTIENT(((c_TMAP2IN)-(c_TMAP1IN)),2))+2147483648,4294967296)-2147483648,((c_TMAP2IN)-(c_TMAP1IN))*(((A946)-(c_TMAP1IN))*((c_TMAP2OUT)-(c_TMAP1OUT))+IF(((c_TMAP2OUT)-(c_TMAP1OUT))&gt;=0,1,-1)*QUOTIENT(((c_TMAP2IN)-(c_TMAP1IN)),2)))&lt;0,-1,0),IF(IF(o_WRAP=1,MOD(((c_TMAP2IN)-(c_TMAP1IN))*(((A946)-(c_TMAP1IN))*((c_TMAP2OUT)-(c_TMAP1OUT))+IF(((c_TMAP2OUT)-(c_TMAP1OUT))&gt;=0,1,-1)*QUOTIENT(((c_TMAP2IN)-(c_TMAP1IN)),2))+2147483648,4294967296)-2147483648,((c_TMAP2IN)-(c_TMAP1IN))*(((A946)-(c_TMAP1IN))*((c_TMAP2OUT)-(c_TMAP1OUT))+IF(((c_TMAP2OUT)-(c_TMAP1OUT))&gt;=0,1,-1)*QUOTIENT(((c_TMAP2IN)-(c_TMAP1IN)),2)))&gt;=0,1,0)))</f>
        <v>406</v>
      </c>
      <c r="F946" s="7" t="n">
        <f aca="false">IF(((c_TMAP3IN)-(c_TMAP2IN))=0,(c_TMAP2OUT)+QUOTIENT(((c_TMAP3OUT)-(c_TMAP2OUT)),2),QUOTIENT((((A946)-(c_TMAP2IN))*((c_TMAP3OUT)-(c_TMAP2OUT))+IF(((c_TMAP3OUT)-(c_TMAP2OUT))&gt;=0,1,-1)*QUOTIENT(((c_TMAP3IN)-(c_TMAP2IN)),2)),((c_TMAP3IN)-(c_TMAP2IN)))+(c_TMAP2OUT)+IF(((c_TMAP3OUT)-(c_TMAP2OUT))&gt;=0,IF(IF(o_WRAP=1,MOD(((c_TMAP3IN)-(c_TMAP2IN))*(((A946)-(c_TMAP2IN))*((c_TMAP3OUT)-(c_TMAP2OUT))+IF(((c_TMAP3OUT)-(c_TMAP2OUT))&gt;=0,1,-1)*QUOTIENT(((c_TMAP3IN)-(c_TMAP2IN)),2))+2147483648,4294967296)-2147483648,((c_TMAP3IN)-(c_TMAP2IN))*(((A946)-(c_TMAP2IN))*((c_TMAP3OUT)-(c_TMAP2OUT))+IF(((c_TMAP3OUT)-(c_TMAP2OUT))&gt;=0,1,-1)*QUOTIENT(((c_TMAP3IN)-(c_TMAP2IN)),2)))&lt;0,-1,0),IF(IF(o_WRAP=1,MOD(((c_TMAP3IN)-(c_TMAP2IN))*(((A946)-(c_TMAP2IN))*((c_TMAP3OUT)-(c_TMAP2OUT))+IF(((c_TMAP3OUT)-(c_TMAP2OUT))&gt;=0,1,-1)*QUOTIENT(((c_TMAP3IN)-(c_TMAP2IN)),2))+2147483648,4294967296)-2147483648,((c_TMAP3IN)-(c_TMAP2IN))*(((A946)-(c_TMAP2IN))*((c_TMAP3OUT)-(c_TMAP2OUT))+IF(((c_TMAP3OUT)-(c_TMAP2OUT))&gt;=0,1,-1)*QUOTIENT(((c_TMAP3IN)-(c_TMAP2IN)),2)))&gt;=0,1,0)))</f>
        <v>614</v>
      </c>
      <c r="G946" s="7" t="n">
        <f aca="false">IF(((1000)-(c_TMAP3IN))=0,(c_TMAP3OUT)+QUOTIENT(((1000)-(c_TMAP3OUT)),2),QUOTIENT((((A946)-(c_TMAP3IN))*((1000)-(c_TMAP3OUT))+IF(((1000)-(c_TMAP3OUT))&gt;=0,1,-1)*QUOTIENT(((1000)-(c_TMAP3IN)),2)),((1000)-(c_TMAP3IN)))+(c_TMAP3OUT)+IF(((1000)-(c_TMAP3OUT))&gt;=0,IF(IF(o_WRAP=1,MOD(((1000)-(c_TMAP3IN))*(((A946)-(c_TMAP3IN))*((1000)-(c_TMAP3OUT))+IF(((1000)-(c_TMAP3OUT))&gt;=0,1,-1)*QUOTIENT(((1000)-(c_TMAP3IN)),2))+2147483648,4294967296)-2147483648,((1000)-(c_TMAP3IN))*(((A946)-(c_TMAP3IN))*((1000)-(c_TMAP3OUT))+IF(((1000)-(c_TMAP3OUT))&gt;=0,1,-1)*QUOTIENT(((1000)-(c_TMAP3IN)),2)))&lt;0,-1,0),IF(IF(o_WRAP=1,MOD(((1000)-(c_TMAP3IN))*(((A946)-(c_TMAP3IN))*((1000)-(c_TMAP3OUT))+IF(((1000)-(c_TMAP3OUT))&gt;=0,1,-1)*QUOTIENT(((1000)-(c_TMAP3IN)),2))+2147483648,4294967296)-2147483648,((1000)-(c_TMAP3IN))*(((A946)-(c_TMAP3IN))*((1000)-(c_TMAP3OUT))+IF(((1000)-(c_TMAP3OUT))&gt;=0,1,-1)*QUOTIENT(((1000)-(c_TMAP3IN)),2)))&gt;=0,1,0)))</f>
        <v>927</v>
      </c>
      <c r="H946" s="7" t="str">
        <f aca="false">IF(A946&gt;=c_TFWD,IF(AND(A946&gt;=c_TMAP3IN,c_TMAP3IN&lt;1000),"Seg4 map3-100%",IF(AND(A946&gt;=c_TMAP2IN,c_TMAP3IN&gt;c_TMAP2IN),"Seg3 map2-map3",IF(AND(A946&gt;=c_TMAP1IN,c_TMAP2IN&gt;c_TMAP1IN),"Seg2 map1-map2","Seg1 TFWD-map1"))),IF(AND(A946=0,c_TCREEP&gt;0),"Creep",IF(AND(A946&lt;=c_TRNGMIN,A946&gt;=c_TRNGMAX,c_TRNGMIN-c_TRNGMAX&lt;&gt;0),"Regen ramp","Coast (0)")))</f>
        <v>Seg4 map3-100%</v>
      </c>
      <c r="I946" s="7" t="n">
        <f aca="false">IF(A946&gt;=c_TFWD,IF(AND(A946&gt;=c_TMAP3IN,c_TMAP3IN&lt;1000),G946,IF(AND(A946&gt;=c_TMAP2IN,c_TMAP3IN&gt;c_TMAP2IN),F946,IF(AND(A946&gt;=c_TMAP1IN,c_TMAP2IN&gt;c_TMAP1IN),E946,D946))),C946)</f>
        <v>927</v>
      </c>
      <c r="J946" s="7" t="str">
        <f aca="false">IF(I946&lt;-1090,"TOO LOW",IF(I946&gt;1090,"TOO HIGH",""))</f>
        <v/>
      </c>
      <c r="K946" s="15" t="n">
        <f aca="false">IF(J946&lt;&gt;"",0,IF(I946&gt;979,1000,I946))</f>
        <v>927</v>
      </c>
      <c r="L946" s="7" t="n">
        <f aca="false">K946/10</f>
        <v>92.7</v>
      </c>
    </row>
    <row r="947" customFormat="false" ht="15" hidden="false" customHeight="false" outlineLevel="0" collapsed="false">
      <c r="A947" s="7" t="n">
        <v>942</v>
      </c>
      <c r="B947" s="7" t="n">
        <f aca="false">A947/10</f>
        <v>94.2</v>
      </c>
      <c r="C947" s="7" t="n">
        <f aca="false">IF(AND(A947=0,c_TCREEP&gt;0),10*c_TCREEP,IF(AND(A947&lt;=c_TRNGMIN,A947&gt;=c_TRNGMAX,c_TRNGMIN-c_TRNGMAX&lt;&gt;0),-10*c_TMINRN+QUOTIENT((c_TMAXRN-c_TMINRN)*(100-QUOTIENT((A947-c_TRNGMAX)*100,c_TRNGMIN-c_TRNGMAX)),-10),0))</f>
        <v>0</v>
      </c>
      <c r="D947" s="7" t="n">
        <f aca="false">IF(((c_TMAP1IN)-(c_TFWD))=0,(0)+QUOTIENT(((c_TMAP1OUT)-(0)),2),QUOTIENT((((A947)-(c_TFWD))*((c_TMAP1OUT)-(0))+IF(((c_TMAP1OUT)-(0))&gt;=0,1,-1)*QUOTIENT(((c_TMAP1IN)-(c_TFWD)),2)),((c_TMAP1IN)-(c_TFWD)))+(0)+IF(((c_TMAP1OUT)-(0))&gt;=0,IF(IF(o_WRAP=1,MOD(((c_TMAP1IN)-(c_TFWD))*(((A947)-(c_TFWD))*((c_TMAP1OUT)-(0))+IF(((c_TMAP1OUT)-(0))&gt;=0,1,-1)*QUOTIENT(((c_TMAP1IN)-(c_TFWD)),2))+2147483648,4294967296)-2147483648,((c_TMAP1IN)-(c_TFWD))*(((A947)-(c_TFWD))*((c_TMAP1OUT)-(0))+IF(((c_TMAP1OUT)-(0))&gt;=0,1,-1)*QUOTIENT(((c_TMAP1IN)-(c_TFWD)),2)))&lt;0,-1,0),IF(IF(o_WRAP=1,MOD(((c_TMAP1IN)-(c_TFWD))*(((A947)-(c_TFWD))*((c_TMAP1OUT)-(0))+IF(((c_TMAP1OUT)-(0))&gt;=0,1,-1)*QUOTIENT(((c_TMAP1IN)-(c_TFWD)),2))+2147483648,4294967296)-2147483648,((c_TMAP1IN)-(c_TFWD))*(((A947)-(c_TFWD))*((c_TMAP1OUT)-(0))+IF(((c_TMAP1OUT)-(0))&gt;=0,1,-1)*QUOTIENT(((c_TMAP1IN)-(c_TFWD)),2)))&gt;=0,1,0)))</f>
        <v>725</v>
      </c>
      <c r="E947" s="7" t="n">
        <f aca="false">IF(((c_TMAP2IN)-(c_TMAP1IN))=0,(c_TMAP1OUT)+QUOTIENT(((c_TMAP2OUT)-(c_TMAP1OUT)),2),QUOTIENT((((A947)-(c_TMAP1IN))*((c_TMAP2OUT)-(c_TMAP1OUT))+IF(((c_TMAP2OUT)-(c_TMAP1OUT))&gt;=0,1,-1)*QUOTIENT(((c_TMAP2IN)-(c_TMAP1IN)),2)),((c_TMAP2IN)-(c_TMAP1IN)))+(c_TMAP1OUT)+IF(((c_TMAP2OUT)-(c_TMAP1OUT))&gt;=0,IF(IF(o_WRAP=1,MOD(((c_TMAP2IN)-(c_TMAP1IN))*(((A947)-(c_TMAP1IN))*((c_TMAP2OUT)-(c_TMAP1OUT))+IF(((c_TMAP2OUT)-(c_TMAP1OUT))&gt;=0,1,-1)*QUOTIENT(((c_TMAP2IN)-(c_TMAP1IN)),2))+2147483648,4294967296)-2147483648,((c_TMAP2IN)-(c_TMAP1IN))*(((A947)-(c_TMAP1IN))*((c_TMAP2OUT)-(c_TMAP1OUT))+IF(((c_TMAP2OUT)-(c_TMAP1OUT))&gt;=0,1,-1)*QUOTIENT(((c_TMAP2IN)-(c_TMAP1IN)),2)))&lt;0,-1,0),IF(IF(o_WRAP=1,MOD(((c_TMAP2IN)-(c_TMAP1IN))*(((A947)-(c_TMAP1IN))*((c_TMAP2OUT)-(c_TMAP1OUT))+IF(((c_TMAP2OUT)-(c_TMAP1OUT))&gt;=0,1,-1)*QUOTIENT(((c_TMAP2IN)-(c_TMAP1IN)),2))+2147483648,4294967296)-2147483648,((c_TMAP2IN)-(c_TMAP1IN))*(((A947)-(c_TMAP1IN))*((c_TMAP2OUT)-(c_TMAP1OUT))+IF(((c_TMAP2OUT)-(c_TMAP1OUT))&gt;=0,1,-1)*QUOTIENT(((c_TMAP2IN)-(c_TMAP1IN)),2)))&gt;=0,1,0)))</f>
        <v>407</v>
      </c>
      <c r="F947" s="7" t="n">
        <f aca="false">IF(((c_TMAP3IN)-(c_TMAP2IN))=0,(c_TMAP2OUT)+QUOTIENT(((c_TMAP3OUT)-(c_TMAP2OUT)),2),QUOTIENT((((A947)-(c_TMAP2IN))*((c_TMAP3OUT)-(c_TMAP2OUT))+IF(((c_TMAP3OUT)-(c_TMAP2OUT))&gt;=0,1,-1)*QUOTIENT(((c_TMAP3IN)-(c_TMAP2IN)),2)),((c_TMAP3IN)-(c_TMAP2IN)))+(c_TMAP2OUT)+IF(((c_TMAP3OUT)-(c_TMAP2OUT))&gt;=0,IF(IF(o_WRAP=1,MOD(((c_TMAP3IN)-(c_TMAP2IN))*(((A947)-(c_TMAP2IN))*((c_TMAP3OUT)-(c_TMAP2OUT))+IF(((c_TMAP3OUT)-(c_TMAP2OUT))&gt;=0,1,-1)*QUOTIENT(((c_TMAP3IN)-(c_TMAP2IN)),2))+2147483648,4294967296)-2147483648,((c_TMAP3IN)-(c_TMAP2IN))*(((A947)-(c_TMAP2IN))*((c_TMAP3OUT)-(c_TMAP2OUT))+IF(((c_TMAP3OUT)-(c_TMAP2OUT))&gt;=0,1,-1)*QUOTIENT(((c_TMAP3IN)-(c_TMAP2IN)),2)))&lt;0,-1,0),IF(IF(o_WRAP=1,MOD(((c_TMAP3IN)-(c_TMAP2IN))*(((A947)-(c_TMAP2IN))*((c_TMAP3OUT)-(c_TMAP2OUT))+IF(((c_TMAP3OUT)-(c_TMAP2OUT))&gt;=0,1,-1)*QUOTIENT(((c_TMAP3IN)-(c_TMAP2IN)),2))+2147483648,4294967296)-2147483648,((c_TMAP3IN)-(c_TMAP2IN))*(((A947)-(c_TMAP2IN))*((c_TMAP3OUT)-(c_TMAP2OUT))+IF(((c_TMAP3OUT)-(c_TMAP2OUT))&gt;=0,1,-1)*QUOTIENT(((c_TMAP3IN)-(c_TMAP2IN)),2)))&gt;=0,1,0)))</f>
        <v>614</v>
      </c>
      <c r="G947" s="7" t="n">
        <f aca="false">IF(((1000)-(c_TMAP3IN))=0,(c_TMAP3OUT)+QUOTIENT(((1000)-(c_TMAP3OUT)),2),QUOTIENT((((A947)-(c_TMAP3IN))*((1000)-(c_TMAP3OUT))+IF(((1000)-(c_TMAP3OUT))&gt;=0,1,-1)*QUOTIENT(((1000)-(c_TMAP3IN)),2)),((1000)-(c_TMAP3IN)))+(c_TMAP3OUT)+IF(((1000)-(c_TMAP3OUT))&gt;=0,IF(IF(o_WRAP=1,MOD(((1000)-(c_TMAP3IN))*(((A947)-(c_TMAP3IN))*((1000)-(c_TMAP3OUT))+IF(((1000)-(c_TMAP3OUT))&gt;=0,1,-1)*QUOTIENT(((1000)-(c_TMAP3IN)),2))+2147483648,4294967296)-2147483648,((1000)-(c_TMAP3IN))*(((A947)-(c_TMAP3IN))*((1000)-(c_TMAP3OUT))+IF(((1000)-(c_TMAP3OUT))&gt;=0,1,-1)*QUOTIENT(((1000)-(c_TMAP3IN)),2)))&lt;0,-1,0),IF(IF(o_WRAP=1,MOD(((1000)-(c_TMAP3IN))*(((A947)-(c_TMAP3IN))*((1000)-(c_TMAP3OUT))+IF(((1000)-(c_TMAP3OUT))&gt;=0,1,-1)*QUOTIENT(((1000)-(c_TMAP3IN)),2))+2147483648,4294967296)-2147483648,((1000)-(c_TMAP3IN))*(((A947)-(c_TMAP3IN))*((1000)-(c_TMAP3OUT))+IF(((1000)-(c_TMAP3OUT))&gt;=0,1,-1)*QUOTIENT(((1000)-(c_TMAP3IN)),2)))&gt;=0,1,0)))</f>
        <v>929</v>
      </c>
      <c r="H947" s="7" t="str">
        <f aca="false">IF(A947&gt;=c_TFWD,IF(AND(A947&gt;=c_TMAP3IN,c_TMAP3IN&lt;1000),"Seg4 map3-100%",IF(AND(A947&gt;=c_TMAP2IN,c_TMAP3IN&gt;c_TMAP2IN),"Seg3 map2-map3",IF(AND(A947&gt;=c_TMAP1IN,c_TMAP2IN&gt;c_TMAP1IN),"Seg2 map1-map2","Seg1 TFWD-map1"))),IF(AND(A947=0,c_TCREEP&gt;0),"Creep",IF(AND(A947&lt;=c_TRNGMIN,A947&gt;=c_TRNGMAX,c_TRNGMIN-c_TRNGMAX&lt;&gt;0),"Regen ramp","Coast (0)")))</f>
        <v>Seg4 map3-100%</v>
      </c>
      <c r="I947" s="7" t="n">
        <f aca="false">IF(A947&gt;=c_TFWD,IF(AND(A947&gt;=c_TMAP3IN,c_TMAP3IN&lt;1000),G947,IF(AND(A947&gt;=c_TMAP2IN,c_TMAP3IN&gt;c_TMAP2IN),F947,IF(AND(A947&gt;=c_TMAP1IN,c_TMAP2IN&gt;c_TMAP1IN),E947,D947))),C947)</f>
        <v>929</v>
      </c>
      <c r="J947" s="7" t="str">
        <f aca="false">IF(I947&lt;-1090,"TOO LOW",IF(I947&gt;1090,"TOO HIGH",""))</f>
        <v/>
      </c>
      <c r="K947" s="15" t="n">
        <f aca="false">IF(J947&lt;&gt;"",0,IF(I947&gt;979,1000,I947))</f>
        <v>929</v>
      </c>
      <c r="L947" s="7" t="n">
        <f aca="false">K947/10</f>
        <v>92.9</v>
      </c>
    </row>
    <row r="948" customFormat="false" ht="15" hidden="false" customHeight="false" outlineLevel="0" collapsed="false">
      <c r="A948" s="7" t="n">
        <v>943</v>
      </c>
      <c r="B948" s="7" t="n">
        <f aca="false">A948/10</f>
        <v>94.3</v>
      </c>
      <c r="C948" s="7" t="n">
        <f aca="false">IF(AND(A948=0,c_TCREEP&gt;0),10*c_TCREEP,IF(AND(A948&lt;=c_TRNGMIN,A948&gt;=c_TRNGMAX,c_TRNGMIN-c_TRNGMAX&lt;&gt;0),-10*c_TMINRN+QUOTIENT((c_TMAXRN-c_TMINRN)*(100-QUOTIENT((A948-c_TRNGMAX)*100,c_TRNGMIN-c_TRNGMAX)),-10),0))</f>
        <v>0</v>
      </c>
      <c r="D948" s="7" t="n">
        <f aca="false">IF(((c_TMAP1IN)-(c_TFWD))=0,(0)+QUOTIENT(((c_TMAP1OUT)-(0)),2),QUOTIENT((((A948)-(c_TFWD))*((c_TMAP1OUT)-(0))+IF(((c_TMAP1OUT)-(0))&gt;=0,1,-1)*QUOTIENT(((c_TMAP1IN)-(c_TFWD)),2)),((c_TMAP1IN)-(c_TFWD)))+(0)+IF(((c_TMAP1OUT)-(0))&gt;=0,IF(IF(o_WRAP=1,MOD(((c_TMAP1IN)-(c_TFWD))*(((A948)-(c_TFWD))*((c_TMAP1OUT)-(0))+IF(((c_TMAP1OUT)-(0))&gt;=0,1,-1)*QUOTIENT(((c_TMAP1IN)-(c_TFWD)),2))+2147483648,4294967296)-2147483648,((c_TMAP1IN)-(c_TFWD))*(((A948)-(c_TFWD))*((c_TMAP1OUT)-(0))+IF(((c_TMAP1OUT)-(0))&gt;=0,1,-1)*QUOTIENT(((c_TMAP1IN)-(c_TFWD)),2)))&lt;0,-1,0),IF(IF(o_WRAP=1,MOD(((c_TMAP1IN)-(c_TFWD))*(((A948)-(c_TFWD))*((c_TMAP1OUT)-(0))+IF(((c_TMAP1OUT)-(0))&gt;=0,1,-1)*QUOTIENT(((c_TMAP1IN)-(c_TFWD)),2))+2147483648,4294967296)-2147483648,((c_TMAP1IN)-(c_TFWD))*(((A948)-(c_TFWD))*((c_TMAP1OUT)-(0))+IF(((c_TMAP1OUT)-(0))&gt;=0,1,-1)*QUOTIENT(((c_TMAP1IN)-(c_TFWD)),2)))&gt;=0,1,0)))</f>
        <v>726</v>
      </c>
      <c r="E948" s="7" t="n">
        <f aca="false">IF(((c_TMAP2IN)-(c_TMAP1IN))=0,(c_TMAP1OUT)+QUOTIENT(((c_TMAP2OUT)-(c_TMAP1OUT)),2),QUOTIENT((((A948)-(c_TMAP1IN))*((c_TMAP2OUT)-(c_TMAP1OUT))+IF(((c_TMAP2OUT)-(c_TMAP1OUT))&gt;=0,1,-1)*QUOTIENT(((c_TMAP2IN)-(c_TMAP1IN)),2)),((c_TMAP2IN)-(c_TMAP1IN)))+(c_TMAP1OUT)+IF(((c_TMAP2OUT)-(c_TMAP1OUT))&gt;=0,IF(IF(o_WRAP=1,MOD(((c_TMAP2IN)-(c_TMAP1IN))*(((A948)-(c_TMAP1IN))*((c_TMAP2OUT)-(c_TMAP1OUT))+IF(((c_TMAP2OUT)-(c_TMAP1OUT))&gt;=0,1,-1)*QUOTIENT(((c_TMAP2IN)-(c_TMAP1IN)),2))+2147483648,4294967296)-2147483648,((c_TMAP2IN)-(c_TMAP1IN))*(((A948)-(c_TMAP1IN))*((c_TMAP2OUT)-(c_TMAP1OUT))+IF(((c_TMAP2OUT)-(c_TMAP1OUT))&gt;=0,1,-1)*QUOTIENT(((c_TMAP2IN)-(c_TMAP1IN)),2)))&lt;0,-1,0),IF(IF(o_WRAP=1,MOD(((c_TMAP2IN)-(c_TMAP1IN))*(((A948)-(c_TMAP1IN))*((c_TMAP2OUT)-(c_TMAP1OUT))+IF(((c_TMAP2OUT)-(c_TMAP1OUT))&gt;=0,1,-1)*QUOTIENT(((c_TMAP2IN)-(c_TMAP1IN)),2))+2147483648,4294967296)-2147483648,((c_TMAP2IN)-(c_TMAP1IN))*(((A948)-(c_TMAP1IN))*((c_TMAP2OUT)-(c_TMAP1OUT))+IF(((c_TMAP2OUT)-(c_TMAP1OUT))&gt;=0,1,-1)*QUOTIENT(((c_TMAP2IN)-(c_TMAP1IN)),2)))&gt;=0,1,0)))</f>
        <v>407</v>
      </c>
      <c r="F948" s="7" t="n">
        <f aca="false">IF(((c_TMAP3IN)-(c_TMAP2IN))=0,(c_TMAP2OUT)+QUOTIENT(((c_TMAP3OUT)-(c_TMAP2OUT)),2),QUOTIENT((((A948)-(c_TMAP2IN))*((c_TMAP3OUT)-(c_TMAP2OUT))+IF(((c_TMAP3OUT)-(c_TMAP2OUT))&gt;=0,1,-1)*QUOTIENT(((c_TMAP3IN)-(c_TMAP2IN)),2)),((c_TMAP3IN)-(c_TMAP2IN)))+(c_TMAP2OUT)+IF(((c_TMAP3OUT)-(c_TMAP2OUT))&gt;=0,IF(IF(o_WRAP=1,MOD(((c_TMAP3IN)-(c_TMAP2IN))*(((A948)-(c_TMAP2IN))*((c_TMAP3OUT)-(c_TMAP2OUT))+IF(((c_TMAP3OUT)-(c_TMAP2OUT))&gt;=0,1,-1)*QUOTIENT(((c_TMAP3IN)-(c_TMAP2IN)),2))+2147483648,4294967296)-2147483648,((c_TMAP3IN)-(c_TMAP2IN))*(((A948)-(c_TMAP2IN))*((c_TMAP3OUT)-(c_TMAP2OUT))+IF(((c_TMAP3OUT)-(c_TMAP2OUT))&gt;=0,1,-1)*QUOTIENT(((c_TMAP3IN)-(c_TMAP2IN)),2)))&lt;0,-1,0),IF(IF(o_WRAP=1,MOD(((c_TMAP3IN)-(c_TMAP2IN))*(((A948)-(c_TMAP2IN))*((c_TMAP3OUT)-(c_TMAP2OUT))+IF(((c_TMAP3OUT)-(c_TMAP2OUT))&gt;=0,1,-1)*QUOTIENT(((c_TMAP3IN)-(c_TMAP2IN)),2))+2147483648,4294967296)-2147483648,((c_TMAP3IN)-(c_TMAP2IN))*(((A948)-(c_TMAP2IN))*((c_TMAP3OUT)-(c_TMAP2OUT))+IF(((c_TMAP3OUT)-(c_TMAP2OUT))&gt;=0,1,-1)*QUOTIENT(((c_TMAP3IN)-(c_TMAP2IN)),2)))&gt;=0,1,0)))</f>
        <v>615</v>
      </c>
      <c r="G948" s="7" t="n">
        <f aca="false">IF(((1000)-(c_TMAP3IN))=0,(c_TMAP3OUT)+QUOTIENT(((1000)-(c_TMAP3OUT)),2),QUOTIENT((((A948)-(c_TMAP3IN))*((1000)-(c_TMAP3OUT))+IF(((1000)-(c_TMAP3OUT))&gt;=0,1,-1)*QUOTIENT(((1000)-(c_TMAP3IN)),2)),((1000)-(c_TMAP3IN)))+(c_TMAP3OUT)+IF(((1000)-(c_TMAP3OUT))&gt;=0,IF(IF(o_WRAP=1,MOD(((1000)-(c_TMAP3IN))*(((A948)-(c_TMAP3IN))*((1000)-(c_TMAP3OUT))+IF(((1000)-(c_TMAP3OUT))&gt;=0,1,-1)*QUOTIENT(((1000)-(c_TMAP3IN)),2))+2147483648,4294967296)-2147483648,((1000)-(c_TMAP3IN))*(((A948)-(c_TMAP3IN))*((1000)-(c_TMAP3OUT))+IF(((1000)-(c_TMAP3OUT))&gt;=0,1,-1)*QUOTIENT(((1000)-(c_TMAP3IN)),2)))&lt;0,-1,0),IF(IF(o_WRAP=1,MOD(((1000)-(c_TMAP3IN))*(((A948)-(c_TMAP3IN))*((1000)-(c_TMAP3OUT))+IF(((1000)-(c_TMAP3OUT))&gt;=0,1,-1)*QUOTIENT(((1000)-(c_TMAP3IN)),2))+2147483648,4294967296)-2147483648,((1000)-(c_TMAP3IN))*(((A948)-(c_TMAP3IN))*((1000)-(c_TMAP3OUT))+IF(((1000)-(c_TMAP3OUT))&gt;=0,1,-1)*QUOTIENT(((1000)-(c_TMAP3IN)),2)))&gt;=0,1,0)))</f>
        <v>930</v>
      </c>
      <c r="H948" s="7" t="str">
        <f aca="false">IF(A948&gt;=c_TFWD,IF(AND(A948&gt;=c_TMAP3IN,c_TMAP3IN&lt;1000),"Seg4 map3-100%",IF(AND(A948&gt;=c_TMAP2IN,c_TMAP3IN&gt;c_TMAP2IN),"Seg3 map2-map3",IF(AND(A948&gt;=c_TMAP1IN,c_TMAP2IN&gt;c_TMAP1IN),"Seg2 map1-map2","Seg1 TFWD-map1"))),IF(AND(A948=0,c_TCREEP&gt;0),"Creep",IF(AND(A948&lt;=c_TRNGMIN,A948&gt;=c_TRNGMAX,c_TRNGMIN-c_TRNGMAX&lt;&gt;0),"Regen ramp","Coast (0)")))</f>
        <v>Seg4 map3-100%</v>
      </c>
      <c r="I948" s="7" t="n">
        <f aca="false">IF(A948&gt;=c_TFWD,IF(AND(A948&gt;=c_TMAP3IN,c_TMAP3IN&lt;1000),G948,IF(AND(A948&gt;=c_TMAP2IN,c_TMAP3IN&gt;c_TMAP2IN),F948,IF(AND(A948&gt;=c_TMAP1IN,c_TMAP2IN&gt;c_TMAP1IN),E948,D948))),C948)</f>
        <v>930</v>
      </c>
      <c r="J948" s="7" t="str">
        <f aca="false">IF(I948&lt;-1090,"TOO LOW",IF(I948&gt;1090,"TOO HIGH",""))</f>
        <v/>
      </c>
      <c r="K948" s="15" t="n">
        <f aca="false">IF(J948&lt;&gt;"",0,IF(I948&gt;979,1000,I948))</f>
        <v>930</v>
      </c>
      <c r="L948" s="7" t="n">
        <f aca="false">K948/10</f>
        <v>93</v>
      </c>
    </row>
    <row r="949" customFormat="false" ht="15" hidden="false" customHeight="false" outlineLevel="0" collapsed="false">
      <c r="A949" s="7" t="n">
        <v>944</v>
      </c>
      <c r="B949" s="7" t="n">
        <f aca="false">A949/10</f>
        <v>94.4</v>
      </c>
      <c r="C949" s="7" t="n">
        <f aca="false">IF(AND(A949=0,c_TCREEP&gt;0),10*c_TCREEP,IF(AND(A949&lt;=c_TRNGMIN,A949&gt;=c_TRNGMAX,c_TRNGMIN-c_TRNGMAX&lt;&gt;0),-10*c_TMINRN+QUOTIENT((c_TMAXRN-c_TMINRN)*(100-QUOTIENT((A949-c_TRNGMAX)*100,c_TRNGMIN-c_TRNGMAX)),-10),0))</f>
        <v>0</v>
      </c>
      <c r="D949" s="7" t="n">
        <f aca="false">IF(((c_TMAP1IN)-(c_TFWD))=0,(0)+QUOTIENT(((c_TMAP1OUT)-(0)),2),QUOTIENT((((A949)-(c_TFWD))*((c_TMAP1OUT)-(0))+IF(((c_TMAP1OUT)-(0))&gt;=0,1,-1)*QUOTIENT(((c_TMAP1IN)-(c_TFWD)),2)),((c_TMAP1IN)-(c_TFWD)))+(0)+IF(((c_TMAP1OUT)-(0))&gt;=0,IF(IF(o_WRAP=1,MOD(((c_TMAP1IN)-(c_TFWD))*(((A949)-(c_TFWD))*((c_TMAP1OUT)-(0))+IF(((c_TMAP1OUT)-(0))&gt;=0,1,-1)*QUOTIENT(((c_TMAP1IN)-(c_TFWD)),2))+2147483648,4294967296)-2147483648,((c_TMAP1IN)-(c_TFWD))*(((A949)-(c_TFWD))*((c_TMAP1OUT)-(0))+IF(((c_TMAP1OUT)-(0))&gt;=0,1,-1)*QUOTIENT(((c_TMAP1IN)-(c_TFWD)),2)))&lt;0,-1,0),IF(IF(o_WRAP=1,MOD(((c_TMAP1IN)-(c_TFWD))*(((A949)-(c_TFWD))*((c_TMAP1OUT)-(0))+IF(((c_TMAP1OUT)-(0))&gt;=0,1,-1)*QUOTIENT(((c_TMAP1IN)-(c_TFWD)),2))+2147483648,4294967296)-2147483648,((c_TMAP1IN)-(c_TFWD))*(((A949)-(c_TFWD))*((c_TMAP1OUT)-(0))+IF(((c_TMAP1OUT)-(0))&gt;=0,1,-1)*QUOTIENT(((c_TMAP1IN)-(c_TFWD)),2)))&gt;=0,1,0)))</f>
        <v>726</v>
      </c>
      <c r="E949" s="7" t="n">
        <f aca="false">IF(((c_TMAP2IN)-(c_TMAP1IN))=0,(c_TMAP1OUT)+QUOTIENT(((c_TMAP2OUT)-(c_TMAP1OUT)),2),QUOTIENT((((A949)-(c_TMAP1IN))*((c_TMAP2OUT)-(c_TMAP1OUT))+IF(((c_TMAP2OUT)-(c_TMAP1OUT))&gt;=0,1,-1)*QUOTIENT(((c_TMAP2IN)-(c_TMAP1IN)),2)),((c_TMAP2IN)-(c_TMAP1IN)))+(c_TMAP1OUT)+IF(((c_TMAP2OUT)-(c_TMAP1OUT))&gt;=0,IF(IF(o_WRAP=1,MOD(((c_TMAP2IN)-(c_TMAP1IN))*(((A949)-(c_TMAP1IN))*((c_TMAP2OUT)-(c_TMAP1OUT))+IF(((c_TMAP2OUT)-(c_TMAP1OUT))&gt;=0,1,-1)*QUOTIENT(((c_TMAP2IN)-(c_TMAP1IN)),2))+2147483648,4294967296)-2147483648,((c_TMAP2IN)-(c_TMAP1IN))*(((A949)-(c_TMAP1IN))*((c_TMAP2OUT)-(c_TMAP1OUT))+IF(((c_TMAP2OUT)-(c_TMAP1OUT))&gt;=0,1,-1)*QUOTIENT(((c_TMAP2IN)-(c_TMAP1IN)),2)))&lt;0,-1,0),IF(IF(o_WRAP=1,MOD(((c_TMAP2IN)-(c_TMAP1IN))*(((A949)-(c_TMAP1IN))*((c_TMAP2OUT)-(c_TMAP1OUT))+IF(((c_TMAP2OUT)-(c_TMAP1OUT))&gt;=0,1,-1)*QUOTIENT(((c_TMAP2IN)-(c_TMAP1IN)),2))+2147483648,4294967296)-2147483648,((c_TMAP2IN)-(c_TMAP1IN))*(((A949)-(c_TMAP1IN))*((c_TMAP2OUT)-(c_TMAP1OUT))+IF(((c_TMAP2OUT)-(c_TMAP1OUT))&gt;=0,1,-1)*QUOTIENT(((c_TMAP2IN)-(c_TMAP1IN)),2)))&gt;=0,1,0)))</f>
        <v>408</v>
      </c>
      <c r="F949" s="7" t="n">
        <f aca="false">IF(((c_TMAP3IN)-(c_TMAP2IN))=0,(c_TMAP2OUT)+QUOTIENT(((c_TMAP3OUT)-(c_TMAP2OUT)),2),QUOTIENT((((A949)-(c_TMAP2IN))*((c_TMAP3OUT)-(c_TMAP2OUT))+IF(((c_TMAP3OUT)-(c_TMAP2OUT))&gt;=0,1,-1)*QUOTIENT(((c_TMAP3IN)-(c_TMAP2IN)),2)),((c_TMAP3IN)-(c_TMAP2IN)))+(c_TMAP2OUT)+IF(((c_TMAP3OUT)-(c_TMAP2OUT))&gt;=0,IF(IF(o_WRAP=1,MOD(((c_TMAP3IN)-(c_TMAP2IN))*(((A949)-(c_TMAP2IN))*((c_TMAP3OUT)-(c_TMAP2OUT))+IF(((c_TMAP3OUT)-(c_TMAP2OUT))&gt;=0,1,-1)*QUOTIENT(((c_TMAP3IN)-(c_TMAP2IN)),2))+2147483648,4294967296)-2147483648,((c_TMAP3IN)-(c_TMAP2IN))*(((A949)-(c_TMAP2IN))*((c_TMAP3OUT)-(c_TMAP2OUT))+IF(((c_TMAP3OUT)-(c_TMAP2OUT))&gt;=0,1,-1)*QUOTIENT(((c_TMAP3IN)-(c_TMAP2IN)),2)))&lt;0,-1,0),IF(IF(o_WRAP=1,MOD(((c_TMAP3IN)-(c_TMAP2IN))*(((A949)-(c_TMAP2IN))*((c_TMAP3OUT)-(c_TMAP2OUT))+IF(((c_TMAP3OUT)-(c_TMAP2OUT))&gt;=0,1,-1)*QUOTIENT(((c_TMAP3IN)-(c_TMAP2IN)),2))+2147483648,4294967296)-2147483648,((c_TMAP3IN)-(c_TMAP2IN))*(((A949)-(c_TMAP2IN))*((c_TMAP3OUT)-(c_TMAP2OUT))+IF(((c_TMAP3OUT)-(c_TMAP2OUT))&gt;=0,1,-1)*QUOTIENT(((c_TMAP3IN)-(c_TMAP2IN)),2)))&gt;=0,1,0)))</f>
        <v>616</v>
      </c>
      <c r="G949" s="7" t="n">
        <f aca="false">IF(((1000)-(c_TMAP3IN))=0,(c_TMAP3OUT)+QUOTIENT(((1000)-(c_TMAP3OUT)),2),QUOTIENT((((A949)-(c_TMAP3IN))*((1000)-(c_TMAP3OUT))+IF(((1000)-(c_TMAP3OUT))&gt;=0,1,-1)*QUOTIENT(((1000)-(c_TMAP3IN)),2)),((1000)-(c_TMAP3IN)))+(c_TMAP3OUT)+IF(((1000)-(c_TMAP3OUT))&gt;=0,IF(IF(o_WRAP=1,MOD(((1000)-(c_TMAP3IN))*(((A949)-(c_TMAP3IN))*((1000)-(c_TMAP3OUT))+IF(((1000)-(c_TMAP3OUT))&gt;=0,1,-1)*QUOTIENT(((1000)-(c_TMAP3IN)),2))+2147483648,4294967296)-2147483648,((1000)-(c_TMAP3IN))*(((A949)-(c_TMAP3IN))*((1000)-(c_TMAP3OUT))+IF(((1000)-(c_TMAP3OUT))&gt;=0,1,-1)*QUOTIENT(((1000)-(c_TMAP3IN)),2)))&lt;0,-1,0),IF(IF(o_WRAP=1,MOD(((1000)-(c_TMAP3IN))*(((A949)-(c_TMAP3IN))*((1000)-(c_TMAP3OUT))+IF(((1000)-(c_TMAP3OUT))&gt;=0,1,-1)*QUOTIENT(((1000)-(c_TMAP3IN)),2))+2147483648,4294967296)-2147483648,((1000)-(c_TMAP3IN))*(((A949)-(c_TMAP3IN))*((1000)-(c_TMAP3OUT))+IF(((1000)-(c_TMAP3OUT))&gt;=0,1,-1)*QUOTIENT(((1000)-(c_TMAP3IN)),2)))&gt;=0,1,0)))</f>
        <v>931</v>
      </c>
      <c r="H949" s="7" t="str">
        <f aca="false">IF(A949&gt;=c_TFWD,IF(AND(A949&gt;=c_TMAP3IN,c_TMAP3IN&lt;1000),"Seg4 map3-100%",IF(AND(A949&gt;=c_TMAP2IN,c_TMAP3IN&gt;c_TMAP2IN),"Seg3 map2-map3",IF(AND(A949&gt;=c_TMAP1IN,c_TMAP2IN&gt;c_TMAP1IN),"Seg2 map1-map2","Seg1 TFWD-map1"))),IF(AND(A949=0,c_TCREEP&gt;0),"Creep",IF(AND(A949&lt;=c_TRNGMIN,A949&gt;=c_TRNGMAX,c_TRNGMIN-c_TRNGMAX&lt;&gt;0),"Regen ramp","Coast (0)")))</f>
        <v>Seg4 map3-100%</v>
      </c>
      <c r="I949" s="7" t="n">
        <f aca="false">IF(A949&gt;=c_TFWD,IF(AND(A949&gt;=c_TMAP3IN,c_TMAP3IN&lt;1000),G949,IF(AND(A949&gt;=c_TMAP2IN,c_TMAP3IN&gt;c_TMAP2IN),F949,IF(AND(A949&gt;=c_TMAP1IN,c_TMAP2IN&gt;c_TMAP1IN),E949,D949))),C949)</f>
        <v>931</v>
      </c>
      <c r="J949" s="7" t="str">
        <f aca="false">IF(I949&lt;-1090,"TOO LOW",IF(I949&gt;1090,"TOO HIGH",""))</f>
        <v/>
      </c>
      <c r="K949" s="15" t="n">
        <f aca="false">IF(J949&lt;&gt;"",0,IF(I949&gt;979,1000,I949))</f>
        <v>931</v>
      </c>
      <c r="L949" s="7" t="n">
        <f aca="false">K949/10</f>
        <v>93.1</v>
      </c>
    </row>
    <row r="950" customFormat="false" ht="15" hidden="false" customHeight="false" outlineLevel="0" collapsed="false">
      <c r="A950" s="7" t="n">
        <v>945</v>
      </c>
      <c r="B950" s="7" t="n">
        <f aca="false">A950/10</f>
        <v>94.5</v>
      </c>
      <c r="C950" s="7" t="n">
        <f aca="false">IF(AND(A950=0,c_TCREEP&gt;0),10*c_TCREEP,IF(AND(A950&lt;=c_TRNGMIN,A950&gt;=c_TRNGMAX,c_TRNGMIN-c_TRNGMAX&lt;&gt;0),-10*c_TMINRN+QUOTIENT((c_TMAXRN-c_TMINRN)*(100-QUOTIENT((A950-c_TRNGMAX)*100,c_TRNGMIN-c_TRNGMAX)),-10),0))</f>
        <v>0</v>
      </c>
      <c r="D950" s="7" t="n">
        <f aca="false">IF(((c_TMAP1IN)-(c_TFWD))=0,(0)+QUOTIENT(((c_TMAP1OUT)-(0)),2),QUOTIENT((((A950)-(c_TFWD))*((c_TMAP1OUT)-(0))+IF(((c_TMAP1OUT)-(0))&gt;=0,1,-1)*QUOTIENT(((c_TMAP1IN)-(c_TFWD)),2)),((c_TMAP1IN)-(c_TFWD)))+(0)+IF(((c_TMAP1OUT)-(0))&gt;=0,IF(IF(o_WRAP=1,MOD(((c_TMAP1IN)-(c_TFWD))*(((A950)-(c_TFWD))*((c_TMAP1OUT)-(0))+IF(((c_TMAP1OUT)-(0))&gt;=0,1,-1)*QUOTIENT(((c_TMAP1IN)-(c_TFWD)),2))+2147483648,4294967296)-2147483648,((c_TMAP1IN)-(c_TFWD))*(((A950)-(c_TFWD))*((c_TMAP1OUT)-(0))+IF(((c_TMAP1OUT)-(0))&gt;=0,1,-1)*QUOTIENT(((c_TMAP1IN)-(c_TFWD)),2)))&lt;0,-1,0),IF(IF(o_WRAP=1,MOD(((c_TMAP1IN)-(c_TFWD))*(((A950)-(c_TFWD))*((c_TMAP1OUT)-(0))+IF(((c_TMAP1OUT)-(0))&gt;=0,1,-1)*QUOTIENT(((c_TMAP1IN)-(c_TFWD)),2))+2147483648,4294967296)-2147483648,((c_TMAP1IN)-(c_TFWD))*(((A950)-(c_TFWD))*((c_TMAP1OUT)-(0))+IF(((c_TMAP1OUT)-(0))&gt;=0,1,-1)*QUOTIENT(((c_TMAP1IN)-(c_TFWD)),2)))&gt;=0,1,0)))</f>
        <v>727</v>
      </c>
      <c r="E950" s="7" t="n">
        <f aca="false">IF(((c_TMAP2IN)-(c_TMAP1IN))=0,(c_TMAP1OUT)+QUOTIENT(((c_TMAP2OUT)-(c_TMAP1OUT)),2),QUOTIENT((((A950)-(c_TMAP1IN))*((c_TMAP2OUT)-(c_TMAP1OUT))+IF(((c_TMAP2OUT)-(c_TMAP1OUT))&gt;=0,1,-1)*QUOTIENT(((c_TMAP2IN)-(c_TMAP1IN)),2)),((c_TMAP2IN)-(c_TMAP1IN)))+(c_TMAP1OUT)+IF(((c_TMAP2OUT)-(c_TMAP1OUT))&gt;=0,IF(IF(o_WRAP=1,MOD(((c_TMAP2IN)-(c_TMAP1IN))*(((A950)-(c_TMAP1IN))*((c_TMAP2OUT)-(c_TMAP1OUT))+IF(((c_TMAP2OUT)-(c_TMAP1OUT))&gt;=0,1,-1)*QUOTIENT(((c_TMAP2IN)-(c_TMAP1IN)),2))+2147483648,4294967296)-2147483648,((c_TMAP2IN)-(c_TMAP1IN))*(((A950)-(c_TMAP1IN))*((c_TMAP2OUT)-(c_TMAP1OUT))+IF(((c_TMAP2OUT)-(c_TMAP1OUT))&gt;=0,1,-1)*QUOTIENT(((c_TMAP2IN)-(c_TMAP1IN)),2)))&lt;0,-1,0),IF(IF(o_WRAP=1,MOD(((c_TMAP2IN)-(c_TMAP1IN))*(((A950)-(c_TMAP1IN))*((c_TMAP2OUT)-(c_TMAP1OUT))+IF(((c_TMAP2OUT)-(c_TMAP1OUT))&gt;=0,1,-1)*QUOTIENT(((c_TMAP2IN)-(c_TMAP1IN)),2))+2147483648,4294967296)-2147483648,((c_TMAP2IN)-(c_TMAP1IN))*(((A950)-(c_TMAP1IN))*((c_TMAP2OUT)-(c_TMAP1OUT))+IF(((c_TMAP2OUT)-(c_TMAP1OUT))&gt;=0,1,-1)*QUOTIENT(((c_TMAP2IN)-(c_TMAP1IN)),2)))&gt;=0,1,0)))</f>
        <v>408</v>
      </c>
      <c r="F950" s="7" t="n">
        <f aca="false">IF(((c_TMAP3IN)-(c_TMAP2IN))=0,(c_TMAP2OUT)+QUOTIENT(((c_TMAP3OUT)-(c_TMAP2OUT)),2),QUOTIENT((((A950)-(c_TMAP2IN))*((c_TMAP3OUT)-(c_TMAP2OUT))+IF(((c_TMAP3OUT)-(c_TMAP2OUT))&gt;=0,1,-1)*QUOTIENT(((c_TMAP3IN)-(c_TMAP2IN)),2)),((c_TMAP3IN)-(c_TMAP2IN)))+(c_TMAP2OUT)+IF(((c_TMAP3OUT)-(c_TMAP2OUT))&gt;=0,IF(IF(o_WRAP=1,MOD(((c_TMAP3IN)-(c_TMAP2IN))*(((A950)-(c_TMAP2IN))*((c_TMAP3OUT)-(c_TMAP2OUT))+IF(((c_TMAP3OUT)-(c_TMAP2OUT))&gt;=0,1,-1)*QUOTIENT(((c_TMAP3IN)-(c_TMAP2IN)),2))+2147483648,4294967296)-2147483648,((c_TMAP3IN)-(c_TMAP2IN))*(((A950)-(c_TMAP2IN))*((c_TMAP3OUT)-(c_TMAP2OUT))+IF(((c_TMAP3OUT)-(c_TMAP2OUT))&gt;=0,1,-1)*QUOTIENT(((c_TMAP3IN)-(c_TMAP2IN)),2)))&lt;0,-1,0),IF(IF(o_WRAP=1,MOD(((c_TMAP3IN)-(c_TMAP2IN))*(((A950)-(c_TMAP2IN))*((c_TMAP3OUT)-(c_TMAP2OUT))+IF(((c_TMAP3OUT)-(c_TMAP2OUT))&gt;=0,1,-1)*QUOTIENT(((c_TMAP3IN)-(c_TMAP2IN)),2))+2147483648,4294967296)-2147483648,((c_TMAP3IN)-(c_TMAP2IN))*(((A950)-(c_TMAP2IN))*((c_TMAP3OUT)-(c_TMAP2OUT))+IF(((c_TMAP3OUT)-(c_TMAP2OUT))&gt;=0,1,-1)*QUOTIENT(((c_TMAP3IN)-(c_TMAP2IN)),2)))&gt;=0,1,0)))</f>
        <v>617</v>
      </c>
      <c r="G950" s="7" t="n">
        <f aca="false">IF(((1000)-(c_TMAP3IN))=0,(c_TMAP3OUT)+QUOTIENT(((1000)-(c_TMAP3OUT)),2),QUOTIENT((((A950)-(c_TMAP3IN))*((1000)-(c_TMAP3OUT))+IF(((1000)-(c_TMAP3OUT))&gt;=0,1,-1)*QUOTIENT(((1000)-(c_TMAP3IN)),2)),((1000)-(c_TMAP3IN)))+(c_TMAP3OUT)+IF(((1000)-(c_TMAP3OUT))&gt;=0,IF(IF(o_WRAP=1,MOD(((1000)-(c_TMAP3IN))*(((A950)-(c_TMAP3IN))*((1000)-(c_TMAP3OUT))+IF(((1000)-(c_TMAP3OUT))&gt;=0,1,-1)*QUOTIENT(((1000)-(c_TMAP3IN)),2))+2147483648,4294967296)-2147483648,((1000)-(c_TMAP3IN))*(((A950)-(c_TMAP3IN))*((1000)-(c_TMAP3OUT))+IF(((1000)-(c_TMAP3OUT))&gt;=0,1,-1)*QUOTIENT(((1000)-(c_TMAP3IN)),2)))&lt;0,-1,0),IF(IF(o_WRAP=1,MOD(((1000)-(c_TMAP3IN))*(((A950)-(c_TMAP3IN))*((1000)-(c_TMAP3OUT))+IF(((1000)-(c_TMAP3OUT))&gt;=0,1,-1)*QUOTIENT(((1000)-(c_TMAP3IN)),2))+2147483648,4294967296)-2147483648,((1000)-(c_TMAP3IN))*(((A950)-(c_TMAP3IN))*((1000)-(c_TMAP3OUT))+IF(((1000)-(c_TMAP3OUT))&gt;=0,1,-1)*QUOTIENT(((1000)-(c_TMAP3IN)),2)))&gt;=0,1,0)))</f>
        <v>932</v>
      </c>
      <c r="H950" s="7" t="str">
        <f aca="false">IF(A950&gt;=c_TFWD,IF(AND(A950&gt;=c_TMAP3IN,c_TMAP3IN&lt;1000),"Seg4 map3-100%",IF(AND(A950&gt;=c_TMAP2IN,c_TMAP3IN&gt;c_TMAP2IN),"Seg3 map2-map3",IF(AND(A950&gt;=c_TMAP1IN,c_TMAP2IN&gt;c_TMAP1IN),"Seg2 map1-map2","Seg1 TFWD-map1"))),IF(AND(A950=0,c_TCREEP&gt;0),"Creep",IF(AND(A950&lt;=c_TRNGMIN,A950&gt;=c_TRNGMAX,c_TRNGMIN-c_TRNGMAX&lt;&gt;0),"Regen ramp","Coast (0)")))</f>
        <v>Seg4 map3-100%</v>
      </c>
      <c r="I950" s="7" t="n">
        <f aca="false">IF(A950&gt;=c_TFWD,IF(AND(A950&gt;=c_TMAP3IN,c_TMAP3IN&lt;1000),G950,IF(AND(A950&gt;=c_TMAP2IN,c_TMAP3IN&gt;c_TMAP2IN),F950,IF(AND(A950&gt;=c_TMAP1IN,c_TMAP2IN&gt;c_TMAP1IN),E950,D950))),C950)</f>
        <v>932</v>
      </c>
      <c r="J950" s="7" t="str">
        <f aca="false">IF(I950&lt;-1090,"TOO LOW",IF(I950&gt;1090,"TOO HIGH",""))</f>
        <v/>
      </c>
      <c r="K950" s="15" t="n">
        <f aca="false">IF(J950&lt;&gt;"",0,IF(I950&gt;979,1000,I950))</f>
        <v>932</v>
      </c>
      <c r="L950" s="7" t="n">
        <f aca="false">K950/10</f>
        <v>93.2</v>
      </c>
    </row>
    <row r="951" customFormat="false" ht="15" hidden="false" customHeight="false" outlineLevel="0" collapsed="false">
      <c r="A951" s="7" t="n">
        <v>946</v>
      </c>
      <c r="B951" s="7" t="n">
        <f aca="false">A951/10</f>
        <v>94.6</v>
      </c>
      <c r="C951" s="7" t="n">
        <f aca="false">IF(AND(A951=0,c_TCREEP&gt;0),10*c_TCREEP,IF(AND(A951&lt;=c_TRNGMIN,A951&gt;=c_TRNGMAX,c_TRNGMIN-c_TRNGMAX&lt;&gt;0),-10*c_TMINRN+QUOTIENT((c_TMAXRN-c_TMINRN)*(100-QUOTIENT((A951-c_TRNGMAX)*100,c_TRNGMIN-c_TRNGMAX)),-10),0))</f>
        <v>0</v>
      </c>
      <c r="D951" s="7" t="n">
        <f aca="false">IF(((c_TMAP1IN)-(c_TFWD))=0,(0)+QUOTIENT(((c_TMAP1OUT)-(0)),2),QUOTIENT((((A951)-(c_TFWD))*((c_TMAP1OUT)-(0))+IF(((c_TMAP1OUT)-(0))&gt;=0,1,-1)*QUOTIENT(((c_TMAP1IN)-(c_TFWD)),2)),((c_TMAP1IN)-(c_TFWD)))+(0)+IF(((c_TMAP1OUT)-(0))&gt;=0,IF(IF(o_WRAP=1,MOD(((c_TMAP1IN)-(c_TFWD))*(((A951)-(c_TFWD))*((c_TMAP1OUT)-(0))+IF(((c_TMAP1OUT)-(0))&gt;=0,1,-1)*QUOTIENT(((c_TMAP1IN)-(c_TFWD)),2))+2147483648,4294967296)-2147483648,((c_TMAP1IN)-(c_TFWD))*(((A951)-(c_TFWD))*((c_TMAP1OUT)-(0))+IF(((c_TMAP1OUT)-(0))&gt;=0,1,-1)*QUOTIENT(((c_TMAP1IN)-(c_TFWD)),2)))&lt;0,-1,0),IF(IF(o_WRAP=1,MOD(((c_TMAP1IN)-(c_TFWD))*(((A951)-(c_TFWD))*((c_TMAP1OUT)-(0))+IF(((c_TMAP1OUT)-(0))&gt;=0,1,-1)*QUOTIENT(((c_TMAP1IN)-(c_TFWD)),2))+2147483648,4294967296)-2147483648,((c_TMAP1IN)-(c_TFWD))*(((A951)-(c_TFWD))*((c_TMAP1OUT)-(0))+IF(((c_TMAP1OUT)-(0))&gt;=0,1,-1)*QUOTIENT(((c_TMAP1IN)-(c_TFWD)),2)))&gt;=0,1,0)))</f>
        <v>728</v>
      </c>
      <c r="E951" s="7" t="n">
        <f aca="false">IF(((c_TMAP2IN)-(c_TMAP1IN))=0,(c_TMAP1OUT)+QUOTIENT(((c_TMAP2OUT)-(c_TMAP1OUT)),2),QUOTIENT((((A951)-(c_TMAP1IN))*((c_TMAP2OUT)-(c_TMAP1OUT))+IF(((c_TMAP2OUT)-(c_TMAP1OUT))&gt;=0,1,-1)*QUOTIENT(((c_TMAP2IN)-(c_TMAP1IN)),2)),((c_TMAP2IN)-(c_TMAP1IN)))+(c_TMAP1OUT)+IF(((c_TMAP2OUT)-(c_TMAP1OUT))&gt;=0,IF(IF(o_WRAP=1,MOD(((c_TMAP2IN)-(c_TMAP1IN))*(((A951)-(c_TMAP1IN))*((c_TMAP2OUT)-(c_TMAP1OUT))+IF(((c_TMAP2OUT)-(c_TMAP1OUT))&gt;=0,1,-1)*QUOTIENT(((c_TMAP2IN)-(c_TMAP1IN)),2))+2147483648,4294967296)-2147483648,((c_TMAP2IN)-(c_TMAP1IN))*(((A951)-(c_TMAP1IN))*((c_TMAP2OUT)-(c_TMAP1OUT))+IF(((c_TMAP2OUT)-(c_TMAP1OUT))&gt;=0,1,-1)*QUOTIENT(((c_TMAP2IN)-(c_TMAP1IN)),2)))&lt;0,-1,0),IF(IF(o_WRAP=1,MOD(((c_TMAP2IN)-(c_TMAP1IN))*(((A951)-(c_TMAP1IN))*((c_TMAP2OUT)-(c_TMAP1OUT))+IF(((c_TMAP2OUT)-(c_TMAP1OUT))&gt;=0,1,-1)*QUOTIENT(((c_TMAP2IN)-(c_TMAP1IN)),2))+2147483648,4294967296)-2147483648,((c_TMAP2IN)-(c_TMAP1IN))*(((A951)-(c_TMAP1IN))*((c_TMAP2OUT)-(c_TMAP1OUT))+IF(((c_TMAP2OUT)-(c_TMAP1OUT))&gt;=0,1,-1)*QUOTIENT(((c_TMAP2IN)-(c_TMAP1IN)),2)))&gt;=0,1,0)))</f>
        <v>408</v>
      </c>
      <c r="F951" s="7" t="n">
        <f aca="false">IF(((c_TMAP3IN)-(c_TMAP2IN))=0,(c_TMAP2OUT)+QUOTIENT(((c_TMAP3OUT)-(c_TMAP2OUT)),2),QUOTIENT((((A951)-(c_TMAP2IN))*((c_TMAP3OUT)-(c_TMAP2OUT))+IF(((c_TMAP3OUT)-(c_TMAP2OUT))&gt;=0,1,-1)*QUOTIENT(((c_TMAP3IN)-(c_TMAP2IN)),2)),((c_TMAP3IN)-(c_TMAP2IN)))+(c_TMAP2OUT)+IF(((c_TMAP3OUT)-(c_TMAP2OUT))&gt;=0,IF(IF(o_WRAP=1,MOD(((c_TMAP3IN)-(c_TMAP2IN))*(((A951)-(c_TMAP2IN))*((c_TMAP3OUT)-(c_TMAP2OUT))+IF(((c_TMAP3OUT)-(c_TMAP2OUT))&gt;=0,1,-1)*QUOTIENT(((c_TMAP3IN)-(c_TMAP2IN)),2))+2147483648,4294967296)-2147483648,((c_TMAP3IN)-(c_TMAP2IN))*(((A951)-(c_TMAP2IN))*((c_TMAP3OUT)-(c_TMAP2OUT))+IF(((c_TMAP3OUT)-(c_TMAP2OUT))&gt;=0,1,-1)*QUOTIENT(((c_TMAP3IN)-(c_TMAP2IN)),2)))&lt;0,-1,0),IF(IF(o_WRAP=1,MOD(((c_TMAP3IN)-(c_TMAP2IN))*(((A951)-(c_TMAP2IN))*((c_TMAP3OUT)-(c_TMAP2OUT))+IF(((c_TMAP3OUT)-(c_TMAP2OUT))&gt;=0,1,-1)*QUOTIENT(((c_TMAP3IN)-(c_TMAP2IN)),2))+2147483648,4294967296)-2147483648,((c_TMAP3IN)-(c_TMAP2IN))*(((A951)-(c_TMAP2IN))*((c_TMAP3OUT)-(c_TMAP2OUT))+IF(((c_TMAP3OUT)-(c_TMAP2OUT))&gt;=0,1,-1)*QUOTIENT(((c_TMAP3IN)-(c_TMAP2IN)),2)))&gt;=0,1,0)))</f>
        <v>617</v>
      </c>
      <c r="G951" s="7" t="n">
        <f aca="false">IF(((1000)-(c_TMAP3IN))=0,(c_TMAP3OUT)+QUOTIENT(((1000)-(c_TMAP3OUT)),2),QUOTIENT((((A951)-(c_TMAP3IN))*((1000)-(c_TMAP3OUT))+IF(((1000)-(c_TMAP3OUT))&gt;=0,1,-1)*QUOTIENT(((1000)-(c_TMAP3IN)),2)),((1000)-(c_TMAP3IN)))+(c_TMAP3OUT)+IF(((1000)-(c_TMAP3OUT))&gt;=0,IF(IF(o_WRAP=1,MOD(((1000)-(c_TMAP3IN))*(((A951)-(c_TMAP3IN))*((1000)-(c_TMAP3OUT))+IF(((1000)-(c_TMAP3OUT))&gt;=0,1,-1)*QUOTIENT(((1000)-(c_TMAP3IN)),2))+2147483648,4294967296)-2147483648,((1000)-(c_TMAP3IN))*(((A951)-(c_TMAP3IN))*((1000)-(c_TMAP3OUT))+IF(((1000)-(c_TMAP3OUT))&gt;=0,1,-1)*QUOTIENT(((1000)-(c_TMAP3IN)),2)))&lt;0,-1,0),IF(IF(o_WRAP=1,MOD(((1000)-(c_TMAP3IN))*(((A951)-(c_TMAP3IN))*((1000)-(c_TMAP3OUT))+IF(((1000)-(c_TMAP3OUT))&gt;=0,1,-1)*QUOTIENT(((1000)-(c_TMAP3IN)),2))+2147483648,4294967296)-2147483648,((1000)-(c_TMAP3IN))*(((A951)-(c_TMAP3IN))*((1000)-(c_TMAP3OUT))+IF(((1000)-(c_TMAP3OUT))&gt;=0,1,-1)*QUOTIENT(((1000)-(c_TMAP3IN)),2)))&gt;=0,1,0)))</f>
        <v>934</v>
      </c>
      <c r="H951" s="7" t="str">
        <f aca="false">IF(A951&gt;=c_TFWD,IF(AND(A951&gt;=c_TMAP3IN,c_TMAP3IN&lt;1000),"Seg4 map3-100%",IF(AND(A951&gt;=c_TMAP2IN,c_TMAP3IN&gt;c_TMAP2IN),"Seg3 map2-map3",IF(AND(A951&gt;=c_TMAP1IN,c_TMAP2IN&gt;c_TMAP1IN),"Seg2 map1-map2","Seg1 TFWD-map1"))),IF(AND(A951=0,c_TCREEP&gt;0),"Creep",IF(AND(A951&lt;=c_TRNGMIN,A951&gt;=c_TRNGMAX,c_TRNGMIN-c_TRNGMAX&lt;&gt;0),"Regen ramp","Coast (0)")))</f>
        <v>Seg4 map3-100%</v>
      </c>
      <c r="I951" s="7" t="n">
        <f aca="false">IF(A951&gt;=c_TFWD,IF(AND(A951&gt;=c_TMAP3IN,c_TMAP3IN&lt;1000),G951,IF(AND(A951&gt;=c_TMAP2IN,c_TMAP3IN&gt;c_TMAP2IN),F951,IF(AND(A951&gt;=c_TMAP1IN,c_TMAP2IN&gt;c_TMAP1IN),E951,D951))),C951)</f>
        <v>934</v>
      </c>
      <c r="J951" s="7" t="str">
        <f aca="false">IF(I951&lt;-1090,"TOO LOW",IF(I951&gt;1090,"TOO HIGH",""))</f>
        <v/>
      </c>
      <c r="K951" s="15" t="n">
        <f aca="false">IF(J951&lt;&gt;"",0,IF(I951&gt;979,1000,I951))</f>
        <v>934</v>
      </c>
      <c r="L951" s="7" t="n">
        <f aca="false">K951/10</f>
        <v>93.4</v>
      </c>
    </row>
    <row r="952" customFormat="false" ht="15" hidden="false" customHeight="false" outlineLevel="0" collapsed="false">
      <c r="A952" s="7" t="n">
        <v>947</v>
      </c>
      <c r="B952" s="7" t="n">
        <f aca="false">A952/10</f>
        <v>94.7</v>
      </c>
      <c r="C952" s="7" t="n">
        <f aca="false">IF(AND(A952=0,c_TCREEP&gt;0),10*c_TCREEP,IF(AND(A952&lt;=c_TRNGMIN,A952&gt;=c_TRNGMAX,c_TRNGMIN-c_TRNGMAX&lt;&gt;0),-10*c_TMINRN+QUOTIENT((c_TMAXRN-c_TMINRN)*(100-QUOTIENT((A952-c_TRNGMAX)*100,c_TRNGMIN-c_TRNGMAX)),-10),0))</f>
        <v>0</v>
      </c>
      <c r="D952" s="7" t="n">
        <f aca="false">IF(((c_TMAP1IN)-(c_TFWD))=0,(0)+QUOTIENT(((c_TMAP1OUT)-(0)),2),QUOTIENT((((A952)-(c_TFWD))*((c_TMAP1OUT)-(0))+IF(((c_TMAP1OUT)-(0))&gt;=0,1,-1)*QUOTIENT(((c_TMAP1IN)-(c_TFWD)),2)),((c_TMAP1IN)-(c_TFWD)))+(0)+IF(((c_TMAP1OUT)-(0))&gt;=0,IF(IF(o_WRAP=1,MOD(((c_TMAP1IN)-(c_TFWD))*(((A952)-(c_TFWD))*((c_TMAP1OUT)-(0))+IF(((c_TMAP1OUT)-(0))&gt;=0,1,-1)*QUOTIENT(((c_TMAP1IN)-(c_TFWD)),2))+2147483648,4294967296)-2147483648,((c_TMAP1IN)-(c_TFWD))*(((A952)-(c_TFWD))*((c_TMAP1OUT)-(0))+IF(((c_TMAP1OUT)-(0))&gt;=0,1,-1)*QUOTIENT(((c_TMAP1IN)-(c_TFWD)),2)))&lt;0,-1,0),IF(IF(o_WRAP=1,MOD(((c_TMAP1IN)-(c_TFWD))*(((A952)-(c_TFWD))*((c_TMAP1OUT)-(0))+IF(((c_TMAP1OUT)-(0))&gt;=0,1,-1)*QUOTIENT(((c_TMAP1IN)-(c_TFWD)),2))+2147483648,4294967296)-2147483648,((c_TMAP1IN)-(c_TFWD))*(((A952)-(c_TFWD))*((c_TMAP1OUT)-(0))+IF(((c_TMAP1OUT)-(0))&gt;=0,1,-1)*QUOTIENT(((c_TMAP1IN)-(c_TFWD)),2)))&gt;=0,1,0)))</f>
        <v>729</v>
      </c>
      <c r="E952" s="7" t="n">
        <f aca="false">IF(((c_TMAP2IN)-(c_TMAP1IN))=0,(c_TMAP1OUT)+QUOTIENT(((c_TMAP2OUT)-(c_TMAP1OUT)),2),QUOTIENT((((A952)-(c_TMAP1IN))*((c_TMAP2OUT)-(c_TMAP1OUT))+IF(((c_TMAP2OUT)-(c_TMAP1OUT))&gt;=0,1,-1)*QUOTIENT(((c_TMAP2IN)-(c_TMAP1IN)),2)),((c_TMAP2IN)-(c_TMAP1IN)))+(c_TMAP1OUT)+IF(((c_TMAP2OUT)-(c_TMAP1OUT))&gt;=0,IF(IF(o_WRAP=1,MOD(((c_TMAP2IN)-(c_TMAP1IN))*(((A952)-(c_TMAP1IN))*((c_TMAP2OUT)-(c_TMAP1OUT))+IF(((c_TMAP2OUT)-(c_TMAP1OUT))&gt;=0,1,-1)*QUOTIENT(((c_TMAP2IN)-(c_TMAP1IN)),2))+2147483648,4294967296)-2147483648,((c_TMAP2IN)-(c_TMAP1IN))*(((A952)-(c_TMAP1IN))*((c_TMAP2OUT)-(c_TMAP1OUT))+IF(((c_TMAP2OUT)-(c_TMAP1OUT))&gt;=0,1,-1)*QUOTIENT(((c_TMAP2IN)-(c_TMAP1IN)),2)))&lt;0,-1,0),IF(IF(o_WRAP=1,MOD(((c_TMAP2IN)-(c_TMAP1IN))*(((A952)-(c_TMAP1IN))*((c_TMAP2OUT)-(c_TMAP1OUT))+IF(((c_TMAP2OUT)-(c_TMAP1OUT))&gt;=0,1,-1)*QUOTIENT(((c_TMAP2IN)-(c_TMAP1IN)),2))+2147483648,4294967296)-2147483648,((c_TMAP2IN)-(c_TMAP1IN))*(((A952)-(c_TMAP1IN))*((c_TMAP2OUT)-(c_TMAP1OUT))+IF(((c_TMAP2OUT)-(c_TMAP1OUT))&gt;=0,1,-1)*QUOTIENT(((c_TMAP2IN)-(c_TMAP1IN)),2)))&gt;=0,1,0)))</f>
        <v>409</v>
      </c>
      <c r="F952" s="7" t="n">
        <f aca="false">IF(((c_TMAP3IN)-(c_TMAP2IN))=0,(c_TMAP2OUT)+QUOTIENT(((c_TMAP3OUT)-(c_TMAP2OUT)),2),QUOTIENT((((A952)-(c_TMAP2IN))*((c_TMAP3OUT)-(c_TMAP2OUT))+IF(((c_TMAP3OUT)-(c_TMAP2OUT))&gt;=0,1,-1)*QUOTIENT(((c_TMAP3IN)-(c_TMAP2IN)),2)),((c_TMAP3IN)-(c_TMAP2IN)))+(c_TMAP2OUT)+IF(((c_TMAP3OUT)-(c_TMAP2OUT))&gt;=0,IF(IF(o_WRAP=1,MOD(((c_TMAP3IN)-(c_TMAP2IN))*(((A952)-(c_TMAP2IN))*((c_TMAP3OUT)-(c_TMAP2OUT))+IF(((c_TMAP3OUT)-(c_TMAP2OUT))&gt;=0,1,-1)*QUOTIENT(((c_TMAP3IN)-(c_TMAP2IN)),2))+2147483648,4294967296)-2147483648,((c_TMAP3IN)-(c_TMAP2IN))*(((A952)-(c_TMAP2IN))*((c_TMAP3OUT)-(c_TMAP2OUT))+IF(((c_TMAP3OUT)-(c_TMAP2OUT))&gt;=0,1,-1)*QUOTIENT(((c_TMAP3IN)-(c_TMAP2IN)),2)))&lt;0,-1,0),IF(IF(o_WRAP=1,MOD(((c_TMAP3IN)-(c_TMAP2IN))*(((A952)-(c_TMAP2IN))*((c_TMAP3OUT)-(c_TMAP2OUT))+IF(((c_TMAP3OUT)-(c_TMAP2OUT))&gt;=0,1,-1)*QUOTIENT(((c_TMAP3IN)-(c_TMAP2IN)),2))+2147483648,4294967296)-2147483648,((c_TMAP3IN)-(c_TMAP2IN))*(((A952)-(c_TMAP2IN))*((c_TMAP3OUT)-(c_TMAP2OUT))+IF(((c_TMAP3OUT)-(c_TMAP2OUT))&gt;=0,1,-1)*QUOTIENT(((c_TMAP3IN)-(c_TMAP2IN)),2)))&gt;=0,1,0)))</f>
        <v>618</v>
      </c>
      <c r="G952" s="7" t="n">
        <f aca="false">IF(((1000)-(c_TMAP3IN))=0,(c_TMAP3OUT)+QUOTIENT(((1000)-(c_TMAP3OUT)),2),QUOTIENT((((A952)-(c_TMAP3IN))*((1000)-(c_TMAP3OUT))+IF(((1000)-(c_TMAP3OUT))&gt;=0,1,-1)*QUOTIENT(((1000)-(c_TMAP3IN)),2)),((1000)-(c_TMAP3IN)))+(c_TMAP3OUT)+IF(((1000)-(c_TMAP3OUT))&gt;=0,IF(IF(o_WRAP=1,MOD(((1000)-(c_TMAP3IN))*(((A952)-(c_TMAP3IN))*((1000)-(c_TMAP3OUT))+IF(((1000)-(c_TMAP3OUT))&gt;=0,1,-1)*QUOTIENT(((1000)-(c_TMAP3IN)),2))+2147483648,4294967296)-2147483648,((1000)-(c_TMAP3IN))*(((A952)-(c_TMAP3IN))*((1000)-(c_TMAP3OUT))+IF(((1000)-(c_TMAP3OUT))&gt;=0,1,-1)*QUOTIENT(((1000)-(c_TMAP3IN)),2)))&lt;0,-1,0),IF(IF(o_WRAP=1,MOD(((1000)-(c_TMAP3IN))*(((A952)-(c_TMAP3IN))*((1000)-(c_TMAP3OUT))+IF(((1000)-(c_TMAP3OUT))&gt;=0,1,-1)*QUOTIENT(((1000)-(c_TMAP3IN)),2))+2147483648,4294967296)-2147483648,((1000)-(c_TMAP3IN))*(((A952)-(c_TMAP3IN))*((1000)-(c_TMAP3OUT))+IF(((1000)-(c_TMAP3OUT))&gt;=0,1,-1)*QUOTIENT(((1000)-(c_TMAP3IN)),2)))&gt;=0,1,0)))</f>
        <v>935</v>
      </c>
      <c r="H952" s="7" t="str">
        <f aca="false">IF(A952&gt;=c_TFWD,IF(AND(A952&gt;=c_TMAP3IN,c_TMAP3IN&lt;1000),"Seg4 map3-100%",IF(AND(A952&gt;=c_TMAP2IN,c_TMAP3IN&gt;c_TMAP2IN),"Seg3 map2-map3",IF(AND(A952&gt;=c_TMAP1IN,c_TMAP2IN&gt;c_TMAP1IN),"Seg2 map1-map2","Seg1 TFWD-map1"))),IF(AND(A952=0,c_TCREEP&gt;0),"Creep",IF(AND(A952&lt;=c_TRNGMIN,A952&gt;=c_TRNGMAX,c_TRNGMIN-c_TRNGMAX&lt;&gt;0),"Regen ramp","Coast (0)")))</f>
        <v>Seg4 map3-100%</v>
      </c>
      <c r="I952" s="7" t="n">
        <f aca="false">IF(A952&gt;=c_TFWD,IF(AND(A952&gt;=c_TMAP3IN,c_TMAP3IN&lt;1000),G952,IF(AND(A952&gt;=c_TMAP2IN,c_TMAP3IN&gt;c_TMAP2IN),F952,IF(AND(A952&gt;=c_TMAP1IN,c_TMAP2IN&gt;c_TMAP1IN),E952,D952))),C952)</f>
        <v>935</v>
      </c>
      <c r="J952" s="7" t="str">
        <f aca="false">IF(I952&lt;-1090,"TOO LOW",IF(I952&gt;1090,"TOO HIGH",""))</f>
        <v/>
      </c>
      <c r="K952" s="15" t="n">
        <f aca="false">IF(J952&lt;&gt;"",0,IF(I952&gt;979,1000,I952))</f>
        <v>935</v>
      </c>
      <c r="L952" s="7" t="n">
        <f aca="false">K952/10</f>
        <v>93.5</v>
      </c>
    </row>
    <row r="953" customFormat="false" ht="15" hidden="false" customHeight="false" outlineLevel="0" collapsed="false">
      <c r="A953" s="7" t="n">
        <v>948</v>
      </c>
      <c r="B953" s="7" t="n">
        <f aca="false">A953/10</f>
        <v>94.8</v>
      </c>
      <c r="C953" s="7" t="n">
        <f aca="false">IF(AND(A953=0,c_TCREEP&gt;0),10*c_TCREEP,IF(AND(A953&lt;=c_TRNGMIN,A953&gt;=c_TRNGMAX,c_TRNGMIN-c_TRNGMAX&lt;&gt;0),-10*c_TMINRN+QUOTIENT((c_TMAXRN-c_TMINRN)*(100-QUOTIENT((A953-c_TRNGMAX)*100,c_TRNGMIN-c_TRNGMAX)),-10),0))</f>
        <v>0</v>
      </c>
      <c r="D953" s="7" t="n">
        <f aca="false">IF(((c_TMAP1IN)-(c_TFWD))=0,(0)+QUOTIENT(((c_TMAP1OUT)-(0)),2),QUOTIENT((((A953)-(c_TFWD))*((c_TMAP1OUT)-(0))+IF(((c_TMAP1OUT)-(0))&gt;=0,1,-1)*QUOTIENT(((c_TMAP1IN)-(c_TFWD)),2)),((c_TMAP1IN)-(c_TFWD)))+(0)+IF(((c_TMAP1OUT)-(0))&gt;=0,IF(IF(o_WRAP=1,MOD(((c_TMAP1IN)-(c_TFWD))*(((A953)-(c_TFWD))*((c_TMAP1OUT)-(0))+IF(((c_TMAP1OUT)-(0))&gt;=0,1,-1)*QUOTIENT(((c_TMAP1IN)-(c_TFWD)),2))+2147483648,4294967296)-2147483648,((c_TMAP1IN)-(c_TFWD))*(((A953)-(c_TFWD))*((c_TMAP1OUT)-(0))+IF(((c_TMAP1OUT)-(0))&gt;=0,1,-1)*QUOTIENT(((c_TMAP1IN)-(c_TFWD)),2)))&lt;0,-1,0),IF(IF(o_WRAP=1,MOD(((c_TMAP1IN)-(c_TFWD))*(((A953)-(c_TFWD))*((c_TMAP1OUT)-(0))+IF(((c_TMAP1OUT)-(0))&gt;=0,1,-1)*QUOTIENT(((c_TMAP1IN)-(c_TFWD)),2))+2147483648,4294967296)-2147483648,((c_TMAP1IN)-(c_TFWD))*(((A953)-(c_TFWD))*((c_TMAP1OUT)-(0))+IF(((c_TMAP1OUT)-(0))&gt;=0,1,-1)*QUOTIENT(((c_TMAP1IN)-(c_TFWD)),2)))&gt;=0,1,0)))</f>
        <v>730</v>
      </c>
      <c r="E953" s="7" t="n">
        <f aca="false">IF(((c_TMAP2IN)-(c_TMAP1IN))=0,(c_TMAP1OUT)+QUOTIENT(((c_TMAP2OUT)-(c_TMAP1OUT)),2),QUOTIENT((((A953)-(c_TMAP1IN))*((c_TMAP2OUT)-(c_TMAP1OUT))+IF(((c_TMAP2OUT)-(c_TMAP1OUT))&gt;=0,1,-1)*QUOTIENT(((c_TMAP2IN)-(c_TMAP1IN)),2)),((c_TMAP2IN)-(c_TMAP1IN)))+(c_TMAP1OUT)+IF(((c_TMAP2OUT)-(c_TMAP1OUT))&gt;=0,IF(IF(o_WRAP=1,MOD(((c_TMAP2IN)-(c_TMAP1IN))*(((A953)-(c_TMAP1IN))*((c_TMAP2OUT)-(c_TMAP1OUT))+IF(((c_TMAP2OUT)-(c_TMAP1OUT))&gt;=0,1,-1)*QUOTIENT(((c_TMAP2IN)-(c_TMAP1IN)),2))+2147483648,4294967296)-2147483648,((c_TMAP2IN)-(c_TMAP1IN))*(((A953)-(c_TMAP1IN))*((c_TMAP2OUT)-(c_TMAP1OUT))+IF(((c_TMAP2OUT)-(c_TMAP1OUT))&gt;=0,1,-1)*QUOTIENT(((c_TMAP2IN)-(c_TMAP1IN)),2)))&lt;0,-1,0),IF(IF(o_WRAP=1,MOD(((c_TMAP2IN)-(c_TMAP1IN))*(((A953)-(c_TMAP1IN))*((c_TMAP2OUT)-(c_TMAP1OUT))+IF(((c_TMAP2OUT)-(c_TMAP1OUT))&gt;=0,1,-1)*QUOTIENT(((c_TMAP2IN)-(c_TMAP1IN)),2))+2147483648,4294967296)-2147483648,((c_TMAP2IN)-(c_TMAP1IN))*(((A953)-(c_TMAP1IN))*((c_TMAP2OUT)-(c_TMAP1OUT))+IF(((c_TMAP2OUT)-(c_TMAP1OUT))&gt;=0,1,-1)*QUOTIENT(((c_TMAP2IN)-(c_TMAP1IN)),2)))&gt;=0,1,0)))</f>
        <v>409</v>
      </c>
      <c r="F953" s="7" t="n">
        <f aca="false">IF(((c_TMAP3IN)-(c_TMAP2IN))=0,(c_TMAP2OUT)+QUOTIENT(((c_TMAP3OUT)-(c_TMAP2OUT)),2),QUOTIENT((((A953)-(c_TMAP2IN))*((c_TMAP3OUT)-(c_TMAP2OUT))+IF(((c_TMAP3OUT)-(c_TMAP2OUT))&gt;=0,1,-1)*QUOTIENT(((c_TMAP3IN)-(c_TMAP2IN)),2)),((c_TMAP3IN)-(c_TMAP2IN)))+(c_TMAP2OUT)+IF(((c_TMAP3OUT)-(c_TMAP2OUT))&gt;=0,IF(IF(o_WRAP=1,MOD(((c_TMAP3IN)-(c_TMAP2IN))*(((A953)-(c_TMAP2IN))*((c_TMAP3OUT)-(c_TMAP2OUT))+IF(((c_TMAP3OUT)-(c_TMAP2OUT))&gt;=0,1,-1)*QUOTIENT(((c_TMAP3IN)-(c_TMAP2IN)),2))+2147483648,4294967296)-2147483648,((c_TMAP3IN)-(c_TMAP2IN))*(((A953)-(c_TMAP2IN))*((c_TMAP3OUT)-(c_TMAP2OUT))+IF(((c_TMAP3OUT)-(c_TMAP2OUT))&gt;=0,1,-1)*QUOTIENT(((c_TMAP3IN)-(c_TMAP2IN)),2)))&lt;0,-1,0),IF(IF(o_WRAP=1,MOD(((c_TMAP3IN)-(c_TMAP2IN))*(((A953)-(c_TMAP2IN))*((c_TMAP3OUT)-(c_TMAP2OUT))+IF(((c_TMAP3OUT)-(c_TMAP2OUT))&gt;=0,1,-1)*QUOTIENT(((c_TMAP3IN)-(c_TMAP2IN)),2))+2147483648,4294967296)-2147483648,((c_TMAP3IN)-(c_TMAP2IN))*(((A953)-(c_TMAP2IN))*((c_TMAP3OUT)-(c_TMAP2OUT))+IF(((c_TMAP3OUT)-(c_TMAP2OUT))&gt;=0,1,-1)*QUOTIENT(((c_TMAP3IN)-(c_TMAP2IN)),2)))&gt;=0,1,0)))</f>
        <v>619</v>
      </c>
      <c r="G953" s="7" t="n">
        <f aca="false">IF(((1000)-(c_TMAP3IN))=0,(c_TMAP3OUT)+QUOTIENT(((1000)-(c_TMAP3OUT)),2),QUOTIENT((((A953)-(c_TMAP3IN))*((1000)-(c_TMAP3OUT))+IF(((1000)-(c_TMAP3OUT))&gt;=0,1,-1)*QUOTIENT(((1000)-(c_TMAP3IN)),2)),((1000)-(c_TMAP3IN)))+(c_TMAP3OUT)+IF(((1000)-(c_TMAP3OUT))&gt;=0,IF(IF(o_WRAP=1,MOD(((1000)-(c_TMAP3IN))*(((A953)-(c_TMAP3IN))*((1000)-(c_TMAP3OUT))+IF(((1000)-(c_TMAP3OUT))&gt;=0,1,-1)*QUOTIENT(((1000)-(c_TMAP3IN)),2))+2147483648,4294967296)-2147483648,((1000)-(c_TMAP3IN))*(((A953)-(c_TMAP3IN))*((1000)-(c_TMAP3OUT))+IF(((1000)-(c_TMAP3OUT))&gt;=0,1,-1)*QUOTIENT(((1000)-(c_TMAP3IN)),2)))&lt;0,-1,0),IF(IF(o_WRAP=1,MOD(((1000)-(c_TMAP3IN))*(((A953)-(c_TMAP3IN))*((1000)-(c_TMAP3OUT))+IF(((1000)-(c_TMAP3OUT))&gt;=0,1,-1)*QUOTIENT(((1000)-(c_TMAP3IN)),2))+2147483648,4294967296)-2147483648,((1000)-(c_TMAP3IN))*(((A953)-(c_TMAP3IN))*((1000)-(c_TMAP3OUT))+IF(((1000)-(c_TMAP3OUT))&gt;=0,1,-1)*QUOTIENT(((1000)-(c_TMAP3IN)),2)))&gt;=0,1,0)))</f>
        <v>936</v>
      </c>
      <c r="H953" s="7" t="str">
        <f aca="false">IF(A953&gt;=c_TFWD,IF(AND(A953&gt;=c_TMAP3IN,c_TMAP3IN&lt;1000),"Seg4 map3-100%",IF(AND(A953&gt;=c_TMAP2IN,c_TMAP3IN&gt;c_TMAP2IN),"Seg3 map2-map3",IF(AND(A953&gt;=c_TMAP1IN,c_TMAP2IN&gt;c_TMAP1IN),"Seg2 map1-map2","Seg1 TFWD-map1"))),IF(AND(A953=0,c_TCREEP&gt;0),"Creep",IF(AND(A953&lt;=c_TRNGMIN,A953&gt;=c_TRNGMAX,c_TRNGMIN-c_TRNGMAX&lt;&gt;0),"Regen ramp","Coast (0)")))</f>
        <v>Seg4 map3-100%</v>
      </c>
      <c r="I953" s="7" t="n">
        <f aca="false">IF(A953&gt;=c_TFWD,IF(AND(A953&gt;=c_TMAP3IN,c_TMAP3IN&lt;1000),G953,IF(AND(A953&gt;=c_TMAP2IN,c_TMAP3IN&gt;c_TMAP2IN),F953,IF(AND(A953&gt;=c_TMAP1IN,c_TMAP2IN&gt;c_TMAP1IN),E953,D953))),C953)</f>
        <v>936</v>
      </c>
      <c r="J953" s="7" t="str">
        <f aca="false">IF(I953&lt;-1090,"TOO LOW",IF(I953&gt;1090,"TOO HIGH",""))</f>
        <v/>
      </c>
      <c r="K953" s="15" t="n">
        <f aca="false">IF(J953&lt;&gt;"",0,IF(I953&gt;979,1000,I953))</f>
        <v>936</v>
      </c>
      <c r="L953" s="7" t="n">
        <f aca="false">K953/10</f>
        <v>93.6</v>
      </c>
    </row>
    <row r="954" customFormat="false" ht="15" hidden="false" customHeight="false" outlineLevel="0" collapsed="false">
      <c r="A954" s="7" t="n">
        <v>949</v>
      </c>
      <c r="B954" s="7" t="n">
        <f aca="false">A954/10</f>
        <v>94.9</v>
      </c>
      <c r="C954" s="7" t="n">
        <f aca="false">IF(AND(A954=0,c_TCREEP&gt;0),10*c_TCREEP,IF(AND(A954&lt;=c_TRNGMIN,A954&gt;=c_TRNGMAX,c_TRNGMIN-c_TRNGMAX&lt;&gt;0),-10*c_TMINRN+QUOTIENT((c_TMAXRN-c_TMINRN)*(100-QUOTIENT((A954-c_TRNGMAX)*100,c_TRNGMIN-c_TRNGMAX)),-10),0))</f>
        <v>0</v>
      </c>
      <c r="D954" s="7" t="n">
        <f aca="false">IF(((c_TMAP1IN)-(c_TFWD))=0,(0)+QUOTIENT(((c_TMAP1OUT)-(0)),2),QUOTIENT((((A954)-(c_TFWD))*((c_TMAP1OUT)-(0))+IF(((c_TMAP1OUT)-(0))&gt;=0,1,-1)*QUOTIENT(((c_TMAP1IN)-(c_TFWD)),2)),((c_TMAP1IN)-(c_TFWD)))+(0)+IF(((c_TMAP1OUT)-(0))&gt;=0,IF(IF(o_WRAP=1,MOD(((c_TMAP1IN)-(c_TFWD))*(((A954)-(c_TFWD))*((c_TMAP1OUT)-(0))+IF(((c_TMAP1OUT)-(0))&gt;=0,1,-1)*QUOTIENT(((c_TMAP1IN)-(c_TFWD)),2))+2147483648,4294967296)-2147483648,((c_TMAP1IN)-(c_TFWD))*(((A954)-(c_TFWD))*((c_TMAP1OUT)-(0))+IF(((c_TMAP1OUT)-(0))&gt;=0,1,-1)*QUOTIENT(((c_TMAP1IN)-(c_TFWD)),2)))&lt;0,-1,0),IF(IF(o_WRAP=1,MOD(((c_TMAP1IN)-(c_TFWD))*(((A954)-(c_TFWD))*((c_TMAP1OUT)-(0))+IF(((c_TMAP1OUT)-(0))&gt;=0,1,-1)*QUOTIENT(((c_TMAP1IN)-(c_TFWD)),2))+2147483648,4294967296)-2147483648,((c_TMAP1IN)-(c_TFWD))*(((A954)-(c_TFWD))*((c_TMAP1OUT)-(0))+IF(((c_TMAP1OUT)-(0))&gt;=0,1,-1)*QUOTIENT(((c_TMAP1IN)-(c_TFWD)),2)))&gt;=0,1,0)))</f>
        <v>730</v>
      </c>
      <c r="E954" s="7" t="n">
        <f aca="false">IF(((c_TMAP2IN)-(c_TMAP1IN))=0,(c_TMAP1OUT)+QUOTIENT(((c_TMAP2OUT)-(c_TMAP1OUT)),2),QUOTIENT((((A954)-(c_TMAP1IN))*((c_TMAP2OUT)-(c_TMAP1OUT))+IF(((c_TMAP2OUT)-(c_TMAP1OUT))&gt;=0,1,-1)*QUOTIENT(((c_TMAP2IN)-(c_TMAP1IN)),2)),((c_TMAP2IN)-(c_TMAP1IN)))+(c_TMAP1OUT)+IF(((c_TMAP2OUT)-(c_TMAP1OUT))&gt;=0,IF(IF(o_WRAP=1,MOD(((c_TMAP2IN)-(c_TMAP1IN))*(((A954)-(c_TMAP1IN))*((c_TMAP2OUT)-(c_TMAP1OUT))+IF(((c_TMAP2OUT)-(c_TMAP1OUT))&gt;=0,1,-1)*QUOTIENT(((c_TMAP2IN)-(c_TMAP1IN)),2))+2147483648,4294967296)-2147483648,((c_TMAP2IN)-(c_TMAP1IN))*(((A954)-(c_TMAP1IN))*((c_TMAP2OUT)-(c_TMAP1OUT))+IF(((c_TMAP2OUT)-(c_TMAP1OUT))&gt;=0,1,-1)*QUOTIENT(((c_TMAP2IN)-(c_TMAP1IN)),2)))&lt;0,-1,0),IF(IF(o_WRAP=1,MOD(((c_TMAP2IN)-(c_TMAP1IN))*(((A954)-(c_TMAP1IN))*((c_TMAP2OUT)-(c_TMAP1OUT))+IF(((c_TMAP2OUT)-(c_TMAP1OUT))&gt;=0,1,-1)*QUOTIENT(((c_TMAP2IN)-(c_TMAP1IN)),2))+2147483648,4294967296)-2147483648,((c_TMAP2IN)-(c_TMAP1IN))*(((A954)-(c_TMAP1IN))*((c_TMAP2OUT)-(c_TMAP1OUT))+IF(((c_TMAP2OUT)-(c_TMAP1OUT))&gt;=0,1,-1)*QUOTIENT(((c_TMAP2IN)-(c_TMAP1IN)),2)))&gt;=0,1,0)))</f>
        <v>410</v>
      </c>
      <c r="F954" s="7" t="n">
        <f aca="false">IF(((c_TMAP3IN)-(c_TMAP2IN))=0,(c_TMAP2OUT)+QUOTIENT(((c_TMAP3OUT)-(c_TMAP2OUT)),2),QUOTIENT((((A954)-(c_TMAP2IN))*((c_TMAP3OUT)-(c_TMAP2OUT))+IF(((c_TMAP3OUT)-(c_TMAP2OUT))&gt;=0,1,-1)*QUOTIENT(((c_TMAP3IN)-(c_TMAP2IN)),2)),((c_TMAP3IN)-(c_TMAP2IN)))+(c_TMAP2OUT)+IF(((c_TMAP3OUT)-(c_TMAP2OUT))&gt;=0,IF(IF(o_WRAP=1,MOD(((c_TMAP3IN)-(c_TMAP2IN))*(((A954)-(c_TMAP2IN))*((c_TMAP3OUT)-(c_TMAP2OUT))+IF(((c_TMAP3OUT)-(c_TMAP2OUT))&gt;=0,1,-1)*QUOTIENT(((c_TMAP3IN)-(c_TMAP2IN)),2))+2147483648,4294967296)-2147483648,((c_TMAP3IN)-(c_TMAP2IN))*(((A954)-(c_TMAP2IN))*((c_TMAP3OUT)-(c_TMAP2OUT))+IF(((c_TMAP3OUT)-(c_TMAP2OUT))&gt;=0,1,-1)*QUOTIENT(((c_TMAP3IN)-(c_TMAP2IN)),2)))&lt;0,-1,0),IF(IF(o_WRAP=1,MOD(((c_TMAP3IN)-(c_TMAP2IN))*(((A954)-(c_TMAP2IN))*((c_TMAP3OUT)-(c_TMAP2OUT))+IF(((c_TMAP3OUT)-(c_TMAP2OUT))&gt;=0,1,-1)*QUOTIENT(((c_TMAP3IN)-(c_TMAP2IN)),2))+2147483648,4294967296)-2147483648,((c_TMAP3IN)-(c_TMAP2IN))*(((A954)-(c_TMAP2IN))*((c_TMAP3OUT)-(c_TMAP2OUT))+IF(((c_TMAP3OUT)-(c_TMAP2OUT))&gt;=0,1,-1)*QUOTIENT(((c_TMAP3IN)-(c_TMAP2IN)),2)))&gt;=0,1,0)))</f>
        <v>619</v>
      </c>
      <c r="G954" s="7" t="n">
        <f aca="false">IF(((1000)-(c_TMAP3IN))=0,(c_TMAP3OUT)+QUOTIENT(((1000)-(c_TMAP3OUT)),2),QUOTIENT((((A954)-(c_TMAP3IN))*((1000)-(c_TMAP3OUT))+IF(((1000)-(c_TMAP3OUT))&gt;=0,1,-1)*QUOTIENT(((1000)-(c_TMAP3IN)),2)),((1000)-(c_TMAP3IN)))+(c_TMAP3OUT)+IF(((1000)-(c_TMAP3OUT))&gt;=0,IF(IF(o_WRAP=1,MOD(((1000)-(c_TMAP3IN))*(((A954)-(c_TMAP3IN))*((1000)-(c_TMAP3OUT))+IF(((1000)-(c_TMAP3OUT))&gt;=0,1,-1)*QUOTIENT(((1000)-(c_TMAP3IN)),2))+2147483648,4294967296)-2147483648,((1000)-(c_TMAP3IN))*(((A954)-(c_TMAP3IN))*((1000)-(c_TMAP3OUT))+IF(((1000)-(c_TMAP3OUT))&gt;=0,1,-1)*QUOTIENT(((1000)-(c_TMAP3IN)),2)))&lt;0,-1,0),IF(IF(o_WRAP=1,MOD(((1000)-(c_TMAP3IN))*(((A954)-(c_TMAP3IN))*((1000)-(c_TMAP3OUT))+IF(((1000)-(c_TMAP3OUT))&gt;=0,1,-1)*QUOTIENT(((1000)-(c_TMAP3IN)),2))+2147483648,4294967296)-2147483648,((1000)-(c_TMAP3IN))*(((A954)-(c_TMAP3IN))*((1000)-(c_TMAP3OUT))+IF(((1000)-(c_TMAP3OUT))&gt;=0,1,-1)*QUOTIENT(((1000)-(c_TMAP3IN)),2)))&gt;=0,1,0)))</f>
        <v>937</v>
      </c>
      <c r="H954" s="7" t="str">
        <f aca="false">IF(A954&gt;=c_TFWD,IF(AND(A954&gt;=c_TMAP3IN,c_TMAP3IN&lt;1000),"Seg4 map3-100%",IF(AND(A954&gt;=c_TMAP2IN,c_TMAP3IN&gt;c_TMAP2IN),"Seg3 map2-map3",IF(AND(A954&gt;=c_TMAP1IN,c_TMAP2IN&gt;c_TMAP1IN),"Seg2 map1-map2","Seg1 TFWD-map1"))),IF(AND(A954=0,c_TCREEP&gt;0),"Creep",IF(AND(A954&lt;=c_TRNGMIN,A954&gt;=c_TRNGMAX,c_TRNGMIN-c_TRNGMAX&lt;&gt;0),"Regen ramp","Coast (0)")))</f>
        <v>Seg4 map3-100%</v>
      </c>
      <c r="I954" s="7" t="n">
        <f aca="false">IF(A954&gt;=c_TFWD,IF(AND(A954&gt;=c_TMAP3IN,c_TMAP3IN&lt;1000),G954,IF(AND(A954&gt;=c_TMAP2IN,c_TMAP3IN&gt;c_TMAP2IN),F954,IF(AND(A954&gt;=c_TMAP1IN,c_TMAP2IN&gt;c_TMAP1IN),E954,D954))),C954)</f>
        <v>937</v>
      </c>
      <c r="J954" s="7" t="str">
        <f aca="false">IF(I954&lt;-1090,"TOO LOW",IF(I954&gt;1090,"TOO HIGH",""))</f>
        <v/>
      </c>
      <c r="K954" s="15" t="n">
        <f aca="false">IF(J954&lt;&gt;"",0,IF(I954&gt;979,1000,I954))</f>
        <v>937</v>
      </c>
      <c r="L954" s="7" t="n">
        <f aca="false">K954/10</f>
        <v>93.7</v>
      </c>
    </row>
    <row r="955" customFormat="false" ht="15" hidden="false" customHeight="false" outlineLevel="0" collapsed="false">
      <c r="A955" s="7" t="n">
        <v>950</v>
      </c>
      <c r="B955" s="7" t="n">
        <f aca="false">A955/10</f>
        <v>95</v>
      </c>
      <c r="C955" s="7" t="n">
        <f aca="false">IF(AND(A955=0,c_TCREEP&gt;0),10*c_TCREEP,IF(AND(A955&lt;=c_TRNGMIN,A955&gt;=c_TRNGMAX,c_TRNGMIN-c_TRNGMAX&lt;&gt;0),-10*c_TMINRN+QUOTIENT((c_TMAXRN-c_TMINRN)*(100-QUOTIENT((A955-c_TRNGMAX)*100,c_TRNGMIN-c_TRNGMAX)),-10),0))</f>
        <v>0</v>
      </c>
      <c r="D955" s="7" t="n">
        <f aca="false">IF(((c_TMAP1IN)-(c_TFWD))=0,(0)+QUOTIENT(((c_TMAP1OUT)-(0)),2),QUOTIENT((((A955)-(c_TFWD))*((c_TMAP1OUT)-(0))+IF(((c_TMAP1OUT)-(0))&gt;=0,1,-1)*QUOTIENT(((c_TMAP1IN)-(c_TFWD)),2)),((c_TMAP1IN)-(c_TFWD)))+(0)+IF(((c_TMAP1OUT)-(0))&gt;=0,IF(IF(o_WRAP=1,MOD(((c_TMAP1IN)-(c_TFWD))*(((A955)-(c_TFWD))*((c_TMAP1OUT)-(0))+IF(((c_TMAP1OUT)-(0))&gt;=0,1,-1)*QUOTIENT(((c_TMAP1IN)-(c_TFWD)),2))+2147483648,4294967296)-2147483648,((c_TMAP1IN)-(c_TFWD))*(((A955)-(c_TFWD))*((c_TMAP1OUT)-(0))+IF(((c_TMAP1OUT)-(0))&gt;=0,1,-1)*QUOTIENT(((c_TMAP1IN)-(c_TFWD)),2)))&lt;0,-1,0),IF(IF(o_WRAP=1,MOD(((c_TMAP1IN)-(c_TFWD))*(((A955)-(c_TFWD))*((c_TMAP1OUT)-(0))+IF(((c_TMAP1OUT)-(0))&gt;=0,1,-1)*QUOTIENT(((c_TMAP1IN)-(c_TFWD)),2))+2147483648,4294967296)-2147483648,((c_TMAP1IN)-(c_TFWD))*(((A955)-(c_TFWD))*((c_TMAP1OUT)-(0))+IF(((c_TMAP1OUT)-(0))&gt;=0,1,-1)*QUOTIENT(((c_TMAP1IN)-(c_TFWD)),2)))&gt;=0,1,0)))</f>
        <v>731</v>
      </c>
      <c r="E955" s="7" t="n">
        <f aca="false">IF(((c_TMAP2IN)-(c_TMAP1IN))=0,(c_TMAP1OUT)+QUOTIENT(((c_TMAP2OUT)-(c_TMAP1OUT)),2),QUOTIENT((((A955)-(c_TMAP1IN))*((c_TMAP2OUT)-(c_TMAP1OUT))+IF(((c_TMAP2OUT)-(c_TMAP1OUT))&gt;=0,1,-1)*QUOTIENT(((c_TMAP2IN)-(c_TMAP1IN)),2)),((c_TMAP2IN)-(c_TMAP1IN)))+(c_TMAP1OUT)+IF(((c_TMAP2OUT)-(c_TMAP1OUT))&gt;=0,IF(IF(o_WRAP=1,MOD(((c_TMAP2IN)-(c_TMAP1IN))*(((A955)-(c_TMAP1IN))*((c_TMAP2OUT)-(c_TMAP1OUT))+IF(((c_TMAP2OUT)-(c_TMAP1OUT))&gt;=0,1,-1)*QUOTIENT(((c_TMAP2IN)-(c_TMAP1IN)),2))+2147483648,4294967296)-2147483648,((c_TMAP2IN)-(c_TMAP1IN))*(((A955)-(c_TMAP1IN))*((c_TMAP2OUT)-(c_TMAP1OUT))+IF(((c_TMAP2OUT)-(c_TMAP1OUT))&gt;=0,1,-1)*QUOTIENT(((c_TMAP2IN)-(c_TMAP1IN)),2)))&lt;0,-1,0),IF(IF(o_WRAP=1,MOD(((c_TMAP2IN)-(c_TMAP1IN))*(((A955)-(c_TMAP1IN))*((c_TMAP2OUT)-(c_TMAP1OUT))+IF(((c_TMAP2OUT)-(c_TMAP1OUT))&gt;=0,1,-1)*QUOTIENT(((c_TMAP2IN)-(c_TMAP1IN)),2))+2147483648,4294967296)-2147483648,((c_TMAP2IN)-(c_TMAP1IN))*(((A955)-(c_TMAP1IN))*((c_TMAP2OUT)-(c_TMAP1OUT))+IF(((c_TMAP2OUT)-(c_TMAP1OUT))&gt;=0,1,-1)*QUOTIENT(((c_TMAP2IN)-(c_TMAP1IN)),2)))&gt;=0,1,0)))</f>
        <v>410</v>
      </c>
      <c r="F955" s="7" t="n">
        <f aca="false">IF(((c_TMAP3IN)-(c_TMAP2IN))=0,(c_TMAP2OUT)+QUOTIENT(((c_TMAP3OUT)-(c_TMAP2OUT)),2),QUOTIENT((((A955)-(c_TMAP2IN))*((c_TMAP3OUT)-(c_TMAP2OUT))+IF(((c_TMAP3OUT)-(c_TMAP2OUT))&gt;=0,1,-1)*QUOTIENT(((c_TMAP3IN)-(c_TMAP2IN)),2)),((c_TMAP3IN)-(c_TMAP2IN)))+(c_TMAP2OUT)+IF(((c_TMAP3OUT)-(c_TMAP2OUT))&gt;=0,IF(IF(o_WRAP=1,MOD(((c_TMAP3IN)-(c_TMAP2IN))*(((A955)-(c_TMAP2IN))*((c_TMAP3OUT)-(c_TMAP2OUT))+IF(((c_TMAP3OUT)-(c_TMAP2OUT))&gt;=0,1,-1)*QUOTIENT(((c_TMAP3IN)-(c_TMAP2IN)),2))+2147483648,4294967296)-2147483648,((c_TMAP3IN)-(c_TMAP2IN))*(((A955)-(c_TMAP2IN))*((c_TMAP3OUT)-(c_TMAP2OUT))+IF(((c_TMAP3OUT)-(c_TMAP2OUT))&gt;=0,1,-1)*QUOTIENT(((c_TMAP3IN)-(c_TMAP2IN)),2)))&lt;0,-1,0),IF(IF(o_WRAP=1,MOD(((c_TMAP3IN)-(c_TMAP2IN))*(((A955)-(c_TMAP2IN))*((c_TMAP3OUT)-(c_TMAP2OUT))+IF(((c_TMAP3OUT)-(c_TMAP2OUT))&gt;=0,1,-1)*QUOTIENT(((c_TMAP3IN)-(c_TMAP2IN)),2))+2147483648,4294967296)-2147483648,((c_TMAP3IN)-(c_TMAP2IN))*(((A955)-(c_TMAP2IN))*((c_TMAP3OUT)-(c_TMAP2OUT))+IF(((c_TMAP3OUT)-(c_TMAP2OUT))&gt;=0,1,-1)*QUOTIENT(((c_TMAP3IN)-(c_TMAP2IN)),2)))&gt;=0,1,0)))</f>
        <v>620</v>
      </c>
      <c r="G955" s="7" t="n">
        <f aca="false">IF(((1000)-(c_TMAP3IN))=0,(c_TMAP3OUT)+QUOTIENT(((1000)-(c_TMAP3OUT)),2),QUOTIENT((((A955)-(c_TMAP3IN))*((1000)-(c_TMAP3OUT))+IF(((1000)-(c_TMAP3OUT))&gt;=0,1,-1)*QUOTIENT(((1000)-(c_TMAP3IN)),2)),((1000)-(c_TMAP3IN)))+(c_TMAP3OUT)+IF(((1000)-(c_TMAP3OUT))&gt;=0,IF(IF(o_WRAP=1,MOD(((1000)-(c_TMAP3IN))*(((A955)-(c_TMAP3IN))*((1000)-(c_TMAP3OUT))+IF(((1000)-(c_TMAP3OUT))&gt;=0,1,-1)*QUOTIENT(((1000)-(c_TMAP3IN)),2))+2147483648,4294967296)-2147483648,((1000)-(c_TMAP3IN))*(((A955)-(c_TMAP3IN))*((1000)-(c_TMAP3OUT))+IF(((1000)-(c_TMAP3OUT))&gt;=0,1,-1)*QUOTIENT(((1000)-(c_TMAP3IN)),2)))&lt;0,-1,0),IF(IF(o_WRAP=1,MOD(((1000)-(c_TMAP3IN))*(((A955)-(c_TMAP3IN))*((1000)-(c_TMAP3OUT))+IF(((1000)-(c_TMAP3OUT))&gt;=0,1,-1)*QUOTIENT(((1000)-(c_TMAP3IN)),2))+2147483648,4294967296)-2147483648,((1000)-(c_TMAP3IN))*(((A955)-(c_TMAP3IN))*((1000)-(c_TMAP3OUT))+IF(((1000)-(c_TMAP3OUT))&gt;=0,1,-1)*QUOTIENT(((1000)-(c_TMAP3IN)),2)))&gt;=0,1,0)))</f>
        <v>938</v>
      </c>
      <c r="H955" s="7" t="str">
        <f aca="false">IF(A955&gt;=c_TFWD,IF(AND(A955&gt;=c_TMAP3IN,c_TMAP3IN&lt;1000),"Seg4 map3-100%",IF(AND(A955&gt;=c_TMAP2IN,c_TMAP3IN&gt;c_TMAP2IN),"Seg3 map2-map3",IF(AND(A955&gt;=c_TMAP1IN,c_TMAP2IN&gt;c_TMAP1IN),"Seg2 map1-map2","Seg1 TFWD-map1"))),IF(AND(A955=0,c_TCREEP&gt;0),"Creep",IF(AND(A955&lt;=c_TRNGMIN,A955&gt;=c_TRNGMAX,c_TRNGMIN-c_TRNGMAX&lt;&gt;0),"Regen ramp","Coast (0)")))</f>
        <v>Seg4 map3-100%</v>
      </c>
      <c r="I955" s="7" t="n">
        <f aca="false">IF(A955&gt;=c_TFWD,IF(AND(A955&gt;=c_TMAP3IN,c_TMAP3IN&lt;1000),G955,IF(AND(A955&gt;=c_TMAP2IN,c_TMAP3IN&gt;c_TMAP2IN),F955,IF(AND(A955&gt;=c_TMAP1IN,c_TMAP2IN&gt;c_TMAP1IN),E955,D955))),C955)</f>
        <v>938</v>
      </c>
      <c r="J955" s="7" t="str">
        <f aca="false">IF(I955&lt;-1090,"TOO LOW",IF(I955&gt;1090,"TOO HIGH",""))</f>
        <v/>
      </c>
      <c r="K955" s="15" t="n">
        <f aca="false">IF(J955&lt;&gt;"",0,IF(I955&gt;979,1000,I955))</f>
        <v>938</v>
      </c>
      <c r="L955" s="7" t="n">
        <f aca="false">K955/10</f>
        <v>93.8</v>
      </c>
    </row>
    <row r="956" customFormat="false" ht="15" hidden="false" customHeight="false" outlineLevel="0" collapsed="false">
      <c r="A956" s="7" t="n">
        <v>951</v>
      </c>
      <c r="B956" s="7" t="n">
        <f aca="false">A956/10</f>
        <v>95.1</v>
      </c>
      <c r="C956" s="7" t="n">
        <f aca="false">IF(AND(A956=0,c_TCREEP&gt;0),10*c_TCREEP,IF(AND(A956&lt;=c_TRNGMIN,A956&gt;=c_TRNGMAX,c_TRNGMIN-c_TRNGMAX&lt;&gt;0),-10*c_TMINRN+QUOTIENT((c_TMAXRN-c_TMINRN)*(100-QUOTIENT((A956-c_TRNGMAX)*100,c_TRNGMIN-c_TRNGMAX)),-10),0))</f>
        <v>0</v>
      </c>
      <c r="D956" s="7" t="n">
        <f aca="false">IF(((c_TMAP1IN)-(c_TFWD))=0,(0)+QUOTIENT(((c_TMAP1OUT)-(0)),2),QUOTIENT((((A956)-(c_TFWD))*((c_TMAP1OUT)-(0))+IF(((c_TMAP1OUT)-(0))&gt;=0,1,-1)*QUOTIENT(((c_TMAP1IN)-(c_TFWD)),2)),((c_TMAP1IN)-(c_TFWD)))+(0)+IF(((c_TMAP1OUT)-(0))&gt;=0,IF(IF(o_WRAP=1,MOD(((c_TMAP1IN)-(c_TFWD))*(((A956)-(c_TFWD))*((c_TMAP1OUT)-(0))+IF(((c_TMAP1OUT)-(0))&gt;=0,1,-1)*QUOTIENT(((c_TMAP1IN)-(c_TFWD)),2))+2147483648,4294967296)-2147483648,((c_TMAP1IN)-(c_TFWD))*(((A956)-(c_TFWD))*((c_TMAP1OUT)-(0))+IF(((c_TMAP1OUT)-(0))&gt;=0,1,-1)*QUOTIENT(((c_TMAP1IN)-(c_TFWD)),2)))&lt;0,-1,0),IF(IF(o_WRAP=1,MOD(((c_TMAP1IN)-(c_TFWD))*(((A956)-(c_TFWD))*((c_TMAP1OUT)-(0))+IF(((c_TMAP1OUT)-(0))&gt;=0,1,-1)*QUOTIENT(((c_TMAP1IN)-(c_TFWD)),2))+2147483648,4294967296)-2147483648,((c_TMAP1IN)-(c_TFWD))*(((A956)-(c_TFWD))*((c_TMAP1OUT)-(0))+IF(((c_TMAP1OUT)-(0))&gt;=0,1,-1)*QUOTIENT(((c_TMAP1IN)-(c_TFWD)),2)))&gt;=0,1,0)))</f>
        <v>732</v>
      </c>
      <c r="E956" s="7" t="n">
        <f aca="false">IF(((c_TMAP2IN)-(c_TMAP1IN))=0,(c_TMAP1OUT)+QUOTIENT(((c_TMAP2OUT)-(c_TMAP1OUT)),2),QUOTIENT((((A956)-(c_TMAP1IN))*((c_TMAP2OUT)-(c_TMAP1OUT))+IF(((c_TMAP2OUT)-(c_TMAP1OUT))&gt;=0,1,-1)*QUOTIENT(((c_TMAP2IN)-(c_TMAP1IN)),2)),((c_TMAP2IN)-(c_TMAP1IN)))+(c_TMAP1OUT)+IF(((c_TMAP2OUT)-(c_TMAP1OUT))&gt;=0,IF(IF(o_WRAP=1,MOD(((c_TMAP2IN)-(c_TMAP1IN))*(((A956)-(c_TMAP1IN))*((c_TMAP2OUT)-(c_TMAP1OUT))+IF(((c_TMAP2OUT)-(c_TMAP1OUT))&gt;=0,1,-1)*QUOTIENT(((c_TMAP2IN)-(c_TMAP1IN)),2))+2147483648,4294967296)-2147483648,((c_TMAP2IN)-(c_TMAP1IN))*(((A956)-(c_TMAP1IN))*((c_TMAP2OUT)-(c_TMAP1OUT))+IF(((c_TMAP2OUT)-(c_TMAP1OUT))&gt;=0,1,-1)*QUOTIENT(((c_TMAP2IN)-(c_TMAP1IN)),2)))&lt;0,-1,0),IF(IF(o_WRAP=1,MOD(((c_TMAP2IN)-(c_TMAP1IN))*(((A956)-(c_TMAP1IN))*((c_TMAP2OUT)-(c_TMAP1OUT))+IF(((c_TMAP2OUT)-(c_TMAP1OUT))&gt;=0,1,-1)*QUOTIENT(((c_TMAP2IN)-(c_TMAP1IN)),2))+2147483648,4294967296)-2147483648,((c_TMAP2IN)-(c_TMAP1IN))*(((A956)-(c_TMAP1IN))*((c_TMAP2OUT)-(c_TMAP1OUT))+IF(((c_TMAP2OUT)-(c_TMAP1OUT))&gt;=0,1,-1)*QUOTIENT(((c_TMAP2IN)-(c_TMAP1IN)),2)))&gt;=0,1,0)))</f>
        <v>410</v>
      </c>
      <c r="F956" s="7" t="n">
        <f aca="false">IF(((c_TMAP3IN)-(c_TMAP2IN))=0,(c_TMAP2OUT)+QUOTIENT(((c_TMAP3OUT)-(c_TMAP2OUT)),2),QUOTIENT((((A956)-(c_TMAP2IN))*((c_TMAP3OUT)-(c_TMAP2OUT))+IF(((c_TMAP3OUT)-(c_TMAP2OUT))&gt;=0,1,-1)*QUOTIENT(((c_TMAP3IN)-(c_TMAP2IN)),2)),((c_TMAP3IN)-(c_TMAP2IN)))+(c_TMAP2OUT)+IF(((c_TMAP3OUT)-(c_TMAP2OUT))&gt;=0,IF(IF(o_WRAP=1,MOD(((c_TMAP3IN)-(c_TMAP2IN))*(((A956)-(c_TMAP2IN))*((c_TMAP3OUT)-(c_TMAP2OUT))+IF(((c_TMAP3OUT)-(c_TMAP2OUT))&gt;=0,1,-1)*QUOTIENT(((c_TMAP3IN)-(c_TMAP2IN)),2))+2147483648,4294967296)-2147483648,((c_TMAP3IN)-(c_TMAP2IN))*(((A956)-(c_TMAP2IN))*((c_TMAP3OUT)-(c_TMAP2OUT))+IF(((c_TMAP3OUT)-(c_TMAP2OUT))&gt;=0,1,-1)*QUOTIENT(((c_TMAP3IN)-(c_TMAP2IN)),2)))&lt;0,-1,0),IF(IF(o_WRAP=1,MOD(((c_TMAP3IN)-(c_TMAP2IN))*(((A956)-(c_TMAP2IN))*((c_TMAP3OUT)-(c_TMAP2OUT))+IF(((c_TMAP3OUT)-(c_TMAP2OUT))&gt;=0,1,-1)*QUOTIENT(((c_TMAP3IN)-(c_TMAP2IN)),2))+2147483648,4294967296)-2147483648,((c_TMAP3IN)-(c_TMAP2IN))*(((A956)-(c_TMAP2IN))*((c_TMAP3OUT)-(c_TMAP2OUT))+IF(((c_TMAP3OUT)-(c_TMAP2OUT))&gt;=0,1,-1)*QUOTIENT(((c_TMAP3IN)-(c_TMAP2IN)),2)))&gt;=0,1,0)))</f>
        <v>621</v>
      </c>
      <c r="G956" s="7" t="n">
        <f aca="false">IF(((1000)-(c_TMAP3IN))=0,(c_TMAP3OUT)+QUOTIENT(((1000)-(c_TMAP3OUT)),2),QUOTIENT((((A956)-(c_TMAP3IN))*((1000)-(c_TMAP3OUT))+IF(((1000)-(c_TMAP3OUT))&gt;=0,1,-1)*QUOTIENT(((1000)-(c_TMAP3IN)),2)),((1000)-(c_TMAP3IN)))+(c_TMAP3OUT)+IF(((1000)-(c_TMAP3OUT))&gt;=0,IF(IF(o_WRAP=1,MOD(((1000)-(c_TMAP3IN))*(((A956)-(c_TMAP3IN))*((1000)-(c_TMAP3OUT))+IF(((1000)-(c_TMAP3OUT))&gt;=0,1,-1)*QUOTIENT(((1000)-(c_TMAP3IN)),2))+2147483648,4294967296)-2147483648,((1000)-(c_TMAP3IN))*(((A956)-(c_TMAP3IN))*((1000)-(c_TMAP3OUT))+IF(((1000)-(c_TMAP3OUT))&gt;=0,1,-1)*QUOTIENT(((1000)-(c_TMAP3IN)),2)))&lt;0,-1,0),IF(IF(o_WRAP=1,MOD(((1000)-(c_TMAP3IN))*(((A956)-(c_TMAP3IN))*((1000)-(c_TMAP3OUT))+IF(((1000)-(c_TMAP3OUT))&gt;=0,1,-1)*QUOTIENT(((1000)-(c_TMAP3IN)),2))+2147483648,4294967296)-2147483648,((1000)-(c_TMAP3IN))*(((A956)-(c_TMAP3IN))*((1000)-(c_TMAP3OUT))+IF(((1000)-(c_TMAP3OUT))&gt;=0,1,-1)*QUOTIENT(((1000)-(c_TMAP3IN)),2)))&gt;=0,1,0)))</f>
        <v>940</v>
      </c>
      <c r="H956" s="7" t="str">
        <f aca="false">IF(A956&gt;=c_TFWD,IF(AND(A956&gt;=c_TMAP3IN,c_TMAP3IN&lt;1000),"Seg4 map3-100%",IF(AND(A956&gt;=c_TMAP2IN,c_TMAP3IN&gt;c_TMAP2IN),"Seg3 map2-map3",IF(AND(A956&gt;=c_TMAP1IN,c_TMAP2IN&gt;c_TMAP1IN),"Seg2 map1-map2","Seg1 TFWD-map1"))),IF(AND(A956=0,c_TCREEP&gt;0),"Creep",IF(AND(A956&lt;=c_TRNGMIN,A956&gt;=c_TRNGMAX,c_TRNGMIN-c_TRNGMAX&lt;&gt;0),"Regen ramp","Coast (0)")))</f>
        <v>Seg4 map3-100%</v>
      </c>
      <c r="I956" s="7" t="n">
        <f aca="false">IF(A956&gt;=c_TFWD,IF(AND(A956&gt;=c_TMAP3IN,c_TMAP3IN&lt;1000),G956,IF(AND(A956&gt;=c_TMAP2IN,c_TMAP3IN&gt;c_TMAP2IN),F956,IF(AND(A956&gt;=c_TMAP1IN,c_TMAP2IN&gt;c_TMAP1IN),E956,D956))),C956)</f>
        <v>940</v>
      </c>
      <c r="J956" s="7" t="str">
        <f aca="false">IF(I956&lt;-1090,"TOO LOW",IF(I956&gt;1090,"TOO HIGH",""))</f>
        <v/>
      </c>
      <c r="K956" s="15" t="n">
        <f aca="false">IF(J956&lt;&gt;"",0,IF(I956&gt;979,1000,I956))</f>
        <v>940</v>
      </c>
      <c r="L956" s="7" t="n">
        <f aca="false">K956/10</f>
        <v>94</v>
      </c>
    </row>
    <row r="957" customFormat="false" ht="15" hidden="false" customHeight="false" outlineLevel="0" collapsed="false">
      <c r="A957" s="7" t="n">
        <v>952</v>
      </c>
      <c r="B957" s="7" t="n">
        <f aca="false">A957/10</f>
        <v>95.2</v>
      </c>
      <c r="C957" s="7" t="n">
        <f aca="false">IF(AND(A957=0,c_TCREEP&gt;0),10*c_TCREEP,IF(AND(A957&lt;=c_TRNGMIN,A957&gt;=c_TRNGMAX,c_TRNGMIN-c_TRNGMAX&lt;&gt;0),-10*c_TMINRN+QUOTIENT((c_TMAXRN-c_TMINRN)*(100-QUOTIENT((A957-c_TRNGMAX)*100,c_TRNGMIN-c_TRNGMAX)),-10),0))</f>
        <v>0</v>
      </c>
      <c r="D957" s="7" t="n">
        <f aca="false">IF(((c_TMAP1IN)-(c_TFWD))=0,(0)+QUOTIENT(((c_TMAP1OUT)-(0)),2),QUOTIENT((((A957)-(c_TFWD))*((c_TMAP1OUT)-(0))+IF(((c_TMAP1OUT)-(0))&gt;=0,1,-1)*QUOTIENT(((c_TMAP1IN)-(c_TFWD)),2)),((c_TMAP1IN)-(c_TFWD)))+(0)+IF(((c_TMAP1OUT)-(0))&gt;=0,IF(IF(o_WRAP=1,MOD(((c_TMAP1IN)-(c_TFWD))*(((A957)-(c_TFWD))*((c_TMAP1OUT)-(0))+IF(((c_TMAP1OUT)-(0))&gt;=0,1,-1)*QUOTIENT(((c_TMAP1IN)-(c_TFWD)),2))+2147483648,4294967296)-2147483648,((c_TMAP1IN)-(c_TFWD))*(((A957)-(c_TFWD))*((c_TMAP1OUT)-(0))+IF(((c_TMAP1OUT)-(0))&gt;=0,1,-1)*QUOTIENT(((c_TMAP1IN)-(c_TFWD)),2)))&lt;0,-1,0),IF(IF(o_WRAP=1,MOD(((c_TMAP1IN)-(c_TFWD))*(((A957)-(c_TFWD))*((c_TMAP1OUT)-(0))+IF(((c_TMAP1OUT)-(0))&gt;=0,1,-1)*QUOTIENT(((c_TMAP1IN)-(c_TFWD)),2))+2147483648,4294967296)-2147483648,((c_TMAP1IN)-(c_TFWD))*(((A957)-(c_TFWD))*((c_TMAP1OUT)-(0))+IF(((c_TMAP1OUT)-(0))&gt;=0,1,-1)*QUOTIENT(((c_TMAP1IN)-(c_TFWD)),2)))&gt;=0,1,0)))</f>
        <v>733</v>
      </c>
      <c r="E957" s="7" t="n">
        <f aca="false">IF(((c_TMAP2IN)-(c_TMAP1IN))=0,(c_TMAP1OUT)+QUOTIENT(((c_TMAP2OUT)-(c_TMAP1OUT)),2),QUOTIENT((((A957)-(c_TMAP1IN))*((c_TMAP2OUT)-(c_TMAP1OUT))+IF(((c_TMAP2OUT)-(c_TMAP1OUT))&gt;=0,1,-1)*QUOTIENT(((c_TMAP2IN)-(c_TMAP1IN)),2)),((c_TMAP2IN)-(c_TMAP1IN)))+(c_TMAP1OUT)+IF(((c_TMAP2OUT)-(c_TMAP1OUT))&gt;=0,IF(IF(o_WRAP=1,MOD(((c_TMAP2IN)-(c_TMAP1IN))*(((A957)-(c_TMAP1IN))*((c_TMAP2OUT)-(c_TMAP1OUT))+IF(((c_TMAP2OUT)-(c_TMAP1OUT))&gt;=0,1,-1)*QUOTIENT(((c_TMAP2IN)-(c_TMAP1IN)),2))+2147483648,4294967296)-2147483648,((c_TMAP2IN)-(c_TMAP1IN))*(((A957)-(c_TMAP1IN))*((c_TMAP2OUT)-(c_TMAP1OUT))+IF(((c_TMAP2OUT)-(c_TMAP1OUT))&gt;=0,1,-1)*QUOTIENT(((c_TMAP2IN)-(c_TMAP1IN)),2)))&lt;0,-1,0),IF(IF(o_WRAP=1,MOD(((c_TMAP2IN)-(c_TMAP1IN))*(((A957)-(c_TMAP1IN))*((c_TMAP2OUT)-(c_TMAP1OUT))+IF(((c_TMAP2OUT)-(c_TMAP1OUT))&gt;=0,1,-1)*QUOTIENT(((c_TMAP2IN)-(c_TMAP1IN)),2))+2147483648,4294967296)-2147483648,((c_TMAP2IN)-(c_TMAP1IN))*(((A957)-(c_TMAP1IN))*((c_TMAP2OUT)-(c_TMAP1OUT))+IF(((c_TMAP2OUT)-(c_TMAP1OUT))&gt;=0,1,-1)*QUOTIENT(((c_TMAP2IN)-(c_TMAP1IN)),2)))&gt;=0,1,0)))</f>
        <v>411</v>
      </c>
      <c r="F957" s="7" t="n">
        <f aca="false">IF(((c_TMAP3IN)-(c_TMAP2IN))=0,(c_TMAP2OUT)+QUOTIENT(((c_TMAP3OUT)-(c_TMAP2OUT)),2),QUOTIENT((((A957)-(c_TMAP2IN))*((c_TMAP3OUT)-(c_TMAP2OUT))+IF(((c_TMAP3OUT)-(c_TMAP2OUT))&gt;=0,1,-1)*QUOTIENT(((c_TMAP3IN)-(c_TMAP2IN)),2)),((c_TMAP3IN)-(c_TMAP2IN)))+(c_TMAP2OUT)+IF(((c_TMAP3OUT)-(c_TMAP2OUT))&gt;=0,IF(IF(o_WRAP=1,MOD(((c_TMAP3IN)-(c_TMAP2IN))*(((A957)-(c_TMAP2IN))*((c_TMAP3OUT)-(c_TMAP2OUT))+IF(((c_TMAP3OUT)-(c_TMAP2OUT))&gt;=0,1,-1)*QUOTIENT(((c_TMAP3IN)-(c_TMAP2IN)),2))+2147483648,4294967296)-2147483648,((c_TMAP3IN)-(c_TMAP2IN))*(((A957)-(c_TMAP2IN))*((c_TMAP3OUT)-(c_TMAP2OUT))+IF(((c_TMAP3OUT)-(c_TMAP2OUT))&gt;=0,1,-1)*QUOTIENT(((c_TMAP3IN)-(c_TMAP2IN)),2)))&lt;0,-1,0),IF(IF(o_WRAP=1,MOD(((c_TMAP3IN)-(c_TMAP2IN))*(((A957)-(c_TMAP2IN))*((c_TMAP3OUT)-(c_TMAP2OUT))+IF(((c_TMAP3OUT)-(c_TMAP2OUT))&gt;=0,1,-1)*QUOTIENT(((c_TMAP3IN)-(c_TMAP2IN)),2))+2147483648,4294967296)-2147483648,((c_TMAP3IN)-(c_TMAP2IN))*(((A957)-(c_TMAP2IN))*((c_TMAP3OUT)-(c_TMAP2OUT))+IF(((c_TMAP3OUT)-(c_TMAP2OUT))&gt;=0,1,-1)*QUOTIENT(((c_TMAP3IN)-(c_TMAP2IN)),2)))&gt;=0,1,0)))</f>
        <v>621</v>
      </c>
      <c r="G957" s="7" t="n">
        <f aca="false">IF(((1000)-(c_TMAP3IN))=0,(c_TMAP3OUT)+QUOTIENT(((1000)-(c_TMAP3OUT)),2),QUOTIENT((((A957)-(c_TMAP3IN))*((1000)-(c_TMAP3OUT))+IF(((1000)-(c_TMAP3OUT))&gt;=0,1,-1)*QUOTIENT(((1000)-(c_TMAP3IN)),2)),((1000)-(c_TMAP3IN)))+(c_TMAP3OUT)+IF(((1000)-(c_TMAP3OUT))&gt;=0,IF(IF(o_WRAP=1,MOD(((1000)-(c_TMAP3IN))*(((A957)-(c_TMAP3IN))*((1000)-(c_TMAP3OUT))+IF(((1000)-(c_TMAP3OUT))&gt;=0,1,-1)*QUOTIENT(((1000)-(c_TMAP3IN)),2))+2147483648,4294967296)-2147483648,((1000)-(c_TMAP3IN))*(((A957)-(c_TMAP3IN))*((1000)-(c_TMAP3OUT))+IF(((1000)-(c_TMAP3OUT))&gt;=0,1,-1)*QUOTIENT(((1000)-(c_TMAP3IN)),2)))&lt;0,-1,0),IF(IF(o_WRAP=1,MOD(((1000)-(c_TMAP3IN))*(((A957)-(c_TMAP3IN))*((1000)-(c_TMAP3OUT))+IF(((1000)-(c_TMAP3OUT))&gt;=0,1,-1)*QUOTIENT(((1000)-(c_TMAP3IN)),2))+2147483648,4294967296)-2147483648,((1000)-(c_TMAP3IN))*(((A957)-(c_TMAP3IN))*((1000)-(c_TMAP3OUT))+IF(((1000)-(c_TMAP3OUT))&gt;=0,1,-1)*QUOTIENT(((1000)-(c_TMAP3IN)),2)))&gt;=0,1,0)))</f>
        <v>941</v>
      </c>
      <c r="H957" s="7" t="str">
        <f aca="false">IF(A957&gt;=c_TFWD,IF(AND(A957&gt;=c_TMAP3IN,c_TMAP3IN&lt;1000),"Seg4 map3-100%",IF(AND(A957&gt;=c_TMAP2IN,c_TMAP3IN&gt;c_TMAP2IN),"Seg3 map2-map3",IF(AND(A957&gt;=c_TMAP1IN,c_TMAP2IN&gt;c_TMAP1IN),"Seg2 map1-map2","Seg1 TFWD-map1"))),IF(AND(A957=0,c_TCREEP&gt;0),"Creep",IF(AND(A957&lt;=c_TRNGMIN,A957&gt;=c_TRNGMAX,c_TRNGMIN-c_TRNGMAX&lt;&gt;0),"Regen ramp","Coast (0)")))</f>
        <v>Seg4 map3-100%</v>
      </c>
      <c r="I957" s="7" t="n">
        <f aca="false">IF(A957&gt;=c_TFWD,IF(AND(A957&gt;=c_TMAP3IN,c_TMAP3IN&lt;1000),G957,IF(AND(A957&gt;=c_TMAP2IN,c_TMAP3IN&gt;c_TMAP2IN),F957,IF(AND(A957&gt;=c_TMAP1IN,c_TMAP2IN&gt;c_TMAP1IN),E957,D957))),C957)</f>
        <v>941</v>
      </c>
      <c r="J957" s="7" t="str">
        <f aca="false">IF(I957&lt;-1090,"TOO LOW",IF(I957&gt;1090,"TOO HIGH",""))</f>
        <v/>
      </c>
      <c r="K957" s="15" t="n">
        <f aca="false">IF(J957&lt;&gt;"",0,IF(I957&gt;979,1000,I957))</f>
        <v>941</v>
      </c>
      <c r="L957" s="7" t="n">
        <f aca="false">K957/10</f>
        <v>94.1</v>
      </c>
    </row>
    <row r="958" customFormat="false" ht="15" hidden="false" customHeight="false" outlineLevel="0" collapsed="false">
      <c r="A958" s="7" t="n">
        <v>953</v>
      </c>
      <c r="B958" s="7" t="n">
        <f aca="false">A958/10</f>
        <v>95.3</v>
      </c>
      <c r="C958" s="7" t="n">
        <f aca="false">IF(AND(A958=0,c_TCREEP&gt;0),10*c_TCREEP,IF(AND(A958&lt;=c_TRNGMIN,A958&gt;=c_TRNGMAX,c_TRNGMIN-c_TRNGMAX&lt;&gt;0),-10*c_TMINRN+QUOTIENT((c_TMAXRN-c_TMINRN)*(100-QUOTIENT((A958-c_TRNGMAX)*100,c_TRNGMIN-c_TRNGMAX)),-10),0))</f>
        <v>0</v>
      </c>
      <c r="D958" s="7" t="n">
        <f aca="false">IF(((c_TMAP1IN)-(c_TFWD))=0,(0)+QUOTIENT(((c_TMAP1OUT)-(0)),2),QUOTIENT((((A958)-(c_TFWD))*((c_TMAP1OUT)-(0))+IF(((c_TMAP1OUT)-(0))&gt;=0,1,-1)*QUOTIENT(((c_TMAP1IN)-(c_TFWD)),2)),((c_TMAP1IN)-(c_TFWD)))+(0)+IF(((c_TMAP1OUT)-(0))&gt;=0,IF(IF(o_WRAP=1,MOD(((c_TMAP1IN)-(c_TFWD))*(((A958)-(c_TFWD))*((c_TMAP1OUT)-(0))+IF(((c_TMAP1OUT)-(0))&gt;=0,1,-1)*QUOTIENT(((c_TMAP1IN)-(c_TFWD)),2))+2147483648,4294967296)-2147483648,((c_TMAP1IN)-(c_TFWD))*(((A958)-(c_TFWD))*((c_TMAP1OUT)-(0))+IF(((c_TMAP1OUT)-(0))&gt;=0,1,-1)*QUOTIENT(((c_TMAP1IN)-(c_TFWD)),2)))&lt;0,-1,0),IF(IF(o_WRAP=1,MOD(((c_TMAP1IN)-(c_TFWD))*(((A958)-(c_TFWD))*((c_TMAP1OUT)-(0))+IF(((c_TMAP1OUT)-(0))&gt;=0,1,-1)*QUOTIENT(((c_TMAP1IN)-(c_TFWD)),2))+2147483648,4294967296)-2147483648,((c_TMAP1IN)-(c_TFWD))*(((A958)-(c_TFWD))*((c_TMAP1OUT)-(0))+IF(((c_TMAP1OUT)-(0))&gt;=0,1,-1)*QUOTIENT(((c_TMAP1IN)-(c_TFWD)),2)))&gt;=0,1,0)))</f>
        <v>733</v>
      </c>
      <c r="E958" s="7" t="n">
        <f aca="false">IF(((c_TMAP2IN)-(c_TMAP1IN))=0,(c_TMAP1OUT)+QUOTIENT(((c_TMAP2OUT)-(c_TMAP1OUT)),2),QUOTIENT((((A958)-(c_TMAP1IN))*((c_TMAP2OUT)-(c_TMAP1OUT))+IF(((c_TMAP2OUT)-(c_TMAP1OUT))&gt;=0,1,-1)*QUOTIENT(((c_TMAP2IN)-(c_TMAP1IN)),2)),((c_TMAP2IN)-(c_TMAP1IN)))+(c_TMAP1OUT)+IF(((c_TMAP2OUT)-(c_TMAP1OUT))&gt;=0,IF(IF(o_WRAP=1,MOD(((c_TMAP2IN)-(c_TMAP1IN))*(((A958)-(c_TMAP1IN))*((c_TMAP2OUT)-(c_TMAP1OUT))+IF(((c_TMAP2OUT)-(c_TMAP1OUT))&gt;=0,1,-1)*QUOTIENT(((c_TMAP2IN)-(c_TMAP1IN)),2))+2147483648,4294967296)-2147483648,((c_TMAP2IN)-(c_TMAP1IN))*(((A958)-(c_TMAP1IN))*((c_TMAP2OUT)-(c_TMAP1OUT))+IF(((c_TMAP2OUT)-(c_TMAP1OUT))&gt;=0,1,-1)*QUOTIENT(((c_TMAP2IN)-(c_TMAP1IN)),2)))&lt;0,-1,0),IF(IF(o_WRAP=1,MOD(((c_TMAP2IN)-(c_TMAP1IN))*(((A958)-(c_TMAP1IN))*((c_TMAP2OUT)-(c_TMAP1OUT))+IF(((c_TMAP2OUT)-(c_TMAP1OUT))&gt;=0,1,-1)*QUOTIENT(((c_TMAP2IN)-(c_TMAP1IN)),2))+2147483648,4294967296)-2147483648,((c_TMAP2IN)-(c_TMAP1IN))*(((A958)-(c_TMAP1IN))*((c_TMAP2OUT)-(c_TMAP1OUT))+IF(((c_TMAP2OUT)-(c_TMAP1OUT))&gt;=0,1,-1)*QUOTIENT(((c_TMAP2IN)-(c_TMAP1IN)),2)))&gt;=0,1,0)))</f>
        <v>411</v>
      </c>
      <c r="F958" s="7" t="n">
        <f aca="false">IF(((c_TMAP3IN)-(c_TMAP2IN))=0,(c_TMAP2OUT)+QUOTIENT(((c_TMAP3OUT)-(c_TMAP2OUT)),2),QUOTIENT((((A958)-(c_TMAP2IN))*((c_TMAP3OUT)-(c_TMAP2OUT))+IF(((c_TMAP3OUT)-(c_TMAP2OUT))&gt;=0,1,-1)*QUOTIENT(((c_TMAP3IN)-(c_TMAP2IN)),2)),((c_TMAP3IN)-(c_TMAP2IN)))+(c_TMAP2OUT)+IF(((c_TMAP3OUT)-(c_TMAP2OUT))&gt;=0,IF(IF(o_WRAP=1,MOD(((c_TMAP3IN)-(c_TMAP2IN))*(((A958)-(c_TMAP2IN))*((c_TMAP3OUT)-(c_TMAP2OUT))+IF(((c_TMAP3OUT)-(c_TMAP2OUT))&gt;=0,1,-1)*QUOTIENT(((c_TMAP3IN)-(c_TMAP2IN)),2))+2147483648,4294967296)-2147483648,((c_TMAP3IN)-(c_TMAP2IN))*(((A958)-(c_TMAP2IN))*((c_TMAP3OUT)-(c_TMAP2OUT))+IF(((c_TMAP3OUT)-(c_TMAP2OUT))&gt;=0,1,-1)*QUOTIENT(((c_TMAP3IN)-(c_TMAP2IN)),2)))&lt;0,-1,0),IF(IF(o_WRAP=1,MOD(((c_TMAP3IN)-(c_TMAP2IN))*(((A958)-(c_TMAP2IN))*((c_TMAP3OUT)-(c_TMAP2OUT))+IF(((c_TMAP3OUT)-(c_TMAP2OUT))&gt;=0,1,-1)*QUOTIENT(((c_TMAP3IN)-(c_TMAP2IN)),2))+2147483648,4294967296)-2147483648,((c_TMAP3IN)-(c_TMAP2IN))*(((A958)-(c_TMAP2IN))*((c_TMAP3OUT)-(c_TMAP2OUT))+IF(((c_TMAP3OUT)-(c_TMAP2OUT))&gt;=0,1,-1)*QUOTIENT(((c_TMAP3IN)-(c_TMAP2IN)),2)))&gt;=0,1,0)))</f>
        <v>622</v>
      </c>
      <c r="G958" s="7" t="n">
        <f aca="false">IF(((1000)-(c_TMAP3IN))=0,(c_TMAP3OUT)+QUOTIENT(((1000)-(c_TMAP3OUT)),2),QUOTIENT((((A958)-(c_TMAP3IN))*((1000)-(c_TMAP3OUT))+IF(((1000)-(c_TMAP3OUT))&gt;=0,1,-1)*QUOTIENT(((1000)-(c_TMAP3IN)),2)),((1000)-(c_TMAP3IN)))+(c_TMAP3OUT)+IF(((1000)-(c_TMAP3OUT))&gt;=0,IF(IF(o_WRAP=1,MOD(((1000)-(c_TMAP3IN))*(((A958)-(c_TMAP3IN))*((1000)-(c_TMAP3OUT))+IF(((1000)-(c_TMAP3OUT))&gt;=0,1,-1)*QUOTIENT(((1000)-(c_TMAP3IN)),2))+2147483648,4294967296)-2147483648,((1000)-(c_TMAP3IN))*(((A958)-(c_TMAP3IN))*((1000)-(c_TMAP3OUT))+IF(((1000)-(c_TMAP3OUT))&gt;=0,1,-1)*QUOTIENT(((1000)-(c_TMAP3IN)),2)))&lt;0,-1,0),IF(IF(o_WRAP=1,MOD(((1000)-(c_TMAP3IN))*(((A958)-(c_TMAP3IN))*((1000)-(c_TMAP3OUT))+IF(((1000)-(c_TMAP3OUT))&gt;=0,1,-1)*QUOTIENT(((1000)-(c_TMAP3IN)),2))+2147483648,4294967296)-2147483648,((1000)-(c_TMAP3IN))*(((A958)-(c_TMAP3IN))*((1000)-(c_TMAP3OUT))+IF(((1000)-(c_TMAP3OUT))&gt;=0,1,-1)*QUOTIENT(((1000)-(c_TMAP3IN)),2)))&gt;=0,1,0)))</f>
        <v>942</v>
      </c>
      <c r="H958" s="7" t="str">
        <f aca="false">IF(A958&gt;=c_TFWD,IF(AND(A958&gt;=c_TMAP3IN,c_TMAP3IN&lt;1000),"Seg4 map3-100%",IF(AND(A958&gt;=c_TMAP2IN,c_TMAP3IN&gt;c_TMAP2IN),"Seg3 map2-map3",IF(AND(A958&gt;=c_TMAP1IN,c_TMAP2IN&gt;c_TMAP1IN),"Seg2 map1-map2","Seg1 TFWD-map1"))),IF(AND(A958=0,c_TCREEP&gt;0),"Creep",IF(AND(A958&lt;=c_TRNGMIN,A958&gt;=c_TRNGMAX,c_TRNGMIN-c_TRNGMAX&lt;&gt;0),"Regen ramp","Coast (0)")))</f>
        <v>Seg4 map3-100%</v>
      </c>
      <c r="I958" s="7" t="n">
        <f aca="false">IF(A958&gt;=c_TFWD,IF(AND(A958&gt;=c_TMAP3IN,c_TMAP3IN&lt;1000),G958,IF(AND(A958&gt;=c_TMAP2IN,c_TMAP3IN&gt;c_TMAP2IN),F958,IF(AND(A958&gt;=c_TMAP1IN,c_TMAP2IN&gt;c_TMAP1IN),E958,D958))),C958)</f>
        <v>942</v>
      </c>
      <c r="J958" s="7" t="str">
        <f aca="false">IF(I958&lt;-1090,"TOO LOW",IF(I958&gt;1090,"TOO HIGH",""))</f>
        <v/>
      </c>
      <c r="K958" s="15" t="n">
        <f aca="false">IF(J958&lt;&gt;"",0,IF(I958&gt;979,1000,I958))</f>
        <v>942</v>
      </c>
      <c r="L958" s="7" t="n">
        <f aca="false">K958/10</f>
        <v>94.2</v>
      </c>
    </row>
    <row r="959" customFormat="false" ht="15" hidden="false" customHeight="false" outlineLevel="0" collapsed="false">
      <c r="A959" s="7" t="n">
        <v>954</v>
      </c>
      <c r="B959" s="7" t="n">
        <f aca="false">A959/10</f>
        <v>95.4</v>
      </c>
      <c r="C959" s="7" t="n">
        <f aca="false">IF(AND(A959=0,c_TCREEP&gt;0),10*c_TCREEP,IF(AND(A959&lt;=c_TRNGMIN,A959&gt;=c_TRNGMAX,c_TRNGMIN-c_TRNGMAX&lt;&gt;0),-10*c_TMINRN+QUOTIENT((c_TMAXRN-c_TMINRN)*(100-QUOTIENT((A959-c_TRNGMAX)*100,c_TRNGMIN-c_TRNGMAX)),-10),0))</f>
        <v>0</v>
      </c>
      <c r="D959" s="7" t="n">
        <f aca="false">IF(((c_TMAP1IN)-(c_TFWD))=0,(0)+QUOTIENT(((c_TMAP1OUT)-(0)),2),QUOTIENT((((A959)-(c_TFWD))*((c_TMAP1OUT)-(0))+IF(((c_TMAP1OUT)-(0))&gt;=0,1,-1)*QUOTIENT(((c_TMAP1IN)-(c_TFWD)),2)),((c_TMAP1IN)-(c_TFWD)))+(0)+IF(((c_TMAP1OUT)-(0))&gt;=0,IF(IF(o_WRAP=1,MOD(((c_TMAP1IN)-(c_TFWD))*(((A959)-(c_TFWD))*((c_TMAP1OUT)-(0))+IF(((c_TMAP1OUT)-(0))&gt;=0,1,-1)*QUOTIENT(((c_TMAP1IN)-(c_TFWD)),2))+2147483648,4294967296)-2147483648,((c_TMAP1IN)-(c_TFWD))*(((A959)-(c_TFWD))*((c_TMAP1OUT)-(0))+IF(((c_TMAP1OUT)-(0))&gt;=0,1,-1)*QUOTIENT(((c_TMAP1IN)-(c_TFWD)),2)))&lt;0,-1,0),IF(IF(o_WRAP=1,MOD(((c_TMAP1IN)-(c_TFWD))*(((A959)-(c_TFWD))*((c_TMAP1OUT)-(0))+IF(((c_TMAP1OUT)-(0))&gt;=0,1,-1)*QUOTIENT(((c_TMAP1IN)-(c_TFWD)),2))+2147483648,4294967296)-2147483648,((c_TMAP1IN)-(c_TFWD))*(((A959)-(c_TFWD))*((c_TMAP1OUT)-(0))+IF(((c_TMAP1OUT)-(0))&gt;=0,1,-1)*QUOTIENT(((c_TMAP1IN)-(c_TFWD)),2)))&gt;=0,1,0)))</f>
        <v>734</v>
      </c>
      <c r="E959" s="7" t="n">
        <f aca="false">IF(((c_TMAP2IN)-(c_TMAP1IN))=0,(c_TMAP1OUT)+QUOTIENT(((c_TMAP2OUT)-(c_TMAP1OUT)),2),QUOTIENT((((A959)-(c_TMAP1IN))*((c_TMAP2OUT)-(c_TMAP1OUT))+IF(((c_TMAP2OUT)-(c_TMAP1OUT))&gt;=0,1,-1)*QUOTIENT(((c_TMAP2IN)-(c_TMAP1IN)),2)),((c_TMAP2IN)-(c_TMAP1IN)))+(c_TMAP1OUT)+IF(((c_TMAP2OUT)-(c_TMAP1OUT))&gt;=0,IF(IF(o_WRAP=1,MOD(((c_TMAP2IN)-(c_TMAP1IN))*(((A959)-(c_TMAP1IN))*((c_TMAP2OUT)-(c_TMAP1OUT))+IF(((c_TMAP2OUT)-(c_TMAP1OUT))&gt;=0,1,-1)*QUOTIENT(((c_TMAP2IN)-(c_TMAP1IN)),2))+2147483648,4294967296)-2147483648,((c_TMAP2IN)-(c_TMAP1IN))*(((A959)-(c_TMAP1IN))*((c_TMAP2OUT)-(c_TMAP1OUT))+IF(((c_TMAP2OUT)-(c_TMAP1OUT))&gt;=0,1,-1)*QUOTIENT(((c_TMAP2IN)-(c_TMAP1IN)),2)))&lt;0,-1,0),IF(IF(o_WRAP=1,MOD(((c_TMAP2IN)-(c_TMAP1IN))*(((A959)-(c_TMAP1IN))*((c_TMAP2OUT)-(c_TMAP1OUT))+IF(((c_TMAP2OUT)-(c_TMAP1OUT))&gt;=0,1,-1)*QUOTIENT(((c_TMAP2IN)-(c_TMAP1IN)),2))+2147483648,4294967296)-2147483648,((c_TMAP2IN)-(c_TMAP1IN))*(((A959)-(c_TMAP1IN))*((c_TMAP2OUT)-(c_TMAP1OUT))+IF(((c_TMAP2OUT)-(c_TMAP1OUT))&gt;=0,1,-1)*QUOTIENT(((c_TMAP2IN)-(c_TMAP1IN)),2)))&gt;=0,1,0)))</f>
        <v>412</v>
      </c>
      <c r="F959" s="7" t="n">
        <f aca="false">IF(((c_TMAP3IN)-(c_TMAP2IN))=0,(c_TMAP2OUT)+QUOTIENT(((c_TMAP3OUT)-(c_TMAP2OUT)),2),QUOTIENT((((A959)-(c_TMAP2IN))*((c_TMAP3OUT)-(c_TMAP2OUT))+IF(((c_TMAP3OUT)-(c_TMAP2OUT))&gt;=0,1,-1)*QUOTIENT(((c_TMAP3IN)-(c_TMAP2IN)),2)),((c_TMAP3IN)-(c_TMAP2IN)))+(c_TMAP2OUT)+IF(((c_TMAP3OUT)-(c_TMAP2OUT))&gt;=0,IF(IF(o_WRAP=1,MOD(((c_TMAP3IN)-(c_TMAP2IN))*(((A959)-(c_TMAP2IN))*((c_TMAP3OUT)-(c_TMAP2OUT))+IF(((c_TMAP3OUT)-(c_TMAP2OUT))&gt;=0,1,-1)*QUOTIENT(((c_TMAP3IN)-(c_TMAP2IN)),2))+2147483648,4294967296)-2147483648,((c_TMAP3IN)-(c_TMAP2IN))*(((A959)-(c_TMAP2IN))*((c_TMAP3OUT)-(c_TMAP2OUT))+IF(((c_TMAP3OUT)-(c_TMAP2OUT))&gt;=0,1,-1)*QUOTIENT(((c_TMAP3IN)-(c_TMAP2IN)),2)))&lt;0,-1,0),IF(IF(o_WRAP=1,MOD(((c_TMAP3IN)-(c_TMAP2IN))*(((A959)-(c_TMAP2IN))*((c_TMAP3OUT)-(c_TMAP2OUT))+IF(((c_TMAP3OUT)-(c_TMAP2OUT))&gt;=0,1,-1)*QUOTIENT(((c_TMAP3IN)-(c_TMAP2IN)),2))+2147483648,4294967296)-2147483648,((c_TMAP3IN)-(c_TMAP2IN))*(((A959)-(c_TMAP2IN))*((c_TMAP3OUT)-(c_TMAP2OUT))+IF(((c_TMAP3OUT)-(c_TMAP2OUT))&gt;=0,1,-1)*QUOTIENT(((c_TMAP3IN)-(c_TMAP2IN)),2)))&gt;=0,1,0)))</f>
        <v>623</v>
      </c>
      <c r="G959" s="7" t="n">
        <f aca="false">IF(((1000)-(c_TMAP3IN))=0,(c_TMAP3OUT)+QUOTIENT(((1000)-(c_TMAP3OUT)),2),QUOTIENT((((A959)-(c_TMAP3IN))*((1000)-(c_TMAP3OUT))+IF(((1000)-(c_TMAP3OUT))&gt;=0,1,-1)*QUOTIENT(((1000)-(c_TMAP3IN)),2)),((1000)-(c_TMAP3IN)))+(c_TMAP3OUT)+IF(((1000)-(c_TMAP3OUT))&gt;=0,IF(IF(o_WRAP=1,MOD(((1000)-(c_TMAP3IN))*(((A959)-(c_TMAP3IN))*((1000)-(c_TMAP3OUT))+IF(((1000)-(c_TMAP3OUT))&gt;=0,1,-1)*QUOTIENT(((1000)-(c_TMAP3IN)),2))+2147483648,4294967296)-2147483648,((1000)-(c_TMAP3IN))*(((A959)-(c_TMAP3IN))*((1000)-(c_TMAP3OUT))+IF(((1000)-(c_TMAP3OUT))&gt;=0,1,-1)*QUOTIENT(((1000)-(c_TMAP3IN)),2)))&lt;0,-1,0),IF(IF(o_WRAP=1,MOD(((1000)-(c_TMAP3IN))*(((A959)-(c_TMAP3IN))*((1000)-(c_TMAP3OUT))+IF(((1000)-(c_TMAP3OUT))&gt;=0,1,-1)*QUOTIENT(((1000)-(c_TMAP3IN)),2))+2147483648,4294967296)-2147483648,((1000)-(c_TMAP3IN))*(((A959)-(c_TMAP3IN))*((1000)-(c_TMAP3OUT))+IF(((1000)-(c_TMAP3OUT))&gt;=0,1,-1)*QUOTIENT(((1000)-(c_TMAP3IN)),2)))&gt;=0,1,0)))</f>
        <v>943</v>
      </c>
      <c r="H959" s="7" t="str">
        <f aca="false">IF(A959&gt;=c_TFWD,IF(AND(A959&gt;=c_TMAP3IN,c_TMAP3IN&lt;1000),"Seg4 map3-100%",IF(AND(A959&gt;=c_TMAP2IN,c_TMAP3IN&gt;c_TMAP2IN),"Seg3 map2-map3",IF(AND(A959&gt;=c_TMAP1IN,c_TMAP2IN&gt;c_TMAP1IN),"Seg2 map1-map2","Seg1 TFWD-map1"))),IF(AND(A959=0,c_TCREEP&gt;0),"Creep",IF(AND(A959&lt;=c_TRNGMIN,A959&gt;=c_TRNGMAX,c_TRNGMIN-c_TRNGMAX&lt;&gt;0),"Regen ramp","Coast (0)")))</f>
        <v>Seg4 map3-100%</v>
      </c>
      <c r="I959" s="7" t="n">
        <f aca="false">IF(A959&gt;=c_TFWD,IF(AND(A959&gt;=c_TMAP3IN,c_TMAP3IN&lt;1000),G959,IF(AND(A959&gt;=c_TMAP2IN,c_TMAP3IN&gt;c_TMAP2IN),F959,IF(AND(A959&gt;=c_TMAP1IN,c_TMAP2IN&gt;c_TMAP1IN),E959,D959))),C959)</f>
        <v>943</v>
      </c>
      <c r="J959" s="7" t="str">
        <f aca="false">IF(I959&lt;-1090,"TOO LOW",IF(I959&gt;1090,"TOO HIGH",""))</f>
        <v/>
      </c>
      <c r="K959" s="15" t="n">
        <f aca="false">IF(J959&lt;&gt;"",0,IF(I959&gt;979,1000,I959))</f>
        <v>943</v>
      </c>
      <c r="L959" s="7" t="n">
        <f aca="false">K959/10</f>
        <v>94.3</v>
      </c>
    </row>
    <row r="960" customFormat="false" ht="15" hidden="false" customHeight="false" outlineLevel="0" collapsed="false">
      <c r="A960" s="7" t="n">
        <v>955</v>
      </c>
      <c r="B960" s="7" t="n">
        <f aca="false">A960/10</f>
        <v>95.5</v>
      </c>
      <c r="C960" s="7" t="n">
        <f aca="false">IF(AND(A960=0,c_TCREEP&gt;0),10*c_TCREEP,IF(AND(A960&lt;=c_TRNGMIN,A960&gt;=c_TRNGMAX,c_TRNGMIN-c_TRNGMAX&lt;&gt;0),-10*c_TMINRN+QUOTIENT((c_TMAXRN-c_TMINRN)*(100-QUOTIENT((A960-c_TRNGMAX)*100,c_TRNGMIN-c_TRNGMAX)),-10),0))</f>
        <v>0</v>
      </c>
      <c r="D960" s="7" t="n">
        <f aca="false">IF(((c_TMAP1IN)-(c_TFWD))=0,(0)+QUOTIENT(((c_TMAP1OUT)-(0)),2),QUOTIENT((((A960)-(c_TFWD))*((c_TMAP1OUT)-(0))+IF(((c_TMAP1OUT)-(0))&gt;=0,1,-1)*QUOTIENT(((c_TMAP1IN)-(c_TFWD)),2)),((c_TMAP1IN)-(c_TFWD)))+(0)+IF(((c_TMAP1OUT)-(0))&gt;=0,IF(IF(o_WRAP=1,MOD(((c_TMAP1IN)-(c_TFWD))*(((A960)-(c_TFWD))*((c_TMAP1OUT)-(0))+IF(((c_TMAP1OUT)-(0))&gt;=0,1,-1)*QUOTIENT(((c_TMAP1IN)-(c_TFWD)),2))+2147483648,4294967296)-2147483648,((c_TMAP1IN)-(c_TFWD))*(((A960)-(c_TFWD))*((c_TMAP1OUT)-(0))+IF(((c_TMAP1OUT)-(0))&gt;=0,1,-1)*QUOTIENT(((c_TMAP1IN)-(c_TFWD)),2)))&lt;0,-1,0),IF(IF(o_WRAP=1,MOD(((c_TMAP1IN)-(c_TFWD))*(((A960)-(c_TFWD))*((c_TMAP1OUT)-(0))+IF(((c_TMAP1OUT)-(0))&gt;=0,1,-1)*QUOTIENT(((c_TMAP1IN)-(c_TFWD)),2))+2147483648,4294967296)-2147483648,((c_TMAP1IN)-(c_TFWD))*(((A960)-(c_TFWD))*((c_TMAP1OUT)-(0))+IF(((c_TMAP1OUT)-(0))&gt;=0,1,-1)*QUOTIENT(((c_TMAP1IN)-(c_TFWD)),2)))&gt;=0,1,0)))</f>
        <v>735</v>
      </c>
      <c r="E960" s="7" t="n">
        <f aca="false">IF(((c_TMAP2IN)-(c_TMAP1IN))=0,(c_TMAP1OUT)+QUOTIENT(((c_TMAP2OUT)-(c_TMAP1OUT)),2),QUOTIENT((((A960)-(c_TMAP1IN))*((c_TMAP2OUT)-(c_TMAP1OUT))+IF(((c_TMAP2OUT)-(c_TMAP1OUT))&gt;=0,1,-1)*QUOTIENT(((c_TMAP2IN)-(c_TMAP1IN)),2)),((c_TMAP2IN)-(c_TMAP1IN)))+(c_TMAP1OUT)+IF(((c_TMAP2OUT)-(c_TMAP1OUT))&gt;=0,IF(IF(o_WRAP=1,MOD(((c_TMAP2IN)-(c_TMAP1IN))*(((A960)-(c_TMAP1IN))*((c_TMAP2OUT)-(c_TMAP1OUT))+IF(((c_TMAP2OUT)-(c_TMAP1OUT))&gt;=0,1,-1)*QUOTIENT(((c_TMAP2IN)-(c_TMAP1IN)),2))+2147483648,4294967296)-2147483648,((c_TMAP2IN)-(c_TMAP1IN))*(((A960)-(c_TMAP1IN))*((c_TMAP2OUT)-(c_TMAP1OUT))+IF(((c_TMAP2OUT)-(c_TMAP1OUT))&gt;=0,1,-1)*QUOTIENT(((c_TMAP2IN)-(c_TMAP1IN)),2)))&lt;0,-1,0),IF(IF(o_WRAP=1,MOD(((c_TMAP2IN)-(c_TMAP1IN))*(((A960)-(c_TMAP1IN))*((c_TMAP2OUT)-(c_TMAP1OUT))+IF(((c_TMAP2OUT)-(c_TMAP1OUT))&gt;=0,1,-1)*QUOTIENT(((c_TMAP2IN)-(c_TMAP1IN)),2))+2147483648,4294967296)-2147483648,((c_TMAP2IN)-(c_TMAP1IN))*(((A960)-(c_TMAP1IN))*((c_TMAP2OUT)-(c_TMAP1OUT))+IF(((c_TMAP2OUT)-(c_TMAP1OUT))&gt;=0,1,-1)*QUOTIENT(((c_TMAP2IN)-(c_TMAP1IN)),2)))&gt;=0,1,0)))</f>
        <v>412</v>
      </c>
      <c r="F960" s="7" t="n">
        <f aca="false">IF(((c_TMAP3IN)-(c_TMAP2IN))=0,(c_TMAP2OUT)+QUOTIENT(((c_TMAP3OUT)-(c_TMAP2OUT)),2),QUOTIENT((((A960)-(c_TMAP2IN))*((c_TMAP3OUT)-(c_TMAP2OUT))+IF(((c_TMAP3OUT)-(c_TMAP2OUT))&gt;=0,1,-1)*QUOTIENT(((c_TMAP3IN)-(c_TMAP2IN)),2)),((c_TMAP3IN)-(c_TMAP2IN)))+(c_TMAP2OUT)+IF(((c_TMAP3OUT)-(c_TMAP2OUT))&gt;=0,IF(IF(o_WRAP=1,MOD(((c_TMAP3IN)-(c_TMAP2IN))*(((A960)-(c_TMAP2IN))*((c_TMAP3OUT)-(c_TMAP2OUT))+IF(((c_TMAP3OUT)-(c_TMAP2OUT))&gt;=0,1,-1)*QUOTIENT(((c_TMAP3IN)-(c_TMAP2IN)),2))+2147483648,4294967296)-2147483648,((c_TMAP3IN)-(c_TMAP2IN))*(((A960)-(c_TMAP2IN))*((c_TMAP3OUT)-(c_TMAP2OUT))+IF(((c_TMAP3OUT)-(c_TMAP2OUT))&gt;=0,1,-1)*QUOTIENT(((c_TMAP3IN)-(c_TMAP2IN)),2)))&lt;0,-1,0),IF(IF(o_WRAP=1,MOD(((c_TMAP3IN)-(c_TMAP2IN))*(((A960)-(c_TMAP2IN))*((c_TMAP3OUT)-(c_TMAP2OUT))+IF(((c_TMAP3OUT)-(c_TMAP2OUT))&gt;=0,1,-1)*QUOTIENT(((c_TMAP3IN)-(c_TMAP2IN)),2))+2147483648,4294967296)-2147483648,((c_TMAP3IN)-(c_TMAP2IN))*(((A960)-(c_TMAP2IN))*((c_TMAP3OUT)-(c_TMAP2OUT))+IF(((c_TMAP3OUT)-(c_TMAP2OUT))&gt;=0,1,-1)*QUOTIENT(((c_TMAP3IN)-(c_TMAP2IN)),2)))&gt;=0,1,0)))</f>
        <v>624</v>
      </c>
      <c r="G960" s="7" t="n">
        <f aca="false">IF(((1000)-(c_TMAP3IN))=0,(c_TMAP3OUT)+QUOTIENT(((1000)-(c_TMAP3OUT)),2),QUOTIENT((((A960)-(c_TMAP3IN))*((1000)-(c_TMAP3OUT))+IF(((1000)-(c_TMAP3OUT))&gt;=0,1,-1)*QUOTIENT(((1000)-(c_TMAP3IN)),2)),((1000)-(c_TMAP3IN)))+(c_TMAP3OUT)+IF(((1000)-(c_TMAP3OUT))&gt;=0,IF(IF(o_WRAP=1,MOD(((1000)-(c_TMAP3IN))*(((A960)-(c_TMAP3IN))*((1000)-(c_TMAP3OUT))+IF(((1000)-(c_TMAP3OUT))&gt;=0,1,-1)*QUOTIENT(((1000)-(c_TMAP3IN)),2))+2147483648,4294967296)-2147483648,((1000)-(c_TMAP3IN))*(((A960)-(c_TMAP3IN))*((1000)-(c_TMAP3OUT))+IF(((1000)-(c_TMAP3OUT))&gt;=0,1,-1)*QUOTIENT(((1000)-(c_TMAP3IN)),2)))&lt;0,-1,0),IF(IF(o_WRAP=1,MOD(((1000)-(c_TMAP3IN))*(((A960)-(c_TMAP3IN))*((1000)-(c_TMAP3OUT))+IF(((1000)-(c_TMAP3OUT))&gt;=0,1,-1)*QUOTIENT(((1000)-(c_TMAP3IN)),2))+2147483648,4294967296)-2147483648,((1000)-(c_TMAP3IN))*(((A960)-(c_TMAP3IN))*((1000)-(c_TMAP3OUT))+IF(((1000)-(c_TMAP3OUT))&gt;=0,1,-1)*QUOTIENT(((1000)-(c_TMAP3IN)),2)))&gt;=0,1,0)))</f>
        <v>945</v>
      </c>
      <c r="H960" s="7" t="str">
        <f aca="false">IF(A960&gt;=c_TFWD,IF(AND(A960&gt;=c_TMAP3IN,c_TMAP3IN&lt;1000),"Seg4 map3-100%",IF(AND(A960&gt;=c_TMAP2IN,c_TMAP3IN&gt;c_TMAP2IN),"Seg3 map2-map3",IF(AND(A960&gt;=c_TMAP1IN,c_TMAP2IN&gt;c_TMAP1IN),"Seg2 map1-map2","Seg1 TFWD-map1"))),IF(AND(A960=0,c_TCREEP&gt;0),"Creep",IF(AND(A960&lt;=c_TRNGMIN,A960&gt;=c_TRNGMAX,c_TRNGMIN-c_TRNGMAX&lt;&gt;0),"Regen ramp","Coast (0)")))</f>
        <v>Seg4 map3-100%</v>
      </c>
      <c r="I960" s="7" t="n">
        <f aca="false">IF(A960&gt;=c_TFWD,IF(AND(A960&gt;=c_TMAP3IN,c_TMAP3IN&lt;1000),G960,IF(AND(A960&gt;=c_TMAP2IN,c_TMAP3IN&gt;c_TMAP2IN),F960,IF(AND(A960&gt;=c_TMAP1IN,c_TMAP2IN&gt;c_TMAP1IN),E960,D960))),C960)</f>
        <v>945</v>
      </c>
      <c r="J960" s="7" t="str">
        <f aca="false">IF(I960&lt;-1090,"TOO LOW",IF(I960&gt;1090,"TOO HIGH",""))</f>
        <v/>
      </c>
      <c r="K960" s="15" t="n">
        <f aca="false">IF(J960&lt;&gt;"",0,IF(I960&gt;979,1000,I960))</f>
        <v>945</v>
      </c>
      <c r="L960" s="7" t="n">
        <f aca="false">K960/10</f>
        <v>94.5</v>
      </c>
    </row>
    <row r="961" customFormat="false" ht="15" hidden="false" customHeight="false" outlineLevel="0" collapsed="false">
      <c r="A961" s="7" t="n">
        <v>956</v>
      </c>
      <c r="B961" s="7" t="n">
        <f aca="false">A961/10</f>
        <v>95.6</v>
      </c>
      <c r="C961" s="7" t="n">
        <f aca="false">IF(AND(A961=0,c_TCREEP&gt;0),10*c_TCREEP,IF(AND(A961&lt;=c_TRNGMIN,A961&gt;=c_TRNGMAX,c_TRNGMIN-c_TRNGMAX&lt;&gt;0),-10*c_TMINRN+QUOTIENT((c_TMAXRN-c_TMINRN)*(100-QUOTIENT((A961-c_TRNGMAX)*100,c_TRNGMIN-c_TRNGMAX)),-10),0))</f>
        <v>0</v>
      </c>
      <c r="D961" s="7" t="n">
        <f aca="false">IF(((c_TMAP1IN)-(c_TFWD))=0,(0)+QUOTIENT(((c_TMAP1OUT)-(0)),2),QUOTIENT((((A961)-(c_TFWD))*((c_TMAP1OUT)-(0))+IF(((c_TMAP1OUT)-(0))&gt;=0,1,-1)*QUOTIENT(((c_TMAP1IN)-(c_TFWD)),2)),((c_TMAP1IN)-(c_TFWD)))+(0)+IF(((c_TMAP1OUT)-(0))&gt;=0,IF(IF(o_WRAP=1,MOD(((c_TMAP1IN)-(c_TFWD))*(((A961)-(c_TFWD))*((c_TMAP1OUT)-(0))+IF(((c_TMAP1OUT)-(0))&gt;=0,1,-1)*QUOTIENT(((c_TMAP1IN)-(c_TFWD)),2))+2147483648,4294967296)-2147483648,((c_TMAP1IN)-(c_TFWD))*(((A961)-(c_TFWD))*((c_TMAP1OUT)-(0))+IF(((c_TMAP1OUT)-(0))&gt;=0,1,-1)*QUOTIENT(((c_TMAP1IN)-(c_TFWD)),2)))&lt;0,-1,0),IF(IF(o_WRAP=1,MOD(((c_TMAP1IN)-(c_TFWD))*(((A961)-(c_TFWD))*((c_TMAP1OUT)-(0))+IF(((c_TMAP1OUT)-(0))&gt;=0,1,-1)*QUOTIENT(((c_TMAP1IN)-(c_TFWD)),2))+2147483648,4294967296)-2147483648,((c_TMAP1IN)-(c_TFWD))*(((A961)-(c_TFWD))*((c_TMAP1OUT)-(0))+IF(((c_TMAP1OUT)-(0))&gt;=0,1,-1)*QUOTIENT(((c_TMAP1IN)-(c_TFWD)),2)))&gt;=0,1,0)))</f>
        <v>736</v>
      </c>
      <c r="E961" s="7" t="n">
        <f aca="false">IF(((c_TMAP2IN)-(c_TMAP1IN))=0,(c_TMAP1OUT)+QUOTIENT(((c_TMAP2OUT)-(c_TMAP1OUT)),2),QUOTIENT((((A961)-(c_TMAP1IN))*((c_TMAP2OUT)-(c_TMAP1OUT))+IF(((c_TMAP2OUT)-(c_TMAP1OUT))&gt;=0,1,-1)*QUOTIENT(((c_TMAP2IN)-(c_TMAP1IN)),2)),((c_TMAP2IN)-(c_TMAP1IN)))+(c_TMAP1OUT)+IF(((c_TMAP2OUT)-(c_TMAP1OUT))&gt;=0,IF(IF(o_WRAP=1,MOD(((c_TMAP2IN)-(c_TMAP1IN))*(((A961)-(c_TMAP1IN))*((c_TMAP2OUT)-(c_TMAP1OUT))+IF(((c_TMAP2OUT)-(c_TMAP1OUT))&gt;=0,1,-1)*QUOTIENT(((c_TMAP2IN)-(c_TMAP1IN)),2))+2147483648,4294967296)-2147483648,((c_TMAP2IN)-(c_TMAP1IN))*(((A961)-(c_TMAP1IN))*((c_TMAP2OUT)-(c_TMAP1OUT))+IF(((c_TMAP2OUT)-(c_TMAP1OUT))&gt;=0,1,-1)*QUOTIENT(((c_TMAP2IN)-(c_TMAP1IN)),2)))&lt;0,-1,0),IF(IF(o_WRAP=1,MOD(((c_TMAP2IN)-(c_TMAP1IN))*(((A961)-(c_TMAP1IN))*((c_TMAP2OUT)-(c_TMAP1OUT))+IF(((c_TMAP2OUT)-(c_TMAP1OUT))&gt;=0,1,-1)*QUOTIENT(((c_TMAP2IN)-(c_TMAP1IN)),2))+2147483648,4294967296)-2147483648,((c_TMAP2IN)-(c_TMAP1IN))*(((A961)-(c_TMAP1IN))*((c_TMAP2OUT)-(c_TMAP1OUT))+IF(((c_TMAP2OUT)-(c_TMAP1OUT))&gt;=0,1,-1)*QUOTIENT(((c_TMAP2IN)-(c_TMAP1IN)),2)))&gt;=0,1,0)))</f>
        <v>412</v>
      </c>
      <c r="F961" s="7" t="n">
        <f aca="false">IF(((c_TMAP3IN)-(c_TMAP2IN))=0,(c_TMAP2OUT)+QUOTIENT(((c_TMAP3OUT)-(c_TMAP2OUT)),2),QUOTIENT((((A961)-(c_TMAP2IN))*((c_TMAP3OUT)-(c_TMAP2OUT))+IF(((c_TMAP3OUT)-(c_TMAP2OUT))&gt;=0,1,-1)*QUOTIENT(((c_TMAP3IN)-(c_TMAP2IN)),2)),((c_TMAP3IN)-(c_TMAP2IN)))+(c_TMAP2OUT)+IF(((c_TMAP3OUT)-(c_TMAP2OUT))&gt;=0,IF(IF(o_WRAP=1,MOD(((c_TMAP3IN)-(c_TMAP2IN))*(((A961)-(c_TMAP2IN))*((c_TMAP3OUT)-(c_TMAP2OUT))+IF(((c_TMAP3OUT)-(c_TMAP2OUT))&gt;=0,1,-1)*QUOTIENT(((c_TMAP3IN)-(c_TMAP2IN)),2))+2147483648,4294967296)-2147483648,((c_TMAP3IN)-(c_TMAP2IN))*(((A961)-(c_TMAP2IN))*((c_TMAP3OUT)-(c_TMAP2OUT))+IF(((c_TMAP3OUT)-(c_TMAP2OUT))&gt;=0,1,-1)*QUOTIENT(((c_TMAP3IN)-(c_TMAP2IN)),2)))&lt;0,-1,0),IF(IF(o_WRAP=1,MOD(((c_TMAP3IN)-(c_TMAP2IN))*(((A961)-(c_TMAP2IN))*((c_TMAP3OUT)-(c_TMAP2OUT))+IF(((c_TMAP3OUT)-(c_TMAP2OUT))&gt;=0,1,-1)*QUOTIENT(((c_TMAP3IN)-(c_TMAP2IN)),2))+2147483648,4294967296)-2147483648,((c_TMAP3IN)-(c_TMAP2IN))*(((A961)-(c_TMAP2IN))*((c_TMAP3OUT)-(c_TMAP2OUT))+IF(((c_TMAP3OUT)-(c_TMAP2OUT))&gt;=0,1,-1)*QUOTIENT(((c_TMAP3IN)-(c_TMAP2IN)),2)))&gt;=0,1,0)))</f>
        <v>624</v>
      </c>
      <c r="G961" s="7" t="n">
        <f aca="false">IF(((1000)-(c_TMAP3IN))=0,(c_TMAP3OUT)+QUOTIENT(((1000)-(c_TMAP3OUT)),2),QUOTIENT((((A961)-(c_TMAP3IN))*((1000)-(c_TMAP3OUT))+IF(((1000)-(c_TMAP3OUT))&gt;=0,1,-1)*QUOTIENT(((1000)-(c_TMAP3IN)),2)),((1000)-(c_TMAP3IN)))+(c_TMAP3OUT)+IF(((1000)-(c_TMAP3OUT))&gt;=0,IF(IF(o_WRAP=1,MOD(((1000)-(c_TMAP3IN))*(((A961)-(c_TMAP3IN))*((1000)-(c_TMAP3OUT))+IF(((1000)-(c_TMAP3OUT))&gt;=0,1,-1)*QUOTIENT(((1000)-(c_TMAP3IN)),2))+2147483648,4294967296)-2147483648,((1000)-(c_TMAP3IN))*(((A961)-(c_TMAP3IN))*((1000)-(c_TMAP3OUT))+IF(((1000)-(c_TMAP3OUT))&gt;=0,1,-1)*QUOTIENT(((1000)-(c_TMAP3IN)),2)))&lt;0,-1,0),IF(IF(o_WRAP=1,MOD(((1000)-(c_TMAP3IN))*(((A961)-(c_TMAP3IN))*((1000)-(c_TMAP3OUT))+IF(((1000)-(c_TMAP3OUT))&gt;=0,1,-1)*QUOTIENT(((1000)-(c_TMAP3IN)),2))+2147483648,4294967296)-2147483648,((1000)-(c_TMAP3IN))*(((A961)-(c_TMAP3IN))*((1000)-(c_TMAP3OUT))+IF(((1000)-(c_TMAP3OUT))&gt;=0,1,-1)*QUOTIENT(((1000)-(c_TMAP3IN)),2)))&gt;=0,1,0)))</f>
        <v>946</v>
      </c>
      <c r="H961" s="7" t="str">
        <f aca="false">IF(A961&gt;=c_TFWD,IF(AND(A961&gt;=c_TMAP3IN,c_TMAP3IN&lt;1000),"Seg4 map3-100%",IF(AND(A961&gt;=c_TMAP2IN,c_TMAP3IN&gt;c_TMAP2IN),"Seg3 map2-map3",IF(AND(A961&gt;=c_TMAP1IN,c_TMAP2IN&gt;c_TMAP1IN),"Seg2 map1-map2","Seg1 TFWD-map1"))),IF(AND(A961=0,c_TCREEP&gt;0),"Creep",IF(AND(A961&lt;=c_TRNGMIN,A961&gt;=c_TRNGMAX,c_TRNGMIN-c_TRNGMAX&lt;&gt;0),"Regen ramp","Coast (0)")))</f>
        <v>Seg4 map3-100%</v>
      </c>
      <c r="I961" s="7" t="n">
        <f aca="false">IF(A961&gt;=c_TFWD,IF(AND(A961&gt;=c_TMAP3IN,c_TMAP3IN&lt;1000),G961,IF(AND(A961&gt;=c_TMAP2IN,c_TMAP3IN&gt;c_TMAP2IN),F961,IF(AND(A961&gt;=c_TMAP1IN,c_TMAP2IN&gt;c_TMAP1IN),E961,D961))),C961)</f>
        <v>946</v>
      </c>
      <c r="J961" s="7" t="str">
        <f aca="false">IF(I961&lt;-1090,"TOO LOW",IF(I961&gt;1090,"TOO HIGH",""))</f>
        <v/>
      </c>
      <c r="K961" s="15" t="n">
        <f aca="false">IF(J961&lt;&gt;"",0,IF(I961&gt;979,1000,I961))</f>
        <v>946</v>
      </c>
      <c r="L961" s="7" t="n">
        <f aca="false">K961/10</f>
        <v>94.6</v>
      </c>
    </row>
    <row r="962" customFormat="false" ht="15" hidden="false" customHeight="false" outlineLevel="0" collapsed="false">
      <c r="A962" s="7" t="n">
        <v>957</v>
      </c>
      <c r="B962" s="7" t="n">
        <f aca="false">A962/10</f>
        <v>95.7</v>
      </c>
      <c r="C962" s="7" t="n">
        <f aca="false">IF(AND(A962=0,c_TCREEP&gt;0),10*c_TCREEP,IF(AND(A962&lt;=c_TRNGMIN,A962&gt;=c_TRNGMAX,c_TRNGMIN-c_TRNGMAX&lt;&gt;0),-10*c_TMINRN+QUOTIENT((c_TMAXRN-c_TMINRN)*(100-QUOTIENT((A962-c_TRNGMAX)*100,c_TRNGMIN-c_TRNGMAX)),-10),0))</f>
        <v>0</v>
      </c>
      <c r="D962" s="7" t="n">
        <f aca="false">IF(((c_TMAP1IN)-(c_TFWD))=0,(0)+QUOTIENT(((c_TMAP1OUT)-(0)),2),QUOTIENT((((A962)-(c_TFWD))*((c_TMAP1OUT)-(0))+IF(((c_TMAP1OUT)-(0))&gt;=0,1,-1)*QUOTIENT(((c_TMAP1IN)-(c_TFWD)),2)),((c_TMAP1IN)-(c_TFWD)))+(0)+IF(((c_TMAP1OUT)-(0))&gt;=0,IF(IF(o_WRAP=1,MOD(((c_TMAP1IN)-(c_TFWD))*(((A962)-(c_TFWD))*((c_TMAP1OUT)-(0))+IF(((c_TMAP1OUT)-(0))&gt;=0,1,-1)*QUOTIENT(((c_TMAP1IN)-(c_TFWD)),2))+2147483648,4294967296)-2147483648,((c_TMAP1IN)-(c_TFWD))*(((A962)-(c_TFWD))*((c_TMAP1OUT)-(0))+IF(((c_TMAP1OUT)-(0))&gt;=0,1,-1)*QUOTIENT(((c_TMAP1IN)-(c_TFWD)),2)))&lt;0,-1,0),IF(IF(o_WRAP=1,MOD(((c_TMAP1IN)-(c_TFWD))*(((A962)-(c_TFWD))*((c_TMAP1OUT)-(0))+IF(((c_TMAP1OUT)-(0))&gt;=0,1,-1)*QUOTIENT(((c_TMAP1IN)-(c_TFWD)),2))+2147483648,4294967296)-2147483648,((c_TMAP1IN)-(c_TFWD))*(((A962)-(c_TFWD))*((c_TMAP1OUT)-(0))+IF(((c_TMAP1OUT)-(0))&gt;=0,1,-1)*QUOTIENT(((c_TMAP1IN)-(c_TFWD)),2)))&gt;=0,1,0)))</f>
        <v>737</v>
      </c>
      <c r="E962" s="7" t="n">
        <f aca="false">IF(((c_TMAP2IN)-(c_TMAP1IN))=0,(c_TMAP1OUT)+QUOTIENT(((c_TMAP2OUT)-(c_TMAP1OUT)),2),QUOTIENT((((A962)-(c_TMAP1IN))*((c_TMAP2OUT)-(c_TMAP1OUT))+IF(((c_TMAP2OUT)-(c_TMAP1OUT))&gt;=0,1,-1)*QUOTIENT(((c_TMAP2IN)-(c_TMAP1IN)),2)),((c_TMAP2IN)-(c_TMAP1IN)))+(c_TMAP1OUT)+IF(((c_TMAP2OUT)-(c_TMAP1OUT))&gt;=0,IF(IF(o_WRAP=1,MOD(((c_TMAP2IN)-(c_TMAP1IN))*(((A962)-(c_TMAP1IN))*((c_TMAP2OUT)-(c_TMAP1OUT))+IF(((c_TMAP2OUT)-(c_TMAP1OUT))&gt;=0,1,-1)*QUOTIENT(((c_TMAP2IN)-(c_TMAP1IN)),2))+2147483648,4294967296)-2147483648,((c_TMAP2IN)-(c_TMAP1IN))*(((A962)-(c_TMAP1IN))*((c_TMAP2OUT)-(c_TMAP1OUT))+IF(((c_TMAP2OUT)-(c_TMAP1OUT))&gt;=0,1,-1)*QUOTIENT(((c_TMAP2IN)-(c_TMAP1IN)),2)))&lt;0,-1,0),IF(IF(o_WRAP=1,MOD(((c_TMAP2IN)-(c_TMAP1IN))*(((A962)-(c_TMAP1IN))*((c_TMAP2OUT)-(c_TMAP1OUT))+IF(((c_TMAP2OUT)-(c_TMAP1OUT))&gt;=0,1,-1)*QUOTIENT(((c_TMAP2IN)-(c_TMAP1IN)),2))+2147483648,4294967296)-2147483648,((c_TMAP2IN)-(c_TMAP1IN))*(((A962)-(c_TMAP1IN))*((c_TMAP2OUT)-(c_TMAP1OUT))+IF(((c_TMAP2OUT)-(c_TMAP1OUT))&gt;=0,1,-1)*QUOTIENT(((c_TMAP2IN)-(c_TMAP1IN)),2)))&gt;=0,1,0)))</f>
        <v>413</v>
      </c>
      <c r="F962" s="7" t="n">
        <f aca="false">IF(((c_TMAP3IN)-(c_TMAP2IN))=0,(c_TMAP2OUT)+QUOTIENT(((c_TMAP3OUT)-(c_TMAP2OUT)),2),QUOTIENT((((A962)-(c_TMAP2IN))*((c_TMAP3OUT)-(c_TMAP2OUT))+IF(((c_TMAP3OUT)-(c_TMAP2OUT))&gt;=0,1,-1)*QUOTIENT(((c_TMAP3IN)-(c_TMAP2IN)),2)),((c_TMAP3IN)-(c_TMAP2IN)))+(c_TMAP2OUT)+IF(((c_TMAP3OUT)-(c_TMAP2OUT))&gt;=0,IF(IF(o_WRAP=1,MOD(((c_TMAP3IN)-(c_TMAP2IN))*(((A962)-(c_TMAP2IN))*((c_TMAP3OUT)-(c_TMAP2OUT))+IF(((c_TMAP3OUT)-(c_TMAP2OUT))&gt;=0,1,-1)*QUOTIENT(((c_TMAP3IN)-(c_TMAP2IN)),2))+2147483648,4294967296)-2147483648,((c_TMAP3IN)-(c_TMAP2IN))*(((A962)-(c_TMAP2IN))*((c_TMAP3OUT)-(c_TMAP2OUT))+IF(((c_TMAP3OUT)-(c_TMAP2OUT))&gt;=0,1,-1)*QUOTIENT(((c_TMAP3IN)-(c_TMAP2IN)),2)))&lt;0,-1,0),IF(IF(o_WRAP=1,MOD(((c_TMAP3IN)-(c_TMAP2IN))*(((A962)-(c_TMAP2IN))*((c_TMAP3OUT)-(c_TMAP2OUT))+IF(((c_TMAP3OUT)-(c_TMAP2OUT))&gt;=0,1,-1)*QUOTIENT(((c_TMAP3IN)-(c_TMAP2IN)),2))+2147483648,4294967296)-2147483648,((c_TMAP3IN)-(c_TMAP2IN))*(((A962)-(c_TMAP2IN))*((c_TMAP3OUT)-(c_TMAP2OUT))+IF(((c_TMAP3OUT)-(c_TMAP2OUT))&gt;=0,1,-1)*QUOTIENT(((c_TMAP3IN)-(c_TMAP2IN)),2)))&gt;=0,1,0)))</f>
        <v>625</v>
      </c>
      <c r="G962" s="7" t="n">
        <f aca="false">IF(((1000)-(c_TMAP3IN))=0,(c_TMAP3OUT)+QUOTIENT(((1000)-(c_TMAP3OUT)),2),QUOTIENT((((A962)-(c_TMAP3IN))*((1000)-(c_TMAP3OUT))+IF(((1000)-(c_TMAP3OUT))&gt;=0,1,-1)*QUOTIENT(((1000)-(c_TMAP3IN)),2)),((1000)-(c_TMAP3IN)))+(c_TMAP3OUT)+IF(((1000)-(c_TMAP3OUT))&gt;=0,IF(IF(o_WRAP=1,MOD(((1000)-(c_TMAP3IN))*(((A962)-(c_TMAP3IN))*((1000)-(c_TMAP3OUT))+IF(((1000)-(c_TMAP3OUT))&gt;=0,1,-1)*QUOTIENT(((1000)-(c_TMAP3IN)),2))+2147483648,4294967296)-2147483648,((1000)-(c_TMAP3IN))*(((A962)-(c_TMAP3IN))*((1000)-(c_TMAP3OUT))+IF(((1000)-(c_TMAP3OUT))&gt;=0,1,-1)*QUOTIENT(((1000)-(c_TMAP3IN)),2)))&lt;0,-1,0),IF(IF(o_WRAP=1,MOD(((1000)-(c_TMAP3IN))*(((A962)-(c_TMAP3IN))*((1000)-(c_TMAP3OUT))+IF(((1000)-(c_TMAP3OUT))&gt;=0,1,-1)*QUOTIENT(((1000)-(c_TMAP3IN)),2))+2147483648,4294967296)-2147483648,((1000)-(c_TMAP3IN))*(((A962)-(c_TMAP3IN))*((1000)-(c_TMAP3OUT))+IF(((1000)-(c_TMAP3OUT))&gt;=0,1,-1)*QUOTIENT(((1000)-(c_TMAP3IN)),2)))&gt;=0,1,0)))</f>
        <v>947</v>
      </c>
      <c r="H962" s="7" t="str">
        <f aca="false">IF(A962&gt;=c_TFWD,IF(AND(A962&gt;=c_TMAP3IN,c_TMAP3IN&lt;1000),"Seg4 map3-100%",IF(AND(A962&gt;=c_TMAP2IN,c_TMAP3IN&gt;c_TMAP2IN),"Seg3 map2-map3",IF(AND(A962&gt;=c_TMAP1IN,c_TMAP2IN&gt;c_TMAP1IN),"Seg2 map1-map2","Seg1 TFWD-map1"))),IF(AND(A962=0,c_TCREEP&gt;0),"Creep",IF(AND(A962&lt;=c_TRNGMIN,A962&gt;=c_TRNGMAX,c_TRNGMIN-c_TRNGMAX&lt;&gt;0),"Regen ramp","Coast (0)")))</f>
        <v>Seg4 map3-100%</v>
      </c>
      <c r="I962" s="7" t="n">
        <f aca="false">IF(A962&gt;=c_TFWD,IF(AND(A962&gt;=c_TMAP3IN,c_TMAP3IN&lt;1000),G962,IF(AND(A962&gt;=c_TMAP2IN,c_TMAP3IN&gt;c_TMAP2IN),F962,IF(AND(A962&gt;=c_TMAP1IN,c_TMAP2IN&gt;c_TMAP1IN),E962,D962))),C962)</f>
        <v>947</v>
      </c>
      <c r="J962" s="7" t="str">
        <f aca="false">IF(I962&lt;-1090,"TOO LOW",IF(I962&gt;1090,"TOO HIGH",""))</f>
        <v/>
      </c>
      <c r="K962" s="15" t="n">
        <f aca="false">IF(J962&lt;&gt;"",0,IF(I962&gt;979,1000,I962))</f>
        <v>947</v>
      </c>
      <c r="L962" s="7" t="n">
        <f aca="false">K962/10</f>
        <v>94.7</v>
      </c>
    </row>
    <row r="963" customFormat="false" ht="15" hidden="false" customHeight="false" outlineLevel="0" collapsed="false">
      <c r="A963" s="7" t="n">
        <v>958</v>
      </c>
      <c r="B963" s="7" t="n">
        <f aca="false">A963/10</f>
        <v>95.8</v>
      </c>
      <c r="C963" s="7" t="n">
        <f aca="false">IF(AND(A963=0,c_TCREEP&gt;0),10*c_TCREEP,IF(AND(A963&lt;=c_TRNGMIN,A963&gt;=c_TRNGMAX,c_TRNGMIN-c_TRNGMAX&lt;&gt;0),-10*c_TMINRN+QUOTIENT((c_TMAXRN-c_TMINRN)*(100-QUOTIENT((A963-c_TRNGMAX)*100,c_TRNGMIN-c_TRNGMAX)),-10),0))</f>
        <v>0</v>
      </c>
      <c r="D963" s="7" t="n">
        <f aca="false">IF(((c_TMAP1IN)-(c_TFWD))=0,(0)+QUOTIENT(((c_TMAP1OUT)-(0)),2),QUOTIENT((((A963)-(c_TFWD))*((c_TMAP1OUT)-(0))+IF(((c_TMAP1OUT)-(0))&gt;=0,1,-1)*QUOTIENT(((c_TMAP1IN)-(c_TFWD)),2)),((c_TMAP1IN)-(c_TFWD)))+(0)+IF(((c_TMAP1OUT)-(0))&gt;=0,IF(IF(o_WRAP=1,MOD(((c_TMAP1IN)-(c_TFWD))*(((A963)-(c_TFWD))*((c_TMAP1OUT)-(0))+IF(((c_TMAP1OUT)-(0))&gt;=0,1,-1)*QUOTIENT(((c_TMAP1IN)-(c_TFWD)),2))+2147483648,4294967296)-2147483648,((c_TMAP1IN)-(c_TFWD))*(((A963)-(c_TFWD))*((c_TMAP1OUT)-(0))+IF(((c_TMAP1OUT)-(0))&gt;=0,1,-1)*QUOTIENT(((c_TMAP1IN)-(c_TFWD)),2)))&lt;0,-1,0),IF(IF(o_WRAP=1,MOD(((c_TMAP1IN)-(c_TFWD))*(((A963)-(c_TFWD))*((c_TMAP1OUT)-(0))+IF(((c_TMAP1OUT)-(0))&gt;=0,1,-1)*QUOTIENT(((c_TMAP1IN)-(c_TFWD)),2))+2147483648,4294967296)-2147483648,((c_TMAP1IN)-(c_TFWD))*(((A963)-(c_TFWD))*((c_TMAP1OUT)-(0))+IF(((c_TMAP1OUT)-(0))&gt;=0,1,-1)*QUOTIENT(((c_TMAP1IN)-(c_TFWD)),2)))&gt;=0,1,0)))</f>
        <v>737</v>
      </c>
      <c r="E963" s="7" t="n">
        <f aca="false">IF(((c_TMAP2IN)-(c_TMAP1IN))=0,(c_TMAP1OUT)+QUOTIENT(((c_TMAP2OUT)-(c_TMAP1OUT)),2),QUOTIENT((((A963)-(c_TMAP1IN))*((c_TMAP2OUT)-(c_TMAP1OUT))+IF(((c_TMAP2OUT)-(c_TMAP1OUT))&gt;=0,1,-1)*QUOTIENT(((c_TMAP2IN)-(c_TMAP1IN)),2)),((c_TMAP2IN)-(c_TMAP1IN)))+(c_TMAP1OUT)+IF(((c_TMAP2OUT)-(c_TMAP1OUT))&gt;=0,IF(IF(o_WRAP=1,MOD(((c_TMAP2IN)-(c_TMAP1IN))*(((A963)-(c_TMAP1IN))*((c_TMAP2OUT)-(c_TMAP1OUT))+IF(((c_TMAP2OUT)-(c_TMAP1OUT))&gt;=0,1,-1)*QUOTIENT(((c_TMAP2IN)-(c_TMAP1IN)),2))+2147483648,4294967296)-2147483648,((c_TMAP2IN)-(c_TMAP1IN))*(((A963)-(c_TMAP1IN))*((c_TMAP2OUT)-(c_TMAP1OUT))+IF(((c_TMAP2OUT)-(c_TMAP1OUT))&gt;=0,1,-1)*QUOTIENT(((c_TMAP2IN)-(c_TMAP1IN)),2)))&lt;0,-1,0),IF(IF(o_WRAP=1,MOD(((c_TMAP2IN)-(c_TMAP1IN))*(((A963)-(c_TMAP1IN))*((c_TMAP2OUT)-(c_TMAP1OUT))+IF(((c_TMAP2OUT)-(c_TMAP1OUT))&gt;=0,1,-1)*QUOTIENT(((c_TMAP2IN)-(c_TMAP1IN)),2))+2147483648,4294967296)-2147483648,((c_TMAP2IN)-(c_TMAP1IN))*(((A963)-(c_TMAP1IN))*((c_TMAP2OUT)-(c_TMAP1OUT))+IF(((c_TMAP2OUT)-(c_TMAP1OUT))&gt;=0,1,-1)*QUOTIENT(((c_TMAP2IN)-(c_TMAP1IN)),2)))&gt;=0,1,0)))</f>
        <v>413</v>
      </c>
      <c r="F963" s="7" t="n">
        <f aca="false">IF(((c_TMAP3IN)-(c_TMAP2IN))=0,(c_TMAP2OUT)+QUOTIENT(((c_TMAP3OUT)-(c_TMAP2OUT)),2),QUOTIENT((((A963)-(c_TMAP2IN))*((c_TMAP3OUT)-(c_TMAP2OUT))+IF(((c_TMAP3OUT)-(c_TMAP2OUT))&gt;=0,1,-1)*QUOTIENT(((c_TMAP3IN)-(c_TMAP2IN)),2)),((c_TMAP3IN)-(c_TMAP2IN)))+(c_TMAP2OUT)+IF(((c_TMAP3OUT)-(c_TMAP2OUT))&gt;=0,IF(IF(o_WRAP=1,MOD(((c_TMAP3IN)-(c_TMAP2IN))*(((A963)-(c_TMAP2IN))*((c_TMAP3OUT)-(c_TMAP2OUT))+IF(((c_TMAP3OUT)-(c_TMAP2OUT))&gt;=0,1,-1)*QUOTIENT(((c_TMAP3IN)-(c_TMAP2IN)),2))+2147483648,4294967296)-2147483648,((c_TMAP3IN)-(c_TMAP2IN))*(((A963)-(c_TMAP2IN))*((c_TMAP3OUT)-(c_TMAP2OUT))+IF(((c_TMAP3OUT)-(c_TMAP2OUT))&gt;=0,1,-1)*QUOTIENT(((c_TMAP3IN)-(c_TMAP2IN)),2)))&lt;0,-1,0),IF(IF(o_WRAP=1,MOD(((c_TMAP3IN)-(c_TMAP2IN))*(((A963)-(c_TMAP2IN))*((c_TMAP3OUT)-(c_TMAP2OUT))+IF(((c_TMAP3OUT)-(c_TMAP2OUT))&gt;=0,1,-1)*QUOTIENT(((c_TMAP3IN)-(c_TMAP2IN)),2))+2147483648,4294967296)-2147483648,((c_TMAP3IN)-(c_TMAP2IN))*(((A963)-(c_TMAP2IN))*((c_TMAP3OUT)-(c_TMAP2OUT))+IF(((c_TMAP3OUT)-(c_TMAP2OUT))&gt;=0,1,-1)*QUOTIENT(((c_TMAP3IN)-(c_TMAP2IN)),2)))&gt;=0,1,0)))</f>
        <v>626</v>
      </c>
      <c r="G963" s="7" t="n">
        <f aca="false">IF(((1000)-(c_TMAP3IN))=0,(c_TMAP3OUT)+QUOTIENT(((1000)-(c_TMAP3OUT)),2),QUOTIENT((((A963)-(c_TMAP3IN))*((1000)-(c_TMAP3OUT))+IF(((1000)-(c_TMAP3OUT))&gt;=0,1,-1)*QUOTIENT(((1000)-(c_TMAP3IN)),2)),((1000)-(c_TMAP3IN)))+(c_TMAP3OUT)+IF(((1000)-(c_TMAP3OUT))&gt;=0,IF(IF(o_WRAP=1,MOD(((1000)-(c_TMAP3IN))*(((A963)-(c_TMAP3IN))*((1000)-(c_TMAP3OUT))+IF(((1000)-(c_TMAP3OUT))&gt;=0,1,-1)*QUOTIENT(((1000)-(c_TMAP3IN)),2))+2147483648,4294967296)-2147483648,((1000)-(c_TMAP3IN))*(((A963)-(c_TMAP3IN))*((1000)-(c_TMAP3OUT))+IF(((1000)-(c_TMAP3OUT))&gt;=0,1,-1)*QUOTIENT(((1000)-(c_TMAP3IN)),2)))&lt;0,-1,0),IF(IF(o_WRAP=1,MOD(((1000)-(c_TMAP3IN))*(((A963)-(c_TMAP3IN))*((1000)-(c_TMAP3OUT))+IF(((1000)-(c_TMAP3OUT))&gt;=0,1,-1)*QUOTIENT(((1000)-(c_TMAP3IN)),2))+2147483648,4294967296)-2147483648,((1000)-(c_TMAP3IN))*(((A963)-(c_TMAP3IN))*((1000)-(c_TMAP3OUT))+IF(((1000)-(c_TMAP3OUT))&gt;=0,1,-1)*QUOTIENT(((1000)-(c_TMAP3IN)),2)))&gt;=0,1,0)))</f>
        <v>948</v>
      </c>
      <c r="H963" s="7" t="str">
        <f aca="false">IF(A963&gt;=c_TFWD,IF(AND(A963&gt;=c_TMAP3IN,c_TMAP3IN&lt;1000),"Seg4 map3-100%",IF(AND(A963&gt;=c_TMAP2IN,c_TMAP3IN&gt;c_TMAP2IN),"Seg3 map2-map3",IF(AND(A963&gt;=c_TMAP1IN,c_TMAP2IN&gt;c_TMAP1IN),"Seg2 map1-map2","Seg1 TFWD-map1"))),IF(AND(A963=0,c_TCREEP&gt;0),"Creep",IF(AND(A963&lt;=c_TRNGMIN,A963&gt;=c_TRNGMAX,c_TRNGMIN-c_TRNGMAX&lt;&gt;0),"Regen ramp","Coast (0)")))</f>
        <v>Seg4 map3-100%</v>
      </c>
      <c r="I963" s="7" t="n">
        <f aca="false">IF(A963&gt;=c_TFWD,IF(AND(A963&gt;=c_TMAP3IN,c_TMAP3IN&lt;1000),G963,IF(AND(A963&gt;=c_TMAP2IN,c_TMAP3IN&gt;c_TMAP2IN),F963,IF(AND(A963&gt;=c_TMAP1IN,c_TMAP2IN&gt;c_TMAP1IN),E963,D963))),C963)</f>
        <v>948</v>
      </c>
      <c r="J963" s="7" t="str">
        <f aca="false">IF(I963&lt;-1090,"TOO LOW",IF(I963&gt;1090,"TOO HIGH",""))</f>
        <v/>
      </c>
      <c r="K963" s="15" t="n">
        <f aca="false">IF(J963&lt;&gt;"",0,IF(I963&gt;979,1000,I963))</f>
        <v>948</v>
      </c>
      <c r="L963" s="7" t="n">
        <f aca="false">K963/10</f>
        <v>94.8</v>
      </c>
    </row>
    <row r="964" customFormat="false" ht="15" hidden="false" customHeight="false" outlineLevel="0" collapsed="false">
      <c r="A964" s="7" t="n">
        <v>959</v>
      </c>
      <c r="B964" s="7" t="n">
        <f aca="false">A964/10</f>
        <v>95.9</v>
      </c>
      <c r="C964" s="7" t="n">
        <f aca="false">IF(AND(A964=0,c_TCREEP&gt;0),10*c_TCREEP,IF(AND(A964&lt;=c_TRNGMIN,A964&gt;=c_TRNGMAX,c_TRNGMIN-c_TRNGMAX&lt;&gt;0),-10*c_TMINRN+QUOTIENT((c_TMAXRN-c_TMINRN)*(100-QUOTIENT((A964-c_TRNGMAX)*100,c_TRNGMIN-c_TRNGMAX)),-10),0))</f>
        <v>0</v>
      </c>
      <c r="D964" s="7" t="n">
        <f aca="false">IF(((c_TMAP1IN)-(c_TFWD))=0,(0)+QUOTIENT(((c_TMAP1OUT)-(0)),2),QUOTIENT((((A964)-(c_TFWD))*((c_TMAP1OUT)-(0))+IF(((c_TMAP1OUT)-(0))&gt;=0,1,-1)*QUOTIENT(((c_TMAP1IN)-(c_TFWD)),2)),((c_TMAP1IN)-(c_TFWD)))+(0)+IF(((c_TMAP1OUT)-(0))&gt;=0,IF(IF(o_WRAP=1,MOD(((c_TMAP1IN)-(c_TFWD))*(((A964)-(c_TFWD))*((c_TMAP1OUT)-(0))+IF(((c_TMAP1OUT)-(0))&gt;=0,1,-1)*QUOTIENT(((c_TMAP1IN)-(c_TFWD)),2))+2147483648,4294967296)-2147483648,((c_TMAP1IN)-(c_TFWD))*(((A964)-(c_TFWD))*((c_TMAP1OUT)-(0))+IF(((c_TMAP1OUT)-(0))&gt;=0,1,-1)*QUOTIENT(((c_TMAP1IN)-(c_TFWD)),2)))&lt;0,-1,0),IF(IF(o_WRAP=1,MOD(((c_TMAP1IN)-(c_TFWD))*(((A964)-(c_TFWD))*((c_TMAP1OUT)-(0))+IF(((c_TMAP1OUT)-(0))&gt;=0,1,-1)*QUOTIENT(((c_TMAP1IN)-(c_TFWD)),2))+2147483648,4294967296)-2147483648,((c_TMAP1IN)-(c_TFWD))*(((A964)-(c_TFWD))*((c_TMAP1OUT)-(0))+IF(((c_TMAP1OUT)-(0))&gt;=0,1,-1)*QUOTIENT(((c_TMAP1IN)-(c_TFWD)),2)))&gt;=0,1,0)))</f>
        <v>738</v>
      </c>
      <c r="E964" s="7" t="n">
        <f aca="false">IF(((c_TMAP2IN)-(c_TMAP1IN))=0,(c_TMAP1OUT)+QUOTIENT(((c_TMAP2OUT)-(c_TMAP1OUT)),2),QUOTIENT((((A964)-(c_TMAP1IN))*((c_TMAP2OUT)-(c_TMAP1OUT))+IF(((c_TMAP2OUT)-(c_TMAP1OUT))&gt;=0,1,-1)*QUOTIENT(((c_TMAP2IN)-(c_TMAP1IN)),2)),((c_TMAP2IN)-(c_TMAP1IN)))+(c_TMAP1OUT)+IF(((c_TMAP2OUT)-(c_TMAP1OUT))&gt;=0,IF(IF(o_WRAP=1,MOD(((c_TMAP2IN)-(c_TMAP1IN))*(((A964)-(c_TMAP1IN))*((c_TMAP2OUT)-(c_TMAP1OUT))+IF(((c_TMAP2OUT)-(c_TMAP1OUT))&gt;=0,1,-1)*QUOTIENT(((c_TMAP2IN)-(c_TMAP1IN)),2))+2147483648,4294967296)-2147483648,((c_TMAP2IN)-(c_TMAP1IN))*(((A964)-(c_TMAP1IN))*((c_TMAP2OUT)-(c_TMAP1OUT))+IF(((c_TMAP2OUT)-(c_TMAP1OUT))&gt;=0,1,-1)*QUOTIENT(((c_TMAP2IN)-(c_TMAP1IN)),2)))&lt;0,-1,0),IF(IF(o_WRAP=1,MOD(((c_TMAP2IN)-(c_TMAP1IN))*(((A964)-(c_TMAP1IN))*((c_TMAP2OUT)-(c_TMAP1OUT))+IF(((c_TMAP2OUT)-(c_TMAP1OUT))&gt;=0,1,-1)*QUOTIENT(((c_TMAP2IN)-(c_TMAP1IN)),2))+2147483648,4294967296)-2147483648,((c_TMAP2IN)-(c_TMAP1IN))*(((A964)-(c_TMAP1IN))*((c_TMAP2OUT)-(c_TMAP1OUT))+IF(((c_TMAP2OUT)-(c_TMAP1OUT))&gt;=0,1,-1)*QUOTIENT(((c_TMAP2IN)-(c_TMAP1IN)),2)))&gt;=0,1,0)))</f>
        <v>414</v>
      </c>
      <c r="F964" s="7" t="n">
        <f aca="false">IF(((c_TMAP3IN)-(c_TMAP2IN))=0,(c_TMAP2OUT)+QUOTIENT(((c_TMAP3OUT)-(c_TMAP2OUT)),2),QUOTIENT((((A964)-(c_TMAP2IN))*((c_TMAP3OUT)-(c_TMAP2OUT))+IF(((c_TMAP3OUT)-(c_TMAP2OUT))&gt;=0,1,-1)*QUOTIENT(((c_TMAP3IN)-(c_TMAP2IN)),2)),((c_TMAP3IN)-(c_TMAP2IN)))+(c_TMAP2OUT)+IF(((c_TMAP3OUT)-(c_TMAP2OUT))&gt;=0,IF(IF(o_WRAP=1,MOD(((c_TMAP3IN)-(c_TMAP2IN))*(((A964)-(c_TMAP2IN))*((c_TMAP3OUT)-(c_TMAP2OUT))+IF(((c_TMAP3OUT)-(c_TMAP2OUT))&gt;=0,1,-1)*QUOTIENT(((c_TMAP3IN)-(c_TMAP2IN)),2))+2147483648,4294967296)-2147483648,((c_TMAP3IN)-(c_TMAP2IN))*(((A964)-(c_TMAP2IN))*((c_TMAP3OUT)-(c_TMAP2OUT))+IF(((c_TMAP3OUT)-(c_TMAP2OUT))&gt;=0,1,-1)*QUOTIENT(((c_TMAP3IN)-(c_TMAP2IN)),2)))&lt;0,-1,0),IF(IF(o_WRAP=1,MOD(((c_TMAP3IN)-(c_TMAP2IN))*(((A964)-(c_TMAP2IN))*((c_TMAP3OUT)-(c_TMAP2OUT))+IF(((c_TMAP3OUT)-(c_TMAP2OUT))&gt;=0,1,-1)*QUOTIENT(((c_TMAP3IN)-(c_TMAP2IN)),2))+2147483648,4294967296)-2147483648,((c_TMAP3IN)-(c_TMAP2IN))*(((A964)-(c_TMAP2IN))*((c_TMAP3OUT)-(c_TMAP2OUT))+IF(((c_TMAP3OUT)-(c_TMAP2OUT))&gt;=0,1,-1)*QUOTIENT(((c_TMAP3IN)-(c_TMAP2IN)),2)))&gt;=0,1,0)))</f>
        <v>626</v>
      </c>
      <c r="G964" s="7" t="n">
        <f aca="false">IF(((1000)-(c_TMAP3IN))=0,(c_TMAP3OUT)+QUOTIENT(((1000)-(c_TMAP3OUT)),2),QUOTIENT((((A964)-(c_TMAP3IN))*((1000)-(c_TMAP3OUT))+IF(((1000)-(c_TMAP3OUT))&gt;=0,1,-1)*QUOTIENT(((1000)-(c_TMAP3IN)),2)),((1000)-(c_TMAP3IN)))+(c_TMAP3OUT)+IF(((1000)-(c_TMAP3OUT))&gt;=0,IF(IF(o_WRAP=1,MOD(((1000)-(c_TMAP3IN))*(((A964)-(c_TMAP3IN))*((1000)-(c_TMAP3OUT))+IF(((1000)-(c_TMAP3OUT))&gt;=0,1,-1)*QUOTIENT(((1000)-(c_TMAP3IN)),2))+2147483648,4294967296)-2147483648,((1000)-(c_TMAP3IN))*(((A964)-(c_TMAP3IN))*((1000)-(c_TMAP3OUT))+IF(((1000)-(c_TMAP3OUT))&gt;=0,1,-1)*QUOTIENT(((1000)-(c_TMAP3IN)),2)))&lt;0,-1,0),IF(IF(o_WRAP=1,MOD(((1000)-(c_TMAP3IN))*(((A964)-(c_TMAP3IN))*((1000)-(c_TMAP3OUT))+IF(((1000)-(c_TMAP3OUT))&gt;=0,1,-1)*QUOTIENT(((1000)-(c_TMAP3IN)),2))+2147483648,4294967296)-2147483648,((1000)-(c_TMAP3IN))*(((A964)-(c_TMAP3IN))*((1000)-(c_TMAP3OUT))+IF(((1000)-(c_TMAP3OUT))&gt;=0,1,-1)*QUOTIENT(((1000)-(c_TMAP3IN)),2)))&gt;=0,1,0)))</f>
        <v>950</v>
      </c>
      <c r="H964" s="7" t="str">
        <f aca="false">IF(A964&gt;=c_TFWD,IF(AND(A964&gt;=c_TMAP3IN,c_TMAP3IN&lt;1000),"Seg4 map3-100%",IF(AND(A964&gt;=c_TMAP2IN,c_TMAP3IN&gt;c_TMAP2IN),"Seg3 map2-map3",IF(AND(A964&gt;=c_TMAP1IN,c_TMAP2IN&gt;c_TMAP1IN),"Seg2 map1-map2","Seg1 TFWD-map1"))),IF(AND(A964=0,c_TCREEP&gt;0),"Creep",IF(AND(A964&lt;=c_TRNGMIN,A964&gt;=c_TRNGMAX,c_TRNGMIN-c_TRNGMAX&lt;&gt;0),"Regen ramp","Coast (0)")))</f>
        <v>Seg4 map3-100%</v>
      </c>
      <c r="I964" s="7" t="n">
        <f aca="false">IF(A964&gt;=c_TFWD,IF(AND(A964&gt;=c_TMAP3IN,c_TMAP3IN&lt;1000),G964,IF(AND(A964&gt;=c_TMAP2IN,c_TMAP3IN&gt;c_TMAP2IN),F964,IF(AND(A964&gt;=c_TMAP1IN,c_TMAP2IN&gt;c_TMAP1IN),E964,D964))),C964)</f>
        <v>950</v>
      </c>
      <c r="J964" s="7" t="str">
        <f aca="false">IF(I964&lt;-1090,"TOO LOW",IF(I964&gt;1090,"TOO HIGH",""))</f>
        <v/>
      </c>
      <c r="K964" s="15" t="n">
        <f aca="false">IF(J964&lt;&gt;"",0,IF(I964&gt;979,1000,I964))</f>
        <v>950</v>
      </c>
      <c r="L964" s="7" t="n">
        <f aca="false">K964/10</f>
        <v>95</v>
      </c>
    </row>
    <row r="965" customFormat="false" ht="15" hidden="false" customHeight="false" outlineLevel="0" collapsed="false">
      <c r="A965" s="7" t="n">
        <v>960</v>
      </c>
      <c r="B965" s="7" t="n">
        <f aca="false">A965/10</f>
        <v>96</v>
      </c>
      <c r="C965" s="7" t="n">
        <f aca="false">IF(AND(A965=0,c_TCREEP&gt;0),10*c_TCREEP,IF(AND(A965&lt;=c_TRNGMIN,A965&gt;=c_TRNGMAX,c_TRNGMIN-c_TRNGMAX&lt;&gt;0),-10*c_TMINRN+QUOTIENT((c_TMAXRN-c_TMINRN)*(100-QUOTIENT((A965-c_TRNGMAX)*100,c_TRNGMIN-c_TRNGMAX)),-10),0))</f>
        <v>0</v>
      </c>
      <c r="D965" s="7" t="n">
        <f aca="false">IF(((c_TMAP1IN)-(c_TFWD))=0,(0)+QUOTIENT(((c_TMAP1OUT)-(0)),2),QUOTIENT((((A965)-(c_TFWD))*((c_TMAP1OUT)-(0))+IF(((c_TMAP1OUT)-(0))&gt;=0,1,-1)*QUOTIENT(((c_TMAP1IN)-(c_TFWD)),2)),((c_TMAP1IN)-(c_TFWD)))+(0)+IF(((c_TMAP1OUT)-(0))&gt;=0,IF(IF(o_WRAP=1,MOD(((c_TMAP1IN)-(c_TFWD))*(((A965)-(c_TFWD))*((c_TMAP1OUT)-(0))+IF(((c_TMAP1OUT)-(0))&gt;=0,1,-1)*QUOTIENT(((c_TMAP1IN)-(c_TFWD)),2))+2147483648,4294967296)-2147483648,((c_TMAP1IN)-(c_TFWD))*(((A965)-(c_TFWD))*((c_TMAP1OUT)-(0))+IF(((c_TMAP1OUT)-(0))&gt;=0,1,-1)*QUOTIENT(((c_TMAP1IN)-(c_TFWD)),2)))&lt;0,-1,0),IF(IF(o_WRAP=1,MOD(((c_TMAP1IN)-(c_TFWD))*(((A965)-(c_TFWD))*((c_TMAP1OUT)-(0))+IF(((c_TMAP1OUT)-(0))&gt;=0,1,-1)*QUOTIENT(((c_TMAP1IN)-(c_TFWD)),2))+2147483648,4294967296)-2147483648,((c_TMAP1IN)-(c_TFWD))*(((A965)-(c_TFWD))*((c_TMAP1OUT)-(0))+IF(((c_TMAP1OUT)-(0))&gt;=0,1,-1)*QUOTIENT(((c_TMAP1IN)-(c_TFWD)),2)))&gt;=0,1,0)))</f>
        <v>739</v>
      </c>
      <c r="E965" s="7" t="n">
        <f aca="false">IF(((c_TMAP2IN)-(c_TMAP1IN))=0,(c_TMAP1OUT)+QUOTIENT(((c_TMAP2OUT)-(c_TMAP1OUT)),2),QUOTIENT((((A965)-(c_TMAP1IN))*((c_TMAP2OUT)-(c_TMAP1OUT))+IF(((c_TMAP2OUT)-(c_TMAP1OUT))&gt;=0,1,-1)*QUOTIENT(((c_TMAP2IN)-(c_TMAP1IN)),2)),((c_TMAP2IN)-(c_TMAP1IN)))+(c_TMAP1OUT)+IF(((c_TMAP2OUT)-(c_TMAP1OUT))&gt;=0,IF(IF(o_WRAP=1,MOD(((c_TMAP2IN)-(c_TMAP1IN))*(((A965)-(c_TMAP1IN))*((c_TMAP2OUT)-(c_TMAP1OUT))+IF(((c_TMAP2OUT)-(c_TMAP1OUT))&gt;=0,1,-1)*QUOTIENT(((c_TMAP2IN)-(c_TMAP1IN)),2))+2147483648,4294967296)-2147483648,((c_TMAP2IN)-(c_TMAP1IN))*(((A965)-(c_TMAP1IN))*((c_TMAP2OUT)-(c_TMAP1OUT))+IF(((c_TMAP2OUT)-(c_TMAP1OUT))&gt;=0,1,-1)*QUOTIENT(((c_TMAP2IN)-(c_TMAP1IN)),2)))&lt;0,-1,0),IF(IF(o_WRAP=1,MOD(((c_TMAP2IN)-(c_TMAP1IN))*(((A965)-(c_TMAP1IN))*((c_TMAP2OUT)-(c_TMAP1OUT))+IF(((c_TMAP2OUT)-(c_TMAP1OUT))&gt;=0,1,-1)*QUOTIENT(((c_TMAP2IN)-(c_TMAP1IN)),2))+2147483648,4294967296)-2147483648,((c_TMAP2IN)-(c_TMAP1IN))*(((A965)-(c_TMAP1IN))*((c_TMAP2OUT)-(c_TMAP1OUT))+IF(((c_TMAP2OUT)-(c_TMAP1OUT))&gt;=0,1,-1)*QUOTIENT(((c_TMAP2IN)-(c_TMAP1IN)),2)))&gt;=0,1,0)))</f>
        <v>414</v>
      </c>
      <c r="F965" s="7" t="n">
        <f aca="false">IF(((c_TMAP3IN)-(c_TMAP2IN))=0,(c_TMAP2OUT)+QUOTIENT(((c_TMAP3OUT)-(c_TMAP2OUT)),2),QUOTIENT((((A965)-(c_TMAP2IN))*((c_TMAP3OUT)-(c_TMAP2OUT))+IF(((c_TMAP3OUT)-(c_TMAP2OUT))&gt;=0,1,-1)*QUOTIENT(((c_TMAP3IN)-(c_TMAP2IN)),2)),((c_TMAP3IN)-(c_TMAP2IN)))+(c_TMAP2OUT)+IF(((c_TMAP3OUT)-(c_TMAP2OUT))&gt;=0,IF(IF(o_WRAP=1,MOD(((c_TMAP3IN)-(c_TMAP2IN))*(((A965)-(c_TMAP2IN))*((c_TMAP3OUT)-(c_TMAP2OUT))+IF(((c_TMAP3OUT)-(c_TMAP2OUT))&gt;=0,1,-1)*QUOTIENT(((c_TMAP3IN)-(c_TMAP2IN)),2))+2147483648,4294967296)-2147483648,((c_TMAP3IN)-(c_TMAP2IN))*(((A965)-(c_TMAP2IN))*((c_TMAP3OUT)-(c_TMAP2OUT))+IF(((c_TMAP3OUT)-(c_TMAP2OUT))&gt;=0,1,-1)*QUOTIENT(((c_TMAP3IN)-(c_TMAP2IN)),2)))&lt;0,-1,0),IF(IF(o_WRAP=1,MOD(((c_TMAP3IN)-(c_TMAP2IN))*(((A965)-(c_TMAP2IN))*((c_TMAP3OUT)-(c_TMAP2OUT))+IF(((c_TMAP3OUT)-(c_TMAP2OUT))&gt;=0,1,-1)*QUOTIENT(((c_TMAP3IN)-(c_TMAP2IN)),2))+2147483648,4294967296)-2147483648,((c_TMAP3IN)-(c_TMAP2IN))*(((A965)-(c_TMAP2IN))*((c_TMAP3OUT)-(c_TMAP2OUT))+IF(((c_TMAP3OUT)-(c_TMAP2OUT))&gt;=0,1,-1)*QUOTIENT(((c_TMAP3IN)-(c_TMAP2IN)),2)))&gt;=0,1,0)))</f>
        <v>627</v>
      </c>
      <c r="G965" s="7" t="n">
        <f aca="false">IF(((1000)-(c_TMAP3IN))=0,(c_TMAP3OUT)+QUOTIENT(((1000)-(c_TMAP3OUT)),2),QUOTIENT((((A965)-(c_TMAP3IN))*((1000)-(c_TMAP3OUT))+IF(((1000)-(c_TMAP3OUT))&gt;=0,1,-1)*QUOTIENT(((1000)-(c_TMAP3IN)),2)),((1000)-(c_TMAP3IN)))+(c_TMAP3OUT)+IF(((1000)-(c_TMAP3OUT))&gt;=0,IF(IF(o_WRAP=1,MOD(((1000)-(c_TMAP3IN))*(((A965)-(c_TMAP3IN))*((1000)-(c_TMAP3OUT))+IF(((1000)-(c_TMAP3OUT))&gt;=0,1,-1)*QUOTIENT(((1000)-(c_TMAP3IN)),2))+2147483648,4294967296)-2147483648,((1000)-(c_TMAP3IN))*(((A965)-(c_TMAP3IN))*((1000)-(c_TMAP3OUT))+IF(((1000)-(c_TMAP3OUT))&gt;=0,1,-1)*QUOTIENT(((1000)-(c_TMAP3IN)),2)))&lt;0,-1,0),IF(IF(o_WRAP=1,MOD(((1000)-(c_TMAP3IN))*(((A965)-(c_TMAP3IN))*((1000)-(c_TMAP3OUT))+IF(((1000)-(c_TMAP3OUT))&gt;=0,1,-1)*QUOTIENT(((1000)-(c_TMAP3IN)),2))+2147483648,4294967296)-2147483648,((1000)-(c_TMAP3IN))*(((A965)-(c_TMAP3IN))*((1000)-(c_TMAP3OUT))+IF(((1000)-(c_TMAP3OUT))&gt;=0,1,-1)*QUOTIENT(((1000)-(c_TMAP3IN)),2)))&gt;=0,1,0)))</f>
        <v>951</v>
      </c>
      <c r="H965" s="7" t="str">
        <f aca="false">IF(A965&gt;=c_TFWD,IF(AND(A965&gt;=c_TMAP3IN,c_TMAP3IN&lt;1000),"Seg4 map3-100%",IF(AND(A965&gt;=c_TMAP2IN,c_TMAP3IN&gt;c_TMAP2IN),"Seg3 map2-map3",IF(AND(A965&gt;=c_TMAP1IN,c_TMAP2IN&gt;c_TMAP1IN),"Seg2 map1-map2","Seg1 TFWD-map1"))),IF(AND(A965=0,c_TCREEP&gt;0),"Creep",IF(AND(A965&lt;=c_TRNGMIN,A965&gt;=c_TRNGMAX,c_TRNGMIN-c_TRNGMAX&lt;&gt;0),"Regen ramp","Coast (0)")))</f>
        <v>Seg4 map3-100%</v>
      </c>
      <c r="I965" s="7" t="n">
        <f aca="false">IF(A965&gt;=c_TFWD,IF(AND(A965&gt;=c_TMAP3IN,c_TMAP3IN&lt;1000),G965,IF(AND(A965&gt;=c_TMAP2IN,c_TMAP3IN&gt;c_TMAP2IN),F965,IF(AND(A965&gt;=c_TMAP1IN,c_TMAP2IN&gt;c_TMAP1IN),E965,D965))),C965)</f>
        <v>951</v>
      </c>
      <c r="J965" s="7" t="str">
        <f aca="false">IF(I965&lt;-1090,"TOO LOW",IF(I965&gt;1090,"TOO HIGH",""))</f>
        <v/>
      </c>
      <c r="K965" s="15" t="n">
        <f aca="false">IF(J965&lt;&gt;"",0,IF(I965&gt;979,1000,I965))</f>
        <v>951</v>
      </c>
      <c r="L965" s="7" t="n">
        <f aca="false">K965/10</f>
        <v>95.1</v>
      </c>
    </row>
    <row r="966" customFormat="false" ht="15" hidden="false" customHeight="false" outlineLevel="0" collapsed="false">
      <c r="A966" s="7" t="n">
        <v>961</v>
      </c>
      <c r="B966" s="7" t="n">
        <f aca="false">A966/10</f>
        <v>96.1</v>
      </c>
      <c r="C966" s="7" t="n">
        <f aca="false">IF(AND(A966=0,c_TCREEP&gt;0),10*c_TCREEP,IF(AND(A966&lt;=c_TRNGMIN,A966&gt;=c_TRNGMAX,c_TRNGMIN-c_TRNGMAX&lt;&gt;0),-10*c_TMINRN+QUOTIENT((c_TMAXRN-c_TMINRN)*(100-QUOTIENT((A966-c_TRNGMAX)*100,c_TRNGMIN-c_TRNGMAX)),-10),0))</f>
        <v>0</v>
      </c>
      <c r="D966" s="7" t="n">
        <f aca="false">IF(((c_TMAP1IN)-(c_TFWD))=0,(0)+QUOTIENT(((c_TMAP1OUT)-(0)),2),QUOTIENT((((A966)-(c_TFWD))*((c_TMAP1OUT)-(0))+IF(((c_TMAP1OUT)-(0))&gt;=0,1,-1)*QUOTIENT(((c_TMAP1IN)-(c_TFWD)),2)),((c_TMAP1IN)-(c_TFWD)))+(0)+IF(((c_TMAP1OUT)-(0))&gt;=0,IF(IF(o_WRAP=1,MOD(((c_TMAP1IN)-(c_TFWD))*(((A966)-(c_TFWD))*((c_TMAP1OUT)-(0))+IF(((c_TMAP1OUT)-(0))&gt;=0,1,-1)*QUOTIENT(((c_TMAP1IN)-(c_TFWD)),2))+2147483648,4294967296)-2147483648,((c_TMAP1IN)-(c_TFWD))*(((A966)-(c_TFWD))*((c_TMAP1OUT)-(0))+IF(((c_TMAP1OUT)-(0))&gt;=0,1,-1)*QUOTIENT(((c_TMAP1IN)-(c_TFWD)),2)))&lt;0,-1,0),IF(IF(o_WRAP=1,MOD(((c_TMAP1IN)-(c_TFWD))*(((A966)-(c_TFWD))*((c_TMAP1OUT)-(0))+IF(((c_TMAP1OUT)-(0))&gt;=0,1,-1)*QUOTIENT(((c_TMAP1IN)-(c_TFWD)),2))+2147483648,4294967296)-2147483648,((c_TMAP1IN)-(c_TFWD))*(((A966)-(c_TFWD))*((c_TMAP1OUT)-(0))+IF(((c_TMAP1OUT)-(0))&gt;=0,1,-1)*QUOTIENT(((c_TMAP1IN)-(c_TFWD)),2)))&gt;=0,1,0)))</f>
        <v>740</v>
      </c>
      <c r="E966" s="7" t="n">
        <f aca="false">IF(((c_TMAP2IN)-(c_TMAP1IN))=0,(c_TMAP1OUT)+QUOTIENT(((c_TMAP2OUT)-(c_TMAP1OUT)),2),QUOTIENT((((A966)-(c_TMAP1IN))*((c_TMAP2OUT)-(c_TMAP1OUT))+IF(((c_TMAP2OUT)-(c_TMAP1OUT))&gt;=0,1,-1)*QUOTIENT(((c_TMAP2IN)-(c_TMAP1IN)),2)),((c_TMAP2IN)-(c_TMAP1IN)))+(c_TMAP1OUT)+IF(((c_TMAP2OUT)-(c_TMAP1OUT))&gt;=0,IF(IF(o_WRAP=1,MOD(((c_TMAP2IN)-(c_TMAP1IN))*(((A966)-(c_TMAP1IN))*((c_TMAP2OUT)-(c_TMAP1OUT))+IF(((c_TMAP2OUT)-(c_TMAP1OUT))&gt;=0,1,-1)*QUOTIENT(((c_TMAP2IN)-(c_TMAP1IN)),2))+2147483648,4294967296)-2147483648,((c_TMAP2IN)-(c_TMAP1IN))*(((A966)-(c_TMAP1IN))*((c_TMAP2OUT)-(c_TMAP1OUT))+IF(((c_TMAP2OUT)-(c_TMAP1OUT))&gt;=0,1,-1)*QUOTIENT(((c_TMAP2IN)-(c_TMAP1IN)),2)))&lt;0,-1,0),IF(IF(o_WRAP=1,MOD(((c_TMAP2IN)-(c_TMAP1IN))*(((A966)-(c_TMAP1IN))*((c_TMAP2OUT)-(c_TMAP1OUT))+IF(((c_TMAP2OUT)-(c_TMAP1OUT))&gt;=0,1,-1)*QUOTIENT(((c_TMAP2IN)-(c_TMAP1IN)),2))+2147483648,4294967296)-2147483648,((c_TMAP2IN)-(c_TMAP1IN))*(((A966)-(c_TMAP1IN))*((c_TMAP2OUT)-(c_TMAP1OUT))+IF(((c_TMAP2OUT)-(c_TMAP1OUT))&gt;=0,1,-1)*QUOTIENT(((c_TMAP2IN)-(c_TMAP1IN)),2)))&gt;=0,1,0)))</f>
        <v>414</v>
      </c>
      <c r="F966" s="7" t="n">
        <f aca="false">IF(((c_TMAP3IN)-(c_TMAP2IN))=0,(c_TMAP2OUT)+QUOTIENT(((c_TMAP3OUT)-(c_TMAP2OUT)),2),QUOTIENT((((A966)-(c_TMAP2IN))*((c_TMAP3OUT)-(c_TMAP2OUT))+IF(((c_TMAP3OUT)-(c_TMAP2OUT))&gt;=0,1,-1)*QUOTIENT(((c_TMAP3IN)-(c_TMAP2IN)),2)),((c_TMAP3IN)-(c_TMAP2IN)))+(c_TMAP2OUT)+IF(((c_TMAP3OUT)-(c_TMAP2OUT))&gt;=0,IF(IF(o_WRAP=1,MOD(((c_TMAP3IN)-(c_TMAP2IN))*(((A966)-(c_TMAP2IN))*((c_TMAP3OUT)-(c_TMAP2OUT))+IF(((c_TMAP3OUT)-(c_TMAP2OUT))&gt;=0,1,-1)*QUOTIENT(((c_TMAP3IN)-(c_TMAP2IN)),2))+2147483648,4294967296)-2147483648,((c_TMAP3IN)-(c_TMAP2IN))*(((A966)-(c_TMAP2IN))*((c_TMAP3OUT)-(c_TMAP2OUT))+IF(((c_TMAP3OUT)-(c_TMAP2OUT))&gt;=0,1,-1)*QUOTIENT(((c_TMAP3IN)-(c_TMAP2IN)),2)))&lt;0,-1,0),IF(IF(o_WRAP=1,MOD(((c_TMAP3IN)-(c_TMAP2IN))*(((A966)-(c_TMAP2IN))*((c_TMAP3OUT)-(c_TMAP2OUT))+IF(((c_TMAP3OUT)-(c_TMAP2OUT))&gt;=0,1,-1)*QUOTIENT(((c_TMAP3IN)-(c_TMAP2IN)),2))+2147483648,4294967296)-2147483648,((c_TMAP3IN)-(c_TMAP2IN))*(((A966)-(c_TMAP2IN))*((c_TMAP3OUT)-(c_TMAP2OUT))+IF(((c_TMAP3OUT)-(c_TMAP2OUT))&gt;=0,1,-1)*QUOTIENT(((c_TMAP3IN)-(c_TMAP2IN)),2)))&gt;=0,1,0)))</f>
        <v>628</v>
      </c>
      <c r="G966" s="7" t="n">
        <f aca="false">IF(((1000)-(c_TMAP3IN))=0,(c_TMAP3OUT)+QUOTIENT(((1000)-(c_TMAP3OUT)),2),QUOTIENT((((A966)-(c_TMAP3IN))*((1000)-(c_TMAP3OUT))+IF(((1000)-(c_TMAP3OUT))&gt;=0,1,-1)*QUOTIENT(((1000)-(c_TMAP3IN)),2)),((1000)-(c_TMAP3IN)))+(c_TMAP3OUT)+IF(((1000)-(c_TMAP3OUT))&gt;=0,IF(IF(o_WRAP=1,MOD(((1000)-(c_TMAP3IN))*(((A966)-(c_TMAP3IN))*((1000)-(c_TMAP3OUT))+IF(((1000)-(c_TMAP3OUT))&gt;=0,1,-1)*QUOTIENT(((1000)-(c_TMAP3IN)),2))+2147483648,4294967296)-2147483648,((1000)-(c_TMAP3IN))*(((A966)-(c_TMAP3IN))*((1000)-(c_TMAP3OUT))+IF(((1000)-(c_TMAP3OUT))&gt;=0,1,-1)*QUOTIENT(((1000)-(c_TMAP3IN)),2)))&lt;0,-1,0),IF(IF(o_WRAP=1,MOD(((1000)-(c_TMAP3IN))*(((A966)-(c_TMAP3IN))*((1000)-(c_TMAP3OUT))+IF(((1000)-(c_TMAP3OUT))&gt;=0,1,-1)*QUOTIENT(((1000)-(c_TMAP3IN)),2))+2147483648,4294967296)-2147483648,((1000)-(c_TMAP3IN))*(((A966)-(c_TMAP3IN))*((1000)-(c_TMAP3OUT))+IF(((1000)-(c_TMAP3OUT))&gt;=0,1,-1)*QUOTIENT(((1000)-(c_TMAP3IN)),2)))&gt;=0,1,0)))</f>
        <v>952</v>
      </c>
      <c r="H966" s="7" t="str">
        <f aca="false">IF(A966&gt;=c_TFWD,IF(AND(A966&gt;=c_TMAP3IN,c_TMAP3IN&lt;1000),"Seg4 map3-100%",IF(AND(A966&gt;=c_TMAP2IN,c_TMAP3IN&gt;c_TMAP2IN),"Seg3 map2-map3",IF(AND(A966&gt;=c_TMAP1IN,c_TMAP2IN&gt;c_TMAP1IN),"Seg2 map1-map2","Seg1 TFWD-map1"))),IF(AND(A966=0,c_TCREEP&gt;0),"Creep",IF(AND(A966&lt;=c_TRNGMIN,A966&gt;=c_TRNGMAX,c_TRNGMIN-c_TRNGMAX&lt;&gt;0),"Regen ramp","Coast (0)")))</f>
        <v>Seg4 map3-100%</v>
      </c>
      <c r="I966" s="7" t="n">
        <f aca="false">IF(A966&gt;=c_TFWD,IF(AND(A966&gt;=c_TMAP3IN,c_TMAP3IN&lt;1000),G966,IF(AND(A966&gt;=c_TMAP2IN,c_TMAP3IN&gt;c_TMAP2IN),F966,IF(AND(A966&gt;=c_TMAP1IN,c_TMAP2IN&gt;c_TMAP1IN),E966,D966))),C966)</f>
        <v>952</v>
      </c>
      <c r="J966" s="7" t="str">
        <f aca="false">IF(I966&lt;-1090,"TOO LOW",IF(I966&gt;1090,"TOO HIGH",""))</f>
        <v/>
      </c>
      <c r="K966" s="15" t="n">
        <f aca="false">IF(J966&lt;&gt;"",0,IF(I966&gt;979,1000,I966))</f>
        <v>952</v>
      </c>
      <c r="L966" s="7" t="n">
        <f aca="false">K966/10</f>
        <v>95.2</v>
      </c>
    </row>
    <row r="967" customFormat="false" ht="15" hidden="false" customHeight="false" outlineLevel="0" collapsed="false">
      <c r="A967" s="7" t="n">
        <v>962</v>
      </c>
      <c r="B967" s="7" t="n">
        <f aca="false">A967/10</f>
        <v>96.2</v>
      </c>
      <c r="C967" s="7" t="n">
        <f aca="false">IF(AND(A967=0,c_TCREEP&gt;0),10*c_TCREEP,IF(AND(A967&lt;=c_TRNGMIN,A967&gt;=c_TRNGMAX,c_TRNGMIN-c_TRNGMAX&lt;&gt;0),-10*c_TMINRN+QUOTIENT((c_TMAXRN-c_TMINRN)*(100-QUOTIENT((A967-c_TRNGMAX)*100,c_TRNGMIN-c_TRNGMAX)),-10),0))</f>
        <v>0</v>
      </c>
      <c r="D967" s="7" t="n">
        <f aca="false">IF(((c_TMAP1IN)-(c_TFWD))=0,(0)+QUOTIENT(((c_TMAP1OUT)-(0)),2),QUOTIENT((((A967)-(c_TFWD))*((c_TMAP1OUT)-(0))+IF(((c_TMAP1OUT)-(0))&gt;=0,1,-1)*QUOTIENT(((c_TMAP1IN)-(c_TFWD)),2)),((c_TMAP1IN)-(c_TFWD)))+(0)+IF(((c_TMAP1OUT)-(0))&gt;=0,IF(IF(o_WRAP=1,MOD(((c_TMAP1IN)-(c_TFWD))*(((A967)-(c_TFWD))*((c_TMAP1OUT)-(0))+IF(((c_TMAP1OUT)-(0))&gt;=0,1,-1)*QUOTIENT(((c_TMAP1IN)-(c_TFWD)),2))+2147483648,4294967296)-2147483648,((c_TMAP1IN)-(c_TFWD))*(((A967)-(c_TFWD))*((c_TMAP1OUT)-(0))+IF(((c_TMAP1OUT)-(0))&gt;=0,1,-1)*QUOTIENT(((c_TMAP1IN)-(c_TFWD)),2)))&lt;0,-1,0),IF(IF(o_WRAP=1,MOD(((c_TMAP1IN)-(c_TFWD))*(((A967)-(c_TFWD))*((c_TMAP1OUT)-(0))+IF(((c_TMAP1OUT)-(0))&gt;=0,1,-1)*QUOTIENT(((c_TMAP1IN)-(c_TFWD)),2))+2147483648,4294967296)-2147483648,((c_TMAP1IN)-(c_TFWD))*(((A967)-(c_TFWD))*((c_TMAP1OUT)-(0))+IF(((c_TMAP1OUT)-(0))&gt;=0,1,-1)*QUOTIENT(((c_TMAP1IN)-(c_TFWD)),2)))&gt;=0,1,0)))</f>
        <v>740</v>
      </c>
      <c r="E967" s="7" t="n">
        <f aca="false">IF(((c_TMAP2IN)-(c_TMAP1IN))=0,(c_TMAP1OUT)+QUOTIENT(((c_TMAP2OUT)-(c_TMAP1OUT)),2),QUOTIENT((((A967)-(c_TMAP1IN))*((c_TMAP2OUT)-(c_TMAP1OUT))+IF(((c_TMAP2OUT)-(c_TMAP1OUT))&gt;=0,1,-1)*QUOTIENT(((c_TMAP2IN)-(c_TMAP1IN)),2)),((c_TMAP2IN)-(c_TMAP1IN)))+(c_TMAP1OUT)+IF(((c_TMAP2OUT)-(c_TMAP1OUT))&gt;=0,IF(IF(o_WRAP=1,MOD(((c_TMAP2IN)-(c_TMAP1IN))*(((A967)-(c_TMAP1IN))*((c_TMAP2OUT)-(c_TMAP1OUT))+IF(((c_TMAP2OUT)-(c_TMAP1OUT))&gt;=0,1,-1)*QUOTIENT(((c_TMAP2IN)-(c_TMAP1IN)),2))+2147483648,4294967296)-2147483648,((c_TMAP2IN)-(c_TMAP1IN))*(((A967)-(c_TMAP1IN))*((c_TMAP2OUT)-(c_TMAP1OUT))+IF(((c_TMAP2OUT)-(c_TMAP1OUT))&gt;=0,1,-1)*QUOTIENT(((c_TMAP2IN)-(c_TMAP1IN)),2)))&lt;0,-1,0),IF(IF(o_WRAP=1,MOD(((c_TMAP2IN)-(c_TMAP1IN))*(((A967)-(c_TMAP1IN))*((c_TMAP2OUT)-(c_TMAP1OUT))+IF(((c_TMAP2OUT)-(c_TMAP1OUT))&gt;=0,1,-1)*QUOTIENT(((c_TMAP2IN)-(c_TMAP1IN)),2))+2147483648,4294967296)-2147483648,((c_TMAP2IN)-(c_TMAP1IN))*(((A967)-(c_TMAP1IN))*((c_TMAP2OUT)-(c_TMAP1OUT))+IF(((c_TMAP2OUT)-(c_TMAP1OUT))&gt;=0,1,-1)*QUOTIENT(((c_TMAP2IN)-(c_TMAP1IN)),2)))&gt;=0,1,0)))</f>
        <v>415</v>
      </c>
      <c r="F967" s="7" t="n">
        <f aca="false">IF(((c_TMAP3IN)-(c_TMAP2IN))=0,(c_TMAP2OUT)+QUOTIENT(((c_TMAP3OUT)-(c_TMAP2OUT)),2),QUOTIENT((((A967)-(c_TMAP2IN))*((c_TMAP3OUT)-(c_TMAP2OUT))+IF(((c_TMAP3OUT)-(c_TMAP2OUT))&gt;=0,1,-1)*QUOTIENT(((c_TMAP3IN)-(c_TMAP2IN)),2)),((c_TMAP3IN)-(c_TMAP2IN)))+(c_TMAP2OUT)+IF(((c_TMAP3OUT)-(c_TMAP2OUT))&gt;=0,IF(IF(o_WRAP=1,MOD(((c_TMAP3IN)-(c_TMAP2IN))*(((A967)-(c_TMAP2IN))*((c_TMAP3OUT)-(c_TMAP2OUT))+IF(((c_TMAP3OUT)-(c_TMAP2OUT))&gt;=0,1,-1)*QUOTIENT(((c_TMAP3IN)-(c_TMAP2IN)),2))+2147483648,4294967296)-2147483648,((c_TMAP3IN)-(c_TMAP2IN))*(((A967)-(c_TMAP2IN))*((c_TMAP3OUT)-(c_TMAP2OUT))+IF(((c_TMAP3OUT)-(c_TMAP2OUT))&gt;=0,1,-1)*QUOTIENT(((c_TMAP3IN)-(c_TMAP2IN)),2)))&lt;0,-1,0),IF(IF(o_WRAP=1,MOD(((c_TMAP3IN)-(c_TMAP2IN))*(((A967)-(c_TMAP2IN))*((c_TMAP3OUT)-(c_TMAP2OUT))+IF(((c_TMAP3OUT)-(c_TMAP2OUT))&gt;=0,1,-1)*QUOTIENT(((c_TMAP3IN)-(c_TMAP2IN)),2))+2147483648,4294967296)-2147483648,((c_TMAP3IN)-(c_TMAP2IN))*(((A967)-(c_TMAP2IN))*((c_TMAP3OUT)-(c_TMAP2OUT))+IF(((c_TMAP3OUT)-(c_TMAP2OUT))&gt;=0,1,-1)*QUOTIENT(((c_TMAP3IN)-(c_TMAP2IN)),2)))&gt;=0,1,0)))</f>
        <v>628</v>
      </c>
      <c r="G967" s="7" t="n">
        <f aca="false">IF(((1000)-(c_TMAP3IN))=0,(c_TMAP3OUT)+QUOTIENT(((1000)-(c_TMAP3OUT)),2),QUOTIENT((((A967)-(c_TMAP3IN))*((1000)-(c_TMAP3OUT))+IF(((1000)-(c_TMAP3OUT))&gt;=0,1,-1)*QUOTIENT(((1000)-(c_TMAP3IN)),2)),((1000)-(c_TMAP3IN)))+(c_TMAP3OUT)+IF(((1000)-(c_TMAP3OUT))&gt;=0,IF(IF(o_WRAP=1,MOD(((1000)-(c_TMAP3IN))*(((A967)-(c_TMAP3IN))*((1000)-(c_TMAP3OUT))+IF(((1000)-(c_TMAP3OUT))&gt;=0,1,-1)*QUOTIENT(((1000)-(c_TMAP3IN)),2))+2147483648,4294967296)-2147483648,((1000)-(c_TMAP3IN))*(((A967)-(c_TMAP3IN))*((1000)-(c_TMAP3OUT))+IF(((1000)-(c_TMAP3OUT))&gt;=0,1,-1)*QUOTIENT(((1000)-(c_TMAP3IN)),2)))&lt;0,-1,0),IF(IF(o_WRAP=1,MOD(((1000)-(c_TMAP3IN))*(((A967)-(c_TMAP3IN))*((1000)-(c_TMAP3OUT))+IF(((1000)-(c_TMAP3OUT))&gt;=0,1,-1)*QUOTIENT(((1000)-(c_TMAP3IN)),2))+2147483648,4294967296)-2147483648,((1000)-(c_TMAP3IN))*(((A967)-(c_TMAP3IN))*((1000)-(c_TMAP3OUT))+IF(((1000)-(c_TMAP3OUT))&gt;=0,1,-1)*QUOTIENT(((1000)-(c_TMAP3IN)),2)))&gt;=0,1,0)))</f>
        <v>953</v>
      </c>
      <c r="H967" s="7" t="str">
        <f aca="false">IF(A967&gt;=c_TFWD,IF(AND(A967&gt;=c_TMAP3IN,c_TMAP3IN&lt;1000),"Seg4 map3-100%",IF(AND(A967&gt;=c_TMAP2IN,c_TMAP3IN&gt;c_TMAP2IN),"Seg3 map2-map3",IF(AND(A967&gt;=c_TMAP1IN,c_TMAP2IN&gt;c_TMAP1IN),"Seg2 map1-map2","Seg1 TFWD-map1"))),IF(AND(A967=0,c_TCREEP&gt;0),"Creep",IF(AND(A967&lt;=c_TRNGMIN,A967&gt;=c_TRNGMAX,c_TRNGMIN-c_TRNGMAX&lt;&gt;0),"Regen ramp","Coast (0)")))</f>
        <v>Seg4 map3-100%</v>
      </c>
      <c r="I967" s="7" t="n">
        <f aca="false">IF(A967&gt;=c_TFWD,IF(AND(A967&gt;=c_TMAP3IN,c_TMAP3IN&lt;1000),G967,IF(AND(A967&gt;=c_TMAP2IN,c_TMAP3IN&gt;c_TMAP2IN),F967,IF(AND(A967&gt;=c_TMAP1IN,c_TMAP2IN&gt;c_TMAP1IN),E967,D967))),C967)</f>
        <v>953</v>
      </c>
      <c r="J967" s="7" t="str">
        <f aca="false">IF(I967&lt;-1090,"TOO LOW",IF(I967&gt;1090,"TOO HIGH",""))</f>
        <v/>
      </c>
      <c r="K967" s="15" t="n">
        <f aca="false">IF(J967&lt;&gt;"",0,IF(I967&gt;979,1000,I967))</f>
        <v>953</v>
      </c>
      <c r="L967" s="7" t="n">
        <f aca="false">K967/10</f>
        <v>95.3</v>
      </c>
    </row>
    <row r="968" customFormat="false" ht="15" hidden="false" customHeight="false" outlineLevel="0" collapsed="false">
      <c r="A968" s="7" t="n">
        <v>963</v>
      </c>
      <c r="B968" s="7" t="n">
        <f aca="false">A968/10</f>
        <v>96.3</v>
      </c>
      <c r="C968" s="7" t="n">
        <f aca="false">IF(AND(A968=0,c_TCREEP&gt;0),10*c_TCREEP,IF(AND(A968&lt;=c_TRNGMIN,A968&gt;=c_TRNGMAX,c_TRNGMIN-c_TRNGMAX&lt;&gt;0),-10*c_TMINRN+QUOTIENT((c_TMAXRN-c_TMINRN)*(100-QUOTIENT((A968-c_TRNGMAX)*100,c_TRNGMIN-c_TRNGMAX)),-10),0))</f>
        <v>0</v>
      </c>
      <c r="D968" s="7" t="n">
        <f aca="false">IF(((c_TMAP1IN)-(c_TFWD))=0,(0)+QUOTIENT(((c_TMAP1OUT)-(0)),2),QUOTIENT((((A968)-(c_TFWD))*((c_TMAP1OUT)-(0))+IF(((c_TMAP1OUT)-(0))&gt;=0,1,-1)*QUOTIENT(((c_TMAP1IN)-(c_TFWD)),2)),((c_TMAP1IN)-(c_TFWD)))+(0)+IF(((c_TMAP1OUT)-(0))&gt;=0,IF(IF(o_WRAP=1,MOD(((c_TMAP1IN)-(c_TFWD))*(((A968)-(c_TFWD))*((c_TMAP1OUT)-(0))+IF(((c_TMAP1OUT)-(0))&gt;=0,1,-1)*QUOTIENT(((c_TMAP1IN)-(c_TFWD)),2))+2147483648,4294967296)-2147483648,((c_TMAP1IN)-(c_TFWD))*(((A968)-(c_TFWD))*((c_TMAP1OUT)-(0))+IF(((c_TMAP1OUT)-(0))&gt;=0,1,-1)*QUOTIENT(((c_TMAP1IN)-(c_TFWD)),2)))&lt;0,-1,0),IF(IF(o_WRAP=1,MOD(((c_TMAP1IN)-(c_TFWD))*(((A968)-(c_TFWD))*((c_TMAP1OUT)-(0))+IF(((c_TMAP1OUT)-(0))&gt;=0,1,-1)*QUOTIENT(((c_TMAP1IN)-(c_TFWD)),2))+2147483648,4294967296)-2147483648,((c_TMAP1IN)-(c_TFWD))*(((A968)-(c_TFWD))*((c_TMAP1OUT)-(0))+IF(((c_TMAP1OUT)-(0))&gt;=0,1,-1)*QUOTIENT(((c_TMAP1IN)-(c_TFWD)),2)))&gt;=0,1,0)))</f>
        <v>741</v>
      </c>
      <c r="E968" s="7" t="n">
        <f aca="false">IF(((c_TMAP2IN)-(c_TMAP1IN))=0,(c_TMAP1OUT)+QUOTIENT(((c_TMAP2OUT)-(c_TMAP1OUT)),2),QUOTIENT((((A968)-(c_TMAP1IN))*((c_TMAP2OUT)-(c_TMAP1OUT))+IF(((c_TMAP2OUT)-(c_TMAP1OUT))&gt;=0,1,-1)*QUOTIENT(((c_TMAP2IN)-(c_TMAP1IN)),2)),((c_TMAP2IN)-(c_TMAP1IN)))+(c_TMAP1OUT)+IF(((c_TMAP2OUT)-(c_TMAP1OUT))&gt;=0,IF(IF(o_WRAP=1,MOD(((c_TMAP2IN)-(c_TMAP1IN))*(((A968)-(c_TMAP1IN))*((c_TMAP2OUT)-(c_TMAP1OUT))+IF(((c_TMAP2OUT)-(c_TMAP1OUT))&gt;=0,1,-1)*QUOTIENT(((c_TMAP2IN)-(c_TMAP1IN)),2))+2147483648,4294967296)-2147483648,((c_TMAP2IN)-(c_TMAP1IN))*(((A968)-(c_TMAP1IN))*((c_TMAP2OUT)-(c_TMAP1OUT))+IF(((c_TMAP2OUT)-(c_TMAP1OUT))&gt;=0,1,-1)*QUOTIENT(((c_TMAP2IN)-(c_TMAP1IN)),2)))&lt;0,-1,0),IF(IF(o_WRAP=1,MOD(((c_TMAP2IN)-(c_TMAP1IN))*(((A968)-(c_TMAP1IN))*((c_TMAP2OUT)-(c_TMAP1OUT))+IF(((c_TMAP2OUT)-(c_TMAP1OUT))&gt;=0,1,-1)*QUOTIENT(((c_TMAP2IN)-(c_TMAP1IN)),2))+2147483648,4294967296)-2147483648,((c_TMAP2IN)-(c_TMAP1IN))*(((A968)-(c_TMAP1IN))*((c_TMAP2OUT)-(c_TMAP1OUT))+IF(((c_TMAP2OUT)-(c_TMAP1OUT))&gt;=0,1,-1)*QUOTIENT(((c_TMAP2IN)-(c_TMAP1IN)),2)))&gt;=0,1,0)))</f>
        <v>415</v>
      </c>
      <c r="F968" s="7" t="n">
        <f aca="false">IF(((c_TMAP3IN)-(c_TMAP2IN))=0,(c_TMAP2OUT)+QUOTIENT(((c_TMAP3OUT)-(c_TMAP2OUT)),2),QUOTIENT((((A968)-(c_TMAP2IN))*((c_TMAP3OUT)-(c_TMAP2OUT))+IF(((c_TMAP3OUT)-(c_TMAP2OUT))&gt;=0,1,-1)*QUOTIENT(((c_TMAP3IN)-(c_TMAP2IN)),2)),((c_TMAP3IN)-(c_TMAP2IN)))+(c_TMAP2OUT)+IF(((c_TMAP3OUT)-(c_TMAP2OUT))&gt;=0,IF(IF(o_WRAP=1,MOD(((c_TMAP3IN)-(c_TMAP2IN))*(((A968)-(c_TMAP2IN))*((c_TMAP3OUT)-(c_TMAP2OUT))+IF(((c_TMAP3OUT)-(c_TMAP2OUT))&gt;=0,1,-1)*QUOTIENT(((c_TMAP3IN)-(c_TMAP2IN)),2))+2147483648,4294967296)-2147483648,((c_TMAP3IN)-(c_TMAP2IN))*(((A968)-(c_TMAP2IN))*((c_TMAP3OUT)-(c_TMAP2OUT))+IF(((c_TMAP3OUT)-(c_TMAP2OUT))&gt;=0,1,-1)*QUOTIENT(((c_TMAP3IN)-(c_TMAP2IN)),2)))&lt;0,-1,0),IF(IF(o_WRAP=1,MOD(((c_TMAP3IN)-(c_TMAP2IN))*(((A968)-(c_TMAP2IN))*((c_TMAP3OUT)-(c_TMAP2OUT))+IF(((c_TMAP3OUT)-(c_TMAP2OUT))&gt;=0,1,-1)*QUOTIENT(((c_TMAP3IN)-(c_TMAP2IN)),2))+2147483648,4294967296)-2147483648,((c_TMAP3IN)-(c_TMAP2IN))*(((A968)-(c_TMAP2IN))*((c_TMAP3OUT)-(c_TMAP2OUT))+IF(((c_TMAP3OUT)-(c_TMAP2OUT))&gt;=0,1,-1)*QUOTIENT(((c_TMAP3IN)-(c_TMAP2IN)),2)))&gt;=0,1,0)))</f>
        <v>629</v>
      </c>
      <c r="G968" s="7" t="n">
        <f aca="false">IF(((1000)-(c_TMAP3IN))=0,(c_TMAP3OUT)+QUOTIENT(((1000)-(c_TMAP3OUT)),2),QUOTIENT((((A968)-(c_TMAP3IN))*((1000)-(c_TMAP3OUT))+IF(((1000)-(c_TMAP3OUT))&gt;=0,1,-1)*QUOTIENT(((1000)-(c_TMAP3IN)),2)),((1000)-(c_TMAP3IN)))+(c_TMAP3OUT)+IF(((1000)-(c_TMAP3OUT))&gt;=0,IF(IF(o_WRAP=1,MOD(((1000)-(c_TMAP3IN))*(((A968)-(c_TMAP3IN))*((1000)-(c_TMAP3OUT))+IF(((1000)-(c_TMAP3OUT))&gt;=0,1,-1)*QUOTIENT(((1000)-(c_TMAP3IN)),2))+2147483648,4294967296)-2147483648,((1000)-(c_TMAP3IN))*(((A968)-(c_TMAP3IN))*((1000)-(c_TMAP3OUT))+IF(((1000)-(c_TMAP3OUT))&gt;=0,1,-1)*QUOTIENT(((1000)-(c_TMAP3IN)),2)))&lt;0,-1,0),IF(IF(o_WRAP=1,MOD(((1000)-(c_TMAP3IN))*(((A968)-(c_TMAP3IN))*((1000)-(c_TMAP3OUT))+IF(((1000)-(c_TMAP3OUT))&gt;=0,1,-1)*QUOTIENT(((1000)-(c_TMAP3IN)),2))+2147483648,4294967296)-2147483648,((1000)-(c_TMAP3IN))*(((A968)-(c_TMAP3IN))*((1000)-(c_TMAP3OUT))+IF(((1000)-(c_TMAP3OUT))&gt;=0,1,-1)*QUOTIENT(((1000)-(c_TMAP3IN)),2)))&gt;=0,1,0)))</f>
        <v>954</v>
      </c>
      <c r="H968" s="7" t="str">
        <f aca="false">IF(A968&gt;=c_TFWD,IF(AND(A968&gt;=c_TMAP3IN,c_TMAP3IN&lt;1000),"Seg4 map3-100%",IF(AND(A968&gt;=c_TMAP2IN,c_TMAP3IN&gt;c_TMAP2IN),"Seg3 map2-map3",IF(AND(A968&gt;=c_TMAP1IN,c_TMAP2IN&gt;c_TMAP1IN),"Seg2 map1-map2","Seg1 TFWD-map1"))),IF(AND(A968=0,c_TCREEP&gt;0),"Creep",IF(AND(A968&lt;=c_TRNGMIN,A968&gt;=c_TRNGMAX,c_TRNGMIN-c_TRNGMAX&lt;&gt;0),"Regen ramp","Coast (0)")))</f>
        <v>Seg4 map3-100%</v>
      </c>
      <c r="I968" s="7" t="n">
        <f aca="false">IF(A968&gt;=c_TFWD,IF(AND(A968&gt;=c_TMAP3IN,c_TMAP3IN&lt;1000),G968,IF(AND(A968&gt;=c_TMAP2IN,c_TMAP3IN&gt;c_TMAP2IN),F968,IF(AND(A968&gt;=c_TMAP1IN,c_TMAP2IN&gt;c_TMAP1IN),E968,D968))),C968)</f>
        <v>954</v>
      </c>
      <c r="J968" s="7" t="str">
        <f aca="false">IF(I968&lt;-1090,"TOO LOW",IF(I968&gt;1090,"TOO HIGH",""))</f>
        <v/>
      </c>
      <c r="K968" s="15" t="n">
        <f aca="false">IF(J968&lt;&gt;"",0,IF(I968&gt;979,1000,I968))</f>
        <v>954</v>
      </c>
      <c r="L968" s="7" t="n">
        <f aca="false">K968/10</f>
        <v>95.4</v>
      </c>
    </row>
    <row r="969" customFormat="false" ht="15" hidden="false" customHeight="false" outlineLevel="0" collapsed="false">
      <c r="A969" s="7" t="n">
        <v>964</v>
      </c>
      <c r="B969" s="7" t="n">
        <f aca="false">A969/10</f>
        <v>96.4</v>
      </c>
      <c r="C969" s="7" t="n">
        <f aca="false">IF(AND(A969=0,c_TCREEP&gt;0),10*c_TCREEP,IF(AND(A969&lt;=c_TRNGMIN,A969&gt;=c_TRNGMAX,c_TRNGMIN-c_TRNGMAX&lt;&gt;0),-10*c_TMINRN+QUOTIENT((c_TMAXRN-c_TMINRN)*(100-QUOTIENT((A969-c_TRNGMAX)*100,c_TRNGMIN-c_TRNGMAX)),-10),0))</f>
        <v>0</v>
      </c>
      <c r="D969" s="7" t="n">
        <f aca="false">IF(((c_TMAP1IN)-(c_TFWD))=0,(0)+QUOTIENT(((c_TMAP1OUT)-(0)),2),QUOTIENT((((A969)-(c_TFWD))*((c_TMAP1OUT)-(0))+IF(((c_TMAP1OUT)-(0))&gt;=0,1,-1)*QUOTIENT(((c_TMAP1IN)-(c_TFWD)),2)),((c_TMAP1IN)-(c_TFWD)))+(0)+IF(((c_TMAP1OUT)-(0))&gt;=0,IF(IF(o_WRAP=1,MOD(((c_TMAP1IN)-(c_TFWD))*(((A969)-(c_TFWD))*((c_TMAP1OUT)-(0))+IF(((c_TMAP1OUT)-(0))&gt;=0,1,-1)*QUOTIENT(((c_TMAP1IN)-(c_TFWD)),2))+2147483648,4294967296)-2147483648,((c_TMAP1IN)-(c_TFWD))*(((A969)-(c_TFWD))*((c_TMAP1OUT)-(0))+IF(((c_TMAP1OUT)-(0))&gt;=0,1,-1)*QUOTIENT(((c_TMAP1IN)-(c_TFWD)),2)))&lt;0,-1,0),IF(IF(o_WRAP=1,MOD(((c_TMAP1IN)-(c_TFWD))*(((A969)-(c_TFWD))*((c_TMAP1OUT)-(0))+IF(((c_TMAP1OUT)-(0))&gt;=0,1,-1)*QUOTIENT(((c_TMAP1IN)-(c_TFWD)),2))+2147483648,4294967296)-2147483648,((c_TMAP1IN)-(c_TFWD))*(((A969)-(c_TFWD))*((c_TMAP1OUT)-(0))+IF(((c_TMAP1OUT)-(0))&gt;=0,1,-1)*QUOTIENT(((c_TMAP1IN)-(c_TFWD)),2)))&gt;=0,1,0)))</f>
        <v>742</v>
      </c>
      <c r="E969" s="7" t="n">
        <f aca="false">IF(((c_TMAP2IN)-(c_TMAP1IN))=0,(c_TMAP1OUT)+QUOTIENT(((c_TMAP2OUT)-(c_TMAP1OUT)),2),QUOTIENT((((A969)-(c_TMAP1IN))*((c_TMAP2OUT)-(c_TMAP1OUT))+IF(((c_TMAP2OUT)-(c_TMAP1OUT))&gt;=0,1,-1)*QUOTIENT(((c_TMAP2IN)-(c_TMAP1IN)),2)),((c_TMAP2IN)-(c_TMAP1IN)))+(c_TMAP1OUT)+IF(((c_TMAP2OUT)-(c_TMAP1OUT))&gt;=0,IF(IF(o_WRAP=1,MOD(((c_TMAP2IN)-(c_TMAP1IN))*(((A969)-(c_TMAP1IN))*((c_TMAP2OUT)-(c_TMAP1OUT))+IF(((c_TMAP2OUT)-(c_TMAP1OUT))&gt;=0,1,-1)*QUOTIENT(((c_TMAP2IN)-(c_TMAP1IN)),2))+2147483648,4294967296)-2147483648,((c_TMAP2IN)-(c_TMAP1IN))*(((A969)-(c_TMAP1IN))*((c_TMAP2OUT)-(c_TMAP1OUT))+IF(((c_TMAP2OUT)-(c_TMAP1OUT))&gt;=0,1,-1)*QUOTIENT(((c_TMAP2IN)-(c_TMAP1IN)),2)))&lt;0,-1,0),IF(IF(o_WRAP=1,MOD(((c_TMAP2IN)-(c_TMAP1IN))*(((A969)-(c_TMAP1IN))*((c_TMAP2OUT)-(c_TMAP1OUT))+IF(((c_TMAP2OUT)-(c_TMAP1OUT))&gt;=0,1,-1)*QUOTIENT(((c_TMAP2IN)-(c_TMAP1IN)),2))+2147483648,4294967296)-2147483648,((c_TMAP2IN)-(c_TMAP1IN))*(((A969)-(c_TMAP1IN))*((c_TMAP2OUT)-(c_TMAP1OUT))+IF(((c_TMAP2OUT)-(c_TMAP1OUT))&gt;=0,1,-1)*QUOTIENT(((c_TMAP2IN)-(c_TMAP1IN)),2)))&gt;=0,1,0)))</f>
        <v>416</v>
      </c>
      <c r="F969" s="7" t="n">
        <f aca="false">IF(((c_TMAP3IN)-(c_TMAP2IN))=0,(c_TMAP2OUT)+QUOTIENT(((c_TMAP3OUT)-(c_TMAP2OUT)),2),QUOTIENT((((A969)-(c_TMAP2IN))*((c_TMAP3OUT)-(c_TMAP2OUT))+IF(((c_TMAP3OUT)-(c_TMAP2OUT))&gt;=0,1,-1)*QUOTIENT(((c_TMAP3IN)-(c_TMAP2IN)),2)),((c_TMAP3IN)-(c_TMAP2IN)))+(c_TMAP2OUT)+IF(((c_TMAP3OUT)-(c_TMAP2OUT))&gt;=0,IF(IF(o_WRAP=1,MOD(((c_TMAP3IN)-(c_TMAP2IN))*(((A969)-(c_TMAP2IN))*((c_TMAP3OUT)-(c_TMAP2OUT))+IF(((c_TMAP3OUT)-(c_TMAP2OUT))&gt;=0,1,-1)*QUOTIENT(((c_TMAP3IN)-(c_TMAP2IN)),2))+2147483648,4294967296)-2147483648,((c_TMAP3IN)-(c_TMAP2IN))*(((A969)-(c_TMAP2IN))*((c_TMAP3OUT)-(c_TMAP2OUT))+IF(((c_TMAP3OUT)-(c_TMAP2OUT))&gt;=0,1,-1)*QUOTIENT(((c_TMAP3IN)-(c_TMAP2IN)),2)))&lt;0,-1,0),IF(IF(o_WRAP=1,MOD(((c_TMAP3IN)-(c_TMAP2IN))*(((A969)-(c_TMAP2IN))*((c_TMAP3OUT)-(c_TMAP2OUT))+IF(((c_TMAP3OUT)-(c_TMAP2OUT))&gt;=0,1,-1)*QUOTIENT(((c_TMAP3IN)-(c_TMAP2IN)),2))+2147483648,4294967296)-2147483648,((c_TMAP3IN)-(c_TMAP2IN))*(((A969)-(c_TMAP2IN))*((c_TMAP3OUT)-(c_TMAP2OUT))+IF(((c_TMAP3OUT)-(c_TMAP2OUT))&gt;=0,1,-1)*QUOTIENT(((c_TMAP3IN)-(c_TMAP2IN)),2)))&gt;=0,1,0)))</f>
        <v>630</v>
      </c>
      <c r="G969" s="7" t="n">
        <f aca="false">IF(((1000)-(c_TMAP3IN))=0,(c_TMAP3OUT)+QUOTIENT(((1000)-(c_TMAP3OUT)),2),QUOTIENT((((A969)-(c_TMAP3IN))*((1000)-(c_TMAP3OUT))+IF(((1000)-(c_TMAP3OUT))&gt;=0,1,-1)*QUOTIENT(((1000)-(c_TMAP3IN)),2)),((1000)-(c_TMAP3IN)))+(c_TMAP3OUT)+IF(((1000)-(c_TMAP3OUT))&gt;=0,IF(IF(o_WRAP=1,MOD(((1000)-(c_TMAP3IN))*(((A969)-(c_TMAP3IN))*((1000)-(c_TMAP3OUT))+IF(((1000)-(c_TMAP3OUT))&gt;=0,1,-1)*QUOTIENT(((1000)-(c_TMAP3IN)),2))+2147483648,4294967296)-2147483648,((1000)-(c_TMAP3IN))*(((A969)-(c_TMAP3IN))*((1000)-(c_TMAP3OUT))+IF(((1000)-(c_TMAP3OUT))&gt;=0,1,-1)*QUOTIENT(((1000)-(c_TMAP3IN)),2)))&lt;0,-1,0),IF(IF(o_WRAP=1,MOD(((1000)-(c_TMAP3IN))*(((A969)-(c_TMAP3IN))*((1000)-(c_TMAP3OUT))+IF(((1000)-(c_TMAP3OUT))&gt;=0,1,-1)*QUOTIENT(((1000)-(c_TMAP3IN)),2))+2147483648,4294967296)-2147483648,((1000)-(c_TMAP3IN))*(((A969)-(c_TMAP3IN))*((1000)-(c_TMAP3OUT))+IF(((1000)-(c_TMAP3OUT))&gt;=0,1,-1)*QUOTIENT(((1000)-(c_TMAP3IN)),2)))&gt;=0,1,0)))</f>
        <v>956</v>
      </c>
      <c r="H969" s="7" t="str">
        <f aca="false">IF(A969&gt;=c_TFWD,IF(AND(A969&gt;=c_TMAP3IN,c_TMAP3IN&lt;1000),"Seg4 map3-100%",IF(AND(A969&gt;=c_TMAP2IN,c_TMAP3IN&gt;c_TMAP2IN),"Seg3 map2-map3",IF(AND(A969&gt;=c_TMAP1IN,c_TMAP2IN&gt;c_TMAP1IN),"Seg2 map1-map2","Seg1 TFWD-map1"))),IF(AND(A969=0,c_TCREEP&gt;0),"Creep",IF(AND(A969&lt;=c_TRNGMIN,A969&gt;=c_TRNGMAX,c_TRNGMIN-c_TRNGMAX&lt;&gt;0),"Regen ramp","Coast (0)")))</f>
        <v>Seg4 map3-100%</v>
      </c>
      <c r="I969" s="7" t="n">
        <f aca="false">IF(A969&gt;=c_TFWD,IF(AND(A969&gt;=c_TMAP3IN,c_TMAP3IN&lt;1000),G969,IF(AND(A969&gt;=c_TMAP2IN,c_TMAP3IN&gt;c_TMAP2IN),F969,IF(AND(A969&gt;=c_TMAP1IN,c_TMAP2IN&gt;c_TMAP1IN),E969,D969))),C969)</f>
        <v>956</v>
      </c>
      <c r="J969" s="7" t="str">
        <f aca="false">IF(I969&lt;-1090,"TOO LOW",IF(I969&gt;1090,"TOO HIGH",""))</f>
        <v/>
      </c>
      <c r="K969" s="15" t="n">
        <f aca="false">IF(J969&lt;&gt;"",0,IF(I969&gt;979,1000,I969))</f>
        <v>956</v>
      </c>
      <c r="L969" s="7" t="n">
        <f aca="false">K969/10</f>
        <v>95.6</v>
      </c>
    </row>
    <row r="970" customFormat="false" ht="15" hidden="false" customHeight="false" outlineLevel="0" collapsed="false">
      <c r="A970" s="7" t="n">
        <v>965</v>
      </c>
      <c r="B970" s="7" t="n">
        <f aca="false">A970/10</f>
        <v>96.5</v>
      </c>
      <c r="C970" s="7" t="n">
        <f aca="false">IF(AND(A970=0,c_TCREEP&gt;0),10*c_TCREEP,IF(AND(A970&lt;=c_TRNGMIN,A970&gt;=c_TRNGMAX,c_TRNGMIN-c_TRNGMAX&lt;&gt;0),-10*c_TMINRN+QUOTIENT((c_TMAXRN-c_TMINRN)*(100-QUOTIENT((A970-c_TRNGMAX)*100,c_TRNGMIN-c_TRNGMAX)),-10),0))</f>
        <v>0</v>
      </c>
      <c r="D970" s="7" t="n">
        <f aca="false">IF(((c_TMAP1IN)-(c_TFWD))=0,(0)+QUOTIENT(((c_TMAP1OUT)-(0)),2),QUOTIENT((((A970)-(c_TFWD))*((c_TMAP1OUT)-(0))+IF(((c_TMAP1OUT)-(0))&gt;=0,1,-1)*QUOTIENT(((c_TMAP1IN)-(c_TFWD)),2)),((c_TMAP1IN)-(c_TFWD)))+(0)+IF(((c_TMAP1OUT)-(0))&gt;=0,IF(IF(o_WRAP=1,MOD(((c_TMAP1IN)-(c_TFWD))*(((A970)-(c_TFWD))*((c_TMAP1OUT)-(0))+IF(((c_TMAP1OUT)-(0))&gt;=0,1,-1)*QUOTIENT(((c_TMAP1IN)-(c_TFWD)),2))+2147483648,4294967296)-2147483648,((c_TMAP1IN)-(c_TFWD))*(((A970)-(c_TFWD))*((c_TMAP1OUT)-(0))+IF(((c_TMAP1OUT)-(0))&gt;=0,1,-1)*QUOTIENT(((c_TMAP1IN)-(c_TFWD)),2)))&lt;0,-1,0),IF(IF(o_WRAP=1,MOD(((c_TMAP1IN)-(c_TFWD))*(((A970)-(c_TFWD))*((c_TMAP1OUT)-(0))+IF(((c_TMAP1OUT)-(0))&gt;=0,1,-1)*QUOTIENT(((c_TMAP1IN)-(c_TFWD)),2))+2147483648,4294967296)-2147483648,((c_TMAP1IN)-(c_TFWD))*(((A970)-(c_TFWD))*((c_TMAP1OUT)-(0))+IF(((c_TMAP1OUT)-(0))&gt;=0,1,-1)*QUOTIENT(((c_TMAP1IN)-(c_TFWD)),2)))&gt;=0,1,0)))</f>
        <v>743</v>
      </c>
      <c r="E970" s="7" t="n">
        <f aca="false">IF(((c_TMAP2IN)-(c_TMAP1IN))=0,(c_TMAP1OUT)+QUOTIENT(((c_TMAP2OUT)-(c_TMAP1OUT)),2),QUOTIENT((((A970)-(c_TMAP1IN))*((c_TMAP2OUT)-(c_TMAP1OUT))+IF(((c_TMAP2OUT)-(c_TMAP1OUT))&gt;=0,1,-1)*QUOTIENT(((c_TMAP2IN)-(c_TMAP1IN)),2)),((c_TMAP2IN)-(c_TMAP1IN)))+(c_TMAP1OUT)+IF(((c_TMAP2OUT)-(c_TMAP1OUT))&gt;=0,IF(IF(o_WRAP=1,MOD(((c_TMAP2IN)-(c_TMAP1IN))*(((A970)-(c_TMAP1IN))*((c_TMAP2OUT)-(c_TMAP1OUT))+IF(((c_TMAP2OUT)-(c_TMAP1OUT))&gt;=0,1,-1)*QUOTIENT(((c_TMAP2IN)-(c_TMAP1IN)),2))+2147483648,4294967296)-2147483648,((c_TMAP2IN)-(c_TMAP1IN))*(((A970)-(c_TMAP1IN))*((c_TMAP2OUT)-(c_TMAP1OUT))+IF(((c_TMAP2OUT)-(c_TMAP1OUT))&gt;=0,1,-1)*QUOTIENT(((c_TMAP2IN)-(c_TMAP1IN)),2)))&lt;0,-1,0),IF(IF(o_WRAP=1,MOD(((c_TMAP2IN)-(c_TMAP1IN))*(((A970)-(c_TMAP1IN))*((c_TMAP2OUT)-(c_TMAP1OUT))+IF(((c_TMAP2OUT)-(c_TMAP1OUT))&gt;=0,1,-1)*QUOTIENT(((c_TMAP2IN)-(c_TMAP1IN)),2))+2147483648,4294967296)-2147483648,((c_TMAP2IN)-(c_TMAP1IN))*(((A970)-(c_TMAP1IN))*((c_TMAP2OUT)-(c_TMAP1OUT))+IF(((c_TMAP2OUT)-(c_TMAP1OUT))&gt;=0,1,-1)*QUOTIENT(((c_TMAP2IN)-(c_TMAP1IN)),2)))&gt;=0,1,0)))</f>
        <v>416</v>
      </c>
      <c r="F970" s="7" t="n">
        <f aca="false">IF(((c_TMAP3IN)-(c_TMAP2IN))=0,(c_TMAP2OUT)+QUOTIENT(((c_TMAP3OUT)-(c_TMAP2OUT)),2),QUOTIENT((((A970)-(c_TMAP2IN))*((c_TMAP3OUT)-(c_TMAP2OUT))+IF(((c_TMAP3OUT)-(c_TMAP2OUT))&gt;=0,1,-1)*QUOTIENT(((c_TMAP3IN)-(c_TMAP2IN)),2)),((c_TMAP3IN)-(c_TMAP2IN)))+(c_TMAP2OUT)+IF(((c_TMAP3OUT)-(c_TMAP2OUT))&gt;=0,IF(IF(o_WRAP=1,MOD(((c_TMAP3IN)-(c_TMAP2IN))*(((A970)-(c_TMAP2IN))*((c_TMAP3OUT)-(c_TMAP2OUT))+IF(((c_TMAP3OUT)-(c_TMAP2OUT))&gt;=0,1,-1)*QUOTIENT(((c_TMAP3IN)-(c_TMAP2IN)),2))+2147483648,4294967296)-2147483648,((c_TMAP3IN)-(c_TMAP2IN))*(((A970)-(c_TMAP2IN))*((c_TMAP3OUT)-(c_TMAP2OUT))+IF(((c_TMAP3OUT)-(c_TMAP2OUT))&gt;=0,1,-1)*QUOTIENT(((c_TMAP3IN)-(c_TMAP2IN)),2)))&lt;0,-1,0),IF(IF(o_WRAP=1,MOD(((c_TMAP3IN)-(c_TMAP2IN))*(((A970)-(c_TMAP2IN))*((c_TMAP3OUT)-(c_TMAP2OUT))+IF(((c_TMAP3OUT)-(c_TMAP2OUT))&gt;=0,1,-1)*QUOTIENT(((c_TMAP3IN)-(c_TMAP2IN)),2))+2147483648,4294967296)-2147483648,((c_TMAP3IN)-(c_TMAP2IN))*(((A970)-(c_TMAP2IN))*((c_TMAP3OUT)-(c_TMAP2OUT))+IF(((c_TMAP3OUT)-(c_TMAP2OUT))&gt;=0,1,-1)*QUOTIENT(((c_TMAP3IN)-(c_TMAP2IN)),2)))&gt;=0,1,0)))</f>
        <v>631</v>
      </c>
      <c r="G970" s="7" t="n">
        <f aca="false">IF(((1000)-(c_TMAP3IN))=0,(c_TMAP3OUT)+QUOTIENT(((1000)-(c_TMAP3OUT)),2),QUOTIENT((((A970)-(c_TMAP3IN))*((1000)-(c_TMAP3OUT))+IF(((1000)-(c_TMAP3OUT))&gt;=0,1,-1)*QUOTIENT(((1000)-(c_TMAP3IN)),2)),((1000)-(c_TMAP3IN)))+(c_TMAP3OUT)+IF(((1000)-(c_TMAP3OUT))&gt;=0,IF(IF(o_WRAP=1,MOD(((1000)-(c_TMAP3IN))*(((A970)-(c_TMAP3IN))*((1000)-(c_TMAP3OUT))+IF(((1000)-(c_TMAP3OUT))&gt;=0,1,-1)*QUOTIENT(((1000)-(c_TMAP3IN)),2))+2147483648,4294967296)-2147483648,((1000)-(c_TMAP3IN))*(((A970)-(c_TMAP3IN))*((1000)-(c_TMAP3OUT))+IF(((1000)-(c_TMAP3OUT))&gt;=0,1,-1)*QUOTIENT(((1000)-(c_TMAP3IN)),2)))&lt;0,-1,0),IF(IF(o_WRAP=1,MOD(((1000)-(c_TMAP3IN))*(((A970)-(c_TMAP3IN))*((1000)-(c_TMAP3OUT))+IF(((1000)-(c_TMAP3OUT))&gt;=0,1,-1)*QUOTIENT(((1000)-(c_TMAP3IN)),2))+2147483648,4294967296)-2147483648,((1000)-(c_TMAP3IN))*(((A970)-(c_TMAP3IN))*((1000)-(c_TMAP3OUT))+IF(((1000)-(c_TMAP3OUT))&gt;=0,1,-1)*QUOTIENT(((1000)-(c_TMAP3IN)),2)))&gt;=0,1,0)))</f>
        <v>957</v>
      </c>
      <c r="H970" s="7" t="str">
        <f aca="false">IF(A970&gt;=c_TFWD,IF(AND(A970&gt;=c_TMAP3IN,c_TMAP3IN&lt;1000),"Seg4 map3-100%",IF(AND(A970&gt;=c_TMAP2IN,c_TMAP3IN&gt;c_TMAP2IN),"Seg3 map2-map3",IF(AND(A970&gt;=c_TMAP1IN,c_TMAP2IN&gt;c_TMAP1IN),"Seg2 map1-map2","Seg1 TFWD-map1"))),IF(AND(A970=0,c_TCREEP&gt;0),"Creep",IF(AND(A970&lt;=c_TRNGMIN,A970&gt;=c_TRNGMAX,c_TRNGMIN-c_TRNGMAX&lt;&gt;0),"Regen ramp","Coast (0)")))</f>
        <v>Seg4 map3-100%</v>
      </c>
      <c r="I970" s="7" t="n">
        <f aca="false">IF(A970&gt;=c_TFWD,IF(AND(A970&gt;=c_TMAP3IN,c_TMAP3IN&lt;1000),G970,IF(AND(A970&gt;=c_TMAP2IN,c_TMAP3IN&gt;c_TMAP2IN),F970,IF(AND(A970&gt;=c_TMAP1IN,c_TMAP2IN&gt;c_TMAP1IN),E970,D970))),C970)</f>
        <v>957</v>
      </c>
      <c r="J970" s="7" t="str">
        <f aca="false">IF(I970&lt;-1090,"TOO LOW",IF(I970&gt;1090,"TOO HIGH",""))</f>
        <v/>
      </c>
      <c r="K970" s="15" t="n">
        <f aca="false">IF(J970&lt;&gt;"",0,IF(I970&gt;979,1000,I970))</f>
        <v>957</v>
      </c>
      <c r="L970" s="7" t="n">
        <f aca="false">K970/10</f>
        <v>95.7</v>
      </c>
    </row>
    <row r="971" customFormat="false" ht="15" hidden="false" customHeight="false" outlineLevel="0" collapsed="false">
      <c r="A971" s="7" t="n">
        <v>966</v>
      </c>
      <c r="B971" s="7" t="n">
        <f aca="false">A971/10</f>
        <v>96.6</v>
      </c>
      <c r="C971" s="7" t="n">
        <f aca="false">IF(AND(A971=0,c_TCREEP&gt;0),10*c_TCREEP,IF(AND(A971&lt;=c_TRNGMIN,A971&gt;=c_TRNGMAX,c_TRNGMIN-c_TRNGMAX&lt;&gt;0),-10*c_TMINRN+QUOTIENT((c_TMAXRN-c_TMINRN)*(100-QUOTIENT((A971-c_TRNGMAX)*100,c_TRNGMIN-c_TRNGMAX)),-10),0))</f>
        <v>0</v>
      </c>
      <c r="D971" s="7" t="n">
        <f aca="false">IF(((c_TMAP1IN)-(c_TFWD))=0,(0)+QUOTIENT(((c_TMAP1OUT)-(0)),2),QUOTIENT((((A971)-(c_TFWD))*((c_TMAP1OUT)-(0))+IF(((c_TMAP1OUT)-(0))&gt;=0,1,-1)*QUOTIENT(((c_TMAP1IN)-(c_TFWD)),2)),((c_TMAP1IN)-(c_TFWD)))+(0)+IF(((c_TMAP1OUT)-(0))&gt;=0,IF(IF(o_WRAP=1,MOD(((c_TMAP1IN)-(c_TFWD))*(((A971)-(c_TFWD))*((c_TMAP1OUT)-(0))+IF(((c_TMAP1OUT)-(0))&gt;=0,1,-1)*QUOTIENT(((c_TMAP1IN)-(c_TFWD)),2))+2147483648,4294967296)-2147483648,((c_TMAP1IN)-(c_TFWD))*(((A971)-(c_TFWD))*((c_TMAP1OUT)-(0))+IF(((c_TMAP1OUT)-(0))&gt;=0,1,-1)*QUOTIENT(((c_TMAP1IN)-(c_TFWD)),2)))&lt;0,-1,0),IF(IF(o_WRAP=1,MOD(((c_TMAP1IN)-(c_TFWD))*(((A971)-(c_TFWD))*((c_TMAP1OUT)-(0))+IF(((c_TMAP1OUT)-(0))&gt;=0,1,-1)*QUOTIENT(((c_TMAP1IN)-(c_TFWD)),2))+2147483648,4294967296)-2147483648,((c_TMAP1IN)-(c_TFWD))*(((A971)-(c_TFWD))*((c_TMAP1OUT)-(0))+IF(((c_TMAP1OUT)-(0))&gt;=0,1,-1)*QUOTIENT(((c_TMAP1IN)-(c_TFWD)),2)))&gt;=0,1,0)))</f>
        <v>744</v>
      </c>
      <c r="E971" s="7" t="n">
        <f aca="false">IF(((c_TMAP2IN)-(c_TMAP1IN))=0,(c_TMAP1OUT)+QUOTIENT(((c_TMAP2OUT)-(c_TMAP1OUT)),2),QUOTIENT((((A971)-(c_TMAP1IN))*((c_TMAP2OUT)-(c_TMAP1OUT))+IF(((c_TMAP2OUT)-(c_TMAP1OUT))&gt;=0,1,-1)*QUOTIENT(((c_TMAP2IN)-(c_TMAP1IN)),2)),((c_TMAP2IN)-(c_TMAP1IN)))+(c_TMAP1OUT)+IF(((c_TMAP2OUT)-(c_TMAP1OUT))&gt;=0,IF(IF(o_WRAP=1,MOD(((c_TMAP2IN)-(c_TMAP1IN))*(((A971)-(c_TMAP1IN))*((c_TMAP2OUT)-(c_TMAP1OUT))+IF(((c_TMAP2OUT)-(c_TMAP1OUT))&gt;=0,1,-1)*QUOTIENT(((c_TMAP2IN)-(c_TMAP1IN)),2))+2147483648,4294967296)-2147483648,((c_TMAP2IN)-(c_TMAP1IN))*(((A971)-(c_TMAP1IN))*((c_TMAP2OUT)-(c_TMAP1OUT))+IF(((c_TMAP2OUT)-(c_TMAP1OUT))&gt;=0,1,-1)*QUOTIENT(((c_TMAP2IN)-(c_TMAP1IN)),2)))&lt;0,-1,0),IF(IF(o_WRAP=1,MOD(((c_TMAP2IN)-(c_TMAP1IN))*(((A971)-(c_TMAP1IN))*((c_TMAP2OUT)-(c_TMAP1OUT))+IF(((c_TMAP2OUT)-(c_TMAP1OUT))&gt;=0,1,-1)*QUOTIENT(((c_TMAP2IN)-(c_TMAP1IN)),2))+2147483648,4294967296)-2147483648,((c_TMAP2IN)-(c_TMAP1IN))*(((A971)-(c_TMAP1IN))*((c_TMAP2OUT)-(c_TMAP1OUT))+IF(((c_TMAP2OUT)-(c_TMAP1OUT))&gt;=0,1,-1)*QUOTIENT(((c_TMAP2IN)-(c_TMAP1IN)),2)))&gt;=0,1,0)))</f>
        <v>416</v>
      </c>
      <c r="F971" s="7" t="n">
        <f aca="false">IF(((c_TMAP3IN)-(c_TMAP2IN))=0,(c_TMAP2OUT)+QUOTIENT(((c_TMAP3OUT)-(c_TMAP2OUT)),2),QUOTIENT((((A971)-(c_TMAP2IN))*((c_TMAP3OUT)-(c_TMAP2OUT))+IF(((c_TMAP3OUT)-(c_TMAP2OUT))&gt;=0,1,-1)*QUOTIENT(((c_TMAP3IN)-(c_TMAP2IN)),2)),((c_TMAP3IN)-(c_TMAP2IN)))+(c_TMAP2OUT)+IF(((c_TMAP3OUT)-(c_TMAP2OUT))&gt;=0,IF(IF(o_WRAP=1,MOD(((c_TMAP3IN)-(c_TMAP2IN))*(((A971)-(c_TMAP2IN))*((c_TMAP3OUT)-(c_TMAP2OUT))+IF(((c_TMAP3OUT)-(c_TMAP2OUT))&gt;=0,1,-1)*QUOTIENT(((c_TMAP3IN)-(c_TMAP2IN)),2))+2147483648,4294967296)-2147483648,((c_TMAP3IN)-(c_TMAP2IN))*(((A971)-(c_TMAP2IN))*((c_TMAP3OUT)-(c_TMAP2OUT))+IF(((c_TMAP3OUT)-(c_TMAP2OUT))&gt;=0,1,-1)*QUOTIENT(((c_TMAP3IN)-(c_TMAP2IN)),2)))&lt;0,-1,0),IF(IF(o_WRAP=1,MOD(((c_TMAP3IN)-(c_TMAP2IN))*(((A971)-(c_TMAP2IN))*((c_TMAP3OUT)-(c_TMAP2OUT))+IF(((c_TMAP3OUT)-(c_TMAP2OUT))&gt;=0,1,-1)*QUOTIENT(((c_TMAP3IN)-(c_TMAP2IN)),2))+2147483648,4294967296)-2147483648,((c_TMAP3IN)-(c_TMAP2IN))*(((A971)-(c_TMAP2IN))*((c_TMAP3OUT)-(c_TMAP2OUT))+IF(((c_TMAP3OUT)-(c_TMAP2OUT))&gt;=0,1,-1)*QUOTIENT(((c_TMAP3IN)-(c_TMAP2IN)),2)))&gt;=0,1,0)))</f>
        <v>631</v>
      </c>
      <c r="G971" s="7" t="n">
        <f aca="false">IF(((1000)-(c_TMAP3IN))=0,(c_TMAP3OUT)+QUOTIENT(((1000)-(c_TMAP3OUT)),2),QUOTIENT((((A971)-(c_TMAP3IN))*((1000)-(c_TMAP3OUT))+IF(((1000)-(c_TMAP3OUT))&gt;=0,1,-1)*QUOTIENT(((1000)-(c_TMAP3IN)),2)),((1000)-(c_TMAP3IN)))+(c_TMAP3OUT)+IF(((1000)-(c_TMAP3OUT))&gt;=0,IF(IF(o_WRAP=1,MOD(((1000)-(c_TMAP3IN))*(((A971)-(c_TMAP3IN))*((1000)-(c_TMAP3OUT))+IF(((1000)-(c_TMAP3OUT))&gt;=0,1,-1)*QUOTIENT(((1000)-(c_TMAP3IN)),2))+2147483648,4294967296)-2147483648,((1000)-(c_TMAP3IN))*(((A971)-(c_TMAP3IN))*((1000)-(c_TMAP3OUT))+IF(((1000)-(c_TMAP3OUT))&gt;=0,1,-1)*QUOTIENT(((1000)-(c_TMAP3IN)),2)))&lt;0,-1,0),IF(IF(o_WRAP=1,MOD(((1000)-(c_TMAP3IN))*(((A971)-(c_TMAP3IN))*((1000)-(c_TMAP3OUT))+IF(((1000)-(c_TMAP3OUT))&gt;=0,1,-1)*QUOTIENT(((1000)-(c_TMAP3IN)),2))+2147483648,4294967296)-2147483648,((1000)-(c_TMAP3IN))*(((A971)-(c_TMAP3IN))*((1000)-(c_TMAP3OUT))+IF(((1000)-(c_TMAP3OUT))&gt;=0,1,-1)*QUOTIENT(((1000)-(c_TMAP3IN)),2)))&gt;=0,1,0)))</f>
        <v>958</v>
      </c>
      <c r="H971" s="7" t="str">
        <f aca="false">IF(A971&gt;=c_TFWD,IF(AND(A971&gt;=c_TMAP3IN,c_TMAP3IN&lt;1000),"Seg4 map3-100%",IF(AND(A971&gt;=c_TMAP2IN,c_TMAP3IN&gt;c_TMAP2IN),"Seg3 map2-map3",IF(AND(A971&gt;=c_TMAP1IN,c_TMAP2IN&gt;c_TMAP1IN),"Seg2 map1-map2","Seg1 TFWD-map1"))),IF(AND(A971=0,c_TCREEP&gt;0),"Creep",IF(AND(A971&lt;=c_TRNGMIN,A971&gt;=c_TRNGMAX,c_TRNGMIN-c_TRNGMAX&lt;&gt;0),"Regen ramp","Coast (0)")))</f>
        <v>Seg4 map3-100%</v>
      </c>
      <c r="I971" s="7" t="n">
        <f aca="false">IF(A971&gt;=c_TFWD,IF(AND(A971&gt;=c_TMAP3IN,c_TMAP3IN&lt;1000),G971,IF(AND(A971&gt;=c_TMAP2IN,c_TMAP3IN&gt;c_TMAP2IN),F971,IF(AND(A971&gt;=c_TMAP1IN,c_TMAP2IN&gt;c_TMAP1IN),E971,D971))),C971)</f>
        <v>958</v>
      </c>
      <c r="J971" s="7" t="str">
        <f aca="false">IF(I971&lt;-1090,"TOO LOW",IF(I971&gt;1090,"TOO HIGH",""))</f>
        <v/>
      </c>
      <c r="K971" s="15" t="n">
        <f aca="false">IF(J971&lt;&gt;"",0,IF(I971&gt;979,1000,I971))</f>
        <v>958</v>
      </c>
      <c r="L971" s="7" t="n">
        <f aca="false">K971/10</f>
        <v>95.8</v>
      </c>
    </row>
    <row r="972" customFormat="false" ht="15" hidden="false" customHeight="false" outlineLevel="0" collapsed="false">
      <c r="A972" s="7" t="n">
        <v>967</v>
      </c>
      <c r="B972" s="7" t="n">
        <f aca="false">A972/10</f>
        <v>96.7</v>
      </c>
      <c r="C972" s="7" t="n">
        <f aca="false">IF(AND(A972=0,c_TCREEP&gt;0),10*c_TCREEP,IF(AND(A972&lt;=c_TRNGMIN,A972&gt;=c_TRNGMAX,c_TRNGMIN-c_TRNGMAX&lt;&gt;0),-10*c_TMINRN+QUOTIENT((c_TMAXRN-c_TMINRN)*(100-QUOTIENT((A972-c_TRNGMAX)*100,c_TRNGMIN-c_TRNGMAX)),-10),0))</f>
        <v>0</v>
      </c>
      <c r="D972" s="7" t="n">
        <f aca="false">IF(((c_TMAP1IN)-(c_TFWD))=0,(0)+QUOTIENT(((c_TMAP1OUT)-(0)),2),QUOTIENT((((A972)-(c_TFWD))*((c_TMAP1OUT)-(0))+IF(((c_TMAP1OUT)-(0))&gt;=0,1,-1)*QUOTIENT(((c_TMAP1IN)-(c_TFWD)),2)),((c_TMAP1IN)-(c_TFWD)))+(0)+IF(((c_TMAP1OUT)-(0))&gt;=0,IF(IF(o_WRAP=1,MOD(((c_TMAP1IN)-(c_TFWD))*(((A972)-(c_TFWD))*((c_TMAP1OUT)-(0))+IF(((c_TMAP1OUT)-(0))&gt;=0,1,-1)*QUOTIENT(((c_TMAP1IN)-(c_TFWD)),2))+2147483648,4294967296)-2147483648,((c_TMAP1IN)-(c_TFWD))*(((A972)-(c_TFWD))*((c_TMAP1OUT)-(0))+IF(((c_TMAP1OUT)-(0))&gt;=0,1,-1)*QUOTIENT(((c_TMAP1IN)-(c_TFWD)),2)))&lt;0,-1,0),IF(IF(o_WRAP=1,MOD(((c_TMAP1IN)-(c_TFWD))*(((A972)-(c_TFWD))*((c_TMAP1OUT)-(0))+IF(((c_TMAP1OUT)-(0))&gt;=0,1,-1)*QUOTIENT(((c_TMAP1IN)-(c_TFWD)),2))+2147483648,4294967296)-2147483648,((c_TMAP1IN)-(c_TFWD))*(((A972)-(c_TFWD))*((c_TMAP1OUT)-(0))+IF(((c_TMAP1OUT)-(0))&gt;=0,1,-1)*QUOTIENT(((c_TMAP1IN)-(c_TFWD)),2)))&gt;=0,1,0)))</f>
        <v>744</v>
      </c>
      <c r="E972" s="7" t="n">
        <f aca="false">IF(((c_TMAP2IN)-(c_TMAP1IN))=0,(c_TMAP1OUT)+QUOTIENT(((c_TMAP2OUT)-(c_TMAP1OUT)),2),QUOTIENT((((A972)-(c_TMAP1IN))*((c_TMAP2OUT)-(c_TMAP1OUT))+IF(((c_TMAP2OUT)-(c_TMAP1OUT))&gt;=0,1,-1)*QUOTIENT(((c_TMAP2IN)-(c_TMAP1IN)),2)),((c_TMAP2IN)-(c_TMAP1IN)))+(c_TMAP1OUT)+IF(((c_TMAP2OUT)-(c_TMAP1OUT))&gt;=0,IF(IF(o_WRAP=1,MOD(((c_TMAP2IN)-(c_TMAP1IN))*(((A972)-(c_TMAP1IN))*((c_TMAP2OUT)-(c_TMAP1OUT))+IF(((c_TMAP2OUT)-(c_TMAP1OUT))&gt;=0,1,-1)*QUOTIENT(((c_TMAP2IN)-(c_TMAP1IN)),2))+2147483648,4294967296)-2147483648,((c_TMAP2IN)-(c_TMAP1IN))*(((A972)-(c_TMAP1IN))*((c_TMAP2OUT)-(c_TMAP1OUT))+IF(((c_TMAP2OUT)-(c_TMAP1OUT))&gt;=0,1,-1)*QUOTIENT(((c_TMAP2IN)-(c_TMAP1IN)),2)))&lt;0,-1,0),IF(IF(o_WRAP=1,MOD(((c_TMAP2IN)-(c_TMAP1IN))*(((A972)-(c_TMAP1IN))*((c_TMAP2OUT)-(c_TMAP1OUT))+IF(((c_TMAP2OUT)-(c_TMAP1OUT))&gt;=0,1,-1)*QUOTIENT(((c_TMAP2IN)-(c_TMAP1IN)),2))+2147483648,4294967296)-2147483648,((c_TMAP2IN)-(c_TMAP1IN))*(((A972)-(c_TMAP1IN))*((c_TMAP2OUT)-(c_TMAP1OUT))+IF(((c_TMAP2OUT)-(c_TMAP1OUT))&gt;=0,1,-1)*QUOTIENT(((c_TMAP2IN)-(c_TMAP1IN)),2)))&gt;=0,1,0)))</f>
        <v>417</v>
      </c>
      <c r="F972" s="7" t="n">
        <f aca="false">IF(((c_TMAP3IN)-(c_TMAP2IN))=0,(c_TMAP2OUT)+QUOTIENT(((c_TMAP3OUT)-(c_TMAP2OUT)),2),QUOTIENT((((A972)-(c_TMAP2IN))*((c_TMAP3OUT)-(c_TMAP2OUT))+IF(((c_TMAP3OUT)-(c_TMAP2OUT))&gt;=0,1,-1)*QUOTIENT(((c_TMAP3IN)-(c_TMAP2IN)),2)),((c_TMAP3IN)-(c_TMAP2IN)))+(c_TMAP2OUT)+IF(((c_TMAP3OUT)-(c_TMAP2OUT))&gt;=0,IF(IF(o_WRAP=1,MOD(((c_TMAP3IN)-(c_TMAP2IN))*(((A972)-(c_TMAP2IN))*((c_TMAP3OUT)-(c_TMAP2OUT))+IF(((c_TMAP3OUT)-(c_TMAP2OUT))&gt;=0,1,-1)*QUOTIENT(((c_TMAP3IN)-(c_TMAP2IN)),2))+2147483648,4294967296)-2147483648,((c_TMAP3IN)-(c_TMAP2IN))*(((A972)-(c_TMAP2IN))*((c_TMAP3OUT)-(c_TMAP2OUT))+IF(((c_TMAP3OUT)-(c_TMAP2OUT))&gt;=0,1,-1)*QUOTIENT(((c_TMAP3IN)-(c_TMAP2IN)),2)))&lt;0,-1,0),IF(IF(o_WRAP=1,MOD(((c_TMAP3IN)-(c_TMAP2IN))*(((A972)-(c_TMAP2IN))*((c_TMAP3OUT)-(c_TMAP2OUT))+IF(((c_TMAP3OUT)-(c_TMAP2OUT))&gt;=0,1,-1)*QUOTIENT(((c_TMAP3IN)-(c_TMAP2IN)),2))+2147483648,4294967296)-2147483648,((c_TMAP3IN)-(c_TMAP2IN))*(((A972)-(c_TMAP2IN))*((c_TMAP3OUT)-(c_TMAP2OUT))+IF(((c_TMAP3OUT)-(c_TMAP2OUT))&gt;=0,1,-1)*QUOTIENT(((c_TMAP3IN)-(c_TMAP2IN)),2)))&gt;=0,1,0)))</f>
        <v>632</v>
      </c>
      <c r="G972" s="7" t="n">
        <f aca="false">IF(((1000)-(c_TMAP3IN))=0,(c_TMAP3OUT)+QUOTIENT(((1000)-(c_TMAP3OUT)),2),QUOTIENT((((A972)-(c_TMAP3IN))*((1000)-(c_TMAP3OUT))+IF(((1000)-(c_TMAP3OUT))&gt;=0,1,-1)*QUOTIENT(((1000)-(c_TMAP3IN)),2)),((1000)-(c_TMAP3IN)))+(c_TMAP3OUT)+IF(((1000)-(c_TMAP3OUT))&gt;=0,IF(IF(o_WRAP=1,MOD(((1000)-(c_TMAP3IN))*(((A972)-(c_TMAP3IN))*((1000)-(c_TMAP3OUT))+IF(((1000)-(c_TMAP3OUT))&gt;=0,1,-1)*QUOTIENT(((1000)-(c_TMAP3IN)),2))+2147483648,4294967296)-2147483648,((1000)-(c_TMAP3IN))*(((A972)-(c_TMAP3IN))*((1000)-(c_TMAP3OUT))+IF(((1000)-(c_TMAP3OUT))&gt;=0,1,-1)*QUOTIENT(((1000)-(c_TMAP3IN)),2)))&lt;0,-1,0),IF(IF(o_WRAP=1,MOD(((1000)-(c_TMAP3IN))*(((A972)-(c_TMAP3IN))*((1000)-(c_TMAP3OUT))+IF(((1000)-(c_TMAP3OUT))&gt;=0,1,-1)*QUOTIENT(((1000)-(c_TMAP3IN)),2))+2147483648,4294967296)-2147483648,((1000)-(c_TMAP3IN))*(((A972)-(c_TMAP3IN))*((1000)-(c_TMAP3OUT))+IF(((1000)-(c_TMAP3OUT))&gt;=0,1,-1)*QUOTIENT(((1000)-(c_TMAP3IN)),2)))&gt;=0,1,0)))</f>
        <v>959</v>
      </c>
      <c r="H972" s="7" t="str">
        <f aca="false">IF(A972&gt;=c_TFWD,IF(AND(A972&gt;=c_TMAP3IN,c_TMAP3IN&lt;1000),"Seg4 map3-100%",IF(AND(A972&gt;=c_TMAP2IN,c_TMAP3IN&gt;c_TMAP2IN),"Seg3 map2-map3",IF(AND(A972&gt;=c_TMAP1IN,c_TMAP2IN&gt;c_TMAP1IN),"Seg2 map1-map2","Seg1 TFWD-map1"))),IF(AND(A972=0,c_TCREEP&gt;0),"Creep",IF(AND(A972&lt;=c_TRNGMIN,A972&gt;=c_TRNGMAX,c_TRNGMIN-c_TRNGMAX&lt;&gt;0),"Regen ramp","Coast (0)")))</f>
        <v>Seg4 map3-100%</v>
      </c>
      <c r="I972" s="7" t="n">
        <f aca="false">IF(A972&gt;=c_TFWD,IF(AND(A972&gt;=c_TMAP3IN,c_TMAP3IN&lt;1000),G972,IF(AND(A972&gt;=c_TMAP2IN,c_TMAP3IN&gt;c_TMAP2IN),F972,IF(AND(A972&gt;=c_TMAP1IN,c_TMAP2IN&gt;c_TMAP1IN),E972,D972))),C972)</f>
        <v>959</v>
      </c>
      <c r="J972" s="7" t="str">
        <f aca="false">IF(I972&lt;-1090,"TOO LOW",IF(I972&gt;1090,"TOO HIGH",""))</f>
        <v/>
      </c>
      <c r="K972" s="15" t="n">
        <f aca="false">IF(J972&lt;&gt;"",0,IF(I972&gt;979,1000,I972))</f>
        <v>959</v>
      </c>
      <c r="L972" s="7" t="n">
        <f aca="false">K972/10</f>
        <v>95.9</v>
      </c>
    </row>
    <row r="973" customFormat="false" ht="15" hidden="false" customHeight="false" outlineLevel="0" collapsed="false">
      <c r="A973" s="7" t="n">
        <v>968</v>
      </c>
      <c r="B973" s="7" t="n">
        <f aca="false">A973/10</f>
        <v>96.8</v>
      </c>
      <c r="C973" s="7" t="n">
        <f aca="false">IF(AND(A973=0,c_TCREEP&gt;0),10*c_TCREEP,IF(AND(A973&lt;=c_TRNGMIN,A973&gt;=c_TRNGMAX,c_TRNGMIN-c_TRNGMAX&lt;&gt;0),-10*c_TMINRN+QUOTIENT((c_TMAXRN-c_TMINRN)*(100-QUOTIENT((A973-c_TRNGMAX)*100,c_TRNGMIN-c_TRNGMAX)),-10),0))</f>
        <v>0</v>
      </c>
      <c r="D973" s="7" t="n">
        <f aca="false">IF(((c_TMAP1IN)-(c_TFWD))=0,(0)+QUOTIENT(((c_TMAP1OUT)-(0)),2),QUOTIENT((((A973)-(c_TFWD))*((c_TMAP1OUT)-(0))+IF(((c_TMAP1OUT)-(0))&gt;=0,1,-1)*QUOTIENT(((c_TMAP1IN)-(c_TFWD)),2)),((c_TMAP1IN)-(c_TFWD)))+(0)+IF(((c_TMAP1OUT)-(0))&gt;=0,IF(IF(o_WRAP=1,MOD(((c_TMAP1IN)-(c_TFWD))*(((A973)-(c_TFWD))*((c_TMAP1OUT)-(0))+IF(((c_TMAP1OUT)-(0))&gt;=0,1,-1)*QUOTIENT(((c_TMAP1IN)-(c_TFWD)),2))+2147483648,4294967296)-2147483648,((c_TMAP1IN)-(c_TFWD))*(((A973)-(c_TFWD))*((c_TMAP1OUT)-(0))+IF(((c_TMAP1OUT)-(0))&gt;=0,1,-1)*QUOTIENT(((c_TMAP1IN)-(c_TFWD)),2)))&lt;0,-1,0),IF(IF(o_WRAP=1,MOD(((c_TMAP1IN)-(c_TFWD))*(((A973)-(c_TFWD))*((c_TMAP1OUT)-(0))+IF(((c_TMAP1OUT)-(0))&gt;=0,1,-1)*QUOTIENT(((c_TMAP1IN)-(c_TFWD)),2))+2147483648,4294967296)-2147483648,((c_TMAP1IN)-(c_TFWD))*(((A973)-(c_TFWD))*((c_TMAP1OUT)-(0))+IF(((c_TMAP1OUT)-(0))&gt;=0,1,-1)*QUOTIENT(((c_TMAP1IN)-(c_TFWD)),2)))&gt;=0,1,0)))</f>
        <v>745</v>
      </c>
      <c r="E973" s="7" t="n">
        <f aca="false">IF(((c_TMAP2IN)-(c_TMAP1IN))=0,(c_TMAP1OUT)+QUOTIENT(((c_TMAP2OUT)-(c_TMAP1OUT)),2),QUOTIENT((((A973)-(c_TMAP1IN))*((c_TMAP2OUT)-(c_TMAP1OUT))+IF(((c_TMAP2OUT)-(c_TMAP1OUT))&gt;=0,1,-1)*QUOTIENT(((c_TMAP2IN)-(c_TMAP1IN)),2)),((c_TMAP2IN)-(c_TMAP1IN)))+(c_TMAP1OUT)+IF(((c_TMAP2OUT)-(c_TMAP1OUT))&gt;=0,IF(IF(o_WRAP=1,MOD(((c_TMAP2IN)-(c_TMAP1IN))*(((A973)-(c_TMAP1IN))*((c_TMAP2OUT)-(c_TMAP1OUT))+IF(((c_TMAP2OUT)-(c_TMAP1OUT))&gt;=0,1,-1)*QUOTIENT(((c_TMAP2IN)-(c_TMAP1IN)),2))+2147483648,4294967296)-2147483648,((c_TMAP2IN)-(c_TMAP1IN))*(((A973)-(c_TMAP1IN))*((c_TMAP2OUT)-(c_TMAP1OUT))+IF(((c_TMAP2OUT)-(c_TMAP1OUT))&gt;=0,1,-1)*QUOTIENT(((c_TMAP2IN)-(c_TMAP1IN)),2)))&lt;0,-1,0),IF(IF(o_WRAP=1,MOD(((c_TMAP2IN)-(c_TMAP1IN))*(((A973)-(c_TMAP1IN))*((c_TMAP2OUT)-(c_TMAP1OUT))+IF(((c_TMAP2OUT)-(c_TMAP1OUT))&gt;=0,1,-1)*QUOTIENT(((c_TMAP2IN)-(c_TMAP1IN)),2))+2147483648,4294967296)-2147483648,((c_TMAP2IN)-(c_TMAP1IN))*(((A973)-(c_TMAP1IN))*((c_TMAP2OUT)-(c_TMAP1OUT))+IF(((c_TMAP2OUT)-(c_TMAP1OUT))&gt;=0,1,-1)*QUOTIENT(((c_TMAP2IN)-(c_TMAP1IN)),2)))&gt;=0,1,0)))</f>
        <v>417</v>
      </c>
      <c r="F973" s="7" t="n">
        <f aca="false">IF(((c_TMAP3IN)-(c_TMAP2IN))=0,(c_TMAP2OUT)+QUOTIENT(((c_TMAP3OUT)-(c_TMAP2OUT)),2),QUOTIENT((((A973)-(c_TMAP2IN))*((c_TMAP3OUT)-(c_TMAP2OUT))+IF(((c_TMAP3OUT)-(c_TMAP2OUT))&gt;=0,1,-1)*QUOTIENT(((c_TMAP3IN)-(c_TMAP2IN)),2)),((c_TMAP3IN)-(c_TMAP2IN)))+(c_TMAP2OUT)+IF(((c_TMAP3OUT)-(c_TMAP2OUT))&gt;=0,IF(IF(o_WRAP=1,MOD(((c_TMAP3IN)-(c_TMAP2IN))*(((A973)-(c_TMAP2IN))*((c_TMAP3OUT)-(c_TMAP2OUT))+IF(((c_TMAP3OUT)-(c_TMAP2OUT))&gt;=0,1,-1)*QUOTIENT(((c_TMAP3IN)-(c_TMAP2IN)),2))+2147483648,4294967296)-2147483648,((c_TMAP3IN)-(c_TMAP2IN))*(((A973)-(c_TMAP2IN))*((c_TMAP3OUT)-(c_TMAP2OUT))+IF(((c_TMAP3OUT)-(c_TMAP2OUT))&gt;=0,1,-1)*QUOTIENT(((c_TMAP3IN)-(c_TMAP2IN)),2)))&lt;0,-1,0),IF(IF(o_WRAP=1,MOD(((c_TMAP3IN)-(c_TMAP2IN))*(((A973)-(c_TMAP2IN))*((c_TMAP3OUT)-(c_TMAP2OUT))+IF(((c_TMAP3OUT)-(c_TMAP2OUT))&gt;=0,1,-1)*QUOTIENT(((c_TMAP3IN)-(c_TMAP2IN)),2))+2147483648,4294967296)-2147483648,((c_TMAP3IN)-(c_TMAP2IN))*(((A973)-(c_TMAP2IN))*((c_TMAP3OUT)-(c_TMAP2OUT))+IF(((c_TMAP3OUT)-(c_TMAP2OUT))&gt;=0,1,-1)*QUOTIENT(((c_TMAP3IN)-(c_TMAP2IN)),2)))&gt;=0,1,0)))</f>
        <v>633</v>
      </c>
      <c r="G973" s="7" t="n">
        <f aca="false">IF(((1000)-(c_TMAP3IN))=0,(c_TMAP3OUT)+QUOTIENT(((1000)-(c_TMAP3OUT)),2),QUOTIENT((((A973)-(c_TMAP3IN))*((1000)-(c_TMAP3OUT))+IF(((1000)-(c_TMAP3OUT))&gt;=0,1,-1)*QUOTIENT(((1000)-(c_TMAP3IN)),2)),((1000)-(c_TMAP3IN)))+(c_TMAP3OUT)+IF(((1000)-(c_TMAP3OUT))&gt;=0,IF(IF(o_WRAP=1,MOD(((1000)-(c_TMAP3IN))*(((A973)-(c_TMAP3IN))*((1000)-(c_TMAP3OUT))+IF(((1000)-(c_TMAP3OUT))&gt;=0,1,-1)*QUOTIENT(((1000)-(c_TMAP3IN)),2))+2147483648,4294967296)-2147483648,((1000)-(c_TMAP3IN))*(((A973)-(c_TMAP3IN))*((1000)-(c_TMAP3OUT))+IF(((1000)-(c_TMAP3OUT))&gt;=0,1,-1)*QUOTIENT(((1000)-(c_TMAP3IN)),2)))&lt;0,-1,0),IF(IF(o_WRAP=1,MOD(((1000)-(c_TMAP3IN))*(((A973)-(c_TMAP3IN))*((1000)-(c_TMAP3OUT))+IF(((1000)-(c_TMAP3OUT))&gt;=0,1,-1)*QUOTIENT(((1000)-(c_TMAP3IN)),2))+2147483648,4294967296)-2147483648,((1000)-(c_TMAP3IN))*(((A973)-(c_TMAP3IN))*((1000)-(c_TMAP3OUT))+IF(((1000)-(c_TMAP3OUT))&gt;=0,1,-1)*QUOTIENT(((1000)-(c_TMAP3IN)),2)))&gt;=0,1,0)))</f>
        <v>961</v>
      </c>
      <c r="H973" s="7" t="str">
        <f aca="false">IF(A973&gt;=c_TFWD,IF(AND(A973&gt;=c_TMAP3IN,c_TMAP3IN&lt;1000),"Seg4 map3-100%",IF(AND(A973&gt;=c_TMAP2IN,c_TMAP3IN&gt;c_TMAP2IN),"Seg3 map2-map3",IF(AND(A973&gt;=c_TMAP1IN,c_TMAP2IN&gt;c_TMAP1IN),"Seg2 map1-map2","Seg1 TFWD-map1"))),IF(AND(A973=0,c_TCREEP&gt;0),"Creep",IF(AND(A973&lt;=c_TRNGMIN,A973&gt;=c_TRNGMAX,c_TRNGMIN-c_TRNGMAX&lt;&gt;0),"Regen ramp","Coast (0)")))</f>
        <v>Seg4 map3-100%</v>
      </c>
      <c r="I973" s="7" t="n">
        <f aca="false">IF(A973&gt;=c_TFWD,IF(AND(A973&gt;=c_TMAP3IN,c_TMAP3IN&lt;1000),G973,IF(AND(A973&gt;=c_TMAP2IN,c_TMAP3IN&gt;c_TMAP2IN),F973,IF(AND(A973&gt;=c_TMAP1IN,c_TMAP2IN&gt;c_TMAP1IN),E973,D973))),C973)</f>
        <v>961</v>
      </c>
      <c r="J973" s="7" t="str">
        <f aca="false">IF(I973&lt;-1090,"TOO LOW",IF(I973&gt;1090,"TOO HIGH",""))</f>
        <v/>
      </c>
      <c r="K973" s="15" t="n">
        <f aca="false">IF(J973&lt;&gt;"",0,IF(I973&gt;979,1000,I973))</f>
        <v>961</v>
      </c>
      <c r="L973" s="7" t="n">
        <f aca="false">K973/10</f>
        <v>96.1</v>
      </c>
    </row>
    <row r="974" customFormat="false" ht="15" hidden="false" customHeight="false" outlineLevel="0" collapsed="false">
      <c r="A974" s="7" t="n">
        <v>969</v>
      </c>
      <c r="B974" s="7" t="n">
        <f aca="false">A974/10</f>
        <v>96.9</v>
      </c>
      <c r="C974" s="7" t="n">
        <f aca="false">IF(AND(A974=0,c_TCREEP&gt;0),10*c_TCREEP,IF(AND(A974&lt;=c_TRNGMIN,A974&gt;=c_TRNGMAX,c_TRNGMIN-c_TRNGMAX&lt;&gt;0),-10*c_TMINRN+QUOTIENT((c_TMAXRN-c_TMINRN)*(100-QUOTIENT((A974-c_TRNGMAX)*100,c_TRNGMIN-c_TRNGMAX)),-10),0))</f>
        <v>0</v>
      </c>
      <c r="D974" s="7" t="n">
        <f aca="false">IF(((c_TMAP1IN)-(c_TFWD))=0,(0)+QUOTIENT(((c_TMAP1OUT)-(0)),2),QUOTIENT((((A974)-(c_TFWD))*((c_TMAP1OUT)-(0))+IF(((c_TMAP1OUT)-(0))&gt;=0,1,-1)*QUOTIENT(((c_TMAP1IN)-(c_TFWD)),2)),((c_TMAP1IN)-(c_TFWD)))+(0)+IF(((c_TMAP1OUT)-(0))&gt;=0,IF(IF(o_WRAP=1,MOD(((c_TMAP1IN)-(c_TFWD))*(((A974)-(c_TFWD))*((c_TMAP1OUT)-(0))+IF(((c_TMAP1OUT)-(0))&gt;=0,1,-1)*QUOTIENT(((c_TMAP1IN)-(c_TFWD)),2))+2147483648,4294967296)-2147483648,((c_TMAP1IN)-(c_TFWD))*(((A974)-(c_TFWD))*((c_TMAP1OUT)-(0))+IF(((c_TMAP1OUT)-(0))&gt;=0,1,-1)*QUOTIENT(((c_TMAP1IN)-(c_TFWD)),2)))&lt;0,-1,0),IF(IF(o_WRAP=1,MOD(((c_TMAP1IN)-(c_TFWD))*(((A974)-(c_TFWD))*((c_TMAP1OUT)-(0))+IF(((c_TMAP1OUT)-(0))&gt;=0,1,-1)*QUOTIENT(((c_TMAP1IN)-(c_TFWD)),2))+2147483648,4294967296)-2147483648,((c_TMAP1IN)-(c_TFWD))*(((A974)-(c_TFWD))*((c_TMAP1OUT)-(0))+IF(((c_TMAP1OUT)-(0))&gt;=0,1,-1)*QUOTIENT(((c_TMAP1IN)-(c_TFWD)),2)))&gt;=0,1,0)))</f>
        <v>746</v>
      </c>
      <c r="E974" s="7" t="n">
        <f aca="false">IF(((c_TMAP2IN)-(c_TMAP1IN))=0,(c_TMAP1OUT)+QUOTIENT(((c_TMAP2OUT)-(c_TMAP1OUT)),2),QUOTIENT((((A974)-(c_TMAP1IN))*((c_TMAP2OUT)-(c_TMAP1OUT))+IF(((c_TMAP2OUT)-(c_TMAP1OUT))&gt;=0,1,-1)*QUOTIENT(((c_TMAP2IN)-(c_TMAP1IN)),2)),((c_TMAP2IN)-(c_TMAP1IN)))+(c_TMAP1OUT)+IF(((c_TMAP2OUT)-(c_TMAP1OUT))&gt;=0,IF(IF(o_WRAP=1,MOD(((c_TMAP2IN)-(c_TMAP1IN))*(((A974)-(c_TMAP1IN))*((c_TMAP2OUT)-(c_TMAP1OUT))+IF(((c_TMAP2OUT)-(c_TMAP1OUT))&gt;=0,1,-1)*QUOTIENT(((c_TMAP2IN)-(c_TMAP1IN)),2))+2147483648,4294967296)-2147483648,((c_TMAP2IN)-(c_TMAP1IN))*(((A974)-(c_TMAP1IN))*((c_TMAP2OUT)-(c_TMAP1OUT))+IF(((c_TMAP2OUT)-(c_TMAP1OUT))&gt;=0,1,-1)*QUOTIENT(((c_TMAP2IN)-(c_TMAP1IN)),2)))&lt;0,-1,0),IF(IF(o_WRAP=1,MOD(((c_TMAP2IN)-(c_TMAP1IN))*(((A974)-(c_TMAP1IN))*((c_TMAP2OUT)-(c_TMAP1OUT))+IF(((c_TMAP2OUT)-(c_TMAP1OUT))&gt;=0,1,-1)*QUOTIENT(((c_TMAP2IN)-(c_TMAP1IN)),2))+2147483648,4294967296)-2147483648,((c_TMAP2IN)-(c_TMAP1IN))*(((A974)-(c_TMAP1IN))*((c_TMAP2OUT)-(c_TMAP1OUT))+IF(((c_TMAP2OUT)-(c_TMAP1OUT))&gt;=0,1,-1)*QUOTIENT(((c_TMAP2IN)-(c_TMAP1IN)),2)))&gt;=0,1,0)))</f>
        <v>418</v>
      </c>
      <c r="F974" s="7" t="n">
        <f aca="false">IF(((c_TMAP3IN)-(c_TMAP2IN))=0,(c_TMAP2OUT)+QUOTIENT(((c_TMAP3OUT)-(c_TMAP2OUT)),2),QUOTIENT((((A974)-(c_TMAP2IN))*((c_TMAP3OUT)-(c_TMAP2OUT))+IF(((c_TMAP3OUT)-(c_TMAP2OUT))&gt;=0,1,-1)*QUOTIENT(((c_TMAP3IN)-(c_TMAP2IN)),2)),((c_TMAP3IN)-(c_TMAP2IN)))+(c_TMAP2OUT)+IF(((c_TMAP3OUT)-(c_TMAP2OUT))&gt;=0,IF(IF(o_WRAP=1,MOD(((c_TMAP3IN)-(c_TMAP2IN))*(((A974)-(c_TMAP2IN))*((c_TMAP3OUT)-(c_TMAP2OUT))+IF(((c_TMAP3OUT)-(c_TMAP2OUT))&gt;=0,1,-1)*QUOTIENT(((c_TMAP3IN)-(c_TMAP2IN)),2))+2147483648,4294967296)-2147483648,((c_TMAP3IN)-(c_TMAP2IN))*(((A974)-(c_TMAP2IN))*((c_TMAP3OUT)-(c_TMAP2OUT))+IF(((c_TMAP3OUT)-(c_TMAP2OUT))&gt;=0,1,-1)*QUOTIENT(((c_TMAP3IN)-(c_TMAP2IN)),2)))&lt;0,-1,0),IF(IF(o_WRAP=1,MOD(((c_TMAP3IN)-(c_TMAP2IN))*(((A974)-(c_TMAP2IN))*((c_TMAP3OUT)-(c_TMAP2OUT))+IF(((c_TMAP3OUT)-(c_TMAP2OUT))&gt;=0,1,-1)*QUOTIENT(((c_TMAP3IN)-(c_TMAP2IN)),2))+2147483648,4294967296)-2147483648,((c_TMAP3IN)-(c_TMAP2IN))*(((A974)-(c_TMAP2IN))*((c_TMAP3OUT)-(c_TMAP2OUT))+IF(((c_TMAP3OUT)-(c_TMAP2OUT))&gt;=0,1,-1)*QUOTIENT(((c_TMAP3IN)-(c_TMAP2IN)),2)))&gt;=0,1,0)))</f>
        <v>633</v>
      </c>
      <c r="G974" s="7" t="n">
        <f aca="false">IF(((1000)-(c_TMAP3IN))=0,(c_TMAP3OUT)+QUOTIENT(((1000)-(c_TMAP3OUT)),2),QUOTIENT((((A974)-(c_TMAP3IN))*((1000)-(c_TMAP3OUT))+IF(((1000)-(c_TMAP3OUT))&gt;=0,1,-1)*QUOTIENT(((1000)-(c_TMAP3IN)),2)),((1000)-(c_TMAP3IN)))+(c_TMAP3OUT)+IF(((1000)-(c_TMAP3OUT))&gt;=0,IF(IF(o_WRAP=1,MOD(((1000)-(c_TMAP3IN))*(((A974)-(c_TMAP3IN))*((1000)-(c_TMAP3OUT))+IF(((1000)-(c_TMAP3OUT))&gt;=0,1,-1)*QUOTIENT(((1000)-(c_TMAP3IN)),2))+2147483648,4294967296)-2147483648,((1000)-(c_TMAP3IN))*(((A974)-(c_TMAP3IN))*((1000)-(c_TMAP3OUT))+IF(((1000)-(c_TMAP3OUT))&gt;=0,1,-1)*QUOTIENT(((1000)-(c_TMAP3IN)),2)))&lt;0,-1,0),IF(IF(o_WRAP=1,MOD(((1000)-(c_TMAP3IN))*(((A974)-(c_TMAP3IN))*((1000)-(c_TMAP3OUT))+IF(((1000)-(c_TMAP3OUT))&gt;=0,1,-1)*QUOTIENT(((1000)-(c_TMAP3IN)),2))+2147483648,4294967296)-2147483648,((1000)-(c_TMAP3IN))*(((A974)-(c_TMAP3IN))*((1000)-(c_TMAP3OUT))+IF(((1000)-(c_TMAP3OUT))&gt;=0,1,-1)*QUOTIENT(((1000)-(c_TMAP3IN)),2)))&gt;=0,1,0)))</f>
        <v>962</v>
      </c>
      <c r="H974" s="7" t="str">
        <f aca="false">IF(A974&gt;=c_TFWD,IF(AND(A974&gt;=c_TMAP3IN,c_TMAP3IN&lt;1000),"Seg4 map3-100%",IF(AND(A974&gt;=c_TMAP2IN,c_TMAP3IN&gt;c_TMAP2IN),"Seg3 map2-map3",IF(AND(A974&gt;=c_TMAP1IN,c_TMAP2IN&gt;c_TMAP1IN),"Seg2 map1-map2","Seg1 TFWD-map1"))),IF(AND(A974=0,c_TCREEP&gt;0),"Creep",IF(AND(A974&lt;=c_TRNGMIN,A974&gt;=c_TRNGMAX,c_TRNGMIN-c_TRNGMAX&lt;&gt;0),"Regen ramp","Coast (0)")))</f>
        <v>Seg4 map3-100%</v>
      </c>
      <c r="I974" s="7" t="n">
        <f aca="false">IF(A974&gt;=c_TFWD,IF(AND(A974&gt;=c_TMAP3IN,c_TMAP3IN&lt;1000),G974,IF(AND(A974&gt;=c_TMAP2IN,c_TMAP3IN&gt;c_TMAP2IN),F974,IF(AND(A974&gt;=c_TMAP1IN,c_TMAP2IN&gt;c_TMAP1IN),E974,D974))),C974)</f>
        <v>962</v>
      </c>
      <c r="J974" s="7" t="str">
        <f aca="false">IF(I974&lt;-1090,"TOO LOW",IF(I974&gt;1090,"TOO HIGH",""))</f>
        <v/>
      </c>
      <c r="K974" s="15" t="n">
        <f aca="false">IF(J974&lt;&gt;"",0,IF(I974&gt;979,1000,I974))</f>
        <v>962</v>
      </c>
      <c r="L974" s="7" t="n">
        <f aca="false">K974/10</f>
        <v>96.2</v>
      </c>
    </row>
    <row r="975" customFormat="false" ht="15" hidden="false" customHeight="false" outlineLevel="0" collapsed="false">
      <c r="A975" s="7" t="n">
        <v>970</v>
      </c>
      <c r="B975" s="7" t="n">
        <f aca="false">A975/10</f>
        <v>97</v>
      </c>
      <c r="C975" s="7" t="n">
        <f aca="false">IF(AND(A975=0,c_TCREEP&gt;0),10*c_TCREEP,IF(AND(A975&lt;=c_TRNGMIN,A975&gt;=c_TRNGMAX,c_TRNGMIN-c_TRNGMAX&lt;&gt;0),-10*c_TMINRN+QUOTIENT((c_TMAXRN-c_TMINRN)*(100-QUOTIENT((A975-c_TRNGMAX)*100,c_TRNGMIN-c_TRNGMAX)),-10),0))</f>
        <v>0</v>
      </c>
      <c r="D975" s="7" t="n">
        <f aca="false">IF(((c_TMAP1IN)-(c_TFWD))=0,(0)+QUOTIENT(((c_TMAP1OUT)-(0)),2),QUOTIENT((((A975)-(c_TFWD))*((c_TMAP1OUT)-(0))+IF(((c_TMAP1OUT)-(0))&gt;=0,1,-1)*QUOTIENT(((c_TMAP1IN)-(c_TFWD)),2)),((c_TMAP1IN)-(c_TFWD)))+(0)+IF(((c_TMAP1OUT)-(0))&gt;=0,IF(IF(o_WRAP=1,MOD(((c_TMAP1IN)-(c_TFWD))*(((A975)-(c_TFWD))*((c_TMAP1OUT)-(0))+IF(((c_TMAP1OUT)-(0))&gt;=0,1,-1)*QUOTIENT(((c_TMAP1IN)-(c_TFWD)),2))+2147483648,4294967296)-2147483648,((c_TMAP1IN)-(c_TFWD))*(((A975)-(c_TFWD))*((c_TMAP1OUT)-(0))+IF(((c_TMAP1OUT)-(0))&gt;=0,1,-1)*QUOTIENT(((c_TMAP1IN)-(c_TFWD)),2)))&lt;0,-1,0),IF(IF(o_WRAP=1,MOD(((c_TMAP1IN)-(c_TFWD))*(((A975)-(c_TFWD))*((c_TMAP1OUT)-(0))+IF(((c_TMAP1OUT)-(0))&gt;=0,1,-1)*QUOTIENT(((c_TMAP1IN)-(c_TFWD)),2))+2147483648,4294967296)-2147483648,((c_TMAP1IN)-(c_TFWD))*(((A975)-(c_TFWD))*((c_TMAP1OUT)-(0))+IF(((c_TMAP1OUT)-(0))&gt;=0,1,-1)*QUOTIENT(((c_TMAP1IN)-(c_TFWD)),2)))&gt;=0,1,0)))</f>
        <v>747</v>
      </c>
      <c r="E975" s="7" t="n">
        <f aca="false">IF(((c_TMAP2IN)-(c_TMAP1IN))=0,(c_TMAP1OUT)+QUOTIENT(((c_TMAP2OUT)-(c_TMAP1OUT)),2),QUOTIENT((((A975)-(c_TMAP1IN))*((c_TMAP2OUT)-(c_TMAP1OUT))+IF(((c_TMAP2OUT)-(c_TMAP1OUT))&gt;=0,1,-1)*QUOTIENT(((c_TMAP2IN)-(c_TMAP1IN)),2)),((c_TMAP2IN)-(c_TMAP1IN)))+(c_TMAP1OUT)+IF(((c_TMAP2OUT)-(c_TMAP1OUT))&gt;=0,IF(IF(o_WRAP=1,MOD(((c_TMAP2IN)-(c_TMAP1IN))*(((A975)-(c_TMAP1IN))*((c_TMAP2OUT)-(c_TMAP1OUT))+IF(((c_TMAP2OUT)-(c_TMAP1OUT))&gt;=0,1,-1)*QUOTIENT(((c_TMAP2IN)-(c_TMAP1IN)),2))+2147483648,4294967296)-2147483648,((c_TMAP2IN)-(c_TMAP1IN))*(((A975)-(c_TMAP1IN))*((c_TMAP2OUT)-(c_TMAP1OUT))+IF(((c_TMAP2OUT)-(c_TMAP1OUT))&gt;=0,1,-1)*QUOTIENT(((c_TMAP2IN)-(c_TMAP1IN)),2)))&lt;0,-1,0),IF(IF(o_WRAP=1,MOD(((c_TMAP2IN)-(c_TMAP1IN))*(((A975)-(c_TMAP1IN))*((c_TMAP2OUT)-(c_TMAP1OUT))+IF(((c_TMAP2OUT)-(c_TMAP1OUT))&gt;=0,1,-1)*QUOTIENT(((c_TMAP2IN)-(c_TMAP1IN)),2))+2147483648,4294967296)-2147483648,((c_TMAP2IN)-(c_TMAP1IN))*(((A975)-(c_TMAP1IN))*((c_TMAP2OUT)-(c_TMAP1OUT))+IF(((c_TMAP2OUT)-(c_TMAP1OUT))&gt;=0,1,-1)*QUOTIENT(((c_TMAP2IN)-(c_TMAP1IN)),2)))&gt;=0,1,0)))</f>
        <v>418</v>
      </c>
      <c r="F975" s="7" t="n">
        <f aca="false">IF(((c_TMAP3IN)-(c_TMAP2IN))=0,(c_TMAP2OUT)+QUOTIENT(((c_TMAP3OUT)-(c_TMAP2OUT)),2),QUOTIENT((((A975)-(c_TMAP2IN))*((c_TMAP3OUT)-(c_TMAP2OUT))+IF(((c_TMAP3OUT)-(c_TMAP2OUT))&gt;=0,1,-1)*QUOTIENT(((c_TMAP3IN)-(c_TMAP2IN)),2)),((c_TMAP3IN)-(c_TMAP2IN)))+(c_TMAP2OUT)+IF(((c_TMAP3OUT)-(c_TMAP2OUT))&gt;=0,IF(IF(o_WRAP=1,MOD(((c_TMAP3IN)-(c_TMAP2IN))*(((A975)-(c_TMAP2IN))*((c_TMAP3OUT)-(c_TMAP2OUT))+IF(((c_TMAP3OUT)-(c_TMAP2OUT))&gt;=0,1,-1)*QUOTIENT(((c_TMAP3IN)-(c_TMAP2IN)),2))+2147483648,4294967296)-2147483648,((c_TMAP3IN)-(c_TMAP2IN))*(((A975)-(c_TMAP2IN))*((c_TMAP3OUT)-(c_TMAP2OUT))+IF(((c_TMAP3OUT)-(c_TMAP2OUT))&gt;=0,1,-1)*QUOTIENT(((c_TMAP3IN)-(c_TMAP2IN)),2)))&lt;0,-1,0),IF(IF(o_WRAP=1,MOD(((c_TMAP3IN)-(c_TMAP2IN))*(((A975)-(c_TMAP2IN))*((c_TMAP3OUT)-(c_TMAP2OUT))+IF(((c_TMAP3OUT)-(c_TMAP2OUT))&gt;=0,1,-1)*QUOTIENT(((c_TMAP3IN)-(c_TMAP2IN)),2))+2147483648,4294967296)-2147483648,((c_TMAP3IN)-(c_TMAP2IN))*(((A975)-(c_TMAP2IN))*((c_TMAP3OUT)-(c_TMAP2OUT))+IF(((c_TMAP3OUT)-(c_TMAP2OUT))&gt;=0,1,-1)*QUOTIENT(((c_TMAP3IN)-(c_TMAP2IN)),2)))&gt;=0,1,0)))</f>
        <v>634</v>
      </c>
      <c r="G975" s="7" t="n">
        <f aca="false">IF(((1000)-(c_TMAP3IN))=0,(c_TMAP3OUT)+QUOTIENT(((1000)-(c_TMAP3OUT)),2),QUOTIENT((((A975)-(c_TMAP3IN))*((1000)-(c_TMAP3OUT))+IF(((1000)-(c_TMAP3OUT))&gt;=0,1,-1)*QUOTIENT(((1000)-(c_TMAP3IN)),2)),((1000)-(c_TMAP3IN)))+(c_TMAP3OUT)+IF(((1000)-(c_TMAP3OUT))&gt;=0,IF(IF(o_WRAP=1,MOD(((1000)-(c_TMAP3IN))*(((A975)-(c_TMAP3IN))*((1000)-(c_TMAP3OUT))+IF(((1000)-(c_TMAP3OUT))&gt;=0,1,-1)*QUOTIENT(((1000)-(c_TMAP3IN)),2))+2147483648,4294967296)-2147483648,((1000)-(c_TMAP3IN))*(((A975)-(c_TMAP3IN))*((1000)-(c_TMAP3OUT))+IF(((1000)-(c_TMAP3OUT))&gt;=0,1,-1)*QUOTIENT(((1000)-(c_TMAP3IN)),2)))&lt;0,-1,0),IF(IF(o_WRAP=1,MOD(((1000)-(c_TMAP3IN))*(((A975)-(c_TMAP3IN))*((1000)-(c_TMAP3OUT))+IF(((1000)-(c_TMAP3OUT))&gt;=0,1,-1)*QUOTIENT(((1000)-(c_TMAP3IN)),2))+2147483648,4294967296)-2147483648,((1000)-(c_TMAP3IN))*(((A975)-(c_TMAP3IN))*((1000)-(c_TMAP3OUT))+IF(((1000)-(c_TMAP3OUT))&gt;=0,1,-1)*QUOTIENT(((1000)-(c_TMAP3IN)),2)))&gt;=0,1,0)))</f>
        <v>963</v>
      </c>
      <c r="H975" s="7" t="str">
        <f aca="false">IF(A975&gt;=c_TFWD,IF(AND(A975&gt;=c_TMAP3IN,c_TMAP3IN&lt;1000),"Seg4 map3-100%",IF(AND(A975&gt;=c_TMAP2IN,c_TMAP3IN&gt;c_TMAP2IN),"Seg3 map2-map3",IF(AND(A975&gt;=c_TMAP1IN,c_TMAP2IN&gt;c_TMAP1IN),"Seg2 map1-map2","Seg1 TFWD-map1"))),IF(AND(A975=0,c_TCREEP&gt;0),"Creep",IF(AND(A975&lt;=c_TRNGMIN,A975&gt;=c_TRNGMAX,c_TRNGMIN-c_TRNGMAX&lt;&gt;0),"Regen ramp","Coast (0)")))</f>
        <v>Seg4 map3-100%</v>
      </c>
      <c r="I975" s="7" t="n">
        <f aca="false">IF(A975&gt;=c_TFWD,IF(AND(A975&gt;=c_TMAP3IN,c_TMAP3IN&lt;1000),G975,IF(AND(A975&gt;=c_TMAP2IN,c_TMAP3IN&gt;c_TMAP2IN),F975,IF(AND(A975&gt;=c_TMAP1IN,c_TMAP2IN&gt;c_TMAP1IN),E975,D975))),C975)</f>
        <v>963</v>
      </c>
      <c r="J975" s="7" t="str">
        <f aca="false">IF(I975&lt;-1090,"TOO LOW",IF(I975&gt;1090,"TOO HIGH",""))</f>
        <v/>
      </c>
      <c r="K975" s="15" t="n">
        <f aca="false">IF(J975&lt;&gt;"",0,IF(I975&gt;979,1000,I975))</f>
        <v>963</v>
      </c>
      <c r="L975" s="7" t="n">
        <f aca="false">K975/10</f>
        <v>96.3</v>
      </c>
    </row>
    <row r="976" customFormat="false" ht="15" hidden="false" customHeight="false" outlineLevel="0" collapsed="false">
      <c r="A976" s="7" t="n">
        <v>971</v>
      </c>
      <c r="B976" s="7" t="n">
        <f aca="false">A976/10</f>
        <v>97.1</v>
      </c>
      <c r="C976" s="7" t="n">
        <f aca="false">IF(AND(A976=0,c_TCREEP&gt;0),10*c_TCREEP,IF(AND(A976&lt;=c_TRNGMIN,A976&gt;=c_TRNGMAX,c_TRNGMIN-c_TRNGMAX&lt;&gt;0),-10*c_TMINRN+QUOTIENT((c_TMAXRN-c_TMINRN)*(100-QUOTIENT((A976-c_TRNGMAX)*100,c_TRNGMIN-c_TRNGMAX)),-10),0))</f>
        <v>0</v>
      </c>
      <c r="D976" s="7" t="n">
        <f aca="false">IF(((c_TMAP1IN)-(c_TFWD))=0,(0)+QUOTIENT(((c_TMAP1OUT)-(0)),2),QUOTIENT((((A976)-(c_TFWD))*((c_TMAP1OUT)-(0))+IF(((c_TMAP1OUT)-(0))&gt;=0,1,-1)*QUOTIENT(((c_TMAP1IN)-(c_TFWD)),2)),((c_TMAP1IN)-(c_TFWD)))+(0)+IF(((c_TMAP1OUT)-(0))&gt;=0,IF(IF(o_WRAP=1,MOD(((c_TMAP1IN)-(c_TFWD))*(((A976)-(c_TFWD))*((c_TMAP1OUT)-(0))+IF(((c_TMAP1OUT)-(0))&gt;=0,1,-1)*QUOTIENT(((c_TMAP1IN)-(c_TFWD)),2))+2147483648,4294967296)-2147483648,((c_TMAP1IN)-(c_TFWD))*(((A976)-(c_TFWD))*((c_TMAP1OUT)-(0))+IF(((c_TMAP1OUT)-(0))&gt;=0,1,-1)*QUOTIENT(((c_TMAP1IN)-(c_TFWD)),2)))&lt;0,-1,0),IF(IF(o_WRAP=1,MOD(((c_TMAP1IN)-(c_TFWD))*(((A976)-(c_TFWD))*((c_TMAP1OUT)-(0))+IF(((c_TMAP1OUT)-(0))&gt;=0,1,-1)*QUOTIENT(((c_TMAP1IN)-(c_TFWD)),2))+2147483648,4294967296)-2147483648,((c_TMAP1IN)-(c_TFWD))*(((A976)-(c_TFWD))*((c_TMAP1OUT)-(0))+IF(((c_TMAP1OUT)-(0))&gt;=0,1,-1)*QUOTIENT(((c_TMAP1IN)-(c_TFWD)),2)))&gt;=0,1,0)))</f>
        <v>747</v>
      </c>
      <c r="E976" s="7" t="n">
        <f aca="false">IF(((c_TMAP2IN)-(c_TMAP1IN))=0,(c_TMAP1OUT)+QUOTIENT(((c_TMAP2OUT)-(c_TMAP1OUT)),2),QUOTIENT((((A976)-(c_TMAP1IN))*((c_TMAP2OUT)-(c_TMAP1OUT))+IF(((c_TMAP2OUT)-(c_TMAP1OUT))&gt;=0,1,-1)*QUOTIENT(((c_TMAP2IN)-(c_TMAP1IN)),2)),((c_TMAP2IN)-(c_TMAP1IN)))+(c_TMAP1OUT)+IF(((c_TMAP2OUT)-(c_TMAP1OUT))&gt;=0,IF(IF(o_WRAP=1,MOD(((c_TMAP2IN)-(c_TMAP1IN))*(((A976)-(c_TMAP1IN))*((c_TMAP2OUT)-(c_TMAP1OUT))+IF(((c_TMAP2OUT)-(c_TMAP1OUT))&gt;=0,1,-1)*QUOTIENT(((c_TMAP2IN)-(c_TMAP1IN)),2))+2147483648,4294967296)-2147483648,((c_TMAP2IN)-(c_TMAP1IN))*(((A976)-(c_TMAP1IN))*((c_TMAP2OUT)-(c_TMAP1OUT))+IF(((c_TMAP2OUT)-(c_TMAP1OUT))&gt;=0,1,-1)*QUOTIENT(((c_TMAP2IN)-(c_TMAP1IN)),2)))&lt;0,-1,0),IF(IF(o_WRAP=1,MOD(((c_TMAP2IN)-(c_TMAP1IN))*(((A976)-(c_TMAP1IN))*((c_TMAP2OUT)-(c_TMAP1OUT))+IF(((c_TMAP2OUT)-(c_TMAP1OUT))&gt;=0,1,-1)*QUOTIENT(((c_TMAP2IN)-(c_TMAP1IN)),2))+2147483648,4294967296)-2147483648,((c_TMAP2IN)-(c_TMAP1IN))*(((A976)-(c_TMAP1IN))*((c_TMAP2OUT)-(c_TMAP1OUT))+IF(((c_TMAP2OUT)-(c_TMAP1OUT))&gt;=0,1,-1)*QUOTIENT(((c_TMAP2IN)-(c_TMAP1IN)),2)))&gt;=0,1,0)))</f>
        <v>418</v>
      </c>
      <c r="F976" s="7" t="n">
        <f aca="false">IF(((c_TMAP3IN)-(c_TMAP2IN))=0,(c_TMAP2OUT)+QUOTIENT(((c_TMAP3OUT)-(c_TMAP2OUT)),2),QUOTIENT((((A976)-(c_TMAP2IN))*((c_TMAP3OUT)-(c_TMAP2OUT))+IF(((c_TMAP3OUT)-(c_TMAP2OUT))&gt;=0,1,-1)*QUOTIENT(((c_TMAP3IN)-(c_TMAP2IN)),2)),((c_TMAP3IN)-(c_TMAP2IN)))+(c_TMAP2OUT)+IF(((c_TMAP3OUT)-(c_TMAP2OUT))&gt;=0,IF(IF(o_WRAP=1,MOD(((c_TMAP3IN)-(c_TMAP2IN))*(((A976)-(c_TMAP2IN))*((c_TMAP3OUT)-(c_TMAP2OUT))+IF(((c_TMAP3OUT)-(c_TMAP2OUT))&gt;=0,1,-1)*QUOTIENT(((c_TMAP3IN)-(c_TMAP2IN)),2))+2147483648,4294967296)-2147483648,((c_TMAP3IN)-(c_TMAP2IN))*(((A976)-(c_TMAP2IN))*((c_TMAP3OUT)-(c_TMAP2OUT))+IF(((c_TMAP3OUT)-(c_TMAP2OUT))&gt;=0,1,-1)*QUOTIENT(((c_TMAP3IN)-(c_TMAP2IN)),2)))&lt;0,-1,0),IF(IF(o_WRAP=1,MOD(((c_TMAP3IN)-(c_TMAP2IN))*(((A976)-(c_TMAP2IN))*((c_TMAP3OUT)-(c_TMAP2OUT))+IF(((c_TMAP3OUT)-(c_TMAP2OUT))&gt;=0,1,-1)*QUOTIENT(((c_TMAP3IN)-(c_TMAP2IN)),2))+2147483648,4294967296)-2147483648,((c_TMAP3IN)-(c_TMAP2IN))*(((A976)-(c_TMAP2IN))*((c_TMAP3OUT)-(c_TMAP2OUT))+IF(((c_TMAP3OUT)-(c_TMAP2OUT))&gt;=0,1,-1)*QUOTIENT(((c_TMAP3IN)-(c_TMAP2IN)),2)))&gt;=0,1,0)))</f>
        <v>635</v>
      </c>
      <c r="G976" s="7" t="n">
        <f aca="false">IF(((1000)-(c_TMAP3IN))=0,(c_TMAP3OUT)+QUOTIENT(((1000)-(c_TMAP3OUT)),2),QUOTIENT((((A976)-(c_TMAP3IN))*((1000)-(c_TMAP3OUT))+IF(((1000)-(c_TMAP3OUT))&gt;=0,1,-1)*QUOTIENT(((1000)-(c_TMAP3IN)),2)),((1000)-(c_TMAP3IN)))+(c_TMAP3OUT)+IF(((1000)-(c_TMAP3OUT))&gt;=0,IF(IF(o_WRAP=1,MOD(((1000)-(c_TMAP3IN))*(((A976)-(c_TMAP3IN))*((1000)-(c_TMAP3OUT))+IF(((1000)-(c_TMAP3OUT))&gt;=0,1,-1)*QUOTIENT(((1000)-(c_TMAP3IN)),2))+2147483648,4294967296)-2147483648,((1000)-(c_TMAP3IN))*(((A976)-(c_TMAP3IN))*((1000)-(c_TMAP3OUT))+IF(((1000)-(c_TMAP3OUT))&gt;=0,1,-1)*QUOTIENT(((1000)-(c_TMAP3IN)),2)))&lt;0,-1,0),IF(IF(o_WRAP=1,MOD(((1000)-(c_TMAP3IN))*(((A976)-(c_TMAP3IN))*((1000)-(c_TMAP3OUT))+IF(((1000)-(c_TMAP3OUT))&gt;=0,1,-1)*QUOTIENT(((1000)-(c_TMAP3IN)),2))+2147483648,4294967296)-2147483648,((1000)-(c_TMAP3IN))*(((A976)-(c_TMAP3IN))*((1000)-(c_TMAP3OUT))+IF(((1000)-(c_TMAP3OUT))&gt;=0,1,-1)*QUOTIENT(((1000)-(c_TMAP3IN)),2)))&gt;=0,1,0)))</f>
        <v>964</v>
      </c>
      <c r="H976" s="7" t="str">
        <f aca="false">IF(A976&gt;=c_TFWD,IF(AND(A976&gt;=c_TMAP3IN,c_TMAP3IN&lt;1000),"Seg4 map3-100%",IF(AND(A976&gt;=c_TMAP2IN,c_TMAP3IN&gt;c_TMAP2IN),"Seg3 map2-map3",IF(AND(A976&gt;=c_TMAP1IN,c_TMAP2IN&gt;c_TMAP1IN),"Seg2 map1-map2","Seg1 TFWD-map1"))),IF(AND(A976=0,c_TCREEP&gt;0),"Creep",IF(AND(A976&lt;=c_TRNGMIN,A976&gt;=c_TRNGMAX,c_TRNGMIN-c_TRNGMAX&lt;&gt;0),"Regen ramp","Coast (0)")))</f>
        <v>Seg4 map3-100%</v>
      </c>
      <c r="I976" s="7" t="n">
        <f aca="false">IF(A976&gt;=c_TFWD,IF(AND(A976&gt;=c_TMAP3IN,c_TMAP3IN&lt;1000),G976,IF(AND(A976&gt;=c_TMAP2IN,c_TMAP3IN&gt;c_TMAP2IN),F976,IF(AND(A976&gt;=c_TMAP1IN,c_TMAP2IN&gt;c_TMAP1IN),E976,D976))),C976)</f>
        <v>964</v>
      </c>
      <c r="J976" s="7" t="str">
        <f aca="false">IF(I976&lt;-1090,"TOO LOW",IF(I976&gt;1090,"TOO HIGH",""))</f>
        <v/>
      </c>
      <c r="K976" s="15" t="n">
        <f aca="false">IF(J976&lt;&gt;"",0,IF(I976&gt;979,1000,I976))</f>
        <v>964</v>
      </c>
      <c r="L976" s="7" t="n">
        <f aca="false">K976/10</f>
        <v>96.4</v>
      </c>
    </row>
    <row r="977" customFormat="false" ht="15" hidden="false" customHeight="false" outlineLevel="0" collapsed="false">
      <c r="A977" s="7" t="n">
        <v>972</v>
      </c>
      <c r="B977" s="7" t="n">
        <f aca="false">A977/10</f>
        <v>97.2</v>
      </c>
      <c r="C977" s="7" t="n">
        <f aca="false">IF(AND(A977=0,c_TCREEP&gt;0),10*c_TCREEP,IF(AND(A977&lt;=c_TRNGMIN,A977&gt;=c_TRNGMAX,c_TRNGMIN-c_TRNGMAX&lt;&gt;0),-10*c_TMINRN+QUOTIENT((c_TMAXRN-c_TMINRN)*(100-QUOTIENT((A977-c_TRNGMAX)*100,c_TRNGMIN-c_TRNGMAX)),-10),0))</f>
        <v>0</v>
      </c>
      <c r="D977" s="7" t="n">
        <f aca="false">IF(((c_TMAP1IN)-(c_TFWD))=0,(0)+QUOTIENT(((c_TMAP1OUT)-(0)),2),QUOTIENT((((A977)-(c_TFWD))*((c_TMAP1OUT)-(0))+IF(((c_TMAP1OUT)-(0))&gt;=0,1,-1)*QUOTIENT(((c_TMAP1IN)-(c_TFWD)),2)),((c_TMAP1IN)-(c_TFWD)))+(0)+IF(((c_TMAP1OUT)-(0))&gt;=0,IF(IF(o_WRAP=1,MOD(((c_TMAP1IN)-(c_TFWD))*(((A977)-(c_TFWD))*((c_TMAP1OUT)-(0))+IF(((c_TMAP1OUT)-(0))&gt;=0,1,-1)*QUOTIENT(((c_TMAP1IN)-(c_TFWD)),2))+2147483648,4294967296)-2147483648,((c_TMAP1IN)-(c_TFWD))*(((A977)-(c_TFWD))*((c_TMAP1OUT)-(0))+IF(((c_TMAP1OUT)-(0))&gt;=0,1,-1)*QUOTIENT(((c_TMAP1IN)-(c_TFWD)),2)))&lt;0,-1,0),IF(IF(o_WRAP=1,MOD(((c_TMAP1IN)-(c_TFWD))*(((A977)-(c_TFWD))*((c_TMAP1OUT)-(0))+IF(((c_TMAP1OUT)-(0))&gt;=0,1,-1)*QUOTIENT(((c_TMAP1IN)-(c_TFWD)),2))+2147483648,4294967296)-2147483648,((c_TMAP1IN)-(c_TFWD))*(((A977)-(c_TFWD))*((c_TMAP1OUT)-(0))+IF(((c_TMAP1OUT)-(0))&gt;=0,1,-1)*QUOTIENT(((c_TMAP1IN)-(c_TFWD)),2)))&gt;=0,1,0)))</f>
        <v>748</v>
      </c>
      <c r="E977" s="7" t="n">
        <f aca="false">IF(((c_TMAP2IN)-(c_TMAP1IN))=0,(c_TMAP1OUT)+QUOTIENT(((c_TMAP2OUT)-(c_TMAP1OUT)),2),QUOTIENT((((A977)-(c_TMAP1IN))*((c_TMAP2OUT)-(c_TMAP1OUT))+IF(((c_TMAP2OUT)-(c_TMAP1OUT))&gt;=0,1,-1)*QUOTIENT(((c_TMAP2IN)-(c_TMAP1IN)),2)),((c_TMAP2IN)-(c_TMAP1IN)))+(c_TMAP1OUT)+IF(((c_TMAP2OUT)-(c_TMAP1OUT))&gt;=0,IF(IF(o_WRAP=1,MOD(((c_TMAP2IN)-(c_TMAP1IN))*(((A977)-(c_TMAP1IN))*((c_TMAP2OUT)-(c_TMAP1OUT))+IF(((c_TMAP2OUT)-(c_TMAP1OUT))&gt;=0,1,-1)*QUOTIENT(((c_TMAP2IN)-(c_TMAP1IN)),2))+2147483648,4294967296)-2147483648,((c_TMAP2IN)-(c_TMAP1IN))*(((A977)-(c_TMAP1IN))*((c_TMAP2OUT)-(c_TMAP1OUT))+IF(((c_TMAP2OUT)-(c_TMAP1OUT))&gt;=0,1,-1)*QUOTIENT(((c_TMAP2IN)-(c_TMAP1IN)),2)))&lt;0,-1,0),IF(IF(o_WRAP=1,MOD(((c_TMAP2IN)-(c_TMAP1IN))*(((A977)-(c_TMAP1IN))*((c_TMAP2OUT)-(c_TMAP1OUT))+IF(((c_TMAP2OUT)-(c_TMAP1OUT))&gt;=0,1,-1)*QUOTIENT(((c_TMAP2IN)-(c_TMAP1IN)),2))+2147483648,4294967296)-2147483648,((c_TMAP2IN)-(c_TMAP1IN))*(((A977)-(c_TMAP1IN))*((c_TMAP2OUT)-(c_TMAP1OUT))+IF(((c_TMAP2OUT)-(c_TMAP1OUT))&gt;=0,1,-1)*QUOTIENT(((c_TMAP2IN)-(c_TMAP1IN)),2)))&gt;=0,1,0)))</f>
        <v>419</v>
      </c>
      <c r="F977" s="7" t="n">
        <f aca="false">IF(((c_TMAP3IN)-(c_TMAP2IN))=0,(c_TMAP2OUT)+QUOTIENT(((c_TMAP3OUT)-(c_TMAP2OUT)),2),QUOTIENT((((A977)-(c_TMAP2IN))*((c_TMAP3OUT)-(c_TMAP2OUT))+IF(((c_TMAP3OUT)-(c_TMAP2OUT))&gt;=0,1,-1)*QUOTIENT(((c_TMAP3IN)-(c_TMAP2IN)),2)),((c_TMAP3IN)-(c_TMAP2IN)))+(c_TMAP2OUT)+IF(((c_TMAP3OUT)-(c_TMAP2OUT))&gt;=0,IF(IF(o_WRAP=1,MOD(((c_TMAP3IN)-(c_TMAP2IN))*(((A977)-(c_TMAP2IN))*((c_TMAP3OUT)-(c_TMAP2OUT))+IF(((c_TMAP3OUT)-(c_TMAP2OUT))&gt;=0,1,-1)*QUOTIENT(((c_TMAP3IN)-(c_TMAP2IN)),2))+2147483648,4294967296)-2147483648,((c_TMAP3IN)-(c_TMAP2IN))*(((A977)-(c_TMAP2IN))*((c_TMAP3OUT)-(c_TMAP2OUT))+IF(((c_TMAP3OUT)-(c_TMAP2OUT))&gt;=0,1,-1)*QUOTIENT(((c_TMAP3IN)-(c_TMAP2IN)),2)))&lt;0,-1,0),IF(IF(o_WRAP=1,MOD(((c_TMAP3IN)-(c_TMAP2IN))*(((A977)-(c_TMAP2IN))*((c_TMAP3OUT)-(c_TMAP2OUT))+IF(((c_TMAP3OUT)-(c_TMAP2OUT))&gt;=0,1,-1)*QUOTIENT(((c_TMAP3IN)-(c_TMAP2IN)),2))+2147483648,4294967296)-2147483648,((c_TMAP3IN)-(c_TMAP2IN))*(((A977)-(c_TMAP2IN))*((c_TMAP3OUT)-(c_TMAP2OUT))+IF(((c_TMAP3OUT)-(c_TMAP2OUT))&gt;=0,1,-1)*QUOTIENT(((c_TMAP3IN)-(c_TMAP2IN)),2)))&gt;=0,1,0)))</f>
        <v>635</v>
      </c>
      <c r="G977" s="7" t="n">
        <f aca="false">IF(((1000)-(c_TMAP3IN))=0,(c_TMAP3OUT)+QUOTIENT(((1000)-(c_TMAP3OUT)),2),QUOTIENT((((A977)-(c_TMAP3IN))*((1000)-(c_TMAP3OUT))+IF(((1000)-(c_TMAP3OUT))&gt;=0,1,-1)*QUOTIENT(((1000)-(c_TMAP3IN)),2)),((1000)-(c_TMAP3IN)))+(c_TMAP3OUT)+IF(((1000)-(c_TMAP3OUT))&gt;=0,IF(IF(o_WRAP=1,MOD(((1000)-(c_TMAP3IN))*(((A977)-(c_TMAP3IN))*((1000)-(c_TMAP3OUT))+IF(((1000)-(c_TMAP3OUT))&gt;=0,1,-1)*QUOTIENT(((1000)-(c_TMAP3IN)),2))+2147483648,4294967296)-2147483648,((1000)-(c_TMAP3IN))*(((A977)-(c_TMAP3IN))*((1000)-(c_TMAP3OUT))+IF(((1000)-(c_TMAP3OUT))&gt;=0,1,-1)*QUOTIENT(((1000)-(c_TMAP3IN)),2)))&lt;0,-1,0),IF(IF(o_WRAP=1,MOD(((1000)-(c_TMAP3IN))*(((A977)-(c_TMAP3IN))*((1000)-(c_TMAP3OUT))+IF(((1000)-(c_TMAP3OUT))&gt;=0,1,-1)*QUOTIENT(((1000)-(c_TMAP3IN)),2))+2147483648,4294967296)-2147483648,((1000)-(c_TMAP3IN))*(((A977)-(c_TMAP3IN))*((1000)-(c_TMAP3OUT))+IF(((1000)-(c_TMAP3OUT))&gt;=0,1,-1)*QUOTIENT(((1000)-(c_TMAP3IN)),2)))&gt;=0,1,0)))</f>
        <v>966</v>
      </c>
      <c r="H977" s="7" t="str">
        <f aca="false">IF(A977&gt;=c_TFWD,IF(AND(A977&gt;=c_TMAP3IN,c_TMAP3IN&lt;1000),"Seg4 map3-100%",IF(AND(A977&gt;=c_TMAP2IN,c_TMAP3IN&gt;c_TMAP2IN),"Seg3 map2-map3",IF(AND(A977&gt;=c_TMAP1IN,c_TMAP2IN&gt;c_TMAP1IN),"Seg2 map1-map2","Seg1 TFWD-map1"))),IF(AND(A977=0,c_TCREEP&gt;0),"Creep",IF(AND(A977&lt;=c_TRNGMIN,A977&gt;=c_TRNGMAX,c_TRNGMIN-c_TRNGMAX&lt;&gt;0),"Regen ramp","Coast (0)")))</f>
        <v>Seg4 map3-100%</v>
      </c>
      <c r="I977" s="7" t="n">
        <f aca="false">IF(A977&gt;=c_TFWD,IF(AND(A977&gt;=c_TMAP3IN,c_TMAP3IN&lt;1000),G977,IF(AND(A977&gt;=c_TMAP2IN,c_TMAP3IN&gt;c_TMAP2IN),F977,IF(AND(A977&gt;=c_TMAP1IN,c_TMAP2IN&gt;c_TMAP1IN),E977,D977))),C977)</f>
        <v>966</v>
      </c>
      <c r="J977" s="7" t="str">
        <f aca="false">IF(I977&lt;-1090,"TOO LOW",IF(I977&gt;1090,"TOO HIGH",""))</f>
        <v/>
      </c>
      <c r="K977" s="15" t="n">
        <f aca="false">IF(J977&lt;&gt;"",0,IF(I977&gt;979,1000,I977))</f>
        <v>966</v>
      </c>
      <c r="L977" s="7" t="n">
        <f aca="false">K977/10</f>
        <v>96.6</v>
      </c>
    </row>
    <row r="978" customFormat="false" ht="15" hidden="false" customHeight="false" outlineLevel="0" collapsed="false">
      <c r="A978" s="7" t="n">
        <v>973</v>
      </c>
      <c r="B978" s="7" t="n">
        <f aca="false">A978/10</f>
        <v>97.3</v>
      </c>
      <c r="C978" s="7" t="n">
        <f aca="false">IF(AND(A978=0,c_TCREEP&gt;0),10*c_TCREEP,IF(AND(A978&lt;=c_TRNGMIN,A978&gt;=c_TRNGMAX,c_TRNGMIN-c_TRNGMAX&lt;&gt;0),-10*c_TMINRN+QUOTIENT((c_TMAXRN-c_TMINRN)*(100-QUOTIENT((A978-c_TRNGMAX)*100,c_TRNGMIN-c_TRNGMAX)),-10),0))</f>
        <v>0</v>
      </c>
      <c r="D978" s="7" t="n">
        <f aca="false">IF(((c_TMAP1IN)-(c_TFWD))=0,(0)+QUOTIENT(((c_TMAP1OUT)-(0)),2),QUOTIENT((((A978)-(c_TFWD))*((c_TMAP1OUT)-(0))+IF(((c_TMAP1OUT)-(0))&gt;=0,1,-1)*QUOTIENT(((c_TMAP1IN)-(c_TFWD)),2)),((c_TMAP1IN)-(c_TFWD)))+(0)+IF(((c_TMAP1OUT)-(0))&gt;=0,IF(IF(o_WRAP=1,MOD(((c_TMAP1IN)-(c_TFWD))*(((A978)-(c_TFWD))*((c_TMAP1OUT)-(0))+IF(((c_TMAP1OUT)-(0))&gt;=0,1,-1)*QUOTIENT(((c_TMAP1IN)-(c_TFWD)),2))+2147483648,4294967296)-2147483648,((c_TMAP1IN)-(c_TFWD))*(((A978)-(c_TFWD))*((c_TMAP1OUT)-(0))+IF(((c_TMAP1OUT)-(0))&gt;=0,1,-1)*QUOTIENT(((c_TMAP1IN)-(c_TFWD)),2)))&lt;0,-1,0),IF(IF(o_WRAP=1,MOD(((c_TMAP1IN)-(c_TFWD))*(((A978)-(c_TFWD))*((c_TMAP1OUT)-(0))+IF(((c_TMAP1OUT)-(0))&gt;=0,1,-1)*QUOTIENT(((c_TMAP1IN)-(c_TFWD)),2))+2147483648,4294967296)-2147483648,((c_TMAP1IN)-(c_TFWD))*(((A978)-(c_TFWD))*((c_TMAP1OUT)-(0))+IF(((c_TMAP1OUT)-(0))&gt;=0,1,-1)*QUOTIENT(((c_TMAP1IN)-(c_TFWD)),2)))&gt;=0,1,0)))</f>
        <v>749</v>
      </c>
      <c r="E978" s="7" t="n">
        <f aca="false">IF(((c_TMAP2IN)-(c_TMAP1IN))=0,(c_TMAP1OUT)+QUOTIENT(((c_TMAP2OUT)-(c_TMAP1OUT)),2),QUOTIENT((((A978)-(c_TMAP1IN))*((c_TMAP2OUT)-(c_TMAP1OUT))+IF(((c_TMAP2OUT)-(c_TMAP1OUT))&gt;=0,1,-1)*QUOTIENT(((c_TMAP2IN)-(c_TMAP1IN)),2)),((c_TMAP2IN)-(c_TMAP1IN)))+(c_TMAP1OUT)+IF(((c_TMAP2OUT)-(c_TMAP1OUT))&gt;=0,IF(IF(o_WRAP=1,MOD(((c_TMAP2IN)-(c_TMAP1IN))*(((A978)-(c_TMAP1IN))*((c_TMAP2OUT)-(c_TMAP1OUT))+IF(((c_TMAP2OUT)-(c_TMAP1OUT))&gt;=0,1,-1)*QUOTIENT(((c_TMAP2IN)-(c_TMAP1IN)),2))+2147483648,4294967296)-2147483648,((c_TMAP2IN)-(c_TMAP1IN))*(((A978)-(c_TMAP1IN))*((c_TMAP2OUT)-(c_TMAP1OUT))+IF(((c_TMAP2OUT)-(c_TMAP1OUT))&gt;=0,1,-1)*QUOTIENT(((c_TMAP2IN)-(c_TMAP1IN)),2)))&lt;0,-1,0),IF(IF(o_WRAP=1,MOD(((c_TMAP2IN)-(c_TMAP1IN))*(((A978)-(c_TMAP1IN))*((c_TMAP2OUT)-(c_TMAP1OUT))+IF(((c_TMAP2OUT)-(c_TMAP1OUT))&gt;=0,1,-1)*QUOTIENT(((c_TMAP2IN)-(c_TMAP1IN)),2))+2147483648,4294967296)-2147483648,((c_TMAP2IN)-(c_TMAP1IN))*(((A978)-(c_TMAP1IN))*((c_TMAP2OUT)-(c_TMAP1OUT))+IF(((c_TMAP2OUT)-(c_TMAP1OUT))&gt;=0,1,-1)*QUOTIENT(((c_TMAP2IN)-(c_TMAP1IN)),2)))&gt;=0,1,0)))</f>
        <v>419</v>
      </c>
      <c r="F978" s="7" t="n">
        <f aca="false">IF(((c_TMAP3IN)-(c_TMAP2IN))=0,(c_TMAP2OUT)+QUOTIENT(((c_TMAP3OUT)-(c_TMAP2OUT)),2),QUOTIENT((((A978)-(c_TMAP2IN))*((c_TMAP3OUT)-(c_TMAP2OUT))+IF(((c_TMAP3OUT)-(c_TMAP2OUT))&gt;=0,1,-1)*QUOTIENT(((c_TMAP3IN)-(c_TMAP2IN)),2)),((c_TMAP3IN)-(c_TMAP2IN)))+(c_TMAP2OUT)+IF(((c_TMAP3OUT)-(c_TMAP2OUT))&gt;=0,IF(IF(o_WRAP=1,MOD(((c_TMAP3IN)-(c_TMAP2IN))*(((A978)-(c_TMAP2IN))*((c_TMAP3OUT)-(c_TMAP2OUT))+IF(((c_TMAP3OUT)-(c_TMAP2OUT))&gt;=0,1,-1)*QUOTIENT(((c_TMAP3IN)-(c_TMAP2IN)),2))+2147483648,4294967296)-2147483648,((c_TMAP3IN)-(c_TMAP2IN))*(((A978)-(c_TMAP2IN))*((c_TMAP3OUT)-(c_TMAP2OUT))+IF(((c_TMAP3OUT)-(c_TMAP2OUT))&gt;=0,1,-1)*QUOTIENT(((c_TMAP3IN)-(c_TMAP2IN)),2)))&lt;0,-1,0),IF(IF(o_WRAP=1,MOD(((c_TMAP3IN)-(c_TMAP2IN))*(((A978)-(c_TMAP2IN))*((c_TMAP3OUT)-(c_TMAP2OUT))+IF(((c_TMAP3OUT)-(c_TMAP2OUT))&gt;=0,1,-1)*QUOTIENT(((c_TMAP3IN)-(c_TMAP2IN)),2))+2147483648,4294967296)-2147483648,((c_TMAP3IN)-(c_TMAP2IN))*(((A978)-(c_TMAP2IN))*((c_TMAP3OUT)-(c_TMAP2OUT))+IF(((c_TMAP3OUT)-(c_TMAP2OUT))&gt;=0,1,-1)*QUOTIENT(((c_TMAP3IN)-(c_TMAP2IN)),2)))&gt;=0,1,0)))</f>
        <v>636</v>
      </c>
      <c r="G978" s="7" t="n">
        <f aca="false">IF(((1000)-(c_TMAP3IN))=0,(c_TMAP3OUT)+QUOTIENT(((1000)-(c_TMAP3OUT)),2),QUOTIENT((((A978)-(c_TMAP3IN))*((1000)-(c_TMAP3OUT))+IF(((1000)-(c_TMAP3OUT))&gt;=0,1,-1)*QUOTIENT(((1000)-(c_TMAP3IN)),2)),((1000)-(c_TMAP3IN)))+(c_TMAP3OUT)+IF(((1000)-(c_TMAP3OUT))&gt;=0,IF(IF(o_WRAP=1,MOD(((1000)-(c_TMAP3IN))*(((A978)-(c_TMAP3IN))*((1000)-(c_TMAP3OUT))+IF(((1000)-(c_TMAP3OUT))&gt;=0,1,-1)*QUOTIENT(((1000)-(c_TMAP3IN)),2))+2147483648,4294967296)-2147483648,((1000)-(c_TMAP3IN))*(((A978)-(c_TMAP3IN))*((1000)-(c_TMAP3OUT))+IF(((1000)-(c_TMAP3OUT))&gt;=0,1,-1)*QUOTIENT(((1000)-(c_TMAP3IN)),2)))&lt;0,-1,0),IF(IF(o_WRAP=1,MOD(((1000)-(c_TMAP3IN))*(((A978)-(c_TMAP3IN))*((1000)-(c_TMAP3OUT))+IF(((1000)-(c_TMAP3OUT))&gt;=0,1,-1)*QUOTIENT(((1000)-(c_TMAP3IN)),2))+2147483648,4294967296)-2147483648,((1000)-(c_TMAP3IN))*(((A978)-(c_TMAP3IN))*((1000)-(c_TMAP3OUT))+IF(((1000)-(c_TMAP3OUT))&gt;=0,1,-1)*QUOTIENT(((1000)-(c_TMAP3IN)),2)))&gt;=0,1,0)))</f>
        <v>967</v>
      </c>
      <c r="H978" s="7" t="str">
        <f aca="false">IF(A978&gt;=c_TFWD,IF(AND(A978&gt;=c_TMAP3IN,c_TMAP3IN&lt;1000),"Seg4 map3-100%",IF(AND(A978&gt;=c_TMAP2IN,c_TMAP3IN&gt;c_TMAP2IN),"Seg3 map2-map3",IF(AND(A978&gt;=c_TMAP1IN,c_TMAP2IN&gt;c_TMAP1IN),"Seg2 map1-map2","Seg1 TFWD-map1"))),IF(AND(A978=0,c_TCREEP&gt;0),"Creep",IF(AND(A978&lt;=c_TRNGMIN,A978&gt;=c_TRNGMAX,c_TRNGMIN-c_TRNGMAX&lt;&gt;0),"Regen ramp","Coast (0)")))</f>
        <v>Seg4 map3-100%</v>
      </c>
      <c r="I978" s="7" t="n">
        <f aca="false">IF(A978&gt;=c_TFWD,IF(AND(A978&gt;=c_TMAP3IN,c_TMAP3IN&lt;1000),G978,IF(AND(A978&gt;=c_TMAP2IN,c_TMAP3IN&gt;c_TMAP2IN),F978,IF(AND(A978&gt;=c_TMAP1IN,c_TMAP2IN&gt;c_TMAP1IN),E978,D978))),C978)</f>
        <v>967</v>
      </c>
      <c r="J978" s="7" t="str">
        <f aca="false">IF(I978&lt;-1090,"TOO LOW",IF(I978&gt;1090,"TOO HIGH",""))</f>
        <v/>
      </c>
      <c r="K978" s="15" t="n">
        <f aca="false">IF(J978&lt;&gt;"",0,IF(I978&gt;979,1000,I978))</f>
        <v>967</v>
      </c>
      <c r="L978" s="7" t="n">
        <f aca="false">K978/10</f>
        <v>96.7</v>
      </c>
    </row>
    <row r="979" customFormat="false" ht="15" hidden="false" customHeight="false" outlineLevel="0" collapsed="false">
      <c r="A979" s="7" t="n">
        <v>974</v>
      </c>
      <c r="B979" s="7" t="n">
        <f aca="false">A979/10</f>
        <v>97.4</v>
      </c>
      <c r="C979" s="7" t="n">
        <f aca="false">IF(AND(A979=0,c_TCREEP&gt;0),10*c_TCREEP,IF(AND(A979&lt;=c_TRNGMIN,A979&gt;=c_TRNGMAX,c_TRNGMIN-c_TRNGMAX&lt;&gt;0),-10*c_TMINRN+QUOTIENT((c_TMAXRN-c_TMINRN)*(100-QUOTIENT((A979-c_TRNGMAX)*100,c_TRNGMIN-c_TRNGMAX)),-10),0))</f>
        <v>0</v>
      </c>
      <c r="D979" s="7" t="n">
        <f aca="false">IF(((c_TMAP1IN)-(c_TFWD))=0,(0)+QUOTIENT(((c_TMAP1OUT)-(0)),2),QUOTIENT((((A979)-(c_TFWD))*((c_TMAP1OUT)-(0))+IF(((c_TMAP1OUT)-(0))&gt;=0,1,-1)*QUOTIENT(((c_TMAP1IN)-(c_TFWD)),2)),((c_TMAP1IN)-(c_TFWD)))+(0)+IF(((c_TMAP1OUT)-(0))&gt;=0,IF(IF(o_WRAP=1,MOD(((c_TMAP1IN)-(c_TFWD))*(((A979)-(c_TFWD))*((c_TMAP1OUT)-(0))+IF(((c_TMAP1OUT)-(0))&gt;=0,1,-1)*QUOTIENT(((c_TMAP1IN)-(c_TFWD)),2))+2147483648,4294967296)-2147483648,((c_TMAP1IN)-(c_TFWD))*(((A979)-(c_TFWD))*((c_TMAP1OUT)-(0))+IF(((c_TMAP1OUT)-(0))&gt;=0,1,-1)*QUOTIENT(((c_TMAP1IN)-(c_TFWD)),2)))&lt;0,-1,0),IF(IF(o_WRAP=1,MOD(((c_TMAP1IN)-(c_TFWD))*(((A979)-(c_TFWD))*((c_TMAP1OUT)-(0))+IF(((c_TMAP1OUT)-(0))&gt;=0,1,-1)*QUOTIENT(((c_TMAP1IN)-(c_TFWD)),2))+2147483648,4294967296)-2147483648,((c_TMAP1IN)-(c_TFWD))*(((A979)-(c_TFWD))*((c_TMAP1OUT)-(0))+IF(((c_TMAP1OUT)-(0))&gt;=0,1,-1)*QUOTIENT(((c_TMAP1IN)-(c_TFWD)),2)))&gt;=0,1,0)))</f>
        <v>750</v>
      </c>
      <c r="E979" s="7" t="n">
        <f aca="false">IF(((c_TMAP2IN)-(c_TMAP1IN))=0,(c_TMAP1OUT)+QUOTIENT(((c_TMAP2OUT)-(c_TMAP1OUT)),2),QUOTIENT((((A979)-(c_TMAP1IN))*((c_TMAP2OUT)-(c_TMAP1OUT))+IF(((c_TMAP2OUT)-(c_TMAP1OUT))&gt;=0,1,-1)*QUOTIENT(((c_TMAP2IN)-(c_TMAP1IN)),2)),((c_TMAP2IN)-(c_TMAP1IN)))+(c_TMAP1OUT)+IF(((c_TMAP2OUT)-(c_TMAP1OUT))&gt;=0,IF(IF(o_WRAP=1,MOD(((c_TMAP2IN)-(c_TMAP1IN))*(((A979)-(c_TMAP1IN))*((c_TMAP2OUT)-(c_TMAP1OUT))+IF(((c_TMAP2OUT)-(c_TMAP1OUT))&gt;=0,1,-1)*QUOTIENT(((c_TMAP2IN)-(c_TMAP1IN)),2))+2147483648,4294967296)-2147483648,((c_TMAP2IN)-(c_TMAP1IN))*(((A979)-(c_TMAP1IN))*((c_TMAP2OUT)-(c_TMAP1OUT))+IF(((c_TMAP2OUT)-(c_TMAP1OUT))&gt;=0,1,-1)*QUOTIENT(((c_TMAP2IN)-(c_TMAP1IN)),2)))&lt;0,-1,0),IF(IF(o_WRAP=1,MOD(((c_TMAP2IN)-(c_TMAP1IN))*(((A979)-(c_TMAP1IN))*((c_TMAP2OUT)-(c_TMAP1OUT))+IF(((c_TMAP2OUT)-(c_TMAP1OUT))&gt;=0,1,-1)*QUOTIENT(((c_TMAP2IN)-(c_TMAP1IN)),2))+2147483648,4294967296)-2147483648,((c_TMAP2IN)-(c_TMAP1IN))*(((A979)-(c_TMAP1IN))*((c_TMAP2OUT)-(c_TMAP1OUT))+IF(((c_TMAP2OUT)-(c_TMAP1OUT))&gt;=0,1,-1)*QUOTIENT(((c_TMAP2IN)-(c_TMAP1IN)),2)))&gt;=0,1,0)))</f>
        <v>420</v>
      </c>
      <c r="F979" s="7" t="n">
        <f aca="false">IF(((c_TMAP3IN)-(c_TMAP2IN))=0,(c_TMAP2OUT)+QUOTIENT(((c_TMAP3OUT)-(c_TMAP2OUT)),2),QUOTIENT((((A979)-(c_TMAP2IN))*((c_TMAP3OUT)-(c_TMAP2OUT))+IF(((c_TMAP3OUT)-(c_TMAP2OUT))&gt;=0,1,-1)*QUOTIENT(((c_TMAP3IN)-(c_TMAP2IN)),2)),((c_TMAP3IN)-(c_TMAP2IN)))+(c_TMAP2OUT)+IF(((c_TMAP3OUT)-(c_TMAP2OUT))&gt;=0,IF(IF(o_WRAP=1,MOD(((c_TMAP3IN)-(c_TMAP2IN))*(((A979)-(c_TMAP2IN))*((c_TMAP3OUT)-(c_TMAP2OUT))+IF(((c_TMAP3OUT)-(c_TMAP2OUT))&gt;=0,1,-1)*QUOTIENT(((c_TMAP3IN)-(c_TMAP2IN)),2))+2147483648,4294967296)-2147483648,((c_TMAP3IN)-(c_TMAP2IN))*(((A979)-(c_TMAP2IN))*((c_TMAP3OUT)-(c_TMAP2OUT))+IF(((c_TMAP3OUT)-(c_TMAP2OUT))&gt;=0,1,-1)*QUOTIENT(((c_TMAP3IN)-(c_TMAP2IN)),2)))&lt;0,-1,0),IF(IF(o_WRAP=1,MOD(((c_TMAP3IN)-(c_TMAP2IN))*(((A979)-(c_TMAP2IN))*((c_TMAP3OUT)-(c_TMAP2OUT))+IF(((c_TMAP3OUT)-(c_TMAP2OUT))&gt;=0,1,-1)*QUOTIENT(((c_TMAP3IN)-(c_TMAP2IN)),2))+2147483648,4294967296)-2147483648,((c_TMAP3IN)-(c_TMAP2IN))*(((A979)-(c_TMAP2IN))*((c_TMAP3OUT)-(c_TMAP2OUT))+IF(((c_TMAP3OUT)-(c_TMAP2OUT))&gt;=0,1,-1)*QUOTIENT(((c_TMAP3IN)-(c_TMAP2IN)),2)))&gt;=0,1,0)))</f>
        <v>637</v>
      </c>
      <c r="G979" s="7" t="n">
        <f aca="false">IF(((1000)-(c_TMAP3IN))=0,(c_TMAP3OUT)+QUOTIENT(((1000)-(c_TMAP3OUT)),2),QUOTIENT((((A979)-(c_TMAP3IN))*((1000)-(c_TMAP3OUT))+IF(((1000)-(c_TMAP3OUT))&gt;=0,1,-1)*QUOTIENT(((1000)-(c_TMAP3IN)),2)),((1000)-(c_TMAP3IN)))+(c_TMAP3OUT)+IF(((1000)-(c_TMAP3OUT))&gt;=0,IF(IF(o_WRAP=1,MOD(((1000)-(c_TMAP3IN))*(((A979)-(c_TMAP3IN))*((1000)-(c_TMAP3OUT))+IF(((1000)-(c_TMAP3OUT))&gt;=0,1,-1)*QUOTIENT(((1000)-(c_TMAP3IN)),2))+2147483648,4294967296)-2147483648,((1000)-(c_TMAP3IN))*(((A979)-(c_TMAP3IN))*((1000)-(c_TMAP3OUT))+IF(((1000)-(c_TMAP3OUT))&gt;=0,1,-1)*QUOTIENT(((1000)-(c_TMAP3IN)),2)))&lt;0,-1,0),IF(IF(o_WRAP=1,MOD(((1000)-(c_TMAP3IN))*(((A979)-(c_TMAP3IN))*((1000)-(c_TMAP3OUT))+IF(((1000)-(c_TMAP3OUT))&gt;=0,1,-1)*QUOTIENT(((1000)-(c_TMAP3IN)),2))+2147483648,4294967296)-2147483648,((1000)-(c_TMAP3IN))*(((A979)-(c_TMAP3IN))*((1000)-(c_TMAP3OUT))+IF(((1000)-(c_TMAP3OUT))&gt;=0,1,-1)*QUOTIENT(((1000)-(c_TMAP3IN)),2)))&gt;=0,1,0)))</f>
        <v>968</v>
      </c>
      <c r="H979" s="7" t="str">
        <f aca="false">IF(A979&gt;=c_TFWD,IF(AND(A979&gt;=c_TMAP3IN,c_TMAP3IN&lt;1000),"Seg4 map3-100%",IF(AND(A979&gt;=c_TMAP2IN,c_TMAP3IN&gt;c_TMAP2IN),"Seg3 map2-map3",IF(AND(A979&gt;=c_TMAP1IN,c_TMAP2IN&gt;c_TMAP1IN),"Seg2 map1-map2","Seg1 TFWD-map1"))),IF(AND(A979=0,c_TCREEP&gt;0),"Creep",IF(AND(A979&lt;=c_TRNGMIN,A979&gt;=c_TRNGMAX,c_TRNGMIN-c_TRNGMAX&lt;&gt;0),"Regen ramp","Coast (0)")))</f>
        <v>Seg4 map3-100%</v>
      </c>
      <c r="I979" s="7" t="n">
        <f aca="false">IF(A979&gt;=c_TFWD,IF(AND(A979&gt;=c_TMAP3IN,c_TMAP3IN&lt;1000),G979,IF(AND(A979&gt;=c_TMAP2IN,c_TMAP3IN&gt;c_TMAP2IN),F979,IF(AND(A979&gt;=c_TMAP1IN,c_TMAP2IN&gt;c_TMAP1IN),E979,D979))),C979)</f>
        <v>968</v>
      </c>
      <c r="J979" s="7" t="str">
        <f aca="false">IF(I979&lt;-1090,"TOO LOW",IF(I979&gt;1090,"TOO HIGH",""))</f>
        <v/>
      </c>
      <c r="K979" s="15" t="n">
        <f aca="false">IF(J979&lt;&gt;"",0,IF(I979&gt;979,1000,I979))</f>
        <v>968</v>
      </c>
      <c r="L979" s="7" t="n">
        <f aca="false">K979/10</f>
        <v>96.8</v>
      </c>
    </row>
    <row r="980" customFormat="false" ht="15" hidden="false" customHeight="false" outlineLevel="0" collapsed="false">
      <c r="A980" s="7" t="n">
        <v>975</v>
      </c>
      <c r="B980" s="7" t="n">
        <f aca="false">A980/10</f>
        <v>97.5</v>
      </c>
      <c r="C980" s="7" t="n">
        <f aca="false">IF(AND(A980=0,c_TCREEP&gt;0),10*c_TCREEP,IF(AND(A980&lt;=c_TRNGMIN,A980&gt;=c_TRNGMAX,c_TRNGMIN-c_TRNGMAX&lt;&gt;0),-10*c_TMINRN+QUOTIENT((c_TMAXRN-c_TMINRN)*(100-QUOTIENT((A980-c_TRNGMAX)*100,c_TRNGMIN-c_TRNGMAX)),-10),0))</f>
        <v>0</v>
      </c>
      <c r="D980" s="7" t="n">
        <f aca="false">IF(((c_TMAP1IN)-(c_TFWD))=0,(0)+QUOTIENT(((c_TMAP1OUT)-(0)),2),QUOTIENT((((A980)-(c_TFWD))*((c_TMAP1OUT)-(0))+IF(((c_TMAP1OUT)-(0))&gt;=0,1,-1)*QUOTIENT(((c_TMAP1IN)-(c_TFWD)),2)),((c_TMAP1IN)-(c_TFWD)))+(0)+IF(((c_TMAP1OUT)-(0))&gt;=0,IF(IF(o_WRAP=1,MOD(((c_TMAP1IN)-(c_TFWD))*(((A980)-(c_TFWD))*((c_TMAP1OUT)-(0))+IF(((c_TMAP1OUT)-(0))&gt;=0,1,-1)*QUOTIENT(((c_TMAP1IN)-(c_TFWD)),2))+2147483648,4294967296)-2147483648,((c_TMAP1IN)-(c_TFWD))*(((A980)-(c_TFWD))*((c_TMAP1OUT)-(0))+IF(((c_TMAP1OUT)-(0))&gt;=0,1,-1)*QUOTIENT(((c_TMAP1IN)-(c_TFWD)),2)))&lt;0,-1,0),IF(IF(o_WRAP=1,MOD(((c_TMAP1IN)-(c_TFWD))*(((A980)-(c_TFWD))*((c_TMAP1OUT)-(0))+IF(((c_TMAP1OUT)-(0))&gt;=0,1,-1)*QUOTIENT(((c_TMAP1IN)-(c_TFWD)),2))+2147483648,4294967296)-2147483648,((c_TMAP1IN)-(c_TFWD))*(((A980)-(c_TFWD))*((c_TMAP1OUT)-(0))+IF(((c_TMAP1OUT)-(0))&gt;=0,1,-1)*QUOTIENT(((c_TMAP1IN)-(c_TFWD)),2)))&gt;=0,1,0)))</f>
        <v>751</v>
      </c>
      <c r="E980" s="7" t="n">
        <f aca="false">IF(((c_TMAP2IN)-(c_TMAP1IN))=0,(c_TMAP1OUT)+QUOTIENT(((c_TMAP2OUT)-(c_TMAP1OUT)),2),QUOTIENT((((A980)-(c_TMAP1IN))*((c_TMAP2OUT)-(c_TMAP1OUT))+IF(((c_TMAP2OUT)-(c_TMAP1OUT))&gt;=0,1,-1)*QUOTIENT(((c_TMAP2IN)-(c_TMAP1IN)),2)),((c_TMAP2IN)-(c_TMAP1IN)))+(c_TMAP1OUT)+IF(((c_TMAP2OUT)-(c_TMAP1OUT))&gt;=0,IF(IF(o_WRAP=1,MOD(((c_TMAP2IN)-(c_TMAP1IN))*(((A980)-(c_TMAP1IN))*((c_TMAP2OUT)-(c_TMAP1OUT))+IF(((c_TMAP2OUT)-(c_TMAP1OUT))&gt;=0,1,-1)*QUOTIENT(((c_TMAP2IN)-(c_TMAP1IN)),2))+2147483648,4294967296)-2147483648,((c_TMAP2IN)-(c_TMAP1IN))*(((A980)-(c_TMAP1IN))*((c_TMAP2OUT)-(c_TMAP1OUT))+IF(((c_TMAP2OUT)-(c_TMAP1OUT))&gt;=0,1,-1)*QUOTIENT(((c_TMAP2IN)-(c_TMAP1IN)),2)))&lt;0,-1,0),IF(IF(o_WRAP=1,MOD(((c_TMAP2IN)-(c_TMAP1IN))*(((A980)-(c_TMAP1IN))*((c_TMAP2OUT)-(c_TMAP1OUT))+IF(((c_TMAP2OUT)-(c_TMAP1OUT))&gt;=0,1,-1)*QUOTIENT(((c_TMAP2IN)-(c_TMAP1IN)),2))+2147483648,4294967296)-2147483648,((c_TMAP2IN)-(c_TMAP1IN))*(((A980)-(c_TMAP1IN))*((c_TMAP2OUT)-(c_TMAP1OUT))+IF(((c_TMAP2OUT)-(c_TMAP1OUT))&gt;=0,1,-1)*QUOTIENT(((c_TMAP2IN)-(c_TMAP1IN)),2)))&gt;=0,1,0)))</f>
        <v>420</v>
      </c>
      <c r="F980" s="7" t="n">
        <f aca="false">IF(((c_TMAP3IN)-(c_TMAP2IN))=0,(c_TMAP2OUT)+QUOTIENT(((c_TMAP3OUT)-(c_TMAP2OUT)),2),QUOTIENT((((A980)-(c_TMAP2IN))*((c_TMAP3OUT)-(c_TMAP2OUT))+IF(((c_TMAP3OUT)-(c_TMAP2OUT))&gt;=0,1,-1)*QUOTIENT(((c_TMAP3IN)-(c_TMAP2IN)),2)),((c_TMAP3IN)-(c_TMAP2IN)))+(c_TMAP2OUT)+IF(((c_TMAP3OUT)-(c_TMAP2OUT))&gt;=0,IF(IF(o_WRAP=1,MOD(((c_TMAP3IN)-(c_TMAP2IN))*(((A980)-(c_TMAP2IN))*((c_TMAP3OUT)-(c_TMAP2OUT))+IF(((c_TMAP3OUT)-(c_TMAP2OUT))&gt;=0,1,-1)*QUOTIENT(((c_TMAP3IN)-(c_TMAP2IN)),2))+2147483648,4294967296)-2147483648,((c_TMAP3IN)-(c_TMAP2IN))*(((A980)-(c_TMAP2IN))*((c_TMAP3OUT)-(c_TMAP2OUT))+IF(((c_TMAP3OUT)-(c_TMAP2OUT))&gt;=0,1,-1)*QUOTIENT(((c_TMAP3IN)-(c_TMAP2IN)),2)))&lt;0,-1,0),IF(IF(o_WRAP=1,MOD(((c_TMAP3IN)-(c_TMAP2IN))*(((A980)-(c_TMAP2IN))*((c_TMAP3OUT)-(c_TMAP2OUT))+IF(((c_TMAP3OUT)-(c_TMAP2OUT))&gt;=0,1,-1)*QUOTIENT(((c_TMAP3IN)-(c_TMAP2IN)),2))+2147483648,4294967296)-2147483648,((c_TMAP3IN)-(c_TMAP2IN))*(((A980)-(c_TMAP2IN))*((c_TMAP3OUT)-(c_TMAP2OUT))+IF(((c_TMAP3OUT)-(c_TMAP2OUT))&gt;=0,1,-1)*QUOTIENT(((c_TMAP3IN)-(c_TMAP2IN)),2)))&gt;=0,1,0)))</f>
        <v>638</v>
      </c>
      <c r="G980" s="7" t="n">
        <f aca="false">IF(((1000)-(c_TMAP3IN))=0,(c_TMAP3OUT)+QUOTIENT(((1000)-(c_TMAP3OUT)),2),QUOTIENT((((A980)-(c_TMAP3IN))*((1000)-(c_TMAP3OUT))+IF(((1000)-(c_TMAP3OUT))&gt;=0,1,-1)*QUOTIENT(((1000)-(c_TMAP3IN)),2)),((1000)-(c_TMAP3IN)))+(c_TMAP3OUT)+IF(((1000)-(c_TMAP3OUT))&gt;=0,IF(IF(o_WRAP=1,MOD(((1000)-(c_TMAP3IN))*(((A980)-(c_TMAP3IN))*((1000)-(c_TMAP3OUT))+IF(((1000)-(c_TMAP3OUT))&gt;=0,1,-1)*QUOTIENT(((1000)-(c_TMAP3IN)),2))+2147483648,4294967296)-2147483648,((1000)-(c_TMAP3IN))*(((A980)-(c_TMAP3IN))*((1000)-(c_TMAP3OUT))+IF(((1000)-(c_TMAP3OUT))&gt;=0,1,-1)*QUOTIENT(((1000)-(c_TMAP3IN)),2)))&lt;0,-1,0),IF(IF(o_WRAP=1,MOD(((1000)-(c_TMAP3IN))*(((A980)-(c_TMAP3IN))*((1000)-(c_TMAP3OUT))+IF(((1000)-(c_TMAP3OUT))&gt;=0,1,-1)*QUOTIENT(((1000)-(c_TMAP3IN)),2))+2147483648,4294967296)-2147483648,((1000)-(c_TMAP3IN))*(((A980)-(c_TMAP3IN))*((1000)-(c_TMAP3OUT))+IF(((1000)-(c_TMAP3OUT))&gt;=0,1,-1)*QUOTIENT(((1000)-(c_TMAP3IN)),2)))&gt;=0,1,0)))</f>
        <v>969</v>
      </c>
      <c r="H980" s="7" t="str">
        <f aca="false">IF(A980&gt;=c_TFWD,IF(AND(A980&gt;=c_TMAP3IN,c_TMAP3IN&lt;1000),"Seg4 map3-100%",IF(AND(A980&gt;=c_TMAP2IN,c_TMAP3IN&gt;c_TMAP2IN),"Seg3 map2-map3",IF(AND(A980&gt;=c_TMAP1IN,c_TMAP2IN&gt;c_TMAP1IN),"Seg2 map1-map2","Seg1 TFWD-map1"))),IF(AND(A980=0,c_TCREEP&gt;0),"Creep",IF(AND(A980&lt;=c_TRNGMIN,A980&gt;=c_TRNGMAX,c_TRNGMIN-c_TRNGMAX&lt;&gt;0),"Regen ramp","Coast (0)")))</f>
        <v>Seg4 map3-100%</v>
      </c>
      <c r="I980" s="7" t="n">
        <f aca="false">IF(A980&gt;=c_TFWD,IF(AND(A980&gt;=c_TMAP3IN,c_TMAP3IN&lt;1000),G980,IF(AND(A980&gt;=c_TMAP2IN,c_TMAP3IN&gt;c_TMAP2IN),F980,IF(AND(A980&gt;=c_TMAP1IN,c_TMAP2IN&gt;c_TMAP1IN),E980,D980))),C980)</f>
        <v>969</v>
      </c>
      <c r="J980" s="7" t="str">
        <f aca="false">IF(I980&lt;-1090,"TOO LOW",IF(I980&gt;1090,"TOO HIGH",""))</f>
        <v/>
      </c>
      <c r="K980" s="15" t="n">
        <f aca="false">IF(J980&lt;&gt;"",0,IF(I980&gt;979,1000,I980))</f>
        <v>969</v>
      </c>
      <c r="L980" s="7" t="n">
        <f aca="false">K980/10</f>
        <v>96.9</v>
      </c>
    </row>
    <row r="981" customFormat="false" ht="15" hidden="false" customHeight="false" outlineLevel="0" collapsed="false">
      <c r="A981" s="7" t="n">
        <v>976</v>
      </c>
      <c r="B981" s="7" t="n">
        <f aca="false">A981/10</f>
        <v>97.6</v>
      </c>
      <c r="C981" s="7" t="n">
        <f aca="false">IF(AND(A981=0,c_TCREEP&gt;0),10*c_TCREEP,IF(AND(A981&lt;=c_TRNGMIN,A981&gt;=c_TRNGMAX,c_TRNGMIN-c_TRNGMAX&lt;&gt;0),-10*c_TMINRN+QUOTIENT((c_TMAXRN-c_TMINRN)*(100-QUOTIENT((A981-c_TRNGMAX)*100,c_TRNGMIN-c_TRNGMAX)),-10),0))</f>
        <v>0</v>
      </c>
      <c r="D981" s="7" t="n">
        <f aca="false">IF(((c_TMAP1IN)-(c_TFWD))=0,(0)+QUOTIENT(((c_TMAP1OUT)-(0)),2),QUOTIENT((((A981)-(c_TFWD))*((c_TMAP1OUT)-(0))+IF(((c_TMAP1OUT)-(0))&gt;=0,1,-1)*QUOTIENT(((c_TMAP1IN)-(c_TFWD)),2)),((c_TMAP1IN)-(c_TFWD)))+(0)+IF(((c_TMAP1OUT)-(0))&gt;=0,IF(IF(o_WRAP=1,MOD(((c_TMAP1IN)-(c_TFWD))*(((A981)-(c_TFWD))*((c_TMAP1OUT)-(0))+IF(((c_TMAP1OUT)-(0))&gt;=0,1,-1)*QUOTIENT(((c_TMAP1IN)-(c_TFWD)),2))+2147483648,4294967296)-2147483648,((c_TMAP1IN)-(c_TFWD))*(((A981)-(c_TFWD))*((c_TMAP1OUT)-(0))+IF(((c_TMAP1OUT)-(0))&gt;=0,1,-1)*QUOTIENT(((c_TMAP1IN)-(c_TFWD)),2)))&lt;0,-1,0),IF(IF(o_WRAP=1,MOD(((c_TMAP1IN)-(c_TFWD))*(((A981)-(c_TFWD))*((c_TMAP1OUT)-(0))+IF(((c_TMAP1OUT)-(0))&gt;=0,1,-1)*QUOTIENT(((c_TMAP1IN)-(c_TFWD)),2))+2147483648,4294967296)-2147483648,((c_TMAP1IN)-(c_TFWD))*(((A981)-(c_TFWD))*((c_TMAP1OUT)-(0))+IF(((c_TMAP1OUT)-(0))&gt;=0,1,-1)*QUOTIENT(((c_TMAP1IN)-(c_TFWD)),2)))&gt;=0,1,0)))</f>
        <v>751</v>
      </c>
      <c r="E981" s="7" t="n">
        <f aca="false">IF(((c_TMAP2IN)-(c_TMAP1IN))=0,(c_TMAP1OUT)+QUOTIENT(((c_TMAP2OUT)-(c_TMAP1OUT)),2),QUOTIENT((((A981)-(c_TMAP1IN))*((c_TMAP2OUT)-(c_TMAP1OUT))+IF(((c_TMAP2OUT)-(c_TMAP1OUT))&gt;=0,1,-1)*QUOTIENT(((c_TMAP2IN)-(c_TMAP1IN)),2)),((c_TMAP2IN)-(c_TMAP1IN)))+(c_TMAP1OUT)+IF(((c_TMAP2OUT)-(c_TMAP1OUT))&gt;=0,IF(IF(o_WRAP=1,MOD(((c_TMAP2IN)-(c_TMAP1IN))*(((A981)-(c_TMAP1IN))*((c_TMAP2OUT)-(c_TMAP1OUT))+IF(((c_TMAP2OUT)-(c_TMAP1OUT))&gt;=0,1,-1)*QUOTIENT(((c_TMAP2IN)-(c_TMAP1IN)),2))+2147483648,4294967296)-2147483648,((c_TMAP2IN)-(c_TMAP1IN))*(((A981)-(c_TMAP1IN))*((c_TMAP2OUT)-(c_TMAP1OUT))+IF(((c_TMAP2OUT)-(c_TMAP1OUT))&gt;=0,1,-1)*QUOTIENT(((c_TMAP2IN)-(c_TMAP1IN)),2)))&lt;0,-1,0),IF(IF(o_WRAP=1,MOD(((c_TMAP2IN)-(c_TMAP1IN))*(((A981)-(c_TMAP1IN))*((c_TMAP2OUT)-(c_TMAP1OUT))+IF(((c_TMAP2OUT)-(c_TMAP1OUT))&gt;=0,1,-1)*QUOTIENT(((c_TMAP2IN)-(c_TMAP1IN)),2))+2147483648,4294967296)-2147483648,((c_TMAP2IN)-(c_TMAP1IN))*(((A981)-(c_TMAP1IN))*((c_TMAP2OUT)-(c_TMAP1OUT))+IF(((c_TMAP2OUT)-(c_TMAP1OUT))&gt;=0,1,-1)*QUOTIENT(((c_TMAP2IN)-(c_TMAP1IN)),2)))&gt;=0,1,0)))</f>
        <v>420</v>
      </c>
      <c r="F981" s="7" t="n">
        <f aca="false">IF(((c_TMAP3IN)-(c_TMAP2IN))=0,(c_TMAP2OUT)+QUOTIENT(((c_TMAP3OUT)-(c_TMAP2OUT)),2),QUOTIENT((((A981)-(c_TMAP2IN))*((c_TMAP3OUT)-(c_TMAP2OUT))+IF(((c_TMAP3OUT)-(c_TMAP2OUT))&gt;=0,1,-1)*QUOTIENT(((c_TMAP3IN)-(c_TMAP2IN)),2)),((c_TMAP3IN)-(c_TMAP2IN)))+(c_TMAP2OUT)+IF(((c_TMAP3OUT)-(c_TMAP2OUT))&gt;=0,IF(IF(o_WRAP=1,MOD(((c_TMAP3IN)-(c_TMAP2IN))*(((A981)-(c_TMAP2IN))*((c_TMAP3OUT)-(c_TMAP2OUT))+IF(((c_TMAP3OUT)-(c_TMAP2OUT))&gt;=0,1,-1)*QUOTIENT(((c_TMAP3IN)-(c_TMAP2IN)),2))+2147483648,4294967296)-2147483648,((c_TMAP3IN)-(c_TMAP2IN))*(((A981)-(c_TMAP2IN))*((c_TMAP3OUT)-(c_TMAP2OUT))+IF(((c_TMAP3OUT)-(c_TMAP2OUT))&gt;=0,1,-1)*QUOTIENT(((c_TMAP3IN)-(c_TMAP2IN)),2)))&lt;0,-1,0),IF(IF(o_WRAP=1,MOD(((c_TMAP3IN)-(c_TMAP2IN))*(((A981)-(c_TMAP2IN))*((c_TMAP3OUT)-(c_TMAP2OUT))+IF(((c_TMAP3OUT)-(c_TMAP2OUT))&gt;=0,1,-1)*QUOTIENT(((c_TMAP3IN)-(c_TMAP2IN)),2))+2147483648,4294967296)-2147483648,((c_TMAP3IN)-(c_TMAP2IN))*(((A981)-(c_TMAP2IN))*((c_TMAP3OUT)-(c_TMAP2OUT))+IF(((c_TMAP3OUT)-(c_TMAP2OUT))&gt;=0,1,-1)*QUOTIENT(((c_TMAP3IN)-(c_TMAP2IN)),2)))&gt;=0,1,0)))</f>
        <v>638</v>
      </c>
      <c r="G981" s="7" t="n">
        <f aca="false">IF(((1000)-(c_TMAP3IN))=0,(c_TMAP3OUT)+QUOTIENT(((1000)-(c_TMAP3OUT)),2),QUOTIENT((((A981)-(c_TMAP3IN))*((1000)-(c_TMAP3OUT))+IF(((1000)-(c_TMAP3OUT))&gt;=0,1,-1)*QUOTIENT(((1000)-(c_TMAP3IN)),2)),((1000)-(c_TMAP3IN)))+(c_TMAP3OUT)+IF(((1000)-(c_TMAP3OUT))&gt;=0,IF(IF(o_WRAP=1,MOD(((1000)-(c_TMAP3IN))*(((A981)-(c_TMAP3IN))*((1000)-(c_TMAP3OUT))+IF(((1000)-(c_TMAP3OUT))&gt;=0,1,-1)*QUOTIENT(((1000)-(c_TMAP3IN)),2))+2147483648,4294967296)-2147483648,((1000)-(c_TMAP3IN))*(((A981)-(c_TMAP3IN))*((1000)-(c_TMAP3OUT))+IF(((1000)-(c_TMAP3OUT))&gt;=0,1,-1)*QUOTIENT(((1000)-(c_TMAP3IN)),2)))&lt;0,-1,0),IF(IF(o_WRAP=1,MOD(((1000)-(c_TMAP3IN))*(((A981)-(c_TMAP3IN))*((1000)-(c_TMAP3OUT))+IF(((1000)-(c_TMAP3OUT))&gt;=0,1,-1)*QUOTIENT(((1000)-(c_TMAP3IN)),2))+2147483648,4294967296)-2147483648,((1000)-(c_TMAP3IN))*(((A981)-(c_TMAP3IN))*((1000)-(c_TMAP3OUT))+IF(((1000)-(c_TMAP3OUT))&gt;=0,1,-1)*QUOTIENT(((1000)-(c_TMAP3IN)),2)))&gt;=0,1,0)))</f>
        <v>970</v>
      </c>
      <c r="H981" s="7" t="str">
        <f aca="false">IF(A981&gt;=c_TFWD,IF(AND(A981&gt;=c_TMAP3IN,c_TMAP3IN&lt;1000),"Seg4 map3-100%",IF(AND(A981&gt;=c_TMAP2IN,c_TMAP3IN&gt;c_TMAP2IN),"Seg3 map2-map3",IF(AND(A981&gt;=c_TMAP1IN,c_TMAP2IN&gt;c_TMAP1IN),"Seg2 map1-map2","Seg1 TFWD-map1"))),IF(AND(A981=0,c_TCREEP&gt;0),"Creep",IF(AND(A981&lt;=c_TRNGMIN,A981&gt;=c_TRNGMAX,c_TRNGMIN-c_TRNGMAX&lt;&gt;0),"Regen ramp","Coast (0)")))</f>
        <v>Seg4 map3-100%</v>
      </c>
      <c r="I981" s="7" t="n">
        <f aca="false">IF(A981&gt;=c_TFWD,IF(AND(A981&gt;=c_TMAP3IN,c_TMAP3IN&lt;1000),G981,IF(AND(A981&gt;=c_TMAP2IN,c_TMAP3IN&gt;c_TMAP2IN),F981,IF(AND(A981&gt;=c_TMAP1IN,c_TMAP2IN&gt;c_TMAP1IN),E981,D981))),C981)</f>
        <v>970</v>
      </c>
      <c r="J981" s="7" t="str">
        <f aca="false">IF(I981&lt;-1090,"TOO LOW",IF(I981&gt;1090,"TOO HIGH",""))</f>
        <v/>
      </c>
      <c r="K981" s="15" t="n">
        <f aca="false">IF(J981&lt;&gt;"",0,IF(I981&gt;979,1000,I981))</f>
        <v>970</v>
      </c>
      <c r="L981" s="7" t="n">
        <f aca="false">K981/10</f>
        <v>97</v>
      </c>
    </row>
    <row r="982" customFormat="false" ht="15" hidden="false" customHeight="false" outlineLevel="0" collapsed="false">
      <c r="A982" s="7" t="n">
        <v>977</v>
      </c>
      <c r="B982" s="7" t="n">
        <f aca="false">A982/10</f>
        <v>97.7</v>
      </c>
      <c r="C982" s="7" t="n">
        <f aca="false">IF(AND(A982=0,c_TCREEP&gt;0),10*c_TCREEP,IF(AND(A982&lt;=c_TRNGMIN,A982&gt;=c_TRNGMAX,c_TRNGMIN-c_TRNGMAX&lt;&gt;0),-10*c_TMINRN+QUOTIENT((c_TMAXRN-c_TMINRN)*(100-QUOTIENT((A982-c_TRNGMAX)*100,c_TRNGMIN-c_TRNGMAX)),-10),0))</f>
        <v>0</v>
      </c>
      <c r="D982" s="7" t="n">
        <f aca="false">IF(((c_TMAP1IN)-(c_TFWD))=0,(0)+QUOTIENT(((c_TMAP1OUT)-(0)),2),QUOTIENT((((A982)-(c_TFWD))*((c_TMAP1OUT)-(0))+IF(((c_TMAP1OUT)-(0))&gt;=0,1,-1)*QUOTIENT(((c_TMAP1IN)-(c_TFWD)),2)),((c_TMAP1IN)-(c_TFWD)))+(0)+IF(((c_TMAP1OUT)-(0))&gt;=0,IF(IF(o_WRAP=1,MOD(((c_TMAP1IN)-(c_TFWD))*(((A982)-(c_TFWD))*((c_TMAP1OUT)-(0))+IF(((c_TMAP1OUT)-(0))&gt;=0,1,-1)*QUOTIENT(((c_TMAP1IN)-(c_TFWD)),2))+2147483648,4294967296)-2147483648,((c_TMAP1IN)-(c_TFWD))*(((A982)-(c_TFWD))*((c_TMAP1OUT)-(0))+IF(((c_TMAP1OUT)-(0))&gt;=0,1,-1)*QUOTIENT(((c_TMAP1IN)-(c_TFWD)),2)))&lt;0,-1,0),IF(IF(o_WRAP=1,MOD(((c_TMAP1IN)-(c_TFWD))*(((A982)-(c_TFWD))*((c_TMAP1OUT)-(0))+IF(((c_TMAP1OUT)-(0))&gt;=0,1,-1)*QUOTIENT(((c_TMAP1IN)-(c_TFWD)),2))+2147483648,4294967296)-2147483648,((c_TMAP1IN)-(c_TFWD))*(((A982)-(c_TFWD))*((c_TMAP1OUT)-(0))+IF(((c_TMAP1OUT)-(0))&gt;=0,1,-1)*QUOTIENT(((c_TMAP1IN)-(c_TFWD)),2)))&gt;=0,1,0)))</f>
        <v>752</v>
      </c>
      <c r="E982" s="7" t="n">
        <f aca="false">IF(((c_TMAP2IN)-(c_TMAP1IN))=0,(c_TMAP1OUT)+QUOTIENT(((c_TMAP2OUT)-(c_TMAP1OUT)),2),QUOTIENT((((A982)-(c_TMAP1IN))*((c_TMAP2OUT)-(c_TMAP1OUT))+IF(((c_TMAP2OUT)-(c_TMAP1OUT))&gt;=0,1,-1)*QUOTIENT(((c_TMAP2IN)-(c_TMAP1IN)),2)),((c_TMAP2IN)-(c_TMAP1IN)))+(c_TMAP1OUT)+IF(((c_TMAP2OUT)-(c_TMAP1OUT))&gt;=0,IF(IF(o_WRAP=1,MOD(((c_TMAP2IN)-(c_TMAP1IN))*(((A982)-(c_TMAP1IN))*((c_TMAP2OUT)-(c_TMAP1OUT))+IF(((c_TMAP2OUT)-(c_TMAP1OUT))&gt;=0,1,-1)*QUOTIENT(((c_TMAP2IN)-(c_TMAP1IN)),2))+2147483648,4294967296)-2147483648,((c_TMAP2IN)-(c_TMAP1IN))*(((A982)-(c_TMAP1IN))*((c_TMAP2OUT)-(c_TMAP1OUT))+IF(((c_TMAP2OUT)-(c_TMAP1OUT))&gt;=0,1,-1)*QUOTIENT(((c_TMAP2IN)-(c_TMAP1IN)),2)))&lt;0,-1,0),IF(IF(o_WRAP=1,MOD(((c_TMAP2IN)-(c_TMAP1IN))*(((A982)-(c_TMAP1IN))*((c_TMAP2OUT)-(c_TMAP1OUT))+IF(((c_TMAP2OUT)-(c_TMAP1OUT))&gt;=0,1,-1)*QUOTIENT(((c_TMAP2IN)-(c_TMAP1IN)),2))+2147483648,4294967296)-2147483648,((c_TMAP2IN)-(c_TMAP1IN))*(((A982)-(c_TMAP1IN))*((c_TMAP2OUT)-(c_TMAP1OUT))+IF(((c_TMAP2OUT)-(c_TMAP1OUT))&gt;=0,1,-1)*QUOTIENT(((c_TMAP2IN)-(c_TMAP1IN)),2)))&gt;=0,1,0)))</f>
        <v>421</v>
      </c>
      <c r="F982" s="7" t="n">
        <f aca="false">IF(((c_TMAP3IN)-(c_TMAP2IN))=0,(c_TMAP2OUT)+QUOTIENT(((c_TMAP3OUT)-(c_TMAP2OUT)),2),QUOTIENT((((A982)-(c_TMAP2IN))*((c_TMAP3OUT)-(c_TMAP2OUT))+IF(((c_TMAP3OUT)-(c_TMAP2OUT))&gt;=0,1,-1)*QUOTIENT(((c_TMAP3IN)-(c_TMAP2IN)),2)),((c_TMAP3IN)-(c_TMAP2IN)))+(c_TMAP2OUT)+IF(((c_TMAP3OUT)-(c_TMAP2OUT))&gt;=0,IF(IF(o_WRAP=1,MOD(((c_TMAP3IN)-(c_TMAP2IN))*(((A982)-(c_TMAP2IN))*((c_TMAP3OUT)-(c_TMAP2OUT))+IF(((c_TMAP3OUT)-(c_TMAP2OUT))&gt;=0,1,-1)*QUOTIENT(((c_TMAP3IN)-(c_TMAP2IN)),2))+2147483648,4294967296)-2147483648,((c_TMAP3IN)-(c_TMAP2IN))*(((A982)-(c_TMAP2IN))*((c_TMAP3OUT)-(c_TMAP2OUT))+IF(((c_TMAP3OUT)-(c_TMAP2OUT))&gt;=0,1,-1)*QUOTIENT(((c_TMAP3IN)-(c_TMAP2IN)),2)))&lt;0,-1,0),IF(IF(o_WRAP=1,MOD(((c_TMAP3IN)-(c_TMAP2IN))*(((A982)-(c_TMAP2IN))*((c_TMAP3OUT)-(c_TMAP2OUT))+IF(((c_TMAP3OUT)-(c_TMAP2OUT))&gt;=0,1,-1)*QUOTIENT(((c_TMAP3IN)-(c_TMAP2IN)),2))+2147483648,4294967296)-2147483648,((c_TMAP3IN)-(c_TMAP2IN))*(((A982)-(c_TMAP2IN))*((c_TMAP3OUT)-(c_TMAP2OUT))+IF(((c_TMAP3OUT)-(c_TMAP2OUT))&gt;=0,1,-1)*QUOTIENT(((c_TMAP3IN)-(c_TMAP2IN)),2)))&gt;=0,1,0)))</f>
        <v>639</v>
      </c>
      <c r="G982" s="7" t="n">
        <f aca="false">IF(((1000)-(c_TMAP3IN))=0,(c_TMAP3OUT)+QUOTIENT(((1000)-(c_TMAP3OUT)),2),QUOTIENT((((A982)-(c_TMAP3IN))*((1000)-(c_TMAP3OUT))+IF(((1000)-(c_TMAP3OUT))&gt;=0,1,-1)*QUOTIENT(((1000)-(c_TMAP3IN)),2)),((1000)-(c_TMAP3IN)))+(c_TMAP3OUT)+IF(((1000)-(c_TMAP3OUT))&gt;=0,IF(IF(o_WRAP=1,MOD(((1000)-(c_TMAP3IN))*(((A982)-(c_TMAP3IN))*((1000)-(c_TMAP3OUT))+IF(((1000)-(c_TMAP3OUT))&gt;=0,1,-1)*QUOTIENT(((1000)-(c_TMAP3IN)),2))+2147483648,4294967296)-2147483648,((1000)-(c_TMAP3IN))*(((A982)-(c_TMAP3IN))*((1000)-(c_TMAP3OUT))+IF(((1000)-(c_TMAP3OUT))&gt;=0,1,-1)*QUOTIENT(((1000)-(c_TMAP3IN)),2)))&lt;0,-1,0),IF(IF(o_WRAP=1,MOD(((1000)-(c_TMAP3IN))*(((A982)-(c_TMAP3IN))*((1000)-(c_TMAP3OUT))+IF(((1000)-(c_TMAP3OUT))&gt;=0,1,-1)*QUOTIENT(((1000)-(c_TMAP3IN)),2))+2147483648,4294967296)-2147483648,((1000)-(c_TMAP3IN))*(((A982)-(c_TMAP3IN))*((1000)-(c_TMAP3OUT))+IF(((1000)-(c_TMAP3OUT))&gt;=0,1,-1)*QUOTIENT(((1000)-(c_TMAP3IN)),2)))&gt;=0,1,0)))</f>
        <v>972</v>
      </c>
      <c r="H982" s="7" t="str">
        <f aca="false">IF(A982&gt;=c_TFWD,IF(AND(A982&gt;=c_TMAP3IN,c_TMAP3IN&lt;1000),"Seg4 map3-100%",IF(AND(A982&gt;=c_TMAP2IN,c_TMAP3IN&gt;c_TMAP2IN),"Seg3 map2-map3",IF(AND(A982&gt;=c_TMAP1IN,c_TMAP2IN&gt;c_TMAP1IN),"Seg2 map1-map2","Seg1 TFWD-map1"))),IF(AND(A982=0,c_TCREEP&gt;0),"Creep",IF(AND(A982&lt;=c_TRNGMIN,A982&gt;=c_TRNGMAX,c_TRNGMIN-c_TRNGMAX&lt;&gt;0),"Regen ramp","Coast (0)")))</f>
        <v>Seg4 map3-100%</v>
      </c>
      <c r="I982" s="7" t="n">
        <f aca="false">IF(A982&gt;=c_TFWD,IF(AND(A982&gt;=c_TMAP3IN,c_TMAP3IN&lt;1000),G982,IF(AND(A982&gt;=c_TMAP2IN,c_TMAP3IN&gt;c_TMAP2IN),F982,IF(AND(A982&gt;=c_TMAP1IN,c_TMAP2IN&gt;c_TMAP1IN),E982,D982))),C982)</f>
        <v>972</v>
      </c>
      <c r="J982" s="7" t="str">
        <f aca="false">IF(I982&lt;-1090,"TOO LOW",IF(I982&gt;1090,"TOO HIGH",""))</f>
        <v/>
      </c>
      <c r="K982" s="15" t="n">
        <f aca="false">IF(J982&lt;&gt;"",0,IF(I982&gt;979,1000,I982))</f>
        <v>972</v>
      </c>
      <c r="L982" s="7" t="n">
        <f aca="false">K982/10</f>
        <v>97.2</v>
      </c>
    </row>
    <row r="983" customFormat="false" ht="15" hidden="false" customHeight="false" outlineLevel="0" collapsed="false">
      <c r="A983" s="7" t="n">
        <v>978</v>
      </c>
      <c r="B983" s="7" t="n">
        <f aca="false">A983/10</f>
        <v>97.8</v>
      </c>
      <c r="C983" s="7" t="n">
        <f aca="false">IF(AND(A983=0,c_TCREEP&gt;0),10*c_TCREEP,IF(AND(A983&lt;=c_TRNGMIN,A983&gt;=c_TRNGMAX,c_TRNGMIN-c_TRNGMAX&lt;&gt;0),-10*c_TMINRN+QUOTIENT((c_TMAXRN-c_TMINRN)*(100-QUOTIENT((A983-c_TRNGMAX)*100,c_TRNGMIN-c_TRNGMAX)),-10),0))</f>
        <v>0</v>
      </c>
      <c r="D983" s="7" t="n">
        <f aca="false">IF(((c_TMAP1IN)-(c_TFWD))=0,(0)+QUOTIENT(((c_TMAP1OUT)-(0)),2),QUOTIENT((((A983)-(c_TFWD))*((c_TMAP1OUT)-(0))+IF(((c_TMAP1OUT)-(0))&gt;=0,1,-1)*QUOTIENT(((c_TMAP1IN)-(c_TFWD)),2)),((c_TMAP1IN)-(c_TFWD)))+(0)+IF(((c_TMAP1OUT)-(0))&gt;=0,IF(IF(o_WRAP=1,MOD(((c_TMAP1IN)-(c_TFWD))*(((A983)-(c_TFWD))*((c_TMAP1OUT)-(0))+IF(((c_TMAP1OUT)-(0))&gt;=0,1,-1)*QUOTIENT(((c_TMAP1IN)-(c_TFWD)),2))+2147483648,4294967296)-2147483648,((c_TMAP1IN)-(c_TFWD))*(((A983)-(c_TFWD))*((c_TMAP1OUT)-(0))+IF(((c_TMAP1OUT)-(0))&gt;=0,1,-1)*QUOTIENT(((c_TMAP1IN)-(c_TFWD)),2)))&lt;0,-1,0),IF(IF(o_WRAP=1,MOD(((c_TMAP1IN)-(c_TFWD))*(((A983)-(c_TFWD))*((c_TMAP1OUT)-(0))+IF(((c_TMAP1OUT)-(0))&gt;=0,1,-1)*QUOTIENT(((c_TMAP1IN)-(c_TFWD)),2))+2147483648,4294967296)-2147483648,((c_TMAP1IN)-(c_TFWD))*(((A983)-(c_TFWD))*((c_TMAP1OUT)-(0))+IF(((c_TMAP1OUT)-(0))&gt;=0,1,-1)*QUOTIENT(((c_TMAP1IN)-(c_TFWD)),2)))&gt;=0,1,0)))</f>
        <v>753</v>
      </c>
      <c r="E983" s="7" t="n">
        <f aca="false">IF(((c_TMAP2IN)-(c_TMAP1IN))=0,(c_TMAP1OUT)+QUOTIENT(((c_TMAP2OUT)-(c_TMAP1OUT)),2),QUOTIENT((((A983)-(c_TMAP1IN))*((c_TMAP2OUT)-(c_TMAP1OUT))+IF(((c_TMAP2OUT)-(c_TMAP1OUT))&gt;=0,1,-1)*QUOTIENT(((c_TMAP2IN)-(c_TMAP1IN)),2)),((c_TMAP2IN)-(c_TMAP1IN)))+(c_TMAP1OUT)+IF(((c_TMAP2OUT)-(c_TMAP1OUT))&gt;=0,IF(IF(o_WRAP=1,MOD(((c_TMAP2IN)-(c_TMAP1IN))*(((A983)-(c_TMAP1IN))*((c_TMAP2OUT)-(c_TMAP1OUT))+IF(((c_TMAP2OUT)-(c_TMAP1OUT))&gt;=0,1,-1)*QUOTIENT(((c_TMAP2IN)-(c_TMAP1IN)),2))+2147483648,4294967296)-2147483648,((c_TMAP2IN)-(c_TMAP1IN))*(((A983)-(c_TMAP1IN))*((c_TMAP2OUT)-(c_TMAP1OUT))+IF(((c_TMAP2OUT)-(c_TMAP1OUT))&gt;=0,1,-1)*QUOTIENT(((c_TMAP2IN)-(c_TMAP1IN)),2)))&lt;0,-1,0),IF(IF(o_WRAP=1,MOD(((c_TMAP2IN)-(c_TMAP1IN))*(((A983)-(c_TMAP1IN))*((c_TMAP2OUT)-(c_TMAP1OUT))+IF(((c_TMAP2OUT)-(c_TMAP1OUT))&gt;=0,1,-1)*QUOTIENT(((c_TMAP2IN)-(c_TMAP1IN)),2))+2147483648,4294967296)-2147483648,((c_TMAP2IN)-(c_TMAP1IN))*(((A983)-(c_TMAP1IN))*((c_TMAP2OUT)-(c_TMAP1OUT))+IF(((c_TMAP2OUT)-(c_TMAP1OUT))&gt;=0,1,-1)*QUOTIENT(((c_TMAP2IN)-(c_TMAP1IN)),2)))&gt;=0,1,0)))</f>
        <v>421</v>
      </c>
      <c r="F983" s="7" t="n">
        <f aca="false">IF(((c_TMAP3IN)-(c_TMAP2IN))=0,(c_TMAP2OUT)+QUOTIENT(((c_TMAP3OUT)-(c_TMAP2OUT)),2),QUOTIENT((((A983)-(c_TMAP2IN))*((c_TMAP3OUT)-(c_TMAP2OUT))+IF(((c_TMAP3OUT)-(c_TMAP2OUT))&gt;=0,1,-1)*QUOTIENT(((c_TMAP3IN)-(c_TMAP2IN)),2)),((c_TMAP3IN)-(c_TMAP2IN)))+(c_TMAP2OUT)+IF(((c_TMAP3OUT)-(c_TMAP2OUT))&gt;=0,IF(IF(o_WRAP=1,MOD(((c_TMAP3IN)-(c_TMAP2IN))*(((A983)-(c_TMAP2IN))*((c_TMAP3OUT)-(c_TMAP2OUT))+IF(((c_TMAP3OUT)-(c_TMAP2OUT))&gt;=0,1,-1)*QUOTIENT(((c_TMAP3IN)-(c_TMAP2IN)),2))+2147483648,4294967296)-2147483648,((c_TMAP3IN)-(c_TMAP2IN))*(((A983)-(c_TMAP2IN))*((c_TMAP3OUT)-(c_TMAP2OUT))+IF(((c_TMAP3OUT)-(c_TMAP2OUT))&gt;=0,1,-1)*QUOTIENT(((c_TMAP3IN)-(c_TMAP2IN)),2)))&lt;0,-1,0),IF(IF(o_WRAP=1,MOD(((c_TMAP3IN)-(c_TMAP2IN))*(((A983)-(c_TMAP2IN))*((c_TMAP3OUT)-(c_TMAP2OUT))+IF(((c_TMAP3OUT)-(c_TMAP2OUT))&gt;=0,1,-1)*QUOTIENT(((c_TMAP3IN)-(c_TMAP2IN)),2))+2147483648,4294967296)-2147483648,((c_TMAP3IN)-(c_TMAP2IN))*(((A983)-(c_TMAP2IN))*((c_TMAP3OUT)-(c_TMAP2OUT))+IF(((c_TMAP3OUT)-(c_TMAP2OUT))&gt;=0,1,-1)*QUOTIENT(((c_TMAP3IN)-(c_TMAP2IN)),2)))&gt;=0,1,0)))</f>
        <v>640</v>
      </c>
      <c r="G983" s="7" t="n">
        <f aca="false">IF(((1000)-(c_TMAP3IN))=0,(c_TMAP3OUT)+QUOTIENT(((1000)-(c_TMAP3OUT)),2),QUOTIENT((((A983)-(c_TMAP3IN))*((1000)-(c_TMAP3OUT))+IF(((1000)-(c_TMAP3OUT))&gt;=0,1,-1)*QUOTIENT(((1000)-(c_TMAP3IN)),2)),((1000)-(c_TMAP3IN)))+(c_TMAP3OUT)+IF(((1000)-(c_TMAP3OUT))&gt;=0,IF(IF(o_WRAP=1,MOD(((1000)-(c_TMAP3IN))*(((A983)-(c_TMAP3IN))*((1000)-(c_TMAP3OUT))+IF(((1000)-(c_TMAP3OUT))&gt;=0,1,-1)*QUOTIENT(((1000)-(c_TMAP3IN)),2))+2147483648,4294967296)-2147483648,((1000)-(c_TMAP3IN))*(((A983)-(c_TMAP3IN))*((1000)-(c_TMAP3OUT))+IF(((1000)-(c_TMAP3OUT))&gt;=0,1,-1)*QUOTIENT(((1000)-(c_TMAP3IN)),2)))&lt;0,-1,0),IF(IF(o_WRAP=1,MOD(((1000)-(c_TMAP3IN))*(((A983)-(c_TMAP3IN))*((1000)-(c_TMAP3OUT))+IF(((1000)-(c_TMAP3OUT))&gt;=0,1,-1)*QUOTIENT(((1000)-(c_TMAP3IN)),2))+2147483648,4294967296)-2147483648,((1000)-(c_TMAP3IN))*(((A983)-(c_TMAP3IN))*((1000)-(c_TMAP3OUT))+IF(((1000)-(c_TMAP3OUT))&gt;=0,1,-1)*QUOTIENT(((1000)-(c_TMAP3IN)),2)))&gt;=0,1,0)))</f>
        <v>973</v>
      </c>
      <c r="H983" s="7" t="str">
        <f aca="false">IF(A983&gt;=c_TFWD,IF(AND(A983&gt;=c_TMAP3IN,c_TMAP3IN&lt;1000),"Seg4 map3-100%",IF(AND(A983&gt;=c_TMAP2IN,c_TMAP3IN&gt;c_TMAP2IN),"Seg3 map2-map3",IF(AND(A983&gt;=c_TMAP1IN,c_TMAP2IN&gt;c_TMAP1IN),"Seg2 map1-map2","Seg1 TFWD-map1"))),IF(AND(A983=0,c_TCREEP&gt;0),"Creep",IF(AND(A983&lt;=c_TRNGMIN,A983&gt;=c_TRNGMAX,c_TRNGMIN-c_TRNGMAX&lt;&gt;0),"Regen ramp","Coast (0)")))</f>
        <v>Seg4 map3-100%</v>
      </c>
      <c r="I983" s="7" t="n">
        <f aca="false">IF(A983&gt;=c_TFWD,IF(AND(A983&gt;=c_TMAP3IN,c_TMAP3IN&lt;1000),G983,IF(AND(A983&gt;=c_TMAP2IN,c_TMAP3IN&gt;c_TMAP2IN),F983,IF(AND(A983&gt;=c_TMAP1IN,c_TMAP2IN&gt;c_TMAP1IN),E983,D983))),C983)</f>
        <v>973</v>
      </c>
      <c r="J983" s="7" t="str">
        <f aca="false">IF(I983&lt;-1090,"TOO LOW",IF(I983&gt;1090,"TOO HIGH",""))</f>
        <v/>
      </c>
      <c r="K983" s="15" t="n">
        <f aca="false">IF(J983&lt;&gt;"",0,IF(I983&gt;979,1000,I983))</f>
        <v>973</v>
      </c>
      <c r="L983" s="7" t="n">
        <f aca="false">K983/10</f>
        <v>97.3</v>
      </c>
    </row>
    <row r="984" customFormat="false" ht="15" hidden="false" customHeight="false" outlineLevel="0" collapsed="false">
      <c r="A984" s="7" t="n">
        <v>979</v>
      </c>
      <c r="B984" s="7" t="n">
        <f aca="false">A984/10</f>
        <v>97.9</v>
      </c>
      <c r="C984" s="7" t="n">
        <f aca="false">IF(AND(A984=0,c_TCREEP&gt;0),10*c_TCREEP,IF(AND(A984&lt;=c_TRNGMIN,A984&gt;=c_TRNGMAX,c_TRNGMIN-c_TRNGMAX&lt;&gt;0),-10*c_TMINRN+QUOTIENT((c_TMAXRN-c_TMINRN)*(100-QUOTIENT((A984-c_TRNGMAX)*100,c_TRNGMIN-c_TRNGMAX)),-10),0))</f>
        <v>0</v>
      </c>
      <c r="D984" s="7" t="n">
        <f aca="false">IF(((c_TMAP1IN)-(c_TFWD))=0,(0)+QUOTIENT(((c_TMAP1OUT)-(0)),2),QUOTIENT((((A984)-(c_TFWD))*((c_TMAP1OUT)-(0))+IF(((c_TMAP1OUT)-(0))&gt;=0,1,-1)*QUOTIENT(((c_TMAP1IN)-(c_TFWD)),2)),((c_TMAP1IN)-(c_TFWD)))+(0)+IF(((c_TMAP1OUT)-(0))&gt;=0,IF(IF(o_WRAP=1,MOD(((c_TMAP1IN)-(c_TFWD))*(((A984)-(c_TFWD))*((c_TMAP1OUT)-(0))+IF(((c_TMAP1OUT)-(0))&gt;=0,1,-1)*QUOTIENT(((c_TMAP1IN)-(c_TFWD)),2))+2147483648,4294967296)-2147483648,((c_TMAP1IN)-(c_TFWD))*(((A984)-(c_TFWD))*((c_TMAP1OUT)-(0))+IF(((c_TMAP1OUT)-(0))&gt;=0,1,-1)*QUOTIENT(((c_TMAP1IN)-(c_TFWD)),2)))&lt;0,-1,0),IF(IF(o_WRAP=1,MOD(((c_TMAP1IN)-(c_TFWD))*(((A984)-(c_TFWD))*((c_TMAP1OUT)-(0))+IF(((c_TMAP1OUT)-(0))&gt;=0,1,-1)*QUOTIENT(((c_TMAP1IN)-(c_TFWD)),2))+2147483648,4294967296)-2147483648,((c_TMAP1IN)-(c_TFWD))*(((A984)-(c_TFWD))*((c_TMAP1OUT)-(0))+IF(((c_TMAP1OUT)-(0))&gt;=0,1,-1)*QUOTIENT(((c_TMAP1IN)-(c_TFWD)),2)))&gt;=0,1,0)))</f>
        <v>754</v>
      </c>
      <c r="E984" s="7" t="n">
        <f aca="false">IF(((c_TMAP2IN)-(c_TMAP1IN))=0,(c_TMAP1OUT)+QUOTIENT(((c_TMAP2OUT)-(c_TMAP1OUT)),2),QUOTIENT((((A984)-(c_TMAP1IN))*((c_TMAP2OUT)-(c_TMAP1OUT))+IF(((c_TMAP2OUT)-(c_TMAP1OUT))&gt;=0,1,-1)*QUOTIENT(((c_TMAP2IN)-(c_TMAP1IN)),2)),((c_TMAP2IN)-(c_TMAP1IN)))+(c_TMAP1OUT)+IF(((c_TMAP2OUT)-(c_TMAP1OUT))&gt;=0,IF(IF(o_WRAP=1,MOD(((c_TMAP2IN)-(c_TMAP1IN))*(((A984)-(c_TMAP1IN))*((c_TMAP2OUT)-(c_TMAP1OUT))+IF(((c_TMAP2OUT)-(c_TMAP1OUT))&gt;=0,1,-1)*QUOTIENT(((c_TMAP2IN)-(c_TMAP1IN)),2))+2147483648,4294967296)-2147483648,((c_TMAP2IN)-(c_TMAP1IN))*(((A984)-(c_TMAP1IN))*((c_TMAP2OUT)-(c_TMAP1OUT))+IF(((c_TMAP2OUT)-(c_TMAP1OUT))&gt;=0,1,-1)*QUOTIENT(((c_TMAP2IN)-(c_TMAP1IN)),2)))&lt;0,-1,0),IF(IF(o_WRAP=1,MOD(((c_TMAP2IN)-(c_TMAP1IN))*(((A984)-(c_TMAP1IN))*((c_TMAP2OUT)-(c_TMAP1OUT))+IF(((c_TMAP2OUT)-(c_TMAP1OUT))&gt;=0,1,-1)*QUOTIENT(((c_TMAP2IN)-(c_TMAP1IN)),2))+2147483648,4294967296)-2147483648,((c_TMAP2IN)-(c_TMAP1IN))*(((A984)-(c_TMAP1IN))*((c_TMAP2OUT)-(c_TMAP1OUT))+IF(((c_TMAP2OUT)-(c_TMAP1OUT))&gt;=0,1,-1)*QUOTIENT(((c_TMAP2IN)-(c_TMAP1IN)),2)))&gt;=0,1,0)))</f>
        <v>422</v>
      </c>
      <c r="F984" s="7" t="n">
        <f aca="false">IF(((c_TMAP3IN)-(c_TMAP2IN))=0,(c_TMAP2OUT)+QUOTIENT(((c_TMAP3OUT)-(c_TMAP2OUT)),2),QUOTIENT((((A984)-(c_TMAP2IN))*((c_TMAP3OUT)-(c_TMAP2OUT))+IF(((c_TMAP3OUT)-(c_TMAP2OUT))&gt;=0,1,-1)*QUOTIENT(((c_TMAP3IN)-(c_TMAP2IN)),2)),((c_TMAP3IN)-(c_TMAP2IN)))+(c_TMAP2OUT)+IF(((c_TMAP3OUT)-(c_TMAP2OUT))&gt;=0,IF(IF(o_WRAP=1,MOD(((c_TMAP3IN)-(c_TMAP2IN))*(((A984)-(c_TMAP2IN))*((c_TMAP3OUT)-(c_TMAP2OUT))+IF(((c_TMAP3OUT)-(c_TMAP2OUT))&gt;=0,1,-1)*QUOTIENT(((c_TMAP3IN)-(c_TMAP2IN)),2))+2147483648,4294967296)-2147483648,((c_TMAP3IN)-(c_TMAP2IN))*(((A984)-(c_TMAP2IN))*((c_TMAP3OUT)-(c_TMAP2OUT))+IF(((c_TMAP3OUT)-(c_TMAP2OUT))&gt;=0,1,-1)*QUOTIENT(((c_TMAP3IN)-(c_TMAP2IN)),2)))&lt;0,-1,0),IF(IF(o_WRAP=1,MOD(((c_TMAP3IN)-(c_TMAP2IN))*(((A984)-(c_TMAP2IN))*((c_TMAP3OUT)-(c_TMAP2OUT))+IF(((c_TMAP3OUT)-(c_TMAP2OUT))&gt;=0,1,-1)*QUOTIENT(((c_TMAP3IN)-(c_TMAP2IN)),2))+2147483648,4294967296)-2147483648,((c_TMAP3IN)-(c_TMAP2IN))*(((A984)-(c_TMAP2IN))*((c_TMAP3OUT)-(c_TMAP2OUT))+IF(((c_TMAP3OUT)-(c_TMAP2OUT))&gt;=0,1,-1)*QUOTIENT(((c_TMAP3IN)-(c_TMAP2IN)),2)))&gt;=0,1,0)))</f>
        <v>640</v>
      </c>
      <c r="G984" s="7" t="n">
        <f aca="false">IF(((1000)-(c_TMAP3IN))=0,(c_TMAP3OUT)+QUOTIENT(((1000)-(c_TMAP3OUT)),2),QUOTIENT((((A984)-(c_TMAP3IN))*((1000)-(c_TMAP3OUT))+IF(((1000)-(c_TMAP3OUT))&gt;=0,1,-1)*QUOTIENT(((1000)-(c_TMAP3IN)),2)),((1000)-(c_TMAP3IN)))+(c_TMAP3OUT)+IF(((1000)-(c_TMAP3OUT))&gt;=0,IF(IF(o_WRAP=1,MOD(((1000)-(c_TMAP3IN))*(((A984)-(c_TMAP3IN))*((1000)-(c_TMAP3OUT))+IF(((1000)-(c_TMAP3OUT))&gt;=0,1,-1)*QUOTIENT(((1000)-(c_TMAP3IN)),2))+2147483648,4294967296)-2147483648,((1000)-(c_TMAP3IN))*(((A984)-(c_TMAP3IN))*((1000)-(c_TMAP3OUT))+IF(((1000)-(c_TMAP3OUT))&gt;=0,1,-1)*QUOTIENT(((1000)-(c_TMAP3IN)),2)))&lt;0,-1,0),IF(IF(o_WRAP=1,MOD(((1000)-(c_TMAP3IN))*(((A984)-(c_TMAP3IN))*((1000)-(c_TMAP3OUT))+IF(((1000)-(c_TMAP3OUT))&gt;=0,1,-1)*QUOTIENT(((1000)-(c_TMAP3IN)),2))+2147483648,4294967296)-2147483648,((1000)-(c_TMAP3IN))*(((A984)-(c_TMAP3IN))*((1000)-(c_TMAP3OUT))+IF(((1000)-(c_TMAP3OUT))&gt;=0,1,-1)*QUOTIENT(((1000)-(c_TMAP3IN)),2)))&gt;=0,1,0)))</f>
        <v>974</v>
      </c>
      <c r="H984" s="7" t="str">
        <f aca="false">IF(A984&gt;=c_TFWD,IF(AND(A984&gt;=c_TMAP3IN,c_TMAP3IN&lt;1000),"Seg4 map3-100%",IF(AND(A984&gt;=c_TMAP2IN,c_TMAP3IN&gt;c_TMAP2IN),"Seg3 map2-map3",IF(AND(A984&gt;=c_TMAP1IN,c_TMAP2IN&gt;c_TMAP1IN),"Seg2 map1-map2","Seg1 TFWD-map1"))),IF(AND(A984=0,c_TCREEP&gt;0),"Creep",IF(AND(A984&lt;=c_TRNGMIN,A984&gt;=c_TRNGMAX,c_TRNGMIN-c_TRNGMAX&lt;&gt;0),"Regen ramp","Coast (0)")))</f>
        <v>Seg4 map3-100%</v>
      </c>
      <c r="I984" s="7" t="n">
        <f aca="false">IF(A984&gt;=c_TFWD,IF(AND(A984&gt;=c_TMAP3IN,c_TMAP3IN&lt;1000),G984,IF(AND(A984&gt;=c_TMAP2IN,c_TMAP3IN&gt;c_TMAP2IN),F984,IF(AND(A984&gt;=c_TMAP1IN,c_TMAP2IN&gt;c_TMAP1IN),E984,D984))),C984)</f>
        <v>974</v>
      </c>
      <c r="J984" s="7" t="str">
        <f aca="false">IF(I984&lt;-1090,"TOO LOW",IF(I984&gt;1090,"TOO HIGH",""))</f>
        <v/>
      </c>
      <c r="K984" s="15" t="n">
        <f aca="false">IF(J984&lt;&gt;"",0,IF(I984&gt;979,1000,I984))</f>
        <v>974</v>
      </c>
      <c r="L984" s="7" t="n">
        <f aca="false">K984/10</f>
        <v>97.4</v>
      </c>
    </row>
    <row r="985" customFormat="false" ht="15" hidden="false" customHeight="false" outlineLevel="0" collapsed="false">
      <c r="A985" s="7" t="n">
        <v>980</v>
      </c>
      <c r="B985" s="7" t="n">
        <f aca="false">A985/10</f>
        <v>98</v>
      </c>
      <c r="C985" s="7" t="n">
        <f aca="false">IF(AND(A985=0,c_TCREEP&gt;0),10*c_TCREEP,IF(AND(A985&lt;=c_TRNGMIN,A985&gt;=c_TRNGMAX,c_TRNGMIN-c_TRNGMAX&lt;&gt;0),-10*c_TMINRN+QUOTIENT((c_TMAXRN-c_TMINRN)*(100-QUOTIENT((A985-c_TRNGMAX)*100,c_TRNGMIN-c_TRNGMAX)),-10),0))</f>
        <v>0</v>
      </c>
      <c r="D985" s="7" t="n">
        <f aca="false">IF(((c_TMAP1IN)-(c_TFWD))=0,(0)+QUOTIENT(((c_TMAP1OUT)-(0)),2),QUOTIENT((((A985)-(c_TFWD))*((c_TMAP1OUT)-(0))+IF(((c_TMAP1OUT)-(0))&gt;=0,1,-1)*QUOTIENT(((c_TMAP1IN)-(c_TFWD)),2)),((c_TMAP1IN)-(c_TFWD)))+(0)+IF(((c_TMAP1OUT)-(0))&gt;=0,IF(IF(o_WRAP=1,MOD(((c_TMAP1IN)-(c_TFWD))*(((A985)-(c_TFWD))*((c_TMAP1OUT)-(0))+IF(((c_TMAP1OUT)-(0))&gt;=0,1,-1)*QUOTIENT(((c_TMAP1IN)-(c_TFWD)),2))+2147483648,4294967296)-2147483648,((c_TMAP1IN)-(c_TFWD))*(((A985)-(c_TFWD))*((c_TMAP1OUT)-(0))+IF(((c_TMAP1OUT)-(0))&gt;=0,1,-1)*QUOTIENT(((c_TMAP1IN)-(c_TFWD)),2)))&lt;0,-1,0),IF(IF(o_WRAP=1,MOD(((c_TMAP1IN)-(c_TFWD))*(((A985)-(c_TFWD))*((c_TMAP1OUT)-(0))+IF(((c_TMAP1OUT)-(0))&gt;=0,1,-1)*QUOTIENT(((c_TMAP1IN)-(c_TFWD)),2))+2147483648,4294967296)-2147483648,((c_TMAP1IN)-(c_TFWD))*(((A985)-(c_TFWD))*((c_TMAP1OUT)-(0))+IF(((c_TMAP1OUT)-(0))&gt;=0,1,-1)*QUOTIENT(((c_TMAP1IN)-(c_TFWD)),2)))&gt;=0,1,0)))</f>
        <v>754</v>
      </c>
      <c r="E985" s="7" t="n">
        <f aca="false">IF(((c_TMAP2IN)-(c_TMAP1IN))=0,(c_TMAP1OUT)+QUOTIENT(((c_TMAP2OUT)-(c_TMAP1OUT)),2),QUOTIENT((((A985)-(c_TMAP1IN))*((c_TMAP2OUT)-(c_TMAP1OUT))+IF(((c_TMAP2OUT)-(c_TMAP1OUT))&gt;=0,1,-1)*QUOTIENT(((c_TMAP2IN)-(c_TMAP1IN)),2)),((c_TMAP2IN)-(c_TMAP1IN)))+(c_TMAP1OUT)+IF(((c_TMAP2OUT)-(c_TMAP1OUT))&gt;=0,IF(IF(o_WRAP=1,MOD(((c_TMAP2IN)-(c_TMAP1IN))*(((A985)-(c_TMAP1IN))*((c_TMAP2OUT)-(c_TMAP1OUT))+IF(((c_TMAP2OUT)-(c_TMAP1OUT))&gt;=0,1,-1)*QUOTIENT(((c_TMAP2IN)-(c_TMAP1IN)),2))+2147483648,4294967296)-2147483648,((c_TMAP2IN)-(c_TMAP1IN))*(((A985)-(c_TMAP1IN))*((c_TMAP2OUT)-(c_TMAP1OUT))+IF(((c_TMAP2OUT)-(c_TMAP1OUT))&gt;=0,1,-1)*QUOTIENT(((c_TMAP2IN)-(c_TMAP1IN)),2)))&lt;0,-1,0),IF(IF(o_WRAP=1,MOD(((c_TMAP2IN)-(c_TMAP1IN))*(((A985)-(c_TMAP1IN))*((c_TMAP2OUT)-(c_TMAP1OUT))+IF(((c_TMAP2OUT)-(c_TMAP1OUT))&gt;=0,1,-1)*QUOTIENT(((c_TMAP2IN)-(c_TMAP1IN)),2))+2147483648,4294967296)-2147483648,((c_TMAP2IN)-(c_TMAP1IN))*(((A985)-(c_TMAP1IN))*((c_TMAP2OUT)-(c_TMAP1OUT))+IF(((c_TMAP2OUT)-(c_TMAP1OUT))&gt;=0,1,-1)*QUOTIENT(((c_TMAP2IN)-(c_TMAP1IN)),2)))&gt;=0,1,0)))</f>
        <v>422</v>
      </c>
      <c r="F985" s="7" t="n">
        <f aca="false">IF(((c_TMAP3IN)-(c_TMAP2IN))=0,(c_TMAP2OUT)+QUOTIENT(((c_TMAP3OUT)-(c_TMAP2OUT)),2),QUOTIENT((((A985)-(c_TMAP2IN))*((c_TMAP3OUT)-(c_TMAP2OUT))+IF(((c_TMAP3OUT)-(c_TMAP2OUT))&gt;=0,1,-1)*QUOTIENT(((c_TMAP3IN)-(c_TMAP2IN)),2)),((c_TMAP3IN)-(c_TMAP2IN)))+(c_TMAP2OUT)+IF(((c_TMAP3OUT)-(c_TMAP2OUT))&gt;=0,IF(IF(o_WRAP=1,MOD(((c_TMAP3IN)-(c_TMAP2IN))*(((A985)-(c_TMAP2IN))*((c_TMAP3OUT)-(c_TMAP2OUT))+IF(((c_TMAP3OUT)-(c_TMAP2OUT))&gt;=0,1,-1)*QUOTIENT(((c_TMAP3IN)-(c_TMAP2IN)),2))+2147483648,4294967296)-2147483648,((c_TMAP3IN)-(c_TMAP2IN))*(((A985)-(c_TMAP2IN))*((c_TMAP3OUT)-(c_TMAP2OUT))+IF(((c_TMAP3OUT)-(c_TMAP2OUT))&gt;=0,1,-1)*QUOTIENT(((c_TMAP3IN)-(c_TMAP2IN)),2)))&lt;0,-1,0),IF(IF(o_WRAP=1,MOD(((c_TMAP3IN)-(c_TMAP2IN))*(((A985)-(c_TMAP2IN))*((c_TMAP3OUT)-(c_TMAP2OUT))+IF(((c_TMAP3OUT)-(c_TMAP2OUT))&gt;=0,1,-1)*QUOTIENT(((c_TMAP3IN)-(c_TMAP2IN)),2))+2147483648,4294967296)-2147483648,((c_TMAP3IN)-(c_TMAP2IN))*(((A985)-(c_TMAP2IN))*((c_TMAP3OUT)-(c_TMAP2OUT))+IF(((c_TMAP3OUT)-(c_TMAP2OUT))&gt;=0,1,-1)*QUOTIENT(((c_TMAP3IN)-(c_TMAP2IN)),2)))&gt;=0,1,0)))</f>
        <v>641</v>
      </c>
      <c r="G985" s="7" t="n">
        <f aca="false">IF(((1000)-(c_TMAP3IN))=0,(c_TMAP3OUT)+QUOTIENT(((1000)-(c_TMAP3OUT)),2),QUOTIENT((((A985)-(c_TMAP3IN))*((1000)-(c_TMAP3OUT))+IF(((1000)-(c_TMAP3OUT))&gt;=0,1,-1)*QUOTIENT(((1000)-(c_TMAP3IN)),2)),((1000)-(c_TMAP3IN)))+(c_TMAP3OUT)+IF(((1000)-(c_TMAP3OUT))&gt;=0,IF(IF(o_WRAP=1,MOD(((1000)-(c_TMAP3IN))*(((A985)-(c_TMAP3IN))*((1000)-(c_TMAP3OUT))+IF(((1000)-(c_TMAP3OUT))&gt;=0,1,-1)*QUOTIENT(((1000)-(c_TMAP3IN)),2))+2147483648,4294967296)-2147483648,((1000)-(c_TMAP3IN))*(((A985)-(c_TMAP3IN))*((1000)-(c_TMAP3OUT))+IF(((1000)-(c_TMAP3OUT))&gt;=0,1,-1)*QUOTIENT(((1000)-(c_TMAP3IN)),2)))&lt;0,-1,0),IF(IF(o_WRAP=1,MOD(((1000)-(c_TMAP3IN))*(((A985)-(c_TMAP3IN))*((1000)-(c_TMAP3OUT))+IF(((1000)-(c_TMAP3OUT))&gt;=0,1,-1)*QUOTIENT(((1000)-(c_TMAP3IN)),2))+2147483648,4294967296)-2147483648,((1000)-(c_TMAP3IN))*(((A985)-(c_TMAP3IN))*((1000)-(c_TMAP3OUT))+IF(((1000)-(c_TMAP3OUT))&gt;=0,1,-1)*QUOTIENT(((1000)-(c_TMAP3IN)),2)))&gt;=0,1,0)))</f>
        <v>975</v>
      </c>
      <c r="H985" s="7" t="str">
        <f aca="false">IF(A985&gt;=c_TFWD,IF(AND(A985&gt;=c_TMAP3IN,c_TMAP3IN&lt;1000),"Seg4 map3-100%",IF(AND(A985&gt;=c_TMAP2IN,c_TMAP3IN&gt;c_TMAP2IN),"Seg3 map2-map3",IF(AND(A985&gt;=c_TMAP1IN,c_TMAP2IN&gt;c_TMAP1IN),"Seg2 map1-map2","Seg1 TFWD-map1"))),IF(AND(A985=0,c_TCREEP&gt;0),"Creep",IF(AND(A985&lt;=c_TRNGMIN,A985&gt;=c_TRNGMAX,c_TRNGMIN-c_TRNGMAX&lt;&gt;0),"Regen ramp","Coast (0)")))</f>
        <v>Seg4 map3-100%</v>
      </c>
      <c r="I985" s="7" t="n">
        <f aca="false">IF(A985&gt;=c_TFWD,IF(AND(A985&gt;=c_TMAP3IN,c_TMAP3IN&lt;1000),G985,IF(AND(A985&gt;=c_TMAP2IN,c_TMAP3IN&gt;c_TMAP2IN),F985,IF(AND(A985&gt;=c_TMAP1IN,c_TMAP2IN&gt;c_TMAP1IN),E985,D985))),C985)</f>
        <v>975</v>
      </c>
      <c r="J985" s="7" t="str">
        <f aca="false">IF(I985&lt;-1090,"TOO LOW",IF(I985&gt;1090,"TOO HIGH",""))</f>
        <v/>
      </c>
      <c r="K985" s="15" t="n">
        <f aca="false">IF(J985&lt;&gt;"",0,IF(I985&gt;979,1000,I985))</f>
        <v>975</v>
      </c>
      <c r="L985" s="7" t="n">
        <f aca="false">K985/10</f>
        <v>97.5</v>
      </c>
    </row>
    <row r="986" customFormat="false" ht="15" hidden="false" customHeight="false" outlineLevel="0" collapsed="false">
      <c r="A986" s="7" t="n">
        <v>981</v>
      </c>
      <c r="B986" s="7" t="n">
        <f aca="false">A986/10</f>
        <v>98.1</v>
      </c>
      <c r="C986" s="7" t="n">
        <f aca="false">IF(AND(A986=0,c_TCREEP&gt;0),10*c_TCREEP,IF(AND(A986&lt;=c_TRNGMIN,A986&gt;=c_TRNGMAX,c_TRNGMIN-c_TRNGMAX&lt;&gt;0),-10*c_TMINRN+QUOTIENT((c_TMAXRN-c_TMINRN)*(100-QUOTIENT((A986-c_TRNGMAX)*100,c_TRNGMIN-c_TRNGMAX)),-10),0))</f>
        <v>0</v>
      </c>
      <c r="D986" s="7" t="n">
        <f aca="false">IF(((c_TMAP1IN)-(c_TFWD))=0,(0)+QUOTIENT(((c_TMAP1OUT)-(0)),2),QUOTIENT((((A986)-(c_TFWD))*((c_TMAP1OUT)-(0))+IF(((c_TMAP1OUT)-(0))&gt;=0,1,-1)*QUOTIENT(((c_TMAP1IN)-(c_TFWD)),2)),((c_TMAP1IN)-(c_TFWD)))+(0)+IF(((c_TMAP1OUT)-(0))&gt;=0,IF(IF(o_WRAP=1,MOD(((c_TMAP1IN)-(c_TFWD))*(((A986)-(c_TFWD))*((c_TMAP1OUT)-(0))+IF(((c_TMAP1OUT)-(0))&gt;=0,1,-1)*QUOTIENT(((c_TMAP1IN)-(c_TFWD)),2))+2147483648,4294967296)-2147483648,((c_TMAP1IN)-(c_TFWD))*(((A986)-(c_TFWD))*((c_TMAP1OUT)-(0))+IF(((c_TMAP1OUT)-(0))&gt;=0,1,-1)*QUOTIENT(((c_TMAP1IN)-(c_TFWD)),2)))&lt;0,-1,0),IF(IF(o_WRAP=1,MOD(((c_TMAP1IN)-(c_TFWD))*(((A986)-(c_TFWD))*((c_TMAP1OUT)-(0))+IF(((c_TMAP1OUT)-(0))&gt;=0,1,-1)*QUOTIENT(((c_TMAP1IN)-(c_TFWD)),2))+2147483648,4294967296)-2147483648,((c_TMAP1IN)-(c_TFWD))*(((A986)-(c_TFWD))*((c_TMAP1OUT)-(0))+IF(((c_TMAP1OUT)-(0))&gt;=0,1,-1)*QUOTIENT(((c_TMAP1IN)-(c_TFWD)),2)))&gt;=0,1,0)))</f>
        <v>755</v>
      </c>
      <c r="E986" s="7" t="n">
        <f aca="false">IF(((c_TMAP2IN)-(c_TMAP1IN))=0,(c_TMAP1OUT)+QUOTIENT(((c_TMAP2OUT)-(c_TMAP1OUT)),2),QUOTIENT((((A986)-(c_TMAP1IN))*((c_TMAP2OUT)-(c_TMAP1OUT))+IF(((c_TMAP2OUT)-(c_TMAP1OUT))&gt;=0,1,-1)*QUOTIENT(((c_TMAP2IN)-(c_TMAP1IN)),2)),((c_TMAP2IN)-(c_TMAP1IN)))+(c_TMAP1OUT)+IF(((c_TMAP2OUT)-(c_TMAP1OUT))&gt;=0,IF(IF(o_WRAP=1,MOD(((c_TMAP2IN)-(c_TMAP1IN))*(((A986)-(c_TMAP1IN))*((c_TMAP2OUT)-(c_TMAP1OUT))+IF(((c_TMAP2OUT)-(c_TMAP1OUT))&gt;=0,1,-1)*QUOTIENT(((c_TMAP2IN)-(c_TMAP1IN)),2))+2147483648,4294967296)-2147483648,((c_TMAP2IN)-(c_TMAP1IN))*(((A986)-(c_TMAP1IN))*((c_TMAP2OUT)-(c_TMAP1OUT))+IF(((c_TMAP2OUT)-(c_TMAP1OUT))&gt;=0,1,-1)*QUOTIENT(((c_TMAP2IN)-(c_TMAP1IN)),2)))&lt;0,-1,0),IF(IF(o_WRAP=1,MOD(((c_TMAP2IN)-(c_TMAP1IN))*(((A986)-(c_TMAP1IN))*((c_TMAP2OUT)-(c_TMAP1OUT))+IF(((c_TMAP2OUT)-(c_TMAP1OUT))&gt;=0,1,-1)*QUOTIENT(((c_TMAP2IN)-(c_TMAP1IN)),2))+2147483648,4294967296)-2147483648,((c_TMAP2IN)-(c_TMAP1IN))*(((A986)-(c_TMAP1IN))*((c_TMAP2OUT)-(c_TMAP1OUT))+IF(((c_TMAP2OUT)-(c_TMAP1OUT))&gt;=0,1,-1)*QUOTIENT(((c_TMAP2IN)-(c_TMAP1IN)),2)))&gt;=0,1,0)))</f>
        <v>422</v>
      </c>
      <c r="F986" s="7" t="n">
        <f aca="false">IF(((c_TMAP3IN)-(c_TMAP2IN))=0,(c_TMAP2OUT)+QUOTIENT(((c_TMAP3OUT)-(c_TMAP2OUT)),2),QUOTIENT((((A986)-(c_TMAP2IN))*((c_TMAP3OUT)-(c_TMAP2OUT))+IF(((c_TMAP3OUT)-(c_TMAP2OUT))&gt;=0,1,-1)*QUOTIENT(((c_TMAP3IN)-(c_TMAP2IN)),2)),((c_TMAP3IN)-(c_TMAP2IN)))+(c_TMAP2OUT)+IF(((c_TMAP3OUT)-(c_TMAP2OUT))&gt;=0,IF(IF(o_WRAP=1,MOD(((c_TMAP3IN)-(c_TMAP2IN))*(((A986)-(c_TMAP2IN))*((c_TMAP3OUT)-(c_TMAP2OUT))+IF(((c_TMAP3OUT)-(c_TMAP2OUT))&gt;=0,1,-1)*QUOTIENT(((c_TMAP3IN)-(c_TMAP2IN)),2))+2147483648,4294967296)-2147483648,((c_TMAP3IN)-(c_TMAP2IN))*(((A986)-(c_TMAP2IN))*((c_TMAP3OUT)-(c_TMAP2OUT))+IF(((c_TMAP3OUT)-(c_TMAP2OUT))&gt;=0,1,-1)*QUOTIENT(((c_TMAP3IN)-(c_TMAP2IN)),2)))&lt;0,-1,0),IF(IF(o_WRAP=1,MOD(((c_TMAP3IN)-(c_TMAP2IN))*(((A986)-(c_TMAP2IN))*((c_TMAP3OUT)-(c_TMAP2OUT))+IF(((c_TMAP3OUT)-(c_TMAP2OUT))&gt;=0,1,-1)*QUOTIENT(((c_TMAP3IN)-(c_TMAP2IN)),2))+2147483648,4294967296)-2147483648,((c_TMAP3IN)-(c_TMAP2IN))*(((A986)-(c_TMAP2IN))*((c_TMAP3OUT)-(c_TMAP2OUT))+IF(((c_TMAP3OUT)-(c_TMAP2OUT))&gt;=0,1,-1)*QUOTIENT(((c_TMAP3IN)-(c_TMAP2IN)),2)))&gt;=0,1,0)))</f>
        <v>642</v>
      </c>
      <c r="G986" s="7" t="n">
        <f aca="false">IF(((1000)-(c_TMAP3IN))=0,(c_TMAP3OUT)+QUOTIENT(((1000)-(c_TMAP3OUT)),2),QUOTIENT((((A986)-(c_TMAP3IN))*((1000)-(c_TMAP3OUT))+IF(((1000)-(c_TMAP3OUT))&gt;=0,1,-1)*QUOTIENT(((1000)-(c_TMAP3IN)),2)),((1000)-(c_TMAP3IN)))+(c_TMAP3OUT)+IF(((1000)-(c_TMAP3OUT))&gt;=0,IF(IF(o_WRAP=1,MOD(((1000)-(c_TMAP3IN))*(((A986)-(c_TMAP3IN))*((1000)-(c_TMAP3OUT))+IF(((1000)-(c_TMAP3OUT))&gt;=0,1,-1)*QUOTIENT(((1000)-(c_TMAP3IN)),2))+2147483648,4294967296)-2147483648,((1000)-(c_TMAP3IN))*(((A986)-(c_TMAP3IN))*((1000)-(c_TMAP3OUT))+IF(((1000)-(c_TMAP3OUT))&gt;=0,1,-1)*QUOTIENT(((1000)-(c_TMAP3IN)),2)))&lt;0,-1,0),IF(IF(o_WRAP=1,MOD(((1000)-(c_TMAP3IN))*(((A986)-(c_TMAP3IN))*((1000)-(c_TMAP3OUT))+IF(((1000)-(c_TMAP3OUT))&gt;=0,1,-1)*QUOTIENT(((1000)-(c_TMAP3IN)),2))+2147483648,4294967296)-2147483648,((1000)-(c_TMAP3IN))*(((A986)-(c_TMAP3IN))*((1000)-(c_TMAP3OUT))+IF(((1000)-(c_TMAP3OUT))&gt;=0,1,-1)*QUOTIENT(((1000)-(c_TMAP3IN)),2)))&gt;=0,1,0)))</f>
        <v>977</v>
      </c>
      <c r="H986" s="7" t="str">
        <f aca="false">IF(A986&gt;=c_TFWD,IF(AND(A986&gt;=c_TMAP3IN,c_TMAP3IN&lt;1000),"Seg4 map3-100%",IF(AND(A986&gt;=c_TMAP2IN,c_TMAP3IN&gt;c_TMAP2IN),"Seg3 map2-map3",IF(AND(A986&gt;=c_TMAP1IN,c_TMAP2IN&gt;c_TMAP1IN),"Seg2 map1-map2","Seg1 TFWD-map1"))),IF(AND(A986=0,c_TCREEP&gt;0),"Creep",IF(AND(A986&lt;=c_TRNGMIN,A986&gt;=c_TRNGMAX,c_TRNGMIN-c_TRNGMAX&lt;&gt;0),"Regen ramp","Coast (0)")))</f>
        <v>Seg4 map3-100%</v>
      </c>
      <c r="I986" s="7" t="n">
        <f aca="false">IF(A986&gt;=c_TFWD,IF(AND(A986&gt;=c_TMAP3IN,c_TMAP3IN&lt;1000),G986,IF(AND(A986&gt;=c_TMAP2IN,c_TMAP3IN&gt;c_TMAP2IN),F986,IF(AND(A986&gt;=c_TMAP1IN,c_TMAP2IN&gt;c_TMAP1IN),E986,D986))),C986)</f>
        <v>977</v>
      </c>
      <c r="J986" s="7" t="str">
        <f aca="false">IF(I986&lt;-1090,"TOO LOW",IF(I986&gt;1090,"TOO HIGH",""))</f>
        <v/>
      </c>
      <c r="K986" s="15" t="n">
        <f aca="false">IF(J986&lt;&gt;"",0,IF(I986&gt;979,1000,I986))</f>
        <v>977</v>
      </c>
      <c r="L986" s="7" t="n">
        <f aca="false">K986/10</f>
        <v>97.7</v>
      </c>
    </row>
    <row r="987" customFormat="false" ht="15" hidden="false" customHeight="false" outlineLevel="0" collapsed="false">
      <c r="A987" s="7" t="n">
        <v>982</v>
      </c>
      <c r="B987" s="7" t="n">
        <f aca="false">A987/10</f>
        <v>98.2</v>
      </c>
      <c r="C987" s="7" t="n">
        <f aca="false">IF(AND(A987=0,c_TCREEP&gt;0),10*c_TCREEP,IF(AND(A987&lt;=c_TRNGMIN,A987&gt;=c_TRNGMAX,c_TRNGMIN-c_TRNGMAX&lt;&gt;0),-10*c_TMINRN+QUOTIENT((c_TMAXRN-c_TMINRN)*(100-QUOTIENT((A987-c_TRNGMAX)*100,c_TRNGMIN-c_TRNGMAX)),-10),0))</f>
        <v>0</v>
      </c>
      <c r="D987" s="7" t="n">
        <f aca="false">IF(((c_TMAP1IN)-(c_TFWD))=0,(0)+QUOTIENT(((c_TMAP1OUT)-(0)),2),QUOTIENT((((A987)-(c_TFWD))*((c_TMAP1OUT)-(0))+IF(((c_TMAP1OUT)-(0))&gt;=0,1,-1)*QUOTIENT(((c_TMAP1IN)-(c_TFWD)),2)),((c_TMAP1IN)-(c_TFWD)))+(0)+IF(((c_TMAP1OUT)-(0))&gt;=0,IF(IF(o_WRAP=1,MOD(((c_TMAP1IN)-(c_TFWD))*(((A987)-(c_TFWD))*((c_TMAP1OUT)-(0))+IF(((c_TMAP1OUT)-(0))&gt;=0,1,-1)*QUOTIENT(((c_TMAP1IN)-(c_TFWD)),2))+2147483648,4294967296)-2147483648,((c_TMAP1IN)-(c_TFWD))*(((A987)-(c_TFWD))*((c_TMAP1OUT)-(0))+IF(((c_TMAP1OUT)-(0))&gt;=0,1,-1)*QUOTIENT(((c_TMAP1IN)-(c_TFWD)),2)))&lt;0,-1,0),IF(IF(o_WRAP=1,MOD(((c_TMAP1IN)-(c_TFWD))*(((A987)-(c_TFWD))*((c_TMAP1OUT)-(0))+IF(((c_TMAP1OUT)-(0))&gt;=0,1,-1)*QUOTIENT(((c_TMAP1IN)-(c_TFWD)),2))+2147483648,4294967296)-2147483648,((c_TMAP1IN)-(c_TFWD))*(((A987)-(c_TFWD))*((c_TMAP1OUT)-(0))+IF(((c_TMAP1OUT)-(0))&gt;=0,1,-1)*QUOTIENT(((c_TMAP1IN)-(c_TFWD)),2)))&gt;=0,1,0)))</f>
        <v>756</v>
      </c>
      <c r="E987" s="7" t="n">
        <f aca="false">IF(((c_TMAP2IN)-(c_TMAP1IN))=0,(c_TMAP1OUT)+QUOTIENT(((c_TMAP2OUT)-(c_TMAP1OUT)),2),QUOTIENT((((A987)-(c_TMAP1IN))*((c_TMAP2OUT)-(c_TMAP1OUT))+IF(((c_TMAP2OUT)-(c_TMAP1OUT))&gt;=0,1,-1)*QUOTIENT(((c_TMAP2IN)-(c_TMAP1IN)),2)),((c_TMAP2IN)-(c_TMAP1IN)))+(c_TMAP1OUT)+IF(((c_TMAP2OUT)-(c_TMAP1OUT))&gt;=0,IF(IF(o_WRAP=1,MOD(((c_TMAP2IN)-(c_TMAP1IN))*(((A987)-(c_TMAP1IN))*((c_TMAP2OUT)-(c_TMAP1OUT))+IF(((c_TMAP2OUT)-(c_TMAP1OUT))&gt;=0,1,-1)*QUOTIENT(((c_TMAP2IN)-(c_TMAP1IN)),2))+2147483648,4294967296)-2147483648,((c_TMAP2IN)-(c_TMAP1IN))*(((A987)-(c_TMAP1IN))*((c_TMAP2OUT)-(c_TMAP1OUT))+IF(((c_TMAP2OUT)-(c_TMAP1OUT))&gt;=0,1,-1)*QUOTIENT(((c_TMAP2IN)-(c_TMAP1IN)),2)))&lt;0,-1,0),IF(IF(o_WRAP=1,MOD(((c_TMAP2IN)-(c_TMAP1IN))*(((A987)-(c_TMAP1IN))*((c_TMAP2OUT)-(c_TMAP1OUT))+IF(((c_TMAP2OUT)-(c_TMAP1OUT))&gt;=0,1,-1)*QUOTIENT(((c_TMAP2IN)-(c_TMAP1IN)),2))+2147483648,4294967296)-2147483648,((c_TMAP2IN)-(c_TMAP1IN))*(((A987)-(c_TMAP1IN))*((c_TMAP2OUT)-(c_TMAP1OUT))+IF(((c_TMAP2OUT)-(c_TMAP1OUT))&gt;=0,1,-1)*QUOTIENT(((c_TMAP2IN)-(c_TMAP1IN)),2)))&gt;=0,1,0)))</f>
        <v>423</v>
      </c>
      <c r="F987" s="7" t="n">
        <f aca="false">IF(((c_TMAP3IN)-(c_TMAP2IN))=0,(c_TMAP2OUT)+QUOTIENT(((c_TMAP3OUT)-(c_TMAP2OUT)),2),QUOTIENT((((A987)-(c_TMAP2IN))*((c_TMAP3OUT)-(c_TMAP2OUT))+IF(((c_TMAP3OUT)-(c_TMAP2OUT))&gt;=0,1,-1)*QUOTIENT(((c_TMAP3IN)-(c_TMAP2IN)),2)),((c_TMAP3IN)-(c_TMAP2IN)))+(c_TMAP2OUT)+IF(((c_TMAP3OUT)-(c_TMAP2OUT))&gt;=0,IF(IF(o_WRAP=1,MOD(((c_TMAP3IN)-(c_TMAP2IN))*(((A987)-(c_TMAP2IN))*((c_TMAP3OUT)-(c_TMAP2OUT))+IF(((c_TMAP3OUT)-(c_TMAP2OUT))&gt;=0,1,-1)*QUOTIENT(((c_TMAP3IN)-(c_TMAP2IN)),2))+2147483648,4294967296)-2147483648,((c_TMAP3IN)-(c_TMAP2IN))*(((A987)-(c_TMAP2IN))*((c_TMAP3OUT)-(c_TMAP2OUT))+IF(((c_TMAP3OUT)-(c_TMAP2OUT))&gt;=0,1,-1)*QUOTIENT(((c_TMAP3IN)-(c_TMAP2IN)),2)))&lt;0,-1,0),IF(IF(o_WRAP=1,MOD(((c_TMAP3IN)-(c_TMAP2IN))*(((A987)-(c_TMAP2IN))*((c_TMAP3OUT)-(c_TMAP2OUT))+IF(((c_TMAP3OUT)-(c_TMAP2OUT))&gt;=0,1,-1)*QUOTIENT(((c_TMAP3IN)-(c_TMAP2IN)),2))+2147483648,4294967296)-2147483648,((c_TMAP3IN)-(c_TMAP2IN))*(((A987)-(c_TMAP2IN))*((c_TMAP3OUT)-(c_TMAP2OUT))+IF(((c_TMAP3OUT)-(c_TMAP2OUT))&gt;=0,1,-1)*QUOTIENT(((c_TMAP3IN)-(c_TMAP2IN)),2)))&gt;=0,1,0)))</f>
        <v>642</v>
      </c>
      <c r="G987" s="7" t="n">
        <f aca="false">IF(((1000)-(c_TMAP3IN))=0,(c_TMAP3OUT)+QUOTIENT(((1000)-(c_TMAP3OUT)),2),QUOTIENT((((A987)-(c_TMAP3IN))*((1000)-(c_TMAP3OUT))+IF(((1000)-(c_TMAP3OUT))&gt;=0,1,-1)*QUOTIENT(((1000)-(c_TMAP3IN)),2)),((1000)-(c_TMAP3IN)))+(c_TMAP3OUT)+IF(((1000)-(c_TMAP3OUT))&gt;=0,IF(IF(o_WRAP=1,MOD(((1000)-(c_TMAP3IN))*(((A987)-(c_TMAP3IN))*((1000)-(c_TMAP3OUT))+IF(((1000)-(c_TMAP3OUT))&gt;=0,1,-1)*QUOTIENT(((1000)-(c_TMAP3IN)),2))+2147483648,4294967296)-2147483648,((1000)-(c_TMAP3IN))*(((A987)-(c_TMAP3IN))*((1000)-(c_TMAP3OUT))+IF(((1000)-(c_TMAP3OUT))&gt;=0,1,-1)*QUOTIENT(((1000)-(c_TMAP3IN)),2)))&lt;0,-1,0),IF(IF(o_WRAP=1,MOD(((1000)-(c_TMAP3IN))*(((A987)-(c_TMAP3IN))*((1000)-(c_TMAP3OUT))+IF(((1000)-(c_TMAP3OUT))&gt;=0,1,-1)*QUOTIENT(((1000)-(c_TMAP3IN)),2))+2147483648,4294967296)-2147483648,((1000)-(c_TMAP3IN))*(((A987)-(c_TMAP3IN))*((1000)-(c_TMAP3OUT))+IF(((1000)-(c_TMAP3OUT))&gt;=0,1,-1)*QUOTIENT(((1000)-(c_TMAP3IN)),2)))&gt;=0,1,0)))</f>
        <v>978</v>
      </c>
      <c r="H987" s="7" t="str">
        <f aca="false">IF(A987&gt;=c_TFWD,IF(AND(A987&gt;=c_TMAP3IN,c_TMAP3IN&lt;1000),"Seg4 map3-100%",IF(AND(A987&gt;=c_TMAP2IN,c_TMAP3IN&gt;c_TMAP2IN),"Seg3 map2-map3",IF(AND(A987&gt;=c_TMAP1IN,c_TMAP2IN&gt;c_TMAP1IN),"Seg2 map1-map2","Seg1 TFWD-map1"))),IF(AND(A987=0,c_TCREEP&gt;0),"Creep",IF(AND(A987&lt;=c_TRNGMIN,A987&gt;=c_TRNGMAX,c_TRNGMIN-c_TRNGMAX&lt;&gt;0),"Regen ramp","Coast (0)")))</f>
        <v>Seg4 map3-100%</v>
      </c>
      <c r="I987" s="7" t="n">
        <f aca="false">IF(A987&gt;=c_TFWD,IF(AND(A987&gt;=c_TMAP3IN,c_TMAP3IN&lt;1000),G987,IF(AND(A987&gt;=c_TMAP2IN,c_TMAP3IN&gt;c_TMAP2IN),F987,IF(AND(A987&gt;=c_TMAP1IN,c_TMAP2IN&gt;c_TMAP1IN),E987,D987))),C987)</f>
        <v>978</v>
      </c>
      <c r="J987" s="7" t="str">
        <f aca="false">IF(I987&lt;-1090,"TOO LOW",IF(I987&gt;1090,"TOO HIGH",""))</f>
        <v/>
      </c>
      <c r="K987" s="15" t="n">
        <f aca="false">IF(J987&lt;&gt;"",0,IF(I987&gt;979,1000,I987))</f>
        <v>978</v>
      </c>
      <c r="L987" s="7" t="n">
        <f aca="false">K987/10</f>
        <v>97.8</v>
      </c>
    </row>
    <row r="988" customFormat="false" ht="15" hidden="false" customHeight="false" outlineLevel="0" collapsed="false">
      <c r="A988" s="7" t="n">
        <v>983</v>
      </c>
      <c r="B988" s="7" t="n">
        <f aca="false">A988/10</f>
        <v>98.3</v>
      </c>
      <c r="C988" s="7" t="n">
        <f aca="false">IF(AND(A988=0,c_TCREEP&gt;0),10*c_TCREEP,IF(AND(A988&lt;=c_TRNGMIN,A988&gt;=c_TRNGMAX,c_TRNGMIN-c_TRNGMAX&lt;&gt;0),-10*c_TMINRN+QUOTIENT((c_TMAXRN-c_TMINRN)*(100-QUOTIENT((A988-c_TRNGMAX)*100,c_TRNGMIN-c_TRNGMAX)),-10),0))</f>
        <v>0</v>
      </c>
      <c r="D988" s="7" t="n">
        <f aca="false">IF(((c_TMAP1IN)-(c_TFWD))=0,(0)+QUOTIENT(((c_TMAP1OUT)-(0)),2),QUOTIENT((((A988)-(c_TFWD))*((c_TMAP1OUT)-(0))+IF(((c_TMAP1OUT)-(0))&gt;=0,1,-1)*QUOTIENT(((c_TMAP1IN)-(c_TFWD)),2)),((c_TMAP1IN)-(c_TFWD)))+(0)+IF(((c_TMAP1OUT)-(0))&gt;=0,IF(IF(o_WRAP=1,MOD(((c_TMAP1IN)-(c_TFWD))*(((A988)-(c_TFWD))*((c_TMAP1OUT)-(0))+IF(((c_TMAP1OUT)-(0))&gt;=0,1,-1)*QUOTIENT(((c_TMAP1IN)-(c_TFWD)),2))+2147483648,4294967296)-2147483648,((c_TMAP1IN)-(c_TFWD))*(((A988)-(c_TFWD))*((c_TMAP1OUT)-(0))+IF(((c_TMAP1OUT)-(0))&gt;=0,1,-1)*QUOTIENT(((c_TMAP1IN)-(c_TFWD)),2)))&lt;0,-1,0),IF(IF(o_WRAP=1,MOD(((c_TMAP1IN)-(c_TFWD))*(((A988)-(c_TFWD))*((c_TMAP1OUT)-(0))+IF(((c_TMAP1OUT)-(0))&gt;=0,1,-1)*QUOTIENT(((c_TMAP1IN)-(c_TFWD)),2))+2147483648,4294967296)-2147483648,((c_TMAP1IN)-(c_TFWD))*(((A988)-(c_TFWD))*((c_TMAP1OUT)-(0))+IF(((c_TMAP1OUT)-(0))&gt;=0,1,-1)*QUOTIENT(((c_TMAP1IN)-(c_TFWD)),2)))&gt;=0,1,0)))</f>
        <v>757</v>
      </c>
      <c r="E988" s="7" t="n">
        <f aca="false">IF(((c_TMAP2IN)-(c_TMAP1IN))=0,(c_TMAP1OUT)+QUOTIENT(((c_TMAP2OUT)-(c_TMAP1OUT)),2),QUOTIENT((((A988)-(c_TMAP1IN))*((c_TMAP2OUT)-(c_TMAP1OUT))+IF(((c_TMAP2OUT)-(c_TMAP1OUT))&gt;=0,1,-1)*QUOTIENT(((c_TMAP2IN)-(c_TMAP1IN)),2)),((c_TMAP2IN)-(c_TMAP1IN)))+(c_TMAP1OUT)+IF(((c_TMAP2OUT)-(c_TMAP1OUT))&gt;=0,IF(IF(o_WRAP=1,MOD(((c_TMAP2IN)-(c_TMAP1IN))*(((A988)-(c_TMAP1IN))*((c_TMAP2OUT)-(c_TMAP1OUT))+IF(((c_TMAP2OUT)-(c_TMAP1OUT))&gt;=0,1,-1)*QUOTIENT(((c_TMAP2IN)-(c_TMAP1IN)),2))+2147483648,4294967296)-2147483648,((c_TMAP2IN)-(c_TMAP1IN))*(((A988)-(c_TMAP1IN))*((c_TMAP2OUT)-(c_TMAP1OUT))+IF(((c_TMAP2OUT)-(c_TMAP1OUT))&gt;=0,1,-1)*QUOTIENT(((c_TMAP2IN)-(c_TMAP1IN)),2)))&lt;0,-1,0),IF(IF(o_WRAP=1,MOD(((c_TMAP2IN)-(c_TMAP1IN))*(((A988)-(c_TMAP1IN))*((c_TMAP2OUT)-(c_TMAP1OUT))+IF(((c_TMAP2OUT)-(c_TMAP1OUT))&gt;=0,1,-1)*QUOTIENT(((c_TMAP2IN)-(c_TMAP1IN)),2))+2147483648,4294967296)-2147483648,((c_TMAP2IN)-(c_TMAP1IN))*(((A988)-(c_TMAP1IN))*((c_TMAP2OUT)-(c_TMAP1OUT))+IF(((c_TMAP2OUT)-(c_TMAP1OUT))&gt;=0,1,-1)*QUOTIENT(((c_TMAP2IN)-(c_TMAP1IN)),2)))&gt;=0,1,0)))</f>
        <v>423</v>
      </c>
      <c r="F988" s="7" t="n">
        <f aca="false">IF(((c_TMAP3IN)-(c_TMAP2IN))=0,(c_TMAP2OUT)+QUOTIENT(((c_TMAP3OUT)-(c_TMAP2OUT)),2),QUOTIENT((((A988)-(c_TMAP2IN))*((c_TMAP3OUT)-(c_TMAP2OUT))+IF(((c_TMAP3OUT)-(c_TMAP2OUT))&gt;=0,1,-1)*QUOTIENT(((c_TMAP3IN)-(c_TMAP2IN)),2)),((c_TMAP3IN)-(c_TMAP2IN)))+(c_TMAP2OUT)+IF(((c_TMAP3OUT)-(c_TMAP2OUT))&gt;=0,IF(IF(o_WRAP=1,MOD(((c_TMAP3IN)-(c_TMAP2IN))*(((A988)-(c_TMAP2IN))*((c_TMAP3OUT)-(c_TMAP2OUT))+IF(((c_TMAP3OUT)-(c_TMAP2OUT))&gt;=0,1,-1)*QUOTIENT(((c_TMAP3IN)-(c_TMAP2IN)),2))+2147483648,4294967296)-2147483648,((c_TMAP3IN)-(c_TMAP2IN))*(((A988)-(c_TMAP2IN))*((c_TMAP3OUT)-(c_TMAP2OUT))+IF(((c_TMAP3OUT)-(c_TMAP2OUT))&gt;=0,1,-1)*QUOTIENT(((c_TMAP3IN)-(c_TMAP2IN)),2)))&lt;0,-1,0),IF(IF(o_WRAP=1,MOD(((c_TMAP3IN)-(c_TMAP2IN))*(((A988)-(c_TMAP2IN))*((c_TMAP3OUT)-(c_TMAP2OUT))+IF(((c_TMAP3OUT)-(c_TMAP2OUT))&gt;=0,1,-1)*QUOTIENT(((c_TMAP3IN)-(c_TMAP2IN)),2))+2147483648,4294967296)-2147483648,((c_TMAP3IN)-(c_TMAP2IN))*(((A988)-(c_TMAP2IN))*((c_TMAP3OUT)-(c_TMAP2OUT))+IF(((c_TMAP3OUT)-(c_TMAP2OUT))&gt;=0,1,-1)*QUOTIENT(((c_TMAP3IN)-(c_TMAP2IN)),2)))&gt;=0,1,0)))</f>
        <v>643</v>
      </c>
      <c r="G988" s="7" t="n">
        <f aca="false">IF(((1000)-(c_TMAP3IN))=0,(c_TMAP3OUT)+QUOTIENT(((1000)-(c_TMAP3OUT)),2),QUOTIENT((((A988)-(c_TMAP3IN))*((1000)-(c_TMAP3OUT))+IF(((1000)-(c_TMAP3OUT))&gt;=0,1,-1)*QUOTIENT(((1000)-(c_TMAP3IN)),2)),((1000)-(c_TMAP3IN)))+(c_TMAP3OUT)+IF(((1000)-(c_TMAP3OUT))&gt;=0,IF(IF(o_WRAP=1,MOD(((1000)-(c_TMAP3IN))*(((A988)-(c_TMAP3IN))*((1000)-(c_TMAP3OUT))+IF(((1000)-(c_TMAP3OUT))&gt;=0,1,-1)*QUOTIENT(((1000)-(c_TMAP3IN)),2))+2147483648,4294967296)-2147483648,((1000)-(c_TMAP3IN))*(((A988)-(c_TMAP3IN))*((1000)-(c_TMAP3OUT))+IF(((1000)-(c_TMAP3OUT))&gt;=0,1,-1)*QUOTIENT(((1000)-(c_TMAP3IN)),2)))&lt;0,-1,0),IF(IF(o_WRAP=1,MOD(((1000)-(c_TMAP3IN))*(((A988)-(c_TMAP3IN))*((1000)-(c_TMAP3OUT))+IF(((1000)-(c_TMAP3OUT))&gt;=0,1,-1)*QUOTIENT(((1000)-(c_TMAP3IN)),2))+2147483648,4294967296)-2147483648,((1000)-(c_TMAP3IN))*(((A988)-(c_TMAP3IN))*((1000)-(c_TMAP3OUT))+IF(((1000)-(c_TMAP3OUT))&gt;=0,1,-1)*QUOTIENT(((1000)-(c_TMAP3IN)),2)))&gt;=0,1,0)))</f>
        <v>979</v>
      </c>
      <c r="H988" s="7" t="str">
        <f aca="false">IF(A988&gt;=c_TFWD,IF(AND(A988&gt;=c_TMAP3IN,c_TMAP3IN&lt;1000),"Seg4 map3-100%",IF(AND(A988&gt;=c_TMAP2IN,c_TMAP3IN&gt;c_TMAP2IN),"Seg3 map2-map3",IF(AND(A988&gt;=c_TMAP1IN,c_TMAP2IN&gt;c_TMAP1IN),"Seg2 map1-map2","Seg1 TFWD-map1"))),IF(AND(A988=0,c_TCREEP&gt;0),"Creep",IF(AND(A988&lt;=c_TRNGMIN,A988&gt;=c_TRNGMAX,c_TRNGMIN-c_TRNGMAX&lt;&gt;0),"Regen ramp","Coast (0)")))</f>
        <v>Seg4 map3-100%</v>
      </c>
      <c r="I988" s="7" t="n">
        <f aca="false">IF(A988&gt;=c_TFWD,IF(AND(A988&gt;=c_TMAP3IN,c_TMAP3IN&lt;1000),G988,IF(AND(A988&gt;=c_TMAP2IN,c_TMAP3IN&gt;c_TMAP2IN),F988,IF(AND(A988&gt;=c_TMAP1IN,c_TMAP2IN&gt;c_TMAP1IN),E988,D988))),C988)</f>
        <v>979</v>
      </c>
      <c r="J988" s="7" t="str">
        <f aca="false">IF(I988&lt;-1090,"TOO LOW",IF(I988&gt;1090,"TOO HIGH",""))</f>
        <v/>
      </c>
      <c r="K988" s="15" t="n">
        <f aca="false">IF(J988&lt;&gt;"",0,IF(I988&gt;979,1000,I988))</f>
        <v>979</v>
      </c>
      <c r="L988" s="7" t="n">
        <f aca="false">K988/10</f>
        <v>97.9</v>
      </c>
    </row>
    <row r="989" customFormat="false" ht="15" hidden="false" customHeight="false" outlineLevel="0" collapsed="false">
      <c r="A989" s="7" t="n">
        <v>984</v>
      </c>
      <c r="B989" s="7" t="n">
        <f aca="false">A989/10</f>
        <v>98.4</v>
      </c>
      <c r="C989" s="7" t="n">
        <f aca="false">IF(AND(A989=0,c_TCREEP&gt;0),10*c_TCREEP,IF(AND(A989&lt;=c_TRNGMIN,A989&gt;=c_TRNGMAX,c_TRNGMIN-c_TRNGMAX&lt;&gt;0),-10*c_TMINRN+QUOTIENT((c_TMAXRN-c_TMINRN)*(100-QUOTIENT((A989-c_TRNGMAX)*100,c_TRNGMIN-c_TRNGMAX)),-10),0))</f>
        <v>0</v>
      </c>
      <c r="D989" s="7" t="n">
        <f aca="false">IF(((c_TMAP1IN)-(c_TFWD))=0,(0)+QUOTIENT(((c_TMAP1OUT)-(0)),2),QUOTIENT((((A989)-(c_TFWD))*((c_TMAP1OUT)-(0))+IF(((c_TMAP1OUT)-(0))&gt;=0,1,-1)*QUOTIENT(((c_TMAP1IN)-(c_TFWD)),2)),((c_TMAP1IN)-(c_TFWD)))+(0)+IF(((c_TMAP1OUT)-(0))&gt;=0,IF(IF(o_WRAP=1,MOD(((c_TMAP1IN)-(c_TFWD))*(((A989)-(c_TFWD))*((c_TMAP1OUT)-(0))+IF(((c_TMAP1OUT)-(0))&gt;=0,1,-1)*QUOTIENT(((c_TMAP1IN)-(c_TFWD)),2))+2147483648,4294967296)-2147483648,((c_TMAP1IN)-(c_TFWD))*(((A989)-(c_TFWD))*((c_TMAP1OUT)-(0))+IF(((c_TMAP1OUT)-(0))&gt;=0,1,-1)*QUOTIENT(((c_TMAP1IN)-(c_TFWD)),2)))&lt;0,-1,0),IF(IF(o_WRAP=1,MOD(((c_TMAP1IN)-(c_TFWD))*(((A989)-(c_TFWD))*((c_TMAP1OUT)-(0))+IF(((c_TMAP1OUT)-(0))&gt;=0,1,-1)*QUOTIENT(((c_TMAP1IN)-(c_TFWD)),2))+2147483648,4294967296)-2147483648,((c_TMAP1IN)-(c_TFWD))*(((A989)-(c_TFWD))*((c_TMAP1OUT)-(0))+IF(((c_TMAP1OUT)-(0))&gt;=0,1,-1)*QUOTIENT(((c_TMAP1IN)-(c_TFWD)),2)))&gt;=0,1,0)))</f>
        <v>758</v>
      </c>
      <c r="E989" s="7" t="n">
        <f aca="false">IF(((c_TMAP2IN)-(c_TMAP1IN))=0,(c_TMAP1OUT)+QUOTIENT(((c_TMAP2OUT)-(c_TMAP1OUT)),2),QUOTIENT((((A989)-(c_TMAP1IN))*((c_TMAP2OUT)-(c_TMAP1OUT))+IF(((c_TMAP2OUT)-(c_TMAP1OUT))&gt;=0,1,-1)*QUOTIENT(((c_TMAP2IN)-(c_TMAP1IN)),2)),((c_TMAP2IN)-(c_TMAP1IN)))+(c_TMAP1OUT)+IF(((c_TMAP2OUT)-(c_TMAP1OUT))&gt;=0,IF(IF(o_WRAP=1,MOD(((c_TMAP2IN)-(c_TMAP1IN))*(((A989)-(c_TMAP1IN))*((c_TMAP2OUT)-(c_TMAP1OUT))+IF(((c_TMAP2OUT)-(c_TMAP1OUT))&gt;=0,1,-1)*QUOTIENT(((c_TMAP2IN)-(c_TMAP1IN)),2))+2147483648,4294967296)-2147483648,((c_TMAP2IN)-(c_TMAP1IN))*(((A989)-(c_TMAP1IN))*((c_TMAP2OUT)-(c_TMAP1OUT))+IF(((c_TMAP2OUT)-(c_TMAP1OUT))&gt;=0,1,-1)*QUOTIENT(((c_TMAP2IN)-(c_TMAP1IN)),2)))&lt;0,-1,0),IF(IF(o_WRAP=1,MOD(((c_TMAP2IN)-(c_TMAP1IN))*(((A989)-(c_TMAP1IN))*((c_TMAP2OUT)-(c_TMAP1OUT))+IF(((c_TMAP2OUT)-(c_TMAP1OUT))&gt;=0,1,-1)*QUOTIENT(((c_TMAP2IN)-(c_TMAP1IN)),2))+2147483648,4294967296)-2147483648,((c_TMAP2IN)-(c_TMAP1IN))*(((A989)-(c_TMAP1IN))*((c_TMAP2OUT)-(c_TMAP1OUT))+IF(((c_TMAP2OUT)-(c_TMAP1OUT))&gt;=0,1,-1)*QUOTIENT(((c_TMAP2IN)-(c_TMAP1IN)),2)))&gt;=0,1,0)))</f>
        <v>424</v>
      </c>
      <c r="F989" s="7" t="n">
        <f aca="false">IF(((c_TMAP3IN)-(c_TMAP2IN))=0,(c_TMAP2OUT)+QUOTIENT(((c_TMAP3OUT)-(c_TMAP2OUT)),2),QUOTIENT((((A989)-(c_TMAP2IN))*((c_TMAP3OUT)-(c_TMAP2OUT))+IF(((c_TMAP3OUT)-(c_TMAP2OUT))&gt;=0,1,-1)*QUOTIENT(((c_TMAP3IN)-(c_TMAP2IN)),2)),((c_TMAP3IN)-(c_TMAP2IN)))+(c_TMAP2OUT)+IF(((c_TMAP3OUT)-(c_TMAP2OUT))&gt;=0,IF(IF(o_WRAP=1,MOD(((c_TMAP3IN)-(c_TMAP2IN))*(((A989)-(c_TMAP2IN))*((c_TMAP3OUT)-(c_TMAP2OUT))+IF(((c_TMAP3OUT)-(c_TMAP2OUT))&gt;=0,1,-1)*QUOTIENT(((c_TMAP3IN)-(c_TMAP2IN)),2))+2147483648,4294967296)-2147483648,((c_TMAP3IN)-(c_TMAP2IN))*(((A989)-(c_TMAP2IN))*((c_TMAP3OUT)-(c_TMAP2OUT))+IF(((c_TMAP3OUT)-(c_TMAP2OUT))&gt;=0,1,-1)*QUOTIENT(((c_TMAP3IN)-(c_TMAP2IN)),2)))&lt;0,-1,0),IF(IF(o_WRAP=1,MOD(((c_TMAP3IN)-(c_TMAP2IN))*(((A989)-(c_TMAP2IN))*((c_TMAP3OUT)-(c_TMAP2OUT))+IF(((c_TMAP3OUT)-(c_TMAP2OUT))&gt;=0,1,-1)*QUOTIENT(((c_TMAP3IN)-(c_TMAP2IN)),2))+2147483648,4294967296)-2147483648,((c_TMAP3IN)-(c_TMAP2IN))*(((A989)-(c_TMAP2IN))*((c_TMAP3OUT)-(c_TMAP2OUT))+IF(((c_TMAP3OUT)-(c_TMAP2OUT))&gt;=0,1,-1)*QUOTIENT(((c_TMAP3IN)-(c_TMAP2IN)),2)))&gt;=0,1,0)))</f>
        <v>644</v>
      </c>
      <c r="G989" s="7" t="n">
        <f aca="false">IF(((1000)-(c_TMAP3IN))=0,(c_TMAP3OUT)+QUOTIENT(((1000)-(c_TMAP3OUT)),2),QUOTIENT((((A989)-(c_TMAP3IN))*((1000)-(c_TMAP3OUT))+IF(((1000)-(c_TMAP3OUT))&gt;=0,1,-1)*QUOTIENT(((1000)-(c_TMAP3IN)),2)),((1000)-(c_TMAP3IN)))+(c_TMAP3OUT)+IF(((1000)-(c_TMAP3OUT))&gt;=0,IF(IF(o_WRAP=1,MOD(((1000)-(c_TMAP3IN))*(((A989)-(c_TMAP3IN))*((1000)-(c_TMAP3OUT))+IF(((1000)-(c_TMAP3OUT))&gt;=0,1,-1)*QUOTIENT(((1000)-(c_TMAP3IN)),2))+2147483648,4294967296)-2147483648,((1000)-(c_TMAP3IN))*(((A989)-(c_TMAP3IN))*((1000)-(c_TMAP3OUT))+IF(((1000)-(c_TMAP3OUT))&gt;=0,1,-1)*QUOTIENT(((1000)-(c_TMAP3IN)),2)))&lt;0,-1,0),IF(IF(o_WRAP=1,MOD(((1000)-(c_TMAP3IN))*(((A989)-(c_TMAP3IN))*((1000)-(c_TMAP3OUT))+IF(((1000)-(c_TMAP3OUT))&gt;=0,1,-1)*QUOTIENT(((1000)-(c_TMAP3IN)),2))+2147483648,4294967296)-2147483648,((1000)-(c_TMAP3IN))*(((A989)-(c_TMAP3IN))*((1000)-(c_TMAP3OUT))+IF(((1000)-(c_TMAP3OUT))&gt;=0,1,-1)*QUOTIENT(((1000)-(c_TMAP3IN)),2)))&gt;=0,1,0)))</f>
        <v>980</v>
      </c>
      <c r="H989" s="7" t="str">
        <f aca="false">IF(A989&gt;=c_TFWD,IF(AND(A989&gt;=c_TMAP3IN,c_TMAP3IN&lt;1000),"Seg4 map3-100%",IF(AND(A989&gt;=c_TMAP2IN,c_TMAP3IN&gt;c_TMAP2IN),"Seg3 map2-map3",IF(AND(A989&gt;=c_TMAP1IN,c_TMAP2IN&gt;c_TMAP1IN),"Seg2 map1-map2","Seg1 TFWD-map1"))),IF(AND(A989=0,c_TCREEP&gt;0),"Creep",IF(AND(A989&lt;=c_TRNGMIN,A989&gt;=c_TRNGMAX,c_TRNGMIN-c_TRNGMAX&lt;&gt;0),"Regen ramp","Coast (0)")))</f>
        <v>Seg4 map3-100%</v>
      </c>
      <c r="I989" s="7" t="n">
        <f aca="false">IF(A989&gt;=c_TFWD,IF(AND(A989&gt;=c_TMAP3IN,c_TMAP3IN&lt;1000),G989,IF(AND(A989&gt;=c_TMAP2IN,c_TMAP3IN&gt;c_TMAP2IN),F989,IF(AND(A989&gt;=c_TMAP1IN,c_TMAP2IN&gt;c_TMAP1IN),E989,D989))),C989)</f>
        <v>980</v>
      </c>
      <c r="J989" s="7" t="str">
        <f aca="false">IF(I989&lt;-1090,"TOO LOW",IF(I989&gt;1090,"TOO HIGH",""))</f>
        <v/>
      </c>
      <c r="K989" s="15" t="n">
        <f aca="false">IF(J989&lt;&gt;"",0,IF(I989&gt;979,1000,I989))</f>
        <v>1000</v>
      </c>
      <c r="L989" s="7" t="n">
        <f aca="false">K989/10</f>
        <v>100</v>
      </c>
    </row>
    <row r="990" customFormat="false" ht="15" hidden="false" customHeight="false" outlineLevel="0" collapsed="false">
      <c r="A990" s="7" t="n">
        <v>985</v>
      </c>
      <c r="B990" s="7" t="n">
        <f aca="false">A990/10</f>
        <v>98.5</v>
      </c>
      <c r="C990" s="7" t="n">
        <f aca="false">IF(AND(A990=0,c_TCREEP&gt;0),10*c_TCREEP,IF(AND(A990&lt;=c_TRNGMIN,A990&gt;=c_TRNGMAX,c_TRNGMIN-c_TRNGMAX&lt;&gt;0),-10*c_TMINRN+QUOTIENT((c_TMAXRN-c_TMINRN)*(100-QUOTIENT((A990-c_TRNGMAX)*100,c_TRNGMIN-c_TRNGMAX)),-10),0))</f>
        <v>0</v>
      </c>
      <c r="D990" s="7" t="n">
        <f aca="false">IF(((c_TMAP1IN)-(c_TFWD))=0,(0)+QUOTIENT(((c_TMAP1OUT)-(0)),2),QUOTIENT((((A990)-(c_TFWD))*((c_TMAP1OUT)-(0))+IF(((c_TMAP1OUT)-(0))&gt;=0,1,-1)*QUOTIENT(((c_TMAP1IN)-(c_TFWD)),2)),((c_TMAP1IN)-(c_TFWD)))+(0)+IF(((c_TMAP1OUT)-(0))&gt;=0,IF(IF(o_WRAP=1,MOD(((c_TMAP1IN)-(c_TFWD))*(((A990)-(c_TFWD))*((c_TMAP1OUT)-(0))+IF(((c_TMAP1OUT)-(0))&gt;=0,1,-1)*QUOTIENT(((c_TMAP1IN)-(c_TFWD)),2))+2147483648,4294967296)-2147483648,((c_TMAP1IN)-(c_TFWD))*(((A990)-(c_TFWD))*((c_TMAP1OUT)-(0))+IF(((c_TMAP1OUT)-(0))&gt;=0,1,-1)*QUOTIENT(((c_TMAP1IN)-(c_TFWD)),2)))&lt;0,-1,0),IF(IF(o_WRAP=1,MOD(((c_TMAP1IN)-(c_TFWD))*(((A990)-(c_TFWD))*((c_TMAP1OUT)-(0))+IF(((c_TMAP1OUT)-(0))&gt;=0,1,-1)*QUOTIENT(((c_TMAP1IN)-(c_TFWD)),2))+2147483648,4294967296)-2147483648,((c_TMAP1IN)-(c_TFWD))*(((A990)-(c_TFWD))*((c_TMAP1OUT)-(0))+IF(((c_TMAP1OUT)-(0))&gt;=0,1,-1)*QUOTIENT(((c_TMAP1IN)-(c_TFWD)),2)))&gt;=0,1,0)))</f>
        <v>758</v>
      </c>
      <c r="E990" s="7" t="n">
        <f aca="false">IF(((c_TMAP2IN)-(c_TMAP1IN))=0,(c_TMAP1OUT)+QUOTIENT(((c_TMAP2OUT)-(c_TMAP1OUT)),2),QUOTIENT((((A990)-(c_TMAP1IN))*((c_TMAP2OUT)-(c_TMAP1OUT))+IF(((c_TMAP2OUT)-(c_TMAP1OUT))&gt;=0,1,-1)*QUOTIENT(((c_TMAP2IN)-(c_TMAP1IN)),2)),((c_TMAP2IN)-(c_TMAP1IN)))+(c_TMAP1OUT)+IF(((c_TMAP2OUT)-(c_TMAP1OUT))&gt;=0,IF(IF(o_WRAP=1,MOD(((c_TMAP2IN)-(c_TMAP1IN))*(((A990)-(c_TMAP1IN))*((c_TMAP2OUT)-(c_TMAP1OUT))+IF(((c_TMAP2OUT)-(c_TMAP1OUT))&gt;=0,1,-1)*QUOTIENT(((c_TMAP2IN)-(c_TMAP1IN)),2))+2147483648,4294967296)-2147483648,((c_TMAP2IN)-(c_TMAP1IN))*(((A990)-(c_TMAP1IN))*((c_TMAP2OUT)-(c_TMAP1OUT))+IF(((c_TMAP2OUT)-(c_TMAP1OUT))&gt;=0,1,-1)*QUOTIENT(((c_TMAP2IN)-(c_TMAP1IN)),2)))&lt;0,-1,0),IF(IF(o_WRAP=1,MOD(((c_TMAP2IN)-(c_TMAP1IN))*(((A990)-(c_TMAP1IN))*((c_TMAP2OUT)-(c_TMAP1OUT))+IF(((c_TMAP2OUT)-(c_TMAP1OUT))&gt;=0,1,-1)*QUOTIENT(((c_TMAP2IN)-(c_TMAP1IN)),2))+2147483648,4294967296)-2147483648,((c_TMAP2IN)-(c_TMAP1IN))*(((A990)-(c_TMAP1IN))*((c_TMAP2OUT)-(c_TMAP1OUT))+IF(((c_TMAP2OUT)-(c_TMAP1OUT))&gt;=0,1,-1)*QUOTIENT(((c_TMAP2IN)-(c_TMAP1IN)),2)))&gt;=0,1,0)))</f>
        <v>424</v>
      </c>
      <c r="F990" s="7" t="n">
        <f aca="false">IF(((c_TMAP3IN)-(c_TMAP2IN))=0,(c_TMAP2OUT)+QUOTIENT(((c_TMAP3OUT)-(c_TMAP2OUT)),2),QUOTIENT((((A990)-(c_TMAP2IN))*((c_TMAP3OUT)-(c_TMAP2OUT))+IF(((c_TMAP3OUT)-(c_TMAP2OUT))&gt;=0,1,-1)*QUOTIENT(((c_TMAP3IN)-(c_TMAP2IN)),2)),((c_TMAP3IN)-(c_TMAP2IN)))+(c_TMAP2OUT)+IF(((c_TMAP3OUT)-(c_TMAP2OUT))&gt;=0,IF(IF(o_WRAP=1,MOD(((c_TMAP3IN)-(c_TMAP2IN))*(((A990)-(c_TMAP2IN))*((c_TMAP3OUT)-(c_TMAP2OUT))+IF(((c_TMAP3OUT)-(c_TMAP2OUT))&gt;=0,1,-1)*QUOTIENT(((c_TMAP3IN)-(c_TMAP2IN)),2))+2147483648,4294967296)-2147483648,((c_TMAP3IN)-(c_TMAP2IN))*(((A990)-(c_TMAP2IN))*((c_TMAP3OUT)-(c_TMAP2OUT))+IF(((c_TMAP3OUT)-(c_TMAP2OUT))&gt;=0,1,-1)*QUOTIENT(((c_TMAP3IN)-(c_TMAP2IN)),2)))&lt;0,-1,0),IF(IF(o_WRAP=1,MOD(((c_TMAP3IN)-(c_TMAP2IN))*(((A990)-(c_TMAP2IN))*((c_TMAP3OUT)-(c_TMAP2OUT))+IF(((c_TMAP3OUT)-(c_TMAP2OUT))&gt;=0,1,-1)*QUOTIENT(((c_TMAP3IN)-(c_TMAP2IN)),2))+2147483648,4294967296)-2147483648,((c_TMAP3IN)-(c_TMAP2IN))*(((A990)-(c_TMAP2IN))*((c_TMAP3OUT)-(c_TMAP2OUT))+IF(((c_TMAP3OUT)-(c_TMAP2OUT))&gt;=0,1,-1)*QUOTIENT(((c_TMAP3IN)-(c_TMAP2IN)),2)))&gt;=0,1,0)))</f>
        <v>645</v>
      </c>
      <c r="G990" s="7" t="n">
        <f aca="false">IF(((1000)-(c_TMAP3IN))=0,(c_TMAP3OUT)+QUOTIENT(((1000)-(c_TMAP3OUT)),2),QUOTIENT((((A990)-(c_TMAP3IN))*((1000)-(c_TMAP3OUT))+IF(((1000)-(c_TMAP3OUT))&gt;=0,1,-1)*QUOTIENT(((1000)-(c_TMAP3IN)),2)),((1000)-(c_TMAP3IN)))+(c_TMAP3OUT)+IF(((1000)-(c_TMAP3OUT))&gt;=0,IF(IF(o_WRAP=1,MOD(((1000)-(c_TMAP3IN))*(((A990)-(c_TMAP3IN))*((1000)-(c_TMAP3OUT))+IF(((1000)-(c_TMAP3OUT))&gt;=0,1,-1)*QUOTIENT(((1000)-(c_TMAP3IN)),2))+2147483648,4294967296)-2147483648,((1000)-(c_TMAP3IN))*(((A990)-(c_TMAP3IN))*((1000)-(c_TMAP3OUT))+IF(((1000)-(c_TMAP3OUT))&gt;=0,1,-1)*QUOTIENT(((1000)-(c_TMAP3IN)),2)))&lt;0,-1,0),IF(IF(o_WRAP=1,MOD(((1000)-(c_TMAP3IN))*(((A990)-(c_TMAP3IN))*((1000)-(c_TMAP3OUT))+IF(((1000)-(c_TMAP3OUT))&gt;=0,1,-1)*QUOTIENT(((1000)-(c_TMAP3IN)),2))+2147483648,4294967296)-2147483648,((1000)-(c_TMAP3IN))*(((A990)-(c_TMAP3IN))*((1000)-(c_TMAP3OUT))+IF(((1000)-(c_TMAP3OUT))&gt;=0,1,-1)*QUOTIENT(((1000)-(c_TMAP3IN)),2)))&gt;=0,1,0)))</f>
        <v>982</v>
      </c>
      <c r="H990" s="7" t="str">
        <f aca="false">IF(A990&gt;=c_TFWD,IF(AND(A990&gt;=c_TMAP3IN,c_TMAP3IN&lt;1000),"Seg4 map3-100%",IF(AND(A990&gt;=c_TMAP2IN,c_TMAP3IN&gt;c_TMAP2IN),"Seg3 map2-map3",IF(AND(A990&gt;=c_TMAP1IN,c_TMAP2IN&gt;c_TMAP1IN),"Seg2 map1-map2","Seg1 TFWD-map1"))),IF(AND(A990=0,c_TCREEP&gt;0),"Creep",IF(AND(A990&lt;=c_TRNGMIN,A990&gt;=c_TRNGMAX,c_TRNGMIN-c_TRNGMAX&lt;&gt;0),"Regen ramp","Coast (0)")))</f>
        <v>Seg4 map3-100%</v>
      </c>
      <c r="I990" s="7" t="n">
        <f aca="false">IF(A990&gt;=c_TFWD,IF(AND(A990&gt;=c_TMAP3IN,c_TMAP3IN&lt;1000),G990,IF(AND(A990&gt;=c_TMAP2IN,c_TMAP3IN&gt;c_TMAP2IN),F990,IF(AND(A990&gt;=c_TMAP1IN,c_TMAP2IN&gt;c_TMAP1IN),E990,D990))),C990)</f>
        <v>982</v>
      </c>
      <c r="J990" s="7" t="str">
        <f aca="false">IF(I990&lt;-1090,"TOO LOW",IF(I990&gt;1090,"TOO HIGH",""))</f>
        <v/>
      </c>
      <c r="K990" s="15" t="n">
        <f aca="false">IF(J990&lt;&gt;"",0,IF(I990&gt;979,1000,I990))</f>
        <v>1000</v>
      </c>
      <c r="L990" s="7" t="n">
        <f aca="false">K990/10</f>
        <v>100</v>
      </c>
    </row>
    <row r="991" customFormat="false" ht="15" hidden="false" customHeight="false" outlineLevel="0" collapsed="false">
      <c r="A991" s="7" t="n">
        <v>986</v>
      </c>
      <c r="B991" s="7" t="n">
        <f aca="false">A991/10</f>
        <v>98.6</v>
      </c>
      <c r="C991" s="7" t="n">
        <f aca="false">IF(AND(A991=0,c_TCREEP&gt;0),10*c_TCREEP,IF(AND(A991&lt;=c_TRNGMIN,A991&gt;=c_TRNGMAX,c_TRNGMIN-c_TRNGMAX&lt;&gt;0),-10*c_TMINRN+QUOTIENT((c_TMAXRN-c_TMINRN)*(100-QUOTIENT((A991-c_TRNGMAX)*100,c_TRNGMIN-c_TRNGMAX)),-10),0))</f>
        <v>0</v>
      </c>
      <c r="D991" s="7" t="n">
        <f aca="false">IF(((c_TMAP1IN)-(c_TFWD))=0,(0)+QUOTIENT(((c_TMAP1OUT)-(0)),2),QUOTIENT((((A991)-(c_TFWD))*((c_TMAP1OUT)-(0))+IF(((c_TMAP1OUT)-(0))&gt;=0,1,-1)*QUOTIENT(((c_TMAP1IN)-(c_TFWD)),2)),((c_TMAP1IN)-(c_TFWD)))+(0)+IF(((c_TMAP1OUT)-(0))&gt;=0,IF(IF(o_WRAP=1,MOD(((c_TMAP1IN)-(c_TFWD))*(((A991)-(c_TFWD))*((c_TMAP1OUT)-(0))+IF(((c_TMAP1OUT)-(0))&gt;=0,1,-1)*QUOTIENT(((c_TMAP1IN)-(c_TFWD)),2))+2147483648,4294967296)-2147483648,((c_TMAP1IN)-(c_TFWD))*(((A991)-(c_TFWD))*((c_TMAP1OUT)-(0))+IF(((c_TMAP1OUT)-(0))&gt;=0,1,-1)*QUOTIENT(((c_TMAP1IN)-(c_TFWD)),2)))&lt;0,-1,0),IF(IF(o_WRAP=1,MOD(((c_TMAP1IN)-(c_TFWD))*(((A991)-(c_TFWD))*((c_TMAP1OUT)-(0))+IF(((c_TMAP1OUT)-(0))&gt;=0,1,-1)*QUOTIENT(((c_TMAP1IN)-(c_TFWD)),2))+2147483648,4294967296)-2147483648,((c_TMAP1IN)-(c_TFWD))*(((A991)-(c_TFWD))*((c_TMAP1OUT)-(0))+IF(((c_TMAP1OUT)-(0))&gt;=0,1,-1)*QUOTIENT(((c_TMAP1IN)-(c_TFWD)),2)))&gt;=0,1,0)))</f>
        <v>759</v>
      </c>
      <c r="E991" s="7" t="n">
        <f aca="false">IF(((c_TMAP2IN)-(c_TMAP1IN))=0,(c_TMAP1OUT)+QUOTIENT(((c_TMAP2OUT)-(c_TMAP1OUT)),2),QUOTIENT((((A991)-(c_TMAP1IN))*((c_TMAP2OUT)-(c_TMAP1OUT))+IF(((c_TMAP2OUT)-(c_TMAP1OUT))&gt;=0,1,-1)*QUOTIENT(((c_TMAP2IN)-(c_TMAP1IN)),2)),((c_TMAP2IN)-(c_TMAP1IN)))+(c_TMAP1OUT)+IF(((c_TMAP2OUT)-(c_TMAP1OUT))&gt;=0,IF(IF(o_WRAP=1,MOD(((c_TMAP2IN)-(c_TMAP1IN))*(((A991)-(c_TMAP1IN))*((c_TMAP2OUT)-(c_TMAP1OUT))+IF(((c_TMAP2OUT)-(c_TMAP1OUT))&gt;=0,1,-1)*QUOTIENT(((c_TMAP2IN)-(c_TMAP1IN)),2))+2147483648,4294967296)-2147483648,((c_TMAP2IN)-(c_TMAP1IN))*(((A991)-(c_TMAP1IN))*((c_TMAP2OUT)-(c_TMAP1OUT))+IF(((c_TMAP2OUT)-(c_TMAP1OUT))&gt;=0,1,-1)*QUOTIENT(((c_TMAP2IN)-(c_TMAP1IN)),2)))&lt;0,-1,0),IF(IF(o_WRAP=1,MOD(((c_TMAP2IN)-(c_TMAP1IN))*(((A991)-(c_TMAP1IN))*((c_TMAP2OUT)-(c_TMAP1OUT))+IF(((c_TMAP2OUT)-(c_TMAP1OUT))&gt;=0,1,-1)*QUOTIENT(((c_TMAP2IN)-(c_TMAP1IN)),2))+2147483648,4294967296)-2147483648,((c_TMAP2IN)-(c_TMAP1IN))*(((A991)-(c_TMAP1IN))*((c_TMAP2OUT)-(c_TMAP1OUT))+IF(((c_TMAP2OUT)-(c_TMAP1OUT))&gt;=0,1,-1)*QUOTIENT(((c_TMAP2IN)-(c_TMAP1IN)),2)))&gt;=0,1,0)))</f>
        <v>424</v>
      </c>
      <c r="F991" s="7" t="n">
        <f aca="false">IF(((c_TMAP3IN)-(c_TMAP2IN))=0,(c_TMAP2OUT)+QUOTIENT(((c_TMAP3OUT)-(c_TMAP2OUT)),2),QUOTIENT((((A991)-(c_TMAP2IN))*((c_TMAP3OUT)-(c_TMAP2OUT))+IF(((c_TMAP3OUT)-(c_TMAP2OUT))&gt;=0,1,-1)*QUOTIENT(((c_TMAP3IN)-(c_TMAP2IN)),2)),((c_TMAP3IN)-(c_TMAP2IN)))+(c_TMAP2OUT)+IF(((c_TMAP3OUT)-(c_TMAP2OUT))&gt;=0,IF(IF(o_WRAP=1,MOD(((c_TMAP3IN)-(c_TMAP2IN))*(((A991)-(c_TMAP2IN))*((c_TMAP3OUT)-(c_TMAP2OUT))+IF(((c_TMAP3OUT)-(c_TMAP2OUT))&gt;=0,1,-1)*QUOTIENT(((c_TMAP3IN)-(c_TMAP2IN)),2))+2147483648,4294967296)-2147483648,((c_TMAP3IN)-(c_TMAP2IN))*(((A991)-(c_TMAP2IN))*((c_TMAP3OUT)-(c_TMAP2OUT))+IF(((c_TMAP3OUT)-(c_TMAP2OUT))&gt;=0,1,-1)*QUOTIENT(((c_TMAP3IN)-(c_TMAP2IN)),2)))&lt;0,-1,0),IF(IF(o_WRAP=1,MOD(((c_TMAP3IN)-(c_TMAP2IN))*(((A991)-(c_TMAP2IN))*((c_TMAP3OUT)-(c_TMAP2OUT))+IF(((c_TMAP3OUT)-(c_TMAP2OUT))&gt;=0,1,-1)*QUOTIENT(((c_TMAP3IN)-(c_TMAP2IN)),2))+2147483648,4294967296)-2147483648,((c_TMAP3IN)-(c_TMAP2IN))*(((A991)-(c_TMAP2IN))*((c_TMAP3OUT)-(c_TMAP2OUT))+IF(((c_TMAP3OUT)-(c_TMAP2OUT))&gt;=0,1,-1)*QUOTIENT(((c_TMAP3IN)-(c_TMAP2IN)),2)))&gt;=0,1,0)))</f>
        <v>645</v>
      </c>
      <c r="G991" s="7" t="n">
        <f aca="false">IF(((1000)-(c_TMAP3IN))=0,(c_TMAP3OUT)+QUOTIENT(((1000)-(c_TMAP3OUT)),2),QUOTIENT((((A991)-(c_TMAP3IN))*((1000)-(c_TMAP3OUT))+IF(((1000)-(c_TMAP3OUT))&gt;=0,1,-1)*QUOTIENT(((1000)-(c_TMAP3IN)),2)),((1000)-(c_TMAP3IN)))+(c_TMAP3OUT)+IF(((1000)-(c_TMAP3OUT))&gt;=0,IF(IF(o_WRAP=1,MOD(((1000)-(c_TMAP3IN))*(((A991)-(c_TMAP3IN))*((1000)-(c_TMAP3OUT))+IF(((1000)-(c_TMAP3OUT))&gt;=0,1,-1)*QUOTIENT(((1000)-(c_TMAP3IN)),2))+2147483648,4294967296)-2147483648,((1000)-(c_TMAP3IN))*(((A991)-(c_TMAP3IN))*((1000)-(c_TMAP3OUT))+IF(((1000)-(c_TMAP3OUT))&gt;=0,1,-1)*QUOTIENT(((1000)-(c_TMAP3IN)),2)))&lt;0,-1,0),IF(IF(o_WRAP=1,MOD(((1000)-(c_TMAP3IN))*(((A991)-(c_TMAP3IN))*((1000)-(c_TMAP3OUT))+IF(((1000)-(c_TMAP3OUT))&gt;=0,1,-1)*QUOTIENT(((1000)-(c_TMAP3IN)),2))+2147483648,4294967296)-2147483648,((1000)-(c_TMAP3IN))*(((A991)-(c_TMAP3IN))*((1000)-(c_TMAP3OUT))+IF(((1000)-(c_TMAP3OUT))&gt;=0,1,-1)*QUOTIENT(((1000)-(c_TMAP3IN)),2)))&gt;=0,1,0)))</f>
        <v>983</v>
      </c>
      <c r="H991" s="7" t="str">
        <f aca="false">IF(A991&gt;=c_TFWD,IF(AND(A991&gt;=c_TMAP3IN,c_TMAP3IN&lt;1000),"Seg4 map3-100%",IF(AND(A991&gt;=c_TMAP2IN,c_TMAP3IN&gt;c_TMAP2IN),"Seg3 map2-map3",IF(AND(A991&gt;=c_TMAP1IN,c_TMAP2IN&gt;c_TMAP1IN),"Seg2 map1-map2","Seg1 TFWD-map1"))),IF(AND(A991=0,c_TCREEP&gt;0),"Creep",IF(AND(A991&lt;=c_TRNGMIN,A991&gt;=c_TRNGMAX,c_TRNGMIN-c_TRNGMAX&lt;&gt;0),"Regen ramp","Coast (0)")))</f>
        <v>Seg4 map3-100%</v>
      </c>
      <c r="I991" s="7" t="n">
        <f aca="false">IF(A991&gt;=c_TFWD,IF(AND(A991&gt;=c_TMAP3IN,c_TMAP3IN&lt;1000),G991,IF(AND(A991&gt;=c_TMAP2IN,c_TMAP3IN&gt;c_TMAP2IN),F991,IF(AND(A991&gt;=c_TMAP1IN,c_TMAP2IN&gt;c_TMAP1IN),E991,D991))),C991)</f>
        <v>983</v>
      </c>
      <c r="J991" s="7" t="str">
        <f aca="false">IF(I991&lt;-1090,"TOO LOW",IF(I991&gt;1090,"TOO HIGH",""))</f>
        <v/>
      </c>
      <c r="K991" s="15" t="n">
        <f aca="false">IF(J991&lt;&gt;"",0,IF(I991&gt;979,1000,I991))</f>
        <v>1000</v>
      </c>
      <c r="L991" s="7" t="n">
        <f aca="false">K991/10</f>
        <v>100</v>
      </c>
    </row>
    <row r="992" customFormat="false" ht="15" hidden="false" customHeight="false" outlineLevel="0" collapsed="false">
      <c r="A992" s="7" t="n">
        <v>987</v>
      </c>
      <c r="B992" s="7" t="n">
        <f aca="false">A992/10</f>
        <v>98.7</v>
      </c>
      <c r="C992" s="7" t="n">
        <f aca="false">IF(AND(A992=0,c_TCREEP&gt;0),10*c_TCREEP,IF(AND(A992&lt;=c_TRNGMIN,A992&gt;=c_TRNGMAX,c_TRNGMIN-c_TRNGMAX&lt;&gt;0),-10*c_TMINRN+QUOTIENT((c_TMAXRN-c_TMINRN)*(100-QUOTIENT((A992-c_TRNGMAX)*100,c_TRNGMIN-c_TRNGMAX)),-10),0))</f>
        <v>0</v>
      </c>
      <c r="D992" s="7" t="n">
        <f aca="false">IF(((c_TMAP1IN)-(c_TFWD))=0,(0)+QUOTIENT(((c_TMAP1OUT)-(0)),2),QUOTIENT((((A992)-(c_TFWD))*((c_TMAP1OUT)-(0))+IF(((c_TMAP1OUT)-(0))&gt;=0,1,-1)*QUOTIENT(((c_TMAP1IN)-(c_TFWD)),2)),((c_TMAP1IN)-(c_TFWD)))+(0)+IF(((c_TMAP1OUT)-(0))&gt;=0,IF(IF(o_WRAP=1,MOD(((c_TMAP1IN)-(c_TFWD))*(((A992)-(c_TFWD))*((c_TMAP1OUT)-(0))+IF(((c_TMAP1OUT)-(0))&gt;=0,1,-1)*QUOTIENT(((c_TMAP1IN)-(c_TFWD)),2))+2147483648,4294967296)-2147483648,((c_TMAP1IN)-(c_TFWD))*(((A992)-(c_TFWD))*((c_TMAP1OUT)-(0))+IF(((c_TMAP1OUT)-(0))&gt;=0,1,-1)*QUOTIENT(((c_TMAP1IN)-(c_TFWD)),2)))&lt;0,-1,0),IF(IF(o_WRAP=1,MOD(((c_TMAP1IN)-(c_TFWD))*(((A992)-(c_TFWD))*((c_TMAP1OUT)-(0))+IF(((c_TMAP1OUT)-(0))&gt;=0,1,-1)*QUOTIENT(((c_TMAP1IN)-(c_TFWD)),2))+2147483648,4294967296)-2147483648,((c_TMAP1IN)-(c_TFWD))*(((A992)-(c_TFWD))*((c_TMAP1OUT)-(0))+IF(((c_TMAP1OUT)-(0))&gt;=0,1,-1)*QUOTIENT(((c_TMAP1IN)-(c_TFWD)),2)))&gt;=0,1,0)))</f>
        <v>760</v>
      </c>
      <c r="E992" s="7" t="n">
        <f aca="false">IF(((c_TMAP2IN)-(c_TMAP1IN))=0,(c_TMAP1OUT)+QUOTIENT(((c_TMAP2OUT)-(c_TMAP1OUT)),2),QUOTIENT((((A992)-(c_TMAP1IN))*((c_TMAP2OUT)-(c_TMAP1OUT))+IF(((c_TMAP2OUT)-(c_TMAP1OUT))&gt;=0,1,-1)*QUOTIENT(((c_TMAP2IN)-(c_TMAP1IN)),2)),((c_TMAP2IN)-(c_TMAP1IN)))+(c_TMAP1OUT)+IF(((c_TMAP2OUT)-(c_TMAP1OUT))&gt;=0,IF(IF(o_WRAP=1,MOD(((c_TMAP2IN)-(c_TMAP1IN))*(((A992)-(c_TMAP1IN))*((c_TMAP2OUT)-(c_TMAP1OUT))+IF(((c_TMAP2OUT)-(c_TMAP1OUT))&gt;=0,1,-1)*QUOTIENT(((c_TMAP2IN)-(c_TMAP1IN)),2))+2147483648,4294967296)-2147483648,((c_TMAP2IN)-(c_TMAP1IN))*(((A992)-(c_TMAP1IN))*((c_TMAP2OUT)-(c_TMAP1OUT))+IF(((c_TMAP2OUT)-(c_TMAP1OUT))&gt;=0,1,-1)*QUOTIENT(((c_TMAP2IN)-(c_TMAP1IN)),2)))&lt;0,-1,0),IF(IF(o_WRAP=1,MOD(((c_TMAP2IN)-(c_TMAP1IN))*(((A992)-(c_TMAP1IN))*((c_TMAP2OUT)-(c_TMAP1OUT))+IF(((c_TMAP2OUT)-(c_TMAP1OUT))&gt;=0,1,-1)*QUOTIENT(((c_TMAP2IN)-(c_TMAP1IN)),2))+2147483648,4294967296)-2147483648,((c_TMAP2IN)-(c_TMAP1IN))*(((A992)-(c_TMAP1IN))*((c_TMAP2OUT)-(c_TMAP1OUT))+IF(((c_TMAP2OUT)-(c_TMAP1OUT))&gt;=0,1,-1)*QUOTIENT(((c_TMAP2IN)-(c_TMAP1IN)),2)))&gt;=0,1,0)))</f>
        <v>425</v>
      </c>
      <c r="F992" s="7" t="n">
        <f aca="false">IF(((c_TMAP3IN)-(c_TMAP2IN))=0,(c_TMAP2OUT)+QUOTIENT(((c_TMAP3OUT)-(c_TMAP2OUT)),2),QUOTIENT((((A992)-(c_TMAP2IN))*((c_TMAP3OUT)-(c_TMAP2OUT))+IF(((c_TMAP3OUT)-(c_TMAP2OUT))&gt;=0,1,-1)*QUOTIENT(((c_TMAP3IN)-(c_TMAP2IN)),2)),((c_TMAP3IN)-(c_TMAP2IN)))+(c_TMAP2OUT)+IF(((c_TMAP3OUT)-(c_TMAP2OUT))&gt;=0,IF(IF(o_WRAP=1,MOD(((c_TMAP3IN)-(c_TMAP2IN))*(((A992)-(c_TMAP2IN))*((c_TMAP3OUT)-(c_TMAP2OUT))+IF(((c_TMAP3OUT)-(c_TMAP2OUT))&gt;=0,1,-1)*QUOTIENT(((c_TMAP3IN)-(c_TMAP2IN)),2))+2147483648,4294967296)-2147483648,((c_TMAP3IN)-(c_TMAP2IN))*(((A992)-(c_TMAP2IN))*((c_TMAP3OUT)-(c_TMAP2OUT))+IF(((c_TMAP3OUT)-(c_TMAP2OUT))&gt;=0,1,-1)*QUOTIENT(((c_TMAP3IN)-(c_TMAP2IN)),2)))&lt;0,-1,0),IF(IF(o_WRAP=1,MOD(((c_TMAP3IN)-(c_TMAP2IN))*(((A992)-(c_TMAP2IN))*((c_TMAP3OUT)-(c_TMAP2OUT))+IF(((c_TMAP3OUT)-(c_TMAP2OUT))&gt;=0,1,-1)*QUOTIENT(((c_TMAP3IN)-(c_TMAP2IN)),2))+2147483648,4294967296)-2147483648,((c_TMAP3IN)-(c_TMAP2IN))*(((A992)-(c_TMAP2IN))*((c_TMAP3OUT)-(c_TMAP2OUT))+IF(((c_TMAP3OUT)-(c_TMAP2OUT))&gt;=0,1,-1)*QUOTIENT(((c_TMAP3IN)-(c_TMAP2IN)),2)))&gt;=0,1,0)))</f>
        <v>646</v>
      </c>
      <c r="G992" s="7" t="n">
        <f aca="false">IF(((1000)-(c_TMAP3IN))=0,(c_TMAP3OUT)+QUOTIENT(((1000)-(c_TMAP3OUT)),2),QUOTIENT((((A992)-(c_TMAP3IN))*((1000)-(c_TMAP3OUT))+IF(((1000)-(c_TMAP3OUT))&gt;=0,1,-1)*QUOTIENT(((1000)-(c_TMAP3IN)),2)),((1000)-(c_TMAP3IN)))+(c_TMAP3OUT)+IF(((1000)-(c_TMAP3OUT))&gt;=0,IF(IF(o_WRAP=1,MOD(((1000)-(c_TMAP3IN))*(((A992)-(c_TMAP3IN))*((1000)-(c_TMAP3OUT))+IF(((1000)-(c_TMAP3OUT))&gt;=0,1,-1)*QUOTIENT(((1000)-(c_TMAP3IN)),2))+2147483648,4294967296)-2147483648,((1000)-(c_TMAP3IN))*(((A992)-(c_TMAP3IN))*((1000)-(c_TMAP3OUT))+IF(((1000)-(c_TMAP3OUT))&gt;=0,1,-1)*QUOTIENT(((1000)-(c_TMAP3IN)),2)))&lt;0,-1,0),IF(IF(o_WRAP=1,MOD(((1000)-(c_TMAP3IN))*(((A992)-(c_TMAP3IN))*((1000)-(c_TMAP3OUT))+IF(((1000)-(c_TMAP3OUT))&gt;=0,1,-1)*QUOTIENT(((1000)-(c_TMAP3IN)),2))+2147483648,4294967296)-2147483648,((1000)-(c_TMAP3IN))*(((A992)-(c_TMAP3IN))*((1000)-(c_TMAP3OUT))+IF(((1000)-(c_TMAP3OUT))&gt;=0,1,-1)*QUOTIENT(((1000)-(c_TMAP3IN)),2)))&gt;=0,1,0)))</f>
        <v>984</v>
      </c>
      <c r="H992" s="7" t="str">
        <f aca="false">IF(A992&gt;=c_TFWD,IF(AND(A992&gt;=c_TMAP3IN,c_TMAP3IN&lt;1000),"Seg4 map3-100%",IF(AND(A992&gt;=c_TMAP2IN,c_TMAP3IN&gt;c_TMAP2IN),"Seg3 map2-map3",IF(AND(A992&gt;=c_TMAP1IN,c_TMAP2IN&gt;c_TMAP1IN),"Seg2 map1-map2","Seg1 TFWD-map1"))),IF(AND(A992=0,c_TCREEP&gt;0),"Creep",IF(AND(A992&lt;=c_TRNGMIN,A992&gt;=c_TRNGMAX,c_TRNGMIN-c_TRNGMAX&lt;&gt;0),"Regen ramp","Coast (0)")))</f>
        <v>Seg4 map3-100%</v>
      </c>
      <c r="I992" s="7" t="n">
        <f aca="false">IF(A992&gt;=c_TFWD,IF(AND(A992&gt;=c_TMAP3IN,c_TMAP3IN&lt;1000),G992,IF(AND(A992&gt;=c_TMAP2IN,c_TMAP3IN&gt;c_TMAP2IN),F992,IF(AND(A992&gt;=c_TMAP1IN,c_TMAP2IN&gt;c_TMAP1IN),E992,D992))),C992)</f>
        <v>984</v>
      </c>
      <c r="J992" s="7" t="str">
        <f aca="false">IF(I992&lt;-1090,"TOO LOW",IF(I992&gt;1090,"TOO HIGH",""))</f>
        <v/>
      </c>
      <c r="K992" s="15" t="n">
        <f aca="false">IF(J992&lt;&gt;"",0,IF(I992&gt;979,1000,I992))</f>
        <v>1000</v>
      </c>
      <c r="L992" s="7" t="n">
        <f aca="false">K992/10</f>
        <v>100</v>
      </c>
    </row>
    <row r="993" customFormat="false" ht="15" hidden="false" customHeight="false" outlineLevel="0" collapsed="false">
      <c r="A993" s="7" t="n">
        <v>988</v>
      </c>
      <c r="B993" s="7" t="n">
        <f aca="false">A993/10</f>
        <v>98.8</v>
      </c>
      <c r="C993" s="7" t="n">
        <f aca="false">IF(AND(A993=0,c_TCREEP&gt;0),10*c_TCREEP,IF(AND(A993&lt;=c_TRNGMIN,A993&gt;=c_TRNGMAX,c_TRNGMIN-c_TRNGMAX&lt;&gt;0),-10*c_TMINRN+QUOTIENT((c_TMAXRN-c_TMINRN)*(100-QUOTIENT((A993-c_TRNGMAX)*100,c_TRNGMIN-c_TRNGMAX)),-10),0))</f>
        <v>0</v>
      </c>
      <c r="D993" s="7" t="n">
        <f aca="false">IF(((c_TMAP1IN)-(c_TFWD))=0,(0)+QUOTIENT(((c_TMAP1OUT)-(0)),2),QUOTIENT((((A993)-(c_TFWD))*((c_TMAP1OUT)-(0))+IF(((c_TMAP1OUT)-(0))&gt;=0,1,-1)*QUOTIENT(((c_TMAP1IN)-(c_TFWD)),2)),((c_TMAP1IN)-(c_TFWD)))+(0)+IF(((c_TMAP1OUT)-(0))&gt;=0,IF(IF(o_WRAP=1,MOD(((c_TMAP1IN)-(c_TFWD))*(((A993)-(c_TFWD))*((c_TMAP1OUT)-(0))+IF(((c_TMAP1OUT)-(0))&gt;=0,1,-1)*QUOTIENT(((c_TMAP1IN)-(c_TFWD)),2))+2147483648,4294967296)-2147483648,((c_TMAP1IN)-(c_TFWD))*(((A993)-(c_TFWD))*((c_TMAP1OUT)-(0))+IF(((c_TMAP1OUT)-(0))&gt;=0,1,-1)*QUOTIENT(((c_TMAP1IN)-(c_TFWD)),2)))&lt;0,-1,0),IF(IF(o_WRAP=1,MOD(((c_TMAP1IN)-(c_TFWD))*(((A993)-(c_TFWD))*((c_TMAP1OUT)-(0))+IF(((c_TMAP1OUT)-(0))&gt;=0,1,-1)*QUOTIENT(((c_TMAP1IN)-(c_TFWD)),2))+2147483648,4294967296)-2147483648,((c_TMAP1IN)-(c_TFWD))*(((A993)-(c_TFWD))*((c_TMAP1OUT)-(0))+IF(((c_TMAP1OUT)-(0))&gt;=0,1,-1)*QUOTIENT(((c_TMAP1IN)-(c_TFWD)),2)))&gt;=0,1,0)))</f>
        <v>761</v>
      </c>
      <c r="E993" s="7" t="n">
        <f aca="false">IF(((c_TMAP2IN)-(c_TMAP1IN))=0,(c_TMAP1OUT)+QUOTIENT(((c_TMAP2OUT)-(c_TMAP1OUT)),2),QUOTIENT((((A993)-(c_TMAP1IN))*((c_TMAP2OUT)-(c_TMAP1OUT))+IF(((c_TMAP2OUT)-(c_TMAP1OUT))&gt;=0,1,-1)*QUOTIENT(((c_TMAP2IN)-(c_TMAP1IN)),2)),((c_TMAP2IN)-(c_TMAP1IN)))+(c_TMAP1OUT)+IF(((c_TMAP2OUT)-(c_TMAP1OUT))&gt;=0,IF(IF(o_WRAP=1,MOD(((c_TMAP2IN)-(c_TMAP1IN))*(((A993)-(c_TMAP1IN))*((c_TMAP2OUT)-(c_TMAP1OUT))+IF(((c_TMAP2OUT)-(c_TMAP1OUT))&gt;=0,1,-1)*QUOTIENT(((c_TMAP2IN)-(c_TMAP1IN)),2))+2147483648,4294967296)-2147483648,((c_TMAP2IN)-(c_TMAP1IN))*(((A993)-(c_TMAP1IN))*((c_TMAP2OUT)-(c_TMAP1OUT))+IF(((c_TMAP2OUT)-(c_TMAP1OUT))&gt;=0,1,-1)*QUOTIENT(((c_TMAP2IN)-(c_TMAP1IN)),2)))&lt;0,-1,0),IF(IF(o_WRAP=1,MOD(((c_TMAP2IN)-(c_TMAP1IN))*(((A993)-(c_TMAP1IN))*((c_TMAP2OUT)-(c_TMAP1OUT))+IF(((c_TMAP2OUT)-(c_TMAP1OUT))&gt;=0,1,-1)*QUOTIENT(((c_TMAP2IN)-(c_TMAP1IN)),2))+2147483648,4294967296)-2147483648,((c_TMAP2IN)-(c_TMAP1IN))*(((A993)-(c_TMAP1IN))*((c_TMAP2OUT)-(c_TMAP1OUT))+IF(((c_TMAP2OUT)-(c_TMAP1OUT))&gt;=0,1,-1)*QUOTIENT(((c_TMAP2IN)-(c_TMAP1IN)),2)))&gt;=0,1,0)))</f>
        <v>425</v>
      </c>
      <c r="F993" s="7" t="n">
        <f aca="false">IF(((c_TMAP3IN)-(c_TMAP2IN))=0,(c_TMAP2OUT)+QUOTIENT(((c_TMAP3OUT)-(c_TMAP2OUT)),2),QUOTIENT((((A993)-(c_TMAP2IN))*((c_TMAP3OUT)-(c_TMAP2OUT))+IF(((c_TMAP3OUT)-(c_TMAP2OUT))&gt;=0,1,-1)*QUOTIENT(((c_TMAP3IN)-(c_TMAP2IN)),2)),((c_TMAP3IN)-(c_TMAP2IN)))+(c_TMAP2OUT)+IF(((c_TMAP3OUT)-(c_TMAP2OUT))&gt;=0,IF(IF(o_WRAP=1,MOD(((c_TMAP3IN)-(c_TMAP2IN))*(((A993)-(c_TMAP2IN))*((c_TMAP3OUT)-(c_TMAP2OUT))+IF(((c_TMAP3OUT)-(c_TMAP2OUT))&gt;=0,1,-1)*QUOTIENT(((c_TMAP3IN)-(c_TMAP2IN)),2))+2147483648,4294967296)-2147483648,((c_TMAP3IN)-(c_TMAP2IN))*(((A993)-(c_TMAP2IN))*((c_TMAP3OUT)-(c_TMAP2OUT))+IF(((c_TMAP3OUT)-(c_TMAP2OUT))&gt;=0,1,-1)*QUOTIENT(((c_TMAP3IN)-(c_TMAP2IN)),2)))&lt;0,-1,0),IF(IF(o_WRAP=1,MOD(((c_TMAP3IN)-(c_TMAP2IN))*(((A993)-(c_TMAP2IN))*((c_TMAP3OUT)-(c_TMAP2OUT))+IF(((c_TMAP3OUT)-(c_TMAP2OUT))&gt;=0,1,-1)*QUOTIENT(((c_TMAP3IN)-(c_TMAP2IN)),2))+2147483648,4294967296)-2147483648,((c_TMAP3IN)-(c_TMAP2IN))*(((A993)-(c_TMAP2IN))*((c_TMAP3OUT)-(c_TMAP2OUT))+IF(((c_TMAP3OUT)-(c_TMAP2OUT))&gt;=0,1,-1)*QUOTIENT(((c_TMAP3IN)-(c_TMAP2IN)),2)))&gt;=0,1,0)))</f>
        <v>647</v>
      </c>
      <c r="G993" s="7" t="n">
        <f aca="false">IF(((1000)-(c_TMAP3IN))=0,(c_TMAP3OUT)+QUOTIENT(((1000)-(c_TMAP3OUT)),2),QUOTIENT((((A993)-(c_TMAP3IN))*((1000)-(c_TMAP3OUT))+IF(((1000)-(c_TMAP3OUT))&gt;=0,1,-1)*QUOTIENT(((1000)-(c_TMAP3IN)),2)),((1000)-(c_TMAP3IN)))+(c_TMAP3OUT)+IF(((1000)-(c_TMAP3OUT))&gt;=0,IF(IF(o_WRAP=1,MOD(((1000)-(c_TMAP3IN))*(((A993)-(c_TMAP3IN))*((1000)-(c_TMAP3OUT))+IF(((1000)-(c_TMAP3OUT))&gt;=0,1,-1)*QUOTIENT(((1000)-(c_TMAP3IN)),2))+2147483648,4294967296)-2147483648,((1000)-(c_TMAP3IN))*(((A993)-(c_TMAP3IN))*((1000)-(c_TMAP3OUT))+IF(((1000)-(c_TMAP3OUT))&gt;=0,1,-1)*QUOTIENT(((1000)-(c_TMAP3IN)),2)))&lt;0,-1,0),IF(IF(o_WRAP=1,MOD(((1000)-(c_TMAP3IN))*(((A993)-(c_TMAP3IN))*((1000)-(c_TMAP3OUT))+IF(((1000)-(c_TMAP3OUT))&gt;=0,1,-1)*QUOTIENT(((1000)-(c_TMAP3IN)),2))+2147483648,4294967296)-2147483648,((1000)-(c_TMAP3IN))*(((A993)-(c_TMAP3IN))*((1000)-(c_TMAP3OUT))+IF(((1000)-(c_TMAP3OUT))&gt;=0,1,-1)*QUOTIENT(((1000)-(c_TMAP3IN)),2)))&gt;=0,1,0)))</f>
        <v>985</v>
      </c>
      <c r="H993" s="7" t="str">
        <f aca="false">IF(A993&gt;=c_TFWD,IF(AND(A993&gt;=c_TMAP3IN,c_TMAP3IN&lt;1000),"Seg4 map3-100%",IF(AND(A993&gt;=c_TMAP2IN,c_TMAP3IN&gt;c_TMAP2IN),"Seg3 map2-map3",IF(AND(A993&gt;=c_TMAP1IN,c_TMAP2IN&gt;c_TMAP1IN),"Seg2 map1-map2","Seg1 TFWD-map1"))),IF(AND(A993=0,c_TCREEP&gt;0),"Creep",IF(AND(A993&lt;=c_TRNGMIN,A993&gt;=c_TRNGMAX,c_TRNGMIN-c_TRNGMAX&lt;&gt;0),"Regen ramp","Coast (0)")))</f>
        <v>Seg4 map3-100%</v>
      </c>
      <c r="I993" s="7" t="n">
        <f aca="false">IF(A993&gt;=c_TFWD,IF(AND(A993&gt;=c_TMAP3IN,c_TMAP3IN&lt;1000),G993,IF(AND(A993&gt;=c_TMAP2IN,c_TMAP3IN&gt;c_TMAP2IN),F993,IF(AND(A993&gt;=c_TMAP1IN,c_TMAP2IN&gt;c_TMAP1IN),E993,D993))),C993)</f>
        <v>985</v>
      </c>
      <c r="J993" s="7" t="str">
        <f aca="false">IF(I993&lt;-1090,"TOO LOW",IF(I993&gt;1090,"TOO HIGH",""))</f>
        <v/>
      </c>
      <c r="K993" s="15" t="n">
        <f aca="false">IF(J993&lt;&gt;"",0,IF(I993&gt;979,1000,I993))</f>
        <v>1000</v>
      </c>
      <c r="L993" s="7" t="n">
        <f aca="false">K993/10</f>
        <v>100</v>
      </c>
    </row>
    <row r="994" customFormat="false" ht="15" hidden="false" customHeight="false" outlineLevel="0" collapsed="false">
      <c r="A994" s="7" t="n">
        <v>989</v>
      </c>
      <c r="B994" s="7" t="n">
        <f aca="false">A994/10</f>
        <v>98.9</v>
      </c>
      <c r="C994" s="7" t="n">
        <f aca="false">IF(AND(A994=0,c_TCREEP&gt;0),10*c_TCREEP,IF(AND(A994&lt;=c_TRNGMIN,A994&gt;=c_TRNGMAX,c_TRNGMIN-c_TRNGMAX&lt;&gt;0),-10*c_TMINRN+QUOTIENT((c_TMAXRN-c_TMINRN)*(100-QUOTIENT((A994-c_TRNGMAX)*100,c_TRNGMIN-c_TRNGMAX)),-10),0))</f>
        <v>0</v>
      </c>
      <c r="D994" s="7" t="n">
        <f aca="false">IF(((c_TMAP1IN)-(c_TFWD))=0,(0)+QUOTIENT(((c_TMAP1OUT)-(0)),2),QUOTIENT((((A994)-(c_TFWD))*((c_TMAP1OUT)-(0))+IF(((c_TMAP1OUT)-(0))&gt;=0,1,-1)*QUOTIENT(((c_TMAP1IN)-(c_TFWD)),2)),((c_TMAP1IN)-(c_TFWD)))+(0)+IF(((c_TMAP1OUT)-(0))&gt;=0,IF(IF(o_WRAP=1,MOD(((c_TMAP1IN)-(c_TFWD))*(((A994)-(c_TFWD))*((c_TMAP1OUT)-(0))+IF(((c_TMAP1OUT)-(0))&gt;=0,1,-1)*QUOTIENT(((c_TMAP1IN)-(c_TFWD)),2))+2147483648,4294967296)-2147483648,((c_TMAP1IN)-(c_TFWD))*(((A994)-(c_TFWD))*((c_TMAP1OUT)-(0))+IF(((c_TMAP1OUT)-(0))&gt;=0,1,-1)*QUOTIENT(((c_TMAP1IN)-(c_TFWD)),2)))&lt;0,-1,0),IF(IF(o_WRAP=1,MOD(((c_TMAP1IN)-(c_TFWD))*(((A994)-(c_TFWD))*((c_TMAP1OUT)-(0))+IF(((c_TMAP1OUT)-(0))&gt;=0,1,-1)*QUOTIENT(((c_TMAP1IN)-(c_TFWD)),2))+2147483648,4294967296)-2147483648,((c_TMAP1IN)-(c_TFWD))*(((A994)-(c_TFWD))*((c_TMAP1OUT)-(0))+IF(((c_TMAP1OUT)-(0))&gt;=0,1,-1)*QUOTIENT(((c_TMAP1IN)-(c_TFWD)),2)))&gt;=0,1,0)))</f>
        <v>761</v>
      </c>
      <c r="E994" s="7" t="n">
        <f aca="false">IF(((c_TMAP2IN)-(c_TMAP1IN))=0,(c_TMAP1OUT)+QUOTIENT(((c_TMAP2OUT)-(c_TMAP1OUT)),2),QUOTIENT((((A994)-(c_TMAP1IN))*((c_TMAP2OUT)-(c_TMAP1OUT))+IF(((c_TMAP2OUT)-(c_TMAP1OUT))&gt;=0,1,-1)*QUOTIENT(((c_TMAP2IN)-(c_TMAP1IN)),2)),((c_TMAP2IN)-(c_TMAP1IN)))+(c_TMAP1OUT)+IF(((c_TMAP2OUT)-(c_TMAP1OUT))&gt;=0,IF(IF(o_WRAP=1,MOD(((c_TMAP2IN)-(c_TMAP1IN))*(((A994)-(c_TMAP1IN))*((c_TMAP2OUT)-(c_TMAP1OUT))+IF(((c_TMAP2OUT)-(c_TMAP1OUT))&gt;=0,1,-1)*QUOTIENT(((c_TMAP2IN)-(c_TMAP1IN)),2))+2147483648,4294967296)-2147483648,((c_TMAP2IN)-(c_TMAP1IN))*(((A994)-(c_TMAP1IN))*((c_TMAP2OUT)-(c_TMAP1OUT))+IF(((c_TMAP2OUT)-(c_TMAP1OUT))&gt;=0,1,-1)*QUOTIENT(((c_TMAP2IN)-(c_TMAP1IN)),2)))&lt;0,-1,0),IF(IF(o_WRAP=1,MOD(((c_TMAP2IN)-(c_TMAP1IN))*(((A994)-(c_TMAP1IN))*((c_TMAP2OUT)-(c_TMAP1OUT))+IF(((c_TMAP2OUT)-(c_TMAP1OUT))&gt;=0,1,-1)*QUOTIENT(((c_TMAP2IN)-(c_TMAP1IN)),2))+2147483648,4294967296)-2147483648,((c_TMAP2IN)-(c_TMAP1IN))*(((A994)-(c_TMAP1IN))*((c_TMAP2OUT)-(c_TMAP1OUT))+IF(((c_TMAP2OUT)-(c_TMAP1OUT))&gt;=0,1,-1)*QUOTIENT(((c_TMAP2IN)-(c_TMAP1IN)),2)))&gt;=0,1,0)))</f>
        <v>426</v>
      </c>
      <c r="F994" s="7" t="n">
        <f aca="false">IF(((c_TMAP3IN)-(c_TMAP2IN))=0,(c_TMAP2OUT)+QUOTIENT(((c_TMAP3OUT)-(c_TMAP2OUT)),2),QUOTIENT((((A994)-(c_TMAP2IN))*((c_TMAP3OUT)-(c_TMAP2OUT))+IF(((c_TMAP3OUT)-(c_TMAP2OUT))&gt;=0,1,-1)*QUOTIENT(((c_TMAP3IN)-(c_TMAP2IN)),2)),((c_TMAP3IN)-(c_TMAP2IN)))+(c_TMAP2OUT)+IF(((c_TMAP3OUT)-(c_TMAP2OUT))&gt;=0,IF(IF(o_WRAP=1,MOD(((c_TMAP3IN)-(c_TMAP2IN))*(((A994)-(c_TMAP2IN))*((c_TMAP3OUT)-(c_TMAP2OUT))+IF(((c_TMAP3OUT)-(c_TMAP2OUT))&gt;=0,1,-1)*QUOTIENT(((c_TMAP3IN)-(c_TMAP2IN)),2))+2147483648,4294967296)-2147483648,((c_TMAP3IN)-(c_TMAP2IN))*(((A994)-(c_TMAP2IN))*((c_TMAP3OUT)-(c_TMAP2OUT))+IF(((c_TMAP3OUT)-(c_TMAP2OUT))&gt;=0,1,-1)*QUOTIENT(((c_TMAP3IN)-(c_TMAP2IN)),2)))&lt;0,-1,0),IF(IF(o_WRAP=1,MOD(((c_TMAP3IN)-(c_TMAP2IN))*(((A994)-(c_TMAP2IN))*((c_TMAP3OUT)-(c_TMAP2OUT))+IF(((c_TMAP3OUT)-(c_TMAP2OUT))&gt;=0,1,-1)*QUOTIENT(((c_TMAP3IN)-(c_TMAP2IN)),2))+2147483648,4294967296)-2147483648,((c_TMAP3IN)-(c_TMAP2IN))*(((A994)-(c_TMAP2IN))*((c_TMAP3OUT)-(c_TMAP2OUT))+IF(((c_TMAP3OUT)-(c_TMAP2OUT))&gt;=0,1,-1)*QUOTIENT(((c_TMAP3IN)-(c_TMAP2IN)),2)))&gt;=0,1,0)))</f>
        <v>647</v>
      </c>
      <c r="G994" s="7" t="n">
        <f aca="false">IF(((1000)-(c_TMAP3IN))=0,(c_TMAP3OUT)+QUOTIENT(((1000)-(c_TMAP3OUT)),2),QUOTIENT((((A994)-(c_TMAP3IN))*((1000)-(c_TMAP3OUT))+IF(((1000)-(c_TMAP3OUT))&gt;=0,1,-1)*QUOTIENT(((1000)-(c_TMAP3IN)),2)),((1000)-(c_TMAP3IN)))+(c_TMAP3OUT)+IF(((1000)-(c_TMAP3OUT))&gt;=0,IF(IF(o_WRAP=1,MOD(((1000)-(c_TMAP3IN))*(((A994)-(c_TMAP3IN))*((1000)-(c_TMAP3OUT))+IF(((1000)-(c_TMAP3OUT))&gt;=0,1,-1)*QUOTIENT(((1000)-(c_TMAP3IN)),2))+2147483648,4294967296)-2147483648,((1000)-(c_TMAP3IN))*(((A994)-(c_TMAP3IN))*((1000)-(c_TMAP3OUT))+IF(((1000)-(c_TMAP3OUT))&gt;=0,1,-1)*QUOTIENT(((1000)-(c_TMAP3IN)),2)))&lt;0,-1,0),IF(IF(o_WRAP=1,MOD(((1000)-(c_TMAP3IN))*(((A994)-(c_TMAP3IN))*((1000)-(c_TMAP3OUT))+IF(((1000)-(c_TMAP3OUT))&gt;=0,1,-1)*QUOTIENT(((1000)-(c_TMAP3IN)),2))+2147483648,4294967296)-2147483648,((1000)-(c_TMAP3IN))*(((A994)-(c_TMAP3IN))*((1000)-(c_TMAP3OUT))+IF(((1000)-(c_TMAP3OUT))&gt;=0,1,-1)*QUOTIENT(((1000)-(c_TMAP3IN)),2)))&gt;=0,1,0)))</f>
        <v>986</v>
      </c>
      <c r="H994" s="7" t="str">
        <f aca="false">IF(A994&gt;=c_TFWD,IF(AND(A994&gt;=c_TMAP3IN,c_TMAP3IN&lt;1000),"Seg4 map3-100%",IF(AND(A994&gt;=c_TMAP2IN,c_TMAP3IN&gt;c_TMAP2IN),"Seg3 map2-map3",IF(AND(A994&gt;=c_TMAP1IN,c_TMAP2IN&gt;c_TMAP1IN),"Seg2 map1-map2","Seg1 TFWD-map1"))),IF(AND(A994=0,c_TCREEP&gt;0),"Creep",IF(AND(A994&lt;=c_TRNGMIN,A994&gt;=c_TRNGMAX,c_TRNGMIN-c_TRNGMAX&lt;&gt;0),"Regen ramp","Coast (0)")))</f>
        <v>Seg4 map3-100%</v>
      </c>
      <c r="I994" s="7" t="n">
        <f aca="false">IF(A994&gt;=c_TFWD,IF(AND(A994&gt;=c_TMAP3IN,c_TMAP3IN&lt;1000),G994,IF(AND(A994&gt;=c_TMAP2IN,c_TMAP3IN&gt;c_TMAP2IN),F994,IF(AND(A994&gt;=c_TMAP1IN,c_TMAP2IN&gt;c_TMAP1IN),E994,D994))),C994)</f>
        <v>986</v>
      </c>
      <c r="J994" s="7" t="str">
        <f aca="false">IF(I994&lt;-1090,"TOO LOW",IF(I994&gt;1090,"TOO HIGH",""))</f>
        <v/>
      </c>
      <c r="K994" s="15" t="n">
        <f aca="false">IF(J994&lt;&gt;"",0,IF(I994&gt;979,1000,I994))</f>
        <v>1000</v>
      </c>
      <c r="L994" s="7" t="n">
        <f aca="false">K994/10</f>
        <v>100</v>
      </c>
    </row>
    <row r="995" customFormat="false" ht="15" hidden="false" customHeight="false" outlineLevel="0" collapsed="false">
      <c r="A995" s="7" t="n">
        <v>990</v>
      </c>
      <c r="B995" s="7" t="n">
        <f aca="false">A995/10</f>
        <v>99</v>
      </c>
      <c r="C995" s="7" t="n">
        <f aca="false">IF(AND(A995=0,c_TCREEP&gt;0),10*c_TCREEP,IF(AND(A995&lt;=c_TRNGMIN,A995&gt;=c_TRNGMAX,c_TRNGMIN-c_TRNGMAX&lt;&gt;0),-10*c_TMINRN+QUOTIENT((c_TMAXRN-c_TMINRN)*(100-QUOTIENT((A995-c_TRNGMAX)*100,c_TRNGMIN-c_TRNGMAX)),-10),0))</f>
        <v>0</v>
      </c>
      <c r="D995" s="7" t="n">
        <f aca="false">IF(((c_TMAP1IN)-(c_TFWD))=0,(0)+QUOTIENT(((c_TMAP1OUT)-(0)),2),QUOTIENT((((A995)-(c_TFWD))*((c_TMAP1OUT)-(0))+IF(((c_TMAP1OUT)-(0))&gt;=0,1,-1)*QUOTIENT(((c_TMAP1IN)-(c_TFWD)),2)),((c_TMAP1IN)-(c_TFWD)))+(0)+IF(((c_TMAP1OUT)-(0))&gt;=0,IF(IF(o_WRAP=1,MOD(((c_TMAP1IN)-(c_TFWD))*(((A995)-(c_TFWD))*((c_TMAP1OUT)-(0))+IF(((c_TMAP1OUT)-(0))&gt;=0,1,-1)*QUOTIENT(((c_TMAP1IN)-(c_TFWD)),2))+2147483648,4294967296)-2147483648,((c_TMAP1IN)-(c_TFWD))*(((A995)-(c_TFWD))*((c_TMAP1OUT)-(0))+IF(((c_TMAP1OUT)-(0))&gt;=0,1,-1)*QUOTIENT(((c_TMAP1IN)-(c_TFWD)),2)))&lt;0,-1,0),IF(IF(o_WRAP=1,MOD(((c_TMAP1IN)-(c_TFWD))*(((A995)-(c_TFWD))*((c_TMAP1OUT)-(0))+IF(((c_TMAP1OUT)-(0))&gt;=0,1,-1)*QUOTIENT(((c_TMAP1IN)-(c_TFWD)),2))+2147483648,4294967296)-2147483648,((c_TMAP1IN)-(c_TFWD))*(((A995)-(c_TFWD))*((c_TMAP1OUT)-(0))+IF(((c_TMAP1OUT)-(0))&gt;=0,1,-1)*QUOTIENT(((c_TMAP1IN)-(c_TFWD)),2)))&gt;=0,1,0)))</f>
        <v>762</v>
      </c>
      <c r="E995" s="7" t="n">
        <f aca="false">IF(((c_TMAP2IN)-(c_TMAP1IN))=0,(c_TMAP1OUT)+QUOTIENT(((c_TMAP2OUT)-(c_TMAP1OUT)),2),QUOTIENT((((A995)-(c_TMAP1IN))*((c_TMAP2OUT)-(c_TMAP1OUT))+IF(((c_TMAP2OUT)-(c_TMAP1OUT))&gt;=0,1,-1)*QUOTIENT(((c_TMAP2IN)-(c_TMAP1IN)),2)),((c_TMAP2IN)-(c_TMAP1IN)))+(c_TMAP1OUT)+IF(((c_TMAP2OUT)-(c_TMAP1OUT))&gt;=0,IF(IF(o_WRAP=1,MOD(((c_TMAP2IN)-(c_TMAP1IN))*(((A995)-(c_TMAP1IN))*((c_TMAP2OUT)-(c_TMAP1OUT))+IF(((c_TMAP2OUT)-(c_TMAP1OUT))&gt;=0,1,-1)*QUOTIENT(((c_TMAP2IN)-(c_TMAP1IN)),2))+2147483648,4294967296)-2147483648,((c_TMAP2IN)-(c_TMAP1IN))*(((A995)-(c_TMAP1IN))*((c_TMAP2OUT)-(c_TMAP1OUT))+IF(((c_TMAP2OUT)-(c_TMAP1OUT))&gt;=0,1,-1)*QUOTIENT(((c_TMAP2IN)-(c_TMAP1IN)),2)))&lt;0,-1,0),IF(IF(o_WRAP=1,MOD(((c_TMAP2IN)-(c_TMAP1IN))*(((A995)-(c_TMAP1IN))*((c_TMAP2OUT)-(c_TMAP1OUT))+IF(((c_TMAP2OUT)-(c_TMAP1OUT))&gt;=0,1,-1)*QUOTIENT(((c_TMAP2IN)-(c_TMAP1IN)),2))+2147483648,4294967296)-2147483648,((c_TMAP2IN)-(c_TMAP1IN))*(((A995)-(c_TMAP1IN))*((c_TMAP2OUT)-(c_TMAP1OUT))+IF(((c_TMAP2OUT)-(c_TMAP1OUT))&gt;=0,1,-1)*QUOTIENT(((c_TMAP2IN)-(c_TMAP1IN)),2)))&gt;=0,1,0)))</f>
        <v>426</v>
      </c>
      <c r="F995" s="7" t="n">
        <f aca="false">IF(((c_TMAP3IN)-(c_TMAP2IN))=0,(c_TMAP2OUT)+QUOTIENT(((c_TMAP3OUT)-(c_TMAP2OUT)),2),QUOTIENT((((A995)-(c_TMAP2IN))*((c_TMAP3OUT)-(c_TMAP2OUT))+IF(((c_TMAP3OUT)-(c_TMAP2OUT))&gt;=0,1,-1)*QUOTIENT(((c_TMAP3IN)-(c_TMAP2IN)),2)),((c_TMAP3IN)-(c_TMAP2IN)))+(c_TMAP2OUT)+IF(((c_TMAP3OUT)-(c_TMAP2OUT))&gt;=0,IF(IF(o_WRAP=1,MOD(((c_TMAP3IN)-(c_TMAP2IN))*(((A995)-(c_TMAP2IN))*((c_TMAP3OUT)-(c_TMAP2OUT))+IF(((c_TMAP3OUT)-(c_TMAP2OUT))&gt;=0,1,-1)*QUOTIENT(((c_TMAP3IN)-(c_TMAP2IN)),2))+2147483648,4294967296)-2147483648,((c_TMAP3IN)-(c_TMAP2IN))*(((A995)-(c_TMAP2IN))*((c_TMAP3OUT)-(c_TMAP2OUT))+IF(((c_TMAP3OUT)-(c_TMAP2OUT))&gt;=0,1,-1)*QUOTIENT(((c_TMAP3IN)-(c_TMAP2IN)),2)))&lt;0,-1,0),IF(IF(o_WRAP=1,MOD(((c_TMAP3IN)-(c_TMAP2IN))*(((A995)-(c_TMAP2IN))*((c_TMAP3OUT)-(c_TMAP2OUT))+IF(((c_TMAP3OUT)-(c_TMAP2OUT))&gt;=0,1,-1)*QUOTIENT(((c_TMAP3IN)-(c_TMAP2IN)),2))+2147483648,4294967296)-2147483648,((c_TMAP3IN)-(c_TMAP2IN))*(((A995)-(c_TMAP2IN))*((c_TMAP3OUT)-(c_TMAP2OUT))+IF(((c_TMAP3OUT)-(c_TMAP2OUT))&gt;=0,1,-1)*QUOTIENT(((c_TMAP3IN)-(c_TMAP2IN)),2)))&gt;=0,1,0)))</f>
        <v>648</v>
      </c>
      <c r="G995" s="7" t="n">
        <f aca="false">IF(((1000)-(c_TMAP3IN))=0,(c_TMAP3OUT)+QUOTIENT(((1000)-(c_TMAP3OUT)),2),QUOTIENT((((A995)-(c_TMAP3IN))*((1000)-(c_TMAP3OUT))+IF(((1000)-(c_TMAP3OUT))&gt;=0,1,-1)*QUOTIENT(((1000)-(c_TMAP3IN)),2)),((1000)-(c_TMAP3IN)))+(c_TMAP3OUT)+IF(((1000)-(c_TMAP3OUT))&gt;=0,IF(IF(o_WRAP=1,MOD(((1000)-(c_TMAP3IN))*(((A995)-(c_TMAP3IN))*((1000)-(c_TMAP3OUT))+IF(((1000)-(c_TMAP3OUT))&gt;=0,1,-1)*QUOTIENT(((1000)-(c_TMAP3IN)),2))+2147483648,4294967296)-2147483648,((1000)-(c_TMAP3IN))*(((A995)-(c_TMAP3IN))*((1000)-(c_TMAP3OUT))+IF(((1000)-(c_TMAP3OUT))&gt;=0,1,-1)*QUOTIENT(((1000)-(c_TMAP3IN)),2)))&lt;0,-1,0),IF(IF(o_WRAP=1,MOD(((1000)-(c_TMAP3IN))*(((A995)-(c_TMAP3IN))*((1000)-(c_TMAP3OUT))+IF(((1000)-(c_TMAP3OUT))&gt;=0,1,-1)*QUOTIENT(((1000)-(c_TMAP3IN)),2))+2147483648,4294967296)-2147483648,((1000)-(c_TMAP3IN))*(((A995)-(c_TMAP3IN))*((1000)-(c_TMAP3OUT))+IF(((1000)-(c_TMAP3OUT))&gt;=0,1,-1)*QUOTIENT(((1000)-(c_TMAP3IN)),2)))&gt;=0,1,0)))</f>
        <v>988</v>
      </c>
      <c r="H995" s="7" t="str">
        <f aca="false">IF(A995&gt;=c_TFWD,IF(AND(A995&gt;=c_TMAP3IN,c_TMAP3IN&lt;1000),"Seg4 map3-100%",IF(AND(A995&gt;=c_TMAP2IN,c_TMAP3IN&gt;c_TMAP2IN),"Seg3 map2-map3",IF(AND(A995&gt;=c_TMAP1IN,c_TMAP2IN&gt;c_TMAP1IN),"Seg2 map1-map2","Seg1 TFWD-map1"))),IF(AND(A995=0,c_TCREEP&gt;0),"Creep",IF(AND(A995&lt;=c_TRNGMIN,A995&gt;=c_TRNGMAX,c_TRNGMIN-c_TRNGMAX&lt;&gt;0),"Regen ramp","Coast (0)")))</f>
        <v>Seg4 map3-100%</v>
      </c>
      <c r="I995" s="7" t="n">
        <f aca="false">IF(A995&gt;=c_TFWD,IF(AND(A995&gt;=c_TMAP3IN,c_TMAP3IN&lt;1000),G995,IF(AND(A995&gt;=c_TMAP2IN,c_TMAP3IN&gt;c_TMAP2IN),F995,IF(AND(A995&gt;=c_TMAP1IN,c_TMAP2IN&gt;c_TMAP1IN),E995,D995))),C995)</f>
        <v>988</v>
      </c>
      <c r="J995" s="7" t="str">
        <f aca="false">IF(I995&lt;-1090,"TOO LOW",IF(I995&gt;1090,"TOO HIGH",""))</f>
        <v/>
      </c>
      <c r="K995" s="15" t="n">
        <f aca="false">IF(J995&lt;&gt;"",0,IF(I995&gt;979,1000,I995))</f>
        <v>1000</v>
      </c>
      <c r="L995" s="7" t="n">
        <f aca="false">K995/10</f>
        <v>100</v>
      </c>
    </row>
    <row r="996" customFormat="false" ht="15" hidden="false" customHeight="false" outlineLevel="0" collapsed="false">
      <c r="A996" s="7" t="n">
        <v>991</v>
      </c>
      <c r="B996" s="7" t="n">
        <f aca="false">A996/10</f>
        <v>99.1</v>
      </c>
      <c r="C996" s="7" t="n">
        <f aca="false">IF(AND(A996=0,c_TCREEP&gt;0),10*c_TCREEP,IF(AND(A996&lt;=c_TRNGMIN,A996&gt;=c_TRNGMAX,c_TRNGMIN-c_TRNGMAX&lt;&gt;0),-10*c_TMINRN+QUOTIENT((c_TMAXRN-c_TMINRN)*(100-QUOTIENT((A996-c_TRNGMAX)*100,c_TRNGMIN-c_TRNGMAX)),-10),0))</f>
        <v>0</v>
      </c>
      <c r="D996" s="7" t="n">
        <f aca="false">IF(((c_TMAP1IN)-(c_TFWD))=0,(0)+QUOTIENT(((c_TMAP1OUT)-(0)),2),QUOTIENT((((A996)-(c_TFWD))*((c_TMAP1OUT)-(0))+IF(((c_TMAP1OUT)-(0))&gt;=0,1,-1)*QUOTIENT(((c_TMAP1IN)-(c_TFWD)),2)),((c_TMAP1IN)-(c_TFWD)))+(0)+IF(((c_TMAP1OUT)-(0))&gt;=0,IF(IF(o_WRAP=1,MOD(((c_TMAP1IN)-(c_TFWD))*(((A996)-(c_TFWD))*((c_TMAP1OUT)-(0))+IF(((c_TMAP1OUT)-(0))&gt;=0,1,-1)*QUOTIENT(((c_TMAP1IN)-(c_TFWD)),2))+2147483648,4294967296)-2147483648,((c_TMAP1IN)-(c_TFWD))*(((A996)-(c_TFWD))*((c_TMAP1OUT)-(0))+IF(((c_TMAP1OUT)-(0))&gt;=0,1,-1)*QUOTIENT(((c_TMAP1IN)-(c_TFWD)),2)))&lt;0,-1,0),IF(IF(o_WRAP=1,MOD(((c_TMAP1IN)-(c_TFWD))*(((A996)-(c_TFWD))*((c_TMAP1OUT)-(0))+IF(((c_TMAP1OUT)-(0))&gt;=0,1,-1)*QUOTIENT(((c_TMAP1IN)-(c_TFWD)),2))+2147483648,4294967296)-2147483648,((c_TMAP1IN)-(c_TFWD))*(((A996)-(c_TFWD))*((c_TMAP1OUT)-(0))+IF(((c_TMAP1OUT)-(0))&gt;=0,1,-1)*QUOTIENT(((c_TMAP1IN)-(c_TFWD)),2)))&gt;=0,1,0)))</f>
        <v>763</v>
      </c>
      <c r="E996" s="7" t="n">
        <f aca="false">IF(((c_TMAP2IN)-(c_TMAP1IN))=0,(c_TMAP1OUT)+QUOTIENT(((c_TMAP2OUT)-(c_TMAP1OUT)),2),QUOTIENT((((A996)-(c_TMAP1IN))*((c_TMAP2OUT)-(c_TMAP1OUT))+IF(((c_TMAP2OUT)-(c_TMAP1OUT))&gt;=0,1,-1)*QUOTIENT(((c_TMAP2IN)-(c_TMAP1IN)),2)),((c_TMAP2IN)-(c_TMAP1IN)))+(c_TMAP1OUT)+IF(((c_TMAP2OUT)-(c_TMAP1OUT))&gt;=0,IF(IF(o_WRAP=1,MOD(((c_TMAP2IN)-(c_TMAP1IN))*(((A996)-(c_TMAP1IN))*((c_TMAP2OUT)-(c_TMAP1OUT))+IF(((c_TMAP2OUT)-(c_TMAP1OUT))&gt;=0,1,-1)*QUOTIENT(((c_TMAP2IN)-(c_TMAP1IN)),2))+2147483648,4294967296)-2147483648,((c_TMAP2IN)-(c_TMAP1IN))*(((A996)-(c_TMAP1IN))*((c_TMAP2OUT)-(c_TMAP1OUT))+IF(((c_TMAP2OUT)-(c_TMAP1OUT))&gt;=0,1,-1)*QUOTIENT(((c_TMAP2IN)-(c_TMAP1IN)),2)))&lt;0,-1,0),IF(IF(o_WRAP=1,MOD(((c_TMAP2IN)-(c_TMAP1IN))*(((A996)-(c_TMAP1IN))*((c_TMAP2OUT)-(c_TMAP1OUT))+IF(((c_TMAP2OUT)-(c_TMAP1OUT))&gt;=0,1,-1)*QUOTIENT(((c_TMAP2IN)-(c_TMAP1IN)),2))+2147483648,4294967296)-2147483648,((c_TMAP2IN)-(c_TMAP1IN))*(((A996)-(c_TMAP1IN))*((c_TMAP2OUT)-(c_TMAP1OUT))+IF(((c_TMAP2OUT)-(c_TMAP1OUT))&gt;=0,1,-1)*QUOTIENT(((c_TMAP2IN)-(c_TMAP1IN)),2)))&gt;=0,1,0)))</f>
        <v>426</v>
      </c>
      <c r="F996" s="7" t="n">
        <f aca="false">IF(((c_TMAP3IN)-(c_TMAP2IN))=0,(c_TMAP2OUT)+QUOTIENT(((c_TMAP3OUT)-(c_TMAP2OUT)),2),QUOTIENT((((A996)-(c_TMAP2IN))*((c_TMAP3OUT)-(c_TMAP2OUT))+IF(((c_TMAP3OUT)-(c_TMAP2OUT))&gt;=0,1,-1)*QUOTIENT(((c_TMAP3IN)-(c_TMAP2IN)),2)),((c_TMAP3IN)-(c_TMAP2IN)))+(c_TMAP2OUT)+IF(((c_TMAP3OUT)-(c_TMAP2OUT))&gt;=0,IF(IF(o_WRAP=1,MOD(((c_TMAP3IN)-(c_TMAP2IN))*(((A996)-(c_TMAP2IN))*((c_TMAP3OUT)-(c_TMAP2OUT))+IF(((c_TMAP3OUT)-(c_TMAP2OUT))&gt;=0,1,-1)*QUOTIENT(((c_TMAP3IN)-(c_TMAP2IN)),2))+2147483648,4294967296)-2147483648,((c_TMAP3IN)-(c_TMAP2IN))*(((A996)-(c_TMAP2IN))*((c_TMAP3OUT)-(c_TMAP2OUT))+IF(((c_TMAP3OUT)-(c_TMAP2OUT))&gt;=0,1,-1)*QUOTIENT(((c_TMAP3IN)-(c_TMAP2IN)),2)))&lt;0,-1,0),IF(IF(o_WRAP=1,MOD(((c_TMAP3IN)-(c_TMAP2IN))*(((A996)-(c_TMAP2IN))*((c_TMAP3OUT)-(c_TMAP2OUT))+IF(((c_TMAP3OUT)-(c_TMAP2OUT))&gt;=0,1,-1)*QUOTIENT(((c_TMAP3IN)-(c_TMAP2IN)),2))+2147483648,4294967296)-2147483648,((c_TMAP3IN)-(c_TMAP2IN))*(((A996)-(c_TMAP2IN))*((c_TMAP3OUT)-(c_TMAP2OUT))+IF(((c_TMAP3OUT)-(c_TMAP2OUT))&gt;=0,1,-1)*QUOTIENT(((c_TMAP3IN)-(c_TMAP2IN)),2)))&gt;=0,1,0)))</f>
        <v>649</v>
      </c>
      <c r="G996" s="7" t="n">
        <f aca="false">IF(((1000)-(c_TMAP3IN))=0,(c_TMAP3OUT)+QUOTIENT(((1000)-(c_TMAP3OUT)),2),QUOTIENT((((A996)-(c_TMAP3IN))*((1000)-(c_TMAP3OUT))+IF(((1000)-(c_TMAP3OUT))&gt;=0,1,-1)*QUOTIENT(((1000)-(c_TMAP3IN)),2)),((1000)-(c_TMAP3IN)))+(c_TMAP3OUT)+IF(((1000)-(c_TMAP3OUT))&gt;=0,IF(IF(o_WRAP=1,MOD(((1000)-(c_TMAP3IN))*(((A996)-(c_TMAP3IN))*((1000)-(c_TMAP3OUT))+IF(((1000)-(c_TMAP3OUT))&gt;=0,1,-1)*QUOTIENT(((1000)-(c_TMAP3IN)),2))+2147483648,4294967296)-2147483648,((1000)-(c_TMAP3IN))*(((A996)-(c_TMAP3IN))*((1000)-(c_TMAP3OUT))+IF(((1000)-(c_TMAP3OUT))&gt;=0,1,-1)*QUOTIENT(((1000)-(c_TMAP3IN)),2)))&lt;0,-1,0),IF(IF(o_WRAP=1,MOD(((1000)-(c_TMAP3IN))*(((A996)-(c_TMAP3IN))*((1000)-(c_TMAP3OUT))+IF(((1000)-(c_TMAP3OUT))&gt;=0,1,-1)*QUOTIENT(((1000)-(c_TMAP3IN)),2))+2147483648,4294967296)-2147483648,((1000)-(c_TMAP3IN))*(((A996)-(c_TMAP3IN))*((1000)-(c_TMAP3OUT))+IF(((1000)-(c_TMAP3OUT))&gt;=0,1,-1)*QUOTIENT(((1000)-(c_TMAP3IN)),2)))&gt;=0,1,0)))</f>
        <v>989</v>
      </c>
      <c r="H996" s="7" t="str">
        <f aca="false">IF(A996&gt;=c_TFWD,IF(AND(A996&gt;=c_TMAP3IN,c_TMAP3IN&lt;1000),"Seg4 map3-100%",IF(AND(A996&gt;=c_TMAP2IN,c_TMAP3IN&gt;c_TMAP2IN),"Seg3 map2-map3",IF(AND(A996&gt;=c_TMAP1IN,c_TMAP2IN&gt;c_TMAP1IN),"Seg2 map1-map2","Seg1 TFWD-map1"))),IF(AND(A996=0,c_TCREEP&gt;0),"Creep",IF(AND(A996&lt;=c_TRNGMIN,A996&gt;=c_TRNGMAX,c_TRNGMIN-c_TRNGMAX&lt;&gt;0),"Regen ramp","Coast (0)")))</f>
        <v>Seg4 map3-100%</v>
      </c>
      <c r="I996" s="7" t="n">
        <f aca="false">IF(A996&gt;=c_TFWD,IF(AND(A996&gt;=c_TMAP3IN,c_TMAP3IN&lt;1000),G996,IF(AND(A996&gt;=c_TMAP2IN,c_TMAP3IN&gt;c_TMAP2IN),F996,IF(AND(A996&gt;=c_TMAP1IN,c_TMAP2IN&gt;c_TMAP1IN),E996,D996))),C996)</f>
        <v>989</v>
      </c>
      <c r="J996" s="7" t="str">
        <f aca="false">IF(I996&lt;-1090,"TOO LOW",IF(I996&gt;1090,"TOO HIGH",""))</f>
        <v/>
      </c>
      <c r="K996" s="15" t="n">
        <f aca="false">IF(J996&lt;&gt;"",0,IF(I996&gt;979,1000,I996))</f>
        <v>1000</v>
      </c>
      <c r="L996" s="7" t="n">
        <f aca="false">K996/10</f>
        <v>100</v>
      </c>
    </row>
    <row r="997" customFormat="false" ht="15" hidden="false" customHeight="false" outlineLevel="0" collapsed="false">
      <c r="A997" s="7" t="n">
        <v>992</v>
      </c>
      <c r="B997" s="7" t="n">
        <f aca="false">A997/10</f>
        <v>99.2</v>
      </c>
      <c r="C997" s="7" t="n">
        <f aca="false">IF(AND(A997=0,c_TCREEP&gt;0),10*c_TCREEP,IF(AND(A997&lt;=c_TRNGMIN,A997&gt;=c_TRNGMAX,c_TRNGMIN-c_TRNGMAX&lt;&gt;0),-10*c_TMINRN+QUOTIENT((c_TMAXRN-c_TMINRN)*(100-QUOTIENT((A997-c_TRNGMAX)*100,c_TRNGMIN-c_TRNGMAX)),-10),0))</f>
        <v>0</v>
      </c>
      <c r="D997" s="7" t="n">
        <f aca="false">IF(((c_TMAP1IN)-(c_TFWD))=0,(0)+QUOTIENT(((c_TMAP1OUT)-(0)),2),QUOTIENT((((A997)-(c_TFWD))*((c_TMAP1OUT)-(0))+IF(((c_TMAP1OUT)-(0))&gt;=0,1,-1)*QUOTIENT(((c_TMAP1IN)-(c_TFWD)),2)),((c_TMAP1IN)-(c_TFWD)))+(0)+IF(((c_TMAP1OUT)-(0))&gt;=0,IF(IF(o_WRAP=1,MOD(((c_TMAP1IN)-(c_TFWD))*(((A997)-(c_TFWD))*((c_TMAP1OUT)-(0))+IF(((c_TMAP1OUT)-(0))&gt;=0,1,-1)*QUOTIENT(((c_TMAP1IN)-(c_TFWD)),2))+2147483648,4294967296)-2147483648,((c_TMAP1IN)-(c_TFWD))*(((A997)-(c_TFWD))*((c_TMAP1OUT)-(0))+IF(((c_TMAP1OUT)-(0))&gt;=0,1,-1)*QUOTIENT(((c_TMAP1IN)-(c_TFWD)),2)))&lt;0,-1,0),IF(IF(o_WRAP=1,MOD(((c_TMAP1IN)-(c_TFWD))*(((A997)-(c_TFWD))*((c_TMAP1OUT)-(0))+IF(((c_TMAP1OUT)-(0))&gt;=0,1,-1)*QUOTIENT(((c_TMAP1IN)-(c_TFWD)),2))+2147483648,4294967296)-2147483648,((c_TMAP1IN)-(c_TFWD))*(((A997)-(c_TFWD))*((c_TMAP1OUT)-(0))+IF(((c_TMAP1OUT)-(0))&gt;=0,1,-1)*QUOTIENT(((c_TMAP1IN)-(c_TFWD)),2)))&gt;=0,1,0)))</f>
        <v>764</v>
      </c>
      <c r="E997" s="7" t="n">
        <f aca="false">IF(((c_TMAP2IN)-(c_TMAP1IN))=0,(c_TMAP1OUT)+QUOTIENT(((c_TMAP2OUT)-(c_TMAP1OUT)),2),QUOTIENT((((A997)-(c_TMAP1IN))*((c_TMAP2OUT)-(c_TMAP1OUT))+IF(((c_TMAP2OUT)-(c_TMAP1OUT))&gt;=0,1,-1)*QUOTIENT(((c_TMAP2IN)-(c_TMAP1IN)),2)),((c_TMAP2IN)-(c_TMAP1IN)))+(c_TMAP1OUT)+IF(((c_TMAP2OUT)-(c_TMAP1OUT))&gt;=0,IF(IF(o_WRAP=1,MOD(((c_TMAP2IN)-(c_TMAP1IN))*(((A997)-(c_TMAP1IN))*((c_TMAP2OUT)-(c_TMAP1OUT))+IF(((c_TMAP2OUT)-(c_TMAP1OUT))&gt;=0,1,-1)*QUOTIENT(((c_TMAP2IN)-(c_TMAP1IN)),2))+2147483648,4294967296)-2147483648,((c_TMAP2IN)-(c_TMAP1IN))*(((A997)-(c_TMAP1IN))*((c_TMAP2OUT)-(c_TMAP1OUT))+IF(((c_TMAP2OUT)-(c_TMAP1OUT))&gt;=0,1,-1)*QUOTIENT(((c_TMAP2IN)-(c_TMAP1IN)),2)))&lt;0,-1,0),IF(IF(o_WRAP=1,MOD(((c_TMAP2IN)-(c_TMAP1IN))*(((A997)-(c_TMAP1IN))*((c_TMAP2OUT)-(c_TMAP1OUT))+IF(((c_TMAP2OUT)-(c_TMAP1OUT))&gt;=0,1,-1)*QUOTIENT(((c_TMAP2IN)-(c_TMAP1IN)),2))+2147483648,4294967296)-2147483648,((c_TMAP2IN)-(c_TMAP1IN))*(((A997)-(c_TMAP1IN))*((c_TMAP2OUT)-(c_TMAP1OUT))+IF(((c_TMAP2OUT)-(c_TMAP1OUT))&gt;=0,1,-1)*QUOTIENT(((c_TMAP2IN)-(c_TMAP1IN)),2)))&gt;=0,1,0)))</f>
        <v>427</v>
      </c>
      <c r="F997" s="7" t="n">
        <f aca="false">IF(((c_TMAP3IN)-(c_TMAP2IN))=0,(c_TMAP2OUT)+QUOTIENT(((c_TMAP3OUT)-(c_TMAP2OUT)),2),QUOTIENT((((A997)-(c_TMAP2IN))*((c_TMAP3OUT)-(c_TMAP2OUT))+IF(((c_TMAP3OUT)-(c_TMAP2OUT))&gt;=0,1,-1)*QUOTIENT(((c_TMAP3IN)-(c_TMAP2IN)),2)),((c_TMAP3IN)-(c_TMAP2IN)))+(c_TMAP2OUT)+IF(((c_TMAP3OUT)-(c_TMAP2OUT))&gt;=0,IF(IF(o_WRAP=1,MOD(((c_TMAP3IN)-(c_TMAP2IN))*(((A997)-(c_TMAP2IN))*((c_TMAP3OUT)-(c_TMAP2OUT))+IF(((c_TMAP3OUT)-(c_TMAP2OUT))&gt;=0,1,-1)*QUOTIENT(((c_TMAP3IN)-(c_TMAP2IN)),2))+2147483648,4294967296)-2147483648,((c_TMAP3IN)-(c_TMAP2IN))*(((A997)-(c_TMAP2IN))*((c_TMAP3OUT)-(c_TMAP2OUT))+IF(((c_TMAP3OUT)-(c_TMAP2OUT))&gt;=0,1,-1)*QUOTIENT(((c_TMAP3IN)-(c_TMAP2IN)),2)))&lt;0,-1,0),IF(IF(o_WRAP=1,MOD(((c_TMAP3IN)-(c_TMAP2IN))*(((A997)-(c_TMAP2IN))*((c_TMAP3OUT)-(c_TMAP2OUT))+IF(((c_TMAP3OUT)-(c_TMAP2OUT))&gt;=0,1,-1)*QUOTIENT(((c_TMAP3IN)-(c_TMAP2IN)),2))+2147483648,4294967296)-2147483648,((c_TMAP3IN)-(c_TMAP2IN))*(((A997)-(c_TMAP2IN))*((c_TMAP3OUT)-(c_TMAP2OUT))+IF(((c_TMAP3OUT)-(c_TMAP2OUT))&gt;=0,1,-1)*QUOTIENT(((c_TMAP3IN)-(c_TMAP2IN)),2)))&gt;=0,1,0)))</f>
        <v>649</v>
      </c>
      <c r="G997" s="7" t="n">
        <f aca="false">IF(((1000)-(c_TMAP3IN))=0,(c_TMAP3OUT)+QUOTIENT(((1000)-(c_TMAP3OUT)),2),QUOTIENT((((A997)-(c_TMAP3IN))*((1000)-(c_TMAP3OUT))+IF(((1000)-(c_TMAP3OUT))&gt;=0,1,-1)*QUOTIENT(((1000)-(c_TMAP3IN)),2)),((1000)-(c_TMAP3IN)))+(c_TMAP3OUT)+IF(((1000)-(c_TMAP3OUT))&gt;=0,IF(IF(o_WRAP=1,MOD(((1000)-(c_TMAP3IN))*(((A997)-(c_TMAP3IN))*((1000)-(c_TMAP3OUT))+IF(((1000)-(c_TMAP3OUT))&gt;=0,1,-1)*QUOTIENT(((1000)-(c_TMAP3IN)),2))+2147483648,4294967296)-2147483648,((1000)-(c_TMAP3IN))*(((A997)-(c_TMAP3IN))*((1000)-(c_TMAP3OUT))+IF(((1000)-(c_TMAP3OUT))&gt;=0,1,-1)*QUOTIENT(((1000)-(c_TMAP3IN)),2)))&lt;0,-1,0),IF(IF(o_WRAP=1,MOD(((1000)-(c_TMAP3IN))*(((A997)-(c_TMAP3IN))*((1000)-(c_TMAP3OUT))+IF(((1000)-(c_TMAP3OUT))&gt;=0,1,-1)*QUOTIENT(((1000)-(c_TMAP3IN)),2))+2147483648,4294967296)-2147483648,((1000)-(c_TMAP3IN))*(((A997)-(c_TMAP3IN))*((1000)-(c_TMAP3OUT))+IF(((1000)-(c_TMAP3OUT))&gt;=0,1,-1)*QUOTIENT(((1000)-(c_TMAP3IN)),2)))&gt;=0,1,0)))</f>
        <v>990</v>
      </c>
      <c r="H997" s="7" t="str">
        <f aca="false">IF(A997&gt;=c_TFWD,IF(AND(A997&gt;=c_TMAP3IN,c_TMAP3IN&lt;1000),"Seg4 map3-100%",IF(AND(A997&gt;=c_TMAP2IN,c_TMAP3IN&gt;c_TMAP2IN),"Seg3 map2-map3",IF(AND(A997&gt;=c_TMAP1IN,c_TMAP2IN&gt;c_TMAP1IN),"Seg2 map1-map2","Seg1 TFWD-map1"))),IF(AND(A997=0,c_TCREEP&gt;0),"Creep",IF(AND(A997&lt;=c_TRNGMIN,A997&gt;=c_TRNGMAX,c_TRNGMIN-c_TRNGMAX&lt;&gt;0),"Regen ramp","Coast (0)")))</f>
        <v>Seg4 map3-100%</v>
      </c>
      <c r="I997" s="7" t="n">
        <f aca="false">IF(A997&gt;=c_TFWD,IF(AND(A997&gt;=c_TMAP3IN,c_TMAP3IN&lt;1000),G997,IF(AND(A997&gt;=c_TMAP2IN,c_TMAP3IN&gt;c_TMAP2IN),F997,IF(AND(A997&gt;=c_TMAP1IN,c_TMAP2IN&gt;c_TMAP1IN),E997,D997))),C997)</f>
        <v>990</v>
      </c>
      <c r="J997" s="7" t="str">
        <f aca="false">IF(I997&lt;-1090,"TOO LOW",IF(I997&gt;1090,"TOO HIGH",""))</f>
        <v/>
      </c>
      <c r="K997" s="15" t="n">
        <f aca="false">IF(J997&lt;&gt;"",0,IF(I997&gt;979,1000,I997))</f>
        <v>1000</v>
      </c>
      <c r="L997" s="7" t="n">
        <f aca="false">K997/10</f>
        <v>100</v>
      </c>
    </row>
    <row r="998" customFormat="false" ht="15" hidden="false" customHeight="false" outlineLevel="0" collapsed="false">
      <c r="A998" s="7" t="n">
        <v>993</v>
      </c>
      <c r="B998" s="7" t="n">
        <f aca="false">A998/10</f>
        <v>99.3</v>
      </c>
      <c r="C998" s="7" t="n">
        <f aca="false">IF(AND(A998=0,c_TCREEP&gt;0),10*c_TCREEP,IF(AND(A998&lt;=c_TRNGMIN,A998&gt;=c_TRNGMAX,c_TRNGMIN-c_TRNGMAX&lt;&gt;0),-10*c_TMINRN+QUOTIENT((c_TMAXRN-c_TMINRN)*(100-QUOTIENT((A998-c_TRNGMAX)*100,c_TRNGMIN-c_TRNGMAX)),-10),0))</f>
        <v>0</v>
      </c>
      <c r="D998" s="7" t="n">
        <f aca="false">IF(((c_TMAP1IN)-(c_TFWD))=0,(0)+QUOTIENT(((c_TMAP1OUT)-(0)),2),QUOTIENT((((A998)-(c_TFWD))*((c_TMAP1OUT)-(0))+IF(((c_TMAP1OUT)-(0))&gt;=0,1,-1)*QUOTIENT(((c_TMAP1IN)-(c_TFWD)),2)),((c_TMAP1IN)-(c_TFWD)))+(0)+IF(((c_TMAP1OUT)-(0))&gt;=0,IF(IF(o_WRAP=1,MOD(((c_TMAP1IN)-(c_TFWD))*(((A998)-(c_TFWD))*((c_TMAP1OUT)-(0))+IF(((c_TMAP1OUT)-(0))&gt;=0,1,-1)*QUOTIENT(((c_TMAP1IN)-(c_TFWD)),2))+2147483648,4294967296)-2147483648,((c_TMAP1IN)-(c_TFWD))*(((A998)-(c_TFWD))*((c_TMAP1OUT)-(0))+IF(((c_TMAP1OUT)-(0))&gt;=0,1,-1)*QUOTIENT(((c_TMAP1IN)-(c_TFWD)),2)))&lt;0,-1,0),IF(IF(o_WRAP=1,MOD(((c_TMAP1IN)-(c_TFWD))*(((A998)-(c_TFWD))*((c_TMAP1OUT)-(0))+IF(((c_TMAP1OUT)-(0))&gt;=0,1,-1)*QUOTIENT(((c_TMAP1IN)-(c_TFWD)),2))+2147483648,4294967296)-2147483648,((c_TMAP1IN)-(c_TFWD))*(((A998)-(c_TFWD))*((c_TMAP1OUT)-(0))+IF(((c_TMAP1OUT)-(0))&gt;=0,1,-1)*QUOTIENT(((c_TMAP1IN)-(c_TFWD)),2)))&gt;=0,1,0)))</f>
        <v>765</v>
      </c>
      <c r="E998" s="7" t="n">
        <f aca="false">IF(((c_TMAP2IN)-(c_TMAP1IN))=0,(c_TMAP1OUT)+QUOTIENT(((c_TMAP2OUT)-(c_TMAP1OUT)),2),QUOTIENT((((A998)-(c_TMAP1IN))*((c_TMAP2OUT)-(c_TMAP1OUT))+IF(((c_TMAP2OUT)-(c_TMAP1OUT))&gt;=0,1,-1)*QUOTIENT(((c_TMAP2IN)-(c_TMAP1IN)),2)),((c_TMAP2IN)-(c_TMAP1IN)))+(c_TMAP1OUT)+IF(((c_TMAP2OUT)-(c_TMAP1OUT))&gt;=0,IF(IF(o_WRAP=1,MOD(((c_TMAP2IN)-(c_TMAP1IN))*(((A998)-(c_TMAP1IN))*((c_TMAP2OUT)-(c_TMAP1OUT))+IF(((c_TMAP2OUT)-(c_TMAP1OUT))&gt;=0,1,-1)*QUOTIENT(((c_TMAP2IN)-(c_TMAP1IN)),2))+2147483648,4294967296)-2147483648,((c_TMAP2IN)-(c_TMAP1IN))*(((A998)-(c_TMAP1IN))*((c_TMAP2OUT)-(c_TMAP1OUT))+IF(((c_TMAP2OUT)-(c_TMAP1OUT))&gt;=0,1,-1)*QUOTIENT(((c_TMAP2IN)-(c_TMAP1IN)),2)))&lt;0,-1,0),IF(IF(o_WRAP=1,MOD(((c_TMAP2IN)-(c_TMAP1IN))*(((A998)-(c_TMAP1IN))*((c_TMAP2OUT)-(c_TMAP1OUT))+IF(((c_TMAP2OUT)-(c_TMAP1OUT))&gt;=0,1,-1)*QUOTIENT(((c_TMAP2IN)-(c_TMAP1IN)),2))+2147483648,4294967296)-2147483648,((c_TMAP2IN)-(c_TMAP1IN))*(((A998)-(c_TMAP1IN))*((c_TMAP2OUT)-(c_TMAP1OUT))+IF(((c_TMAP2OUT)-(c_TMAP1OUT))&gt;=0,1,-1)*QUOTIENT(((c_TMAP2IN)-(c_TMAP1IN)),2)))&gt;=0,1,0)))</f>
        <v>427</v>
      </c>
      <c r="F998" s="7" t="n">
        <f aca="false">IF(((c_TMAP3IN)-(c_TMAP2IN))=0,(c_TMAP2OUT)+QUOTIENT(((c_TMAP3OUT)-(c_TMAP2OUT)),2),QUOTIENT((((A998)-(c_TMAP2IN))*((c_TMAP3OUT)-(c_TMAP2OUT))+IF(((c_TMAP3OUT)-(c_TMAP2OUT))&gt;=0,1,-1)*QUOTIENT(((c_TMAP3IN)-(c_TMAP2IN)),2)),((c_TMAP3IN)-(c_TMAP2IN)))+(c_TMAP2OUT)+IF(((c_TMAP3OUT)-(c_TMAP2OUT))&gt;=0,IF(IF(o_WRAP=1,MOD(((c_TMAP3IN)-(c_TMAP2IN))*(((A998)-(c_TMAP2IN))*((c_TMAP3OUT)-(c_TMAP2OUT))+IF(((c_TMAP3OUT)-(c_TMAP2OUT))&gt;=0,1,-1)*QUOTIENT(((c_TMAP3IN)-(c_TMAP2IN)),2))+2147483648,4294967296)-2147483648,((c_TMAP3IN)-(c_TMAP2IN))*(((A998)-(c_TMAP2IN))*((c_TMAP3OUT)-(c_TMAP2OUT))+IF(((c_TMAP3OUT)-(c_TMAP2OUT))&gt;=0,1,-1)*QUOTIENT(((c_TMAP3IN)-(c_TMAP2IN)),2)))&lt;0,-1,0),IF(IF(o_WRAP=1,MOD(((c_TMAP3IN)-(c_TMAP2IN))*(((A998)-(c_TMAP2IN))*((c_TMAP3OUT)-(c_TMAP2OUT))+IF(((c_TMAP3OUT)-(c_TMAP2OUT))&gt;=0,1,-1)*QUOTIENT(((c_TMAP3IN)-(c_TMAP2IN)),2))+2147483648,4294967296)-2147483648,((c_TMAP3IN)-(c_TMAP2IN))*(((A998)-(c_TMAP2IN))*((c_TMAP3OUT)-(c_TMAP2OUT))+IF(((c_TMAP3OUT)-(c_TMAP2OUT))&gt;=0,1,-1)*QUOTIENT(((c_TMAP3IN)-(c_TMAP2IN)),2)))&gt;=0,1,0)))</f>
        <v>650</v>
      </c>
      <c r="G998" s="7" t="n">
        <f aca="false">IF(((1000)-(c_TMAP3IN))=0,(c_TMAP3OUT)+QUOTIENT(((1000)-(c_TMAP3OUT)),2),QUOTIENT((((A998)-(c_TMAP3IN))*((1000)-(c_TMAP3OUT))+IF(((1000)-(c_TMAP3OUT))&gt;=0,1,-1)*QUOTIENT(((1000)-(c_TMAP3IN)),2)),((1000)-(c_TMAP3IN)))+(c_TMAP3OUT)+IF(((1000)-(c_TMAP3OUT))&gt;=0,IF(IF(o_WRAP=1,MOD(((1000)-(c_TMAP3IN))*(((A998)-(c_TMAP3IN))*((1000)-(c_TMAP3OUT))+IF(((1000)-(c_TMAP3OUT))&gt;=0,1,-1)*QUOTIENT(((1000)-(c_TMAP3IN)),2))+2147483648,4294967296)-2147483648,((1000)-(c_TMAP3IN))*(((A998)-(c_TMAP3IN))*((1000)-(c_TMAP3OUT))+IF(((1000)-(c_TMAP3OUT))&gt;=0,1,-1)*QUOTIENT(((1000)-(c_TMAP3IN)),2)))&lt;0,-1,0),IF(IF(o_WRAP=1,MOD(((1000)-(c_TMAP3IN))*(((A998)-(c_TMAP3IN))*((1000)-(c_TMAP3OUT))+IF(((1000)-(c_TMAP3OUT))&gt;=0,1,-1)*QUOTIENT(((1000)-(c_TMAP3IN)),2))+2147483648,4294967296)-2147483648,((1000)-(c_TMAP3IN))*(((A998)-(c_TMAP3IN))*((1000)-(c_TMAP3OUT))+IF(((1000)-(c_TMAP3OUT))&gt;=0,1,-1)*QUOTIENT(((1000)-(c_TMAP3IN)),2)))&gt;=0,1,0)))</f>
        <v>991</v>
      </c>
      <c r="H998" s="7" t="str">
        <f aca="false">IF(A998&gt;=c_TFWD,IF(AND(A998&gt;=c_TMAP3IN,c_TMAP3IN&lt;1000),"Seg4 map3-100%",IF(AND(A998&gt;=c_TMAP2IN,c_TMAP3IN&gt;c_TMAP2IN),"Seg3 map2-map3",IF(AND(A998&gt;=c_TMAP1IN,c_TMAP2IN&gt;c_TMAP1IN),"Seg2 map1-map2","Seg1 TFWD-map1"))),IF(AND(A998=0,c_TCREEP&gt;0),"Creep",IF(AND(A998&lt;=c_TRNGMIN,A998&gt;=c_TRNGMAX,c_TRNGMIN-c_TRNGMAX&lt;&gt;0),"Regen ramp","Coast (0)")))</f>
        <v>Seg4 map3-100%</v>
      </c>
      <c r="I998" s="7" t="n">
        <f aca="false">IF(A998&gt;=c_TFWD,IF(AND(A998&gt;=c_TMAP3IN,c_TMAP3IN&lt;1000),G998,IF(AND(A998&gt;=c_TMAP2IN,c_TMAP3IN&gt;c_TMAP2IN),F998,IF(AND(A998&gt;=c_TMAP1IN,c_TMAP2IN&gt;c_TMAP1IN),E998,D998))),C998)</f>
        <v>991</v>
      </c>
      <c r="J998" s="7" t="str">
        <f aca="false">IF(I998&lt;-1090,"TOO LOW",IF(I998&gt;1090,"TOO HIGH",""))</f>
        <v/>
      </c>
      <c r="K998" s="15" t="n">
        <f aca="false">IF(J998&lt;&gt;"",0,IF(I998&gt;979,1000,I998))</f>
        <v>1000</v>
      </c>
      <c r="L998" s="7" t="n">
        <f aca="false">K998/10</f>
        <v>100</v>
      </c>
    </row>
    <row r="999" customFormat="false" ht="15" hidden="false" customHeight="false" outlineLevel="0" collapsed="false">
      <c r="A999" s="7" t="n">
        <v>994</v>
      </c>
      <c r="B999" s="7" t="n">
        <f aca="false">A999/10</f>
        <v>99.4</v>
      </c>
      <c r="C999" s="7" t="n">
        <f aca="false">IF(AND(A999=0,c_TCREEP&gt;0),10*c_TCREEP,IF(AND(A999&lt;=c_TRNGMIN,A999&gt;=c_TRNGMAX,c_TRNGMIN-c_TRNGMAX&lt;&gt;0),-10*c_TMINRN+QUOTIENT((c_TMAXRN-c_TMINRN)*(100-QUOTIENT((A999-c_TRNGMAX)*100,c_TRNGMIN-c_TRNGMAX)),-10),0))</f>
        <v>0</v>
      </c>
      <c r="D999" s="7" t="n">
        <f aca="false">IF(((c_TMAP1IN)-(c_TFWD))=0,(0)+QUOTIENT(((c_TMAP1OUT)-(0)),2),QUOTIENT((((A999)-(c_TFWD))*((c_TMAP1OUT)-(0))+IF(((c_TMAP1OUT)-(0))&gt;=0,1,-1)*QUOTIENT(((c_TMAP1IN)-(c_TFWD)),2)),((c_TMAP1IN)-(c_TFWD)))+(0)+IF(((c_TMAP1OUT)-(0))&gt;=0,IF(IF(o_WRAP=1,MOD(((c_TMAP1IN)-(c_TFWD))*(((A999)-(c_TFWD))*((c_TMAP1OUT)-(0))+IF(((c_TMAP1OUT)-(0))&gt;=0,1,-1)*QUOTIENT(((c_TMAP1IN)-(c_TFWD)),2))+2147483648,4294967296)-2147483648,((c_TMAP1IN)-(c_TFWD))*(((A999)-(c_TFWD))*((c_TMAP1OUT)-(0))+IF(((c_TMAP1OUT)-(0))&gt;=0,1,-1)*QUOTIENT(((c_TMAP1IN)-(c_TFWD)),2)))&lt;0,-1,0),IF(IF(o_WRAP=1,MOD(((c_TMAP1IN)-(c_TFWD))*(((A999)-(c_TFWD))*((c_TMAP1OUT)-(0))+IF(((c_TMAP1OUT)-(0))&gt;=0,1,-1)*QUOTIENT(((c_TMAP1IN)-(c_TFWD)),2))+2147483648,4294967296)-2147483648,((c_TMAP1IN)-(c_TFWD))*(((A999)-(c_TFWD))*((c_TMAP1OUT)-(0))+IF(((c_TMAP1OUT)-(0))&gt;=0,1,-1)*QUOTIENT(((c_TMAP1IN)-(c_TFWD)),2)))&gt;=0,1,0)))</f>
        <v>765</v>
      </c>
      <c r="E999" s="7" t="n">
        <f aca="false">IF(((c_TMAP2IN)-(c_TMAP1IN))=0,(c_TMAP1OUT)+QUOTIENT(((c_TMAP2OUT)-(c_TMAP1OUT)),2),QUOTIENT((((A999)-(c_TMAP1IN))*((c_TMAP2OUT)-(c_TMAP1OUT))+IF(((c_TMAP2OUT)-(c_TMAP1OUT))&gt;=0,1,-1)*QUOTIENT(((c_TMAP2IN)-(c_TMAP1IN)),2)),((c_TMAP2IN)-(c_TMAP1IN)))+(c_TMAP1OUT)+IF(((c_TMAP2OUT)-(c_TMAP1OUT))&gt;=0,IF(IF(o_WRAP=1,MOD(((c_TMAP2IN)-(c_TMAP1IN))*(((A999)-(c_TMAP1IN))*((c_TMAP2OUT)-(c_TMAP1OUT))+IF(((c_TMAP2OUT)-(c_TMAP1OUT))&gt;=0,1,-1)*QUOTIENT(((c_TMAP2IN)-(c_TMAP1IN)),2))+2147483648,4294967296)-2147483648,((c_TMAP2IN)-(c_TMAP1IN))*(((A999)-(c_TMAP1IN))*((c_TMAP2OUT)-(c_TMAP1OUT))+IF(((c_TMAP2OUT)-(c_TMAP1OUT))&gt;=0,1,-1)*QUOTIENT(((c_TMAP2IN)-(c_TMAP1IN)),2)))&lt;0,-1,0),IF(IF(o_WRAP=1,MOD(((c_TMAP2IN)-(c_TMAP1IN))*(((A999)-(c_TMAP1IN))*((c_TMAP2OUT)-(c_TMAP1OUT))+IF(((c_TMAP2OUT)-(c_TMAP1OUT))&gt;=0,1,-1)*QUOTIENT(((c_TMAP2IN)-(c_TMAP1IN)),2))+2147483648,4294967296)-2147483648,((c_TMAP2IN)-(c_TMAP1IN))*(((A999)-(c_TMAP1IN))*((c_TMAP2OUT)-(c_TMAP1OUT))+IF(((c_TMAP2OUT)-(c_TMAP1OUT))&gt;=0,1,-1)*QUOTIENT(((c_TMAP2IN)-(c_TMAP1IN)),2)))&gt;=0,1,0)))</f>
        <v>428</v>
      </c>
      <c r="F999" s="7" t="n">
        <f aca="false">IF(((c_TMAP3IN)-(c_TMAP2IN))=0,(c_TMAP2OUT)+QUOTIENT(((c_TMAP3OUT)-(c_TMAP2OUT)),2),QUOTIENT((((A999)-(c_TMAP2IN))*((c_TMAP3OUT)-(c_TMAP2OUT))+IF(((c_TMAP3OUT)-(c_TMAP2OUT))&gt;=0,1,-1)*QUOTIENT(((c_TMAP3IN)-(c_TMAP2IN)),2)),((c_TMAP3IN)-(c_TMAP2IN)))+(c_TMAP2OUT)+IF(((c_TMAP3OUT)-(c_TMAP2OUT))&gt;=0,IF(IF(o_WRAP=1,MOD(((c_TMAP3IN)-(c_TMAP2IN))*(((A999)-(c_TMAP2IN))*((c_TMAP3OUT)-(c_TMAP2OUT))+IF(((c_TMAP3OUT)-(c_TMAP2OUT))&gt;=0,1,-1)*QUOTIENT(((c_TMAP3IN)-(c_TMAP2IN)),2))+2147483648,4294967296)-2147483648,((c_TMAP3IN)-(c_TMAP2IN))*(((A999)-(c_TMAP2IN))*((c_TMAP3OUT)-(c_TMAP2OUT))+IF(((c_TMAP3OUT)-(c_TMAP2OUT))&gt;=0,1,-1)*QUOTIENT(((c_TMAP3IN)-(c_TMAP2IN)),2)))&lt;0,-1,0),IF(IF(o_WRAP=1,MOD(((c_TMAP3IN)-(c_TMAP2IN))*(((A999)-(c_TMAP2IN))*((c_TMAP3OUT)-(c_TMAP2OUT))+IF(((c_TMAP3OUT)-(c_TMAP2OUT))&gt;=0,1,-1)*QUOTIENT(((c_TMAP3IN)-(c_TMAP2IN)),2))+2147483648,4294967296)-2147483648,((c_TMAP3IN)-(c_TMAP2IN))*(((A999)-(c_TMAP2IN))*((c_TMAP3OUT)-(c_TMAP2OUT))+IF(((c_TMAP3OUT)-(c_TMAP2OUT))&gt;=0,1,-1)*QUOTIENT(((c_TMAP3IN)-(c_TMAP2IN)),2)))&gt;=0,1,0)))</f>
        <v>651</v>
      </c>
      <c r="G999" s="7" t="n">
        <f aca="false">IF(((1000)-(c_TMAP3IN))=0,(c_TMAP3OUT)+QUOTIENT(((1000)-(c_TMAP3OUT)),2),QUOTIENT((((A999)-(c_TMAP3IN))*((1000)-(c_TMAP3OUT))+IF(((1000)-(c_TMAP3OUT))&gt;=0,1,-1)*QUOTIENT(((1000)-(c_TMAP3IN)),2)),((1000)-(c_TMAP3IN)))+(c_TMAP3OUT)+IF(((1000)-(c_TMAP3OUT))&gt;=0,IF(IF(o_WRAP=1,MOD(((1000)-(c_TMAP3IN))*(((A999)-(c_TMAP3IN))*((1000)-(c_TMAP3OUT))+IF(((1000)-(c_TMAP3OUT))&gt;=0,1,-1)*QUOTIENT(((1000)-(c_TMAP3IN)),2))+2147483648,4294967296)-2147483648,((1000)-(c_TMAP3IN))*(((A999)-(c_TMAP3IN))*((1000)-(c_TMAP3OUT))+IF(((1000)-(c_TMAP3OUT))&gt;=0,1,-1)*QUOTIENT(((1000)-(c_TMAP3IN)),2)))&lt;0,-1,0),IF(IF(o_WRAP=1,MOD(((1000)-(c_TMAP3IN))*(((A999)-(c_TMAP3IN))*((1000)-(c_TMAP3OUT))+IF(((1000)-(c_TMAP3OUT))&gt;=0,1,-1)*QUOTIENT(((1000)-(c_TMAP3IN)),2))+2147483648,4294967296)-2147483648,((1000)-(c_TMAP3IN))*(((A999)-(c_TMAP3IN))*((1000)-(c_TMAP3OUT))+IF(((1000)-(c_TMAP3OUT))&gt;=0,1,-1)*QUOTIENT(((1000)-(c_TMAP3IN)),2)))&gt;=0,1,0)))</f>
        <v>993</v>
      </c>
      <c r="H999" s="7" t="str">
        <f aca="false">IF(A999&gt;=c_TFWD,IF(AND(A999&gt;=c_TMAP3IN,c_TMAP3IN&lt;1000),"Seg4 map3-100%",IF(AND(A999&gt;=c_TMAP2IN,c_TMAP3IN&gt;c_TMAP2IN),"Seg3 map2-map3",IF(AND(A999&gt;=c_TMAP1IN,c_TMAP2IN&gt;c_TMAP1IN),"Seg2 map1-map2","Seg1 TFWD-map1"))),IF(AND(A999=0,c_TCREEP&gt;0),"Creep",IF(AND(A999&lt;=c_TRNGMIN,A999&gt;=c_TRNGMAX,c_TRNGMIN-c_TRNGMAX&lt;&gt;0),"Regen ramp","Coast (0)")))</f>
        <v>Seg4 map3-100%</v>
      </c>
      <c r="I999" s="7" t="n">
        <f aca="false">IF(A999&gt;=c_TFWD,IF(AND(A999&gt;=c_TMAP3IN,c_TMAP3IN&lt;1000),G999,IF(AND(A999&gt;=c_TMAP2IN,c_TMAP3IN&gt;c_TMAP2IN),F999,IF(AND(A999&gt;=c_TMAP1IN,c_TMAP2IN&gt;c_TMAP1IN),E999,D999))),C999)</f>
        <v>993</v>
      </c>
      <c r="J999" s="7" t="str">
        <f aca="false">IF(I999&lt;-1090,"TOO LOW",IF(I999&gt;1090,"TOO HIGH",""))</f>
        <v/>
      </c>
      <c r="K999" s="15" t="n">
        <f aca="false">IF(J999&lt;&gt;"",0,IF(I999&gt;979,1000,I999))</f>
        <v>1000</v>
      </c>
      <c r="L999" s="7" t="n">
        <f aca="false">K999/10</f>
        <v>100</v>
      </c>
    </row>
    <row r="1000" customFormat="false" ht="15" hidden="false" customHeight="false" outlineLevel="0" collapsed="false">
      <c r="A1000" s="7" t="n">
        <v>995</v>
      </c>
      <c r="B1000" s="7" t="n">
        <f aca="false">A1000/10</f>
        <v>99.5</v>
      </c>
      <c r="C1000" s="7" t="n">
        <f aca="false">IF(AND(A1000=0,c_TCREEP&gt;0),10*c_TCREEP,IF(AND(A1000&lt;=c_TRNGMIN,A1000&gt;=c_TRNGMAX,c_TRNGMIN-c_TRNGMAX&lt;&gt;0),-10*c_TMINRN+QUOTIENT((c_TMAXRN-c_TMINRN)*(100-QUOTIENT((A1000-c_TRNGMAX)*100,c_TRNGMIN-c_TRNGMAX)),-10),0))</f>
        <v>0</v>
      </c>
      <c r="D1000" s="7" t="n">
        <f aca="false">IF(((c_TMAP1IN)-(c_TFWD))=0,(0)+QUOTIENT(((c_TMAP1OUT)-(0)),2),QUOTIENT((((A1000)-(c_TFWD))*((c_TMAP1OUT)-(0))+IF(((c_TMAP1OUT)-(0))&gt;=0,1,-1)*QUOTIENT(((c_TMAP1IN)-(c_TFWD)),2)),((c_TMAP1IN)-(c_TFWD)))+(0)+IF(((c_TMAP1OUT)-(0))&gt;=0,IF(IF(o_WRAP=1,MOD(((c_TMAP1IN)-(c_TFWD))*(((A1000)-(c_TFWD))*((c_TMAP1OUT)-(0))+IF(((c_TMAP1OUT)-(0))&gt;=0,1,-1)*QUOTIENT(((c_TMAP1IN)-(c_TFWD)),2))+2147483648,4294967296)-2147483648,((c_TMAP1IN)-(c_TFWD))*(((A1000)-(c_TFWD))*((c_TMAP1OUT)-(0))+IF(((c_TMAP1OUT)-(0))&gt;=0,1,-1)*QUOTIENT(((c_TMAP1IN)-(c_TFWD)),2)))&lt;0,-1,0),IF(IF(o_WRAP=1,MOD(((c_TMAP1IN)-(c_TFWD))*(((A1000)-(c_TFWD))*((c_TMAP1OUT)-(0))+IF(((c_TMAP1OUT)-(0))&gt;=0,1,-1)*QUOTIENT(((c_TMAP1IN)-(c_TFWD)),2))+2147483648,4294967296)-2147483648,((c_TMAP1IN)-(c_TFWD))*(((A1000)-(c_TFWD))*((c_TMAP1OUT)-(0))+IF(((c_TMAP1OUT)-(0))&gt;=0,1,-1)*QUOTIENT(((c_TMAP1IN)-(c_TFWD)),2)))&gt;=0,1,0)))</f>
        <v>766</v>
      </c>
      <c r="E1000" s="7" t="n">
        <f aca="false">IF(((c_TMAP2IN)-(c_TMAP1IN))=0,(c_TMAP1OUT)+QUOTIENT(((c_TMAP2OUT)-(c_TMAP1OUT)),2),QUOTIENT((((A1000)-(c_TMAP1IN))*((c_TMAP2OUT)-(c_TMAP1OUT))+IF(((c_TMAP2OUT)-(c_TMAP1OUT))&gt;=0,1,-1)*QUOTIENT(((c_TMAP2IN)-(c_TMAP1IN)),2)),((c_TMAP2IN)-(c_TMAP1IN)))+(c_TMAP1OUT)+IF(((c_TMAP2OUT)-(c_TMAP1OUT))&gt;=0,IF(IF(o_WRAP=1,MOD(((c_TMAP2IN)-(c_TMAP1IN))*(((A1000)-(c_TMAP1IN))*((c_TMAP2OUT)-(c_TMAP1OUT))+IF(((c_TMAP2OUT)-(c_TMAP1OUT))&gt;=0,1,-1)*QUOTIENT(((c_TMAP2IN)-(c_TMAP1IN)),2))+2147483648,4294967296)-2147483648,((c_TMAP2IN)-(c_TMAP1IN))*(((A1000)-(c_TMAP1IN))*((c_TMAP2OUT)-(c_TMAP1OUT))+IF(((c_TMAP2OUT)-(c_TMAP1OUT))&gt;=0,1,-1)*QUOTIENT(((c_TMAP2IN)-(c_TMAP1IN)),2)))&lt;0,-1,0),IF(IF(o_WRAP=1,MOD(((c_TMAP2IN)-(c_TMAP1IN))*(((A1000)-(c_TMAP1IN))*((c_TMAP2OUT)-(c_TMAP1OUT))+IF(((c_TMAP2OUT)-(c_TMAP1OUT))&gt;=0,1,-1)*QUOTIENT(((c_TMAP2IN)-(c_TMAP1IN)),2))+2147483648,4294967296)-2147483648,((c_TMAP2IN)-(c_TMAP1IN))*(((A1000)-(c_TMAP1IN))*((c_TMAP2OUT)-(c_TMAP1OUT))+IF(((c_TMAP2OUT)-(c_TMAP1OUT))&gt;=0,1,-1)*QUOTIENT(((c_TMAP2IN)-(c_TMAP1IN)),2)))&gt;=0,1,0)))</f>
        <v>428</v>
      </c>
      <c r="F1000" s="7" t="n">
        <f aca="false">IF(((c_TMAP3IN)-(c_TMAP2IN))=0,(c_TMAP2OUT)+QUOTIENT(((c_TMAP3OUT)-(c_TMAP2OUT)),2),QUOTIENT((((A1000)-(c_TMAP2IN))*((c_TMAP3OUT)-(c_TMAP2OUT))+IF(((c_TMAP3OUT)-(c_TMAP2OUT))&gt;=0,1,-1)*QUOTIENT(((c_TMAP3IN)-(c_TMAP2IN)),2)),((c_TMAP3IN)-(c_TMAP2IN)))+(c_TMAP2OUT)+IF(((c_TMAP3OUT)-(c_TMAP2OUT))&gt;=0,IF(IF(o_WRAP=1,MOD(((c_TMAP3IN)-(c_TMAP2IN))*(((A1000)-(c_TMAP2IN))*((c_TMAP3OUT)-(c_TMAP2OUT))+IF(((c_TMAP3OUT)-(c_TMAP2OUT))&gt;=0,1,-1)*QUOTIENT(((c_TMAP3IN)-(c_TMAP2IN)),2))+2147483648,4294967296)-2147483648,((c_TMAP3IN)-(c_TMAP2IN))*(((A1000)-(c_TMAP2IN))*((c_TMAP3OUT)-(c_TMAP2OUT))+IF(((c_TMAP3OUT)-(c_TMAP2OUT))&gt;=0,1,-1)*QUOTIENT(((c_TMAP3IN)-(c_TMAP2IN)),2)))&lt;0,-1,0),IF(IF(o_WRAP=1,MOD(((c_TMAP3IN)-(c_TMAP2IN))*(((A1000)-(c_TMAP2IN))*((c_TMAP3OUT)-(c_TMAP2OUT))+IF(((c_TMAP3OUT)-(c_TMAP2OUT))&gt;=0,1,-1)*QUOTIENT(((c_TMAP3IN)-(c_TMAP2IN)),2))+2147483648,4294967296)-2147483648,((c_TMAP3IN)-(c_TMAP2IN))*(((A1000)-(c_TMAP2IN))*((c_TMAP3OUT)-(c_TMAP2OUT))+IF(((c_TMAP3OUT)-(c_TMAP2OUT))&gt;=0,1,-1)*QUOTIENT(((c_TMAP3IN)-(c_TMAP2IN)),2)))&gt;=0,1,0)))</f>
        <v>652</v>
      </c>
      <c r="G1000" s="7" t="n">
        <f aca="false">IF(((1000)-(c_TMAP3IN))=0,(c_TMAP3OUT)+QUOTIENT(((1000)-(c_TMAP3OUT)),2),QUOTIENT((((A1000)-(c_TMAP3IN))*((1000)-(c_TMAP3OUT))+IF(((1000)-(c_TMAP3OUT))&gt;=0,1,-1)*QUOTIENT(((1000)-(c_TMAP3IN)),2)),((1000)-(c_TMAP3IN)))+(c_TMAP3OUT)+IF(((1000)-(c_TMAP3OUT))&gt;=0,IF(IF(o_WRAP=1,MOD(((1000)-(c_TMAP3IN))*(((A1000)-(c_TMAP3IN))*((1000)-(c_TMAP3OUT))+IF(((1000)-(c_TMAP3OUT))&gt;=0,1,-1)*QUOTIENT(((1000)-(c_TMAP3IN)),2))+2147483648,4294967296)-2147483648,((1000)-(c_TMAP3IN))*(((A1000)-(c_TMAP3IN))*((1000)-(c_TMAP3OUT))+IF(((1000)-(c_TMAP3OUT))&gt;=0,1,-1)*QUOTIENT(((1000)-(c_TMAP3IN)),2)))&lt;0,-1,0),IF(IF(o_WRAP=1,MOD(((1000)-(c_TMAP3IN))*(((A1000)-(c_TMAP3IN))*((1000)-(c_TMAP3OUT))+IF(((1000)-(c_TMAP3OUT))&gt;=0,1,-1)*QUOTIENT(((1000)-(c_TMAP3IN)),2))+2147483648,4294967296)-2147483648,((1000)-(c_TMAP3IN))*(((A1000)-(c_TMAP3IN))*((1000)-(c_TMAP3OUT))+IF(((1000)-(c_TMAP3OUT))&gt;=0,1,-1)*QUOTIENT(((1000)-(c_TMAP3IN)),2)))&gt;=0,1,0)))</f>
        <v>994</v>
      </c>
      <c r="H1000" s="7" t="str">
        <f aca="false">IF(A1000&gt;=c_TFWD,IF(AND(A1000&gt;=c_TMAP3IN,c_TMAP3IN&lt;1000),"Seg4 map3-100%",IF(AND(A1000&gt;=c_TMAP2IN,c_TMAP3IN&gt;c_TMAP2IN),"Seg3 map2-map3",IF(AND(A1000&gt;=c_TMAP1IN,c_TMAP2IN&gt;c_TMAP1IN),"Seg2 map1-map2","Seg1 TFWD-map1"))),IF(AND(A1000=0,c_TCREEP&gt;0),"Creep",IF(AND(A1000&lt;=c_TRNGMIN,A1000&gt;=c_TRNGMAX,c_TRNGMIN-c_TRNGMAX&lt;&gt;0),"Regen ramp","Coast (0)")))</f>
        <v>Seg4 map3-100%</v>
      </c>
      <c r="I1000" s="7" t="n">
        <f aca="false">IF(A1000&gt;=c_TFWD,IF(AND(A1000&gt;=c_TMAP3IN,c_TMAP3IN&lt;1000),G1000,IF(AND(A1000&gt;=c_TMAP2IN,c_TMAP3IN&gt;c_TMAP2IN),F1000,IF(AND(A1000&gt;=c_TMAP1IN,c_TMAP2IN&gt;c_TMAP1IN),E1000,D1000))),C1000)</f>
        <v>994</v>
      </c>
      <c r="J1000" s="7" t="str">
        <f aca="false">IF(I1000&lt;-1090,"TOO LOW",IF(I1000&gt;1090,"TOO HIGH",""))</f>
        <v/>
      </c>
      <c r="K1000" s="15" t="n">
        <f aca="false">IF(J1000&lt;&gt;"",0,IF(I1000&gt;979,1000,I1000))</f>
        <v>1000</v>
      </c>
      <c r="L1000" s="7" t="n">
        <f aca="false">K1000/10</f>
        <v>100</v>
      </c>
    </row>
    <row r="1001" customFormat="false" ht="15" hidden="false" customHeight="false" outlineLevel="0" collapsed="false">
      <c r="A1001" s="7" t="n">
        <v>996</v>
      </c>
      <c r="B1001" s="7" t="n">
        <f aca="false">A1001/10</f>
        <v>99.6</v>
      </c>
      <c r="C1001" s="7" t="n">
        <f aca="false">IF(AND(A1001=0,c_TCREEP&gt;0),10*c_TCREEP,IF(AND(A1001&lt;=c_TRNGMIN,A1001&gt;=c_TRNGMAX,c_TRNGMIN-c_TRNGMAX&lt;&gt;0),-10*c_TMINRN+QUOTIENT((c_TMAXRN-c_TMINRN)*(100-QUOTIENT((A1001-c_TRNGMAX)*100,c_TRNGMIN-c_TRNGMAX)),-10),0))</f>
        <v>0</v>
      </c>
      <c r="D1001" s="7" t="n">
        <f aca="false">IF(((c_TMAP1IN)-(c_TFWD))=0,(0)+QUOTIENT(((c_TMAP1OUT)-(0)),2),QUOTIENT((((A1001)-(c_TFWD))*((c_TMAP1OUT)-(0))+IF(((c_TMAP1OUT)-(0))&gt;=0,1,-1)*QUOTIENT(((c_TMAP1IN)-(c_TFWD)),2)),((c_TMAP1IN)-(c_TFWD)))+(0)+IF(((c_TMAP1OUT)-(0))&gt;=0,IF(IF(o_WRAP=1,MOD(((c_TMAP1IN)-(c_TFWD))*(((A1001)-(c_TFWD))*((c_TMAP1OUT)-(0))+IF(((c_TMAP1OUT)-(0))&gt;=0,1,-1)*QUOTIENT(((c_TMAP1IN)-(c_TFWD)),2))+2147483648,4294967296)-2147483648,((c_TMAP1IN)-(c_TFWD))*(((A1001)-(c_TFWD))*((c_TMAP1OUT)-(0))+IF(((c_TMAP1OUT)-(0))&gt;=0,1,-1)*QUOTIENT(((c_TMAP1IN)-(c_TFWD)),2)))&lt;0,-1,0),IF(IF(o_WRAP=1,MOD(((c_TMAP1IN)-(c_TFWD))*(((A1001)-(c_TFWD))*((c_TMAP1OUT)-(0))+IF(((c_TMAP1OUT)-(0))&gt;=0,1,-1)*QUOTIENT(((c_TMAP1IN)-(c_TFWD)),2))+2147483648,4294967296)-2147483648,((c_TMAP1IN)-(c_TFWD))*(((A1001)-(c_TFWD))*((c_TMAP1OUT)-(0))+IF(((c_TMAP1OUT)-(0))&gt;=0,1,-1)*QUOTIENT(((c_TMAP1IN)-(c_TFWD)),2)))&gt;=0,1,0)))</f>
        <v>767</v>
      </c>
      <c r="E1001" s="7" t="n">
        <f aca="false">IF(((c_TMAP2IN)-(c_TMAP1IN))=0,(c_TMAP1OUT)+QUOTIENT(((c_TMAP2OUT)-(c_TMAP1OUT)),2),QUOTIENT((((A1001)-(c_TMAP1IN))*((c_TMAP2OUT)-(c_TMAP1OUT))+IF(((c_TMAP2OUT)-(c_TMAP1OUT))&gt;=0,1,-1)*QUOTIENT(((c_TMAP2IN)-(c_TMAP1IN)),2)),((c_TMAP2IN)-(c_TMAP1IN)))+(c_TMAP1OUT)+IF(((c_TMAP2OUT)-(c_TMAP1OUT))&gt;=0,IF(IF(o_WRAP=1,MOD(((c_TMAP2IN)-(c_TMAP1IN))*(((A1001)-(c_TMAP1IN))*((c_TMAP2OUT)-(c_TMAP1OUT))+IF(((c_TMAP2OUT)-(c_TMAP1OUT))&gt;=0,1,-1)*QUOTIENT(((c_TMAP2IN)-(c_TMAP1IN)),2))+2147483648,4294967296)-2147483648,((c_TMAP2IN)-(c_TMAP1IN))*(((A1001)-(c_TMAP1IN))*((c_TMAP2OUT)-(c_TMAP1OUT))+IF(((c_TMAP2OUT)-(c_TMAP1OUT))&gt;=0,1,-1)*QUOTIENT(((c_TMAP2IN)-(c_TMAP1IN)),2)))&lt;0,-1,0),IF(IF(o_WRAP=1,MOD(((c_TMAP2IN)-(c_TMAP1IN))*(((A1001)-(c_TMAP1IN))*((c_TMAP2OUT)-(c_TMAP1OUT))+IF(((c_TMAP2OUT)-(c_TMAP1OUT))&gt;=0,1,-1)*QUOTIENT(((c_TMAP2IN)-(c_TMAP1IN)),2))+2147483648,4294967296)-2147483648,((c_TMAP2IN)-(c_TMAP1IN))*(((A1001)-(c_TMAP1IN))*((c_TMAP2OUT)-(c_TMAP1OUT))+IF(((c_TMAP2OUT)-(c_TMAP1OUT))&gt;=0,1,-1)*QUOTIENT(((c_TMAP2IN)-(c_TMAP1IN)),2)))&gt;=0,1,0)))</f>
        <v>428</v>
      </c>
      <c r="F1001" s="7" t="n">
        <f aca="false">IF(((c_TMAP3IN)-(c_TMAP2IN))=0,(c_TMAP2OUT)+QUOTIENT(((c_TMAP3OUT)-(c_TMAP2OUT)),2),QUOTIENT((((A1001)-(c_TMAP2IN))*((c_TMAP3OUT)-(c_TMAP2OUT))+IF(((c_TMAP3OUT)-(c_TMAP2OUT))&gt;=0,1,-1)*QUOTIENT(((c_TMAP3IN)-(c_TMAP2IN)),2)),((c_TMAP3IN)-(c_TMAP2IN)))+(c_TMAP2OUT)+IF(((c_TMAP3OUT)-(c_TMAP2OUT))&gt;=0,IF(IF(o_WRAP=1,MOD(((c_TMAP3IN)-(c_TMAP2IN))*(((A1001)-(c_TMAP2IN))*((c_TMAP3OUT)-(c_TMAP2OUT))+IF(((c_TMAP3OUT)-(c_TMAP2OUT))&gt;=0,1,-1)*QUOTIENT(((c_TMAP3IN)-(c_TMAP2IN)),2))+2147483648,4294967296)-2147483648,((c_TMAP3IN)-(c_TMAP2IN))*(((A1001)-(c_TMAP2IN))*((c_TMAP3OUT)-(c_TMAP2OUT))+IF(((c_TMAP3OUT)-(c_TMAP2OUT))&gt;=0,1,-1)*QUOTIENT(((c_TMAP3IN)-(c_TMAP2IN)),2)))&lt;0,-1,0),IF(IF(o_WRAP=1,MOD(((c_TMAP3IN)-(c_TMAP2IN))*(((A1001)-(c_TMAP2IN))*((c_TMAP3OUT)-(c_TMAP2OUT))+IF(((c_TMAP3OUT)-(c_TMAP2OUT))&gt;=0,1,-1)*QUOTIENT(((c_TMAP3IN)-(c_TMAP2IN)),2))+2147483648,4294967296)-2147483648,((c_TMAP3IN)-(c_TMAP2IN))*(((A1001)-(c_TMAP2IN))*((c_TMAP3OUT)-(c_TMAP2OUT))+IF(((c_TMAP3OUT)-(c_TMAP2OUT))&gt;=0,1,-1)*QUOTIENT(((c_TMAP3IN)-(c_TMAP2IN)),2)))&gt;=0,1,0)))</f>
        <v>652</v>
      </c>
      <c r="G1001" s="7" t="n">
        <f aca="false">IF(((1000)-(c_TMAP3IN))=0,(c_TMAP3OUT)+QUOTIENT(((1000)-(c_TMAP3OUT)),2),QUOTIENT((((A1001)-(c_TMAP3IN))*((1000)-(c_TMAP3OUT))+IF(((1000)-(c_TMAP3OUT))&gt;=0,1,-1)*QUOTIENT(((1000)-(c_TMAP3IN)),2)),((1000)-(c_TMAP3IN)))+(c_TMAP3OUT)+IF(((1000)-(c_TMAP3OUT))&gt;=0,IF(IF(o_WRAP=1,MOD(((1000)-(c_TMAP3IN))*(((A1001)-(c_TMAP3IN))*((1000)-(c_TMAP3OUT))+IF(((1000)-(c_TMAP3OUT))&gt;=0,1,-1)*QUOTIENT(((1000)-(c_TMAP3IN)),2))+2147483648,4294967296)-2147483648,((1000)-(c_TMAP3IN))*(((A1001)-(c_TMAP3IN))*((1000)-(c_TMAP3OUT))+IF(((1000)-(c_TMAP3OUT))&gt;=0,1,-1)*QUOTIENT(((1000)-(c_TMAP3IN)),2)))&lt;0,-1,0),IF(IF(o_WRAP=1,MOD(((1000)-(c_TMAP3IN))*(((A1001)-(c_TMAP3IN))*((1000)-(c_TMAP3OUT))+IF(((1000)-(c_TMAP3OUT))&gt;=0,1,-1)*QUOTIENT(((1000)-(c_TMAP3IN)),2))+2147483648,4294967296)-2147483648,((1000)-(c_TMAP3IN))*(((A1001)-(c_TMAP3IN))*((1000)-(c_TMAP3OUT))+IF(((1000)-(c_TMAP3OUT))&gt;=0,1,-1)*QUOTIENT(((1000)-(c_TMAP3IN)),2)))&gt;=0,1,0)))</f>
        <v>995</v>
      </c>
      <c r="H1001" s="7" t="str">
        <f aca="false">IF(A1001&gt;=c_TFWD,IF(AND(A1001&gt;=c_TMAP3IN,c_TMAP3IN&lt;1000),"Seg4 map3-100%",IF(AND(A1001&gt;=c_TMAP2IN,c_TMAP3IN&gt;c_TMAP2IN),"Seg3 map2-map3",IF(AND(A1001&gt;=c_TMAP1IN,c_TMAP2IN&gt;c_TMAP1IN),"Seg2 map1-map2","Seg1 TFWD-map1"))),IF(AND(A1001=0,c_TCREEP&gt;0),"Creep",IF(AND(A1001&lt;=c_TRNGMIN,A1001&gt;=c_TRNGMAX,c_TRNGMIN-c_TRNGMAX&lt;&gt;0),"Regen ramp","Coast (0)")))</f>
        <v>Seg4 map3-100%</v>
      </c>
      <c r="I1001" s="7" t="n">
        <f aca="false">IF(A1001&gt;=c_TFWD,IF(AND(A1001&gt;=c_TMAP3IN,c_TMAP3IN&lt;1000),G1001,IF(AND(A1001&gt;=c_TMAP2IN,c_TMAP3IN&gt;c_TMAP2IN),F1001,IF(AND(A1001&gt;=c_TMAP1IN,c_TMAP2IN&gt;c_TMAP1IN),E1001,D1001))),C1001)</f>
        <v>995</v>
      </c>
      <c r="J1001" s="7" t="str">
        <f aca="false">IF(I1001&lt;-1090,"TOO LOW",IF(I1001&gt;1090,"TOO HIGH",""))</f>
        <v/>
      </c>
      <c r="K1001" s="15" t="n">
        <f aca="false">IF(J1001&lt;&gt;"",0,IF(I1001&gt;979,1000,I1001))</f>
        <v>1000</v>
      </c>
      <c r="L1001" s="7" t="n">
        <f aca="false">K1001/10</f>
        <v>100</v>
      </c>
    </row>
    <row r="1002" customFormat="false" ht="15" hidden="false" customHeight="false" outlineLevel="0" collapsed="false">
      <c r="A1002" s="7" t="n">
        <v>997</v>
      </c>
      <c r="B1002" s="7" t="n">
        <f aca="false">A1002/10</f>
        <v>99.7</v>
      </c>
      <c r="C1002" s="7" t="n">
        <f aca="false">IF(AND(A1002=0,c_TCREEP&gt;0),10*c_TCREEP,IF(AND(A1002&lt;=c_TRNGMIN,A1002&gt;=c_TRNGMAX,c_TRNGMIN-c_TRNGMAX&lt;&gt;0),-10*c_TMINRN+QUOTIENT((c_TMAXRN-c_TMINRN)*(100-QUOTIENT((A1002-c_TRNGMAX)*100,c_TRNGMIN-c_TRNGMAX)),-10),0))</f>
        <v>0</v>
      </c>
      <c r="D1002" s="7" t="n">
        <f aca="false">IF(((c_TMAP1IN)-(c_TFWD))=0,(0)+QUOTIENT(((c_TMAP1OUT)-(0)),2),QUOTIENT((((A1002)-(c_TFWD))*((c_TMAP1OUT)-(0))+IF(((c_TMAP1OUT)-(0))&gt;=0,1,-1)*QUOTIENT(((c_TMAP1IN)-(c_TFWD)),2)),((c_TMAP1IN)-(c_TFWD)))+(0)+IF(((c_TMAP1OUT)-(0))&gt;=0,IF(IF(o_WRAP=1,MOD(((c_TMAP1IN)-(c_TFWD))*(((A1002)-(c_TFWD))*((c_TMAP1OUT)-(0))+IF(((c_TMAP1OUT)-(0))&gt;=0,1,-1)*QUOTIENT(((c_TMAP1IN)-(c_TFWD)),2))+2147483648,4294967296)-2147483648,((c_TMAP1IN)-(c_TFWD))*(((A1002)-(c_TFWD))*((c_TMAP1OUT)-(0))+IF(((c_TMAP1OUT)-(0))&gt;=0,1,-1)*QUOTIENT(((c_TMAP1IN)-(c_TFWD)),2)))&lt;0,-1,0),IF(IF(o_WRAP=1,MOD(((c_TMAP1IN)-(c_TFWD))*(((A1002)-(c_TFWD))*((c_TMAP1OUT)-(0))+IF(((c_TMAP1OUT)-(0))&gt;=0,1,-1)*QUOTIENT(((c_TMAP1IN)-(c_TFWD)),2))+2147483648,4294967296)-2147483648,((c_TMAP1IN)-(c_TFWD))*(((A1002)-(c_TFWD))*((c_TMAP1OUT)-(0))+IF(((c_TMAP1OUT)-(0))&gt;=0,1,-1)*QUOTIENT(((c_TMAP1IN)-(c_TFWD)),2)))&gt;=0,1,0)))</f>
        <v>768</v>
      </c>
      <c r="E1002" s="7" t="n">
        <f aca="false">IF(((c_TMAP2IN)-(c_TMAP1IN))=0,(c_TMAP1OUT)+QUOTIENT(((c_TMAP2OUT)-(c_TMAP1OUT)),2),QUOTIENT((((A1002)-(c_TMAP1IN))*((c_TMAP2OUT)-(c_TMAP1OUT))+IF(((c_TMAP2OUT)-(c_TMAP1OUT))&gt;=0,1,-1)*QUOTIENT(((c_TMAP2IN)-(c_TMAP1IN)),2)),((c_TMAP2IN)-(c_TMAP1IN)))+(c_TMAP1OUT)+IF(((c_TMAP2OUT)-(c_TMAP1OUT))&gt;=0,IF(IF(o_WRAP=1,MOD(((c_TMAP2IN)-(c_TMAP1IN))*(((A1002)-(c_TMAP1IN))*((c_TMAP2OUT)-(c_TMAP1OUT))+IF(((c_TMAP2OUT)-(c_TMAP1OUT))&gt;=0,1,-1)*QUOTIENT(((c_TMAP2IN)-(c_TMAP1IN)),2))+2147483648,4294967296)-2147483648,((c_TMAP2IN)-(c_TMAP1IN))*(((A1002)-(c_TMAP1IN))*((c_TMAP2OUT)-(c_TMAP1OUT))+IF(((c_TMAP2OUT)-(c_TMAP1OUT))&gt;=0,1,-1)*QUOTIENT(((c_TMAP2IN)-(c_TMAP1IN)),2)))&lt;0,-1,0),IF(IF(o_WRAP=1,MOD(((c_TMAP2IN)-(c_TMAP1IN))*(((A1002)-(c_TMAP1IN))*((c_TMAP2OUT)-(c_TMAP1OUT))+IF(((c_TMAP2OUT)-(c_TMAP1OUT))&gt;=0,1,-1)*QUOTIENT(((c_TMAP2IN)-(c_TMAP1IN)),2))+2147483648,4294967296)-2147483648,((c_TMAP2IN)-(c_TMAP1IN))*(((A1002)-(c_TMAP1IN))*((c_TMAP2OUT)-(c_TMAP1OUT))+IF(((c_TMAP2OUT)-(c_TMAP1OUT))&gt;=0,1,-1)*QUOTIENT(((c_TMAP2IN)-(c_TMAP1IN)),2)))&gt;=0,1,0)))</f>
        <v>429</v>
      </c>
      <c r="F1002" s="7" t="n">
        <f aca="false">IF(((c_TMAP3IN)-(c_TMAP2IN))=0,(c_TMAP2OUT)+QUOTIENT(((c_TMAP3OUT)-(c_TMAP2OUT)),2),QUOTIENT((((A1002)-(c_TMAP2IN))*((c_TMAP3OUT)-(c_TMAP2OUT))+IF(((c_TMAP3OUT)-(c_TMAP2OUT))&gt;=0,1,-1)*QUOTIENT(((c_TMAP3IN)-(c_TMAP2IN)),2)),((c_TMAP3IN)-(c_TMAP2IN)))+(c_TMAP2OUT)+IF(((c_TMAP3OUT)-(c_TMAP2OUT))&gt;=0,IF(IF(o_WRAP=1,MOD(((c_TMAP3IN)-(c_TMAP2IN))*(((A1002)-(c_TMAP2IN))*((c_TMAP3OUT)-(c_TMAP2OUT))+IF(((c_TMAP3OUT)-(c_TMAP2OUT))&gt;=0,1,-1)*QUOTIENT(((c_TMAP3IN)-(c_TMAP2IN)),2))+2147483648,4294967296)-2147483648,((c_TMAP3IN)-(c_TMAP2IN))*(((A1002)-(c_TMAP2IN))*((c_TMAP3OUT)-(c_TMAP2OUT))+IF(((c_TMAP3OUT)-(c_TMAP2OUT))&gt;=0,1,-1)*QUOTIENT(((c_TMAP3IN)-(c_TMAP2IN)),2)))&lt;0,-1,0),IF(IF(o_WRAP=1,MOD(((c_TMAP3IN)-(c_TMAP2IN))*(((A1002)-(c_TMAP2IN))*((c_TMAP3OUT)-(c_TMAP2OUT))+IF(((c_TMAP3OUT)-(c_TMAP2OUT))&gt;=0,1,-1)*QUOTIENT(((c_TMAP3IN)-(c_TMAP2IN)),2))+2147483648,4294967296)-2147483648,((c_TMAP3IN)-(c_TMAP2IN))*(((A1002)-(c_TMAP2IN))*((c_TMAP3OUT)-(c_TMAP2OUT))+IF(((c_TMAP3OUT)-(c_TMAP2OUT))&gt;=0,1,-1)*QUOTIENT(((c_TMAP3IN)-(c_TMAP2IN)),2)))&gt;=0,1,0)))</f>
        <v>653</v>
      </c>
      <c r="G1002" s="7" t="n">
        <f aca="false">IF(((1000)-(c_TMAP3IN))=0,(c_TMAP3OUT)+QUOTIENT(((1000)-(c_TMAP3OUT)),2),QUOTIENT((((A1002)-(c_TMAP3IN))*((1000)-(c_TMAP3OUT))+IF(((1000)-(c_TMAP3OUT))&gt;=0,1,-1)*QUOTIENT(((1000)-(c_TMAP3IN)),2)),((1000)-(c_TMAP3IN)))+(c_TMAP3OUT)+IF(((1000)-(c_TMAP3OUT))&gt;=0,IF(IF(o_WRAP=1,MOD(((1000)-(c_TMAP3IN))*(((A1002)-(c_TMAP3IN))*((1000)-(c_TMAP3OUT))+IF(((1000)-(c_TMAP3OUT))&gt;=0,1,-1)*QUOTIENT(((1000)-(c_TMAP3IN)),2))+2147483648,4294967296)-2147483648,((1000)-(c_TMAP3IN))*(((A1002)-(c_TMAP3IN))*((1000)-(c_TMAP3OUT))+IF(((1000)-(c_TMAP3OUT))&gt;=0,1,-1)*QUOTIENT(((1000)-(c_TMAP3IN)),2)))&lt;0,-1,0),IF(IF(o_WRAP=1,MOD(((1000)-(c_TMAP3IN))*(((A1002)-(c_TMAP3IN))*((1000)-(c_TMAP3OUT))+IF(((1000)-(c_TMAP3OUT))&gt;=0,1,-1)*QUOTIENT(((1000)-(c_TMAP3IN)),2))+2147483648,4294967296)-2147483648,((1000)-(c_TMAP3IN))*(((A1002)-(c_TMAP3IN))*((1000)-(c_TMAP3OUT))+IF(((1000)-(c_TMAP3OUT))&gt;=0,1,-1)*QUOTIENT(((1000)-(c_TMAP3IN)),2)))&gt;=0,1,0)))</f>
        <v>996</v>
      </c>
      <c r="H1002" s="7" t="str">
        <f aca="false">IF(A1002&gt;=c_TFWD,IF(AND(A1002&gt;=c_TMAP3IN,c_TMAP3IN&lt;1000),"Seg4 map3-100%",IF(AND(A1002&gt;=c_TMAP2IN,c_TMAP3IN&gt;c_TMAP2IN),"Seg3 map2-map3",IF(AND(A1002&gt;=c_TMAP1IN,c_TMAP2IN&gt;c_TMAP1IN),"Seg2 map1-map2","Seg1 TFWD-map1"))),IF(AND(A1002=0,c_TCREEP&gt;0),"Creep",IF(AND(A1002&lt;=c_TRNGMIN,A1002&gt;=c_TRNGMAX,c_TRNGMIN-c_TRNGMAX&lt;&gt;0),"Regen ramp","Coast (0)")))</f>
        <v>Seg4 map3-100%</v>
      </c>
      <c r="I1002" s="7" t="n">
        <f aca="false">IF(A1002&gt;=c_TFWD,IF(AND(A1002&gt;=c_TMAP3IN,c_TMAP3IN&lt;1000),G1002,IF(AND(A1002&gt;=c_TMAP2IN,c_TMAP3IN&gt;c_TMAP2IN),F1002,IF(AND(A1002&gt;=c_TMAP1IN,c_TMAP2IN&gt;c_TMAP1IN),E1002,D1002))),C1002)</f>
        <v>996</v>
      </c>
      <c r="J1002" s="7" t="str">
        <f aca="false">IF(I1002&lt;-1090,"TOO LOW",IF(I1002&gt;1090,"TOO HIGH",""))</f>
        <v/>
      </c>
      <c r="K1002" s="15" t="n">
        <f aca="false">IF(J1002&lt;&gt;"",0,IF(I1002&gt;979,1000,I1002))</f>
        <v>1000</v>
      </c>
      <c r="L1002" s="7" t="n">
        <f aca="false">K1002/10</f>
        <v>100</v>
      </c>
    </row>
    <row r="1003" customFormat="false" ht="15" hidden="false" customHeight="false" outlineLevel="0" collapsed="false">
      <c r="A1003" s="7" t="n">
        <v>998</v>
      </c>
      <c r="B1003" s="7" t="n">
        <f aca="false">A1003/10</f>
        <v>99.8</v>
      </c>
      <c r="C1003" s="7" t="n">
        <f aca="false">IF(AND(A1003=0,c_TCREEP&gt;0),10*c_TCREEP,IF(AND(A1003&lt;=c_TRNGMIN,A1003&gt;=c_TRNGMAX,c_TRNGMIN-c_TRNGMAX&lt;&gt;0),-10*c_TMINRN+QUOTIENT((c_TMAXRN-c_TMINRN)*(100-QUOTIENT((A1003-c_TRNGMAX)*100,c_TRNGMIN-c_TRNGMAX)),-10),0))</f>
        <v>0</v>
      </c>
      <c r="D1003" s="7" t="n">
        <f aca="false">IF(((c_TMAP1IN)-(c_TFWD))=0,(0)+QUOTIENT(((c_TMAP1OUT)-(0)),2),QUOTIENT((((A1003)-(c_TFWD))*((c_TMAP1OUT)-(0))+IF(((c_TMAP1OUT)-(0))&gt;=0,1,-1)*QUOTIENT(((c_TMAP1IN)-(c_TFWD)),2)),((c_TMAP1IN)-(c_TFWD)))+(0)+IF(((c_TMAP1OUT)-(0))&gt;=0,IF(IF(o_WRAP=1,MOD(((c_TMAP1IN)-(c_TFWD))*(((A1003)-(c_TFWD))*((c_TMAP1OUT)-(0))+IF(((c_TMAP1OUT)-(0))&gt;=0,1,-1)*QUOTIENT(((c_TMAP1IN)-(c_TFWD)),2))+2147483648,4294967296)-2147483648,((c_TMAP1IN)-(c_TFWD))*(((A1003)-(c_TFWD))*((c_TMAP1OUT)-(0))+IF(((c_TMAP1OUT)-(0))&gt;=0,1,-1)*QUOTIENT(((c_TMAP1IN)-(c_TFWD)),2)))&lt;0,-1,0),IF(IF(o_WRAP=1,MOD(((c_TMAP1IN)-(c_TFWD))*(((A1003)-(c_TFWD))*((c_TMAP1OUT)-(0))+IF(((c_TMAP1OUT)-(0))&gt;=0,1,-1)*QUOTIENT(((c_TMAP1IN)-(c_TFWD)),2))+2147483648,4294967296)-2147483648,((c_TMAP1IN)-(c_TFWD))*(((A1003)-(c_TFWD))*((c_TMAP1OUT)-(0))+IF(((c_TMAP1OUT)-(0))&gt;=0,1,-1)*QUOTIENT(((c_TMAP1IN)-(c_TFWD)),2)))&gt;=0,1,0)))</f>
        <v>768</v>
      </c>
      <c r="E1003" s="7" t="n">
        <f aca="false">IF(((c_TMAP2IN)-(c_TMAP1IN))=0,(c_TMAP1OUT)+QUOTIENT(((c_TMAP2OUT)-(c_TMAP1OUT)),2),QUOTIENT((((A1003)-(c_TMAP1IN))*((c_TMAP2OUT)-(c_TMAP1OUT))+IF(((c_TMAP2OUT)-(c_TMAP1OUT))&gt;=0,1,-1)*QUOTIENT(((c_TMAP2IN)-(c_TMAP1IN)),2)),((c_TMAP2IN)-(c_TMAP1IN)))+(c_TMAP1OUT)+IF(((c_TMAP2OUT)-(c_TMAP1OUT))&gt;=0,IF(IF(o_WRAP=1,MOD(((c_TMAP2IN)-(c_TMAP1IN))*(((A1003)-(c_TMAP1IN))*((c_TMAP2OUT)-(c_TMAP1OUT))+IF(((c_TMAP2OUT)-(c_TMAP1OUT))&gt;=0,1,-1)*QUOTIENT(((c_TMAP2IN)-(c_TMAP1IN)),2))+2147483648,4294967296)-2147483648,((c_TMAP2IN)-(c_TMAP1IN))*(((A1003)-(c_TMAP1IN))*((c_TMAP2OUT)-(c_TMAP1OUT))+IF(((c_TMAP2OUT)-(c_TMAP1OUT))&gt;=0,1,-1)*QUOTIENT(((c_TMAP2IN)-(c_TMAP1IN)),2)))&lt;0,-1,0),IF(IF(o_WRAP=1,MOD(((c_TMAP2IN)-(c_TMAP1IN))*(((A1003)-(c_TMAP1IN))*((c_TMAP2OUT)-(c_TMAP1OUT))+IF(((c_TMAP2OUT)-(c_TMAP1OUT))&gt;=0,1,-1)*QUOTIENT(((c_TMAP2IN)-(c_TMAP1IN)),2))+2147483648,4294967296)-2147483648,((c_TMAP2IN)-(c_TMAP1IN))*(((A1003)-(c_TMAP1IN))*((c_TMAP2OUT)-(c_TMAP1OUT))+IF(((c_TMAP2OUT)-(c_TMAP1OUT))&gt;=0,1,-1)*QUOTIENT(((c_TMAP2IN)-(c_TMAP1IN)),2)))&gt;=0,1,0)))</f>
        <v>429</v>
      </c>
      <c r="F1003" s="7" t="n">
        <f aca="false">IF(((c_TMAP3IN)-(c_TMAP2IN))=0,(c_TMAP2OUT)+QUOTIENT(((c_TMAP3OUT)-(c_TMAP2OUT)),2),QUOTIENT((((A1003)-(c_TMAP2IN))*((c_TMAP3OUT)-(c_TMAP2OUT))+IF(((c_TMAP3OUT)-(c_TMAP2OUT))&gt;=0,1,-1)*QUOTIENT(((c_TMAP3IN)-(c_TMAP2IN)),2)),((c_TMAP3IN)-(c_TMAP2IN)))+(c_TMAP2OUT)+IF(((c_TMAP3OUT)-(c_TMAP2OUT))&gt;=0,IF(IF(o_WRAP=1,MOD(((c_TMAP3IN)-(c_TMAP2IN))*(((A1003)-(c_TMAP2IN))*((c_TMAP3OUT)-(c_TMAP2OUT))+IF(((c_TMAP3OUT)-(c_TMAP2OUT))&gt;=0,1,-1)*QUOTIENT(((c_TMAP3IN)-(c_TMAP2IN)),2))+2147483648,4294967296)-2147483648,((c_TMAP3IN)-(c_TMAP2IN))*(((A1003)-(c_TMAP2IN))*((c_TMAP3OUT)-(c_TMAP2OUT))+IF(((c_TMAP3OUT)-(c_TMAP2OUT))&gt;=0,1,-1)*QUOTIENT(((c_TMAP3IN)-(c_TMAP2IN)),2)))&lt;0,-1,0),IF(IF(o_WRAP=1,MOD(((c_TMAP3IN)-(c_TMAP2IN))*(((A1003)-(c_TMAP2IN))*((c_TMAP3OUT)-(c_TMAP2OUT))+IF(((c_TMAP3OUT)-(c_TMAP2OUT))&gt;=0,1,-1)*QUOTIENT(((c_TMAP3IN)-(c_TMAP2IN)),2))+2147483648,4294967296)-2147483648,((c_TMAP3IN)-(c_TMAP2IN))*(((A1003)-(c_TMAP2IN))*((c_TMAP3OUT)-(c_TMAP2OUT))+IF(((c_TMAP3OUT)-(c_TMAP2OUT))&gt;=0,1,-1)*QUOTIENT(((c_TMAP3IN)-(c_TMAP2IN)),2)))&gt;=0,1,0)))</f>
        <v>654</v>
      </c>
      <c r="G1003" s="7" t="n">
        <f aca="false">IF(((1000)-(c_TMAP3IN))=0,(c_TMAP3OUT)+QUOTIENT(((1000)-(c_TMAP3OUT)),2),QUOTIENT((((A1003)-(c_TMAP3IN))*((1000)-(c_TMAP3OUT))+IF(((1000)-(c_TMAP3OUT))&gt;=0,1,-1)*QUOTIENT(((1000)-(c_TMAP3IN)),2)),((1000)-(c_TMAP3IN)))+(c_TMAP3OUT)+IF(((1000)-(c_TMAP3OUT))&gt;=0,IF(IF(o_WRAP=1,MOD(((1000)-(c_TMAP3IN))*(((A1003)-(c_TMAP3IN))*((1000)-(c_TMAP3OUT))+IF(((1000)-(c_TMAP3OUT))&gt;=0,1,-1)*QUOTIENT(((1000)-(c_TMAP3IN)),2))+2147483648,4294967296)-2147483648,((1000)-(c_TMAP3IN))*(((A1003)-(c_TMAP3IN))*((1000)-(c_TMAP3OUT))+IF(((1000)-(c_TMAP3OUT))&gt;=0,1,-1)*QUOTIENT(((1000)-(c_TMAP3IN)),2)))&lt;0,-1,0),IF(IF(o_WRAP=1,MOD(((1000)-(c_TMAP3IN))*(((A1003)-(c_TMAP3IN))*((1000)-(c_TMAP3OUT))+IF(((1000)-(c_TMAP3OUT))&gt;=0,1,-1)*QUOTIENT(((1000)-(c_TMAP3IN)),2))+2147483648,4294967296)-2147483648,((1000)-(c_TMAP3IN))*(((A1003)-(c_TMAP3IN))*((1000)-(c_TMAP3OUT))+IF(((1000)-(c_TMAP3OUT))&gt;=0,1,-1)*QUOTIENT(((1000)-(c_TMAP3IN)),2)))&gt;=0,1,0)))</f>
        <v>998</v>
      </c>
      <c r="H1003" s="7" t="str">
        <f aca="false">IF(A1003&gt;=c_TFWD,IF(AND(A1003&gt;=c_TMAP3IN,c_TMAP3IN&lt;1000),"Seg4 map3-100%",IF(AND(A1003&gt;=c_TMAP2IN,c_TMAP3IN&gt;c_TMAP2IN),"Seg3 map2-map3",IF(AND(A1003&gt;=c_TMAP1IN,c_TMAP2IN&gt;c_TMAP1IN),"Seg2 map1-map2","Seg1 TFWD-map1"))),IF(AND(A1003=0,c_TCREEP&gt;0),"Creep",IF(AND(A1003&lt;=c_TRNGMIN,A1003&gt;=c_TRNGMAX,c_TRNGMIN-c_TRNGMAX&lt;&gt;0),"Regen ramp","Coast (0)")))</f>
        <v>Seg4 map3-100%</v>
      </c>
      <c r="I1003" s="7" t="n">
        <f aca="false">IF(A1003&gt;=c_TFWD,IF(AND(A1003&gt;=c_TMAP3IN,c_TMAP3IN&lt;1000),G1003,IF(AND(A1003&gt;=c_TMAP2IN,c_TMAP3IN&gt;c_TMAP2IN),F1003,IF(AND(A1003&gt;=c_TMAP1IN,c_TMAP2IN&gt;c_TMAP1IN),E1003,D1003))),C1003)</f>
        <v>998</v>
      </c>
      <c r="J1003" s="7" t="str">
        <f aca="false">IF(I1003&lt;-1090,"TOO LOW",IF(I1003&gt;1090,"TOO HIGH",""))</f>
        <v/>
      </c>
      <c r="K1003" s="15" t="n">
        <f aca="false">IF(J1003&lt;&gt;"",0,IF(I1003&gt;979,1000,I1003))</f>
        <v>1000</v>
      </c>
      <c r="L1003" s="7" t="n">
        <f aca="false">K1003/10</f>
        <v>100</v>
      </c>
    </row>
    <row r="1004" customFormat="false" ht="15" hidden="false" customHeight="false" outlineLevel="0" collapsed="false">
      <c r="A1004" s="7" t="n">
        <v>999</v>
      </c>
      <c r="B1004" s="7" t="n">
        <f aca="false">A1004/10</f>
        <v>99.9</v>
      </c>
      <c r="C1004" s="7" t="n">
        <f aca="false">IF(AND(A1004=0,c_TCREEP&gt;0),10*c_TCREEP,IF(AND(A1004&lt;=c_TRNGMIN,A1004&gt;=c_TRNGMAX,c_TRNGMIN-c_TRNGMAX&lt;&gt;0),-10*c_TMINRN+QUOTIENT((c_TMAXRN-c_TMINRN)*(100-QUOTIENT((A1004-c_TRNGMAX)*100,c_TRNGMIN-c_TRNGMAX)),-10),0))</f>
        <v>0</v>
      </c>
      <c r="D1004" s="7" t="n">
        <f aca="false">IF(((c_TMAP1IN)-(c_TFWD))=0,(0)+QUOTIENT(((c_TMAP1OUT)-(0)),2),QUOTIENT((((A1004)-(c_TFWD))*((c_TMAP1OUT)-(0))+IF(((c_TMAP1OUT)-(0))&gt;=0,1,-1)*QUOTIENT(((c_TMAP1IN)-(c_TFWD)),2)),((c_TMAP1IN)-(c_TFWD)))+(0)+IF(((c_TMAP1OUT)-(0))&gt;=0,IF(IF(o_WRAP=1,MOD(((c_TMAP1IN)-(c_TFWD))*(((A1004)-(c_TFWD))*((c_TMAP1OUT)-(0))+IF(((c_TMAP1OUT)-(0))&gt;=0,1,-1)*QUOTIENT(((c_TMAP1IN)-(c_TFWD)),2))+2147483648,4294967296)-2147483648,((c_TMAP1IN)-(c_TFWD))*(((A1004)-(c_TFWD))*((c_TMAP1OUT)-(0))+IF(((c_TMAP1OUT)-(0))&gt;=0,1,-1)*QUOTIENT(((c_TMAP1IN)-(c_TFWD)),2)))&lt;0,-1,0),IF(IF(o_WRAP=1,MOD(((c_TMAP1IN)-(c_TFWD))*(((A1004)-(c_TFWD))*((c_TMAP1OUT)-(0))+IF(((c_TMAP1OUT)-(0))&gt;=0,1,-1)*QUOTIENT(((c_TMAP1IN)-(c_TFWD)),2))+2147483648,4294967296)-2147483648,((c_TMAP1IN)-(c_TFWD))*(((A1004)-(c_TFWD))*((c_TMAP1OUT)-(0))+IF(((c_TMAP1OUT)-(0))&gt;=0,1,-1)*QUOTIENT(((c_TMAP1IN)-(c_TFWD)),2)))&gt;=0,1,0)))</f>
        <v>769</v>
      </c>
      <c r="E1004" s="7" t="n">
        <f aca="false">IF(((c_TMAP2IN)-(c_TMAP1IN))=0,(c_TMAP1OUT)+QUOTIENT(((c_TMAP2OUT)-(c_TMAP1OUT)),2),QUOTIENT((((A1004)-(c_TMAP1IN))*((c_TMAP2OUT)-(c_TMAP1OUT))+IF(((c_TMAP2OUT)-(c_TMAP1OUT))&gt;=0,1,-1)*QUOTIENT(((c_TMAP2IN)-(c_TMAP1IN)),2)),((c_TMAP2IN)-(c_TMAP1IN)))+(c_TMAP1OUT)+IF(((c_TMAP2OUT)-(c_TMAP1OUT))&gt;=0,IF(IF(o_WRAP=1,MOD(((c_TMAP2IN)-(c_TMAP1IN))*(((A1004)-(c_TMAP1IN))*((c_TMAP2OUT)-(c_TMAP1OUT))+IF(((c_TMAP2OUT)-(c_TMAP1OUT))&gt;=0,1,-1)*QUOTIENT(((c_TMAP2IN)-(c_TMAP1IN)),2))+2147483648,4294967296)-2147483648,((c_TMAP2IN)-(c_TMAP1IN))*(((A1004)-(c_TMAP1IN))*((c_TMAP2OUT)-(c_TMAP1OUT))+IF(((c_TMAP2OUT)-(c_TMAP1OUT))&gt;=0,1,-1)*QUOTIENT(((c_TMAP2IN)-(c_TMAP1IN)),2)))&lt;0,-1,0),IF(IF(o_WRAP=1,MOD(((c_TMAP2IN)-(c_TMAP1IN))*(((A1004)-(c_TMAP1IN))*((c_TMAP2OUT)-(c_TMAP1OUT))+IF(((c_TMAP2OUT)-(c_TMAP1OUT))&gt;=0,1,-1)*QUOTIENT(((c_TMAP2IN)-(c_TMAP1IN)),2))+2147483648,4294967296)-2147483648,((c_TMAP2IN)-(c_TMAP1IN))*(((A1004)-(c_TMAP1IN))*((c_TMAP2OUT)-(c_TMAP1OUT))+IF(((c_TMAP2OUT)-(c_TMAP1OUT))&gt;=0,1,-1)*QUOTIENT(((c_TMAP2IN)-(c_TMAP1IN)),2)))&gt;=0,1,0)))</f>
        <v>430</v>
      </c>
      <c r="F1004" s="7" t="n">
        <f aca="false">IF(((c_TMAP3IN)-(c_TMAP2IN))=0,(c_TMAP2OUT)+QUOTIENT(((c_TMAP3OUT)-(c_TMAP2OUT)),2),QUOTIENT((((A1004)-(c_TMAP2IN))*((c_TMAP3OUT)-(c_TMAP2OUT))+IF(((c_TMAP3OUT)-(c_TMAP2OUT))&gt;=0,1,-1)*QUOTIENT(((c_TMAP3IN)-(c_TMAP2IN)),2)),((c_TMAP3IN)-(c_TMAP2IN)))+(c_TMAP2OUT)+IF(((c_TMAP3OUT)-(c_TMAP2OUT))&gt;=0,IF(IF(o_WRAP=1,MOD(((c_TMAP3IN)-(c_TMAP2IN))*(((A1004)-(c_TMAP2IN))*((c_TMAP3OUT)-(c_TMAP2OUT))+IF(((c_TMAP3OUT)-(c_TMAP2OUT))&gt;=0,1,-1)*QUOTIENT(((c_TMAP3IN)-(c_TMAP2IN)),2))+2147483648,4294967296)-2147483648,((c_TMAP3IN)-(c_TMAP2IN))*(((A1004)-(c_TMAP2IN))*((c_TMAP3OUT)-(c_TMAP2OUT))+IF(((c_TMAP3OUT)-(c_TMAP2OUT))&gt;=0,1,-1)*QUOTIENT(((c_TMAP3IN)-(c_TMAP2IN)),2)))&lt;0,-1,0),IF(IF(o_WRAP=1,MOD(((c_TMAP3IN)-(c_TMAP2IN))*(((A1004)-(c_TMAP2IN))*((c_TMAP3OUT)-(c_TMAP2OUT))+IF(((c_TMAP3OUT)-(c_TMAP2OUT))&gt;=0,1,-1)*QUOTIENT(((c_TMAP3IN)-(c_TMAP2IN)),2))+2147483648,4294967296)-2147483648,((c_TMAP3IN)-(c_TMAP2IN))*(((A1004)-(c_TMAP2IN))*((c_TMAP3OUT)-(c_TMAP2OUT))+IF(((c_TMAP3OUT)-(c_TMAP2OUT))&gt;=0,1,-1)*QUOTIENT(((c_TMAP3IN)-(c_TMAP2IN)),2)))&gt;=0,1,0)))</f>
        <v>654</v>
      </c>
      <c r="G1004" s="7" t="n">
        <f aca="false">IF(((1000)-(c_TMAP3IN))=0,(c_TMAP3OUT)+QUOTIENT(((1000)-(c_TMAP3OUT)),2),QUOTIENT((((A1004)-(c_TMAP3IN))*((1000)-(c_TMAP3OUT))+IF(((1000)-(c_TMAP3OUT))&gt;=0,1,-1)*QUOTIENT(((1000)-(c_TMAP3IN)),2)),((1000)-(c_TMAP3IN)))+(c_TMAP3OUT)+IF(((1000)-(c_TMAP3OUT))&gt;=0,IF(IF(o_WRAP=1,MOD(((1000)-(c_TMAP3IN))*(((A1004)-(c_TMAP3IN))*((1000)-(c_TMAP3OUT))+IF(((1000)-(c_TMAP3OUT))&gt;=0,1,-1)*QUOTIENT(((1000)-(c_TMAP3IN)),2))+2147483648,4294967296)-2147483648,((1000)-(c_TMAP3IN))*(((A1004)-(c_TMAP3IN))*((1000)-(c_TMAP3OUT))+IF(((1000)-(c_TMAP3OUT))&gt;=0,1,-1)*QUOTIENT(((1000)-(c_TMAP3IN)),2)))&lt;0,-1,0),IF(IF(o_WRAP=1,MOD(((1000)-(c_TMAP3IN))*(((A1004)-(c_TMAP3IN))*((1000)-(c_TMAP3OUT))+IF(((1000)-(c_TMAP3OUT))&gt;=0,1,-1)*QUOTIENT(((1000)-(c_TMAP3IN)),2))+2147483648,4294967296)-2147483648,((1000)-(c_TMAP3IN))*(((A1004)-(c_TMAP3IN))*((1000)-(c_TMAP3OUT))+IF(((1000)-(c_TMAP3OUT))&gt;=0,1,-1)*QUOTIENT(((1000)-(c_TMAP3IN)),2)))&gt;=0,1,0)))</f>
        <v>999</v>
      </c>
      <c r="H1004" s="7" t="str">
        <f aca="false">IF(A1004&gt;=c_TFWD,IF(AND(A1004&gt;=c_TMAP3IN,c_TMAP3IN&lt;1000),"Seg4 map3-100%",IF(AND(A1004&gt;=c_TMAP2IN,c_TMAP3IN&gt;c_TMAP2IN),"Seg3 map2-map3",IF(AND(A1004&gt;=c_TMAP1IN,c_TMAP2IN&gt;c_TMAP1IN),"Seg2 map1-map2","Seg1 TFWD-map1"))),IF(AND(A1004=0,c_TCREEP&gt;0),"Creep",IF(AND(A1004&lt;=c_TRNGMIN,A1004&gt;=c_TRNGMAX,c_TRNGMIN-c_TRNGMAX&lt;&gt;0),"Regen ramp","Coast (0)")))</f>
        <v>Seg4 map3-100%</v>
      </c>
      <c r="I1004" s="7" t="n">
        <f aca="false">IF(A1004&gt;=c_TFWD,IF(AND(A1004&gt;=c_TMAP3IN,c_TMAP3IN&lt;1000),G1004,IF(AND(A1004&gt;=c_TMAP2IN,c_TMAP3IN&gt;c_TMAP2IN),F1004,IF(AND(A1004&gt;=c_TMAP1IN,c_TMAP2IN&gt;c_TMAP1IN),E1004,D1004))),C1004)</f>
        <v>999</v>
      </c>
      <c r="J1004" s="7" t="str">
        <f aca="false">IF(I1004&lt;-1090,"TOO LOW",IF(I1004&gt;1090,"TOO HIGH",""))</f>
        <v/>
      </c>
      <c r="K1004" s="15" t="n">
        <f aca="false">IF(J1004&lt;&gt;"",0,IF(I1004&gt;979,1000,I1004))</f>
        <v>1000</v>
      </c>
      <c r="L1004" s="7" t="n">
        <f aca="false">K1004/10</f>
        <v>100</v>
      </c>
    </row>
    <row r="1005" customFormat="false" ht="15" hidden="false" customHeight="false" outlineLevel="0" collapsed="false">
      <c r="A1005" s="7" t="n">
        <v>1000</v>
      </c>
      <c r="B1005" s="7" t="n">
        <f aca="false">A1005/10</f>
        <v>100</v>
      </c>
      <c r="C1005" s="7" t="n">
        <f aca="false">IF(AND(A1005=0,c_TCREEP&gt;0),10*c_TCREEP,IF(AND(A1005&lt;=c_TRNGMIN,A1005&gt;=c_TRNGMAX,c_TRNGMIN-c_TRNGMAX&lt;&gt;0),-10*c_TMINRN+QUOTIENT((c_TMAXRN-c_TMINRN)*(100-QUOTIENT((A1005-c_TRNGMAX)*100,c_TRNGMIN-c_TRNGMAX)),-10),0))</f>
        <v>0</v>
      </c>
      <c r="D1005" s="7" t="n">
        <f aca="false">IF(((c_TMAP1IN)-(c_TFWD))=0,(0)+QUOTIENT(((c_TMAP1OUT)-(0)),2),QUOTIENT((((A1005)-(c_TFWD))*((c_TMAP1OUT)-(0))+IF(((c_TMAP1OUT)-(0))&gt;=0,1,-1)*QUOTIENT(((c_TMAP1IN)-(c_TFWD)),2)),((c_TMAP1IN)-(c_TFWD)))+(0)+IF(((c_TMAP1OUT)-(0))&gt;=0,IF(IF(o_WRAP=1,MOD(((c_TMAP1IN)-(c_TFWD))*(((A1005)-(c_TFWD))*((c_TMAP1OUT)-(0))+IF(((c_TMAP1OUT)-(0))&gt;=0,1,-1)*QUOTIENT(((c_TMAP1IN)-(c_TFWD)),2))+2147483648,4294967296)-2147483648,((c_TMAP1IN)-(c_TFWD))*(((A1005)-(c_TFWD))*((c_TMAP1OUT)-(0))+IF(((c_TMAP1OUT)-(0))&gt;=0,1,-1)*QUOTIENT(((c_TMAP1IN)-(c_TFWD)),2)))&lt;0,-1,0),IF(IF(o_WRAP=1,MOD(((c_TMAP1IN)-(c_TFWD))*(((A1005)-(c_TFWD))*((c_TMAP1OUT)-(0))+IF(((c_TMAP1OUT)-(0))&gt;=0,1,-1)*QUOTIENT(((c_TMAP1IN)-(c_TFWD)),2))+2147483648,4294967296)-2147483648,((c_TMAP1IN)-(c_TFWD))*(((A1005)-(c_TFWD))*((c_TMAP1OUT)-(0))+IF(((c_TMAP1OUT)-(0))&gt;=0,1,-1)*QUOTIENT(((c_TMAP1IN)-(c_TFWD)),2)))&gt;=0,1,0)))</f>
        <v>770</v>
      </c>
      <c r="E1005" s="7" t="n">
        <f aca="false">IF(((c_TMAP2IN)-(c_TMAP1IN))=0,(c_TMAP1OUT)+QUOTIENT(((c_TMAP2OUT)-(c_TMAP1OUT)),2),QUOTIENT((((A1005)-(c_TMAP1IN))*((c_TMAP2OUT)-(c_TMAP1OUT))+IF(((c_TMAP2OUT)-(c_TMAP1OUT))&gt;=0,1,-1)*QUOTIENT(((c_TMAP2IN)-(c_TMAP1IN)),2)),((c_TMAP2IN)-(c_TMAP1IN)))+(c_TMAP1OUT)+IF(((c_TMAP2OUT)-(c_TMAP1OUT))&gt;=0,IF(IF(o_WRAP=1,MOD(((c_TMAP2IN)-(c_TMAP1IN))*(((A1005)-(c_TMAP1IN))*((c_TMAP2OUT)-(c_TMAP1OUT))+IF(((c_TMAP2OUT)-(c_TMAP1OUT))&gt;=0,1,-1)*QUOTIENT(((c_TMAP2IN)-(c_TMAP1IN)),2))+2147483648,4294967296)-2147483648,((c_TMAP2IN)-(c_TMAP1IN))*(((A1005)-(c_TMAP1IN))*((c_TMAP2OUT)-(c_TMAP1OUT))+IF(((c_TMAP2OUT)-(c_TMAP1OUT))&gt;=0,1,-1)*QUOTIENT(((c_TMAP2IN)-(c_TMAP1IN)),2)))&lt;0,-1,0),IF(IF(o_WRAP=1,MOD(((c_TMAP2IN)-(c_TMAP1IN))*(((A1005)-(c_TMAP1IN))*((c_TMAP2OUT)-(c_TMAP1OUT))+IF(((c_TMAP2OUT)-(c_TMAP1OUT))&gt;=0,1,-1)*QUOTIENT(((c_TMAP2IN)-(c_TMAP1IN)),2))+2147483648,4294967296)-2147483648,((c_TMAP2IN)-(c_TMAP1IN))*(((A1005)-(c_TMAP1IN))*((c_TMAP2OUT)-(c_TMAP1OUT))+IF(((c_TMAP2OUT)-(c_TMAP1OUT))&gt;=0,1,-1)*QUOTIENT(((c_TMAP2IN)-(c_TMAP1IN)),2)))&gt;=0,1,0)))</f>
        <v>430</v>
      </c>
      <c r="F1005" s="7" t="n">
        <f aca="false">IF(((c_TMAP3IN)-(c_TMAP2IN))=0,(c_TMAP2OUT)+QUOTIENT(((c_TMAP3OUT)-(c_TMAP2OUT)),2),QUOTIENT((((A1005)-(c_TMAP2IN))*((c_TMAP3OUT)-(c_TMAP2OUT))+IF(((c_TMAP3OUT)-(c_TMAP2OUT))&gt;=0,1,-1)*QUOTIENT(((c_TMAP3IN)-(c_TMAP2IN)),2)),((c_TMAP3IN)-(c_TMAP2IN)))+(c_TMAP2OUT)+IF(((c_TMAP3OUT)-(c_TMAP2OUT))&gt;=0,IF(IF(o_WRAP=1,MOD(((c_TMAP3IN)-(c_TMAP2IN))*(((A1005)-(c_TMAP2IN))*((c_TMAP3OUT)-(c_TMAP2OUT))+IF(((c_TMAP3OUT)-(c_TMAP2OUT))&gt;=0,1,-1)*QUOTIENT(((c_TMAP3IN)-(c_TMAP2IN)),2))+2147483648,4294967296)-2147483648,((c_TMAP3IN)-(c_TMAP2IN))*(((A1005)-(c_TMAP2IN))*((c_TMAP3OUT)-(c_TMAP2OUT))+IF(((c_TMAP3OUT)-(c_TMAP2OUT))&gt;=0,1,-1)*QUOTIENT(((c_TMAP3IN)-(c_TMAP2IN)),2)))&lt;0,-1,0),IF(IF(o_WRAP=1,MOD(((c_TMAP3IN)-(c_TMAP2IN))*(((A1005)-(c_TMAP2IN))*((c_TMAP3OUT)-(c_TMAP2OUT))+IF(((c_TMAP3OUT)-(c_TMAP2OUT))&gt;=0,1,-1)*QUOTIENT(((c_TMAP3IN)-(c_TMAP2IN)),2))+2147483648,4294967296)-2147483648,((c_TMAP3IN)-(c_TMAP2IN))*(((A1005)-(c_TMAP2IN))*((c_TMAP3OUT)-(c_TMAP2OUT))+IF(((c_TMAP3OUT)-(c_TMAP2OUT))&gt;=0,1,-1)*QUOTIENT(((c_TMAP3IN)-(c_TMAP2IN)),2)))&gt;=0,1,0)))</f>
        <v>655</v>
      </c>
      <c r="G1005" s="7" t="n">
        <f aca="false">IF(((1000)-(c_TMAP3IN))=0,(c_TMAP3OUT)+QUOTIENT(((1000)-(c_TMAP3OUT)),2),QUOTIENT((((A1005)-(c_TMAP3IN))*((1000)-(c_TMAP3OUT))+IF(((1000)-(c_TMAP3OUT))&gt;=0,1,-1)*QUOTIENT(((1000)-(c_TMAP3IN)),2)),((1000)-(c_TMAP3IN)))+(c_TMAP3OUT)+IF(((1000)-(c_TMAP3OUT))&gt;=0,IF(IF(o_WRAP=1,MOD(((1000)-(c_TMAP3IN))*(((A1005)-(c_TMAP3IN))*((1000)-(c_TMAP3OUT))+IF(((1000)-(c_TMAP3OUT))&gt;=0,1,-1)*QUOTIENT(((1000)-(c_TMAP3IN)),2))+2147483648,4294967296)-2147483648,((1000)-(c_TMAP3IN))*(((A1005)-(c_TMAP3IN))*((1000)-(c_TMAP3OUT))+IF(((1000)-(c_TMAP3OUT))&gt;=0,1,-1)*QUOTIENT(((1000)-(c_TMAP3IN)),2)))&lt;0,-1,0),IF(IF(o_WRAP=1,MOD(((1000)-(c_TMAP3IN))*(((A1005)-(c_TMAP3IN))*((1000)-(c_TMAP3OUT))+IF(((1000)-(c_TMAP3OUT))&gt;=0,1,-1)*QUOTIENT(((1000)-(c_TMAP3IN)),2))+2147483648,4294967296)-2147483648,((1000)-(c_TMAP3IN))*(((A1005)-(c_TMAP3IN))*((1000)-(c_TMAP3OUT))+IF(((1000)-(c_TMAP3OUT))&gt;=0,1,-1)*QUOTIENT(((1000)-(c_TMAP3IN)),2)))&gt;=0,1,0)))</f>
        <v>1000</v>
      </c>
      <c r="H1005" s="7" t="str">
        <f aca="false">IF(A1005&gt;=c_TFWD,IF(AND(A1005&gt;=c_TMAP3IN,c_TMAP3IN&lt;1000),"Seg4 map3-100%",IF(AND(A1005&gt;=c_TMAP2IN,c_TMAP3IN&gt;c_TMAP2IN),"Seg3 map2-map3",IF(AND(A1005&gt;=c_TMAP1IN,c_TMAP2IN&gt;c_TMAP1IN),"Seg2 map1-map2","Seg1 TFWD-map1"))),IF(AND(A1005=0,c_TCREEP&gt;0),"Creep",IF(AND(A1005&lt;=c_TRNGMIN,A1005&gt;=c_TRNGMAX,c_TRNGMIN-c_TRNGMAX&lt;&gt;0),"Regen ramp","Coast (0)")))</f>
        <v>Seg4 map3-100%</v>
      </c>
      <c r="I1005" s="7" t="n">
        <f aca="false">IF(A1005&gt;=c_TFWD,IF(AND(A1005&gt;=c_TMAP3IN,c_TMAP3IN&lt;1000),G1005,IF(AND(A1005&gt;=c_TMAP2IN,c_TMAP3IN&gt;c_TMAP2IN),F1005,IF(AND(A1005&gt;=c_TMAP1IN,c_TMAP2IN&gt;c_TMAP1IN),E1005,D1005))),C1005)</f>
        <v>1000</v>
      </c>
      <c r="J1005" s="7" t="str">
        <f aca="false">IF(I1005&lt;-1090,"TOO LOW",IF(I1005&gt;1090,"TOO HIGH",""))</f>
        <v/>
      </c>
      <c r="K1005" s="15" t="n">
        <f aca="false">IF(J1005&lt;&gt;"",0,IF(I1005&gt;979,1000,I1005))</f>
        <v>1000</v>
      </c>
      <c r="L1005" s="7" t="n">
        <f aca="false">K1005/10</f>
        <v>100</v>
      </c>
    </row>
  </sheetData>
  <mergeCells count="1"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5" min="4" style="1" width="11"/>
    <col collapsed="false" customWidth="true" hidden="false" outlineLevel="0" max="6" min="6" style="1" width="12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2" min="11" style="1" width="10"/>
    <col collapsed="false" customWidth="true" hidden="false" outlineLevel="0" max="16" min="13" style="1" width="8"/>
    <col collapsed="false" customWidth="true" hidden="false" outlineLevel="0" max="17" min="17" style="1" width="16"/>
    <col collapsed="false" customWidth="true" hidden="false" outlineLevel="0" max="18" min="18" style="1" width="10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9"/>
  </cols>
  <sheetData>
    <row r="1" customFormat="false" ht="17.35" hidden="false" customHeight="false" outlineLevel="0" collapsed="false">
      <c r="A1" s="2" t="s">
        <v>159</v>
      </c>
    </row>
    <row r="2" customFormat="false" ht="42" hidden="false" customHeight="true" outlineLevel="0" collapsed="false">
      <c r="A2" s="3" t="s">
        <v>160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4" customFormat="false" ht="42" hidden="false" customHeight="true" outlineLevel="0" collapsed="false">
      <c r="A4" s="4" t="s">
        <v>161</v>
      </c>
      <c r="B4" s="4" t="s">
        <v>162</v>
      </c>
      <c r="C4" s="4" t="s">
        <v>163</v>
      </c>
      <c r="D4" s="4" t="s">
        <v>164</v>
      </c>
      <c r="E4" s="4" t="s">
        <v>165</v>
      </c>
      <c r="F4" s="4" t="s">
        <v>166</v>
      </c>
      <c r="G4" s="4" t="s">
        <v>167</v>
      </c>
      <c r="H4" s="4" t="s">
        <v>168</v>
      </c>
      <c r="I4" s="4" t="s">
        <v>169</v>
      </c>
      <c r="J4" s="4" t="s">
        <v>170</v>
      </c>
      <c r="K4" s="4" t="s">
        <v>147</v>
      </c>
      <c r="L4" s="4" t="s">
        <v>149</v>
      </c>
      <c r="M4" s="4" t="s">
        <v>171</v>
      </c>
      <c r="N4" s="4" t="s">
        <v>172</v>
      </c>
      <c r="O4" s="4" t="s">
        <v>173</v>
      </c>
      <c r="P4" s="4" t="s">
        <v>174</v>
      </c>
      <c r="Q4" s="4" t="s">
        <v>154</v>
      </c>
      <c r="R4" s="4" t="s">
        <v>155</v>
      </c>
      <c r="S4" s="4" t="s">
        <v>175</v>
      </c>
      <c r="T4" s="4" t="s">
        <v>176</v>
      </c>
      <c r="U4" s="4" t="s">
        <v>158</v>
      </c>
    </row>
    <row r="5" customFormat="false" ht="15" hidden="false" customHeight="false" outlineLevel="0" collapsed="false">
      <c r="A5" s="7" t="n">
        <v>0</v>
      </c>
      <c r="B5" s="7" t="n">
        <f aca="false">ROUND(o_SWSTART+A5*(o_SWEND-o_SWSTART)/400,0)</f>
        <v>0</v>
      </c>
      <c r="C5" s="7" t="n">
        <f aca="false">QUOTIENT((B5-c_OFF1)*c_GAIN1,1024)</f>
        <v>0</v>
      </c>
      <c r="D5" s="7" t="n">
        <f aca="false">IF(((c_T1MX)-(c_T1MN))=0,(0)+QUOTIENT(((1000)-(0)),2),QUOTIENT((((C5)-(c_T1MN))*((1000)-(0))+IF(((1000)-(0))&gt;=0,1,-1)*QUOTIENT(((c_T1MX)-(c_T1MN)),2)),((c_T1MX)-(c_T1MN)))+(0)+IF(((1000)-(0))&gt;=0,IF(IF(o_WRAP=1,MOD(((c_T1MX)-(c_T1MN))*(((C5)-(c_T1MN))*((1000)-(0))+IF(((1000)-(0))&gt;=0,1,-1)*QUOTIENT(((c_T1MX)-(c_T1MN)),2))+2147483648,4294967296)-2147483648,((c_T1MX)-(c_T1MN))*(((C5)-(c_T1MN))*((1000)-(0))+IF(((1000)-(0))&gt;=0,1,-1)*QUOTIENT(((c_T1MX)-(c_T1MN)),2)))&lt;0,-1,0),IF(IF(o_WRAP=1,MOD(((c_T1MX)-(c_T1MN))*(((C5)-(c_T1MN))*((1000)-(0))+IF(((1000)-(0))&gt;=0,1,-1)*QUOTIENT(((c_T1MX)-(c_T1MN)),2))+2147483648,4294967296)-2147483648,((c_T1MX)-(c_T1MN))*(((C5)-(c_T1MN))*((1000)-(0))+IF(((1000)-(0))&gt;=0,1,-1)*QUOTIENT(((c_T1MX)-(c_T1MN)),2)))&gt;=0,1,0)))</f>
        <v>-259</v>
      </c>
      <c r="E5" s="7" t="n">
        <f aca="false">IF(AND(c_TPOT=1,c_TTYPE=2),1000-D5,D5)</f>
        <v>-259</v>
      </c>
      <c r="F5" s="7" t="str">
        <f aca="false">IF(c_TPOT&gt;1,ROUND(IF(c_TTYPE=2,c_T2MX-IF(c_T1MX=c_T1MN,0,(C5-c_T1MN)/(c_T1MX-c_T1MN))*(c_T2MX-c_T2MN),c_T2MN+IF(c_T1MX=c_T1MN,0,(C5-c_T1MN)/(c_T1MX-c_T1MN))*(c_T2MX-c_T2MN))+o_MISMATCH,0),"")</f>
        <v/>
      </c>
      <c r="G5" s="7" t="str">
        <f aca="false">IF(c_TPOT&gt;1,IF(((c_T2MX)-(c_T2MN))=0,(0)+QUOTIENT(((1000)-(0)),2),QUOTIENT((((F5)-(c_T2MN))*((1000)-(0))+IF(((1000)-(0))&gt;=0,1,-1)*QUOTIENT(((c_T2MX)-(c_T2MN)),2)),((c_T2MX)-(c_T2MN)))+(0)+IF(((1000)-(0))&gt;=0,IF(IF(o_WRAP=1,MOD(((c_T2MX)-(c_T2MN))*(((F5)-(c_T2MN))*((1000)-(0))+IF(((1000)-(0))&gt;=0,1,-1)*QUOTIENT(((c_T2MX)-(c_T2MN)),2))+2147483648,4294967296)-2147483648,((c_T2MX)-(c_T2MN))*(((F5)-(c_T2MN))*((1000)-(0))+IF(((1000)-(0))&gt;=0,1,-1)*QUOTIENT(((c_T2MX)-(c_T2MN)),2)))&lt;0,-1,0),IF(IF(o_WRAP=1,MOD(((c_T2MX)-(c_T2MN))*(((F5)-(c_T2MN))*((1000)-(0))+IF(((1000)-(0))&gt;=0,1,-1)*QUOTIENT(((c_T2MX)-(c_T2MN)),2))+2147483648,4294967296)-2147483648,((c_T2MX)-(c_T2MN))*(((F5)-(c_T2MN))*((1000)-(0))+IF(((1000)-(0))&gt;=0,1,-1)*QUOTIENT(((c_T2MX)-(c_T2MN)),2)))&gt;=0,1,0))),"")</f>
        <v/>
      </c>
      <c r="H5" s="7" t="str">
        <f aca="false">IF(E5&gt;1000+k_TOL,"T1 HIGH",IF(E5&lt;0-k_TOL,"T1 LOW",IF(c_TPOT&gt;1,IF(G5&gt;1000+k_TOL,"T2 HIGH",IF(G5&lt;0-k_TOL,"T2 LOW",IF(c_TTYPE=2,IF(ABS(1000-MAX(0,MIN(1000,E5))-MAX(0,MIN(1000,G5)))&gt;k_MAXERR,"MISMATCH","OK"),IF(OR(MAX(0,MIN(1000,E5))-k_MAXERR&gt;MAX(0,MIN(1000,G5)),MAX(0,MIN(1000,G5))-k_MAXERR&gt;MAX(0,MIN(1000,E5))),"MISMATCH","OK")))),"OK")))</f>
        <v>T1 LOW</v>
      </c>
      <c r="I5" s="7" t="n">
        <f aca="false">MAX(0,MIN(1000,D5))</f>
        <v>0</v>
      </c>
      <c r="J5" s="7" t="str">
        <f aca="false">IF(c_TPOT&gt;1,IF(c_TTYPE=2,1000-MAX(0,MIN(1000,G5)),MAX(0,MIN(1000,G5))),"")</f>
        <v/>
      </c>
      <c r="K5" s="7" t="n">
        <f aca="false">IF(c_TPOT&gt;1,QUOTIENT(I5+J5,2),I5)</f>
        <v>0</v>
      </c>
      <c r="L5" s="7" t="n">
        <f aca="false">IF(AND(K5=0,c_TCREEP&gt;0),10*c_TCREEP,IF(AND(K5&lt;=c_TRNGMIN,K5&gt;=c_TRNGMAX,c_TRNGMIN-c_TRNGMAX&lt;&gt;0),-10*c_TMINRN+QUOTIENT((c_TMAXRN-c_TMINRN)*(100-QUOTIENT((K5-c_TRNGMAX)*100,c_TRNGMIN-c_TRNGMAX)),-10),0))</f>
        <v>-350</v>
      </c>
      <c r="M5" s="7" t="n">
        <f aca="false">IF(((c_TMAP1IN)-(c_TFWD))=0,(0)+QUOTIENT(((c_TMAP1OUT)-(0)),2),QUOTIENT((((K5)-(c_TFWD))*((c_TMAP1OUT)-(0))+IF(((c_TMAP1OUT)-(0))&gt;=0,1,-1)*QUOTIENT(((c_TMAP1IN)-(c_TFWD)),2)),((c_TMAP1IN)-(c_TFWD)))+(0)+IF(((c_TMAP1OUT)-(0))&gt;=0,IF(IF(o_WRAP=1,MOD(((c_TMAP1IN)-(c_TFWD))*(((K5)-(c_TFWD))*((c_TMAP1OUT)-(0))+IF(((c_TMAP1OUT)-(0))&gt;=0,1,-1)*QUOTIENT(((c_TMAP1IN)-(c_TFWD)),2))+2147483648,4294967296)-2147483648,((c_TMAP1IN)-(c_TFWD))*(((K5)-(c_TFWD))*((c_TMAP1OUT)-(0))+IF(((c_TMAP1OUT)-(0))&gt;=0,1,-1)*QUOTIENT(((c_TMAP1IN)-(c_TFWD)),2)))&lt;0,-1,0),IF(IF(o_WRAP=1,MOD(((c_TMAP1IN)-(c_TFWD))*(((K5)-(c_TFWD))*((c_TMAP1OUT)-(0))+IF(((c_TMAP1OUT)-(0))&gt;=0,1,-1)*QUOTIENT(((c_TMAP1IN)-(c_TFWD)),2))+2147483648,4294967296)-2147483648,((c_TMAP1IN)-(c_TFWD))*(((K5)-(c_TFWD))*((c_TMAP1OUT)-(0))+IF(((c_TMAP1OUT)-(0))&gt;=0,1,-1)*QUOTIENT(((c_TMAP1IN)-(c_TFWD)),2)))&gt;=0,1,0)))</f>
        <v>-8</v>
      </c>
      <c r="N5" s="7" t="n">
        <f aca="false">IF(((c_TMAP2IN)-(c_TMAP1IN))=0,(c_TMAP1OUT)+QUOTIENT(((c_TMAP2OUT)-(c_TMAP1OUT)),2),QUOTIENT((((K5)-(c_TMAP1IN))*((c_TMAP2OUT)-(c_TMAP1OUT))+IF(((c_TMAP2OUT)-(c_TMAP1OUT))&gt;=0,1,-1)*QUOTIENT(((c_TMAP2IN)-(c_TMAP1IN)),2)),((c_TMAP2IN)-(c_TMAP1IN)))+(c_TMAP1OUT)+IF(((c_TMAP2OUT)-(c_TMAP1OUT))&gt;=0,IF(IF(o_WRAP=1,MOD(((c_TMAP2IN)-(c_TMAP1IN))*(((K5)-(c_TMAP1IN))*((c_TMAP2OUT)-(c_TMAP1OUT))+IF(((c_TMAP2OUT)-(c_TMAP1OUT))&gt;=0,1,-1)*QUOTIENT(((c_TMAP2IN)-(c_TMAP1IN)),2))+2147483648,4294967296)-2147483648,((c_TMAP2IN)-(c_TMAP1IN))*(((K5)-(c_TMAP1IN))*((c_TMAP2OUT)-(c_TMAP1OUT))+IF(((c_TMAP2OUT)-(c_TMAP1OUT))&gt;=0,1,-1)*QUOTIENT(((c_TMAP2IN)-(c_TMAP1IN)),2)))&lt;0,-1,0),IF(IF(o_WRAP=1,MOD(((c_TMAP2IN)-(c_TMAP1IN))*(((K5)-(c_TMAP1IN))*((c_TMAP2OUT)-(c_TMAP1OUT))+IF(((c_TMAP2OUT)-(c_TMAP1OUT))&gt;=0,1,-1)*QUOTIENT(((c_TMAP2IN)-(c_TMAP1IN)),2))+2147483648,4294967296)-2147483648,((c_TMAP2IN)-(c_TMAP1IN))*(((K5)-(c_TMAP1IN))*((c_TMAP2OUT)-(c_TMAP1OUT))+IF(((c_TMAP2OUT)-(c_TMAP1OUT))&gt;=0,1,-1)*QUOTIENT(((c_TMAP2IN)-(c_TMAP1IN)),2)))&gt;=0,1,0)))</f>
        <v>30</v>
      </c>
      <c r="O5" s="7" t="n">
        <f aca="false">IF(((c_TMAP3IN)-(c_TMAP2IN))=0,(c_TMAP2OUT)+QUOTIENT(((c_TMAP3OUT)-(c_TMAP2OUT)),2),QUOTIENT((((K5)-(c_TMAP2IN))*((c_TMAP3OUT)-(c_TMAP2OUT))+IF(((c_TMAP3OUT)-(c_TMAP2OUT))&gt;=0,1,-1)*QUOTIENT(((c_TMAP3IN)-(c_TMAP2IN)),2)),((c_TMAP3IN)-(c_TMAP2IN)))+(c_TMAP2OUT)+IF(((c_TMAP3OUT)-(c_TMAP2OUT))&gt;=0,IF(IF(o_WRAP=1,MOD(((c_TMAP3IN)-(c_TMAP2IN))*(((K5)-(c_TMAP2IN))*((c_TMAP3OUT)-(c_TMAP2OUT))+IF(((c_TMAP3OUT)-(c_TMAP2OUT))&gt;=0,1,-1)*QUOTIENT(((c_TMAP3IN)-(c_TMAP2IN)),2))+2147483648,4294967296)-2147483648,((c_TMAP3IN)-(c_TMAP2IN))*(((K5)-(c_TMAP2IN))*((c_TMAP3OUT)-(c_TMAP2OUT))+IF(((c_TMAP3OUT)-(c_TMAP2OUT))&gt;=0,1,-1)*QUOTIENT(((c_TMAP3IN)-(c_TMAP2IN)),2)))&lt;0,-1,0),IF(IF(o_WRAP=1,MOD(((c_TMAP3IN)-(c_TMAP2IN))*(((K5)-(c_TMAP2IN))*((c_TMAP3OUT)-(c_TMAP2OUT))+IF(((c_TMAP3OUT)-(c_TMAP2OUT))&gt;=0,1,-1)*QUOTIENT(((c_TMAP3IN)-(c_TMAP2IN)),2))+2147483648,4294967296)-2147483648,((c_TMAP3IN)-(c_TMAP2IN))*(((K5)-(c_TMAP2IN))*((c_TMAP3OUT)-(c_TMAP2OUT))+IF(((c_TMAP3OUT)-(c_TMAP2OUT))&gt;=0,1,-1)*QUOTIENT(((c_TMAP3IN)-(c_TMAP2IN)),2)))&gt;=0,1,0)))</f>
        <v>-45</v>
      </c>
      <c r="P5" s="7" t="n">
        <f aca="false">IF(((1000)-(c_TMAP3IN))=0,(c_TMAP3OUT)+QUOTIENT(((1000)-(c_TMAP3OUT)),2),QUOTIENT((((K5)-(c_TMAP3IN))*((1000)-(c_TMAP3OUT))+IF(((1000)-(c_TMAP3OUT))&gt;=0,1,-1)*QUOTIENT(((1000)-(c_TMAP3IN)),2)),((1000)-(c_TMAP3IN)))+(c_TMAP3OUT)+IF(((1000)-(c_TMAP3OUT))&gt;=0,IF(IF(o_WRAP=1,MOD(((1000)-(c_TMAP3IN))*(((K5)-(c_TMAP3IN))*((1000)-(c_TMAP3OUT))+IF(((1000)-(c_TMAP3OUT))&gt;=0,1,-1)*QUOTIENT(((1000)-(c_TMAP3IN)),2))+2147483648,4294967296)-2147483648,((1000)-(c_TMAP3IN))*(((K5)-(c_TMAP3IN))*((1000)-(c_TMAP3OUT))+IF(((1000)-(c_TMAP3OUT))&gt;=0,1,-1)*QUOTIENT(((1000)-(c_TMAP3IN)),2)))&lt;0,-1,0),IF(IF(o_WRAP=1,MOD(((1000)-(c_TMAP3IN))*(((K5)-(c_TMAP3IN))*((1000)-(c_TMAP3OUT))+IF(((1000)-(c_TMAP3OUT))&gt;=0,1,-1)*QUOTIENT(((1000)-(c_TMAP3IN)),2))+2147483648,4294967296)-2147483648,((1000)-(c_TMAP3IN))*(((K5)-(c_TMAP3IN))*((1000)-(c_TMAP3OUT))+IF(((1000)-(c_TMAP3OUT))&gt;=0,1,-1)*QUOTIENT(((1000)-(c_TMAP3IN)),2)))&gt;=0,1,0)))</f>
        <v>-231</v>
      </c>
      <c r="Q5" s="7" t="str">
        <f aca="false">IF(K5&gt;=c_TFWD,IF(AND(K5&gt;=c_TMAP3IN,c_TMAP3IN&lt;1000),"Seg4 map3-100%",IF(AND(K5&gt;=c_TMAP2IN,c_TMAP3IN&gt;c_TMAP2IN),"Seg3 map2-map3",IF(AND(K5&gt;=c_TMAP1IN,c_TMAP2IN&gt;c_TMAP1IN),"Seg2 map1-map2","Seg1 TFWD-map1"))),IF(AND(K5=0,c_TCREEP&gt;0),"Creep",IF(AND(K5&lt;=c_TRNGMIN,K5&gt;=c_TRNGMAX,c_TRNGMIN-c_TRNGMAX&lt;&gt;0),"Regen ramp","Coast (0)")))</f>
        <v>Regen ramp</v>
      </c>
      <c r="R5" s="7" t="n">
        <f aca="false">IF(K5&gt;=c_TFWD,IF(AND(K5&gt;=c_TMAP3IN,c_TMAP3IN&lt;1000),P5,IF(AND(K5&gt;=c_TMAP2IN,c_TMAP3IN&gt;c_TMAP2IN),O5,IF(AND(K5&gt;=c_TMAP1IN,c_TMAP2IN&gt;c_TMAP1IN),N5,M5))),L5)</f>
        <v>-350</v>
      </c>
      <c r="S5" s="7" t="str">
        <f aca="false">IF(R5&lt;-1090,"TOO LOW",IF(R5&gt;1090,"TOO HIGH",""))</f>
        <v/>
      </c>
      <c r="T5" s="15" t="n">
        <f aca="false">IF(H5&lt;&gt;"OK",0,IF(S5&lt;&gt;"",0,IF(R5&gt;979,1000,R5)))</f>
        <v>0</v>
      </c>
      <c r="U5" s="7" t="n">
        <f aca="false">T5/10</f>
        <v>0</v>
      </c>
    </row>
    <row r="6" customFormat="false" ht="15" hidden="false" customHeight="false" outlineLevel="0" collapsed="false">
      <c r="A6" s="7" t="n">
        <v>1</v>
      </c>
      <c r="B6" s="7" t="n">
        <f aca="false">ROUND(o_SWSTART+A6*(o_SWEND-o_SWSTART)/400,0)</f>
        <v>10</v>
      </c>
      <c r="C6" s="7" t="n">
        <f aca="false">QUOTIENT((B6-c_OFF1)*c_GAIN1,1024)</f>
        <v>10</v>
      </c>
      <c r="D6" s="7" t="n">
        <f aca="false">IF(((c_T1MX)-(c_T1MN))=0,(0)+QUOTIENT(((1000)-(0)),2),QUOTIENT((((C6)-(c_T1MN))*((1000)-(0))+IF(((1000)-(0))&gt;=0,1,-1)*QUOTIENT(((c_T1MX)-(c_T1MN)),2)),((c_T1MX)-(c_T1MN)))+(0)+IF(((1000)-(0))&gt;=0,IF(IF(o_WRAP=1,MOD(((c_T1MX)-(c_T1MN))*(((C6)-(c_T1MN))*((1000)-(0))+IF(((1000)-(0))&gt;=0,1,-1)*QUOTIENT(((c_T1MX)-(c_T1MN)),2))+2147483648,4294967296)-2147483648,((c_T1MX)-(c_T1MN))*(((C6)-(c_T1MN))*((1000)-(0))+IF(((1000)-(0))&gt;=0,1,-1)*QUOTIENT(((c_T1MX)-(c_T1MN)),2)))&lt;0,-1,0),IF(IF(o_WRAP=1,MOD(((c_T1MX)-(c_T1MN))*(((C6)-(c_T1MN))*((1000)-(0))+IF(((1000)-(0))&gt;=0,1,-1)*QUOTIENT(((c_T1MX)-(c_T1MN)),2))+2147483648,4294967296)-2147483648,((c_T1MX)-(c_T1MN))*(((C6)-(c_T1MN))*((1000)-(0))+IF(((1000)-(0))&gt;=0,1,-1)*QUOTIENT(((c_T1MX)-(c_T1MN)),2)))&gt;=0,1,0)))</f>
        <v>-255</v>
      </c>
      <c r="E6" s="7" t="n">
        <f aca="false">IF(AND(c_TPOT=1,c_TTYPE=2),1000-D6,D6)</f>
        <v>-255</v>
      </c>
      <c r="F6" s="7" t="str">
        <f aca="false">IF(c_TPOT&gt;1,ROUND(IF(c_TTYPE=2,c_T2MX-IF(c_T1MX=c_T1MN,0,(C6-c_T1MN)/(c_T1MX-c_T1MN))*(c_T2MX-c_T2MN),c_T2MN+IF(c_T1MX=c_T1MN,0,(C6-c_T1MN)/(c_T1MX-c_T1MN))*(c_T2MX-c_T2MN))+o_MISMATCH,0),"")</f>
        <v/>
      </c>
      <c r="G6" s="7" t="str">
        <f aca="false">IF(c_TPOT&gt;1,IF(((c_T2MX)-(c_T2MN))=0,(0)+QUOTIENT(((1000)-(0)),2),QUOTIENT((((F6)-(c_T2MN))*((1000)-(0))+IF(((1000)-(0))&gt;=0,1,-1)*QUOTIENT(((c_T2MX)-(c_T2MN)),2)),((c_T2MX)-(c_T2MN)))+(0)+IF(((1000)-(0))&gt;=0,IF(IF(o_WRAP=1,MOD(((c_T2MX)-(c_T2MN))*(((F6)-(c_T2MN))*((1000)-(0))+IF(((1000)-(0))&gt;=0,1,-1)*QUOTIENT(((c_T2MX)-(c_T2MN)),2))+2147483648,4294967296)-2147483648,((c_T2MX)-(c_T2MN))*(((F6)-(c_T2MN))*((1000)-(0))+IF(((1000)-(0))&gt;=0,1,-1)*QUOTIENT(((c_T2MX)-(c_T2MN)),2)))&lt;0,-1,0),IF(IF(o_WRAP=1,MOD(((c_T2MX)-(c_T2MN))*(((F6)-(c_T2MN))*((1000)-(0))+IF(((1000)-(0))&gt;=0,1,-1)*QUOTIENT(((c_T2MX)-(c_T2MN)),2))+2147483648,4294967296)-2147483648,((c_T2MX)-(c_T2MN))*(((F6)-(c_T2MN))*((1000)-(0))+IF(((1000)-(0))&gt;=0,1,-1)*QUOTIENT(((c_T2MX)-(c_T2MN)),2)))&gt;=0,1,0))),"")</f>
        <v/>
      </c>
      <c r="H6" s="7" t="str">
        <f aca="false">IF(E6&gt;1000+k_TOL,"T1 HIGH",IF(E6&lt;0-k_TOL,"T1 LOW",IF(c_TPOT&gt;1,IF(G6&gt;1000+k_TOL,"T2 HIGH",IF(G6&lt;0-k_TOL,"T2 LOW",IF(c_TTYPE=2,IF(ABS(1000-MAX(0,MIN(1000,E6))-MAX(0,MIN(1000,G6)))&gt;k_MAXERR,"MISMATCH","OK"),IF(OR(MAX(0,MIN(1000,E6))-k_MAXERR&gt;MAX(0,MIN(1000,G6)),MAX(0,MIN(1000,G6))-k_MAXERR&gt;MAX(0,MIN(1000,E6))),"MISMATCH","OK")))),"OK")))</f>
        <v>T1 LOW</v>
      </c>
      <c r="I6" s="7" t="n">
        <f aca="false">MAX(0,MIN(1000,D6))</f>
        <v>0</v>
      </c>
      <c r="J6" s="7" t="str">
        <f aca="false">IF(c_TPOT&gt;1,IF(c_TTYPE=2,1000-MAX(0,MIN(1000,G6)),MAX(0,MIN(1000,G6))),"")</f>
        <v/>
      </c>
      <c r="K6" s="7" t="n">
        <f aca="false">IF(c_TPOT&gt;1,QUOTIENT(I6+J6,2),I6)</f>
        <v>0</v>
      </c>
      <c r="L6" s="7" t="n">
        <f aca="false">IF(AND(K6=0,c_TCREEP&gt;0),10*c_TCREEP,IF(AND(K6&lt;=c_TRNGMIN,K6&gt;=c_TRNGMAX,c_TRNGMIN-c_TRNGMAX&lt;&gt;0),-10*c_TMINRN+QUOTIENT((c_TMAXRN-c_TMINRN)*(100-QUOTIENT((K6-c_TRNGMAX)*100,c_TRNGMIN-c_TRNGMAX)),-10),0))</f>
        <v>-350</v>
      </c>
      <c r="M6" s="7" t="n">
        <f aca="false">IF(((c_TMAP1IN)-(c_TFWD))=0,(0)+QUOTIENT(((c_TMAP1OUT)-(0)),2),QUOTIENT((((K6)-(c_TFWD))*((c_TMAP1OUT)-(0))+IF(((c_TMAP1OUT)-(0))&gt;=0,1,-1)*QUOTIENT(((c_TMAP1IN)-(c_TFWD)),2)),((c_TMAP1IN)-(c_TFWD)))+(0)+IF(((c_TMAP1OUT)-(0))&gt;=0,IF(IF(o_WRAP=1,MOD(((c_TMAP1IN)-(c_TFWD))*(((K6)-(c_TFWD))*((c_TMAP1OUT)-(0))+IF(((c_TMAP1OUT)-(0))&gt;=0,1,-1)*QUOTIENT(((c_TMAP1IN)-(c_TFWD)),2))+2147483648,4294967296)-2147483648,((c_TMAP1IN)-(c_TFWD))*(((K6)-(c_TFWD))*((c_TMAP1OUT)-(0))+IF(((c_TMAP1OUT)-(0))&gt;=0,1,-1)*QUOTIENT(((c_TMAP1IN)-(c_TFWD)),2)))&lt;0,-1,0),IF(IF(o_WRAP=1,MOD(((c_TMAP1IN)-(c_TFWD))*(((K6)-(c_TFWD))*((c_TMAP1OUT)-(0))+IF(((c_TMAP1OUT)-(0))&gt;=0,1,-1)*QUOTIENT(((c_TMAP1IN)-(c_TFWD)),2))+2147483648,4294967296)-2147483648,((c_TMAP1IN)-(c_TFWD))*(((K6)-(c_TFWD))*((c_TMAP1OUT)-(0))+IF(((c_TMAP1OUT)-(0))&gt;=0,1,-1)*QUOTIENT(((c_TMAP1IN)-(c_TFWD)),2)))&gt;=0,1,0)))</f>
        <v>-8</v>
      </c>
      <c r="N6" s="7" t="n">
        <f aca="false">IF(((c_TMAP2IN)-(c_TMAP1IN))=0,(c_TMAP1OUT)+QUOTIENT(((c_TMAP2OUT)-(c_TMAP1OUT)),2),QUOTIENT((((K6)-(c_TMAP1IN))*((c_TMAP2OUT)-(c_TMAP1OUT))+IF(((c_TMAP2OUT)-(c_TMAP1OUT))&gt;=0,1,-1)*QUOTIENT(((c_TMAP2IN)-(c_TMAP1IN)),2)),((c_TMAP2IN)-(c_TMAP1IN)))+(c_TMAP1OUT)+IF(((c_TMAP2OUT)-(c_TMAP1OUT))&gt;=0,IF(IF(o_WRAP=1,MOD(((c_TMAP2IN)-(c_TMAP1IN))*(((K6)-(c_TMAP1IN))*((c_TMAP2OUT)-(c_TMAP1OUT))+IF(((c_TMAP2OUT)-(c_TMAP1OUT))&gt;=0,1,-1)*QUOTIENT(((c_TMAP2IN)-(c_TMAP1IN)),2))+2147483648,4294967296)-2147483648,((c_TMAP2IN)-(c_TMAP1IN))*(((K6)-(c_TMAP1IN))*((c_TMAP2OUT)-(c_TMAP1OUT))+IF(((c_TMAP2OUT)-(c_TMAP1OUT))&gt;=0,1,-1)*QUOTIENT(((c_TMAP2IN)-(c_TMAP1IN)),2)))&lt;0,-1,0),IF(IF(o_WRAP=1,MOD(((c_TMAP2IN)-(c_TMAP1IN))*(((K6)-(c_TMAP1IN))*((c_TMAP2OUT)-(c_TMAP1OUT))+IF(((c_TMAP2OUT)-(c_TMAP1OUT))&gt;=0,1,-1)*QUOTIENT(((c_TMAP2IN)-(c_TMAP1IN)),2))+2147483648,4294967296)-2147483648,((c_TMAP2IN)-(c_TMAP1IN))*(((K6)-(c_TMAP1IN))*((c_TMAP2OUT)-(c_TMAP1OUT))+IF(((c_TMAP2OUT)-(c_TMAP1OUT))&gt;=0,1,-1)*QUOTIENT(((c_TMAP2IN)-(c_TMAP1IN)),2)))&gt;=0,1,0)))</f>
        <v>30</v>
      </c>
      <c r="O6" s="7" t="n">
        <f aca="false">IF(((c_TMAP3IN)-(c_TMAP2IN))=0,(c_TMAP2OUT)+QUOTIENT(((c_TMAP3OUT)-(c_TMAP2OUT)),2),QUOTIENT((((K6)-(c_TMAP2IN))*((c_TMAP3OUT)-(c_TMAP2OUT))+IF(((c_TMAP3OUT)-(c_TMAP2OUT))&gt;=0,1,-1)*QUOTIENT(((c_TMAP3IN)-(c_TMAP2IN)),2)),((c_TMAP3IN)-(c_TMAP2IN)))+(c_TMAP2OUT)+IF(((c_TMAP3OUT)-(c_TMAP2OUT))&gt;=0,IF(IF(o_WRAP=1,MOD(((c_TMAP3IN)-(c_TMAP2IN))*(((K6)-(c_TMAP2IN))*((c_TMAP3OUT)-(c_TMAP2OUT))+IF(((c_TMAP3OUT)-(c_TMAP2OUT))&gt;=0,1,-1)*QUOTIENT(((c_TMAP3IN)-(c_TMAP2IN)),2))+2147483648,4294967296)-2147483648,((c_TMAP3IN)-(c_TMAP2IN))*(((K6)-(c_TMAP2IN))*((c_TMAP3OUT)-(c_TMAP2OUT))+IF(((c_TMAP3OUT)-(c_TMAP2OUT))&gt;=0,1,-1)*QUOTIENT(((c_TMAP3IN)-(c_TMAP2IN)),2)))&lt;0,-1,0),IF(IF(o_WRAP=1,MOD(((c_TMAP3IN)-(c_TMAP2IN))*(((K6)-(c_TMAP2IN))*((c_TMAP3OUT)-(c_TMAP2OUT))+IF(((c_TMAP3OUT)-(c_TMAP2OUT))&gt;=0,1,-1)*QUOTIENT(((c_TMAP3IN)-(c_TMAP2IN)),2))+2147483648,4294967296)-2147483648,((c_TMAP3IN)-(c_TMAP2IN))*(((K6)-(c_TMAP2IN))*((c_TMAP3OUT)-(c_TMAP2OUT))+IF(((c_TMAP3OUT)-(c_TMAP2OUT))&gt;=0,1,-1)*QUOTIENT(((c_TMAP3IN)-(c_TMAP2IN)),2)))&gt;=0,1,0)))</f>
        <v>-45</v>
      </c>
      <c r="P6" s="7" t="n">
        <f aca="false">IF(((1000)-(c_TMAP3IN))=0,(c_TMAP3OUT)+QUOTIENT(((1000)-(c_TMAP3OUT)),2),QUOTIENT((((K6)-(c_TMAP3IN))*((1000)-(c_TMAP3OUT))+IF(((1000)-(c_TMAP3OUT))&gt;=0,1,-1)*QUOTIENT(((1000)-(c_TMAP3IN)),2)),((1000)-(c_TMAP3IN)))+(c_TMAP3OUT)+IF(((1000)-(c_TMAP3OUT))&gt;=0,IF(IF(o_WRAP=1,MOD(((1000)-(c_TMAP3IN))*(((K6)-(c_TMAP3IN))*((1000)-(c_TMAP3OUT))+IF(((1000)-(c_TMAP3OUT))&gt;=0,1,-1)*QUOTIENT(((1000)-(c_TMAP3IN)),2))+2147483648,4294967296)-2147483648,((1000)-(c_TMAP3IN))*(((K6)-(c_TMAP3IN))*((1000)-(c_TMAP3OUT))+IF(((1000)-(c_TMAP3OUT))&gt;=0,1,-1)*QUOTIENT(((1000)-(c_TMAP3IN)),2)))&lt;0,-1,0),IF(IF(o_WRAP=1,MOD(((1000)-(c_TMAP3IN))*(((K6)-(c_TMAP3IN))*((1000)-(c_TMAP3OUT))+IF(((1000)-(c_TMAP3OUT))&gt;=0,1,-1)*QUOTIENT(((1000)-(c_TMAP3IN)),2))+2147483648,4294967296)-2147483648,((1000)-(c_TMAP3IN))*(((K6)-(c_TMAP3IN))*((1000)-(c_TMAP3OUT))+IF(((1000)-(c_TMAP3OUT))&gt;=0,1,-1)*QUOTIENT(((1000)-(c_TMAP3IN)),2)))&gt;=0,1,0)))</f>
        <v>-231</v>
      </c>
      <c r="Q6" s="7" t="str">
        <f aca="false">IF(K6&gt;=c_TFWD,IF(AND(K6&gt;=c_TMAP3IN,c_TMAP3IN&lt;1000),"Seg4 map3-100%",IF(AND(K6&gt;=c_TMAP2IN,c_TMAP3IN&gt;c_TMAP2IN),"Seg3 map2-map3",IF(AND(K6&gt;=c_TMAP1IN,c_TMAP2IN&gt;c_TMAP1IN),"Seg2 map1-map2","Seg1 TFWD-map1"))),IF(AND(K6=0,c_TCREEP&gt;0),"Creep",IF(AND(K6&lt;=c_TRNGMIN,K6&gt;=c_TRNGMAX,c_TRNGMIN-c_TRNGMAX&lt;&gt;0),"Regen ramp","Coast (0)")))</f>
        <v>Regen ramp</v>
      </c>
      <c r="R6" s="7" t="n">
        <f aca="false">IF(K6&gt;=c_TFWD,IF(AND(K6&gt;=c_TMAP3IN,c_TMAP3IN&lt;1000),P6,IF(AND(K6&gt;=c_TMAP2IN,c_TMAP3IN&gt;c_TMAP2IN),O6,IF(AND(K6&gt;=c_TMAP1IN,c_TMAP2IN&gt;c_TMAP1IN),N6,M6))),L6)</f>
        <v>-350</v>
      </c>
      <c r="S6" s="7" t="str">
        <f aca="false">IF(R6&lt;-1090,"TOO LOW",IF(R6&gt;1090,"TOO HIGH",""))</f>
        <v/>
      </c>
      <c r="T6" s="15" t="n">
        <f aca="false">IF(H6&lt;&gt;"OK",0,IF(S6&lt;&gt;"",0,IF(R6&gt;979,1000,R6)))</f>
        <v>0</v>
      </c>
      <c r="U6" s="7" t="n">
        <f aca="false">T6/10</f>
        <v>0</v>
      </c>
    </row>
    <row r="7" customFormat="false" ht="15" hidden="false" customHeight="false" outlineLevel="0" collapsed="false">
      <c r="A7" s="7" t="n">
        <v>2</v>
      </c>
      <c r="B7" s="7" t="n">
        <f aca="false">ROUND(o_SWSTART+A7*(o_SWEND-o_SWSTART)/400,0)</f>
        <v>20</v>
      </c>
      <c r="C7" s="7" t="n">
        <f aca="false">QUOTIENT((B7-c_OFF1)*c_GAIN1,1024)</f>
        <v>20</v>
      </c>
      <c r="D7" s="7" t="n">
        <f aca="false">IF(((c_T1MX)-(c_T1MN))=0,(0)+QUOTIENT(((1000)-(0)),2),QUOTIENT((((C7)-(c_T1MN))*((1000)-(0))+IF(((1000)-(0))&gt;=0,1,-1)*QUOTIENT(((c_T1MX)-(c_T1MN)),2)),((c_T1MX)-(c_T1MN)))+(0)+IF(((1000)-(0))&gt;=0,IF(IF(o_WRAP=1,MOD(((c_T1MX)-(c_T1MN))*(((C7)-(c_T1MN))*((1000)-(0))+IF(((1000)-(0))&gt;=0,1,-1)*QUOTIENT(((c_T1MX)-(c_T1MN)),2))+2147483648,4294967296)-2147483648,((c_T1MX)-(c_T1MN))*(((C7)-(c_T1MN))*((1000)-(0))+IF(((1000)-(0))&gt;=0,1,-1)*QUOTIENT(((c_T1MX)-(c_T1MN)),2)))&lt;0,-1,0),IF(IF(o_WRAP=1,MOD(((c_T1MX)-(c_T1MN))*(((C7)-(c_T1MN))*((1000)-(0))+IF(((1000)-(0))&gt;=0,1,-1)*QUOTIENT(((c_T1MX)-(c_T1MN)),2))+2147483648,4294967296)-2147483648,((c_T1MX)-(c_T1MN))*(((C7)-(c_T1MN))*((1000)-(0))+IF(((1000)-(0))&gt;=0,1,-1)*QUOTIENT(((c_T1MX)-(c_T1MN)),2)))&gt;=0,1,0)))</f>
        <v>-252</v>
      </c>
      <c r="E7" s="7" t="n">
        <f aca="false">IF(AND(c_TPOT=1,c_TTYPE=2),1000-D7,D7)</f>
        <v>-252</v>
      </c>
      <c r="F7" s="7" t="str">
        <f aca="false">IF(c_TPOT&gt;1,ROUND(IF(c_TTYPE=2,c_T2MX-IF(c_T1MX=c_T1MN,0,(C7-c_T1MN)/(c_T1MX-c_T1MN))*(c_T2MX-c_T2MN),c_T2MN+IF(c_T1MX=c_T1MN,0,(C7-c_T1MN)/(c_T1MX-c_T1MN))*(c_T2MX-c_T2MN))+o_MISMATCH,0),"")</f>
        <v/>
      </c>
      <c r="G7" s="7" t="str">
        <f aca="false">IF(c_TPOT&gt;1,IF(((c_T2MX)-(c_T2MN))=0,(0)+QUOTIENT(((1000)-(0)),2),QUOTIENT((((F7)-(c_T2MN))*((1000)-(0))+IF(((1000)-(0))&gt;=0,1,-1)*QUOTIENT(((c_T2MX)-(c_T2MN)),2)),((c_T2MX)-(c_T2MN)))+(0)+IF(((1000)-(0))&gt;=0,IF(IF(o_WRAP=1,MOD(((c_T2MX)-(c_T2MN))*(((F7)-(c_T2MN))*((1000)-(0))+IF(((1000)-(0))&gt;=0,1,-1)*QUOTIENT(((c_T2MX)-(c_T2MN)),2))+2147483648,4294967296)-2147483648,((c_T2MX)-(c_T2MN))*(((F7)-(c_T2MN))*((1000)-(0))+IF(((1000)-(0))&gt;=0,1,-1)*QUOTIENT(((c_T2MX)-(c_T2MN)),2)))&lt;0,-1,0),IF(IF(o_WRAP=1,MOD(((c_T2MX)-(c_T2MN))*(((F7)-(c_T2MN))*((1000)-(0))+IF(((1000)-(0))&gt;=0,1,-1)*QUOTIENT(((c_T2MX)-(c_T2MN)),2))+2147483648,4294967296)-2147483648,((c_T2MX)-(c_T2MN))*(((F7)-(c_T2MN))*((1000)-(0))+IF(((1000)-(0))&gt;=0,1,-1)*QUOTIENT(((c_T2MX)-(c_T2MN)),2)))&gt;=0,1,0))),"")</f>
        <v/>
      </c>
      <c r="H7" s="7" t="str">
        <f aca="false">IF(E7&gt;1000+k_TOL,"T1 HIGH",IF(E7&lt;0-k_TOL,"T1 LOW",IF(c_TPOT&gt;1,IF(G7&gt;1000+k_TOL,"T2 HIGH",IF(G7&lt;0-k_TOL,"T2 LOW",IF(c_TTYPE=2,IF(ABS(1000-MAX(0,MIN(1000,E7))-MAX(0,MIN(1000,G7)))&gt;k_MAXERR,"MISMATCH","OK"),IF(OR(MAX(0,MIN(1000,E7))-k_MAXERR&gt;MAX(0,MIN(1000,G7)),MAX(0,MIN(1000,G7))-k_MAXERR&gt;MAX(0,MIN(1000,E7))),"MISMATCH","OK")))),"OK")))</f>
        <v>T1 LOW</v>
      </c>
      <c r="I7" s="7" t="n">
        <f aca="false">MAX(0,MIN(1000,D7))</f>
        <v>0</v>
      </c>
      <c r="J7" s="7" t="str">
        <f aca="false">IF(c_TPOT&gt;1,IF(c_TTYPE=2,1000-MAX(0,MIN(1000,G7)),MAX(0,MIN(1000,G7))),"")</f>
        <v/>
      </c>
      <c r="K7" s="7" t="n">
        <f aca="false">IF(c_TPOT&gt;1,QUOTIENT(I7+J7,2),I7)</f>
        <v>0</v>
      </c>
      <c r="L7" s="7" t="n">
        <f aca="false">IF(AND(K7=0,c_TCREEP&gt;0),10*c_TCREEP,IF(AND(K7&lt;=c_TRNGMIN,K7&gt;=c_TRNGMAX,c_TRNGMIN-c_TRNGMAX&lt;&gt;0),-10*c_TMINRN+QUOTIENT((c_TMAXRN-c_TMINRN)*(100-QUOTIENT((K7-c_TRNGMAX)*100,c_TRNGMIN-c_TRNGMAX)),-10),0))</f>
        <v>-350</v>
      </c>
      <c r="M7" s="7" t="n">
        <f aca="false">IF(((c_TMAP1IN)-(c_TFWD))=0,(0)+QUOTIENT(((c_TMAP1OUT)-(0)),2),QUOTIENT((((K7)-(c_TFWD))*((c_TMAP1OUT)-(0))+IF(((c_TMAP1OUT)-(0))&gt;=0,1,-1)*QUOTIENT(((c_TMAP1IN)-(c_TFWD)),2)),((c_TMAP1IN)-(c_TFWD)))+(0)+IF(((c_TMAP1OUT)-(0))&gt;=0,IF(IF(o_WRAP=1,MOD(((c_TMAP1IN)-(c_TFWD))*(((K7)-(c_TFWD))*((c_TMAP1OUT)-(0))+IF(((c_TMAP1OUT)-(0))&gt;=0,1,-1)*QUOTIENT(((c_TMAP1IN)-(c_TFWD)),2))+2147483648,4294967296)-2147483648,((c_TMAP1IN)-(c_TFWD))*(((K7)-(c_TFWD))*((c_TMAP1OUT)-(0))+IF(((c_TMAP1OUT)-(0))&gt;=0,1,-1)*QUOTIENT(((c_TMAP1IN)-(c_TFWD)),2)))&lt;0,-1,0),IF(IF(o_WRAP=1,MOD(((c_TMAP1IN)-(c_TFWD))*(((K7)-(c_TFWD))*((c_TMAP1OUT)-(0))+IF(((c_TMAP1OUT)-(0))&gt;=0,1,-1)*QUOTIENT(((c_TMAP1IN)-(c_TFWD)),2))+2147483648,4294967296)-2147483648,((c_TMAP1IN)-(c_TFWD))*(((K7)-(c_TFWD))*((c_TMAP1OUT)-(0))+IF(((c_TMAP1OUT)-(0))&gt;=0,1,-1)*QUOTIENT(((c_TMAP1IN)-(c_TFWD)),2)))&gt;=0,1,0)))</f>
        <v>-8</v>
      </c>
      <c r="N7" s="7" t="n">
        <f aca="false">IF(((c_TMAP2IN)-(c_TMAP1IN))=0,(c_TMAP1OUT)+QUOTIENT(((c_TMAP2OUT)-(c_TMAP1OUT)),2),QUOTIENT((((K7)-(c_TMAP1IN))*((c_TMAP2OUT)-(c_TMAP1OUT))+IF(((c_TMAP2OUT)-(c_TMAP1OUT))&gt;=0,1,-1)*QUOTIENT(((c_TMAP2IN)-(c_TMAP1IN)),2)),((c_TMAP2IN)-(c_TMAP1IN)))+(c_TMAP1OUT)+IF(((c_TMAP2OUT)-(c_TMAP1OUT))&gt;=0,IF(IF(o_WRAP=1,MOD(((c_TMAP2IN)-(c_TMAP1IN))*(((K7)-(c_TMAP1IN))*((c_TMAP2OUT)-(c_TMAP1OUT))+IF(((c_TMAP2OUT)-(c_TMAP1OUT))&gt;=0,1,-1)*QUOTIENT(((c_TMAP2IN)-(c_TMAP1IN)),2))+2147483648,4294967296)-2147483648,((c_TMAP2IN)-(c_TMAP1IN))*(((K7)-(c_TMAP1IN))*((c_TMAP2OUT)-(c_TMAP1OUT))+IF(((c_TMAP2OUT)-(c_TMAP1OUT))&gt;=0,1,-1)*QUOTIENT(((c_TMAP2IN)-(c_TMAP1IN)),2)))&lt;0,-1,0),IF(IF(o_WRAP=1,MOD(((c_TMAP2IN)-(c_TMAP1IN))*(((K7)-(c_TMAP1IN))*((c_TMAP2OUT)-(c_TMAP1OUT))+IF(((c_TMAP2OUT)-(c_TMAP1OUT))&gt;=0,1,-1)*QUOTIENT(((c_TMAP2IN)-(c_TMAP1IN)),2))+2147483648,4294967296)-2147483648,((c_TMAP2IN)-(c_TMAP1IN))*(((K7)-(c_TMAP1IN))*((c_TMAP2OUT)-(c_TMAP1OUT))+IF(((c_TMAP2OUT)-(c_TMAP1OUT))&gt;=0,1,-1)*QUOTIENT(((c_TMAP2IN)-(c_TMAP1IN)),2)))&gt;=0,1,0)))</f>
        <v>30</v>
      </c>
      <c r="O7" s="7" t="n">
        <f aca="false">IF(((c_TMAP3IN)-(c_TMAP2IN))=0,(c_TMAP2OUT)+QUOTIENT(((c_TMAP3OUT)-(c_TMAP2OUT)),2),QUOTIENT((((K7)-(c_TMAP2IN))*((c_TMAP3OUT)-(c_TMAP2OUT))+IF(((c_TMAP3OUT)-(c_TMAP2OUT))&gt;=0,1,-1)*QUOTIENT(((c_TMAP3IN)-(c_TMAP2IN)),2)),((c_TMAP3IN)-(c_TMAP2IN)))+(c_TMAP2OUT)+IF(((c_TMAP3OUT)-(c_TMAP2OUT))&gt;=0,IF(IF(o_WRAP=1,MOD(((c_TMAP3IN)-(c_TMAP2IN))*(((K7)-(c_TMAP2IN))*((c_TMAP3OUT)-(c_TMAP2OUT))+IF(((c_TMAP3OUT)-(c_TMAP2OUT))&gt;=0,1,-1)*QUOTIENT(((c_TMAP3IN)-(c_TMAP2IN)),2))+2147483648,4294967296)-2147483648,((c_TMAP3IN)-(c_TMAP2IN))*(((K7)-(c_TMAP2IN))*((c_TMAP3OUT)-(c_TMAP2OUT))+IF(((c_TMAP3OUT)-(c_TMAP2OUT))&gt;=0,1,-1)*QUOTIENT(((c_TMAP3IN)-(c_TMAP2IN)),2)))&lt;0,-1,0),IF(IF(o_WRAP=1,MOD(((c_TMAP3IN)-(c_TMAP2IN))*(((K7)-(c_TMAP2IN))*((c_TMAP3OUT)-(c_TMAP2OUT))+IF(((c_TMAP3OUT)-(c_TMAP2OUT))&gt;=0,1,-1)*QUOTIENT(((c_TMAP3IN)-(c_TMAP2IN)),2))+2147483648,4294967296)-2147483648,((c_TMAP3IN)-(c_TMAP2IN))*(((K7)-(c_TMAP2IN))*((c_TMAP3OUT)-(c_TMAP2OUT))+IF(((c_TMAP3OUT)-(c_TMAP2OUT))&gt;=0,1,-1)*QUOTIENT(((c_TMAP3IN)-(c_TMAP2IN)),2)))&gt;=0,1,0)))</f>
        <v>-45</v>
      </c>
      <c r="P7" s="7" t="n">
        <f aca="false">IF(((1000)-(c_TMAP3IN))=0,(c_TMAP3OUT)+QUOTIENT(((1000)-(c_TMAP3OUT)),2),QUOTIENT((((K7)-(c_TMAP3IN))*((1000)-(c_TMAP3OUT))+IF(((1000)-(c_TMAP3OUT))&gt;=0,1,-1)*QUOTIENT(((1000)-(c_TMAP3IN)),2)),((1000)-(c_TMAP3IN)))+(c_TMAP3OUT)+IF(((1000)-(c_TMAP3OUT))&gt;=0,IF(IF(o_WRAP=1,MOD(((1000)-(c_TMAP3IN))*(((K7)-(c_TMAP3IN))*((1000)-(c_TMAP3OUT))+IF(((1000)-(c_TMAP3OUT))&gt;=0,1,-1)*QUOTIENT(((1000)-(c_TMAP3IN)),2))+2147483648,4294967296)-2147483648,((1000)-(c_TMAP3IN))*(((K7)-(c_TMAP3IN))*((1000)-(c_TMAP3OUT))+IF(((1000)-(c_TMAP3OUT))&gt;=0,1,-1)*QUOTIENT(((1000)-(c_TMAP3IN)),2)))&lt;0,-1,0),IF(IF(o_WRAP=1,MOD(((1000)-(c_TMAP3IN))*(((K7)-(c_TMAP3IN))*((1000)-(c_TMAP3OUT))+IF(((1000)-(c_TMAP3OUT))&gt;=0,1,-1)*QUOTIENT(((1000)-(c_TMAP3IN)),2))+2147483648,4294967296)-2147483648,((1000)-(c_TMAP3IN))*(((K7)-(c_TMAP3IN))*((1000)-(c_TMAP3OUT))+IF(((1000)-(c_TMAP3OUT))&gt;=0,1,-1)*QUOTIENT(((1000)-(c_TMAP3IN)),2)))&gt;=0,1,0)))</f>
        <v>-231</v>
      </c>
      <c r="Q7" s="7" t="str">
        <f aca="false">IF(K7&gt;=c_TFWD,IF(AND(K7&gt;=c_TMAP3IN,c_TMAP3IN&lt;1000),"Seg4 map3-100%",IF(AND(K7&gt;=c_TMAP2IN,c_TMAP3IN&gt;c_TMAP2IN),"Seg3 map2-map3",IF(AND(K7&gt;=c_TMAP1IN,c_TMAP2IN&gt;c_TMAP1IN),"Seg2 map1-map2","Seg1 TFWD-map1"))),IF(AND(K7=0,c_TCREEP&gt;0),"Creep",IF(AND(K7&lt;=c_TRNGMIN,K7&gt;=c_TRNGMAX,c_TRNGMIN-c_TRNGMAX&lt;&gt;0),"Regen ramp","Coast (0)")))</f>
        <v>Regen ramp</v>
      </c>
      <c r="R7" s="7" t="n">
        <f aca="false">IF(K7&gt;=c_TFWD,IF(AND(K7&gt;=c_TMAP3IN,c_TMAP3IN&lt;1000),P7,IF(AND(K7&gt;=c_TMAP2IN,c_TMAP3IN&gt;c_TMAP2IN),O7,IF(AND(K7&gt;=c_TMAP1IN,c_TMAP2IN&gt;c_TMAP1IN),N7,M7))),L7)</f>
        <v>-350</v>
      </c>
      <c r="S7" s="7" t="str">
        <f aca="false">IF(R7&lt;-1090,"TOO LOW",IF(R7&gt;1090,"TOO HIGH",""))</f>
        <v/>
      </c>
      <c r="T7" s="15" t="n">
        <f aca="false">IF(H7&lt;&gt;"OK",0,IF(S7&lt;&gt;"",0,IF(R7&gt;979,1000,R7)))</f>
        <v>0</v>
      </c>
      <c r="U7" s="7" t="n">
        <f aca="false">T7/10</f>
        <v>0</v>
      </c>
    </row>
    <row r="8" customFormat="false" ht="15" hidden="false" customHeight="false" outlineLevel="0" collapsed="false">
      <c r="A8" s="7" t="n">
        <v>3</v>
      </c>
      <c r="B8" s="7" t="n">
        <f aca="false">ROUND(o_SWSTART+A8*(o_SWEND-o_SWSTART)/400,0)</f>
        <v>31</v>
      </c>
      <c r="C8" s="7" t="n">
        <f aca="false">QUOTIENT((B8-c_OFF1)*c_GAIN1,1024)</f>
        <v>31</v>
      </c>
      <c r="D8" s="7" t="n">
        <f aca="false">IF(((c_T1MX)-(c_T1MN))=0,(0)+QUOTIENT(((1000)-(0)),2),QUOTIENT((((C8)-(c_T1MN))*((1000)-(0))+IF(((1000)-(0))&gt;=0,1,-1)*QUOTIENT(((c_T1MX)-(c_T1MN)),2)),((c_T1MX)-(c_T1MN)))+(0)+IF(((1000)-(0))&gt;=0,IF(IF(o_WRAP=1,MOD(((c_T1MX)-(c_T1MN))*(((C8)-(c_T1MN))*((1000)-(0))+IF(((1000)-(0))&gt;=0,1,-1)*QUOTIENT(((c_T1MX)-(c_T1MN)),2))+2147483648,4294967296)-2147483648,((c_T1MX)-(c_T1MN))*(((C8)-(c_T1MN))*((1000)-(0))+IF(((1000)-(0))&gt;=0,1,-1)*QUOTIENT(((c_T1MX)-(c_T1MN)),2)))&lt;0,-1,0),IF(IF(o_WRAP=1,MOD(((c_T1MX)-(c_T1MN))*(((C8)-(c_T1MN))*((1000)-(0))+IF(((1000)-(0))&gt;=0,1,-1)*QUOTIENT(((c_T1MX)-(c_T1MN)),2))+2147483648,4294967296)-2147483648,((c_T1MX)-(c_T1MN))*(((C8)-(c_T1MN))*((1000)-(0))+IF(((1000)-(0))&gt;=0,1,-1)*QUOTIENT(((c_T1MX)-(c_T1MN)),2)))&gt;=0,1,0)))</f>
        <v>-248</v>
      </c>
      <c r="E8" s="7" t="n">
        <f aca="false">IF(AND(c_TPOT=1,c_TTYPE=2),1000-D8,D8)</f>
        <v>-248</v>
      </c>
      <c r="F8" s="7" t="str">
        <f aca="false">IF(c_TPOT&gt;1,ROUND(IF(c_TTYPE=2,c_T2MX-IF(c_T1MX=c_T1MN,0,(C8-c_T1MN)/(c_T1MX-c_T1MN))*(c_T2MX-c_T2MN),c_T2MN+IF(c_T1MX=c_T1MN,0,(C8-c_T1MN)/(c_T1MX-c_T1MN))*(c_T2MX-c_T2MN))+o_MISMATCH,0),"")</f>
        <v/>
      </c>
      <c r="G8" s="7" t="str">
        <f aca="false">IF(c_TPOT&gt;1,IF(((c_T2MX)-(c_T2MN))=0,(0)+QUOTIENT(((1000)-(0)),2),QUOTIENT((((F8)-(c_T2MN))*((1000)-(0))+IF(((1000)-(0))&gt;=0,1,-1)*QUOTIENT(((c_T2MX)-(c_T2MN)),2)),((c_T2MX)-(c_T2MN)))+(0)+IF(((1000)-(0))&gt;=0,IF(IF(o_WRAP=1,MOD(((c_T2MX)-(c_T2MN))*(((F8)-(c_T2MN))*((1000)-(0))+IF(((1000)-(0))&gt;=0,1,-1)*QUOTIENT(((c_T2MX)-(c_T2MN)),2))+2147483648,4294967296)-2147483648,((c_T2MX)-(c_T2MN))*(((F8)-(c_T2MN))*((1000)-(0))+IF(((1000)-(0))&gt;=0,1,-1)*QUOTIENT(((c_T2MX)-(c_T2MN)),2)))&lt;0,-1,0),IF(IF(o_WRAP=1,MOD(((c_T2MX)-(c_T2MN))*(((F8)-(c_T2MN))*((1000)-(0))+IF(((1000)-(0))&gt;=0,1,-1)*QUOTIENT(((c_T2MX)-(c_T2MN)),2))+2147483648,4294967296)-2147483648,((c_T2MX)-(c_T2MN))*(((F8)-(c_T2MN))*((1000)-(0))+IF(((1000)-(0))&gt;=0,1,-1)*QUOTIENT(((c_T2MX)-(c_T2MN)),2)))&gt;=0,1,0))),"")</f>
        <v/>
      </c>
      <c r="H8" s="7" t="str">
        <f aca="false">IF(E8&gt;1000+k_TOL,"T1 HIGH",IF(E8&lt;0-k_TOL,"T1 LOW",IF(c_TPOT&gt;1,IF(G8&gt;1000+k_TOL,"T2 HIGH",IF(G8&lt;0-k_TOL,"T2 LOW",IF(c_TTYPE=2,IF(ABS(1000-MAX(0,MIN(1000,E8))-MAX(0,MIN(1000,G8)))&gt;k_MAXERR,"MISMATCH","OK"),IF(OR(MAX(0,MIN(1000,E8))-k_MAXERR&gt;MAX(0,MIN(1000,G8)),MAX(0,MIN(1000,G8))-k_MAXERR&gt;MAX(0,MIN(1000,E8))),"MISMATCH","OK")))),"OK")))</f>
        <v>T1 LOW</v>
      </c>
      <c r="I8" s="7" t="n">
        <f aca="false">MAX(0,MIN(1000,D8))</f>
        <v>0</v>
      </c>
      <c r="J8" s="7" t="str">
        <f aca="false">IF(c_TPOT&gt;1,IF(c_TTYPE=2,1000-MAX(0,MIN(1000,G8)),MAX(0,MIN(1000,G8))),"")</f>
        <v/>
      </c>
      <c r="K8" s="7" t="n">
        <f aca="false">IF(c_TPOT&gt;1,QUOTIENT(I8+J8,2),I8)</f>
        <v>0</v>
      </c>
      <c r="L8" s="7" t="n">
        <f aca="false">IF(AND(K8=0,c_TCREEP&gt;0),10*c_TCREEP,IF(AND(K8&lt;=c_TRNGMIN,K8&gt;=c_TRNGMAX,c_TRNGMIN-c_TRNGMAX&lt;&gt;0),-10*c_TMINRN+QUOTIENT((c_TMAXRN-c_TMINRN)*(100-QUOTIENT((K8-c_TRNGMAX)*100,c_TRNGMIN-c_TRNGMAX)),-10),0))</f>
        <v>-350</v>
      </c>
      <c r="M8" s="7" t="n">
        <f aca="false">IF(((c_TMAP1IN)-(c_TFWD))=0,(0)+QUOTIENT(((c_TMAP1OUT)-(0)),2),QUOTIENT((((K8)-(c_TFWD))*((c_TMAP1OUT)-(0))+IF(((c_TMAP1OUT)-(0))&gt;=0,1,-1)*QUOTIENT(((c_TMAP1IN)-(c_TFWD)),2)),((c_TMAP1IN)-(c_TFWD)))+(0)+IF(((c_TMAP1OUT)-(0))&gt;=0,IF(IF(o_WRAP=1,MOD(((c_TMAP1IN)-(c_TFWD))*(((K8)-(c_TFWD))*((c_TMAP1OUT)-(0))+IF(((c_TMAP1OUT)-(0))&gt;=0,1,-1)*QUOTIENT(((c_TMAP1IN)-(c_TFWD)),2))+2147483648,4294967296)-2147483648,((c_TMAP1IN)-(c_TFWD))*(((K8)-(c_TFWD))*((c_TMAP1OUT)-(0))+IF(((c_TMAP1OUT)-(0))&gt;=0,1,-1)*QUOTIENT(((c_TMAP1IN)-(c_TFWD)),2)))&lt;0,-1,0),IF(IF(o_WRAP=1,MOD(((c_TMAP1IN)-(c_TFWD))*(((K8)-(c_TFWD))*((c_TMAP1OUT)-(0))+IF(((c_TMAP1OUT)-(0))&gt;=0,1,-1)*QUOTIENT(((c_TMAP1IN)-(c_TFWD)),2))+2147483648,4294967296)-2147483648,((c_TMAP1IN)-(c_TFWD))*(((K8)-(c_TFWD))*((c_TMAP1OUT)-(0))+IF(((c_TMAP1OUT)-(0))&gt;=0,1,-1)*QUOTIENT(((c_TMAP1IN)-(c_TFWD)),2)))&gt;=0,1,0)))</f>
        <v>-8</v>
      </c>
      <c r="N8" s="7" t="n">
        <f aca="false">IF(((c_TMAP2IN)-(c_TMAP1IN))=0,(c_TMAP1OUT)+QUOTIENT(((c_TMAP2OUT)-(c_TMAP1OUT)),2),QUOTIENT((((K8)-(c_TMAP1IN))*((c_TMAP2OUT)-(c_TMAP1OUT))+IF(((c_TMAP2OUT)-(c_TMAP1OUT))&gt;=0,1,-1)*QUOTIENT(((c_TMAP2IN)-(c_TMAP1IN)),2)),((c_TMAP2IN)-(c_TMAP1IN)))+(c_TMAP1OUT)+IF(((c_TMAP2OUT)-(c_TMAP1OUT))&gt;=0,IF(IF(o_WRAP=1,MOD(((c_TMAP2IN)-(c_TMAP1IN))*(((K8)-(c_TMAP1IN))*((c_TMAP2OUT)-(c_TMAP1OUT))+IF(((c_TMAP2OUT)-(c_TMAP1OUT))&gt;=0,1,-1)*QUOTIENT(((c_TMAP2IN)-(c_TMAP1IN)),2))+2147483648,4294967296)-2147483648,((c_TMAP2IN)-(c_TMAP1IN))*(((K8)-(c_TMAP1IN))*((c_TMAP2OUT)-(c_TMAP1OUT))+IF(((c_TMAP2OUT)-(c_TMAP1OUT))&gt;=0,1,-1)*QUOTIENT(((c_TMAP2IN)-(c_TMAP1IN)),2)))&lt;0,-1,0),IF(IF(o_WRAP=1,MOD(((c_TMAP2IN)-(c_TMAP1IN))*(((K8)-(c_TMAP1IN))*((c_TMAP2OUT)-(c_TMAP1OUT))+IF(((c_TMAP2OUT)-(c_TMAP1OUT))&gt;=0,1,-1)*QUOTIENT(((c_TMAP2IN)-(c_TMAP1IN)),2))+2147483648,4294967296)-2147483648,((c_TMAP2IN)-(c_TMAP1IN))*(((K8)-(c_TMAP1IN))*((c_TMAP2OUT)-(c_TMAP1OUT))+IF(((c_TMAP2OUT)-(c_TMAP1OUT))&gt;=0,1,-1)*QUOTIENT(((c_TMAP2IN)-(c_TMAP1IN)),2)))&gt;=0,1,0)))</f>
        <v>30</v>
      </c>
      <c r="O8" s="7" t="n">
        <f aca="false">IF(((c_TMAP3IN)-(c_TMAP2IN))=0,(c_TMAP2OUT)+QUOTIENT(((c_TMAP3OUT)-(c_TMAP2OUT)),2),QUOTIENT((((K8)-(c_TMAP2IN))*((c_TMAP3OUT)-(c_TMAP2OUT))+IF(((c_TMAP3OUT)-(c_TMAP2OUT))&gt;=0,1,-1)*QUOTIENT(((c_TMAP3IN)-(c_TMAP2IN)),2)),((c_TMAP3IN)-(c_TMAP2IN)))+(c_TMAP2OUT)+IF(((c_TMAP3OUT)-(c_TMAP2OUT))&gt;=0,IF(IF(o_WRAP=1,MOD(((c_TMAP3IN)-(c_TMAP2IN))*(((K8)-(c_TMAP2IN))*((c_TMAP3OUT)-(c_TMAP2OUT))+IF(((c_TMAP3OUT)-(c_TMAP2OUT))&gt;=0,1,-1)*QUOTIENT(((c_TMAP3IN)-(c_TMAP2IN)),2))+2147483648,4294967296)-2147483648,((c_TMAP3IN)-(c_TMAP2IN))*(((K8)-(c_TMAP2IN))*((c_TMAP3OUT)-(c_TMAP2OUT))+IF(((c_TMAP3OUT)-(c_TMAP2OUT))&gt;=0,1,-1)*QUOTIENT(((c_TMAP3IN)-(c_TMAP2IN)),2)))&lt;0,-1,0),IF(IF(o_WRAP=1,MOD(((c_TMAP3IN)-(c_TMAP2IN))*(((K8)-(c_TMAP2IN))*((c_TMAP3OUT)-(c_TMAP2OUT))+IF(((c_TMAP3OUT)-(c_TMAP2OUT))&gt;=0,1,-1)*QUOTIENT(((c_TMAP3IN)-(c_TMAP2IN)),2))+2147483648,4294967296)-2147483648,((c_TMAP3IN)-(c_TMAP2IN))*(((K8)-(c_TMAP2IN))*((c_TMAP3OUT)-(c_TMAP2OUT))+IF(((c_TMAP3OUT)-(c_TMAP2OUT))&gt;=0,1,-1)*QUOTIENT(((c_TMAP3IN)-(c_TMAP2IN)),2)))&gt;=0,1,0)))</f>
        <v>-45</v>
      </c>
      <c r="P8" s="7" t="n">
        <f aca="false">IF(((1000)-(c_TMAP3IN))=0,(c_TMAP3OUT)+QUOTIENT(((1000)-(c_TMAP3OUT)),2),QUOTIENT((((K8)-(c_TMAP3IN))*((1000)-(c_TMAP3OUT))+IF(((1000)-(c_TMAP3OUT))&gt;=0,1,-1)*QUOTIENT(((1000)-(c_TMAP3IN)),2)),((1000)-(c_TMAP3IN)))+(c_TMAP3OUT)+IF(((1000)-(c_TMAP3OUT))&gt;=0,IF(IF(o_WRAP=1,MOD(((1000)-(c_TMAP3IN))*(((K8)-(c_TMAP3IN))*((1000)-(c_TMAP3OUT))+IF(((1000)-(c_TMAP3OUT))&gt;=0,1,-1)*QUOTIENT(((1000)-(c_TMAP3IN)),2))+2147483648,4294967296)-2147483648,((1000)-(c_TMAP3IN))*(((K8)-(c_TMAP3IN))*((1000)-(c_TMAP3OUT))+IF(((1000)-(c_TMAP3OUT))&gt;=0,1,-1)*QUOTIENT(((1000)-(c_TMAP3IN)),2)))&lt;0,-1,0),IF(IF(o_WRAP=1,MOD(((1000)-(c_TMAP3IN))*(((K8)-(c_TMAP3IN))*((1000)-(c_TMAP3OUT))+IF(((1000)-(c_TMAP3OUT))&gt;=0,1,-1)*QUOTIENT(((1000)-(c_TMAP3IN)),2))+2147483648,4294967296)-2147483648,((1000)-(c_TMAP3IN))*(((K8)-(c_TMAP3IN))*((1000)-(c_TMAP3OUT))+IF(((1000)-(c_TMAP3OUT))&gt;=0,1,-1)*QUOTIENT(((1000)-(c_TMAP3IN)),2)))&gt;=0,1,0)))</f>
        <v>-231</v>
      </c>
      <c r="Q8" s="7" t="str">
        <f aca="false">IF(K8&gt;=c_TFWD,IF(AND(K8&gt;=c_TMAP3IN,c_TMAP3IN&lt;1000),"Seg4 map3-100%",IF(AND(K8&gt;=c_TMAP2IN,c_TMAP3IN&gt;c_TMAP2IN),"Seg3 map2-map3",IF(AND(K8&gt;=c_TMAP1IN,c_TMAP2IN&gt;c_TMAP1IN),"Seg2 map1-map2","Seg1 TFWD-map1"))),IF(AND(K8=0,c_TCREEP&gt;0),"Creep",IF(AND(K8&lt;=c_TRNGMIN,K8&gt;=c_TRNGMAX,c_TRNGMIN-c_TRNGMAX&lt;&gt;0),"Regen ramp","Coast (0)")))</f>
        <v>Regen ramp</v>
      </c>
      <c r="R8" s="7" t="n">
        <f aca="false">IF(K8&gt;=c_TFWD,IF(AND(K8&gt;=c_TMAP3IN,c_TMAP3IN&lt;1000),P8,IF(AND(K8&gt;=c_TMAP2IN,c_TMAP3IN&gt;c_TMAP2IN),O8,IF(AND(K8&gt;=c_TMAP1IN,c_TMAP2IN&gt;c_TMAP1IN),N8,M8))),L8)</f>
        <v>-350</v>
      </c>
      <c r="S8" s="7" t="str">
        <f aca="false">IF(R8&lt;-1090,"TOO LOW",IF(R8&gt;1090,"TOO HIGH",""))</f>
        <v/>
      </c>
      <c r="T8" s="15" t="n">
        <f aca="false">IF(H8&lt;&gt;"OK",0,IF(S8&lt;&gt;"",0,IF(R8&gt;979,1000,R8)))</f>
        <v>0</v>
      </c>
      <c r="U8" s="7" t="n">
        <f aca="false">T8/10</f>
        <v>0</v>
      </c>
    </row>
    <row r="9" customFormat="false" ht="15" hidden="false" customHeight="false" outlineLevel="0" collapsed="false">
      <c r="A9" s="7" t="n">
        <v>4</v>
      </c>
      <c r="B9" s="7" t="n">
        <f aca="false">ROUND(o_SWSTART+A9*(o_SWEND-o_SWSTART)/400,0)</f>
        <v>41</v>
      </c>
      <c r="C9" s="7" t="n">
        <f aca="false">QUOTIENT((B9-c_OFF1)*c_GAIN1,1024)</f>
        <v>41</v>
      </c>
      <c r="D9" s="7" t="n">
        <f aca="false">IF(((c_T1MX)-(c_T1MN))=0,(0)+QUOTIENT(((1000)-(0)),2),QUOTIENT((((C9)-(c_T1MN))*((1000)-(0))+IF(((1000)-(0))&gt;=0,1,-1)*QUOTIENT(((c_T1MX)-(c_T1MN)),2)),((c_T1MX)-(c_T1MN)))+(0)+IF(((1000)-(0))&gt;=0,IF(IF(o_WRAP=1,MOD(((c_T1MX)-(c_T1MN))*(((C9)-(c_T1MN))*((1000)-(0))+IF(((1000)-(0))&gt;=0,1,-1)*QUOTIENT(((c_T1MX)-(c_T1MN)),2))+2147483648,4294967296)-2147483648,((c_T1MX)-(c_T1MN))*(((C9)-(c_T1MN))*((1000)-(0))+IF(((1000)-(0))&gt;=0,1,-1)*QUOTIENT(((c_T1MX)-(c_T1MN)),2)))&lt;0,-1,0),IF(IF(o_WRAP=1,MOD(((c_T1MX)-(c_T1MN))*(((C9)-(c_T1MN))*((1000)-(0))+IF(((1000)-(0))&gt;=0,1,-1)*QUOTIENT(((c_T1MX)-(c_T1MN)),2))+2147483648,4294967296)-2147483648,((c_T1MX)-(c_T1MN))*(((C9)-(c_T1MN))*((1000)-(0))+IF(((1000)-(0))&gt;=0,1,-1)*QUOTIENT(((c_T1MX)-(c_T1MN)),2)))&gt;=0,1,0)))</f>
        <v>-244</v>
      </c>
      <c r="E9" s="7" t="n">
        <f aca="false">IF(AND(c_TPOT=1,c_TTYPE=2),1000-D9,D9)</f>
        <v>-244</v>
      </c>
      <c r="F9" s="7" t="str">
        <f aca="false">IF(c_TPOT&gt;1,ROUND(IF(c_TTYPE=2,c_T2MX-IF(c_T1MX=c_T1MN,0,(C9-c_T1MN)/(c_T1MX-c_T1MN))*(c_T2MX-c_T2MN),c_T2MN+IF(c_T1MX=c_T1MN,0,(C9-c_T1MN)/(c_T1MX-c_T1MN))*(c_T2MX-c_T2MN))+o_MISMATCH,0),"")</f>
        <v/>
      </c>
      <c r="G9" s="7" t="str">
        <f aca="false">IF(c_TPOT&gt;1,IF(((c_T2MX)-(c_T2MN))=0,(0)+QUOTIENT(((1000)-(0)),2),QUOTIENT((((F9)-(c_T2MN))*((1000)-(0))+IF(((1000)-(0))&gt;=0,1,-1)*QUOTIENT(((c_T2MX)-(c_T2MN)),2)),((c_T2MX)-(c_T2MN)))+(0)+IF(((1000)-(0))&gt;=0,IF(IF(o_WRAP=1,MOD(((c_T2MX)-(c_T2MN))*(((F9)-(c_T2MN))*((1000)-(0))+IF(((1000)-(0))&gt;=0,1,-1)*QUOTIENT(((c_T2MX)-(c_T2MN)),2))+2147483648,4294967296)-2147483648,((c_T2MX)-(c_T2MN))*(((F9)-(c_T2MN))*((1000)-(0))+IF(((1000)-(0))&gt;=0,1,-1)*QUOTIENT(((c_T2MX)-(c_T2MN)),2)))&lt;0,-1,0),IF(IF(o_WRAP=1,MOD(((c_T2MX)-(c_T2MN))*(((F9)-(c_T2MN))*((1000)-(0))+IF(((1000)-(0))&gt;=0,1,-1)*QUOTIENT(((c_T2MX)-(c_T2MN)),2))+2147483648,4294967296)-2147483648,((c_T2MX)-(c_T2MN))*(((F9)-(c_T2MN))*((1000)-(0))+IF(((1000)-(0))&gt;=0,1,-1)*QUOTIENT(((c_T2MX)-(c_T2MN)),2)))&gt;=0,1,0))),"")</f>
        <v/>
      </c>
      <c r="H9" s="7" t="str">
        <f aca="false">IF(E9&gt;1000+k_TOL,"T1 HIGH",IF(E9&lt;0-k_TOL,"T1 LOW",IF(c_TPOT&gt;1,IF(G9&gt;1000+k_TOL,"T2 HIGH",IF(G9&lt;0-k_TOL,"T2 LOW",IF(c_TTYPE=2,IF(ABS(1000-MAX(0,MIN(1000,E9))-MAX(0,MIN(1000,G9)))&gt;k_MAXERR,"MISMATCH","OK"),IF(OR(MAX(0,MIN(1000,E9))-k_MAXERR&gt;MAX(0,MIN(1000,G9)),MAX(0,MIN(1000,G9))-k_MAXERR&gt;MAX(0,MIN(1000,E9))),"MISMATCH","OK")))),"OK")))</f>
        <v>T1 LOW</v>
      </c>
      <c r="I9" s="7" t="n">
        <f aca="false">MAX(0,MIN(1000,D9))</f>
        <v>0</v>
      </c>
      <c r="J9" s="7" t="str">
        <f aca="false">IF(c_TPOT&gt;1,IF(c_TTYPE=2,1000-MAX(0,MIN(1000,G9)),MAX(0,MIN(1000,G9))),"")</f>
        <v/>
      </c>
      <c r="K9" s="7" t="n">
        <f aca="false">IF(c_TPOT&gt;1,QUOTIENT(I9+J9,2),I9)</f>
        <v>0</v>
      </c>
      <c r="L9" s="7" t="n">
        <f aca="false">IF(AND(K9=0,c_TCREEP&gt;0),10*c_TCREEP,IF(AND(K9&lt;=c_TRNGMIN,K9&gt;=c_TRNGMAX,c_TRNGMIN-c_TRNGMAX&lt;&gt;0),-10*c_TMINRN+QUOTIENT((c_TMAXRN-c_TMINRN)*(100-QUOTIENT((K9-c_TRNGMAX)*100,c_TRNGMIN-c_TRNGMAX)),-10),0))</f>
        <v>-350</v>
      </c>
      <c r="M9" s="7" t="n">
        <f aca="false">IF(((c_TMAP1IN)-(c_TFWD))=0,(0)+QUOTIENT(((c_TMAP1OUT)-(0)),2),QUOTIENT((((K9)-(c_TFWD))*((c_TMAP1OUT)-(0))+IF(((c_TMAP1OUT)-(0))&gt;=0,1,-1)*QUOTIENT(((c_TMAP1IN)-(c_TFWD)),2)),((c_TMAP1IN)-(c_TFWD)))+(0)+IF(((c_TMAP1OUT)-(0))&gt;=0,IF(IF(o_WRAP=1,MOD(((c_TMAP1IN)-(c_TFWD))*(((K9)-(c_TFWD))*((c_TMAP1OUT)-(0))+IF(((c_TMAP1OUT)-(0))&gt;=0,1,-1)*QUOTIENT(((c_TMAP1IN)-(c_TFWD)),2))+2147483648,4294967296)-2147483648,((c_TMAP1IN)-(c_TFWD))*(((K9)-(c_TFWD))*((c_TMAP1OUT)-(0))+IF(((c_TMAP1OUT)-(0))&gt;=0,1,-1)*QUOTIENT(((c_TMAP1IN)-(c_TFWD)),2)))&lt;0,-1,0),IF(IF(o_WRAP=1,MOD(((c_TMAP1IN)-(c_TFWD))*(((K9)-(c_TFWD))*((c_TMAP1OUT)-(0))+IF(((c_TMAP1OUT)-(0))&gt;=0,1,-1)*QUOTIENT(((c_TMAP1IN)-(c_TFWD)),2))+2147483648,4294967296)-2147483648,((c_TMAP1IN)-(c_TFWD))*(((K9)-(c_TFWD))*((c_TMAP1OUT)-(0))+IF(((c_TMAP1OUT)-(0))&gt;=0,1,-1)*QUOTIENT(((c_TMAP1IN)-(c_TFWD)),2)))&gt;=0,1,0)))</f>
        <v>-8</v>
      </c>
      <c r="N9" s="7" t="n">
        <f aca="false">IF(((c_TMAP2IN)-(c_TMAP1IN))=0,(c_TMAP1OUT)+QUOTIENT(((c_TMAP2OUT)-(c_TMAP1OUT)),2),QUOTIENT((((K9)-(c_TMAP1IN))*((c_TMAP2OUT)-(c_TMAP1OUT))+IF(((c_TMAP2OUT)-(c_TMAP1OUT))&gt;=0,1,-1)*QUOTIENT(((c_TMAP2IN)-(c_TMAP1IN)),2)),((c_TMAP2IN)-(c_TMAP1IN)))+(c_TMAP1OUT)+IF(((c_TMAP2OUT)-(c_TMAP1OUT))&gt;=0,IF(IF(o_WRAP=1,MOD(((c_TMAP2IN)-(c_TMAP1IN))*(((K9)-(c_TMAP1IN))*((c_TMAP2OUT)-(c_TMAP1OUT))+IF(((c_TMAP2OUT)-(c_TMAP1OUT))&gt;=0,1,-1)*QUOTIENT(((c_TMAP2IN)-(c_TMAP1IN)),2))+2147483648,4294967296)-2147483648,((c_TMAP2IN)-(c_TMAP1IN))*(((K9)-(c_TMAP1IN))*((c_TMAP2OUT)-(c_TMAP1OUT))+IF(((c_TMAP2OUT)-(c_TMAP1OUT))&gt;=0,1,-1)*QUOTIENT(((c_TMAP2IN)-(c_TMAP1IN)),2)))&lt;0,-1,0),IF(IF(o_WRAP=1,MOD(((c_TMAP2IN)-(c_TMAP1IN))*(((K9)-(c_TMAP1IN))*((c_TMAP2OUT)-(c_TMAP1OUT))+IF(((c_TMAP2OUT)-(c_TMAP1OUT))&gt;=0,1,-1)*QUOTIENT(((c_TMAP2IN)-(c_TMAP1IN)),2))+2147483648,4294967296)-2147483648,((c_TMAP2IN)-(c_TMAP1IN))*(((K9)-(c_TMAP1IN))*((c_TMAP2OUT)-(c_TMAP1OUT))+IF(((c_TMAP2OUT)-(c_TMAP1OUT))&gt;=0,1,-1)*QUOTIENT(((c_TMAP2IN)-(c_TMAP1IN)),2)))&gt;=0,1,0)))</f>
        <v>30</v>
      </c>
      <c r="O9" s="7" t="n">
        <f aca="false">IF(((c_TMAP3IN)-(c_TMAP2IN))=0,(c_TMAP2OUT)+QUOTIENT(((c_TMAP3OUT)-(c_TMAP2OUT)),2),QUOTIENT((((K9)-(c_TMAP2IN))*((c_TMAP3OUT)-(c_TMAP2OUT))+IF(((c_TMAP3OUT)-(c_TMAP2OUT))&gt;=0,1,-1)*QUOTIENT(((c_TMAP3IN)-(c_TMAP2IN)),2)),((c_TMAP3IN)-(c_TMAP2IN)))+(c_TMAP2OUT)+IF(((c_TMAP3OUT)-(c_TMAP2OUT))&gt;=0,IF(IF(o_WRAP=1,MOD(((c_TMAP3IN)-(c_TMAP2IN))*(((K9)-(c_TMAP2IN))*((c_TMAP3OUT)-(c_TMAP2OUT))+IF(((c_TMAP3OUT)-(c_TMAP2OUT))&gt;=0,1,-1)*QUOTIENT(((c_TMAP3IN)-(c_TMAP2IN)),2))+2147483648,4294967296)-2147483648,((c_TMAP3IN)-(c_TMAP2IN))*(((K9)-(c_TMAP2IN))*((c_TMAP3OUT)-(c_TMAP2OUT))+IF(((c_TMAP3OUT)-(c_TMAP2OUT))&gt;=0,1,-1)*QUOTIENT(((c_TMAP3IN)-(c_TMAP2IN)),2)))&lt;0,-1,0),IF(IF(o_WRAP=1,MOD(((c_TMAP3IN)-(c_TMAP2IN))*(((K9)-(c_TMAP2IN))*((c_TMAP3OUT)-(c_TMAP2OUT))+IF(((c_TMAP3OUT)-(c_TMAP2OUT))&gt;=0,1,-1)*QUOTIENT(((c_TMAP3IN)-(c_TMAP2IN)),2))+2147483648,4294967296)-2147483648,((c_TMAP3IN)-(c_TMAP2IN))*(((K9)-(c_TMAP2IN))*((c_TMAP3OUT)-(c_TMAP2OUT))+IF(((c_TMAP3OUT)-(c_TMAP2OUT))&gt;=0,1,-1)*QUOTIENT(((c_TMAP3IN)-(c_TMAP2IN)),2)))&gt;=0,1,0)))</f>
        <v>-45</v>
      </c>
      <c r="P9" s="7" t="n">
        <f aca="false">IF(((1000)-(c_TMAP3IN))=0,(c_TMAP3OUT)+QUOTIENT(((1000)-(c_TMAP3OUT)),2),QUOTIENT((((K9)-(c_TMAP3IN))*((1000)-(c_TMAP3OUT))+IF(((1000)-(c_TMAP3OUT))&gt;=0,1,-1)*QUOTIENT(((1000)-(c_TMAP3IN)),2)),((1000)-(c_TMAP3IN)))+(c_TMAP3OUT)+IF(((1000)-(c_TMAP3OUT))&gt;=0,IF(IF(o_WRAP=1,MOD(((1000)-(c_TMAP3IN))*(((K9)-(c_TMAP3IN))*((1000)-(c_TMAP3OUT))+IF(((1000)-(c_TMAP3OUT))&gt;=0,1,-1)*QUOTIENT(((1000)-(c_TMAP3IN)),2))+2147483648,4294967296)-2147483648,((1000)-(c_TMAP3IN))*(((K9)-(c_TMAP3IN))*((1000)-(c_TMAP3OUT))+IF(((1000)-(c_TMAP3OUT))&gt;=0,1,-1)*QUOTIENT(((1000)-(c_TMAP3IN)),2)))&lt;0,-1,0),IF(IF(o_WRAP=1,MOD(((1000)-(c_TMAP3IN))*(((K9)-(c_TMAP3IN))*((1000)-(c_TMAP3OUT))+IF(((1000)-(c_TMAP3OUT))&gt;=0,1,-1)*QUOTIENT(((1000)-(c_TMAP3IN)),2))+2147483648,4294967296)-2147483648,((1000)-(c_TMAP3IN))*(((K9)-(c_TMAP3IN))*((1000)-(c_TMAP3OUT))+IF(((1000)-(c_TMAP3OUT))&gt;=0,1,-1)*QUOTIENT(((1000)-(c_TMAP3IN)),2)))&gt;=0,1,0)))</f>
        <v>-231</v>
      </c>
      <c r="Q9" s="7" t="str">
        <f aca="false">IF(K9&gt;=c_TFWD,IF(AND(K9&gt;=c_TMAP3IN,c_TMAP3IN&lt;1000),"Seg4 map3-100%",IF(AND(K9&gt;=c_TMAP2IN,c_TMAP3IN&gt;c_TMAP2IN),"Seg3 map2-map3",IF(AND(K9&gt;=c_TMAP1IN,c_TMAP2IN&gt;c_TMAP1IN),"Seg2 map1-map2","Seg1 TFWD-map1"))),IF(AND(K9=0,c_TCREEP&gt;0),"Creep",IF(AND(K9&lt;=c_TRNGMIN,K9&gt;=c_TRNGMAX,c_TRNGMIN-c_TRNGMAX&lt;&gt;0),"Regen ramp","Coast (0)")))</f>
        <v>Regen ramp</v>
      </c>
      <c r="R9" s="7" t="n">
        <f aca="false">IF(K9&gt;=c_TFWD,IF(AND(K9&gt;=c_TMAP3IN,c_TMAP3IN&lt;1000),P9,IF(AND(K9&gt;=c_TMAP2IN,c_TMAP3IN&gt;c_TMAP2IN),O9,IF(AND(K9&gt;=c_TMAP1IN,c_TMAP2IN&gt;c_TMAP1IN),N9,M9))),L9)</f>
        <v>-350</v>
      </c>
      <c r="S9" s="7" t="str">
        <f aca="false">IF(R9&lt;-1090,"TOO LOW",IF(R9&gt;1090,"TOO HIGH",""))</f>
        <v/>
      </c>
      <c r="T9" s="15" t="n">
        <f aca="false">IF(H9&lt;&gt;"OK",0,IF(S9&lt;&gt;"",0,IF(R9&gt;979,1000,R9)))</f>
        <v>0</v>
      </c>
      <c r="U9" s="7" t="n">
        <f aca="false">T9/10</f>
        <v>0</v>
      </c>
    </row>
    <row r="10" customFormat="false" ht="15" hidden="false" customHeight="false" outlineLevel="0" collapsed="false">
      <c r="A10" s="7" t="n">
        <v>5</v>
      </c>
      <c r="B10" s="7" t="n">
        <f aca="false">ROUND(o_SWSTART+A10*(o_SWEND-o_SWSTART)/400,0)</f>
        <v>51</v>
      </c>
      <c r="C10" s="7" t="n">
        <f aca="false">QUOTIENT((B10-c_OFF1)*c_GAIN1,1024)</f>
        <v>51</v>
      </c>
      <c r="D10" s="7" t="n">
        <f aca="false">IF(((c_T1MX)-(c_T1MN))=0,(0)+QUOTIENT(((1000)-(0)),2),QUOTIENT((((C10)-(c_T1MN))*((1000)-(0))+IF(((1000)-(0))&gt;=0,1,-1)*QUOTIENT(((c_T1MX)-(c_T1MN)),2)),((c_T1MX)-(c_T1MN)))+(0)+IF(((1000)-(0))&gt;=0,IF(IF(o_WRAP=1,MOD(((c_T1MX)-(c_T1MN))*(((C10)-(c_T1MN))*((1000)-(0))+IF(((1000)-(0))&gt;=0,1,-1)*QUOTIENT(((c_T1MX)-(c_T1MN)),2))+2147483648,4294967296)-2147483648,((c_T1MX)-(c_T1MN))*(((C10)-(c_T1MN))*((1000)-(0))+IF(((1000)-(0))&gt;=0,1,-1)*QUOTIENT(((c_T1MX)-(c_T1MN)),2)))&lt;0,-1,0),IF(IF(o_WRAP=1,MOD(((c_T1MX)-(c_T1MN))*(((C10)-(c_T1MN))*((1000)-(0))+IF(((1000)-(0))&gt;=0,1,-1)*QUOTIENT(((c_T1MX)-(c_T1MN)),2))+2147483648,4294967296)-2147483648,((c_T1MX)-(c_T1MN))*(((C10)-(c_T1MN))*((1000)-(0))+IF(((1000)-(0))&gt;=0,1,-1)*QUOTIENT(((c_T1MX)-(c_T1MN)),2)))&gt;=0,1,0)))</f>
        <v>-240</v>
      </c>
      <c r="E10" s="7" t="n">
        <f aca="false">IF(AND(c_TPOT=1,c_TTYPE=2),1000-D10,D10)</f>
        <v>-240</v>
      </c>
      <c r="F10" s="7" t="str">
        <f aca="false">IF(c_TPOT&gt;1,ROUND(IF(c_TTYPE=2,c_T2MX-IF(c_T1MX=c_T1MN,0,(C10-c_T1MN)/(c_T1MX-c_T1MN))*(c_T2MX-c_T2MN),c_T2MN+IF(c_T1MX=c_T1MN,0,(C10-c_T1MN)/(c_T1MX-c_T1MN))*(c_T2MX-c_T2MN))+o_MISMATCH,0),"")</f>
        <v/>
      </c>
      <c r="G10" s="7" t="str">
        <f aca="false">IF(c_TPOT&gt;1,IF(((c_T2MX)-(c_T2MN))=0,(0)+QUOTIENT(((1000)-(0)),2),QUOTIENT((((F10)-(c_T2MN))*((1000)-(0))+IF(((1000)-(0))&gt;=0,1,-1)*QUOTIENT(((c_T2MX)-(c_T2MN)),2)),((c_T2MX)-(c_T2MN)))+(0)+IF(((1000)-(0))&gt;=0,IF(IF(o_WRAP=1,MOD(((c_T2MX)-(c_T2MN))*(((F10)-(c_T2MN))*((1000)-(0))+IF(((1000)-(0))&gt;=0,1,-1)*QUOTIENT(((c_T2MX)-(c_T2MN)),2))+2147483648,4294967296)-2147483648,((c_T2MX)-(c_T2MN))*(((F10)-(c_T2MN))*((1000)-(0))+IF(((1000)-(0))&gt;=0,1,-1)*QUOTIENT(((c_T2MX)-(c_T2MN)),2)))&lt;0,-1,0),IF(IF(o_WRAP=1,MOD(((c_T2MX)-(c_T2MN))*(((F10)-(c_T2MN))*((1000)-(0))+IF(((1000)-(0))&gt;=0,1,-1)*QUOTIENT(((c_T2MX)-(c_T2MN)),2))+2147483648,4294967296)-2147483648,((c_T2MX)-(c_T2MN))*(((F10)-(c_T2MN))*((1000)-(0))+IF(((1000)-(0))&gt;=0,1,-1)*QUOTIENT(((c_T2MX)-(c_T2MN)),2)))&gt;=0,1,0))),"")</f>
        <v/>
      </c>
      <c r="H10" s="7" t="str">
        <f aca="false">IF(E10&gt;1000+k_TOL,"T1 HIGH",IF(E10&lt;0-k_TOL,"T1 LOW",IF(c_TPOT&gt;1,IF(G10&gt;1000+k_TOL,"T2 HIGH",IF(G10&lt;0-k_TOL,"T2 LOW",IF(c_TTYPE=2,IF(ABS(1000-MAX(0,MIN(1000,E10))-MAX(0,MIN(1000,G10)))&gt;k_MAXERR,"MISMATCH","OK"),IF(OR(MAX(0,MIN(1000,E10))-k_MAXERR&gt;MAX(0,MIN(1000,G10)),MAX(0,MIN(1000,G10))-k_MAXERR&gt;MAX(0,MIN(1000,E10))),"MISMATCH","OK")))),"OK")))</f>
        <v>T1 LOW</v>
      </c>
      <c r="I10" s="7" t="n">
        <f aca="false">MAX(0,MIN(1000,D10))</f>
        <v>0</v>
      </c>
      <c r="J10" s="7" t="str">
        <f aca="false">IF(c_TPOT&gt;1,IF(c_TTYPE=2,1000-MAX(0,MIN(1000,G10)),MAX(0,MIN(1000,G10))),"")</f>
        <v/>
      </c>
      <c r="K10" s="7" t="n">
        <f aca="false">IF(c_TPOT&gt;1,QUOTIENT(I10+J10,2),I10)</f>
        <v>0</v>
      </c>
      <c r="L10" s="7" t="n">
        <f aca="false">IF(AND(K10=0,c_TCREEP&gt;0),10*c_TCREEP,IF(AND(K10&lt;=c_TRNGMIN,K10&gt;=c_TRNGMAX,c_TRNGMIN-c_TRNGMAX&lt;&gt;0),-10*c_TMINRN+QUOTIENT((c_TMAXRN-c_TMINRN)*(100-QUOTIENT((K10-c_TRNGMAX)*100,c_TRNGMIN-c_TRNGMAX)),-10),0))</f>
        <v>-350</v>
      </c>
      <c r="M10" s="7" t="n">
        <f aca="false">IF(((c_TMAP1IN)-(c_TFWD))=0,(0)+QUOTIENT(((c_TMAP1OUT)-(0)),2),QUOTIENT((((K10)-(c_TFWD))*((c_TMAP1OUT)-(0))+IF(((c_TMAP1OUT)-(0))&gt;=0,1,-1)*QUOTIENT(((c_TMAP1IN)-(c_TFWD)),2)),((c_TMAP1IN)-(c_TFWD)))+(0)+IF(((c_TMAP1OUT)-(0))&gt;=0,IF(IF(o_WRAP=1,MOD(((c_TMAP1IN)-(c_TFWD))*(((K10)-(c_TFWD))*((c_TMAP1OUT)-(0))+IF(((c_TMAP1OUT)-(0))&gt;=0,1,-1)*QUOTIENT(((c_TMAP1IN)-(c_TFWD)),2))+2147483648,4294967296)-2147483648,((c_TMAP1IN)-(c_TFWD))*(((K10)-(c_TFWD))*((c_TMAP1OUT)-(0))+IF(((c_TMAP1OUT)-(0))&gt;=0,1,-1)*QUOTIENT(((c_TMAP1IN)-(c_TFWD)),2)))&lt;0,-1,0),IF(IF(o_WRAP=1,MOD(((c_TMAP1IN)-(c_TFWD))*(((K10)-(c_TFWD))*((c_TMAP1OUT)-(0))+IF(((c_TMAP1OUT)-(0))&gt;=0,1,-1)*QUOTIENT(((c_TMAP1IN)-(c_TFWD)),2))+2147483648,4294967296)-2147483648,((c_TMAP1IN)-(c_TFWD))*(((K10)-(c_TFWD))*((c_TMAP1OUT)-(0))+IF(((c_TMAP1OUT)-(0))&gt;=0,1,-1)*QUOTIENT(((c_TMAP1IN)-(c_TFWD)),2)))&gt;=0,1,0)))</f>
        <v>-8</v>
      </c>
      <c r="N10" s="7" t="n">
        <f aca="false">IF(((c_TMAP2IN)-(c_TMAP1IN))=0,(c_TMAP1OUT)+QUOTIENT(((c_TMAP2OUT)-(c_TMAP1OUT)),2),QUOTIENT((((K10)-(c_TMAP1IN))*((c_TMAP2OUT)-(c_TMAP1OUT))+IF(((c_TMAP2OUT)-(c_TMAP1OUT))&gt;=0,1,-1)*QUOTIENT(((c_TMAP2IN)-(c_TMAP1IN)),2)),((c_TMAP2IN)-(c_TMAP1IN)))+(c_TMAP1OUT)+IF(((c_TMAP2OUT)-(c_TMAP1OUT))&gt;=0,IF(IF(o_WRAP=1,MOD(((c_TMAP2IN)-(c_TMAP1IN))*(((K10)-(c_TMAP1IN))*((c_TMAP2OUT)-(c_TMAP1OUT))+IF(((c_TMAP2OUT)-(c_TMAP1OUT))&gt;=0,1,-1)*QUOTIENT(((c_TMAP2IN)-(c_TMAP1IN)),2))+2147483648,4294967296)-2147483648,((c_TMAP2IN)-(c_TMAP1IN))*(((K10)-(c_TMAP1IN))*((c_TMAP2OUT)-(c_TMAP1OUT))+IF(((c_TMAP2OUT)-(c_TMAP1OUT))&gt;=0,1,-1)*QUOTIENT(((c_TMAP2IN)-(c_TMAP1IN)),2)))&lt;0,-1,0),IF(IF(o_WRAP=1,MOD(((c_TMAP2IN)-(c_TMAP1IN))*(((K10)-(c_TMAP1IN))*((c_TMAP2OUT)-(c_TMAP1OUT))+IF(((c_TMAP2OUT)-(c_TMAP1OUT))&gt;=0,1,-1)*QUOTIENT(((c_TMAP2IN)-(c_TMAP1IN)),2))+2147483648,4294967296)-2147483648,((c_TMAP2IN)-(c_TMAP1IN))*(((K10)-(c_TMAP1IN))*((c_TMAP2OUT)-(c_TMAP1OUT))+IF(((c_TMAP2OUT)-(c_TMAP1OUT))&gt;=0,1,-1)*QUOTIENT(((c_TMAP2IN)-(c_TMAP1IN)),2)))&gt;=0,1,0)))</f>
        <v>30</v>
      </c>
      <c r="O10" s="7" t="n">
        <f aca="false">IF(((c_TMAP3IN)-(c_TMAP2IN))=0,(c_TMAP2OUT)+QUOTIENT(((c_TMAP3OUT)-(c_TMAP2OUT)),2),QUOTIENT((((K10)-(c_TMAP2IN))*((c_TMAP3OUT)-(c_TMAP2OUT))+IF(((c_TMAP3OUT)-(c_TMAP2OUT))&gt;=0,1,-1)*QUOTIENT(((c_TMAP3IN)-(c_TMAP2IN)),2)),((c_TMAP3IN)-(c_TMAP2IN)))+(c_TMAP2OUT)+IF(((c_TMAP3OUT)-(c_TMAP2OUT))&gt;=0,IF(IF(o_WRAP=1,MOD(((c_TMAP3IN)-(c_TMAP2IN))*(((K10)-(c_TMAP2IN))*((c_TMAP3OUT)-(c_TMAP2OUT))+IF(((c_TMAP3OUT)-(c_TMAP2OUT))&gt;=0,1,-1)*QUOTIENT(((c_TMAP3IN)-(c_TMAP2IN)),2))+2147483648,4294967296)-2147483648,((c_TMAP3IN)-(c_TMAP2IN))*(((K10)-(c_TMAP2IN))*((c_TMAP3OUT)-(c_TMAP2OUT))+IF(((c_TMAP3OUT)-(c_TMAP2OUT))&gt;=0,1,-1)*QUOTIENT(((c_TMAP3IN)-(c_TMAP2IN)),2)))&lt;0,-1,0),IF(IF(o_WRAP=1,MOD(((c_TMAP3IN)-(c_TMAP2IN))*(((K10)-(c_TMAP2IN))*((c_TMAP3OUT)-(c_TMAP2OUT))+IF(((c_TMAP3OUT)-(c_TMAP2OUT))&gt;=0,1,-1)*QUOTIENT(((c_TMAP3IN)-(c_TMAP2IN)),2))+2147483648,4294967296)-2147483648,((c_TMAP3IN)-(c_TMAP2IN))*(((K10)-(c_TMAP2IN))*((c_TMAP3OUT)-(c_TMAP2OUT))+IF(((c_TMAP3OUT)-(c_TMAP2OUT))&gt;=0,1,-1)*QUOTIENT(((c_TMAP3IN)-(c_TMAP2IN)),2)))&gt;=0,1,0)))</f>
        <v>-45</v>
      </c>
      <c r="P10" s="7" t="n">
        <f aca="false">IF(((1000)-(c_TMAP3IN))=0,(c_TMAP3OUT)+QUOTIENT(((1000)-(c_TMAP3OUT)),2),QUOTIENT((((K10)-(c_TMAP3IN))*((1000)-(c_TMAP3OUT))+IF(((1000)-(c_TMAP3OUT))&gt;=0,1,-1)*QUOTIENT(((1000)-(c_TMAP3IN)),2)),((1000)-(c_TMAP3IN)))+(c_TMAP3OUT)+IF(((1000)-(c_TMAP3OUT))&gt;=0,IF(IF(o_WRAP=1,MOD(((1000)-(c_TMAP3IN))*(((K10)-(c_TMAP3IN))*((1000)-(c_TMAP3OUT))+IF(((1000)-(c_TMAP3OUT))&gt;=0,1,-1)*QUOTIENT(((1000)-(c_TMAP3IN)),2))+2147483648,4294967296)-2147483648,((1000)-(c_TMAP3IN))*(((K10)-(c_TMAP3IN))*((1000)-(c_TMAP3OUT))+IF(((1000)-(c_TMAP3OUT))&gt;=0,1,-1)*QUOTIENT(((1000)-(c_TMAP3IN)),2)))&lt;0,-1,0),IF(IF(o_WRAP=1,MOD(((1000)-(c_TMAP3IN))*(((K10)-(c_TMAP3IN))*((1000)-(c_TMAP3OUT))+IF(((1000)-(c_TMAP3OUT))&gt;=0,1,-1)*QUOTIENT(((1000)-(c_TMAP3IN)),2))+2147483648,4294967296)-2147483648,((1000)-(c_TMAP3IN))*(((K10)-(c_TMAP3IN))*((1000)-(c_TMAP3OUT))+IF(((1000)-(c_TMAP3OUT))&gt;=0,1,-1)*QUOTIENT(((1000)-(c_TMAP3IN)),2)))&gt;=0,1,0)))</f>
        <v>-231</v>
      </c>
      <c r="Q10" s="7" t="str">
        <f aca="false">IF(K10&gt;=c_TFWD,IF(AND(K10&gt;=c_TMAP3IN,c_TMAP3IN&lt;1000),"Seg4 map3-100%",IF(AND(K10&gt;=c_TMAP2IN,c_TMAP3IN&gt;c_TMAP2IN),"Seg3 map2-map3",IF(AND(K10&gt;=c_TMAP1IN,c_TMAP2IN&gt;c_TMAP1IN),"Seg2 map1-map2","Seg1 TFWD-map1"))),IF(AND(K10=0,c_TCREEP&gt;0),"Creep",IF(AND(K10&lt;=c_TRNGMIN,K10&gt;=c_TRNGMAX,c_TRNGMIN-c_TRNGMAX&lt;&gt;0),"Regen ramp","Coast (0)")))</f>
        <v>Regen ramp</v>
      </c>
      <c r="R10" s="7" t="n">
        <f aca="false">IF(K10&gt;=c_TFWD,IF(AND(K10&gt;=c_TMAP3IN,c_TMAP3IN&lt;1000),P10,IF(AND(K10&gt;=c_TMAP2IN,c_TMAP3IN&gt;c_TMAP2IN),O10,IF(AND(K10&gt;=c_TMAP1IN,c_TMAP2IN&gt;c_TMAP1IN),N10,M10))),L10)</f>
        <v>-350</v>
      </c>
      <c r="S10" s="7" t="str">
        <f aca="false">IF(R10&lt;-1090,"TOO LOW",IF(R10&gt;1090,"TOO HIGH",""))</f>
        <v/>
      </c>
      <c r="T10" s="15" t="n">
        <f aca="false">IF(H10&lt;&gt;"OK",0,IF(S10&lt;&gt;"",0,IF(R10&gt;979,1000,R10)))</f>
        <v>0</v>
      </c>
      <c r="U10" s="7" t="n">
        <f aca="false">T10/10</f>
        <v>0</v>
      </c>
    </row>
    <row r="11" customFormat="false" ht="15" hidden="false" customHeight="false" outlineLevel="0" collapsed="false">
      <c r="A11" s="7" t="n">
        <v>6</v>
      </c>
      <c r="B11" s="7" t="n">
        <f aca="false">ROUND(o_SWSTART+A11*(o_SWEND-o_SWSTART)/400,0)</f>
        <v>61</v>
      </c>
      <c r="C11" s="7" t="n">
        <f aca="false">QUOTIENT((B11-c_OFF1)*c_GAIN1,1024)</f>
        <v>61</v>
      </c>
      <c r="D11" s="7" t="n">
        <f aca="false">IF(((c_T1MX)-(c_T1MN))=0,(0)+QUOTIENT(((1000)-(0)),2),QUOTIENT((((C11)-(c_T1MN))*((1000)-(0))+IF(((1000)-(0))&gt;=0,1,-1)*QUOTIENT(((c_T1MX)-(c_T1MN)),2)),((c_T1MX)-(c_T1MN)))+(0)+IF(((1000)-(0))&gt;=0,IF(IF(o_WRAP=1,MOD(((c_T1MX)-(c_T1MN))*(((C11)-(c_T1MN))*((1000)-(0))+IF(((1000)-(0))&gt;=0,1,-1)*QUOTIENT(((c_T1MX)-(c_T1MN)),2))+2147483648,4294967296)-2147483648,((c_T1MX)-(c_T1MN))*(((C11)-(c_T1MN))*((1000)-(0))+IF(((1000)-(0))&gt;=0,1,-1)*QUOTIENT(((c_T1MX)-(c_T1MN)),2)))&lt;0,-1,0),IF(IF(o_WRAP=1,MOD(((c_T1MX)-(c_T1MN))*(((C11)-(c_T1MN))*((1000)-(0))+IF(((1000)-(0))&gt;=0,1,-1)*QUOTIENT(((c_T1MX)-(c_T1MN)),2))+2147483648,4294967296)-2147483648,((c_T1MX)-(c_T1MN))*(((C11)-(c_T1MN))*((1000)-(0))+IF(((1000)-(0))&gt;=0,1,-1)*QUOTIENT(((c_T1MX)-(c_T1MN)),2)))&gt;=0,1,0)))</f>
        <v>-237</v>
      </c>
      <c r="E11" s="7" t="n">
        <f aca="false">IF(AND(c_TPOT=1,c_TTYPE=2),1000-D11,D11)</f>
        <v>-237</v>
      </c>
      <c r="F11" s="7" t="str">
        <f aca="false">IF(c_TPOT&gt;1,ROUND(IF(c_TTYPE=2,c_T2MX-IF(c_T1MX=c_T1MN,0,(C11-c_T1MN)/(c_T1MX-c_T1MN))*(c_T2MX-c_T2MN),c_T2MN+IF(c_T1MX=c_T1MN,0,(C11-c_T1MN)/(c_T1MX-c_T1MN))*(c_T2MX-c_T2MN))+o_MISMATCH,0),"")</f>
        <v/>
      </c>
      <c r="G11" s="7" t="str">
        <f aca="false">IF(c_TPOT&gt;1,IF(((c_T2MX)-(c_T2MN))=0,(0)+QUOTIENT(((1000)-(0)),2),QUOTIENT((((F11)-(c_T2MN))*((1000)-(0))+IF(((1000)-(0))&gt;=0,1,-1)*QUOTIENT(((c_T2MX)-(c_T2MN)),2)),((c_T2MX)-(c_T2MN)))+(0)+IF(((1000)-(0))&gt;=0,IF(IF(o_WRAP=1,MOD(((c_T2MX)-(c_T2MN))*(((F11)-(c_T2MN))*((1000)-(0))+IF(((1000)-(0))&gt;=0,1,-1)*QUOTIENT(((c_T2MX)-(c_T2MN)),2))+2147483648,4294967296)-2147483648,((c_T2MX)-(c_T2MN))*(((F11)-(c_T2MN))*((1000)-(0))+IF(((1000)-(0))&gt;=0,1,-1)*QUOTIENT(((c_T2MX)-(c_T2MN)),2)))&lt;0,-1,0),IF(IF(o_WRAP=1,MOD(((c_T2MX)-(c_T2MN))*(((F11)-(c_T2MN))*((1000)-(0))+IF(((1000)-(0))&gt;=0,1,-1)*QUOTIENT(((c_T2MX)-(c_T2MN)),2))+2147483648,4294967296)-2147483648,((c_T2MX)-(c_T2MN))*(((F11)-(c_T2MN))*((1000)-(0))+IF(((1000)-(0))&gt;=0,1,-1)*QUOTIENT(((c_T2MX)-(c_T2MN)),2)))&gt;=0,1,0))),"")</f>
        <v/>
      </c>
      <c r="H11" s="7" t="str">
        <f aca="false">IF(E11&gt;1000+k_TOL,"T1 HIGH",IF(E11&lt;0-k_TOL,"T1 LOW",IF(c_TPOT&gt;1,IF(G11&gt;1000+k_TOL,"T2 HIGH",IF(G11&lt;0-k_TOL,"T2 LOW",IF(c_TTYPE=2,IF(ABS(1000-MAX(0,MIN(1000,E11))-MAX(0,MIN(1000,G11)))&gt;k_MAXERR,"MISMATCH","OK"),IF(OR(MAX(0,MIN(1000,E11))-k_MAXERR&gt;MAX(0,MIN(1000,G11)),MAX(0,MIN(1000,G11))-k_MAXERR&gt;MAX(0,MIN(1000,E11))),"MISMATCH","OK")))),"OK")))</f>
        <v>T1 LOW</v>
      </c>
      <c r="I11" s="7" t="n">
        <f aca="false">MAX(0,MIN(1000,D11))</f>
        <v>0</v>
      </c>
      <c r="J11" s="7" t="str">
        <f aca="false">IF(c_TPOT&gt;1,IF(c_TTYPE=2,1000-MAX(0,MIN(1000,G11)),MAX(0,MIN(1000,G11))),"")</f>
        <v/>
      </c>
      <c r="K11" s="7" t="n">
        <f aca="false">IF(c_TPOT&gt;1,QUOTIENT(I11+J11,2),I11)</f>
        <v>0</v>
      </c>
      <c r="L11" s="7" t="n">
        <f aca="false">IF(AND(K11=0,c_TCREEP&gt;0),10*c_TCREEP,IF(AND(K11&lt;=c_TRNGMIN,K11&gt;=c_TRNGMAX,c_TRNGMIN-c_TRNGMAX&lt;&gt;0),-10*c_TMINRN+QUOTIENT((c_TMAXRN-c_TMINRN)*(100-QUOTIENT((K11-c_TRNGMAX)*100,c_TRNGMIN-c_TRNGMAX)),-10),0))</f>
        <v>-350</v>
      </c>
      <c r="M11" s="7" t="n">
        <f aca="false">IF(((c_TMAP1IN)-(c_TFWD))=0,(0)+QUOTIENT(((c_TMAP1OUT)-(0)),2),QUOTIENT((((K11)-(c_TFWD))*((c_TMAP1OUT)-(0))+IF(((c_TMAP1OUT)-(0))&gt;=0,1,-1)*QUOTIENT(((c_TMAP1IN)-(c_TFWD)),2)),((c_TMAP1IN)-(c_TFWD)))+(0)+IF(((c_TMAP1OUT)-(0))&gt;=0,IF(IF(o_WRAP=1,MOD(((c_TMAP1IN)-(c_TFWD))*(((K11)-(c_TFWD))*((c_TMAP1OUT)-(0))+IF(((c_TMAP1OUT)-(0))&gt;=0,1,-1)*QUOTIENT(((c_TMAP1IN)-(c_TFWD)),2))+2147483648,4294967296)-2147483648,((c_TMAP1IN)-(c_TFWD))*(((K11)-(c_TFWD))*((c_TMAP1OUT)-(0))+IF(((c_TMAP1OUT)-(0))&gt;=0,1,-1)*QUOTIENT(((c_TMAP1IN)-(c_TFWD)),2)))&lt;0,-1,0),IF(IF(o_WRAP=1,MOD(((c_TMAP1IN)-(c_TFWD))*(((K11)-(c_TFWD))*((c_TMAP1OUT)-(0))+IF(((c_TMAP1OUT)-(0))&gt;=0,1,-1)*QUOTIENT(((c_TMAP1IN)-(c_TFWD)),2))+2147483648,4294967296)-2147483648,((c_TMAP1IN)-(c_TFWD))*(((K11)-(c_TFWD))*((c_TMAP1OUT)-(0))+IF(((c_TMAP1OUT)-(0))&gt;=0,1,-1)*QUOTIENT(((c_TMAP1IN)-(c_TFWD)),2)))&gt;=0,1,0)))</f>
        <v>-8</v>
      </c>
      <c r="N11" s="7" t="n">
        <f aca="false">IF(((c_TMAP2IN)-(c_TMAP1IN))=0,(c_TMAP1OUT)+QUOTIENT(((c_TMAP2OUT)-(c_TMAP1OUT)),2),QUOTIENT((((K11)-(c_TMAP1IN))*((c_TMAP2OUT)-(c_TMAP1OUT))+IF(((c_TMAP2OUT)-(c_TMAP1OUT))&gt;=0,1,-1)*QUOTIENT(((c_TMAP2IN)-(c_TMAP1IN)),2)),((c_TMAP2IN)-(c_TMAP1IN)))+(c_TMAP1OUT)+IF(((c_TMAP2OUT)-(c_TMAP1OUT))&gt;=0,IF(IF(o_WRAP=1,MOD(((c_TMAP2IN)-(c_TMAP1IN))*(((K11)-(c_TMAP1IN))*((c_TMAP2OUT)-(c_TMAP1OUT))+IF(((c_TMAP2OUT)-(c_TMAP1OUT))&gt;=0,1,-1)*QUOTIENT(((c_TMAP2IN)-(c_TMAP1IN)),2))+2147483648,4294967296)-2147483648,((c_TMAP2IN)-(c_TMAP1IN))*(((K11)-(c_TMAP1IN))*((c_TMAP2OUT)-(c_TMAP1OUT))+IF(((c_TMAP2OUT)-(c_TMAP1OUT))&gt;=0,1,-1)*QUOTIENT(((c_TMAP2IN)-(c_TMAP1IN)),2)))&lt;0,-1,0),IF(IF(o_WRAP=1,MOD(((c_TMAP2IN)-(c_TMAP1IN))*(((K11)-(c_TMAP1IN))*((c_TMAP2OUT)-(c_TMAP1OUT))+IF(((c_TMAP2OUT)-(c_TMAP1OUT))&gt;=0,1,-1)*QUOTIENT(((c_TMAP2IN)-(c_TMAP1IN)),2))+2147483648,4294967296)-2147483648,((c_TMAP2IN)-(c_TMAP1IN))*(((K11)-(c_TMAP1IN))*((c_TMAP2OUT)-(c_TMAP1OUT))+IF(((c_TMAP2OUT)-(c_TMAP1OUT))&gt;=0,1,-1)*QUOTIENT(((c_TMAP2IN)-(c_TMAP1IN)),2)))&gt;=0,1,0)))</f>
        <v>30</v>
      </c>
      <c r="O11" s="7" t="n">
        <f aca="false">IF(((c_TMAP3IN)-(c_TMAP2IN))=0,(c_TMAP2OUT)+QUOTIENT(((c_TMAP3OUT)-(c_TMAP2OUT)),2),QUOTIENT((((K11)-(c_TMAP2IN))*((c_TMAP3OUT)-(c_TMAP2OUT))+IF(((c_TMAP3OUT)-(c_TMAP2OUT))&gt;=0,1,-1)*QUOTIENT(((c_TMAP3IN)-(c_TMAP2IN)),2)),((c_TMAP3IN)-(c_TMAP2IN)))+(c_TMAP2OUT)+IF(((c_TMAP3OUT)-(c_TMAP2OUT))&gt;=0,IF(IF(o_WRAP=1,MOD(((c_TMAP3IN)-(c_TMAP2IN))*(((K11)-(c_TMAP2IN))*((c_TMAP3OUT)-(c_TMAP2OUT))+IF(((c_TMAP3OUT)-(c_TMAP2OUT))&gt;=0,1,-1)*QUOTIENT(((c_TMAP3IN)-(c_TMAP2IN)),2))+2147483648,4294967296)-2147483648,((c_TMAP3IN)-(c_TMAP2IN))*(((K11)-(c_TMAP2IN))*((c_TMAP3OUT)-(c_TMAP2OUT))+IF(((c_TMAP3OUT)-(c_TMAP2OUT))&gt;=0,1,-1)*QUOTIENT(((c_TMAP3IN)-(c_TMAP2IN)),2)))&lt;0,-1,0),IF(IF(o_WRAP=1,MOD(((c_TMAP3IN)-(c_TMAP2IN))*(((K11)-(c_TMAP2IN))*((c_TMAP3OUT)-(c_TMAP2OUT))+IF(((c_TMAP3OUT)-(c_TMAP2OUT))&gt;=0,1,-1)*QUOTIENT(((c_TMAP3IN)-(c_TMAP2IN)),2))+2147483648,4294967296)-2147483648,((c_TMAP3IN)-(c_TMAP2IN))*(((K11)-(c_TMAP2IN))*((c_TMAP3OUT)-(c_TMAP2OUT))+IF(((c_TMAP3OUT)-(c_TMAP2OUT))&gt;=0,1,-1)*QUOTIENT(((c_TMAP3IN)-(c_TMAP2IN)),2)))&gt;=0,1,0)))</f>
        <v>-45</v>
      </c>
      <c r="P11" s="7" t="n">
        <f aca="false">IF(((1000)-(c_TMAP3IN))=0,(c_TMAP3OUT)+QUOTIENT(((1000)-(c_TMAP3OUT)),2),QUOTIENT((((K11)-(c_TMAP3IN))*((1000)-(c_TMAP3OUT))+IF(((1000)-(c_TMAP3OUT))&gt;=0,1,-1)*QUOTIENT(((1000)-(c_TMAP3IN)),2)),((1000)-(c_TMAP3IN)))+(c_TMAP3OUT)+IF(((1000)-(c_TMAP3OUT))&gt;=0,IF(IF(o_WRAP=1,MOD(((1000)-(c_TMAP3IN))*(((K11)-(c_TMAP3IN))*((1000)-(c_TMAP3OUT))+IF(((1000)-(c_TMAP3OUT))&gt;=0,1,-1)*QUOTIENT(((1000)-(c_TMAP3IN)),2))+2147483648,4294967296)-2147483648,((1000)-(c_TMAP3IN))*(((K11)-(c_TMAP3IN))*((1000)-(c_TMAP3OUT))+IF(((1000)-(c_TMAP3OUT))&gt;=0,1,-1)*QUOTIENT(((1000)-(c_TMAP3IN)),2)))&lt;0,-1,0),IF(IF(o_WRAP=1,MOD(((1000)-(c_TMAP3IN))*(((K11)-(c_TMAP3IN))*((1000)-(c_TMAP3OUT))+IF(((1000)-(c_TMAP3OUT))&gt;=0,1,-1)*QUOTIENT(((1000)-(c_TMAP3IN)),2))+2147483648,4294967296)-2147483648,((1000)-(c_TMAP3IN))*(((K11)-(c_TMAP3IN))*((1000)-(c_TMAP3OUT))+IF(((1000)-(c_TMAP3OUT))&gt;=0,1,-1)*QUOTIENT(((1000)-(c_TMAP3IN)),2)))&gt;=0,1,0)))</f>
        <v>-231</v>
      </c>
      <c r="Q11" s="7" t="str">
        <f aca="false">IF(K11&gt;=c_TFWD,IF(AND(K11&gt;=c_TMAP3IN,c_TMAP3IN&lt;1000),"Seg4 map3-100%",IF(AND(K11&gt;=c_TMAP2IN,c_TMAP3IN&gt;c_TMAP2IN),"Seg3 map2-map3",IF(AND(K11&gt;=c_TMAP1IN,c_TMAP2IN&gt;c_TMAP1IN),"Seg2 map1-map2","Seg1 TFWD-map1"))),IF(AND(K11=0,c_TCREEP&gt;0),"Creep",IF(AND(K11&lt;=c_TRNGMIN,K11&gt;=c_TRNGMAX,c_TRNGMIN-c_TRNGMAX&lt;&gt;0),"Regen ramp","Coast (0)")))</f>
        <v>Regen ramp</v>
      </c>
      <c r="R11" s="7" t="n">
        <f aca="false">IF(K11&gt;=c_TFWD,IF(AND(K11&gt;=c_TMAP3IN,c_TMAP3IN&lt;1000),P11,IF(AND(K11&gt;=c_TMAP2IN,c_TMAP3IN&gt;c_TMAP2IN),O11,IF(AND(K11&gt;=c_TMAP1IN,c_TMAP2IN&gt;c_TMAP1IN),N11,M11))),L11)</f>
        <v>-350</v>
      </c>
      <c r="S11" s="7" t="str">
        <f aca="false">IF(R11&lt;-1090,"TOO LOW",IF(R11&gt;1090,"TOO HIGH",""))</f>
        <v/>
      </c>
      <c r="T11" s="15" t="n">
        <f aca="false">IF(H11&lt;&gt;"OK",0,IF(S11&lt;&gt;"",0,IF(R11&gt;979,1000,R11)))</f>
        <v>0</v>
      </c>
      <c r="U11" s="7" t="n">
        <f aca="false">T11/10</f>
        <v>0</v>
      </c>
    </row>
    <row r="12" customFormat="false" ht="15" hidden="false" customHeight="false" outlineLevel="0" collapsed="false">
      <c r="A12" s="7" t="n">
        <v>7</v>
      </c>
      <c r="B12" s="7" t="n">
        <f aca="false">ROUND(o_SWSTART+A12*(o_SWEND-o_SWSTART)/400,0)</f>
        <v>72</v>
      </c>
      <c r="C12" s="7" t="n">
        <f aca="false">QUOTIENT((B12-c_OFF1)*c_GAIN1,1024)</f>
        <v>72</v>
      </c>
      <c r="D12" s="7" t="n">
        <f aca="false">IF(((c_T1MX)-(c_T1MN))=0,(0)+QUOTIENT(((1000)-(0)),2),QUOTIENT((((C12)-(c_T1MN))*((1000)-(0))+IF(((1000)-(0))&gt;=0,1,-1)*QUOTIENT(((c_T1MX)-(c_T1MN)),2)),((c_T1MX)-(c_T1MN)))+(0)+IF(((1000)-(0))&gt;=0,IF(IF(o_WRAP=1,MOD(((c_T1MX)-(c_T1MN))*(((C12)-(c_T1MN))*((1000)-(0))+IF(((1000)-(0))&gt;=0,1,-1)*QUOTIENT(((c_T1MX)-(c_T1MN)),2))+2147483648,4294967296)-2147483648,((c_T1MX)-(c_T1MN))*(((C12)-(c_T1MN))*((1000)-(0))+IF(((1000)-(0))&gt;=0,1,-1)*QUOTIENT(((c_T1MX)-(c_T1MN)),2)))&lt;0,-1,0),IF(IF(o_WRAP=1,MOD(((c_T1MX)-(c_T1MN))*(((C12)-(c_T1MN))*((1000)-(0))+IF(((1000)-(0))&gt;=0,1,-1)*QUOTIENT(((c_T1MX)-(c_T1MN)),2))+2147483648,4294967296)-2147483648,((c_T1MX)-(c_T1MN))*(((C12)-(c_T1MN))*((1000)-(0))+IF(((1000)-(0))&gt;=0,1,-1)*QUOTIENT(((c_T1MX)-(c_T1MN)),2)))&gt;=0,1,0)))</f>
        <v>-233</v>
      </c>
      <c r="E12" s="7" t="n">
        <f aca="false">IF(AND(c_TPOT=1,c_TTYPE=2),1000-D12,D12)</f>
        <v>-233</v>
      </c>
      <c r="F12" s="7" t="str">
        <f aca="false">IF(c_TPOT&gt;1,ROUND(IF(c_TTYPE=2,c_T2MX-IF(c_T1MX=c_T1MN,0,(C12-c_T1MN)/(c_T1MX-c_T1MN))*(c_T2MX-c_T2MN),c_T2MN+IF(c_T1MX=c_T1MN,0,(C12-c_T1MN)/(c_T1MX-c_T1MN))*(c_T2MX-c_T2MN))+o_MISMATCH,0),"")</f>
        <v/>
      </c>
      <c r="G12" s="7" t="str">
        <f aca="false">IF(c_TPOT&gt;1,IF(((c_T2MX)-(c_T2MN))=0,(0)+QUOTIENT(((1000)-(0)),2),QUOTIENT((((F12)-(c_T2MN))*((1000)-(0))+IF(((1000)-(0))&gt;=0,1,-1)*QUOTIENT(((c_T2MX)-(c_T2MN)),2)),((c_T2MX)-(c_T2MN)))+(0)+IF(((1000)-(0))&gt;=0,IF(IF(o_WRAP=1,MOD(((c_T2MX)-(c_T2MN))*(((F12)-(c_T2MN))*((1000)-(0))+IF(((1000)-(0))&gt;=0,1,-1)*QUOTIENT(((c_T2MX)-(c_T2MN)),2))+2147483648,4294967296)-2147483648,((c_T2MX)-(c_T2MN))*(((F12)-(c_T2MN))*((1000)-(0))+IF(((1000)-(0))&gt;=0,1,-1)*QUOTIENT(((c_T2MX)-(c_T2MN)),2)))&lt;0,-1,0),IF(IF(o_WRAP=1,MOD(((c_T2MX)-(c_T2MN))*(((F12)-(c_T2MN))*((1000)-(0))+IF(((1000)-(0))&gt;=0,1,-1)*QUOTIENT(((c_T2MX)-(c_T2MN)),2))+2147483648,4294967296)-2147483648,((c_T2MX)-(c_T2MN))*(((F12)-(c_T2MN))*((1000)-(0))+IF(((1000)-(0))&gt;=0,1,-1)*QUOTIENT(((c_T2MX)-(c_T2MN)),2)))&gt;=0,1,0))),"")</f>
        <v/>
      </c>
      <c r="H12" s="7" t="str">
        <f aca="false">IF(E12&gt;1000+k_TOL,"T1 HIGH",IF(E12&lt;0-k_TOL,"T1 LOW",IF(c_TPOT&gt;1,IF(G12&gt;1000+k_TOL,"T2 HIGH",IF(G12&lt;0-k_TOL,"T2 LOW",IF(c_TTYPE=2,IF(ABS(1000-MAX(0,MIN(1000,E12))-MAX(0,MIN(1000,G12)))&gt;k_MAXERR,"MISMATCH","OK"),IF(OR(MAX(0,MIN(1000,E12))-k_MAXERR&gt;MAX(0,MIN(1000,G12)),MAX(0,MIN(1000,G12))-k_MAXERR&gt;MAX(0,MIN(1000,E12))),"MISMATCH","OK")))),"OK")))</f>
        <v>T1 LOW</v>
      </c>
      <c r="I12" s="7" t="n">
        <f aca="false">MAX(0,MIN(1000,D12))</f>
        <v>0</v>
      </c>
      <c r="J12" s="7" t="str">
        <f aca="false">IF(c_TPOT&gt;1,IF(c_TTYPE=2,1000-MAX(0,MIN(1000,G12)),MAX(0,MIN(1000,G12))),"")</f>
        <v/>
      </c>
      <c r="K12" s="7" t="n">
        <f aca="false">IF(c_TPOT&gt;1,QUOTIENT(I12+J12,2),I12)</f>
        <v>0</v>
      </c>
      <c r="L12" s="7" t="n">
        <f aca="false">IF(AND(K12=0,c_TCREEP&gt;0),10*c_TCREEP,IF(AND(K12&lt;=c_TRNGMIN,K12&gt;=c_TRNGMAX,c_TRNGMIN-c_TRNGMAX&lt;&gt;0),-10*c_TMINRN+QUOTIENT((c_TMAXRN-c_TMINRN)*(100-QUOTIENT((K12-c_TRNGMAX)*100,c_TRNGMIN-c_TRNGMAX)),-10),0))</f>
        <v>-350</v>
      </c>
      <c r="M12" s="7" t="n">
        <f aca="false">IF(((c_TMAP1IN)-(c_TFWD))=0,(0)+QUOTIENT(((c_TMAP1OUT)-(0)),2),QUOTIENT((((K12)-(c_TFWD))*((c_TMAP1OUT)-(0))+IF(((c_TMAP1OUT)-(0))&gt;=0,1,-1)*QUOTIENT(((c_TMAP1IN)-(c_TFWD)),2)),((c_TMAP1IN)-(c_TFWD)))+(0)+IF(((c_TMAP1OUT)-(0))&gt;=0,IF(IF(o_WRAP=1,MOD(((c_TMAP1IN)-(c_TFWD))*(((K12)-(c_TFWD))*((c_TMAP1OUT)-(0))+IF(((c_TMAP1OUT)-(0))&gt;=0,1,-1)*QUOTIENT(((c_TMAP1IN)-(c_TFWD)),2))+2147483648,4294967296)-2147483648,((c_TMAP1IN)-(c_TFWD))*(((K12)-(c_TFWD))*((c_TMAP1OUT)-(0))+IF(((c_TMAP1OUT)-(0))&gt;=0,1,-1)*QUOTIENT(((c_TMAP1IN)-(c_TFWD)),2)))&lt;0,-1,0),IF(IF(o_WRAP=1,MOD(((c_TMAP1IN)-(c_TFWD))*(((K12)-(c_TFWD))*((c_TMAP1OUT)-(0))+IF(((c_TMAP1OUT)-(0))&gt;=0,1,-1)*QUOTIENT(((c_TMAP1IN)-(c_TFWD)),2))+2147483648,4294967296)-2147483648,((c_TMAP1IN)-(c_TFWD))*(((K12)-(c_TFWD))*((c_TMAP1OUT)-(0))+IF(((c_TMAP1OUT)-(0))&gt;=0,1,-1)*QUOTIENT(((c_TMAP1IN)-(c_TFWD)),2)))&gt;=0,1,0)))</f>
        <v>-8</v>
      </c>
      <c r="N12" s="7" t="n">
        <f aca="false">IF(((c_TMAP2IN)-(c_TMAP1IN))=0,(c_TMAP1OUT)+QUOTIENT(((c_TMAP2OUT)-(c_TMAP1OUT)),2),QUOTIENT((((K12)-(c_TMAP1IN))*((c_TMAP2OUT)-(c_TMAP1OUT))+IF(((c_TMAP2OUT)-(c_TMAP1OUT))&gt;=0,1,-1)*QUOTIENT(((c_TMAP2IN)-(c_TMAP1IN)),2)),((c_TMAP2IN)-(c_TMAP1IN)))+(c_TMAP1OUT)+IF(((c_TMAP2OUT)-(c_TMAP1OUT))&gt;=0,IF(IF(o_WRAP=1,MOD(((c_TMAP2IN)-(c_TMAP1IN))*(((K12)-(c_TMAP1IN))*((c_TMAP2OUT)-(c_TMAP1OUT))+IF(((c_TMAP2OUT)-(c_TMAP1OUT))&gt;=0,1,-1)*QUOTIENT(((c_TMAP2IN)-(c_TMAP1IN)),2))+2147483648,4294967296)-2147483648,((c_TMAP2IN)-(c_TMAP1IN))*(((K12)-(c_TMAP1IN))*((c_TMAP2OUT)-(c_TMAP1OUT))+IF(((c_TMAP2OUT)-(c_TMAP1OUT))&gt;=0,1,-1)*QUOTIENT(((c_TMAP2IN)-(c_TMAP1IN)),2)))&lt;0,-1,0),IF(IF(o_WRAP=1,MOD(((c_TMAP2IN)-(c_TMAP1IN))*(((K12)-(c_TMAP1IN))*((c_TMAP2OUT)-(c_TMAP1OUT))+IF(((c_TMAP2OUT)-(c_TMAP1OUT))&gt;=0,1,-1)*QUOTIENT(((c_TMAP2IN)-(c_TMAP1IN)),2))+2147483648,4294967296)-2147483648,((c_TMAP2IN)-(c_TMAP1IN))*(((K12)-(c_TMAP1IN))*((c_TMAP2OUT)-(c_TMAP1OUT))+IF(((c_TMAP2OUT)-(c_TMAP1OUT))&gt;=0,1,-1)*QUOTIENT(((c_TMAP2IN)-(c_TMAP1IN)),2)))&gt;=0,1,0)))</f>
        <v>30</v>
      </c>
      <c r="O12" s="7" t="n">
        <f aca="false">IF(((c_TMAP3IN)-(c_TMAP2IN))=0,(c_TMAP2OUT)+QUOTIENT(((c_TMAP3OUT)-(c_TMAP2OUT)),2),QUOTIENT((((K12)-(c_TMAP2IN))*((c_TMAP3OUT)-(c_TMAP2OUT))+IF(((c_TMAP3OUT)-(c_TMAP2OUT))&gt;=0,1,-1)*QUOTIENT(((c_TMAP3IN)-(c_TMAP2IN)),2)),((c_TMAP3IN)-(c_TMAP2IN)))+(c_TMAP2OUT)+IF(((c_TMAP3OUT)-(c_TMAP2OUT))&gt;=0,IF(IF(o_WRAP=1,MOD(((c_TMAP3IN)-(c_TMAP2IN))*(((K12)-(c_TMAP2IN))*((c_TMAP3OUT)-(c_TMAP2OUT))+IF(((c_TMAP3OUT)-(c_TMAP2OUT))&gt;=0,1,-1)*QUOTIENT(((c_TMAP3IN)-(c_TMAP2IN)),2))+2147483648,4294967296)-2147483648,((c_TMAP3IN)-(c_TMAP2IN))*(((K12)-(c_TMAP2IN))*((c_TMAP3OUT)-(c_TMAP2OUT))+IF(((c_TMAP3OUT)-(c_TMAP2OUT))&gt;=0,1,-1)*QUOTIENT(((c_TMAP3IN)-(c_TMAP2IN)),2)))&lt;0,-1,0),IF(IF(o_WRAP=1,MOD(((c_TMAP3IN)-(c_TMAP2IN))*(((K12)-(c_TMAP2IN))*((c_TMAP3OUT)-(c_TMAP2OUT))+IF(((c_TMAP3OUT)-(c_TMAP2OUT))&gt;=0,1,-1)*QUOTIENT(((c_TMAP3IN)-(c_TMAP2IN)),2))+2147483648,4294967296)-2147483648,((c_TMAP3IN)-(c_TMAP2IN))*(((K12)-(c_TMAP2IN))*((c_TMAP3OUT)-(c_TMAP2OUT))+IF(((c_TMAP3OUT)-(c_TMAP2OUT))&gt;=0,1,-1)*QUOTIENT(((c_TMAP3IN)-(c_TMAP2IN)),2)))&gt;=0,1,0)))</f>
        <v>-45</v>
      </c>
      <c r="P12" s="7" t="n">
        <f aca="false">IF(((1000)-(c_TMAP3IN))=0,(c_TMAP3OUT)+QUOTIENT(((1000)-(c_TMAP3OUT)),2),QUOTIENT((((K12)-(c_TMAP3IN))*((1000)-(c_TMAP3OUT))+IF(((1000)-(c_TMAP3OUT))&gt;=0,1,-1)*QUOTIENT(((1000)-(c_TMAP3IN)),2)),((1000)-(c_TMAP3IN)))+(c_TMAP3OUT)+IF(((1000)-(c_TMAP3OUT))&gt;=0,IF(IF(o_WRAP=1,MOD(((1000)-(c_TMAP3IN))*(((K12)-(c_TMAP3IN))*((1000)-(c_TMAP3OUT))+IF(((1000)-(c_TMAP3OUT))&gt;=0,1,-1)*QUOTIENT(((1000)-(c_TMAP3IN)),2))+2147483648,4294967296)-2147483648,((1000)-(c_TMAP3IN))*(((K12)-(c_TMAP3IN))*((1000)-(c_TMAP3OUT))+IF(((1000)-(c_TMAP3OUT))&gt;=0,1,-1)*QUOTIENT(((1000)-(c_TMAP3IN)),2)))&lt;0,-1,0),IF(IF(o_WRAP=1,MOD(((1000)-(c_TMAP3IN))*(((K12)-(c_TMAP3IN))*((1000)-(c_TMAP3OUT))+IF(((1000)-(c_TMAP3OUT))&gt;=0,1,-1)*QUOTIENT(((1000)-(c_TMAP3IN)),2))+2147483648,4294967296)-2147483648,((1000)-(c_TMAP3IN))*(((K12)-(c_TMAP3IN))*((1000)-(c_TMAP3OUT))+IF(((1000)-(c_TMAP3OUT))&gt;=0,1,-1)*QUOTIENT(((1000)-(c_TMAP3IN)),2)))&gt;=0,1,0)))</f>
        <v>-231</v>
      </c>
      <c r="Q12" s="7" t="str">
        <f aca="false">IF(K12&gt;=c_TFWD,IF(AND(K12&gt;=c_TMAP3IN,c_TMAP3IN&lt;1000),"Seg4 map3-100%",IF(AND(K12&gt;=c_TMAP2IN,c_TMAP3IN&gt;c_TMAP2IN),"Seg3 map2-map3",IF(AND(K12&gt;=c_TMAP1IN,c_TMAP2IN&gt;c_TMAP1IN),"Seg2 map1-map2","Seg1 TFWD-map1"))),IF(AND(K12=0,c_TCREEP&gt;0),"Creep",IF(AND(K12&lt;=c_TRNGMIN,K12&gt;=c_TRNGMAX,c_TRNGMIN-c_TRNGMAX&lt;&gt;0),"Regen ramp","Coast (0)")))</f>
        <v>Regen ramp</v>
      </c>
      <c r="R12" s="7" t="n">
        <f aca="false">IF(K12&gt;=c_TFWD,IF(AND(K12&gt;=c_TMAP3IN,c_TMAP3IN&lt;1000),P12,IF(AND(K12&gt;=c_TMAP2IN,c_TMAP3IN&gt;c_TMAP2IN),O12,IF(AND(K12&gt;=c_TMAP1IN,c_TMAP2IN&gt;c_TMAP1IN),N12,M12))),L12)</f>
        <v>-350</v>
      </c>
      <c r="S12" s="7" t="str">
        <f aca="false">IF(R12&lt;-1090,"TOO LOW",IF(R12&gt;1090,"TOO HIGH",""))</f>
        <v/>
      </c>
      <c r="T12" s="15" t="n">
        <f aca="false">IF(H12&lt;&gt;"OK",0,IF(S12&lt;&gt;"",0,IF(R12&gt;979,1000,R12)))</f>
        <v>0</v>
      </c>
      <c r="U12" s="7" t="n">
        <f aca="false">T12/10</f>
        <v>0</v>
      </c>
    </row>
    <row r="13" customFormat="false" ht="15" hidden="false" customHeight="false" outlineLevel="0" collapsed="false">
      <c r="A13" s="7" t="n">
        <v>8</v>
      </c>
      <c r="B13" s="7" t="n">
        <f aca="false">ROUND(o_SWSTART+A13*(o_SWEND-o_SWSTART)/400,0)</f>
        <v>82</v>
      </c>
      <c r="C13" s="7" t="n">
        <f aca="false">QUOTIENT((B13-c_OFF1)*c_GAIN1,1024)</f>
        <v>82</v>
      </c>
      <c r="D13" s="7" t="n">
        <f aca="false">IF(((c_T1MX)-(c_T1MN))=0,(0)+QUOTIENT(((1000)-(0)),2),QUOTIENT((((C13)-(c_T1MN))*((1000)-(0))+IF(((1000)-(0))&gt;=0,1,-1)*QUOTIENT(((c_T1MX)-(c_T1MN)),2)),((c_T1MX)-(c_T1MN)))+(0)+IF(((1000)-(0))&gt;=0,IF(IF(o_WRAP=1,MOD(((c_T1MX)-(c_T1MN))*(((C13)-(c_T1MN))*((1000)-(0))+IF(((1000)-(0))&gt;=0,1,-1)*QUOTIENT(((c_T1MX)-(c_T1MN)),2))+2147483648,4294967296)-2147483648,((c_T1MX)-(c_T1MN))*(((C13)-(c_T1MN))*((1000)-(0))+IF(((1000)-(0))&gt;=0,1,-1)*QUOTIENT(((c_T1MX)-(c_T1MN)),2)))&lt;0,-1,0),IF(IF(o_WRAP=1,MOD(((c_T1MX)-(c_T1MN))*(((C13)-(c_T1MN))*((1000)-(0))+IF(((1000)-(0))&gt;=0,1,-1)*QUOTIENT(((c_T1MX)-(c_T1MN)),2))+2147483648,4294967296)-2147483648,((c_T1MX)-(c_T1MN))*(((C13)-(c_T1MN))*((1000)-(0))+IF(((1000)-(0))&gt;=0,1,-1)*QUOTIENT(((c_T1MX)-(c_T1MN)),2)))&gt;=0,1,0)))</f>
        <v>-229</v>
      </c>
      <c r="E13" s="7" t="n">
        <f aca="false">IF(AND(c_TPOT=1,c_TTYPE=2),1000-D13,D13)</f>
        <v>-229</v>
      </c>
      <c r="F13" s="7" t="str">
        <f aca="false">IF(c_TPOT&gt;1,ROUND(IF(c_TTYPE=2,c_T2MX-IF(c_T1MX=c_T1MN,0,(C13-c_T1MN)/(c_T1MX-c_T1MN))*(c_T2MX-c_T2MN),c_T2MN+IF(c_T1MX=c_T1MN,0,(C13-c_T1MN)/(c_T1MX-c_T1MN))*(c_T2MX-c_T2MN))+o_MISMATCH,0),"")</f>
        <v/>
      </c>
      <c r="G13" s="7" t="str">
        <f aca="false">IF(c_TPOT&gt;1,IF(((c_T2MX)-(c_T2MN))=0,(0)+QUOTIENT(((1000)-(0)),2),QUOTIENT((((F13)-(c_T2MN))*((1000)-(0))+IF(((1000)-(0))&gt;=0,1,-1)*QUOTIENT(((c_T2MX)-(c_T2MN)),2)),((c_T2MX)-(c_T2MN)))+(0)+IF(((1000)-(0))&gt;=0,IF(IF(o_WRAP=1,MOD(((c_T2MX)-(c_T2MN))*(((F13)-(c_T2MN))*((1000)-(0))+IF(((1000)-(0))&gt;=0,1,-1)*QUOTIENT(((c_T2MX)-(c_T2MN)),2))+2147483648,4294967296)-2147483648,((c_T2MX)-(c_T2MN))*(((F13)-(c_T2MN))*((1000)-(0))+IF(((1000)-(0))&gt;=0,1,-1)*QUOTIENT(((c_T2MX)-(c_T2MN)),2)))&lt;0,-1,0),IF(IF(o_WRAP=1,MOD(((c_T2MX)-(c_T2MN))*(((F13)-(c_T2MN))*((1000)-(0))+IF(((1000)-(0))&gt;=0,1,-1)*QUOTIENT(((c_T2MX)-(c_T2MN)),2))+2147483648,4294967296)-2147483648,((c_T2MX)-(c_T2MN))*(((F13)-(c_T2MN))*((1000)-(0))+IF(((1000)-(0))&gt;=0,1,-1)*QUOTIENT(((c_T2MX)-(c_T2MN)),2)))&gt;=0,1,0))),"")</f>
        <v/>
      </c>
      <c r="H13" s="7" t="str">
        <f aca="false">IF(E13&gt;1000+k_TOL,"T1 HIGH",IF(E13&lt;0-k_TOL,"T1 LOW",IF(c_TPOT&gt;1,IF(G13&gt;1000+k_TOL,"T2 HIGH",IF(G13&lt;0-k_TOL,"T2 LOW",IF(c_TTYPE=2,IF(ABS(1000-MAX(0,MIN(1000,E13))-MAX(0,MIN(1000,G13)))&gt;k_MAXERR,"MISMATCH","OK"),IF(OR(MAX(0,MIN(1000,E13))-k_MAXERR&gt;MAX(0,MIN(1000,G13)),MAX(0,MIN(1000,G13))-k_MAXERR&gt;MAX(0,MIN(1000,E13))),"MISMATCH","OK")))),"OK")))</f>
        <v>T1 LOW</v>
      </c>
      <c r="I13" s="7" t="n">
        <f aca="false">MAX(0,MIN(1000,D13))</f>
        <v>0</v>
      </c>
      <c r="J13" s="7" t="str">
        <f aca="false">IF(c_TPOT&gt;1,IF(c_TTYPE=2,1000-MAX(0,MIN(1000,G13)),MAX(0,MIN(1000,G13))),"")</f>
        <v/>
      </c>
      <c r="K13" s="7" t="n">
        <f aca="false">IF(c_TPOT&gt;1,QUOTIENT(I13+J13,2),I13)</f>
        <v>0</v>
      </c>
      <c r="L13" s="7" t="n">
        <f aca="false">IF(AND(K13=0,c_TCREEP&gt;0),10*c_TCREEP,IF(AND(K13&lt;=c_TRNGMIN,K13&gt;=c_TRNGMAX,c_TRNGMIN-c_TRNGMAX&lt;&gt;0),-10*c_TMINRN+QUOTIENT((c_TMAXRN-c_TMINRN)*(100-QUOTIENT((K13-c_TRNGMAX)*100,c_TRNGMIN-c_TRNGMAX)),-10),0))</f>
        <v>-350</v>
      </c>
      <c r="M13" s="7" t="n">
        <f aca="false">IF(((c_TMAP1IN)-(c_TFWD))=0,(0)+QUOTIENT(((c_TMAP1OUT)-(0)),2),QUOTIENT((((K13)-(c_TFWD))*((c_TMAP1OUT)-(0))+IF(((c_TMAP1OUT)-(0))&gt;=0,1,-1)*QUOTIENT(((c_TMAP1IN)-(c_TFWD)),2)),((c_TMAP1IN)-(c_TFWD)))+(0)+IF(((c_TMAP1OUT)-(0))&gt;=0,IF(IF(o_WRAP=1,MOD(((c_TMAP1IN)-(c_TFWD))*(((K13)-(c_TFWD))*((c_TMAP1OUT)-(0))+IF(((c_TMAP1OUT)-(0))&gt;=0,1,-1)*QUOTIENT(((c_TMAP1IN)-(c_TFWD)),2))+2147483648,4294967296)-2147483648,((c_TMAP1IN)-(c_TFWD))*(((K13)-(c_TFWD))*((c_TMAP1OUT)-(0))+IF(((c_TMAP1OUT)-(0))&gt;=0,1,-1)*QUOTIENT(((c_TMAP1IN)-(c_TFWD)),2)))&lt;0,-1,0),IF(IF(o_WRAP=1,MOD(((c_TMAP1IN)-(c_TFWD))*(((K13)-(c_TFWD))*((c_TMAP1OUT)-(0))+IF(((c_TMAP1OUT)-(0))&gt;=0,1,-1)*QUOTIENT(((c_TMAP1IN)-(c_TFWD)),2))+2147483648,4294967296)-2147483648,((c_TMAP1IN)-(c_TFWD))*(((K13)-(c_TFWD))*((c_TMAP1OUT)-(0))+IF(((c_TMAP1OUT)-(0))&gt;=0,1,-1)*QUOTIENT(((c_TMAP1IN)-(c_TFWD)),2)))&gt;=0,1,0)))</f>
        <v>-8</v>
      </c>
      <c r="N13" s="7" t="n">
        <f aca="false">IF(((c_TMAP2IN)-(c_TMAP1IN))=0,(c_TMAP1OUT)+QUOTIENT(((c_TMAP2OUT)-(c_TMAP1OUT)),2),QUOTIENT((((K13)-(c_TMAP1IN))*((c_TMAP2OUT)-(c_TMAP1OUT))+IF(((c_TMAP2OUT)-(c_TMAP1OUT))&gt;=0,1,-1)*QUOTIENT(((c_TMAP2IN)-(c_TMAP1IN)),2)),((c_TMAP2IN)-(c_TMAP1IN)))+(c_TMAP1OUT)+IF(((c_TMAP2OUT)-(c_TMAP1OUT))&gt;=0,IF(IF(o_WRAP=1,MOD(((c_TMAP2IN)-(c_TMAP1IN))*(((K13)-(c_TMAP1IN))*((c_TMAP2OUT)-(c_TMAP1OUT))+IF(((c_TMAP2OUT)-(c_TMAP1OUT))&gt;=0,1,-1)*QUOTIENT(((c_TMAP2IN)-(c_TMAP1IN)),2))+2147483648,4294967296)-2147483648,((c_TMAP2IN)-(c_TMAP1IN))*(((K13)-(c_TMAP1IN))*((c_TMAP2OUT)-(c_TMAP1OUT))+IF(((c_TMAP2OUT)-(c_TMAP1OUT))&gt;=0,1,-1)*QUOTIENT(((c_TMAP2IN)-(c_TMAP1IN)),2)))&lt;0,-1,0),IF(IF(o_WRAP=1,MOD(((c_TMAP2IN)-(c_TMAP1IN))*(((K13)-(c_TMAP1IN))*((c_TMAP2OUT)-(c_TMAP1OUT))+IF(((c_TMAP2OUT)-(c_TMAP1OUT))&gt;=0,1,-1)*QUOTIENT(((c_TMAP2IN)-(c_TMAP1IN)),2))+2147483648,4294967296)-2147483648,((c_TMAP2IN)-(c_TMAP1IN))*(((K13)-(c_TMAP1IN))*((c_TMAP2OUT)-(c_TMAP1OUT))+IF(((c_TMAP2OUT)-(c_TMAP1OUT))&gt;=0,1,-1)*QUOTIENT(((c_TMAP2IN)-(c_TMAP1IN)),2)))&gt;=0,1,0)))</f>
        <v>30</v>
      </c>
      <c r="O13" s="7" t="n">
        <f aca="false">IF(((c_TMAP3IN)-(c_TMAP2IN))=0,(c_TMAP2OUT)+QUOTIENT(((c_TMAP3OUT)-(c_TMAP2OUT)),2),QUOTIENT((((K13)-(c_TMAP2IN))*((c_TMAP3OUT)-(c_TMAP2OUT))+IF(((c_TMAP3OUT)-(c_TMAP2OUT))&gt;=0,1,-1)*QUOTIENT(((c_TMAP3IN)-(c_TMAP2IN)),2)),((c_TMAP3IN)-(c_TMAP2IN)))+(c_TMAP2OUT)+IF(((c_TMAP3OUT)-(c_TMAP2OUT))&gt;=0,IF(IF(o_WRAP=1,MOD(((c_TMAP3IN)-(c_TMAP2IN))*(((K13)-(c_TMAP2IN))*((c_TMAP3OUT)-(c_TMAP2OUT))+IF(((c_TMAP3OUT)-(c_TMAP2OUT))&gt;=0,1,-1)*QUOTIENT(((c_TMAP3IN)-(c_TMAP2IN)),2))+2147483648,4294967296)-2147483648,((c_TMAP3IN)-(c_TMAP2IN))*(((K13)-(c_TMAP2IN))*((c_TMAP3OUT)-(c_TMAP2OUT))+IF(((c_TMAP3OUT)-(c_TMAP2OUT))&gt;=0,1,-1)*QUOTIENT(((c_TMAP3IN)-(c_TMAP2IN)),2)))&lt;0,-1,0),IF(IF(o_WRAP=1,MOD(((c_TMAP3IN)-(c_TMAP2IN))*(((K13)-(c_TMAP2IN))*((c_TMAP3OUT)-(c_TMAP2OUT))+IF(((c_TMAP3OUT)-(c_TMAP2OUT))&gt;=0,1,-1)*QUOTIENT(((c_TMAP3IN)-(c_TMAP2IN)),2))+2147483648,4294967296)-2147483648,((c_TMAP3IN)-(c_TMAP2IN))*(((K13)-(c_TMAP2IN))*((c_TMAP3OUT)-(c_TMAP2OUT))+IF(((c_TMAP3OUT)-(c_TMAP2OUT))&gt;=0,1,-1)*QUOTIENT(((c_TMAP3IN)-(c_TMAP2IN)),2)))&gt;=0,1,0)))</f>
        <v>-45</v>
      </c>
      <c r="P13" s="7" t="n">
        <f aca="false">IF(((1000)-(c_TMAP3IN))=0,(c_TMAP3OUT)+QUOTIENT(((1000)-(c_TMAP3OUT)),2),QUOTIENT((((K13)-(c_TMAP3IN))*((1000)-(c_TMAP3OUT))+IF(((1000)-(c_TMAP3OUT))&gt;=0,1,-1)*QUOTIENT(((1000)-(c_TMAP3IN)),2)),((1000)-(c_TMAP3IN)))+(c_TMAP3OUT)+IF(((1000)-(c_TMAP3OUT))&gt;=0,IF(IF(o_WRAP=1,MOD(((1000)-(c_TMAP3IN))*(((K13)-(c_TMAP3IN))*((1000)-(c_TMAP3OUT))+IF(((1000)-(c_TMAP3OUT))&gt;=0,1,-1)*QUOTIENT(((1000)-(c_TMAP3IN)),2))+2147483648,4294967296)-2147483648,((1000)-(c_TMAP3IN))*(((K13)-(c_TMAP3IN))*((1000)-(c_TMAP3OUT))+IF(((1000)-(c_TMAP3OUT))&gt;=0,1,-1)*QUOTIENT(((1000)-(c_TMAP3IN)),2)))&lt;0,-1,0),IF(IF(o_WRAP=1,MOD(((1000)-(c_TMAP3IN))*(((K13)-(c_TMAP3IN))*((1000)-(c_TMAP3OUT))+IF(((1000)-(c_TMAP3OUT))&gt;=0,1,-1)*QUOTIENT(((1000)-(c_TMAP3IN)),2))+2147483648,4294967296)-2147483648,((1000)-(c_TMAP3IN))*(((K13)-(c_TMAP3IN))*((1000)-(c_TMAP3OUT))+IF(((1000)-(c_TMAP3OUT))&gt;=0,1,-1)*QUOTIENT(((1000)-(c_TMAP3IN)),2)))&gt;=0,1,0)))</f>
        <v>-231</v>
      </c>
      <c r="Q13" s="7" t="str">
        <f aca="false">IF(K13&gt;=c_TFWD,IF(AND(K13&gt;=c_TMAP3IN,c_TMAP3IN&lt;1000),"Seg4 map3-100%",IF(AND(K13&gt;=c_TMAP2IN,c_TMAP3IN&gt;c_TMAP2IN),"Seg3 map2-map3",IF(AND(K13&gt;=c_TMAP1IN,c_TMAP2IN&gt;c_TMAP1IN),"Seg2 map1-map2","Seg1 TFWD-map1"))),IF(AND(K13=0,c_TCREEP&gt;0),"Creep",IF(AND(K13&lt;=c_TRNGMIN,K13&gt;=c_TRNGMAX,c_TRNGMIN-c_TRNGMAX&lt;&gt;0),"Regen ramp","Coast (0)")))</f>
        <v>Regen ramp</v>
      </c>
      <c r="R13" s="7" t="n">
        <f aca="false">IF(K13&gt;=c_TFWD,IF(AND(K13&gt;=c_TMAP3IN,c_TMAP3IN&lt;1000),P13,IF(AND(K13&gt;=c_TMAP2IN,c_TMAP3IN&gt;c_TMAP2IN),O13,IF(AND(K13&gt;=c_TMAP1IN,c_TMAP2IN&gt;c_TMAP1IN),N13,M13))),L13)</f>
        <v>-350</v>
      </c>
      <c r="S13" s="7" t="str">
        <f aca="false">IF(R13&lt;-1090,"TOO LOW",IF(R13&gt;1090,"TOO HIGH",""))</f>
        <v/>
      </c>
      <c r="T13" s="15" t="n">
        <f aca="false">IF(H13&lt;&gt;"OK",0,IF(S13&lt;&gt;"",0,IF(R13&gt;979,1000,R13)))</f>
        <v>0</v>
      </c>
      <c r="U13" s="7" t="n">
        <f aca="false">T13/10</f>
        <v>0</v>
      </c>
    </row>
    <row r="14" customFormat="false" ht="15" hidden="false" customHeight="false" outlineLevel="0" collapsed="false">
      <c r="A14" s="7" t="n">
        <v>9</v>
      </c>
      <c r="B14" s="7" t="n">
        <f aca="false">ROUND(o_SWSTART+A14*(o_SWEND-o_SWSTART)/400,0)</f>
        <v>92</v>
      </c>
      <c r="C14" s="7" t="n">
        <f aca="false">QUOTIENT((B14-c_OFF1)*c_GAIN1,1024)</f>
        <v>92</v>
      </c>
      <c r="D14" s="7" t="n">
        <f aca="false">IF(((c_T1MX)-(c_T1MN))=0,(0)+QUOTIENT(((1000)-(0)),2),QUOTIENT((((C14)-(c_T1MN))*((1000)-(0))+IF(((1000)-(0))&gt;=0,1,-1)*QUOTIENT(((c_T1MX)-(c_T1MN)),2)),((c_T1MX)-(c_T1MN)))+(0)+IF(((1000)-(0))&gt;=0,IF(IF(o_WRAP=1,MOD(((c_T1MX)-(c_T1MN))*(((C14)-(c_T1MN))*((1000)-(0))+IF(((1000)-(0))&gt;=0,1,-1)*QUOTIENT(((c_T1MX)-(c_T1MN)),2))+2147483648,4294967296)-2147483648,((c_T1MX)-(c_T1MN))*(((C14)-(c_T1MN))*((1000)-(0))+IF(((1000)-(0))&gt;=0,1,-1)*QUOTIENT(((c_T1MX)-(c_T1MN)),2)))&lt;0,-1,0),IF(IF(o_WRAP=1,MOD(((c_T1MX)-(c_T1MN))*(((C14)-(c_T1MN))*((1000)-(0))+IF(((1000)-(0))&gt;=0,1,-1)*QUOTIENT(((c_T1MX)-(c_T1MN)),2))+2147483648,4294967296)-2147483648,((c_T1MX)-(c_T1MN))*(((C14)-(c_T1MN))*((1000)-(0))+IF(((1000)-(0))&gt;=0,1,-1)*QUOTIENT(((c_T1MX)-(c_T1MN)),2)))&gt;=0,1,0)))</f>
        <v>-225</v>
      </c>
      <c r="E14" s="7" t="n">
        <f aca="false">IF(AND(c_TPOT=1,c_TTYPE=2),1000-D14,D14)</f>
        <v>-225</v>
      </c>
      <c r="F14" s="7" t="str">
        <f aca="false">IF(c_TPOT&gt;1,ROUND(IF(c_TTYPE=2,c_T2MX-IF(c_T1MX=c_T1MN,0,(C14-c_T1MN)/(c_T1MX-c_T1MN))*(c_T2MX-c_T2MN),c_T2MN+IF(c_T1MX=c_T1MN,0,(C14-c_T1MN)/(c_T1MX-c_T1MN))*(c_T2MX-c_T2MN))+o_MISMATCH,0),"")</f>
        <v/>
      </c>
      <c r="G14" s="7" t="str">
        <f aca="false">IF(c_TPOT&gt;1,IF(((c_T2MX)-(c_T2MN))=0,(0)+QUOTIENT(((1000)-(0)),2),QUOTIENT((((F14)-(c_T2MN))*((1000)-(0))+IF(((1000)-(0))&gt;=0,1,-1)*QUOTIENT(((c_T2MX)-(c_T2MN)),2)),((c_T2MX)-(c_T2MN)))+(0)+IF(((1000)-(0))&gt;=0,IF(IF(o_WRAP=1,MOD(((c_T2MX)-(c_T2MN))*(((F14)-(c_T2MN))*((1000)-(0))+IF(((1000)-(0))&gt;=0,1,-1)*QUOTIENT(((c_T2MX)-(c_T2MN)),2))+2147483648,4294967296)-2147483648,((c_T2MX)-(c_T2MN))*(((F14)-(c_T2MN))*((1000)-(0))+IF(((1000)-(0))&gt;=0,1,-1)*QUOTIENT(((c_T2MX)-(c_T2MN)),2)))&lt;0,-1,0),IF(IF(o_WRAP=1,MOD(((c_T2MX)-(c_T2MN))*(((F14)-(c_T2MN))*((1000)-(0))+IF(((1000)-(0))&gt;=0,1,-1)*QUOTIENT(((c_T2MX)-(c_T2MN)),2))+2147483648,4294967296)-2147483648,((c_T2MX)-(c_T2MN))*(((F14)-(c_T2MN))*((1000)-(0))+IF(((1000)-(0))&gt;=0,1,-1)*QUOTIENT(((c_T2MX)-(c_T2MN)),2)))&gt;=0,1,0))),"")</f>
        <v/>
      </c>
      <c r="H14" s="7" t="str">
        <f aca="false">IF(E14&gt;1000+k_TOL,"T1 HIGH",IF(E14&lt;0-k_TOL,"T1 LOW",IF(c_TPOT&gt;1,IF(G14&gt;1000+k_TOL,"T2 HIGH",IF(G14&lt;0-k_TOL,"T2 LOW",IF(c_TTYPE=2,IF(ABS(1000-MAX(0,MIN(1000,E14))-MAX(0,MIN(1000,G14)))&gt;k_MAXERR,"MISMATCH","OK"),IF(OR(MAX(0,MIN(1000,E14))-k_MAXERR&gt;MAX(0,MIN(1000,G14)),MAX(0,MIN(1000,G14))-k_MAXERR&gt;MAX(0,MIN(1000,E14))),"MISMATCH","OK")))),"OK")))</f>
        <v>T1 LOW</v>
      </c>
      <c r="I14" s="7" t="n">
        <f aca="false">MAX(0,MIN(1000,D14))</f>
        <v>0</v>
      </c>
      <c r="J14" s="7" t="str">
        <f aca="false">IF(c_TPOT&gt;1,IF(c_TTYPE=2,1000-MAX(0,MIN(1000,G14)),MAX(0,MIN(1000,G14))),"")</f>
        <v/>
      </c>
      <c r="K14" s="7" t="n">
        <f aca="false">IF(c_TPOT&gt;1,QUOTIENT(I14+J14,2),I14)</f>
        <v>0</v>
      </c>
      <c r="L14" s="7" t="n">
        <f aca="false">IF(AND(K14=0,c_TCREEP&gt;0),10*c_TCREEP,IF(AND(K14&lt;=c_TRNGMIN,K14&gt;=c_TRNGMAX,c_TRNGMIN-c_TRNGMAX&lt;&gt;0),-10*c_TMINRN+QUOTIENT((c_TMAXRN-c_TMINRN)*(100-QUOTIENT((K14-c_TRNGMAX)*100,c_TRNGMIN-c_TRNGMAX)),-10),0))</f>
        <v>-350</v>
      </c>
      <c r="M14" s="7" t="n">
        <f aca="false">IF(((c_TMAP1IN)-(c_TFWD))=0,(0)+QUOTIENT(((c_TMAP1OUT)-(0)),2),QUOTIENT((((K14)-(c_TFWD))*((c_TMAP1OUT)-(0))+IF(((c_TMAP1OUT)-(0))&gt;=0,1,-1)*QUOTIENT(((c_TMAP1IN)-(c_TFWD)),2)),((c_TMAP1IN)-(c_TFWD)))+(0)+IF(((c_TMAP1OUT)-(0))&gt;=0,IF(IF(o_WRAP=1,MOD(((c_TMAP1IN)-(c_TFWD))*(((K14)-(c_TFWD))*((c_TMAP1OUT)-(0))+IF(((c_TMAP1OUT)-(0))&gt;=0,1,-1)*QUOTIENT(((c_TMAP1IN)-(c_TFWD)),2))+2147483648,4294967296)-2147483648,((c_TMAP1IN)-(c_TFWD))*(((K14)-(c_TFWD))*((c_TMAP1OUT)-(0))+IF(((c_TMAP1OUT)-(0))&gt;=0,1,-1)*QUOTIENT(((c_TMAP1IN)-(c_TFWD)),2)))&lt;0,-1,0),IF(IF(o_WRAP=1,MOD(((c_TMAP1IN)-(c_TFWD))*(((K14)-(c_TFWD))*((c_TMAP1OUT)-(0))+IF(((c_TMAP1OUT)-(0))&gt;=0,1,-1)*QUOTIENT(((c_TMAP1IN)-(c_TFWD)),2))+2147483648,4294967296)-2147483648,((c_TMAP1IN)-(c_TFWD))*(((K14)-(c_TFWD))*((c_TMAP1OUT)-(0))+IF(((c_TMAP1OUT)-(0))&gt;=0,1,-1)*QUOTIENT(((c_TMAP1IN)-(c_TFWD)),2)))&gt;=0,1,0)))</f>
        <v>-8</v>
      </c>
      <c r="N14" s="7" t="n">
        <f aca="false">IF(((c_TMAP2IN)-(c_TMAP1IN))=0,(c_TMAP1OUT)+QUOTIENT(((c_TMAP2OUT)-(c_TMAP1OUT)),2),QUOTIENT((((K14)-(c_TMAP1IN))*((c_TMAP2OUT)-(c_TMAP1OUT))+IF(((c_TMAP2OUT)-(c_TMAP1OUT))&gt;=0,1,-1)*QUOTIENT(((c_TMAP2IN)-(c_TMAP1IN)),2)),((c_TMAP2IN)-(c_TMAP1IN)))+(c_TMAP1OUT)+IF(((c_TMAP2OUT)-(c_TMAP1OUT))&gt;=0,IF(IF(o_WRAP=1,MOD(((c_TMAP2IN)-(c_TMAP1IN))*(((K14)-(c_TMAP1IN))*((c_TMAP2OUT)-(c_TMAP1OUT))+IF(((c_TMAP2OUT)-(c_TMAP1OUT))&gt;=0,1,-1)*QUOTIENT(((c_TMAP2IN)-(c_TMAP1IN)),2))+2147483648,4294967296)-2147483648,((c_TMAP2IN)-(c_TMAP1IN))*(((K14)-(c_TMAP1IN))*((c_TMAP2OUT)-(c_TMAP1OUT))+IF(((c_TMAP2OUT)-(c_TMAP1OUT))&gt;=0,1,-1)*QUOTIENT(((c_TMAP2IN)-(c_TMAP1IN)),2)))&lt;0,-1,0),IF(IF(o_WRAP=1,MOD(((c_TMAP2IN)-(c_TMAP1IN))*(((K14)-(c_TMAP1IN))*((c_TMAP2OUT)-(c_TMAP1OUT))+IF(((c_TMAP2OUT)-(c_TMAP1OUT))&gt;=0,1,-1)*QUOTIENT(((c_TMAP2IN)-(c_TMAP1IN)),2))+2147483648,4294967296)-2147483648,((c_TMAP2IN)-(c_TMAP1IN))*(((K14)-(c_TMAP1IN))*((c_TMAP2OUT)-(c_TMAP1OUT))+IF(((c_TMAP2OUT)-(c_TMAP1OUT))&gt;=0,1,-1)*QUOTIENT(((c_TMAP2IN)-(c_TMAP1IN)),2)))&gt;=0,1,0)))</f>
        <v>30</v>
      </c>
      <c r="O14" s="7" t="n">
        <f aca="false">IF(((c_TMAP3IN)-(c_TMAP2IN))=0,(c_TMAP2OUT)+QUOTIENT(((c_TMAP3OUT)-(c_TMAP2OUT)),2),QUOTIENT((((K14)-(c_TMAP2IN))*((c_TMAP3OUT)-(c_TMAP2OUT))+IF(((c_TMAP3OUT)-(c_TMAP2OUT))&gt;=0,1,-1)*QUOTIENT(((c_TMAP3IN)-(c_TMAP2IN)),2)),((c_TMAP3IN)-(c_TMAP2IN)))+(c_TMAP2OUT)+IF(((c_TMAP3OUT)-(c_TMAP2OUT))&gt;=0,IF(IF(o_WRAP=1,MOD(((c_TMAP3IN)-(c_TMAP2IN))*(((K14)-(c_TMAP2IN))*((c_TMAP3OUT)-(c_TMAP2OUT))+IF(((c_TMAP3OUT)-(c_TMAP2OUT))&gt;=0,1,-1)*QUOTIENT(((c_TMAP3IN)-(c_TMAP2IN)),2))+2147483648,4294967296)-2147483648,((c_TMAP3IN)-(c_TMAP2IN))*(((K14)-(c_TMAP2IN))*((c_TMAP3OUT)-(c_TMAP2OUT))+IF(((c_TMAP3OUT)-(c_TMAP2OUT))&gt;=0,1,-1)*QUOTIENT(((c_TMAP3IN)-(c_TMAP2IN)),2)))&lt;0,-1,0),IF(IF(o_WRAP=1,MOD(((c_TMAP3IN)-(c_TMAP2IN))*(((K14)-(c_TMAP2IN))*((c_TMAP3OUT)-(c_TMAP2OUT))+IF(((c_TMAP3OUT)-(c_TMAP2OUT))&gt;=0,1,-1)*QUOTIENT(((c_TMAP3IN)-(c_TMAP2IN)),2))+2147483648,4294967296)-2147483648,((c_TMAP3IN)-(c_TMAP2IN))*(((K14)-(c_TMAP2IN))*((c_TMAP3OUT)-(c_TMAP2OUT))+IF(((c_TMAP3OUT)-(c_TMAP2OUT))&gt;=0,1,-1)*QUOTIENT(((c_TMAP3IN)-(c_TMAP2IN)),2)))&gt;=0,1,0)))</f>
        <v>-45</v>
      </c>
      <c r="P14" s="7" t="n">
        <f aca="false">IF(((1000)-(c_TMAP3IN))=0,(c_TMAP3OUT)+QUOTIENT(((1000)-(c_TMAP3OUT)),2),QUOTIENT((((K14)-(c_TMAP3IN))*((1000)-(c_TMAP3OUT))+IF(((1000)-(c_TMAP3OUT))&gt;=0,1,-1)*QUOTIENT(((1000)-(c_TMAP3IN)),2)),((1000)-(c_TMAP3IN)))+(c_TMAP3OUT)+IF(((1000)-(c_TMAP3OUT))&gt;=0,IF(IF(o_WRAP=1,MOD(((1000)-(c_TMAP3IN))*(((K14)-(c_TMAP3IN))*((1000)-(c_TMAP3OUT))+IF(((1000)-(c_TMAP3OUT))&gt;=0,1,-1)*QUOTIENT(((1000)-(c_TMAP3IN)),2))+2147483648,4294967296)-2147483648,((1000)-(c_TMAP3IN))*(((K14)-(c_TMAP3IN))*((1000)-(c_TMAP3OUT))+IF(((1000)-(c_TMAP3OUT))&gt;=0,1,-1)*QUOTIENT(((1000)-(c_TMAP3IN)),2)))&lt;0,-1,0),IF(IF(o_WRAP=1,MOD(((1000)-(c_TMAP3IN))*(((K14)-(c_TMAP3IN))*((1000)-(c_TMAP3OUT))+IF(((1000)-(c_TMAP3OUT))&gt;=0,1,-1)*QUOTIENT(((1000)-(c_TMAP3IN)),2))+2147483648,4294967296)-2147483648,((1000)-(c_TMAP3IN))*(((K14)-(c_TMAP3IN))*((1000)-(c_TMAP3OUT))+IF(((1000)-(c_TMAP3OUT))&gt;=0,1,-1)*QUOTIENT(((1000)-(c_TMAP3IN)),2)))&gt;=0,1,0)))</f>
        <v>-231</v>
      </c>
      <c r="Q14" s="7" t="str">
        <f aca="false">IF(K14&gt;=c_TFWD,IF(AND(K14&gt;=c_TMAP3IN,c_TMAP3IN&lt;1000),"Seg4 map3-100%",IF(AND(K14&gt;=c_TMAP2IN,c_TMAP3IN&gt;c_TMAP2IN),"Seg3 map2-map3",IF(AND(K14&gt;=c_TMAP1IN,c_TMAP2IN&gt;c_TMAP1IN),"Seg2 map1-map2","Seg1 TFWD-map1"))),IF(AND(K14=0,c_TCREEP&gt;0),"Creep",IF(AND(K14&lt;=c_TRNGMIN,K14&gt;=c_TRNGMAX,c_TRNGMIN-c_TRNGMAX&lt;&gt;0),"Regen ramp","Coast (0)")))</f>
        <v>Regen ramp</v>
      </c>
      <c r="R14" s="7" t="n">
        <f aca="false">IF(K14&gt;=c_TFWD,IF(AND(K14&gt;=c_TMAP3IN,c_TMAP3IN&lt;1000),P14,IF(AND(K14&gt;=c_TMAP2IN,c_TMAP3IN&gt;c_TMAP2IN),O14,IF(AND(K14&gt;=c_TMAP1IN,c_TMAP2IN&gt;c_TMAP1IN),N14,M14))),L14)</f>
        <v>-350</v>
      </c>
      <c r="S14" s="7" t="str">
        <f aca="false">IF(R14&lt;-1090,"TOO LOW",IF(R14&gt;1090,"TOO HIGH",""))</f>
        <v/>
      </c>
      <c r="T14" s="15" t="n">
        <f aca="false">IF(H14&lt;&gt;"OK",0,IF(S14&lt;&gt;"",0,IF(R14&gt;979,1000,R14)))</f>
        <v>0</v>
      </c>
      <c r="U14" s="7" t="n">
        <f aca="false">T14/10</f>
        <v>0</v>
      </c>
    </row>
    <row r="15" customFormat="false" ht="15" hidden="false" customHeight="false" outlineLevel="0" collapsed="false">
      <c r="A15" s="7" t="n">
        <v>10</v>
      </c>
      <c r="B15" s="7" t="n">
        <f aca="false">ROUND(o_SWSTART+A15*(o_SWEND-o_SWSTART)/400,0)</f>
        <v>102</v>
      </c>
      <c r="C15" s="7" t="n">
        <f aca="false">QUOTIENT((B15-c_OFF1)*c_GAIN1,1024)</f>
        <v>102</v>
      </c>
      <c r="D15" s="7" t="n">
        <f aca="false">IF(((c_T1MX)-(c_T1MN))=0,(0)+QUOTIENT(((1000)-(0)),2),QUOTIENT((((C15)-(c_T1MN))*((1000)-(0))+IF(((1000)-(0))&gt;=0,1,-1)*QUOTIENT(((c_T1MX)-(c_T1MN)),2)),((c_T1MX)-(c_T1MN)))+(0)+IF(((1000)-(0))&gt;=0,IF(IF(o_WRAP=1,MOD(((c_T1MX)-(c_T1MN))*(((C15)-(c_T1MN))*((1000)-(0))+IF(((1000)-(0))&gt;=0,1,-1)*QUOTIENT(((c_T1MX)-(c_T1MN)),2))+2147483648,4294967296)-2147483648,((c_T1MX)-(c_T1MN))*(((C15)-(c_T1MN))*((1000)-(0))+IF(((1000)-(0))&gt;=0,1,-1)*QUOTIENT(((c_T1MX)-(c_T1MN)),2)))&lt;0,-1,0),IF(IF(o_WRAP=1,MOD(((c_T1MX)-(c_T1MN))*(((C15)-(c_T1MN))*((1000)-(0))+IF(((1000)-(0))&gt;=0,1,-1)*QUOTIENT(((c_T1MX)-(c_T1MN)),2))+2147483648,4294967296)-2147483648,((c_T1MX)-(c_T1MN))*(((C15)-(c_T1MN))*((1000)-(0))+IF(((1000)-(0))&gt;=0,1,-1)*QUOTIENT(((c_T1MX)-(c_T1MN)),2)))&gt;=0,1,0)))</f>
        <v>-222</v>
      </c>
      <c r="E15" s="7" t="n">
        <f aca="false">IF(AND(c_TPOT=1,c_TTYPE=2),1000-D15,D15)</f>
        <v>-222</v>
      </c>
      <c r="F15" s="7" t="str">
        <f aca="false">IF(c_TPOT&gt;1,ROUND(IF(c_TTYPE=2,c_T2MX-IF(c_T1MX=c_T1MN,0,(C15-c_T1MN)/(c_T1MX-c_T1MN))*(c_T2MX-c_T2MN),c_T2MN+IF(c_T1MX=c_T1MN,0,(C15-c_T1MN)/(c_T1MX-c_T1MN))*(c_T2MX-c_T2MN))+o_MISMATCH,0),"")</f>
        <v/>
      </c>
      <c r="G15" s="7" t="str">
        <f aca="false">IF(c_TPOT&gt;1,IF(((c_T2MX)-(c_T2MN))=0,(0)+QUOTIENT(((1000)-(0)),2),QUOTIENT((((F15)-(c_T2MN))*((1000)-(0))+IF(((1000)-(0))&gt;=0,1,-1)*QUOTIENT(((c_T2MX)-(c_T2MN)),2)),((c_T2MX)-(c_T2MN)))+(0)+IF(((1000)-(0))&gt;=0,IF(IF(o_WRAP=1,MOD(((c_T2MX)-(c_T2MN))*(((F15)-(c_T2MN))*((1000)-(0))+IF(((1000)-(0))&gt;=0,1,-1)*QUOTIENT(((c_T2MX)-(c_T2MN)),2))+2147483648,4294967296)-2147483648,((c_T2MX)-(c_T2MN))*(((F15)-(c_T2MN))*((1000)-(0))+IF(((1000)-(0))&gt;=0,1,-1)*QUOTIENT(((c_T2MX)-(c_T2MN)),2)))&lt;0,-1,0),IF(IF(o_WRAP=1,MOD(((c_T2MX)-(c_T2MN))*(((F15)-(c_T2MN))*((1000)-(0))+IF(((1000)-(0))&gt;=0,1,-1)*QUOTIENT(((c_T2MX)-(c_T2MN)),2))+2147483648,4294967296)-2147483648,((c_T2MX)-(c_T2MN))*(((F15)-(c_T2MN))*((1000)-(0))+IF(((1000)-(0))&gt;=0,1,-1)*QUOTIENT(((c_T2MX)-(c_T2MN)),2)))&gt;=0,1,0))),"")</f>
        <v/>
      </c>
      <c r="H15" s="7" t="str">
        <f aca="false">IF(E15&gt;1000+k_TOL,"T1 HIGH",IF(E15&lt;0-k_TOL,"T1 LOW",IF(c_TPOT&gt;1,IF(G15&gt;1000+k_TOL,"T2 HIGH",IF(G15&lt;0-k_TOL,"T2 LOW",IF(c_TTYPE=2,IF(ABS(1000-MAX(0,MIN(1000,E15))-MAX(0,MIN(1000,G15)))&gt;k_MAXERR,"MISMATCH","OK"),IF(OR(MAX(0,MIN(1000,E15))-k_MAXERR&gt;MAX(0,MIN(1000,G15)),MAX(0,MIN(1000,G15))-k_MAXERR&gt;MAX(0,MIN(1000,E15))),"MISMATCH","OK")))),"OK")))</f>
        <v>T1 LOW</v>
      </c>
      <c r="I15" s="7" t="n">
        <f aca="false">MAX(0,MIN(1000,D15))</f>
        <v>0</v>
      </c>
      <c r="J15" s="7" t="str">
        <f aca="false">IF(c_TPOT&gt;1,IF(c_TTYPE=2,1000-MAX(0,MIN(1000,G15)),MAX(0,MIN(1000,G15))),"")</f>
        <v/>
      </c>
      <c r="K15" s="7" t="n">
        <f aca="false">IF(c_TPOT&gt;1,QUOTIENT(I15+J15,2),I15)</f>
        <v>0</v>
      </c>
      <c r="L15" s="7" t="n">
        <f aca="false">IF(AND(K15=0,c_TCREEP&gt;0),10*c_TCREEP,IF(AND(K15&lt;=c_TRNGMIN,K15&gt;=c_TRNGMAX,c_TRNGMIN-c_TRNGMAX&lt;&gt;0),-10*c_TMINRN+QUOTIENT((c_TMAXRN-c_TMINRN)*(100-QUOTIENT((K15-c_TRNGMAX)*100,c_TRNGMIN-c_TRNGMAX)),-10),0))</f>
        <v>-350</v>
      </c>
      <c r="M15" s="7" t="n">
        <f aca="false">IF(((c_TMAP1IN)-(c_TFWD))=0,(0)+QUOTIENT(((c_TMAP1OUT)-(0)),2),QUOTIENT((((K15)-(c_TFWD))*((c_TMAP1OUT)-(0))+IF(((c_TMAP1OUT)-(0))&gt;=0,1,-1)*QUOTIENT(((c_TMAP1IN)-(c_TFWD)),2)),((c_TMAP1IN)-(c_TFWD)))+(0)+IF(((c_TMAP1OUT)-(0))&gt;=0,IF(IF(o_WRAP=1,MOD(((c_TMAP1IN)-(c_TFWD))*(((K15)-(c_TFWD))*((c_TMAP1OUT)-(0))+IF(((c_TMAP1OUT)-(0))&gt;=0,1,-1)*QUOTIENT(((c_TMAP1IN)-(c_TFWD)),2))+2147483648,4294967296)-2147483648,((c_TMAP1IN)-(c_TFWD))*(((K15)-(c_TFWD))*((c_TMAP1OUT)-(0))+IF(((c_TMAP1OUT)-(0))&gt;=0,1,-1)*QUOTIENT(((c_TMAP1IN)-(c_TFWD)),2)))&lt;0,-1,0),IF(IF(o_WRAP=1,MOD(((c_TMAP1IN)-(c_TFWD))*(((K15)-(c_TFWD))*((c_TMAP1OUT)-(0))+IF(((c_TMAP1OUT)-(0))&gt;=0,1,-1)*QUOTIENT(((c_TMAP1IN)-(c_TFWD)),2))+2147483648,4294967296)-2147483648,((c_TMAP1IN)-(c_TFWD))*(((K15)-(c_TFWD))*((c_TMAP1OUT)-(0))+IF(((c_TMAP1OUT)-(0))&gt;=0,1,-1)*QUOTIENT(((c_TMAP1IN)-(c_TFWD)),2)))&gt;=0,1,0)))</f>
        <v>-8</v>
      </c>
      <c r="N15" s="7" t="n">
        <f aca="false">IF(((c_TMAP2IN)-(c_TMAP1IN))=0,(c_TMAP1OUT)+QUOTIENT(((c_TMAP2OUT)-(c_TMAP1OUT)),2),QUOTIENT((((K15)-(c_TMAP1IN))*((c_TMAP2OUT)-(c_TMAP1OUT))+IF(((c_TMAP2OUT)-(c_TMAP1OUT))&gt;=0,1,-1)*QUOTIENT(((c_TMAP2IN)-(c_TMAP1IN)),2)),((c_TMAP2IN)-(c_TMAP1IN)))+(c_TMAP1OUT)+IF(((c_TMAP2OUT)-(c_TMAP1OUT))&gt;=0,IF(IF(o_WRAP=1,MOD(((c_TMAP2IN)-(c_TMAP1IN))*(((K15)-(c_TMAP1IN))*((c_TMAP2OUT)-(c_TMAP1OUT))+IF(((c_TMAP2OUT)-(c_TMAP1OUT))&gt;=0,1,-1)*QUOTIENT(((c_TMAP2IN)-(c_TMAP1IN)),2))+2147483648,4294967296)-2147483648,((c_TMAP2IN)-(c_TMAP1IN))*(((K15)-(c_TMAP1IN))*((c_TMAP2OUT)-(c_TMAP1OUT))+IF(((c_TMAP2OUT)-(c_TMAP1OUT))&gt;=0,1,-1)*QUOTIENT(((c_TMAP2IN)-(c_TMAP1IN)),2)))&lt;0,-1,0),IF(IF(o_WRAP=1,MOD(((c_TMAP2IN)-(c_TMAP1IN))*(((K15)-(c_TMAP1IN))*((c_TMAP2OUT)-(c_TMAP1OUT))+IF(((c_TMAP2OUT)-(c_TMAP1OUT))&gt;=0,1,-1)*QUOTIENT(((c_TMAP2IN)-(c_TMAP1IN)),2))+2147483648,4294967296)-2147483648,((c_TMAP2IN)-(c_TMAP1IN))*(((K15)-(c_TMAP1IN))*((c_TMAP2OUT)-(c_TMAP1OUT))+IF(((c_TMAP2OUT)-(c_TMAP1OUT))&gt;=0,1,-1)*QUOTIENT(((c_TMAP2IN)-(c_TMAP1IN)),2)))&gt;=0,1,0)))</f>
        <v>30</v>
      </c>
      <c r="O15" s="7" t="n">
        <f aca="false">IF(((c_TMAP3IN)-(c_TMAP2IN))=0,(c_TMAP2OUT)+QUOTIENT(((c_TMAP3OUT)-(c_TMAP2OUT)),2),QUOTIENT((((K15)-(c_TMAP2IN))*((c_TMAP3OUT)-(c_TMAP2OUT))+IF(((c_TMAP3OUT)-(c_TMAP2OUT))&gt;=0,1,-1)*QUOTIENT(((c_TMAP3IN)-(c_TMAP2IN)),2)),((c_TMAP3IN)-(c_TMAP2IN)))+(c_TMAP2OUT)+IF(((c_TMAP3OUT)-(c_TMAP2OUT))&gt;=0,IF(IF(o_WRAP=1,MOD(((c_TMAP3IN)-(c_TMAP2IN))*(((K15)-(c_TMAP2IN))*((c_TMAP3OUT)-(c_TMAP2OUT))+IF(((c_TMAP3OUT)-(c_TMAP2OUT))&gt;=0,1,-1)*QUOTIENT(((c_TMAP3IN)-(c_TMAP2IN)),2))+2147483648,4294967296)-2147483648,((c_TMAP3IN)-(c_TMAP2IN))*(((K15)-(c_TMAP2IN))*((c_TMAP3OUT)-(c_TMAP2OUT))+IF(((c_TMAP3OUT)-(c_TMAP2OUT))&gt;=0,1,-1)*QUOTIENT(((c_TMAP3IN)-(c_TMAP2IN)),2)))&lt;0,-1,0),IF(IF(o_WRAP=1,MOD(((c_TMAP3IN)-(c_TMAP2IN))*(((K15)-(c_TMAP2IN))*((c_TMAP3OUT)-(c_TMAP2OUT))+IF(((c_TMAP3OUT)-(c_TMAP2OUT))&gt;=0,1,-1)*QUOTIENT(((c_TMAP3IN)-(c_TMAP2IN)),2))+2147483648,4294967296)-2147483648,((c_TMAP3IN)-(c_TMAP2IN))*(((K15)-(c_TMAP2IN))*((c_TMAP3OUT)-(c_TMAP2OUT))+IF(((c_TMAP3OUT)-(c_TMAP2OUT))&gt;=0,1,-1)*QUOTIENT(((c_TMAP3IN)-(c_TMAP2IN)),2)))&gt;=0,1,0)))</f>
        <v>-45</v>
      </c>
      <c r="P15" s="7" t="n">
        <f aca="false">IF(((1000)-(c_TMAP3IN))=0,(c_TMAP3OUT)+QUOTIENT(((1000)-(c_TMAP3OUT)),2),QUOTIENT((((K15)-(c_TMAP3IN))*((1000)-(c_TMAP3OUT))+IF(((1000)-(c_TMAP3OUT))&gt;=0,1,-1)*QUOTIENT(((1000)-(c_TMAP3IN)),2)),((1000)-(c_TMAP3IN)))+(c_TMAP3OUT)+IF(((1000)-(c_TMAP3OUT))&gt;=0,IF(IF(o_WRAP=1,MOD(((1000)-(c_TMAP3IN))*(((K15)-(c_TMAP3IN))*((1000)-(c_TMAP3OUT))+IF(((1000)-(c_TMAP3OUT))&gt;=0,1,-1)*QUOTIENT(((1000)-(c_TMAP3IN)),2))+2147483648,4294967296)-2147483648,((1000)-(c_TMAP3IN))*(((K15)-(c_TMAP3IN))*((1000)-(c_TMAP3OUT))+IF(((1000)-(c_TMAP3OUT))&gt;=0,1,-1)*QUOTIENT(((1000)-(c_TMAP3IN)),2)))&lt;0,-1,0),IF(IF(o_WRAP=1,MOD(((1000)-(c_TMAP3IN))*(((K15)-(c_TMAP3IN))*((1000)-(c_TMAP3OUT))+IF(((1000)-(c_TMAP3OUT))&gt;=0,1,-1)*QUOTIENT(((1000)-(c_TMAP3IN)),2))+2147483648,4294967296)-2147483648,((1000)-(c_TMAP3IN))*(((K15)-(c_TMAP3IN))*((1000)-(c_TMAP3OUT))+IF(((1000)-(c_TMAP3OUT))&gt;=0,1,-1)*QUOTIENT(((1000)-(c_TMAP3IN)),2)))&gt;=0,1,0)))</f>
        <v>-231</v>
      </c>
      <c r="Q15" s="7" t="str">
        <f aca="false">IF(K15&gt;=c_TFWD,IF(AND(K15&gt;=c_TMAP3IN,c_TMAP3IN&lt;1000),"Seg4 map3-100%",IF(AND(K15&gt;=c_TMAP2IN,c_TMAP3IN&gt;c_TMAP2IN),"Seg3 map2-map3",IF(AND(K15&gt;=c_TMAP1IN,c_TMAP2IN&gt;c_TMAP1IN),"Seg2 map1-map2","Seg1 TFWD-map1"))),IF(AND(K15=0,c_TCREEP&gt;0),"Creep",IF(AND(K15&lt;=c_TRNGMIN,K15&gt;=c_TRNGMAX,c_TRNGMIN-c_TRNGMAX&lt;&gt;0),"Regen ramp","Coast (0)")))</f>
        <v>Regen ramp</v>
      </c>
      <c r="R15" s="7" t="n">
        <f aca="false">IF(K15&gt;=c_TFWD,IF(AND(K15&gt;=c_TMAP3IN,c_TMAP3IN&lt;1000),P15,IF(AND(K15&gt;=c_TMAP2IN,c_TMAP3IN&gt;c_TMAP2IN),O15,IF(AND(K15&gt;=c_TMAP1IN,c_TMAP2IN&gt;c_TMAP1IN),N15,M15))),L15)</f>
        <v>-350</v>
      </c>
      <c r="S15" s="7" t="str">
        <f aca="false">IF(R15&lt;-1090,"TOO LOW",IF(R15&gt;1090,"TOO HIGH",""))</f>
        <v/>
      </c>
      <c r="T15" s="15" t="n">
        <f aca="false">IF(H15&lt;&gt;"OK",0,IF(S15&lt;&gt;"",0,IF(R15&gt;979,1000,R15)))</f>
        <v>0</v>
      </c>
      <c r="U15" s="7" t="n">
        <f aca="false">T15/10</f>
        <v>0</v>
      </c>
    </row>
    <row r="16" customFormat="false" ht="15" hidden="false" customHeight="false" outlineLevel="0" collapsed="false">
      <c r="A16" s="7" t="n">
        <v>11</v>
      </c>
      <c r="B16" s="7" t="n">
        <f aca="false">ROUND(o_SWSTART+A16*(o_SWEND-o_SWSTART)/400,0)</f>
        <v>113</v>
      </c>
      <c r="C16" s="7" t="n">
        <f aca="false">QUOTIENT((B16-c_OFF1)*c_GAIN1,1024)</f>
        <v>113</v>
      </c>
      <c r="D16" s="7" t="n">
        <f aca="false">IF(((c_T1MX)-(c_T1MN))=0,(0)+QUOTIENT(((1000)-(0)),2),QUOTIENT((((C16)-(c_T1MN))*((1000)-(0))+IF(((1000)-(0))&gt;=0,1,-1)*QUOTIENT(((c_T1MX)-(c_T1MN)),2)),((c_T1MX)-(c_T1MN)))+(0)+IF(((1000)-(0))&gt;=0,IF(IF(o_WRAP=1,MOD(((c_T1MX)-(c_T1MN))*(((C16)-(c_T1MN))*((1000)-(0))+IF(((1000)-(0))&gt;=0,1,-1)*QUOTIENT(((c_T1MX)-(c_T1MN)),2))+2147483648,4294967296)-2147483648,((c_T1MX)-(c_T1MN))*(((C16)-(c_T1MN))*((1000)-(0))+IF(((1000)-(0))&gt;=0,1,-1)*QUOTIENT(((c_T1MX)-(c_T1MN)),2)))&lt;0,-1,0),IF(IF(o_WRAP=1,MOD(((c_T1MX)-(c_T1MN))*(((C16)-(c_T1MN))*((1000)-(0))+IF(((1000)-(0))&gt;=0,1,-1)*QUOTIENT(((c_T1MX)-(c_T1MN)),2))+2147483648,4294967296)-2147483648,((c_T1MX)-(c_T1MN))*(((C16)-(c_T1MN))*((1000)-(0))+IF(((1000)-(0))&gt;=0,1,-1)*QUOTIENT(((c_T1MX)-(c_T1MN)),2)))&gt;=0,1,0)))</f>
        <v>-218</v>
      </c>
      <c r="E16" s="7" t="n">
        <f aca="false">IF(AND(c_TPOT=1,c_TTYPE=2),1000-D16,D16)</f>
        <v>-218</v>
      </c>
      <c r="F16" s="7" t="str">
        <f aca="false">IF(c_TPOT&gt;1,ROUND(IF(c_TTYPE=2,c_T2MX-IF(c_T1MX=c_T1MN,0,(C16-c_T1MN)/(c_T1MX-c_T1MN))*(c_T2MX-c_T2MN),c_T2MN+IF(c_T1MX=c_T1MN,0,(C16-c_T1MN)/(c_T1MX-c_T1MN))*(c_T2MX-c_T2MN))+o_MISMATCH,0),"")</f>
        <v/>
      </c>
      <c r="G16" s="7" t="str">
        <f aca="false">IF(c_TPOT&gt;1,IF(((c_T2MX)-(c_T2MN))=0,(0)+QUOTIENT(((1000)-(0)),2),QUOTIENT((((F16)-(c_T2MN))*((1000)-(0))+IF(((1000)-(0))&gt;=0,1,-1)*QUOTIENT(((c_T2MX)-(c_T2MN)),2)),((c_T2MX)-(c_T2MN)))+(0)+IF(((1000)-(0))&gt;=0,IF(IF(o_WRAP=1,MOD(((c_T2MX)-(c_T2MN))*(((F16)-(c_T2MN))*((1000)-(0))+IF(((1000)-(0))&gt;=0,1,-1)*QUOTIENT(((c_T2MX)-(c_T2MN)),2))+2147483648,4294967296)-2147483648,((c_T2MX)-(c_T2MN))*(((F16)-(c_T2MN))*((1000)-(0))+IF(((1000)-(0))&gt;=0,1,-1)*QUOTIENT(((c_T2MX)-(c_T2MN)),2)))&lt;0,-1,0),IF(IF(o_WRAP=1,MOD(((c_T2MX)-(c_T2MN))*(((F16)-(c_T2MN))*((1000)-(0))+IF(((1000)-(0))&gt;=0,1,-1)*QUOTIENT(((c_T2MX)-(c_T2MN)),2))+2147483648,4294967296)-2147483648,((c_T2MX)-(c_T2MN))*(((F16)-(c_T2MN))*((1000)-(0))+IF(((1000)-(0))&gt;=0,1,-1)*QUOTIENT(((c_T2MX)-(c_T2MN)),2)))&gt;=0,1,0))),"")</f>
        <v/>
      </c>
      <c r="H16" s="7" t="str">
        <f aca="false">IF(E16&gt;1000+k_TOL,"T1 HIGH",IF(E16&lt;0-k_TOL,"T1 LOW",IF(c_TPOT&gt;1,IF(G16&gt;1000+k_TOL,"T2 HIGH",IF(G16&lt;0-k_TOL,"T2 LOW",IF(c_TTYPE=2,IF(ABS(1000-MAX(0,MIN(1000,E16))-MAX(0,MIN(1000,G16)))&gt;k_MAXERR,"MISMATCH","OK"),IF(OR(MAX(0,MIN(1000,E16))-k_MAXERR&gt;MAX(0,MIN(1000,G16)),MAX(0,MIN(1000,G16))-k_MAXERR&gt;MAX(0,MIN(1000,E16))),"MISMATCH","OK")))),"OK")))</f>
        <v>T1 LOW</v>
      </c>
      <c r="I16" s="7" t="n">
        <f aca="false">MAX(0,MIN(1000,D16))</f>
        <v>0</v>
      </c>
      <c r="J16" s="7" t="str">
        <f aca="false">IF(c_TPOT&gt;1,IF(c_TTYPE=2,1000-MAX(0,MIN(1000,G16)),MAX(0,MIN(1000,G16))),"")</f>
        <v/>
      </c>
      <c r="K16" s="7" t="n">
        <f aca="false">IF(c_TPOT&gt;1,QUOTIENT(I16+J16,2),I16)</f>
        <v>0</v>
      </c>
      <c r="L16" s="7" t="n">
        <f aca="false">IF(AND(K16=0,c_TCREEP&gt;0),10*c_TCREEP,IF(AND(K16&lt;=c_TRNGMIN,K16&gt;=c_TRNGMAX,c_TRNGMIN-c_TRNGMAX&lt;&gt;0),-10*c_TMINRN+QUOTIENT((c_TMAXRN-c_TMINRN)*(100-QUOTIENT((K16-c_TRNGMAX)*100,c_TRNGMIN-c_TRNGMAX)),-10),0))</f>
        <v>-350</v>
      </c>
      <c r="M16" s="7" t="n">
        <f aca="false">IF(((c_TMAP1IN)-(c_TFWD))=0,(0)+QUOTIENT(((c_TMAP1OUT)-(0)),2),QUOTIENT((((K16)-(c_TFWD))*((c_TMAP1OUT)-(0))+IF(((c_TMAP1OUT)-(0))&gt;=0,1,-1)*QUOTIENT(((c_TMAP1IN)-(c_TFWD)),2)),((c_TMAP1IN)-(c_TFWD)))+(0)+IF(((c_TMAP1OUT)-(0))&gt;=0,IF(IF(o_WRAP=1,MOD(((c_TMAP1IN)-(c_TFWD))*(((K16)-(c_TFWD))*((c_TMAP1OUT)-(0))+IF(((c_TMAP1OUT)-(0))&gt;=0,1,-1)*QUOTIENT(((c_TMAP1IN)-(c_TFWD)),2))+2147483648,4294967296)-2147483648,((c_TMAP1IN)-(c_TFWD))*(((K16)-(c_TFWD))*((c_TMAP1OUT)-(0))+IF(((c_TMAP1OUT)-(0))&gt;=0,1,-1)*QUOTIENT(((c_TMAP1IN)-(c_TFWD)),2)))&lt;0,-1,0),IF(IF(o_WRAP=1,MOD(((c_TMAP1IN)-(c_TFWD))*(((K16)-(c_TFWD))*((c_TMAP1OUT)-(0))+IF(((c_TMAP1OUT)-(0))&gt;=0,1,-1)*QUOTIENT(((c_TMAP1IN)-(c_TFWD)),2))+2147483648,4294967296)-2147483648,((c_TMAP1IN)-(c_TFWD))*(((K16)-(c_TFWD))*((c_TMAP1OUT)-(0))+IF(((c_TMAP1OUT)-(0))&gt;=0,1,-1)*QUOTIENT(((c_TMAP1IN)-(c_TFWD)),2)))&gt;=0,1,0)))</f>
        <v>-8</v>
      </c>
      <c r="N16" s="7" t="n">
        <f aca="false">IF(((c_TMAP2IN)-(c_TMAP1IN))=0,(c_TMAP1OUT)+QUOTIENT(((c_TMAP2OUT)-(c_TMAP1OUT)),2),QUOTIENT((((K16)-(c_TMAP1IN))*((c_TMAP2OUT)-(c_TMAP1OUT))+IF(((c_TMAP2OUT)-(c_TMAP1OUT))&gt;=0,1,-1)*QUOTIENT(((c_TMAP2IN)-(c_TMAP1IN)),2)),((c_TMAP2IN)-(c_TMAP1IN)))+(c_TMAP1OUT)+IF(((c_TMAP2OUT)-(c_TMAP1OUT))&gt;=0,IF(IF(o_WRAP=1,MOD(((c_TMAP2IN)-(c_TMAP1IN))*(((K16)-(c_TMAP1IN))*((c_TMAP2OUT)-(c_TMAP1OUT))+IF(((c_TMAP2OUT)-(c_TMAP1OUT))&gt;=0,1,-1)*QUOTIENT(((c_TMAP2IN)-(c_TMAP1IN)),2))+2147483648,4294967296)-2147483648,((c_TMAP2IN)-(c_TMAP1IN))*(((K16)-(c_TMAP1IN))*((c_TMAP2OUT)-(c_TMAP1OUT))+IF(((c_TMAP2OUT)-(c_TMAP1OUT))&gt;=0,1,-1)*QUOTIENT(((c_TMAP2IN)-(c_TMAP1IN)),2)))&lt;0,-1,0),IF(IF(o_WRAP=1,MOD(((c_TMAP2IN)-(c_TMAP1IN))*(((K16)-(c_TMAP1IN))*((c_TMAP2OUT)-(c_TMAP1OUT))+IF(((c_TMAP2OUT)-(c_TMAP1OUT))&gt;=0,1,-1)*QUOTIENT(((c_TMAP2IN)-(c_TMAP1IN)),2))+2147483648,4294967296)-2147483648,((c_TMAP2IN)-(c_TMAP1IN))*(((K16)-(c_TMAP1IN))*((c_TMAP2OUT)-(c_TMAP1OUT))+IF(((c_TMAP2OUT)-(c_TMAP1OUT))&gt;=0,1,-1)*QUOTIENT(((c_TMAP2IN)-(c_TMAP1IN)),2)))&gt;=0,1,0)))</f>
        <v>30</v>
      </c>
      <c r="O16" s="7" t="n">
        <f aca="false">IF(((c_TMAP3IN)-(c_TMAP2IN))=0,(c_TMAP2OUT)+QUOTIENT(((c_TMAP3OUT)-(c_TMAP2OUT)),2),QUOTIENT((((K16)-(c_TMAP2IN))*((c_TMAP3OUT)-(c_TMAP2OUT))+IF(((c_TMAP3OUT)-(c_TMAP2OUT))&gt;=0,1,-1)*QUOTIENT(((c_TMAP3IN)-(c_TMAP2IN)),2)),((c_TMAP3IN)-(c_TMAP2IN)))+(c_TMAP2OUT)+IF(((c_TMAP3OUT)-(c_TMAP2OUT))&gt;=0,IF(IF(o_WRAP=1,MOD(((c_TMAP3IN)-(c_TMAP2IN))*(((K16)-(c_TMAP2IN))*((c_TMAP3OUT)-(c_TMAP2OUT))+IF(((c_TMAP3OUT)-(c_TMAP2OUT))&gt;=0,1,-1)*QUOTIENT(((c_TMAP3IN)-(c_TMAP2IN)),2))+2147483648,4294967296)-2147483648,((c_TMAP3IN)-(c_TMAP2IN))*(((K16)-(c_TMAP2IN))*((c_TMAP3OUT)-(c_TMAP2OUT))+IF(((c_TMAP3OUT)-(c_TMAP2OUT))&gt;=0,1,-1)*QUOTIENT(((c_TMAP3IN)-(c_TMAP2IN)),2)))&lt;0,-1,0),IF(IF(o_WRAP=1,MOD(((c_TMAP3IN)-(c_TMAP2IN))*(((K16)-(c_TMAP2IN))*((c_TMAP3OUT)-(c_TMAP2OUT))+IF(((c_TMAP3OUT)-(c_TMAP2OUT))&gt;=0,1,-1)*QUOTIENT(((c_TMAP3IN)-(c_TMAP2IN)),2))+2147483648,4294967296)-2147483648,((c_TMAP3IN)-(c_TMAP2IN))*(((K16)-(c_TMAP2IN))*((c_TMAP3OUT)-(c_TMAP2OUT))+IF(((c_TMAP3OUT)-(c_TMAP2OUT))&gt;=0,1,-1)*QUOTIENT(((c_TMAP3IN)-(c_TMAP2IN)),2)))&gt;=0,1,0)))</f>
        <v>-45</v>
      </c>
      <c r="P16" s="7" t="n">
        <f aca="false">IF(((1000)-(c_TMAP3IN))=0,(c_TMAP3OUT)+QUOTIENT(((1000)-(c_TMAP3OUT)),2),QUOTIENT((((K16)-(c_TMAP3IN))*((1000)-(c_TMAP3OUT))+IF(((1000)-(c_TMAP3OUT))&gt;=0,1,-1)*QUOTIENT(((1000)-(c_TMAP3IN)),2)),((1000)-(c_TMAP3IN)))+(c_TMAP3OUT)+IF(((1000)-(c_TMAP3OUT))&gt;=0,IF(IF(o_WRAP=1,MOD(((1000)-(c_TMAP3IN))*(((K16)-(c_TMAP3IN))*((1000)-(c_TMAP3OUT))+IF(((1000)-(c_TMAP3OUT))&gt;=0,1,-1)*QUOTIENT(((1000)-(c_TMAP3IN)),2))+2147483648,4294967296)-2147483648,((1000)-(c_TMAP3IN))*(((K16)-(c_TMAP3IN))*((1000)-(c_TMAP3OUT))+IF(((1000)-(c_TMAP3OUT))&gt;=0,1,-1)*QUOTIENT(((1000)-(c_TMAP3IN)),2)))&lt;0,-1,0),IF(IF(o_WRAP=1,MOD(((1000)-(c_TMAP3IN))*(((K16)-(c_TMAP3IN))*((1000)-(c_TMAP3OUT))+IF(((1000)-(c_TMAP3OUT))&gt;=0,1,-1)*QUOTIENT(((1000)-(c_TMAP3IN)),2))+2147483648,4294967296)-2147483648,((1000)-(c_TMAP3IN))*(((K16)-(c_TMAP3IN))*((1000)-(c_TMAP3OUT))+IF(((1000)-(c_TMAP3OUT))&gt;=0,1,-1)*QUOTIENT(((1000)-(c_TMAP3IN)),2)))&gt;=0,1,0)))</f>
        <v>-231</v>
      </c>
      <c r="Q16" s="7" t="str">
        <f aca="false">IF(K16&gt;=c_TFWD,IF(AND(K16&gt;=c_TMAP3IN,c_TMAP3IN&lt;1000),"Seg4 map3-100%",IF(AND(K16&gt;=c_TMAP2IN,c_TMAP3IN&gt;c_TMAP2IN),"Seg3 map2-map3",IF(AND(K16&gt;=c_TMAP1IN,c_TMAP2IN&gt;c_TMAP1IN),"Seg2 map1-map2","Seg1 TFWD-map1"))),IF(AND(K16=0,c_TCREEP&gt;0),"Creep",IF(AND(K16&lt;=c_TRNGMIN,K16&gt;=c_TRNGMAX,c_TRNGMIN-c_TRNGMAX&lt;&gt;0),"Regen ramp","Coast (0)")))</f>
        <v>Regen ramp</v>
      </c>
      <c r="R16" s="7" t="n">
        <f aca="false">IF(K16&gt;=c_TFWD,IF(AND(K16&gt;=c_TMAP3IN,c_TMAP3IN&lt;1000),P16,IF(AND(K16&gt;=c_TMAP2IN,c_TMAP3IN&gt;c_TMAP2IN),O16,IF(AND(K16&gt;=c_TMAP1IN,c_TMAP2IN&gt;c_TMAP1IN),N16,M16))),L16)</f>
        <v>-350</v>
      </c>
      <c r="S16" s="7" t="str">
        <f aca="false">IF(R16&lt;-1090,"TOO LOW",IF(R16&gt;1090,"TOO HIGH",""))</f>
        <v/>
      </c>
      <c r="T16" s="15" t="n">
        <f aca="false">IF(H16&lt;&gt;"OK",0,IF(S16&lt;&gt;"",0,IF(R16&gt;979,1000,R16)))</f>
        <v>0</v>
      </c>
      <c r="U16" s="7" t="n">
        <f aca="false">T16/10</f>
        <v>0</v>
      </c>
    </row>
    <row r="17" customFormat="false" ht="15" hidden="false" customHeight="false" outlineLevel="0" collapsed="false">
      <c r="A17" s="7" t="n">
        <v>12</v>
      </c>
      <c r="B17" s="7" t="n">
        <f aca="false">ROUND(o_SWSTART+A17*(o_SWEND-o_SWSTART)/400,0)</f>
        <v>123</v>
      </c>
      <c r="C17" s="7" t="n">
        <f aca="false">QUOTIENT((B17-c_OFF1)*c_GAIN1,1024)</f>
        <v>123</v>
      </c>
      <c r="D17" s="7" t="n">
        <f aca="false">IF(((c_T1MX)-(c_T1MN))=0,(0)+QUOTIENT(((1000)-(0)),2),QUOTIENT((((C17)-(c_T1MN))*((1000)-(0))+IF(((1000)-(0))&gt;=0,1,-1)*QUOTIENT(((c_T1MX)-(c_T1MN)),2)),((c_T1MX)-(c_T1MN)))+(0)+IF(((1000)-(0))&gt;=0,IF(IF(o_WRAP=1,MOD(((c_T1MX)-(c_T1MN))*(((C17)-(c_T1MN))*((1000)-(0))+IF(((1000)-(0))&gt;=0,1,-1)*QUOTIENT(((c_T1MX)-(c_T1MN)),2))+2147483648,4294967296)-2147483648,((c_T1MX)-(c_T1MN))*(((C17)-(c_T1MN))*((1000)-(0))+IF(((1000)-(0))&gt;=0,1,-1)*QUOTIENT(((c_T1MX)-(c_T1MN)),2)))&lt;0,-1,0),IF(IF(o_WRAP=1,MOD(((c_T1MX)-(c_T1MN))*(((C17)-(c_T1MN))*((1000)-(0))+IF(((1000)-(0))&gt;=0,1,-1)*QUOTIENT(((c_T1MX)-(c_T1MN)),2))+2147483648,4294967296)-2147483648,((c_T1MX)-(c_T1MN))*(((C17)-(c_T1MN))*((1000)-(0))+IF(((1000)-(0))&gt;=0,1,-1)*QUOTIENT(((c_T1MX)-(c_T1MN)),2)))&gt;=0,1,0)))</f>
        <v>-214</v>
      </c>
      <c r="E17" s="7" t="n">
        <f aca="false">IF(AND(c_TPOT=1,c_TTYPE=2),1000-D17,D17)</f>
        <v>-214</v>
      </c>
      <c r="F17" s="7" t="str">
        <f aca="false">IF(c_TPOT&gt;1,ROUND(IF(c_TTYPE=2,c_T2MX-IF(c_T1MX=c_T1MN,0,(C17-c_T1MN)/(c_T1MX-c_T1MN))*(c_T2MX-c_T2MN),c_T2MN+IF(c_T1MX=c_T1MN,0,(C17-c_T1MN)/(c_T1MX-c_T1MN))*(c_T2MX-c_T2MN))+o_MISMATCH,0),"")</f>
        <v/>
      </c>
      <c r="G17" s="7" t="str">
        <f aca="false">IF(c_TPOT&gt;1,IF(((c_T2MX)-(c_T2MN))=0,(0)+QUOTIENT(((1000)-(0)),2),QUOTIENT((((F17)-(c_T2MN))*((1000)-(0))+IF(((1000)-(0))&gt;=0,1,-1)*QUOTIENT(((c_T2MX)-(c_T2MN)),2)),((c_T2MX)-(c_T2MN)))+(0)+IF(((1000)-(0))&gt;=0,IF(IF(o_WRAP=1,MOD(((c_T2MX)-(c_T2MN))*(((F17)-(c_T2MN))*((1000)-(0))+IF(((1000)-(0))&gt;=0,1,-1)*QUOTIENT(((c_T2MX)-(c_T2MN)),2))+2147483648,4294967296)-2147483648,((c_T2MX)-(c_T2MN))*(((F17)-(c_T2MN))*((1000)-(0))+IF(((1000)-(0))&gt;=0,1,-1)*QUOTIENT(((c_T2MX)-(c_T2MN)),2)))&lt;0,-1,0),IF(IF(o_WRAP=1,MOD(((c_T2MX)-(c_T2MN))*(((F17)-(c_T2MN))*((1000)-(0))+IF(((1000)-(0))&gt;=0,1,-1)*QUOTIENT(((c_T2MX)-(c_T2MN)),2))+2147483648,4294967296)-2147483648,((c_T2MX)-(c_T2MN))*(((F17)-(c_T2MN))*((1000)-(0))+IF(((1000)-(0))&gt;=0,1,-1)*QUOTIENT(((c_T2MX)-(c_T2MN)),2)))&gt;=0,1,0))),"")</f>
        <v/>
      </c>
      <c r="H17" s="7" t="str">
        <f aca="false">IF(E17&gt;1000+k_TOL,"T1 HIGH",IF(E17&lt;0-k_TOL,"T1 LOW",IF(c_TPOT&gt;1,IF(G17&gt;1000+k_TOL,"T2 HIGH",IF(G17&lt;0-k_TOL,"T2 LOW",IF(c_TTYPE=2,IF(ABS(1000-MAX(0,MIN(1000,E17))-MAX(0,MIN(1000,G17)))&gt;k_MAXERR,"MISMATCH","OK"),IF(OR(MAX(0,MIN(1000,E17))-k_MAXERR&gt;MAX(0,MIN(1000,G17)),MAX(0,MIN(1000,G17))-k_MAXERR&gt;MAX(0,MIN(1000,E17))),"MISMATCH","OK")))),"OK")))</f>
        <v>T1 LOW</v>
      </c>
      <c r="I17" s="7" t="n">
        <f aca="false">MAX(0,MIN(1000,D17))</f>
        <v>0</v>
      </c>
      <c r="J17" s="7" t="str">
        <f aca="false">IF(c_TPOT&gt;1,IF(c_TTYPE=2,1000-MAX(0,MIN(1000,G17)),MAX(0,MIN(1000,G17))),"")</f>
        <v/>
      </c>
      <c r="K17" s="7" t="n">
        <f aca="false">IF(c_TPOT&gt;1,QUOTIENT(I17+J17,2),I17)</f>
        <v>0</v>
      </c>
      <c r="L17" s="7" t="n">
        <f aca="false">IF(AND(K17=0,c_TCREEP&gt;0),10*c_TCREEP,IF(AND(K17&lt;=c_TRNGMIN,K17&gt;=c_TRNGMAX,c_TRNGMIN-c_TRNGMAX&lt;&gt;0),-10*c_TMINRN+QUOTIENT((c_TMAXRN-c_TMINRN)*(100-QUOTIENT((K17-c_TRNGMAX)*100,c_TRNGMIN-c_TRNGMAX)),-10),0))</f>
        <v>-350</v>
      </c>
      <c r="M17" s="7" t="n">
        <f aca="false">IF(((c_TMAP1IN)-(c_TFWD))=0,(0)+QUOTIENT(((c_TMAP1OUT)-(0)),2),QUOTIENT((((K17)-(c_TFWD))*((c_TMAP1OUT)-(0))+IF(((c_TMAP1OUT)-(0))&gt;=0,1,-1)*QUOTIENT(((c_TMAP1IN)-(c_TFWD)),2)),((c_TMAP1IN)-(c_TFWD)))+(0)+IF(((c_TMAP1OUT)-(0))&gt;=0,IF(IF(o_WRAP=1,MOD(((c_TMAP1IN)-(c_TFWD))*(((K17)-(c_TFWD))*((c_TMAP1OUT)-(0))+IF(((c_TMAP1OUT)-(0))&gt;=0,1,-1)*QUOTIENT(((c_TMAP1IN)-(c_TFWD)),2))+2147483648,4294967296)-2147483648,((c_TMAP1IN)-(c_TFWD))*(((K17)-(c_TFWD))*((c_TMAP1OUT)-(0))+IF(((c_TMAP1OUT)-(0))&gt;=0,1,-1)*QUOTIENT(((c_TMAP1IN)-(c_TFWD)),2)))&lt;0,-1,0),IF(IF(o_WRAP=1,MOD(((c_TMAP1IN)-(c_TFWD))*(((K17)-(c_TFWD))*((c_TMAP1OUT)-(0))+IF(((c_TMAP1OUT)-(0))&gt;=0,1,-1)*QUOTIENT(((c_TMAP1IN)-(c_TFWD)),2))+2147483648,4294967296)-2147483648,((c_TMAP1IN)-(c_TFWD))*(((K17)-(c_TFWD))*((c_TMAP1OUT)-(0))+IF(((c_TMAP1OUT)-(0))&gt;=0,1,-1)*QUOTIENT(((c_TMAP1IN)-(c_TFWD)),2)))&gt;=0,1,0)))</f>
        <v>-8</v>
      </c>
      <c r="N17" s="7" t="n">
        <f aca="false">IF(((c_TMAP2IN)-(c_TMAP1IN))=0,(c_TMAP1OUT)+QUOTIENT(((c_TMAP2OUT)-(c_TMAP1OUT)),2),QUOTIENT((((K17)-(c_TMAP1IN))*((c_TMAP2OUT)-(c_TMAP1OUT))+IF(((c_TMAP2OUT)-(c_TMAP1OUT))&gt;=0,1,-1)*QUOTIENT(((c_TMAP2IN)-(c_TMAP1IN)),2)),((c_TMAP2IN)-(c_TMAP1IN)))+(c_TMAP1OUT)+IF(((c_TMAP2OUT)-(c_TMAP1OUT))&gt;=0,IF(IF(o_WRAP=1,MOD(((c_TMAP2IN)-(c_TMAP1IN))*(((K17)-(c_TMAP1IN))*((c_TMAP2OUT)-(c_TMAP1OUT))+IF(((c_TMAP2OUT)-(c_TMAP1OUT))&gt;=0,1,-1)*QUOTIENT(((c_TMAP2IN)-(c_TMAP1IN)),2))+2147483648,4294967296)-2147483648,((c_TMAP2IN)-(c_TMAP1IN))*(((K17)-(c_TMAP1IN))*((c_TMAP2OUT)-(c_TMAP1OUT))+IF(((c_TMAP2OUT)-(c_TMAP1OUT))&gt;=0,1,-1)*QUOTIENT(((c_TMAP2IN)-(c_TMAP1IN)),2)))&lt;0,-1,0),IF(IF(o_WRAP=1,MOD(((c_TMAP2IN)-(c_TMAP1IN))*(((K17)-(c_TMAP1IN))*((c_TMAP2OUT)-(c_TMAP1OUT))+IF(((c_TMAP2OUT)-(c_TMAP1OUT))&gt;=0,1,-1)*QUOTIENT(((c_TMAP2IN)-(c_TMAP1IN)),2))+2147483648,4294967296)-2147483648,((c_TMAP2IN)-(c_TMAP1IN))*(((K17)-(c_TMAP1IN))*((c_TMAP2OUT)-(c_TMAP1OUT))+IF(((c_TMAP2OUT)-(c_TMAP1OUT))&gt;=0,1,-1)*QUOTIENT(((c_TMAP2IN)-(c_TMAP1IN)),2)))&gt;=0,1,0)))</f>
        <v>30</v>
      </c>
      <c r="O17" s="7" t="n">
        <f aca="false">IF(((c_TMAP3IN)-(c_TMAP2IN))=0,(c_TMAP2OUT)+QUOTIENT(((c_TMAP3OUT)-(c_TMAP2OUT)),2),QUOTIENT((((K17)-(c_TMAP2IN))*((c_TMAP3OUT)-(c_TMAP2OUT))+IF(((c_TMAP3OUT)-(c_TMAP2OUT))&gt;=0,1,-1)*QUOTIENT(((c_TMAP3IN)-(c_TMAP2IN)),2)),((c_TMAP3IN)-(c_TMAP2IN)))+(c_TMAP2OUT)+IF(((c_TMAP3OUT)-(c_TMAP2OUT))&gt;=0,IF(IF(o_WRAP=1,MOD(((c_TMAP3IN)-(c_TMAP2IN))*(((K17)-(c_TMAP2IN))*((c_TMAP3OUT)-(c_TMAP2OUT))+IF(((c_TMAP3OUT)-(c_TMAP2OUT))&gt;=0,1,-1)*QUOTIENT(((c_TMAP3IN)-(c_TMAP2IN)),2))+2147483648,4294967296)-2147483648,((c_TMAP3IN)-(c_TMAP2IN))*(((K17)-(c_TMAP2IN))*((c_TMAP3OUT)-(c_TMAP2OUT))+IF(((c_TMAP3OUT)-(c_TMAP2OUT))&gt;=0,1,-1)*QUOTIENT(((c_TMAP3IN)-(c_TMAP2IN)),2)))&lt;0,-1,0),IF(IF(o_WRAP=1,MOD(((c_TMAP3IN)-(c_TMAP2IN))*(((K17)-(c_TMAP2IN))*((c_TMAP3OUT)-(c_TMAP2OUT))+IF(((c_TMAP3OUT)-(c_TMAP2OUT))&gt;=0,1,-1)*QUOTIENT(((c_TMAP3IN)-(c_TMAP2IN)),2))+2147483648,4294967296)-2147483648,((c_TMAP3IN)-(c_TMAP2IN))*(((K17)-(c_TMAP2IN))*((c_TMAP3OUT)-(c_TMAP2OUT))+IF(((c_TMAP3OUT)-(c_TMAP2OUT))&gt;=0,1,-1)*QUOTIENT(((c_TMAP3IN)-(c_TMAP2IN)),2)))&gt;=0,1,0)))</f>
        <v>-45</v>
      </c>
      <c r="P17" s="7" t="n">
        <f aca="false">IF(((1000)-(c_TMAP3IN))=0,(c_TMAP3OUT)+QUOTIENT(((1000)-(c_TMAP3OUT)),2),QUOTIENT((((K17)-(c_TMAP3IN))*((1000)-(c_TMAP3OUT))+IF(((1000)-(c_TMAP3OUT))&gt;=0,1,-1)*QUOTIENT(((1000)-(c_TMAP3IN)),2)),((1000)-(c_TMAP3IN)))+(c_TMAP3OUT)+IF(((1000)-(c_TMAP3OUT))&gt;=0,IF(IF(o_WRAP=1,MOD(((1000)-(c_TMAP3IN))*(((K17)-(c_TMAP3IN))*((1000)-(c_TMAP3OUT))+IF(((1000)-(c_TMAP3OUT))&gt;=0,1,-1)*QUOTIENT(((1000)-(c_TMAP3IN)),2))+2147483648,4294967296)-2147483648,((1000)-(c_TMAP3IN))*(((K17)-(c_TMAP3IN))*((1000)-(c_TMAP3OUT))+IF(((1000)-(c_TMAP3OUT))&gt;=0,1,-1)*QUOTIENT(((1000)-(c_TMAP3IN)),2)))&lt;0,-1,0),IF(IF(o_WRAP=1,MOD(((1000)-(c_TMAP3IN))*(((K17)-(c_TMAP3IN))*((1000)-(c_TMAP3OUT))+IF(((1000)-(c_TMAP3OUT))&gt;=0,1,-1)*QUOTIENT(((1000)-(c_TMAP3IN)),2))+2147483648,4294967296)-2147483648,((1000)-(c_TMAP3IN))*(((K17)-(c_TMAP3IN))*((1000)-(c_TMAP3OUT))+IF(((1000)-(c_TMAP3OUT))&gt;=0,1,-1)*QUOTIENT(((1000)-(c_TMAP3IN)),2)))&gt;=0,1,0)))</f>
        <v>-231</v>
      </c>
      <c r="Q17" s="7" t="str">
        <f aca="false">IF(K17&gt;=c_TFWD,IF(AND(K17&gt;=c_TMAP3IN,c_TMAP3IN&lt;1000),"Seg4 map3-100%",IF(AND(K17&gt;=c_TMAP2IN,c_TMAP3IN&gt;c_TMAP2IN),"Seg3 map2-map3",IF(AND(K17&gt;=c_TMAP1IN,c_TMAP2IN&gt;c_TMAP1IN),"Seg2 map1-map2","Seg1 TFWD-map1"))),IF(AND(K17=0,c_TCREEP&gt;0),"Creep",IF(AND(K17&lt;=c_TRNGMIN,K17&gt;=c_TRNGMAX,c_TRNGMIN-c_TRNGMAX&lt;&gt;0),"Regen ramp","Coast (0)")))</f>
        <v>Regen ramp</v>
      </c>
      <c r="R17" s="7" t="n">
        <f aca="false">IF(K17&gt;=c_TFWD,IF(AND(K17&gt;=c_TMAP3IN,c_TMAP3IN&lt;1000),P17,IF(AND(K17&gt;=c_TMAP2IN,c_TMAP3IN&gt;c_TMAP2IN),O17,IF(AND(K17&gt;=c_TMAP1IN,c_TMAP2IN&gt;c_TMAP1IN),N17,M17))),L17)</f>
        <v>-350</v>
      </c>
      <c r="S17" s="7" t="str">
        <f aca="false">IF(R17&lt;-1090,"TOO LOW",IF(R17&gt;1090,"TOO HIGH",""))</f>
        <v/>
      </c>
      <c r="T17" s="15" t="n">
        <f aca="false">IF(H17&lt;&gt;"OK",0,IF(S17&lt;&gt;"",0,IF(R17&gt;979,1000,R17)))</f>
        <v>0</v>
      </c>
      <c r="U17" s="7" t="n">
        <f aca="false">T17/10</f>
        <v>0</v>
      </c>
    </row>
    <row r="18" customFormat="false" ht="15" hidden="false" customHeight="false" outlineLevel="0" collapsed="false">
      <c r="A18" s="7" t="n">
        <v>13</v>
      </c>
      <c r="B18" s="7" t="n">
        <f aca="false">ROUND(o_SWSTART+A18*(o_SWEND-o_SWSTART)/400,0)</f>
        <v>133</v>
      </c>
      <c r="C18" s="7" t="n">
        <f aca="false">QUOTIENT((B18-c_OFF1)*c_GAIN1,1024)</f>
        <v>133</v>
      </c>
      <c r="D18" s="7" t="n">
        <f aca="false">IF(((c_T1MX)-(c_T1MN))=0,(0)+QUOTIENT(((1000)-(0)),2),QUOTIENT((((C18)-(c_T1MN))*((1000)-(0))+IF(((1000)-(0))&gt;=0,1,-1)*QUOTIENT(((c_T1MX)-(c_T1MN)),2)),((c_T1MX)-(c_T1MN)))+(0)+IF(((1000)-(0))&gt;=0,IF(IF(o_WRAP=1,MOD(((c_T1MX)-(c_T1MN))*(((C18)-(c_T1MN))*((1000)-(0))+IF(((1000)-(0))&gt;=0,1,-1)*QUOTIENT(((c_T1MX)-(c_T1MN)),2))+2147483648,4294967296)-2147483648,((c_T1MX)-(c_T1MN))*(((C18)-(c_T1MN))*((1000)-(0))+IF(((1000)-(0))&gt;=0,1,-1)*QUOTIENT(((c_T1MX)-(c_T1MN)),2)))&lt;0,-1,0),IF(IF(o_WRAP=1,MOD(((c_T1MX)-(c_T1MN))*(((C18)-(c_T1MN))*((1000)-(0))+IF(((1000)-(0))&gt;=0,1,-1)*QUOTIENT(((c_T1MX)-(c_T1MN)),2))+2147483648,4294967296)-2147483648,((c_T1MX)-(c_T1MN))*(((C18)-(c_T1MN))*((1000)-(0))+IF(((1000)-(0))&gt;=0,1,-1)*QUOTIENT(((c_T1MX)-(c_T1MN)),2)))&gt;=0,1,0)))</f>
        <v>-211</v>
      </c>
      <c r="E18" s="7" t="n">
        <f aca="false">IF(AND(c_TPOT=1,c_TTYPE=2),1000-D18,D18)</f>
        <v>-211</v>
      </c>
      <c r="F18" s="7" t="str">
        <f aca="false">IF(c_TPOT&gt;1,ROUND(IF(c_TTYPE=2,c_T2MX-IF(c_T1MX=c_T1MN,0,(C18-c_T1MN)/(c_T1MX-c_T1MN))*(c_T2MX-c_T2MN),c_T2MN+IF(c_T1MX=c_T1MN,0,(C18-c_T1MN)/(c_T1MX-c_T1MN))*(c_T2MX-c_T2MN))+o_MISMATCH,0),"")</f>
        <v/>
      </c>
      <c r="G18" s="7" t="str">
        <f aca="false">IF(c_TPOT&gt;1,IF(((c_T2MX)-(c_T2MN))=0,(0)+QUOTIENT(((1000)-(0)),2),QUOTIENT((((F18)-(c_T2MN))*((1000)-(0))+IF(((1000)-(0))&gt;=0,1,-1)*QUOTIENT(((c_T2MX)-(c_T2MN)),2)),((c_T2MX)-(c_T2MN)))+(0)+IF(((1000)-(0))&gt;=0,IF(IF(o_WRAP=1,MOD(((c_T2MX)-(c_T2MN))*(((F18)-(c_T2MN))*((1000)-(0))+IF(((1000)-(0))&gt;=0,1,-1)*QUOTIENT(((c_T2MX)-(c_T2MN)),2))+2147483648,4294967296)-2147483648,((c_T2MX)-(c_T2MN))*(((F18)-(c_T2MN))*((1000)-(0))+IF(((1000)-(0))&gt;=0,1,-1)*QUOTIENT(((c_T2MX)-(c_T2MN)),2)))&lt;0,-1,0),IF(IF(o_WRAP=1,MOD(((c_T2MX)-(c_T2MN))*(((F18)-(c_T2MN))*((1000)-(0))+IF(((1000)-(0))&gt;=0,1,-1)*QUOTIENT(((c_T2MX)-(c_T2MN)),2))+2147483648,4294967296)-2147483648,((c_T2MX)-(c_T2MN))*(((F18)-(c_T2MN))*((1000)-(0))+IF(((1000)-(0))&gt;=0,1,-1)*QUOTIENT(((c_T2MX)-(c_T2MN)),2)))&gt;=0,1,0))),"")</f>
        <v/>
      </c>
      <c r="H18" s="7" t="str">
        <f aca="false">IF(E18&gt;1000+k_TOL,"T1 HIGH",IF(E18&lt;0-k_TOL,"T1 LOW",IF(c_TPOT&gt;1,IF(G18&gt;1000+k_TOL,"T2 HIGH",IF(G18&lt;0-k_TOL,"T2 LOW",IF(c_TTYPE=2,IF(ABS(1000-MAX(0,MIN(1000,E18))-MAX(0,MIN(1000,G18)))&gt;k_MAXERR,"MISMATCH","OK"),IF(OR(MAX(0,MIN(1000,E18))-k_MAXERR&gt;MAX(0,MIN(1000,G18)),MAX(0,MIN(1000,G18))-k_MAXERR&gt;MAX(0,MIN(1000,E18))),"MISMATCH","OK")))),"OK")))</f>
        <v>T1 LOW</v>
      </c>
      <c r="I18" s="7" t="n">
        <f aca="false">MAX(0,MIN(1000,D18))</f>
        <v>0</v>
      </c>
      <c r="J18" s="7" t="str">
        <f aca="false">IF(c_TPOT&gt;1,IF(c_TTYPE=2,1000-MAX(0,MIN(1000,G18)),MAX(0,MIN(1000,G18))),"")</f>
        <v/>
      </c>
      <c r="K18" s="7" t="n">
        <f aca="false">IF(c_TPOT&gt;1,QUOTIENT(I18+J18,2),I18)</f>
        <v>0</v>
      </c>
      <c r="L18" s="7" t="n">
        <f aca="false">IF(AND(K18=0,c_TCREEP&gt;0),10*c_TCREEP,IF(AND(K18&lt;=c_TRNGMIN,K18&gt;=c_TRNGMAX,c_TRNGMIN-c_TRNGMAX&lt;&gt;0),-10*c_TMINRN+QUOTIENT((c_TMAXRN-c_TMINRN)*(100-QUOTIENT((K18-c_TRNGMAX)*100,c_TRNGMIN-c_TRNGMAX)),-10),0))</f>
        <v>-350</v>
      </c>
      <c r="M18" s="7" t="n">
        <f aca="false">IF(((c_TMAP1IN)-(c_TFWD))=0,(0)+QUOTIENT(((c_TMAP1OUT)-(0)),2),QUOTIENT((((K18)-(c_TFWD))*((c_TMAP1OUT)-(0))+IF(((c_TMAP1OUT)-(0))&gt;=0,1,-1)*QUOTIENT(((c_TMAP1IN)-(c_TFWD)),2)),((c_TMAP1IN)-(c_TFWD)))+(0)+IF(((c_TMAP1OUT)-(0))&gt;=0,IF(IF(o_WRAP=1,MOD(((c_TMAP1IN)-(c_TFWD))*(((K18)-(c_TFWD))*((c_TMAP1OUT)-(0))+IF(((c_TMAP1OUT)-(0))&gt;=0,1,-1)*QUOTIENT(((c_TMAP1IN)-(c_TFWD)),2))+2147483648,4294967296)-2147483648,((c_TMAP1IN)-(c_TFWD))*(((K18)-(c_TFWD))*((c_TMAP1OUT)-(0))+IF(((c_TMAP1OUT)-(0))&gt;=0,1,-1)*QUOTIENT(((c_TMAP1IN)-(c_TFWD)),2)))&lt;0,-1,0),IF(IF(o_WRAP=1,MOD(((c_TMAP1IN)-(c_TFWD))*(((K18)-(c_TFWD))*((c_TMAP1OUT)-(0))+IF(((c_TMAP1OUT)-(0))&gt;=0,1,-1)*QUOTIENT(((c_TMAP1IN)-(c_TFWD)),2))+2147483648,4294967296)-2147483648,((c_TMAP1IN)-(c_TFWD))*(((K18)-(c_TFWD))*((c_TMAP1OUT)-(0))+IF(((c_TMAP1OUT)-(0))&gt;=0,1,-1)*QUOTIENT(((c_TMAP1IN)-(c_TFWD)),2)))&gt;=0,1,0)))</f>
        <v>-8</v>
      </c>
      <c r="N18" s="7" t="n">
        <f aca="false">IF(((c_TMAP2IN)-(c_TMAP1IN))=0,(c_TMAP1OUT)+QUOTIENT(((c_TMAP2OUT)-(c_TMAP1OUT)),2),QUOTIENT((((K18)-(c_TMAP1IN))*((c_TMAP2OUT)-(c_TMAP1OUT))+IF(((c_TMAP2OUT)-(c_TMAP1OUT))&gt;=0,1,-1)*QUOTIENT(((c_TMAP2IN)-(c_TMAP1IN)),2)),((c_TMAP2IN)-(c_TMAP1IN)))+(c_TMAP1OUT)+IF(((c_TMAP2OUT)-(c_TMAP1OUT))&gt;=0,IF(IF(o_WRAP=1,MOD(((c_TMAP2IN)-(c_TMAP1IN))*(((K18)-(c_TMAP1IN))*((c_TMAP2OUT)-(c_TMAP1OUT))+IF(((c_TMAP2OUT)-(c_TMAP1OUT))&gt;=0,1,-1)*QUOTIENT(((c_TMAP2IN)-(c_TMAP1IN)),2))+2147483648,4294967296)-2147483648,((c_TMAP2IN)-(c_TMAP1IN))*(((K18)-(c_TMAP1IN))*((c_TMAP2OUT)-(c_TMAP1OUT))+IF(((c_TMAP2OUT)-(c_TMAP1OUT))&gt;=0,1,-1)*QUOTIENT(((c_TMAP2IN)-(c_TMAP1IN)),2)))&lt;0,-1,0),IF(IF(o_WRAP=1,MOD(((c_TMAP2IN)-(c_TMAP1IN))*(((K18)-(c_TMAP1IN))*((c_TMAP2OUT)-(c_TMAP1OUT))+IF(((c_TMAP2OUT)-(c_TMAP1OUT))&gt;=0,1,-1)*QUOTIENT(((c_TMAP2IN)-(c_TMAP1IN)),2))+2147483648,4294967296)-2147483648,((c_TMAP2IN)-(c_TMAP1IN))*(((K18)-(c_TMAP1IN))*((c_TMAP2OUT)-(c_TMAP1OUT))+IF(((c_TMAP2OUT)-(c_TMAP1OUT))&gt;=0,1,-1)*QUOTIENT(((c_TMAP2IN)-(c_TMAP1IN)),2)))&gt;=0,1,0)))</f>
        <v>30</v>
      </c>
      <c r="O18" s="7" t="n">
        <f aca="false">IF(((c_TMAP3IN)-(c_TMAP2IN))=0,(c_TMAP2OUT)+QUOTIENT(((c_TMAP3OUT)-(c_TMAP2OUT)),2),QUOTIENT((((K18)-(c_TMAP2IN))*((c_TMAP3OUT)-(c_TMAP2OUT))+IF(((c_TMAP3OUT)-(c_TMAP2OUT))&gt;=0,1,-1)*QUOTIENT(((c_TMAP3IN)-(c_TMAP2IN)),2)),((c_TMAP3IN)-(c_TMAP2IN)))+(c_TMAP2OUT)+IF(((c_TMAP3OUT)-(c_TMAP2OUT))&gt;=0,IF(IF(o_WRAP=1,MOD(((c_TMAP3IN)-(c_TMAP2IN))*(((K18)-(c_TMAP2IN))*((c_TMAP3OUT)-(c_TMAP2OUT))+IF(((c_TMAP3OUT)-(c_TMAP2OUT))&gt;=0,1,-1)*QUOTIENT(((c_TMAP3IN)-(c_TMAP2IN)),2))+2147483648,4294967296)-2147483648,((c_TMAP3IN)-(c_TMAP2IN))*(((K18)-(c_TMAP2IN))*((c_TMAP3OUT)-(c_TMAP2OUT))+IF(((c_TMAP3OUT)-(c_TMAP2OUT))&gt;=0,1,-1)*QUOTIENT(((c_TMAP3IN)-(c_TMAP2IN)),2)))&lt;0,-1,0),IF(IF(o_WRAP=1,MOD(((c_TMAP3IN)-(c_TMAP2IN))*(((K18)-(c_TMAP2IN))*((c_TMAP3OUT)-(c_TMAP2OUT))+IF(((c_TMAP3OUT)-(c_TMAP2OUT))&gt;=0,1,-1)*QUOTIENT(((c_TMAP3IN)-(c_TMAP2IN)),2))+2147483648,4294967296)-2147483648,((c_TMAP3IN)-(c_TMAP2IN))*(((K18)-(c_TMAP2IN))*((c_TMAP3OUT)-(c_TMAP2OUT))+IF(((c_TMAP3OUT)-(c_TMAP2OUT))&gt;=0,1,-1)*QUOTIENT(((c_TMAP3IN)-(c_TMAP2IN)),2)))&gt;=0,1,0)))</f>
        <v>-45</v>
      </c>
      <c r="P18" s="7" t="n">
        <f aca="false">IF(((1000)-(c_TMAP3IN))=0,(c_TMAP3OUT)+QUOTIENT(((1000)-(c_TMAP3OUT)),2),QUOTIENT((((K18)-(c_TMAP3IN))*((1000)-(c_TMAP3OUT))+IF(((1000)-(c_TMAP3OUT))&gt;=0,1,-1)*QUOTIENT(((1000)-(c_TMAP3IN)),2)),((1000)-(c_TMAP3IN)))+(c_TMAP3OUT)+IF(((1000)-(c_TMAP3OUT))&gt;=0,IF(IF(o_WRAP=1,MOD(((1000)-(c_TMAP3IN))*(((K18)-(c_TMAP3IN))*((1000)-(c_TMAP3OUT))+IF(((1000)-(c_TMAP3OUT))&gt;=0,1,-1)*QUOTIENT(((1000)-(c_TMAP3IN)),2))+2147483648,4294967296)-2147483648,((1000)-(c_TMAP3IN))*(((K18)-(c_TMAP3IN))*((1000)-(c_TMAP3OUT))+IF(((1000)-(c_TMAP3OUT))&gt;=0,1,-1)*QUOTIENT(((1000)-(c_TMAP3IN)),2)))&lt;0,-1,0),IF(IF(o_WRAP=1,MOD(((1000)-(c_TMAP3IN))*(((K18)-(c_TMAP3IN))*((1000)-(c_TMAP3OUT))+IF(((1000)-(c_TMAP3OUT))&gt;=0,1,-1)*QUOTIENT(((1000)-(c_TMAP3IN)),2))+2147483648,4294967296)-2147483648,((1000)-(c_TMAP3IN))*(((K18)-(c_TMAP3IN))*((1000)-(c_TMAP3OUT))+IF(((1000)-(c_TMAP3OUT))&gt;=0,1,-1)*QUOTIENT(((1000)-(c_TMAP3IN)),2)))&gt;=0,1,0)))</f>
        <v>-231</v>
      </c>
      <c r="Q18" s="7" t="str">
        <f aca="false">IF(K18&gt;=c_TFWD,IF(AND(K18&gt;=c_TMAP3IN,c_TMAP3IN&lt;1000),"Seg4 map3-100%",IF(AND(K18&gt;=c_TMAP2IN,c_TMAP3IN&gt;c_TMAP2IN),"Seg3 map2-map3",IF(AND(K18&gt;=c_TMAP1IN,c_TMAP2IN&gt;c_TMAP1IN),"Seg2 map1-map2","Seg1 TFWD-map1"))),IF(AND(K18=0,c_TCREEP&gt;0),"Creep",IF(AND(K18&lt;=c_TRNGMIN,K18&gt;=c_TRNGMAX,c_TRNGMIN-c_TRNGMAX&lt;&gt;0),"Regen ramp","Coast (0)")))</f>
        <v>Regen ramp</v>
      </c>
      <c r="R18" s="7" t="n">
        <f aca="false">IF(K18&gt;=c_TFWD,IF(AND(K18&gt;=c_TMAP3IN,c_TMAP3IN&lt;1000),P18,IF(AND(K18&gt;=c_TMAP2IN,c_TMAP3IN&gt;c_TMAP2IN),O18,IF(AND(K18&gt;=c_TMAP1IN,c_TMAP2IN&gt;c_TMAP1IN),N18,M18))),L18)</f>
        <v>-350</v>
      </c>
      <c r="S18" s="7" t="str">
        <f aca="false">IF(R18&lt;-1090,"TOO LOW",IF(R18&gt;1090,"TOO HIGH",""))</f>
        <v/>
      </c>
      <c r="T18" s="15" t="n">
        <f aca="false">IF(H18&lt;&gt;"OK",0,IF(S18&lt;&gt;"",0,IF(R18&gt;979,1000,R18)))</f>
        <v>0</v>
      </c>
      <c r="U18" s="7" t="n">
        <f aca="false">T18/10</f>
        <v>0</v>
      </c>
    </row>
    <row r="19" customFormat="false" ht="15" hidden="false" customHeight="false" outlineLevel="0" collapsed="false">
      <c r="A19" s="7" t="n">
        <v>14</v>
      </c>
      <c r="B19" s="7" t="n">
        <f aca="false">ROUND(o_SWSTART+A19*(o_SWEND-o_SWSTART)/400,0)</f>
        <v>143</v>
      </c>
      <c r="C19" s="7" t="n">
        <f aca="false">QUOTIENT((B19-c_OFF1)*c_GAIN1,1024)</f>
        <v>143</v>
      </c>
      <c r="D19" s="7" t="n">
        <f aca="false">IF(((c_T1MX)-(c_T1MN))=0,(0)+QUOTIENT(((1000)-(0)),2),QUOTIENT((((C19)-(c_T1MN))*((1000)-(0))+IF(((1000)-(0))&gt;=0,1,-1)*QUOTIENT(((c_T1MX)-(c_T1MN)),2)),((c_T1MX)-(c_T1MN)))+(0)+IF(((1000)-(0))&gt;=0,IF(IF(o_WRAP=1,MOD(((c_T1MX)-(c_T1MN))*(((C19)-(c_T1MN))*((1000)-(0))+IF(((1000)-(0))&gt;=0,1,-1)*QUOTIENT(((c_T1MX)-(c_T1MN)),2))+2147483648,4294967296)-2147483648,((c_T1MX)-(c_T1MN))*(((C19)-(c_T1MN))*((1000)-(0))+IF(((1000)-(0))&gt;=0,1,-1)*QUOTIENT(((c_T1MX)-(c_T1MN)),2)))&lt;0,-1,0),IF(IF(o_WRAP=1,MOD(((c_T1MX)-(c_T1MN))*(((C19)-(c_T1MN))*((1000)-(0))+IF(((1000)-(0))&gt;=0,1,-1)*QUOTIENT(((c_T1MX)-(c_T1MN)),2))+2147483648,4294967296)-2147483648,((c_T1MX)-(c_T1MN))*(((C19)-(c_T1MN))*((1000)-(0))+IF(((1000)-(0))&gt;=0,1,-1)*QUOTIENT(((c_T1MX)-(c_T1MN)),2)))&gt;=0,1,0)))</f>
        <v>-207</v>
      </c>
      <c r="E19" s="7" t="n">
        <f aca="false">IF(AND(c_TPOT=1,c_TTYPE=2),1000-D19,D19)</f>
        <v>-207</v>
      </c>
      <c r="F19" s="7" t="str">
        <f aca="false">IF(c_TPOT&gt;1,ROUND(IF(c_TTYPE=2,c_T2MX-IF(c_T1MX=c_T1MN,0,(C19-c_T1MN)/(c_T1MX-c_T1MN))*(c_T2MX-c_T2MN),c_T2MN+IF(c_T1MX=c_T1MN,0,(C19-c_T1MN)/(c_T1MX-c_T1MN))*(c_T2MX-c_T2MN))+o_MISMATCH,0),"")</f>
        <v/>
      </c>
      <c r="G19" s="7" t="str">
        <f aca="false">IF(c_TPOT&gt;1,IF(((c_T2MX)-(c_T2MN))=0,(0)+QUOTIENT(((1000)-(0)),2),QUOTIENT((((F19)-(c_T2MN))*((1000)-(0))+IF(((1000)-(0))&gt;=0,1,-1)*QUOTIENT(((c_T2MX)-(c_T2MN)),2)),((c_T2MX)-(c_T2MN)))+(0)+IF(((1000)-(0))&gt;=0,IF(IF(o_WRAP=1,MOD(((c_T2MX)-(c_T2MN))*(((F19)-(c_T2MN))*((1000)-(0))+IF(((1000)-(0))&gt;=0,1,-1)*QUOTIENT(((c_T2MX)-(c_T2MN)),2))+2147483648,4294967296)-2147483648,((c_T2MX)-(c_T2MN))*(((F19)-(c_T2MN))*((1000)-(0))+IF(((1000)-(0))&gt;=0,1,-1)*QUOTIENT(((c_T2MX)-(c_T2MN)),2)))&lt;0,-1,0),IF(IF(o_WRAP=1,MOD(((c_T2MX)-(c_T2MN))*(((F19)-(c_T2MN))*((1000)-(0))+IF(((1000)-(0))&gt;=0,1,-1)*QUOTIENT(((c_T2MX)-(c_T2MN)),2))+2147483648,4294967296)-2147483648,((c_T2MX)-(c_T2MN))*(((F19)-(c_T2MN))*((1000)-(0))+IF(((1000)-(0))&gt;=0,1,-1)*QUOTIENT(((c_T2MX)-(c_T2MN)),2)))&gt;=0,1,0))),"")</f>
        <v/>
      </c>
      <c r="H19" s="7" t="str">
        <f aca="false">IF(E19&gt;1000+k_TOL,"T1 HIGH",IF(E19&lt;0-k_TOL,"T1 LOW",IF(c_TPOT&gt;1,IF(G19&gt;1000+k_TOL,"T2 HIGH",IF(G19&lt;0-k_TOL,"T2 LOW",IF(c_TTYPE=2,IF(ABS(1000-MAX(0,MIN(1000,E19))-MAX(0,MIN(1000,G19)))&gt;k_MAXERR,"MISMATCH","OK"),IF(OR(MAX(0,MIN(1000,E19))-k_MAXERR&gt;MAX(0,MIN(1000,G19)),MAX(0,MIN(1000,G19))-k_MAXERR&gt;MAX(0,MIN(1000,E19))),"MISMATCH","OK")))),"OK")))</f>
        <v>T1 LOW</v>
      </c>
      <c r="I19" s="7" t="n">
        <f aca="false">MAX(0,MIN(1000,D19))</f>
        <v>0</v>
      </c>
      <c r="J19" s="7" t="str">
        <f aca="false">IF(c_TPOT&gt;1,IF(c_TTYPE=2,1000-MAX(0,MIN(1000,G19)),MAX(0,MIN(1000,G19))),"")</f>
        <v/>
      </c>
      <c r="K19" s="7" t="n">
        <f aca="false">IF(c_TPOT&gt;1,QUOTIENT(I19+J19,2),I19)</f>
        <v>0</v>
      </c>
      <c r="L19" s="7" t="n">
        <f aca="false">IF(AND(K19=0,c_TCREEP&gt;0),10*c_TCREEP,IF(AND(K19&lt;=c_TRNGMIN,K19&gt;=c_TRNGMAX,c_TRNGMIN-c_TRNGMAX&lt;&gt;0),-10*c_TMINRN+QUOTIENT((c_TMAXRN-c_TMINRN)*(100-QUOTIENT((K19-c_TRNGMAX)*100,c_TRNGMIN-c_TRNGMAX)),-10),0))</f>
        <v>-350</v>
      </c>
      <c r="M19" s="7" t="n">
        <f aca="false">IF(((c_TMAP1IN)-(c_TFWD))=0,(0)+QUOTIENT(((c_TMAP1OUT)-(0)),2),QUOTIENT((((K19)-(c_TFWD))*((c_TMAP1OUT)-(0))+IF(((c_TMAP1OUT)-(0))&gt;=0,1,-1)*QUOTIENT(((c_TMAP1IN)-(c_TFWD)),2)),((c_TMAP1IN)-(c_TFWD)))+(0)+IF(((c_TMAP1OUT)-(0))&gt;=0,IF(IF(o_WRAP=1,MOD(((c_TMAP1IN)-(c_TFWD))*(((K19)-(c_TFWD))*((c_TMAP1OUT)-(0))+IF(((c_TMAP1OUT)-(0))&gt;=0,1,-1)*QUOTIENT(((c_TMAP1IN)-(c_TFWD)),2))+2147483648,4294967296)-2147483648,((c_TMAP1IN)-(c_TFWD))*(((K19)-(c_TFWD))*((c_TMAP1OUT)-(0))+IF(((c_TMAP1OUT)-(0))&gt;=0,1,-1)*QUOTIENT(((c_TMAP1IN)-(c_TFWD)),2)))&lt;0,-1,0),IF(IF(o_WRAP=1,MOD(((c_TMAP1IN)-(c_TFWD))*(((K19)-(c_TFWD))*((c_TMAP1OUT)-(0))+IF(((c_TMAP1OUT)-(0))&gt;=0,1,-1)*QUOTIENT(((c_TMAP1IN)-(c_TFWD)),2))+2147483648,4294967296)-2147483648,((c_TMAP1IN)-(c_TFWD))*(((K19)-(c_TFWD))*((c_TMAP1OUT)-(0))+IF(((c_TMAP1OUT)-(0))&gt;=0,1,-1)*QUOTIENT(((c_TMAP1IN)-(c_TFWD)),2)))&gt;=0,1,0)))</f>
        <v>-8</v>
      </c>
      <c r="N19" s="7" t="n">
        <f aca="false">IF(((c_TMAP2IN)-(c_TMAP1IN))=0,(c_TMAP1OUT)+QUOTIENT(((c_TMAP2OUT)-(c_TMAP1OUT)),2),QUOTIENT((((K19)-(c_TMAP1IN))*((c_TMAP2OUT)-(c_TMAP1OUT))+IF(((c_TMAP2OUT)-(c_TMAP1OUT))&gt;=0,1,-1)*QUOTIENT(((c_TMAP2IN)-(c_TMAP1IN)),2)),((c_TMAP2IN)-(c_TMAP1IN)))+(c_TMAP1OUT)+IF(((c_TMAP2OUT)-(c_TMAP1OUT))&gt;=0,IF(IF(o_WRAP=1,MOD(((c_TMAP2IN)-(c_TMAP1IN))*(((K19)-(c_TMAP1IN))*((c_TMAP2OUT)-(c_TMAP1OUT))+IF(((c_TMAP2OUT)-(c_TMAP1OUT))&gt;=0,1,-1)*QUOTIENT(((c_TMAP2IN)-(c_TMAP1IN)),2))+2147483648,4294967296)-2147483648,((c_TMAP2IN)-(c_TMAP1IN))*(((K19)-(c_TMAP1IN))*((c_TMAP2OUT)-(c_TMAP1OUT))+IF(((c_TMAP2OUT)-(c_TMAP1OUT))&gt;=0,1,-1)*QUOTIENT(((c_TMAP2IN)-(c_TMAP1IN)),2)))&lt;0,-1,0),IF(IF(o_WRAP=1,MOD(((c_TMAP2IN)-(c_TMAP1IN))*(((K19)-(c_TMAP1IN))*((c_TMAP2OUT)-(c_TMAP1OUT))+IF(((c_TMAP2OUT)-(c_TMAP1OUT))&gt;=0,1,-1)*QUOTIENT(((c_TMAP2IN)-(c_TMAP1IN)),2))+2147483648,4294967296)-2147483648,((c_TMAP2IN)-(c_TMAP1IN))*(((K19)-(c_TMAP1IN))*((c_TMAP2OUT)-(c_TMAP1OUT))+IF(((c_TMAP2OUT)-(c_TMAP1OUT))&gt;=0,1,-1)*QUOTIENT(((c_TMAP2IN)-(c_TMAP1IN)),2)))&gt;=0,1,0)))</f>
        <v>30</v>
      </c>
      <c r="O19" s="7" t="n">
        <f aca="false">IF(((c_TMAP3IN)-(c_TMAP2IN))=0,(c_TMAP2OUT)+QUOTIENT(((c_TMAP3OUT)-(c_TMAP2OUT)),2),QUOTIENT((((K19)-(c_TMAP2IN))*((c_TMAP3OUT)-(c_TMAP2OUT))+IF(((c_TMAP3OUT)-(c_TMAP2OUT))&gt;=0,1,-1)*QUOTIENT(((c_TMAP3IN)-(c_TMAP2IN)),2)),((c_TMAP3IN)-(c_TMAP2IN)))+(c_TMAP2OUT)+IF(((c_TMAP3OUT)-(c_TMAP2OUT))&gt;=0,IF(IF(o_WRAP=1,MOD(((c_TMAP3IN)-(c_TMAP2IN))*(((K19)-(c_TMAP2IN))*((c_TMAP3OUT)-(c_TMAP2OUT))+IF(((c_TMAP3OUT)-(c_TMAP2OUT))&gt;=0,1,-1)*QUOTIENT(((c_TMAP3IN)-(c_TMAP2IN)),2))+2147483648,4294967296)-2147483648,((c_TMAP3IN)-(c_TMAP2IN))*(((K19)-(c_TMAP2IN))*((c_TMAP3OUT)-(c_TMAP2OUT))+IF(((c_TMAP3OUT)-(c_TMAP2OUT))&gt;=0,1,-1)*QUOTIENT(((c_TMAP3IN)-(c_TMAP2IN)),2)))&lt;0,-1,0),IF(IF(o_WRAP=1,MOD(((c_TMAP3IN)-(c_TMAP2IN))*(((K19)-(c_TMAP2IN))*((c_TMAP3OUT)-(c_TMAP2OUT))+IF(((c_TMAP3OUT)-(c_TMAP2OUT))&gt;=0,1,-1)*QUOTIENT(((c_TMAP3IN)-(c_TMAP2IN)),2))+2147483648,4294967296)-2147483648,((c_TMAP3IN)-(c_TMAP2IN))*(((K19)-(c_TMAP2IN))*((c_TMAP3OUT)-(c_TMAP2OUT))+IF(((c_TMAP3OUT)-(c_TMAP2OUT))&gt;=0,1,-1)*QUOTIENT(((c_TMAP3IN)-(c_TMAP2IN)),2)))&gt;=0,1,0)))</f>
        <v>-45</v>
      </c>
      <c r="P19" s="7" t="n">
        <f aca="false">IF(((1000)-(c_TMAP3IN))=0,(c_TMAP3OUT)+QUOTIENT(((1000)-(c_TMAP3OUT)),2),QUOTIENT((((K19)-(c_TMAP3IN))*((1000)-(c_TMAP3OUT))+IF(((1000)-(c_TMAP3OUT))&gt;=0,1,-1)*QUOTIENT(((1000)-(c_TMAP3IN)),2)),((1000)-(c_TMAP3IN)))+(c_TMAP3OUT)+IF(((1000)-(c_TMAP3OUT))&gt;=0,IF(IF(o_WRAP=1,MOD(((1000)-(c_TMAP3IN))*(((K19)-(c_TMAP3IN))*((1000)-(c_TMAP3OUT))+IF(((1000)-(c_TMAP3OUT))&gt;=0,1,-1)*QUOTIENT(((1000)-(c_TMAP3IN)),2))+2147483648,4294967296)-2147483648,((1000)-(c_TMAP3IN))*(((K19)-(c_TMAP3IN))*((1000)-(c_TMAP3OUT))+IF(((1000)-(c_TMAP3OUT))&gt;=0,1,-1)*QUOTIENT(((1000)-(c_TMAP3IN)),2)))&lt;0,-1,0),IF(IF(o_WRAP=1,MOD(((1000)-(c_TMAP3IN))*(((K19)-(c_TMAP3IN))*((1000)-(c_TMAP3OUT))+IF(((1000)-(c_TMAP3OUT))&gt;=0,1,-1)*QUOTIENT(((1000)-(c_TMAP3IN)),2))+2147483648,4294967296)-2147483648,((1000)-(c_TMAP3IN))*(((K19)-(c_TMAP3IN))*((1000)-(c_TMAP3OUT))+IF(((1000)-(c_TMAP3OUT))&gt;=0,1,-1)*QUOTIENT(((1000)-(c_TMAP3IN)),2)))&gt;=0,1,0)))</f>
        <v>-231</v>
      </c>
      <c r="Q19" s="7" t="str">
        <f aca="false">IF(K19&gt;=c_TFWD,IF(AND(K19&gt;=c_TMAP3IN,c_TMAP3IN&lt;1000),"Seg4 map3-100%",IF(AND(K19&gt;=c_TMAP2IN,c_TMAP3IN&gt;c_TMAP2IN),"Seg3 map2-map3",IF(AND(K19&gt;=c_TMAP1IN,c_TMAP2IN&gt;c_TMAP1IN),"Seg2 map1-map2","Seg1 TFWD-map1"))),IF(AND(K19=0,c_TCREEP&gt;0),"Creep",IF(AND(K19&lt;=c_TRNGMIN,K19&gt;=c_TRNGMAX,c_TRNGMIN-c_TRNGMAX&lt;&gt;0),"Regen ramp","Coast (0)")))</f>
        <v>Regen ramp</v>
      </c>
      <c r="R19" s="7" t="n">
        <f aca="false">IF(K19&gt;=c_TFWD,IF(AND(K19&gt;=c_TMAP3IN,c_TMAP3IN&lt;1000),P19,IF(AND(K19&gt;=c_TMAP2IN,c_TMAP3IN&gt;c_TMAP2IN),O19,IF(AND(K19&gt;=c_TMAP1IN,c_TMAP2IN&gt;c_TMAP1IN),N19,M19))),L19)</f>
        <v>-350</v>
      </c>
      <c r="S19" s="7" t="str">
        <f aca="false">IF(R19&lt;-1090,"TOO LOW",IF(R19&gt;1090,"TOO HIGH",""))</f>
        <v/>
      </c>
      <c r="T19" s="15" t="n">
        <f aca="false">IF(H19&lt;&gt;"OK",0,IF(S19&lt;&gt;"",0,IF(R19&gt;979,1000,R19)))</f>
        <v>0</v>
      </c>
      <c r="U19" s="7" t="n">
        <f aca="false">T19/10</f>
        <v>0</v>
      </c>
    </row>
    <row r="20" customFormat="false" ht="15" hidden="false" customHeight="false" outlineLevel="0" collapsed="false">
      <c r="A20" s="7" t="n">
        <v>15</v>
      </c>
      <c r="B20" s="7" t="n">
        <f aca="false">ROUND(o_SWSTART+A20*(o_SWEND-o_SWSTART)/400,0)</f>
        <v>154</v>
      </c>
      <c r="C20" s="7" t="n">
        <f aca="false">QUOTIENT((B20-c_OFF1)*c_GAIN1,1024)</f>
        <v>154</v>
      </c>
      <c r="D20" s="7" t="n">
        <f aca="false">IF(((c_T1MX)-(c_T1MN))=0,(0)+QUOTIENT(((1000)-(0)),2),QUOTIENT((((C20)-(c_T1MN))*((1000)-(0))+IF(((1000)-(0))&gt;=0,1,-1)*QUOTIENT(((c_T1MX)-(c_T1MN)),2)),((c_T1MX)-(c_T1MN)))+(0)+IF(((1000)-(0))&gt;=0,IF(IF(o_WRAP=1,MOD(((c_T1MX)-(c_T1MN))*(((C20)-(c_T1MN))*((1000)-(0))+IF(((1000)-(0))&gt;=0,1,-1)*QUOTIENT(((c_T1MX)-(c_T1MN)),2))+2147483648,4294967296)-2147483648,((c_T1MX)-(c_T1MN))*(((C20)-(c_T1MN))*((1000)-(0))+IF(((1000)-(0))&gt;=0,1,-1)*QUOTIENT(((c_T1MX)-(c_T1MN)),2)))&lt;0,-1,0),IF(IF(o_WRAP=1,MOD(((c_T1MX)-(c_T1MN))*(((C20)-(c_T1MN))*((1000)-(0))+IF(((1000)-(0))&gt;=0,1,-1)*QUOTIENT(((c_T1MX)-(c_T1MN)),2))+2147483648,4294967296)-2147483648,((c_T1MX)-(c_T1MN))*(((C20)-(c_T1MN))*((1000)-(0))+IF(((1000)-(0))&gt;=0,1,-1)*QUOTIENT(((c_T1MX)-(c_T1MN)),2)))&gt;=0,1,0)))</f>
        <v>-203</v>
      </c>
      <c r="E20" s="7" t="n">
        <f aca="false">IF(AND(c_TPOT=1,c_TTYPE=2),1000-D20,D20)</f>
        <v>-203</v>
      </c>
      <c r="F20" s="7" t="str">
        <f aca="false">IF(c_TPOT&gt;1,ROUND(IF(c_TTYPE=2,c_T2MX-IF(c_T1MX=c_T1MN,0,(C20-c_T1MN)/(c_T1MX-c_T1MN))*(c_T2MX-c_T2MN),c_T2MN+IF(c_T1MX=c_T1MN,0,(C20-c_T1MN)/(c_T1MX-c_T1MN))*(c_T2MX-c_T2MN))+o_MISMATCH,0),"")</f>
        <v/>
      </c>
      <c r="G20" s="7" t="str">
        <f aca="false">IF(c_TPOT&gt;1,IF(((c_T2MX)-(c_T2MN))=0,(0)+QUOTIENT(((1000)-(0)),2),QUOTIENT((((F20)-(c_T2MN))*((1000)-(0))+IF(((1000)-(0))&gt;=0,1,-1)*QUOTIENT(((c_T2MX)-(c_T2MN)),2)),((c_T2MX)-(c_T2MN)))+(0)+IF(((1000)-(0))&gt;=0,IF(IF(o_WRAP=1,MOD(((c_T2MX)-(c_T2MN))*(((F20)-(c_T2MN))*((1000)-(0))+IF(((1000)-(0))&gt;=0,1,-1)*QUOTIENT(((c_T2MX)-(c_T2MN)),2))+2147483648,4294967296)-2147483648,((c_T2MX)-(c_T2MN))*(((F20)-(c_T2MN))*((1000)-(0))+IF(((1000)-(0))&gt;=0,1,-1)*QUOTIENT(((c_T2MX)-(c_T2MN)),2)))&lt;0,-1,0),IF(IF(o_WRAP=1,MOD(((c_T2MX)-(c_T2MN))*(((F20)-(c_T2MN))*((1000)-(0))+IF(((1000)-(0))&gt;=0,1,-1)*QUOTIENT(((c_T2MX)-(c_T2MN)),2))+2147483648,4294967296)-2147483648,((c_T2MX)-(c_T2MN))*(((F20)-(c_T2MN))*((1000)-(0))+IF(((1000)-(0))&gt;=0,1,-1)*QUOTIENT(((c_T2MX)-(c_T2MN)),2)))&gt;=0,1,0))),"")</f>
        <v/>
      </c>
      <c r="H20" s="7" t="str">
        <f aca="false">IF(E20&gt;1000+k_TOL,"T1 HIGH",IF(E20&lt;0-k_TOL,"T1 LOW",IF(c_TPOT&gt;1,IF(G20&gt;1000+k_TOL,"T2 HIGH",IF(G20&lt;0-k_TOL,"T2 LOW",IF(c_TTYPE=2,IF(ABS(1000-MAX(0,MIN(1000,E20))-MAX(0,MIN(1000,G20)))&gt;k_MAXERR,"MISMATCH","OK"),IF(OR(MAX(0,MIN(1000,E20))-k_MAXERR&gt;MAX(0,MIN(1000,G20)),MAX(0,MIN(1000,G20))-k_MAXERR&gt;MAX(0,MIN(1000,E20))),"MISMATCH","OK")))),"OK")))</f>
        <v>T1 LOW</v>
      </c>
      <c r="I20" s="7" t="n">
        <f aca="false">MAX(0,MIN(1000,D20))</f>
        <v>0</v>
      </c>
      <c r="J20" s="7" t="str">
        <f aca="false">IF(c_TPOT&gt;1,IF(c_TTYPE=2,1000-MAX(0,MIN(1000,G20)),MAX(0,MIN(1000,G20))),"")</f>
        <v/>
      </c>
      <c r="K20" s="7" t="n">
        <f aca="false">IF(c_TPOT&gt;1,QUOTIENT(I20+J20,2),I20)</f>
        <v>0</v>
      </c>
      <c r="L20" s="7" t="n">
        <f aca="false">IF(AND(K20=0,c_TCREEP&gt;0),10*c_TCREEP,IF(AND(K20&lt;=c_TRNGMIN,K20&gt;=c_TRNGMAX,c_TRNGMIN-c_TRNGMAX&lt;&gt;0),-10*c_TMINRN+QUOTIENT((c_TMAXRN-c_TMINRN)*(100-QUOTIENT((K20-c_TRNGMAX)*100,c_TRNGMIN-c_TRNGMAX)),-10),0))</f>
        <v>-350</v>
      </c>
      <c r="M20" s="7" t="n">
        <f aca="false">IF(((c_TMAP1IN)-(c_TFWD))=0,(0)+QUOTIENT(((c_TMAP1OUT)-(0)),2),QUOTIENT((((K20)-(c_TFWD))*((c_TMAP1OUT)-(0))+IF(((c_TMAP1OUT)-(0))&gt;=0,1,-1)*QUOTIENT(((c_TMAP1IN)-(c_TFWD)),2)),((c_TMAP1IN)-(c_TFWD)))+(0)+IF(((c_TMAP1OUT)-(0))&gt;=0,IF(IF(o_WRAP=1,MOD(((c_TMAP1IN)-(c_TFWD))*(((K20)-(c_TFWD))*((c_TMAP1OUT)-(0))+IF(((c_TMAP1OUT)-(0))&gt;=0,1,-1)*QUOTIENT(((c_TMAP1IN)-(c_TFWD)),2))+2147483648,4294967296)-2147483648,((c_TMAP1IN)-(c_TFWD))*(((K20)-(c_TFWD))*((c_TMAP1OUT)-(0))+IF(((c_TMAP1OUT)-(0))&gt;=0,1,-1)*QUOTIENT(((c_TMAP1IN)-(c_TFWD)),2)))&lt;0,-1,0),IF(IF(o_WRAP=1,MOD(((c_TMAP1IN)-(c_TFWD))*(((K20)-(c_TFWD))*((c_TMAP1OUT)-(0))+IF(((c_TMAP1OUT)-(0))&gt;=0,1,-1)*QUOTIENT(((c_TMAP1IN)-(c_TFWD)),2))+2147483648,4294967296)-2147483648,((c_TMAP1IN)-(c_TFWD))*(((K20)-(c_TFWD))*((c_TMAP1OUT)-(0))+IF(((c_TMAP1OUT)-(0))&gt;=0,1,-1)*QUOTIENT(((c_TMAP1IN)-(c_TFWD)),2)))&gt;=0,1,0)))</f>
        <v>-8</v>
      </c>
      <c r="N20" s="7" t="n">
        <f aca="false">IF(((c_TMAP2IN)-(c_TMAP1IN))=0,(c_TMAP1OUT)+QUOTIENT(((c_TMAP2OUT)-(c_TMAP1OUT)),2),QUOTIENT((((K20)-(c_TMAP1IN))*((c_TMAP2OUT)-(c_TMAP1OUT))+IF(((c_TMAP2OUT)-(c_TMAP1OUT))&gt;=0,1,-1)*QUOTIENT(((c_TMAP2IN)-(c_TMAP1IN)),2)),((c_TMAP2IN)-(c_TMAP1IN)))+(c_TMAP1OUT)+IF(((c_TMAP2OUT)-(c_TMAP1OUT))&gt;=0,IF(IF(o_WRAP=1,MOD(((c_TMAP2IN)-(c_TMAP1IN))*(((K20)-(c_TMAP1IN))*((c_TMAP2OUT)-(c_TMAP1OUT))+IF(((c_TMAP2OUT)-(c_TMAP1OUT))&gt;=0,1,-1)*QUOTIENT(((c_TMAP2IN)-(c_TMAP1IN)),2))+2147483648,4294967296)-2147483648,((c_TMAP2IN)-(c_TMAP1IN))*(((K20)-(c_TMAP1IN))*((c_TMAP2OUT)-(c_TMAP1OUT))+IF(((c_TMAP2OUT)-(c_TMAP1OUT))&gt;=0,1,-1)*QUOTIENT(((c_TMAP2IN)-(c_TMAP1IN)),2)))&lt;0,-1,0),IF(IF(o_WRAP=1,MOD(((c_TMAP2IN)-(c_TMAP1IN))*(((K20)-(c_TMAP1IN))*((c_TMAP2OUT)-(c_TMAP1OUT))+IF(((c_TMAP2OUT)-(c_TMAP1OUT))&gt;=0,1,-1)*QUOTIENT(((c_TMAP2IN)-(c_TMAP1IN)),2))+2147483648,4294967296)-2147483648,((c_TMAP2IN)-(c_TMAP1IN))*(((K20)-(c_TMAP1IN))*((c_TMAP2OUT)-(c_TMAP1OUT))+IF(((c_TMAP2OUT)-(c_TMAP1OUT))&gt;=0,1,-1)*QUOTIENT(((c_TMAP2IN)-(c_TMAP1IN)),2)))&gt;=0,1,0)))</f>
        <v>30</v>
      </c>
      <c r="O20" s="7" t="n">
        <f aca="false">IF(((c_TMAP3IN)-(c_TMAP2IN))=0,(c_TMAP2OUT)+QUOTIENT(((c_TMAP3OUT)-(c_TMAP2OUT)),2),QUOTIENT((((K20)-(c_TMAP2IN))*((c_TMAP3OUT)-(c_TMAP2OUT))+IF(((c_TMAP3OUT)-(c_TMAP2OUT))&gt;=0,1,-1)*QUOTIENT(((c_TMAP3IN)-(c_TMAP2IN)),2)),((c_TMAP3IN)-(c_TMAP2IN)))+(c_TMAP2OUT)+IF(((c_TMAP3OUT)-(c_TMAP2OUT))&gt;=0,IF(IF(o_WRAP=1,MOD(((c_TMAP3IN)-(c_TMAP2IN))*(((K20)-(c_TMAP2IN))*((c_TMAP3OUT)-(c_TMAP2OUT))+IF(((c_TMAP3OUT)-(c_TMAP2OUT))&gt;=0,1,-1)*QUOTIENT(((c_TMAP3IN)-(c_TMAP2IN)),2))+2147483648,4294967296)-2147483648,((c_TMAP3IN)-(c_TMAP2IN))*(((K20)-(c_TMAP2IN))*((c_TMAP3OUT)-(c_TMAP2OUT))+IF(((c_TMAP3OUT)-(c_TMAP2OUT))&gt;=0,1,-1)*QUOTIENT(((c_TMAP3IN)-(c_TMAP2IN)),2)))&lt;0,-1,0),IF(IF(o_WRAP=1,MOD(((c_TMAP3IN)-(c_TMAP2IN))*(((K20)-(c_TMAP2IN))*((c_TMAP3OUT)-(c_TMAP2OUT))+IF(((c_TMAP3OUT)-(c_TMAP2OUT))&gt;=0,1,-1)*QUOTIENT(((c_TMAP3IN)-(c_TMAP2IN)),2))+2147483648,4294967296)-2147483648,((c_TMAP3IN)-(c_TMAP2IN))*(((K20)-(c_TMAP2IN))*((c_TMAP3OUT)-(c_TMAP2OUT))+IF(((c_TMAP3OUT)-(c_TMAP2OUT))&gt;=0,1,-1)*QUOTIENT(((c_TMAP3IN)-(c_TMAP2IN)),2)))&gt;=0,1,0)))</f>
        <v>-45</v>
      </c>
      <c r="P20" s="7" t="n">
        <f aca="false">IF(((1000)-(c_TMAP3IN))=0,(c_TMAP3OUT)+QUOTIENT(((1000)-(c_TMAP3OUT)),2),QUOTIENT((((K20)-(c_TMAP3IN))*((1000)-(c_TMAP3OUT))+IF(((1000)-(c_TMAP3OUT))&gt;=0,1,-1)*QUOTIENT(((1000)-(c_TMAP3IN)),2)),((1000)-(c_TMAP3IN)))+(c_TMAP3OUT)+IF(((1000)-(c_TMAP3OUT))&gt;=0,IF(IF(o_WRAP=1,MOD(((1000)-(c_TMAP3IN))*(((K20)-(c_TMAP3IN))*((1000)-(c_TMAP3OUT))+IF(((1000)-(c_TMAP3OUT))&gt;=0,1,-1)*QUOTIENT(((1000)-(c_TMAP3IN)),2))+2147483648,4294967296)-2147483648,((1000)-(c_TMAP3IN))*(((K20)-(c_TMAP3IN))*((1000)-(c_TMAP3OUT))+IF(((1000)-(c_TMAP3OUT))&gt;=0,1,-1)*QUOTIENT(((1000)-(c_TMAP3IN)),2)))&lt;0,-1,0),IF(IF(o_WRAP=1,MOD(((1000)-(c_TMAP3IN))*(((K20)-(c_TMAP3IN))*((1000)-(c_TMAP3OUT))+IF(((1000)-(c_TMAP3OUT))&gt;=0,1,-1)*QUOTIENT(((1000)-(c_TMAP3IN)),2))+2147483648,4294967296)-2147483648,((1000)-(c_TMAP3IN))*(((K20)-(c_TMAP3IN))*((1000)-(c_TMAP3OUT))+IF(((1000)-(c_TMAP3OUT))&gt;=0,1,-1)*QUOTIENT(((1000)-(c_TMAP3IN)),2)))&gt;=0,1,0)))</f>
        <v>-231</v>
      </c>
      <c r="Q20" s="7" t="str">
        <f aca="false">IF(K20&gt;=c_TFWD,IF(AND(K20&gt;=c_TMAP3IN,c_TMAP3IN&lt;1000),"Seg4 map3-100%",IF(AND(K20&gt;=c_TMAP2IN,c_TMAP3IN&gt;c_TMAP2IN),"Seg3 map2-map3",IF(AND(K20&gt;=c_TMAP1IN,c_TMAP2IN&gt;c_TMAP1IN),"Seg2 map1-map2","Seg1 TFWD-map1"))),IF(AND(K20=0,c_TCREEP&gt;0),"Creep",IF(AND(K20&lt;=c_TRNGMIN,K20&gt;=c_TRNGMAX,c_TRNGMIN-c_TRNGMAX&lt;&gt;0),"Regen ramp","Coast (0)")))</f>
        <v>Regen ramp</v>
      </c>
      <c r="R20" s="7" t="n">
        <f aca="false">IF(K20&gt;=c_TFWD,IF(AND(K20&gt;=c_TMAP3IN,c_TMAP3IN&lt;1000),P20,IF(AND(K20&gt;=c_TMAP2IN,c_TMAP3IN&gt;c_TMAP2IN),O20,IF(AND(K20&gt;=c_TMAP1IN,c_TMAP2IN&gt;c_TMAP1IN),N20,M20))),L20)</f>
        <v>-350</v>
      </c>
      <c r="S20" s="7" t="str">
        <f aca="false">IF(R20&lt;-1090,"TOO LOW",IF(R20&gt;1090,"TOO HIGH",""))</f>
        <v/>
      </c>
      <c r="T20" s="15" t="n">
        <f aca="false">IF(H20&lt;&gt;"OK",0,IF(S20&lt;&gt;"",0,IF(R20&gt;979,1000,R20)))</f>
        <v>0</v>
      </c>
      <c r="U20" s="7" t="n">
        <f aca="false">T20/10</f>
        <v>0</v>
      </c>
    </row>
    <row r="21" customFormat="false" ht="15" hidden="false" customHeight="false" outlineLevel="0" collapsed="false">
      <c r="A21" s="7" t="n">
        <v>16</v>
      </c>
      <c r="B21" s="7" t="n">
        <f aca="false">ROUND(o_SWSTART+A21*(o_SWEND-o_SWSTART)/400,0)</f>
        <v>164</v>
      </c>
      <c r="C21" s="7" t="n">
        <f aca="false">QUOTIENT((B21-c_OFF1)*c_GAIN1,1024)</f>
        <v>164</v>
      </c>
      <c r="D21" s="7" t="n">
        <f aca="false">IF(((c_T1MX)-(c_T1MN))=0,(0)+QUOTIENT(((1000)-(0)),2),QUOTIENT((((C21)-(c_T1MN))*((1000)-(0))+IF(((1000)-(0))&gt;=0,1,-1)*QUOTIENT(((c_T1MX)-(c_T1MN)),2)),((c_T1MX)-(c_T1MN)))+(0)+IF(((1000)-(0))&gt;=0,IF(IF(o_WRAP=1,MOD(((c_T1MX)-(c_T1MN))*(((C21)-(c_T1MN))*((1000)-(0))+IF(((1000)-(0))&gt;=0,1,-1)*QUOTIENT(((c_T1MX)-(c_T1MN)),2))+2147483648,4294967296)-2147483648,((c_T1MX)-(c_T1MN))*(((C21)-(c_T1MN))*((1000)-(0))+IF(((1000)-(0))&gt;=0,1,-1)*QUOTIENT(((c_T1MX)-(c_T1MN)),2)))&lt;0,-1,0),IF(IF(o_WRAP=1,MOD(((c_T1MX)-(c_T1MN))*(((C21)-(c_T1MN))*((1000)-(0))+IF(((1000)-(0))&gt;=0,1,-1)*QUOTIENT(((c_T1MX)-(c_T1MN)),2))+2147483648,4294967296)-2147483648,((c_T1MX)-(c_T1MN))*(((C21)-(c_T1MN))*((1000)-(0))+IF(((1000)-(0))&gt;=0,1,-1)*QUOTIENT(((c_T1MX)-(c_T1MN)),2)))&gt;=0,1,0)))</f>
        <v>-199</v>
      </c>
      <c r="E21" s="7" t="n">
        <f aca="false">IF(AND(c_TPOT=1,c_TTYPE=2),1000-D21,D21)</f>
        <v>-199</v>
      </c>
      <c r="F21" s="7" t="str">
        <f aca="false">IF(c_TPOT&gt;1,ROUND(IF(c_TTYPE=2,c_T2MX-IF(c_T1MX=c_T1MN,0,(C21-c_T1MN)/(c_T1MX-c_T1MN))*(c_T2MX-c_T2MN),c_T2MN+IF(c_T1MX=c_T1MN,0,(C21-c_T1MN)/(c_T1MX-c_T1MN))*(c_T2MX-c_T2MN))+o_MISMATCH,0),"")</f>
        <v/>
      </c>
      <c r="G21" s="7" t="str">
        <f aca="false">IF(c_TPOT&gt;1,IF(((c_T2MX)-(c_T2MN))=0,(0)+QUOTIENT(((1000)-(0)),2),QUOTIENT((((F21)-(c_T2MN))*((1000)-(0))+IF(((1000)-(0))&gt;=0,1,-1)*QUOTIENT(((c_T2MX)-(c_T2MN)),2)),((c_T2MX)-(c_T2MN)))+(0)+IF(((1000)-(0))&gt;=0,IF(IF(o_WRAP=1,MOD(((c_T2MX)-(c_T2MN))*(((F21)-(c_T2MN))*((1000)-(0))+IF(((1000)-(0))&gt;=0,1,-1)*QUOTIENT(((c_T2MX)-(c_T2MN)),2))+2147483648,4294967296)-2147483648,((c_T2MX)-(c_T2MN))*(((F21)-(c_T2MN))*((1000)-(0))+IF(((1000)-(0))&gt;=0,1,-1)*QUOTIENT(((c_T2MX)-(c_T2MN)),2)))&lt;0,-1,0),IF(IF(o_WRAP=1,MOD(((c_T2MX)-(c_T2MN))*(((F21)-(c_T2MN))*((1000)-(0))+IF(((1000)-(0))&gt;=0,1,-1)*QUOTIENT(((c_T2MX)-(c_T2MN)),2))+2147483648,4294967296)-2147483648,((c_T2MX)-(c_T2MN))*(((F21)-(c_T2MN))*((1000)-(0))+IF(((1000)-(0))&gt;=0,1,-1)*QUOTIENT(((c_T2MX)-(c_T2MN)),2)))&gt;=0,1,0))),"")</f>
        <v/>
      </c>
      <c r="H21" s="7" t="str">
        <f aca="false">IF(E21&gt;1000+k_TOL,"T1 HIGH",IF(E21&lt;0-k_TOL,"T1 LOW",IF(c_TPOT&gt;1,IF(G21&gt;1000+k_TOL,"T2 HIGH",IF(G21&lt;0-k_TOL,"T2 LOW",IF(c_TTYPE=2,IF(ABS(1000-MAX(0,MIN(1000,E21))-MAX(0,MIN(1000,G21)))&gt;k_MAXERR,"MISMATCH","OK"),IF(OR(MAX(0,MIN(1000,E21))-k_MAXERR&gt;MAX(0,MIN(1000,G21)),MAX(0,MIN(1000,G21))-k_MAXERR&gt;MAX(0,MIN(1000,E21))),"MISMATCH","OK")))),"OK")))</f>
        <v>T1 LOW</v>
      </c>
      <c r="I21" s="7" t="n">
        <f aca="false">MAX(0,MIN(1000,D21))</f>
        <v>0</v>
      </c>
      <c r="J21" s="7" t="str">
        <f aca="false">IF(c_TPOT&gt;1,IF(c_TTYPE=2,1000-MAX(0,MIN(1000,G21)),MAX(0,MIN(1000,G21))),"")</f>
        <v/>
      </c>
      <c r="K21" s="7" t="n">
        <f aca="false">IF(c_TPOT&gt;1,QUOTIENT(I21+J21,2),I21)</f>
        <v>0</v>
      </c>
      <c r="L21" s="7" t="n">
        <f aca="false">IF(AND(K21=0,c_TCREEP&gt;0),10*c_TCREEP,IF(AND(K21&lt;=c_TRNGMIN,K21&gt;=c_TRNGMAX,c_TRNGMIN-c_TRNGMAX&lt;&gt;0),-10*c_TMINRN+QUOTIENT((c_TMAXRN-c_TMINRN)*(100-QUOTIENT((K21-c_TRNGMAX)*100,c_TRNGMIN-c_TRNGMAX)),-10),0))</f>
        <v>-350</v>
      </c>
      <c r="M21" s="7" t="n">
        <f aca="false">IF(((c_TMAP1IN)-(c_TFWD))=0,(0)+QUOTIENT(((c_TMAP1OUT)-(0)),2),QUOTIENT((((K21)-(c_TFWD))*((c_TMAP1OUT)-(0))+IF(((c_TMAP1OUT)-(0))&gt;=0,1,-1)*QUOTIENT(((c_TMAP1IN)-(c_TFWD)),2)),((c_TMAP1IN)-(c_TFWD)))+(0)+IF(((c_TMAP1OUT)-(0))&gt;=0,IF(IF(o_WRAP=1,MOD(((c_TMAP1IN)-(c_TFWD))*(((K21)-(c_TFWD))*((c_TMAP1OUT)-(0))+IF(((c_TMAP1OUT)-(0))&gt;=0,1,-1)*QUOTIENT(((c_TMAP1IN)-(c_TFWD)),2))+2147483648,4294967296)-2147483648,((c_TMAP1IN)-(c_TFWD))*(((K21)-(c_TFWD))*((c_TMAP1OUT)-(0))+IF(((c_TMAP1OUT)-(0))&gt;=0,1,-1)*QUOTIENT(((c_TMAP1IN)-(c_TFWD)),2)))&lt;0,-1,0),IF(IF(o_WRAP=1,MOD(((c_TMAP1IN)-(c_TFWD))*(((K21)-(c_TFWD))*((c_TMAP1OUT)-(0))+IF(((c_TMAP1OUT)-(0))&gt;=0,1,-1)*QUOTIENT(((c_TMAP1IN)-(c_TFWD)),2))+2147483648,4294967296)-2147483648,((c_TMAP1IN)-(c_TFWD))*(((K21)-(c_TFWD))*((c_TMAP1OUT)-(0))+IF(((c_TMAP1OUT)-(0))&gt;=0,1,-1)*QUOTIENT(((c_TMAP1IN)-(c_TFWD)),2)))&gt;=0,1,0)))</f>
        <v>-8</v>
      </c>
      <c r="N21" s="7" t="n">
        <f aca="false">IF(((c_TMAP2IN)-(c_TMAP1IN))=0,(c_TMAP1OUT)+QUOTIENT(((c_TMAP2OUT)-(c_TMAP1OUT)),2),QUOTIENT((((K21)-(c_TMAP1IN))*((c_TMAP2OUT)-(c_TMAP1OUT))+IF(((c_TMAP2OUT)-(c_TMAP1OUT))&gt;=0,1,-1)*QUOTIENT(((c_TMAP2IN)-(c_TMAP1IN)),2)),((c_TMAP2IN)-(c_TMAP1IN)))+(c_TMAP1OUT)+IF(((c_TMAP2OUT)-(c_TMAP1OUT))&gt;=0,IF(IF(o_WRAP=1,MOD(((c_TMAP2IN)-(c_TMAP1IN))*(((K21)-(c_TMAP1IN))*((c_TMAP2OUT)-(c_TMAP1OUT))+IF(((c_TMAP2OUT)-(c_TMAP1OUT))&gt;=0,1,-1)*QUOTIENT(((c_TMAP2IN)-(c_TMAP1IN)),2))+2147483648,4294967296)-2147483648,((c_TMAP2IN)-(c_TMAP1IN))*(((K21)-(c_TMAP1IN))*((c_TMAP2OUT)-(c_TMAP1OUT))+IF(((c_TMAP2OUT)-(c_TMAP1OUT))&gt;=0,1,-1)*QUOTIENT(((c_TMAP2IN)-(c_TMAP1IN)),2)))&lt;0,-1,0),IF(IF(o_WRAP=1,MOD(((c_TMAP2IN)-(c_TMAP1IN))*(((K21)-(c_TMAP1IN))*((c_TMAP2OUT)-(c_TMAP1OUT))+IF(((c_TMAP2OUT)-(c_TMAP1OUT))&gt;=0,1,-1)*QUOTIENT(((c_TMAP2IN)-(c_TMAP1IN)),2))+2147483648,4294967296)-2147483648,((c_TMAP2IN)-(c_TMAP1IN))*(((K21)-(c_TMAP1IN))*((c_TMAP2OUT)-(c_TMAP1OUT))+IF(((c_TMAP2OUT)-(c_TMAP1OUT))&gt;=0,1,-1)*QUOTIENT(((c_TMAP2IN)-(c_TMAP1IN)),2)))&gt;=0,1,0)))</f>
        <v>30</v>
      </c>
      <c r="O21" s="7" t="n">
        <f aca="false">IF(((c_TMAP3IN)-(c_TMAP2IN))=0,(c_TMAP2OUT)+QUOTIENT(((c_TMAP3OUT)-(c_TMAP2OUT)),2),QUOTIENT((((K21)-(c_TMAP2IN))*((c_TMAP3OUT)-(c_TMAP2OUT))+IF(((c_TMAP3OUT)-(c_TMAP2OUT))&gt;=0,1,-1)*QUOTIENT(((c_TMAP3IN)-(c_TMAP2IN)),2)),((c_TMAP3IN)-(c_TMAP2IN)))+(c_TMAP2OUT)+IF(((c_TMAP3OUT)-(c_TMAP2OUT))&gt;=0,IF(IF(o_WRAP=1,MOD(((c_TMAP3IN)-(c_TMAP2IN))*(((K21)-(c_TMAP2IN))*((c_TMAP3OUT)-(c_TMAP2OUT))+IF(((c_TMAP3OUT)-(c_TMAP2OUT))&gt;=0,1,-1)*QUOTIENT(((c_TMAP3IN)-(c_TMAP2IN)),2))+2147483648,4294967296)-2147483648,((c_TMAP3IN)-(c_TMAP2IN))*(((K21)-(c_TMAP2IN))*((c_TMAP3OUT)-(c_TMAP2OUT))+IF(((c_TMAP3OUT)-(c_TMAP2OUT))&gt;=0,1,-1)*QUOTIENT(((c_TMAP3IN)-(c_TMAP2IN)),2)))&lt;0,-1,0),IF(IF(o_WRAP=1,MOD(((c_TMAP3IN)-(c_TMAP2IN))*(((K21)-(c_TMAP2IN))*((c_TMAP3OUT)-(c_TMAP2OUT))+IF(((c_TMAP3OUT)-(c_TMAP2OUT))&gt;=0,1,-1)*QUOTIENT(((c_TMAP3IN)-(c_TMAP2IN)),2))+2147483648,4294967296)-2147483648,((c_TMAP3IN)-(c_TMAP2IN))*(((K21)-(c_TMAP2IN))*((c_TMAP3OUT)-(c_TMAP2OUT))+IF(((c_TMAP3OUT)-(c_TMAP2OUT))&gt;=0,1,-1)*QUOTIENT(((c_TMAP3IN)-(c_TMAP2IN)),2)))&gt;=0,1,0)))</f>
        <v>-45</v>
      </c>
      <c r="P21" s="7" t="n">
        <f aca="false">IF(((1000)-(c_TMAP3IN))=0,(c_TMAP3OUT)+QUOTIENT(((1000)-(c_TMAP3OUT)),2),QUOTIENT((((K21)-(c_TMAP3IN))*((1000)-(c_TMAP3OUT))+IF(((1000)-(c_TMAP3OUT))&gt;=0,1,-1)*QUOTIENT(((1000)-(c_TMAP3IN)),2)),((1000)-(c_TMAP3IN)))+(c_TMAP3OUT)+IF(((1000)-(c_TMAP3OUT))&gt;=0,IF(IF(o_WRAP=1,MOD(((1000)-(c_TMAP3IN))*(((K21)-(c_TMAP3IN))*((1000)-(c_TMAP3OUT))+IF(((1000)-(c_TMAP3OUT))&gt;=0,1,-1)*QUOTIENT(((1000)-(c_TMAP3IN)),2))+2147483648,4294967296)-2147483648,((1000)-(c_TMAP3IN))*(((K21)-(c_TMAP3IN))*((1000)-(c_TMAP3OUT))+IF(((1000)-(c_TMAP3OUT))&gt;=0,1,-1)*QUOTIENT(((1000)-(c_TMAP3IN)),2)))&lt;0,-1,0),IF(IF(o_WRAP=1,MOD(((1000)-(c_TMAP3IN))*(((K21)-(c_TMAP3IN))*((1000)-(c_TMAP3OUT))+IF(((1000)-(c_TMAP3OUT))&gt;=0,1,-1)*QUOTIENT(((1000)-(c_TMAP3IN)),2))+2147483648,4294967296)-2147483648,((1000)-(c_TMAP3IN))*(((K21)-(c_TMAP3IN))*((1000)-(c_TMAP3OUT))+IF(((1000)-(c_TMAP3OUT))&gt;=0,1,-1)*QUOTIENT(((1000)-(c_TMAP3IN)),2)))&gt;=0,1,0)))</f>
        <v>-231</v>
      </c>
      <c r="Q21" s="7" t="str">
        <f aca="false">IF(K21&gt;=c_TFWD,IF(AND(K21&gt;=c_TMAP3IN,c_TMAP3IN&lt;1000),"Seg4 map3-100%",IF(AND(K21&gt;=c_TMAP2IN,c_TMAP3IN&gt;c_TMAP2IN),"Seg3 map2-map3",IF(AND(K21&gt;=c_TMAP1IN,c_TMAP2IN&gt;c_TMAP1IN),"Seg2 map1-map2","Seg1 TFWD-map1"))),IF(AND(K21=0,c_TCREEP&gt;0),"Creep",IF(AND(K21&lt;=c_TRNGMIN,K21&gt;=c_TRNGMAX,c_TRNGMIN-c_TRNGMAX&lt;&gt;0),"Regen ramp","Coast (0)")))</f>
        <v>Regen ramp</v>
      </c>
      <c r="R21" s="7" t="n">
        <f aca="false">IF(K21&gt;=c_TFWD,IF(AND(K21&gt;=c_TMAP3IN,c_TMAP3IN&lt;1000),P21,IF(AND(K21&gt;=c_TMAP2IN,c_TMAP3IN&gt;c_TMAP2IN),O21,IF(AND(K21&gt;=c_TMAP1IN,c_TMAP2IN&gt;c_TMAP1IN),N21,M21))),L21)</f>
        <v>-350</v>
      </c>
      <c r="S21" s="7" t="str">
        <f aca="false">IF(R21&lt;-1090,"TOO LOW",IF(R21&gt;1090,"TOO HIGH",""))</f>
        <v/>
      </c>
      <c r="T21" s="15" t="n">
        <f aca="false">IF(H21&lt;&gt;"OK",0,IF(S21&lt;&gt;"",0,IF(R21&gt;979,1000,R21)))</f>
        <v>0</v>
      </c>
      <c r="U21" s="7" t="n">
        <f aca="false">T21/10</f>
        <v>0</v>
      </c>
    </row>
    <row r="22" customFormat="false" ht="15" hidden="false" customHeight="false" outlineLevel="0" collapsed="false">
      <c r="A22" s="7" t="n">
        <v>17</v>
      </c>
      <c r="B22" s="7" t="n">
        <f aca="false">ROUND(o_SWSTART+A22*(o_SWEND-o_SWSTART)/400,0)</f>
        <v>174</v>
      </c>
      <c r="C22" s="7" t="n">
        <f aca="false">QUOTIENT((B22-c_OFF1)*c_GAIN1,1024)</f>
        <v>174</v>
      </c>
      <c r="D22" s="7" t="n">
        <f aca="false">IF(((c_T1MX)-(c_T1MN))=0,(0)+QUOTIENT(((1000)-(0)),2),QUOTIENT((((C22)-(c_T1MN))*((1000)-(0))+IF(((1000)-(0))&gt;=0,1,-1)*QUOTIENT(((c_T1MX)-(c_T1MN)),2)),((c_T1MX)-(c_T1MN)))+(0)+IF(((1000)-(0))&gt;=0,IF(IF(o_WRAP=1,MOD(((c_T1MX)-(c_T1MN))*(((C22)-(c_T1MN))*((1000)-(0))+IF(((1000)-(0))&gt;=0,1,-1)*QUOTIENT(((c_T1MX)-(c_T1MN)),2))+2147483648,4294967296)-2147483648,((c_T1MX)-(c_T1MN))*(((C22)-(c_T1MN))*((1000)-(0))+IF(((1000)-(0))&gt;=0,1,-1)*QUOTIENT(((c_T1MX)-(c_T1MN)),2)))&lt;0,-1,0),IF(IF(o_WRAP=1,MOD(((c_T1MX)-(c_T1MN))*(((C22)-(c_T1MN))*((1000)-(0))+IF(((1000)-(0))&gt;=0,1,-1)*QUOTIENT(((c_T1MX)-(c_T1MN)),2))+2147483648,4294967296)-2147483648,((c_T1MX)-(c_T1MN))*(((C22)-(c_T1MN))*((1000)-(0))+IF(((1000)-(0))&gt;=0,1,-1)*QUOTIENT(((c_T1MX)-(c_T1MN)),2)))&gt;=0,1,0)))</f>
        <v>-196</v>
      </c>
      <c r="E22" s="7" t="n">
        <f aca="false">IF(AND(c_TPOT=1,c_TTYPE=2),1000-D22,D22)</f>
        <v>-196</v>
      </c>
      <c r="F22" s="7" t="str">
        <f aca="false">IF(c_TPOT&gt;1,ROUND(IF(c_TTYPE=2,c_T2MX-IF(c_T1MX=c_T1MN,0,(C22-c_T1MN)/(c_T1MX-c_T1MN))*(c_T2MX-c_T2MN),c_T2MN+IF(c_T1MX=c_T1MN,0,(C22-c_T1MN)/(c_T1MX-c_T1MN))*(c_T2MX-c_T2MN))+o_MISMATCH,0),"")</f>
        <v/>
      </c>
      <c r="G22" s="7" t="str">
        <f aca="false">IF(c_TPOT&gt;1,IF(((c_T2MX)-(c_T2MN))=0,(0)+QUOTIENT(((1000)-(0)),2),QUOTIENT((((F22)-(c_T2MN))*((1000)-(0))+IF(((1000)-(0))&gt;=0,1,-1)*QUOTIENT(((c_T2MX)-(c_T2MN)),2)),((c_T2MX)-(c_T2MN)))+(0)+IF(((1000)-(0))&gt;=0,IF(IF(o_WRAP=1,MOD(((c_T2MX)-(c_T2MN))*(((F22)-(c_T2MN))*((1000)-(0))+IF(((1000)-(0))&gt;=0,1,-1)*QUOTIENT(((c_T2MX)-(c_T2MN)),2))+2147483648,4294967296)-2147483648,((c_T2MX)-(c_T2MN))*(((F22)-(c_T2MN))*((1000)-(0))+IF(((1000)-(0))&gt;=0,1,-1)*QUOTIENT(((c_T2MX)-(c_T2MN)),2)))&lt;0,-1,0),IF(IF(o_WRAP=1,MOD(((c_T2MX)-(c_T2MN))*(((F22)-(c_T2MN))*((1000)-(0))+IF(((1000)-(0))&gt;=0,1,-1)*QUOTIENT(((c_T2MX)-(c_T2MN)),2))+2147483648,4294967296)-2147483648,((c_T2MX)-(c_T2MN))*(((F22)-(c_T2MN))*((1000)-(0))+IF(((1000)-(0))&gt;=0,1,-1)*QUOTIENT(((c_T2MX)-(c_T2MN)),2)))&gt;=0,1,0))),"")</f>
        <v/>
      </c>
      <c r="H22" s="7" t="str">
        <f aca="false">IF(E22&gt;1000+k_TOL,"T1 HIGH",IF(E22&lt;0-k_TOL,"T1 LOW",IF(c_TPOT&gt;1,IF(G22&gt;1000+k_TOL,"T2 HIGH",IF(G22&lt;0-k_TOL,"T2 LOW",IF(c_TTYPE=2,IF(ABS(1000-MAX(0,MIN(1000,E22))-MAX(0,MIN(1000,G22)))&gt;k_MAXERR,"MISMATCH","OK"),IF(OR(MAX(0,MIN(1000,E22))-k_MAXERR&gt;MAX(0,MIN(1000,G22)),MAX(0,MIN(1000,G22))-k_MAXERR&gt;MAX(0,MIN(1000,E22))),"MISMATCH","OK")))),"OK")))</f>
        <v>T1 LOW</v>
      </c>
      <c r="I22" s="7" t="n">
        <f aca="false">MAX(0,MIN(1000,D22))</f>
        <v>0</v>
      </c>
      <c r="J22" s="7" t="str">
        <f aca="false">IF(c_TPOT&gt;1,IF(c_TTYPE=2,1000-MAX(0,MIN(1000,G22)),MAX(0,MIN(1000,G22))),"")</f>
        <v/>
      </c>
      <c r="K22" s="7" t="n">
        <f aca="false">IF(c_TPOT&gt;1,QUOTIENT(I22+J22,2),I22)</f>
        <v>0</v>
      </c>
      <c r="L22" s="7" t="n">
        <f aca="false">IF(AND(K22=0,c_TCREEP&gt;0),10*c_TCREEP,IF(AND(K22&lt;=c_TRNGMIN,K22&gt;=c_TRNGMAX,c_TRNGMIN-c_TRNGMAX&lt;&gt;0),-10*c_TMINRN+QUOTIENT((c_TMAXRN-c_TMINRN)*(100-QUOTIENT((K22-c_TRNGMAX)*100,c_TRNGMIN-c_TRNGMAX)),-10),0))</f>
        <v>-350</v>
      </c>
      <c r="M22" s="7" t="n">
        <f aca="false">IF(((c_TMAP1IN)-(c_TFWD))=0,(0)+QUOTIENT(((c_TMAP1OUT)-(0)),2),QUOTIENT((((K22)-(c_TFWD))*((c_TMAP1OUT)-(0))+IF(((c_TMAP1OUT)-(0))&gt;=0,1,-1)*QUOTIENT(((c_TMAP1IN)-(c_TFWD)),2)),((c_TMAP1IN)-(c_TFWD)))+(0)+IF(((c_TMAP1OUT)-(0))&gt;=0,IF(IF(o_WRAP=1,MOD(((c_TMAP1IN)-(c_TFWD))*(((K22)-(c_TFWD))*((c_TMAP1OUT)-(0))+IF(((c_TMAP1OUT)-(0))&gt;=0,1,-1)*QUOTIENT(((c_TMAP1IN)-(c_TFWD)),2))+2147483648,4294967296)-2147483648,((c_TMAP1IN)-(c_TFWD))*(((K22)-(c_TFWD))*((c_TMAP1OUT)-(0))+IF(((c_TMAP1OUT)-(0))&gt;=0,1,-1)*QUOTIENT(((c_TMAP1IN)-(c_TFWD)),2)))&lt;0,-1,0),IF(IF(o_WRAP=1,MOD(((c_TMAP1IN)-(c_TFWD))*(((K22)-(c_TFWD))*((c_TMAP1OUT)-(0))+IF(((c_TMAP1OUT)-(0))&gt;=0,1,-1)*QUOTIENT(((c_TMAP1IN)-(c_TFWD)),2))+2147483648,4294967296)-2147483648,((c_TMAP1IN)-(c_TFWD))*(((K22)-(c_TFWD))*((c_TMAP1OUT)-(0))+IF(((c_TMAP1OUT)-(0))&gt;=0,1,-1)*QUOTIENT(((c_TMAP1IN)-(c_TFWD)),2)))&gt;=0,1,0)))</f>
        <v>-8</v>
      </c>
      <c r="N22" s="7" t="n">
        <f aca="false">IF(((c_TMAP2IN)-(c_TMAP1IN))=0,(c_TMAP1OUT)+QUOTIENT(((c_TMAP2OUT)-(c_TMAP1OUT)),2),QUOTIENT((((K22)-(c_TMAP1IN))*((c_TMAP2OUT)-(c_TMAP1OUT))+IF(((c_TMAP2OUT)-(c_TMAP1OUT))&gt;=0,1,-1)*QUOTIENT(((c_TMAP2IN)-(c_TMAP1IN)),2)),((c_TMAP2IN)-(c_TMAP1IN)))+(c_TMAP1OUT)+IF(((c_TMAP2OUT)-(c_TMAP1OUT))&gt;=0,IF(IF(o_WRAP=1,MOD(((c_TMAP2IN)-(c_TMAP1IN))*(((K22)-(c_TMAP1IN))*((c_TMAP2OUT)-(c_TMAP1OUT))+IF(((c_TMAP2OUT)-(c_TMAP1OUT))&gt;=0,1,-1)*QUOTIENT(((c_TMAP2IN)-(c_TMAP1IN)),2))+2147483648,4294967296)-2147483648,((c_TMAP2IN)-(c_TMAP1IN))*(((K22)-(c_TMAP1IN))*((c_TMAP2OUT)-(c_TMAP1OUT))+IF(((c_TMAP2OUT)-(c_TMAP1OUT))&gt;=0,1,-1)*QUOTIENT(((c_TMAP2IN)-(c_TMAP1IN)),2)))&lt;0,-1,0),IF(IF(o_WRAP=1,MOD(((c_TMAP2IN)-(c_TMAP1IN))*(((K22)-(c_TMAP1IN))*((c_TMAP2OUT)-(c_TMAP1OUT))+IF(((c_TMAP2OUT)-(c_TMAP1OUT))&gt;=0,1,-1)*QUOTIENT(((c_TMAP2IN)-(c_TMAP1IN)),2))+2147483648,4294967296)-2147483648,((c_TMAP2IN)-(c_TMAP1IN))*(((K22)-(c_TMAP1IN))*((c_TMAP2OUT)-(c_TMAP1OUT))+IF(((c_TMAP2OUT)-(c_TMAP1OUT))&gt;=0,1,-1)*QUOTIENT(((c_TMAP2IN)-(c_TMAP1IN)),2)))&gt;=0,1,0)))</f>
        <v>30</v>
      </c>
      <c r="O22" s="7" t="n">
        <f aca="false">IF(((c_TMAP3IN)-(c_TMAP2IN))=0,(c_TMAP2OUT)+QUOTIENT(((c_TMAP3OUT)-(c_TMAP2OUT)),2),QUOTIENT((((K22)-(c_TMAP2IN))*((c_TMAP3OUT)-(c_TMAP2OUT))+IF(((c_TMAP3OUT)-(c_TMAP2OUT))&gt;=0,1,-1)*QUOTIENT(((c_TMAP3IN)-(c_TMAP2IN)),2)),((c_TMAP3IN)-(c_TMAP2IN)))+(c_TMAP2OUT)+IF(((c_TMAP3OUT)-(c_TMAP2OUT))&gt;=0,IF(IF(o_WRAP=1,MOD(((c_TMAP3IN)-(c_TMAP2IN))*(((K22)-(c_TMAP2IN))*((c_TMAP3OUT)-(c_TMAP2OUT))+IF(((c_TMAP3OUT)-(c_TMAP2OUT))&gt;=0,1,-1)*QUOTIENT(((c_TMAP3IN)-(c_TMAP2IN)),2))+2147483648,4294967296)-2147483648,((c_TMAP3IN)-(c_TMAP2IN))*(((K22)-(c_TMAP2IN))*((c_TMAP3OUT)-(c_TMAP2OUT))+IF(((c_TMAP3OUT)-(c_TMAP2OUT))&gt;=0,1,-1)*QUOTIENT(((c_TMAP3IN)-(c_TMAP2IN)),2)))&lt;0,-1,0),IF(IF(o_WRAP=1,MOD(((c_TMAP3IN)-(c_TMAP2IN))*(((K22)-(c_TMAP2IN))*((c_TMAP3OUT)-(c_TMAP2OUT))+IF(((c_TMAP3OUT)-(c_TMAP2OUT))&gt;=0,1,-1)*QUOTIENT(((c_TMAP3IN)-(c_TMAP2IN)),2))+2147483648,4294967296)-2147483648,((c_TMAP3IN)-(c_TMAP2IN))*(((K22)-(c_TMAP2IN))*((c_TMAP3OUT)-(c_TMAP2OUT))+IF(((c_TMAP3OUT)-(c_TMAP2OUT))&gt;=0,1,-1)*QUOTIENT(((c_TMAP3IN)-(c_TMAP2IN)),2)))&gt;=0,1,0)))</f>
        <v>-45</v>
      </c>
      <c r="P22" s="7" t="n">
        <f aca="false">IF(((1000)-(c_TMAP3IN))=0,(c_TMAP3OUT)+QUOTIENT(((1000)-(c_TMAP3OUT)),2),QUOTIENT((((K22)-(c_TMAP3IN))*((1000)-(c_TMAP3OUT))+IF(((1000)-(c_TMAP3OUT))&gt;=0,1,-1)*QUOTIENT(((1000)-(c_TMAP3IN)),2)),((1000)-(c_TMAP3IN)))+(c_TMAP3OUT)+IF(((1000)-(c_TMAP3OUT))&gt;=0,IF(IF(o_WRAP=1,MOD(((1000)-(c_TMAP3IN))*(((K22)-(c_TMAP3IN))*((1000)-(c_TMAP3OUT))+IF(((1000)-(c_TMAP3OUT))&gt;=0,1,-1)*QUOTIENT(((1000)-(c_TMAP3IN)),2))+2147483648,4294967296)-2147483648,((1000)-(c_TMAP3IN))*(((K22)-(c_TMAP3IN))*((1000)-(c_TMAP3OUT))+IF(((1000)-(c_TMAP3OUT))&gt;=0,1,-1)*QUOTIENT(((1000)-(c_TMAP3IN)),2)))&lt;0,-1,0),IF(IF(o_WRAP=1,MOD(((1000)-(c_TMAP3IN))*(((K22)-(c_TMAP3IN))*((1000)-(c_TMAP3OUT))+IF(((1000)-(c_TMAP3OUT))&gt;=0,1,-1)*QUOTIENT(((1000)-(c_TMAP3IN)),2))+2147483648,4294967296)-2147483648,((1000)-(c_TMAP3IN))*(((K22)-(c_TMAP3IN))*((1000)-(c_TMAP3OUT))+IF(((1000)-(c_TMAP3OUT))&gt;=0,1,-1)*QUOTIENT(((1000)-(c_TMAP3IN)),2)))&gt;=0,1,0)))</f>
        <v>-231</v>
      </c>
      <c r="Q22" s="7" t="str">
        <f aca="false">IF(K22&gt;=c_TFWD,IF(AND(K22&gt;=c_TMAP3IN,c_TMAP3IN&lt;1000),"Seg4 map3-100%",IF(AND(K22&gt;=c_TMAP2IN,c_TMAP3IN&gt;c_TMAP2IN),"Seg3 map2-map3",IF(AND(K22&gt;=c_TMAP1IN,c_TMAP2IN&gt;c_TMAP1IN),"Seg2 map1-map2","Seg1 TFWD-map1"))),IF(AND(K22=0,c_TCREEP&gt;0),"Creep",IF(AND(K22&lt;=c_TRNGMIN,K22&gt;=c_TRNGMAX,c_TRNGMIN-c_TRNGMAX&lt;&gt;0),"Regen ramp","Coast (0)")))</f>
        <v>Regen ramp</v>
      </c>
      <c r="R22" s="7" t="n">
        <f aca="false">IF(K22&gt;=c_TFWD,IF(AND(K22&gt;=c_TMAP3IN,c_TMAP3IN&lt;1000),P22,IF(AND(K22&gt;=c_TMAP2IN,c_TMAP3IN&gt;c_TMAP2IN),O22,IF(AND(K22&gt;=c_TMAP1IN,c_TMAP2IN&gt;c_TMAP1IN),N22,M22))),L22)</f>
        <v>-350</v>
      </c>
      <c r="S22" s="7" t="str">
        <f aca="false">IF(R22&lt;-1090,"TOO LOW",IF(R22&gt;1090,"TOO HIGH",""))</f>
        <v/>
      </c>
      <c r="T22" s="15" t="n">
        <f aca="false">IF(H22&lt;&gt;"OK",0,IF(S22&lt;&gt;"",0,IF(R22&gt;979,1000,R22)))</f>
        <v>0</v>
      </c>
      <c r="U22" s="7" t="n">
        <f aca="false">T22/10</f>
        <v>0</v>
      </c>
    </row>
    <row r="23" customFormat="false" ht="15" hidden="false" customHeight="false" outlineLevel="0" collapsed="false">
      <c r="A23" s="7" t="n">
        <v>18</v>
      </c>
      <c r="B23" s="7" t="n">
        <f aca="false">ROUND(o_SWSTART+A23*(o_SWEND-o_SWSTART)/400,0)</f>
        <v>184</v>
      </c>
      <c r="C23" s="7" t="n">
        <f aca="false">QUOTIENT((B23-c_OFF1)*c_GAIN1,1024)</f>
        <v>184</v>
      </c>
      <c r="D23" s="7" t="n">
        <f aca="false">IF(((c_T1MX)-(c_T1MN))=0,(0)+QUOTIENT(((1000)-(0)),2),QUOTIENT((((C23)-(c_T1MN))*((1000)-(0))+IF(((1000)-(0))&gt;=0,1,-1)*QUOTIENT(((c_T1MX)-(c_T1MN)),2)),((c_T1MX)-(c_T1MN)))+(0)+IF(((1000)-(0))&gt;=0,IF(IF(o_WRAP=1,MOD(((c_T1MX)-(c_T1MN))*(((C23)-(c_T1MN))*((1000)-(0))+IF(((1000)-(0))&gt;=0,1,-1)*QUOTIENT(((c_T1MX)-(c_T1MN)),2))+2147483648,4294967296)-2147483648,((c_T1MX)-(c_T1MN))*(((C23)-(c_T1MN))*((1000)-(0))+IF(((1000)-(0))&gt;=0,1,-1)*QUOTIENT(((c_T1MX)-(c_T1MN)),2)))&lt;0,-1,0),IF(IF(o_WRAP=1,MOD(((c_T1MX)-(c_T1MN))*(((C23)-(c_T1MN))*((1000)-(0))+IF(((1000)-(0))&gt;=0,1,-1)*QUOTIENT(((c_T1MX)-(c_T1MN)),2))+2147483648,4294967296)-2147483648,((c_T1MX)-(c_T1MN))*(((C23)-(c_T1MN))*((1000)-(0))+IF(((1000)-(0))&gt;=0,1,-1)*QUOTIENT(((c_T1MX)-(c_T1MN)),2)))&gt;=0,1,0)))</f>
        <v>-192</v>
      </c>
      <c r="E23" s="7" t="n">
        <f aca="false">IF(AND(c_TPOT=1,c_TTYPE=2),1000-D23,D23)</f>
        <v>-192</v>
      </c>
      <c r="F23" s="7" t="str">
        <f aca="false">IF(c_TPOT&gt;1,ROUND(IF(c_TTYPE=2,c_T2MX-IF(c_T1MX=c_T1MN,0,(C23-c_T1MN)/(c_T1MX-c_T1MN))*(c_T2MX-c_T2MN),c_T2MN+IF(c_T1MX=c_T1MN,0,(C23-c_T1MN)/(c_T1MX-c_T1MN))*(c_T2MX-c_T2MN))+o_MISMATCH,0),"")</f>
        <v/>
      </c>
      <c r="G23" s="7" t="str">
        <f aca="false">IF(c_TPOT&gt;1,IF(((c_T2MX)-(c_T2MN))=0,(0)+QUOTIENT(((1000)-(0)),2),QUOTIENT((((F23)-(c_T2MN))*((1000)-(0))+IF(((1000)-(0))&gt;=0,1,-1)*QUOTIENT(((c_T2MX)-(c_T2MN)),2)),((c_T2MX)-(c_T2MN)))+(0)+IF(((1000)-(0))&gt;=0,IF(IF(o_WRAP=1,MOD(((c_T2MX)-(c_T2MN))*(((F23)-(c_T2MN))*((1000)-(0))+IF(((1000)-(0))&gt;=0,1,-1)*QUOTIENT(((c_T2MX)-(c_T2MN)),2))+2147483648,4294967296)-2147483648,((c_T2MX)-(c_T2MN))*(((F23)-(c_T2MN))*((1000)-(0))+IF(((1000)-(0))&gt;=0,1,-1)*QUOTIENT(((c_T2MX)-(c_T2MN)),2)))&lt;0,-1,0),IF(IF(o_WRAP=1,MOD(((c_T2MX)-(c_T2MN))*(((F23)-(c_T2MN))*((1000)-(0))+IF(((1000)-(0))&gt;=0,1,-1)*QUOTIENT(((c_T2MX)-(c_T2MN)),2))+2147483648,4294967296)-2147483648,((c_T2MX)-(c_T2MN))*(((F23)-(c_T2MN))*((1000)-(0))+IF(((1000)-(0))&gt;=0,1,-1)*QUOTIENT(((c_T2MX)-(c_T2MN)),2)))&gt;=0,1,0))),"")</f>
        <v/>
      </c>
      <c r="H23" s="7" t="str">
        <f aca="false">IF(E23&gt;1000+k_TOL,"T1 HIGH",IF(E23&lt;0-k_TOL,"T1 LOW",IF(c_TPOT&gt;1,IF(G23&gt;1000+k_TOL,"T2 HIGH",IF(G23&lt;0-k_TOL,"T2 LOW",IF(c_TTYPE=2,IF(ABS(1000-MAX(0,MIN(1000,E23))-MAX(0,MIN(1000,G23)))&gt;k_MAXERR,"MISMATCH","OK"),IF(OR(MAX(0,MIN(1000,E23))-k_MAXERR&gt;MAX(0,MIN(1000,G23)),MAX(0,MIN(1000,G23))-k_MAXERR&gt;MAX(0,MIN(1000,E23))),"MISMATCH","OK")))),"OK")))</f>
        <v>T1 LOW</v>
      </c>
      <c r="I23" s="7" t="n">
        <f aca="false">MAX(0,MIN(1000,D23))</f>
        <v>0</v>
      </c>
      <c r="J23" s="7" t="str">
        <f aca="false">IF(c_TPOT&gt;1,IF(c_TTYPE=2,1000-MAX(0,MIN(1000,G23)),MAX(0,MIN(1000,G23))),"")</f>
        <v/>
      </c>
      <c r="K23" s="7" t="n">
        <f aca="false">IF(c_TPOT&gt;1,QUOTIENT(I23+J23,2),I23)</f>
        <v>0</v>
      </c>
      <c r="L23" s="7" t="n">
        <f aca="false">IF(AND(K23=0,c_TCREEP&gt;0),10*c_TCREEP,IF(AND(K23&lt;=c_TRNGMIN,K23&gt;=c_TRNGMAX,c_TRNGMIN-c_TRNGMAX&lt;&gt;0),-10*c_TMINRN+QUOTIENT((c_TMAXRN-c_TMINRN)*(100-QUOTIENT((K23-c_TRNGMAX)*100,c_TRNGMIN-c_TRNGMAX)),-10),0))</f>
        <v>-350</v>
      </c>
      <c r="M23" s="7" t="n">
        <f aca="false">IF(((c_TMAP1IN)-(c_TFWD))=0,(0)+QUOTIENT(((c_TMAP1OUT)-(0)),2),QUOTIENT((((K23)-(c_TFWD))*((c_TMAP1OUT)-(0))+IF(((c_TMAP1OUT)-(0))&gt;=0,1,-1)*QUOTIENT(((c_TMAP1IN)-(c_TFWD)),2)),((c_TMAP1IN)-(c_TFWD)))+(0)+IF(((c_TMAP1OUT)-(0))&gt;=0,IF(IF(o_WRAP=1,MOD(((c_TMAP1IN)-(c_TFWD))*(((K23)-(c_TFWD))*((c_TMAP1OUT)-(0))+IF(((c_TMAP1OUT)-(0))&gt;=0,1,-1)*QUOTIENT(((c_TMAP1IN)-(c_TFWD)),2))+2147483648,4294967296)-2147483648,((c_TMAP1IN)-(c_TFWD))*(((K23)-(c_TFWD))*((c_TMAP1OUT)-(0))+IF(((c_TMAP1OUT)-(0))&gt;=0,1,-1)*QUOTIENT(((c_TMAP1IN)-(c_TFWD)),2)))&lt;0,-1,0),IF(IF(o_WRAP=1,MOD(((c_TMAP1IN)-(c_TFWD))*(((K23)-(c_TFWD))*((c_TMAP1OUT)-(0))+IF(((c_TMAP1OUT)-(0))&gt;=0,1,-1)*QUOTIENT(((c_TMAP1IN)-(c_TFWD)),2))+2147483648,4294967296)-2147483648,((c_TMAP1IN)-(c_TFWD))*(((K23)-(c_TFWD))*((c_TMAP1OUT)-(0))+IF(((c_TMAP1OUT)-(0))&gt;=0,1,-1)*QUOTIENT(((c_TMAP1IN)-(c_TFWD)),2)))&gt;=0,1,0)))</f>
        <v>-8</v>
      </c>
      <c r="N23" s="7" t="n">
        <f aca="false">IF(((c_TMAP2IN)-(c_TMAP1IN))=0,(c_TMAP1OUT)+QUOTIENT(((c_TMAP2OUT)-(c_TMAP1OUT)),2),QUOTIENT((((K23)-(c_TMAP1IN))*((c_TMAP2OUT)-(c_TMAP1OUT))+IF(((c_TMAP2OUT)-(c_TMAP1OUT))&gt;=0,1,-1)*QUOTIENT(((c_TMAP2IN)-(c_TMAP1IN)),2)),((c_TMAP2IN)-(c_TMAP1IN)))+(c_TMAP1OUT)+IF(((c_TMAP2OUT)-(c_TMAP1OUT))&gt;=0,IF(IF(o_WRAP=1,MOD(((c_TMAP2IN)-(c_TMAP1IN))*(((K23)-(c_TMAP1IN))*((c_TMAP2OUT)-(c_TMAP1OUT))+IF(((c_TMAP2OUT)-(c_TMAP1OUT))&gt;=0,1,-1)*QUOTIENT(((c_TMAP2IN)-(c_TMAP1IN)),2))+2147483648,4294967296)-2147483648,((c_TMAP2IN)-(c_TMAP1IN))*(((K23)-(c_TMAP1IN))*((c_TMAP2OUT)-(c_TMAP1OUT))+IF(((c_TMAP2OUT)-(c_TMAP1OUT))&gt;=0,1,-1)*QUOTIENT(((c_TMAP2IN)-(c_TMAP1IN)),2)))&lt;0,-1,0),IF(IF(o_WRAP=1,MOD(((c_TMAP2IN)-(c_TMAP1IN))*(((K23)-(c_TMAP1IN))*((c_TMAP2OUT)-(c_TMAP1OUT))+IF(((c_TMAP2OUT)-(c_TMAP1OUT))&gt;=0,1,-1)*QUOTIENT(((c_TMAP2IN)-(c_TMAP1IN)),2))+2147483648,4294967296)-2147483648,((c_TMAP2IN)-(c_TMAP1IN))*(((K23)-(c_TMAP1IN))*((c_TMAP2OUT)-(c_TMAP1OUT))+IF(((c_TMAP2OUT)-(c_TMAP1OUT))&gt;=0,1,-1)*QUOTIENT(((c_TMAP2IN)-(c_TMAP1IN)),2)))&gt;=0,1,0)))</f>
        <v>30</v>
      </c>
      <c r="O23" s="7" t="n">
        <f aca="false">IF(((c_TMAP3IN)-(c_TMAP2IN))=0,(c_TMAP2OUT)+QUOTIENT(((c_TMAP3OUT)-(c_TMAP2OUT)),2),QUOTIENT((((K23)-(c_TMAP2IN))*((c_TMAP3OUT)-(c_TMAP2OUT))+IF(((c_TMAP3OUT)-(c_TMAP2OUT))&gt;=0,1,-1)*QUOTIENT(((c_TMAP3IN)-(c_TMAP2IN)),2)),((c_TMAP3IN)-(c_TMAP2IN)))+(c_TMAP2OUT)+IF(((c_TMAP3OUT)-(c_TMAP2OUT))&gt;=0,IF(IF(o_WRAP=1,MOD(((c_TMAP3IN)-(c_TMAP2IN))*(((K23)-(c_TMAP2IN))*((c_TMAP3OUT)-(c_TMAP2OUT))+IF(((c_TMAP3OUT)-(c_TMAP2OUT))&gt;=0,1,-1)*QUOTIENT(((c_TMAP3IN)-(c_TMAP2IN)),2))+2147483648,4294967296)-2147483648,((c_TMAP3IN)-(c_TMAP2IN))*(((K23)-(c_TMAP2IN))*((c_TMAP3OUT)-(c_TMAP2OUT))+IF(((c_TMAP3OUT)-(c_TMAP2OUT))&gt;=0,1,-1)*QUOTIENT(((c_TMAP3IN)-(c_TMAP2IN)),2)))&lt;0,-1,0),IF(IF(o_WRAP=1,MOD(((c_TMAP3IN)-(c_TMAP2IN))*(((K23)-(c_TMAP2IN))*((c_TMAP3OUT)-(c_TMAP2OUT))+IF(((c_TMAP3OUT)-(c_TMAP2OUT))&gt;=0,1,-1)*QUOTIENT(((c_TMAP3IN)-(c_TMAP2IN)),2))+2147483648,4294967296)-2147483648,((c_TMAP3IN)-(c_TMAP2IN))*(((K23)-(c_TMAP2IN))*((c_TMAP3OUT)-(c_TMAP2OUT))+IF(((c_TMAP3OUT)-(c_TMAP2OUT))&gt;=0,1,-1)*QUOTIENT(((c_TMAP3IN)-(c_TMAP2IN)),2)))&gt;=0,1,0)))</f>
        <v>-45</v>
      </c>
      <c r="P23" s="7" t="n">
        <f aca="false">IF(((1000)-(c_TMAP3IN))=0,(c_TMAP3OUT)+QUOTIENT(((1000)-(c_TMAP3OUT)),2),QUOTIENT((((K23)-(c_TMAP3IN))*((1000)-(c_TMAP3OUT))+IF(((1000)-(c_TMAP3OUT))&gt;=0,1,-1)*QUOTIENT(((1000)-(c_TMAP3IN)),2)),((1000)-(c_TMAP3IN)))+(c_TMAP3OUT)+IF(((1000)-(c_TMAP3OUT))&gt;=0,IF(IF(o_WRAP=1,MOD(((1000)-(c_TMAP3IN))*(((K23)-(c_TMAP3IN))*((1000)-(c_TMAP3OUT))+IF(((1000)-(c_TMAP3OUT))&gt;=0,1,-1)*QUOTIENT(((1000)-(c_TMAP3IN)),2))+2147483648,4294967296)-2147483648,((1000)-(c_TMAP3IN))*(((K23)-(c_TMAP3IN))*((1000)-(c_TMAP3OUT))+IF(((1000)-(c_TMAP3OUT))&gt;=0,1,-1)*QUOTIENT(((1000)-(c_TMAP3IN)),2)))&lt;0,-1,0),IF(IF(o_WRAP=1,MOD(((1000)-(c_TMAP3IN))*(((K23)-(c_TMAP3IN))*((1000)-(c_TMAP3OUT))+IF(((1000)-(c_TMAP3OUT))&gt;=0,1,-1)*QUOTIENT(((1000)-(c_TMAP3IN)),2))+2147483648,4294967296)-2147483648,((1000)-(c_TMAP3IN))*(((K23)-(c_TMAP3IN))*((1000)-(c_TMAP3OUT))+IF(((1000)-(c_TMAP3OUT))&gt;=0,1,-1)*QUOTIENT(((1000)-(c_TMAP3IN)),2)))&gt;=0,1,0)))</f>
        <v>-231</v>
      </c>
      <c r="Q23" s="7" t="str">
        <f aca="false">IF(K23&gt;=c_TFWD,IF(AND(K23&gt;=c_TMAP3IN,c_TMAP3IN&lt;1000),"Seg4 map3-100%",IF(AND(K23&gt;=c_TMAP2IN,c_TMAP3IN&gt;c_TMAP2IN),"Seg3 map2-map3",IF(AND(K23&gt;=c_TMAP1IN,c_TMAP2IN&gt;c_TMAP1IN),"Seg2 map1-map2","Seg1 TFWD-map1"))),IF(AND(K23=0,c_TCREEP&gt;0),"Creep",IF(AND(K23&lt;=c_TRNGMIN,K23&gt;=c_TRNGMAX,c_TRNGMIN-c_TRNGMAX&lt;&gt;0),"Regen ramp","Coast (0)")))</f>
        <v>Regen ramp</v>
      </c>
      <c r="R23" s="7" t="n">
        <f aca="false">IF(K23&gt;=c_TFWD,IF(AND(K23&gt;=c_TMAP3IN,c_TMAP3IN&lt;1000),P23,IF(AND(K23&gt;=c_TMAP2IN,c_TMAP3IN&gt;c_TMAP2IN),O23,IF(AND(K23&gt;=c_TMAP1IN,c_TMAP2IN&gt;c_TMAP1IN),N23,M23))),L23)</f>
        <v>-350</v>
      </c>
      <c r="S23" s="7" t="str">
        <f aca="false">IF(R23&lt;-1090,"TOO LOW",IF(R23&gt;1090,"TOO HIGH",""))</f>
        <v/>
      </c>
      <c r="T23" s="15" t="n">
        <f aca="false">IF(H23&lt;&gt;"OK",0,IF(S23&lt;&gt;"",0,IF(R23&gt;979,1000,R23)))</f>
        <v>0</v>
      </c>
      <c r="U23" s="7" t="n">
        <f aca="false">T23/10</f>
        <v>0</v>
      </c>
    </row>
    <row r="24" customFormat="false" ht="15" hidden="false" customHeight="false" outlineLevel="0" collapsed="false">
      <c r="A24" s="7" t="n">
        <v>19</v>
      </c>
      <c r="B24" s="7" t="n">
        <f aca="false">ROUND(o_SWSTART+A24*(o_SWEND-o_SWSTART)/400,0)</f>
        <v>195</v>
      </c>
      <c r="C24" s="7" t="n">
        <f aca="false">QUOTIENT((B24-c_OFF1)*c_GAIN1,1024)</f>
        <v>195</v>
      </c>
      <c r="D24" s="7" t="n">
        <f aca="false">IF(((c_T1MX)-(c_T1MN))=0,(0)+QUOTIENT(((1000)-(0)),2),QUOTIENT((((C24)-(c_T1MN))*((1000)-(0))+IF(((1000)-(0))&gt;=0,1,-1)*QUOTIENT(((c_T1MX)-(c_T1MN)),2)),((c_T1MX)-(c_T1MN)))+(0)+IF(((1000)-(0))&gt;=0,IF(IF(o_WRAP=1,MOD(((c_T1MX)-(c_T1MN))*(((C24)-(c_T1MN))*((1000)-(0))+IF(((1000)-(0))&gt;=0,1,-1)*QUOTIENT(((c_T1MX)-(c_T1MN)),2))+2147483648,4294967296)-2147483648,((c_T1MX)-(c_T1MN))*(((C24)-(c_T1MN))*((1000)-(0))+IF(((1000)-(0))&gt;=0,1,-1)*QUOTIENT(((c_T1MX)-(c_T1MN)),2)))&lt;0,-1,0),IF(IF(o_WRAP=1,MOD(((c_T1MX)-(c_T1MN))*(((C24)-(c_T1MN))*((1000)-(0))+IF(((1000)-(0))&gt;=0,1,-1)*QUOTIENT(((c_T1MX)-(c_T1MN)),2))+2147483648,4294967296)-2147483648,((c_T1MX)-(c_T1MN))*(((C24)-(c_T1MN))*((1000)-(0))+IF(((1000)-(0))&gt;=0,1,-1)*QUOTIENT(((c_T1MX)-(c_T1MN)),2)))&gt;=0,1,0)))</f>
        <v>-188</v>
      </c>
      <c r="E24" s="7" t="n">
        <f aca="false">IF(AND(c_TPOT=1,c_TTYPE=2),1000-D24,D24)</f>
        <v>-188</v>
      </c>
      <c r="F24" s="7" t="str">
        <f aca="false">IF(c_TPOT&gt;1,ROUND(IF(c_TTYPE=2,c_T2MX-IF(c_T1MX=c_T1MN,0,(C24-c_T1MN)/(c_T1MX-c_T1MN))*(c_T2MX-c_T2MN),c_T2MN+IF(c_T1MX=c_T1MN,0,(C24-c_T1MN)/(c_T1MX-c_T1MN))*(c_T2MX-c_T2MN))+o_MISMATCH,0),"")</f>
        <v/>
      </c>
      <c r="G24" s="7" t="str">
        <f aca="false">IF(c_TPOT&gt;1,IF(((c_T2MX)-(c_T2MN))=0,(0)+QUOTIENT(((1000)-(0)),2),QUOTIENT((((F24)-(c_T2MN))*((1000)-(0))+IF(((1000)-(0))&gt;=0,1,-1)*QUOTIENT(((c_T2MX)-(c_T2MN)),2)),((c_T2MX)-(c_T2MN)))+(0)+IF(((1000)-(0))&gt;=0,IF(IF(o_WRAP=1,MOD(((c_T2MX)-(c_T2MN))*(((F24)-(c_T2MN))*((1000)-(0))+IF(((1000)-(0))&gt;=0,1,-1)*QUOTIENT(((c_T2MX)-(c_T2MN)),2))+2147483648,4294967296)-2147483648,((c_T2MX)-(c_T2MN))*(((F24)-(c_T2MN))*((1000)-(0))+IF(((1000)-(0))&gt;=0,1,-1)*QUOTIENT(((c_T2MX)-(c_T2MN)),2)))&lt;0,-1,0),IF(IF(o_WRAP=1,MOD(((c_T2MX)-(c_T2MN))*(((F24)-(c_T2MN))*((1000)-(0))+IF(((1000)-(0))&gt;=0,1,-1)*QUOTIENT(((c_T2MX)-(c_T2MN)),2))+2147483648,4294967296)-2147483648,((c_T2MX)-(c_T2MN))*(((F24)-(c_T2MN))*((1000)-(0))+IF(((1000)-(0))&gt;=0,1,-1)*QUOTIENT(((c_T2MX)-(c_T2MN)),2)))&gt;=0,1,0))),"")</f>
        <v/>
      </c>
      <c r="H24" s="7" t="str">
        <f aca="false">IF(E24&gt;1000+k_TOL,"T1 HIGH",IF(E24&lt;0-k_TOL,"T1 LOW",IF(c_TPOT&gt;1,IF(G24&gt;1000+k_TOL,"T2 HIGH",IF(G24&lt;0-k_TOL,"T2 LOW",IF(c_TTYPE=2,IF(ABS(1000-MAX(0,MIN(1000,E24))-MAX(0,MIN(1000,G24)))&gt;k_MAXERR,"MISMATCH","OK"),IF(OR(MAX(0,MIN(1000,E24))-k_MAXERR&gt;MAX(0,MIN(1000,G24)),MAX(0,MIN(1000,G24))-k_MAXERR&gt;MAX(0,MIN(1000,E24))),"MISMATCH","OK")))),"OK")))</f>
        <v>T1 LOW</v>
      </c>
      <c r="I24" s="7" t="n">
        <f aca="false">MAX(0,MIN(1000,D24))</f>
        <v>0</v>
      </c>
      <c r="J24" s="7" t="str">
        <f aca="false">IF(c_TPOT&gt;1,IF(c_TTYPE=2,1000-MAX(0,MIN(1000,G24)),MAX(0,MIN(1000,G24))),"")</f>
        <v/>
      </c>
      <c r="K24" s="7" t="n">
        <f aca="false">IF(c_TPOT&gt;1,QUOTIENT(I24+J24,2),I24)</f>
        <v>0</v>
      </c>
      <c r="L24" s="7" t="n">
        <f aca="false">IF(AND(K24=0,c_TCREEP&gt;0),10*c_TCREEP,IF(AND(K24&lt;=c_TRNGMIN,K24&gt;=c_TRNGMAX,c_TRNGMIN-c_TRNGMAX&lt;&gt;0),-10*c_TMINRN+QUOTIENT((c_TMAXRN-c_TMINRN)*(100-QUOTIENT((K24-c_TRNGMAX)*100,c_TRNGMIN-c_TRNGMAX)),-10),0))</f>
        <v>-350</v>
      </c>
      <c r="M24" s="7" t="n">
        <f aca="false">IF(((c_TMAP1IN)-(c_TFWD))=0,(0)+QUOTIENT(((c_TMAP1OUT)-(0)),2),QUOTIENT((((K24)-(c_TFWD))*((c_TMAP1OUT)-(0))+IF(((c_TMAP1OUT)-(0))&gt;=0,1,-1)*QUOTIENT(((c_TMAP1IN)-(c_TFWD)),2)),((c_TMAP1IN)-(c_TFWD)))+(0)+IF(((c_TMAP1OUT)-(0))&gt;=0,IF(IF(o_WRAP=1,MOD(((c_TMAP1IN)-(c_TFWD))*(((K24)-(c_TFWD))*((c_TMAP1OUT)-(0))+IF(((c_TMAP1OUT)-(0))&gt;=0,1,-1)*QUOTIENT(((c_TMAP1IN)-(c_TFWD)),2))+2147483648,4294967296)-2147483648,((c_TMAP1IN)-(c_TFWD))*(((K24)-(c_TFWD))*((c_TMAP1OUT)-(0))+IF(((c_TMAP1OUT)-(0))&gt;=0,1,-1)*QUOTIENT(((c_TMAP1IN)-(c_TFWD)),2)))&lt;0,-1,0),IF(IF(o_WRAP=1,MOD(((c_TMAP1IN)-(c_TFWD))*(((K24)-(c_TFWD))*((c_TMAP1OUT)-(0))+IF(((c_TMAP1OUT)-(0))&gt;=0,1,-1)*QUOTIENT(((c_TMAP1IN)-(c_TFWD)),2))+2147483648,4294967296)-2147483648,((c_TMAP1IN)-(c_TFWD))*(((K24)-(c_TFWD))*((c_TMAP1OUT)-(0))+IF(((c_TMAP1OUT)-(0))&gt;=0,1,-1)*QUOTIENT(((c_TMAP1IN)-(c_TFWD)),2)))&gt;=0,1,0)))</f>
        <v>-8</v>
      </c>
      <c r="N24" s="7" t="n">
        <f aca="false">IF(((c_TMAP2IN)-(c_TMAP1IN))=0,(c_TMAP1OUT)+QUOTIENT(((c_TMAP2OUT)-(c_TMAP1OUT)),2),QUOTIENT((((K24)-(c_TMAP1IN))*((c_TMAP2OUT)-(c_TMAP1OUT))+IF(((c_TMAP2OUT)-(c_TMAP1OUT))&gt;=0,1,-1)*QUOTIENT(((c_TMAP2IN)-(c_TMAP1IN)),2)),((c_TMAP2IN)-(c_TMAP1IN)))+(c_TMAP1OUT)+IF(((c_TMAP2OUT)-(c_TMAP1OUT))&gt;=0,IF(IF(o_WRAP=1,MOD(((c_TMAP2IN)-(c_TMAP1IN))*(((K24)-(c_TMAP1IN))*((c_TMAP2OUT)-(c_TMAP1OUT))+IF(((c_TMAP2OUT)-(c_TMAP1OUT))&gt;=0,1,-1)*QUOTIENT(((c_TMAP2IN)-(c_TMAP1IN)),2))+2147483648,4294967296)-2147483648,((c_TMAP2IN)-(c_TMAP1IN))*(((K24)-(c_TMAP1IN))*((c_TMAP2OUT)-(c_TMAP1OUT))+IF(((c_TMAP2OUT)-(c_TMAP1OUT))&gt;=0,1,-1)*QUOTIENT(((c_TMAP2IN)-(c_TMAP1IN)),2)))&lt;0,-1,0),IF(IF(o_WRAP=1,MOD(((c_TMAP2IN)-(c_TMAP1IN))*(((K24)-(c_TMAP1IN))*((c_TMAP2OUT)-(c_TMAP1OUT))+IF(((c_TMAP2OUT)-(c_TMAP1OUT))&gt;=0,1,-1)*QUOTIENT(((c_TMAP2IN)-(c_TMAP1IN)),2))+2147483648,4294967296)-2147483648,((c_TMAP2IN)-(c_TMAP1IN))*(((K24)-(c_TMAP1IN))*((c_TMAP2OUT)-(c_TMAP1OUT))+IF(((c_TMAP2OUT)-(c_TMAP1OUT))&gt;=0,1,-1)*QUOTIENT(((c_TMAP2IN)-(c_TMAP1IN)),2)))&gt;=0,1,0)))</f>
        <v>30</v>
      </c>
      <c r="O24" s="7" t="n">
        <f aca="false">IF(((c_TMAP3IN)-(c_TMAP2IN))=0,(c_TMAP2OUT)+QUOTIENT(((c_TMAP3OUT)-(c_TMAP2OUT)),2),QUOTIENT((((K24)-(c_TMAP2IN))*((c_TMAP3OUT)-(c_TMAP2OUT))+IF(((c_TMAP3OUT)-(c_TMAP2OUT))&gt;=0,1,-1)*QUOTIENT(((c_TMAP3IN)-(c_TMAP2IN)),2)),((c_TMAP3IN)-(c_TMAP2IN)))+(c_TMAP2OUT)+IF(((c_TMAP3OUT)-(c_TMAP2OUT))&gt;=0,IF(IF(o_WRAP=1,MOD(((c_TMAP3IN)-(c_TMAP2IN))*(((K24)-(c_TMAP2IN))*((c_TMAP3OUT)-(c_TMAP2OUT))+IF(((c_TMAP3OUT)-(c_TMAP2OUT))&gt;=0,1,-1)*QUOTIENT(((c_TMAP3IN)-(c_TMAP2IN)),2))+2147483648,4294967296)-2147483648,((c_TMAP3IN)-(c_TMAP2IN))*(((K24)-(c_TMAP2IN))*((c_TMAP3OUT)-(c_TMAP2OUT))+IF(((c_TMAP3OUT)-(c_TMAP2OUT))&gt;=0,1,-1)*QUOTIENT(((c_TMAP3IN)-(c_TMAP2IN)),2)))&lt;0,-1,0),IF(IF(o_WRAP=1,MOD(((c_TMAP3IN)-(c_TMAP2IN))*(((K24)-(c_TMAP2IN))*((c_TMAP3OUT)-(c_TMAP2OUT))+IF(((c_TMAP3OUT)-(c_TMAP2OUT))&gt;=0,1,-1)*QUOTIENT(((c_TMAP3IN)-(c_TMAP2IN)),2))+2147483648,4294967296)-2147483648,((c_TMAP3IN)-(c_TMAP2IN))*(((K24)-(c_TMAP2IN))*((c_TMAP3OUT)-(c_TMAP2OUT))+IF(((c_TMAP3OUT)-(c_TMAP2OUT))&gt;=0,1,-1)*QUOTIENT(((c_TMAP3IN)-(c_TMAP2IN)),2)))&gt;=0,1,0)))</f>
        <v>-45</v>
      </c>
      <c r="P24" s="7" t="n">
        <f aca="false">IF(((1000)-(c_TMAP3IN))=0,(c_TMAP3OUT)+QUOTIENT(((1000)-(c_TMAP3OUT)),2),QUOTIENT((((K24)-(c_TMAP3IN))*((1000)-(c_TMAP3OUT))+IF(((1000)-(c_TMAP3OUT))&gt;=0,1,-1)*QUOTIENT(((1000)-(c_TMAP3IN)),2)),((1000)-(c_TMAP3IN)))+(c_TMAP3OUT)+IF(((1000)-(c_TMAP3OUT))&gt;=0,IF(IF(o_WRAP=1,MOD(((1000)-(c_TMAP3IN))*(((K24)-(c_TMAP3IN))*((1000)-(c_TMAP3OUT))+IF(((1000)-(c_TMAP3OUT))&gt;=0,1,-1)*QUOTIENT(((1000)-(c_TMAP3IN)),2))+2147483648,4294967296)-2147483648,((1000)-(c_TMAP3IN))*(((K24)-(c_TMAP3IN))*((1000)-(c_TMAP3OUT))+IF(((1000)-(c_TMAP3OUT))&gt;=0,1,-1)*QUOTIENT(((1000)-(c_TMAP3IN)),2)))&lt;0,-1,0),IF(IF(o_WRAP=1,MOD(((1000)-(c_TMAP3IN))*(((K24)-(c_TMAP3IN))*((1000)-(c_TMAP3OUT))+IF(((1000)-(c_TMAP3OUT))&gt;=0,1,-1)*QUOTIENT(((1000)-(c_TMAP3IN)),2))+2147483648,4294967296)-2147483648,((1000)-(c_TMAP3IN))*(((K24)-(c_TMAP3IN))*((1000)-(c_TMAP3OUT))+IF(((1000)-(c_TMAP3OUT))&gt;=0,1,-1)*QUOTIENT(((1000)-(c_TMAP3IN)),2)))&gt;=0,1,0)))</f>
        <v>-231</v>
      </c>
      <c r="Q24" s="7" t="str">
        <f aca="false">IF(K24&gt;=c_TFWD,IF(AND(K24&gt;=c_TMAP3IN,c_TMAP3IN&lt;1000),"Seg4 map3-100%",IF(AND(K24&gt;=c_TMAP2IN,c_TMAP3IN&gt;c_TMAP2IN),"Seg3 map2-map3",IF(AND(K24&gt;=c_TMAP1IN,c_TMAP2IN&gt;c_TMAP1IN),"Seg2 map1-map2","Seg1 TFWD-map1"))),IF(AND(K24=0,c_TCREEP&gt;0),"Creep",IF(AND(K24&lt;=c_TRNGMIN,K24&gt;=c_TRNGMAX,c_TRNGMIN-c_TRNGMAX&lt;&gt;0),"Regen ramp","Coast (0)")))</f>
        <v>Regen ramp</v>
      </c>
      <c r="R24" s="7" t="n">
        <f aca="false">IF(K24&gt;=c_TFWD,IF(AND(K24&gt;=c_TMAP3IN,c_TMAP3IN&lt;1000),P24,IF(AND(K24&gt;=c_TMAP2IN,c_TMAP3IN&gt;c_TMAP2IN),O24,IF(AND(K24&gt;=c_TMAP1IN,c_TMAP2IN&gt;c_TMAP1IN),N24,M24))),L24)</f>
        <v>-350</v>
      </c>
      <c r="S24" s="7" t="str">
        <f aca="false">IF(R24&lt;-1090,"TOO LOW",IF(R24&gt;1090,"TOO HIGH",""))</f>
        <v/>
      </c>
      <c r="T24" s="15" t="n">
        <f aca="false">IF(H24&lt;&gt;"OK",0,IF(S24&lt;&gt;"",0,IF(R24&gt;979,1000,R24)))</f>
        <v>0</v>
      </c>
      <c r="U24" s="7" t="n">
        <f aca="false">T24/10</f>
        <v>0</v>
      </c>
    </row>
    <row r="25" customFormat="false" ht="15" hidden="false" customHeight="false" outlineLevel="0" collapsed="false">
      <c r="A25" s="7" t="n">
        <v>20</v>
      </c>
      <c r="B25" s="7" t="n">
        <f aca="false">ROUND(o_SWSTART+A25*(o_SWEND-o_SWSTART)/400,0)</f>
        <v>205</v>
      </c>
      <c r="C25" s="7" t="n">
        <f aca="false">QUOTIENT((B25-c_OFF1)*c_GAIN1,1024)</f>
        <v>205</v>
      </c>
      <c r="D25" s="7" t="n">
        <f aca="false">IF(((c_T1MX)-(c_T1MN))=0,(0)+QUOTIENT(((1000)-(0)),2),QUOTIENT((((C25)-(c_T1MN))*((1000)-(0))+IF(((1000)-(0))&gt;=0,1,-1)*QUOTIENT(((c_T1MX)-(c_T1MN)),2)),((c_T1MX)-(c_T1MN)))+(0)+IF(((1000)-(0))&gt;=0,IF(IF(o_WRAP=1,MOD(((c_T1MX)-(c_T1MN))*(((C25)-(c_T1MN))*((1000)-(0))+IF(((1000)-(0))&gt;=0,1,-1)*QUOTIENT(((c_T1MX)-(c_T1MN)),2))+2147483648,4294967296)-2147483648,((c_T1MX)-(c_T1MN))*(((C25)-(c_T1MN))*((1000)-(0))+IF(((1000)-(0))&gt;=0,1,-1)*QUOTIENT(((c_T1MX)-(c_T1MN)),2)))&lt;0,-1,0),IF(IF(o_WRAP=1,MOD(((c_T1MX)-(c_T1MN))*(((C25)-(c_T1MN))*((1000)-(0))+IF(((1000)-(0))&gt;=0,1,-1)*QUOTIENT(((c_T1MX)-(c_T1MN)),2))+2147483648,4294967296)-2147483648,((c_T1MX)-(c_T1MN))*(((C25)-(c_T1MN))*((1000)-(0))+IF(((1000)-(0))&gt;=0,1,-1)*QUOTIENT(((c_T1MX)-(c_T1MN)),2)))&gt;=0,1,0)))</f>
        <v>-185</v>
      </c>
      <c r="E25" s="7" t="n">
        <f aca="false">IF(AND(c_TPOT=1,c_TTYPE=2),1000-D25,D25)</f>
        <v>-185</v>
      </c>
      <c r="F25" s="7" t="str">
        <f aca="false">IF(c_TPOT&gt;1,ROUND(IF(c_TTYPE=2,c_T2MX-IF(c_T1MX=c_T1MN,0,(C25-c_T1MN)/(c_T1MX-c_T1MN))*(c_T2MX-c_T2MN),c_T2MN+IF(c_T1MX=c_T1MN,0,(C25-c_T1MN)/(c_T1MX-c_T1MN))*(c_T2MX-c_T2MN))+o_MISMATCH,0),"")</f>
        <v/>
      </c>
      <c r="G25" s="7" t="str">
        <f aca="false">IF(c_TPOT&gt;1,IF(((c_T2MX)-(c_T2MN))=0,(0)+QUOTIENT(((1000)-(0)),2),QUOTIENT((((F25)-(c_T2MN))*((1000)-(0))+IF(((1000)-(0))&gt;=0,1,-1)*QUOTIENT(((c_T2MX)-(c_T2MN)),2)),((c_T2MX)-(c_T2MN)))+(0)+IF(((1000)-(0))&gt;=0,IF(IF(o_WRAP=1,MOD(((c_T2MX)-(c_T2MN))*(((F25)-(c_T2MN))*((1000)-(0))+IF(((1000)-(0))&gt;=0,1,-1)*QUOTIENT(((c_T2MX)-(c_T2MN)),2))+2147483648,4294967296)-2147483648,((c_T2MX)-(c_T2MN))*(((F25)-(c_T2MN))*((1000)-(0))+IF(((1000)-(0))&gt;=0,1,-1)*QUOTIENT(((c_T2MX)-(c_T2MN)),2)))&lt;0,-1,0),IF(IF(o_WRAP=1,MOD(((c_T2MX)-(c_T2MN))*(((F25)-(c_T2MN))*((1000)-(0))+IF(((1000)-(0))&gt;=0,1,-1)*QUOTIENT(((c_T2MX)-(c_T2MN)),2))+2147483648,4294967296)-2147483648,((c_T2MX)-(c_T2MN))*(((F25)-(c_T2MN))*((1000)-(0))+IF(((1000)-(0))&gt;=0,1,-1)*QUOTIENT(((c_T2MX)-(c_T2MN)),2)))&gt;=0,1,0))),"")</f>
        <v/>
      </c>
      <c r="H25" s="7" t="str">
        <f aca="false">IF(E25&gt;1000+k_TOL,"T1 HIGH",IF(E25&lt;0-k_TOL,"T1 LOW",IF(c_TPOT&gt;1,IF(G25&gt;1000+k_TOL,"T2 HIGH",IF(G25&lt;0-k_TOL,"T2 LOW",IF(c_TTYPE=2,IF(ABS(1000-MAX(0,MIN(1000,E25))-MAX(0,MIN(1000,G25)))&gt;k_MAXERR,"MISMATCH","OK"),IF(OR(MAX(0,MIN(1000,E25))-k_MAXERR&gt;MAX(0,MIN(1000,G25)),MAX(0,MIN(1000,G25))-k_MAXERR&gt;MAX(0,MIN(1000,E25))),"MISMATCH","OK")))),"OK")))</f>
        <v>T1 LOW</v>
      </c>
      <c r="I25" s="7" t="n">
        <f aca="false">MAX(0,MIN(1000,D25))</f>
        <v>0</v>
      </c>
      <c r="J25" s="7" t="str">
        <f aca="false">IF(c_TPOT&gt;1,IF(c_TTYPE=2,1000-MAX(0,MIN(1000,G25)),MAX(0,MIN(1000,G25))),"")</f>
        <v/>
      </c>
      <c r="K25" s="7" t="n">
        <f aca="false">IF(c_TPOT&gt;1,QUOTIENT(I25+J25,2),I25)</f>
        <v>0</v>
      </c>
      <c r="L25" s="7" t="n">
        <f aca="false">IF(AND(K25=0,c_TCREEP&gt;0),10*c_TCREEP,IF(AND(K25&lt;=c_TRNGMIN,K25&gt;=c_TRNGMAX,c_TRNGMIN-c_TRNGMAX&lt;&gt;0),-10*c_TMINRN+QUOTIENT((c_TMAXRN-c_TMINRN)*(100-QUOTIENT((K25-c_TRNGMAX)*100,c_TRNGMIN-c_TRNGMAX)),-10),0))</f>
        <v>-350</v>
      </c>
      <c r="M25" s="7" t="n">
        <f aca="false">IF(((c_TMAP1IN)-(c_TFWD))=0,(0)+QUOTIENT(((c_TMAP1OUT)-(0)),2),QUOTIENT((((K25)-(c_TFWD))*((c_TMAP1OUT)-(0))+IF(((c_TMAP1OUT)-(0))&gt;=0,1,-1)*QUOTIENT(((c_TMAP1IN)-(c_TFWD)),2)),((c_TMAP1IN)-(c_TFWD)))+(0)+IF(((c_TMAP1OUT)-(0))&gt;=0,IF(IF(o_WRAP=1,MOD(((c_TMAP1IN)-(c_TFWD))*(((K25)-(c_TFWD))*((c_TMAP1OUT)-(0))+IF(((c_TMAP1OUT)-(0))&gt;=0,1,-1)*QUOTIENT(((c_TMAP1IN)-(c_TFWD)),2))+2147483648,4294967296)-2147483648,((c_TMAP1IN)-(c_TFWD))*(((K25)-(c_TFWD))*((c_TMAP1OUT)-(0))+IF(((c_TMAP1OUT)-(0))&gt;=0,1,-1)*QUOTIENT(((c_TMAP1IN)-(c_TFWD)),2)))&lt;0,-1,0),IF(IF(o_WRAP=1,MOD(((c_TMAP1IN)-(c_TFWD))*(((K25)-(c_TFWD))*((c_TMAP1OUT)-(0))+IF(((c_TMAP1OUT)-(0))&gt;=0,1,-1)*QUOTIENT(((c_TMAP1IN)-(c_TFWD)),2))+2147483648,4294967296)-2147483648,((c_TMAP1IN)-(c_TFWD))*(((K25)-(c_TFWD))*((c_TMAP1OUT)-(0))+IF(((c_TMAP1OUT)-(0))&gt;=0,1,-1)*QUOTIENT(((c_TMAP1IN)-(c_TFWD)),2)))&gt;=0,1,0)))</f>
        <v>-8</v>
      </c>
      <c r="N25" s="7" t="n">
        <f aca="false">IF(((c_TMAP2IN)-(c_TMAP1IN))=0,(c_TMAP1OUT)+QUOTIENT(((c_TMAP2OUT)-(c_TMAP1OUT)),2),QUOTIENT((((K25)-(c_TMAP1IN))*((c_TMAP2OUT)-(c_TMAP1OUT))+IF(((c_TMAP2OUT)-(c_TMAP1OUT))&gt;=0,1,-1)*QUOTIENT(((c_TMAP2IN)-(c_TMAP1IN)),2)),((c_TMAP2IN)-(c_TMAP1IN)))+(c_TMAP1OUT)+IF(((c_TMAP2OUT)-(c_TMAP1OUT))&gt;=0,IF(IF(o_WRAP=1,MOD(((c_TMAP2IN)-(c_TMAP1IN))*(((K25)-(c_TMAP1IN))*((c_TMAP2OUT)-(c_TMAP1OUT))+IF(((c_TMAP2OUT)-(c_TMAP1OUT))&gt;=0,1,-1)*QUOTIENT(((c_TMAP2IN)-(c_TMAP1IN)),2))+2147483648,4294967296)-2147483648,((c_TMAP2IN)-(c_TMAP1IN))*(((K25)-(c_TMAP1IN))*((c_TMAP2OUT)-(c_TMAP1OUT))+IF(((c_TMAP2OUT)-(c_TMAP1OUT))&gt;=0,1,-1)*QUOTIENT(((c_TMAP2IN)-(c_TMAP1IN)),2)))&lt;0,-1,0),IF(IF(o_WRAP=1,MOD(((c_TMAP2IN)-(c_TMAP1IN))*(((K25)-(c_TMAP1IN))*((c_TMAP2OUT)-(c_TMAP1OUT))+IF(((c_TMAP2OUT)-(c_TMAP1OUT))&gt;=0,1,-1)*QUOTIENT(((c_TMAP2IN)-(c_TMAP1IN)),2))+2147483648,4294967296)-2147483648,((c_TMAP2IN)-(c_TMAP1IN))*(((K25)-(c_TMAP1IN))*((c_TMAP2OUT)-(c_TMAP1OUT))+IF(((c_TMAP2OUT)-(c_TMAP1OUT))&gt;=0,1,-1)*QUOTIENT(((c_TMAP2IN)-(c_TMAP1IN)),2)))&gt;=0,1,0)))</f>
        <v>30</v>
      </c>
      <c r="O25" s="7" t="n">
        <f aca="false">IF(((c_TMAP3IN)-(c_TMAP2IN))=0,(c_TMAP2OUT)+QUOTIENT(((c_TMAP3OUT)-(c_TMAP2OUT)),2),QUOTIENT((((K25)-(c_TMAP2IN))*((c_TMAP3OUT)-(c_TMAP2OUT))+IF(((c_TMAP3OUT)-(c_TMAP2OUT))&gt;=0,1,-1)*QUOTIENT(((c_TMAP3IN)-(c_TMAP2IN)),2)),((c_TMAP3IN)-(c_TMAP2IN)))+(c_TMAP2OUT)+IF(((c_TMAP3OUT)-(c_TMAP2OUT))&gt;=0,IF(IF(o_WRAP=1,MOD(((c_TMAP3IN)-(c_TMAP2IN))*(((K25)-(c_TMAP2IN))*((c_TMAP3OUT)-(c_TMAP2OUT))+IF(((c_TMAP3OUT)-(c_TMAP2OUT))&gt;=0,1,-1)*QUOTIENT(((c_TMAP3IN)-(c_TMAP2IN)),2))+2147483648,4294967296)-2147483648,((c_TMAP3IN)-(c_TMAP2IN))*(((K25)-(c_TMAP2IN))*((c_TMAP3OUT)-(c_TMAP2OUT))+IF(((c_TMAP3OUT)-(c_TMAP2OUT))&gt;=0,1,-1)*QUOTIENT(((c_TMAP3IN)-(c_TMAP2IN)),2)))&lt;0,-1,0),IF(IF(o_WRAP=1,MOD(((c_TMAP3IN)-(c_TMAP2IN))*(((K25)-(c_TMAP2IN))*((c_TMAP3OUT)-(c_TMAP2OUT))+IF(((c_TMAP3OUT)-(c_TMAP2OUT))&gt;=0,1,-1)*QUOTIENT(((c_TMAP3IN)-(c_TMAP2IN)),2))+2147483648,4294967296)-2147483648,((c_TMAP3IN)-(c_TMAP2IN))*(((K25)-(c_TMAP2IN))*((c_TMAP3OUT)-(c_TMAP2OUT))+IF(((c_TMAP3OUT)-(c_TMAP2OUT))&gt;=0,1,-1)*QUOTIENT(((c_TMAP3IN)-(c_TMAP2IN)),2)))&gt;=0,1,0)))</f>
        <v>-45</v>
      </c>
      <c r="P25" s="7" t="n">
        <f aca="false">IF(((1000)-(c_TMAP3IN))=0,(c_TMAP3OUT)+QUOTIENT(((1000)-(c_TMAP3OUT)),2),QUOTIENT((((K25)-(c_TMAP3IN))*((1000)-(c_TMAP3OUT))+IF(((1000)-(c_TMAP3OUT))&gt;=0,1,-1)*QUOTIENT(((1000)-(c_TMAP3IN)),2)),((1000)-(c_TMAP3IN)))+(c_TMAP3OUT)+IF(((1000)-(c_TMAP3OUT))&gt;=0,IF(IF(o_WRAP=1,MOD(((1000)-(c_TMAP3IN))*(((K25)-(c_TMAP3IN))*((1000)-(c_TMAP3OUT))+IF(((1000)-(c_TMAP3OUT))&gt;=0,1,-1)*QUOTIENT(((1000)-(c_TMAP3IN)),2))+2147483648,4294967296)-2147483648,((1000)-(c_TMAP3IN))*(((K25)-(c_TMAP3IN))*((1000)-(c_TMAP3OUT))+IF(((1000)-(c_TMAP3OUT))&gt;=0,1,-1)*QUOTIENT(((1000)-(c_TMAP3IN)),2)))&lt;0,-1,0),IF(IF(o_WRAP=1,MOD(((1000)-(c_TMAP3IN))*(((K25)-(c_TMAP3IN))*((1000)-(c_TMAP3OUT))+IF(((1000)-(c_TMAP3OUT))&gt;=0,1,-1)*QUOTIENT(((1000)-(c_TMAP3IN)),2))+2147483648,4294967296)-2147483648,((1000)-(c_TMAP3IN))*(((K25)-(c_TMAP3IN))*((1000)-(c_TMAP3OUT))+IF(((1000)-(c_TMAP3OUT))&gt;=0,1,-1)*QUOTIENT(((1000)-(c_TMAP3IN)),2)))&gt;=0,1,0)))</f>
        <v>-231</v>
      </c>
      <c r="Q25" s="7" t="str">
        <f aca="false">IF(K25&gt;=c_TFWD,IF(AND(K25&gt;=c_TMAP3IN,c_TMAP3IN&lt;1000),"Seg4 map3-100%",IF(AND(K25&gt;=c_TMAP2IN,c_TMAP3IN&gt;c_TMAP2IN),"Seg3 map2-map3",IF(AND(K25&gt;=c_TMAP1IN,c_TMAP2IN&gt;c_TMAP1IN),"Seg2 map1-map2","Seg1 TFWD-map1"))),IF(AND(K25=0,c_TCREEP&gt;0),"Creep",IF(AND(K25&lt;=c_TRNGMIN,K25&gt;=c_TRNGMAX,c_TRNGMIN-c_TRNGMAX&lt;&gt;0),"Regen ramp","Coast (0)")))</f>
        <v>Regen ramp</v>
      </c>
      <c r="R25" s="7" t="n">
        <f aca="false">IF(K25&gt;=c_TFWD,IF(AND(K25&gt;=c_TMAP3IN,c_TMAP3IN&lt;1000),P25,IF(AND(K25&gt;=c_TMAP2IN,c_TMAP3IN&gt;c_TMAP2IN),O25,IF(AND(K25&gt;=c_TMAP1IN,c_TMAP2IN&gt;c_TMAP1IN),N25,M25))),L25)</f>
        <v>-350</v>
      </c>
      <c r="S25" s="7" t="str">
        <f aca="false">IF(R25&lt;-1090,"TOO LOW",IF(R25&gt;1090,"TOO HIGH",""))</f>
        <v/>
      </c>
      <c r="T25" s="15" t="n">
        <f aca="false">IF(H25&lt;&gt;"OK",0,IF(S25&lt;&gt;"",0,IF(R25&gt;979,1000,R25)))</f>
        <v>0</v>
      </c>
      <c r="U25" s="7" t="n">
        <f aca="false">T25/10</f>
        <v>0</v>
      </c>
    </row>
    <row r="26" customFormat="false" ht="15" hidden="false" customHeight="false" outlineLevel="0" collapsed="false">
      <c r="A26" s="7" t="n">
        <v>21</v>
      </c>
      <c r="B26" s="7" t="n">
        <f aca="false">ROUND(o_SWSTART+A26*(o_SWEND-o_SWSTART)/400,0)</f>
        <v>215</v>
      </c>
      <c r="C26" s="7" t="n">
        <f aca="false">QUOTIENT((B26-c_OFF1)*c_GAIN1,1024)</f>
        <v>215</v>
      </c>
      <c r="D26" s="7" t="n">
        <f aca="false">IF(((c_T1MX)-(c_T1MN))=0,(0)+QUOTIENT(((1000)-(0)),2),QUOTIENT((((C26)-(c_T1MN))*((1000)-(0))+IF(((1000)-(0))&gt;=0,1,-1)*QUOTIENT(((c_T1MX)-(c_T1MN)),2)),((c_T1MX)-(c_T1MN)))+(0)+IF(((1000)-(0))&gt;=0,IF(IF(o_WRAP=1,MOD(((c_T1MX)-(c_T1MN))*(((C26)-(c_T1MN))*((1000)-(0))+IF(((1000)-(0))&gt;=0,1,-1)*QUOTIENT(((c_T1MX)-(c_T1MN)),2))+2147483648,4294967296)-2147483648,((c_T1MX)-(c_T1MN))*(((C26)-(c_T1MN))*((1000)-(0))+IF(((1000)-(0))&gt;=0,1,-1)*QUOTIENT(((c_T1MX)-(c_T1MN)),2)))&lt;0,-1,0),IF(IF(o_WRAP=1,MOD(((c_T1MX)-(c_T1MN))*(((C26)-(c_T1MN))*((1000)-(0))+IF(((1000)-(0))&gt;=0,1,-1)*QUOTIENT(((c_T1MX)-(c_T1MN)),2))+2147483648,4294967296)-2147483648,((c_T1MX)-(c_T1MN))*(((C26)-(c_T1MN))*((1000)-(0))+IF(((1000)-(0))&gt;=0,1,-1)*QUOTIENT(((c_T1MX)-(c_T1MN)),2)))&gt;=0,1,0)))</f>
        <v>-181</v>
      </c>
      <c r="E26" s="7" t="n">
        <f aca="false">IF(AND(c_TPOT=1,c_TTYPE=2),1000-D26,D26)</f>
        <v>-181</v>
      </c>
      <c r="F26" s="7" t="str">
        <f aca="false">IF(c_TPOT&gt;1,ROUND(IF(c_TTYPE=2,c_T2MX-IF(c_T1MX=c_T1MN,0,(C26-c_T1MN)/(c_T1MX-c_T1MN))*(c_T2MX-c_T2MN),c_T2MN+IF(c_T1MX=c_T1MN,0,(C26-c_T1MN)/(c_T1MX-c_T1MN))*(c_T2MX-c_T2MN))+o_MISMATCH,0),"")</f>
        <v/>
      </c>
      <c r="G26" s="7" t="str">
        <f aca="false">IF(c_TPOT&gt;1,IF(((c_T2MX)-(c_T2MN))=0,(0)+QUOTIENT(((1000)-(0)),2),QUOTIENT((((F26)-(c_T2MN))*((1000)-(0))+IF(((1000)-(0))&gt;=0,1,-1)*QUOTIENT(((c_T2MX)-(c_T2MN)),2)),((c_T2MX)-(c_T2MN)))+(0)+IF(((1000)-(0))&gt;=0,IF(IF(o_WRAP=1,MOD(((c_T2MX)-(c_T2MN))*(((F26)-(c_T2MN))*((1000)-(0))+IF(((1000)-(0))&gt;=0,1,-1)*QUOTIENT(((c_T2MX)-(c_T2MN)),2))+2147483648,4294967296)-2147483648,((c_T2MX)-(c_T2MN))*(((F26)-(c_T2MN))*((1000)-(0))+IF(((1000)-(0))&gt;=0,1,-1)*QUOTIENT(((c_T2MX)-(c_T2MN)),2)))&lt;0,-1,0),IF(IF(o_WRAP=1,MOD(((c_T2MX)-(c_T2MN))*(((F26)-(c_T2MN))*((1000)-(0))+IF(((1000)-(0))&gt;=0,1,-1)*QUOTIENT(((c_T2MX)-(c_T2MN)),2))+2147483648,4294967296)-2147483648,((c_T2MX)-(c_T2MN))*(((F26)-(c_T2MN))*((1000)-(0))+IF(((1000)-(0))&gt;=0,1,-1)*QUOTIENT(((c_T2MX)-(c_T2MN)),2)))&gt;=0,1,0))),"")</f>
        <v/>
      </c>
      <c r="H26" s="7" t="str">
        <f aca="false">IF(E26&gt;1000+k_TOL,"T1 HIGH",IF(E26&lt;0-k_TOL,"T1 LOW",IF(c_TPOT&gt;1,IF(G26&gt;1000+k_TOL,"T2 HIGH",IF(G26&lt;0-k_TOL,"T2 LOW",IF(c_TTYPE=2,IF(ABS(1000-MAX(0,MIN(1000,E26))-MAX(0,MIN(1000,G26)))&gt;k_MAXERR,"MISMATCH","OK"),IF(OR(MAX(0,MIN(1000,E26))-k_MAXERR&gt;MAX(0,MIN(1000,G26)),MAX(0,MIN(1000,G26))-k_MAXERR&gt;MAX(0,MIN(1000,E26))),"MISMATCH","OK")))),"OK")))</f>
        <v>T1 LOW</v>
      </c>
      <c r="I26" s="7" t="n">
        <f aca="false">MAX(0,MIN(1000,D26))</f>
        <v>0</v>
      </c>
      <c r="J26" s="7" t="str">
        <f aca="false">IF(c_TPOT&gt;1,IF(c_TTYPE=2,1000-MAX(0,MIN(1000,G26)),MAX(0,MIN(1000,G26))),"")</f>
        <v/>
      </c>
      <c r="K26" s="7" t="n">
        <f aca="false">IF(c_TPOT&gt;1,QUOTIENT(I26+J26,2),I26)</f>
        <v>0</v>
      </c>
      <c r="L26" s="7" t="n">
        <f aca="false">IF(AND(K26=0,c_TCREEP&gt;0),10*c_TCREEP,IF(AND(K26&lt;=c_TRNGMIN,K26&gt;=c_TRNGMAX,c_TRNGMIN-c_TRNGMAX&lt;&gt;0),-10*c_TMINRN+QUOTIENT((c_TMAXRN-c_TMINRN)*(100-QUOTIENT((K26-c_TRNGMAX)*100,c_TRNGMIN-c_TRNGMAX)),-10),0))</f>
        <v>-350</v>
      </c>
      <c r="M26" s="7" t="n">
        <f aca="false">IF(((c_TMAP1IN)-(c_TFWD))=0,(0)+QUOTIENT(((c_TMAP1OUT)-(0)),2),QUOTIENT((((K26)-(c_TFWD))*((c_TMAP1OUT)-(0))+IF(((c_TMAP1OUT)-(0))&gt;=0,1,-1)*QUOTIENT(((c_TMAP1IN)-(c_TFWD)),2)),((c_TMAP1IN)-(c_TFWD)))+(0)+IF(((c_TMAP1OUT)-(0))&gt;=0,IF(IF(o_WRAP=1,MOD(((c_TMAP1IN)-(c_TFWD))*(((K26)-(c_TFWD))*((c_TMAP1OUT)-(0))+IF(((c_TMAP1OUT)-(0))&gt;=0,1,-1)*QUOTIENT(((c_TMAP1IN)-(c_TFWD)),2))+2147483648,4294967296)-2147483648,((c_TMAP1IN)-(c_TFWD))*(((K26)-(c_TFWD))*((c_TMAP1OUT)-(0))+IF(((c_TMAP1OUT)-(0))&gt;=0,1,-1)*QUOTIENT(((c_TMAP1IN)-(c_TFWD)),2)))&lt;0,-1,0),IF(IF(o_WRAP=1,MOD(((c_TMAP1IN)-(c_TFWD))*(((K26)-(c_TFWD))*((c_TMAP1OUT)-(0))+IF(((c_TMAP1OUT)-(0))&gt;=0,1,-1)*QUOTIENT(((c_TMAP1IN)-(c_TFWD)),2))+2147483648,4294967296)-2147483648,((c_TMAP1IN)-(c_TFWD))*(((K26)-(c_TFWD))*((c_TMAP1OUT)-(0))+IF(((c_TMAP1OUT)-(0))&gt;=0,1,-1)*QUOTIENT(((c_TMAP1IN)-(c_TFWD)),2)))&gt;=0,1,0)))</f>
        <v>-8</v>
      </c>
      <c r="N26" s="7" t="n">
        <f aca="false">IF(((c_TMAP2IN)-(c_TMAP1IN))=0,(c_TMAP1OUT)+QUOTIENT(((c_TMAP2OUT)-(c_TMAP1OUT)),2),QUOTIENT((((K26)-(c_TMAP1IN))*((c_TMAP2OUT)-(c_TMAP1OUT))+IF(((c_TMAP2OUT)-(c_TMAP1OUT))&gt;=0,1,-1)*QUOTIENT(((c_TMAP2IN)-(c_TMAP1IN)),2)),((c_TMAP2IN)-(c_TMAP1IN)))+(c_TMAP1OUT)+IF(((c_TMAP2OUT)-(c_TMAP1OUT))&gt;=0,IF(IF(o_WRAP=1,MOD(((c_TMAP2IN)-(c_TMAP1IN))*(((K26)-(c_TMAP1IN))*((c_TMAP2OUT)-(c_TMAP1OUT))+IF(((c_TMAP2OUT)-(c_TMAP1OUT))&gt;=0,1,-1)*QUOTIENT(((c_TMAP2IN)-(c_TMAP1IN)),2))+2147483648,4294967296)-2147483648,((c_TMAP2IN)-(c_TMAP1IN))*(((K26)-(c_TMAP1IN))*((c_TMAP2OUT)-(c_TMAP1OUT))+IF(((c_TMAP2OUT)-(c_TMAP1OUT))&gt;=0,1,-1)*QUOTIENT(((c_TMAP2IN)-(c_TMAP1IN)),2)))&lt;0,-1,0),IF(IF(o_WRAP=1,MOD(((c_TMAP2IN)-(c_TMAP1IN))*(((K26)-(c_TMAP1IN))*((c_TMAP2OUT)-(c_TMAP1OUT))+IF(((c_TMAP2OUT)-(c_TMAP1OUT))&gt;=0,1,-1)*QUOTIENT(((c_TMAP2IN)-(c_TMAP1IN)),2))+2147483648,4294967296)-2147483648,((c_TMAP2IN)-(c_TMAP1IN))*(((K26)-(c_TMAP1IN))*((c_TMAP2OUT)-(c_TMAP1OUT))+IF(((c_TMAP2OUT)-(c_TMAP1OUT))&gt;=0,1,-1)*QUOTIENT(((c_TMAP2IN)-(c_TMAP1IN)),2)))&gt;=0,1,0)))</f>
        <v>30</v>
      </c>
      <c r="O26" s="7" t="n">
        <f aca="false">IF(((c_TMAP3IN)-(c_TMAP2IN))=0,(c_TMAP2OUT)+QUOTIENT(((c_TMAP3OUT)-(c_TMAP2OUT)),2),QUOTIENT((((K26)-(c_TMAP2IN))*((c_TMAP3OUT)-(c_TMAP2OUT))+IF(((c_TMAP3OUT)-(c_TMAP2OUT))&gt;=0,1,-1)*QUOTIENT(((c_TMAP3IN)-(c_TMAP2IN)),2)),((c_TMAP3IN)-(c_TMAP2IN)))+(c_TMAP2OUT)+IF(((c_TMAP3OUT)-(c_TMAP2OUT))&gt;=0,IF(IF(o_WRAP=1,MOD(((c_TMAP3IN)-(c_TMAP2IN))*(((K26)-(c_TMAP2IN))*((c_TMAP3OUT)-(c_TMAP2OUT))+IF(((c_TMAP3OUT)-(c_TMAP2OUT))&gt;=0,1,-1)*QUOTIENT(((c_TMAP3IN)-(c_TMAP2IN)),2))+2147483648,4294967296)-2147483648,((c_TMAP3IN)-(c_TMAP2IN))*(((K26)-(c_TMAP2IN))*((c_TMAP3OUT)-(c_TMAP2OUT))+IF(((c_TMAP3OUT)-(c_TMAP2OUT))&gt;=0,1,-1)*QUOTIENT(((c_TMAP3IN)-(c_TMAP2IN)),2)))&lt;0,-1,0),IF(IF(o_WRAP=1,MOD(((c_TMAP3IN)-(c_TMAP2IN))*(((K26)-(c_TMAP2IN))*((c_TMAP3OUT)-(c_TMAP2OUT))+IF(((c_TMAP3OUT)-(c_TMAP2OUT))&gt;=0,1,-1)*QUOTIENT(((c_TMAP3IN)-(c_TMAP2IN)),2))+2147483648,4294967296)-2147483648,((c_TMAP3IN)-(c_TMAP2IN))*(((K26)-(c_TMAP2IN))*((c_TMAP3OUT)-(c_TMAP2OUT))+IF(((c_TMAP3OUT)-(c_TMAP2OUT))&gt;=0,1,-1)*QUOTIENT(((c_TMAP3IN)-(c_TMAP2IN)),2)))&gt;=0,1,0)))</f>
        <v>-45</v>
      </c>
      <c r="P26" s="7" t="n">
        <f aca="false">IF(((1000)-(c_TMAP3IN))=0,(c_TMAP3OUT)+QUOTIENT(((1000)-(c_TMAP3OUT)),2),QUOTIENT((((K26)-(c_TMAP3IN))*((1000)-(c_TMAP3OUT))+IF(((1000)-(c_TMAP3OUT))&gt;=0,1,-1)*QUOTIENT(((1000)-(c_TMAP3IN)),2)),((1000)-(c_TMAP3IN)))+(c_TMAP3OUT)+IF(((1000)-(c_TMAP3OUT))&gt;=0,IF(IF(o_WRAP=1,MOD(((1000)-(c_TMAP3IN))*(((K26)-(c_TMAP3IN))*((1000)-(c_TMAP3OUT))+IF(((1000)-(c_TMAP3OUT))&gt;=0,1,-1)*QUOTIENT(((1000)-(c_TMAP3IN)),2))+2147483648,4294967296)-2147483648,((1000)-(c_TMAP3IN))*(((K26)-(c_TMAP3IN))*((1000)-(c_TMAP3OUT))+IF(((1000)-(c_TMAP3OUT))&gt;=0,1,-1)*QUOTIENT(((1000)-(c_TMAP3IN)),2)))&lt;0,-1,0),IF(IF(o_WRAP=1,MOD(((1000)-(c_TMAP3IN))*(((K26)-(c_TMAP3IN))*((1000)-(c_TMAP3OUT))+IF(((1000)-(c_TMAP3OUT))&gt;=0,1,-1)*QUOTIENT(((1000)-(c_TMAP3IN)),2))+2147483648,4294967296)-2147483648,((1000)-(c_TMAP3IN))*(((K26)-(c_TMAP3IN))*((1000)-(c_TMAP3OUT))+IF(((1000)-(c_TMAP3OUT))&gt;=0,1,-1)*QUOTIENT(((1000)-(c_TMAP3IN)),2)))&gt;=0,1,0)))</f>
        <v>-231</v>
      </c>
      <c r="Q26" s="7" t="str">
        <f aca="false">IF(K26&gt;=c_TFWD,IF(AND(K26&gt;=c_TMAP3IN,c_TMAP3IN&lt;1000),"Seg4 map3-100%",IF(AND(K26&gt;=c_TMAP2IN,c_TMAP3IN&gt;c_TMAP2IN),"Seg3 map2-map3",IF(AND(K26&gt;=c_TMAP1IN,c_TMAP2IN&gt;c_TMAP1IN),"Seg2 map1-map2","Seg1 TFWD-map1"))),IF(AND(K26=0,c_TCREEP&gt;0),"Creep",IF(AND(K26&lt;=c_TRNGMIN,K26&gt;=c_TRNGMAX,c_TRNGMIN-c_TRNGMAX&lt;&gt;0),"Regen ramp","Coast (0)")))</f>
        <v>Regen ramp</v>
      </c>
      <c r="R26" s="7" t="n">
        <f aca="false">IF(K26&gt;=c_TFWD,IF(AND(K26&gt;=c_TMAP3IN,c_TMAP3IN&lt;1000),P26,IF(AND(K26&gt;=c_TMAP2IN,c_TMAP3IN&gt;c_TMAP2IN),O26,IF(AND(K26&gt;=c_TMAP1IN,c_TMAP2IN&gt;c_TMAP1IN),N26,M26))),L26)</f>
        <v>-350</v>
      </c>
      <c r="S26" s="7" t="str">
        <f aca="false">IF(R26&lt;-1090,"TOO LOW",IF(R26&gt;1090,"TOO HIGH",""))</f>
        <v/>
      </c>
      <c r="T26" s="15" t="n">
        <f aca="false">IF(H26&lt;&gt;"OK",0,IF(S26&lt;&gt;"",0,IF(R26&gt;979,1000,R26)))</f>
        <v>0</v>
      </c>
      <c r="U26" s="7" t="n">
        <f aca="false">T26/10</f>
        <v>0</v>
      </c>
    </row>
    <row r="27" customFormat="false" ht="15" hidden="false" customHeight="false" outlineLevel="0" collapsed="false">
      <c r="A27" s="7" t="n">
        <v>22</v>
      </c>
      <c r="B27" s="7" t="n">
        <f aca="false">ROUND(o_SWSTART+A27*(o_SWEND-o_SWSTART)/400,0)</f>
        <v>225</v>
      </c>
      <c r="C27" s="7" t="n">
        <f aca="false">QUOTIENT((B27-c_OFF1)*c_GAIN1,1024)</f>
        <v>225</v>
      </c>
      <c r="D27" s="7" t="n">
        <f aca="false">IF(((c_T1MX)-(c_T1MN))=0,(0)+QUOTIENT(((1000)-(0)),2),QUOTIENT((((C27)-(c_T1MN))*((1000)-(0))+IF(((1000)-(0))&gt;=0,1,-1)*QUOTIENT(((c_T1MX)-(c_T1MN)),2)),((c_T1MX)-(c_T1MN)))+(0)+IF(((1000)-(0))&gt;=0,IF(IF(o_WRAP=1,MOD(((c_T1MX)-(c_T1MN))*(((C27)-(c_T1MN))*((1000)-(0))+IF(((1000)-(0))&gt;=0,1,-1)*QUOTIENT(((c_T1MX)-(c_T1MN)),2))+2147483648,4294967296)-2147483648,((c_T1MX)-(c_T1MN))*(((C27)-(c_T1MN))*((1000)-(0))+IF(((1000)-(0))&gt;=0,1,-1)*QUOTIENT(((c_T1MX)-(c_T1MN)),2)))&lt;0,-1,0),IF(IF(o_WRAP=1,MOD(((c_T1MX)-(c_T1MN))*(((C27)-(c_T1MN))*((1000)-(0))+IF(((1000)-(0))&gt;=0,1,-1)*QUOTIENT(((c_T1MX)-(c_T1MN)),2))+2147483648,4294967296)-2147483648,((c_T1MX)-(c_T1MN))*(((C27)-(c_T1MN))*((1000)-(0))+IF(((1000)-(0))&gt;=0,1,-1)*QUOTIENT(((c_T1MX)-(c_T1MN)),2)))&gt;=0,1,0)))</f>
        <v>-177</v>
      </c>
      <c r="E27" s="7" t="n">
        <f aca="false">IF(AND(c_TPOT=1,c_TTYPE=2),1000-D27,D27)</f>
        <v>-177</v>
      </c>
      <c r="F27" s="7" t="str">
        <f aca="false">IF(c_TPOT&gt;1,ROUND(IF(c_TTYPE=2,c_T2MX-IF(c_T1MX=c_T1MN,0,(C27-c_T1MN)/(c_T1MX-c_T1MN))*(c_T2MX-c_T2MN),c_T2MN+IF(c_T1MX=c_T1MN,0,(C27-c_T1MN)/(c_T1MX-c_T1MN))*(c_T2MX-c_T2MN))+o_MISMATCH,0),"")</f>
        <v/>
      </c>
      <c r="G27" s="7" t="str">
        <f aca="false">IF(c_TPOT&gt;1,IF(((c_T2MX)-(c_T2MN))=0,(0)+QUOTIENT(((1000)-(0)),2),QUOTIENT((((F27)-(c_T2MN))*((1000)-(0))+IF(((1000)-(0))&gt;=0,1,-1)*QUOTIENT(((c_T2MX)-(c_T2MN)),2)),((c_T2MX)-(c_T2MN)))+(0)+IF(((1000)-(0))&gt;=0,IF(IF(o_WRAP=1,MOD(((c_T2MX)-(c_T2MN))*(((F27)-(c_T2MN))*((1000)-(0))+IF(((1000)-(0))&gt;=0,1,-1)*QUOTIENT(((c_T2MX)-(c_T2MN)),2))+2147483648,4294967296)-2147483648,((c_T2MX)-(c_T2MN))*(((F27)-(c_T2MN))*((1000)-(0))+IF(((1000)-(0))&gt;=0,1,-1)*QUOTIENT(((c_T2MX)-(c_T2MN)),2)))&lt;0,-1,0),IF(IF(o_WRAP=1,MOD(((c_T2MX)-(c_T2MN))*(((F27)-(c_T2MN))*((1000)-(0))+IF(((1000)-(0))&gt;=0,1,-1)*QUOTIENT(((c_T2MX)-(c_T2MN)),2))+2147483648,4294967296)-2147483648,((c_T2MX)-(c_T2MN))*(((F27)-(c_T2MN))*((1000)-(0))+IF(((1000)-(0))&gt;=0,1,-1)*QUOTIENT(((c_T2MX)-(c_T2MN)),2)))&gt;=0,1,0))),"")</f>
        <v/>
      </c>
      <c r="H27" s="7" t="str">
        <f aca="false">IF(E27&gt;1000+k_TOL,"T1 HIGH",IF(E27&lt;0-k_TOL,"T1 LOW",IF(c_TPOT&gt;1,IF(G27&gt;1000+k_TOL,"T2 HIGH",IF(G27&lt;0-k_TOL,"T2 LOW",IF(c_TTYPE=2,IF(ABS(1000-MAX(0,MIN(1000,E27))-MAX(0,MIN(1000,G27)))&gt;k_MAXERR,"MISMATCH","OK"),IF(OR(MAX(0,MIN(1000,E27))-k_MAXERR&gt;MAX(0,MIN(1000,G27)),MAX(0,MIN(1000,G27))-k_MAXERR&gt;MAX(0,MIN(1000,E27))),"MISMATCH","OK")))),"OK")))</f>
        <v>T1 LOW</v>
      </c>
      <c r="I27" s="7" t="n">
        <f aca="false">MAX(0,MIN(1000,D27))</f>
        <v>0</v>
      </c>
      <c r="J27" s="7" t="str">
        <f aca="false">IF(c_TPOT&gt;1,IF(c_TTYPE=2,1000-MAX(0,MIN(1000,G27)),MAX(0,MIN(1000,G27))),"")</f>
        <v/>
      </c>
      <c r="K27" s="7" t="n">
        <f aca="false">IF(c_TPOT&gt;1,QUOTIENT(I27+J27,2),I27)</f>
        <v>0</v>
      </c>
      <c r="L27" s="7" t="n">
        <f aca="false">IF(AND(K27=0,c_TCREEP&gt;0),10*c_TCREEP,IF(AND(K27&lt;=c_TRNGMIN,K27&gt;=c_TRNGMAX,c_TRNGMIN-c_TRNGMAX&lt;&gt;0),-10*c_TMINRN+QUOTIENT((c_TMAXRN-c_TMINRN)*(100-QUOTIENT((K27-c_TRNGMAX)*100,c_TRNGMIN-c_TRNGMAX)),-10),0))</f>
        <v>-350</v>
      </c>
      <c r="M27" s="7" t="n">
        <f aca="false">IF(((c_TMAP1IN)-(c_TFWD))=0,(0)+QUOTIENT(((c_TMAP1OUT)-(0)),2),QUOTIENT((((K27)-(c_TFWD))*((c_TMAP1OUT)-(0))+IF(((c_TMAP1OUT)-(0))&gt;=0,1,-1)*QUOTIENT(((c_TMAP1IN)-(c_TFWD)),2)),((c_TMAP1IN)-(c_TFWD)))+(0)+IF(((c_TMAP1OUT)-(0))&gt;=0,IF(IF(o_WRAP=1,MOD(((c_TMAP1IN)-(c_TFWD))*(((K27)-(c_TFWD))*((c_TMAP1OUT)-(0))+IF(((c_TMAP1OUT)-(0))&gt;=0,1,-1)*QUOTIENT(((c_TMAP1IN)-(c_TFWD)),2))+2147483648,4294967296)-2147483648,((c_TMAP1IN)-(c_TFWD))*(((K27)-(c_TFWD))*((c_TMAP1OUT)-(0))+IF(((c_TMAP1OUT)-(0))&gt;=0,1,-1)*QUOTIENT(((c_TMAP1IN)-(c_TFWD)),2)))&lt;0,-1,0),IF(IF(o_WRAP=1,MOD(((c_TMAP1IN)-(c_TFWD))*(((K27)-(c_TFWD))*((c_TMAP1OUT)-(0))+IF(((c_TMAP1OUT)-(0))&gt;=0,1,-1)*QUOTIENT(((c_TMAP1IN)-(c_TFWD)),2))+2147483648,4294967296)-2147483648,((c_TMAP1IN)-(c_TFWD))*(((K27)-(c_TFWD))*((c_TMAP1OUT)-(0))+IF(((c_TMAP1OUT)-(0))&gt;=0,1,-1)*QUOTIENT(((c_TMAP1IN)-(c_TFWD)),2)))&gt;=0,1,0)))</f>
        <v>-8</v>
      </c>
      <c r="N27" s="7" t="n">
        <f aca="false">IF(((c_TMAP2IN)-(c_TMAP1IN))=0,(c_TMAP1OUT)+QUOTIENT(((c_TMAP2OUT)-(c_TMAP1OUT)),2),QUOTIENT((((K27)-(c_TMAP1IN))*((c_TMAP2OUT)-(c_TMAP1OUT))+IF(((c_TMAP2OUT)-(c_TMAP1OUT))&gt;=0,1,-1)*QUOTIENT(((c_TMAP2IN)-(c_TMAP1IN)),2)),((c_TMAP2IN)-(c_TMAP1IN)))+(c_TMAP1OUT)+IF(((c_TMAP2OUT)-(c_TMAP1OUT))&gt;=0,IF(IF(o_WRAP=1,MOD(((c_TMAP2IN)-(c_TMAP1IN))*(((K27)-(c_TMAP1IN))*((c_TMAP2OUT)-(c_TMAP1OUT))+IF(((c_TMAP2OUT)-(c_TMAP1OUT))&gt;=0,1,-1)*QUOTIENT(((c_TMAP2IN)-(c_TMAP1IN)),2))+2147483648,4294967296)-2147483648,((c_TMAP2IN)-(c_TMAP1IN))*(((K27)-(c_TMAP1IN))*((c_TMAP2OUT)-(c_TMAP1OUT))+IF(((c_TMAP2OUT)-(c_TMAP1OUT))&gt;=0,1,-1)*QUOTIENT(((c_TMAP2IN)-(c_TMAP1IN)),2)))&lt;0,-1,0),IF(IF(o_WRAP=1,MOD(((c_TMAP2IN)-(c_TMAP1IN))*(((K27)-(c_TMAP1IN))*((c_TMAP2OUT)-(c_TMAP1OUT))+IF(((c_TMAP2OUT)-(c_TMAP1OUT))&gt;=0,1,-1)*QUOTIENT(((c_TMAP2IN)-(c_TMAP1IN)),2))+2147483648,4294967296)-2147483648,((c_TMAP2IN)-(c_TMAP1IN))*(((K27)-(c_TMAP1IN))*((c_TMAP2OUT)-(c_TMAP1OUT))+IF(((c_TMAP2OUT)-(c_TMAP1OUT))&gt;=0,1,-1)*QUOTIENT(((c_TMAP2IN)-(c_TMAP1IN)),2)))&gt;=0,1,0)))</f>
        <v>30</v>
      </c>
      <c r="O27" s="7" t="n">
        <f aca="false">IF(((c_TMAP3IN)-(c_TMAP2IN))=0,(c_TMAP2OUT)+QUOTIENT(((c_TMAP3OUT)-(c_TMAP2OUT)),2),QUOTIENT((((K27)-(c_TMAP2IN))*((c_TMAP3OUT)-(c_TMAP2OUT))+IF(((c_TMAP3OUT)-(c_TMAP2OUT))&gt;=0,1,-1)*QUOTIENT(((c_TMAP3IN)-(c_TMAP2IN)),2)),((c_TMAP3IN)-(c_TMAP2IN)))+(c_TMAP2OUT)+IF(((c_TMAP3OUT)-(c_TMAP2OUT))&gt;=0,IF(IF(o_WRAP=1,MOD(((c_TMAP3IN)-(c_TMAP2IN))*(((K27)-(c_TMAP2IN))*((c_TMAP3OUT)-(c_TMAP2OUT))+IF(((c_TMAP3OUT)-(c_TMAP2OUT))&gt;=0,1,-1)*QUOTIENT(((c_TMAP3IN)-(c_TMAP2IN)),2))+2147483648,4294967296)-2147483648,((c_TMAP3IN)-(c_TMAP2IN))*(((K27)-(c_TMAP2IN))*((c_TMAP3OUT)-(c_TMAP2OUT))+IF(((c_TMAP3OUT)-(c_TMAP2OUT))&gt;=0,1,-1)*QUOTIENT(((c_TMAP3IN)-(c_TMAP2IN)),2)))&lt;0,-1,0),IF(IF(o_WRAP=1,MOD(((c_TMAP3IN)-(c_TMAP2IN))*(((K27)-(c_TMAP2IN))*((c_TMAP3OUT)-(c_TMAP2OUT))+IF(((c_TMAP3OUT)-(c_TMAP2OUT))&gt;=0,1,-1)*QUOTIENT(((c_TMAP3IN)-(c_TMAP2IN)),2))+2147483648,4294967296)-2147483648,((c_TMAP3IN)-(c_TMAP2IN))*(((K27)-(c_TMAP2IN))*((c_TMAP3OUT)-(c_TMAP2OUT))+IF(((c_TMAP3OUT)-(c_TMAP2OUT))&gt;=0,1,-1)*QUOTIENT(((c_TMAP3IN)-(c_TMAP2IN)),2)))&gt;=0,1,0)))</f>
        <v>-45</v>
      </c>
      <c r="P27" s="7" t="n">
        <f aca="false">IF(((1000)-(c_TMAP3IN))=0,(c_TMAP3OUT)+QUOTIENT(((1000)-(c_TMAP3OUT)),2),QUOTIENT((((K27)-(c_TMAP3IN))*((1000)-(c_TMAP3OUT))+IF(((1000)-(c_TMAP3OUT))&gt;=0,1,-1)*QUOTIENT(((1000)-(c_TMAP3IN)),2)),((1000)-(c_TMAP3IN)))+(c_TMAP3OUT)+IF(((1000)-(c_TMAP3OUT))&gt;=0,IF(IF(o_WRAP=1,MOD(((1000)-(c_TMAP3IN))*(((K27)-(c_TMAP3IN))*((1000)-(c_TMAP3OUT))+IF(((1000)-(c_TMAP3OUT))&gt;=0,1,-1)*QUOTIENT(((1000)-(c_TMAP3IN)),2))+2147483648,4294967296)-2147483648,((1000)-(c_TMAP3IN))*(((K27)-(c_TMAP3IN))*((1000)-(c_TMAP3OUT))+IF(((1000)-(c_TMAP3OUT))&gt;=0,1,-1)*QUOTIENT(((1000)-(c_TMAP3IN)),2)))&lt;0,-1,0),IF(IF(o_WRAP=1,MOD(((1000)-(c_TMAP3IN))*(((K27)-(c_TMAP3IN))*((1000)-(c_TMAP3OUT))+IF(((1000)-(c_TMAP3OUT))&gt;=0,1,-1)*QUOTIENT(((1000)-(c_TMAP3IN)),2))+2147483648,4294967296)-2147483648,((1000)-(c_TMAP3IN))*(((K27)-(c_TMAP3IN))*((1000)-(c_TMAP3OUT))+IF(((1000)-(c_TMAP3OUT))&gt;=0,1,-1)*QUOTIENT(((1000)-(c_TMAP3IN)),2)))&gt;=0,1,0)))</f>
        <v>-231</v>
      </c>
      <c r="Q27" s="7" t="str">
        <f aca="false">IF(K27&gt;=c_TFWD,IF(AND(K27&gt;=c_TMAP3IN,c_TMAP3IN&lt;1000),"Seg4 map3-100%",IF(AND(K27&gt;=c_TMAP2IN,c_TMAP3IN&gt;c_TMAP2IN),"Seg3 map2-map3",IF(AND(K27&gt;=c_TMAP1IN,c_TMAP2IN&gt;c_TMAP1IN),"Seg2 map1-map2","Seg1 TFWD-map1"))),IF(AND(K27=0,c_TCREEP&gt;0),"Creep",IF(AND(K27&lt;=c_TRNGMIN,K27&gt;=c_TRNGMAX,c_TRNGMIN-c_TRNGMAX&lt;&gt;0),"Regen ramp","Coast (0)")))</f>
        <v>Regen ramp</v>
      </c>
      <c r="R27" s="7" t="n">
        <f aca="false">IF(K27&gt;=c_TFWD,IF(AND(K27&gt;=c_TMAP3IN,c_TMAP3IN&lt;1000),P27,IF(AND(K27&gt;=c_TMAP2IN,c_TMAP3IN&gt;c_TMAP2IN),O27,IF(AND(K27&gt;=c_TMAP1IN,c_TMAP2IN&gt;c_TMAP1IN),N27,M27))),L27)</f>
        <v>-350</v>
      </c>
      <c r="S27" s="7" t="str">
        <f aca="false">IF(R27&lt;-1090,"TOO LOW",IF(R27&gt;1090,"TOO HIGH",""))</f>
        <v/>
      </c>
      <c r="T27" s="15" t="n">
        <f aca="false">IF(H27&lt;&gt;"OK",0,IF(S27&lt;&gt;"",0,IF(R27&gt;979,1000,R27)))</f>
        <v>0</v>
      </c>
      <c r="U27" s="7" t="n">
        <f aca="false">T27/10</f>
        <v>0</v>
      </c>
    </row>
    <row r="28" customFormat="false" ht="15" hidden="false" customHeight="false" outlineLevel="0" collapsed="false">
      <c r="A28" s="7" t="n">
        <v>23</v>
      </c>
      <c r="B28" s="7" t="n">
        <f aca="false">ROUND(o_SWSTART+A28*(o_SWEND-o_SWSTART)/400,0)</f>
        <v>235</v>
      </c>
      <c r="C28" s="7" t="n">
        <f aca="false">QUOTIENT((B28-c_OFF1)*c_GAIN1,1024)</f>
        <v>235</v>
      </c>
      <c r="D28" s="7" t="n">
        <f aca="false">IF(((c_T1MX)-(c_T1MN))=0,(0)+QUOTIENT(((1000)-(0)),2),QUOTIENT((((C28)-(c_T1MN))*((1000)-(0))+IF(((1000)-(0))&gt;=0,1,-1)*QUOTIENT(((c_T1MX)-(c_T1MN)),2)),((c_T1MX)-(c_T1MN)))+(0)+IF(((1000)-(0))&gt;=0,IF(IF(o_WRAP=1,MOD(((c_T1MX)-(c_T1MN))*(((C28)-(c_T1MN))*((1000)-(0))+IF(((1000)-(0))&gt;=0,1,-1)*QUOTIENT(((c_T1MX)-(c_T1MN)),2))+2147483648,4294967296)-2147483648,((c_T1MX)-(c_T1MN))*(((C28)-(c_T1MN))*((1000)-(0))+IF(((1000)-(0))&gt;=0,1,-1)*QUOTIENT(((c_T1MX)-(c_T1MN)),2)))&lt;0,-1,0),IF(IF(o_WRAP=1,MOD(((c_T1MX)-(c_T1MN))*(((C28)-(c_T1MN))*((1000)-(0))+IF(((1000)-(0))&gt;=0,1,-1)*QUOTIENT(((c_T1MX)-(c_T1MN)),2))+2147483648,4294967296)-2147483648,((c_T1MX)-(c_T1MN))*(((C28)-(c_T1MN))*((1000)-(0))+IF(((1000)-(0))&gt;=0,1,-1)*QUOTIENT(((c_T1MX)-(c_T1MN)),2)))&gt;=0,1,0)))</f>
        <v>-174</v>
      </c>
      <c r="E28" s="7" t="n">
        <f aca="false">IF(AND(c_TPOT=1,c_TTYPE=2),1000-D28,D28)</f>
        <v>-174</v>
      </c>
      <c r="F28" s="7" t="str">
        <f aca="false">IF(c_TPOT&gt;1,ROUND(IF(c_TTYPE=2,c_T2MX-IF(c_T1MX=c_T1MN,0,(C28-c_T1MN)/(c_T1MX-c_T1MN))*(c_T2MX-c_T2MN),c_T2MN+IF(c_T1MX=c_T1MN,0,(C28-c_T1MN)/(c_T1MX-c_T1MN))*(c_T2MX-c_T2MN))+o_MISMATCH,0),"")</f>
        <v/>
      </c>
      <c r="G28" s="7" t="str">
        <f aca="false">IF(c_TPOT&gt;1,IF(((c_T2MX)-(c_T2MN))=0,(0)+QUOTIENT(((1000)-(0)),2),QUOTIENT((((F28)-(c_T2MN))*((1000)-(0))+IF(((1000)-(0))&gt;=0,1,-1)*QUOTIENT(((c_T2MX)-(c_T2MN)),2)),((c_T2MX)-(c_T2MN)))+(0)+IF(((1000)-(0))&gt;=0,IF(IF(o_WRAP=1,MOD(((c_T2MX)-(c_T2MN))*(((F28)-(c_T2MN))*((1000)-(0))+IF(((1000)-(0))&gt;=0,1,-1)*QUOTIENT(((c_T2MX)-(c_T2MN)),2))+2147483648,4294967296)-2147483648,((c_T2MX)-(c_T2MN))*(((F28)-(c_T2MN))*((1000)-(0))+IF(((1000)-(0))&gt;=0,1,-1)*QUOTIENT(((c_T2MX)-(c_T2MN)),2)))&lt;0,-1,0),IF(IF(o_WRAP=1,MOD(((c_T2MX)-(c_T2MN))*(((F28)-(c_T2MN))*((1000)-(0))+IF(((1000)-(0))&gt;=0,1,-1)*QUOTIENT(((c_T2MX)-(c_T2MN)),2))+2147483648,4294967296)-2147483648,((c_T2MX)-(c_T2MN))*(((F28)-(c_T2MN))*((1000)-(0))+IF(((1000)-(0))&gt;=0,1,-1)*QUOTIENT(((c_T2MX)-(c_T2MN)),2)))&gt;=0,1,0))),"")</f>
        <v/>
      </c>
      <c r="H28" s="7" t="str">
        <f aca="false">IF(E28&gt;1000+k_TOL,"T1 HIGH",IF(E28&lt;0-k_TOL,"T1 LOW",IF(c_TPOT&gt;1,IF(G28&gt;1000+k_TOL,"T2 HIGH",IF(G28&lt;0-k_TOL,"T2 LOW",IF(c_TTYPE=2,IF(ABS(1000-MAX(0,MIN(1000,E28))-MAX(0,MIN(1000,G28)))&gt;k_MAXERR,"MISMATCH","OK"),IF(OR(MAX(0,MIN(1000,E28))-k_MAXERR&gt;MAX(0,MIN(1000,G28)),MAX(0,MIN(1000,G28))-k_MAXERR&gt;MAX(0,MIN(1000,E28))),"MISMATCH","OK")))),"OK")))</f>
        <v>T1 LOW</v>
      </c>
      <c r="I28" s="7" t="n">
        <f aca="false">MAX(0,MIN(1000,D28))</f>
        <v>0</v>
      </c>
      <c r="J28" s="7" t="str">
        <f aca="false">IF(c_TPOT&gt;1,IF(c_TTYPE=2,1000-MAX(0,MIN(1000,G28)),MAX(0,MIN(1000,G28))),"")</f>
        <v/>
      </c>
      <c r="K28" s="7" t="n">
        <f aca="false">IF(c_TPOT&gt;1,QUOTIENT(I28+J28,2),I28)</f>
        <v>0</v>
      </c>
      <c r="L28" s="7" t="n">
        <f aca="false">IF(AND(K28=0,c_TCREEP&gt;0),10*c_TCREEP,IF(AND(K28&lt;=c_TRNGMIN,K28&gt;=c_TRNGMAX,c_TRNGMIN-c_TRNGMAX&lt;&gt;0),-10*c_TMINRN+QUOTIENT((c_TMAXRN-c_TMINRN)*(100-QUOTIENT((K28-c_TRNGMAX)*100,c_TRNGMIN-c_TRNGMAX)),-10),0))</f>
        <v>-350</v>
      </c>
      <c r="M28" s="7" t="n">
        <f aca="false">IF(((c_TMAP1IN)-(c_TFWD))=0,(0)+QUOTIENT(((c_TMAP1OUT)-(0)),2),QUOTIENT((((K28)-(c_TFWD))*((c_TMAP1OUT)-(0))+IF(((c_TMAP1OUT)-(0))&gt;=0,1,-1)*QUOTIENT(((c_TMAP1IN)-(c_TFWD)),2)),((c_TMAP1IN)-(c_TFWD)))+(0)+IF(((c_TMAP1OUT)-(0))&gt;=0,IF(IF(o_WRAP=1,MOD(((c_TMAP1IN)-(c_TFWD))*(((K28)-(c_TFWD))*((c_TMAP1OUT)-(0))+IF(((c_TMAP1OUT)-(0))&gt;=0,1,-1)*QUOTIENT(((c_TMAP1IN)-(c_TFWD)),2))+2147483648,4294967296)-2147483648,((c_TMAP1IN)-(c_TFWD))*(((K28)-(c_TFWD))*((c_TMAP1OUT)-(0))+IF(((c_TMAP1OUT)-(0))&gt;=0,1,-1)*QUOTIENT(((c_TMAP1IN)-(c_TFWD)),2)))&lt;0,-1,0),IF(IF(o_WRAP=1,MOD(((c_TMAP1IN)-(c_TFWD))*(((K28)-(c_TFWD))*((c_TMAP1OUT)-(0))+IF(((c_TMAP1OUT)-(0))&gt;=0,1,-1)*QUOTIENT(((c_TMAP1IN)-(c_TFWD)),2))+2147483648,4294967296)-2147483648,((c_TMAP1IN)-(c_TFWD))*(((K28)-(c_TFWD))*((c_TMAP1OUT)-(0))+IF(((c_TMAP1OUT)-(0))&gt;=0,1,-1)*QUOTIENT(((c_TMAP1IN)-(c_TFWD)),2)))&gt;=0,1,0)))</f>
        <v>-8</v>
      </c>
      <c r="N28" s="7" t="n">
        <f aca="false">IF(((c_TMAP2IN)-(c_TMAP1IN))=0,(c_TMAP1OUT)+QUOTIENT(((c_TMAP2OUT)-(c_TMAP1OUT)),2),QUOTIENT((((K28)-(c_TMAP1IN))*((c_TMAP2OUT)-(c_TMAP1OUT))+IF(((c_TMAP2OUT)-(c_TMAP1OUT))&gt;=0,1,-1)*QUOTIENT(((c_TMAP2IN)-(c_TMAP1IN)),2)),((c_TMAP2IN)-(c_TMAP1IN)))+(c_TMAP1OUT)+IF(((c_TMAP2OUT)-(c_TMAP1OUT))&gt;=0,IF(IF(o_WRAP=1,MOD(((c_TMAP2IN)-(c_TMAP1IN))*(((K28)-(c_TMAP1IN))*((c_TMAP2OUT)-(c_TMAP1OUT))+IF(((c_TMAP2OUT)-(c_TMAP1OUT))&gt;=0,1,-1)*QUOTIENT(((c_TMAP2IN)-(c_TMAP1IN)),2))+2147483648,4294967296)-2147483648,((c_TMAP2IN)-(c_TMAP1IN))*(((K28)-(c_TMAP1IN))*((c_TMAP2OUT)-(c_TMAP1OUT))+IF(((c_TMAP2OUT)-(c_TMAP1OUT))&gt;=0,1,-1)*QUOTIENT(((c_TMAP2IN)-(c_TMAP1IN)),2)))&lt;0,-1,0),IF(IF(o_WRAP=1,MOD(((c_TMAP2IN)-(c_TMAP1IN))*(((K28)-(c_TMAP1IN))*((c_TMAP2OUT)-(c_TMAP1OUT))+IF(((c_TMAP2OUT)-(c_TMAP1OUT))&gt;=0,1,-1)*QUOTIENT(((c_TMAP2IN)-(c_TMAP1IN)),2))+2147483648,4294967296)-2147483648,((c_TMAP2IN)-(c_TMAP1IN))*(((K28)-(c_TMAP1IN))*((c_TMAP2OUT)-(c_TMAP1OUT))+IF(((c_TMAP2OUT)-(c_TMAP1OUT))&gt;=0,1,-1)*QUOTIENT(((c_TMAP2IN)-(c_TMAP1IN)),2)))&gt;=0,1,0)))</f>
        <v>30</v>
      </c>
      <c r="O28" s="7" t="n">
        <f aca="false">IF(((c_TMAP3IN)-(c_TMAP2IN))=0,(c_TMAP2OUT)+QUOTIENT(((c_TMAP3OUT)-(c_TMAP2OUT)),2),QUOTIENT((((K28)-(c_TMAP2IN))*((c_TMAP3OUT)-(c_TMAP2OUT))+IF(((c_TMAP3OUT)-(c_TMAP2OUT))&gt;=0,1,-1)*QUOTIENT(((c_TMAP3IN)-(c_TMAP2IN)),2)),((c_TMAP3IN)-(c_TMAP2IN)))+(c_TMAP2OUT)+IF(((c_TMAP3OUT)-(c_TMAP2OUT))&gt;=0,IF(IF(o_WRAP=1,MOD(((c_TMAP3IN)-(c_TMAP2IN))*(((K28)-(c_TMAP2IN))*((c_TMAP3OUT)-(c_TMAP2OUT))+IF(((c_TMAP3OUT)-(c_TMAP2OUT))&gt;=0,1,-1)*QUOTIENT(((c_TMAP3IN)-(c_TMAP2IN)),2))+2147483648,4294967296)-2147483648,((c_TMAP3IN)-(c_TMAP2IN))*(((K28)-(c_TMAP2IN))*((c_TMAP3OUT)-(c_TMAP2OUT))+IF(((c_TMAP3OUT)-(c_TMAP2OUT))&gt;=0,1,-1)*QUOTIENT(((c_TMAP3IN)-(c_TMAP2IN)),2)))&lt;0,-1,0),IF(IF(o_WRAP=1,MOD(((c_TMAP3IN)-(c_TMAP2IN))*(((K28)-(c_TMAP2IN))*((c_TMAP3OUT)-(c_TMAP2OUT))+IF(((c_TMAP3OUT)-(c_TMAP2OUT))&gt;=0,1,-1)*QUOTIENT(((c_TMAP3IN)-(c_TMAP2IN)),2))+2147483648,4294967296)-2147483648,((c_TMAP3IN)-(c_TMAP2IN))*(((K28)-(c_TMAP2IN))*((c_TMAP3OUT)-(c_TMAP2OUT))+IF(((c_TMAP3OUT)-(c_TMAP2OUT))&gt;=0,1,-1)*QUOTIENT(((c_TMAP3IN)-(c_TMAP2IN)),2)))&gt;=0,1,0)))</f>
        <v>-45</v>
      </c>
      <c r="P28" s="7" t="n">
        <f aca="false">IF(((1000)-(c_TMAP3IN))=0,(c_TMAP3OUT)+QUOTIENT(((1000)-(c_TMAP3OUT)),2),QUOTIENT((((K28)-(c_TMAP3IN))*((1000)-(c_TMAP3OUT))+IF(((1000)-(c_TMAP3OUT))&gt;=0,1,-1)*QUOTIENT(((1000)-(c_TMAP3IN)),2)),((1000)-(c_TMAP3IN)))+(c_TMAP3OUT)+IF(((1000)-(c_TMAP3OUT))&gt;=0,IF(IF(o_WRAP=1,MOD(((1000)-(c_TMAP3IN))*(((K28)-(c_TMAP3IN))*((1000)-(c_TMAP3OUT))+IF(((1000)-(c_TMAP3OUT))&gt;=0,1,-1)*QUOTIENT(((1000)-(c_TMAP3IN)),2))+2147483648,4294967296)-2147483648,((1000)-(c_TMAP3IN))*(((K28)-(c_TMAP3IN))*((1000)-(c_TMAP3OUT))+IF(((1000)-(c_TMAP3OUT))&gt;=0,1,-1)*QUOTIENT(((1000)-(c_TMAP3IN)),2)))&lt;0,-1,0),IF(IF(o_WRAP=1,MOD(((1000)-(c_TMAP3IN))*(((K28)-(c_TMAP3IN))*((1000)-(c_TMAP3OUT))+IF(((1000)-(c_TMAP3OUT))&gt;=0,1,-1)*QUOTIENT(((1000)-(c_TMAP3IN)),2))+2147483648,4294967296)-2147483648,((1000)-(c_TMAP3IN))*(((K28)-(c_TMAP3IN))*((1000)-(c_TMAP3OUT))+IF(((1000)-(c_TMAP3OUT))&gt;=0,1,-1)*QUOTIENT(((1000)-(c_TMAP3IN)),2)))&gt;=0,1,0)))</f>
        <v>-231</v>
      </c>
      <c r="Q28" s="7" t="str">
        <f aca="false">IF(K28&gt;=c_TFWD,IF(AND(K28&gt;=c_TMAP3IN,c_TMAP3IN&lt;1000),"Seg4 map3-100%",IF(AND(K28&gt;=c_TMAP2IN,c_TMAP3IN&gt;c_TMAP2IN),"Seg3 map2-map3",IF(AND(K28&gt;=c_TMAP1IN,c_TMAP2IN&gt;c_TMAP1IN),"Seg2 map1-map2","Seg1 TFWD-map1"))),IF(AND(K28=0,c_TCREEP&gt;0),"Creep",IF(AND(K28&lt;=c_TRNGMIN,K28&gt;=c_TRNGMAX,c_TRNGMIN-c_TRNGMAX&lt;&gt;0),"Regen ramp","Coast (0)")))</f>
        <v>Regen ramp</v>
      </c>
      <c r="R28" s="7" t="n">
        <f aca="false">IF(K28&gt;=c_TFWD,IF(AND(K28&gt;=c_TMAP3IN,c_TMAP3IN&lt;1000),P28,IF(AND(K28&gt;=c_TMAP2IN,c_TMAP3IN&gt;c_TMAP2IN),O28,IF(AND(K28&gt;=c_TMAP1IN,c_TMAP2IN&gt;c_TMAP1IN),N28,M28))),L28)</f>
        <v>-350</v>
      </c>
      <c r="S28" s="7" t="str">
        <f aca="false">IF(R28&lt;-1090,"TOO LOW",IF(R28&gt;1090,"TOO HIGH",""))</f>
        <v/>
      </c>
      <c r="T28" s="15" t="n">
        <f aca="false">IF(H28&lt;&gt;"OK",0,IF(S28&lt;&gt;"",0,IF(R28&gt;979,1000,R28)))</f>
        <v>0</v>
      </c>
      <c r="U28" s="7" t="n">
        <f aca="false">T28/10</f>
        <v>0</v>
      </c>
    </row>
    <row r="29" customFormat="false" ht="15" hidden="false" customHeight="false" outlineLevel="0" collapsed="false">
      <c r="A29" s="7" t="n">
        <v>24</v>
      </c>
      <c r="B29" s="7" t="n">
        <f aca="false">ROUND(o_SWSTART+A29*(o_SWEND-o_SWSTART)/400,0)</f>
        <v>246</v>
      </c>
      <c r="C29" s="7" t="n">
        <f aca="false">QUOTIENT((B29-c_OFF1)*c_GAIN1,1024)</f>
        <v>246</v>
      </c>
      <c r="D29" s="7" t="n">
        <f aca="false">IF(((c_T1MX)-(c_T1MN))=0,(0)+QUOTIENT(((1000)-(0)),2),QUOTIENT((((C29)-(c_T1MN))*((1000)-(0))+IF(((1000)-(0))&gt;=0,1,-1)*QUOTIENT(((c_T1MX)-(c_T1MN)),2)),((c_T1MX)-(c_T1MN)))+(0)+IF(((1000)-(0))&gt;=0,IF(IF(o_WRAP=1,MOD(((c_T1MX)-(c_T1MN))*(((C29)-(c_T1MN))*((1000)-(0))+IF(((1000)-(0))&gt;=0,1,-1)*QUOTIENT(((c_T1MX)-(c_T1MN)),2))+2147483648,4294967296)-2147483648,((c_T1MX)-(c_T1MN))*(((C29)-(c_T1MN))*((1000)-(0))+IF(((1000)-(0))&gt;=0,1,-1)*QUOTIENT(((c_T1MX)-(c_T1MN)),2)))&lt;0,-1,0),IF(IF(o_WRAP=1,MOD(((c_T1MX)-(c_T1MN))*(((C29)-(c_T1MN))*((1000)-(0))+IF(((1000)-(0))&gt;=0,1,-1)*QUOTIENT(((c_T1MX)-(c_T1MN)),2))+2147483648,4294967296)-2147483648,((c_T1MX)-(c_T1MN))*(((C29)-(c_T1MN))*((1000)-(0))+IF(((1000)-(0))&gt;=0,1,-1)*QUOTIENT(((c_T1MX)-(c_T1MN)),2)))&gt;=0,1,0)))</f>
        <v>-170</v>
      </c>
      <c r="E29" s="7" t="n">
        <f aca="false">IF(AND(c_TPOT=1,c_TTYPE=2),1000-D29,D29)</f>
        <v>-170</v>
      </c>
      <c r="F29" s="7" t="str">
        <f aca="false">IF(c_TPOT&gt;1,ROUND(IF(c_TTYPE=2,c_T2MX-IF(c_T1MX=c_T1MN,0,(C29-c_T1MN)/(c_T1MX-c_T1MN))*(c_T2MX-c_T2MN),c_T2MN+IF(c_T1MX=c_T1MN,0,(C29-c_T1MN)/(c_T1MX-c_T1MN))*(c_T2MX-c_T2MN))+o_MISMATCH,0),"")</f>
        <v/>
      </c>
      <c r="G29" s="7" t="str">
        <f aca="false">IF(c_TPOT&gt;1,IF(((c_T2MX)-(c_T2MN))=0,(0)+QUOTIENT(((1000)-(0)),2),QUOTIENT((((F29)-(c_T2MN))*((1000)-(0))+IF(((1000)-(0))&gt;=0,1,-1)*QUOTIENT(((c_T2MX)-(c_T2MN)),2)),((c_T2MX)-(c_T2MN)))+(0)+IF(((1000)-(0))&gt;=0,IF(IF(o_WRAP=1,MOD(((c_T2MX)-(c_T2MN))*(((F29)-(c_T2MN))*((1000)-(0))+IF(((1000)-(0))&gt;=0,1,-1)*QUOTIENT(((c_T2MX)-(c_T2MN)),2))+2147483648,4294967296)-2147483648,((c_T2MX)-(c_T2MN))*(((F29)-(c_T2MN))*((1000)-(0))+IF(((1000)-(0))&gt;=0,1,-1)*QUOTIENT(((c_T2MX)-(c_T2MN)),2)))&lt;0,-1,0),IF(IF(o_WRAP=1,MOD(((c_T2MX)-(c_T2MN))*(((F29)-(c_T2MN))*((1000)-(0))+IF(((1000)-(0))&gt;=0,1,-1)*QUOTIENT(((c_T2MX)-(c_T2MN)),2))+2147483648,4294967296)-2147483648,((c_T2MX)-(c_T2MN))*(((F29)-(c_T2MN))*((1000)-(0))+IF(((1000)-(0))&gt;=0,1,-1)*QUOTIENT(((c_T2MX)-(c_T2MN)),2)))&gt;=0,1,0))),"")</f>
        <v/>
      </c>
      <c r="H29" s="7" t="str">
        <f aca="false">IF(E29&gt;1000+k_TOL,"T1 HIGH",IF(E29&lt;0-k_TOL,"T1 LOW",IF(c_TPOT&gt;1,IF(G29&gt;1000+k_TOL,"T2 HIGH",IF(G29&lt;0-k_TOL,"T2 LOW",IF(c_TTYPE=2,IF(ABS(1000-MAX(0,MIN(1000,E29))-MAX(0,MIN(1000,G29)))&gt;k_MAXERR,"MISMATCH","OK"),IF(OR(MAX(0,MIN(1000,E29))-k_MAXERR&gt;MAX(0,MIN(1000,G29)),MAX(0,MIN(1000,G29))-k_MAXERR&gt;MAX(0,MIN(1000,E29))),"MISMATCH","OK")))),"OK")))</f>
        <v>T1 LOW</v>
      </c>
      <c r="I29" s="7" t="n">
        <f aca="false">MAX(0,MIN(1000,D29))</f>
        <v>0</v>
      </c>
      <c r="J29" s="7" t="str">
        <f aca="false">IF(c_TPOT&gt;1,IF(c_TTYPE=2,1000-MAX(0,MIN(1000,G29)),MAX(0,MIN(1000,G29))),"")</f>
        <v/>
      </c>
      <c r="K29" s="7" t="n">
        <f aca="false">IF(c_TPOT&gt;1,QUOTIENT(I29+J29,2),I29)</f>
        <v>0</v>
      </c>
      <c r="L29" s="7" t="n">
        <f aca="false">IF(AND(K29=0,c_TCREEP&gt;0),10*c_TCREEP,IF(AND(K29&lt;=c_TRNGMIN,K29&gt;=c_TRNGMAX,c_TRNGMIN-c_TRNGMAX&lt;&gt;0),-10*c_TMINRN+QUOTIENT((c_TMAXRN-c_TMINRN)*(100-QUOTIENT((K29-c_TRNGMAX)*100,c_TRNGMIN-c_TRNGMAX)),-10),0))</f>
        <v>-350</v>
      </c>
      <c r="M29" s="7" t="n">
        <f aca="false">IF(((c_TMAP1IN)-(c_TFWD))=0,(0)+QUOTIENT(((c_TMAP1OUT)-(0)),2),QUOTIENT((((K29)-(c_TFWD))*((c_TMAP1OUT)-(0))+IF(((c_TMAP1OUT)-(0))&gt;=0,1,-1)*QUOTIENT(((c_TMAP1IN)-(c_TFWD)),2)),((c_TMAP1IN)-(c_TFWD)))+(0)+IF(((c_TMAP1OUT)-(0))&gt;=0,IF(IF(o_WRAP=1,MOD(((c_TMAP1IN)-(c_TFWD))*(((K29)-(c_TFWD))*((c_TMAP1OUT)-(0))+IF(((c_TMAP1OUT)-(0))&gt;=0,1,-1)*QUOTIENT(((c_TMAP1IN)-(c_TFWD)),2))+2147483648,4294967296)-2147483648,((c_TMAP1IN)-(c_TFWD))*(((K29)-(c_TFWD))*((c_TMAP1OUT)-(0))+IF(((c_TMAP1OUT)-(0))&gt;=0,1,-1)*QUOTIENT(((c_TMAP1IN)-(c_TFWD)),2)))&lt;0,-1,0),IF(IF(o_WRAP=1,MOD(((c_TMAP1IN)-(c_TFWD))*(((K29)-(c_TFWD))*((c_TMAP1OUT)-(0))+IF(((c_TMAP1OUT)-(0))&gt;=0,1,-1)*QUOTIENT(((c_TMAP1IN)-(c_TFWD)),2))+2147483648,4294967296)-2147483648,((c_TMAP1IN)-(c_TFWD))*(((K29)-(c_TFWD))*((c_TMAP1OUT)-(0))+IF(((c_TMAP1OUT)-(0))&gt;=0,1,-1)*QUOTIENT(((c_TMAP1IN)-(c_TFWD)),2)))&gt;=0,1,0)))</f>
        <v>-8</v>
      </c>
      <c r="N29" s="7" t="n">
        <f aca="false">IF(((c_TMAP2IN)-(c_TMAP1IN))=0,(c_TMAP1OUT)+QUOTIENT(((c_TMAP2OUT)-(c_TMAP1OUT)),2),QUOTIENT((((K29)-(c_TMAP1IN))*((c_TMAP2OUT)-(c_TMAP1OUT))+IF(((c_TMAP2OUT)-(c_TMAP1OUT))&gt;=0,1,-1)*QUOTIENT(((c_TMAP2IN)-(c_TMAP1IN)),2)),((c_TMAP2IN)-(c_TMAP1IN)))+(c_TMAP1OUT)+IF(((c_TMAP2OUT)-(c_TMAP1OUT))&gt;=0,IF(IF(o_WRAP=1,MOD(((c_TMAP2IN)-(c_TMAP1IN))*(((K29)-(c_TMAP1IN))*((c_TMAP2OUT)-(c_TMAP1OUT))+IF(((c_TMAP2OUT)-(c_TMAP1OUT))&gt;=0,1,-1)*QUOTIENT(((c_TMAP2IN)-(c_TMAP1IN)),2))+2147483648,4294967296)-2147483648,((c_TMAP2IN)-(c_TMAP1IN))*(((K29)-(c_TMAP1IN))*((c_TMAP2OUT)-(c_TMAP1OUT))+IF(((c_TMAP2OUT)-(c_TMAP1OUT))&gt;=0,1,-1)*QUOTIENT(((c_TMAP2IN)-(c_TMAP1IN)),2)))&lt;0,-1,0),IF(IF(o_WRAP=1,MOD(((c_TMAP2IN)-(c_TMAP1IN))*(((K29)-(c_TMAP1IN))*((c_TMAP2OUT)-(c_TMAP1OUT))+IF(((c_TMAP2OUT)-(c_TMAP1OUT))&gt;=0,1,-1)*QUOTIENT(((c_TMAP2IN)-(c_TMAP1IN)),2))+2147483648,4294967296)-2147483648,((c_TMAP2IN)-(c_TMAP1IN))*(((K29)-(c_TMAP1IN))*((c_TMAP2OUT)-(c_TMAP1OUT))+IF(((c_TMAP2OUT)-(c_TMAP1OUT))&gt;=0,1,-1)*QUOTIENT(((c_TMAP2IN)-(c_TMAP1IN)),2)))&gt;=0,1,0)))</f>
        <v>30</v>
      </c>
      <c r="O29" s="7" t="n">
        <f aca="false">IF(((c_TMAP3IN)-(c_TMAP2IN))=0,(c_TMAP2OUT)+QUOTIENT(((c_TMAP3OUT)-(c_TMAP2OUT)),2),QUOTIENT((((K29)-(c_TMAP2IN))*((c_TMAP3OUT)-(c_TMAP2OUT))+IF(((c_TMAP3OUT)-(c_TMAP2OUT))&gt;=0,1,-1)*QUOTIENT(((c_TMAP3IN)-(c_TMAP2IN)),2)),((c_TMAP3IN)-(c_TMAP2IN)))+(c_TMAP2OUT)+IF(((c_TMAP3OUT)-(c_TMAP2OUT))&gt;=0,IF(IF(o_WRAP=1,MOD(((c_TMAP3IN)-(c_TMAP2IN))*(((K29)-(c_TMAP2IN))*((c_TMAP3OUT)-(c_TMAP2OUT))+IF(((c_TMAP3OUT)-(c_TMAP2OUT))&gt;=0,1,-1)*QUOTIENT(((c_TMAP3IN)-(c_TMAP2IN)),2))+2147483648,4294967296)-2147483648,((c_TMAP3IN)-(c_TMAP2IN))*(((K29)-(c_TMAP2IN))*((c_TMAP3OUT)-(c_TMAP2OUT))+IF(((c_TMAP3OUT)-(c_TMAP2OUT))&gt;=0,1,-1)*QUOTIENT(((c_TMAP3IN)-(c_TMAP2IN)),2)))&lt;0,-1,0),IF(IF(o_WRAP=1,MOD(((c_TMAP3IN)-(c_TMAP2IN))*(((K29)-(c_TMAP2IN))*((c_TMAP3OUT)-(c_TMAP2OUT))+IF(((c_TMAP3OUT)-(c_TMAP2OUT))&gt;=0,1,-1)*QUOTIENT(((c_TMAP3IN)-(c_TMAP2IN)),2))+2147483648,4294967296)-2147483648,((c_TMAP3IN)-(c_TMAP2IN))*(((K29)-(c_TMAP2IN))*((c_TMAP3OUT)-(c_TMAP2OUT))+IF(((c_TMAP3OUT)-(c_TMAP2OUT))&gt;=0,1,-1)*QUOTIENT(((c_TMAP3IN)-(c_TMAP2IN)),2)))&gt;=0,1,0)))</f>
        <v>-45</v>
      </c>
      <c r="P29" s="7" t="n">
        <f aca="false">IF(((1000)-(c_TMAP3IN))=0,(c_TMAP3OUT)+QUOTIENT(((1000)-(c_TMAP3OUT)),2),QUOTIENT((((K29)-(c_TMAP3IN))*((1000)-(c_TMAP3OUT))+IF(((1000)-(c_TMAP3OUT))&gt;=0,1,-1)*QUOTIENT(((1000)-(c_TMAP3IN)),2)),((1000)-(c_TMAP3IN)))+(c_TMAP3OUT)+IF(((1000)-(c_TMAP3OUT))&gt;=0,IF(IF(o_WRAP=1,MOD(((1000)-(c_TMAP3IN))*(((K29)-(c_TMAP3IN))*((1000)-(c_TMAP3OUT))+IF(((1000)-(c_TMAP3OUT))&gt;=0,1,-1)*QUOTIENT(((1000)-(c_TMAP3IN)),2))+2147483648,4294967296)-2147483648,((1000)-(c_TMAP3IN))*(((K29)-(c_TMAP3IN))*((1000)-(c_TMAP3OUT))+IF(((1000)-(c_TMAP3OUT))&gt;=0,1,-1)*QUOTIENT(((1000)-(c_TMAP3IN)),2)))&lt;0,-1,0),IF(IF(o_WRAP=1,MOD(((1000)-(c_TMAP3IN))*(((K29)-(c_TMAP3IN))*((1000)-(c_TMAP3OUT))+IF(((1000)-(c_TMAP3OUT))&gt;=0,1,-1)*QUOTIENT(((1000)-(c_TMAP3IN)),2))+2147483648,4294967296)-2147483648,((1000)-(c_TMAP3IN))*(((K29)-(c_TMAP3IN))*((1000)-(c_TMAP3OUT))+IF(((1000)-(c_TMAP3OUT))&gt;=0,1,-1)*QUOTIENT(((1000)-(c_TMAP3IN)),2)))&gt;=0,1,0)))</f>
        <v>-231</v>
      </c>
      <c r="Q29" s="7" t="str">
        <f aca="false">IF(K29&gt;=c_TFWD,IF(AND(K29&gt;=c_TMAP3IN,c_TMAP3IN&lt;1000),"Seg4 map3-100%",IF(AND(K29&gt;=c_TMAP2IN,c_TMAP3IN&gt;c_TMAP2IN),"Seg3 map2-map3",IF(AND(K29&gt;=c_TMAP1IN,c_TMAP2IN&gt;c_TMAP1IN),"Seg2 map1-map2","Seg1 TFWD-map1"))),IF(AND(K29=0,c_TCREEP&gt;0),"Creep",IF(AND(K29&lt;=c_TRNGMIN,K29&gt;=c_TRNGMAX,c_TRNGMIN-c_TRNGMAX&lt;&gt;0),"Regen ramp","Coast (0)")))</f>
        <v>Regen ramp</v>
      </c>
      <c r="R29" s="7" t="n">
        <f aca="false">IF(K29&gt;=c_TFWD,IF(AND(K29&gt;=c_TMAP3IN,c_TMAP3IN&lt;1000),P29,IF(AND(K29&gt;=c_TMAP2IN,c_TMAP3IN&gt;c_TMAP2IN),O29,IF(AND(K29&gt;=c_TMAP1IN,c_TMAP2IN&gt;c_TMAP1IN),N29,M29))),L29)</f>
        <v>-350</v>
      </c>
      <c r="S29" s="7" t="str">
        <f aca="false">IF(R29&lt;-1090,"TOO LOW",IF(R29&gt;1090,"TOO HIGH",""))</f>
        <v/>
      </c>
      <c r="T29" s="15" t="n">
        <f aca="false">IF(H29&lt;&gt;"OK",0,IF(S29&lt;&gt;"",0,IF(R29&gt;979,1000,R29)))</f>
        <v>0</v>
      </c>
      <c r="U29" s="7" t="n">
        <f aca="false">T29/10</f>
        <v>0</v>
      </c>
    </row>
    <row r="30" customFormat="false" ht="15" hidden="false" customHeight="false" outlineLevel="0" collapsed="false">
      <c r="A30" s="7" t="n">
        <v>25</v>
      </c>
      <c r="B30" s="7" t="n">
        <f aca="false">ROUND(o_SWSTART+A30*(o_SWEND-o_SWSTART)/400,0)</f>
        <v>256</v>
      </c>
      <c r="C30" s="7" t="n">
        <f aca="false">QUOTIENT((B30-c_OFF1)*c_GAIN1,1024)</f>
        <v>256</v>
      </c>
      <c r="D30" s="7" t="n">
        <f aca="false">IF(((c_T1MX)-(c_T1MN))=0,(0)+QUOTIENT(((1000)-(0)),2),QUOTIENT((((C30)-(c_T1MN))*((1000)-(0))+IF(((1000)-(0))&gt;=0,1,-1)*QUOTIENT(((c_T1MX)-(c_T1MN)),2)),((c_T1MX)-(c_T1MN)))+(0)+IF(((1000)-(0))&gt;=0,IF(IF(o_WRAP=1,MOD(((c_T1MX)-(c_T1MN))*(((C30)-(c_T1MN))*((1000)-(0))+IF(((1000)-(0))&gt;=0,1,-1)*QUOTIENT(((c_T1MX)-(c_T1MN)),2))+2147483648,4294967296)-2147483648,((c_T1MX)-(c_T1MN))*(((C30)-(c_T1MN))*((1000)-(0))+IF(((1000)-(0))&gt;=0,1,-1)*QUOTIENT(((c_T1MX)-(c_T1MN)),2)))&lt;0,-1,0),IF(IF(o_WRAP=1,MOD(((c_T1MX)-(c_T1MN))*(((C30)-(c_T1MN))*((1000)-(0))+IF(((1000)-(0))&gt;=0,1,-1)*QUOTIENT(((c_T1MX)-(c_T1MN)),2))+2147483648,4294967296)-2147483648,((c_T1MX)-(c_T1MN))*(((C30)-(c_T1MN))*((1000)-(0))+IF(((1000)-(0))&gt;=0,1,-1)*QUOTIENT(((c_T1MX)-(c_T1MN)),2)))&gt;=0,1,0)))</f>
        <v>-166</v>
      </c>
      <c r="E30" s="7" t="n">
        <f aca="false">IF(AND(c_TPOT=1,c_TTYPE=2),1000-D30,D30)</f>
        <v>-166</v>
      </c>
      <c r="F30" s="7" t="str">
        <f aca="false">IF(c_TPOT&gt;1,ROUND(IF(c_TTYPE=2,c_T2MX-IF(c_T1MX=c_T1MN,0,(C30-c_T1MN)/(c_T1MX-c_T1MN))*(c_T2MX-c_T2MN),c_T2MN+IF(c_T1MX=c_T1MN,0,(C30-c_T1MN)/(c_T1MX-c_T1MN))*(c_T2MX-c_T2MN))+o_MISMATCH,0),"")</f>
        <v/>
      </c>
      <c r="G30" s="7" t="str">
        <f aca="false">IF(c_TPOT&gt;1,IF(((c_T2MX)-(c_T2MN))=0,(0)+QUOTIENT(((1000)-(0)),2),QUOTIENT((((F30)-(c_T2MN))*((1000)-(0))+IF(((1000)-(0))&gt;=0,1,-1)*QUOTIENT(((c_T2MX)-(c_T2MN)),2)),((c_T2MX)-(c_T2MN)))+(0)+IF(((1000)-(0))&gt;=0,IF(IF(o_WRAP=1,MOD(((c_T2MX)-(c_T2MN))*(((F30)-(c_T2MN))*((1000)-(0))+IF(((1000)-(0))&gt;=0,1,-1)*QUOTIENT(((c_T2MX)-(c_T2MN)),2))+2147483648,4294967296)-2147483648,((c_T2MX)-(c_T2MN))*(((F30)-(c_T2MN))*((1000)-(0))+IF(((1000)-(0))&gt;=0,1,-1)*QUOTIENT(((c_T2MX)-(c_T2MN)),2)))&lt;0,-1,0),IF(IF(o_WRAP=1,MOD(((c_T2MX)-(c_T2MN))*(((F30)-(c_T2MN))*((1000)-(0))+IF(((1000)-(0))&gt;=0,1,-1)*QUOTIENT(((c_T2MX)-(c_T2MN)),2))+2147483648,4294967296)-2147483648,((c_T2MX)-(c_T2MN))*(((F30)-(c_T2MN))*((1000)-(0))+IF(((1000)-(0))&gt;=0,1,-1)*QUOTIENT(((c_T2MX)-(c_T2MN)),2)))&gt;=0,1,0))),"")</f>
        <v/>
      </c>
      <c r="H30" s="7" t="str">
        <f aca="false">IF(E30&gt;1000+k_TOL,"T1 HIGH",IF(E30&lt;0-k_TOL,"T1 LOW",IF(c_TPOT&gt;1,IF(G30&gt;1000+k_TOL,"T2 HIGH",IF(G30&lt;0-k_TOL,"T2 LOW",IF(c_TTYPE=2,IF(ABS(1000-MAX(0,MIN(1000,E30))-MAX(0,MIN(1000,G30)))&gt;k_MAXERR,"MISMATCH","OK"),IF(OR(MAX(0,MIN(1000,E30))-k_MAXERR&gt;MAX(0,MIN(1000,G30)),MAX(0,MIN(1000,G30))-k_MAXERR&gt;MAX(0,MIN(1000,E30))),"MISMATCH","OK")))),"OK")))</f>
        <v>T1 LOW</v>
      </c>
      <c r="I30" s="7" t="n">
        <f aca="false">MAX(0,MIN(1000,D30))</f>
        <v>0</v>
      </c>
      <c r="J30" s="7" t="str">
        <f aca="false">IF(c_TPOT&gt;1,IF(c_TTYPE=2,1000-MAX(0,MIN(1000,G30)),MAX(0,MIN(1000,G30))),"")</f>
        <v/>
      </c>
      <c r="K30" s="7" t="n">
        <f aca="false">IF(c_TPOT&gt;1,QUOTIENT(I30+J30,2),I30)</f>
        <v>0</v>
      </c>
      <c r="L30" s="7" t="n">
        <f aca="false">IF(AND(K30=0,c_TCREEP&gt;0),10*c_TCREEP,IF(AND(K30&lt;=c_TRNGMIN,K30&gt;=c_TRNGMAX,c_TRNGMIN-c_TRNGMAX&lt;&gt;0),-10*c_TMINRN+QUOTIENT((c_TMAXRN-c_TMINRN)*(100-QUOTIENT((K30-c_TRNGMAX)*100,c_TRNGMIN-c_TRNGMAX)),-10),0))</f>
        <v>-350</v>
      </c>
      <c r="M30" s="7" t="n">
        <f aca="false">IF(((c_TMAP1IN)-(c_TFWD))=0,(0)+QUOTIENT(((c_TMAP1OUT)-(0)),2),QUOTIENT((((K30)-(c_TFWD))*((c_TMAP1OUT)-(0))+IF(((c_TMAP1OUT)-(0))&gt;=0,1,-1)*QUOTIENT(((c_TMAP1IN)-(c_TFWD)),2)),((c_TMAP1IN)-(c_TFWD)))+(0)+IF(((c_TMAP1OUT)-(0))&gt;=0,IF(IF(o_WRAP=1,MOD(((c_TMAP1IN)-(c_TFWD))*(((K30)-(c_TFWD))*((c_TMAP1OUT)-(0))+IF(((c_TMAP1OUT)-(0))&gt;=0,1,-1)*QUOTIENT(((c_TMAP1IN)-(c_TFWD)),2))+2147483648,4294967296)-2147483648,((c_TMAP1IN)-(c_TFWD))*(((K30)-(c_TFWD))*((c_TMAP1OUT)-(0))+IF(((c_TMAP1OUT)-(0))&gt;=0,1,-1)*QUOTIENT(((c_TMAP1IN)-(c_TFWD)),2)))&lt;0,-1,0),IF(IF(o_WRAP=1,MOD(((c_TMAP1IN)-(c_TFWD))*(((K30)-(c_TFWD))*((c_TMAP1OUT)-(0))+IF(((c_TMAP1OUT)-(0))&gt;=0,1,-1)*QUOTIENT(((c_TMAP1IN)-(c_TFWD)),2))+2147483648,4294967296)-2147483648,((c_TMAP1IN)-(c_TFWD))*(((K30)-(c_TFWD))*((c_TMAP1OUT)-(0))+IF(((c_TMAP1OUT)-(0))&gt;=0,1,-1)*QUOTIENT(((c_TMAP1IN)-(c_TFWD)),2)))&gt;=0,1,0)))</f>
        <v>-8</v>
      </c>
      <c r="N30" s="7" t="n">
        <f aca="false">IF(((c_TMAP2IN)-(c_TMAP1IN))=0,(c_TMAP1OUT)+QUOTIENT(((c_TMAP2OUT)-(c_TMAP1OUT)),2),QUOTIENT((((K30)-(c_TMAP1IN))*((c_TMAP2OUT)-(c_TMAP1OUT))+IF(((c_TMAP2OUT)-(c_TMAP1OUT))&gt;=0,1,-1)*QUOTIENT(((c_TMAP2IN)-(c_TMAP1IN)),2)),((c_TMAP2IN)-(c_TMAP1IN)))+(c_TMAP1OUT)+IF(((c_TMAP2OUT)-(c_TMAP1OUT))&gt;=0,IF(IF(o_WRAP=1,MOD(((c_TMAP2IN)-(c_TMAP1IN))*(((K30)-(c_TMAP1IN))*((c_TMAP2OUT)-(c_TMAP1OUT))+IF(((c_TMAP2OUT)-(c_TMAP1OUT))&gt;=0,1,-1)*QUOTIENT(((c_TMAP2IN)-(c_TMAP1IN)),2))+2147483648,4294967296)-2147483648,((c_TMAP2IN)-(c_TMAP1IN))*(((K30)-(c_TMAP1IN))*((c_TMAP2OUT)-(c_TMAP1OUT))+IF(((c_TMAP2OUT)-(c_TMAP1OUT))&gt;=0,1,-1)*QUOTIENT(((c_TMAP2IN)-(c_TMAP1IN)),2)))&lt;0,-1,0),IF(IF(o_WRAP=1,MOD(((c_TMAP2IN)-(c_TMAP1IN))*(((K30)-(c_TMAP1IN))*((c_TMAP2OUT)-(c_TMAP1OUT))+IF(((c_TMAP2OUT)-(c_TMAP1OUT))&gt;=0,1,-1)*QUOTIENT(((c_TMAP2IN)-(c_TMAP1IN)),2))+2147483648,4294967296)-2147483648,((c_TMAP2IN)-(c_TMAP1IN))*(((K30)-(c_TMAP1IN))*((c_TMAP2OUT)-(c_TMAP1OUT))+IF(((c_TMAP2OUT)-(c_TMAP1OUT))&gt;=0,1,-1)*QUOTIENT(((c_TMAP2IN)-(c_TMAP1IN)),2)))&gt;=0,1,0)))</f>
        <v>30</v>
      </c>
      <c r="O30" s="7" t="n">
        <f aca="false">IF(((c_TMAP3IN)-(c_TMAP2IN))=0,(c_TMAP2OUT)+QUOTIENT(((c_TMAP3OUT)-(c_TMAP2OUT)),2),QUOTIENT((((K30)-(c_TMAP2IN))*((c_TMAP3OUT)-(c_TMAP2OUT))+IF(((c_TMAP3OUT)-(c_TMAP2OUT))&gt;=0,1,-1)*QUOTIENT(((c_TMAP3IN)-(c_TMAP2IN)),2)),((c_TMAP3IN)-(c_TMAP2IN)))+(c_TMAP2OUT)+IF(((c_TMAP3OUT)-(c_TMAP2OUT))&gt;=0,IF(IF(o_WRAP=1,MOD(((c_TMAP3IN)-(c_TMAP2IN))*(((K30)-(c_TMAP2IN))*((c_TMAP3OUT)-(c_TMAP2OUT))+IF(((c_TMAP3OUT)-(c_TMAP2OUT))&gt;=0,1,-1)*QUOTIENT(((c_TMAP3IN)-(c_TMAP2IN)),2))+2147483648,4294967296)-2147483648,((c_TMAP3IN)-(c_TMAP2IN))*(((K30)-(c_TMAP2IN))*((c_TMAP3OUT)-(c_TMAP2OUT))+IF(((c_TMAP3OUT)-(c_TMAP2OUT))&gt;=0,1,-1)*QUOTIENT(((c_TMAP3IN)-(c_TMAP2IN)),2)))&lt;0,-1,0),IF(IF(o_WRAP=1,MOD(((c_TMAP3IN)-(c_TMAP2IN))*(((K30)-(c_TMAP2IN))*((c_TMAP3OUT)-(c_TMAP2OUT))+IF(((c_TMAP3OUT)-(c_TMAP2OUT))&gt;=0,1,-1)*QUOTIENT(((c_TMAP3IN)-(c_TMAP2IN)),2))+2147483648,4294967296)-2147483648,((c_TMAP3IN)-(c_TMAP2IN))*(((K30)-(c_TMAP2IN))*((c_TMAP3OUT)-(c_TMAP2OUT))+IF(((c_TMAP3OUT)-(c_TMAP2OUT))&gt;=0,1,-1)*QUOTIENT(((c_TMAP3IN)-(c_TMAP2IN)),2)))&gt;=0,1,0)))</f>
        <v>-45</v>
      </c>
      <c r="P30" s="7" t="n">
        <f aca="false">IF(((1000)-(c_TMAP3IN))=0,(c_TMAP3OUT)+QUOTIENT(((1000)-(c_TMAP3OUT)),2),QUOTIENT((((K30)-(c_TMAP3IN))*((1000)-(c_TMAP3OUT))+IF(((1000)-(c_TMAP3OUT))&gt;=0,1,-1)*QUOTIENT(((1000)-(c_TMAP3IN)),2)),((1000)-(c_TMAP3IN)))+(c_TMAP3OUT)+IF(((1000)-(c_TMAP3OUT))&gt;=0,IF(IF(o_WRAP=1,MOD(((1000)-(c_TMAP3IN))*(((K30)-(c_TMAP3IN))*((1000)-(c_TMAP3OUT))+IF(((1000)-(c_TMAP3OUT))&gt;=0,1,-1)*QUOTIENT(((1000)-(c_TMAP3IN)),2))+2147483648,4294967296)-2147483648,((1000)-(c_TMAP3IN))*(((K30)-(c_TMAP3IN))*((1000)-(c_TMAP3OUT))+IF(((1000)-(c_TMAP3OUT))&gt;=0,1,-1)*QUOTIENT(((1000)-(c_TMAP3IN)),2)))&lt;0,-1,0),IF(IF(o_WRAP=1,MOD(((1000)-(c_TMAP3IN))*(((K30)-(c_TMAP3IN))*((1000)-(c_TMAP3OUT))+IF(((1000)-(c_TMAP3OUT))&gt;=0,1,-1)*QUOTIENT(((1000)-(c_TMAP3IN)),2))+2147483648,4294967296)-2147483648,((1000)-(c_TMAP3IN))*(((K30)-(c_TMAP3IN))*((1000)-(c_TMAP3OUT))+IF(((1000)-(c_TMAP3OUT))&gt;=0,1,-1)*QUOTIENT(((1000)-(c_TMAP3IN)),2)))&gt;=0,1,0)))</f>
        <v>-231</v>
      </c>
      <c r="Q30" s="7" t="str">
        <f aca="false">IF(K30&gt;=c_TFWD,IF(AND(K30&gt;=c_TMAP3IN,c_TMAP3IN&lt;1000),"Seg4 map3-100%",IF(AND(K30&gt;=c_TMAP2IN,c_TMAP3IN&gt;c_TMAP2IN),"Seg3 map2-map3",IF(AND(K30&gt;=c_TMAP1IN,c_TMAP2IN&gt;c_TMAP1IN),"Seg2 map1-map2","Seg1 TFWD-map1"))),IF(AND(K30=0,c_TCREEP&gt;0),"Creep",IF(AND(K30&lt;=c_TRNGMIN,K30&gt;=c_TRNGMAX,c_TRNGMIN-c_TRNGMAX&lt;&gt;0),"Regen ramp","Coast (0)")))</f>
        <v>Regen ramp</v>
      </c>
      <c r="R30" s="7" t="n">
        <f aca="false">IF(K30&gt;=c_TFWD,IF(AND(K30&gt;=c_TMAP3IN,c_TMAP3IN&lt;1000),P30,IF(AND(K30&gt;=c_TMAP2IN,c_TMAP3IN&gt;c_TMAP2IN),O30,IF(AND(K30&gt;=c_TMAP1IN,c_TMAP2IN&gt;c_TMAP1IN),N30,M30))),L30)</f>
        <v>-350</v>
      </c>
      <c r="S30" s="7" t="str">
        <f aca="false">IF(R30&lt;-1090,"TOO LOW",IF(R30&gt;1090,"TOO HIGH",""))</f>
        <v/>
      </c>
      <c r="T30" s="15" t="n">
        <f aca="false">IF(H30&lt;&gt;"OK",0,IF(S30&lt;&gt;"",0,IF(R30&gt;979,1000,R30)))</f>
        <v>0</v>
      </c>
      <c r="U30" s="7" t="n">
        <f aca="false">T30/10</f>
        <v>0</v>
      </c>
    </row>
    <row r="31" customFormat="false" ht="15" hidden="false" customHeight="false" outlineLevel="0" collapsed="false">
      <c r="A31" s="7" t="n">
        <v>26</v>
      </c>
      <c r="B31" s="7" t="n">
        <f aca="false">ROUND(o_SWSTART+A31*(o_SWEND-o_SWSTART)/400,0)</f>
        <v>266</v>
      </c>
      <c r="C31" s="7" t="n">
        <f aca="false">QUOTIENT((B31-c_OFF1)*c_GAIN1,1024)</f>
        <v>266</v>
      </c>
      <c r="D31" s="7" t="n">
        <f aca="false">IF(((c_T1MX)-(c_T1MN))=0,(0)+QUOTIENT(((1000)-(0)),2),QUOTIENT((((C31)-(c_T1MN))*((1000)-(0))+IF(((1000)-(0))&gt;=0,1,-1)*QUOTIENT(((c_T1MX)-(c_T1MN)),2)),((c_T1MX)-(c_T1MN)))+(0)+IF(((1000)-(0))&gt;=0,IF(IF(o_WRAP=1,MOD(((c_T1MX)-(c_T1MN))*(((C31)-(c_T1MN))*((1000)-(0))+IF(((1000)-(0))&gt;=0,1,-1)*QUOTIENT(((c_T1MX)-(c_T1MN)),2))+2147483648,4294967296)-2147483648,((c_T1MX)-(c_T1MN))*(((C31)-(c_T1MN))*((1000)-(0))+IF(((1000)-(0))&gt;=0,1,-1)*QUOTIENT(((c_T1MX)-(c_T1MN)),2)))&lt;0,-1,0),IF(IF(o_WRAP=1,MOD(((c_T1MX)-(c_T1MN))*(((C31)-(c_T1MN))*((1000)-(0))+IF(((1000)-(0))&gt;=0,1,-1)*QUOTIENT(((c_T1MX)-(c_T1MN)),2))+2147483648,4294967296)-2147483648,((c_T1MX)-(c_T1MN))*(((C31)-(c_T1MN))*((1000)-(0))+IF(((1000)-(0))&gt;=0,1,-1)*QUOTIENT(((c_T1MX)-(c_T1MN)),2)))&gt;=0,1,0)))</f>
        <v>-163</v>
      </c>
      <c r="E31" s="7" t="n">
        <f aca="false">IF(AND(c_TPOT=1,c_TTYPE=2),1000-D31,D31)</f>
        <v>-163</v>
      </c>
      <c r="F31" s="7" t="str">
        <f aca="false">IF(c_TPOT&gt;1,ROUND(IF(c_TTYPE=2,c_T2MX-IF(c_T1MX=c_T1MN,0,(C31-c_T1MN)/(c_T1MX-c_T1MN))*(c_T2MX-c_T2MN),c_T2MN+IF(c_T1MX=c_T1MN,0,(C31-c_T1MN)/(c_T1MX-c_T1MN))*(c_T2MX-c_T2MN))+o_MISMATCH,0),"")</f>
        <v/>
      </c>
      <c r="G31" s="7" t="str">
        <f aca="false">IF(c_TPOT&gt;1,IF(((c_T2MX)-(c_T2MN))=0,(0)+QUOTIENT(((1000)-(0)),2),QUOTIENT((((F31)-(c_T2MN))*((1000)-(0))+IF(((1000)-(0))&gt;=0,1,-1)*QUOTIENT(((c_T2MX)-(c_T2MN)),2)),((c_T2MX)-(c_T2MN)))+(0)+IF(((1000)-(0))&gt;=0,IF(IF(o_WRAP=1,MOD(((c_T2MX)-(c_T2MN))*(((F31)-(c_T2MN))*((1000)-(0))+IF(((1000)-(0))&gt;=0,1,-1)*QUOTIENT(((c_T2MX)-(c_T2MN)),2))+2147483648,4294967296)-2147483648,((c_T2MX)-(c_T2MN))*(((F31)-(c_T2MN))*((1000)-(0))+IF(((1000)-(0))&gt;=0,1,-1)*QUOTIENT(((c_T2MX)-(c_T2MN)),2)))&lt;0,-1,0),IF(IF(o_WRAP=1,MOD(((c_T2MX)-(c_T2MN))*(((F31)-(c_T2MN))*((1000)-(0))+IF(((1000)-(0))&gt;=0,1,-1)*QUOTIENT(((c_T2MX)-(c_T2MN)),2))+2147483648,4294967296)-2147483648,((c_T2MX)-(c_T2MN))*(((F31)-(c_T2MN))*((1000)-(0))+IF(((1000)-(0))&gt;=0,1,-1)*QUOTIENT(((c_T2MX)-(c_T2MN)),2)))&gt;=0,1,0))),"")</f>
        <v/>
      </c>
      <c r="H31" s="7" t="str">
        <f aca="false">IF(E31&gt;1000+k_TOL,"T1 HIGH",IF(E31&lt;0-k_TOL,"T1 LOW",IF(c_TPOT&gt;1,IF(G31&gt;1000+k_TOL,"T2 HIGH",IF(G31&lt;0-k_TOL,"T2 LOW",IF(c_TTYPE=2,IF(ABS(1000-MAX(0,MIN(1000,E31))-MAX(0,MIN(1000,G31)))&gt;k_MAXERR,"MISMATCH","OK"),IF(OR(MAX(0,MIN(1000,E31))-k_MAXERR&gt;MAX(0,MIN(1000,G31)),MAX(0,MIN(1000,G31))-k_MAXERR&gt;MAX(0,MIN(1000,E31))),"MISMATCH","OK")))),"OK")))</f>
        <v>T1 LOW</v>
      </c>
      <c r="I31" s="7" t="n">
        <f aca="false">MAX(0,MIN(1000,D31))</f>
        <v>0</v>
      </c>
      <c r="J31" s="7" t="str">
        <f aca="false">IF(c_TPOT&gt;1,IF(c_TTYPE=2,1000-MAX(0,MIN(1000,G31)),MAX(0,MIN(1000,G31))),"")</f>
        <v/>
      </c>
      <c r="K31" s="7" t="n">
        <f aca="false">IF(c_TPOT&gt;1,QUOTIENT(I31+J31,2),I31)</f>
        <v>0</v>
      </c>
      <c r="L31" s="7" t="n">
        <f aca="false">IF(AND(K31=0,c_TCREEP&gt;0),10*c_TCREEP,IF(AND(K31&lt;=c_TRNGMIN,K31&gt;=c_TRNGMAX,c_TRNGMIN-c_TRNGMAX&lt;&gt;0),-10*c_TMINRN+QUOTIENT((c_TMAXRN-c_TMINRN)*(100-QUOTIENT((K31-c_TRNGMAX)*100,c_TRNGMIN-c_TRNGMAX)),-10),0))</f>
        <v>-350</v>
      </c>
      <c r="M31" s="7" t="n">
        <f aca="false">IF(((c_TMAP1IN)-(c_TFWD))=0,(0)+QUOTIENT(((c_TMAP1OUT)-(0)),2),QUOTIENT((((K31)-(c_TFWD))*((c_TMAP1OUT)-(0))+IF(((c_TMAP1OUT)-(0))&gt;=0,1,-1)*QUOTIENT(((c_TMAP1IN)-(c_TFWD)),2)),((c_TMAP1IN)-(c_TFWD)))+(0)+IF(((c_TMAP1OUT)-(0))&gt;=0,IF(IF(o_WRAP=1,MOD(((c_TMAP1IN)-(c_TFWD))*(((K31)-(c_TFWD))*((c_TMAP1OUT)-(0))+IF(((c_TMAP1OUT)-(0))&gt;=0,1,-1)*QUOTIENT(((c_TMAP1IN)-(c_TFWD)),2))+2147483648,4294967296)-2147483648,((c_TMAP1IN)-(c_TFWD))*(((K31)-(c_TFWD))*((c_TMAP1OUT)-(0))+IF(((c_TMAP1OUT)-(0))&gt;=0,1,-1)*QUOTIENT(((c_TMAP1IN)-(c_TFWD)),2)))&lt;0,-1,0),IF(IF(o_WRAP=1,MOD(((c_TMAP1IN)-(c_TFWD))*(((K31)-(c_TFWD))*((c_TMAP1OUT)-(0))+IF(((c_TMAP1OUT)-(0))&gt;=0,1,-1)*QUOTIENT(((c_TMAP1IN)-(c_TFWD)),2))+2147483648,4294967296)-2147483648,((c_TMAP1IN)-(c_TFWD))*(((K31)-(c_TFWD))*((c_TMAP1OUT)-(0))+IF(((c_TMAP1OUT)-(0))&gt;=0,1,-1)*QUOTIENT(((c_TMAP1IN)-(c_TFWD)),2)))&gt;=0,1,0)))</f>
        <v>-8</v>
      </c>
      <c r="N31" s="7" t="n">
        <f aca="false">IF(((c_TMAP2IN)-(c_TMAP1IN))=0,(c_TMAP1OUT)+QUOTIENT(((c_TMAP2OUT)-(c_TMAP1OUT)),2),QUOTIENT((((K31)-(c_TMAP1IN))*((c_TMAP2OUT)-(c_TMAP1OUT))+IF(((c_TMAP2OUT)-(c_TMAP1OUT))&gt;=0,1,-1)*QUOTIENT(((c_TMAP2IN)-(c_TMAP1IN)),2)),((c_TMAP2IN)-(c_TMAP1IN)))+(c_TMAP1OUT)+IF(((c_TMAP2OUT)-(c_TMAP1OUT))&gt;=0,IF(IF(o_WRAP=1,MOD(((c_TMAP2IN)-(c_TMAP1IN))*(((K31)-(c_TMAP1IN))*((c_TMAP2OUT)-(c_TMAP1OUT))+IF(((c_TMAP2OUT)-(c_TMAP1OUT))&gt;=0,1,-1)*QUOTIENT(((c_TMAP2IN)-(c_TMAP1IN)),2))+2147483648,4294967296)-2147483648,((c_TMAP2IN)-(c_TMAP1IN))*(((K31)-(c_TMAP1IN))*((c_TMAP2OUT)-(c_TMAP1OUT))+IF(((c_TMAP2OUT)-(c_TMAP1OUT))&gt;=0,1,-1)*QUOTIENT(((c_TMAP2IN)-(c_TMAP1IN)),2)))&lt;0,-1,0),IF(IF(o_WRAP=1,MOD(((c_TMAP2IN)-(c_TMAP1IN))*(((K31)-(c_TMAP1IN))*((c_TMAP2OUT)-(c_TMAP1OUT))+IF(((c_TMAP2OUT)-(c_TMAP1OUT))&gt;=0,1,-1)*QUOTIENT(((c_TMAP2IN)-(c_TMAP1IN)),2))+2147483648,4294967296)-2147483648,((c_TMAP2IN)-(c_TMAP1IN))*(((K31)-(c_TMAP1IN))*((c_TMAP2OUT)-(c_TMAP1OUT))+IF(((c_TMAP2OUT)-(c_TMAP1OUT))&gt;=0,1,-1)*QUOTIENT(((c_TMAP2IN)-(c_TMAP1IN)),2)))&gt;=0,1,0)))</f>
        <v>30</v>
      </c>
      <c r="O31" s="7" t="n">
        <f aca="false">IF(((c_TMAP3IN)-(c_TMAP2IN))=0,(c_TMAP2OUT)+QUOTIENT(((c_TMAP3OUT)-(c_TMAP2OUT)),2),QUOTIENT((((K31)-(c_TMAP2IN))*((c_TMAP3OUT)-(c_TMAP2OUT))+IF(((c_TMAP3OUT)-(c_TMAP2OUT))&gt;=0,1,-1)*QUOTIENT(((c_TMAP3IN)-(c_TMAP2IN)),2)),((c_TMAP3IN)-(c_TMAP2IN)))+(c_TMAP2OUT)+IF(((c_TMAP3OUT)-(c_TMAP2OUT))&gt;=0,IF(IF(o_WRAP=1,MOD(((c_TMAP3IN)-(c_TMAP2IN))*(((K31)-(c_TMAP2IN))*((c_TMAP3OUT)-(c_TMAP2OUT))+IF(((c_TMAP3OUT)-(c_TMAP2OUT))&gt;=0,1,-1)*QUOTIENT(((c_TMAP3IN)-(c_TMAP2IN)),2))+2147483648,4294967296)-2147483648,((c_TMAP3IN)-(c_TMAP2IN))*(((K31)-(c_TMAP2IN))*((c_TMAP3OUT)-(c_TMAP2OUT))+IF(((c_TMAP3OUT)-(c_TMAP2OUT))&gt;=0,1,-1)*QUOTIENT(((c_TMAP3IN)-(c_TMAP2IN)),2)))&lt;0,-1,0),IF(IF(o_WRAP=1,MOD(((c_TMAP3IN)-(c_TMAP2IN))*(((K31)-(c_TMAP2IN))*((c_TMAP3OUT)-(c_TMAP2OUT))+IF(((c_TMAP3OUT)-(c_TMAP2OUT))&gt;=0,1,-1)*QUOTIENT(((c_TMAP3IN)-(c_TMAP2IN)),2))+2147483648,4294967296)-2147483648,((c_TMAP3IN)-(c_TMAP2IN))*(((K31)-(c_TMAP2IN))*((c_TMAP3OUT)-(c_TMAP2OUT))+IF(((c_TMAP3OUT)-(c_TMAP2OUT))&gt;=0,1,-1)*QUOTIENT(((c_TMAP3IN)-(c_TMAP2IN)),2)))&gt;=0,1,0)))</f>
        <v>-45</v>
      </c>
      <c r="P31" s="7" t="n">
        <f aca="false">IF(((1000)-(c_TMAP3IN))=0,(c_TMAP3OUT)+QUOTIENT(((1000)-(c_TMAP3OUT)),2),QUOTIENT((((K31)-(c_TMAP3IN))*((1000)-(c_TMAP3OUT))+IF(((1000)-(c_TMAP3OUT))&gt;=0,1,-1)*QUOTIENT(((1000)-(c_TMAP3IN)),2)),((1000)-(c_TMAP3IN)))+(c_TMAP3OUT)+IF(((1000)-(c_TMAP3OUT))&gt;=0,IF(IF(o_WRAP=1,MOD(((1000)-(c_TMAP3IN))*(((K31)-(c_TMAP3IN))*((1000)-(c_TMAP3OUT))+IF(((1000)-(c_TMAP3OUT))&gt;=0,1,-1)*QUOTIENT(((1000)-(c_TMAP3IN)),2))+2147483648,4294967296)-2147483648,((1000)-(c_TMAP3IN))*(((K31)-(c_TMAP3IN))*((1000)-(c_TMAP3OUT))+IF(((1000)-(c_TMAP3OUT))&gt;=0,1,-1)*QUOTIENT(((1000)-(c_TMAP3IN)),2)))&lt;0,-1,0),IF(IF(o_WRAP=1,MOD(((1000)-(c_TMAP3IN))*(((K31)-(c_TMAP3IN))*((1000)-(c_TMAP3OUT))+IF(((1000)-(c_TMAP3OUT))&gt;=0,1,-1)*QUOTIENT(((1000)-(c_TMAP3IN)),2))+2147483648,4294967296)-2147483648,((1000)-(c_TMAP3IN))*(((K31)-(c_TMAP3IN))*((1000)-(c_TMAP3OUT))+IF(((1000)-(c_TMAP3OUT))&gt;=0,1,-1)*QUOTIENT(((1000)-(c_TMAP3IN)),2)))&gt;=0,1,0)))</f>
        <v>-231</v>
      </c>
      <c r="Q31" s="7" t="str">
        <f aca="false">IF(K31&gt;=c_TFWD,IF(AND(K31&gt;=c_TMAP3IN,c_TMAP3IN&lt;1000),"Seg4 map3-100%",IF(AND(K31&gt;=c_TMAP2IN,c_TMAP3IN&gt;c_TMAP2IN),"Seg3 map2-map3",IF(AND(K31&gt;=c_TMAP1IN,c_TMAP2IN&gt;c_TMAP1IN),"Seg2 map1-map2","Seg1 TFWD-map1"))),IF(AND(K31=0,c_TCREEP&gt;0),"Creep",IF(AND(K31&lt;=c_TRNGMIN,K31&gt;=c_TRNGMAX,c_TRNGMIN-c_TRNGMAX&lt;&gt;0),"Regen ramp","Coast (0)")))</f>
        <v>Regen ramp</v>
      </c>
      <c r="R31" s="7" t="n">
        <f aca="false">IF(K31&gt;=c_TFWD,IF(AND(K31&gt;=c_TMAP3IN,c_TMAP3IN&lt;1000),P31,IF(AND(K31&gt;=c_TMAP2IN,c_TMAP3IN&gt;c_TMAP2IN),O31,IF(AND(K31&gt;=c_TMAP1IN,c_TMAP2IN&gt;c_TMAP1IN),N31,M31))),L31)</f>
        <v>-350</v>
      </c>
      <c r="S31" s="7" t="str">
        <f aca="false">IF(R31&lt;-1090,"TOO LOW",IF(R31&gt;1090,"TOO HIGH",""))</f>
        <v/>
      </c>
      <c r="T31" s="15" t="n">
        <f aca="false">IF(H31&lt;&gt;"OK",0,IF(S31&lt;&gt;"",0,IF(R31&gt;979,1000,R31)))</f>
        <v>0</v>
      </c>
      <c r="U31" s="7" t="n">
        <f aca="false">T31/10</f>
        <v>0</v>
      </c>
    </row>
    <row r="32" customFormat="false" ht="15" hidden="false" customHeight="false" outlineLevel="0" collapsed="false">
      <c r="A32" s="7" t="n">
        <v>27</v>
      </c>
      <c r="B32" s="7" t="n">
        <f aca="false">ROUND(o_SWSTART+A32*(o_SWEND-o_SWSTART)/400,0)</f>
        <v>276</v>
      </c>
      <c r="C32" s="7" t="n">
        <f aca="false">QUOTIENT((B32-c_OFF1)*c_GAIN1,1024)</f>
        <v>276</v>
      </c>
      <c r="D32" s="7" t="n">
        <f aca="false">IF(((c_T1MX)-(c_T1MN))=0,(0)+QUOTIENT(((1000)-(0)),2),QUOTIENT((((C32)-(c_T1MN))*((1000)-(0))+IF(((1000)-(0))&gt;=0,1,-1)*QUOTIENT(((c_T1MX)-(c_T1MN)),2)),((c_T1MX)-(c_T1MN)))+(0)+IF(((1000)-(0))&gt;=0,IF(IF(o_WRAP=1,MOD(((c_T1MX)-(c_T1MN))*(((C32)-(c_T1MN))*((1000)-(0))+IF(((1000)-(0))&gt;=0,1,-1)*QUOTIENT(((c_T1MX)-(c_T1MN)),2))+2147483648,4294967296)-2147483648,((c_T1MX)-(c_T1MN))*(((C32)-(c_T1MN))*((1000)-(0))+IF(((1000)-(0))&gt;=0,1,-1)*QUOTIENT(((c_T1MX)-(c_T1MN)),2)))&lt;0,-1,0),IF(IF(o_WRAP=1,MOD(((c_T1MX)-(c_T1MN))*(((C32)-(c_T1MN))*((1000)-(0))+IF(((1000)-(0))&gt;=0,1,-1)*QUOTIENT(((c_T1MX)-(c_T1MN)),2))+2147483648,4294967296)-2147483648,((c_T1MX)-(c_T1MN))*(((C32)-(c_T1MN))*((1000)-(0))+IF(((1000)-(0))&gt;=0,1,-1)*QUOTIENT(((c_T1MX)-(c_T1MN)),2)))&gt;=0,1,0)))</f>
        <v>-159</v>
      </c>
      <c r="E32" s="7" t="n">
        <f aca="false">IF(AND(c_TPOT=1,c_TTYPE=2),1000-D32,D32)</f>
        <v>-159</v>
      </c>
      <c r="F32" s="7" t="str">
        <f aca="false">IF(c_TPOT&gt;1,ROUND(IF(c_TTYPE=2,c_T2MX-IF(c_T1MX=c_T1MN,0,(C32-c_T1MN)/(c_T1MX-c_T1MN))*(c_T2MX-c_T2MN),c_T2MN+IF(c_T1MX=c_T1MN,0,(C32-c_T1MN)/(c_T1MX-c_T1MN))*(c_T2MX-c_T2MN))+o_MISMATCH,0),"")</f>
        <v/>
      </c>
      <c r="G32" s="7" t="str">
        <f aca="false">IF(c_TPOT&gt;1,IF(((c_T2MX)-(c_T2MN))=0,(0)+QUOTIENT(((1000)-(0)),2),QUOTIENT((((F32)-(c_T2MN))*((1000)-(0))+IF(((1000)-(0))&gt;=0,1,-1)*QUOTIENT(((c_T2MX)-(c_T2MN)),2)),((c_T2MX)-(c_T2MN)))+(0)+IF(((1000)-(0))&gt;=0,IF(IF(o_WRAP=1,MOD(((c_T2MX)-(c_T2MN))*(((F32)-(c_T2MN))*((1000)-(0))+IF(((1000)-(0))&gt;=0,1,-1)*QUOTIENT(((c_T2MX)-(c_T2MN)),2))+2147483648,4294967296)-2147483648,((c_T2MX)-(c_T2MN))*(((F32)-(c_T2MN))*((1000)-(0))+IF(((1000)-(0))&gt;=0,1,-1)*QUOTIENT(((c_T2MX)-(c_T2MN)),2)))&lt;0,-1,0),IF(IF(o_WRAP=1,MOD(((c_T2MX)-(c_T2MN))*(((F32)-(c_T2MN))*((1000)-(0))+IF(((1000)-(0))&gt;=0,1,-1)*QUOTIENT(((c_T2MX)-(c_T2MN)),2))+2147483648,4294967296)-2147483648,((c_T2MX)-(c_T2MN))*(((F32)-(c_T2MN))*((1000)-(0))+IF(((1000)-(0))&gt;=0,1,-1)*QUOTIENT(((c_T2MX)-(c_T2MN)),2)))&gt;=0,1,0))),"")</f>
        <v/>
      </c>
      <c r="H32" s="7" t="str">
        <f aca="false">IF(E32&gt;1000+k_TOL,"T1 HIGH",IF(E32&lt;0-k_TOL,"T1 LOW",IF(c_TPOT&gt;1,IF(G32&gt;1000+k_TOL,"T2 HIGH",IF(G32&lt;0-k_TOL,"T2 LOW",IF(c_TTYPE=2,IF(ABS(1000-MAX(0,MIN(1000,E32))-MAX(0,MIN(1000,G32)))&gt;k_MAXERR,"MISMATCH","OK"),IF(OR(MAX(0,MIN(1000,E32))-k_MAXERR&gt;MAX(0,MIN(1000,G32)),MAX(0,MIN(1000,G32))-k_MAXERR&gt;MAX(0,MIN(1000,E32))),"MISMATCH","OK")))),"OK")))</f>
        <v>T1 LOW</v>
      </c>
      <c r="I32" s="7" t="n">
        <f aca="false">MAX(0,MIN(1000,D32))</f>
        <v>0</v>
      </c>
      <c r="J32" s="7" t="str">
        <f aca="false">IF(c_TPOT&gt;1,IF(c_TTYPE=2,1000-MAX(0,MIN(1000,G32)),MAX(0,MIN(1000,G32))),"")</f>
        <v/>
      </c>
      <c r="K32" s="7" t="n">
        <f aca="false">IF(c_TPOT&gt;1,QUOTIENT(I32+J32,2),I32)</f>
        <v>0</v>
      </c>
      <c r="L32" s="7" t="n">
        <f aca="false">IF(AND(K32=0,c_TCREEP&gt;0),10*c_TCREEP,IF(AND(K32&lt;=c_TRNGMIN,K32&gt;=c_TRNGMAX,c_TRNGMIN-c_TRNGMAX&lt;&gt;0),-10*c_TMINRN+QUOTIENT((c_TMAXRN-c_TMINRN)*(100-QUOTIENT((K32-c_TRNGMAX)*100,c_TRNGMIN-c_TRNGMAX)),-10),0))</f>
        <v>-350</v>
      </c>
      <c r="M32" s="7" t="n">
        <f aca="false">IF(((c_TMAP1IN)-(c_TFWD))=0,(0)+QUOTIENT(((c_TMAP1OUT)-(0)),2),QUOTIENT((((K32)-(c_TFWD))*((c_TMAP1OUT)-(0))+IF(((c_TMAP1OUT)-(0))&gt;=0,1,-1)*QUOTIENT(((c_TMAP1IN)-(c_TFWD)),2)),((c_TMAP1IN)-(c_TFWD)))+(0)+IF(((c_TMAP1OUT)-(0))&gt;=0,IF(IF(o_WRAP=1,MOD(((c_TMAP1IN)-(c_TFWD))*(((K32)-(c_TFWD))*((c_TMAP1OUT)-(0))+IF(((c_TMAP1OUT)-(0))&gt;=0,1,-1)*QUOTIENT(((c_TMAP1IN)-(c_TFWD)),2))+2147483648,4294967296)-2147483648,((c_TMAP1IN)-(c_TFWD))*(((K32)-(c_TFWD))*((c_TMAP1OUT)-(0))+IF(((c_TMAP1OUT)-(0))&gt;=0,1,-1)*QUOTIENT(((c_TMAP1IN)-(c_TFWD)),2)))&lt;0,-1,0),IF(IF(o_WRAP=1,MOD(((c_TMAP1IN)-(c_TFWD))*(((K32)-(c_TFWD))*((c_TMAP1OUT)-(0))+IF(((c_TMAP1OUT)-(0))&gt;=0,1,-1)*QUOTIENT(((c_TMAP1IN)-(c_TFWD)),2))+2147483648,4294967296)-2147483648,((c_TMAP1IN)-(c_TFWD))*(((K32)-(c_TFWD))*((c_TMAP1OUT)-(0))+IF(((c_TMAP1OUT)-(0))&gt;=0,1,-1)*QUOTIENT(((c_TMAP1IN)-(c_TFWD)),2)))&gt;=0,1,0)))</f>
        <v>-8</v>
      </c>
      <c r="N32" s="7" t="n">
        <f aca="false">IF(((c_TMAP2IN)-(c_TMAP1IN))=0,(c_TMAP1OUT)+QUOTIENT(((c_TMAP2OUT)-(c_TMAP1OUT)),2),QUOTIENT((((K32)-(c_TMAP1IN))*((c_TMAP2OUT)-(c_TMAP1OUT))+IF(((c_TMAP2OUT)-(c_TMAP1OUT))&gt;=0,1,-1)*QUOTIENT(((c_TMAP2IN)-(c_TMAP1IN)),2)),((c_TMAP2IN)-(c_TMAP1IN)))+(c_TMAP1OUT)+IF(((c_TMAP2OUT)-(c_TMAP1OUT))&gt;=0,IF(IF(o_WRAP=1,MOD(((c_TMAP2IN)-(c_TMAP1IN))*(((K32)-(c_TMAP1IN))*((c_TMAP2OUT)-(c_TMAP1OUT))+IF(((c_TMAP2OUT)-(c_TMAP1OUT))&gt;=0,1,-1)*QUOTIENT(((c_TMAP2IN)-(c_TMAP1IN)),2))+2147483648,4294967296)-2147483648,((c_TMAP2IN)-(c_TMAP1IN))*(((K32)-(c_TMAP1IN))*((c_TMAP2OUT)-(c_TMAP1OUT))+IF(((c_TMAP2OUT)-(c_TMAP1OUT))&gt;=0,1,-1)*QUOTIENT(((c_TMAP2IN)-(c_TMAP1IN)),2)))&lt;0,-1,0),IF(IF(o_WRAP=1,MOD(((c_TMAP2IN)-(c_TMAP1IN))*(((K32)-(c_TMAP1IN))*((c_TMAP2OUT)-(c_TMAP1OUT))+IF(((c_TMAP2OUT)-(c_TMAP1OUT))&gt;=0,1,-1)*QUOTIENT(((c_TMAP2IN)-(c_TMAP1IN)),2))+2147483648,4294967296)-2147483648,((c_TMAP2IN)-(c_TMAP1IN))*(((K32)-(c_TMAP1IN))*((c_TMAP2OUT)-(c_TMAP1OUT))+IF(((c_TMAP2OUT)-(c_TMAP1OUT))&gt;=0,1,-1)*QUOTIENT(((c_TMAP2IN)-(c_TMAP1IN)),2)))&gt;=0,1,0)))</f>
        <v>30</v>
      </c>
      <c r="O32" s="7" t="n">
        <f aca="false">IF(((c_TMAP3IN)-(c_TMAP2IN))=0,(c_TMAP2OUT)+QUOTIENT(((c_TMAP3OUT)-(c_TMAP2OUT)),2),QUOTIENT((((K32)-(c_TMAP2IN))*((c_TMAP3OUT)-(c_TMAP2OUT))+IF(((c_TMAP3OUT)-(c_TMAP2OUT))&gt;=0,1,-1)*QUOTIENT(((c_TMAP3IN)-(c_TMAP2IN)),2)),((c_TMAP3IN)-(c_TMAP2IN)))+(c_TMAP2OUT)+IF(((c_TMAP3OUT)-(c_TMAP2OUT))&gt;=0,IF(IF(o_WRAP=1,MOD(((c_TMAP3IN)-(c_TMAP2IN))*(((K32)-(c_TMAP2IN))*((c_TMAP3OUT)-(c_TMAP2OUT))+IF(((c_TMAP3OUT)-(c_TMAP2OUT))&gt;=0,1,-1)*QUOTIENT(((c_TMAP3IN)-(c_TMAP2IN)),2))+2147483648,4294967296)-2147483648,((c_TMAP3IN)-(c_TMAP2IN))*(((K32)-(c_TMAP2IN))*((c_TMAP3OUT)-(c_TMAP2OUT))+IF(((c_TMAP3OUT)-(c_TMAP2OUT))&gt;=0,1,-1)*QUOTIENT(((c_TMAP3IN)-(c_TMAP2IN)),2)))&lt;0,-1,0),IF(IF(o_WRAP=1,MOD(((c_TMAP3IN)-(c_TMAP2IN))*(((K32)-(c_TMAP2IN))*((c_TMAP3OUT)-(c_TMAP2OUT))+IF(((c_TMAP3OUT)-(c_TMAP2OUT))&gt;=0,1,-1)*QUOTIENT(((c_TMAP3IN)-(c_TMAP2IN)),2))+2147483648,4294967296)-2147483648,((c_TMAP3IN)-(c_TMAP2IN))*(((K32)-(c_TMAP2IN))*((c_TMAP3OUT)-(c_TMAP2OUT))+IF(((c_TMAP3OUT)-(c_TMAP2OUT))&gt;=0,1,-1)*QUOTIENT(((c_TMAP3IN)-(c_TMAP2IN)),2)))&gt;=0,1,0)))</f>
        <v>-45</v>
      </c>
      <c r="P32" s="7" t="n">
        <f aca="false">IF(((1000)-(c_TMAP3IN))=0,(c_TMAP3OUT)+QUOTIENT(((1000)-(c_TMAP3OUT)),2),QUOTIENT((((K32)-(c_TMAP3IN))*((1000)-(c_TMAP3OUT))+IF(((1000)-(c_TMAP3OUT))&gt;=0,1,-1)*QUOTIENT(((1000)-(c_TMAP3IN)),2)),((1000)-(c_TMAP3IN)))+(c_TMAP3OUT)+IF(((1000)-(c_TMAP3OUT))&gt;=0,IF(IF(o_WRAP=1,MOD(((1000)-(c_TMAP3IN))*(((K32)-(c_TMAP3IN))*((1000)-(c_TMAP3OUT))+IF(((1000)-(c_TMAP3OUT))&gt;=0,1,-1)*QUOTIENT(((1000)-(c_TMAP3IN)),2))+2147483648,4294967296)-2147483648,((1000)-(c_TMAP3IN))*(((K32)-(c_TMAP3IN))*((1000)-(c_TMAP3OUT))+IF(((1000)-(c_TMAP3OUT))&gt;=0,1,-1)*QUOTIENT(((1000)-(c_TMAP3IN)),2)))&lt;0,-1,0),IF(IF(o_WRAP=1,MOD(((1000)-(c_TMAP3IN))*(((K32)-(c_TMAP3IN))*((1000)-(c_TMAP3OUT))+IF(((1000)-(c_TMAP3OUT))&gt;=0,1,-1)*QUOTIENT(((1000)-(c_TMAP3IN)),2))+2147483648,4294967296)-2147483648,((1000)-(c_TMAP3IN))*(((K32)-(c_TMAP3IN))*((1000)-(c_TMAP3OUT))+IF(((1000)-(c_TMAP3OUT))&gt;=0,1,-1)*QUOTIENT(((1000)-(c_TMAP3IN)),2)))&gt;=0,1,0)))</f>
        <v>-231</v>
      </c>
      <c r="Q32" s="7" t="str">
        <f aca="false">IF(K32&gt;=c_TFWD,IF(AND(K32&gt;=c_TMAP3IN,c_TMAP3IN&lt;1000),"Seg4 map3-100%",IF(AND(K32&gt;=c_TMAP2IN,c_TMAP3IN&gt;c_TMAP2IN),"Seg3 map2-map3",IF(AND(K32&gt;=c_TMAP1IN,c_TMAP2IN&gt;c_TMAP1IN),"Seg2 map1-map2","Seg1 TFWD-map1"))),IF(AND(K32=0,c_TCREEP&gt;0),"Creep",IF(AND(K32&lt;=c_TRNGMIN,K32&gt;=c_TRNGMAX,c_TRNGMIN-c_TRNGMAX&lt;&gt;0),"Regen ramp","Coast (0)")))</f>
        <v>Regen ramp</v>
      </c>
      <c r="R32" s="7" t="n">
        <f aca="false">IF(K32&gt;=c_TFWD,IF(AND(K32&gt;=c_TMAP3IN,c_TMAP3IN&lt;1000),P32,IF(AND(K32&gt;=c_TMAP2IN,c_TMAP3IN&gt;c_TMAP2IN),O32,IF(AND(K32&gt;=c_TMAP1IN,c_TMAP2IN&gt;c_TMAP1IN),N32,M32))),L32)</f>
        <v>-350</v>
      </c>
      <c r="S32" s="7" t="str">
        <f aca="false">IF(R32&lt;-1090,"TOO LOW",IF(R32&gt;1090,"TOO HIGH",""))</f>
        <v/>
      </c>
      <c r="T32" s="15" t="n">
        <f aca="false">IF(H32&lt;&gt;"OK",0,IF(S32&lt;&gt;"",0,IF(R32&gt;979,1000,R32)))</f>
        <v>0</v>
      </c>
      <c r="U32" s="7" t="n">
        <f aca="false">T32/10</f>
        <v>0</v>
      </c>
    </row>
    <row r="33" customFormat="false" ht="15" hidden="false" customHeight="false" outlineLevel="0" collapsed="false">
      <c r="A33" s="7" t="n">
        <v>28</v>
      </c>
      <c r="B33" s="7" t="n">
        <f aca="false">ROUND(o_SWSTART+A33*(o_SWEND-o_SWSTART)/400,0)</f>
        <v>287</v>
      </c>
      <c r="C33" s="7" t="n">
        <f aca="false">QUOTIENT((B33-c_OFF1)*c_GAIN1,1024)</f>
        <v>287</v>
      </c>
      <c r="D33" s="7" t="n">
        <f aca="false">IF(((c_T1MX)-(c_T1MN))=0,(0)+QUOTIENT(((1000)-(0)),2),QUOTIENT((((C33)-(c_T1MN))*((1000)-(0))+IF(((1000)-(0))&gt;=0,1,-1)*QUOTIENT(((c_T1MX)-(c_T1MN)),2)),((c_T1MX)-(c_T1MN)))+(0)+IF(((1000)-(0))&gt;=0,IF(IF(o_WRAP=1,MOD(((c_T1MX)-(c_T1MN))*(((C33)-(c_T1MN))*((1000)-(0))+IF(((1000)-(0))&gt;=0,1,-1)*QUOTIENT(((c_T1MX)-(c_T1MN)),2))+2147483648,4294967296)-2147483648,((c_T1MX)-(c_T1MN))*(((C33)-(c_T1MN))*((1000)-(0))+IF(((1000)-(0))&gt;=0,1,-1)*QUOTIENT(((c_T1MX)-(c_T1MN)),2)))&lt;0,-1,0),IF(IF(o_WRAP=1,MOD(((c_T1MX)-(c_T1MN))*(((C33)-(c_T1MN))*((1000)-(0))+IF(((1000)-(0))&gt;=0,1,-1)*QUOTIENT(((c_T1MX)-(c_T1MN)),2))+2147483648,4294967296)-2147483648,((c_T1MX)-(c_T1MN))*(((C33)-(c_T1MN))*((1000)-(0))+IF(((1000)-(0))&gt;=0,1,-1)*QUOTIENT(((c_T1MX)-(c_T1MN)),2)))&gt;=0,1,0)))</f>
        <v>-155</v>
      </c>
      <c r="E33" s="7" t="n">
        <f aca="false">IF(AND(c_TPOT=1,c_TTYPE=2),1000-D33,D33)</f>
        <v>-155</v>
      </c>
      <c r="F33" s="7" t="str">
        <f aca="false">IF(c_TPOT&gt;1,ROUND(IF(c_TTYPE=2,c_T2MX-IF(c_T1MX=c_T1MN,0,(C33-c_T1MN)/(c_T1MX-c_T1MN))*(c_T2MX-c_T2MN),c_T2MN+IF(c_T1MX=c_T1MN,0,(C33-c_T1MN)/(c_T1MX-c_T1MN))*(c_T2MX-c_T2MN))+o_MISMATCH,0),"")</f>
        <v/>
      </c>
      <c r="G33" s="7" t="str">
        <f aca="false">IF(c_TPOT&gt;1,IF(((c_T2MX)-(c_T2MN))=0,(0)+QUOTIENT(((1000)-(0)),2),QUOTIENT((((F33)-(c_T2MN))*((1000)-(0))+IF(((1000)-(0))&gt;=0,1,-1)*QUOTIENT(((c_T2MX)-(c_T2MN)),2)),((c_T2MX)-(c_T2MN)))+(0)+IF(((1000)-(0))&gt;=0,IF(IF(o_WRAP=1,MOD(((c_T2MX)-(c_T2MN))*(((F33)-(c_T2MN))*((1000)-(0))+IF(((1000)-(0))&gt;=0,1,-1)*QUOTIENT(((c_T2MX)-(c_T2MN)),2))+2147483648,4294967296)-2147483648,((c_T2MX)-(c_T2MN))*(((F33)-(c_T2MN))*((1000)-(0))+IF(((1000)-(0))&gt;=0,1,-1)*QUOTIENT(((c_T2MX)-(c_T2MN)),2)))&lt;0,-1,0),IF(IF(o_WRAP=1,MOD(((c_T2MX)-(c_T2MN))*(((F33)-(c_T2MN))*((1000)-(0))+IF(((1000)-(0))&gt;=0,1,-1)*QUOTIENT(((c_T2MX)-(c_T2MN)),2))+2147483648,4294967296)-2147483648,((c_T2MX)-(c_T2MN))*(((F33)-(c_T2MN))*((1000)-(0))+IF(((1000)-(0))&gt;=0,1,-1)*QUOTIENT(((c_T2MX)-(c_T2MN)),2)))&gt;=0,1,0))),"")</f>
        <v/>
      </c>
      <c r="H33" s="7" t="str">
        <f aca="false">IF(E33&gt;1000+k_TOL,"T1 HIGH",IF(E33&lt;0-k_TOL,"T1 LOW",IF(c_TPOT&gt;1,IF(G33&gt;1000+k_TOL,"T2 HIGH",IF(G33&lt;0-k_TOL,"T2 LOW",IF(c_TTYPE=2,IF(ABS(1000-MAX(0,MIN(1000,E33))-MAX(0,MIN(1000,G33)))&gt;k_MAXERR,"MISMATCH","OK"),IF(OR(MAX(0,MIN(1000,E33))-k_MAXERR&gt;MAX(0,MIN(1000,G33)),MAX(0,MIN(1000,G33))-k_MAXERR&gt;MAX(0,MIN(1000,E33))),"MISMATCH","OK")))),"OK")))</f>
        <v>T1 LOW</v>
      </c>
      <c r="I33" s="7" t="n">
        <f aca="false">MAX(0,MIN(1000,D33))</f>
        <v>0</v>
      </c>
      <c r="J33" s="7" t="str">
        <f aca="false">IF(c_TPOT&gt;1,IF(c_TTYPE=2,1000-MAX(0,MIN(1000,G33)),MAX(0,MIN(1000,G33))),"")</f>
        <v/>
      </c>
      <c r="K33" s="7" t="n">
        <f aca="false">IF(c_TPOT&gt;1,QUOTIENT(I33+J33,2),I33)</f>
        <v>0</v>
      </c>
      <c r="L33" s="7" t="n">
        <f aca="false">IF(AND(K33=0,c_TCREEP&gt;0),10*c_TCREEP,IF(AND(K33&lt;=c_TRNGMIN,K33&gt;=c_TRNGMAX,c_TRNGMIN-c_TRNGMAX&lt;&gt;0),-10*c_TMINRN+QUOTIENT((c_TMAXRN-c_TMINRN)*(100-QUOTIENT((K33-c_TRNGMAX)*100,c_TRNGMIN-c_TRNGMAX)),-10),0))</f>
        <v>-350</v>
      </c>
      <c r="M33" s="7" t="n">
        <f aca="false">IF(((c_TMAP1IN)-(c_TFWD))=0,(0)+QUOTIENT(((c_TMAP1OUT)-(0)),2),QUOTIENT((((K33)-(c_TFWD))*((c_TMAP1OUT)-(0))+IF(((c_TMAP1OUT)-(0))&gt;=0,1,-1)*QUOTIENT(((c_TMAP1IN)-(c_TFWD)),2)),((c_TMAP1IN)-(c_TFWD)))+(0)+IF(((c_TMAP1OUT)-(0))&gt;=0,IF(IF(o_WRAP=1,MOD(((c_TMAP1IN)-(c_TFWD))*(((K33)-(c_TFWD))*((c_TMAP1OUT)-(0))+IF(((c_TMAP1OUT)-(0))&gt;=0,1,-1)*QUOTIENT(((c_TMAP1IN)-(c_TFWD)),2))+2147483648,4294967296)-2147483648,((c_TMAP1IN)-(c_TFWD))*(((K33)-(c_TFWD))*((c_TMAP1OUT)-(0))+IF(((c_TMAP1OUT)-(0))&gt;=0,1,-1)*QUOTIENT(((c_TMAP1IN)-(c_TFWD)),2)))&lt;0,-1,0),IF(IF(o_WRAP=1,MOD(((c_TMAP1IN)-(c_TFWD))*(((K33)-(c_TFWD))*((c_TMAP1OUT)-(0))+IF(((c_TMAP1OUT)-(0))&gt;=0,1,-1)*QUOTIENT(((c_TMAP1IN)-(c_TFWD)),2))+2147483648,4294967296)-2147483648,((c_TMAP1IN)-(c_TFWD))*(((K33)-(c_TFWD))*((c_TMAP1OUT)-(0))+IF(((c_TMAP1OUT)-(0))&gt;=0,1,-1)*QUOTIENT(((c_TMAP1IN)-(c_TFWD)),2)))&gt;=0,1,0)))</f>
        <v>-8</v>
      </c>
      <c r="N33" s="7" t="n">
        <f aca="false">IF(((c_TMAP2IN)-(c_TMAP1IN))=0,(c_TMAP1OUT)+QUOTIENT(((c_TMAP2OUT)-(c_TMAP1OUT)),2),QUOTIENT((((K33)-(c_TMAP1IN))*((c_TMAP2OUT)-(c_TMAP1OUT))+IF(((c_TMAP2OUT)-(c_TMAP1OUT))&gt;=0,1,-1)*QUOTIENT(((c_TMAP2IN)-(c_TMAP1IN)),2)),((c_TMAP2IN)-(c_TMAP1IN)))+(c_TMAP1OUT)+IF(((c_TMAP2OUT)-(c_TMAP1OUT))&gt;=0,IF(IF(o_WRAP=1,MOD(((c_TMAP2IN)-(c_TMAP1IN))*(((K33)-(c_TMAP1IN))*((c_TMAP2OUT)-(c_TMAP1OUT))+IF(((c_TMAP2OUT)-(c_TMAP1OUT))&gt;=0,1,-1)*QUOTIENT(((c_TMAP2IN)-(c_TMAP1IN)),2))+2147483648,4294967296)-2147483648,((c_TMAP2IN)-(c_TMAP1IN))*(((K33)-(c_TMAP1IN))*((c_TMAP2OUT)-(c_TMAP1OUT))+IF(((c_TMAP2OUT)-(c_TMAP1OUT))&gt;=0,1,-1)*QUOTIENT(((c_TMAP2IN)-(c_TMAP1IN)),2)))&lt;0,-1,0),IF(IF(o_WRAP=1,MOD(((c_TMAP2IN)-(c_TMAP1IN))*(((K33)-(c_TMAP1IN))*((c_TMAP2OUT)-(c_TMAP1OUT))+IF(((c_TMAP2OUT)-(c_TMAP1OUT))&gt;=0,1,-1)*QUOTIENT(((c_TMAP2IN)-(c_TMAP1IN)),2))+2147483648,4294967296)-2147483648,((c_TMAP2IN)-(c_TMAP1IN))*(((K33)-(c_TMAP1IN))*((c_TMAP2OUT)-(c_TMAP1OUT))+IF(((c_TMAP2OUT)-(c_TMAP1OUT))&gt;=0,1,-1)*QUOTIENT(((c_TMAP2IN)-(c_TMAP1IN)),2)))&gt;=0,1,0)))</f>
        <v>30</v>
      </c>
      <c r="O33" s="7" t="n">
        <f aca="false">IF(((c_TMAP3IN)-(c_TMAP2IN))=0,(c_TMAP2OUT)+QUOTIENT(((c_TMAP3OUT)-(c_TMAP2OUT)),2),QUOTIENT((((K33)-(c_TMAP2IN))*((c_TMAP3OUT)-(c_TMAP2OUT))+IF(((c_TMAP3OUT)-(c_TMAP2OUT))&gt;=0,1,-1)*QUOTIENT(((c_TMAP3IN)-(c_TMAP2IN)),2)),((c_TMAP3IN)-(c_TMAP2IN)))+(c_TMAP2OUT)+IF(((c_TMAP3OUT)-(c_TMAP2OUT))&gt;=0,IF(IF(o_WRAP=1,MOD(((c_TMAP3IN)-(c_TMAP2IN))*(((K33)-(c_TMAP2IN))*((c_TMAP3OUT)-(c_TMAP2OUT))+IF(((c_TMAP3OUT)-(c_TMAP2OUT))&gt;=0,1,-1)*QUOTIENT(((c_TMAP3IN)-(c_TMAP2IN)),2))+2147483648,4294967296)-2147483648,((c_TMAP3IN)-(c_TMAP2IN))*(((K33)-(c_TMAP2IN))*((c_TMAP3OUT)-(c_TMAP2OUT))+IF(((c_TMAP3OUT)-(c_TMAP2OUT))&gt;=0,1,-1)*QUOTIENT(((c_TMAP3IN)-(c_TMAP2IN)),2)))&lt;0,-1,0),IF(IF(o_WRAP=1,MOD(((c_TMAP3IN)-(c_TMAP2IN))*(((K33)-(c_TMAP2IN))*((c_TMAP3OUT)-(c_TMAP2OUT))+IF(((c_TMAP3OUT)-(c_TMAP2OUT))&gt;=0,1,-1)*QUOTIENT(((c_TMAP3IN)-(c_TMAP2IN)),2))+2147483648,4294967296)-2147483648,((c_TMAP3IN)-(c_TMAP2IN))*(((K33)-(c_TMAP2IN))*((c_TMAP3OUT)-(c_TMAP2OUT))+IF(((c_TMAP3OUT)-(c_TMAP2OUT))&gt;=0,1,-1)*QUOTIENT(((c_TMAP3IN)-(c_TMAP2IN)),2)))&gt;=0,1,0)))</f>
        <v>-45</v>
      </c>
      <c r="P33" s="7" t="n">
        <f aca="false">IF(((1000)-(c_TMAP3IN))=0,(c_TMAP3OUT)+QUOTIENT(((1000)-(c_TMAP3OUT)),2),QUOTIENT((((K33)-(c_TMAP3IN))*((1000)-(c_TMAP3OUT))+IF(((1000)-(c_TMAP3OUT))&gt;=0,1,-1)*QUOTIENT(((1000)-(c_TMAP3IN)),2)),((1000)-(c_TMAP3IN)))+(c_TMAP3OUT)+IF(((1000)-(c_TMAP3OUT))&gt;=0,IF(IF(o_WRAP=1,MOD(((1000)-(c_TMAP3IN))*(((K33)-(c_TMAP3IN))*((1000)-(c_TMAP3OUT))+IF(((1000)-(c_TMAP3OUT))&gt;=0,1,-1)*QUOTIENT(((1000)-(c_TMAP3IN)),2))+2147483648,4294967296)-2147483648,((1000)-(c_TMAP3IN))*(((K33)-(c_TMAP3IN))*((1000)-(c_TMAP3OUT))+IF(((1000)-(c_TMAP3OUT))&gt;=0,1,-1)*QUOTIENT(((1000)-(c_TMAP3IN)),2)))&lt;0,-1,0),IF(IF(o_WRAP=1,MOD(((1000)-(c_TMAP3IN))*(((K33)-(c_TMAP3IN))*((1000)-(c_TMAP3OUT))+IF(((1000)-(c_TMAP3OUT))&gt;=0,1,-1)*QUOTIENT(((1000)-(c_TMAP3IN)),2))+2147483648,4294967296)-2147483648,((1000)-(c_TMAP3IN))*(((K33)-(c_TMAP3IN))*((1000)-(c_TMAP3OUT))+IF(((1000)-(c_TMAP3OUT))&gt;=0,1,-1)*QUOTIENT(((1000)-(c_TMAP3IN)),2)))&gt;=0,1,0)))</f>
        <v>-231</v>
      </c>
      <c r="Q33" s="7" t="str">
        <f aca="false">IF(K33&gt;=c_TFWD,IF(AND(K33&gt;=c_TMAP3IN,c_TMAP3IN&lt;1000),"Seg4 map3-100%",IF(AND(K33&gt;=c_TMAP2IN,c_TMAP3IN&gt;c_TMAP2IN),"Seg3 map2-map3",IF(AND(K33&gt;=c_TMAP1IN,c_TMAP2IN&gt;c_TMAP1IN),"Seg2 map1-map2","Seg1 TFWD-map1"))),IF(AND(K33=0,c_TCREEP&gt;0),"Creep",IF(AND(K33&lt;=c_TRNGMIN,K33&gt;=c_TRNGMAX,c_TRNGMIN-c_TRNGMAX&lt;&gt;0),"Regen ramp","Coast (0)")))</f>
        <v>Regen ramp</v>
      </c>
      <c r="R33" s="7" t="n">
        <f aca="false">IF(K33&gt;=c_TFWD,IF(AND(K33&gt;=c_TMAP3IN,c_TMAP3IN&lt;1000),P33,IF(AND(K33&gt;=c_TMAP2IN,c_TMAP3IN&gt;c_TMAP2IN),O33,IF(AND(K33&gt;=c_TMAP1IN,c_TMAP2IN&gt;c_TMAP1IN),N33,M33))),L33)</f>
        <v>-350</v>
      </c>
      <c r="S33" s="7" t="str">
        <f aca="false">IF(R33&lt;-1090,"TOO LOW",IF(R33&gt;1090,"TOO HIGH",""))</f>
        <v/>
      </c>
      <c r="T33" s="15" t="n">
        <f aca="false">IF(H33&lt;&gt;"OK",0,IF(S33&lt;&gt;"",0,IF(R33&gt;979,1000,R33)))</f>
        <v>0</v>
      </c>
      <c r="U33" s="7" t="n">
        <f aca="false">T33/10</f>
        <v>0</v>
      </c>
    </row>
    <row r="34" customFormat="false" ht="15" hidden="false" customHeight="false" outlineLevel="0" collapsed="false">
      <c r="A34" s="7" t="n">
        <v>29</v>
      </c>
      <c r="B34" s="7" t="n">
        <f aca="false">ROUND(o_SWSTART+A34*(o_SWEND-o_SWSTART)/400,0)</f>
        <v>297</v>
      </c>
      <c r="C34" s="7" t="n">
        <f aca="false">QUOTIENT((B34-c_OFF1)*c_GAIN1,1024)</f>
        <v>297</v>
      </c>
      <c r="D34" s="7" t="n">
        <f aca="false">IF(((c_T1MX)-(c_T1MN))=0,(0)+QUOTIENT(((1000)-(0)),2),QUOTIENT((((C34)-(c_T1MN))*((1000)-(0))+IF(((1000)-(0))&gt;=0,1,-1)*QUOTIENT(((c_T1MX)-(c_T1MN)),2)),((c_T1MX)-(c_T1MN)))+(0)+IF(((1000)-(0))&gt;=0,IF(IF(o_WRAP=1,MOD(((c_T1MX)-(c_T1MN))*(((C34)-(c_T1MN))*((1000)-(0))+IF(((1000)-(0))&gt;=0,1,-1)*QUOTIENT(((c_T1MX)-(c_T1MN)),2))+2147483648,4294967296)-2147483648,((c_T1MX)-(c_T1MN))*(((C34)-(c_T1MN))*((1000)-(0))+IF(((1000)-(0))&gt;=0,1,-1)*QUOTIENT(((c_T1MX)-(c_T1MN)),2)))&lt;0,-1,0),IF(IF(o_WRAP=1,MOD(((c_T1MX)-(c_T1MN))*(((C34)-(c_T1MN))*((1000)-(0))+IF(((1000)-(0))&gt;=0,1,-1)*QUOTIENT(((c_T1MX)-(c_T1MN)),2))+2147483648,4294967296)-2147483648,((c_T1MX)-(c_T1MN))*(((C34)-(c_T1MN))*((1000)-(0))+IF(((1000)-(0))&gt;=0,1,-1)*QUOTIENT(((c_T1MX)-(c_T1MN)),2)))&gt;=0,1,0)))</f>
        <v>-151</v>
      </c>
      <c r="E34" s="7" t="n">
        <f aca="false">IF(AND(c_TPOT=1,c_TTYPE=2),1000-D34,D34)</f>
        <v>-151</v>
      </c>
      <c r="F34" s="7" t="str">
        <f aca="false">IF(c_TPOT&gt;1,ROUND(IF(c_TTYPE=2,c_T2MX-IF(c_T1MX=c_T1MN,0,(C34-c_T1MN)/(c_T1MX-c_T1MN))*(c_T2MX-c_T2MN),c_T2MN+IF(c_T1MX=c_T1MN,0,(C34-c_T1MN)/(c_T1MX-c_T1MN))*(c_T2MX-c_T2MN))+o_MISMATCH,0),"")</f>
        <v/>
      </c>
      <c r="G34" s="7" t="str">
        <f aca="false">IF(c_TPOT&gt;1,IF(((c_T2MX)-(c_T2MN))=0,(0)+QUOTIENT(((1000)-(0)),2),QUOTIENT((((F34)-(c_T2MN))*((1000)-(0))+IF(((1000)-(0))&gt;=0,1,-1)*QUOTIENT(((c_T2MX)-(c_T2MN)),2)),((c_T2MX)-(c_T2MN)))+(0)+IF(((1000)-(0))&gt;=0,IF(IF(o_WRAP=1,MOD(((c_T2MX)-(c_T2MN))*(((F34)-(c_T2MN))*((1000)-(0))+IF(((1000)-(0))&gt;=0,1,-1)*QUOTIENT(((c_T2MX)-(c_T2MN)),2))+2147483648,4294967296)-2147483648,((c_T2MX)-(c_T2MN))*(((F34)-(c_T2MN))*((1000)-(0))+IF(((1000)-(0))&gt;=0,1,-1)*QUOTIENT(((c_T2MX)-(c_T2MN)),2)))&lt;0,-1,0),IF(IF(o_WRAP=1,MOD(((c_T2MX)-(c_T2MN))*(((F34)-(c_T2MN))*((1000)-(0))+IF(((1000)-(0))&gt;=0,1,-1)*QUOTIENT(((c_T2MX)-(c_T2MN)),2))+2147483648,4294967296)-2147483648,((c_T2MX)-(c_T2MN))*(((F34)-(c_T2MN))*((1000)-(0))+IF(((1000)-(0))&gt;=0,1,-1)*QUOTIENT(((c_T2MX)-(c_T2MN)),2)))&gt;=0,1,0))),"")</f>
        <v/>
      </c>
      <c r="H34" s="7" t="str">
        <f aca="false">IF(E34&gt;1000+k_TOL,"T1 HIGH",IF(E34&lt;0-k_TOL,"T1 LOW",IF(c_TPOT&gt;1,IF(G34&gt;1000+k_TOL,"T2 HIGH",IF(G34&lt;0-k_TOL,"T2 LOW",IF(c_TTYPE=2,IF(ABS(1000-MAX(0,MIN(1000,E34))-MAX(0,MIN(1000,G34)))&gt;k_MAXERR,"MISMATCH","OK"),IF(OR(MAX(0,MIN(1000,E34))-k_MAXERR&gt;MAX(0,MIN(1000,G34)),MAX(0,MIN(1000,G34))-k_MAXERR&gt;MAX(0,MIN(1000,E34))),"MISMATCH","OK")))),"OK")))</f>
        <v>T1 LOW</v>
      </c>
      <c r="I34" s="7" t="n">
        <f aca="false">MAX(0,MIN(1000,D34))</f>
        <v>0</v>
      </c>
      <c r="J34" s="7" t="str">
        <f aca="false">IF(c_TPOT&gt;1,IF(c_TTYPE=2,1000-MAX(0,MIN(1000,G34)),MAX(0,MIN(1000,G34))),"")</f>
        <v/>
      </c>
      <c r="K34" s="7" t="n">
        <f aca="false">IF(c_TPOT&gt;1,QUOTIENT(I34+J34,2),I34)</f>
        <v>0</v>
      </c>
      <c r="L34" s="7" t="n">
        <f aca="false">IF(AND(K34=0,c_TCREEP&gt;0),10*c_TCREEP,IF(AND(K34&lt;=c_TRNGMIN,K34&gt;=c_TRNGMAX,c_TRNGMIN-c_TRNGMAX&lt;&gt;0),-10*c_TMINRN+QUOTIENT((c_TMAXRN-c_TMINRN)*(100-QUOTIENT((K34-c_TRNGMAX)*100,c_TRNGMIN-c_TRNGMAX)),-10),0))</f>
        <v>-350</v>
      </c>
      <c r="M34" s="7" t="n">
        <f aca="false">IF(((c_TMAP1IN)-(c_TFWD))=0,(0)+QUOTIENT(((c_TMAP1OUT)-(0)),2),QUOTIENT((((K34)-(c_TFWD))*((c_TMAP1OUT)-(0))+IF(((c_TMAP1OUT)-(0))&gt;=0,1,-1)*QUOTIENT(((c_TMAP1IN)-(c_TFWD)),2)),((c_TMAP1IN)-(c_TFWD)))+(0)+IF(((c_TMAP1OUT)-(0))&gt;=0,IF(IF(o_WRAP=1,MOD(((c_TMAP1IN)-(c_TFWD))*(((K34)-(c_TFWD))*((c_TMAP1OUT)-(0))+IF(((c_TMAP1OUT)-(0))&gt;=0,1,-1)*QUOTIENT(((c_TMAP1IN)-(c_TFWD)),2))+2147483648,4294967296)-2147483648,((c_TMAP1IN)-(c_TFWD))*(((K34)-(c_TFWD))*((c_TMAP1OUT)-(0))+IF(((c_TMAP1OUT)-(0))&gt;=0,1,-1)*QUOTIENT(((c_TMAP1IN)-(c_TFWD)),2)))&lt;0,-1,0),IF(IF(o_WRAP=1,MOD(((c_TMAP1IN)-(c_TFWD))*(((K34)-(c_TFWD))*((c_TMAP1OUT)-(0))+IF(((c_TMAP1OUT)-(0))&gt;=0,1,-1)*QUOTIENT(((c_TMAP1IN)-(c_TFWD)),2))+2147483648,4294967296)-2147483648,((c_TMAP1IN)-(c_TFWD))*(((K34)-(c_TFWD))*((c_TMAP1OUT)-(0))+IF(((c_TMAP1OUT)-(0))&gt;=0,1,-1)*QUOTIENT(((c_TMAP1IN)-(c_TFWD)),2)))&gt;=0,1,0)))</f>
        <v>-8</v>
      </c>
      <c r="N34" s="7" t="n">
        <f aca="false">IF(((c_TMAP2IN)-(c_TMAP1IN))=0,(c_TMAP1OUT)+QUOTIENT(((c_TMAP2OUT)-(c_TMAP1OUT)),2),QUOTIENT((((K34)-(c_TMAP1IN))*((c_TMAP2OUT)-(c_TMAP1OUT))+IF(((c_TMAP2OUT)-(c_TMAP1OUT))&gt;=0,1,-1)*QUOTIENT(((c_TMAP2IN)-(c_TMAP1IN)),2)),((c_TMAP2IN)-(c_TMAP1IN)))+(c_TMAP1OUT)+IF(((c_TMAP2OUT)-(c_TMAP1OUT))&gt;=0,IF(IF(o_WRAP=1,MOD(((c_TMAP2IN)-(c_TMAP1IN))*(((K34)-(c_TMAP1IN))*((c_TMAP2OUT)-(c_TMAP1OUT))+IF(((c_TMAP2OUT)-(c_TMAP1OUT))&gt;=0,1,-1)*QUOTIENT(((c_TMAP2IN)-(c_TMAP1IN)),2))+2147483648,4294967296)-2147483648,((c_TMAP2IN)-(c_TMAP1IN))*(((K34)-(c_TMAP1IN))*((c_TMAP2OUT)-(c_TMAP1OUT))+IF(((c_TMAP2OUT)-(c_TMAP1OUT))&gt;=0,1,-1)*QUOTIENT(((c_TMAP2IN)-(c_TMAP1IN)),2)))&lt;0,-1,0),IF(IF(o_WRAP=1,MOD(((c_TMAP2IN)-(c_TMAP1IN))*(((K34)-(c_TMAP1IN))*((c_TMAP2OUT)-(c_TMAP1OUT))+IF(((c_TMAP2OUT)-(c_TMAP1OUT))&gt;=0,1,-1)*QUOTIENT(((c_TMAP2IN)-(c_TMAP1IN)),2))+2147483648,4294967296)-2147483648,((c_TMAP2IN)-(c_TMAP1IN))*(((K34)-(c_TMAP1IN))*((c_TMAP2OUT)-(c_TMAP1OUT))+IF(((c_TMAP2OUT)-(c_TMAP1OUT))&gt;=0,1,-1)*QUOTIENT(((c_TMAP2IN)-(c_TMAP1IN)),2)))&gt;=0,1,0)))</f>
        <v>30</v>
      </c>
      <c r="O34" s="7" t="n">
        <f aca="false">IF(((c_TMAP3IN)-(c_TMAP2IN))=0,(c_TMAP2OUT)+QUOTIENT(((c_TMAP3OUT)-(c_TMAP2OUT)),2),QUOTIENT((((K34)-(c_TMAP2IN))*((c_TMAP3OUT)-(c_TMAP2OUT))+IF(((c_TMAP3OUT)-(c_TMAP2OUT))&gt;=0,1,-1)*QUOTIENT(((c_TMAP3IN)-(c_TMAP2IN)),2)),((c_TMAP3IN)-(c_TMAP2IN)))+(c_TMAP2OUT)+IF(((c_TMAP3OUT)-(c_TMAP2OUT))&gt;=0,IF(IF(o_WRAP=1,MOD(((c_TMAP3IN)-(c_TMAP2IN))*(((K34)-(c_TMAP2IN))*((c_TMAP3OUT)-(c_TMAP2OUT))+IF(((c_TMAP3OUT)-(c_TMAP2OUT))&gt;=0,1,-1)*QUOTIENT(((c_TMAP3IN)-(c_TMAP2IN)),2))+2147483648,4294967296)-2147483648,((c_TMAP3IN)-(c_TMAP2IN))*(((K34)-(c_TMAP2IN))*((c_TMAP3OUT)-(c_TMAP2OUT))+IF(((c_TMAP3OUT)-(c_TMAP2OUT))&gt;=0,1,-1)*QUOTIENT(((c_TMAP3IN)-(c_TMAP2IN)),2)))&lt;0,-1,0),IF(IF(o_WRAP=1,MOD(((c_TMAP3IN)-(c_TMAP2IN))*(((K34)-(c_TMAP2IN))*((c_TMAP3OUT)-(c_TMAP2OUT))+IF(((c_TMAP3OUT)-(c_TMAP2OUT))&gt;=0,1,-1)*QUOTIENT(((c_TMAP3IN)-(c_TMAP2IN)),2))+2147483648,4294967296)-2147483648,((c_TMAP3IN)-(c_TMAP2IN))*(((K34)-(c_TMAP2IN))*((c_TMAP3OUT)-(c_TMAP2OUT))+IF(((c_TMAP3OUT)-(c_TMAP2OUT))&gt;=0,1,-1)*QUOTIENT(((c_TMAP3IN)-(c_TMAP2IN)),2)))&gt;=0,1,0)))</f>
        <v>-45</v>
      </c>
      <c r="P34" s="7" t="n">
        <f aca="false">IF(((1000)-(c_TMAP3IN))=0,(c_TMAP3OUT)+QUOTIENT(((1000)-(c_TMAP3OUT)),2),QUOTIENT((((K34)-(c_TMAP3IN))*((1000)-(c_TMAP3OUT))+IF(((1000)-(c_TMAP3OUT))&gt;=0,1,-1)*QUOTIENT(((1000)-(c_TMAP3IN)),2)),((1000)-(c_TMAP3IN)))+(c_TMAP3OUT)+IF(((1000)-(c_TMAP3OUT))&gt;=0,IF(IF(o_WRAP=1,MOD(((1000)-(c_TMAP3IN))*(((K34)-(c_TMAP3IN))*((1000)-(c_TMAP3OUT))+IF(((1000)-(c_TMAP3OUT))&gt;=0,1,-1)*QUOTIENT(((1000)-(c_TMAP3IN)),2))+2147483648,4294967296)-2147483648,((1000)-(c_TMAP3IN))*(((K34)-(c_TMAP3IN))*((1000)-(c_TMAP3OUT))+IF(((1000)-(c_TMAP3OUT))&gt;=0,1,-1)*QUOTIENT(((1000)-(c_TMAP3IN)),2)))&lt;0,-1,0),IF(IF(o_WRAP=1,MOD(((1000)-(c_TMAP3IN))*(((K34)-(c_TMAP3IN))*((1000)-(c_TMAP3OUT))+IF(((1000)-(c_TMAP3OUT))&gt;=0,1,-1)*QUOTIENT(((1000)-(c_TMAP3IN)),2))+2147483648,4294967296)-2147483648,((1000)-(c_TMAP3IN))*(((K34)-(c_TMAP3IN))*((1000)-(c_TMAP3OUT))+IF(((1000)-(c_TMAP3OUT))&gt;=0,1,-1)*QUOTIENT(((1000)-(c_TMAP3IN)),2)))&gt;=0,1,0)))</f>
        <v>-231</v>
      </c>
      <c r="Q34" s="7" t="str">
        <f aca="false">IF(K34&gt;=c_TFWD,IF(AND(K34&gt;=c_TMAP3IN,c_TMAP3IN&lt;1000),"Seg4 map3-100%",IF(AND(K34&gt;=c_TMAP2IN,c_TMAP3IN&gt;c_TMAP2IN),"Seg3 map2-map3",IF(AND(K34&gt;=c_TMAP1IN,c_TMAP2IN&gt;c_TMAP1IN),"Seg2 map1-map2","Seg1 TFWD-map1"))),IF(AND(K34=0,c_TCREEP&gt;0),"Creep",IF(AND(K34&lt;=c_TRNGMIN,K34&gt;=c_TRNGMAX,c_TRNGMIN-c_TRNGMAX&lt;&gt;0),"Regen ramp","Coast (0)")))</f>
        <v>Regen ramp</v>
      </c>
      <c r="R34" s="7" t="n">
        <f aca="false">IF(K34&gt;=c_TFWD,IF(AND(K34&gt;=c_TMAP3IN,c_TMAP3IN&lt;1000),P34,IF(AND(K34&gt;=c_TMAP2IN,c_TMAP3IN&gt;c_TMAP2IN),O34,IF(AND(K34&gt;=c_TMAP1IN,c_TMAP2IN&gt;c_TMAP1IN),N34,M34))),L34)</f>
        <v>-350</v>
      </c>
      <c r="S34" s="7" t="str">
        <f aca="false">IF(R34&lt;-1090,"TOO LOW",IF(R34&gt;1090,"TOO HIGH",""))</f>
        <v/>
      </c>
      <c r="T34" s="15" t="n">
        <f aca="false">IF(H34&lt;&gt;"OK",0,IF(S34&lt;&gt;"",0,IF(R34&gt;979,1000,R34)))</f>
        <v>0</v>
      </c>
      <c r="U34" s="7" t="n">
        <f aca="false">T34/10</f>
        <v>0</v>
      </c>
    </row>
    <row r="35" customFormat="false" ht="15" hidden="false" customHeight="false" outlineLevel="0" collapsed="false">
      <c r="A35" s="7" t="n">
        <v>30</v>
      </c>
      <c r="B35" s="7" t="n">
        <f aca="false">ROUND(o_SWSTART+A35*(o_SWEND-o_SWSTART)/400,0)</f>
        <v>307</v>
      </c>
      <c r="C35" s="7" t="n">
        <f aca="false">QUOTIENT((B35-c_OFF1)*c_GAIN1,1024)</f>
        <v>307</v>
      </c>
      <c r="D35" s="7" t="n">
        <f aca="false">IF(((c_T1MX)-(c_T1MN))=0,(0)+QUOTIENT(((1000)-(0)),2),QUOTIENT((((C35)-(c_T1MN))*((1000)-(0))+IF(((1000)-(0))&gt;=0,1,-1)*QUOTIENT(((c_T1MX)-(c_T1MN)),2)),((c_T1MX)-(c_T1MN)))+(0)+IF(((1000)-(0))&gt;=0,IF(IF(o_WRAP=1,MOD(((c_T1MX)-(c_T1MN))*(((C35)-(c_T1MN))*((1000)-(0))+IF(((1000)-(0))&gt;=0,1,-1)*QUOTIENT(((c_T1MX)-(c_T1MN)),2))+2147483648,4294967296)-2147483648,((c_T1MX)-(c_T1MN))*(((C35)-(c_T1MN))*((1000)-(0))+IF(((1000)-(0))&gt;=0,1,-1)*QUOTIENT(((c_T1MX)-(c_T1MN)),2)))&lt;0,-1,0),IF(IF(o_WRAP=1,MOD(((c_T1MX)-(c_T1MN))*(((C35)-(c_T1MN))*((1000)-(0))+IF(((1000)-(0))&gt;=0,1,-1)*QUOTIENT(((c_T1MX)-(c_T1MN)),2))+2147483648,4294967296)-2147483648,((c_T1MX)-(c_T1MN))*(((C35)-(c_T1MN))*((1000)-(0))+IF(((1000)-(0))&gt;=0,1,-1)*QUOTIENT(((c_T1MX)-(c_T1MN)),2)))&gt;=0,1,0)))</f>
        <v>-148</v>
      </c>
      <c r="E35" s="7" t="n">
        <f aca="false">IF(AND(c_TPOT=1,c_TTYPE=2),1000-D35,D35)</f>
        <v>-148</v>
      </c>
      <c r="F35" s="7" t="str">
        <f aca="false">IF(c_TPOT&gt;1,ROUND(IF(c_TTYPE=2,c_T2MX-IF(c_T1MX=c_T1MN,0,(C35-c_T1MN)/(c_T1MX-c_T1MN))*(c_T2MX-c_T2MN),c_T2MN+IF(c_T1MX=c_T1MN,0,(C35-c_T1MN)/(c_T1MX-c_T1MN))*(c_T2MX-c_T2MN))+o_MISMATCH,0),"")</f>
        <v/>
      </c>
      <c r="G35" s="7" t="str">
        <f aca="false">IF(c_TPOT&gt;1,IF(((c_T2MX)-(c_T2MN))=0,(0)+QUOTIENT(((1000)-(0)),2),QUOTIENT((((F35)-(c_T2MN))*((1000)-(0))+IF(((1000)-(0))&gt;=0,1,-1)*QUOTIENT(((c_T2MX)-(c_T2MN)),2)),((c_T2MX)-(c_T2MN)))+(0)+IF(((1000)-(0))&gt;=0,IF(IF(o_WRAP=1,MOD(((c_T2MX)-(c_T2MN))*(((F35)-(c_T2MN))*((1000)-(0))+IF(((1000)-(0))&gt;=0,1,-1)*QUOTIENT(((c_T2MX)-(c_T2MN)),2))+2147483648,4294967296)-2147483648,((c_T2MX)-(c_T2MN))*(((F35)-(c_T2MN))*((1000)-(0))+IF(((1000)-(0))&gt;=0,1,-1)*QUOTIENT(((c_T2MX)-(c_T2MN)),2)))&lt;0,-1,0),IF(IF(o_WRAP=1,MOD(((c_T2MX)-(c_T2MN))*(((F35)-(c_T2MN))*((1000)-(0))+IF(((1000)-(0))&gt;=0,1,-1)*QUOTIENT(((c_T2MX)-(c_T2MN)),2))+2147483648,4294967296)-2147483648,((c_T2MX)-(c_T2MN))*(((F35)-(c_T2MN))*((1000)-(0))+IF(((1000)-(0))&gt;=0,1,-1)*QUOTIENT(((c_T2MX)-(c_T2MN)),2)))&gt;=0,1,0))),"")</f>
        <v/>
      </c>
      <c r="H35" s="7" t="str">
        <f aca="false">IF(E35&gt;1000+k_TOL,"T1 HIGH",IF(E35&lt;0-k_TOL,"T1 LOW",IF(c_TPOT&gt;1,IF(G35&gt;1000+k_TOL,"T2 HIGH",IF(G35&lt;0-k_TOL,"T2 LOW",IF(c_TTYPE=2,IF(ABS(1000-MAX(0,MIN(1000,E35))-MAX(0,MIN(1000,G35)))&gt;k_MAXERR,"MISMATCH","OK"),IF(OR(MAX(0,MIN(1000,E35))-k_MAXERR&gt;MAX(0,MIN(1000,G35)),MAX(0,MIN(1000,G35))-k_MAXERR&gt;MAX(0,MIN(1000,E35))),"MISMATCH","OK")))),"OK")))</f>
        <v>OK</v>
      </c>
      <c r="I35" s="7" t="n">
        <f aca="false">MAX(0,MIN(1000,D35))</f>
        <v>0</v>
      </c>
      <c r="J35" s="7" t="str">
        <f aca="false">IF(c_TPOT&gt;1,IF(c_TTYPE=2,1000-MAX(0,MIN(1000,G35)),MAX(0,MIN(1000,G35))),"")</f>
        <v/>
      </c>
      <c r="K35" s="7" t="n">
        <f aca="false">IF(c_TPOT&gt;1,QUOTIENT(I35+J35,2),I35)</f>
        <v>0</v>
      </c>
      <c r="L35" s="7" t="n">
        <f aca="false">IF(AND(K35=0,c_TCREEP&gt;0),10*c_TCREEP,IF(AND(K35&lt;=c_TRNGMIN,K35&gt;=c_TRNGMAX,c_TRNGMIN-c_TRNGMAX&lt;&gt;0),-10*c_TMINRN+QUOTIENT((c_TMAXRN-c_TMINRN)*(100-QUOTIENT((K35-c_TRNGMAX)*100,c_TRNGMIN-c_TRNGMAX)),-10),0))</f>
        <v>-350</v>
      </c>
      <c r="M35" s="7" t="n">
        <f aca="false">IF(((c_TMAP1IN)-(c_TFWD))=0,(0)+QUOTIENT(((c_TMAP1OUT)-(0)),2),QUOTIENT((((K35)-(c_TFWD))*((c_TMAP1OUT)-(0))+IF(((c_TMAP1OUT)-(0))&gt;=0,1,-1)*QUOTIENT(((c_TMAP1IN)-(c_TFWD)),2)),((c_TMAP1IN)-(c_TFWD)))+(0)+IF(((c_TMAP1OUT)-(0))&gt;=0,IF(IF(o_WRAP=1,MOD(((c_TMAP1IN)-(c_TFWD))*(((K35)-(c_TFWD))*((c_TMAP1OUT)-(0))+IF(((c_TMAP1OUT)-(0))&gt;=0,1,-1)*QUOTIENT(((c_TMAP1IN)-(c_TFWD)),2))+2147483648,4294967296)-2147483648,((c_TMAP1IN)-(c_TFWD))*(((K35)-(c_TFWD))*((c_TMAP1OUT)-(0))+IF(((c_TMAP1OUT)-(0))&gt;=0,1,-1)*QUOTIENT(((c_TMAP1IN)-(c_TFWD)),2)))&lt;0,-1,0),IF(IF(o_WRAP=1,MOD(((c_TMAP1IN)-(c_TFWD))*(((K35)-(c_TFWD))*((c_TMAP1OUT)-(0))+IF(((c_TMAP1OUT)-(0))&gt;=0,1,-1)*QUOTIENT(((c_TMAP1IN)-(c_TFWD)),2))+2147483648,4294967296)-2147483648,((c_TMAP1IN)-(c_TFWD))*(((K35)-(c_TFWD))*((c_TMAP1OUT)-(0))+IF(((c_TMAP1OUT)-(0))&gt;=0,1,-1)*QUOTIENT(((c_TMAP1IN)-(c_TFWD)),2)))&gt;=0,1,0)))</f>
        <v>-8</v>
      </c>
      <c r="N35" s="7" t="n">
        <f aca="false">IF(((c_TMAP2IN)-(c_TMAP1IN))=0,(c_TMAP1OUT)+QUOTIENT(((c_TMAP2OUT)-(c_TMAP1OUT)),2),QUOTIENT((((K35)-(c_TMAP1IN))*((c_TMAP2OUT)-(c_TMAP1OUT))+IF(((c_TMAP2OUT)-(c_TMAP1OUT))&gt;=0,1,-1)*QUOTIENT(((c_TMAP2IN)-(c_TMAP1IN)),2)),((c_TMAP2IN)-(c_TMAP1IN)))+(c_TMAP1OUT)+IF(((c_TMAP2OUT)-(c_TMAP1OUT))&gt;=0,IF(IF(o_WRAP=1,MOD(((c_TMAP2IN)-(c_TMAP1IN))*(((K35)-(c_TMAP1IN))*((c_TMAP2OUT)-(c_TMAP1OUT))+IF(((c_TMAP2OUT)-(c_TMAP1OUT))&gt;=0,1,-1)*QUOTIENT(((c_TMAP2IN)-(c_TMAP1IN)),2))+2147483648,4294967296)-2147483648,((c_TMAP2IN)-(c_TMAP1IN))*(((K35)-(c_TMAP1IN))*((c_TMAP2OUT)-(c_TMAP1OUT))+IF(((c_TMAP2OUT)-(c_TMAP1OUT))&gt;=0,1,-1)*QUOTIENT(((c_TMAP2IN)-(c_TMAP1IN)),2)))&lt;0,-1,0),IF(IF(o_WRAP=1,MOD(((c_TMAP2IN)-(c_TMAP1IN))*(((K35)-(c_TMAP1IN))*((c_TMAP2OUT)-(c_TMAP1OUT))+IF(((c_TMAP2OUT)-(c_TMAP1OUT))&gt;=0,1,-1)*QUOTIENT(((c_TMAP2IN)-(c_TMAP1IN)),2))+2147483648,4294967296)-2147483648,((c_TMAP2IN)-(c_TMAP1IN))*(((K35)-(c_TMAP1IN))*((c_TMAP2OUT)-(c_TMAP1OUT))+IF(((c_TMAP2OUT)-(c_TMAP1OUT))&gt;=0,1,-1)*QUOTIENT(((c_TMAP2IN)-(c_TMAP1IN)),2)))&gt;=0,1,0)))</f>
        <v>30</v>
      </c>
      <c r="O35" s="7" t="n">
        <f aca="false">IF(((c_TMAP3IN)-(c_TMAP2IN))=0,(c_TMAP2OUT)+QUOTIENT(((c_TMAP3OUT)-(c_TMAP2OUT)),2),QUOTIENT((((K35)-(c_TMAP2IN))*((c_TMAP3OUT)-(c_TMAP2OUT))+IF(((c_TMAP3OUT)-(c_TMAP2OUT))&gt;=0,1,-1)*QUOTIENT(((c_TMAP3IN)-(c_TMAP2IN)),2)),((c_TMAP3IN)-(c_TMAP2IN)))+(c_TMAP2OUT)+IF(((c_TMAP3OUT)-(c_TMAP2OUT))&gt;=0,IF(IF(o_WRAP=1,MOD(((c_TMAP3IN)-(c_TMAP2IN))*(((K35)-(c_TMAP2IN))*((c_TMAP3OUT)-(c_TMAP2OUT))+IF(((c_TMAP3OUT)-(c_TMAP2OUT))&gt;=0,1,-1)*QUOTIENT(((c_TMAP3IN)-(c_TMAP2IN)),2))+2147483648,4294967296)-2147483648,((c_TMAP3IN)-(c_TMAP2IN))*(((K35)-(c_TMAP2IN))*((c_TMAP3OUT)-(c_TMAP2OUT))+IF(((c_TMAP3OUT)-(c_TMAP2OUT))&gt;=0,1,-1)*QUOTIENT(((c_TMAP3IN)-(c_TMAP2IN)),2)))&lt;0,-1,0),IF(IF(o_WRAP=1,MOD(((c_TMAP3IN)-(c_TMAP2IN))*(((K35)-(c_TMAP2IN))*((c_TMAP3OUT)-(c_TMAP2OUT))+IF(((c_TMAP3OUT)-(c_TMAP2OUT))&gt;=0,1,-1)*QUOTIENT(((c_TMAP3IN)-(c_TMAP2IN)),2))+2147483648,4294967296)-2147483648,((c_TMAP3IN)-(c_TMAP2IN))*(((K35)-(c_TMAP2IN))*((c_TMAP3OUT)-(c_TMAP2OUT))+IF(((c_TMAP3OUT)-(c_TMAP2OUT))&gt;=0,1,-1)*QUOTIENT(((c_TMAP3IN)-(c_TMAP2IN)),2)))&gt;=0,1,0)))</f>
        <v>-45</v>
      </c>
      <c r="P35" s="7" t="n">
        <f aca="false">IF(((1000)-(c_TMAP3IN))=0,(c_TMAP3OUT)+QUOTIENT(((1000)-(c_TMAP3OUT)),2),QUOTIENT((((K35)-(c_TMAP3IN))*((1000)-(c_TMAP3OUT))+IF(((1000)-(c_TMAP3OUT))&gt;=0,1,-1)*QUOTIENT(((1000)-(c_TMAP3IN)),2)),((1000)-(c_TMAP3IN)))+(c_TMAP3OUT)+IF(((1000)-(c_TMAP3OUT))&gt;=0,IF(IF(o_WRAP=1,MOD(((1000)-(c_TMAP3IN))*(((K35)-(c_TMAP3IN))*((1000)-(c_TMAP3OUT))+IF(((1000)-(c_TMAP3OUT))&gt;=0,1,-1)*QUOTIENT(((1000)-(c_TMAP3IN)),2))+2147483648,4294967296)-2147483648,((1000)-(c_TMAP3IN))*(((K35)-(c_TMAP3IN))*((1000)-(c_TMAP3OUT))+IF(((1000)-(c_TMAP3OUT))&gt;=0,1,-1)*QUOTIENT(((1000)-(c_TMAP3IN)),2)))&lt;0,-1,0),IF(IF(o_WRAP=1,MOD(((1000)-(c_TMAP3IN))*(((K35)-(c_TMAP3IN))*((1000)-(c_TMAP3OUT))+IF(((1000)-(c_TMAP3OUT))&gt;=0,1,-1)*QUOTIENT(((1000)-(c_TMAP3IN)),2))+2147483648,4294967296)-2147483648,((1000)-(c_TMAP3IN))*(((K35)-(c_TMAP3IN))*((1000)-(c_TMAP3OUT))+IF(((1000)-(c_TMAP3OUT))&gt;=0,1,-1)*QUOTIENT(((1000)-(c_TMAP3IN)),2)))&gt;=0,1,0)))</f>
        <v>-231</v>
      </c>
      <c r="Q35" s="7" t="str">
        <f aca="false">IF(K35&gt;=c_TFWD,IF(AND(K35&gt;=c_TMAP3IN,c_TMAP3IN&lt;1000),"Seg4 map3-100%",IF(AND(K35&gt;=c_TMAP2IN,c_TMAP3IN&gt;c_TMAP2IN),"Seg3 map2-map3",IF(AND(K35&gt;=c_TMAP1IN,c_TMAP2IN&gt;c_TMAP1IN),"Seg2 map1-map2","Seg1 TFWD-map1"))),IF(AND(K35=0,c_TCREEP&gt;0),"Creep",IF(AND(K35&lt;=c_TRNGMIN,K35&gt;=c_TRNGMAX,c_TRNGMIN-c_TRNGMAX&lt;&gt;0),"Regen ramp","Coast (0)")))</f>
        <v>Regen ramp</v>
      </c>
      <c r="R35" s="7" t="n">
        <f aca="false">IF(K35&gt;=c_TFWD,IF(AND(K35&gt;=c_TMAP3IN,c_TMAP3IN&lt;1000),P35,IF(AND(K35&gt;=c_TMAP2IN,c_TMAP3IN&gt;c_TMAP2IN),O35,IF(AND(K35&gt;=c_TMAP1IN,c_TMAP2IN&gt;c_TMAP1IN),N35,M35))),L35)</f>
        <v>-350</v>
      </c>
      <c r="S35" s="7" t="str">
        <f aca="false">IF(R35&lt;-1090,"TOO LOW",IF(R35&gt;1090,"TOO HIGH",""))</f>
        <v/>
      </c>
      <c r="T35" s="15" t="n">
        <f aca="false">IF(H35&lt;&gt;"OK",0,IF(S35&lt;&gt;"",0,IF(R35&gt;979,1000,R35)))</f>
        <v>-350</v>
      </c>
      <c r="U35" s="7" t="n">
        <f aca="false">T35/10</f>
        <v>-35</v>
      </c>
    </row>
    <row r="36" customFormat="false" ht="15" hidden="false" customHeight="false" outlineLevel="0" collapsed="false">
      <c r="A36" s="7" t="n">
        <v>31</v>
      </c>
      <c r="B36" s="7" t="n">
        <f aca="false">ROUND(o_SWSTART+A36*(o_SWEND-o_SWSTART)/400,0)</f>
        <v>317</v>
      </c>
      <c r="C36" s="7" t="n">
        <f aca="false">QUOTIENT((B36-c_OFF1)*c_GAIN1,1024)</f>
        <v>317</v>
      </c>
      <c r="D36" s="7" t="n">
        <f aca="false">IF(((c_T1MX)-(c_T1MN))=0,(0)+QUOTIENT(((1000)-(0)),2),QUOTIENT((((C36)-(c_T1MN))*((1000)-(0))+IF(((1000)-(0))&gt;=0,1,-1)*QUOTIENT(((c_T1MX)-(c_T1MN)),2)),((c_T1MX)-(c_T1MN)))+(0)+IF(((1000)-(0))&gt;=0,IF(IF(o_WRAP=1,MOD(((c_T1MX)-(c_T1MN))*(((C36)-(c_T1MN))*((1000)-(0))+IF(((1000)-(0))&gt;=0,1,-1)*QUOTIENT(((c_T1MX)-(c_T1MN)),2))+2147483648,4294967296)-2147483648,((c_T1MX)-(c_T1MN))*(((C36)-(c_T1MN))*((1000)-(0))+IF(((1000)-(0))&gt;=0,1,-1)*QUOTIENT(((c_T1MX)-(c_T1MN)),2)))&lt;0,-1,0),IF(IF(o_WRAP=1,MOD(((c_T1MX)-(c_T1MN))*(((C36)-(c_T1MN))*((1000)-(0))+IF(((1000)-(0))&gt;=0,1,-1)*QUOTIENT(((c_T1MX)-(c_T1MN)),2))+2147483648,4294967296)-2147483648,((c_T1MX)-(c_T1MN))*(((C36)-(c_T1MN))*((1000)-(0))+IF(((1000)-(0))&gt;=0,1,-1)*QUOTIENT(((c_T1MX)-(c_T1MN)),2)))&gt;=0,1,0)))</f>
        <v>-144</v>
      </c>
      <c r="E36" s="7" t="n">
        <f aca="false">IF(AND(c_TPOT=1,c_TTYPE=2),1000-D36,D36)</f>
        <v>-144</v>
      </c>
      <c r="F36" s="7" t="str">
        <f aca="false">IF(c_TPOT&gt;1,ROUND(IF(c_TTYPE=2,c_T2MX-IF(c_T1MX=c_T1MN,0,(C36-c_T1MN)/(c_T1MX-c_T1MN))*(c_T2MX-c_T2MN),c_T2MN+IF(c_T1MX=c_T1MN,0,(C36-c_T1MN)/(c_T1MX-c_T1MN))*(c_T2MX-c_T2MN))+o_MISMATCH,0),"")</f>
        <v/>
      </c>
      <c r="G36" s="7" t="str">
        <f aca="false">IF(c_TPOT&gt;1,IF(((c_T2MX)-(c_T2MN))=0,(0)+QUOTIENT(((1000)-(0)),2),QUOTIENT((((F36)-(c_T2MN))*((1000)-(0))+IF(((1000)-(0))&gt;=0,1,-1)*QUOTIENT(((c_T2MX)-(c_T2MN)),2)),((c_T2MX)-(c_T2MN)))+(0)+IF(((1000)-(0))&gt;=0,IF(IF(o_WRAP=1,MOD(((c_T2MX)-(c_T2MN))*(((F36)-(c_T2MN))*((1000)-(0))+IF(((1000)-(0))&gt;=0,1,-1)*QUOTIENT(((c_T2MX)-(c_T2MN)),2))+2147483648,4294967296)-2147483648,((c_T2MX)-(c_T2MN))*(((F36)-(c_T2MN))*((1000)-(0))+IF(((1000)-(0))&gt;=0,1,-1)*QUOTIENT(((c_T2MX)-(c_T2MN)),2)))&lt;0,-1,0),IF(IF(o_WRAP=1,MOD(((c_T2MX)-(c_T2MN))*(((F36)-(c_T2MN))*((1000)-(0))+IF(((1000)-(0))&gt;=0,1,-1)*QUOTIENT(((c_T2MX)-(c_T2MN)),2))+2147483648,4294967296)-2147483648,((c_T2MX)-(c_T2MN))*(((F36)-(c_T2MN))*((1000)-(0))+IF(((1000)-(0))&gt;=0,1,-1)*QUOTIENT(((c_T2MX)-(c_T2MN)),2)))&gt;=0,1,0))),"")</f>
        <v/>
      </c>
      <c r="H36" s="7" t="str">
        <f aca="false">IF(E36&gt;1000+k_TOL,"T1 HIGH",IF(E36&lt;0-k_TOL,"T1 LOW",IF(c_TPOT&gt;1,IF(G36&gt;1000+k_TOL,"T2 HIGH",IF(G36&lt;0-k_TOL,"T2 LOW",IF(c_TTYPE=2,IF(ABS(1000-MAX(0,MIN(1000,E36))-MAX(0,MIN(1000,G36)))&gt;k_MAXERR,"MISMATCH","OK"),IF(OR(MAX(0,MIN(1000,E36))-k_MAXERR&gt;MAX(0,MIN(1000,G36)),MAX(0,MIN(1000,G36))-k_MAXERR&gt;MAX(0,MIN(1000,E36))),"MISMATCH","OK")))),"OK")))</f>
        <v>OK</v>
      </c>
      <c r="I36" s="7" t="n">
        <f aca="false">MAX(0,MIN(1000,D36))</f>
        <v>0</v>
      </c>
      <c r="J36" s="7" t="str">
        <f aca="false">IF(c_TPOT&gt;1,IF(c_TTYPE=2,1000-MAX(0,MIN(1000,G36)),MAX(0,MIN(1000,G36))),"")</f>
        <v/>
      </c>
      <c r="K36" s="7" t="n">
        <f aca="false">IF(c_TPOT&gt;1,QUOTIENT(I36+J36,2),I36)</f>
        <v>0</v>
      </c>
      <c r="L36" s="7" t="n">
        <f aca="false">IF(AND(K36=0,c_TCREEP&gt;0),10*c_TCREEP,IF(AND(K36&lt;=c_TRNGMIN,K36&gt;=c_TRNGMAX,c_TRNGMIN-c_TRNGMAX&lt;&gt;0),-10*c_TMINRN+QUOTIENT((c_TMAXRN-c_TMINRN)*(100-QUOTIENT((K36-c_TRNGMAX)*100,c_TRNGMIN-c_TRNGMAX)),-10),0))</f>
        <v>-350</v>
      </c>
      <c r="M36" s="7" t="n">
        <f aca="false">IF(((c_TMAP1IN)-(c_TFWD))=0,(0)+QUOTIENT(((c_TMAP1OUT)-(0)),2),QUOTIENT((((K36)-(c_TFWD))*((c_TMAP1OUT)-(0))+IF(((c_TMAP1OUT)-(0))&gt;=0,1,-1)*QUOTIENT(((c_TMAP1IN)-(c_TFWD)),2)),((c_TMAP1IN)-(c_TFWD)))+(0)+IF(((c_TMAP1OUT)-(0))&gt;=0,IF(IF(o_WRAP=1,MOD(((c_TMAP1IN)-(c_TFWD))*(((K36)-(c_TFWD))*((c_TMAP1OUT)-(0))+IF(((c_TMAP1OUT)-(0))&gt;=0,1,-1)*QUOTIENT(((c_TMAP1IN)-(c_TFWD)),2))+2147483648,4294967296)-2147483648,((c_TMAP1IN)-(c_TFWD))*(((K36)-(c_TFWD))*((c_TMAP1OUT)-(0))+IF(((c_TMAP1OUT)-(0))&gt;=0,1,-1)*QUOTIENT(((c_TMAP1IN)-(c_TFWD)),2)))&lt;0,-1,0),IF(IF(o_WRAP=1,MOD(((c_TMAP1IN)-(c_TFWD))*(((K36)-(c_TFWD))*((c_TMAP1OUT)-(0))+IF(((c_TMAP1OUT)-(0))&gt;=0,1,-1)*QUOTIENT(((c_TMAP1IN)-(c_TFWD)),2))+2147483648,4294967296)-2147483648,((c_TMAP1IN)-(c_TFWD))*(((K36)-(c_TFWD))*((c_TMAP1OUT)-(0))+IF(((c_TMAP1OUT)-(0))&gt;=0,1,-1)*QUOTIENT(((c_TMAP1IN)-(c_TFWD)),2)))&gt;=0,1,0)))</f>
        <v>-8</v>
      </c>
      <c r="N36" s="7" t="n">
        <f aca="false">IF(((c_TMAP2IN)-(c_TMAP1IN))=0,(c_TMAP1OUT)+QUOTIENT(((c_TMAP2OUT)-(c_TMAP1OUT)),2),QUOTIENT((((K36)-(c_TMAP1IN))*((c_TMAP2OUT)-(c_TMAP1OUT))+IF(((c_TMAP2OUT)-(c_TMAP1OUT))&gt;=0,1,-1)*QUOTIENT(((c_TMAP2IN)-(c_TMAP1IN)),2)),((c_TMAP2IN)-(c_TMAP1IN)))+(c_TMAP1OUT)+IF(((c_TMAP2OUT)-(c_TMAP1OUT))&gt;=0,IF(IF(o_WRAP=1,MOD(((c_TMAP2IN)-(c_TMAP1IN))*(((K36)-(c_TMAP1IN))*((c_TMAP2OUT)-(c_TMAP1OUT))+IF(((c_TMAP2OUT)-(c_TMAP1OUT))&gt;=0,1,-1)*QUOTIENT(((c_TMAP2IN)-(c_TMAP1IN)),2))+2147483648,4294967296)-2147483648,((c_TMAP2IN)-(c_TMAP1IN))*(((K36)-(c_TMAP1IN))*((c_TMAP2OUT)-(c_TMAP1OUT))+IF(((c_TMAP2OUT)-(c_TMAP1OUT))&gt;=0,1,-1)*QUOTIENT(((c_TMAP2IN)-(c_TMAP1IN)),2)))&lt;0,-1,0),IF(IF(o_WRAP=1,MOD(((c_TMAP2IN)-(c_TMAP1IN))*(((K36)-(c_TMAP1IN))*((c_TMAP2OUT)-(c_TMAP1OUT))+IF(((c_TMAP2OUT)-(c_TMAP1OUT))&gt;=0,1,-1)*QUOTIENT(((c_TMAP2IN)-(c_TMAP1IN)),2))+2147483648,4294967296)-2147483648,((c_TMAP2IN)-(c_TMAP1IN))*(((K36)-(c_TMAP1IN))*((c_TMAP2OUT)-(c_TMAP1OUT))+IF(((c_TMAP2OUT)-(c_TMAP1OUT))&gt;=0,1,-1)*QUOTIENT(((c_TMAP2IN)-(c_TMAP1IN)),2)))&gt;=0,1,0)))</f>
        <v>30</v>
      </c>
      <c r="O36" s="7" t="n">
        <f aca="false">IF(((c_TMAP3IN)-(c_TMAP2IN))=0,(c_TMAP2OUT)+QUOTIENT(((c_TMAP3OUT)-(c_TMAP2OUT)),2),QUOTIENT((((K36)-(c_TMAP2IN))*((c_TMAP3OUT)-(c_TMAP2OUT))+IF(((c_TMAP3OUT)-(c_TMAP2OUT))&gt;=0,1,-1)*QUOTIENT(((c_TMAP3IN)-(c_TMAP2IN)),2)),((c_TMAP3IN)-(c_TMAP2IN)))+(c_TMAP2OUT)+IF(((c_TMAP3OUT)-(c_TMAP2OUT))&gt;=0,IF(IF(o_WRAP=1,MOD(((c_TMAP3IN)-(c_TMAP2IN))*(((K36)-(c_TMAP2IN))*((c_TMAP3OUT)-(c_TMAP2OUT))+IF(((c_TMAP3OUT)-(c_TMAP2OUT))&gt;=0,1,-1)*QUOTIENT(((c_TMAP3IN)-(c_TMAP2IN)),2))+2147483648,4294967296)-2147483648,((c_TMAP3IN)-(c_TMAP2IN))*(((K36)-(c_TMAP2IN))*((c_TMAP3OUT)-(c_TMAP2OUT))+IF(((c_TMAP3OUT)-(c_TMAP2OUT))&gt;=0,1,-1)*QUOTIENT(((c_TMAP3IN)-(c_TMAP2IN)),2)))&lt;0,-1,0),IF(IF(o_WRAP=1,MOD(((c_TMAP3IN)-(c_TMAP2IN))*(((K36)-(c_TMAP2IN))*((c_TMAP3OUT)-(c_TMAP2OUT))+IF(((c_TMAP3OUT)-(c_TMAP2OUT))&gt;=0,1,-1)*QUOTIENT(((c_TMAP3IN)-(c_TMAP2IN)),2))+2147483648,4294967296)-2147483648,((c_TMAP3IN)-(c_TMAP2IN))*(((K36)-(c_TMAP2IN))*((c_TMAP3OUT)-(c_TMAP2OUT))+IF(((c_TMAP3OUT)-(c_TMAP2OUT))&gt;=0,1,-1)*QUOTIENT(((c_TMAP3IN)-(c_TMAP2IN)),2)))&gt;=0,1,0)))</f>
        <v>-45</v>
      </c>
      <c r="P36" s="7" t="n">
        <f aca="false">IF(((1000)-(c_TMAP3IN))=0,(c_TMAP3OUT)+QUOTIENT(((1000)-(c_TMAP3OUT)),2),QUOTIENT((((K36)-(c_TMAP3IN))*((1000)-(c_TMAP3OUT))+IF(((1000)-(c_TMAP3OUT))&gt;=0,1,-1)*QUOTIENT(((1000)-(c_TMAP3IN)),2)),((1000)-(c_TMAP3IN)))+(c_TMAP3OUT)+IF(((1000)-(c_TMAP3OUT))&gt;=0,IF(IF(o_WRAP=1,MOD(((1000)-(c_TMAP3IN))*(((K36)-(c_TMAP3IN))*((1000)-(c_TMAP3OUT))+IF(((1000)-(c_TMAP3OUT))&gt;=0,1,-1)*QUOTIENT(((1000)-(c_TMAP3IN)),2))+2147483648,4294967296)-2147483648,((1000)-(c_TMAP3IN))*(((K36)-(c_TMAP3IN))*((1000)-(c_TMAP3OUT))+IF(((1000)-(c_TMAP3OUT))&gt;=0,1,-1)*QUOTIENT(((1000)-(c_TMAP3IN)),2)))&lt;0,-1,0),IF(IF(o_WRAP=1,MOD(((1000)-(c_TMAP3IN))*(((K36)-(c_TMAP3IN))*((1000)-(c_TMAP3OUT))+IF(((1000)-(c_TMAP3OUT))&gt;=0,1,-1)*QUOTIENT(((1000)-(c_TMAP3IN)),2))+2147483648,4294967296)-2147483648,((1000)-(c_TMAP3IN))*(((K36)-(c_TMAP3IN))*((1000)-(c_TMAP3OUT))+IF(((1000)-(c_TMAP3OUT))&gt;=0,1,-1)*QUOTIENT(((1000)-(c_TMAP3IN)),2)))&gt;=0,1,0)))</f>
        <v>-231</v>
      </c>
      <c r="Q36" s="7" t="str">
        <f aca="false">IF(K36&gt;=c_TFWD,IF(AND(K36&gt;=c_TMAP3IN,c_TMAP3IN&lt;1000),"Seg4 map3-100%",IF(AND(K36&gt;=c_TMAP2IN,c_TMAP3IN&gt;c_TMAP2IN),"Seg3 map2-map3",IF(AND(K36&gt;=c_TMAP1IN,c_TMAP2IN&gt;c_TMAP1IN),"Seg2 map1-map2","Seg1 TFWD-map1"))),IF(AND(K36=0,c_TCREEP&gt;0),"Creep",IF(AND(K36&lt;=c_TRNGMIN,K36&gt;=c_TRNGMAX,c_TRNGMIN-c_TRNGMAX&lt;&gt;0),"Regen ramp","Coast (0)")))</f>
        <v>Regen ramp</v>
      </c>
      <c r="R36" s="7" t="n">
        <f aca="false">IF(K36&gt;=c_TFWD,IF(AND(K36&gt;=c_TMAP3IN,c_TMAP3IN&lt;1000),P36,IF(AND(K36&gt;=c_TMAP2IN,c_TMAP3IN&gt;c_TMAP2IN),O36,IF(AND(K36&gt;=c_TMAP1IN,c_TMAP2IN&gt;c_TMAP1IN),N36,M36))),L36)</f>
        <v>-350</v>
      </c>
      <c r="S36" s="7" t="str">
        <f aca="false">IF(R36&lt;-1090,"TOO LOW",IF(R36&gt;1090,"TOO HIGH",""))</f>
        <v/>
      </c>
      <c r="T36" s="15" t="n">
        <f aca="false">IF(H36&lt;&gt;"OK",0,IF(S36&lt;&gt;"",0,IF(R36&gt;979,1000,R36)))</f>
        <v>-350</v>
      </c>
      <c r="U36" s="7" t="n">
        <f aca="false">T36/10</f>
        <v>-35</v>
      </c>
    </row>
    <row r="37" customFormat="false" ht="15" hidden="false" customHeight="false" outlineLevel="0" collapsed="false">
      <c r="A37" s="7" t="n">
        <v>32</v>
      </c>
      <c r="B37" s="7" t="n">
        <f aca="false">ROUND(o_SWSTART+A37*(o_SWEND-o_SWSTART)/400,0)</f>
        <v>328</v>
      </c>
      <c r="C37" s="7" t="n">
        <f aca="false">QUOTIENT((B37-c_OFF1)*c_GAIN1,1024)</f>
        <v>328</v>
      </c>
      <c r="D37" s="7" t="n">
        <f aca="false">IF(((c_T1MX)-(c_T1MN))=0,(0)+QUOTIENT(((1000)-(0)),2),QUOTIENT((((C37)-(c_T1MN))*((1000)-(0))+IF(((1000)-(0))&gt;=0,1,-1)*QUOTIENT(((c_T1MX)-(c_T1MN)),2)),((c_T1MX)-(c_T1MN)))+(0)+IF(((1000)-(0))&gt;=0,IF(IF(o_WRAP=1,MOD(((c_T1MX)-(c_T1MN))*(((C37)-(c_T1MN))*((1000)-(0))+IF(((1000)-(0))&gt;=0,1,-1)*QUOTIENT(((c_T1MX)-(c_T1MN)),2))+2147483648,4294967296)-2147483648,((c_T1MX)-(c_T1MN))*(((C37)-(c_T1MN))*((1000)-(0))+IF(((1000)-(0))&gt;=0,1,-1)*QUOTIENT(((c_T1MX)-(c_T1MN)),2)))&lt;0,-1,0),IF(IF(o_WRAP=1,MOD(((c_T1MX)-(c_T1MN))*(((C37)-(c_T1MN))*((1000)-(0))+IF(((1000)-(0))&gt;=0,1,-1)*QUOTIENT(((c_T1MX)-(c_T1MN)),2))+2147483648,4294967296)-2147483648,((c_T1MX)-(c_T1MN))*(((C37)-(c_T1MN))*((1000)-(0))+IF(((1000)-(0))&gt;=0,1,-1)*QUOTIENT(((c_T1MX)-(c_T1MN)),2)))&gt;=0,1,0)))</f>
        <v>-140</v>
      </c>
      <c r="E37" s="7" t="n">
        <f aca="false">IF(AND(c_TPOT=1,c_TTYPE=2),1000-D37,D37)</f>
        <v>-140</v>
      </c>
      <c r="F37" s="7" t="str">
        <f aca="false">IF(c_TPOT&gt;1,ROUND(IF(c_TTYPE=2,c_T2MX-IF(c_T1MX=c_T1MN,0,(C37-c_T1MN)/(c_T1MX-c_T1MN))*(c_T2MX-c_T2MN),c_T2MN+IF(c_T1MX=c_T1MN,0,(C37-c_T1MN)/(c_T1MX-c_T1MN))*(c_T2MX-c_T2MN))+o_MISMATCH,0),"")</f>
        <v/>
      </c>
      <c r="G37" s="7" t="str">
        <f aca="false">IF(c_TPOT&gt;1,IF(((c_T2MX)-(c_T2MN))=0,(0)+QUOTIENT(((1000)-(0)),2),QUOTIENT((((F37)-(c_T2MN))*((1000)-(0))+IF(((1000)-(0))&gt;=0,1,-1)*QUOTIENT(((c_T2MX)-(c_T2MN)),2)),((c_T2MX)-(c_T2MN)))+(0)+IF(((1000)-(0))&gt;=0,IF(IF(o_WRAP=1,MOD(((c_T2MX)-(c_T2MN))*(((F37)-(c_T2MN))*((1000)-(0))+IF(((1000)-(0))&gt;=0,1,-1)*QUOTIENT(((c_T2MX)-(c_T2MN)),2))+2147483648,4294967296)-2147483648,((c_T2MX)-(c_T2MN))*(((F37)-(c_T2MN))*((1000)-(0))+IF(((1000)-(0))&gt;=0,1,-1)*QUOTIENT(((c_T2MX)-(c_T2MN)),2)))&lt;0,-1,0),IF(IF(o_WRAP=1,MOD(((c_T2MX)-(c_T2MN))*(((F37)-(c_T2MN))*((1000)-(0))+IF(((1000)-(0))&gt;=0,1,-1)*QUOTIENT(((c_T2MX)-(c_T2MN)),2))+2147483648,4294967296)-2147483648,((c_T2MX)-(c_T2MN))*(((F37)-(c_T2MN))*((1000)-(0))+IF(((1000)-(0))&gt;=0,1,-1)*QUOTIENT(((c_T2MX)-(c_T2MN)),2)))&gt;=0,1,0))),"")</f>
        <v/>
      </c>
      <c r="H37" s="7" t="str">
        <f aca="false">IF(E37&gt;1000+k_TOL,"T1 HIGH",IF(E37&lt;0-k_TOL,"T1 LOW",IF(c_TPOT&gt;1,IF(G37&gt;1000+k_TOL,"T2 HIGH",IF(G37&lt;0-k_TOL,"T2 LOW",IF(c_TTYPE=2,IF(ABS(1000-MAX(0,MIN(1000,E37))-MAX(0,MIN(1000,G37)))&gt;k_MAXERR,"MISMATCH","OK"),IF(OR(MAX(0,MIN(1000,E37))-k_MAXERR&gt;MAX(0,MIN(1000,G37)),MAX(0,MIN(1000,G37))-k_MAXERR&gt;MAX(0,MIN(1000,E37))),"MISMATCH","OK")))),"OK")))</f>
        <v>OK</v>
      </c>
      <c r="I37" s="7" t="n">
        <f aca="false">MAX(0,MIN(1000,D37))</f>
        <v>0</v>
      </c>
      <c r="J37" s="7" t="str">
        <f aca="false">IF(c_TPOT&gt;1,IF(c_TTYPE=2,1000-MAX(0,MIN(1000,G37)),MAX(0,MIN(1000,G37))),"")</f>
        <v/>
      </c>
      <c r="K37" s="7" t="n">
        <f aca="false">IF(c_TPOT&gt;1,QUOTIENT(I37+J37,2),I37)</f>
        <v>0</v>
      </c>
      <c r="L37" s="7" t="n">
        <f aca="false">IF(AND(K37=0,c_TCREEP&gt;0),10*c_TCREEP,IF(AND(K37&lt;=c_TRNGMIN,K37&gt;=c_TRNGMAX,c_TRNGMIN-c_TRNGMAX&lt;&gt;0),-10*c_TMINRN+QUOTIENT((c_TMAXRN-c_TMINRN)*(100-QUOTIENT((K37-c_TRNGMAX)*100,c_TRNGMIN-c_TRNGMAX)),-10),0))</f>
        <v>-350</v>
      </c>
      <c r="M37" s="7" t="n">
        <f aca="false">IF(((c_TMAP1IN)-(c_TFWD))=0,(0)+QUOTIENT(((c_TMAP1OUT)-(0)),2),QUOTIENT((((K37)-(c_TFWD))*((c_TMAP1OUT)-(0))+IF(((c_TMAP1OUT)-(0))&gt;=0,1,-1)*QUOTIENT(((c_TMAP1IN)-(c_TFWD)),2)),((c_TMAP1IN)-(c_TFWD)))+(0)+IF(((c_TMAP1OUT)-(0))&gt;=0,IF(IF(o_WRAP=1,MOD(((c_TMAP1IN)-(c_TFWD))*(((K37)-(c_TFWD))*((c_TMAP1OUT)-(0))+IF(((c_TMAP1OUT)-(0))&gt;=0,1,-1)*QUOTIENT(((c_TMAP1IN)-(c_TFWD)),2))+2147483648,4294967296)-2147483648,((c_TMAP1IN)-(c_TFWD))*(((K37)-(c_TFWD))*((c_TMAP1OUT)-(0))+IF(((c_TMAP1OUT)-(0))&gt;=0,1,-1)*QUOTIENT(((c_TMAP1IN)-(c_TFWD)),2)))&lt;0,-1,0),IF(IF(o_WRAP=1,MOD(((c_TMAP1IN)-(c_TFWD))*(((K37)-(c_TFWD))*((c_TMAP1OUT)-(0))+IF(((c_TMAP1OUT)-(0))&gt;=0,1,-1)*QUOTIENT(((c_TMAP1IN)-(c_TFWD)),2))+2147483648,4294967296)-2147483648,((c_TMAP1IN)-(c_TFWD))*(((K37)-(c_TFWD))*((c_TMAP1OUT)-(0))+IF(((c_TMAP1OUT)-(0))&gt;=0,1,-1)*QUOTIENT(((c_TMAP1IN)-(c_TFWD)),2)))&gt;=0,1,0)))</f>
        <v>-8</v>
      </c>
      <c r="N37" s="7" t="n">
        <f aca="false">IF(((c_TMAP2IN)-(c_TMAP1IN))=0,(c_TMAP1OUT)+QUOTIENT(((c_TMAP2OUT)-(c_TMAP1OUT)),2),QUOTIENT((((K37)-(c_TMAP1IN))*((c_TMAP2OUT)-(c_TMAP1OUT))+IF(((c_TMAP2OUT)-(c_TMAP1OUT))&gt;=0,1,-1)*QUOTIENT(((c_TMAP2IN)-(c_TMAP1IN)),2)),((c_TMAP2IN)-(c_TMAP1IN)))+(c_TMAP1OUT)+IF(((c_TMAP2OUT)-(c_TMAP1OUT))&gt;=0,IF(IF(o_WRAP=1,MOD(((c_TMAP2IN)-(c_TMAP1IN))*(((K37)-(c_TMAP1IN))*((c_TMAP2OUT)-(c_TMAP1OUT))+IF(((c_TMAP2OUT)-(c_TMAP1OUT))&gt;=0,1,-1)*QUOTIENT(((c_TMAP2IN)-(c_TMAP1IN)),2))+2147483648,4294967296)-2147483648,((c_TMAP2IN)-(c_TMAP1IN))*(((K37)-(c_TMAP1IN))*((c_TMAP2OUT)-(c_TMAP1OUT))+IF(((c_TMAP2OUT)-(c_TMAP1OUT))&gt;=0,1,-1)*QUOTIENT(((c_TMAP2IN)-(c_TMAP1IN)),2)))&lt;0,-1,0),IF(IF(o_WRAP=1,MOD(((c_TMAP2IN)-(c_TMAP1IN))*(((K37)-(c_TMAP1IN))*((c_TMAP2OUT)-(c_TMAP1OUT))+IF(((c_TMAP2OUT)-(c_TMAP1OUT))&gt;=0,1,-1)*QUOTIENT(((c_TMAP2IN)-(c_TMAP1IN)),2))+2147483648,4294967296)-2147483648,((c_TMAP2IN)-(c_TMAP1IN))*(((K37)-(c_TMAP1IN))*((c_TMAP2OUT)-(c_TMAP1OUT))+IF(((c_TMAP2OUT)-(c_TMAP1OUT))&gt;=0,1,-1)*QUOTIENT(((c_TMAP2IN)-(c_TMAP1IN)),2)))&gt;=0,1,0)))</f>
        <v>30</v>
      </c>
      <c r="O37" s="7" t="n">
        <f aca="false">IF(((c_TMAP3IN)-(c_TMAP2IN))=0,(c_TMAP2OUT)+QUOTIENT(((c_TMAP3OUT)-(c_TMAP2OUT)),2),QUOTIENT((((K37)-(c_TMAP2IN))*((c_TMAP3OUT)-(c_TMAP2OUT))+IF(((c_TMAP3OUT)-(c_TMAP2OUT))&gt;=0,1,-1)*QUOTIENT(((c_TMAP3IN)-(c_TMAP2IN)),2)),((c_TMAP3IN)-(c_TMAP2IN)))+(c_TMAP2OUT)+IF(((c_TMAP3OUT)-(c_TMAP2OUT))&gt;=0,IF(IF(o_WRAP=1,MOD(((c_TMAP3IN)-(c_TMAP2IN))*(((K37)-(c_TMAP2IN))*((c_TMAP3OUT)-(c_TMAP2OUT))+IF(((c_TMAP3OUT)-(c_TMAP2OUT))&gt;=0,1,-1)*QUOTIENT(((c_TMAP3IN)-(c_TMAP2IN)),2))+2147483648,4294967296)-2147483648,((c_TMAP3IN)-(c_TMAP2IN))*(((K37)-(c_TMAP2IN))*((c_TMAP3OUT)-(c_TMAP2OUT))+IF(((c_TMAP3OUT)-(c_TMAP2OUT))&gt;=0,1,-1)*QUOTIENT(((c_TMAP3IN)-(c_TMAP2IN)),2)))&lt;0,-1,0),IF(IF(o_WRAP=1,MOD(((c_TMAP3IN)-(c_TMAP2IN))*(((K37)-(c_TMAP2IN))*((c_TMAP3OUT)-(c_TMAP2OUT))+IF(((c_TMAP3OUT)-(c_TMAP2OUT))&gt;=0,1,-1)*QUOTIENT(((c_TMAP3IN)-(c_TMAP2IN)),2))+2147483648,4294967296)-2147483648,((c_TMAP3IN)-(c_TMAP2IN))*(((K37)-(c_TMAP2IN))*((c_TMAP3OUT)-(c_TMAP2OUT))+IF(((c_TMAP3OUT)-(c_TMAP2OUT))&gt;=0,1,-1)*QUOTIENT(((c_TMAP3IN)-(c_TMAP2IN)),2)))&gt;=0,1,0)))</f>
        <v>-45</v>
      </c>
      <c r="P37" s="7" t="n">
        <f aca="false">IF(((1000)-(c_TMAP3IN))=0,(c_TMAP3OUT)+QUOTIENT(((1000)-(c_TMAP3OUT)),2),QUOTIENT((((K37)-(c_TMAP3IN))*((1000)-(c_TMAP3OUT))+IF(((1000)-(c_TMAP3OUT))&gt;=0,1,-1)*QUOTIENT(((1000)-(c_TMAP3IN)),2)),((1000)-(c_TMAP3IN)))+(c_TMAP3OUT)+IF(((1000)-(c_TMAP3OUT))&gt;=0,IF(IF(o_WRAP=1,MOD(((1000)-(c_TMAP3IN))*(((K37)-(c_TMAP3IN))*((1000)-(c_TMAP3OUT))+IF(((1000)-(c_TMAP3OUT))&gt;=0,1,-1)*QUOTIENT(((1000)-(c_TMAP3IN)),2))+2147483648,4294967296)-2147483648,((1000)-(c_TMAP3IN))*(((K37)-(c_TMAP3IN))*((1000)-(c_TMAP3OUT))+IF(((1000)-(c_TMAP3OUT))&gt;=0,1,-1)*QUOTIENT(((1000)-(c_TMAP3IN)),2)))&lt;0,-1,0),IF(IF(o_WRAP=1,MOD(((1000)-(c_TMAP3IN))*(((K37)-(c_TMAP3IN))*((1000)-(c_TMAP3OUT))+IF(((1000)-(c_TMAP3OUT))&gt;=0,1,-1)*QUOTIENT(((1000)-(c_TMAP3IN)),2))+2147483648,4294967296)-2147483648,((1000)-(c_TMAP3IN))*(((K37)-(c_TMAP3IN))*((1000)-(c_TMAP3OUT))+IF(((1000)-(c_TMAP3OUT))&gt;=0,1,-1)*QUOTIENT(((1000)-(c_TMAP3IN)),2)))&gt;=0,1,0)))</f>
        <v>-231</v>
      </c>
      <c r="Q37" s="7" t="str">
        <f aca="false">IF(K37&gt;=c_TFWD,IF(AND(K37&gt;=c_TMAP3IN,c_TMAP3IN&lt;1000),"Seg4 map3-100%",IF(AND(K37&gt;=c_TMAP2IN,c_TMAP3IN&gt;c_TMAP2IN),"Seg3 map2-map3",IF(AND(K37&gt;=c_TMAP1IN,c_TMAP2IN&gt;c_TMAP1IN),"Seg2 map1-map2","Seg1 TFWD-map1"))),IF(AND(K37=0,c_TCREEP&gt;0),"Creep",IF(AND(K37&lt;=c_TRNGMIN,K37&gt;=c_TRNGMAX,c_TRNGMIN-c_TRNGMAX&lt;&gt;0),"Regen ramp","Coast (0)")))</f>
        <v>Regen ramp</v>
      </c>
      <c r="R37" s="7" t="n">
        <f aca="false">IF(K37&gt;=c_TFWD,IF(AND(K37&gt;=c_TMAP3IN,c_TMAP3IN&lt;1000),P37,IF(AND(K37&gt;=c_TMAP2IN,c_TMAP3IN&gt;c_TMAP2IN),O37,IF(AND(K37&gt;=c_TMAP1IN,c_TMAP2IN&gt;c_TMAP1IN),N37,M37))),L37)</f>
        <v>-350</v>
      </c>
      <c r="S37" s="7" t="str">
        <f aca="false">IF(R37&lt;-1090,"TOO LOW",IF(R37&gt;1090,"TOO HIGH",""))</f>
        <v/>
      </c>
      <c r="T37" s="15" t="n">
        <f aca="false">IF(H37&lt;&gt;"OK",0,IF(S37&lt;&gt;"",0,IF(R37&gt;979,1000,R37)))</f>
        <v>-350</v>
      </c>
      <c r="U37" s="7" t="n">
        <f aca="false">T37/10</f>
        <v>-35</v>
      </c>
    </row>
    <row r="38" customFormat="false" ht="15" hidden="false" customHeight="false" outlineLevel="0" collapsed="false">
      <c r="A38" s="7" t="n">
        <v>33</v>
      </c>
      <c r="B38" s="7" t="n">
        <f aca="false">ROUND(o_SWSTART+A38*(o_SWEND-o_SWSTART)/400,0)</f>
        <v>338</v>
      </c>
      <c r="C38" s="7" t="n">
        <f aca="false">QUOTIENT((B38-c_OFF1)*c_GAIN1,1024)</f>
        <v>338</v>
      </c>
      <c r="D38" s="7" t="n">
        <f aca="false">IF(((c_T1MX)-(c_T1MN))=0,(0)+QUOTIENT(((1000)-(0)),2),QUOTIENT((((C38)-(c_T1MN))*((1000)-(0))+IF(((1000)-(0))&gt;=0,1,-1)*QUOTIENT(((c_T1MX)-(c_T1MN)),2)),((c_T1MX)-(c_T1MN)))+(0)+IF(((1000)-(0))&gt;=0,IF(IF(o_WRAP=1,MOD(((c_T1MX)-(c_T1MN))*(((C38)-(c_T1MN))*((1000)-(0))+IF(((1000)-(0))&gt;=0,1,-1)*QUOTIENT(((c_T1MX)-(c_T1MN)),2))+2147483648,4294967296)-2147483648,((c_T1MX)-(c_T1MN))*(((C38)-(c_T1MN))*((1000)-(0))+IF(((1000)-(0))&gt;=0,1,-1)*QUOTIENT(((c_T1MX)-(c_T1MN)),2)))&lt;0,-1,0),IF(IF(o_WRAP=1,MOD(((c_T1MX)-(c_T1MN))*(((C38)-(c_T1MN))*((1000)-(0))+IF(((1000)-(0))&gt;=0,1,-1)*QUOTIENT(((c_T1MX)-(c_T1MN)),2))+2147483648,4294967296)-2147483648,((c_T1MX)-(c_T1MN))*(((C38)-(c_T1MN))*((1000)-(0))+IF(((1000)-(0))&gt;=0,1,-1)*QUOTIENT(((c_T1MX)-(c_T1MN)),2)))&gt;=0,1,0)))</f>
        <v>-136</v>
      </c>
      <c r="E38" s="7" t="n">
        <f aca="false">IF(AND(c_TPOT=1,c_TTYPE=2),1000-D38,D38)</f>
        <v>-136</v>
      </c>
      <c r="F38" s="7" t="str">
        <f aca="false">IF(c_TPOT&gt;1,ROUND(IF(c_TTYPE=2,c_T2MX-IF(c_T1MX=c_T1MN,0,(C38-c_T1MN)/(c_T1MX-c_T1MN))*(c_T2MX-c_T2MN),c_T2MN+IF(c_T1MX=c_T1MN,0,(C38-c_T1MN)/(c_T1MX-c_T1MN))*(c_T2MX-c_T2MN))+o_MISMATCH,0),"")</f>
        <v/>
      </c>
      <c r="G38" s="7" t="str">
        <f aca="false">IF(c_TPOT&gt;1,IF(((c_T2MX)-(c_T2MN))=0,(0)+QUOTIENT(((1000)-(0)),2),QUOTIENT((((F38)-(c_T2MN))*((1000)-(0))+IF(((1000)-(0))&gt;=0,1,-1)*QUOTIENT(((c_T2MX)-(c_T2MN)),2)),((c_T2MX)-(c_T2MN)))+(0)+IF(((1000)-(0))&gt;=0,IF(IF(o_WRAP=1,MOD(((c_T2MX)-(c_T2MN))*(((F38)-(c_T2MN))*((1000)-(0))+IF(((1000)-(0))&gt;=0,1,-1)*QUOTIENT(((c_T2MX)-(c_T2MN)),2))+2147483648,4294967296)-2147483648,((c_T2MX)-(c_T2MN))*(((F38)-(c_T2MN))*((1000)-(0))+IF(((1000)-(0))&gt;=0,1,-1)*QUOTIENT(((c_T2MX)-(c_T2MN)),2)))&lt;0,-1,0),IF(IF(o_WRAP=1,MOD(((c_T2MX)-(c_T2MN))*(((F38)-(c_T2MN))*((1000)-(0))+IF(((1000)-(0))&gt;=0,1,-1)*QUOTIENT(((c_T2MX)-(c_T2MN)),2))+2147483648,4294967296)-2147483648,((c_T2MX)-(c_T2MN))*(((F38)-(c_T2MN))*((1000)-(0))+IF(((1000)-(0))&gt;=0,1,-1)*QUOTIENT(((c_T2MX)-(c_T2MN)),2)))&gt;=0,1,0))),"")</f>
        <v/>
      </c>
      <c r="H38" s="7" t="str">
        <f aca="false">IF(E38&gt;1000+k_TOL,"T1 HIGH",IF(E38&lt;0-k_TOL,"T1 LOW",IF(c_TPOT&gt;1,IF(G38&gt;1000+k_TOL,"T2 HIGH",IF(G38&lt;0-k_TOL,"T2 LOW",IF(c_TTYPE=2,IF(ABS(1000-MAX(0,MIN(1000,E38))-MAX(0,MIN(1000,G38)))&gt;k_MAXERR,"MISMATCH","OK"),IF(OR(MAX(0,MIN(1000,E38))-k_MAXERR&gt;MAX(0,MIN(1000,G38)),MAX(0,MIN(1000,G38))-k_MAXERR&gt;MAX(0,MIN(1000,E38))),"MISMATCH","OK")))),"OK")))</f>
        <v>OK</v>
      </c>
      <c r="I38" s="7" t="n">
        <f aca="false">MAX(0,MIN(1000,D38))</f>
        <v>0</v>
      </c>
      <c r="J38" s="7" t="str">
        <f aca="false">IF(c_TPOT&gt;1,IF(c_TTYPE=2,1000-MAX(0,MIN(1000,G38)),MAX(0,MIN(1000,G38))),"")</f>
        <v/>
      </c>
      <c r="K38" s="7" t="n">
        <f aca="false">IF(c_TPOT&gt;1,QUOTIENT(I38+J38,2),I38)</f>
        <v>0</v>
      </c>
      <c r="L38" s="7" t="n">
        <f aca="false">IF(AND(K38=0,c_TCREEP&gt;0),10*c_TCREEP,IF(AND(K38&lt;=c_TRNGMIN,K38&gt;=c_TRNGMAX,c_TRNGMIN-c_TRNGMAX&lt;&gt;0),-10*c_TMINRN+QUOTIENT((c_TMAXRN-c_TMINRN)*(100-QUOTIENT((K38-c_TRNGMAX)*100,c_TRNGMIN-c_TRNGMAX)),-10),0))</f>
        <v>-350</v>
      </c>
      <c r="M38" s="7" t="n">
        <f aca="false">IF(((c_TMAP1IN)-(c_TFWD))=0,(0)+QUOTIENT(((c_TMAP1OUT)-(0)),2),QUOTIENT((((K38)-(c_TFWD))*((c_TMAP1OUT)-(0))+IF(((c_TMAP1OUT)-(0))&gt;=0,1,-1)*QUOTIENT(((c_TMAP1IN)-(c_TFWD)),2)),((c_TMAP1IN)-(c_TFWD)))+(0)+IF(((c_TMAP1OUT)-(0))&gt;=0,IF(IF(o_WRAP=1,MOD(((c_TMAP1IN)-(c_TFWD))*(((K38)-(c_TFWD))*((c_TMAP1OUT)-(0))+IF(((c_TMAP1OUT)-(0))&gt;=0,1,-1)*QUOTIENT(((c_TMAP1IN)-(c_TFWD)),2))+2147483648,4294967296)-2147483648,((c_TMAP1IN)-(c_TFWD))*(((K38)-(c_TFWD))*((c_TMAP1OUT)-(0))+IF(((c_TMAP1OUT)-(0))&gt;=0,1,-1)*QUOTIENT(((c_TMAP1IN)-(c_TFWD)),2)))&lt;0,-1,0),IF(IF(o_WRAP=1,MOD(((c_TMAP1IN)-(c_TFWD))*(((K38)-(c_TFWD))*((c_TMAP1OUT)-(0))+IF(((c_TMAP1OUT)-(0))&gt;=0,1,-1)*QUOTIENT(((c_TMAP1IN)-(c_TFWD)),2))+2147483648,4294967296)-2147483648,((c_TMAP1IN)-(c_TFWD))*(((K38)-(c_TFWD))*((c_TMAP1OUT)-(0))+IF(((c_TMAP1OUT)-(0))&gt;=0,1,-1)*QUOTIENT(((c_TMAP1IN)-(c_TFWD)),2)))&gt;=0,1,0)))</f>
        <v>-8</v>
      </c>
      <c r="N38" s="7" t="n">
        <f aca="false">IF(((c_TMAP2IN)-(c_TMAP1IN))=0,(c_TMAP1OUT)+QUOTIENT(((c_TMAP2OUT)-(c_TMAP1OUT)),2),QUOTIENT((((K38)-(c_TMAP1IN))*((c_TMAP2OUT)-(c_TMAP1OUT))+IF(((c_TMAP2OUT)-(c_TMAP1OUT))&gt;=0,1,-1)*QUOTIENT(((c_TMAP2IN)-(c_TMAP1IN)),2)),((c_TMAP2IN)-(c_TMAP1IN)))+(c_TMAP1OUT)+IF(((c_TMAP2OUT)-(c_TMAP1OUT))&gt;=0,IF(IF(o_WRAP=1,MOD(((c_TMAP2IN)-(c_TMAP1IN))*(((K38)-(c_TMAP1IN))*((c_TMAP2OUT)-(c_TMAP1OUT))+IF(((c_TMAP2OUT)-(c_TMAP1OUT))&gt;=0,1,-1)*QUOTIENT(((c_TMAP2IN)-(c_TMAP1IN)),2))+2147483648,4294967296)-2147483648,((c_TMAP2IN)-(c_TMAP1IN))*(((K38)-(c_TMAP1IN))*((c_TMAP2OUT)-(c_TMAP1OUT))+IF(((c_TMAP2OUT)-(c_TMAP1OUT))&gt;=0,1,-1)*QUOTIENT(((c_TMAP2IN)-(c_TMAP1IN)),2)))&lt;0,-1,0),IF(IF(o_WRAP=1,MOD(((c_TMAP2IN)-(c_TMAP1IN))*(((K38)-(c_TMAP1IN))*((c_TMAP2OUT)-(c_TMAP1OUT))+IF(((c_TMAP2OUT)-(c_TMAP1OUT))&gt;=0,1,-1)*QUOTIENT(((c_TMAP2IN)-(c_TMAP1IN)),2))+2147483648,4294967296)-2147483648,((c_TMAP2IN)-(c_TMAP1IN))*(((K38)-(c_TMAP1IN))*((c_TMAP2OUT)-(c_TMAP1OUT))+IF(((c_TMAP2OUT)-(c_TMAP1OUT))&gt;=0,1,-1)*QUOTIENT(((c_TMAP2IN)-(c_TMAP1IN)),2)))&gt;=0,1,0)))</f>
        <v>30</v>
      </c>
      <c r="O38" s="7" t="n">
        <f aca="false">IF(((c_TMAP3IN)-(c_TMAP2IN))=0,(c_TMAP2OUT)+QUOTIENT(((c_TMAP3OUT)-(c_TMAP2OUT)),2),QUOTIENT((((K38)-(c_TMAP2IN))*((c_TMAP3OUT)-(c_TMAP2OUT))+IF(((c_TMAP3OUT)-(c_TMAP2OUT))&gt;=0,1,-1)*QUOTIENT(((c_TMAP3IN)-(c_TMAP2IN)),2)),((c_TMAP3IN)-(c_TMAP2IN)))+(c_TMAP2OUT)+IF(((c_TMAP3OUT)-(c_TMAP2OUT))&gt;=0,IF(IF(o_WRAP=1,MOD(((c_TMAP3IN)-(c_TMAP2IN))*(((K38)-(c_TMAP2IN))*((c_TMAP3OUT)-(c_TMAP2OUT))+IF(((c_TMAP3OUT)-(c_TMAP2OUT))&gt;=0,1,-1)*QUOTIENT(((c_TMAP3IN)-(c_TMAP2IN)),2))+2147483648,4294967296)-2147483648,((c_TMAP3IN)-(c_TMAP2IN))*(((K38)-(c_TMAP2IN))*((c_TMAP3OUT)-(c_TMAP2OUT))+IF(((c_TMAP3OUT)-(c_TMAP2OUT))&gt;=0,1,-1)*QUOTIENT(((c_TMAP3IN)-(c_TMAP2IN)),2)))&lt;0,-1,0),IF(IF(o_WRAP=1,MOD(((c_TMAP3IN)-(c_TMAP2IN))*(((K38)-(c_TMAP2IN))*((c_TMAP3OUT)-(c_TMAP2OUT))+IF(((c_TMAP3OUT)-(c_TMAP2OUT))&gt;=0,1,-1)*QUOTIENT(((c_TMAP3IN)-(c_TMAP2IN)),2))+2147483648,4294967296)-2147483648,((c_TMAP3IN)-(c_TMAP2IN))*(((K38)-(c_TMAP2IN))*((c_TMAP3OUT)-(c_TMAP2OUT))+IF(((c_TMAP3OUT)-(c_TMAP2OUT))&gt;=0,1,-1)*QUOTIENT(((c_TMAP3IN)-(c_TMAP2IN)),2)))&gt;=0,1,0)))</f>
        <v>-45</v>
      </c>
      <c r="P38" s="7" t="n">
        <f aca="false">IF(((1000)-(c_TMAP3IN))=0,(c_TMAP3OUT)+QUOTIENT(((1000)-(c_TMAP3OUT)),2),QUOTIENT((((K38)-(c_TMAP3IN))*((1000)-(c_TMAP3OUT))+IF(((1000)-(c_TMAP3OUT))&gt;=0,1,-1)*QUOTIENT(((1000)-(c_TMAP3IN)),2)),((1000)-(c_TMAP3IN)))+(c_TMAP3OUT)+IF(((1000)-(c_TMAP3OUT))&gt;=0,IF(IF(o_WRAP=1,MOD(((1000)-(c_TMAP3IN))*(((K38)-(c_TMAP3IN))*((1000)-(c_TMAP3OUT))+IF(((1000)-(c_TMAP3OUT))&gt;=0,1,-1)*QUOTIENT(((1000)-(c_TMAP3IN)),2))+2147483648,4294967296)-2147483648,((1000)-(c_TMAP3IN))*(((K38)-(c_TMAP3IN))*((1000)-(c_TMAP3OUT))+IF(((1000)-(c_TMAP3OUT))&gt;=0,1,-1)*QUOTIENT(((1000)-(c_TMAP3IN)),2)))&lt;0,-1,0),IF(IF(o_WRAP=1,MOD(((1000)-(c_TMAP3IN))*(((K38)-(c_TMAP3IN))*((1000)-(c_TMAP3OUT))+IF(((1000)-(c_TMAP3OUT))&gt;=0,1,-1)*QUOTIENT(((1000)-(c_TMAP3IN)),2))+2147483648,4294967296)-2147483648,((1000)-(c_TMAP3IN))*(((K38)-(c_TMAP3IN))*((1000)-(c_TMAP3OUT))+IF(((1000)-(c_TMAP3OUT))&gt;=0,1,-1)*QUOTIENT(((1000)-(c_TMAP3IN)),2)))&gt;=0,1,0)))</f>
        <v>-231</v>
      </c>
      <c r="Q38" s="7" t="str">
        <f aca="false">IF(K38&gt;=c_TFWD,IF(AND(K38&gt;=c_TMAP3IN,c_TMAP3IN&lt;1000),"Seg4 map3-100%",IF(AND(K38&gt;=c_TMAP2IN,c_TMAP3IN&gt;c_TMAP2IN),"Seg3 map2-map3",IF(AND(K38&gt;=c_TMAP1IN,c_TMAP2IN&gt;c_TMAP1IN),"Seg2 map1-map2","Seg1 TFWD-map1"))),IF(AND(K38=0,c_TCREEP&gt;0),"Creep",IF(AND(K38&lt;=c_TRNGMIN,K38&gt;=c_TRNGMAX,c_TRNGMIN-c_TRNGMAX&lt;&gt;0),"Regen ramp","Coast (0)")))</f>
        <v>Regen ramp</v>
      </c>
      <c r="R38" s="7" t="n">
        <f aca="false">IF(K38&gt;=c_TFWD,IF(AND(K38&gt;=c_TMAP3IN,c_TMAP3IN&lt;1000),P38,IF(AND(K38&gt;=c_TMAP2IN,c_TMAP3IN&gt;c_TMAP2IN),O38,IF(AND(K38&gt;=c_TMAP1IN,c_TMAP2IN&gt;c_TMAP1IN),N38,M38))),L38)</f>
        <v>-350</v>
      </c>
      <c r="S38" s="7" t="str">
        <f aca="false">IF(R38&lt;-1090,"TOO LOW",IF(R38&gt;1090,"TOO HIGH",""))</f>
        <v/>
      </c>
      <c r="T38" s="15" t="n">
        <f aca="false">IF(H38&lt;&gt;"OK",0,IF(S38&lt;&gt;"",0,IF(R38&gt;979,1000,R38)))</f>
        <v>-350</v>
      </c>
      <c r="U38" s="7" t="n">
        <f aca="false">T38/10</f>
        <v>-35</v>
      </c>
    </row>
    <row r="39" customFormat="false" ht="15" hidden="false" customHeight="false" outlineLevel="0" collapsed="false">
      <c r="A39" s="7" t="n">
        <v>34</v>
      </c>
      <c r="B39" s="7" t="n">
        <f aca="false">ROUND(o_SWSTART+A39*(o_SWEND-o_SWSTART)/400,0)</f>
        <v>348</v>
      </c>
      <c r="C39" s="7" t="n">
        <f aca="false">QUOTIENT((B39-c_OFF1)*c_GAIN1,1024)</f>
        <v>348</v>
      </c>
      <c r="D39" s="7" t="n">
        <f aca="false">IF(((c_T1MX)-(c_T1MN))=0,(0)+QUOTIENT(((1000)-(0)),2),QUOTIENT((((C39)-(c_T1MN))*((1000)-(0))+IF(((1000)-(0))&gt;=0,1,-1)*QUOTIENT(((c_T1MX)-(c_T1MN)),2)),((c_T1MX)-(c_T1MN)))+(0)+IF(((1000)-(0))&gt;=0,IF(IF(o_WRAP=1,MOD(((c_T1MX)-(c_T1MN))*(((C39)-(c_T1MN))*((1000)-(0))+IF(((1000)-(0))&gt;=0,1,-1)*QUOTIENT(((c_T1MX)-(c_T1MN)),2))+2147483648,4294967296)-2147483648,((c_T1MX)-(c_T1MN))*(((C39)-(c_T1MN))*((1000)-(0))+IF(((1000)-(0))&gt;=0,1,-1)*QUOTIENT(((c_T1MX)-(c_T1MN)),2)))&lt;0,-1,0),IF(IF(o_WRAP=1,MOD(((c_T1MX)-(c_T1MN))*(((C39)-(c_T1MN))*((1000)-(0))+IF(((1000)-(0))&gt;=0,1,-1)*QUOTIENT(((c_T1MX)-(c_T1MN)),2))+2147483648,4294967296)-2147483648,((c_T1MX)-(c_T1MN))*(((C39)-(c_T1MN))*((1000)-(0))+IF(((1000)-(0))&gt;=0,1,-1)*QUOTIENT(((c_T1MX)-(c_T1MN)),2)))&gt;=0,1,0)))</f>
        <v>-133</v>
      </c>
      <c r="E39" s="7" t="n">
        <f aca="false">IF(AND(c_TPOT=1,c_TTYPE=2),1000-D39,D39)</f>
        <v>-133</v>
      </c>
      <c r="F39" s="7" t="str">
        <f aca="false">IF(c_TPOT&gt;1,ROUND(IF(c_TTYPE=2,c_T2MX-IF(c_T1MX=c_T1MN,0,(C39-c_T1MN)/(c_T1MX-c_T1MN))*(c_T2MX-c_T2MN),c_T2MN+IF(c_T1MX=c_T1MN,0,(C39-c_T1MN)/(c_T1MX-c_T1MN))*(c_T2MX-c_T2MN))+o_MISMATCH,0),"")</f>
        <v/>
      </c>
      <c r="G39" s="7" t="str">
        <f aca="false">IF(c_TPOT&gt;1,IF(((c_T2MX)-(c_T2MN))=0,(0)+QUOTIENT(((1000)-(0)),2),QUOTIENT((((F39)-(c_T2MN))*((1000)-(0))+IF(((1000)-(0))&gt;=0,1,-1)*QUOTIENT(((c_T2MX)-(c_T2MN)),2)),((c_T2MX)-(c_T2MN)))+(0)+IF(((1000)-(0))&gt;=0,IF(IF(o_WRAP=1,MOD(((c_T2MX)-(c_T2MN))*(((F39)-(c_T2MN))*((1000)-(0))+IF(((1000)-(0))&gt;=0,1,-1)*QUOTIENT(((c_T2MX)-(c_T2MN)),2))+2147483648,4294967296)-2147483648,((c_T2MX)-(c_T2MN))*(((F39)-(c_T2MN))*((1000)-(0))+IF(((1000)-(0))&gt;=0,1,-1)*QUOTIENT(((c_T2MX)-(c_T2MN)),2)))&lt;0,-1,0),IF(IF(o_WRAP=1,MOD(((c_T2MX)-(c_T2MN))*(((F39)-(c_T2MN))*((1000)-(0))+IF(((1000)-(0))&gt;=0,1,-1)*QUOTIENT(((c_T2MX)-(c_T2MN)),2))+2147483648,4294967296)-2147483648,((c_T2MX)-(c_T2MN))*(((F39)-(c_T2MN))*((1000)-(0))+IF(((1000)-(0))&gt;=0,1,-1)*QUOTIENT(((c_T2MX)-(c_T2MN)),2)))&gt;=0,1,0))),"")</f>
        <v/>
      </c>
      <c r="H39" s="7" t="str">
        <f aca="false">IF(E39&gt;1000+k_TOL,"T1 HIGH",IF(E39&lt;0-k_TOL,"T1 LOW",IF(c_TPOT&gt;1,IF(G39&gt;1000+k_TOL,"T2 HIGH",IF(G39&lt;0-k_TOL,"T2 LOW",IF(c_TTYPE=2,IF(ABS(1000-MAX(0,MIN(1000,E39))-MAX(0,MIN(1000,G39)))&gt;k_MAXERR,"MISMATCH","OK"),IF(OR(MAX(0,MIN(1000,E39))-k_MAXERR&gt;MAX(0,MIN(1000,G39)),MAX(0,MIN(1000,G39))-k_MAXERR&gt;MAX(0,MIN(1000,E39))),"MISMATCH","OK")))),"OK")))</f>
        <v>OK</v>
      </c>
      <c r="I39" s="7" t="n">
        <f aca="false">MAX(0,MIN(1000,D39))</f>
        <v>0</v>
      </c>
      <c r="J39" s="7" t="str">
        <f aca="false">IF(c_TPOT&gt;1,IF(c_TTYPE=2,1000-MAX(0,MIN(1000,G39)),MAX(0,MIN(1000,G39))),"")</f>
        <v/>
      </c>
      <c r="K39" s="7" t="n">
        <f aca="false">IF(c_TPOT&gt;1,QUOTIENT(I39+J39,2),I39)</f>
        <v>0</v>
      </c>
      <c r="L39" s="7" t="n">
        <f aca="false">IF(AND(K39=0,c_TCREEP&gt;0),10*c_TCREEP,IF(AND(K39&lt;=c_TRNGMIN,K39&gt;=c_TRNGMAX,c_TRNGMIN-c_TRNGMAX&lt;&gt;0),-10*c_TMINRN+QUOTIENT((c_TMAXRN-c_TMINRN)*(100-QUOTIENT((K39-c_TRNGMAX)*100,c_TRNGMIN-c_TRNGMAX)),-10),0))</f>
        <v>-350</v>
      </c>
      <c r="M39" s="7" t="n">
        <f aca="false">IF(((c_TMAP1IN)-(c_TFWD))=0,(0)+QUOTIENT(((c_TMAP1OUT)-(0)),2),QUOTIENT((((K39)-(c_TFWD))*((c_TMAP1OUT)-(0))+IF(((c_TMAP1OUT)-(0))&gt;=0,1,-1)*QUOTIENT(((c_TMAP1IN)-(c_TFWD)),2)),((c_TMAP1IN)-(c_TFWD)))+(0)+IF(((c_TMAP1OUT)-(0))&gt;=0,IF(IF(o_WRAP=1,MOD(((c_TMAP1IN)-(c_TFWD))*(((K39)-(c_TFWD))*((c_TMAP1OUT)-(0))+IF(((c_TMAP1OUT)-(0))&gt;=0,1,-1)*QUOTIENT(((c_TMAP1IN)-(c_TFWD)),2))+2147483648,4294967296)-2147483648,((c_TMAP1IN)-(c_TFWD))*(((K39)-(c_TFWD))*((c_TMAP1OUT)-(0))+IF(((c_TMAP1OUT)-(0))&gt;=0,1,-1)*QUOTIENT(((c_TMAP1IN)-(c_TFWD)),2)))&lt;0,-1,0),IF(IF(o_WRAP=1,MOD(((c_TMAP1IN)-(c_TFWD))*(((K39)-(c_TFWD))*((c_TMAP1OUT)-(0))+IF(((c_TMAP1OUT)-(0))&gt;=0,1,-1)*QUOTIENT(((c_TMAP1IN)-(c_TFWD)),2))+2147483648,4294967296)-2147483648,((c_TMAP1IN)-(c_TFWD))*(((K39)-(c_TFWD))*((c_TMAP1OUT)-(0))+IF(((c_TMAP1OUT)-(0))&gt;=0,1,-1)*QUOTIENT(((c_TMAP1IN)-(c_TFWD)),2)))&gt;=0,1,0)))</f>
        <v>-8</v>
      </c>
      <c r="N39" s="7" t="n">
        <f aca="false">IF(((c_TMAP2IN)-(c_TMAP1IN))=0,(c_TMAP1OUT)+QUOTIENT(((c_TMAP2OUT)-(c_TMAP1OUT)),2),QUOTIENT((((K39)-(c_TMAP1IN))*((c_TMAP2OUT)-(c_TMAP1OUT))+IF(((c_TMAP2OUT)-(c_TMAP1OUT))&gt;=0,1,-1)*QUOTIENT(((c_TMAP2IN)-(c_TMAP1IN)),2)),((c_TMAP2IN)-(c_TMAP1IN)))+(c_TMAP1OUT)+IF(((c_TMAP2OUT)-(c_TMAP1OUT))&gt;=0,IF(IF(o_WRAP=1,MOD(((c_TMAP2IN)-(c_TMAP1IN))*(((K39)-(c_TMAP1IN))*((c_TMAP2OUT)-(c_TMAP1OUT))+IF(((c_TMAP2OUT)-(c_TMAP1OUT))&gt;=0,1,-1)*QUOTIENT(((c_TMAP2IN)-(c_TMAP1IN)),2))+2147483648,4294967296)-2147483648,((c_TMAP2IN)-(c_TMAP1IN))*(((K39)-(c_TMAP1IN))*((c_TMAP2OUT)-(c_TMAP1OUT))+IF(((c_TMAP2OUT)-(c_TMAP1OUT))&gt;=0,1,-1)*QUOTIENT(((c_TMAP2IN)-(c_TMAP1IN)),2)))&lt;0,-1,0),IF(IF(o_WRAP=1,MOD(((c_TMAP2IN)-(c_TMAP1IN))*(((K39)-(c_TMAP1IN))*((c_TMAP2OUT)-(c_TMAP1OUT))+IF(((c_TMAP2OUT)-(c_TMAP1OUT))&gt;=0,1,-1)*QUOTIENT(((c_TMAP2IN)-(c_TMAP1IN)),2))+2147483648,4294967296)-2147483648,((c_TMAP2IN)-(c_TMAP1IN))*(((K39)-(c_TMAP1IN))*((c_TMAP2OUT)-(c_TMAP1OUT))+IF(((c_TMAP2OUT)-(c_TMAP1OUT))&gt;=0,1,-1)*QUOTIENT(((c_TMAP2IN)-(c_TMAP1IN)),2)))&gt;=0,1,0)))</f>
        <v>30</v>
      </c>
      <c r="O39" s="7" t="n">
        <f aca="false">IF(((c_TMAP3IN)-(c_TMAP2IN))=0,(c_TMAP2OUT)+QUOTIENT(((c_TMAP3OUT)-(c_TMAP2OUT)),2),QUOTIENT((((K39)-(c_TMAP2IN))*((c_TMAP3OUT)-(c_TMAP2OUT))+IF(((c_TMAP3OUT)-(c_TMAP2OUT))&gt;=0,1,-1)*QUOTIENT(((c_TMAP3IN)-(c_TMAP2IN)),2)),((c_TMAP3IN)-(c_TMAP2IN)))+(c_TMAP2OUT)+IF(((c_TMAP3OUT)-(c_TMAP2OUT))&gt;=0,IF(IF(o_WRAP=1,MOD(((c_TMAP3IN)-(c_TMAP2IN))*(((K39)-(c_TMAP2IN))*((c_TMAP3OUT)-(c_TMAP2OUT))+IF(((c_TMAP3OUT)-(c_TMAP2OUT))&gt;=0,1,-1)*QUOTIENT(((c_TMAP3IN)-(c_TMAP2IN)),2))+2147483648,4294967296)-2147483648,((c_TMAP3IN)-(c_TMAP2IN))*(((K39)-(c_TMAP2IN))*((c_TMAP3OUT)-(c_TMAP2OUT))+IF(((c_TMAP3OUT)-(c_TMAP2OUT))&gt;=0,1,-1)*QUOTIENT(((c_TMAP3IN)-(c_TMAP2IN)),2)))&lt;0,-1,0),IF(IF(o_WRAP=1,MOD(((c_TMAP3IN)-(c_TMAP2IN))*(((K39)-(c_TMAP2IN))*((c_TMAP3OUT)-(c_TMAP2OUT))+IF(((c_TMAP3OUT)-(c_TMAP2OUT))&gt;=0,1,-1)*QUOTIENT(((c_TMAP3IN)-(c_TMAP2IN)),2))+2147483648,4294967296)-2147483648,((c_TMAP3IN)-(c_TMAP2IN))*(((K39)-(c_TMAP2IN))*((c_TMAP3OUT)-(c_TMAP2OUT))+IF(((c_TMAP3OUT)-(c_TMAP2OUT))&gt;=0,1,-1)*QUOTIENT(((c_TMAP3IN)-(c_TMAP2IN)),2)))&gt;=0,1,0)))</f>
        <v>-45</v>
      </c>
      <c r="P39" s="7" t="n">
        <f aca="false">IF(((1000)-(c_TMAP3IN))=0,(c_TMAP3OUT)+QUOTIENT(((1000)-(c_TMAP3OUT)),2),QUOTIENT((((K39)-(c_TMAP3IN))*((1000)-(c_TMAP3OUT))+IF(((1000)-(c_TMAP3OUT))&gt;=0,1,-1)*QUOTIENT(((1000)-(c_TMAP3IN)),2)),((1000)-(c_TMAP3IN)))+(c_TMAP3OUT)+IF(((1000)-(c_TMAP3OUT))&gt;=0,IF(IF(o_WRAP=1,MOD(((1000)-(c_TMAP3IN))*(((K39)-(c_TMAP3IN))*((1000)-(c_TMAP3OUT))+IF(((1000)-(c_TMAP3OUT))&gt;=0,1,-1)*QUOTIENT(((1000)-(c_TMAP3IN)),2))+2147483648,4294967296)-2147483648,((1000)-(c_TMAP3IN))*(((K39)-(c_TMAP3IN))*((1000)-(c_TMAP3OUT))+IF(((1000)-(c_TMAP3OUT))&gt;=0,1,-1)*QUOTIENT(((1000)-(c_TMAP3IN)),2)))&lt;0,-1,0),IF(IF(o_WRAP=1,MOD(((1000)-(c_TMAP3IN))*(((K39)-(c_TMAP3IN))*((1000)-(c_TMAP3OUT))+IF(((1000)-(c_TMAP3OUT))&gt;=0,1,-1)*QUOTIENT(((1000)-(c_TMAP3IN)),2))+2147483648,4294967296)-2147483648,((1000)-(c_TMAP3IN))*(((K39)-(c_TMAP3IN))*((1000)-(c_TMAP3OUT))+IF(((1000)-(c_TMAP3OUT))&gt;=0,1,-1)*QUOTIENT(((1000)-(c_TMAP3IN)),2)))&gt;=0,1,0)))</f>
        <v>-231</v>
      </c>
      <c r="Q39" s="7" t="str">
        <f aca="false">IF(K39&gt;=c_TFWD,IF(AND(K39&gt;=c_TMAP3IN,c_TMAP3IN&lt;1000),"Seg4 map3-100%",IF(AND(K39&gt;=c_TMAP2IN,c_TMAP3IN&gt;c_TMAP2IN),"Seg3 map2-map3",IF(AND(K39&gt;=c_TMAP1IN,c_TMAP2IN&gt;c_TMAP1IN),"Seg2 map1-map2","Seg1 TFWD-map1"))),IF(AND(K39=0,c_TCREEP&gt;0),"Creep",IF(AND(K39&lt;=c_TRNGMIN,K39&gt;=c_TRNGMAX,c_TRNGMIN-c_TRNGMAX&lt;&gt;0),"Regen ramp","Coast (0)")))</f>
        <v>Regen ramp</v>
      </c>
      <c r="R39" s="7" t="n">
        <f aca="false">IF(K39&gt;=c_TFWD,IF(AND(K39&gt;=c_TMAP3IN,c_TMAP3IN&lt;1000),P39,IF(AND(K39&gt;=c_TMAP2IN,c_TMAP3IN&gt;c_TMAP2IN),O39,IF(AND(K39&gt;=c_TMAP1IN,c_TMAP2IN&gt;c_TMAP1IN),N39,M39))),L39)</f>
        <v>-350</v>
      </c>
      <c r="S39" s="7" t="str">
        <f aca="false">IF(R39&lt;-1090,"TOO LOW",IF(R39&gt;1090,"TOO HIGH",""))</f>
        <v/>
      </c>
      <c r="T39" s="15" t="n">
        <f aca="false">IF(H39&lt;&gt;"OK",0,IF(S39&lt;&gt;"",0,IF(R39&gt;979,1000,R39)))</f>
        <v>-350</v>
      </c>
      <c r="U39" s="7" t="n">
        <f aca="false">T39/10</f>
        <v>-35</v>
      </c>
    </row>
    <row r="40" customFormat="false" ht="15" hidden="false" customHeight="false" outlineLevel="0" collapsed="false">
      <c r="A40" s="7" t="n">
        <v>35</v>
      </c>
      <c r="B40" s="7" t="n">
        <f aca="false">ROUND(o_SWSTART+A40*(o_SWEND-o_SWSTART)/400,0)</f>
        <v>358</v>
      </c>
      <c r="C40" s="7" t="n">
        <f aca="false">QUOTIENT((B40-c_OFF1)*c_GAIN1,1024)</f>
        <v>358</v>
      </c>
      <c r="D40" s="7" t="n">
        <f aca="false">IF(((c_T1MX)-(c_T1MN))=0,(0)+QUOTIENT(((1000)-(0)),2),QUOTIENT((((C40)-(c_T1MN))*((1000)-(0))+IF(((1000)-(0))&gt;=0,1,-1)*QUOTIENT(((c_T1MX)-(c_T1MN)),2)),((c_T1MX)-(c_T1MN)))+(0)+IF(((1000)-(0))&gt;=0,IF(IF(o_WRAP=1,MOD(((c_T1MX)-(c_T1MN))*(((C40)-(c_T1MN))*((1000)-(0))+IF(((1000)-(0))&gt;=0,1,-1)*QUOTIENT(((c_T1MX)-(c_T1MN)),2))+2147483648,4294967296)-2147483648,((c_T1MX)-(c_T1MN))*(((C40)-(c_T1MN))*((1000)-(0))+IF(((1000)-(0))&gt;=0,1,-1)*QUOTIENT(((c_T1MX)-(c_T1MN)),2)))&lt;0,-1,0),IF(IF(o_WRAP=1,MOD(((c_T1MX)-(c_T1MN))*(((C40)-(c_T1MN))*((1000)-(0))+IF(((1000)-(0))&gt;=0,1,-1)*QUOTIENT(((c_T1MX)-(c_T1MN)),2))+2147483648,4294967296)-2147483648,((c_T1MX)-(c_T1MN))*(((C40)-(c_T1MN))*((1000)-(0))+IF(((1000)-(0))&gt;=0,1,-1)*QUOTIENT(((c_T1MX)-(c_T1MN)),2)))&gt;=0,1,0)))</f>
        <v>-129</v>
      </c>
      <c r="E40" s="7" t="n">
        <f aca="false">IF(AND(c_TPOT=1,c_TTYPE=2),1000-D40,D40)</f>
        <v>-129</v>
      </c>
      <c r="F40" s="7" t="str">
        <f aca="false">IF(c_TPOT&gt;1,ROUND(IF(c_TTYPE=2,c_T2MX-IF(c_T1MX=c_T1MN,0,(C40-c_T1MN)/(c_T1MX-c_T1MN))*(c_T2MX-c_T2MN),c_T2MN+IF(c_T1MX=c_T1MN,0,(C40-c_T1MN)/(c_T1MX-c_T1MN))*(c_T2MX-c_T2MN))+o_MISMATCH,0),"")</f>
        <v/>
      </c>
      <c r="G40" s="7" t="str">
        <f aca="false">IF(c_TPOT&gt;1,IF(((c_T2MX)-(c_T2MN))=0,(0)+QUOTIENT(((1000)-(0)),2),QUOTIENT((((F40)-(c_T2MN))*((1000)-(0))+IF(((1000)-(0))&gt;=0,1,-1)*QUOTIENT(((c_T2MX)-(c_T2MN)),2)),((c_T2MX)-(c_T2MN)))+(0)+IF(((1000)-(0))&gt;=0,IF(IF(o_WRAP=1,MOD(((c_T2MX)-(c_T2MN))*(((F40)-(c_T2MN))*((1000)-(0))+IF(((1000)-(0))&gt;=0,1,-1)*QUOTIENT(((c_T2MX)-(c_T2MN)),2))+2147483648,4294967296)-2147483648,((c_T2MX)-(c_T2MN))*(((F40)-(c_T2MN))*((1000)-(0))+IF(((1000)-(0))&gt;=0,1,-1)*QUOTIENT(((c_T2MX)-(c_T2MN)),2)))&lt;0,-1,0),IF(IF(o_WRAP=1,MOD(((c_T2MX)-(c_T2MN))*(((F40)-(c_T2MN))*((1000)-(0))+IF(((1000)-(0))&gt;=0,1,-1)*QUOTIENT(((c_T2MX)-(c_T2MN)),2))+2147483648,4294967296)-2147483648,((c_T2MX)-(c_T2MN))*(((F40)-(c_T2MN))*((1000)-(0))+IF(((1000)-(0))&gt;=0,1,-1)*QUOTIENT(((c_T2MX)-(c_T2MN)),2)))&gt;=0,1,0))),"")</f>
        <v/>
      </c>
      <c r="H40" s="7" t="str">
        <f aca="false">IF(E40&gt;1000+k_TOL,"T1 HIGH",IF(E40&lt;0-k_TOL,"T1 LOW",IF(c_TPOT&gt;1,IF(G40&gt;1000+k_TOL,"T2 HIGH",IF(G40&lt;0-k_TOL,"T2 LOW",IF(c_TTYPE=2,IF(ABS(1000-MAX(0,MIN(1000,E40))-MAX(0,MIN(1000,G40)))&gt;k_MAXERR,"MISMATCH","OK"),IF(OR(MAX(0,MIN(1000,E40))-k_MAXERR&gt;MAX(0,MIN(1000,G40)),MAX(0,MIN(1000,G40))-k_MAXERR&gt;MAX(0,MIN(1000,E40))),"MISMATCH","OK")))),"OK")))</f>
        <v>OK</v>
      </c>
      <c r="I40" s="7" t="n">
        <f aca="false">MAX(0,MIN(1000,D40))</f>
        <v>0</v>
      </c>
      <c r="J40" s="7" t="str">
        <f aca="false">IF(c_TPOT&gt;1,IF(c_TTYPE=2,1000-MAX(0,MIN(1000,G40)),MAX(0,MIN(1000,G40))),"")</f>
        <v/>
      </c>
      <c r="K40" s="7" t="n">
        <f aca="false">IF(c_TPOT&gt;1,QUOTIENT(I40+J40,2),I40)</f>
        <v>0</v>
      </c>
      <c r="L40" s="7" t="n">
        <f aca="false">IF(AND(K40=0,c_TCREEP&gt;0),10*c_TCREEP,IF(AND(K40&lt;=c_TRNGMIN,K40&gt;=c_TRNGMAX,c_TRNGMIN-c_TRNGMAX&lt;&gt;0),-10*c_TMINRN+QUOTIENT((c_TMAXRN-c_TMINRN)*(100-QUOTIENT((K40-c_TRNGMAX)*100,c_TRNGMIN-c_TRNGMAX)),-10),0))</f>
        <v>-350</v>
      </c>
      <c r="M40" s="7" t="n">
        <f aca="false">IF(((c_TMAP1IN)-(c_TFWD))=0,(0)+QUOTIENT(((c_TMAP1OUT)-(0)),2),QUOTIENT((((K40)-(c_TFWD))*((c_TMAP1OUT)-(0))+IF(((c_TMAP1OUT)-(0))&gt;=0,1,-1)*QUOTIENT(((c_TMAP1IN)-(c_TFWD)),2)),((c_TMAP1IN)-(c_TFWD)))+(0)+IF(((c_TMAP1OUT)-(0))&gt;=0,IF(IF(o_WRAP=1,MOD(((c_TMAP1IN)-(c_TFWD))*(((K40)-(c_TFWD))*((c_TMAP1OUT)-(0))+IF(((c_TMAP1OUT)-(0))&gt;=0,1,-1)*QUOTIENT(((c_TMAP1IN)-(c_TFWD)),2))+2147483648,4294967296)-2147483648,((c_TMAP1IN)-(c_TFWD))*(((K40)-(c_TFWD))*((c_TMAP1OUT)-(0))+IF(((c_TMAP1OUT)-(0))&gt;=0,1,-1)*QUOTIENT(((c_TMAP1IN)-(c_TFWD)),2)))&lt;0,-1,0),IF(IF(o_WRAP=1,MOD(((c_TMAP1IN)-(c_TFWD))*(((K40)-(c_TFWD))*((c_TMAP1OUT)-(0))+IF(((c_TMAP1OUT)-(0))&gt;=0,1,-1)*QUOTIENT(((c_TMAP1IN)-(c_TFWD)),2))+2147483648,4294967296)-2147483648,((c_TMAP1IN)-(c_TFWD))*(((K40)-(c_TFWD))*((c_TMAP1OUT)-(0))+IF(((c_TMAP1OUT)-(0))&gt;=0,1,-1)*QUOTIENT(((c_TMAP1IN)-(c_TFWD)),2)))&gt;=0,1,0)))</f>
        <v>-8</v>
      </c>
      <c r="N40" s="7" t="n">
        <f aca="false">IF(((c_TMAP2IN)-(c_TMAP1IN))=0,(c_TMAP1OUT)+QUOTIENT(((c_TMAP2OUT)-(c_TMAP1OUT)),2),QUOTIENT((((K40)-(c_TMAP1IN))*((c_TMAP2OUT)-(c_TMAP1OUT))+IF(((c_TMAP2OUT)-(c_TMAP1OUT))&gt;=0,1,-1)*QUOTIENT(((c_TMAP2IN)-(c_TMAP1IN)),2)),((c_TMAP2IN)-(c_TMAP1IN)))+(c_TMAP1OUT)+IF(((c_TMAP2OUT)-(c_TMAP1OUT))&gt;=0,IF(IF(o_WRAP=1,MOD(((c_TMAP2IN)-(c_TMAP1IN))*(((K40)-(c_TMAP1IN))*((c_TMAP2OUT)-(c_TMAP1OUT))+IF(((c_TMAP2OUT)-(c_TMAP1OUT))&gt;=0,1,-1)*QUOTIENT(((c_TMAP2IN)-(c_TMAP1IN)),2))+2147483648,4294967296)-2147483648,((c_TMAP2IN)-(c_TMAP1IN))*(((K40)-(c_TMAP1IN))*((c_TMAP2OUT)-(c_TMAP1OUT))+IF(((c_TMAP2OUT)-(c_TMAP1OUT))&gt;=0,1,-1)*QUOTIENT(((c_TMAP2IN)-(c_TMAP1IN)),2)))&lt;0,-1,0),IF(IF(o_WRAP=1,MOD(((c_TMAP2IN)-(c_TMAP1IN))*(((K40)-(c_TMAP1IN))*((c_TMAP2OUT)-(c_TMAP1OUT))+IF(((c_TMAP2OUT)-(c_TMAP1OUT))&gt;=0,1,-1)*QUOTIENT(((c_TMAP2IN)-(c_TMAP1IN)),2))+2147483648,4294967296)-2147483648,((c_TMAP2IN)-(c_TMAP1IN))*(((K40)-(c_TMAP1IN))*((c_TMAP2OUT)-(c_TMAP1OUT))+IF(((c_TMAP2OUT)-(c_TMAP1OUT))&gt;=0,1,-1)*QUOTIENT(((c_TMAP2IN)-(c_TMAP1IN)),2)))&gt;=0,1,0)))</f>
        <v>30</v>
      </c>
      <c r="O40" s="7" t="n">
        <f aca="false">IF(((c_TMAP3IN)-(c_TMAP2IN))=0,(c_TMAP2OUT)+QUOTIENT(((c_TMAP3OUT)-(c_TMAP2OUT)),2),QUOTIENT((((K40)-(c_TMAP2IN))*((c_TMAP3OUT)-(c_TMAP2OUT))+IF(((c_TMAP3OUT)-(c_TMAP2OUT))&gt;=0,1,-1)*QUOTIENT(((c_TMAP3IN)-(c_TMAP2IN)),2)),((c_TMAP3IN)-(c_TMAP2IN)))+(c_TMAP2OUT)+IF(((c_TMAP3OUT)-(c_TMAP2OUT))&gt;=0,IF(IF(o_WRAP=1,MOD(((c_TMAP3IN)-(c_TMAP2IN))*(((K40)-(c_TMAP2IN))*((c_TMAP3OUT)-(c_TMAP2OUT))+IF(((c_TMAP3OUT)-(c_TMAP2OUT))&gt;=0,1,-1)*QUOTIENT(((c_TMAP3IN)-(c_TMAP2IN)),2))+2147483648,4294967296)-2147483648,((c_TMAP3IN)-(c_TMAP2IN))*(((K40)-(c_TMAP2IN))*((c_TMAP3OUT)-(c_TMAP2OUT))+IF(((c_TMAP3OUT)-(c_TMAP2OUT))&gt;=0,1,-1)*QUOTIENT(((c_TMAP3IN)-(c_TMAP2IN)),2)))&lt;0,-1,0),IF(IF(o_WRAP=1,MOD(((c_TMAP3IN)-(c_TMAP2IN))*(((K40)-(c_TMAP2IN))*((c_TMAP3OUT)-(c_TMAP2OUT))+IF(((c_TMAP3OUT)-(c_TMAP2OUT))&gt;=0,1,-1)*QUOTIENT(((c_TMAP3IN)-(c_TMAP2IN)),2))+2147483648,4294967296)-2147483648,((c_TMAP3IN)-(c_TMAP2IN))*(((K40)-(c_TMAP2IN))*((c_TMAP3OUT)-(c_TMAP2OUT))+IF(((c_TMAP3OUT)-(c_TMAP2OUT))&gt;=0,1,-1)*QUOTIENT(((c_TMAP3IN)-(c_TMAP2IN)),2)))&gt;=0,1,0)))</f>
        <v>-45</v>
      </c>
      <c r="P40" s="7" t="n">
        <f aca="false">IF(((1000)-(c_TMAP3IN))=0,(c_TMAP3OUT)+QUOTIENT(((1000)-(c_TMAP3OUT)),2),QUOTIENT((((K40)-(c_TMAP3IN))*((1000)-(c_TMAP3OUT))+IF(((1000)-(c_TMAP3OUT))&gt;=0,1,-1)*QUOTIENT(((1000)-(c_TMAP3IN)),2)),((1000)-(c_TMAP3IN)))+(c_TMAP3OUT)+IF(((1000)-(c_TMAP3OUT))&gt;=0,IF(IF(o_WRAP=1,MOD(((1000)-(c_TMAP3IN))*(((K40)-(c_TMAP3IN))*((1000)-(c_TMAP3OUT))+IF(((1000)-(c_TMAP3OUT))&gt;=0,1,-1)*QUOTIENT(((1000)-(c_TMAP3IN)),2))+2147483648,4294967296)-2147483648,((1000)-(c_TMAP3IN))*(((K40)-(c_TMAP3IN))*((1000)-(c_TMAP3OUT))+IF(((1000)-(c_TMAP3OUT))&gt;=0,1,-1)*QUOTIENT(((1000)-(c_TMAP3IN)),2)))&lt;0,-1,0),IF(IF(o_WRAP=1,MOD(((1000)-(c_TMAP3IN))*(((K40)-(c_TMAP3IN))*((1000)-(c_TMAP3OUT))+IF(((1000)-(c_TMAP3OUT))&gt;=0,1,-1)*QUOTIENT(((1000)-(c_TMAP3IN)),2))+2147483648,4294967296)-2147483648,((1000)-(c_TMAP3IN))*(((K40)-(c_TMAP3IN))*((1000)-(c_TMAP3OUT))+IF(((1000)-(c_TMAP3OUT))&gt;=0,1,-1)*QUOTIENT(((1000)-(c_TMAP3IN)),2)))&gt;=0,1,0)))</f>
        <v>-231</v>
      </c>
      <c r="Q40" s="7" t="str">
        <f aca="false">IF(K40&gt;=c_TFWD,IF(AND(K40&gt;=c_TMAP3IN,c_TMAP3IN&lt;1000),"Seg4 map3-100%",IF(AND(K40&gt;=c_TMAP2IN,c_TMAP3IN&gt;c_TMAP2IN),"Seg3 map2-map3",IF(AND(K40&gt;=c_TMAP1IN,c_TMAP2IN&gt;c_TMAP1IN),"Seg2 map1-map2","Seg1 TFWD-map1"))),IF(AND(K40=0,c_TCREEP&gt;0),"Creep",IF(AND(K40&lt;=c_TRNGMIN,K40&gt;=c_TRNGMAX,c_TRNGMIN-c_TRNGMAX&lt;&gt;0),"Regen ramp","Coast (0)")))</f>
        <v>Regen ramp</v>
      </c>
      <c r="R40" s="7" t="n">
        <f aca="false">IF(K40&gt;=c_TFWD,IF(AND(K40&gt;=c_TMAP3IN,c_TMAP3IN&lt;1000),P40,IF(AND(K40&gt;=c_TMAP2IN,c_TMAP3IN&gt;c_TMAP2IN),O40,IF(AND(K40&gt;=c_TMAP1IN,c_TMAP2IN&gt;c_TMAP1IN),N40,M40))),L40)</f>
        <v>-350</v>
      </c>
      <c r="S40" s="7" t="str">
        <f aca="false">IF(R40&lt;-1090,"TOO LOW",IF(R40&gt;1090,"TOO HIGH",""))</f>
        <v/>
      </c>
      <c r="T40" s="15" t="n">
        <f aca="false">IF(H40&lt;&gt;"OK",0,IF(S40&lt;&gt;"",0,IF(R40&gt;979,1000,R40)))</f>
        <v>-350</v>
      </c>
      <c r="U40" s="7" t="n">
        <f aca="false">T40/10</f>
        <v>-35</v>
      </c>
    </row>
    <row r="41" customFormat="false" ht="15" hidden="false" customHeight="false" outlineLevel="0" collapsed="false">
      <c r="A41" s="7" t="n">
        <v>36</v>
      </c>
      <c r="B41" s="7" t="n">
        <f aca="false">ROUND(o_SWSTART+A41*(o_SWEND-o_SWSTART)/400,0)</f>
        <v>369</v>
      </c>
      <c r="C41" s="7" t="n">
        <f aca="false">QUOTIENT((B41-c_OFF1)*c_GAIN1,1024)</f>
        <v>369</v>
      </c>
      <c r="D41" s="7" t="n">
        <f aca="false">IF(((c_T1MX)-(c_T1MN))=0,(0)+QUOTIENT(((1000)-(0)),2),QUOTIENT((((C41)-(c_T1MN))*((1000)-(0))+IF(((1000)-(0))&gt;=0,1,-1)*QUOTIENT(((c_T1MX)-(c_T1MN)),2)),((c_T1MX)-(c_T1MN)))+(0)+IF(((1000)-(0))&gt;=0,IF(IF(o_WRAP=1,MOD(((c_T1MX)-(c_T1MN))*(((C41)-(c_T1MN))*((1000)-(0))+IF(((1000)-(0))&gt;=0,1,-1)*QUOTIENT(((c_T1MX)-(c_T1MN)),2))+2147483648,4294967296)-2147483648,((c_T1MX)-(c_T1MN))*(((C41)-(c_T1MN))*((1000)-(0))+IF(((1000)-(0))&gt;=0,1,-1)*QUOTIENT(((c_T1MX)-(c_T1MN)),2)))&lt;0,-1,0),IF(IF(o_WRAP=1,MOD(((c_T1MX)-(c_T1MN))*(((C41)-(c_T1MN))*((1000)-(0))+IF(((1000)-(0))&gt;=0,1,-1)*QUOTIENT(((c_T1MX)-(c_T1MN)),2))+2147483648,4294967296)-2147483648,((c_T1MX)-(c_T1MN))*(((C41)-(c_T1MN))*((1000)-(0))+IF(((1000)-(0))&gt;=0,1,-1)*QUOTIENT(((c_T1MX)-(c_T1MN)),2)))&gt;=0,1,0)))</f>
        <v>-125</v>
      </c>
      <c r="E41" s="7" t="n">
        <f aca="false">IF(AND(c_TPOT=1,c_TTYPE=2),1000-D41,D41)</f>
        <v>-125</v>
      </c>
      <c r="F41" s="7" t="str">
        <f aca="false">IF(c_TPOT&gt;1,ROUND(IF(c_TTYPE=2,c_T2MX-IF(c_T1MX=c_T1MN,0,(C41-c_T1MN)/(c_T1MX-c_T1MN))*(c_T2MX-c_T2MN),c_T2MN+IF(c_T1MX=c_T1MN,0,(C41-c_T1MN)/(c_T1MX-c_T1MN))*(c_T2MX-c_T2MN))+o_MISMATCH,0),"")</f>
        <v/>
      </c>
      <c r="G41" s="7" t="str">
        <f aca="false">IF(c_TPOT&gt;1,IF(((c_T2MX)-(c_T2MN))=0,(0)+QUOTIENT(((1000)-(0)),2),QUOTIENT((((F41)-(c_T2MN))*((1000)-(0))+IF(((1000)-(0))&gt;=0,1,-1)*QUOTIENT(((c_T2MX)-(c_T2MN)),2)),((c_T2MX)-(c_T2MN)))+(0)+IF(((1000)-(0))&gt;=0,IF(IF(o_WRAP=1,MOD(((c_T2MX)-(c_T2MN))*(((F41)-(c_T2MN))*((1000)-(0))+IF(((1000)-(0))&gt;=0,1,-1)*QUOTIENT(((c_T2MX)-(c_T2MN)),2))+2147483648,4294967296)-2147483648,((c_T2MX)-(c_T2MN))*(((F41)-(c_T2MN))*((1000)-(0))+IF(((1000)-(0))&gt;=0,1,-1)*QUOTIENT(((c_T2MX)-(c_T2MN)),2)))&lt;0,-1,0),IF(IF(o_WRAP=1,MOD(((c_T2MX)-(c_T2MN))*(((F41)-(c_T2MN))*((1000)-(0))+IF(((1000)-(0))&gt;=0,1,-1)*QUOTIENT(((c_T2MX)-(c_T2MN)),2))+2147483648,4294967296)-2147483648,((c_T2MX)-(c_T2MN))*(((F41)-(c_T2MN))*((1000)-(0))+IF(((1000)-(0))&gt;=0,1,-1)*QUOTIENT(((c_T2MX)-(c_T2MN)),2)))&gt;=0,1,0))),"")</f>
        <v/>
      </c>
      <c r="H41" s="7" t="str">
        <f aca="false">IF(E41&gt;1000+k_TOL,"T1 HIGH",IF(E41&lt;0-k_TOL,"T1 LOW",IF(c_TPOT&gt;1,IF(G41&gt;1000+k_TOL,"T2 HIGH",IF(G41&lt;0-k_TOL,"T2 LOW",IF(c_TTYPE=2,IF(ABS(1000-MAX(0,MIN(1000,E41))-MAX(0,MIN(1000,G41)))&gt;k_MAXERR,"MISMATCH","OK"),IF(OR(MAX(0,MIN(1000,E41))-k_MAXERR&gt;MAX(0,MIN(1000,G41)),MAX(0,MIN(1000,G41))-k_MAXERR&gt;MAX(0,MIN(1000,E41))),"MISMATCH","OK")))),"OK")))</f>
        <v>OK</v>
      </c>
      <c r="I41" s="7" t="n">
        <f aca="false">MAX(0,MIN(1000,D41))</f>
        <v>0</v>
      </c>
      <c r="J41" s="7" t="str">
        <f aca="false">IF(c_TPOT&gt;1,IF(c_TTYPE=2,1000-MAX(0,MIN(1000,G41)),MAX(0,MIN(1000,G41))),"")</f>
        <v/>
      </c>
      <c r="K41" s="7" t="n">
        <f aca="false">IF(c_TPOT&gt;1,QUOTIENT(I41+J41,2),I41)</f>
        <v>0</v>
      </c>
      <c r="L41" s="7" t="n">
        <f aca="false">IF(AND(K41=0,c_TCREEP&gt;0),10*c_TCREEP,IF(AND(K41&lt;=c_TRNGMIN,K41&gt;=c_TRNGMAX,c_TRNGMIN-c_TRNGMAX&lt;&gt;0),-10*c_TMINRN+QUOTIENT((c_TMAXRN-c_TMINRN)*(100-QUOTIENT((K41-c_TRNGMAX)*100,c_TRNGMIN-c_TRNGMAX)),-10),0))</f>
        <v>-350</v>
      </c>
      <c r="M41" s="7" t="n">
        <f aca="false">IF(((c_TMAP1IN)-(c_TFWD))=0,(0)+QUOTIENT(((c_TMAP1OUT)-(0)),2),QUOTIENT((((K41)-(c_TFWD))*((c_TMAP1OUT)-(0))+IF(((c_TMAP1OUT)-(0))&gt;=0,1,-1)*QUOTIENT(((c_TMAP1IN)-(c_TFWD)),2)),((c_TMAP1IN)-(c_TFWD)))+(0)+IF(((c_TMAP1OUT)-(0))&gt;=0,IF(IF(o_WRAP=1,MOD(((c_TMAP1IN)-(c_TFWD))*(((K41)-(c_TFWD))*((c_TMAP1OUT)-(0))+IF(((c_TMAP1OUT)-(0))&gt;=0,1,-1)*QUOTIENT(((c_TMAP1IN)-(c_TFWD)),2))+2147483648,4294967296)-2147483648,((c_TMAP1IN)-(c_TFWD))*(((K41)-(c_TFWD))*((c_TMAP1OUT)-(0))+IF(((c_TMAP1OUT)-(0))&gt;=0,1,-1)*QUOTIENT(((c_TMAP1IN)-(c_TFWD)),2)))&lt;0,-1,0),IF(IF(o_WRAP=1,MOD(((c_TMAP1IN)-(c_TFWD))*(((K41)-(c_TFWD))*((c_TMAP1OUT)-(0))+IF(((c_TMAP1OUT)-(0))&gt;=0,1,-1)*QUOTIENT(((c_TMAP1IN)-(c_TFWD)),2))+2147483648,4294967296)-2147483648,((c_TMAP1IN)-(c_TFWD))*(((K41)-(c_TFWD))*((c_TMAP1OUT)-(0))+IF(((c_TMAP1OUT)-(0))&gt;=0,1,-1)*QUOTIENT(((c_TMAP1IN)-(c_TFWD)),2)))&gt;=0,1,0)))</f>
        <v>-8</v>
      </c>
      <c r="N41" s="7" t="n">
        <f aca="false">IF(((c_TMAP2IN)-(c_TMAP1IN))=0,(c_TMAP1OUT)+QUOTIENT(((c_TMAP2OUT)-(c_TMAP1OUT)),2),QUOTIENT((((K41)-(c_TMAP1IN))*((c_TMAP2OUT)-(c_TMAP1OUT))+IF(((c_TMAP2OUT)-(c_TMAP1OUT))&gt;=0,1,-1)*QUOTIENT(((c_TMAP2IN)-(c_TMAP1IN)),2)),((c_TMAP2IN)-(c_TMAP1IN)))+(c_TMAP1OUT)+IF(((c_TMAP2OUT)-(c_TMAP1OUT))&gt;=0,IF(IF(o_WRAP=1,MOD(((c_TMAP2IN)-(c_TMAP1IN))*(((K41)-(c_TMAP1IN))*((c_TMAP2OUT)-(c_TMAP1OUT))+IF(((c_TMAP2OUT)-(c_TMAP1OUT))&gt;=0,1,-1)*QUOTIENT(((c_TMAP2IN)-(c_TMAP1IN)),2))+2147483648,4294967296)-2147483648,((c_TMAP2IN)-(c_TMAP1IN))*(((K41)-(c_TMAP1IN))*((c_TMAP2OUT)-(c_TMAP1OUT))+IF(((c_TMAP2OUT)-(c_TMAP1OUT))&gt;=0,1,-1)*QUOTIENT(((c_TMAP2IN)-(c_TMAP1IN)),2)))&lt;0,-1,0),IF(IF(o_WRAP=1,MOD(((c_TMAP2IN)-(c_TMAP1IN))*(((K41)-(c_TMAP1IN))*((c_TMAP2OUT)-(c_TMAP1OUT))+IF(((c_TMAP2OUT)-(c_TMAP1OUT))&gt;=0,1,-1)*QUOTIENT(((c_TMAP2IN)-(c_TMAP1IN)),2))+2147483648,4294967296)-2147483648,((c_TMAP2IN)-(c_TMAP1IN))*(((K41)-(c_TMAP1IN))*((c_TMAP2OUT)-(c_TMAP1OUT))+IF(((c_TMAP2OUT)-(c_TMAP1OUT))&gt;=0,1,-1)*QUOTIENT(((c_TMAP2IN)-(c_TMAP1IN)),2)))&gt;=0,1,0)))</f>
        <v>30</v>
      </c>
      <c r="O41" s="7" t="n">
        <f aca="false">IF(((c_TMAP3IN)-(c_TMAP2IN))=0,(c_TMAP2OUT)+QUOTIENT(((c_TMAP3OUT)-(c_TMAP2OUT)),2),QUOTIENT((((K41)-(c_TMAP2IN))*((c_TMAP3OUT)-(c_TMAP2OUT))+IF(((c_TMAP3OUT)-(c_TMAP2OUT))&gt;=0,1,-1)*QUOTIENT(((c_TMAP3IN)-(c_TMAP2IN)),2)),((c_TMAP3IN)-(c_TMAP2IN)))+(c_TMAP2OUT)+IF(((c_TMAP3OUT)-(c_TMAP2OUT))&gt;=0,IF(IF(o_WRAP=1,MOD(((c_TMAP3IN)-(c_TMAP2IN))*(((K41)-(c_TMAP2IN))*((c_TMAP3OUT)-(c_TMAP2OUT))+IF(((c_TMAP3OUT)-(c_TMAP2OUT))&gt;=0,1,-1)*QUOTIENT(((c_TMAP3IN)-(c_TMAP2IN)),2))+2147483648,4294967296)-2147483648,((c_TMAP3IN)-(c_TMAP2IN))*(((K41)-(c_TMAP2IN))*((c_TMAP3OUT)-(c_TMAP2OUT))+IF(((c_TMAP3OUT)-(c_TMAP2OUT))&gt;=0,1,-1)*QUOTIENT(((c_TMAP3IN)-(c_TMAP2IN)),2)))&lt;0,-1,0),IF(IF(o_WRAP=1,MOD(((c_TMAP3IN)-(c_TMAP2IN))*(((K41)-(c_TMAP2IN))*((c_TMAP3OUT)-(c_TMAP2OUT))+IF(((c_TMAP3OUT)-(c_TMAP2OUT))&gt;=0,1,-1)*QUOTIENT(((c_TMAP3IN)-(c_TMAP2IN)),2))+2147483648,4294967296)-2147483648,((c_TMAP3IN)-(c_TMAP2IN))*(((K41)-(c_TMAP2IN))*((c_TMAP3OUT)-(c_TMAP2OUT))+IF(((c_TMAP3OUT)-(c_TMAP2OUT))&gt;=0,1,-1)*QUOTIENT(((c_TMAP3IN)-(c_TMAP2IN)),2)))&gt;=0,1,0)))</f>
        <v>-45</v>
      </c>
      <c r="P41" s="7" t="n">
        <f aca="false">IF(((1000)-(c_TMAP3IN))=0,(c_TMAP3OUT)+QUOTIENT(((1000)-(c_TMAP3OUT)),2),QUOTIENT((((K41)-(c_TMAP3IN))*((1000)-(c_TMAP3OUT))+IF(((1000)-(c_TMAP3OUT))&gt;=0,1,-1)*QUOTIENT(((1000)-(c_TMAP3IN)),2)),((1000)-(c_TMAP3IN)))+(c_TMAP3OUT)+IF(((1000)-(c_TMAP3OUT))&gt;=0,IF(IF(o_WRAP=1,MOD(((1000)-(c_TMAP3IN))*(((K41)-(c_TMAP3IN))*((1000)-(c_TMAP3OUT))+IF(((1000)-(c_TMAP3OUT))&gt;=0,1,-1)*QUOTIENT(((1000)-(c_TMAP3IN)),2))+2147483648,4294967296)-2147483648,((1000)-(c_TMAP3IN))*(((K41)-(c_TMAP3IN))*((1000)-(c_TMAP3OUT))+IF(((1000)-(c_TMAP3OUT))&gt;=0,1,-1)*QUOTIENT(((1000)-(c_TMAP3IN)),2)))&lt;0,-1,0),IF(IF(o_WRAP=1,MOD(((1000)-(c_TMAP3IN))*(((K41)-(c_TMAP3IN))*((1000)-(c_TMAP3OUT))+IF(((1000)-(c_TMAP3OUT))&gt;=0,1,-1)*QUOTIENT(((1000)-(c_TMAP3IN)),2))+2147483648,4294967296)-2147483648,((1000)-(c_TMAP3IN))*(((K41)-(c_TMAP3IN))*((1000)-(c_TMAP3OUT))+IF(((1000)-(c_TMAP3OUT))&gt;=0,1,-1)*QUOTIENT(((1000)-(c_TMAP3IN)),2)))&gt;=0,1,0)))</f>
        <v>-231</v>
      </c>
      <c r="Q41" s="7" t="str">
        <f aca="false">IF(K41&gt;=c_TFWD,IF(AND(K41&gt;=c_TMAP3IN,c_TMAP3IN&lt;1000),"Seg4 map3-100%",IF(AND(K41&gt;=c_TMAP2IN,c_TMAP3IN&gt;c_TMAP2IN),"Seg3 map2-map3",IF(AND(K41&gt;=c_TMAP1IN,c_TMAP2IN&gt;c_TMAP1IN),"Seg2 map1-map2","Seg1 TFWD-map1"))),IF(AND(K41=0,c_TCREEP&gt;0),"Creep",IF(AND(K41&lt;=c_TRNGMIN,K41&gt;=c_TRNGMAX,c_TRNGMIN-c_TRNGMAX&lt;&gt;0),"Regen ramp","Coast (0)")))</f>
        <v>Regen ramp</v>
      </c>
      <c r="R41" s="7" t="n">
        <f aca="false">IF(K41&gt;=c_TFWD,IF(AND(K41&gt;=c_TMAP3IN,c_TMAP3IN&lt;1000),P41,IF(AND(K41&gt;=c_TMAP2IN,c_TMAP3IN&gt;c_TMAP2IN),O41,IF(AND(K41&gt;=c_TMAP1IN,c_TMAP2IN&gt;c_TMAP1IN),N41,M41))),L41)</f>
        <v>-350</v>
      </c>
      <c r="S41" s="7" t="str">
        <f aca="false">IF(R41&lt;-1090,"TOO LOW",IF(R41&gt;1090,"TOO HIGH",""))</f>
        <v/>
      </c>
      <c r="T41" s="15" t="n">
        <f aca="false">IF(H41&lt;&gt;"OK",0,IF(S41&lt;&gt;"",0,IF(R41&gt;979,1000,R41)))</f>
        <v>-350</v>
      </c>
      <c r="U41" s="7" t="n">
        <f aca="false">T41/10</f>
        <v>-35</v>
      </c>
    </row>
    <row r="42" customFormat="false" ht="15" hidden="false" customHeight="false" outlineLevel="0" collapsed="false">
      <c r="A42" s="7" t="n">
        <v>37</v>
      </c>
      <c r="B42" s="7" t="n">
        <f aca="false">ROUND(o_SWSTART+A42*(o_SWEND-o_SWSTART)/400,0)</f>
        <v>379</v>
      </c>
      <c r="C42" s="7" t="n">
        <f aca="false">QUOTIENT((B42-c_OFF1)*c_GAIN1,1024)</f>
        <v>379</v>
      </c>
      <c r="D42" s="7" t="n">
        <f aca="false">IF(((c_T1MX)-(c_T1MN))=0,(0)+QUOTIENT(((1000)-(0)),2),QUOTIENT((((C42)-(c_T1MN))*((1000)-(0))+IF(((1000)-(0))&gt;=0,1,-1)*QUOTIENT(((c_T1MX)-(c_T1MN)),2)),((c_T1MX)-(c_T1MN)))+(0)+IF(((1000)-(0))&gt;=0,IF(IF(o_WRAP=1,MOD(((c_T1MX)-(c_T1MN))*(((C42)-(c_T1MN))*((1000)-(0))+IF(((1000)-(0))&gt;=0,1,-1)*QUOTIENT(((c_T1MX)-(c_T1MN)),2))+2147483648,4294967296)-2147483648,((c_T1MX)-(c_T1MN))*(((C42)-(c_T1MN))*((1000)-(0))+IF(((1000)-(0))&gt;=0,1,-1)*QUOTIENT(((c_T1MX)-(c_T1MN)),2)))&lt;0,-1,0),IF(IF(o_WRAP=1,MOD(((c_T1MX)-(c_T1MN))*(((C42)-(c_T1MN))*((1000)-(0))+IF(((1000)-(0))&gt;=0,1,-1)*QUOTIENT(((c_T1MX)-(c_T1MN)),2))+2147483648,4294967296)-2147483648,((c_T1MX)-(c_T1MN))*(((C42)-(c_T1MN))*((1000)-(0))+IF(((1000)-(0))&gt;=0,1,-1)*QUOTIENT(((c_T1MX)-(c_T1MN)),2)))&gt;=0,1,0)))</f>
        <v>-122</v>
      </c>
      <c r="E42" s="7" t="n">
        <f aca="false">IF(AND(c_TPOT=1,c_TTYPE=2),1000-D42,D42)</f>
        <v>-122</v>
      </c>
      <c r="F42" s="7" t="str">
        <f aca="false">IF(c_TPOT&gt;1,ROUND(IF(c_TTYPE=2,c_T2MX-IF(c_T1MX=c_T1MN,0,(C42-c_T1MN)/(c_T1MX-c_T1MN))*(c_T2MX-c_T2MN),c_T2MN+IF(c_T1MX=c_T1MN,0,(C42-c_T1MN)/(c_T1MX-c_T1MN))*(c_T2MX-c_T2MN))+o_MISMATCH,0),"")</f>
        <v/>
      </c>
      <c r="G42" s="7" t="str">
        <f aca="false">IF(c_TPOT&gt;1,IF(((c_T2MX)-(c_T2MN))=0,(0)+QUOTIENT(((1000)-(0)),2),QUOTIENT((((F42)-(c_T2MN))*((1000)-(0))+IF(((1000)-(0))&gt;=0,1,-1)*QUOTIENT(((c_T2MX)-(c_T2MN)),2)),((c_T2MX)-(c_T2MN)))+(0)+IF(((1000)-(0))&gt;=0,IF(IF(o_WRAP=1,MOD(((c_T2MX)-(c_T2MN))*(((F42)-(c_T2MN))*((1000)-(0))+IF(((1000)-(0))&gt;=0,1,-1)*QUOTIENT(((c_T2MX)-(c_T2MN)),2))+2147483648,4294967296)-2147483648,((c_T2MX)-(c_T2MN))*(((F42)-(c_T2MN))*((1000)-(0))+IF(((1000)-(0))&gt;=0,1,-1)*QUOTIENT(((c_T2MX)-(c_T2MN)),2)))&lt;0,-1,0),IF(IF(o_WRAP=1,MOD(((c_T2MX)-(c_T2MN))*(((F42)-(c_T2MN))*((1000)-(0))+IF(((1000)-(0))&gt;=0,1,-1)*QUOTIENT(((c_T2MX)-(c_T2MN)),2))+2147483648,4294967296)-2147483648,((c_T2MX)-(c_T2MN))*(((F42)-(c_T2MN))*((1000)-(0))+IF(((1000)-(0))&gt;=0,1,-1)*QUOTIENT(((c_T2MX)-(c_T2MN)),2)))&gt;=0,1,0))),"")</f>
        <v/>
      </c>
      <c r="H42" s="7" t="str">
        <f aca="false">IF(E42&gt;1000+k_TOL,"T1 HIGH",IF(E42&lt;0-k_TOL,"T1 LOW",IF(c_TPOT&gt;1,IF(G42&gt;1000+k_TOL,"T2 HIGH",IF(G42&lt;0-k_TOL,"T2 LOW",IF(c_TTYPE=2,IF(ABS(1000-MAX(0,MIN(1000,E42))-MAX(0,MIN(1000,G42)))&gt;k_MAXERR,"MISMATCH","OK"),IF(OR(MAX(0,MIN(1000,E42))-k_MAXERR&gt;MAX(0,MIN(1000,G42)),MAX(0,MIN(1000,G42))-k_MAXERR&gt;MAX(0,MIN(1000,E42))),"MISMATCH","OK")))),"OK")))</f>
        <v>OK</v>
      </c>
      <c r="I42" s="7" t="n">
        <f aca="false">MAX(0,MIN(1000,D42))</f>
        <v>0</v>
      </c>
      <c r="J42" s="7" t="str">
        <f aca="false">IF(c_TPOT&gt;1,IF(c_TTYPE=2,1000-MAX(0,MIN(1000,G42)),MAX(0,MIN(1000,G42))),"")</f>
        <v/>
      </c>
      <c r="K42" s="7" t="n">
        <f aca="false">IF(c_TPOT&gt;1,QUOTIENT(I42+J42,2),I42)</f>
        <v>0</v>
      </c>
      <c r="L42" s="7" t="n">
        <f aca="false">IF(AND(K42=0,c_TCREEP&gt;0),10*c_TCREEP,IF(AND(K42&lt;=c_TRNGMIN,K42&gt;=c_TRNGMAX,c_TRNGMIN-c_TRNGMAX&lt;&gt;0),-10*c_TMINRN+QUOTIENT((c_TMAXRN-c_TMINRN)*(100-QUOTIENT((K42-c_TRNGMAX)*100,c_TRNGMIN-c_TRNGMAX)),-10),0))</f>
        <v>-350</v>
      </c>
      <c r="M42" s="7" t="n">
        <f aca="false">IF(((c_TMAP1IN)-(c_TFWD))=0,(0)+QUOTIENT(((c_TMAP1OUT)-(0)),2),QUOTIENT((((K42)-(c_TFWD))*((c_TMAP1OUT)-(0))+IF(((c_TMAP1OUT)-(0))&gt;=0,1,-1)*QUOTIENT(((c_TMAP1IN)-(c_TFWD)),2)),((c_TMAP1IN)-(c_TFWD)))+(0)+IF(((c_TMAP1OUT)-(0))&gt;=0,IF(IF(o_WRAP=1,MOD(((c_TMAP1IN)-(c_TFWD))*(((K42)-(c_TFWD))*((c_TMAP1OUT)-(0))+IF(((c_TMAP1OUT)-(0))&gt;=0,1,-1)*QUOTIENT(((c_TMAP1IN)-(c_TFWD)),2))+2147483648,4294967296)-2147483648,((c_TMAP1IN)-(c_TFWD))*(((K42)-(c_TFWD))*((c_TMAP1OUT)-(0))+IF(((c_TMAP1OUT)-(0))&gt;=0,1,-1)*QUOTIENT(((c_TMAP1IN)-(c_TFWD)),2)))&lt;0,-1,0),IF(IF(o_WRAP=1,MOD(((c_TMAP1IN)-(c_TFWD))*(((K42)-(c_TFWD))*((c_TMAP1OUT)-(0))+IF(((c_TMAP1OUT)-(0))&gt;=0,1,-1)*QUOTIENT(((c_TMAP1IN)-(c_TFWD)),2))+2147483648,4294967296)-2147483648,((c_TMAP1IN)-(c_TFWD))*(((K42)-(c_TFWD))*((c_TMAP1OUT)-(0))+IF(((c_TMAP1OUT)-(0))&gt;=0,1,-1)*QUOTIENT(((c_TMAP1IN)-(c_TFWD)),2)))&gt;=0,1,0)))</f>
        <v>-8</v>
      </c>
      <c r="N42" s="7" t="n">
        <f aca="false">IF(((c_TMAP2IN)-(c_TMAP1IN))=0,(c_TMAP1OUT)+QUOTIENT(((c_TMAP2OUT)-(c_TMAP1OUT)),2),QUOTIENT((((K42)-(c_TMAP1IN))*((c_TMAP2OUT)-(c_TMAP1OUT))+IF(((c_TMAP2OUT)-(c_TMAP1OUT))&gt;=0,1,-1)*QUOTIENT(((c_TMAP2IN)-(c_TMAP1IN)),2)),((c_TMAP2IN)-(c_TMAP1IN)))+(c_TMAP1OUT)+IF(((c_TMAP2OUT)-(c_TMAP1OUT))&gt;=0,IF(IF(o_WRAP=1,MOD(((c_TMAP2IN)-(c_TMAP1IN))*(((K42)-(c_TMAP1IN))*((c_TMAP2OUT)-(c_TMAP1OUT))+IF(((c_TMAP2OUT)-(c_TMAP1OUT))&gt;=0,1,-1)*QUOTIENT(((c_TMAP2IN)-(c_TMAP1IN)),2))+2147483648,4294967296)-2147483648,((c_TMAP2IN)-(c_TMAP1IN))*(((K42)-(c_TMAP1IN))*((c_TMAP2OUT)-(c_TMAP1OUT))+IF(((c_TMAP2OUT)-(c_TMAP1OUT))&gt;=0,1,-1)*QUOTIENT(((c_TMAP2IN)-(c_TMAP1IN)),2)))&lt;0,-1,0),IF(IF(o_WRAP=1,MOD(((c_TMAP2IN)-(c_TMAP1IN))*(((K42)-(c_TMAP1IN))*((c_TMAP2OUT)-(c_TMAP1OUT))+IF(((c_TMAP2OUT)-(c_TMAP1OUT))&gt;=0,1,-1)*QUOTIENT(((c_TMAP2IN)-(c_TMAP1IN)),2))+2147483648,4294967296)-2147483648,((c_TMAP2IN)-(c_TMAP1IN))*(((K42)-(c_TMAP1IN))*((c_TMAP2OUT)-(c_TMAP1OUT))+IF(((c_TMAP2OUT)-(c_TMAP1OUT))&gt;=0,1,-1)*QUOTIENT(((c_TMAP2IN)-(c_TMAP1IN)),2)))&gt;=0,1,0)))</f>
        <v>30</v>
      </c>
      <c r="O42" s="7" t="n">
        <f aca="false">IF(((c_TMAP3IN)-(c_TMAP2IN))=0,(c_TMAP2OUT)+QUOTIENT(((c_TMAP3OUT)-(c_TMAP2OUT)),2),QUOTIENT((((K42)-(c_TMAP2IN))*((c_TMAP3OUT)-(c_TMAP2OUT))+IF(((c_TMAP3OUT)-(c_TMAP2OUT))&gt;=0,1,-1)*QUOTIENT(((c_TMAP3IN)-(c_TMAP2IN)),2)),((c_TMAP3IN)-(c_TMAP2IN)))+(c_TMAP2OUT)+IF(((c_TMAP3OUT)-(c_TMAP2OUT))&gt;=0,IF(IF(o_WRAP=1,MOD(((c_TMAP3IN)-(c_TMAP2IN))*(((K42)-(c_TMAP2IN))*((c_TMAP3OUT)-(c_TMAP2OUT))+IF(((c_TMAP3OUT)-(c_TMAP2OUT))&gt;=0,1,-1)*QUOTIENT(((c_TMAP3IN)-(c_TMAP2IN)),2))+2147483648,4294967296)-2147483648,((c_TMAP3IN)-(c_TMAP2IN))*(((K42)-(c_TMAP2IN))*((c_TMAP3OUT)-(c_TMAP2OUT))+IF(((c_TMAP3OUT)-(c_TMAP2OUT))&gt;=0,1,-1)*QUOTIENT(((c_TMAP3IN)-(c_TMAP2IN)),2)))&lt;0,-1,0),IF(IF(o_WRAP=1,MOD(((c_TMAP3IN)-(c_TMAP2IN))*(((K42)-(c_TMAP2IN))*((c_TMAP3OUT)-(c_TMAP2OUT))+IF(((c_TMAP3OUT)-(c_TMAP2OUT))&gt;=0,1,-1)*QUOTIENT(((c_TMAP3IN)-(c_TMAP2IN)),2))+2147483648,4294967296)-2147483648,((c_TMAP3IN)-(c_TMAP2IN))*(((K42)-(c_TMAP2IN))*((c_TMAP3OUT)-(c_TMAP2OUT))+IF(((c_TMAP3OUT)-(c_TMAP2OUT))&gt;=0,1,-1)*QUOTIENT(((c_TMAP3IN)-(c_TMAP2IN)),2)))&gt;=0,1,0)))</f>
        <v>-45</v>
      </c>
      <c r="P42" s="7" t="n">
        <f aca="false">IF(((1000)-(c_TMAP3IN))=0,(c_TMAP3OUT)+QUOTIENT(((1000)-(c_TMAP3OUT)),2),QUOTIENT((((K42)-(c_TMAP3IN))*((1000)-(c_TMAP3OUT))+IF(((1000)-(c_TMAP3OUT))&gt;=0,1,-1)*QUOTIENT(((1000)-(c_TMAP3IN)),2)),((1000)-(c_TMAP3IN)))+(c_TMAP3OUT)+IF(((1000)-(c_TMAP3OUT))&gt;=0,IF(IF(o_WRAP=1,MOD(((1000)-(c_TMAP3IN))*(((K42)-(c_TMAP3IN))*((1000)-(c_TMAP3OUT))+IF(((1000)-(c_TMAP3OUT))&gt;=0,1,-1)*QUOTIENT(((1000)-(c_TMAP3IN)),2))+2147483648,4294967296)-2147483648,((1000)-(c_TMAP3IN))*(((K42)-(c_TMAP3IN))*((1000)-(c_TMAP3OUT))+IF(((1000)-(c_TMAP3OUT))&gt;=0,1,-1)*QUOTIENT(((1000)-(c_TMAP3IN)),2)))&lt;0,-1,0),IF(IF(o_WRAP=1,MOD(((1000)-(c_TMAP3IN))*(((K42)-(c_TMAP3IN))*((1000)-(c_TMAP3OUT))+IF(((1000)-(c_TMAP3OUT))&gt;=0,1,-1)*QUOTIENT(((1000)-(c_TMAP3IN)),2))+2147483648,4294967296)-2147483648,((1000)-(c_TMAP3IN))*(((K42)-(c_TMAP3IN))*((1000)-(c_TMAP3OUT))+IF(((1000)-(c_TMAP3OUT))&gt;=0,1,-1)*QUOTIENT(((1000)-(c_TMAP3IN)),2)))&gt;=0,1,0)))</f>
        <v>-231</v>
      </c>
      <c r="Q42" s="7" t="str">
        <f aca="false">IF(K42&gt;=c_TFWD,IF(AND(K42&gt;=c_TMAP3IN,c_TMAP3IN&lt;1000),"Seg4 map3-100%",IF(AND(K42&gt;=c_TMAP2IN,c_TMAP3IN&gt;c_TMAP2IN),"Seg3 map2-map3",IF(AND(K42&gt;=c_TMAP1IN,c_TMAP2IN&gt;c_TMAP1IN),"Seg2 map1-map2","Seg1 TFWD-map1"))),IF(AND(K42=0,c_TCREEP&gt;0),"Creep",IF(AND(K42&lt;=c_TRNGMIN,K42&gt;=c_TRNGMAX,c_TRNGMIN-c_TRNGMAX&lt;&gt;0),"Regen ramp","Coast (0)")))</f>
        <v>Regen ramp</v>
      </c>
      <c r="R42" s="7" t="n">
        <f aca="false">IF(K42&gt;=c_TFWD,IF(AND(K42&gt;=c_TMAP3IN,c_TMAP3IN&lt;1000),P42,IF(AND(K42&gt;=c_TMAP2IN,c_TMAP3IN&gt;c_TMAP2IN),O42,IF(AND(K42&gt;=c_TMAP1IN,c_TMAP2IN&gt;c_TMAP1IN),N42,M42))),L42)</f>
        <v>-350</v>
      </c>
      <c r="S42" s="7" t="str">
        <f aca="false">IF(R42&lt;-1090,"TOO LOW",IF(R42&gt;1090,"TOO HIGH",""))</f>
        <v/>
      </c>
      <c r="T42" s="15" t="n">
        <f aca="false">IF(H42&lt;&gt;"OK",0,IF(S42&lt;&gt;"",0,IF(R42&gt;979,1000,R42)))</f>
        <v>-350</v>
      </c>
      <c r="U42" s="7" t="n">
        <f aca="false">T42/10</f>
        <v>-35</v>
      </c>
    </row>
    <row r="43" customFormat="false" ht="15" hidden="false" customHeight="false" outlineLevel="0" collapsed="false">
      <c r="A43" s="7" t="n">
        <v>38</v>
      </c>
      <c r="B43" s="7" t="n">
        <f aca="false">ROUND(o_SWSTART+A43*(o_SWEND-o_SWSTART)/400,0)</f>
        <v>389</v>
      </c>
      <c r="C43" s="7" t="n">
        <f aca="false">QUOTIENT((B43-c_OFF1)*c_GAIN1,1024)</f>
        <v>389</v>
      </c>
      <c r="D43" s="7" t="n">
        <f aca="false">IF(((c_T1MX)-(c_T1MN))=0,(0)+QUOTIENT(((1000)-(0)),2),QUOTIENT((((C43)-(c_T1MN))*((1000)-(0))+IF(((1000)-(0))&gt;=0,1,-1)*QUOTIENT(((c_T1MX)-(c_T1MN)),2)),((c_T1MX)-(c_T1MN)))+(0)+IF(((1000)-(0))&gt;=0,IF(IF(o_WRAP=1,MOD(((c_T1MX)-(c_T1MN))*(((C43)-(c_T1MN))*((1000)-(0))+IF(((1000)-(0))&gt;=0,1,-1)*QUOTIENT(((c_T1MX)-(c_T1MN)),2))+2147483648,4294967296)-2147483648,((c_T1MX)-(c_T1MN))*(((C43)-(c_T1MN))*((1000)-(0))+IF(((1000)-(0))&gt;=0,1,-1)*QUOTIENT(((c_T1MX)-(c_T1MN)),2)))&lt;0,-1,0),IF(IF(o_WRAP=1,MOD(((c_T1MX)-(c_T1MN))*(((C43)-(c_T1MN))*((1000)-(0))+IF(((1000)-(0))&gt;=0,1,-1)*QUOTIENT(((c_T1MX)-(c_T1MN)),2))+2147483648,4294967296)-2147483648,((c_T1MX)-(c_T1MN))*(((C43)-(c_T1MN))*((1000)-(0))+IF(((1000)-(0))&gt;=0,1,-1)*QUOTIENT(((c_T1MX)-(c_T1MN)),2)))&gt;=0,1,0)))</f>
        <v>-118</v>
      </c>
      <c r="E43" s="7" t="n">
        <f aca="false">IF(AND(c_TPOT=1,c_TTYPE=2),1000-D43,D43)</f>
        <v>-118</v>
      </c>
      <c r="F43" s="7" t="str">
        <f aca="false">IF(c_TPOT&gt;1,ROUND(IF(c_TTYPE=2,c_T2MX-IF(c_T1MX=c_T1MN,0,(C43-c_T1MN)/(c_T1MX-c_T1MN))*(c_T2MX-c_T2MN),c_T2MN+IF(c_T1MX=c_T1MN,0,(C43-c_T1MN)/(c_T1MX-c_T1MN))*(c_T2MX-c_T2MN))+o_MISMATCH,0),"")</f>
        <v/>
      </c>
      <c r="G43" s="7" t="str">
        <f aca="false">IF(c_TPOT&gt;1,IF(((c_T2MX)-(c_T2MN))=0,(0)+QUOTIENT(((1000)-(0)),2),QUOTIENT((((F43)-(c_T2MN))*((1000)-(0))+IF(((1000)-(0))&gt;=0,1,-1)*QUOTIENT(((c_T2MX)-(c_T2MN)),2)),((c_T2MX)-(c_T2MN)))+(0)+IF(((1000)-(0))&gt;=0,IF(IF(o_WRAP=1,MOD(((c_T2MX)-(c_T2MN))*(((F43)-(c_T2MN))*((1000)-(0))+IF(((1000)-(0))&gt;=0,1,-1)*QUOTIENT(((c_T2MX)-(c_T2MN)),2))+2147483648,4294967296)-2147483648,((c_T2MX)-(c_T2MN))*(((F43)-(c_T2MN))*((1000)-(0))+IF(((1000)-(0))&gt;=0,1,-1)*QUOTIENT(((c_T2MX)-(c_T2MN)),2)))&lt;0,-1,0),IF(IF(o_WRAP=1,MOD(((c_T2MX)-(c_T2MN))*(((F43)-(c_T2MN))*((1000)-(0))+IF(((1000)-(0))&gt;=0,1,-1)*QUOTIENT(((c_T2MX)-(c_T2MN)),2))+2147483648,4294967296)-2147483648,((c_T2MX)-(c_T2MN))*(((F43)-(c_T2MN))*((1000)-(0))+IF(((1000)-(0))&gt;=0,1,-1)*QUOTIENT(((c_T2MX)-(c_T2MN)),2)))&gt;=0,1,0))),"")</f>
        <v/>
      </c>
      <c r="H43" s="7" t="str">
        <f aca="false">IF(E43&gt;1000+k_TOL,"T1 HIGH",IF(E43&lt;0-k_TOL,"T1 LOW",IF(c_TPOT&gt;1,IF(G43&gt;1000+k_TOL,"T2 HIGH",IF(G43&lt;0-k_TOL,"T2 LOW",IF(c_TTYPE=2,IF(ABS(1000-MAX(0,MIN(1000,E43))-MAX(0,MIN(1000,G43)))&gt;k_MAXERR,"MISMATCH","OK"),IF(OR(MAX(0,MIN(1000,E43))-k_MAXERR&gt;MAX(0,MIN(1000,G43)),MAX(0,MIN(1000,G43))-k_MAXERR&gt;MAX(0,MIN(1000,E43))),"MISMATCH","OK")))),"OK")))</f>
        <v>OK</v>
      </c>
      <c r="I43" s="7" t="n">
        <f aca="false">MAX(0,MIN(1000,D43))</f>
        <v>0</v>
      </c>
      <c r="J43" s="7" t="str">
        <f aca="false">IF(c_TPOT&gt;1,IF(c_TTYPE=2,1000-MAX(0,MIN(1000,G43)),MAX(0,MIN(1000,G43))),"")</f>
        <v/>
      </c>
      <c r="K43" s="7" t="n">
        <f aca="false">IF(c_TPOT&gt;1,QUOTIENT(I43+J43,2),I43)</f>
        <v>0</v>
      </c>
      <c r="L43" s="7" t="n">
        <f aca="false">IF(AND(K43=0,c_TCREEP&gt;0),10*c_TCREEP,IF(AND(K43&lt;=c_TRNGMIN,K43&gt;=c_TRNGMAX,c_TRNGMIN-c_TRNGMAX&lt;&gt;0),-10*c_TMINRN+QUOTIENT((c_TMAXRN-c_TMINRN)*(100-QUOTIENT((K43-c_TRNGMAX)*100,c_TRNGMIN-c_TRNGMAX)),-10),0))</f>
        <v>-350</v>
      </c>
      <c r="M43" s="7" t="n">
        <f aca="false">IF(((c_TMAP1IN)-(c_TFWD))=0,(0)+QUOTIENT(((c_TMAP1OUT)-(0)),2),QUOTIENT((((K43)-(c_TFWD))*((c_TMAP1OUT)-(0))+IF(((c_TMAP1OUT)-(0))&gt;=0,1,-1)*QUOTIENT(((c_TMAP1IN)-(c_TFWD)),2)),((c_TMAP1IN)-(c_TFWD)))+(0)+IF(((c_TMAP1OUT)-(0))&gt;=0,IF(IF(o_WRAP=1,MOD(((c_TMAP1IN)-(c_TFWD))*(((K43)-(c_TFWD))*((c_TMAP1OUT)-(0))+IF(((c_TMAP1OUT)-(0))&gt;=0,1,-1)*QUOTIENT(((c_TMAP1IN)-(c_TFWD)),2))+2147483648,4294967296)-2147483648,((c_TMAP1IN)-(c_TFWD))*(((K43)-(c_TFWD))*((c_TMAP1OUT)-(0))+IF(((c_TMAP1OUT)-(0))&gt;=0,1,-1)*QUOTIENT(((c_TMAP1IN)-(c_TFWD)),2)))&lt;0,-1,0),IF(IF(o_WRAP=1,MOD(((c_TMAP1IN)-(c_TFWD))*(((K43)-(c_TFWD))*((c_TMAP1OUT)-(0))+IF(((c_TMAP1OUT)-(0))&gt;=0,1,-1)*QUOTIENT(((c_TMAP1IN)-(c_TFWD)),2))+2147483648,4294967296)-2147483648,((c_TMAP1IN)-(c_TFWD))*(((K43)-(c_TFWD))*((c_TMAP1OUT)-(0))+IF(((c_TMAP1OUT)-(0))&gt;=0,1,-1)*QUOTIENT(((c_TMAP1IN)-(c_TFWD)),2)))&gt;=0,1,0)))</f>
        <v>-8</v>
      </c>
      <c r="N43" s="7" t="n">
        <f aca="false">IF(((c_TMAP2IN)-(c_TMAP1IN))=0,(c_TMAP1OUT)+QUOTIENT(((c_TMAP2OUT)-(c_TMAP1OUT)),2),QUOTIENT((((K43)-(c_TMAP1IN))*((c_TMAP2OUT)-(c_TMAP1OUT))+IF(((c_TMAP2OUT)-(c_TMAP1OUT))&gt;=0,1,-1)*QUOTIENT(((c_TMAP2IN)-(c_TMAP1IN)),2)),((c_TMAP2IN)-(c_TMAP1IN)))+(c_TMAP1OUT)+IF(((c_TMAP2OUT)-(c_TMAP1OUT))&gt;=0,IF(IF(o_WRAP=1,MOD(((c_TMAP2IN)-(c_TMAP1IN))*(((K43)-(c_TMAP1IN))*((c_TMAP2OUT)-(c_TMAP1OUT))+IF(((c_TMAP2OUT)-(c_TMAP1OUT))&gt;=0,1,-1)*QUOTIENT(((c_TMAP2IN)-(c_TMAP1IN)),2))+2147483648,4294967296)-2147483648,((c_TMAP2IN)-(c_TMAP1IN))*(((K43)-(c_TMAP1IN))*((c_TMAP2OUT)-(c_TMAP1OUT))+IF(((c_TMAP2OUT)-(c_TMAP1OUT))&gt;=0,1,-1)*QUOTIENT(((c_TMAP2IN)-(c_TMAP1IN)),2)))&lt;0,-1,0),IF(IF(o_WRAP=1,MOD(((c_TMAP2IN)-(c_TMAP1IN))*(((K43)-(c_TMAP1IN))*((c_TMAP2OUT)-(c_TMAP1OUT))+IF(((c_TMAP2OUT)-(c_TMAP1OUT))&gt;=0,1,-1)*QUOTIENT(((c_TMAP2IN)-(c_TMAP1IN)),2))+2147483648,4294967296)-2147483648,((c_TMAP2IN)-(c_TMAP1IN))*(((K43)-(c_TMAP1IN))*((c_TMAP2OUT)-(c_TMAP1OUT))+IF(((c_TMAP2OUT)-(c_TMAP1OUT))&gt;=0,1,-1)*QUOTIENT(((c_TMAP2IN)-(c_TMAP1IN)),2)))&gt;=0,1,0)))</f>
        <v>30</v>
      </c>
      <c r="O43" s="7" t="n">
        <f aca="false">IF(((c_TMAP3IN)-(c_TMAP2IN))=0,(c_TMAP2OUT)+QUOTIENT(((c_TMAP3OUT)-(c_TMAP2OUT)),2),QUOTIENT((((K43)-(c_TMAP2IN))*((c_TMAP3OUT)-(c_TMAP2OUT))+IF(((c_TMAP3OUT)-(c_TMAP2OUT))&gt;=0,1,-1)*QUOTIENT(((c_TMAP3IN)-(c_TMAP2IN)),2)),((c_TMAP3IN)-(c_TMAP2IN)))+(c_TMAP2OUT)+IF(((c_TMAP3OUT)-(c_TMAP2OUT))&gt;=0,IF(IF(o_WRAP=1,MOD(((c_TMAP3IN)-(c_TMAP2IN))*(((K43)-(c_TMAP2IN))*((c_TMAP3OUT)-(c_TMAP2OUT))+IF(((c_TMAP3OUT)-(c_TMAP2OUT))&gt;=0,1,-1)*QUOTIENT(((c_TMAP3IN)-(c_TMAP2IN)),2))+2147483648,4294967296)-2147483648,((c_TMAP3IN)-(c_TMAP2IN))*(((K43)-(c_TMAP2IN))*((c_TMAP3OUT)-(c_TMAP2OUT))+IF(((c_TMAP3OUT)-(c_TMAP2OUT))&gt;=0,1,-1)*QUOTIENT(((c_TMAP3IN)-(c_TMAP2IN)),2)))&lt;0,-1,0),IF(IF(o_WRAP=1,MOD(((c_TMAP3IN)-(c_TMAP2IN))*(((K43)-(c_TMAP2IN))*((c_TMAP3OUT)-(c_TMAP2OUT))+IF(((c_TMAP3OUT)-(c_TMAP2OUT))&gt;=0,1,-1)*QUOTIENT(((c_TMAP3IN)-(c_TMAP2IN)),2))+2147483648,4294967296)-2147483648,((c_TMAP3IN)-(c_TMAP2IN))*(((K43)-(c_TMAP2IN))*((c_TMAP3OUT)-(c_TMAP2OUT))+IF(((c_TMAP3OUT)-(c_TMAP2OUT))&gt;=0,1,-1)*QUOTIENT(((c_TMAP3IN)-(c_TMAP2IN)),2)))&gt;=0,1,0)))</f>
        <v>-45</v>
      </c>
      <c r="P43" s="7" t="n">
        <f aca="false">IF(((1000)-(c_TMAP3IN))=0,(c_TMAP3OUT)+QUOTIENT(((1000)-(c_TMAP3OUT)),2),QUOTIENT((((K43)-(c_TMAP3IN))*((1000)-(c_TMAP3OUT))+IF(((1000)-(c_TMAP3OUT))&gt;=0,1,-1)*QUOTIENT(((1000)-(c_TMAP3IN)),2)),((1000)-(c_TMAP3IN)))+(c_TMAP3OUT)+IF(((1000)-(c_TMAP3OUT))&gt;=0,IF(IF(o_WRAP=1,MOD(((1000)-(c_TMAP3IN))*(((K43)-(c_TMAP3IN))*((1000)-(c_TMAP3OUT))+IF(((1000)-(c_TMAP3OUT))&gt;=0,1,-1)*QUOTIENT(((1000)-(c_TMAP3IN)),2))+2147483648,4294967296)-2147483648,((1000)-(c_TMAP3IN))*(((K43)-(c_TMAP3IN))*((1000)-(c_TMAP3OUT))+IF(((1000)-(c_TMAP3OUT))&gt;=0,1,-1)*QUOTIENT(((1000)-(c_TMAP3IN)),2)))&lt;0,-1,0),IF(IF(o_WRAP=1,MOD(((1000)-(c_TMAP3IN))*(((K43)-(c_TMAP3IN))*((1000)-(c_TMAP3OUT))+IF(((1000)-(c_TMAP3OUT))&gt;=0,1,-1)*QUOTIENT(((1000)-(c_TMAP3IN)),2))+2147483648,4294967296)-2147483648,((1000)-(c_TMAP3IN))*(((K43)-(c_TMAP3IN))*((1000)-(c_TMAP3OUT))+IF(((1000)-(c_TMAP3OUT))&gt;=0,1,-1)*QUOTIENT(((1000)-(c_TMAP3IN)),2)))&gt;=0,1,0)))</f>
        <v>-231</v>
      </c>
      <c r="Q43" s="7" t="str">
        <f aca="false">IF(K43&gt;=c_TFWD,IF(AND(K43&gt;=c_TMAP3IN,c_TMAP3IN&lt;1000),"Seg4 map3-100%",IF(AND(K43&gt;=c_TMAP2IN,c_TMAP3IN&gt;c_TMAP2IN),"Seg3 map2-map3",IF(AND(K43&gt;=c_TMAP1IN,c_TMAP2IN&gt;c_TMAP1IN),"Seg2 map1-map2","Seg1 TFWD-map1"))),IF(AND(K43=0,c_TCREEP&gt;0),"Creep",IF(AND(K43&lt;=c_TRNGMIN,K43&gt;=c_TRNGMAX,c_TRNGMIN-c_TRNGMAX&lt;&gt;0),"Regen ramp","Coast (0)")))</f>
        <v>Regen ramp</v>
      </c>
      <c r="R43" s="7" t="n">
        <f aca="false">IF(K43&gt;=c_TFWD,IF(AND(K43&gt;=c_TMAP3IN,c_TMAP3IN&lt;1000),P43,IF(AND(K43&gt;=c_TMAP2IN,c_TMAP3IN&gt;c_TMAP2IN),O43,IF(AND(K43&gt;=c_TMAP1IN,c_TMAP2IN&gt;c_TMAP1IN),N43,M43))),L43)</f>
        <v>-350</v>
      </c>
      <c r="S43" s="7" t="str">
        <f aca="false">IF(R43&lt;-1090,"TOO LOW",IF(R43&gt;1090,"TOO HIGH",""))</f>
        <v/>
      </c>
      <c r="T43" s="15" t="n">
        <f aca="false">IF(H43&lt;&gt;"OK",0,IF(S43&lt;&gt;"",0,IF(R43&gt;979,1000,R43)))</f>
        <v>-350</v>
      </c>
      <c r="U43" s="7" t="n">
        <f aca="false">T43/10</f>
        <v>-35</v>
      </c>
    </row>
    <row r="44" customFormat="false" ht="15" hidden="false" customHeight="false" outlineLevel="0" collapsed="false">
      <c r="A44" s="7" t="n">
        <v>39</v>
      </c>
      <c r="B44" s="7" t="n">
        <f aca="false">ROUND(o_SWSTART+A44*(o_SWEND-o_SWSTART)/400,0)</f>
        <v>399</v>
      </c>
      <c r="C44" s="7" t="n">
        <f aca="false">QUOTIENT((B44-c_OFF1)*c_GAIN1,1024)</f>
        <v>399</v>
      </c>
      <c r="D44" s="7" t="n">
        <f aca="false">IF(((c_T1MX)-(c_T1MN))=0,(0)+QUOTIENT(((1000)-(0)),2),QUOTIENT((((C44)-(c_T1MN))*((1000)-(0))+IF(((1000)-(0))&gt;=0,1,-1)*QUOTIENT(((c_T1MX)-(c_T1MN)),2)),((c_T1MX)-(c_T1MN)))+(0)+IF(((1000)-(0))&gt;=0,IF(IF(o_WRAP=1,MOD(((c_T1MX)-(c_T1MN))*(((C44)-(c_T1MN))*((1000)-(0))+IF(((1000)-(0))&gt;=0,1,-1)*QUOTIENT(((c_T1MX)-(c_T1MN)),2))+2147483648,4294967296)-2147483648,((c_T1MX)-(c_T1MN))*(((C44)-(c_T1MN))*((1000)-(0))+IF(((1000)-(0))&gt;=0,1,-1)*QUOTIENT(((c_T1MX)-(c_T1MN)),2)))&lt;0,-1,0),IF(IF(o_WRAP=1,MOD(((c_T1MX)-(c_T1MN))*(((C44)-(c_T1MN))*((1000)-(0))+IF(((1000)-(0))&gt;=0,1,-1)*QUOTIENT(((c_T1MX)-(c_T1MN)),2))+2147483648,4294967296)-2147483648,((c_T1MX)-(c_T1MN))*(((C44)-(c_T1MN))*((1000)-(0))+IF(((1000)-(0))&gt;=0,1,-1)*QUOTIENT(((c_T1MX)-(c_T1MN)),2)))&gt;=0,1,0)))</f>
        <v>-114</v>
      </c>
      <c r="E44" s="7" t="n">
        <f aca="false">IF(AND(c_TPOT=1,c_TTYPE=2),1000-D44,D44)</f>
        <v>-114</v>
      </c>
      <c r="F44" s="7" t="str">
        <f aca="false">IF(c_TPOT&gt;1,ROUND(IF(c_TTYPE=2,c_T2MX-IF(c_T1MX=c_T1MN,0,(C44-c_T1MN)/(c_T1MX-c_T1MN))*(c_T2MX-c_T2MN),c_T2MN+IF(c_T1MX=c_T1MN,0,(C44-c_T1MN)/(c_T1MX-c_T1MN))*(c_T2MX-c_T2MN))+o_MISMATCH,0),"")</f>
        <v/>
      </c>
      <c r="G44" s="7" t="str">
        <f aca="false">IF(c_TPOT&gt;1,IF(((c_T2MX)-(c_T2MN))=0,(0)+QUOTIENT(((1000)-(0)),2),QUOTIENT((((F44)-(c_T2MN))*((1000)-(0))+IF(((1000)-(0))&gt;=0,1,-1)*QUOTIENT(((c_T2MX)-(c_T2MN)),2)),((c_T2MX)-(c_T2MN)))+(0)+IF(((1000)-(0))&gt;=0,IF(IF(o_WRAP=1,MOD(((c_T2MX)-(c_T2MN))*(((F44)-(c_T2MN))*((1000)-(0))+IF(((1000)-(0))&gt;=0,1,-1)*QUOTIENT(((c_T2MX)-(c_T2MN)),2))+2147483648,4294967296)-2147483648,((c_T2MX)-(c_T2MN))*(((F44)-(c_T2MN))*((1000)-(0))+IF(((1000)-(0))&gt;=0,1,-1)*QUOTIENT(((c_T2MX)-(c_T2MN)),2)))&lt;0,-1,0),IF(IF(o_WRAP=1,MOD(((c_T2MX)-(c_T2MN))*(((F44)-(c_T2MN))*((1000)-(0))+IF(((1000)-(0))&gt;=0,1,-1)*QUOTIENT(((c_T2MX)-(c_T2MN)),2))+2147483648,4294967296)-2147483648,((c_T2MX)-(c_T2MN))*(((F44)-(c_T2MN))*((1000)-(0))+IF(((1000)-(0))&gt;=0,1,-1)*QUOTIENT(((c_T2MX)-(c_T2MN)),2)))&gt;=0,1,0))),"")</f>
        <v/>
      </c>
      <c r="H44" s="7" t="str">
        <f aca="false">IF(E44&gt;1000+k_TOL,"T1 HIGH",IF(E44&lt;0-k_TOL,"T1 LOW",IF(c_TPOT&gt;1,IF(G44&gt;1000+k_TOL,"T2 HIGH",IF(G44&lt;0-k_TOL,"T2 LOW",IF(c_TTYPE=2,IF(ABS(1000-MAX(0,MIN(1000,E44))-MAX(0,MIN(1000,G44)))&gt;k_MAXERR,"MISMATCH","OK"),IF(OR(MAX(0,MIN(1000,E44))-k_MAXERR&gt;MAX(0,MIN(1000,G44)),MAX(0,MIN(1000,G44))-k_MAXERR&gt;MAX(0,MIN(1000,E44))),"MISMATCH","OK")))),"OK")))</f>
        <v>OK</v>
      </c>
      <c r="I44" s="7" t="n">
        <f aca="false">MAX(0,MIN(1000,D44))</f>
        <v>0</v>
      </c>
      <c r="J44" s="7" t="str">
        <f aca="false">IF(c_TPOT&gt;1,IF(c_TTYPE=2,1000-MAX(0,MIN(1000,G44)),MAX(0,MIN(1000,G44))),"")</f>
        <v/>
      </c>
      <c r="K44" s="7" t="n">
        <f aca="false">IF(c_TPOT&gt;1,QUOTIENT(I44+J44,2),I44)</f>
        <v>0</v>
      </c>
      <c r="L44" s="7" t="n">
        <f aca="false">IF(AND(K44=0,c_TCREEP&gt;0),10*c_TCREEP,IF(AND(K44&lt;=c_TRNGMIN,K44&gt;=c_TRNGMAX,c_TRNGMIN-c_TRNGMAX&lt;&gt;0),-10*c_TMINRN+QUOTIENT((c_TMAXRN-c_TMINRN)*(100-QUOTIENT((K44-c_TRNGMAX)*100,c_TRNGMIN-c_TRNGMAX)),-10),0))</f>
        <v>-350</v>
      </c>
      <c r="M44" s="7" t="n">
        <f aca="false">IF(((c_TMAP1IN)-(c_TFWD))=0,(0)+QUOTIENT(((c_TMAP1OUT)-(0)),2),QUOTIENT((((K44)-(c_TFWD))*((c_TMAP1OUT)-(0))+IF(((c_TMAP1OUT)-(0))&gt;=0,1,-1)*QUOTIENT(((c_TMAP1IN)-(c_TFWD)),2)),((c_TMAP1IN)-(c_TFWD)))+(0)+IF(((c_TMAP1OUT)-(0))&gt;=0,IF(IF(o_WRAP=1,MOD(((c_TMAP1IN)-(c_TFWD))*(((K44)-(c_TFWD))*((c_TMAP1OUT)-(0))+IF(((c_TMAP1OUT)-(0))&gt;=0,1,-1)*QUOTIENT(((c_TMAP1IN)-(c_TFWD)),2))+2147483648,4294967296)-2147483648,((c_TMAP1IN)-(c_TFWD))*(((K44)-(c_TFWD))*((c_TMAP1OUT)-(0))+IF(((c_TMAP1OUT)-(0))&gt;=0,1,-1)*QUOTIENT(((c_TMAP1IN)-(c_TFWD)),2)))&lt;0,-1,0),IF(IF(o_WRAP=1,MOD(((c_TMAP1IN)-(c_TFWD))*(((K44)-(c_TFWD))*((c_TMAP1OUT)-(0))+IF(((c_TMAP1OUT)-(0))&gt;=0,1,-1)*QUOTIENT(((c_TMAP1IN)-(c_TFWD)),2))+2147483648,4294967296)-2147483648,((c_TMAP1IN)-(c_TFWD))*(((K44)-(c_TFWD))*((c_TMAP1OUT)-(0))+IF(((c_TMAP1OUT)-(0))&gt;=0,1,-1)*QUOTIENT(((c_TMAP1IN)-(c_TFWD)),2)))&gt;=0,1,0)))</f>
        <v>-8</v>
      </c>
      <c r="N44" s="7" t="n">
        <f aca="false">IF(((c_TMAP2IN)-(c_TMAP1IN))=0,(c_TMAP1OUT)+QUOTIENT(((c_TMAP2OUT)-(c_TMAP1OUT)),2),QUOTIENT((((K44)-(c_TMAP1IN))*((c_TMAP2OUT)-(c_TMAP1OUT))+IF(((c_TMAP2OUT)-(c_TMAP1OUT))&gt;=0,1,-1)*QUOTIENT(((c_TMAP2IN)-(c_TMAP1IN)),2)),((c_TMAP2IN)-(c_TMAP1IN)))+(c_TMAP1OUT)+IF(((c_TMAP2OUT)-(c_TMAP1OUT))&gt;=0,IF(IF(o_WRAP=1,MOD(((c_TMAP2IN)-(c_TMAP1IN))*(((K44)-(c_TMAP1IN))*((c_TMAP2OUT)-(c_TMAP1OUT))+IF(((c_TMAP2OUT)-(c_TMAP1OUT))&gt;=0,1,-1)*QUOTIENT(((c_TMAP2IN)-(c_TMAP1IN)),2))+2147483648,4294967296)-2147483648,((c_TMAP2IN)-(c_TMAP1IN))*(((K44)-(c_TMAP1IN))*((c_TMAP2OUT)-(c_TMAP1OUT))+IF(((c_TMAP2OUT)-(c_TMAP1OUT))&gt;=0,1,-1)*QUOTIENT(((c_TMAP2IN)-(c_TMAP1IN)),2)))&lt;0,-1,0),IF(IF(o_WRAP=1,MOD(((c_TMAP2IN)-(c_TMAP1IN))*(((K44)-(c_TMAP1IN))*((c_TMAP2OUT)-(c_TMAP1OUT))+IF(((c_TMAP2OUT)-(c_TMAP1OUT))&gt;=0,1,-1)*QUOTIENT(((c_TMAP2IN)-(c_TMAP1IN)),2))+2147483648,4294967296)-2147483648,((c_TMAP2IN)-(c_TMAP1IN))*(((K44)-(c_TMAP1IN))*((c_TMAP2OUT)-(c_TMAP1OUT))+IF(((c_TMAP2OUT)-(c_TMAP1OUT))&gt;=0,1,-1)*QUOTIENT(((c_TMAP2IN)-(c_TMAP1IN)),2)))&gt;=0,1,0)))</f>
        <v>30</v>
      </c>
      <c r="O44" s="7" t="n">
        <f aca="false">IF(((c_TMAP3IN)-(c_TMAP2IN))=0,(c_TMAP2OUT)+QUOTIENT(((c_TMAP3OUT)-(c_TMAP2OUT)),2),QUOTIENT((((K44)-(c_TMAP2IN))*((c_TMAP3OUT)-(c_TMAP2OUT))+IF(((c_TMAP3OUT)-(c_TMAP2OUT))&gt;=0,1,-1)*QUOTIENT(((c_TMAP3IN)-(c_TMAP2IN)),2)),((c_TMAP3IN)-(c_TMAP2IN)))+(c_TMAP2OUT)+IF(((c_TMAP3OUT)-(c_TMAP2OUT))&gt;=0,IF(IF(o_WRAP=1,MOD(((c_TMAP3IN)-(c_TMAP2IN))*(((K44)-(c_TMAP2IN))*((c_TMAP3OUT)-(c_TMAP2OUT))+IF(((c_TMAP3OUT)-(c_TMAP2OUT))&gt;=0,1,-1)*QUOTIENT(((c_TMAP3IN)-(c_TMAP2IN)),2))+2147483648,4294967296)-2147483648,((c_TMAP3IN)-(c_TMAP2IN))*(((K44)-(c_TMAP2IN))*((c_TMAP3OUT)-(c_TMAP2OUT))+IF(((c_TMAP3OUT)-(c_TMAP2OUT))&gt;=0,1,-1)*QUOTIENT(((c_TMAP3IN)-(c_TMAP2IN)),2)))&lt;0,-1,0),IF(IF(o_WRAP=1,MOD(((c_TMAP3IN)-(c_TMAP2IN))*(((K44)-(c_TMAP2IN))*((c_TMAP3OUT)-(c_TMAP2OUT))+IF(((c_TMAP3OUT)-(c_TMAP2OUT))&gt;=0,1,-1)*QUOTIENT(((c_TMAP3IN)-(c_TMAP2IN)),2))+2147483648,4294967296)-2147483648,((c_TMAP3IN)-(c_TMAP2IN))*(((K44)-(c_TMAP2IN))*((c_TMAP3OUT)-(c_TMAP2OUT))+IF(((c_TMAP3OUT)-(c_TMAP2OUT))&gt;=0,1,-1)*QUOTIENT(((c_TMAP3IN)-(c_TMAP2IN)),2)))&gt;=0,1,0)))</f>
        <v>-45</v>
      </c>
      <c r="P44" s="7" t="n">
        <f aca="false">IF(((1000)-(c_TMAP3IN))=0,(c_TMAP3OUT)+QUOTIENT(((1000)-(c_TMAP3OUT)),2),QUOTIENT((((K44)-(c_TMAP3IN))*((1000)-(c_TMAP3OUT))+IF(((1000)-(c_TMAP3OUT))&gt;=0,1,-1)*QUOTIENT(((1000)-(c_TMAP3IN)),2)),((1000)-(c_TMAP3IN)))+(c_TMAP3OUT)+IF(((1000)-(c_TMAP3OUT))&gt;=0,IF(IF(o_WRAP=1,MOD(((1000)-(c_TMAP3IN))*(((K44)-(c_TMAP3IN))*((1000)-(c_TMAP3OUT))+IF(((1000)-(c_TMAP3OUT))&gt;=0,1,-1)*QUOTIENT(((1000)-(c_TMAP3IN)),2))+2147483648,4294967296)-2147483648,((1000)-(c_TMAP3IN))*(((K44)-(c_TMAP3IN))*((1000)-(c_TMAP3OUT))+IF(((1000)-(c_TMAP3OUT))&gt;=0,1,-1)*QUOTIENT(((1000)-(c_TMAP3IN)),2)))&lt;0,-1,0),IF(IF(o_WRAP=1,MOD(((1000)-(c_TMAP3IN))*(((K44)-(c_TMAP3IN))*((1000)-(c_TMAP3OUT))+IF(((1000)-(c_TMAP3OUT))&gt;=0,1,-1)*QUOTIENT(((1000)-(c_TMAP3IN)),2))+2147483648,4294967296)-2147483648,((1000)-(c_TMAP3IN))*(((K44)-(c_TMAP3IN))*((1000)-(c_TMAP3OUT))+IF(((1000)-(c_TMAP3OUT))&gt;=0,1,-1)*QUOTIENT(((1000)-(c_TMAP3IN)),2)))&gt;=0,1,0)))</f>
        <v>-231</v>
      </c>
      <c r="Q44" s="7" t="str">
        <f aca="false">IF(K44&gt;=c_TFWD,IF(AND(K44&gt;=c_TMAP3IN,c_TMAP3IN&lt;1000),"Seg4 map3-100%",IF(AND(K44&gt;=c_TMAP2IN,c_TMAP3IN&gt;c_TMAP2IN),"Seg3 map2-map3",IF(AND(K44&gt;=c_TMAP1IN,c_TMAP2IN&gt;c_TMAP1IN),"Seg2 map1-map2","Seg1 TFWD-map1"))),IF(AND(K44=0,c_TCREEP&gt;0),"Creep",IF(AND(K44&lt;=c_TRNGMIN,K44&gt;=c_TRNGMAX,c_TRNGMIN-c_TRNGMAX&lt;&gt;0),"Regen ramp","Coast (0)")))</f>
        <v>Regen ramp</v>
      </c>
      <c r="R44" s="7" t="n">
        <f aca="false">IF(K44&gt;=c_TFWD,IF(AND(K44&gt;=c_TMAP3IN,c_TMAP3IN&lt;1000),P44,IF(AND(K44&gt;=c_TMAP2IN,c_TMAP3IN&gt;c_TMAP2IN),O44,IF(AND(K44&gt;=c_TMAP1IN,c_TMAP2IN&gt;c_TMAP1IN),N44,M44))),L44)</f>
        <v>-350</v>
      </c>
      <c r="S44" s="7" t="str">
        <f aca="false">IF(R44&lt;-1090,"TOO LOW",IF(R44&gt;1090,"TOO HIGH",""))</f>
        <v/>
      </c>
      <c r="T44" s="15" t="n">
        <f aca="false">IF(H44&lt;&gt;"OK",0,IF(S44&lt;&gt;"",0,IF(R44&gt;979,1000,R44)))</f>
        <v>-350</v>
      </c>
      <c r="U44" s="7" t="n">
        <f aca="false">T44/10</f>
        <v>-35</v>
      </c>
    </row>
    <row r="45" customFormat="false" ht="15" hidden="false" customHeight="false" outlineLevel="0" collapsed="false">
      <c r="A45" s="7" t="n">
        <v>40</v>
      </c>
      <c r="B45" s="7" t="n">
        <f aca="false">ROUND(o_SWSTART+A45*(o_SWEND-o_SWSTART)/400,0)</f>
        <v>410</v>
      </c>
      <c r="C45" s="7" t="n">
        <f aca="false">QUOTIENT((B45-c_OFF1)*c_GAIN1,1024)</f>
        <v>410</v>
      </c>
      <c r="D45" s="7" t="n">
        <f aca="false">IF(((c_T1MX)-(c_T1MN))=0,(0)+QUOTIENT(((1000)-(0)),2),QUOTIENT((((C45)-(c_T1MN))*((1000)-(0))+IF(((1000)-(0))&gt;=0,1,-1)*QUOTIENT(((c_T1MX)-(c_T1MN)),2)),((c_T1MX)-(c_T1MN)))+(0)+IF(((1000)-(0))&gt;=0,IF(IF(o_WRAP=1,MOD(((c_T1MX)-(c_T1MN))*(((C45)-(c_T1MN))*((1000)-(0))+IF(((1000)-(0))&gt;=0,1,-1)*QUOTIENT(((c_T1MX)-(c_T1MN)),2))+2147483648,4294967296)-2147483648,((c_T1MX)-(c_T1MN))*(((C45)-(c_T1MN))*((1000)-(0))+IF(((1000)-(0))&gt;=0,1,-1)*QUOTIENT(((c_T1MX)-(c_T1MN)),2)))&lt;0,-1,0),IF(IF(o_WRAP=1,MOD(((c_T1MX)-(c_T1MN))*(((C45)-(c_T1MN))*((1000)-(0))+IF(((1000)-(0))&gt;=0,1,-1)*QUOTIENT(((c_T1MX)-(c_T1MN)),2))+2147483648,4294967296)-2147483648,((c_T1MX)-(c_T1MN))*(((C45)-(c_T1MN))*((1000)-(0))+IF(((1000)-(0))&gt;=0,1,-1)*QUOTIENT(((c_T1MX)-(c_T1MN)),2)))&gt;=0,1,0)))</f>
        <v>-110</v>
      </c>
      <c r="E45" s="7" t="n">
        <f aca="false">IF(AND(c_TPOT=1,c_TTYPE=2),1000-D45,D45)</f>
        <v>-110</v>
      </c>
      <c r="F45" s="7" t="str">
        <f aca="false">IF(c_TPOT&gt;1,ROUND(IF(c_TTYPE=2,c_T2MX-IF(c_T1MX=c_T1MN,0,(C45-c_T1MN)/(c_T1MX-c_T1MN))*(c_T2MX-c_T2MN),c_T2MN+IF(c_T1MX=c_T1MN,0,(C45-c_T1MN)/(c_T1MX-c_T1MN))*(c_T2MX-c_T2MN))+o_MISMATCH,0),"")</f>
        <v/>
      </c>
      <c r="G45" s="7" t="str">
        <f aca="false">IF(c_TPOT&gt;1,IF(((c_T2MX)-(c_T2MN))=0,(0)+QUOTIENT(((1000)-(0)),2),QUOTIENT((((F45)-(c_T2MN))*((1000)-(0))+IF(((1000)-(0))&gt;=0,1,-1)*QUOTIENT(((c_T2MX)-(c_T2MN)),2)),((c_T2MX)-(c_T2MN)))+(0)+IF(((1000)-(0))&gt;=0,IF(IF(o_WRAP=1,MOD(((c_T2MX)-(c_T2MN))*(((F45)-(c_T2MN))*((1000)-(0))+IF(((1000)-(0))&gt;=0,1,-1)*QUOTIENT(((c_T2MX)-(c_T2MN)),2))+2147483648,4294967296)-2147483648,((c_T2MX)-(c_T2MN))*(((F45)-(c_T2MN))*((1000)-(0))+IF(((1000)-(0))&gt;=0,1,-1)*QUOTIENT(((c_T2MX)-(c_T2MN)),2)))&lt;0,-1,0),IF(IF(o_WRAP=1,MOD(((c_T2MX)-(c_T2MN))*(((F45)-(c_T2MN))*((1000)-(0))+IF(((1000)-(0))&gt;=0,1,-1)*QUOTIENT(((c_T2MX)-(c_T2MN)),2))+2147483648,4294967296)-2147483648,((c_T2MX)-(c_T2MN))*(((F45)-(c_T2MN))*((1000)-(0))+IF(((1000)-(0))&gt;=0,1,-1)*QUOTIENT(((c_T2MX)-(c_T2MN)),2)))&gt;=0,1,0))),"")</f>
        <v/>
      </c>
      <c r="H45" s="7" t="str">
        <f aca="false">IF(E45&gt;1000+k_TOL,"T1 HIGH",IF(E45&lt;0-k_TOL,"T1 LOW",IF(c_TPOT&gt;1,IF(G45&gt;1000+k_TOL,"T2 HIGH",IF(G45&lt;0-k_TOL,"T2 LOW",IF(c_TTYPE=2,IF(ABS(1000-MAX(0,MIN(1000,E45))-MAX(0,MIN(1000,G45)))&gt;k_MAXERR,"MISMATCH","OK"),IF(OR(MAX(0,MIN(1000,E45))-k_MAXERR&gt;MAX(0,MIN(1000,G45)),MAX(0,MIN(1000,G45))-k_MAXERR&gt;MAX(0,MIN(1000,E45))),"MISMATCH","OK")))),"OK")))</f>
        <v>OK</v>
      </c>
      <c r="I45" s="7" t="n">
        <f aca="false">MAX(0,MIN(1000,D45))</f>
        <v>0</v>
      </c>
      <c r="J45" s="7" t="str">
        <f aca="false">IF(c_TPOT&gt;1,IF(c_TTYPE=2,1000-MAX(0,MIN(1000,G45)),MAX(0,MIN(1000,G45))),"")</f>
        <v/>
      </c>
      <c r="K45" s="7" t="n">
        <f aca="false">IF(c_TPOT&gt;1,QUOTIENT(I45+J45,2),I45)</f>
        <v>0</v>
      </c>
      <c r="L45" s="7" t="n">
        <f aca="false">IF(AND(K45=0,c_TCREEP&gt;0),10*c_TCREEP,IF(AND(K45&lt;=c_TRNGMIN,K45&gt;=c_TRNGMAX,c_TRNGMIN-c_TRNGMAX&lt;&gt;0),-10*c_TMINRN+QUOTIENT((c_TMAXRN-c_TMINRN)*(100-QUOTIENT((K45-c_TRNGMAX)*100,c_TRNGMIN-c_TRNGMAX)),-10),0))</f>
        <v>-350</v>
      </c>
      <c r="M45" s="7" t="n">
        <f aca="false">IF(((c_TMAP1IN)-(c_TFWD))=0,(0)+QUOTIENT(((c_TMAP1OUT)-(0)),2),QUOTIENT((((K45)-(c_TFWD))*((c_TMAP1OUT)-(0))+IF(((c_TMAP1OUT)-(0))&gt;=0,1,-1)*QUOTIENT(((c_TMAP1IN)-(c_TFWD)),2)),((c_TMAP1IN)-(c_TFWD)))+(0)+IF(((c_TMAP1OUT)-(0))&gt;=0,IF(IF(o_WRAP=1,MOD(((c_TMAP1IN)-(c_TFWD))*(((K45)-(c_TFWD))*((c_TMAP1OUT)-(0))+IF(((c_TMAP1OUT)-(0))&gt;=0,1,-1)*QUOTIENT(((c_TMAP1IN)-(c_TFWD)),2))+2147483648,4294967296)-2147483648,((c_TMAP1IN)-(c_TFWD))*(((K45)-(c_TFWD))*((c_TMAP1OUT)-(0))+IF(((c_TMAP1OUT)-(0))&gt;=0,1,-1)*QUOTIENT(((c_TMAP1IN)-(c_TFWD)),2)))&lt;0,-1,0),IF(IF(o_WRAP=1,MOD(((c_TMAP1IN)-(c_TFWD))*(((K45)-(c_TFWD))*((c_TMAP1OUT)-(0))+IF(((c_TMAP1OUT)-(0))&gt;=0,1,-1)*QUOTIENT(((c_TMAP1IN)-(c_TFWD)),2))+2147483648,4294967296)-2147483648,((c_TMAP1IN)-(c_TFWD))*(((K45)-(c_TFWD))*((c_TMAP1OUT)-(0))+IF(((c_TMAP1OUT)-(0))&gt;=0,1,-1)*QUOTIENT(((c_TMAP1IN)-(c_TFWD)),2)))&gt;=0,1,0)))</f>
        <v>-8</v>
      </c>
      <c r="N45" s="7" t="n">
        <f aca="false">IF(((c_TMAP2IN)-(c_TMAP1IN))=0,(c_TMAP1OUT)+QUOTIENT(((c_TMAP2OUT)-(c_TMAP1OUT)),2),QUOTIENT((((K45)-(c_TMAP1IN))*((c_TMAP2OUT)-(c_TMAP1OUT))+IF(((c_TMAP2OUT)-(c_TMAP1OUT))&gt;=0,1,-1)*QUOTIENT(((c_TMAP2IN)-(c_TMAP1IN)),2)),((c_TMAP2IN)-(c_TMAP1IN)))+(c_TMAP1OUT)+IF(((c_TMAP2OUT)-(c_TMAP1OUT))&gt;=0,IF(IF(o_WRAP=1,MOD(((c_TMAP2IN)-(c_TMAP1IN))*(((K45)-(c_TMAP1IN))*((c_TMAP2OUT)-(c_TMAP1OUT))+IF(((c_TMAP2OUT)-(c_TMAP1OUT))&gt;=0,1,-1)*QUOTIENT(((c_TMAP2IN)-(c_TMAP1IN)),2))+2147483648,4294967296)-2147483648,((c_TMAP2IN)-(c_TMAP1IN))*(((K45)-(c_TMAP1IN))*((c_TMAP2OUT)-(c_TMAP1OUT))+IF(((c_TMAP2OUT)-(c_TMAP1OUT))&gt;=0,1,-1)*QUOTIENT(((c_TMAP2IN)-(c_TMAP1IN)),2)))&lt;0,-1,0),IF(IF(o_WRAP=1,MOD(((c_TMAP2IN)-(c_TMAP1IN))*(((K45)-(c_TMAP1IN))*((c_TMAP2OUT)-(c_TMAP1OUT))+IF(((c_TMAP2OUT)-(c_TMAP1OUT))&gt;=0,1,-1)*QUOTIENT(((c_TMAP2IN)-(c_TMAP1IN)),2))+2147483648,4294967296)-2147483648,((c_TMAP2IN)-(c_TMAP1IN))*(((K45)-(c_TMAP1IN))*((c_TMAP2OUT)-(c_TMAP1OUT))+IF(((c_TMAP2OUT)-(c_TMAP1OUT))&gt;=0,1,-1)*QUOTIENT(((c_TMAP2IN)-(c_TMAP1IN)),2)))&gt;=0,1,0)))</f>
        <v>30</v>
      </c>
      <c r="O45" s="7" t="n">
        <f aca="false">IF(((c_TMAP3IN)-(c_TMAP2IN))=0,(c_TMAP2OUT)+QUOTIENT(((c_TMAP3OUT)-(c_TMAP2OUT)),2),QUOTIENT((((K45)-(c_TMAP2IN))*((c_TMAP3OUT)-(c_TMAP2OUT))+IF(((c_TMAP3OUT)-(c_TMAP2OUT))&gt;=0,1,-1)*QUOTIENT(((c_TMAP3IN)-(c_TMAP2IN)),2)),((c_TMAP3IN)-(c_TMAP2IN)))+(c_TMAP2OUT)+IF(((c_TMAP3OUT)-(c_TMAP2OUT))&gt;=0,IF(IF(o_WRAP=1,MOD(((c_TMAP3IN)-(c_TMAP2IN))*(((K45)-(c_TMAP2IN))*((c_TMAP3OUT)-(c_TMAP2OUT))+IF(((c_TMAP3OUT)-(c_TMAP2OUT))&gt;=0,1,-1)*QUOTIENT(((c_TMAP3IN)-(c_TMAP2IN)),2))+2147483648,4294967296)-2147483648,((c_TMAP3IN)-(c_TMAP2IN))*(((K45)-(c_TMAP2IN))*((c_TMAP3OUT)-(c_TMAP2OUT))+IF(((c_TMAP3OUT)-(c_TMAP2OUT))&gt;=0,1,-1)*QUOTIENT(((c_TMAP3IN)-(c_TMAP2IN)),2)))&lt;0,-1,0),IF(IF(o_WRAP=1,MOD(((c_TMAP3IN)-(c_TMAP2IN))*(((K45)-(c_TMAP2IN))*((c_TMAP3OUT)-(c_TMAP2OUT))+IF(((c_TMAP3OUT)-(c_TMAP2OUT))&gt;=0,1,-1)*QUOTIENT(((c_TMAP3IN)-(c_TMAP2IN)),2))+2147483648,4294967296)-2147483648,((c_TMAP3IN)-(c_TMAP2IN))*(((K45)-(c_TMAP2IN))*((c_TMAP3OUT)-(c_TMAP2OUT))+IF(((c_TMAP3OUT)-(c_TMAP2OUT))&gt;=0,1,-1)*QUOTIENT(((c_TMAP3IN)-(c_TMAP2IN)),2)))&gt;=0,1,0)))</f>
        <v>-45</v>
      </c>
      <c r="P45" s="7" t="n">
        <f aca="false">IF(((1000)-(c_TMAP3IN))=0,(c_TMAP3OUT)+QUOTIENT(((1000)-(c_TMAP3OUT)),2),QUOTIENT((((K45)-(c_TMAP3IN))*((1000)-(c_TMAP3OUT))+IF(((1000)-(c_TMAP3OUT))&gt;=0,1,-1)*QUOTIENT(((1000)-(c_TMAP3IN)),2)),((1000)-(c_TMAP3IN)))+(c_TMAP3OUT)+IF(((1000)-(c_TMAP3OUT))&gt;=0,IF(IF(o_WRAP=1,MOD(((1000)-(c_TMAP3IN))*(((K45)-(c_TMAP3IN))*((1000)-(c_TMAP3OUT))+IF(((1000)-(c_TMAP3OUT))&gt;=0,1,-1)*QUOTIENT(((1000)-(c_TMAP3IN)),2))+2147483648,4294967296)-2147483648,((1000)-(c_TMAP3IN))*(((K45)-(c_TMAP3IN))*((1000)-(c_TMAP3OUT))+IF(((1000)-(c_TMAP3OUT))&gt;=0,1,-1)*QUOTIENT(((1000)-(c_TMAP3IN)),2)))&lt;0,-1,0),IF(IF(o_WRAP=1,MOD(((1000)-(c_TMAP3IN))*(((K45)-(c_TMAP3IN))*((1000)-(c_TMAP3OUT))+IF(((1000)-(c_TMAP3OUT))&gt;=0,1,-1)*QUOTIENT(((1000)-(c_TMAP3IN)),2))+2147483648,4294967296)-2147483648,((1000)-(c_TMAP3IN))*(((K45)-(c_TMAP3IN))*((1000)-(c_TMAP3OUT))+IF(((1000)-(c_TMAP3OUT))&gt;=0,1,-1)*QUOTIENT(((1000)-(c_TMAP3IN)),2)))&gt;=0,1,0)))</f>
        <v>-231</v>
      </c>
      <c r="Q45" s="7" t="str">
        <f aca="false">IF(K45&gt;=c_TFWD,IF(AND(K45&gt;=c_TMAP3IN,c_TMAP3IN&lt;1000),"Seg4 map3-100%",IF(AND(K45&gt;=c_TMAP2IN,c_TMAP3IN&gt;c_TMAP2IN),"Seg3 map2-map3",IF(AND(K45&gt;=c_TMAP1IN,c_TMAP2IN&gt;c_TMAP1IN),"Seg2 map1-map2","Seg1 TFWD-map1"))),IF(AND(K45=0,c_TCREEP&gt;0),"Creep",IF(AND(K45&lt;=c_TRNGMIN,K45&gt;=c_TRNGMAX,c_TRNGMIN-c_TRNGMAX&lt;&gt;0),"Regen ramp","Coast (0)")))</f>
        <v>Regen ramp</v>
      </c>
      <c r="R45" s="7" t="n">
        <f aca="false">IF(K45&gt;=c_TFWD,IF(AND(K45&gt;=c_TMAP3IN,c_TMAP3IN&lt;1000),P45,IF(AND(K45&gt;=c_TMAP2IN,c_TMAP3IN&gt;c_TMAP2IN),O45,IF(AND(K45&gt;=c_TMAP1IN,c_TMAP2IN&gt;c_TMAP1IN),N45,M45))),L45)</f>
        <v>-350</v>
      </c>
      <c r="S45" s="7" t="str">
        <f aca="false">IF(R45&lt;-1090,"TOO LOW",IF(R45&gt;1090,"TOO HIGH",""))</f>
        <v/>
      </c>
      <c r="T45" s="15" t="n">
        <f aca="false">IF(H45&lt;&gt;"OK",0,IF(S45&lt;&gt;"",0,IF(R45&gt;979,1000,R45)))</f>
        <v>-350</v>
      </c>
      <c r="U45" s="7" t="n">
        <f aca="false">T45/10</f>
        <v>-35</v>
      </c>
    </row>
    <row r="46" customFormat="false" ht="15" hidden="false" customHeight="false" outlineLevel="0" collapsed="false">
      <c r="A46" s="7" t="n">
        <v>41</v>
      </c>
      <c r="B46" s="7" t="n">
        <f aca="false">ROUND(o_SWSTART+A46*(o_SWEND-o_SWSTART)/400,0)</f>
        <v>420</v>
      </c>
      <c r="C46" s="7" t="n">
        <f aca="false">QUOTIENT((B46-c_OFF1)*c_GAIN1,1024)</f>
        <v>420</v>
      </c>
      <c r="D46" s="7" t="n">
        <f aca="false">IF(((c_T1MX)-(c_T1MN))=0,(0)+QUOTIENT(((1000)-(0)),2),QUOTIENT((((C46)-(c_T1MN))*((1000)-(0))+IF(((1000)-(0))&gt;=0,1,-1)*QUOTIENT(((c_T1MX)-(c_T1MN)),2)),((c_T1MX)-(c_T1MN)))+(0)+IF(((1000)-(0))&gt;=0,IF(IF(o_WRAP=1,MOD(((c_T1MX)-(c_T1MN))*(((C46)-(c_T1MN))*((1000)-(0))+IF(((1000)-(0))&gt;=0,1,-1)*QUOTIENT(((c_T1MX)-(c_T1MN)),2))+2147483648,4294967296)-2147483648,((c_T1MX)-(c_T1MN))*(((C46)-(c_T1MN))*((1000)-(0))+IF(((1000)-(0))&gt;=0,1,-1)*QUOTIENT(((c_T1MX)-(c_T1MN)),2)))&lt;0,-1,0),IF(IF(o_WRAP=1,MOD(((c_T1MX)-(c_T1MN))*(((C46)-(c_T1MN))*((1000)-(0))+IF(((1000)-(0))&gt;=0,1,-1)*QUOTIENT(((c_T1MX)-(c_T1MN)),2))+2147483648,4294967296)-2147483648,((c_T1MX)-(c_T1MN))*(((C46)-(c_T1MN))*((1000)-(0))+IF(((1000)-(0))&gt;=0,1,-1)*QUOTIENT(((c_T1MX)-(c_T1MN)),2)))&gt;=0,1,0)))</f>
        <v>-107</v>
      </c>
      <c r="E46" s="7" t="n">
        <f aca="false">IF(AND(c_TPOT=1,c_TTYPE=2),1000-D46,D46)</f>
        <v>-107</v>
      </c>
      <c r="F46" s="7" t="str">
        <f aca="false">IF(c_TPOT&gt;1,ROUND(IF(c_TTYPE=2,c_T2MX-IF(c_T1MX=c_T1MN,0,(C46-c_T1MN)/(c_T1MX-c_T1MN))*(c_T2MX-c_T2MN),c_T2MN+IF(c_T1MX=c_T1MN,0,(C46-c_T1MN)/(c_T1MX-c_T1MN))*(c_T2MX-c_T2MN))+o_MISMATCH,0),"")</f>
        <v/>
      </c>
      <c r="G46" s="7" t="str">
        <f aca="false">IF(c_TPOT&gt;1,IF(((c_T2MX)-(c_T2MN))=0,(0)+QUOTIENT(((1000)-(0)),2),QUOTIENT((((F46)-(c_T2MN))*((1000)-(0))+IF(((1000)-(0))&gt;=0,1,-1)*QUOTIENT(((c_T2MX)-(c_T2MN)),2)),((c_T2MX)-(c_T2MN)))+(0)+IF(((1000)-(0))&gt;=0,IF(IF(o_WRAP=1,MOD(((c_T2MX)-(c_T2MN))*(((F46)-(c_T2MN))*((1000)-(0))+IF(((1000)-(0))&gt;=0,1,-1)*QUOTIENT(((c_T2MX)-(c_T2MN)),2))+2147483648,4294967296)-2147483648,((c_T2MX)-(c_T2MN))*(((F46)-(c_T2MN))*((1000)-(0))+IF(((1000)-(0))&gt;=0,1,-1)*QUOTIENT(((c_T2MX)-(c_T2MN)),2)))&lt;0,-1,0),IF(IF(o_WRAP=1,MOD(((c_T2MX)-(c_T2MN))*(((F46)-(c_T2MN))*((1000)-(0))+IF(((1000)-(0))&gt;=0,1,-1)*QUOTIENT(((c_T2MX)-(c_T2MN)),2))+2147483648,4294967296)-2147483648,((c_T2MX)-(c_T2MN))*(((F46)-(c_T2MN))*((1000)-(0))+IF(((1000)-(0))&gt;=0,1,-1)*QUOTIENT(((c_T2MX)-(c_T2MN)),2)))&gt;=0,1,0))),"")</f>
        <v/>
      </c>
      <c r="H46" s="7" t="str">
        <f aca="false">IF(E46&gt;1000+k_TOL,"T1 HIGH",IF(E46&lt;0-k_TOL,"T1 LOW",IF(c_TPOT&gt;1,IF(G46&gt;1000+k_TOL,"T2 HIGH",IF(G46&lt;0-k_TOL,"T2 LOW",IF(c_TTYPE=2,IF(ABS(1000-MAX(0,MIN(1000,E46))-MAX(0,MIN(1000,G46)))&gt;k_MAXERR,"MISMATCH","OK"),IF(OR(MAX(0,MIN(1000,E46))-k_MAXERR&gt;MAX(0,MIN(1000,G46)),MAX(0,MIN(1000,G46))-k_MAXERR&gt;MAX(0,MIN(1000,E46))),"MISMATCH","OK")))),"OK")))</f>
        <v>OK</v>
      </c>
      <c r="I46" s="7" t="n">
        <f aca="false">MAX(0,MIN(1000,D46))</f>
        <v>0</v>
      </c>
      <c r="J46" s="7" t="str">
        <f aca="false">IF(c_TPOT&gt;1,IF(c_TTYPE=2,1000-MAX(0,MIN(1000,G46)),MAX(0,MIN(1000,G46))),"")</f>
        <v/>
      </c>
      <c r="K46" s="7" t="n">
        <f aca="false">IF(c_TPOT&gt;1,QUOTIENT(I46+J46,2),I46)</f>
        <v>0</v>
      </c>
      <c r="L46" s="7" t="n">
        <f aca="false">IF(AND(K46=0,c_TCREEP&gt;0),10*c_TCREEP,IF(AND(K46&lt;=c_TRNGMIN,K46&gt;=c_TRNGMAX,c_TRNGMIN-c_TRNGMAX&lt;&gt;0),-10*c_TMINRN+QUOTIENT((c_TMAXRN-c_TMINRN)*(100-QUOTIENT((K46-c_TRNGMAX)*100,c_TRNGMIN-c_TRNGMAX)),-10),0))</f>
        <v>-350</v>
      </c>
      <c r="M46" s="7" t="n">
        <f aca="false">IF(((c_TMAP1IN)-(c_TFWD))=0,(0)+QUOTIENT(((c_TMAP1OUT)-(0)),2),QUOTIENT((((K46)-(c_TFWD))*((c_TMAP1OUT)-(0))+IF(((c_TMAP1OUT)-(0))&gt;=0,1,-1)*QUOTIENT(((c_TMAP1IN)-(c_TFWD)),2)),((c_TMAP1IN)-(c_TFWD)))+(0)+IF(((c_TMAP1OUT)-(0))&gt;=0,IF(IF(o_WRAP=1,MOD(((c_TMAP1IN)-(c_TFWD))*(((K46)-(c_TFWD))*((c_TMAP1OUT)-(0))+IF(((c_TMAP1OUT)-(0))&gt;=0,1,-1)*QUOTIENT(((c_TMAP1IN)-(c_TFWD)),2))+2147483648,4294967296)-2147483648,((c_TMAP1IN)-(c_TFWD))*(((K46)-(c_TFWD))*((c_TMAP1OUT)-(0))+IF(((c_TMAP1OUT)-(0))&gt;=0,1,-1)*QUOTIENT(((c_TMAP1IN)-(c_TFWD)),2)))&lt;0,-1,0),IF(IF(o_WRAP=1,MOD(((c_TMAP1IN)-(c_TFWD))*(((K46)-(c_TFWD))*((c_TMAP1OUT)-(0))+IF(((c_TMAP1OUT)-(0))&gt;=0,1,-1)*QUOTIENT(((c_TMAP1IN)-(c_TFWD)),2))+2147483648,4294967296)-2147483648,((c_TMAP1IN)-(c_TFWD))*(((K46)-(c_TFWD))*((c_TMAP1OUT)-(0))+IF(((c_TMAP1OUT)-(0))&gt;=0,1,-1)*QUOTIENT(((c_TMAP1IN)-(c_TFWD)),2)))&gt;=0,1,0)))</f>
        <v>-8</v>
      </c>
      <c r="N46" s="7" t="n">
        <f aca="false">IF(((c_TMAP2IN)-(c_TMAP1IN))=0,(c_TMAP1OUT)+QUOTIENT(((c_TMAP2OUT)-(c_TMAP1OUT)),2),QUOTIENT((((K46)-(c_TMAP1IN))*((c_TMAP2OUT)-(c_TMAP1OUT))+IF(((c_TMAP2OUT)-(c_TMAP1OUT))&gt;=0,1,-1)*QUOTIENT(((c_TMAP2IN)-(c_TMAP1IN)),2)),((c_TMAP2IN)-(c_TMAP1IN)))+(c_TMAP1OUT)+IF(((c_TMAP2OUT)-(c_TMAP1OUT))&gt;=0,IF(IF(o_WRAP=1,MOD(((c_TMAP2IN)-(c_TMAP1IN))*(((K46)-(c_TMAP1IN))*((c_TMAP2OUT)-(c_TMAP1OUT))+IF(((c_TMAP2OUT)-(c_TMAP1OUT))&gt;=0,1,-1)*QUOTIENT(((c_TMAP2IN)-(c_TMAP1IN)),2))+2147483648,4294967296)-2147483648,((c_TMAP2IN)-(c_TMAP1IN))*(((K46)-(c_TMAP1IN))*((c_TMAP2OUT)-(c_TMAP1OUT))+IF(((c_TMAP2OUT)-(c_TMAP1OUT))&gt;=0,1,-1)*QUOTIENT(((c_TMAP2IN)-(c_TMAP1IN)),2)))&lt;0,-1,0),IF(IF(o_WRAP=1,MOD(((c_TMAP2IN)-(c_TMAP1IN))*(((K46)-(c_TMAP1IN))*((c_TMAP2OUT)-(c_TMAP1OUT))+IF(((c_TMAP2OUT)-(c_TMAP1OUT))&gt;=0,1,-1)*QUOTIENT(((c_TMAP2IN)-(c_TMAP1IN)),2))+2147483648,4294967296)-2147483648,((c_TMAP2IN)-(c_TMAP1IN))*(((K46)-(c_TMAP1IN))*((c_TMAP2OUT)-(c_TMAP1OUT))+IF(((c_TMAP2OUT)-(c_TMAP1OUT))&gt;=0,1,-1)*QUOTIENT(((c_TMAP2IN)-(c_TMAP1IN)),2)))&gt;=0,1,0)))</f>
        <v>30</v>
      </c>
      <c r="O46" s="7" t="n">
        <f aca="false">IF(((c_TMAP3IN)-(c_TMAP2IN))=0,(c_TMAP2OUT)+QUOTIENT(((c_TMAP3OUT)-(c_TMAP2OUT)),2),QUOTIENT((((K46)-(c_TMAP2IN))*((c_TMAP3OUT)-(c_TMAP2OUT))+IF(((c_TMAP3OUT)-(c_TMAP2OUT))&gt;=0,1,-1)*QUOTIENT(((c_TMAP3IN)-(c_TMAP2IN)),2)),((c_TMAP3IN)-(c_TMAP2IN)))+(c_TMAP2OUT)+IF(((c_TMAP3OUT)-(c_TMAP2OUT))&gt;=0,IF(IF(o_WRAP=1,MOD(((c_TMAP3IN)-(c_TMAP2IN))*(((K46)-(c_TMAP2IN))*((c_TMAP3OUT)-(c_TMAP2OUT))+IF(((c_TMAP3OUT)-(c_TMAP2OUT))&gt;=0,1,-1)*QUOTIENT(((c_TMAP3IN)-(c_TMAP2IN)),2))+2147483648,4294967296)-2147483648,((c_TMAP3IN)-(c_TMAP2IN))*(((K46)-(c_TMAP2IN))*((c_TMAP3OUT)-(c_TMAP2OUT))+IF(((c_TMAP3OUT)-(c_TMAP2OUT))&gt;=0,1,-1)*QUOTIENT(((c_TMAP3IN)-(c_TMAP2IN)),2)))&lt;0,-1,0),IF(IF(o_WRAP=1,MOD(((c_TMAP3IN)-(c_TMAP2IN))*(((K46)-(c_TMAP2IN))*((c_TMAP3OUT)-(c_TMAP2OUT))+IF(((c_TMAP3OUT)-(c_TMAP2OUT))&gt;=0,1,-1)*QUOTIENT(((c_TMAP3IN)-(c_TMAP2IN)),2))+2147483648,4294967296)-2147483648,((c_TMAP3IN)-(c_TMAP2IN))*(((K46)-(c_TMAP2IN))*((c_TMAP3OUT)-(c_TMAP2OUT))+IF(((c_TMAP3OUT)-(c_TMAP2OUT))&gt;=0,1,-1)*QUOTIENT(((c_TMAP3IN)-(c_TMAP2IN)),2)))&gt;=0,1,0)))</f>
        <v>-45</v>
      </c>
      <c r="P46" s="7" t="n">
        <f aca="false">IF(((1000)-(c_TMAP3IN))=0,(c_TMAP3OUT)+QUOTIENT(((1000)-(c_TMAP3OUT)),2),QUOTIENT((((K46)-(c_TMAP3IN))*((1000)-(c_TMAP3OUT))+IF(((1000)-(c_TMAP3OUT))&gt;=0,1,-1)*QUOTIENT(((1000)-(c_TMAP3IN)),2)),((1000)-(c_TMAP3IN)))+(c_TMAP3OUT)+IF(((1000)-(c_TMAP3OUT))&gt;=0,IF(IF(o_WRAP=1,MOD(((1000)-(c_TMAP3IN))*(((K46)-(c_TMAP3IN))*((1000)-(c_TMAP3OUT))+IF(((1000)-(c_TMAP3OUT))&gt;=0,1,-1)*QUOTIENT(((1000)-(c_TMAP3IN)),2))+2147483648,4294967296)-2147483648,((1000)-(c_TMAP3IN))*(((K46)-(c_TMAP3IN))*((1000)-(c_TMAP3OUT))+IF(((1000)-(c_TMAP3OUT))&gt;=0,1,-1)*QUOTIENT(((1000)-(c_TMAP3IN)),2)))&lt;0,-1,0),IF(IF(o_WRAP=1,MOD(((1000)-(c_TMAP3IN))*(((K46)-(c_TMAP3IN))*((1000)-(c_TMAP3OUT))+IF(((1000)-(c_TMAP3OUT))&gt;=0,1,-1)*QUOTIENT(((1000)-(c_TMAP3IN)),2))+2147483648,4294967296)-2147483648,((1000)-(c_TMAP3IN))*(((K46)-(c_TMAP3IN))*((1000)-(c_TMAP3OUT))+IF(((1000)-(c_TMAP3OUT))&gt;=0,1,-1)*QUOTIENT(((1000)-(c_TMAP3IN)),2)))&gt;=0,1,0)))</f>
        <v>-231</v>
      </c>
      <c r="Q46" s="7" t="str">
        <f aca="false">IF(K46&gt;=c_TFWD,IF(AND(K46&gt;=c_TMAP3IN,c_TMAP3IN&lt;1000),"Seg4 map3-100%",IF(AND(K46&gt;=c_TMAP2IN,c_TMAP3IN&gt;c_TMAP2IN),"Seg3 map2-map3",IF(AND(K46&gt;=c_TMAP1IN,c_TMAP2IN&gt;c_TMAP1IN),"Seg2 map1-map2","Seg1 TFWD-map1"))),IF(AND(K46=0,c_TCREEP&gt;0),"Creep",IF(AND(K46&lt;=c_TRNGMIN,K46&gt;=c_TRNGMAX,c_TRNGMIN-c_TRNGMAX&lt;&gt;0),"Regen ramp","Coast (0)")))</f>
        <v>Regen ramp</v>
      </c>
      <c r="R46" s="7" t="n">
        <f aca="false">IF(K46&gt;=c_TFWD,IF(AND(K46&gt;=c_TMAP3IN,c_TMAP3IN&lt;1000),P46,IF(AND(K46&gt;=c_TMAP2IN,c_TMAP3IN&gt;c_TMAP2IN),O46,IF(AND(K46&gt;=c_TMAP1IN,c_TMAP2IN&gt;c_TMAP1IN),N46,M46))),L46)</f>
        <v>-350</v>
      </c>
      <c r="S46" s="7" t="str">
        <f aca="false">IF(R46&lt;-1090,"TOO LOW",IF(R46&gt;1090,"TOO HIGH",""))</f>
        <v/>
      </c>
      <c r="T46" s="15" t="n">
        <f aca="false">IF(H46&lt;&gt;"OK",0,IF(S46&lt;&gt;"",0,IF(R46&gt;979,1000,R46)))</f>
        <v>-350</v>
      </c>
      <c r="U46" s="7" t="n">
        <f aca="false">T46/10</f>
        <v>-35</v>
      </c>
    </row>
    <row r="47" customFormat="false" ht="15" hidden="false" customHeight="false" outlineLevel="0" collapsed="false">
      <c r="A47" s="7" t="n">
        <v>42</v>
      </c>
      <c r="B47" s="7" t="n">
        <f aca="false">ROUND(o_SWSTART+A47*(o_SWEND-o_SWSTART)/400,0)</f>
        <v>430</v>
      </c>
      <c r="C47" s="7" t="n">
        <f aca="false">QUOTIENT((B47-c_OFF1)*c_GAIN1,1024)</f>
        <v>430</v>
      </c>
      <c r="D47" s="7" t="n">
        <f aca="false">IF(((c_T1MX)-(c_T1MN))=0,(0)+QUOTIENT(((1000)-(0)),2),QUOTIENT((((C47)-(c_T1MN))*((1000)-(0))+IF(((1000)-(0))&gt;=0,1,-1)*QUOTIENT(((c_T1MX)-(c_T1MN)),2)),((c_T1MX)-(c_T1MN)))+(0)+IF(((1000)-(0))&gt;=0,IF(IF(o_WRAP=1,MOD(((c_T1MX)-(c_T1MN))*(((C47)-(c_T1MN))*((1000)-(0))+IF(((1000)-(0))&gt;=0,1,-1)*QUOTIENT(((c_T1MX)-(c_T1MN)),2))+2147483648,4294967296)-2147483648,((c_T1MX)-(c_T1MN))*(((C47)-(c_T1MN))*((1000)-(0))+IF(((1000)-(0))&gt;=0,1,-1)*QUOTIENT(((c_T1MX)-(c_T1MN)),2)))&lt;0,-1,0),IF(IF(o_WRAP=1,MOD(((c_T1MX)-(c_T1MN))*(((C47)-(c_T1MN))*((1000)-(0))+IF(((1000)-(0))&gt;=0,1,-1)*QUOTIENT(((c_T1MX)-(c_T1MN)),2))+2147483648,4294967296)-2147483648,((c_T1MX)-(c_T1MN))*(((C47)-(c_T1MN))*((1000)-(0))+IF(((1000)-(0))&gt;=0,1,-1)*QUOTIENT(((c_T1MX)-(c_T1MN)),2)))&gt;=0,1,0)))</f>
        <v>-103</v>
      </c>
      <c r="E47" s="7" t="n">
        <f aca="false">IF(AND(c_TPOT=1,c_TTYPE=2),1000-D47,D47)</f>
        <v>-103</v>
      </c>
      <c r="F47" s="7" t="str">
        <f aca="false">IF(c_TPOT&gt;1,ROUND(IF(c_TTYPE=2,c_T2MX-IF(c_T1MX=c_T1MN,0,(C47-c_T1MN)/(c_T1MX-c_T1MN))*(c_T2MX-c_T2MN),c_T2MN+IF(c_T1MX=c_T1MN,0,(C47-c_T1MN)/(c_T1MX-c_T1MN))*(c_T2MX-c_T2MN))+o_MISMATCH,0),"")</f>
        <v/>
      </c>
      <c r="G47" s="7" t="str">
        <f aca="false">IF(c_TPOT&gt;1,IF(((c_T2MX)-(c_T2MN))=0,(0)+QUOTIENT(((1000)-(0)),2),QUOTIENT((((F47)-(c_T2MN))*((1000)-(0))+IF(((1000)-(0))&gt;=0,1,-1)*QUOTIENT(((c_T2MX)-(c_T2MN)),2)),((c_T2MX)-(c_T2MN)))+(0)+IF(((1000)-(0))&gt;=0,IF(IF(o_WRAP=1,MOD(((c_T2MX)-(c_T2MN))*(((F47)-(c_T2MN))*((1000)-(0))+IF(((1000)-(0))&gt;=0,1,-1)*QUOTIENT(((c_T2MX)-(c_T2MN)),2))+2147483648,4294967296)-2147483648,((c_T2MX)-(c_T2MN))*(((F47)-(c_T2MN))*((1000)-(0))+IF(((1000)-(0))&gt;=0,1,-1)*QUOTIENT(((c_T2MX)-(c_T2MN)),2)))&lt;0,-1,0),IF(IF(o_WRAP=1,MOD(((c_T2MX)-(c_T2MN))*(((F47)-(c_T2MN))*((1000)-(0))+IF(((1000)-(0))&gt;=0,1,-1)*QUOTIENT(((c_T2MX)-(c_T2MN)),2))+2147483648,4294967296)-2147483648,((c_T2MX)-(c_T2MN))*(((F47)-(c_T2MN))*((1000)-(0))+IF(((1000)-(0))&gt;=0,1,-1)*QUOTIENT(((c_T2MX)-(c_T2MN)),2)))&gt;=0,1,0))),"")</f>
        <v/>
      </c>
      <c r="H47" s="7" t="str">
        <f aca="false">IF(E47&gt;1000+k_TOL,"T1 HIGH",IF(E47&lt;0-k_TOL,"T1 LOW",IF(c_TPOT&gt;1,IF(G47&gt;1000+k_TOL,"T2 HIGH",IF(G47&lt;0-k_TOL,"T2 LOW",IF(c_TTYPE=2,IF(ABS(1000-MAX(0,MIN(1000,E47))-MAX(0,MIN(1000,G47)))&gt;k_MAXERR,"MISMATCH","OK"),IF(OR(MAX(0,MIN(1000,E47))-k_MAXERR&gt;MAX(0,MIN(1000,G47)),MAX(0,MIN(1000,G47))-k_MAXERR&gt;MAX(0,MIN(1000,E47))),"MISMATCH","OK")))),"OK")))</f>
        <v>OK</v>
      </c>
      <c r="I47" s="7" t="n">
        <f aca="false">MAX(0,MIN(1000,D47))</f>
        <v>0</v>
      </c>
      <c r="J47" s="7" t="str">
        <f aca="false">IF(c_TPOT&gt;1,IF(c_TTYPE=2,1000-MAX(0,MIN(1000,G47)),MAX(0,MIN(1000,G47))),"")</f>
        <v/>
      </c>
      <c r="K47" s="7" t="n">
        <f aca="false">IF(c_TPOT&gt;1,QUOTIENT(I47+J47,2),I47)</f>
        <v>0</v>
      </c>
      <c r="L47" s="7" t="n">
        <f aca="false">IF(AND(K47=0,c_TCREEP&gt;0),10*c_TCREEP,IF(AND(K47&lt;=c_TRNGMIN,K47&gt;=c_TRNGMAX,c_TRNGMIN-c_TRNGMAX&lt;&gt;0),-10*c_TMINRN+QUOTIENT((c_TMAXRN-c_TMINRN)*(100-QUOTIENT((K47-c_TRNGMAX)*100,c_TRNGMIN-c_TRNGMAX)),-10),0))</f>
        <v>-350</v>
      </c>
      <c r="M47" s="7" t="n">
        <f aca="false">IF(((c_TMAP1IN)-(c_TFWD))=0,(0)+QUOTIENT(((c_TMAP1OUT)-(0)),2),QUOTIENT((((K47)-(c_TFWD))*((c_TMAP1OUT)-(0))+IF(((c_TMAP1OUT)-(0))&gt;=0,1,-1)*QUOTIENT(((c_TMAP1IN)-(c_TFWD)),2)),((c_TMAP1IN)-(c_TFWD)))+(0)+IF(((c_TMAP1OUT)-(0))&gt;=0,IF(IF(o_WRAP=1,MOD(((c_TMAP1IN)-(c_TFWD))*(((K47)-(c_TFWD))*((c_TMAP1OUT)-(0))+IF(((c_TMAP1OUT)-(0))&gt;=0,1,-1)*QUOTIENT(((c_TMAP1IN)-(c_TFWD)),2))+2147483648,4294967296)-2147483648,((c_TMAP1IN)-(c_TFWD))*(((K47)-(c_TFWD))*((c_TMAP1OUT)-(0))+IF(((c_TMAP1OUT)-(0))&gt;=0,1,-1)*QUOTIENT(((c_TMAP1IN)-(c_TFWD)),2)))&lt;0,-1,0),IF(IF(o_WRAP=1,MOD(((c_TMAP1IN)-(c_TFWD))*(((K47)-(c_TFWD))*((c_TMAP1OUT)-(0))+IF(((c_TMAP1OUT)-(0))&gt;=0,1,-1)*QUOTIENT(((c_TMAP1IN)-(c_TFWD)),2))+2147483648,4294967296)-2147483648,((c_TMAP1IN)-(c_TFWD))*(((K47)-(c_TFWD))*((c_TMAP1OUT)-(0))+IF(((c_TMAP1OUT)-(0))&gt;=0,1,-1)*QUOTIENT(((c_TMAP1IN)-(c_TFWD)),2)))&gt;=0,1,0)))</f>
        <v>-8</v>
      </c>
      <c r="N47" s="7" t="n">
        <f aca="false">IF(((c_TMAP2IN)-(c_TMAP1IN))=0,(c_TMAP1OUT)+QUOTIENT(((c_TMAP2OUT)-(c_TMAP1OUT)),2),QUOTIENT((((K47)-(c_TMAP1IN))*((c_TMAP2OUT)-(c_TMAP1OUT))+IF(((c_TMAP2OUT)-(c_TMAP1OUT))&gt;=0,1,-1)*QUOTIENT(((c_TMAP2IN)-(c_TMAP1IN)),2)),((c_TMAP2IN)-(c_TMAP1IN)))+(c_TMAP1OUT)+IF(((c_TMAP2OUT)-(c_TMAP1OUT))&gt;=0,IF(IF(o_WRAP=1,MOD(((c_TMAP2IN)-(c_TMAP1IN))*(((K47)-(c_TMAP1IN))*((c_TMAP2OUT)-(c_TMAP1OUT))+IF(((c_TMAP2OUT)-(c_TMAP1OUT))&gt;=0,1,-1)*QUOTIENT(((c_TMAP2IN)-(c_TMAP1IN)),2))+2147483648,4294967296)-2147483648,((c_TMAP2IN)-(c_TMAP1IN))*(((K47)-(c_TMAP1IN))*((c_TMAP2OUT)-(c_TMAP1OUT))+IF(((c_TMAP2OUT)-(c_TMAP1OUT))&gt;=0,1,-1)*QUOTIENT(((c_TMAP2IN)-(c_TMAP1IN)),2)))&lt;0,-1,0),IF(IF(o_WRAP=1,MOD(((c_TMAP2IN)-(c_TMAP1IN))*(((K47)-(c_TMAP1IN))*((c_TMAP2OUT)-(c_TMAP1OUT))+IF(((c_TMAP2OUT)-(c_TMAP1OUT))&gt;=0,1,-1)*QUOTIENT(((c_TMAP2IN)-(c_TMAP1IN)),2))+2147483648,4294967296)-2147483648,((c_TMAP2IN)-(c_TMAP1IN))*(((K47)-(c_TMAP1IN))*((c_TMAP2OUT)-(c_TMAP1OUT))+IF(((c_TMAP2OUT)-(c_TMAP1OUT))&gt;=0,1,-1)*QUOTIENT(((c_TMAP2IN)-(c_TMAP1IN)),2)))&gt;=0,1,0)))</f>
        <v>30</v>
      </c>
      <c r="O47" s="7" t="n">
        <f aca="false">IF(((c_TMAP3IN)-(c_TMAP2IN))=0,(c_TMAP2OUT)+QUOTIENT(((c_TMAP3OUT)-(c_TMAP2OUT)),2),QUOTIENT((((K47)-(c_TMAP2IN))*((c_TMAP3OUT)-(c_TMAP2OUT))+IF(((c_TMAP3OUT)-(c_TMAP2OUT))&gt;=0,1,-1)*QUOTIENT(((c_TMAP3IN)-(c_TMAP2IN)),2)),((c_TMAP3IN)-(c_TMAP2IN)))+(c_TMAP2OUT)+IF(((c_TMAP3OUT)-(c_TMAP2OUT))&gt;=0,IF(IF(o_WRAP=1,MOD(((c_TMAP3IN)-(c_TMAP2IN))*(((K47)-(c_TMAP2IN))*((c_TMAP3OUT)-(c_TMAP2OUT))+IF(((c_TMAP3OUT)-(c_TMAP2OUT))&gt;=0,1,-1)*QUOTIENT(((c_TMAP3IN)-(c_TMAP2IN)),2))+2147483648,4294967296)-2147483648,((c_TMAP3IN)-(c_TMAP2IN))*(((K47)-(c_TMAP2IN))*((c_TMAP3OUT)-(c_TMAP2OUT))+IF(((c_TMAP3OUT)-(c_TMAP2OUT))&gt;=0,1,-1)*QUOTIENT(((c_TMAP3IN)-(c_TMAP2IN)),2)))&lt;0,-1,0),IF(IF(o_WRAP=1,MOD(((c_TMAP3IN)-(c_TMAP2IN))*(((K47)-(c_TMAP2IN))*((c_TMAP3OUT)-(c_TMAP2OUT))+IF(((c_TMAP3OUT)-(c_TMAP2OUT))&gt;=0,1,-1)*QUOTIENT(((c_TMAP3IN)-(c_TMAP2IN)),2))+2147483648,4294967296)-2147483648,((c_TMAP3IN)-(c_TMAP2IN))*(((K47)-(c_TMAP2IN))*((c_TMAP3OUT)-(c_TMAP2OUT))+IF(((c_TMAP3OUT)-(c_TMAP2OUT))&gt;=0,1,-1)*QUOTIENT(((c_TMAP3IN)-(c_TMAP2IN)),2)))&gt;=0,1,0)))</f>
        <v>-45</v>
      </c>
      <c r="P47" s="7" t="n">
        <f aca="false">IF(((1000)-(c_TMAP3IN))=0,(c_TMAP3OUT)+QUOTIENT(((1000)-(c_TMAP3OUT)),2),QUOTIENT((((K47)-(c_TMAP3IN))*((1000)-(c_TMAP3OUT))+IF(((1000)-(c_TMAP3OUT))&gt;=0,1,-1)*QUOTIENT(((1000)-(c_TMAP3IN)),2)),((1000)-(c_TMAP3IN)))+(c_TMAP3OUT)+IF(((1000)-(c_TMAP3OUT))&gt;=0,IF(IF(o_WRAP=1,MOD(((1000)-(c_TMAP3IN))*(((K47)-(c_TMAP3IN))*((1000)-(c_TMAP3OUT))+IF(((1000)-(c_TMAP3OUT))&gt;=0,1,-1)*QUOTIENT(((1000)-(c_TMAP3IN)),2))+2147483648,4294967296)-2147483648,((1000)-(c_TMAP3IN))*(((K47)-(c_TMAP3IN))*((1000)-(c_TMAP3OUT))+IF(((1000)-(c_TMAP3OUT))&gt;=0,1,-1)*QUOTIENT(((1000)-(c_TMAP3IN)),2)))&lt;0,-1,0),IF(IF(o_WRAP=1,MOD(((1000)-(c_TMAP3IN))*(((K47)-(c_TMAP3IN))*((1000)-(c_TMAP3OUT))+IF(((1000)-(c_TMAP3OUT))&gt;=0,1,-1)*QUOTIENT(((1000)-(c_TMAP3IN)),2))+2147483648,4294967296)-2147483648,((1000)-(c_TMAP3IN))*(((K47)-(c_TMAP3IN))*((1000)-(c_TMAP3OUT))+IF(((1000)-(c_TMAP3OUT))&gt;=0,1,-1)*QUOTIENT(((1000)-(c_TMAP3IN)),2)))&gt;=0,1,0)))</f>
        <v>-231</v>
      </c>
      <c r="Q47" s="7" t="str">
        <f aca="false">IF(K47&gt;=c_TFWD,IF(AND(K47&gt;=c_TMAP3IN,c_TMAP3IN&lt;1000),"Seg4 map3-100%",IF(AND(K47&gt;=c_TMAP2IN,c_TMAP3IN&gt;c_TMAP2IN),"Seg3 map2-map3",IF(AND(K47&gt;=c_TMAP1IN,c_TMAP2IN&gt;c_TMAP1IN),"Seg2 map1-map2","Seg1 TFWD-map1"))),IF(AND(K47=0,c_TCREEP&gt;0),"Creep",IF(AND(K47&lt;=c_TRNGMIN,K47&gt;=c_TRNGMAX,c_TRNGMIN-c_TRNGMAX&lt;&gt;0),"Regen ramp","Coast (0)")))</f>
        <v>Regen ramp</v>
      </c>
      <c r="R47" s="7" t="n">
        <f aca="false">IF(K47&gt;=c_TFWD,IF(AND(K47&gt;=c_TMAP3IN,c_TMAP3IN&lt;1000),P47,IF(AND(K47&gt;=c_TMAP2IN,c_TMAP3IN&gt;c_TMAP2IN),O47,IF(AND(K47&gt;=c_TMAP1IN,c_TMAP2IN&gt;c_TMAP1IN),N47,M47))),L47)</f>
        <v>-350</v>
      </c>
      <c r="S47" s="7" t="str">
        <f aca="false">IF(R47&lt;-1090,"TOO LOW",IF(R47&gt;1090,"TOO HIGH",""))</f>
        <v/>
      </c>
      <c r="T47" s="15" t="n">
        <f aca="false">IF(H47&lt;&gt;"OK",0,IF(S47&lt;&gt;"",0,IF(R47&gt;979,1000,R47)))</f>
        <v>-350</v>
      </c>
      <c r="U47" s="7" t="n">
        <f aca="false">T47/10</f>
        <v>-35</v>
      </c>
    </row>
    <row r="48" customFormat="false" ht="15" hidden="false" customHeight="false" outlineLevel="0" collapsed="false">
      <c r="A48" s="7" t="n">
        <v>43</v>
      </c>
      <c r="B48" s="7" t="n">
        <f aca="false">ROUND(o_SWSTART+A48*(o_SWEND-o_SWSTART)/400,0)</f>
        <v>440</v>
      </c>
      <c r="C48" s="7" t="n">
        <f aca="false">QUOTIENT((B48-c_OFF1)*c_GAIN1,1024)</f>
        <v>440</v>
      </c>
      <c r="D48" s="7" t="n">
        <f aca="false">IF(((c_T1MX)-(c_T1MN))=0,(0)+QUOTIENT(((1000)-(0)),2),QUOTIENT((((C48)-(c_T1MN))*((1000)-(0))+IF(((1000)-(0))&gt;=0,1,-1)*QUOTIENT(((c_T1MX)-(c_T1MN)),2)),((c_T1MX)-(c_T1MN)))+(0)+IF(((1000)-(0))&gt;=0,IF(IF(o_WRAP=1,MOD(((c_T1MX)-(c_T1MN))*(((C48)-(c_T1MN))*((1000)-(0))+IF(((1000)-(0))&gt;=0,1,-1)*QUOTIENT(((c_T1MX)-(c_T1MN)),2))+2147483648,4294967296)-2147483648,((c_T1MX)-(c_T1MN))*(((C48)-(c_T1MN))*((1000)-(0))+IF(((1000)-(0))&gt;=0,1,-1)*QUOTIENT(((c_T1MX)-(c_T1MN)),2)))&lt;0,-1,0),IF(IF(o_WRAP=1,MOD(((c_T1MX)-(c_T1MN))*(((C48)-(c_T1MN))*((1000)-(0))+IF(((1000)-(0))&gt;=0,1,-1)*QUOTIENT(((c_T1MX)-(c_T1MN)),2))+2147483648,4294967296)-2147483648,((c_T1MX)-(c_T1MN))*(((C48)-(c_T1MN))*((1000)-(0))+IF(((1000)-(0))&gt;=0,1,-1)*QUOTIENT(((c_T1MX)-(c_T1MN)),2)))&gt;=0,1,0)))</f>
        <v>-100</v>
      </c>
      <c r="E48" s="7" t="n">
        <f aca="false">IF(AND(c_TPOT=1,c_TTYPE=2),1000-D48,D48)</f>
        <v>-100</v>
      </c>
      <c r="F48" s="7" t="str">
        <f aca="false">IF(c_TPOT&gt;1,ROUND(IF(c_TTYPE=2,c_T2MX-IF(c_T1MX=c_T1MN,0,(C48-c_T1MN)/(c_T1MX-c_T1MN))*(c_T2MX-c_T2MN),c_T2MN+IF(c_T1MX=c_T1MN,0,(C48-c_T1MN)/(c_T1MX-c_T1MN))*(c_T2MX-c_T2MN))+o_MISMATCH,0),"")</f>
        <v/>
      </c>
      <c r="G48" s="7" t="str">
        <f aca="false">IF(c_TPOT&gt;1,IF(((c_T2MX)-(c_T2MN))=0,(0)+QUOTIENT(((1000)-(0)),2),QUOTIENT((((F48)-(c_T2MN))*((1000)-(0))+IF(((1000)-(0))&gt;=0,1,-1)*QUOTIENT(((c_T2MX)-(c_T2MN)),2)),((c_T2MX)-(c_T2MN)))+(0)+IF(((1000)-(0))&gt;=0,IF(IF(o_WRAP=1,MOD(((c_T2MX)-(c_T2MN))*(((F48)-(c_T2MN))*((1000)-(0))+IF(((1000)-(0))&gt;=0,1,-1)*QUOTIENT(((c_T2MX)-(c_T2MN)),2))+2147483648,4294967296)-2147483648,((c_T2MX)-(c_T2MN))*(((F48)-(c_T2MN))*((1000)-(0))+IF(((1000)-(0))&gt;=0,1,-1)*QUOTIENT(((c_T2MX)-(c_T2MN)),2)))&lt;0,-1,0),IF(IF(o_WRAP=1,MOD(((c_T2MX)-(c_T2MN))*(((F48)-(c_T2MN))*((1000)-(0))+IF(((1000)-(0))&gt;=0,1,-1)*QUOTIENT(((c_T2MX)-(c_T2MN)),2))+2147483648,4294967296)-2147483648,((c_T2MX)-(c_T2MN))*(((F48)-(c_T2MN))*((1000)-(0))+IF(((1000)-(0))&gt;=0,1,-1)*QUOTIENT(((c_T2MX)-(c_T2MN)),2)))&gt;=0,1,0))),"")</f>
        <v/>
      </c>
      <c r="H48" s="7" t="str">
        <f aca="false">IF(E48&gt;1000+k_TOL,"T1 HIGH",IF(E48&lt;0-k_TOL,"T1 LOW",IF(c_TPOT&gt;1,IF(G48&gt;1000+k_TOL,"T2 HIGH",IF(G48&lt;0-k_TOL,"T2 LOW",IF(c_TTYPE=2,IF(ABS(1000-MAX(0,MIN(1000,E48))-MAX(0,MIN(1000,G48)))&gt;k_MAXERR,"MISMATCH","OK"),IF(OR(MAX(0,MIN(1000,E48))-k_MAXERR&gt;MAX(0,MIN(1000,G48)),MAX(0,MIN(1000,G48))-k_MAXERR&gt;MAX(0,MIN(1000,E48))),"MISMATCH","OK")))),"OK")))</f>
        <v>OK</v>
      </c>
      <c r="I48" s="7" t="n">
        <f aca="false">MAX(0,MIN(1000,D48))</f>
        <v>0</v>
      </c>
      <c r="J48" s="7" t="str">
        <f aca="false">IF(c_TPOT&gt;1,IF(c_TTYPE=2,1000-MAX(0,MIN(1000,G48)),MAX(0,MIN(1000,G48))),"")</f>
        <v/>
      </c>
      <c r="K48" s="7" t="n">
        <f aca="false">IF(c_TPOT&gt;1,QUOTIENT(I48+J48,2),I48)</f>
        <v>0</v>
      </c>
      <c r="L48" s="7" t="n">
        <f aca="false">IF(AND(K48=0,c_TCREEP&gt;0),10*c_TCREEP,IF(AND(K48&lt;=c_TRNGMIN,K48&gt;=c_TRNGMAX,c_TRNGMIN-c_TRNGMAX&lt;&gt;0),-10*c_TMINRN+QUOTIENT((c_TMAXRN-c_TMINRN)*(100-QUOTIENT((K48-c_TRNGMAX)*100,c_TRNGMIN-c_TRNGMAX)),-10),0))</f>
        <v>-350</v>
      </c>
      <c r="M48" s="7" t="n">
        <f aca="false">IF(((c_TMAP1IN)-(c_TFWD))=0,(0)+QUOTIENT(((c_TMAP1OUT)-(0)),2),QUOTIENT((((K48)-(c_TFWD))*((c_TMAP1OUT)-(0))+IF(((c_TMAP1OUT)-(0))&gt;=0,1,-1)*QUOTIENT(((c_TMAP1IN)-(c_TFWD)),2)),((c_TMAP1IN)-(c_TFWD)))+(0)+IF(((c_TMAP1OUT)-(0))&gt;=0,IF(IF(o_WRAP=1,MOD(((c_TMAP1IN)-(c_TFWD))*(((K48)-(c_TFWD))*((c_TMAP1OUT)-(0))+IF(((c_TMAP1OUT)-(0))&gt;=0,1,-1)*QUOTIENT(((c_TMAP1IN)-(c_TFWD)),2))+2147483648,4294967296)-2147483648,((c_TMAP1IN)-(c_TFWD))*(((K48)-(c_TFWD))*((c_TMAP1OUT)-(0))+IF(((c_TMAP1OUT)-(0))&gt;=0,1,-1)*QUOTIENT(((c_TMAP1IN)-(c_TFWD)),2)))&lt;0,-1,0),IF(IF(o_WRAP=1,MOD(((c_TMAP1IN)-(c_TFWD))*(((K48)-(c_TFWD))*((c_TMAP1OUT)-(0))+IF(((c_TMAP1OUT)-(0))&gt;=0,1,-1)*QUOTIENT(((c_TMAP1IN)-(c_TFWD)),2))+2147483648,4294967296)-2147483648,((c_TMAP1IN)-(c_TFWD))*(((K48)-(c_TFWD))*((c_TMAP1OUT)-(0))+IF(((c_TMAP1OUT)-(0))&gt;=0,1,-1)*QUOTIENT(((c_TMAP1IN)-(c_TFWD)),2)))&gt;=0,1,0)))</f>
        <v>-8</v>
      </c>
      <c r="N48" s="7" t="n">
        <f aca="false">IF(((c_TMAP2IN)-(c_TMAP1IN))=0,(c_TMAP1OUT)+QUOTIENT(((c_TMAP2OUT)-(c_TMAP1OUT)),2),QUOTIENT((((K48)-(c_TMAP1IN))*((c_TMAP2OUT)-(c_TMAP1OUT))+IF(((c_TMAP2OUT)-(c_TMAP1OUT))&gt;=0,1,-1)*QUOTIENT(((c_TMAP2IN)-(c_TMAP1IN)),2)),((c_TMAP2IN)-(c_TMAP1IN)))+(c_TMAP1OUT)+IF(((c_TMAP2OUT)-(c_TMAP1OUT))&gt;=0,IF(IF(o_WRAP=1,MOD(((c_TMAP2IN)-(c_TMAP1IN))*(((K48)-(c_TMAP1IN))*((c_TMAP2OUT)-(c_TMAP1OUT))+IF(((c_TMAP2OUT)-(c_TMAP1OUT))&gt;=0,1,-1)*QUOTIENT(((c_TMAP2IN)-(c_TMAP1IN)),2))+2147483648,4294967296)-2147483648,((c_TMAP2IN)-(c_TMAP1IN))*(((K48)-(c_TMAP1IN))*((c_TMAP2OUT)-(c_TMAP1OUT))+IF(((c_TMAP2OUT)-(c_TMAP1OUT))&gt;=0,1,-1)*QUOTIENT(((c_TMAP2IN)-(c_TMAP1IN)),2)))&lt;0,-1,0),IF(IF(o_WRAP=1,MOD(((c_TMAP2IN)-(c_TMAP1IN))*(((K48)-(c_TMAP1IN))*((c_TMAP2OUT)-(c_TMAP1OUT))+IF(((c_TMAP2OUT)-(c_TMAP1OUT))&gt;=0,1,-1)*QUOTIENT(((c_TMAP2IN)-(c_TMAP1IN)),2))+2147483648,4294967296)-2147483648,((c_TMAP2IN)-(c_TMAP1IN))*(((K48)-(c_TMAP1IN))*((c_TMAP2OUT)-(c_TMAP1OUT))+IF(((c_TMAP2OUT)-(c_TMAP1OUT))&gt;=0,1,-1)*QUOTIENT(((c_TMAP2IN)-(c_TMAP1IN)),2)))&gt;=0,1,0)))</f>
        <v>30</v>
      </c>
      <c r="O48" s="7" t="n">
        <f aca="false">IF(((c_TMAP3IN)-(c_TMAP2IN))=0,(c_TMAP2OUT)+QUOTIENT(((c_TMAP3OUT)-(c_TMAP2OUT)),2),QUOTIENT((((K48)-(c_TMAP2IN))*((c_TMAP3OUT)-(c_TMAP2OUT))+IF(((c_TMAP3OUT)-(c_TMAP2OUT))&gt;=0,1,-1)*QUOTIENT(((c_TMAP3IN)-(c_TMAP2IN)),2)),((c_TMAP3IN)-(c_TMAP2IN)))+(c_TMAP2OUT)+IF(((c_TMAP3OUT)-(c_TMAP2OUT))&gt;=0,IF(IF(o_WRAP=1,MOD(((c_TMAP3IN)-(c_TMAP2IN))*(((K48)-(c_TMAP2IN))*((c_TMAP3OUT)-(c_TMAP2OUT))+IF(((c_TMAP3OUT)-(c_TMAP2OUT))&gt;=0,1,-1)*QUOTIENT(((c_TMAP3IN)-(c_TMAP2IN)),2))+2147483648,4294967296)-2147483648,((c_TMAP3IN)-(c_TMAP2IN))*(((K48)-(c_TMAP2IN))*((c_TMAP3OUT)-(c_TMAP2OUT))+IF(((c_TMAP3OUT)-(c_TMAP2OUT))&gt;=0,1,-1)*QUOTIENT(((c_TMAP3IN)-(c_TMAP2IN)),2)))&lt;0,-1,0),IF(IF(o_WRAP=1,MOD(((c_TMAP3IN)-(c_TMAP2IN))*(((K48)-(c_TMAP2IN))*((c_TMAP3OUT)-(c_TMAP2OUT))+IF(((c_TMAP3OUT)-(c_TMAP2OUT))&gt;=0,1,-1)*QUOTIENT(((c_TMAP3IN)-(c_TMAP2IN)),2))+2147483648,4294967296)-2147483648,((c_TMAP3IN)-(c_TMAP2IN))*(((K48)-(c_TMAP2IN))*((c_TMAP3OUT)-(c_TMAP2OUT))+IF(((c_TMAP3OUT)-(c_TMAP2OUT))&gt;=0,1,-1)*QUOTIENT(((c_TMAP3IN)-(c_TMAP2IN)),2)))&gt;=0,1,0)))</f>
        <v>-45</v>
      </c>
      <c r="P48" s="7" t="n">
        <f aca="false">IF(((1000)-(c_TMAP3IN))=0,(c_TMAP3OUT)+QUOTIENT(((1000)-(c_TMAP3OUT)),2),QUOTIENT((((K48)-(c_TMAP3IN))*((1000)-(c_TMAP3OUT))+IF(((1000)-(c_TMAP3OUT))&gt;=0,1,-1)*QUOTIENT(((1000)-(c_TMAP3IN)),2)),((1000)-(c_TMAP3IN)))+(c_TMAP3OUT)+IF(((1000)-(c_TMAP3OUT))&gt;=0,IF(IF(o_WRAP=1,MOD(((1000)-(c_TMAP3IN))*(((K48)-(c_TMAP3IN))*((1000)-(c_TMAP3OUT))+IF(((1000)-(c_TMAP3OUT))&gt;=0,1,-1)*QUOTIENT(((1000)-(c_TMAP3IN)),2))+2147483648,4294967296)-2147483648,((1000)-(c_TMAP3IN))*(((K48)-(c_TMAP3IN))*((1000)-(c_TMAP3OUT))+IF(((1000)-(c_TMAP3OUT))&gt;=0,1,-1)*QUOTIENT(((1000)-(c_TMAP3IN)),2)))&lt;0,-1,0),IF(IF(o_WRAP=1,MOD(((1000)-(c_TMAP3IN))*(((K48)-(c_TMAP3IN))*((1000)-(c_TMAP3OUT))+IF(((1000)-(c_TMAP3OUT))&gt;=0,1,-1)*QUOTIENT(((1000)-(c_TMAP3IN)),2))+2147483648,4294967296)-2147483648,((1000)-(c_TMAP3IN))*(((K48)-(c_TMAP3IN))*((1000)-(c_TMAP3OUT))+IF(((1000)-(c_TMAP3OUT))&gt;=0,1,-1)*QUOTIENT(((1000)-(c_TMAP3IN)),2)))&gt;=0,1,0)))</f>
        <v>-231</v>
      </c>
      <c r="Q48" s="7" t="str">
        <f aca="false">IF(K48&gt;=c_TFWD,IF(AND(K48&gt;=c_TMAP3IN,c_TMAP3IN&lt;1000),"Seg4 map3-100%",IF(AND(K48&gt;=c_TMAP2IN,c_TMAP3IN&gt;c_TMAP2IN),"Seg3 map2-map3",IF(AND(K48&gt;=c_TMAP1IN,c_TMAP2IN&gt;c_TMAP1IN),"Seg2 map1-map2","Seg1 TFWD-map1"))),IF(AND(K48=0,c_TCREEP&gt;0),"Creep",IF(AND(K48&lt;=c_TRNGMIN,K48&gt;=c_TRNGMAX,c_TRNGMIN-c_TRNGMAX&lt;&gt;0),"Regen ramp","Coast (0)")))</f>
        <v>Regen ramp</v>
      </c>
      <c r="R48" s="7" t="n">
        <f aca="false">IF(K48&gt;=c_TFWD,IF(AND(K48&gt;=c_TMAP3IN,c_TMAP3IN&lt;1000),P48,IF(AND(K48&gt;=c_TMAP2IN,c_TMAP3IN&gt;c_TMAP2IN),O48,IF(AND(K48&gt;=c_TMAP1IN,c_TMAP2IN&gt;c_TMAP1IN),N48,M48))),L48)</f>
        <v>-350</v>
      </c>
      <c r="S48" s="7" t="str">
        <f aca="false">IF(R48&lt;-1090,"TOO LOW",IF(R48&gt;1090,"TOO HIGH",""))</f>
        <v/>
      </c>
      <c r="T48" s="15" t="n">
        <f aca="false">IF(H48&lt;&gt;"OK",0,IF(S48&lt;&gt;"",0,IF(R48&gt;979,1000,R48)))</f>
        <v>-350</v>
      </c>
      <c r="U48" s="7" t="n">
        <f aca="false">T48/10</f>
        <v>-35</v>
      </c>
    </row>
    <row r="49" customFormat="false" ht="15" hidden="false" customHeight="false" outlineLevel="0" collapsed="false">
      <c r="A49" s="7" t="n">
        <v>44</v>
      </c>
      <c r="B49" s="7" t="n">
        <f aca="false">ROUND(o_SWSTART+A49*(o_SWEND-o_SWSTART)/400,0)</f>
        <v>450</v>
      </c>
      <c r="C49" s="7" t="n">
        <f aca="false">QUOTIENT((B49-c_OFF1)*c_GAIN1,1024)</f>
        <v>450</v>
      </c>
      <c r="D49" s="7" t="n">
        <f aca="false">IF(((c_T1MX)-(c_T1MN))=0,(0)+QUOTIENT(((1000)-(0)),2),QUOTIENT((((C49)-(c_T1MN))*((1000)-(0))+IF(((1000)-(0))&gt;=0,1,-1)*QUOTIENT(((c_T1MX)-(c_T1MN)),2)),((c_T1MX)-(c_T1MN)))+(0)+IF(((1000)-(0))&gt;=0,IF(IF(o_WRAP=1,MOD(((c_T1MX)-(c_T1MN))*(((C49)-(c_T1MN))*((1000)-(0))+IF(((1000)-(0))&gt;=0,1,-1)*QUOTIENT(((c_T1MX)-(c_T1MN)),2))+2147483648,4294967296)-2147483648,((c_T1MX)-(c_T1MN))*(((C49)-(c_T1MN))*((1000)-(0))+IF(((1000)-(0))&gt;=0,1,-1)*QUOTIENT(((c_T1MX)-(c_T1MN)),2)))&lt;0,-1,0),IF(IF(o_WRAP=1,MOD(((c_T1MX)-(c_T1MN))*(((C49)-(c_T1MN))*((1000)-(0))+IF(((1000)-(0))&gt;=0,1,-1)*QUOTIENT(((c_T1MX)-(c_T1MN)),2))+2147483648,4294967296)-2147483648,((c_T1MX)-(c_T1MN))*(((C49)-(c_T1MN))*((1000)-(0))+IF(((1000)-(0))&gt;=0,1,-1)*QUOTIENT(((c_T1MX)-(c_T1MN)),2)))&gt;=0,1,0)))</f>
        <v>-96</v>
      </c>
      <c r="E49" s="7" t="n">
        <f aca="false">IF(AND(c_TPOT=1,c_TTYPE=2),1000-D49,D49)</f>
        <v>-96</v>
      </c>
      <c r="F49" s="7" t="str">
        <f aca="false">IF(c_TPOT&gt;1,ROUND(IF(c_TTYPE=2,c_T2MX-IF(c_T1MX=c_T1MN,0,(C49-c_T1MN)/(c_T1MX-c_T1MN))*(c_T2MX-c_T2MN),c_T2MN+IF(c_T1MX=c_T1MN,0,(C49-c_T1MN)/(c_T1MX-c_T1MN))*(c_T2MX-c_T2MN))+o_MISMATCH,0),"")</f>
        <v/>
      </c>
      <c r="G49" s="7" t="str">
        <f aca="false">IF(c_TPOT&gt;1,IF(((c_T2MX)-(c_T2MN))=0,(0)+QUOTIENT(((1000)-(0)),2),QUOTIENT((((F49)-(c_T2MN))*((1000)-(0))+IF(((1000)-(0))&gt;=0,1,-1)*QUOTIENT(((c_T2MX)-(c_T2MN)),2)),((c_T2MX)-(c_T2MN)))+(0)+IF(((1000)-(0))&gt;=0,IF(IF(o_WRAP=1,MOD(((c_T2MX)-(c_T2MN))*(((F49)-(c_T2MN))*((1000)-(0))+IF(((1000)-(0))&gt;=0,1,-1)*QUOTIENT(((c_T2MX)-(c_T2MN)),2))+2147483648,4294967296)-2147483648,((c_T2MX)-(c_T2MN))*(((F49)-(c_T2MN))*((1000)-(0))+IF(((1000)-(0))&gt;=0,1,-1)*QUOTIENT(((c_T2MX)-(c_T2MN)),2)))&lt;0,-1,0),IF(IF(o_WRAP=1,MOD(((c_T2MX)-(c_T2MN))*(((F49)-(c_T2MN))*((1000)-(0))+IF(((1000)-(0))&gt;=0,1,-1)*QUOTIENT(((c_T2MX)-(c_T2MN)),2))+2147483648,4294967296)-2147483648,((c_T2MX)-(c_T2MN))*(((F49)-(c_T2MN))*((1000)-(0))+IF(((1000)-(0))&gt;=0,1,-1)*QUOTIENT(((c_T2MX)-(c_T2MN)),2)))&gt;=0,1,0))),"")</f>
        <v/>
      </c>
      <c r="H49" s="7" t="str">
        <f aca="false">IF(E49&gt;1000+k_TOL,"T1 HIGH",IF(E49&lt;0-k_TOL,"T1 LOW",IF(c_TPOT&gt;1,IF(G49&gt;1000+k_TOL,"T2 HIGH",IF(G49&lt;0-k_TOL,"T2 LOW",IF(c_TTYPE=2,IF(ABS(1000-MAX(0,MIN(1000,E49))-MAX(0,MIN(1000,G49)))&gt;k_MAXERR,"MISMATCH","OK"),IF(OR(MAX(0,MIN(1000,E49))-k_MAXERR&gt;MAX(0,MIN(1000,G49)),MAX(0,MIN(1000,G49))-k_MAXERR&gt;MAX(0,MIN(1000,E49))),"MISMATCH","OK")))),"OK")))</f>
        <v>OK</v>
      </c>
      <c r="I49" s="7" t="n">
        <f aca="false">MAX(0,MIN(1000,D49))</f>
        <v>0</v>
      </c>
      <c r="J49" s="7" t="str">
        <f aca="false">IF(c_TPOT&gt;1,IF(c_TTYPE=2,1000-MAX(0,MIN(1000,G49)),MAX(0,MIN(1000,G49))),"")</f>
        <v/>
      </c>
      <c r="K49" s="7" t="n">
        <f aca="false">IF(c_TPOT&gt;1,QUOTIENT(I49+J49,2),I49)</f>
        <v>0</v>
      </c>
      <c r="L49" s="7" t="n">
        <f aca="false">IF(AND(K49=0,c_TCREEP&gt;0),10*c_TCREEP,IF(AND(K49&lt;=c_TRNGMIN,K49&gt;=c_TRNGMAX,c_TRNGMIN-c_TRNGMAX&lt;&gt;0),-10*c_TMINRN+QUOTIENT((c_TMAXRN-c_TMINRN)*(100-QUOTIENT((K49-c_TRNGMAX)*100,c_TRNGMIN-c_TRNGMAX)),-10),0))</f>
        <v>-350</v>
      </c>
      <c r="M49" s="7" t="n">
        <f aca="false">IF(((c_TMAP1IN)-(c_TFWD))=0,(0)+QUOTIENT(((c_TMAP1OUT)-(0)),2),QUOTIENT((((K49)-(c_TFWD))*((c_TMAP1OUT)-(0))+IF(((c_TMAP1OUT)-(0))&gt;=0,1,-1)*QUOTIENT(((c_TMAP1IN)-(c_TFWD)),2)),((c_TMAP1IN)-(c_TFWD)))+(0)+IF(((c_TMAP1OUT)-(0))&gt;=0,IF(IF(o_WRAP=1,MOD(((c_TMAP1IN)-(c_TFWD))*(((K49)-(c_TFWD))*((c_TMAP1OUT)-(0))+IF(((c_TMAP1OUT)-(0))&gt;=0,1,-1)*QUOTIENT(((c_TMAP1IN)-(c_TFWD)),2))+2147483648,4294967296)-2147483648,((c_TMAP1IN)-(c_TFWD))*(((K49)-(c_TFWD))*((c_TMAP1OUT)-(0))+IF(((c_TMAP1OUT)-(0))&gt;=0,1,-1)*QUOTIENT(((c_TMAP1IN)-(c_TFWD)),2)))&lt;0,-1,0),IF(IF(o_WRAP=1,MOD(((c_TMAP1IN)-(c_TFWD))*(((K49)-(c_TFWD))*((c_TMAP1OUT)-(0))+IF(((c_TMAP1OUT)-(0))&gt;=0,1,-1)*QUOTIENT(((c_TMAP1IN)-(c_TFWD)),2))+2147483648,4294967296)-2147483648,((c_TMAP1IN)-(c_TFWD))*(((K49)-(c_TFWD))*((c_TMAP1OUT)-(0))+IF(((c_TMAP1OUT)-(0))&gt;=0,1,-1)*QUOTIENT(((c_TMAP1IN)-(c_TFWD)),2)))&gt;=0,1,0)))</f>
        <v>-8</v>
      </c>
      <c r="N49" s="7" t="n">
        <f aca="false">IF(((c_TMAP2IN)-(c_TMAP1IN))=0,(c_TMAP1OUT)+QUOTIENT(((c_TMAP2OUT)-(c_TMAP1OUT)),2),QUOTIENT((((K49)-(c_TMAP1IN))*((c_TMAP2OUT)-(c_TMAP1OUT))+IF(((c_TMAP2OUT)-(c_TMAP1OUT))&gt;=0,1,-1)*QUOTIENT(((c_TMAP2IN)-(c_TMAP1IN)),2)),((c_TMAP2IN)-(c_TMAP1IN)))+(c_TMAP1OUT)+IF(((c_TMAP2OUT)-(c_TMAP1OUT))&gt;=0,IF(IF(o_WRAP=1,MOD(((c_TMAP2IN)-(c_TMAP1IN))*(((K49)-(c_TMAP1IN))*((c_TMAP2OUT)-(c_TMAP1OUT))+IF(((c_TMAP2OUT)-(c_TMAP1OUT))&gt;=0,1,-1)*QUOTIENT(((c_TMAP2IN)-(c_TMAP1IN)),2))+2147483648,4294967296)-2147483648,((c_TMAP2IN)-(c_TMAP1IN))*(((K49)-(c_TMAP1IN))*((c_TMAP2OUT)-(c_TMAP1OUT))+IF(((c_TMAP2OUT)-(c_TMAP1OUT))&gt;=0,1,-1)*QUOTIENT(((c_TMAP2IN)-(c_TMAP1IN)),2)))&lt;0,-1,0),IF(IF(o_WRAP=1,MOD(((c_TMAP2IN)-(c_TMAP1IN))*(((K49)-(c_TMAP1IN))*((c_TMAP2OUT)-(c_TMAP1OUT))+IF(((c_TMAP2OUT)-(c_TMAP1OUT))&gt;=0,1,-1)*QUOTIENT(((c_TMAP2IN)-(c_TMAP1IN)),2))+2147483648,4294967296)-2147483648,((c_TMAP2IN)-(c_TMAP1IN))*(((K49)-(c_TMAP1IN))*((c_TMAP2OUT)-(c_TMAP1OUT))+IF(((c_TMAP2OUT)-(c_TMAP1OUT))&gt;=0,1,-1)*QUOTIENT(((c_TMAP2IN)-(c_TMAP1IN)),2)))&gt;=0,1,0)))</f>
        <v>30</v>
      </c>
      <c r="O49" s="7" t="n">
        <f aca="false">IF(((c_TMAP3IN)-(c_TMAP2IN))=0,(c_TMAP2OUT)+QUOTIENT(((c_TMAP3OUT)-(c_TMAP2OUT)),2),QUOTIENT((((K49)-(c_TMAP2IN))*((c_TMAP3OUT)-(c_TMAP2OUT))+IF(((c_TMAP3OUT)-(c_TMAP2OUT))&gt;=0,1,-1)*QUOTIENT(((c_TMAP3IN)-(c_TMAP2IN)),2)),((c_TMAP3IN)-(c_TMAP2IN)))+(c_TMAP2OUT)+IF(((c_TMAP3OUT)-(c_TMAP2OUT))&gt;=0,IF(IF(o_WRAP=1,MOD(((c_TMAP3IN)-(c_TMAP2IN))*(((K49)-(c_TMAP2IN))*((c_TMAP3OUT)-(c_TMAP2OUT))+IF(((c_TMAP3OUT)-(c_TMAP2OUT))&gt;=0,1,-1)*QUOTIENT(((c_TMAP3IN)-(c_TMAP2IN)),2))+2147483648,4294967296)-2147483648,((c_TMAP3IN)-(c_TMAP2IN))*(((K49)-(c_TMAP2IN))*((c_TMAP3OUT)-(c_TMAP2OUT))+IF(((c_TMAP3OUT)-(c_TMAP2OUT))&gt;=0,1,-1)*QUOTIENT(((c_TMAP3IN)-(c_TMAP2IN)),2)))&lt;0,-1,0),IF(IF(o_WRAP=1,MOD(((c_TMAP3IN)-(c_TMAP2IN))*(((K49)-(c_TMAP2IN))*((c_TMAP3OUT)-(c_TMAP2OUT))+IF(((c_TMAP3OUT)-(c_TMAP2OUT))&gt;=0,1,-1)*QUOTIENT(((c_TMAP3IN)-(c_TMAP2IN)),2))+2147483648,4294967296)-2147483648,((c_TMAP3IN)-(c_TMAP2IN))*(((K49)-(c_TMAP2IN))*((c_TMAP3OUT)-(c_TMAP2OUT))+IF(((c_TMAP3OUT)-(c_TMAP2OUT))&gt;=0,1,-1)*QUOTIENT(((c_TMAP3IN)-(c_TMAP2IN)),2)))&gt;=0,1,0)))</f>
        <v>-45</v>
      </c>
      <c r="P49" s="7" t="n">
        <f aca="false">IF(((1000)-(c_TMAP3IN))=0,(c_TMAP3OUT)+QUOTIENT(((1000)-(c_TMAP3OUT)),2),QUOTIENT((((K49)-(c_TMAP3IN))*((1000)-(c_TMAP3OUT))+IF(((1000)-(c_TMAP3OUT))&gt;=0,1,-1)*QUOTIENT(((1000)-(c_TMAP3IN)),2)),((1000)-(c_TMAP3IN)))+(c_TMAP3OUT)+IF(((1000)-(c_TMAP3OUT))&gt;=0,IF(IF(o_WRAP=1,MOD(((1000)-(c_TMAP3IN))*(((K49)-(c_TMAP3IN))*((1000)-(c_TMAP3OUT))+IF(((1000)-(c_TMAP3OUT))&gt;=0,1,-1)*QUOTIENT(((1000)-(c_TMAP3IN)),2))+2147483648,4294967296)-2147483648,((1000)-(c_TMAP3IN))*(((K49)-(c_TMAP3IN))*((1000)-(c_TMAP3OUT))+IF(((1000)-(c_TMAP3OUT))&gt;=0,1,-1)*QUOTIENT(((1000)-(c_TMAP3IN)),2)))&lt;0,-1,0),IF(IF(o_WRAP=1,MOD(((1000)-(c_TMAP3IN))*(((K49)-(c_TMAP3IN))*((1000)-(c_TMAP3OUT))+IF(((1000)-(c_TMAP3OUT))&gt;=0,1,-1)*QUOTIENT(((1000)-(c_TMAP3IN)),2))+2147483648,4294967296)-2147483648,((1000)-(c_TMAP3IN))*(((K49)-(c_TMAP3IN))*((1000)-(c_TMAP3OUT))+IF(((1000)-(c_TMAP3OUT))&gt;=0,1,-1)*QUOTIENT(((1000)-(c_TMAP3IN)),2)))&gt;=0,1,0)))</f>
        <v>-231</v>
      </c>
      <c r="Q49" s="7" t="str">
        <f aca="false">IF(K49&gt;=c_TFWD,IF(AND(K49&gt;=c_TMAP3IN,c_TMAP3IN&lt;1000),"Seg4 map3-100%",IF(AND(K49&gt;=c_TMAP2IN,c_TMAP3IN&gt;c_TMAP2IN),"Seg3 map2-map3",IF(AND(K49&gt;=c_TMAP1IN,c_TMAP2IN&gt;c_TMAP1IN),"Seg2 map1-map2","Seg1 TFWD-map1"))),IF(AND(K49=0,c_TCREEP&gt;0),"Creep",IF(AND(K49&lt;=c_TRNGMIN,K49&gt;=c_TRNGMAX,c_TRNGMIN-c_TRNGMAX&lt;&gt;0),"Regen ramp","Coast (0)")))</f>
        <v>Regen ramp</v>
      </c>
      <c r="R49" s="7" t="n">
        <f aca="false">IF(K49&gt;=c_TFWD,IF(AND(K49&gt;=c_TMAP3IN,c_TMAP3IN&lt;1000),P49,IF(AND(K49&gt;=c_TMAP2IN,c_TMAP3IN&gt;c_TMAP2IN),O49,IF(AND(K49&gt;=c_TMAP1IN,c_TMAP2IN&gt;c_TMAP1IN),N49,M49))),L49)</f>
        <v>-350</v>
      </c>
      <c r="S49" s="7" t="str">
        <f aca="false">IF(R49&lt;-1090,"TOO LOW",IF(R49&gt;1090,"TOO HIGH",""))</f>
        <v/>
      </c>
      <c r="T49" s="15" t="n">
        <f aca="false">IF(H49&lt;&gt;"OK",0,IF(S49&lt;&gt;"",0,IF(R49&gt;979,1000,R49)))</f>
        <v>-350</v>
      </c>
      <c r="U49" s="7" t="n">
        <f aca="false">T49/10</f>
        <v>-35</v>
      </c>
    </row>
    <row r="50" customFormat="false" ht="15" hidden="false" customHeight="false" outlineLevel="0" collapsed="false">
      <c r="A50" s="7" t="n">
        <v>45</v>
      </c>
      <c r="B50" s="7" t="n">
        <f aca="false">ROUND(o_SWSTART+A50*(o_SWEND-o_SWSTART)/400,0)</f>
        <v>461</v>
      </c>
      <c r="C50" s="7" t="n">
        <f aca="false">QUOTIENT((B50-c_OFF1)*c_GAIN1,1024)</f>
        <v>461</v>
      </c>
      <c r="D50" s="7" t="n">
        <f aca="false">IF(((c_T1MX)-(c_T1MN))=0,(0)+QUOTIENT(((1000)-(0)),2),QUOTIENT((((C50)-(c_T1MN))*((1000)-(0))+IF(((1000)-(0))&gt;=0,1,-1)*QUOTIENT(((c_T1MX)-(c_T1MN)),2)),((c_T1MX)-(c_T1MN)))+(0)+IF(((1000)-(0))&gt;=0,IF(IF(o_WRAP=1,MOD(((c_T1MX)-(c_T1MN))*(((C50)-(c_T1MN))*((1000)-(0))+IF(((1000)-(0))&gt;=0,1,-1)*QUOTIENT(((c_T1MX)-(c_T1MN)),2))+2147483648,4294967296)-2147483648,((c_T1MX)-(c_T1MN))*(((C50)-(c_T1MN))*((1000)-(0))+IF(((1000)-(0))&gt;=0,1,-1)*QUOTIENT(((c_T1MX)-(c_T1MN)),2)))&lt;0,-1,0),IF(IF(o_WRAP=1,MOD(((c_T1MX)-(c_T1MN))*(((C50)-(c_T1MN))*((1000)-(0))+IF(((1000)-(0))&gt;=0,1,-1)*QUOTIENT(((c_T1MX)-(c_T1MN)),2))+2147483648,4294967296)-2147483648,((c_T1MX)-(c_T1MN))*(((C50)-(c_T1MN))*((1000)-(0))+IF(((1000)-(0))&gt;=0,1,-1)*QUOTIENT(((c_T1MX)-(c_T1MN)),2)))&gt;=0,1,0)))</f>
        <v>-92</v>
      </c>
      <c r="E50" s="7" t="n">
        <f aca="false">IF(AND(c_TPOT=1,c_TTYPE=2),1000-D50,D50)</f>
        <v>-92</v>
      </c>
      <c r="F50" s="7" t="str">
        <f aca="false">IF(c_TPOT&gt;1,ROUND(IF(c_TTYPE=2,c_T2MX-IF(c_T1MX=c_T1MN,0,(C50-c_T1MN)/(c_T1MX-c_T1MN))*(c_T2MX-c_T2MN),c_T2MN+IF(c_T1MX=c_T1MN,0,(C50-c_T1MN)/(c_T1MX-c_T1MN))*(c_T2MX-c_T2MN))+o_MISMATCH,0),"")</f>
        <v/>
      </c>
      <c r="G50" s="7" t="str">
        <f aca="false">IF(c_TPOT&gt;1,IF(((c_T2MX)-(c_T2MN))=0,(0)+QUOTIENT(((1000)-(0)),2),QUOTIENT((((F50)-(c_T2MN))*((1000)-(0))+IF(((1000)-(0))&gt;=0,1,-1)*QUOTIENT(((c_T2MX)-(c_T2MN)),2)),((c_T2MX)-(c_T2MN)))+(0)+IF(((1000)-(0))&gt;=0,IF(IF(o_WRAP=1,MOD(((c_T2MX)-(c_T2MN))*(((F50)-(c_T2MN))*((1000)-(0))+IF(((1000)-(0))&gt;=0,1,-1)*QUOTIENT(((c_T2MX)-(c_T2MN)),2))+2147483648,4294967296)-2147483648,((c_T2MX)-(c_T2MN))*(((F50)-(c_T2MN))*((1000)-(0))+IF(((1000)-(0))&gt;=0,1,-1)*QUOTIENT(((c_T2MX)-(c_T2MN)),2)))&lt;0,-1,0),IF(IF(o_WRAP=1,MOD(((c_T2MX)-(c_T2MN))*(((F50)-(c_T2MN))*((1000)-(0))+IF(((1000)-(0))&gt;=0,1,-1)*QUOTIENT(((c_T2MX)-(c_T2MN)),2))+2147483648,4294967296)-2147483648,((c_T2MX)-(c_T2MN))*(((F50)-(c_T2MN))*((1000)-(0))+IF(((1000)-(0))&gt;=0,1,-1)*QUOTIENT(((c_T2MX)-(c_T2MN)),2)))&gt;=0,1,0))),"")</f>
        <v/>
      </c>
      <c r="H50" s="7" t="str">
        <f aca="false">IF(E50&gt;1000+k_TOL,"T1 HIGH",IF(E50&lt;0-k_TOL,"T1 LOW",IF(c_TPOT&gt;1,IF(G50&gt;1000+k_TOL,"T2 HIGH",IF(G50&lt;0-k_TOL,"T2 LOW",IF(c_TTYPE=2,IF(ABS(1000-MAX(0,MIN(1000,E50))-MAX(0,MIN(1000,G50)))&gt;k_MAXERR,"MISMATCH","OK"),IF(OR(MAX(0,MIN(1000,E50))-k_MAXERR&gt;MAX(0,MIN(1000,G50)),MAX(0,MIN(1000,G50))-k_MAXERR&gt;MAX(0,MIN(1000,E50))),"MISMATCH","OK")))),"OK")))</f>
        <v>OK</v>
      </c>
      <c r="I50" s="7" t="n">
        <f aca="false">MAX(0,MIN(1000,D50))</f>
        <v>0</v>
      </c>
      <c r="J50" s="7" t="str">
        <f aca="false">IF(c_TPOT&gt;1,IF(c_TTYPE=2,1000-MAX(0,MIN(1000,G50)),MAX(0,MIN(1000,G50))),"")</f>
        <v/>
      </c>
      <c r="K50" s="7" t="n">
        <f aca="false">IF(c_TPOT&gt;1,QUOTIENT(I50+J50,2),I50)</f>
        <v>0</v>
      </c>
      <c r="L50" s="7" t="n">
        <f aca="false">IF(AND(K50=0,c_TCREEP&gt;0),10*c_TCREEP,IF(AND(K50&lt;=c_TRNGMIN,K50&gt;=c_TRNGMAX,c_TRNGMIN-c_TRNGMAX&lt;&gt;0),-10*c_TMINRN+QUOTIENT((c_TMAXRN-c_TMINRN)*(100-QUOTIENT((K50-c_TRNGMAX)*100,c_TRNGMIN-c_TRNGMAX)),-10),0))</f>
        <v>-350</v>
      </c>
      <c r="M50" s="7" t="n">
        <f aca="false">IF(((c_TMAP1IN)-(c_TFWD))=0,(0)+QUOTIENT(((c_TMAP1OUT)-(0)),2),QUOTIENT((((K50)-(c_TFWD))*((c_TMAP1OUT)-(0))+IF(((c_TMAP1OUT)-(0))&gt;=0,1,-1)*QUOTIENT(((c_TMAP1IN)-(c_TFWD)),2)),((c_TMAP1IN)-(c_TFWD)))+(0)+IF(((c_TMAP1OUT)-(0))&gt;=0,IF(IF(o_WRAP=1,MOD(((c_TMAP1IN)-(c_TFWD))*(((K50)-(c_TFWD))*((c_TMAP1OUT)-(0))+IF(((c_TMAP1OUT)-(0))&gt;=0,1,-1)*QUOTIENT(((c_TMAP1IN)-(c_TFWD)),2))+2147483648,4294967296)-2147483648,((c_TMAP1IN)-(c_TFWD))*(((K50)-(c_TFWD))*((c_TMAP1OUT)-(0))+IF(((c_TMAP1OUT)-(0))&gt;=0,1,-1)*QUOTIENT(((c_TMAP1IN)-(c_TFWD)),2)))&lt;0,-1,0),IF(IF(o_WRAP=1,MOD(((c_TMAP1IN)-(c_TFWD))*(((K50)-(c_TFWD))*((c_TMAP1OUT)-(0))+IF(((c_TMAP1OUT)-(0))&gt;=0,1,-1)*QUOTIENT(((c_TMAP1IN)-(c_TFWD)),2))+2147483648,4294967296)-2147483648,((c_TMAP1IN)-(c_TFWD))*(((K50)-(c_TFWD))*((c_TMAP1OUT)-(0))+IF(((c_TMAP1OUT)-(0))&gt;=0,1,-1)*QUOTIENT(((c_TMAP1IN)-(c_TFWD)),2)))&gt;=0,1,0)))</f>
        <v>-8</v>
      </c>
      <c r="N50" s="7" t="n">
        <f aca="false">IF(((c_TMAP2IN)-(c_TMAP1IN))=0,(c_TMAP1OUT)+QUOTIENT(((c_TMAP2OUT)-(c_TMAP1OUT)),2),QUOTIENT((((K50)-(c_TMAP1IN))*((c_TMAP2OUT)-(c_TMAP1OUT))+IF(((c_TMAP2OUT)-(c_TMAP1OUT))&gt;=0,1,-1)*QUOTIENT(((c_TMAP2IN)-(c_TMAP1IN)),2)),((c_TMAP2IN)-(c_TMAP1IN)))+(c_TMAP1OUT)+IF(((c_TMAP2OUT)-(c_TMAP1OUT))&gt;=0,IF(IF(o_WRAP=1,MOD(((c_TMAP2IN)-(c_TMAP1IN))*(((K50)-(c_TMAP1IN))*((c_TMAP2OUT)-(c_TMAP1OUT))+IF(((c_TMAP2OUT)-(c_TMAP1OUT))&gt;=0,1,-1)*QUOTIENT(((c_TMAP2IN)-(c_TMAP1IN)),2))+2147483648,4294967296)-2147483648,((c_TMAP2IN)-(c_TMAP1IN))*(((K50)-(c_TMAP1IN))*((c_TMAP2OUT)-(c_TMAP1OUT))+IF(((c_TMAP2OUT)-(c_TMAP1OUT))&gt;=0,1,-1)*QUOTIENT(((c_TMAP2IN)-(c_TMAP1IN)),2)))&lt;0,-1,0),IF(IF(o_WRAP=1,MOD(((c_TMAP2IN)-(c_TMAP1IN))*(((K50)-(c_TMAP1IN))*((c_TMAP2OUT)-(c_TMAP1OUT))+IF(((c_TMAP2OUT)-(c_TMAP1OUT))&gt;=0,1,-1)*QUOTIENT(((c_TMAP2IN)-(c_TMAP1IN)),2))+2147483648,4294967296)-2147483648,((c_TMAP2IN)-(c_TMAP1IN))*(((K50)-(c_TMAP1IN))*((c_TMAP2OUT)-(c_TMAP1OUT))+IF(((c_TMAP2OUT)-(c_TMAP1OUT))&gt;=0,1,-1)*QUOTIENT(((c_TMAP2IN)-(c_TMAP1IN)),2)))&gt;=0,1,0)))</f>
        <v>30</v>
      </c>
      <c r="O50" s="7" t="n">
        <f aca="false">IF(((c_TMAP3IN)-(c_TMAP2IN))=0,(c_TMAP2OUT)+QUOTIENT(((c_TMAP3OUT)-(c_TMAP2OUT)),2),QUOTIENT((((K50)-(c_TMAP2IN))*((c_TMAP3OUT)-(c_TMAP2OUT))+IF(((c_TMAP3OUT)-(c_TMAP2OUT))&gt;=0,1,-1)*QUOTIENT(((c_TMAP3IN)-(c_TMAP2IN)),2)),((c_TMAP3IN)-(c_TMAP2IN)))+(c_TMAP2OUT)+IF(((c_TMAP3OUT)-(c_TMAP2OUT))&gt;=0,IF(IF(o_WRAP=1,MOD(((c_TMAP3IN)-(c_TMAP2IN))*(((K50)-(c_TMAP2IN))*((c_TMAP3OUT)-(c_TMAP2OUT))+IF(((c_TMAP3OUT)-(c_TMAP2OUT))&gt;=0,1,-1)*QUOTIENT(((c_TMAP3IN)-(c_TMAP2IN)),2))+2147483648,4294967296)-2147483648,((c_TMAP3IN)-(c_TMAP2IN))*(((K50)-(c_TMAP2IN))*((c_TMAP3OUT)-(c_TMAP2OUT))+IF(((c_TMAP3OUT)-(c_TMAP2OUT))&gt;=0,1,-1)*QUOTIENT(((c_TMAP3IN)-(c_TMAP2IN)),2)))&lt;0,-1,0),IF(IF(o_WRAP=1,MOD(((c_TMAP3IN)-(c_TMAP2IN))*(((K50)-(c_TMAP2IN))*((c_TMAP3OUT)-(c_TMAP2OUT))+IF(((c_TMAP3OUT)-(c_TMAP2OUT))&gt;=0,1,-1)*QUOTIENT(((c_TMAP3IN)-(c_TMAP2IN)),2))+2147483648,4294967296)-2147483648,((c_TMAP3IN)-(c_TMAP2IN))*(((K50)-(c_TMAP2IN))*((c_TMAP3OUT)-(c_TMAP2OUT))+IF(((c_TMAP3OUT)-(c_TMAP2OUT))&gt;=0,1,-1)*QUOTIENT(((c_TMAP3IN)-(c_TMAP2IN)),2)))&gt;=0,1,0)))</f>
        <v>-45</v>
      </c>
      <c r="P50" s="7" t="n">
        <f aca="false">IF(((1000)-(c_TMAP3IN))=0,(c_TMAP3OUT)+QUOTIENT(((1000)-(c_TMAP3OUT)),2),QUOTIENT((((K50)-(c_TMAP3IN))*((1000)-(c_TMAP3OUT))+IF(((1000)-(c_TMAP3OUT))&gt;=0,1,-1)*QUOTIENT(((1000)-(c_TMAP3IN)),2)),((1000)-(c_TMAP3IN)))+(c_TMAP3OUT)+IF(((1000)-(c_TMAP3OUT))&gt;=0,IF(IF(o_WRAP=1,MOD(((1000)-(c_TMAP3IN))*(((K50)-(c_TMAP3IN))*((1000)-(c_TMAP3OUT))+IF(((1000)-(c_TMAP3OUT))&gt;=0,1,-1)*QUOTIENT(((1000)-(c_TMAP3IN)),2))+2147483648,4294967296)-2147483648,((1000)-(c_TMAP3IN))*(((K50)-(c_TMAP3IN))*((1000)-(c_TMAP3OUT))+IF(((1000)-(c_TMAP3OUT))&gt;=0,1,-1)*QUOTIENT(((1000)-(c_TMAP3IN)),2)))&lt;0,-1,0),IF(IF(o_WRAP=1,MOD(((1000)-(c_TMAP3IN))*(((K50)-(c_TMAP3IN))*((1000)-(c_TMAP3OUT))+IF(((1000)-(c_TMAP3OUT))&gt;=0,1,-1)*QUOTIENT(((1000)-(c_TMAP3IN)),2))+2147483648,4294967296)-2147483648,((1000)-(c_TMAP3IN))*(((K50)-(c_TMAP3IN))*((1000)-(c_TMAP3OUT))+IF(((1000)-(c_TMAP3OUT))&gt;=0,1,-1)*QUOTIENT(((1000)-(c_TMAP3IN)),2)))&gt;=0,1,0)))</f>
        <v>-231</v>
      </c>
      <c r="Q50" s="7" t="str">
        <f aca="false">IF(K50&gt;=c_TFWD,IF(AND(K50&gt;=c_TMAP3IN,c_TMAP3IN&lt;1000),"Seg4 map3-100%",IF(AND(K50&gt;=c_TMAP2IN,c_TMAP3IN&gt;c_TMAP2IN),"Seg3 map2-map3",IF(AND(K50&gt;=c_TMAP1IN,c_TMAP2IN&gt;c_TMAP1IN),"Seg2 map1-map2","Seg1 TFWD-map1"))),IF(AND(K50=0,c_TCREEP&gt;0),"Creep",IF(AND(K50&lt;=c_TRNGMIN,K50&gt;=c_TRNGMAX,c_TRNGMIN-c_TRNGMAX&lt;&gt;0),"Regen ramp","Coast (0)")))</f>
        <v>Regen ramp</v>
      </c>
      <c r="R50" s="7" t="n">
        <f aca="false">IF(K50&gt;=c_TFWD,IF(AND(K50&gt;=c_TMAP3IN,c_TMAP3IN&lt;1000),P50,IF(AND(K50&gt;=c_TMAP2IN,c_TMAP3IN&gt;c_TMAP2IN),O50,IF(AND(K50&gt;=c_TMAP1IN,c_TMAP2IN&gt;c_TMAP1IN),N50,M50))),L50)</f>
        <v>-350</v>
      </c>
      <c r="S50" s="7" t="str">
        <f aca="false">IF(R50&lt;-1090,"TOO LOW",IF(R50&gt;1090,"TOO HIGH",""))</f>
        <v/>
      </c>
      <c r="T50" s="15" t="n">
        <f aca="false">IF(H50&lt;&gt;"OK",0,IF(S50&lt;&gt;"",0,IF(R50&gt;979,1000,R50)))</f>
        <v>-350</v>
      </c>
      <c r="U50" s="7" t="n">
        <f aca="false">T50/10</f>
        <v>-35</v>
      </c>
    </row>
    <row r="51" customFormat="false" ht="15" hidden="false" customHeight="false" outlineLevel="0" collapsed="false">
      <c r="A51" s="7" t="n">
        <v>46</v>
      </c>
      <c r="B51" s="7" t="n">
        <f aca="false">ROUND(o_SWSTART+A51*(o_SWEND-o_SWSTART)/400,0)</f>
        <v>471</v>
      </c>
      <c r="C51" s="7" t="n">
        <f aca="false">QUOTIENT((B51-c_OFF1)*c_GAIN1,1024)</f>
        <v>471</v>
      </c>
      <c r="D51" s="7" t="n">
        <f aca="false">IF(((c_T1MX)-(c_T1MN))=0,(0)+QUOTIENT(((1000)-(0)),2),QUOTIENT((((C51)-(c_T1MN))*((1000)-(0))+IF(((1000)-(0))&gt;=0,1,-1)*QUOTIENT(((c_T1MX)-(c_T1MN)),2)),((c_T1MX)-(c_T1MN)))+(0)+IF(((1000)-(0))&gt;=0,IF(IF(o_WRAP=1,MOD(((c_T1MX)-(c_T1MN))*(((C51)-(c_T1MN))*((1000)-(0))+IF(((1000)-(0))&gt;=0,1,-1)*QUOTIENT(((c_T1MX)-(c_T1MN)),2))+2147483648,4294967296)-2147483648,((c_T1MX)-(c_T1MN))*(((C51)-(c_T1MN))*((1000)-(0))+IF(((1000)-(0))&gt;=0,1,-1)*QUOTIENT(((c_T1MX)-(c_T1MN)),2)))&lt;0,-1,0),IF(IF(o_WRAP=1,MOD(((c_T1MX)-(c_T1MN))*(((C51)-(c_T1MN))*((1000)-(0))+IF(((1000)-(0))&gt;=0,1,-1)*QUOTIENT(((c_T1MX)-(c_T1MN)),2))+2147483648,4294967296)-2147483648,((c_T1MX)-(c_T1MN))*(((C51)-(c_T1MN))*((1000)-(0))+IF(((1000)-(0))&gt;=0,1,-1)*QUOTIENT(((c_T1MX)-(c_T1MN)),2)))&gt;=0,1,0)))</f>
        <v>-88</v>
      </c>
      <c r="E51" s="7" t="n">
        <f aca="false">IF(AND(c_TPOT=1,c_TTYPE=2),1000-D51,D51)</f>
        <v>-88</v>
      </c>
      <c r="F51" s="7" t="str">
        <f aca="false">IF(c_TPOT&gt;1,ROUND(IF(c_TTYPE=2,c_T2MX-IF(c_T1MX=c_T1MN,0,(C51-c_T1MN)/(c_T1MX-c_T1MN))*(c_T2MX-c_T2MN),c_T2MN+IF(c_T1MX=c_T1MN,0,(C51-c_T1MN)/(c_T1MX-c_T1MN))*(c_T2MX-c_T2MN))+o_MISMATCH,0),"")</f>
        <v/>
      </c>
      <c r="G51" s="7" t="str">
        <f aca="false">IF(c_TPOT&gt;1,IF(((c_T2MX)-(c_T2MN))=0,(0)+QUOTIENT(((1000)-(0)),2),QUOTIENT((((F51)-(c_T2MN))*((1000)-(0))+IF(((1000)-(0))&gt;=0,1,-1)*QUOTIENT(((c_T2MX)-(c_T2MN)),2)),((c_T2MX)-(c_T2MN)))+(0)+IF(((1000)-(0))&gt;=0,IF(IF(o_WRAP=1,MOD(((c_T2MX)-(c_T2MN))*(((F51)-(c_T2MN))*((1000)-(0))+IF(((1000)-(0))&gt;=0,1,-1)*QUOTIENT(((c_T2MX)-(c_T2MN)),2))+2147483648,4294967296)-2147483648,((c_T2MX)-(c_T2MN))*(((F51)-(c_T2MN))*((1000)-(0))+IF(((1000)-(0))&gt;=0,1,-1)*QUOTIENT(((c_T2MX)-(c_T2MN)),2)))&lt;0,-1,0),IF(IF(o_WRAP=1,MOD(((c_T2MX)-(c_T2MN))*(((F51)-(c_T2MN))*((1000)-(0))+IF(((1000)-(0))&gt;=0,1,-1)*QUOTIENT(((c_T2MX)-(c_T2MN)),2))+2147483648,4294967296)-2147483648,((c_T2MX)-(c_T2MN))*(((F51)-(c_T2MN))*((1000)-(0))+IF(((1000)-(0))&gt;=0,1,-1)*QUOTIENT(((c_T2MX)-(c_T2MN)),2)))&gt;=0,1,0))),"")</f>
        <v/>
      </c>
      <c r="H51" s="7" t="str">
        <f aca="false">IF(E51&gt;1000+k_TOL,"T1 HIGH",IF(E51&lt;0-k_TOL,"T1 LOW",IF(c_TPOT&gt;1,IF(G51&gt;1000+k_TOL,"T2 HIGH",IF(G51&lt;0-k_TOL,"T2 LOW",IF(c_TTYPE=2,IF(ABS(1000-MAX(0,MIN(1000,E51))-MAX(0,MIN(1000,G51)))&gt;k_MAXERR,"MISMATCH","OK"),IF(OR(MAX(0,MIN(1000,E51))-k_MAXERR&gt;MAX(0,MIN(1000,G51)),MAX(0,MIN(1000,G51))-k_MAXERR&gt;MAX(0,MIN(1000,E51))),"MISMATCH","OK")))),"OK")))</f>
        <v>OK</v>
      </c>
      <c r="I51" s="7" t="n">
        <f aca="false">MAX(0,MIN(1000,D51))</f>
        <v>0</v>
      </c>
      <c r="J51" s="7" t="str">
        <f aca="false">IF(c_TPOT&gt;1,IF(c_TTYPE=2,1000-MAX(0,MIN(1000,G51)),MAX(0,MIN(1000,G51))),"")</f>
        <v/>
      </c>
      <c r="K51" s="7" t="n">
        <f aca="false">IF(c_TPOT&gt;1,QUOTIENT(I51+J51,2),I51)</f>
        <v>0</v>
      </c>
      <c r="L51" s="7" t="n">
        <f aca="false">IF(AND(K51=0,c_TCREEP&gt;0),10*c_TCREEP,IF(AND(K51&lt;=c_TRNGMIN,K51&gt;=c_TRNGMAX,c_TRNGMIN-c_TRNGMAX&lt;&gt;0),-10*c_TMINRN+QUOTIENT((c_TMAXRN-c_TMINRN)*(100-QUOTIENT((K51-c_TRNGMAX)*100,c_TRNGMIN-c_TRNGMAX)),-10),0))</f>
        <v>-350</v>
      </c>
      <c r="M51" s="7" t="n">
        <f aca="false">IF(((c_TMAP1IN)-(c_TFWD))=0,(0)+QUOTIENT(((c_TMAP1OUT)-(0)),2),QUOTIENT((((K51)-(c_TFWD))*((c_TMAP1OUT)-(0))+IF(((c_TMAP1OUT)-(0))&gt;=0,1,-1)*QUOTIENT(((c_TMAP1IN)-(c_TFWD)),2)),((c_TMAP1IN)-(c_TFWD)))+(0)+IF(((c_TMAP1OUT)-(0))&gt;=0,IF(IF(o_WRAP=1,MOD(((c_TMAP1IN)-(c_TFWD))*(((K51)-(c_TFWD))*((c_TMAP1OUT)-(0))+IF(((c_TMAP1OUT)-(0))&gt;=0,1,-1)*QUOTIENT(((c_TMAP1IN)-(c_TFWD)),2))+2147483648,4294967296)-2147483648,((c_TMAP1IN)-(c_TFWD))*(((K51)-(c_TFWD))*((c_TMAP1OUT)-(0))+IF(((c_TMAP1OUT)-(0))&gt;=0,1,-1)*QUOTIENT(((c_TMAP1IN)-(c_TFWD)),2)))&lt;0,-1,0),IF(IF(o_WRAP=1,MOD(((c_TMAP1IN)-(c_TFWD))*(((K51)-(c_TFWD))*((c_TMAP1OUT)-(0))+IF(((c_TMAP1OUT)-(0))&gt;=0,1,-1)*QUOTIENT(((c_TMAP1IN)-(c_TFWD)),2))+2147483648,4294967296)-2147483648,((c_TMAP1IN)-(c_TFWD))*(((K51)-(c_TFWD))*((c_TMAP1OUT)-(0))+IF(((c_TMAP1OUT)-(0))&gt;=0,1,-1)*QUOTIENT(((c_TMAP1IN)-(c_TFWD)),2)))&gt;=0,1,0)))</f>
        <v>-8</v>
      </c>
      <c r="N51" s="7" t="n">
        <f aca="false">IF(((c_TMAP2IN)-(c_TMAP1IN))=0,(c_TMAP1OUT)+QUOTIENT(((c_TMAP2OUT)-(c_TMAP1OUT)),2),QUOTIENT((((K51)-(c_TMAP1IN))*((c_TMAP2OUT)-(c_TMAP1OUT))+IF(((c_TMAP2OUT)-(c_TMAP1OUT))&gt;=0,1,-1)*QUOTIENT(((c_TMAP2IN)-(c_TMAP1IN)),2)),((c_TMAP2IN)-(c_TMAP1IN)))+(c_TMAP1OUT)+IF(((c_TMAP2OUT)-(c_TMAP1OUT))&gt;=0,IF(IF(o_WRAP=1,MOD(((c_TMAP2IN)-(c_TMAP1IN))*(((K51)-(c_TMAP1IN))*((c_TMAP2OUT)-(c_TMAP1OUT))+IF(((c_TMAP2OUT)-(c_TMAP1OUT))&gt;=0,1,-1)*QUOTIENT(((c_TMAP2IN)-(c_TMAP1IN)),2))+2147483648,4294967296)-2147483648,((c_TMAP2IN)-(c_TMAP1IN))*(((K51)-(c_TMAP1IN))*((c_TMAP2OUT)-(c_TMAP1OUT))+IF(((c_TMAP2OUT)-(c_TMAP1OUT))&gt;=0,1,-1)*QUOTIENT(((c_TMAP2IN)-(c_TMAP1IN)),2)))&lt;0,-1,0),IF(IF(o_WRAP=1,MOD(((c_TMAP2IN)-(c_TMAP1IN))*(((K51)-(c_TMAP1IN))*((c_TMAP2OUT)-(c_TMAP1OUT))+IF(((c_TMAP2OUT)-(c_TMAP1OUT))&gt;=0,1,-1)*QUOTIENT(((c_TMAP2IN)-(c_TMAP1IN)),2))+2147483648,4294967296)-2147483648,((c_TMAP2IN)-(c_TMAP1IN))*(((K51)-(c_TMAP1IN))*((c_TMAP2OUT)-(c_TMAP1OUT))+IF(((c_TMAP2OUT)-(c_TMAP1OUT))&gt;=0,1,-1)*QUOTIENT(((c_TMAP2IN)-(c_TMAP1IN)),2)))&gt;=0,1,0)))</f>
        <v>30</v>
      </c>
      <c r="O51" s="7" t="n">
        <f aca="false">IF(((c_TMAP3IN)-(c_TMAP2IN))=0,(c_TMAP2OUT)+QUOTIENT(((c_TMAP3OUT)-(c_TMAP2OUT)),2),QUOTIENT((((K51)-(c_TMAP2IN))*((c_TMAP3OUT)-(c_TMAP2OUT))+IF(((c_TMAP3OUT)-(c_TMAP2OUT))&gt;=0,1,-1)*QUOTIENT(((c_TMAP3IN)-(c_TMAP2IN)),2)),((c_TMAP3IN)-(c_TMAP2IN)))+(c_TMAP2OUT)+IF(((c_TMAP3OUT)-(c_TMAP2OUT))&gt;=0,IF(IF(o_WRAP=1,MOD(((c_TMAP3IN)-(c_TMAP2IN))*(((K51)-(c_TMAP2IN))*((c_TMAP3OUT)-(c_TMAP2OUT))+IF(((c_TMAP3OUT)-(c_TMAP2OUT))&gt;=0,1,-1)*QUOTIENT(((c_TMAP3IN)-(c_TMAP2IN)),2))+2147483648,4294967296)-2147483648,((c_TMAP3IN)-(c_TMAP2IN))*(((K51)-(c_TMAP2IN))*((c_TMAP3OUT)-(c_TMAP2OUT))+IF(((c_TMAP3OUT)-(c_TMAP2OUT))&gt;=0,1,-1)*QUOTIENT(((c_TMAP3IN)-(c_TMAP2IN)),2)))&lt;0,-1,0),IF(IF(o_WRAP=1,MOD(((c_TMAP3IN)-(c_TMAP2IN))*(((K51)-(c_TMAP2IN))*((c_TMAP3OUT)-(c_TMAP2OUT))+IF(((c_TMAP3OUT)-(c_TMAP2OUT))&gt;=0,1,-1)*QUOTIENT(((c_TMAP3IN)-(c_TMAP2IN)),2))+2147483648,4294967296)-2147483648,((c_TMAP3IN)-(c_TMAP2IN))*(((K51)-(c_TMAP2IN))*((c_TMAP3OUT)-(c_TMAP2OUT))+IF(((c_TMAP3OUT)-(c_TMAP2OUT))&gt;=0,1,-1)*QUOTIENT(((c_TMAP3IN)-(c_TMAP2IN)),2)))&gt;=0,1,0)))</f>
        <v>-45</v>
      </c>
      <c r="P51" s="7" t="n">
        <f aca="false">IF(((1000)-(c_TMAP3IN))=0,(c_TMAP3OUT)+QUOTIENT(((1000)-(c_TMAP3OUT)),2),QUOTIENT((((K51)-(c_TMAP3IN))*((1000)-(c_TMAP3OUT))+IF(((1000)-(c_TMAP3OUT))&gt;=0,1,-1)*QUOTIENT(((1000)-(c_TMAP3IN)),2)),((1000)-(c_TMAP3IN)))+(c_TMAP3OUT)+IF(((1000)-(c_TMAP3OUT))&gt;=0,IF(IF(o_WRAP=1,MOD(((1000)-(c_TMAP3IN))*(((K51)-(c_TMAP3IN))*((1000)-(c_TMAP3OUT))+IF(((1000)-(c_TMAP3OUT))&gt;=0,1,-1)*QUOTIENT(((1000)-(c_TMAP3IN)),2))+2147483648,4294967296)-2147483648,((1000)-(c_TMAP3IN))*(((K51)-(c_TMAP3IN))*((1000)-(c_TMAP3OUT))+IF(((1000)-(c_TMAP3OUT))&gt;=0,1,-1)*QUOTIENT(((1000)-(c_TMAP3IN)),2)))&lt;0,-1,0),IF(IF(o_WRAP=1,MOD(((1000)-(c_TMAP3IN))*(((K51)-(c_TMAP3IN))*((1000)-(c_TMAP3OUT))+IF(((1000)-(c_TMAP3OUT))&gt;=0,1,-1)*QUOTIENT(((1000)-(c_TMAP3IN)),2))+2147483648,4294967296)-2147483648,((1000)-(c_TMAP3IN))*(((K51)-(c_TMAP3IN))*((1000)-(c_TMAP3OUT))+IF(((1000)-(c_TMAP3OUT))&gt;=0,1,-1)*QUOTIENT(((1000)-(c_TMAP3IN)),2)))&gt;=0,1,0)))</f>
        <v>-231</v>
      </c>
      <c r="Q51" s="7" t="str">
        <f aca="false">IF(K51&gt;=c_TFWD,IF(AND(K51&gt;=c_TMAP3IN,c_TMAP3IN&lt;1000),"Seg4 map3-100%",IF(AND(K51&gt;=c_TMAP2IN,c_TMAP3IN&gt;c_TMAP2IN),"Seg3 map2-map3",IF(AND(K51&gt;=c_TMAP1IN,c_TMAP2IN&gt;c_TMAP1IN),"Seg2 map1-map2","Seg1 TFWD-map1"))),IF(AND(K51=0,c_TCREEP&gt;0),"Creep",IF(AND(K51&lt;=c_TRNGMIN,K51&gt;=c_TRNGMAX,c_TRNGMIN-c_TRNGMAX&lt;&gt;0),"Regen ramp","Coast (0)")))</f>
        <v>Regen ramp</v>
      </c>
      <c r="R51" s="7" t="n">
        <f aca="false">IF(K51&gt;=c_TFWD,IF(AND(K51&gt;=c_TMAP3IN,c_TMAP3IN&lt;1000),P51,IF(AND(K51&gt;=c_TMAP2IN,c_TMAP3IN&gt;c_TMAP2IN),O51,IF(AND(K51&gt;=c_TMAP1IN,c_TMAP2IN&gt;c_TMAP1IN),N51,M51))),L51)</f>
        <v>-350</v>
      </c>
      <c r="S51" s="7" t="str">
        <f aca="false">IF(R51&lt;-1090,"TOO LOW",IF(R51&gt;1090,"TOO HIGH",""))</f>
        <v/>
      </c>
      <c r="T51" s="15" t="n">
        <f aca="false">IF(H51&lt;&gt;"OK",0,IF(S51&lt;&gt;"",0,IF(R51&gt;979,1000,R51)))</f>
        <v>-350</v>
      </c>
      <c r="U51" s="7" t="n">
        <f aca="false">T51/10</f>
        <v>-35</v>
      </c>
    </row>
    <row r="52" customFormat="false" ht="15" hidden="false" customHeight="false" outlineLevel="0" collapsed="false">
      <c r="A52" s="7" t="n">
        <v>47</v>
      </c>
      <c r="B52" s="7" t="n">
        <f aca="false">ROUND(o_SWSTART+A52*(o_SWEND-o_SWSTART)/400,0)</f>
        <v>481</v>
      </c>
      <c r="C52" s="7" t="n">
        <f aca="false">QUOTIENT((B52-c_OFF1)*c_GAIN1,1024)</f>
        <v>481</v>
      </c>
      <c r="D52" s="7" t="n">
        <f aca="false">IF(((c_T1MX)-(c_T1MN))=0,(0)+QUOTIENT(((1000)-(0)),2),QUOTIENT((((C52)-(c_T1MN))*((1000)-(0))+IF(((1000)-(0))&gt;=0,1,-1)*QUOTIENT(((c_T1MX)-(c_T1MN)),2)),((c_T1MX)-(c_T1MN)))+(0)+IF(((1000)-(0))&gt;=0,IF(IF(o_WRAP=1,MOD(((c_T1MX)-(c_T1MN))*(((C52)-(c_T1MN))*((1000)-(0))+IF(((1000)-(0))&gt;=0,1,-1)*QUOTIENT(((c_T1MX)-(c_T1MN)),2))+2147483648,4294967296)-2147483648,((c_T1MX)-(c_T1MN))*(((C52)-(c_T1MN))*((1000)-(0))+IF(((1000)-(0))&gt;=0,1,-1)*QUOTIENT(((c_T1MX)-(c_T1MN)),2)))&lt;0,-1,0),IF(IF(o_WRAP=1,MOD(((c_T1MX)-(c_T1MN))*(((C52)-(c_T1MN))*((1000)-(0))+IF(((1000)-(0))&gt;=0,1,-1)*QUOTIENT(((c_T1MX)-(c_T1MN)),2))+2147483648,4294967296)-2147483648,((c_T1MX)-(c_T1MN))*(((C52)-(c_T1MN))*((1000)-(0))+IF(((1000)-(0))&gt;=0,1,-1)*QUOTIENT(((c_T1MX)-(c_T1MN)),2)))&gt;=0,1,0)))</f>
        <v>-85</v>
      </c>
      <c r="E52" s="7" t="n">
        <f aca="false">IF(AND(c_TPOT=1,c_TTYPE=2),1000-D52,D52)</f>
        <v>-85</v>
      </c>
      <c r="F52" s="7" t="str">
        <f aca="false">IF(c_TPOT&gt;1,ROUND(IF(c_TTYPE=2,c_T2MX-IF(c_T1MX=c_T1MN,0,(C52-c_T1MN)/(c_T1MX-c_T1MN))*(c_T2MX-c_T2MN),c_T2MN+IF(c_T1MX=c_T1MN,0,(C52-c_T1MN)/(c_T1MX-c_T1MN))*(c_T2MX-c_T2MN))+o_MISMATCH,0),"")</f>
        <v/>
      </c>
      <c r="G52" s="7" t="str">
        <f aca="false">IF(c_TPOT&gt;1,IF(((c_T2MX)-(c_T2MN))=0,(0)+QUOTIENT(((1000)-(0)),2),QUOTIENT((((F52)-(c_T2MN))*((1000)-(0))+IF(((1000)-(0))&gt;=0,1,-1)*QUOTIENT(((c_T2MX)-(c_T2MN)),2)),((c_T2MX)-(c_T2MN)))+(0)+IF(((1000)-(0))&gt;=0,IF(IF(o_WRAP=1,MOD(((c_T2MX)-(c_T2MN))*(((F52)-(c_T2MN))*((1000)-(0))+IF(((1000)-(0))&gt;=0,1,-1)*QUOTIENT(((c_T2MX)-(c_T2MN)),2))+2147483648,4294967296)-2147483648,((c_T2MX)-(c_T2MN))*(((F52)-(c_T2MN))*((1000)-(0))+IF(((1000)-(0))&gt;=0,1,-1)*QUOTIENT(((c_T2MX)-(c_T2MN)),2)))&lt;0,-1,0),IF(IF(o_WRAP=1,MOD(((c_T2MX)-(c_T2MN))*(((F52)-(c_T2MN))*((1000)-(0))+IF(((1000)-(0))&gt;=0,1,-1)*QUOTIENT(((c_T2MX)-(c_T2MN)),2))+2147483648,4294967296)-2147483648,((c_T2MX)-(c_T2MN))*(((F52)-(c_T2MN))*((1000)-(0))+IF(((1000)-(0))&gt;=0,1,-1)*QUOTIENT(((c_T2MX)-(c_T2MN)),2)))&gt;=0,1,0))),"")</f>
        <v/>
      </c>
      <c r="H52" s="7" t="str">
        <f aca="false">IF(E52&gt;1000+k_TOL,"T1 HIGH",IF(E52&lt;0-k_TOL,"T1 LOW",IF(c_TPOT&gt;1,IF(G52&gt;1000+k_TOL,"T2 HIGH",IF(G52&lt;0-k_TOL,"T2 LOW",IF(c_TTYPE=2,IF(ABS(1000-MAX(0,MIN(1000,E52))-MAX(0,MIN(1000,G52)))&gt;k_MAXERR,"MISMATCH","OK"),IF(OR(MAX(0,MIN(1000,E52))-k_MAXERR&gt;MAX(0,MIN(1000,G52)),MAX(0,MIN(1000,G52))-k_MAXERR&gt;MAX(0,MIN(1000,E52))),"MISMATCH","OK")))),"OK")))</f>
        <v>OK</v>
      </c>
      <c r="I52" s="7" t="n">
        <f aca="false">MAX(0,MIN(1000,D52))</f>
        <v>0</v>
      </c>
      <c r="J52" s="7" t="str">
        <f aca="false">IF(c_TPOT&gt;1,IF(c_TTYPE=2,1000-MAX(0,MIN(1000,G52)),MAX(0,MIN(1000,G52))),"")</f>
        <v/>
      </c>
      <c r="K52" s="7" t="n">
        <f aca="false">IF(c_TPOT&gt;1,QUOTIENT(I52+J52,2),I52)</f>
        <v>0</v>
      </c>
      <c r="L52" s="7" t="n">
        <f aca="false">IF(AND(K52=0,c_TCREEP&gt;0),10*c_TCREEP,IF(AND(K52&lt;=c_TRNGMIN,K52&gt;=c_TRNGMAX,c_TRNGMIN-c_TRNGMAX&lt;&gt;0),-10*c_TMINRN+QUOTIENT((c_TMAXRN-c_TMINRN)*(100-QUOTIENT((K52-c_TRNGMAX)*100,c_TRNGMIN-c_TRNGMAX)),-10),0))</f>
        <v>-350</v>
      </c>
      <c r="M52" s="7" t="n">
        <f aca="false">IF(((c_TMAP1IN)-(c_TFWD))=0,(0)+QUOTIENT(((c_TMAP1OUT)-(0)),2),QUOTIENT((((K52)-(c_TFWD))*((c_TMAP1OUT)-(0))+IF(((c_TMAP1OUT)-(0))&gt;=0,1,-1)*QUOTIENT(((c_TMAP1IN)-(c_TFWD)),2)),((c_TMAP1IN)-(c_TFWD)))+(0)+IF(((c_TMAP1OUT)-(0))&gt;=0,IF(IF(o_WRAP=1,MOD(((c_TMAP1IN)-(c_TFWD))*(((K52)-(c_TFWD))*((c_TMAP1OUT)-(0))+IF(((c_TMAP1OUT)-(0))&gt;=0,1,-1)*QUOTIENT(((c_TMAP1IN)-(c_TFWD)),2))+2147483648,4294967296)-2147483648,((c_TMAP1IN)-(c_TFWD))*(((K52)-(c_TFWD))*((c_TMAP1OUT)-(0))+IF(((c_TMAP1OUT)-(0))&gt;=0,1,-1)*QUOTIENT(((c_TMAP1IN)-(c_TFWD)),2)))&lt;0,-1,0),IF(IF(o_WRAP=1,MOD(((c_TMAP1IN)-(c_TFWD))*(((K52)-(c_TFWD))*((c_TMAP1OUT)-(0))+IF(((c_TMAP1OUT)-(0))&gt;=0,1,-1)*QUOTIENT(((c_TMAP1IN)-(c_TFWD)),2))+2147483648,4294967296)-2147483648,((c_TMAP1IN)-(c_TFWD))*(((K52)-(c_TFWD))*((c_TMAP1OUT)-(0))+IF(((c_TMAP1OUT)-(0))&gt;=0,1,-1)*QUOTIENT(((c_TMAP1IN)-(c_TFWD)),2)))&gt;=0,1,0)))</f>
        <v>-8</v>
      </c>
      <c r="N52" s="7" t="n">
        <f aca="false">IF(((c_TMAP2IN)-(c_TMAP1IN))=0,(c_TMAP1OUT)+QUOTIENT(((c_TMAP2OUT)-(c_TMAP1OUT)),2),QUOTIENT((((K52)-(c_TMAP1IN))*((c_TMAP2OUT)-(c_TMAP1OUT))+IF(((c_TMAP2OUT)-(c_TMAP1OUT))&gt;=0,1,-1)*QUOTIENT(((c_TMAP2IN)-(c_TMAP1IN)),2)),((c_TMAP2IN)-(c_TMAP1IN)))+(c_TMAP1OUT)+IF(((c_TMAP2OUT)-(c_TMAP1OUT))&gt;=0,IF(IF(o_WRAP=1,MOD(((c_TMAP2IN)-(c_TMAP1IN))*(((K52)-(c_TMAP1IN))*((c_TMAP2OUT)-(c_TMAP1OUT))+IF(((c_TMAP2OUT)-(c_TMAP1OUT))&gt;=0,1,-1)*QUOTIENT(((c_TMAP2IN)-(c_TMAP1IN)),2))+2147483648,4294967296)-2147483648,((c_TMAP2IN)-(c_TMAP1IN))*(((K52)-(c_TMAP1IN))*((c_TMAP2OUT)-(c_TMAP1OUT))+IF(((c_TMAP2OUT)-(c_TMAP1OUT))&gt;=0,1,-1)*QUOTIENT(((c_TMAP2IN)-(c_TMAP1IN)),2)))&lt;0,-1,0),IF(IF(o_WRAP=1,MOD(((c_TMAP2IN)-(c_TMAP1IN))*(((K52)-(c_TMAP1IN))*((c_TMAP2OUT)-(c_TMAP1OUT))+IF(((c_TMAP2OUT)-(c_TMAP1OUT))&gt;=0,1,-1)*QUOTIENT(((c_TMAP2IN)-(c_TMAP1IN)),2))+2147483648,4294967296)-2147483648,((c_TMAP2IN)-(c_TMAP1IN))*(((K52)-(c_TMAP1IN))*((c_TMAP2OUT)-(c_TMAP1OUT))+IF(((c_TMAP2OUT)-(c_TMAP1OUT))&gt;=0,1,-1)*QUOTIENT(((c_TMAP2IN)-(c_TMAP1IN)),2)))&gt;=0,1,0)))</f>
        <v>30</v>
      </c>
      <c r="O52" s="7" t="n">
        <f aca="false">IF(((c_TMAP3IN)-(c_TMAP2IN))=0,(c_TMAP2OUT)+QUOTIENT(((c_TMAP3OUT)-(c_TMAP2OUT)),2),QUOTIENT((((K52)-(c_TMAP2IN))*((c_TMAP3OUT)-(c_TMAP2OUT))+IF(((c_TMAP3OUT)-(c_TMAP2OUT))&gt;=0,1,-1)*QUOTIENT(((c_TMAP3IN)-(c_TMAP2IN)),2)),((c_TMAP3IN)-(c_TMAP2IN)))+(c_TMAP2OUT)+IF(((c_TMAP3OUT)-(c_TMAP2OUT))&gt;=0,IF(IF(o_WRAP=1,MOD(((c_TMAP3IN)-(c_TMAP2IN))*(((K52)-(c_TMAP2IN))*((c_TMAP3OUT)-(c_TMAP2OUT))+IF(((c_TMAP3OUT)-(c_TMAP2OUT))&gt;=0,1,-1)*QUOTIENT(((c_TMAP3IN)-(c_TMAP2IN)),2))+2147483648,4294967296)-2147483648,((c_TMAP3IN)-(c_TMAP2IN))*(((K52)-(c_TMAP2IN))*((c_TMAP3OUT)-(c_TMAP2OUT))+IF(((c_TMAP3OUT)-(c_TMAP2OUT))&gt;=0,1,-1)*QUOTIENT(((c_TMAP3IN)-(c_TMAP2IN)),2)))&lt;0,-1,0),IF(IF(o_WRAP=1,MOD(((c_TMAP3IN)-(c_TMAP2IN))*(((K52)-(c_TMAP2IN))*((c_TMAP3OUT)-(c_TMAP2OUT))+IF(((c_TMAP3OUT)-(c_TMAP2OUT))&gt;=0,1,-1)*QUOTIENT(((c_TMAP3IN)-(c_TMAP2IN)),2))+2147483648,4294967296)-2147483648,((c_TMAP3IN)-(c_TMAP2IN))*(((K52)-(c_TMAP2IN))*((c_TMAP3OUT)-(c_TMAP2OUT))+IF(((c_TMAP3OUT)-(c_TMAP2OUT))&gt;=0,1,-1)*QUOTIENT(((c_TMAP3IN)-(c_TMAP2IN)),2)))&gt;=0,1,0)))</f>
        <v>-45</v>
      </c>
      <c r="P52" s="7" t="n">
        <f aca="false">IF(((1000)-(c_TMAP3IN))=0,(c_TMAP3OUT)+QUOTIENT(((1000)-(c_TMAP3OUT)),2),QUOTIENT((((K52)-(c_TMAP3IN))*((1000)-(c_TMAP3OUT))+IF(((1000)-(c_TMAP3OUT))&gt;=0,1,-1)*QUOTIENT(((1000)-(c_TMAP3IN)),2)),((1000)-(c_TMAP3IN)))+(c_TMAP3OUT)+IF(((1000)-(c_TMAP3OUT))&gt;=0,IF(IF(o_WRAP=1,MOD(((1000)-(c_TMAP3IN))*(((K52)-(c_TMAP3IN))*((1000)-(c_TMAP3OUT))+IF(((1000)-(c_TMAP3OUT))&gt;=0,1,-1)*QUOTIENT(((1000)-(c_TMAP3IN)),2))+2147483648,4294967296)-2147483648,((1000)-(c_TMAP3IN))*(((K52)-(c_TMAP3IN))*((1000)-(c_TMAP3OUT))+IF(((1000)-(c_TMAP3OUT))&gt;=0,1,-1)*QUOTIENT(((1000)-(c_TMAP3IN)),2)))&lt;0,-1,0),IF(IF(o_WRAP=1,MOD(((1000)-(c_TMAP3IN))*(((K52)-(c_TMAP3IN))*((1000)-(c_TMAP3OUT))+IF(((1000)-(c_TMAP3OUT))&gt;=0,1,-1)*QUOTIENT(((1000)-(c_TMAP3IN)),2))+2147483648,4294967296)-2147483648,((1000)-(c_TMAP3IN))*(((K52)-(c_TMAP3IN))*((1000)-(c_TMAP3OUT))+IF(((1000)-(c_TMAP3OUT))&gt;=0,1,-1)*QUOTIENT(((1000)-(c_TMAP3IN)),2)))&gt;=0,1,0)))</f>
        <v>-231</v>
      </c>
      <c r="Q52" s="7" t="str">
        <f aca="false">IF(K52&gt;=c_TFWD,IF(AND(K52&gt;=c_TMAP3IN,c_TMAP3IN&lt;1000),"Seg4 map3-100%",IF(AND(K52&gt;=c_TMAP2IN,c_TMAP3IN&gt;c_TMAP2IN),"Seg3 map2-map3",IF(AND(K52&gt;=c_TMAP1IN,c_TMAP2IN&gt;c_TMAP1IN),"Seg2 map1-map2","Seg1 TFWD-map1"))),IF(AND(K52=0,c_TCREEP&gt;0),"Creep",IF(AND(K52&lt;=c_TRNGMIN,K52&gt;=c_TRNGMAX,c_TRNGMIN-c_TRNGMAX&lt;&gt;0),"Regen ramp","Coast (0)")))</f>
        <v>Regen ramp</v>
      </c>
      <c r="R52" s="7" t="n">
        <f aca="false">IF(K52&gt;=c_TFWD,IF(AND(K52&gt;=c_TMAP3IN,c_TMAP3IN&lt;1000),P52,IF(AND(K52&gt;=c_TMAP2IN,c_TMAP3IN&gt;c_TMAP2IN),O52,IF(AND(K52&gt;=c_TMAP1IN,c_TMAP2IN&gt;c_TMAP1IN),N52,M52))),L52)</f>
        <v>-350</v>
      </c>
      <c r="S52" s="7" t="str">
        <f aca="false">IF(R52&lt;-1090,"TOO LOW",IF(R52&gt;1090,"TOO HIGH",""))</f>
        <v/>
      </c>
      <c r="T52" s="15" t="n">
        <f aca="false">IF(H52&lt;&gt;"OK",0,IF(S52&lt;&gt;"",0,IF(R52&gt;979,1000,R52)))</f>
        <v>-350</v>
      </c>
      <c r="U52" s="7" t="n">
        <f aca="false">T52/10</f>
        <v>-35</v>
      </c>
    </row>
    <row r="53" customFormat="false" ht="15" hidden="false" customHeight="false" outlineLevel="0" collapsed="false">
      <c r="A53" s="7" t="n">
        <v>48</v>
      </c>
      <c r="B53" s="7" t="n">
        <f aca="false">ROUND(o_SWSTART+A53*(o_SWEND-o_SWSTART)/400,0)</f>
        <v>491</v>
      </c>
      <c r="C53" s="7" t="n">
        <f aca="false">QUOTIENT((B53-c_OFF1)*c_GAIN1,1024)</f>
        <v>491</v>
      </c>
      <c r="D53" s="7" t="n">
        <f aca="false">IF(((c_T1MX)-(c_T1MN))=0,(0)+QUOTIENT(((1000)-(0)),2),QUOTIENT((((C53)-(c_T1MN))*((1000)-(0))+IF(((1000)-(0))&gt;=0,1,-1)*QUOTIENT(((c_T1MX)-(c_T1MN)),2)),((c_T1MX)-(c_T1MN)))+(0)+IF(((1000)-(0))&gt;=0,IF(IF(o_WRAP=1,MOD(((c_T1MX)-(c_T1MN))*(((C53)-(c_T1MN))*((1000)-(0))+IF(((1000)-(0))&gt;=0,1,-1)*QUOTIENT(((c_T1MX)-(c_T1MN)),2))+2147483648,4294967296)-2147483648,((c_T1MX)-(c_T1MN))*(((C53)-(c_T1MN))*((1000)-(0))+IF(((1000)-(0))&gt;=0,1,-1)*QUOTIENT(((c_T1MX)-(c_T1MN)),2)))&lt;0,-1,0),IF(IF(o_WRAP=1,MOD(((c_T1MX)-(c_T1MN))*(((C53)-(c_T1MN))*((1000)-(0))+IF(((1000)-(0))&gt;=0,1,-1)*QUOTIENT(((c_T1MX)-(c_T1MN)),2))+2147483648,4294967296)-2147483648,((c_T1MX)-(c_T1MN))*(((C53)-(c_T1MN))*((1000)-(0))+IF(((1000)-(0))&gt;=0,1,-1)*QUOTIENT(((c_T1MX)-(c_T1MN)),2)))&gt;=0,1,0)))</f>
        <v>-81</v>
      </c>
      <c r="E53" s="7" t="n">
        <f aca="false">IF(AND(c_TPOT=1,c_TTYPE=2),1000-D53,D53)</f>
        <v>-81</v>
      </c>
      <c r="F53" s="7" t="str">
        <f aca="false">IF(c_TPOT&gt;1,ROUND(IF(c_TTYPE=2,c_T2MX-IF(c_T1MX=c_T1MN,0,(C53-c_T1MN)/(c_T1MX-c_T1MN))*(c_T2MX-c_T2MN),c_T2MN+IF(c_T1MX=c_T1MN,0,(C53-c_T1MN)/(c_T1MX-c_T1MN))*(c_T2MX-c_T2MN))+o_MISMATCH,0),"")</f>
        <v/>
      </c>
      <c r="G53" s="7" t="str">
        <f aca="false">IF(c_TPOT&gt;1,IF(((c_T2MX)-(c_T2MN))=0,(0)+QUOTIENT(((1000)-(0)),2),QUOTIENT((((F53)-(c_T2MN))*((1000)-(0))+IF(((1000)-(0))&gt;=0,1,-1)*QUOTIENT(((c_T2MX)-(c_T2MN)),2)),((c_T2MX)-(c_T2MN)))+(0)+IF(((1000)-(0))&gt;=0,IF(IF(o_WRAP=1,MOD(((c_T2MX)-(c_T2MN))*(((F53)-(c_T2MN))*((1000)-(0))+IF(((1000)-(0))&gt;=0,1,-1)*QUOTIENT(((c_T2MX)-(c_T2MN)),2))+2147483648,4294967296)-2147483648,((c_T2MX)-(c_T2MN))*(((F53)-(c_T2MN))*((1000)-(0))+IF(((1000)-(0))&gt;=0,1,-1)*QUOTIENT(((c_T2MX)-(c_T2MN)),2)))&lt;0,-1,0),IF(IF(o_WRAP=1,MOD(((c_T2MX)-(c_T2MN))*(((F53)-(c_T2MN))*((1000)-(0))+IF(((1000)-(0))&gt;=0,1,-1)*QUOTIENT(((c_T2MX)-(c_T2MN)),2))+2147483648,4294967296)-2147483648,((c_T2MX)-(c_T2MN))*(((F53)-(c_T2MN))*((1000)-(0))+IF(((1000)-(0))&gt;=0,1,-1)*QUOTIENT(((c_T2MX)-(c_T2MN)),2)))&gt;=0,1,0))),"")</f>
        <v/>
      </c>
      <c r="H53" s="7" t="str">
        <f aca="false">IF(E53&gt;1000+k_TOL,"T1 HIGH",IF(E53&lt;0-k_TOL,"T1 LOW",IF(c_TPOT&gt;1,IF(G53&gt;1000+k_TOL,"T2 HIGH",IF(G53&lt;0-k_TOL,"T2 LOW",IF(c_TTYPE=2,IF(ABS(1000-MAX(0,MIN(1000,E53))-MAX(0,MIN(1000,G53)))&gt;k_MAXERR,"MISMATCH","OK"),IF(OR(MAX(0,MIN(1000,E53))-k_MAXERR&gt;MAX(0,MIN(1000,G53)),MAX(0,MIN(1000,G53))-k_MAXERR&gt;MAX(0,MIN(1000,E53))),"MISMATCH","OK")))),"OK")))</f>
        <v>OK</v>
      </c>
      <c r="I53" s="7" t="n">
        <f aca="false">MAX(0,MIN(1000,D53))</f>
        <v>0</v>
      </c>
      <c r="J53" s="7" t="str">
        <f aca="false">IF(c_TPOT&gt;1,IF(c_TTYPE=2,1000-MAX(0,MIN(1000,G53)),MAX(0,MIN(1000,G53))),"")</f>
        <v/>
      </c>
      <c r="K53" s="7" t="n">
        <f aca="false">IF(c_TPOT&gt;1,QUOTIENT(I53+J53,2),I53)</f>
        <v>0</v>
      </c>
      <c r="L53" s="7" t="n">
        <f aca="false">IF(AND(K53=0,c_TCREEP&gt;0),10*c_TCREEP,IF(AND(K53&lt;=c_TRNGMIN,K53&gt;=c_TRNGMAX,c_TRNGMIN-c_TRNGMAX&lt;&gt;0),-10*c_TMINRN+QUOTIENT((c_TMAXRN-c_TMINRN)*(100-QUOTIENT((K53-c_TRNGMAX)*100,c_TRNGMIN-c_TRNGMAX)),-10),0))</f>
        <v>-350</v>
      </c>
      <c r="M53" s="7" t="n">
        <f aca="false">IF(((c_TMAP1IN)-(c_TFWD))=0,(0)+QUOTIENT(((c_TMAP1OUT)-(0)),2),QUOTIENT((((K53)-(c_TFWD))*((c_TMAP1OUT)-(0))+IF(((c_TMAP1OUT)-(0))&gt;=0,1,-1)*QUOTIENT(((c_TMAP1IN)-(c_TFWD)),2)),((c_TMAP1IN)-(c_TFWD)))+(0)+IF(((c_TMAP1OUT)-(0))&gt;=0,IF(IF(o_WRAP=1,MOD(((c_TMAP1IN)-(c_TFWD))*(((K53)-(c_TFWD))*((c_TMAP1OUT)-(0))+IF(((c_TMAP1OUT)-(0))&gt;=0,1,-1)*QUOTIENT(((c_TMAP1IN)-(c_TFWD)),2))+2147483648,4294967296)-2147483648,((c_TMAP1IN)-(c_TFWD))*(((K53)-(c_TFWD))*((c_TMAP1OUT)-(0))+IF(((c_TMAP1OUT)-(0))&gt;=0,1,-1)*QUOTIENT(((c_TMAP1IN)-(c_TFWD)),2)))&lt;0,-1,0),IF(IF(o_WRAP=1,MOD(((c_TMAP1IN)-(c_TFWD))*(((K53)-(c_TFWD))*((c_TMAP1OUT)-(0))+IF(((c_TMAP1OUT)-(0))&gt;=0,1,-1)*QUOTIENT(((c_TMAP1IN)-(c_TFWD)),2))+2147483648,4294967296)-2147483648,((c_TMAP1IN)-(c_TFWD))*(((K53)-(c_TFWD))*((c_TMAP1OUT)-(0))+IF(((c_TMAP1OUT)-(0))&gt;=0,1,-1)*QUOTIENT(((c_TMAP1IN)-(c_TFWD)),2)))&gt;=0,1,0)))</f>
        <v>-8</v>
      </c>
      <c r="N53" s="7" t="n">
        <f aca="false">IF(((c_TMAP2IN)-(c_TMAP1IN))=0,(c_TMAP1OUT)+QUOTIENT(((c_TMAP2OUT)-(c_TMAP1OUT)),2),QUOTIENT((((K53)-(c_TMAP1IN))*((c_TMAP2OUT)-(c_TMAP1OUT))+IF(((c_TMAP2OUT)-(c_TMAP1OUT))&gt;=0,1,-1)*QUOTIENT(((c_TMAP2IN)-(c_TMAP1IN)),2)),((c_TMAP2IN)-(c_TMAP1IN)))+(c_TMAP1OUT)+IF(((c_TMAP2OUT)-(c_TMAP1OUT))&gt;=0,IF(IF(o_WRAP=1,MOD(((c_TMAP2IN)-(c_TMAP1IN))*(((K53)-(c_TMAP1IN))*((c_TMAP2OUT)-(c_TMAP1OUT))+IF(((c_TMAP2OUT)-(c_TMAP1OUT))&gt;=0,1,-1)*QUOTIENT(((c_TMAP2IN)-(c_TMAP1IN)),2))+2147483648,4294967296)-2147483648,((c_TMAP2IN)-(c_TMAP1IN))*(((K53)-(c_TMAP1IN))*((c_TMAP2OUT)-(c_TMAP1OUT))+IF(((c_TMAP2OUT)-(c_TMAP1OUT))&gt;=0,1,-1)*QUOTIENT(((c_TMAP2IN)-(c_TMAP1IN)),2)))&lt;0,-1,0),IF(IF(o_WRAP=1,MOD(((c_TMAP2IN)-(c_TMAP1IN))*(((K53)-(c_TMAP1IN))*((c_TMAP2OUT)-(c_TMAP1OUT))+IF(((c_TMAP2OUT)-(c_TMAP1OUT))&gt;=0,1,-1)*QUOTIENT(((c_TMAP2IN)-(c_TMAP1IN)),2))+2147483648,4294967296)-2147483648,((c_TMAP2IN)-(c_TMAP1IN))*(((K53)-(c_TMAP1IN))*((c_TMAP2OUT)-(c_TMAP1OUT))+IF(((c_TMAP2OUT)-(c_TMAP1OUT))&gt;=0,1,-1)*QUOTIENT(((c_TMAP2IN)-(c_TMAP1IN)),2)))&gt;=0,1,0)))</f>
        <v>30</v>
      </c>
      <c r="O53" s="7" t="n">
        <f aca="false">IF(((c_TMAP3IN)-(c_TMAP2IN))=0,(c_TMAP2OUT)+QUOTIENT(((c_TMAP3OUT)-(c_TMAP2OUT)),2),QUOTIENT((((K53)-(c_TMAP2IN))*((c_TMAP3OUT)-(c_TMAP2OUT))+IF(((c_TMAP3OUT)-(c_TMAP2OUT))&gt;=0,1,-1)*QUOTIENT(((c_TMAP3IN)-(c_TMAP2IN)),2)),((c_TMAP3IN)-(c_TMAP2IN)))+(c_TMAP2OUT)+IF(((c_TMAP3OUT)-(c_TMAP2OUT))&gt;=0,IF(IF(o_WRAP=1,MOD(((c_TMAP3IN)-(c_TMAP2IN))*(((K53)-(c_TMAP2IN))*((c_TMAP3OUT)-(c_TMAP2OUT))+IF(((c_TMAP3OUT)-(c_TMAP2OUT))&gt;=0,1,-1)*QUOTIENT(((c_TMAP3IN)-(c_TMAP2IN)),2))+2147483648,4294967296)-2147483648,((c_TMAP3IN)-(c_TMAP2IN))*(((K53)-(c_TMAP2IN))*((c_TMAP3OUT)-(c_TMAP2OUT))+IF(((c_TMAP3OUT)-(c_TMAP2OUT))&gt;=0,1,-1)*QUOTIENT(((c_TMAP3IN)-(c_TMAP2IN)),2)))&lt;0,-1,0),IF(IF(o_WRAP=1,MOD(((c_TMAP3IN)-(c_TMAP2IN))*(((K53)-(c_TMAP2IN))*((c_TMAP3OUT)-(c_TMAP2OUT))+IF(((c_TMAP3OUT)-(c_TMAP2OUT))&gt;=0,1,-1)*QUOTIENT(((c_TMAP3IN)-(c_TMAP2IN)),2))+2147483648,4294967296)-2147483648,((c_TMAP3IN)-(c_TMAP2IN))*(((K53)-(c_TMAP2IN))*((c_TMAP3OUT)-(c_TMAP2OUT))+IF(((c_TMAP3OUT)-(c_TMAP2OUT))&gt;=0,1,-1)*QUOTIENT(((c_TMAP3IN)-(c_TMAP2IN)),2)))&gt;=0,1,0)))</f>
        <v>-45</v>
      </c>
      <c r="P53" s="7" t="n">
        <f aca="false">IF(((1000)-(c_TMAP3IN))=0,(c_TMAP3OUT)+QUOTIENT(((1000)-(c_TMAP3OUT)),2),QUOTIENT((((K53)-(c_TMAP3IN))*((1000)-(c_TMAP3OUT))+IF(((1000)-(c_TMAP3OUT))&gt;=0,1,-1)*QUOTIENT(((1000)-(c_TMAP3IN)),2)),((1000)-(c_TMAP3IN)))+(c_TMAP3OUT)+IF(((1000)-(c_TMAP3OUT))&gt;=0,IF(IF(o_WRAP=1,MOD(((1000)-(c_TMAP3IN))*(((K53)-(c_TMAP3IN))*((1000)-(c_TMAP3OUT))+IF(((1000)-(c_TMAP3OUT))&gt;=0,1,-1)*QUOTIENT(((1000)-(c_TMAP3IN)),2))+2147483648,4294967296)-2147483648,((1000)-(c_TMAP3IN))*(((K53)-(c_TMAP3IN))*((1000)-(c_TMAP3OUT))+IF(((1000)-(c_TMAP3OUT))&gt;=0,1,-1)*QUOTIENT(((1000)-(c_TMAP3IN)),2)))&lt;0,-1,0),IF(IF(o_WRAP=1,MOD(((1000)-(c_TMAP3IN))*(((K53)-(c_TMAP3IN))*((1000)-(c_TMAP3OUT))+IF(((1000)-(c_TMAP3OUT))&gt;=0,1,-1)*QUOTIENT(((1000)-(c_TMAP3IN)),2))+2147483648,4294967296)-2147483648,((1000)-(c_TMAP3IN))*(((K53)-(c_TMAP3IN))*((1000)-(c_TMAP3OUT))+IF(((1000)-(c_TMAP3OUT))&gt;=0,1,-1)*QUOTIENT(((1000)-(c_TMAP3IN)),2)))&gt;=0,1,0)))</f>
        <v>-231</v>
      </c>
      <c r="Q53" s="7" t="str">
        <f aca="false">IF(K53&gt;=c_TFWD,IF(AND(K53&gt;=c_TMAP3IN,c_TMAP3IN&lt;1000),"Seg4 map3-100%",IF(AND(K53&gt;=c_TMAP2IN,c_TMAP3IN&gt;c_TMAP2IN),"Seg3 map2-map3",IF(AND(K53&gt;=c_TMAP1IN,c_TMAP2IN&gt;c_TMAP1IN),"Seg2 map1-map2","Seg1 TFWD-map1"))),IF(AND(K53=0,c_TCREEP&gt;0),"Creep",IF(AND(K53&lt;=c_TRNGMIN,K53&gt;=c_TRNGMAX,c_TRNGMIN-c_TRNGMAX&lt;&gt;0),"Regen ramp","Coast (0)")))</f>
        <v>Regen ramp</v>
      </c>
      <c r="R53" s="7" t="n">
        <f aca="false">IF(K53&gt;=c_TFWD,IF(AND(K53&gt;=c_TMAP3IN,c_TMAP3IN&lt;1000),P53,IF(AND(K53&gt;=c_TMAP2IN,c_TMAP3IN&gt;c_TMAP2IN),O53,IF(AND(K53&gt;=c_TMAP1IN,c_TMAP2IN&gt;c_TMAP1IN),N53,M53))),L53)</f>
        <v>-350</v>
      </c>
      <c r="S53" s="7" t="str">
        <f aca="false">IF(R53&lt;-1090,"TOO LOW",IF(R53&gt;1090,"TOO HIGH",""))</f>
        <v/>
      </c>
      <c r="T53" s="15" t="n">
        <f aca="false">IF(H53&lt;&gt;"OK",0,IF(S53&lt;&gt;"",0,IF(R53&gt;979,1000,R53)))</f>
        <v>-350</v>
      </c>
      <c r="U53" s="7" t="n">
        <f aca="false">T53/10</f>
        <v>-35</v>
      </c>
    </row>
    <row r="54" customFormat="false" ht="15" hidden="false" customHeight="false" outlineLevel="0" collapsed="false">
      <c r="A54" s="7" t="n">
        <v>49</v>
      </c>
      <c r="B54" s="7" t="n">
        <f aca="false">ROUND(o_SWSTART+A54*(o_SWEND-o_SWSTART)/400,0)</f>
        <v>502</v>
      </c>
      <c r="C54" s="7" t="n">
        <f aca="false">QUOTIENT((B54-c_OFF1)*c_GAIN1,1024)</f>
        <v>502</v>
      </c>
      <c r="D54" s="7" t="n">
        <f aca="false">IF(((c_T1MX)-(c_T1MN))=0,(0)+QUOTIENT(((1000)-(0)),2),QUOTIENT((((C54)-(c_T1MN))*((1000)-(0))+IF(((1000)-(0))&gt;=0,1,-1)*QUOTIENT(((c_T1MX)-(c_T1MN)),2)),((c_T1MX)-(c_T1MN)))+(0)+IF(((1000)-(0))&gt;=0,IF(IF(o_WRAP=1,MOD(((c_T1MX)-(c_T1MN))*(((C54)-(c_T1MN))*((1000)-(0))+IF(((1000)-(0))&gt;=0,1,-1)*QUOTIENT(((c_T1MX)-(c_T1MN)),2))+2147483648,4294967296)-2147483648,((c_T1MX)-(c_T1MN))*(((C54)-(c_T1MN))*((1000)-(0))+IF(((1000)-(0))&gt;=0,1,-1)*QUOTIENT(((c_T1MX)-(c_T1MN)),2)))&lt;0,-1,0),IF(IF(o_WRAP=1,MOD(((c_T1MX)-(c_T1MN))*(((C54)-(c_T1MN))*((1000)-(0))+IF(((1000)-(0))&gt;=0,1,-1)*QUOTIENT(((c_T1MX)-(c_T1MN)),2))+2147483648,4294967296)-2147483648,((c_T1MX)-(c_T1MN))*(((C54)-(c_T1MN))*((1000)-(0))+IF(((1000)-(0))&gt;=0,1,-1)*QUOTIENT(((c_T1MX)-(c_T1MN)),2)))&gt;=0,1,0)))</f>
        <v>-77</v>
      </c>
      <c r="E54" s="7" t="n">
        <f aca="false">IF(AND(c_TPOT=1,c_TTYPE=2),1000-D54,D54)</f>
        <v>-77</v>
      </c>
      <c r="F54" s="7" t="str">
        <f aca="false">IF(c_TPOT&gt;1,ROUND(IF(c_TTYPE=2,c_T2MX-IF(c_T1MX=c_T1MN,0,(C54-c_T1MN)/(c_T1MX-c_T1MN))*(c_T2MX-c_T2MN),c_T2MN+IF(c_T1MX=c_T1MN,0,(C54-c_T1MN)/(c_T1MX-c_T1MN))*(c_T2MX-c_T2MN))+o_MISMATCH,0),"")</f>
        <v/>
      </c>
      <c r="G54" s="7" t="str">
        <f aca="false">IF(c_TPOT&gt;1,IF(((c_T2MX)-(c_T2MN))=0,(0)+QUOTIENT(((1000)-(0)),2),QUOTIENT((((F54)-(c_T2MN))*((1000)-(0))+IF(((1000)-(0))&gt;=0,1,-1)*QUOTIENT(((c_T2MX)-(c_T2MN)),2)),((c_T2MX)-(c_T2MN)))+(0)+IF(((1000)-(0))&gt;=0,IF(IF(o_WRAP=1,MOD(((c_T2MX)-(c_T2MN))*(((F54)-(c_T2MN))*((1000)-(0))+IF(((1000)-(0))&gt;=0,1,-1)*QUOTIENT(((c_T2MX)-(c_T2MN)),2))+2147483648,4294967296)-2147483648,((c_T2MX)-(c_T2MN))*(((F54)-(c_T2MN))*((1000)-(0))+IF(((1000)-(0))&gt;=0,1,-1)*QUOTIENT(((c_T2MX)-(c_T2MN)),2)))&lt;0,-1,0),IF(IF(o_WRAP=1,MOD(((c_T2MX)-(c_T2MN))*(((F54)-(c_T2MN))*((1000)-(0))+IF(((1000)-(0))&gt;=0,1,-1)*QUOTIENT(((c_T2MX)-(c_T2MN)),2))+2147483648,4294967296)-2147483648,((c_T2MX)-(c_T2MN))*(((F54)-(c_T2MN))*((1000)-(0))+IF(((1000)-(0))&gt;=0,1,-1)*QUOTIENT(((c_T2MX)-(c_T2MN)),2)))&gt;=0,1,0))),"")</f>
        <v/>
      </c>
      <c r="H54" s="7" t="str">
        <f aca="false">IF(E54&gt;1000+k_TOL,"T1 HIGH",IF(E54&lt;0-k_TOL,"T1 LOW",IF(c_TPOT&gt;1,IF(G54&gt;1000+k_TOL,"T2 HIGH",IF(G54&lt;0-k_TOL,"T2 LOW",IF(c_TTYPE=2,IF(ABS(1000-MAX(0,MIN(1000,E54))-MAX(0,MIN(1000,G54)))&gt;k_MAXERR,"MISMATCH","OK"),IF(OR(MAX(0,MIN(1000,E54))-k_MAXERR&gt;MAX(0,MIN(1000,G54)),MAX(0,MIN(1000,G54))-k_MAXERR&gt;MAX(0,MIN(1000,E54))),"MISMATCH","OK")))),"OK")))</f>
        <v>OK</v>
      </c>
      <c r="I54" s="7" t="n">
        <f aca="false">MAX(0,MIN(1000,D54))</f>
        <v>0</v>
      </c>
      <c r="J54" s="7" t="str">
        <f aca="false">IF(c_TPOT&gt;1,IF(c_TTYPE=2,1000-MAX(0,MIN(1000,G54)),MAX(0,MIN(1000,G54))),"")</f>
        <v/>
      </c>
      <c r="K54" s="7" t="n">
        <f aca="false">IF(c_TPOT&gt;1,QUOTIENT(I54+J54,2),I54)</f>
        <v>0</v>
      </c>
      <c r="L54" s="7" t="n">
        <f aca="false">IF(AND(K54=0,c_TCREEP&gt;0),10*c_TCREEP,IF(AND(K54&lt;=c_TRNGMIN,K54&gt;=c_TRNGMAX,c_TRNGMIN-c_TRNGMAX&lt;&gt;0),-10*c_TMINRN+QUOTIENT((c_TMAXRN-c_TMINRN)*(100-QUOTIENT((K54-c_TRNGMAX)*100,c_TRNGMIN-c_TRNGMAX)),-10),0))</f>
        <v>-350</v>
      </c>
      <c r="M54" s="7" t="n">
        <f aca="false">IF(((c_TMAP1IN)-(c_TFWD))=0,(0)+QUOTIENT(((c_TMAP1OUT)-(0)),2),QUOTIENT((((K54)-(c_TFWD))*((c_TMAP1OUT)-(0))+IF(((c_TMAP1OUT)-(0))&gt;=0,1,-1)*QUOTIENT(((c_TMAP1IN)-(c_TFWD)),2)),((c_TMAP1IN)-(c_TFWD)))+(0)+IF(((c_TMAP1OUT)-(0))&gt;=0,IF(IF(o_WRAP=1,MOD(((c_TMAP1IN)-(c_TFWD))*(((K54)-(c_TFWD))*((c_TMAP1OUT)-(0))+IF(((c_TMAP1OUT)-(0))&gt;=0,1,-1)*QUOTIENT(((c_TMAP1IN)-(c_TFWD)),2))+2147483648,4294967296)-2147483648,((c_TMAP1IN)-(c_TFWD))*(((K54)-(c_TFWD))*((c_TMAP1OUT)-(0))+IF(((c_TMAP1OUT)-(0))&gt;=0,1,-1)*QUOTIENT(((c_TMAP1IN)-(c_TFWD)),2)))&lt;0,-1,0),IF(IF(o_WRAP=1,MOD(((c_TMAP1IN)-(c_TFWD))*(((K54)-(c_TFWD))*((c_TMAP1OUT)-(0))+IF(((c_TMAP1OUT)-(0))&gt;=0,1,-1)*QUOTIENT(((c_TMAP1IN)-(c_TFWD)),2))+2147483648,4294967296)-2147483648,((c_TMAP1IN)-(c_TFWD))*(((K54)-(c_TFWD))*((c_TMAP1OUT)-(0))+IF(((c_TMAP1OUT)-(0))&gt;=0,1,-1)*QUOTIENT(((c_TMAP1IN)-(c_TFWD)),2)))&gt;=0,1,0)))</f>
        <v>-8</v>
      </c>
      <c r="N54" s="7" t="n">
        <f aca="false">IF(((c_TMAP2IN)-(c_TMAP1IN))=0,(c_TMAP1OUT)+QUOTIENT(((c_TMAP2OUT)-(c_TMAP1OUT)),2),QUOTIENT((((K54)-(c_TMAP1IN))*((c_TMAP2OUT)-(c_TMAP1OUT))+IF(((c_TMAP2OUT)-(c_TMAP1OUT))&gt;=0,1,-1)*QUOTIENT(((c_TMAP2IN)-(c_TMAP1IN)),2)),((c_TMAP2IN)-(c_TMAP1IN)))+(c_TMAP1OUT)+IF(((c_TMAP2OUT)-(c_TMAP1OUT))&gt;=0,IF(IF(o_WRAP=1,MOD(((c_TMAP2IN)-(c_TMAP1IN))*(((K54)-(c_TMAP1IN))*((c_TMAP2OUT)-(c_TMAP1OUT))+IF(((c_TMAP2OUT)-(c_TMAP1OUT))&gt;=0,1,-1)*QUOTIENT(((c_TMAP2IN)-(c_TMAP1IN)),2))+2147483648,4294967296)-2147483648,((c_TMAP2IN)-(c_TMAP1IN))*(((K54)-(c_TMAP1IN))*((c_TMAP2OUT)-(c_TMAP1OUT))+IF(((c_TMAP2OUT)-(c_TMAP1OUT))&gt;=0,1,-1)*QUOTIENT(((c_TMAP2IN)-(c_TMAP1IN)),2)))&lt;0,-1,0),IF(IF(o_WRAP=1,MOD(((c_TMAP2IN)-(c_TMAP1IN))*(((K54)-(c_TMAP1IN))*((c_TMAP2OUT)-(c_TMAP1OUT))+IF(((c_TMAP2OUT)-(c_TMAP1OUT))&gt;=0,1,-1)*QUOTIENT(((c_TMAP2IN)-(c_TMAP1IN)),2))+2147483648,4294967296)-2147483648,((c_TMAP2IN)-(c_TMAP1IN))*(((K54)-(c_TMAP1IN))*((c_TMAP2OUT)-(c_TMAP1OUT))+IF(((c_TMAP2OUT)-(c_TMAP1OUT))&gt;=0,1,-1)*QUOTIENT(((c_TMAP2IN)-(c_TMAP1IN)),2)))&gt;=0,1,0)))</f>
        <v>30</v>
      </c>
      <c r="O54" s="7" t="n">
        <f aca="false">IF(((c_TMAP3IN)-(c_TMAP2IN))=0,(c_TMAP2OUT)+QUOTIENT(((c_TMAP3OUT)-(c_TMAP2OUT)),2),QUOTIENT((((K54)-(c_TMAP2IN))*((c_TMAP3OUT)-(c_TMAP2OUT))+IF(((c_TMAP3OUT)-(c_TMAP2OUT))&gt;=0,1,-1)*QUOTIENT(((c_TMAP3IN)-(c_TMAP2IN)),2)),((c_TMAP3IN)-(c_TMAP2IN)))+(c_TMAP2OUT)+IF(((c_TMAP3OUT)-(c_TMAP2OUT))&gt;=0,IF(IF(o_WRAP=1,MOD(((c_TMAP3IN)-(c_TMAP2IN))*(((K54)-(c_TMAP2IN))*((c_TMAP3OUT)-(c_TMAP2OUT))+IF(((c_TMAP3OUT)-(c_TMAP2OUT))&gt;=0,1,-1)*QUOTIENT(((c_TMAP3IN)-(c_TMAP2IN)),2))+2147483648,4294967296)-2147483648,((c_TMAP3IN)-(c_TMAP2IN))*(((K54)-(c_TMAP2IN))*((c_TMAP3OUT)-(c_TMAP2OUT))+IF(((c_TMAP3OUT)-(c_TMAP2OUT))&gt;=0,1,-1)*QUOTIENT(((c_TMAP3IN)-(c_TMAP2IN)),2)))&lt;0,-1,0),IF(IF(o_WRAP=1,MOD(((c_TMAP3IN)-(c_TMAP2IN))*(((K54)-(c_TMAP2IN))*((c_TMAP3OUT)-(c_TMAP2OUT))+IF(((c_TMAP3OUT)-(c_TMAP2OUT))&gt;=0,1,-1)*QUOTIENT(((c_TMAP3IN)-(c_TMAP2IN)),2))+2147483648,4294967296)-2147483648,((c_TMAP3IN)-(c_TMAP2IN))*(((K54)-(c_TMAP2IN))*((c_TMAP3OUT)-(c_TMAP2OUT))+IF(((c_TMAP3OUT)-(c_TMAP2OUT))&gt;=0,1,-1)*QUOTIENT(((c_TMAP3IN)-(c_TMAP2IN)),2)))&gt;=0,1,0)))</f>
        <v>-45</v>
      </c>
      <c r="P54" s="7" t="n">
        <f aca="false">IF(((1000)-(c_TMAP3IN))=0,(c_TMAP3OUT)+QUOTIENT(((1000)-(c_TMAP3OUT)),2),QUOTIENT((((K54)-(c_TMAP3IN))*((1000)-(c_TMAP3OUT))+IF(((1000)-(c_TMAP3OUT))&gt;=0,1,-1)*QUOTIENT(((1000)-(c_TMAP3IN)),2)),((1000)-(c_TMAP3IN)))+(c_TMAP3OUT)+IF(((1000)-(c_TMAP3OUT))&gt;=0,IF(IF(o_WRAP=1,MOD(((1000)-(c_TMAP3IN))*(((K54)-(c_TMAP3IN))*((1000)-(c_TMAP3OUT))+IF(((1000)-(c_TMAP3OUT))&gt;=0,1,-1)*QUOTIENT(((1000)-(c_TMAP3IN)),2))+2147483648,4294967296)-2147483648,((1000)-(c_TMAP3IN))*(((K54)-(c_TMAP3IN))*((1000)-(c_TMAP3OUT))+IF(((1000)-(c_TMAP3OUT))&gt;=0,1,-1)*QUOTIENT(((1000)-(c_TMAP3IN)),2)))&lt;0,-1,0),IF(IF(o_WRAP=1,MOD(((1000)-(c_TMAP3IN))*(((K54)-(c_TMAP3IN))*((1000)-(c_TMAP3OUT))+IF(((1000)-(c_TMAP3OUT))&gt;=0,1,-1)*QUOTIENT(((1000)-(c_TMAP3IN)),2))+2147483648,4294967296)-2147483648,((1000)-(c_TMAP3IN))*(((K54)-(c_TMAP3IN))*((1000)-(c_TMAP3OUT))+IF(((1000)-(c_TMAP3OUT))&gt;=0,1,-1)*QUOTIENT(((1000)-(c_TMAP3IN)),2)))&gt;=0,1,0)))</f>
        <v>-231</v>
      </c>
      <c r="Q54" s="7" t="str">
        <f aca="false">IF(K54&gt;=c_TFWD,IF(AND(K54&gt;=c_TMAP3IN,c_TMAP3IN&lt;1000),"Seg4 map3-100%",IF(AND(K54&gt;=c_TMAP2IN,c_TMAP3IN&gt;c_TMAP2IN),"Seg3 map2-map3",IF(AND(K54&gt;=c_TMAP1IN,c_TMAP2IN&gt;c_TMAP1IN),"Seg2 map1-map2","Seg1 TFWD-map1"))),IF(AND(K54=0,c_TCREEP&gt;0),"Creep",IF(AND(K54&lt;=c_TRNGMIN,K54&gt;=c_TRNGMAX,c_TRNGMIN-c_TRNGMAX&lt;&gt;0),"Regen ramp","Coast (0)")))</f>
        <v>Regen ramp</v>
      </c>
      <c r="R54" s="7" t="n">
        <f aca="false">IF(K54&gt;=c_TFWD,IF(AND(K54&gt;=c_TMAP3IN,c_TMAP3IN&lt;1000),P54,IF(AND(K54&gt;=c_TMAP2IN,c_TMAP3IN&gt;c_TMAP2IN),O54,IF(AND(K54&gt;=c_TMAP1IN,c_TMAP2IN&gt;c_TMAP1IN),N54,M54))),L54)</f>
        <v>-350</v>
      </c>
      <c r="S54" s="7" t="str">
        <f aca="false">IF(R54&lt;-1090,"TOO LOW",IF(R54&gt;1090,"TOO HIGH",""))</f>
        <v/>
      </c>
      <c r="T54" s="15" t="n">
        <f aca="false">IF(H54&lt;&gt;"OK",0,IF(S54&lt;&gt;"",0,IF(R54&gt;979,1000,R54)))</f>
        <v>-350</v>
      </c>
      <c r="U54" s="7" t="n">
        <f aca="false">T54/10</f>
        <v>-35</v>
      </c>
    </row>
    <row r="55" customFormat="false" ht="15" hidden="false" customHeight="false" outlineLevel="0" collapsed="false">
      <c r="A55" s="7" t="n">
        <v>50</v>
      </c>
      <c r="B55" s="7" t="n">
        <f aca="false">ROUND(o_SWSTART+A55*(o_SWEND-o_SWSTART)/400,0)</f>
        <v>512</v>
      </c>
      <c r="C55" s="7" t="n">
        <f aca="false">QUOTIENT((B55-c_OFF1)*c_GAIN1,1024)</f>
        <v>512</v>
      </c>
      <c r="D55" s="7" t="n">
        <f aca="false">IF(((c_T1MX)-(c_T1MN))=0,(0)+QUOTIENT(((1000)-(0)),2),QUOTIENT((((C55)-(c_T1MN))*((1000)-(0))+IF(((1000)-(0))&gt;=0,1,-1)*QUOTIENT(((c_T1MX)-(c_T1MN)),2)),((c_T1MX)-(c_T1MN)))+(0)+IF(((1000)-(0))&gt;=0,IF(IF(o_WRAP=1,MOD(((c_T1MX)-(c_T1MN))*(((C55)-(c_T1MN))*((1000)-(0))+IF(((1000)-(0))&gt;=0,1,-1)*QUOTIENT(((c_T1MX)-(c_T1MN)),2))+2147483648,4294967296)-2147483648,((c_T1MX)-(c_T1MN))*(((C55)-(c_T1MN))*((1000)-(0))+IF(((1000)-(0))&gt;=0,1,-1)*QUOTIENT(((c_T1MX)-(c_T1MN)),2)))&lt;0,-1,0),IF(IF(o_WRAP=1,MOD(((c_T1MX)-(c_T1MN))*(((C55)-(c_T1MN))*((1000)-(0))+IF(((1000)-(0))&gt;=0,1,-1)*QUOTIENT(((c_T1MX)-(c_T1MN)),2))+2147483648,4294967296)-2147483648,((c_T1MX)-(c_T1MN))*(((C55)-(c_T1MN))*((1000)-(0))+IF(((1000)-(0))&gt;=0,1,-1)*QUOTIENT(((c_T1MX)-(c_T1MN)),2)))&gt;=0,1,0)))</f>
        <v>-73</v>
      </c>
      <c r="E55" s="7" t="n">
        <f aca="false">IF(AND(c_TPOT=1,c_TTYPE=2),1000-D55,D55)</f>
        <v>-73</v>
      </c>
      <c r="F55" s="7" t="str">
        <f aca="false">IF(c_TPOT&gt;1,ROUND(IF(c_TTYPE=2,c_T2MX-IF(c_T1MX=c_T1MN,0,(C55-c_T1MN)/(c_T1MX-c_T1MN))*(c_T2MX-c_T2MN),c_T2MN+IF(c_T1MX=c_T1MN,0,(C55-c_T1MN)/(c_T1MX-c_T1MN))*(c_T2MX-c_T2MN))+o_MISMATCH,0),"")</f>
        <v/>
      </c>
      <c r="G55" s="7" t="str">
        <f aca="false">IF(c_TPOT&gt;1,IF(((c_T2MX)-(c_T2MN))=0,(0)+QUOTIENT(((1000)-(0)),2),QUOTIENT((((F55)-(c_T2MN))*((1000)-(0))+IF(((1000)-(0))&gt;=0,1,-1)*QUOTIENT(((c_T2MX)-(c_T2MN)),2)),((c_T2MX)-(c_T2MN)))+(0)+IF(((1000)-(0))&gt;=0,IF(IF(o_WRAP=1,MOD(((c_T2MX)-(c_T2MN))*(((F55)-(c_T2MN))*((1000)-(0))+IF(((1000)-(0))&gt;=0,1,-1)*QUOTIENT(((c_T2MX)-(c_T2MN)),2))+2147483648,4294967296)-2147483648,((c_T2MX)-(c_T2MN))*(((F55)-(c_T2MN))*((1000)-(0))+IF(((1000)-(0))&gt;=0,1,-1)*QUOTIENT(((c_T2MX)-(c_T2MN)),2)))&lt;0,-1,0),IF(IF(o_WRAP=1,MOD(((c_T2MX)-(c_T2MN))*(((F55)-(c_T2MN))*((1000)-(0))+IF(((1000)-(0))&gt;=0,1,-1)*QUOTIENT(((c_T2MX)-(c_T2MN)),2))+2147483648,4294967296)-2147483648,((c_T2MX)-(c_T2MN))*(((F55)-(c_T2MN))*((1000)-(0))+IF(((1000)-(0))&gt;=0,1,-1)*QUOTIENT(((c_T2MX)-(c_T2MN)),2)))&gt;=0,1,0))),"")</f>
        <v/>
      </c>
      <c r="H55" s="7" t="str">
        <f aca="false">IF(E55&gt;1000+k_TOL,"T1 HIGH",IF(E55&lt;0-k_TOL,"T1 LOW",IF(c_TPOT&gt;1,IF(G55&gt;1000+k_TOL,"T2 HIGH",IF(G55&lt;0-k_TOL,"T2 LOW",IF(c_TTYPE=2,IF(ABS(1000-MAX(0,MIN(1000,E55))-MAX(0,MIN(1000,G55)))&gt;k_MAXERR,"MISMATCH","OK"),IF(OR(MAX(0,MIN(1000,E55))-k_MAXERR&gt;MAX(0,MIN(1000,G55)),MAX(0,MIN(1000,G55))-k_MAXERR&gt;MAX(0,MIN(1000,E55))),"MISMATCH","OK")))),"OK")))</f>
        <v>OK</v>
      </c>
      <c r="I55" s="7" t="n">
        <f aca="false">MAX(0,MIN(1000,D55))</f>
        <v>0</v>
      </c>
      <c r="J55" s="7" t="str">
        <f aca="false">IF(c_TPOT&gt;1,IF(c_TTYPE=2,1000-MAX(0,MIN(1000,G55)),MAX(0,MIN(1000,G55))),"")</f>
        <v/>
      </c>
      <c r="K55" s="7" t="n">
        <f aca="false">IF(c_TPOT&gt;1,QUOTIENT(I55+J55,2),I55)</f>
        <v>0</v>
      </c>
      <c r="L55" s="7" t="n">
        <f aca="false">IF(AND(K55=0,c_TCREEP&gt;0),10*c_TCREEP,IF(AND(K55&lt;=c_TRNGMIN,K55&gt;=c_TRNGMAX,c_TRNGMIN-c_TRNGMAX&lt;&gt;0),-10*c_TMINRN+QUOTIENT((c_TMAXRN-c_TMINRN)*(100-QUOTIENT((K55-c_TRNGMAX)*100,c_TRNGMIN-c_TRNGMAX)),-10),0))</f>
        <v>-350</v>
      </c>
      <c r="M55" s="7" t="n">
        <f aca="false">IF(((c_TMAP1IN)-(c_TFWD))=0,(0)+QUOTIENT(((c_TMAP1OUT)-(0)),2),QUOTIENT((((K55)-(c_TFWD))*((c_TMAP1OUT)-(0))+IF(((c_TMAP1OUT)-(0))&gt;=0,1,-1)*QUOTIENT(((c_TMAP1IN)-(c_TFWD)),2)),((c_TMAP1IN)-(c_TFWD)))+(0)+IF(((c_TMAP1OUT)-(0))&gt;=0,IF(IF(o_WRAP=1,MOD(((c_TMAP1IN)-(c_TFWD))*(((K55)-(c_TFWD))*((c_TMAP1OUT)-(0))+IF(((c_TMAP1OUT)-(0))&gt;=0,1,-1)*QUOTIENT(((c_TMAP1IN)-(c_TFWD)),2))+2147483648,4294967296)-2147483648,((c_TMAP1IN)-(c_TFWD))*(((K55)-(c_TFWD))*((c_TMAP1OUT)-(0))+IF(((c_TMAP1OUT)-(0))&gt;=0,1,-1)*QUOTIENT(((c_TMAP1IN)-(c_TFWD)),2)))&lt;0,-1,0),IF(IF(o_WRAP=1,MOD(((c_TMAP1IN)-(c_TFWD))*(((K55)-(c_TFWD))*((c_TMAP1OUT)-(0))+IF(((c_TMAP1OUT)-(0))&gt;=0,1,-1)*QUOTIENT(((c_TMAP1IN)-(c_TFWD)),2))+2147483648,4294967296)-2147483648,((c_TMAP1IN)-(c_TFWD))*(((K55)-(c_TFWD))*((c_TMAP1OUT)-(0))+IF(((c_TMAP1OUT)-(0))&gt;=0,1,-1)*QUOTIENT(((c_TMAP1IN)-(c_TFWD)),2)))&gt;=0,1,0)))</f>
        <v>-8</v>
      </c>
      <c r="N55" s="7" t="n">
        <f aca="false">IF(((c_TMAP2IN)-(c_TMAP1IN))=0,(c_TMAP1OUT)+QUOTIENT(((c_TMAP2OUT)-(c_TMAP1OUT)),2),QUOTIENT((((K55)-(c_TMAP1IN))*((c_TMAP2OUT)-(c_TMAP1OUT))+IF(((c_TMAP2OUT)-(c_TMAP1OUT))&gt;=0,1,-1)*QUOTIENT(((c_TMAP2IN)-(c_TMAP1IN)),2)),((c_TMAP2IN)-(c_TMAP1IN)))+(c_TMAP1OUT)+IF(((c_TMAP2OUT)-(c_TMAP1OUT))&gt;=0,IF(IF(o_WRAP=1,MOD(((c_TMAP2IN)-(c_TMAP1IN))*(((K55)-(c_TMAP1IN))*((c_TMAP2OUT)-(c_TMAP1OUT))+IF(((c_TMAP2OUT)-(c_TMAP1OUT))&gt;=0,1,-1)*QUOTIENT(((c_TMAP2IN)-(c_TMAP1IN)),2))+2147483648,4294967296)-2147483648,((c_TMAP2IN)-(c_TMAP1IN))*(((K55)-(c_TMAP1IN))*((c_TMAP2OUT)-(c_TMAP1OUT))+IF(((c_TMAP2OUT)-(c_TMAP1OUT))&gt;=0,1,-1)*QUOTIENT(((c_TMAP2IN)-(c_TMAP1IN)),2)))&lt;0,-1,0),IF(IF(o_WRAP=1,MOD(((c_TMAP2IN)-(c_TMAP1IN))*(((K55)-(c_TMAP1IN))*((c_TMAP2OUT)-(c_TMAP1OUT))+IF(((c_TMAP2OUT)-(c_TMAP1OUT))&gt;=0,1,-1)*QUOTIENT(((c_TMAP2IN)-(c_TMAP1IN)),2))+2147483648,4294967296)-2147483648,((c_TMAP2IN)-(c_TMAP1IN))*(((K55)-(c_TMAP1IN))*((c_TMAP2OUT)-(c_TMAP1OUT))+IF(((c_TMAP2OUT)-(c_TMAP1OUT))&gt;=0,1,-1)*QUOTIENT(((c_TMAP2IN)-(c_TMAP1IN)),2)))&gt;=0,1,0)))</f>
        <v>30</v>
      </c>
      <c r="O55" s="7" t="n">
        <f aca="false">IF(((c_TMAP3IN)-(c_TMAP2IN))=0,(c_TMAP2OUT)+QUOTIENT(((c_TMAP3OUT)-(c_TMAP2OUT)),2),QUOTIENT((((K55)-(c_TMAP2IN))*((c_TMAP3OUT)-(c_TMAP2OUT))+IF(((c_TMAP3OUT)-(c_TMAP2OUT))&gt;=0,1,-1)*QUOTIENT(((c_TMAP3IN)-(c_TMAP2IN)),2)),((c_TMAP3IN)-(c_TMAP2IN)))+(c_TMAP2OUT)+IF(((c_TMAP3OUT)-(c_TMAP2OUT))&gt;=0,IF(IF(o_WRAP=1,MOD(((c_TMAP3IN)-(c_TMAP2IN))*(((K55)-(c_TMAP2IN))*((c_TMAP3OUT)-(c_TMAP2OUT))+IF(((c_TMAP3OUT)-(c_TMAP2OUT))&gt;=0,1,-1)*QUOTIENT(((c_TMAP3IN)-(c_TMAP2IN)),2))+2147483648,4294967296)-2147483648,((c_TMAP3IN)-(c_TMAP2IN))*(((K55)-(c_TMAP2IN))*((c_TMAP3OUT)-(c_TMAP2OUT))+IF(((c_TMAP3OUT)-(c_TMAP2OUT))&gt;=0,1,-1)*QUOTIENT(((c_TMAP3IN)-(c_TMAP2IN)),2)))&lt;0,-1,0),IF(IF(o_WRAP=1,MOD(((c_TMAP3IN)-(c_TMAP2IN))*(((K55)-(c_TMAP2IN))*((c_TMAP3OUT)-(c_TMAP2OUT))+IF(((c_TMAP3OUT)-(c_TMAP2OUT))&gt;=0,1,-1)*QUOTIENT(((c_TMAP3IN)-(c_TMAP2IN)),2))+2147483648,4294967296)-2147483648,((c_TMAP3IN)-(c_TMAP2IN))*(((K55)-(c_TMAP2IN))*((c_TMAP3OUT)-(c_TMAP2OUT))+IF(((c_TMAP3OUT)-(c_TMAP2OUT))&gt;=0,1,-1)*QUOTIENT(((c_TMAP3IN)-(c_TMAP2IN)),2)))&gt;=0,1,0)))</f>
        <v>-45</v>
      </c>
      <c r="P55" s="7" t="n">
        <f aca="false">IF(((1000)-(c_TMAP3IN))=0,(c_TMAP3OUT)+QUOTIENT(((1000)-(c_TMAP3OUT)),2),QUOTIENT((((K55)-(c_TMAP3IN))*((1000)-(c_TMAP3OUT))+IF(((1000)-(c_TMAP3OUT))&gt;=0,1,-1)*QUOTIENT(((1000)-(c_TMAP3IN)),2)),((1000)-(c_TMAP3IN)))+(c_TMAP3OUT)+IF(((1000)-(c_TMAP3OUT))&gt;=0,IF(IF(o_WRAP=1,MOD(((1000)-(c_TMAP3IN))*(((K55)-(c_TMAP3IN))*((1000)-(c_TMAP3OUT))+IF(((1000)-(c_TMAP3OUT))&gt;=0,1,-1)*QUOTIENT(((1000)-(c_TMAP3IN)),2))+2147483648,4294967296)-2147483648,((1000)-(c_TMAP3IN))*(((K55)-(c_TMAP3IN))*((1000)-(c_TMAP3OUT))+IF(((1000)-(c_TMAP3OUT))&gt;=0,1,-1)*QUOTIENT(((1000)-(c_TMAP3IN)),2)))&lt;0,-1,0),IF(IF(o_WRAP=1,MOD(((1000)-(c_TMAP3IN))*(((K55)-(c_TMAP3IN))*((1000)-(c_TMAP3OUT))+IF(((1000)-(c_TMAP3OUT))&gt;=0,1,-1)*QUOTIENT(((1000)-(c_TMAP3IN)),2))+2147483648,4294967296)-2147483648,((1000)-(c_TMAP3IN))*(((K55)-(c_TMAP3IN))*((1000)-(c_TMAP3OUT))+IF(((1000)-(c_TMAP3OUT))&gt;=0,1,-1)*QUOTIENT(((1000)-(c_TMAP3IN)),2)))&gt;=0,1,0)))</f>
        <v>-231</v>
      </c>
      <c r="Q55" s="7" t="str">
        <f aca="false">IF(K55&gt;=c_TFWD,IF(AND(K55&gt;=c_TMAP3IN,c_TMAP3IN&lt;1000),"Seg4 map3-100%",IF(AND(K55&gt;=c_TMAP2IN,c_TMAP3IN&gt;c_TMAP2IN),"Seg3 map2-map3",IF(AND(K55&gt;=c_TMAP1IN,c_TMAP2IN&gt;c_TMAP1IN),"Seg2 map1-map2","Seg1 TFWD-map1"))),IF(AND(K55=0,c_TCREEP&gt;0),"Creep",IF(AND(K55&lt;=c_TRNGMIN,K55&gt;=c_TRNGMAX,c_TRNGMIN-c_TRNGMAX&lt;&gt;0),"Regen ramp","Coast (0)")))</f>
        <v>Regen ramp</v>
      </c>
      <c r="R55" s="7" t="n">
        <f aca="false">IF(K55&gt;=c_TFWD,IF(AND(K55&gt;=c_TMAP3IN,c_TMAP3IN&lt;1000),P55,IF(AND(K55&gt;=c_TMAP2IN,c_TMAP3IN&gt;c_TMAP2IN),O55,IF(AND(K55&gt;=c_TMAP1IN,c_TMAP2IN&gt;c_TMAP1IN),N55,M55))),L55)</f>
        <v>-350</v>
      </c>
      <c r="S55" s="7" t="str">
        <f aca="false">IF(R55&lt;-1090,"TOO LOW",IF(R55&gt;1090,"TOO HIGH",""))</f>
        <v/>
      </c>
      <c r="T55" s="15" t="n">
        <f aca="false">IF(H55&lt;&gt;"OK",0,IF(S55&lt;&gt;"",0,IF(R55&gt;979,1000,R55)))</f>
        <v>-350</v>
      </c>
      <c r="U55" s="7" t="n">
        <f aca="false">T55/10</f>
        <v>-35</v>
      </c>
    </row>
    <row r="56" customFormat="false" ht="15" hidden="false" customHeight="false" outlineLevel="0" collapsed="false">
      <c r="A56" s="7" t="n">
        <v>51</v>
      </c>
      <c r="B56" s="7" t="n">
        <f aca="false">ROUND(o_SWSTART+A56*(o_SWEND-o_SWSTART)/400,0)</f>
        <v>522</v>
      </c>
      <c r="C56" s="7" t="n">
        <f aca="false">QUOTIENT((B56-c_OFF1)*c_GAIN1,1024)</f>
        <v>522</v>
      </c>
      <c r="D56" s="7" t="n">
        <f aca="false">IF(((c_T1MX)-(c_T1MN))=0,(0)+QUOTIENT(((1000)-(0)),2),QUOTIENT((((C56)-(c_T1MN))*((1000)-(0))+IF(((1000)-(0))&gt;=0,1,-1)*QUOTIENT(((c_T1MX)-(c_T1MN)),2)),((c_T1MX)-(c_T1MN)))+(0)+IF(((1000)-(0))&gt;=0,IF(IF(o_WRAP=1,MOD(((c_T1MX)-(c_T1MN))*(((C56)-(c_T1MN))*((1000)-(0))+IF(((1000)-(0))&gt;=0,1,-1)*QUOTIENT(((c_T1MX)-(c_T1MN)),2))+2147483648,4294967296)-2147483648,((c_T1MX)-(c_T1MN))*(((C56)-(c_T1MN))*((1000)-(0))+IF(((1000)-(0))&gt;=0,1,-1)*QUOTIENT(((c_T1MX)-(c_T1MN)),2)))&lt;0,-1,0),IF(IF(o_WRAP=1,MOD(((c_T1MX)-(c_T1MN))*(((C56)-(c_T1MN))*((1000)-(0))+IF(((1000)-(0))&gt;=0,1,-1)*QUOTIENT(((c_T1MX)-(c_T1MN)),2))+2147483648,4294967296)-2147483648,((c_T1MX)-(c_T1MN))*(((C56)-(c_T1MN))*((1000)-(0))+IF(((1000)-(0))&gt;=0,1,-1)*QUOTIENT(((c_T1MX)-(c_T1MN)),2)))&gt;=0,1,0)))</f>
        <v>-70</v>
      </c>
      <c r="E56" s="7" t="n">
        <f aca="false">IF(AND(c_TPOT=1,c_TTYPE=2),1000-D56,D56)</f>
        <v>-70</v>
      </c>
      <c r="F56" s="7" t="str">
        <f aca="false">IF(c_TPOT&gt;1,ROUND(IF(c_TTYPE=2,c_T2MX-IF(c_T1MX=c_T1MN,0,(C56-c_T1MN)/(c_T1MX-c_T1MN))*(c_T2MX-c_T2MN),c_T2MN+IF(c_T1MX=c_T1MN,0,(C56-c_T1MN)/(c_T1MX-c_T1MN))*(c_T2MX-c_T2MN))+o_MISMATCH,0),"")</f>
        <v/>
      </c>
      <c r="G56" s="7" t="str">
        <f aca="false">IF(c_TPOT&gt;1,IF(((c_T2MX)-(c_T2MN))=0,(0)+QUOTIENT(((1000)-(0)),2),QUOTIENT((((F56)-(c_T2MN))*((1000)-(0))+IF(((1000)-(0))&gt;=0,1,-1)*QUOTIENT(((c_T2MX)-(c_T2MN)),2)),((c_T2MX)-(c_T2MN)))+(0)+IF(((1000)-(0))&gt;=0,IF(IF(o_WRAP=1,MOD(((c_T2MX)-(c_T2MN))*(((F56)-(c_T2MN))*((1000)-(0))+IF(((1000)-(0))&gt;=0,1,-1)*QUOTIENT(((c_T2MX)-(c_T2MN)),2))+2147483648,4294967296)-2147483648,((c_T2MX)-(c_T2MN))*(((F56)-(c_T2MN))*((1000)-(0))+IF(((1000)-(0))&gt;=0,1,-1)*QUOTIENT(((c_T2MX)-(c_T2MN)),2)))&lt;0,-1,0),IF(IF(o_WRAP=1,MOD(((c_T2MX)-(c_T2MN))*(((F56)-(c_T2MN))*((1000)-(0))+IF(((1000)-(0))&gt;=0,1,-1)*QUOTIENT(((c_T2MX)-(c_T2MN)),2))+2147483648,4294967296)-2147483648,((c_T2MX)-(c_T2MN))*(((F56)-(c_T2MN))*((1000)-(0))+IF(((1000)-(0))&gt;=0,1,-1)*QUOTIENT(((c_T2MX)-(c_T2MN)),2)))&gt;=0,1,0))),"")</f>
        <v/>
      </c>
      <c r="H56" s="7" t="str">
        <f aca="false">IF(E56&gt;1000+k_TOL,"T1 HIGH",IF(E56&lt;0-k_TOL,"T1 LOW",IF(c_TPOT&gt;1,IF(G56&gt;1000+k_TOL,"T2 HIGH",IF(G56&lt;0-k_TOL,"T2 LOW",IF(c_TTYPE=2,IF(ABS(1000-MAX(0,MIN(1000,E56))-MAX(0,MIN(1000,G56)))&gt;k_MAXERR,"MISMATCH","OK"),IF(OR(MAX(0,MIN(1000,E56))-k_MAXERR&gt;MAX(0,MIN(1000,G56)),MAX(0,MIN(1000,G56))-k_MAXERR&gt;MAX(0,MIN(1000,E56))),"MISMATCH","OK")))),"OK")))</f>
        <v>OK</v>
      </c>
      <c r="I56" s="7" t="n">
        <f aca="false">MAX(0,MIN(1000,D56))</f>
        <v>0</v>
      </c>
      <c r="J56" s="7" t="str">
        <f aca="false">IF(c_TPOT&gt;1,IF(c_TTYPE=2,1000-MAX(0,MIN(1000,G56)),MAX(0,MIN(1000,G56))),"")</f>
        <v/>
      </c>
      <c r="K56" s="7" t="n">
        <f aca="false">IF(c_TPOT&gt;1,QUOTIENT(I56+J56,2),I56)</f>
        <v>0</v>
      </c>
      <c r="L56" s="7" t="n">
        <f aca="false">IF(AND(K56=0,c_TCREEP&gt;0),10*c_TCREEP,IF(AND(K56&lt;=c_TRNGMIN,K56&gt;=c_TRNGMAX,c_TRNGMIN-c_TRNGMAX&lt;&gt;0),-10*c_TMINRN+QUOTIENT((c_TMAXRN-c_TMINRN)*(100-QUOTIENT((K56-c_TRNGMAX)*100,c_TRNGMIN-c_TRNGMAX)),-10),0))</f>
        <v>-350</v>
      </c>
      <c r="M56" s="7" t="n">
        <f aca="false">IF(((c_TMAP1IN)-(c_TFWD))=0,(0)+QUOTIENT(((c_TMAP1OUT)-(0)),2),QUOTIENT((((K56)-(c_TFWD))*((c_TMAP1OUT)-(0))+IF(((c_TMAP1OUT)-(0))&gt;=0,1,-1)*QUOTIENT(((c_TMAP1IN)-(c_TFWD)),2)),((c_TMAP1IN)-(c_TFWD)))+(0)+IF(((c_TMAP1OUT)-(0))&gt;=0,IF(IF(o_WRAP=1,MOD(((c_TMAP1IN)-(c_TFWD))*(((K56)-(c_TFWD))*((c_TMAP1OUT)-(0))+IF(((c_TMAP1OUT)-(0))&gt;=0,1,-1)*QUOTIENT(((c_TMAP1IN)-(c_TFWD)),2))+2147483648,4294967296)-2147483648,((c_TMAP1IN)-(c_TFWD))*(((K56)-(c_TFWD))*((c_TMAP1OUT)-(0))+IF(((c_TMAP1OUT)-(0))&gt;=0,1,-1)*QUOTIENT(((c_TMAP1IN)-(c_TFWD)),2)))&lt;0,-1,0),IF(IF(o_WRAP=1,MOD(((c_TMAP1IN)-(c_TFWD))*(((K56)-(c_TFWD))*((c_TMAP1OUT)-(0))+IF(((c_TMAP1OUT)-(0))&gt;=0,1,-1)*QUOTIENT(((c_TMAP1IN)-(c_TFWD)),2))+2147483648,4294967296)-2147483648,((c_TMAP1IN)-(c_TFWD))*(((K56)-(c_TFWD))*((c_TMAP1OUT)-(0))+IF(((c_TMAP1OUT)-(0))&gt;=0,1,-1)*QUOTIENT(((c_TMAP1IN)-(c_TFWD)),2)))&gt;=0,1,0)))</f>
        <v>-8</v>
      </c>
      <c r="N56" s="7" t="n">
        <f aca="false">IF(((c_TMAP2IN)-(c_TMAP1IN))=0,(c_TMAP1OUT)+QUOTIENT(((c_TMAP2OUT)-(c_TMAP1OUT)),2),QUOTIENT((((K56)-(c_TMAP1IN))*((c_TMAP2OUT)-(c_TMAP1OUT))+IF(((c_TMAP2OUT)-(c_TMAP1OUT))&gt;=0,1,-1)*QUOTIENT(((c_TMAP2IN)-(c_TMAP1IN)),2)),((c_TMAP2IN)-(c_TMAP1IN)))+(c_TMAP1OUT)+IF(((c_TMAP2OUT)-(c_TMAP1OUT))&gt;=0,IF(IF(o_WRAP=1,MOD(((c_TMAP2IN)-(c_TMAP1IN))*(((K56)-(c_TMAP1IN))*((c_TMAP2OUT)-(c_TMAP1OUT))+IF(((c_TMAP2OUT)-(c_TMAP1OUT))&gt;=0,1,-1)*QUOTIENT(((c_TMAP2IN)-(c_TMAP1IN)),2))+2147483648,4294967296)-2147483648,((c_TMAP2IN)-(c_TMAP1IN))*(((K56)-(c_TMAP1IN))*((c_TMAP2OUT)-(c_TMAP1OUT))+IF(((c_TMAP2OUT)-(c_TMAP1OUT))&gt;=0,1,-1)*QUOTIENT(((c_TMAP2IN)-(c_TMAP1IN)),2)))&lt;0,-1,0),IF(IF(o_WRAP=1,MOD(((c_TMAP2IN)-(c_TMAP1IN))*(((K56)-(c_TMAP1IN))*((c_TMAP2OUT)-(c_TMAP1OUT))+IF(((c_TMAP2OUT)-(c_TMAP1OUT))&gt;=0,1,-1)*QUOTIENT(((c_TMAP2IN)-(c_TMAP1IN)),2))+2147483648,4294967296)-2147483648,((c_TMAP2IN)-(c_TMAP1IN))*(((K56)-(c_TMAP1IN))*((c_TMAP2OUT)-(c_TMAP1OUT))+IF(((c_TMAP2OUT)-(c_TMAP1OUT))&gt;=0,1,-1)*QUOTIENT(((c_TMAP2IN)-(c_TMAP1IN)),2)))&gt;=0,1,0)))</f>
        <v>30</v>
      </c>
      <c r="O56" s="7" t="n">
        <f aca="false">IF(((c_TMAP3IN)-(c_TMAP2IN))=0,(c_TMAP2OUT)+QUOTIENT(((c_TMAP3OUT)-(c_TMAP2OUT)),2),QUOTIENT((((K56)-(c_TMAP2IN))*((c_TMAP3OUT)-(c_TMAP2OUT))+IF(((c_TMAP3OUT)-(c_TMAP2OUT))&gt;=0,1,-1)*QUOTIENT(((c_TMAP3IN)-(c_TMAP2IN)),2)),((c_TMAP3IN)-(c_TMAP2IN)))+(c_TMAP2OUT)+IF(((c_TMAP3OUT)-(c_TMAP2OUT))&gt;=0,IF(IF(o_WRAP=1,MOD(((c_TMAP3IN)-(c_TMAP2IN))*(((K56)-(c_TMAP2IN))*((c_TMAP3OUT)-(c_TMAP2OUT))+IF(((c_TMAP3OUT)-(c_TMAP2OUT))&gt;=0,1,-1)*QUOTIENT(((c_TMAP3IN)-(c_TMAP2IN)),2))+2147483648,4294967296)-2147483648,((c_TMAP3IN)-(c_TMAP2IN))*(((K56)-(c_TMAP2IN))*((c_TMAP3OUT)-(c_TMAP2OUT))+IF(((c_TMAP3OUT)-(c_TMAP2OUT))&gt;=0,1,-1)*QUOTIENT(((c_TMAP3IN)-(c_TMAP2IN)),2)))&lt;0,-1,0),IF(IF(o_WRAP=1,MOD(((c_TMAP3IN)-(c_TMAP2IN))*(((K56)-(c_TMAP2IN))*((c_TMAP3OUT)-(c_TMAP2OUT))+IF(((c_TMAP3OUT)-(c_TMAP2OUT))&gt;=0,1,-1)*QUOTIENT(((c_TMAP3IN)-(c_TMAP2IN)),2))+2147483648,4294967296)-2147483648,((c_TMAP3IN)-(c_TMAP2IN))*(((K56)-(c_TMAP2IN))*((c_TMAP3OUT)-(c_TMAP2OUT))+IF(((c_TMAP3OUT)-(c_TMAP2OUT))&gt;=0,1,-1)*QUOTIENT(((c_TMAP3IN)-(c_TMAP2IN)),2)))&gt;=0,1,0)))</f>
        <v>-45</v>
      </c>
      <c r="P56" s="7" t="n">
        <f aca="false">IF(((1000)-(c_TMAP3IN))=0,(c_TMAP3OUT)+QUOTIENT(((1000)-(c_TMAP3OUT)),2),QUOTIENT((((K56)-(c_TMAP3IN))*((1000)-(c_TMAP3OUT))+IF(((1000)-(c_TMAP3OUT))&gt;=0,1,-1)*QUOTIENT(((1000)-(c_TMAP3IN)),2)),((1000)-(c_TMAP3IN)))+(c_TMAP3OUT)+IF(((1000)-(c_TMAP3OUT))&gt;=0,IF(IF(o_WRAP=1,MOD(((1000)-(c_TMAP3IN))*(((K56)-(c_TMAP3IN))*((1000)-(c_TMAP3OUT))+IF(((1000)-(c_TMAP3OUT))&gt;=0,1,-1)*QUOTIENT(((1000)-(c_TMAP3IN)),2))+2147483648,4294967296)-2147483648,((1000)-(c_TMAP3IN))*(((K56)-(c_TMAP3IN))*((1000)-(c_TMAP3OUT))+IF(((1000)-(c_TMAP3OUT))&gt;=0,1,-1)*QUOTIENT(((1000)-(c_TMAP3IN)),2)))&lt;0,-1,0),IF(IF(o_WRAP=1,MOD(((1000)-(c_TMAP3IN))*(((K56)-(c_TMAP3IN))*((1000)-(c_TMAP3OUT))+IF(((1000)-(c_TMAP3OUT))&gt;=0,1,-1)*QUOTIENT(((1000)-(c_TMAP3IN)),2))+2147483648,4294967296)-2147483648,((1000)-(c_TMAP3IN))*(((K56)-(c_TMAP3IN))*((1000)-(c_TMAP3OUT))+IF(((1000)-(c_TMAP3OUT))&gt;=0,1,-1)*QUOTIENT(((1000)-(c_TMAP3IN)),2)))&gt;=0,1,0)))</f>
        <v>-231</v>
      </c>
      <c r="Q56" s="7" t="str">
        <f aca="false">IF(K56&gt;=c_TFWD,IF(AND(K56&gt;=c_TMAP3IN,c_TMAP3IN&lt;1000),"Seg4 map3-100%",IF(AND(K56&gt;=c_TMAP2IN,c_TMAP3IN&gt;c_TMAP2IN),"Seg3 map2-map3",IF(AND(K56&gt;=c_TMAP1IN,c_TMAP2IN&gt;c_TMAP1IN),"Seg2 map1-map2","Seg1 TFWD-map1"))),IF(AND(K56=0,c_TCREEP&gt;0),"Creep",IF(AND(K56&lt;=c_TRNGMIN,K56&gt;=c_TRNGMAX,c_TRNGMIN-c_TRNGMAX&lt;&gt;0),"Regen ramp","Coast (0)")))</f>
        <v>Regen ramp</v>
      </c>
      <c r="R56" s="7" t="n">
        <f aca="false">IF(K56&gt;=c_TFWD,IF(AND(K56&gt;=c_TMAP3IN,c_TMAP3IN&lt;1000),P56,IF(AND(K56&gt;=c_TMAP2IN,c_TMAP3IN&gt;c_TMAP2IN),O56,IF(AND(K56&gt;=c_TMAP1IN,c_TMAP2IN&gt;c_TMAP1IN),N56,M56))),L56)</f>
        <v>-350</v>
      </c>
      <c r="S56" s="7" t="str">
        <f aca="false">IF(R56&lt;-1090,"TOO LOW",IF(R56&gt;1090,"TOO HIGH",""))</f>
        <v/>
      </c>
      <c r="T56" s="15" t="n">
        <f aca="false">IF(H56&lt;&gt;"OK",0,IF(S56&lt;&gt;"",0,IF(R56&gt;979,1000,R56)))</f>
        <v>-350</v>
      </c>
      <c r="U56" s="7" t="n">
        <f aca="false">T56/10</f>
        <v>-35</v>
      </c>
    </row>
    <row r="57" customFormat="false" ht="15" hidden="false" customHeight="false" outlineLevel="0" collapsed="false">
      <c r="A57" s="7" t="n">
        <v>52</v>
      </c>
      <c r="B57" s="7" t="n">
        <f aca="false">ROUND(o_SWSTART+A57*(o_SWEND-o_SWSTART)/400,0)</f>
        <v>532</v>
      </c>
      <c r="C57" s="7" t="n">
        <f aca="false">QUOTIENT((B57-c_OFF1)*c_GAIN1,1024)</f>
        <v>532</v>
      </c>
      <c r="D57" s="7" t="n">
        <f aca="false">IF(((c_T1MX)-(c_T1MN))=0,(0)+QUOTIENT(((1000)-(0)),2),QUOTIENT((((C57)-(c_T1MN))*((1000)-(0))+IF(((1000)-(0))&gt;=0,1,-1)*QUOTIENT(((c_T1MX)-(c_T1MN)),2)),((c_T1MX)-(c_T1MN)))+(0)+IF(((1000)-(0))&gt;=0,IF(IF(o_WRAP=1,MOD(((c_T1MX)-(c_T1MN))*(((C57)-(c_T1MN))*((1000)-(0))+IF(((1000)-(0))&gt;=0,1,-1)*QUOTIENT(((c_T1MX)-(c_T1MN)),2))+2147483648,4294967296)-2147483648,((c_T1MX)-(c_T1MN))*(((C57)-(c_T1MN))*((1000)-(0))+IF(((1000)-(0))&gt;=0,1,-1)*QUOTIENT(((c_T1MX)-(c_T1MN)),2)))&lt;0,-1,0),IF(IF(o_WRAP=1,MOD(((c_T1MX)-(c_T1MN))*(((C57)-(c_T1MN))*((1000)-(0))+IF(((1000)-(0))&gt;=0,1,-1)*QUOTIENT(((c_T1MX)-(c_T1MN)),2))+2147483648,4294967296)-2147483648,((c_T1MX)-(c_T1MN))*(((C57)-(c_T1MN))*((1000)-(0))+IF(((1000)-(0))&gt;=0,1,-1)*QUOTIENT(((c_T1MX)-(c_T1MN)),2)))&gt;=0,1,0)))</f>
        <v>-66</v>
      </c>
      <c r="E57" s="7" t="n">
        <f aca="false">IF(AND(c_TPOT=1,c_TTYPE=2),1000-D57,D57)</f>
        <v>-66</v>
      </c>
      <c r="F57" s="7" t="str">
        <f aca="false">IF(c_TPOT&gt;1,ROUND(IF(c_TTYPE=2,c_T2MX-IF(c_T1MX=c_T1MN,0,(C57-c_T1MN)/(c_T1MX-c_T1MN))*(c_T2MX-c_T2MN),c_T2MN+IF(c_T1MX=c_T1MN,0,(C57-c_T1MN)/(c_T1MX-c_T1MN))*(c_T2MX-c_T2MN))+o_MISMATCH,0),"")</f>
        <v/>
      </c>
      <c r="G57" s="7" t="str">
        <f aca="false">IF(c_TPOT&gt;1,IF(((c_T2MX)-(c_T2MN))=0,(0)+QUOTIENT(((1000)-(0)),2),QUOTIENT((((F57)-(c_T2MN))*((1000)-(0))+IF(((1000)-(0))&gt;=0,1,-1)*QUOTIENT(((c_T2MX)-(c_T2MN)),2)),((c_T2MX)-(c_T2MN)))+(0)+IF(((1000)-(0))&gt;=0,IF(IF(o_WRAP=1,MOD(((c_T2MX)-(c_T2MN))*(((F57)-(c_T2MN))*((1000)-(0))+IF(((1000)-(0))&gt;=0,1,-1)*QUOTIENT(((c_T2MX)-(c_T2MN)),2))+2147483648,4294967296)-2147483648,((c_T2MX)-(c_T2MN))*(((F57)-(c_T2MN))*((1000)-(0))+IF(((1000)-(0))&gt;=0,1,-1)*QUOTIENT(((c_T2MX)-(c_T2MN)),2)))&lt;0,-1,0),IF(IF(o_WRAP=1,MOD(((c_T2MX)-(c_T2MN))*(((F57)-(c_T2MN))*((1000)-(0))+IF(((1000)-(0))&gt;=0,1,-1)*QUOTIENT(((c_T2MX)-(c_T2MN)),2))+2147483648,4294967296)-2147483648,((c_T2MX)-(c_T2MN))*(((F57)-(c_T2MN))*((1000)-(0))+IF(((1000)-(0))&gt;=0,1,-1)*QUOTIENT(((c_T2MX)-(c_T2MN)),2)))&gt;=0,1,0))),"")</f>
        <v/>
      </c>
      <c r="H57" s="7" t="str">
        <f aca="false">IF(E57&gt;1000+k_TOL,"T1 HIGH",IF(E57&lt;0-k_TOL,"T1 LOW",IF(c_TPOT&gt;1,IF(G57&gt;1000+k_TOL,"T2 HIGH",IF(G57&lt;0-k_TOL,"T2 LOW",IF(c_TTYPE=2,IF(ABS(1000-MAX(0,MIN(1000,E57))-MAX(0,MIN(1000,G57)))&gt;k_MAXERR,"MISMATCH","OK"),IF(OR(MAX(0,MIN(1000,E57))-k_MAXERR&gt;MAX(0,MIN(1000,G57)),MAX(0,MIN(1000,G57))-k_MAXERR&gt;MAX(0,MIN(1000,E57))),"MISMATCH","OK")))),"OK")))</f>
        <v>OK</v>
      </c>
      <c r="I57" s="7" t="n">
        <f aca="false">MAX(0,MIN(1000,D57))</f>
        <v>0</v>
      </c>
      <c r="J57" s="7" t="str">
        <f aca="false">IF(c_TPOT&gt;1,IF(c_TTYPE=2,1000-MAX(0,MIN(1000,G57)),MAX(0,MIN(1000,G57))),"")</f>
        <v/>
      </c>
      <c r="K57" s="7" t="n">
        <f aca="false">IF(c_TPOT&gt;1,QUOTIENT(I57+J57,2),I57)</f>
        <v>0</v>
      </c>
      <c r="L57" s="7" t="n">
        <f aca="false">IF(AND(K57=0,c_TCREEP&gt;0),10*c_TCREEP,IF(AND(K57&lt;=c_TRNGMIN,K57&gt;=c_TRNGMAX,c_TRNGMIN-c_TRNGMAX&lt;&gt;0),-10*c_TMINRN+QUOTIENT((c_TMAXRN-c_TMINRN)*(100-QUOTIENT((K57-c_TRNGMAX)*100,c_TRNGMIN-c_TRNGMAX)),-10),0))</f>
        <v>-350</v>
      </c>
      <c r="M57" s="7" t="n">
        <f aca="false">IF(((c_TMAP1IN)-(c_TFWD))=0,(0)+QUOTIENT(((c_TMAP1OUT)-(0)),2),QUOTIENT((((K57)-(c_TFWD))*((c_TMAP1OUT)-(0))+IF(((c_TMAP1OUT)-(0))&gt;=0,1,-1)*QUOTIENT(((c_TMAP1IN)-(c_TFWD)),2)),((c_TMAP1IN)-(c_TFWD)))+(0)+IF(((c_TMAP1OUT)-(0))&gt;=0,IF(IF(o_WRAP=1,MOD(((c_TMAP1IN)-(c_TFWD))*(((K57)-(c_TFWD))*((c_TMAP1OUT)-(0))+IF(((c_TMAP1OUT)-(0))&gt;=0,1,-1)*QUOTIENT(((c_TMAP1IN)-(c_TFWD)),2))+2147483648,4294967296)-2147483648,((c_TMAP1IN)-(c_TFWD))*(((K57)-(c_TFWD))*((c_TMAP1OUT)-(0))+IF(((c_TMAP1OUT)-(0))&gt;=0,1,-1)*QUOTIENT(((c_TMAP1IN)-(c_TFWD)),2)))&lt;0,-1,0),IF(IF(o_WRAP=1,MOD(((c_TMAP1IN)-(c_TFWD))*(((K57)-(c_TFWD))*((c_TMAP1OUT)-(0))+IF(((c_TMAP1OUT)-(0))&gt;=0,1,-1)*QUOTIENT(((c_TMAP1IN)-(c_TFWD)),2))+2147483648,4294967296)-2147483648,((c_TMAP1IN)-(c_TFWD))*(((K57)-(c_TFWD))*((c_TMAP1OUT)-(0))+IF(((c_TMAP1OUT)-(0))&gt;=0,1,-1)*QUOTIENT(((c_TMAP1IN)-(c_TFWD)),2)))&gt;=0,1,0)))</f>
        <v>-8</v>
      </c>
      <c r="N57" s="7" t="n">
        <f aca="false">IF(((c_TMAP2IN)-(c_TMAP1IN))=0,(c_TMAP1OUT)+QUOTIENT(((c_TMAP2OUT)-(c_TMAP1OUT)),2),QUOTIENT((((K57)-(c_TMAP1IN))*((c_TMAP2OUT)-(c_TMAP1OUT))+IF(((c_TMAP2OUT)-(c_TMAP1OUT))&gt;=0,1,-1)*QUOTIENT(((c_TMAP2IN)-(c_TMAP1IN)),2)),((c_TMAP2IN)-(c_TMAP1IN)))+(c_TMAP1OUT)+IF(((c_TMAP2OUT)-(c_TMAP1OUT))&gt;=0,IF(IF(o_WRAP=1,MOD(((c_TMAP2IN)-(c_TMAP1IN))*(((K57)-(c_TMAP1IN))*((c_TMAP2OUT)-(c_TMAP1OUT))+IF(((c_TMAP2OUT)-(c_TMAP1OUT))&gt;=0,1,-1)*QUOTIENT(((c_TMAP2IN)-(c_TMAP1IN)),2))+2147483648,4294967296)-2147483648,((c_TMAP2IN)-(c_TMAP1IN))*(((K57)-(c_TMAP1IN))*((c_TMAP2OUT)-(c_TMAP1OUT))+IF(((c_TMAP2OUT)-(c_TMAP1OUT))&gt;=0,1,-1)*QUOTIENT(((c_TMAP2IN)-(c_TMAP1IN)),2)))&lt;0,-1,0),IF(IF(o_WRAP=1,MOD(((c_TMAP2IN)-(c_TMAP1IN))*(((K57)-(c_TMAP1IN))*((c_TMAP2OUT)-(c_TMAP1OUT))+IF(((c_TMAP2OUT)-(c_TMAP1OUT))&gt;=0,1,-1)*QUOTIENT(((c_TMAP2IN)-(c_TMAP1IN)),2))+2147483648,4294967296)-2147483648,((c_TMAP2IN)-(c_TMAP1IN))*(((K57)-(c_TMAP1IN))*((c_TMAP2OUT)-(c_TMAP1OUT))+IF(((c_TMAP2OUT)-(c_TMAP1OUT))&gt;=0,1,-1)*QUOTIENT(((c_TMAP2IN)-(c_TMAP1IN)),2)))&gt;=0,1,0)))</f>
        <v>30</v>
      </c>
      <c r="O57" s="7" t="n">
        <f aca="false">IF(((c_TMAP3IN)-(c_TMAP2IN))=0,(c_TMAP2OUT)+QUOTIENT(((c_TMAP3OUT)-(c_TMAP2OUT)),2),QUOTIENT((((K57)-(c_TMAP2IN))*((c_TMAP3OUT)-(c_TMAP2OUT))+IF(((c_TMAP3OUT)-(c_TMAP2OUT))&gt;=0,1,-1)*QUOTIENT(((c_TMAP3IN)-(c_TMAP2IN)),2)),((c_TMAP3IN)-(c_TMAP2IN)))+(c_TMAP2OUT)+IF(((c_TMAP3OUT)-(c_TMAP2OUT))&gt;=0,IF(IF(o_WRAP=1,MOD(((c_TMAP3IN)-(c_TMAP2IN))*(((K57)-(c_TMAP2IN))*((c_TMAP3OUT)-(c_TMAP2OUT))+IF(((c_TMAP3OUT)-(c_TMAP2OUT))&gt;=0,1,-1)*QUOTIENT(((c_TMAP3IN)-(c_TMAP2IN)),2))+2147483648,4294967296)-2147483648,((c_TMAP3IN)-(c_TMAP2IN))*(((K57)-(c_TMAP2IN))*((c_TMAP3OUT)-(c_TMAP2OUT))+IF(((c_TMAP3OUT)-(c_TMAP2OUT))&gt;=0,1,-1)*QUOTIENT(((c_TMAP3IN)-(c_TMAP2IN)),2)))&lt;0,-1,0),IF(IF(o_WRAP=1,MOD(((c_TMAP3IN)-(c_TMAP2IN))*(((K57)-(c_TMAP2IN))*((c_TMAP3OUT)-(c_TMAP2OUT))+IF(((c_TMAP3OUT)-(c_TMAP2OUT))&gt;=0,1,-1)*QUOTIENT(((c_TMAP3IN)-(c_TMAP2IN)),2))+2147483648,4294967296)-2147483648,((c_TMAP3IN)-(c_TMAP2IN))*(((K57)-(c_TMAP2IN))*((c_TMAP3OUT)-(c_TMAP2OUT))+IF(((c_TMAP3OUT)-(c_TMAP2OUT))&gt;=0,1,-1)*QUOTIENT(((c_TMAP3IN)-(c_TMAP2IN)),2)))&gt;=0,1,0)))</f>
        <v>-45</v>
      </c>
      <c r="P57" s="7" t="n">
        <f aca="false">IF(((1000)-(c_TMAP3IN))=0,(c_TMAP3OUT)+QUOTIENT(((1000)-(c_TMAP3OUT)),2),QUOTIENT((((K57)-(c_TMAP3IN))*((1000)-(c_TMAP3OUT))+IF(((1000)-(c_TMAP3OUT))&gt;=0,1,-1)*QUOTIENT(((1000)-(c_TMAP3IN)),2)),((1000)-(c_TMAP3IN)))+(c_TMAP3OUT)+IF(((1000)-(c_TMAP3OUT))&gt;=0,IF(IF(o_WRAP=1,MOD(((1000)-(c_TMAP3IN))*(((K57)-(c_TMAP3IN))*((1000)-(c_TMAP3OUT))+IF(((1000)-(c_TMAP3OUT))&gt;=0,1,-1)*QUOTIENT(((1000)-(c_TMAP3IN)),2))+2147483648,4294967296)-2147483648,((1000)-(c_TMAP3IN))*(((K57)-(c_TMAP3IN))*((1000)-(c_TMAP3OUT))+IF(((1000)-(c_TMAP3OUT))&gt;=0,1,-1)*QUOTIENT(((1000)-(c_TMAP3IN)),2)))&lt;0,-1,0),IF(IF(o_WRAP=1,MOD(((1000)-(c_TMAP3IN))*(((K57)-(c_TMAP3IN))*((1000)-(c_TMAP3OUT))+IF(((1000)-(c_TMAP3OUT))&gt;=0,1,-1)*QUOTIENT(((1000)-(c_TMAP3IN)),2))+2147483648,4294967296)-2147483648,((1000)-(c_TMAP3IN))*(((K57)-(c_TMAP3IN))*((1000)-(c_TMAP3OUT))+IF(((1000)-(c_TMAP3OUT))&gt;=0,1,-1)*QUOTIENT(((1000)-(c_TMAP3IN)),2)))&gt;=0,1,0)))</f>
        <v>-231</v>
      </c>
      <c r="Q57" s="7" t="str">
        <f aca="false">IF(K57&gt;=c_TFWD,IF(AND(K57&gt;=c_TMAP3IN,c_TMAP3IN&lt;1000),"Seg4 map3-100%",IF(AND(K57&gt;=c_TMAP2IN,c_TMAP3IN&gt;c_TMAP2IN),"Seg3 map2-map3",IF(AND(K57&gt;=c_TMAP1IN,c_TMAP2IN&gt;c_TMAP1IN),"Seg2 map1-map2","Seg1 TFWD-map1"))),IF(AND(K57=0,c_TCREEP&gt;0),"Creep",IF(AND(K57&lt;=c_TRNGMIN,K57&gt;=c_TRNGMAX,c_TRNGMIN-c_TRNGMAX&lt;&gt;0),"Regen ramp","Coast (0)")))</f>
        <v>Regen ramp</v>
      </c>
      <c r="R57" s="7" t="n">
        <f aca="false">IF(K57&gt;=c_TFWD,IF(AND(K57&gt;=c_TMAP3IN,c_TMAP3IN&lt;1000),P57,IF(AND(K57&gt;=c_TMAP2IN,c_TMAP3IN&gt;c_TMAP2IN),O57,IF(AND(K57&gt;=c_TMAP1IN,c_TMAP2IN&gt;c_TMAP1IN),N57,M57))),L57)</f>
        <v>-350</v>
      </c>
      <c r="S57" s="7" t="str">
        <f aca="false">IF(R57&lt;-1090,"TOO LOW",IF(R57&gt;1090,"TOO HIGH",""))</f>
        <v/>
      </c>
      <c r="T57" s="15" t="n">
        <f aca="false">IF(H57&lt;&gt;"OK",0,IF(S57&lt;&gt;"",0,IF(R57&gt;979,1000,R57)))</f>
        <v>-350</v>
      </c>
      <c r="U57" s="7" t="n">
        <f aca="false">T57/10</f>
        <v>-35</v>
      </c>
    </row>
    <row r="58" customFormat="false" ht="15" hidden="false" customHeight="false" outlineLevel="0" collapsed="false">
      <c r="A58" s="7" t="n">
        <v>53</v>
      </c>
      <c r="B58" s="7" t="n">
        <f aca="false">ROUND(o_SWSTART+A58*(o_SWEND-o_SWSTART)/400,0)</f>
        <v>543</v>
      </c>
      <c r="C58" s="7" t="n">
        <f aca="false">QUOTIENT((B58-c_OFF1)*c_GAIN1,1024)</f>
        <v>543</v>
      </c>
      <c r="D58" s="7" t="n">
        <f aca="false">IF(((c_T1MX)-(c_T1MN))=0,(0)+QUOTIENT(((1000)-(0)),2),QUOTIENT((((C58)-(c_T1MN))*((1000)-(0))+IF(((1000)-(0))&gt;=0,1,-1)*QUOTIENT(((c_T1MX)-(c_T1MN)),2)),((c_T1MX)-(c_T1MN)))+(0)+IF(((1000)-(0))&gt;=0,IF(IF(o_WRAP=1,MOD(((c_T1MX)-(c_T1MN))*(((C58)-(c_T1MN))*((1000)-(0))+IF(((1000)-(0))&gt;=0,1,-1)*QUOTIENT(((c_T1MX)-(c_T1MN)),2))+2147483648,4294967296)-2147483648,((c_T1MX)-(c_T1MN))*(((C58)-(c_T1MN))*((1000)-(0))+IF(((1000)-(0))&gt;=0,1,-1)*QUOTIENT(((c_T1MX)-(c_T1MN)),2)))&lt;0,-1,0),IF(IF(o_WRAP=1,MOD(((c_T1MX)-(c_T1MN))*(((C58)-(c_T1MN))*((1000)-(0))+IF(((1000)-(0))&gt;=0,1,-1)*QUOTIENT(((c_T1MX)-(c_T1MN)),2))+2147483648,4294967296)-2147483648,((c_T1MX)-(c_T1MN))*(((C58)-(c_T1MN))*((1000)-(0))+IF(((1000)-(0))&gt;=0,1,-1)*QUOTIENT(((c_T1MX)-(c_T1MN)),2)))&gt;=0,1,0)))</f>
        <v>-62</v>
      </c>
      <c r="E58" s="7" t="n">
        <f aca="false">IF(AND(c_TPOT=1,c_TTYPE=2),1000-D58,D58)</f>
        <v>-62</v>
      </c>
      <c r="F58" s="7" t="str">
        <f aca="false">IF(c_TPOT&gt;1,ROUND(IF(c_TTYPE=2,c_T2MX-IF(c_T1MX=c_T1MN,0,(C58-c_T1MN)/(c_T1MX-c_T1MN))*(c_T2MX-c_T2MN),c_T2MN+IF(c_T1MX=c_T1MN,0,(C58-c_T1MN)/(c_T1MX-c_T1MN))*(c_T2MX-c_T2MN))+o_MISMATCH,0),"")</f>
        <v/>
      </c>
      <c r="G58" s="7" t="str">
        <f aca="false">IF(c_TPOT&gt;1,IF(((c_T2MX)-(c_T2MN))=0,(0)+QUOTIENT(((1000)-(0)),2),QUOTIENT((((F58)-(c_T2MN))*((1000)-(0))+IF(((1000)-(0))&gt;=0,1,-1)*QUOTIENT(((c_T2MX)-(c_T2MN)),2)),((c_T2MX)-(c_T2MN)))+(0)+IF(((1000)-(0))&gt;=0,IF(IF(o_WRAP=1,MOD(((c_T2MX)-(c_T2MN))*(((F58)-(c_T2MN))*((1000)-(0))+IF(((1000)-(0))&gt;=0,1,-1)*QUOTIENT(((c_T2MX)-(c_T2MN)),2))+2147483648,4294967296)-2147483648,((c_T2MX)-(c_T2MN))*(((F58)-(c_T2MN))*((1000)-(0))+IF(((1000)-(0))&gt;=0,1,-1)*QUOTIENT(((c_T2MX)-(c_T2MN)),2)))&lt;0,-1,0),IF(IF(o_WRAP=1,MOD(((c_T2MX)-(c_T2MN))*(((F58)-(c_T2MN))*((1000)-(0))+IF(((1000)-(0))&gt;=0,1,-1)*QUOTIENT(((c_T2MX)-(c_T2MN)),2))+2147483648,4294967296)-2147483648,((c_T2MX)-(c_T2MN))*(((F58)-(c_T2MN))*((1000)-(0))+IF(((1000)-(0))&gt;=0,1,-1)*QUOTIENT(((c_T2MX)-(c_T2MN)),2)))&gt;=0,1,0))),"")</f>
        <v/>
      </c>
      <c r="H58" s="7" t="str">
        <f aca="false">IF(E58&gt;1000+k_TOL,"T1 HIGH",IF(E58&lt;0-k_TOL,"T1 LOW",IF(c_TPOT&gt;1,IF(G58&gt;1000+k_TOL,"T2 HIGH",IF(G58&lt;0-k_TOL,"T2 LOW",IF(c_TTYPE=2,IF(ABS(1000-MAX(0,MIN(1000,E58))-MAX(0,MIN(1000,G58)))&gt;k_MAXERR,"MISMATCH","OK"),IF(OR(MAX(0,MIN(1000,E58))-k_MAXERR&gt;MAX(0,MIN(1000,G58)),MAX(0,MIN(1000,G58))-k_MAXERR&gt;MAX(0,MIN(1000,E58))),"MISMATCH","OK")))),"OK")))</f>
        <v>OK</v>
      </c>
      <c r="I58" s="7" t="n">
        <f aca="false">MAX(0,MIN(1000,D58))</f>
        <v>0</v>
      </c>
      <c r="J58" s="7" t="str">
        <f aca="false">IF(c_TPOT&gt;1,IF(c_TTYPE=2,1000-MAX(0,MIN(1000,G58)),MAX(0,MIN(1000,G58))),"")</f>
        <v/>
      </c>
      <c r="K58" s="7" t="n">
        <f aca="false">IF(c_TPOT&gt;1,QUOTIENT(I58+J58,2),I58)</f>
        <v>0</v>
      </c>
      <c r="L58" s="7" t="n">
        <f aca="false">IF(AND(K58=0,c_TCREEP&gt;0),10*c_TCREEP,IF(AND(K58&lt;=c_TRNGMIN,K58&gt;=c_TRNGMAX,c_TRNGMIN-c_TRNGMAX&lt;&gt;0),-10*c_TMINRN+QUOTIENT((c_TMAXRN-c_TMINRN)*(100-QUOTIENT((K58-c_TRNGMAX)*100,c_TRNGMIN-c_TRNGMAX)),-10),0))</f>
        <v>-350</v>
      </c>
      <c r="M58" s="7" t="n">
        <f aca="false">IF(((c_TMAP1IN)-(c_TFWD))=0,(0)+QUOTIENT(((c_TMAP1OUT)-(0)),2),QUOTIENT((((K58)-(c_TFWD))*((c_TMAP1OUT)-(0))+IF(((c_TMAP1OUT)-(0))&gt;=0,1,-1)*QUOTIENT(((c_TMAP1IN)-(c_TFWD)),2)),((c_TMAP1IN)-(c_TFWD)))+(0)+IF(((c_TMAP1OUT)-(0))&gt;=0,IF(IF(o_WRAP=1,MOD(((c_TMAP1IN)-(c_TFWD))*(((K58)-(c_TFWD))*((c_TMAP1OUT)-(0))+IF(((c_TMAP1OUT)-(0))&gt;=0,1,-1)*QUOTIENT(((c_TMAP1IN)-(c_TFWD)),2))+2147483648,4294967296)-2147483648,((c_TMAP1IN)-(c_TFWD))*(((K58)-(c_TFWD))*((c_TMAP1OUT)-(0))+IF(((c_TMAP1OUT)-(0))&gt;=0,1,-1)*QUOTIENT(((c_TMAP1IN)-(c_TFWD)),2)))&lt;0,-1,0),IF(IF(o_WRAP=1,MOD(((c_TMAP1IN)-(c_TFWD))*(((K58)-(c_TFWD))*((c_TMAP1OUT)-(0))+IF(((c_TMAP1OUT)-(0))&gt;=0,1,-1)*QUOTIENT(((c_TMAP1IN)-(c_TFWD)),2))+2147483648,4294967296)-2147483648,((c_TMAP1IN)-(c_TFWD))*(((K58)-(c_TFWD))*((c_TMAP1OUT)-(0))+IF(((c_TMAP1OUT)-(0))&gt;=0,1,-1)*QUOTIENT(((c_TMAP1IN)-(c_TFWD)),2)))&gt;=0,1,0)))</f>
        <v>-8</v>
      </c>
      <c r="N58" s="7" t="n">
        <f aca="false">IF(((c_TMAP2IN)-(c_TMAP1IN))=0,(c_TMAP1OUT)+QUOTIENT(((c_TMAP2OUT)-(c_TMAP1OUT)),2),QUOTIENT((((K58)-(c_TMAP1IN))*((c_TMAP2OUT)-(c_TMAP1OUT))+IF(((c_TMAP2OUT)-(c_TMAP1OUT))&gt;=0,1,-1)*QUOTIENT(((c_TMAP2IN)-(c_TMAP1IN)),2)),((c_TMAP2IN)-(c_TMAP1IN)))+(c_TMAP1OUT)+IF(((c_TMAP2OUT)-(c_TMAP1OUT))&gt;=0,IF(IF(o_WRAP=1,MOD(((c_TMAP2IN)-(c_TMAP1IN))*(((K58)-(c_TMAP1IN))*((c_TMAP2OUT)-(c_TMAP1OUT))+IF(((c_TMAP2OUT)-(c_TMAP1OUT))&gt;=0,1,-1)*QUOTIENT(((c_TMAP2IN)-(c_TMAP1IN)),2))+2147483648,4294967296)-2147483648,((c_TMAP2IN)-(c_TMAP1IN))*(((K58)-(c_TMAP1IN))*((c_TMAP2OUT)-(c_TMAP1OUT))+IF(((c_TMAP2OUT)-(c_TMAP1OUT))&gt;=0,1,-1)*QUOTIENT(((c_TMAP2IN)-(c_TMAP1IN)),2)))&lt;0,-1,0),IF(IF(o_WRAP=1,MOD(((c_TMAP2IN)-(c_TMAP1IN))*(((K58)-(c_TMAP1IN))*((c_TMAP2OUT)-(c_TMAP1OUT))+IF(((c_TMAP2OUT)-(c_TMAP1OUT))&gt;=0,1,-1)*QUOTIENT(((c_TMAP2IN)-(c_TMAP1IN)),2))+2147483648,4294967296)-2147483648,((c_TMAP2IN)-(c_TMAP1IN))*(((K58)-(c_TMAP1IN))*((c_TMAP2OUT)-(c_TMAP1OUT))+IF(((c_TMAP2OUT)-(c_TMAP1OUT))&gt;=0,1,-1)*QUOTIENT(((c_TMAP2IN)-(c_TMAP1IN)),2)))&gt;=0,1,0)))</f>
        <v>30</v>
      </c>
      <c r="O58" s="7" t="n">
        <f aca="false">IF(((c_TMAP3IN)-(c_TMAP2IN))=0,(c_TMAP2OUT)+QUOTIENT(((c_TMAP3OUT)-(c_TMAP2OUT)),2),QUOTIENT((((K58)-(c_TMAP2IN))*((c_TMAP3OUT)-(c_TMAP2OUT))+IF(((c_TMAP3OUT)-(c_TMAP2OUT))&gt;=0,1,-1)*QUOTIENT(((c_TMAP3IN)-(c_TMAP2IN)),2)),((c_TMAP3IN)-(c_TMAP2IN)))+(c_TMAP2OUT)+IF(((c_TMAP3OUT)-(c_TMAP2OUT))&gt;=0,IF(IF(o_WRAP=1,MOD(((c_TMAP3IN)-(c_TMAP2IN))*(((K58)-(c_TMAP2IN))*((c_TMAP3OUT)-(c_TMAP2OUT))+IF(((c_TMAP3OUT)-(c_TMAP2OUT))&gt;=0,1,-1)*QUOTIENT(((c_TMAP3IN)-(c_TMAP2IN)),2))+2147483648,4294967296)-2147483648,((c_TMAP3IN)-(c_TMAP2IN))*(((K58)-(c_TMAP2IN))*((c_TMAP3OUT)-(c_TMAP2OUT))+IF(((c_TMAP3OUT)-(c_TMAP2OUT))&gt;=0,1,-1)*QUOTIENT(((c_TMAP3IN)-(c_TMAP2IN)),2)))&lt;0,-1,0),IF(IF(o_WRAP=1,MOD(((c_TMAP3IN)-(c_TMAP2IN))*(((K58)-(c_TMAP2IN))*((c_TMAP3OUT)-(c_TMAP2OUT))+IF(((c_TMAP3OUT)-(c_TMAP2OUT))&gt;=0,1,-1)*QUOTIENT(((c_TMAP3IN)-(c_TMAP2IN)),2))+2147483648,4294967296)-2147483648,((c_TMAP3IN)-(c_TMAP2IN))*(((K58)-(c_TMAP2IN))*((c_TMAP3OUT)-(c_TMAP2OUT))+IF(((c_TMAP3OUT)-(c_TMAP2OUT))&gt;=0,1,-1)*QUOTIENT(((c_TMAP3IN)-(c_TMAP2IN)),2)))&gt;=0,1,0)))</f>
        <v>-45</v>
      </c>
      <c r="P58" s="7" t="n">
        <f aca="false">IF(((1000)-(c_TMAP3IN))=0,(c_TMAP3OUT)+QUOTIENT(((1000)-(c_TMAP3OUT)),2),QUOTIENT((((K58)-(c_TMAP3IN))*((1000)-(c_TMAP3OUT))+IF(((1000)-(c_TMAP3OUT))&gt;=0,1,-1)*QUOTIENT(((1000)-(c_TMAP3IN)),2)),((1000)-(c_TMAP3IN)))+(c_TMAP3OUT)+IF(((1000)-(c_TMAP3OUT))&gt;=0,IF(IF(o_WRAP=1,MOD(((1000)-(c_TMAP3IN))*(((K58)-(c_TMAP3IN))*((1000)-(c_TMAP3OUT))+IF(((1000)-(c_TMAP3OUT))&gt;=0,1,-1)*QUOTIENT(((1000)-(c_TMAP3IN)),2))+2147483648,4294967296)-2147483648,((1000)-(c_TMAP3IN))*(((K58)-(c_TMAP3IN))*((1000)-(c_TMAP3OUT))+IF(((1000)-(c_TMAP3OUT))&gt;=0,1,-1)*QUOTIENT(((1000)-(c_TMAP3IN)),2)))&lt;0,-1,0),IF(IF(o_WRAP=1,MOD(((1000)-(c_TMAP3IN))*(((K58)-(c_TMAP3IN))*((1000)-(c_TMAP3OUT))+IF(((1000)-(c_TMAP3OUT))&gt;=0,1,-1)*QUOTIENT(((1000)-(c_TMAP3IN)),2))+2147483648,4294967296)-2147483648,((1000)-(c_TMAP3IN))*(((K58)-(c_TMAP3IN))*((1000)-(c_TMAP3OUT))+IF(((1000)-(c_TMAP3OUT))&gt;=0,1,-1)*QUOTIENT(((1000)-(c_TMAP3IN)),2)))&gt;=0,1,0)))</f>
        <v>-231</v>
      </c>
      <c r="Q58" s="7" t="str">
        <f aca="false">IF(K58&gt;=c_TFWD,IF(AND(K58&gt;=c_TMAP3IN,c_TMAP3IN&lt;1000),"Seg4 map3-100%",IF(AND(K58&gt;=c_TMAP2IN,c_TMAP3IN&gt;c_TMAP2IN),"Seg3 map2-map3",IF(AND(K58&gt;=c_TMAP1IN,c_TMAP2IN&gt;c_TMAP1IN),"Seg2 map1-map2","Seg1 TFWD-map1"))),IF(AND(K58=0,c_TCREEP&gt;0),"Creep",IF(AND(K58&lt;=c_TRNGMIN,K58&gt;=c_TRNGMAX,c_TRNGMIN-c_TRNGMAX&lt;&gt;0),"Regen ramp","Coast (0)")))</f>
        <v>Regen ramp</v>
      </c>
      <c r="R58" s="7" t="n">
        <f aca="false">IF(K58&gt;=c_TFWD,IF(AND(K58&gt;=c_TMAP3IN,c_TMAP3IN&lt;1000),P58,IF(AND(K58&gt;=c_TMAP2IN,c_TMAP3IN&gt;c_TMAP2IN),O58,IF(AND(K58&gt;=c_TMAP1IN,c_TMAP2IN&gt;c_TMAP1IN),N58,M58))),L58)</f>
        <v>-350</v>
      </c>
      <c r="S58" s="7" t="str">
        <f aca="false">IF(R58&lt;-1090,"TOO LOW",IF(R58&gt;1090,"TOO HIGH",""))</f>
        <v/>
      </c>
      <c r="T58" s="15" t="n">
        <f aca="false">IF(H58&lt;&gt;"OK",0,IF(S58&lt;&gt;"",0,IF(R58&gt;979,1000,R58)))</f>
        <v>-350</v>
      </c>
      <c r="U58" s="7" t="n">
        <f aca="false">T58/10</f>
        <v>-35</v>
      </c>
    </row>
    <row r="59" customFormat="false" ht="15" hidden="false" customHeight="false" outlineLevel="0" collapsed="false">
      <c r="A59" s="7" t="n">
        <v>54</v>
      </c>
      <c r="B59" s="7" t="n">
        <f aca="false">ROUND(o_SWSTART+A59*(o_SWEND-o_SWSTART)/400,0)</f>
        <v>553</v>
      </c>
      <c r="C59" s="7" t="n">
        <f aca="false">QUOTIENT((B59-c_OFF1)*c_GAIN1,1024)</f>
        <v>553</v>
      </c>
      <c r="D59" s="7" t="n">
        <f aca="false">IF(((c_T1MX)-(c_T1MN))=0,(0)+QUOTIENT(((1000)-(0)),2),QUOTIENT((((C59)-(c_T1MN))*((1000)-(0))+IF(((1000)-(0))&gt;=0,1,-1)*QUOTIENT(((c_T1MX)-(c_T1MN)),2)),((c_T1MX)-(c_T1MN)))+(0)+IF(((1000)-(0))&gt;=0,IF(IF(o_WRAP=1,MOD(((c_T1MX)-(c_T1MN))*(((C59)-(c_T1MN))*((1000)-(0))+IF(((1000)-(0))&gt;=0,1,-1)*QUOTIENT(((c_T1MX)-(c_T1MN)),2))+2147483648,4294967296)-2147483648,((c_T1MX)-(c_T1MN))*(((C59)-(c_T1MN))*((1000)-(0))+IF(((1000)-(0))&gt;=0,1,-1)*QUOTIENT(((c_T1MX)-(c_T1MN)),2)))&lt;0,-1,0),IF(IF(o_WRAP=1,MOD(((c_T1MX)-(c_T1MN))*(((C59)-(c_T1MN))*((1000)-(0))+IF(((1000)-(0))&gt;=0,1,-1)*QUOTIENT(((c_T1MX)-(c_T1MN)),2))+2147483648,4294967296)-2147483648,((c_T1MX)-(c_T1MN))*(((C59)-(c_T1MN))*((1000)-(0))+IF(((1000)-(0))&gt;=0,1,-1)*QUOTIENT(((c_T1MX)-(c_T1MN)),2)))&gt;=0,1,0)))</f>
        <v>-59</v>
      </c>
      <c r="E59" s="7" t="n">
        <f aca="false">IF(AND(c_TPOT=1,c_TTYPE=2),1000-D59,D59)</f>
        <v>-59</v>
      </c>
      <c r="F59" s="7" t="str">
        <f aca="false">IF(c_TPOT&gt;1,ROUND(IF(c_TTYPE=2,c_T2MX-IF(c_T1MX=c_T1MN,0,(C59-c_T1MN)/(c_T1MX-c_T1MN))*(c_T2MX-c_T2MN),c_T2MN+IF(c_T1MX=c_T1MN,0,(C59-c_T1MN)/(c_T1MX-c_T1MN))*(c_T2MX-c_T2MN))+o_MISMATCH,0),"")</f>
        <v/>
      </c>
      <c r="G59" s="7" t="str">
        <f aca="false">IF(c_TPOT&gt;1,IF(((c_T2MX)-(c_T2MN))=0,(0)+QUOTIENT(((1000)-(0)),2),QUOTIENT((((F59)-(c_T2MN))*((1000)-(0))+IF(((1000)-(0))&gt;=0,1,-1)*QUOTIENT(((c_T2MX)-(c_T2MN)),2)),((c_T2MX)-(c_T2MN)))+(0)+IF(((1000)-(0))&gt;=0,IF(IF(o_WRAP=1,MOD(((c_T2MX)-(c_T2MN))*(((F59)-(c_T2MN))*((1000)-(0))+IF(((1000)-(0))&gt;=0,1,-1)*QUOTIENT(((c_T2MX)-(c_T2MN)),2))+2147483648,4294967296)-2147483648,((c_T2MX)-(c_T2MN))*(((F59)-(c_T2MN))*((1000)-(0))+IF(((1000)-(0))&gt;=0,1,-1)*QUOTIENT(((c_T2MX)-(c_T2MN)),2)))&lt;0,-1,0),IF(IF(o_WRAP=1,MOD(((c_T2MX)-(c_T2MN))*(((F59)-(c_T2MN))*((1000)-(0))+IF(((1000)-(0))&gt;=0,1,-1)*QUOTIENT(((c_T2MX)-(c_T2MN)),2))+2147483648,4294967296)-2147483648,((c_T2MX)-(c_T2MN))*(((F59)-(c_T2MN))*((1000)-(0))+IF(((1000)-(0))&gt;=0,1,-1)*QUOTIENT(((c_T2MX)-(c_T2MN)),2)))&gt;=0,1,0))),"")</f>
        <v/>
      </c>
      <c r="H59" s="7" t="str">
        <f aca="false">IF(E59&gt;1000+k_TOL,"T1 HIGH",IF(E59&lt;0-k_TOL,"T1 LOW",IF(c_TPOT&gt;1,IF(G59&gt;1000+k_TOL,"T2 HIGH",IF(G59&lt;0-k_TOL,"T2 LOW",IF(c_TTYPE=2,IF(ABS(1000-MAX(0,MIN(1000,E59))-MAX(0,MIN(1000,G59)))&gt;k_MAXERR,"MISMATCH","OK"),IF(OR(MAX(0,MIN(1000,E59))-k_MAXERR&gt;MAX(0,MIN(1000,G59)),MAX(0,MIN(1000,G59))-k_MAXERR&gt;MAX(0,MIN(1000,E59))),"MISMATCH","OK")))),"OK")))</f>
        <v>OK</v>
      </c>
      <c r="I59" s="7" t="n">
        <f aca="false">MAX(0,MIN(1000,D59))</f>
        <v>0</v>
      </c>
      <c r="J59" s="7" t="str">
        <f aca="false">IF(c_TPOT&gt;1,IF(c_TTYPE=2,1000-MAX(0,MIN(1000,G59)),MAX(0,MIN(1000,G59))),"")</f>
        <v/>
      </c>
      <c r="K59" s="7" t="n">
        <f aca="false">IF(c_TPOT&gt;1,QUOTIENT(I59+J59,2),I59)</f>
        <v>0</v>
      </c>
      <c r="L59" s="7" t="n">
        <f aca="false">IF(AND(K59=0,c_TCREEP&gt;0),10*c_TCREEP,IF(AND(K59&lt;=c_TRNGMIN,K59&gt;=c_TRNGMAX,c_TRNGMIN-c_TRNGMAX&lt;&gt;0),-10*c_TMINRN+QUOTIENT((c_TMAXRN-c_TMINRN)*(100-QUOTIENT((K59-c_TRNGMAX)*100,c_TRNGMIN-c_TRNGMAX)),-10),0))</f>
        <v>-350</v>
      </c>
      <c r="M59" s="7" t="n">
        <f aca="false">IF(((c_TMAP1IN)-(c_TFWD))=0,(0)+QUOTIENT(((c_TMAP1OUT)-(0)),2),QUOTIENT((((K59)-(c_TFWD))*((c_TMAP1OUT)-(0))+IF(((c_TMAP1OUT)-(0))&gt;=0,1,-1)*QUOTIENT(((c_TMAP1IN)-(c_TFWD)),2)),((c_TMAP1IN)-(c_TFWD)))+(0)+IF(((c_TMAP1OUT)-(0))&gt;=0,IF(IF(o_WRAP=1,MOD(((c_TMAP1IN)-(c_TFWD))*(((K59)-(c_TFWD))*((c_TMAP1OUT)-(0))+IF(((c_TMAP1OUT)-(0))&gt;=0,1,-1)*QUOTIENT(((c_TMAP1IN)-(c_TFWD)),2))+2147483648,4294967296)-2147483648,((c_TMAP1IN)-(c_TFWD))*(((K59)-(c_TFWD))*((c_TMAP1OUT)-(0))+IF(((c_TMAP1OUT)-(0))&gt;=0,1,-1)*QUOTIENT(((c_TMAP1IN)-(c_TFWD)),2)))&lt;0,-1,0),IF(IF(o_WRAP=1,MOD(((c_TMAP1IN)-(c_TFWD))*(((K59)-(c_TFWD))*((c_TMAP1OUT)-(0))+IF(((c_TMAP1OUT)-(0))&gt;=0,1,-1)*QUOTIENT(((c_TMAP1IN)-(c_TFWD)),2))+2147483648,4294967296)-2147483648,((c_TMAP1IN)-(c_TFWD))*(((K59)-(c_TFWD))*((c_TMAP1OUT)-(0))+IF(((c_TMAP1OUT)-(0))&gt;=0,1,-1)*QUOTIENT(((c_TMAP1IN)-(c_TFWD)),2)))&gt;=0,1,0)))</f>
        <v>-8</v>
      </c>
      <c r="N59" s="7" t="n">
        <f aca="false">IF(((c_TMAP2IN)-(c_TMAP1IN))=0,(c_TMAP1OUT)+QUOTIENT(((c_TMAP2OUT)-(c_TMAP1OUT)),2),QUOTIENT((((K59)-(c_TMAP1IN))*((c_TMAP2OUT)-(c_TMAP1OUT))+IF(((c_TMAP2OUT)-(c_TMAP1OUT))&gt;=0,1,-1)*QUOTIENT(((c_TMAP2IN)-(c_TMAP1IN)),2)),((c_TMAP2IN)-(c_TMAP1IN)))+(c_TMAP1OUT)+IF(((c_TMAP2OUT)-(c_TMAP1OUT))&gt;=0,IF(IF(o_WRAP=1,MOD(((c_TMAP2IN)-(c_TMAP1IN))*(((K59)-(c_TMAP1IN))*((c_TMAP2OUT)-(c_TMAP1OUT))+IF(((c_TMAP2OUT)-(c_TMAP1OUT))&gt;=0,1,-1)*QUOTIENT(((c_TMAP2IN)-(c_TMAP1IN)),2))+2147483648,4294967296)-2147483648,((c_TMAP2IN)-(c_TMAP1IN))*(((K59)-(c_TMAP1IN))*((c_TMAP2OUT)-(c_TMAP1OUT))+IF(((c_TMAP2OUT)-(c_TMAP1OUT))&gt;=0,1,-1)*QUOTIENT(((c_TMAP2IN)-(c_TMAP1IN)),2)))&lt;0,-1,0),IF(IF(o_WRAP=1,MOD(((c_TMAP2IN)-(c_TMAP1IN))*(((K59)-(c_TMAP1IN))*((c_TMAP2OUT)-(c_TMAP1OUT))+IF(((c_TMAP2OUT)-(c_TMAP1OUT))&gt;=0,1,-1)*QUOTIENT(((c_TMAP2IN)-(c_TMAP1IN)),2))+2147483648,4294967296)-2147483648,((c_TMAP2IN)-(c_TMAP1IN))*(((K59)-(c_TMAP1IN))*((c_TMAP2OUT)-(c_TMAP1OUT))+IF(((c_TMAP2OUT)-(c_TMAP1OUT))&gt;=0,1,-1)*QUOTIENT(((c_TMAP2IN)-(c_TMAP1IN)),2)))&gt;=0,1,0)))</f>
        <v>30</v>
      </c>
      <c r="O59" s="7" t="n">
        <f aca="false">IF(((c_TMAP3IN)-(c_TMAP2IN))=0,(c_TMAP2OUT)+QUOTIENT(((c_TMAP3OUT)-(c_TMAP2OUT)),2),QUOTIENT((((K59)-(c_TMAP2IN))*((c_TMAP3OUT)-(c_TMAP2OUT))+IF(((c_TMAP3OUT)-(c_TMAP2OUT))&gt;=0,1,-1)*QUOTIENT(((c_TMAP3IN)-(c_TMAP2IN)),2)),((c_TMAP3IN)-(c_TMAP2IN)))+(c_TMAP2OUT)+IF(((c_TMAP3OUT)-(c_TMAP2OUT))&gt;=0,IF(IF(o_WRAP=1,MOD(((c_TMAP3IN)-(c_TMAP2IN))*(((K59)-(c_TMAP2IN))*((c_TMAP3OUT)-(c_TMAP2OUT))+IF(((c_TMAP3OUT)-(c_TMAP2OUT))&gt;=0,1,-1)*QUOTIENT(((c_TMAP3IN)-(c_TMAP2IN)),2))+2147483648,4294967296)-2147483648,((c_TMAP3IN)-(c_TMAP2IN))*(((K59)-(c_TMAP2IN))*((c_TMAP3OUT)-(c_TMAP2OUT))+IF(((c_TMAP3OUT)-(c_TMAP2OUT))&gt;=0,1,-1)*QUOTIENT(((c_TMAP3IN)-(c_TMAP2IN)),2)))&lt;0,-1,0),IF(IF(o_WRAP=1,MOD(((c_TMAP3IN)-(c_TMAP2IN))*(((K59)-(c_TMAP2IN))*((c_TMAP3OUT)-(c_TMAP2OUT))+IF(((c_TMAP3OUT)-(c_TMAP2OUT))&gt;=0,1,-1)*QUOTIENT(((c_TMAP3IN)-(c_TMAP2IN)),2))+2147483648,4294967296)-2147483648,((c_TMAP3IN)-(c_TMAP2IN))*(((K59)-(c_TMAP2IN))*((c_TMAP3OUT)-(c_TMAP2OUT))+IF(((c_TMAP3OUT)-(c_TMAP2OUT))&gt;=0,1,-1)*QUOTIENT(((c_TMAP3IN)-(c_TMAP2IN)),2)))&gt;=0,1,0)))</f>
        <v>-45</v>
      </c>
      <c r="P59" s="7" t="n">
        <f aca="false">IF(((1000)-(c_TMAP3IN))=0,(c_TMAP3OUT)+QUOTIENT(((1000)-(c_TMAP3OUT)),2),QUOTIENT((((K59)-(c_TMAP3IN))*((1000)-(c_TMAP3OUT))+IF(((1000)-(c_TMAP3OUT))&gt;=0,1,-1)*QUOTIENT(((1000)-(c_TMAP3IN)),2)),((1000)-(c_TMAP3IN)))+(c_TMAP3OUT)+IF(((1000)-(c_TMAP3OUT))&gt;=0,IF(IF(o_WRAP=1,MOD(((1000)-(c_TMAP3IN))*(((K59)-(c_TMAP3IN))*((1000)-(c_TMAP3OUT))+IF(((1000)-(c_TMAP3OUT))&gt;=0,1,-1)*QUOTIENT(((1000)-(c_TMAP3IN)),2))+2147483648,4294967296)-2147483648,((1000)-(c_TMAP3IN))*(((K59)-(c_TMAP3IN))*((1000)-(c_TMAP3OUT))+IF(((1000)-(c_TMAP3OUT))&gt;=0,1,-1)*QUOTIENT(((1000)-(c_TMAP3IN)),2)))&lt;0,-1,0),IF(IF(o_WRAP=1,MOD(((1000)-(c_TMAP3IN))*(((K59)-(c_TMAP3IN))*((1000)-(c_TMAP3OUT))+IF(((1000)-(c_TMAP3OUT))&gt;=0,1,-1)*QUOTIENT(((1000)-(c_TMAP3IN)),2))+2147483648,4294967296)-2147483648,((1000)-(c_TMAP3IN))*(((K59)-(c_TMAP3IN))*((1000)-(c_TMAP3OUT))+IF(((1000)-(c_TMAP3OUT))&gt;=0,1,-1)*QUOTIENT(((1000)-(c_TMAP3IN)),2)))&gt;=0,1,0)))</f>
        <v>-231</v>
      </c>
      <c r="Q59" s="7" t="str">
        <f aca="false">IF(K59&gt;=c_TFWD,IF(AND(K59&gt;=c_TMAP3IN,c_TMAP3IN&lt;1000),"Seg4 map3-100%",IF(AND(K59&gt;=c_TMAP2IN,c_TMAP3IN&gt;c_TMAP2IN),"Seg3 map2-map3",IF(AND(K59&gt;=c_TMAP1IN,c_TMAP2IN&gt;c_TMAP1IN),"Seg2 map1-map2","Seg1 TFWD-map1"))),IF(AND(K59=0,c_TCREEP&gt;0),"Creep",IF(AND(K59&lt;=c_TRNGMIN,K59&gt;=c_TRNGMAX,c_TRNGMIN-c_TRNGMAX&lt;&gt;0),"Regen ramp","Coast (0)")))</f>
        <v>Regen ramp</v>
      </c>
      <c r="R59" s="7" t="n">
        <f aca="false">IF(K59&gt;=c_TFWD,IF(AND(K59&gt;=c_TMAP3IN,c_TMAP3IN&lt;1000),P59,IF(AND(K59&gt;=c_TMAP2IN,c_TMAP3IN&gt;c_TMAP2IN),O59,IF(AND(K59&gt;=c_TMAP1IN,c_TMAP2IN&gt;c_TMAP1IN),N59,M59))),L59)</f>
        <v>-350</v>
      </c>
      <c r="S59" s="7" t="str">
        <f aca="false">IF(R59&lt;-1090,"TOO LOW",IF(R59&gt;1090,"TOO HIGH",""))</f>
        <v/>
      </c>
      <c r="T59" s="15" t="n">
        <f aca="false">IF(H59&lt;&gt;"OK",0,IF(S59&lt;&gt;"",0,IF(R59&gt;979,1000,R59)))</f>
        <v>-350</v>
      </c>
      <c r="U59" s="7" t="n">
        <f aca="false">T59/10</f>
        <v>-35</v>
      </c>
    </row>
    <row r="60" customFormat="false" ht="15" hidden="false" customHeight="false" outlineLevel="0" collapsed="false">
      <c r="A60" s="7" t="n">
        <v>55</v>
      </c>
      <c r="B60" s="7" t="n">
        <f aca="false">ROUND(o_SWSTART+A60*(o_SWEND-o_SWSTART)/400,0)</f>
        <v>563</v>
      </c>
      <c r="C60" s="7" t="n">
        <f aca="false">QUOTIENT((B60-c_OFF1)*c_GAIN1,1024)</f>
        <v>563</v>
      </c>
      <c r="D60" s="7" t="n">
        <f aca="false">IF(((c_T1MX)-(c_T1MN))=0,(0)+QUOTIENT(((1000)-(0)),2),QUOTIENT((((C60)-(c_T1MN))*((1000)-(0))+IF(((1000)-(0))&gt;=0,1,-1)*QUOTIENT(((c_T1MX)-(c_T1MN)),2)),((c_T1MX)-(c_T1MN)))+(0)+IF(((1000)-(0))&gt;=0,IF(IF(o_WRAP=1,MOD(((c_T1MX)-(c_T1MN))*(((C60)-(c_T1MN))*((1000)-(0))+IF(((1000)-(0))&gt;=0,1,-1)*QUOTIENT(((c_T1MX)-(c_T1MN)),2))+2147483648,4294967296)-2147483648,((c_T1MX)-(c_T1MN))*(((C60)-(c_T1MN))*((1000)-(0))+IF(((1000)-(0))&gt;=0,1,-1)*QUOTIENT(((c_T1MX)-(c_T1MN)),2)))&lt;0,-1,0),IF(IF(o_WRAP=1,MOD(((c_T1MX)-(c_T1MN))*(((C60)-(c_T1MN))*((1000)-(0))+IF(((1000)-(0))&gt;=0,1,-1)*QUOTIENT(((c_T1MX)-(c_T1MN)),2))+2147483648,4294967296)-2147483648,((c_T1MX)-(c_T1MN))*(((C60)-(c_T1MN))*((1000)-(0))+IF(((1000)-(0))&gt;=0,1,-1)*QUOTIENT(((c_T1MX)-(c_T1MN)),2)))&gt;=0,1,0)))</f>
        <v>-55</v>
      </c>
      <c r="E60" s="7" t="n">
        <f aca="false">IF(AND(c_TPOT=1,c_TTYPE=2),1000-D60,D60)</f>
        <v>-55</v>
      </c>
      <c r="F60" s="7" t="str">
        <f aca="false">IF(c_TPOT&gt;1,ROUND(IF(c_TTYPE=2,c_T2MX-IF(c_T1MX=c_T1MN,0,(C60-c_T1MN)/(c_T1MX-c_T1MN))*(c_T2MX-c_T2MN),c_T2MN+IF(c_T1MX=c_T1MN,0,(C60-c_T1MN)/(c_T1MX-c_T1MN))*(c_T2MX-c_T2MN))+o_MISMATCH,0),"")</f>
        <v/>
      </c>
      <c r="G60" s="7" t="str">
        <f aca="false">IF(c_TPOT&gt;1,IF(((c_T2MX)-(c_T2MN))=0,(0)+QUOTIENT(((1000)-(0)),2),QUOTIENT((((F60)-(c_T2MN))*((1000)-(0))+IF(((1000)-(0))&gt;=0,1,-1)*QUOTIENT(((c_T2MX)-(c_T2MN)),2)),((c_T2MX)-(c_T2MN)))+(0)+IF(((1000)-(0))&gt;=0,IF(IF(o_WRAP=1,MOD(((c_T2MX)-(c_T2MN))*(((F60)-(c_T2MN))*((1000)-(0))+IF(((1000)-(0))&gt;=0,1,-1)*QUOTIENT(((c_T2MX)-(c_T2MN)),2))+2147483648,4294967296)-2147483648,((c_T2MX)-(c_T2MN))*(((F60)-(c_T2MN))*((1000)-(0))+IF(((1000)-(0))&gt;=0,1,-1)*QUOTIENT(((c_T2MX)-(c_T2MN)),2)))&lt;0,-1,0),IF(IF(o_WRAP=1,MOD(((c_T2MX)-(c_T2MN))*(((F60)-(c_T2MN))*((1000)-(0))+IF(((1000)-(0))&gt;=0,1,-1)*QUOTIENT(((c_T2MX)-(c_T2MN)),2))+2147483648,4294967296)-2147483648,((c_T2MX)-(c_T2MN))*(((F60)-(c_T2MN))*((1000)-(0))+IF(((1000)-(0))&gt;=0,1,-1)*QUOTIENT(((c_T2MX)-(c_T2MN)),2)))&gt;=0,1,0))),"")</f>
        <v/>
      </c>
      <c r="H60" s="7" t="str">
        <f aca="false">IF(E60&gt;1000+k_TOL,"T1 HIGH",IF(E60&lt;0-k_TOL,"T1 LOW",IF(c_TPOT&gt;1,IF(G60&gt;1000+k_TOL,"T2 HIGH",IF(G60&lt;0-k_TOL,"T2 LOW",IF(c_TTYPE=2,IF(ABS(1000-MAX(0,MIN(1000,E60))-MAX(0,MIN(1000,G60)))&gt;k_MAXERR,"MISMATCH","OK"),IF(OR(MAX(0,MIN(1000,E60))-k_MAXERR&gt;MAX(0,MIN(1000,G60)),MAX(0,MIN(1000,G60))-k_MAXERR&gt;MAX(0,MIN(1000,E60))),"MISMATCH","OK")))),"OK")))</f>
        <v>OK</v>
      </c>
      <c r="I60" s="7" t="n">
        <f aca="false">MAX(0,MIN(1000,D60))</f>
        <v>0</v>
      </c>
      <c r="J60" s="7" t="str">
        <f aca="false">IF(c_TPOT&gt;1,IF(c_TTYPE=2,1000-MAX(0,MIN(1000,G60)),MAX(0,MIN(1000,G60))),"")</f>
        <v/>
      </c>
      <c r="K60" s="7" t="n">
        <f aca="false">IF(c_TPOT&gt;1,QUOTIENT(I60+J60,2),I60)</f>
        <v>0</v>
      </c>
      <c r="L60" s="7" t="n">
        <f aca="false">IF(AND(K60=0,c_TCREEP&gt;0),10*c_TCREEP,IF(AND(K60&lt;=c_TRNGMIN,K60&gt;=c_TRNGMAX,c_TRNGMIN-c_TRNGMAX&lt;&gt;0),-10*c_TMINRN+QUOTIENT((c_TMAXRN-c_TMINRN)*(100-QUOTIENT((K60-c_TRNGMAX)*100,c_TRNGMIN-c_TRNGMAX)),-10),0))</f>
        <v>-350</v>
      </c>
      <c r="M60" s="7" t="n">
        <f aca="false">IF(((c_TMAP1IN)-(c_TFWD))=0,(0)+QUOTIENT(((c_TMAP1OUT)-(0)),2),QUOTIENT((((K60)-(c_TFWD))*((c_TMAP1OUT)-(0))+IF(((c_TMAP1OUT)-(0))&gt;=0,1,-1)*QUOTIENT(((c_TMAP1IN)-(c_TFWD)),2)),((c_TMAP1IN)-(c_TFWD)))+(0)+IF(((c_TMAP1OUT)-(0))&gt;=0,IF(IF(o_WRAP=1,MOD(((c_TMAP1IN)-(c_TFWD))*(((K60)-(c_TFWD))*((c_TMAP1OUT)-(0))+IF(((c_TMAP1OUT)-(0))&gt;=0,1,-1)*QUOTIENT(((c_TMAP1IN)-(c_TFWD)),2))+2147483648,4294967296)-2147483648,((c_TMAP1IN)-(c_TFWD))*(((K60)-(c_TFWD))*((c_TMAP1OUT)-(0))+IF(((c_TMAP1OUT)-(0))&gt;=0,1,-1)*QUOTIENT(((c_TMAP1IN)-(c_TFWD)),2)))&lt;0,-1,0),IF(IF(o_WRAP=1,MOD(((c_TMAP1IN)-(c_TFWD))*(((K60)-(c_TFWD))*((c_TMAP1OUT)-(0))+IF(((c_TMAP1OUT)-(0))&gt;=0,1,-1)*QUOTIENT(((c_TMAP1IN)-(c_TFWD)),2))+2147483648,4294967296)-2147483648,((c_TMAP1IN)-(c_TFWD))*(((K60)-(c_TFWD))*((c_TMAP1OUT)-(0))+IF(((c_TMAP1OUT)-(0))&gt;=0,1,-1)*QUOTIENT(((c_TMAP1IN)-(c_TFWD)),2)))&gt;=0,1,0)))</f>
        <v>-8</v>
      </c>
      <c r="N60" s="7" t="n">
        <f aca="false">IF(((c_TMAP2IN)-(c_TMAP1IN))=0,(c_TMAP1OUT)+QUOTIENT(((c_TMAP2OUT)-(c_TMAP1OUT)),2),QUOTIENT((((K60)-(c_TMAP1IN))*((c_TMAP2OUT)-(c_TMAP1OUT))+IF(((c_TMAP2OUT)-(c_TMAP1OUT))&gt;=0,1,-1)*QUOTIENT(((c_TMAP2IN)-(c_TMAP1IN)),2)),((c_TMAP2IN)-(c_TMAP1IN)))+(c_TMAP1OUT)+IF(((c_TMAP2OUT)-(c_TMAP1OUT))&gt;=0,IF(IF(o_WRAP=1,MOD(((c_TMAP2IN)-(c_TMAP1IN))*(((K60)-(c_TMAP1IN))*((c_TMAP2OUT)-(c_TMAP1OUT))+IF(((c_TMAP2OUT)-(c_TMAP1OUT))&gt;=0,1,-1)*QUOTIENT(((c_TMAP2IN)-(c_TMAP1IN)),2))+2147483648,4294967296)-2147483648,((c_TMAP2IN)-(c_TMAP1IN))*(((K60)-(c_TMAP1IN))*((c_TMAP2OUT)-(c_TMAP1OUT))+IF(((c_TMAP2OUT)-(c_TMAP1OUT))&gt;=0,1,-1)*QUOTIENT(((c_TMAP2IN)-(c_TMAP1IN)),2)))&lt;0,-1,0),IF(IF(o_WRAP=1,MOD(((c_TMAP2IN)-(c_TMAP1IN))*(((K60)-(c_TMAP1IN))*((c_TMAP2OUT)-(c_TMAP1OUT))+IF(((c_TMAP2OUT)-(c_TMAP1OUT))&gt;=0,1,-1)*QUOTIENT(((c_TMAP2IN)-(c_TMAP1IN)),2))+2147483648,4294967296)-2147483648,((c_TMAP2IN)-(c_TMAP1IN))*(((K60)-(c_TMAP1IN))*((c_TMAP2OUT)-(c_TMAP1OUT))+IF(((c_TMAP2OUT)-(c_TMAP1OUT))&gt;=0,1,-1)*QUOTIENT(((c_TMAP2IN)-(c_TMAP1IN)),2)))&gt;=0,1,0)))</f>
        <v>30</v>
      </c>
      <c r="O60" s="7" t="n">
        <f aca="false">IF(((c_TMAP3IN)-(c_TMAP2IN))=0,(c_TMAP2OUT)+QUOTIENT(((c_TMAP3OUT)-(c_TMAP2OUT)),2),QUOTIENT((((K60)-(c_TMAP2IN))*((c_TMAP3OUT)-(c_TMAP2OUT))+IF(((c_TMAP3OUT)-(c_TMAP2OUT))&gt;=0,1,-1)*QUOTIENT(((c_TMAP3IN)-(c_TMAP2IN)),2)),((c_TMAP3IN)-(c_TMAP2IN)))+(c_TMAP2OUT)+IF(((c_TMAP3OUT)-(c_TMAP2OUT))&gt;=0,IF(IF(o_WRAP=1,MOD(((c_TMAP3IN)-(c_TMAP2IN))*(((K60)-(c_TMAP2IN))*((c_TMAP3OUT)-(c_TMAP2OUT))+IF(((c_TMAP3OUT)-(c_TMAP2OUT))&gt;=0,1,-1)*QUOTIENT(((c_TMAP3IN)-(c_TMAP2IN)),2))+2147483648,4294967296)-2147483648,((c_TMAP3IN)-(c_TMAP2IN))*(((K60)-(c_TMAP2IN))*((c_TMAP3OUT)-(c_TMAP2OUT))+IF(((c_TMAP3OUT)-(c_TMAP2OUT))&gt;=0,1,-1)*QUOTIENT(((c_TMAP3IN)-(c_TMAP2IN)),2)))&lt;0,-1,0),IF(IF(o_WRAP=1,MOD(((c_TMAP3IN)-(c_TMAP2IN))*(((K60)-(c_TMAP2IN))*((c_TMAP3OUT)-(c_TMAP2OUT))+IF(((c_TMAP3OUT)-(c_TMAP2OUT))&gt;=0,1,-1)*QUOTIENT(((c_TMAP3IN)-(c_TMAP2IN)),2))+2147483648,4294967296)-2147483648,((c_TMAP3IN)-(c_TMAP2IN))*(((K60)-(c_TMAP2IN))*((c_TMAP3OUT)-(c_TMAP2OUT))+IF(((c_TMAP3OUT)-(c_TMAP2OUT))&gt;=0,1,-1)*QUOTIENT(((c_TMAP3IN)-(c_TMAP2IN)),2)))&gt;=0,1,0)))</f>
        <v>-45</v>
      </c>
      <c r="P60" s="7" t="n">
        <f aca="false">IF(((1000)-(c_TMAP3IN))=0,(c_TMAP3OUT)+QUOTIENT(((1000)-(c_TMAP3OUT)),2),QUOTIENT((((K60)-(c_TMAP3IN))*((1000)-(c_TMAP3OUT))+IF(((1000)-(c_TMAP3OUT))&gt;=0,1,-1)*QUOTIENT(((1000)-(c_TMAP3IN)),2)),((1000)-(c_TMAP3IN)))+(c_TMAP3OUT)+IF(((1000)-(c_TMAP3OUT))&gt;=0,IF(IF(o_WRAP=1,MOD(((1000)-(c_TMAP3IN))*(((K60)-(c_TMAP3IN))*((1000)-(c_TMAP3OUT))+IF(((1000)-(c_TMAP3OUT))&gt;=0,1,-1)*QUOTIENT(((1000)-(c_TMAP3IN)),2))+2147483648,4294967296)-2147483648,((1000)-(c_TMAP3IN))*(((K60)-(c_TMAP3IN))*((1000)-(c_TMAP3OUT))+IF(((1000)-(c_TMAP3OUT))&gt;=0,1,-1)*QUOTIENT(((1000)-(c_TMAP3IN)),2)))&lt;0,-1,0),IF(IF(o_WRAP=1,MOD(((1000)-(c_TMAP3IN))*(((K60)-(c_TMAP3IN))*((1000)-(c_TMAP3OUT))+IF(((1000)-(c_TMAP3OUT))&gt;=0,1,-1)*QUOTIENT(((1000)-(c_TMAP3IN)),2))+2147483648,4294967296)-2147483648,((1000)-(c_TMAP3IN))*(((K60)-(c_TMAP3IN))*((1000)-(c_TMAP3OUT))+IF(((1000)-(c_TMAP3OUT))&gt;=0,1,-1)*QUOTIENT(((1000)-(c_TMAP3IN)),2)))&gt;=0,1,0)))</f>
        <v>-231</v>
      </c>
      <c r="Q60" s="7" t="str">
        <f aca="false">IF(K60&gt;=c_TFWD,IF(AND(K60&gt;=c_TMAP3IN,c_TMAP3IN&lt;1000),"Seg4 map3-100%",IF(AND(K60&gt;=c_TMAP2IN,c_TMAP3IN&gt;c_TMAP2IN),"Seg3 map2-map3",IF(AND(K60&gt;=c_TMAP1IN,c_TMAP2IN&gt;c_TMAP1IN),"Seg2 map1-map2","Seg1 TFWD-map1"))),IF(AND(K60=0,c_TCREEP&gt;0),"Creep",IF(AND(K60&lt;=c_TRNGMIN,K60&gt;=c_TRNGMAX,c_TRNGMIN-c_TRNGMAX&lt;&gt;0),"Regen ramp","Coast (0)")))</f>
        <v>Regen ramp</v>
      </c>
      <c r="R60" s="7" t="n">
        <f aca="false">IF(K60&gt;=c_TFWD,IF(AND(K60&gt;=c_TMAP3IN,c_TMAP3IN&lt;1000),P60,IF(AND(K60&gt;=c_TMAP2IN,c_TMAP3IN&gt;c_TMAP2IN),O60,IF(AND(K60&gt;=c_TMAP1IN,c_TMAP2IN&gt;c_TMAP1IN),N60,M60))),L60)</f>
        <v>-350</v>
      </c>
      <c r="S60" s="7" t="str">
        <f aca="false">IF(R60&lt;-1090,"TOO LOW",IF(R60&gt;1090,"TOO HIGH",""))</f>
        <v/>
      </c>
      <c r="T60" s="15" t="n">
        <f aca="false">IF(H60&lt;&gt;"OK",0,IF(S60&lt;&gt;"",0,IF(R60&gt;979,1000,R60)))</f>
        <v>-350</v>
      </c>
      <c r="U60" s="7" t="n">
        <f aca="false">T60/10</f>
        <v>-35</v>
      </c>
    </row>
    <row r="61" customFormat="false" ht="15" hidden="false" customHeight="false" outlineLevel="0" collapsed="false">
      <c r="A61" s="7" t="n">
        <v>56</v>
      </c>
      <c r="B61" s="7" t="n">
        <f aca="false">ROUND(o_SWSTART+A61*(o_SWEND-o_SWSTART)/400,0)</f>
        <v>573</v>
      </c>
      <c r="C61" s="7" t="n">
        <f aca="false">QUOTIENT((B61-c_OFF1)*c_GAIN1,1024)</f>
        <v>573</v>
      </c>
      <c r="D61" s="7" t="n">
        <f aca="false">IF(((c_T1MX)-(c_T1MN))=0,(0)+QUOTIENT(((1000)-(0)),2),QUOTIENT((((C61)-(c_T1MN))*((1000)-(0))+IF(((1000)-(0))&gt;=0,1,-1)*QUOTIENT(((c_T1MX)-(c_T1MN)),2)),((c_T1MX)-(c_T1MN)))+(0)+IF(((1000)-(0))&gt;=0,IF(IF(o_WRAP=1,MOD(((c_T1MX)-(c_T1MN))*(((C61)-(c_T1MN))*((1000)-(0))+IF(((1000)-(0))&gt;=0,1,-1)*QUOTIENT(((c_T1MX)-(c_T1MN)),2))+2147483648,4294967296)-2147483648,((c_T1MX)-(c_T1MN))*(((C61)-(c_T1MN))*((1000)-(0))+IF(((1000)-(0))&gt;=0,1,-1)*QUOTIENT(((c_T1MX)-(c_T1MN)),2)))&lt;0,-1,0),IF(IF(o_WRAP=1,MOD(((c_T1MX)-(c_T1MN))*(((C61)-(c_T1MN))*((1000)-(0))+IF(((1000)-(0))&gt;=0,1,-1)*QUOTIENT(((c_T1MX)-(c_T1MN)),2))+2147483648,4294967296)-2147483648,((c_T1MX)-(c_T1MN))*(((C61)-(c_T1MN))*((1000)-(0))+IF(((1000)-(0))&gt;=0,1,-1)*QUOTIENT(((c_T1MX)-(c_T1MN)),2)))&gt;=0,1,0)))</f>
        <v>-51</v>
      </c>
      <c r="E61" s="7" t="n">
        <f aca="false">IF(AND(c_TPOT=1,c_TTYPE=2),1000-D61,D61)</f>
        <v>-51</v>
      </c>
      <c r="F61" s="7" t="str">
        <f aca="false">IF(c_TPOT&gt;1,ROUND(IF(c_TTYPE=2,c_T2MX-IF(c_T1MX=c_T1MN,0,(C61-c_T1MN)/(c_T1MX-c_T1MN))*(c_T2MX-c_T2MN),c_T2MN+IF(c_T1MX=c_T1MN,0,(C61-c_T1MN)/(c_T1MX-c_T1MN))*(c_T2MX-c_T2MN))+o_MISMATCH,0),"")</f>
        <v/>
      </c>
      <c r="G61" s="7" t="str">
        <f aca="false">IF(c_TPOT&gt;1,IF(((c_T2MX)-(c_T2MN))=0,(0)+QUOTIENT(((1000)-(0)),2),QUOTIENT((((F61)-(c_T2MN))*((1000)-(0))+IF(((1000)-(0))&gt;=0,1,-1)*QUOTIENT(((c_T2MX)-(c_T2MN)),2)),((c_T2MX)-(c_T2MN)))+(0)+IF(((1000)-(0))&gt;=0,IF(IF(o_WRAP=1,MOD(((c_T2MX)-(c_T2MN))*(((F61)-(c_T2MN))*((1000)-(0))+IF(((1000)-(0))&gt;=0,1,-1)*QUOTIENT(((c_T2MX)-(c_T2MN)),2))+2147483648,4294967296)-2147483648,((c_T2MX)-(c_T2MN))*(((F61)-(c_T2MN))*((1000)-(0))+IF(((1000)-(0))&gt;=0,1,-1)*QUOTIENT(((c_T2MX)-(c_T2MN)),2)))&lt;0,-1,0),IF(IF(o_WRAP=1,MOD(((c_T2MX)-(c_T2MN))*(((F61)-(c_T2MN))*((1000)-(0))+IF(((1000)-(0))&gt;=0,1,-1)*QUOTIENT(((c_T2MX)-(c_T2MN)),2))+2147483648,4294967296)-2147483648,((c_T2MX)-(c_T2MN))*(((F61)-(c_T2MN))*((1000)-(0))+IF(((1000)-(0))&gt;=0,1,-1)*QUOTIENT(((c_T2MX)-(c_T2MN)),2)))&gt;=0,1,0))),"")</f>
        <v/>
      </c>
      <c r="H61" s="7" t="str">
        <f aca="false">IF(E61&gt;1000+k_TOL,"T1 HIGH",IF(E61&lt;0-k_TOL,"T1 LOW",IF(c_TPOT&gt;1,IF(G61&gt;1000+k_TOL,"T2 HIGH",IF(G61&lt;0-k_TOL,"T2 LOW",IF(c_TTYPE=2,IF(ABS(1000-MAX(0,MIN(1000,E61))-MAX(0,MIN(1000,G61)))&gt;k_MAXERR,"MISMATCH","OK"),IF(OR(MAX(0,MIN(1000,E61))-k_MAXERR&gt;MAX(0,MIN(1000,G61)),MAX(0,MIN(1000,G61))-k_MAXERR&gt;MAX(0,MIN(1000,E61))),"MISMATCH","OK")))),"OK")))</f>
        <v>OK</v>
      </c>
      <c r="I61" s="7" t="n">
        <f aca="false">MAX(0,MIN(1000,D61))</f>
        <v>0</v>
      </c>
      <c r="J61" s="7" t="str">
        <f aca="false">IF(c_TPOT&gt;1,IF(c_TTYPE=2,1000-MAX(0,MIN(1000,G61)),MAX(0,MIN(1000,G61))),"")</f>
        <v/>
      </c>
      <c r="K61" s="7" t="n">
        <f aca="false">IF(c_TPOT&gt;1,QUOTIENT(I61+J61,2),I61)</f>
        <v>0</v>
      </c>
      <c r="L61" s="7" t="n">
        <f aca="false">IF(AND(K61=0,c_TCREEP&gt;0),10*c_TCREEP,IF(AND(K61&lt;=c_TRNGMIN,K61&gt;=c_TRNGMAX,c_TRNGMIN-c_TRNGMAX&lt;&gt;0),-10*c_TMINRN+QUOTIENT((c_TMAXRN-c_TMINRN)*(100-QUOTIENT((K61-c_TRNGMAX)*100,c_TRNGMIN-c_TRNGMAX)),-10),0))</f>
        <v>-350</v>
      </c>
      <c r="M61" s="7" t="n">
        <f aca="false">IF(((c_TMAP1IN)-(c_TFWD))=0,(0)+QUOTIENT(((c_TMAP1OUT)-(0)),2),QUOTIENT((((K61)-(c_TFWD))*((c_TMAP1OUT)-(0))+IF(((c_TMAP1OUT)-(0))&gt;=0,1,-1)*QUOTIENT(((c_TMAP1IN)-(c_TFWD)),2)),((c_TMAP1IN)-(c_TFWD)))+(0)+IF(((c_TMAP1OUT)-(0))&gt;=0,IF(IF(o_WRAP=1,MOD(((c_TMAP1IN)-(c_TFWD))*(((K61)-(c_TFWD))*((c_TMAP1OUT)-(0))+IF(((c_TMAP1OUT)-(0))&gt;=0,1,-1)*QUOTIENT(((c_TMAP1IN)-(c_TFWD)),2))+2147483648,4294967296)-2147483648,((c_TMAP1IN)-(c_TFWD))*(((K61)-(c_TFWD))*((c_TMAP1OUT)-(0))+IF(((c_TMAP1OUT)-(0))&gt;=0,1,-1)*QUOTIENT(((c_TMAP1IN)-(c_TFWD)),2)))&lt;0,-1,0),IF(IF(o_WRAP=1,MOD(((c_TMAP1IN)-(c_TFWD))*(((K61)-(c_TFWD))*((c_TMAP1OUT)-(0))+IF(((c_TMAP1OUT)-(0))&gt;=0,1,-1)*QUOTIENT(((c_TMAP1IN)-(c_TFWD)),2))+2147483648,4294967296)-2147483648,((c_TMAP1IN)-(c_TFWD))*(((K61)-(c_TFWD))*((c_TMAP1OUT)-(0))+IF(((c_TMAP1OUT)-(0))&gt;=0,1,-1)*QUOTIENT(((c_TMAP1IN)-(c_TFWD)),2)))&gt;=0,1,0)))</f>
        <v>-8</v>
      </c>
      <c r="N61" s="7" t="n">
        <f aca="false">IF(((c_TMAP2IN)-(c_TMAP1IN))=0,(c_TMAP1OUT)+QUOTIENT(((c_TMAP2OUT)-(c_TMAP1OUT)),2),QUOTIENT((((K61)-(c_TMAP1IN))*((c_TMAP2OUT)-(c_TMAP1OUT))+IF(((c_TMAP2OUT)-(c_TMAP1OUT))&gt;=0,1,-1)*QUOTIENT(((c_TMAP2IN)-(c_TMAP1IN)),2)),((c_TMAP2IN)-(c_TMAP1IN)))+(c_TMAP1OUT)+IF(((c_TMAP2OUT)-(c_TMAP1OUT))&gt;=0,IF(IF(o_WRAP=1,MOD(((c_TMAP2IN)-(c_TMAP1IN))*(((K61)-(c_TMAP1IN))*((c_TMAP2OUT)-(c_TMAP1OUT))+IF(((c_TMAP2OUT)-(c_TMAP1OUT))&gt;=0,1,-1)*QUOTIENT(((c_TMAP2IN)-(c_TMAP1IN)),2))+2147483648,4294967296)-2147483648,((c_TMAP2IN)-(c_TMAP1IN))*(((K61)-(c_TMAP1IN))*((c_TMAP2OUT)-(c_TMAP1OUT))+IF(((c_TMAP2OUT)-(c_TMAP1OUT))&gt;=0,1,-1)*QUOTIENT(((c_TMAP2IN)-(c_TMAP1IN)),2)))&lt;0,-1,0),IF(IF(o_WRAP=1,MOD(((c_TMAP2IN)-(c_TMAP1IN))*(((K61)-(c_TMAP1IN))*((c_TMAP2OUT)-(c_TMAP1OUT))+IF(((c_TMAP2OUT)-(c_TMAP1OUT))&gt;=0,1,-1)*QUOTIENT(((c_TMAP2IN)-(c_TMAP1IN)),2))+2147483648,4294967296)-2147483648,((c_TMAP2IN)-(c_TMAP1IN))*(((K61)-(c_TMAP1IN))*((c_TMAP2OUT)-(c_TMAP1OUT))+IF(((c_TMAP2OUT)-(c_TMAP1OUT))&gt;=0,1,-1)*QUOTIENT(((c_TMAP2IN)-(c_TMAP1IN)),2)))&gt;=0,1,0)))</f>
        <v>30</v>
      </c>
      <c r="O61" s="7" t="n">
        <f aca="false">IF(((c_TMAP3IN)-(c_TMAP2IN))=0,(c_TMAP2OUT)+QUOTIENT(((c_TMAP3OUT)-(c_TMAP2OUT)),2),QUOTIENT((((K61)-(c_TMAP2IN))*((c_TMAP3OUT)-(c_TMAP2OUT))+IF(((c_TMAP3OUT)-(c_TMAP2OUT))&gt;=0,1,-1)*QUOTIENT(((c_TMAP3IN)-(c_TMAP2IN)),2)),((c_TMAP3IN)-(c_TMAP2IN)))+(c_TMAP2OUT)+IF(((c_TMAP3OUT)-(c_TMAP2OUT))&gt;=0,IF(IF(o_WRAP=1,MOD(((c_TMAP3IN)-(c_TMAP2IN))*(((K61)-(c_TMAP2IN))*((c_TMAP3OUT)-(c_TMAP2OUT))+IF(((c_TMAP3OUT)-(c_TMAP2OUT))&gt;=0,1,-1)*QUOTIENT(((c_TMAP3IN)-(c_TMAP2IN)),2))+2147483648,4294967296)-2147483648,((c_TMAP3IN)-(c_TMAP2IN))*(((K61)-(c_TMAP2IN))*((c_TMAP3OUT)-(c_TMAP2OUT))+IF(((c_TMAP3OUT)-(c_TMAP2OUT))&gt;=0,1,-1)*QUOTIENT(((c_TMAP3IN)-(c_TMAP2IN)),2)))&lt;0,-1,0),IF(IF(o_WRAP=1,MOD(((c_TMAP3IN)-(c_TMAP2IN))*(((K61)-(c_TMAP2IN))*((c_TMAP3OUT)-(c_TMAP2OUT))+IF(((c_TMAP3OUT)-(c_TMAP2OUT))&gt;=0,1,-1)*QUOTIENT(((c_TMAP3IN)-(c_TMAP2IN)),2))+2147483648,4294967296)-2147483648,((c_TMAP3IN)-(c_TMAP2IN))*(((K61)-(c_TMAP2IN))*((c_TMAP3OUT)-(c_TMAP2OUT))+IF(((c_TMAP3OUT)-(c_TMAP2OUT))&gt;=0,1,-1)*QUOTIENT(((c_TMAP3IN)-(c_TMAP2IN)),2)))&gt;=0,1,0)))</f>
        <v>-45</v>
      </c>
      <c r="P61" s="7" t="n">
        <f aca="false">IF(((1000)-(c_TMAP3IN))=0,(c_TMAP3OUT)+QUOTIENT(((1000)-(c_TMAP3OUT)),2),QUOTIENT((((K61)-(c_TMAP3IN))*((1000)-(c_TMAP3OUT))+IF(((1000)-(c_TMAP3OUT))&gt;=0,1,-1)*QUOTIENT(((1000)-(c_TMAP3IN)),2)),((1000)-(c_TMAP3IN)))+(c_TMAP3OUT)+IF(((1000)-(c_TMAP3OUT))&gt;=0,IF(IF(o_WRAP=1,MOD(((1000)-(c_TMAP3IN))*(((K61)-(c_TMAP3IN))*((1000)-(c_TMAP3OUT))+IF(((1000)-(c_TMAP3OUT))&gt;=0,1,-1)*QUOTIENT(((1000)-(c_TMAP3IN)),2))+2147483648,4294967296)-2147483648,((1000)-(c_TMAP3IN))*(((K61)-(c_TMAP3IN))*((1000)-(c_TMAP3OUT))+IF(((1000)-(c_TMAP3OUT))&gt;=0,1,-1)*QUOTIENT(((1000)-(c_TMAP3IN)),2)))&lt;0,-1,0),IF(IF(o_WRAP=1,MOD(((1000)-(c_TMAP3IN))*(((K61)-(c_TMAP3IN))*((1000)-(c_TMAP3OUT))+IF(((1000)-(c_TMAP3OUT))&gt;=0,1,-1)*QUOTIENT(((1000)-(c_TMAP3IN)),2))+2147483648,4294967296)-2147483648,((1000)-(c_TMAP3IN))*(((K61)-(c_TMAP3IN))*((1000)-(c_TMAP3OUT))+IF(((1000)-(c_TMAP3OUT))&gt;=0,1,-1)*QUOTIENT(((1000)-(c_TMAP3IN)),2)))&gt;=0,1,0)))</f>
        <v>-231</v>
      </c>
      <c r="Q61" s="7" t="str">
        <f aca="false">IF(K61&gt;=c_TFWD,IF(AND(K61&gt;=c_TMAP3IN,c_TMAP3IN&lt;1000),"Seg4 map3-100%",IF(AND(K61&gt;=c_TMAP2IN,c_TMAP3IN&gt;c_TMAP2IN),"Seg3 map2-map3",IF(AND(K61&gt;=c_TMAP1IN,c_TMAP2IN&gt;c_TMAP1IN),"Seg2 map1-map2","Seg1 TFWD-map1"))),IF(AND(K61=0,c_TCREEP&gt;0),"Creep",IF(AND(K61&lt;=c_TRNGMIN,K61&gt;=c_TRNGMAX,c_TRNGMIN-c_TRNGMAX&lt;&gt;0),"Regen ramp","Coast (0)")))</f>
        <v>Regen ramp</v>
      </c>
      <c r="R61" s="7" t="n">
        <f aca="false">IF(K61&gt;=c_TFWD,IF(AND(K61&gt;=c_TMAP3IN,c_TMAP3IN&lt;1000),P61,IF(AND(K61&gt;=c_TMAP2IN,c_TMAP3IN&gt;c_TMAP2IN),O61,IF(AND(K61&gt;=c_TMAP1IN,c_TMAP2IN&gt;c_TMAP1IN),N61,M61))),L61)</f>
        <v>-350</v>
      </c>
      <c r="S61" s="7" t="str">
        <f aca="false">IF(R61&lt;-1090,"TOO LOW",IF(R61&gt;1090,"TOO HIGH",""))</f>
        <v/>
      </c>
      <c r="T61" s="15" t="n">
        <f aca="false">IF(H61&lt;&gt;"OK",0,IF(S61&lt;&gt;"",0,IF(R61&gt;979,1000,R61)))</f>
        <v>-350</v>
      </c>
      <c r="U61" s="7" t="n">
        <f aca="false">T61/10</f>
        <v>-35</v>
      </c>
    </row>
    <row r="62" customFormat="false" ht="15" hidden="false" customHeight="false" outlineLevel="0" collapsed="false">
      <c r="A62" s="7" t="n">
        <v>57</v>
      </c>
      <c r="B62" s="7" t="n">
        <f aca="false">ROUND(o_SWSTART+A62*(o_SWEND-o_SWSTART)/400,0)</f>
        <v>584</v>
      </c>
      <c r="C62" s="7" t="n">
        <f aca="false">QUOTIENT((B62-c_OFF1)*c_GAIN1,1024)</f>
        <v>584</v>
      </c>
      <c r="D62" s="7" t="n">
        <f aca="false">IF(((c_T1MX)-(c_T1MN))=0,(0)+QUOTIENT(((1000)-(0)),2),QUOTIENT((((C62)-(c_T1MN))*((1000)-(0))+IF(((1000)-(0))&gt;=0,1,-1)*QUOTIENT(((c_T1MX)-(c_T1MN)),2)),((c_T1MX)-(c_T1MN)))+(0)+IF(((1000)-(0))&gt;=0,IF(IF(o_WRAP=1,MOD(((c_T1MX)-(c_T1MN))*(((C62)-(c_T1MN))*((1000)-(0))+IF(((1000)-(0))&gt;=0,1,-1)*QUOTIENT(((c_T1MX)-(c_T1MN)),2))+2147483648,4294967296)-2147483648,((c_T1MX)-(c_T1MN))*(((C62)-(c_T1MN))*((1000)-(0))+IF(((1000)-(0))&gt;=0,1,-1)*QUOTIENT(((c_T1MX)-(c_T1MN)),2)))&lt;0,-1,0),IF(IF(o_WRAP=1,MOD(((c_T1MX)-(c_T1MN))*(((C62)-(c_T1MN))*((1000)-(0))+IF(((1000)-(0))&gt;=0,1,-1)*QUOTIENT(((c_T1MX)-(c_T1MN)),2))+2147483648,4294967296)-2147483648,((c_T1MX)-(c_T1MN))*(((C62)-(c_T1MN))*((1000)-(0))+IF(((1000)-(0))&gt;=0,1,-1)*QUOTIENT(((c_T1MX)-(c_T1MN)),2)))&gt;=0,1,0)))</f>
        <v>-47</v>
      </c>
      <c r="E62" s="7" t="n">
        <f aca="false">IF(AND(c_TPOT=1,c_TTYPE=2),1000-D62,D62)</f>
        <v>-47</v>
      </c>
      <c r="F62" s="7" t="str">
        <f aca="false">IF(c_TPOT&gt;1,ROUND(IF(c_TTYPE=2,c_T2MX-IF(c_T1MX=c_T1MN,0,(C62-c_T1MN)/(c_T1MX-c_T1MN))*(c_T2MX-c_T2MN),c_T2MN+IF(c_T1MX=c_T1MN,0,(C62-c_T1MN)/(c_T1MX-c_T1MN))*(c_T2MX-c_T2MN))+o_MISMATCH,0),"")</f>
        <v/>
      </c>
      <c r="G62" s="7" t="str">
        <f aca="false">IF(c_TPOT&gt;1,IF(((c_T2MX)-(c_T2MN))=0,(0)+QUOTIENT(((1000)-(0)),2),QUOTIENT((((F62)-(c_T2MN))*((1000)-(0))+IF(((1000)-(0))&gt;=0,1,-1)*QUOTIENT(((c_T2MX)-(c_T2MN)),2)),((c_T2MX)-(c_T2MN)))+(0)+IF(((1000)-(0))&gt;=0,IF(IF(o_WRAP=1,MOD(((c_T2MX)-(c_T2MN))*(((F62)-(c_T2MN))*((1000)-(0))+IF(((1000)-(0))&gt;=0,1,-1)*QUOTIENT(((c_T2MX)-(c_T2MN)),2))+2147483648,4294967296)-2147483648,((c_T2MX)-(c_T2MN))*(((F62)-(c_T2MN))*((1000)-(0))+IF(((1000)-(0))&gt;=0,1,-1)*QUOTIENT(((c_T2MX)-(c_T2MN)),2)))&lt;0,-1,0),IF(IF(o_WRAP=1,MOD(((c_T2MX)-(c_T2MN))*(((F62)-(c_T2MN))*((1000)-(0))+IF(((1000)-(0))&gt;=0,1,-1)*QUOTIENT(((c_T2MX)-(c_T2MN)),2))+2147483648,4294967296)-2147483648,((c_T2MX)-(c_T2MN))*(((F62)-(c_T2MN))*((1000)-(0))+IF(((1000)-(0))&gt;=0,1,-1)*QUOTIENT(((c_T2MX)-(c_T2MN)),2)))&gt;=0,1,0))),"")</f>
        <v/>
      </c>
      <c r="H62" s="7" t="str">
        <f aca="false">IF(E62&gt;1000+k_TOL,"T1 HIGH",IF(E62&lt;0-k_TOL,"T1 LOW",IF(c_TPOT&gt;1,IF(G62&gt;1000+k_TOL,"T2 HIGH",IF(G62&lt;0-k_TOL,"T2 LOW",IF(c_TTYPE=2,IF(ABS(1000-MAX(0,MIN(1000,E62))-MAX(0,MIN(1000,G62)))&gt;k_MAXERR,"MISMATCH","OK"),IF(OR(MAX(0,MIN(1000,E62))-k_MAXERR&gt;MAX(0,MIN(1000,G62)),MAX(0,MIN(1000,G62))-k_MAXERR&gt;MAX(0,MIN(1000,E62))),"MISMATCH","OK")))),"OK")))</f>
        <v>OK</v>
      </c>
      <c r="I62" s="7" t="n">
        <f aca="false">MAX(0,MIN(1000,D62))</f>
        <v>0</v>
      </c>
      <c r="J62" s="7" t="str">
        <f aca="false">IF(c_TPOT&gt;1,IF(c_TTYPE=2,1000-MAX(0,MIN(1000,G62)),MAX(0,MIN(1000,G62))),"")</f>
        <v/>
      </c>
      <c r="K62" s="7" t="n">
        <f aca="false">IF(c_TPOT&gt;1,QUOTIENT(I62+J62,2),I62)</f>
        <v>0</v>
      </c>
      <c r="L62" s="7" t="n">
        <f aca="false">IF(AND(K62=0,c_TCREEP&gt;0),10*c_TCREEP,IF(AND(K62&lt;=c_TRNGMIN,K62&gt;=c_TRNGMAX,c_TRNGMIN-c_TRNGMAX&lt;&gt;0),-10*c_TMINRN+QUOTIENT((c_TMAXRN-c_TMINRN)*(100-QUOTIENT((K62-c_TRNGMAX)*100,c_TRNGMIN-c_TRNGMAX)),-10),0))</f>
        <v>-350</v>
      </c>
      <c r="M62" s="7" t="n">
        <f aca="false">IF(((c_TMAP1IN)-(c_TFWD))=0,(0)+QUOTIENT(((c_TMAP1OUT)-(0)),2),QUOTIENT((((K62)-(c_TFWD))*((c_TMAP1OUT)-(0))+IF(((c_TMAP1OUT)-(0))&gt;=0,1,-1)*QUOTIENT(((c_TMAP1IN)-(c_TFWD)),2)),((c_TMAP1IN)-(c_TFWD)))+(0)+IF(((c_TMAP1OUT)-(0))&gt;=0,IF(IF(o_WRAP=1,MOD(((c_TMAP1IN)-(c_TFWD))*(((K62)-(c_TFWD))*((c_TMAP1OUT)-(0))+IF(((c_TMAP1OUT)-(0))&gt;=0,1,-1)*QUOTIENT(((c_TMAP1IN)-(c_TFWD)),2))+2147483648,4294967296)-2147483648,((c_TMAP1IN)-(c_TFWD))*(((K62)-(c_TFWD))*((c_TMAP1OUT)-(0))+IF(((c_TMAP1OUT)-(0))&gt;=0,1,-1)*QUOTIENT(((c_TMAP1IN)-(c_TFWD)),2)))&lt;0,-1,0),IF(IF(o_WRAP=1,MOD(((c_TMAP1IN)-(c_TFWD))*(((K62)-(c_TFWD))*((c_TMAP1OUT)-(0))+IF(((c_TMAP1OUT)-(0))&gt;=0,1,-1)*QUOTIENT(((c_TMAP1IN)-(c_TFWD)),2))+2147483648,4294967296)-2147483648,((c_TMAP1IN)-(c_TFWD))*(((K62)-(c_TFWD))*((c_TMAP1OUT)-(0))+IF(((c_TMAP1OUT)-(0))&gt;=0,1,-1)*QUOTIENT(((c_TMAP1IN)-(c_TFWD)),2)))&gt;=0,1,0)))</f>
        <v>-8</v>
      </c>
      <c r="N62" s="7" t="n">
        <f aca="false">IF(((c_TMAP2IN)-(c_TMAP1IN))=0,(c_TMAP1OUT)+QUOTIENT(((c_TMAP2OUT)-(c_TMAP1OUT)),2),QUOTIENT((((K62)-(c_TMAP1IN))*((c_TMAP2OUT)-(c_TMAP1OUT))+IF(((c_TMAP2OUT)-(c_TMAP1OUT))&gt;=0,1,-1)*QUOTIENT(((c_TMAP2IN)-(c_TMAP1IN)),2)),((c_TMAP2IN)-(c_TMAP1IN)))+(c_TMAP1OUT)+IF(((c_TMAP2OUT)-(c_TMAP1OUT))&gt;=0,IF(IF(o_WRAP=1,MOD(((c_TMAP2IN)-(c_TMAP1IN))*(((K62)-(c_TMAP1IN))*((c_TMAP2OUT)-(c_TMAP1OUT))+IF(((c_TMAP2OUT)-(c_TMAP1OUT))&gt;=0,1,-1)*QUOTIENT(((c_TMAP2IN)-(c_TMAP1IN)),2))+2147483648,4294967296)-2147483648,((c_TMAP2IN)-(c_TMAP1IN))*(((K62)-(c_TMAP1IN))*((c_TMAP2OUT)-(c_TMAP1OUT))+IF(((c_TMAP2OUT)-(c_TMAP1OUT))&gt;=0,1,-1)*QUOTIENT(((c_TMAP2IN)-(c_TMAP1IN)),2)))&lt;0,-1,0),IF(IF(o_WRAP=1,MOD(((c_TMAP2IN)-(c_TMAP1IN))*(((K62)-(c_TMAP1IN))*((c_TMAP2OUT)-(c_TMAP1OUT))+IF(((c_TMAP2OUT)-(c_TMAP1OUT))&gt;=0,1,-1)*QUOTIENT(((c_TMAP2IN)-(c_TMAP1IN)),2))+2147483648,4294967296)-2147483648,((c_TMAP2IN)-(c_TMAP1IN))*(((K62)-(c_TMAP1IN))*((c_TMAP2OUT)-(c_TMAP1OUT))+IF(((c_TMAP2OUT)-(c_TMAP1OUT))&gt;=0,1,-1)*QUOTIENT(((c_TMAP2IN)-(c_TMAP1IN)),2)))&gt;=0,1,0)))</f>
        <v>30</v>
      </c>
      <c r="O62" s="7" t="n">
        <f aca="false">IF(((c_TMAP3IN)-(c_TMAP2IN))=0,(c_TMAP2OUT)+QUOTIENT(((c_TMAP3OUT)-(c_TMAP2OUT)),2),QUOTIENT((((K62)-(c_TMAP2IN))*((c_TMAP3OUT)-(c_TMAP2OUT))+IF(((c_TMAP3OUT)-(c_TMAP2OUT))&gt;=0,1,-1)*QUOTIENT(((c_TMAP3IN)-(c_TMAP2IN)),2)),((c_TMAP3IN)-(c_TMAP2IN)))+(c_TMAP2OUT)+IF(((c_TMAP3OUT)-(c_TMAP2OUT))&gt;=0,IF(IF(o_WRAP=1,MOD(((c_TMAP3IN)-(c_TMAP2IN))*(((K62)-(c_TMAP2IN))*((c_TMAP3OUT)-(c_TMAP2OUT))+IF(((c_TMAP3OUT)-(c_TMAP2OUT))&gt;=0,1,-1)*QUOTIENT(((c_TMAP3IN)-(c_TMAP2IN)),2))+2147483648,4294967296)-2147483648,((c_TMAP3IN)-(c_TMAP2IN))*(((K62)-(c_TMAP2IN))*((c_TMAP3OUT)-(c_TMAP2OUT))+IF(((c_TMAP3OUT)-(c_TMAP2OUT))&gt;=0,1,-1)*QUOTIENT(((c_TMAP3IN)-(c_TMAP2IN)),2)))&lt;0,-1,0),IF(IF(o_WRAP=1,MOD(((c_TMAP3IN)-(c_TMAP2IN))*(((K62)-(c_TMAP2IN))*((c_TMAP3OUT)-(c_TMAP2OUT))+IF(((c_TMAP3OUT)-(c_TMAP2OUT))&gt;=0,1,-1)*QUOTIENT(((c_TMAP3IN)-(c_TMAP2IN)),2))+2147483648,4294967296)-2147483648,((c_TMAP3IN)-(c_TMAP2IN))*(((K62)-(c_TMAP2IN))*((c_TMAP3OUT)-(c_TMAP2OUT))+IF(((c_TMAP3OUT)-(c_TMAP2OUT))&gt;=0,1,-1)*QUOTIENT(((c_TMAP3IN)-(c_TMAP2IN)),2)))&gt;=0,1,0)))</f>
        <v>-45</v>
      </c>
      <c r="P62" s="7" t="n">
        <f aca="false">IF(((1000)-(c_TMAP3IN))=0,(c_TMAP3OUT)+QUOTIENT(((1000)-(c_TMAP3OUT)),2),QUOTIENT((((K62)-(c_TMAP3IN))*((1000)-(c_TMAP3OUT))+IF(((1000)-(c_TMAP3OUT))&gt;=0,1,-1)*QUOTIENT(((1000)-(c_TMAP3IN)),2)),((1000)-(c_TMAP3IN)))+(c_TMAP3OUT)+IF(((1000)-(c_TMAP3OUT))&gt;=0,IF(IF(o_WRAP=1,MOD(((1000)-(c_TMAP3IN))*(((K62)-(c_TMAP3IN))*((1000)-(c_TMAP3OUT))+IF(((1000)-(c_TMAP3OUT))&gt;=0,1,-1)*QUOTIENT(((1000)-(c_TMAP3IN)),2))+2147483648,4294967296)-2147483648,((1000)-(c_TMAP3IN))*(((K62)-(c_TMAP3IN))*((1000)-(c_TMAP3OUT))+IF(((1000)-(c_TMAP3OUT))&gt;=0,1,-1)*QUOTIENT(((1000)-(c_TMAP3IN)),2)))&lt;0,-1,0),IF(IF(o_WRAP=1,MOD(((1000)-(c_TMAP3IN))*(((K62)-(c_TMAP3IN))*((1000)-(c_TMAP3OUT))+IF(((1000)-(c_TMAP3OUT))&gt;=0,1,-1)*QUOTIENT(((1000)-(c_TMAP3IN)),2))+2147483648,4294967296)-2147483648,((1000)-(c_TMAP3IN))*(((K62)-(c_TMAP3IN))*((1000)-(c_TMAP3OUT))+IF(((1000)-(c_TMAP3OUT))&gt;=0,1,-1)*QUOTIENT(((1000)-(c_TMAP3IN)),2)))&gt;=0,1,0)))</f>
        <v>-231</v>
      </c>
      <c r="Q62" s="7" t="str">
        <f aca="false">IF(K62&gt;=c_TFWD,IF(AND(K62&gt;=c_TMAP3IN,c_TMAP3IN&lt;1000),"Seg4 map3-100%",IF(AND(K62&gt;=c_TMAP2IN,c_TMAP3IN&gt;c_TMAP2IN),"Seg3 map2-map3",IF(AND(K62&gt;=c_TMAP1IN,c_TMAP2IN&gt;c_TMAP1IN),"Seg2 map1-map2","Seg1 TFWD-map1"))),IF(AND(K62=0,c_TCREEP&gt;0),"Creep",IF(AND(K62&lt;=c_TRNGMIN,K62&gt;=c_TRNGMAX,c_TRNGMIN-c_TRNGMAX&lt;&gt;0),"Regen ramp","Coast (0)")))</f>
        <v>Regen ramp</v>
      </c>
      <c r="R62" s="7" t="n">
        <f aca="false">IF(K62&gt;=c_TFWD,IF(AND(K62&gt;=c_TMAP3IN,c_TMAP3IN&lt;1000),P62,IF(AND(K62&gt;=c_TMAP2IN,c_TMAP3IN&gt;c_TMAP2IN),O62,IF(AND(K62&gt;=c_TMAP1IN,c_TMAP2IN&gt;c_TMAP1IN),N62,M62))),L62)</f>
        <v>-350</v>
      </c>
      <c r="S62" s="7" t="str">
        <f aca="false">IF(R62&lt;-1090,"TOO LOW",IF(R62&gt;1090,"TOO HIGH",""))</f>
        <v/>
      </c>
      <c r="T62" s="15" t="n">
        <f aca="false">IF(H62&lt;&gt;"OK",0,IF(S62&lt;&gt;"",0,IF(R62&gt;979,1000,R62)))</f>
        <v>-350</v>
      </c>
      <c r="U62" s="7" t="n">
        <f aca="false">T62/10</f>
        <v>-35</v>
      </c>
    </row>
    <row r="63" customFormat="false" ht="15" hidden="false" customHeight="false" outlineLevel="0" collapsed="false">
      <c r="A63" s="7" t="n">
        <v>58</v>
      </c>
      <c r="B63" s="7" t="n">
        <f aca="false">ROUND(o_SWSTART+A63*(o_SWEND-o_SWSTART)/400,0)</f>
        <v>594</v>
      </c>
      <c r="C63" s="7" t="n">
        <f aca="false">QUOTIENT((B63-c_OFF1)*c_GAIN1,1024)</f>
        <v>594</v>
      </c>
      <c r="D63" s="7" t="n">
        <f aca="false">IF(((c_T1MX)-(c_T1MN))=0,(0)+QUOTIENT(((1000)-(0)),2),QUOTIENT((((C63)-(c_T1MN))*((1000)-(0))+IF(((1000)-(0))&gt;=0,1,-1)*QUOTIENT(((c_T1MX)-(c_T1MN)),2)),((c_T1MX)-(c_T1MN)))+(0)+IF(((1000)-(0))&gt;=0,IF(IF(o_WRAP=1,MOD(((c_T1MX)-(c_T1MN))*(((C63)-(c_T1MN))*((1000)-(0))+IF(((1000)-(0))&gt;=0,1,-1)*QUOTIENT(((c_T1MX)-(c_T1MN)),2))+2147483648,4294967296)-2147483648,((c_T1MX)-(c_T1MN))*(((C63)-(c_T1MN))*((1000)-(0))+IF(((1000)-(0))&gt;=0,1,-1)*QUOTIENT(((c_T1MX)-(c_T1MN)),2)))&lt;0,-1,0),IF(IF(o_WRAP=1,MOD(((c_T1MX)-(c_T1MN))*(((C63)-(c_T1MN))*((1000)-(0))+IF(((1000)-(0))&gt;=0,1,-1)*QUOTIENT(((c_T1MX)-(c_T1MN)),2))+2147483648,4294967296)-2147483648,((c_T1MX)-(c_T1MN))*(((C63)-(c_T1MN))*((1000)-(0))+IF(((1000)-(0))&gt;=0,1,-1)*QUOTIENT(((c_T1MX)-(c_T1MN)),2)))&gt;=0,1,0)))</f>
        <v>-44</v>
      </c>
      <c r="E63" s="7" t="n">
        <f aca="false">IF(AND(c_TPOT=1,c_TTYPE=2),1000-D63,D63)</f>
        <v>-44</v>
      </c>
      <c r="F63" s="7" t="str">
        <f aca="false">IF(c_TPOT&gt;1,ROUND(IF(c_TTYPE=2,c_T2MX-IF(c_T1MX=c_T1MN,0,(C63-c_T1MN)/(c_T1MX-c_T1MN))*(c_T2MX-c_T2MN),c_T2MN+IF(c_T1MX=c_T1MN,0,(C63-c_T1MN)/(c_T1MX-c_T1MN))*(c_T2MX-c_T2MN))+o_MISMATCH,0),"")</f>
        <v/>
      </c>
      <c r="G63" s="7" t="str">
        <f aca="false">IF(c_TPOT&gt;1,IF(((c_T2MX)-(c_T2MN))=0,(0)+QUOTIENT(((1000)-(0)),2),QUOTIENT((((F63)-(c_T2MN))*((1000)-(0))+IF(((1000)-(0))&gt;=0,1,-1)*QUOTIENT(((c_T2MX)-(c_T2MN)),2)),((c_T2MX)-(c_T2MN)))+(0)+IF(((1000)-(0))&gt;=0,IF(IF(o_WRAP=1,MOD(((c_T2MX)-(c_T2MN))*(((F63)-(c_T2MN))*((1000)-(0))+IF(((1000)-(0))&gt;=0,1,-1)*QUOTIENT(((c_T2MX)-(c_T2MN)),2))+2147483648,4294967296)-2147483648,((c_T2MX)-(c_T2MN))*(((F63)-(c_T2MN))*((1000)-(0))+IF(((1000)-(0))&gt;=0,1,-1)*QUOTIENT(((c_T2MX)-(c_T2MN)),2)))&lt;0,-1,0),IF(IF(o_WRAP=1,MOD(((c_T2MX)-(c_T2MN))*(((F63)-(c_T2MN))*((1000)-(0))+IF(((1000)-(0))&gt;=0,1,-1)*QUOTIENT(((c_T2MX)-(c_T2MN)),2))+2147483648,4294967296)-2147483648,((c_T2MX)-(c_T2MN))*(((F63)-(c_T2MN))*((1000)-(0))+IF(((1000)-(0))&gt;=0,1,-1)*QUOTIENT(((c_T2MX)-(c_T2MN)),2)))&gt;=0,1,0))),"")</f>
        <v/>
      </c>
      <c r="H63" s="7" t="str">
        <f aca="false">IF(E63&gt;1000+k_TOL,"T1 HIGH",IF(E63&lt;0-k_TOL,"T1 LOW",IF(c_TPOT&gt;1,IF(G63&gt;1000+k_TOL,"T2 HIGH",IF(G63&lt;0-k_TOL,"T2 LOW",IF(c_TTYPE=2,IF(ABS(1000-MAX(0,MIN(1000,E63))-MAX(0,MIN(1000,G63)))&gt;k_MAXERR,"MISMATCH","OK"),IF(OR(MAX(0,MIN(1000,E63))-k_MAXERR&gt;MAX(0,MIN(1000,G63)),MAX(0,MIN(1000,G63))-k_MAXERR&gt;MAX(0,MIN(1000,E63))),"MISMATCH","OK")))),"OK")))</f>
        <v>OK</v>
      </c>
      <c r="I63" s="7" t="n">
        <f aca="false">MAX(0,MIN(1000,D63))</f>
        <v>0</v>
      </c>
      <c r="J63" s="7" t="str">
        <f aca="false">IF(c_TPOT&gt;1,IF(c_TTYPE=2,1000-MAX(0,MIN(1000,G63)),MAX(0,MIN(1000,G63))),"")</f>
        <v/>
      </c>
      <c r="K63" s="7" t="n">
        <f aca="false">IF(c_TPOT&gt;1,QUOTIENT(I63+J63,2),I63)</f>
        <v>0</v>
      </c>
      <c r="L63" s="7" t="n">
        <f aca="false">IF(AND(K63=0,c_TCREEP&gt;0),10*c_TCREEP,IF(AND(K63&lt;=c_TRNGMIN,K63&gt;=c_TRNGMAX,c_TRNGMIN-c_TRNGMAX&lt;&gt;0),-10*c_TMINRN+QUOTIENT((c_TMAXRN-c_TMINRN)*(100-QUOTIENT((K63-c_TRNGMAX)*100,c_TRNGMIN-c_TRNGMAX)),-10),0))</f>
        <v>-350</v>
      </c>
      <c r="M63" s="7" t="n">
        <f aca="false">IF(((c_TMAP1IN)-(c_TFWD))=0,(0)+QUOTIENT(((c_TMAP1OUT)-(0)),2),QUOTIENT((((K63)-(c_TFWD))*((c_TMAP1OUT)-(0))+IF(((c_TMAP1OUT)-(0))&gt;=0,1,-1)*QUOTIENT(((c_TMAP1IN)-(c_TFWD)),2)),((c_TMAP1IN)-(c_TFWD)))+(0)+IF(((c_TMAP1OUT)-(0))&gt;=0,IF(IF(o_WRAP=1,MOD(((c_TMAP1IN)-(c_TFWD))*(((K63)-(c_TFWD))*((c_TMAP1OUT)-(0))+IF(((c_TMAP1OUT)-(0))&gt;=0,1,-1)*QUOTIENT(((c_TMAP1IN)-(c_TFWD)),2))+2147483648,4294967296)-2147483648,((c_TMAP1IN)-(c_TFWD))*(((K63)-(c_TFWD))*((c_TMAP1OUT)-(0))+IF(((c_TMAP1OUT)-(0))&gt;=0,1,-1)*QUOTIENT(((c_TMAP1IN)-(c_TFWD)),2)))&lt;0,-1,0),IF(IF(o_WRAP=1,MOD(((c_TMAP1IN)-(c_TFWD))*(((K63)-(c_TFWD))*((c_TMAP1OUT)-(0))+IF(((c_TMAP1OUT)-(0))&gt;=0,1,-1)*QUOTIENT(((c_TMAP1IN)-(c_TFWD)),2))+2147483648,4294967296)-2147483648,((c_TMAP1IN)-(c_TFWD))*(((K63)-(c_TFWD))*((c_TMAP1OUT)-(0))+IF(((c_TMAP1OUT)-(0))&gt;=0,1,-1)*QUOTIENT(((c_TMAP1IN)-(c_TFWD)),2)))&gt;=0,1,0)))</f>
        <v>-8</v>
      </c>
      <c r="N63" s="7" t="n">
        <f aca="false">IF(((c_TMAP2IN)-(c_TMAP1IN))=0,(c_TMAP1OUT)+QUOTIENT(((c_TMAP2OUT)-(c_TMAP1OUT)),2),QUOTIENT((((K63)-(c_TMAP1IN))*((c_TMAP2OUT)-(c_TMAP1OUT))+IF(((c_TMAP2OUT)-(c_TMAP1OUT))&gt;=0,1,-1)*QUOTIENT(((c_TMAP2IN)-(c_TMAP1IN)),2)),((c_TMAP2IN)-(c_TMAP1IN)))+(c_TMAP1OUT)+IF(((c_TMAP2OUT)-(c_TMAP1OUT))&gt;=0,IF(IF(o_WRAP=1,MOD(((c_TMAP2IN)-(c_TMAP1IN))*(((K63)-(c_TMAP1IN))*((c_TMAP2OUT)-(c_TMAP1OUT))+IF(((c_TMAP2OUT)-(c_TMAP1OUT))&gt;=0,1,-1)*QUOTIENT(((c_TMAP2IN)-(c_TMAP1IN)),2))+2147483648,4294967296)-2147483648,((c_TMAP2IN)-(c_TMAP1IN))*(((K63)-(c_TMAP1IN))*((c_TMAP2OUT)-(c_TMAP1OUT))+IF(((c_TMAP2OUT)-(c_TMAP1OUT))&gt;=0,1,-1)*QUOTIENT(((c_TMAP2IN)-(c_TMAP1IN)),2)))&lt;0,-1,0),IF(IF(o_WRAP=1,MOD(((c_TMAP2IN)-(c_TMAP1IN))*(((K63)-(c_TMAP1IN))*((c_TMAP2OUT)-(c_TMAP1OUT))+IF(((c_TMAP2OUT)-(c_TMAP1OUT))&gt;=0,1,-1)*QUOTIENT(((c_TMAP2IN)-(c_TMAP1IN)),2))+2147483648,4294967296)-2147483648,((c_TMAP2IN)-(c_TMAP1IN))*(((K63)-(c_TMAP1IN))*((c_TMAP2OUT)-(c_TMAP1OUT))+IF(((c_TMAP2OUT)-(c_TMAP1OUT))&gt;=0,1,-1)*QUOTIENT(((c_TMAP2IN)-(c_TMAP1IN)),2)))&gt;=0,1,0)))</f>
        <v>30</v>
      </c>
      <c r="O63" s="7" t="n">
        <f aca="false">IF(((c_TMAP3IN)-(c_TMAP2IN))=0,(c_TMAP2OUT)+QUOTIENT(((c_TMAP3OUT)-(c_TMAP2OUT)),2),QUOTIENT((((K63)-(c_TMAP2IN))*((c_TMAP3OUT)-(c_TMAP2OUT))+IF(((c_TMAP3OUT)-(c_TMAP2OUT))&gt;=0,1,-1)*QUOTIENT(((c_TMAP3IN)-(c_TMAP2IN)),2)),((c_TMAP3IN)-(c_TMAP2IN)))+(c_TMAP2OUT)+IF(((c_TMAP3OUT)-(c_TMAP2OUT))&gt;=0,IF(IF(o_WRAP=1,MOD(((c_TMAP3IN)-(c_TMAP2IN))*(((K63)-(c_TMAP2IN))*((c_TMAP3OUT)-(c_TMAP2OUT))+IF(((c_TMAP3OUT)-(c_TMAP2OUT))&gt;=0,1,-1)*QUOTIENT(((c_TMAP3IN)-(c_TMAP2IN)),2))+2147483648,4294967296)-2147483648,((c_TMAP3IN)-(c_TMAP2IN))*(((K63)-(c_TMAP2IN))*((c_TMAP3OUT)-(c_TMAP2OUT))+IF(((c_TMAP3OUT)-(c_TMAP2OUT))&gt;=0,1,-1)*QUOTIENT(((c_TMAP3IN)-(c_TMAP2IN)),2)))&lt;0,-1,0),IF(IF(o_WRAP=1,MOD(((c_TMAP3IN)-(c_TMAP2IN))*(((K63)-(c_TMAP2IN))*((c_TMAP3OUT)-(c_TMAP2OUT))+IF(((c_TMAP3OUT)-(c_TMAP2OUT))&gt;=0,1,-1)*QUOTIENT(((c_TMAP3IN)-(c_TMAP2IN)),2))+2147483648,4294967296)-2147483648,((c_TMAP3IN)-(c_TMAP2IN))*(((K63)-(c_TMAP2IN))*((c_TMAP3OUT)-(c_TMAP2OUT))+IF(((c_TMAP3OUT)-(c_TMAP2OUT))&gt;=0,1,-1)*QUOTIENT(((c_TMAP3IN)-(c_TMAP2IN)),2)))&gt;=0,1,0)))</f>
        <v>-45</v>
      </c>
      <c r="P63" s="7" t="n">
        <f aca="false">IF(((1000)-(c_TMAP3IN))=0,(c_TMAP3OUT)+QUOTIENT(((1000)-(c_TMAP3OUT)),2),QUOTIENT((((K63)-(c_TMAP3IN))*((1000)-(c_TMAP3OUT))+IF(((1000)-(c_TMAP3OUT))&gt;=0,1,-1)*QUOTIENT(((1000)-(c_TMAP3IN)),2)),((1000)-(c_TMAP3IN)))+(c_TMAP3OUT)+IF(((1000)-(c_TMAP3OUT))&gt;=0,IF(IF(o_WRAP=1,MOD(((1000)-(c_TMAP3IN))*(((K63)-(c_TMAP3IN))*((1000)-(c_TMAP3OUT))+IF(((1000)-(c_TMAP3OUT))&gt;=0,1,-1)*QUOTIENT(((1000)-(c_TMAP3IN)),2))+2147483648,4294967296)-2147483648,((1000)-(c_TMAP3IN))*(((K63)-(c_TMAP3IN))*((1000)-(c_TMAP3OUT))+IF(((1000)-(c_TMAP3OUT))&gt;=0,1,-1)*QUOTIENT(((1000)-(c_TMAP3IN)),2)))&lt;0,-1,0),IF(IF(o_WRAP=1,MOD(((1000)-(c_TMAP3IN))*(((K63)-(c_TMAP3IN))*((1000)-(c_TMAP3OUT))+IF(((1000)-(c_TMAP3OUT))&gt;=0,1,-1)*QUOTIENT(((1000)-(c_TMAP3IN)),2))+2147483648,4294967296)-2147483648,((1000)-(c_TMAP3IN))*(((K63)-(c_TMAP3IN))*((1000)-(c_TMAP3OUT))+IF(((1000)-(c_TMAP3OUT))&gt;=0,1,-1)*QUOTIENT(((1000)-(c_TMAP3IN)),2)))&gt;=0,1,0)))</f>
        <v>-231</v>
      </c>
      <c r="Q63" s="7" t="str">
        <f aca="false">IF(K63&gt;=c_TFWD,IF(AND(K63&gt;=c_TMAP3IN,c_TMAP3IN&lt;1000),"Seg4 map3-100%",IF(AND(K63&gt;=c_TMAP2IN,c_TMAP3IN&gt;c_TMAP2IN),"Seg3 map2-map3",IF(AND(K63&gt;=c_TMAP1IN,c_TMAP2IN&gt;c_TMAP1IN),"Seg2 map1-map2","Seg1 TFWD-map1"))),IF(AND(K63=0,c_TCREEP&gt;0),"Creep",IF(AND(K63&lt;=c_TRNGMIN,K63&gt;=c_TRNGMAX,c_TRNGMIN-c_TRNGMAX&lt;&gt;0),"Regen ramp","Coast (0)")))</f>
        <v>Regen ramp</v>
      </c>
      <c r="R63" s="7" t="n">
        <f aca="false">IF(K63&gt;=c_TFWD,IF(AND(K63&gt;=c_TMAP3IN,c_TMAP3IN&lt;1000),P63,IF(AND(K63&gt;=c_TMAP2IN,c_TMAP3IN&gt;c_TMAP2IN),O63,IF(AND(K63&gt;=c_TMAP1IN,c_TMAP2IN&gt;c_TMAP1IN),N63,M63))),L63)</f>
        <v>-350</v>
      </c>
      <c r="S63" s="7" t="str">
        <f aca="false">IF(R63&lt;-1090,"TOO LOW",IF(R63&gt;1090,"TOO HIGH",""))</f>
        <v/>
      </c>
      <c r="T63" s="15" t="n">
        <f aca="false">IF(H63&lt;&gt;"OK",0,IF(S63&lt;&gt;"",0,IF(R63&gt;979,1000,R63)))</f>
        <v>-350</v>
      </c>
      <c r="U63" s="7" t="n">
        <f aca="false">T63/10</f>
        <v>-35</v>
      </c>
    </row>
    <row r="64" customFormat="false" ht="15" hidden="false" customHeight="false" outlineLevel="0" collapsed="false">
      <c r="A64" s="7" t="n">
        <v>59</v>
      </c>
      <c r="B64" s="7" t="n">
        <f aca="false">ROUND(o_SWSTART+A64*(o_SWEND-o_SWSTART)/400,0)</f>
        <v>604</v>
      </c>
      <c r="C64" s="7" t="n">
        <f aca="false">QUOTIENT((B64-c_OFF1)*c_GAIN1,1024)</f>
        <v>604</v>
      </c>
      <c r="D64" s="7" t="n">
        <f aca="false">IF(((c_T1MX)-(c_T1MN))=0,(0)+QUOTIENT(((1000)-(0)),2),QUOTIENT((((C64)-(c_T1MN))*((1000)-(0))+IF(((1000)-(0))&gt;=0,1,-1)*QUOTIENT(((c_T1MX)-(c_T1MN)),2)),((c_T1MX)-(c_T1MN)))+(0)+IF(((1000)-(0))&gt;=0,IF(IF(o_WRAP=1,MOD(((c_T1MX)-(c_T1MN))*(((C64)-(c_T1MN))*((1000)-(0))+IF(((1000)-(0))&gt;=0,1,-1)*QUOTIENT(((c_T1MX)-(c_T1MN)),2))+2147483648,4294967296)-2147483648,((c_T1MX)-(c_T1MN))*(((C64)-(c_T1MN))*((1000)-(0))+IF(((1000)-(0))&gt;=0,1,-1)*QUOTIENT(((c_T1MX)-(c_T1MN)),2)))&lt;0,-1,0),IF(IF(o_WRAP=1,MOD(((c_T1MX)-(c_T1MN))*(((C64)-(c_T1MN))*((1000)-(0))+IF(((1000)-(0))&gt;=0,1,-1)*QUOTIENT(((c_T1MX)-(c_T1MN)),2))+2147483648,4294967296)-2147483648,((c_T1MX)-(c_T1MN))*(((C64)-(c_T1MN))*((1000)-(0))+IF(((1000)-(0))&gt;=0,1,-1)*QUOTIENT(((c_T1MX)-(c_T1MN)),2)))&gt;=0,1,0)))</f>
        <v>-40</v>
      </c>
      <c r="E64" s="7" t="n">
        <f aca="false">IF(AND(c_TPOT=1,c_TTYPE=2),1000-D64,D64)</f>
        <v>-40</v>
      </c>
      <c r="F64" s="7" t="str">
        <f aca="false">IF(c_TPOT&gt;1,ROUND(IF(c_TTYPE=2,c_T2MX-IF(c_T1MX=c_T1MN,0,(C64-c_T1MN)/(c_T1MX-c_T1MN))*(c_T2MX-c_T2MN),c_T2MN+IF(c_T1MX=c_T1MN,0,(C64-c_T1MN)/(c_T1MX-c_T1MN))*(c_T2MX-c_T2MN))+o_MISMATCH,0),"")</f>
        <v/>
      </c>
      <c r="G64" s="7" t="str">
        <f aca="false">IF(c_TPOT&gt;1,IF(((c_T2MX)-(c_T2MN))=0,(0)+QUOTIENT(((1000)-(0)),2),QUOTIENT((((F64)-(c_T2MN))*((1000)-(0))+IF(((1000)-(0))&gt;=0,1,-1)*QUOTIENT(((c_T2MX)-(c_T2MN)),2)),((c_T2MX)-(c_T2MN)))+(0)+IF(((1000)-(0))&gt;=0,IF(IF(o_WRAP=1,MOD(((c_T2MX)-(c_T2MN))*(((F64)-(c_T2MN))*((1000)-(0))+IF(((1000)-(0))&gt;=0,1,-1)*QUOTIENT(((c_T2MX)-(c_T2MN)),2))+2147483648,4294967296)-2147483648,((c_T2MX)-(c_T2MN))*(((F64)-(c_T2MN))*((1000)-(0))+IF(((1000)-(0))&gt;=0,1,-1)*QUOTIENT(((c_T2MX)-(c_T2MN)),2)))&lt;0,-1,0),IF(IF(o_WRAP=1,MOD(((c_T2MX)-(c_T2MN))*(((F64)-(c_T2MN))*((1000)-(0))+IF(((1000)-(0))&gt;=0,1,-1)*QUOTIENT(((c_T2MX)-(c_T2MN)),2))+2147483648,4294967296)-2147483648,((c_T2MX)-(c_T2MN))*(((F64)-(c_T2MN))*((1000)-(0))+IF(((1000)-(0))&gt;=0,1,-1)*QUOTIENT(((c_T2MX)-(c_T2MN)),2)))&gt;=0,1,0))),"")</f>
        <v/>
      </c>
      <c r="H64" s="7" t="str">
        <f aca="false">IF(E64&gt;1000+k_TOL,"T1 HIGH",IF(E64&lt;0-k_TOL,"T1 LOW",IF(c_TPOT&gt;1,IF(G64&gt;1000+k_TOL,"T2 HIGH",IF(G64&lt;0-k_TOL,"T2 LOW",IF(c_TTYPE=2,IF(ABS(1000-MAX(0,MIN(1000,E64))-MAX(0,MIN(1000,G64)))&gt;k_MAXERR,"MISMATCH","OK"),IF(OR(MAX(0,MIN(1000,E64))-k_MAXERR&gt;MAX(0,MIN(1000,G64)),MAX(0,MIN(1000,G64))-k_MAXERR&gt;MAX(0,MIN(1000,E64))),"MISMATCH","OK")))),"OK")))</f>
        <v>OK</v>
      </c>
      <c r="I64" s="7" t="n">
        <f aca="false">MAX(0,MIN(1000,D64))</f>
        <v>0</v>
      </c>
      <c r="J64" s="7" t="str">
        <f aca="false">IF(c_TPOT&gt;1,IF(c_TTYPE=2,1000-MAX(0,MIN(1000,G64)),MAX(0,MIN(1000,G64))),"")</f>
        <v/>
      </c>
      <c r="K64" s="7" t="n">
        <f aca="false">IF(c_TPOT&gt;1,QUOTIENT(I64+J64,2),I64)</f>
        <v>0</v>
      </c>
      <c r="L64" s="7" t="n">
        <f aca="false">IF(AND(K64=0,c_TCREEP&gt;0),10*c_TCREEP,IF(AND(K64&lt;=c_TRNGMIN,K64&gt;=c_TRNGMAX,c_TRNGMIN-c_TRNGMAX&lt;&gt;0),-10*c_TMINRN+QUOTIENT((c_TMAXRN-c_TMINRN)*(100-QUOTIENT((K64-c_TRNGMAX)*100,c_TRNGMIN-c_TRNGMAX)),-10),0))</f>
        <v>-350</v>
      </c>
      <c r="M64" s="7" t="n">
        <f aca="false">IF(((c_TMAP1IN)-(c_TFWD))=0,(0)+QUOTIENT(((c_TMAP1OUT)-(0)),2),QUOTIENT((((K64)-(c_TFWD))*((c_TMAP1OUT)-(0))+IF(((c_TMAP1OUT)-(0))&gt;=0,1,-1)*QUOTIENT(((c_TMAP1IN)-(c_TFWD)),2)),((c_TMAP1IN)-(c_TFWD)))+(0)+IF(((c_TMAP1OUT)-(0))&gt;=0,IF(IF(o_WRAP=1,MOD(((c_TMAP1IN)-(c_TFWD))*(((K64)-(c_TFWD))*((c_TMAP1OUT)-(0))+IF(((c_TMAP1OUT)-(0))&gt;=0,1,-1)*QUOTIENT(((c_TMAP1IN)-(c_TFWD)),2))+2147483648,4294967296)-2147483648,((c_TMAP1IN)-(c_TFWD))*(((K64)-(c_TFWD))*((c_TMAP1OUT)-(0))+IF(((c_TMAP1OUT)-(0))&gt;=0,1,-1)*QUOTIENT(((c_TMAP1IN)-(c_TFWD)),2)))&lt;0,-1,0),IF(IF(o_WRAP=1,MOD(((c_TMAP1IN)-(c_TFWD))*(((K64)-(c_TFWD))*((c_TMAP1OUT)-(0))+IF(((c_TMAP1OUT)-(0))&gt;=0,1,-1)*QUOTIENT(((c_TMAP1IN)-(c_TFWD)),2))+2147483648,4294967296)-2147483648,((c_TMAP1IN)-(c_TFWD))*(((K64)-(c_TFWD))*((c_TMAP1OUT)-(0))+IF(((c_TMAP1OUT)-(0))&gt;=0,1,-1)*QUOTIENT(((c_TMAP1IN)-(c_TFWD)),2)))&gt;=0,1,0)))</f>
        <v>-8</v>
      </c>
      <c r="N64" s="7" t="n">
        <f aca="false">IF(((c_TMAP2IN)-(c_TMAP1IN))=0,(c_TMAP1OUT)+QUOTIENT(((c_TMAP2OUT)-(c_TMAP1OUT)),2),QUOTIENT((((K64)-(c_TMAP1IN))*((c_TMAP2OUT)-(c_TMAP1OUT))+IF(((c_TMAP2OUT)-(c_TMAP1OUT))&gt;=0,1,-1)*QUOTIENT(((c_TMAP2IN)-(c_TMAP1IN)),2)),((c_TMAP2IN)-(c_TMAP1IN)))+(c_TMAP1OUT)+IF(((c_TMAP2OUT)-(c_TMAP1OUT))&gt;=0,IF(IF(o_WRAP=1,MOD(((c_TMAP2IN)-(c_TMAP1IN))*(((K64)-(c_TMAP1IN))*((c_TMAP2OUT)-(c_TMAP1OUT))+IF(((c_TMAP2OUT)-(c_TMAP1OUT))&gt;=0,1,-1)*QUOTIENT(((c_TMAP2IN)-(c_TMAP1IN)),2))+2147483648,4294967296)-2147483648,((c_TMAP2IN)-(c_TMAP1IN))*(((K64)-(c_TMAP1IN))*((c_TMAP2OUT)-(c_TMAP1OUT))+IF(((c_TMAP2OUT)-(c_TMAP1OUT))&gt;=0,1,-1)*QUOTIENT(((c_TMAP2IN)-(c_TMAP1IN)),2)))&lt;0,-1,0),IF(IF(o_WRAP=1,MOD(((c_TMAP2IN)-(c_TMAP1IN))*(((K64)-(c_TMAP1IN))*((c_TMAP2OUT)-(c_TMAP1OUT))+IF(((c_TMAP2OUT)-(c_TMAP1OUT))&gt;=0,1,-1)*QUOTIENT(((c_TMAP2IN)-(c_TMAP1IN)),2))+2147483648,4294967296)-2147483648,((c_TMAP2IN)-(c_TMAP1IN))*(((K64)-(c_TMAP1IN))*((c_TMAP2OUT)-(c_TMAP1OUT))+IF(((c_TMAP2OUT)-(c_TMAP1OUT))&gt;=0,1,-1)*QUOTIENT(((c_TMAP2IN)-(c_TMAP1IN)),2)))&gt;=0,1,0)))</f>
        <v>30</v>
      </c>
      <c r="O64" s="7" t="n">
        <f aca="false">IF(((c_TMAP3IN)-(c_TMAP2IN))=0,(c_TMAP2OUT)+QUOTIENT(((c_TMAP3OUT)-(c_TMAP2OUT)),2),QUOTIENT((((K64)-(c_TMAP2IN))*((c_TMAP3OUT)-(c_TMAP2OUT))+IF(((c_TMAP3OUT)-(c_TMAP2OUT))&gt;=0,1,-1)*QUOTIENT(((c_TMAP3IN)-(c_TMAP2IN)),2)),((c_TMAP3IN)-(c_TMAP2IN)))+(c_TMAP2OUT)+IF(((c_TMAP3OUT)-(c_TMAP2OUT))&gt;=0,IF(IF(o_WRAP=1,MOD(((c_TMAP3IN)-(c_TMAP2IN))*(((K64)-(c_TMAP2IN))*((c_TMAP3OUT)-(c_TMAP2OUT))+IF(((c_TMAP3OUT)-(c_TMAP2OUT))&gt;=0,1,-1)*QUOTIENT(((c_TMAP3IN)-(c_TMAP2IN)),2))+2147483648,4294967296)-2147483648,((c_TMAP3IN)-(c_TMAP2IN))*(((K64)-(c_TMAP2IN))*((c_TMAP3OUT)-(c_TMAP2OUT))+IF(((c_TMAP3OUT)-(c_TMAP2OUT))&gt;=0,1,-1)*QUOTIENT(((c_TMAP3IN)-(c_TMAP2IN)),2)))&lt;0,-1,0),IF(IF(o_WRAP=1,MOD(((c_TMAP3IN)-(c_TMAP2IN))*(((K64)-(c_TMAP2IN))*((c_TMAP3OUT)-(c_TMAP2OUT))+IF(((c_TMAP3OUT)-(c_TMAP2OUT))&gt;=0,1,-1)*QUOTIENT(((c_TMAP3IN)-(c_TMAP2IN)),2))+2147483648,4294967296)-2147483648,((c_TMAP3IN)-(c_TMAP2IN))*(((K64)-(c_TMAP2IN))*((c_TMAP3OUT)-(c_TMAP2OUT))+IF(((c_TMAP3OUT)-(c_TMAP2OUT))&gt;=0,1,-1)*QUOTIENT(((c_TMAP3IN)-(c_TMAP2IN)),2)))&gt;=0,1,0)))</f>
        <v>-45</v>
      </c>
      <c r="P64" s="7" t="n">
        <f aca="false">IF(((1000)-(c_TMAP3IN))=0,(c_TMAP3OUT)+QUOTIENT(((1000)-(c_TMAP3OUT)),2),QUOTIENT((((K64)-(c_TMAP3IN))*((1000)-(c_TMAP3OUT))+IF(((1000)-(c_TMAP3OUT))&gt;=0,1,-1)*QUOTIENT(((1000)-(c_TMAP3IN)),2)),((1000)-(c_TMAP3IN)))+(c_TMAP3OUT)+IF(((1000)-(c_TMAP3OUT))&gt;=0,IF(IF(o_WRAP=1,MOD(((1000)-(c_TMAP3IN))*(((K64)-(c_TMAP3IN))*((1000)-(c_TMAP3OUT))+IF(((1000)-(c_TMAP3OUT))&gt;=0,1,-1)*QUOTIENT(((1000)-(c_TMAP3IN)),2))+2147483648,4294967296)-2147483648,((1000)-(c_TMAP3IN))*(((K64)-(c_TMAP3IN))*((1000)-(c_TMAP3OUT))+IF(((1000)-(c_TMAP3OUT))&gt;=0,1,-1)*QUOTIENT(((1000)-(c_TMAP3IN)),2)))&lt;0,-1,0),IF(IF(o_WRAP=1,MOD(((1000)-(c_TMAP3IN))*(((K64)-(c_TMAP3IN))*((1000)-(c_TMAP3OUT))+IF(((1000)-(c_TMAP3OUT))&gt;=0,1,-1)*QUOTIENT(((1000)-(c_TMAP3IN)),2))+2147483648,4294967296)-2147483648,((1000)-(c_TMAP3IN))*(((K64)-(c_TMAP3IN))*((1000)-(c_TMAP3OUT))+IF(((1000)-(c_TMAP3OUT))&gt;=0,1,-1)*QUOTIENT(((1000)-(c_TMAP3IN)),2)))&gt;=0,1,0)))</f>
        <v>-231</v>
      </c>
      <c r="Q64" s="7" t="str">
        <f aca="false">IF(K64&gt;=c_TFWD,IF(AND(K64&gt;=c_TMAP3IN,c_TMAP3IN&lt;1000),"Seg4 map3-100%",IF(AND(K64&gt;=c_TMAP2IN,c_TMAP3IN&gt;c_TMAP2IN),"Seg3 map2-map3",IF(AND(K64&gt;=c_TMAP1IN,c_TMAP2IN&gt;c_TMAP1IN),"Seg2 map1-map2","Seg1 TFWD-map1"))),IF(AND(K64=0,c_TCREEP&gt;0),"Creep",IF(AND(K64&lt;=c_TRNGMIN,K64&gt;=c_TRNGMAX,c_TRNGMIN-c_TRNGMAX&lt;&gt;0),"Regen ramp","Coast (0)")))</f>
        <v>Regen ramp</v>
      </c>
      <c r="R64" s="7" t="n">
        <f aca="false">IF(K64&gt;=c_TFWD,IF(AND(K64&gt;=c_TMAP3IN,c_TMAP3IN&lt;1000),P64,IF(AND(K64&gt;=c_TMAP2IN,c_TMAP3IN&gt;c_TMAP2IN),O64,IF(AND(K64&gt;=c_TMAP1IN,c_TMAP2IN&gt;c_TMAP1IN),N64,M64))),L64)</f>
        <v>-350</v>
      </c>
      <c r="S64" s="7" t="str">
        <f aca="false">IF(R64&lt;-1090,"TOO LOW",IF(R64&gt;1090,"TOO HIGH",""))</f>
        <v/>
      </c>
      <c r="T64" s="15" t="n">
        <f aca="false">IF(H64&lt;&gt;"OK",0,IF(S64&lt;&gt;"",0,IF(R64&gt;979,1000,R64)))</f>
        <v>-350</v>
      </c>
      <c r="U64" s="7" t="n">
        <f aca="false">T64/10</f>
        <v>-35</v>
      </c>
    </row>
    <row r="65" customFormat="false" ht="15" hidden="false" customHeight="false" outlineLevel="0" collapsed="false">
      <c r="A65" s="7" t="n">
        <v>60</v>
      </c>
      <c r="B65" s="7" t="n">
        <f aca="false">ROUND(o_SWSTART+A65*(o_SWEND-o_SWSTART)/400,0)</f>
        <v>614</v>
      </c>
      <c r="C65" s="7" t="n">
        <f aca="false">QUOTIENT((B65-c_OFF1)*c_GAIN1,1024)</f>
        <v>614</v>
      </c>
      <c r="D65" s="7" t="n">
        <f aca="false">IF(((c_T1MX)-(c_T1MN))=0,(0)+QUOTIENT(((1000)-(0)),2),QUOTIENT((((C65)-(c_T1MN))*((1000)-(0))+IF(((1000)-(0))&gt;=0,1,-1)*QUOTIENT(((c_T1MX)-(c_T1MN)),2)),((c_T1MX)-(c_T1MN)))+(0)+IF(((1000)-(0))&gt;=0,IF(IF(o_WRAP=1,MOD(((c_T1MX)-(c_T1MN))*(((C65)-(c_T1MN))*((1000)-(0))+IF(((1000)-(0))&gt;=0,1,-1)*QUOTIENT(((c_T1MX)-(c_T1MN)),2))+2147483648,4294967296)-2147483648,((c_T1MX)-(c_T1MN))*(((C65)-(c_T1MN))*((1000)-(0))+IF(((1000)-(0))&gt;=0,1,-1)*QUOTIENT(((c_T1MX)-(c_T1MN)),2)))&lt;0,-1,0),IF(IF(o_WRAP=1,MOD(((c_T1MX)-(c_T1MN))*(((C65)-(c_T1MN))*((1000)-(0))+IF(((1000)-(0))&gt;=0,1,-1)*QUOTIENT(((c_T1MX)-(c_T1MN)),2))+2147483648,4294967296)-2147483648,((c_T1MX)-(c_T1MN))*(((C65)-(c_T1MN))*((1000)-(0))+IF(((1000)-(0))&gt;=0,1,-1)*QUOTIENT(((c_T1MX)-(c_T1MN)),2)))&gt;=0,1,0)))</f>
        <v>-37</v>
      </c>
      <c r="E65" s="7" t="n">
        <f aca="false">IF(AND(c_TPOT=1,c_TTYPE=2),1000-D65,D65)</f>
        <v>-37</v>
      </c>
      <c r="F65" s="7" t="str">
        <f aca="false">IF(c_TPOT&gt;1,ROUND(IF(c_TTYPE=2,c_T2MX-IF(c_T1MX=c_T1MN,0,(C65-c_T1MN)/(c_T1MX-c_T1MN))*(c_T2MX-c_T2MN),c_T2MN+IF(c_T1MX=c_T1MN,0,(C65-c_T1MN)/(c_T1MX-c_T1MN))*(c_T2MX-c_T2MN))+o_MISMATCH,0),"")</f>
        <v/>
      </c>
      <c r="G65" s="7" t="str">
        <f aca="false">IF(c_TPOT&gt;1,IF(((c_T2MX)-(c_T2MN))=0,(0)+QUOTIENT(((1000)-(0)),2),QUOTIENT((((F65)-(c_T2MN))*((1000)-(0))+IF(((1000)-(0))&gt;=0,1,-1)*QUOTIENT(((c_T2MX)-(c_T2MN)),2)),((c_T2MX)-(c_T2MN)))+(0)+IF(((1000)-(0))&gt;=0,IF(IF(o_WRAP=1,MOD(((c_T2MX)-(c_T2MN))*(((F65)-(c_T2MN))*((1000)-(0))+IF(((1000)-(0))&gt;=0,1,-1)*QUOTIENT(((c_T2MX)-(c_T2MN)),2))+2147483648,4294967296)-2147483648,((c_T2MX)-(c_T2MN))*(((F65)-(c_T2MN))*((1000)-(0))+IF(((1000)-(0))&gt;=0,1,-1)*QUOTIENT(((c_T2MX)-(c_T2MN)),2)))&lt;0,-1,0),IF(IF(o_WRAP=1,MOD(((c_T2MX)-(c_T2MN))*(((F65)-(c_T2MN))*((1000)-(0))+IF(((1000)-(0))&gt;=0,1,-1)*QUOTIENT(((c_T2MX)-(c_T2MN)),2))+2147483648,4294967296)-2147483648,((c_T2MX)-(c_T2MN))*(((F65)-(c_T2MN))*((1000)-(0))+IF(((1000)-(0))&gt;=0,1,-1)*QUOTIENT(((c_T2MX)-(c_T2MN)),2)))&gt;=0,1,0))),"")</f>
        <v/>
      </c>
      <c r="H65" s="7" t="str">
        <f aca="false">IF(E65&gt;1000+k_TOL,"T1 HIGH",IF(E65&lt;0-k_TOL,"T1 LOW",IF(c_TPOT&gt;1,IF(G65&gt;1000+k_TOL,"T2 HIGH",IF(G65&lt;0-k_TOL,"T2 LOW",IF(c_TTYPE=2,IF(ABS(1000-MAX(0,MIN(1000,E65))-MAX(0,MIN(1000,G65)))&gt;k_MAXERR,"MISMATCH","OK"),IF(OR(MAX(0,MIN(1000,E65))-k_MAXERR&gt;MAX(0,MIN(1000,G65)),MAX(0,MIN(1000,G65))-k_MAXERR&gt;MAX(0,MIN(1000,E65))),"MISMATCH","OK")))),"OK")))</f>
        <v>OK</v>
      </c>
      <c r="I65" s="7" t="n">
        <f aca="false">MAX(0,MIN(1000,D65))</f>
        <v>0</v>
      </c>
      <c r="J65" s="7" t="str">
        <f aca="false">IF(c_TPOT&gt;1,IF(c_TTYPE=2,1000-MAX(0,MIN(1000,G65)),MAX(0,MIN(1000,G65))),"")</f>
        <v/>
      </c>
      <c r="K65" s="7" t="n">
        <f aca="false">IF(c_TPOT&gt;1,QUOTIENT(I65+J65,2),I65)</f>
        <v>0</v>
      </c>
      <c r="L65" s="7" t="n">
        <f aca="false">IF(AND(K65=0,c_TCREEP&gt;0),10*c_TCREEP,IF(AND(K65&lt;=c_TRNGMIN,K65&gt;=c_TRNGMAX,c_TRNGMIN-c_TRNGMAX&lt;&gt;0),-10*c_TMINRN+QUOTIENT((c_TMAXRN-c_TMINRN)*(100-QUOTIENT((K65-c_TRNGMAX)*100,c_TRNGMIN-c_TRNGMAX)),-10),0))</f>
        <v>-350</v>
      </c>
      <c r="M65" s="7" t="n">
        <f aca="false">IF(((c_TMAP1IN)-(c_TFWD))=0,(0)+QUOTIENT(((c_TMAP1OUT)-(0)),2),QUOTIENT((((K65)-(c_TFWD))*((c_TMAP1OUT)-(0))+IF(((c_TMAP1OUT)-(0))&gt;=0,1,-1)*QUOTIENT(((c_TMAP1IN)-(c_TFWD)),2)),((c_TMAP1IN)-(c_TFWD)))+(0)+IF(((c_TMAP1OUT)-(0))&gt;=0,IF(IF(o_WRAP=1,MOD(((c_TMAP1IN)-(c_TFWD))*(((K65)-(c_TFWD))*((c_TMAP1OUT)-(0))+IF(((c_TMAP1OUT)-(0))&gt;=0,1,-1)*QUOTIENT(((c_TMAP1IN)-(c_TFWD)),2))+2147483648,4294967296)-2147483648,((c_TMAP1IN)-(c_TFWD))*(((K65)-(c_TFWD))*((c_TMAP1OUT)-(0))+IF(((c_TMAP1OUT)-(0))&gt;=0,1,-1)*QUOTIENT(((c_TMAP1IN)-(c_TFWD)),2)))&lt;0,-1,0),IF(IF(o_WRAP=1,MOD(((c_TMAP1IN)-(c_TFWD))*(((K65)-(c_TFWD))*((c_TMAP1OUT)-(0))+IF(((c_TMAP1OUT)-(0))&gt;=0,1,-1)*QUOTIENT(((c_TMAP1IN)-(c_TFWD)),2))+2147483648,4294967296)-2147483648,((c_TMAP1IN)-(c_TFWD))*(((K65)-(c_TFWD))*((c_TMAP1OUT)-(0))+IF(((c_TMAP1OUT)-(0))&gt;=0,1,-1)*QUOTIENT(((c_TMAP1IN)-(c_TFWD)),2)))&gt;=0,1,0)))</f>
        <v>-8</v>
      </c>
      <c r="N65" s="7" t="n">
        <f aca="false">IF(((c_TMAP2IN)-(c_TMAP1IN))=0,(c_TMAP1OUT)+QUOTIENT(((c_TMAP2OUT)-(c_TMAP1OUT)),2),QUOTIENT((((K65)-(c_TMAP1IN))*((c_TMAP2OUT)-(c_TMAP1OUT))+IF(((c_TMAP2OUT)-(c_TMAP1OUT))&gt;=0,1,-1)*QUOTIENT(((c_TMAP2IN)-(c_TMAP1IN)),2)),((c_TMAP2IN)-(c_TMAP1IN)))+(c_TMAP1OUT)+IF(((c_TMAP2OUT)-(c_TMAP1OUT))&gt;=0,IF(IF(o_WRAP=1,MOD(((c_TMAP2IN)-(c_TMAP1IN))*(((K65)-(c_TMAP1IN))*((c_TMAP2OUT)-(c_TMAP1OUT))+IF(((c_TMAP2OUT)-(c_TMAP1OUT))&gt;=0,1,-1)*QUOTIENT(((c_TMAP2IN)-(c_TMAP1IN)),2))+2147483648,4294967296)-2147483648,((c_TMAP2IN)-(c_TMAP1IN))*(((K65)-(c_TMAP1IN))*((c_TMAP2OUT)-(c_TMAP1OUT))+IF(((c_TMAP2OUT)-(c_TMAP1OUT))&gt;=0,1,-1)*QUOTIENT(((c_TMAP2IN)-(c_TMAP1IN)),2)))&lt;0,-1,0),IF(IF(o_WRAP=1,MOD(((c_TMAP2IN)-(c_TMAP1IN))*(((K65)-(c_TMAP1IN))*((c_TMAP2OUT)-(c_TMAP1OUT))+IF(((c_TMAP2OUT)-(c_TMAP1OUT))&gt;=0,1,-1)*QUOTIENT(((c_TMAP2IN)-(c_TMAP1IN)),2))+2147483648,4294967296)-2147483648,((c_TMAP2IN)-(c_TMAP1IN))*(((K65)-(c_TMAP1IN))*((c_TMAP2OUT)-(c_TMAP1OUT))+IF(((c_TMAP2OUT)-(c_TMAP1OUT))&gt;=0,1,-1)*QUOTIENT(((c_TMAP2IN)-(c_TMAP1IN)),2)))&gt;=0,1,0)))</f>
        <v>30</v>
      </c>
      <c r="O65" s="7" t="n">
        <f aca="false">IF(((c_TMAP3IN)-(c_TMAP2IN))=0,(c_TMAP2OUT)+QUOTIENT(((c_TMAP3OUT)-(c_TMAP2OUT)),2),QUOTIENT((((K65)-(c_TMAP2IN))*((c_TMAP3OUT)-(c_TMAP2OUT))+IF(((c_TMAP3OUT)-(c_TMAP2OUT))&gt;=0,1,-1)*QUOTIENT(((c_TMAP3IN)-(c_TMAP2IN)),2)),((c_TMAP3IN)-(c_TMAP2IN)))+(c_TMAP2OUT)+IF(((c_TMAP3OUT)-(c_TMAP2OUT))&gt;=0,IF(IF(o_WRAP=1,MOD(((c_TMAP3IN)-(c_TMAP2IN))*(((K65)-(c_TMAP2IN))*((c_TMAP3OUT)-(c_TMAP2OUT))+IF(((c_TMAP3OUT)-(c_TMAP2OUT))&gt;=0,1,-1)*QUOTIENT(((c_TMAP3IN)-(c_TMAP2IN)),2))+2147483648,4294967296)-2147483648,((c_TMAP3IN)-(c_TMAP2IN))*(((K65)-(c_TMAP2IN))*((c_TMAP3OUT)-(c_TMAP2OUT))+IF(((c_TMAP3OUT)-(c_TMAP2OUT))&gt;=0,1,-1)*QUOTIENT(((c_TMAP3IN)-(c_TMAP2IN)),2)))&lt;0,-1,0),IF(IF(o_WRAP=1,MOD(((c_TMAP3IN)-(c_TMAP2IN))*(((K65)-(c_TMAP2IN))*((c_TMAP3OUT)-(c_TMAP2OUT))+IF(((c_TMAP3OUT)-(c_TMAP2OUT))&gt;=0,1,-1)*QUOTIENT(((c_TMAP3IN)-(c_TMAP2IN)),2))+2147483648,4294967296)-2147483648,((c_TMAP3IN)-(c_TMAP2IN))*(((K65)-(c_TMAP2IN))*((c_TMAP3OUT)-(c_TMAP2OUT))+IF(((c_TMAP3OUT)-(c_TMAP2OUT))&gt;=0,1,-1)*QUOTIENT(((c_TMAP3IN)-(c_TMAP2IN)),2)))&gt;=0,1,0)))</f>
        <v>-45</v>
      </c>
      <c r="P65" s="7" t="n">
        <f aca="false">IF(((1000)-(c_TMAP3IN))=0,(c_TMAP3OUT)+QUOTIENT(((1000)-(c_TMAP3OUT)),2),QUOTIENT((((K65)-(c_TMAP3IN))*((1000)-(c_TMAP3OUT))+IF(((1000)-(c_TMAP3OUT))&gt;=0,1,-1)*QUOTIENT(((1000)-(c_TMAP3IN)),2)),((1000)-(c_TMAP3IN)))+(c_TMAP3OUT)+IF(((1000)-(c_TMAP3OUT))&gt;=0,IF(IF(o_WRAP=1,MOD(((1000)-(c_TMAP3IN))*(((K65)-(c_TMAP3IN))*((1000)-(c_TMAP3OUT))+IF(((1000)-(c_TMAP3OUT))&gt;=0,1,-1)*QUOTIENT(((1000)-(c_TMAP3IN)),2))+2147483648,4294967296)-2147483648,((1000)-(c_TMAP3IN))*(((K65)-(c_TMAP3IN))*((1000)-(c_TMAP3OUT))+IF(((1000)-(c_TMAP3OUT))&gt;=0,1,-1)*QUOTIENT(((1000)-(c_TMAP3IN)),2)))&lt;0,-1,0),IF(IF(o_WRAP=1,MOD(((1000)-(c_TMAP3IN))*(((K65)-(c_TMAP3IN))*((1000)-(c_TMAP3OUT))+IF(((1000)-(c_TMAP3OUT))&gt;=0,1,-1)*QUOTIENT(((1000)-(c_TMAP3IN)),2))+2147483648,4294967296)-2147483648,((1000)-(c_TMAP3IN))*(((K65)-(c_TMAP3IN))*((1000)-(c_TMAP3OUT))+IF(((1000)-(c_TMAP3OUT))&gt;=0,1,-1)*QUOTIENT(((1000)-(c_TMAP3IN)),2)))&gt;=0,1,0)))</f>
        <v>-231</v>
      </c>
      <c r="Q65" s="7" t="str">
        <f aca="false">IF(K65&gt;=c_TFWD,IF(AND(K65&gt;=c_TMAP3IN,c_TMAP3IN&lt;1000),"Seg4 map3-100%",IF(AND(K65&gt;=c_TMAP2IN,c_TMAP3IN&gt;c_TMAP2IN),"Seg3 map2-map3",IF(AND(K65&gt;=c_TMAP1IN,c_TMAP2IN&gt;c_TMAP1IN),"Seg2 map1-map2","Seg1 TFWD-map1"))),IF(AND(K65=0,c_TCREEP&gt;0),"Creep",IF(AND(K65&lt;=c_TRNGMIN,K65&gt;=c_TRNGMAX,c_TRNGMIN-c_TRNGMAX&lt;&gt;0),"Regen ramp","Coast (0)")))</f>
        <v>Regen ramp</v>
      </c>
      <c r="R65" s="7" t="n">
        <f aca="false">IF(K65&gt;=c_TFWD,IF(AND(K65&gt;=c_TMAP3IN,c_TMAP3IN&lt;1000),P65,IF(AND(K65&gt;=c_TMAP2IN,c_TMAP3IN&gt;c_TMAP2IN),O65,IF(AND(K65&gt;=c_TMAP1IN,c_TMAP2IN&gt;c_TMAP1IN),N65,M65))),L65)</f>
        <v>-350</v>
      </c>
      <c r="S65" s="7" t="str">
        <f aca="false">IF(R65&lt;-1090,"TOO LOW",IF(R65&gt;1090,"TOO HIGH",""))</f>
        <v/>
      </c>
      <c r="T65" s="15" t="n">
        <f aca="false">IF(H65&lt;&gt;"OK",0,IF(S65&lt;&gt;"",0,IF(R65&gt;979,1000,R65)))</f>
        <v>-350</v>
      </c>
      <c r="U65" s="7" t="n">
        <f aca="false">T65/10</f>
        <v>-35</v>
      </c>
    </row>
    <row r="66" customFormat="false" ht="15" hidden="false" customHeight="false" outlineLevel="0" collapsed="false">
      <c r="A66" s="7" t="n">
        <v>61</v>
      </c>
      <c r="B66" s="7" t="n">
        <f aca="false">ROUND(o_SWSTART+A66*(o_SWEND-o_SWSTART)/400,0)</f>
        <v>624</v>
      </c>
      <c r="C66" s="7" t="n">
        <f aca="false">QUOTIENT((B66-c_OFF1)*c_GAIN1,1024)</f>
        <v>624</v>
      </c>
      <c r="D66" s="7" t="n">
        <f aca="false">IF(((c_T1MX)-(c_T1MN))=0,(0)+QUOTIENT(((1000)-(0)),2),QUOTIENT((((C66)-(c_T1MN))*((1000)-(0))+IF(((1000)-(0))&gt;=0,1,-1)*QUOTIENT(((c_T1MX)-(c_T1MN)),2)),((c_T1MX)-(c_T1MN)))+(0)+IF(((1000)-(0))&gt;=0,IF(IF(o_WRAP=1,MOD(((c_T1MX)-(c_T1MN))*(((C66)-(c_T1MN))*((1000)-(0))+IF(((1000)-(0))&gt;=0,1,-1)*QUOTIENT(((c_T1MX)-(c_T1MN)),2))+2147483648,4294967296)-2147483648,((c_T1MX)-(c_T1MN))*(((C66)-(c_T1MN))*((1000)-(0))+IF(((1000)-(0))&gt;=0,1,-1)*QUOTIENT(((c_T1MX)-(c_T1MN)),2)))&lt;0,-1,0),IF(IF(o_WRAP=1,MOD(((c_T1MX)-(c_T1MN))*(((C66)-(c_T1MN))*((1000)-(0))+IF(((1000)-(0))&gt;=0,1,-1)*QUOTIENT(((c_T1MX)-(c_T1MN)),2))+2147483648,4294967296)-2147483648,((c_T1MX)-(c_T1MN))*(((C66)-(c_T1MN))*((1000)-(0))+IF(((1000)-(0))&gt;=0,1,-1)*QUOTIENT(((c_T1MX)-(c_T1MN)),2)))&gt;=0,1,0)))</f>
        <v>-33</v>
      </c>
      <c r="E66" s="7" t="n">
        <f aca="false">IF(AND(c_TPOT=1,c_TTYPE=2),1000-D66,D66)</f>
        <v>-33</v>
      </c>
      <c r="F66" s="7" t="str">
        <f aca="false">IF(c_TPOT&gt;1,ROUND(IF(c_TTYPE=2,c_T2MX-IF(c_T1MX=c_T1MN,0,(C66-c_T1MN)/(c_T1MX-c_T1MN))*(c_T2MX-c_T2MN),c_T2MN+IF(c_T1MX=c_T1MN,0,(C66-c_T1MN)/(c_T1MX-c_T1MN))*(c_T2MX-c_T2MN))+o_MISMATCH,0),"")</f>
        <v/>
      </c>
      <c r="G66" s="7" t="str">
        <f aca="false">IF(c_TPOT&gt;1,IF(((c_T2MX)-(c_T2MN))=0,(0)+QUOTIENT(((1000)-(0)),2),QUOTIENT((((F66)-(c_T2MN))*((1000)-(0))+IF(((1000)-(0))&gt;=0,1,-1)*QUOTIENT(((c_T2MX)-(c_T2MN)),2)),((c_T2MX)-(c_T2MN)))+(0)+IF(((1000)-(0))&gt;=0,IF(IF(o_WRAP=1,MOD(((c_T2MX)-(c_T2MN))*(((F66)-(c_T2MN))*((1000)-(0))+IF(((1000)-(0))&gt;=0,1,-1)*QUOTIENT(((c_T2MX)-(c_T2MN)),2))+2147483648,4294967296)-2147483648,((c_T2MX)-(c_T2MN))*(((F66)-(c_T2MN))*((1000)-(0))+IF(((1000)-(0))&gt;=0,1,-1)*QUOTIENT(((c_T2MX)-(c_T2MN)),2)))&lt;0,-1,0),IF(IF(o_WRAP=1,MOD(((c_T2MX)-(c_T2MN))*(((F66)-(c_T2MN))*((1000)-(0))+IF(((1000)-(0))&gt;=0,1,-1)*QUOTIENT(((c_T2MX)-(c_T2MN)),2))+2147483648,4294967296)-2147483648,((c_T2MX)-(c_T2MN))*(((F66)-(c_T2MN))*((1000)-(0))+IF(((1000)-(0))&gt;=0,1,-1)*QUOTIENT(((c_T2MX)-(c_T2MN)),2)))&gt;=0,1,0))),"")</f>
        <v/>
      </c>
      <c r="H66" s="7" t="str">
        <f aca="false">IF(E66&gt;1000+k_TOL,"T1 HIGH",IF(E66&lt;0-k_TOL,"T1 LOW",IF(c_TPOT&gt;1,IF(G66&gt;1000+k_TOL,"T2 HIGH",IF(G66&lt;0-k_TOL,"T2 LOW",IF(c_TTYPE=2,IF(ABS(1000-MAX(0,MIN(1000,E66))-MAX(0,MIN(1000,G66)))&gt;k_MAXERR,"MISMATCH","OK"),IF(OR(MAX(0,MIN(1000,E66))-k_MAXERR&gt;MAX(0,MIN(1000,G66)),MAX(0,MIN(1000,G66))-k_MAXERR&gt;MAX(0,MIN(1000,E66))),"MISMATCH","OK")))),"OK")))</f>
        <v>OK</v>
      </c>
      <c r="I66" s="7" t="n">
        <f aca="false">MAX(0,MIN(1000,D66))</f>
        <v>0</v>
      </c>
      <c r="J66" s="7" t="str">
        <f aca="false">IF(c_TPOT&gt;1,IF(c_TTYPE=2,1000-MAX(0,MIN(1000,G66)),MAX(0,MIN(1000,G66))),"")</f>
        <v/>
      </c>
      <c r="K66" s="7" t="n">
        <f aca="false">IF(c_TPOT&gt;1,QUOTIENT(I66+J66,2),I66)</f>
        <v>0</v>
      </c>
      <c r="L66" s="7" t="n">
        <f aca="false">IF(AND(K66=0,c_TCREEP&gt;0),10*c_TCREEP,IF(AND(K66&lt;=c_TRNGMIN,K66&gt;=c_TRNGMAX,c_TRNGMIN-c_TRNGMAX&lt;&gt;0),-10*c_TMINRN+QUOTIENT((c_TMAXRN-c_TMINRN)*(100-QUOTIENT((K66-c_TRNGMAX)*100,c_TRNGMIN-c_TRNGMAX)),-10),0))</f>
        <v>-350</v>
      </c>
      <c r="M66" s="7" t="n">
        <f aca="false">IF(((c_TMAP1IN)-(c_TFWD))=0,(0)+QUOTIENT(((c_TMAP1OUT)-(0)),2),QUOTIENT((((K66)-(c_TFWD))*((c_TMAP1OUT)-(0))+IF(((c_TMAP1OUT)-(0))&gt;=0,1,-1)*QUOTIENT(((c_TMAP1IN)-(c_TFWD)),2)),((c_TMAP1IN)-(c_TFWD)))+(0)+IF(((c_TMAP1OUT)-(0))&gt;=0,IF(IF(o_WRAP=1,MOD(((c_TMAP1IN)-(c_TFWD))*(((K66)-(c_TFWD))*((c_TMAP1OUT)-(0))+IF(((c_TMAP1OUT)-(0))&gt;=0,1,-1)*QUOTIENT(((c_TMAP1IN)-(c_TFWD)),2))+2147483648,4294967296)-2147483648,((c_TMAP1IN)-(c_TFWD))*(((K66)-(c_TFWD))*((c_TMAP1OUT)-(0))+IF(((c_TMAP1OUT)-(0))&gt;=0,1,-1)*QUOTIENT(((c_TMAP1IN)-(c_TFWD)),2)))&lt;0,-1,0),IF(IF(o_WRAP=1,MOD(((c_TMAP1IN)-(c_TFWD))*(((K66)-(c_TFWD))*((c_TMAP1OUT)-(0))+IF(((c_TMAP1OUT)-(0))&gt;=0,1,-1)*QUOTIENT(((c_TMAP1IN)-(c_TFWD)),2))+2147483648,4294967296)-2147483648,((c_TMAP1IN)-(c_TFWD))*(((K66)-(c_TFWD))*((c_TMAP1OUT)-(0))+IF(((c_TMAP1OUT)-(0))&gt;=0,1,-1)*QUOTIENT(((c_TMAP1IN)-(c_TFWD)),2)))&gt;=0,1,0)))</f>
        <v>-8</v>
      </c>
      <c r="N66" s="7" t="n">
        <f aca="false">IF(((c_TMAP2IN)-(c_TMAP1IN))=0,(c_TMAP1OUT)+QUOTIENT(((c_TMAP2OUT)-(c_TMAP1OUT)),2),QUOTIENT((((K66)-(c_TMAP1IN))*((c_TMAP2OUT)-(c_TMAP1OUT))+IF(((c_TMAP2OUT)-(c_TMAP1OUT))&gt;=0,1,-1)*QUOTIENT(((c_TMAP2IN)-(c_TMAP1IN)),2)),((c_TMAP2IN)-(c_TMAP1IN)))+(c_TMAP1OUT)+IF(((c_TMAP2OUT)-(c_TMAP1OUT))&gt;=0,IF(IF(o_WRAP=1,MOD(((c_TMAP2IN)-(c_TMAP1IN))*(((K66)-(c_TMAP1IN))*((c_TMAP2OUT)-(c_TMAP1OUT))+IF(((c_TMAP2OUT)-(c_TMAP1OUT))&gt;=0,1,-1)*QUOTIENT(((c_TMAP2IN)-(c_TMAP1IN)),2))+2147483648,4294967296)-2147483648,((c_TMAP2IN)-(c_TMAP1IN))*(((K66)-(c_TMAP1IN))*((c_TMAP2OUT)-(c_TMAP1OUT))+IF(((c_TMAP2OUT)-(c_TMAP1OUT))&gt;=0,1,-1)*QUOTIENT(((c_TMAP2IN)-(c_TMAP1IN)),2)))&lt;0,-1,0),IF(IF(o_WRAP=1,MOD(((c_TMAP2IN)-(c_TMAP1IN))*(((K66)-(c_TMAP1IN))*((c_TMAP2OUT)-(c_TMAP1OUT))+IF(((c_TMAP2OUT)-(c_TMAP1OUT))&gt;=0,1,-1)*QUOTIENT(((c_TMAP2IN)-(c_TMAP1IN)),2))+2147483648,4294967296)-2147483648,((c_TMAP2IN)-(c_TMAP1IN))*(((K66)-(c_TMAP1IN))*((c_TMAP2OUT)-(c_TMAP1OUT))+IF(((c_TMAP2OUT)-(c_TMAP1OUT))&gt;=0,1,-1)*QUOTIENT(((c_TMAP2IN)-(c_TMAP1IN)),2)))&gt;=0,1,0)))</f>
        <v>30</v>
      </c>
      <c r="O66" s="7" t="n">
        <f aca="false">IF(((c_TMAP3IN)-(c_TMAP2IN))=0,(c_TMAP2OUT)+QUOTIENT(((c_TMAP3OUT)-(c_TMAP2OUT)),2),QUOTIENT((((K66)-(c_TMAP2IN))*((c_TMAP3OUT)-(c_TMAP2OUT))+IF(((c_TMAP3OUT)-(c_TMAP2OUT))&gt;=0,1,-1)*QUOTIENT(((c_TMAP3IN)-(c_TMAP2IN)),2)),((c_TMAP3IN)-(c_TMAP2IN)))+(c_TMAP2OUT)+IF(((c_TMAP3OUT)-(c_TMAP2OUT))&gt;=0,IF(IF(o_WRAP=1,MOD(((c_TMAP3IN)-(c_TMAP2IN))*(((K66)-(c_TMAP2IN))*((c_TMAP3OUT)-(c_TMAP2OUT))+IF(((c_TMAP3OUT)-(c_TMAP2OUT))&gt;=0,1,-1)*QUOTIENT(((c_TMAP3IN)-(c_TMAP2IN)),2))+2147483648,4294967296)-2147483648,((c_TMAP3IN)-(c_TMAP2IN))*(((K66)-(c_TMAP2IN))*((c_TMAP3OUT)-(c_TMAP2OUT))+IF(((c_TMAP3OUT)-(c_TMAP2OUT))&gt;=0,1,-1)*QUOTIENT(((c_TMAP3IN)-(c_TMAP2IN)),2)))&lt;0,-1,0),IF(IF(o_WRAP=1,MOD(((c_TMAP3IN)-(c_TMAP2IN))*(((K66)-(c_TMAP2IN))*((c_TMAP3OUT)-(c_TMAP2OUT))+IF(((c_TMAP3OUT)-(c_TMAP2OUT))&gt;=0,1,-1)*QUOTIENT(((c_TMAP3IN)-(c_TMAP2IN)),2))+2147483648,4294967296)-2147483648,((c_TMAP3IN)-(c_TMAP2IN))*(((K66)-(c_TMAP2IN))*((c_TMAP3OUT)-(c_TMAP2OUT))+IF(((c_TMAP3OUT)-(c_TMAP2OUT))&gt;=0,1,-1)*QUOTIENT(((c_TMAP3IN)-(c_TMAP2IN)),2)))&gt;=0,1,0)))</f>
        <v>-45</v>
      </c>
      <c r="P66" s="7" t="n">
        <f aca="false">IF(((1000)-(c_TMAP3IN))=0,(c_TMAP3OUT)+QUOTIENT(((1000)-(c_TMAP3OUT)),2),QUOTIENT((((K66)-(c_TMAP3IN))*((1000)-(c_TMAP3OUT))+IF(((1000)-(c_TMAP3OUT))&gt;=0,1,-1)*QUOTIENT(((1000)-(c_TMAP3IN)),2)),((1000)-(c_TMAP3IN)))+(c_TMAP3OUT)+IF(((1000)-(c_TMAP3OUT))&gt;=0,IF(IF(o_WRAP=1,MOD(((1000)-(c_TMAP3IN))*(((K66)-(c_TMAP3IN))*((1000)-(c_TMAP3OUT))+IF(((1000)-(c_TMAP3OUT))&gt;=0,1,-1)*QUOTIENT(((1000)-(c_TMAP3IN)),2))+2147483648,4294967296)-2147483648,((1000)-(c_TMAP3IN))*(((K66)-(c_TMAP3IN))*((1000)-(c_TMAP3OUT))+IF(((1000)-(c_TMAP3OUT))&gt;=0,1,-1)*QUOTIENT(((1000)-(c_TMAP3IN)),2)))&lt;0,-1,0),IF(IF(o_WRAP=1,MOD(((1000)-(c_TMAP3IN))*(((K66)-(c_TMAP3IN))*((1000)-(c_TMAP3OUT))+IF(((1000)-(c_TMAP3OUT))&gt;=0,1,-1)*QUOTIENT(((1000)-(c_TMAP3IN)),2))+2147483648,4294967296)-2147483648,((1000)-(c_TMAP3IN))*(((K66)-(c_TMAP3IN))*((1000)-(c_TMAP3OUT))+IF(((1000)-(c_TMAP3OUT))&gt;=0,1,-1)*QUOTIENT(((1000)-(c_TMAP3IN)),2)))&gt;=0,1,0)))</f>
        <v>-231</v>
      </c>
      <c r="Q66" s="7" t="str">
        <f aca="false">IF(K66&gt;=c_TFWD,IF(AND(K66&gt;=c_TMAP3IN,c_TMAP3IN&lt;1000),"Seg4 map3-100%",IF(AND(K66&gt;=c_TMAP2IN,c_TMAP3IN&gt;c_TMAP2IN),"Seg3 map2-map3",IF(AND(K66&gt;=c_TMAP1IN,c_TMAP2IN&gt;c_TMAP1IN),"Seg2 map1-map2","Seg1 TFWD-map1"))),IF(AND(K66=0,c_TCREEP&gt;0),"Creep",IF(AND(K66&lt;=c_TRNGMIN,K66&gt;=c_TRNGMAX,c_TRNGMIN-c_TRNGMAX&lt;&gt;0),"Regen ramp","Coast (0)")))</f>
        <v>Regen ramp</v>
      </c>
      <c r="R66" s="7" t="n">
        <f aca="false">IF(K66&gt;=c_TFWD,IF(AND(K66&gt;=c_TMAP3IN,c_TMAP3IN&lt;1000),P66,IF(AND(K66&gt;=c_TMAP2IN,c_TMAP3IN&gt;c_TMAP2IN),O66,IF(AND(K66&gt;=c_TMAP1IN,c_TMAP2IN&gt;c_TMAP1IN),N66,M66))),L66)</f>
        <v>-350</v>
      </c>
      <c r="S66" s="7" t="str">
        <f aca="false">IF(R66&lt;-1090,"TOO LOW",IF(R66&gt;1090,"TOO HIGH",""))</f>
        <v/>
      </c>
      <c r="T66" s="15" t="n">
        <f aca="false">IF(H66&lt;&gt;"OK",0,IF(S66&lt;&gt;"",0,IF(R66&gt;979,1000,R66)))</f>
        <v>-350</v>
      </c>
      <c r="U66" s="7" t="n">
        <f aca="false">T66/10</f>
        <v>-35</v>
      </c>
    </row>
    <row r="67" customFormat="false" ht="15" hidden="false" customHeight="false" outlineLevel="0" collapsed="false">
      <c r="A67" s="7" t="n">
        <v>62</v>
      </c>
      <c r="B67" s="7" t="n">
        <f aca="false">ROUND(o_SWSTART+A67*(o_SWEND-o_SWSTART)/400,0)</f>
        <v>635</v>
      </c>
      <c r="C67" s="7" t="n">
        <f aca="false">QUOTIENT((B67-c_OFF1)*c_GAIN1,1024)</f>
        <v>635</v>
      </c>
      <c r="D67" s="7" t="n">
        <f aca="false">IF(((c_T1MX)-(c_T1MN))=0,(0)+QUOTIENT(((1000)-(0)),2),QUOTIENT((((C67)-(c_T1MN))*((1000)-(0))+IF(((1000)-(0))&gt;=0,1,-1)*QUOTIENT(((c_T1MX)-(c_T1MN)),2)),((c_T1MX)-(c_T1MN)))+(0)+IF(((1000)-(0))&gt;=0,IF(IF(o_WRAP=1,MOD(((c_T1MX)-(c_T1MN))*(((C67)-(c_T1MN))*((1000)-(0))+IF(((1000)-(0))&gt;=0,1,-1)*QUOTIENT(((c_T1MX)-(c_T1MN)),2))+2147483648,4294967296)-2147483648,((c_T1MX)-(c_T1MN))*(((C67)-(c_T1MN))*((1000)-(0))+IF(((1000)-(0))&gt;=0,1,-1)*QUOTIENT(((c_T1MX)-(c_T1MN)),2)))&lt;0,-1,0),IF(IF(o_WRAP=1,MOD(((c_T1MX)-(c_T1MN))*(((C67)-(c_T1MN))*((1000)-(0))+IF(((1000)-(0))&gt;=0,1,-1)*QUOTIENT(((c_T1MX)-(c_T1MN)),2))+2147483648,4294967296)-2147483648,((c_T1MX)-(c_T1MN))*(((C67)-(c_T1MN))*((1000)-(0))+IF(((1000)-(0))&gt;=0,1,-1)*QUOTIENT(((c_T1MX)-(c_T1MN)),2)))&gt;=0,1,0)))</f>
        <v>-29</v>
      </c>
      <c r="E67" s="7" t="n">
        <f aca="false">IF(AND(c_TPOT=1,c_TTYPE=2),1000-D67,D67)</f>
        <v>-29</v>
      </c>
      <c r="F67" s="7" t="str">
        <f aca="false">IF(c_TPOT&gt;1,ROUND(IF(c_TTYPE=2,c_T2MX-IF(c_T1MX=c_T1MN,0,(C67-c_T1MN)/(c_T1MX-c_T1MN))*(c_T2MX-c_T2MN),c_T2MN+IF(c_T1MX=c_T1MN,0,(C67-c_T1MN)/(c_T1MX-c_T1MN))*(c_T2MX-c_T2MN))+o_MISMATCH,0),"")</f>
        <v/>
      </c>
      <c r="G67" s="7" t="str">
        <f aca="false">IF(c_TPOT&gt;1,IF(((c_T2MX)-(c_T2MN))=0,(0)+QUOTIENT(((1000)-(0)),2),QUOTIENT((((F67)-(c_T2MN))*((1000)-(0))+IF(((1000)-(0))&gt;=0,1,-1)*QUOTIENT(((c_T2MX)-(c_T2MN)),2)),((c_T2MX)-(c_T2MN)))+(0)+IF(((1000)-(0))&gt;=0,IF(IF(o_WRAP=1,MOD(((c_T2MX)-(c_T2MN))*(((F67)-(c_T2MN))*((1000)-(0))+IF(((1000)-(0))&gt;=0,1,-1)*QUOTIENT(((c_T2MX)-(c_T2MN)),2))+2147483648,4294967296)-2147483648,((c_T2MX)-(c_T2MN))*(((F67)-(c_T2MN))*((1000)-(0))+IF(((1000)-(0))&gt;=0,1,-1)*QUOTIENT(((c_T2MX)-(c_T2MN)),2)))&lt;0,-1,0),IF(IF(o_WRAP=1,MOD(((c_T2MX)-(c_T2MN))*(((F67)-(c_T2MN))*((1000)-(0))+IF(((1000)-(0))&gt;=0,1,-1)*QUOTIENT(((c_T2MX)-(c_T2MN)),2))+2147483648,4294967296)-2147483648,((c_T2MX)-(c_T2MN))*(((F67)-(c_T2MN))*((1000)-(0))+IF(((1000)-(0))&gt;=0,1,-1)*QUOTIENT(((c_T2MX)-(c_T2MN)),2)))&gt;=0,1,0))),"")</f>
        <v/>
      </c>
      <c r="H67" s="7" t="str">
        <f aca="false">IF(E67&gt;1000+k_TOL,"T1 HIGH",IF(E67&lt;0-k_TOL,"T1 LOW",IF(c_TPOT&gt;1,IF(G67&gt;1000+k_TOL,"T2 HIGH",IF(G67&lt;0-k_TOL,"T2 LOW",IF(c_TTYPE=2,IF(ABS(1000-MAX(0,MIN(1000,E67))-MAX(0,MIN(1000,G67)))&gt;k_MAXERR,"MISMATCH","OK"),IF(OR(MAX(0,MIN(1000,E67))-k_MAXERR&gt;MAX(0,MIN(1000,G67)),MAX(0,MIN(1000,G67))-k_MAXERR&gt;MAX(0,MIN(1000,E67))),"MISMATCH","OK")))),"OK")))</f>
        <v>OK</v>
      </c>
      <c r="I67" s="7" t="n">
        <f aca="false">MAX(0,MIN(1000,D67))</f>
        <v>0</v>
      </c>
      <c r="J67" s="7" t="str">
        <f aca="false">IF(c_TPOT&gt;1,IF(c_TTYPE=2,1000-MAX(0,MIN(1000,G67)),MAX(0,MIN(1000,G67))),"")</f>
        <v/>
      </c>
      <c r="K67" s="7" t="n">
        <f aca="false">IF(c_TPOT&gt;1,QUOTIENT(I67+J67,2),I67)</f>
        <v>0</v>
      </c>
      <c r="L67" s="7" t="n">
        <f aca="false">IF(AND(K67=0,c_TCREEP&gt;0),10*c_TCREEP,IF(AND(K67&lt;=c_TRNGMIN,K67&gt;=c_TRNGMAX,c_TRNGMIN-c_TRNGMAX&lt;&gt;0),-10*c_TMINRN+QUOTIENT((c_TMAXRN-c_TMINRN)*(100-QUOTIENT((K67-c_TRNGMAX)*100,c_TRNGMIN-c_TRNGMAX)),-10),0))</f>
        <v>-350</v>
      </c>
      <c r="M67" s="7" t="n">
        <f aca="false">IF(((c_TMAP1IN)-(c_TFWD))=0,(0)+QUOTIENT(((c_TMAP1OUT)-(0)),2),QUOTIENT((((K67)-(c_TFWD))*((c_TMAP1OUT)-(0))+IF(((c_TMAP1OUT)-(0))&gt;=0,1,-1)*QUOTIENT(((c_TMAP1IN)-(c_TFWD)),2)),((c_TMAP1IN)-(c_TFWD)))+(0)+IF(((c_TMAP1OUT)-(0))&gt;=0,IF(IF(o_WRAP=1,MOD(((c_TMAP1IN)-(c_TFWD))*(((K67)-(c_TFWD))*((c_TMAP1OUT)-(0))+IF(((c_TMAP1OUT)-(0))&gt;=0,1,-1)*QUOTIENT(((c_TMAP1IN)-(c_TFWD)),2))+2147483648,4294967296)-2147483648,((c_TMAP1IN)-(c_TFWD))*(((K67)-(c_TFWD))*((c_TMAP1OUT)-(0))+IF(((c_TMAP1OUT)-(0))&gt;=0,1,-1)*QUOTIENT(((c_TMAP1IN)-(c_TFWD)),2)))&lt;0,-1,0),IF(IF(o_WRAP=1,MOD(((c_TMAP1IN)-(c_TFWD))*(((K67)-(c_TFWD))*((c_TMAP1OUT)-(0))+IF(((c_TMAP1OUT)-(0))&gt;=0,1,-1)*QUOTIENT(((c_TMAP1IN)-(c_TFWD)),2))+2147483648,4294967296)-2147483648,((c_TMAP1IN)-(c_TFWD))*(((K67)-(c_TFWD))*((c_TMAP1OUT)-(0))+IF(((c_TMAP1OUT)-(0))&gt;=0,1,-1)*QUOTIENT(((c_TMAP1IN)-(c_TFWD)),2)))&gt;=0,1,0)))</f>
        <v>-8</v>
      </c>
      <c r="N67" s="7" t="n">
        <f aca="false">IF(((c_TMAP2IN)-(c_TMAP1IN))=0,(c_TMAP1OUT)+QUOTIENT(((c_TMAP2OUT)-(c_TMAP1OUT)),2),QUOTIENT((((K67)-(c_TMAP1IN))*((c_TMAP2OUT)-(c_TMAP1OUT))+IF(((c_TMAP2OUT)-(c_TMAP1OUT))&gt;=0,1,-1)*QUOTIENT(((c_TMAP2IN)-(c_TMAP1IN)),2)),((c_TMAP2IN)-(c_TMAP1IN)))+(c_TMAP1OUT)+IF(((c_TMAP2OUT)-(c_TMAP1OUT))&gt;=0,IF(IF(o_WRAP=1,MOD(((c_TMAP2IN)-(c_TMAP1IN))*(((K67)-(c_TMAP1IN))*((c_TMAP2OUT)-(c_TMAP1OUT))+IF(((c_TMAP2OUT)-(c_TMAP1OUT))&gt;=0,1,-1)*QUOTIENT(((c_TMAP2IN)-(c_TMAP1IN)),2))+2147483648,4294967296)-2147483648,((c_TMAP2IN)-(c_TMAP1IN))*(((K67)-(c_TMAP1IN))*((c_TMAP2OUT)-(c_TMAP1OUT))+IF(((c_TMAP2OUT)-(c_TMAP1OUT))&gt;=0,1,-1)*QUOTIENT(((c_TMAP2IN)-(c_TMAP1IN)),2)))&lt;0,-1,0),IF(IF(o_WRAP=1,MOD(((c_TMAP2IN)-(c_TMAP1IN))*(((K67)-(c_TMAP1IN))*((c_TMAP2OUT)-(c_TMAP1OUT))+IF(((c_TMAP2OUT)-(c_TMAP1OUT))&gt;=0,1,-1)*QUOTIENT(((c_TMAP2IN)-(c_TMAP1IN)),2))+2147483648,4294967296)-2147483648,((c_TMAP2IN)-(c_TMAP1IN))*(((K67)-(c_TMAP1IN))*((c_TMAP2OUT)-(c_TMAP1OUT))+IF(((c_TMAP2OUT)-(c_TMAP1OUT))&gt;=0,1,-1)*QUOTIENT(((c_TMAP2IN)-(c_TMAP1IN)),2)))&gt;=0,1,0)))</f>
        <v>30</v>
      </c>
      <c r="O67" s="7" t="n">
        <f aca="false">IF(((c_TMAP3IN)-(c_TMAP2IN))=0,(c_TMAP2OUT)+QUOTIENT(((c_TMAP3OUT)-(c_TMAP2OUT)),2),QUOTIENT((((K67)-(c_TMAP2IN))*((c_TMAP3OUT)-(c_TMAP2OUT))+IF(((c_TMAP3OUT)-(c_TMAP2OUT))&gt;=0,1,-1)*QUOTIENT(((c_TMAP3IN)-(c_TMAP2IN)),2)),((c_TMAP3IN)-(c_TMAP2IN)))+(c_TMAP2OUT)+IF(((c_TMAP3OUT)-(c_TMAP2OUT))&gt;=0,IF(IF(o_WRAP=1,MOD(((c_TMAP3IN)-(c_TMAP2IN))*(((K67)-(c_TMAP2IN))*((c_TMAP3OUT)-(c_TMAP2OUT))+IF(((c_TMAP3OUT)-(c_TMAP2OUT))&gt;=0,1,-1)*QUOTIENT(((c_TMAP3IN)-(c_TMAP2IN)),2))+2147483648,4294967296)-2147483648,((c_TMAP3IN)-(c_TMAP2IN))*(((K67)-(c_TMAP2IN))*((c_TMAP3OUT)-(c_TMAP2OUT))+IF(((c_TMAP3OUT)-(c_TMAP2OUT))&gt;=0,1,-1)*QUOTIENT(((c_TMAP3IN)-(c_TMAP2IN)),2)))&lt;0,-1,0),IF(IF(o_WRAP=1,MOD(((c_TMAP3IN)-(c_TMAP2IN))*(((K67)-(c_TMAP2IN))*((c_TMAP3OUT)-(c_TMAP2OUT))+IF(((c_TMAP3OUT)-(c_TMAP2OUT))&gt;=0,1,-1)*QUOTIENT(((c_TMAP3IN)-(c_TMAP2IN)),2))+2147483648,4294967296)-2147483648,((c_TMAP3IN)-(c_TMAP2IN))*(((K67)-(c_TMAP2IN))*((c_TMAP3OUT)-(c_TMAP2OUT))+IF(((c_TMAP3OUT)-(c_TMAP2OUT))&gt;=0,1,-1)*QUOTIENT(((c_TMAP3IN)-(c_TMAP2IN)),2)))&gt;=0,1,0)))</f>
        <v>-45</v>
      </c>
      <c r="P67" s="7" t="n">
        <f aca="false">IF(((1000)-(c_TMAP3IN))=0,(c_TMAP3OUT)+QUOTIENT(((1000)-(c_TMAP3OUT)),2),QUOTIENT((((K67)-(c_TMAP3IN))*((1000)-(c_TMAP3OUT))+IF(((1000)-(c_TMAP3OUT))&gt;=0,1,-1)*QUOTIENT(((1000)-(c_TMAP3IN)),2)),((1000)-(c_TMAP3IN)))+(c_TMAP3OUT)+IF(((1000)-(c_TMAP3OUT))&gt;=0,IF(IF(o_WRAP=1,MOD(((1000)-(c_TMAP3IN))*(((K67)-(c_TMAP3IN))*((1000)-(c_TMAP3OUT))+IF(((1000)-(c_TMAP3OUT))&gt;=0,1,-1)*QUOTIENT(((1000)-(c_TMAP3IN)),2))+2147483648,4294967296)-2147483648,((1000)-(c_TMAP3IN))*(((K67)-(c_TMAP3IN))*((1000)-(c_TMAP3OUT))+IF(((1000)-(c_TMAP3OUT))&gt;=0,1,-1)*QUOTIENT(((1000)-(c_TMAP3IN)),2)))&lt;0,-1,0),IF(IF(o_WRAP=1,MOD(((1000)-(c_TMAP3IN))*(((K67)-(c_TMAP3IN))*((1000)-(c_TMAP3OUT))+IF(((1000)-(c_TMAP3OUT))&gt;=0,1,-1)*QUOTIENT(((1000)-(c_TMAP3IN)),2))+2147483648,4294967296)-2147483648,((1000)-(c_TMAP3IN))*(((K67)-(c_TMAP3IN))*((1000)-(c_TMAP3OUT))+IF(((1000)-(c_TMAP3OUT))&gt;=0,1,-1)*QUOTIENT(((1000)-(c_TMAP3IN)),2)))&gt;=0,1,0)))</f>
        <v>-231</v>
      </c>
      <c r="Q67" s="7" t="str">
        <f aca="false">IF(K67&gt;=c_TFWD,IF(AND(K67&gt;=c_TMAP3IN,c_TMAP3IN&lt;1000),"Seg4 map3-100%",IF(AND(K67&gt;=c_TMAP2IN,c_TMAP3IN&gt;c_TMAP2IN),"Seg3 map2-map3",IF(AND(K67&gt;=c_TMAP1IN,c_TMAP2IN&gt;c_TMAP1IN),"Seg2 map1-map2","Seg1 TFWD-map1"))),IF(AND(K67=0,c_TCREEP&gt;0),"Creep",IF(AND(K67&lt;=c_TRNGMIN,K67&gt;=c_TRNGMAX,c_TRNGMIN-c_TRNGMAX&lt;&gt;0),"Regen ramp","Coast (0)")))</f>
        <v>Regen ramp</v>
      </c>
      <c r="R67" s="7" t="n">
        <f aca="false">IF(K67&gt;=c_TFWD,IF(AND(K67&gt;=c_TMAP3IN,c_TMAP3IN&lt;1000),P67,IF(AND(K67&gt;=c_TMAP2IN,c_TMAP3IN&gt;c_TMAP2IN),O67,IF(AND(K67&gt;=c_TMAP1IN,c_TMAP2IN&gt;c_TMAP1IN),N67,M67))),L67)</f>
        <v>-350</v>
      </c>
      <c r="S67" s="7" t="str">
        <f aca="false">IF(R67&lt;-1090,"TOO LOW",IF(R67&gt;1090,"TOO HIGH",""))</f>
        <v/>
      </c>
      <c r="T67" s="15" t="n">
        <f aca="false">IF(H67&lt;&gt;"OK",0,IF(S67&lt;&gt;"",0,IF(R67&gt;979,1000,R67)))</f>
        <v>-350</v>
      </c>
      <c r="U67" s="7" t="n">
        <f aca="false">T67/10</f>
        <v>-35</v>
      </c>
    </row>
    <row r="68" customFormat="false" ht="15" hidden="false" customHeight="false" outlineLevel="0" collapsed="false">
      <c r="A68" s="7" t="n">
        <v>63</v>
      </c>
      <c r="B68" s="7" t="n">
        <f aca="false">ROUND(o_SWSTART+A68*(o_SWEND-o_SWSTART)/400,0)</f>
        <v>645</v>
      </c>
      <c r="C68" s="7" t="n">
        <f aca="false">QUOTIENT((B68-c_OFF1)*c_GAIN1,1024)</f>
        <v>645</v>
      </c>
      <c r="D68" s="7" t="n">
        <f aca="false">IF(((c_T1MX)-(c_T1MN))=0,(0)+QUOTIENT(((1000)-(0)),2),QUOTIENT((((C68)-(c_T1MN))*((1000)-(0))+IF(((1000)-(0))&gt;=0,1,-1)*QUOTIENT(((c_T1MX)-(c_T1MN)),2)),((c_T1MX)-(c_T1MN)))+(0)+IF(((1000)-(0))&gt;=0,IF(IF(o_WRAP=1,MOD(((c_T1MX)-(c_T1MN))*(((C68)-(c_T1MN))*((1000)-(0))+IF(((1000)-(0))&gt;=0,1,-1)*QUOTIENT(((c_T1MX)-(c_T1MN)),2))+2147483648,4294967296)-2147483648,((c_T1MX)-(c_T1MN))*(((C68)-(c_T1MN))*((1000)-(0))+IF(((1000)-(0))&gt;=0,1,-1)*QUOTIENT(((c_T1MX)-(c_T1MN)),2)))&lt;0,-1,0),IF(IF(o_WRAP=1,MOD(((c_T1MX)-(c_T1MN))*(((C68)-(c_T1MN))*((1000)-(0))+IF(((1000)-(0))&gt;=0,1,-1)*QUOTIENT(((c_T1MX)-(c_T1MN)),2))+2147483648,4294967296)-2147483648,((c_T1MX)-(c_T1MN))*(((C68)-(c_T1MN))*((1000)-(0))+IF(((1000)-(0))&gt;=0,1,-1)*QUOTIENT(((c_T1MX)-(c_T1MN)),2)))&gt;=0,1,0)))</f>
        <v>-25</v>
      </c>
      <c r="E68" s="7" t="n">
        <f aca="false">IF(AND(c_TPOT=1,c_TTYPE=2),1000-D68,D68)</f>
        <v>-25</v>
      </c>
      <c r="F68" s="7" t="str">
        <f aca="false">IF(c_TPOT&gt;1,ROUND(IF(c_TTYPE=2,c_T2MX-IF(c_T1MX=c_T1MN,0,(C68-c_T1MN)/(c_T1MX-c_T1MN))*(c_T2MX-c_T2MN),c_T2MN+IF(c_T1MX=c_T1MN,0,(C68-c_T1MN)/(c_T1MX-c_T1MN))*(c_T2MX-c_T2MN))+o_MISMATCH,0),"")</f>
        <v/>
      </c>
      <c r="G68" s="7" t="str">
        <f aca="false">IF(c_TPOT&gt;1,IF(((c_T2MX)-(c_T2MN))=0,(0)+QUOTIENT(((1000)-(0)),2),QUOTIENT((((F68)-(c_T2MN))*((1000)-(0))+IF(((1000)-(0))&gt;=0,1,-1)*QUOTIENT(((c_T2MX)-(c_T2MN)),2)),((c_T2MX)-(c_T2MN)))+(0)+IF(((1000)-(0))&gt;=0,IF(IF(o_WRAP=1,MOD(((c_T2MX)-(c_T2MN))*(((F68)-(c_T2MN))*((1000)-(0))+IF(((1000)-(0))&gt;=0,1,-1)*QUOTIENT(((c_T2MX)-(c_T2MN)),2))+2147483648,4294967296)-2147483648,((c_T2MX)-(c_T2MN))*(((F68)-(c_T2MN))*((1000)-(0))+IF(((1000)-(0))&gt;=0,1,-1)*QUOTIENT(((c_T2MX)-(c_T2MN)),2)))&lt;0,-1,0),IF(IF(o_WRAP=1,MOD(((c_T2MX)-(c_T2MN))*(((F68)-(c_T2MN))*((1000)-(0))+IF(((1000)-(0))&gt;=0,1,-1)*QUOTIENT(((c_T2MX)-(c_T2MN)),2))+2147483648,4294967296)-2147483648,((c_T2MX)-(c_T2MN))*(((F68)-(c_T2MN))*((1000)-(0))+IF(((1000)-(0))&gt;=0,1,-1)*QUOTIENT(((c_T2MX)-(c_T2MN)),2)))&gt;=0,1,0))),"")</f>
        <v/>
      </c>
      <c r="H68" s="7" t="str">
        <f aca="false">IF(E68&gt;1000+k_TOL,"T1 HIGH",IF(E68&lt;0-k_TOL,"T1 LOW",IF(c_TPOT&gt;1,IF(G68&gt;1000+k_TOL,"T2 HIGH",IF(G68&lt;0-k_TOL,"T2 LOW",IF(c_TTYPE=2,IF(ABS(1000-MAX(0,MIN(1000,E68))-MAX(0,MIN(1000,G68)))&gt;k_MAXERR,"MISMATCH","OK"),IF(OR(MAX(0,MIN(1000,E68))-k_MAXERR&gt;MAX(0,MIN(1000,G68)),MAX(0,MIN(1000,G68))-k_MAXERR&gt;MAX(0,MIN(1000,E68))),"MISMATCH","OK")))),"OK")))</f>
        <v>OK</v>
      </c>
      <c r="I68" s="7" t="n">
        <f aca="false">MAX(0,MIN(1000,D68))</f>
        <v>0</v>
      </c>
      <c r="J68" s="7" t="str">
        <f aca="false">IF(c_TPOT&gt;1,IF(c_TTYPE=2,1000-MAX(0,MIN(1000,G68)),MAX(0,MIN(1000,G68))),"")</f>
        <v/>
      </c>
      <c r="K68" s="7" t="n">
        <f aca="false">IF(c_TPOT&gt;1,QUOTIENT(I68+J68,2),I68)</f>
        <v>0</v>
      </c>
      <c r="L68" s="7" t="n">
        <f aca="false">IF(AND(K68=0,c_TCREEP&gt;0),10*c_TCREEP,IF(AND(K68&lt;=c_TRNGMIN,K68&gt;=c_TRNGMAX,c_TRNGMIN-c_TRNGMAX&lt;&gt;0),-10*c_TMINRN+QUOTIENT((c_TMAXRN-c_TMINRN)*(100-QUOTIENT((K68-c_TRNGMAX)*100,c_TRNGMIN-c_TRNGMAX)),-10),0))</f>
        <v>-350</v>
      </c>
      <c r="M68" s="7" t="n">
        <f aca="false">IF(((c_TMAP1IN)-(c_TFWD))=0,(0)+QUOTIENT(((c_TMAP1OUT)-(0)),2),QUOTIENT((((K68)-(c_TFWD))*((c_TMAP1OUT)-(0))+IF(((c_TMAP1OUT)-(0))&gt;=0,1,-1)*QUOTIENT(((c_TMAP1IN)-(c_TFWD)),2)),((c_TMAP1IN)-(c_TFWD)))+(0)+IF(((c_TMAP1OUT)-(0))&gt;=0,IF(IF(o_WRAP=1,MOD(((c_TMAP1IN)-(c_TFWD))*(((K68)-(c_TFWD))*((c_TMAP1OUT)-(0))+IF(((c_TMAP1OUT)-(0))&gt;=0,1,-1)*QUOTIENT(((c_TMAP1IN)-(c_TFWD)),2))+2147483648,4294967296)-2147483648,((c_TMAP1IN)-(c_TFWD))*(((K68)-(c_TFWD))*((c_TMAP1OUT)-(0))+IF(((c_TMAP1OUT)-(0))&gt;=0,1,-1)*QUOTIENT(((c_TMAP1IN)-(c_TFWD)),2)))&lt;0,-1,0),IF(IF(o_WRAP=1,MOD(((c_TMAP1IN)-(c_TFWD))*(((K68)-(c_TFWD))*((c_TMAP1OUT)-(0))+IF(((c_TMAP1OUT)-(0))&gt;=0,1,-1)*QUOTIENT(((c_TMAP1IN)-(c_TFWD)),2))+2147483648,4294967296)-2147483648,((c_TMAP1IN)-(c_TFWD))*(((K68)-(c_TFWD))*((c_TMAP1OUT)-(0))+IF(((c_TMAP1OUT)-(0))&gt;=0,1,-1)*QUOTIENT(((c_TMAP1IN)-(c_TFWD)),2)))&gt;=0,1,0)))</f>
        <v>-8</v>
      </c>
      <c r="N68" s="7" t="n">
        <f aca="false">IF(((c_TMAP2IN)-(c_TMAP1IN))=0,(c_TMAP1OUT)+QUOTIENT(((c_TMAP2OUT)-(c_TMAP1OUT)),2),QUOTIENT((((K68)-(c_TMAP1IN))*((c_TMAP2OUT)-(c_TMAP1OUT))+IF(((c_TMAP2OUT)-(c_TMAP1OUT))&gt;=0,1,-1)*QUOTIENT(((c_TMAP2IN)-(c_TMAP1IN)),2)),((c_TMAP2IN)-(c_TMAP1IN)))+(c_TMAP1OUT)+IF(((c_TMAP2OUT)-(c_TMAP1OUT))&gt;=0,IF(IF(o_WRAP=1,MOD(((c_TMAP2IN)-(c_TMAP1IN))*(((K68)-(c_TMAP1IN))*((c_TMAP2OUT)-(c_TMAP1OUT))+IF(((c_TMAP2OUT)-(c_TMAP1OUT))&gt;=0,1,-1)*QUOTIENT(((c_TMAP2IN)-(c_TMAP1IN)),2))+2147483648,4294967296)-2147483648,((c_TMAP2IN)-(c_TMAP1IN))*(((K68)-(c_TMAP1IN))*((c_TMAP2OUT)-(c_TMAP1OUT))+IF(((c_TMAP2OUT)-(c_TMAP1OUT))&gt;=0,1,-1)*QUOTIENT(((c_TMAP2IN)-(c_TMAP1IN)),2)))&lt;0,-1,0),IF(IF(o_WRAP=1,MOD(((c_TMAP2IN)-(c_TMAP1IN))*(((K68)-(c_TMAP1IN))*((c_TMAP2OUT)-(c_TMAP1OUT))+IF(((c_TMAP2OUT)-(c_TMAP1OUT))&gt;=0,1,-1)*QUOTIENT(((c_TMAP2IN)-(c_TMAP1IN)),2))+2147483648,4294967296)-2147483648,((c_TMAP2IN)-(c_TMAP1IN))*(((K68)-(c_TMAP1IN))*((c_TMAP2OUT)-(c_TMAP1OUT))+IF(((c_TMAP2OUT)-(c_TMAP1OUT))&gt;=0,1,-1)*QUOTIENT(((c_TMAP2IN)-(c_TMAP1IN)),2)))&gt;=0,1,0)))</f>
        <v>30</v>
      </c>
      <c r="O68" s="7" t="n">
        <f aca="false">IF(((c_TMAP3IN)-(c_TMAP2IN))=0,(c_TMAP2OUT)+QUOTIENT(((c_TMAP3OUT)-(c_TMAP2OUT)),2),QUOTIENT((((K68)-(c_TMAP2IN))*((c_TMAP3OUT)-(c_TMAP2OUT))+IF(((c_TMAP3OUT)-(c_TMAP2OUT))&gt;=0,1,-1)*QUOTIENT(((c_TMAP3IN)-(c_TMAP2IN)),2)),((c_TMAP3IN)-(c_TMAP2IN)))+(c_TMAP2OUT)+IF(((c_TMAP3OUT)-(c_TMAP2OUT))&gt;=0,IF(IF(o_WRAP=1,MOD(((c_TMAP3IN)-(c_TMAP2IN))*(((K68)-(c_TMAP2IN))*((c_TMAP3OUT)-(c_TMAP2OUT))+IF(((c_TMAP3OUT)-(c_TMAP2OUT))&gt;=0,1,-1)*QUOTIENT(((c_TMAP3IN)-(c_TMAP2IN)),2))+2147483648,4294967296)-2147483648,((c_TMAP3IN)-(c_TMAP2IN))*(((K68)-(c_TMAP2IN))*((c_TMAP3OUT)-(c_TMAP2OUT))+IF(((c_TMAP3OUT)-(c_TMAP2OUT))&gt;=0,1,-1)*QUOTIENT(((c_TMAP3IN)-(c_TMAP2IN)),2)))&lt;0,-1,0),IF(IF(o_WRAP=1,MOD(((c_TMAP3IN)-(c_TMAP2IN))*(((K68)-(c_TMAP2IN))*((c_TMAP3OUT)-(c_TMAP2OUT))+IF(((c_TMAP3OUT)-(c_TMAP2OUT))&gt;=0,1,-1)*QUOTIENT(((c_TMAP3IN)-(c_TMAP2IN)),2))+2147483648,4294967296)-2147483648,((c_TMAP3IN)-(c_TMAP2IN))*(((K68)-(c_TMAP2IN))*((c_TMAP3OUT)-(c_TMAP2OUT))+IF(((c_TMAP3OUT)-(c_TMAP2OUT))&gt;=0,1,-1)*QUOTIENT(((c_TMAP3IN)-(c_TMAP2IN)),2)))&gt;=0,1,0)))</f>
        <v>-45</v>
      </c>
      <c r="P68" s="7" t="n">
        <f aca="false">IF(((1000)-(c_TMAP3IN))=0,(c_TMAP3OUT)+QUOTIENT(((1000)-(c_TMAP3OUT)),2),QUOTIENT((((K68)-(c_TMAP3IN))*((1000)-(c_TMAP3OUT))+IF(((1000)-(c_TMAP3OUT))&gt;=0,1,-1)*QUOTIENT(((1000)-(c_TMAP3IN)),2)),((1000)-(c_TMAP3IN)))+(c_TMAP3OUT)+IF(((1000)-(c_TMAP3OUT))&gt;=0,IF(IF(o_WRAP=1,MOD(((1000)-(c_TMAP3IN))*(((K68)-(c_TMAP3IN))*((1000)-(c_TMAP3OUT))+IF(((1000)-(c_TMAP3OUT))&gt;=0,1,-1)*QUOTIENT(((1000)-(c_TMAP3IN)),2))+2147483648,4294967296)-2147483648,((1000)-(c_TMAP3IN))*(((K68)-(c_TMAP3IN))*((1000)-(c_TMAP3OUT))+IF(((1000)-(c_TMAP3OUT))&gt;=0,1,-1)*QUOTIENT(((1000)-(c_TMAP3IN)),2)))&lt;0,-1,0),IF(IF(o_WRAP=1,MOD(((1000)-(c_TMAP3IN))*(((K68)-(c_TMAP3IN))*((1000)-(c_TMAP3OUT))+IF(((1000)-(c_TMAP3OUT))&gt;=0,1,-1)*QUOTIENT(((1000)-(c_TMAP3IN)),2))+2147483648,4294967296)-2147483648,((1000)-(c_TMAP3IN))*(((K68)-(c_TMAP3IN))*((1000)-(c_TMAP3OUT))+IF(((1000)-(c_TMAP3OUT))&gt;=0,1,-1)*QUOTIENT(((1000)-(c_TMAP3IN)),2)))&gt;=0,1,0)))</f>
        <v>-231</v>
      </c>
      <c r="Q68" s="7" t="str">
        <f aca="false">IF(K68&gt;=c_TFWD,IF(AND(K68&gt;=c_TMAP3IN,c_TMAP3IN&lt;1000),"Seg4 map3-100%",IF(AND(K68&gt;=c_TMAP2IN,c_TMAP3IN&gt;c_TMAP2IN),"Seg3 map2-map3",IF(AND(K68&gt;=c_TMAP1IN,c_TMAP2IN&gt;c_TMAP1IN),"Seg2 map1-map2","Seg1 TFWD-map1"))),IF(AND(K68=0,c_TCREEP&gt;0),"Creep",IF(AND(K68&lt;=c_TRNGMIN,K68&gt;=c_TRNGMAX,c_TRNGMIN-c_TRNGMAX&lt;&gt;0),"Regen ramp","Coast (0)")))</f>
        <v>Regen ramp</v>
      </c>
      <c r="R68" s="7" t="n">
        <f aca="false">IF(K68&gt;=c_TFWD,IF(AND(K68&gt;=c_TMAP3IN,c_TMAP3IN&lt;1000),P68,IF(AND(K68&gt;=c_TMAP2IN,c_TMAP3IN&gt;c_TMAP2IN),O68,IF(AND(K68&gt;=c_TMAP1IN,c_TMAP2IN&gt;c_TMAP1IN),N68,M68))),L68)</f>
        <v>-350</v>
      </c>
      <c r="S68" s="7" t="str">
        <f aca="false">IF(R68&lt;-1090,"TOO LOW",IF(R68&gt;1090,"TOO HIGH",""))</f>
        <v/>
      </c>
      <c r="T68" s="15" t="n">
        <f aca="false">IF(H68&lt;&gt;"OK",0,IF(S68&lt;&gt;"",0,IF(R68&gt;979,1000,R68)))</f>
        <v>-350</v>
      </c>
      <c r="U68" s="7" t="n">
        <f aca="false">T68/10</f>
        <v>-35</v>
      </c>
    </row>
    <row r="69" customFormat="false" ht="15" hidden="false" customHeight="false" outlineLevel="0" collapsed="false">
      <c r="A69" s="7" t="n">
        <v>64</v>
      </c>
      <c r="B69" s="7" t="n">
        <f aca="false">ROUND(o_SWSTART+A69*(o_SWEND-o_SWSTART)/400,0)</f>
        <v>655</v>
      </c>
      <c r="C69" s="7" t="n">
        <f aca="false">QUOTIENT((B69-c_OFF1)*c_GAIN1,1024)</f>
        <v>655</v>
      </c>
      <c r="D69" s="7" t="n">
        <f aca="false">IF(((c_T1MX)-(c_T1MN))=0,(0)+QUOTIENT(((1000)-(0)),2),QUOTIENT((((C69)-(c_T1MN))*((1000)-(0))+IF(((1000)-(0))&gt;=0,1,-1)*QUOTIENT(((c_T1MX)-(c_T1MN)),2)),((c_T1MX)-(c_T1MN)))+(0)+IF(((1000)-(0))&gt;=0,IF(IF(o_WRAP=1,MOD(((c_T1MX)-(c_T1MN))*(((C69)-(c_T1MN))*((1000)-(0))+IF(((1000)-(0))&gt;=0,1,-1)*QUOTIENT(((c_T1MX)-(c_T1MN)),2))+2147483648,4294967296)-2147483648,((c_T1MX)-(c_T1MN))*(((C69)-(c_T1MN))*((1000)-(0))+IF(((1000)-(0))&gt;=0,1,-1)*QUOTIENT(((c_T1MX)-(c_T1MN)),2)))&lt;0,-1,0),IF(IF(o_WRAP=1,MOD(((c_T1MX)-(c_T1MN))*(((C69)-(c_T1MN))*((1000)-(0))+IF(((1000)-(0))&gt;=0,1,-1)*QUOTIENT(((c_T1MX)-(c_T1MN)),2))+2147483648,4294967296)-2147483648,((c_T1MX)-(c_T1MN))*(((C69)-(c_T1MN))*((1000)-(0))+IF(((1000)-(0))&gt;=0,1,-1)*QUOTIENT(((c_T1MX)-(c_T1MN)),2)))&gt;=0,1,0)))</f>
        <v>-22</v>
      </c>
      <c r="E69" s="7" t="n">
        <f aca="false">IF(AND(c_TPOT=1,c_TTYPE=2),1000-D69,D69)</f>
        <v>-22</v>
      </c>
      <c r="F69" s="7" t="str">
        <f aca="false">IF(c_TPOT&gt;1,ROUND(IF(c_TTYPE=2,c_T2MX-IF(c_T1MX=c_T1MN,0,(C69-c_T1MN)/(c_T1MX-c_T1MN))*(c_T2MX-c_T2MN),c_T2MN+IF(c_T1MX=c_T1MN,0,(C69-c_T1MN)/(c_T1MX-c_T1MN))*(c_T2MX-c_T2MN))+o_MISMATCH,0),"")</f>
        <v/>
      </c>
      <c r="G69" s="7" t="str">
        <f aca="false">IF(c_TPOT&gt;1,IF(((c_T2MX)-(c_T2MN))=0,(0)+QUOTIENT(((1000)-(0)),2),QUOTIENT((((F69)-(c_T2MN))*((1000)-(0))+IF(((1000)-(0))&gt;=0,1,-1)*QUOTIENT(((c_T2MX)-(c_T2MN)),2)),((c_T2MX)-(c_T2MN)))+(0)+IF(((1000)-(0))&gt;=0,IF(IF(o_WRAP=1,MOD(((c_T2MX)-(c_T2MN))*(((F69)-(c_T2MN))*((1000)-(0))+IF(((1000)-(0))&gt;=0,1,-1)*QUOTIENT(((c_T2MX)-(c_T2MN)),2))+2147483648,4294967296)-2147483648,((c_T2MX)-(c_T2MN))*(((F69)-(c_T2MN))*((1000)-(0))+IF(((1000)-(0))&gt;=0,1,-1)*QUOTIENT(((c_T2MX)-(c_T2MN)),2)))&lt;0,-1,0),IF(IF(o_WRAP=1,MOD(((c_T2MX)-(c_T2MN))*(((F69)-(c_T2MN))*((1000)-(0))+IF(((1000)-(0))&gt;=0,1,-1)*QUOTIENT(((c_T2MX)-(c_T2MN)),2))+2147483648,4294967296)-2147483648,((c_T2MX)-(c_T2MN))*(((F69)-(c_T2MN))*((1000)-(0))+IF(((1000)-(0))&gt;=0,1,-1)*QUOTIENT(((c_T2MX)-(c_T2MN)),2)))&gt;=0,1,0))),"")</f>
        <v/>
      </c>
      <c r="H69" s="7" t="str">
        <f aca="false">IF(E69&gt;1000+k_TOL,"T1 HIGH",IF(E69&lt;0-k_TOL,"T1 LOW",IF(c_TPOT&gt;1,IF(G69&gt;1000+k_TOL,"T2 HIGH",IF(G69&lt;0-k_TOL,"T2 LOW",IF(c_TTYPE=2,IF(ABS(1000-MAX(0,MIN(1000,E69))-MAX(0,MIN(1000,G69)))&gt;k_MAXERR,"MISMATCH","OK"),IF(OR(MAX(0,MIN(1000,E69))-k_MAXERR&gt;MAX(0,MIN(1000,G69)),MAX(0,MIN(1000,G69))-k_MAXERR&gt;MAX(0,MIN(1000,E69))),"MISMATCH","OK")))),"OK")))</f>
        <v>OK</v>
      </c>
      <c r="I69" s="7" t="n">
        <f aca="false">MAX(0,MIN(1000,D69))</f>
        <v>0</v>
      </c>
      <c r="J69" s="7" t="str">
        <f aca="false">IF(c_TPOT&gt;1,IF(c_TTYPE=2,1000-MAX(0,MIN(1000,G69)),MAX(0,MIN(1000,G69))),"")</f>
        <v/>
      </c>
      <c r="K69" s="7" t="n">
        <f aca="false">IF(c_TPOT&gt;1,QUOTIENT(I69+J69,2),I69)</f>
        <v>0</v>
      </c>
      <c r="L69" s="7" t="n">
        <f aca="false">IF(AND(K69=0,c_TCREEP&gt;0),10*c_TCREEP,IF(AND(K69&lt;=c_TRNGMIN,K69&gt;=c_TRNGMAX,c_TRNGMIN-c_TRNGMAX&lt;&gt;0),-10*c_TMINRN+QUOTIENT((c_TMAXRN-c_TMINRN)*(100-QUOTIENT((K69-c_TRNGMAX)*100,c_TRNGMIN-c_TRNGMAX)),-10),0))</f>
        <v>-350</v>
      </c>
      <c r="M69" s="7" t="n">
        <f aca="false">IF(((c_TMAP1IN)-(c_TFWD))=0,(0)+QUOTIENT(((c_TMAP1OUT)-(0)),2),QUOTIENT((((K69)-(c_TFWD))*((c_TMAP1OUT)-(0))+IF(((c_TMAP1OUT)-(0))&gt;=0,1,-1)*QUOTIENT(((c_TMAP1IN)-(c_TFWD)),2)),((c_TMAP1IN)-(c_TFWD)))+(0)+IF(((c_TMAP1OUT)-(0))&gt;=0,IF(IF(o_WRAP=1,MOD(((c_TMAP1IN)-(c_TFWD))*(((K69)-(c_TFWD))*((c_TMAP1OUT)-(0))+IF(((c_TMAP1OUT)-(0))&gt;=0,1,-1)*QUOTIENT(((c_TMAP1IN)-(c_TFWD)),2))+2147483648,4294967296)-2147483648,((c_TMAP1IN)-(c_TFWD))*(((K69)-(c_TFWD))*((c_TMAP1OUT)-(0))+IF(((c_TMAP1OUT)-(0))&gt;=0,1,-1)*QUOTIENT(((c_TMAP1IN)-(c_TFWD)),2)))&lt;0,-1,0),IF(IF(o_WRAP=1,MOD(((c_TMAP1IN)-(c_TFWD))*(((K69)-(c_TFWD))*((c_TMAP1OUT)-(0))+IF(((c_TMAP1OUT)-(0))&gt;=0,1,-1)*QUOTIENT(((c_TMAP1IN)-(c_TFWD)),2))+2147483648,4294967296)-2147483648,((c_TMAP1IN)-(c_TFWD))*(((K69)-(c_TFWD))*((c_TMAP1OUT)-(0))+IF(((c_TMAP1OUT)-(0))&gt;=0,1,-1)*QUOTIENT(((c_TMAP1IN)-(c_TFWD)),2)))&gt;=0,1,0)))</f>
        <v>-8</v>
      </c>
      <c r="N69" s="7" t="n">
        <f aca="false">IF(((c_TMAP2IN)-(c_TMAP1IN))=0,(c_TMAP1OUT)+QUOTIENT(((c_TMAP2OUT)-(c_TMAP1OUT)),2),QUOTIENT((((K69)-(c_TMAP1IN))*((c_TMAP2OUT)-(c_TMAP1OUT))+IF(((c_TMAP2OUT)-(c_TMAP1OUT))&gt;=0,1,-1)*QUOTIENT(((c_TMAP2IN)-(c_TMAP1IN)),2)),((c_TMAP2IN)-(c_TMAP1IN)))+(c_TMAP1OUT)+IF(((c_TMAP2OUT)-(c_TMAP1OUT))&gt;=0,IF(IF(o_WRAP=1,MOD(((c_TMAP2IN)-(c_TMAP1IN))*(((K69)-(c_TMAP1IN))*((c_TMAP2OUT)-(c_TMAP1OUT))+IF(((c_TMAP2OUT)-(c_TMAP1OUT))&gt;=0,1,-1)*QUOTIENT(((c_TMAP2IN)-(c_TMAP1IN)),2))+2147483648,4294967296)-2147483648,((c_TMAP2IN)-(c_TMAP1IN))*(((K69)-(c_TMAP1IN))*((c_TMAP2OUT)-(c_TMAP1OUT))+IF(((c_TMAP2OUT)-(c_TMAP1OUT))&gt;=0,1,-1)*QUOTIENT(((c_TMAP2IN)-(c_TMAP1IN)),2)))&lt;0,-1,0),IF(IF(o_WRAP=1,MOD(((c_TMAP2IN)-(c_TMAP1IN))*(((K69)-(c_TMAP1IN))*((c_TMAP2OUT)-(c_TMAP1OUT))+IF(((c_TMAP2OUT)-(c_TMAP1OUT))&gt;=0,1,-1)*QUOTIENT(((c_TMAP2IN)-(c_TMAP1IN)),2))+2147483648,4294967296)-2147483648,((c_TMAP2IN)-(c_TMAP1IN))*(((K69)-(c_TMAP1IN))*((c_TMAP2OUT)-(c_TMAP1OUT))+IF(((c_TMAP2OUT)-(c_TMAP1OUT))&gt;=0,1,-1)*QUOTIENT(((c_TMAP2IN)-(c_TMAP1IN)),2)))&gt;=0,1,0)))</f>
        <v>30</v>
      </c>
      <c r="O69" s="7" t="n">
        <f aca="false">IF(((c_TMAP3IN)-(c_TMAP2IN))=0,(c_TMAP2OUT)+QUOTIENT(((c_TMAP3OUT)-(c_TMAP2OUT)),2),QUOTIENT((((K69)-(c_TMAP2IN))*((c_TMAP3OUT)-(c_TMAP2OUT))+IF(((c_TMAP3OUT)-(c_TMAP2OUT))&gt;=0,1,-1)*QUOTIENT(((c_TMAP3IN)-(c_TMAP2IN)),2)),((c_TMAP3IN)-(c_TMAP2IN)))+(c_TMAP2OUT)+IF(((c_TMAP3OUT)-(c_TMAP2OUT))&gt;=0,IF(IF(o_WRAP=1,MOD(((c_TMAP3IN)-(c_TMAP2IN))*(((K69)-(c_TMAP2IN))*((c_TMAP3OUT)-(c_TMAP2OUT))+IF(((c_TMAP3OUT)-(c_TMAP2OUT))&gt;=0,1,-1)*QUOTIENT(((c_TMAP3IN)-(c_TMAP2IN)),2))+2147483648,4294967296)-2147483648,((c_TMAP3IN)-(c_TMAP2IN))*(((K69)-(c_TMAP2IN))*((c_TMAP3OUT)-(c_TMAP2OUT))+IF(((c_TMAP3OUT)-(c_TMAP2OUT))&gt;=0,1,-1)*QUOTIENT(((c_TMAP3IN)-(c_TMAP2IN)),2)))&lt;0,-1,0),IF(IF(o_WRAP=1,MOD(((c_TMAP3IN)-(c_TMAP2IN))*(((K69)-(c_TMAP2IN))*((c_TMAP3OUT)-(c_TMAP2OUT))+IF(((c_TMAP3OUT)-(c_TMAP2OUT))&gt;=0,1,-1)*QUOTIENT(((c_TMAP3IN)-(c_TMAP2IN)),2))+2147483648,4294967296)-2147483648,((c_TMAP3IN)-(c_TMAP2IN))*(((K69)-(c_TMAP2IN))*((c_TMAP3OUT)-(c_TMAP2OUT))+IF(((c_TMAP3OUT)-(c_TMAP2OUT))&gt;=0,1,-1)*QUOTIENT(((c_TMAP3IN)-(c_TMAP2IN)),2)))&gt;=0,1,0)))</f>
        <v>-45</v>
      </c>
      <c r="P69" s="7" t="n">
        <f aca="false">IF(((1000)-(c_TMAP3IN))=0,(c_TMAP3OUT)+QUOTIENT(((1000)-(c_TMAP3OUT)),2),QUOTIENT((((K69)-(c_TMAP3IN))*((1000)-(c_TMAP3OUT))+IF(((1000)-(c_TMAP3OUT))&gt;=0,1,-1)*QUOTIENT(((1000)-(c_TMAP3IN)),2)),((1000)-(c_TMAP3IN)))+(c_TMAP3OUT)+IF(((1000)-(c_TMAP3OUT))&gt;=0,IF(IF(o_WRAP=1,MOD(((1000)-(c_TMAP3IN))*(((K69)-(c_TMAP3IN))*((1000)-(c_TMAP3OUT))+IF(((1000)-(c_TMAP3OUT))&gt;=0,1,-1)*QUOTIENT(((1000)-(c_TMAP3IN)),2))+2147483648,4294967296)-2147483648,((1000)-(c_TMAP3IN))*(((K69)-(c_TMAP3IN))*((1000)-(c_TMAP3OUT))+IF(((1000)-(c_TMAP3OUT))&gt;=0,1,-1)*QUOTIENT(((1000)-(c_TMAP3IN)),2)))&lt;0,-1,0),IF(IF(o_WRAP=1,MOD(((1000)-(c_TMAP3IN))*(((K69)-(c_TMAP3IN))*((1000)-(c_TMAP3OUT))+IF(((1000)-(c_TMAP3OUT))&gt;=0,1,-1)*QUOTIENT(((1000)-(c_TMAP3IN)),2))+2147483648,4294967296)-2147483648,((1000)-(c_TMAP3IN))*(((K69)-(c_TMAP3IN))*((1000)-(c_TMAP3OUT))+IF(((1000)-(c_TMAP3OUT))&gt;=0,1,-1)*QUOTIENT(((1000)-(c_TMAP3IN)),2)))&gt;=0,1,0)))</f>
        <v>-231</v>
      </c>
      <c r="Q69" s="7" t="str">
        <f aca="false">IF(K69&gt;=c_TFWD,IF(AND(K69&gt;=c_TMAP3IN,c_TMAP3IN&lt;1000),"Seg4 map3-100%",IF(AND(K69&gt;=c_TMAP2IN,c_TMAP3IN&gt;c_TMAP2IN),"Seg3 map2-map3",IF(AND(K69&gt;=c_TMAP1IN,c_TMAP2IN&gt;c_TMAP1IN),"Seg2 map1-map2","Seg1 TFWD-map1"))),IF(AND(K69=0,c_TCREEP&gt;0),"Creep",IF(AND(K69&lt;=c_TRNGMIN,K69&gt;=c_TRNGMAX,c_TRNGMIN-c_TRNGMAX&lt;&gt;0),"Regen ramp","Coast (0)")))</f>
        <v>Regen ramp</v>
      </c>
      <c r="R69" s="7" t="n">
        <f aca="false">IF(K69&gt;=c_TFWD,IF(AND(K69&gt;=c_TMAP3IN,c_TMAP3IN&lt;1000),P69,IF(AND(K69&gt;=c_TMAP2IN,c_TMAP3IN&gt;c_TMAP2IN),O69,IF(AND(K69&gt;=c_TMAP1IN,c_TMAP2IN&gt;c_TMAP1IN),N69,M69))),L69)</f>
        <v>-350</v>
      </c>
      <c r="S69" s="7" t="str">
        <f aca="false">IF(R69&lt;-1090,"TOO LOW",IF(R69&gt;1090,"TOO HIGH",""))</f>
        <v/>
      </c>
      <c r="T69" s="15" t="n">
        <f aca="false">IF(H69&lt;&gt;"OK",0,IF(S69&lt;&gt;"",0,IF(R69&gt;979,1000,R69)))</f>
        <v>-350</v>
      </c>
      <c r="U69" s="7" t="n">
        <f aca="false">T69/10</f>
        <v>-35</v>
      </c>
    </row>
    <row r="70" customFormat="false" ht="15" hidden="false" customHeight="false" outlineLevel="0" collapsed="false">
      <c r="A70" s="7" t="n">
        <v>65</v>
      </c>
      <c r="B70" s="7" t="n">
        <f aca="false">ROUND(o_SWSTART+A70*(o_SWEND-o_SWSTART)/400,0)</f>
        <v>665</v>
      </c>
      <c r="C70" s="7" t="n">
        <f aca="false">QUOTIENT((B70-c_OFF1)*c_GAIN1,1024)</f>
        <v>665</v>
      </c>
      <c r="D70" s="7" t="n">
        <f aca="false">IF(((c_T1MX)-(c_T1MN))=0,(0)+QUOTIENT(((1000)-(0)),2),QUOTIENT((((C70)-(c_T1MN))*((1000)-(0))+IF(((1000)-(0))&gt;=0,1,-1)*QUOTIENT(((c_T1MX)-(c_T1MN)),2)),((c_T1MX)-(c_T1MN)))+(0)+IF(((1000)-(0))&gt;=0,IF(IF(o_WRAP=1,MOD(((c_T1MX)-(c_T1MN))*(((C70)-(c_T1MN))*((1000)-(0))+IF(((1000)-(0))&gt;=0,1,-1)*QUOTIENT(((c_T1MX)-(c_T1MN)),2))+2147483648,4294967296)-2147483648,((c_T1MX)-(c_T1MN))*(((C70)-(c_T1MN))*((1000)-(0))+IF(((1000)-(0))&gt;=0,1,-1)*QUOTIENT(((c_T1MX)-(c_T1MN)),2)))&lt;0,-1,0),IF(IF(o_WRAP=1,MOD(((c_T1MX)-(c_T1MN))*(((C70)-(c_T1MN))*((1000)-(0))+IF(((1000)-(0))&gt;=0,1,-1)*QUOTIENT(((c_T1MX)-(c_T1MN)),2))+2147483648,4294967296)-2147483648,((c_T1MX)-(c_T1MN))*(((C70)-(c_T1MN))*((1000)-(0))+IF(((1000)-(0))&gt;=0,1,-1)*QUOTIENT(((c_T1MX)-(c_T1MN)),2)))&gt;=0,1,0)))</f>
        <v>-18</v>
      </c>
      <c r="E70" s="7" t="n">
        <f aca="false">IF(AND(c_TPOT=1,c_TTYPE=2),1000-D70,D70)</f>
        <v>-18</v>
      </c>
      <c r="F70" s="7" t="str">
        <f aca="false">IF(c_TPOT&gt;1,ROUND(IF(c_TTYPE=2,c_T2MX-IF(c_T1MX=c_T1MN,0,(C70-c_T1MN)/(c_T1MX-c_T1MN))*(c_T2MX-c_T2MN),c_T2MN+IF(c_T1MX=c_T1MN,0,(C70-c_T1MN)/(c_T1MX-c_T1MN))*(c_T2MX-c_T2MN))+o_MISMATCH,0),"")</f>
        <v/>
      </c>
      <c r="G70" s="7" t="str">
        <f aca="false">IF(c_TPOT&gt;1,IF(((c_T2MX)-(c_T2MN))=0,(0)+QUOTIENT(((1000)-(0)),2),QUOTIENT((((F70)-(c_T2MN))*((1000)-(0))+IF(((1000)-(0))&gt;=0,1,-1)*QUOTIENT(((c_T2MX)-(c_T2MN)),2)),((c_T2MX)-(c_T2MN)))+(0)+IF(((1000)-(0))&gt;=0,IF(IF(o_WRAP=1,MOD(((c_T2MX)-(c_T2MN))*(((F70)-(c_T2MN))*((1000)-(0))+IF(((1000)-(0))&gt;=0,1,-1)*QUOTIENT(((c_T2MX)-(c_T2MN)),2))+2147483648,4294967296)-2147483648,((c_T2MX)-(c_T2MN))*(((F70)-(c_T2MN))*((1000)-(0))+IF(((1000)-(0))&gt;=0,1,-1)*QUOTIENT(((c_T2MX)-(c_T2MN)),2)))&lt;0,-1,0),IF(IF(o_WRAP=1,MOD(((c_T2MX)-(c_T2MN))*(((F70)-(c_T2MN))*((1000)-(0))+IF(((1000)-(0))&gt;=0,1,-1)*QUOTIENT(((c_T2MX)-(c_T2MN)),2))+2147483648,4294967296)-2147483648,((c_T2MX)-(c_T2MN))*(((F70)-(c_T2MN))*((1000)-(0))+IF(((1000)-(0))&gt;=0,1,-1)*QUOTIENT(((c_T2MX)-(c_T2MN)),2)))&gt;=0,1,0))),"")</f>
        <v/>
      </c>
      <c r="H70" s="7" t="str">
        <f aca="false">IF(E70&gt;1000+k_TOL,"T1 HIGH",IF(E70&lt;0-k_TOL,"T1 LOW",IF(c_TPOT&gt;1,IF(G70&gt;1000+k_TOL,"T2 HIGH",IF(G70&lt;0-k_TOL,"T2 LOW",IF(c_TTYPE=2,IF(ABS(1000-MAX(0,MIN(1000,E70))-MAX(0,MIN(1000,G70)))&gt;k_MAXERR,"MISMATCH","OK"),IF(OR(MAX(0,MIN(1000,E70))-k_MAXERR&gt;MAX(0,MIN(1000,G70)),MAX(0,MIN(1000,G70))-k_MAXERR&gt;MAX(0,MIN(1000,E70))),"MISMATCH","OK")))),"OK")))</f>
        <v>OK</v>
      </c>
      <c r="I70" s="7" t="n">
        <f aca="false">MAX(0,MIN(1000,D70))</f>
        <v>0</v>
      </c>
      <c r="J70" s="7" t="str">
        <f aca="false">IF(c_TPOT&gt;1,IF(c_TTYPE=2,1000-MAX(0,MIN(1000,G70)),MAX(0,MIN(1000,G70))),"")</f>
        <v/>
      </c>
      <c r="K70" s="7" t="n">
        <f aca="false">IF(c_TPOT&gt;1,QUOTIENT(I70+J70,2),I70)</f>
        <v>0</v>
      </c>
      <c r="L70" s="7" t="n">
        <f aca="false">IF(AND(K70=0,c_TCREEP&gt;0),10*c_TCREEP,IF(AND(K70&lt;=c_TRNGMIN,K70&gt;=c_TRNGMAX,c_TRNGMIN-c_TRNGMAX&lt;&gt;0),-10*c_TMINRN+QUOTIENT((c_TMAXRN-c_TMINRN)*(100-QUOTIENT((K70-c_TRNGMAX)*100,c_TRNGMIN-c_TRNGMAX)),-10),0))</f>
        <v>-350</v>
      </c>
      <c r="M70" s="7" t="n">
        <f aca="false">IF(((c_TMAP1IN)-(c_TFWD))=0,(0)+QUOTIENT(((c_TMAP1OUT)-(0)),2),QUOTIENT((((K70)-(c_TFWD))*((c_TMAP1OUT)-(0))+IF(((c_TMAP1OUT)-(0))&gt;=0,1,-1)*QUOTIENT(((c_TMAP1IN)-(c_TFWD)),2)),((c_TMAP1IN)-(c_TFWD)))+(0)+IF(((c_TMAP1OUT)-(0))&gt;=0,IF(IF(o_WRAP=1,MOD(((c_TMAP1IN)-(c_TFWD))*(((K70)-(c_TFWD))*((c_TMAP1OUT)-(0))+IF(((c_TMAP1OUT)-(0))&gt;=0,1,-1)*QUOTIENT(((c_TMAP1IN)-(c_TFWD)),2))+2147483648,4294967296)-2147483648,((c_TMAP1IN)-(c_TFWD))*(((K70)-(c_TFWD))*((c_TMAP1OUT)-(0))+IF(((c_TMAP1OUT)-(0))&gt;=0,1,-1)*QUOTIENT(((c_TMAP1IN)-(c_TFWD)),2)))&lt;0,-1,0),IF(IF(o_WRAP=1,MOD(((c_TMAP1IN)-(c_TFWD))*(((K70)-(c_TFWD))*((c_TMAP1OUT)-(0))+IF(((c_TMAP1OUT)-(0))&gt;=0,1,-1)*QUOTIENT(((c_TMAP1IN)-(c_TFWD)),2))+2147483648,4294967296)-2147483648,((c_TMAP1IN)-(c_TFWD))*(((K70)-(c_TFWD))*((c_TMAP1OUT)-(0))+IF(((c_TMAP1OUT)-(0))&gt;=0,1,-1)*QUOTIENT(((c_TMAP1IN)-(c_TFWD)),2)))&gt;=0,1,0)))</f>
        <v>-8</v>
      </c>
      <c r="N70" s="7" t="n">
        <f aca="false">IF(((c_TMAP2IN)-(c_TMAP1IN))=0,(c_TMAP1OUT)+QUOTIENT(((c_TMAP2OUT)-(c_TMAP1OUT)),2),QUOTIENT((((K70)-(c_TMAP1IN))*((c_TMAP2OUT)-(c_TMAP1OUT))+IF(((c_TMAP2OUT)-(c_TMAP1OUT))&gt;=0,1,-1)*QUOTIENT(((c_TMAP2IN)-(c_TMAP1IN)),2)),((c_TMAP2IN)-(c_TMAP1IN)))+(c_TMAP1OUT)+IF(((c_TMAP2OUT)-(c_TMAP1OUT))&gt;=0,IF(IF(o_WRAP=1,MOD(((c_TMAP2IN)-(c_TMAP1IN))*(((K70)-(c_TMAP1IN))*((c_TMAP2OUT)-(c_TMAP1OUT))+IF(((c_TMAP2OUT)-(c_TMAP1OUT))&gt;=0,1,-1)*QUOTIENT(((c_TMAP2IN)-(c_TMAP1IN)),2))+2147483648,4294967296)-2147483648,((c_TMAP2IN)-(c_TMAP1IN))*(((K70)-(c_TMAP1IN))*((c_TMAP2OUT)-(c_TMAP1OUT))+IF(((c_TMAP2OUT)-(c_TMAP1OUT))&gt;=0,1,-1)*QUOTIENT(((c_TMAP2IN)-(c_TMAP1IN)),2)))&lt;0,-1,0),IF(IF(o_WRAP=1,MOD(((c_TMAP2IN)-(c_TMAP1IN))*(((K70)-(c_TMAP1IN))*((c_TMAP2OUT)-(c_TMAP1OUT))+IF(((c_TMAP2OUT)-(c_TMAP1OUT))&gt;=0,1,-1)*QUOTIENT(((c_TMAP2IN)-(c_TMAP1IN)),2))+2147483648,4294967296)-2147483648,((c_TMAP2IN)-(c_TMAP1IN))*(((K70)-(c_TMAP1IN))*((c_TMAP2OUT)-(c_TMAP1OUT))+IF(((c_TMAP2OUT)-(c_TMAP1OUT))&gt;=0,1,-1)*QUOTIENT(((c_TMAP2IN)-(c_TMAP1IN)),2)))&gt;=0,1,0)))</f>
        <v>30</v>
      </c>
      <c r="O70" s="7" t="n">
        <f aca="false">IF(((c_TMAP3IN)-(c_TMAP2IN))=0,(c_TMAP2OUT)+QUOTIENT(((c_TMAP3OUT)-(c_TMAP2OUT)),2),QUOTIENT((((K70)-(c_TMAP2IN))*((c_TMAP3OUT)-(c_TMAP2OUT))+IF(((c_TMAP3OUT)-(c_TMAP2OUT))&gt;=0,1,-1)*QUOTIENT(((c_TMAP3IN)-(c_TMAP2IN)),2)),((c_TMAP3IN)-(c_TMAP2IN)))+(c_TMAP2OUT)+IF(((c_TMAP3OUT)-(c_TMAP2OUT))&gt;=0,IF(IF(o_WRAP=1,MOD(((c_TMAP3IN)-(c_TMAP2IN))*(((K70)-(c_TMAP2IN))*((c_TMAP3OUT)-(c_TMAP2OUT))+IF(((c_TMAP3OUT)-(c_TMAP2OUT))&gt;=0,1,-1)*QUOTIENT(((c_TMAP3IN)-(c_TMAP2IN)),2))+2147483648,4294967296)-2147483648,((c_TMAP3IN)-(c_TMAP2IN))*(((K70)-(c_TMAP2IN))*((c_TMAP3OUT)-(c_TMAP2OUT))+IF(((c_TMAP3OUT)-(c_TMAP2OUT))&gt;=0,1,-1)*QUOTIENT(((c_TMAP3IN)-(c_TMAP2IN)),2)))&lt;0,-1,0),IF(IF(o_WRAP=1,MOD(((c_TMAP3IN)-(c_TMAP2IN))*(((K70)-(c_TMAP2IN))*((c_TMAP3OUT)-(c_TMAP2OUT))+IF(((c_TMAP3OUT)-(c_TMAP2OUT))&gt;=0,1,-1)*QUOTIENT(((c_TMAP3IN)-(c_TMAP2IN)),2))+2147483648,4294967296)-2147483648,((c_TMAP3IN)-(c_TMAP2IN))*(((K70)-(c_TMAP2IN))*((c_TMAP3OUT)-(c_TMAP2OUT))+IF(((c_TMAP3OUT)-(c_TMAP2OUT))&gt;=0,1,-1)*QUOTIENT(((c_TMAP3IN)-(c_TMAP2IN)),2)))&gt;=0,1,0)))</f>
        <v>-45</v>
      </c>
      <c r="P70" s="7" t="n">
        <f aca="false">IF(((1000)-(c_TMAP3IN))=0,(c_TMAP3OUT)+QUOTIENT(((1000)-(c_TMAP3OUT)),2),QUOTIENT((((K70)-(c_TMAP3IN))*((1000)-(c_TMAP3OUT))+IF(((1000)-(c_TMAP3OUT))&gt;=0,1,-1)*QUOTIENT(((1000)-(c_TMAP3IN)),2)),((1000)-(c_TMAP3IN)))+(c_TMAP3OUT)+IF(((1000)-(c_TMAP3OUT))&gt;=0,IF(IF(o_WRAP=1,MOD(((1000)-(c_TMAP3IN))*(((K70)-(c_TMAP3IN))*((1000)-(c_TMAP3OUT))+IF(((1000)-(c_TMAP3OUT))&gt;=0,1,-1)*QUOTIENT(((1000)-(c_TMAP3IN)),2))+2147483648,4294967296)-2147483648,((1000)-(c_TMAP3IN))*(((K70)-(c_TMAP3IN))*((1000)-(c_TMAP3OUT))+IF(((1000)-(c_TMAP3OUT))&gt;=0,1,-1)*QUOTIENT(((1000)-(c_TMAP3IN)),2)))&lt;0,-1,0),IF(IF(o_WRAP=1,MOD(((1000)-(c_TMAP3IN))*(((K70)-(c_TMAP3IN))*((1000)-(c_TMAP3OUT))+IF(((1000)-(c_TMAP3OUT))&gt;=0,1,-1)*QUOTIENT(((1000)-(c_TMAP3IN)),2))+2147483648,4294967296)-2147483648,((1000)-(c_TMAP3IN))*(((K70)-(c_TMAP3IN))*((1000)-(c_TMAP3OUT))+IF(((1000)-(c_TMAP3OUT))&gt;=0,1,-1)*QUOTIENT(((1000)-(c_TMAP3IN)),2)))&gt;=0,1,0)))</f>
        <v>-231</v>
      </c>
      <c r="Q70" s="7" t="str">
        <f aca="false">IF(K70&gt;=c_TFWD,IF(AND(K70&gt;=c_TMAP3IN,c_TMAP3IN&lt;1000),"Seg4 map3-100%",IF(AND(K70&gt;=c_TMAP2IN,c_TMAP3IN&gt;c_TMAP2IN),"Seg3 map2-map3",IF(AND(K70&gt;=c_TMAP1IN,c_TMAP2IN&gt;c_TMAP1IN),"Seg2 map1-map2","Seg1 TFWD-map1"))),IF(AND(K70=0,c_TCREEP&gt;0),"Creep",IF(AND(K70&lt;=c_TRNGMIN,K70&gt;=c_TRNGMAX,c_TRNGMIN-c_TRNGMAX&lt;&gt;0),"Regen ramp","Coast (0)")))</f>
        <v>Regen ramp</v>
      </c>
      <c r="R70" s="7" t="n">
        <f aca="false">IF(K70&gt;=c_TFWD,IF(AND(K70&gt;=c_TMAP3IN,c_TMAP3IN&lt;1000),P70,IF(AND(K70&gt;=c_TMAP2IN,c_TMAP3IN&gt;c_TMAP2IN),O70,IF(AND(K70&gt;=c_TMAP1IN,c_TMAP2IN&gt;c_TMAP1IN),N70,M70))),L70)</f>
        <v>-350</v>
      </c>
      <c r="S70" s="7" t="str">
        <f aca="false">IF(R70&lt;-1090,"TOO LOW",IF(R70&gt;1090,"TOO HIGH",""))</f>
        <v/>
      </c>
      <c r="T70" s="15" t="n">
        <f aca="false">IF(H70&lt;&gt;"OK",0,IF(S70&lt;&gt;"",0,IF(R70&gt;979,1000,R70)))</f>
        <v>-350</v>
      </c>
      <c r="U70" s="7" t="n">
        <f aca="false">T70/10</f>
        <v>-35</v>
      </c>
    </row>
    <row r="71" customFormat="false" ht="15" hidden="false" customHeight="false" outlineLevel="0" collapsed="false">
      <c r="A71" s="7" t="n">
        <v>66</v>
      </c>
      <c r="B71" s="7" t="n">
        <f aca="false">ROUND(o_SWSTART+A71*(o_SWEND-o_SWSTART)/400,0)</f>
        <v>676</v>
      </c>
      <c r="C71" s="7" t="n">
        <f aca="false">QUOTIENT((B71-c_OFF1)*c_GAIN1,1024)</f>
        <v>676</v>
      </c>
      <c r="D71" s="7" t="n">
        <f aca="false">IF(((c_T1MX)-(c_T1MN))=0,(0)+QUOTIENT(((1000)-(0)),2),QUOTIENT((((C71)-(c_T1MN))*((1000)-(0))+IF(((1000)-(0))&gt;=0,1,-1)*QUOTIENT(((c_T1MX)-(c_T1MN)),2)),((c_T1MX)-(c_T1MN)))+(0)+IF(((1000)-(0))&gt;=0,IF(IF(o_WRAP=1,MOD(((c_T1MX)-(c_T1MN))*(((C71)-(c_T1MN))*((1000)-(0))+IF(((1000)-(0))&gt;=0,1,-1)*QUOTIENT(((c_T1MX)-(c_T1MN)),2))+2147483648,4294967296)-2147483648,((c_T1MX)-(c_T1MN))*(((C71)-(c_T1MN))*((1000)-(0))+IF(((1000)-(0))&gt;=0,1,-1)*QUOTIENT(((c_T1MX)-(c_T1MN)),2)))&lt;0,-1,0),IF(IF(o_WRAP=1,MOD(((c_T1MX)-(c_T1MN))*(((C71)-(c_T1MN))*((1000)-(0))+IF(((1000)-(0))&gt;=0,1,-1)*QUOTIENT(((c_T1MX)-(c_T1MN)),2))+2147483648,4294967296)-2147483648,((c_T1MX)-(c_T1MN))*(((C71)-(c_T1MN))*((1000)-(0))+IF(((1000)-(0))&gt;=0,1,-1)*QUOTIENT(((c_T1MX)-(c_T1MN)),2)))&gt;=0,1,0)))</f>
        <v>-14</v>
      </c>
      <c r="E71" s="7" t="n">
        <f aca="false">IF(AND(c_TPOT=1,c_TTYPE=2),1000-D71,D71)</f>
        <v>-14</v>
      </c>
      <c r="F71" s="7" t="str">
        <f aca="false">IF(c_TPOT&gt;1,ROUND(IF(c_TTYPE=2,c_T2MX-IF(c_T1MX=c_T1MN,0,(C71-c_T1MN)/(c_T1MX-c_T1MN))*(c_T2MX-c_T2MN),c_T2MN+IF(c_T1MX=c_T1MN,0,(C71-c_T1MN)/(c_T1MX-c_T1MN))*(c_T2MX-c_T2MN))+o_MISMATCH,0),"")</f>
        <v/>
      </c>
      <c r="G71" s="7" t="str">
        <f aca="false">IF(c_TPOT&gt;1,IF(((c_T2MX)-(c_T2MN))=0,(0)+QUOTIENT(((1000)-(0)),2),QUOTIENT((((F71)-(c_T2MN))*((1000)-(0))+IF(((1000)-(0))&gt;=0,1,-1)*QUOTIENT(((c_T2MX)-(c_T2MN)),2)),((c_T2MX)-(c_T2MN)))+(0)+IF(((1000)-(0))&gt;=0,IF(IF(o_WRAP=1,MOD(((c_T2MX)-(c_T2MN))*(((F71)-(c_T2MN))*((1000)-(0))+IF(((1000)-(0))&gt;=0,1,-1)*QUOTIENT(((c_T2MX)-(c_T2MN)),2))+2147483648,4294967296)-2147483648,((c_T2MX)-(c_T2MN))*(((F71)-(c_T2MN))*((1000)-(0))+IF(((1000)-(0))&gt;=0,1,-1)*QUOTIENT(((c_T2MX)-(c_T2MN)),2)))&lt;0,-1,0),IF(IF(o_WRAP=1,MOD(((c_T2MX)-(c_T2MN))*(((F71)-(c_T2MN))*((1000)-(0))+IF(((1000)-(0))&gt;=0,1,-1)*QUOTIENT(((c_T2MX)-(c_T2MN)),2))+2147483648,4294967296)-2147483648,((c_T2MX)-(c_T2MN))*(((F71)-(c_T2MN))*((1000)-(0))+IF(((1000)-(0))&gt;=0,1,-1)*QUOTIENT(((c_T2MX)-(c_T2MN)),2)))&gt;=0,1,0))),"")</f>
        <v/>
      </c>
      <c r="H71" s="7" t="str">
        <f aca="false">IF(E71&gt;1000+k_TOL,"T1 HIGH",IF(E71&lt;0-k_TOL,"T1 LOW",IF(c_TPOT&gt;1,IF(G71&gt;1000+k_TOL,"T2 HIGH",IF(G71&lt;0-k_TOL,"T2 LOW",IF(c_TTYPE=2,IF(ABS(1000-MAX(0,MIN(1000,E71))-MAX(0,MIN(1000,G71)))&gt;k_MAXERR,"MISMATCH","OK"),IF(OR(MAX(0,MIN(1000,E71))-k_MAXERR&gt;MAX(0,MIN(1000,G71)),MAX(0,MIN(1000,G71))-k_MAXERR&gt;MAX(0,MIN(1000,E71))),"MISMATCH","OK")))),"OK")))</f>
        <v>OK</v>
      </c>
      <c r="I71" s="7" t="n">
        <f aca="false">MAX(0,MIN(1000,D71))</f>
        <v>0</v>
      </c>
      <c r="J71" s="7" t="str">
        <f aca="false">IF(c_TPOT&gt;1,IF(c_TTYPE=2,1000-MAX(0,MIN(1000,G71)),MAX(0,MIN(1000,G71))),"")</f>
        <v/>
      </c>
      <c r="K71" s="7" t="n">
        <f aca="false">IF(c_TPOT&gt;1,QUOTIENT(I71+J71,2),I71)</f>
        <v>0</v>
      </c>
      <c r="L71" s="7" t="n">
        <f aca="false">IF(AND(K71=0,c_TCREEP&gt;0),10*c_TCREEP,IF(AND(K71&lt;=c_TRNGMIN,K71&gt;=c_TRNGMAX,c_TRNGMIN-c_TRNGMAX&lt;&gt;0),-10*c_TMINRN+QUOTIENT((c_TMAXRN-c_TMINRN)*(100-QUOTIENT((K71-c_TRNGMAX)*100,c_TRNGMIN-c_TRNGMAX)),-10),0))</f>
        <v>-350</v>
      </c>
      <c r="M71" s="7" t="n">
        <f aca="false">IF(((c_TMAP1IN)-(c_TFWD))=0,(0)+QUOTIENT(((c_TMAP1OUT)-(0)),2),QUOTIENT((((K71)-(c_TFWD))*((c_TMAP1OUT)-(0))+IF(((c_TMAP1OUT)-(0))&gt;=0,1,-1)*QUOTIENT(((c_TMAP1IN)-(c_TFWD)),2)),((c_TMAP1IN)-(c_TFWD)))+(0)+IF(((c_TMAP1OUT)-(0))&gt;=0,IF(IF(o_WRAP=1,MOD(((c_TMAP1IN)-(c_TFWD))*(((K71)-(c_TFWD))*((c_TMAP1OUT)-(0))+IF(((c_TMAP1OUT)-(0))&gt;=0,1,-1)*QUOTIENT(((c_TMAP1IN)-(c_TFWD)),2))+2147483648,4294967296)-2147483648,((c_TMAP1IN)-(c_TFWD))*(((K71)-(c_TFWD))*((c_TMAP1OUT)-(0))+IF(((c_TMAP1OUT)-(0))&gt;=0,1,-1)*QUOTIENT(((c_TMAP1IN)-(c_TFWD)),2)))&lt;0,-1,0),IF(IF(o_WRAP=1,MOD(((c_TMAP1IN)-(c_TFWD))*(((K71)-(c_TFWD))*((c_TMAP1OUT)-(0))+IF(((c_TMAP1OUT)-(0))&gt;=0,1,-1)*QUOTIENT(((c_TMAP1IN)-(c_TFWD)),2))+2147483648,4294967296)-2147483648,((c_TMAP1IN)-(c_TFWD))*(((K71)-(c_TFWD))*((c_TMAP1OUT)-(0))+IF(((c_TMAP1OUT)-(0))&gt;=0,1,-1)*QUOTIENT(((c_TMAP1IN)-(c_TFWD)),2)))&gt;=0,1,0)))</f>
        <v>-8</v>
      </c>
      <c r="N71" s="7" t="n">
        <f aca="false">IF(((c_TMAP2IN)-(c_TMAP1IN))=0,(c_TMAP1OUT)+QUOTIENT(((c_TMAP2OUT)-(c_TMAP1OUT)),2),QUOTIENT((((K71)-(c_TMAP1IN))*((c_TMAP2OUT)-(c_TMAP1OUT))+IF(((c_TMAP2OUT)-(c_TMAP1OUT))&gt;=0,1,-1)*QUOTIENT(((c_TMAP2IN)-(c_TMAP1IN)),2)),((c_TMAP2IN)-(c_TMAP1IN)))+(c_TMAP1OUT)+IF(((c_TMAP2OUT)-(c_TMAP1OUT))&gt;=0,IF(IF(o_WRAP=1,MOD(((c_TMAP2IN)-(c_TMAP1IN))*(((K71)-(c_TMAP1IN))*((c_TMAP2OUT)-(c_TMAP1OUT))+IF(((c_TMAP2OUT)-(c_TMAP1OUT))&gt;=0,1,-1)*QUOTIENT(((c_TMAP2IN)-(c_TMAP1IN)),2))+2147483648,4294967296)-2147483648,((c_TMAP2IN)-(c_TMAP1IN))*(((K71)-(c_TMAP1IN))*((c_TMAP2OUT)-(c_TMAP1OUT))+IF(((c_TMAP2OUT)-(c_TMAP1OUT))&gt;=0,1,-1)*QUOTIENT(((c_TMAP2IN)-(c_TMAP1IN)),2)))&lt;0,-1,0),IF(IF(o_WRAP=1,MOD(((c_TMAP2IN)-(c_TMAP1IN))*(((K71)-(c_TMAP1IN))*((c_TMAP2OUT)-(c_TMAP1OUT))+IF(((c_TMAP2OUT)-(c_TMAP1OUT))&gt;=0,1,-1)*QUOTIENT(((c_TMAP2IN)-(c_TMAP1IN)),2))+2147483648,4294967296)-2147483648,((c_TMAP2IN)-(c_TMAP1IN))*(((K71)-(c_TMAP1IN))*((c_TMAP2OUT)-(c_TMAP1OUT))+IF(((c_TMAP2OUT)-(c_TMAP1OUT))&gt;=0,1,-1)*QUOTIENT(((c_TMAP2IN)-(c_TMAP1IN)),2)))&gt;=0,1,0)))</f>
        <v>30</v>
      </c>
      <c r="O71" s="7" t="n">
        <f aca="false">IF(((c_TMAP3IN)-(c_TMAP2IN))=0,(c_TMAP2OUT)+QUOTIENT(((c_TMAP3OUT)-(c_TMAP2OUT)),2),QUOTIENT((((K71)-(c_TMAP2IN))*((c_TMAP3OUT)-(c_TMAP2OUT))+IF(((c_TMAP3OUT)-(c_TMAP2OUT))&gt;=0,1,-1)*QUOTIENT(((c_TMAP3IN)-(c_TMAP2IN)),2)),((c_TMAP3IN)-(c_TMAP2IN)))+(c_TMAP2OUT)+IF(((c_TMAP3OUT)-(c_TMAP2OUT))&gt;=0,IF(IF(o_WRAP=1,MOD(((c_TMAP3IN)-(c_TMAP2IN))*(((K71)-(c_TMAP2IN))*((c_TMAP3OUT)-(c_TMAP2OUT))+IF(((c_TMAP3OUT)-(c_TMAP2OUT))&gt;=0,1,-1)*QUOTIENT(((c_TMAP3IN)-(c_TMAP2IN)),2))+2147483648,4294967296)-2147483648,((c_TMAP3IN)-(c_TMAP2IN))*(((K71)-(c_TMAP2IN))*((c_TMAP3OUT)-(c_TMAP2OUT))+IF(((c_TMAP3OUT)-(c_TMAP2OUT))&gt;=0,1,-1)*QUOTIENT(((c_TMAP3IN)-(c_TMAP2IN)),2)))&lt;0,-1,0),IF(IF(o_WRAP=1,MOD(((c_TMAP3IN)-(c_TMAP2IN))*(((K71)-(c_TMAP2IN))*((c_TMAP3OUT)-(c_TMAP2OUT))+IF(((c_TMAP3OUT)-(c_TMAP2OUT))&gt;=0,1,-1)*QUOTIENT(((c_TMAP3IN)-(c_TMAP2IN)),2))+2147483648,4294967296)-2147483648,((c_TMAP3IN)-(c_TMAP2IN))*(((K71)-(c_TMAP2IN))*((c_TMAP3OUT)-(c_TMAP2OUT))+IF(((c_TMAP3OUT)-(c_TMAP2OUT))&gt;=0,1,-1)*QUOTIENT(((c_TMAP3IN)-(c_TMAP2IN)),2)))&gt;=0,1,0)))</f>
        <v>-45</v>
      </c>
      <c r="P71" s="7" t="n">
        <f aca="false">IF(((1000)-(c_TMAP3IN))=0,(c_TMAP3OUT)+QUOTIENT(((1000)-(c_TMAP3OUT)),2),QUOTIENT((((K71)-(c_TMAP3IN))*((1000)-(c_TMAP3OUT))+IF(((1000)-(c_TMAP3OUT))&gt;=0,1,-1)*QUOTIENT(((1000)-(c_TMAP3IN)),2)),((1000)-(c_TMAP3IN)))+(c_TMAP3OUT)+IF(((1000)-(c_TMAP3OUT))&gt;=0,IF(IF(o_WRAP=1,MOD(((1000)-(c_TMAP3IN))*(((K71)-(c_TMAP3IN))*((1000)-(c_TMAP3OUT))+IF(((1000)-(c_TMAP3OUT))&gt;=0,1,-1)*QUOTIENT(((1000)-(c_TMAP3IN)),2))+2147483648,4294967296)-2147483648,((1000)-(c_TMAP3IN))*(((K71)-(c_TMAP3IN))*((1000)-(c_TMAP3OUT))+IF(((1000)-(c_TMAP3OUT))&gt;=0,1,-1)*QUOTIENT(((1000)-(c_TMAP3IN)),2)))&lt;0,-1,0),IF(IF(o_WRAP=1,MOD(((1000)-(c_TMAP3IN))*(((K71)-(c_TMAP3IN))*((1000)-(c_TMAP3OUT))+IF(((1000)-(c_TMAP3OUT))&gt;=0,1,-1)*QUOTIENT(((1000)-(c_TMAP3IN)),2))+2147483648,4294967296)-2147483648,((1000)-(c_TMAP3IN))*(((K71)-(c_TMAP3IN))*((1000)-(c_TMAP3OUT))+IF(((1000)-(c_TMAP3OUT))&gt;=0,1,-1)*QUOTIENT(((1000)-(c_TMAP3IN)),2)))&gt;=0,1,0)))</f>
        <v>-231</v>
      </c>
      <c r="Q71" s="7" t="str">
        <f aca="false">IF(K71&gt;=c_TFWD,IF(AND(K71&gt;=c_TMAP3IN,c_TMAP3IN&lt;1000),"Seg4 map3-100%",IF(AND(K71&gt;=c_TMAP2IN,c_TMAP3IN&gt;c_TMAP2IN),"Seg3 map2-map3",IF(AND(K71&gt;=c_TMAP1IN,c_TMAP2IN&gt;c_TMAP1IN),"Seg2 map1-map2","Seg1 TFWD-map1"))),IF(AND(K71=0,c_TCREEP&gt;0),"Creep",IF(AND(K71&lt;=c_TRNGMIN,K71&gt;=c_TRNGMAX,c_TRNGMIN-c_TRNGMAX&lt;&gt;0),"Regen ramp","Coast (0)")))</f>
        <v>Regen ramp</v>
      </c>
      <c r="R71" s="7" t="n">
        <f aca="false">IF(K71&gt;=c_TFWD,IF(AND(K71&gt;=c_TMAP3IN,c_TMAP3IN&lt;1000),P71,IF(AND(K71&gt;=c_TMAP2IN,c_TMAP3IN&gt;c_TMAP2IN),O71,IF(AND(K71&gt;=c_TMAP1IN,c_TMAP2IN&gt;c_TMAP1IN),N71,M71))),L71)</f>
        <v>-350</v>
      </c>
      <c r="S71" s="7" t="str">
        <f aca="false">IF(R71&lt;-1090,"TOO LOW",IF(R71&gt;1090,"TOO HIGH",""))</f>
        <v/>
      </c>
      <c r="T71" s="15" t="n">
        <f aca="false">IF(H71&lt;&gt;"OK",0,IF(S71&lt;&gt;"",0,IF(R71&gt;979,1000,R71)))</f>
        <v>-350</v>
      </c>
      <c r="U71" s="7" t="n">
        <f aca="false">T71/10</f>
        <v>-35</v>
      </c>
    </row>
    <row r="72" customFormat="false" ht="15" hidden="false" customHeight="false" outlineLevel="0" collapsed="false">
      <c r="A72" s="7" t="n">
        <v>67</v>
      </c>
      <c r="B72" s="7" t="n">
        <f aca="false">ROUND(o_SWSTART+A72*(o_SWEND-o_SWSTART)/400,0)</f>
        <v>686</v>
      </c>
      <c r="C72" s="7" t="n">
        <f aca="false">QUOTIENT((B72-c_OFF1)*c_GAIN1,1024)</f>
        <v>686</v>
      </c>
      <c r="D72" s="7" t="n">
        <f aca="false">IF(((c_T1MX)-(c_T1MN))=0,(0)+QUOTIENT(((1000)-(0)),2),QUOTIENT((((C72)-(c_T1MN))*((1000)-(0))+IF(((1000)-(0))&gt;=0,1,-1)*QUOTIENT(((c_T1MX)-(c_T1MN)),2)),((c_T1MX)-(c_T1MN)))+(0)+IF(((1000)-(0))&gt;=0,IF(IF(o_WRAP=1,MOD(((c_T1MX)-(c_T1MN))*(((C72)-(c_T1MN))*((1000)-(0))+IF(((1000)-(0))&gt;=0,1,-1)*QUOTIENT(((c_T1MX)-(c_T1MN)),2))+2147483648,4294967296)-2147483648,((c_T1MX)-(c_T1MN))*(((C72)-(c_T1MN))*((1000)-(0))+IF(((1000)-(0))&gt;=0,1,-1)*QUOTIENT(((c_T1MX)-(c_T1MN)),2)))&lt;0,-1,0),IF(IF(o_WRAP=1,MOD(((c_T1MX)-(c_T1MN))*(((C72)-(c_T1MN))*((1000)-(0))+IF(((1000)-(0))&gt;=0,1,-1)*QUOTIENT(((c_T1MX)-(c_T1MN)),2))+2147483648,4294967296)-2147483648,((c_T1MX)-(c_T1MN))*(((C72)-(c_T1MN))*((1000)-(0))+IF(((1000)-(0))&gt;=0,1,-1)*QUOTIENT(((c_T1MX)-(c_T1MN)),2)))&gt;=0,1,0)))</f>
        <v>-10</v>
      </c>
      <c r="E72" s="7" t="n">
        <f aca="false">IF(AND(c_TPOT=1,c_TTYPE=2),1000-D72,D72)</f>
        <v>-10</v>
      </c>
      <c r="F72" s="7" t="str">
        <f aca="false">IF(c_TPOT&gt;1,ROUND(IF(c_TTYPE=2,c_T2MX-IF(c_T1MX=c_T1MN,0,(C72-c_T1MN)/(c_T1MX-c_T1MN))*(c_T2MX-c_T2MN),c_T2MN+IF(c_T1MX=c_T1MN,0,(C72-c_T1MN)/(c_T1MX-c_T1MN))*(c_T2MX-c_T2MN))+o_MISMATCH,0),"")</f>
        <v/>
      </c>
      <c r="G72" s="7" t="str">
        <f aca="false">IF(c_TPOT&gt;1,IF(((c_T2MX)-(c_T2MN))=0,(0)+QUOTIENT(((1000)-(0)),2),QUOTIENT((((F72)-(c_T2MN))*((1000)-(0))+IF(((1000)-(0))&gt;=0,1,-1)*QUOTIENT(((c_T2MX)-(c_T2MN)),2)),((c_T2MX)-(c_T2MN)))+(0)+IF(((1000)-(0))&gt;=0,IF(IF(o_WRAP=1,MOD(((c_T2MX)-(c_T2MN))*(((F72)-(c_T2MN))*((1000)-(0))+IF(((1000)-(0))&gt;=0,1,-1)*QUOTIENT(((c_T2MX)-(c_T2MN)),2))+2147483648,4294967296)-2147483648,((c_T2MX)-(c_T2MN))*(((F72)-(c_T2MN))*((1000)-(0))+IF(((1000)-(0))&gt;=0,1,-1)*QUOTIENT(((c_T2MX)-(c_T2MN)),2)))&lt;0,-1,0),IF(IF(o_WRAP=1,MOD(((c_T2MX)-(c_T2MN))*(((F72)-(c_T2MN))*((1000)-(0))+IF(((1000)-(0))&gt;=0,1,-1)*QUOTIENT(((c_T2MX)-(c_T2MN)),2))+2147483648,4294967296)-2147483648,((c_T2MX)-(c_T2MN))*(((F72)-(c_T2MN))*((1000)-(0))+IF(((1000)-(0))&gt;=0,1,-1)*QUOTIENT(((c_T2MX)-(c_T2MN)),2)))&gt;=0,1,0))),"")</f>
        <v/>
      </c>
      <c r="H72" s="7" t="str">
        <f aca="false">IF(E72&gt;1000+k_TOL,"T1 HIGH",IF(E72&lt;0-k_TOL,"T1 LOW",IF(c_TPOT&gt;1,IF(G72&gt;1000+k_TOL,"T2 HIGH",IF(G72&lt;0-k_TOL,"T2 LOW",IF(c_TTYPE=2,IF(ABS(1000-MAX(0,MIN(1000,E72))-MAX(0,MIN(1000,G72)))&gt;k_MAXERR,"MISMATCH","OK"),IF(OR(MAX(0,MIN(1000,E72))-k_MAXERR&gt;MAX(0,MIN(1000,G72)),MAX(0,MIN(1000,G72))-k_MAXERR&gt;MAX(0,MIN(1000,E72))),"MISMATCH","OK")))),"OK")))</f>
        <v>OK</v>
      </c>
      <c r="I72" s="7" t="n">
        <f aca="false">MAX(0,MIN(1000,D72))</f>
        <v>0</v>
      </c>
      <c r="J72" s="7" t="str">
        <f aca="false">IF(c_TPOT&gt;1,IF(c_TTYPE=2,1000-MAX(0,MIN(1000,G72)),MAX(0,MIN(1000,G72))),"")</f>
        <v/>
      </c>
      <c r="K72" s="7" t="n">
        <f aca="false">IF(c_TPOT&gt;1,QUOTIENT(I72+J72,2),I72)</f>
        <v>0</v>
      </c>
      <c r="L72" s="7" t="n">
        <f aca="false">IF(AND(K72=0,c_TCREEP&gt;0),10*c_TCREEP,IF(AND(K72&lt;=c_TRNGMIN,K72&gt;=c_TRNGMAX,c_TRNGMIN-c_TRNGMAX&lt;&gt;0),-10*c_TMINRN+QUOTIENT((c_TMAXRN-c_TMINRN)*(100-QUOTIENT((K72-c_TRNGMAX)*100,c_TRNGMIN-c_TRNGMAX)),-10),0))</f>
        <v>-350</v>
      </c>
      <c r="M72" s="7" t="n">
        <f aca="false">IF(((c_TMAP1IN)-(c_TFWD))=0,(0)+QUOTIENT(((c_TMAP1OUT)-(0)),2),QUOTIENT((((K72)-(c_TFWD))*((c_TMAP1OUT)-(0))+IF(((c_TMAP1OUT)-(0))&gt;=0,1,-1)*QUOTIENT(((c_TMAP1IN)-(c_TFWD)),2)),((c_TMAP1IN)-(c_TFWD)))+(0)+IF(((c_TMAP1OUT)-(0))&gt;=0,IF(IF(o_WRAP=1,MOD(((c_TMAP1IN)-(c_TFWD))*(((K72)-(c_TFWD))*((c_TMAP1OUT)-(0))+IF(((c_TMAP1OUT)-(0))&gt;=0,1,-1)*QUOTIENT(((c_TMAP1IN)-(c_TFWD)),2))+2147483648,4294967296)-2147483648,((c_TMAP1IN)-(c_TFWD))*(((K72)-(c_TFWD))*((c_TMAP1OUT)-(0))+IF(((c_TMAP1OUT)-(0))&gt;=0,1,-1)*QUOTIENT(((c_TMAP1IN)-(c_TFWD)),2)))&lt;0,-1,0),IF(IF(o_WRAP=1,MOD(((c_TMAP1IN)-(c_TFWD))*(((K72)-(c_TFWD))*((c_TMAP1OUT)-(0))+IF(((c_TMAP1OUT)-(0))&gt;=0,1,-1)*QUOTIENT(((c_TMAP1IN)-(c_TFWD)),2))+2147483648,4294967296)-2147483648,((c_TMAP1IN)-(c_TFWD))*(((K72)-(c_TFWD))*((c_TMAP1OUT)-(0))+IF(((c_TMAP1OUT)-(0))&gt;=0,1,-1)*QUOTIENT(((c_TMAP1IN)-(c_TFWD)),2)))&gt;=0,1,0)))</f>
        <v>-8</v>
      </c>
      <c r="N72" s="7" t="n">
        <f aca="false">IF(((c_TMAP2IN)-(c_TMAP1IN))=0,(c_TMAP1OUT)+QUOTIENT(((c_TMAP2OUT)-(c_TMAP1OUT)),2),QUOTIENT((((K72)-(c_TMAP1IN))*((c_TMAP2OUT)-(c_TMAP1OUT))+IF(((c_TMAP2OUT)-(c_TMAP1OUT))&gt;=0,1,-1)*QUOTIENT(((c_TMAP2IN)-(c_TMAP1IN)),2)),((c_TMAP2IN)-(c_TMAP1IN)))+(c_TMAP1OUT)+IF(((c_TMAP2OUT)-(c_TMAP1OUT))&gt;=0,IF(IF(o_WRAP=1,MOD(((c_TMAP2IN)-(c_TMAP1IN))*(((K72)-(c_TMAP1IN))*((c_TMAP2OUT)-(c_TMAP1OUT))+IF(((c_TMAP2OUT)-(c_TMAP1OUT))&gt;=0,1,-1)*QUOTIENT(((c_TMAP2IN)-(c_TMAP1IN)),2))+2147483648,4294967296)-2147483648,((c_TMAP2IN)-(c_TMAP1IN))*(((K72)-(c_TMAP1IN))*((c_TMAP2OUT)-(c_TMAP1OUT))+IF(((c_TMAP2OUT)-(c_TMAP1OUT))&gt;=0,1,-1)*QUOTIENT(((c_TMAP2IN)-(c_TMAP1IN)),2)))&lt;0,-1,0),IF(IF(o_WRAP=1,MOD(((c_TMAP2IN)-(c_TMAP1IN))*(((K72)-(c_TMAP1IN))*((c_TMAP2OUT)-(c_TMAP1OUT))+IF(((c_TMAP2OUT)-(c_TMAP1OUT))&gt;=0,1,-1)*QUOTIENT(((c_TMAP2IN)-(c_TMAP1IN)),2))+2147483648,4294967296)-2147483648,((c_TMAP2IN)-(c_TMAP1IN))*(((K72)-(c_TMAP1IN))*((c_TMAP2OUT)-(c_TMAP1OUT))+IF(((c_TMAP2OUT)-(c_TMAP1OUT))&gt;=0,1,-1)*QUOTIENT(((c_TMAP2IN)-(c_TMAP1IN)),2)))&gt;=0,1,0)))</f>
        <v>30</v>
      </c>
      <c r="O72" s="7" t="n">
        <f aca="false">IF(((c_TMAP3IN)-(c_TMAP2IN))=0,(c_TMAP2OUT)+QUOTIENT(((c_TMAP3OUT)-(c_TMAP2OUT)),2),QUOTIENT((((K72)-(c_TMAP2IN))*((c_TMAP3OUT)-(c_TMAP2OUT))+IF(((c_TMAP3OUT)-(c_TMAP2OUT))&gt;=0,1,-1)*QUOTIENT(((c_TMAP3IN)-(c_TMAP2IN)),2)),((c_TMAP3IN)-(c_TMAP2IN)))+(c_TMAP2OUT)+IF(((c_TMAP3OUT)-(c_TMAP2OUT))&gt;=0,IF(IF(o_WRAP=1,MOD(((c_TMAP3IN)-(c_TMAP2IN))*(((K72)-(c_TMAP2IN))*((c_TMAP3OUT)-(c_TMAP2OUT))+IF(((c_TMAP3OUT)-(c_TMAP2OUT))&gt;=0,1,-1)*QUOTIENT(((c_TMAP3IN)-(c_TMAP2IN)),2))+2147483648,4294967296)-2147483648,((c_TMAP3IN)-(c_TMAP2IN))*(((K72)-(c_TMAP2IN))*((c_TMAP3OUT)-(c_TMAP2OUT))+IF(((c_TMAP3OUT)-(c_TMAP2OUT))&gt;=0,1,-1)*QUOTIENT(((c_TMAP3IN)-(c_TMAP2IN)),2)))&lt;0,-1,0),IF(IF(o_WRAP=1,MOD(((c_TMAP3IN)-(c_TMAP2IN))*(((K72)-(c_TMAP2IN))*((c_TMAP3OUT)-(c_TMAP2OUT))+IF(((c_TMAP3OUT)-(c_TMAP2OUT))&gt;=0,1,-1)*QUOTIENT(((c_TMAP3IN)-(c_TMAP2IN)),2))+2147483648,4294967296)-2147483648,((c_TMAP3IN)-(c_TMAP2IN))*(((K72)-(c_TMAP2IN))*((c_TMAP3OUT)-(c_TMAP2OUT))+IF(((c_TMAP3OUT)-(c_TMAP2OUT))&gt;=0,1,-1)*QUOTIENT(((c_TMAP3IN)-(c_TMAP2IN)),2)))&gt;=0,1,0)))</f>
        <v>-45</v>
      </c>
      <c r="P72" s="7" t="n">
        <f aca="false">IF(((1000)-(c_TMAP3IN))=0,(c_TMAP3OUT)+QUOTIENT(((1000)-(c_TMAP3OUT)),2),QUOTIENT((((K72)-(c_TMAP3IN))*((1000)-(c_TMAP3OUT))+IF(((1000)-(c_TMAP3OUT))&gt;=0,1,-1)*QUOTIENT(((1000)-(c_TMAP3IN)),2)),((1000)-(c_TMAP3IN)))+(c_TMAP3OUT)+IF(((1000)-(c_TMAP3OUT))&gt;=0,IF(IF(o_WRAP=1,MOD(((1000)-(c_TMAP3IN))*(((K72)-(c_TMAP3IN))*((1000)-(c_TMAP3OUT))+IF(((1000)-(c_TMAP3OUT))&gt;=0,1,-1)*QUOTIENT(((1000)-(c_TMAP3IN)),2))+2147483648,4294967296)-2147483648,((1000)-(c_TMAP3IN))*(((K72)-(c_TMAP3IN))*((1000)-(c_TMAP3OUT))+IF(((1000)-(c_TMAP3OUT))&gt;=0,1,-1)*QUOTIENT(((1000)-(c_TMAP3IN)),2)))&lt;0,-1,0),IF(IF(o_WRAP=1,MOD(((1000)-(c_TMAP3IN))*(((K72)-(c_TMAP3IN))*((1000)-(c_TMAP3OUT))+IF(((1000)-(c_TMAP3OUT))&gt;=0,1,-1)*QUOTIENT(((1000)-(c_TMAP3IN)),2))+2147483648,4294967296)-2147483648,((1000)-(c_TMAP3IN))*(((K72)-(c_TMAP3IN))*((1000)-(c_TMAP3OUT))+IF(((1000)-(c_TMAP3OUT))&gt;=0,1,-1)*QUOTIENT(((1000)-(c_TMAP3IN)),2)))&gt;=0,1,0)))</f>
        <v>-231</v>
      </c>
      <c r="Q72" s="7" t="str">
        <f aca="false">IF(K72&gt;=c_TFWD,IF(AND(K72&gt;=c_TMAP3IN,c_TMAP3IN&lt;1000),"Seg4 map3-100%",IF(AND(K72&gt;=c_TMAP2IN,c_TMAP3IN&gt;c_TMAP2IN),"Seg3 map2-map3",IF(AND(K72&gt;=c_TMAP1IN,c_TMAP2IN&gt;c_TMAP1IN),"Seg2 map1-map2","Seg1 TFWD-map1"))),IF(AND(K72=0,c_TCREEP&gt;0),"Creep",IF(AND(K72&lt;=c_TRNGMIN,K72&gt;=c_TRNGMAX,c_TRNGMIN-c_TRNGMAX&lt;&gt;0),"Regen ramp","Coast (0)")))</f>
        <v>Regen ramp</v>
      </c>
      <c r="R72" s="7" t="n">
        <f aca="false">IF(K72&gt;=c_TFWD,IF(AND(K72&gt;=c_TMAP3IN,c_TMAP3IN&lt;1000),P72,IF(AND(K72&gt;=c_TMAP2IN,c_TMAP3IN&gt;c_TMAP2IN),O72,IF(AND(K72&gt;=c_TMAP1IN,c_TMAP2IN&gt;c_TMAP1IN),N72,M72))),L72)</f>
        <v>-350</v>
      </c>
      <c r="S72" s="7" t="str">
        <f aca="false">IF(R72&lt;-1090,"TOO LOW",IF(R72&gt;1090,"TOO HIGH",""))</f>
        <v/>
      </c>
      <c r="T72" s="15" t="n">
        <f aca="false">IF(H72&lt;&gt;"OK",0,IF(S72&lt;&gt;"",0,IF(R72&gt;979,1000,R72)))</f>
        <v>-350</v>
      </c>
      <c r="U72" s="7" t="n">
        <f aca="false">T72/10</f>
        <v>-35</v>
      </c>
    </row>
    <row r="73" customFormat="false" ht="15" hidden="false" customHeight="false" outlineLevel="0" collapsed="false">
      <c r="A73" s="7" t="n">
        <v>68</v>
      </c>
      <c r="B73" s="7" t="n">
        <f aca="false">ROUND(o_SWSTART+A73*(o_SWEND-o_SWSTART)/400,0)</f>
        <v>696</v>
      </c>
      <c r="C73" s="7" t="n">
        <f aca="false">QUOTIENT((B73-c_OFF1)*c_GAIN1,1024)</f>
        <v>696</v>
      </c>
      <c r="D73" s="7" t="n">
        <f aca="false">IF(((c_T1MX)-(c_T1MN))=0,(0)+QUOTIENT(((1000)-(0)),2),QUOTIENT((((C73)-(c_T1MN))*((1000)-(0))+IF(((1000)-(0))&gt;=0,1,-1)*QUOTIENT(((c_T1MX)-(c_T1MN)),2)),((c_T1MX)-(c_T1MN)))+(0)+IF(((1000)-(0))&gt;=0,IF(IF(o_WRAP=1,MOD(((c_T1MX)-(c_T1MN))*(((C73)-(c_T1MN))*((1000)-(0))+IF(((1000)-(0))&gt;=0,1,-1)*QUOTIENT(((c_T1MX)-(c_T1MN)),2))+2147483648,4294967296)-2147483648,((c_T1MX)-(c_T1MN))*(((C73)-(c_T1MN))*((1000)-(0))+IF(((1000)-(0))&gt;=0,1,-1)*QUOTIENT(((c_T1MX)-(c_T1MN)),2)))&lt;0,-1,0),IF(IF(o_WRAP=1,MOD(((c_T1MX)-(c_T1MN))*(((C73)-(c_T1MN))*((1000)-(0))+IF(((1000)-(0))&gt;=0,1,-1)*QUOTIENT(((c_T1MX)-(c_T1MN)),2))+2147483648,4294967296)-2147483648,((c_T1MX)-(c_T1MN))*(((C73)-(c_T1MN))*((1000)-(0))+IF(((1000)-(0))&gt;=0,1,-1)*QUOTIENT(((c_T1MX)-(c_T1MN)),2)))&gt;=0,1,0)))</f>
        <v>-7</v>
      </c>
      <c r="E73" s="7" t="n">
        <f aca="false">IF(AND(c_TPOT=1,c_TTYPE=2),1000-D73,D73)</f>
        <v>-7</v>
      </c>
      <c r="F73" s="7" t="str">
        <f aca="false">IF(c_TPOT&gt;1,ROUND(IF(c_TTYPE=2,c_T2MX-IF(c_T1MX=c_T1MN,0,(C73-c_T1MN)/(c_T1MX-c_T1MN))*(c_T2MX-c_T2MN),c_T2MN+IF(c_T1MX=c_T1MN,0,(C73-c_T1MN)/(c_T1MX-c_T1MN))*(c_T2MX-c_T2MN))+o_MISMATCH,0),"")</f>
        <v/>
      </c>
      <c r="G73" s="7" t="str">
        <f aca="false">IF(c_TPOT&gt;1,IF(((c_T2MX)-(c_T2MN))=0,(0)+QUOTIENT(((1000)-(0)),2),QUOTIENT((((F73)-(c_T2MN))*((1000)-(0))+IF(((1000)-(0))&gt;=0,1,-1)*QUOTIENT(((c_T2MX)-(c_T2MN)),2)),((c_T2MX)-(c_T2MN)))+(0)+IF(((1000)-(0))&gt;=0,IF(IF(o_WRAP=1,MOD(((c_T2MX)-(c_T2MN))*(((F73)-(c_T2MN))*((1000)-(0))+IF(((1000)-(0))&gt;=0,1,-1)*QUOTIENT(((c_T2MX)-(c_T2MN)),2))+2147483648,4294967296)-2147483648,((c_T2MX)-(c_T2MN))*(((F73)-(c_T2MN))*((1000)-(0))+IF(((1000)-(0))&gt;=0,1,-1)*QUOTIENT(((c_T2MX)-(c_T2MN)),2)))&lt;0,-1,0),IF(IF(o_WRAP=1,MOD(((c_T2MX)-(c_T2MN))*(((F73)-(c_T2MN))*((1000)-(0))+IF(((1000)-(0))&gt;=0,1,-1)*QUOTIENT(((c_T2MX)-(c_T2MN)),2))+2147483648,4294967296)-2147483648,((c_T2MX)-(c_T2MN))*(((F73)-(c_T2MN))*((1000)-(0))+IF(((1000)-(0))&gt;=0,1,-1)*QUOTIENT(((c_T2MX)-(c_T2MN)),2)))&gt;=0,1,0))),"")</f>
        <v/>
      </c>
      <c r="H73" s="7" t="str">
        <f aca="false">IF(E73&gt;1000+k_TOL,"T1 HIGH",IF(E73&lt;0-k_TOL,"T1 LOW",IF(c_TPOT&gt;1,IF(G73&gt;1000+k_TOL,"T2 HIGH",IF(G73&lt;0-k_TOL,"T2 LOW",IF(c_TTYPE=2,IF(ABS(1000-MAX(0,MIN(1000,E73))-MAX(0,MIN(1000,G73)))&gt;k_MAXERR,"MISMATCH","OK"),IF(OR(MAX(0,MIN(1000,E73))-k_MAXERR&gt;MAX(0,MIN(1000,G73)),MAX(0,MIN(1000,G73))-k_MAXERR&gt;MAX(0,MIN(1000,E73))),"MISMATCH","OK")))),"OK")))</f>
        <v>OK</v>
      </c>
      <c r="I73" s="7" t="n">
        <f aca="false">MAX(0,MIN(1000,D73))</f>
        <v>0</v>
      </c>
      <c r="J73" s="7" t="str">
        <f aca="false">IF(c_TPOT&gt;1,IF(c_TTYPE=2,1000-MAX(0,MIN(1000,G73)),MAX(0,MIN(1000,G73))),"")</f>
        <v/>
      </c>
      <c r="K73" s="7" t="n">
        <f aca="false">IF(c_TPOT&gt;1,QUOTIENT(I73+J73,2),I73)</f>
        <v>0</v>
      </c>
      <c r="L73" s="7" t="n">
        <f aca="false">IF(AND(K73=0,c_TCREEP&gt;0),10*c_TCREEP,IF(AND(K73&lt;=c_TRNGMIN,K73&gt;=c_TRNGMAX,c_TRNGMIN-c_TRNGMAX&lt;&gt;0),-10*c_TMINRN+QUOTIENT((c_TMAXRN-c_TMINRN)*(100-QUOTIENT((K73-c_TRNGMAX)*100,c_TRNGMIN-c_TRNGMAX)),-10),0))</f>
        <v>-350</v>
      </c>
      <c r="M73" s="7" t="n">
        <f aca="false">IF(((c_TMAP1IN)-(c_TFWD))=0,(0)+QUOTIENT(((c_TMAP1OUT)-(0)),2),QUOTIENT((((K73)-(c_TFWD))*((c_TMAP1OUT)-(0))+IF(((c_TMAP1OUT)-(0))&gt;=0,1,-1)*QUOTIENT(((c_TMAP1IN)-(c_TFWD)),2)),((c_TMAP1IN)-(c_TFWD)))+(0)+IF(((c_TMAP1OUT)-(0))&gt;=0,IF(IF(o_WRAP=1,MOD(((c_TMAP1IN)-(c_TFWD))*(((K73)-(c_TFWD))*((c_TMAP1OUT)-(0))+IF(((c_TMAP1OUT)-(0))&gt;=0,1,-1)*QUOTIENT(((c_TMAP1IN)-(c_TFWD)),2))+2147483648,4294967296)-2147483648,((c_TMAP1IN)-(c_TFWD))*(((K73)-(c_TFWD))*((c_TMAP1OUT)-(0))+IF(((c_TMAP1OUT)-(0))&gt;=0,1,-1)*QUOTIENT(((c_TMAP1IN)-(c_TFWD)),2)))&lt;0,-1,0),IF(IF(o_WRAP=1,MOD(((c_TMAP1IN)-(c_TFWD))*(((K73)-(c_TFWD))*((c_TMAP1OUT)-(0))+IF(((c_TMAP1OUT)-(0))&gt;=0,1,-1)*QUOTIENT(((c_TMAP1IN)-(c_TFWD)),2))+2147483648,4294967296)-2147483648,((c_TMAP1IN)-(c_TFWD))*(((K73)-(c_TFWD))*((c_TMAP1OUT)-(0))+IF(((c_TMAP1OUT)-(0))&gt;=0,1,-1)*QUOTIENT(((c_TMAP1IN)-(c_TFWD)),2)))&gt;=0,1,0)))</f>
        <v>-8</v>
      </c>
      <c r="N73" s="7" t="n">
        <f aca="false">IF(((c_TMAP2IN)-(c_TMAP1IN))=0,(c_TMAP1OUT)+QUOTIENT(((c_TMAP2OUT)-(c_TMAP1OUT)),2),QUOTIENT((((K73)-(c_TMAP1IN))*((c_TMAP2OUT)-(c_TMAP1OUT))+IF(((c_TMAP2OUT)-(c_TMAP1OUT))&gt;=0,1,-1)*QUOTIENT(((c_TMAP2IN)-(c_TMAP1IN)),2)),((c_TMAP2IN)-(c_TMAP1IN)))+(c_TMAP1OUT)+IF(((c_TMAP2OUT)-(c_TMAP1OUT))&gt;=0,IF(IF(o_WRAP=1,MOD(((c_TMAP2IN)-(c_TMAP1IN))*(((K73)-(c_TMAP1IN))*((c_TMAP2OUT)-(c_TMAP1OUT))+IF(((c_TMAP2OUT)-(c_TMAP1OUT))&gt;=0,1,-1)*QUOTIENT(((c_TMAP2IN)-(c_TMAP1IN)),2))+2147483648,4294967296)-2147483648,((c_TMAP2IN)-(c_TMAP1IN))*(((K73)-(c_TMAP1IN))*((c_TMAP2OUT)-(c_TMAP1OUT))+IF(((c_TMAP2OUT)-(c_TMAP1OUT))&gt;=0,1,-1)*QUOTIENT(((c_TMAP2IN)-(c_TMAP1IN)),2)))&lt;0,-1,0),IF(IF(o_WRAP=1,MOD(((c_TMAP2IN)-(c_TMAP1IN))*(((K73)-(c_TMAP1IN))*((c_TMAP2OUT)-(c_TMAP1OUT))+IF(((c_TMAP2OUT)-(c_TMAP1OUT))&gt;=0,1,-1)*QUOTIENT(((c_TMAP2IN)-(c_TMAP1IN)),2))+2147483648,4294967296)-2147483648,((c_TMAP2IN)-(c_TMAP1IN))*(((K73)-(c_TMAP1IN))*((c_TMAP2OUT)-(c_TMAP1OUT))+IF(((c_TMAP2OUT)-(c_TMAP1OUT))&gt;=0,1,-1)*QUOTIENT(((c_TMAP2IN)-(c_TMAP1IN)),2)))&gt;=0,1,0)))</f>
        <v>30</v>
      </c>
      <c r="O73" s="7" t="n">
        <f aca="false">IF(((c_TMAP3IN)-(c_TMAP2IN))=0,(c_TMAP2OUT)+QUOTIENT(((c_TMAP3OUT)-(c_TMAP2OUT)),2),QUOTIENT((((K73)-(c_TMAP2IN))*((c_TMAP3OUT)-(c_TMAP2OUT))+IF(((c_TMAP3OUT)-(c_TMAP2OUT))&gt;=0,1,-1)*QUOTIENT(((c_TMAP3IN)-(c_TMAP2IN)),2)),((c_TMAP3IN)-(c_TMAP2IN)))+(c_TMAP2OUT)+IF(((c_TMAP3OUT)-(c_TMAP2OUT))&gt;=0,IF(IF(o_WRAP=1,MOD(((c_TMAP3IN)-(c_TMAP2IN))*(((K73)-(c_TMAP2IN))*((c_TMAP3OUT)-(c_TMAP2OUT))+IF(((c_TMAP3OUT)-(c_TMAP2OUT))&gt;=0,1,-1)*QUOTIENT(((c_TMAP3IN)-(c_TMAP2IN)),2))+2147483648,4294967296)-2147483648,((c_TMAP3IN)-(c_TMAP2IN))*(((K73)-(c_TMAP2IN))*((c_TMAP3OUT)-(c_TMAP2OUT))+IF(((c_TMAP3OUT)-(c_TMAP2OUT))&gt;=0,1,-1)*QUOTIENT(((c_TMAP3IN)-(c_TMAP2IN)),2)))&lt;0,-1,0),IF(IF(o_WRAP=1,MOD(((c_TMAP3IN)-(c_TMAP2IN))*(((K73)-(c_TMAP2IN))*((c_TMAP3OUT)-(c_TMAP2OUT))+IF(((c_TMAP3OUT)-(c_TMAP2OUT))&gt;=0,1,-1)*QUOTIENT(((c_TMAP3IN)-(c_TMAP2IN)),2))+2147483648,4294967296)-2147483648,((c_TMAP3IN)-(c_TMAP2IN))*(((K73)-(c_TMAP2IN))*((c_TMAP3OUT)-(c_TMAP2OUT))+IF(((c_TMAP3OUT)-(c_TMAP2OUT))&gt;=0,1,-1)*QUOTIENT(((c_TMAP3IN)-(c_TMAP2IN)),2)))&gt;=0,1,0)))</f>
        <v>-45</v>
      </c>
      <c r="P73" s="7" t="n">
        <f aca="false">IF(((1000)-(c_TMAP3IN))=0,(c_TMAP3OUT)+QUOTIENT(((1000)-(c_TMAP3OUT)),2),QUOTIENT((((K73)-(c_TMAP3IN))*((1000)-(c_TMAP3OUT))+IF(((1000)-(c_TMAP3OUT))&gt;=0,1,-1)*QUOTIENT(((1000)-(c_TMAP3IN)),2)),((1000)-(c_TMAP3IN)))+(c_TMAP3OUT)+IF(((1000)-(c_TMAP3OUT))&gt;=0,IF(IF(o_WRAP=1,MOD(((1000)-(c_TMAP3IN))*(((K73)-(c_TMAP3IN))*((1000)-(c_TMAP3OUT))+IF(((1000)-(c_TMAP3OUT))&gt;=0,1,-1)*QUOTIENT(((1000)-(c_TMAP3IN)),2))+2147483648,4294967296)-2147483648,((1000)-(c_TMAP3IN))*(((K73)-(c_TMAP3IN))*((1000)-(c_TMAP3OUT))+IF(((1000)-(c_TMAP3OUT))&gt;=0,1,-1)*QUOTIENT(((1000)-(c_TMAP3IN)),2)))&lt;0,-1,0),IF(IF(o_WRAP=1,MOD(((1000)-(c_TMAP3IN))*(((K73)-(c_TMAP3IN))*((1000)-(c_TMAP3OUT))+IF(((1000)-(c_TMAP3OUT))&gt;=0,1,-1)*QUOTIENT(((1000)-(c_TMAP3IN)),2))+2147483648,4294967296)-2147483648,((1000)-(c_TMAP3IN))*(((K73)-(c_TMAP3IN))*((1000)-(c_TMAP3OUT))+IF(((1000)-(c_TMAP3OUT))&gt;=0,1,-1)*QUOTIENT(((1000)-(c_TMAP3IN)),2)))&gt;=0,1,0)))</f>
        <v>-231</v>
      </c>
      <c r="Q73" s="7" t="str">
        <f aca="false">IF(K73&gt;=c_TFWD,IF(AND(K73&gt;=c_TMAP3IN,c_TMAP3IN&lt;1000),"Seg4 map3-100%",IF(AND(K73&gt;=c_TMAP2IN,c_TMAP3IN&gt;c_TMAP2IN),"Seg3 map2-map3",IF(AND(K73&gt;=c_TMAP1IN,c_TMAP2IN&gt;c_TMAP1IN),"Seg2 map1-map2","Seg1 TFWD-map1"))),IF(AND(K73=0,c_TCREEP&gt;0),"Creep",IF(AND(K73&lt;=c_TRNGMIN,K73&gt;=c_TRNGMAX,c_TRNGMIN-c_TRNGMAX&lt;&gt;0),"Regen ramp","Coast (0)")))</f>
        <v>Regen ramp</v>
      </c>
      <c r="R73" s="7" t="n">
        <f aca="false">IF(K73&gt;=c_TFWD,IF(AND(K73&gt;=c_TMAP3IN,c_TMAP3IN&lt;1000),P73,IF(AND(K73&gt;=c_TMAP2IN,c_TMAP3IN&gt;c_TMAP2IN),O73,IF(AND(K73&gt;=c_TMAP1IN,c_TMAP2IN&gt;c_TMAP1IN),N73,M73))),L73)</f>
        <v>-350</v>
      </c>
      <c r="S73" s="7" t="str">
        <f aca="false">IF(R73&lt;-1090,"TOO LOW",IF(R73&gt;1090,"TOO HIGH",""))</f>
        <v/>
      </c>
      <c r="T73" s="15" t="n">
        <f aca="false">IF(H73&lt;&gt;"OK",0,IF(S73&lt;&gt;"",0,IF(R73&gt;979,1000,R73)))</f>
        <v>-350</v>
      </c>
      <c r="U73" s="7" t="n">
        <f aca="false">T73/10</f>
        <v>-35</v>
      </c>
    </row>
    <row r="74" customFormat="false" ht="15" hidden="false" customHeight="false" outlineLevel="0" collapsed="false">
      <c r="A74" s="7" t="n">
        <v>69</v>
      </c>
      <c r="B74" s="7" t="n">
        <f aca="false">ROUND(o_SWSTART+A74*(o_SWEND-o_SWSTART)/400,0)</f>
        <v>706</v>
      </c>
      <c r="C74" s="7" t="n">
        <f aca="false">QUOTIENT((B74-c_OFF1)*c_GAIN1,1024)</f>
        <v>706</v>
      </c>
      <c r="D74" s="7" t="n">
        <f aca="false">IF(((c_T1MX)-(c_T1MN))=0,(0)+QUOTIENT(((1000)-(0)),2),QUOTIENT((((C74)-(c_T1MN))*((1000)-(0))+IF(((1000)-(0))&gt;=0,1,-1)*QUOTIENT(((c_T1MX)-(c_T1MN)),2)),((c_T1MX)-(c_T1MN)))+(0)+IF(((1000)-(0))&gt;=0,IF(IF(o_WRAP=1,MOD(((c_T1MX)-(c_T1MN))*(((C74)-(c_T1MN))*((1000)-(0))+IF(((1000)-(0))&gt;=0,1,-1)*QUOTIENT(((c_T1MX)-(c_T1MN)),2))+2147483648,4294967296)-2147483648,((c_T1MX)-(c_T1MN))*(((C74)-(c_T1MN))*((1000)-(0))+IF(((1000)-(0))&gt;=0,1,-1)*QUOTIENT(((c_T1MX)-(c_T1MN)),2)))&lt;0,-1,0),IF(IF(o_WRAP=1,MOD(((c_T1MX)-(c_T1MN))*(((C74)-(c_T1MN))*((1000)-(0))+IF(((1000)-(0))&gt;=0,1,-1)*QUOTIENT(((c_T1MX)-(c_T1MN)),2))+2147483648,4294967296)-2147483648,((c_T1MX)-(c_T1MN))*(((C74)-(c_T1MN))*((1000)-(0))+IF(((1000)-(0))&gt;=0,1,-1)*QUOTIENT(((c_T1MX)-(c_T1MN)),2)))&gt;=0,1,0)))</f>
        <v>-3</v>
      </c>
      <c r="E74" s="7" t="n">
        <f aca="false">IF(AND(c_TPOT=1,c_TTYPE=2),1000-D74,D74)</f>
        <v>-3</v>
      </c>
      <c r="F74" s="7" t="str">
        <f aca="false">IF(c_TPOT&gt;1,ROUND(IF(c_TTYPE=2,c_T2MX-IF(c_T1MX=c_T1MN,0,(C74-c_T1MN)/(c_T1MX-c_T1MN))*(c_T2MX-c_T2MN),c_T2MN+IF(c_T1MX=c_T1MN,0,(C74-c_T1MN)/(c_T1MX-c_T1MN))*(c_T2MX-c_T2MN))+o_MISMATCH,0),"")</f>
        <v/>
      </c>
      <c r="G74" s="7" t="str">
        <f aca="false">IF(c_TPOT&gt;1,IF(((c_T2MX)-(c_T2MN))=0,(0)+QUOTIENT(((1000)-(0)),2),QUOTIENT((((F74)-(c_T2MN))*((1000)-(0))+IF(((1000)-(0))&gt;=0,1,-1)*QUOTIENT(((c_T2MX)-(c_T2MN)),2)),((c_T2MX)-(c_T2MN)))+(0)+IF(((1000)-(0))&gt;=0,IF(IF(o_WRAP=1,MOD(((c_T2MX)-(c_T2MN))*(((F74)-(c_T2MN))*((1000)-(0))+IF(((1000)-(0))&gt;=0,1,-1)*QUOTIENT(((c_T2MX)-(c_T2MN)),2))+2147483648,4294967296)-2147483648,((c_T2MX)-(c_T2MN))*(((F74)-(c_T2MN))*((1000)-(0))+IF(((1000)-(0))&gt;=0,1,-1)*QUOTIENT(((c_T2MX)-(c_T2MN)),2)))&lt;0,-1,0),IF(IF(o_WRAP=1,MOD(((c_T2MX)-(c_T2MN))*(((F74)-(c_T2MN))*((1000)-(0))+IF(((1000)-(0))&gt;=0,1,-1)*QUOTIENT(((c_T2MX)-(c_T2MN)),2))+2147483648,4294967296)-2147483648,((c_T2MX)-(c_T2MN))*(((F74)-(c_T2MN))*((1000)-(0))+IF(((1000)-(0))&gt;=0,1,-1)*QUOTIENT(((c_T2MX)-(c_T2MN)),2)))&gt;=0,1,0))),"")</f>
        <v/>
      </c>
      <c r="H74" s="7" t="str">
        <f aca="false">IF(E74&gt;1000+k_TOL,"T1 HIGH",IF(E74&lt;0-k_TOL,"T1 LOW",IF(c_TPOT&gt;1,IF(G74&gt;1000+k_TOL,"T2 HIGH",IF(G74&lt;0-k_TOL,"T2 LOW",IF(c_TTYPE=2,IF(ABS(1000-MAX(0,MIN(1000,E74))-MAX(0,MIN(1000,G74)))&gt;k_MAXERR,"MISMATCH","OK"),IF(OR(MAX(0,MIN(1000,E74))-k_MAXERR&gt;MAX(0,MIN(1000,G74)),MAX(0,MIN(1000,G74))-k_MAXERR&gt;MAX(0,MIN(1000,E74))),"MISMATCH","OK")))),"OK")))</f>
        <v>OK</v>
      </c>
      <c r="I74" s="7" t="n">
        <f aca="false">MAX(0,MIN(1000,D74))</f>
        <v>0</v>
      </c>
      <c r="J74" s="7" t="str">
        <f aca="false">IF(c_TPOT&gt;1,IF(c_TTYPE=2,1000-MAX(0,MIN(1000,G74)),MAX(0,MIN(1000,G74))),"")</f>
        <v/>
      </c>
      <c r="K74" s="7" t="n">
        <f aca="false">IF(c_TPOT&gt;1,QUOTIENT(I74+J74,2),I74)</f>
        <v>0</v>
      </c>
      <c r="L74" s="7" t="n">
        <f aca="false">IF(AND(K74=0,c_TCREEP&gt;0),10*c_TCREEP,IF(AND(K74&lt;=c_TRNGMIN,K74&gt;=c_TRNGMAX,c_TRNGMIN-c_TRNGMAX&lt;&gt;0),-10*c_TMINRN+QUOTIENT((c_TMAXRN-c_TMINRN)*(100-QUOTIENT((K74-c_TRNGMAX)*100,c_TRNGMIN-c_TRNGMAX)),-10),0))</f>
        <v>-350</v>
      </c>
      <c r="M74" s="7" t="n">
        <f aca="false">IF(((c_TMAP1IN)-(c_TFWD))=0,(0)+QUOTIENT(((c_TMAP1OUT)-(0)),2),QUOTIENT((((K74)-(c_TFWD))*((c_TMAP1OUT)-(0))+IF(((c_TMAP1OUT)-(0))&gt;=0,1,-1)*QUOTIENT(((c_TMAP1IN)-(c_TFWD)),2)),((c_TMAP1IN)-(c_TFWD)))+(0)+IF(((c_TMAP1OUT)-(0))&gt;=0,IF(IF(o_WRAP=1,MOD(((c_TMAP1IN)-(c_TFWD))*(((K74)-(c_TFWD))*((c_TMAP1OUT)-(0))+IF(((c_TMAP1OUT)-(0))&gt;=0,1,-1)*QUOTIENT(((c_TMAP1IN)-(c_TFWD)),2))+2147483648,4294967296)-2147483648,((c_TMAP1IN)-(c_TFWD))*(((K74)-(c_TFWD))*((c_TMAP1OUT)-(0))+IF(((c_TMAP1OUT)-(0))&gt;=0,1,-1)*QUOTIENT(((c_TMAP1IN)-(c_TFWD)),2)))&lt;0,-1,0),IF(IF(o_WRAP=1,MOD(((c_TMAP1IN)-(c_TFWD))*(((K74)-(c_TFWD))*((c_TMAP1OUT)-(0))+IF(((c_TMAP1OUT)-(0))&gt;=0,1,-1)*QUOTIENT(((c_TMAP1IN)-(c_TFWD)),2))+2147483648,4294967296)-2147483648,((c_TMAP1IN)-(c_TFWD))*(((K74)-(c_TFWD))*((c_TMAP1OUT)-(0))+IF(((c_TMAP1OUT)-(0))&gt;=0,1,-1)*QUOTIENT(((c_TMAP1IN)-(c_TFWD)),2)))&gt;=0,1,0)))</f>
        <v>-8</v>
      </c>
      <c r="N74" s="7" t="n">
        <f aca="false">IF(((c_TMAP2IN)-(c_TMAP1IN))=0,(c_TMAP1OUT)+QUOTIENT(((c_TMAP2OUT)-(c_TMAP1OUT)),2),QUOTIENT((((K74)-(c_TMAP1IN))*((c_TMAP2OUT)-(c_TMAP1OUT))+IF(((c_TMAP2OUT)-(c_TMAP1OUT))&gt;=0,1,-1)*QUOTIENT(((c_TMAP2IN)-(c_TMAP1IN)),2)),((c_TMAP2IN)-(c_TMAP1IN)))+(c_TMAP1OUT)+IF(((c_TMAP2OUT)-(c_TMAP1OUT))&gt;=0,IF(IF(o_WRAP=1,MOD(((c_TMAP2IN)-(c_TMAP1IN))*(((K74)-(c_TMAP1IN))*((c_TMAP2OUT)-(c_TMAP1OUT))+IF(((c_TMAP2OUT)-(c_TMAP1OUT))&gt;=0,1,-1)*QUOTIENT(((c_TMAP2IN)-(c_TMAP1IN)),2))+2147483648,4294967296)-2147483648,((c_TMAP2IN)-(c_TMAP1IN))*(((K74)-(c_TMAP1IN))*((c_TMAP2OUT)-(c_TMAP1OUT))+IF(((c_TMAP2OUT)-(c_TMAP1OUT))&gt;=0,1,-1)*QUOTIENT(((c_TMAP2IN)-(c_TMAP1IN)),2)))&lt;0,-1,0),IF(IF(o_WRAP=1,MOD(((c_TMAP2IN)-(c_TMAP1IN))*(((K74)-(c_TMAP1IN))*((c_TMAP2OUT)-(c_TMAP1OUT))+IF(((c_TMAP2OUT)-(c_TMAP1OUT))&gt;=0,1,-1)*QUOTIENT(((c_TMAP2IN)-(c_TMAP1IN)),2))+2147483648,4294967296)-2147483648,((c_TMAP2IN)-(c_TMAP1IN))*(((K74)-(c_TMAP1IN))*((c_TMAP2OUT)-(c_TMAP1OUT))+IF(((c_TMAP2OUT)-(c_TMAP1OUT))&gt;=0,1,-1)*QUOTIENT(((c_TMAP2IN)-(c_TMAP1IN)),2)))&gt;=0,1,0)))</f>
        <v>30</v>
      </c>
      <c r="O74" s="7" t="n">
        <f aca="false">IF(((c_TMAP3IN)-(c_TMAP2IN))=0,(c_TMAP2OUT)+QUOTIENT(((c_TMAP3OUT)-(c_TMAP2OUT)),2),QUOTIENT((((K74)-(c_TMAP2IN))*((c_TMAP3OUT)-(c_TMAP2OUT))+IF(((c_TMAP3OUT)-(c_TMAP2OUT))&gt;=0,1,-1)*QUOTIENT(((c_TMAP3IN)-(c_TMAP2IN)),2)),((c_TMAP3IN)-(c_TMAP2IN)))+(c_TMAP2OUT)+IF(((c_TMAP3OUT)-(c_TMAP2OUT))&gt;=0,IF(IF(o_WRAP=1,MOD(((c_TMAP3IN)-(c_TMAP2IN))*(((K74)-(c_TMAP2IN))*((c_TMAP3OUT)-(c_TMAP2OUT))+IF(((c_TMAP3OUT)-(c_TMAP2OUT))&gt;=0,1,-1)*QUOTIENT(((c_TMAP3IN)-(c_TMAP2IN)),2))+2147483648,4294967296)-2147483648,((c_TMAP3IN)-(c_TMAP2IN))*(((K74)-(c_TMAP2IN))*((c_TMAP3OUT)-(c_TMAP2OUT))+IF(((c_TMAP3OUT)-(c_TMAP2OUT))&gt;=0,1,-1)*QUOTIENT(((c_TMAP3IN)-(c_TMAP2IN)),2)))&lt;0,-1,0),IF(IF(o_WRAP=1,MOD(((c_TMAP3IN)-(c_TMAP2IN))*(((K74)-(c_TMAP2IN))*((c_TMAP3OUT)-(c_TMAP2OUT))+IF(((c_TMAP3OUT)-(c_TMAP2OUT))&gt;=0,1,-1)*QUOTIENT(((c_TMAP3IN)-(c_TMAP2IN)),2))+2147483648,4294967296)-2147483648,((c_TMAP3IN)-(c_TMAP2IN))*(((K74)-(c_TMAP2IN))*((c_TMAP3OUT)-(c_TMAP2OUT))+IF(((c_TMAP3OUT)-(c_TMAP2OUT))&gt;=0,1,-1)*QUOTIENT(((c_TMAP3IN)-(c_TMAP2IN)),2)))&gt;=0,1,0)))</f>
        <v>-45</v>
      </c>
      <c r="P74" s="7" t="n">
        <f aca="false">IF(((1000)-(c_TMAP3IN))=0,(c_TMAP3OUT)+QUOTIENT(((1000)-(c_TMAP3OUT)),2),QUOTIENT((((K74)-(c_TMAP3IN))*((1000)-(c_TMAP3OUT))+IF(((1000)-(c_TMAP3OUT))&gt;=0,1,-1)*QUOTIENT(((1000)-(c_TMAP3IN)),2)),((1000)-(c_TMAP3IN)))+(c_TMAP3OUT)+IF(((1000)-(c_TMAP3OUT))&gt;=0,IF(IF(o_WRAP=1,MOD(((1000)-(c_TMAP3IN))*(((K74)-(c_TMAP3IN))*((1000)-(c_TMAP3OUT))+IF(((1000)-(c_TMAP3OUT))&gt;=0,1,-1)*QUOTIENT(((1000)-(c_TMAP3IN)),2))+2147483648,4294967296)-2147483648,((1000)-(c_TMAP3IN))*(((K74)-(c_TMAP3IN))*((1000)-(c_TMAP3OUT))+IF(((1000)-(c_TMAP3OUT))&gt;=0,1,-1)*QUOTIENT(((1000)-(c_TMAP3IN)),2)))&lt;0,-1,0),IF(IF(o_WRAP=1,MOD(((1000)-(c_TMAP3IN))*(((K74)-(c_TMAP3IN))*((1000)-(c_TMAP3OUT))+IF(((1000)-(c_TMAP3OUT))&gt;=0,1,-1)*QUOTIENT(((1000)-(c_TMAP3IN)),2))+2147483648,4294967296)-2147483648,((1000)-(c_TMAP3IN))*(((K74)-(c_TMAP3IN))*((1000)-(c_TMAP3OUT))+IF(((1000)-(c_TMAP3OUT))&gt;=0,1,-1)*QUOTIENT(((1000)-(c_TMAP3IN)),2)))&gt;=0,1,0)))</f>
        <v>-231</v>
      </c>
      <c r="Q74" s="7" t="str">
        <f aca="false">IF(K74&gt;=c_TFWD,IF(AND(K74&gt;=c_TMAP3IN,c_TMAP3IN&lt;1000),"Seg4 map3-100%",IF(AND(K74&gt;=c_TMAP2IN,c_TMAP3IN&gt;c_TMAP2IN),"Seg3 map2-map3",IF(AND(K74&gt;=c_TMAP1IN,c_TMAP2IN&gt;c_TMAP1IN),"Seg2 map1-map2","Seg1 TFWD-map1"))),IF(AND(K74=0,c_TCREEP&gt;0),"Creep",IF(AND(K74&lt;=c_TRNGMIN,K74&gt;=c_TRNGMAX,c_TRNGMIN-c_TRNGMAX&lt;&gt;0),"Regen ramp","Coast (0)")))</f>
        <v>Regen ramp</v>
      </c>
      <c r="R74" s="7" t="n">
        <f aca="false">IF(K74&gt;=c_TFWD,IF(AND(K74&gt;=c_TMAP3IN,c_TMAP3IN&lt;1000),P74,IF(AND(K74&gt;=c_TMAP2IN,c_TMAP3IN&gt;c_TMAP2IN),O74,IF(AND(K74&gt;=c_TMAP1IN,c_TMAP2IN&gt;c_TMAP1IN),N74,M74))),L74)</f>
        <v>-350</v>
      </c>
      <c r="S74" s="7" t="str">
        <f aca="false">IF(R74&lt;-1090,"TOO LOW",IF(R74&gt;1090,"TOO HIGH",""))</f>
        <v/>
      </c>
      <c r="T74" s="15" t="n">
        <f aca="false">IF(H74&lt;&gt;"OK",0,IF(S74&lt;&gt;"",0,IF(R74&gt;979,1000,R74)))</f>
        <v>-350</v>
      </c>
      <c r="U74" s="7" t="n">
        <f aca="false">T74/10</f>
        <v>-35</v>
      </c>
    </row>
    <row r="75" customFormat="false" ht="15" hidden="false" customHeight="false" outlineLevel="0" collapsed="false">
      <c r="A75" s="7" t="n">
        <v>70</v>
      </c>
      <c r="B75" s="7" t="n">
        <f aca="false">ROUND(o_SWSTART+A75*(o_SWEND-o_SWSTART)/400,0)</f>
        <v>717</v>
      </c>
      <c r="C75" s="7" t="n">
        <f aca="false">QUOTIENT((B75-c_OFF1)*c_GAIN1,1024)</f>
        <v>717</v>
      </c>
      <c r="D75" s="7" t="n">
        <f aca="false">IF(((c_T1MX)-(c_T1MN))=0,(0)+QUOTIENT(((1000)-(0)),2),QUOTIENT((((C75)-(c_T1MN))*((1000)-(0))+IF(((1000)-(0))&gt;=0,1,-1)*QUOTIENT(((c_T1MX)-(c_T1MN)),2)),((c_T1MX)-(c_T1MN)))+(0)+IF(((1000)-(0))&gt;=0,IF(IF(o_WRAP=1,MOD(((c_T1MX)-(c_T1MN))*(((C75)-(c_T1MN))*((1000)-(0))+IF(((1000)-(0))&gt;=0,1,-1)*QUOTIENT(((c_T1MX)-(c_T1MN)),2))+2147483648,4294967296)-2147483648,((c_T1MX)-(c_T1MN))*(((C75)-(c_T1MN))*((1000)-(0))+IF(((1000)-(0))&gt;=0,1,-1)*QUOTIENT(((c_T1MX)-(c_T1MN)),2)))&lt;0,-1,0),IF(IF(o_WRAP=1,MOD(((c_T1MX)-(c_T1MN))*(((C75)-(c_T1MN))*((1000)-(0))+IF(((1000)-(0))&gt;=0,1,-1)*QUOTIENT(((c_T1MX)-(c_T1MN)),2))+2147483648,4294967296)-2147483648,((c_T1MX)-(c_T1MN))*(((C75)-(c_T1MN))*((1000)-(0))+IF(((1000)-(0))&gt;=0,1,-1)*QUOTIENT(((c_T1MX)-(c_T1MN)),2)))&gt;=0,1,0)))</f>
        <v>1</v>
      </c>
      <c r="E75" s="7" t="n">
        <f aca="false">IF(AND(c_TPOT=1,c_TTYPE=2),1000-D75,D75)</f>
        <v>1</v>
      </c>
      <c r="F75" s="7" t="str">
        <f aca="false">IF(c_TPOT&gt;1,ROUND(IF(c_TTYPE=2,c_T2MX-IF(c_T1MX=c_T1MN,0,(C75-c_T1MN)/(c_T1MX-c_T1MN))*(c_T2MX-c_T2MN),c_T2MN+IF(c_T1MX=c_T1MN,0,(C75-c_T1MN)/(c_T1MX-c_T1MN))*(c_T2MX-c_T2MN))+o_MISMATCH,0),"")</f>
        <v/>
      </c>
      <c r="G75" s="7" t="str">
        <f aca="false">IF(c_TPOT&gt;1,IF(((c_T2MX)-(c_T2MN))=0,(0)+QUOTIENT(((1000)-(0)),2),QUOTIENT((((F75)-(c_T2MN))*((1000)-(0))+IF(((1000)-(0))&gt;=0,1,-1)*QUOTIENT(((c_T2MX)-(c_T2MN)),2)),((c_T2MX)-(c_T2MN)))+(0)+IF(((1000)-(0))&gt;=0,IF(IF(o_WRAP=1,MOD(((c_T2MX)-(c_T2MN))*(((F75)-(c_T2MN))*((1000)-(0))+IF(((1000)-(0))&gt;=0,1,-1)*QUOTIENT(((c_T2MX)-(c_T2MN)),2))+2147483648,4294967296)-2147483648,((c_T2MX)-(c_T2MN))*(((F75)-(c_T2MN))*((1000)-(0))+IF(((1000)-(0))&gt;=0,1,-1)*QUOTIENT(((c_T2MX)-(c_T2MN)),2)))&lt;0,-1,0),IF(IF(o_WRAP=1,MOD(((c_T2MX)-(c_T2MN))*(((F75)-(c_T2MN))*((1000)-(0))+IF(((1000)-(0))&gt;=0,1,-1)*QUOTIENT(((c_T2MX)-(c_T2MN)),2))+2147483648,4294967296)-2147483648,((c_T2MX)-(c_T2MN))*(((F75)-(c_T2MN))*((1000)-(0))+IF(((1000)-(0))&gt;=0,1,-1)*QUOTIENT(((c_T2MX)-(c_T2MN)),2)))&gt;=0,1,0))),"")</f>
        <v/>
      </c>
      <c r="H75" s="7" t="str">
        <f aca="false">IF(E75&gt;1000+k_TOL,"T1 HIGH",IF(E75&lt;0-k_TOL,"T1 LOW",IF(c_TPOT&gt;1,IF(G75&gt;1000+k_TOL,"T2 HIGH",IF(G75&lt;0-k_TOL,"T2 LOW",IF(c_TTYPE=2,IF(ABS(1000-MAX(0,MIN(1000,E75))-MAX(0,MIN(1000,G75)))&gt;k_MAXERR,"MISMATCH","OK"),IF(OR(MAX(0,MIN(1000,E75))-k_MAXERR&gt;MAX(0,MIN(1000,G75)),MAX(0,MIN(1000,G75))-k_MAXERR&gt;MAX(0,MIN(1000,E75))),"MISMATCH","OK")))),"OK")))</f>
        <v>OK</v>
      </c>
      <c r="I75" s="7" t="n">
        <f aca="false">MAX(0,MIN(1000,D75))</f>
        <v>1</v>
      </c>
      <c r="J75" s="7" t="str">
        <f aca="false">IF(c_TPOT&gt;1,IF(c_TTYPE=2,1000-MAX(0,MIN(1000,G75)),MAX(0,MIN(1000,G75))),"")</f>
        <v/>
      </c>
      <c r="K75" s="7" t="n">
        <f aca="false">IF(c_TPOT&gt;1,QUOTIENT(I75+J75,2),I75)</f>
        <v>1</v>
      </c>
      <c r="L75" s="7" t="n">
        <f aca="false">IF(AND(K75=0,c_TCREEP&gt;0),10*c_TCREEP,IF(AND(K75&lt;=c_TRNGMIN,K75&gt;=c_TRNGMAX,c_TRNGMIN-c_TRNGMAX&lt;&gt;0),-10*c_TMINRN+QUOTIENT((c_TMAXRN-c_TMINRN)*(100-QUOTIENT((K75-c_TRNGMAX)*100,c_TRNGMIN-c_TRNGMAX)),-10),0))</f>
        <v>-330</v>
      </c>
      <c r="M75" s="7" t="n">
        <f aca="false">IF(((c_TMAP1IN)-(c_TFWD))=0,(0)+QUOTIENT(((c_TMAP1OUT)-(0)),2),QUOTIENT((((K75)-(c_TFWD))*((c_TMAP1OUT)-(0))+IF(((c_TMAP1OUT)-(0))&gt;=0,1,-1)*QUOTIENT(((c_TMAP1IN)-(c_TFWD)),2)),((c_TMAP1IN)-(c_TFWD)))+(0)+IF(((c_TMAP1OUT)-(0))&gt;=0,IF(IF(o_WRAP=1,MOD(((c_TMAP1IN)-(c_TFWD))*(((K75)-(c_TFWD))*((c_TMAP1OUT)-(0))+IF(((c_TMAP1OUT)-(0))&gt;=0,1,-1)*QUOTIENT(((c_TMAP1IN)-(c_TFWD)),2))+2147483648,4294967296)-2147483648,((c_TMAP1IN)-(c_TFWD))*(((K75)-(c_TFWD))*((c_TMAP1OUT)-(0))+IF(((c_TMAP1OUT)-(0))&gt;=0,1,-1)*QUOTIENT(((c_TMAP1IN)-(c_TFWD)),2)))&lt;0,-1,0),IF(IF(o_WRAP=1,MOD(((c_TMAP1IN)-(c_TFWD))*(((K75)-(c_TFWD))*((c_TMAP1OUT)-(0))+IF(((c_TMAP1OUT)-(0))&gt;=0,1,-1)*QUOTIENT(((c_TMAP1IN)-(c_TFWD)),2))+2147483648,4294967296)-2147483648,((c_TMAP1IN)-(c_TFWD))*(((K75)-(c_TFWD))*((c_TMAP1OUT)-(0))+IF(((c_TMAP1OUT)-(0))&gt;=0,1,-1)*QUOTIENT(((c_TMAP1IN)-(c_TFWD)),2)))&gt;=0,1,0)))</f>
        <v>-7</v>
      </c>
      <c r="N75" s="7" t="n">
        <f aca="false">IF(((c_TMAP2IN)-(c_TMAP1IN))=0,(c_TMAP1OUT)+QUOTIENT(((c_TMAP2OUT)-(c_TMAP1OUT)),2),QUOTIENT((((K75)-(c_TMAP1IN))*((c_TMAP2OUT)-(c_TMAP1OUT))+IF(((c_TMAP2OUT)-(c_TMAP1OUT))&gt;=0,1,-1)*QUOTIENT(((c_TMAP2IN)-(c_TMAP1IN)),2)),((c_TMAP2IN)-(c_TMAP1IN)))+(c_TMAP1OUT)+IF(((c_TMAP2OUT)-(c_TMAP1OUT))&gt;=0,IF(IF(o_WRAP=1,MOD(((c_TMAP2IN)-(c_TMAP1IN))*(((K75)-(c_TMAP1IN))*((c_TMAP2OUT)-(c_TMAP1OUT))+IF(((c_TMAP2OUT)-(c_TMAP1OUT))&gt;=0,1,-1)*QUOTIENT(((c_TMAP2IN)-(c_TMAP1IN)),2))+2147483648,4294967296)-2147483648,((c_TMAP2IN)-(c_TMAP1IN))*(((K75)-(c_TMAP1IN))*((c_TMAP2OUT)-(c_TMAP1OUT))+IF(((c_TMAP2OUT)-(c_TMAP1OUT))&gt;=0,1,-1)*QUOTIENT(((c_TMAP2IN)-(c_TMAP1IN)),2)))&lt;0,-1,0),IF(IF(o_WRAP=1,MOD(((c_TMAP2IN)-(c_TMAP1IN))*(((K75)-(c_TMAP1IN))*((c_TMAP2OUT)-(c_TMAP1OUT))+IF(((c_TMAP2OUT)-(c_TMAP1OUT))&gt;=0,1,-1)*QUOTIENT(((c_TMAP2IN)-(c_TMAP1IN)),2))+2147483648,4294967296)-2147483648,((c_TMAP2IN)-(c_TMAP1IN))*(((K75)-(c_TMAP1IN))*((c_TMAP2OUT)-(c_TMAP1OUT))+IF(((c_TMAP2OUT)-(c_TMAP1OUT))&gt;=0,1,-1)*QUOTIENT(((c_TMAP2IN)-(c_TMAP1IN)),2)))&gt;=0,1,0)))</f>
        <v>30</v>
      </c>
      <c r="O75" s="7" t="n">
        <f aca="false">IF(((c_TMAP3IN)-(c_TMAP2IN))=0,(c_TMAP2OUT)+QUOTIENT(((c_TMAP3OUT)-(c_TMAP2OUT)),2),QUOTIENT((((K75)-(c_TMAP2IN))*((c_TMAP3OUT)-(c_TMAP2OUT))+IF(((c_TMAP3OUT)-(c_TMAP2OUT))&gt;=0,1,-1)*QUOTIENT(((c_TMAP3IN)-(c_TMAP2IN)),2)),((c_TMAP3IN)-(c_TMAP2IN)))+(c_TMAP2OUT)+IF(((c_TMAP3OUT)-(c_TMAP2OUT))&gt;=0,IF(IF(o_WRAP=1,MOD(((c_TMAP3IN)-(c_TMAP2IN))*(((K75)-(c_TMAP2IN))*((c_TMAP3OUT)-(c_TMAP2OUT))+IF(((c_TMAP3OUT)-(c_TMAP2OUT))&gt;=0,1,-1)*QUOTIENT(((c_TMAP3IN)-(c_TMAP2IN)),2))+2147483648,4294967296)-2147483648,((c_TMAP3IN)-(c_TMAP2IN))*(((K75)-(c_TMAP2IN))*((c_TMAP3OUT)-(c_TMAP2OUT))+IF(((c_TMAP3OUT)-(c_TMAP2OUT))&gt;=0,1,-1)*QUOTIENT(((c_TMAP3IN)-(c_TMAP2IN)),2)))&lt;0,-1,0),IF(IF(o_WRAP=1,MOD(((c_TMAP3IN)-(c_TMAP2IN))*(((K75)-(c_TMAP2IN))*((c_TMAP3OUT)-(c_TMAP2OUT))+IF(((c_TMAP3OUT)-(c_TMAP2OUT))&gt;=0,1,-1)*QUOTIENT(((c_TMAP3IN)-(c_TMAP2IN)),2))+2147483648,4294967296)-2147483648,((c_TMAP3IN)-(c_TMAP2IN))*(((K75)-(c_TMAP2IN))*((c_TMAP3OUT)-(c_TMAP2OUT))+IF(((c_TMAP3OUT)-(c_TMAP2OUT))&gt;=0,1,-1)*QUOTIENT(((c_TMAP3IN)-(c_TMAP2IN)),2)))&gt;=0,1,0)))</f>
        <v>-44</v>
      </c>
      <c r="P75" s="7" t="n">
        <f aca="false">IF(((1000)-(c_TMAP3IN))=0,(c_TMAP3OUT)+QUOTIENT(((1000)-(c_TMAP3OUT)),2),QUOTIENT((((K75)-(c_TMAP3IN))*((1000)-(c_TMAP3OUT))+IF(((1000)-(c_TMAP3OUT))&gt;=0,1,-1)*QUOTIENT(((1000)-(c_TMAP3IN)),2)),((1000)-(c_TMAP3IN)))+(c_TMAP3OUT)+IF(((1000)-(c_TMAP3OUT))&gt;=0,IF(IF(o_WRAP=1,MOD(((1000)-(c_TMAP3IN))*(((K75)-(c_TMAP3IN))*((1000)-(c_TMAP3OUT))+IF(((1000)-(c_TMAP3OUT))&gt;=0,1,-1)*QUOTIENT(((1000)-(c_TMAP3IN)),2))+2147483648,4294967296)-2147483648,((1000)-(c_TMAP3IN))*(((K75)-(c_TMAP3IN))*((1000)-(c_TMAP3OUT))+IF(((1000)-(c_TMAP3OUT))&gt;=0,1,-1)*QUOTIENT(((1000)-(c_TMAP3IN)),2)))&lt;0,-1,0),IF(IF(o_WRAP=1,MOD(((1000)-(c_TMAP3IN))*(((K75)-(c_TMAP3IN))*((1000)-(c_TMAP3OUT))+IF(((1000)-(c_TMAP3OUT))&gt;=0,1,-1)*QUOTIENT(((1000)-(c_TMAP3IN)),2))+2147483648,4294967296)-2147483648,((1000)-(c_TMAP3IN))*(((K75)-(c_TMAP3IN))*((1000)-(c_TMAP3OUT))+IF(((1000)-(c_TMAP3OUT))&gt;=0,1,-1)*QUOTIENT(((1000)-(c_TMAP3IN)),2)))&gt;=0,1,0)))</f>
        <v>-230</v>
      </c>
      <c r="Q75" s="7" t="str">
        <f aca="false">IF(K75&gt;=c_TFWD,IF(AND(K75&gt;=c_TMAP3IN,c_TMAP3IN&lt;1000),"Seg4 map3-100%",IF(AND(K75&gt;=c_TMAP2IN,c_TMAP3IN&gt;c_TMAP2IN),"Seg3 map2-map3",IF(AND(K75&gt;=c_TMAP1IN,c_TMAP2IN&gt;c_TMAP1IN),"Seg2 map1-map2","Seg1 TFWD-map1"))),IF(AND(K75=0,c_TCREEP&gt;0),"Creep",IF(AND(K75&lt;=c_TRNGMIN,K75&gt;=c_TRNGMAX,c_TRNGMIN-c_TRNGMAX&lt;&gt;0),"Regen ramp","Coast (0)")))</f>
        <v>Regen ramp</v>
      </c>
      <c r="R75" s="7" t="n">
        <f aca="false">IF(K75&gt;=c_TFWD,IF(AND(K75&gt;=c_TMAP3IN,c_TMAP3IN&lt;1000),P75,IF(AND(K75&gt;=c_TMAP2IN,c_TMAP3IN&gt;c_TMAP2IN),O75,IF(AND(K75&gt;=c_TMAP1IN,c_TMAP2IN&gt;c_TMAP1IN),N75,M75))),L75)</f>
        <v>-330</v>
      </c>
      <c r="S75" s="7" t="str">
        <f aca="false">IF(R75&lt;-1090,"TOO LOW",IF(R75&gt;1090,"TOO HIGH",""))</f>
        <v/>
      </c>
      <c r="T75" s="15" t="n">
        <f aca="false">IF(H75&lt;&gt;"OK",0,IF(S75&lt;&gt;"",0,IF(R75&gt;979,1000,R75)))</f>
        <v>-330</v>
      </c>
      <c r="U75" s="7" t="n">
        <f aca="false">T75/10</f>
        <v>-33</v>
      </c>
    </row>
    <row r="76" customFormat="false" ht="15" hidden="false" customHeight="false" outlineLevel="0" collapsed="false">
      <c r="A76" s="7" t="n">
        <v>71</v>
      </c>
      <c r="B76" s="7" t="n">
        <f aca="false">ROUND(o_SWSTART+A76*(o_SWEND-o_SWSTART)/400,0)</f>
        <v>727</v>
      </c>
      <c r="C76" s="7" t="n">
        <f aca="false">QUOTIENT((B76-c_OFF1)*c_GAIN1,1024)</f>
        <v>727</v>
      </c>
      <c r="D76" s="7" t="n">
        <f aca="false">IF(((c_T1MX)-(c_T1MN))=0,(0)+QUOTIENT(((1000)-(0)),2),QUOTIENT((((C76)-(c_T1MN))*((1000)-(0))+IF(((1000)-(0))&gt;=0,1,-1)*QUOTIENT(((c_T1MX)-(c_T1MN)),2)),((c_T1MX)-(c_T1MN)))+(0)+IF(((1000)-(0))&gt;=0,IF(IF(o_WRAP=1,MOD(((c_T1MX)-(c_T1MN))*(((C76)-(c_T1MN))*((1000)-(0))+IF(((1000)-(0))&gt;=0,1,-1)*QUOTIENT(((c_T1MX)-(c_T1MN)),2))+2147483648,4294967296)-2147483648,((c_T1MX)-(c_T1MN))*(((C76)-(c_T1MN))*((1000)-(0))+IF(((1000)-(0))&gt;=0,1,-1)*QUOTIENT(((c_T1MX)-(c_T1MN)),2)))&lt;0,-1,0),IF(IF(o_WRAP=1,MOD(((c_T1MX)-(c_T1MN))*(((C76)-(c_T1MN))*((1000)-(0))+IF(((1000)-(0))&gt;=0,1,-1)*QUOTIENT(((c_T1MX)-(c_T1MN)),2))+2147483648,4294967296)-2147483648,((c_T1MX)-(c_T1MN))*(((C76)-(c_T1MN))*((1000)-(0))+IF(((1000)-(0))&gt;=0,1,-1)*QUOTIENT(((c_T1MX)-(c_T1MN)),2)))&gt;=0,1,0)))</f>
        <v>4</v>
      </c>
      <c r="E76" s="7" t="n">
        <f aca="false">IF(AND(c_TPOT=1,c_TTYPE=2),1000-D76,D76)</f>
        <v>4</v>
      </c>
      <c r="F76" s="7" t="str">
        <f aca="false">IF(c_TPOT&gt;1,ROUND(IF(c_TTYPE=2,c_T2MX-IF(c_T1MX=c_T1MN,0,(C76-c_T1MN)/(c_T1MX-c_T1MN))*(c_T2MX-c_T2MN),c_T2MN+IF(c_T1MX=c_T1MN,0,(C76-c_T1MN)/(c_T1MX-c_T1MN))*(c_T2MX-c_T2MN))+o_MISMATCH,0),"")</f>
        <v/>
      </c>
      <c r="G76" s="7" t="str">
        <f aca="false">IF(c_TPOT&gt;1,IF(((c_T2MX)-(c_T2MN))=0,(0)+QUOTIENT(((1000)-(0)),2),QUOTIENT((((F76)-(c_T2MN))*((1000)-(0))+IF(((1000)-(0))&gt;=0,1,-1)*QUOTIENT(((c_T2MX)-(c_T2MN)),2)),((c_T2MX)-(c_T2MN)))+(0)+IF(((1000)-(0))&gt;=0,IF(IF(o_WRAP=1,MOD(((c_T2MX)-(c_T2MN))*(((F76)-(c_T2MN))*((1000)-(0))+IF(((1000)-(0))&gt;=0,1,-1)*QUOTIENT(((c_T2MX)-(c_T2MN)),2))+2147483648,4294967296)-2147483648,((c_T2MX)-(c_T2MN))*(((F76)-(c_T2MN))*((1000)-(0))+IF(((1000)-(0))&gt;=0,1,-1)*QUOTIENT(((c_T2MX)-(c_T2MN)),2)))&lt;0,-1,0),IF(IF(o_WRAP=1,MOD(((c_T2MX)-(c_T2MN))*(((F76)-(c_T2MN))*((1000)-(0))+IF(((1000)-(0))&gt;=0,1,-1)*QUOTIENT(((c_T2MX)-(c_T2MN)),2))+2147483648,4294967296)-2147483648,((c_T2MX)-(c_T2MN))*(((F76)-(c_T2MN))*((1000)-(0))+IF(((1000)-(0))&gt;=0,1,-1)*QUOTIENT(((c_T2MX)-(c_T2MN)),2)))&gt;=0,1,0))),"")</f>
        <v/>
      </c>
      <c r="H76" s="7" t="str">
        <f aca="false">IF(E76&gt;1000+k_TOL,"T1 HIGH",IF(E76&lt;0-k_TOL,"T1 LOW",IF(c_TPOT&gt;1,IF(G76&gt;1000+k_TOL,"T2 HIGH",IF(G76&lt;0-k_TOL,"T2 LOW",IF(c_TTYPE=2,IF(ABS(1000-MAX(0,MIN(1000,E76))-MAX(0,MIN(1000,G76)))&gt;k_MAXERR,"MISMATCH","OK"),IF(OR(MAX(0,MIN(1000,E76))-k_MAXERR&gt;MAX(0,MIN(1000,G76)),MAX(0,MIN(1000,G76))-k_MAXERR&gt;MAX(0,MIN(1000,E76))),"MISMATCH","OK")))),"OK")))</f>
        <v>OK</v>
      </c>
      <c r="I76" s="7" t="n">
        <f aca="false">MAX(0,MIN(1000,D76))</f>
        <v>4</v>
      </c>
      <c r="J76" s="7" t="str">
        <f aca="false">IF(c_TPOT&gt;1,IF(c_TTYPE=2,1000-MAX(0,MIN(1000,G76)),MAX(0,MIN(1000,G76))),"")</f>
        <v/>
      </c>
      <c r="K76" s="7" t="n">
        <f aca="false">IF(c_TPOT&gt;1,QUOTIENT(I76+J76,2),I76)</f>
        <v>4</v>
      </c>
      <c r="L76" s="7" t="n">
        <f aca="false">IF(AND(K76=0,c_TCREEP&gt;0),10*c_TCREEP,IF(AND(K76&lt;=c_TRNGMIN,K76&gt;=c_TRNGMAX,c_TRNGMIN-c_TRNGMAX&lt;&gt;0),-10*c_TMINRN+QUOTIENT((c_TMAXRN-c_TMINRN)*(100-QUOTIENT((K76-c_TRNGMAX)*100,c_TRNGMIN-c_TRNGMAX)),-10),0))</f>
        <v>-270</v>
      </c>
      <c r="M76" s="7" t="n">
        <f aca="false">IF(((c_TMAP1IN)-(c_TFWD))=0,(0)+QUOTIENT(((c_TMAP1OUT)-(0)),2),QUOTIENT((((K76)-(c_TFWD))*((c_TMAP1OUT)-(0))+IF(((c_TMAP1OUT)-(0))&gt;=0,1,-1)*QUOTIENT(((c_TMAP1IN)-(c_TFWD)),2)),((c_TMAP1IN)-(c_TFWD)))+(0)+IF(((c_TMAP1OUT)-(0))&gt;=0,IF(IF(o_WRAP=1,MOD(((c_TMAP1IN)-(c_TFWD))*(((K76)-(c_TFWD))*((c_TMAP1OUT)-(0))+IF(((c_TMAP1OUT)-(0))&gt;=0,1,-1)*QUOTIENT(((c_TMAP1IN)-(c_TFWD)),2))+2147483648,4294967296)-2147483648,((c_TMAP1IN)-(c_TFWD))*(((K76)-(c_TFWD))*((c_TMAP1OUT)-(0))+IF(((c_TMAP1OUT)-(0))&gt;=0,1,-1)*QUOTIENT(((c_TMAP1IN)-(c_TFWD)),2)))&lt;0,-1,0),IF(IF(o_WRAP=1,MOD(((c_TMAP1IN)-(c_TFWD))*(((K76)-(c_TFWD))*((c_TMAP1OUT)-(0))+IF(((c_TMAP1OUT)-(0))&gt;=0,1,-1)*QUOTIENT(((c_TMAP1IN)-(c_TFWD)),2))+2147483648,4294967296)-2147483648,((c_TMAP1IN)-(c_TFWD))*(((K76)-(c_TFWD))*((c_TMAP1OUT)-(0))+IF(((c_TMAP1OUT)-(0))&gt;=0,1,-1)*QUOTIENT(((c_TMAP1IN)-(c_TFWD)),2)))&gt;=0,1,0)))</f>
        <v>-5</v>
      </c>
      <c r="N76" s="7" t="n">
        <f aca="false">IF(((c_TMAP2IN)-(c_TMAP1IN))=0,(c_TMAP1OUT)+QUOTIENT(((c_TMAP2OUT)-(c_TMAP1OUT)),2),QUOTIENT((((K76)-(c_TMAP1IN))*((c_TMAP2OUT)-(c_TMAP1OUT))+IF(((c_TMAP2OUT)-(c_TMAP1OUT))&gt;=0,1,-1)*QUOTIENT(((c_TMAP2IN)-(c_TMAP1IN)),2)),((c_TMAP2IN)-(c_TMAP1IN)))+(c_TMAP1OUT)+IF(((c_TMAP2OUT)-(c_TMAP1OUT))&gt;=0,IF(IF(o_WRAP=1,MOD(((c_TMAP2IN)-(c_TMAP1IN))*(((K76)-(c_TMAP1IN))*((c_TMAP2OUT)-(c_TMAP1OUT))+IF(((c_TMAP2OUT)-(c_TMAP1OUT))&gt;=0,1,-1)*QUOTIENT(((c_TMAP2IN)-(c_TMAP1IN)),2))+2147483648,4294967296)-2147483648,((c_TMAP2IN)-(c_TMAP1IN))*(((K76)-(c_TMAP1IN))*((c_TMAP2OUT)-(c_TMAP1OUT))+IF(((c_TMAP2OUT)-(c_TMAP1OUT))&gt;=0,1,-1)*QUOTIENT(((c_TMAP2IN)-(c_TMAP1IN)),2)))&lt;0,-1,0),IF(IF(o_WRAP=1,MOD(((c_TMAP2IN)-(c_TMAP1IN))*(((K76)-(c_TMAP1IN))*((c_TMAP2OUT)-(c_TMAP1OUT))+IF(((c_TMAP2OUT)-(c_TMAP1OUT))&gt;=0,1,-1)*QUOTIENT(((c_TMAP2IN)-(c_TMAP1IN)),2))+2147483648,4294967296)-2147483648,((c_TMAP2IN)-(c_TMAP1IN))*(((K76)-(c_TMAP1IN))*((c_TMAP2OUT)-(c_TMAP1OUT))+IF(((c_TMAP2OUT)-(c_TMAP1OUT))&gt;=0,1,-1)*QUOTIENT(((c_TMAP2IN)-(c_TMAP1IN)),2)))&gt;=0,1,0)))</f>
        <v>32</v>
      </c>
      <c r="O76" s="7" t="n">
        <f aca="false">IF(((c_TMAP3IN)-(c_TMAP2IN))=0,(c_TMAP2OUT)+QUOTIENT(((c_TMAP3OUT)-(c_TMAP2OUT)),2),QUOTIENT((((K76)-(c_TMAP2IN))*((c_TMAP3OUT)-(c_TMAP2OUT))+IF(((c_TMAP3OUT)-(c_TMAP2OUT))&gt;=0,1,-1)*QUOTIENT(((c_TMAP3IN)-(c_TMAP2IN)),2)),((c_TMAP3IN)-(c_TMAP2IN)))+(c_TMAP2OUT)+IF(((c_TMAP3OUT)-(c_TMAP2OUT))&gt;=0,IF(IF(o_WRAP=1,MOD(((c_TMAP3IN)-(c_TMAP2IN))*(((K76)-(c_TMAP2IN))*((c_TMAP3OUT)-(c_TMAP2OUT))+IF(((c_TMAP3OUT)-(c_TMAP2OUT))&gt;=0,1,-1)*QUOTIENT(((c_TMAP3IN)-(c_TMAP2IN)),2))+2147483648,4294967296)-2147483648,((c_TMAP3IN)-(c_TMAP2IN))*(((K76)-(c_TMAP2IN))*((c_TMAP3OUT)-(c_TMAP2OUT))+IF(((c_TMAP3OUT)-(c_TMAP2OUT))&gt;=0,1,-1)*QUOTIENT(((c_TMAP3IN)-(c_TMAP2IN)),2)))&lt;0,-1,0),IF(IF(o_WRAP=1,MOD(((c_TMAP3IN)-(c_TMAP2IN))*(((K76)-(c_TMAP2IN))*((c_TMAP3OUT)-(c_TMAP2OUT))+IF(((c_TMAP3OUT)-(c_TMAP2OUT))&gt;=0,1,-1)*QUOTIENT(((c_TMAP3IN)-(c_TMAP2IN)),2))+2147483648,4294967296)-2147483648,((c_TMAP3IN)-(c_TMAP2IN))*(((K76)-(c_TMAP2IN))*((c_TMAP3OUT)-(c_TMAP2OUT))+IF(((c_TMAP3OUT)-(c_TMAP2OUT))&gt;=0,1,-1)*QUOTIENT(((c_TMAP3IN)-(c_TMAP2IN)),2)))&gt;=0,1,0)))</f>
        <v>-42</v>
      </c>
      <c r="P76" s="7" t="n">
        <f aca="false">IF(((1000)-(c_TMAP3IN))=0,(c_TMAP3OUT)+QUOTIENT(((1000)-(c_TMAP3OUT)),2),QUOTIENT((((K76)-(c_TMAP3IN))*((1000)-(c_TMAP3OUT))+IF(((1000)-(c_TMAP3OUT))&gt;=0,1,-1)*QUOTIENT(((1000)-(c_TMAP3IN)),2)),((1000)-(c_TMAP3IN)))+(c_TMAP3OUT)+IF(((1000)-(c_TMAP3OUT))&gt;=0,IF(IF(o_WRAP=1,MOD(((1000)-(c_TMAP3IN))*(((K76)-(c_TMAP3IN))*((1000)-(c_TMAP3OUT))+IF(((1000)-(c_TMAP3OUT))&gt;=0,1,-1)*QUOTIENT(((1000)-(c_TMAP3IN)),2))+2147483648,4294967296)-2147483648,((1000)-(c_TMAP3IN))*(((K76)-(c_TMAP3IN))*((1000)-(c_TMAP3OUT))+IF(((1000)-(c_TMAP3OUT))&gt;=0,1,-1)*QUOTIENT(((1000)-(c_TMAP3IN)),2)))&lt;0,-1,0),IF(IF(o_WRAP=1,MOD(((1000)-(c_TMAP3IN))*(((K76)-(c_TMAP3IN))*((1000)-(c_TMAP3OUT))+IF(((1000)-(c_TMAP3OUT))&gt;=0,1,-1)*QUOTIENT(((1000)-(c_TMAP3IN)),2))+2147483648,4294967296)-2147483648,((1000)-(c_TMAP3IN))*(((K76)-(c_TMAP3IN))*((1000)-(c_TMAP3OUT))+IF(((1000)-(c_TMAP3OUT))&gt;=0,1,-1)*QUOTIENT(((1000)-(c_TMAP3IN)),2)))&gt;=0,1,0)))</f>
        <v>-226</v>
      </c>
      <c r="Q76" s="7" t="str">
        <f aca="false">IF(K76&gt;=c_TFWD,IF(AND(K76&gt;=c_TMAP3IN,c_TMAP3IN&lt;1000),"Seg4 map3-100%",IF(AND(K76&gt;=c_TMAP2IN,c_TMAP3IN&gt;c_TMAP2IN),"Seg3 map2-map3",IF(AND(K76&gt;=c_TMAP1IN,c_TMAP2IN&gt;c_TMAP1IN),"Seg2 map1-map2","Seg1 TFWD-map1"))),IF(AND(K76=0,c_TCREEP&gt;0),"Creep",IF(AND(K76&lt;=c_TRNGMIN,K76&gt;=c_TRNGMAX,c_TRNGMIN-c_TRNGMAX&lt;&gt;0),"Regen ramp","Coast (0)")))</f>
        <v>Regen ramp</v>
      </c>
      <c r="R76" s="7" t="n">
        <f aca="false">IF(K76&gt;=c_TFWD,IF(AND(K76&gt;=c_TMAP3IN,c_TMAP3IN&lt;1000),P76,IF(AND(K76&gt;=c_TMAP2IN,c_TMAP3IN&gt;c_TMAP2IN),O76,IF(AND(K76&gt;=c_TMAP1IN,c_TMAP2IN&gt;c_TMAP1IN),N76,M76))),L76)</f>
        <v>-270</v>
      </c>
      <c r="S76" s="7" t="str">
        <f aca="false">IF(R76&lt;-1090,"TOO LOW",IF(R76&gt;1090,"TOO HIGH",""))</f>
        <v/>
      </c>
      <c r="T76" s="15" t="n">
        <f aca="false">IF(H76&lt;&gt;"OK",0,IF(S76&lt;&gt;"",0,IF(R76&gt;979,1000,R76)))</f>
        <v>-270</v>
      </c>
      <c r="U76" s="7" t="n">
        <f aca="false">T76/10</f>
        <v>-27</v>
      </c>
    </row>
    <row r="77" customFormat="false" ht="15" hidden="false" customHeight="false" outlineLevel="0" collapsed="false">
      <c r="A77" s="7" t="n">
        <v>72</v>
      </c>
      <c r="B77" s="7" t="n">
        <f aca="false">ROUND(o_SWSTART+A77*(o_SWEND-o_SWSTART)/400,0)</f>
        <v>737</v>
      </c>
      <c r="C77" s="7" t="n">
        <f aca="false">QUOTIENT((B77-c_OFF1)*c_GAIN1,1024)</f>
        <v>737</v>
      </c>
      <c r="D77" s="7" t="n">
        <f aca="false">IF(((c_T1MX)-(c_T1MN))=0,(0)+QUOTIENT(((1000)-(0)),2),QUOTIENT((((C77)-(c_T1MN))*((1000)-(0))+IF(((1000)-(0))&gt;=0,1,-1)*QUOTIENT(((c_T1MX)-(c_T1MN)),2)),((c_T1MX)-(c_T1MN)))+(0)+IF(((1000)-(0))&gt;=0,IF(IF(o_WRAP=1,MOD(((c_T1MX)-(c_T1MN))*(((C77)-(c_T1MN))*((1000)-(0))+IF(((1000)-(0))&gt;=0,1,-1)*QUOTIENT(((c_T1MX)-(c_T1MN)),2))+2147483648,4294967296)-2147483648,((c_T1MX)-(c_T1MN))*(((C77)-(c_T1MN))*((1000)-(0))+IF(((1000)-(0))&gt;=0,1,-1)*QUOTIENT(((c_T1MX)-(c_T1MN)),2)))&lt;0,-1,0),IF(IF(o_WRAP=1,MOD(((c_T1MX)-(c_T1MN))*(((C77)-(c_T1MN))*((1000)-(0))+IF(((1000)-(0))&gt;=0,1,-1)*QUOTIENT(((c_T1MX)-(c_T1MN)),2))+2147483648,4294967296)-2147483648,((c_T1MX)-(c_T1MN))*(((C77)-(c_T1MN))*((1000)-(0))+IF(((1000)-(0))&gt;=0,1,-1)*QUOTIENT(((c_T1MX)-(c_T1MN)),2)))&gt;=0,1,0)))</f>
        <v>8</v>
      </c>
      <c r="E77" s="7" t="n">
        <f aca="false">IF(AND(c_TPOT=1,c_TTYPE=2),1000-D77,D77)</f>
        <v>8</v>
      </c>
      <c r="F77" s="7" t="str">
        <f aca="false">IF(c_TPOT&gt;1,ROUND(IF(c_TTYPE=2,c_T2MX-IF(c_T1MX=c_T1MN,0,(C77-c_T1MN)/(c_T1MX-c_T1MN))*(c_T2MX-c_T2MN),c_T2MN+IF(c_T1MX=c_T1MN,0,(C77-c_T1MN)/(c_T1MX-c_T1MN))*(c_T2MX-c_T2MN))+o_MISMATCH,0),"")</f>
        <v/>
      </c>
      <c r="G77" s="7" t="str">
        <f aca="false">IF(c_TPOT&gt;1,IF(((c_T2MX)-(c_T2MN))=0,(0)+QUOTIENT(((1000)-(0)),2),QUOTIENT((((F77)-(c_T2MN))*((1000)-(0))+IF(((1000)-(0))&gt;=0,1,-1)*QUOTIENT(((c_T2MX)-(c_T2MN)),2)),((c_T2MX)-(c_T2MN)))+(0)+IF(((1000)-(0))&gt;=0,IF(IF(o_WRAP=1,MOD(((c_T2MX)-(c_T2MN))*(((F77)-(c_T2MN))*((1000)-(0))+IF(((1000)-(0))&gt;=0,1,-1)*QUOTIENT(((c_T2MX)-(c_T2MN)),2))+2147483648,4294967296)-2147483648,((c_T2MX)-(c_T2MN))*(((F77)-(c_T2MN))*((1000)-(0))+IF(((1000)-(0))&gt;=0,1,-1)*QUOTIENT(((c_T2MX)-(c_T2MN)),2)))&lt;0,-1,0),IF(IF(o_WRAP=1,MOD(((c_T2MX)-(c_T2MN))*(((F77)-(c_T2MN))*((1000)-(0))+IF(((1000)-(0))&gt;=0,1,-1)*QUOTIENT(((c_T2MX)-(c_T2MN)),2))+2147483648,4294967296)-2147483648,((c_T2MX)-(c_T2MN))*(((F77)-(c_T2MN))*((1000)-(0))+IF(((1000)-(0))&gt;=0,1,-1)*QUOTIENT(((c_T2MX)-(c_T2MN)),2)))&gt;=0,1,0))),"")</f>
        <v/>
      </c>
      <c r="H77" s="7" t="str">
        <f aca="false">IF(E77&gt;1000+k_TOL,"T1 HIGH",IF(E77&lt;0-k_TOL,"T1 LOW",IF(c_TPOT&gt;1,IF(G77&gt;1000+k_TOL,"T2 HIGH",IF(G77&lt;0-k_TOL,"T2 LOW",IF(c_TTYPE=2,IF(ABS(1000-MAX(0,MIN(1000,E77))-MAX(0,MIN(1000,G77)))&gt;k_MAXERR,"MISMATCH","OK"),IF(OR(MAX(0,MIN(1000,E77))-k_MAXERR&gt;MAX(0,MIN(1000,G77)),MAX(0,MIN(1000,G77))-k_MAXERR&gt;MAX(0,MIN(1000,E77))),"MISMATCH","OK")))),"OK")))</f>
        <v>OK</v>
      </c>
      <c r="I77" s="7" t="n">
        <f aca="false">MAX(0,MIN(1000,D77))</f>
        <v>8</v>
      </c>
      <c r="J77" s="7" t="str">
        <f aca="false">IF(c_TPOT&gt;1,IF(c_TTYPE=2,1000-MAX(0,MIN(1000,G77)),MAX(0,MIN(1000,G77))),"")</f>
        <v/>
      </c>
      <c r="K77" s="7" t="n">
        <f aca="false">IF(c_TPOT&gt;1,QUOTIENT(I77+J77,2),I77)</f>
        <v>8</v>
      </c>
      <c r="L77" s="7" t="n">
        <f aca="false">IF(AND(K77=0,c_TCREEP&gt;0),10*c_TCREEP,IF(AND(K77&lt;=c_TRNGMIN,K77&gt;=c_TRNGMAX,c_TRNGMIN-c_TRNGMAX&lt;&gt;0),-10*c_TMINRN+QUOTIENT((c_TMAXRN-c_TMINRN)*(100-QUOTIENT((K77-c_TRNGMAX)*100,c_TRNGMIN-c_TRNGMAX)),-10),0))</f>
        <v>-190</v>
      </c>
      <c r="M77" s="7" t="n">
        <f aca="false">IF(((c_TMAP1IN)-(c_TFWD))=0,(0)+QUOTIENT(((c_TMAP1OUT)-(0)),2),QUOTIENT((((K77)-(c_TFWD))*((c_TMAP1OUT)-(0))+IF(((c_TMAP1OUT)-(0))&gt;=0,1,-1)*QUOTIENT(((c_TMAP1IN)-(c_TFWD)),2)),((c_TMAP1IN)-(c_TFWD)))+(0)+IF(((c_TMAP1OUT)-(0))&gt;=0,IF(IF(o_WRAP=1,MOD(((c_TMAP1IN)-(c_TFWD))*(((K77)-(c_TFWD))*((c_TMAP1OUT)-(0))+IF(((c_TMAP1OUT)-(0))&gt;=0,1,-1)*QUOTIENT(((c_TMAP1IN)-(c_TFWD)),2))+2147483648,4294967296)-2147483648,((c_TMAP1IN)-(c_TFWD))*(((K77)-(c_TFWD))*((c_TMAP1OUT)-(0))+IF(((c_TMAP1OUT)-(0))&gt;=0,1,-1)*QUOTIENT(((c_TMAP1IN)-(c_TFWD)),2)))&lt;0,-1,0),IF(IF(o_WRAP=1,MOD(((c_TMAP1IN)-(c_TFWD))*(((K77)-(c_TFWD))*((c_TMAP1OUT)-(0))+IF(((c_TMAP1OUT)-(0))&gt;=0,1,-1)*QUOTIENT(((c_TMAP1IN)-(c_TFWD)),2))+2147483648,4294967296)-2147483648,((c_TMAP1IN)-(c_TFWD))*(((K77)-(c_TFWD))*((c_TMAP1OUT)-(0))+IF(((c_TMAP1OUT)-(0))&gt;=0,1,-1)*QUOTIENT(((c_TMAP1IN)-(c_TFWD)),2)))&gt;=0,1,0)))</f>
        <v>-2</v>
      </c>
      <c r="N77" s="7" t="n">
        <f aca="false">IF(((c_TMAP2IN)-(c_TMAP1IN))=0,(c_TMAP1OUT)+QUOTIENT(((c_TMAP2OUT)-(c_TMAP1OUT)),2),QUOTIENT((((K77)-(c_TMAP1IN))*((c_TMAP2OUT)-(c_TMAP1OUT))+IF(((c_TMAP2OUT)-(c_TMAP1OUT))&gt;=0,1,-1)*QUOTIENT(((c_TMAP2IN)-(c_TMAP1IN)),2)),((c_TMAP2IN)-(c_TMAP1IN)))+(c_TMAP1OUT)+IF(((c_TMAP2OUT)-(c_TMAP1OUT))&gt;=0,IF(IF(o_WRAP=1,MOD(((c_TMAP2IN)-(c_TMAP1IN))*(((K77)-(c_TMAP1IN))*((c_TMAP2OUT)-(c_TMAP1OUT))+IF(((c_TMAP2OUT)-(c_TMAP1OUT))&gt;=0,1,-1)*QUOTIENT(((c_TMAP2IN)-(c_TMAP1IN)),2))+2147483648,4294967296)-2147483648,((c_TMAP2IN)-(c_TMAP1IN))*(((K77)-(c_TMAP1IN))*((c_TMAP2OUT)-(c_TMAP1OUT))+IF(((c_TMAP2OUT)-(c_TMAP1OUT))&gt;=0,1,-1)*QUOTIENT(((c_TMAP2IN)-(c_TMAP1IN)),2)))&lt;0,-1,0),IF(IF(o_WRAP=1,MOD(((c_TMAP2IN)-(c_TMAP1IN))*(((K77)-(c_TMAP1IN))*((c_TMAP2OUT)-(c_TMAP1OUT))+IF(((c_TMAP2OUT)-(c_TMAP1OUT))&gt;=0,1,-1)*QUOTIENT(((c_TMAP2IN)-(c_TMAP1IN)),2))+2147483648,4294967296)-2147483648,((c_TMAP2IN)-(c_TMAP1IN))*(((K77)-(c_TMAP1IN))*((c_TMAP2OUT)-(c_TMAP1OUT))+IF(((c_TMAP2OUT)-(c_TMAP1OUT))&gt;=0,1,-1)*QUOTIENT(((c_TMAP2IN)-(c_TMAP1IN)),2)))&gt;=0,1,0)))</f>
        <v>33</v>
      </c>
      <c r="O77" s="7" t="n">
        <f aca="false">IF(((c_TMAP3IN)-(c_TMAP2IN))=0,(c_TMAP2OUT)+QUOTIENT(((c_TMAP3OUT)-(c_TMAP2OUT)),2),QUOTIENT((((K77)-(c_TMAP2IN))*((c_TMAP3OUT)-(c_TMAP2OUT))+IF(((c_TMAP3OUT)-(c_TMAP2OUT))&gt;=0,1,-1)*QUOTIENT(((c_TMAP3IN)-(c_TMAP2IN)),2)),((c_TMAP3IN)-(c_TMAP2IN)))+(c_TMAP2OUT)+IF(((c_TMAP3OUT)-(c_TMAP2OUT))&gt;=0,IF(IF(o_WRAP=1,MOD(((c_TMAP3IN)-(c_TMAP2IN))*(((K77)-(c_TMAP2IN))*((c_TMAP3OUT)-(c_TMAP2OUT))+IF(((c_TMAP3OUT)-(c_TMAP2OUT))&gt;=0,1,-1)*QUOTIENT(((c_TMAP3IN)-(c_TMAP2IN)),2))+2147483648,4294967296)-2147483648,((c_TMAP3IN)-(c_TMAP2IN))*(((K77)-(c_TMAP2IN))*((c_TMAP3OUT)-(c_TMAP2OUT))+IF(((c_TMAP3OUT)-(c_TMAP2OUT))&gt;=0,1,-1)*QUOTIENT(((c_TMAP3IN)-(c_TMAP2IN)),2)))&lt;0,-1,0),IF(IF(o_WRAP=1,MOD(((c_TMAP3IN)-(c_TMAP2IN))*(((K77)-(c_TMAP2IN))*((c_TMAP3OUT)-(c_TMAP2OUT))+IF(((c_TMAP3OUT)-(c_TMAP2OUT))&gt;=0,1,-1)*QUOTIENT(((c_TMAP3IN)-(c_TMAP2IN)),2))+2147483648,4294967296)-2147483648,((c_TMAP3IN)-(c_TMAP2IN))*(((K77)-(c_TMAP2IN))*((c_TMAP3OUT)-(c_TMAP2OUT))+IF(((c_TMAP3OUT)-(c_TMAP2OUT))&gt;=0,1,-1)*QUOTIENT(((c_TMAP3IN)-(c_TMAP2IN)),2)))&gt;=0,1,0)))</f>
        <v>-39</v>
      </c>
      <c r="P77" s="7" t="n">
        <f aca="false">IF(((1000)-(c_TMAP3IN))=0,(c_TMAP3OUT)+QUOTIENT(((1000)-(c_TMAP3OUT)),2),QUOTIENT((((K77)-(c_TMAP3IN))*((1000)-(c_TMAP3OUT))+IF(((1000)-(c_TMAP3OUT))&gt;=0,1,-1)*QUOTIENT(((1000)-(c_TMAP3IN)),2)),((1000)-(c_TMAP3IN)))+(c_TMAP3OUT)+IF(((1000)-(c_TMAP3OUT))&gt;=0,IF(IF(o_WRAP=1,MOD(((1000)-(c_TMAP3IN))*(((K77)-(c_TMAP3IN))*((1000)-(c_TMAP3OUT))+IF(((1000)-(c_TMAP3OUT))&gt;=0,1,-1)*QUOTIENT(((1000)-(c_TMAP3IN)),2))+2147483648,4294967296)-2147483648,((1000)-(c_TMAP3IN))*(((K77)-(c_TMAP3IN))*((1000)-(c_TMAP3OUT))+IF(((1000)-(c_TMAP3OUT))&gt;=0,1,-1)*QUOTIENT(((1000)-(c_TMAP3IN)),2)))&lt;0,-1,0),IF(IF(o_WRAP=1,MOD(((1000)-(c_TMAP3IN))*(((K77)-(c_TMAP3IN))*((1000)-(c_TMAP3OUT))+IF(((1000)-(c_TMAP3OUT))&gt;=0,1,-1)*QUOTIENT(((1000)-(c_TMAP3IN)),2))+2147483648,4294967296)-2147483648,((1000)-(c_TMAP3IN))*(((K77)-(c_TMAP3IN))*((1000)-(c_TMAP3OUT))+IF(((1000)-(c_TMAP3OUT))&gt;=0,1,-1)*QUOTIENT(((1000)-(c_TMAP3IN)),2)))&gt;=0,1,0)))</f>
        <v>-221</v>
      </c>
      <c r="Q77" s="7" t="str">
        <f aca="false">IF(K77&gt;=c_TFWD,IF(AND(K77&gt;=c_TMAP3IN,c_TMAP3IN&lt;1000),"Seg4 map3-100%",IF(AND(K77&gt;=c_TMAP2IN,c_TMAP3IN&gt;c_TMAP2IN),"Seg3 map2-map3",IF(AND(K77&gt;=c_TMAP1IN,c_TMAP2IN&gt;c_TMAP1IN),"Seg2 map1-map2","Seg1 TFWD-map1"))),IF(AND(K77=0,c_TCREEP&gt;0),"Creep",IF(AND(K77&lt;=c_TRNGMIN,K77&gt;=c_TRNGMAX,c_TRNGMIN-c_TRNGMAX&lt;&gt;0),"Regen ramp","Coast (0)")))</f>
        <v>Regen ramp</v>
      </c>
      <c r="R77" s="7" t="n">
        <f aca="false">IF(K77&gt;=c_TFWD,IF(AND(K77&gt;=c_TMAP3IN,c_TMAP3IN&lt;1000),P77,IF(AND(K77&gt;=c_TMAP2IN,c_TMAP3IN&gt;c_TMAP2IN),O77,IF(AND(K77&gt;=c_TMAP1IN,c_TMAP2IN&gt;c_TMAP1IN),N77,M77))),L77)</f>
        <v>-190</v>
      </c>
      <c r="S77" s="7" t="str">
        <f aca="false">IF(R77&lt;-1090,"TOO LOW",IF(R77&gt;1090,"TOO HIGH",""))</f>
        <v/>
      </c>
      <c r="T77" s="15" t="n">
        <f aca="false">IF(H77&lt;&gt;"OK",0,IF(S77&lt;&gt;"",0,IF(R77&gt;979,1000,R77)))</f>
        <v>-190</v>
      </c>
      <c r="U77" s="7" t="n">
        <f aca="false">T77/10</f>
        <v>-19</v>
      </c>
    </row>
    <row r="78" customFormat="false" ht="15" hidden="false" customHeight="false" outlineLevel="0" collapsed="false">
      <c r="A78" s="7" t="n">
        <v>73</v>
      </c>
      <c r="B78" s="7" t="n">
        <f aca="false">ROUND(o_SWSTART+A78*(o_SWEND-o_SWSTART)/400,0)</f>
        <v>747</v>
      </c>
      <c r="C78" s="7" t="n">
        <f aca="false">QUOTIENT((B78-c_OFF1)*c_GAIN1,1024)</f>
        <v>747</v>
      </c>
      <c r="D78" s="7" t="n">
        <f aca="false">IF(((c_T1MX)-(c_T1MN))=0,(0)+QUOTIENT(((1000)-(0)),2),QUOTIENT((((C78)-(c_T1MN))*((1000)-(0))+IF(((1000)-(0))&gt;=0,1,-1)*QUOTIENT(((c_T1MX)-(c_T1MN)),2)),((c_T1MX)-(c_T1MN)))+(0)+IF(((1000)-(0))&gt;=0,IF(IF(o_WRAP=1,MOD(((c_T1MX)-(c_T1MN))*(((C78)-(c_T1MN))*((1000)-(0))+IF(((1000)-(0))&gt;=0,1,-1)*QUOTIENT(((c_T1MX)-(c_T1MN)),2))+2147483648,4294967296)-2147483648,((c_T1MX)-(c_T1MN))*(((C78)-(c_T1MN))*((1000)-(0))+IF(((1000)-(0))&gt;=0,1,-1)*QUOTIENT(((c_T1MX)-(c_T1MN)),2)))&lt;0,-1,0),IF(IF(o_WRAP=1,MOD(((c_T1MX)-(c_T1MN))*(((C78)-(c_T1MN))*((1000)-(0))+IF(((1000)-(0))&gt;=0,1,-1)*QUOTIENT(((c_T1MX)-(c_T1MN)),2))+2147483648,4294967296)-2147483648,((c_T1MX)-(c_T1MN))*(((C78)-(c_T1MN))*((1000)-(0))+IF(((1000)-(0))&gt;=0,1,-1)*QUOTIENT(((c_T1MX)-(c_T1MN)),2)))&gt;=0,1,0)))</f>
        <v>12</v>
      </c>
      <c r="E78" s="7" t="n">
        <f aca="false">IF(AND(c_TPOT=1,c_TTYPE=2),1000-D78,D78)</f>
        <v>12</v>
      </c>
      <c r="F78" s="7" t="str">
        <f aca="false">IF(c_TPOT&gt;1,ROUND(IF(c_TTYPE=2,c_T2MX-IF(c_T1MX=c_T1MN,0,(C78-c_T1MN)/(c_T1MX-c_T1MN))*(c_T2MX-c_T2MN),c_T2MN+IF(c_T1MX=c_T1MN,0,(C78-c_T1MN)/(c_T1MX-c_T1MN))*(c_T2MX-c_T2MN))+o_MISMATCH,0),"")</f>
        <v/>
      </c>
      <c r="G78" s="7" t="str">
        <f aca="false">IF(c_TPOT&gt;1,IF(((c_T2MX)-(c_T2MN))=0,(0)+QUOTIENT(((1000)-(0)),2),QUOTIENT((((F78)-(c_T2MN))*((1000)-(0))+IF(((1000)-(0))&gt;=0,1,-1)*QUOTIENT(((c_T2MX)-(c_T2MN)),2)),((c_T2MX)-(c_T2MN)))+(0)+IF(((1000)-(0))&gt;=0,IF(IF(o_WRAP=1,MOD(((c_T2MX)-(c_T2MN))*(((F78)-(c_T2MN))*((1000)-(0))+IF(((1000)-(0))&gt;=0,1,-1)*QUOTIENT(((c_T2MX)-(c_T2MN)),2))+2147483648,4294967296)-2147483648,((c_T2MX)-(c_T2MN))*(((F78)-(c_T2MN))*((1000)-(0))+IF(((1000)-(0))&gt;=0,1,-1)*QUOTIENT(((c_T2MX)-(c_T2MN)),2)))&lt;0,-1,0),IF(IF(o_WRAP=1,MOD(((c_T2MX)-(c_T2MN))*(((F78)-(c_T2MN))*((1000)-(0))+IF(((1000)-(0))&gt;=0,1,-1)*QUOTIENT(((c_T2MX)-(c_T2MN)),2))+2147483648,4294967296)-2147483648,((c_T2MX)-(c_T2MN))*(((F78)-(c_T2MN))*((1000)-(0))+IF(((1000)-(0))&gt;=0,1,-1)*QUOTIENT(((c_T2MX)-(c_T2MN)),2)))&gt;=0,1,0))),"")</f>
        <v/>
      </c>
      <c r="H78" s="7" t="str">
        <f aca="false">IF(E78&gt;1000+k_TOL,"T1 HIGH",IF(E78&lt;0-k_TOL,"T1 LOW",IF(c_TPOT&gt;1,IF(G78&gt;1000+k_TOL,"T2 HIGH",IF(G78&lt;0-k_TOL,"T2 LOW",IF(c_TTYPE=2,IF(ABS(1000-MAX(0,MIN(1000,E78))-MAX(0,MIN(1000,G78)))&gt;k_MAXERR,"MISMATCH","OK"),IF(OR(MAX(0,MIN(1000,E78))-k_MAXERR&gt;MAX(0,MIN(1000,G78)),MAX(0,MIN(1000,G78))-k_MAXERR&gt;MAX(0,MIN(1000,E78))),"MISMATCH","OK")))),"OK")))</f>
        <v>OK</v>
      </c>
      <c r="I78" s="7" t="n">
        <f aca="false">MAX(0,MIN(1000,D78))</f>
        <v>12</v>
      </c>
      <c r="J78" s="7" t="str">
        <f aca="false">IF(c_TPOT&gt;1,IF(c_TTYPE=2,1000-MAX(0,MIN(1000,G78)),MAX(0,MIN(1000,G78))),"")</f>
        <v/>
      </c>
      <c r="K78" s="7" t="n">
        <f aca="false">IF(c_TPOT&gt;1,QUOTIENT(I78+J78,2),I78)</f>
        <v>12</v>
      </c>
      <c r="L78" s="7" t="n">
        <f aca="false">IF(AND(K78=0,c_TCREEP&gt;0),10*c_TCREEP,IF(AND(K78&lt;=c_TRNGMIN,K78&gt;=c_TRNGMAX,c_TRNGMIN-c_TRNGMAX&lt;&gt;0),-10*c_TMINRN+QUOTIENT((c_TMAXRN-c_TMINRN)*(100-QUOTIENT((K78-c_TRNGMAX)*100,c_TRNGMIN-c_TRNGMAX)),-10),0))</f>
        <v>0</v>
      </c>
      <c r="M78" s="7" t="n">
        <f aca="false">IF(((c_TMAP1IN)-(c_TFWD))=0,(0)+QUOTIENT(((c_TMAP1OUT)-(0)),2),QUOTIENT((((K78)-(c_TFWD))*((c_TMAP1OUT)-(0))+IF(((c_TMAP1OUT)-(0))&gt;=0,1,-1)*QUOTIENT(((c_TMAP1IN)-(c_TFWD)),2)),((c_TMAP1IN)-(c_TFWD)))+(0)+IF(((c_TMAP1OUT)-(0))&gt;=0,IF(IF(o_WRAP=1,MOD(((c_TMAP1IN)-(c_TFWD))*(((K78)-(c_TFWD))*((c_TMAP1OUT)-(0))+IF(((c_TMAP1OUT)-(0))&gt;=0,1,-1)*QUOTIENT(((c_TMAP1IN)-(c_TFWD)),2))+2147483648,4294967296)-2147483648,((c_TMAP1IN)-(c_TFWD))*(((K78)-(c_TFWD))*((c_TMAP1OUT)-(0))+IF(((c_TMAP1OUT)-(0))&gt;=0,1,-1)*QUOTIENT(((c_TMAP1IN)-(c_TFWD)),2)))&lt;0,-1,0),IF(IF(o_WRAP=1,MOD(((c_TMAP1IN)-(c_TFWD))*(((K78)-(c_TFWD))*((c_TMAP1OUT)-(0))+IF(((c_TMAP1OUT)-(0))&gt;=0,1,-1)*QUOTIENT(((c_TMAP1IN)-(c_TFWD)),2))+2147483648,4294967296)-2147483648,((c_TMAP1IN)-(c_TFWD))*(((K78)-(c_TFWD))*((c_TMAP1OUT)-(0))+IF(((c_TMAP1OUT)-(0))&gt;=0,1,-1)*QUOTIENT(((c_TMAP1IN)-(c_TFWD)),2)))&gt;=0,1,0)))</f>
        <v>2</v>
      </c>
      <c r="N78" s="7" t="n">
        <f aca="false">IF(((c_TMAP2IN)-(c_TMAP1IN))=0,(c_TMAP1OUT)+QUOTIENT(((c_TMAP2OUT)-(c_TMAP1OUT)),2),QUOTIENT((((K78)-(c_TMAP1IN))*((c_TMAP2OUT)-(c_TMAP1OUT))+IF(((c_TMAP2OUT)-(c_TMAP1OUT))&gt;=0,1,-1)*QUOTIENT(((c_TMAP2IN)-(c_TMAP1IN)),2)),((c_TMAP2IN)-(c_TMAP1IN)))+(c_TMAP1OUT)+IF(((c_TMAP2OUT)-(c_TMAP1OUT))&gt;=0,IF(IF(o_WRAP=1,MOD(((c_TMAP2IN)-(c_TMAP1IN))*(((K78)-(c_TMAP1IN))*((c_TMAP2OUT)-(c_TMAP1OUT))+IF(((c_TMAP2OUT)-(c_TMAP1OUT))&gt;=0,1,-1)*QUOTIENT(((c_TMAP2IN)-(c_TMAP1IN)),2))+2147483648,4294967296)-2147483648,((c_TMAP2IN)-(c_TMAP1IN))*(((K78)-(c_TMAP1IN))*((c_TMAP2OUT)-(c_TMAP1OUT))+IF(((c_TMAP2OUT)-(c_TMAP1OUT))&gt;=0,1,-1)*QUOTIENT(((c_TMAP2IN)-(c_TMAP1IN)),2)))&lt;0,-1,0),IF(IF(o_WRAP=1,MOD(((c_TMAP2IN)-(c_TMAP1IN))*(((K78)-(c_TMAP1IN))*((c_TMAP2OUT)-(c_TMAP1OUT))+IF(((c_TMAP2OUT)-(c_TMAP1OUT))&gt;=0,1,-1)*QUOTIENT(((c_TMAP2IN)-(c_TMAP1IN)),2))+2147483648,4294967296)-2147483648,((c_TMAP2IN)-(c_TMAP1IN))*(((K78)-(c_TMAP1IN))*((c_TMAP2OUT)-(c_TMAP1OUT))+IF(((c_TMAP2OUT)-(c_TMAP1OUT))&gt;=0,1,-1)*QUOTIENT(((c_TMAP2IN)-(c_TMAP1IN)),2)))&gt;=0,1,0)))</f>
        <v>35</v>
      </c>
      <c r="O78" s="7" t="n">
        <f aca="false">IF(((c_TMAP3IN)-(c_TMAP2IN))=0,(c_TMAP2OUT)+QUOTIENT(((c_TMAP3OUT)-(c_TMAP2OUT)),2),QUOTIENT((((K78)-(c_TMAP2IN))*((c_TMAP3OUT)-(c_TMAP2OUT))+IF(((c_TMAP3OUT)-(c_TMAP2OUT))&gt;=0,1,-1)*QUOTIENT(((c_TMAP3IN)-(c_TMAP2IN)),2)),((c_TMAP3IN)-(c_TMAP2IN)))+(c_TMAP2OUT)+IF(((c_TMAP3OUT)-(c_TMAP2OUT))&gt;=0,IF(IF(o_WRAP=1,MOD(((c_TMAP3IN)-(c_TMAP2IN))*(((K78)-(c_TMAP2IN))*((c_TMAP3OUT)-(c_TMAP2OUT))+IF(((c_TMAP3OUT)-(c_TMAP2OUT))&gt;=0,1,-1)*QUOTIENT(((c_TMAP3IN)-(c_TMAP2IN)),2))+2147483648,4294967296)-2147483648,((c_TMAP3IN)-(c_TMAP2IN))*(((K78)-(c_TMAP2IN))*((c_TMAP3OUT)-(c_TMAP2OUT))+IF(((c_TMAP3OUT)-(c_TMAP2OUT))&gt;=0,1,-1)*QUOTIENT(((c_TMAP3IN)-(c_TMAP2IN)),2)))&lt;0,-1,0),IF(IF(o_WRAP=1,MOD(((c_TMAP3IN)-(c_TMAP2IN))*(((K78)-(c_TMAP2IN))*((c_TMAP3OUT)-(c_TMAP2OUT))+IF(((c_TMAP3OUT)-(c_TMAP2OUT))&gt;=0,1,-1)*QUOTIENT(((c_TMAP3IN)-(c_TMAP2IN)),2))+2147483648,4294967296)-2147483648,((c_TMAP3IN)-(c_TMAP2IN))*(((K78)-(c_TMAP2IN))*((c_TMAP3OUT)-(c_TMAP2OUT))+IF(((c_TMAP3OUT)-(c_TMAP2OUT))&gt;=0,1,-1)*QUOTIENT(((c_TMAP3IN)-(c_TMAP2IN)),2)))&gt;=0,1,0)))</f>
        <v>-37</v>
      </c>
      <c r="P78" s="7" t="n">
        <f aca="false">IF(((1000)-(c_TMAP3IN))=0,(c_TMAP3OUT)+QUOTIENT(((1000)-(c_TMAP3OUT)),2),QUOTIENT((((K78)-(c_TMAP3IN))*((1000)-(c_TMAP3OUT))+IF(((1000)-(c_TMAP3OUT))&gt;=0,1,-1)*QUOTIENT(((1000)-(c_TMAP3IN)),2)),((1000)-(c_TMAP3IN)))+(c_TMAP3OUT)+IF(((1000)-(c_TMAP3OUT))&gt;=0,IF(IF(o_WRAP=1,MOD(((1000)-(c_TMAP3IN))*(((K78)-(c_TMAP3IN))*((1000)-(c_TMAP3OUT))+IF(((1000)-(c_TMAP3OUT))&gt;=0,1,-1)*QUOTIENT(((1000)-(c_TMAP3IN)),2))+2147483648,4294967296)-2147483648,((1000)-(c_TMAP3IN))*(((K78)-(c_TMAP3IN))*((1000)-(c_TMAP3OUT))+IF(((1000)-(c_TMAP3OUT))&gt;=0,1,-1)*QUOTIENT(((1000)-(c_TMAP3IN)),2)))&lt;0,-1,0),IF(IF(o_WRAP=1,MOD(((1000)-(c_TMAP3IN))*(((K78)-(c_TMAP3IN))*((1000)-(c_TMAP3OUT))+IF(((1000)-(c_TMAP3OUT))&gt;=0,1,-1)*QUOTIENT(((1000)-(c_TMAP3IN)),2))+2147483648,4294967296)-2147483648,((1000)-(c_TMAP3IN))*(((K78)-(c_TMAP3IN))*((1000)-(c_TMAP3OUT))+IF(((1000)-(c_TMAP3OUT))&gt;=0,1,-1)*QUOTIENT(((1000)-(c_TMAP3IN)),2)))&gt;=0,1,0)))</f>
        <v>-216</v>
      </c>
      <c r="Q78" s="7" t="str">
        <f aca="false">IF(K78&gt;=c_TFWD,IF(AND(K78&gt;=c_TMAP3IN,c_TMAP3IN&lt;1000),"Seg4 map3-100%",IF(AND(K78&gt;=c_TMAP2IN,c_TMAP3IN&gt;c_TMAP2IN),"Seg3 map2-map3",IF(AND(K78&gt;=c_TMAP1IN,c_TMAP2IN&gt;c_TMAP1IN),"Seg2 map1-map2","Seg1 TFWD-map1"))),IF(AND(K78=0,c_TCREEP&gt;0),"Creep",IF(AND(K78&lt;=c_TRNGMIN,K78&gt;=c_TRNGMAX,c_TRNGMIN-c_TRNGMAX&lt;&gt;0),"Regen ramp","Coast (0)")))</f>
        <v>Seg1 TFWD-map1</v>
      </c>
      <c r="R78" s="7" t="n">
        <f aca="false">IF(K78&gt;=c_TFWD,IF(AND(K78&gt;=c_TMAP3IN,c_TMAP3IN&lt;1000),P78,IF(AND(K78&gt;=c_TMAP2IN,c_TMAP3IN&gt;c_TMAP2IN),O78,IF(AND(K78&gt;=c_TMAP1IN,c_TMAP2IN&gt;c_TMAP1IN),N78,M78))),L78)</f>
        <v>2</v>
      </c>
      <c r="S78" s="7" t="str">
        <f aca="false">IF(R78&lt;-1090,"TOO LOW",IF(R78&gt;1090,"TOO HIGH",""))</f>
        <v/>
      </c>
      <c r="T78" s="15" t="n">
        <f aca="false">IF(H78&lt;&gt;"OK",0,IF(S78&lt;&gt;"",0,IF(R78&gt;979,1000,R78)))</f>
        <v>2</v>
      </c>
      <c r="U78" s="7" t="n">
        <f aca="false">T78/10</f>
        <v>0.2</v>
      </c>
    </row>
    <row r="79" customFormat="false" ht="15" hidden="false" customHeight="false" outlineLevel="0" collapsed="false">
      <c r="A79" s="7" t="n">
        <v>74</v>
      </c>
      <c r="B79" s="7" t="n">
        <f aca="false">ROUND(o_SWSTART+A79*(o_SWEND-o_SWSTART)/400,0)</f>
        <v>758</v>
      </c>
      <c r="C79" s="7" t="n">
        <f aca="false">QUOTIENT((B79-c_OFF1)*c_GAIN1,1024)</f>
        <v>758</v>
      </c>
      <c r="D79" s="7" t="n">
        <f aca="false">IF(((c_T1MX)-(c_T1MN))=0,(0)+QUOTIENT(((1000)-(0)),2),QUOTIENT((((C79)-(c_T1MN))*((1000)-(0))+IF(((1000)-(0))&gt;=0,1,-1)*QUOTIENT(((c_T1MX)-(c_T1MN)),2)),((c_T1MX)-(c_T1MN)))+(0)+IF(((1000)-(0))&gt;=0,IF(IF(o_WRAP=1,MOD(((c_T1MX)-(c_T1MN))*(((C79)-(c_T1MN))*((1000)-(0))+IF(((1000)-(0))&gt;=0,1,-1)*QUOTIENT(((c_T1MX)-(c_T1MN)),2))+2147483648,4294967296)-2147483648,((c_T1MX)-(c_T1MN))*(((C79)-(c_T1MN))*((1000)-(0))+IF(((1000)-(0))&gt;=0,1,-1)*QUOTIENT(((c_T1MX)-(c_T1MN)),2)))&lt;0,-1,0),IF(IF(o_WRAP=1,MOD(((c_T1MX)-(c_T1MN))*(((C79)-(c_T1MN))*((1000)-(0))+IF(((1000)-(0))&gt;=0,1,-1)*QUOTIENT(((c_T1MX)-(c_T1MN)),2))+2147483648,4294967296)-2147483648,((c_T1MX)-(c_T1MN))*(((C79)-(c_T1MN))*((1000)-(0))+IF(((1000)-(0))&gt;=0,1,-1)*QUOTIENT(((c_T1MX)-(c_T1MN)),2)))&gt;=0,1,0)))</f>
        <v>16</v>
      </c>
      <c r="E79" s="7" t="n">
        <f aca="false">IF(AND(c_TPOT=1,c_TTYPE=2),1000-D79,D79)</f>
        <v>16</v>
      </c>
      <c r="F79" s="7" t="str">
        <f aca="false">IF(c_TPOT&gt;1,ROUND(IF(c_TTYPE=2,c_T2MX-IF(c_T1MX=c_T1MN,0,(C79-c_T1MN)/(c_T1MX-c_T1MN))*(c_T2MX-c_T2MN),c_T2MN+IF(c_T1MX=c_T1MN,0,(C79-c_T1MN)/(c_T1MX-c_T1MN))*(c_T2MX-c_T2MN))+o_MISMATCH,0),"")</f>
        <v/>
      </c>
      <c r="G79" s="7" t="str">
        <f aca="false">IF(c_TPOT&gt;1,IF(((c_T2MX)-(c_T2MN))=0,(0)+QUOTIENT(((1000)-(0)),2),QUOTIENT((((F79)-(c_T2MN))*((1000)-(0))+IF(((1000)-(0))&gt;=0,1,-1)*QUOTIENT(((c_T2MX)-(c_T2MN)),2)),((c_T2MX)-(c_T2MN)))+(0)+IF(((1000)-(0))&gt;=0,IF(IF(o_WRAP=1,MOD(((c_T2MX)-(c_T2MN))*(((F79)-(c_T2MN))*((1000)-(0))+IF(((1000)-(0))&gt;=0,1,-1)*QUOTIENT(((c_T2MX)-(c_T2MN)),2))+2147483648,4294967296)-2147483648,((c_T2MX)-(c_T2MN))*(((F79)-(c_T2MN))*((1000)-(0))+IF(((1000)-(0))&gt;=0,1,-1)*QUOTIENT(((c_T2MX)-(c_T2MN)),2)))&lt;0,-1,0),IF(IF(o_WRAP=1,MOD(((c_T2MX)-(c_T2MN))*(((F79)-(c_T2MN))*((1000)-(0))+IF(((1000)-(0))&gt;=0,1,-1)*QUOTIENT(((c_T2MX)-(c_T2MN)),2))+2147483648,4294967296)-2147483648,((c_T2MX)-(c_T2MN))*(((F79)-(c_T2MN))*((1000)-(0))+IF(((1000)-(0))&gt;=0,1,-1)*QUOTIENT(((c_T2MX)-(c_T2MN)),2)))&gt;=0,1,0))),"")</f>
        <v/>
      </c>
      <c r="H79" s="7" t="str">
        <f aca="false">IF(E79&gt;1000+k_TOL,"T1 HIGH",IF(E79&lt;0-k_TOL,"T1 LOW",IF(c_TPOT&gt;1,IF(G79&gt;1000+k_TOL,"T2 HIGH",IF(G79&lt;0-k_TOL,"T2 LOW",IF(c_TTYPE=2,IF(ABS(1000-MAX(0,MIN(1000,E79))-MAX(0,MIN(1000,G79)))&gt;k_MAXERR,"MISMATCH","OK"),IF(OR(MAX(0,MIN(1000,E79))-k_MAXERR&gt;MAX(0,MIN(1000,G79)),MAX(0,MIN(1000,G79))-k_MAXERR&gt;MAX(0,MIN(1000,E79))),"MISMATCH","OK")))),"OK")))</f>
        <v>OK</v>
      </c>
      <c r="I79" s="7" t="n">
        <f aca="false">MAX(0,MIN(1000,D79))</f>
        <v>16</v>
      </c>
      <c r="J79" s="7" t="str">
        <f aca="false">IF(c_TPOT&gt;1,IF(c_TTYPE=2,1000-MAX(0,MIN(1000,G79)),MAX(0,MIN(1000,G79))),"")</f>
        <v/>
      </c>
      <c r="K79" s="7" t="n">
        <f aca="false">IF(c_TPOT&gt;1,QUOTIENT(I79+J79,2),I79)</f>
        <v>16</v>
      </c>
      <c r="L79" s="7" t="n">
        <f aca="false">IF(AND(K79=0,c_TCREEP&gt;0),10*c_TCREEP,IF(AND(K79&lt;=c_TRNGMIN,K79&gt;=c_TRNGMAX,c_TRNGMIN-c_TRNGMAX&lt;&gt;0),-10*c_TMINRN+QUOTIENT((c_TMAXRN-c_TMINRN)*(100-QUOTIENT((K79-c_TRNGMAX)*100,c_TRNGMIN-c_TRNGMAX)),-10),0))</f>
        <v>0</v>
      </c>
      <c r="M79" s="7" t="n">
        <f aca="false">IF(((c_TMAP1IN)-(c_TFWD))=0,(0)+QUOTIENT(((c_TMAP1OUT)-(0)),2),QUOTIENT((((K79)-(c_TFWD))*((c_TMAP1OUT)-(0))+IF(((c_TMAP1OUT)-(0))&gt;=0,1,-1)*QUOTIENT(((c_TMAP1IN)-(c_TFWD)),2)),((c_TMAP1IN)-(c_TFWD)))+(0)+IF(((c_TMAP1OUT)-(0))&gt;=0,IF(IF(o_WRAP=1,MOD(((c_TMAP1IN)-(c_TFWD))*(((K79)-(c_TFWD))*((c_TMAP1OUT)-(0))+IF(((c_TMAP1OUT)-(0))&gt;=0,1,-1)*QUOTIENT(((c_TMAP1IN)-(c_TFWD)),2))+2147483648,4294967296)-2147483648,((c_TMAP1IN)-(c_TFWD))*(((K79)-(c_TFWD))*((c_TMAP1OUT)-(0))+IF(((c_TMAP1OUT)-(0))&gt;=0,1,-1)*QUOTIENT(((c_TMAP1IN)-(c_TFWD)),2)))&lt;0,-1,0),IF(IF(o_WRAP=1,MOD(((c_TMAP1IN)-(c_TFWD))*(((K79)-(c_TFWD))*((c_TMAP1OUT)-(0))+IF(((c_TMAP1OUT)-(0))&gt;=0,1,-1)*QUOTIENT(((c_TMAP1IN)-(c_TFWD)),2))+2147483648,4294967296)-2147483648,((c_TMAP1IN)-(c_TFWD))*(((K79)-(c_TFWD))*((c_TMAP1OUT)-(0))+IF(((c_TMAP1OUT)-(0))&gt;=0,1,-1)*QUOTIENT(((c_TMAP1IN)-(c_TFWD)),2)))&gt;=0,1,0)))</f>
        <v>5</v>
      </c>
      <c r="N79" s="7" t="n">
        <f aca="false">IF(((c_TMAP2IN)-(c_TMAP1IN))=0,(c_TMAP1OUT)+QUOTIENT(((c_TMAP2OUT)-(c_TMAP1OUT)),2),QUOTIENT((((K79)-(c_TMAP1IN))*((c_TMAP2OUT)-(c_TMAP1OUT))+IF(((c_TMAP2OUT)-(c_TMAP1OUT))&gt;=0,1,-1)*QUOTIENT(((c_TMAP2IN)-(c_TMAP1IN)),2)),((c_TMAP2IN)-(c_TMAP1IN)))+(c_TMAP1OUT)+IF(((c_TMAP2OUT)-(c_TMAP1OUT))&gt;=0,IF(IF(o_WRAP=1,MOD(((c_TMAP2IN)-(c_TMAP1IN))*(((K79)-(c_TMAP1IN))*((c_TMAP2OUT)-(c_TMAP1OUT))+IF(((c_TMAP2OUT)-(c_TMAP1OUT))&gt;=0,1,-1)*QUOTIENT(((c_TMAP2IN)-(c_TMAP1IN)),2))+2147483648,4294967296)-2147483648,((c_TMAP2IN)-(c_TMAP1IN))*(((K79)-(c_TMAP1IN))*((c_TMAP2OUT)-(c_TMAP1OUT))+IF(((c_TMAP2OUT)-(c_TMAP1OUT))&gt;=0,1,-1)*QUOTIENT(((c_TMAP2IN)-(c_TMAP1IN)),2)))&lt;0,-1,0),IF(IF(o_WRAP=1,MOD(((c_TMAP2IN)-(c_TMAP1IN))*(((K79)-(c_TMAP1IN))*((c_TMAP2OUT)-(c_TMAP1OUT))+IF(((c_TMAP2OUT)-(c_TMAP1OUT))&gt;=0,1,-1)*QUOTIENT(((c_TMAP2IN)-(c_TMAP1IN)),2))+2147483648,4294967296)-2147483648,((c_TMAP2IN)-(c_TMAP1IN))*(((K79)-(c_TMAP1IN))*((c_TMAP2OUT)-(c_TMAP1OUT))+IF(((c_TMAP2OUT)-(c_TMAP1OUT))&gt;=0,1,-1)*QUOTIENT(((c_TMAP2IN)-(c_TMAP1IN)),2)))&gt;=0,1,0)))</f>
        <v>36</v>
      </c>
      <c r="O79" s="7" t="n">
        <f aca="false">IF(((c_TMAP3IN)-(c_TMAP2IN))=0,(c_TMAP2OUT)+QUOTIENT(((c_TMAP3OUT)-(c_TMAP2OUT)),2),QUOTIENT((((K79)-(c_TMAP2IN))*((c_TMAP3OUT)-(c_TMAP2OUT))+IF(((c_TMAP3OUT)-(c_TMAP2OUT))&gt;=0,1,-1)*QUOTIENT(((c_TMAP3IN)-(c_TMAP2IN)),2)),((c_TMAP3IN)-(c_TMAP2IN)))+(c_TMAP2OUT)+IF(((c_TMAP3OUT)-(c_TMAP2OUT))&gt;=0,IF(IF(o_WRAP=1,MOD(((c_TMAP3IN)-(c_TMAP2IN))*(((K79)-(c_TMAP2IN))*((c_TMAP3OUT)-(c_TMAP2OUT))+IF(((c_TMAP3OUT)-(c_TMAP2OUT))&gt;=0,1,-1)*QUOTIENT(((c_TMAP3IN)-(c_TMAP2IN)),2))+2147483648,4294967296)-2147483648,((c_TMAP3IN)-(c_TMAP2IN))*(((K79)-(c_TMAP2IN))*((c_TMAP3OUT)-(c_TMAP2OUT))+IF(((c_TMAP3OUT)-(c_TMAP2OUT))&gt;=0,1,-1)*QUOTIENT(((c_TMAP3IN)-(c_TMAP2IN)),2)))&lt;0,-1,0),IF(IF(o_WRAP=1,MOD(((c_TMAP3IN)-(c_TMAP2IN))*(((K79)-(c_TMAP2IN))*((c_TMAP3OUT)-(c_TMAP2OUT))+IF(((c_TMAP3OUT)-(c_TMAP2OUT))&gt;=0,1,-1)*QUOTIENT(((c_TMAP3IN)-(c_TMAP2IN)),2))+2147483648,4294967296)-2147483648,((c_TMAP3IN)-(c_TMAP2IN))*(((K79)-(c_TMAP2IN))*((c_TMAP3OUT)-(c_TMAP2OUT))+IF(((c_TMAP3OUT)-(c_TMAP2OUT))&gt;=0,1,-1)*QUOTIENT(((c_TMAP3IN)-(c_TMAP2IN)),2)))&gt;=0,1,0)))</f>
        <v>-34</v>
      </c>
      <c r="P79" s="7" t="n">
        <f aca="false">IF(((1000)-(c_TMAP3IN))=0,(c_TMAP3OUT)+QUOTIENT(((1000)-(c_TMAP3OUT)),2),QUOTIENT((((K79)-(c_TMAP3IN))*((1000)-(c_TMAP3OUT))+IF(((1000)-(c_TMAP3OUT))&gt;=0,1,-1)*QUOTIENT(((1000)-(c_TMAP3IN)),2)),((1000)-(c_TMAP3IN)))+(c_TMAP3OUT)+IF(((1000)-(c_TMAP3OUT))&gt;=0,IF(IF(o_WRAP=1,MOD(((1000)-(c_TMAP3IN))*(((K79)-(c_TMAP3IN))*((1000)-(c_TMAP3OUT))+IF(((1000)-(c_TMAP3OUT))&gt;=0,1,-1)*QUOTIENT(((1000)-(c_TMAP3IN)),2))+2147483648,4294967296)-2147483648,((1000)-(c_TMAP3IN))*(((K79)-(c_TMAP3IN))*((1000)-(c_TMAP3OUT))+IF(((1000)-(c_TMAP3OUT))&gt;=0,1,-1)*QUOTIENT(((1000)-(c_TMAP3IN)),2)))&lt;0,-1,0),IF(IF(o_WRAP=1,MOD(((1000)-(c_TMAP3IN))*(((K79)-(c_TMAP3IN))*((1000)-(c_TMAP3OUT))+IF(((1000)-(c_TMAP3OUT))&gt;=0,1,-1)*QUOTIENT(((1000)-(c_TMAP3IN)),2))+2147483648,4294967296)-2147483648,((1000)-(c_TMAP3IN))*(((K79)-(c_TMAP3IN))*((1000)-(c_TMAP3OUT))+IF(((1000)-(c_TMAP3OUT))&gt;=0,1,-1)*QUOTIENT(((1000)-(c_TMAP3IN)),2)))&gt;=0,1,0)))</f>
        <v>-211</v>
      </c>
      <c r="Q79" s="7" t="str">
        <f aca="false">IF(K79&gt;=c_TFWD,IF(AND(K79&gt;=c_TMAP3IN,c_TMAP3IN&lt;1000),"Seg4 map3-100%",IF(AND(K79&gt;=c_TMAP2IN,c_TMAP3IN&gt;c_TMAP2IN),"Seg3 map2-map3",IF(AND(K79&gt;=c_TMAP1IN,c_TMAP2IN&gt;c_TMAP1IN),"Seg2 map1-map2","Seg1 TFWD-map1"))),IF(AND(K79=0,c_TCREEP&gt;0),"Creep",IF(AND(K79&lt;=c_TRNGMIN,K79&gt;=c_TRNGMAX,c_TRNGMIN-c_TRNGMAX&lt;&gt;0),"Regen ramp","Coast (0)")))</f>
        <v>Seg1 TFWD-map1</v>
      </c>
      <c r="R79" s="7" t="n">
        <f aca="false">IF(K79&gt;=c_TFWD,IF(AND(K79&gt;=c_TMAP3IN,c_TMAP3IN&lt;1000),P79,IF(AND(K79&gt;=c_TMAP2IN,c_TMAP3IN&gt;c_TMAP2IN),O79,IF(AND(K79&gt;=c_TMAP1IN,c_TMAP2IN&gt;c_TMAP1IN),N79,M79))),L79)</f>
        <v>5</v>
      </c>
      <c r="S79" s="7" t="str">
        <f aca="false">IF(R79&lt;-1090,"TOO LOW",IF(R79&gt;1090,"TOO HIGH",""))</f>
        <v/>
      </c>
      <c r="T79" s="15" t="n">
        <f aca="false">IF(H79&lt;&gt;"OK",0,IF(S79&lt;&gt;"",0,IF(R79&gt;979,1000,R79)))</f>
        <v>5</v>
      </c>
      <c r="U79" s="7" t="n">
        <f aca="false">T79/10</f>
        <v>0.5</v>
      </c>
    </row>
    <row r="80" customFormat="false" ht="15" hidden="false" customHeight="false" outlineLevel="0" collapsed="false">
      <c r="A80" s="7" t="n">
        <v>75</v>
      </c>
      <c r="B80" s="7" t="n">
        <f aca="false">ROUND(o_SWSTART+A80*(o_SWEND-o_SWSTART)/400,0)</f>
        <v>768</v>
      </c>
      <c r="C80" s="7" t="n">
        <f aca="false">QUOTIENT((B80-c_OFF1)*c_GAIN1,1024)</f>
        <v>768</v>
      </c>
      <c r="D80" s="7" t="n">
        <f aca="false">IF(((c_T1MX)-(c_T1MN))=0,(0)+QUOTIENT(((1000)-(0)),2),QUOTIENT((((C80)-(c_T1MN))*((1000)-(0))+IF(((1000)-(0))&gt;=0,1,-1)*QUOTIENT(((c_T1MX)-(c_T1MN)),2)),((c_T1MX)-(c_T1MN)))+(0)+IF(((1000)-(0))&gt;=0,IF(IF(o_WRAP=1,MOD(((c_T1MX)-(c_T1MN))*(((C80)-(c_T1MN))*((1000)-(0))+IF(((1000)-(0))&gt;=0,1,-1)*QUOTIENT(((c_T1MX)-(c_T1MN)),2))+2147483648,4294967296)-2147483648,((c_T1MX)-(c_T1MN))*(((C80)-(c_T1MN))*((1000)-(0))+IF(((1000)-(0))&gt;=0,1,-1)*QUOTIENT(((c_T1MX)-(c_T1MN)),2)))&lt;0,-1,0),IF(IF(o_WRAP=1,MOD(((c_T1MX)-(c_T1MN))*(((C80)-(c_T1MN))*((1000)-(0))+IF(((1000)-(0))&gt;=0,1,-1)*QUOTIENT(((c_T1MX)-(c_T1MN)),2))+2147483648,4294967296)-2147483648,((c_T1MX)-(c_T1MN))*(((C80)-(c_T1MN))*((1000)-(0))+IF(((1000)-(0))&gt;=0,1,-1)*QUOTIENT(((c_T1MX)-(c_T1MN)),2)))&gt;=0,1,0)))</f>
        <v>19</v>
      </c>
      <c r="E80" s="7" t="n">
        <f aca="false">IF(AND(c_TPOT=1,c_TTYPE=2),1000-D80,D80)</f>
        <v>19</v>
      </c>
      <c r="F80" s="7" t="str">
        <f aca="false">IF(c_TPOT&gt;1,ROUND(IF(c_TTYPE=2,c_T2MX-IF(c_T1MX=c_T1MN,0,(C80-c_T1MN)/(c_T1MX-c_T1MN))*(c_T2MX-c_T2MN),c_T2MN+IF(c_T1MX=c_T1MN,0,(C80-c_T1MN)/(c_T1MX-c_T1MN))*(c_T2MX-c_T2MN))+o_MISMATCH,0),"")</f>
        <v/>
      </c>
      <c r="G80" s="7" t="str">
        <f aca="false">IF(c_TPOT&gt;1,IF(((c_T2MX)-(c_T2MN))=0,(0)+QUOTIENT(((1000)-(0)),2),QUOTIENT((((F80)-(c_T2MN))*((1000)-(0))+IF(((1000)-(0))&gt;=0,1,-1)*QUOTIENT(((c_T2MX)-(c_T2MN)),2)),((c_T2MX)-(c_T2MN)))+(0)+IF(((1000)-(0))&gt;=0,IF(IF(o_WRAP=1,MOD(((c_T2MX)-(c_T2MN))*(((F80)-(c_T2MN))*((1000)-(0))+IF(((1000)-(0))&gt;=0,1,-1)*QUOTIENT(((c_T2MX)-(c_T2MN)),2))+2147483648,4294967296)-2147483648,((c_T2MX)-(c_T2MN))*(((F80)-(c_T2MN))*((1000)-(0))+IF(((1000)-(0))&gt;=0,1,-1)*QUOTIENT(((c_T2MX)-(c_T2MN)),2)))&lt;0,-1,0),IF(IF(o_WRAP=1,MOD(((c_T2MX)-(c_T2MN))*(((F80)-(c_T2MN))*((1000)-(0))+IF(((1000)-(0))&gt;=0,1,-1)*QUOTIENT(((c_T2MX)-(c_T2MN)),2))+2147483648,4294967296)-2147483648,((c_T2MX)-(c_T2MN))*(((F80)-(c_T2MN))*((1000)-(0))+IF(((1000)-(0))&gt;=0,1,-1)*QUOTIENT(((c_T2MX)-(c_T2MN)),2)))&gt;=0,1,0))),"")</f>
        <v/>
      </c>
      <c r="H80" s="7" t="str">
        <f aca="false">IF(E80&gt;1000+k_TOL,"T1 HIGH",IF(E80&lt;0-k_TOL,"T1 LOW",IF(c_TPOT&gt;1,IF(G80&gt;1000+k_TOL,"T2 HIGH",IF(G80&lt;0-k_TOL,"T2 LOW",IF(c_TTYPE=2,IF(ABS(1000-MAX(0,MIN(1000,E80))-MAX(0,MIN(1000,G80)))&gt;k_MAXERR,"MISMATCH","OK"),IF(OR(MAX(0,MIN(1000,E80))-k_MAXERR&gt;MAX(0,MIN(1000,G80)),MAX(0,MIN(1000,G80))-k_MAXERR&gt;MAX(0,MIN(1000,E80))),"MISMATCH","OK")))),"OK")))</f>
        <v>OK</v>
      </c>
      <c r="I80" s="7" t="n">
        <f aca="false">MAX(0,MIN(1000,D80))</f>
        <v>19</v>
      </c>
      <c r="J80" s="7" t="str">
        <f aca="false">IF(c_TPOT&gt;1,IF(c_TTYPE=2,1000-MAX(0,MIN(1000,G80)),MAX(0,MIN(1000,G80))),"")</f>
        <v/>
      </c>
      <c r="K80" s="7" t="n">
        <f aca="false">IF(c_TPOT&gt;1,QUOTIENT(I80+J80,2),I80)</f>
        <v>19</v>
      </c>
      <c r="L80" s="7" t="n">
        <f aca="false">IF(AND(K80=0,c_TCREEP&gt;0),10*c_TCREEP,IF(AND(K80&lt;=c_TRNGMIN,K80&gt;=c_TRNGMAX,c_TRNGMIN-c_TRNGMAX&lt;&gt;0),-10*c_TMINRN+QUOTIENT((c_TMAXRN-c_TMINRN)*(100-QUOTIENT((K80-c_TRNGMAX)*100,c_TRNGMIN-c_TRNGMAX)),-10),0))</f>
        <v>0</v>
      </c>
      <c r="M80" s="7" t="n">
        <f aca="false">IF(((c_TMAP1IN)-(c_TFWD))=0,(0)+QUOTIENT(((c_TMAP1OUT)-(0)),2),QUOTIENT((((K80)-(c_TFWD))*((c_TMAP1OUT)-(0))+IF(((c_TMAP1OUT)-(0))&gt;=0,1,-1)*QUOTIENT(((c_TMAP1IN)-(c_TFWD)),2)),((c_TMAP1IN)-(c_TFWD)))+(0)+IF(((c_TMAP1OUT)-(0))&gt;=0,IF(IF(o_WRAP=1,MOD(((c_TMAP1IN)-(c_TFWD))*(((K80)-(c_TFWD))*((c_TMAP1OUT)-(0))+IF(((c_TMAP1OUT)-(0))&gt;=0,1,-1)*QUOTIENT(((c_TMAP1IN)-(c_TFWD)),2))+2147483648,4294967296)-2147483648,((c_TMAP1IN)-(c_TFWD))*(((K80)-(c_TFWD))*((c_TMAP1OUT)-(0))+IF(((c_TMAP1OUT)-(0))&gt;=0,1,-1)*QUOTIENT(((c_TMAP1IN)-(c_TFWD)),2)))&lt;0,-1,0),IF(IF(o_WRAP=1,MOD(((c_TMAP1IN)-(c_TFWD))*(((K80)-(c_TFWD))*((c_TMAP1OUT)-(0))+IF(((c_TMAP1OUT)-(0))&gt;=0,1,-1)*QUOTIENT(((c_TMAP1IN)-(c_TFWD)),2))+2147483648,4294967296)-2147483648,((c_TMAP1IN)-(c_TFWD))*(((K80)-(c_TFWD))*((c_TMAP1OUT)-(0))+IF(((c_TMAP1OUT)-(0))&gt;=0,1,-1)*QUOTIENT(((c_TMAP1IN)-(c_TFWD)),2)))&gt;=0,1,0)))</f>
        <v>7</v>
      </c>
      <c r="N80" s="7" t="n">
        <f aca="false">IF(((c_TMAP2IN)-(c_TMAP1IN))=0,(c_TMAP1OUT)+QUOTIENT(((c_TMAP2OUT)-(c_TMAP1OUT)),2),QUOTIENT((((K80)-(c_TMAP1IN))*((c_TMAP2OUT)-(c_TMAP1OUT))+IF(((c_TMAP2OUT)-(c_TMAP1OUT))&gt;=0,1,-1)*QUOTIENT(((c_TMAP2IN)-(c_TMAP1IN)),2)),((c_TMAP2IN)-(c_TMAP1IN)))+(c_TMAP1OUT)+IF(((c_TMAP2OUT)-(c_TMAP1OUT))&gt;=0,IF(IF(o_WRAP=1,MOD(((c_TMAP2IN)-(c_TMAP1IN))*(((K80)-(c_TMAP1IN))*((c_TMAP2OUT)-(c_TMAP1OUT))+IF(((c_TMAP2OUT)-(c_TMAP1OUT))&gt;=0,1,-1)*QUOTIENT(((c_TMAP2IN)-(c_TMAP1IN)),2))+2147483648,4294967296)-2147483648,((c_TMAP2IN)-(c_TMAP1IN))*(((K80)-(c_TMAP1IN))*((c_TMAP2OUT)-(c_TMAP1OUT))+IF(((c_TMAP2OUT)-(c_TMAP1OUT))&gt;=0,1,-1)*QUOTIENT(((c_TMAP2IN)-(c_TMAP1IN)),2)))&lt;0,-1,0),IF(IF(o_WRAP=1,MOD(((c_TMAP2IN)-(c_TMAP1IN))*(((K80)-(c_TMAP1IN))*((c_TMAP2OUT)-(c_TMAP1OUT))+IF(((c_TMAP2OUT)-(c_TMAP1OUT))&gt;=0,1,-1)*QUOTIENT(((c_TMAP2IN)-(c_TMAP1IN)),2))+2147483648,4294967296)-2147483648,((c_TMAP2IN)-(c_TMAP1IN))*(((K80)-(c_TMAP1IN))*((c_TMAP2OUT)-(c_TMAP1OUT))+IF(((c_TMAP2OUT)-(c_TMAP1OUT))&gt;=0,1,-1)*QUOTIENT(((c_TMAP2IN)-(c_TMAP1IN)),2)))&gt;=0,1,0)))</f>
        <v>38</v>
      </c>
      <c r="O80" s="7" t="n">
        <f aca="false">IF(((c_TMAP3IN)-(c_TMAP2IN))=0,(c_TMAP2OUT)+QUOTIENT(((c_TMAP3OUT)-(c_TMAP2OUT)),2),QUOTIENT((((K80)-(c_TMAP2IN))*((c_TMAP3OUT)-(c_TMAP2OUT))+IF(((c_TMAP3OUT)-(c_TMAP2OUT))&gt;=0,1,-1)*QUOTIENT(((c_TMAP3IN)-(c_TMAP2IN)),2)),((c_TMAP3IN)-(c_TMAP2IN)))+(c_TMAP2OUT)+IF(((c_TMAP3OUT)-(c_TMAP2OUT))&gt;=0,IF(IF(o_WRAP=1,MOD(((c_TMAP3IN)-(c_TMAP2IN))*(((K80)-(c_TMAP2IN))*((c_TMAP3OUT)-(c_TMAP2OUT))+IF(((c_TMAP3OUT)-(c_TMAP2OUT))&gt;=0,1,-1)*QUOTIENT(((c_TMAP3IN)-(c_TMAP2IN)),2))+2147483648,4294967296)-2147483648,((c_TMAP3IN)-(c_TMAP2IN))*(((K80)-(c_TMAP2IN))*((c_TMAP3OUT)-(c_TMAP2OUT))+IF(((c_TMAP3OUT)-(c_TMAP2OUT))&gt;=0,1,-1)*QUOTIENT(((c_TMAP3IN)-(c_TMAP2IN)),2)))&lt;0,-1,0),IF(IF(o_WRAP=1,MOD(((c_TMAP3IN)-(c_TMAP2IN))*(((K80)-(c_TMAP2IN))*((c_TMAP3OUT)-(c_TMAP2OUT))+IF(((c_TMAP3OUT)-(c_TMAP2OUT))&gt;=0,1,-1)*QUOTIENT(((c_TMAP3IN)-(c_TMAP2IN)),2))+2147483648,4294967296)-2147483648,((c_TMAP3IN)-(c_TMAP2IN))*(((K80)-(c_TMAP2IN))*((c_TMAP3OUT)-(c_TMAP2OUT))+IF(((c_TMAP3OUT)-(c_TMAP2OUT))&gt;=0,1,-1)*QUOTIENT(((c_TMAP3IN)-(c_TMAP2IN)),2)))&gt;=0,1,0)))</f>
        <v>-32</v>
      </c>
      <c r="P80" s="7" t="n">
        <f aca="false">IF(((1000)-(c_TMAP3IN))=0,(c_TMAP3OUT)+QUOTIENT(((1000)-(c_TMAP3OUT)),2),QUOTIENT((((K80)-(c_TMAP3IN))*((1000)-(c_TMAP3OUT))+IF(((1000)-(c_TMAP3OUT))&gt;=0,1,-1)*QUOTIENT(((1000)-(c_TMAP3IN)),2)),((1000)-(c_TMAP3IN)))+(c_TMAP3OUT)+IF(((1000)-(c_TMAP3OUT))&gt;=0,IF(IF(o_WRAP=1,MOD(((1000)-(c_TMAP3IN))*(((K80)-(c_TMAP3IN))*((1000)-(c_TMAP3OUT))+IF(((1000)-(c_TMAP3OUT))&gt;=0,1,-1)*QUOTIENT(((1000)-(c_TMAP3IN)),2))+2147483648,4294967296)-2147483648,((1000)-(c_TMAP3IN))*(((K80)-(c_TMAP3IN))*((1000)-(c_TMAP3OUT))+IF(((1000)-(c_TMAP3OUT))&gt;=0,1,-1)*QUOTIENT(((1000)-(c_TMAP3IN)),2)))&lt;0,-1,0),IF(IF(o_WRAP=1,MOD(((1000)-(c_TMAP3IN))*(((K80)-(c_TMAP3IN))*((1000)-(c_TMAP3OUT))+IF(((1000)-(c_TMAP3OUT))&gt;=0,1,-1)*QUOTIENT(((1000)-(c_TMAP3IN)),2))+2147483648,4294967296)-2147483648,((1000)-(c_TMAP3IN))*(((K80)-(c_TMAP3IN))*((1000)-(c_TMAP3OUT))+IF(((1000)-(c_TMAP3OUT))&gt;=0,1,-1)*QUOTIENT(((1000)-(c_TMAP3IN)),2)))&gt;=0,1,0)))</f>
        <v>-207</v>
      </c>
      <c r="Q80" s="7" t="str">
        <f aca="false">IF(K80&gt;=c_TFWD,IF(AND(K80&gt;=c_TMAP3IN,c_TMAP3IN&lt;1000),"Seg4 map3-100%",IF(AND(K80&gt;=c_TMAP2IN,c_TMAP3IN&gt;c_TMAP2IN),"Seg3 map2-map3",IF(AND(K80&gt;=c_TMAP1IN,c_TMAP2IN&gt;c_TMAP1IN),"Seg2 map1-map2","Seg1 TFWD-map1"))),IF(AND(K80=0,c_TCREEP&gt;0),"Creep",IF(AND(K80&lt;=c_TRNGMIN,K80&gt;=c_TRNGMAX,c_TRNGMIN-c_TRNGMAX&lt;&gt;0),"Regen ramp","Coast (0)")))</f>
        <v>Seg1 TFWD-map1</v>
      </c>
      <c r="R80" s="7" t="n">
        <f aca="false">IF(K80&gt;=c_TFWD,IF(AND(K80&gt;=c_TMAP3IN,c_TMAP3IN&lt;1000),P80,IF(AND(K80&gt;=c_TMAP2IN,c_TMAP3IN&gt;c_TMAP2IN),O80,IF(AND(K80&gt;=c_TMAP1IN,c_TMAP2IN&gt;c_TMAP1IN),N80,M80))),L80)</f>
        <v>7</v>
      </c>
      <c r="S80" s="7" t="str">
        <f aca="false">IF(R80&lt;-1090,"TOO LOW",IF(R80&gt;1090,"TOO HIGH",""))</f>
        <v/>
      </c>
      <c r="T80" s="15" t="n">
        <f aca="false">IF(H80&lt;&gt;"OK",0,IF(S80&lt;&gt;"",0,IF(R80&gt;979,1000,R80)))</f>
        <v>7</v>
      </c>
      <c r="U80" s="7" t="n">
        <f aca="false">T80/10</f>
        <v>0.7</v>
      </c>
    </row>
    <row r="81" customFormat="false" ht="15" hidden="false" customHeight="false" outlineLevel="0" collapsed="false">
      <c r="A81" s="7" t="n">
        <v>76</v>
      </c>
      <c r="B81" s="7" t="n">
        <f aca="false">ROUND(o_SWSTART+A81*(o_SWEND-o_SWSTART)/400,0)</f>
        <v>778</v>
      </c>
      <c r="C81" s="7" t="n">
        <f aca="false">QUOTIENT((B81-c_OFF1)*c_GAIN1,1024)</f>
        <v>778</v>
      </c>
      <c r="D81" s="7" t="n">
        <f aca="false">IF(((c_T1MX)-(c_T1MN))=0,(0)+QUOTIENT(((1000)-(0)),2),QUOTIENT((((C81)-(c_T1MN))*((1000)-(0))+IF(((1000)-(0))&gt;=0,1,-1)*QUOTIENT(((c_T1MX)-(c_T1MN)),2)),((c_T1MX)-(c_T1MN)))+(0)+IF(((1000)-(0))&gt;=0,IF(IF(o_WRAP=1,MOD(((c_T1MX)-(c_T1MN))*(((C81)-(c_T1MN))*((1000)-(0))+IF(((1000)-(0))&gt;=0,1,-1)*QUOTIENT(((c_T1MX)-(c_T1MN)),2))+2147483648,4294967296)-2147483648,((c_T1MX)-(c_T1MN))*(((C81)-(c_T1MN))*((1000)-(0))+IF(((1000)-(0))&gt;=0,1,-1)*QUOTIENT(((c_T1MX)-(c_T1MN)),2)))&lt;0,-1,0),IF(IF(o_WRAP=1,MOD(((c_T1MX)-(c_T1MN))*(((C81)-(c_T1MN))*((1000)-(0))+IF(((1000)-(0))&gt;=0,1,-1)*QUOTIENT(((c_T1MX)-(c_T1MN)),2))+2147483648,4294967296)-2147483648,((c_T1MX)-(c_T1MN))*(((C81)-(c_T1MN))*((1000)-(0))+IF(((1000)-(0))&gt;=0,1,-1)*QUOTIENT(((c_T1MX)-(c_T1MN)),2)))&gt;=0,1,0)))</f>
        <v>23</v>
      </c>
      <c r="E81" s="7" t="n">
        <f aca="false">IF(AND(c_TPOT=1,c_TTYPE=2),1000-D81,D81)</f>
        <v>23</v>
      </c>
      <c r="F81" s="7" t="str">
        <f aca="false">IF(c_TPOT&gt;1,ROUND(IF(c_TTYPE=2,c_T2MX-IF(c_T1MX=c_T1MN,0,(C81-c_T1MN)/(c_T1MX-c_T1MN))*(c_T2MX-c_T2MN),c_T2MN+IF(c_T1MX=c_T1MN,0,(C81-c_T1MN)/(c_T1MX-c_T1MN))*(c_T2MX-c_T2MN))+o_MISMATCH,0),"")</f>
        <v/>
      </c>
      <c r="G81" s="7" t="str">
        <f aca="false">IF(c_TPOT&gt;1,IF(((c_T2MX)-(c_T2MN))=0,(0)+QUOTIENT(((1000)-(0)),2),QUOTIENT((((F81)-(c_T2MN))*((1000)-(0))+IF(((1000)-(0))&gt;=0,1,-1)*QUOTIENT(((c_T2MX)-(c_T2MN)),2)),((c_T2MX)-(c_T2MN)))+(0)+IF(((1000)-(0))&gt;=0,IF(IF(o_WRAP=1,MOD(((c_T2MX)-(c_T2MN))*(((F81)-(c_T2MN))*((1000)-(0))+IF(((1000)-(0))&gt;=0,1,-1)*QUOTIENT(((c_T2MX)-(c_T2MN)),2))+2147483648,4294967296)-2147483648,((c_T2MX)-(c_T2MN))*(((F81)-(c_T2MN))*((1000)-(0))+IF(((1000)-(0))&gt;=0,1,-1)*QUOTIENT(((c_T2MX)-(c_T2MN)),2)))&lt;0,-1,0),IF(IF(o_WRAP=1,MOD(((c_T2MX)-(c_T2MN))*(((F81)-(c_T2MN))*((1000)-(0))+IF(((1000)-(0))&gt;=0,1,-1)*QUOTIENT(((c_T2MX)-(c_T2MN)),2))+2147483648,4294967296)-2147483648,((c_T2MX)-(c_T2MN))*(((F81)-(c_T2MN))*((1000)-(0))+IF(((1000)-(0))&gt;=0,1,-1)*QUOTIENT(((c_T2MX)-(c_T2MN)),2)))&gt;=0,1,0))),"")</f>
        <v/>
      </c>
      <c r="H81" s="7" t="str">
        <f aca="false">IF(E81&gt;1000+k_TOL,"T1 HIGH",IF(E81&lt;0-k_TOL,"T1 LOW",IF(c_TPOT&gt;1,IF(G81&gt;1000+k_TOL,"T2 HIGH",IF(G81&lt;0-k_TOL,"T2 LOW",IF(c_TTYPE=2,IF(ABS(1000-MAX(0,MIN(1000,E81))-MAX(0,MIN(1000,G81)))&gt;k_MAXERR,"MISMATCH","OK"),IF(OR(MAX(0,MIN(1000,E81))-k_MAXERR&gt;MAX(0,MIN(1000,G81)),MAX(0,MIN(1000,G81))-k_MAXERR&gt;MAX(0,MIN(1000,E81))),"MISMATCH","OK")))),"OK")))</f>
        <v>OK</v>
      </c>
      <c r="I81" s="7" t="n">
        <f aca="false">MAX(0,MIN(1000,D81))</f>
        <v>23</v>
      </c>
      <c r="J81" s="7" t="str">
        <f aca="false">IF(c_TPOT&gt;1,IF(c_TTYPE=2,1000-MAX(0,MIN(1000,G81)),MAX(0,MIN(1000,G81))),"")</f>
        <v/>
      </c>
      <c r="K81" s="7" t="n">
        <f aca="false">IF(c_TPOT&gt;1,QUOTIENT(I81+J81,2),I81)</f>
        <v>23</v>
      </c>
      <c r="L81" s="7" t="n">
        <f aca="false">IF(AND(K81=0,c_TCREEP&gt;0),10*c_TCREEP,IF(AND(K81&lt;=c_TRNGMIN,K81&gt;=c_TRNGMAX,c_TRNGMIN-c_TRNGMAX&lt;&gt;0),-10*c_TMINRN+QUOTIENT((c_TMAXRN-c_TMINRN)*(100-QUOTIENT((K81-c_TRNGMAX)*100,c_TRNGMIN-c_TRNGMAX)),-10),0))</f>
        <v>0</v>
      </c>
      <c r="M81" s="7" t="n">
        <f aca="false">IF(((c_TMAP1IN)-(c_TFWD))=0,(0)+QUOTIENT(((c_TMAP1OUT)-(0)),2),QUOTIENT((((K81)-(c_TFWD))*((c_TMAP1OUT)-(0))+IF(((c_TMAP1OUT)-(0))&gt;=0,1,-1)*QUOTIENT(((c_TMAP1IN)-(c_TFWD)),2)),((c_TMAP1IN)-(c_TFWD)))+(0)+IF(((c_TMAP1OUT)-(0))&gt;=0,IF(IF(o_WRAP=1,MOD(((c_TMAP1IN)-(c_TFWD))*(((K81)-(c_TFWD))*((c_TMAP1OUT)-(0))+IF(((c_TMAP1OUT)-(0))&gt;=0,1,-1)*QUOTIENT(((c_TMAP1IN)-(c_TFWD)),2))+2147483648,4294967296)-2147483648,((c_TMAP1IN)-(c_TFWD))*(((K81)-(c_TFWD))*((c_TMAP1OUT)-(0))+IF(((c_TMAP1OUT)-(0))&gt;=0,1,-1)*QUOTIENT(((c_TMAP1IN)-(c_TFWD)),2)))&lt;0,-1,0),IF(IF(o_WRAP=1,MOD(((c_TMAP1IN)-(c_TFWD))*(((K81)-(c_TFWD))*((c_TMAP1OUT)-(0))+IF(((c_TMAP1OUT)-(0))&gt;=0,1,-1)*QUOTIENT(((c_TMAP1IN)-(c_TFWD)),2))+2147483648,4294967296)-2147483648,((c_TMAP1IN)-(c_TFWD))*(((K81)-(c_TFWD))*((c_TMAP1OUT)-(0))+IF(((c_TMAP1OUT)-(0))&gt;=0,1,-1)*QUOTIENT(((c_TMAP1IN)-(c_TFWD)),2)))&gt;=0,1,0)))</f>
        <v>10</v>
      </c>
      <c r="N81" s="7" t="n">
        <f aca="false">IF(((c_TMAP2IN)-(c_TMAP1IN))=0,(c_TMAP1OUT)+QUOTIENT(((c_TMAP2OUT)-(c_TMAP1OUT)),2),QUOTIENT((((K81)-(c_TMAP1IN))*((c_TMAP2OUT)-(c_TMAP1OUT))+IF(((c_TMAP2OUT)-(c_TMAP1OUT))&gt;=0,1,-1)*QUOTIENT(((c_TMAP2IN)-(c_TMAP1IN)),2)),((c_TMAP2IN)-(c_TMAP1IN)))+(c_TMAP1OUT)+IF(((c_TMAP2OUT)-(c_TMAP1OUT))&gt;=0,IF(IF(o_WRAP=1,MOD(((c_TMAP2IN)-(c_TMAP1IN))*(((K81)-(c_TMAP1IN))*((c_TMAP2OUT)-(c_TMAP1OUT))+IF(((c_TMAP2OUT)-(c_TMAP1OUT))&gt;=0,1,-1)*QUOTIENT(((c_TMAP2IN)-(c_TMAP1IN)),2))+2147483648,4294967296)-2147483648,((c_TMAP2IN)-(c_TMAP1IN))*(((K81)-(c_TMAP1IN))*((c_TMAP2OUT)-(c_TMAP1OUT))+IF(((c_TMAP2OUT)-(c_TMAP1OUT))&gt;=0,1,-1)*QUOTIENT(((c_TMAP2IN)-(c_TMAP1IN)),2)))&lt;0,-1,0),IF(IF(o_WRAP=1,MOD(((c_TMAP2IN)-(c_TMAP1IN))*(((K81)-(c_TMAP1IN))*((c_TMAP2OUT)-(c_TMAP1OUT))+IF(((c_TMAP2OUT)-(c_TMAP1OUT))&gt;=0,1,-1)*QUOTIENT(((c_TMAP2IN)-(c_TMAP1IN)),2))+2147483648,4294967296)-2147483648,((c_TMAP2IN)-(c_TMAP1IN))*(((K81)-(c_TMAP1IN))*((c_TMAP2OUT)-(c_TMAP1OUT))+IF(((c_TMAP2OUT)-(c_TMAP1OUT))&gt;=0,1,-1)*QUOTIENT(((c_TMAP2IN)-(c_TMAP1IN)),2)))&gt;=0,1,0)))</f>
        <v>39</v>
      </c>
      <c r="O81" s="7" t="n">
        <f aca="false">IF(((c_TMAP3IN)-(c_TMAP2IN))=0,(c_TMAP2OUT)+QUOTIENT(((c_TMAP3OUT)-(c_TMAP2OUT)),2),QUOTIENT((((K81)-(c_TMAP2IN))*((c_TMAP3OUT)-(c_TMAP2OUT))+IF(((c_TMAP3OUT)-(c_TMAP2OUT))&gt;=0,1,-1)*QUOTIENT(((c_TMAP3IN)-(c_TMAP2IN)),2)),((c_TMAP3IN)-(c_TMAP2IN)))+(c_TMAP2OUT)+IF(((c_TMAP3OUT)-(c_TMAP2OUT))&gt;=0,IF(IF(o_WRAP=1,MOD(((c_TMAP3IN)-(c_TMAP2IN))*(((K81)-(c_TMAP2IN))*((c_TMAP3OUT)-(c_TMAP2OUT))+IF(((c_TMAP3OUT)-(c_TMAP2OUT))&gt;=0,1,-1)*QUOTIENT(((c_TMAP3IN)-(c_TMAP2IN)),2))+2147483648,4294967296)-2147483648,((c_TMAP3IN)-(c_TMAP2IN))*(((K81)-(c_TMAP2IN))*((c_TMAP3OUT)-(c_TMAP2OUT))+IF(((c_TMAP3OUT)-(c_TMAP2OUT))&gt;=0,1,-1)*QUOTIENT(((c_TMAP3IN)-(c_TMAP2IN)),2)))&lt;0,-1,0),IF(IF(o_WRAP=1,MOD(((c_TMAP3IN)-(c_TMAP2IN))*(((K81)-(c_TMAP2IN))*((c_TMAP3OUT)-(c_TMAP2OUT))+IF(((c_TMAP3OUT)-(c_TMAP2OUT))&gt;=0,1,-1)*QUOTIENT(((c_TMAP3IN)-(c_TMAP2IN)),2))+2147483648,4294967296)-2147483648,((c_TMAP3IN)-(c_TMAP2IN))*(((K81)-(c_TMAP2IN))*((c_TMAP3OUT)-(c_TMAP2OUT))+IF(((c_TMAP3OUT)-(c_TMAP2OUT))&gt;=0,1,-1)*QUOTIENT(((c_TMAP3IN)-(c_TMAP2IN)),2)))&gt;=0,1,0)))</f>
        <v>-29</v>
      </c>
      <c r="P81" s="7" t="n">
        <f aca="false">IF(((1000)-(c_TMAP3IN))=0,(c_TMAP3OUT)+QUOTIENT(((1000)-(c_TMAP3OUT)),2),QUOTIENT((((K81)-(c_TMAP3IN))*((1000)-(c_TMAP3OUT))+IF(((1000)-(c_TMAP3OUT))&gt;=0,1,-1)*QUOTIENT(((1000)-(c_TMAP3IN)),2)),((1000)-(c_TMAP3IN)))+(c_TMAP3OUT)+IF(((1000)-(c_TMAP3OUT))&gt;=0,IF(IF(o_WRAP=1,MOD(((1000)-(c_TMAP3IN))*(((K81)-(c_TMAP3IN))*((1000)-(c_TMAP3OUT))+IF(((1000)-(c_TMAP3OUT))&gt;=0,1,-1)*QUOTIENT(((1000)-(c_TMAP3IN)),2))+2147483648,4294967296)-2147483648,((1000)-(c_TMAP3IN))*(((K81)-(c_TMAP3IN))*((1000)-(c_TMAP3OUT))+IF(((1000)-(c_TMAP3OUT))&gt;=0,1,-1)*QUOTIENT(((1000)-(c_TMAP3IN)),2)))&lt;0,-1,0),IF(IF(o_WRAP=1,MOD(((1000)-(c_TMAP3IN))*(((K81)-(c_TMAP3IN))*((1000)-(c_TMAP3OUT))+IF(((1000)-(c_TMAP3OUT))&gt;=0,1,-1)*QUOTIENT(((1000)-(c_TMAP3IN)),2))+2147483648,4294967296)-2147483648,((1000)-(c_TMAP3IN))*(((K81)-(c_TMAP3IN))*((1000)-(c_TMAP3OUT))+IF(((1000)-(c_TMAP3OUT))&gt;=0,1,-1)*QUOTIENT(((1000)-(c_TMAP3IN)),2)))&gt;=0,1,0)))</f>
        <v>-202</v>
      </c>
      <c r="Q81" s="7" t="str">
        <f aca="false">IF(K81&gt;=c_TFWD,IF(AND(K81&gt;=c_TMAP3IN,c_TMAP3IN&lt;1000),"Seg4 map3-100%",IF(AND(K81&gt;=c_TMAP2IN,c_TMAP3IN&gt;c_TMAP2IN),"Seg3 map2-map3",IF(AND(K81&gt;=c_TMAP1IN,c_TMAP2IN&gt;c_TMAP1IN),"Seg2 map1-map2","Seg1 TFWD-map1"))),IF(AND(K81=0,c_TCREEP&gt;0),"Creep",IF(AND(K81&lt;=c_TRNGMIN,K81&gt;=c_TRNGMAX,c_TRNGMIN-c_TRNGMAX&lt;&gt;0),"Regen ramp","Coast (0)")))</f>
        <v>Seg1 TFWD-map1</v>
      </c>
      <c r="R81" s="7" t="n">
        <f aca="false">IF(K81&gt;=c_TFWD,IF(AND(K81&gt;=c_TMAP3IN,c_TMAP3IN&lt;1000),P81,IF(AND(K81&gt;=c_TMAP2IN,c_TMAP3IN&gt;c_TMAP2IN),O81,IF(AND(K81&gt;=c_TMAP1IN,c_TMAP2IN&gt;c_TMAP1IN),N81,M81))),L81)</f>
        <v>10</v>
      </c>
      <c r="S81" s="7" t="str">
        <f aca="false">IF(R81&lt;-1090,"TOO LOW",IF(R81&gt;1090,"TOO HIGH",""))</f>
        <v/>
      </c>
      <c r="T81" s="15" t="n">
        <f aca="false">IF(H81&lt;&gt;"OK",0,IF(S81&lt;&gt;"",0,IF(R81&gt;979,1000,R81)))</f>
        <v>10</v>
      </c>
      <c r="U81" s="7" t="n">
        <f aca="false">T81/10</f>
        <v>1</v>
      </c>
    </row>
    <row r="82" customFormat="false" ht="15" hidden="false" customHeight="false" outlineLevel="0" collapsed="false">
      <c r="A82" s="7" t="n">
        <v>77</v>
      </c>
      <c r="B82" s="7" t="n">
        <f aca="false">ROUND(o_SWSTART+A82*(o_SWEND-o_SWSTART)/400,0)</f>
        <v>788</v>
      </c>
      <c r="C82" s="7" t="n">
        <f aca="false">QUOTIENT((B82-c_OFF1)*c_GAIN1,1024)</f>
        <v>788</v>
      </c>
      <c r="D82" s="7" t="n">
        <f aca="false">IF(((c_T1MX)-(c_T1MN))=0,(0)+QUOTIENT(((1000)-(0)),2),QUOTIENT((((C82)-(c_T1MN))*((1000)-(0))+IF(((1000)-(0))&gt;=0,1,-1)*QUOTIENT(((c_T1MX)-(c_T1MN)),2)),((c_T1MX)-(c_T1MN)))+(0)+IF(((1000)-(0))&gt;=0,IF(IF(o_WRAP=1,MOD(((c_T1MX)-(c_T1MN))*(((C82)-(c_T1MN))*((1000)-(0))+IF(((1000)-(0))&gt;=0,1,-1)*QUOTIENT(((c_T1MX)-(c_T1MN)),2))+2147483648,4294967296)-2147483648,((c_T1MX)-(c_T1MN))*(((C82)-(c_T1MN))*((1000)-(0))+IF(((1000)-(0))&gt;=0,1,-1)*QUOTIENT(((c_T1MX)-(c_T1MN)),2)))&lt;0,-1,0),IF(IF(o_WRAP=1,MOD(((c_T1MX)-(c_T1MN))*(((C82)-(c_T1MN))*((1000)-(0))+IF(((1000)-(0))&gt;=0,1,-1)*QUOTIENT(((c_T1MX)-(c_T1MN)),2))+2147483648,4294967296)-2147483648,((c_T1MX)-(c_T1MN))*(((C82)-(c_T1MN))*((1000)-(0))+IF(((1000)-(0))&gt;=0,1,-1)*QUOTIENT(((c_T1MX)-(c_T1MN)),2)))&gt;=0,1,0)))</f>
        <v>26</v>
      </c>
      <c r="E82" s="7" t="n">
        <f aca="false">IF(AND(c_TPOT=1,c_TTYPE=2),1000-D82,D82)</f>
        <v>26</v>
      </c>
      <c r="F82" s="7" t="str">
        <f aca="false">IF(c_TPOT&gt;1,ROUND(IF(c_TTYPE=2,c_T2MX-IF(c_T1MX=c_T1MN,0,(C82-c_T1MN)/(c_T1MX-c_T1MN))*(c_T2MX-c_T2MN),c_T2MN+IF(c_T1MX=c_T1MN,0,(C82-c_T1MN)/(c_T1MX-c_T1MN))*(c_T2MX-c_T2MN))+o_MISMATCH,0),"")</f>
        <v/>
      </c>
      <c r="G82" s="7" t="str">
        <f aca="false">IF(c_TPOT&gt;1,IF(((c_T2MX)-(c_T2MN))=0,(0)+QUOTIENT(((1000)-(0)),2),QUOTIENT((((F82)-(c_T2MN))*((1000)-(0))+IF(((1000)-(0))&gt;=0,1,-1)*QUOTIENT(((c_T2MX)-(c_T2MN)),2)),((c_T2MX)-(c_T2MN)))+(0)+IF(((1000)-(0))&gt;=0,IF(IF(o_WRAP=1,MOD(((c_T2MX)-(c_T2MN))*(((F82)-(c_T2MN))*((1000)-(0))+IF(((1000)-(0))&gt;=0,1,-1)*QUOTIENT(((c_T2MX)-(c_T2MN)),2))+2147483648,4294967296)-2147483648,((c_T2MX)-(c_T2MN))*(((F82)-(c_T2MN))*((1000)-(0))+IF(((1000)-(0))&gt;=0,1,-1)*QUOTIENT(((c_T2MX)-(c_T2MN)),2)))&lt;0,-1,0),IF(IF(o_WRAP=1,MOD(((c_T2MX)-(c_T2MN))*(((F82)-(c_T2MN))*((1000)-(0))+IF(((1000)-(0))&gt;=0,1,-1)*QUOTIENT(((c_T2MX)-(c_T2MN)),2))+2147483648,4294967296)-2147483648,((c_T2MX)-(c_T2MN))*(((F82)-(c_T2MN))*((1000)-(0))+IF(((1000)-(0))&gt;=0,1,-1)*QUOTIENT(((c_T2MX)-(c_T2MN)),2)))&gt;=0,1,0))),"")</f>
        <v/>
      </c>
      <c r="H82" s="7" t="str">
        <f aca="false">IF(E82&gt;1000+k_TOL,"T1 HIGH",IF(E82&lt;0-k_TOL,"T1 LOW",IF(c_TPOT&gt;1,IF(G82&gt;1000+k_TOL,"T2 HIGH",IF(G82&lt;0-k_TOL,"T2 LOW",IF(c_TTYPE=2,IF(ABS(1000-MAX(0,MIN(1000,E82))-MAX(0,MIN(1000,G82)))&gt;k_MAXERR,"MISMATCH","OK"),IF(OR(MAX(0,MIN(1000,E82))-k_MAXERR&gt;MAX(0,MIN(1000,G82)),MAX(0,MIN(1000,G82))-k_MAXERR&gt;MAX(0,MIN(1000,E82))),"MISMATCH","OK")))),"OK")))</f>
        <v>OK</v>
      </c>
      <c r="I82" s="7" t="n">
        <f aca="false">MAX(0,MIN(1000,D82))</f>
        <v>26</v>
      </c>
      <c r="J82" s="7" t="str">
        <f aca="false">IF(c_TPOT&gt;1,IF(c_TTYPE=2,1000-MAX(0,MIN(1000,G82)),MAX(0,MIN(1000,G82))),"")</f>
        <v/>
      </c>
      <c r="K82" s="7" t="n">
        <f aca="false">IF(c_TPOT&gt;1,QUOTIENT(I82+J82,2),I82)</f>
        <v>26</v>
      </c>
      <c r="L82" s="7" t="n">
        <f aca="false">IF(AND(K82=0,c_TCREEP&gt;0),10*c_TCREEP,IF(AND(K82&lt;=c_TRNGMIN,K82&gt;=c_TRNGMAX,c_TRNGMIN-c_TRNGMAX&lt;&gt;0),-10*c_TMINRN+QUOTIENT((c_TMAXRN-c_TMINRN)*(100-QUOTIENT((K82-c_TRNGMAX)*100,c_TRNGMIN-c_TRNGMAX)),-10),0))</f>
        <v>0</v>
      </c>
      <c r="M82" s="7" t="n">
        <f aca="false">IF(((c_TMAP1IN)-(c_TFWD))=0,(0)+QUOTIENT(((c_TMAP1OUT)-(0)),2),QUOTIENT((((K82)-(c_TFWD))*((c_TMAP1OUT)-(0))+IF(((c_TMAP1OUT)-(0))&gt;=0,1,-1)*QUOTIENT(((c_TMAP1IN)-(c_TFWD)),2)),((c_TMAP1IN)-(c_TFWD)))+(0)+IF(((c_TMAP1OUT)-(0))&gt;=0,IF(IF(o_WRAP=1,MOD(((c_TMAP1IN)-(c_TFWD))*(((K82)-(c_TFWD))*((c_TMAP1OUT)-(0))+IF(((c_TMAP1OUT)-(0))&gt;=0,1,-1)*QUOTIENT(((c_TMAP1IN)-(c_TFWD)),2))+2147483648,4294967296)-2147483648,((c_TMAP1IN)-(c_TFWD))*(((K82)-(c_TFWD))*((c_TMAP1OUT)-(0))+IF(((c_TMAP1OUT)-(0))&gt;=0,1,-1)*QUOTIENT(((c_TMAP1IN)-(c_TFWD)),2)))&lt;0,-1,0),IF(IF(o_WRAP=1,MOD(((c_TMAP1IN)-(c_TFWD))*(((K82)-(c_TFWD))*((c_TMAP1OUT)-(0))+IF(((c_TMAP1OUT)-(0))&gt;=0,1,-1)*QUOTIENT(((c_TMAP1IN)-(c_TFWD)),2))+2147483648,4294967296)-2147483648,((c_TMAP1IN)-(c_TFWD))*(((K82)-(c_TFWD))*((c_TMAP1OUT)-(0))+IF(((c_TMAP1OUT)-(0))&gt;=0,1,-1)*QUOTIENT(((c_TMAP1IN)-(c_TFWD)),2)))&gt;=0,1,0)))</f>
        <v>12</v>
      </c>
      <c r="N82" s="7" t="n">
        <f aca="false">IF(((c_TMAP2IN)-(c_TMAP1IN))=0,(c_TMAP1OUT)+QUOTIENT(((c_TMAP2OUT)-(c_TMAP1OUT)),2),QUOTIENT((((K82)-(c_TMAP1IN))*((c_TMAP2OUT)-(c_TMAP1OUT))+IF(((c_TMAP2OUT)-(c_TMAP1OUT))&gt;=0,1,-1)*QUOTIENT(((c_TMAP2IN)-(c_TMAP1IN)),2)),((c_TMAP2IN)-(c_TMAP1IN)))+(c_TMAP1OUT)+IF(((c_TMAP2OUT)-(c_TMAP1OUT))&gt;=0,IF(IF(o_WRAP=1,MOD(((c_TMAP2IN)-(c_TMAP1IN))*(((K82)-(c_TMAP1IN))*((c_TMAP2OUT)-(c_TMAP1OUT))+IF(((c_TMAP2OUT)-(c_TMAP1OUT))&gt;=0,1,-1)*QUOTIENT(((c_TMAP2IN)-(c_TMAP1IN)),2))+2147483648,4294967296)-2147483648,((c_TMAP2IN)-(c_TMAP1IN))*(((K82)-(c_TMAP1IN))*((c_TMAP2OUT)-(c_TMAP1OUT))+IF(((c_TMAP2OUT)-(c_TMAP1OUT))&gt;=0,1,-1)*QUOTIENT(((c_TMAP2IN)-(c_TMAP1IN)),2)))&lt;0,-1,0),IF(IF(o_WRAP=1,MOD(((c_TMAP2IN)-(c_TMAP1IN))*(((K82)-(c_TMAP1IN))*((c_TMAP2OUT)-(c_TMAP1OUT))+IF(((c_TMAP2OUT)-(c_TMAP1OUT))&gt;=0,1,-1)*QUOTIENT(((c_TMAP2IN)-(c_TMAP1IN)),2))+2147483648,4294967296)-2147483648,((c_TMAP2IN)-(c_TMAP1IN))*(((K82)-(c_TMAP1IN))*((c_TMAP2OUT)-(c_TMAP1OUT))+IF(((c_TMAP2OUT)-(c_TMAP1OUT))&gt;=0,1,-1)*QUOTIENT(((c_TMAP2IN)-(c_TMAP1IN)),2)))&gt;=0,1,0)))</f>
        <v>40</v>
      </c>
      <c r="O82" s="7" t="n">
        <f aca="false">IF(((c_TMAP3IN)-(c_TMAP2IN))=0,(c_TMAP2OUT)+QUOTIENT(((c_TMAP3OUT)-(c_TMAP2OUT)),2),QUOTIENT((((K82)-(c_TMAP2IN))*((c_TMAP3OUT)-(c_TMAP2OUT))+IF(((c_TMAP3OUT)-(c_TMAP2OUT))&gt;=0,1,-1)*QUOTIENT(((c_TMAP3IN)-(c_TMAP2IN)),2)),((c_TMAP3IN)-(c_TMAP2IN)))+(c_TMAP2OUT)+IF(((c_TMAP3OUT)-(c_TMAP2OUT))&gt;=0,IF(IF(o_WRAP=1,MOD(((c_TMAP3IN)-(c_TMAP2IN))*(((K82)-(c_TMAP2IN))*((c_TMAP3OUT)-(c_TMAP2OUT))+IF(((c_TMAP3OUT)-(c_TMAP2OUT))&gt;=0,1,-1)*QUOTIENT(((c_TMAP3IN)-(c_TMAP2IN)),2))+2147483648,4294967296)-2147483648,((c_TMAP3IN)-(c_TMAP2IN))*(((K82)-(c_TMAP2IN))*((c_TMAP3OUT)-(c_TMAP2OUT))+IF(((c_TMAP3OUT)-(c_TMAP2OUT))&gt;=0,1,-1)*QUOTIENT(((c_TMAP3IN)-(c_TMAP2IN)),2)))&lt;0,-1,0),IF(IF(o_WRAP=1,MOD(((c_TMAP3IN)-(c_TMAP2IN))*(((K82)-(c_TMAP2IN))*((c_TMAP3OUT)-(c_TMAP2OUT))+IF(((c_TMAP3OUT)-(c_TMAP2OUT))&gt;=0,1,-1)*QUOTIENT(((c_TMAP3IN)-(c_TMAP2IN)),2))+2147483648,4294967296)-2147483648,((c_TMAP3IN)-(c_TMAP2IN))*(((K82)-(c_TMAP2IN))*((c_TMAP3OUT)-(c_TMAP2OUT))+IF(((c_TMAP3OUT)-(c_TMAP2OUT))&gt;=0,1,-1)*QUOTIENT(((c_TMAP3IN)-(c_TMAP2IN)),2)))&gt;=0,1,0)))</f>
        <v>-27</v>
      </c>
      <c r="P82" s="7" t="n">
        <f aca="false">IF(((1000)-(c_TMAP3IN))=0,(c_TMAP3OUT)+QUOTIENT(((1000)-(c_TMAP3OUT)),2),QUOTIENT((((K82)-(c_TMAP3IN))*((1000)-(c_TMAP3OUT))+IF(((1000)-(c_TMAP3OUT))&gt;=0,1,-1)*QUOTIENT(((1000)-(c_TMAP3IN)),2)),((1000)-(c_TMAP3IN)))+(c_TMAP3OUT)+IF(((1000)-(c_TMAP3OUT))&gt;=0,IF(IF(o_WRAP=1,MOD(((1000)-(c_TMAP3IN))*(((K82)-(c_TMAP3IN))*((1000)-(c_TMAP3OUT))+IF(((1000)-(c_TMAP3OUT))&gt;=0,1,-1)*QUOTIENT(((1000)-(c_TMAP3IN)),2))+2147483648,4294967296)-2147483648,((1000)-(c_TMAP3IN))*(((K82)-(c_TMAP3IN))*((1000)-(c_TMAP3OUT))+IF(((1000)-(c_TMAP3OUT))&gt;=0,1,-1)*QUOTIENT(((1000)-(c_TMAP3IN)),2)))&lt;0,-1,0),IF(IF(o_WRAP=1,MOD(((1000)-(c_TMAP3IN))*(((K82)-(c_TMAP3IN))*((1000)-(c_TMAP3OUT))+IF(((1000)-(c_TMAP3OUT))&gt;=0,1,-1)*QUOTIENT(((1000)-(c_TMAP3IN)),2))+2147483648,4294967296)-2147483648,((1000)-(c_TMAP3IN))*(((K82)-(c_TMAP3IN))*((1000)-(c_TMAP3OUT))+IF(((1000)-(c_TMAP3OUT))&gt;=0,1,-1)*QUOTIENT(((1000)-(c_TMAP3IN)),2)))&gt;=0,1,0)))</f>
        <v>-199</v>
      </c>
      <c r="Q82" s="7" t="str">
        <f aca="false">IF(K82&gt;=c_TFWD,IF(AND(K82&gt;=c_TMAP3IN,c_TMAP3IN&lt;1000),"Seg4 map3-100%",IF(AND(K82&gt;=c_TMAP2IN,c_TMAP3IN&gt;c_TMAP2IN),"Seg3 map2-map3",IF(AND(K82&gt;=c_TMAP1IN,c_TMAP2IN&gt;c_TMAP1IN),"Seg2 map1-map2","Seg1 TFWD-map1"))),IF(AND(K82=0,c_TCREEP&gt;0),"Creep",IF(AND(K82&lt;=c_TRNGMIN,K82&gt;=c_TRNGMAX,c_TRNGMIN-c_TRNGMAX&lt;&gt;0),"Regen ramp","Coast (0)")))</f>
        <v>Seg1 TFWD-map1</v>
      </c>
      <c r="R82" s="7" t="n">
        <f aca="false">IF(K82&gt;=c_TFWD,IF(AND(K82&gt;=c_TMAP3IN,c_TMAP3IN&lt;1000),P82,IF(AND(K82&gt;=c_TMAP2IN,c_TMAP3IN&gt;c_TMAP2IN),O82,IF(AND(K82&gt;=c_TMAP1IN,c_TMAP2IN&gt;c_TMAP1IN),N82,M82))),L82)</f>
        <v>12</v>
      </c>
      <c r="S82" s="7" t="str">
        <f aca="false">IF(R82&lt;-1090,"TOO LOW",IF(R82&gt;1090,"TOO HIGH",""))</f>
        <v/>
      </c>
      <c r="T82" s="15" t="n">
        <f aca="false">IF(H82&lt;&gt;"OK",0,IF(S82&lt;&gt;"",0,IF(R82&gt;979,1000,R82)))</f>
        <v>12</v>
      </c>
      <c r="U82" s="7" t="n">
        <f aca="false">T82/10</f>
        <v>1.2</v>
      </c>
    </row>
    <row r="83" customFormat="false" ht="15" hidden="false" customHeight="false" outlineLevel="0" collapsed="false">
      <c r="A83" s="7" t="n">
        <v>78</v>
      </c>
      <c r="B83" s="7" t="n">
        <f aca="false">ROUND(o_SWSTART+A83*(o_SWEND-o_SWSTART)/400,0)</f>
        <v>799</v>
      </c>
      <c r="C83" s="7" t="n">
        <f aca="false">QUOTIENT((B83-c_OFF1)*c_GAIN1,1024)</f>
        <v>799</v>
      </c>
      <c r="D83" s="7" t="n">
        <f aca="false">IF(((c_T1MX)-(c_T1MN))=0,(0)+QUOTIENT(((1000)-(0)),2),QUOTIENT((((C83)-(c_T1MN))*((1000)-(0))+IF(((1000)-(0))&gt;=0,1,-1)*QUOTIENT(((c_T1MX)-(c_T1MN)),2)),((c_T1MX)-(c_T1MN)))+(0)+IF(((1000)-(0))&gt;=0,IF(IF(o_WRAP=1,MOD(((c_T1MX)-(c_T1MN))*(((C83)-(c_T1MN))*((1000)-(0))+IF(((1000)-(0))&gt;=0,1,-1)*QUOTIENT(((c_T1MX)-(c_T1MN)),2))+2147483648,4294967296)-2147483648,((c_T1MX)-(c_T1MN))*(((C83)-(c_T1MN))*((1000)-(0))+IF(((1000)-(0))&gt;=0,1,-1)*QUOTIENT(((c_T1MX)-(c_T1MN)),2)))&lt;0,-1,0),IF(IF(o_WRAP=1,MOD(((c_T1MX)-(c_T1MN))*(((C83)-(c_T1MN))*((1000)-(0))+IF(((1000)-(0))&gt;=0,1,-1)*QUOTIENT(((c_T1MX)-(c_T1MN)),2))+2147483648,4294967296)-2147483648,((c_T1MX)-(c_T1MN))*(((C83)-(c_T1MN))*((1000)-(0))+IF(((1000)-(0))&gt;=0,1,-1)*QUOTIENT(((c_T1MX)-(c_T1MN)),2)))&gt;=0,1,0)))</f>
        <v>30</v>
      </c>
      <c r="E83" s="7" t="n">
        <f aca="false">IF(AND(c_TPOT=1,c_TTYPE=2),1000-D83,D83)</f>
        <v>30</v>
      </c>
      <c r="F83" s="7" t="str">
        <f aca="false">IF(c_TPOT&gt;1,ROUND(IF(c_TTYPE=2,c_T2MX-IF(c_T1MX=c_T1MN,0,(C83-c_T1MN)/(c_T1MX-c_T1MN))*(c_T2MX-c_T2MN),c_T2MN+IF(c_T1MX=c_T1MN,0,(C83-c_T1MN)/(c_T1MX-c_T1MN))*(c_T2MX-c_T2MN))+o_MISMATCH,0),"")</f>
        <v/>
      </c>
      <c r="G83" s="7" t="str">
        <f aca="false">IF(c_TPOT&gt;1,IF(((c_T2MX)-(c_T2MN))=0,(0)+QUOTIENT(((1000)-(0)),2),QUOTIENT((((F83)-(c_T2MN))*((1000)-(0))+IF(((1000)-(0))&gt;=0,1,-1)*QUOTIENT(((c_T2MX)-(c_T2MN)),2)),((c_T2MX)-(c_T2MN)))+(0)+IF(((1000)-(0))&gt;=0,IF(IF(o_WRAP=1,MOD(((c_T2MX)-(c_T2MN))*(((F83)-(c_T2MN))*((1000)-(0))+IF(((1000)-(0))&gt;=0,1,-1)*QUOTIENT(((c_T2MX)-(c_T2MN)),2))+2147483648,4294967296)-2147483648,((c_T2MX)-(c_T2MN))*(((F83)-(c_T2MN))*((1000)-(0))+IF(((1000)-(0))&gt;=0,1,-1)*QUOTIENT(((c_T2MX)-(c_T2MN)),2)))&lt;0,-1,0),IF(IF(o_WRAP=1,MOD(((c_T2MX)-(c_T2MN))*(((F83)-(c_T2MN))*((1000)-(0))+IF(((1000)-(0))&gt;=0,1,-1)*QUOTIENT(((c_T2MX)-(c_T2MN)),2))+2147483648,4294967296)-2147483648,((c_T2MX)-(c_T2MN))*(((F83)-(c_T2MN))*((1000)-(0))+IF(((1000)-(0))&gt;=0,1,-1)*QUOTIENT(((c_T2MX)-(c_T2MN)),2)))&gt;=0,1,0))),"")</f>
        <v/>
      </c>
      <c r="H83" s="7" t="str">
        <f aca="false">IF(E83&gt;1000+k_TOL,"T1 HIGH",IF(E83&lt;0-k_TOL,"T1 LOW",IF(c_TPOT&gt;1,IF(G83&gt;1000+k_TOL,"T2 HIGH",IF(G83&lt;0-k_TOL,"T2 LOW",IF(c_TTYPE=2,IF(ABS(1000-MAX(0,MIN(1000,E83))-MAX(0,MIN(1000,G83)))&gt;k_MAXERR,"MISMATCH","OK"),IF(OR(MAX(0,MIN(1000,E83))-k_MAXERR&gt;MAX(0,MIN(1000,G83)),MAX(0,MIN(1000,G83))-k_MAXERR&gt;MAX(0,MIN(1000,E83))),"MISMATCH","OK")))),"OK")))</f>
        <v>OK</v>
      </c>
      <c r="I83" s="7" t="n">
        <f aca="false">MAX(0,MIN(1000,D83))</f>
        <v>30</v>
      </c>
      <c r="J83" s="7" t="str">
        <f aca="false">IF(c_TPOT&gt;1,IF(c_TTYPE=2,1000-MAX(0,MIN(1000,G83)),MAX(0,MIN(1000,G83))),"")</f>
        <v/>
      </c>
      <c r="K83" s="7" t="n">
        <f aca="false">IF(c_TPOT&gt;1,QUOTIENT(I83+J83,2),I83)</f>
        <v>30</v>
      </c>
      <c r="L83" s="7" t="n">
        <f aca="false">IF(AND(K83=0,c_TCREEP&gt;0),10*c_TCREEP,IF(AND(K83&lt;=c_TRNGMIN,K83&gt;=c_TRNGMAX,c_TRNGMIN-c_TRNGMAX&lt;&gt;0),-10*c_TMINRN+QUOTIENT((c_TMAXRN-c_TMINRN)*(100-QUOTIENT((K83-c_TRNGMAX)*100,c_TRNGMIN-c_TRNGMAX)),-10),0))</f>
        <v>0</v>
      </c>
      <c r="M83" s="7" t="n">
        <f aca="false">IF(((c_TMAP1IN)-(c_TFWD))=0,(0)+QUOTIENT(((c_TMAP1OUT)-(0)),2),QUOTIENT((((K83)-(c_TFWD))*((c_TMAP1OUT)-(0))+IF(((c_TMAP1OUT)-(0))&gt;=0,1,-1)*QUOTIENT(((c_TMAP1IN)-(c_TFWD)),2)),((c_TMAP1IN)-(c_TFWD)))+(0)+IF(((c_TMAP1OUT)-(0))&gt;=0,IF(IF(o_WRAP=1,MOD(((c_TMAP1IN)-(c_TFWD))*(((K83)-(c_TFWD))*((c_TMAP1OUT)-(0))+IF(((c_TMAP1OUT)-(0))&gt;=0,1,-1)*QUOTIENT(((c_TMAP1IN)-(c_TFWD)),2))+2147483648,4294967296)-2147483648,((c_TMAP1IN)-(c_TFWD))*(((K83)-(c_TFWD))*((c_TMAP1OUT)-(0))+IF(((c_TMAP1OUT)-(0))&gt;=0,1,-1)*QUOTIENT(((c_TMAP1IN)-(c_TFWD)),2)))&lt;0,-1,0),IF(IF(o_WRAP=1,MOD(((c_TMAP1IN)-(c_TFWD))*(((K83)-(c_TFWD))*((c_TMAP1OUT)-(0))+IF(((c_TMAP1OUT)-(0))&gt;=0,1,-1)*QUOTIENT(((c_TMAP1IN)-(c_TFWD)),2))+2147483648,4294967296)-2147483648,((c_TMAP1IN)-(c_TFWD))*(((K83)-(c_TFWD))*((c_TMAP1OUT)-(0))+IF(((c_TMAP1OUT)-(0))&gt;=0,1,-1)*QUOTIENT(((c_TMAP1IN)-(c_TFWD)),2)))&gt;=0,1,0)))</f>
        <v>16</v>
      </c>
      <c r="N83" s="7" t="n">
        <f aca="false">IF(((c_TMAP2IN)-(c_TMAP1IN))=0,(c_TMAP1OUT)+QUOTIENT(((c_TMAP2OUT)-(c_TMAP1OUT)),2),QUOTIENT((((K83)-(c_TMAP1IN))*((c_TMAP2OUT)-(c_TMAP1OUT))+IF(((c_TMAP2OUT)-(c_TMAP1OUT))&gt;=0,1,-1)*QUOTIENT(((c_TMAP2IN)-(c_TMAP1IN)),2)),((c_TMAP2IN)-(c_TMAP1IN)))+(c_TMAP1OUT)+IF(((c_TMAP2OUT)-(c_TMAP1OUT))&gt;=0,IF(IF(o_WRAP=1,MOD(((c_TMAP2IN)-(c_TMAP1IN))*(((K83)-(c_TMAP1IN))*((c_TMAP2OUT)-(c_TMAP1OUT))+IF(((c_TMAP2OUT)-(c_TMAP1OUT))&gt;=0,1,-1)*QUOTIENT(((c_TMAP2IN)-(c_TMAP1IN)),2))+2147483648,4294967296)-2147483648,((c_TMAP2IN)-(c_TMAP1IN))*(((K83)-(c_TMAP1IN))*((c_TMAP2OUT)-(c_TMAP1OUT))+IF(((c_TMAP2OUT)-(c_TMAP1OUT))&gt;=0,1,-1)*QUOTIENT(((c_TMAP2IN)-(c_TMAP1IN)),2)))&lt;0,-1,0),IF(IF(o_WRAP=1,MOD(((c_TMAP2IN)-(c_TMAP1IN))*(((K83)-(c_TMAP1IN))*((c_TMAP2OUT)-(c_TMAP1OUT))+IF(((c_TMAP2OUT)-(c_TMAP1OUT))&gt;=0,1,-1)*QUOTIENT(((c_TMAP2IN)-(c_TMAP1IN)),2))+2147483648,4294967296)-2147483648,((c_TMAP2IN)-(c_TMAP1IN))*(((K83)-(c_TMAP1IN))*((c_TMAP2OUT)-(c_TMAP1OUT))+IF(((c_TMAP2OUT)-(c_TMAP1OUT))&gt;=0,1,-1)*QUOTIENT(((c_TMAP2IN)-(c_TMAP1IN)),2)))&gt;=0,1,0)))</f>
        <v>42</v>
      </c>
      <c r="O83" s="7" t="n">
        <f aca="false">IF(((c_TMAP3IN)-(c_TMAP2IN))=0,(c_TMAP2OUT)+QUOTIENT(((c_TMAP3OUT)-(c_TMAP2OUT)),2),QUOTIENT((((K83)-(c_TMAP2IN))*((c_TMAP3OUT)-(c_TMAP2OUT))+IF(((c_TMAP3OUT)-(c_TMAP2OUT))&gt;=0,1,-1)*QUOTIENT(((c_TMAP3IN)-(c_TMAP2IN)),2)),((c_TMAP3IN)-(c_TMAP2IN)))+(c_TMAP2OUT)+IF(((c_TMAP3OUT)-(c_TMAP2OUT))&gt;=0,IF(IF(o_WRAP=1,MOD(((c_TMAP3IN)-(c_TMAP2IN))*(((K83)-(c_TMAP2IN))*((c_TMAP3OUT)-(c_TMAP2OUT))+IF(((c_TMAP3OUT)-(c_TMAP2OUT))&gt;=0,1,-1)*QUOTIENT(((c_TMAP3IN)-(c_TMAP2IN)),2))+2147483648,4294967296)-2147483648,((c_TMAP3IN)-(c_TMAP2IN))*(((K83)-(c_TMAP2IN))*((c_TMAP3OUT)-(c_TMAP2OUT))+IF(((c_TMAP3OUT)-(c_TMAP2OUT))&gt;=0,1,-1)*QUOTIENT(((c_TMAP3IN)-(c_TMAP2IN)),2)))&lt;0,-1,0),IF(IF(o_WRAP=1,MOD(((c_TMAP3IN)-(c_TMAP2IN))*(((K83)-(c_TMAP2IN))*((c_TMAP3OUT)-(c_TMAP2OUT))+IF(((c_TMAP3OUT)-(c_TMAP2OUT))&gt;=0,1,-1)*QUOTIENT(((c_TMAP3IN)-(c_TMAP2IN)),2))+2147483648,4294967296)-2147483648,((c_TMAP3IN)-(c_TMAP2IN))*(((K83)-(c_TMAP2IN))*((c_TMAP3OUT)-(c_TMAP2OUT))+IF(((c_TMAP3OUT)-(c_TMAP2OUT))&gt;=0,1,-1)*QUOTIENT(((c_TMAP3IN)-(c_TMAP2IN)),2)))&gt;=0,1,0)))</f>
        <v>-24</v>
      </c>
      <c r="P83" s="7" t="n">
        <f aca="false">IF(((1000)-(c_TMAP3IN))=0,(c_TMAP3OUT)+QUOTIENT(((1000)-(c_TMAP3OUT)),2),QUOTIENT((((K83)-(c_TMAP3IN))*((1000)-(c_TMAP3OUT))+IF(((1000)-(c_TMAP3OUT))&gt;=0,1,-1)*QUOTIENT(((1000)-(c_TMAP3IN)),2)),((1000)-(c_TMAP3IN)))+(c_TMAP3OUT)+IF(((1000)-(c_TMAP3OUT))&gt;=0,IF(IF(o_WRAP=1,MOD(((1000)-(c_TMAP3IN))*(((K83)-(c_TMAP3IN))*((1000)-(c_TMAP3OUT))+IF(((1000)-(c_TMAP3OUT))&gt;=0,1,-1)*QUOTIENT(((1000)-(c_TMAP3IN)),2))+2147483648,4294967296)-2147483648,((1000)-(c_TMAP3IN))*(((K83)-(c_TMAP3IN))*((1000)-(c_TMAP3OUT))+IF(((1000)-(c_TMAP3OUT))&gt;=0,1,-1)*QUOTIENT(((1000)-(c_TMAP3IN)),2)))&lt;0,-1,0),IF(IF(o_WRAP=1,MOD(((1000)-(c_TMAP3IN))*(((K83)-(c_TMAP3IN))*((1000)-(c_TMAP3OUT))+IF(((1000)-(c_TMAP3OUT))&gt;=0,1,-1)*QUOTIENT(((1000)-(c_TMAP3IN)),2))+2147483648,4294967296)-2147483648,((1000)-(c_TMAP3IN))*(((K83)-(c_TMAP3IN))*((1000)-(c_TMAP3OUT))+IF(((1000)-(c_TMAP3OUT))&gt;=0,1,-1)*QUOTIENT(((1000)-(c_TMAP3IN)),2)))&gt;=0,1,0)))</f>
        <v>-194</v>
      </c>
      <c r="Q83" s="7" t="str">
        <f aca="false">IF(K83&gt;=c_TFWD,IF(AND(K83&gt;=c_TMAP3IN,c_TMAP3IN&lt;1000),"Seg4 map3-100%",IF(AND(K83&gt;=c_TMAP2IN,c_TMAP3IN&gt;c_TMAP2IN),"Seg3 map2-map3",IF(AND(K83&gt;=c_TMAP1IN,c_TMAP2IN&gt;c_TMAP1IN),"Seg2 map1-map2","Seg1 TFWD-map1"))),IF(AND(K83=0,c_TCREEP&gt;0),"Creep",IF(AND(K83&lt;=c_TRNGMIN,K83&gt;=c_TRNGMAX,c_TRNGMIN-c_TRNGMAX&lt;&gt;0),"Regen ramp","Coast (0)")))</f>
        <v>Seg1 TFWD-map1</v>
      </c>
      <c r="R83" s="7" t="n">
        <f aca="false">IF(K83&gt;=c_TFWD,IF(AND(K83&gt;=c_TMAP3IN,c_TMAP3IN&lt;1000),P83,IF(AND(K83&gt;=c_TMAP2IN,c_TMAP3IN&gt;c_TMAP2IN),O83,IF(AND(K83&gt;=c_TMAP1IN,c_TMAP2IN&gt;c_TMAP1IN),N83,M83))),L83)</f>
        <v>16</v>
      </c>
      <c r="S83" s="7" t="str">
        <f aca="false">IF(R83&lt;-1090,"TOO LOW",IF(R83&gt;1090,"TOO HIGH",""))</f>
        <v/>
      </c>
      <c r="T83" s="15" t="n">
        <f aca="false">IF(H83&lt;&gt;"OK",0,IF(S83&lt;&gt;"",0,IF(R83&gt;979,1000,R83)))</f>
        <v>16</v>
      </c>
      <c r="U83" s="7" t="n">
        <f aca="false">T83/10</f>
        <v>1.6</v>
      </c>
    </row>
    <row r="84" customFormat="false" ht="15" hidden="false" customHeight="false" outlineLevel="0" collapsed="false">
      <c r="A84" s="7" t="n">
        <v>79</v>
      </c>
      <c r="B84" s="7" t="n">
        <f aca="false">ROUND(o_SWSTART+A84*(o_SWEND-o_SWSTART)/400,0)</f>
        <v>809</v>
      </c>
      <c r="C84" s="7" t="n">
        <f aca="false">QUOTIENT((B84-c_OFF1)*c_GAIN1,1024)</f>
        <v>809</v>
      </c>
      <c r="D84" s="7" t="n">
        <f aca="false">IF(((c_T1MX)-(c_T1MN))=0,(0)+QUOTIENT(((1000)-(0)),2),QUOTIENT((((C84)-(c_T1MN))*((1000)-(0))+IF(((1000)-(0))&gt;=0,1,-1)*QUOTIENT(((c_T1MX)-(c_T1MN)),2)),((c_T1MX)-(c_T1MN)))+(0)+IF(((1000)-(0))&gt;=0,IF(IF(o_WRAP=1,MOD(((c_T1MX)-(c_T1MN))*(((C84)-(c_T1MN))*((1000)-(0))+IF(((1000)-(0))&gt;=0,1,-1)*QUOTIENT(((c_T1MX)-(c_T1MN)),2))+2147483648,4294967296)-2147483648,((c_T1MX)-(c_T1MN))*(((C84)-(c_T1MN))*((1000)-(0))+IF(((1000)-(0))&gt;=0,1,-1)*QUOTIENT(((c_T1MX)-(c_T1MN)),2)))&lt;0,-1,0),IF(IF(o_WRAP=1,MOD(((c_T1MX)-(c_T1MN))*(((C84)-(c_T1MN))*((1000)-(0))+IF(((1000)-(0))&gt;=0,1,-1)*QUOTIENT(((c_T1MX)-(c_T1MN)),2))+2147483648,4294967296)-2147483648,((c_T1MX)-(c_T1MN))*(((C84)-(c_T1MN))*((1000)-(0))+IF(((1000)-(0))&gt;=0,1,-1)*QUOTIENT(((c_T1MX)-(c_T1MN)),2)))&gt;=0,1,0)))</f>
        <v>34</v>
      </c>
      <c r="E84" s="7" t="n">
        <f aca="false">IF(AND(c_TPOT=1,c_TTYPE=2),1000-D84,D84)</f>
        <v>34</v>
      </c>
      <c r="F84" s="7" t="str">
        <f aca="false">IF(c_TPOT&gt;1,ROUND(IF(c_TTYPE=2,c_T2MX-IF(c_T1MX=c_T1MN,0,(C84-c_T1MN)/(c_T1MX-c_T1MN))*(c_T2MX-c_T2MN),c_T2MN+IF(c_T1MX=c_T1MN,0,(C84-c_T1MN)/(c_T1MX-c_T1MN))*(c_T2MX-c_T2MN))+o_MISMATCH,0),"")</f>
        <v/>
      </c>
      <c r="G84" s="7" t="str">
        <f aca="false">IF(c_TPOT&gt;1,IF(((c_T2MX)-(c_T2MN))=0,(0)+QUOTIENT(((1000)-(0)),2),QUOTIENT((((F84)-(c_T2MN))*((1000)-(0))+IF(((1000)-(0))&gt;=0,1,-1)*QUOTIENT(((c_T2MX)-(c_T2MN)),2)),((c_T2MX)-(c_T2MN)))+(0)+IF(((1000)-(0))&gt;=0,IF(IF(o_WRAP=1,MOD(((c_T2MX)-(c_T2MN))*(((F84)-(c_T2MN))*((1000)-(0))+IF(((1000)-(0))&gt;=0,1,-1)*QUOTIENT(((c_T2MX)-(c_T2MN)),2))+2147483648,4294967296)-2147483648,((c_T2MX)-(c_T2MN))*(((F84)-(c_T2MN))*((1000)-(0))+IF(((1000)-(0))&gt;=0,1,-1)*QUOTIENT(((c_T2MX)-(c_T2MN)),2)))&lt;0,-1,0),IF(IF(o_WRAP=1,MOD(((c_T2MX)-(c_T2MN))*(((F84)-(c_T2MN))*((1000)-(0))+IF(((1000)-(0))&gt;=0,1,-1)*QUOTIENT(((c_T2MX)-(c_T2MN)),2))+2147483648,4294967296)-2147483648,((c_T2MX)-(c_T2MN))*(((F84)-(c_T2MN))*((1000)-(0))+IF(((1000)-(0))&gt;=0,1,-1)*QUOTIENT(((c_T2MX)-(c_T2MN)),2)))&gt;=0,1,0))),"")</f>
        <v/>
      </c>
      <c r="H84" s="7" t="str">
        <f aca="false">IF(E84&gt;1000+k_TOL,"T1 HIGH",IF(E84&lt;0-k_TOL,"T1 LOW",IF(c_TPOT&gt;1,IF(G84&gt;1000+k_TOL,"T2 HIGH",IF(G84&lt;0-k_TOL,"T2 LOW",IF(c_TTYPE=2,IF(ABS(1000-MAX(0,MIN(1000,E84))-MAX(0,MIN(1000,G84)))&gt;k_MAXERR,"MISMATCH","OK"),IF(OR(MAX(0,MIN(1000,E84))-k_MAXERR&gt;MAX(0,MIN(1000,G84)),MAX(0,MIN(1000,G84))-k_MAXERR&gt;MAX(0,MIN(1000,E84))),"MISMATCH","OK")))),"OK")))</f>
        <v>OK</v>
      </c>
      <c r="I84" s="7" t="n">
        <f aca="false">MAX(0,MIN(1000,D84))</f>
        <v>34</v>
      </c>
      <c r="J84" s="7" t="str">
        <f aca="false">IF(c_TPOT&gt;1,IF(c_TTYPE=2,1000-MAX(0,MIN(1000,G84)),MAX(0,MIN(1000,G84))),"")</f>
        <v/>
      </c>
      <c r="K84" s="7" t="n">
        <f aca="false">IF(c_TPOT&gt;1,QUOTIENT(I84+J84,2),I84)</f>
        <v>34</v>
      </c>
      <c r="L84" s="7" t="n">
        <f aca="false">IF(AND(K84=0,c_TCREEP&gt;0),10*c_TCREEP,IF(AND(K84&lt;=c_TRNGMIN,K84&gt;=c_TRNGMAX,c_TRNGMIN-c_TRNGMAX&lt;&gt;0),-10*c_TMINRN+QUOTIENT((c_TMAXRN-c_TMINRN)*(100-QUOTIENT((K84-c_TRNGMAX)*100,c_TRNGMIN-c_TRNGMAX)),-10),0))</f>
        <v>0</v>
      </c>
      <c r="M84" s="7" t="n">
        <f aca="false">IF(((c_TMAP1IN)-(c_TFWD))=0,(0)+QUOTIENT(((c_TMAP1OUT)-(0)),2),QUOTIENT((((K84)-(c_TFWD))*((c_TMAP1OUT)-(0))+IF(((c_TMAP1OUT)-(0))&gt;=0,1,-1)*QUOTIENT(((c_TMAP1IN)-(c_TFWD)),2)),((c_TMAP1IN)-(c_TFWD)))+(0)+IF(((c_TMAP1OUT)-(0))&gt;=0,IF(IF(o_WRAP=1,MOD(((c_TMAP1IN)-(c_TFWD))*(((K84)-(c_TFWD))*((c_TMAP1OUT)-(0))+IF(((c_TMAP1OUT)-(0))&gt;=0,1,-1)*QUOTIENT(((c_TMAP1IN)-(c_TFWD)),2))+2147483648,4294967296)-2147483648,((c_TMAP1IN)-(c_TFWD))*(((K84)-(c_TFWD))*((c_TMAP1OUT)-(0))+IF(((c_TMAP1OUT)-(0))&gt;=0,1,-1)*QUOTIENT(((c_TMAP1IN)-(c_TFWD)),2)))&lt;0,-1,0),IF(IF(o_WRAP=1,MOD(((c_TMAP1IN)-(c_TFWD))*(((K84)-(c_TFWD))*((c_TMAP1OUT)-(0))+IF(((c_TMAP1OUT)-(0))&gt;=0,1,-1)*QUOTIENT(((c_TMAP1IN)-(c_TFWD)),2))+2147483648,4294967296)-2147483648,((c_TMAP1IN)-(c_TFWD))*(((K84)-(c_TFWD))*((c_TMAP1OUT)-(0))+IF(((c_TMAP1OUT)-(0))&gt;=0,1,-1)*QUOTIENT(((c_TMAP1IN)-(c_TFWD)),2)))&gt;=0,1,0)))</f>
        <v>19</v>
      </c>
      <c r="N84" s="7" t="n">
        <f aca="false">IF(((c_TMAP2IN)-(c_TMAP1IN))=0,(c_TMAP1OUT)+QUOTIENT(((c_TMAP2OUT)-(c_TMAP1OUT)),2),QUOTIENT((((K84)-(c_TMAP1IN))*((c_TMAP2OUT)-(c_TMAP1OUT))+IF(((c_TMAP2OUT)-(c_TMAP1OUT))&gt;=0,1,-1)*QUOTIENT(((c_TMAP2IN)-(c_TMAP1IN)),2)),((c_TMAP2IN)-(c_TMAP1IN)))+(c_TMAP1OUT)+IF(((c_TMAP2OUT)-(c_TMAP1OUT))&gt;=0,IF(IF(o_WRAP=1,MOD(((c_TMAP2IN)-(c_TMAP1IN))*(((K84)-(c_TMAP1IN))*((c_TMAP2OUT)-(c_TMAP1OUT))+IF(((c_TMAP2OUT)-(c_TMAP1OUT))&gt;=0,1,-1)*QUOTIENT(((c_TMAP2IN)-(c_TMAP1IN)),2))+2147483648,4294967296)-2147483648,((c_TMAP2IN)-(c_TMAP1IN))*(((K84)-(c_TMAP1IN))*((c_TMAP2OUT)-(c_TMAP1OUT))+IF(((c_TMAP2OUT)-(c_TMAP1OUT))&gt;=0,1,-1)*QUOTIENT(((c_TMAP2IN)-(c_TMAP1IN)),2)))&lt;0,-1,0),IF(IF(o_WRAP=1,MOD(((c_TMAP2IN)-(c_TMAP1IN))*(((K84)-(c_TMAP1IN))*((c_TMAP2OUT)-(c_TMAP1OUT))+IF(((c_TMAP2OUT)-(c_TMAP1OUT))&gt;=0,1,-1)*QUOTIENT(((c_TMAP2IN)-(c_TMAP1IN)),2))+2147483648,4294967296)-2147483648,((c_TMAP2IN)-(c_TMAP1IN))*(((K84)-(c_TMAP1IN))*((c_TMAP2OUT)-(c_TMAP1OUT))+IF(((c_TMAP2OUT)-(c_TMAP1OUT))&gt;=0,1,-1)*QUOTIENT(((c_TMAP2IN)-(c_TMAP1IN)),2)))&gt;=0,1,0)))</f>
        <v>44</v>
      </c>
      <c r="O84" s="7" t="n">
        <f aca="false">IF(((c_TMAP3IN)-(c_TMAP2IN))=0,(c_TMAP2OUT)+QUOTIENT(((c_TMAP3OUT)-(c_TMAP2OUT)),2),QUOTIENT((((K84)-(c_TMAP2IN))*((c_TMAP3OUT)-(c_TMAP2OUT))+IF(((c_TMAP3OUT)-(c_TMAP2OUT))&gt;=0,1,-1)*QUOTIENT(((c_TMAP3IN)-(c_TMAP2IN)),2)),((c_TMAP3IN)-(c_TMAP2IN)))+(c_TMAP2OUT)+IF(((c_TMAP3OUT)-(c_TMAP2OUT))&gt;=0,IF(IF(o_WRAP=1,MOD(((c_TMAP3IN)-(c_TMAP2IN))*(((K84)-(c_TMAP2IN))*((c_TMAP3OUT)-(c_TMAP2OUT))+IF(((c_TMAP3OUT)-(c_TMAP2OUT))&gt;=0,1,-1)*QUOTIENT(((c_TMAP3IN)-(c_TMAP2IN)),2))+2147483648,4294967296)-2147483648,((c_TMAP3IN)-(c_TMAP2IN))*(((K84)-(c_TMAP2IN))*((c_TMAP3OUT)-(c_TMAP2OUT))+IF(((c_TMAP3OUT)-(c_TMAP2OUT))&gt;=0,1,-1)*QUOTIENT(((c_TMAP3IN)-(c_TMAP2IN)),2)))&lt;0,-1,0),IF(IF(o_WRAP=1,MOD(((c_TMAP3IN)-(c_TMAP2IN))*(((K84)-(c_TMAP2IN))*((c_TMAP3OUT)-(c_TMAP2OUT))+IF(((c_TMAP3OUT)-(c_TMAP2OUT))&gt;=0,1,-1)*QUOTIENT(((c_TMAP3IN)-(c_TMAP2IN)),2))+2147483648,4294967296)-2147483648,((c_TMAP3IN)-(c_TMAP2IN))*(((K84)-(c_TMAP2IN))*((c_TMAP3OUT)-(c_TMAP2OUT))+IF(((c_TMAP3OUT)-(c_TMAP2OUT))&gt;=0,1,-1)*QUOTIENT(((c_TMAP3IN)-(c_TMAP2IN)),2)))&gt;=0,1,0)))</f>
        <v>-21</v>
      </c>
      <c r="P84" s="7" t="n">
        <f aca="false">IF(((1000)-(c_TMAP3IN))=0,(c_TMAP3OUT)+QUOTIENT(((1000)-(c_TMAP3OUT)),2),QUOTIENT((((K84)-(c_TMAP3IN))*((1000)-(c_TMAP3OUT))+IF(((1000)-(c_TMAP3OUT))&gt;=0,1,-1)*QUOTIENT(((1000)-(c_TMAP3IN)),2)),((1000)-(c_TMAP3IN)))+(c_TMAP3OUT)+IF(((1000)-(c_TMAP3OUT))&gt;=0,IF(IF(o_WRAP=1,MOD(((1000)-(c_TMAP3IN))*(((K84)-(c_TMAP3IN))*((1000)-(c_TMAP3OUT))+IF(((1000)-(c_TMAP3OUT))&gt;=0,1,-1)*QUOTIENT(((1000)-(c_TMAP3IN)),2))+2147483648,4294967296)-2147483648,((1000)-(c_TMAP3IN))*(((K84)-(c_TMAP3IN))*((1000)-(c_TMAP3OUT))+IF(((1000)-(c_TMAP3OUT))&gt;=0,1,-1)*QUOTIENT(((1000)-(c_TMAP3IN)),2)))&lt;0,-1,0),IF(IF(o_WRAP=1,MOD(((1000)-(c_TMAP3IN))*(((K84)-(c_TMAP3IN))*((1000)-(c_TMAP3OUT))+IF(((1000)-(c_TMAP3OUT))&gt;=0,1,-1)*QUOTIENT(((1000)-(c_TMAP3IN)),2))+2147483648,4294967296)-2147483648,((1000)-(c_TMAP3IN))*(((K84)-(c_TMAP3IN))*((1000)-(c_TMAP3OUT))+IF(((1000)-(c_TMAP3OUT))&gt;=0,1,-1)*QUOTIENT(((1000)-(c_TMAP3IN)),2)))&gt;=0,1,0)))</f>
        <v>-189</v>
      </c>
      <c r="Q84" s="7" t="str">
        <f aca="false">IF(K84&gt;=c_TFWD,IF(AND(K84&gt;=c_TMAP3IN,c_TMAP3IN&lt;1000),"Seg4 map3-100%",IF(AND(K84&gt;=c_TMAP2IN,c_TMAP3IN&gt;c_TMAP2IN),"Seg3 map2-map3",IF(AND(K84&gt;=c_TMAP1IN,c_TMAP2IN&gt;c_TMAP1IN),"Seg2 map1-map2","Seg1 TFWD-map1"))),IF(AND(K84=0,c_TCREEP&gt;0),"Creep",IF(AND(K84&lt;=c_TRNGMIN,K84&gt;=c_TRNGMAX,c_TRNGMIN-c_TRNGMAX&lt;&gt;0),"Regen ramp","Coast (0)")))</f>
        <v>Seg1 TFWD-map1</v>
      </c>
      <c r="R84" s="7" t="n">
        <f aca="false">IF(K84&gt;=c_TFWD,IF(AND(K84&gt;=c_TMAP3IN,c_TMAP3IN&lt;1000),P84,IF(AND(K84&gt;=c_TMAP2IN,c_TMAP3IN&gt;c_TMAP2IN),O84,IF(AND(K84&gt;=c_TMAP1IN,c_TMAP2IN&gt;c_TMAP1IN),N84,M84))),L84)</f>
        <v>19</v>
      </c>
      <c r="S84" s="7" t="str">
        <f aca="false">IF(R84&lt;-1090,"TOO LOW",IF(R84&gt;1090,"TOO HIGH",""))</f>
        <v/>
      </c>
      <c r="T84" s="15" t="n">
        <f aca="false">IF(H84&lt;&gt;"OK",0,IF(S84&lt;&gt;"",0,IF(R84&gt;979,1000,R84)))</f>
        <v>19</v>
      </c>
      <c r="U84" s="7" t="n">
        <f aca="false">T84/10</f>
        <v>1.9</v>
      </c>
    </row>
    <row r="85" customFormat="false" ht="15" hidden="false" customHeight="false" outlineLevel="0" collapsed="false">
      <c r="A85" s="7" t="n">
        <v>80</v>
      </c>
      <c r="B85" s="7" t="n">
        <f aca="false">ROUND(o_SWSTART+A85*(o_SWEND-o_SWSTART)/400,0)</f>
        <v>819</v>
      </c>
      <c r="C85" s="7" t="n">
        <f aca="false">QUOTIENT((B85-c_OFF1)*c_GAIN1,1024)</f>
        <v>819</v>
      </c>
      <c r="D85" s="7" t="n">
        <f aca="false">IF(((c_T1MX)-(c_T1MN))=0,(0)+QUOTIENT(((1000)-(0)),2),QUOTIENT((((C85)-(c_T1MN))*((1000)-(0))+IF(((1000)-(0))&gt;=0,1,-1)*QUOTIENT(((c_T1MX)-(c_T1MN)),2)),((c_T1MX)-(c_T1MN)))+(0)+IF(((1000)-(0))&gt;=0,IF(IF(o_WRAP=1,MOD(((c_T1MX)-(c_T1MN))*(((C85)-(c_T1MN))*((1000)-(0))+IF(((1000)-(0))&gt;=0,1,-1)*QUOTIENT(((c_T1MX)-(c_T1MN)),2))+2147483648,4294967296)-2147483648,((c_T1MX)-(c_T1MN))*(((C85)-(c_T1MN))*((1000)-(0))+IF(((1000)-(0))&gt;=0,1,-1)*QUOTIENT(((c_T1MX)-(c_T1MN)),2)))&lt;0,-1,0),IF(IF(o_WRAP=1,MOD(((c_T1MX)-(c_T1MN))*(((C85)-(c_T1MN))*((1000)-(0))+IF(((1000)-(0))&gt;=0,1,-1)*QUOTIENT(((c_T1MX)-(c_T1MN)),2))+2147483648,4294967296)-2147483648,((c_T1MX)-(c_T1MN))*(((C85)-(c_T1MN))*((1000)-(0))+IF(((1000)-(0))&gt;=0,1,-1)*QUOTIENT(((c_T1MX)-(c_T1MN)),2)))&gt;=0,1,0)))</f>
        <v>38</v>
      </c>
      <c r="E85" s="7" t="n">
        <f aca="false">IF(AND(c_TPOT=1,c_TTYPE=2),1000-D85,D85)</f>
        <v>38</v>
      </c>
      <c r="F85" s="7" t="str">
        <f aca="false">IF(c_TPOT&gt;1,ROUND(IF(c_TTYPE=2,c_T2MX-IF(c_T1MX=c_T1MN,0,(C85-c_T1MN)/(c_T1MX-c_T1MN))*(c_T2MX-c_T2MN),c_T2MN+IF(c_T1MX=c_T1MN,0,(C85-c_T1MN)/(c_T1MX-c_T1MN))*(c_T2MX-c_T2MN))+o_MISMATCH,0),"")</f>
        <v/>
      </c>
      <c r="G85" s="7" t="str">
        <f aca="false">IF(c_TPOT&gt;1,IF(((c_T2MX)-(c_T2MN))=0,(0)+QUOTIENT(((1000)-(0)),2),QUOTIENT((((F85)-(c_T2MN))*((1000)-(0))+IF(((1000)-(0))&gt;=0,1,-1)*QUOTIENT(((c_T2MX)-(c_T2MN)),2)),((c_T2MX)-(c_T2MN)))+(0)+IF(((1000)-(0))&gt;=0,IF(IF(o_WRAP=1,MOD(((c_T2MX)-(c_T2MN))*(((F85)-(c_T2MN))*((1000)-(0))+IF(((1000)-(0))&gt;=0,1,-1)*QUOTIENT(((c_T2MX)-(c_T2MN)),2))+2147483648,4294967296)-2147483648,((c_T2MX)-(c_T2MN))*(((F85)-(c_T2MN))*((1000)-(0))+IF(((1000)-(0))&gt;=0,1,-1)*QUOTIENT(((c_T2MX)-(c_T2MN)),2)))&lt;0,-1,0),IF(IF(o_WRAP=1,MOD(((c_T2MX)-(c_T2MN))*(((F85)-(c_T2MN))*((1000)-(0))+IF(((1000)-(0))&gt;=0,1,-1)*QUOTIENT(((c_T2MX)-(c_T2MN)),2))+2147483648,4294967296)-2147483648,((c_T2MX)-(c_T2MN))*(((F85)-(c_T2MN))*((1000)-(0))+IF(((1000)-(0))&gt;=0,1,-1)*QUOTIENT(((c_T2MX)-(c_T2MN)),2)))&gt;=0,1,0))),"")</f>
        <v/>
      </c>
      <c r="H85" s="7" t="str">
        <f aca="false">IF(E85&gt;1000+k_TOL,"T1 HIGH",IF(E85&lt;0-k_TOL,"T1 LOW",IF(c_TPOT&gt;1,IF(G85&gt;1000+k_TOL,"T2 HIGH",IF(G85&lt;0-k_TOL,"T2 LOW",IF(c_TTYPE=2,IF(ABS(1000-MAX(0,MIN(1000,E85))-MAX(0,MIN(1000,G85)))&gt;k_MAXERR,"MISMATCH","OK"),IF(OR(MAX(0,MIN(1000,E85))-k_MAXERR&gt;MAX(0,MIN(1000,G85)),MAX(0,MIN(1000,G85))-k_MAXERR&gt;MAX(0,MIN(1000,E85))),"MISMATCH","OK")))),"OK")))</f>
        <v>OK</v>
      </c>
      <c r="I85" s="7" t="n">
        <f aca="false">MAX(0,MIN(1000,D85))</f>
        <v>38</v>
      </c>
      <c r="J85" s="7" t="str">
        <f aca="false">IF(c_TPOT&gt;1,IF(c_TTYPE=2,1000-MAX(0,MIN(1000,G85)),MAX(0,MIN(1000,G85))),"")</f>
        <v/>
      </c>
      <c r="K85" s="7" t="n">
        <f aca="false">IF(c_TPOT&gt;1,QUOTIENT(I85+J85,2),I85)</f>
        <v>38</v>
      </c>
      <c r="L85" s="7" t="n">
        <f aca="false">IF(AND(K85=0,c_TCREEP&gt;0),10*c_TCREEP,IF(AND(K85&lt;=c_TRNGMIN,K85&gt;=c_TRNGMAX,c_TRNGMIN-c_TRNGMAX&lt;&gt;0),-10*c_TMINRN+QUOTIENT((c_TMAXRN-c_TMINRN)*(100-QUOTIENT((K85-c_TRNGMAX)*100,c_TRNGMIN-c_TRNGMAX)),-10),0))</f>
        <v>0</v>
      </c>
      <c r="M85" s="7" t="n">
        <f aca="false">IF(((c_TMAP1IN)-(c_TFWD))=0,(0)+QUOTIENT(((c_TMAP1OUT)-(0)),2),QUOTIENT((((K85)-(c_TFWD))*((c_TMAP1OUT)-(0))+IF(((c_TMAP1OUT)-(0))&gt;=0,1,-1)*QUOTIENT(((c_TMAP1IN)-(c_TFWD)),2)),((c_TMAP1IN)-(c_TFWD)))+(0)+IF(((c_TMAP1OUT)-(0))&gt;=0,IF(IF(o_WRAP=1,MOD(((c_TMAP1IN)-(c_TFWD))*(((K85)-(c_TFWD))*((c_TMAP1OUT)-(0))+IF(((c_TMAP1OUT)-(0))&gt;=0,1,-1)*QUOTIENT(((c_TMAP1IN)-(c_TFWD)),2))+2147483648,4294967296)-2147483648,((c_TMAP1IN)-(c_TFWD))*(((K85)-(c_TFWD))*((c_TMAP1OUT)-(0))+IF(((c_TMAP1OUT)-(0))&gt;=0,1,-1)*QUOTIENT(((c_TMAP1IN)-(c_TFWD)),2)))&lt;0,-1,0),IF(IF(o_WRAP=1,MOD(((c_TMAP1IN)-(c_TFWD))*(((K85)-(c_TFWD))*((c_TMAP1OUT)-(0))+IF(((c_TMAP1OUT)-(0))&gt;=0,1,-1)*QUOTIENT(((c_TMAP1IN)-(c_TFWD)),2))+2147483648,4294967296)-2147483648,((c_TMAP1IN)-(c_TFWD))*(((K85)-(c_TFWD))*((c_TMAP1OUT)-(0))+IF(((c_TMAP1OUT)-(0))&gt;=0,1,-1)*QUOTIENT(((c_TMAP1IN)-(c_TFWD)),2)))&gt;=0,1,0)))</f>
        <v>22</v>
      </c>
      <c r="N85" s="7" t="n">
        <f aca="false">IF(((c_TMAP2IN)-(c_TMAP1IN))=0,(c_TMAP1OUT)+QUOTIENT(((c_TMAP2OUT)-(c_TMAP1OUT)),2),QUOTIENT((((K85)-(c_TMAP1IN))*((c_TMAP2OUT)-(c_TMAP1OUT))+IF(((c_TMAP2OUT)-(c_TMAP1OUT))&gt;=0,1,-1)*QUOTIENT(((c_TMAP2IN)-(c_TMAP1IN)),2)),((c_TMAP2IN)-(c_TMAP1IN)))+(c_TMAP1OUT)+IF(((c_TMAP2OUT)-(c_TMAP1OUT))&gt;=0,IF(IF(o_WRAP=1,MOD(((c_TMAP2IN)-(c_TMAP1IN))*(((K85)-(c_TMAP1IN))*((c_TMAP2OUT)-(c_TMAP1OUT))+IF(((c_TMAP2OUT)-(c_TMAP1OUT))&gt;=0,1,-1)*QUOTIENT(((c_TMAP2IN)-(c_TMAP1IN)),2))+2147483648,4294967296)-2147483648,((c_TMAP2IN)-(c_TMAP1IN))*(((K85)-(c_TMAP1IN))*((c_TMAP2OUT)-(c_TMAP1OUT))+IF(((c_TMAP2OUT)-(c_TMAP1OUT))&gt;=0,1,-1)*QUOTIENT(((c_TMAP2IN)-(c_TMAP1IN)),2)))&lt;0,-1,0),IF(IF(o_WRAP=1,MOD(((c_TMAP2IN)-(c_TMAP1IN))*(((K85)-(c_TMAP1IN))*((c_TMAP2OUT)-(c_TMAP1OUT))+IF(((c_TMAP2OUT)-(c_TMAP1OUT))&gt;=0,1,-1)*QUOTIENT(((c_TMAP2IN)-(c_TMAP1IN)),2))+2147483648,4294967296)-2147483648,((c_TMAP2IN)-(c_TMAP1IN))*(((K85)-(c_TMAP1IN))*((c_TMAP2OUT)-(c_TMAP1OUT))+IF(((c_TMAP2OUT)-(c_TMAP1OUT))&gt;=0,1,-1)*QUOTIENT(((c_TMAP2IN)-(c_TMAP1IN)),2)))&gt;=0,1,0)))</f>
        <v>45</v>
      </c>
      <c r="O85" s="7" t="n">
        <f aca="false">IF(((c_TMAP3IN)-(c_TMAP2IN))=0,(c_TMAP2OUT)+QUOTIENT(((c_TMAP3OUT)-(c_TMAP2OUT)),2),QUOTIENT((((K85)-(c_TMAP2IN))*((c_TMAP3OUT)-(c_TMAP2OUT))+IF(((c_TMAP3OUT)-(c_TMAP2OUT))&gt;=0,1,-1)*QUOTIENT(((c_TMAP3IN)-(c_TMAP2IN)),2)),((c_TMAP3IN)-(c_TMAP2IN)))+(c_TMAP2OUT)+IF(((c_TMAP3OUT)-(c_TMAP2OUT))&gt;=0,IF(IF(o_WRAP=1,MOD(((c_TMAP3IN)-(c_TMAP2IN))*(((K85)-(c_TMAP2IN))*((c_TMAP3OUT)-(c_TMAP2OUT))+IF(((c_TMAP3OUT)-(c_TMAP2OUT))&gt;=0,1,-1)*QUOTIENT(((c_TMAP3IN)-(c_TMAP2IN)),2))+2147483648,4294967296)-2147483648,((c_TMAP3IN)-(c_TMAP2IN))*(((K85)-(c_TMAP2IN))*((c_TMAP3OUT)-(c_TMAP2OUT))+IF(((c_TMAP3OUT)-(c_TMAP2OUT))&gt;=0,1,-1)*QUOTIENT(((c_TMAP3IN)-(c_TMAP2IN)),2)))&lt;0,-1,0),IF(IF(o_WRAP=1,MOD(((c_TMAP3IN)-(c_TMAP2IN))*(((K85)-(c_TMAP2IN))*((c_TMAP3OUT)-(c_TMAP2OUT))+IF(((c_TMAP3OUT)-(c_TMAP2OUT))&gt;=0,1,-1)*QUOTIENT(((c_TMAP3IN)-(c_TMAP2IN)),2))+2147483648,4294967296)-2147483648,((c_TMAP3IN)-(c_TMAP2IN))*(((K85)-(c_TMAP2IN))*((c_TMAP3OUT)-(c_TMAP2OUT))+IF(((c_TMAP3OUT)-(c_TMAP2OUT))&gt;=0,1,-1)*QUOTIENT(((c_TMAP3IN)-(c_TMAP2IN)),2)))&gt;=0,1,0)))</f>
        <v>-18</v>
      </c>
      <c r="P85" s="7" t="n">
        <f aca="false">IF(((1000)-(c_TMAP3IN))=0,(c_TMAP3OUT)+QUOTIENT(((1000)-(c_TMAP3OUT)),2),QUOTIENT((((K85)-(c_TMAP3IN))*((1000)-(c_TMAP3OUT))+IF(((1000)-(c_TMAP3OUT))&gt;=0,1,-1)*QUOTIENT(((1000)-(c_TMAP3IN)),2)),((1000)-(c_TMAP3IN)))+(c_TMAP3OUT)+IF(((1000)-(c_TMAP3OUT))&gt;=0,IF(IF(o_WRAP=1,MOD(((1000)-(c_TMAP3IN))*(((K85)-(c_TMAP3IN))*((1000)-(c_TMAP3OUT))+IF(((1000)-(c_TMAP3OUT))&gt;=0,1,-1)*QUOTIENT(((1000)-(c_TMAP3IN)),2))+2147483648,4294967296)-2147483648,((1000)-(c_TMAP3IN))*(((K85)-(c_TMAP3IN))*((1000)-(c_TMAP3OUT))+IF(((1000)-(c_TMAP3OUT))&gt;=0,1,-1)*QUOTIENT(((1000)-(c_TMAP3IN)),2)))&lt;0,-1,0),IF(IF(o_WRAP=1,MOD(((1000)-(c_TMAP3IN))*(((K85)-(c_TMAP3IN))*((1000)-(c_TMAP3OUT))+IF(((1000)-(c_TMAP3OUT))&gt;=0,1,-1)*QUOTIENT(((1000)-(c_TMAP3IN)),2))+2147483648,4294967296)-2147483648,((1000)-(c_TMAP3IN))*(((K85)-(c_TMAP3IN))*((1000)-(c_TMAP3OUT))+IF(((1000)-(c_TMAP3OUT))&gt;=0,1,-1)*QUOTIENT(((1000)-(c_TMAP3IN)),2)))&gt;=0,1,0)))</f>
        <v>-184</v>
      </c>
      <c r="Q85" s="7" t="str">
        <f aca="false">IF(K85&gt;=c_TFWD,IF(AND(K85&gt;=c_TMAP3IN,c_TMAP3IN&lt;1000),"Seg4 map3-100%",IF(AND(K85&gt;=c_TMAP2IN,c_TMAP3IN&gt;c_TMAP2IN),"Seg3 map2-map3",IF(AND(K85&gt;=c_TMAP1IN,c_TMAP2IN&gt;c_TMAP1IN),"Seg2 map1-map2","Seg1 TFWD-map1"))),IF(AND(K85=0,c_TCREEP&gt;0),"Creep",IF(AND(K85&lt;=c_TRNGMIN,K85&gt;=c_TRNGMAX,c_TRNGMIN-c_TRNGMAX&lt;&gt;0),"Regen ramp","Coast (0)")))</f>
        <v>Seg1 TFWD-map1</v>
      </c>
      <c r="R85" s="7" t="n">
        <f aca="false">IF(K85&gt;=c_TFWD,IF(AND(K85&gt;=c_TMAP3IN,c_TMAP3IN&lt;1000),P85,IF(AND(K85&gt;=c_TMAP2IN,c_TMAP3IN&gt;c_TMAP2IN),O85,IF(AND(K85&gt;=c_TMAP1IN,c_TMAP2IN&gt;c_TMAP1IN),N85,M85))),L85)</f>
        <v>22</v>
      </c>
      <c r="S85" s="7" t="str">
        <f aca="false">IF(R85&lt;-1090,"TOO LOW",IF(R85&gt;1090,"TOO HIGH",""))</f>
        <v/>
      </c>
      <c r="T85" s="15" t="n">
        <f aca="false">IF(H85&lt;&gt;"OK",0,IF(S85&lt;&gt;"",0,IF(R85&gt;979,1000,R85)))</f>
        <v>22</v>
      </c>
      <c r="U85" s="7" t="n">
        <f aca="false">T85/10</f>
        <v>2.2</v>
      </c>
    </row>
    <row r="86" customFormat="false" ht="15" hidden="false" customHeight="false" outlineLevel="0" collapsed="false">
      <c r="A86" s="7" t="n">
        <v>81</v>
      </c>
      <c r="B86" s="7" t="n">
        <f aca="false">ROUND(o_SWSTART+A86*(o_SWEND-o_SWSTART)/400,0)</f>
        <v>829</v>
      </c>
      <c r="C86" s="7" t="n">
        <f aca="false">QUOTIENT((B86-c_OFF1)*c_GAIN1,1024)</f>
        <v>829</v>
      </c>
      <c r="D86" s="7" t="n">
        <f aca="false">IF(((c_T1MX)-(c_T1MN))=0,(0)+QUOTIENT(((1000)-(0)),2),QUOTIENT((((C86)-(c_T1MN))*((1000)-(0))+IF(((1000)-(0))&gt;=0,1,-1)*QUOTIENT(((c_T1MX)-(c_T1MN)),2)),((c_T1MX)-(c_T1MN)))+(0)+IF(((1000)-(0))&gt;=0,IF(IF(o_WRAP=1,MOD(((c_T1MX)-(c_T1MN))*(((C86)-(c_T1MN))*((1000)-(0))+IF(((1000)-(0))&gt;=0,1,-1)*QUOTIENT(((c_T1MX)-(c_T1MN)),2))+2147483648,4294967296)-2147483648,((c_T1MX)-(c_T1MN))*(((C86)-(c_T1MN))*((1000)-(0))+IF(((1000)-(0))&gt;=0,1,-1)*QUOTIENT(((c_T1MX)-(c_T1MN)),2)))&lt;0,-1,0),IF(IF(o_WRAP=1,MOD(((c_T1MX)-(c_T1MN))*(((C86)-(c_T1MN))*((1000)-(0))+IF(((1000)-(0))&gt;=0,1,-1)*QUOTIENT(((c_T1MX)-(c_T1MN)),2))+2147483648,4294967296)-2147483648,((c_T1MX)-(c_T1MN))*(((C86)-(c_T1MN))*((1000)-(0))+IF(((1000)-(0))&gt;=0,1,-1)*QUOTIENT(((c_T1MX)-(c_T1MN)),2)))&gt;=0,1,0)))</f>
        <v>41</v>
      </c>
      <c r="E86" s="7" t="n">
        <f aca="false">IF(AND(c_TPOT=1,c_TTYPE=2),1000-D86,D86)</f>
        <v>41</v>
      </c>
      <c r="F86" s="7" t="str">
        <f aca="false">IF(c_TPOT&gt;1,ROUND(IF(c_TTYPE=2,c_T2MX-IF(c_T1MX=c_T1MN,0,(C86-c_T1MN)/(c_T1MX-c_T1MN))*(c_T2MX-c_T2MN),c_T2MN+IF(c_T1MX=c_T1MN,0,(C86-c_T1MN)/(c_T1MX-c_T1MN))*(c_T2MX-c_T2MN))+o_MISMATCH,0),"")</f>
        <v/>
      </c>
      <c r="G86" s="7" t="str">
        <f aca="false">IF(c_TPOT&gt;1,IF(((c_T2MX)-(c_T2MN))=0,(0)+QUOTIENT(((1000)-(0)),2),QUOTIENT((((F86)-(c_T2MN))*((1000)-(0))+IF(((1000)-(0))&gt;=0,1,-1)*QUOTIENT(((c_T2MX)-(c_T2MN)),2)),((c_T2MX)-(c_T2MN)))+(0)+IF(((1000)-(0))&gt;=0,IF(IF(o_WRAP=1,MOD(((c_T2MX)-(c_T2MN))*(((F86)-(c_T2MN))*((1000)-(0))+IF(((1000)-(0))&gt;=0,1,-1)*QUOTIENT(((c_T2MX)-(c_T2MN)),2))+2147483648,4294967296)-2147483648,((c_T2MX)-(c_T2MN))*(((F86)-(c_T2MN))*((1000)-(0))+IF(((1000)-(0))&gt;=0,1,-1)*QUOTIENT(((c_T2MX)-(c_T2MN)),2)))&lt;0,-1,0),IF(IF(o_WRAP=1,MOD(((c_T2MX)-(c_T2MN))*(((F86)-(c_T2MN))*((1000)-(0))+IF(((1000)-(0))&gt;=0,1,-1)*QUOTIENT(((c_T2MX)-(c_T2MN)),2))+2147483648,4294967296)-2147483648,((c_T2MX)-(c_T2MN))*(((F86)-(c_T2MN))*((1000)-(0))+IF(((1000)-(0))&gt;=0,1,-1)*QUOTIENT(((c_T2MX)-(c_T2MN)),2)))&gt;=0,1,0))),"")</f>
        <v/>
      </c>
      <c r="H86" s="7" t="str">
        <f aca="false">IF(E86&gt;1000+k_TOL,"T1 HIGH",IF(E86&lt;0-k_TOL,"T1 LOW",IF(c_TPOT&gt;1,IF(G86&gt;1000+k_TOL,"T2 HIGH",IF(G86&lt;0-k_TOL,"T2 LOW",IF(c_TTYPE=2,IF(ABS(1000-MAX(0,MIN(1000,E86))-MAX(0,MIN(1000,G86)))&gt;k_MAXERR,"MISMATCH","OK"),IF(OR(MAX(0,MIN(1000,E86))-k_MAXERR&gt;MAX(0,MIN(1000,G86)),MAX(0,MIN(1000,G86))-k_MAXERR&gt;MAX(0,MIN(1000,E86))),"MISMATCH","OK")))),"OK")))</f>
        <v>OK</v>
      </c>
      <c r="I86" s="7" t="n">
        <f aca="false">MAX(0,MIN(1000,D86))</f>
        <v>41</v>
      </c>
      <c r="J86" s="7" t="str">
        <f aca="false">IF(c_TPOT&gt;1,IF(c_TTYPE=2,1000-MAX(0,MIN(1000,G86)),MAX(0,MIN(1000,G86))),"")</f>
        <v/>
      </c>
      <c r="K86" s="7" t="n">
        <f aca="false">IF(c_TPOT&gt;1,QUOTIENT(I86+J86,2),I86)</f>
        <v>41</v>
      </c>
      <c r="L86" s="7" t="n">
        <f aca="false">IF(AND(K86=0,c_TCREEP&gt;0),10*c_TCREEP,IF(AND(K86&lt;=c_TRNGMIN,K86&gt;=c_TRNGMAX,c_TRNGMIN-c_TRNGMAX&lt;&gt;0),-10*c_TMINRN+QUOTIENT((c_TMAXRN-c_TMINRN)*(100-QUOTIENT((K86-c_TRNGMAX)*100,c_TRNGMIN-c_TRNGMAX)),-10),0))</f>
        <v>0</v>
      </c>
      <c r="M86" s="7" t="n">
        <f aca="false">IF(((c_TMAP1IN)-(c_TFWD))=0,(0)+QUOTIENT(((c_TMAP1OUT)-(0)),2),QUOTIENT((((K86)-(c_TFWD))*((c_TMAP1OUT)-(0))+IF(((c_TMAP1OUT)-(0))&gt;=0,1,-1)*QUOTIENT(((c_TMAP1IN)-(c_TFWD)),2)),((c_TMAP1IN)-(c_TFWD)))+(0)+IF(((c_TMAP1OUT)-(0))&gt;=0,IF(IF(o_WRAP=1,MOD(((c_TMAP1IN)-(c_TFWD))*(((K86)-(c_TFWD))*((c_TMAP1OUT)-(0))+IF(((c_TMAP1OUT)-(0))&gt;=0,1,-1)*QUOTIENT(((c_TMAP1IN)-(c_TFWD)),2))+2147483648,4294967296)-2147483648,((c_TMAP1IN)-(c_TFWD))*(((K86)-(c_TFWD))*((c_TMAP1OUT)-(0))+IF(((c_TMAP1OUT)-(0))&gt;=0,1,-1)*QUOTIENT(((c_TMAP1IN)-(c_TFWD)),2)))&lt;0,-1,0),IF(IF(o_WRAP=1,MOD(((c_TMAP1IN)-(c_TFWD))*(((K86)-(c_TFWD))*((c_TMAP1OUT)-(0))+IF(((c_TMAP1OUT)-(0))&gt;=0,1,-1)*QUOTIENT(((c_TMAP1IN)-(c_TFWD)),2))+2147483648,4294967296)-2147483648,((c_TMAP1IN)-(c_TFWD))*(((K86)-(c_TFWD))*((c_TMAP1OUT)-(0))+IF(((c_TMAP1OUT)-(0))&gt;=0,1,-1)*QUOTIENT(((c_TMAP1IN)-(c_TFWD)),2)))&gt;=0,1,0)))</f>
        <v>24</v>
      </c>
      <c r="N86" s="7" t="n">
        <f aca="false">IF(((c_TMAP2IN)-(c_TMAP1IN))=0,(c_TMAP1OUT)+QUOTIENT(((c_TMAP2OUT)-(c_TMAP1OUT)),2),QUOTIENT((((K86)-(c_TMAP1IN))*((c_TMAP2OUT)-(c_TMAP1OUT))+IF(((c_TMAP2OUT)-(c_TMAP1OUT))&gt;=0,1,-1)*QUOTIENT(((c_TMAP2IN)-(c_TMAP1IN)),2)),((c_TMAP2IN)-(c_TMAP1IN)))+(c_TMAP1OUT)+IF(((c_TMAP2OUT)-(c_TMAP1OUT))&gt;=0,IF(IF(o_WRAP=1,MOD(((c_TMAP2IN)-(c_TMAP1IN))*(((K86)-(c_TMAP1IN))*((c_TMAP2OUT)-(c_TMAP1OUT))+IF(((c_TMAP2OUT)-(c_TMAP1OUT))&gt;=0,1,-1)*QUOTIENT(((c_TMAP2IN)-(c_TMAP1IN)),2))+2147483648,4294967296)-2147483648,((c_TMAP2IN)-(c_TMAP1IN))*(((K86)-(c_TMAP1IN))*((c_TMAP2OUT)-(c_TMAP1OUT))+IF(((c_TMAP2OUT)-(c_TMAP1OUT))&gt;=0,1,-1)*QUOTIENT(((c_TMAP2IN)-(c_TMAP1IN)),2)))&lt;0,-1,0),IF(IF(o_WRAP=1,MOD(((c_TMAP2IN)-(c_TMAP1IN))*(((K86)-(c_TMAP1IN))*((c_TMAP2OUT)-(c_TMAP1OUT))+IF(((c_TMAP2OUT)-(c_TMAP1OUT))&gt;=0,1,-1)*QUOTIENT(((c_TMAP2IN)-(c_TMAP1IN)),2))+2147483648,4294967296)-2147483648,((c_TMAP2IN)-(c_TMAP1IN))*(((K86)-(c_TMAP1IN))*((c_TMAP2OUT)-(c_TMAP1OUT))+IF(((c_TMAP2OUT)-(c_TMAP1OUT))&gt;=0,1,-1)*QUOTIENT(((c_TMAP2IN)-(c_TMAP1IN)),2)))&gt;=0,1,0)))</f>
        <v>46</v>
      </c>
      <c r="O86" s="7" t="n">
        <f aca="false">IF(((c_TMAP3IN)-(c_TMAP2IN))=0,(c_TMAP2OUT)+QUOTIENT(((c_TMAP3OUT)-(c_TMAP2OUT)),2),QUOTIENT((((K86)-(c_TMAP2IN))*((c_TMAP3OUT)-(c_TMAP2OUT))+IF(((c_TMAP3OUT)-(c_TMAP2OUT))&gt;=0,1,-1)*QUOTIENT(((c_TMAP3IN)-(c_TMAP2IN)),2)),((c_TMAP3IN)-(c_TMAP2IN)))+(c_TMAP2OUT)+IF(((c_TMAP3OUT)-(c_TMAP2OUT))&gt;=0,IF(IF(o_WRAP=1,MOD(((c_TMAP3IN)-(c_TMAP2IN))*(((K86)-(c_TMAP2IN))*((c_TMAP3OUT)-(c_TMAP2OUT))+IF(((c_TMAP3OUT)-(c_TMAP2OUT))&gt;=0,1,-1)*QUOTIENT(((c_TMAP3IN)-(c_TMAP2IN)),2))+2147483648,4294967296)-2147483648,((c_TMAP3IN)-(c_TMAP2IN))*(((K86)-(c_TMAP2IN))*((c_TMAP3OUT)-(c_TMAP2OUT))+IF(((c_TMAP3OUT)-(c_TMAP2OUT))&gt;=0,1,-1)*QUOTIENT(((c_TMAP3IN)-(c_TMAP2IN)),2)))&lt;0,-1,0),IF(IF(o_WRAP=1,MOD(((c_TMAP3IN)-(c_TMAP2IN))*(((K86)-(c_TMAP2IN))*((c_TMAP3OUT)-(c_TMAP2OUT))+IF(((c_TMAP3OUT)-(c_TMAP2OUT))&gt;=0,1,-1)*QUOTIENT(((c_TMAP3IN)-(c_TMAP2IN)),2))+2147483648,4294967296)-2147483648,((c_TMAP3IN)-(c_TMAP2IN))*(((K86)-(c_TMAP2IN))*((c_TMAP3OUT)-(c_TMAP2OUT))+IF(((c_TMAP3OUT)-(c_TMAP2OUT))&gt;=0,1,-1)*QUOTIENT(((c_TMAP3IN)-(c_TMAP2IN)),2)))&gt;=0,1,0)))</f>
        <v>-16</v>
      </c>
      <c r="P86" s="7" t="n">
        <f aca="false">IF(((1000)-(c_TMAP3IN))=0,(c_TMAP3OUT)+QUOTIENT(((1000)-(c_TMAP3OUT)),2),QUOTIENT((((K86)-(c_TMAP3IN))*((1000)-(c_TMAP3OUT))+IF(((1000)-(c_TMAP3OUT))&gt;=0,1,-1)*QUOTIENT(((1000)-(c_TMAP3IN)),2)),((1000)-(c_TMAP3IN)))+(c_TMAP3OUT)+IF(((1000)-(c_TMAP3OUT))&gt;=0,IF(IF(o_WRAP=1,MOD(((1000)-(c_TMAP3IN))*(((K86)-(c_TMAP3IN))*((1000)-(c_TMAP3OUT))+IF(((1000)-(c_TMAP3OUT))&gt;=0,1,-1)*QUOTIENT(((1000)-(c_TMAP3IN)),2))+2147483648,4294967296)-2147483648,((1000)-(c_TMAP3IN))*(((K86)-(c_TMAP3IN))*((1000)-(c_TMAP3OUT))+IF(((1000)-(c_TMAP3OUT))&gt;=0,1,-1)*QUOTIENT(((1000)-(c_TMAP3IN)),2)))&lt;0,-1,0),IF(IF(o_WRAP=1,MOD(((1000)-(c_TMAP3IN))*(((K86)-(c_TMAP3IN))*((1000)-(c_TMAP3OUT))+IF(((1000)-(c_TMAP3OUT))&gt;=0,1,-1)*QUOTIENT(((1000)-(c_TMAP3IN)),2))+2147483648,4294967296)-2147483648,((1000)-(c_TMAP3IN))*(((K86)-(c_TMAP3IN))*((1000)-(c_TMAP3OUT))+IF(((1000)-(c_TMAP3OUT))&gt;=0,1,-1)*QUOTIENT(((1000)-(c_TMAP3IN)),2)))&gt;=0,1,0)))</f>
        <v>-180</v>
      </c>
      <c r="Q86" s="7" t="str">
        <f aca="false">IF(K86&gt;=c_TFWD,IF(AND(K86&gt;=c_TMAP3IN,c_TMAP3IN&lt;1000),"Seg4 map3-100%",IF(AND(K86&gt;=c_TMAP2IN,c_TMAP3IN&gt;c_TMAP2IN),"Seg3 map2-map3",IF(AND(K86&gt;=c_TMAP1IN,c_TMAP2IN&gt;c_TMAP1IN),"Seg2 map1-map2","Seg1 TFWD-map1"))),IF(AND(K86=0,c_TCREEP&gt;0),"Creep",IF(AND(K86&lt;=c_TRNGMIN,K86&gt;=c_TRNGMAX,c_TRNGMIN-c_TRNGMAX&lt;&gt;0),"Regen ramp","Coast (0)")))</f>
        <v>Seg1 TFWD-map1</v>
      </c>
      <c r="R86" s="7" t="n">
        <f aca="false">IF(K86&gt;=c_TFWD,IF(AND(K86&gt;=c_TMAP3IN,c_TMAP3IN&lt;1000),P86,IF(AND(K86&gt;=c_TMAP2IN,c_TMAP3IN&gt;c_TMAP2IN),O86,IF(AND(K86&gt;=c_TMAP1IN,c_TMAP2IN&gt;c_TMAP1IN),N86,M86))),L86)</f>
        <v>24</v>
      </c>
      <c r="S86" s="7" t="str">
        <f aca="false">IF(R86&lt;-1090,"TOO LOW",IF(R86&gt;1090,"TOO HIGH",""))</f>
        <v/>
      </c>
      <c r="T86" s="15" t="n">
        <f aca="false">IF(H86&lt;&gt;"OK",0,IF(S86&lt;&gt;"",0,IF(R86&gt;979,1000,R86)))</f>
        <v>24</v>
      </c>
      <c r="U86" s="7" t="n">
        <f aca="false">T86/10</f>
        <v>2.4</v>
      </c>
    </row>
    <row r="87" customFormat="false" ht="15" hidden="false" customHeight="false" outlineLevel="0" collapsed="false">
      <c r="A87" s="7" t="n">
        <v>82</v>
      </c>
      <c r="B87" s="7" t="n">
        <f aca="false">ROUND(o_SWSTART+A87*(o_SWEND-o_SWSTART)/400,0)</f>
        <v>839</v>
      </c>
      <c r="C87" s="7" t="n">
        <f aca="false">QUOTIENT((B87-c_OFF1)*c_GAIN1,1024)</f>
        <v>839</v>
      </c>
      <c r="D87" s="7" t="n">
        <f aca="false">IF(((c_T1MX)-(c_T1MN))=0,(0)+QUOTIENT(((1000)-(0)),2),QUOTIENT((((C87)-(c_T1MN))*((1000)-(0))+IF(((1000)-(0))&gt;=0,1,-1)*QUOTIENT(((c_T1MX)-(c_T1MN)),2)),((c_T1MX)-(c_T1MN)))+(0)+IF(((1000)-(0))&gt;=0,IF(IF(o_WRAP=1,MOD(((c_T1MX)-(c_T1MN))*(((C87)-(c_T1MN))*((1000)-(0))+IF(((1000)-(0))&gt;=0,1,-1)*QUOTIENT(((c_T1MX)-(c_T1MN)),2))+2147483648,4294967296)-2147483648,((c_T1MX)-(c_T1MN))*(((C87)-(c_T1MN))*((1000)-(0))+IF(((1000)-(0))&gt;=0,1,-1)*QUOTIENT(((c_T1MX)-(c_T1MN)),2)))&lt;0,-1,0),IF(IF(o_WRAP=1,MOD(((c_T1MX)-(c_T1MN))*(((C87)-(c_T1MN))*((1000)-(0))+IF(((1000)-(0))&gt;=0,1,-1)*QUOTIENT(((c_T1MX)-(c_T1MN)),2))+2147483648,4294967296)-2147483648,((c_T1MX)-(c_T1MN))*(((C87)-(c_T1MN))*((1000)-(0))+IF(((1000)-(0))&gt;=0,1,-1)*QUOTIENT(((c_T1MX)-(c_T1MN)),2)))&gt;=0,1,0)))</f>
        <v>45</v>
      </c>
      <c r="E87" s="7" t="n">
        <f aca="false">IF(AND(c_TPOT=1,c_TTYPE=2),1000-D87,D87)</f>
        <v>45</v>
      </c>
      <c r="F87" s="7" t="str">
        <f aca="false">IF(c_TPOT&gt;1,ROUND(IF(c_TTYPE=2,c_T2MX-IF(c_T1MX=c_T1MN,0,(C87-c_T1MN)/(c_T1MX-c_T1MN))*(c_T2MX-c_T2MN),c_T2MN+IF(c_T1MX=c_T1MN,0,(C87-c_T1MN)/(c_T1MX-c_T1MN))*(c_T2MX-c_T2MN))+o_MISMATCH,0),"")</f>
        <v/>
      </c>
      <c r="G87" s="7" t="str">
        <f aca="false">IF(c_TPOT&gt;1,IF(((c_T2MX)-(c_T2MN))=0,(0)+QUOTIENT(((1000)-(0)),2),QUOTIENT((((F87)-(c_T2MN))*((1000)-(0))+IF(((1000)-(0))&gt;=0,1,-1)*QUOTIENT(((c_T2MX)-(c_T2MN)),2)),((c_T2MX)-(c_T2MN)))+(0)+IF(((1000)-(0))&gt;=0,IF(IF(o_WRAP=1,MOD(((c_T2MX)-(c_T2MN))*(((F87)-(c_T2MN))*((1000)-(0))+IF(((1000)-(0))&gt;=0,1,-1)*QUOTIENT(((c_T2MX)-(c_T2MN)),2))+2147483648,4294967296)-2147483648,((c_T2MX)-(c_T2MN))*(((F87)-(c_T2MN))*((1000)-(0))+IF(((1000)-(0))&gt;=0,1,-1)*QUOTIENT(((c_T2MX)-(c_T2MN)),2)))&lt;0,-1,0),IF(IF(o_WRAP=1,MOD(((c_T2MX)-(c_T2MN))*(((F87)-(c_T2MN))*((1000)-(0))+IF(((1000)-(0))&gt;=0,1,-1)*QUOTIENT(((c_T2MX)-(c_T2MN)),2))+2147483648,4294967296)-2147483648,((c_T2MX)-(c_T2MN))*(((F87)-(c_T2MN))*((1000)-(0))+IF(((1000)-(0))&gt;=0,1,-1)*QUOTIENT(((c_T2MX)-(c_T2MN)),2)))&gt;=0,1,0))),"")</f>
        <v/>
      </c>
      <c r="H87" s="7" t="str">
        <f aca="false">IF(E87&gt;1000+k_TOL,"T1 HIGH",IF(E87&lt;0-k_TOL,"T1 LOW",IF(c_TPOT&gt;1,IF(G87&gt;1000+k_TOL,"T2 HIGH",IF(G87&lt;0-k_TOL,"T2 LOW",IF(c_TTYPE=2,IF(ABS(1000-MAX(0,MIN(1000,E87))-MAX(0,MIN(1000,G87)))&gt;k_MAXERR,"MISMATCH","OK"),IF(OR(MAX(0,MIN(1000,E87))-k_MAXERR&gt;MAX(0,MIN(1000,G87)),MAX(0,MIN(1000,G87))-k_MAXERR&gt;MAX(0,MIN(1000,E87))),"MISMATCH","OK")))),"OK")))</f>
        <v>OK</v>
      </c>
      <c r="I87" s="7" t="n">
        <f aca="false">MAX(0,MIN(1000,D87))</f>
        <v>45</v>
      </c>
      <c r="J87" s="7" t="str">
        <f aca="false">IF(c_TPOT&gt;1,IF(c_TTYPE=2,1000-MAX(0,MIN(1000,G87)),MAX(0,MIN(1000,G87))),"")</f>
        <v/>
      </c>
      <c r="K87" s="7" t="n">
        <f aca="false">IF(c_TPOT&gt;1,QUOTIENT(I87+J87,2),I87)</f>
        <v>45</v>
      </c>
      <c r="L87" s="7" t="n">
        <f aca="false">IF(AND(K87=0,c_TCREEP&gt;0),10*c_TCREEP,IF(AND(K87&lt;=c_TRNGMIN,K87&gt;=c_TRNGMAX,c_TRNGMIN-c_TRNGMAX&lt;&gt;0),-10*c_TMINRN+QUOTIENT((c_TMAXRN-c_TMINRN)*(100-QUOTIENT((K87-c_TRNGMAX)*100,c_TRNGMIN-c_TRNGMAX)),-10),0))</f>
        <v>0</v>
      </c>
      <c r="M87" s="7" t="n">
        <f aca="false">IF(((c_TMAP1IN)-(c_TFWD))=0,(0)+QUOTIENT(((c_TMAP1OUT)-(0)),2),QUOTIENT((((K87)-(c_TFWD))*((c_TMAP1OUT)-(0))+IF(((c_TMAP1OUT)-(0))&gt;=0,1,-1)*QUOTIENT(((c_TMAP1IN)-(c_TFWD)),2)),((c_TMAP1IN)-(c_TFWD)))+(0)+IF(((c_TMAP1OUT)-(0))&gt;=0,IF(IF(o_WRAP=1,MOD(((c_TMAP1IN)-(c_TFWD))*(((K87)-(c_TFWD))*((c_TMAP1OUT)-(0))+IF(((c_TMAP1OUT)-(0))&gt;=0,1,-1)*QUOTIENT(((c_TMAP1IN)-(c_TFWD)),2))+2147483648,4294967296)-2147483648,((c_TMAP1IN)-(c_TFWD))*(((K87)-(c_TFWD))*((c_TMAP1OUT)-(0))+IF(((c_TMAP1OUT)-(0))&gt;=0,1,-1)*QUOTIENT(((c_TMAP1IN)-(c_TFWD)),2)))&lt;0,-1,0),IF(IF(o_WRAP=1,MOD(((c_TMAP1IN)-(c_TFWD))*(((K87)-(c_TFWD))*((c_TMAP1OUT)-(0))+IF(((c_TMAP1OUT)-(0))&gt;=0,1,-1)*QUOTIENT(((c_TMAP1IN)-(c_TFWD)),2))+2147483648,4294967296)-2147483648,((c_TMAP1IN)-(c_TFWD))*(((K87)-(c_TFWD))*((c_TMAP1OUT)-(0))+IF(((c_TMAP1OUT)-(0))&gt;=0,1,-1)*QUOTIENT(((c_TMAP1IN)-(c_TFWD)),2)))&gt;=0,1,0)))</f>
        <v>27</v>
      </c>
      <c r="N87" s="7" t="n">
        <f aca="false">IF(((c_TMAP2IN)-(c_TMAP1IN))=0,(c_TMAP1OUT)+QUOTIENT(((c_TMAP2OUT)-(c_TMAP1OUT)),2),QUOTIENT((((K87)-(c_TMAP1IN))*((c_TMAP2OUT)-(c_TMAP1OUT))+IF(((c_TMAP2OUT)-(c_TMAP1OUT))&gt;=0,1,-1)*QUOTIENT(((c_TMAP2IN)-(c_TMAP1IN)),2)),((c_TMAP2IN)-(c_TMAP1IN)))+(c_TMAP1OUT)+IF(((c_TMAP2OUT)-(c_TMAP1OUT))&gt;=0,IF(IF(o_WRAP=1,MOD(((c_TMAP2IN)-(c_TMAP1IN))*(((K87)-(c_TMAP1IN))*((c_TMAP2OUT)-(c_TMAP1OUT))+IF(((c_TMAP2OUT)-(c_TMAP1OUT))&gt;=0,1,-1)*QUOTIENT(((c_TMAP2IN)-(c_TMAP1IN)),2))+2147483648,4294967296)-2147483648,((c_TMAP2IN)-(c_TMAP1IN))*(((K87)-(c_TMAP1IN))*((c_TMAP2OUT)-(c_TMAP1OUT))+IF(((c_TMAP2OUT)-(c_TMAP1OUT))&gt;=0,1,-1)*QUOTIENT(((c_TMAP2IN)-(c_TMAP1IN)),2)))&lt;0,-1,0),IF(IF(o_WRAP=1,MOD(((c_TMAP2IN)-(c_TMAP1IN))*(((K87)-(c_TMAP1IN))*((c_TMAP2OUT)-(c_TMAP1OUT))+IF(((c_TMAP2OUT)-(c_TMAP1OUT))&gt;=0,1,-1)*QUOTIENT(((c_TMAP2IN)-(c_TMAP1IN)),2))+2147483648,4294967296)-2147483648,((c_TMAP2IN)-(c_TMAP1IN))*(((K87)-(c_TMAP1IN))*((c_TMAP2OUT)-(c_TMAP1OUT))+IF(((c_TMAP2OUT)-(c_TMAP1OUT))&gt;=0,1,-1)*QUOTIENT(((c_TMAP2IN)-(c_TMAP1IN)),2)))&gt;=0,1,0)))</f>
        <v>48</v>
      </c>
      <c r="O87" s="7" t="n">
        <f aca="false">IF(((c_TMAP3IN)-(c_TMAP2IN))=0,(c_TMAP2OUT)+QUOTIENT(((c_TMAP3OUT)-(c_TMAP2OUT)),2),QUOTIENT((((K87)-(c_TMAP2IN))*((c_TMAP3OUT)-(c_TMAP2OUT))+IF(((c_TMAP3OUT)-(c_TMAP2OUT))&gt;=0,1,-1)*QUOTIENT(((c_TMAP3IN)-(c_TMAP2IN)),2)),((c_TMAP3IN)-(c_TMAP2IN)))+(c_TMAP2OUT)+IF(((c_TMAP3OUT)-(c_TMAP2OUT))&gt;=0,IF(IF(o_WRAP=1,MOD(((c_TMAP3IN)-(c_TMAP2IN))*(((K87)-(c_TMAP2IN))*((c_TMAP3OUT)-(c_TMAP2OUT))+IF(((c_TMAP3OUT)-(c_TMAP2OUT))&gt;=0,1,-1)*QUOTIENT(((c_TMAP3IN)-(c_TMAP2IN)),2))+2147483648,4294967296)-2147483648,((c_TMAP3IN)-(c_TMAP2IN))*(((K87)-(c_TMAP2IN))*((c_TMAP3OUT)-(c_TMAP2OUT))+IF(((c_TMAP3OUT)-(c_TMAP2OUT))&gt;=0,1,-1)*QUOTIENT(((c_TMAP3IN)-(c_TMAP2IN)),2)))&lt;0,-1,0),IF(IF(o_WRAP=1,MOD(((c_TMAP3IN)-(c_TMAP2IN))*(((K87)-(c_TMAP2IN))*((c_TMAP3OUT)-(c_TMAP2OUT))+IF(((c_TMAP3OUT)-(c_TMAP2OUT))&gt;=0,1,-1)*QUOTIENT(((c_TMAP3IN)-(c_TMAP2IN)),2))+2147483648,4294967296)-2147483648,((c_TMAP3IN)-(c_TMAP2IN))*(((K87)-(c_TMAP2IN))*((c_TMAP3OUT)-(c_TMAP2OUT))+IF(((c_TMAP3OUT)-(c_TMAP2OUT))&gt;=0,1,-1)*QUOTIENT(((c_TMAP3IN)-(c_TMAP2IN)),2)))&gt;=0,1,0)))</f>
        <v>-14</v>
      </c>
      <c r="P87" s="7" t="n">
        <f aca="false">IF(((1000)-(c_TMAP3IN))=0,(c_TMAP3OUT)+QUOTIENT(((1000)-(c_TMAP3OUT)),2),QUOTIENT((((K87)-(c_TMAP3IN))*((1000)-(c_TMAP3OUT))+IF(((1000)-(c_TMAP3OUT))&gt;=0,1,-1)*QUOTIENT(((1000)-(c_TMAP3IN)),2)),((1000)-(c_TMAP3IN)))+(c_TMAP3OUT)+IF(((1000)-(c_TMAP3OUT))&gt;=0,IF(IF(o_WRAP=1,MOD(((1000)-(c_TMAP3IN))*(((K87)-(c_TMAP3IN))*((1000)-(c_TMAP3OUT))+IF(((1000)-(c_TMAP3OUT))&gt;=0,1,-1)*QUOTIENT(((1000)-(c_TMAP3IN)),2))+2147483648,4294967296)-2147483648,((1000)-(c_TMAP3IN))*(((K87)-(c_TMAP3IN))*((1000)-(c_TMAP3OUT))+IF(((1000)-(c_TMAP3OUT))&gt;=0,1,-1)*QUOTIENT(((1000)-(c_TMAP3IN)),2)))&lt;0,-1,0),IF(IF(o_WRAP=1,MOD(((1000)-(c_TMAP3IN))*(((K87)-(c_TMAP3IN))*((1000)-(c_TMAP3OUT))+IF(((1000)-(c_TMAP3OUT))&gt;=0,1,-1)*QUOTIENT(((1000)-(c_TMAP3IN)),2))+2147483648,4294967296)-2147483648,((1000)-(c_TMAP3IN))*(((K87)-(c_TMAP3IN))*((1000)-(c_TMAP3OUT))+IF(((1000)-(c_TMAP3OUT))&gt;=0,1,-1)*QUOTIENT(((1000)-(c_TMAP3IN)),2)))&gt;=0,1,0)))</f>
        <v>-175</v>
      </c>
      <c r="Q87" s="7" t="str">
        <f aca="false">IF(K87&gt;=c_TFWD,IF(AND(K87&gt;=c_TMAP3IN,c_TMAP3IN&lt;1000),"Seg4 map3-100%",IF(AND(K87&gt;=c_TMAP2IN,c_TMAP3IN&gt;c_TMAP2IN),"Seg3 map2-map3",IF(AND(K87&gt;=c_TMAP1IN,c_TMAP2IN&gt;c_TMAP1IN),"Seg2 map1-map2","Seg1 TFWD-map1"))),IF(AND(K87=0,c_TCREEP&gt;0),"Creep",IF(AND(K87&lt;=c_TRNGMIN,K87&gt;=c_TRNGMAX,c_TRNGMIN-c_TRNGMAX&lt;&gt;0),"Regen ramp","Coast (0)")))</f>
        <v>Seg1 TFWD-map1</v>
      </c>
      <c r="R87" s="7" t="n">
        <f aca="false">IF(K87&gt;=c_TFWD,IF(AND(K87&gt;=c_TMAP3IN,c_TMAP3IN&lt;1000),P87,IF(AND(K87&gt;=c_TMAP2IN,c_TMAP3IN&gt;c_TMAP2IN),O87,IF(AND(K87&gt;=c_TMAP1IN,c_TMAP2IN&gt;c_TMAP1IN),N87,M87))),L87)</f>
        <v>27</v>
      </c>
      <c r="S87" s="7" t="str">
        <f aca="false">IF(R87&lt;-1090,"TOO LOW",IF(R87&gt;1090,"TOO HIGH",""))</f>
        <v/>
      </c>
      <c r="T87" s="15" t="n">
        <f aca="false">IF(H87&lt;&gt;"OK",0,IF(S87&lt;&gt;"",0,IF(R87&gt;979,1000,R87)))</f>
        <v>27</v>
      </c>
      <c r="U87" s="7" t="n">
        <f aca="false">T87/10</f>
        <v>2.7</v>
      </c>
    </row>
    <row r="88" customFormat="false" ht="15" hidden="false" customHeight="false" outlineLevel="0" collapsed="false">
      <c r="A88" s="7" t="n">
        <v>83</v>
      </c>
      <c r="B88" s="7" t="n">
        <f aca="false">ROUND(o_SWSTART+A88*(o_SWEND-o_SWSTART)/400,0)</f>
        <v>850</v>
      </c>
      <c r="C88" s="7" t="n">
        <f aca="false">QUOTIENT((B88-c_OFF1)*c_GAIN1,1024)</f>
        <v>850</v>
      </c>
      <c r="D88" s="7" t="n">
        <f aca="false">IF(((c_T1MX)-(c_T1MN))=0,(0)+QUOTIENT(((1000)-(0)),2),QUOTIENT((((C88)-(c_T1MN))*((1000)-(0))+IF(((1000)-(0))&gt;=0,1,-1)*QUOTIENT(((c_T1MX)-(c_T1MN)),2)),((c_T1MX)-(c_T1MN)))+(0)+IF(((1000)-(0))&gt;=0,IF(IF(o_WRAP=1,MOD(((c_T1MX)-(c_T1MN))*(((C88)-(c_T1MN))*((1000)-(0))+IF(((1000)-(0))&gt;=0,1,-1)*QUOTIENT(((c_T1MX)-(c_T1MN)),2))+2147483648,4294967296)-2147483648,((c_T1MX)-(c_T1MN))*(((C88)-(c_T1MN))*((1000)-(0))+IF(((1000)-(0))&gt;=0,1,-1)*QUOTIENT(((c_T1MX)-(c_T1MN)),2)))&lt;0,-1,0),IF(IF(o_WRAP=1,MOD(((c_T1MX)-(c_T1MN))*(((C88)-(c_T1MN))*((1000)-(0))+IF(((1000)-(0))&gt;=0,1,-1)*QUOTIENT(((c_T1MX)-(c_T1MN)),2))+2147483648,4294967296)-2147483648,((c_T1MX)-(c_T1MN))*(((C88)-(c_T1MN))*((1000)-(0))+IF(((1000)-(0))&gt;=0,1,-1)*QUOTIENT(((c_T1MX)-(c_T1MN)),2)))&gt;=0,1,0)))</f>
        <v>49</v>
      </c>
      <c r="E88" s="7" t="n">
        <f aca="false">IF(AND(c_TPOT=1,c_TTYPE=2),1000-D88,D88)</f>
        <v>49</v>
      </c>
      <c r="F88" s="7" t="str">
        <f aca="false">IF(c_TPOT&gt;1,ROUND(IF(c_TTYPE=2,c_T2MX-IF(c_T1MX=c_T1MN,0,(C88-c_T1MN)/(c_T1MX-c_T1MN))*(c_T2MX-c_T2MN),c_T2MN+IF(c_T1MX=c_T1MN,0,(C88-c_T1MN)/(c_T1MX-c_T1MN))*(c_T2MX-c_T2MN))+o_MISMATCH,0),"")</f>
        <v/>
      </c>
      <c r="G88" s="7" t="str">
        <f aca="false">IF(c_TPOT&gt;1,IF(((c_T2MX)-(c_T2MN))=0,(0)+QUOTIENT(((1000)-(0)),2),QUOTIENT((((F88)-(c_T2MN))*((1000)-(0))+IF(((1000)-(0))&gt;=0,1,-1)*QUOTIENT(((c_T2MX)-(c_T2MN)),2)),((c_T2MX)-(c_T2MN)))+(0)+IF(((1000)-(0))&gt;=0,IF(IF(o_WRAP=1,MOD(((c_T2MX)-(c_T2MN))*(((F88)-(c_T2MN))*((1000)-(0))+IF(((1000)-(0))&gt;=0,1,-1)*QUOTIENT(((c_T2MX)-(c_T2MN)),2))+2147483648,4294967296)-2147483648,((c_T2MX)-(c_T2MN))*(((F88)-(c_T2MN))*((1000)-(0))+IF(((1000)-(0))&gt;=0,1,-1)*QUOTIENT(((c_T2MX)-(c_T2MN)),2)))&lt;0,-1,0),IF(IF(o_WRAP=1,MOD(((c_T2MX)-(c_T2MN))*(((F88)-(c_T2MN))*((1000)-(0))+IF(((1000)-(0))&gt;=0,1,-1)*QUOTIENT(((c_T2MX)-(c_T2MN)),2))+2147483648,4294967296)-2147483648,((c_T2MX)-(c_T2MN))*(((F88)-(c_T2MN))*((1000)-(0))+IF(((1000)-(0))&gt;=0,1,-1)*QUOTIENT(((c_T2MX)-(c_T2MN)),2)))&gt;=0,1,0))),"")</f>
        <v/>
      </c>
      <c r="H88" s="7" t="str">
        <f aca="false">IF(E88&gt;1000+k_TOL,"T1 HIGH",IF(E88&lt;0-k_TOL,"T1 LOW",IF(c_TPOT&gt;1,IF(G88&gt;1000+k_TOL,"T2 HIGH",IF(G88&lt;0-k_TOL,"T2 LOW",IF(c_TTYPE=2,IF(ABS(1000-MAX(0,MIN(1000,E88))-MAX(0,MIN(1000,G88)))&gt;k_MAXERR,"MISMATCH","OK"),IF(OR(MAX(0,MIN(1000,E88))-k_MAXERR&gt;MAX(0,MIN(1000,G88)),MAX(0,MIN(1000,G88))-k_MAXERR&gt;MAX(0,MIN(1000,E88))),"MISMATCH","OK")))),"OK")))</f>
        <v>OK</v>
      </c>
      <c r="I88" s="7" t="n">
        <f aca="false">MAX(0,MIN(1000,D88))</f>
        <v>49</v>
      </c>
      <c r="J88" s="7" t="str">
        <f aca="false">IF(c_TPOT&gt;1,IF(c_TTYPE=2,1000-MAX(0,MIN(1000,G88)),MAX(0,MIN(1000,G88))),"")</f>
        <v/>
      </c>
      <c r="K88" s="7" t="n">
        <f aca="false">IF(c_TPOT&gt;1,QUOTIENT(I88+J88,2),I88)</f>
        <v>49</v>
      </c>
      <c r="L88" s="7" t="n">
        <f aca="false">IF(AND(K88=0,c_TCREEP&gt;0),10*c_TCREEP,IF(AND(K88&lt;=c_TRNGMIN,K88&gt;=c_TRNGMAX,c_TRNGMIN-c_TRNGMAX&lt;&gt;0),-10*c_TMINRN+QUOTIENT((c_TMAXRN-c_TMINRN)*(100-QUOTIENT((K88-c_TRNGMAX)*100,c_TRNGMIN-c_TRNGMAX)),-10),0))</f>
        <v>0</v>
      </c>
      <c r="M88" s="7" t="n">
        <f aca="false">IF(((c_TMAP1IN)-(c_TFWD))=0,(0)+QUOTIENT(((c_TMAP1OUT)-(0)),2),QUOTIENT((((K88)-(c_TFWD))*((c_TMAP1OUT)-(0))+IF(((c_TMAP1OUT)-(0))&gt;=0,1,-1)*QUOTIENT(((c_TMAP1IN)-(c_TFWD)),2)),((c_TMAP1IN)-(c_TFWD)))+(0)+IF(((c_TMAP1OUT)-(0))&gt;=0,IF(IF(o_WRAP=1,MOD(((c_TMAP1IN)-(c_TFWD))*(((K88)-(c_TFWD))*((c_TMAP1OUT)-(0))+IF(((c_TMAP1OUT)-(0))&gt;=0,1,-1)*QUOTIENT(((c_TMAP1IN)-(c_TFWD)),2))+2147483648,4294967296)-2147483648,((c_TMAP1IN)-(c_TFWD))*(((K88)-(c_TFWD))*((c_TMAP1OUT)-(0))+IF(((c_TMAP1OUT)-(0))&gt;=0,1,-1)*QUOTIENT(((c_TMAP1IN)-(c_TFWD)),2)))&lt;0,-1,0),IF(IF(o_WRAP=1,MOD(((c_TMAP1IN)-(c_TFWD))*(((K88)-(c_TFWD))*((c_TMAP1OUT)-(0))+IF(((c_TMAP1OUT)-(0))&gt;=0,1,-1)*QUOTIENT(((c_TMAP1IN)-(c_TFWD)),2))+2147483648,4294967296)-2147483648,((c_TMAP1IN)-(c_TFWD))*(((K88)-(c_TFWD))*((c_TMAP1OUT)-(0))+IF(((c_TMAP1OUT)-(0))&gt;=0,1,-1)*QUOTIENT(((c_TMAP1IN)-(c_TFWD)),2)))&gt;=0,1,0)))</f>
        <v>30</v>
      </c>
      <c r="N88" s="7" t="n">
        <f aca="false">IF(((c_TMAP2IN)-(c_TMAP1IN))=0,(c_TMAP1OUT)+QUOTIENT(((c_TMAP2OUT)-(c_TMAP1OUT)),2),QUOTIENT((((K88)-(c_TMAP1IN))*((c_TMAP2OUT)-(c_TMAP1OUT))+IF(((c_TMAP2OUT)-(c_TMAP1OUT))&gt;=0,1,-1)*QUOTIENT(((c_TMAP2IN)-(c_TMAP1IN)),2)),((c_TMAP2IN)-(c_TMAP1IN)))+(c_TMAP1OUT)+IF(((c_TMAP2OUT)-(c_TMAP1OUT))&gt;=0,IF(IF(o_WRAP=1,MOD(((c_TMAP2IN)-(c_TMAP1IN))*(((K88)-(c_TMAP1IN))*((c_TMAP2OUT)-(c_TMAP1OUT))+IF(((c_TMAP2OUT)-(c_TMAP1OUT))&gt;=0,1,-1)*QUOTIENT(((c_TMAP2IN)-(c_TMAP1IN)),2))+2147483648,4294967296)-2147483648,((c_TMAP2IN)-(c_TMAP1IN))*(((K88)-(c_TMAP1IN))*((c_TMAP2OUT)-(c_TMAP1OUT))+IF(((c_TMAP2OUT)-(c_TMAP1OUT))&gt;=0,1,-1)*QUOTIENT(((c_TMAP2IN)-(c_TMAP1IN)),2)))&lt;0,-1,0),IF(IF(o_WRAP=1,MOD(((c_TMAP2IN)-(c_TMAP1IN))*(((K88)-(c_TMAP1IN))*((c_TMAP2OUT)-(c_TMAP1OUT))+IF(((c_TMAP2OUT)-(c_TMAP1OUT))&gt;=0,1,-1)*QUOTIENT(((c_TMAP2IN)-(c_TMAP1IN)),2))+2147483648,4294967296)-2147483648,((c_TMAP2IN)-(c_TMAP1IN))*(((K88)-(c_TMAP1IN))*((c_TMAP2OUT)-(c_TMAP1OUT))+IF(((c_TMAP2OUT)-(c_TMAP1OUT))&gt;=0,1,-1)*QUOTIENT(((c_TMAP2IN)-(c_TMAP1IN)),2)))&gt;=0,1,0)))</f>
        <v>50</v>
      </c>
      <c r="O88" s="7" t="n">
        <f aca="false">IF(((c_TMAP3IN)-(c_TMAP2IN))=0,(c_TMAP2OUT)+QUOTIENT(((c_TMAP3OUT)-(c_TMAP2OUT)),2),QUOTIENT((((K88)-(c_TMAP2IN))*((c_TMAP3OUT)-(c_TMAP2OUT))+IF(((c_TMAP3OUT)-(c_TMAP2OUT))&gt;=0,1,-1)*QUOTIENT(((c_TMAP3IN)-(c_TMAP2IN)),2)),((c_TMAP3IN)-(c_TMAP2IN)))+(c_TMAP2OUT)+IF(((c_TMAP3OUT)-(c_TMAP2OUT))&gt;=0,IF(IF(o_WRAP=1,MOD(((c_TMAP3IN)-(c_TMAP2IN))*(((K88)-(c_TMAP2IN))*((c_TMAP3OUT)-(c_TMAP2OUT))+IF(((c_TMAP3OUT)-(c_TMAP2OUT))&gt;=0,1,-1)*QUOTIENT(((c_TMAP3IN)-(c_TMAP2IN)),2))+2147483648,4294967296)-2147483648,((c_TMAP3IN)-(c_TMAP2IN))*(((K88)-(c_TMAP2IN))*((c_TMAP3OUT)-(c_TMAP2OUT))+IF(((c_TMAP3OUT)-(c_TMAP2OUT))&gt;=0,1,-1)*QUOTIENT(((c_TMAP3IN)-(c_TMAP2IN)),2)))&lt;0,-1,0),IF(IF(o_WRAP=1,MOD(((c_TMAP3IN)-(c_TMAP2IN))*(((K88)-(c_TMAP2IN))*((c_TMAP3OUT)-(c_TMAP2OUT))+IF(((c_TMAP3OUT)-(c_TMAP2OUT))&gt;=0,1,-1)*QUOTIENT(((c_TMAP3IN)-(c_TMAP2IN)),2))+2147483648,4294967296)-2147483648,((c_TMAP3IN)-(c_TMAP2IN))*(((K88)-(c_TMAP2IN))*((c_TMAP3OUT)-(c_TMAP2OUT))+IF(((c_TMAP3OUT)-(c_TMAP2OUT))&gt;=0,1,-1)*QUOTIENT(((c_TMAP3IN)-(c_TMAP2IN)),2)))&gt;=0,1,0)))</f>
        <v>-11</v>
      </c>
      <c r="P88" s="7" t="n">
        <f aca="false">IF(((1000)-(c_TMAP3IN))=0,(c_TMAP3OUT)+QUOTIENT(((1000)-(c_TMAP3OUT)),2),QUOTIENT((((K88)-(c_TMAP3IN))*((1000)-(c_TMAP3OUT))+IF(((1000)-(c_TMAP3OUT))&gt;=0,1,-1)*QUOTIENT(((1000)-(c_TMAP3IN)),2)),((1000)-(c_TMAP3IN)))+(c_TMAP3OUT)+IF(((1000)-(c_TMAP3OUT))&gt;=0,IF(IF(o_WRAP=1,MOD(((1000)-(c_TMAP3IN))*(((K88)-(c_TMAP3IN))*((1000)-(c_TMAP3OUT))+IF(((1000)-(c_TMAP3OUT))&gt;=0,1,-1)*QUOTIENT(((1000)-(c_TMAP3IN)),2))+2147483648,4294967296)-2147483648,((1000)-(c_TMAP3IN))*(((K88)-(c_TMAP3IN))*((1000)-(c_TMAP3OUT))+IF(((1000)-(c_TMAP3OUT))&gt;=0,1,-1)*QUOTIENT(((1000)-(c_TMAP3IN)),2)))&lt;0,-1,0),IF(IF(o_WRAP=1,MOD(((1000)-(c_TMAP3IN))*(((K88)-(c_TMAP3IN))*((1000)-(c_TMAP3OUT))+IF(((1000)-(c_TMAP3OUT))&gt;=0,1,-1)*QUOTIENT(((1000)-(c_TMAP3IN)),2))+2147483648,4294967296)-2147483648,((1000)-(c_TMAP3IN))*(((K88)-(c_TMAP3IN))*((1000)-(c_TMAP3OUT))+IF(((1000)-(c_TMAP3OUT))&gt;=0,1,-1)*QUOTIENT(((1000)-(c_TMAP3IN)),2)))&gt;=0,1,0)))</f>
        <v>-170</v>
      </c>
      <c r="Q88" s="7" t="str">
        <f aca="false">IF(K88&gt;=c_TFWD,IF(AND(K88&gt;=c_TMAP3IN,c_TMAP3IN&lt;1000),"Seg4 map3-100%",IF(AND(K88&gt;=c_TMAP2IN,c_TMAP3IN&gt;c_TMAP2IN),"Seg3 map2-map3",IF(AND(K88&gt;=c_TMAP1IN,c_TMAP2IN&gt;c_TMAP1IN),"Seg2 map1-map2","Seg1 TFWD-map1"))),IF(AND(K88=0,c_TCREEP&gt;0),"Creep",IF(AND(K88&lt;=c_TRNGMIN,K88&gt;=c_TRNGMAX,c_TRNGMIN-c_TRNGMAX&lt;&gt;0),"Regen ramp","Coast (0)")))</f>
        <v>Seg1 TFWD-map1</v>
      </c>
      <c r="R88" s="7" t="n">
        <f aca="false">IF(K88&gt;=c_TFWD,IF(AND(K88&gt;=c_TMAP3IN,c_TMAP3IN&lt;1000),P88,IF(AND(K88&gt;=c_TMAP2IN,c_TMAP3IN&gt;c_TMAP2IN),O88,IF(AND(K88&gt;=c_TMAP1IN,c_TMAP2IN&gt;c_TMAP1IN),N88,M88))),L88)</f>
        <v>30</v>
      </c>
      <c r="S88" s="7" t="str">
        <f aca="false">IF(R88&lt;-1090,"TOO LOW",IF(R88&gt;1090,"TOO HIGH",""))</f>
        <v/>
      </c>
      <c r="T88" s="15" t="n">
        <f aca="false">IF(H88&lt;&gt;"OK",0,IF(S88&lt;&gt;"",0,IF(R88&gt;979,1000,R88)))</f>
        <v>30</v>
      </c>
      <c r="U88" s="7" t="n">
        <f aca="false">T88/10</f>
        <v>3</v>
      </c>
    </row>
    <row r="89" customFormat="false" ht="15" hidden="false" customHeight="false" outlineLevel="0" collapsed="false">
      <c r="A89" s="7" t="n">
        <v>84</v>
      </c>
      <c r="B89" s="7" t="n">
        <f aca="false">ROUND(o_SWSTART+A89*(o_SWEND-o_SWSTART)/400,0)</f>
        <v>860</v>
      </c>
      <c r="C89" s="7" t="n">
        <f aca="false">QUOTIENT((B89-c_OFF1)*c_GAIN1,1024)</f>
        <v>860</v>
      </c>
      <c r="D89" s="7" t="n">
        <f aca="false">IF(((c_T1MX)-(c_T1MN))=0,(0)+QUOTIENT(((1000)-(0)),2),QUOTIENT((((C89)-(c_T1MN))*((1000)-(0))+IF(((1000)-(0))&gt;=0,1,-1)*QUOTIENT(((c_T1MX)-(c_T1MN)),2)),((c_T1MX)-(c_T1MN)))+(0)+IF(((1000)-(0))&gt;=0,IF(IF(o_WRAP=1,MOD(((c_T1MX)-(c_T1MN))*(((C89)-(c_T1MN))*((1000)-(0))+IF(((1000)-(0))&gt;=0,1,-1)*QUOTIENT(((c_T1MX)-(c_T1MN)),2))+2147483648,4294967296)-2147483648,((c_T1MX)-(c_T1MN))*(((C89)-(c_T1MN))*((1000)-(0))+IF(((1000)-(0))&gt;=0,1,-1)*QUOTIENT(((c_T1MX)-(c_T1MN)),2)))&lt;0,-1,0),IF(IF(o_WRAP=1,MOD(((c_T1MX)-(c_T1MN))*(((C89)-(c_T1MN))*((1000)-(0))+IF(((1000)-(0))&gt;=0,1,-1)*QUOTIENT(((c_T1MX)-(c_T1MN)),2))+2147483648,4294967296)-2147483648,((c_T1MX)-(c_T1MN))*(((C89)-(c_T1MN))*((1000)-(0))+IF(((1000)-(0))&gt;=0,1,-1)*QUOTIENT(((c_T1MX)-(c_T1MN)),2)))&gt;=0,1,0)))</f>
        <v>52</v>
      </c>
      <c r="E89" s="7" t="n">
        <f aca="false">IF(AND(c_TPOT=1,c_TTYPE=2),1000-D89,D89)</f>
        <v>52</v>
      </c>
      <c r="F89" s="7" t="str">
        <f aca="false">IF(c_TPOT&gt;1,ROUND(IF(c_TTYPE=2,c_T2MX-IF(c_T1MX=c_T1MN,0,(C89-c_T1MN)/(c_T1MX-c_T1MN))*(c_T2MX-c_T2MN),c_T2MN+IF(c_T1MX=c_T1MN,0,(C89-c_T1MN)/(c_T1MX-c_T1MN))*(c_T2MX-c_T2MN))+o_MISMATCH,0),"")</f>
        <v/>
      </c>
      <c r="G89" s="7" t="str">
        <f aca="false">IF(c_TPOT&gt;1,IF(((c_T2MX)-(c_T2MN))=0,(0)+QUOTIENT(((1000)-(0)),2),QUOTIENT((((F89)-(c_T2MN))*((1000)-(0))+IF(((1000)-(0))&gt;=0,1,-1)*QUOTIENT(((c_T2MX)-(c_T2MN)),2)),((c_T2MX)-(c_T2MN)))+(0)+IF(((1000)-(0))&gt;=0,IF(IF(o_WRAP=1,MOD(((c_T2MX)-(c_T2MN))*(((F89)-(c_T2MN))*((1000)-(0))+IF(((1000)-(0))&gt;=0,1,-1)*QUOTIENT(((c_T2MX)-(c_T2MN)),2))+2147483648,4294967296)-2147483648,((c_T2MX)-(c_T2MN))*(((F89)-(c_T2MN))*((1000)-(0))+IF(((1000)-(0))&gt;=0,1,-1)*QUOTIENT(((c_T2MX)-(c_T2MN)),2)))&lt;0,-1,0),IF(IF(o_WRAP=1,MOD(((c_T2MX)-(c_T2MN))*(((F89)-(c_T2MN))*((1000)-(0))+IF(((1000)-(0))&gt;=0,1,-1)*QUOTIENT(((c_T2MX)-(c_T2MN)),2))+2147483648,4294967296)-2147483648,((c_T2MX)-(c_T2MN))*(((F89)-(c_T2MN))*((1000)-(0))+IF(((1000)-(0))&gt;=0,1,-1)*QUOTIENT(((c_T2MX)-(c_T2MN)),2)))&gt;=0,1,0))),"")</f>
        <v/>
      </c>
      <c r="H89" s="7" t="str">
        <f aca="false">IF(E89&gt;1000+k_TOL,"T1 HIGH",IF(E89&lt;0-k_TOL,"T1 LOW",IF(c_TPOT&gt;1,IF(G89&gt;1000+k_TOL,"T2 HIGH",IF(G89&lt;0-k_TOL,"T2 LOW",IF(c_TTYPE=2,IF(ABS(1000-MAX(0,MIN(1000,E89))-MAX(0,MIN(1000,G89)))&gt;k_MAXERR,"MISMATCH","OK"),IF(OR(MAX(0,MIN(1000,E89))-k_MAXERR&gt;MAX(0,MIN(1000,G89)),MAX(0,MIN(1000,G89))-k_MAXERR&gt;MAX(0,MIN(1000,E89))),"MISMATCH","OK")))),"OK")))</f>
        <v>OK</v>
      </c>
      <c r="I89" s="7" t="n">
        <f aca="false">MAX(0,MIN(1000,D89))</f>
        <v>52</v>
      </c>
      <c r="J89" s="7" t="str">
        <f aca="false">IF(c_TPOT&gt;1,IF(c_TTYPE=2,1000-MAX(0,MIN(1000,G89)),MAX(0,MIN(1000,G89))),"")</f>
        <v/>
      </c>
      <c r="K89" s="7" t="n">
        <f aca="false">IF(c_TPOT&gt;1,QUOTIENT(I89+J89,2),I89)</f>
        <v>52</v>
      </c>
      <c r="L89" s="7" t="n">
        <f aca="false">IF(AND(K89=0,c_TCREEP&gt;0),10*c_TCREEP,IF(AND(K89&lt;=c_TRNGMIN,K89&gt;=c_TRNGMAX,c_TRNGMIN-c_TRNGMAX&lt;&gt;0),-10*c_TMINRN+QUOTIENT((c_TMAXRN-c_TMINRN)*(100-QUOTIENT((K89-c_TRNGMAX)*100,c_TRNGMIN-c_TRNGMAX)),-10),0))</f>
        <v>0</v>
      </c>
      <c r="M89" s="7" t="n">
        <f aca="false">IF(((c_TMAP1IN)-(c_TFWD))=0,(0)+QUOTIENT(((c_TMAP1OUT)-(0)),2),QUOTIENT((((K89)-(c_TFWD))*((c_TMAP1OUT)-(0))+IF(((c_TMAP1OUT)-(0))&gt;=0,1,-1)*QUOTIENT(((c_TMAP1IN)-(c_TFWD)),2)),((c_TMAP1IN)-(c_TFWD)))+(0)+IF(((c_TMAP1OUT)-(0))&gt;=0,IF(IF(o_WRAP=1,MOD(((c_TMAP1IN)-(c_TFWD))*(((K89)-(c_TFWD))*((c_TMAP1OUT)-(0))+IF(((c_TMAP1OUT)-(0))&gt;=0,1,-1)*QUOTIENT(((c_TMAP1IN)-(c_TFWD)),2))+2147483648,4294967296)-2147483648,((c_TMAP1IN)-(c_TFWD))*(((K89)-(c_TFWD))*((c_TMAP1OUT)-(0))+IF(((c_TMAP1OUT)-(0))&gt;=0,1,-1)*QUOTIENT(((c_TMAP1IN)-(c_TFWD)),2)))&lt;0,-1,0),IF(IF(o_WRAP=1,MOD(((c_TMAP1IN)-(c_TFWD))*(((K89)-(c_TFWD))*((c_TMAP1OUT)-(0))+IF(((c_TMAP1OUT)-(0))&gt;=0,1,-1)*QUOTIENT(((c_TMAP1IN)-(c_TFWD)),2))+2147483648,4294967296)-2147483648,((c_TMAP1IN)-(c_TFWD))*(((K89)-(c_TFWD))*((c_TMAP1OUT)-(0))+IF(((c_TMAP1OUT)-(0))&gt;=0,1,-1)*QUOTIENT(((c_TMAP1IN)-(c_TFWD)),2)))&gt;=0,1,0)))</f>
        <v>33</v>
      </c>
      <c r="N89" s="7" t="n">
        <f aca="false">IF(((c_TMAP2IN)-(c_TMAP1IN))=0,(c_TMAP1OUT)+QUOTIENT(((c_TMAP2OUT)-(c_TMAP1OUT)),2),QUOTIENT((((K89)-(c_TMAP1IN))*((c_TMAP2OUT)-(c_TMAP1OUT))+IF(((c_TMAP2OUT)-(c_TMAP1OUT))&gt;=0,1,-1)*QUOTIENT(((c_TMAP2IN)-(c_TMAP1IN)),2)),((c_TMAP2IN)-(c_TMAP1IN)))+(c_TMAP1OUT)+IF(((c_TMAP2OUT)-(c_TMAP1OUT))&gt;=0,IF(IF(o_WRAP=1,MOD(((c_TMAP2IN)-(c_TMAP1IN))*(((K89)-(c_TMAP1IN))*((c_TMAP2OUT)-(c_TMAP1OUT))+IF(((c_TMAP2OUT)-(c_TMAP1OUT))&gt;=0,1,-1)*QUOTIENT(((c_TMAP2IN)-(c_TMAP1IN)),2))+2147483648,4294967296)-2147483648,((c_TMAP2IN)-(c_TMAP1IN))*(((K89)-(c_TMAP1IN))*((c_TMAP2OUT)-(c_TMAP1OUT))+IF(((c_TMAP2OUT)-(c_TMAP1OUT))&gt;=0,1,-1)*QUOTIENT(((c_TMAP2IN)-(c_TMAP1IN)),2)))&lt;0,-1,0),IF(IF(o_WRAP=1,MOD(((c_TMAP2IN)-(c_TMAP1IN))*(((K89)-(c_TMAP1IN))*((c_TMAP2OUT)-(c_TMAP1OUT))+IF(((c_TMAP2OUT)-(c_TMAP1OUT))&gt;=0,1,-1)*QUOTIENT(((c_TMAP2IN)-(c_TMAP1IN)),2))+2147483648,4294967296)-2147483648,((c_TMAP2IN)-(c_TMAP1IN))*(((K89)-(c_TMAP1IN))*((c_TMAP2OUT)-(c_TMAP1OUT))+IF(((c_TMAP2OUT)-(c_TMAP1OUT))&gt;=0,1,-1)*QUOTIENT(((c_TMAP2IN)-(c_TMAP1IN)),2)))&gt;=0,1,0)))</f>
        <v>51</v>
      </c>
      <c r="O89" s="7" t="n">
        <f aca="false">IF(((c_TMAP3IN)-(c_TMAP2IN))=0,(c_TMAP2OUT)+QUOTIENT(((c_TMAP3OUT)-(c_TMAP2OUT)),2),QUOTIENT((((K89)-(c_TMAP2IN))*((c_TMAP3OUT)-(c_TMAP2OUT))+IF(((c_TMAP3OUT)-(c_TMAP2OUT))&gt;=0,1,-1)*QUOTIENT(((c_TMAP3IN)-(c_TMAP2IN)),2)),((c_TMAP3IN)-(c_TMAP2IN)))+(c_TMAP2OUT)+IF(((c_TMAP3OUT)-(c_TMAP2OUT))&gt;=0,IF(IF(o_WRAP=1,MOD(((c_TMAP3IN)-(c_TMAP2IN))*(((K89)-(c_TMAP2IN))*((c_TMAP3OUT)-(c_TMAP2OUT))+IF(((c_TMAP3OUT)-(c_TMAP2OUT))&gt;=0,1,-1)*QUOTIENT(((c_TMAP3IN)-(c_TMAP2IN)),2))+2147483648,4294967296)-2147483648,((c_TMAP3IN)-(c_TMAP2IN))*(((K89)-(c_TMAP2IN))*((c_TMAP3OUT)-(c_TMAP2OUT))+IF(((c_TMAP3OUT)-(c_TMAP2OUT))&gt;=0,1,-1)*QUOTIENT(((c_TMAP3IN)-(c_TMAP2IN)),2)))&lt;0,-1,0),IF(IF(o_WRAP=1,MOD(((c_TMAP3IN)-(c_TMAP2IN))*(((K89)-(c_TMAP2IN))*((c_TMAP3OUT)-(c_TMAP2OUT))+IF(((c_TMAP3OUT)-(c_TMAP2OUT))&gt;=0,1,-1)*QUOTIENT(((c_TMAP3IN)-(c_TMAP2IN)),2))+2147483648,4294967296)-2147483648,((c_TMAP3IN)-(c_TMAP2IN))*(((K89)-(c_TMAP2IN))*((c_TMAP3OUT)-(c_TMAP2OUT))+IF(((c_TMAP3OUT)-(c_TMAP2OUT))&gt;=0,1,-1)*QUOTIENT(((c_TMAP3IN)-(c_TMAP2IN)),2)))&gt;=0,1,0)))</f>
        <v>-9</v>
      </c>
      <c r="P89" s="7" t="n">
        <f aca="false">IF(((1000)-(c_TMAP3IN))=0,(c_TMAP3OUT)+QUOTIENT(((1000)-(c_TMAP3OUT)),2),QUOTIENT((((K89)-(c_TMAP3IN))*((1000)-(c_TMAP3OUT))+IF(((1000)-(c_TMAP3OUT))&gt;=0,1,-1)*QUOTIENT(((1000)-(c_TMAP3IN)),2)),((1000)-(c_TMAP3IN)))+(c_TMAP3OUT)+IF(((1000)-(c_TMAP3OUT))&gt;=0,IF(IF(o_WRAP=1,MOD(((1000)-(c_TMAP3IN))*(((K89)-(c_TMAP3IN))*((1000)-(c_TMAP3OUT))+IF(((1000)-(c_TMAP3OUT))&gt;=0,1,-1)*QUOTIENT(((1000)-(c_TMAP3IN)),2))+2147483648,4294967296)-2147483648,((1000)-(c_TMAP3IN))*(((K89)-(c_TMAP3IN))*((1000)-(c_TMAP3OUT))+IF(((1000)-(c_TMAP3OUT))&gt;=0,1,-1)*QUOTIENT(((1000)-(c_TMAP3IN)),2)))&lt;0,-1,0),IF(IF(o_WRAP=1,MOD(((1000)-(c_TMAP3IN))*(((K89)-(c_TMAP3IN))*((1000)-(c_TMAP3OUT))+IF(((1000)-(c_TMAP3OUT))&gt;=0,1,-1)*QUOTIENT(((1000)-(c_TMAP3IN)),2))+2147483648,4294967296)-2147483648,((1000)-(c_TMAP3IN))*(((K89)-(c_TMAP3IN))*((1000)-(c_TMAP3OUT))+IF(((1000)-(c_TMAP3OUT))&gt;=0,1,-1)*QUOTIENT(((1000)-(c_TMAP3IN)),2)))&gt;=0,1,0)))</f>
        <v>-167</v>
      </c>
      <c r="Q89" s="7" t="str">
        <f aca="false">IF(K89&gt;=c_TFWD,IF(AND(K89&gt;=c_TMAP3IN,c_TMAP3IN&lt;1000),"Seg4 map3-100%",IF(AND(K89&gt;=c_TMAP2IN,c_TMAP3IN&gt;c_TMAP2IN),"Seg3 map2-map3",IF(AND(K89&gt;=c_TMAP1IN,c_TMAP2IN&gt;c_TMAP1IN),"Seg2 map1-map2","Seg1 TFWD-map1"))),IF(AND(K89=0,c_TCREEP&gt;0),"Creep",IF(AND(K89&lt;=c_TRNGMIN,K89&gt;=c_TRNGMAX,c_TRNGMIN-c_TRNGMAX&lt;&gt;0),"Regen ramp","Coast (0)")))</f>
        <v>Seg1 TFWD-map1</v>
      </c>
      <c r="R89" s="7" t="n">
        <f aca="false">IF(K89&gt;=c_TFWD,IF(AND(K89&gt;=c_TMAP3IN,c_TMAP3IN&lt;1000),P89,IF(AND(K89&gt;=c_TMAP2IN,c_TMAP3IN&gt;c_TMAP2IN),O89,IF(AND(K89&gt;=c_TMAP1IN,c_TMAP2IN&gt;c_TMAP1IN),N89,M89))),L89)</f>
        <v>33</v>
      </c>
      <c r="S89" s="7" t="str">
        <f aca="false">IF(R89&lt;-1090,"TOO LOW",IF(R89&gt;1090,"TOO HIGH",""))</f>
        <v/>
      </c>
      <c r="T89" s="15" t="n">
        <f aca="false">IF(H89&lt;&gt;"OK",0,IF(S89&lt;&gt;"",0,IF(R89&gt;979,1000,R89)))</f>
        <v>33</v>
      </c>
      <c r="U89" s="7" t="n">
        <f aca="false">T89/10</f>
        <v>3.3</v>
      </c>
    </row>
    <row r="90" customFormat="false" ht="15" hidden="false" customHeight="false" outlineLevel="0" collapsed="false">
      <c r="A90" s="7" t="n">
        <v>85</v>
      </c>
      <c r="B90" s="7" t="n">
        <f aca="false">ROUND(o_SWSTART+A90*(o_SWEND-o_SWSTART)/400,0)</f>
        <v>870</v>
      </c>
      <c r="C90" s="7" t="n">
        <f aca="false">QUOTIENT((B90-c_OFF1)*c_GAIN1,1024)</f>
        <v>870</v>
      </c>
      <c r="D90" s="7" t="n">
        <f aca="false">IF(((c_T1MX)-(c_T1MN))=0,(0)+QUOTIENT(((1000)-(0)),2),QUOTIENT((((C90)-(c_T1MN))*((1000)-(0))+IF(((1000)-(0))&gt;=0,1,-1)*QUOTIENT(((c_T1MX)-(c_T1MN)),2)),((c_T1MX)-(c_T1MN)))+(0)+IF(((1000)-(0))&gt;=0,IF(IF(o_WRAP=1,MOD(((c_T1MX)-(c_T1MN))*(((C90)-(c_T1MN))*((1000)-(0))+IF(((1000)-(0))&gt;=0,1,-1)*QUOTIENT(((c_T1MX)-(c_T1MN)),2))+2147483648,4294967296)-2147483648,((c_T1MX)-(c_T1MN))*(((C90)-(c_T1MN))*((1000)-(0))+IF(((1000)-(0))&gt;=0,1,-1)*QUOTIENT(((c_T1MX)-(c_T1MN)),2)))&lt;0,-1,0),IF(IF(o_WRAP=1,MOD(((c_T1MX)-(c_T1MN))*(((C90)-(c_T1MN))*((1000)-(0))+IF(((1000)-(0))&gt;=0,1,-1)*QUOTIENT(((c_T1MX)-(c_T1MN)),2))+2147483648,4294967296)-2147483648,((c_T1MX)-(c_T1MN))*(((C90)-(c_T1MN))*((1000)-(0))+IF(((1000)-(0))&gt;=0,1,-1)*QUOTIENT(((c_T1MX)-(c_T1MN)),2)))&gt;=0,1,0)))</f>
        <v>56</v>
      </c>
      <c r="E90" s="7" t="n">
        <f aca="false">IF(AND(c_TPOT=1,c_TTYPE=2),1000-D90,D90)</f>
        <v>56</v>
      </c>
      <c r="F90" s="7" t="str">
        <f aca="false">IF(c_TPOT&gt;1,ROUND(IF(c_TTYPE=2,c_T2MX-IF(c_T1MX=c_T1MN,0,(C90-c_T1MN)/(c_T1MX-c_T1MN))*(c_T2MX-c_T2MN),c_T2MN+IF(c_T1MX=c_T1MN,0,(C90-c_T1MN)/(c_T1MX-c_T1MN))*(c_T2MX-c_T2MN))+o_MISMATCH,0),"")</f>
        <v/>
      </c>
      <c r="G90" s="7" t="str">
        <f aca="false">IF(c_TPOT&gt;1,IF(((c_T2MX)-(c_T2MN))=0,(0)+QUOTIENT(((1000)-(0)),2),QUOTIENT((((F90)-(c_T2MN))*((1000)-(0))+IF(((1000)-(0))&gt;=0,1,-1)*QUOTIENT(((c_T2MX)-(c_T2MN)),2)),((c_T2MX)-(c_T2MN)))+(0)+IF(((1000)-(0))&gt;=0,IF(IF(o_WRAP=1,MOD(((c_T2MX)-(c_T2MN))*(((F90)-(c_T2MN))*((1000)-(0))+IF(((1000)-(0))&gt;=0,1,-1)*QUOTIENT(((c_T2MX)-(c_T2MN)),2))+2147483648,4294967296)-2147483648,((c_T2MX)-(c_T2MN))*(((F90)-(c_T2MN))*((1000)-(0))+IF(((1000)-(0))&gt;=0,1,-1)*QUOTIENT(((c_T2MX)-(c_T2MN)),2)))&lt;0,-1,0),IF(IF(o_WRAP=1,MOD(((c_T2MX)-(c_T2MN))*(((F90)-(c_T2MN))*((1000)-(0))+IF(((1000)-(0))&gt;=0,1,-1)*QUOTIENT(((c_T2MX)-(c_T2MN)),2))+2147483648,4294967296)-2147483648,((c_T2MX)-(c_T2MN))*(((F90)-(c_T2MN))*((1000)-(0))+IF(((1000)-(0))&gt;=0,1,-1)*QUOTIENT(((c_T2MX)-(c_T2MN)),2)))&gt;=0,1,0))),"")</f>
        <v/>
      </c>
      <c r="H90" s="7" t="str">
        <f aca="false">IF(E90&gt;1000+k_TOL,"T1 HIGH",IF(E90&lt;0-k_TOL,"T1 LOW",IF(c_TPOT&gt;1,IF(G90&gt;1000+k_TOL,"T2 HIGH",IF(G90&lt;0-k_TOL,"T2 LOW",IF(c_TTYPE=2,IF(ABS(1000-MAX(0,MIN(1000,E90))-MAX(0,MIN(1000,G90)))&gt;k_MAXERR,"MISMATCH","OK"),IF(OR(MAX(0,MIN(1000,E90))-k_MAXERR&gt;MAX(0,MIN(1000,G90)),MAX(0,MIN(1000,G90))-k_MAXERR&gt;MAX(0,MIN(1000,E90))),"MISMATCH","OK")))),"OK")))</f>
        <v>OK</v>
      </c>
      <c r="I90" s="7" t="n">
        <f aca="false">MAX(0,MIN(1000,D90))</f>
        <v>56</v>
      </c>
      <c r="J90" s="7" t="str">
        <f aca="false">IF(c_TPOT&gt;1,IF(c_TTYPE=2,1000-MAX(0,MIN(1000,G90)),MAX(0,MIN(1000,G90))),"")</f>
        <v/>
      </c>
      <c r="K90" s="7" t="n">
        <f aca="false">IF(c_TPOT&gt;1,QUOTIENT(I90+J90,2),I90)</f>
        <v>56</v>
      </c>
      <c r="L90" s="7" t="n">
        <f aca="false">IF(AND(K90=0,c_TCREEP&gt;0),10*c_TCREEP,IF(AND(K90&lt;=c_TRNGMIN,K90&gt;=c_TRNGMAX,c_TRNGMIN-c_TRNGMAX&lt;&gt;0),-10*c_TMINRN+QUOTIENT((c_TMAXRN-c_TMINRN)*(100-QUOTIENT((K90-c_TRNGMAX)*100,c_TRNGMIN-c_TRNGMAX)),-10),0))</f>
        <v>0</v>
      </c>
      <c r="M90" s="7" t="n">
        <f aca="false">IF(((c_TMAP1IN)-(c_TFWD))=0,(0)+QUOTIENT(((c_TMAP1OUT)-(0)),2),QUOTIENT((((K90)-(c_TFWD))*((c_TMAP1OUT)-(0))+IF(((c_TMAP1OUT)-(0))&gt;=0,1,-1)*QUOTIENT(((c_TMAP1IN)-(c_TFWD)),2)),((c_TMAP1IN)-(c_TFWD)))+(0)+IF(((c_TMAP1OUT)-(0))&gt;=0,IF(IF(o_WRAP=1,MOD(((c_TMAP1IN)-(c_TFWD))*(((K90)-(c_TFWD))*((c_TMAP1OUT)-(0))+IF(((c_TMAP1OUT)-(0))&gt;=0,1,-1)*QUOTIENT(((c_TMAP1IN)-(c_TFWD)),2))+2147483648,4294967296)-2147483648,((c_TMAP1IN)-(c_TFWD))*(((K90)-(c_TFWD))*((c_TMAP1OUT)-(0))+IF(((c_TMAP1OUT)-(0))&gt;=0,1,-1)*QUOTIENT(((c_TMAP1IN)-(c_TFWD)),2)))&lt;0,-1,0),IF(IF(o_WRAP=1,MOD(((c_TMAP1IN)-(c_TFWD))*(((K90)-(c_TFWD))*((c_TMAP1OUT)-(0))+IF(((c_TMAP1OUT)-(0))&gt;=0,1,-1)*QUOTIENT(((c_TMAP1IN)-(c_TFWD)),2))+2147483648,4294967296)-2147483648,((c_TMAP1IN)-(c_TFWD))*(((K90)-(c_TFWD))*((c_TMAP1OUT)-(0))+IF(((c_TMAP1OUT)-(0))&gt;=0,1,-1)*QUOTIENT(((c_TMAP1IN)-(c_TFWD)),2)))&gt;=0,1,0)))</f>
        <v>36</v>
      </c>
      <c r="N90" s="7" t="n">
        <f aca="false">IF(((c_TMAP2IN)-(c_TMAP1IN))=0,(c_TMAP1OUT)+QUOTIENT(((c_TMAP2OUT)-(c_TMAP1OUT)),2),QUOTIENT((((K90)-(c_TMAP1IN))*((c_TMAP2OUT)-(c_TMAP1OUT))+IF(((c_TMAP2OUT)-(c_TMAP1OUT))&gt;=0,1,-1)*QUOTIENT(((c_TMAP2IN)-(c_TMAP1IN)),2)),((c_TMAP2IN)-(c_TMAP1IN)))+(c_TMAP1OUT)+IF(((c_TMAP2OUT)-(c_TMAP1OUT))&gt;=0,IF(IF(o_WRAP=1,MOD(((c_TMAP2IN)-(c_TMAP1IN))*(((K90)-(c_TMAP1IN))*((c_TMAP2OUT)-(c_TMAP1OUT))+IF(((c_TMAP2OUT)-(c_TMAP1OUT))&gt;=0,1,-1)*QUOTIENT(((c_TMAP2IN)-(c_TMAP1IN)),2))+2147483648,4294967296)-2147483648,((c_TMAP2IN)-(c_TMAP1IN))*(((K90)-(c_TMAP1IN))*((c_TMAP2OUT)-(c_TMAP1OUT))+IF(((c_TMAP2OUT)-(c_TMAP1OUT))&gt;=0,1,-1)*QUOTIENT(((c_TMAP2IN)-(c_TMAP1IN)),2)))&lt;0,-1,0),IF(IF(o_WRAP=1,MOD(((c_TMAP2IN)-(c_TMAP1IN))*(((K90)-(c_TMAP1IN))*((c_TMAP2OUT)-(c_TMAP1OUT))+IF(((c_TMAP2OUT)-(c_TMAP1OUT))&gt;=0,1,-1)*QUOTIENT(((c_TMAP2IN)-(c_TMAP1IN)),2))+2147483648,4294967296)-2147483648,((c_TMAP2IN)-(c_TMAP1IN))*(((K90)-(c_TMAP1IN))*((c_TMAP2OUT)-(c_TMAP1OUT))+IF(((c_TMAP2OUT)-(c_TMAP1OUT))&gt;=0,1,-1)*QUOTIENT(((c_TMAP2IN)-(c_TMAP1IN)),2)))&gt;=0,1,0)))</f>
        <v>52</v>
      </c>
      <c r="O90" s="7" t="n">
        <f aca="false">IF(((c_TMAP3IN)-(c_TMAP2IN))=0,(c_TMAP2OUT)+QUOTIENT(((c_TMAP3OUT)-(c_TMAP2OUT)),2),QUOTIENT((((K90)-(c_TMAP2IN))*((c_TMAP3OUT)-(c_TMAP2OUT))+IF(((c_TMAP3OUT)-(c_TMAP2OUT))&gt;=0,1,-1)*QUOTIENT(((c_TMAP3IN)-(c_TMAP2IN)),2)),((c_TMAP3IN)-(c_TMAP2IN)))+(c_TMAP2OUT)+IF(((c_TMAP3OUT)-(c_TMAP2OUT))&gt;=0,IF(IF(o_WRAP=1,MOD(((c_TMAP3IN)-(c_TMAP2IN))*(((K90)-(c_TMAP2IN))*((c_TMAP3OUT)-(c_TMAP2OUT))+IF(((c_TMAP3OUT)-(c_TMAP2OUT))&gt;=0,1,-1)*QUOTIENT(((c_TMAP3IN)-(c_TMAP2IN)),2))+2147483648,4294967296)-2147483648,((c_TMAP3IN)-(c_TMAP2IN))*(((K90)-(c_TMAP2IN))*((c_TMAP3OUT)-(c_TMAP2OUT))+IF(((c_TMAP3OUT)-(c_TMAP2OUT))&gt;=0,1,-1)*QUOTIENT(((c_TMAP3IN)-(c_TMAP2IN)),2)))&lt;0,-1,0),IF(IF(o_WRAP=1,MOD(((c_TMAP3IN)-(c_TMAP2IN))*(((K90)-(c_TMAP2IN))*((c_TMAP3OUT)-(c_TMAP2OUT))+IF(((c_TMAP3OUT)-(c_TMAP2OUT))&gt;=0,1,-1)*QUOTIENT(((c_TMAP3IN)-(c_TMAP2IN)),2))+2147483648,4294967296)-2147483648,((c_TMAP3IN)-(c_TMAP2IN))*(((K90)-(c_TMAP2IN))*((c_TMAP3OUT)-(c_TMAP2OUT))+IF(((c_TMAP3OUT)-(c_TMAP2OUT))&gt;=0,1,-1)*QUOTIENT(((c_TMAP3IN)-(c_TMAP2IN)),2)))&gt;=0,1,0)))</f>
        <v>-6</v>
      </c>
      <c r="P90" s="7" t="n">
        <f aca="false">IF(((1000)-(c_TMAP3IN))=0,(c_TMAP3OUT)+QUOTIENT(((1000)-(c_TMAP3OUT)),2),QUOTIENT((((K90)-(c_TMAP3IN))*((1000)-(c_TMAP3OUT))+IF(((1000)-(c_TMAP3OUT))&gt;=0,1,-1)*QUOTIENT(((1000)-(c_TMAP3IN)),2)),((1000)-(c_TMAP3IN)))+(c_TMAP3OUT)+IF(((1000)-(c_TMAP3OUT))&gt;=0,IF(IF(o_WRAP=1,MOD(((1000)-(c_TMAP3IN))*(((K90)-(c_TMAP3IN))*((1000)-(c_TMAP3OUT))+IF(((1000)-(c_TMAP3OUT))&gt;=0,1,-1)*QUOTIENT(((1000)-(c_TMAP3IN)),2))+2147483648,4294967296)-2147483648,((1000)-(c_TMAP3IN))*(((K90)-(c_TMAP3IN))*((1000)-(c_TMAP3OUT))+IF(((1000)-(c_TMAP3OUT))&gt;=0,1,-1)*QUOTIENT(((1000)-(c_TMAP3IN)),2)))&lt;0,-1,0),IF(IF(o_WRAP=1,MOD(((1000)-(c_TMAP3IN))*(((K90)-(c_TMAP3IN))*((1000)-(c_TMAP3OUT))+IF(((1000)-(c_TMAP3OUT))&gt;=0,1,-1)*QUOTIENT(((1000)-(c_TMAP3IN)),2))+2147483648,4294967296)-2147483648,((1000)-(c_TMAP3IN))*(((K90)-(c_TMAP3IN))*((1000)-(c_TMAP3OUT))+IF(((1000)-(c_TMAP3OUT))&gt;=0,1,-1)*QUOTIENT(((1000)-(c_TMAP3IN)),2)))&gt;=0,1,0)))</f>
        <v>-162</v>
      </c>
      <c r="Q90" s="7" t="str">
        <f aca="false">IF(K90&gt;=c_TFWD,IF(AND(K90&gt;=c_TMAP3IN,c_TMAP3IN&lt;1000),"Seg4 map3-100%",IF(AND(K90&gt;=c_TMAP2IN,c_TMAP3IN&gt;c_TMAP2IN),"Seg3 map2-map3",IF(AND(K90&gt;=c_TMAP1IN,c_TMAP2IN&gt;c_TMAP1IN),"Seg2 map1-map2","Seg1 TFWD-map1"))),IF(AND(K90=0,c_TCREEP&gt;0),"Creep",IF(AND(K90&lt;=c_TRNGMIN,K90&gt;=c_TRNGMAX,c_TRNGMIN-c_TRNGMAX&lt;&gt;0),"Regen ramp","Coast (0)")))</f>
        <v>Seg1 TFWD-map1</v>
      </c>
      <c r="R90" s="7" t="n">
        <f aca="false">IF(K90&gt;=c_TFWD,IF(AND(K90&gt;=c_TMAP3IN,c_TMAP3IN&lt;1000),P90,IF(AND(K90&gt;=c_TMAP2IN,c_TMAP3IN&gt;c_TMAP2IN),O90,IF(AND(K90&gt;=c_TMAP1IN,c_TMAP2IN&gt;c_TMAP1IN),N90,M90))),L90)</f>
        <v>36</v>
      </c>
      <c r="S90" s="7" t="str">
        <f aca="false">IF(R90&lt;-1090,"TOO LOW",IF(R90&gt;1090,"TOO HIGH",""))</f>
        <v/>
      </c>
      <c r="T90" s="15" t="n">
        <f aca="false">IF(H90&lt;&gt;"OK",0,IF(S90&lt;&gt;"",0,IF(R90&gt;979,1000,R90)))</f>
        <v>36</v>
      </c>
      <c r="U90" s="7" t="n">
        <f aca="false">T90/10</f>
        <v>3.6</v>
      </c>
    </row>
    <row r="91" customFormat="false" ht="15" hidden="false" customHeight="false" outlineLevel="0" collapsed="false">
      <c r="A91" s="7" t="n">
        <v>86</v>
      </c>
      <c r="B91" s="7" t="n">
        <f aca="false">ROUND(o_SWSTART+A91*(o_SWEND-o_SWSTART)/400,0)</f>
        <v>880</v>
      </c>
      <c r="C91" s="7" t="n">
        <f aca="false">QUOTIENT((B91-c_OFF1)*c_GAIN1,1024)</f>
        <v>880</v>
      </c>
      <c r="D91" s="7" t="n">
        <f aca="false">IF(((c_T1MX)-(c_T1MN))=0,(0)+QUOTIENT(((1000)-(0)),2),QUOTIENT((((C91)-(c_T1MN))*((1000)-(0))+IF(((1000)-(0))&gt;=0,1,-1)*QUOTIENT(((c_T1MX)-(c_T1MN)),2)),((c_T1MX)-(c_T1MN)))+(0)+IF(((1000)-(0))&gt;=0,IF(IF(o_WRAP=1,MOD(((c_T1MX)-(c_T1MN))*(((C91)-(c_T1MN))*((1000)-(0))+IF(((1000)-(0))&gt;=0,1,-1)*QUOTIENT(((c_T1MX)-(c_T1MN)),2))+2147483648,4294967296)-2147483648,((c_T1MX)-(c_T1MN))*(((C91)-(c_T1MN))*((1000)-(0))+IF(((1000)-(0))&gt;=0,1,-1)*QUOTIENT(((c_T1MX)-(c_T1MN)),2)))&lt;0,-1,0),IF(IF(o_WRAP=1,MOD(((c_T1MX)-(c_T1MN))*(((C91)-(c_T1MN))*((1000)-(0))+IF(((1000)-(0))&gt;=0,1,-1)*QUOTIENT(((c_T1MX)-(c_T1MN)),2))+2147483648,4294967296)-2147483648,((c_T1MX)-(c_T1MN))*(((C91)-(c_T1MN))*((1000)-(0))+IF(((1000)-(0))&gt;=0,1,-1)*QUOTIENT(((c_T1MX)-(c_T1MN)),2)))&gt;=0,1,0)))</f>
        <v>60</v>
      </c>
      <c r="E91" s="7" t="n">
        <f aca="false">IF(AND(c_TPOT=1,c_TTYPE=2),1000-D91,D91)</f>
        <v>60</v>
      </c>
      <c r="F91" s="7" t="str">
        <f aca="false">IF(c_TPOT&gt;1,ROUND(IF(c_TTYPE=2,c_T2MX-IF(c_T1MX=c_T1MN,0,(C91-c_T1MN)/(c_T1MX-c_T1MN))*(c_T2MX-c_T2MN),c_T2MN+IF(c_T1MX=c_T1MN,0,(C91-c_T1MN)/(c_T1MX-c_T1MN))*(c_T2MX-c_T2MN))+o_MISMATCH,0),"")</f>
        <v/>
      </c>
      <c r="G91" s="7" t="str">
        <f aca="false">IF(c_TPOT&gt;1,IF(((c_T2MX)-(c_T2MN))=0,(0)+QUOTIENT(((1000)-(0)),2),QUOTIENT((((F91)-(c_T2MN))*((1000)-(0))+IF(((1000)-(0))&gt;=0,1,-1)*QUOTIENT(((c_T2MX)-(c_T2MN)),2)),((c_T2MX)-(c_T2MN)))+(0)+IF(((1000)-(0))&gt;=0,IF(IF(o_WRAP=1,MOD(((c_T2MX)-(c_T2MN))*(((F91)-(c_T2MN))*((1000)-(0))+IF(((1000)-(0))&gt;=0,1,-1)*QUOTIENT(((c_T2MX)-(c_T2MN)),2))+2147483648,4294967296)-2147483648,((c_T2MX)-(c_T2MN))*(((F91)-(c_T2MN))*((1000)-(0))+IF(((1000)-(0))&gt;=0,1,-1)*QUOTIENT(((c_T2MX)-(c_T2MN)),2)))&lt;0,-1,0),IF(IF(o_WRAP=1,MOD(((c_T2MX)-(c_T2MN))*(((F91)-(c_T2MN))*((1000)-(0))+IF(((1000)-(0))&gt;=0,1,-1)*QUOTIENT(((c_T2MX)-(c_T2MN)),2))+2147483648,4294967296)-2147483648,((c_T2MX)-(c_T2MN))*(((F91)-(c_T2MN))*((1000)-(0))+IF(((1000)-(0))&gt;=0,1,-1)*QUOTIENT(((c_T2MX)-(c_T2MN)),2)))&gt;=0,1,0))),"")</f>
        <v/>
      </c>
      <c r="H91" s="7" t="str">
        <f aca="false">IF(E91&gt;1000+k_TOL,"T1 HIGH",IF(E91&lt;0-k_TOL,"T1 LOW",IF(c_TPOT&gt;1,IF(G91&gt;1000+k_TOL,"T2 HIGH",IF(G91&lt;0-k_TOL,"T2 LOW",IF(c_TTYPE=2,IF(ABS(1000-MAX(0,MIN(1000,E91))-MAX(0,MIN(1000,G91)))&gt;k_MAXERR,"MISMATCH","OK"),IF(OR(MAX(0,MIN(1000,E91))-k_MAXERR&gt;MAX(0,MIN(1000,G91)),MAX(0,MIN(1000,G91))-k_MAXERR&gt;MAX(0,MIN(1000,E91))),"MISMATCH","OK")))),"OK")))</f>
        <v>OK</v>
      </c>
      <c r="I91" s="7" t="n">
        <f aca="false">MAX(0,MIN(1000,D91))</f>
        <v>60</v>
      </c>
      <c r="J91" s="7" t="str">
        <f aca="false">IF(c_TPOT&gt;1,IF(c_TTYPE=2,1000-MAX(0,MIN(1000,G91)),MAX(0,MIN(1000,G91))),"")</f>
        <v/>
      </c>
      <c r="K91" s="7" t="n">
        <f aca="false">IF(c_TPOT&gt;1,QUOTIENT(I91+J91,2),I91)</f>
        <v>60</v>
      </c>
      <c r="L91" s="7" t="n">
        <f aca="false">IF(AND(K91=0,c_TCREEP&gt;0),10*c_TCREEP,IF(AND(K91&lt;=c_TRNGMIN,K91&gt;=c_TRNGMAX,c_TRNGMIN-c_TRNGMAX&lt;&gt;0),-10*c_TMINRN+QUOTIENT((c_TMAXRN-c_TMINRN)*(100-QUOTIENT((K91-c_TRNGMAX)*100,c_TRNGMIN-c_TRNGMAX)),-10),0))</f>
        <v>0</v>
      </c>
      <c r="M91" s="7" t="n">
        <f aca="false">IF(((c_TMAP1IN)-(c_TFWD))=0,(0)+QUOTIENT(((c_TMAP1OUT)-(0)),2),QUOTIENT((((K91)-(c_TFWD))*((c_TMAP1OUT)-(0))+IF(((c_TMAP1OUT)-(0))&gt;=0,1,-1)*QUOTIENT(((c_TMAP1IN)-(c_TFWD)),2)),((c_TMAP1IN)-(c_TFWD)))+(0)+IF(((c_TMAP1OUT)-(0))&gt;=0,IF(IF(o_WRAP=1,MOD(((c_TMAP1IN)-(c_TFWD))*(((K91)-(c_TFWD))*((c_TMAP1OUT)-(0))+IF(((c_TMAP1OUT)-(0))&gt;=0,1,-1)*QUOTIENT(((c_TMAP1IN)-(c_TFWD)),2))+2147483648,4294967296)-2147483648,((c_TMAP1IN)-(c_TFWD))*(((K91)-(c_TFWD))*((c_TMAP1OUT)-(0))+IF(((c_TMAP1OUT)-(0))&gt;=0,1,-1)*QUOTIENT(((c_TMAP1IN)-(c_TFWD)),2)))&lt;0,-1,0),IF(IF(o_WRAP=1,MOD(((c_TMAP1IN)-(c_TFWD))*(((K91)-(c_TFWD))*((c_TMAP1OUT)-(0))+IF(((c_TMAP1OUT)-(0))&gt;=0,1,-1)*QUOTIENT(((c_TMAP1IN)-(c_TFWD)),2))+2147483648,4294967296)-2147483648,((c_TMAP1IN)-(c_TFWD))*(((K91)-(c_TFWD))*((c_TMAP1OUT)-(0))+IF(((c_TMAP1OUT)-(0))&gt;=0,1,-1)*QUOTIENT(((c_TMAP1IN)-(c_TFWD)),2)))&gt;=0,1,0)))</f>
        <v>39</v>
      </c>
      <c r="N91" s="7" t="n">
        <f aca="false">IF(((c_TMAP2IN)-(c_TMAP1IN))=0,(c_TMAP1OUT)+QUOTIENT(((c_TMAP2OUT)-(c_TMAP1OUT)),2),QUOTIENT((((K91)-(c_TMAP1IN))*((c_TMAP2OUT)-(c_TMAP1OUT))+IF(((c_TMAP2OUT)-(c_TMAP1OUT))&gt;=0,1,-1)*QUOTIENT(((c_TMAP2IN)-(c_TMAP1IN)),2)),((c_TMAP2IN)-(c_TMAP1IN)))+(c_TMAP1OUT)+IF(((c_TMAP2OUT)-(c_TMAP1OUT))&gt;=0,IF(IF(o_WRAP=1,MOD(((c_TMAP2IN)-(c_TMAP1IN))*(((K91)-(c_TMAP1IN))*((c_TMAP2OUT)-(c_TMAP1OUT))+IF(((c_TMAP2OUT)-(c_TMAP1OUT))&gt;=0,1,-1)*QUOTIENT(((c_TMAP2IN)-(c_TMAP1IN)),2))+2147483648,4294967296)-2147483648,((c_TMAP2IN)-(c_TMAP1IN))*(((K91)-(c_TMAP1IN))*((c_TMAP2OUT)-(c_TMAP1OUT))+IF(((c_TMAP2OUT)-(c_TMAP1OUT))&gt;=0,1,-1)*QUOTIENT(((c_TMAP2IN)-(c_TMAP1IN)),2)))&lt;0,-1,0),IF(IF(o_WRAP=1,MOD(((c_TMAP2IN)-(c_TMAP1IN))*(((K91)-(c_TMAP1IN))*((c_TMAP2OUT)-(c_TMAP1OUT))+IF(((c_TMAP2OUT)-(c_TMAP1OUT))&gt;=0,1,-1)*QUOTIENT(((c_TMAP2IN)-(c_TMAP1IN)),2))+2147483648,4294967296)-2147483648,((c_TMAP2IN)-(c_TMAP1IN))*(((K91)-(c_TMAP1IN))*((c_TMAP2OUT)-(c_TMAP1OUT))+IF(((c_TMAP2OUT)-(c_TMAP1OUT))&gt;=0,1,-1)*QUOTIENT(((c_TMAP2IN)-(c_TMAP1IN)),2)))&gt;=0,1,0)))</f>
        <v>54</v>
      </c>
      <c r="O91" s="7" t="n">
        <f aca="false">IF(((c_TMAP3IN)-(c_TMAP2IN))=0,(c_TMAP2OUT)+QUOTIENT(((c_TMAP3OUT)-(c_TMAP2OUT)),2),QUOTIENT((((K91)-(c_TMAP2IN))*((c_TMAP3OUT)-(c_TMAP2OUT))+IF(((c_TMAP3OUT)-(c_TMAP2OUT))&gt;=0,1,-1)*QUOTIENT(((c_TMAP3IN)-(c_TMAP2IN)),2)),((c_TMAP3IN)-(c_TMAP2IN)))+(c_TMAP2OUT)+IF(((c_TMAP3OUT)-(c_TMAP2OUT))&gt;=0,IF(IF(o_WRAP=1,MOD(((c_TMAP3IN)-(c_TMAP2IN))*(((K91)-(c_TMAP2IN))*((c_TMAP3OUT)-(c_TMAP2OUT))+IF(((c_TMAP3OUT)-(c_TMAP2OUT))&gt;=0,1,-1)*QUOTIENT(((c_TMAP3IN)-(c_TMAP2IN)),2))+2147483648,4294967296)-2147483648,((c_TMAP3IN)-(c_TMAP2IN))*(((K91)-(c_TMAP2IN))*((c_TMAP3OUT)-(c_TMAP2OUT))+IF(((c_TMAP3OUT)-(c_TMAP2OUT))&gt;=0,1,-1)*QUOTIENT(((c_TMAP3IN)-(c_TMAP2IN)),2)))&lt;0,-1,0),IF(IF(o_WRAP=1,MOD(((c_TMAP3IN)-(c_TMAP2IN))*(((K91)-(c_TMAP2IN))*((c_TMAP3OUT)-(c_TMAP2OUT))+IF(((c_TMAP3OUT)-(c_TMAP2OUT))&gt;=0,1,-1)*QUOTIENT(((c_TMAP3IN)-(c_TMAP2IN)),2))+2147483648,4294967296)-2147483648,((c_TMAP3IN)-(c_TMAP2IN))*(((K91)-(c_TMAP2IN))*((c_TMAP3OUT)-(c_TMAP2OUT))+IF(((c_TMAP3OUT)-(c_TMAP2OUT))&gt;=0,1,-1)*QUOTIENT(((c_TMAP3IN)-(c_TMAP2IN)),2)))&gt;=0,1,0)))</f>
        <v>-3</v>
      </c>
      <c r="P91" s="7" t="n">
        <f aca="false">IF(((1000)-(c_TMAP3IN))=0,(c_TMAP3OUT)+QUOTIENT(((1000)-(c_TMAP3OUT)),2),QUOTIENT((((K91)-(c_TMAP3IN))*((1000)-(c_TMAP3OUT))+IF(((1000)-(c_TMAP3OUT))&gt;=0,1,-1)*QUOTIENT(((1000)-(c_TMAP3IN)),2)),((1000)-(c_TMAP3IN)))+(c_TMAP3OUT)+IF(((1000)-(c_TMAP3OUT))&gt;=0,IF(IF(o_WRAP=1,MOD(((1000)-(c_TMAP3IN))*(((K91)-(c_TMAP3IN))*((1000)-(c_TMAP3OUT))+IF(((1000)-(c_TMAP3OUT))&gt;=0,1,-1)*QUOTIENT(((1000)-(c_TMAP3IN)),2))+2147483648,4294967296)-2147483648,((1000)-(c_TMAP3IN))*(((K91)-(c_TMAP3IN))*((1000)-(c_TMAP3OUT))+IF(((1000)-(c_TMAP3OUT))&gt;=0,1,-1)*QUOTIENT(((1000)-(c_TMAP3IN)),2)))&lt;0,-1,0),IF(IF(o_WRAP=1,MOD(((1000)-(c_TMAP3IN))*(((K91)-(c_TMAP3IN))*((1000)-(c_TMAP3OUT))+IF(((1000)-(c_TMAP3OUT))&gt;=0,1,-1)*QUOTIENT(((1000)-(c_TMAP3IN)),2))+2147483648,4294967296)-2147483648,((1000)-(c_TMAP3IN))*(((K91)-(c_TMAP3IN))*((1000)-(c_TMAP3OUT))+IF(((1000)-(c_TMAP3OUT))&gt;=0,1,-1)*QUOTIENT(((1000)-(c_TMAP3IN)),2)))&gt;=0,1,0)))</f>
        <v>-157</v>
      </c>
      <c r="Q91" s="7" t="str">
        <f aca="false">IF(K91&gt;=c_TFWD,IF(AND(K91&gt;=c_TMAP3IN,c_TMAP3IN&lt;1000),"Seg4 map3-100%",IF(AND(K91&gt;=c_TMAP2IN,c_TMAP3IN&gt;c_TMAP2IN),"Seg3 map2-map3",IF(AND(K91&gt;=c_TMAP1IN,c_TMAP2IN&gt;c_TMAP1IN),"Seg2 map1-map2","Seg1 TFWD-map1"))),IF(AND(K91=0,c_TCREEP&gt;0),"Creep",IF(AND(K91&lt;=c_TRNGMIN,K91&gt;=c_TRNGMAX,c_TRNGMIN-c_TRNGMAX&lt;&gt;0),"Regen ramp","Coast (0)")))</f>
        <v>Seg1 TFWD-map1</v>
      </c>
      <c r="R91" s="7" t="n">
        <f aca="false">IF(K91&gt;=c_TFWD,IF(AND(K91&gt;=c_TMAP3IN,c_TMAP3IN&lt;1000),P91,IF(AND(K91&gt;=c_TMAP2IN,c_TMAP3IN&gt;c_TMAP2IN),O91,IF(AND(K91&gt;=c_TMAP1IN,c_TMAP2IN&gt;c_TMAP1IN),N91,M91))),L91)</f>
        <v>39</v>
      </c>
      <c r="S91" s="7" t="str">
        <f aca="false">IF(R91&lt;-1090,"TOO LOW",IF(R91&gt;1090,"TOO HIGH",""))</f>
        <v/>
      </c>
      <c r="T91" s="15" t="n">
        <f aca="false">IF(H91&lt;&gt;"OK",0,IF(S91&lt;&gt;"",0,IF(R91&gt;979,1000,R91)))</f>
        <v>39</v>
      </c>
      <c r="U91" s="7" t="n">
        <f aca="false">T91/10</f>
        <v>3.9</v>
      </c>
    </row>
    <row r="92" customFormat="false" ht="15" hidden="false" customHeight="false" outlineLevel="0" collapsed="false">
      <c r="A92" s="7" t="n">
        <v>87</v>
      </c>
      <c r="B92" s="7" t="n">
        <f aca="false">ROUND(o_SWSTART+A92*(o_SWEND-o_SWSTART)/400,0)</f>
        <v>891</v>
      </c>
      <c r="C92" s="7" t="n">
        <f aca="false">QUOTIENT((B92-c_OFF1)*c_GAIN1,1024)</f>
        <v>891</v>
      </c>
      <c r="D92" s="7" t="n">
        <f aca="false">IF(((c_T1MX)-(c_T1MN))=0,(0)+QUOTIENT(((1000)-(0)),2),QUOTIENT((((C92)-(c_T1MN))*((1000)-(0))+IF(((1000)-(0))&gt;=0,1,-1)*QUOTIENT(((c_T1MX)-(c_T1MN)),2)),((c_T1MX)-(c_T1MN)))+(0)+IF(((1000)-(0))&gt;=0,IF(IF(o_WRAP=1,MOD(((c_T1MX)-(c_T1MN))*(((C92)-(c_T1MN))*((1000)-(0))+IF(((1000)-(0))&gt;=0,1,-1)*QUOTIENT(((c_T1MX)-(c_T1MN)),2))+2147483648,4294967296)-2147483648,((c_T1MX)-(c_T1MN))*(((C92)-(c_T1MN))*((1000)-(0))+IF(((1000)-(0))&gt;=0,1,-1)*QUOTIENT(((c_T1MX)-(c_T1MN)),2)))&lt;0,-1,0),IF(IF(o_WRAP=1,MOD(((c_T1MX)-(c_T1MN))*(((C92)-(c_T1MN))*((1000)-(0))+IF(((1000)-(0))&gt;=0,1,-1)*QUOTIENT(((c_T1MX)-(c_T1MN)),2))+2147483648,4294967296)-2147483648,((c_T1MX)-(c_T1MN))*(((C92)-(c_T1MN))*((1000)-(0))+IF(((1000)-(0))&gt;=0,1,-1)*QUOTIENT(((c_T1MX)-(c_T1MN)),2)))&gt;=0,1,0)))</f>
        <v>64</v>
      </c>
      <c r="E92" s="7" t="n">
        <f aca="false">IF(AND(c_TPOT=1,c_TTYPE=2),1000-D92,D92)</f>
        <v>64</v>
      </c>
      <c r="F92" s="7" t="str">
        <f aca="false">IF(c_TPOT&gt;1,ROUND(IF(c_TTYPE=2,c_T2MX-IF(c_T1MX=c_T1MN,0,(C92-c_T1MN)/(c_T1MX-c_T1MN))*(c_T2MX-c_T2MN),c_T2MN+IF(c_T1MX=c_T1MN,0,(C92-c_T1MN)/(c_T1MX-c_T1MN))*(c_T2MX-c_T2MN))+o_MISMATCH,0),"")</f>
        <v/>
      </c>
      <c r="G92" s="7" t="str">
        <f aca="false">IF(c_TPOT&gt;1,IF(((c_T2MX)-(c_T2MN))=0,(0)+QUOTIENT(((1000)-(0)),2),QUOTIENT((((F92)-(c_T2MN))*((1000)-(0))+IF(((1000)-(0))&gt;=0,1,-1)*QUOTIENT(((c_T2MX)-(c_T2MN)),2)),((c_T2MX)-(c_T2MN)))+(0)+IF(((1000)-(0))&gt;=0,IF(IF(o_WRAP=1,MOD(((c_T2MX)-(c_T2MN))*(((F92)-(c_T2MN))*((1000)-(0))+IF(((1000)-(0))&gt;=0,1,-1)*QUOTIENT(((c_T2MX)-(c_T2MN)),2))+2147483648,4294967296)-2147483648,((c_T2MX)-(c_T2MN))*(((F92)-(c_T2MN))*((1000)-(0))+IF(((1000)-(0))&gt;=0,1,-1)*QUOTIENT(((c_T2MX)-(c_T2MN)),2)))&lt;0,-1,0),IF(IF(o_WRAP=1,MOD(((c_T2MX)-(c_T2MN))*(((F92)-(c_T2MN))*((1000)-(0))+IF(((1000)-(0))&gt;=0,1,-1)*QUOTIENT(((c_T2MX)-(c_T2MN)),2))+2147483648,4294967296)-2147483648,((c_T2MX)-(c_T2MN))*(((F92)-(c_T2MN))*((1000)-(0))+IF(((1000)-(0))&gt;=0,1,-1)*QUOTIENT(((c_T2MX)-(c_T2MN)),2)))&gt;=0,1,0))),"")</f>
        <v/>
      </c>
      <c r="H92" s="7" t="str">
        <f aca="false">IF(E92&gt;1000+k_TOL,"T1 HIGH",IF(E92&lt;0-k_TOL,"T1 LOW",IF(c_TPOT&gt;1,IF(G92&gt;1000+k_TOL,"T2 HIGH",IF(G92&lt;0-k_TOL,"T2 LOW",IF(c_TTYPE=2,IF(ABS(1000-MAX(0,MIN(1000,E92))-MAX(0,MIN(1000,G92)))&gt;k_MAXERR,"MISMATCH","OK"),IF(OR(MAX(0,MIN(1000,E92))-k_MAXERR&gt;MAX(0,MIN(1000,G92)),MAX(0,MIN(1000,G92))-k_MAXERR&gt;MAX(0,MIN(1000,E92))),"MISMATCH","OK")))),"OK")))</f>
        <v>OK</v>
      </c>
      <c r="I92" s="7" t="n">
        <f aca="false">MAX(0,MIN(1000,D92))</f>
        <v>64</v>
      </c>
      <c r="J92" s="7" t="str">
        <f aca="false">IF(c_TPOT&gt;1,IF(c_TTYPE=2,1000-MAX(0,MIN(1000,G92)),MAX(0,MIN(1000,G92))),"")</f>
        <v/>
      </c>
      <c r="K92" s="7" t="n">
        <f aca="false">IF(c_TPOT&gt;1,QUOTIENT(I92+J92,2),I92)</f>
        <v>64</v>
      </c>
      <c r="L92" s="7" t="n">
        <f aca="false">IF(AND(K92=0,c_TCREEP&gt;0),10*c_TCREEP,IF(AND(K92&lt;=c_TRNGMIN,K92&gt;=c_TRNGMAX,c_TRNGMIN-c_TRNGMAX&lt;&gt;0),-10*c_TMINRN+QUOTIENT((c_TMAXRN-c_TMINRN)*(100-QUOTIENT((K92-c_TRNGMAX)*100,c_TRNGMIN-c_TRNGMAX)),-10),0))</f>
        <v>0</v>
      </c>
      <c r="M92" s="7" t="n">
        <f aca="false">IF(((c_TMAP1IN)-(c_TFWD))=0,(0)+QUOTIENT(((c_TMAP1OUT)-(0)),2),QUOTIENT((((K92)-(c_TFWD))*((c_TMAP1OUT)-(0))+IF(((c_TMAP1OUT)-(0))&gt;=0,1,-1)*QUOTIENT(((c_TMAP1IN)-(c_TFWD)),2)),((c_TMAP1IN)-(c_TFWD)))+(0)+IF(((c_TMAP1OUT)-(0))&gt;=0,IF(IF(o_WRAP=1,MOD(((c_TMAP1IN)-(c_TFWD))*(((K92)-(c_TFWD))*((c_TMAP1OUT)-(0))+IF(((c_TMAP1OUT)-(0))&gt;=0,1,-1)*QUOTIENT(((c_TMAP1IN)-(c_TFWD)),2))+2147483648,4294967296)-2147483648,((c_TMAP1IN)-(c_TFWD))*(((K92)-(c_TFWD))*((c_TMAP1OUT)-(0))+IF(((c_TMAP1OUT)-(0))&gt;=0,1,-1)*QUOTIENT(((c_TMAP1IN)-(c_TFWD)),2)))&lt;0,-1,0),IF(IF(o_WRAP=1,MOD(((c_TMAP1IN)-(c_TFWD))*(((K92)-(c_TFWD))*((c_TMAP1OUT)-(0))+IF(((c_TMAP1OUT)-(0))&gt;=0,1,-1)*QUOTIENT(((c_TMAP1IN)-(c_TFWD)),2))+2147483648,4294967296)-2147483648,((c_TMAP1IN)-(c_TFWD))*(((K92)-(c_TFWD))*((c_TMAP1OUT)-(0))+IF(((c_TMAP1OUT)-(0))&gt;=0,1,-1)*QUOTIENT(((c_TMAP1IN)-(c_TFWD)),2)))&gt;=0,1,0)))</f>
        <v>42</v>
      </c>
      <c r="N92" s="7" t="n">
        <f aca="false">IF(((c_TMAP2IN)-(c_TMAP1IN))=0,(c_TMAP1OUT)+QUOTIENT(((c_TMAP2OUT)-(c_TMAP1OUT)),2),QUOTIENT((((K92)-(c_TMAP1IN))*((c_TMAP2OUT)-(c_TMAP1OUT))+IF(((c_TMAP2OUT)-(c_TMAP1OUT))&gt;=0,1,-1)*QUOTIENT(((c_TMAP2IN)-(c_TMAP1IN)),2)),((c_TMAP2IN)-(c_TMAP1IN)))+(c_TMAP1OUT)+IF(((c_TMAP2OUT)-(c_TMAP1OUT))&gt;=0,IF(IF(o_WRAP=1,MOD(((c_TMAP2IN)-(c_TMAP1IN))*(((K92)-(c_TMAP1IN))*((c_TMAP2OUT)-(c_TMAP1OUT))+IF(((c_TMAP2OUT)-(c_TMAP1OUT))&gt;=0,1,-1)*QUOTIENT(((c_TMAP2IN)-(c_TMAP1IN)),2))+2147483648,4294967296)-2147483648,((c_TMAP2IN)-(c_TMAP1IN))*(((K92)-(c_TMAP1IN))*((c_TMAP2OUT)-(c_TMAP1OUT))+IF(((c_TMAP2OUT)-(c_TMAP1OUT))&gt;=0,1,-1)*QUOTIENT(((c_TMAP2IN)-(c_TMAP1IN)),2)))&lt;0,-1,0),IF(IF(o_WRAP=1,MOD(((c_TMAP2IN)-(c_TMAP1IN))*(((K92)-(c_TMAP1IN))*((c_TMAP2OUT)-(c_TMAP1OUT))+IF(((c_TMAP2OUT)-(c_TMAP1OUT))&gt;=0,1,-1)*QUOTIENT(((c_TMAP2IN)-(c_TMAP1IN)),2))+2147483648,4294967296)-2147483648,((c_TMAP2IN)-(c_TMAP1IN))*(((K92)-(c_TMAP1IN))*((c_TMAP2OUT)-(c_TMAP1OUT))+IF(((c_TMAP2OUT)-(c_TMAP1OUT))&gt;=0,1,-1)*QUOTIENT(((c_TMAP2IN)-(c_TMAP1IN)),2)))&gt;=0,1,0)))</f>
        <v>56</v>
      </c>
      <c r="O92" s="7" t="n">
        <f aca="false">IF(((c_TMAP3IN)-(c_TMAP2IN))=0,(c_TMAP2OUT)+QUOTIENT(((c_TMAP3OUT)-(c_TMAP2OUT)),2),QUOTIENT((((K92)-(c_TMAP2IN))*((c_TMAP3OUT)-(c_TMAP2OUT))+IF(((c_TMAP3OUT)-(c_TMAP2OUT))&gt;=0,1,-1)*QUOTIENT(((c_TMAP3IN)-(c_TMAP2IN)),2)),((c_TMAP3IN)-(c_TMAP2IN)))+(c_TMAP2OUT)+IF(((c_TMAP3OUT)-(c_TMAP2OUT))&gt;=0,IF(IF(o_WRAP=1,MOD(((c_TMAP3IN)-(c_TMAP2IN))*(((K92)-(c_TMAP2IN))*((c_TMAP3OUT)-(c_TMAP2OUT))+IF(((c_TMAP3OUT)-(c_TMAP2OUT))&gt;=0,1,-1)*QUOTIENT(((c_TMAP3IN)-(c_TMAP2IN)),2))+2147483648,4294967296)-2147483648,((c_TMAP3IN)-(c_TMAP2IN))*(((K92)-(c_TMAP2IN))*((c_TMAP3OUT)-(c_TMAP2OUT))+IF(((c_TMAP3OUT)-(c_TMAP2OUT))&gt;=0,1,-1)*QUOTIENT(((c_TMAP3IN)-(c_TMAP2IN)),2)))&lt;0,-1,0),IF(IF(o_WRAP=1,MOD(((c_TMAP3IN)-(c_TMAP2IN))*(((K92)-(c_TMAP2IN))*((c_TMAP3OUT)-(c_TMAP2OUT))+IF(((c_TMAP3OUT)-(c_TMAP2OUT))&gt;=0,1,-1)*QUOTIENT(((c_TMAP3IN)-(c_TMAP2IN)),2))+2147483648,4294967296)-2147483648,((c_TMAP3IN)-(c_TMAP2IN))*(((K92)-(c_TMAP2IN))*((c_TMAP3OUT)-(c_TMAP2OUT))+IF(((c_TMAP3OUT)-(c_TMAP2OUT))&gt;=0,1,-1)*QUOTIENT(((c_TMAP3IN)-(c_TMAP2IN)),2)))&gt;=0,1,0)))</f>
        <v>0</v>
      </c>
      <c r="P92" s="7" t="n">
        <f aca="false">IF(((1000)-(c_TMAP3IN))=0,(c_TMAP3OUT)+QUOTIENT(((1000)-(c_TMAP3OUT)),2),QUOTIENT((((K92)-(c_TMAP3IN))*((1000)-(c_TMAP3OUT))+IF(((1000)-(c_TMAP3OUT))&gt;=0,1,-1)*QUOTIENT(((1000)-(c_TMAP3IN)),2)),((1000)-(c_TMAP3IN)))+(c_TMAP3OUT)+IF(((1000)-(c_TMAP3OUT))&gt;=0,IF(IF(o_WRAP=1,MOD(((1000)-(c_TMAP3IN))*(((K92)-(c_TMAP3IN))*((1000)-(c_TMAP3OUT))+IF(((1000)-(c_TMAP3OUT))&gt;=0,1,-1)*QUOTIENT(((1000)-(c_TMAP3IN)),2))+2147483648,4294967296)-2147483648,((1000)-(c_TMAP3IN))*(((K92)-(c_TMAP3IN))*((1000)-(c_TMAP3OUT))+IF(((1000)-(c_TMAP3OUT))&gt;=0,1,-1)*QUOTIENT(((1000)-(c_TMAP3IN)),2)))&lt;0,-1,0),IF(IF(o_WRAP=1,MOD(((1000)-(c_TMAP3IN))*(((K92)-(c_TMAP3IN))*((1000)-(c_TMAP3OUT))+IF(((1000)-(c_TMAP3OUT))&gt;=0,1,-1)*QUOTIENT(((1000)-(c_TMAP3IN)),2))+2147483648,4294967296)-2147483648,((1000)-(c_TMAP3IN))*(((K92)-(c_TMAP3IN))*((1000)-(c_TMAP3OUT))+IF(((1000)-(c_TMAP3OUT))&gt;=0,1,-1)*QUOTIENT(((1000)-(c_TMAP3IN)),2)))&gt;=0,1,0)))</f>
        <v>-152</v>
      </c>
      <c r="Q92" s="7" t="str">
        <f aca="false">IF(K92&gt;=c_TFWD,IF(AND(K92&gt;=c_TMAP3IN,c_TMAP3IN&lt;1000),"Seg4 map3-100%",IF(AND(K92&gt;=c_TMAP2IN,c_TMAP3IN&gt;c_TMAP2IN),"Seg3 map2-map3",IF(AND(K92&gt;=c_TMAP1IN,c_TMAP2IN&gt;c_TMAP1IN),"Seg2 map1-map2","Seg1 TFWD-map1"))),IF(AND(K92=0,c_TCREEP&gt;0),"Creep",IF(AND(K92&lt;=c_TRNGMIN,K92&gt;=c_TRNGMAX,c_TRNGMIN-c_TRNGMAX&lt;&gt;0),"Regen ramp","Coast (0)")))</f>
        <v>Seg1 TFWD-map1</v>
      </c>
      <c r="R92" s="7" t="n">
        <f aca="false">IF(K92&gt;=c_TFWD,IF(AND(K92&gt;=c_TMAP3IN,c_TMAP3IN&lt;1000),P92,IF(AND(K92&gt;=c_TMAP2IN,c_TMAP3IN&gt;c_TMAP2IN),O92,IF(AND(K92&gt;=c_TMAP1IN,c_TMAP2IN&gt;c_TMAP1IN),N92,M92))),L92)</f>
        <v>42</v>
      </c>
      <c r="S92" s="7" t="str">
        <f aca="false">IF(R92&lt;-1090,"TOO LOW",IF(R92&gt;1090,"TOO HIGH",""))</f>
        <v/>
      </c>
      <c r="T92" s="15" t="n">
        <f aca="false">IF(H92&lt;&gt;"OK",0,IF(S92&lt;&gt;"",0,IF(R92&gt;979,1000,R92)))</f>
        <v>42</v>
      </c>
      <c r="U92" s="7" t="n">
        <f aca="false">T92/10</f>
        <v>4.2</v>
      </c>
    </row>
    <row r="93" customFormat="false" ht="15" hidden="false" customHeight="false" outlineLevel="0" collapsed="false">
      <c r="A93" s="7" t="n">
        <v>88</v>
      </c>
      <c r="B93" s="7" t="n">
        <f aca="false">ROUND(o_SWSTART+A93*(o_SWEND-o_SWSTART)/400,0)</f>
        <v>901</v>
      </c>
      <c r="C93" s="7" t="n">
        <f aca="false">QUOTIENT((B93-c_OFF1)*c_GAIN1,1024)</f>
        <v>901</v>
      </c>
      <c r="D93" s="7" t="n">
        <f aca="false">IF(((c_T1MX)-(c_T1MN))=0,(0)+QUOTIENT(((1000)-(0)),2),QUOTIENT((((C93)-(c_T1MN))*((1000)-(0))+IF(((1000)-(0))&gt;=0,1,-1)*QUOTIENT(((c_T1MX)-(c_T1MN)),2)),((c_T1MX)-(c_T1MN)))+(0)+IF(((1000)-(0))&gt;=0,IF(IF(o_WRAP=1,MOD(((c_T1MX)-(c_T1MN))*(((C93)-(c_T1MN))*((1000)-(0))+IF(((1000)-(0))&gt;=0,1,-1)*QUOTIENT(((c_T1MX)-(c_T1MN)),2))+2147483648,4294967296)-2147483648,((c_T1MX)-(c_T1MN))*(((C93)-(c_T1MN))*((1000)-(0))+IF(((1000)-(0))&gt;=0,1,-1)*QUOTIENT(((c_T1MX)-(c_T1MN)),2)))&lt;0,-1,0),IF(IF(o_WRAP=1,MOD(((c_T1MX)-(c_T1MN))*(((C93)-(c_T1MN))*((1000)-(0))+IF(((1000)-(0))&gt;=0,1,-1)*QUOTIENT(((c_T1MX)-(c_T1MN)),2))+2147483648,4294967296)-2147483648,((c_T1MX)-(c_T1MN))*(((C93)-(c_T1MN))*((1000)-(0))+IF(((1000)-(0))&gt;=0,1,-1)*QUOTIENT(((c_T1MX)-(c_T1MN)),2)))&gt;=0,1,0)))</f>
        <v>67</v>
      </c>
      <c r="E93" s="7" t="n">
        <f aca="false">IF(AND(c_TPOT=1,c_TTYPE=2),1000-D93,D93)</f>
        <v>67</v>
      </c>
      <c r="F93" s="7" t="str">
        <f aca="false">IF(c_TPOT&gt;1,ROUND(IF(c_TTYPE=2,c_T2MX-IF(c_T1MX=c_T1MN,0,(C93-c_T1MN)/(c_T1MX-c_T1MN))*(c_T2MX-c_T2MN),c_T2MN+IF(c_T1MX=c_T1MN,0,(C93-c_T1MN)/(c_T1MX-c_T1MN))*(c_T2MX-c_T2MN))+o_MISMATCH,0),"")</f>
        <v/>
      </c>
      <c r="G93" s="7" t="str">
        <f aca="false">IF(c_TPOT&gt;1,IF(((c_T2MX)-(c_T2MN))=0,(0)+QUOTIENT(((1000)-(0)),2),QUOTIENT((((F93)-(c_T2MN))*((1000)-(0))+IF(((1000)-(0))&gt;=0,1,-1)*QUOTIENT(((c_T2MX)-(c_T2MN)),2)),((c_T2MX)-(c_T2MN)))+(0)+IF(((1000)-(0))&gt;=0,IF(IF(o_WRAP=1,MOD(((c_T2MX)-(c_T2MN))*(((F93)-(c_T2MN))*((1000)-(0))+IF(((1000)-(0))&gt;=0,1,-1)*QUOTIENT(((c_T2MX)-(c_T2MN)),2))+2147483648,4294967296)-2147483648,((c_T2MX)-(c_T2MN))*(((F93)-(c_T2MN))*((1000)-(0))+IF(((1000)-(0))&gt;=0,1,-1)*QUOTIENT(((c_T2MX)-(c_T2MN)),2)))&lt;0,-1,0),IF(IF(o_WRAP=1,MOD(((c_T2MX)-(c_T2MN))*(((F93)-(c_T2MN))*((1000)-(0))+IF(((1000)-(0))&gt;=0,1,-1)*QUOTIENT(((c_T2MX)-(c_T2MN)),2))+2147483648,4294967296)-2147483648,((c_T2MX)-(c_T2MN))*(((F93)-(c_T2MN))*((1000)-(0))+IF(((1000)-(0))&gt;=0,1,-1)*QUOTIENT(((c_T2MX)-(c_T2MN)),2)))&gt;=0,1,0))),"")</f>
        <v/>
      </c>
      <c r="H93" s="7" t="str">
        <f aca="false">IF(E93&gt;1000+k_TOL,"T1 HIGH",IF(E93&lt;0-k_TOL,"T1 LOW",IF(c_TPOT&gt;1,IF(G93&gt;1000+k_TOL,"T2 HIGH",IF(G93&lt;0-k_TOL,"T2 LOW",IF(c_TTYPE=2,IF(ABS(1000-MAX(0,MIN(1000,E93))-MAX(0,MIN(1000,G93)))&gt;k_MAXERR,"MISMATCH","OK"),IF(OR(MAX(0,MIN(1000,E93))-k_MAXERR&gt;MAX(0,MIN(1000,G93)),MAX(0,MIN(1000,G93))-k_MAXERR&gt;MAX(0,MIN(1000,E93))),"MISMATCH","OK")))),"OK")))</f>
        <v>OK</v>
      </c>
      <c r="I93" s="7" t="n">
        <f aca="false">MAX(0,MIN(1000,D93))</f>
        <v>67</v>
      </c>
      <c r="J93" s="7" t="str">
        <f aca="false">IF(c_TPOT&gt;1,IF(c_TTYPE=2,1000-MAX(0,MIN(1000,G93)),MAX(0,MIN(1000,G93))),"")</f>
        <v/>
      </c>
      <c r="K93" s="7" t="n">
        <f aca="false">IF(c_TPOT&gt;1,QUOTIENT(I93+J93,2),I93)</f>
        <v>67</v>
      </c>
      <c r="L93" s="7" t="n">
        <f aca="false">IF(AND(K93=0,c_TCREEP&gt;0),10*c_TCREEP,IF(AND(K93&lt;=c_TRNGMIN,K93&gt;=c_TRNGMAX,c_TRNGMIN-c_TRNGMAX&lt;&gt;0),-10*c_TMINRN+QUOTIENT((c_TMAXRN-c_TMINRN)*(100-QUOTIENT((K93-c_TRNGMAX)*100,c_TRNGMIN-c_TRNGMAX)),-10),0))</f>
        <v>0</v>
      </c>
      <c r="M93" s="7" t="n">
        <f aca="false">IF(((c_TMAP1IN)-(c_TFWD))=0,(0)+QUOTIENT(((c_TMAP1OUT)-(0)),2),QUOTIENT((((K93)-(c_TFWD))*((c_TMAP1OUT)-(0))+IF(((c_TMAP1OUT)-(0))&gt;=0,1,-1)*QUOTIENT(((c_TMAP1IN)-(c_TFWD)),2)),((c_TMAP1IN)-(c_TFWD)))+(0)+IF(((c_TMAP1OUT)-(0))&gt;=0,IF(IF(o_WRAP=1,MOD(((c_TMAP1IN)-(c_TFWD))*(((K93)-(c_TFWD))*((c_TMAP1OUT)-(0))+IF(((c_TMAP1OUT)-(0))&gt;=0,1,-1)*QUOTIENT(((c_TMAP1IN)-(c_TFWD)),2))+2147483648,4294967296)-2147483648,((c_TMAP1IN)-(c_TFWD))*(((K93)-(c_TFWD))*((c_TMAP1OUT)-(0))+IF(((c_TMAP1OUT)-(0))&gt;=0,1,-1)*QUOTIENT(((c_TMAP1IN)-(c_TFWD)),2)))&lt;0,-1,0),IF(IF(o_WRAP=1,MOD(((c_TMAP1IN)-(c_TFWD))*(((K93)-(c_TFWD))*((c_TMAP1OUT)-(0))+IF(((c_TMAP1OUT)-(0))&gt;=0,1,-1)*QUOTIENT(((c_TMAP1IN)-(c_TFWD)),2))+2147483648,4294967296)-2147483648,((c_TMAP1IN)-(c_TFWD))*(((K93)-(c_TFWD))*((c_TMAP1OUT)-(0))+IF(((c_TMAP1OUT)-(0))&gt;=0,1,-1)*QUOTIENT(((c_TMAP1IN)-(c_TFWD)),2)))&gt;=0,1,0)))</f>
        <v>44</v>
      </c>
      <c r="N93" s="7" t="n">
        <f aca="false">IF(((c_TMAP2IN)-(c_TMAP1IN))=0,(c_TMAP1OUT)+QUOTIENT(((c_TMAP2OUT)-(c_TMAP1OUT)),2),QUOTIENT((((K93)-(c_TMAP1IN))*((c_TMAP2OUT)-(c_TMAP1OUT))+IF(((c_TMAP2OUT)-(c_TMAP1OUT))&gt;=0,1,-1)*QUOTIENT(((c_TMAP2IN)-(c_TMAP1IN)),2)),((c_TMAP2IN)-(c_TMAP1IN)))+(c_TMAP1OUT)+IF(((c_TMAP2OUT)-(c_TMAP1OUT))&gt;=0,IF(IF(o_WRAP=1,MOD(((c_TMAP2IN)-(c_TMAP1IN))*(((K93)-(c_TMAP1IN))*((c_TMAP2OUT)-(c_TMAP1OUT))+IF(((c_TMAP2OUT)-(c_TMAP1OUT))&gt;=0,1,-1)*QUOTIENT(((c_TMAP2IN)-(c_TMAP1IN)),2))+2147483648,4294967296)-2147483648,((c_TMAP2IN)-(c_TMAP1IN))*(((K93)-(c_TMAP1IN))*((c_TMAP2OUT)-(c_TMAP1OUT))+IF(((c_TMAP2OUT)-(c_TMAP1OUT))&gt;=0,1,-1)*QUOTIENT(((c_TMAP2IN)-(c_TMAP1IN)),2)))&lt;0,-1,0),IF(IF(o_WRAP=1,MOD(((c_TMAP2IN)-(c_TMAP1IN))*(((K93)-(c_TMAP1IN))*((c_TMAP2OUT)-(c_TMAP1OUT))+IF(((c_TMAP2OUT)-(c_TMAP1OUT))&gt;=0,1,-1)*QUOTIENT(((c_TMAP2IN)-(c_TMAP1IN)),2))+2147483648,4294967296)-2147483648,((c_TMAP2IN)-(c_TMAP1IN))*(((K93)-(c_TMAP1IN))*((c_TMAP2OUT)-(c_TMAP1OUT))+IF(((c_TMAP2OUT)-(c_TMAP1OUT))&gt;=0,1,-1)*QUOTIENT(((c_TMAP2IN)-(c_TMAP1IN)),2)))&gt;=0,1,0)))</f>
        <v>57</v>
      </c>
      <c r="O93" s="7" t="n">
        <f aca="false">IF(((c_TMAP3IN)-(c_TMAP2IN))=0,(c_TMAP2OUT)+QUOTIENT(((c_TMAP3OUT)-(c_TMAP2OUT)),2),QUOTIENT((((K93)-(c_TMAP2IN))*((c_TMAP3OUT)-(c_TMAP2OUT))+IF(((c_TMAP3OUT)-(c_TMAP2OUT))&gt;=0,1,-1)*QUOTIENT(((c_TMAP3IN)-(c_TMAP2IN)),2)),((c_TMAP3IN)-(c_TMAP2IN)))+(c_TMAP2OUT)+IF(((c_TMAP3OUT)-(c_TMAP2OUT))&gt;=0,IF(IF(o_WRAP=1,MOD(((c_TMAP3IN)-(c_TMAP2IN))*(((K93)-(c_TMAP2IN))*((c_TMAP3OUT)-(c_TMAP2OUT))+IF(((c_TMAP3OUT)-(c_TMAP2OUT))&gt;=0,1,-1)*QUOTIENT(((c_TMAP3IN)-(c_TMAP2IN)),2))+2147483648,4294967296)-2147483648,((c_TMAP3IN)-(c_TMAP2IN))*(((K93)-(c_TMAP2IN))*((c_TMAP3OUT)-(c_TMAP2OUT))+IF(((c_TMAP3OUT)-(c_TMAP2OUT))&gt;=0,1,-1)*QUOTIENT(((c_TMAP3IN)-(c_TMAP2IN)),2)))&lt;0,-1,0),IF(IF(o_WRAP=1,MOD(((c_TMAP3IN)-(c_TMAP2IN))*(((K93)-(c_TMAP2IN))*((c_TMAP3OUT)-(c_TMAP2OUT))+IF(((c_TMAP3OUT)-(c_TMAP2OUT))&gt;=0,1,-1)*QUOTIENT(((c_TMAP3IN)-(c_TMAP2IN)),2))+2147483648,4294967296)-2147483648,((c_TMAP3IN)-(c_TMAP2IN))*(((K93)-(c_TMAP2IN))*((c_TMAP3OUT)-(c_TMAP2OUT))+IF(((c_TMAP3OUT)-(c_TMAP2OUT))&gt;=0,1,-1)*QUOTIENT(((c_TMAP3IN)-(c_TMAP2IN)),2)))&gt;=0,1,0)))</f>
        <v>2</v>
      </c>
      <c r="P93" s="7" t="n">
        <f aca="false">IF(((1000)-(c_TMAP3IN))=0,(c_TMAP3OUT)+QUOTIENT(((1000)-(c_TMAP3OUT)),2),QUOTIENT((((K93)-(c_TMAP3IN))*((1000)-(c_TMAP3OUT))+IF(((1000)-(c_TMAP3OUT))&gt;=0,1,-1)*QUOTIENT(((1000)-(c_TMAP3IN)),2)),((1000)-(c_TMAP3IN)))+(c_TMAP3OUT)+IF(((1000)-(c_TMAP3OUT))&gt;=0,IF(IF(o_WRAP=1,MOD(((1000)-(c_TMAP3IN))*(((K93)-(c_TMAP3IN))*((1000)-(c_TMAP3OUT))+IF(((1000)-(c_TMAP3OUT))&gt;=0,1,-1)*QUOTIENT(((1000)-(c_TMAP3IN)),2))+2147483648,4294967296)-2147483648,((1000)-(c_TMAP3IN))*(((K93)-(c_TMAP3IN))*((1000)-(c_TMAP3OUT))+IF(((1000)-(c_TMAP3OUT))&gt;=0,1,-1)*QUOTIENT(((1000)-(c_TMAP3IN)),2)))&lt;0,-1,0),IF(IF(o_WRAP=1,MOD(((1000)-(c_TMAP3IN))*(((K93)-(c_TMAP3IN))*((1000)-(c_TMAP3OUT))+IF(((1000)-(c_TMAP3OUT))&gt;=0,1,-1)*QUOTIENT(((1000)-(c_TMAP3IN)),2))+2147483648,4294967296)-2147483648,((1000)-(c_TMAP3IN))*(((K93)-(c_TMAP3IN))*((1000)-(c_TMAP3OUT))+IF(((1000)-(c_TMAP3OUT))&gt;=0,1,-1)*QUOTIENT(((1000)-(c_TMAP3IN)),2)))&gt;=0,1,0)))</f>
        <v>-148</v>
      </c>
      <c r="Q93" s="7" t="str">
        <f aca="false">IF(K93&gt;=c_TFWD,IF(AND(K93&gt;=c_TMAP3IN,c_TMAP3IN&lt;1000),"Seg4 map3-100%",IF(AND(K93&gt;=c_TMAP2IN,c_TMAP3IN&gt;c_TMAP2IN),"Seg3 map2-map3",IF(AND(K93&gt;=c_TMAP1IN,c_TMAP2IN&gt;c_TMAP1IN),"Seg2 map1-map2","Seg1 TFWD-map1"))),IF(AND(K93=0,c_TCREEP&gt;0),"Creep",IF(AND(K93&lt;=c_TRNGMIN,K93&gt;=c_TRNGMAX,c_TRNGMIN-c_TRNGMAX&lt;&gt;0),"Regen ramp","Coast (0)")))</f>
        <v>Seg1 TFWD-map1</v>
      </c>
      <c r="R93" s="7" t="n">
        <f aca="false">IF(K93&gt;=c_TFWD,IF(AND(K93&gt;=c_TMAP3IN,c_TMAP3IN&lt;1000),P93,IF(AND(K93&gt;=c_TMAP2IN,c_TMAP3IN&gt;c_TMAP2IN),O93,IF(AND(K93&gt;=c_TMAP1IN,c_TMAP2IN&gt;c_TMAP1IN),N93,M93))),L93)</f>
        <v>44</v>
      </c>
      <c r="S93" s="7" t="str">
        <f aca="false">IF(R93&lt;-1090,"TOO LOW",IF(R93&gt;1090,"TOO HIGH",""))</f>
        <v/>
      </c>
      <c r="T93" s="15" t="n">
        <f aca="false">IF(H93&lt;&gt;"OK",0,IF(S93&lt;&gt;"",0,IF(R93&gt;979,1000,R93)))</f>
        <v>44</v>
      </c>
      <c r="U93" s="7" t="n">
        <f aca="false">T93/10</f>
        <v>4.4</v>
      </c>
    </row>
    <row r="94" customFormat="false" ht="15" hidden="false" customHeight="false" outlineLevel="0" collapsed="false">
      <c r="A94" s="7" t="n">
        <v>89</v>
      </c>
      <c r="B94" s="7" t="n">
        <f aca="false">ROUND(o_SWSTART+A94*(o_SWEND-o_SWSTART)/400,0)</f>
        <v>911</v>
      </c>
      <c r="C94" s="7" t="n">
        <f aca="false">QUOTIENT((B94-c_OFF1)*c_GAIN1,1024)</f>
        <v>911</v>
      </c>
      <c r="D94" s="7" t="n">
        <f aca="false">IF(((c_T1MX)-(c_T1MN))=0,(0)+QUOTIENT(((1000)-(0)),2),QUOTIENT((((C94)-(c_T1MN))*((1000)-(0))+IF(((1000)-(0))&gt;=0,1,-1)*QUOTIENT(((c_T1MX)-(c_T1MN)),2)),((c_T1MX)-(c_T1MN)))+(0)+IF(((1000)-(0))&gt;=0,IF(IF(o_WRAP=1,MOD(((c_T1MX)-(c_T1MN))*(((C94)-(c_T1MN))*((1000)-(0))+IF(((1000)-(0))&gt;=0,1,-1)*QUOTIENT(((c_T1MX)-(c_T1MN)),2))+2147483648,4294967296)-2147483648,((c_T1MX)-(c_T1MN))*(((C94)-(c_T1MN))*((1000)-(0))+IF(((1000)-(0))&gt;=0,1,-1)*QUOTIENT(((c_T1MX)-(c_T1MN)),2)))&lt;0,-1,0),IF(IF(o_WRAP=1,MOD(((c_T1MX)-(c_T1MN))*(((C94)-(c_T1MN))*((1000)-(0))+IF(((1000)-(0))&gt;=0,1,-1)*QUOTIENT(((c_T1MX)-(c_T1MN)),2))+2147483648,4294967296)-2147483648,((c_T1MX)-(c_T1MN))*(((C94)-(c_T1MN))*((1000)-(0))+IF(((1000)-(0))&gt;=0,1,-1)*QUOTIENT(((c_T1MX)-(c_T1MN)),2)))&gt;=0,1,0)))</f>
        <v>71</v>
      </c>
      <c r="E94" s="7" t="n">
        <f aca="false">IF(AND(c_TPOT=1,c_TTYPE=2),1000-D94,D94)</f>
        <v>71</v>
      </c>
      <c r="F94" s="7" t="str">
        <f aca="false">IF(c_TPOT&gt;1,ROUND(IF(c_TTYPE=2,c_T2MX-IF(c_T1MX=c_T1MN,0,(C94-c_T1MN)/(c_T1MX-c_T1MN))*(c_T2MX-c_T2MN),c_T2MN+IF(c_T1MX=c_T1MN,0,(C94-c_T1MN)/(c_T1MX-c_T1MN))*(c_T2MX-c_T2MN))+o_MISMATCH,0),"")</f>
        <v/>
      </c>
      <c r="G94" s="7" t="str">
        <f aca="false">IF(c_TPOT&gt;1,IF(((c_T2MX)-(c_T2MN))=0,(0)+QUOTIENT(((1000)-(0)),2),QUOTIENT((((F94)-(c_T2MN))*((1000)-(0))+IF(((1000)-(0))&gt;=0,1,-1)*QUOTIENT(((c_T2MX)-(c_T2MN)),2)),((c_T2MX)-(c_T2MN)))+(0)+IF(((1000)-(0))&gt;=0,IF(IF(o_WRAP=1,MOD(((c_T2MX)-(c_T2MN))*(((F94)-(c_T2MN))*((1000)-(0))+IF(((1000)-(0))&gt;=0,1,-1)*QUOTIENT(((c_T2MX)-(c_T2MN)),2))+2147483648,4294967296)-2147483648,((c_T2MX)-(c_T2MN))*(((F94)-(c_T2MN))*((1000)-(0))+IF(((1000)-(0))&gt;=0,1,-1)*QUOTIENT(((c_T2MX)-(c_T2MN)),2)))&lt;0,-1,0),IF(IF(o_WRAP=1,MOD(((c_T2MX)-(c_T2MN))*(((F94)-(c_T2MN))*((1000)-(0))+IF(((1000)-(0))&gt;=0,1,-1)*QUOTIENT(((c_T2MX)-(c_T2MN)),2))+2147483648,4294967296)-2147483648,((c_T2MX)-(c_T2MN))*(((F94)-(c_T2MN))*((1000)-(0))+IF(((1000)-(0))&gt;=0,1,-1)*QUOTIENT(((c_T2MX)-(c_T2MN)),2)))&gt;=0,1,0))),"")</f>
        <v/>
      </c>
      <c r="H94" s="7" t="str">
        <f aca="false">IF(E94&gt;1000+k_TOL,"T1 HIGH",IF(E94&lt;0-k_TOL,"T1 LOW",IF(c_TPOT&gt;1,IF(G94&gt;1000+k_TOL,"T2 HIGH",IF(G94&lt;0-k_TOL,"T2 LOW",IF(c_TTYPE=2,IF(ABS(1000-MAX(0,MIN(1000,E94))-MAX(0,MIN(1000,G94)))&gt;k_MAXERR,"MISMATCH","OK"),IF(OR(MAX(0,MIN(1000,E94))-k_MAXERR&gt;MAX(0,MIN(1000,G94)),MAX(0,MIN(1000,G94))-k_MAXERR&gt;MAX(0,MIN(1000,E94))),"MISMATCH","OK")))),"OK")))</f>
        <v>OK</v>
      </c>
      <c r="I94" s="7" t="n">
        <f aca="false">MAX(0,MIN(1000,D94))</f>
        <v>71</v>
      </c>
      <c r="J94" s="7" t="str">
        <f aca="false">IF(c_TPOT&gt;1,IF(c_TTYPE=2,1000-MAX(0,MIN(1000,G94)),MAX(0,MIN(1000,G94))),"")</f>
        <v/>
      </c>
      <c r="K94" s="7" t="n">
        <f aca="false">IF(c_TPOT&gt;1,QUOTIENT(I94+J94,2),I94)</f>
        <v>71</v>
      </c>
      <c r="L94" s="7" t="n">
        <f aca="false">IF(AND(K94=0,c_TCREEP&gt;0),10*c_TCREEP,IF(AND(K94&lt;=c_TRNGMIN,K94&gt;=c_TRNGMAX,c_TRNGMIN-c_TRNGMAX&lt;&gt;0),-10*c_TMINRN+QUOTIENT((c_TMAXRN-c_TMINRN)*(100-QUOTIENT((K94-c_TRNGMAX)*100,c_TRNGMIN-c_TRNGMAX)),-10),0))</f>
        <v>0</v>
      </c>
      <c r="M94" s="7" t="n">
        <f aca="false">IF(((c_TMAP1IN)-(c_TFWD))=0,(0)+QUOTIENT(((c_TMAP1OUT)-(0)),2),QUOTIENT((((K94)-(c_TFWD))*((c_TMAP1OUT)-(0))+IF(((c_TMAP1OUT)-(0))&gt;=0,1,-1)*QUOTIENT(((c_TMAP1IN)-(c_TFWD)),2)),((c_TMAP1IN)-(c_TFWD)))+(0)+IF(((c_TMAP1OUT)-(0))&gt;=0,IF(IF(o_WRAP=1,MOD(((c_TMAP1IN)-(c_TFWD))*(((K94)-(c_TFWD))*((c_TMAP1OUT)-(0))+IF(((c_TMAP1OUT)-(0))&gt;=0,1,-1)*QUOTIENT(((c_TMAP1IN)-(c_TFWD)),2))+2147483648,4294967296)-2147483648,((c_TMAP1IN)-(c_TFWD))*(((K94)-(c_TFWD))*((c_TMAP1OUT)-(0))+IF(((c_TMAP1OUT)-(0))&gt;=0,1,-1)*QUOTIENT(((c_TMAP1IN)-(c_TFWD)),2)))&lt;0,-1,0),IF(IF(o_WRAP=1,MOD(((c_TMAP1IN)-(c_TFWD))*(((K94)-(c_TFWD))*((c_TMAP1OUT)-(0))+IF(((c_TMAP1OUT)-(0))&gt;=0,1,-1)*QUOTIENT(((c_TMAP1IN)-(c_TFWD)),2))+2147483648,4294967296)-2147483648,((c_TMAP1IN)-(c_TFWD))*(((K94)-(c_TFWD))*((c_TMAP1OUT)-(0))+IF(((c_TMAP1OUT)-(0))&gt;=0,1,-1)*QUOTIENT(((c_TMAP1IN)-(c_TFWD)),2)))&gt;=0,1,0)))</f>
        <v>47</v>
      </c>
      <c r="N94" s="7" t="n">
        <f aca="false">IF(((c_TMAP2IN)-(c_TMAP1IN))=0,(c_TMAP1OUT)+QUOTIENT(((c_TMAP2OUT)-(c_TMAP1OUT)),2),QUOTIENT((((K94)-(c_TMAP1IN))*((c_TMAP2OUT)-(c_TMAP1OUT))+IF(((c_TMAP2OUT)-(c_TMAP1OUT))&gt;=0,1,-1)*QUOTIENT(((c_TMAP2IN)-(c_TMAP1IN)),2)),((c_TMAP2IN)-(c_TMAP1IN)))+(c_TMAP1OUT)+IF(((c_TMAP2OUT)-(c_TMAP1OUT))&gt;=0,IF(IF(o_WRAP=1,MOD(((c_TMAP2IN)-(c_TMAP1IN))*(((K94)-(c_TMAP1IN))*((c_TMAP2OUT)-(c_TMAP1OUT))+IF(((c_TMAP2OUT)-(c_TMAP1OUT))&gt;=0,1,-1)*QUOTIENT(((c_TMAP2IN)-(c_TMAP1IN)),2))+2147483648,4294967296)-2147483648,((c_TMAP2IN)-(c_TMAP1IN))*(((K94)-(c_TMAP1IN))*((c_TMAP2OUT)-(c_TMAP1OUT))+IF(((c_TMAP2OUT)-(c_TMAP1OUT))&gt;=0,1,-1)*QUOTIENT(((c_TMAP2IN)-(c_TMAP1IN)),2)))&lt;0,-1,0),IF(IF(o_WRAP=1,MOD(((c_TMAP2IN)-(c_TMAP1IN))*(((K94)-(c_TMAP1IN))*((c_TMAP2OUT)-(c_TMAP1OUT))+IF(((c_TMAP2OUT)-(c_TMAP1OUT))&gt;=0,1,-1)*QUOTIENT(((c_TMAP2IN)-(c_TMAP1IN)),2))+2147483648,4294967296)-2147483648,((c_TMAP2IN)-(c_TMAP1IN))*(((K94)-(c_TMAP1IN))*((c_TMAP2OUT)-(c_TMAP1OUT))+IF(((c_TMAP2OUT)-(c_TMAP1OUT))&gt;=0,1,-1)*QUOTIENT(((c_TMAP2IN)-(c_TMAP1IN)),2)))&gt;=0,1,0)))</f>
        <v>58</v>
      </c>
      <c r="O94" s="7" t="n">
        <f aca="false">IF(((c_TMAP3IN)-(c_TMAP2IN))=0,(c_TMAP2OUT)+QUOTIENT(((c_TMAP3OUT)-(c_TMAP2OUT)),2),QUOTIENT((((K94)-(c_TMAP2IN))*((c_TMAP3OUT)-(c_TMAP2OUT))+IF(((c_TMAP3OUT)-(c_TMAP2OUT))&gt;=0,1,-1)*QUOTIENT(((c_TMAP3IN)-(c_TMAP2IN)),2)),((c_TMAP3IN)-(c_TMAP2IN)))+(c_TMAP2OUT)+IF(((c_TMAP3OUT)-(c_TMAP2OUT))&gt;=0,IF(IF(o_WRAP=1,MOD(((c_TMAP3IN)-(c_TMAP2IN))*(((K94)-(c_TMAP2IN))*((c_TMAP3OUT)-(c_TMAP2OUT))+IF(((c_TMAP3OUT)-(c_TMAP2OUT))&gt;=0,1,-1)*QUOTIENT(((c_TMAP3IN)-(c_TMAP2IN)),2))+2147483648,4294967296)-2147483648,((c_TMAP3IN)-(c_TMAP2IN))*(((K94)-(c_TMAP2IN))*((c_TMAP3OUT)-(c_TMAP2OUT))+IF(((c_TMAP3OUT)-(c_TMAP2OUT))&gt;=0,1,-1)*QUOTIENT(((c_TMAP3IN)-(c_TMAP2IN)),2)))&lt;0,-1,0),IF(IF(o_WRAP=1,MOD(((c_TMAP3IN)-(c_TMAP2IN))*(((K94)-(c_TMAP2IN))*((c_TMAP3OUT)-(c_TMAP2OUT))+IF(((c_TMAP3OUT)-(c_TMAP2OUT))&gt;=0,1,-1)*QUOTIENT(((c_TMAP3IN)-(c_TMAP2IN)),2))+2147483648,4294967296)-2147483648,((c_TMAP3IN)-(c_TMAP2IN))*(((K94)-(c_TMAP2IN))*((c_TMAP3OUT)-(c_TMAP2OUT))+IF(((c_TMAP3OUT)-(c_TMAP2OUT))&gt;=0,1,-1)*QUOTIENT(((c_TMAP3IN)-(c_TMAP2IN)),2)))&gt;=0,1,0)))</f>
        <v>5</v>
      </c>
      <c r="P94" s="7" t="n">
        <f aca="false">IF(((1000)-(c_TMAP3IN))=0,(c_TMAP3OUT)+QUOTIENT(((1000)-(c_TMAP3OUT)),2),QUOTIENT((((K94)-(c_TMAP3IN))*((1000)-(c_TMAP3OUT))+IF(((1000)-(c_TMAP3OUT))&gt;=0,1,-1)*QUOTIENT(((1000)-(c_TMAP3IN)),2)),((1000)-(c_TMAP3IN)))+(c_TMAP3OUT)+IF(((1000)-(c_TMAP3OUT))&gt;=0,IF(IF(o_WRAP=1,MOD(((1000)-(c_TMAP3IN))*(((K94)-(c_TMAP3IN))*((1000)-(c_TMAP3OUT))+IF(((1000)-(c_TMAP3OUT))&gt;=0,1,-1)*QUOTIENT(((1000)-(c_TMAP3IN)),2))+2147483648,4294967296)-2147483648,((1000)-(c_TMAP3IN))*(((K94)-(c_TMAP3IN))*((1000)-(c_TMAP3OUT))+IF(((1000)-(c_TMAP3OUT))&gt;=0,1,-1)*QUOTIENT(((1000)-(c_TMAP3IN)),2)))&lt;0,-1,0),IF(IF(o_WRAP=1,MOD(((1000)-(c_TMAP3IN))*(((K94)-(c_TMAP3IN))*((1000)-(c_TMAP3OUT))+IF(((1000)-(c_TMAP3OUT))&gt;=0,1,-1)*QUOTIENT(((1000)-(c_TMAP3IN)),2))+2147483648,4294967296)-2147483648,((1000)-(c_TMAP3IN))*(((K94)-(c_TMAP3IN))*((1000)-(c_TMAP3OUT))+IF(((1000)-(c_TMAP3OUT))&gt;=0,1,-1)*QUOTIENT(((1000)-(c_TMAP3IN)),2)))&gt;=0,1,0)))</f>
        <v>-143</v>
      </c>
      <c r="Q94" s="7" t="str">
        <f aca="false">IF(K94&gt;=c_TFWD,IF(AND(K94&gt;=c_TMAP3IN,c_TMAP3IN&lt;1000),"Seg4 map3-100%",IF(AND(K94&gt;=c_TMAP2IN,c_TMAP3IN&gt;c_TMAP2IN),"Seg3 map2-map3",IF(AND(K94&gt;=c_TMAP1IN,c_TMAP2IN&gt;c_TMAP1IN),"Seg2 map1-map2","Seg1 TFWD-map1"))),IF(AND(K94=0,c_TCREEP&gt;0),"Creep",IF(AND(K94&lt;=c_TRNGMIN,K94&gt;=c_TRNGMAX,c_TRNGMIN-c_TRNGMAX&lt;&gt;0),"Regen ramp","Coast (0)")))</f>
        <v>Seg1 TFWD-map1</v>
      </c>
      <c r="R94" s="7" t="n">
        <f aca="false">IF(K94&gt;=c_TFWD,IF(AND(K94&gt;=c_TMAP3IN,c_TMAP3IN&lt;1000),P94,IF(AND(K94&gt;=c_TMAP2IN,c_TMAP3IN&gt;c_TMAP2IN),O94,IF(AND(K94&gt;=c_TMAP1IN,c_TMAP2IN&gt;c_TMAP1IN),N94,M94))),L94)</f>
        <v>47</v>
      </c>
      <c r="S94" s="7" t="str">
        <f aca="false">IF(R94&lt;-1090,"TOO LOW",IF(R94&gt;1090,"TOO HIGH",""))</f>
        <v/>
      </c>
      <c r="T94" s="15" t="n">
        <f aca="false">IF(H94&lt;&gt;"OK",0,IF(S94&lt;&gt;"",0,IF(R94&gt;979,1000,R94)))</f>
        <v>47</v>
      </c>
      <c r="U94" s="7" t="n">
        <f aca="false">T94/10</f>
        <v>4.7</v>
      </c>
    </row>
    <row r="95" customFormat="false" ht="15" hidden="false" customHeight="false" outlineLevel="0" collapsed="false">
      <c r="A95" s="7" t="n">
        <v>90</v>
      </c>
      <c r="B95" s="7" t="n">
        <f aca="false">ROUND(o_SWSTART+A95*(o_SWEND-o_SWSTART)/400,0)</f>
        <v>921</v>
      </c>
      <c r="C95" s="7" t="n">
        <f aca="false">QUOTIENT((B95-c_OFF1)*c_GAIN1,1024)</f>
        <v>921</v>
      </c>
      <c r="D95" s="7" t="n">
        <f aca="false">IF(((c_T1MX)-(c_T1MN))=0,(0)+QUOTIENT(((1000)-(0)),2),QUOTIENT((((C95)-(c_T1MN))*((1000)-(0))+IF(((1000)-(0))&gt;=0,1,-1)*QUOTIENT(((c_T1MX)-(c_T1MN)),2)),((c_T1MX)-(c_T1MN)))+(0)+IF(((1000)-(0))&gt;=0,IF(IF(o_WRAP=1,MOD(((c_T1MX)-(c_T1MN))*(((C95)-(c_T1MN))*((1000)-(0))+IF(((1000)-(0))&gt;=0,1,-1)*QUOTIENT(((c_T1MX)-(c_T1MN)),2))+2147483648,4294967296)-2147483648,((c_T1MX)-(c_T1MN))*(((C95)-(c_T1MN))*((1000)-(0))+IF(((1000)-(0))&gt;=0,1,-1)*QUOTIENT(((c_T1MX)-(c_T1MN)),2)))&lt;0,-1,0),IF(IF(o_WRAP=1,MOD(((c_T1MX)-(c_T1MN))*(((C95)-(c_T1MN))*((1000)-(0))+IF(((1000)-(0))&gt;=0,1,-1)*QUOTIENT(((c_T1MX)-(c_T1MN)),2))+2147483648,4294967296)-2147483648,((c_T1MX)-(c_T1MN))*(((C95)-(c_T1MN))*((1000)-(0))+IF(((1000)-(0))&gt;=0,1,-1)*QUOTIENT(((c_T1MX)-(c_T1MN)),2)))&gt;=0,1,0)))</f>
        <v>75</v>
      </c>
      <c r="E95" s="7" t="n">
        <f aca="false">IF(AND(c_TPOT=1,c_TTYPE=2),1000-D95,D95)</f>
        <v>75</v>
      </c>
      <c r="F95" s="7" t="str">
        <f aca="false">IF(c_TPOT&gt;1,ROUND(IF(c_TTYPE=2,c_T2MX-IF(c_T1MX=c_T1MN,0,(C95-c_T1MN)/(c_T1MX-c_T1MN))*(c_T2MX-c_T2MN),c_T2MN+IF(c_T1MX=c_T1MN,0,(C95-c_T1MN)/(c_T1MX-c_T1MN))*(c_T2MX-c_T2MN))+o_MISMATCH,0),"")</f>
        <v/>
      </c>
      <c r="G95" s="7" t="str">
        <f aca="false">IF(c_TPOT&gt;1,IF(((c_T2MX)-(c_T2MN))=0,(0)+QUOTIENT(((1000)-(0)),2),QUOTIENT((((F95)-(c_T2MN))*((1000)-(0))+IF(((1000)-(0))&gt;=0,1,-1)*QUOTIENT(((c_T2MX)-(c_T2MN)),2)),((c_T2MX)-(c_T2MN)))+(0)+IF(((1000)-(0))&gt;=0,IF(IF(o_WRAP=1,MOD(((c_T2MX)-(c_T2MN))*(((F95)-(c_T2MN))*((1000)-(0))+IF(((1000)-(0))&gt;=0,1,-1)*QUOTIENT(((c_T2MX)-(c_T2MN)),2))+2147483648,4294967296)-2147483648,((c_T2MX)-(c_T2MN))*(((F95)-(c_T2MN))*((1000)-(0))+IF(((1000)-(0))&gt;=0,1,-1)*QUOTIENT(((c_T2MX)-(c_T2MN)),2)))&lt;0,-1,0),IF(IF(o_WRAP=1,MOD(((c_T2MX)-(c_T2MN))*(((F95)-(c_T2MN))*((1000)-(0))+IF(((1000)-(0))&gt;=0,1,-1)*QUOTIENT(((c_T2MX)-(c_T2MN)),2))+2147483648,4294967296)-2147483648,((c_T2MX)-(c_T2MN))*(((F95)-(c_T2MN))*((1000)-(0))+IF(((1000)-(0))&gt;=0,1,-1)*QUOTIENT(((c_T2MX)-(c_T2MN)),2)))&gt;=0,1,0))),"")</f>
        <v/>
      </c>
      <c r="H95" s="7" t="str">
        <f aca="false">IF(E95&gt;1000+k_TOL,"T1 HIGH",IF(E95&lt;0-k_TOL,"T1 LOW",IF(c_TPOT&gt;1,IF(G95&gt;1000+k_TOL,"T2 HIGH",IF(G95&lt;0-k_TOL,"T2 LOW",IF(c_TTYPE=2,IF(ABS(1000-MAX(0,MIN(1000,E95))-MAX(0,MIN(1000,G95)))&gt;k_MAXERR,"MISMATCH","OK"),IF(OR(MAX(0,MIN(1000,E95))-k_MAXERR&gt;MAX(0,MIN(1000,G95)),MAX(0,MIN(1000,G95))-k_MAXERR&gt;MAX(0,MIN(1000,E95))),"MISMATCH","OK")))),"OK")))</f>
        <v>OK</v>
      </c>
      <c r="I95" s="7" t="n">
        <f aca="false">MAX(0,MIN(1000,D95))</f>
        <v>75</v>
      </c>
      <c r="J95" s="7" t="str">
        <f aca="false">IF(c_TPOT&gt;1,IF(c_TTYPE=2,1000-MAX(0,MIN(1000,G95)),MAX(0,MIN(1000,G95))),"")</f>
        <v/>
      </c>
      <c r="K95" s="7" t="n">
        <f aca="false">IF(c_TPOT&gt;1,QUOTIENT(I95+J95,2),I95)</f>
        <v>75</v>
      </c>
      <c r="L95" s="7" t="n">
        <f aca="false">IF(AND(K95=0,c_TCREEP&gt;0),10*c_TCREEP,IF(AND(K95&lt;=c_TRNGMIN,K95&gt;=c_TRNGMAX,c_TRNGMIN-c_TRNGMAX&lt;&gt;0),-10*c_TMINRN+QUOTIENT((c_TMAXRN-c_TMINRN)*(100-QUOTIENT((K95-c_TRNGMAX)*100,c_TRNGMIN-c_TRNGMAX)),-10),0))</f>
        <v>0</v>
      </c>
      <c r="M95" s="7" t="n">
        <f aca="false">IF(((c_TMAP1IN)-(c_TFWD))=0,(0)+QUOTIENT(((c_TMAP1OUT)-(0)),2),QUOTIENT((((K95)-(c_TFWD))*((c_TMAP1OUT)-(0))+IF(((c_TMAP1OUT)-(0))&gt;=0,1,-1)*QUOTIENT(((c_TMAP1IN)-(c_TFWD)),2)),((c_TMAP1IN)-(c_TFWD)))+(0)+IF(((c_TMAP1OUT)-(0))&gt;=0,IF(IF(o_WRAP=1,MOD(((c_TMAP1IN)-(c_TFWD))*(((K95)-(c_TFWD))*((c_TMAP1OUT)-(0))+IF(((c_TMAP1OUT)-(0))&gt;=0,1,-1)*QUOTIENT(((c_TMAP1IN)-(c_TFWD)),2))+2147483648,4294967296)-2147483648,((c_TMAP1IN)-(c_TFWD))*(((K95)-(c_TFWD))*((c_TMAP1OUT)-(0))+IF(((c_TMAP1OUT)-(0))&gt;=0,1,-1)*QUOTIENT(((c_TMAP1IN)-(c_TFWD)),2)))&lt;0,-1,0),IF(IF(o_WRAP=1,MOD(((c_TMAP1IN)-(c_TFWD))*(((K95)-(c_TFWD))*((c_TMAP1OUT)-(0))+IF(((c_TMAP1OUT)-(0))&gt;=0,1,-1)*QUOTIENT(((c_TMAP1IN)-(c_TFWD)),2))+2147483648,4294967296)-2147483648,((c_TMAP1IN)-(c_TFWD))*(((K95)-(c_TFWD))*((c_TMAP1OUT)-(0))+IF(((c_TMAP1OUT)-(0))&gt;=0,1,-1)*QUOTIENT(((c_TMAP1IN)-(c_TFWD)),2)))&gt;=0,1,0)))</f>
        <v>51</v>
      </c>
      <c r="N95" s="7" t="n">
        <f aca="false">IF(((c_TMAP2IN)-(c_TMAP1IN))=0,(c_TMAP1OUT)+QUOTIENT(((c_TMAP2OUT)-(c_TMAP1OUT)),2),QUOTIENT((((K95)-(c_TMAP1IN))*((c_TMAP2OUT)-(c_TMAP1OUT))+IF(((c_TMAP2OUT)-(c_TMAP1OUT))&gt;=0,1,-1)*QUOTIENT(((c_TMAP2IN)-(c_TMAP1IN)),2)),((c_TMAP2IN)-(c_TMAP1IN)))+(c_TMAP1OUT)+IF(((c_TMAP2OUT)-(c_TMAP1OUT))&gt;=0,IF(IF(o_WRAP=1,MOD(((c_TMAP2IN)-(c_TMAP1IN))*(((K95)-(c_TMAP1IN))*((c_TMAP2OUT)-(c_TMAP1OUT))+IF(((c_TMAP2OUT)-(c_TMAP1OUT))&gt;=0,1,-1)*QUOTIENT(((c_TMAP2IN)-(c_TMAP1IN)),2))+2147483648,4294967296)-2147483648,((c_TMAP2IN)-(c_TMAP1IN))*(((K95)-(c_TMAP1IN))*((c_TMAP2OUT)-(c_TMAP1OUT))+IF(((c_TMAP2OUT)-(c_TMAP1OUT))&gt;=0,1,-1)*QUOTIENT(((c_TMAP2IN)-(c_TMAP1IN)),2)))&lt;0,-1,0),IF(IF(o_WRAP=1,MOD(((c_TMAP2IN)-(c_TMAP1IN))*(((K95)-(c_TMAP1IN))*((c_TMAP2OUT)-(c_TMAP1OUT))+IF(((c_TMAP2OUT)-(c_TMAP1OUT))&gt;=0,1,-1)*QUOTIENT(((c_TMAP2IN)-(c_TMAP1IN)),2))+2147483648,4294967296)-2147483648,((c_TMAP2IN)-(c_TMAP1IN))*(((K95)-(c_TMAP1IN))*((c_TMAP2OUT)-(c_TMAP1OUT))+IF(((c_TMAP2OUT)-(c_TMAP1OUT))&gt;=0,1,-1)*QUOTIENT(((c_TMAP2IN)-(c_TMAP1IN)),2)))&gt;=0,1,0)))</f>
        <v>60</v>
      </c>
      <c r="O95" s="7" t="n">
        <f aca="false">IF(((c_TMAP3IN)-(c_TMAP2IN))=0,(c_TMAP2OUT)+QUOTIENT(((c_TMAP3OUT)-(c_TMAP2OUT)),2),QUOTIENT((((K95)-(c_TMAP2IN))*((c_TMAP3OUT)-(c_TMAP2OUT))+IF(((c_TMAP3OUT)-(c_TMAP2OUT))&gt;=0,1,-1)*QUOTIENT(((c_TMAP3IN)-(c_TMAP2IN)),2)),((c_TMAP3IN)-(c_TMAP2IN)))+(c_TMAP2OUT)+IF(((c_TMAP3OUT)-(c_TMAP2OUT))&gt;=0,IF(IF(o_WRAP=1,MOD(((c_TMAP3IN)-(c_TMAP2IN))*(((K95)-(c_TMAP2IN))*((c_TMAP3OUT)-(c_TMAP2OUT))+IF(((c_TMAP3OUT)-(c_TMAP2OUT))&gt;=0,1,-1)*QUOTIENT(((c_TMAP3IN)-(c_TMAP2IN)),2))+2147483648,4294967296)-2147483648,((c_TMAP3IN)-(c_TMAP2IN))*(((K95)-(c_TMAP2IN))*((c_TMAP3OUT)-(c_TMAP2OUT))+IF(((c_TMAP3OUT)-(c_TMAP2OUT))&gt;=0,1,-1)*QUOTIENT(((c_TMAP3IN)-(c_TMAP2IN)),2)))&lt;0,-1,0),IF(IF(o_WRAP=1,MOD(((c_TMAP3IN)-(c_TMAP2IN))*(((K95)-(c_TMAP2IN))*((c_TMAP3OUT)-(c_TMAP2OUT))+IF(((c_TMAP3OUT)-(c_TMAP2OUT))&gt;=0,1,-1)*QUOTIENT(((c_TMAP3IN)-(c_TMAP2IN)),2))+2147483648,4294967296)-2147483648,((c_TMAP3IN)-(c_TMAP2IN))*(((K95)-(c_TMAP2IN))*((c_TMAP3OUT)-(c_TMAP2OUT))+IF(((c_TMAP3OUT)-(c_TMAP2OUT))&gt;=0,1,-1)*QUOTIENT(((c_TMAP3IN)-(c_TMAP2IN)),2)))&gt;=0,1,0)))</f>
        <v>7</v>
      </c>
      <c r="P95" s="7" t="n">
        <f aca="false">IF(((1000)-(c_TMAP3IN))=0,(c_TMAP3OUT)+QUOTIENT(((1000)-(c_TMAP3OUT)),2),QUOTIENT((((K95)-(c_TMAP3IN))*((1000)-(c_TMAP3OUT))+IF(((1000)-(c_TMAP3OUT))&gt;=0,1,-1)*QUOTIENT(((1000)-(c_TMAP3IN)),2)),((1000)-(c_TMAP3IN)))+(c_TMAP3OUT)+IF(((1000)-(c_TMAP3OUT))&gt;=0,IF(IF(o_WRAP=1,MOD(((1000)-(c_TMAP3IN))*(((K95)-(c_TMAP3IN))*((1000)-(c_TMAP3OUT))+IF(((1000)-(c_TMAP3OUT))&gt;=0,1,-1)*QUOTIENT(((1000)-(c_TMAP3IN)),2))+2147483648,4294967296)-2147483648,((1000)-(c_TMAP3IN))*(((K95)-(c_TMAP3IN))*((1000)-(c_TMAP3OUT))+IF(((1000)-(c_TMAP3OUT))&gt;=0,1,-1)*QUOTIENT(((1000)-(c_TMAP3IN)),2)))&lt;0,-1,0),IF(IF(o_WRAP=1,MOD(((1000)-(c_TMAP3IN))*(((K95)-(c_TMAP3IN))*((1000)-(c_TMAP3OUT))+IF(((1000)-(c_TMAP3OUT))&gt;=0,1,-1)*QUOTIENT(((1000)-(c_TMAP3IN)),2))+2147483648,4294967296)-2147483648,((1000)-(c_TMAP3IN))*(((K95)-(c_TMAP3IN))*((1000)-(c_TMAP3OUT))+IF(((1000)-(c_TMAP3OUT))&gt;=0,1,-1)*QUOTIENT(((1000)-(c_TMAP3IN)),2)))&gt;=0,1,0)))</f>
        <v>-138</v>
      </c>
      <c r="Q95" s="7" t="str">
        <f aca="false">IF(K95&gt;=c_TFWD,IF(AND(K95&gt;=c_TMAP3IN,c_TMAP3IN&lt;1000),"Seg4 map3-100%",IF(AND(K95&gt;=c_TMAP2IN,c_TMAP3IN&gt;c_TMAP2IN),"Seg3 map2-map3",IF(AND(K95&gt;=c_TMAP1IN,c_TMAP2IN&gt;c_TMAP1IN),"Seg2 map1-map2","Seg1 TFWD-map1"))),IF(AND(K95=0,c_TCREEP&gt;0),"Creep",IF(AND(K95&lt;=c_TRNGMIN,K95&gt;=c_TRNGMAX,c_TRNGMIN-c_TRNGMAX&lt;&gt;0),"Regen ramp","Coast (0)")))</f>
        <v>Seg1 TFWD-map1</v>
      </c>
      <c r="R95" s="7" t="n">
        <f aca="false">IF(K95&gt;=c_TFWD,IF(AND(K95&gt;=c_TMAP3IN,c_TMAP3IN&lt;1000),P95,IF(AND(K95&gt;=c_TMAP2IN,c_TMAP3IN&gt;c_TMAP2IN),O95,IF(AND(K95&gt;=c_TMAP1IN,c_TMAP2IN&gt;c_TMAP1IN),N95,M95))),L95)</f>
        <v>51</v>
      </c>
      <c r="S95" s="7" t="str">
        <f aca="false">IF(R95&lt;-1090,"TOO LOW",IF(R95&gt;1090,"TOO HIGH",""))</f>
        <v/>
      </c>
      <c r="T95" s="15" t="n">
        <f aca="false">IF(H95&lt;&gt;"OK",0,IF(S95&lt;&gt;"",0,IF(R95&gt;979,1000,R95)))</f>
        <v>51</v>
      </c>
      <c r="U95" s="7" t="n">
        <f aca="false">T95/10</f>
        <v>5.1</v>
      </c>
    </row>
    <row r="96" customFormat="false" ht="15" hidden="false" customHeight="false" outlineLevel="0" collapsed="false">
      <c r="A96" s="7" t="n">
        <v>91</v>
      </c>
      <c r="B96" s="7" t="n">
        <f aca="false">ROUND(o_SWSTART+A96*(o_SWEND-o_SWSTART)/400,0)</f>
        <v>932</v>
      </c>
      <c r="C96" s="7" t="n">
        <f aca="false">QUOTIENT((B96-c_OFF1)*c_GAIN1,1024)</f>
        <v>932</v>
      </c>
      <c r="D96" s="7" t="n">
        <f aca="false">IF(((c_T1MX)-(c_T1MN))=0,(0)+QUOTIENT(((1000)-(0)),2),QUOTIENT((((C96)-(c_T1MN))*((1000)-(0))+IF(((1000)-(0))&gt;=0,1,-1)*QUOTIENT(((c_T1MX)-(c_T1MN)),2)),((c_T1MX)-(c_T1MN)))+(0)+IF(((1000)-(0))&gt;=0,IF(IF(o_WRAP=1,MOD(((c_T1MX)-(c_T1MN))*(((C96)-(c_T1MN))*((1000)-(0))+IF(((1000)-(0))&gt;=0,1,-1)*QUOTIENT(((c_T1MX)-(c_T1MN)),2))+2147483648,4294967296)-2147483648,((c_T1MX)-(c_T1MN))*(((C96)-(c_T1MN))*((1000)-(0))+IF(((1000)-(0))&gt;=0,1,-1)*QUOTIENT(((c_T1MX)-(c_T1MN)),2)))&lt;0,-1,0),IF(IF(o_WRAP=1,MOD(((c_T1MX)-(c_T1MN))*(((C96)-(c_T1MN))*((1000)-(0))+IF(((1000)-(0))&gt;=0,1,-1)*QUOTIENT(((c_T1MX)-(c_T1MN)),2))+2147483648,4294967296)-2147483648,((c_T1MX)-(c_T1MN))*(((C96)-(c_T1MN))*((1000)-(0))+IF(((1000)-(0))&gt;=0,1,-1)*QUOTIENT(((c_T1MX)-(c_T1MN)),2)))&gt;=0,1,0)))</f>
        <v>79</v>
      </c>
      <c r="E96" s="7" t="n">
        <f aca="false">IF(AND(c_TPOT=1,c_TTYPE=2),1000-D96,D96)</f>
        <v>79</v>
      </c>
      <c r="F96" s="7" t="str">
        <f aca="false">IF(c_TPOT&gt;1,ROUND(IF(c_TTYPE=2,c_T2MX-IF(c_T1MX=c_T1MN,0,(C96-c_T1MN)/(c_T1MX-c_T1MN))*(c_T2MX-c_T2MN),c_T2MN+IF(c_T1MX=c_T1MN,0,(C96-c_T1MN)/(c_T1MX-c_T1MN))*(c_T2MX-c_T2MN))+o_MISMATCH,0),"")</f>
        <v/>
      </c>
      <c r="G96" s="7" t="str">
        <f aca="false">IF(c_TPOT&gt;1,IF(((c_T2MX)-(c_T2MN))=0,(0)+QUOTIENT(((1000)-(0)),2),QUOTIENT((((F96)-(c_T2MN))*((1000)-(0))+IF(((1000)-(0))&gt;=0,1,-1)*QUOTIENT(((c_T2MX)-(c_T2MN)),2)),((c_T2MX)-(c_T2MN)))+(0)+IF(((1000)-(0))&gt;=0,IF(IF(o_WRAP=1,MOD(((c_T2MX)-(c_T2MN))*(((F96)-(c_T2MN))*((1000)-(0))+IF(((1000)-(0))&gt;=0,1,-1)*QUOTIENT(((c_T2MX)-(c_T2MN)),2))+2147483648,4294967296)-2147483648,((c_T2MX)-(c_T2MN))*(((F96)-(c_T2MN))*((1000)-(0))+IF(((1000)-(0))&gt;=0,1,-1)*QUOTIENT(((c_T2MX)-(c_T2MN)),2)))&lt;0,-1,0),IF(IF(o_WRAP=1,MOD(((c_T2MX)-(c_T2MN))*(((F96)-(c_T2MN))*((1000)-(0))+IF(((1000)-(0))&gt;=0,1,-1)*QUOTIENT(((c_T2MX)-(c_T2MN)),2))+2147483648,4294967296)-2147483648,((c_T2MX)-(c_T2MN))*(((F96)-(c_T2MN))*((1000)-(0))+IF(((1000)-(0))&gt;=0,1,-1)*QUOTIENT(((c_T2MX)-(c_T2MN)),2)))&gt;=0,1,0))),"")</f>
        <v/>
      </c>
      <c r="H96" s="7" t="str">
        <f aca="false">IF(E96&gt;1000+k_TOL,"T1 HIGH",IF(E96&lt;0-k_TOL,"T1 LOW",IF(c_TPOT&gt;1,IF(G96&gt;1000+k_TOL,"T2 HIGH",IF(G96&lt;0-k_TOL,"T2 LOW",IF(c_TTYPE=2,IF(ABS(1000-MAX(0,MIN(1000,E96))-MAX(0,MIN(1000,G96)))&gt;k_MAXERR,"MISMATCH","OK"),IF(OR(MAX(0,MIN(1000,E96))-k_MAXERR&gt;MAX(0,MIN(1000,G96)),MAX(0,MIN(1000,G96))-k_MAXERR&gt;MAX(0,MIN(1000,E96))),"MISMATCH","OK")))),"OK")))</f>
        <v>OK</v>
      </c>
      <c r="I96" s="7" t="n">
        <f aca="false">MAX(0,MIN(1000,D96))</f>
        <v>79</v>
      </c>
      <c r="J96" s="7" t="str">
        <f aca="false">IF(c_TPOT&gt;1,IF(c_TTYPE=2,1000-MAX(0,MIN(1000,G96)),MAX(0,MIN(1000,G96))),"")</f>
        <v/>
      </c>
      <c r="K96" s="7" t="n">
        <f aca="false">IF(c_TPOT&gt;1,QUOTIENT(I96+J96,2),I96)</f>
        <v>79</v>
      </c>
      <c r="L96" s="7" t="n">
        <f aca="false">IF(AND(K96=0,c_TCREEP&gt;0),10*c_TCREEP,IF(AND(K96&lt;=c_TRNGMIN,K96&gt;=c_TRNGMAX,c_TRNGMIN-c_TRNGMAX&lt;&gt;0),-10*c_TMINRN+QUOTIENT((c_TMAXRN-c_TMINRN)*(100-QUOTIENT((K96-c_TRNGMAX)*100,c_TRNGMIN-c_TRNGMAX)),-10),0))</f>
        <v>0</v>
      </c>
      <c r="M96" s="7" t="n">
        <f aca="false">IF(((c_TMAP1IN)-(c_TFWD))=0,(0)+QUOTIENT(((c_TMAP1OUT)-(0)),2),QUOTIENT((((K96)-(c_TFWD))*((c_TMAP1OUT)-(0))+IF(((c_TMAP1OUT)-(0))&gt;=0,1,-1)*QUOTIENT(((c_TMAP1IN)-(c_TFWD)),2)),((c_TMAP1IN)-(c_TFWD)))+(0)+IF(((c_TMAP1OUT)-(0))&gt;=0,IF(IF(o_WRAP=1,MOD(((c_TMAP1IN)-(c_TFWD))*(((K96)-(c_TFWD))*((c_TMAP1OUT)-(0))+IF(((c_TMAP1OUT)-(0))&gt;=0,1,-1)*QUOTIENT(((c_TMAP1IN)-(c_TFWD)),2))+2147483648,4294967296)-2147483648,((c_TMAP1IN)-(c_TFWD))*(((K96)-(c_TFWD))*((c_TMAP1OUT)-(0))+IF(((c_TMAP1OUT)-(0))&gt;=0,1,-1)*QUOTIENT(((c_TMAP1IN)-(c_TFWD)),2)))&lt;0,-1,0),IF(IF(o_WRAP=1,MOD(((c_TMAP1IN)-(c_TFWD))*(((K96)-(c_TFWD))*((c_TMAP1OUT)-(0))+IF(((c_TMAP1OUT)-(0))&gt;=0,1,-1)*QUOTIENT(((c_TMAP1IN)-(c_TFWD)),2))+2147483648,4294967296)-2147483648,((c_TMAP1IN)-(c_TFWD))*(((K96)-(c_TFWD))*((c_TMAP1OUT)-(0))+IF(((c_TMAP1OUT)-(0))&gt;=0,1,-1)*QUOTIENT(((c_TMAP1IN)-(c_TFWD)),2)))&gt;=0,1,0)))</f>
        <v>54</v>
      </c>
      <c r="N96" s="7" t="n">
        <f aca="false">IF(((c_TMAP2IN)-(c_TMAP1IN))=0,(c_TMAP1OUT)+QUOTIENT(((c_TMAP2OUT)-(c_TMAP1OUT)),2),QUOTIENT((((K96)-(c_TMAP1IN))*((c_TMAP2OUT)-(c_TMAP1OUT))+IF(((c_TMAP2OUT)-(c_TMAP1OUT))&gt;=0,1,-1)*QUOTIENT(((c_TMAP2IN)-(c_TMAP1IN)),2)),((c_TMAP2IN)-(c_TMAP1IN)))+(c_TMAP1OUT)+IF(((c_TMAP2OUT)-(c_TMAP1OUT))&gt;=0,IF(IF(o_WRAP=1,MOD(((c_TMAP2IN)-(c_TMAP1IN))*(((K96)-(c_TMAP1IN))*((c_TMAP2OUT)-(c_TMAP1OUT))+IF(((c_TMAP2OUT)-(c_TMAP1OUT))&gt;=0,1,-1)*QUOTIENT(((c_TMAP2IN)-(c_TMAP1IN)),2))+2147483648,4294967296)-2147483648,((c_TMAP2IN)-(c_TMAP1IN))*(((K96)-(c_TMAP1IN))*((c_TMAP2OUT)-(c_TMAP1OUT))+IF(((c_TMAP2OUT)-(c_TMAP1OUT))&gt;=0,1,-1)*QUOTIENT(((c_TMAP2IN)-(c_TMAP1IN)),2)))&lt;0,-1,0),IF(IF(o_WRAP=1,MOD(((c_TMAP2IN)-(c_TMAP1IN))*(((K96)-(c_TMAP1IN))*((c_TMAP2OUT)-(c_TMAP1OUT))+IF(((c_TMAP2OUT)-(c_TMAP1OUT))&gt;=0,1,-1)*QUOTIENT(((c_TMAP2IN)-(c_TMAP1IN)),2))+2147483648,4294967296)-2147483648,((c_TMAP2IN)-(c_TMAP1IN))*(((K96)-(c_TMAP1IN))*((c_TMAP2OUT)-(c_TMAP1OUT))+IF(((c_TMAP2OUT)-(c_TMAP1OUT))&gt;=0,1,-1)*QUOTIENT(((c_TMAP2IN)-(c_TMAP1IN)),2)))&gt;=0,1,0)))</f>
        <v>62</v>
      </c>
      <c r="O96" s="7" t="n">
        <f aca="false">IF(((c_TMAP3IN)-(c_TMAP2IN))=0,(c_TMAP2OUT)+QUOTIENT(((c_TMAP3OUT)-(c_TMAP2OUT)),2),QUOTIENT((((K96)-(c_TMAP2IN))*((c_TMAP3OUT)-(c_TMAP2OUT))+IF(((c_TMAP3OUT)-(c_TMAP2OUT))&gt;=0,1,-1)*QUOTIENT(((c_TMAP3IN)-(c_TMAP2IN)),2)),((c_TMAP3IN)-(c_TMAP2IN)))+(c_TMAP2OUT)+IF(((c_TMAP3OUT)-(c_TMAP2OUT))&gt;=0,IF(IF(o_WRAP=1,MOD(((c_TMAP3IN)-(c_TMAP2IN))*(((K96)-(c_TMAP2IN))*((c_TMAP3OUT)-(c_TMAP2OUT))+IF(((c_TMAP3OUT)-(c_TMAP2OUT))&gt;=0,1,-1)*QUOTIENT(((c_TMAP3IN)-(c_TMAP2IN)),2))+2147483648,4294967296)-2147483648,((c_TMAP3IN)-(c_TMAP2IN))*(((K96)-(c_TMAP2IN))*((c_TMAP3OUT)-(c_TMAP2OUT))+IF(((c_TMAP3OUT)-(c_TMAP2OUT))&gt;=0,1,-1)*QUOTIENT(((c_TMAP3IN)-(c_TMAP2IN)),2)))&lt;0,-1,0),IF(IF(o_WRAP=1,MOD(((c_TMAP3IN)-(c_TMAP2IN))*(((K96)-(c_TMAP2IN))*((c_TMAP3OUT)-(c_TMAP2OUT))+IF(((c_TMAP3OUT)-(c_TMAP2OUT))&gt;=0,1,-1)*QUOTIENT(((c_TMAP3IN)-(c_TMAP2IN)),2))+2147483648,4294967296)-2147483648,((c_TMAP3IN)-(c_TMAP2IN))*(((K96)-(c_TMAP2IN))*((c_TMAP3OUT)-(c_TMAP2OUT))+IF(((c_TMAP3OUT)-(c_TMAP2OUT))&gt;=0,1,-1)*QUOTIENT(((c_TMAP3IN)-(c_TMAP2IN)),2)))&gt;=0,1,0)))</f>
        <v>10</v>
      </c>
      <c r="P96" s="7" t="n">
        <f aca="false">IF(((1000)-(c_TMAP3IN))=0,(c_TMAP3OUT)+QUOTIENT(((1000)-(c_TMAP3OUT)),2),QUOTIENT((((K96)-(c_TMAP3IN))*((1000)-(c_TMAP3OUT))+IF(((1000)-(c_TMAP3OUT))&gt;=0,1,-1)*QUOTIENT(((1000)-(c_TMAP3IN)),2)),((1000)-(c_TMAP3IN)))+(c_TMAP3OUT)+IF(((1000)-(c_TMAP3OUT))&gt;=0,IF(IF(o_WRAP=1,MOD(((1000)-(c_TMAP3IN))*(((K96)-(c_TMAP3IN))*((1000)-(c_TMAP3OUT))+IF(((1000)-(c_TMAP3OUT))&gt;=0,1,-1)*QUOTIENT(((1000)-(c_TMAP3IN)),2))+2147483648,4294967296)-2147483648,((1000)-(c_TMAP3IN))*(((K96)-(c_TMAP3IN))*((1000)-(c_TMAP3OUT))+IF(((1000)-(c_TMAP3OUT))&gt;=0,1,-1)*QUOTIENT(((1000)-(c_TMAP3IN)),2)))&lt;0,-1,0),IF(IF(o_WRAP=1,MOD(((1000)-(c_TMAP3IN))*(((K96)-(c_TMAP3IN))*((1000)-(c_TMAP3OUT))+IF(((1000)-(c_TMAP3OUT))&gt;=0,1,-1)*QUOTIENT(((1000)-(c_TMAP3IN)),2))+2147483648,4294967296)-2147483648,((1000)-(c_TMAP3IN))*(((K96)-(c_TMAP3IN))*((1000)-(c_TMAP3OUT))+IF(((1000)-(c_TMAP3OUT))&gt;=0,1,-1)*QUOTIENT(((1000)-(c_TMAP3IN)),2)))&gt;=0,1,0)))</f>
        <v>-134</v>
      </c>
      <c r="Q96" s="7" t="str">
        <f aca="false">IF(K96&gt;=c_TFWD,IF(AND(K96&gt;=c_TMAP3IN,c_TMAP3IN&lt;1000),"Seg4 map3-100%",IF(AND(K96&gt;=c_TMAP2IN,c_TMAP3IN&gt;c_TMAP2IN),"Seg3 map2-map3",IF(AND(K96&gt;=c_TMAP1IN,c_TMAP2IN&gt;c_TMAP1IN),"Seg2 map1-map2","Seg1 TFWD-map1"))),IF(AND(K96=0,c_TCREEP&gt;0),"Creep",IF(AND(K96&lt;=c_TRNGMIN,K96&gt;=c_TRNGMAX,c_TRNGMIN-c_TRNGMAX&lt;&gt;0),"Regen ramp","Coast (0)")))</f>
        <v>Seg1 TFWD-map1</v>
      </c>
      <c r="R96" s="7" t="n">
        <f aca="false">IF(K96&gt;=c_TFWD,IF(AND(K96&gt;=c_TMAP3IN,c_TMAP3IN&lt;1000),P96,IF(AND(K96&gt;=c_TMAP2IN,c_TMAP3IN&gt;c_TMAP2IN),O96,IF(AND(K96&gt;=c_TMAP1IN,c_TMAP2IN&gt;c_TMAP1IN),N96,M96))),L96)</f>
        <v>54</v>
      </c>
      <c r="S96" s="7" t="str">
        <f aca="false">IF(R96&lt;-1090,"TOO LOW",IF(R96&gt;1090,"TOO HIGH",""))</f>
        <v/>
      </c>
      <c r="T96" s="15" t="n">
        <f aca="false">IF(H96&lt;&gt;"OK",0,IF(S96&lt;&gt;"",0,IF(R96&gt;979,1000,R96)))</f>
        <v>54</v>
      </c>
      <c r="U96" s="7" t="n">
        <f aca="false">T96/10</f>
        <v>5.4</v>
      </c>
    </row>
    <row r="97" customFormat="false" ht="15" hidden="false" customHeight="false" outlineLevel="0" collapsed="false">
      <c r="A97" s="7" t="n">
        <v>92</v>
      </c>
      <c r="B97" s="7" t="n">
        <f aca="false">ROUND(o_SWSTART+A97*(o_SWEND-o_SWSTART)/400,0)</f>
        <v>942</v>
      </c>
      <c r="C97" s="7" t="n">
        <f aca="false">QUOTIENT((B97-c_OFF1)*c_GAIN1,1024)</f>
        <v>942</v>
      </c>
      <c r="D97" s="7" t="n">
        <f aca="false">IF(((c_T1MX)-(c_T1MN))=0,(0)+QUOTIENT(((1000)-(0)),2),QUOTIENT((((C97)-(c_T1MN))*((1000)-(0))+IF(((1000)-(0))&gt;=0,1,-1)*QUOTIENT(((c_T1MX)-(c_T1MN)),2)),((c_T1MX)-(c_T1MN)))+(0)+IF(((1000)-(0))&gt;=0,IF(IF(o_WRAP=1,MOD(((c_T1MX)-(c_T1MN))*(((C97)-(c_T1MN))*((1000)-(0))+IF(((1000)-(0))&gt;=0,1,-1)*QUOTIENT(((c_T1MX)-(c_T1MN)),2))+2147483648,4294967296)-2147483648,((c_T1MX)-(c_T1MN))*(((C97)-(c_T1MN))*((1000)-(0))+IF(((1000)-(0))&gt;=0,1,-1)*QUOTIENT(((c_T1MX)-(c_T1MN)),2)))&lt;0,-1,0),IF(IF(o_WRAP=1,MOD(((c_T1MX)-(c_T1MN))*(((C97)-(c_T1MN))*((1000)-(0))+IF(((1000)-(0))&gt;=0,1,-1)*QUOTIENT(((c_T1MX)-(c_T1MN)),2))+2147483648,4294967296)-2147483648,((c_T1MX)-(c_T1MN))*(((C97)-(c_T1MN))*((1000)-(0))+IF(((1000)-(0))&gt;=0,1,-1)*QUOTIENT(((c_T1MX)-(c_T1MN)),2)))&gt;=0,1,0)))</f>
        <v>82</v>
      </c>
      <c r="E97" s="7" t="n">
        <f aca="false">IF(AND(c_TPOT=1,c_TTYPE=2),1000-D97,D97)</f>
        <v>82</v>
      </c>
      <c r="F97" s="7" t="str">
        <f aca="false">IF(c_TPOT&gt;1,ROUND(IF(c_TTYPE=2,c_T2MX-IF(c_T1MX=c_T1MN,0,(C97-c_T1MN)/(c_T1MX-c_T1MN))*(c_T2MX-c_T2MN),c_T2MN+IF(c_T1MX=c_T1MN,0,(C97-c_T1MN)/(c_T1MX-c_T1MN))*(c_T2MX-c_T2MN))+o_MISMATCH,0),"")</f>
        <v/>
      </c>
      <c r="G97" s="7" t="str">
        <f aca="false">IF(c_TPOT&gt;1,IF(((c_T2MX)-(c_T2MN))=0,(0)+QUOTIENT(((1000)-(0)),2),QUOTIENT((((F97)-(c_T2MN))*((1000)-(0))+IF(((1000)-(0))&gt;=0,1,-1)*QUOTIENT(((c_T2MX)-(c_T2MN)),2)),((c_T2MX)-(c_T2MN)))+(0)+IF(((1000)-(0))&gt;=0,IF(IF(o_WRAP=1,MOD(((c_T2MX)-(c_T2MN))*(((F97)-(c_T2MN))*((1000)-(0))+IF(((1000)-(0))&gt;=0,1,-1)*QUOTIENT(((c_T2MX)-(c_T2MN)),2))+2147483648,4294967296)-2147483648,((c_T2MX)-(c_T2MN))*(((F97)-(c_T2MN))*((1000)-(0))+IF(((1000)-(0))&gt;=0,1,-1)*QUOTIENT(((c_T2MX)-(c_T2MN)),2)))&lt;0,-1,0),IF(IF(o_WRAP=1,MOD(((c_T2MX)-(c_T2MN))*(((F97)-(c_T2MN))*((1000)-(0))+IF(((1000)-(0))&gt;=0,1,-1)*QUOTIENT(((c_T2MX)-(c_T2MN)),2))+2147483648,4294967296)-2147483648,((c_T2MX)-(c_T2MN))*(((F97)-(c_T2MN))*((1000)-(0))+IF(((1000)-(0))&gt;=0,1,-1)*QUOTIENT(((c_T2MX)-(c_T2MN)),2)))&gt;=0,1,0))),"")</f>
        <v/>
      </c>
      <c r="H97" s="7" t="str">
        <f aca="false">IF(E97&gt;1000+k_TOL,"T1 HIGH",IF(E97&lt;0-k_TOL,"T1 LOW",IF(c_TPOT&gt;1,IF(G97&gt;1000+k_TOL,"T2 HIGH",IF(G97&lt;0-k_TOL,"T2 LOW",IF(c_TTYPE=2,IF(ABS(1000-MAX(0,MIN(1000,E97))-MAX(0,MIN(1000,G97)))&gt;k_MAXERR,"MISMATCH","OK"),IF(OR(MAX(0,MIN(1000,E97))-k_MAXERR&gt;MAX(0,MIN(1000,G97)),MAX(0,MIN(1000,G97))-k_MAXERR&gt;MAX(0,MIN(1000,E97))),"MISMATCH","OK")))),"OK")))</f>
        <v>OK</v>
      </c>
      <c r="I97" s="7" t="n">
        <f aca="false">MAX(0,MIN(1000,D97))</f>
        <v>82</v>
      </c>
      <c r="J97" s="7" t="str">
        <f aca="false">IF(c_TPOT&gt;1,IF(c_TTYPE=2,1000-MAX(0,MIN(1000,G97)),MAX(0,MIN(1000,G97))),"")</f>
        <v/>
      </c>
      <c r="K97" s="7" t="n">
        <f aca="false">IF(c_TPOT&gt;1,QUOTIENT(I97+J97,2),I97)</f>
        <v>82</v>
      </c>
      <c r="L97" s="7" t="n">
        <f aca="false">IF(AND(K97=0,c_TCREEP&gt;0),10*c_TCREEP,IF(AND(K97&lt;=c_TRNGMIN,K97&gt;=c_TRNGMAX,c_TRNGMIN-c_TRNGMAX&lt;&gt;0),-10*c_TMINRN+QUOTIENT((c_TMAXRN-c_TMINRN)*(100-QUOTIENT((K97-c_TRNGMAX)*100,c_TRNGMIN-c_TRNGMAX)),-10),0))</f>
        <v>0</v>
      </c>
      <c r="M97" s="7" t="n">
        <f aca="false">IF(((c_TMAP1IN)-(c_TFWD))=0,(0)+QUOTIENT(((c_TMAP1OUT)-(0)),2),QUOTIENT((((K97)-(c_TFWD))*((c_TMAP1OUT)-(0))+IF(((c_TMAP1OUT)-(0))&gt;=0,1,-1)*QUOTIENT(((c_TMAP1IN)-(c_TFWD)),2)),((c_TMAP1IN)-(c_TFWD)))+(0)+IF(((c_TMAP1OUT)-(0))&gt;=0,IF(IF(o_WRAP=1,MOD(((c_TMAP1IN)-(c_TFWD))*(((K97)-(c_TFWD))*((c_TMAP1OUT)-(0))+IF(((c_TMAP1OUT)-(0))&gt;=0,1,-1)*QUOTIENT(((c_TMAP1IN)-(c_TFWD)),2))+2147483648,4294967296)-2147483648,((c_TMAP1IN)-(c_TFWD))*(((K97)-(c_TFWD))*((c_TMAP1OUT)-(0))+IF(((c_TMAP1OUT)-(0))&gt;=0,1,-1)*QUOTIENT(((c_TMAP1IN)-(c_TFWD)),2)))&lt;0,-1,0),IF(IF(o_WRAP=1,MOD(((c_TMAP1IN)-(c_TFWD))*(((K97)-(c_TFWD))*((c_TMAP1OUT)-(0))+IF(((c_TMAP1OUT)-(0))&gt;=0,1,-1)*QUOTIENT(((c_TMAP1IN)-(c_TFWD)),2))+2147483648,4294967296)-2147483648,((c_TMAP1IN)-(c_TFWD))*(((K97)-(c_TFWD))*((c_TMAP1OUT)-(0))+IF(((c_TMAP1OUT)-(0))&gt;=0,1,-1)*QUOTIENT(((c_TMAP1IN)-(c_TFWD)),2)))&gt;=0,1,0)))</f>
        <v>56</v>
      </c>
      <c r="N97" s="7" t="n">
        <f aca="false">IF(((c_TMAP2IN)-(c_TMAP1IN))=0,(c_TMAP1OUT)+QUOTIENT(((c_TMAP2OUT)-(c_TMAP1OUT)),2),QUOTIENT((((K97)-(c_TMAP1IN))*((c_TMAP2OUT)-(c_TMAP1OUT))+IF(((c_TMAP2OUT)-(c_TMAP1OUT))&gt;=0,1,-1)*QUOTIENT(((c_TMAP2IN)-(c_TMAP1IN)),2)),((c_TMAP2IN)-(c_TMAP1IN)))+(c_TMAP1OUT)+IF(((c_TMAP2OUT)-(c_TMAP1OUT))&gt;=0,IF(IF(o_WRAP=1,MOD(((c_TMAP2IN)-(c_TMAP1IN))*(((K97)-(c_TMAP1IN))*((c_TMAP2OUT)-(c_TMAP1OUT))+IF(((c_TMAP2OUT)-(c_TMAP1OUT))&gt;=0,1,-1)*QUOTIENT(((c_TMAP2IN)-(c_TMAP1IN)),2))+2147483648,4294967296)-2147483648,((c_TMAP2IN)-(c_TMAP1IN))*(((K97)-(c_TMAP1IN))*((c_TMAP2OUT)-(c_TMAP1OUT))+IF(((c_TMAP2OUT)-(c_TMAP1OUT))&gt;=0,1,-1)*QUOTIENT(((c_TMAP2IN)-(c_TMAP1IN)),2)))&lt;0,-1,0),IF(IF(o_WRAP=1,MOD(((c_TMAP2IN)-(c_TMAP1IN))*(((K97)-(c_TMAP1IN))*((c_TMAP2OUT)-(c_TMAP1OUT))+IF(((c_TMAP2OUT)-(c_TMAP1OUT))&gt;=0,1,-1)*QUOTIENT(((c_TMAP2IN)-(c_TMAP1IN)),2))+2147483648,4294967296)-2147483648,((c_TMAP2IN)-(c_TMAP1IN))*(((K97)-(c_TMAP1IN))*((c_TMAP2OUT)-(c_TMAP1OUT))+IF(((c_TMAP2OUT)-(c_TMAP1OUT))&gt;=0,1,-1)*QUOTIENT(((c_TMAP2IN)-(c_TMAP1IN)),2)))&gt;=0,1,0)))</f>
        <v>63</v>
      </c>
      <c r="O97" s="7" t="n">
        <f aca="false">IF(((c_TMAP3IN)-(c_TMAP2IN))=0,(c_TMAP2OUT)+QUOTIENT(((c_TMAP3OUT)-(c_TMAP2OUT)),2),QUOTIENT((((K97)-(c_TMAP2IN))*((c_TMAP3OUT)-(c_TMAP2OUT))+IF(((c_TMAP3OUT)-(c_TMAP2OUT))&gt;=0,1,-1)*QUOTIENT(((c_TMAP3IN)-(c_TMAP2IN)),2)),((c_TMAP3IN)-(c_TMAP2IN)))+(c_TMAP2OUT)+IF(((c_TMAP3OUT)-(c_TMAP2OUT))&gt;=0,IF(IF(o_WRAP=1,MOD(((c_TMAP3IN)-(c_TMAP2IN))*(((K97)-(c_TMAP2IN))*((c_TMAP3OUT)-(c_TMAP2OUT))+IF(((c_TMAP3OUT)-(c_TMAP2OUT))&gt;=0,1,-1)*QUOTIENT(((c_TMAP3IN)-(c_TMAP2IN)),2))+2147483648,4294967296)-2147483648,((c_TMAP3IN)-(c_TMAP2IN))*(((K97)-(c_TMAP2IN))*((c_TMAP3OUT)-(c_TMAP2OUT))+IF(((c_TMAP3OUT)-(c_TMAP2OUT))&gt;=0,1,-1)*QUOTIENT(((c_TMAP3IN)-(c_TMAP2IN)),2)))&lt;0,-1,0),IF(IF(o_WRAP=1,MOD(((c_TMAP3IN)-(c_TMAP2IN))*(((K97)-(c_TMAP2IN))*((c_TMAP3OUT)-(c_TMAP2OUT))+IF(((c_TMAP3OUT)-(c_TMAP2OUT))&gt;=0,1,-1)*QUOTIENT(((c_TMAP3IN)-(c_TMAP2IN)),2))+2147483648,4294967296)-2147483648,((c_TMAP3IN)-(c_TMAP2IN))*(((K97)-(c_TMAP2IN))*((c_TMAP3OUT)-(c_TMAP2OUT))+IF(((c_TMAP3OUT)-(c_TMAP2OUT))&gt;=0,1,-1)*QUOTIENT(((c_TMAP3IN)-(c_TMAP2IN)),2)))&gt;=0,1,0)))</f>
        <v>12</v>
      </c>
      <c r="P97" s="7" t="n">
        <f aca="false">IF(((1000)-(c_TMAP3IN))=0,(c_TMAP3OUT)+QUOTIENT(((1000)-(c_TMAP3OUT)),2),QUOTIENT((((K97)-(c_TMAP3IN))*((1000)-(c_TMAP3OUT))+IF(((1000)-(c_TMAP3OUT))&gt;=0,1,-1)*QUOTIENT(((1000)-(c_TMAP3IN)),2)),((1000)-(c_TMAP3IN)))+(c_TMAP3OUT)+IF(((1000)-(c_TMAP3OUT))&gt;=0,IF(IF(o_WRAP=1,MOD(((1000)-(c_TMAP3IN))*(((K97)-(c_TMAP3IN))*((1000)-(c_TMAP3OUT))+IF(((1000)-(c_TMAP3OUT))&gt;=0,1,-1)*QUOTIENT(((1000)-(c_TMAP3IN)),2))+2147483648,4294967296)-2147483648,((1000)-(c_TMAP3IN))*(((K97)-(c_TMAP3IN))*((1000)-(c_TMAP3OUT))+IF(((1000)-(c_TMAP3OUT))&gt;=0,1,-1)*QUOTIENT(((1000)-(c_TMAP3IN)),2)))&lt;0,-1,0),IF(IF(o_WRAP=1,MOD(((1000)-(c_TMAP3IN))*(((K97)-(c_TMAP3IN))*((1000)-(c_TMAP3OUT))+IF(((1000)-(c_TMAP3OUT))&gt;=0,1,-1)*QUOTIENT(((1000)-(c_TMAP3IN)),2))+2147483648,4294967296)-2147483648,((1000)-(c_TMAP3IN))*(((K97)-(c_TMAP3IN))*((1000)-(c_TMAP3OUT))+IF(((1000)-(c_TMAP3OUT))&gt;=0,1,-1)*QUOTIENT(((1000)-(c_TMAP3IN)),2)))&gt;=0,1,0)))</f>
        <v>-130</v>
      </c>
      <c r="Q97" s="7" t="str">
        <f aca="false">IF(K97&gt;=c_TFWD,IF(AND(K97&gt;=c_TMAP3IN,c_TMAP3IN&lt;1000),"Seg4 map3-100%",IF(AND(K97&gt;=c_TMAP2IN,c_TMAP3IN&gt;c_TMAP2IN),"Seg3 map2-map3",IF(AND(K97&gt;=c_TMAP1IN,c_TMAP2IN&gt;c_TMAP1IN),"Seg2 map1-map2","Seg1 TFWD-map1"))),IF(AND(K97=0,c_TCREEP&gt;0),"Creep",IF(AND(K97&lt;=c_TRNGMIN,K97&gt;=c_TRNGMAX,c_TRNGMIN-c_TRNGMAX&lt;&gt;0),"Regen ramp","Coast (0)")))</f>
        <v>Seg1 TFWD-map1</v>
      </c>
      <c r="R97" s="7" t="n">
        <f aca="false">IF(K97&gt;=c_TFWD,IF(AND(K97&gt;=c_TMAP3IN,c_TMAP3IN&lt;1000),P97,IF(AND(K97&gt;=c_TMAP2IN,c_TMAP3IN&gt;c_TMAP2IN),O97,IF(AND(K97&gt;=c_TMAP1IN,c_TMAP2IN&gt;c_TMAP1IN),N97,M97))),L97)</f>
        <v>56</v>
      </c>
      <c r="S97" s="7" t="str">
        <f aca="false">IF(R97&lt;-1090,"TOO LOW",IF(R97&gt;1090,"TOO HIGH",""))</f>
        <v/>
      </c>
      <c r="T97" s="15" t="n">
        <f aca="false">IF(H97&lt;&gt;"OK",0,IF(S97&lt;&gt;"",0,IF(R97&gt;979,1000,R97)))</f>
        <v>56</v>
      </c>
      <c r="U97" s="7" t="n">
        <f aca="false">T97/10</f>
        <v>5.6</v>
      </c>
    </row>
    <row r="98" customFormat="false" ht="15" hidden="false" customHeight="false" outlineLevel="0" collapsed="false">
      <c r="A98" s="7" t="n">
        <v>93</v>
      </c>
      <c r="B98" s="7" t="n">
        <f aca="false">ROUND(o_SWSTART+A98*(o_SWEND-o_SWSTART)/400,0)</f>
        <v>952</v>
      </c>
      <c r="C98" s="7" t="n">
        <f aca="false">QUOTIENT((B98-c_OFF1)*c_GAIN1,1024)</f>
        <v>952</v>
      </c>
      <c r="D98" s="7" t="n">
        <f aca="false">IF(((c_T1MX)-(c_T1MN))=0,(0)+QUOTIENT(((1000)-(0)),2),QUOTIENT((((C98)-(c_T1MN))*((1000)-(0))+IF(((1000)-(0))&gt;=0,1,-1)*QUOTIENT(((c_T1MX)-(c_T1MN)),2)),((c_T1MX)-(c_T1MN)))+(0)+IF(((1000)-(0))&gt;=0,IF(IF(o_WRAP=1,MOD(((c_T1MX)-(c_T1MN))*(((C98)-(c_T1MN))*((1000)-(0))+IF(((1000)-(0))&gt;=0,1,-1)*QUOTIENT(((c_T1MX)-(c_T1MN)),2))+2147483648,4294967296)-2147483648,((c_T1MX)-(c_T1MN))*(((C98)-(c_T1MN))*((1000)-(0))+IF(((1000)-(0))&gt;=0,1,-1)*QUOTIENT(((c_T1MX)-(c_T1MN)),2)))&lt;0,-1,0),IF(IF(o_WRAP=1,MOD(((c_T1MX)-(c_T1MN))*(((C98)-(c_T1MN))*((1000)-(0))+IF(((1000)-(0))&gt;=0,1,-1)*QUOTIENT(((c_T1MX)-(c_T1MN)),2))+2147483648,4294967296)-2147483648,((c_T1MX)-(c_T1MN))*(((C98)-(c_T1MN))*((1000)-(0))+IF(((1000)-(0))&gt;=0,1,-1)*QUOTIENT(((c_T1MX)-(c_T1MN)),2)))&gt;=0,1,0)))</f>
        <v>86</v>
      </c>
      <c r="E98" s="7" t="n">
        <f aca="false">IF(AND(c_TPOT=1,c_TTYPE=2),1000-D98,D98)</f>
        <v>86</v>
      </c>
      <c r="F98" s="7" t="str">
        <f aca="false">IF(c_TPOT&gt;1,ROUND(IF(c_TTYPE=2,c_T2MX-IF(c_T1MX=c_T1MN,0,(C98-c_T1MN)/(c_T1MX-c_T1MN))*(c_T2MX-c_T2MN),c_T2MN+IF(c_T1MX=c_T1MN,0,(C98-c_T1MN)/(c_T1MX-c_T1MN))*(c_T2MX-c_T2MN))+o_MISMATCH,0),"")</f>
        <v/>
      </c>
      <c r="G98" s="7" t="str">
        <f aca="false">IF(c_TPOT&gt;1,IF(((c_T2MX)-(c_T2MN))=0,(0)+QUOTIENT(((1000)-(0)),2),QUOTIENT((((F98)-(c_T2MN))*((1000)-(0))+IF(((1000)-(0))&gt;=0,1,-1)*QUOTIENT(((c_T2MX)-(c_T2MN)),2)),((c_T2MX)-(c_T2MN)))+(0)+IF(((1000)-(0))&gt;=0,IF(IF(o_WRAP=1,MOD(((c_T2MX)-(c_T2MN))*(((F98)-(c_T2MN))*((1000)-(0))+IF(((1000)-(0))&gt;=0,1,-1)*QUOTIENT(((c_T2MX)-(c_T2MN)),2))+2147483648,4294967296)-2147483648,((c_T2MX)-(c_T2MN))*(((F98)-(c_T2MN))*((1000)-(0))+IF(((1000)-(0))&gt;=0,1,-1)*QUOTIENT(((c_T2MX)-(c_T2MN)),2)))&lt;0,-1,0),IF(IF(o_WRAP=1,MOD(((c_T2MX)-(c_T2MN))*(((F98)-(c_T2MN))*((1000)-(0))+IF(((1000)-(0))&gt;=0,1,-1)*QUOTIENT(((c_T2MX)-(c_T2MN)),2))+2147483648,4294967296)-2147483648,((c_T2MX)-(c_T2MN))*(((F98)-(c_T2MN))*((1000)-(0))+IF(((1000)-(0))&gt;=0,1,-1)*QUOTIENT(((c_T2MX)-(c_T2MN)),2)))&gt;=0,1,0))),"")</f>
        <v/>
      </c>
      <c r="H98" s="7" t="str">
        <f aca="false">IF(E98&gt;1000+k_TOL,"T1 HIGH",IF(E98&lt;0-k_TOL,"T1 LOW",IF(c_TPOT&gt;1,IF(G98&gt;1000+k_TOL,"T2 HIGH",IF(G98&lt;0-k_TOL,"T2 LOW",IF(c_TTYPE=2,IF(ABS(1000-MAX(0,MIN(1000,E98))-MAX(0,MIN(1000,G98)))&gt;k_MAXERR,"MISMATCH","OK"),IF(OR(MAX(0,MIN(1000,E98))-k_MAXERR&gt;MAX(0,MIN(1000,G98)),MAX(0,MIN(1000,G98))-k_MAXERR&gt;MAX(0,MIN(1000,E98))),"MISMATCH","OK")))),"OK")))</f>
        <v>OK</v>
      </c>
      <c r="I98" s="7" t="n">
        <f aca="false">MAX(0,MIN(1000,D98))</f>
        <v>86</v>
      </c>
      <c r="J98" s="7" t="str">
        <f aca="false">IF(c_TPOT&gt;1,IF(c_TTYPE=2,1000-MAX(0,MIN(1000,G98)),MAX(0,MIN(1000,G98))),"")</f>
        <v/>
      </c>
      <c r="K98" s="7" t="n">
        <f aca="false">IF(c_TPOT&gt;1,QUOTIENT(I98+J98,2),I98)</f>
        <v>86</v>
      </c>
      <c r="L98" s="7" t="n">
        <f aca="false">IF(AND(K98=0,c_TCREEP&gt;0),10*c_TCREEP,IF(AND(K98&lt;=c_TRNGMIN,K98&gt;=c_TRNGMAX,c_TRNGMIN-c_TRNGMAX&lt;&gt;0),-10*c_TMINRN+QUOTIENT((c_TMAXRN-c_TMINRN)*(100-QUOTIENT((K98-c_TRNGMAX)*100,c_TRNGMIN-c_TRNGMAX)),-10),0))</f>
        <v>0</v>
      </c>
      <c r="M98" s="7" t="n">
        <f aca="false">IF(((c_TMAP1IN)-(c_TFWD))=0,(0)+QUOTIENT(((c_TMAP1OUT)-(0)),2),QUOTIENT((((K98)-(c_TFWD))*((c_TMAP1OUT)-(0))+IF(((c_TMAP1OUT)-(0))&gt;=0,1,-1)*QUOTIENT(((c_TMAP1IN)-(c_TFWD)),2)),((c_TMAP1IN)-(c_TFWD)))+(0)+IF(((c_TMAP1OUT)-(0))&gt;=0,IF(IF(o_WRAP=1,MOD(((c_TMAP1IN)-(c_TFWD))*(((K98)-(c_TFWD))*((c_TMAP1OUT)-(0))+IF(((c_TMAP1OUT)-(0))&gt;=0,1,-1)*QUOTIENT(((c_TMAP1IN)-(c_TFWD)),2))+2147483648,4294967296)-2147483648,((c_TMAP1IN)-(c_TFWD))*(((K98)-(c_TFWD))*((c_TMAP1OUT)-(0))+IF(((c_TMAP1OUT)-(0))&gt;=0,1,-1)*QUOTIENT(((c_TMAP1IN)-(c_TFWD)),2)))&lt;0,-1,0),IF(IF(o_WRAP=1,MOD(((c_TMAP1IN)-(c_TFWD))*(((K98)-(c_TFWD))*((c_TMAP1OUT)-(0))+IF(((c_TMAP1OUT)-(0))&gt;=0,1,-1)*QUOTIENT(((c_TMAP1IN)-(c_TFWD)),2))+2147483648,4294967296)-2147483648,((c_TMAP1IN)-(c_TFWD))*(((K98)-(c_TFWD))*((c_TMAP1OUT)-(0))+IF(((c_TMAP1OUT)-(0))&gt;=0,1,-1)*QUOTIENT(((c_TMAP1IN)-(c_TFWD)),2)))&gt;=0,1,0)))</f>
        <v>59</v>
      </c>
      <c r="N98" s="7" t="n">
        <f aca="false">IF(((c_TMAP2IN)-(c_TMAP1IN))=0,(c_TMAP1OUT)+QUOTIENT(((c_TMAP2OUT)-(c_TMAP1OUT)),2),QUOTIENT((((K98)-(c_TMAP1IN))*((c_TMAP2OUT)-(c_TMAP1OUT))+IF(((c_TMAP2OUT)-(c_TMAP1OUT))&gt;=0,1,-1)*QUOTIENT(((c_TMAP2IN)-(c_TMAP1IN)),2)),((c_TMAP2IN)-(c_TMAP1IN)))+(c_TMAP1OUT)+IF(((c_TMAP2OUT)-(c_TMAP1OUT))&gt;=0,IF(IF(o_WRAP=1,MOD(((c_TMAP2IN)-(c_TMAP1IN))*(((K98)-(c_TMAP1IN))*((c_TMAP2OUT)-(c_TMAP1OUT))+IF(((c_TMAP2OUT)-(c_TMAP1OUT))&gt;=0,1,-1)*QUOTIENT(((c_TMAP2IN)-(c_TMAP1IN)),2))+2147483648,4294967296)-2147483648,((c_TMAP2IN)-(c_TMAP1IN))*(((K98)-(c_TMAP1IN))*((c_TMAP2OUT)-(c_TMAP1OUT))+IF(((c_TMAP2OUT)-(c_TMAP1OUT))&gt;=0,1,-1)*QUOTIENT(((c_TMAP2IN)-(c_TMAP1IN)),2)))&lt;0,-1,0),IF(IF(o_WRAP=1,MOD(((c_TMAP2IN)-(c_TMAP1IN))*(((K98)-(c_TMAP1IN))*((c_TMAP2OUT)-(c_TMAP1OUT))+IF(((c_TMAP2OUT)-(c_TMAP1OUT))&gt;=0,1,-1)*QUOTIENT(((c_TMAP2IN)-(c_TMAP1IN)),2))+2147483648,4294967296)-2147483648,((c_TMAP2IN)-(c_TMAP1IN))*(((K98)-(c_TMAP1IN))*((c_TMAP2OUT)-(c_TMAP1OUT))+IF(((c_TMAP2OUT)-(c_TMAP1OUT))&gt;=0,1,-1)*QUOTIENT(((c_TMAP2IN)-(c_TMAP1IN)),2)))&gt;=0,1,0)))</f>
        <v>64</v>
      </c>
      <c r="O98" s="7" t="n">
        <f aca="false">IF(((c_TMAP3IN)-(c_TMAP2IN))=0,(c_TMAP2OUT)+QUOTIENT(((c_TMAP3OUT)-(c_TMAP2OUT)),2),QUOTIENT((((K98)-(c_TMAP2IN))*((c_TMAP3OUT)-(c_TMAP2OUT))+IF(((c_TMAP3OUT)-(c_TMAP2OUT))&gt;=0,1,-1)*QUOTIENT(((c_TMAP3IN)-(c_TMAP2IN)),2)),((c_TMAP3IN)-(c_TMAP2IN)))+(c_TMAP2OUT)+IF(((c_TMAP3OUT)-(c_TMAP2OUT))&gt;=0,IF(IF(o_WRAP=1,MOD(((c_TMAP3IN)-(c_TMAP2IN))*(((K98)-(c_TMAP2IN))*((c_TMAP3OUT)-(c_TMAP2OUT))+IF(((c_TMAP3OUT)-(c_TMAP2OUT))&gt;=0,1,-1)*QUOTIENT(((c_TMAP3IN)-(c_TMAP2IN)),2))+2147483648,4294967296)-2147483648,((c_TMAP3IN)-(c_TMAP2IN))*(((K98)-(c_TMAP2IN))*((c_TMAP3OUT)-(c_TMAP2OUT))+IF(((c_TMAP3OUT)-(c_TMAP2OUT))&gt;=0,1,-1)*QUOTIENT(((c_TMAP3IN)-(c_TMAP2IN)),2)))&lt;0,-1,0),IF(IF(o_WRAP=1,MOD(((c_TMAP3IN)-(c_TMAP2IN))*(((K98)-(c_TMAP2IN))*((c_TMAP3OUT)-(c_TMAP2OUT))+IF(((c_TMAP3OUT)-(c_TMAP2OUT))&gt;=0,1,-1)*QUOTIENT(((c_TMAP3IN)-(c_TMAP2IN)),2))+2147483648,4294967296)-2147483648,((c_TMAP3IN)-(c_TMAP2IN))*(((K98)-(c_TMAP2IN))*((c_TMAP3OUT)-(c_TMAP2OUT))+IF(((c_TMAP3OUT)-(c_TMAP2OUT))&gt;=0,1,-1)*QUOTIENT(((c_TMAP3IN)-(c_TMAP2IN)),2)))&gt;=0,1,0)))</f>
        <v>15</v>
      </c>
      <c r="P98" s="7" t="n">
        <f aca="false">IF(((1000)-(c_TMAP3IN))=0,(c_TMAP3OUT)+QUOTIENT(((1000)-(c_TMAP3OUT)),2),QUOTIENT((((K98)-(c_TMAP3IN))*((1000)-(c_TMAP3OUT))+IF(((1000)-(c_TMAP3OUT))&gt;=0,1,-1)*QUOTIENT(((1000)-(c_TMAP3IN)),2)),((1000)-(c_TMAP3IN)))+(c_TMAP3OUT)+IF(((1000)-(c_TMAP3OUT))&gt;=0,IF(IF(o_WRAP=1,MOD(((1000)-(c_TMAP3IN))*(((K98)-(c_TMAP3IN))*((1000)-(c_TMAP3OUT))+IF(((1000)-(c_TMAP3OUT))&gt;=0,1,-1)*QUOTIENT(((1000)-(c_TMAP3IN)),2))+2147483648,4294967296)-2147483648,((1000)-(c_TMAP3IN))*(((K98)-(c_TMAP3IN))*((1000)-(c_TMAP3OUT))+IF(((1000)-(c_TMAP3OUT))&gt;=0,1,-1)*QUOTIENT(((1000)-(c_TMAP3IN)),2)))&lt;0,-1,0),IF(IF(o_WRAP=1,MOD(((1000)-(c_TMAP3IN))*(((K98)-(c_TMAP3IN))*((1000)-(c_TMAP3OUT))+IF(((1000)-(c_TMAP3OUT))&gt;=0,1,-1)*QUOTIENT(((1000)-(c_TMAP3IN)),2))+2147483648,4294967296)-2147483648,((1000)-(c_TMAP3IN))*(((K98)-(c_TMAP3IN))*((1000)-(c_TMAP3OUT))+IF(((1000)-(c_TMAP3OUT))&gt;=0,1,-1)*QUOTIENT(((1000)-(c_TMAP3IN)),2)))&gt;=0,1,0)))</f>
        <v>-125</v>
      </c>
      <c r="Q98" s="7" t="str">
        <f aca="false">IF(K98&gt;=c_TFWD,IF(AND(K98&gt;=c_TMAP3IN,c_TMAP3IN&lt;1000),"Seg4 map3-100%",IF(AND(K98&gt;=c_TMAP2IN,c_TMAP3IN&gt;c_TMAP2IN),"Seg3 map2-map3",IF(AND(K98&gt;=c_TMAP1IN,c_TMAP2IN&gt;c_TMAP1IN),"Seg2 map1-map2","Seg1 TFWD-map1"))),IF(AND(K98=0,c_TCREEP&gt;0),"Creep",IF(AND(K98&lt;=c_TRNGMIN,K98&gt;=c_TRNGMAX,c_TRNGMIN-c_TRNGMAX&lt;&gt;0),"Regen ramp","Coast (0)")))</f>
        <v>Seg1 TFWD-map1</v>
      </c>
      <c r="R98" s="7" t="n">
        <f aca="false">IF(K98&gt;=c_TFWD,IF(AND(K98&gt;=c_TMAP3IN,c_TMAP3IN&lt;1000),P98,IF(AND(K98&gt;=c_TMAP2IN,c_TMAP3IN&gt;c_TMAP2IN),O98,IF(AND(K98&gt;=c_TMAP1IN,c_TMAP2IN&gt;c_TMAP1IN),N98,M98))),L98)</f>
        <v>59</v>
      </c>
      <c r="S98" s="7" t="str">
        <f aca="false">IF(R98&lt;-1090,"TOO LOW",IF(R98&gt;1090,"TOO HIGH",""))</f>
        <v/>
      </c>
      <c r="T98" s="15" t="n">
        <f aca="false">IF(H98&lt;&gt;"OK",0,IF(S98&lt;&gt;"",0,IF(R98&gt;979,1000,R98)))</f>
        <v>59</v>
      </c>
      <c r="U98" s="7" t="n">
        <f aca="false">T98/10</f>
        <v>5.9</v>
      </c>
    </row>
    <row r="99" customFormat="false" ht="15" hidden="false" customHeight="false" outlineLevel="0" collapsed="false">
      <c r="A99" s="7" t="n">
        <v>94</v>
      </c>
      <c r="B99" s="7" t="n">
        <f aca="false">ROUND(o_SWSTART+A99*(o_SWEND-o_SWSTART)/400,0)</f>
        <v>962</v>
      </c>
      <c r="C99" s="7" t="n">
        <f aca="false">QUOTIENT((B99-c_OFF1)*c_GAIN1,1024)</f>
        <v>962</v>
      </c>
      <c r="D99" s="7" t="n">
        <f aca="false">IF(((c_T1MX)-(c_T1MN))=0,(0)+QUOTIENT(((1000)-(0)),2),QUOTIENT((((C99)-(c_T1MN))*((1000)-(0))+IF(((1000)-(0))&gt;=0,1,-1)*QUOTIENT(((c_T1MX)-(c_T1MN)),2)),((c_T1MX)-(c_T1MN)))+(0)+IF(((1000)-(0))&gt;=0,IF(IF(o_WRAP=1,MOD(((c_T1MX)-(c_T1MN))*(((C99)-(c_T1MN))*((1000)-(0))+IF(((1000)-(0))&gt;=0,1,-1)*QUOTIENT(((c_T1MX)-(c_T1MN)),2))+2147483648,4294967296)-2147483648,((c_T1MX)-(c_T1MN))*(((C99)-(c_T1MN))*((1000)-(0))+IF(((1000)-(0))&gt;=0,1,-1)*QUOTIENT(((c_T1MX)-(c_T1MN)),2)))&lt;0,-1,0),IF(IF(o_WRAP=1,MOD(((c_T1MX)-(c_T1MN))*(((C99)-(c_T1MN))*((1000)-(0))+IF(((1000)-(0))&gt;=0,1,-1)*QUOTIENT(((c_T1MX)-(c_T1MN)),2))+2147483648,4294967296)-2147483648,((c_T1MX)-(c_T1MN))*(((C99)-(c_T1MN))*((1000)-(0))+IF(((1000)-(0))&gt;=0,1,-1)*QUOTIENT(((c_T1MX)-(c_T1MN)),2)))&gt;=0,1,0)))</f>
        <v>89</v>
      </c>
      <c r="E99" s="7" t="n">
        <f aca="false">IF(AND(c_TPOT=1,c_TTYPE=2),1000-D99,D99)</f>
        <v>89</v>
      </c>
      <c r="F99" s="7" t="str">
        <f aca="false">IF(c_TPOT&gt;1,ROUND(IF(c_TTYPE=2,c_T2MX-IF(c_T1MX=c_T1MN,0,(C99-c_T1MN)/(c_T1MX-c_T1MN))*(c_T2MX-c_T2MN),c_T2MN+IF(c_T1MX=c_T1MN,0,(C99-c_T1MN)/(c_T1MX-c_T1MN))*(c_T2MX-c_T2MN))+o_MISMATCH,0),"")</f>
        <v/>
      </c>
      <c r="G99" s="7" t="str">
        <f aca="false">IF(c_TPOT&gt;1,IF(((c_T2MX)-(c_T2MN))=0,(0)+QUOTIENT(((1000)-(0)),2),QUOTIENT((((F99)-(c_T2MN))*((1000)-(0))+IF(((1000)-(0))&gt;=0,1,-1)*QUOTIENT(((c_T2MX)-(c_T2MN)),2)),((c_T2MX)-(c_T2MN)))+(0)+IF(((1000)-(0))&gt;=0,IF(IF(o_WRAP=1,MOD(((c_T2MX)-(c_T2MN))*(((F99)-(c_T2MN))*((1000)-(0))+IF(((1000)-(0))&gt;=0,1,-1)*QUOTIENT(((c_T2MX)-(c_T2MN)),2))+2147483648,4294967296)-2147483648,((c_T2MX)-(c_T2MN))*(((F99)-(c_T2MN))*((1000)-(0))+IF(((1000)-(0))&gt;=0,1,-1)*QUOTIENT(((c_T2MX)-(c_T2MN)),2)))&lt;0,-1,0),IF(IF(o_WRAP=1,MOD(((c_T2MX)-(c_T2MN))*(((F99)-(c_T2MN))*((1000)-(0))+IF(((1000)-(0))&gt;=0,1,-1)*QUOTIENT(((c_T2MX)-(c_T2MN)),2))+2147483648,4294967296)-2147483648,((c_T2MX)-(c_T2MN))*(((F99)-(c_T2MN))*((1000)-(0))+IF(((1000)-(0))&gt;=0,1,-1)*QUOTIENT(((c_T2MX)-(c_T2MN)),2)))&gt;=0,1,0))),"")</f>
        <v/>
      </c>
      <c r="H99" s="7" t="str">
        <f aca="false">IF(E99&gt;1000+k_TOL,"T1 HIGH",IF(E99&lt;0-k_TOL,"T1 LOW",IF(c_TPOT&gt;1,IF(G99&gt;1000+k_TOL,"T2 HIGH",IF(G99&lt;0-k_TOL,"T2 LOW",IF(c_TTYPE=2,IF(ABS(1000-MAX(0,MIN(1000,E99))-MAX(0,MIN(1000,G99)))&gt;k_MAXERR,"MISMATCH","OK"),IF(OR(MAX(0,MIN(1000,E99))-k_MAXERR&gt;MAX(0,MIN(1000,G99)),MAX(0,MIN(1000,G99))-k_MAXERR&gt;MAX(0,MIN(1000,E99))),"MISMATCH","OK")))),"OK")))</f>
        <v>OK</v>
      </c>
      <c r="I99" s="7" t="n">
        <f aca="false">MAX(0,MIN(1000,D99))</f>
        <v>89</v>
      </c>
      <c r="J99" s="7" t="str">
        <f aca="false">IF(c_TPOT&gt;1,IF(c_TTYPE=2,1000-MAX(0,MIN(1000,G99)),MAX(0,MIN(1000,G99))),"")</f>
        <v/>
      </c>
      <c r="K99" s="7" t="n">
        <f aca="false">IF(c_TPOT&gt;1,QUOTIENT(I99+J99,2),I99)</f>
        <v>89</v>
      </c>
      <c r="L99" s="7" t="n">
        <f aca="false">IF(AND(K99=0,c_TCREEP&gt;0),10*c_TCREEP,IF(AND(K99&lt;=c_TRNGMIN,K99&gt;=c_TRNGMAX,c_TRNGMIN-c_TRNGMAX&lt;&gt;0),-10*c_TMINRN+QUOTIENT((c_TMAXRN-c_TMINRN)*(100-QUOTIENT((K99-c_TRNGMAX)*100,c_TRNGMIN-c_TRNGMAX)),-10),0))</f>
        <v>0</v>
      </c>
      <c r="M99" s="7" t="n">
        <f aca="false">IF(((c_TMAP1IN)-(c_TFWD))=0,(0)+QUOTIENT(((c_TMAP1OUT)-(0)),2),QUOTIENT((((K99)-(c_TFWD))*((c_TMAP1OUT)-(0))+IF(((c_TMAP1OUT)-(0))&gt;=0,1,-1)*QUOTIENT(((c_TMAP1IN)-(c_TFWD)),2)),((c_TMAP1IN)-(c_TFWD)))+(0)+IF(((c_TMAP1OUT)-(0))&gt;=0,IF(IF(o_WRAP=1,MOD(((c_TMAP1IN)-(c_TFWD))*(((K99)-(c_TFWD))*((c_TMAP1OUT)-(0))+IF(((c_TMAP1OUT)-(0))&gt;=0,1,-1)*QUOTIENT(((c_TMAP1IN)-(c_TFWD)),2))+2147483648,4294967296)-2147483648,((c_TMAP1IN)-(c_TFWD))*(((K99)-(c_TFWD))*((c_TMAP1OUT)-(0))+IF(((c_TMAP1OUT)-(0))&gt;=0,1,-1)*QUOTIENT(((c_TMAP1IN)-(c_TFWD)),2)))&lt;0,-1,0),IF(IF(o_WRAP=1,MOD(((c_TMAP1IN)-(c_TFWD))*(((K99)-(c_TFWD))*((c_TMAP1OUT)-(0))+IF(((c_TMAP1OUT)-(0))&gt;=0,1,-1)*QUOTIENT(((c_TMAP1IN)-(c_TFWD)),2))+2147483648,4294967296)-2147483648,((c_TMAP1IN)-(c_TFWD))*(((K99)-(c_TFWD))*((c_TMAP1OUT)-(0))+IF(((c_TMAP1OUT)-(0))&gt;=0,1,-1)*QUOTIENT(((c_TMAP1IN)-(c_TFWD)),2)))&gt;=0,1,0)))</f>
        <v>61</v>
      </c>
      <c r="N99" s="7" t="n">
        <f aca="false">IF(((c_TMAP2IN)-(c_TMAP1IN))=0,(c_TMAP1OUT)+QUOTIENT(((c_TMAP2OUT)-(c_TMAP1OUT)),2),QUOTIENT((((K99)-(c_TMAP1IN))*((c_TMAP2OUT)-(c_TMAP1OUT))+IF(((c_TMAP2OUT)-(c_TMAP1OUT))&gt;=0,1,-1)*QUOTIENT(((c_TMAP2IN)-(c_TMAP1IN)),2)),((c_TMAP2IN)-(c_TMAP1IN)))+(c_TMAP1OUT)+IF(((c_TMAP2OUT)-(c_TMAP1OUT))&gt;=0,IF(IF(o_WRAP=1,MOD(((c_TMAP2IN)-(c_TMAP1IN))*(((K99)-(c_TMAP1IN))*((c_TMAP2OUT)-(c_TMAP1OUT))+IF(((c_TMAP2OUT)-(c_TMAP1OUT))&gt;=0,1,-1)*QUOTIENT(((c_TMAP2IN)-(c_TMAP1IN)),2))+2147483648,4294967296)-2147483648,((c_TMAP2IN)-(c_TMAP1IN))*(((K99)-(c_TMAP1IN))*((c_TMAP2OUT)-(c_TMAP1OUT))+IF(((c_TMAP2OUT)-(c_TMAP1OUT))&gt;=0,1,-1)*QUOTIENT(((c_TMAP2IN)-(c_TMAP1IN)),2)))&lt;0,-1,0),IF(IF(o_WRAP=1,MOD(((c_TMAP2IN)-(c_TMAP1IN))*(((K99)-(c_TMAP1IN))*((c_TMAP2OUT)-(c_TMAP1OUT))+IF(((c_TMAP2OUT)-(c_TMAP1OUT))&gt;=0,1,-1)*QUOTIENT(((c_TMAP2IN)-(c_TMAP1IN)),2))+2147483648,4294967296)-2147483648,((c_TMAP2IN)-(c_TMAP1IN))*(((K99)-(c_TMAP1IN))*((c_TMAP2OUT)-(c_TMAP1OUT))+IF(((c_TMAP2OUT)-(c_TMAP1OUT))&gt;=0,1,-1)*QUOTIENT(((c_TMAP2IN)-(c_TMAP1IN)),2)))&gt;=0,1,0)))</f>
        <v>66</v>
      </c>
      <c r="O99" s="7" t="n">
        <f aca="false">IF(((c_TMAP3IN)-(c_TMAP2IN))=0,(c_TMAP2OUT)+QUOTIENT(((c_TMAP3OUT)-(c_TMAP2OUT)),2),QUOTIENT((((K99)-(c_TMAP2IN))*((c_TMAP3OUT)-(c_TMAP2OUT))+IF(((c_TMAP3OUT)-(c_TMAP2OUT))&gt;=0,1,-1)*QUOTIENT(((c_TMAP3IN)-(c_TMAP2IN)),2)),((c_TMAP3IN)-(c_TMAP2IN)))+(c_TMAP2OUT)+IF(((c_TMAP3OUT)-(c_TMAP2OUT))&gt;=0,IF(IF(o_WRAP=1,MOD(((c_TMAP3IN)-(c_TMAP2IN))*(((K99)-(c_TMAP2IN))*((c_TMAP3OUT)-(c_TMAP2OUT))+IF(((c_TMAP3OUT)-(c_TMAP2OUT))&gt;=0,1,-1)*QUOTIENT(((c_TMAP3IN)-(c_TMAP2IN)),2))+2147483648,4294967296)-2147483648,((c_TMAP3IN)-(c_TMAP2IN))*(((K99)-(c_TMAP2IN))*((c_TMAP3OUT)-(c_TMAP2OUT))+IF(((c_TMAP3OUT)-(c_TMAP2OUT))&gt;=0,1,-1)*QUOTIENT(((c_TMAP3IN)-(c_TMAP2IN)),2)))&lt;0,-1,0),IF(IF(o_WRAP=1,MOD(((c_TMAP3IN)-(c_TMAP2IN))*(((K99)-(c_TMAP2IN))*((c_TMAP3OUT)-(c_TMAP2OUT))+IF(((c_TMAP3OUT)-(c_TMAP2OUT))&gt;=0,1,-1)*QUOTIENT(((c_TMAP3IN)-(c_TMAP2IN)),2))+2147483648,4294967296)-2147483648,((c_TMAP3IN)-(c_TMAP2IN))*(((K99)-(c_TMAP2IN))*((c_TMAP3OUT)-(c_TMAP2OUT))+IF(((c_TMAP3OUT)-(c_TMAP2OUT))&gt;=0,1,-1)*QUOTIENT(((c_TMAP3IN)-(c_TMAP2IN)),2)))&gt;=0,1,0)))</f>
        <v>17</v>
      </c>
      <c r="P99" s="7" t="n">
        <f aca="false">IF(((1000)-(c_TMAP3IN))=0,(c_TMAP3OUT)+QUOTIENT(((1000)-(c_TMAP3OUT)),2),QUOTIENT((((K99)-(c_TMAP3IN))*((1000)-(c_TMAP3OUT))+IF(((1000)-(c_TMAP3OUT))&gt;=0,1,-1)*QUOTIENT(((1000)-(c_TMAP3IN)),2)),((1000)-(c_TMAP3IN)))+(c_TMAP3OUT)+IF(((1000)-(c_TMAP3OUT))&gt;=0,IF(IF(o_WRAP=1,MOD(((1000)-(c_TMAP3IN))*(((K99)-(c_TMAP3IN))*((1000)-(c_TMAP3OUT))+IF(((1000)-(c_TMAP3OUT))&gt;=0,1,-1)*QUOTIENT(((1000)-(c_TMAP3IN)),2))+2147483648,4294967296)-2147483648,((1000)-(c_TMAP3IN))*(((K99)-(c_TMAP3IN))*((1000)-(c_TMAP3OUT))+IF(((1000)-(c_TMAP3OUT))&gt;=0,1,-1)*QUOTIENT(((1000)-(c_TMAP3IN)),2)))&lt;0,-1,0),IF(IF(o_WRAP=1,MOD(((1000)-(c_TMAP3IN))*(((K99)-(c_TMAP3IN))*((1000)-(c_TMAP3OUT))+IF(((1000)-(c_TMAP3OUT))&gt;=0,1,-1)*QUOTIENT(((1000)-(c_TMAP3IN)),2))+2147483648,4294967296)-2147483648,((1000)-(c_TMAP3IN))*(((K99)-(c_TMAP3IN))*((1000)-(c_TMAP3OUT))+IF(((1000)-(c_TMAP3OUT))&gt;=0,1,-1)*QUOTIENT(((1000)-(c_TMAP3IN)),2)))&gt;=0,1,0)))</f>
        <v>-121</v>
      </c>
      <c r="Q99" s="7" t="str">
        <f aca="false">IF(K99&gt;=c_TFWD,IF(AND(K99&gt;=c_TMAP3IN,c_TMAP3IN&lt;1000),"Seg4 map3-100%",IF(AND(K99&gt;=c_TMAP2IN,c_TMAP3IN&gt;c_TMAP2IN),"Seg3 map2-map3",IF(AND(K99&gt;=c_TMAP1IN,c_TMAP2IN&gt;c_TMAP1IN),"Seg2 map1-map2","Seg1 TFWD-map1"))),IF(AND(K99=0,c_TCREEP&gt;0),"Creep",IF(AND(K99&lt;=c_TRNGMIN,K99&gt;=c_TRNGMAX,c_TRNGMIN-c_TRNGMAX&lt;&gt;0),"Regen ramp","Coast (0)")))</f>
        <v>Seg1 TFWD-map1</v>
      </c>
      <c r="R99" s="7" t="n">
        <f aca="false">IF(K99&gt;=c_TFWD,IF(AND(K99&gt;=c_TMAP3IN,c_TMAP3IN&lt;1000),P99,IF(AND(K99&gt;=c_TMAP2IN,c_TMAP3IN&gt;c_TMAP2IN),O99,IF(AND(K99&gt;=c_TMAP1IN,c_TMAP2IN&gt;c_TMAP1IN),N99,M99))),L99)</f>
        <v>61</v>
      </c>
      <c r="S99" s="7" t="str">
        <f aca="false">IF(R99&lt;-1090,"TOO LOW",IF(R99&gt;1090,"TOO HIGH",""))</f>
        <v/>
      </c>
      <c r="T99" s="15" t="n">
        <f aca="false">IF(H99&lt;&gt;"OK",0,IF(S99&lt;&gt;"",0,IF(R99&gt;979,1000,R99)))</f>
        <v>61</v>
      </c>
      <c r="U99" s="7" t="n">
        <f aca="false">T99/10</f>
        <v>6.1</v>
      </c>
    </row>
    <row r="100" customFormat="false" ht="15" hidden="false" customHeight="false" outlineLevel="0" collapsed="false">
      <c r="A100" s="7" t="n">
        <v>95</v>
      </c>
      <c r="B100" s="7" t="n">
        <f aca="false">ROUND(o_SWSTART+A100*(o_SWEND-o_SWSTART)/400,0)</f>
        <v>973</v>
      </c>
      <c r="C100" s="7" t="n">
        <f aca="false">QUOTIENT((B100-c_OFF1)*c_GAIN1,1024)</f>
        <v>973</v>
      </c>
      <c r="D100" s="7" t="n">
        <f aca="false">IF(((c_T1MX)-(c_T1MN))=0,(0)+QUOTIENT(((1000)-(0)),2),QUOTIENT((((C100)-(c_T1MN))*((1000)-(0))+IF(((1000)-(0))&gt;=0,1,-1)*QUOTIENT(((c_T1MX)-(c_T1MN)),2)),((c_T1MX)-(c_T1MN)))+(0)+IF(((1000)-(0))&gt;=0,IF(IF(o_WRAP=1,MOD(((c_T1MX)-(c_T1MN))*(((C100)-(c_T1MN))*((1000)-(0))+IF(((1000)-(0))&gt;=0,1,-1)*QUOTIENT(((c_T1MX)-(c_T1MN)),2))+2147483648,4294967296)-2147483648,((c_T1MX)-(c_T1MN))*(((C100)-(c_T1MN))*((1000)-(0))+IF(((1000)-(0))&gt;=0,1,-1)*QUOTIENT(((c_T1MX)-(c_T1MN)),2)))&lt;0,-1,0),IF(IF(o_WRAP=1,MOD(((c_T1MX)-(c_T1MN))*(((C100)-(c_T1MN))*((1000)-(0))+IF(((1000)-(0))&gt;=0,1,-1)*QUOTIENT(((c_T1MX)-(c_T1MN)),2))+2147483648,4294967296)-2147483648,((c_T1MX)-(c_T1MN))*(((C100)-(c_T1MN))*((1000)-(0))+IF(((1000)-(0))&gt;=0,1,-1)*QUOTIENT(((c_T1MX)-(c_T1MN)),2)))&gt;=0,1,0)))</f>
        <v>93</v>
      </c>
      <c r="E100" s="7" t="n">
        <f aca="false">IF(AND(c_TPOT=1,c_TTYPE=2),1000-D100,D100)</f>
        <v>93</v>
      </c>
      <c r="F100" s="7" t="str">
        <f aca="false">IF(c_TPOT&gt;1,ROUND(IF(c_TTYPE=2,c_T2MX-IF(c_T1MX=c_T1MN,0,(C100-c_T1MN)/(c_T1MX-c_T1MN))*(c_T2MX-c_T2MN),c_T2MN+IF(c_T1MX=c_T1MN,0,(C100-c_T1MN)/(c_T1MX-c_T1MN))*(c_T2MX-c_T2MN))+o_MISMATCH,0),"")</f>
        <v/>
      </c>
      <c r="G100" s="7" t="str">
        <f aca="false">IF(c_TPOT&gt;1,IF(((c_T2MX)-(c_T2MN))=0,(0)+QUOTIENT(((1000)-(0)),2),QUOTIENT((((F100)-(c_T2MN))*((1000)-(0))+IF(((1000)-(0))&gt;=0,1,-1)*QUOTIENT(((c_T2MX)-(c_T2MN)),2)),((c_T2MX)-(c_T2MN)))+(0)+IF(((1000)-(0))&gt;=0,IF(IF(o_WRAP=1,MOD(((c_T2MX)-(c_T2MN))*(((F100)-(c_T2MN))*((1000)-(0))+IF(((1000)-(0))&gt;=0,1,-1)*QUOTIENT(((c_T2MX)-(c_T2MN)),2))+2147483648,4294967296)-2147483648,((c_T2MX)-(c_T2MN))*(((F100)-(c_T2MN))*((1000)-(0))+IF(((1000)-(0))&gt;=0,1,-1)*QUOTIENT(((c_T2MX)-(c_T2MN)),2)))&lt;0,-1,0),IF(IF(o_WRAP=1,MOD(((c_T2MX)-(c_T2MN))*(((F100)-(c_T2MN))*((1000)-(0))+IF(((1000)-(0))&gt;=0,1,-1)*QUOTIENT(((c_T2MX)-(c_T2MN)),2))+2147483648,4294967296)-2147483648,((c_T2MX)-(c_T2MN))*(((F100)-(c_T2MN))*((1000)-(0))+IF(((1000)-(0))&gt;=0,1,-1)*QUOTIENT(((c_T2MX)-(c_T2MN)),2)))&gt;=0,1,0))),"")</f>
        <v/>
      </c>
      <c r="H100" s="7" t="str">
        <f aca="false">IF(E100&gt;1000+k_TOL,"T1 HIGH",IF(E100&lt;0-k_TOL,"T1 LOW",IF(c_TPOT&gt;1,IF(G100&gt;1000+k_TOL,"T2 HIGH",IF(G100&lt;0-k_TOL,"T2 LOW",IF(c_TTYPE=2,IF(ABS(1000-MAX(0,MIN(1000,E100))-MAX(0,MIN(1000,G100)))&gt;k_MAXERR,"MISMATCH","OK"),IF(OR(MAX(0,MIN(1000,E100))-k_MAXERR&gt;MAX(0,MIN(1000,G100)),MAX(0,MIN(1000,G100))-k_MAXERR&gt;MAX(0,MIN(1000,E100))),"MISMATCH","OK")))),"OK")))</f>
        <v>OK</v>
      </c>
      <c r="I100" s="7" t="n">
        <f aca="false">MAX(0,MIN(1000,D100))</f>
        <v>93</v>
      </c>
      <c r="J100" s="7" t="str">
        <f aca="false">IF(c_TPOT&gt;1,IF(c_TTYPE=2,1000-MAX(0,MIN(1000,G100)),MAX(0,MIN(1000,G100))),"")</f>
        <v/>
      </c>
      <c r="K100" s="7" t="n">
        <f aca="false">IF(c_TPOT&gt;1,QUOTIENT(I100+J100,2),I100)</f>
        <v>93</v>
      </c>
      <c r="L100" s="7" t="n">
        <f aca="false">IF(AND(K100=0,c_TCREEP&gt;0),10*c_TCREEP,IF(AND(K100&lt;=c_TRNGMIN,K100&gt;=c_TRNGMAX,c_TRNGMIN-c_TRNGMAX&lt;&gt;0),-10*c_TMINRN+QUOTIENT((c_TMAXRN-c_TMINRN)*(100-QUOTIENT((K100-c_TRNGMAX)*100,c_TRNGMIN-c_TRNGMAX)),-10),0))</f>
        <v>0</v>
      </c>
      <c r="M100" s="7" t="n">
        <f aca="false">IF(((c_TMAP1IN)-(c_TFWD))=0,(0)+QUOTIENT(((c_TMAP1OUT)-(0)),2),QUOTIENT((((K100)-(c_TFWD))*((c_TMAP1OUT)-(0))+IF(((c_TMAP1OUT)-(0))&gt;=0,1,-1)*QUOTIENT(((c_TMAP1IN)-(c_TFWD)),2)),((c_TMAP1IN)-(c_TFWD)))+(0)+IF(((c_TMAP1OUT)-(0))&gt;=0,IF(IF(o_WRAP=1,MOD(((c_TMAP1IN)-(c_TFWD))*(((K100)-(c_TFWD))*((c_TMAP1OUT)-(0))+IF(((c_TMAP1OUT)-(0))&gt;=0,1,-1)*QUOTIENT(((c_TMAP1IN)-(c_TFWD)),2))+2147483648,4294967296)-2147483648,((c_TMAP1IN)-(c_TFWD))*(((K100)-(c_TFWD))*((c_TMAP1OUT)-(0))+IF(((c_TMAP1OUT)-(0))&gt;=0,1,-1)*QUOTIENT(((c_TMAP1IN)-(c_TFWD)),2)))&lt;0,-1,0),IF(IF(o_WRAP=1,MOD(((c_TMAP1IN)-(c_TFWD))*(((K100)-(c_TFWD))*((c_TMAP1OUT)-(0))+IF(((c_TMAP1OUT)-(0))&gt;=0,1,-1)*QUOTIENT(((c_TMAP1IN)-(c_TFWD)),2))+2147483648,4294967296)-2147483648,((c_TMAP1IN)-(c_TFWD))*(((K100)-(c_TFWD))*((c_TMAP1OUT)-(0))+IF(((c_TMAP1OUT)-(0))&gt;=0,1,-1)*QUOTIENT(((c_TMAP1IN)-(c_TFWD)),2)))&gt;=0,1,0)))</f>
        <v>65</v>
      </c>
      <c r="N100" s="7" t="n">
        <f aca="false">IF(((c_TMAP2IN)-(c_TMAP1IN))=0,(c_TMAP1OUT)+QUOTIENT(((c_TMAP2OUT)-(c_TMAP1OUT)),2),QUOTIENT((((K100)-(c_TMAP1IN))*((c_TMAP2OUT)-(c_TMAP1OUT))+IF(((c_TMAP2OUT)-(c_TMAP1OUT))&gt;=0,1,-1)*QUOTIENT(((c_TMAP2IN)-(c_TMAP1IN)),2)),((c_TMAP2IN)-(c_TMAP1IN)))+(c_TMAP1OUT)+IF(((c_TMAP2OUT)-(c_TMAP1OUT))&gt;=0,IF(IF(o_WRAP=1,MOD(((c_TMAP2IN)-(c_TMAP1IN))*(((K100)-(c_TMAP1IN))*((c_TMAP2OUT)-(c_TMAP1OUT))+IF(((c_TMAP2OUT)-(c_TMAP1OUT))&gt;=0,1,-1)*QUOTIENT(((c_TMAP2IN)-(c_TMAP1IN)),2))+2147483648,4294967296)-2147483648,((c_TMAP2IN)-(c_TMAP1IN))*(((K100)-(c_TMAP1IN))*((c_TMAP2OUT)-(c_TMAP1OUT))+IF(((c_TMAP2OUT)-(c_TMAP1OUT))&gt;=0,1,-1)*QUOTIENT(((c_TMAP2IN)-(c_TMAP1IN)),2)))&lt;0,-1,0),IF(IF(o_WRAP=1,MOD(((c_TMAP2IN)-(c_TMAP1IN))*(((K100)-(c_TMAP1IN))*((c_TMAP2OUT)-(c_TMAP1OUT))+IF(((c_TMAP2OUT)-(c_TMAP1OUT))&gt;=0,1,-1)*QUOTIENT(((c_TMAP2IN)-(c_TMAP1IN)),2))+2147483648,4294967296)-2147483648,((c_TMAP2IN)-(c_TMAP1IN))*(((K100)-(c_TMAP1IN))*((c_TMAP2OUT)-(c_TMAP1OUT))+IF(((c_TMAP2OUT)-(c_TMAP1OUT))&gt;=0,1,-1)*QUOTIENT(((c_TMAP2IN)-(c_TMAP1IN)),2)))&gt;=0,1,0)))</f>
        <v>67</v>
      </c>
      <c r="O100" s="7" t="n">
        <f aca="false">IF(((c_TMAP3IN)-(c_TMAP2IN))=0,(c_TMAP2OUT)+QUOTIENT(((c_TMAP3OUT)-(c_TMAP2OUT)),2),QUOTIENT((((K100)-(c_TMAP2IN))*((c_TMAP3OUT)-(c_TMAP2OUT))+IF(((c_TMAP3OUT)-(c_TMAP2OUT))&gt;=0,1,-1)*QUOTIENT(((c_TMAP3IN)-(c_TMAP2IN)),2)),((c_TMAP3IN)-(c_TMAP2IN)))+(c_TMAP2OUT)+IF(((c_TMAP3OUT)-(c_TMAP2OUT))&gt;=0,IF(IF(o_WRAP=1,MOD(((c_TMAP3IN)-(c_TMAP2IN))*(((K100)-(c_TMAP2IN))*((c_TMAP3OUT)-(c_TMAP2OUT))+IF(((c_TMAP3OUT)-(c_TMAP2OUT))&gt;=0,1,-1)*QUOTIENT(((c_TMAP3IN)-(c_TMAP2IN)),2))+2147483648,4294967296)-2147483648,((c_TMAP3IN)-(c_TMAP2IN))*(((K100)-(c_TMAP2IN))*((c_TMAP3OUT)-(c_TMAP2OUT))+IF(((c_TMAP3OUT)-(c_TMAP2OUT))&gt;=0,1,-1)*QUOTIENT(((c_TMAP3IN)-(c_TMAP2IN)),2)))&lt;0,-1,0),IF(IF(o_WRAP=1,MOD(((c_TMAP3IN)-(c_TMAP2IN))*(((K100)-(c_TMAP2IN))*((c_TMAP3OUT)-(c_TMAP2OUT))+IF(((c_TMAP3OUT)-(c_TMAP2OUT))&gt;=0,1,-1)*QUOTIENT(((c_TMAP3IN)-(c_TMAP2IN)),2))+2147483648,4294967296)-2147483648,((c_TMAP3IN)-(c_TMAP2IN))*(((K100)-(c_TMAP2IN))*((c_TMAP3OUT)-(c_TMAP2OUT))+IF(((c_TMAP3OUT)-(c_TMAP2OUT))&gt;=0,1,-1)*QUOTIENT(((c_TMAP3IN)-(c_TMAP2IN)),2)))&gt;=0,1,0)))</f>
        <v>20</v>
      </c>
      <c r="P100" s="7" t="n">
        <f aca="false">IF(((1000)-(c_TMAP3IN))=0,(c_TMAP3OUT)+QUOTIENT(((1000)-(c_TMAP3OUT)),2),QUOTIENT((((K100)-(c_TMAP3IN))*((1000)-(c_TMAP3OUT))+IF(((1000)-(c_TMAP3OUT))&gt;=0,1,-1)*QUOTIENT(((1000)-(c_TMAP3IN)),2)),((1000)-(c_TMAP3IN)))+(c_TMAP3OUT)+IF(((1000)-(c_TMAP3OUT))&gt;=0,IF(IF(o_WRAP=1,MOD(((1000)-(c_TMAP3IN))*(((K100)-(c_TMAP3IN))*((1000)-(c_TMAP3OUT))+IF(((1000)-(c_TMAP3OUT))&gt;=0,1,-1)*QUOTIENT(((1000)-(c_TMAP3IN)),2))+2147483648,4294967296)-2147483648,((1000)-(c_TMAP3IN))*(((K100)-(c_TMAP3IN))*((1000)-(c_TMAP3OUT))+IF(((1000)-(c_TMAP3OUT))&gt;=0,1,-1)*QUOTIENT(((1000)-(c_TMAP3IN)),2)))&lt;0,-1,0),IF(IF(o_WRAP=1,MOD(((1000)-(c_TMAP3IN))*(((K100)-(c_TMAP3IN))*((1000)-(c_TMAP3OUT))+IF(((1000)-(c_TMAP3OUT))&gt;=0,1,-1)*QUOTIENT(((1000)-(c_TMAP3IN)),2))+2147483648,4294967296)-2147483648,((1000)-(c_TMAP3IN))*(((K100)-(c_TMAP3IN))*((1000)-(c_TMAP3OUT))+IF(((1000)-(c_TMAP3OUT))&gt;=0,1,-1)*QUOTIENT(((1000)-(c_TMAP3IN)),2)))&gt;=0,1,0)))</f>
        <v>-116</v>
      </c>
      <c r="Q100" s="7" t="str">
        <f aca="false">IF(K100&gt;=c_TFWD,IF(AND(K100&gt;=c_TMAP3IN,c_TMAP3IN&lt;1000),"Seg4 map3-100%",IF(AND(K100&gt;=c_TMAP2IN,c_TMAP3IN&gt;c_TMAP2IN),"Seg3 map2-map3",IF(AND(K100&gt;=c_TMAP1IN,c_TMAP2IN&gt;c_TMAP1IN),"Seg2 map1-map2","Seg1 TFWD-map1"))),IF(AND(K100=0,c_TCREEP&gt;0),"Creep",IF(AND(K100&lt;=c_TRNGMIN,K100&gt;=c_TRNGMAX,c_TRNGMIN-c_TRNGMAX&lt;&gt;0),"Regen ramp","Coast (0)")))</f>
        <v>Seg1 TFWD-map1</v>
      </c>
      <c r="R100" s="7" t="n">
        <f aca="false">IF(K100&gt;=c_TFWD,IF(AND(K100&gt;=c_TMAP3IN,c_TMAP3IN&lt;1000),P100,IF(AND(K100&gt;=c_TMAP2IN,c_TMAP3IN&gt;c_TMAP2IN),O100,IF(AND(K100&gt;=c_TMAP1IN,c_TMAP2IN&gt;c_TMAP1IN),N100,M100))),L100)</f>
        <v>65</v>
      </c>
      <c r="S100" s="7" t="str">
        <f aca="false">IF(R100&lt;-1090,"TOO LOW",IF(R100&gt;1090,"TOO HIGH",""))</f>
        <v/>
      </c>
      <c r="T100" s="15" t="n">
        <f aca="false">IF(H100&lt;&gt;"OK",0,IF(S100&lt;&gt;"",0,IF(R100&gt;979,1000,R100)))</f>
        <v>65</v>
      </c>
      <c r="U100" s="7" t="n">
        <f aca="false">T100/10</f>
        <v>6.5</v>
      </c>
    </row>
    <row r="101" customFormat="false" ht="15" hidden="false" customHeight="false" outlineLevel="0" collapsed="false">
      <c r="A101" s="7" t="n">
        <v>96</v>
      </c>
      <c r="B101" s="7" t="n">
        <f aca="false">ROUND(o_SWSTART+A101*(o_SWEND-o_SWSTART)/400,0)</f>
        <v>983</v>
      </c>
      <c r="C101" s="7" t="n">
        <f aca="false">QUOTIENT((B101-c_OFF1)*c_GAIN1,1024)</f>
        <v>983</v>
      </c>
      <c r="D101" s="7" t="n">
        <f aca="false">IF(((c_T1MX)-(c_T1MN))=0,(0)+QUOTIENT(((1000)-(0)),2),QUOTIENT((((C101)-(c_T1MN))*((1000)-(0))+IF(((1000)-(0))&gt;=0,1,-1)*QUOTIENT(((c_T1MX)-(c_T1MN)),2)),((c_T1MX)-(c_T1MN)))+(0)+IF(((1000)-(0))&gt;=0,IF(IF(o_WRAP=1,MOD(((c_T1MX)-(c_T1MN))*(((C101)-(c_T1MN))*((1000)-(0))+IF(((1000)-(0))&gt;=0,1,-1)*QUOTIENT(((c_T1MX)-(c_T1MN)),2))+2147483648,4294967296)-2147483648,((c_T1MX)-(c_T1MN))*(((C101)-(c_T1MN))*((1000)-(0))+IF(((1000)-(0))&gt;=0,1,-1)*QUOTIENT(((c_T1MX)-(c_T1MN)),2)))&lt;0,-1,0),IF(IF(o_WRAP=1,MOD(((c_T1MX)-(c_T1MN))*(((C101)-(c_T1MN))*((1000)-(0))+IF(((1000)-(0))&gt;=0,1,-1)*QUOTIENT(((c_T1MX)-(c_T1MN)),2))+2147483648,4294967296)-2147483648,((c_T1MX)-(c_T1MN))*(((C101)-(c_T1MN))*((1000)-(0))+IF(((1000)-(0))&gt;=0,1,-1)*QUOTIENT(((c_T1MX)-(c_T1MN)),2)))&gt;=0,1,0)))</f>
        <v>97</v>
      </c>
      <c r="E101" s="7" t="n">
        <f aca="false">IF(AND(c_TPOT=1,c_TTYPE=2),1000-D101,D101)</f>
        <v>97</v>
      </c>
      <c r="F101" s="7" t="str">
        <f aca="false">IF(c_TPOT&gt;1,ROUND(IF(c_TTYPE=2,c_T2MX-IF(c_T1MX=c_T1MN,0,(C101-c_T1MN)/(c_T1MX-c_T1MN))*(c_T2MX-c_T2MN),c_T2MN+IF(c_T1MX=c_T1MN,0,(C101-c_T1MN)/(c_T1MX-c_T1MN))*(c_T2MX-c_T2MN))+o_MISMATCH,0),"")</f>
        <v/>
      </c>
      <c r="G101" s="7" t="str">
        <f aca="false">IF(c_TPOT&gt;1,IF(((c_T2MX)-(c_T2MN))=0,(0)+QUOTIENT(((1000)-(0)),2),QUOTIENT((((F101)-(c_T2MN))*((1000)-(0))+IF(((1000)-(0))&gt;=0,1,-1)*QUOTIENT(((c_T2MX)-(c_T2MN)),2)),((c_T2MX)-(c_T2MN)))+(0)+IF(((1000)-(0))&gt;=0,IF(IF(o_WRAP=1,MOD(((c_T2MX)-(c_T2MN))*(((F101)-(c_T2MN))*((1000)-(0))+IF(((1000)-(0))&gt;=0,1,-1)*QUOTIENT(((c_T2MX)-(c_T2MN)),2))+2147483648,4294967296)-2147483648,((c_T2MX)-(c_T2MN))*(((F101)-(c_T2MN))*((1000)-(0))+IF(((1000)-(0))&gt;=0,1,-1)*QUOTIENT(((c_T2MX)-(c_T2MN)),2)))&lt;0,-1,0),IF(IF(o_WRAP=1,MOD(((c_T2MX)-(c_T2MN))*(((F101)-(c_T2MN))*((1000)-(0))+IF(((1000)-(0))&gt;=0,1,-1)*QUOTIENT(((c_T2MX)-(c_T2MN)),2))+2147483648,4294967296)-2147483648,((c_T2MX)-(c_T2MN))*(((F101)-(c_T2MN))*((1000)-(0))+IF(((1000)-(0))&gt;=0,1,-1)*QUOTIENT(((c_T2MX)-(c_T2MN)),2)))&gt;=0,1,0))),"")</f>
        <v/>
      </c>
      <c r="H101" s="7" t="str">
        <f aca="false">IF(E101&gt;1000+k_TOL,"T1 HIGH",IF(E101&lt;0-k_TOL,"T1 LOW",IF(c_TPOT&gt;1,IF(G101&gt;1000+k_TOL,"T2 HIGH",IF(G101&lt;0-k_TOL,"T2 LOW",IF(c_TTYPE=2,IF(ABS(1000-MAX(0,MIN(1000,E101))-MAX(0,MIN(1000,G101)))&gt;k_MAXERR,"MISMATCH","OK"),IF(OR(MAX(0,MIN(1000,E101))-k_MAXERR&gt;MAX(0,MIN(1000,G101)),MAX(0,MIN(1000,G101))-k_MAXERR&gt;MAX(0,MIN(1000,E101))),"MISMATCH","OK")))),"OK")))</f>
        <v>OK</v>
      </c>
      <c r="I101" s="7" t="n">
        <f aca="false">MAX(0,MIN(1000,D101))</f>
        <v>97</v>
      </c>
      <c r="J101" s="7" t="str">
        <f aca="false">IF(c_TPOT&gt;1,IF(c_TTYPE=2,1000-MAX(0,MIN(1000,G101)),MAX(0,MIN(1000,G101))),"")</f>
        <v/>
      </c>
      <c r="K101" s="7" t="n">
        <f aca="false">IF(c_TPOT&gt;1,QUOTIENT(I101+J101,2),I101)</f>
        <v>97</v>
      </c>
      <c r="L101" s="7" t="n">
        <f aca="false">IF(AND(K101=0,c_TCREEP&gt;0),10*c_TCREEP,IF(AND(K101&lt;=c_TRNGMIN,K101&gt;=c_TRNGMAX,c_TRNGMIN-c_TRNGMAX&lt;&gt;0),-10*c_TMINRN+QUOTIENT((c_TMAXRN-c_TMINRN)*(100-QUOTIENT((K101-c_TRNGMAX)*100,c_TRNGMIN-c_TRNGMAX)),-10),0))</f>
        <v>0</v>
      </c>
      <c r="M101" s="7" t="n">
        <f aca="false">IF(((c_TMAP1IN)-(c_TFWD))=0,(0)+QUOTIENT(((c_TMAP1OUT)-(0)),2),QUOTIENT((((K101)-(c_TFWD))*((c_TMAP1OUT)-(0))+IF(((c_TMAP1OUT)-(0))&gt;=0,1,-1)*QUOTIENT(((c_TMAP1IN)-(c_TFWD)),2)),((c_TMAP1IN)-(c_TFWD)))+(0)+IF(((c_TMAP1OUT)-(0))&gt;=0,IF(IF(o_WRAP=1,MOD(((c_TMAP1IN)-(c_TFWD))*(((K101)-(c_TFWD))*((c_TMAP1OUT)-(0))+IF(((c_TMAP1OUT)-(0))&gt;=0,1,-1)*QUOTIENT(((c_TMAP1IN)-(c_TFWD)),2))+2147483648,4294967296)-2147483648,((c_TMAP1IN)-(c_TFWD))*(((K101)-(c_TFWD))*((c_TMAP1OUT)-(0))+IF(((c_TMAP1OUT)-(0))&gt;=0,1,-1)*QUOTIENT(((c_TMAP1IN)-(c_TFWD)),2)))&lt;0,-1,0),IF(IF(o_WRAP=1,MOD(((c_TMAP1IN)-(c_TFWD))*(((K101)-(c_TFWD))*((c_TMAP1OUT)-(0))+IF(((c_TMAP1OUT)-(0))&gt;=0,1,-1)*QUOTIENT(((c_TMAP1IN)-(c_TFWD)),2))+2147483648,4294967296)-2147483648,((c_TMAP1IN)-(c_TFWD))*(((K101)-(c_TFWD))*((c_TMAP1OUT)-(0))+IF(((c_TMAP1OUT)-(0))&gt;=0,1,-1)*QUOTIENT(((c_TMAP1IN)-(c_TFWD)),2)))&gt;=0,1,0)))</f>
        <v>68</v>
      </c>
      <c r="N101" s="7" t="n">
        <f aca="false">IF(((c_TMAP2IN)-(c_TMAP1IN))=0,(c_TMAP1OUT)+QUOTIENT(((c_TMAP2OUT)-(c_TMAP1OUT)),2),QUOTIENT((((K101)-(c_TMAP1IN))*((c_TMAP2OUT)-(c_TMAP1OUT))+IF(((c_TMAP2OUT)-(c_TMAP1OUT))&gt;=0,1,-1)*QUOTIENT(((c_TMAP2IN)-(c_TMAP1IN)),2)),((c_TMAP2IN)-(c_TMAP1IN)))+(c_TMAP1OUT)+IF(((c_TMAP2OUT)-(c_TMAP1OUT))&gt;=0,IF(IF(o_WRAP=1,MOD(((c_TMAP2IN)-(c_TMAP1IN))*(((K101)-(c_TMAP1IN))*((c_TMAP2OUT)-(c_TMAP1OUT))+IF(((c_TMAP2OUT)-(c_TMAP1OUT))&gt;=0,1,-1)*QUOTIENT(((c_TMAP2IN)-(c_TMAP1IN)),2))+2147483648,4294967296)-2147483648,((c_TMAP2IN)-(c_TMAP1IN))*(((K101)-(c_TMAP1IN))*((c_TMAP2OUT)-(c_TMAP1OUT))+IF(((c_TMAP2OUT)-(c_TMAP1OUT))&gt;=0,1,-1)*QUOTIENT(((c_TMAP2IN)-(c_TMAP1IN)),2)))&lt;0,-1,0),IF(IF(o_WRAP=1,MOD(((c_TMAP2IN)-(c_TMAP1IN))*(((K101)-(c_TMAP1IN))*((c_TMAP2OUT)-(c_TMAP1OUT))+IF(((c_TMAP2OUT)-(c_TMAP1OUT))&gt;=0,1,-1)*QUOTIENT(((c_TMAP2IN)-(c_TMAP1IN)),2))+2147483648,4294967296)-2147483648,((c_TMAP2IN)-(c_TMAP1IN))*(((K101)-(c_TMAP1IN))*((c_TMAP2OUT)-(c_TMAP1OUT))+IF(((c_TMAP2OUT)-(c_TMAP1OUT))&gt;=0,1,-1)*QUOTIENT(((c_TMAP2IN)-(c_TMAP1IN)),2)))&gt;=0,1,0)))</f>
        <v>69</v>
      </c>
      <c r="O101" s="7" t="n">
        <f aca="false">IF(((c_TMAP3IN)-(c_TMAP2IN))=0,(c_TMAP2OUT)+QUOTIENT(((c_TMAP3OUT)-(c_TMAP2OUT)),2),QUOTIENT((((K101)-(c_TMAP2IN))*((c_TMAP3OUT)-(c_TMAP2OUT))+IF(((c_TMAP3OUT)-(c_TMAP2OUT))&gt;=0,1,-1)*QUOTIENT(((c_TMAP3IN)-(c_TMAP2IN)),2)),((c_TMAP3IN)-(c_TMAP2IN)))+(c_TMAP2OUT)+IF(((c_TMAP3OUT)-(c_TMAP2OUT))&gt;=0,IF(IF(o_WRAP=1,MOD(((c_TMAP3IN)-(c_TMAP2IN))*(((K101)-(c_TMAP2IN))*((c_TMAP3OUT)-(c_TMAP2OUT))+IF(((c_TMAP3OUT)-(c_TMAP2OUT))&gt;=0,1,-1)*QUOTIENT(((c_TMAP3IN)-(c_TMAP2IN)),2))+2147483648,4294967296)-2147483648,((c_TMAP3IN)-(c_TMAP2IN))*(((K101)-(c_TMAP2IN))*((c_TMAP3OUT)-(c_TMAP2OUT))+IF(((c_TMAP3OUT)-(c_TMAP2OUT))&gt;=0,1,-1)*QUOTIENT(((c_TMAP3IN)-(c_TMAP2IN)),2)))&lt;0,-1,0),IF(IF(o_WRAP=1,MOD(((c_TMAP3IN)-(c_TMAP2IN))*(((K101)-(c_TMAP2IN))*((c_TMAP3OUT)-(c_TMAP2OUT))+IF(((c_TMAP3OUT)-(c_TMAP2OUT))&gt;=0,1,-1)*QUOTIENT(((c_TMAP3IN)-(c_TMAP2IN)),2))+2147483648,4294967296)-2147483648,((c_TMAP3IN)-(c_TMAP2IN))*(((K101)-(c_TMAP2IN))*((c_TMAP3OUT)-(c_TMAP2OUT))+IF(((c_TMAP3OUT)-(c_TMAP2OUT))&gt;=0,1,-1)*QUOTIENT(((c_TMAP3IN)-(c_TMAP2IN)),2)))&gt;=0,1,0)))</f>
        <v>23</v>
      </c>
      <c r="P101" s="7" t="n">
        <f aca="false">IF(((1000)-(c_TMAP3IN))=0,(c_TMAP3OUT)+QUOTIENT(((1000)-(c_TMAP3OUT)),2),QUOTIENT((((K101)-(c_TMAP3IN))*((1000)-(c_TMAP3OUT))+IF(((1000)-(c_TMAP3OUT))&gt;=0,1,-1)*QUOTIENT(((1000)-(c_TMAP3IN)),2)),((1000)-(c_TMAP3IN)))+(c_TMAP3OUT)+IF(((1000)-(c_TMAP3OUT))&gt;=0,IF(IF(o_WRAP=1,MOD(((1000)-(c_TMAP3IN))*(((K101)-(c_TMAP3IN))*((1000)-(c_TMAP3OUT))+IF(((1000)-(c_TMAP3OUT))&gt;=0,1,-1)*QUOTIENT(((1000)-(c_TMAP3IN)),2))+2147483648,4294967296)-2147483648,((1000)-(c_TMAP3IN))*(((K101)-(c_TMAP3IN))*((1000)-(c_TMAP3OUT))+IF(((1000)-(c_TMAP3OUT))&gt;=0,1,-1)*QUOTIENT(((1000)-(c_TMAP3IN)),2)))&lt;0,-1,0),IF(IF(o_WRAP=1,MOD(((1000)-(c_TMAP3IN))*(((K101)-(c_TMAP3IN))*((1000)-(c_TMAP3OUT))+IF(((1000)-(c_TMAP3OUT))&gt;=0,1,-1)*QUOTIENT(((1000)-(c_TMAP3IN)),2))+2147483648,4294967296)-2147483648,((1000)-(c_TMAP3IN))*(((K101)-(c_TMAP3IN))*((1000)-(c_TMAP3OUT))+IF(((1000)-(c_TMAP3OUT))&gt;=0,1,-1)*QUOTIENT(((1000)-(c_TMAP3IN)),2)))&gt;=0,1,0)))</f>
        <v>-111</v>
      </c>
      <c r="Q101" s="7" t="str">
        <f aca="false">IF(K101&gt;=c_TFWD,IF(AND(K101&gt;=c_TMAP3IN,c_TMAP3IN&lt;1000),"Seg4 map3-100%",IF(AND(K101&gt;=c_TMAP2IN,c_TMAP3IN&gt;c_TMAP2IN),"Seg3 map2-map3",IF(AND(K101&gt;=c_TMAP1IN,c_TMAP2IN&gt;c_TMAP1IN),"Seg2 map1-map2","Seg1 TFWD-map1"))),IF(AND(K101=0,c_TCREEP&gt;0),"Creep",IF(AND(K101&lt;=c_TRNGMIN,K101&gt;=c_TRNGMAX,c_TRNGMIN-c_TRNGMAX&lt;&gt;0),"Regen ramp","Coast (0)")))</f>
        <v>Seg1 TFWD-map1</v>
      </c>
      <c r="R101" s="7" t="n">
        <f aca="false">IF(K101&gt;=c_TFWD,IF(AND(K101&gt;=c_TMAP3IN,c_TMAP3IN&lt;1000),P101,IF(AND(K101&gt;=c_TMAP2IN,c_TMAP3IN&gt;c_TMAP2IN),O101,IF(AND(K101&gt;=c_TMAP1IN,c_TMAP2IN&gt;c_TMAP1IN),N101,M101))),L101)</f>
        <v>68</v>
      </c>
      <c r="S101" s="7" t="str">
        <f aca="false">IF(R101&lt;-1090,"TOO LOW",IF(R101&gt;1090,"TOO HIGH",""))</f>
        <v/>
      </c>
      <c r="T101" s="15" t="n">
        <f aca="false">IF(H101&lt;&gt;"OK",0,IF(S101&lt;&gt;"",0,IF(R101&gt;979,1000,R101)))</f>
        <v>68</v>
      </c>
      <c r="U101" s="7" t="n">
        <f aca="false">T101/10</f>
        <v>6.8</v>
      </c>
    </row>
    <row r="102" customFormat="false" ht="15" hidden="false" customHeight="false" outlineLevel="0" collapsed="false">
      <c r="A102" s="7" t="n">
        <v>97</v>
      </c>
      <c r="B102" s="7" t="n">
        <f aca="false">ROUND(o_SWSTART+A102*(o_SWEND-o_SWSTART)/400,0)</f>
        <v>993</v>
      </c>
      <c r="C102" s="7" t="n">
        <f aca="false">QUOTIENT((B102-c_OFF1)*c_GAIN1,1024)</f>
        <v>993</v>
      </c>
      <c r="D102" s="7" t="n">
        <f aca="false">IF(((c_T1MX)-(c_T1MN))=0,(0)+QUOTIENT(((1000)-(0)),2),QUOTIENT((((C102)-(c_T1MN))*((1000)-(0))+IF(((1000)-(0))&gt;=0,1,-1)*QUOTIENT(((c_T1MX)-(c_T1MN)),2)),((c_T1MX)-(c_T1MN)))+(0)+IF(((1000)-(0))&gt;=0,IF(IF(o_WRAP=1,MOD(((c_T1MX)-(c_T1MN))*(((C102)-(c_T1MN))*((1000)-(0))+IF(((1000)-(0))&gt;=0,1,-1)*QUOTIENT(((c_T1MX)-(c_T1MN)),2))+2147483648,4294967296)-2147483648,((c_T1MX)-(c_T1MN))*(((C102)-(c_T1MN))*((1000)-(0))+IF(((1000)-(0))&gt;=0,1,-1)*QUOTIENT(((c_T1MX)-(c_T1MN)),2)))&lt;0,-1,0),IF(IF(o_WRAP=1,MOD(((c_T1MX)-(c_T1MN))*(((C102)-(c_T1MN))*((1000)-(0))+IF(((1000)-(0))&gt;=0,1,-1)*QUOTIENT(((c_T1MX)-(c_T1MN)),2))+2147483648,4294967296)-2147483648,((c_T1MX)-(c_T1MN))*(((C102)-(c_T1MN))*((1000)-(0))+IF(((1000)-(0))&gt;=0,1,-1)*QUOTIENT(((c_T1MX)-(c_T1MN)),2)))&gt;=0,1,0)))</f>
        <v>101</v>
      </c>
      <c r="E102" s="7" t="n">
        <f aca="false">IF(AND(c_TPOT=1,c_TTYPE=2),1000-D102,D102)</f>
        <v>101</v>
      </c>
      <c r="F102" s="7" t="str">
        <f aca="false">IF(c_TPOT&gt;1,ROUND(IF(c_TTYPE=2,c_T2MX-IF(c_T1MX=c_T1MN,0,(C102-c_T1MN)/(c_T1MX-c_T1MN))*(c_T2MX-c_T2MN),c_T2MN+IF(c_T1MX=c_T1MN,0,(C102-c_T1MN)/(c_T1MX-c_T1MN))*(c_T2MX-c_T2MN))+o_MISMATCH,0),"")</f>
        <v/>
      </c>
      <c r="G102" s="7" t="str">
        <f aca="false">IF(c_TPOT&gt;1,IF(((c_T2MX)-(c_T2MN))=0,(0)+QUOTIENT(((1000)-(0)),2),QUOTIENT((((F102)-(c_T2MN))*((1000)-(0))+IF(((1000)-(0))&gt;=0,1,-1)*QUOTIENT(((c_T2MX)-(c_T2MN)),2)),((c_T2MX)-(c_T2MN)))+(0)+IF(((1000)-(0))&gt;=0,IF(IF(o_WRAP=1,MOD(((c_T2MX)-(c_T2MN))*(((F102)-(c_T2MN))*((1000)-(0))+IF(((1000)-(0))&gt;=0,1,-1)*QUOTIENT(((c_T2MX)-(c_T2MN)),2))+2147483648,4294967296)-2147483648,((c_T2MX)-(c_T2MN))*(((F102)-(c_T2MN))*((1000)-(0))+IF(((1000)-(0))&gt;=0,1,-1)*QUOTIENT(((c_T2MX)-(c_T2MN)),2)))&lt;0,-1,0),IF(IF(o_WRAP=1,MOD(((c_T2MX)-(c_T2MN))*(((F102)-(c_T2MN))*((1000)-(0))+IF(((1000)-(0))&gt;=0,1,-1)*QUOTIENT(((c_T2MX)-(c_T2MN)),2))+2147483648,4294967296)-2147483648,((c_T2MX)-(c_T2MN))*(((F102)-(c_T2MN))*((1000)-(0))+IF(((1000)-(0))&gt;=0,1,-1)*QUOTIENT(((c_T2MX)-(c_T2MN)),2)))&gt;=0,1,0))),"")</f>
        <v/>
      </c>
      <c r="H102" s="7" t="str">
        <f aca="false">IF(E102&gt;1000+k_TOL,"T1 HIGH",IF(E102&lt;0-k_TOL,"T1 LOW",IF(c_TPOT&gt;1,IF(G102&gt;1000+k_TOL,"T2 HIGH",IF(G102&lt;0-k_TOL,"T2 LOW",IF(c_TTYPE=2,IF(ABS(1000-MAX(0,MIN(1000,E102))-MAX(0,MIN(1000,G102)))&gt;k_MAXERR,"MISMATCH","OK"),IF(OR(MAX(0,MIN(1000,E102))-k_MAXERR&gt;MAX(0,MIN(1000,G102)),MAX(0,MIN(1000,G102))-k_MAXERR&gt;MAX(0,MIN(1000,E102))),"MISMATCH","OK")))),"OK")))</f>
        <v>OK</v>
      </c>
      <c r="I102" s="7" t="n">
        <f aca="false">MAX(0,MIN(1000,D102))</f>
        <v>101</v>
      </c>
      <c r="J102" s="7" t="str">
        <f aca="false">IF(c_TPOT&gt;1,IF(c_TTYPE=2,1000-MAX(0,MIN(1000,G102)),MAX(0,MIN(1000,G102))),"")</f>
        <v/>
      </c>
      <c r="K102" s="7" t="n">
        <f aca="false">IF(c_TPOT&gt;1,QUOTIENT(I102+J102,2),I102)</f>
        <v>101</v>
      </c>
      <c r="L102" s="7" t="n">
        <f aca="false">IF(AND(K102=0,c_TCREEP&gt;0),10*c_TCREEP,IF(AND(K102&lt;=c_TRNGMIN,K102&gt;=c_TRNGMAX,c_TRNGMIN-c_TRNGMAX&lt;&gt;0),-10*c_TMINRN+QUOTIENT((c_TMAXRN-c_TMINRN)*(100-QUOTIENT((K102-c_TRNGMAX)*100,c_TRNGMIN-c_TRNGMAX)),-10),0))</f>
        <v>0</v>
      </c>
      <c r="M102" s="7" t="n">
        <f aca="false">IF(((c_TMAP1IN)-(c_TFWD))=0,(0)+QUOTIENT(((c_TMAP1OUT)-(0)),2),QUOTIENT((((K102)-(c_TFWD))*((c_TMAP1OUT)-(0))+IF(((c_TMAP1OUT)-(0))&gt;=0,1,-1)*QUOTIENT(((c_TMAP1IN)-(c_TFWD)),2)),((c_TMAP1IN)-(c_TFWD)))+(0)+IF(((c_TMAP1OUT)-(0))&gt;=0,IF(IF(o_WRAP=1,MOD(((c_TMAP1IN)-(c_TFWD))*(((K102)-(c_TFWD))*((c_TMAP1OUT)-(0))+IF(((c_TMAP1OUT)-(0))&gt;=0,1,-1)*QUOTIENT(((c_TMAP1IN)-(c_TFWD)),2))+2147483648,4294967296)-2147483648,((c_TMAP1IN)-(c_TFWD))*(((K102)-(c_TFWD))*((c_TMAP1OUT)-(0))+IF(((c_TMAP1OUT)-(0))&gt;=0,1,-1)*QUOTIENT(((c_TMAP1IN)-(c_TFWD)),2)))&lt;0,-1,0),IF(IF(o_WRAP=1,MOD(((c_TMAP1IN)-(c_TFWD))*(((K102)-(c_TFWD))*((c_TMAP1OUT)-(0))+IF(((c_TMAP1OUT)-(0))&gt;=0,1,-1)*QUOTIENT(((c_TMAP1IN)-(c_TFWD)),2))+2147483648,4294967296)-2147483648,((c_TMAP1IN)-(c_TFWD))*(((K102)-(c_TFWD))*((c_TMAP1OUT)-(0))+IF(((c_TMAP1OUT)-(0))&gt;=0,1,-1)*QUOTIENT(((c_TMAP1IN)-(c_TFWD)),2)))&gt;=0,1,0)))</f>
        <v>71</v>
      </c>
      <c r="N102" s="7" t="n">
        <f aca="false">IF(((c_TMAP2IN)-(c_TMAP1IN))=0,(c_TMAP1OUT)+QUOTIENT(((c_TMAP2OUT)-(c_TMAP1OUT)),2),QUOTIENT((((K102)-(c_TMAP1IN))*((c_TMAP2OUT)-(c_TMAP1OUT))+IF(((c_TMAP2OUT)-(c_TMAP1OUT))&gt;=0,1,-1)*QUOTIENT(((c_TMAP2IN)-(c_TMAP1IN)),2)),((c_TMAP2IN)-(c_TMAP1IN)))+(c_TMAP1OUT)+IF(((c_TMAP2OUT)-(c_TMAP1OUT))&gt;=0,IF(IF(o_WRAP=1,MOD(((c_TMAP2IN)-(c_TMAP1IN))*(((K102)-(c_TMAP1IN))*((c_TMAP2OUT)-(c_TMAP1OUT))+IF(((c_TMAP2OUT)-(c_TMAP1OUT))&gt;=0,1,-1)*QUOTIENT(((c_TMAP2IN)-(c_TMAP1IN)),2))+2147483648,4294967296)-2147483648,((c_TMAP2IN)-(c_TMAP1IN))*(((K102)-(c_TMAP1IN))*((c_TMAP2OUT)-(c_TMAP1OUT))+IF(((c_TMAP2OUT)-(c_TMAP1OUT))&gt;=0,1,-1)*QUOTIENT(((c_TMAP2IN)-(c_TMAP1IN)),2)))&lt;0,-1,0),IF(IF(o_WRAP=1,MOD(((c_TMAP2IN)-(c_TMAP1IN))*(((K102)-(c_TMAP1IN))*((c_TMAP2OUT)-(c_TMAP1OUT))+IF(((c_TMAP2OUT)-(c_TMAP1OUT))&gt;=0,1,-1)*QUOTIENT(((c_TMAP2IN)-(c_TMAP1IN)),2))+2147483648,4294967296)-2147483648,((c_TMAP2IN)-(c_TMAP1IN))*(((K102)-(c_TMAP1IN))*((c_TMAP2OUT)-(c_TMAP1OUT))+IF(((c_TMAP2OUT)-(c_TMAP1OUT))&gt;=0,1,-1)*QUOTIENT(((c_TMAP2IN)-(c_TMAP1IN)),2)))&gt;=0,1,0)))</f>
        <v>70</v>
      </c>
      <c r="O102" s="7" t="n">
        <f aca="false">IF(((c_TMAP3IN)-(c_TMAP2IN))=0,(c_TMAP2OUT)+QUOTIENT(((c_TMAP3OUT)-(c_TMAP2OUT)),2),QUOTIENT((((K102)-(c_TMAP2IN))*((c_TMAP3OUT)-(c_TMAP2OUT))+IF(((c_TMAP3OUT)-(c_TMAP2OUT))&gt;=0,1,-1)*QUOTIENT(((c_TMAP3IN)-(c_TMAP2IN)),2)),((c_TMAP3IN)-(c_TMAP2IN)))+(c_TMAP2OUT)+IF(((c_TMAP3OUT)-(c_TMAP2OUT))&gt;=0,IF(IF(o_WRAP=1,MOD(((c_TMAP3IN)-(c_TMAP2IN))*(((K102)-(c_TMAP2IN))*((c_TMAP3OUT)-(c_TMAP2OUT))+IF(((c_TMAP3OUT)-(c_TMAP2OUT))&gt;=0,1,-1)*QUOTIENT(((c_TMAP3IN)-(c_TMAP2IN)),2))+2147483648,4294967296)-2147483648,((c_TMAP3IN)-(c_TMAP2IN))*(((K102)-(c_TMAP2IN))*((c_TMAP3OUT)-(c_TMAP2OUT))+IF(((c_TMAP3OUT)-(c_TMAP2OUT))&gt;=0,1,-1)*QUOTIENT(((c_TMAP3IN)-(c_TMAP2IN)),2)))&lt;0,-1,0),IF(IF(o_WRAP=1,MOD(((c_TMAP3IN)-(c_TMAP2IN))*(((K102)-(c_TMAP2IN))*((c_TMAP3OUT)-(c_TMAP2OUT))+IF(((c_TMAP3OUT)-(c_TMAP2OUT))&gt;=0,1,-1)*QUOTIENT(((c_TMAP3IN)-(c_TMAP2IN)),2))+2147483648,4294967296)-2147483648,((c_TMAP3IN)-(c_TMAP2IN))*(((K102)-(c_TMAP2IN))*((c_TMAP3OUT)-(c_TMAP2OUT))+IF(((c_TMAP3OUT)-(c_TMAP2OUT))&gt;=0,1,-1)*QUOTIENT(((c_TMAP3IN)-(c_TMAP2IN)),2)))&gt;=0,1,0)))</f>
        <v>26</v>
      </c>
      <c r="P102" s="7" t="n">
        <f aca="false">IF(((1000)-(c_TMAP3IN))=0,(c_TMAP3OUT)+QUOTIENT(((1000)-(c_TMAP3OUT)),2),QUOTIENT((((K102)-(c_TMAP3IN))*((1000)-(c_TMAP3OUT))+IF(((1000)-(c_TMAP3OUT))&gt;=0,1,-1)*QUOTIENT(((1000)-(c_TMAP3IN)),2)),((1000)-(c_TMAP3IN)))+(c_TMAP3OUT)+IF(((1000)-(c_TMAP3OUT))&gt;=0,IF(IF(o_WRAP=1,MOD(((1000)-(c_TMAP3IN))*(((K102)-(c_TMAP3IN))*((1000)-(c_TMAP3OUT))+IF(((1000)-(c_TMAP3OUT))&gt;=0,1,-1)*QUOTIENT(((1000)-(c_TMAP3IN)),2))+2147483648,4294967296)-2147483648,((1000)-(c_TMAP3IN))*(((K102)-(c_TMAP3IN))*((1000)-(c_TMAP3OUT))+IF(((1000)-(c_TMAP3OUT))&gt;=0,1,-1)*QUOTIENT(((1000)-(c_TMAP3IN)),2)))&lt;0,-1,0),IF(IF(o_WRAP=1,MOD(((1000)-(c_TMAP3IN))*(((K102)-(c_TMAP3IN))*((1000)-(c_TMAP3OUT))+IF(((1000)-(c_TMAP3OUT))&gt;=0,1,-1)*QUOTIENT(((1000)-(c_TMAP3IN)),2))+2147483648,4294967296)-2147483648,((1000)-(c_TMAP3IN))*(((K102)-(c_TMAP3IN))*((1000)-(c_TMAP3OUT))+IF(((1000)-(c_TMAP3OUT))&gt;=0,1,-1)*QUOTIENT(((1000)-(c_TMAP3IN)),2)))&gt;=0,1,0)))</f>
        <v>-106</v>
      </c>
      <c r="Q102" s="7" t="str">
        <f aca="false">IF(K102&gt;=c_TFWD,IF(AND(K102&gt;=c_TMAP3IN,c_TMAP3IN&lt;1000),"Seg4 map3-100%",IF(AND(K102&gt;=c_TMAP2IN,c_TMAP3IN&gt;c_TMAP2IN),"Seg3 map2-map3",IF(AND(K102&gt;=c_TMAP1IN,c_TMAP2IN&gt;c_TMAP1IN),"Seg2 map1-map2","Seg1 TFWD-map1"))),IF(AND(K102=0,c_TCREEP&gt;0),"Creep",IF(AND(K102&lt;=c_TRNGMIN,K102&gt;=c_TRNGMAX,c_TRNGMIN-c_TRNGMAX&lt;&gt;0),"Regen ramp","Coast (0)")))</f>
        <v>Seg2 map1-map2</v>
      </c>
      <c r="R102" s="7" t="n">
        <f aca="false">IF(K102&gt;=c_TFWD,IF(AND(K102&gt;=c_TMAP3IN,c_TMAP3IN&lt;1000),P102,IF(AND(K102&gt;=c_TMAP2IN,c_TMAP3IN&gt;c_TMAP2IN),O102,IF(AND(K102&gt;=c_TMAP1IN,c_TMAP2IN&gt;c_TMAP1IN),N102,M102))),L102)</f>
        <v>70</v>
      </c>
      <c r="S102" s="7" t="str">
        <f aca="false">IF(R102&lt;-1090,"TOO LOW",IF(R102&gt;1090,"TOO HIGH",""))</f>
        <v/>
      </c>
      <c r="T102" s="15" t="n">
        <f aca="false">IF(H102&lt;&gt;"OK",0,IF(S102&lt;&gt;"",0,IF(R102&gt;979,1000,R102)))</f>
        <v>70</v>
      </c>
      <c r="U102" s="7" t="n">
        <f aca="false">T102/10</f>
        <v>7</v>
      </c>
    </row>
    <row r="103" customFormat="false" ht="15" hidden="false" customHeight="false" outlineLevel="0" collapsed="false">
      <c r="A103" s="7" t="n">
        <v>98</v>
      </c>
      <c r="B103" s="7" t="n">
        <f aca="false">ROUND(o_SWSTART+A103*(o_SWEND-o_SWSTART)/400,0)</f>
        <v>1003</v>
      </c>
      <c r="C103" s="7" t="n">
        <f aca="false">QUOTIENT((B103-c_OFF1)*c_GAIN1,1024)</f>
        <v>1003</v>
      </c>
      <c r="D103" s="7" t="n">
        <f aca="false">IF(((c_T1MX)-(c_T1MN))=0,(0)+QUOTIENT(((1000)-(0)),2),QUOTIENT((((C103)-(c_T1MN))*((1000)-(0))+IF(((1000)-(0))&gt;=0,1,-1)*QUOTIENT(((c_T1MX)-(c_T1MN)),2)),((c_T1MX)-(c_T1MN)))+(0)+IF(((1000)-(0))&gt;=0,IF(IF(o_WRAP=1,MOD(((c_T1MX)-(c_T1MN))*(((C103)-(c_T1MN))*((1000)-(0))+IF(((1000)-(0))&gt;=0,1,-1)*QUOTIENT(((c_T1MX)-(c_T1MN)),2))+2147483648,4294967296)-2147483648,((c_T1MX)-(c_T1MN))*(((C103)-(c_T1MN))*((1000)-(0))+IF(((1000)-(0))&gt;=0,1,-1)*QUOTIENT(((c_T1MX)-(c_T1MN)),2)))&lt;0,-1,0),IF(IF(o_WRAP=1,MOD(((c_T1MX)-(c_T1MN))*(((C103)-(c_T1MN))*((1000)-(0))+IF(((1000)-(0))&gt;=0,1,-1)*QUOTIENT(((c_T1MX)-(c_T1MN)),2))+2147483648,4294967296)-2147483648,((c_T1MX)-(c_T1MN))*(((C103)-(c_T1MN))*((1000)-(0))+IF(((1000)-(0))&gt;=0,1,-1)*QUOTIENT(((c_T1MX)-(c_T1MN)),2)))&gt;=0,1,0)))</f>
        <v>104</v>
      </c>
      <c r="E103" s="7" t="n">
        <f aca="false">IF(AND(c_TPOT=1,c_TTYPE=2),1000-D103,D103)</f>
        <v>104</v>
      </c>
      <c r="F103" s="7" t="str">
        <f aca="false">IF(c_TPOT&gt;1,ROUND(IF(c_TTYPE=2,c_T2MX-IF(c_T1MX=c_T1MN,0,(C103-c_T1MN)/(c_T1MX-c_T1MN))*(c_T2MX-c_T2MN),c_T2MN+IF(c_T1MX=c_T1MN,0,(C103-c_T1MN)/(c_T1MX-c_T1MN))*(c_T2MX-c_T2MN))+o_MISMATCH,0),"")</f>
        <v/>
      </c>
      <c r="G103" s="7" t="str">
        <f aca="false">IF(c_TPOT&gt;1,IF(((c_T2MX)-(c_T2MN))=0,(0)+QUOTIENT(((1000)-(0)),2),QUOTIENT((((F103)-(c_T2MN))*((1000)-(0))+IF(((1000)-(0))&gt;=0,1,-1)*QUOTIENT(((c_T2MX)-(c_T2MN)),2)),((c_T2MX)-(c_T2MN)))+(0)+IF(((1000)-(0))&gt;=0,IF(IF(o_WRAP=1,MOD(((c_T2MX)-(c_T2MN))*(((F103)-(c_T2MN))*((1000)-(0))+IF(((1000)-(0))&gt;=0,1,-1)*QUOTIENT(((c_T2MX)-(c_T2MN)),2))+2147483648,4294967296)-2147483648,((c_T2MX)-(c_T2MN))*(((F103)-(c_T2MN))*((1000)-(0))+IF(((1000)-(0))&gt;=0,1,-1)*QUOTIENT(((c_T2MX)-(c_T2MN)),2)))&lt;0,-1,0),IF(IF(o_WRAP=1,MOD(((c_T2MX)-(c_T2MN))*(((F103)-(c_T2MN))*((1000)-(0))+IF(((1000)-(0))&gt;=0,1,-1)*QUOTIENT(((c_T2MX)-(c_T2MN)),2))+2147483648,4294967296)-2147483648,((c_T2MX)-(c_T2MN))*(((F103)-(c_T2MN))*((1000)-(0))+IF(((1000)-(0))&gt;=0,1,-1)*QUOTIENT(((c_T2MX)-(c_T2MN)),2)))&gt;=0,1,0))),"")</f>
        <v/>
      </c>
      <c r="H103" s="7" t="str">
        <f aca="false">IF(E103&gt;1000+k_TOL,"T1 HIGH",IF(E103&lt;0-k_TOL,"T1 LOW",IF(c_TPOT&gt;1,IF(G103&gt;1000+k_TOL,"T2 HIGH",IF(G103&lt;0-k_TOL,"T2 LOW",IF(c_TTYPE=2,IF(ABS(1000-MAX(0,MIN(1000,E103))-MAX(0,MIN(1000,G103)))&gt;k_MAXERR,"MISMATCH","OK"),IF(OR(MAX(0,MIN(1000,E103))-k_MAXERR&gt;MAX(0,MIN(1000,G103)),MAX(0,MIN(1000,G103))-k_MAXERR&gt;MAX(0,MIN(1000,E103))),"MISMATCH","OK")))),"OK")))</f>
        <v>OK</v>
      </c>
      <c r="I103" s="7" t="n">
        <f aca="false">MAX(0,MIN(1000,D103))</f>
        <v>104</v>
      </c>
      <c r="J103" s="7" t="str">
        <f aca="false">IF(c_TPOT&gt;1,IF(c_TTYPE=2,1000-MAX(0,MIN(1000,G103)),MAX(0,MIN(1000,G103))),"")</f>
        <v/>
      </c>
      <c r="K103" s="7" t="n">
        <f aca="false">IF(c_TPOT&gt;1,QUOTIENT(I103+J103,2),I103)</f>
        <v>104</v>
      </c>
      <c r="L103" s="7" t="n">
        <f aca="false">IF(AND(K103=0,c_TCREEP&gt;0),10*c_TCREEP,IF(AND(K103&lt;=c_TRNGMIN,K103&gt;=c_TRNGMAX,c_TRNGMIN-c_TRNGMAX&lt;&gt;0),-10*c_TMINRN+QUOTIENT((c_TMAXRN-c_TMINRN)*(100-QUOTIENT((K103-c_TRNGMAX)*100,c_TRNGMIN-c_TRNGMAX)),-10),0))</f>
        <v>0</v>
      </c>
      <c r="M103" s="7" t="n">
        <f aca="false">IF(((c_TMAP1IN)-(c_TFWD))=0,(0)+QUOTIENT(((c_TMAP1OUT)-(0)),2),QUOTIENT((((K103)-(c_TFWD))*((c_TMAP1OUT)-(0))+IF(((c_TMAP1OUT)-(0))&gt;=0,1,-1)*QUOTIENT(((c_TMAP1IN)-(c_TFWD)),2)),((c_TMAP1IN)-(c_TFWD)))+(0)+IF(((c_TMAP1OUT)-(0))&gt;=0,IF(IF(o_WRAP=1,MOD(((c_TMAP1IN)-(c_TFWD))*(((K103)-(c_TFWD))*((c_TMAP1OUT)-(0))+IF(((c_TMAP1OUT)-(0))&gt;=0,1,-1)*QUOTIENT(((c_TMAP1IN)-(c_TFWD)),2))+2147483648,4294967296)-2147483648,((c_TMAP1IN)-(c_TFWD))*(((K103)-(c_TFWD))*((c_TMAP1OUT)-(0))+IF(((c_TMAP1OUT)-(0))&gt;=0,1,-1)*QUOTIENT(((c_TMAP1IN)-(c_TFWD)),2)))&lt;0,-1,0),IF(IF(o_WRAP=1,MOD(((c_TMAP1IN)-(c_TFWD))*(((K103)-(c_TFWD))*((c_TMAP1OUT)-(0))+IF(((c_TMAP1OUT)-(0))&gt;=0,1,-1)*QUOTIENT(((c_TMAP1IN)-(c_TFWD)),2))+2147483648,4294967296)-2147483648,((c_TMAP1IN)-(c_TFWD))*(((K103)-(c_TFWD))*((c_TMAP1OUT)-(0))+IF(((c_TMAP1OUT)-(0))&gt;=0,1,-1)*QUOTIENT(((c_TMAP1IN)-(c_TFWD)),2)))&gt;=0,1,0)))</f>
        <v>73</v>
      </c>
      <c r="N103" s="7" t="n">
        <f aca="false">IF(((c_TMAP2IN)-(c_TMAP1IN))=0,(c_TMAP1OUT)+QUOTIENT(((c_TMAP2OUT)-(c_TMAP1OUT)),2),QUOTIENT((((K103)-(c_TMAP1IN))*((c_TMAP2OUT)-(c_TMAP1OUT))+IF(((c_TMAP2OUT)-(c_TMAP1OUT))&gt;=0,1,-1)*QUOTIENT(((c_TMAP2IN)-(c_TMAP1IN)),2)),((c_TMAP2IN)-(c_TMAP1IN)))+(c_TMAP1OUT)+IF(((c_TMAP2OUT)-(c_TMAP1OUT))&gt;=0,IF(IF(o_WRAP=1,MOD(((c_TMAP2IN)-(c_TMAP1IN))*(((K103)-(c_TMAP1IN))*((c_TMAP2OUT)-(c_TMAP1OUT))+IF(((c_TMAP2OUT)-(c_TMAP1OUT))&gt;=0,1,-1)*QUOTIENT(((c_TMAP2IN)-(c_TMAP1IN)),2))+2147483648,4294967296)-2147483648,((c_TMAP2IN)-(c_TMAP1IN))*(((K103)-(c_TMAP1IN))*((c_TMAP2OUT)-(c_TMAP1OUT))+IF(((c_TMAP2OUT)-(c_TMAP1OUT))&gt;=0,1,-1)*QUOTIENT(((c_TMAP2IN)-(c_TMAP1IN)),2)))&lt;0,-1,0),IF(IF(o_WRAP=1,MOD(((c_TMAP2IN)-(c_TMAP1IN))*(((K103)-(c_TMAP1IN))*((c_TMAP2OUT)-(c_TMAP1OUT))+IF(((c_TMAP2OUT)-(c_TMAP1OUT))&gt;=0,1,-1)*QUOTIENT(((c_TMAP2IN)-(c_TMAP1IN)),2))+2147483648,4294967296)-2147483648,((c_TMAP2IN)-(c_TMAP1IN))*(((K103)-(c_TMAP1IN))*((c_TMAP2OUT)-(c_TMAP1OUT))+IF(((c_TMAP2OUT)-(c_TMAP1OUT))&gt;=0,1,-1)*QUOTIENT(((c_TMAP2IN)-(c_TMAP1IN)),2)))&gt;=0,1,0)))</f>
        <v>72</v>
      </c>
      <c r="O103" s="7" t="n">
        <f aca="false">IF(((c_TMAP3IN)-(c_TMAP2IN))=0,(c_TMAP2OUT)+QUOTIENT(((c_TMAP3OUT)-(c_TMAP2OUT)),2),QUOTIENT((((K103)-(c_TMAP2IN))*((c_TMAP3OUT)-(c_TMAP2OUT))+IF(((c_TMAP3OUT)-(c_TMAP2OUT))&gt;=0,1,-1)*QUOTIENT(((c_TMAP3IN)-(c_TMAP2IN)),2)),((c_TMAP3IN)-(c_TMAP2IN)))+(c_TMAP2OUT)+IF(((c_TMAP3OUT)-(c_TMAP2OUT))&gt;=0,IF(IF(o_WRAP=1,MOD(((c_TMAP3IN)-(c_TMAP2IN))*(((K103)-(c_TMAP2IN))*((c_TMAP3OUT)-(c_TMAP2OUT))+IF(((c_TMAP3OUT)-(c_TMAP2OUT))&gt;=0,1,-1)*QUOTIENT(((c_TMAP3IN)-(c_TMAP2IN)),2))+2147483648,4294967296)-2147483648,((c_TMAP3IN)-(c_TMAP2IN))*(((K103)-(c_TMAP2IN))*((c_TMAP3OUT)-(c_TMAP2OUT))+IF(((c_TMAP3OUT)-(c_TMAP2OUT))&gt;=0,1,-1)*QUOTIENT(((c_TMAP3IN)-(c_TMAP2IN)),2)))&lt;0,-1,0),IF(IF(o_WRAP=1,MOD(((c_TMAP3IN)-(c_TMAP2IN))*(((K103)-(c_TMAP2IN))*((c_TMAP3OUT)-(c_TMAP2OUT))+IF(((c_TMAP3OUT)-(c_TMAP2OUT))&gt;=0,1,-1)*QUOTIENT(((c_TMAP3IN)-(c_TMAP2IN)),2))+2147483648,4294967296)-2147483648,((c_TMAP3IN)-(c_TMAP2IN))*(((K103)-(c_TMAP2IN))*((c_TMAP3OUT)-(c_TMAP2OUT))+IF(((c_TMAP3OUT)-(c_TMAP2OUT))&gt;=0,1,-1)*QUOTIENT(((c_TMAP3IN)-(c_TMAP2IN)),2)))&gt;=0,1,0)))</f>
        <v>28</v>
      </c>
      <c r="P103" s="7" t="n">
        <f aca="false">IF(((1000)-(c_TMAP3IN))=0,(c_TMAP3OUT)+QUOTIENT(((1000)-(c_TMAP3OUT)),2),QUOTIENT((((K103)-(c_TMAP3IN))*((1000)-(c_TMAP3OUT))+IF(((1000)-(c_TMAP3OUT))&gt;=0,1,-1)*QUOTIENT(((1000)-(c_TMAP3IN)),2)),((1000)-(c_TMAP3IN)))+(c_TMAP3OUT)+IF(((1000)-(c_TMAP3OUT))&gt;=0,IF(IF(o_WRAP=1,MOD(((1000)-(c_TMAP3IN))*(((K103)-(c_TMAP3IN))*((1000)-(c_TMAP3OUT))+IF(((1000)-(c_TMAP3OUT))&gt;=0,1,-1)*QUOTIENT(((1000)-(c_TMAP3IN)),2))+2147483648,4294967296)-2147483648,((1000)-(c_TMAP3IN))*(((K103)-(c_TMAP3IN))*((1000)-(c_TMAP3OUT))+IF(((1000)-(c_TMAP3OUT))&gt;=0,1,-1)*QUOTIENT(((1000)-(c_TMAP3IN)),2)))&lt;0,-1,0),IF(IF(o_WRAP=1,MOD(((1000)-(c_TMAP3IN))*(((K103)-(c_TMAP3IN))*((1000)-(c_TMAP3OUT))+IF(((1000)-(c_TMAP3OUT))&gt;=0,1,-1)*QUOTIENT(((1000)-(c_TMAP3IN)),2))+2147483648,4294967296)-2147483648,((1000)-(c_TMAP3IN))*(((K103)-(c_TMAP3IN))*((1000)-(c_TMAP3OUT))+IF(((1000)-(c_TMAP3OUT))&gt;=0,1,-1)*QUOTIENT(((1000)-(c_TMAP3IN)),2)))&gt;=0,1,0)))</f>
        <v>-103</v>
      </c>
      <c r="Q103" s="7" t="str">
        <f aca="false">IF(K103&gt;=c_TFWD,IF(AND(K103&gt;=c_TMAP3IN,c_TMAP3IN&lt;1000),"Seg4 map3-100%",IF(AND(K103&gt;=c_TMAP2IN,c_TMAP3IN&gt;c_TMAP2IN),"Seg3 map2-map3",IF(AND(K103&gt;=c_TMAP1IN,c_TMAP2IN&gt;c_TMAP1IN),"Seg2 map1-map2","Seg1 TFWD-map1"))),IF(AND(K103=0,c_TCREEP&gt;0),"Creep",IF(AND(K103&lt;=c_TRNGMIN,K103&gt;=c_TRNGMAX,c_TRNGMIN-c_TRNGMAX&lt;&gt;0),"Regen ramp","Coast (0)")))</f>
        <v>Seg2 map1-map2</v>
      </c>
      <c r="R103" s="7" t="n">
        <f aca="false">IF(K103&gt;=c_TFWD,IF(AND(K103&gt;=c_TMAP3IN,c_TMAP3IN&lt;1000),P103,IF(AND(K103&gt;=c_TMAP2IN,c_TMAP3IN&gt;c_TMAP2IN),O103,IF(AND(K103&gt;=c_TMAP1IN,c_TMAP2IN&gt;c_TMAP1IN),N103,M103))),L103)</f>
        <v>72</v>
      </c>
      <c r="S103" s="7" t="str">
        <f aca="false">IF(R103&lt;-1090,"TOO LOW",IF(R103&gt;1090,"TOO HIGH",""))</f>
        <v/>
      </c>
      <c r="T103" s="15" t="n">
        <f aca="false">IF(H103&lt;&gt;"OK",0,IF(S103&lt;&gt;"",0,IF(R103&gt;979,1000,R103)))</f>
        <v>72</v>
      </c>
      <c r="U103" s="7" t="n">
        <f aca="false">T103/10</f>
        <v>7.2</v>
      </c>
    </row>
    <row r="104" customFormat="false" ht="15" hidden="false" customHeight="false" outlineLevel="0" collapsed="false">
      <c r="A104" s="7" t="n">
        <v>99</v>
      </c>
      <c r="B104" s="7" t="n">
        <f aca="false">ROUND(o_SWSTART+A104*(o_SWEND-o_SWSTART)/400,0)</f>
        <v>1014</v>
      </c>
      <c r="C104" s="7" t="n">
        <f aca="false">QUOTIENT((B104-c_OFF1)*c_GAIN1,1024)</f>
        <v>1014</v>
      </c>
      <c r="D104" s="7" t="n">
        <f aca="false">IF(((c_T1MX)-(c_T1MN))=0,(0)+QUOTIENT(((1000)-(0)),2),QUOTIENT((((C104)-(c_T1MN))*((1000)-(0))+IF(((1000)-(0))&gt;=0,1,-1)*QUOTIENT(((c_T1MX)-(c_T1MN)),2)),((c_T1MX)-(c_T1MN)))+(0)+IF(((1000)-(0))&gt;=0,IF(IF(o_WRAP=1,MOD(((c_T1MX)-(c_T1MN))*(((C104)-(c_T1MN))*((1000)-(0))+IF(((1000)-(0))&gt;=0,1,-1)*QUOTIENT(((c_T1MX)-(c_T1MN)),2))+2147483648,4294967296)-2147483648,((c_T1MX)-(c_T1MN))*(((C104)-(c_T1MN))*((1000)-(0))+IF(((1000)-(0))&gt;=0,1,-1)*QUOTIENT(((c_T1MX)-(c_T1MN)),2)))&lt;0,-1,0),IF(IF(o_WRAP=1,MOD(((c_T1MX)-(c_T1MN))*(((C104)-(c_T1MN))*((1000)-(0))+IF(((1000)-(0))&gt;=0,1,-1)*QUOTIENT(((c_T1MX)-(c_T1MN)),2))+2147483648,4294967296)-2147483648,((c_T1MX)-(c_T1MN))*(((C104)-(c_T1MN))*((1000)-(0))+IF(((1000)-(0))&gt;=0,1,-1)*QUOTIENT(((c_T1MX)-(c_T1MN)),2)))&gt;=0,1,0)))</f>
        <v>108</v>
      </c>
      <c r="E104" s="7" t="n">
        <f aca="false">IF(AND(c_TPOT=1,c_TTYPE=2),1000-D104,D104)</f>
        <v>108</v>
      </c>
      <c r="F104" s="7" t="str">
        <f aca="false">IF(c_TPOT&gt;1,ROUND(IF(c_TTYPE=2,c_T2MX-IF(c_T1MX=c_T1MN,0,(C104-c_T1MN)/(c_T1MX-c_T1MN))*(c_T2MX-c_T2MN),c_T2MN+IF(c_T1MX=c_T1MN,0,(C104-c_T1MN)/(c_T1MX-c_T1MN))*(c_T2MX-c_T2MN))+o_MISMATCH,0),"")</f>
        <v/>
      </c>
      <c r="G104" s="7" t="str">
        <f aca="false">IF(c_TPOT&gt;1,IF(((c_T2MX)-(c_T2MN))=0,(0)+QUOTIENT(((1000)-(0)),2),QUOTIENT((((F104)-(c_T2MN))*((1000)-(0))+IF(((1000)-(0))&gt;=0,1,-1)*QUOTIENT(((c_T2MX)-(c_T2MN)),2)),((c_T2MX)-(c_T2MN)))+(0)+IF(((1000)-(0))&gt;=0,IF(IF(o_WRAP=1,MOD(((c_T2MX)-(c_T2MN))*(((F104)-(c_T2MN))*((1000)-(0))+IF(((1000)-(0))&gt;=0,1,-1)*QUOTIENT(((c_T2MX)-(c_T2MN)),2))+2147483648,4294967296)-2147483648,((c_T2MX)-(c_T2MN))*(((F104)-(c_T2MN))*((1000)-(0))+IF(((1000)-(0))&gt;=0,1,-1)*QUOTIENT(((c_T2MX)-(c_T2MN)),2)))&lt;0,-1,0),IF(IF(o_WRAP=1,MOD(((c_T2MX)-(c_T2MN))*(((F104)-(c_T2MN))*((1000)-(0))+IF(((1000)-(0))&gt;=0,1,-1)*QUOTIENT(((c_T2MX)-(c_T2MN)),2))+2147483648,4294967296)-2147483648,((c_T2MX)-(c_T2MN))*(((F104)-(c_T2MN))*((1000)-(0))+IF(((1000)-(0))&gt;=0,1,-1)*QUOTIENT(((c_T2MX)-(c_T2MN)),2)))&gt;=0,1,0))),"")</f>
        <v/>
      </c>
      <c r="H104" s="7" t="str">
        <f aca="false">IF(E104&gt;1000+k_TOL,"T1 HIGH",IF(E104&lt;0-k_TOL,"T1 LOW",IF(c_TPOT&gt;1,IF(G104&gt;1000+k_TOL,"T2 HIGH",IF(G104&lt;0-k_TOL,"T2 LOW",IF(c_TTYPE=2,IF(ABS(1000-MAX(0,MIN(1000,E104))-MAX(0,MIN(1000,G104)))&gt;k_MAXERR,"MISMATCH","OK"),IF(OR(MAX(0,MIN(1000,E104))-k_MAXERR&gt;MAX(0,MIN(1000,G104)),MAX(0,MIN(1000,G104))-k_MAXERR&gt;MAX(0,MIN(1000,E104))),"MISMATCH","OK")))),"OK")))</f>
        <v>OK</v>
      </c>
      <c r="I104" s="7" t="n">
        <f aca="false">MAX(0,MIN(1000,D104))</f>
        <v>108</v>
      </c>
      <c r="J104" s="7" t="str">
        <f aca="false">IF(c_TPOT&gt;1,IF(c_TTYPE=2,1000-MAX(0,MIN(1000,G104)),MAX(0,MIN(1000,G104))),"")</f>
        <v/>
      </c>
      <c r="K104" s="7" t="n">
        <f aca="false">IF(c_TPOT&gt;1,QUOTIENT(I104+J104,2),I104)</f>
        <v>108</v>
      </c>
      <c r="L104" s="7" t="n">
        <f aca="false">IF(AND(K104=0,c_TCREEP&gt;0),10*c_TCREEP,IF(AND(K104&lt;=c_TRNGMIN,K104&gt;=c_TRNGMAX,c_TRNGMIN-c_TRNGMAX&lt;&gt;0),-10*c_TMINRN+QUOTIENT((c_TMAXRN-c_TMINRN)*(100-QUOTIENT((K104-c_TRNGMAX)*100,c_TRNGMIN-c_TRNGMAX)),-10),0))</f>
        <v>0</v>
      </c>
      <c r="M104" s="7" t="n">
        <f aca="false">IF(((c_TMAP1IN)-(c_TFWD))=0,(0)+QUOTIENT(((c_TMAP1OUT)-(0)),2),QUOTIENT((((K104)-(c_TFWD))*((c_TMAP1OUT)-(0))+IF(((c_TMAP1OUT)-(0))&gt;=0,1,-1)*QUOTIENT(((c_TMAP1IN)-(c_TFWD)),2)),((c_TMAP1IN)-(c_TFWD)))+(0)+IF(((c_TMAP1OUT)-(0))&gt;=0,IF(IF(o_WRAP=1,MOD(((c_TMAP1IN)-(c_TFWD))*(((K104)-(c_TFWD))*((c_TMAP1OUT)-(0))+IF(((c_TMAP1OUT)-(0))&gt;=0,1,-1)*QUOTIENT(((c_TMAP1IN)-(c_TFWD)),2))+2147483648,4294967296)-2147483648,((c_TMAP1IN)-(c_TFWD))*(((K104)-(c_TFWD))*((c_TMAP1OUT)-(0))+IF(((c_TMAP1OUT)-(0))&gt;=0,1,-1)*QUOTIENT(((c_TMAP1IN)-(c_TFWD)),2)))&lt;0,-1,0),IF(IF(o_WRAP=1,MOD(((c_TMAP1IN)-(c_TFWD))*(((K104)-(c_TFWD))*((c_TMAP1OUT)-(0))+IF(((c_TMAP1OUT)-(0))&gt;=0,1,-1)*QUOTIENT(((c_TMAP1IN)-(c_TFWD)),2))+2147483648,4294967296)-2147483648,((c_TMAP1IN)-(c_TFWD))*(((K104)-(c_TFWD))*((c_TMAP1OUT)-(0))+IF(((c_TMAP1OUT)-(0))&gt;=0,1,-1)*QUOTIENT(((c_TMAP1IN)-(c_TFWD)),2)))&gt;=0,1,0)))</f>
        <v>76</v>
      </c>
      <c r="N104" s="7" t="n">
        <f aca="false">IF(((c_TMAP2IN)-(c_TMAP1IN))=0,(c_TMAP1OUT)+QUOTIENT(((c_TMAP2OUT)-(c_TMAP1OUT)),2),QUOTIENT((((K104)-(c_TMAP1IN))*((c_TMAP2OUT)-(c_TMAP1OUT))+IF(((c_TMAP2OUT)-(c_TMAP1OUT))&gt;=0,1,-1)*QUOTIENT(((c_TMAP2IN)-(c_TMAP1IN)),2)),((c_TMAP2IN)-(c_TMAP1IN)))+(c_TMAP1OUT)+IF(((c_TMAP2OUT)-(c_TMAP1OUT))&gt;=0,IF(IF(o_WRAP=1,MOD(((c_TMAP2IN)-(c_TMAP1IN))*(((K104)-(c_TMAP1IN))*((c_TMAP2OUT)-(c_TMAP1OUT))+IF(((c_TMAP2OUT)-(c_TMAP1OUT))&gt;=0,1,-1)*QUOTIENT(((c_TMAP2IN)-(c_TMAP1IN)),2))+2147483648,4294967296)-2147483648,((c_TMAP2IN)-(c_TMAP1IN))*(((K104)-(c_TMAP1IN))*((c_TMAP2OUT)-(c_TMAP1OUT))+IF(((c_TMAP2OUT)-(c_TMAP1OUT))&gt;=0,1,-1)*QUOTIENT(((c_TMAP2IN)-(c_TMAP1IN)),2)))&lt;0,-1,0),IF(IF(o_WRAP=1,MOD(((c_TMAP2IN)-(c_TMAP1IN))*(((K104)-(c_TMAP1IN))*((c_TMAP2OUT)-(c_TMAP1OUT))+IF(((c_TMAP2OUT)-(c_TMAP1OUT))&gt;=0,1,-1)*QUOTIENT(((c_TMAP2IN)-(c_TMAP1IN)),2))+2147483648,4294967296)-2147483648,((c_TMAP2IN)-(c_TMAP1IN))*(((K104)-(c_TMAP1IN))*((c_TMAP2OUT)-(c_TMAP1OUT))+IF(((c_TMAP2OUT)-(c_TMAP1OUT))&gt;=0,1,-1)*QUOTIENT(((c_TMAP2IN)-(c_TMAP1IN)),2)))&gt;=0,1,0)))</f>
        <v>73</v>
      </c>
      <c r="O104" s="7" t="n">
        <f aca="false">IF(((c_TMAP3IN)-(c_TMAP2IN))=0,(c_TMAP2OUT)+QUOTIENT(((c_TMAP3OUT)-(c_TMAP2OUT)),2),QUOTIENT((((K104)-(c_TMAP2IN))*((c_TMAP3OUT)-(c_TMAP2OUT))+IF(((c_TMAP3OUT)-(c_TMAP2OUT))&gt;=0,1,-1)*QUOTIENT(((c_TMAP3IN)-(c_TMAP2IN)),2)),((c_TMAP3IN)-(c_TMAP2IN)))+(c_TMAP2OUT)+IF(((c_TMAP3OUT)-(c_TMAP2OUT))&gt;=0,IF(IF(o_WRAP=1,MOD(((c_TMAP3IN)-(c_TMAP2IN))*(((K104)-(c_TMAP2IN))*((c_TMAP3OUT)-(c_TMAP2OUT))+IF(((c_TMAP3OUT)-(c_TMAP2OUT))&gt;=0,1,-1)*QUOTIENT(((c_TMAP3IN)-(c_TMAP2IN)),2))+2147483648,4294967296)-2147483648,((c_TMAP3IN)-(c_TMAP2IN))*(((K104)-(c_TMAP2IN))*((c_TMAP3OUT)-(c_TMAP2OUT))+IF(((c_TMAP3OUT)-(c_TMAP2OUT))&gt;=0,1,-1)*QUOTIENT(((c_TMAP3IN)-(c_TMAP2IN)),2)))&lt;0,-1,0),IF(IF(o_WRAP=1,MOD(((c_TMAP3IN)-(c_TMAP2IN))*(((K104)-(c_TMAP2IN))*((c_TMAP3OUT)-(c_TMAP2OUT))+IF(((c_TMAP3OUT)-(c_TMAP2OUT))&gt;=0,1,-1)*QUOTIENT(((c_TMAP3IN)-(c_TMAP2IN)),2))+2147483648,4294967296)-2147483648,((c_TMAP3IN)-(c_TMAP2IN))*(((K104)-(c_TMAP2IN))*((c_TMAP3OUT)-(c_TMAP2OUT))+IF(((c_TMAP3OUT)-(c_TMAP2OUT))&gt;=0,1,-1)*QUOTIENT(((c_TMAP3IN)-(c_TMAP2IN)),2)))&gt;=0,1,0)))</f>
        <v>31</v>
      </c>
      <c r="P104" s="7" t="n">
        <f aca="false">IF(((1000)-(c_TMAP3IN))=0,(c_TMAP3OUT)+QUOTIENT(((1000)-(c_TMAP3OUT)),2),QUOTIENT((((K104)-(c_TMAP3IN))*((1000)-(c_TMAP3OUT))+IF(((1000)-(c_TMAP3OUT))&gt;=0,1,-1)*QUOTIENT(((1000)-(c_TMAP3IN)),2)),((1000)-(c_TMAP3IN)))+(c_TMAP3OUT)+IF(((1000)-(c_TMAP3OUT))&gt;=0,IF(IF(o_WRAP=1,MOD(((1000)-(c_TMAP3IN))*(((K104)-(c_TMAP3IN))*((1000)-(c_TMAP3OUT))+IF(((1000)-(c_TMAP3OUT))&gt;=0,1,-1)*QUOTIENT(((1000)-(c_TMAP3IN)),2))+2147483648,4294967296)-2147483648,((1000)-(c_TMAP3IN))*(((K104)-(c_TMAP3IN))*((1000)-(c_TMAP3OUT))+IF(((1000)-(c_TMAP3OUT))&gt;=0,1,-1)*QUOTIENT(((1000)-(c_TMAP3IN)),2)))&lt;0,-1,0),IF(IF(o_WRAP=1,MOD(((1000)-(c_TMAP3IN))*(((K104)-(c_TMAP3IN))*((1000)-(c_TMAP3OUT))+IF(((1000)-(c_TMAP3OUT))&gt;=0,1,-1)*QUOTIENT(((1000)-(c_TMAP3IN)),2))+2147483648,4294967296)-2147483648,((1000)-(c_TMAP3IN))*(((K104)-(c_TMAP3IN))*((1000)-(c_TMAP3OUT))+IF(((1000)-(c_TMAP3OUT))&gt;=0,1,-1)*QUOTIENT(((1000)-(c_TMAP3IN)),2)))&gt;=0,1,0)))</f>
        <v>-98</v>
      </c>
      <c r="Q104" s="7" t="str">
        <f aca="false">IF(K104&gt;=c_TFWD,IF(AND(K104&gt;=c_TMAP3IN,c_TMAP3IN&lt;1000),"Seg4 map3-100%",IF(AND(K104&gt;=c_TMAP2IN,c_TMAP3IN&gt;c_TMAP2IN),"Seg3 map2-map3",IF(AND(K104&gt;=c_TMAP1IN,c_TMAP2IN&gt;c_TMAP1IN),"Seg2 map1-map2","Seg1 TFWD-map1"))),IF(AND(K104=0,c_TCREEP&gt;0),"Creep",IF(AND(K104&lt;=c_TRNGMIN,K104&gt;=c_TRNGMAX,c_TRNGMIN-c_TRNGMAX&lt;&gt;0),"Regen ramp","Coast (0)")))</f>
        <v>Seg2 map1-map2</v>
      </c>
      <c r="R104" s="7" t="n">
        <f aca="false">IF(K104&gt;=c_TFWD,IF(AND(K104&gt;=c_TMAP3IN,c_TMAP3IN&lt;1000),P104,IF(AND(K104&gt;=c_TMAP2IN,c_TMAP3IN&gt;c_TMAP2IN),O104,IF(AND(K104&gt;=c_TMAP1IN,c_TMAP2IN&gt;c_TMAP1IN),N104,M104))),L104)</f>
        <v>73</v>
      </c>
      <c r="S104" s="7" t="str">
        <f aca="false">IF(R104&lt;-1090,"TOO LOW",IF(R104&gt;1090,"TOO HIGH",""))</f>
        <v/>
      </c>
      <c r="T104" s="15" t="n">
        <f aca="false">IF(H104&lt;&gt;"OK",0,IF(S104&lt;&gt;"",0,IF(R104&gt;979,1000,R104)))</f>
        <v>73</v>
      </c>
      <c r="U104" s="7" t="n">
        <f aca="false">T104/10</f>
        <v>7.3</v>
      </c>
    </row>
    <row r="105" customFormat="false" ht="15" hidden="false" customHeight="false" outlineLevel="0" collapsed="false">
      <c r="A105" s="7" t="n">
        <v>100</v>
      </c>
      <c r="B105" s="7" t="n">
        <f aca="false">ROUND(o_SWSTART+A105*(o_SWEND-o_SWSTART)/400,0)</f>
        <v>1024</v>
      </c>
      <c r="C105" s="7" t="n">
        <f aca="false">QUOTIENT((B105-c_OFF1)*c_GAIN1,1024)</f>
        <v>1024</v>
      </c>
      <c r="D105" s="7" t="n">
        <f aca="false">IF(((c_T1MX)-(c_T1MN))=0,(0)+QUOTIENT(((1000)-(0)),2),QUOTIENT((((C105)-(c_T1MN))*((1000)-(0))+IF(((1000)-(0))&gt;=0,1,-1)*QUOTIENT(((c_T1MX)-(c_T1MN)),2)),((c_T1MX)-(c_T1MN)))+(0)+IF(((1000)-(0))&gt;=0,IF(IF(o_WRAP=1,MOD(((c_T1MX)-(c_T1MN))*(((C105)-(c_T1MN))*((1000)-(0))+IF(((1000)-(0))&gt;=0,1,-1)*QUOTIENT(((c_T1MX)-(c_T1MN)),2))+2147483648,4294967296)-2147483648,((c_T1MX)-(c_T1MN))*(((C105)-(c_T1MN))*((1000)-(0))+IF(((1000)-(0))&gt;=0,1,-1)*QUOTIENT(((c_T1MX)-(c_T1MN)),2)))&lt;0,-1,0),IF(IF(o_WRAP=1,MOD(((c_T1MX)-(c_T1MN))*(((C105)-(c_T1MN))*((1000)-(0))+IF(((1000)-(0))&gt;=0,1,-1)*QUOTIENT(((c_T1MX)-(c_T1MN)),2))+2147483648,4294967296)-2147483648,((c_T1MX)-(c_T1MN))*(((C105)-(c_T1MN))*((1000)-(0))+IF(((1000)-(0))&gt;=0,1,-1)*QUOTIENT(((c_T1MX)-(c_T1MN)),2)))&gt;=0,1,0)))</f>
        <v>112</v>
      </c>
      <c r="E105" s="7" t="n">
        <f aca="false">IF(AND(c_TPOT=1,c_TTYPE=2),1000-D105,D105)</f>
        <v>112</v>
      </c>
      <c r="F105" s="7" t="str">
        <f aca="false">IF(c_TPOT&gt;1,ROUND(IF(c_TTYPE=2,c_T2MX-IF(c_T1MX=c_T1MN,0,(C105-c_T1MN)/(c_T1MX-c_T1MN))*(c_T2MX-c_T2MN),c_T2MN+IF(c_T1MX=c_T1MN,0,(C105-c_T1MN)/(c_T1MX-c_T1MN))*(c_T2MX-c_T2MN))+o_MISMATCH,0),"")</f>
        <v/>
      </c>
      <c r="G105" s="7" t="str">
        <f aca="false">IF(c_TPOT&gt;1,IF(((c_T2MX)-(c_T2MN))=0,(0)+QUOTIENT(((1000)-(0)),2),QUOTIENT((((F105)-(c_T2MN))*((1000)-(0))+IF(((1000)-(0))&gt;=0,1,-1)*QUOTIENT(((c_T2MX)-(c_T2MN)),2)),((c_T2MX)-(c_T2MN)))+(0)+IF(((1000)-(0))&gt;=0,IF(IF(o_WRAP=1,MOD(((c_T2MX)-(c_T2MN))*(((F105)-(c_T2MN))*((1000)-(0))+IF(((1000)-(0))&gt;=0,1,-1)*QUOTIENT(((c_T2MX)-(c_T2MN)),2))+2147483648,4294967296)-2147483648,((c_T2MX)-(c_T2MN))*(((F105)-(c_T2MN))*((1000)-(0))+IF(((1000)-(0))&gt;=0,1,-1)*QUOTIENT(((c_T2MX)-(c_T2MN)),2)))&lt;0,-1,0),IF(IF(o_WRAP=1,MOD(((c_T2MX)-(c_T2MN))*(((F105)-(c_T2MN))*((1000)-(0))+IF(((1000)-(0))&gt;=0,1,-1)*QUOTIENT(((c_T2MX)-(c_T2MN)),2))+2147483648,4294967296)-2147483648,((c_T2MX)-(c_T2MN))*(((F105)-(c_T2MN))*((1000)-(0))+IF(((1000)-(0))&gt;=0,1,-1)*QUOTIENT(((c_T2MX)-(c_T2MN)),2)))&gt;=0,1,0))),"")</f>
        <v/>
      </c>
      <c r="H105" s="7" t="str">
        <f aca="false">IF(E105&gt;1000+k_TOL,"T1 HIGH",IF(E105&lt;0-k_TOL,"T1 LOW",IF(c_TPOT&gt;1,IF(G105&gt;1000+k_TOL,"T2 HIGH",IF(G105&lt;0-k_TOL,"T2 LOW",IF(c_TTYPE=2,IF(ABS(1000-MAX(0,MIN(1000,E105))-MAX(0,MIN(1000,G105)))&gt;k_MAXERR,"MISMATCH","OK"),IF(OR(MAX(0,MIN(1000,E105))-k_MAXERR&gt;MAX(0,MIN(1000,G105)),MAX(0,MIN(1000,G105))-k_MAXERR&gt;MAX(0,MIN(1000,E105))),"MISMATCH","OK")))),"OK")))</f>
        <v>OK</v>
      </c>
      <c r="I105" s="7" t="n">
        <f aca="false">MAX(0,MIN(1000,D105))</f>
        <v>112</v>
      </c>
      <c r="J105" s="7" t="str">
        <f aca="false">IF(c_TPOT&gt;1,IF(c_TTYPE=2,1000-MAX(0,MIN(1000,G105)),MAX(0,MIN(1000,G105))),"")</f>
        <v/>
      </c>
      <c r="K105" s="7" t="n">
        <f aca="false">IF(c_TPOT&gt;1,QUOTIENT(I105+J105,2),I105)</f>
        <v>112</v>
      </c>
      <c r="L105" s="7" t="n">
        <f aca="false">IF(AND(K105=0,c_TCREEP&gt;0),10*c_TCREEP,IF(AND(K105&lt;=c_TRNGMIN,K105&gt;=c_TRNGMAX,c_TRNGMIN-c_TRNGMAX&lt;&gt;0),-10*c_TMINRN+QUOTIENT((c_TMAXRN-c_TMINRN)*(100-QUOTIENT((K105-c_TRNGMAX)*100,c_TRNGMIN-c_TRNGMAX)),-10),0))</f>
        <v>0</v>
      </c>
      <c r="M105" s="7" t="n">
        <f aca="false">IF(((c_TMAP1IN)-(c_TFWD))=0,(0)+QUOTIENT(((c_TMAP1OUT)-(0)),2),QUOTIENT((((K105)-(c_TFWD))*((c_TMAP1OUT)-(0))+IF(((c_TMAP1OUT)-(0))&gt;=0,1,-1)*QUOTIENT(((c_TMAP1IN)-(c_TFWD)),2)),((c_TMAP1IN)-(c_TFWD)))+(0)+IF(((c_TMAP1OUT)-(0))&gt;=0,IF(IF(o_WRAP=1,MOD(((c_TMAP1IN)-(c_TFWD))*(((K105)-(c_TFWD))*((c_TMAP1OUT)-(0))+IF(((c_TMAP1OUT)-(0))&gt;=0,1,-1)*QUOTIENT(((c_TMAP1IN)-(c_TFWD)),2))+2147483648,4294967296)-2147483648,((c_TMAP1IN)-(c_TFWD))*(((K105)-(c_TFWD))*((c_TMAP1OUT)-(0))+IF(((c_TMAP1OUT)-(0))&gt;=0,1,-1)*QUOTIENT(((c_TMAP1IN)-(c_TFWD)),2)))&lt;0,-1,0),IF(IF(o_WRAP=1,MOD(((c_TMAP1IN)-(c_TFWD))*(((K105)-(c_TFWD))*((c_TMAP1OUT)-(0))+IF(((c_TMAP1OUT)-(0))&gt;=0,1,-1)*QUOTIENT(((c_TMAP1IN)-(c_TFWD)),2))+2147483648,4294967296)-2147483648,((c_TMAP1IN)-(c_TFWD))*(((K105)-(c_TFWD))*((c_TMAP1OUT)-(0))+IF(((c_TMAP1OUT)-(0))&gt;=0,1,-1)*QUOTIENT(((c_TMAP1IN)-(c_TFWD)),2)))&gt;=0,1,0)))</f>
        <v>79</v>
      </c>
      <c r="N105" s="7" t="n">
        <f aca="false">IF(((c_TMAP2IN)-(c_TMAP1IN))=0,(c_TMAP1OUT)+QUOTIENT(((c_TMAP2OUT)-(c_TMAP1OUT)),2),QUOTIENT((((K105)-(c_TMAP1IN))*((c_TMAP2OUT)-(c_TMAP1OUT))+IF(((c_TMAP2OUT)-(c_TMAP1OUT))&gt;=0,1,-1)*QUOTIENT(((c_TMAP2IN)-(c_TMAP1IN)),2)),((c_TMAP2IN)-(c_TMAP1IN)))+(c_TMAP1OUT)+IF(((c_TMAP2OUT)-(c_TMAP1OUT))&gt;=0,IF(IF(o_WRAP=1,MOD(((c_TMAP2IN)-(c_TMAP1IN))*(((K105)-(c_TMAP1IN))*((c_TMAP2OUT)-(c_TMAP1OUT))+IF(((c_TMAP2OUT)-(c_TMAP1OUT))&gt;=0,1,-1)*QUOTIENT(((c_TMAP2IN)-(c_TMAP1IN)),2))+2147483648,4294967296)-2147483648,((c_TMAP2IN)-(c_TMAP1IN))*(((K105)-(c_TMAP1IN))*((c_TMAP2OUT)-(c_TMAP1OUT))+IF(((c_TMAP2OUT)-(c_TMAP1OUT))&gt;=0,1,-1)*QUOTIENT(((c_TMAP2IN)-(c_TMAP1IN)),2)))&lt;0,-1,0),IF(IF(o_WRAP=1,MOD(((c_TMAP2IN)-(c_TMAP1IN))*(((K105)-(c_TMAP1IN))*((c_TMAP2OUT)-(c_TMAP1OUT))+IF(((c_TMAP2OUT)-(c_TMAP1OUT))&gt;=0,1,-1)*QUOTIENT(((c_TMAP2IN)-(c_TMAP1IN)),2))+2147483648,4294967296)-2147483648,((c_TMAP2IN)-(c_TMAP1IN))*(((K105)-(c_TMAP1IN))*((c_TMAP2OUT)-(c_TMAP1OUT))+IF(((c_TMAP2OUT)-(c_TMAP1OUT))&gt;=0,1,-1)*QUOTIENT(((c_TMAP2IN)-(c_TMAP1IN)),2)))&gt;=0,1,0)))</f>
        <v>75</v>
      </c>
      <c r="O105" s="7" t="n">
        <f aca="false">IF(((c_TMAP3IN)-(c_TMAP2IN))=0,(c_TMAP2OUT)+QUOTIENT(((c_TMAP3OUT)-(c_TMAP2OUT)),2),QUOTIENT((((K105)-(c_TMAP2IN))*((c_TMAP3OUT)-(c_TMAP2OUT))+IF(((c_TMAP3OUT)-(c_TMAP2OUT))&gt;=0,1,-1)*QUOTIENT(((c_TMAP3IN)-(c_TMAP2IN)),2)),((c_TMAP3IN)-(c_TMAP2IN)))+(c_TMAP2OUT)+IF(((c_TMAP3OUT)-(c_TMAP2OUT))&gt;=0,IF(IF(o_WRAP=1,MOD(((c_TMAP3IN)-(c_TMAP2IN))*(((K105)-(c_TMAP2IN))*((c_TMAP3OUT)-(c_TMAP2OUT))+IF(((c_TMAP3OUT)-(c_TMAP2OUT))&gt;=0,1,-1)*QUOTIENT(((c_TMAP3IN)-(c_TMAP2IN)),2))+2147483648,4294967296)-2147483648,((c_TMAP3IN)-(c_TMAP2IN))*(((K105)-(c_TMAP2IN))*((c_TMAP3OUT)-(c_TMAP2OUT))+IF(((c_TMAP3OUT)-(c_TMAP2OUT))&gt;=0,1,-1)*QUOTIENT(((c_TMAP3IN)-(c_TMAP2IN)),2)))&lt;0,-1,0),IF(IF(o_WRAP=1,MOD(((c_TMAP3IN)-(c_TMAP2IN))*(((K105)-(c_TMAP2IN))*((c_TMAP3OUT)-(c_TMAP2OUT))+IF(((c_TMAP3OUT)-(c_TMAP2OUT))&gt;=0,1,-1)*QUOTIENT(((c_TMAP3IN)-(c_TMAP2IN)),2))+2147483648,4294967296)-2147483648,((c_TMAP3IN)-(c_TMAP2IN))*(((K105)-(c_TMAP2IN))*((c_TMAP3OUT)-(c_TMAP2OUT))+IF(((c_TMAP3OUT)-(c_TMAP2OUT))&gt;=0,1,-1)*QUOTIENT(((c_TMAP3IN)-(c_TMAP2IN)),2)))&gt;=0,1,0)))</f>
        <v>33</v>
      </c>
      <c r="P105" s="7" t="n">
        <f aca="false">IF(((1000)-(c_TMAP3IN))=0,(c_TMAP3OUT)+QUOTIENT(((1000)-(c_TMAP3OUT)),2),QUOTIENT((((K105)-(c_TMAP3IN))*((1000)-(c_TMAP3OUT))+IF(((1000)-(c_TMAP3OUT))&gt;=0,1,-1)*QUOTIENT(((1000)-(c_TMAP3IN)),2)),((1000)-(c_TMAP3IN)))+(c_TMAP3OUT)+IF(((1000)-(c_TMAP3OUT))&gt;=0,IF(IF(o_WRAP=1,MOD(((1000)-(c_TMAP3IN))*(((K105)-(c_TMAP3IN))*((1000)-(c_TMAP3OUT))+IF(((1000)-(c_TMAP3OUT))&gt;=0,1,-1)*QUOTIENT(((1000)-(c_TMAP3IN)),2))+2147483648,4294967296)-2147483648,((1000)-(c_TMAP3IN))*(((K105)-(c_TMAP3IN))*((1000)-(c_TMAP3OUT))+IF(((1000)-(c_TMAP3OUT))&gt;=0,1,-1)*QUOTIENT(((1000)-(c_TMAP3IN)),2)))&lt;0,-1,0),IF(IF(o_WRAP=1,MOD(((1000)-(c_TMAP3IN))*(((K105)-(c_TMAP3IN))*((1000)-(c_TMAP3OUT))+IF(((1000)-(c_TMAP3OUT))&gt;=0,1,-1)*QUOTIENT(((1000)-(c_TMAP3IN)),2))+2147483648,4294967296)-2147483648,((1000)-(c_TMAP3IN))*(((K105)-(c_TMAP3IN))*((1000)-(c_TMAP3OUT))+IF(((1000)-(c_TMAP3OUT))&gt;=0,1,-1)*QUOTIENT(((1000)-(c_TMAP3IN)),2)))&gt;=0,1,0)))</f>
        <v>-93</v>
      </c>
      <c r="Q105" s="7" t="str">
        <f aca="false">IF(K105&gt;=c_TFWD,IF(AND(K105&gt;=c_TMAP3IN,c_TMAP3IN&lt;1000),"Seg4 map3-100%",IF(AND(K105&gt;=c_TMAP2IN,c_TMAP3IN&gt;c_TMAP2IN),"Seg3 map2-map3",IF(AND(K105&gt;=c_TMAP1IN,c_TMAP2IN&gt;c_TMAP1IN),"Seg2 map1-map2","Seg1 TFWD-map1"))),IF(AND(K105=0,c_TCREEP&gt;0),"Creep",IF(AND(K105&lt;=c_TRNGMIN,K105&gt;=c_TRNGMAX,c_TRNGMIN-c_TRNGMAX&lt;&gt;0),"Regen ramp","Coast (0)")))</f>
        <v>Seg2 map1-map2</v>
      </c>
      <c r="R105" s="7" t="n">
        <f aca="false">IF(K105&gt;=c_TFWD,IF(AND(K105&gt;=c_TMAP3IN,c_TMAP3IN&lt;1000),P105,IF(AND(K105&gt;=c_TMAP2IN,c_TMAP3IN&gt;c_TMAP2IN),O105,IF(AND(K105&gt;=c_TMAP1IN,c_TMAP2IN&gt;c_TMAP1IN),N105,M105))),L105)</f>
        <v>75</v>
      </c>
      <c r="S105" s="7" t="str">
        <f aca="false">IF(R105&lt;-1090,"TOO LOW",IF(R105&gt;1090,"TOO HIGH",""))</f>
        <v/>
      </c>
      <c r="T105" s="15" t="n">
        <f aca="false">IF(H105&lt;&gt;"OK",0,IF(S105&lt;&gt;"",0,IF(R105&gt;979,1000,R105)))</f>
        <v>75</v>
      </c>
      <c r="U105" s="7" t="n">
        <f aca="false">T105/10</f>
        <v>7.5</v>
      </c>
    </row>
    <row r="106" customFormat="false" ht="15" hidden="false" customHeight="false" outlineLevel="0" collapsed="false">
      <c r="A106" s="7" t="n">
        <v>101</v>
      </c>
      <c r="B106" s="7" t="n">
        <f aca="false">ROUND(o_SWSTART+A106*(o_SWEND-o_SWSTART)/400,0)</f>
        <v>1034</v>
      </c>
      <c r="C106" s="7" t="n">
        <f aca="false">QUOTIENT((B106-c_OFF1)*c_GAIN1,1024)</f>
        <v>1034</v>
      </c>
      <c r="D106" s="7" t="n">
        <f aca="false">IF(((c_T1MX)-(c_T1MN))=0,(0)+QUOTIENT(((1000)-(0)),2),QUOTIENT((((C106)-(c_T1MN))*((1000)-(0))+IF(((1000)-(0))&gt;=0,1,-1)*QUOTIENT(((c_T1MX)-(c_T1MN)),2)),((c_T1MX)-(c_T1MN)))+(0)+IF(((1000)-(0))&gt;=0,IF(IF(o_WRAP=1,MOD(((c_T1MX)-(c_T1MN))*(((C106)-(c_T1MN))*((1000)-(0))+IF(((1000)-(0))&gt;=0,1,-1)*QUOTIENT(((c_T1MX)-(c_T1MN)),2))+2147483648,4294967296)-2147483648,((c_T1MX)-(c_T1MN))*(((C106)-(c_T1MN))*((1000)-(0))+IF(((1000)-(0))&gt;=0,1,-1)*QUOTIENT(((c_T1MX)-(c_T1MN)),2)))&lt;0,-1,0),IF(IF(o_WRAP=1,MOD(((c_T1MX)-(c_T1MN))*(((C106)-(c_T1MN))*((1000)-(0))+IF(((1000)-(0))&gt;=0,1,-1)*QUOTIENT(((c_T1MX)-(c_T1MN)),2))+2147483648,4294967296)-2147483648,((c_T1MX)-(c_T1MN))*(((C106)-(c_T1MN))*((1000)-(0))+IF(((1000)-(0))&gt;=0,1,-1)*QUOTIENT(((c_T1MX)-(c_T1MN)),2)))&gt;=0,1,0)))</f>
        <v>115</v>
      </c>
      <c r="E106" s="7" t="n">
        <f aca="false">IF(AND(c_TPOT=1,c_TTYPE=2),1000-D106,D106)</f>
        <v>115</v>
      </c>
      <c r="F106" s="7" t="str">
        <f aca="false">IF(c_TPOT&gt;1,ROUND(IF(c_TTYPE=2,c_T2MX-IF(c_T1MX=c_T1MN,0,(C106-c_T1MN)/(c_T1MX-c_T1MN))*(c_T2MX-c_T2MN),c_T2MN+IF(c_T1MX=c_T1MN,0,(C106-c_T1MN)/(c_T1MX-c_T1MN))*(c_T2MX-c_T2MN))+o_MISMATCH,0),"")</f>
        <v/>
      </c>
      <c r="G106" s="7" t="str">
        <f aca="false">IF(c_TPOT&gt;1,IF(((c_T2MX)-(c_T2MN))=0,(0)+QUOTIENT(((1000)-(0)),2),QUOTIENT((((F106)-(c_T2MN))*((1000)-(0))+IF(((1000)-(0))&gt;=0,1,-1)*QUOTIENT(((c_T2MX)-(c_T2MN)),2)),((c_T2MX)-(c_T2MN)))+(0)+IF(((1000)-(0))&gt;=0,IF(IF(o_WRAP=1,MOD(((c_T2MX)-(c_T2MN))*(((F106)-(c_T2MN))*((1000)-(0))+IF(((1000)-(0))&gt;=0,1,-1)*QUOTIENT(((c_T2MX)-(c_T2MN)),2))+2147483648,4294967296)-2147483648,((c_T2MX)-(c_T2MN))*(((F106)-(c_T2MN))*((1000)-(0))+IF(((1000)-(0))&gt;=0,1,-1)*QUOTIENT(((c_T2MX)-(c_T2MN)),2)))&lt;0,-1,0),IF(IF(o_WRAP=1,MOD(((c_T2MX)-(c_T2MN))*(((F106)-(c_T2MN))*((1000)-(0))+IF(((1000)-(0))&gt;=0,1,-1)*QUOTIENT(((c_T2MX)-(c_T2MN)),2))+2147483648,4294967296)-2147483648,((c_T2MX)-(c_T2MN))*(((F106)-(c_T2MN))*((1000)-(0))+IF(((1000)-(0))&gt;=0,1,-1)*QUOTIENT(((c_T2MX)-(c_T2MN)),2)))&gt;=0,1,0))),"")</f>
        <v/>
      </c>
      <c r="H106" s="7" t="str">
        <f aca="false">IF(E106&gt;1000+k_TOL,"T1 HIGH",IF(E106&lt;0-k_TOL,"T1 LOW",IF(c_TPOT&gt;1,IF(G106&gt;1000+k_TOL,"T2 HIGH",IF(G106&lt;0-k_TOL,"T2 LOW",IF(c_TTYPE=2,IF(ABS(1000-MAX(0,MIN(1000,E106))-MAX(0,MIN(1000,G106)))&gt;k_MAXERR,"MISMATCH","OK"),IF(OR(MAX(0,MIN(1000,E106))-k_MAXERR&gt;MAX(0,MIN(1000,G106)),MAX(0,MIN(1000,G106))-k_MAXERR&gt;MAX(0,MIN(1000,E106))),"MISMATCH","OK")))),"OK")))</f>
        <v>OK</v>
      </c>
      <c r="I106" s="7" t="n">
        <f aca="false">MAX(0,MIN(1000,D106))</f>
        <v>115</v>
      </c>
      <c r="J106" s="7" t="str">
        <f aca="false">IF(c_TPOT&gt;1,IF(c_TTYPE=2,1000-MAX(0,MIN(1000,G106)),MAX(0,MIN(1000,G106))),"")</f>
        <v/>
      </c>
      <c r="K106" s="7" t="n">
        <f aca="false">IF(c_TPOT&gt;1,QUOTIENT(I106+J106,2),I106)</f>
        <v>115</v>
      </c>
      <c r="L106" s="7" t="n">
        <f aca="false">IF(AND(K106=0,c_TCREEP&gt;0),10*c_TCREEP,IF(AND(K106&lt;=c_TRNGMIN,K106&gt;=c_TRNGMAX,c_TRNGMIN-c_TRNGMAX&lt;&gt;0),-10*c_TMINRN+QUOTIENT((c_TMAXRN-c_TMINRN)*(100-QUOTIENT((K106-c_TRNGMAX)*100,c_TRNGMIN-c_TRNGMAX)),-10),0))</f>
        <v>0</v>
      </c>
      <c r="M106" s="7" t="n">
        <f aca="false">IF(((c_TMAP1IN)-(c_TFWD))=0,(0)+QUOTIENT(((c_TMAP1OUT)-(0)),2),QUOTIENT((((K106)-(c_TFWD))*((c_TMAP1OUT)-(0))+IF(((c_TMAP1OUT)-(0))&gt;=0,1,-1)*QUOTIENT(((c_TMAP1IN)-(c_TFWD)),2)),((c_TMAP1IN)-(c_TFWD)))+(0)+IF(((c_TMAP1OUT)-(0))&gt;=0,IF(IF(o_WRAP=1,MOD(((c_TMAP1IN)-(c_TFWD))*(((K106)-(c_TFWD))*((c_TMAP1OUT)-(0))+IF(((c_TMAP1OUT)-(0))&gt;=0,1,-1)*QUOTIENT(((c_TMAP1IN)-(c_TFWD)),2))+2147483648,4294967296)-2147483648,((c_TMAP1IN)-(c_TFWD))*(((K106)-(c_TFWD))*((c_TMAP1OUT)-(0))+IF(((c_TMAP1OUT)-(0))&gt;=0,1,-1)*QUOTIENT(((c_TMAP1IN)-(c_TFWD)),2)))&lt;0,-1,0),IF(IF(o_WRAP=1,MOD(((c_TMAP1IN)-(c_TFWD))*(((K106)-(c_TFWD))*((c_TMAP1OUT)-(0))+IF(((c_TMAP1OUT)-(0))&gt;=0,1,-1)*QUOTIENT(((c_TMAP1IN)-(c_TFWD)),2))+2147483648,4294967296)-2147483648,((c_TMAP1IN)-(c_TFWD))*(((K106)-(c_TFWD))*((c_TMAP1OUT)-(0))+IF(((c_TMAP1OUT)-(0))&gt;=0,1,-1)*QUOTIENT(((c_TMAP1IN)-(c_TFWD)),2)))&gt;=0,1,0)))</f>
        <v>82</v>
      </c>
      <c r="N106" s="7" t="n">
        <f aca="false">IF(((c_TMAP2IN)-(c_TMAP1IN))=0,(c_TMAP1OUT)+QUOTIENT(((c_TMAP2OUT)-(c_TMAP1OUT)),2),QUOTIENT((((K106)-(c_TMAP1IN))*((c_TMAP2OUT)-(c_TMAP1OUT))+IF(((c_TMAP2OUT)-(c_TMAP1OUT))&gt;=0,1,-1)*QUOTIENT(((c_TMAP2IN)-(c_TMAP1IN)),2)),((c_TMAP2IN)-(c_TMAP1IN)))+(c_TMAP1OUT)+IF(((c_TMAP2OUT)-(c_TMAP1OUT))&gt;=0,IF(IF(o_WRAP=1,MOD(((c_TMAP2IN)-(c_TMAP1IN))*(((K106)-(c_TMAP1IN))*((c_TMAP2OUT)-(c_TMAP1OUT))+IF(((c_TMAP2OUT)-(c_TMAP1OUT))&gt;=0,1,-1)*QUOTIENT(((c_TMAP2IN)-(c_TMAP1IN)),2))+2147483648,4294967296)-2147483648,((c_TMAP2IN)-(c_TMAP1IN))*(((K106)-(c_TMAP1IN))*((c_TMAP2OUT)-(c_TMAP1OUT))+IF(((c_TMAP2OUT)-(c_TMAP1OUT))&gt;=0,1,-1)*QUOTIENT(((c_TMAP2IN)-(c_TMAP1IN)),2)))&lt;0,-1,0),IF(IF(o_WRAP=1,MOD(((c_TMAP2IN)-(c_TMAP1IN))*(((K106)-(c_TMAP1IN))*((c_TMAP2OUT)-(c_TMAP1OUT))+IF(((c_TMAP2OUT)-(c_TMAP1OUT))&gt;=0,1,-1)*QUOTIENT(((c_TMAP2IN)-(c_TMAP1IN)),2))+2147483648,4294967296)-2147483648,((c_TMAP2IN)-(c_TMAP1IN))*(((K106)-(c_TMAP1IN))*((c_TMAP2OUT)-(c_TMAP1OUT))+IF(((c_TMAP2OUT)-(c_TMAP1OUT))&gt;=0,1,-1)*QUOTIENT(((c_TMAP2IN)-(c_TMAP1IN)),2)))&gt;=0,1,0)))</f>
        <v>76</v>
      </c>
      <c r="O106" s="7" t="n">
        <f aca="false">IF(((c_TMAP3IN)-(c_TMAP2IN))=0,(c_TMAP2OUT)+QUOTIENT(((c_TMAP3OUT)-(c_TMAP2OUT)),2),QUOTIENT((((K106)-(c_TMAP2IN))*((c_TMAP3OUT)-(c_TMAP2OUT))+IF(((c_TMAP3OUT)-(c_TMAP2OUT))&gt;=0,1,-1)*QUOTIENT(((c_TMAP3IN)-(c_TMAP2IN)),2)),((c_TMAP3IN)-(c_TMAP2IN)))+(c_TMAP2OUT)+IF(((c_TMAP3OUT)-(c_TMAP2OUT))&gt;=0,IF(IF(o_WRAP=1,MOD(((c_TMAP3IN)-(c_TMAP2IN))*(((K106)-(c_TMAP2IN))*((c_TMAP3OUT)-(c_TMAP2OUT))+IF(((c_TMAP3OUT)-(c_TMAP2OUT))&gt;=0,1,-1)*QUOTIENT(((c_TMAP3IN)-(c_TMAP2IN)),2))+2147483648,4294967296)-2147483648,((c_TMAP3IN)-(c_TMAP2IN))*(((K106)-(c_TMAP2IN))*((c_TMAP3OUT)-(c_TMAP2OUT))+IF(((c_TMAP3OUT)-(c_TMAP2OUT))&gt;=0,1,-1)*QUOTIENT(((c_TMAP3IN)-(c_TMAP2IN)),2)))&lt;0,-1,0),IF(IF(o_WRAP=1,MOD(((c_TMAP3IN)-(c_TMAP2IN))*(((K106)-(c_TMAP2IN))*((c_TMAP3OUT)-(c_TMAP2OUT))+IF(((c_TMAP3OUT)-(c_TMAP2OUT))&gt;=0,1,-1)*QUOTIENT(((c_TMAP3IN)-(c_TMAP2IN)),2))+2147483648,4294967296)-2147483648,((c_TMAP3IN)-(c_TMAP2IN))*(((K106)-(c_TMAP2IN))*((c_TMAP3OUT)-(c_TMAP2OUT))+IF(((c_TMAP3OUT)-(c_TMAP2OUT))&gt;=0,1,-1)*QUOTIENT(((c_TMAP3IN)-(c_TMAP2IN)),2)))&gt;=0,1,0)))</f>
        <v>35</v>
      </c>
      <c r="P106" s="7" t="n">
        <f aca="false">IF(((1000)-(c_TMAP3IN))=0,(c_TMAP3OUT)+QUOTIENT(((1000)-(c_TMAP3OUT)),2),QUOTIENT((((K106)-(c_TMAP3IN))*((1000)-(c_TMAP3OUT))+IF(((1000)-(c_TMAP3OUT))&gt;=0,1,-1)*QUOTIENT(((1000)-(c_TMAP3IN)),2)),((1000)-(c_TMAP3IN)))+(c_TMAP3OUT)+IF(((1000)-(c_TMAP3OUT))&gt;=0,IF(IF(o_WRAP=1,MOD(((1000)-(c_TMAP3IN))*(((K106)-(c_TMAP3IN))*((1000)-(c_TMAP3OUT))+IF(((1000)-(c_TMAP3OUT))&gt;=0,1,-1)*QUOTIENT(((1000)-(c_TMAP3IN)),2))+2147483648,4294967296)-2147483648,((1000)-(c_TMAP3IN))*(((K106)-(c_TMAP3IN))*((1000)-(c_TMAP3OUT))+IF(((1000)-(c_TMAP3OUT))&gt;=0,1,-1)*QUOTIENT(((1000)-(c_TMAP3IN)),2)))&lt;0,-1,0),IF(IF(o_WRAP=1,MOD(((1000)-(c_TMAP3IN))*(((K106)-(c_TMAP3IN))*((1000)-(c_TMAP3OUT))+IF(((1000)-(c_TMAP3OUT))&gt;=0,1,-1)*QUOTIENT(((1000)-(c_TMAP3IN)),2))+2147483648,4294967296)-2147483648,((1000)-(c_TMAP3IN))*(((K106)-(c_TMAP3IN))*((1000)-(c_TMAP3OUT))+IF(((1000)-(c_TMAP3OUT))&gt;=0,1,-1)*QUOTIENT(((1000)-(c_TMAP3IN)),2)))&gt;=0,1,0)))</f>
        <v>-89</v>
      </c>
      <c r="Q106" s="7" t="str">
        <f aca="false">IF(K106&gt;=c_TFWD,IF(AND(K106&gt;=c_TMAP3IN,c_TMAP3IN&lt;1000),"Seg4 map3-100%",IF(AND(K106&gt;=c_TMAP2IN,c_TMAP3IN&gt;c_TMAP2IN),"Seg3 map2-map3",IF(AND(K106&gt;=c_TMAP1IN,c_TMAP2IN&gt;c_TMAP1IN),"Seg2 map1-map2","Seg1 TFWD-map1"))),IF(AND(K106=0,c_TCREEP&gt;0),"Creep",IF(AND(K106&lt;=c_TRNGMIN,K106&gt;=c_TRNGMAX,c_TRNGMIN-c_TRNGMAX&lt;&gt;0),"Regen ramp","Coast (0)")))</f>
        <v>Seg2 map1-map2</v>
      </c>
      <c r="R106" s="7" t="n">
        <f aca="false">IF(K106&gt;=c_TFWD,IF(AND(K106&gt;=c_TMAP3IN,c_TMAP3IN&lt;1000),P106,IF(AND(K106&gt;=c_TMAP2IN,c_TMAP3IN&gt;c_TMAP2IN),O106,IF(AND(K106&gt;=c_TMAP1IN,c_TMAP2IN&gt;c_TMAP1IN),N106,M106))),L106)</f>
        <v>76</v>
      </c>
      <c r="S106" s="7" t="str">
        <f aca="false">IF(R106&lt;-1090,"TOO LOW",IF(R106&gt;1090,"TOO HIGH",""))</f>
        <v/>
      </c>
      <c r="T106" s="15" t="n">
        <f aca="false">IF(H106&lt;&gt;"OK",0,IF(S106&lt;&gt;"",0,IF(R106&gt;979,1000,R106)))</f>
        <v>76</v>
      </c>
      <c r="U106" s="7" t="n">
        <f aca="false">T106/10</f>
        <v>7.6</v>
      </c>
    </row>
    <row r="107" customFormat="false" ht="15" hidden="false" customHeight="false" outlineLevel="0" collapsed="false">
      <c r="A107" s="7" t="n">
        <v>102</v>
      </c>
      <c r="B107" s="7" t="n">
        <f aca="false">ROUND(o_SWSTART+A107*(o_SWEND-o_SWSTART)/400,0)</f>
        <v>1044</v>
      </c>
      <c r="C107" s="7" t="n">
        <f aca="false">QUOTIENT((B107-c_OFF1)*c_GAIN1,1024)</f>
        <v>1044</v>
      </c>
      <c r="D107" s="7" t="n">
        <f aca="false">IF(((c_T1MX)-(c_T1MN))=0,(0)+QUOTIENT(((1000)-(0)),2),QUOTIENT((((C107)-(c_T1MN))*((1000)-(0))+IF(((1000)-(0))&gt;=0,1,-1)*QUOTIENT(((c_T1MX)-(c_T1MN)),2)),((c_T1MX)-(c_T1MN)))+(0)+IF(((1000)-(0))&gt;=0,IF(IF(o_WRAP=1,MOD(((c_T1MX)-(c_T1MN))*(((C107)-(c_T1MN))*((1000)-(0))+IF(((1000)-(0))&gt;=0,1,-1)*QUOTIENT(((c_T1MX)-(c_T1MN)),2))+2147483648,4294967296)-2147483648,((c_T1MX)-(c_T1MN))*(((C107)-(c_T1MN))*((1000)-(0))+IF(((1000)-(0))&gt;=0,1,-1)*QUOTIENT(((c_T1MX)-(c_T1MN)),2)))&lt;0,-1,0),IF(IF(o_WRAP=1,MOD(((c_T1MX)-(c_T1MN))*(((C107)-(c_T1MN))*((1000)-(0))+IF(((1000)-(0))&gt;=0,1,-1)*QUOTIENT(((c_T1MX)-(c_T1MN)),2))+2147483648,4294967296)-2147483648,((c_T1MX)-(c_T1MN))*(((C107)-(c_T1MN))*((1000)-(0))+IF(((1000)-(0))&gt;=0,1,-1)*QUOTIENT(((c_T1MX)-(c_T1MN)),2)))&gt;=0,1,0)))</f>
        <v>119</v>
      </c>
      <c r="E107" s="7" t="n">
        <f aca="false">IF(AND(c_TPOT=1,c_TTYPE=2),1000-D107,D107)</f>
        <v>119</v>
      </c>
      <c r="F107" s="7" t="str">
        <f aca="false">IF(c_TPOT&gt;1,ROUND(IF(c_TTYPE=2,c_T2MX-IF(c_T1MX=c_T1MN,0,(C107-c_T1MN)/(c_T1MX-c_T1MN))*(c_T2MX-c_T2MN),c_T2MN+IF(c_T1MX=c_T1MN,0,(C107-c_T1MN)/(c_T1MX-c_T1MN))*(c_T2MX-c_T2MN))+o_MISMATCH,0),"")</f>
        <v/>
      </c>
      <c r="G107" s="7" t="str">
        <f aca="false">IF(c_TPOT&gt;1,IF(((c_T2MX)-(c_T2MN))=0,(0)+QUOTIENT(((1000)-(0)),2),QUOTIENT((((F107)-(c_T2MN))*((1000)-(0))+IF(((1000)-(0))&gt;=0,1,-1)*QUOTIENT(((c_T2MX)-(c_T2MN)),2)),((c_T2MX)-(c_T2MN)))+(0)+IF(((1000)-(0))&gt;=0,IF(IF(o_WRAP=1,MOD(((c_T2MX)-(c_T2MN))*(((F107)-(c_T2MN))*((1000)-(0))+IF(((1000)-(0))&gt;=0,1,-1)*QUOTIENT(((c_T2MX)-(c_T2MN)),2))+2147483648,4294967296)-2147483648,((c_T2MX)-(c_T2MN))*(((F107)-(c_T2MN))*((1000)-(0))+IF(((1000)-(0))&gt;=0,1,-1)*QUOTIENT(((c_T2MX)-(c_T2MN)),2)))&lt;0,-1,0),IF(IF(o_WRAP=1,MOD(((c_T2MX)-(c_T2MN))*(((F107)-(c_T2MN))*((1000)-(0))+IF(((1000)-(0))&gt;=0,1,-1)*QUOTIENT(((c_T2MX)-(c_T2MN)),2))+2147483648,4294967296)-2147483648,((c_T2MX)-(c_T2MN))*(((F107)-(c_T2MN))*((1000)-(0))+IF(((1000)-(0))&gt;=0,1,-1)*QUOTIENT(((c_T2MX)-(c_T2MN)),2)))&gt;=0,1,0))),"")</f>
        <v/>
      </c>
      <c r="H107" s="7" t="str">
        <f aca="false">IF(E107&gt;1000+k_TOL,"T1 HIGH",IF(E107&lt;0-k_TOL,"T1 LOW",IF(c_TPOT&gt;1,IF(G107&gt;1000+k_TOL,"T2 HIGH",IF(G107&lt;0-k_TOL,"T2 LOW",IF(c_TTYPE=2,IF(ABS(1000-MAX(0,MIN(1000,E107))-MAX(0,MIN(1000,G107)))&gt;k_MAXERR,"MISMATCH","OK"),IF(OR(MAX(0,MIN(1000,E107))-k_MAXERR&gt;MAX(0,MIN(1000,G107)),MAX(0,MIN(1000,G107))-k_MAXERR&gt;MAX(0,MIN(1000,E107))),"MISMATCH","OK")))),"OK")))</f>
        <v>OK</v>
      </c>
      <c r="I107" s="7" t="n">
        <f aca="false">MAX(0,MIN(1000,D107))</f>
        <v>119</v>
      </c>
      <c r="J107" s="7" t="str">
        <f aca="false">IF(c_TPOT&gt;1,IF(c_TTYPE=2,1000-MAX(0,MIN(1000,G107)),MAX(0,MIN(1000,G107))),"")</f>
        <v/>
      </c>
      <c r="K107" s="7" t="n">
        <f aca="false">IF(c_TPOT&gt;1,QUOTIENT(I107+J107,2),I107)</f>
        <v>119</v>
      </c>
      <c r="L107" s="7" t="n">
        <f aca="false">IF(AND(K107=0,c_TCREEP&gt;0),10*c_TCREEP,IF(AND(K107&lt;=c_TRNGMIN,K107&gt;=c_TRNGMAX,c_TRNGMIN-c_TRNGMAX&lt;&gt;0),-10*c_TMINRN+QUOTIENT((c_TMAXRN-c_TMINRN)*(100-QUOTIENT((K107-c_TRNGMAX)*100,c_TRNGMIN-c_TRNGMAX)),-10),0))</f>
        <v>0</v>
      </c>
      <c r="M107" s="7" t="n">
        <f aca="false">IF(((c_TMAP1IN)-(c_TFWD))=0,(0)+QUOTIENT(((c_TMAP1OUT)-(0)),2),QUOTIENT((((K107)-(c_TFWD))*((c_TMAP1OUT)-(0))+IF(((c_TMAP1OUT)-(0))&gt;=0,1,-1)*QUOTIENT(((c_TMAP1IN)-(c_TFWD)),2)),((c_TMAP1IN)-(c_TFWD)))+(0)+IF(((c_TMAP1OUT)-(0))&gt;=0,IF(IF(o_WRAP=1,MOD(((c_TMAP1IN)-(c_TFWD))*(((K107)-(c_TFWD))*((c_TMAP1OUT)-(0))+IF(((c_TMAP1OUT)-(0))&gt;=0,1,-1)*QUOTIENT(((c_TMAP1IN)-(c_TFWD)),2))+2147483648,4294967296)-2147483648,((c_TMAP1IN)-(c_TFWD))*(((K107)-(c_TFWD))*((c_TMAP1OUT)-(0))+IF(((c_TMAP1OUT)-(0))&gt;=0,1,-1)*QUOTIENT(((c_TMAP1IN)-(c_TFWD)),2)))&lt;0,-1,0),IF(IF(o_WRAP=1,MOD(((c_TMAP1IN)-(c_TFWD))*(((K107)-(c_TFWD))*((c_TMAP1OUT)-(0))+IF(((c_TMAP1OUT)-(0))&gt;=0,1,-1)*QUOTIENT(((c_TMAP1IN)-(c_TFWD)),2))+2147483648,4294967296)-2147483648,((c_TMAP1IN)-(c_TFWD))*(((K107)-(c_TFWD))*((c_TMAP1OUT)-(0))+IF(((c_TMAP1OUT)-(0))&gt;=0,1,-1)*QUOTIENT(((c_TMAP1IN)-(c_TFWD)),2)))&gt;=0,1,0)))</f>
        <v>85</v>
      </c>
      <c r="N107" s="7" t="n">
        <f aca="false">IF(((c_TMAP2IN)-(c_TMAP1IN))=0,(c_TMAP1OUT)+QUOTIENT(((c_TMAP2OUT)-(c_TMAP1OUT)),2),QUOTIENT((((K107)-(c_TMAP1IN))*((c_TMAP2OUT)-(c_TMAP1OUT))+IF(((c_TMAP2OUT)-(c_TMAP1OUT))&gt;=0,1,-1)*QUOTIENT(((c_TMAP2IN)-(c_TMAP1IN)),2)),((c_TMAP2IN)-(c_TMAP1IN)))+(c_TMAP1OUT)+IF(((c_TMAP2OUT)-(c_TMAP1OUT))&gt;=0,IF(IF(o_WRAP=1,MOD(((c_TMAP2IN)-(c_TMAP1IN))*(((K107)-(c_TMAP1IN))*((c_TMAP2OUT)-(c_TMAP1OUT))+IF(((c_TMAP2OUT)-(c_TMAP1OUT))&gt;=0,1,-1)*QUOTIENT(((c_TMAP2IN)-(c_TMAP1IN)),2))+2147483648,4294967296)-2147483648,((c_TMAP2IN)-(c_TMAP1IN))*(((K107)-(c_TMAP1IN))*((c_TMAP2OUT)-(c_TMAP1OUT))+IF(((c_TMAP2OUT)-(c_TMAP1OUT))&gt;=0,1,-1)*QUOTIENT(((c_TMAP2IN)-(c_TMAP1IN)),2)))&lt;0,-1,0),IF(IF(o_WRAP=1,MOD(((c_TMAP2IN)-(c_TMAP1IN))*(((K107)-(c_TMAP1IN))*((c_TMAP2OUT)-(c_TMAP1OUT))+IF(((c_TMAP2OUT)-(c_TMAP1OUT))&gt;=0,1,-1)*QUOTIENT(((c_TMAP2IN)-(c_TMAP1IN)),2))+2147483648,4294967296)-2147483648,((c_TMAP2IN)-(c_TMAP1IN))*(((K107)-(c_TMAP1IN))*((c_TMAP2OUT)-(c_TMAP1OUT))+IF(((c_TMAP2OUT)-(c_TMAP1OUT))&gt;=0,1,-1)*QUOTIENT(((c_TMAP2IN)-(c_TMAP1IN)),2)))&gt;=0,1,0)))</f>
        <v>78</v>
      </c>
      <c r="O107" s="7" t="n">
        <f aca="false">IF(((c_TMAP3IN)-(c_TMAP2IN))=0,(c_TMAP2OUT)+QUOTIENT(((c_TMAP3OUT)-(c_TMAP2OUT)),2),QUOTIENT((((K107)-(c_TMAP2IN))*((c_TMAP3OUT)-(c_TMAP2OUT))+IF(((c_TMAP3OUT)-(c_TMAP2OUT))&gt;=0,1,-1)*QUOTIENT(((c_TMAP3IN)-(c_TMAP2IN)),2)),((c_TMAP3IN)-(c_TMAP2IN)))+(c_TMAP2OUT)+IF(((c_TMAP3OUT)-(c_TMAP2OUT))&gt;=0,IF(IF(o_WRAP=1,MOD(((c_TMAP3IN)-(c_TMAP2IN))*(((K107)-(c_TMAP2IN))*((c_TMAP3OUT)-(c_TMAP2OUT))+IF(((c_TMAP3OUT)-(c_TMAP2OUT))&gt;=0,1,-1)*QUOTIENT(((c_TMAP3IN)-(c_TMAP2IN)),2))+2147483648,4294967296)-2147483648,((c_TMAP3IN)-(c_TMAP2IN))*(((K107)-(c_TMAP2IN))*((c_TMAP3OUT)-(c_TMAP2OUT))+IF(((c_TMAP3OUT)-(c_TMAP2OUT))&gt;=0,1,-1)*QUOTIENT(((c_TMAP3IN)-(c_TMAP2IN)),2)))&lt;0,-1,0),IF(IF(o_WRAP=1,MOD(((c_TMAP3IN)-(c_TMAP2IN))*(((K107)-(c_TMAP2IN))*((c_TMAP3OUT)-(c_TMAP2OUT))+IF(((c_TMAP3OUT)-(c_TMAP2OUT))&gt;=0,1,-1)*QUOTIENT(((c_TMAP3IN)-(c_TMAP2IN)),2))+2147483648,4294967296)-2147483648,((c_TMAP3IN)-(c_TMAP2IN))*(((K107)-(c_TMAP2IN))*((c_TMAP3OUT)-(c_TMAP2OUT))+IF(((c_TMAP3OUT)-(c_TMAP2OUT))&gt;=0,1,-1)*QUOTIENT(((c_TMAP3IN)-(c_TMAP2IN)),2)))&gt;=0,1,0)))</f>
        <v>38</v>
      </c>
      <c r="P107" s="7" t="n">
        <f aca="false">IF(((1000)-(c_TMAP3IN))=0,(c_TMAP3OUT)+QUOTIENT(((1000)-(c_TMAP3OUT)),2),QUOTIENT((((K107)-(c_TMAP3IN))*((1000)-(c_TMAP3OUT))+IF(((1000)-(c_TMAP3OUT))&gt;=0,1,-1)*QUOTIENT(((1000)-(c_TMAP3IN)),2)),((1000)-(c_TMAP3IN)))+(c_TMAP3OUT)+IF(((1000)-(c_TMAP3OUT))&gt;=0,IF(IF(o_WRAP=1,MOD(((1000)-(c_TMAP3IN))*(((K107)-(c_TMAP3IN))*((1000)-(c_TMAP3OUT))+IF(((1000)-(c_TMAP3OUT))&gt;=0,1,-1)*QUOTIENT(((1000)-(c_TMAP3IN)),2))+2147483648,4294967296)-2147483648,((1000)-(c_TMAP3IN))*(((K107)-(c_TMAP3IN))*((1000)-(c_TMAP3OUT))+IF(((1000)-(c_TMAP3OUT))&gt;=0,1,-1)*QUOTIENT(((1000)-(c_TMAP3IN)),2)))&lt;0,-1,0),IF(IF(o_WRAP=1,MOD(((1000)-(c_TMAP3IN))*(((K107)-(c_TMAP3IN))*((1000)-(c_TMAP3OUT))+IF(((1000)-(c_TMAP3OUT))&gt;=0,1,-1)*QUOTIENT(((1000)-(c_TMAP3IN)),2))+2147483648,4294967296)-2147483648,((1000)-(c_TMAP3IN))*(((K107)-(c_TMAP3IN))*((1000)-(c_TMAP3OUT))+IF(((1000)-(c_TMAP3OUT))&gt;=0,1,-1)*QUOTIENT(((1000)-(c_TMAP3IN)),2)))&gt;=0,1,0)))</f>
        <v>-84</v>
      </c>
      <c r="Q107" s="7" t="str">
        <f aca="false">IF(K107&gt;=c_TFWD,IF(AND(K107&gt;=c_TMAP3IN,c_TMAP3IN&lt;1000),"Seg4 map3-100%",IF(AND(K107&gt;=c_TMAP2IN,c_TMAP3IN&gt;c_TMAP2IN),"Seg3 map2-map3",IF(AND(K107&gt;=c_TMAP1IN,c_TMAP2IN&gt;c_TMAP1IN),"Seg2 map1-map2","Seg1 TFWD-map1"))),IF(AND(K107=0,c_TCREEP&gt;0),"Creep",IF(AND(K107&lt;=c_TRNGMIN,K107&gt;=c_TRNGMAX,c_TRNGMIN-c_TRNGMAX&lt;&gt;0),"Regen ramp","Coast (0)")))</f>
        <v>Seg2 map1-map2</v>
      </c>
      <c r="R107" s="7" t="n">
        <f aca="false">IF(K107&gt;=c_TFWD,IF(AND(K107&gt;=c_TMAP3IN,c_TMAP3IN&lt;1000),P107,IF(AND(K107&gt;=c_TMAP2IN,c_TMAP3IN&gt;c_TMAP2IN),O107,IF(AND(K107&gt;=c_TMAP1IN,c_TMAP2IN&gt;c_TMAP1IN),N107,M107))),L107)</f>
        <v>78</v>
      </c>
      <c r="S107" s="7" t="str">
        <f aca="false">IF(R107&lt;-1090,"TOO LOW",IF(R107&gt;1090,"TOO HIGH",""))</f>
        <v/>
      </c>
      <c r="T107" s="15" t="n">
        <f aca="false">IF(H107&lt;&gt;"OK",0,IF(S107&lt;&gt;"",0,IF(R107&gt;979,1000,R107)))</f>
        <v>78</v>
      </c>
      <c r="U107" s="7" t="n">
        <f aca="false">T107/10</f>
        <v>7.8</v>
      </c>
    </row>
    <row r="108" customFormat="false" ht="15" hidden="false" customHeight="false" outlineLevel="0" collapsed="false">
      <c r="A108" s="7" t="n">
        <v>103</v>
      </c>
      <c r="B108" s="7" t="n">
        <f aca="false">ROUND(o_SWSTART+A108*(o_SWEND-o_SWSTART)/400,0)</f>
        <v>1054</v>
      </c>
      <c r="C108" s="7" t="n">
        <f aca="false">QUOTIENT((B108-c_OFF1)*c_GAIN1,1024)</f>
        <v>1054</v>
      </c>
      <c r="D108" s="7" t="n">
        <f aca="false">IF(((c_T1MX)-(c_T1MN))=0,(0)+QUOTIENT(((1000)-(0)),2),QUOTIENT((((C108)-(c_T1MN))*((1000)-(0))+IF(((1000)-(0))&gt;=0,1,-1)*QUOTIENT(((c_T1MX)-(c_T1MN)),2)),((c_T1MX)-(c_T1MN)))+(0)+IF(((1000)-(0))&gt;=0,IF(IF(o_WRAP=1,MOD(((c_T1MX)-(c_T1MN))*(((C108)-(c_T1MN))*((1000)-(0))+IF(((1000)-(0))&gt;=0,1,-1)*QUOTIENT(((c_T1MX)-(c_T1MN)),2))+2147483648,4294967296)-2147483648,((c_T1MX)-(c_T1MN))*(((C108)-(c_T1MN))*((1000)-(0))+IF(((1000)-(0))&gt;=0,1,-1)*QUOTIENT(((c_T1MX)-(c_T1MN)),2)))&lt;0,-1,0),IF(IF(o_WRAP=1,MOD(((c_T1MX)-(c_T1MN))*(((C108)-(c_T1MN))*((1000)-(0))+IF(((1000)-(0))&gt;=0,1,-1)*QUOTIENT(((c_T1MX)-(c_T1MN)),2))+2147483648,4294967296)-2147483648,((c_T1MX)-(c_T1MN))*(((C108)-(c_T1MN))*((1000)-(0))+IF(((1000)-(0))&gt;=0,1,-1)*QUOTIENT(((c_T1MX)-(c_T1MN)),2)))&gt;=0,1,0)))</f>
        <v>123</v>
      </c>
      <c r="E108" s="7" t="n">
        <f aca="false">IF(AND(c_TPOT=1,c_TTYPE=2),1000-D108,D108)</f>
        <v>123</v>
      </c>
      <c r="F108" s="7" t="str">
        <f aca="false">IF(c_TPOT&gt;1,ROUND(IF(c_TTYPE=2,c_T2MX-IF(c_T1MX=c_T1MN,0,(C108-c_T1MN)/(c_T1MX-c_T1MN))*(c_T2MX-c_T2MN),c_T2MN+IF(c_T1MX=c_T1MN,0,(C108-c_T1MN)/(c_T1MX-c_T1MN))*(c_T2MX-c_T2MN))+o_MISMATCH,0),"")</f>
        <v/>
      </c>
      <c r="G108" s="7" t="str">
        <f aca="false">IF(c_TPOT&gt;1,IF(((c_T2MX)-(c_T2MN))=0,(0)+QUOTIENT(((1000)-(0)),2),QUOTIENT((((F108)-(c_T2MN))*((1000)-(0))+IF(((1000)-(0))&gt;=0,1,-1)*QUOTIENT(((c_T2MX)-(c_T2MN)),2)),((c_T2MX)-(c_T2MN)))+(0)+IF(((1000)-(0))&gt;=0,IF(IF(o_WRAP=1,MOD(((c_T2MX)-(c_T2MN))*(((F108)-(c_T2MN))*((1000)-(0))+IF(((1000)-(0))&gt;=0,1,-1)*QUOTIENT(((c_T2MX)-(c_T2MN)),2))+2147483648,4294967296)-2147483648,((c_T2MX)-(c_T2MN))*(((F108)-(c_T2MN))*((1000)-(0))+IF(((1000)-(0))&gt;=0,1,-1)*QUOTIENT(((c_T2MX)-(c_T2MN)),2)))&lt;0,-1,0),IF(IF(o_WRAP=1,MOD(((c_T2MX)-(c_T2MN))*(((F108)-(c_T2MN))*((1000)-(0))+IF(((1000)-(0))&gt;=0,1,-1)*QUOTIENT(((c_T2MX)-(c_T2MN)),2))+2147483648,4294967296)-2147483648,((c_T2MX)-(c_T2MN))*(((F108)-(c_T2MN))*((1000)-(0))+IF(((1000)-(0))&gt;=0,1,-1)*QUOTIENT(((c_T2MX)-(c_T2MN)),2)))&gt;=0,1,0))),"")</f>
        <v/>
      </c>
      <c r="H108" s="7" t="str">
        <f aca="false">IF(E108&gt;1000+k_TOL,"T1 HIGH",IF(E108&lt;0-k_TOL,"T1 LOW",IF(c_TPOT&gt;1,IF(G108&gt;1000+k_TOL,"T2 HIGH",IF(G108&lt;0-k_TOL,"T2 LOW",IF(c_TTYPE=2,IF(ABS(1000-MAX(0,MIN(1000,E108))-MAX(0,MIN(1000,G108)))&gt;k_MAXERR,"MISMATCH","OK"),IF(OR(MAX(0,MIN(1000,E108))-k_MAXERR&gt;MAX(0,MIN(1000,G108)),MAX(0,MIN(1000,G108))-k_MAXERR&gt;MAX(0,MIN(1000,E108))),"MISMATCH","OK")))),"OK")))</f>
        <v>OK</v>
      </c>
      <c r="I108" s="7" t="n">
        <f aca="false">MAX(0,MIN(1000,D108))</f>
        <v>123</v>
      </c>
      <c r="J108" s="7" t="str">
        <f aca="false">IF(c_TPOT&gt;1,IF(c_TTYPE=2,1000-MAX(0,MIN(1000,G108)),MAX(0,MIN(1000,G108))),"")</f>
        <v/>
      </c>
      <c r="K108" s="7" t="n">
        <f aca="false">IF(c_TPOT&gt;1,QUOTIENT(I108+J108,2),I108)</f>
        <v>123</v>
      </c>
      <c r="L108" s="7" t="n">
        <f aca="false">IF(AND(K108=0,c_TCREEP&gt;0),10*c_TCREEP,IF(AND(K108&lt;=c_TRNGMIN,K108&gt;=c_TRNGMAX,c_TRNGMIN-c_TRNGMAX&lt;&gt;0),-10*c_TMINRN+QUOTIENT((c_TMAXRN-c_TMINRN)*(100-QUOTIENT((K108-c_TRNGMAX)*100,c_TRNGMIN-c_TRNGMAX)),-10),0))</f>
        <v>0</v>
      </c>
      <c r="M108" s="7" t="n">
        <f aca="false">IF(((c_TMAP1IN)-(c_TFWD))=0,(0)+QUOTIENT(((c_TMAP1OUT)-(0)),2),QUOTIENT((((K108)-(c_TFWD))*((c_TMAP1OUT)-(0))+IF(((c_TMAP1OUT)-(0))&gt;=0,1,-1)*QUOTIENT(((c_TMAP1IN)-(c_TFWD)),2)),((c_TMAP1IN)-(c_TFWD)))+(0)+IF(((c_TMAP1OUT)-(0))&gt;=0,IF(IF(o_WRAP=1,MOD(((c_TMAP1IN)-(c_TFWD))*(((K108)-(c_TFWD))*((c_TMAP1OUT)-(0))+IF(((c_TMAP1OUT)-(0))&gt;=0,1,-1)*QUOTIENT(((c_TMAP1IN)-(c_TFWD)),2))+2147483648,4294967296)-2147483648,((c_TMAP1IN)-(c_TFWD))*(((K108)-(c_TFWD))*((c_TMAP1OUT)-(0))+IF(((c_TMAP1OUT)-(0))&gt;=0,1,-1)*QUOTIENT(((c_TMAP1IN)-(c_TFWD)),2)))&lt;0,-1,0),IF(IF(o_WRAP=1,MOD(((c_TMAP1IN)-(c_TFWD))*(((K108)-(c_TFWD))*((c_TMAP1OUT)-(0))+IF(((c_TMAP1OUT)-(0))&gt;=0,1,-1)*QUOTIENT(((c_TMAP1IN)-(c_TFWD)),2))+2147483648,4294967296)-2147483648,((c_TMAP1IN)-(c_TFWD))*(((K108)-(c_TFWD))*((c_TMAP1OUT)-(0))+IF(((c_TMAP1OUT)-(0))&gt;=0,1,-1)*QUOTIENT(((c_TMAP1IN)-(c_TFWD)),2)))&gt;=0,1,0)))</f>
        <v>88</v>
      </c>
      <c r="N108" s="7" t="n">
        <f aca="false">IF(((c_TMAP2IN)-(c_TMAP1IN))=0,(c_TMAP1OUT)+QUOTIENT(((c_TMAP2OUT)-(c_TMAP1OUT)),2),QUOTIENT((((K108)-(c_TMAP1IN))*((c_TMAP2OUT)-(c_TMAP1OUT))+IF(((c_TMAP2OUT)-(c_TMAP1OUT))&gt;=0,1,-1)*QUOTIENT(((c_TMAP2IN)-(c_TMAP1IN)),2)),((c_TMAP2IN)-(c_TMAP1IN)))+(c_TMAP1OUT)+IF(((c_TMAP2OUT)-(c_TMAP1OUT))&gt;=0,IF(IF(o_WRAP=1,MOD(((c_TMAP2IN)-(c_TMAP1IN))*(((K108)-(c_TMAP1IN))*((c_TMAP2OUT)-(c_TMAP1OUT))+IF(((c_TMAP2OUT)-(c_TMAP1OUT))&gt;=0,1,-1)*QUOTIENT(((c_TMAP2IN)-(c_TMAP1IN)),2))+2147483648,4294967296)-2147483648,((c_TMAP2IN)-(c_TMAP1IN))*(((K108)-(c_TMAP1IN))*((c_TMAP2OUT)-(c_TMAP1OUT))+IF(((c_TMAP2OUT)-(c_TMAP1OUT))&gt;=0,1,-1)*QUOTIENT(((c_TMAP2IN)-(c_TMAP1IN)),2)))&lt;0,-1,0),IF(IF(o_WRAP=1,MOD(((c_TMAP2IN)-(c_TMAP1IN))*(((K108)-(c_TMAP1IN))*((c_TMAP2OUT)-(c_TMAP1OUT))+IF(((c_TMAP2OUT)-(c_TMAP1OUT))&gt;=0,1,-1)*QUOTIENT(((c_TMAP2IN)-(c_TMAP1IN)),2))+2147483648,4294967296)-2147483648,((c_TMAP2IN)-(c_TMAP1IN))*(((K108)-(c_TMAP1IN))*((c_TMAP2OUT)-(c_TMAP1OUT))+IF(((c_TMAP2OUT)-(c_TMAP1OUT))&gt;=0,1,-1)*QUOTIENT(((c_TMAP2IN)-(c_TMAP1IN)),2)))&gt;=0,1,0)))</f>
        <v>79</v>
      </c>
      <c r="O108" s="7" t="n">
        <f aca="false">IF(((c_TMAP3IN)-(c_TMAP2IN))=0,(c_TMAP2OUT)+QUOTIENT(((c_TMAP3OUT)-(c_TMAP2OUT)),2),QUOTIENT((((K108)-(c_TMAP2IN))*((c_TMAP3OUT)-(c_TMAP2OUT))+IF(((c_TMAP3OUT)-(c_TMAP2OUT))&gt;=0,1,-1)*QUOTIENT(((c_TMAP3IN)-(c_TMAP2IN)),2)),((c_TMAP3IN)-(c_TMAP2IN)))+(c_TMAP2OUT)+IF(((c_TMAP3OUT)-(c_TMAP2OUT))&gt;=0,IF(IF(o_WRAP=1,MOD(((c_TMAP3IN)-(c_TMAP2IN))*(((K108)-(c_TMAP2IN))*((c_TMAP3OUT)-(c_TMAP2OUT))+IF(((c_TMAP3OUT)-(c_TMAP2OUT))&gt;=0,1,-1)*QUOTIENT(((c_TMAP3IN)-(c_TMAP2IN)),2))+2147483648,4294967296)-2147483648,((c_TMAP3IN)-(c_TMAP2IN))*(((K108)-(c_TMAP2IN))*((c_TMAP3OUT)-(c_TMAP2OUT))+IF(((c_TMAP3OUT)-(c_TMAP2OUT))&gt;=0,1,-1)*QUOTIENT(((c_TMAP3IN)-(c_TMAP2IN)),2)))&lt;0,-1,0),IF(IF(o_WRAP=1,MOD(((c_TMAP3IN)-(c_TMAP2IN))*(((K108)-(c_TMAP2IN))*((c_TMAP3OUT)-(c_TMAP2OUT))+IF(((c_TMAP3OUT)-(c_TMAP2OUT))&gt;=0,1,-1)*QUOTIENT(((c_TMAP3IN)-(c_TMAP2IN)),2))+2147483648,4294967296)-2147483648,((c_TMAP3IN)-(c_TMAP2IN))*(((K108)-(c_TMAP2IN))*((c_TMAP3OUT)-(c_TMAP2OUT))+IF(((c_TMAP3OUT)-(c_TMAP2OUT))&gt;=0,1,-1)*QUOTIENT(((c_TMAP3IN)-(c_TMAP2IN)),2)))&gt;=0,1,0)))</f>
        <v>41</v>
      </c>
      <c r="P108" s="7" t="n">
        <f aca="false">IF(((1000)-(c_TMAP3IN))=0,(c_TMAP3OUT)+QUOTIENT(((1000)-(c_TMAP3OUT)),2),QUOTIENT((((K108)-(c_TMAP3IN))*((1000)-(c_TMAP3OUT))+IF(((1000)-(c_TMAP3OUT))&gt;=0,1,-1)*QUOTIENT(((1000)-(c_TMAP3IN)),2)),((1000)-(c_TMAP3IN)))+(c_TMAP3OUT)+IF(((1000)-(c_TMAP3OUT))&gt;=0,IF(IF(o_WRAP=1,MOD(((1000)-(c_TMAP3IN))*(((K108)-(c_TMAP3IN))*((1000)-(c_TMAP3OUT))+IF(((1000)-(c_TMAP3OUT))&gt;=0,1,-1)*QUOTIENT(((1000)-(c_TMAP3IN)),2))+2147483648,4294967296)-2147483648,((1000)-(c_TMAP3IN))*(((K108)-(c_TMAP3IN))*((1000)-(c_TMAP3OUT))+IF(((1000)-(c_TMAP3OUT))&gt;=0,1,-1)*QUOTIENT(((1000)-(c_TMAP3IN)),2)))&lt;0,-1,0),IF(IF(o_WRAP=1,MOD(((1000)-(c_TMAP3IN))*(((K108)-(c_TMAP3IN))*((1000)-(c_TMAP3OUT))+IF(((1000)-(c_TMAP3OUT))&gt;=0,1,-1)*QUOTIENT(((1000)-(c_TMAP3IN)),2))+2147483648,4294967296)-2147483648,((1000)-(c_TMAP3IN))*(((K108)-(c_TMAP3IN))*((1000)-(c_TMAP3OUT))+IF(((1000)-(c_TMAP3OUT))&gt;=0,1,-1)*QUOTIENT(((1000)-(c_TMAP3IN)),2)))&gt;=0,1,0)))</f>
        <v>-79</v>
      </c>
      <c r="Q108" s="7" t="str">
        <f aca="false">IF(K108&gt;=c_TFWD,IF(AND(K108&gt;=c_TMAP3IN,c_TMAP3IN&lt;1000),"Seg4 map3-100%",IF(AND(K108&gt;=c_TMAP2IN,c_TMAP3IN&gt;c_TMAP2IN),"Seg3 map2-map3",IF(AND(K108&gt;=c_TMAP1IN,c_TMAP2IN&gt;c_TMAP1IN),"Seg2 map1-map2","Seg1 TFWD-map1"))),IF(AND(K108=0,c_TCREEP&gt;0),"Creep",IF(AND(K108&lt;=c_TRNGMIN,K108&gt;=c_TRNGMAX,c_TRNGMIN-c_TRNGMAX&lt;&gt;0),"Regen ramp","Coast (0)")))</f>
        <v>Seg2 map1-map2</v>
      </c>
      <c r="R108" s="7" t="n">
        <f aca="false">IF(K108&gt;=c_TFWD,IF(AND(K108&gt;=c_TMAP3IN,c_TMAP3IN&lt;1000),P108,IF(AND(K108&gt;=c_TMAP2IN,c_TMAP3IN&gt;c_TMAP2IN),O108,IF(AND(K108&gt;=c_TMAP1IN,c_TMAP2IN&gt;c_TMAP1IN),N108,M108))),L108)</f>
        <v>79</v>
      </c>
      <c r="S108" s="7" t="str">
        <f aca="false">IF(R108&lt;-1090,"TOO LOW",IF(R108&gt;1090,"TOO HIGH",""))</f>
        <v/>
      </c>
      <c r="T108" s="15" t="n">
        <f aca="false">IF(H108&lt;&gt;"OK",0,IF(S108&lt;&gt;"",0,IF(R108&gt;979,1000,R108)))</f>
        <v>79</v>
      </c>
      <c r="U108" s="7" t="n">
        <f aca="false">T108/10</f>
        <v>7.9</v>
      </c>
    </row>
    <row r="109" customFormat="false" ht="15" hidden="false" customHeight="false" outlineLevel="0" collapsed="false">
      <c r="A109" s="7" t="n">
        <v>104</v>
      </c>
      <c r="B109" s="7" t="n">
        <f aca="false">ROUND(o_SWSTART+A109*(o_SWEND-o_SWSTART)/400,0)</f>
        <v>1065</v>
      </c>
      <c r="C109" s="7" t="n">
        <f aca="false">QUOTIENT((B109-c_OFF1)*c_GAIN1,1024)</f>
        <v>1065</v>
      </c>
      <c r="D109" s="7" t="n">
        <f aca="false">IF(((c_T1MX)-(c_T1MN))=0,(0)+QUOTIENT(((1000)-(0)),2),QUOTIENT((((C109)-(c_T1MN))*((1000)-(0))+IF(((1000)-(0))&gt;=0,1,-1)*QUOTIENT(((c_T1MX)-(c_T1MN)),2)),((c_T1MX)-(c_T1MN)))+(0)+IF(((1000)-(0))&gt;=0,IF(IF(o_WRAP=1,MOD(((c_T1MX)-(c_T1MN))*(((C109)-(c_T1MN))*((1000)-(0))+IF(((1000)-(0))&gt;=0,1,-1)*QUOTIENT(((c_T1MX)-(c_T1MN)),2))+2147483648,4294967296)-2147483648,((c_T1MX)-(c_T1MN))*(((C109)-(c_T1MN))*((1000)-(0))+IF(((1000)-(0))&gt;=0,1,-1)*QUOTIENT(((c_T1MX)-(c_T1MN)),2)))&lt;0,-1,0),IF(IF(o_WRAP=1,MOD(((c_T1MX)-(c_T1MN))*(((C109)-(c_T1MN))*((1000)-(0))+IF(((1000)-(0))&gt;=0,1,-1)*QUOTIENT(((c_T1MX)-(c_T1MN)),2))+2147483648,4294967296)-2147483648,((c_T1MX)-(c_T1MN))*(((C109)-(c_T1MN))*((1000)-(0))+IF(((1000)-(0))&gt;=0,1,-1)*QUOTIENT(((c_T1MX)-(c_T1MN)),2)))&gt;=0,1,0)))</f>
        <v>127</v>
      </c>
      <c r="E109" s="7" t="n">
        <f aca="false">IF(AND(c_TPOT=1,c_TTYPE=2),1000-D109,D109)</f>
        <v>127</v>
      </c>
      <c r="F109" s="7" t="str">
        <f aca="false">IF(c_TPOT&gt;1,ROUND(IF(c_TTYPE=2,c_T2MX-IF(c_T1MX=c_T1MN,0,(C109-c_T1MN)/(c_T1MX-c_T1MN))*(c_T2MX-c_T2MN),c_T2MN+IF(c_T1MX=c_T1MN,0,(C109-c_T1MN)/(c_T1MX-c_T1MN))*(c_T2MX-c_T2MN))+o_MISMATCH,0),"")</f>
        <v/>
      </c>
      <c r="G109" s="7" t="str">
        <f aca="false">IF(c_TPOT&gt;1,IF(((c_T2MX)-(c_T2MN))=0,(0)+QUOTIENT(((1000)-(0)),2),QUOTIENT((((F109)-(c_T2MN))*((1000)-(0))+IF(((1000)-(0))&gt;=0,1,-1)*QUOTIENT(((c_T2MX)-(c_T2MN)),2)),((c_T2MX)-(c_T2MN)))+(0)+IF(((1000)-(0))&gt;=0,IF(IF(o_WRAP=1,MOD(((c_T2MX)-(c_T2MN))*(((F109)-(c_T2MN))*((1000)-(0))+IF(((1000)-(0))&gt;=0,1,-1)*QUOTIENT(((c_T2MX)-(c_T2MN)),2))+2147483648,4294967296)-2147483648,((c_T2MX)-(c_T2MN))*(((F109)-(c_T2MN))*((1000)-(0))+IF(((1000)-(0))&gt;=0,1,-1)*QUOTIENT(((c_T2MX)-(c_T2MN)),2)))&lt;0,-1,0),IF(IF(o_WRAP=1,MOD(((c_T2MX)-(c_T2MN))*(((F109)-(c_T2MN))*((1000)-(0))+IF(((1000)-(0))&gt;=0,1,-1)*QUOTIENT(((c_T2MX)-(c_T2MN)),2))+2147483648,4294967296)-2147483648,((c_T2MX)-(c_T2MN))*(((F109)-(c_T2MN))*((1000)-(0))+IF(((1000)-(0))&gt;=0,1,-1)*QUOTIENT(((c_T2MX)-(c_T2MN)),2)))&gt;=0,1,0))),"")</f>
        <v/>
      </c>
      <c r="H109" s="7" t="str">
        <f aca="false">IF(E109&gt;1000+k_TOL,"T1 HIGH",IF(E109&lt;0-k_TOL,"T1 LOW",IF(c_TPOT&gt;1,IF(G109&gt;1000+k_TOL,"T2 HIGH",IF(G109&lt;0-k_TOL,"T2 LOW",IF(c_TTYPE=2,IF(ABS(1000-MAX(0,MIN(1000,E109))-MAX(0,MIN(1000,G109)))&gt;k_MAXERR,"MISMATCH","OK"),IF(OR(MAX(0,MIN(1000,E109))-k_MAXERR&gt;MAX(0,MIN(1000,G109)),MAX(0,MIN(1000,G109))-k_MAXERR&gt;MAX(0,MIN(1000,E109))),"MISMATCH","OK")))),"OK")))</f>
        <v>OK</v>
      </c>
      <c r="I109" s="7" t="n">
        <f aca="false">MAX(0,MIN(1000,D109))</f>
        <v>127</v>
      </c>
      <c r="J109" s="7" t="str">
        <f aca="false">IF(c_TPOT&gt;1,IF(c_TTYPE=2,1000-MAX(0,MIN(1000,G109)),MAX(0,MIN(1000,G109))),"")</f>
        <v/>
      </c>
      <c r="K109" s="7" t="n">
        <f aca="false">IF(c_TPOT&gt;1,QUOTIENT(I109+J109,2),I109)</f>
        <v>127</v>
      </c>
      <c r="L109" s="7" t="n">
        <f aca="false">IF(AND(K109=0,c_TCREEP&gt;0),10*c_TCREEP,IF(AND(K109&lt;=c_TRNGMIN,K109&gt;=c_TRNGMAX,c_TRNGMIN-c_TRNGMAX&lt;&gt;0),-10*c_TMINRN+QUOTIENT((c_TMAXRN-c_TMINRN)*(100-QUOTIENT((K109-c_TRNGMAX)*100,c_TRNGMIN-c_TRNGMAX)),-10),0))</f>
        <v>0</v>
      </c>
      <c r="M109" s="7" t="n">
        <f aca="false">IF(((c_TMAP1IN)-(c_TFWD))=0,(0)+QUOTIENT(((c_TMAP1OUT)-(0)),2),QUOTIENT((((K109)-(c_TFWD))*((c_TMAP1OUT)-(0))+IF(((c_TMAP1OUT)-(0))&gt;=0,1,-1)*QUOTIENT(((c_TMAP1IN)-(c_TFWD)),2)),((c_TMAP1IN)-(c_TFWD)))+(0)+IF(((c_TMAP1OUT)-(0))&gt;=0,IF(IF(o_WRAP=1,MOD(((c_TMAP1IN)-(c_TFWD))*(((K109)-(c_TFWD))*((c_TMAP1OUT)-(0))+IF(((c_TMAP1OUT)-(0))&gt;=0,1,-1)*QUOTIENT(((c_TMAP1IN)-(c_TFWD)),2))+2147483648,4294967296)-2147483648,((c_TMAP1IN)-(c_TFWD))*(((K109)-(c_TFWD))*((c_TMAP1OUT)-(0))+IF(((c_TMAP1OUT)-(0))&gt;=0,1,-1)*QUOTIENT(((c_TMAP1IN)-(c_TFWD)),2)))&lt;0,-1,0),IF(IF(o_WRAP=1,MOD(((c_TMAP1IN)-(c_TFWD))*(((K109)-(c_TFWD))*((c_TMAP1OUT)-(0))+IF(((c_TMAP1OUT)-(0))&gt;=0,1,-1)*QUOTIENT(((c_TMAP1IN)-(c_TFWD)),2))+2147483648,4294967296)-2147483648,((c_TMAP1IN)-(c_TFWD))*(((K109)-(c_TFWD))*((c_TMAP1OUT)-(0))+IF(((c_TMAP1OUT)-(0))&gt;=0,1,-1)*QUOTIENT(((c_TMAP1IN)-(c_TFWD)),2)))&gt;=0,1,0)))</f>
        <v>91</v>
      </c>
      <c r="N109" s="7" t="n">
        <f aca="false">IF(((c_TMAP2IN)-(c_TMAP1IN))=0,(c_TMAP1OUT)+QUOTIENT(((c_TMAP2OUT)-(c_TMAP1OUT)),2),QUOTIENT((((K109)-(c_TMAP1IN))*((c_TMAP2OUT)-(c_TMAP1OUT))+IF(((c_TMAP2OUT)-(c_TMAP1OUT))&gt;=0,1,-1)*QUOTIENT(((c_TMAP2IN)-(c_TMAP1IN)),2)),((c_TMAP2IN)-(c_TMAP1IN)))+(c_TMAP1OUT)+IF(((c_TMAP2OUT)-(c_TMAP1OUT))&gt;=0,IF(IF(o_WRAP=1,MOD(((c_TMAP2IN)-(c_TMAP1IN))*(((K109)-(c_TMAP1IN))*((c_TMAP2OUT)-(c_TMAP1OUT))+IF(((c_TMAP2OUT)-(c_TMAP1OUT))&gt;=0,1,-1)*QUOTIENT(((c_TMAP2IN)-(c_TMAP1IN)),2))+2147483648,4294967296)-2147483648,((c_TMAP2IN)-(c_TMAP1IN))*(((K109)-(c_TMAP1IN))*((c_TMAP2OUT)-(c_TMAP1OUT))+IF(((c_TMAP2OUT)-(c_TMAP1OUT))&gt;=0,1,-1)*QUOTIENT(((c_TMAP2IN)-(c_TMAP1IN)),2)))&lt;0,-1,0),IF(IF(o_WRAP=1,MOD(((c_TMAP2IN)-(c_TMAP1IN))*(((K109)-(c_TMAP1IN))*((c_TMAP2OUT)-(c_TMAP1OUT))+IF(((c_TMAP2OUT)-(c_TMAP1OUT))&gt;=0,1,-1)*QUOTIENT(((c_TMAP2IN)-(c_TMAP1IN)),2))+2147483648,4294967296)-2147483648,((c_TMAP2IN)-(c_TMAP1IN))*(((K109)-(c_TMAP1IN))*((c_TMAP2OUT)-(c_TMAP1OUT))+IF(((c_TMAP2OUT)-(c_TMAP1OUT))&gt;=0,1,-1)*QUOTIENT(((c_TMAP2IN)-(c_TMAP1IN)),2)))&gt;=0,1,0)))</f>
        <v>81</v>
      </c>
      <c r="O109" s="7" t="n">
        <f aca="false">IF(((c_TMAP3IN)-(c_TMAP2IN))=0,(c_TMAP2OUT)+QUOTIENT(((c_TMAP3OUT)-(c_TMAP2OUT)),2),QUOTIENT((((K109)-(c_TMAP2IN))*((c_TMAP3OUT)-(c_TMAP2OUT))+IF(((c_TMAP3OUT)-(c_TMAP2OUT))&gt;=0,1,-1)*QUOTIENT(((c_TMAP3IN)-(c_TMAP2IN)),2)),((c_TMAP3IN)-(c_TMAP2IN)))+(c_TMAP2OUT)+IF(((c_TMAP3OUT)-(c_TMAP2OUT))&gt;=0,IF(IF(o_WRAP=1,MOD(((c_TMAP3IN)-(c_TMAP2IN))*(((K109)-(c_TMAP2IN))*((c_TMAP3OUT)-(c_TMAP2OUT))+IF(((c_TMAP3OUT)-(c_TMAP2OUT))&gt;=0,1,-1)*QUOTIENT(((c_TMAP3IN)-(c_TMAP2IN)),2))+2147483648,4294967296)-2147483648,((c_TMAP3IN)-(c_TMAP2IN))*(((K109)-(c_TMAP2IN))*((c_TMAP3OUT)-(c_TMAP2OUT))+IF(((c_TMAP3OUT)-(c_TMAP2OUT))&gt;=0,1,-1)*QUOTIENT(((c_TMAP3IN)-(c_TMAP2IN)),2)))&lt;0,-1,0),IF(IF(o_WRAP=1,MOD(((c_TMAP3IN)-(c_TMAP2IN))*(((K109)-(c_TMAP2IN))*((c_TMAP3OUT)-(c_TMAP2OUT))+IF(((c_TMAP3OUT)-(c_TMAP2OUT))&gt;=0,1,-1)*QUOTIENT(((c_TMAP3IN)-(c_TMAP2IN)),2))+2147483648,4294967296)-2147483648,((c_TMAP3IN)-(c_TMAP2IN))*(((K109)-(c_TMAP2IN))*((c_TMAP3OUT)-(c_TMAP2OUT))+IF(((c_TMAP3OUT)-(c_TMAP2OUT))&gt;=0,1,-1)*QUOTIENT(((c_TMAP3IN)-(c_TMAP2IN)),2)))&gt;=0,1,0)))</f>
        <v>44</v>
      </c>
      <c r="P109" s="7" t="n">
        <f aca="false">IF(((1000)-(c_TMAP3IN))=0,(c_TMAP3OUT)+QUOTIENT(((1000)-(c_TMAP3OUT)),2),QUOTIENT((((K109)-(c_TMAP3IN))*((1000)-(c_TMAP3OUT))+IF(((1000)-(c_TMAP3OUT))&gt;=0,1,-1)*QUOTIENT(((1000)-(c_TMAP3IN)),2)),((1000)-(c_TMAP3IN)))+(c_TMAP3OUT)+IF(((1000)-(c_TMAP3OUT))&gt;=0,IF(IF(o_WRAP=1,MOD(((1000)-(c_TMAP3IN))*(((K109)-(c_TMAP3IN))*((1000)-(c_TMAP3OUT))+IF(((1000)-(c_TMAP3OUT))&gt;=0,1,-1)*QUOTIENT(((1000)-(c_TMAP3IN)),2))+2147483648,4294967296)-2147483648,((1000)-(c_TMAP3IN))*(((K109)-(c_TMAP3IN))*((1000)-(c_TMAP3OUT))+IF(((1000)-(c_TMAP3OUT))&gt;=0,1,-1)*QUOTIENT(((1000)-(c_TMAP3IN)),2)))&lt;0,-1,0),IF(IF(o_WRAP=1,MOD(((1000)-(c_TMAP3IN))*(((K109)-(c_TMAP3IN))*((1000)-(c_TMAP3OUT))+IF(((1000)-(c_TMAP3OUT))&gt;=0,1,-1)*QUOTIENT(((1000)-(c_TMAP3IN)),2))+2147483648,4294967296)-2147483648,((1000)-(c_TMAP3IN))*(((K109)-(c_TMAP3IN))*((1000)-(c_TMAP3OUT))+IF(((1000)-(c_TMAP3OUT))&gt;=0,1,-1)*QUOTIENT(((1000)-(c_TMAP3IN)),2)))&gt;=0,1,0)))</f>
        <v>-74</v>
      </c>
      <c r="Q109" s="7" t="str">
        <f aca="false">IF(K109&gt;=c_TFWD,IF(AND(K109&gt;=c_TMAP3IN,c_TMAP3IN&lt;1000),"Seg4 map3-100%",IF(AND(K109&gt;=c_TMAP2IN,c_TMAP3IN&gt;c_TMAP2IN),"Seg3 map2-map3",IF(AND(K109&gt;=c_TMAP1IN,c_TMAP2IN&gt;c_TMAP1IN),"Seg2 map1-map2","Seg1 TFWD-map1"))),IF(AND(K109=0,c_TCREEP&gt;0),"Creep",IF(AND(K109&lt;=c_TRNGMIN,K109&gt;=c_TRNGMAX,c_TRNGMIN-c_TRNGMAX&lt;&gt;0),"Regen ramp","Coast (0)")))</f>
        <v>Seg2 map1-map2</v>
      </c>
      <c r="R109" s="7" t="n">
        <f aca="false">IF(K109&gt;=c_TFWD,IF(AND(K109&gt;=c_TMAP3IN,c_TMAP3IN&lt;1000),P109,IF(AND(K109&gt;=c_TMAP2IN,c_TMAP3IN&gt;c_TMAP2IN),O109,IF(AND(K109&gt;=c_TMAP1IN,c_TMAP2IN&gt;c_TMAP1IN),N109,M109))),L109)</f>
        <v>81</v>
      </c>
      <c r="S109" s="7" t="str">
        <f aca="false">IF(R109&lt;-1090,"TOO LOW",IF(R109&gt;1090,"TOO HIGH",""))</f>
        <v/>
      </c>
      <c r="T109" s="15" t="n">
        <f aca="false">IF(H109&lt;&gt;"OK",0,IF(S109&lt;&gt;"",0,IF(R109&gt;979,1000,R109)))</f>
        <v>81</v>
      </c>
      <c r="U109" s="7" t="n">
        <f aca="false">T109/10</f>
        <v>8.1</v>
      </c>
    </row>
    <row r="110" customFormat="false" ht="15" hidden="false" customHeight="false" outlineLevel="0" collapsed="false">
      <c r="A110" s="7" t="n">
        <v>105</v>
      </c>
      <c r="B110" s="7" t="n">
        <f aca="false">ROUND(o_SWSTART+A110*(o_SWEND-o_SWSTART)/400,0)</f>
        <v>1075</v>
      </c>
      <c r="C110" s="7" t="n">
        <f aca="false">QUOTIENT((B110-c_OFF1)*c_GAIN1,1024)</f>
        <v>1075</v>
      </c>
      <c r="D110" s="7" t="n">
        <f aca="false">IF(((c_T1MX)-(c_T1MN))=0,(0)+QUOTIENT(((1000)-(0)),2),QUOTIENT((((C110)-(c_T1MN))*((1000)-(0))+IF(((1000)-(0))&gt;=0,1,-1)*QUOTIENT(((c_T1MX)-(c_T1MN)),2)),((c_T1MX)-(c_T1MN)))+(0)+IF(((1000)-(0))&gt;=0,IF(IF(o_WRAP=1,MOD(((c_T1MX)-(c_T1MN))*(((C110)-(c_T1MN))*((1000)-(0))+IF(((1000)-(0))&gt;=0,1,-1)*QUOTIENT(((c_T1MX)-(c_T1MN)),2))+2147483648,4294967296)-2147483648,((c_T1MX)-(c_T1MN))*(((C110)-(c_T1MN))*((1000)-(0))+IF(((1000)-(0))&gt;=0,1,-1)*QUOTIENT(((c_T1MX)-(c_T1MN)),2)))&lt;0,-1,0),IF(IF(o_WRAP=1,MOD(((c_T1MX)-(c_T1MN))*(((C110)-(c_T1MN))*((1000)-(0))+IF(((1000)-(0))&gt;=0,1,-1)*QUOTIENT(((c_T1MX)-(c_T1MN)),2))+2147483648,4294967296)-2147483648,((c_T1MX)-(c_T1MN))*(((C110)-(c_T1MN))*((1000)-(0))+IF(((1000)-(0))&gt;=0,1,-1)*QUOTIENT(((c_T1MX)-(c_T1MN)),2)))&gt;=0,1,0)))</f>
        <v>130</v>
      </c>
      <c r="E110" s="7" t="n">
        <f aca="false">IF(AND(c_TPOT=1,c_TTYPE=2),1000-D110,D110)</f>
        <v>130</v>
      </c>
      <c r="F110" s="7" t="str">
        <f aca="false">IF(c_TPOT&gt;1,ROUND(IF(c_TTYPE=2,c_T2MX-IF(c_T1MX=c_T1MN,0,(C110-c_T1MN)/(c_T1MX-c_T1MN))*(c_T2MX-c_T2MN),c_T2MN+IF(c_T1MX=c_T1MN,0,(C110-c_T1MN)/(c_T1MX-c_T1MN))*(c_T2MX-c_T2MN))+o_MISMATCH,0),"")</f>
        <v/>
      </c>
      <c r="G110" s="7" t="str">
        <f aca="false">IF(c_TPOT&gt;1,IF(((c_T2MX)-(c_T2MN))=0,(0)+QUOTIENT(((1000)-(0)),2),QUOTIENT((((F110)-(c_T2MN))*((1000)-(0))+IF(((1000)-(0))&gt;=0,1,-1)*QUOTIENT(((c_T2MX)-(c_T2MN)),2)),((c_T2MX)-(c_T2MN)))+(0)+IF(((1000)-(0))&gt;=0,IF(IF(o_WRAP=1,MOD(((c_T2MX)-(c_T2MN))*(((F110)-(c_T2MN))*((1000)-(0))+IF(((1000)-(0))&gt;=0,1,-1)*QUOTIENT(((c_T2MX)-(c_T2MN)),2))+2147483648,4294967296)-2147483648,((c_T2MX)-(c_T2MN))*(((F110)-(c_T2MN))*((1000)-(0))+IF(((1000)-(0))&gt;=0,1,-1)*QUOTIENT(((c_T2MX)-(c_T2MN)),2)))&lt;0,-1,0),IF(IF(o_WRAP=1,MOD(((c_T2MX)-(c_T2MN))*(((F110)-(c_T2MN))*((1000)-(0))+IF(((1000)-(0))&gt;=0,1,-1)*QUOTIENT(((c_T2MX)-(c_T2MN)),2))+2147483648,4294967296)-2147483648,((c_T2MX)-(c_T2MN))*(((F110)-(c_T2MN))*((1000)-(0))+IF(((1000)-(0))&gt;=0,1,-1)*QUOTIENT(((c_T2MX)-(c_T2MN)),2)))&gt;=0,1,0))),"")</f>
        <v/>
      </c>
      <c r="H110" s="7" t="str">
        <f aca="false">IF(E110&gt;1000+k_TOL,"T1 HIGH",IF(E110&lt;0-k_TOL,"T1 LOW",IF(c_TPOT&gt;1,IF(G110&gt;1000+k_TOL,"T2 HIGH",IF(G110&lt;0-k_TOL,"T2 LOW",IF(c_TTYPE=2,IF(ABS(1000-MAX(0,MIN(1000,E110))-MAX(0,MIN(1000,G110)))&gt;k_MAXERR,"MISMATCH","OK"),IF(OR(MAX(0,MIN(1000,E110))-k_MAXERR&gt;MAX(0,MIN(1000,G110)),MAX(0,MIN(1000,G110))-k_MAXERR&gt;MAX(0,MIN(1000,E110))),"MISMATCH","OK")))),"OK")))</f>
        <v>OK</v>
      </c>
      <c r="I110" s="7" t="n">
        <f aca="false">MAX(0,MIN(1000,D110))</f>
        <v>130</v>
      </c>
      <c r="J110" s="7" t="str">
        <f aca="false">IF(c_TPOT&gt;1,IF(c_TTYPE=2,1000-MAX(0,MIN(1000,G110)),MAX(0,MIN(1000,G110))),"")</f>
        <v/>
      </c>
      <c r="K110" s="7" t="n">
        <f aca="false">IF(c_TPOT&gt;1,QUOTIENT(I110+J110,2),I110)</f>
        <v>130</v>
      </c>
      <c r="L110" s="7" t="n">
        <f aca="false">IF(AND(K110=0,c_TCREEP&gt;0),10*c_TCREEP,IF(AND(K110&lt;=c_TRNGMIN,K110&gt;=c_TRNGMAX,c_TRNGMIN-c_TRNGMAX&lt;&gt;0),-10*c_TMINRN+QUOTIENT((c_TMAXRN-c_TMINRN)*(100-QUOTIENT((K110-c_TRNGMAX)*100,c_TRNGMIN-c_TRNGMAX)),-10),0))</f>
        <v>0</v>
      </c>
      <c r="M110" s="7" t="n">
        <f aca="false">IF(((c_TMAP1IN)-(c_TFWD))=0,(0)+QUOTIENT(((c_TMAP1OUT)-(0)),2),QUOTIENT((((K110)-(c_TFWD))*((c_TMAP1OUT)-(0))+IF(((c_TMAP1OUT)-(0))&gt;=0,1,-1)*QUOTIENT(((c_TMAP1IN)-(c_TFWD)),2)),((c_TMAP1IN)-(c_TFWD)))+(0)+IF(((c_TMAP1OUT)-(0))&gt;=0,IF(IF(o_WRAP=1,MOD(((c_TMAP1IN)-(c_TFWD))*(((K110)-(c_TFWD))*((c_TMAP1OUT)-(0))+IF(((c_TMAP1OUT)-(0))&gt;=0,1,-1)*QUOTIENT(((c_TMAP1IN)-(c_TFWD)),2))+2147483648,4294967296)-2147483648,((c_TMAP1IN)-(c_TFWD))*(((K110)-(c_TFWD))*((c_TMAP1OUT)-(0))+IF(((c_TMAP1OUT)-(0))&gt;=0,1,-1)*QUOTIENT(((c_TMAP1IN)-(c_TFWD)),2)))&lt;0,-1,0),IF(IF(o_WRAP=1,MOD(((c_TMAP1IN)-(c_TFWD))*(((K110)-(c_TFWD))*((c_TMAP1OUT)-(0))+IF(((c_TMAP1OUT)-(0))&gt;=0,1,-1)*QUOTIENT(((c_TMAP1IN)-(c_TFWD)),2))+2147483648,4294967296)-2147483648,((c_TMAP1IN)-(c_TFWD))*(((K110)-(c_TFWD))*((c_TMAP1OUT)-(0))+IF(((c_TMAP1OUT)-(0))&gt;=0,1,-1)*QUOTIENT(((c_TMAP1IN)-(c_TFWD)),2)))&gt;=0,1,0)))</f>
        <v>93</v>
      </c>
      <c r="N110" s="7" t="n">
        <f aca="false">IF(((c_TMAP2IN)-(c_TMAP1IN))=0,(c_TMAP1OUT)+QUOTIENT(((c_TMAP2OUT)-(c_TMAP1OUT)),2),QUOTIENT((((K110)-(c_TMAP1IN))*((c_TMAP2OUT)-(c_TMAP1OUT))+IF(((c_TMAP2OUT)-(c_TMAP1OUT))&gt;=0,1,-1)*QUOTIENT(((c_TMAP2IN)-(c_TMAP1IN)),2)),((c_TMAP2IN)-(c_TMAP1IN)))+(c_TMAP1OUT)+IF(((c_TMAP2OUT)-(c_TMAP1OUT))&gt;=0,IF(IF(o_WRAP=1,MOD(((c_TMAP2IN)-(c_TMAP1IN))*(((K110)-(c_TMAP1IN))*((c_TMAP2OUT)-(c_TMAP1OUT))+IF(((c_TMAP2OUT)-(c_TMAP1OUT))&gt;=0,1,-1)*QUOTIENT(((c_TMAP2IN)-(c_TMAP1IN)),2))+2147483648,4294967296)-2147483648,((c_TMAP2IN)-(c_TMAP1IN))*(((K110)-(c_TMAP1IN))*((c_TMAP2OUT)-(c_TMAP1OUT))+IF(((c_TMAP2OUT)-(c_TMAP1OUT))&gt;=0,1,-1)*QUOTIENT(((c_TMAP2IN)-(c_TMAP1IN)),2)))&lt;0,-1,0),IF(IF(o_WRAP=1,MOD(((c_TMAP2IN)-(c_TMAP1IN))*(((K110)-(c_TMAP1IN))*((c_TMAP2OUT)-(c_TMAP1OUT))+IF(((c_TMAP2OUT)-(c_TMAP1OUT))&gt;=0,1,-1)*QUOTIENT(((c_TMAP2IN)-(c_TMAP1IN)),2))+2147483648,4294967296)-2147483648,((c_TMAP2IN)-(c_TMAP1IN))*(((K110)-(c_TMAP1IN))*((c_TMAP2OUT)-(c_TMAP1OUT))+IF(((c_TMAP2OUT)-(c_TMAP1OUT))&gt;=0,1,-1)*QUOTIENT(((c_TMAP2IN)-(c_TMAP1IN)),2)))&gt;=0,1,0)))</f>
        <v>82</v>
      </c>
      <c r="O110" s="7" t="n">
        <f aca="false">IF(((c_TMAP3IN)-(c_TMAP2IN))=0,(c_TMAP2OUT)+QUOTIENT(((c_TMAP3OUT)-(c_TMAP2OUT)),2),QUOTIENT((((K110)-(c_TMAP2IN))*((c_TMAP3OUT)-(c_TMAP2OUT))+IF(((c_TMAP3OUT)-(c_TMAP2OUT))&gt;=0,1,-1)*QUOTIENT(((c_TMAP3IN)-(c_TMAP2IN)),2)),((c_TMAP3IN)-(c_TMAP2IN)))+(c_TMAP2OUT)+IF(((c_TMAP3OUT)-(c_TMAP2OUT))&gt;=0,IF(IF(o_WRAP=1,MOD(((c_TMAP3IN)-(c_TMAP2IN))*(((K110)-(c_TMAP2IN))*((c_TMAP3OUT)-(c_TMAP2OUT))+IF(((c_TMAP3OUT)-(c_TMAP2OUT))&gt;=0,1,-1)*QUOTIENT(((c_TMAP3IN)-(c_TMAP2IN)),2))+2147483648,4294967296)-2147483648,((c_TMAP3IN)-(c_TMAP2IN))*(((K110)-(c_TMAP2IN))*((c_TMAP3OUT)-(c_TMAP2OUT))+IF(((c_TMAP3OUT)-(c_TMAP2OUT))&gt;=0,1,-1)*QUOTIENT(((c_TMAP3IN)-(c_TMAP2IN)),2)))&lt;0,-1,0),IF(IF(o_WRAP=1,MOD(((c_TMAP3IN)-(c_TMAP2IN))*(((K110)-(c_TMAP2IN))*((c_TMAP3OUT)-(c_TMAP2OUT))+IF(((c_TMAP3OUT)-(c_TMAP2OUT))&gt;=0,1,-1)*QUOTIENT(((c_TMAP3IN)-(c_TMAP2IN)),2))+2147483648,4294967296)-2147483648,((c_TMAP3IN)-(c_TMAP2IN))*(((K110)-(c_TMAP2IN))*((c_TMAP3OUT)-(c_TMAP2OUT))+IF(((c_TMAP3OUT)-(c_TMAP2OUT))&gt;=0,1,-1)*QUOTIENT(((c_TMAP3IN)-(c_TMAP2IN)),2)))&gt;=0,1,0)))</f>
        <v>46</v>
      </c>
      <c r="P110" s="7" t="n">
        <f aca="false">IF(((1000)-(c_TMAP3IN))=0,(c_TMAP3OUT)+QUOTIENT(((1000)-(c_TMAP3OUT)),2),QUOTIENT((((K110)-(c_TMAP3IN))*((1000)-(c_TMAP3OUT))+IF(((1000)-(c_TMAP3OUT))&gt;=0,1,-1)*QUOTIENT(((1000)-(c_TMAP3IN)),2)),((1000)-(c_TMAP3IN)))+(c_TMAP3OUT)+IF(((1000)-(c_TMAP3OUT))&gt;=0,IF(IF(o_WRAP=1,MOD(((1000)-(c_TMAP3IN))*(((K110)-(c_TMAP3IN))*((1000)-(c_TMAP3OUT))+IF(((1000)-(c_TMAP3OUT))&gt;=0,1,-1)*QUOTIENT(((1000)-(c_TMAP3IN)),2))+2147483648,4294967296)-2147483648,((1000)-(c_TMAP3IN))*(((K110)-(c_TMAP3IN))*((1000)-(c_TMAP3OUT))+IF(((1000)-(c_TMAP3OUT))&gt;=0,1,-1)*QUOTIENT(((1000)-(c_TMAP3IN)),2)))&lt;0,-1,0),IF(IF(o_WRAP=1,MOD(((1000)-(c_TMAP3IN))*(((K110)-(c_TMAP3IN))*((1000)-(c_TMAP3OUT))+IF(((1000)-(c_TMAP3OUT))&gt;=0,1,-1)*QUOTIENT(((1000)-(c_TMAP3IN)),2))+2147483648,4294967296)-2147483648,((1000)-(c_TMAP3IN))*(((K110)-(c_TMAP3IN))*((1000)-(c_TMAP3OUT))+IF(((1000)-(c_TMAP3OUT))&gt;=0,1,-1)*QUOTIENT(((1000)-(c_TMAP3IN)),2)))&gt;=0,1,0)))</f>
        <v>-71</v>
      </c>
      <c r="Q110" s="7" t="str">
        <f aca="false">IF(K110&gt;=c_TFWD,IF(AND(K110&gt;=c_TMAP3IN,c_TMAP3IN&lt;1000),"Seg4 map3-100%",IF(AND(K110&gt;=c_TMAP2IN,c_TMAP3IN&gt;c_TMAP2IN),"Seg3 map2-map3",IF(AND(K110&gt;=c_TMAP1IN,c_TMAP2IN&gt;c_TMAP1IN),"Seg2 map1-map2","Seg1 TFWD-map1"))),IF(AND(K110=0,c_TCREEP&gt;0),"Creep",IF(AND(K110&lt;=c_TRNGMIN,K110&gt;=c_TRNGMAX,c_TRNGMIN-c_TRNGMAX&lt;&gt;0),"Regen ramp","Coast (0)")))</f>
        <v>Seg2 map1-map2</v>
      </c>
      <c r="R110" s="7" t="n">
        <f aca="false">IF(K110&gt;=c_TFWD,IF(AND(K110&gt;=c_TMAP3IN,c_TMAP3IN&lt;1000),P110,IF(AND(K110&gt;=c_TMAP2IN,c_TMAP3IN&gt;c_TMAP2IN),O110,IF(AND(K110&gt;=c_TMAP1IN,c_TMAP2IN&gt;c_TMAP1IN),N110,M110))),L110)</f>
        <v>82</v>
      </c>
      <c r="S110" s="7" t="str">
        <f aca="false">IF(R110&lt;-1090,"TOO LOW",IF(R110&gt;1090,"TOO HIGH",""))</f>
        <v/>
      </c>
      <c r="T110" s="15" t="n">
        <f aca="false">IF(H110&lt;&gt;"OK",0,IF(S110&lt;&gt;"",0,IF(R110&gt;979,1000,R110)))</f>
        <v>82</v>
      </c>
      <c r="U110" s="7" t="n">
        <f aca="false">T110/10</f>
        <v>8.2</v>
      </c>
    </row>
    <row r="111" customFormat="false" ht="15" hidden="false" customHeight="false" outlineLevel="0" collapsed="false">
      <c r="A111" s="7" t="n">
        <v>106</v>
      </c>
      <c r="B111" s="7" t="n">
        <f aca="false">ROUND(o_SWSTART+A111*(o_SWEND-o_SWSTART)/400,0)</f>
        <v>1085</v>
      </c>
      <c r="C111" s="7" t="n">
        <f aca="false">QUOTIENT((B111-c_OFF1)*c_GAIN1,1024)</f>
        <v>1085</v>
      </c>
      <c r="D111" s="7" t="n">
        <f aca="false">IF(((c_T1MX)-(c_T1MN))=0,(0)+QUOTIENT(((1000)-(0)),2),QUOTIENT((((C111)-(c_T1MN))*((1000)-(0))+IF(((1000)-(0))&gt;=0,1,-1)*QUOTIENT(((c_T1MX)-(c_T1MN)),2)),((c_T1MX)-(c_T1MN)))+(0)+IF(((1000)-(0))&gt;=0,IF(IF(o_WRAP=1,MOD(((c_T1MX)-(c_T1MN))*(((C111)-(c_T1MN))*((1000)-(0))+IF(((1000)-(0))&gt;=0,1,-1)*QUOTIENT(((c_T1MX)-(c_T1MN)),2))+2147483648,4294967296)-2147483648,((c_T1MX)-(c_T1MN))*(((C111)-(c_T1MN))*((1000)-(0))+IF(((1000)-(0))&gt;=0,1,-1)*QUOTIENT(((c_T1MX)-(c_T1MN)),2)))&lt;0,-1,0),IF(IF(o_WRAP=1,MOD(((c_T1MX)-(c_T1MN))*(((C111)-(c_T1MN))*((1000)-(0))+IF(((1000)-(0))&gt;=0,1,-1)*QUOTIENT(((c_T1MX)-(c_T1MN)),2))+2147483648,4294967296)-2147483648,((c_T1MX)-(c_T1MN))*(((C111)-(c_T1MN))*((1000)-(0))+IF(((1000)-(0))&gt;=0,1,-1)*QUOTIENT(((c_T1MX)-(c_T1MN)),2)))&gt;=0,1,0)))</f>
        <v>134</v>
      </c>
      <c r="E111" s="7" t="n">
        <f aca="false">IF(AND(c_TPOT=1,c_TTYPE=2),1000-D111,D111)</f>
        <v>134</v>
      </c>
      <c r="F111" s="7" t="str">
        <f aca="false">IF(c_TPOT&gt;1,ROUND(IF(c_TTYPE=2,c_T2MX-IF(c_T1MX=c_T1MN,0,(C111-c_T1MN)/(c_T1MX-c_T1MN))*(c_T2MX-c_T2MN),c_T2MN+IF(c_T1MX=c_T1MN,0,(C111-c_T1MN)/(c_T1MX-c_T1MN))*(c_T2MX-c_T2MN))+o_MISMATCH,0),"")</f>
        <v/>
      </c>
      <c r="G111" s="7" t="str">
        <f aca="false">IF(c_TPOT&gt;1,IF(((c_T2MX)-(c_T2MN))=0,(0)+QUOTIENT(((1000)-(0)),2),QUOTIENT((((F111)-(c_T2MN))*((1000)-(0))+IF(((1000)-(0))&gt;=0,1,-1)*QUOTIENT(((c_T2MX)-(c_T2MN)),2)),((c_T2MX)-(c_T2MN)))+(0)+IF(((1000)-(0))&gt;=0,IF(IF(o_WRAP=1,MOD(((c_T2MX)-(c_T2MN))*(((F111)-(c_T2MN))*((1000)-(0))+IF(((1000)-(0))&gt;=0,1,-1)*QUOTIENT(((c_T2MX)-(c_T2MN)),2))+2147483648,4294967296)-2147483648,((c_T2MX)-(c_T2MN))*(((F111)-(c_T2MN))*((1000)-(0))+IF(((1000)-(0))&gt;=0,1,-1)*QUOTIENT(((c_T2MX)-(c_T2MN)),2)))&lt;0,-1,0),IF(IF(o_WRAP=1,MOD(((c_T2MX)-(c_T2MN))*(((F111)-(c_T2MN))*((1000)-(0))+IF(((1000)-(0))&gt;=0,1,-1)*QUOTIENT(((c_T2MX)-(c_T2MN)),2))+2147483648,4294967296)-2147483648,((c_T2MX)-(c_T2MN))*(((F111)-(c_T2MN))*((1000)-(0))+IF(((1000)-(0))&gt;=0,1,-1)*QUOTIENT(((c_T2MX)-(c_T2MN)),2)))&gt;=0,1,0))),"")</f>
        <v/>
      </c>
      <c r="H111" s="7" t="str">
        <f aca="false">IF(E111&gt;1000+k_TOL,"T1 HIGH",IF(E111&lt;0-k_TOL,"T1 LOW",IF(c_TPOT&gt;1,IF(G111&gt;1000+k_TOL,"T2 HIGH",IF(G111&lt;0-k_TOL,"T2 LOW",IF(c_TTYPE=2,IF(ABS(1000-MAX(0,MIN(1000,E111))-MAX(0,MIN(1000,G111)))&gt;k_MAXERR,"MISMATCH","OK"),IF(OR(MAX(0,MIN(1000,E111))-k_MAXERR&gt;MAX(0,MIN(1000,G111)),MAX(0,MIN(1000,G111))-k_MAXERR&gt;MAX(0,MIN(1000,E111))),"MISMATCH","OK")))),"OK")))</f>
        <v>OK</v>
      </c>
      <c r="I111" s="7" t="n">
        <f aca="false">MAX(0,MIN(1000,D111))</f>
        <v>134</v>
      </c>
      <c r="J111" s="7" t="str">
        <f aca="false">IF(c_TPOT&gt;1,IF(c_TTYPE=2,1000-MAX(0,MIN(1000,G111)),MAX(0,MIN(1000,G111))),"")</f>
        <v/>
      </c>
      <c r="K111" s="7" t="n">
        <f aca="false">IF(c_TPOT&gt;1,QUOTIENT(I111+J111,2),I111)</f>
        <v>134</v>
      </c>
      <c r="L111" s="7" t="n">
        <f aca="false">IF(AND(K111=0,c_TCREEP&gt;0),10*c_TCREEP,IF(AND(K111&lt;=c_TRNGMIN,K111&gt;=c_TRNGMAX,c_TRNGMIN-c_TRNGMAX&lt;&gt;0),-10*c_TMINRN+QUOTIENT((c_TMAXRN-c_TMINRN)*(100-QUOTIENT((K111-c_TRNGMAX)*100,c_TRNGMIN-c_TRNGMAX)),-10),0))</f>
        <v>0</v>
      </c>
      <c r="M111" s="7" t="n">
        <f aca="false">IF(((c_TMAP1IN)-(c_TFWD))=0,(0)+QUOTIENT(((c_TMAP1OUT)-(0)),2),QUOTIENT((((K111)-(c_TFWD))*((c_TMAP1OUT)-(0))+IF(((c_TMAP1OUT)-(0))&gt;=0,1,-1)*QUOTIENT(((c_TMAP1IN)-(c_TFWD)),2)),((c_TMAP1IN)-(c_TFWD)))+(0)+IF(((c_TMAP1OUT)-(0))&gt;=0,IF(IF(o_WRAP=1,MOD(((c_TMAP1IN)-(c_TFWD))*(((K111)-(c_TFWD))*((c_TMAP1OUT)-(0))+IF(((c_TMAP1OUT)-(0))&gt;=0,1,-1)*QUOTIENT(((c_TMAP1IN)-(c_TFWD)),2))+2147483648,4294967296)-2147483648,((c_TMAP1IN)-(c_TFWD))*(((K111)-(c_TFWD))*((c_TMAP1OUT)-(0))+IF(((c_TMAP1OUT)-(0))&gt;=0,1,-1)*QUOTIENT(((c_TMAP1IN)-(c_TFWD)),2)))&lt;0,-1,0),IF(IF(o_WRAP=1,MOD(((c_TMAP1IN)-(c_TFWD))*(((K111)-(c_TFWD))*((c_TMAP1OUT)-(0))+IF(((c_TMAP1OUT)-(0))&gt;=0,1,-1)*QUOTIENT(((c_TMAP1IN)-(c_TFWD)),2))+2147483648,4294967296)-2147483648,((c_TMAP1IN)-(c_TFWD))*(((K111)-(c_TFWD))*((c_TMAP1OUT)-(0))+IF(((c_TMAP1OUT)-(0))&gt;=0,1,-1)*QUOTIENT(((c_TMAP1IN)-(c_TFWD)),2)))&gt;=0,1,0)))</f>
        <v>96</v>
      </c>
      <c r="N111" s="7" t="n">
        <f aca="false">IF(((c_TMAP2IN)-(c_TMAP1IN))=0,(c_TMAP1OUT)+QUOTIENT(((c_TMAP2OUT)-(c_TMAP1OUT)),2),QUOTIENT((((K111)-(c_TMAP1IN))*((c_TMAP2OUT)-(c_TMAP1OUT))+IF(((c_TMAP2OUT)-(c_TMAP1OUT))&gt;=0,1,-1)*QUOTIENT(((c_TMAP2IN)-(c_TMAP1IN)),2)),((c_TMAP2IN)-(c_TMAP1IN)))+(c_TMAP1OUT)+IF(((c_TMAP2OUT)-(c_TMAP1OUT))&gt;=0,IF(IF(o_WRAP=1,MOD(((c_TMAP2IN)-(c_TMAP1IN))*(((K111)-(c_TMAP1IN))*((c_TMAP2OUT)-(c_TMAP1OUT))+IF(((c_TMAP2OUT)-(c_TMAP1OUT))&gt;=0,1,-1)*QUOTIENT(((c_TMAP2IN)-(c_TMAP1IN)),2))+2147483648,4294967296)-2147483648,((c_TMAP2IN)-(c_TMAP1IN))*(((K111)-(c_TMAP1IN))*((c_TMAP2OUT)-(c_TMAP1OUT))+IF(((c_TMAP2OUT)-(c_TMAP1OUT))&gt;=0,1,-1)*QUOTIENT(((c_TMAP2IN)-(c_TMAP1IN)),2)))&lt;0,-1,0),IF(IF(o_WRAP=1,MOD(((c_TMAP2IN)-(c_TMAP1IN))*(((K111)-(c_TMAP1IN))*((c_TMAP2OUT)-(c_TMAP1OUT))+IF(((c_TMAP2OUT)-(c_TMAP1OUT))&gt;=0,1,-1)*QUOTIENT(((c_TMAP2IN)-(c_TMAP1IN)),2))+2147483648,4294967296)-2147483648,((c_TMAP2IN)-(c_TMAP1IN))*(((K111)-(c_TMAP1IN))*((c_TMAP2OUT)-(c_TMAP1OUT))+IF(((c_TMAP2OUT)-(c_TMAP1OUT))&gt;=0,1,-1)*QUOTIENT(((c_TMAP2IN)-(c_TMAP1IN)),2)))&gt;=0,1,0)))</f>
        <v>84</v>
      </c>
      <c r="O111" s="7" t="n">
        <f aca="false">IF(((c_TMAP3IN)-(c_TMAP2IN))=0,(c_TMAP2OUT)+QUOTIENT(((c_TMAP3OUT)-(c_TMAP2OUT)),2),QUOTIENT((((K111)-(c_TMAP2IN))*((c_TMAP3OUT)-(c_TMAP2OUT))+IF(((c_TMAP3OUT)-(c_TMAP2OUT))&gt;=0,1,-1)*QUOTIENT(((c_TMAP3IN)-(c_TMAP2IN)),2)),((c_TMAP3IN)-(c_TMAP2IN)))+(c_TMAP2OUT)+IF(((c_TMAP3OUT)-(c_TMAP2OUT))&gt;=0,IF(IF(o_WRAP=1,MOD(((c_TMAP3IN)-(c_TMAP2IN))*(((K111)-(c_TMAP2IN))*((c_TMAP3OUT)-(c_TMAP2OUT))+IF(((c_TMAP3OUT)-(c_TMAP2OUT))&gt;=0,1,-1)*QUOTIENT(((c_TMAP3IN)-(c_TMAP2IN)),2))+2147483648,4294967296)-2147483648,((c_TMAP3IN)-(c_TMAP2IN))*(((K111)-(c_TMAP2IN))*((c_TMAP3OUT)-(c_TMAP2OUT))+IF(((c_TMAP3OUT)-(c_TMAP2OUT))&gt;=0,1,-1)*QUOTIENT(((c_TMAP3IN)-(c_TMAP2IN)),2)))&lt;0,-1,0),IF(IF(o_WRAP=1,MOD(((c_TMAP3IN)-(c_TMAP2IN))*(((K111)-(c_TMAP2IN))*((c_TMAP3OUT)-(c_TMAP2OUT))+IF(((c_TMAP3OUT)-(c_TMAP2OUT))&gt;=0,1,-1)*QUOTIENT(((c_TMAP3IN)-(c_TMAP2IN)),2))+2147483648,4294967296)-2147483648,((c_TMAP3IN)-(c_TMAP2IN))*(((K111)-(c_TMAP2IN))*((c_TMAP3OUT)-(c_TMAP2OUT))+IF(((c_TMAP3OUT)-(c_TMAP2OUT))&gt;=0,1,-1)*QUOTIENT(((c_TMAP3IN)-(c_TMAP2IN)),2)))&gt;=0,1,0)))</f>
        <v>49</v>
      </c>
      <c r="P111" s="7" t="n">
        <f aca="false">IF(((1000)-(c_TMAP3IN))=0,(c_TMAP3OUT)+QUOTIENT(((1000)-(c_TMAP3OUT)),2),QUOTIENT((((K111)-(c_TMAP3IN))*((1000)-(c_TMAP3OUT))+IF(((1000)-(c_TMAP3OUT))&gt;=0,1,-1)*QUOTIENT(((1000)-(c_TMAP3IN)),2)),((1000)-(c_TMAP3IN)))+(c_TMAP3OUT)+IF(((1000)-(c_TMAP3OUT))&gt;=0,IF(IF(o_WRAP=1,MOD(((1000)-(c_TMAP3IN))*(((K111)-(c_TMAP3IN))*((1000)-(c_TMAP3OUT))+IF(((1000)-(c_TMAP3OUT))&gt;=0,1,-1)*QUOTIENT(((1000)-(c_TMAP3IN)),2))+2147483648,4294967296)-2147483648,((1000)-(c_TMAP3IN))*(((K111)-(c_TMAP3IN))*((1000)-(c_TMAP3OUT))+IF(((1000)-(c_TMAP3OUT))&gt;=0,1,-1)*QUOTIENT(((1000)-(c_TMAP3IN)),2)))&lt;0,-1,0),IF(IF(o_WRAP=1,MOD(((1000)-(c_TMAP3IN))*(((K111)-(c_TMAP3IN))*((1000)-(c_TMAP3OUT))+IF(((1000)-(c_TMAP3OUT))&gt;=0,1,-1)*QUOTIENT(((1000)-(c_TMAP3IN)),2))+2147483648,4294967296)-2147483648,((1000)-(c_TMAP3IN))*(((K111)-(c_TMAP3IN))*((1000)-(c_TMAP3OUT))+IF(((1000)-(c_TMAP3OUT))&gt;=0,1,-1)*QUOTIENT(((1000)-(c_TMAP3IN)),2)))&gt;=0,1,0)))</f>
        <v>-66</v>
      </c>
      <c r="Q111" s="7" t="str">
        <f aca="false">IF(K111&gt;=c_TFWD,IF(AND(K111&gt;=c_TMAP3IN,c_TMAP3IN&lt;1000),"Seg4 map3-100%",IF(AND(K111&gt;=c_TMAP2IN,c_TMAP3IN&gt;c_TMAP2IN),"Seg3 map2-map3",IF(AND(K111&gt;=c_TMAP1IN,c_TMAP2IN&gt;c_TMAP1IN),"Seg2 map1-map2","Seg1 TFWD-map1"))),IF(AND(K111=0,c_TCREEP&gt;0),"Creep",IF(AND(K111&lt;=c_TRNGMIN,K111&gt;=c_TRNGMAX,c_TRNGMIN-c_TRNGMAX&lt;&gt;0),"Regen ramp","Coast (0)")))</f>
        <v>Seg2 map1-map2</v>
      </c>
      <c r="R111" s="7" t="n">
        <f aca="false">IF(K111&gt;=c_TFWD,IF(AND(K111&gt;=c_TMAP3IN,c_TMAP3IN&lt;1000),P111,IF(AND(K111&gt;=c_TMAP2IN,c_TMAP3IN&gt;c_TMAP2IN),O111,IF(AND(K111&gt;=c_TMAP1IN,c_TMAP2IN&gt;c_TMAP1IN),N111,M111))),L111)</f>
        <v>84</v>
      </c>
      <c r="S111" s="7" t="str">
        <f aca="false">IF(R111&lt;-1090,"TOO LOW",IF(R111&gt;1090,"TOO HIGH",""))</f>
        <v/>
      </c>
      <c r="T111" s="15" t="n">
        <f aca="false">IF(H111&lt;&gt;"OK",0,IF(S111&lt;&gt;"",0,IF(R111&gt;979,1000,R111)))</f>
        <v>84</v>
      </c>
      <c r="U111" s="7" t="n">
        <f aca="false">T111/10</f>
        <v>8.4</v>
      </c>
    </row>
    <row r="112" customFormat="false" ht="15" hidden="false" customHeight="false" outlineLevel="0" collapsed="false">
      <c r="A112" s="7" t="n">
        <v>107</v>
      </c>
      <c r="B112" s="7" t="n">
        <f aca="false">ROUND(o_SWSTART+A112*(o_SWEND-o_SWSTART)/400,0)</f>
        <v>1095</v>
      </c>
      <c r="C112" s="7" t="n">
        <f aca="false">QUOTIENT((B112-c_OFF1)*c_GAIN1,1024)</f>
        <v>1095</v>
      </c>
      <c r="D112" s="7" t="n">
        <f aca="false">IF(((c_T1MX)-(c_T1MN))=0,(0)+QUOTIENT(((1000)-(0)),2),QUOTIENT((((C112)-(c_T1MN))*((1000)-(0))+IF(((1000)-(0))&gt;=0,1,-1)*QUOTIENT(((c_T1MX)-(c_T1MN)),2)),((c_T1MX)-(c_T1MN)))+(0)+IF(((1000)-(0))&gt;=0,IF(IF(o_WRAP=1,MOD(((c_T1MX)-(c_T1MN))*(((C112)-(c_T1MN))*((1000)-(0))+IF(((1000)-(0))&gt;=0,1,-1)*QUOTIENT(((c_T1MX)-(c_T1MN)),2))+2147483648,4294967296)-2147483648,((c_T1MX)-(c_T1MN))*(((C112)-(c_T1MN))*((1000)-(0))+IF(((1000)-(0))&gt;=0,1,-1)*QUOTIENT(((c_T1MX)-(c_T1MN)),2)))&lt;0,-1,0),IF(IF(o_WRAP=1,MOD(((c_T1MX)-(c_T1MN))*(((C112)-(c_T1MN))*((1000)-(0))+IF(((1000)-(0))&gt;=0,1,-1)*QUOTIENT(((c_T1MX)-(c_T1MN)),2))+2147483648,4294967296)-2147483648,((c_T1MX)-(c_T1MN))*(((C112)-(c_T1MN))*((1000)-(0))+IF(((1000)-(0))&gt;=0,1,-1)*QUOTIENT(((c_T1MX)-(c_T1MN)),2)))&gt;=0,1,0)))</f>
        <v>138</v>
      </c>
      <c r="E112" s="7" t="n">
        <f aca="false">IF(AND(c_TPOT=1,c_TTYPE=2),1000-D112,D112)</f>
        <v>138</v>
      </c>
      <c r="F112" s="7" t="str">
        <f aca="false">IF(c_TPOT&gt;1,ROUND(IF(c_TTYPE=2,c_T2MX-IF(c_T1MX=c_T1MN,0,(C112-c_T1MN)/(c_T1MX-c_T1MN))*(c_T2MX-c_T2MN),c_T2MN+IF(c_T1MX=c_T1MN,0,(C112-c_T1MN)/(c_T1MX-c_T1MN))*(c_T2MX-c_T2MN))+o_MISMATCH,0),"")</f>
        <v/>
      </c>
      <c r="G112" s="7" t="str">
        <f aca="false">IF(c_TPOT&gt;1,IF(((c_T2MX)-(c_T2MN))=0,(0)+QUOTIENT(((1000)-(0)),2),QUOTIENT((((F112)-(c_T2MN))*((1000)-(0))+IF(((1000)-(0))&gt;=0,1,-1)*QUOTIENT(((c_T2MX)-(c_T2MN)),2)),((c_T2MX)-(c_T2MN)))+(0)+IF(((1000)-(0))&gt;=0,IF(IF(o_WRAP=1,MOD(((c_T2MX)-(c_T2MN))*(((F112)-(c_T2MN))*((1000)-(0))+IF(((1000)-(0))&gt;=0,1,-1)*QUOTIENT(((c_T2MX)-(c_T2MN)),2))+2147483648,4294967296)-2147483648,((c_T2MX)-(c_T2MN))*(((F112)-(c_T2MN))*((1000)-(0))+IF(((1000)-(0))&gt;=0,1,-1)*QUOTIENT(((c_T2MX)-(c_T2MN)),2)))&lt;0,-1,0),IF(IF(o_WRAP=1,MOD(((c_T2MX)-(c_T2MN))*(((F112)-(c_T2MN))*((1000)-(0))+IF(((1000)-(0))&gt;=0,1,-1)*QUOTIENT(((c_T2MX)-(c_T2MN)),2))+2147483648,4294967296)-2147483648,((c_T2MX)-(c_T2MN))*(((F112)-(c_T2MN))*((1000)-(0))+IF(((1000)-(0))&gt;=0,1,-1)*QUOTIENT(((c_T2MX)-(c_T2MN)),2)))&gt;=0,1,0))),"")</f>
        <v/>
      </c>
      <c r="H112" s="7" t="str">
        <f aca="false">IF(E112&gt;1000+k_TOL,"T1 HIGH",IF(E112&lt;0-k_TOL,"T1 LOW",IF(c_TPOT&gt;1,IF(G112&gt;1000+k_TOL,"T2 HIGH",IF(G112&lt;0-k_TOL,"T2 LOW",IF(c_TTYPE=2,IF(ABS(1000-MAX(0,MIN(1000,E112))-MAX(0,MIN(1000,G112)))&gt;k_MAXERR,"MISMATCH","OK"),IF(OR(MAX(0,MIN(1000,E112))-k_MAXERR&gt;MAX(0,MIN(1000,G112)),MAX(0,MIN(1000,G112))-k_MAXERR&gt;MAX(0,MIN(1000,E112))),"MISMATCH","OK")))),"OK")))</f>
        <v>OK</v>
      </c>
      <c r="I112" s="7" t="n">
        <f aca="false">MAX(0,MIN(1000,D112))</f>
        <v>138</v>
      </c>
      <c r="J112" s="7" t="str">
        <f aca="false">IF(c_TPOT&gt;1,IF(c_TTYPE=2,1000-MAX(0,MIN(1000,G112)),MAX(0,MIN(1000,G112))),"")</f>
        <v/>
      </c>
      <c r="K112" s="7" t="n">
        <f aca="false">IF(c_TPOT&gt;1,QUOTIENT(I112+J112,2),I112)</f>
        <v>138</v>
      </c>
      <c r="L112" s="7" t="n">
        <f aca="false">IF(AND(K112=0,c_TCREEP&gt;0),10*c_TCREEP,IF(AND(K112&lt;=c_TRNGMIN,K112&gt;=c_TRNGMAX,c_TRNGMIN-c_TRNGMAX&lt;&gt;0),-10*c_TMINRN+QUOTIENT((c_TMAXRN-c_TMINRN)*(100-QUOTIENT((K112-c_TRNGMAX)*100,c_TRNGMIN-c_TRNGMAX)),-10),0))</f>
        <v>0</v>
      </c>
      <c r="M112" s="7" t="n">
        <f aca="false">IF(((c_TMAP1IN)-(c_TFWD))=0,(0)+QUOTIENT(((c_TMAP1OUT)-(0)),2),QUOTIENT((((K112)-(c_TFWD))*((c_TMAP1OUT)-(0))+IF(((c_TMAP1OUT)-(0))&gt;=0,1,-1)*QUOTIENT(((c_TMAP1IN)-(c_TFWD)),2)),((c_TMAP1IN)-(c_TFWD)))+(0)+IF(((c_TMAP1OUT)-(0))&gt;=0,IF(IF(o_WRAP=1,MOD(((c_TMAP1IN)-(c_TFWD))*(((K112)-(c_TFWD))*((c_TMAP1OUT)-(0))+IF(((c_TMAP1OUT)-(0))&gt;=0,1,-1)*QUOTIENT(((c_TMAP1IN)-(c_TFWD)),2))+2147483648,4294967296)-2147483648,((c_TMAP1IN)-(c_TFWD))*(((K112)-(c_TFWD))*((c_TMAP1OUT)-(0))+IF(((c_TMAP1OUT)-(0))&gt;=0,1,-1)*QUOTIENT(((c_TMAP1IN)-(c_TFWD)),2)))&lt;0,-1,0),IF(IF(o_WRAP=1,MOD(((c_TMAP1IN)-(c_TFWD))*(((K112)-(c_TFWD))*((c_TMAP1OUT)-(0))+IF(((c_TMAP1OUT)-(0))&gt;=0,1,-1)*QUOTIENT(((c_TMAP1IN)-(c_TFWD)),2))+2147483648,4294967296)-2147483648,((c_TMAP1IN)-(c_TFWD))*(((K112)-(c_TFWD))*((c_TMAP1OUT)-(0))+IF(((c_TMAP1OUT)-(0))&gt;=0,1,-1)*QUOTIENT(((c_TMAP1IN)-(c_TFWD)),2)))&gt;=0,1,0)))</f>
        <v>100</v>
      </c>
      <c r="N112" s="7" t="n">
        <f aca="false">IF(((c_TMAP2IN)-(c_TMAP1IN))=0,(c_TMAP1OUT)+QUOTIENT(((c_TMAP2OUT)-(c_TMAP1OUT)),2),QUOTIENT((((K112)-(c_TMAP1IN))*((c_TMAP2OUT)-(c_TMAP1OUT))+IF(((c_TMAP2OUT)-(c_TMAP1OUT))&gt;=0,1,-1)*QUOTIENT(((c_TMAP2IN)-(c_TMAP1IN)),2)),((c_TMAP2IN)-(c_TMAP1IN)))+(c_TMAP1OUT)+IF(((c_TMAP2OUT)-(c_TMAP1OUT))&gt;=0,IF(IF(o_WRAP=1,MOD(((c_TMAP2IN)-(c_TMAP1IN))*(((K112)-(c_TMAP1IN))*((c_TMAP2OUT)-(c_TMAP1OUT))+IF(((c_TMAP2OUT)-(c_TMAP1OUT))&gt;=0,1,-1)*QUOTIENT(((c_TMAP2IN)-(c_TMAP1IN)),2))+2147483648,4294967296)-2147483648,((c_TMAP2IN)-(c_TMAP1IN))*(((K112)-(c_TMAP1IN))*((c_TMAP2OUT)-(c_TMAP1OUT))+IF(((c_TMAP2OUT)-(c_TMAP1OUT))&gt;=0,1,-1)*QUOTIENT(((c_TMAP2IN)-(c_TMAP1IN)),2)))&lt;0,-1,0),IF(IF(o_WRAP=1,MOD(((c_TMAP2IN)-(c_TMAP1IN))*(((K112)-(c_TMAP1IN))*((c_TMAP2OUT)-(c_TMAP1OUT))+IF(((c_TMAP2OUT)-(c_TMAP1OUT))&gt;=0,1,-1)*QUOTIENT(((c_TMAP2IN)-(c_TMAP1IN)),2))+2147483648,4294967296)-2147483648,((c_TMAP2IN)-(c_TMAP1IN))*(((K112)-(c_TMAP1IN))*((c_TMAP2OUT)-(c_TMAP1OUT))+IF(((c_TMAP2OUT)-(c_TMAP1OUT))&gt;=0,1,-1)*QUOTIENT(((c_TMAP2IN)-(c_TMAP1IN)),2)))&gt;=0,1,0)))</f>
        <v>85</v>
      </c>
      <c r="O112" s="7" t="n">
        <f aca="false">IF(((c_TMAP3IN)-(c_TMAP2IN))=0,(c_TMAP2OUT)+QUOTIENT(((c_TMAP3OUT)-(c_TMAP2OUT)),2),QUOTIENT((((K112)-(c_TMAP2IN))*((c_TMAP3OUT)-(c_TMAP2OUT))+IF(((c_TMAP3OUT)-(c_TMAP2OUT))&gt;=0,1,-1)*QUOTIENT(((c_TMAP3IN)-(c_TMAP2IN)),2)),((c_TMAP3IN)-(c_TMAP2IN)))+(c_TMAP2OUT)+IF(((c_TMAP3OUT)-(c_TMAP2OUT))&gt;=0,IF(IF(o_WRAP=1,MOD(((c_TMAP3IN)-(c_TMAP2IN))*(((K112)-(c_TMAP2IN))*((c_TMAP3OUT)-(c_TMAP2OUT))+IF(((c_TMAP3OUT)-(c_TMAP2OUT))&gt;=0,1,-1)*QUOTIENT(((c_TMAP3IN)-(c_TMAP2IN)),2))+2147483648,4294967296)-2147483648,((c_TMAP3IN)-(c_TMAP2IN))*(((K112)-(c_TMAP2IN))*((c_TMAP3OUT)-(c_TMAP2OUT))+IF(((c_TMAP3OUT)-(c_TMAP2OUT))&gt;=0,1,-1)*QUOTIENT(((c_TMAP3IN)-(c_TMAP2IN)),2)))&lt;0,-1,0),IF(IF(o_WRAP=1,MOD(((c_TMAP3IN)-(c_TMAP2IN))*(((K112)-(c_TMAP2IN))*((c_TMAP3OUT)-(c_TMAP2OUT))+IF(((c_TMAP3OUT)-(c_TMAP2OUT))&gt;=0,1,-1)*QUOTIENT(((c_TMAP3IN)-(c_TMAP2IN)),2))+2147483648,4294967296)-2147483648,((c_TMAP3IN)-(c_TMAP2IN))*(((K112)-(c_TMAP2IN))*((c_TMAP3OUT)-(c_TMAP2OUT))+IF(((c_TMAP3OUT)-(c_TMAP2OUT))&gt;=0,1,-1)*QUOTIENT(((c_TMAP3IN)-(c_TMAP2IN)),2)))&gt;=0,1,0)))</f>
        <v>52</v>
      </c>
      <c r="P112" s="7" t="n">
        <f aca="false">IF(((1000)-(c_TMAP3IN))=0,(c_TMAP3OUT)+QUOTIENT(((1000)-(c_TMAP3OUT)),2),QUOTIENT((((K112)-(c_TMAP3IN))*((1000)-(c_TMAP3OUT))+IF(((1000)-(c_TMAP3OUT))&gt;=0,1,-1)*QUOTIENT(((1000)-(c_TMAP3IN)),2)),((1000)-(c_TMAP3IN)))+(c_TMAP3OUT)+IF(((1000)-(c_TMAP3OUT))&gt;=0,IF(IF(o_WRAP=1,MOD(((1000)-(c_TMAP3IN))*(((K112)-(c_TMAP3IN))*((1000)-(c_TMAP3OUT))+IF(((1000)-(c_TMAP3OUT))&gt;=0,1,-1)*QUOTIENT(((1000)-(c_TMAP3IN)),2))+2147483648,4294967296)-2147483648,((1000)-(c_TMAP3IN))*(((K112)-(c_TMAP3IN))*((1000)-(c_TMAP3OUT))+IF(((1000)-(c_TMAP3OUT))&gt;=0,1,-1)*QUOTIENT(((1000)-(c_TMAP3IN)),2)))&lt;0,-1,0),IF(IF(o_WRAP=1,MOD(((1000)-(c_TMAP3IN))*(((K112)-(c_TMAP3IN))*((1000)-(c_TMAP3OUT))+IF(((1000)-(c_TMAP3OUT))&gt;=0,1,-1)*QUOTIENT(((1000)-(c_TMAP3IN)),2))+2147483648,4294967296)-2147483648,((1000)-(c_TMAP3IN))*(((K112)-(c_TMAP3IN))*((1000)-(c_TMAP3OUT))+IF(((1000)-(c_TMAP3OUT))&gt;=0,1,-1)*QUOTIENT(((1000)-(c_TMAP3IN)),2)))&gt;=0,1,0)))</f>
        <v>-61</v>
      </c>
      <c r="Q112" s="7" t="str">
        <f aca="false">IF(K112&gt;=c_TFWD,IF(AND(K112&gt;=c_TMAP3IN,c_TMAP3IN&lt;1000),"Seg4 map3-100%",IF(AND(K112&gt;=c_TMAP2IN,c_TMAP3IN&gt;c_TMAP2IN),"Seg3 map2-map3",IF(AND(K112&gt;=c_TMAP1IN,c_TMAP2IN&gt;c_TMAP1IN),"Seg2 map1-map2","Seg1 TFWD-map1"))),IF(AND(K112=0,c_TCREEP&gt;0),"Creep",IF(AND(K112&lt;=c_TRNGMIN,K112&gt;=c_TRNGMAX,c_TRNGMIN-c_TRNGMAX&lt;&gt;0),"Regen ramp","Coast (0)")))</f>
        <v>Seg2 map1-map2</v>
      </c>
      <c r="R112" s="7" t="n">
        <f aca="false">IF(K112&gt;=c_TFWD,IF(AND(K112&gt;=c_TMAP3IN,c_TMAP3IN&lt;1000),P112,IF(AND(K112&gt;=c_TMAP2IN,c_TMAP3IN&gt;c_TMAP2IN),O112,IF(AND(K112&gt;=c_TMAP1IN,c_TMAP2IN&gt;c_TMAP1IN),N112,M112))),L112)</f>
        <v>85</v>
      </c>
      <c r="S112" s="7" t="str">
        <f aca="false">IF(R112&lt;-1090,"TOO LOW",IF(R112&gt;1090,"TOO HIGH",""))</f>
        <v/>
      </c>
      <c r="T112" s="15" t="n">
        <f aca="false">IF(H112&lt;&gt;"OK",0,IF(S112&lt;&gt;"",0,IF(R112&gt;979,1000,R112)))</f>
        <v>85</v>
      </c>
      <c r="U112" s="7" t="n">
        <f aca="false">T112/10</f>
        <v>8.5</v>
      </c>
    </row>
    <row r="113" customFormat="false" ht="15" hidden="false" customHeight="false" outlineLevel="0" collapsed="false">
      <c r="A113" s="7" t="n">
        <v>108</v>
      </c>
      <c r="B113" s="7" t="n">
        <f aca="false">ROUND(o_SWSTART+A113*(o_SWEND-o_SWSTART)/400,0)</f>
        <v>1106</v>
      </c>
      <c r="C113" s="7" t="n">
        <f aca="false">QUOTIENT((B113-c_OFF1)*c_GAIN1,1024)</f>
        <v>1106</v>
      </c>
      <c r="D113" s="7" t="n">
        <f aca="false">IF(((c_T1MX)-(c_T1MN))=0,(0)+QUOTIENT(((1000)-(0)),2),QUOTIENT((((C113)-(c_T1MN))*((1000)-(0))+IF(((1000)-(0))&gt;=0,1,-1)*QUOTIENT(((c_T1MX)-(c_T1MN)),2)),((c_T1MX)-(c_T1MN)))+(0)+IF(((1000)-(0))&gt;=0,IF(IF(o_WRAP=1,MOD(((c_T1MX)-(c_T1MN))*(((C113)-(c_T1MN))*((1000)-(0))+IF(((1000)-(0))&gt;=0,1,-1)*QUOTIENT(((c_T1MX)-(c_T1MN)),2))+2147483648,4294967296)-2147483648,((c_T1MX)-(c_T1MN))*(((C113)-(c_T1MN))*((1000)-(0))+IF(((1000)-(0))&gt;=0,1,-1)*QUOTIENT(((c_T1MX)-(c_T1MN)),2)))&lt;0,-1,0),IF(IF(o_WRAP=1,MOD(((c_T1MX)-(c_T1MN))*(((C113)-(c_T1MN))*((1000)-(0))+IF(((1000)-(0))&gt;=0,1,-1)*QUOTIENT(((c_T1MX)-(c_T1MN)),2))+2147483648,4294967296)-2147483648,((c_T1MX)-(c_T1MN))*(((C113)-(c_T1MN))*((1000)-(0))+IF(((1000)-(0))&gt;=0,1,-1)*QUOTIENT(((c_T1MX)-(c_T1MN)),2)))&gt;=0,1,0)))</f>
        <v>142</v>
      </c>
      <c r="E113" s="7" t="n">
        <f aca="false">IF(AND(c_TPOT=1,c_TTYPE=2),1000-D113,D113)</f>
        <v>142</v>
      </c>
      <c r="F113" s="7" t="str">
        <f aca="false">IF(c_TPOT&gt;1,ROUND(IF(c_TTYPE=2,c_T2MX-IF(c_T1MX=c_T1MN,0,(C113-c_T1MN)/(c_T1MX-c_T1MN))*(c_T2MX-c_T2MN),c_T2MN+IF(c_T1MX=c_T1MN,0,(C113-c_T1MN)/(c_T1MX-c_T1MN))*(c_T2MX-c_T2MN))+o_MISMATCH,0),"")</f>
        <v/>
      </c>
      <c r="G113" s="7" t="str">
        <f aca="false">IF(c_TPOT&gt;1,IF(((c_T2MX)-(c_T2MN))=0,(0)+QUOTIENT(((1000)-(0)),2),QUOTIENT((((F113)-(c_T2MN))*((1000)-(0))+IF(((1000)-(0))&gt;=0,1,-1)*QUOTIENT(((c_T2MX)-(c_T2MN)),2)),((c_T2MX)-(c_T2MN)))+(0)+IF(((1000)-(0))&gt;=0,IF(IF(o_WRAP=1,MOD(((c_T2MX)-(c_T2MN))*(((F113)-(c_T2MN))*((1000)-(0))+IF(((1000)-(0))&gt;=0,1,-1)*QUOTIENT(((c_T2MX)-(c_T2MN)),2))+2147483648,4294967296)-2147483648,((c_T2MX)-(c_T2MN))*(((F113)-(c_T2MN))*((1000)-(0))+IF(((1000)-(0))&gt;=0,1,-1)*QUOTIENT(((c_T2MX)-(c_T2MN)),2)))&lt;0,-1,0),IF(IF(o_WRAP=1,MOD(((c_T2MX)-(c_T2MN))*(((F113)-(c_T2MN))*((1000)-(0))+IF(((1000)-(0))&gt;=0,1,-1)*QUOTIENT(((c_T2MX)-(c_T2MN)),2))+2147483648,4294967296)-2147483648,((c_T2MX)-(c_T2MN))*(((F113)-(c_T2MN))*((1000)-(0))+IF(((1000)-(0))&gt;=0,1,-1)*QUOTIENT(((c_T2MX)-(c_T2MN)),2)))&gt;=0,1,0))),"")</f>
        <v/>
      </c>
      <c r="H113" s="7" t="str">
        <f aca="false">IF(E113&gt;1000+k_TOL,"T1 HIGH",IF(E113&lt;0-k_TOL,"T1 LOW",IF(c_TPOT&gt;1,IF(G113&gt;1000+k_TOL,"T2 HIGH",IF(G113&lt;0-k_TOL,"T2 LOW",IF(c_TTYPE=2,IF(ABS(1000-MAX(0,MIN(1000,E113))-MAX(0,MIN(1000,G113)))&gt;k_MAXERR,"MISMATCH","OK"),IF(OR(MAX(0,MIN(1000,E113))-k_MAXERR&gt;MAX(0,MIN(1000,G113)),MAX(0,MIN(1000,G113))-k_MAXERR&gt;MAX(0,MIN(1000,E113))),"MISMATCH","OK")))),"OK")))</f>
        <v>OK</v>
      </c>
      <c r="I113" s="7" t="n">
        <f aca="false">MAX(0,MIN(1000,D113))</f>
        <v>142</v>
      </c>
      <c r="J113" s="7" t="str">
        <f aca="false">IF(c_TPOT&gt;1,IF(c_TTYPE=2,1000-MAX(0,MIN(1000,G113)),MAX(0,MIN(1000,G113))),"")</f>
        <v/>
      </c>
      <c r="K113" s="7" t="n">
        <f aca="false">IF(c_TPOT&gt;1,QUOTIENT(I113+J113,2),I113)</f>
        <v>142</v>
      </c>
      <c r="L113" s="7" t="n">
        <f aca="false">IF(AND(K113=0,c_TCREEP&gt;0),10*c_TCREEP,IF(AND(K113&lt;=c_TRNGMIN,K113&gt;=c_TRNGMAX,c_TRNGMIN-c_TRNGMAX&lt;&gt;0),-10*c_TMINRN+QUOTIENT((c_TMAXRN-c_TMINRN)*(100-QUOTIENT((K113-c_TRNGMAX)*100,c_TRNGMIN-c_TRNGMAX)),-10),0))</f>
        <v>0</v>
      </c>
      <c r="M113" s="7" t="n">
        <f aca="false">IF(((c_TMAP1IN)-(c_TFWD))=0,(0)+QUOTIENT(((c_TMAP1OUT)-(0)),2),QUOTIENT((((K113)-(c_TFWD))*((c_TMAP1OUT)-(0))+IF(((c_TMAP1OUT)-(0))&gt;=0,1,-1)*QUOTIENT(((c_TMAP1IN)-(c_TFWD)),2)),((c_TMAP1IN)-(c_TFWD)))+(0)+IF(((c_TMAP1OUT)-(0))&gt;=0,IF(IF(o_WRAP=1,MOD(((c_TMAP1IN)-(c_TFWD))*(((K113)-(c_TFWD))*((c_TMAP1OUT)-(0))+IF(((c_TMAP1OUT)-(0))&gt;=0,1,-1)*QUOTIENT(((c_TMAP1IN)-(c_TFWD)),2))+2147483648,4294967296)-2147483648,((c_TMAP1IN)-(c_TFWD))*(((K113)-(c_TFWD))*((c_TMAP1OUT)-(0))+IF(((c_TMAP1OUT)-(0))&gt;=0,1,-1)*QUOTIENT(((c_TMAP1IN)-(c_TFWD)),2)))&lt;0,-1,0),IF(IF(o_WRAP=1,MOD(((c_TMAP1IN)-(c_TFWD))*(((K113)-(c_TFWD))*((c_TMAP1OUT)-(0))+IF(((c_TMAP1OUT)-(0))&gt;=0,1,-1)*QUOTIENT(((c_TMAP1IN)-(c_TFWD)),2))+2147483648,4294967296)-2147483648,((c_TMAP1IN)-(c_TFWD))*(((K113)-(c_TFWD))*((c_TMAP1OUT)-(0))+IF(((c_TMAP1OUT)-(0))&gt;=0,1,-1)*QUOTIENT(((c_TMAP1IN)-(c_TFWD)),2)))&gt;=0,1,0)))</f>
        <v>103</v>
      </c>
      <c r="N113" s="7" t="n">
        <f aca="false">IF(((c_TMAP2IN)-(c_TMAP1IN))=0,(c_TMAP1OUT)+QUOTIENT(((c_TMAP2OUT)-(c_TMAP1OUT)),2),QUOTIENT((((K113)-(c_TMAP1IN))*((c_TMAP2OUT)-(c_TMAP1OUT))+IF(((c_TMAP2OUT)-(c_TMAP1OUT))&gt;=0,1,-1)*QUOTIENT(((c_TMAP2IN)-(c_TMAP1IN)),2)),((c_TMAP2IN)-(c_TMAP1IN)))+(c_TMAP1OUT)+IF(((c_TMAP2OUT)-(c_TMAP1OUT))&gt;=0,IF(IF(o_WRAP=1,MOD(((c_TMAP2IN)-(c_TMAP1IN))*(((K113)-(c_TMAP1IN))*((c_TMAP2OUT)-(c_TMAP1OUT))+IF(((c_TMAP2OUT)-(c_TMAP1OUT))&gt;=0,1,-1)*QUOTIENT(((c_TMAP2IN)-(c_TMAP1IN)),2))+2147483648,4294967296)-2147483648,((c_TMAP2IN)-(c_TMAP1IN))*(((K113)-(c_TMAP1IN))*((c_TMAP2OUT)-(c_TMAP1OUT))+IF(((c_TMAP2OUT)-(c_TMAP1OUT))&gt;=0,1,-1)*QUOTIENT(((c_TMAP2IN)-(c_TMAP1IN)),2)))&lt;0,-1,0),IF(IF(o_WRAP=1,MOD(((c_TMAP2IN)-(c_TMAP1IN))*(((K113)-(c_TMAP1IN))*((c_TMAP2OUT)-(c_TMAP1OUT))+IF(((c_TMAP2OUT)-(c_TMAP1OUT))&gt;=0,1,-1)*QUOTIENT(((c_TMAP2IN)-(c_TMAP1IN)),2))+2147483648,4294967296)-2147483648,((c_TMAP2IN)-(c_TMAP1IN))*(((K113)-(c_TMAP1IN))*((c_TMAP2OUT)-(c_TMAP1OUT))+IF(((c_TMAP2OUT)-(c_TMAP1OUT))&gt;=0,1,-1)*QUOTIENT(((c_TMAP2IN)-(c_TMAP1IN)),2)))&gt;=0,1,0)))</f>
        <v>87</v>
      </c>
      <c r="O113" s="7" t="n">
        <f aca="false">IF(((c_TMAP3IN)-(c_TMAP2IN))=0,(c_TMAP2OUT)+QUOTIENT(((c_TMAP3OUT)-(c_TMAP2OUT)),2),QUOTIENT((((K113)-(c_TMAP2IN))*((c_TMAP3OUT)-(c_TMAP2OUT))+IF(((c_TMAP3OUT)-(c_TMAP2OUT))&gt;=0,1,-1)*QUOTIENT(((c_TMAP3IN)-(c_TMAP2IN)),2)),((c_TMAP3IN)-(c_TMAP2IN)))+(c_TMAP2OUT)+IF(((c_TMAP3OUT)-(c_TMAP2OUT))&gt;=0,IF(IF(o_WRAP=1,MOD(((c_TMAP3IN)-(c_TMAP2IN))*(((K113)-(c_TMAP2IN))*((c_TMAP3OUT)-(c_TMAP2OUT))+IF(((c_TMAP3OUT)-(c_TMAP2OUT))&gt;=0,1,-1)*QUOTIENT(((c_TMAP3IN)-(c_TMAP2IN)),2))+2147483648,4294967296)-2147483648,((c_TMAP3IN)-(c_TMAP2IN))*(((K113)-(c_TMAP2IN))*((c_TMAP3OUT)-(c_TMAP2OUT))+IF(((c_TMAP3OUT)-(c_TMAP2OUT))&gt;=0,1,-1)*QUOTIENT(((c_TMAP3IN)-(c_TMAP2IN)),2)))&lt;0,-1,0),IF(IF(o_WRAP=1,MOD(((c_TMAP3IN)-(c_TMAP2IN))*(((K113)-(c_TMAP2IN))*((c_TMAP3OUT)-(c_TMAP2OUT))+IF(((c_TMAP3OUT)-(c_TMAP2OUT))&gt;=0,1,-1)*QUOTIENT(((c_TMAP3IN)-(c_TMAP2IN)),2))+2147483648,4294967296)-2147483648,((c_TMAP3IN)-(c_TMAP2IN))*(((K113)-(c_TMAP2IN))*((c_TMAP3OUT)-(c_TMAP2OUT))+IF(((c_TMAP3OUT)-(c_TMAP2OUT))&gt;=0,1,-1)*QUOTIENT(((c_TMAP3IN)-(c_TMAP2IN)),2)))&gt;=0,1,0)))</f>
        <v>54</v>
      </c>
      <c r="P113" s="7" t="n">
        <f aca="false">IF(((1000)-(c_TMAP3IN))=0,(c_TMAP3OUT)+QUOTIENT(((1000)-(c_TMAP3OUT)),2),QUOTIENT((((K113)-(c_TMAP3IN))*((1000)-(c_TMAP3OUT))+IF(((1000)-(c_TMAP3OUT))&gt;=0,1,-1)*QUOTIENT(((1000)-(c_TMAP3IN)),2)),((1000)-(c_TMAP3IN)))+(c_TMAP3OUT)+IF(((1000)-(c_TMAP3OUT))&gt;=0,IF(IF(o_WRAP=1,MOD(((1000)-(c_TMAP3IN))*(((K113)-(c_TMAP3IN))*((1000)-(c_TMAP3OUT))+IF(((1000)-(c_TMAP3OUT))&gt;=0,1,-1)*QUOTIENT(((1000)-(c_TMAP3IN)),2))+2147483648,4294967296)-2147483648,((1000)-(c_TMAP3IN))*(((K113)-(c_TMAP3IN))*((1000)-(c_TMAP3OUT))+IF(((1000)-(c_TMAP3OUT))&gt;=0,1,-1)*QUOTIENT(((1000)-(c_TMAP3IN)),2)))&lt;0,-1,0),IF(IF(o_WRAP=1,MOD(((1000)-(c_TMAP3IN))*(((K113)-(c_TMAP3IN))*((1000)-(c_TMAP3OUT))+IF(((1000)-(c_TMAP3OUT))&gt;=0,1,-1)*QUOTIENT(((1000)-(c_TMAP3IN)),2))+2147483648,4294967296)-2147483648,((1000)-(c_TMAP3IN))*(((K113)-(c_TMAP3IN))*((1000)-(c_TMAP3OUT))+IF(((1000)-(c_TMAP3OUT))&gt;=0,1,-1)*QUOTIENT(((1000)-(c_TMAP3IN)),2)))&gt;=0,1,0)))</f>
        <v>-56</v>
      </c>
      <c r="Q113" s="7" t="str">
        <f aca="false">IF(K113&gt;=c_TFWD,IF(AND(K113&gt;=c_TMAP3IN,c_TMAP3IN&lt;1000),"Seg4 map3-100%",IF(AND(K113&gt;=c_TMAP2IN,c_TMAP3IN&gt;c_TMAP2IN),"Seg3 map2-map3",IF(AND(K113&gt;=c_TMAP1IN,c_TMAP2IN&gt;c_TMAP1IN),"Seg2 map1-map2","Seg1 TFWD-map1"))),IF(AND(K113=0,c_TCREEP&gt;0),"Creep",IF(AND(K113&lt;=c_TRNGMIN,K113&gt;=c_TRNGMAX,c_TRNGMIN-c_TRNGMAX&lt;&gt;0),"Regen ramp","Coast (0)")))</f>
        <v>Seg2 map1-map2</v>
      </c>
      <c r="R113" s="7" t="n">
        <f aca="false">IF(K113&gt;=c_TFWD,IF(AND(K113&gt;=c_TMAP3IN,c_TMAP3IN&lt;1000),P113,IF(AND(K113&gt;=c_TMAP2IN,c_TMAP3IN&gt;c_TMAP2IN),O113,IF(AND(K113&gt;=c_TMAP1IN,c_TMAP2IN&gt;c_TMAP1IN),N113,M113))),L113)</f>
        <v>87</v>
      </c>
      <c r="S113" s="7" t="str">
        <f aca="false">IF(R113&lt;-1090,"TOO LOW",IF(R113&gt;1090,"TOO HIGH",""))</f>
        <v/>
      </c>
      <c r="T113" s="15" t="n">
        <f aca="false">IF(H113&lt;&gt;"OK",0,IF(S113&lt;&gt;"",0,IF(R113&gt;979,1000,R113)))</f>
        <v>87</v>
      </c>
      <c r="U113" s="7" t="n">
        <f aca="false">T113/10</f>
        <v>8.7</v>
      </c>
    </row>
    <row r="114" customFormat="false" ht="15" hidden="false" customHeight="false" outlineLevel="0" collapsed="false">
      <c r="A114" s="7" t="n">
        <v>109</v>
      </c>
      <c r="B114" s="7" t="n">
        <f aca="false">ROUND(o_SWSTART+A114*(o_SWEND-o_SWSTART)/400,0)</f>
        <v>1116</v>
      </c>
      <c r="C114" s="7" t="n">
        <f aca="false">QUOTIENT((B114-c_OFF1)*c_GAIN1,1024)</f>
        <v>1116</v>
      </c>
      <c r="D114" s="7" t="n">
        <f aca="false">IF(((c_T1MX)-(c_T1MN))=0,(0)+QUOTIENT(((1000)-(0)),2),QUOTIENT((((C114)-(c_T1MN))*((1000)-(0))+IF(((1000)-(0))&gt;=0,1,-1)*QUOTIENT(((c_T1MX)-(c_T1MN)),2)),((c_T1MX)-(c_T1MN)))+(0)+IF(((1000)-(0))&gt;=0,IF(IF(o_WRAP=1,MOD(((c_T1MX)-(c_T1MN))*(((C114)-(c_T1MN))*((1000)-(0))+IF(((1000)-(0))&gt;=0,1,-1)*QUOTIENT(((c_T1MX)-(c_T1MN)),2))+2147483648,4294967296)-2147483648,((c_T1MX)-(c_T1MN))*(((C114)-(c_T1MN))*((1000)-(0))+IF(((1000)-(0))&gt;=0,1,-1)*QUOTIENT(((c_T1MX)-(c_T1MN)),2)))&lt;0,-1,0),IF(IF(o_WRAP=1,MOD(((c_T1MX)-(c_T1MN))*(((C114)-(c_T1MN))*((1000)-(0))+IF(((1000)-(0))&gt;=0,1,-1)*QUOTIENT(((c_T1MX)-(c_T1MN)),2))+2147483648,4294967296)-2147483648,((c_T1MX)-(c_T1MN))*(((C114)-(c_T1MN))*((1000)-(0))+IF(((1000)-(0))&gt;=0,1,-1)*QUOTIENT(((c_T1MX)-(c_T1MN)),2)))&gt;=0,1,0)))</f>
        <v>145</v>
      </c>
      <c r="E114" s="7" t="n">
        <f aca="false">IF(AND(c_TPOT=1,c_TTYPE=2),1000-D114,D114)</f>
        <v>145</v>
      </c>
      <c r="F114" s="7" t="str">
        <f aca="false">IF(c_TPOT&gt;1,ROUND(IF(c_TTYPE=2,c_T2MX-IF(c_T1MX=c_T1MN,0,(C114-c_T1MN)/(c_T1MX-c_T1MN))*(c_T2MX-c_T2MN),c_T2MN+IF(c_T1MX=c_T1MN,0,(C114-c_T1MN)/(c_T1MX-c_T1MN))*(c_T2MX-c_T2MN))+o_MISMATCH,0),"")</f>
        <v/>
      </c>
      <c r="G114" s="7" t="str">
        <f aca="false">IF(c_TPOT&gt;1,IF(((c_T2MX)-(c_T2MN))=0,(0)+QUOTIENT(((1000)-(0)),2),QUOTIENT((((F114)-(c_T2MN))*((1000)-(0))+IF(((1000)-(0))&gt;=0,1,-1)*QUOTIENT(((c_T2MX)-(c_T2MN)),2)),((c_T2MX)-(c_T2MN)))+(0)+IF(((1000)-(0))&gt;=0,IF(IF(o_WRAP=1,MOD(((c_T2MX)-(c_T2MN))*(((F114)-(c_T2MN))*((1000)-(0))+IF(((1000)-(0))&gt;=0,1,-1)*QUOTIENT(((c_T2MX)-(c_T2MN)),2))+2147483648,4294967296)-2147483648,((c_T2MX)-(c_T2MN))*(((F114)-(c_T2MN))*((1000)-(0))+IF(((1000)-(0))&gt;=0,1,-1)*QUOTIENT(((c_T2MX)-(c_T2MN)),2)))&lt;0,-1,0),IF(IF(o_WRAP=1,MOD(((c_T2MX)-(c_T2MN))*(((F114)-(c_T2MN))*((1000)-(0))+IF(((1000)-(0))&gt;=0,1,-1)*QUOTIENT(((c_T2MX)-(c_T2MN)),2))+2147483648,4294967296)-2147483648,((c_T2MX)-(c_T2MN))*(((F114)-(c_T2MN))*((1000)-(0))+IF(((1000)-(0))&gt;=0,1,-1)*QUOTIENT(((c_T2MX)-(c_T2MN)),2)))&gt;=0,1,0))),"")</f>
        <v/>
      </c>
      <c r="H114" s="7" t="str">
        <f aca="false">IF(E114&gt;1000+k_TOL,"T1 HIGH",IF(E114&lt;0-k_TOL,"T1 LOW",IF(c_TPOT&gt;1,IF(G114&gt;1000+k_TOL,"T2 HIGH",IF(G114&lt;0-k_TOL,"T2 LOW",IF(c_TTYPE=2,IF(ABS(1000-MAX(0,MIN(1000,E114))-MAX(0,MIN(1000,G114)))&gt;k_MAXERR,"MISMATCH","OK"),IF(OR(MAX(0,MIN(1000,E114))-k_MAXERR&gt;MAX(0,MIN(1000,G114)),MAX(0,MIN(1000,G114))-k_MAXERR&gt;MAX(0,MIN(1000,E114))),"MISMATCH","OK")))),"OK")))</f>
        <v>OK</v>
      </c>
      <c r="I114" s="7" t="n">
        <f aca="false">MAX(0,MIN(1000,D114))</f>
        <v>145</v>
      </c>
      <c r="J114" s="7" t="str">
        <f aca="false">IF(c_TPOT&gt;1,IF(c_TTYPE=2,1000-MAX(0,MIN(1000,G114)),MAX(0,MIN(1000,G114))),"")</f>
        <v/>
      </c>
      <c r="K114" s="7" t="n">
        <f aca="false">IF(c_TPOT&gt;1,QUOTIENT(I114+J114,2),I114)</f>
        <v>145</v>
      </c>
      <c r="L114" s="7" t="n">
        <f aca="false">IF(AND(K114=0,c_TCREEP&gt;0),10*c_TCREEP,IF(AND(K114&lt;=c_TRNGMIN,K114&gt;=c_TRNGMAX,c_TRNGMIN-c_TRNGMAX&lt;&gt;0),-10*c_TMINRN+QUOTIENT((c_TMAXRN-c_TMINRN)*(100-QUOTIENT((K114-c_TRNGMAX)*100,c_TRNGMIN-c_TRNGMAX)),-10),0))</f>
        <v>0</v>
      </c>
      <c r="M114" s="7" t="n">
        <f aca="false">IF(((c_TMAP1IN)-(c_TFWD))=0,(0)+QUOTIENT(((c_TMAP1OUT)-(0)),2),QUOTIENT((((K114)-(c_TFWD))*((c_TMAP1OUT)-(0))+IF(((c_TMAP1OUT)-(0))&gt;=0,1,-1)*QUOTIENT(((c_TMAP1IN)-(c_TFWD)),2)),((c_TMAP1IN)-(c_TFWD)))+(0)+IF(((c_TMAP1OUT)-(0))&gt;=0,IF(IF(o_WRAP=1,MOD(((c_TMAP1IN)-(c_TFWD))*(((K114)-(c_TFWD))*((c_TMAP1OUT)-(0))+IF(((c_TMAP1OUT)-(0))&gt;=0,1,-1)*QUOTIENT(((c_TMAP1IN)-(c_TFWD)),2))+2147483648,4294967296)-2147483648,((c_TMAP1IN)-(c_TFWD))*(((K114)-(c_TFWD))*((c_TMAP1OUT)-(0))+IF(((c_TMAP1OUT)-(0))&gt;=0,1,-1)*QUOTIENT(((c_TMAP1IN)-(c_TFWD)),2)))&lt;0,-1,0),IF(IF(o_WRAP=1,MOD(((c_TMAP1IN)-(c_TFWD))*(((K114)-(c_TFWD))*((c_TMAP1OUT)-(0))+IF(((c_TMAP1OUT)-(0))&gt;=0,1,-1)*QUOTIENT(((c_TMAP1IN)-(c_TFWD)),2))+2147483648,4294967296)-2147483648,((c_TMAP1IN)-(c_TFWD))*(((K114)-(c_TFWD))*((c_TMAP1OUT)-(0))+IF(((c_TMAP1OUT)-(0))&gt;=0,1,-1)*QUOTIENT(((c_TMAP1IN)-(c_TFWD)),2)))&gt;=0,1,0)))</f>
        <v>105</v>
      </c>
      <c r="N114" s="7" t="n">
        <f aca="false">IF(((c_TMAP2IN)-(c_TMAP1IN))=0,(c_TMAP1OUT)+QUOTIENT(((c_TMAP2OUT)-(c_TMAP1OUT)),2),QUOTIENT((((K114)-(c_TMAP1IN))*((c_TMAP2OUT)-(c_TMAP1OUT))+IF(((c_TMAP2OUT)-(c_TMAP1OUT))&gt;=0,1,-1)*QUOTIENT(((c_TMAP2IN)-(c_TMAP1IN)),2)),((c_TMAP2IN)-(c_TMAP1IN)))+(c_TMAP1OUT)+IF(((c_TMAP2OUT)-(c_TMAP1OUT))&gt;=0,IF(IF(o_WRAP=1,MOD(((c_TMAP2IN)-(c_TMAP1IN))*(((K114)-(c_TMAP1IN))*((c_TMAP2OUT)-(c_TMAP1OUT))+IF(((c_TMAP2OUT)-(c_TMAP1OUT))&gt;=0,1,-1)*QUOTIENT(((c_TMAP2IN)-(c_TMAP1IN)),2))+2147483648,4294967296)-2147483648,((c_TMAP2IN)-(c_TMAP1IN))*(((K114)-(c_TMAP1IN))*((c_TMAP2OUT)-(c_TMAP1OUT))+IF(((c_TMAP2OUT)-(c_TMAP1OUT))&gt;=0,1,-1)*QUOTIENT(((c_TMAP2IN)-(c_TMAP1IN)),2)))&lt;0,-1,0),IF(IF(o_WRAP=1,MOD(((c_TMAP2IN)-(c_TMAP1IN))*(((K114)-(c_TMAP1IN))*((c_TMAP2OUT)-(c_TMAP1OUT))+IF(((c_TMAP2OUT)-(c_TMAP1OUT))&gt;=0,1,-1)*QUOTIENT(((c_TMAP2IN)-(c_TMAP1IN)),2))+2147483648,4294967296)-2147483648,((c_TMAP2IN)-(c_TMAP1IN))*(((K114)-(c_TMAP1IN))*((c_TMAP2OUT)-(c_TMAP1OUT))+IF(((c_TMAP2OUT)-(c_TMAP1OUT))&gt;=0,1,-1)*QUOTIENT(((c_TMAP2IN)-(c_TMAP1IN)),2)))&gt;=0,1,0)))</f>
        <v>88</v>
      </c>
      <c r="O114" s="7" t="n">
        <f aca="false">IF(((c_TMAP3IN)-(c_TMAP2IN))=0,(c_TMAP2OUT)+QUOTIENT(((c_TMAP3OUT)-(c_TMAP2OUT)),2),QUOTIENT((((K114)-(c_TMAP2IN))*((c_TMAP3OUT)-(c_TMAP2OUT))+IF(((c_TMAP3OUT)-(c_TMAP2OUT))&gt;=0,1,-1)*QUOTIENT(((c_TMAP3IN)-(c_TMAP2IN)),2)),((c_TMAP3IN)-(c_TMAP2IN)))+(c_TMAP2OUT)+IF(((c_TMAP3OUT)-(c_TMAP2OUT))&gt;=0,IF(IF(o_WRAP=1,MOD(((c_TMAP3IN)-(c_TMAP2IN))*(((K114)-(c_TMAP2IN))*((c_TMAP3OUT)-(c_TMAP2OUT))+IF(((c_TMAP3OUT)-(c_TMAP2OUT))&gt;=0,1,-1)*QUOTIENT(((c_TMAP3IN)-(c_TMAP2IN)),2))+2147483648,4294967296)-2147483648,((c_TMAP3IN)-(c_TMAP2IN))*(((K114)-(c_TMAP2IN))*((c_TMAP3OUT)-(c_TMAP2OUT))+IF(((c_TMAP3OUT)-(c_TMAP2OUT))&gt;=0,1,-1)*QUOTIENT(((c_TMAP3IN)-(c_TMAP2IN)),2)))&lt;0,-1,0),IF(IF(o_WRAP=1,MOD(((c_TMAP3IN)-(c_TMAP2IN))*(((K114)-(c_TMAP2IN))*((c_TMAP3OUT)-(c_TMAP2OUT))+IF(((c_TMAP3OUT)-(c_TMAP2OUT))&gt;=0,1,-1)*QUOTIENT(((c_TMAP3IN)-(c_TMAP2IN)),2))+2147483648,4294967296)-2147483648,((c_TMAP3IN)-(c_TMAP2IN))*(((K114)-(c_TMAP2IN))*((c_TMAP3OUT)-(c_TMAP2OUT))+IF(((c_TMAP3OUT)-(c_TMAP2OUT))&gt;=0,1,-1)*QUOTIENT(((c_TMAP3IN)-(c_TMAP2IN)),2)))&gt;=0,1,0)))</f>
        <v>56</v>
      </c>
      <c r="P114" s="7" t="n">
        <f aca="false">IF(((1000)-(c_TMAP3IN))=0,(c_TMAP3OUT)+QUOTIENT(((1000)-(c_TMAP3OUT)),2),QUOTIENT((((K114)-(c_TMAP3IN))*((1000)-(c_TMAP3OUT))+IF(((1000)-(c_TMAP3OUT))&gt;=0,1,-1)*QUOTIENT(((1000)-(c_TMAP3IN)),2)),((1000)-(c_TMAP3IN)))+(c_TMAP3OUT)+IF(((1000)-(c_TMAP3OUT))&gt;=0,IF(IF(o_WRAP=1,MOD(((1000)-(c_TMAP3IN))*(((K114)-(c_TMAP3IN))*((1000)-(c_TMAP3OUT))+IF(((1000)-(c_TMAP3OUT))&gt;=0,1,-1)*QUOTIENT(((1000)-(c_TMAP3IN)),2))+2147483648,4294967296)-2147483648,((1000)-(c_TMAP3IN))*(((K114)-(c_TMAP3IN))*((1000)-(c_TMAP3OUT))+IF(((1000)-(c_TMAP3OUT))&gt;=0,1,-1)*QUOTIENT(((1000)-(c_TMAP3IN)),2)))&lt;0,-1,0),IF(IF(o_WRAP=1,MOD(((1000)-(c_TMAP3IN))*(((K114)-(c_TMAP3IN))*((1000)-(c_TMAP3OUT))+IF(((1000)-(c_TMAP3OUT))&gt;=0,1,-1)*QUOTIENT(((1000)-(c_TMAP3IN)),2))+2147483648,4294967296)-2147483648,((1000)-(c_TMAP3IN))*(((K114)-(c_TMAP3IN))*((1000)-(c_TMAP3OUT))+IF(((1000)-(c_TMAP3OUT))&gt;=0,1,-1)*QUOTIENT(((1000)-(c_TMAP3IN)),2)))&gt;=0,1,0)))</f>
        <v>-52</v>
      </c>
      <c r="Q114" s="7" t="str">
        <f aca="false">IF(K114&gt;=c_TFWD,IF(AND(K114&gt;=c_TMAP3IN,c_TMAP3IN&lt;1000),"Seg4 map3-100%",IF(AND(K114&gt;=c_TMAP2IN,c_TMAP3IN&gt;c_TMAP2IN),"Seg3 map2-map3",IF(AND(K114&gt;=c_TMAP1IN,c_TMAP2IN&gt;c_TMAP1IN),"Seg2 map1-map2","Seg1 TFWD-map1"))),IF(AND(K114=0,c_TCREEP&gt;0),"Creep",IF(AND(K114&lt;=c_TRNGMIN,K114&gt;=c_TRNGMAX,c_TRNGMIN-c_TRNGMAX&lt;&gt;0),"Regen ramp","Coast (0)")))</f>
        <v>Seg2 map1-map2</v>
      </c>
      <c r="R114" s="7" t="n">
        <f aca="false">IF(K114&gt;=c_TFWD,IF(AND(K114&gt;=c_TMAP3IN,c_TMAP3IN&lt;1000),P114,IF(AND(K114&gt;=c_TMAP2IN,c_TMAP3IN&gt;c_TMAP2IN),O114,IF(AND(K114&gt;=c_TMAP1IN,c_TMAP2IN&gt;c_TMAP1IN),N114,M114))),L114)</f>
        <v>88</v>
      </c>
      <c r="S114" s="7" t="str">
        <f aca="false">IF(R114&lt;-1090,"TOO LOW",IF(R114&gt;1090,"TOO HIGH",""))</f>
        <v/>
      </c>
      <c r="T114" s="15" t="n">
        <f aca="false">IF(H114&lt;&gt;"OK",0,IF(S114&lt;&gt;"",0,IF(R114&gt;979,1000,R114)))</f>
        <v>88</v>
      </c>
      <c r="U114" s="7" t="n">
        <f aca="false">T114/10</f>
        <v>8.8</v>
      </c>
    </row>
    <row r="115" customFormat="false" ht="15" hidden="false" customHeight="false" outlineLevel="0" collapsed="false">
      <c r="A115" s="7" t="n">
        <v>110</v>
      </c>
      <c r="B115" s="7" t="n">
        <f aca="false">ROUND(o_SWSTART+A115*(o_SWEND-o_SWSTART)/400,0)</f>
        <v>1126</v>
      </c>
      <c r="C115" s="7" t="n">
        <f aca="false">QUOTIENT((B115-c_OFF1)*c_GAIN1,1024)</f>
        <v>1126</v>
      </c>
      <c r="D115" s="7" t="n">
        <f aca="false">IF(((c_T1MX)-(c_T1MN))=0,(0)+QUOTIENT(((1000)-(0)),2),QUOTIENT((((C115)-(c_T1MN))*((1000)-(0))+IF(((1000)-(0))&gt;=0,1,-1)*QUOTIENT(((c_T1MX)-(c_T1MN)),2)),((c_T1MX)-(c_T1MN)))+(0)+IF(((1000)-(0))&gt;=0,IF(IF(o_WRAP=1,MOD(((c_T1MX)-(c_T1MN))*(((C115)-(c_T1MN))*((1000)-(0))+IF(((1000)-(0))&gt;=0,1,-1)*QUOTIENT(((c_T1MX)-(c_T1MN)),2))+2147483648,4294967296)-2147483648,((c_T1MX)-(c_T1MN))*(((C115)-(c_T1MN))*((1000)-(0))+IF(((1000)-(0))&gt;=0,1,-1)*QUOTIENT(((c_T1MX)-(c_T1MN)),2)))&lt;0,-1,0),IF(IF(o_WRAP=1,MOD(((c_T1MX)-(c_T1MN))*(((C115)-(c_T1MN))*((1000)-(0))+IF(((1000)-(0))&gt;=0,1,-1)*QUOTIENT(((c_T1MX)-(c_T1MN)),2))+2147483648,4294967296)-2147483648,((c_T1MX)-(c_T1MN))*(((C115)-(c_T1MN))*((1000)-(0))+IF(((1000)-(0))&gt;=0,1,-1)*QUOTIENT(((c_T1MX)-(c_T1MN)),2)))&gt;=0,1,0)))</f>
        <v>149</v>
      </c>
      <c r="E115" s="7" t="n">
        <f aca="false">IF(AND(c_TPOT=1,c_TTYPE=2),1000-D115,D115)</f>
        <v>149</v>
      </c>
      <c r="F115" s="7" t="str">
        <f aca="false">IF(c_TPOT&gt;1,ROUND(IF(c_TTYPE=2,c_T2MX-IF(c_T1MX=c_T1MN,0,(C115-c_T1MN)/(c_T1MX-c_T1MN))*(c_T2MX-c_T2MN),c_T2MN+IF(c_T1MX=c_T1MN,0,(C115-c_T1MN)/(c_T1MX-c_T1MN))*(c_T2MX-c_T2MN))+o_MISMATCH,0),"")</f>
        <v/>
      </c>
      <c r="G115" s="7" t="str">
        <f aca="false">IF(c_TPOT&gt;1,IF(((c_T2MX)-(c_T2MN))=0,(0)+QUOTIENT(((1000)-(0)),2),QUOTIENT((((F115)-(c_T2MN))*((1000)-(0))+IF(((1000)-(0))&gt;=0,1,-1)*QUOTIENT(((c_T2MX)-(c_T2MN)),2)),((c_T2MX)-(c_T2MN)))+(0)+IF(((1000)-(0))&gt;=0,IF(IF(o_WRAP=1,MOD(((c_T2MX)-(c_T2MN))*(((F115)-(c_T2MN))*((1000)-(0))+IF(((1000)-(0))&gt;=0,1,-1)*QUOTIENT(((c_T2MX)-(c_T2MN)),2))+2147483648,4294967296)-2147483648,((c_T2MX)-(c_T2MN))*(((F115)-(c_T2MN))*((1000)-(0))+IF(((1000)-(0))&gt;=0,1,-1)*QUOTIENT(((c_T2MX)-(c_T2MN)),2)))&lt;0,-1,0),IF(IF(o_WRAP=1,MOD(((c_T2MX)-(c_T2MN))*(((F115)-(c_T2MN))*((1000)-(0))+IF(((1000)-(0))&gt;=0,1,-1)*QUOTIENT(((c_T2MX)-(c_T2MN)),2))+2147483648,4294967296)-2147483648,((c_T2MX)-(c_T2MN))*(((F115)-(c_T2MN))*((1000)-(0))+IF(((1000)-(0))&gt;=0,1,-1)*QUOTIENT(((c_T2MX)-(c_T2MN)),2)))&gt;=0,1,0))),"")</f>
        <v/>
      </c>
      <c r="H115" s="7" t="str">
        <f aca="false">IF(E115&gt;1000+k_TOL,"T1 HIGH",IF(E115&lt;0-k_TOL,"T1 LOW",IF(c_TPOT&gt;1,IF(G115&gt;1000+k_TOL,"T2 HIGH",IF(G115&lt;0-k_TOL,"T2 LOW",IF(c_TTYPE=2,IF(ABS(1000-MAX(0,MIN(1000,E115))-MAX(0,MIN(1000,G115)))&gt;k_MAXERR,"MISMATCH","OK"),IF(OR(MAX(0,MIN(1000,E115))-k_MAXERR&gt;MAX(0,MIN(1000,G115)),MAX(0,MIN(1000,G115))-k_MAXERR&gt;MAX(0,MIN(1000,E115))),"MISMATCH","OK")))),"OK")))</f>
        <v>OK</v>
      </c>
      <c r="I115" s="7" t="n">
        <f aca="false">MAX(0,MIN(1000,D115))</f>
        <v>149</v>
      </c>
      <c r="J115" s="7" t="str">
        <f aca="false">IF(c_TPOT&gt;1,IF(c_TTYPE=2,1000-MAX(0,MIN(1000,G115)),MAX(0,MIN(1000,G115))),"")</f>
        <v/>
      </c>
      <c r="K115" s="7" t="n">
        <f aca="false">IF(c_TPOT&gt;1,QUOTIENT(I115+J115,2),I115)</f>
        <v>149</v>
      </c>
      <c r="L115" s="7" t="n">
        <f aca="false">IF(AND(K115=0,c_TCREEP&gt;0),10*c_TCREEP,IF(AND(K115&lt;=c_TRNGMIN,K115&gt;=c_TRNGMAX,c_TRNGMIN-c_TRNGMAX&lt;&gt;0),-10*c_TMINRN+QUOTIENT((c_TMAXRN-c_TMINRN)*(100-QUOTIENT((K115-c_TRNGMAX)*100,c_TRNGMIN-c_TRNGMAX)),-10),0))</f>
        <v>0</v>
      </c>
      <c r="M115" s="7" t="n">
        <f aca="false">IF(((c_TMAP1IN)-(c_TFWD))=0,(0)+QUOTIENT(((c_TMAP1OUT)-(0)),2),QUOTIENT((((K115)-(c_TFWD))*((c_TMAP1OUT)-(0))+IF(((c_TMAP1OUT)-(0))&gt;=0,1,-1)*QUOTIENT(((c_TMAP1IN)-(c_TFWD)),2)),((c_TMAP1IN)-(c_TFWD)))+(0)+IF(((c_TMAP1OUT)-(0))&gt;=0,IF(IF(o_WRAP=1,MOD(((c_TMAP1IN)-(c_TFWD))*(((K115)-(c_TFWD))*((c_TMAP1OUT)-(0))+IF(((c_TMAP1OUT)-(0))&gt;=0,1,-1)*QUOTIENT(((c_TMAP1IN)-(c_TFWD)),2))+2147483648,4294967296)-2147483648,((c_TMAP1IN)-(c_TFWD))*(((K115)-(c_TFWD))*((c_TMAP1OUT)-(0))+IF(((c_TMAP1OUT)-(0))&gt;=0,1,-1)*QUOTIENT(((c_TMAP1IN)-(c_TFWD)),2)))&lt;0,-1,0),IF(IF(o_WRAP=1,MOD(((c_TMAP1IN)-(c_TFWD))*(((K115)-(c_TFWD))*((c_TMAP1OUT)-(0))+IF(((c_TMAP1OUT)-(0))&gt;=0,1,-1)*QUOTIENT(((c_TMAP1IN)-(c_TFWD)),2))+2147483648,4294967296)-2147483648,((c_TMAP1IN)-(c_TFWD))*(((K115)-(c_TFWD))*((c_TMAP1OUT)-(0))+IF(((c_TMAP1OUT)-(0))&gt;=0,1,-1)*QUOTIENT(((c_TMAP1IN)-(c_TFWD)),2)))&gt;=0,1,0)))</f>
        <v>108</v>
      </c>
      <c r="N115" s="7" t="n">
        <f aca="false">IF(((c_TMAP2IN)-(c_TMAP1IN))=0,(c_TMAP1OUT)+QUOTIENT(((c_TMAP2OUT)-(c_TMAP1OUT)),2),QUOTIENT((((K115)-(c_TMAP1IN))*((c_TMAP2OUT)-(c_TMAP1OUT))+IF(((c_TMAP2OUT)-(c_TMAP1OUT))&gt;=0,1,-1)*QUOTIENT(((c_TMAP2IN)-(c_TMAP1IN)),2)),((c_TMAP2IN)-(c_TMAP1IN)))+(c_TMAP1OUT)+IF(((c_TMAP2OUT)-(c_TMAP1OUT))&gt;=0,IF(IF(o_WRAP=1,MOD(((c_TMAP2IN)-(c_TMAP1IN))*(((K115)-(c_TMAP1IN))*((c_TMAP2OUT)-(c_TMAP1OUT))+IF(((c_TMAP2OUT)-(c_TMAP1OUT))&gt;=0,1,-1)*QUOTIENT(((c_TMAP2IN)-(c_TMAP1IN)),2))+2147483648,4294967296)-2147483648,((c_TMAP2IN)-(c_TMAP1IN))*(((K115)-(c_TMAP1IN))*((c_TMAP2OUT)-(c_TMAP1OUT))+IF(((c_TMAP2OUT)-(c_TMAP1OUT))&gt;=0,1,-1)*QUOTIENT(((c_TMAP2IN)-(c_TMAP1IN)),2)))&lt;0,-1,0),IF(IF(o_WRAP=1,MOD(((c_TMAP2IN)-(c_TMAP1IN))*(((K115)-(c_TMAP1IN))*((c_TMAP2OUT)-(c_TMAP1OUT))+IF(((c_TMAP2OUT)-(c_TMAP1OUT))&gt;=0,1,-1)*QUOTIENT(((c_TMAP2IN)-(c_TMAP1IN)),2))+2147483648,4294967296)-2147483648,((c_TMAP2IN)-(c_TMAP1IN))*(((K115)-(c_TMAP1IN))*((c_TMAP2OUT)-(c_TMAP1OUT))+IF(((c_TMAP2OUT)-(c_TMAP1OUT))&gt;=0,1,-1)*QUOTIENT(((c_TMAP2IN)-(c_TMAP1IN)),2)))&gt;=0,1,0)))</f>
        <v>90</v>
      </c>
      <c r="O115" s="7" t="n">
        <f aca="false">IF(((c_TMAP3IN)-(c_TMAP2IN))=0,(c_TMAP2OUT)+QUOTIENT(((c_TMAP3OUT)-(c_TMAP2OUT)),2),QUOTIENT((((K115)-(c_TMAP2IN))*((c_TMAP3OUT)-(c_TMAP2OUT))+IF(((c_TMAP3OUT)-(c_TMAP2OUT))&gt;=0,1,-1)*QUOTIENT(((c_TMAP3IN)-(c_TMAP2IN)),2)),((c_TMAP3IN)-(c_TMAP2IN)))+(c_TMAP2OUT)+IF(((c_TMAP3OUT)-(c_TMAP2OUT))&gt;=0,IF(IF(o_WRAP=1,MOD(((c_TMAP3IN)-(c_TMAP2IN))*(((K115)-(c_TMAP2IN))*((c_TMAP3OUT)-(c_TMAP2OUT))+IF(((c_TMAP3OUT)-(c_TMAP2OUT))&gt;=0,1,-1)*QUOTIENT(((c_TMAP3IN)-(c_TMAP2IN)),2))+2147483648,4294967296)-2147483648,((c_TMAP3IN)-(c_TMAP2IN))*(((K115)-(c_TMAP2IN))*((c_TMAP3OUT)-(c_TMAP2OUT))+IF(((c_TMAP3OUT)-(c_TMAP2OUT))&gt;=0,1,-1)*QUOTIENT(((c_TMAP3IN)-(c_TMAP2IN)),2)))&lt;0,-1,0),IF(IF(o_WRAP=1,MOD(((c_TMAP3IN)-(c_TMAP2IN))*(((K115)-(c_TMAP2IN))*((c_TMAP3OUT)-(c_TMAP2OUT))+IF(((c_TMAP3OUT)-(c_TMAP2OUT))&gt;=0,1,-1)*QUOTIENT(((c_TMAP3IN)-(c_TMAP2IN)),2))+2147483648,4294967296)-2147483648,((c_TMAP3IN)-(c_TMAP2IN))*(((K115)-(c_TMAP2IN))*((c_TMAP3OUT)-(c_TMAP2OUT))+IF(((c_TMAP3OUT)-(c_TMAP2OUT))&gt;=0,1,-1)*QUOTIENT(((c_TMAP3IN)-(c_TMAP2IN)),2)))&gt;=0,1,0)))</f>
        <v>59</v>
      </c>
      <c r="P115" s="7" t="n">
        <f aca="false">IF(((1000)-(c_TMAP3IN))=0,(c_TMAP3OUT)+QUOTIENT(((1000)-(c_TMAP3OUT)),2),QUOTIENT((((K115)-(c_TMAP3IN))*((1000)-(c_TMAP3OUT))+IF(((1000)-(c_TMAP3OUT))&gt;=0,1,-1)*QUOTIENT(((1000)-(c_TMAP3IN)),2)),((1000)-(c_TMAP3IN)))+(c_TMAP3OUT)+IF(((1000)-(c_TMAP3OUT))&gt;=0,IF(IF(o_WRAP=1,MOD(((1000)-(c_TMAP3IN))*(((K115)-(c_TMAP3IN))*((1000)-(c_TMAP3OUT))+IF(((1000)-(c_TMAP3OUT))&gt;=0,1,-1)*QUOTIENT(((1000)-(c_TMAP3IN)),2))+2147483648,4294967296)-2147483648,((1000)-(c_TMAP3IN))*(((K115)-(c_TMAP3IN))*((1000)-(c_TMAP3OUT))+IF(((1000)-(c_TMAP3OUT))&gt;=0,1,-1)*QUOTIENT(((1000)-(c_TMAP3IN)),2)))&lt;0,-1,0),IF(IF(o_WRAP=1,MOD(((1000)-(c_TMAP3IN))*(((K115)-(c_TMAP3IN))*((1000)-(c_TMAP3OUT))+IF(((1000)-(c_TMAP3OUT))&gt;=0,1,-1)*QUOTIENT(((1000)-(c_TMAP3IN)),2))+2147483648,4294967296)-2147483648,((1000)-(c_TMAP3IN))*(((K115)-(c_TMAP3IN))*((1000)-(c_TMAP3OUT))+IF(((1000)-(c_TMAP3OUT))&gt;=0,1,-1)*QUOTIENT(((1000)-(c_TMAP3IN)),2)))&gt;=0,1,0)))</f>
        <v>-47</v>
      </c>
      <c r="Q115" s="7" t="str">
        <f aca="false">IF(K115&gt;=c_TFWD,IF(AND(K115&gt;=c_TMAP3IN,c_TMAP3IN&lt;1000),"Seg4 map3-100%",IF(AND(K115&gt;=c_TMAP2IN,c_TMAP3IN&gt;c_TMAP2IN),"Seg3 map2-map3",IF(AND(K115&gt;=c_TMAP1IN,c_TMAP2IN&gt;c_TMAP1IN),"Seg2 map1-map2","Seg1 TFWD-map1"))),IF(AND(K115=0,c_TCREEP&gt;0),"Creep",IF(AND(K115&lt;=c_TRNGMIN,K115&gt;=c_TRNGMAX,c_TRNGMIN-c_TRNGMAX&lt;&gt;0),"Regen ramp","Coast (0)")))</f>
        <v>Seg2 map1-map2</v>
      </c>
      <c r="R115" s="7" t="n">
        <f aca="false">IF(K115&gt;=c_TFWD,IF(AND(K115&gt;=c_TMAP3IN,c_TMAP3IN&lt;1000),P115,IF(AND(K115&gt;=c_TMAP2IN,c_TMAP3IN&gt;c_TMAP2IN),O115,IF(AND(K115&gt;=c_TMAP1IN,c_TMAP2IN&gt;c_TMAP1IN),N115,M115))),L115)</f>
        <v>90</v>
      </c>
      <c r="S115" s="7" t="str">
        <f aca="false">IF(R115&lt;-1090,"TOO LOW",IF(R115&gt;1090,"TOO HIGH",""))</f>
        <v/>
      </c>
      <c r="T115" s="15" t="n">
        <f aca="false">IF(H115&lt;&gt;"OK",0,IF(S115&lt;&gt;"",0,IF(R115&gt;979,1000,R115)))</f>
        <v>90</v>
      </c>
      <c r="U115" s="7" t="n">
        <f aca="false">T115/10</f>
        <v>9</v>
      </c>
    </row>
    <row r="116" customFormat="false" ht="15" hidden="false" customHeight="false" outlineLevel="0" collapsed="false">
      <c r="A116" s="7" t="n">
        <v>111</v>
      </c>
      <c r="B116" s="7" t="n">
        <f aca="false">ROUND(o_SWSTART+A116*(o_SWEND-o_SWSTART)/400,0)</f>
        <v>1136</v>
      </c>
      <c r="C116" s="7" t="n">
        <f aca="false">QUOTIENT((B116-c_OFF1)*c_GAIN1,1024)</f>
        <v>1136</v>
      </c>
      <c r="D116" s="7" t="n">
        <f aca="false">IF(((c_T1MX)-(c_T1MN))=0,(0)+QUOTIENT(((1000)-(0)),2),QUOTIENT((((C116)-(c_T1MN))*((1000)-(0))+IF(((1000)-(0))&gt;=0,1,-1)*QUOTIENT(((c_T1MX)-(c_T1MN)),2)),((c_T1MX)-(c_T1MN)))+(0)+IF(((1000)-(0))&gt;=0,IF(IF(o_WRAP=1,MOD(((c_T1MX)-(c_T1MN))*(((C116)-(c_T1MN))*((1000)-(0))+IF(((1000)-(0))&gt;=0,1,-1)*QUOTIENT(((c_T1MX)-(c_T1MN)),2))+2147483648,4294967296)-2147483648,((c_T1MX)-(c_T1MN))*(((C116)-(c_T1MN))*((1000)-(0))+IF(((1000)-(0))&gt;=0,1,-1)*QUOTIENT(((c_T1MX)-(c_T1MN)),2)))&lt;0,-1,0),IF(IF(o_WRAP=1,MOD(((c_T1MX)-(c_T1MN))*(((C116)-(c_T1MN))*((1000)-(0))+IF(((1000)-(0))&gt;=0,1,-1)*QUOTIENT(((c_T1MX)-(c_T1MN)),2))+2147483648,4294967296)-2147483648,((c_T1MX)-(c_T1MN))*(((C116)-(c_T1MN))*((1000)-(0))+IF(((1000)-(0))&gt;=0,1,-1)*QUOTIENT(((c_T1MX)-(c_T1MN)),2)))&gt;=0,1,0)))</f>
        <v>152</v>
      </c>
      <c r="E116" s="7" t="n">
        <f aca="false">IF(AND(c_TPOT=1,c_TTYPE=2),1000-D116,D116)</f>
        <v>152</v>
      </c>
      <c r="F116" s="7" t="str">
        <f aca="false">IF(c_TPOT&gt;1,ROUND(IF(c_TTYPE=2,c_T2MX-IF(c_T1MX=c_T1MN,0,(C116-c_T1MN)/(c_T1MX-c_T1MN))*(c_T2MX-c_T2MN),c_T2MN+IF(c_T1MX=c_T1MN,0,(C116-c_T1MN)/(c_T1MX-c_T1MN))*(c_T2MX-c_T2MN))+o_MISMATCH,0),"")</f>
        <v/>
      </c>
      <c r="G116" s="7" t="str">
        <f aca="false">IF(c_TPOT&gt;1,IF(((c_T2MX)-(c_T2MN))=0,(0)+QUOTIENT(((1000)-(0)),2),QUOTIENT((((F116)-(c_T2MN))*((1000)-(0))+IF(((1000)-(0))&gt;=0,1,-1)*QUOTIENT(((c_T2MX)-(c_T2MN)),2)),((c_T2MX)-(c_T2MN)))+(0)+IF(((1000)-(0))&gt;=0,IF(IF(o_WRAP=1,MOD(((c_T2MX)-(c_T2MN))*(((F116)-(c_T2MN))*((1000)-(0))+IF(((1000)-(0))&gt;=0,1,-1)*QUOTIENT(((c_T2MX)-(c_T2MN)),2))+2147483648,4294967296)-2147483648,((c_T2MX)-(c_T2MN))*(((F116)-(c_T2MN))*((1000)-(0))+IF(((1000)-(0))&gt;=0,1,-1)*QUOTIENT(((c_T2MX)-(c_T2MN)),2)))&lt;0,-1,0),IF(IF(o_WRAP=1,MOD(((c_T2MX)-(c_T2MN))*(((F116)-(c_T2MN))*((1000)-(0))+IF(((1000)-(0))&gt;=0,1,-1)*QUOTIENT(((c_T2MX)-(c_T2MN)),2))+2147483648,4294967296)-2147483648,((c_T2MX)-(c_T2MN))*(((F116)-(c_T2MN))*((1000)-(0))+IF(((1000)-(0))&gt;=0,1,-1)*QUOTIENT(((c_T2MX)-(c_T2MN)),2)))&gt;=0,1,0))),"")</f>
        <v/>
      </c>
      <c r="H116" s="7" t="str">
        <f aca="false">IF(E116&gt;1000+k_TOL,"T1 HIGH",IF(E116&lt;0-k_TOL,"T1 LOW",IF(c_TPOT&gt;1,IF(G116&gt;1000+k_TOL,"T2 HIGH",IF(G116&lt;0-k_TOL,"T2 LOW",IF(c_TTYPE=2,IF(ABS(1000-MAX(0,MIN(1000,E116))-MAX(0,MIN(1000,G116)))&gt;k_MAXERR,"MISMATCH","OK"),IF(OR(MAX(0,MIN(1000,E116))-k_MAXERR&gt;MAX(0,MIN(1000,G116)),MAX(0,MIN(1000,G116))-k_MAXERR&gt;MAX(0,MIN(1000,E116))),"MISMATCH","OK")))),"OK")))</f>
        <v>OK</v>
      </c>
      <c r="I116" s="7" t="n">
        <f aca="false">MAX(0,MIN(1000,D116))</f>
        <v>152</v>
      </c>
      <c r="J116" s="7" t="str">
        <f aca="false">IF(c_TPOT&gt;1,IF(c_TTYPE=2,1000-MAX(0,MIN(1000,G116)),MAX(0,MIN(1000,G116))),"")</f>
        <v/>
      </c>
      <c r="K116" s="7" t="n">
        <f aca="false">IF(c_TPOT&gt;1,QUOTIENT(I116+J116,2),I116)</f>
        <v>152</v>
      </c>
      <c r="L116" s="7" t="n">
        <f aca="false">IF(AND(K116=0,c_TCREEP&gt;0),10*c_TCREEP,IF(AND(K116&lt;=c_TRNGMIN,K116&gt;=c_TRNGMAX,c_TRNGMIN-c_TRNGMAX&lt;&gt;0),-10*c_TMINRN+QUOTIENT((c_TMAXRN-c_TMINRN)*(100-QUOTIENT((K116-c_TRNGMAX)*100,c_TRNGMIN-c_TRNGMAX)),-10),0))</f>
        <v>0</v>
      </c>
      <c r="M116" s="7" t="n">
        <f aca="false">IF(((c_TMAP1IN)-(c_TFWD))=0,(0)+QUOTIENT(((c_TMAP1OUT)-(0)),2),QUOTIENT((((K116)-(c_TFWD))*((c_TMAP1OUT)-(0))+IF(((c_TMAP1OUT)-(0))&gt;=0,1,-1)*QUOTIENT(((c_TMAP1IN)-(c_TFWD)),2)),((c_TMAP1IN)-(c_TFWD)))+(0)+IF(((c_TMAP1OUT)-(0))&gt;=0,IF(IF(o_WRAP=1,MOD(((c_TMAP1IN)-(c_TFWD))*(((K116)-(c_TFWD))*((c_TMAP1OUT)-(0))+IF(((c_TMAP1OUT)-(0))&gt;=0,1,-1)*QUOTIENT(((c_TMAP1IN)-(c_TFWD)),2))+2147483648,4294967296)-2147483648,((c_TMAP1IN)-(c_TFWD))*(((K116)-(c_TFWD))*((c_TMAP1OUT)-(0))+IF(((c_TMAP1OUT)-(0))&gt;=0,1,-1)*QUOTIENT(((c_TMAP1IN)-(c_TFWD)),2)))&lt;0,-1,0),IF(IF(o_WRAP=1,MOD(((c_TMAP1IN)-(c_TFWD))*(((K116)-(c_TFWD))*((c_TMAP1OUT)-(0))+IF(((c_TMAP1OUT)-(0))&gt;=0,1,-1)*QUOTIENT(((c_TMAP1IN)-(c_TFWD)),2))+2147483648,4294967296)-2147483648,((c_TMAP1IN)-(c_TFWD))*(((K116)-(c_TFWD))*((c_TMAP1OUT)-(0))+IF(((c_TMAP1OUT)-(0))&gt;=0,1,-1)*QUOTIENT(((c_TMAP1IN)-(c_TFWD)),2)))&gt;=0,1,0)))</f>
        <v>110</v>
      </c>
      <c r="N116" s="7" t="n">
        <f aca="false">IF(((c_TMAP2IN)-(c_TMAP1IN))=0,(c_TMAP1OUT)+QUOTIENT(((c_TMAP2OUT)-(c_TMAP1OUT)),2),QUOTIENT((((K116)-(c_TMAP1IN))*((c_TMAP2OUT)-(c_TMAP1OUT))+IF(((c_TMAP2OUT)-(c_TMAP1OUT))&gt;=0,1,-1)*QUOTIENT(((c_TMAP2IN)-(c_TMAP1IN)),2)),((c_TMAP2IN)-(c_TMAP1IN)))+(c_TMAP1OUT)+IF(((c_TMAP2OUT)-(c_TMAP1OUT))&gt;=0,IF(IF(o_WRAP=1,MOD(((c_TMAP2IN)-(c_TMAP1IN))*(((K116)-(c_TMAP1IN))*((c_TMAP2OUT)-(c_TMAP1OUT))+IF(((c_TMAP2OUT)-(c_TMAP1OUT))&gt;=0,1,-1)*QUOTIENT(((c_TMAP2IN)-(c_TMAP1IN)),2))+2147483648,4294967296)-2147483648,((c_TMAP2IN)-(c_TMAP1IN))*(((K116)-(c_TMAP1IN))*((c_TMAP2OUT)-(c_TMAP1OUT))+IF(((c_TMAP2OUT)-(c_TMAP1OUT))&gt;=0,1,-1)*QUOTIENT(((c_TMAP2IN)-(c_TMAP1IN)),2)))&lt;0,-1,0),IF(IF(o_WRAP=1,MOD(((c_TMAP2IN)-(c_TMAP1IN))*(((K116)-(c_TMAP1IN))*((c_TMAP2OUT)-(c_TMAP1OUT))+IF(((c_TMAP2OUT)-(c_TMAP1OUT))&gt;=0,1,-1)*QUOTIENT(((c_TMAP2IN)-(c_TMAP1IN)),2))+2147483648,4294967296)-2147483648,((c_TMAP2IN)-(c_TMAP1IN))*(((K116)-(c_TMAP1IN))*((c_TMAP2OUT)-(c_TMAP1OUT))+IF(((c_TMAP2OUT)-(c_TMAP1OUT))&gt;=0,1,-1)*QUOTIENT(((c_TMAP2IN)-(c_TMAP1IN)),2)))&gt;=0,1,0)))</f>
        <v>91</v>
      </c>
      <c r="O116" s="7" t="n">
        <f aca="false">IF(((c_TMAP3IN)-(c_TMAP2IN))=0,(c_TMAP2OUT)+QUOTIENT(((c_TMAP3OUT)-(c_TMAP2OUT)),2),QUOTIENT((((K116)-(c_TMAP2IN))*((c_TMAP3OUT)-(c_TMAP2OUT))+IF(((c_TMAP3OUT)-(c_TMAP2OUT))&gt;=0,1,-1)*QUOTIENT(((c_TMAP3IN)-(c_TMAP2IN)),2)),((c_TMAP3IN)-(c_TMAP2IN)))+(c_TMAP2OUT)+IF(((c_TMAP3OUT)-(c_TMAP2OUT))&gt;=0,IF(IF(o_WRAP=1,MOD(((c_TMAP3IN)-(c_TMAP2IN))*(((K116)-(c_TMAP2IN))*((c_TMAP3OUT)-(c_TMAP2OUT))+IF(((c_TMAP3OUT)-(c_TMAP2OUT))&gt;=0,1,-1)*QUOTIENT(((c_TMAP3IN)-(c_TMAP2IN)),2))+2147483648,4294967296)-2147483648,((c_TMAP3IN)-(c_TMAP2IN))*(((K116)-(c_TMAP2IN))*((c_TMAP3OUT)-(c_TMAP2OUT))+IF(((c_TMAP3OUT)-(c_TMAP2OUT))&gt;=0,1,-1)*QUOTIENT(((c_TMAP3IN)-(c_TMAP2IN)),2)))&lt;0,-1,0),IF(IF(o_WRAP=1,MOD(((c_TMAP3IN)-(c_TMAP2IN))*(((K116)-(c_TMAP2IN))*((c_TMAP3OUT)-(c_TMAP2OUT))+IF(((c_TMAP3OUT)-(c_TMAP2OUT))&gt;=0,1,-1)*QUOTIENT(((c_TMAP3IN)-(c_TMAP2IN)),2))+2147483648,4294967296)-2147483648,((c_TMAP3IN)-(c_TMAP2IN))*(((K116)-(c_TMAP2IN))*((c_TMAP3OUT)-(c_TMAP2OUT))+IF(((c_TMAP3OUT)-(c_TMAP2OUT))&gt;=0,1,-1)*QUOTIENT(((c_TMAP3IN)-(c_TMAP2IN)),2)))&gt;=0,1,0)))</f>
        <v>61</v>
      </c>
      <c r="P116" s="7" t="n">
        <f aca="false">IF(((1000)-(c_TMAP3IN))=0,(c_TMAP3OUT)+QUOTIENT(((1000)-(c_TMAP3OUT)),2),QUOTIENT((((K116)-(c_TMAP3IN))*((1000)-(c_TMAP3OUT))+IF(((1000)-(c_TMAP3OUT))&gt;=0,1,-1)*QUOTIENT(((1000)-(c_TMAP3IN)),2)),((1000)-(c_TMAP3IN)))+(c_TMAP3OUT)+IF(((1000)-(c_TMAP3OUT))&gt;=0,IF(IF(o_WRAP=1,MOD(((1000)-(c_TMAP3IN))*(((K116)-(c_TMAP3IN))*((1000)-(c_TMAP3OUT))+IF(((1000)-(c_TMAP3OUT))&gt;=0,1,-1)*QUOTIENT(((1000)-(c_TMAP3IN)),2))+2147483648,4294967296)-2147483648,((1000)-(c_TMAP3IN))*(((K116)-(c_TMAP3IN))*((1000)-(c_TMAP3OUT))+IF(((1000)-(c_TMAP3OUT))&gt;=0,1,-1)*QUOTIENT(((1000)-(c_TMAP3IN)),2)))&lt;0,-1,0),IF(IF(o_WRAP=1,MOD(((1000)-(c_TMAP3IN))*(((K116)-(c_TMAP3IN))*((1000)-(c_TMAP3OUT))+IF(((1000)-(c_TMAP3OUT))&gt;=0,1,-1)*QUOTIENT(((1000)-(c_TMAP3IN)),2))+2147483648,4294967296)-2147483648,((1000)-(c_TMAP3IN))*(((K116)-(c_TMAP3IN))*((1000)-(c_TMAP3OUT))+IF(((1000)-(c_TMAP3OUT))&gt;=0,1,-1)*QUOTIENT(((1000)-(c_TMAP3IN)),2)))&gt;=0,1,0)))</f>
        <v>-44</v>
      </c>
      <c r="Q116" s="7" t="str">
        <f aca="false">IF(K116&gt;=c_TFWD,IF(AND(K116&gt;=c_TMAP3IN,c_TMAP3IN&lt;1000),"Seg4 map3-100%",IF(AND(K116&gt;=c_TMAP2IN,c_TMAP3IN&gt;c_TMAP2IN),"Seg3 map2-map3",IF(AND(K116&gt;=c_TMAP1IN,c_TMAP2IN&gt;c_TMAP1IN),"Seg2 map1-map2","Seg1 TFWD-map1"))),IF(AND(K116=0,c_TCREEP&gt;0),"Creep",IF(AND(K116&lt;=c_TRNGMIN,K116&gt;=c_TRNGMAX,c_TRNGMIN-c_TRNGMAX&lt;&gt;0),"Regen ramp","Coast (0)")))</f>
        <v>Seg2 map1-map2</v>
      </c>
      <c r="R116" s="7" t="n">
        <f aca="false">IF(K116&gt;=c_TFWD,IF(AND(K116&gt;=c_TMAP3IN,c_TMAP3IN&lt;1000),P116,IF(AND(K116&gt;=c_TMAP2IN,c_TMAP3IN&gt;c_TMAP2IN),O116,IF(AND(K116&gt;=c_TMAP1IN,c_TMAP2IN&gt;c_TMAP1IN),N116,M116))),L116)</f>
        <v>91</v>
      </c>
      <c r="S116" s="7" t="str">
        <f aca="false">IF(R116&lt;-1090,"TOO LOW",IF(R116&gt;1090,"TOO HIGH",""))</f>
        <v/>
      </c>
      <c r="T116" s="15" t="n">
        <f aca="false">IF(H116&lt;&gt;"OK",0,IF(S116&lt;&gt;"",0,IF(R116&gt;979,1000,R116)))</f>
        <v>91</v>
      </c>
      <c r="U116" s="7" t="n">
        <f aca="false">T116/10</f>
        <v>9.1</v>
      </c>
    </row>
    <row r="117" customFormat="false" ht="15" hidden="false" customHeight="false" outlineLevel="0" collapsed="false">
      <c r="A117" s="7" t="n">
        <v>112</v>
      </c>
      <c r="B117" s="7" t="n">
        <f aca="false">ROUND(o_SWSTART+A117*(o_SWEND-o_SWSTART)/400,0)</f>
        <v>1147</v>
      </c>
      <c r="C117" s="7" t="n">
        <f aca="false">QUOTIENT((B117-c_OFF1)*c_GAIN1,1024)</f>
        <v>1147</v>
      </c>
      <c r="D117" s="7" t="n">
        <f aca="false">IF(((c_T1MX)-(c_T1MN))=0,(0)+QUOTIENT(((1000)-(0)),2),QUOTIENT((((C117)-(c_T1MN))*((1000)-(0))+IF(((1000)-(0))&gt;=0,1,-1)*QUOTIENT(((c_T1MX)-(c_T1MN)),2)),((c_T1MX)-(c_T1MN)))+(0)+IF(((1000)-(0))&gt;=0,IF(IF(o_WRAP=1,MOD(((c_T1MX)-(c_T1MN))*(((C117)-(c_T1MN))*((1000)-(0))+IF(((1000)-(0))&gt;=0,1,-1)*QUOTIENT(((c_T1MX)-(c_T1MN)),2))+2147483648,4294967296)-2147483648,((c_T1MX)-(c_T1MN))*(((C117)-(c_T1MN))*((1000)-(0))+IF(((1000)-(0))&gt;=0,1,-1)*QUOTIENT(((c_T1MX)-(c_T1MN)),2)))&lt;0,-1,0),IF(IF(o_WRAP=1,MOD(((c_T1MX)-(c_T1MN))*(((C117)-(c_T1MN))*((1000)-(0))+IF(((1000)-(0))&gt;=0,1,-1)*QUOTIENT(((c_T1MX)-(c_T1MN)),2))+2147483648,4294967296)-2147483648,((c_T1MX)-(c_T1MN))*(((C117)-(c_T1MN))*((1000)-(0))+IF(((1000)-(0))&gt;=0,1,-1)*QUOTIENT(((c_T1MX)-(c_T1MN)),2)))&gt;=0,1,0)))</f>
        <v>156</v>
      </c>
      <c r="E117" s="7" t="n">
        <f aca="false">IF(AND(c_TPOT=1,c_TTYPE=2),1000-D117,D117)</f>
        <v>156</v>
      </c>
      <c r="F117" s="7" t="str">
        <f aca="false">IF(c_TPOT&gt;1,ROUND(IF(c_TTYPE=2,c_T2MX-IF(c_T1MX=c_T1MN,0,(C117-c_T1MN)/(c_T1MX-c_T1MN))*(c_T2MX-c_T2MN),c_T2MN+IF(c_T1MX=c_T1MN,0,(C117-c_T1MN)/(c_T1MX-c_T1MN))*(c_T2MX-c_T2MN))+o_MISMATCH,0),"")</f>
        <v/>
      </c>
      <c r="G117" s="7" t="str">
        <f aca="false">IF(c_TPOT&gt;1,IF(((c_T2MX)-(c_T2MN))=0,(0)+QUOTIENT(((1000)-(0)),2),QUOTIENT((((F117)-(c_T2MN))*((1000)-(0))+IF(((1000)-(0))&gt;=0,1,-1)*QUOTIENT(((c_T2MX)-(c_T2MN)),2)),((c_T2MX)-(c_T2MN)))+(0)+IF(((1000)-(0))&gt;=0,IF(IF(o_WRAP=1,MOD(((c_T2MX)-(c_T2MN))*(((F117)-(c_T2MN))*((1000)-(0))+IF(((1000)-(0))&gt;=0,1,-1)*QUOTIENT(((c_T2MX)-(c_T2MN)),2))+2147483648,4294967296)-2147483648,((c_T2MX)-(c_T2MN))*(((F117)-(c_T2MN))*((1000)-(0))+IF(((1000)-(0))&gt;=0,1,-1)*QUOTIENT(((c_T2MX)-(c_T2MN)),2)))&lt;0,-1,0),IF(IF(o_WRAP=1,MOD(((c_T2MX)-(c_T2MN))*(((F117)-(c_T2MN))*((1000)-(0))+IF(((1000)-(0))&gt;=0,1,-1)*QUOTIENT(((c_T2MX)-(c_T2MN)),2))+2147483648,4294967296)-2147483648,((c_T2MX)-(c_T2MN))*(((F117)-(c_T2MN))*((1000)-(0))+IF(((1000)-(0))&gt;=0,1,-1)*QUOTIENT(((c_T2MX)-(c_T2MN)),2)))&gt;=0,1,0))),"")</f>
        <v/>
      </c>
      <c r="H117" s="7" t="str">
        <f aca="false">IF(E117&gt;1000+k_TOL,"T1 HIGH",IF(E117&lt;0-k_TOL,"T1 LOW",IF(c_TPOT&gt;1,IF(G117&gt;1000+k_TOL,"T2 HIGH",IF(G117&lt;0-k_TOL,"T2 LOW",IF(c_TTYPE=2,IF(ABS(1000-MAX(0,MIN(1000,E117))-MAX(0,MIN(1000,G117)))&gt;k_MAXERR,"MISMATCH","OK"),IF(OR(MAX(0,MIN(1000,E117))-k_MAXERR&gt;MAX(0,MIN(1000,G117)),MAX(0,MIN(1000,G117))-k_MAXERR&gt;MAX(0,MIN(1000,E117))),"MISMATCH","OK")))),"OK")))</f>
        <v>OK</v>
      </c>
      <c r="I117" s="7" t="n">
        <f aca="false">MAX(0,MIN(1000,D117))</f>
        <v>156</v>
      </c>
      <c r="J117" s="7" t="str">
        <f aca="false">IF(c_TPOT&gt;1,IF(c_TTYPE=2,1000-MAX(0,MIN(1000,G117)),MAX(0,MIN(1000,G117))),"")</f>
        <v/>
      </c>
      <c r="K117" s="7" t="n">
        <f aca="false">IF(c_TPOT&gt;1,QUOTIENT(I117+J117,2),I117)</f>
        <v>156</v>
      </c>
      <c r="L117" s="7" t="n">
        <f aca="false">IF(AND(K117=0,c_TCREEP&gt;0),10*c_TCREEP,IF(AND(K117&lt;=c_TRNGMIN,K117&gt;=c_TRNGMAX,c_TRNGMIN-c_TRNGMAX&lt;&gt;0),-10*c_TMINRN+QUOTIENT((c_TMAXRN-c_TMINRN)*(100-QUOTIENT((K117-c_TRNGMAX)*100,c_TRNGMIN-c_TRNGMAX)),-10),0))</f>
        <v>0</v>
      </c>
      <c r="M117" s="7" t="n">
        <f aca="false">IF(((c_TMAP1IN)-(c_TFWD))=0,(0)+QUOTIENT(((c_TMAP1OUT)-(0)),2),QUOTIENT((((K117)-(c_TFWD))*((c_TMAP1OUT)-(0))+IF(((c_TMAP1OUT)-(0))&gt;=0,1,-1)*QUOTIENT(((c_TMAP1IN)-(c_TFWD)),2)),((c_TMAP1IN)-(c_TFWD)))+(0)+IF(((c_TMAP1OUT)-(0))&gt;=0,IF(IF(o_WRAP=1,MOD(((c_TMAP1IN)-(c_TFWD))*(((K117)-(c_TFWD))*((c_TMAP1OUT)-(0))+IF(((c_TMAP1OUT)-(0))&gt;=0,1,-1)*QUOTIENT(((c_TMAP1IN)-(c_TFWD)),2))+2147483648,4294967296)-2147483648,((c_TMAP1IN)-(c_TFWD))*(((K117)-(c_TFWD))*((c_TMAP1OUT)-(0))+IF(((c_TMAP1OUT)-(0))&gt;=0,1,-1)*QUOTIENT(((c_TMAP1IN)-(c_TFWD)),2)))&lt;0,-1,0),IF(IF(o_WRAP=1,MOD(((c_TMAP1IN)-(c_TFWD))*(((K117)-(c_TFWD))*((c_TMAP1OUT)-(0))+IF(((c_TMAP1OUT)-(0))&gt;=0,1,-1)*QUOTIENT(((c_TMAP1IN)-(c_TFWD)),2))+2147483648,4294967296)-2147483648,((c_TMAP1IN)-(c_TFWD))*(((K117)-(c_TFWD))*((c_TMAP1OUT)-(0))+IF(((c_TMAP1OUT)-(0))&gt;=0,1,-1)*QUOTIENT(((c_TMAP1IN)-(c_TFWD)),2)))&gt;=0,1,0)))</f>
        <v>114</v>
      </c>
      <c r="N117" s="7" t="n">
        <f aca="false">IF(((c_TMAP2IN)-(c_TMAP1IN))=0,(c_TMAP1OUT)+QUOTIENT(((c_TMAP2OUT)-(c_TMAP1OUT)),2),QUOTIENT((((K117)-(c_TMAP1IN))*((c_TMAP2OUT)-(c_TMAP1OUT))+IF(((c_TMAP2OUT)-(c_TMAP1OUT))&gt;=0,1,-1)*QUOTIENT(((c_TMAP2IN)-(c_TMAP1IN)),2)),((c_TMAP2IN)-(c_TMAP1IN)))+(c_TMAP1OUT)+IF(((c_TMAP2OUT)-(c_TMAP1OUT))&gt;=0,IF(IF(o_WRAP=1,MOD(((c_TMAP2IN)-(c_TMAP1IN))*(((K117)-(c_TMAP1IN))*((c_TMAP2OUT)-(c_TMAP1OUT))+IF(((c_TMAP2OUT)-(c_TMAP1OUT))&gt;=0,1,-1)*QUOTIENT(((c_TMAP2IN)-(c_TMAP1IN)),2))+2147483648,4294967296)-2147483648,((c_TMAP2IN)-(c_TMAP1IN))*(((K117)-(c_TMAP1IN))*((c_TMAP2OUT)-(c_TMAP1OUT))+IF(((c_TMAP2OUT)-(c_TMAP1OUT))&gt;=0,1,-1)*QUOTIENT(((c_TMAP2IN)-(c_TMAP1IN)),2)))&lt;0,-1,0),IF(IF(o_WRAP=1,MOD(((c_TMAP2IN)-(c_TMAP1IN))*(((K117)-(c_TMAP1IN))*((c_TMAP2OUT)-(c_TMAP1OUT))+IF(((c_TMAP2OUT)-(c_TMAP1OUT))&gt;=0,1,-1)*QUOTIENT(((c_TMAP2IN)-(c_TMAP1IN)),2))+2147483648,4294967296)-2147483648,((c_TMAP2IN)-(c_TMAP1IN))*(((K117)-(c_TMAP1IN))*((c_TMAP2OUT)-(c_TMAP1OUT))+IF(((c_TMAP2OUT)-(c_TMAP1OUT))&gt;=0,1,-1)*QUOTIENT(((c_TMAP2IN)-(c_TMAP1IN)),2)))&gt;=0,1,0)))</f>
        <v>92</v>
      </c>
      <c r="O117" s="7" t="n">
        <f aca="false">IF(((c_TMAP3IN)-(c_TMAP2IN))=0,(c_TMAP2OUT)+QUOTIENT(((c_TMAP3OUT)-(c_TMAP2OUT)),2),QUOTIENT((((K117)-(c_TMAP2IN))*((c_TMAP3OUT)-(c_TMAP2OUT))+IF(((c_TMAP3OUT)-(c_TMAP2OUT))&gt;=0,1,-1)*QUOTIENT(((c_TMAP3IN)-(c_TMAP2IN)),2)),((c_TMAP3IN)-(c_TMAP2IN)))+(c_TMAP2OUT)+IF(((c_TMAP3OUT)-(c_TMAP2OUT))&gt;=0,IF(IF(o_WRAP=1,MOD(((c_TMAP3IN)-(c_TMAP2IN))*(((K117)-(c_TMAP2IN))*((c_TMAP3OUT)-(c_TMAP2OUT))+IF(((c_TMAP3OUT)-(c_TMAP2OUT))&gt;=0,1,-1)*QUOTIENT(((c_TMAP3IN)-(c_TMAP2IN)),2))+2147483648,4294967296)-2147483648,((c_TMAP3IN)-(c_TMAP2IN))*(((K117)-(c_TMAP2IN))*((c_TMAP3OUT)-(c_TMAP2OUT))+IF(((c_TMAP3OUT)-(c_TMAP2OUT))&gt;=0,1,-1)*QUOTIENT(((c_TMAP3IN)-(c_TMAP2IN)),2)))&lt;0,-1,0),IF(IF(o_WRAP=1,MOD(((c_TMAP3IN)-(c_TMAP2IN))*(((K117)-(c_TMAP2IN))*((c_TMAP3OUT)-(c_TMAP2OUT))+IF(((c_TMAP3OUT)-(c_TMAP2OUT))&gt;=0,1,-1)*QUOTIENT(((c_TMAP3IN)-(c_TMAP2IN)),2))+2147483648,4294967296)-2147483648,((c_TMAP3IN)-(c_TMAP2IN))*(((K117)-(c_TMAP2IN))*((c_TMAP3OUT)-(c_TMAP2OUT))+IF(((c_TMAP3OUT)-(c_TMAP2OUT))&gt;=0,1,-1)*QUOTIENT(((c_TMAP3IN)-(c_TMAP2IN)),2)))&gt;=0,1,0)))</f>
        <v>64</v>
      </c>
      <c r="P117" s="7" t="n">
        <f aca="false">IF(((1000)-(c_TMAP3IN))=0,(c_TMAP3OUT)+QUOTIENT(((1000)-(c_TMAP3OUT)),2),QUOTIENT((((K117)-(c_TMAP3IN))*((1000)-(c_TMAP3OUT))+IF(((1000)-(c_TMAP3OUT))&gt;=0,1,-1)*QUOTIENT(((1000)-(c_TMAP3IN)),2)),((1000)-(c_TMAP3IN)))+(c_TMAP3OUT)+IF(((1000)-(c_TMAP3OUT))&gt;=0,IF(IF(o_WRAP=1,MOD(((1000)-(c_TMAP3IN))*(((K117)-(c_TMAP3IN))*((1000)-(c_TMAP3OUT))+IF(((1000)-(c_TMAP3OUT))&gt;=0,1,-1)*QUOTIENT(((1000)-(c_TMAP3IN)),2))+2147483648,4294967296)-2147483648,((1000)-(c_TMAP3IN))*(((K117)-(c_TMAP3IN))*((1000)-(c_TMAP3OUT))+IF(((1000)-(c_TMAP3OUT))&gt;=0,1,-1)*QUOTIENT(((1000)-(c_TMAP3IN)),2)))&lt;0,-1,0),IF(IF(o_WRAP=1,MOD(((1000)-(c_TMAP3IN))*(((K117)-(c_TMAP3IN))*((1000)-(c_TMAP3OUT))+IF(((1000)-(c_TMAP3OUT))&gt;=0,1,-1)*QUOTIENT(((1000)-(c_TMAP3IN)),2))+2147483648,4294967296)-2147483648,((1000)-(c_TMAP3IN))*(((K117)-(c_TMAP3IN))*((1000)-(c_TMAP3OUT))+IF(((1000)-(c_TMAP3OUT))&gt;=0,1,-1)*QUOTIENT(((1000)-(c_TMAP3IN)),2)))&gt;=0,1,0)))</f>
        <v>-39</v>
      </c>
      <c r="Q117" s="7" t="str">
        <f aca="false">IF(K117&gt;=c_TFWD,IF(AND(K117&gt;=c_TMAP3IN,c_TMAP3IN&lt;1000),"Seg4 map3-100%",IF(AND(K117&gt;=c_TMAP2IN,c_TMAP3IN&gt;c_TMAP2IN),"Seg3 map2-map3",IF(AND(K117&gt;=c_TMAP1IN,c_TMAP2IN&gt;c_TMAP1IN),"Seg2 map1-map2","Seg1 TFWD-map1"))),IF(AND(K117=0,c_TCREEP&gt;0),"Creep",IF(AND(K117&lt;=c_TRNGMIN,K117&gt;=c_TRNGMAX,c_TRNGMIN-c_TRNGMAX&lt;&gt;0),"Regen ramp","Coast (0)")))</f>
        <v>Seg2 map1-map2</v>
      </c>
      <c r="R117" s="7" t="n">
        <f aca="false">IF(K117&gt;=c_TFWD,IF(AND(K117&gt;=c_TMAP3IN,c_TMAP3IN&lt;1000),P117,IF(AND(K117&gt;=c_TMAP2IN,c_TMAP3IN&gt;c_TMAP2IN),O117,IF(AND(K117&gt;=c_TMAP1IN,c_TMAP2IN&gt;c_TMAP1IN),N117,M117))),L117)</f>
        <v>92</v>
      </c>
      <c r="S117" s="7" t="str">
        <f aca="false">IF(R117&lt;-1090,"TOO LOW",IF(R117&gt;1090,"TOO HIGH",""))</f>
        <v/>
      </c>
      <c r="T117" s="15" t="n">
        <f aca="false">IF(H117&lt;&gt;"OK",0,IF(S117&lt;&gt;"",0,IF(R117&gt;979,1000,R117)))</f>
        <v>92</v>
      </c>
      <c r="U117" s="7" t="n">
        <f aca="false">T117/10</f>
        <v>9.2</v>
      </c>
    </row>
    <row r="118" customFormat="false" ht="15" hidden="false" customHeight="false" outlineLevel="0" collapsed="false">
      <c r="A118" s="7" t="n">
        <v>113</v>
      </c>
      <c r="B118" s="7" t="n">
        <f aca="false">ROUND(o_SWSTART+A118*(o_SWEND-o_SWSTART)/400,0)</f>
        <v>1157</v>
      </c>
      <c r="C118" s="7" t="n">
        <f aca="false">QUOTIENT((B118-c_OFF1)*c_GAIN1,1024)</f>
        <v>1157</v>
      </c>
      <c r="D118" s="7" t="n">
        <f aca="false">IF(((c_T1MX)-(c_T1MN))=0,(0)+QUOTIENT(((1000)-(0)),2),QUOTIENT((((C118)-(c_T1MN))*((1000)-(0))+IF(((1000)-(0))&gt;=0,1,-1)*QUOTIENT(((c_T1MX)-(c_T1MN)),2)),((c_T1MX)-(c_T1MN)))+(0)+IF(((1000)-(0))&gt;=0,IF(IF(o_WRAP=1,MOD(((c_T1MX)-(c_T1MN))*(((C118)-(c_T1MN))*((1000)-(0))+IF(((1000)-(0))&gt;=0,1,-1)*QUOTIENT(((c_T1MX)-(c_T1MN)),2))+2147483648,4294967296)-2147483648,((c_T1MX)-(c_T1MN))*(((C118)-(c_T1MN))*((1000)-(0))+IF(((1000)-(0))&gt;=0,1,-1)*QUOTIENT(((c_T1MX)-(c_T1MN)),2)))&lt;0,-1,0),IF(IF(o_WRAP=1,MOD(((c_T1MX)-(c_T1MN))*(((C118)-(c_T1MN))*((1000)-(0))+IF(((1000)-(0))&gt;=0,1,-1)*QUOTIENT(((c_T1MX)-(c_T1MN)),2))+2147483648,4294967296)-2147483648,((c_T1MX)-(c_T1MN))*(((C118)-(c_T1MN))*((1000)-(0))+IF(((1000)-(0))&gt;=0,1,-1)*QUOTIENT(((c_T1MX)-(c_T1MN)),2)))&gt;=0,1,0)))</f>
        <v>160</v>
      </c>
      <c r="E118" s="7" t="n">
        <f aca="false">IF(AND(c_TPOT=1,c_TTYPE=2),1000-D118,D118)</f>
        <v>160</v>
      </c>
      <c r="F118" s="7" t="str">
        <f aca="false">IF(c_TPOT&gt;1,ROUND(IF(c_TTYPE=2,c_T2MX-IF(c_T1MX=c_T1MN,0,(C118-c_T1MN)/(c_T1MX-c_T1MN))*(c_T2MX-c_T2MN),c_T2MN+IF(c_T1MX=c_T1MN,0,(C118-c_T1MN)/(c_T1MX-c_T1MN))*(c_T2MX-c_T2MN))+o_MISMATCH,0),"")</f>
        <v/>
      </c>
      <c r="G118" s="7" t="str">
        <f aca="false">IF(c_TPOT&gt;1,IF(((c_T2MX)-(c_T2MN))=0,(0)+QUOTIENT(((1000)-(0)),2),QUOTIENT((((F118)-(c_T2MN))*((1000)-(0))+IF(((1000)-(0))&gt;=0,1,-1)*QUOTIENT(((c_T2MX)-(c_T2MN)),2)),((c_T2MX)-(c_T2MN)))+(0)+IF(((1000)-(0))&gt;=0,IF(IF(o_WRAP=1,MOD(((c_T2MX)-(c_T2MN))*(((F118)-(c_T2MN))*((1000)-(0))+IF(((1000)-(0))&gt;=0,1,-1)*QUOTIENT(((c_T2MX)-(c_T2MN)),2))+2147483648,4294967296)-2147483648,((c_T2MX)-(c_T2MN))*(((F118)-(c_T2MN))*((1000)-(0))+IF(((1000)-(0))&gt;=0,1,-1)*QUOTIENT(((c_T2MX)-(c_T2MN)),2)))&lt;0,-1,0),IF(IF(o_WRAP=1,MOD(((c_T2MX)-(c_T2MN))*(((F118)-(c_T2MN))*((1000)-(0))+IF(((1000)-(0))&gt;=0,1,-1)*QUOTIENT(((c_T2MX)-(c_T2MN)),2))+2147483648,4294967296)-2147483648,((c_T2MX)-(c_T2MN))*(((F118)-(c_T2MN))*((1000)-(0))+IF(((1000)-(0))&gt;=0,1,-1)*QUOTIENT(((c_T2MX)-(c_T2MN)),2)))&gt;=0,1,0))),"")</f>
        <v/>
      </c>
      <c r="H118" s="7" t="str">
        <f aca="false">IF(E118&gt;1000+k_TOL,"T1 HIGH",IF(E118&lt;0-k_TOL,"T1 LOW",IF(c_TPOT&gt;1,IF(G118&gt;1000+k_TOL,"T2 HIGH",IF(G118&lt;0-k_TOL,"T2 LOW",IF(c_TTYPE=2,IF(ABS(1000-MAX(0,MIN(1000,E118))-MAX(0,MIN(1000,G118)))&gt;k_MAXERR,"MISMATCH","OK"),IF(OR(MAX(0,MIN(1000,E118))-k_MAXERR&gt;MAX(0,MIN(1000,G118)),MAX(0,MIN(1000,G118))-k_MAXERR&gt;MAX(0,MIN(1000,E118))),"MISMATCH","OK")))),"OK")))</f>
        <v>OK</v>
      </c>
      <c r="I118" s="7" t="n">
        <f aca="false">MAX(0,MIN(1000,D118))</f>
        <v>160</v>
      </c>
      <c r="J118" s="7" t="str">
        <f aca="false">IF(c_TPOT&gt;1,IF(c_TTYPE=2,1000-MAX(0,MIN(1000,G118)),MAX(0,MIN(1000,G118))),"")</f>
        <v/>
      </c>
      <c r="K118" s="7" t="n">
        <f aca="false">IF(c_TPOT&gt;1,QUOTIENT(I118+J118,2),I118)</f>
        <v>160</v>
      </c>
      <c r="L118" s="7" t="n">
        <f aca="false">IF(AND(K118=0,c_TCREEP&gt;0),10*c_TCREEP,IF(AND(K118&lt;=c_TRNGMIN,K118&gt;=c_TRNGMAX,c_TRNGMIN-c_TRNGMAX&lt;&gt;0),-10*c_TMINRN+QUOTIENT((c_TMAXRN-c_TMINRN)*(100-QUOTIENT((K118-c_TRNGMAX)*100,c_TRNGMIN-c_TRNGMAX)),-10),0))</f>
        <v>0</v>
      </c>
      <c r="M118" s="7" t="n">
        <f aca="false">IF(((c_TMAP1IN)-(c_TFWD))=0,(0)+QUOTIENT(((c_TMAP1OUT)-(0)),2),QUOTIENT((((K118)-(c_TFWD))*((c_TMAP1OUT)-(0))+IF(((c_TMAP1OUT)-(0))&gt;=0,1,-1)*QUOTIENT(((c_TMAP1IN)-(c_TFWD)),2)),((c_TMAP1IN)-(c_TFWD)))+(0)+IF(((c_TMAP1OUT)-(0))&gt;=0,IF(IF(o_WRAP=1,MOD(((c_TMAP1IN)-(c_TFWD))*(((K118)-(c_TFWD))*((c_TMAP1OUT)-(0))+IF(((c_TMAP1OUT)-(0))&gt;=0,1,-1)*QUOTIENT(((c_TMAP1IN)-(c_TFWD)),2))+2147483648,4294967296)-2147483648,((c_TMAP1IN)-(c_TFWD))*(((K118)-(c_TFWD))*((c_TMAP1OUT)-(0))+IF(((c_TMAP1OUT)-(0))&gt;=0,1,-1)*QUOTIENT(((c_TMAP1IN)-(c_TFWD)),2)))&lt;0,-1,0),IF(IF(o_WRAP=1,MOD(((c_TMAP1IN)-(c_TFWD))*(((K118)-(c_TFWD))*((c_TMAP1OUT)-(0))+IF(((c_TMAP1OUT)-(0))&gt;=0,1,-1)*QUOTIENT(((c_TMAP1IN)-(c_TFWD)),2))+2147483648,4294967296)-2147483648,((c_TMAP1IN)-(c_TFWD))*(((K118)-(c_TFWD))*((c_TMAP1OUT)-(0))+IF(((c_TMAP1OUT)-(0))&gt;=0,1,-1)*QUOTIENT(((c_TMAP1IN)-(c_TFWD)),2)))&gt;=0,1,0)))</f>
        <v>117</v>
      </c>
      <c r="N118" s="7" t="n">
        <f aca="false">IF(((c_TMAP2IN)-(c_TMAP1IN))=0,(c_TMAP1OUT)+QUOTIENT(((c_TMAP2OUT)-(c_TMAP1OUT)),2),QUOTIENT((((K118)-(c_TMAP1IN))*((c_TMAP2OUT)-(c_TMAP1OUT))+IF(((c_TMAP2OUT)-(c_TMAP1OUT))&gt;=0,1,-1)*QUOTIENT(((c_TMAP2IN)-(c_TMAP1IN)),2)),((c_TMAP2IN)-(c_TMAP1IN)))+(c_TMAP1OUT)+IF(((c_TMAP2OUT)-(c_TMAP1OUT))&gt;=0,IF(IF(o_WRAP=1,MOD(((c_TMAP2IN)-(c_TMAP1IN))*(((K118)-(c_TMAP1IN))*((c_TMAP2OUT)-(c_TMAP1OUT))+IF(((c_TMAP2OUT)-(c_TMAP1OUT))&gt;=0,1,-1)*QUOTIENT(((c_TMAP2IN)-(c_TMAP1IN)),2))+2147483648,4294967296)-2147483648,((c_TMAP2IN)-(c_TMAP1IN))*(((K118)-(c_TMAP1IN))*((c_TMAP2OUT)-(c_TMAP1OUT))+IF(((c_TMAP2OUT)-(c_TMAP1OUT))&gt;=0,1,-1)*QUOTIENT(((c_TMAP2IN)-(c_TMAP1IN)),2)))&lt;0,-1,0),IF(IF(o_WRAP=1,MOD(((c_TMAP2IN)-(c_TMAP1IN))*(((K118)-(c_TMAP1IN))*((c_TMAP2OUT)-(c_TMAP1OUT))+IF(((c_TMAP2OUT)-(c_TMAP1OUT))&gt;=0,1,-1)*QUOTIENT(((c_TMAP2IN)-(c_TMAP1IN)),2))+2147483648,4294967296)-2147483648,((c_TMAP2IN)-(c_TMAP1IN))*(((K118)-(c_TMAP1IN))*((c_TMAP2OUT)-(c_TMAP1OUT))+IF(((c_TMAP2OUT)-(c_TMAP1OUT))&gt;=0,1,-1)*QUOTIENT(((c_TMAP2IN)-(c_TMAP1IN)),2)))&gt;=0,1,0)))</f>
        <v>94</v>
      </c>
      <c r="O118" s="7" t="n">
        <f aca="false">IF(((c_TMAP3IN)-(c_TMAP2IN))=0,(c_TMAP2OUT)+QUOTIENT(((c_TMAP3OUT)-(c_TMAP2OUT)),2),QUOTIENT((((K118)-(c_TMAP2IN))*((c_TMAP3OUT)-(c_TMAP2OUT))+IF(((c_TMAP3OUT)-(c_TMAP2OUT))&gt;=0,1,-1)*QUOTIENT(((c_TMAP3IN)-(c_TMAP2IN)),2)),((c_TMAP3IN)-(c_TMAP2IN)))+(c_TMAP2OUT)+IF(((c_TMAP3OUT)-(c_TMAP2OUT))&gt;=0,IF(IF(o_WRAP=1,MOD(((c_TMAP3IN)-(c_TMAP2IN))*(((K118)-(c_TMAP2IN))*((c_TMAP3OUT)-(c_TMAP2OUT))+IF(((c_TMAP3OUT)-(c_TMAP2OUT))&gt;=0,1,-1)*QUOTIENT(((c_TMAP3IN)-(c_TMAP2IN)),2))+2147483648,4294967296)-2147483648,((c_TMAP3IN)-(c_TMAP2IN))*(((K118)-(c_TMAP2IN))*((c_TMAP3OUT)-(c_TMAP2OUT))+IF(((c_TMAP3OUT)-(c_TMAP2OUT))&gt;=0,1,-1)*QUOTIENT(((c_TMAP3IN)-(c_TMAP2IN)),2)))&lt;0,-1,0),IF(IF(o_WRAP=1,MOD(((c_TMAP3IN)-(c_TMAP2IN))*(((K118)-(c_TMAP2IN))*((c_TMAP3OUT)-(c_TMAP2OUT))+IF(((c_TMAP3OUT)-(c_TMAP2OUT))&gt;=0,1,-1)*QUOTIENT(((c_TMAP3IN)-(c_TMAP2IN)),2))+2147483648,4294967296)-2147483648,((c_TMAP3IN)-(c_TMAP2IN))*(((K118)-(c_TMAP2IN))*((c_TMAP3OUT)-(c_TMAP2OUT))+IF(((c_TMAP3OUT)-(c_TMAP2OUT))&gt;=0,1,-1)*QUOTIENT(((c_TMAP3IN)-(c_TMAP2IN)),2)))&gt;=0,1,0)))</f>
        <v>67</v>
      </c>
      <c r="P118" s="7" t="n">
        <f aca="false">IF(((1000)-(c_TMAP3IN))=0,(c_TMAP3OUT)+QUOTIENT(((1000)-(c_TMAP3OUT)),2),QUOTIENT((((K118)-(c_TMAP3IN))*((1000)-(c_TMAP3OUT))+IF(((1000)-(c_TMAP3OUT))&gt;=0,1,-1)*QUOTIENT(((1000)-(c_TMAP3IN)),2)),((1000)-(c_TMAP3IN)))+(c_TMAP3OUT)+IF(((1000)-(c_TMAP3OUT))&gt;=0,IF(IF(o_WRAP=1,MOD(((1000)-(c_TMAP3IN))*(((K118)-(c_TMAP3IN))*((1000)-(c_TMAP3OUT))+IF(((1000)-(c_TMAP3OUT))&gt;=0,1,-1)*QUOTIENT(((1000)-(c_TMAP3IN)),2))+2147483648,4294967296)-2147483648,((1000)-(c_TMAP3IN))*(((K118)-(c_TMAP3IN))*((1000)-(c_TMAP3OUT))+IF(((1000)-(c_TMAP3OUT))&gt;=0,1,-1)*QUOTIENT(((1000)-(c_TMAP3IN)),2)))&lt;0,-1,0),IF(IF(o_WRAP=1,MOD(((1000)-(c_TMAP3IN))*(((K118)-(c_TMAP3IN))*((1000)-(c_TMAP3OUT))+IF(((1000)-(c_TMAP3OUT))&gt;=0,1,-1)*QUOTIENT(((1000)-(c_TMAP3IN)),2))+2147483648,4294967296)-2147483648,((1000)-(c_TMAP3IN))*(((K118)-(c_TMAP3IN))*((1000)-(c_TMAP3OUT))+IF(((1000)-(c_TMAP3OUT))&gt;=0,1,-1)*QUOTIENT(((1000)-(c_TMAP3IN)),2)))&gt;=0,1,0)))</f>
        <v>-34</v>
      </c>
      <c r="Q118" s="7" t="str">
        <f aca="false">IF(K118&gt;=c_TFWD,IF(AND(K118&gt;=c_TMAP3IN,c_TMAP3IN&lt;1000),"Seg4 map3-100%",IF(AND(K118&gt;=c_TMAP2IN,c_TMAP3IN&gt;c_TMAP2IN),"Seg3 map2-map3",IF(AND(K118&gt;=c_TMAP1IN,c_TMAP2IN&gt;c_TMAP1IN),"Seg2 map1-map2","Seg1 TFWD-map1"))),IF(AND(K118=0,c_TCREEP&gt;0),"Creep",IF(AND(K118&lt;=c_TRNGMIN,K118&gt;=c_TRNGMAX,c_TRNGMIN-c_TRNGMAX&lt;&gt;0),"Regen ramp","Coast (0)")))</f>
        <v>Seg2 map1-map2</v>
      </c>
      <c r="R118" s="7" t="n">
        <f aca="false">IF(K118&gt;=c_TFWD,IF(AND(K118&gt;=c_TMAP3IN,c_TMAP3IN&lt;1000),P118,IF(AND(K118&gt;=c_TMAP2IN,c_TMAP3IN&gt;c_TMAP2IN),O118,IF(AND(K118&gt;=c_TMAP1IN,c_TMAP2IN&gt;c_TMAP1IN),N118,M118))),L118)</f>
        <v>94</v>
      </c>
      <c r="S118" s="7" t="str">
        <f aca="false">IF(R118&lt;-1090,"TOO LOW",IF(R118&gt;1090,"TOO HIGH",""))</f>
        <v/>
      </c>
      <c r="T118" s="15" t="n">
        <f aca="false">IF(H118&lt;&gt;"OK",0,IF(S118&lt;&gt;"",0,IF(R118&gt;979,1000,R118)))</f>
        <v>94</v>
      </c>
      <c r="U118" s="7" t="n">
        <f aca="false">T118/10</f>
        <v>9.4</v>
      </c>
    </row>
    <row r="119" customFormat="false" ht="15" hidden="false" customHeight="false" outlineLevel="0" collapsed="false">
      <c r="A119" s="7" t="n">
        <v>114</v>
      </c>
      <c r="B119" s="7" t="n">
        <f aca="false">ROUND(o_SWSTART+A119*(o_SWEND-o_SWSTART)/400,0)</f>
        <v>1167</v>
      </c>
      <c r="C119" s="7" t="n">
        <f aca="false">QUOTIENT((B119-c_OFF1)*c_GAIN1,1024)</f>
        <v>1167</v>
      </c>
      <c r="D119" s="7" t="n">
        <f aca="false">IF(((c_T1MX)-(c_T1MN))=0,(0)+QUOTIENT(((1000)-(0)),2),QUOTIENT((((C119)-(c_T1MN))*((1000)-(0))+IF(((1000)-(0))&gt;=0,1,-1)*QUOTIENT(((c_T1MX)-(c_T1MN)),2)),((c_T1MX)-(c_T1MN)))+(0)+IF(((1000)-(0))&gt;=0,IF(IF(o_WRAP=1,MOD(((c_T1MX)-(c_T1MN))*(((C119)-(c_T1MN))*((1000)-(0))+IF(((1000)-(0))&gt;=0,1,-1)*QUOTIENT(((c_T1MX)-(c_T1MN)),2))+2147483648,4294967296)-2147483648,((c_T1MX)-(c_T1MN))*(((C119)-(c_T1MN))*((1000)-(0))+IF(((1000)-(0))&gt;=0,1,-1)*QUOTIENT(((c_T1MX)-(c_T1MN)),2)))&lt;0,-1,0),IF(IF(o_WRAP=1,MOD(((c_T1MX)-(c_T1MN))*(((C119)-(c_T1MN))*((1000)-(0))+IF(((1000)-(0))&gt;=0,1,-1)*QUOTIENT(((c_T1MX)-(c_T1MN)),2))+2147483648,4294967296)-2147483648,((c_T1MX)-(c_T1MN))*(((C119)-(c_T1MN))*((1000)-(0))+IF(((1000)-(0))&gt;=0,1,-1)*QUOTIENT(((c_T1MX)-(c_T1MN)),2)))&gt;=0,1,0)))</f>
        <v>164</v>
      </c>
      <c r="E119" s="7" t="n">
        <f aca="false">IF(AND(c_TPOT=1,c_TTYPE=2),1000-D119,D119)</f>
        <v>164</v>
      </c>
      <c r="F119" s="7" t="str">
        <f aca="false">IF(c_TPOT&gt;1,ROUND(IF(c_TTYPE=2,c_T2MX-IF(c_T1MX=c_T1MN,0,(C119-c_T1MN)/(c_T1MX-c_T1MN))*(c_T2MX-c_T2MN),c_T2MN+IF(c_T1MX=c_T1MN,0,(C119-c_T1MN)/(c_T1MX-c_T1MN))*(c_T2MX-c_T2MN))+o_MISMATCH,0),"")</f>
        <v/>
      </c>
      <c r="G119" s="7" t="str">
        <f aca="false">IF(c_TPOT&gt;1,IF(((c_T2MX)-(c_T2MN))=0,(0)+QUOTIENT(((1000)-(0)),2),QUOTIENT((((F119)-(c_T2MN))*((1000)-(0))+IF(((1000)-(0))&gt;=0,1,-1)*QUOTIENT(((c_T2MX)-(c_T2MN)),2)),((c_T2MX)-(c_T2MN)))+(0)+IF(((1000)-(0))&gt;=0,IF(IF(o_WRAP=1,MOD(((c_T2MX)-(c_T2MN))*(((F119)-(c_T2MN))*((1000)-(0))+IF(((1000)-(0))&gt;=0,1,-1)*QUOTIENT(((c_T2MX)-(c_T2MN)),2))+2147483648,4294967296)-2147483648,((c_T2MX)-(c_T2MN))*(((F119)-(c_T2MN))*((1000)-(0))+IF(((1000)-(0))&gt;=0,1,-1)*QUOTIENT(((c_T2MX)-(c_T2MN)),2)))&lt;0,-1,0),IF(IF(o_WRAP=1,MOD(((c_T2MX)-(c_T2MN))*(((F119)-(c_T2MN))*((1000)-(0))+IF(((1000)-(0))&gt;=0,1,-1)*QUOTIENT(((c_T2MX)-(c_T2MN)),2))+2147483648,4294967296)-2147483648,((c_T2MX)-(c_T2MN))*(((F119)-(c_T2MN))*((1000)-(0))+IF(((1000)-(0))&gt;=0,1,-1)*QUOTIENT(((c_T2MX)-(c_T2MN)),2)))&gt;=0,1,0))),"")</f>
        <v/>
      </c>
      <c r="H119" s="7" t="str">
        <f aca="false">IF(E119&gt;1000+k_TOL,"T1 HIGH",IF(E119&lt;0-k_TOL,"T1 LOW",IF(c_TPOT&gt;1,IF(G119&gt;1000+k_TOL,"T2 HIGH",IF(G119&lt;0-k_TOL,"T2 LOW",IF(c_TTYPE=2,IF(ABS(1000-MAX(0,MIN(1000,E119))-MAX(0,MIN(1000,G119)))&gt;k_MAXERR,"MISMATCH","OK"),IF(OR(MAX(0,MIN(1000,E119))-k_MAXERR&gt;MAX(0,MIN(1000,G119)),MAX(0,MIN(1000,G119))-k_MAXERR&gt;MAX(0,MIN(1000,E119))),"MISMATCH","OK")))),"OK")))</f>
        <v>OK</v>
      </c>
      <c r="I119" s="7" t="n">
        <f aca="false">MAX(0,MIN(1000,D119))</f>
        <v>164</v>
      </c>
      <c r="J119" s="7" t="str">
        <f aca="false">IF(c_TPOT&gt;1,IF(c_TTYPE=2,1000-MAX(0,MIN(1000,G119)),MAX(0,MIN(1000,G119))),"")</f>
        <v/>
      </c>
      <c r="K119" s="7" t="n">
        <f aca="false">IF(c_TPOT&gt;1,QUOTIENT(I119+J119,2),I119)</f>
        <v>164</v>
      </c>
      <c r="L119" s="7" t="n">
        <f aca="false">IF(AND(K119=0,c_TCREEP&gt;0),10*c_TCREEP,IF(AND(K119&lt;=c_TRNGMIN,K119&gt;=c_TRNGMAX,c_TRNGMIN-c_TRNGMAX&lt;&gt;0),-10*c_TMINRN+QUOTIENT((c_TMAXRN-c_TMINRN)*(100-QUOTIENT((K119-c_TRNGMAX)*100,c_TRNGMIN-c_TRNGMAX)),-10),0))</f>
        <v>0</v>
      </c>
      <c r="M119" s="7" t="n">
        <f aca="false">IF(((c_TMAP1IN)-(c_TFWD))=0,(0)+QUOTIENT(((c_TMAP1OUT)-(0)),2),QUOTIENT((((K119)-(c_TFWD))*((c_TMAP1OUT)-(0))+IF(((c_TMAP1OUT)-(0))&gt;=0,1,-1)*QUOTIENT(((c_TMAP1IN)-(c_TFWD)),2)),((c_TMAP1IN)-(c_TFWD)))+(0)+IF(((c_TMAP1OUT)-(0))&gt;=0,IF(IF(o_WRAP=1,MOD(((c_TMAP1IN)-(c_TFWD))*(((K119)-(c_TFWD))*((c_TMAP1OUT)-(0))+IF(((c_TMAP1OUT)-(0))&gt;=0,1,-1)*QUOTIENT(((c_TMAP1IN)-(c_TFWD)),2))+2147483648,4294967296)-2147483648,((c_TMAP1IN)-(c_TFWD))*(((K119)-(c_TFWD))*((c_TMAP1OUT)-(0))+IF(((c_TMAP1OUT)-(0))&gt;=0,1,-1)*QUOTIENT(((c_TMAP1IN)-(c_TFWD)),2)))&lt;0,-1,0),IF(IF(o_WRAP=1,MOD(((c_TMAP1IN)-(c_TFWD))*(((K119)-(c_TFWD))*((c_TMAP1OUT)-(0))+IF(((c_TMAP1OUT)-(0))&gt;=0,1,-1)*QUOTIENT(((c_TMAP1IN)-(c_TFWD)),2))+2147483648,4294967296)-2147483648,((c_TMAP1IN)-(c_TFWD))*(((K119)-(c_TFWD))*((c_TMAP1OUT)-(0))+IF(((c_TMAP1OUT)-(0))&gt;=0,1,-1)*QUOTIENT(((c_TMAP1IN)-(c_TFWD)),2)))&gt;=0,1,0)))</f>
        <v>120</v>
      </c>
      <c r="N119" s="7" t="n">
        <f aca="false">IF(((c_TMAP2IN)-(c_TMAP1IN))=0,(c_TMAP1OUT)+QUOTIENT(((c_TMAP2OUT)-(c_TMAP1OUT)),2),QUOTIENT((((K119)-(c_TMAP1IN))*((c_TMAP2OUT)-(c_TMAP1OUT))+IF(((c_TMAP2OUT)-(c_TMAP1OUT))&gt;=0,1,-1)*QUOTIENT(((c_TMAP2IN)-(c_TMAP1IN)),2)),((c_TMAP2IN)-(c_TMAP1IN)))+(c_TMAP1OUT)+IF(((c_TMAP2OUT)-(c_TMAP1OUT))&gt;=0,IF(IF(o_WRAP=1,MOD(((c_TMAP2IN)-(c_TMAP1IN))*(((K119)-(c_TMAP1IN))*((c_TMAP2OUT)-(c_TMAP1OUT))+IF(((c_TMAP2OUT)-(c_TMAP1OUT))&gt;=0,1,-1)*QUOTIENT(((c_TMAP2IN)-(c_TMAP1IN)),2))+2147483648,4294967296)-2147483648,((c_TMAP2IN)-(c_TMAP1IN))*(((K119)-(c_TMAP1IN))*((c_TMAP2OUT)-(c_TMAP1OUT))+IF(((c_TMAP2OUT)-(c_TMAP1OUT))&gt;=0,1,-1)*QUOTIENT(((c_TMAP2IN)-(c_TMAP1IN)),2)))&lt;0,-1,0),IF(IF(o_WRAP=1,MOD(((c_TMAP2IN)-(c_TMAP1IN))*(((K119)-(c_TMAP1IN))*((c_TMAP2OUT)-(c_TMAP1OUT))+IF(((c_TMAP2OUT)-(c_TMAP1OUT))&gt;=0,1,-1)*QUOTIENT(((c_TMAP2IN)-(c_TMAP1IN)),2))+2147483648,4294967296)-2147483648,((c_TMAP2IN)-(c_TMAP1IN))*(((K119)-(c_TMAP1IN))*((c_TMAP2OUT)-(c_TMAP1OUT))+IF(((c_TMAP2OUT)-(c_TMAP1OUT))&gt;=0,1,-1)*QUOTIENT(((c_TMAP2IN)-(c_TMAP1IN)),2)))&gt;=0,1,0)))</f>
        <v>96</v>
      </c>
      <c r="O119" s="7" t="n">
        <f aca="false">IF(((c_TMAP3IN)-(c_TMAP2IN))=0,(c_TMAP2OUT)+QUOTIENT(((c_TMAP3OUT)-(c_TMAP2OUT)),2),QUOTIENT((((K119)-(c_TMAP2IN))*((c_TMAP3OUT)-(c_TMAP2OUT))+IF(((c_TMAP3OUT)-(c_TMAP2OUT))&gt;=0,1,-1)*QUOTIENT(((c_TMAP3IN)-(c_TMAP2IN)),2)),((c_TMAP3IN)-(c_TMAP2IN)))+(c_TMAP2OUT)+IF(((c_TMAP3OUT)-(c_TMAP2OUT))&gt;=0,IF(IF(o_WRAP=1,MOD(((c_TMAP3IN)-(c_TMAP2IN))*(((K119)-(c_TMAP2IN))*((c_TMAP3OUT)-(c_TMAP2OUT))+IF(((c_TMAP3OUT)-(c_TMAP2OUT))&gt;=0,1,-1)*QUOTIENT(((c_TMAP3IN)-(c_TMAP2IN)),2))+2147483648,4294967296)-2147483648,((c_TMAP3IN)-(c_TMAP2IN))*(((K119)-(c_TMAP2IN))*((c_TMAP3OUT)-(c_TMAP2OUT))+IF(((c_TMAP3OUT)-(c_TMAP2OUT))&gt;=0,1,-1)*QUOTIENT(((c_TMAP3IN)-(c_TMAP2IN)),2)))&lt;0,-1,0),IF(IF(o_WRAP=1,MOD(((c_TMAP3IN)-(c_TMAP2IN))*(((K119)-(c_TMAP2IN))*((c_TMAP3OUT)-(c_TMAP2OUT))+IF(((c_TMAP3OUT)-(c_TMAP2OUT))&gt;=0,1,-1)*QUOTIENT(((c_TMAP3IN)-(c_TMAP2IN)),2))+2147483648,4294967296)-2147483648,((c_TMAP3IN)-(c_TMAP2IN))*(((K119)-(c_TMAP2IN))*((c_TMAP3OUT)-(c_TMAP2OUT))+IF(((c_TMAP3OUT)-(c_TMAP2OUT))&gt;=0,1,-1)*QUOTIENT(((c_TMAP3IN)-(c_TMAP2IN)),2)))&gt;=0,1,0)))</f>
        <v>70</v>
      </c>
      <c r="P119" s="7" t="n">
        <f aca="false">IF(((1000)-(c_TMAP3IN))=0,(c_TMAP3OUT)+QUOTIENT(((1000)-(c_TMAP3OUT)),2),QUOTIENT((((K119)-(c_TMAP3IN))*((1000)-(c_TMAP3OUT))+IF(((1000)-(c_TMAP3OUT))&gt;=0,1,-1)*QUOTIENT(((1000)-(c_TMAP3IN)),2)),((1000)-(c_TMAP3IN)))+(c_TMAP3OUT)+IF(((1000)-(c_TMAP3OUT))&gt;=0,IF(IF(o_WRAP=1,MOD(((1000)-(c_TMAP3IN))*(((K119)-(c_TMAP3IN))*((1000)-(c_TMAP3OUT))+IF(((1000)-(c_TMAP3OUT))&gt;=0,1,-1)*QUOTIENT(((1000)-(c_TMAP3IN)),2))+2147483648,4294967296)-2147483648,((1000)-(c_TMAP3IN))*(((K119)-(c_TMAP3IN))*((1000)-(c_TMAP3OUT))+IF(((1000)-(c_TMAP3OUT))&gt;=0,1,-1)*QUOTIENT(((1000)-(c_TMAP3IN)),2)))&lt;0,-1,0),IF(IF(o_WRAP=1,MOD(((1000)-(c_TMAP3IN))*(((K119)-(c_TMAP3IN))*((1000)-(c_TMAP3OUT))+IF(((1000)-(c_TMAP3OUT))&gt;=0,1,-1)*QUOTIENT(((1000)-(c_TMAP3IN)),2))+2147483648,4294967296)-2147483648,((1000)-(c_TMAP3IN))*(((K119)-(c_TMAP3IN))*((1000)-(c_TMAP3OUT))+IF(((1000)-(c_TMAP3OUT))&gt;=0,1,-1)*QUOTIENT(((1000)-(c_TMAP3IN)),2)))&gt;=0,1,0)))</f>
        <v>-29</v>
      </c>
      <c r="Q119" s="7" t="str">
        <f aca="false">IF(K119&gt;=c_TFWD,IF(AND(K119&gt;=c_TMAP3IN,c_TMAP3IN&lt;1000),"Seg4 map3-100%",IF(AND(K119&gt;=c_TMAP2IN,c_TMAP3IN&gt;c_TMAP2IN),"Seg3 map2-map3",IF(AND(K119&gt;=c_TMAP1IN,c_TMAP2IN&gt;c_TMAP1IN),"Seg2 map1-map2","Seg1 TFWD-map1"))),IF(AND(K119=0,c_TCREEP&gt;0),"Creep",IF(AND(K119&lt;=c_TRNGMIN,K119&gt;=c_TRNGMAX,c_TRNGMIN-c_TRNGMAX&lt;&gt;0),"Regen ramp","Coast (0)")))</f>
        <v>Seg2 map1-map2</v>
      </c>
      <c r="R119" s="7" t="n">
        <f aca="false">IF(K119&gt;=c_TFWD,IF(AND(K119&gt;=c_TMAP3IN,c_TMAP3IN&lt;1000),P119,IF(AND(K119&gt;=c_TMAP2IN,c_TMAP3IN&gt;c_TMAP2IN),O119,IF(AND(K119&gt;=c_TMAP1IN,c_TMAP2IN&gt;c_TMAP1IN),N119,M119))),L119)</f>
        <v>96</v>
      </c>
      <c r="S119" s="7" t="str">
        <f aca="false">IF(R119&lt;-1090,"TOO LOW",IF(R119&gt;1090,"TOO HIGH",""))</f>
        <v/>
      </c>
      <c r="T119" s="15" t="n">
        <f aca="false">IF(H119&lt;&gt;"OK",0,IF(S119&lt;&gt;"",0,IF(R119&gt;979,1000,R119)))</f>
        <v>96</v>
      </c>
      <c r="U119" s="7" t="n">
        <f aca="false">T119/10</f>
        <v>9.6</v>
      </c>
    </row>
    <row r="120" customFormat="false" ht="15" hidden="false" customHeight="false" outlineLevel="0" collapsed="false">
      <c r="A120" s="7" t="n">
        <v>115</v>
      </c>
      <c r="B120" s="7" t="n">
        <f aca="false">ROUND(o_SWSTART+A120*(o_SWEND-o_SWSTART)/400,0)</f>
        <v>1177</v>
      </c>
      <c r="C120" s="7" t="n">
        <f aca="false">QUOTIENT((B120-c_OFF1)*c_GAIN1,1024)</f>
        <v>1177</v>
      </c>
      <c r="D120" s="7" t="n">
        <f aca="false">IF(((c_T1MX)-(c_T1MN))=0,(0)+QUOTIENT(((1000)-(0)),2),QUOTIENT((((C120)-(c_T1MN))*((1000)-(0))+IF(((1000)-(0))&gt;=0,1,-1)*QUOTIENT(((c_T1MX)-(c_T1MN)),2)),((c_T1MX)-(c_T1MN)))+(0)+IF(((1000)-(0))&gt;=0,IF(IF(o_WRAP=1,MOD(((c_T1MX)-(c_T1MN))*(((C120)-(c_T1MN))*((1000)-(0))+IF(((1000)-(0))&gt;=0,1,-1)*QUOTIENT(((c_T1MX)-(c_T1MN)),2))+2147483648,4294967296)-2147483648,((c_T1MX)-(c_T1MN))*(((C120)-(c_T1MN))*((1000)-(0))+IF(((1000)-(0))&gt;=0,1,-1)*QUOTIENT(((c_T1MX)-(c_T1MN)),2)))&lt;0,-1,0),IF(IF(o_WRAP=1,MOD(((c_T1MX)-(c_T1MN))*(((C120)-(c_T1MN))*((1000)-(0))+IF(((1000)-(0))&gt;=0,1,-1)*QUOTIENT(((c_T1MX)-(c_T1MN)),2))+2147483648,4294967296)-2147483648,((c_T1MX)-(c_T1MN))*(((C120)-(c_T1MN))*((1000)-(0))+IF(((1000)-(0))&gt;=0,1,-1)*QUOTIENT(((c_T1MX)-(c_T1MN)),2)))&gt;=0,1,0)))</f>
        <v>167</v>
      </c>
      <c r="E120" s="7" t="n">
        <f aca="false">IF(AND(c_TPOT=1,c_TTYPE=2),1000-D120,D120)</f>
        <v>167</v>
      </c>
      <c r="F120" s="7" t="str">
        <f aca="false">IF(c_TPOT&gt;1,ROUND(IF(c_TTYPE=2,c_T2MX-IF(c_T1MX=c_T1MN,0,(C120-c_T1MN)/(c_T1MX-c_T1MN))*(c_T2MX-c_T2MN),c_T2MN+IF(c_T1MX=c_T1MN,0,(C120-c_T1MN)/(c_T1MX-c_T1MN))*(c_T2MX-c_T2MN))+o_MISMATCH,0),"")</f>
        <v/>
      </c>
      <c r="G120" s="7" t="str">
        <f aca="false">IF(c_TPOT&gt;1,IF(((c_T2MX)-(c_T2MN))=0,(0)+QUOTIENT(((1000)-(0)),2),QUOTIENT((((F120)-(c_T2MN))*((1000)-(0))+IF(((1000)-(0))&gt;=0,1,-1)*QUOTIENT(((c_T2MX)-(c_T2MN)),2)),((c_T2MX)-(c_T2MN)))+(0)+IF(((1000)-(0))&gt;=0,IF(IF(o_WRAP=1,MOD(((c_T2MX)-(c_T2MN))*(((F120)-(c_T2MN))*((1000)-(0))+IF(((1000)-(0))&gt;=0,1,-1)*QUOTIENT(((c_T2MX)-(c_T2MN)),2))+2147483648,4294967296)-2147483648,((c_T2MX)-(c_T2MN))*(((F120)-(c_T2MN))*((1000)-(0))+IF(((1000)-(0))&gt;=0,1,-1)*QUOTIENT(((c_T2MX)-(c_T2MN)),2)))&lt;0,-1,0),IF(IF(o_WRAP=1,MOD(((c_T2MX)-(c_T2MN))*(((F120)-(c_T2MN))*((1000)-(0))+IF(((1000)-(0))&gt;=0,1,-1)*QUOTIENT(((c_T2MX)-(c_T2MN)),2))+2147483648,4294967296)-2147483648,((c_T2MX)-(c_T2MN))*(((F120)-(c_T2MN))*((1000)-(0))+IF(((1000)-(0))&gt;=0,1,-1)*QUOTIENT(((c_T2MX)-(c_T2MN)),2)))&gt;=0,1,0))),"")</f>
        <v/>
      </c>
      <c r="H120" s="7" t="str">
        <f aca="false">IF(E120&gt;1000+k_TOL,"T1 HIGH",IF(E120&lt;0-k_TOL,"T1 LOW",IF(c_TPOT&gt;1,IF(G120&gt;1000+k_TOL,"T2 HIGH",IF(G120&lt;0-k_TOL,"T2 LOW",IF(c_TTYPE=2,IF(ABS(1000-MAX(0,MIN(1000,E120))-MAX(0,MIN(1000,G120)))&gt;k_MAXERR,"MISMATCH","OK"),IF(OR(MAX(0,MIN(1000,E120))-k_MAXERR&gt;MAX(0,MIN(1000,G120)),MAX(0,MIN(1000,G120))-k_MAXERR&gt;MAX(0,MIN(1000,E120))),"MISMATCH","OK")))),"OK")))</f>
        <v>OK</v>
      </c>
      <c r="I120" s="7" t="n">
        <f aca="false">MAX(0,MIN(1000,D120))</f>
        <v>167</v>
      </c>
      <c r="J120" s="7" t="str">
        <f aca="false">IF(c_TPOT&gt;1,IF(c_TTYPE=2,1000-MAX(0,MIN(1000,G120)),MAX(0,MIN(1000,G120))),"")</f>
        <v/>
      </c>
      <c r="K120" s="7" t="n">
        <f aca="false">IF(c_TPOT&gt;1,QUOTIENT(I120+J120,2),I120)</f>
        <v>167</v>
      </c>
      <c r="L120" s="7" t="n">
        <f aca="false">IF(AND(K120=0,c_TCREEP&gt;0),10*c_TCREEP,IF(AND(K120&lt;=c_TRNGMIN,K120&gt;=c_TRNGMAX,c_TRNGMIN-c_TRNGMAX&lt;&gt;0),-10*c_TMINRN+QUOTIENT((c_TMAXRN-c_TMINRN)*(100-QUOTIENT((K120-c_TRNGMAX)*100,c_TRNGMIN-c_TRNGMAX)),-10),0))</f>
        <v>0</v>
      </c>
      <c r="M120" s="7" t="n">
        <f aca="false">IF(((c_TMAP1IN)-(c_TFWD))=0,(0)+QUOTIENT(((c_TMAP1OUT)-(0)),2),QUOTIENT((((K120)-(c_TFWD))*((c_TMAP1OUT)-(0))+IF(((c_TMAP1OUT)-(0))&gt;=0,1,-1)*QUOTIENT(((c_TMAP1IN)-(c_TFWD)),2)),((c_TMAP1IN)-(c_TFWD)))+(0)+IF(((c_TMAP1OUT)-(0))&gt;=0,IF(IF(o_WRAP=1,MOD(((c_TMAP1IN)-(c_TFWD))*(((K120)-(c_TFWD))*((c_TMAP1OUT)-(0))+IF(((c_TMAP1OUT)-(0))&gt;=0,1,-1)*QUOTIENT(((c_TMAP1IN)-(c_TFWD)),2))+2147483648,4294967296)-2147483648,((c_TMAP1IN)-(c_TFWD))*(((K120)-(c_TFWD))*((c_TMAP1OUT)-(0))+IF(((c_TMAP1OUT)-(0))&gt;=0,1,-1)*QUOTIENT(((c_TMAP1IN)-(c_TFWD)),2)))&lt;0,-1,0),IF(IF(o_WRAP=1,MOD(((c_TMAP1IN)-(c_TFWD))*(((K120)-(c_TFWD))*((c_TMAP1OUT)-(0))+IF(((c_TMAP1OUT)-(0))&gt;=0,1,-1)*QUOTIENT(((c_TMAP1IN)-(c_TFWD)),2))+2147483648,4294967296)-2147483648,((c_TMAP1IN)-(c_TFWD))*(((K120)-(c_TFWD))*((c_TMAP1OUT)-(0))+IF(((c_TMAP1OUT)-(0))&gt;=0,1,-1)*QUOTIENT(((c_TMAP1IN)-(c_TFWD)),2)))&gt;=0,1,0)))</f>
        <v>122</v>
      </c>
      <c r="N120" s="7" t="n">
        <f aca="false">IF(((c_TMAP2IN)-(c_TMAP1IN))=0,(c_TMAP1OUT)+QUOTIENT(((c_TMAP2OUT)-(c_TMAP1OUT)),2),QUOTIENT((((K120)-(c_TMAP1IN))*((c_TMAP2OUT)-(c_TMAP1OUT))+IF(((c_TMAP2OUT)-(c_TMAP1OUT))&gt;=0,1,-1)*QUOTIENT(((c_TMAP2IN)-(c_TMAP1IN)),2)),((c_TMAP2IN)-(c_TMAP1IN)))+(c_TMAP1OUT)+IF(((c_TMAP2OUT)-(c_TMAP1OUT))&gt;=0,IF(IF(o_WRAP=1,MOD(((c_TMAP2IN)-(c_TMAP1IN))*(((K120)-(c_TMAP1IN))*((c_TMAP2OUT)-(c_TMAP1OUT))+IF(((c_TMAP2OUT)-(c_TMAP1OUT))&gt;=0,1,-1)*QUOTIENT(((c_TMAP2IN)-(c_TMAP1IN)),2))+2147483648,4294967296)-2147483648,((c_TMAP2IN)-(c_TMAP1IN))*(((K120)-(c_TMAP1IN))*((c_TMAP2OUT)-(c_TMAP1OUT))+IF(((c_TMAP2OUT)-(c_TMAP1OUT))&gt;=0,1,-1)*QUOTIENT(((c_TMAP2IN)-(c_TMAP1IN)),2)))&lt;0,-1,0),IF(IF(o_WRAP=1,MOD(((c_TMAP2IN)-(c_TMAP1IN))*(((K120)-(c_TMAP1IN))*((c_TMAP2OUT)-(c_TMAP1OUT))+IF(((c_TMAP2OUT)-(c_TMAP1OUT))&gt;=0,1,-1)*QUOTIENT(((c_TMAP2IN)-(c_TMAP1IN)),2))+2147483648,4294967296)-2147483648,((c_TMAP2IN)-(c_TMAP1IN))*(((K120)-(c_TMAP1IN))*((c_TMAP2OUT)-(c_TMAP1OUT))+IF(((c_TMAP2OUT)-(c_TMAP1OUT))&gt;=0,1,-1)*QUOTIENT(((c_TMAP2IN)-(c_TMAP1IN)),2)))&gt;=0,1,0)))</f>
        <v>97</v>
      </c>
      <c r="O120" s="7" t="n">
        <f aca="false">IF(((c_TMAP3IN)-(c_TMAP2IN))=0,(c_TMAP2OUT)+QUOTIENT(((c_TMAP3OUT)-(c_TMAP2OUT)),2),QUOTIENT((((K120)-(c_TMAP2IN))*((c_TMAP3OUT)-(c_TMAP2OUT))+IF(((c_TMAP3OUT)-(c_TMAP2OUT))&gt;=0,1,-1)*QUOTIENT(((c_TMAP3IN)-(c_TMAP2IN)),2)),((c_TMAP3IN)-(c_TMAP2IN)))+(c_TMAP2OUT)+IF(((c_TMAP3OUT)-(c_TMAP2OUT))&gt;=0,IF(IF(o_WRAP=1,MOD(((c_TMAP3IN)-(c_TMAP2IN))*(((K120)-(c_TMAP2IN))*((c_TMAP3OUT)-(c_TMAP2OUT))+IF(((c_TMAP3OUT)-(c_TMAP2OUT))&gt;=0,1,-1)*QUOTIENT(((c_TMAP3IN)-(c_TMAP2IN)),2))+2147483648,4294967296)-2147483648,((c_TMAP3IN)-(c_TMAP2IN))*(((K120)-(c_TMAP2IN))*((c_TMAP3OUT)-(c_TMAP2OUT))+IF(((c_TMAP3OUT)-(c_TMAP2OUT))&gt;=0,1,-1)*QUOTIENT(((c_TMAP3IN)-(c_TMAP2IN)),2)))&lt;0,-1,0),IF(IF(o_WRAP=1,MOD(((c_TMAP3IN)-(c_TMAP2IN))*(((K120)-(c_TMAP2IN))*((c_TMAP3OUT)-(c_TMAP2OUT))+IF(((c_TMAP3OUT)-(c_TMAP2OUT))&gt;=0,1,-1)*QUOTIENT(((c_TMAP3IN)-(c_TMAP2IN)),2))+2147483648,4294967296)-2147483648,((c_TMAP3IN)-(c_TMAP2IN))*(((K120)-(c_TMAP2IN))*((c_TMAP3OUT)-(c_TMAP2OUT))+IF(((c_TMAP3OUT)-(c_TMAP2OUT))&gt;=0,1,-1)*QUOTIENT(((c_TMAP3IN)-(c_TMAP2IN)),2)))&gt;=0,1,0)))</f>
        <v>72</v>
      </c>
      <c r="P120" s="7" t="n">
        <f aca="false">IF(((1000)-(c_TMAP3IN))=0,(c_TMAP3OUT)+QUOTIENT(((1000)-(c_TMAP3OUT)),2),QUOTIENT((((K120)-(c_TMAP3IN))*((1000)-(c_TMAP3OUT))+IF(((1000)-(c_TMAP3OUT))&gt;=0,1,-1)*QUOTIENT(((1000)-(c_TMAP3IN)),2)),((1000)-(c_TMAP3IN)))+(c_TMAP3OUT)+IF(((1000)-(c_TMAP3OUT))&gt;=0,IF(IF(o_WRAP=1,MOD(((1000)-(c_TMAP3IN))*(((K120)-(c_TMAP3IN))*((1000)-(c_TMAP3OUT))+IF(((1000)-(c_TMAP3OUT))&gt;=0,1,-1)*QUOTIENT(((1000)-(c_TMAP3IN)),2))+2147483648,4294967296)-2147483648,((1000)-(c_TMAP3IN))*(((K120)-(c_TMAP3IN))*((1000)-(c_TMAP3OUT))+IF(((1000)-(c_TMAP3OUT))&gt;=0,1,-1)*QUOTIENT(((1000)-(c_TMAP3IN)),2)))&lt;0,-1,0),IF(IF(o_WRAP=1,MOD(((1000)-(c_TMAP3IN))*(((K120)-(c_TMAP3IN))*((1000)-(c_TMAP3OUT))+IF(((1000)-(c_TMAP3OUT))&gt;=0,1,-1)*QUOTIENT(((1000)-(c_TMAP3IN)),2))+2147483648,4294967296)-2147483648,((1000)-(c_TMAP3IN))*(((K120)-(c_TMAP3IN))*((1000)-(c_TMAP3OUT))+IF(((1000)-(c_TMAP3OUT))&gt;=0,1,-1)*QUOTIENT(((1000)-(c_TMAP3IN)),2)))&gt;=0,1,0)))</f>
        <v>-25</v>
      </c>
      <c r="Q120" s="7" t="str">
        <f aca="false">IF(K120&gt;=c_TFWD,IF(AND(K120&gt;=c_TMAP3IN,c_TMAP3IN&lt;1000),"Seg4 map3-100%",IF(AND(K120&gt;=c_TMAP2IN,c_TMAP3IN&gt;c_TMAP2IN),"Seg3 map2-map3",IF(AND(K120&gt;=c_TMAP1IN,c_TMAP2IN&gt;c_TMAP1IN),"Seg2 map1-map2","Seg1 TFWD-map1"))),IF(AND(K120=0,c_TCREEP&gt;0),"Creep",IF(AND(K120&lt;=c_TRNGMIN,K120&gt;=c_TRNGMAX,c_TRNGMIN-c_TRNGMAX&lt;&gt;0),"Regen ramp","Coast (0)")))</f>
        <v>Seg2 map1-map2</v>
      </c>
      <c r="R120" s="7" t="n">
        <f aca="false">IF(K120&gt;=c_TFWD,IF(AND(K120&gt;=c_TMAP3IN,c_TMAP3IN&lt;1000),P120,IF(AND(K120&gt;=c_TMAP2IN,c_TMAP3IN&gt;c_TMAP2IN),O120,IF(AND(K120&gt;=c_TMAP1IN,c_TMAP2IN&gt;c_TMAP1IN),N120,M120))),L120)</f>
        <v>97</v>
      </c>
      <c r="S120" s="7" t="str">
        <f aca="false">IF(R120&lt;-1090,"TOO LOW",IF(R120&gt;1090,"TOO HIGH",""))</f>
        <v/>
      </c>
      <c r="T120" s="15" t="n">
        <f aca="false">IF(H120&lt;&gt;"OK",0,IF(S120&lt;&gt;"",0,IF(R120&gt;979,1000,R120)))</f>
        <v>97</v>
      </c>
      <c r="U120" s="7" t="n">
        <f aca="false">T120/10</f>
        <v>9.7</v>
      </c>
    </row>
    <row r="121" customFormat="false" ht="15" hidden="false" customHeight="false" outlineLevel="0" collapsed="false">
      <c r="A121" s="7" t="n">
        <v>116</v>
      </c>
      <c r="B121" s="7" t="n">
        <f aca="false">ROUND(o_SWSTART+A121*(o_SWEND-o_SWSTART)/400,0)</f>
        <v>1188</v>
      </c>
      <c r="C121" s="7" t="n">
        <f aca="false">QUOTIENT((B121-c_OFF1)*c_GAIN1,1024)</f>
        <v>1188</v>
      </c>
      <c r="D121" s="7" t="n">
        <f aca="false">IF(((c_T1MX)-(c_T1MN))=0,(0)+QUOTIENT(((1000)-(0)),2),QUOTIENT((((C121)-(c_T1MN))*((1000)-(0))+IF(((1000)-(0))&gt;=0,1,-1)*QUOTIENT(((c_T1MX)-(c_T1MN)),2)),((c_T1MX)-(c_T1MN)))+(0)+IF(((1000)-(0))&gt;=0,IF(IF(o_WRAP=1,MOD(((c_T1MX)-(c_T1MN))*(((C121)-(c_T1MN))*((1000)-(0))+IF(((1000)-(0))&gt;=0,1,-1)*QUOTIENT(((c_T1MX)-(c_T1MN)),2))+2147483648,4294967296)-2147483648,((c_T1MX)-(c_T1MN))*(((C121)-(c_T1MN))*((1000)-(0))+IF(((1000)-(0))&gt;=0,1,-1)*QUOTIENT(((c_T1MX)-(c_T1MN)),2)))&lt;0,-1,0),IF(IF(o_WRAP=1,MOD(((c_T1MX)-(c_T1MN))*(((C121)-(c_T1MN))*((1000)-(0))+IF(((1000)-(0))&gt;=0,1,-1)*QUOTIENT(((c_T1MX)-(c_T1MN)),2))+2147483648,4294967296)-2147483648,((c_T1MX)-(c_T1MN))*(((C121)-(c_T1MN))*((1000)-(0))+IF(((1000)-(0))&gt;=0,1,-1)*QUOTIENT(((c_T1MX)-(c_T1MN)),2)))&gt;=0,1,0)))</f>
        <v>171</v>
      </c>
      <c r="E121" s="7" t="n">
        <f aca="false">IF(AND(c_TPOT=1,c_TTYPE=2),1000-D121,D121)</f>
        <v>171</v>
      </c>
      <c r="F121" s="7" t="str">
        <f aca="false">IF(c_TPOT&gt;1,ROUND(IF(c_TTYPE=2,c_T2MX-IF(c_T1MX=c_T1MN,0,(C121-c_T1MN)/(c_T1MX-c_T1MN))*(c_T2MX-c_T2MN),c_T2MN+IF(c_T1MX=c_T1MN,0,(C121-c_T1MN)/(c_T1MX-c_T1MN))*(c_T2MX-c_T2MN))+o_MISMATCH,0),"")</f>
        <v/>
      </c>
      <c r="G121" s="7" t="str">
        <f aca="false">IF(c_TPOT&gt;1,IF(((c_T2MX)-(c_T2MN))=0,(0)+QUOTIENT(((1000)-(0)),2),QUOTIENT((((F121)-(c_T2MN))*((1000)-(0))+IF(((1000)-(0))&gt;=0,1,-1)*QUOTIENT(((c_T2MX)-(c_T2MN)),2)),((c_T2MX)-(c_T2MN)))+(0)+IF(((1000)-(0))&gt;=0,IF(IF(o_WRAP=1,MOD(((c_T2MX)-(c_T2MN))*(((F121)-(c_T2MN))*((1000)-(0))+IF(((1000)-(0))&gt;=0,1,-1)*QUOTIENT(((c_T2MX)-(c_T2MN)),2))+2147483648,4294967296)-2147483648,((c_T2MX)-(c_T2MN))*(((F121)-(c_T2MN))*((1000)-(0))+IF(((1000)-(0))&gt;=0,1,-1)*QUOTIENT(((c_T2MX)-(c_T2MN)),2)))&lt;0,-1,0),IF(IF(o_WRAP=1,MOD(((c_T2MX)-(c_T2MN))*(((F121)-(c_T2MN))*((1000)-(0))+IF(((1000)-(0))&gt;=0,1,-1)*QUOTIENT(((c_T2MX)-(c_T2MN)),2))+2147483648,4294967296)-2147483648,((c_T2MX)-(c_T2MN))*(((F121)-(c_T2MN))*((1000)-(0))+IF(((1000)-(0))&gt;=0,1,-1)*QUOTIENT(((c_T2MX)-(c_T2MN)),2)))&gt;=0,1,0))),"")</f>
        <v/>
      </c>
      <c r="H121" s="7" t="str">
        <f aca="false">IF(E121&gt;1000+k_TOL,"T1 HIGH",IF(E121&lt;0-k_TOL,"T1 LOW",IF(c_TPOT&gt;1,IF(G121&gt;1000+k_TOL,"T2 HIGH",IF(G121&lt;0-k_TOL,"T2 LOW",IF(c_TTYPE=2,IF(ABS(1000-MAX(0,MIN(1000,E121))-MAX(0,MIN(1000,G121)))&gt;k_MAXERR,"MISMATCH","OK"),IF(OR(MAX(0,MIN(1000,E121))-k_MAXERR&gt;MAX(0,MIN(1000,G121)),MAX(0,MIN(1000,G121))-k_MAXERR&gt;MAX(0,MIN(1000,E121))),"MISMATCH","OK")))),"OK")))</f>
        <v>OK</v>
      </c>
      <c r="I121" s="7" t="n">
        <f aca="false">MAX(0,MIN(1000,D121))</f>
        <v>171</v>
      </c>
      <c r="J121" s="7" t="str">
        <f aca="false">IF(c_TPOT&gt;1,IF(c_TTYPE=2,1000-MAX(0,MIN(1000,G121)),MAX(0,MIN(1000,G121))),"")</f>
        <v/>
      </c>
      <c r="K121" s="7" t="n">
        <f aca="false">IF(c_TPOT&gt;1,QUOTIENT(I121+J121,2),I121)</f>
        <v>171</v>
      </c>
      <c r="L121" s="7" t="n">
        <f aca="false">IF(AND(K121=0,c_TCREEP&gt;0),10*c_TCREEP,IF(AND(K121&lt;=c_TRNGMIN,K121&gt;=c_TRNGMAX,c_TRNGMIN-c_TRNGMAX&lt;&gt;0),-10*c_TMINRN+QUOTIENT((c_TMAXRN-c_TMINRN)*(100-QUOTIENT((K121-c_TRNGMAX)*100,c_TRNGMIN-c_TRNGMAX)),-10),0))</f>
        <v>0</v>
      </c>
      <c r="M121" s="7" t="n">
        <f aca="false">IF(((c_TMAP1IN)-(c_TFWD))=0,(0)+QUOTIENT(((c_TMAP1OUT)-(0)),2),QUOTIENT((((K121)-(c_TFWD))*((c_TMAP1OUT)-(0))+IF(((c_TMAP1OUT)-(0))&gt;=0,1,-1)*QUOTIENT(((c_TMAP1IN)-(c_TFWD)),2)),((c_TMAP1IN)-(c_TFWD)))+(0)+IF(((c_TMAP1OUT)-(0))&gt;=0,IF(IF(o_WRAP=1,MOD(((c_TMAP1IN)-(c_TFWD))*(((K121)-(c_TFWD))*((c_TMAP1OUT)-(0))+IF(((c_TMAP1OUT)-(0))&gt;=0,1,-1)*QUOTIENT(((c_TMAP1IN)-(c_TFWD)),2))+2147483648,4294967296)-2147483648,((c_TMAP1IN)-(c_TFWD))*(((K121)-(c_TFWD))*((c_TMAP1OUT)-(0))+IF(((c_TMAP1OUT)-(0))&gt;=0,1,-1)*QUOTIENT(((c_TMAP1IN)-(c_TFWD)),2)))&lt;0,-1,0),IF(IF(o_WRAP=1,MOD(((c_TMAP1IN)-(c_TFWD))*(((K121)-(c_TFWD))*((c_TMAP1OUT)-(0))+IF(((c_TMAP1OUT)-(0))&gt;=0,1,-1)*QUOTIENT(((c_TMAP1IN)-(c_TFWD)),2))+2147483648,4294967296)-2147483648,((c_TMAP1IN)-(c_TFWD))*(((K121)-(c_TFWD))*((c_TMAP1OUT)-(0))+IF(((c_TMAP1OUT)-(0))&gt;=0,1,-1)*QUOTIENT(((c_TMAP1IN)-(c_TFWD)),2)))&gt;=0,1,0)))</f>
        <v>125</v>
      </c>
      <c r="N121" s="7" t="n">
        <f aca="false">IF(((c_TMAP2IN)-(c_TMAP1IN))=0,(c_TMAP1OUT)+QUOTIENT(((c_TMAP2OUT)-(c_TMAP1OUT)),2),QUOTIENT((((K121)-(c_TMAP1IN))*((c_TMAP2OUT)-(c_TMAP1OUT))+IF(((c_TMAP2OUT)-(c_TMAP1OUT))&gt;=0,1,-1)*QUOTIENT(((c_TMAP2IN)-(c_TMAP1IN)),2)),((c_TMAP2IN)-(c_TMAP1IN)))+(c_TMAP1OUT)+IF(((c_TMAP2OUT)-(c_TMAP1OUT))&gt;=0,IF(IF(o_WRAP=1,MOD(((c_TMAP2IN)-(c_TMAP1IN))*(((K121)-(c_TMAP1IN))*((c_TMAP2OUT)-(c_TMAP1OUT))+IF(((c_TMAP2OUT)-(c_TMAP1OUT))&gt;=0,1,-1)*QUOTIENT(((c_TMAP2IN)-(c_TMAP1IN)),2))+2147483648,4294967296)-2147483648,((c_TMAP2IN)-(c_TMAP1IN))*(((K121)-(c_TMAP1IN))*((c_TMAP2OUT)-(c_TMAP1OUT))+IF(((c_TMAP2OUT)-(c_TMAP1OUT))&gt;=0,1,-1)*QUOTIENT(((c_TMAP2IN)-(c_TMAP1IN)),2)))&lt;0,-1,0),IF(IF(o_WRAP=1,MOD(((c_TMAP2IN)-(c_TMAP1IN))*(((K121)-(c_TMAP1IN))*((c_TMAP2OUT)-(c_TMAP1OUT))+IF(((c_TMAP2OUT)-(c_TMAP1OUT))&gt;=0,1,-1)*QUOTIENT(((c_TMAP2IN)-(c_TMAP1IN)),2))+2147483648,4294967296)-2147483648,((c_TMAP2IN)-(c_TMAP1IN))*(((K121)-(c_TMAP1IN))*((c_TMAP2OUT)-(c_TMAP1OUT))+IF(((c_TMAP2OUT)-(c_TMAP1OUT))&gt;=0,1,-1)*QUOTIENT(((c_TMAP2IN)-(c_TMAP1IN)),2)))&gt;=0,1,0)))</f>
        <v>98</v>
      </c>
      <c r="O121" s="7" t="n">
        <f aca="false">IF(((c_TMAP3IN)-(c_TMAP2IN))=0,(c_TMAP2OUT)+QUOTIENT(((c_TMAP3OUT)-(c_TMAP2OUT)),2),QUOTIENT((((K121)-(c_TMAP2IN))*((c_TMAP3OUT)-(c_TMAP2OUT))+IF(((c_TMAP3OUT)-(c_TMAP2OUT))&gt;=0,1,-1)*QUOTIENT(((c_TMAP3IN)-(c_TMAP2IN)),2)),((c_TMAP3IN)-(c_TMAP2IN)))+(c_TMAP2OUT)+IF(((c_TMAP3OUT)-(c_TMAP2OUT))&gt;=0,IF(IF(o_WRAP=1,MOD(((c_TMAP3IN)-(c_TMAP2IN))*(((K121)-(c_TMAP2IN))*((c_TMAP3OUT)-(c_TMAP2OUT))+IF(((c_TMAP3OUT)-(c_TMAP2OUT))&gt;=0,1,-1)*QUOTIENT(((c_TMAP3IN)-(c_TMAP2IN)),2))+2147483648,4294967296)-2147483648,((c_TMAP3IN)-(c_TMAP2IN))*(((K121)-(c_TMAP2IN))*((c_TMAP3OUT)-(c_TMAP2OUT))+IF(((c_TMAP3OUT)-(c_TMAP2OUT))&gt;=0,1,-1)*QUOTIENT(((c_TMAP3IN)-(c_TMAP2IN)),2)))&lt;0,-1,0),IF(IF(o_WRAP=1,MOD(((c_TMAP3IN)-(c_TMAP2IN))*(((K121)-(c_TMAP2IN))*((c_TMAP3OUT)-(c_TMAP2OUT))+IF(((c_TMAP3OUT)-(c_TMAP2OUT))&gt;=0,1,-1)*QUOTIENT(((c_TMAP3IN)-(c_TMAP2IN)),2))+2147483648,4294967296)-2147483648,((c_TMAP3IN)-(c_TMAP2IN))*(((K121)-(c_TMAP2IN))*((c_TMAP3OUT)-(c_TMAP2OUT))+IF(((c_TMAP3OUT)-(c_TMAP2OUT))&gt;=0,1,-1)*QUOTIENT(((c_TMAP3IN)-(c_TMAP2IN)),2)))&gt;=0,1,0)))</f>
        <v>75</v>
      </c>
      <c r="P121" s="7" t="n">
        <f aca="false">IF(((1000)-(c_TMAP3IN))=0,(c_TMAP3OUT)+QUOTIENT(((1000)-(c_TMAP3OUT)),2),QUOTIENT((((K121)-(c_TMAP3IN))*((1000)-(c_TMAP3OUT))+IF(((1000)-(c_TMAP3OUT))&gt;=0,1,-1)*QUOTIENT(((1000)-(c_TMAP3IN)),2)),((1000)-(c_TMAP3IN)))+(c_TMAP3OUT)+IF(((1000)-(c_TMAP3OUT))&gt;=0,IF(IF(o_WRAP=1,MOD(((1000)-(c_TMAP3IN))*(((K121)-(c_TMAP3IN))*((1000)-(c_TMAP3OUT))+IF(((1000)-(c_TMAP3OUT))&gt;=0,1,-1)*QUOTIENT(((1000)-(c_TMAP3IN)),2))+2147483648,4294967296)-2147483648,((1000)-(c_TMAP3IN))*(((K121)-(c_TMAP3IN))*((1000)-(c_TMAP3OUT))+IF(((1000)-(c_TMAP3OUT))&gt;=0,1,-1)*QUOTIENT(((1000)-(c_TMAP3IN)),2)))&lt;0,-1,0),IF(IF(o_WRAP=1,MOD(((1000)-(c_TMAP3IN))*(((K121)-(c_TMAP3IN))*((1000)-(c_TMAP3OUT))+IF(((1000)-(c_TMAP3OUT))&gt;=0,1,-1)*QUOTIENT(((1000)-(c_TMAP3IN)),2))+2147483648,4294967296)-2147483648,((1000)-(c_TMAP3IN))*(((K121)-(c_TMAP3IN))*((1000)-(c_TMAP3OUT))+IF(((1000)-(c_TMAP3OUT))&gt;=0,1,-1)*QUOTIENT(((1000)-(c_TMAP3IN)),2)))&gt;=0,1,0)))</f>
        <v>-20</v>
      </c>
      <c r="Q121" s="7" t="str">
        <f aca="false">IF(K121&gt;=c_TFWD,IF(AND(K121&gt;=c_TMAP3IN,c_TMAP3IN&lt;1000),"Seg4 map3-100%",IF(AND(K121&gt;=c_TMAP2IN,c_TMAP3IN&gt;c_TMAP2IN),"Seg3 map2-map3",IF(AND(K121&gt;=c_TMAP1IN,c_TMAP2IN&gt;c_TMAP1IN),"Seg2 map1-map2","Seg1 TFWD-map1"))),IF(AND(K121=0,c_TCREEP&gt;0),"Creep",IF(AND(K121&lt;=c_TRNGMIN,K121&gt;=c_TRNGMAX,c_TRNGMIN-c_TRNGMAX&lt;&gt;0),"Regen ramp","Coast (0)")))</f>
        <v>Seg2 map1-map2</v>
      </c>
      <c r="R121" s="7" t="n">
        <f aca="false">IF(K121&gt;=c_TFWD,IF(AND(K121&gt;=c_TMAP3IN,c_TMAP3IN&lt;1000),P121,IF(AND(K121&gt;=c_TMAP2IN,c_TMAP3IN&gt;c_TMAP2IN),O121,IF(AND(K121&gt;=c_TMAP1IN,c_TMAP2IN&gt;c_TMAP1IN),N121,M121))),L121)</f>
        <v>98</v>
      </c>
      <c r="S121" s="7" t="str">
        <f aca="false">IF(R121&lt;-1090,"TOO LOW",IF(R121&gt;1090,"TOO HIGH",""))</f>
        <v/>
      </c>
      <c r="T121" s="15" t="n">
        <f aca="false">IF(H121&lt;&gt;"OK",0,IF(S121&lt;&gt;"",0,IF(R121&gt;979,1000,R121)))</f>
        <v>98</v>
      </c>
      <c r="U121" s="7" t="n">
        <f aca="false">T121/10</f>
        <v>9.8</v>
      </c>
    </row>
    <row r="122" customFormat="false" ht="15" hidden="false" customHeight="false" outlineLevel="0" collapsed="false">
      <c r="A122" s="7" t="n">
        <v>117</v>
      </c>
      <c r="B122" s="7" t="n">
        <f aca="false">ROUND(o_SWSTART+A122*(o_SWEND-o_SWSTART)/400,0)</f>
        <v>1198</v>
      </c>
      <c r="C122" s="7" t="n">
        <f aca="false">QUOTIENT((B122-c_OFF1)*c_GAIN1,1024)</f>
        <v>1198</v>
      </c>
      <c r="D122" s="7" t="n">
        <f aca="false">IF(((c_T1MX)-(c_T1MN))=0,(0)+QUOTIENT(((1000)-(0)),2),QUOTIENT((((C122)-(c_T1MN))*((1000)-(0))+IF(((1000)-(0))&gt;=0,1,-1)*QUOTIENT(((c_T1MX)-(c_T1MN)),2)),((c_T1MX)-(c_T1MN)))+(0)+IF(((1000)-(0))&gt;=0,IF(IF(o_WRAP=1,MOD(((c_T1MX)-(c_T1MN))*(((C122)-(c_T1MN))*((1000)-(0))+IF(((1000)-(0))&gt;=0,1,-1)*QUOTIENT(((c_T1MX)-(c_T1MN)),2))+2147483648,4294967296)-2147483648,((c_T1MX)-(c_T1MN))*(((C122)-(c_T1MN))*((1000)-(0))+IF(((1000)-(0))&gt;=0,1,-1)*QUOTIENT(((c_T1MX)-(c_T1MN)),2)))&lt;0,-1,0),IF(IF(o_WRAP=1,MOD(((c_T1MX)-(c_T1MN))*(((C122)-(c_T1MN))*((1000)-(0))+IF(((1000)-(0))&gt;=0,1,-1)*QUOTIENT(((c_T1MX)-(c_T1MN)),2))+2147483648,4294967296)-2147483648,((c_T1MX)-(c_T1MN))*(((C122)-(c_T1MN))*((1000)-(0))+IF(((1000)-(0))&gt;=0,1,-1)*QUOTIENT(((c_T1MX)-(c_T1MN)),2)))&gt;=0,1,0)))</f>
        <v>175</v>
      </c>
      <c r="E122" s="7" t="n">
        <f aca="false">IF(AND(c_TPOT=1,c_TTYPE=2),1000-D122,D122)</f>
        <v>175</v>
      </c>
      <c r="F122" s="7" t="str">
        <f aca="false">IF(c_TPOT&gt;1,ROUND(IF(c_TTYPE=2,c_T2MX-IF(c_T1MX=c_T1MN,0,(C122-c_T1MN)/(c_T1MX-c_T1MN))*(c_T2MX-c_T2MN),c_T2MN+IF(c_T1MX=c_T1MN,0,(C122-c_T1MN)/(c_T1MX-c_T1MN))*(c_T2MX-c_T2MN))+o_MISMATCH,0),"")</f>
        <v/>
      </c>
      <c r="G122" s="7" t="str">
        <f aca="false">IF(c_TPOT&gt;1,IF(((c_T2MX)-(c_T2MN))=0,(0)+QUOTIENT(((1000)-(0)),2),QUOTIENT((((F122)-(c_T2MN))*((1000)-(0))+IF(((1000)-(0))&gt;=0,1,-1)*QUOTIENT(((c_T2MX)-(c_T2MN)),2)),((c_T2MX)-(c_T2MN)))+(0)+IF(((1000)-(0))&gt;=0,IF(IF(o_WRAP=1,MOD(((c_T2MX)-(c_T2MN))*(((F122)-(c_T2MN))*((1000)-(0))+IF(((1000)-(0))&gt;=0,1,-1)*QUOTIENT(((c_T2MX)-(c_T2MN)),2))+2147483648,4294967296)-2147483648,((c_T2MX)-(c_T2MN))*(((F122)-(c_T2MN))*((1000)-(0))+IF(((1000)-(0))&gt;=0,1,-1)*QUOTIENT(((c_T2MX)-(c_T2MN)),2)))&lt;0,-1,0),IF(IF(o_WRAP=1,MOD(((c_T2MX)-(c_T2MN))*(((F122)-(c_T2MN))*((1000)-(0))+IF(((1000)-(0))&gt;=0,1,-1)*QUOTIENT(((c_T2MX)-(c_T2MN)),2))+2147483648,4294967296)-2147483648,((c_T2MX)-(c_T2MN))*(((F122)-(c_T2MN))*((1000)-(0))+IF(((1000)-(0))&gt;=0,1,-1)*QUOTIENT(((c_T2MX)-(c_T2MN)),2)))&gt;=0,1,0))),"")</f>
        <v/>
      </c>
      <c r="H122" s="7" t="str">
        <f aca="false">IF(E122&gt;1000+k_TOL,"T1 HIGH",IF(E122&lt;0-k_TOL,"T1 LOW",IF(c_TPOT&gt;1,IF(G122&gt;1000+k_TOL,"T2 HIGH",IF(G122&lt;0-k_TOL,"T2 LOW",IF(c_TTYPE=2,IF(ABS(1000-MAX(0,MIN(1000,E122))-MAX(0,MIN(1000,G122)))&gt;k_MAXERR,"MISMATCH","OK"),IF(OR(MAX(0,MIN(1000,E122))-k_MAXERR&gt;MAX(0,MIN(1000,G122)),MAX(0,MIN(1000,G122))-k_MAXERR&gt;MAX(0,MIN(1000,E122))),"MISMATCH","OK")))),"OK")))</f>
        <v>OK</v>
      </c>
      <c r="I122" s="7" t="n">
        <f aca="false">MAX(0,MIN(1000,D122))</f>
        <v>175</v>
      </c>
      <c r="J122" s="7" t="str">
        <f aca="false">IF(c_TPOT&gt;1,IF(c_TTYPE=2,1000-MAX(0,MIN(1000,G122)),MAX(0,MIN(1000,G122))),"")</f>
        <v/>
      </c>
      <c r="K122" s="7" t="n">
        <f aca="false">IF(c_TPOT&gt;1,QUOTIENT(I122+J122,2),I122)</f>
        <v>175</v>
      </c>
      <c r="L122" s="7" t="n">
        <f aca="false">IF(AND(K122=0,c_TCREEP&gt;0),10*c_TCREEP,IF(AND(K122&lt;=c_TRNGMIN,K122&gt;=c_TRNGMAX,c_TRNGMIN-c_TRNGMAX&lt;&gt;0),-10*c_TMINRN+QUOTIENT((c_TMAXRN-c_TMINRN)*(100-QUOTIENT((K122-c_TRNGMAX)*100,c_TRNGMIN-c_TRNGMAX)),-10),0))</f>
        <v>0</v>
      </c>
      <c r="M122" s="7" t="n">
        <f aca="false">IF(((c_TMAP1IN)-(c_TFWD))=0,(0)+QUOTIENT(((c_TMAP1OUT)-(0)),2),QUOTIENT((((K122)-(c_TFWD))*((c_TMAP1OUT)-(0))+IF(((c_TMAP1OUT)-(0))&gt;=0,1,-1)*QUOTIENT(((c_TMAP1IN)-(c_TFWD)),2)),((c_TMAP1IN)-(c_TFWD)))+(0)+IF(((c_TMAP1OUT)-(0))&gt;=0,IF(IF(o_WRAP=1,MOD(((c_TMAP1IN)-(c_TFWD))*(((K122)-(c_TFWD))*((c_TMAP1OUT)-(0))+IF(((c_TMAP1OUT)-(0))&gt;=0,1,-1)*QUOTIENT(((c_TMAP1IN)-(c_TFWD)),2))+2147483648,4294967296)-2147483648,((c_TMAP1IN)-(c_TFWD))*(((K122)-(c_TFWD))*((c_TMAP1OUT)-(0))+IF(((c_TMAP1OUT)-(0))&gt;=0,1,-1)*QUOTIENT(((c_TMAP1IN)-(c_TFWD)),2)))&lt;0,-1,0),IF(IF(o_WRAP=1,MOD(((c_TMAP1IN)-(c_TFWD))*(((K122)-(c_TFWD))*((c_TMAP1OUT)-(0))+IF(((c_TMAP1OUT)-(0))&gt;=0,1,-1)*QUOTIENT(((c_TMAP1IN)-(c_TFWD)),2))+2147483648,4294967296)-2147483648,((c_TMAP1IN)-(c_TFWD))*(((K122)-(c_TFWD))*((c_TMAP1OUT)-(0))+IF(((c_TMAP1OUT)-(0))&gt;=0,1,-1)*QUOTIENT(((c_TMAP1IN)-(c_TFWD)),2)))&gt;=0,1,0)))</f>
        <v>128</v>
      </c>
      <c r="N122" s="7" t="n">
        <f aca="false">IF(((c_TMAP2IN)-(c_TMAP1IN))=0,(c_TMAP1OUT)+QUOTIENT(((c_TMAP2OUT)-(c_TMAP1OUT)),2),QUOTIENT((((K122)-(c_TMAP1IN))*((c_TMAP2OUT)-(c_TMAP1OUT))+IF(((c_TMAP2OUT)-(c_TMAP1OUT))&gt;=0,1,-1)*QUOTIENT(((c_TMAP2IN)-(c_TMAP1IN)),2)),((c_TMAP2IN)-(c_TMAP1IN)))+(c_TMAP1OUT)+IF(((c_TMAP2OUT)-(c_TMAP1OUT))&gt;=0,IF(IF(o_WRAP=1,MOD(((c_TMAP2IN)-(c_TMAP1IN))*(((K122)-(c_TMAP1IN))*((c_TMAP2OUT)-(c_TMAP1OUT))+IF(((c_TMAP2OUT)-(c_TMAP1OUT))&gt;=0,1,-1)*QUOTIENT(((c_TMAP2IN)-(c_TMAP1IN)),2))+2147483648,4294967296)-2147483648,((c_TMAP2IN)-(c_TMAP1IN))*(((K122)-(c_TMAP1IN))*((c_TMAP2OUT)-(c_TMAP1OUT))+IF(((c_TMAP2OUT)-(c_TMAP1OUT))&gt;=0,1,-1)*QUOTIENT(((c_TMAP2IN)-(c_TMAP1IN)),2)))&lt;0,-1,0),IF(IF(o_WRAP=1,MOD(((c_TMAP2IN)-(c_TMAP1IN))*(((K122)-(c_TMAP1IN))*((c_TMAP2OUT)-(c_TMAP1OUT))+IF(((c_TMAP2OUT)-(c_TMAP1OUT))&gt;=0,1,-1)*QUOTIENT(((c_TMAP2IN)-(c_TMAP1IN)),2))+2147483648,4294967296)-2147483648,((c_TMAP2IN)-(c_TMAP1IN))*(((K122)-(c_TMAP1IN))*((c_TMAP2OUT)-(c_TMAP1OUT))+IF(((c_TMAP2OUT)-(c_TMAP1OUT))&gt;=0,1,-1)*QUOTIENT(((c_TMAP2IN)-(c_TMAP1IN)),2)))&gt;=0,1,0)))</f>
        <v>100</v>
      </c>
      <c r="O122" s="7" t="n">
        <f aca="false">IF(((c_TMAP3IN)-(c_TMAP2IN))=0,(c_TMAP2OUT)+QUOTIENT(((c_TMAP3OUT)-(c_TMAP2OUT)),2),QUOTIENT((((K122)-(c_TMAP2IN))*((c_TMAP3OUT)-(c_TMAP2OUT))+IF(((c_TMAP3OUT)-(c_TMAP2OUT))&gt;=0,1,-1)*QUOTIENT(((c_TMAP3IN)-(c_TMAP2IN)),2)),((c_TMAP3IN)-(c_TMAP2IN)))+(c_TMAP2OUT)+IF(((c_TMAP3OUT)-(c_TMAP2OUT))&gt;=0,IF(IF(o_WRAP=1,MOD(((c_TMAP3IN)-(c_TMAP2IN))*(((K122)-(c_TMAP2IN))*((c_TMAP3OUT)-(c_TMAP2OUT))+IF(((c_TMAP3OUT)-(c_TMAP2OUT))&gt;=0,1,-1)*QUOTIENT(((c_TMAP3IN)-(c_TMAP2IN)),2))+2147483648,4294967296)-2147483648,((c_TMAP3IN)-(c_TMAP2IN))*(((K122)-(c_TMAP2IN))*((c_TMAP3OUT)-(c_TMAP2OUT))+IF(((c_TMAP3OUT)-(c_TMAP2OUT))&gt;=0,1,-1)*QUOTIENT(((c_TMAP3IN)-(c_TMAP2IN)),2)))&lt;0,-1,0),IF(IF(o_WRAP=1,MOD(((c_TMAP3IN)-(c_TMAP2IN))*(((K122)-(c_TMAP2IN))*((c_TMAP3OUT)-(c_TMAP2OUT))+IF(((c_TMAP3OUT)-(c_TMAP2OUT))&gt;=0,1,-1)*QUOTIENT(((c_TMAP3IN)-(c_TMAP2IN)),2))+2147483648,4294967296)-2147483648,((c_TMAP3IN)-(c_TMAP2IN))*(((K122)-(c_TMAP2IN))*((c_TMAP3OUT)-(c_TMAP2OUT))+IF(((c_TMAP3OUT)-(c_TMAP2OUT))&gt;=0,1,-1)*QUOTIENT(((c_TMAP3IN)-(c_TMAP2IN)),2)))&gt;=0,1,0)))</f>
        <v>77</v>
      </c>
      <c r="P122" s="7" t="n">
        <f aca="false">IF(((1000)-(c_TMAP3IN))=0,(c_TMAP3OUT)+QUOTIENT(((1000)-(c_TMAP3OUT)),2),QUOTIENT((((K122)-(c_TMAP3IN))*((1000)-(c_TMAP3OUT))+IF(((1000)-(c_TMAP3OUT))&gt;=0,1,-1)*QUOTIENT(((1000)-(c_TMAP3IN)),2)),((1000)-(c_TMAP3IN)))+(c_TMAP3OUT)+IF(((1000)-(c_TMAP3OUT))&gt;=0,IF(IF(o_WRAP=1,MOD(((1000)-(c_TMAP3IN))*(((K122)-(c_TMAP3IN))*((1000)-(c_TMAP3OUT))+IF(((1000)-(c_TMAP3OUT))&gt;=0,1,-1)*QUOTIENT(((1000)-(c_TMAP3IN)),2))+2147483648,4294967296)-2147483648,((1000)-(c_TMAP3IN))*(((K122)-(c_TMAP3IN))*((1000)-(c_TMAP3OUT))+IF(((1000)-(c_TMAP3OUT))&gt;=0,1,-1)*QUOTIENT(((1000)-(c_TMAP3IN)),2)))&lt;0,-1,0),IF(IF(o_WRAP=1,MOD(((1000)-(c_TMAP3IN))*(((K122)-(c_TMAP3IN))*((1000)-(c_TMAP3OUT))+IF(((1000)-(c_TMAP3OUT))&gt;=0,1,-1)*QUOTIENT(((1000)-(c_TMAP3IN)),2))+2147483648,4294967296)-2147483648,((1000)-(c_TMAP3IN))*(((K122)-(c_TMAP3IN))*((1000)-(c_TMAP3OUT))+IF(((1000)-(c_TMAP3OUT))&gt;=0,1,-1)*QUOTIENT(((1000)-(c_TMAP3IN)),2)))&gt;=0,1,0)))</f>
        <v>-15</v>
      </c>
      <c r="Q122" s="7" t="str">
        <f aca="false">IF(K122&gt;=c_TFWD,IF(AND(K122&gt;=c_TMAP3IN,c_TMAP3IN&lt;1000),"Seg4 map3-100%",IF(AND(K122&gt;=c_TMAP2IN,c_TMAP3IN&gt;c_TMAP2IN),"Seg3 map2-map3",IF(AND(K122&gt;=c_TMAP1IN,c_TMAP2IN&gt;c_TMAP1IN),"Seg2 map1-map2","Seg1 TFWD-map1"))),IF(AND(K122=0,c_TCREEP&gt;0),"Creep",IF(AND(K122&lt;=c_TRNGMIN,K122&gt;=c_TRNGMAX,c_TRNGMIN-c_TRNGMAX&lt;&gt;0),"Regen ramp","Coast (0)")))</f>
        <v>Seg2 map1-map2</v>
      </c>
      <c r="R122" s="7" t="n">
        <f aca="false">IF(K122&gt;=c_TFWD,IF(AND(K122&gt;=c_TMAP3IN,c_TMAP3IN&lt;1000),P122,IF(AND(K122&gt;=c_TMAP2IN,c_TMAP3IN&gt;c_TMAP2IN),O122,IF(AND(K122&gt;=c_TMAP1IN,c_TMAP2IN&gt;c_TMAP1IN),N122,M122))),L122)</f>
        <v>100</v>
      </c>
      <c r="S122" s="7" t="str">
        <f aca="false">IF(R122&lt;-1090,"TOO LOW",IF(R122&gt;1090,"TOO HIGH",""))</f>
        <v/>
      </c>
      <c r="T122" s="15" t="n">
        <f aca="false">IF(H122&lt;&gt;"OK",0,IF(S122&lt;&gt;"",0,IF(R122&gt;979,1000,R122)))</f>
        <v>100</v>
      </c>
      <c r="U122" s="7" t="n">
        <f aca="false">T122/10</f>
        <v>10</v>
      </c>
    </row>
    <row r="123" customFormat="false" ht="15" hidden="false" customHeight="false" outlineLevel="0" collapsed="false">
      <c r="A123" s="7" t="n">
        <v>118</v>
      </c>
      <c r="B123" s="7" t="n">
        <f aca="false">ROUND(o_SWSTART+A123*(o_SWEND-o_SWSTART)/400,0)</f>
        <v>1208</v>
      </c>
      <c r="C123" s="7" t="n">
        <f aca="false">QUOTIENT((B123-c_OFF1)*c_GAIN1,1024)</f>
        <v>1208</v>
      </c>
      <c r="D123" s="7" t="n">
        <f aca="false">IF(((c_T1MX)-(c_T1MN))=0,(0)+QUOTIENT(((1000)-(0)),2),QUOTIENT((((C123)-(c_T1MN))*((1000)-(0))+IF(((1000)-(0))&gt;=0,1,-1)*QUOTIENT(((c_T1MX)-(c_T1MN)),2)),((c_T1MX)-(c_T1MN)))+(0)+IF(((1000)-(0))&gt;=0,IF(IF(o_WRAP=1,MOD(((c_T1MX)-(c_T1MN))*(((C123)-(c_T1MN))*((1000)-(0))+IF(((1000)-(0))&gt;=0,1,-1)*QUOTIENT(((c_T1MX)-(c_T1MN)),2))+2147483648,4294967296)-2147483648,((c_T1MX)-(c_T1MN))*(((C123)-(c_T1MN))*((1000)-(0))+IF(((1000)-(0))&gt;=0,1,-1)*QUOTIENT(((c_T1MX)-(c_T1MN)),2)))&lt;0,-1,0),IF(IF(o_WRAP=1,MOD(((c_T1MX)-(c_T1MN))*(((C123)-(c_T1MN))*((1000)-(0))+IF(((1000)-(0))&gt;=0,1,-1)*QUOTIENT(((c_T1MX)-(c_T1MN)),2))+2147483648,4294967296)-2147483648,((c_T1MX)-(c_T1MN))*(((C123)-(c_T1MN))*((1000)-(0))+IF(((1000)-(0))&gt;=0,1,-1)*QUOTIENT(((c_T1MX)-(c_T1MN)),2)))&gt;=0,1,0)))</f>
        <v>178</v>
      </c>
      <c r="E123" s="7" t="n">
        <f aca="false">IF(AND(c_TPOT=1,c_TTYPE=2),1000-D123,D123)</f>
        <v>178</v>
      </c>
      <c r="F123" s="7" t="str">
        <f aca="false">IF(c_TPOT&gt;1,ROUND(IF(c_TTYPE=2,c_T2MX-IF(c_T1MX=c_T1MN,0,(C123-c_T1MN)/(c_T1MX-c_T1MN))*(c_T2MX-c_T2MN),c_T2MN+IF(c_T1MX=c_T1MN,0,(C123-c_T1MN)/(c_T1MX-c_T1MN))*(c_T2MX-c_T2MN))+o_MISMATCH,0),"")</f>
        <v/>
      </c>
      <c r="G123" s="7" t="str">
        <f aca="false">IF(c_TPOT&gt;1,IF(((c_T2MX)-(c_T2MN))=0,(0)+QUOTIENT(((1000)-(0)),2),QUOTIENT((((F123)-(c_T2MN))*((1000)-(0))+IF(((1000)-(0))&gt;=0,1,-1)*QUOTIENT(((c_T2MX)-(c_T2MN)),2)),((c_T2MX)-(c_T2MN)))+(0)+IF(((1000)-(0))&gt;=0,IF(IF(o_WRAP=1,MOD(((c_T2MX)-(c_T2MN))*(((F123)-(c_T2MN))*((1000)-(0))+IF(((1000)-(0))&gt;=0,1,-1)*QUOTIENT(((c_T2MX)-(c_T2MN)),2))+2147483648,4294967296)-2147483648,((c_T2MX)-(c_T2MN))*(((F123)-(c_T2MN))*((1000)-(0))+IF(((1000)-(0))&gt;=0,1,-1)*QUOTIENT(((c_T2MX)-(c_T2MN)),2)))&lt;0,-1,0),IF(IF(o_WRAP=1,MOD(((c_T2MX)-(c_T2MN))*(((F123)-(c_T2MN))*((1000)-(0))+IF(((1000)-(0))&gt;=0,1,-1)*QUOTIENT(((c_T2MX)-(c_T2MN)),2))+2147483648,4294967296)-2147483648,((c_T2MX)-(c_T2MN))*(((F123)-(c_T2MN))*((1000)-(0))+IF(((1000)-(0))&gt;=0,1,-1)*QUOTIENT(((c_T2MX)-(c_T2MN)),2)))&gt;=0,1,0))),"")</f>
        <v/>
      </c>
      <c r="H123" s="7" t="str">
        <f aca="false">IF(E123&gt;1000+k_TOL,"T1 HIGH",IF(E123&lt;0-k_TOL,"T1 LOW",IF(c_TPOT&gt;1,IF(G123&gt;1000+k_TOL,"T2 HIGH",IF(G123&lt;0-k_TOL,"T2 LOW",IF(c_TTYPE=2,IF(ABS(1000-MAX(0,MIN(1000,E123))-MAX(0,MIN(1000,G123)))&gt;k_MAXERR,"MISMATCH","OK"),IF(OR(MAX(0,MIN(1000,E123))-k_MAXERR&gt;MAX(0,MIN(1000,G123)),MAX(0,MIN(1000,G123))-k_MAXERR&gt;MAX(0,MIN(1000,E123))),"MISMATCH","OK")))),"OK")))</f>
        <v>OK</v>
      </c>
      <c r="I123" s="7" t="n">
        <f aca="false">MAX(0,MIN(1000,D123))</f>
        <v>178</v>
      </c>
      <c r="J123" s="7" t="str">
        <f aca="false">IF(c_TPOT&gt;1,IF(c_TTYPE=2,1000-MAX(0,MIN(1000,G123)),MAX(0,MIN(1000,G123))),"")</f>
        <v/>
      </c>
      <c r="K123" s="7" t="n">
        <f aca="false">IF(c_TPOT&gt;1,QUOTIENT(I123+J123,2),I123)</f>
        <v>178</v>
      </c>
      <c r="L123" s="7" t="n">
        <f aca="false">IF(AND(K123=0,c_TCREEP&gt;0),10*c_TCREEP,IF(AND(K123&lt;=c_TRNGMIN,K123&gt;=c_TRNGMAX,c_TRNGMIN-c_TRNGMAX&lt;&gt;0),-10*c_TMINRN+QUOTIENT((c_TMAXRN-c_TMINRN)*(100-QUOTIENT((K123-c_TRNGMAX)*100,c_TRNGMIN-c_TRNGMAX)),-10),0))</f>
        <v>0</v>
      </c>
      <c r="M123" s="7" t="n">
        <f aca="false">IF(((c_TMAP1IN)-(c_TFWD))=0,(0)+QUOTIENT(((c_TMAP1OUT)-(0)),2),QUOTIENT((((K123)-(c_TFWD))*((c_TMAP1OUT)-(0))+IF(((c_TMAP1OUT)-(0))&gt;=0,1,-1)*QUOTIENT(((c_TMAP1IN)-(c_TFWD)),2)),((c_TMAP1IN)-(c_TFWD)))+(0)+IF(((c_TMAP1OUT)-(0))&gt;=0,IF(IF(o_WRAP=1,MOD(((c_TMAP1IN)-(c_TFWD))*(((K123)-(c_TFWD))*((c_TMAP1OUT)-(0))+IF(((c_TMAP1OUT)-(0))&gt;=0,1,-1)*QUOTIENT(((c_TMAP1IN)-(c_TFWD)),2))+2147483648,4294967296)-2147483648,((c_TMAP1IN)-(c_TFWD))*(((K123)-(c_TFWD))*((c_TMAP1OUT)-(0))+IF(((c_TMAP1OUT)-(0))&gt;=0,1,-1)*QUOTIENT(((c_TMAP1IN)-(c_TFWD)),2)))&lt;0,-1,0),IF(IF(o_WRAP=1,MOD(((c_TMAP1IN)-(c_TFWD))*(((K123)-(c_TFWD))*((c_TMAP1OUT)-(0))+IF(((c_TMAP1OUT)-(0))&gt;=0,1,-1)*QUOTIENT(((c_TMAP1IN)-(c_TFWD)),2))+2147483648,4294967296)-2147483648,((c_TMAP1IN)-(c_TFWD))*(((K123)-(c_TFWD))*((c_TMAP1OUT)-(0))+IF(((c_TMAP1OUT)-(0))&gt;=0,1,-1)*QUOTIENT(((c_TMAP1IN)-(c_TFWD)),2)))&gt;=0,1,0)))</f>
        <v>131</v>
      </c>
      <c r="N123" s="7" t="n">
        <f aca="false">IF(((c_TMAP2IN)-(c_TMAP1IN))=0,(c_TMAP1OUT)+QUOTIENT(((c_TMAP2OUT)-(c_TMAP1OUT)),2),QUOTIENT((((K123)-(c_TMAP1IN))*((c_TMAP2OUT)-(c_TMAP1OUT))+IF(((c_TMAP2OUT)-(c_TMAP1OUT))&gt;=0,1,-1)*QUOTIENT(((c_TMAP2IN)-(c_TMAP1IN)),2)),((c_TMAP2IN)-(c_TMAP1IN)))+(c_TMAP1OUT)+IF(((c_TMAP2OUT)-(c_TMAP1OUT))&gt;=0,IF(IF(o_WRAP=1,MOD(((c_TMAP2IN)-(c_TMAP1IN))*(((K123)-(c_TMAP1IN))*((c_TMAP2OUT)-(c_TMAP1OUT))+IF(((c_TMAP2OUT)-(c_TMAP1OUT))&gt;=0,1,-1)*QUOTIENT(((c_TMAP2IN)-(c_TMAP1IN)),2))+2147483648,4294967296)-2147483648,((c_TMAP2IN)-(c_TMAP1IN))*(((K123)-(c_TMAP1IN))*((c_TMAP2OUT)-(c_TMAP1OUT))+IF(((c_TMAP2OUT)-(c_TMAP1OUT))&gt;=0,1,-1)*QUOTIENT(((c_TMAP2IN)-(c_TMAP1IN)),2)))&lt;0,-1,0),IF(IF(o_WRAP=1,MOD(((c_TMAP2IN)-(c_TMAP1IN))*(((K123)-(c_TMAP1IN))*((c_TMAP2OUT)-(c_TMAP1OUT))+IF(((c_TMAP2OUT)-(c_TMAP1OUT))&gt;=0,1,-1)*QUOTIENT(((c_TMAP2IN)-(c_TMAP1IN)),2))+2147483648,4294967296)-2147483648,((c_TMAP2IN)-(c_TMAP1IN))*(((K123)-(c_TMAP1IN))*((c_TMAP2OUT)-(c_TMAP1OUT))+IF(((c_TMAP2OUT)-(c_TMAP1OUT))&gt;=0,1,-1)*QUOTIENT(((c_TMAP2IN)-(c_TMAP1IN)),2)))&gt;=0,1,0)))</f>
        <v>101</v>
      </c>
      <c r="O123" s="7" t="n">
        <f aca="false">IF(((c_TMAP3IN)-(c_TMAP2IN))=0,(c_TMAP2OUT)+QUOTIENT(((c_TMAP3OUT)-(c_TMAP2OUT)),2),QUOTIENT((((K123)-(c_TMAP2IN))*((c_TMAP3OUT)-(c_TMAP2OUT))+IF(((c_TMAP3OUT)-(c_TMAP2OUT))&gt;=0,1,-1)*QUOTIENT(((c_TMAP3IN)-(c_TMAP2IN)),2)),((c_TMAP3IN)-(c_TMAP2IN)))+(c_TMAP2OUT)+IF(((c_TMAP3OUT)-(c_TMAP2OUT))&gt;=0,IF(IF(o_WRAP=1,MOD(((c_TMAP3IN)-(c_TMAP2IN))*(((K123)-(c_TMAP2IN))*((c_TMAP3OUT)-(c_TMAP2OUT))+IF(((c_TMAP3OUT)-(c_TMAP2OUT))&gt;=0,1,-1)*QUOTIENT(((c_TMAP3IN)-(c_TMAP2IN)),2))+2147483648,4294967296)-2147483648,((c_TMAP3IN)-(c_TMAP2IN))*(((K123)-(c_TMAP2IN))*((c_TMAP3OUT)-(c_TMAP2OUT))+IF(((c_TMAP3OUT)-(c_TMAP2OUT))&gt;=0,1,-1)*QUOTIENT(((c_TMAP3IN)-(c_TMAP2IN)),2)))&lt;0,-1,0),IF(IF(o_WRAP=1,MOD(((c_TMAP3IN)-(c_TMAP2IN))*(((K123)-(c_TMAP2IN))*((c_TMAP3OUT)-(c_TMAP2OUT))+IF(((c_TMAP3OUT)-(c_TMAP2OUT))&gt;=0,1,-1)*QUOTIENT(((c_TMAP3IN)-(c_TMAP2IN)),2))+2147483648,4294967296)-2147483648,((c_TMAP3IN)-(c_TMAP2IN))*(((K123)-(c_TMAP2IN))*((c_TMAP3OUT)-(c_TMAP2OUT))+IF(((c_TMAP3OUT)-(c_TMAP2OUT))&gt;=0,1,-1)*QUOTIENT(((c_TMAP3IN)-(c_TMAP2IN)),2)))&gt;=0,1,0)))</f>
        <v>80</v>
      </c>
      <c r="P123" s="7" t="n">
        <f aca="false">IF(((1000)-(c_TMAP3IN))=0,(c_TMAP3OUT)+QUOTIENT(((1000)-(c_TMAP3OUT)),2),QUOTIENT((((K123)-(c_TMAP3IN))*((1000)-(c_TMAP3OUT))+IF(((1000)-(c_TMAP3OUT))&gt;=0,1,-1)*QUOTIENT(((1000)-(c_TMAP3IN)),2)),((1000)-(c_TMAP3IN)))+(c_TMAP3OUT)+IF(((1000)-(c_TMAP3OUT))&gt;=0,IF(IF(o_WRAP=1,MOD(((1000)-(c_TMAP3IN))*(((K123)-(c_TMAP3IN))*((1000)-(c_TMAP3OUT))+IF(((1000)-(c_TMAP3OUT))&gt;=0,1,-1)*QUOTIENT(((1000)-(c_TMAP3IN)),2))+2147483648,4294967296)-2147483648,((1000)-(c_TMAP3IN))*(((K123)-(c_TMAP3IN))*((1000)-(c_TMAP3OUT))+IF(((1000)-(c_TMAP3OUT))&gt;=0,1,-1)*QUOTIENT(((1000)-(c_TMAP3IN)),2)))&lt;0,-1,0),IF(IF(o_WRAP=1,MOD(((1000)-(c_TMAP3IN))*(((K123)-(c_TMAP3IN))*((1000)-(c_TMAP3OUT))+IF(((1000)-(c_TMAP3OUT))&gt;=0,1,-1)*QUOTIENT(((1000)-(c_TMAP3IN)),2))+2147483648,4294967296)-2147483648,((1000)-(c_TMAP3IN))*(((K123)-(c_TMAP3IN))*((1000)-(c_TMAP3OUT))+IF(((1000)-(c_TMAP3OUT))&gt;=0,1,-1)*QUOTIENT(((1000)-(c_TMAP3IN)),2)))&gt;=0,1,0)))</f>
        <v>-12</v>
      </c>
      <c r="Q123" s="7" t="str">
        <f aca="false">IF(K123&gt;=c_TFWD,IF(AND(K123&gt;=c_TMAP3IN,c_TMAP3IN&lt;1000),"Seg4 map3-100%",IF(AND(K123&gt;=c_TMAP2IN,c_TMAP3IN&gt;c_TMAP2IN),"Seg3 map2-map3",IF(AND(K123&gt;=c_TMAP1IN,c_TMAP2IN&gt;c_TMAP1IN),"Seg2 map1-map2","Seg1 TFWD-map1"))),IF(AND(K123=0,c_TCREEP&gt;0),"Creep",IF(AND(K123&lt;=c_TRNGMIN,K123&gt;=c_TRNGMAX,c_TRNGMIN-c_TRNGMAX&lt;&gt;0),"Regen ramp","Coast (0)")))</f>
        <v>Seg2 map1-map2</v>
      </c>
      <c r="R123" s="7" t="n">
        <f aca="false">IF(K123&gt;=c_TFWD,IF(AND(K123&gt;=c_TMAP3IN,c_TMAP3IN&lt;1000),P123,IF(AND(K123&gt;=c_TMAP2IN,c_TMAP3IN&gt;c_TMAP2IN),O123,IF(AND(K123&gt;=c_TMAP1IN,c_TMAP2IN&gt;c_TMAP1IN),N123,M123))),L123)</f>
        <v>101</v>
      </c>
      <c r="S123" s="7" t="str">
        <f aca="false">IF(R123&lt;-1090,"TOO LOW",IF(R123&gt;1090,"TOO HIGH",""))</f>
        <v/>
      </c>
      <c r="T123" s="15" t="n">
        <f aca="false">IF(H123&lt;&gt;"OK",0,IF(S123&lt;&gt;"",0,IF(R123&gt;979,1000,R123)))</f>
        <v>101</v>
      </c>
      <c r="U123" s="7" t="n">
        <f aca="false">T123/10</f>
        <v>10.1</v>
      </c>
    </row>
    <row r="124" customFormat="false" ht="15" hidden="false" customHeight="false" outlineLevel="0" collapsed="false">
      <c r="A124" s="7" t="n">
        <v>119</v>
      </c>
      <c r="B124" s="7" t="n">
        <f aca="false">ROUND(o_SWSTART+A124*(o_SWEND-o_SWSTART)/400,0)</f>
        <v>1218</v>
      </c>
      <c r="C124" s="7" t="n">
        <f aca="false">QUOTIENT((B124-c_OFF1)*c_GAIN1,1024)</f>
        <v>1218</v>
      </c>
      <c r="D124" s="7" t="n">
        <f aca="false">IF(((c_T1MX)-(c_T1MN))=0,(0)+QUOTIENT(((1000)-(0)),2),QUOTIENT((((C124)-(c_T1MN))*((1000)-(0))+IF(((1000)-(0))&gt;=0,1,-1)*QUOTIENT(((c_T1MX)-(c_T1MN)),2)),((c_T1MX)-(c_T1MN)))+(0)+IF(((1000)-(0))&gt;=0,IF(IF(o_WRAP=1,MOD(((c_T1MX)-(c_T1MN))*(((C124)-(c_T1MN))*((1000)-(0))+IF(((1000)-(0))&gt;=0,1,-1)*QUOTIENT(((c_T1MX)-(c_T1MN)),2))+2147483648,4294967296)-2147483648,((c_T1MX)-(c_T1MN))*(((C124)-(c_T1MN))*((1000)-(0))+IF(((1000)-(0))&gt;=0,1,-1)*QUOTIENT(((c_T1MX)-(c_T1MN)),2)))&lt;0,-1,0),IF(IF(o_WRAP=1,MOD(((c_T1MX)-(c_T1MN))*(((C124)-(c_T1MN))*((1000)-(0))+IF(((1000)-(0))&gt;=0,1,-1)*QUOTIENT(((c_T1MX)-(c_T1MN)),2))+2147483648,4294967296)-2147483648,((c_T1MX)-(c_T1MN))*(((C124)-(c_T1MN))*((1000)-(0))+IF(((1000)-(0))&gt;=0,1,-1)*QUOTIENT(((c_T1MX)-(c_T1MN)),2)))&gt;=0,1,0)))</f>
        <v>182</v>
      </c>
      <c r="E124" s="7" t="n">
        <f aca="false">IF(AND(c_TPOT=1,c_TTYPE=2),1000-D124,D124)</f>
        <v>182</v>
      </c>
      <c r="F124" s="7" t="str">
        <f aca="false">IF(c_TPOT&gt;1,ROUND(IF(c_TTYPE=2,c_T2MX-IF(c_T1MX=c_T1MN,0,(C124-c_T1MN)/(c_T1MX-c_T1MN))*(c_T2MX-c_T2MN),c_T2MN+IF(c_T1MX=c_T1MN,0,(C124-c_T1MN)/(c_T1MX-c_T1MN))*(c_T2MX-c_T2MN))+o_MISMATCH,0),"")</f>
        <v/>
      </c>
      <c r="G124" s="7" t="str">
        <f aca="false">IF(c_TPOT&gt;1,IF(((c_T2MX)-(c_T2MN))=0,(0)+QUOTIENT(((1000)-(0)),2),QUOTIENT((((F124)-(c_T2MN))*((1000)-(0))+IF(((1000)-(0))&gt;=0,1,-1)*QUOTIENT(((c_T2MX)-(c_T2MN)),2)),((c_T2MX)-(c_T2MN)))+(0)+IF(((1000)-(0))&gt;=0,IF(IF(o_WRAP=1,MOD(((c_T2MX)-(c_T2MN))*(((F124)-(c_T2MN))*((1000)-(0))+IF(((1000)-(0))&gt;=0,1,-1)*QUOTIENT(((c_T2MX)-(c_T2MN)),2))+2147483648,4294967296)-2147483648,((c_T2MX)-(c_T2MN))*(((F124)-(c_T2MN))*((1000)-(0))+IF(((1000)-(0))&gt;=0,1,-1)*QUOTIENT(((c_T2MX)-(c_T2MN)),2)))&lt;0,-1,0),IF(IF(o_WRAP=1,MOD(((c_T2MX)-(c_T2MN))*(((F124)-(c_T2MN))*((1000)-(0))+IF(((1000)-(0))&gt;=0,1,-1)*QUOTIENT(((c_T2MX)-(c_T2MN)),2))+2147483648,4294967296)-2147483648,((c_T2MX)-(c_T2MN))*(((F124)-(c_T2MN))*((1000)-(0))+IF(((1000)-(0))&gt;=0,1,-1)*QUOTIENT(((c_T2MX)-(c_T2MN)),2)))&gt;=0,1,0))),"")</f>
        <v/>
      </c>
      <c r="H124" s="7" t="str">
        <f aca="false">IF(E124&gt;1000+k_TOL,"T1 HIGH",IF(E124&lt;0-k_TOL,"T1 LOW",IF(c_TPOT&gt;1,IF(G124&gt;1000+k_TOL,"T2 HIGH",IF(G124&lt;0-k_TOL,"T2 LOW",IF(c_TTYPE=2,IF(ABS(1000-MAX(0,MIN(1000,E124))-MAX(0,MIN(1000,G124)))&gt;k_MAXERR,"MISMATCH","OK"),IF(OR(MAX(0,MIN(1000,E124))-k_MAXERR&gt;MAX(0,MIN(1000,G124)),MAX(0,MIN(1000,G124))-k_MAXERR&gt;MAX(0,MIN(1000,E124))),"MISMATCH","OK")))),"OK")))</f>
        <v>OK</v>
      </c>
      <c r="I124" s="7" t="n">
        <f aca="false">MAX(0,MIN(1000,D124))</f>
        <v>182</v>
      </c>
      <c r="J124" s="7" t="str">
        <f aca="false">IF(c_TPOT&gt;1,IF(c_TTYPE=2,1000-MAX(0,MIN(1000,G124)),MAX(0,MIN(1000,G124))),"")</f>
        <v/>
      </c>
      <c r="K124" s="7" t="n">
        <f aca="false">IF(c_TPOT&gt;1,QUOTIENT(I124+J124,2),I124)</f>
        <v>182</v>
      </c>
      <c r="L124" s="7" t="n">
        <f aca="false">IF(AND(K124=0,c_TCREEP&gt;0),10*c_TCREEP,IF(AND(K124&lt;=c_TRNGMIN,K124&gt;=c_TRNGMAX,c_TRNGMIN-c_TRNGMAX&lt;&gt;0),-10*c_TMINRN+QUOTIENT((c_TMAXRN-c_TMINRN)*(100-QUOTIENT((K124-c_TRNGMAX)*100,c_TRNGMIN-c_TRNGMAX)),-10),0))</f>
        <v>0</v>
      </c>
      <c r="M124" s="7" t="n">
        <f aca="false">IF(((c_TMAP1IN)-(c_TFWD))=0,(0)+QUOTIENT(((c_TMAP1OUT)-(0)),2),QUOTIENT((((K124)-(c_TFWD))*((c_TMAP1OUT)-(0))+IF(((c_TMAP1OUT)-(0))&gt;=0,1,-1)*QUOTIENT(((c_TMAP1IN)-(c_TFWD)),2)),((c_TMAP1IN)-(c_TFWD)))+(0)+IF(((c_TMAP1OUT)-(0))&gt;=0,IF(IF(o_WRAP=1,MOD(((c_TMAP1IN)-(c_TFWD))*(((K124)-(c_TFWD))*((c_TMAP1OUT)-(0))+IF(((c_TMAP1OUT)-(0))&gt;=0,1,-1)*QUOTIENT(((c_TMAP1IN)-(c_TFWD)),2))+2147483648,4294967296)-2147483648,((c_TMAP1IN)-(c_TFWD))*(((K124)-(c_TFWD))*((c_TMAP1OUT)-(0))+IF(((c_TMAP1OUT)-(0))&gt;=0,1,-1)*QUOTIENT(((c_TMAP1IN)-(c_TFWD)),2)))&lt;0,-1,0),IF(IF(o_WRAP=1,MOD(((c_TMAP1IN)-(c_TFWD))*(((K124)-(c_TFWD))*((c_TMAP1OUT)-(0))+IF(((c_TMAP1OUT)-(0))&gt;=0,1,-1)*QUOTIENT(((c_TMAP1IN)-(c_TFWD)),2))+2147483648,4294967296)-2147483648,((c_TMAP1IN)-(c_TFWD))*(((K124)-(c_TFWD))*((c_TMAP1OUT)-(0))+IF(((c_TMAP1OUT)-(0))&gt;=0,1,-1)*QUOTIENT(((c_TMAP1IN)-(c_TFWD)),2)))&gt;=0,1,0)))</f>
        <v>134</v>
      </c>
      <c r="N124" s="7" t="n">
        <f aca="false">IF(((c_TMAP2IN)-(c_TMAP1IN))=0,(c_TMAP1OUT)+QUOTIENT(((c_TMAP2OUT)-(c_TMAP1OUT)),2),QUOTIENT((((K124)-(c_TMAP1IN))*((c_TMAP2OUT)-(c_TMAP1OUT))+IF(((c_TMAP2OUT)-(c_TMAP1OUT))&gt;=0,1,-1)*QUOTIENT(((c_TMAP2IN)-(c_TMAP1IN)),2)),((c_TMAP2IN)-(c_TMAP1IN)))+(c_TMAP1OUT)+IF(((c_TMAP2OUT)-(c_TMAP1OUT))&gt;=0,IF(IF(o_WRAP=1,MOD(((c_TMAP2IN)-(c_TMAP1IN))*(((K124)-(c_TMAP1IN))*((c_TMAP2OUT)-(c_TMAP1OUT))+IF(((c_TMAP2OUT)-(c_TMAP1OUT))&gt;=0,1,-1)*QUOTIENT(((c_TMAP2IN)-(c_TMAP1IN)),2))+2147483648,4294967296)-2147483648,((c_TMAP2IN)-(c_TMAP1IN))*(((K124)-(c_TMAP1IN))*((c_TMAP2OUT)-(c_TMAP1OUT))+IF(((c_TMAP2OUT)-(c_TMAP1OUT))&gt;=0,1,-1)*QUOTIENT(((c_TMAP2IN)-(c_TMAP1IN)),2)))&lt;0,-1,0),IF(IF(o_WRAP=1,MOD(((c_TMAP2IN)-(c_TMAP1IN))*(((K124)-(c_TMAP1IN))*((c_TMAP2OUT)-(c_TMAP1OUT))+IF(((c_TMAP2OUT)-(c_TMAP1OUT))&gt;=0,1,-1)*QUOTIENT(((c_TMAP2IN)-(c_TMAP1IN)),2))+2147483648,4294967296)-2147483648,((c_TMAP2IN)-(c_TMAP1IN))*(((K124)-(c_TMAP1IN))*((c_TMAP2OUT)-(c_TMAP1OUT))+IF(((c_TMAP2OUT)-(c_TMAP1OUT))&gt;=0,1,-1)*QUOTIENT(((c_TMAP2IN)-(c_TMAP1IN)),2)))&gt;=0,1,0)))</f>
        <v>103</v>
      </c>
      <c r="O124" s="7" t="n">
        <f aca="false">IF(((c_TMAP3IN)-(c_TMAP2IN))=0,(c_TMAP2OUT)+QUOTIENT(((c_TMAP3OUT)-(c_TMAP2OUT)),2),QUOTIENT((((K124)-(c_TMAP2IN))*((c_TMAP3OUT)-(c_TMAP2OUT))+IF(((c_TMAP3OUT)-(c_TMAP2OUT))&gt;=0,1,-1)*QUOTIENT(((c_TMAP3IN)-(c_TMAP2IN)),2)),((c_TMAP3IN)-(c_TMAP2IN)))+(c_TMAP2OUT)+IF(((c_TMAP3OUT)-(c_TMAP2OUT))&gt;=0,IF(IF(o_WRAP=1,MOD(((c_TMAP3IN)-(c_TMAP2IN))*(((K124)-(c_TMAP2IN))*((c_TMAP3OUT)-(c_TMAP2OUT))+IF(((c_TMAP3OUT)-(c_TMAP2OUT))&gt;=0,1,-1)*QUOTIENT(((c_TMAP3IN)-(c_TMAP2IN)),2))+2147483648,4294967296)-2147483648,((c_TMAP3IN)-(c_TMAP2IN))*(((K124)-(c_TMAP2IN))*((c_TMAP3OUT)-(c_TMAP2OUT))+IF(((c_TMAP3OUT)-(c_TMAP2OUT))&gt;=0,1,-1)*QUOTIENT(((c_TMAP3IN)-(c_TMAP2IN)),2)))&lt;0,-1,0),IF(IF(o_WRAP=1,MOD(((c_TMAP3IN)-(c_TMAP2IN))*(((K124)-(c_TMAP2IN))*((c_TMAP3OUT)-(c_TMAP2OUT))+IF(((c_TMAP3OUT)-(c_TMAP2OUT))&gt;=0,1,-1)*QUOTIENT(((c_TMAP3IN)-(c_TMAP2IN)),2))+2147483648,4294967296)-2147483648,((c_TMAP3IN)-(c_TMAP2IN))*(((K124)-(c_TMAP2IN))*((c_TMAP3OUT)-(c_TMAP2OUT))+IF(((c_TMAP3OUT)-(c_TMAP2OUT))&gt;=0,1,-1)*QUOTIENT(((c_TMAP3IN)-(c_TMAP2IN)),2)))&gt;=0,1,0)))</f>
        <v>82</v>
      </c>
      <c r="P124" s="7" t="n">
        <f aca="false">IF(((1000)-(c_TMAP3IN))=0,(c_TMAP3OUT)+QUOTIENT(((1000)-(c_TMAP3OUT)),2),QUOTIENT((((K124)-(c_TMAP3IN))*((1000)-(c_TMAP3OUT))+IF(((1000)-(c_TMAP3OUT))&gt;=0,1,-1)*QUOTIENT(((1000)-(c_TMAP3IN)),2)),((1000)-(c_TMAP3IN)))+(c_TMAP3OUT)+IF(((1000)-(c_TMAP3OUT))&gt;=0,IF(IF(o_WRAP=1,MOD(((1000)-(c_TMAP3IN))*(((K124)-(c_TMAP3IN))*((1000)-(c_TMAP3OUT))+IF(((1000)-(c_TMAP3OUT))&gt;=0,1,-1)*QUOTIENT(((1000)-(c_TMAP3IN)),2))+2147483648,4294967296)-2147483648,((1000)-(c_TMAP3IN))*(((K124)-(c_TMAP3IN))*((1000)-(c_TMAP3OUT))+IF(((1000)-(c_TMAP3OUT))&gt;=0,1,-1)*QUOTIENT(((1000)-(c_TMAP3IN)),2)))&lt;0,-1,0),IF(IF(o_WRAP=1,MOD(((1000)-(c_TMAP3IN))*(((K124)-(c_TMAP3IN))*((1000)-(c_TMAP3OUT))+IF(((1000)-(c_TMAP3OUT))&gt;=0,1,-1)*QUOTIENT(((1000)-(c_TMAP3IN)),2))+2147483648,4294967296)-2147483648,((1000)-(c_TMAP3IN))*(((K124)-(c_TMAP3IN))*((1000)-(c_TMAP3OUT))+IF(((1000)-(c_TMAP3OUT))&gt;=0,1,-1)*QUOTIENT(((1000)-(c_TMAP3IN)),2)))&gt;=0,1,0)))</f>
        <v>-7</v>
      </c>
      <c r="Q124" s="7" t="str">
        <f aca="false">IF(K124&gt;=c_TFWD,IF(AND(K124&gt;=c_TMAP3IN,c_TMAP3IN&lt;1000),"Seg4 map3-100%",IF(AND(K124&gt;=c_TMAP2IN,c_TMAP3IN&gt;c_TMAP2IN),"Seg3 map2-map3",IF(AND(K124&gt;=c_TMAP1IN,c_TMAP2IN&gt;c_TMAP1IN),"Seg2 map1-map2","Seg1 TFWD-map1"))),IF(AND(K124=0,c_TCREEP&gt;0),"Creep",IF(AND(K124&lt;=c_TRNGMIN,K124&gt;=c_TRNGMAX,c_TRNGMIN-c_TRNGMAX&lt;&gt;0),"Regen ramp","Coast (0)")))</f>
        <v>Seg2 map1-map2</v>
      </c>
      <c r="R124" s="7" t="n">
        <f aca="false">IF(K124&gt;=c_TFWD,IF(AND(K124&gt;=c_TMAP3IN,c_TMAP3IN&lt;1000),P124,IF(AND(K124&gt;=c_TMAP2IN,c_TMAP3IN&gt;c_TMAP2IN),O124,IF(AND(K124&gt;=c_TMAP1IN,c_TMAP2IN&gt;c_TMAP1IN),N124,M124))),L124)</f>
        <v>103</v>
      </c>
      <c r="S124" s="7" t="str">
        <f aca="false">IF(R124&lt;-1090,"TOO LOW",IF(R124&gt;1090,"TOO HIGH",""))</f>
        <v/>
      </c>
      <c r="T124" s="15" t="n">
        <f aca="false">IF(H124&lt;&gt;"OK",0,IF(S124&lt;&gt;"",0,IF(R124&gt;979,1000,R124)))</f>
        <v>103</v>
      </c>
      <c r="U124" s="7" t="n">
        <f aca="false">T124/10</f>
        <v>10.3</v>
      </c>
    </row>
    <row r="125" customFormat="false" ht="15" hidden="false" customHeight="false" outlineLevel="0" collapsed="false">
      <c r="A125" s="7" t="n">
        <v>120</v>
      </c>
      <c r="B125" s="7" t="n">
        <f aca="false">ROUND(o_SWSTART+A125*(o_SWEND-o_SWSTART)/400,0)</f>
        <v>1229</v>
      </c>
      <c r="C125" s="7" t="n">
        <f aca="false">QUOTIENT((B125-c_OFF1)*c_GAIN1,1024)</f>
        <v>1229</v>
      </c>
      <c r="D125" s="7" t="n">
        <f aca="false">IF(((c_T1MX)-(c_T1MN))=0,(0)+QUOTIENT(((1000)-(0)),2),QUOTIENT((((C125)-(c_T1MN))*((1000)-(0))+IF(((1000)-(0))&gt;=0,1,-1)*QUOTIENT(((c_T1MX)-(c_T1MN)),2)),((c_T1MX)-(c_T1MN)))+(0)+IF(((1000)-(0))&gt;=0,IF(IF(o_WRAP=1,MOD(((c_T1MX)-(c_T1MN))*(((C125)-(c_T1MN))*((1000)-(0))+IF(((1000)-(0))&gt;=0,1,-1)*QUOTIENT(((c_T1MX)-(c_T1MN)),2))+2147483648,4294967296)-2147483648,((c_T1MX)-(c_T1MN))*(((C125)-(c_T1MN))*((1000)-(0))+IF(((1000)-(0))&gt;=0,1,-1)*QUOTIENT(((c_T1MX)-(c_T1MN)),2)))&lt;0,-1,0),IF(IF(o_WRAP=1,MOD(((c_T1MX)-(c_T1MN))*(((C125)-(c_T1MN))*((1000)-(0))+IF(((1000)-(0))&gt;=0,1,-1)*QUOTIENT(((c_T1MX)-(c_T1MN)),2))+2147483648,4294967296)-2147483648,((c_T1MX)-(c_T1MN))*(((C125)-(c_T1MN))*((1000)-(0))+IF(((1000)-(0))&gt;=0,1,-1)*QUOTIENT(((c_T1MX)-(c_T1MN)),2)))&gt;=0,1,0)))</f>
        <v>186</v>
      </c>
      <c r="E125" s="7" t="n">
        <f aca="false">IF(AND(c_TPOT=1,c_TTYPE=2),1000-D125,D125)</f>
        <v>186</v>
      </c>
      <c r="F125" s="7" t="str">
        <f aca="false">IF(c_TPOT&gt;1,ROUND(IF(c_TTYPE=2,c_T2MX-IF(c_T1MX=c_T1MN,0,(C125-c_T1MN)/(c_T1MX-c_T1MN))*(c_T2MX-c_T2MN),c_T2MN+IF(c_T1MX=c_T1MN,0,(C125-c_T1MN)/(c_T1MX-c_T1MN))*(c_T2MX-c_T2MN))+o_MISMATCH,0),"")</f>
        <v/>
      </c>
      <c r="G125" s="7" t="str">
        <f aca="false">IF(c_TPOT&gt;1,IF(((c_T2MX)-(c_T2MN))=0,(0)+QUOTIENT(((1000)-(0)),2),QUOTIENT((((F125)-(c_T2MN))*((1000)-(0))+IF(((1000)-(0))&gt;=0,1,-1)*QUOTIENT(((c_T2MX)-(c_T2MN)),2)),((c_T2MX)-(c_T2MN)))+(0)+IF(((1000)-(0))&gt;=0,IF(IF(o_WRAP=1,MOD(((c_T2MX)-(c_T2MN))*(((F125)-(c_T2MN))*((1000)-(0))+IF(((1000)-(0))&gt;=0,1,-1)*QUOTIENT(((c_T2MX)-(c_T2MN)),2))+2147483648,4294967296)-2147483648,((c_T2MX)-(c_T2MN))*(((F125)-(c_T2MN))*((1000)-(0))+IF(((1000)-(0))&gt;=0,1,-1)*QUOTIENT(((c_T2MX)-(c_T2MN)),2)))&lt;0,-1,0),IF(IF(o_WRAP=1,MOD(((c_T2MX)-(c_T2MN))*(((F125)-(c_T2MN))*((1000)-(0))+IF(((1000)-(0))&gt;=0,1,-1)*QUOTIENT(((c_T2MX)-(c_T2MN)),2))+2147483648,4294967296)-2147483648,((c_T2MX)-(c_T2MN))*(((F125)-(c_T2MN))*((1000)-(0))+IF(((1000)-(0))&gt;=0,1,-1)*QUOTIENT(((c_T2MX)-(c_T2MN)),2)))&gt;=0,1,0))),"")</f>
        <v/>
      </c>
      <c r="H125" s="7" t="str">
        <f aca="false">IF(E125&gt;1000+k_TOL,"T1 HIGH",IF(E125&lt;0-k_TOL,"T1 LOW",IF(c_TPOT&gt;1,IF(G125&gt;1000+k_TOL,"T2 HIGH",IF(G125&lt;0-k_TOL,"T2 LOW",IF(c_TTYPE=2,IF(ABS(1000-MAX(0,MIN(1000,E125))-MAX(0,MIN(1000,G125)))&gt;k_MAXERR,"MISMATCH","OK"),IF(OR(MAX(0,MIN(1000,E125))-k_MAXERR&gt;MAX(0,MIN(1000,G125)),MAX(0,MIN(1000,G125))-k_MAXERR&gt;MAX(0,MIN(1000,E125))),"MISMATCH","OK")))),"OK")))</f>
        <v>OK</v>
      </c>
      <c r="I125" s="7" t="n">
        <f aca="false">MAX(0,MIN(1000,D125))</f>
        <v>186</v>
      </c>
      <c r="J125" s="7" t="str">
        <f aca="false">IF(c_TPOT&gt;1,IF(c_TTYPE=2,1000-MAX(0,MIN(1000,G125)),MAX(0,MIN(1000,G125))),"")</f>
        <v/>
      </c>
      <c r="K125" s="7" t="n">
        <f aca="false">IF(c_TPOT&gt;1,QUOTIENT(I125+J125,2),I125)</f>
        <v>186</v>
      </c>
      <c r="L125" s="7" t="n">
        <f aca="false">IF(AND(K125=0,c_TCREEP&gt;0),10*c_TCREEP,IF(AND(K125&lt;=c_TRNGMIN,K125&gt;=c_TRNGMAX,c_TRNGMIN-c_TRNGMAX&lt;&gt;0),-10*c_TMINRN+QUOTIENT((c_TMAXRN-c_TMINRN)*(100-QUOTIENT((K125-c_TRNGMAX)*100,c_TRNGMIN-c_TRNGMAX)),-10),0))</f>
        <v>0</v>
      </c>
      <c r="M125" s="7" t="n">
        <f aca="false">IF(((c_TMAP1IN)-(c_TFWD))=0,(0)+QUOTIENT(((c_TMAP1OUT)-(0)),2),QUOTIENT((((K125)-(c_TFWD))*((c_TMAP1OUT)-(0))+IF(((c_TMAP1OUT)-(0))&gt;=0,1,-1)*QUOTIENT(((c_TMAP1IN)-(c_TFWD)),2)),((c_TMAP1IN)-(c_TFWD)))+(0)+IF(((c_TMAP1OUT)-(0))&gt;=0,IF(IF(o_WRAP=1,MOD(((c_TMAP1IN)-(c_TFWD))*(((K125)-(c_TFWD))*((c_TMAP1OUT)-(0))+IF(((c_TMAP1OUT)-(0))&gt;=0,1,-1)*QUOTIENT(((c_TMAP1IN)-(c_TFWD)),2))+2147483648,4294967296)-2147483648,((c_TMAP1IN)-(c_TFWD))*(((K125)-(c_TFWD))*((c_TMAP1OUT)-(0))+IF(((c_TMAP1OUT)-(0))&gt;=0,1,-1)*QUOTIENT(((c_TMAP1IN)-(c_TFWD)),2)))&lt;0,-1,0),IF(IF(o_WRAP=1,MOD(((c_TMAP1IN)-(c_TFWD))*(((K125)-(c_TFWD))*((c_TMAP1OUT)-(0))+IF(((c_TMAP1OUT)-(0))&gt;=0,1,-1)*QUOTIENT(((c_TMAP1IN)-(c_TFWD)),2))+2147483648,4294967296)-2147483648,((c_TMAP1IN)-(c_TFWD))*(((K125)-(c_TFWD))*((c_TMAP1OUT)-(0))+IF(((c_TMAP1OUT)-(0))&gt;=0,1,-1)*QUOTIENT(((c_TMAP1IN)-(c_TFWD)),2)))&gt;=0,1,0)))</f>
        <v>137</v>
      </c>
      <c r="N125" s="7" t="n">
        <f aca="false">IF(((c_TMAP2IN)-(c_TMAP1IN))=0,(c_TMAP1OUT)+QUOTIENT(((c_TMAP2OUT)-(c_TMAP1OUT)),2),QUOTIENT((((K125)-(c_TMAP1IN))*((c_TMAP2OUT)-(c_TMAP1OUT))+IF(((c_TMAP2OUT)-(c_TMAP1OUT))&gt;=0,1,-1)*QUOTIENT(((c_TMAP2IN)-(c_TMAP1IN)),2)),((c_TMAP2IN)-(c_TMAP1IN)))+(c_TMAP1OUT)+IF(((c_TMAP2OUT)-(c_TMAP1OUT))&gt;=0,IF(IF(o_WRAP=1,MOD(((c_TMAP2IN)-(c_TMAP1IN))*(((K125)-(c_TMAP1IN))*((c_TMAP2OUT)-(c_TMAP1OUT))+IF(((c_TMAP2OUT)-(c_TMAP1OUT))&gt;=0,1,-1)*QUOTIENT(((c_TMAP2IN)-(c_TMAP1IN)),2))+2147483648,4294967296)-2147483648,((c_TMAP2IN)-(c_TMAP1IN))*(((K125)-(c_TMAP1IN))*((c_TMAP2OUT)-(c_TMAP1OUT))+IF(((c_TMAP2OUT)-(c_TMAP1OUT))&gt;=0,1,-1)*QUOTIENT(((c_TMAP2IN)-(c_TMAP1IN)),2)))&lt;0,-1,0),IF(IF(o_WRAP=1,MOD(((c_TMAP2IN)-(c_TMAP1IN))*(((K125)-(c_TMAP1IN))*((c_TMAP2OUT)-(c_TMAP1OUT))+IF(((c_TMAP2OUT)-(c_TMAP1OUT))&gt;=0,1,-1)*QUOTIENT(((c_TMAP2IN)-(c_TMAP1IN)),2))+2147483648,4294967296)-2147483648,((c_TMAP2IN)-(c_TMAP1IN))*(((K125)-(c_TMAP1IN))*((c_TMAP2OUT)-(c_TMAP1OUT))+IF(((c_TMAP2OUT)-(c_TMAP1OUT))&gt;=0,1,-1)*QUOTIENT(((c_TMAP2IN)-(c_TMAP1IN)),2)))&gt;=0,1,0)))</f>
        <v>104</v>
      </c>
      <c r="O125" s="7" t="n">
        <f aca="false">IF(((c_TMAP3IN)-(c_TMAP2IN))=0,(c_TMAP2OUT)+QUOTIENT(((c_TMAP3OUT)-(c_TMAP2OUT)),2),QUOTIENT((((K125)-(c_TMAP2IN))*((c_TMAP3OUT)-(c_TMAP2OUT))+IF(((c_TMAP3OUT)-(c_TMAP2OUT))&gt;=0,1,-1)*QUOTIENT(((c_TMAP3IN)-(c_TMAP2IN)),2)),((c_TMAP3IN)-(c_TMAP2IN)))+(c_TMAP2OUT)+IF(((c_TMAP3OUT)-(c_TMAP2OUT))&gt;=0,IF(IF(o_WRAP=1,MOD(((c_TMAP3IN)-(c_TMAP2IN))*(((K125)-(c_TMAP2IN))*((c_TMAP3OUT)-(c_TMAP2OUT))+IF(((c_TMAP3OUT)-(c_TMAP2OUT))&gt;=0,1,-1)*QUOTIENT(((c_TMAP3IN)-(c_TMAP2IN)),2))+2147483648,4294967296)-2147483648,((c_TMAP3IN)-(c_TMAP2IN))*(((K125)-(c_TMAP2IN))*((c_TMAP3OUT)-(c_TMAP2OUT))+IF(((c_TMAP3OUT)-(c_TMAP2OUT))&gt;=0,1,-1)*QUOTIENT(((c_TMAP3IN)-(c_TMAP2IN)),2)))&lt;0,-1,0),IF(IF(o_WRAP=1,MOD(((c_TMAP3IN)-(c_TMAP2IN))*(((K125)-(c_TMAP2IN))*((c_TMAP3OUT)-(c_TMAP2OUT))+IF(((c_TMAP3OUT)-(c_TMAP2OUT))&gt;=0,1,-1)*QUOTIENT(((c_TMAP3IN)-(c_TMAP2IN)),2))+2147483648,4294967296)-2147483648,((c_TMAP3IN)-(c_TMAP2IN))*(((K125)-(c_TMAP2IN))*((c_TMAP3OUT)-(c_TMAP2OUT))+IF(((c_TMAP3OUT)-(c_TMAP2OUT))&gt;=0,1,-1)*QUOTIENT(((c_TMAP3IN)-(c_TMAP2IN)),2)))&gt;=0,1,0)))</f>
        <v>85</v>
      </c>
      <c r="P125" s="7" t="n">
        <f aca="false">IF(((1000)-(c_TMAP3IN))=0,(c_TMAP3OUT)+QUOTIENT(((1000)-(c_TMAP3OUT)),2),QUOTIENT((((K125)-(c_TMAP3IN))*((1000)-(c_TMAP3OUT))+IF(((1000)-(c_TMAP3OUT))&gt;=0,1,-1)*QUOTIENT(((1000)-(c_TMAP3IN)),2)),((1000)-(c_TMAP3IN)))+(c_TMAP3OUT)+IF(((1000)-(c_TMAP3OUT))&gt;=0,IF(IF(o_WRAP=1,MOD(((1000)-(c_TMAP3IN))*(((K125)-(c_TMAP3IN))*((1000)-(c_TMAP3OUT))+IF(((1000)-(c_TMAP3OUT))&gt;=0,1,-1)*QUOTIENT(((1000)-(c_TMAP3IN)),2))+2147483648,4294967296)-2147483648,((1000)-(c_TMAP3IN))*(((K125)-(c_TMAP3IN))*((1000)-(c_TMAP3OUT))+IF(((1000)-(c_TMAP3OUT))&gt;=0,1,-1)*QUOTIENT(((1000)-(c_TMAP3IN)),2)))&lt;0,-1,0),IF(IF(o_WRAP=1,MOD(((1000)-(c_TMAP3IN))*(((K125)-(c_TMAP3IN))*((1000)-(c_TMAP3OUT))+IF(((1000)-(c_TMAP3OUT))&gt;=0,1,-1)*QUOTIENT(((1000)-(c_TMAP3IN)),2))+2147483648,4294967296)-2147483648,((1000)-(c_TMAP3IN))*(((K125)-(c_TMAP3IN))*((1000)-(c_TMAP3OUT))+IF(((1000)-(c_TMAP3OUT))&gt;=0,1,-1)*QUOTIENT(((1000)-(c_TMAP3IN)),2)))&gt;=0,1,0)))</f>
        <v>-2</v>
      </c>
      <c r="Q125" s="7" t="str">
        <f aca="false">IF(K125&gt;=c_TFWD,IF(AND(K125&gt;=c_TMAP3IN,c_TMAP3IN&lt;1000),"Seg4 map3-100%",IF(AND(K125&gt;=c_TMAP2IN,c_TMAP3IN&gt;c_TMAP2IN),"Seg3 map2-map3",IF(AND(K125&gt;=c_TMAP1IN,c_TMAP2IN&gt;c_TMAP1IN),"Seg2 map1-map2","Seg1 TFWD-map1"))),IF(AND(K125=0,c_TCREEP&gt;0),"Creep",IF(AND(K125&lt;=c_TRNGMIN,K125&gt;=c_TRNGMAX,c_TRNGMIN-c_TRNGMAX&lt;&gt;0),"Regen ramp","Coast (0)")))</f>
        <v>Seg2 map1-map2</v>
      </c>
      <c r="R125" s="7" t="n">
        <f aca="false">IF(K125&gt;=c_TFWD,IF(AND(K125&gt;=c_TMAP3IN,c_TMAP3IN&lt;1000),P125,IF(AND(K125&gt;=c_TMAP2IN,c_TMAP3IN&gt;c_TMAP2IN),O125,IF(AND(K125&gt;=c_TMAP1IN,c_TMAP2IN&gt;c_TMAP1IN),N125,M125))),L125)</f>
        <v>104</v>
      </c>
      <c r="S125" s="7" t="str">
        <f aca="false">IF(R125&lt;-1090,"TOO LOW",IF(R125&gt;1090,"TOO HIGH",""))</f>
        <v/>
      </c>
      <c r="T125" s="15" t="n">
        <f aca="false">IF(H125&lt;&gt;"OK",0,IF(S125&lt;&gt;"",0,IF(R125&gt;979,1000,R125)))</f>
        <v>104</v>
      </c>
      <c r="U125" s="7" t="n">
        <f aca="false">T125/10</f>
        <v>10.4</v>
      </c>
    </row>
    <row r="126" customFormat="false" ht="15" hidden="false" customHeight="false" outlineLevel="0" collapsed="false">
      <c r="A126" s="7" t="n">
        <v>121</v>
      </c>
      <c r="B126" s="7" t="n">
        <f aca="false">ROUND(o_SWSTART+A126*(o_SWEND-o_SWSTART)/400,0)</f>
        <v>1239</v>
      </c>
      <c r="C126" s="7" t="n">
        <f aca="false">QUOTIENT((B126-c_OFF1)*c_GAIN1,1024)</f>
        <v>1239</v>
      </c>
      <c r="D126" s="7" t="n">
        <f aca="false">IF(((c_T1MX)-(c_T1MN))=0,(0)+QUOTIENT(((1000)-(0)),2),QUOTIENT((((C126)-(c_T1MN))*((1000)-(0))+IF(((1000)-(0))&gt;=0,1,-1)*QUOTIENT(((c_T1MX)-(c_T1MN)),2)),((c_T1MX)-(c_T1MN)))+(0)+IF(((1000)-(0))&gt;=0,IF(IF(o_WRAP=1,MOD(((c_T1MX)-(c_T1MN))*(((C126)-(c_T1MN))*((1000)-(0))+IF(((1000)-(0))&gt;=0,1,-1)*QUOTIENT(((c_T1MX)-(c_T1MN)),2))+2147483648,4294967296)-2147483648,((c_T1MX)-(c_T1MN))*(((C126)-(c_T1MN))*((1000)-(0))+IF(((1000)-(0))&gt;=0,1,-1)*QUOTIENT(((c_T1MX)-(c_T1MN)),2)))&lt;0,-1,0),IF(IF(o_WRAP=1,MOD(((c_T1MX)-(c_T1MN))*(((C126)-(c_T1MN))*((1000)-(0))+IF(((1000)-(0))&gt;=0,1,-1)*QUOTIENT(((c_T1MX)-(c_T1MN)),2))+2147483648,4294967296)-2147483648,((c_T1MX)-(c_T1MN))*(((C126)-(c_T1MN))*((1000)-(0))+IF(((1000)-(0))&gt;=0,1,-1)*QUOTIENT(((c_T1MX)-(c_T1MN)),2)))&gt;=0,1,0)))</f>
        <v>190</v>
      </c>
      <c r="E126" s="7" t="n">
        <f aca="false">IF(AND(c_TPOT=1,c_TTYPE=2),1000-D126,D126)</f>
        <v>190</v>
      </c>
      <c r="F126" s="7" t="str">
        <f aca="false">IF(c_TPOT&gt;1,ROUND(IF(c_TTYPE=2,c_T2MX-IF(c_T1MX=c_T1MN,0,(C126-c_T1MN)/(c_T1MX-c_T1MN))*(c_T2MX-c_T2MN),c_T2MN+IF(c_T1MX=c_T1MN,0,(C126-c_T1MN)/(c_T1MX-c_T1MN))*(c_T2MX-c_T2MN))+o_MISMATCH,0),"")</f>
        <v/>
      </c>
      <c r="G126" s="7" t="str">
        <f aca="false">IF(c_TPOT&gt;1,IF(((c_T2MX)-(c_T2MN))=0,(0)+QUOTIENT(((1000)-(0)),2),QUOTIENT((((F126)-(c_T2MN))*((1000)-(0))+IF(((1000)-(0))&gt;=0,1,-1)*QUOTIENT(((c_T2MX)-(c_T2MN)),2)),((c_T2MX)-(c_T2MN)))+(0)+IF(((1000)-(0))&gt;=0,IF(IF(o_WRAP=1,MOD(((c_T2MX)-(c_T2MN))*(((F126)-(c_T2MN))*((1000)-(0))+IF(((1000)-(0))&gt;=0,1,-1)*QUOTIENT(((c_T2MX)-(c_T2MN)),2))+2147483648,4294967296)-2147483648,((c_T2MX)-(c_T2MN))*(((F126)-(c_T2MN))*((1000)-(0))+IF(((1000)-(0))&gt;=0,1,-1)*QUOTIENT(((c_T2MX)-(c_T2MN)),2)))&lt;0,-1,0),IF(IF(o_WRAP=1,MOD(((c_T2MX)-(c_T2MN))*(((F126)-(c_T2MN))*((1000)-(0))+IF(((1000)-(0))&gt;=0,1,-1)*QUOTIENT(((c_T2MX)-(c_T2MN)),2))+2147483648,4294967296)-2147483648,((c_T2MX)-(c_T2MN))*(((F126)-(c_T2MN))*((1000)-(0))+IF(((1000)-(0))&gt;=0,1,-1)*QUOTIENT(((c_T2MX)-(c_T2MN)),2)))&gt;=0,1,0))),"")</f>
        <v/>
      </c>
      <c r="H126" s="7" t="str">
        <f aca="false">IF(E126&gt;1000+k_TOL,"T1 HIGH",IF(E126&lt;0-k_TOL,"T1 LOW",IF(c_TPOT&gt;1,IF(G126&gt;1000+k_TOL,"T2 HIGH",IF(G126&lt;0-k_TOL,"T2 LOW",IF(c_TTYPE=2,IF(ABS(1000-MAX(0,MIN(1000,E126))-MAX(0,MIN(1000,G126)))&gt;k_MAXERR,"MISMATCH","OK"),IF(OR(MAX(0,MIN(1000,E126))-k_MAXERR&gt;MAX(0,MIN(1000,G126)),MAX(0,MIN(1000,G126))-k_MAXERR&gt;MAX(0,MIN(1000,E126))),"MISMATCH","OK")))),"OK")))</f>
        <v>OK</v>
      </c>
      <c r="I126" s="7" t="n">
        <f aca="false">MAX(0,MIN(1000,D126))</f>
        <v>190</v>
      </c>
      <c r="J126" s="7" t="str">
        <f aca="false">IF(c_TPOT&gt;1,IF(c_TTYPE=2,1000-MAX(0,MIN(1000,G126)),MAX(0,MIN(1000,G126))),"")</f>
        <v/>
      </c>
      <c r="K126" s="7" t="n">
        <f aca="false">IF(c_TPOT&gt;1,QUOTIENT(I126+J126,2),I126)</f>
        <v>190</v>
      </c>
      <c r="L126" s="7" t="n">
        <f aca="false">IF(AND(K126=0,c_TCREEP&gt;0),10*c_TCREEP,IF(AND(K126&lt;=c_TRNGMIN,K126&gt;=c_TRNGMAX,c_TRNGMIN-c_TRNGMAX&lt;&gt;0),-10*c_TMINRN+QUOTIENT((c_TMAXRN-c_TMINRN)*(100-QUOTIENT((K126-c_TRNGMAX)*100,c_TRNGMIN-c_TRNGMAX)),-10),0))</f>
        <v>0</v>
      </c>
      <c r="M126" s="7" t="n">
        <f aca="false">IF(((c_TMAP1IN)-(c_TFWD))=0,(0)+QUOTIENT(((c_TMAP1OUT)-(0)),2),QUOTIENT((((K126)-(c_TFWD))*((c_TMAP1OUT)-(0))+IF(((c_TMAP1OUT)-(0))&gt;=0,1,-1)*QUOTIENT(((c_TMAP1IN)-(c_TFWD)),2)),((c_TMAP1IN)-(c_TFWD)))+(0)+IF(((c_TMAP1OUT)-(0))&gt;=0,IF(IF(o_WRAP=1,MOD(((c_TMAP1IN)-(c_TFWD))*(((K126)-(c_TFWD))*((c_TMAP1OUT)-(0))+IF(((c_TMAP1OUT)-(0))&gt;=0,1,-1)*QUOTIENT(((c_TMAP1IN)-(c_TFWD)),2))+2147483648,4294967296)-2147483648,((c_TMAP1IN)-(c_TFWD))*(((K126)-(c_TFWD))*((c_TMAP1OUT)-(0))+IF(((c_TMAP1OUT)-(0))&gt;=0,1,-1)*QUOTIENT(((c_TMAP1IN)-(c_TFWD)),2)))&lt;0,-1,0),IF(IF(o_WRAP=1,MOD(((c_TMAP1IN)-(c_TFWD))*(((K126)-(c_TFWD))*((c_TMAP1OUT)-(0))+IF(((c_TMAP1OUT)-(0))&gt;=0,1,-1)*QUOTIENT(((c_TMAP1IN)-(c_TFWD)),2))+2147483648,4294967296)-2147483648,((c_TMAP1IN)-(c_TFWD))*(((K126)-(c_TFWD))*((c_TMAP1OUT)-(0))+IF(((c_TMAP1OUT)-(0))&gt;=0,1,-1)*QUOTIENT(((c_TMAP1IN)-(c_TFWD)),2)))&gt;=0,1,0)))</f>
        <v>140</v>
      </c>
      <c r="N126" s="7" t="n">
        <f aca="false">IF(((c_TMAP2IN)-(c_TMAP1IN))=0,(c_TMAP1OUT)+QUOTIENT(((c_TMAP2OUT)-(c_TMAP1OUT)),2),QUOTIENT((((K126)-(c_TMAP1IN))*((c_TMAP2OUT)-(c_TMAP1OUT))+IF(((c_TMAP2OUT)-(c_TMAP1OUT))&gt;=0,1,-1)*QUOTIENT(((c_TMAP2IN)-(c_TMAP1IN)),2)),((c_TMAP2IN)-(c_TMAP1IN)))+(c_TMAP1OUT)+IF(((c_TMAP2OUT)-(c_TMAP1OUT))&gt;=0,IF(IF(o_WRAP=1,MOD(((c_TMAP2IN)-(c_TMAP1IN))*(((K126)-(c_TMAP1IN))*((c_TMAP2OUT)-(c_TMAP1OUT))+IF(((c_TMAP2OUT)-(c_TMAP1OUT))&gt;=0,1,-1)*QUOTIENT(((c_TMAP2IN)-(c_TMAP1IN)),2))+2147483648,4294967296)-2147483648,((c_TMAP2IN)-(c_TMAP1IN))*(((K126)-(c_TMAP1IN))*((c_TMAP2OUT)-(c_TMAP1OUT))+IF(((c_TMAP2OUT)-(c_TMAP1OUT))&gt;=0,1,-1)*QUOTIENT(((c_TMAP2IN)-(c_TMAP1IN)),2)))&lt;0,-1,0),IF(IF(o_WRAP=1,MOD(((c_TMAP2IN)-(c_TMAP1IN))*(((K126)-(c_TMAP1IN))*((c_TMAP2OUT)-(c_TMAP1OUT))+IF(((c_TMAP2OUT)-(c_TMAP1OUT))&gt;=0,1,-1)*QUOTIENT(((c_TMAP2IN)-(c_TMAP1IN)),2))+2147483648,4294967296)-2147483648,((c_TMAP2IN)-(c_TMAP1IN))*(((K126)-(c_TMAP1IN))*((c_TMAP2OUT)-(c_TMAP1OUT))+IF(((c_TMAP2OUT)-(c_TMAP1OUT))&gt;=0,1,-1)*QUOTIENT(((c_TMAP2IN)-(c_TMAP1IN)),2)))&gt;=0,1,0)))</f>
        <v>106</v>
      </c>
      <c r="O126" s="7" t="n">
        <f aca="false">IF(((c_TMAP3IN)-(c_TMAP2IN))=0,(c_TMAP2OUT)+QUOTIENT(((c_TMAP3OUT)-(c_TMAP2OUT)),2),QUOTIENT((((K126)-(c_TMAP2IN))*((c_TMAP3OUT)-(c_TMAP2OUT))+IF(((c_TMAP3OUT)-(c_TMAP2OUT))&gt;=0,1,-1)*QUOTIENT(((c_TMAP3IN)-(c_TMAP2IN)),2)),((c_TMAP3IN)-(c_TMAP2IN)))+(c_TMAP2OUT)+IF(((c_TMAP3OUT)-(c_TMAP2OUT))&gt;=0,IF(IF(o_WRAP=1,MOD(((c_TMAP3IN)-(c_TMAP2IN))*(((K126)-(c_TMAP2IN))*((c_TMAP3OUT)-(c_TMAP2OUT))+IF(((c_TMAP3OUT)-(c_TMAP2OUT))&gt;=0,1,-1)*QUOTIENT(((c_TMAP3IN)-(c_TMAP2IN)),2))+2147483648,4294967296)-2147483648,((c_TMAP3IN)-(c_TMAP2IN))*(((K126)-(c_TMAP2IN))*((c_TMAP3OUT)-(c_TMAP2OUT))+IF(((c_TMAP3OUT)-(c_TMAP2OUT))&gt;=0,1,-1)*QUOTIENT(((c_TMAP3IN)-(c_TMAP2IN)),2)))&lt;0,-1,0),IF(IF(o_WRAP=1,MOD(((c_TMAP3IN)-(c_TMAP2IN))*(((K126)-(c_TMAP2IN))*((c_TMAP3OUT)-(c_TMAP2OUT))+IF(((c_TMAP3OUT)-(c_TMAP2OUT))&gt;=0,1,-1)*QUOTIENT(((c_TMAP3IN)-(c_TMAP2IN)),2))+2147483648,4294967296)-2147483648,((c_TMAP3IN)-(c_TMAP2IN))*(((K126)-(c_TMAP2IN))*((c_TMAP3OUT)-(c_TMAP2OUT))+IF(((c_TMAP3OUT)-(c_TMAP2OUT))&gt;=0,1,-1)*QUOTIENT(((c_TMAP3IN)-(c_TMAP2IN)),2)))&gt;=0,1,0)))</f>
        <v>88</v>
      </c>
      <c r="P126" s="7" t="n">
        <f aca="false">IF(((1000)-(c_TMAP3IN))=0,(c_TMAP3OUT)+QUOTIENT(((1000)-(c_TMAP3OUT)),2),QUOTIENT((((K126)-(c_TMAP3IN))*((1000)-(c_TMAP3OUT))+IF(((1000)-(c_TMAP3OUT))&gt;=0,1,-1)*QUOTIENT(((1000)-(c_TMAP3IN)),2)),((1000)-(c_TMAP3IN)))+(c_TMAP3OUT)+IF(((1000)-(c_TMAP3OUT))&gt;=0,IF(IF(o_WRAP=1,MOD(((1000)-(c_TMAP3IN))*(((K126)-(c_TMAP3IN))*((1000)-(c_TMAP3OUT))+IF(((1000)-(c_TMAP3OUT))&gt;=0,1,-1)*QUOTIENT(((1000)-(c_TMAP3IN)),2))+2147483648,4294967296)-2147483648,((1000)-(c_TMAP3IN))*(((K126)-(c_TMAP3IN))*((1000)-(c_TMAP3OUT))+IF(((1000)-(c_TMAP3OUT))&gt;=0,1,-1)*QUOTIENT(((1000)-(c_TMAP3IN)),2)))&lt;0,-1,0),IF(IF(o_WRAP=1,MOD(((1000)-(c_TMAP3IN))*(((K126)-(c_TMAP3IN))*((1000)-(c_TMAP3OUT))+IF(((1000)-(c_TMAP3OUT))&gt;=0,1,-1)*QUOTIENT(((1000)-(c_TMAP3IN)),2))+2147483648,4294967296)-2147483648,((1000)-(c_TMAP3IN))*(((K126)-(c_TMAP3IN))*((1000)-(c_TMAP3OUT))+IF(((1000)-(c_TMAP3OUT))&gt;=0,1,-1)*QUOTIENT(((1000)-(c_TMAP3IN)),2)))&gt;=0,1,0)))</f>
        <v>3</v>
      </c>
      <c r="Q126" s="7" t="str">
        <f aca="false">IF(K126&gt;=c_TFWD,IF(AND(K126&gt;=c_TMAP3IN,c_TMAP3IN&lt;1000),"Seg4 map3-100%",IF(AND(K126&gt;=c_TMAP2IN,c_TMAP3IN&gt;c_TMAP2IN),"Seg3 map2-map3",IF(AND(K126&gt;=c_TMAP1IN,c_TMAP2IN&gt;c_TMAP1IN),"Seg2 map1-map2","Seg1 TFWD-map1"))),IF(AND(K126=0,c_TCREEP&gt;0),"Creep",IF(AND(K126&lt;=c_TRNGMIN,K126&gt;=c_TRNGMAX,c_TRNGMIN-c_TRNGMAX&lt;&gt;0),"Regen ramp","Coast (0)")))</f>
        <v>Seg2 map1-map2</v>
      </c>
      <c r="R126" s="7" t="n">
        <f aca="false">IF(K126&gt;=c_TFWD,IF(AND(K126&gt;=c_TMAP3IN,c_TMAP3IN&lt;1000),P126,IF(AND(K126&gt;=c_TMAP2IN,c_TMAP3IN&gt;c_TMAP2IN),O126,IF(AND(K126&gt;=c_TMAP1IN,c_TMAP2IN&gt;c_TMAP1IN),N126,M126))),L126)</f>
        <v>106</v>
      </c>
      <c r="S126" s="7" t="str">
        <f aca="false">IF(R126&lt;-1090,"TOO LOW",IF(R126&gt;1090,"TOO HIGH",""))</f>
        <v/>
      </c>
      <c r="T126" s="15" t="n">
        <f aca="false">IF(H126&lt;&gt;"OK",0,IF(S126&lt;&gt;"",0,IF(R126&gt;979,1000,R126)))</f>
        <v>106</v>
      </c>
      <c r="U126" s="7" t="n">
        <f aca="false">T126/10</f>
        <v>10.6</v>
      </c>
    </row>
    <row r="127" customFormat="false" ht="15" hidden="false" customHeight="false" outlineLevel="0" collapsed="false">
      <c r="A127" s="7" t="n">
        <v>122</v>
      </c>
      <c r="B127" s="7" t="n">
        <f aca="false">ROUND(o_SWSTART+A127*(o_SWEND-o_SWSTART)/400,0)</f>
        <v>1249</v>
      </c>
      <c r="C127" s="7" t="n">
        <f aca="false">QUOTIENT((B127-c_OFF1)*c_GAIN1,1024)</f>
        <v>1249</v>
      </c>
      <c r="D127" s="7" t="n">
        <f aca="false">IF(((c_T1MX)-(c_T1MN))=0,(0)+QUOTIENT(((1000)-(0)),2),QUOTIENT((((C127)-(c_T1MN))*((1000)-(0))+IF(((1000)-(0))&gt;=0,1,-1)*QUOTIENT(((c_T1MX)-(c_T1MN)),2)),((c_T1MX)-(c_T1MN)))+(0)+IF(((1000)-(0))&gt;=0,IF(IF(o_WRAP=1,MOD(((c_T1MX)-(c_T1MN))*(((C127)-(c_T1MN))*((1000)-(0))+IF(((1000)-(0))&gt;=0,1,-1)*QUOTIENT(((c_T1MX)-(c_T1MN)),2))+2147483648,4294967296)-2147483648,((c_T1MX)-(c_T1MN))*(((C127)-(c_T1MN))*((1000)-(0))+IF(((1000)-(0))&gt;=0,1,-1)*QUOTIENT(((c_T1MX)-(c_T1MN)),2)))&lt;0,-1,0),IF(IF(o_WRAP=1,MOD(((c_T1MX)-(c_T1MN))*(((C127)-(c_T1MN))*((1000)-(0))+IF(((1000)-(0))&gt;=0,1,-1)*QUOTIENT(((c_T1MX)-(c_T1MN)),2))+2147483648,4294967296)-2147483648,((c_T1MX)-(c_T1MN))*(((C127)-(c_T1MN))*((1000)-(0))+IF(((1000)-(0))&gt;=0,1,-1)*QUOTIENT(((c_T1MX)-(c_T1MN)),2)))&gt;=0,1,0)))</f>
        <v>193</v>
      </c>
      <c r="E127" s="7" t="n">
        <f aca="false">IF(AND(c_TPOT=1,c_TTYPE=2),1000-D127,D127)</f>
        <v>193</v>
      </c>
      <c r="F127" s="7" t="str">
        <f aca="false">IF(c_TPOT&gt;1,ROUND(IF(c_TTYPE=2,c_T2MX-IF(c_T1MX=c_T1MN,0,(C127-c_T1MN)/(c_T1MX-c_T1MN))*(c_T2MX-c_T2MN),c_T2MN+IF(c_T1MX=c_T1MN,0,(C127-c_T1MN)/(c_T1MX-c_T1MN))*(c_T2MX-c_T2MN))+o_MISMATCH,0),"")</f>
        <v/>
      </c>
      <c r="G127" s="7" t="str">
        <f aca="false">IF(c_TPOT&gt;1,IF(((c_T2MX)-(c_T2MN))=0,(0)+QUOTIENT(((1000)-(0)),2),QUOTIENT((((F127)-(c_T2MN))*((1000)-(0))+IF(((1000)-(0))&gt;=0,1,-1)*QUOTIENT(((c_T2MX)-(c_T2MN)),2)),((c_T2MX)-(c_T2MN)))+(0)+IF(((1000)-(0))&gt;=0,IF(IF(o_WRAP=1,MOD(((c_T2MX)-(c_T2MN))*(((F127)-(c_T2MN))*((1000)-(0))+IF(((1000)-(0))&gt;=0,1,-1)*QUOTIENT(((c_T2MX)-(c_T2MN)),2))+2147483648,4294967296)-2147483648,((c_T2MX)-(c_T2MN))*(((F127)-(c_T2MN))*((1000)-(0))+IF(((1000)-(0))&gt;=0,1,-1)*QUOTIENT(((c_T2MX)-(c_T2MN)),2)))&lt;0,-1,0),IF(IF(o_WRAP=1,MOD(((c_T2MX)-(c_T2MN))*(((F127)-(c_T2MN))*((1000)-(0))+IF(((1000)-(0))&gt;=0,1,-1)*QUOTIENT(((c_T2MX)-(c_T2MN)),2))+2147483648,4294967296)-2147483648,((c_T2MX)-(c_T2MN))*(((F127)-(c_T2MN))*((1000)-(0))+IF(((1000)-(0))&gt;=0,1,-1)*QUOTIENT(((c_T2MX)-(c_T2MN)),2)))&gt;=0,1,0))),"")</f>
        <v/>
      </c>
      <c r="H127" s="7" t="str">
        <f aca="false">IF(E127&gt;1000+k_TOL,"T1 HIGH",IF(E127&lt;0-k_TOL,"T1 LOW",IF(c_TPOT&gt;1,IF(G127&gt;1000+k_TOL,"T2 HIGH",IF(G127&lt;0-k_TOL,"T2 LOW",IF(c_TTYPE=2,IF(ABS(1000-MAX(0,MIN(1000,E127))-MAX(0,MIN(1000,G127)))&gt;k_MAXERR,"MISMATCH","OK"),IF(OR(MAX(0,MIN(1000,E127))-k_MAXERR&gt;MAX(0,MIN(1000,G127)),MAX(0,MIN(1000,G127))-k_MAXERR&gt;MAX(0,MIN(1000,E127))),"MISMATCH","OK")))),"OK")))</f>
        <v>OK</v>
      </c>
      <c r="I127" s="7" t="n">
        <f aca="false">MAX(0,MIN(1000,D127))</f>
        <v>193</v>
      </c>
      <c r="J127" s="7" t="str">
        <f aca="false">IF(c_TPOT&gt;1,IF(c_TTYPE=2,1000-MAX(0,MIN(1000,G127)),MAX(0,MIN(1000,G127))),"")</f>
        <v/>
      </c>
      <c r="K127" s="7" t="n">
        <f aca="false">IF(c_TPOT&gt;1,QUOTIENT(I127+J127,2),I127)</f>
        <v>193</v>
      </c>
      <c r="L127" s="7" t="n">
        <f aca="false">IF(AND(K127=0,c_TCREEP&gt;0),10*c_TCREEP,IF(AND(K127&lt;=c_TRNGMIN,K127&gt;=c_TRNGMAX,c_TRNGMIN-c_TRNGMAX&lt;&gt;0),-10*c_TMINRN+QUOTIENT((c_TMAXRN-c_TMINRN)*(100-QUOTIENT((K127-c_TRNGMAX)*100,c_TRNGMIN-c_TRNGMAX)),-10),0))</f>
        <v>0</v>
      </c>
      <c r="M127" s="7" t="n">
        <f aca="false">IF(((c_TMAP1IN)-(c_TFWD))=0,(0)+QUOTIENT(((c_TMAP1OUT)-(0)),2),QUOTIENT((((K127)-(c_TFWD))*((c_TMAP1OUT)-(0))+IF(((c_TMAP1OUT)-(0))&gt;=0,1,-1)*QUOTIENT(((c_TMAP1IN)-(c_TFWD)),2)),((c_TMAP1IN)-(c_TFWD)))+(0)+IF(((c_TMAP1OUT)-(0))&gt;=0,IF(IF(o_WRAP=1,MOD(((c_TMAP1IN)-(c_TFWD))*(((K127)-(c_TFWD))*((c_TMAP1OUT)-(0))+IF(((c_TMAP1OUT)-(0))&gt;=0,1,-1)*QUOTIENT(((c_TMAP1IN)-(c_TFWD)),2))+2147483648,4294967296)-2147483648,((c_TMAP1IN)-(c_TFWD))*(((K127)-(c_TFWD))*((c_TMAP1OUT)-(0))+IF(((c_TMAP1OUT)-(0))&gt;=0,1,-1)*QUOTIENT(((c_TMAP1IN)-(c_TFWD)),2)))&lt;0,-1,0),IF(IF(o_WRAP=1,MOD(((c_TMAP1IN)-(c_TFWD))*(((K127)-(c_TFWD))*((c_TMAP1OUT)-(0))+IF(((c_TMAP1OUT)-(0))&gt;=0,1,-1)*QUOTIENT(((c_TMAP1IN)-(c_TFWD)),2))+2147483648,4294967296)-2147483648,((c_TMAP1IN)-(c_TFWD))*(((K127)-(c_TFWD))*((c_TMAP1OUT)-(0))+IF(((c_TMAP1OUT)-(0))&gt;=0,1,-1)*QUOTIENT(((c_TMAP1IN)-(c_TFWD)),2)))&gt;=0,1,0)))</f>
        <v>142</v>
      </c>
      <c r="N127" s="7" t="n">
        <f aca="false">IF(((c_TMAP2IN)-(c_TMAP1IN))=0,(c_TMAP1OUT)+QUOTIENT(((c_TMAP2OUT)-(c_TMAP1OUT)),2),QUOTIENT((((K127)-(c_TMAP1IN))*((c_TMAP2OUT)-(c_TMAP1OUT))+IF(((c_TMAP2OUT)-(c_TMAP1OUT))&gt;=0,1,-1)*QUOTIENT(((c_TMAP2IN)-(c_TMAP1IN)),2)),((c_TMAP2IN)-(c_TMAP1IN)))+(c_TMAP1OUT)+IF(((c_TMAP2OUT)-(c_TMAP1OUT))&gt;=0,IF(IF(o_WRAP=1,MOD(((c_TMAP2IN)-(c_TMAP1IN))*(((K127)-(c_TMAP1IN))*((c_TMAP2OUT)-(c_TMAP1OUT))+IF(((c_TMAP2OUT)-(c_TMAP1OUT))&gt;=0,1,-1)*QUOTIENT(((c_TMAP2IN)-(c_TMAP1IN)),2))+2147483648,4294967296)-2147483648,((c_TMAP2IN)-(c_TMAP1IN))*(((K127)-(c_TMAP1IN))*((c_TMAP2OUT)-(c_TMAP1OUT))+IF(((c_TMAP2OUT)-(c_TMAP1OUT))&gt;=0,1,-1)*QUOTIENT(((c_TMAP2IN)-(c_TMAP1IN)),2)))&lt;0,-1,0),IF(IF(o_WRAP=1,MOD(((c_TMAP2IN)-(c_TMAP1IN))*(((K127)-(c_TMAP1IN))*((c_TMAP2OUT)-(c_TMAP1OUT))+IF(((c_TMAP2OUT)-(c_TMAP1OUT))&gt;=0,1,-1)*QUOTIENT(((c_TMAP2IN)-(c_TMAP1IN)),2))+2147483648,4294967296)-2147483648,((c_TMAP2IN)-(c_TMAP1IN))*(((K127)-(c_TMAP1IN))*((c_TMAP2OUT)-(c_TMAP1OUT))+IF(((c_TMAP2OUT)-(c_TMAP1OUT))&gt;=0,1,-1)*QUOTIENT(((c_TMAP2IN)-(c_TMAP1IN)),2)))&gt;=0,1,0)))</f>
        <v>107</v>
      </c>
      <c r="O127" s="7" t="n">
        <f aca="false">IF(((c_TMAP3IN)-(c_TMAP2IN))=0,(c_TMAP2OUT)+QUOTIENT(((c_TMAP3OUT)-(c_TMAP2OUT)),2),QUOTIENT((((K127)-(c_TMAP2IN))*((c_TMAP3OUT)-(c_TMAP2OUT))+IF(((c_TMAP3OUT)-(c_TMAP2OUT))&gt;=0,1,-1)*QUOTIENT(((c_TMAP3IN)-(c_TMAP2IN)),2)),((c_TMAP3IN)-(c_TMAP2IN)))+(c_TMAP2OUT)+IF(((c_TMAP3OUT)-(c_TMAP2OUT))&gt;=0,IF(IF(o_WRAP=1,MOD(((c_TMAP3IN)-(c_TMAP2IN))*(((K127)-(c_TMAP2IN))*((c_TMAP3OUT)-(c_TMAP2OUT))+IF(((c_TMAP3OUT)-(c_TMAP2OUT))&gt;=0,1,-1)*QUOTIENT(((c_TMAP3IN)-(c_TMAP2IN)),2))+2147483648,4294967296)-2147483648,((c_TMAP3IN)-(c_TMAP2IN))*(((K127)-(c_TMAP2IN))*((c_TMAP3OUT)-(c_TMAP2OUT))+IF(((c_TMAP3OUT)-(c_TMAP2OUT))&gt;=0,1,-1)*QUOTIENT(((c_TMAP3IN)-(c_TMAP2IN)),2)))&lt;0,-1,0),IF(IF(o_WRAP=1,MOD(((c_TMAP3IN)-(c_TMAP2IN))*(((K127)-(c_TMAP2IN))*((c_TMAP3OUT)-(c_TMAP2OUT))+IF(((c_TMAP3OUT)-(c_TMAP2OUT))&gt;=0,1,-1)*QUOTIENT(((c_TMAP3IN)-(c_TMAP2IN)),2))+2147483648,4294967296)-2147483648,((c_TMAP3IN)-(c_TMAP2IN))*(((K127)-(c_TMAP2IN))*((c_TMAP3OUT)-(c_TMAP2OUT))+IF(((c_TMAP3OUT)-(c_TMAP2OUT))&gt;=0,1,-1)*QUOTIENT(((c_TMAP3IN)-(c_TMAP2IN)),2)))&gt;=0,1,0)))</f>
        <v>90</v>
      </c>
      <c r="P127" s="7" t="n">
        <f aca="false">IF(((1000)-(c_TMAP3IN))=0,(c_TMAP3OUT)+QUOTIENT(((1000)-(c_TMAP3OUT)),2),QUOTIENT((((K127)-(c_TMAP3IN))*((1000)-(c_TMAP3OUT))+IF(((1000)-(c_TMAP3OUT))&gt;=0,1,-1)*QUOTIENT(((1000)-(c_TMAP3IN)),2)),((1000)-(c_TMAP3IN)))+(c_TMAP3OUT)+IF(((1000)-(c_TMAP3OUT))&gt;=0,IF(IF(o_WRAP=1,MOD(((1000)-(c_TMAP3IN))*(((K127)-(c_TMAP3IN))*((1000)-(c_TMAP3OUT))+IF(((1000)-(c_TMAP3OUT))&gt;=0,1,-1)*QUOTIENT(((1000)-(c_TMAP3IN)),2))+2147483648,4294967296)-2147483648,((1000)-(c_TMAP3IN))*(((K127)-(c_TMAP3IN))*((1000)-(c_TMAP3OUT))+IF(((1000)-(c_TMAP3OUT))&gt;=0,1,-1)*QUOTIENT(((1000)-(c_TMAP3IN)),2)))&lt;0,-1,0),IF(IF(o_WRAP=1,MOD(((1000)-(c_TMAP3IN))*(((K127)-(c_TMAP3IN))*((1000)-(c_TMAP3OUT))+IF(((1000)-(c_TMAP3OUT))&gt;=0,1,-1)*QUOTIENT(((1000)-(c_TMAP3IN)),2))+2147483648,4294967296)-2147483648,((1000)-(c_TMAP3IN))*(((K127)-(c_TMAP3IN))*((1000)-(c_TMAP3OUT))+IF(((1000)-(c_TMAP3OUT))&gt;=0,1,-1)*QUOTIENT(((1000)-(c_TMAP3IN)),2)))&gt;=0,1,0)))</f>
        <v>7</v>
      </c>
      <c r="Q127" s="7" t="str">
        <f aca="false">IF(K127&gt;=c_TFWD,IF(AND(K127&gt;=c_TMAP3IN,c_TMAP3IN&lt;1000),"Seg4 map3-100%",IF(AND(K127&gt;=c_TMAP2IN,c_TMAP3IN&gt;c_TMAP2IN),"Seg3 map2-map3",IF(AND(K127&gt;=c_TMAP1IN,c_TMAP2IN&gt;c_TMAP1IN),"Seg2 map1-map2","Seg1 TFWD-map1"))),IF(AND(K127=0,c_TCREEP&gt;0),"Creep",IF(AND(K127&lt;=c_TRNGMIN,K127&gt;=c_TRNGMAX,c_TRNGMIN-c_TRNGMAX&lt;&gt;0),"Regen ramp","Coast (0)")))</f>
        <v>Seg2 map1-map2</v>
      </c>
      <c r="R127" s="7" t="n">
        <f aca="false">IF(K127&gt;=c_TFWD,IF(AND(K127&gt;=c_TMAP3IN,c_TMAP3IN&lt;1000),P127,IF(AND(K127&gt;=c_TMAP2IN,c_TMAP3IN&gt;c_TMAP2IN),O127,IF(AND(K127&gt;=c_TMAP1IN,c_TMAP2IN&gt;c_TMAP1IN),N127,M127))),L127)</f>
        <v>107</v>
      </c>
      <c r="S127" s="7" t="str">
        <f aca="false">IF(R127&lt;-1090,"TOO LOW",IF(R127&gt;1090,"TOO HIGH",""))</f>
        <v/>
      </c>
      <c r="T127" s="15" t="n">
        <f aca="false">IF(H127&lt;&gt;"OK",0,IF(S127&lt;&gt;"",0,IF(R127&gt;979,1000,R127)))</f>
        <v>107</v>
      </c>
      <c r="U127" s="7" t="n">
        <f aca="false">T127/10</f>
        <v>10.7</v>
      </c>
    </row>
    <row r="128" customFormat="false" ht="15" hidden="false" customHeight="false" outlineLevel="0" collapsed="false">
      <c r="A128" s="7" t="n">
        <v>123</v>
      </c>
      <c r="B128" s="7" t="n">
        <f aca="false">ROUND(o_SWSTART+A128*(o_SWEND-o_SWSTART)/400,0)</f>
        <v>1259</v>
      </c>
      <c r="C128" s="7" t="n">
        <f aca="false">QUOTIENT((B128-c_OFF1)*c_GAIN1,1024)</f>
        <v>1259</v>
      </c>
      <c r="D128" s="7" t="n">
        <f aca="false">IF(((c_T1MX)-(c_T1MN))=0,(0)+QUOTIENT(((1000)-(0)),2),QUOTIENT((((C128)-(c_T1MN))*((1000)-(0))+IF(((1000)-(0))&gt;=0,1,-1)*QUOTIENT(((c_T1MX)-(c_T1MN)),2)),((c_T1MX)-(c_T1MN)))+(0)+IF(((1000)-(0))&gt;=0,IF(IF(o_WRAP=1,MOD(((c_T1MX)-(c_T1MN))*(((C128)-(c_T1MN))*((1000)-(0))+IF(((1000)-(0))&gt;=0,1,-1)*QUOTIENT(((c_T1MX)-(c_T1MN)),2))+2147483648,4294967296)-2147483648,((c_T1MX)-(c_T1MN))*(((C128)-(c_T1MN))*((1000)-(0))+IF(((1000)-(0))&gt;=0,1,-1)*QUOTIENT(((c_T1MX)-(c_T1MN)),2)))&lt;0,-1,0),IF(IF(o_WRAP=1,MOD(((c_T1MX)-(c_T1MN))*(((C128)-(c_T1MN))*((1000)-(0))+IF(((1000)-(0))&gt;=0,1,-1)*QUOTIENT(((c_T1MX)-(c_T1MN)),2))+2147483648,4294967296)-2147483648,((c_T1MX)-(c_T1MN))*(((C128)-(c_T1MN))*((1000)-(0))+IF(((1000)-(0))&gt;=0,1,-1)*QUOTIENT(((c_T1MX)-(c_T1MN)),2)))&gt;=0,1,0)))</f>
        <v>197</v>
      </c>
      <c r="E128" s="7" t="n">
        <f aca="false">IF(AND(c_TPOT=1,c_TTYPE=2),1000-D128,D128)</f>
        <v>197</v>
      </c>
      <c r="F128" s="7" t="str">
        <f aca="false">IF(c_TPOT&gt;1,ROUND(IF(c_TTYPE=2,c_T2MX-IF(c_T1MX=c_T1MN,0,(C128-c_T1MN)/(c_T1MX-c_T1MN))*(c_T2MX-c_T2MN),c_T2MN+IF(c_T1MX=c_T1MN,0,(C128-c_T1MN)/(c_T1MX-c_T1MN))*(c_T2MX-c_T2MN))+o_MISMATCH,0),"")</f>
        <v/>
      </c>
      <c r="G128" s="7" t="str">
        <f aca="false">IF(c_TPOT&gt;1,IF(((c_T2MX)-(c_T2MN))=0,(0)+QUOTIENT(((1000)-(0)),2),QUOTIENT((((F128)-(c_T2MN))*((1000)-(0))+IF(((1000)-(0))&gt;=0,1,-1)*QUOTIENT(((c_T2MX)-(c_T2MN)),2)),((c_T2MX)-(c_T2MN)))+(0)+IF(((1000)-(0))&gt;=0,IF(IF(o_WRAP=1,MOD(((c_T2MX)-(c_T2MN))*(((F128)-(c_T2MN))*((1000)-(0))+IF(((1000)-(0))&gt;=0,1,-1)*QUOTIENT(((c_T2MX)-(c_T2MN)),2))+2147483648,4294967296)-2147483648,((c_T2MX)-(c_T2MN))*(((F128)-(c_T2MN))*((1000)-(0))+IF(((1000)-(0))&gt;=0,1,-1)*QUOTIENT(((c_T2MX)-(c_T2MN)),2)))&lt;0,-1,0),IF(IF(o_WRAP=1,MOD(((c_T2MX)-(c_T2MN))*(((F128)-(c_T2MN))*((1000)-(0))+IF(((1000)-(0))&gt;=0,1,-1)*QUOTIENT(((c_T2MX)-(c_T2MN)),2))+2147483648,4294967296)-2147483648,((c_T2MX)-(c_T2MN))*(((F128)-(c_T2MN))*((1000)-(0))+IF(((1000)-(0))&gt;=0,1,-1)*QUOTIENT(((c_T2MX)-(c_T2MN)),2)))&gt;=0,1,0))),"")</f>
        <v/>
      </c>
      <c r="H128" s="7" t="str">
        <f aca="false">IF(E128&gt;1000+k_TOL,"T1 HIGH",IF(E128&lt;0-k_TOL,"T1 LOW",IF(c_TPOT&gt;1,IF(G128&gt;1000+k_TOL,"T2 HIGH",IF(G128&lt;0-k_TOL,"T2 LOW",IF(c_TTYPE=2,IF(ABS(1000-MAX(0,MIN(1000,E128))-MAX(0,MIN(1000,G128)))&gt;k_MAXERR,"MISMATCH","OK"),IF(OR(MAX(0,MIN(1000,E128))-k_MAXERR&gt;MAX(0,MIN(1000,G128)),MAX(0,MIN(1000,G128))-k_MAXERR&gt;MAX(0,MIN(1000,E128))),"MISMATCH","OK")))),"OK")))</f>
        <v>OK</v>
      </c>
      <c r="I128" s="7" t="n">
        <f aca="false">MAX(0,MIN(1000,D128))</f>
        <v>197</v>
      </c>
      <c r="J128" s="7" t="str">
        <f aca="false">IF(c_TPOT&gt;1,IF(c_TTYPE=2,1000-MAX(0,MIN(1000,G128)),MAX(0,MIN(1000,G128))),"")</f>
        <v/>
      </c>
      <c r="K128" s="7" t="n">
        <f aca="false">IF(c_TPOT&gt;1,QUOTIENT(I128+J128,2),I128)</f>
        <v>197</v>
      </c>
      <c r="L128" s="7" t="n">
        <f aca="false">IF(AND(K128=0,c_TCREEP&gt;0),10*c_TCREEP,IF(AND(K128&lt;=c_TRNGMIN,K128&gt;=c_TRNGMAX,c_TRNGMIN-c_TRNGMAX&lt;&gt;0),-10*c_TMINRN+QUOTIENT((c_TMAXRN-c_TMINRN)*(100-QUOTIENT((K128-c_TRNGMAX)*100,c_TRNGMIN-c_TRNGMAX)),-10),0))</f>
        <v>0</v>
      </c>
      <c r="M128" s="7" t="n">
        <f aca="false">IF(((c_TMAP1IN)-(c_TFWD))=0,(0)+QUOTIENT(((c_TMAP1OUT)-(0)),2),QUOTIENT((((K128)-(c_TFWD))*((c_TMAP1OUT)-(0))+IF(((c_TMAP1OUT)-(0))&gt;=0,1,-1)*QUOTIENT(((c_TMAP1IN)-(c_TFWD)),2)),((c_TMAP1IN)-(c_TFWD)))+(0)+IF(((c_TMAP1OUT)-(0))&gt;=0,IF(IF(o_WRAP=1,MOD(((c_TMAP1IN)-(c_TFWD))*(((K128)-(c_TFWD))*((c_TMAP1OUT)-(0))+IF(((c_TMAP1OUT)-(0))&gt;=0,1,-1)*QUOTIENT(((c_TMAP1IN)-(c_TFWD)),2))+2147483648,4294967296)-2147483648,((c_TMAP1IN)-(c_TFWD))*(((K128)-(c_TFWD))*((c_TMAP1OUT)-(0))+IF(((c_TMAP1OUT)-(0))&gt;=0,1,-1)*QUOTIENT(((c_TMAP1IN)-(c_TFWD)),2)))&lt;0,-1,0),IF(IF(o_WRAP=1,MOD(((c_TMAP1IN)-(c_TFWD))*(((K128)-(c_TFWD))*((c_TMAP1OUT)-(0))+IF(((c_TMAP1OUT)-(0))&gt;=0,1,-1)*QUOTIENT(((c_TMAP1IN)-(c_TFWD)),2))+2147483648,4294967296)-2147483648,((c_TMAP1IN)-(c_TFWD))*(((K128)-(c_TFWD))*((c_TMAP1OUT)-(0))+IF(((c_TMAP1OUT)-(0))&gt;=0,1,-1)*QUOTIENT(((c_TMAP1IN)-(c_TFWD)),2)))&gt;=0,1,0)))</f>
        <v>145</v>
      </c>
      <c r="N128" s="7" t="n">
        <f aca="false">IF(((c_TMAP2IN)-(c_TMAP1IN))=0,(c_TMAP1OUT)+QUOTIENT(((c_TMAP2OUT)-(c_TMAP1OUT)),2),QUOTIENT((((K128)-(c_TMAP1IN))*((c_TMAP2OUT)-(c_TMAP1OUT))+IF(((c_TMAP2OUT)-(c_TMAP1OUT))&gt;=0,1,-1)*QUOTIENT(((c_TMAP2IN)-(c_TMAP1IN)),2)),((c_TMAP2IN)-(c_TMAP1IN)))+(c_TMAP1OUT)+IF(((c_TMAP2OUT)-(c_TMAP1OUT))&gt;=0,IF(IF(o_WRAP=1,MOD(((c_TMAP2IN)-(c_TMAP1IN))*(((K128)-(c_TMAP1IN))*((c_TMAP2OUT)-(c_TMAP1OUT))+IF(((c_TMAP2OUT)-(c_TMAP1OUT))&gt;=0,1,-1)*QUOTIENT(((c_TMAP2IN)-(c_TMAP1IN)),2))+2147483648,4294967296)-2147483648,((c_TMAP2IN)-(c_TMAP1IN))*(((K128)-(c_TMAP1IN))*((c_TMAP2OUT)-(c_TMAP1OUT))+IF(((c_TMAP2OUT)-(c_TMAP1OUT))&gt;=0,1,-1)*QUOTIENT(((c_TMAP2IN)-(c_TMAP1IN)),2)))&lt;0,-1,0),IF(IF(o_WRAP=1,MOD(((c_TMAP2IN)-(c_TMAP1IN))*(((K128)-(c_TMAP1IN))*((c_TMAP2OUT)-(c_TMAP1OUT))+IF(((c_TMAP2OUT)-(c_TMAP1OUT))&gt;=0,1,-1)*QUOTIENT(((c_TMAP2IN)-(c_TMAP1IN)),2))+2147483648,4294967296)-2147483648,((c_TMAP2IN)-(c_TMAP1IN))*(((K128)-(c_TMAP1IN))*((c_TMAP2OUT)-(c_TMAP1OUT))+IF(((c_TMAP2OUT)-(c_TMAP1OUT))&gt;=0,1,-1)*QUOTIENT(((c_TMAP2IN)-(c_TMAP1IN)),2)))&gt;=0,1,0)))</f>
        <v>109</v>
      </c>
      <c r="O128" s="7" t="n">
        <f aca="false">IF(((c_TMAP3IN)-(c_TMAP2IN))=0,(c_TMAP2OUT)+QUOTIENT(((c_TMAP3OUT)-(c_TMAP2OUT)),2),QUOTIENT((((K128)-(c_TMAP2IN))*((c_TMAP3OUT)-(c_TMAP2OUT))+IF(((c_TMAP3OUT)-(c_TMAP2OUT))&gt;=0,1,-1)*QUOTIENT(((c_TMAP3IN)-(c_TMAP2IN)),2)),((c_TMAP3IN)-(c_TMAP2IN)))+(c_TMAP2OUT)+IF(((c_TMAP3OUT)-(c_TMAP2OUT))&gt;=0,IF(IF(o_WRAP=1,MOD(((c_TMAP3IN)-(c_TMAP2IN))*(((K128)-(c_TMAP2IN))*((c_TMAP3OUT)-(c_TMAP2OUT))+IF(((c_TMAP3OUT)-(c_TMAP2OUT))&gt;=0,1,-1)*QUOTIENT(((c_TMAP3IN)-(c_TMAP2IN)),2))+2147483648,4294967296)-2147483648,((c_TMAP3IN)-(c_TMAP2IN))*(((K128)-(c_TMAP2IN))*((c_TMAP3OUT)-(c_TMAP2OUT))+IF(((c_TMAP3OUT)-(c_TMAP2OUT))&gt;=0,1,-1)*QUOTIENT(((c_TMAP3IN)-(c_TMAP2IN)),2)))&lt;0,-1,0),IF(IF(o_WRAP=1,MOD(((c_TMAP3IN)-(c_TMAP2IN))*(((K128)-(c_TMAP2IN))*((c_TMAP3OUT)-(c_TMAP2OUT))+IF(((c_TMAP3OUT)-(c_TMAP2OUT))&gt;=0,1,-1)*QUOTIENT(((c_TMAP3IN)-(c_TMAP2IN)),2))+2147483648,4294967296)-2147483648,((c_TMAP3IN)-(c_TMAP2IN))*(((K128)-(c_TMAP2IN))*((c_TMAP3OUT)-(c_TMAP2OUT))+IF(((c_TMAP3OUT)-(c_TMAP2OUT))&gt;=0,1,-1)*QUOTIENT(((c_TMAP3IN)-(c_TMAP2IN)),2)))&gt;=0,1,0)))</f>
        <v>93</v>
      </c>
      <c r="P128" s="7" t="n">
        <f aca="false">IF(((1000)-(c_TMAP3IN))=0,(c_TMAP3OUT)+QUOTIENT(((1000)-(c_TMAP3OUT)),2),QUOTIENT((((K128)-(c_TMAP3IN))*((1000)-(c_TMAP3OUT))+IF(((1000)-(c_TMAP3OUT))&gt;=0,1,-1)*QUOTIENT(((1000)-(c_TMAP3IN)),2)),((1000)-(c_TMAP3IN)))+(c_TMAP3OUT)+IF(((1000)-(c_TMAP3OUT))&gt;=0,IF(IF(o_WRAP=1,MOD(((1000)-(c_TMAP3IN))*(((K128)-(c_TMAP3IN))*((1000)-(c_TMAP3OUT))+IF(((1000)-(c_TMAP3OUT))&gt;=0,1,-1)*QUOTIENT(((1000)-(c_TMAP3IN)),2))+2147483648,4294967296)-2147483648,((1000)-(c_TMAP3IN))*(((K128)-(c_TMAP3IN))*((1000)-(c_TMAP3OUT))+IF(((1000)-(c_TMAP3OUT))&gt;=0,1,-1)*QUOTIENT(((1000)-(c_TMAP3IN)),2)))&lt;0,-1,0),IF(IF(o_WRAP=1,MOD(((1000)-(c_TMAP3IN))*(((K128)-(c_TMAP3IN))*((1000)-(c_TMAP3OUT))+IF(((1000)-(c_TMAP3OUT))&gt;=0,1,-1)*QUOTIENT(((1000)-(c_TMAP3IN)),2))+2147483648,4294967296)-2147483648,((1000)-(c_TMAP3IN))*(((K128)-(c_TMAP3IN))*((1000)-(c_TMAP3OUT))+IF(((1000)-(c_TMAP3OUT))&gt;=0,1,-1)*QUOTIENT(((1000)-(c_TMAP3IN)),2)))&gt;=0,1,0)))</f>
        <v>12</v>
      </c>
      <c r="Q128" s="7" t="str">
        <f aca="false">IF(K128&gt;=c_TFWD,IF(AND(K128&gt;=c_TMAP3IN,c_TMAP3IN&lt;1000),"Seg4 map3-100%",IF(AND(K128&gt;=c_TMAP2IN,c_TMAP3IN&gt;c_TMAP2IN),"Seg3 map2-map3",IF(AND(K128&gt;=c_TMAP1IN,c_TMAP2IN&gt;c_TMAP1IN),"Seg2 map1-map2","Seg1 TFWD-map1"))),IF(AND(K128=0,c_TCREEP&gt;0),"Creep",IF(AND(K128&lt;=c_TRNGMIN,K128&gt;=c_TRNGMAX,c_TRNGMIN-c_TRNGMAX&lt;&gt;0),"Regen ramp","Coast (0)")))</f>
        <v>Seg2 map1-map2</v>
      </c>
      <c r="R128" s="7" t="n">
        <f aca="false">IF(K128&gt;=c_TFWD,IF(AND(K128&gt;=c_TMAP3IN,c_TMAP3IN&lt;1000),P128,IF(AND(K128&gt;=c_TMAP2IN,c_TMAP3IN&gt;c_TMAP2IN),O128,IF(AND(K128&gt;=c_TMAP1IN,c_TMAP2IN&gt;c_TMAP1IN),N128,M128))),L128)</f>
        <v>109</v>
      </c>
      <c r="S128" s="7" t="str">
        <f aca="false">IF(R128&lt;-1090,"TOO LOW",IF(R128&gt;1090,"TOO HIGH",""))</f>
        <v/>
      </c>
      <c r="T128" s="15" t="n">
        <f aca="false">IF(H128&lt;&gt;"OK",0,IF(S128&lt;&gt;"",0,IF(R128&gt;979,1000,R128)))</f>
        <v>109</v>
      </c>
      <c r="U128" s="7" t="n">
        <f aca="false">T128/10</f>
        <v>10.9</v>
      </c>
    </row>
    <row r="129" customFormat="false" ht="15" hidden="false" customHeight="false" outlineLevel="0" collapsed="false">
      <c r="A129" s="7" t="n">
        <v>124</v>
      </c>
      <c r="B129" s="7" t="n">
        <f aca="false">ROUND(o_SWSTART+A129*(o_SWEND-o_SWSTART)/400,0)</f>
        <v>1269</v>
      </c>
      <c r="C129" s="7" t="n">
        <f aca="false">QUOTIENT((B129-c_OFF1)*c_GAIN1,1024)</f>
        <v>1269</v>
      </c>
      <c r="D129" s="7" t="n">
        <f aca="false">IF(((c_T1MX)-(c_T1MN))=0,(0)+QUOTIENT(((1000)-(0)),2),QUOTIENT((((C129)-(c_T1MN))*((1000)-(0))+IF(((1000)-(0))&gt;=0,1,-1)*QUOTIENT(((c_T1MX)-(c_T1MN)),2)),((c_T1MX)-(c_T1MN)))+(0)+IF(((1000)-(0))&gt;=0,IF(IF(o_WRAP=1,MOD(((c_T1MX)-(c_T1MN))*(((C129)-(c_T1MN))*((1000)-(0))+IF(((1000)-(0))&gt;=0,1,-1)*QUOTIENT(((c_T1MX)-(c_T1MN)),2))+2147483648,4294967296)-2147483648,((c_T1MX)-(c_T1MN))*(((C129)-(c_T1MN))*((1000)-(0))+IF(((1000)-(0))&gt;=0,1,-1)*QUOTIENT(((c_T1MX)-(c_T1MN)),2)))&lt;0,-1,0),IF(IF(o_WRAP=1,MOD(((c_T1MX)-(c_T1MN))*(((C129)-(c_T1MN))*((1000)-(0))+IF(((1000)-(0))&gt;=0,1,-1)*QUOTIENT(((c_T1MX)-(c_T1MN)),2))+2147483648,4294967296)-2147483648,((c_T1MX)-(c_T1MN))*(((C129)-(c_T1MN))*((1000)-(0))+IF(((1000)-(0))&gt;=0,1,-1)*QUOTIENT(((c_T1MX)-(c_T1MN)),2)))&gt;=0,1,0)))</f>
        <v>201</v>
      </c>
      <c r="E129" s="7" t="n">
        <f aca="false">IF(AND(c_TPOT=1,c_TTYPE=2),1000-D129,D129)</f>
        <v>201</v>
      </c>
      <c r="F129" s="7" t="str">
        <f aca="false">IF(c_TPOT&gt;1,ROUND(IF(c_TTYPE=2,c_T2MX-IF(c_T1MX=c_T1MN,0,(C129-c_T1MN)/(c_T1MX-c_T1MN))*(c_T2MX-c_T2MN),c_T2MN+IF(c_T1MX=c_T1MN,0,(C129-c_T1MN)/(c_T1MX-c_T1MN))*(c_T2MX-c_T2MN))+o_MISMATCH,0),"")</f>
        <v/>
      </c>
      <c r="G129" s="7" t="str">
        <f aca="false">IF(c_TPOT&gt;1,IF(((c_T2MX)-(c_T2MN))=0,(0)+QUOTIENT(((1000)-(0)),2),QUOTIENT((((F129)-(c_T2MN))*((1000)-(0))+IF(((1000)-(0))&gt;=0,1,-1)*QUOTIENT(((c_T2MX)-(c_T2MN)),2)),((c_T2MX)-(c_T2MN)))+(0)+IF(((1000)-(0))&gt;=0,IF(IF(o_WRAP=1,MOD(((c_T2MX)-(c_T2MN))*(((F129)-(c_T2MN))*((1000)-(0))+IF(((1000)-(0))&gt;=0,1,-1)*QUOTIENT(((c_T2MX)-(c_T2MN)),2))+2147483648,4294967296)-2147483648,((c_T2MX)-(c_T2MN))*(((F129)-(c_T2MN))*((1000)-(0))+IF(((1000)-(0))&gt;=0,1,-1)*QUOTIENT(((c_T2MX)-(c_T2MN)),2)))&lt;0,-1,0),IF(IF(o_WRAP=1,MOD(((c_T2MX)-(c_T2MN))*(((F129)-(c_T2MN))*((1000)-(0))+IF(((1000)-(0))&gt;=0,1,-1)*QUOTIENT(((c_T2MX)-(c_T2MN)),2))+2147483648,4294967296)-2147483648,((c_T2MX)-(c_T2MN))*(((F129)-(c_T2MN))*((1000)-(0))+IF(((1000)-(0))&gt;=0,1,-1)*QUOTIENT(((c_T2MX)-(c_T2MN)),2)))&gt;=0,1,0))),"")</f>
        <v/>
      </c>
      <c r="H129" s="7" t="str">
        <f aca="false">IF(E129&gt;1000+k_TOL,"T1 HIGH",IF(E129&lt;0-k_TOL,"T1 LOW",IF(c_TPOT&gt;1,IF(G129&gt;1000+k_TOL,"T2 HIGH",IF(G129&lt;0-k_TOL,"T2 LOW",IF(c_TTYPE=2,IF(ABS(1000-MAX(0,MIN(1000,E129))-MAX(0,MIN(1000,G129)))&gt;k_MAXERR,"MISMATCH","OK"),IF(OR(MAX(0,MIN(1000,E129))-k_MAXERR&gt;MAX(0,MIN(1000,G129)),MAX(0,MIN(1000,G129))-k_MAXERR&gt;MAX(0,MIN(1000,E129))),"MISMATCH","OK")))),"OK")))</f>
        <v>OK</v>
      </c>
      <c r="I129" s="7" t="n">
        <f aca="false">MAX(0,MIN(1000,D129))</f>
        <v>201</v>
      </c>
      <c r="J129" s="7" t="str">
        <f aca="false">IF(c_TPOT&gt;1,IF(c_TTYPE=2,1000-MAX(0,MIN(1000,G129)),MAX(0,MIN(1000,G129))),"")</f>
        <v/>
      </c>
      <c r="K129" s="7" t="n">
        <f aca="false">IF(c_TPOT&gt;1,QUOTIENT(I129+J129,2),I129)</f>
        <v>201</v>
      </c>
      <c r="L129" s="7" t="n">
        <f aca="false">IF(AND(K129=0,c_TCREEP&gt;0),10*c_TCREEP,IF(AND(K129&lt;=c_TRNGMIN,K129&gt;=c_TRNGMAX,c_TRNGMIN-c_TRNGMAX&lt;&gt;0),-10*c_TMINRN+QUOTIENT((c_TMAXRN-c_TMINRN)*(100-QUOTIENT((K129-c_TRNGMAX)*100,c_TRNGMIN-c_TRNGMAX)),-10),0))</f>
        <v>0</v>
      </c>
      <c r="M129" s="7" t="n">
        <f aca="false">IF(((c_TMAP1IN)-(c_TFWD))=0,(0)+QUOTIENT(((c_TMAP1OUT)-(0)),2),QUOTIENT((((K129)-(c_TFWD))*((c_TMAP1OUT)-(0))+IF(((c_TMAP1OUT)-(0))&gt;=0,1,-1)*QUOTIENT(((c_TMAP1IN)-(c_TFWD)),2)),((c_TMAP1IN)-(c_TFWD)))+(0)+IF(((c_TMAP1OUT)-(0))&gt;=0,IF(IF(o_WRAP=1,MOD(((c_TMAP1IN)-(c_TFWD))*(((K129)-(c_TFWD))*((c_TMAP1OUT)-(0))+IF(((c_TMAP1OUT)-(0))&gt;=0,1,-1)*QUOTIENT(((c_TMAP1IN)-(c_TFWD)),2))+2147483648,4294967296)-2147483648,((c_TMAP1IN)-(c_TFWD))*(((K129)-(c_TFWD))*((c_TMAP1OUT)-(0))+IF(((c_TMAP1OUT)-(0))&gt;=0,1,-1)*QUOTIENT(((c_TMAP1IN)-(c_TFWD)),2)))&lt;0,-1,0),IF(IF(o_WRAP=1,MOD(((c_TMAP1IN)-(c_TFWD))*(((K129)-(c_TFWD))*((c_TMAP1OUT)-(0))+IF(((c_TMAP1OUT)-(0))&gt;=0,1,-1)*QUOTIENT(((c_TMAP1IN)-(c_TFWD)),2))+2147483648,4294967296)-2147483648,((c_TMAP1IN)-(c_TFWD))*(((K129)-(c_TFWD))*((c_TMAP1OUT)-(0))+IF(((c_TMAP1OUT)-(0))&gt;=0,1,-1)*QUOTIENT(((c_TMAP1IN)-(c_TFWD)),2)))&gt;=0,1,0)))</f>
        <v>149</v>
      </c>
      <c r="N129" s="7" t="n">
        <f aca="false">IF(((c_TMAP2IN)-(c_TMAP1IN))=0,(c_TMAP1OUT)+QUOTIENT(((c_TMAP2OUT)-(c_TMAP1OUT)),2),QUOTIENT((((K129)-(c_TMAP1IN))*((c_TMAP2OUT)-(c_TMAP1OUT))+IF(((c_TMAP2OUT)-(c_TMAP1OUT))&gt;=0,1,-1)*QUOTIENT(((c_TMAP2IN)-(c_TMAP1IN)),2)),((c_TMAP2IN)-(c_TMAP1IN)))+(c_TMAP1OUT)+IF(((c_TMAP2OUT)-(c_TMAP1OUT))&gt;=0,IF(IF(o_WRAP=1,MOD(((c_TMAP2IN)-(c_TMAP1IN))*(((K129)-(c_TMAP1IN))*((c_TMAP2OUT)-(c_TMAP1OUT))+IF(((c_TMAP2OUT)-(c_TMAP1OUT))&gt;=0,1,-1)*QUOTIENT(((c_TMAP2IN)-(c_TMAP1IN)),2))+2147483648,4294967296)-2147483648,((c_TMAP2IN)-(c_TMAP1IN))*(((K129)-(c_TMAP1IN))*((c_TMAP2OUT)-(c_TMAP1OUT))+IF(((c_TMAP2OUT)-(c_TMAP1OUT))&gt;=0,1,-1)*QUOTIENT(((c_TMAP2IN)-(c_TMAP1IN)),2)))&lt;0,-1,0),IF(IF(o_WRAP=1,MOD(((c_TMAP2IN)-(c_TMAP1IN))*(((K129)-(c_TMAP1IN))*((c_TMAP2OUT)-(c_TMAP1OUT))+IF(((c_TMAP2OUT)-(c_TMAP1OUT))&gt;=0,1,-1)*QUOTIENT(((c_TMAP2IN)-(c_TMAP1IN)),2))+2147483648,4294967296)-2147483648,((c_TMAP2IN)-(c_TMAP1IN))*(((K129)-(c_TMAP1IN))*((c_TMAP2OUT)-(c_TMAP1OUT))+IF(((c_TMAP2OUT)-(c_TMAP1OUT))&gt;=0,1,-1)*QUOTIENT(((c_TMAP2IN)-(c_TMAP1IN)),2)))&gt;=0,1,0)))</f>
        <v>110</v>
      </c>
      <c r="O129" s="7" t="n">
        <f aca="false">IF(((c_TMAP3IN)-(c_TMAP2IN))=0,(c_TMAP2OUT)+QUOTIENT(((c_TMAP3OUT)-(c_TMAP2OUT)),2),QUOTIENT((((K129)-(c_TMAP2IN))*((c_TMAP3OUT)-(c_TMAP2OUT))+IF(((c_TMAP3OUT)-(c_TMAP2OUT))&gt;=0,1,-1)*QUOTIENT(((c_TMAP3IN)-(c_TMAP2IN)),2)),((c_TMAP3IN)-(c_TMAP2IN)))+(c_TMAP2OUT)+IF(((c_TMAP3OUT)-(c_TMAP2OUT))&gt;=0,IF(IF(o_WRAP=1,MOD(((c_TMAP3IN)-(c_TMAP2IN))*(((K129)-(c_TMAP2IN))*((c_TMAP3OUT)-(c_TMAP2OUT))+IF(((c_TMAP3OUT)-(c_TMAP2OUT))&gt;=0,1,-1)*QUOTIENT(((c_TMAP3IN)-(c_TMAP2IN)),2))+2147483648,4294967296)-2147483648,((c_TMAP3IN)-(c_TMAP2IN))*(((K129)-(c_TMAP2IN))*((c_TMAP3OUT)-(c_TMAP2OUT))+IF(((c_TMAP3OUT)-(c_TMAP2OUT))&gt;=0,1,-1)*QUOTIENT(((c_TMAP3IN)-(c_TMAP2IN)),2)))&lt;0,-1,0),IF(IF(o_WRAP=1,MOD(((c_TMAP3IN)-(c_TMAP2IN))*(((K129)-(c_TMAP2IN))*((c_TMAP3OUT)-(c_TMAP2OUT))+IF(((c_TMAP3OUT)-(c_TMAP2OUT))&gt;=0,1,-1)*QUOTIENT(((c_TMAP3IN)-(c_TMAP2IN)),2))+2147483648,4294967296)-2147483648,((c_TMAP3IN)-(c_TMAP2IN))*(((K129)-(c_TMAP2IN))*((c_TMAP3OUT)-(c_TMAP2OUT))+IF(((c_TMAP3OUT)-(c_TMAP2OUT))&gt;=0,1,-1)*QUOTIENT(((c_TMAP3IN)-(c_TMAP2IN)),2)))&gt;=0,1,0)))</f>
        <v>96</v>
      </c>
      <c r="P129" s="7" t="n">
        <f aca="false">IF(((1000)-(c_TMAP3IN))=0,(c_TMAP3OUT)+QUOTIENT(((1000)-(c_TMAP3OUT)),2),QUOTIENT((((K129)-(c_TMAP3IN))*((1000)-(c_TMAP3OUT))+IF(((1000)-(c_TMAP3OUT))&gt;=0,1,-1)*QUOTIENT(((1000)-(c_TMAP3IN)),2)),((1000)-(c_TMAP3IN)))+(c_TMAP3OUT)+IF(((1000)-(c_TMAP3OUT))&gt;=0,IF(IF(o_WRAP=1,MOD(((1000)-(c_TMAP3IN))*(((K129)-(c_TMAP3IN))*((1000)-(c_TMAP3OUT))+IF(((1000)-(c_TMAP3OUT))&gt;=0,1,-1)*QUOTIENT(((1000)-(c_TMAP3IN)),2))+2147483648,4294967296)-2147483648,((1000)-(c_TMAP3IN))*(((K129)-(c_TMAP3IN))*((1000)-(c_TMAP3OUT))+IF(((1000)-(c_TMAP3OUT))&gt;=0,1,-1)*QUOTIENT(((1000)-(c_TMAP3IN)),2)))&lt;0,-1,0),IF(IF(o_WRAP=1,MOD(((1000)-(c_TMAP3IN))*(((K129)-(c_TMAP3IN))*((1000)-(c_TMAP3OUT))+IF(((1000)-(c_TMAP3OUT))&gt;=0,1,-1)*QUOTIENT(((1000)-(c_TMAP3IN)),2))+2147483648,4294967296)-2147483648,((1000)-(c_TMAP3IN))*(((K129)-(c_TMAP3IN))*((1000)-(c_TMAP3OUT))+IF(((1000)-(c_TMAP3OUT))&gt;=0,1,-1)*QUOTIENT(((1000)-(c_TMAP3IN)),2)))&gt;=0,1,0)))</f>
        <v>17</v>
      </c>
      <c r="Q129" s="7" t="str">
        <f aca="false">IF(K129&gt;=c_TFWD,IF(AND(K129&gt;=c_TMAP3IN,c_TMAP3IN&lt;1000),"Seg4 map3-100%",IF(AND(K129&gt;=c_TMAP2IN,c_TMAP3IN&gt;c_TMAP2IN),"Seg3 map2-map3",IF(AND(K129&gt;=c_TMAP1IN,c_TMAP2IN&gt;c_TMAP1IN),"Seg2 map1-map2","Seg1 TFWD-map1"))),IF(AND(K129=0,c_TCREEP&gt;0),"Creep",IF(AND(K129&lt;=c_TRNGMIN,K129&gt;=c_TRNGMAX,c_TRNGMIN-c_TRNGMAX&lt;&gt;0),"Regen ramp","Coast (0)")))</f>
        <v>Seg2 map1-map2</v>
      </c>
      <c r="R129" s="7" t="n">
        <f aca="false">IF(K129&gt;=c_TFWD,IF(AND(K129&gt;=c_TMAP3IN,c_TMAP3IN&lt;1000),P129,IF(AND(K129&gt;=c_TMAP2IN,c_TMAP3IN&gt;c_TMAP2IN),O129,IF(AND(K129&gt;=c_TMAP1IN,c_TMAP2IN&gt;c_TMAP1IN),N129,M129))),L129)</f>
        <v>110</v>
      </c>
      <c r="S129" s="7" t="str">
        <f aca="false">IF(R129&lt;-1090,"TOO LOW",IF(R129&gt;1090,"TOO HIGH",""))</f>
        <v/>
      </c>
      <c r="T129" s="15" t="n">
        <f aca="false">IF(H129&lt;&gt;"OK",0,IF(S129&lt;&gt;"",0,IF(R129&gt;979,1000,R129)))</f>
        <v>110</v>
      </c>
      <c r="U129" s="7" t="n">
        <f aca="false">T129/10</f>
        <v>11</v>
      </c>
    </row>
    <row r="130" customFormat="false" ht="15" hidden="false" customHeight="false" outlineLevel="0" collapsed="false">
      <c r="A130" s="7" t="n">
        <v>125</v>
      </c>
      <c r="B130" s="7" t="n">
        <f aca="false">ROUND(o_SWSTART+A130*(o_SWEND-o_SWSTART)/400,0)</f>
        <v>1280</v>
      </c>
      <c r="C130" s="7" t="n">
        <f aca="false">QUOTIENT((B130-c_OFF1)*c_GAIN1,1024)</f>
        <v>1280</v>
      </c>
      <c r="D130" s="7" t="n">
        <f aca="false">IF(((c_T1MX)-(c_T1MN))=0,(0)+QUOTIENT(((1000)-(0)),2),QUOTIENT((((C130)-(c_T1MN))*((1000)-(0))+IF(((1000)-(0))&gt;=0,1,-1)*QUOTIENT(((c_T1MX)-(c_T1MN)),2)),((c_T1MX)-(c_T1MN)))+(0)+IF(((1000)-(0))&gt;=0,IF(IF(o_WRAP=1,MOD(((c_T1MX)-(c_T1MN))*(((C130)-(c_T1MN))*((1000)-(0))+IF(((1000)-(0))&gt;=0,1,-1)*QUOTIENT(((c_T1MX)-(c_T1MN)),2))+2147483648,4294967296)-2147483648,((c_T1MX)-(c_T1MN))*(((C130)-(c_T1MN))*((1000)-(0))+IF(((1000)-(0))&gt;=0,1,-1)*QUOTIENT(((c_T1MX)-(c_T1MN)),2)))&lt;0,-1,0),IF(IF(o_WRAP=1,MOD(((c_T1MX)-(c_T1MN))*(((C130)-(c_T1MN))*((1000)-(0))+IF(((1000)-(0))&gt;=0,1,-1)*QUOTIENT(((c_T1MX)-(c_T1MN)),2))+2147483648,4294967296)-2147483648,((c_T1MX)-(c_T1MN))*(((C130)-(c_T1MN))*((1000)-(0))+IF(((1000)-(0))&gt;=0,1,-1)*QUOTIENT(((c_T1MX)-(c_T1MN)),2)))&gt;=0,1,0)))</f>
        <v>204</v>
      </c>
      <c r="E130" s="7" t="n">
        <f aca="false">IF(AND(c_TPOT=1,c_TTYPE=2),1000-D130,D130)</f>
        <v>204</v>
      </c>
      <c r="F130" s="7" t="str">
        <f aca="false">IF(c_TPOT&gt;1,ROUND(IF(c_TTYPE=2,c_T2MX-IF(c_T1MX=c_T1MN,0,(C130-c_T1MN)/(c_T1MX-c_T1MN))*(c_T2MX-c_T2MN),c_T2MN+IF(c_T1MX=c_T1MN,0,(C130-c_T1MN)/(c_T1MX-c_T1MN))*(c_T2MX-c_T2MN))+o_MISMATCH,0),"")</f>
        <v/>
      </c>
      <c r="G130" s="7" t="str">
        <f aca="false">IF(c_TPOT&gt;1,IF(((c_T2MX)-(c_T2MN))=0,(0)+QUOTIENT(((1000)-(0)),2),QUOTIENT((((F130)-(c_T2MN))*((1000)-(0))+IF(((1000)-(0))&gt;=0,1,-1)*QUOTIENT(((c_T2MX)-(c_T2MN)),2)),((c_T2MX)-(c_T2MN)))+(0)+IF(((1000)-(0))&gt;=0,IF(IF(o_WRAP=1,MOD(((c_T2MX)-(c_T2MN))*(((F130)-(c_T2MN))*((1000)-(0))+IF(((1000)-(0))&gt;=0,1,-1)*QUOTIENT(((c_T2MX)-(c_T2MN)),2))+2147483648,4294967296)-2147483648,((c_T2MX)-(c_T2MN))*(((F130)-(c_T2MN))*((1000)-(0))+IF(((1000)-(0))&gt;=0,1,-1)*QUOTIENT(((c_T2MX)-(c_T2MN)),2)))&lt;0,-1,0),IF(IF(o_WRAP=1,MOD(((c_T2MX)-(c_T2MN))*(((F130)-(c_T2MN))*((1000)-(0))+IF(((1000)-(0))&gt;=0,1,-1)*QUOTIENT(((c_T2MX)-(c_T2MN)),2))+2147483648,4294967296)-2147483648,((c_T2MX)-(c_T2MN))*(((F130)-(c_T2MN))*((1000)-(0))+IF(((1000)-(0))&gt;=0,1,-1)*QUOTIENT(((c_T2MX)-(c_T2MN)),2)))&gt;=0,1,0))),"")</f>
        <v/>
      </c>
      <c r="H130" s="7" t="str">
        <f aca="false">IF(E130&gt;1000+k_TOL,"T1 HIGH",IF(E130&lt;0-k_TOL,"T1 LOW",IF(c_TPOT&gt;1,IF(G130&gt;1000+k_TOL,"T2 HIGH",IF(G130&lt;0-k_TOL,"T2 LOW",IF(c_TTYPE=2,IF(ABS(1000-MAX(0,MIN(1000,E130))-MAX(0,MIN(1000,G130)))&gt;k_MAXERR,"MISMATCH","OK"),IF(OR(MAX(0,MIN(1000,E130))-k_MAXERR&gt;MAX(0,MIN(1000,G130)),MAX(0,MIN(1000,G130))-k_MAXERR&gt;MAX(0,MIN(1000,E130))),"MISMATCH","OK")))),"OK")))</f>
        <v>OK</v>
      </c>
      <c r="I130" s="7" t="n">
        <f aca="false">MAX(0,MIN(1000,D130))</f>
        <v>204</v>
      </c>
      <c r="J130" s="7" t="str">
        <f aca="false">IF(c_TPOT&gt;1,IF(c_TTYPE=2,1000-MAX(0,MIN(1000,G130)),MAX(0,MIN(1000,G130))),"")</f>
        <v/>
      </c>
      <c r="K130" s="7" t="n">
        <f aca="false">IF(c_TPOT&gt;1,QUOTIENT(I130+J130,2),I130)</f>
        <v>204</v>
      </c>
      <c r="L130" s="7" t="n">
        <f aca="false">IF(AND(K130=0,c_TCREEP&gt;0),10*c_TCREEP,IF(AND(K130&lt;=c_TRNGMIN,K130&gt;=c_TRNGMAX,c_TRNGMIN-c_TRNGMAX&lt;&gt;0),-10*c_TMINRN+QUOTIENT((c_TMAXRN-c_TMINRN)*(100-QUOTIENT((K130-c_TRNGMAX)*100,c_TRNGMIN-c_TRNGMAX)),-10),0))</f>
        <v>0</v>
      </c>
      <c r="M130" s="7" t="n">
        <f aca="false">IF(((c_TMAP1IN)-(c_TFWD))=0,(0)+QUOTIENT(((c_TMAP1OUT)-(0)),2),QUOTIENT((((K130)-(c_TFWD))*((c_TMAP1OUT)-(0))+IF(((c_TMAP1OUT)-(0))&gt;=0,1,-1)*QUOTIENT(((c_TMAP1IN)-(c_TFWD)),2)),((c_TMAP1IN)-(c_TFWD)))+(0)+IF(((c_TMAP1OUT)-(0))&gt;=0,IF(IF(o_WRAP=1,MOD(((c_TMAP1IN)-(c_TFWD))*(((K130)-(c_TFWD))*((c_TMAP1OUT)-(0))+IF(((c_TMAP1OUT)-(0))&gt;=0,1,-1)*QUOTIENT(((c_TMAP1IN)-(c_TFWD)),2))+2147483648,4294967296)-2147483648,((c_TMAP1IN)-(c_TFWD))*(((K130)-(c_TFWD))*((c_TMAP1OUT)-(0))+IF(((c_TMAP1OUT)-(0))&gt;=0,1,-1)*QUOTIENT(((c_TMAP1IN)-(c_TFWD)),2)))&lt;0,-1,0),IF(IF(o_WRAP=1,MOD(((c_TMAP1IN)-(c_TFWD))*(((K130)-(c_TFWD))*((c_TMAP1OUT)-(0))+IF(((c_TMAP1OUT)-(0))&gt;=0,1,-1)*QUOTIENT(((c_TMAP1IN)-(c_TFWD)),2))+2147483648,4294967296)-2147483648,((c_TMAP1IN)-(c_TFWD))*(((K130)-(c_TFWD))*((c_TMAP1OUT)-(0))+IF(((c_TMAP1OUT)-(0))&gt;=0,1,-1)*QUOTIENT(((c_TMAP1IN)-(c_TFWD)),2)))&gt;=0,1,0)))</f>
        <v>151</v>
      </c>
      <c r="N130" s="7" t="n">
        <f aca="false">IF(((c_TMAP2IN)-(c_TMAP1IN))=0,(c_TMAP1OUT)+QUOTIENT(((c_TMAP2OUT)-(c_TMAP1OUT)),2),QUOTIENT((((K130)-(c_TMAP1IN))*((c_TMAP2OUT)-(c_TMAP1OUT))+IF(((c_TMAP2OUT)-(c_TMAP1OUT))&gt;=0,1,-1)*QUOTIENT(((c_TMAP2IN)-(c_TMAP1IN)),2)),((c_TMAP2IN)-(c_TMAP1IN)))+(c_TMAP1OUT)+IF(((c_TMAP2OUT)-(c_TMAP1OUT))&gt;=0,IF(IF(o_WRAP=1,MOD(((c_TMAP2IN)-(c_TMAP1IN))*(((K130)-(c_TMAP1IN))*((c_TMAP2OUT)-(c_TMAP1OUT))+IF(((c_TMAP2OUT)-(c_TMAP1OUT))&gt;=0,1,-1)*QUOTIENT(((c_TMAP2IN)-(c_TMAP1IN)),2))+2147483648,4294967296)-2147483648,((c_TMAP2IN)-(c_TMAP1IN))*(((K130)-(c_TMAP1IN))*((c_TMAP2OUT)-(c_TMAP1OUT))+IF(((c_TMAP2OUT)-(c_TMAP1OUT))&gt;=0,1,-1)*QUOTIENT(((c_TMAP2IN)-(c_TMAP1IN)),2)))&lt;0,-1,0),IF(IF(o_WRAP=1,MOD(((c_TMAP2IN)-(c_TMAP1IN))*(((K130)-(c_TMAP1IN))*((c_TMAP2OUT)-(c_TMAP1OUT))+IF(((c_TMAP2OUT)-(c_TMAP1OUT))&gt;=0,1,-1)*QUOTIENT(((c_TMAP2IN)-(c_TMAP1IN)),2))+2147483648,4294967296)-2147483648,((c_TMAP2IN)-(c_TMAP1IN))*(((K130)-(c_TMAP1IN))*((c_TMAP2OUT)-(c_TMAP1OUT))+IF(((c_TMAP2OUT)-(c_TMAP1OUT))&gt;=0,1,-1)*QUOTIENT(((c_TMAP2IN)-(c_TMAP1IN)),2)))&gt;=0,1,0)))</f>
        <v>112</v>
      </c>
      <c r="O130" s="7" t="n">
        <f aca="false">IF(((c_TMAP3IN)-(c_TMAP2IN))=0,(c_TMAP2OUT)+QUOTIENT(((c_TMAP3OUT)-(c_TMAP2OUT)),2),QUOTIENT((((K130)-(c_TMAP2IN))*((c_TMAP3OUT)-(c_TMAP2OUT))+IF(((c_TMAP3OUT)-(c_TMAP2OUT))&gt;=0,1,-1)*QUOTIENT(((c_TMAP3IN)-(c_TMAP2IN)),2)),((c_TMAP3IN)-(c_TMAP2IN)))+(c_TMAP2OUT)+IF(((c_TMAP3OUT)-(c_TMAP2OUT))&gt;=0,IF(IF(o_WRAP=1,MOD(((c_TMAP3IN)-(c_TMAP2IN))*(((K130)-(c_TMAP2IN))*((c_TMAP3OUT)-(c_TMAP2OUT))+IF(((c_TMAP3OUT)-(c_TMAP2OUT))&gt;=0,1,-1)*QUOTIENT(((c_TMAP3IN)-(c_TMAP2IN)),2))+2147483648,4294967296)-2147483648,((c_TMAP3IN)-(c_TMAP2IN))*(((K130)-(c_TMAP2IN))*((c_TMAP3OUT)-(c_TMAP2OUT))+IF(((c_TMAP3OUT)-(c_TMAP2OUT))&gt;=0,1,-1)*QUOTIENT(((c_TMAP3IN)-(c_TMAP2IN)),2)))&lt;0,-1,0),IF(IF(o_WRAP=1,MOD(((c_TMAP3IN)-(c_TMAP2IN))*(((K130)-(c_TMAP2IN))*((c_TMAP3OUT)-(c_TMAP2OUT))+IF(((c_TMAP3OUT)-(c_TMAP2OUT))&gt;=0,1,-1)*QUOTIENT(((c_TMAP3IN)-(c_TMAP2IN)),2))+2147483648,4294967296)-2147483648,((c_TMAP3IN)-(c_TMAP2IN))*(((K130)-(c_TMAP2IN))*((c_TMAP3OUT)-(c_TMAP2OUT))+IF(((c_TMAP3OUT)-(c_TMAP2OUT))&gt;=0,1,-1)*QUOTIENT(((c_TMAP3IN)-(c_TMAP2IN)),2)))&gt;=0,1,0)))</f>
        <v>98</v>
      </c>
      <c r="P130" s="7" t="n">
        <f aca="false">IF(((1000)-(c_TMAP3IN))=0,(c_TMAP3OUT)+QUOTIENT(((1000)-(c_TMAP3OUT)),2),QUOTIENT((((K130)-(c_TMAP3IN))*((1000)-(c_TMAP3OUT))+IF(((1000)-(c_TMAP3OUT))&gt;=0,1,-1)*QUOTIENT(((1000)-(c_TMAP3IN)),2)),((1000)-(c_TMAP3IN)))+(c_TMAP3OUT)+IF(((1000)-(c_TMAP3OUT))&gt;=0,IF(IF(o_WRAP=1,MOD(((1000)-(c_TMAP3IN))*(((K130)-(c_TMAP3IN))*((1000)-(c_TMAP3OUT))+IF(((1000)-(c_TMAP3OUT))&gt;=0,1,-1)*QUOTIENT(((1000)-(c_TMAP3IN)),2))+2147483648,4294967296)-2147483648,((1000)-(c_TMAP3IN))*(((K130)-(c_TMAP3IN))*((1000)-(c_TMAP3OUT))+IF(((1000)-(c_TMAP3OUT))&gt;=0,1,-1)*QUOTIENT(((1000)-(c_TMAP3IN)),2)))&lt;0,-1,0),IF(IF(o_WRAP=1,MOD(((1000)-(c_TMAP3IN))*(((K130)-(c_TMAP3IN))*((1000)-(c_TMAP3OUT))+IF(((1000)-(c_TMAP3OUT))&gt;=0,1,-1)*QUOTIENT(((1000)-(c_TMAP3IN)),2))+2147483648,4294967296)-2147483648,((1000)-(c_TMAP3IN))*(((K130)-(c_TMAP3IN))*((1000)-(c_TMAP3OUT))+IF(((1000)-(c_TMAP3OUT))&gt;=0,1,-1)*QUOTIENT(((1000)-(c_TMAP3IN)),2)))&gt;=0,1,0)))</f>
        <v>20</v>
      </c>
      <c r="Q130" s="7" t="str">
        <f aca="false">IF(K130&gt;=c_TFWD,IF(AND(K130&gt;=c_TMAP3IN,c_TMAP3IN&lt;1000),"Seg4 map3-100%",IF(AND(K130&gt;=c_TMAP2IN,c_TMAP3IN&gt;c_TMAP2IN),"Seg3 map2-map3",IF(AND(K130&gt;=c_TMAP1IN,c_TMAP2IN&gt;c_TMAP1IN),"Seg2 map1-map2","Seg1 TFWD-map1"))),IF(AND(K130=0,c_TCREEP&gt;0),"Creep",IF(AND(K130&lt;=c_TRNGMIN,K130&gt;=c_TRNGMAX,c_TRNGMIN-c_TRNGMAX&lt;&gt;0),"Regen ramp","Coast (0)")))</f>
        <v>Seg2 map1-map2</v>
      </c>
      <c r="R130" s="7" t="n">
        <f aca="false">IF(K130&gt;=c_TFWD,IF(AND(K130&gt;=c_TMAP3IN,c_TMAP3IN&lt;1000),P130,IF(AND(K130&gt;=c_TMAP2IN,c_TMAP3IN&gt;c_TMAP2IN),O130,IF(AND(K130&gt;=c_TMAP1IN,c_TMAP2IN&gt;c_TMAP1IN),N130,M130))),L130)</f>
        <v>112</v>
      </c>
      <c r="S130" s="7" t="str">
        <f aca="false">IF(R130&lt;-1090,"TOO LOW",IF(R130&gt;1090,"TOO HIGH",""))</f>
        <v/>
      </c>
      <c r="T130" s="15" t="n">
        <f aca="false">IF(H130&lt;&gt;"OK",0,IF(S130&lt;&gt;"",0,IF(R130&gt;979,1000,R130)))</f>
        <v>112</v>
      </c>
      <c r="U130" s="7" t="n">
        <f aca="false">T130/10</f>
        <v>11.2</v>
      </c>
    </row>
    <row r="131" customFormat="false" ht="15" hidden="false" customHeight="false" outlineLevel="0" collapsed="false">
      <c r="A131" s="7" t="n">
        <v>126</v>
      </c>
      <c r="B131" s="7" t="n">
        <f aca="false">ROUND(o_SWSTART+A131*(o_SWEND-o_SWSTART)/400,0)</f>
        <v>1290</v>
      </c>
      <c r="C131" s="7" t="n">
        <f aca="false">QUOTIENT((B131-c_OFF1)*c_GAIN1,1024)</f>
        <v>1290</v>
      </c>
      <c r="D131" s="7" t="n">
        <f aca="false">IF(((c_T1MX)-(c_T1MN))=0,(0)+QUOTIENT(((1000)-(0)),2),QUOTIENT((((C131)-(c_T1MN))*((1000)-(0))+IF(((1000)-(0))&gt;=0,1,-1)*QUOTIENT(((c_T1MX)-(c_T1MN)),2)),((c_T1MX)-(c_T1MN)))+(0)+IF(((1000)-(0))&gt;=0,IF(IF(o_WRAP=1,MOD(((c_T1MX)-(c_T1MN))*(((C131)-(c_T1MN))*((1000)-(0))+IF(((1000)-(0))&gt;=0,1,-1)*QUOTIENT(((c_T1MX)-(c_T1MN)),2))+2147483648,4294967296)-2147483648,((c_T1MX)-(c_T1MN))*(((C131)-(c_T1MN))*((1000)-(0))+IF(((1000)-(0))&gt;=0,1,-1)*QUOTIENT(((c_T1MX)-(c_T1MN)),2)))&lt;0,-1,0),IF(IF(o_WRAP=1,MOD(((c_T1MX)-(c_T1MN))*(((C131)-(c_T1MN))*((1000)-(0))+IF(((1000)-(0))&gt;=0,1,-1)*QUOTIENT(((c_T1MX)-(c_T1MN)),2))+2147483648,4294967296)-2147483648,((c_T1MX)-(c_T1MN))*(((C131)-(c_T1MN))*((1000)-(0))+IF(((1000)-(0))&gt;=0,1,-1)*QUOTIENT(((c_T1MX)-(c_T1MN)),2)))&gt;=0,1,0)))</f>
        <v>208</v>
      </c>
      <c r="E131" s="7" t="n">
        <f aca="false">IF(AND(c_TPOT=1,c_TTYPE=2),1000-D131,D131)</f>
        <v>208</v>
      </c>
      <c r="F131" s="7" t="str">
        <f aca="false">IF(c_TPOT&gt;1,ROUND(IF(c_TTYPE=2,c_T2MX-IF(c_T1MX=c_T1MN,0,(C131-c_T1MN)/(c_T1MX-c_T1MN))*(c_T2MX-c_T2MN),c_T2MN+IF(c_T1MX=c_T1MN,0,(C131-c_T1MN)/(c_T1MX-c_T1MN))*(c_T2MX-c_T2MN))+o_MISMATCH,0),"")</f>
        <v/>
      </c>
      <c r="G131" s="7" t="str">
        <f aca="false">IF(c_TPOT&gt;1,IF(((c_T2MX)-(c_T2MN))=0,(0)+QUOTIENT(((1000)-(0)),2),QUOTIENT((((F131)-(c_T2MN))*((1000)-(0))+IF(((1000)-(0))&gt;=0,1,-1)*QUOTIENT(((c_T2MX)-(c_T2MN)),2)),((c_T2MX)-(c_T2MN)))+(0)+IF(((1000)-(0))&gt;=0,IF(IF(o_WRAP=1,MOD(((c_T2MX)-(c_T2MN))*(((F131)-(c_T2MN))*((1000)-(0))+IF(((1000)-(0))&gt;=0,1,-1)*QUOTIENT(((c_T2MX)-(c_T2MN)),2))+2147483648,4294967296)-2147483648,((c_T2MX)-(c_T2MN))*(((F131)-(c_T2MN))*((1000)-(0))+IF(((1000)-(0))&gt;=0,1,-1)*QUOTIENT(((c_T2MX)-(c_T2MN)),2)))&lt;0,-1,0),IF(IF(o_WRAP=1,MOD(((c_T2MX)-(c_T2MN))*(((F131)-(c_T2MN))*((1000)-(0))+IF(((1000)-(0))&gt;=0,1,-1)*QUOTIENT(((c_T2MX)-(c_T2MN)),2))+2147483648,4294967296)-2147483648,((c_T2MX)-(c_T2MN))*(((F131)-(c_T2MN))*((1000)-(0))+IF(((1000)-(0))&gt;=0,1,-1)*QUOTIENT(((c_T2MX)-(c_T2MN)),2)))&gt;=0,1,0))),"")</f>
        <v/>
      </c>
      <c r="H131" s="7" t="str">
        <f aca="false">IF(E131&gt;1000+k_TOL,"T1 HIGH",IF(E131&lt;0-k_TOL,"T1 LOW",IF(c_TPOT&gt;1,IF(G131&gt;1000+k_TOL,"T2 HIGH",IF(G131&lt;0-k_TOL,"T2 LOW",IF(c_TTYPE=2,IF(ABS(1000-MAX(0,MIN(1000,E131))-MAX(0,MIN(1000,G131)))&gt;k_MAXERR,"MISMATCH","OK"),IF(OR(MAX(0,MIN(1000,E131))-k_MAXERR&gt;MAX(0,MIN(1000,G131)),MAX(0,MIN(1000,G131))-k_MAXERR&gt;MAX(0,MIN(1000,E131))),"MISMATCH","OK")))),"OK")))</f>
        <v>OK</v>
      </c>
      <c r="I131" s="7" t="n">
        <f aca="false">MAX(0,MIN(1000,D131))</f>
        <v>208</v>
      </c>
      <c r="J131" s="7" t="str">
        <f aca="false">IF(c_TPOT&gt;1,IF(c_TTYPE=2,1000-MAX(0,MIN(1000,G131)),MAX(0,MIN(1000,G131))),"")</f>
        <v/>
      </c>
      <c r="K131" s="7" t="n">
        <f aca="false">IF(c_TPOT&gt;1,QUOTIENT(I131+J131,2),I131)</f>
        <v>208</v>
      </c>
      <c r="L131" s="7" t="n">
        <f aca="false">IF(AND(K131=0,c_TCREEP&gt;0),10*c_TCREEP,IF(AND(K131&lt;=c_TRNGMIN,K131&gt;=c_TRNGMAX,c_TRNGMIN-c_TRNGMAX&lt;&gt;0),-10*c_TMINRN+QUOTIENT((c_TMAXRN-c_TMINRN)*(100-QUOTIENT((K131-c_TRNGMAX)*100,c_TRNGMIN-c_TRNGMAX)),-10),0))</f>
        <v>0</v>
      </c>
      <c r="M131" s="7" t="n">
        <f aca="false">IF(((c_TMAP1IN)-(c_TFWD))=0,(0)+QUOTIENT(((c_TMAP1OUT)-(0)),2),QUOTIENT((((K131)-(c_TFWD))*((c_TMAP1OUT)-(0))+IF(((c_TMAP1OUT)-(0))&gt;=0,1,-1)*QUOTIENT(((c_TMAP1IN)-(c_TFWD)),2)),((c_TMAP1IN)-(c_TFWD)))+(0)+IF(((c_TMAP1OUT)-(0))&gt;=0,IF(IF(o_WRAP=1,MOD(((c_TMAP1IN)-(c_TFWD))*(((K131)-(c_TFWD))*((c_TMAP1OUT)-(0))+IF(((c_TMAP1OUT)-(0))&gt;=0,1,-1)*QUOTIENT(((c_TMAP1IN)-(c_TFWD)),2))+2147483648,4294967296)-2147483648,((c_TMAP1IN)-(c_TFWD))*(((K131)-(c_TFWD))*((c_TMAP1OUT)-(0))+IF(((c_TMAP1OUT)-(0))&gt;=0,1,-1)*QUOTIENT(((c_TMAP1IN)-(c_TFWD)),2)))&lt;0,-1,0),IF(IF(o_WRAP=1,MOD(((c_TMAP1IN)-(c_TFWD))*(((K131)-(c_TFWD))*((c_TMAP1OUT)-(0))+IF(((c_TMAP1OUT)-(0))&gt;=0,1,-1)*QUOTIENT(((c_TMAP1IN)-(c_TFWD)),2))+2147483648,4294967296)-2147483648,((c_TMAP1IN)-(c_TFWD))*(((K131)-(c_TFWD))*((c_TMAP1OUT)-(0))+IF(((c_TMAP1OUT)-(0))&gt;=0,1,-1)*QUOTIENT(((c_TMAP1IN)-(c_TFWD)),2)))&gt;=0,1,0)))</f>
        <v>154</v>
      </c>
      <c r="N131" s="7" t="n">
        <f aca="false">IF(((c_TMAP2IN)-(c_TMAP1IN))=0,(c_TMAP1OUT)+QUOTIENT(((c_TMAP2OUT)-(c_TMAP1OUT)),2),QUOTIENT((((K131)-(c_TMAP1IN))*((c_TMAP2OUT)-(c_TMAP1OUT))+IF(((c_TMAP2OUT)-(c_TMAP1OUT))&gt;=0,1,-1)*QUOTIENT(((c_TMAP2IN)-(c_TMAP1IN)),2)),((c_TMAP2IN)-(c_TMAP1IN)))+(c_TMAP1OUT)+IF(((c_TMAP2OUT)-(c_TMAP1OUT))&gt;=0,IF(IF(o_WRAP=1,MOD(((c_TMAP2IN)-(c_TMAP1IN))*(((K131)-(c_TMAP1IN))*((c_TMAP2OUT)-(c_TMAP1OUT))+IF(((c_TMAP2OUT)-(c_TMAP1OUT))&gt;=0,1,-1)*QUOTIENT(((c_TMAP2IN)-(c_TMAP1IN)),2))+2147483648,4294967296)-2147483648,((c_TMAP2IN)-(c_TMAP1IN))*(((K131)-(c_TMAP1IN))*((c_TMAP2OUT)-(c_TMAP1OUT))+IF(((c_TMAP2OUT)-(c_TMAP1OUT))&gt;=0,1,-1)*QUOTIENT(((c_TMAP2IN)-(c_TMAP1IN)),2)))&lt;0,-1,0),IF(IF(o_WRAP=1,MOD(((c_TMAP2IN)-(c_TMAP1IN))*(((K131)-(c_TMAP1IN))*((c_TMAP2OUT)-(c_TMAP1OUT))+IF(((c_TMAP2OUT)-(c_TMAP1OUT))&gt;=0,1,-1)*QUOTIENT(((c_TMAP2IN)-(c_TMAP1IN)),2))+2147483648,4294967296)-2147483648,((c_TMAP2IN)-(c_TMAP1IN))*(((K131)-(c_TMAP1IN))*((c_TMAP2OUT)-(c_TMAP1OUT))+IF(((c_TMAP2OUT)-(c_TMAP1OUT))&gt;=0,1,-1)*QUOTIENT(((c_TMAP2IN)-(c_TMAP1IN)),2)))&gt;=0,1,0)))</f>
        <v>113</v>
      </c>
      <c r="O131" s="7" t="n">
        <f aca="false">IF(((c_TMAP3IN)-(c_TMAP2IN))=0,(c_TMAP2OUT)+QUOTIENT(((c_TMAP3OUT)-(c_TMAP2OUT)),2),QUOTIENT((((K131)-(c_TMAP2IN))*((c_TMAP3OUT)-(c_TMAP2OUT))+IF(((c_TMAP3OUT)-(c_TMAP2OUT))&gt;=0,1,-1)*QUOTIENT(((c_TMAP3IN)-(c_TMAP2IN)),2)),((c_TMAP3IN)-(c_TMAP2IN)))+(c_TMAP2OUT)+IF(((c_TMAP3OUT)-(c_TMAP2OUT))&gt;=0,IF(IF(o_WRAP=1,MOD(((c_TMAP3IN)-(c_TMAP2IN))*(((K131)-(c_TMAP2IN))*((c_TMAP3OUT)-(c_TMAP2OUT))+IF(((c_TMAP3OUT)-(c_TMAP2OUT))&gt;=0,1,-1)*QUOTIENT(((c_TMAP3IN)-(c_TMAP2IN)),2))+2147483648,4294967296)-2147483648,((c_TMAP3IN)-(c_TMAP2IN))*(((K131)-(c_TMAP2IN))*((c_TMAP3OUT)-(c_TMAP2OUT))+IF(((c_TMAP3OUT)-(c_TMAP2OUT))&gt;=0,1,-1)*QUOTIENT(((c_TMAP3IN)-(c_TMAP2IN)),2)))&lt;0,-1,0),IF(IF(o_WRAP=1,MOD(((c_TMAP3IN)-(c_TMAP2IN))*(((K131)-(c_TMAP2IN))*((c_TMAP3OUT)-(c_TMAP2OUT))+IF(((c_TMAP3OUT)-(c_TMAP2OUT))&gt;=0,1,-1)*QUOTIENT(((c_TMAP3IN)-(c_TMAP2IN)),2))+2147483648,4294967296)-2147483648,((c_TMAP3IN)-(c_TMAP2IN))*(((K131)-(c_TMAP2IN))*((c_TMAP3OUT)-(c_TMAP2OUT))+IF(((c_TMAP3OUT)-(c_TMAP2OUT))&gt;=0,1,-1)*QUOTIENT(((c_TMAP3IN)-(c_TMAP2IN)),2)))&gt;=0,1,0)))</f>
        <v>101</v>
      </c>
      <c r="P131" s="7" t="n">
        <f aca="false">IF(((1000)-(c_TMAP3IN))=0,(c_TMAP3OUT)+QUOTIENT(((1000)-(c_TMAP3OUT)),2),QUOTIENT((((K131)-(c_TMAP3IN))*((1000)-(c_TMAP3OUT))+IF(((1000)-(c_TMAP3OUT))&gt;=0,1,-1)*QUOTIENT(((1000)-(c_TMAP3IN)),2)),((1000)-(c_TMAP3IN)))+(c_TMAP3OUT)+IF(((1000)-(c_TMAP3OUT))&gt;=0,IF(IF(o_WRAP=1,MOD(((1000)-(c_TMAP3IN))*(((K131)-(c_TMAP3IN))*((1000)-(c_TMAP3OUT))+IF(((1000)-(c_TMAP3OUT))&gt;=0,1,-1)*QUOTIENT(((1000)-(c_TMAP3IN)),2))+2147483648,4294967296)-2147483648,((1000)-(c_TMAP3IN))*(((K131)-(c_TMAP3IN))*((1000)-(c_TMAP3OUT))+IF(((1000)-(c_TMAP3OUT))&gt;=0,1,-1)*QUOTIENT(((1000)-(c_TMAP3IN)),2)))&lt;0,-1,0),IF(IF(o_WRAP=1,MOD(((1000)-(c_TMAP3IN))*(((K131)-(c_TMAP3IN))*((1000)-(c_TMAP3OUT))+IF(((1000)-(c_TMAP3OUT))&gt;=0,1,-1)*QUOTIENT(((1000)-(c_TMAP3IN)),2))+2147483648,4294967296)-2147483648,((1000)-(c_TMAP3IN))*(((K131)-(c_TMAP3IN))*((1000)-(c_TMAP3OUT))+IF(((1000)-(c_TMAP3OUT))&gt;=0,1,-1)*QUOTIENT(((1000)-(c_TMAP3IN)),2)))&gt;=0,1,0)))</f>
        <v>25</v>
      </c>
      <c r="Q131" s="7" t="str">
        <f aca="false">IF(K131&gt;=c_TFWD,IF(AND(K131&gt;=c_TMAP3IN,c_TMAP3IN&lt;1000),"Seg4 map3-100%",IF(AND(K131&gt;=c_TMAP2IN,c_TMAP3IN&gt;c_TMAP2IN),"Seg3 map2-map3",IF(AND(K131&gt;=c_TMAP1IN,c_TMAP2IN&gt;c_TMAP1IN),"Seg2 map1-map2","Seg1 TFWD-map1"))),IF(AND(K131=0,c_TCREEP&gt;0),"Creep",IF(AND(K131&lt;=c_TRNGMIN,K131&gt;=c_TRNGMAX,c_TRNGMIN-c_TRNGMAX&lt;&gt;0),"Regen ramp","Coast (0)")))</f>
        <v>Seg2 map1-map2</v>
      </c>
      <c r="R131" s="7" t="n">
        <f aca="false">IF(K131&gt;=c_TFWD,IF(AND(K131&gt;=c_TMAP3IN,c_TMAP3IN&lt;1000),P131,IF(AND(K131&gt;=c_TMAP2IN,c_TMAP3IN&gt;c_TMAP2IN),O131,IF(AND(K131&gt;=c_TMAP1IN,c_TMAP2IN&gt;c_TMAP1IN),N131,M131))),L131)</f>
        <v>113</v>
      </c>
      <c r="S131" s="7" t="str">
        <f aca="false">IF(R131&lt;-1090,"TOO LOW",IF(R131&gt;1090,"TOO HIGH",""))</f>
        <v/>
      </c>
      <c r="T131" s="15" t="n">
        <f aca="false">IF(H131&lt;&gt;"OK",0,IF(S131&lt;&gt;"",0,IF(R131&gt;979,1000,R131)))</f>
        <v>113</v>
      </c>
      <c r="U131" s="7" t="n">
        <f aca="false">T131/10</f>
        <v>11.3</v>
      </c>
    </row>
    <row r="132" customFormat="false" ht="15" hidden="false" customHeight="false" outlineLevel="0" collapsed="false">
      <c r="A132" s="7" t="n">
        <v>127</v>
      </c>
      <c r="B132" s="7" t="n">
        <f aca="false">ROUND(o_SWSTART+A132*(o_SWEND-o_SWSTART)/400,0)</f>
        <v>1300</v>
      </c>
      <c r="C132" s="7" t="n">
        <f aca="false">QUOTIENT((B132-c_OFF1)*c_GAIN1,1024)</f>
        <v>1300</v>
      </c>
      <c r="D132" s="7" t="n">
        <f aca="false">IF(((c_T1MX)-(c_T1MN))=0,(0)+QUOTIENT(((1000)-(0)),2),QUOTIENT((((C132)-(c_T1MN))*((1000)-(0))+IF(((1000)-(0))&gt;=0,1,-1)*QUOTIENT(((c_T1MX)-(c_T1MN)),2)),((c_T1MX)-(c_T1MN)))+(0)+IF(((1000)-(0))&gt;=0,IF(IF(o_WRAP=1,MOD(((c_T1MX)-(c_T1MN))*(((C132)-(c_T1MN))*((1000)-(0))+IF(((1000)-(0))&gt;=0,1,-1)*QUOTIENT(((c_T1MX)-(c_T1MN)),2))+2147483648,4294967296)-2147483648,((c_T1MX)-(c_T1MN))*(((C132)-(c_T1MN))*((1000)-(0))+IF(((1000)-(0))&gt;=0,1,-1)*QUOTIENT(((c_T1MX)-(c_T1MN)),2)))&lt;0,-1,0),IF(IF(o_WRAP=1,MOD(((c_T1MX)-(c_T1MN))*(((C132)-(c_T1MN))*((1000)-(0))+IF(((1000)-(0))&gt;=0,1,-1)*QUOTIENT(((c_T1MX)-(c_T1MN)),2))+2147483648,4294967296)-2147483648,((c_T1MX)-(c_T1MN))*(((C132)-(c_T1MN))*((1000)-(0))+IF(((1000)-(0))&gt;=0,1,-1)*QUOTIENT(((c_T1MX)-(c_T1MN)),2)))&gt;=0,1,0)))</f>
        <v>212</v>
      </c>
      <c r="E132" s="7" t="n">
        <f aca="false">IF(AND(c_TPOT=1,c_TTYPE=2),1000-D132,D132)</f>
        <v>212</v>
      </c>
      <c r="F132" s="7" t="str">
        <f aca="false">IF(c_TPOT&gt;1,ROUND(IF(c_TTYPE=2,c_T2MX-IF(c_T1MX=c_T1MN,0,(C132-c_T1MN)/(c_T1MX-c_T1MN))*(c_T2MX-c_T2MN),c_T2MN+IF(c_T1MX=c_T1MN,0,(C132-c_T1MN)/(c_T1MX-c_T1MN))*(c_T2MX-c_T2MN))+o_MISMATCH,0),"")</f>
        <v/>
      </c>
      <c r="G132" s="7" t="str">
        <f aca="false">IF(c_TPOT&gt;1,IF(((c_T2MX)-(c_T2MN))=0,(0)+QUOTIENT(((1000)-(0)),2),QUOTIENT((((F132)-(c_T2MN))*((1000)-(0))+IF(((1000)-(0))&gt;=0,1,-1)*QUOTIENT(((c_T2MX)-(c_T2MN)),2)),((c_T2MX)-(c_T2MN)))+(0)+IF(((1000)-(0))&gt;=0,IF(IF(o_WRAP=1,MOD(((c_T2MX)-(c_T2MN))*(((F132)-(c_T2MN))*((1000)-(0))+IF(((1000)-(0))&gt;=0,1,-1)*QUOTIENT(((c_T2MX)-(c_T2MN)),2))+2147483648,4294967296)-2147483648,((c_T2MX)-(c_T2MN))*(((F132)-(c_T2MN))*((1000)-(0))+IF(((1000)-(0))&gt;=0,1,-1)*QUOTIENT(((c_T2MX)-(c_T2MN)),2)))&lt;0,-1,0),IF(IF(o_WRAP=1,MOD(((c_T2MX)-(c_T2MN))*(((F132)-(c_T2MN))*((1000)-(0))+IF(((1000)-(0))&gt;=0,1,-1)*QUOTIENT(((c_T2MX)-(c_T2MN)),2))+2147483648,4294967296)-2147483648,((c_T2MX)-(c_T2MN))*(((F132)-(c_T2MN))*((1000)-(0))+IF(((1000)-(0))&gt;=0,1,-1)*QUOTIENT(((c_T2MX)-(c_T2MN)),2)))&gt;=0,1,0))),"")</f>
        <v/>
      </c>
      <c r="H132" s="7" t="str">
        <f aca="false">IF(E132&gt;1000+k_TOL,"T1 HIGH",IF(E132&lt;0-k_TOL,"T1 LOW",IF(c_TPOT&gt;1,IF(G132&gt;1000+k_TOL,"T2 HIGH",IF(G132&lt;0-k_TOL,"T2 LOW",IF(c_TTYPE=2,IF(ABS(1000-MAX(0,MIN(1000,E132))-MAX(0,MIN(1000,G132)))&gt;k_MAXERR,"MISMATCH","OK"),IF(OR(MAX(0,MIN(1000,E132))-k_MAXERR&gt;MAX(0,MIN(1000,G132)),MAX(0,MIN(1000,G132))-k_MAXERR&gt;MAX(0,MIN(1000,E132))),"MISMATCH","OK")))),"OK")))</f>
        <v>OK</v>
      </c>
      <c r="I132" s="7" t="n">
        <f aca="false">MAX(0,MIN(1000,D132))</f>
        <v>212</v>
      </c>
      <c r="J132" s="7" t="str">
        <f aca="false">IF(c_TPOT&gt;1,IF(c_TTYPE=2,1000-MAX(0,MIN(1000,G132)),MAX(0,MIN(1000,G132))),"")</f>
        <v/>
      </c>
      <c r="K132" s="7" t="n">
        <f aca="false">IF(c_TPOT&gt;1,QUOTIENT(I132+J132,2),I132)</f>
        <v>212</v>
      </c>
      <c r="L132" s="7" t="n">
        <f aca="false">IF(AND(K132=0,c_TCREEP&gt;0),10*c_TCREEP,IF(AND(K132&lt;=c_TRNGMIN,K132&gt;=c_TRNGMAX,c_TRNGMIN-c_TRNGMAX&lt;&gt;0),-10*c_TMINRN+QUOTIENT((c_TMAXRN-c_TMINRN)*(100-QUOTIENT((K132-c_TRNGMAX)*100,c_TRNGMIN-c_TRNGMAX)),-10),0))</f>
        <v>0</v>
      </c>
      <c r="M132" s="7" t="n">
        <f aca="false">IF(((c_TMAP1IN)-(c_TFWD))=0,(0)+QUOTIENT(((c_TMAP1OUT)-(0)),2),QUOTIENT((((K132)-(c_TFWD))*((c_TMAP1OUT)-(0))+IF(((c_TMAP1OUT)-(0))&gt;=0,1,-1)*QUOTIENT(((c_TMAP1IN)-(c_TFWD)),2)),((c_TMAP1IN)-(c_TFWD)))+(0)+IF(((c_TMAP1OUT)-(0))&gt;=0,IF(IF(o_WRAP=1,MOD(((c_TMAP1IN)-(c_TFWD))*(((K132)-(c_TFWD))*((c_TMAP1OUT)-(0))+IF(((c_TMAP1OUT)-(0))&gt;=0,1,-1)*QUOTIENT(((c_TMAP1IN)-(c_TFWD)),2))+2147483648,4294967296)-2147483648,((c_TMAP1IN)-(c_TFWD))*(((K132)-(c_TFWD))*((c_TMAP1OUT)-(0))+IF(((c_TMAP1OUT)-(0))&gt;=0,1,-1)*QUOTIENT(((c_TMAP1IN)-(c_TFWD)),2)))&lt;0,-1,0),IF(IF(o_WRAP=1,MOD(((c_TMAP1IN)-(c_TFWD))*(((K132)-(c_TFWD))*((c_TMAP1OUT)-(0))+IF(((c_TMAP1OUT)-(0))&gt;=0,1,-1)*QUOTIENT(((c_TMAP1IN)-(c_TFWD)),2))+2147483648,4294967296)-2147483648,((c_TMAP1IN)-(c_TFWD))*(((K132)-(c_TFWD))*((c_TMAP1OUT)-(0))+IF(((c_TMAP1OUT)-(0))&gt;=0,1,-1)*QUOTIENT(((c_TMAP1IN)-(c_TFWD)),2)))&gt;=0,1,0)))</f>
        <v>157</v>
      </c>
      <c r="N132" s="7" t="n">
        <f aca="false">IF(((c_TMAP2IN)-(c_TMAP1IN))=0,(c_TMAP1OUT)+QUOTIENT(((c_TMAP2OUT)-(c_TMAP1OUT)),2),QUOTIENT((((K132)-(c_TMAP1IN))*((c_TMAP2OUT)-(c_TMAP1OUT))+IF(((c_TMAP2OUT)-(c_TMAP1OUT))&gt;=0,1,-1)*QUOTIENT(((c_TMAP2IN)-(c_TMAP1IN)),2)),((c_TMAP2IN)-(c_TMAP1IN)))+(c_TMAP1OUT)+IF(((c_TMAP2OUT)-(c_TMAP1OUT))&gt;=0,IF(IF(o_WRAP=1,MOD(((c_TMAP2IN)-(c_TMAP1IN))*(((K132)-(c_TMAP1IN))*((c_TMAP2OUT)-(c_TMAP1OUT))+IF(((c_TMAP2OUT)-(c_TMAP1OUT))&gt;=0,1,-1)*QUOTIENT(((c_TMAP2IN)-(c_TMAP1IN)),2))+2147483648,4294967296)-2147483648,((c_TMAP2IN)-(c_TMAP1IN))*(((K132)-(c_TMAP1IN))*((c_TMAP2OUT)-(c_TMAP1OUT))+IF(((c_TMAP2OUT)-(c_TMAP1OUT))&gt;=0,1,-1)*QUOTIENT(((c_TMAP2IN)-(c_TMAP1IN)),2)))&lt;0,-1,0),IF(IF(o_WRAP=1,MOD(((c_TMAP2IN)-(c_TMAP1IN))*(((K132)-(c_TMAP1IN))*((c_TMAP2OUT)-(c_TMAP1OUT))+IF(((c_TMAP2OUT)-(c_TMAP1OUT))&gt;=0,1,-1)*QUOTIENT(((c_TMAP2IN)-(c_TMAP1IN)),2))+2147483648,4294967296)-2147483648,((c_TMAP2IN)-(c_TMAP1IN))*(((K132)-(c_TMAP1IN))*((c_TMAP2OUT)-(c_TMAP1OUT))+IF(((c_TMAP2OUT)-(c_TMAP1OUT))&gt;=0,1,-1)*QUOTIENT(((c_TMAP2IN)-(c_TMAP1IN)),2)))&gt;=0,1,0)))</f>
        <v>115</v>
      </c>
      <c r="O132" s="7" t="n">
        <f aca="false">IF(((c_TMAP3IN)-(c_TMAP2IN))=0,(c_TMAP2OUT)+QUOTIENT(((c_TMAP3OUT)-(c_TMAP2OUT)),2),QUOTIENT((((K132)-(c_TMAP2IN))*((c_TMAP3OUT)-(c_TMAP2OUT))+IF(((c_TMAP3OUT)-(c_TMAP2OUT))&gt;=0,1,-1)*QUOTIENT(((c_TMAP3IN)-(c_TMAP2IN)),2)),((c_TMAP3IN)-(c_TMAP2IN)))+(c_TMAP2OUT)+IF(((c_TMAP3OUT)-(c_TMAP2OUT))&gt;=0,IF(IF(o_WRAP=1,MOD(((c_TMAP3IN)-(c_TMAP2IN))*(((K132)-(c_TMAP2IN))*((c_TMAP3OUT)-(c_TMAP2OUT))+IF(((c_TMAP3OUT)-(c_TMAP2OUT))&gt;=0,1,-1)*QUOTIENT(((c_TMAP3IN)-(c_TMAP2IN)),2))+2147483648,4294967296)-2147483648,((c_TMAP3IN)-(c_TMAP2IN))*(((K132)-(c_TMAP2IN))*((c_TMAP3OUT)-(c_TMAP2OUT))+IF(((c_TMAP3OUT)-(c_TMAP2OUT))&gt;=0,1,-1)*QUOTIENT(((c_TMAP3IN)-(c_TMAP2IN)),2)))&lt;0,-1,0),IF(IF(o_WRAP=1,MOD(((c_TMAP3IN)-(c_TMAP2IN))*(((K132)-(c_TMAP2IN))*((c_TMAP3OUT)-(c_TMAP2OUT))+IF(((c_TMAP3OUT)-(c_TMAP2OUT))&gt;=0,1,-1)*QUOTIENT(((c_TMAP3IN)-(c_TMAP2IN)),2))+2147483648,4294967296)-2147483648,((c_TMAP3IN)-(c_TMAP2IN))*(((K132)-(c_TMAP2IN))*((c_TMAP3OUT)-(c_TMAP2OUT))+IF(((c_TMAP3OUT)-(c_TMAP2OUT))&gt;=0,1,-1)*QUOTIENT(((c_TMAP3IN)-(c_TMAP2IN)),2)))&gt;=0,1,0)))</f>
        <v>103</v>
      </c>
      <c r="P132" s="7" t="n">
        <f aca="false">IF(((1000)-(c_TMAP3IN))=0,(c_TMAP3OUT)+QUOTIENT(((1000)-(c_TMAP3OUT)),2),QUOTIENT((((K132)-(c_TMAP3IN))*((1000)-(c_TMAP3OUT))+IF(((1000)-(c_TMAP3OUT))&gt;=0,1,-1)*QUOTIENT(((1000)-(c_TMAP3IN)),2)),((1000)-(c_TMAP3IN)))+(c_TMAP3OUT)+IF(((1000)-(c_TMAP3OUT))&gt;=0,IF(IF(o_WRAP=1,MOD(((1000)-(c_TMAP3IN))*(((K132)-(c_TMAP3IN))*((1000)-(c_TMAP3OUT))+IF(((1000)-(c_TMAP3OUT))&gt;=0,1,-1)*QUOTIENT(((1000)-(c_TMAP3IN)),2))+2147483648,4294967296)-2147483648,((1000)-(c_TMAP3IN))*(((K132)-(c_TMAP3IN))*((1000)-(c_TMAP3OUT))+IF(((1000)-(c_TMAP3OUT))&gt;=0,1,-1)*QUOTIENT(((1000)-(c_TMAP3IN)),2)))&lt;0,-1,0),IF(IF(o_WRAP=1,MOD(((1000)-(c_TMAP3IN))*(((K132)-(c_TMAP3IN))*((1000)-(c_TMAP3OUT))+IF(((1000)-(c_TMAP3OUT))&gt;=0,1,-1)*QUOTIENT(((1000)-(c_TMAP3IN)),2))+2147483648,4294967296)-2147483648,((1000)-(c_TMAP3IN))*(((K132)-(c_TMAP3IN))*((1000)-(c_TMAP3OUT))+IF(((1000)-(c_TMAP3OUT))&gt;=0,1,-1)*QUOTIENT(((1000)-(c_TMAP3IN)),2)))&gt;=0,1,0)))</f>
        <v>30</v>
      </c>
      <c r="Q132" s="7" t="str">
        <f aca="false">IF(K132&gt;=c_TFWD,IF(AND(K132&gt;=c_TMAP3IN,c_TMAP3IN&lt;1000),"Seg4 map3-100%",IF(AND(K132&gt;=c_TMAP2IN,c_TMAP3IN&gt;c_TMAP2IN),"Seg3 map2-map3",IF(AND(K132&gt;=c_TMAP1IN,c_TMAP2IN&gt;c_TMAP1IN),"Seg2 map1-map2","Seg1 TFWD-map1"))),IF(AND(K132=0,c_TCREEP&gt;0),"Creep",IF(AND(K132&lt;=c_TRNGMIN,K132&gt;=c_TRNGMAX,c_TRNGMIN-c_TRNGMAX&lt;&gt;0),"Regen ramp","Coast (0)")))</f>
        <v>Seg2 map1-map2</v>
      </c>
      <c r="R132" s="7" t="n">
        <f aca="false">IF(K132&gt;=c_TFWD,IF(AND(K132&gt;=c_TMAP3IN,c_TMAP3IN&lt;1000),P132,IF(AND(K132&gt;=c_TMAP2IN,c_TMAP3IN&gt;c_TMAP2IN),O132,IF(AND(K132&gt;=c_TMAP1IN,c_TMAP2IN&gt;c_TMAP1IN),N132,M132))),L132)</f>
        <v>115</v>
      </c>
      <c r="S132" s="7" t="str">
        <f aca="false">IF(R132&lt;-1090,"TOO LOW",IF(R132&gt;1090,"TOO HIGH",""))</f>
        <v/>
      </c>
      <c r="T132" s="15" t="n">
        <f aca="false">IF(H132&lt;&gt;"OK",0,IF(S132&lt;&gt;"",0,IF(R132&gt;979,1000,R132)))</f>
        <v>115</v>
      </c>
      <c r="U132" s="7" t="n">
        <f aca="false">T132/10</f>
        <v>11.5</v>
      </c>
    </row>
    <row r="133" customFormat="false" ht="15" hidden="false" customHeight="false" outlineLevel="0" collapsed="false">
      <c r="A133" s="7" t="n">
        <v>128</v>
      </c>
      <c r="B133" s="7" t="n">
        <f aca="false">ROUND(o_SWSTART+A133*(o_SWEND-o_SWSTART)/400,0)</f>
        <v>1310</v>
      </c>
      <c r="C133" s="7" t="n">
        <f aca="false">QUOTIENT((B133-c_OFF1)*c_GAIN1,1024)</f>
        <v>1310</v>
      </c>
      <c r="D133" s="7" t="n">
        <f aca="false">IF(((c_T1MX)-(c_T1MN))=0,(0)+QUOTIENT(((1000)-(0)),2),QUOTIENT((((C133)-(c_T1MN))*((1000)-(0))+IF(((1000)-(0))&gt;=0,1,-1)*QUOTIENT(((c_T1MX)-(c_T1MN)),2)),((c_T1MX)-(c_T1MN)))+(0)+IF(((1000)-(0))&gt;=0,IF(IF(o_WRAP=1,MOD(((c_T1MX)-(c_T1MN))*(((C133)-(c_T1MN))*((1000)-(0))+IF(((1000)-(0))&gt;=0,1,-1)*QUOTIENT(((c_T1MX)-(c_T1MN)),2))+2147483648,4294967296)-2147483648,((c_T1MX)-(c_T1MN))*(((C133)-(c_T1MN))*((1000)-(0))+IF(((1000)-(0))&gt;=0,1,-1)*QUOTIENT(((c_T1MX)-(c_T1MN)),2)))&lt;0,-1,0),IF(IF(o_WRAP=1,MOD(((c_T1MX)-(c_T1MN))*(((C133)-(c_T1MN))*((1000)-(0))+IF(((1000)-(0))&gt;=0,1,-1)*QUOTIENT(((c_T1MX)-(c_T1MN)),2))+2147483648,4294967296)-2147483648,((c_T1MX)-(c_T1MN))*(((C133)-(c_T1MN))*((1000)-(0))+IF(((1000)-(0))&gt;=0,1,-1)*QUOTIENT(((c_T1MX)-(c_T1MN)),2)))&gt;=0,1,0)))</f>
        <v>215</v>
      </c>
      <c r="E133" s="7" t="n">
        <f aca="false">IF(AND(c_TPOT=1,c_TTYPE=2),1000-D133,D133)</f>
        <v>215</v>
      </c>
      <c r="F133" s="7" t="str">
        <f aca="false">IF(c_TPOT&gt;1,ROUND(IF(c_TTYPE=2,c_T2MX-IF(c_T1MX=c_T1MN,0,(C133-c_T1MN)/(c_T1MX-c_T1MN))*(c_T2MX-c_T2MN),c_T2MN+IF(c_T1MX=c_T1MN,0,(C133-c_T1MN)/(c_T1MX-c_T1MN))*(c_T2MX-c_T2MN))+o_MISMATCH,0),"")</f>
        <v/>
      </c>
      <c r="G133" s="7" t="str">
        <f aca="false">IF(c_TPOT&gt;1,IF(((c_T2MX)-(c_T2MN))=0,(0)+QUOTIENT(((1000)-(0)),2),QUOTIENT((((F133)-(c_T2MN))*((1000)-(0))+IF(((1000)-(0))&gt;=0,1,-1)*QUOTIENT(((c_T2MX)-(c_T2MN)),2)),((c_T2MX)-(c_T2MN)))+(0)+IF(((1000)-(0))&gt;=0,IF(IF(o_WRAP=1,MOD(((c_T2MX)-(c_T2MN))*(((F133)-(c_T2MN))*((1000)-(0))+IF(((1000)-(0))&gt;=0,1,-1)*QUOTIENT(((c_T2MX)-(c_T2MN)),2))+2147483648,4294967296)-2147483648,((c_T2MX)-(c_T2MN))*(((F133)-(c_T2MN))*((1000)-(0))+IF(((1000)-(0))&gt;=0,1,-1)*QUOTIENT(((c_T2MX)-(c_T2MN)),2)))&lt;0,-1,0),IF(IF(o_WRAP=1,MOD(((c_T2MX)-(c_T2MN))*(((F133)-(c_T2MN))*((1000)-(0))+IF(((1000)-(0))&gt;=0,1,-1)*QUOTIENT(((c_T2MX)-(c_T2MN)),2))+2147483648,4294967296)-2147483648,((c_T2MX)-(c_T2MN))*(((F133)-(c_T2MN))*((1000)-(0))+IF(((1000)-(0))&gt;=0,1,-1)*QUOTIENT(((c_T2MX)-(c_T2MN)),2)))&gt;=0,1,0))),"")</f>
        <v/>
      </c>
      <c r="H133" s="7" t="str">
        <f aca="false">IF(E133&gt;1000+k_TOL,"T1 HIGH",IF(E133&lt;0-k_TOL,"T1 LOW",IF(c_TPOT&gt;1,IF(G133&gt;1000+k_TOL,"T2 HIGH",IF(G133&lt;0-k_TOL,"T2 LOW",IF(c_TTYPE=2,IF(ABS(1000-MAX(0,MIN(1000,E133))-MAX(0,MIN(1000,G133)))&gt;k_MAXERR,"MISMATCH","OK"),IF(OR(MAX(0,MIN(1000,E133))-k_MAXERR&gt;MAX(0,MIN(1000,G133)),MAX(0,MIN(1000,G133))-k_MAXERR&gt;MAX(0,MIN(1000,E133))),"MISMATCH","OK")))),"OK")))</f>
        <v>OK</v>
      </c>
      <c r="I133" s="7" t="n">
        <f aca="false">MAX(0,MIN(1000,D133))</f>
        <v>215</v>
      </c>
      <c r="J133" s="7" t="str">
        <f aca="false">IF(c_TPOT&gt;1,IF(c_TTYPE=2,1000-MAX(0,MIN(1000,G133)),MAX(0,MIN(1000,G133))),"")</f>
        <v/>
      </c>
      <c r="K133" s="7" t="n">
        <f aca="false">IF(c_TPOT&gt;1,QUOTIENT(I133+J133,2),I133)</f>
        <v>215</v>
      </c>
      <c r="L133" s="7" t="n">
        <f aca="false">IF(AND(K133=0,c_TCREEP&gt;0),10*c_TCREEP,IF(AND(K133&lt;=c_TRNGMIN,K133&gt;=c_TRNGMAX,c_TRNGMIN-c_TRNGMAX&lt;&gt;0),-10*c_TMINRN+QUOTIENT((c_TMAXRN-c_TMINRN)*(100-QUOTIENT((K133-c_TRNGMAX)*100,c_TRNGMIN-c_TRNGMAX)),-10),0))</f>
        <v>0</v>
      </c>
      <c r="M133" s="7" t="n">
        <f aca="false">IF(((c_TMAP1IN)-(c_TFWD))=0,(0)+QUOTIENT(((c_TMAP1OUT)-(0)),2),QUOTIENT((((K133)-(c_TFWD))*((c_TMAP1OUT)-(0))+IF(((c_TMAP1OUT)-(0))&gt;=0,1,-1)*QUOTIENT(((c_TMAP1IN)-(c_TFWD)),2)),((c_TMAP1IN)-(c_TFWD)))+(0)+IF(((c_TMAP1OUT)-(0))&gt;=0,IF(IF(o_WRAP=1,MOD(((c_TMAP1IN)-(c_TFWD))*(((K133)-(c_TFWD))*((c_TMAP1OUT)-(0))+IF(((c_TMAP1OUT)-(0))&gt;=0,1,-1)*QUOTIENT(((c_TMAP1IN)-(c_TFWD)),2))+2147483648,4294967296)-2147483648,((c_TMAP1IN)-(c_TFWD))*(((K133)-(c_TFWD))*((c_TMAP1OUT)-(0))+IF(((c_TMAP1OUT)-(0))&gt;=0,1,-1)*QUOTIENT(((c_TMAP1IN)-(c_TFWD)),2)))&lt;0,-1,0),IF(IF(o_WRAP=1,MOD(((c_TMAP1IN)-(c_TFWD))*(((K133)-(c_TFWD))*((c_TMAP1OUT)-(0))+IF(((c_TMAP1OUT)-(0))&gt;=0,1,-1)*QUOTIENT(((c_TMAP1IN)-(c_TFWD)),2))+2147483648,4294967296)-2147483648,((c_TMAP1IN)-(c_TFWD))*(((K133)-(c_TFWD))*((c_TMAP1OUT)-(0))+IF(((c_TMAP1OUT)-(0))&gt;=0,1,-1)*QUOTIENT(((c_TMAP1IN)-(c_TFWD)),2)))&gt;=0,1,0)))</f>
        <v>159</v>
      </c>
      <c r="N133" s="7" t="n">
        <f aca="false">IF(((c_TMAP2IN)-(c_TMAP1IN))=0,(c_TMAP1OUT)+QUOTIENT(((c_TMAP2OUT)-(c_TMAP1OUT)),2),QUOTIENT((((K133)-(c_TMAP1IN))*((c_TMAP2OUT)-(c_TMAP1OUT))+IF(((c_TMAP2OUT)-(c_TMAP1OUT))&gt;=0,1,-1)*QUOTIENT(((c_TMAP2IN)-(c_TMAP1IN)),2)),((c_TMAP2IN)-(c_TMAP1IN)))+(c_TMAP1OUT)+IF(((c_TMAP2OUT)-(c_TMAP1OUT))&gt;=0,IF(IF(o_WRAP=1,MOD(((c_TMAP2IN)-(c_TMAP1IN))*(((K133)-(c_TMAP1IN))*((c_TMAP2OUT)-(c_TMAP1OUT))+IF(((c_TMAP2OUT)-(c_TMAP1OUT))&gt;=0,1,-1)*QUOTIENT(((c_TMAP2IN)-(c_TMAP1IN)),2))+2147483648,4294967296)-2147483648,((c_TMAP2IN)-(c_TMAP1IN))*(((K133)-(c_TMAP1IN))*((c_TMAP2OUT)-(c_TMAP1OUT))+IF(((c_TMAP2OUT)-(c_TMAP1OUT))&gt;=0,1,-1)*QUOTIENT(((c_TMAP2IN)-(c_TMAP1IN)),2)))&lt;0,-1,0),IF(IF(o_WRAP=1,MOD(((c_TMAP2IN)-(c_TMAP1IN))*(((K133)-(c_TMAP1IN))*((c_TMAP2OUT)-(c_TMAP1OUT))+IF(((c_TMAP2OUT)-(c_TMAP1OUT))&gt;=0,1,-1)*QUOTIENT(((c_TMAP2IN)-(c_TMAP1IN)),2))+2147483648,4294967296)-2147483648,((c_TMAP2IN)-(c_TMAP1IN))*(((K133)-(c_TMAP1IN))*((c_TMAP2OUT)-(c_TMAP1OUT))+IF(((c_TMAP2OUT)-(c_TMAP1OUT))&gt;=0,1,-1)*QUOTIENT(((c_TMAP2IN)-(c_TMAP1IN)),2)))&gt;=0,1,0)))</f>
        <v>116</v>
      </c>
      <c r="O133" s="7" t="n">
        <f aca="false">IF(((c_TMAP3IN)-(c_TMAP2IN))=0,(c_TMAP2OUT)+QUOTIENT(((c_TMAP3OUT)-(c_TMAP2OUT)),2),QUOTIENT((((K133)-(c_TMAP2IN))*((c_TMAP3OUT)-(c_TMAP2OUT))+IF(((c_TMAP3OUT)-(c_TMAP2OUT))&gt;=0,1,-1)*QUOTIENT(((c_TMAP3IN)-(c_TMAP2IN)),2)),((c_TMAP3IN)-(c_TMAP2IN)))+(c_TMAP2OUT)+IF(((c_TMAP3OUT)-(c_TMAP2OUT))&gt;=0,IF(IF(o_WRAP=1,MOD(((c_TMAP3IN)-(c_TMAP2IN))*(((K133)-(c_TMAP2IN))*((c_TMAP3OUT)-(c_TMAP2OUT))+IF(((c_TMAP3OUT)-(c_TMAP2OUT))&gt;=0,1,-1)*QUOTIENT(((c_TMAP3IN)-(c_TMAP2IN)),2))+2147483648,4294967296)-2147483648,((c_TMAP3IN)-(c_TMAP2IN))*(((K133)-(c_TMAP2IN))*((c_TMAP3OUT)-(c_TMAP2OUT))+IF(((c_TMAP3OUT)-(c_TMAP2OUT))&gt;=0,1,-1)*QUOTIENT(((c_TMAP3IN)-(c_TMAP2IN)),2)))&lt;0,-1,0),IF(IF(o_WRAP=1,MOD(((c_TMAP3IN)-(c_TMAP2IN))*(((K133)-(c_TMAP2IN))*((c_TMAP3OUT)-(c_TMAP2OUT))+IF(((c_TMAP3OUT)-(c_TMAP2OUT))&gt;=0,1,-1)*QUOTIENT(((c_TMAP3IN)-(c_TMAP2IN)),2))+2147483648,4294967296)-2147483648,((c_TMAP3IN)-(c_TMAP2IN))*(((K133)-(c_TMAP2IN))*((c_TMAP3OUT)-(c_TMAP2OUT))+IF(((c_TMAP3OUT)-(c_TMAP2OUT))&gt;=0,1,-1)*QUOTIENT(((c_TMAP3IN)-(c_TMAP2IN)),2)))&gt;=0,1,0)))</f>
        <v>105</v>
      </c>
      <c r="P133" s="7" t="n">
        <f aca="false">IF(((1000)-(c_TMAP3IN))=0,(c_TMAP3OUT)+QUOTIENT(((1000)-(c_TMAP3OUT)),2),QUOTIENT((((K133)-(c_TMAP3IN))*((1000)-(c_TMAP3OUT))+IF(((1000)-(c_TMAP3OUT))&gt;=0,1,-1)*QUOTIENT(((1000)-(c_TMAP3IN)),2)),((1000)-(c_TMAP3IN)))+(c_TMAP3OUT)+IF(((1000)-(c_TMAP3OUT))&gt;=0,IF(IF(o_WRAP=1,MOD(((1000)-(c_TMAP3IN))*(((K133)-(c_TMAP3IN))*((1000)-(c_TMAP3OUT))+IF(((1000)-(c_TMAP3OUT))&gt;=0,1,-1)*QUOTIENT(((1000)-(c_TMAP3IN)),2))+2147483648,4294967296)-2147483648,((1000)-(c_TMAP3IN))*(((K133)-(c_TMAP3IN))*((1000)-(c_TMAP3OUT))+IF(((1000)-(c_TMAP3OUT))&gt;=0,1,-1)*QUOTIENT(((1000)-(c_TMAP3IN)),2)))&lt;0,-1,0),IF(IF(o_WRAP=1,MOD(((1000)-(c_TMAP3IN))*(((K133)-(c_TMAP3IN))*((1000)-(c_TMAP3OUT))+IF(((1000)-(c_TMAP3OUT))&gt;=0,1,-1)*QUOTIENT(((1000)-(c_TMAP3IN)),2))+2147483648,4294967296)-2147483648,((1000)-(c_TMAP3IN))*(((K133)-(c_TMAP3IN))*((1000)-(c_TMAP3OUT))+IF(((1000)-(c_TMAP3OUT))&gt;=0,1,-1)*QUOTIENT(((1000)-(c_TMAP3IN)),2)))&gt;=0,1,0)))</f>
        <v>34</v>
      </c>
      <c r="Q133" s="7" t="str">
        <f aca="false">IF(K133&gt;=c_TFWD,IF(AND(K133&gt;=c_TMAP3IN,c_TMAP3IN&lt;1000),"Seg4 map3-100%",IF(AND(K133&gt;=c_TMAP2IN,c_TMAP3IN&gt;c_TMAP2IN),"Seg3 map2-map3",IF(AND(K133&gt;=c_TMAP1IN,c_TMAP2IN&gt;c_TMAP1IN),"Seg2 map1-map2","Seg1 TFWD-map1"))),IF(AND(K133=0,c_TCREEP&gt;0),"Creep",IF(AND(K133&lt;=c_TRNGMIN,K133&gt;=c_TRNGMAX,c_TRNGMIN-c_TRNGMAX&lt;&gt;0),"Regen ramp","Coast (0)")))</f>
        <v>Seg2 map1-map2</v>
      </c>
      <c r="R133" s="7" t="n">
        <f aca="false">IF(K133&gt;=c_TFWD,IF(AND(K133&gt;=c_TMAP3IN,c_TMAP3IN&lt;1000),P133,IF(AND(K133&gt;=c_TMAP2IN,c_TMAP3IN&gt;c_TMAP2IN),O133,IF(AND(K133&gt;=c_TMAP1IN,c_TMAP2IN&gt;c_TMAP1IN),N133,M133))),L133)</f>
        <v>116</v>
      </c>
      <c r="S133" s="7" t="str">
        <f aca="false">IF(R133&lt;-1090,"TOO LOW",IF(R133&gt;1090,"TOO HIGH",""))</f>
        <v/>
      </c>
      <c r="T133" s="15" t="n">
        <f aca="false">IF(H133&lt;&gt;"OK",0,IF(S133&lt;&gt;"",0,IF(R133&gt;979,1000,R133)))</f>
        <v>116</v>
      </c>
      <c r="U133" s="7" t="n">
        <f aca="false">T133/10</f>
        <v>11.6</v>
      </c>
    </row>
    <row r="134" customFormat="false" ht="15" hidden="false" customHeight="false" outlineLevel="0" collapsed="false">
      <c r="A134" s="7" t="n">
        <v>129</v>
      </c>
      <c r="B134" s="7" t="n">
        <f aca="false">ROUND(o_SWSTART+A134*(o_SWEND-o_SWSTART)/400,0)</f>
        <v>1321</v>
      </c>
      <c r="C134" s="7" t="n">
        <f aca="false">QUOTIENT((B134-c_OFF1)*c_GAIN1,1024)</f>
        <v>1321</v>
      </c>
      <c r="D134" s="7" t="n">
        <f aca="false">IF(((c_T1MX)-(c_T1MN))=0,(0)+QUOTIENT(((1000)-(0)),2),QUOTIENT((((C134)-(c_T1MN))*((1000)-(0))+IF(((1000)-(0))&gt;=0,1,-1)*QUOTIENT(((c_T1MX)-(c_T1MN)),2)),((c_T1MX)-(c_T1MN)))+(0)+IF(((1000)-(0))&gt;=0,IF(IF(o_WRAP=1,MOD(((c_T1MX)-(c_T1MN))*(((C134)-(c_T1MN))*((1000)-(0))+IF(((1000)-(0))&gt;=0,1,-1)*QUOTIENT(((c_T1MX)-(c_T1MN)),2))+2147483648,4294967296)-2147483648,((c_T1MX)-(c_T1MN))*(((C134)-(c_T1MN))*((1000)-(0))+IF(((1000)-(0))&gt;=0,1,-1)*QUOTIENT(((c_T1MX)-(c_T1MN)),2)))&lt;0,-1,0),IF(IF(o_WRAP=1,MOD(((c_T1MX)-(c_T1MN))*(((C134)-(c_T1MN))*((1000)-(0))+IF(((1000)-(0))&gt;=0,1,-1)*QUOTIENT(((c_T1MX)-(c_T1MN)),2))+2147483648,4294967296)-2147483648,((c_T1MX)-(c_T1MN))*(((C134)-(c_T1MN))*((1000)-(0))+IF(((1000)-(0))&gt;=0,1,-1)*QUOTIENT(((c_T1MX)-(c_T1MN)),2)))&gt;=0,1,0)))</f>
        <v>219</v>
      </c>
      <c r="E134" s="7" t="n">
        <f aca="false">IF(AND(c_TPOT=1,c_TTYPE=2),1000-D134,D134)</f>
        <v>219</v>
      </c>
      <c r="F134" s="7" t="str">
        <f aca="false">IF(c_TPOT&gt;1,ROUND(IF(c_TTYPE=2,c_T2MX-IF(c_T1MX=c_T1MN,0,(C134-c_T1MN)/(c_T1MX-c_T1MN))*(c_T2MX-c_T2MN),c_T2MN+IF(c_T1MX=c_T1MN,0,(C134-c_T1MN)/(c_T1MX-c_T1MN))*(c_T2MX-c_T2MN))+o_MISMATCH,0),"")</f>
        <v/>
      </c>
      <c r="G134" s="7" t="str">
        <f aca="false">IF(c_TPOT&gt;1,IF(((c_T2MX)-(c_T2MN))=0,(0)+QUOTIENT(((1000)-(0)),2),QUOTIENT((((F134)-(c_T2MN))*((1000)-(0))+IF(((1000)-(0))&gt;=0,1,-1)*QUOTIENT(((c_T2MX)-(c_T2MN)),2)),((c_T2MX)-(c_T2MN)))+(0)+IF(((1000)-(0))&gt;=0,IF(IF(o_WRAP=1,MOD(((c_T2MX)-(c_T2MN))*(((F134)-(c_T2MN))*((1000)-(0))+IF(((1000)-(0))&gt;=0,1,-1)*QUOTIENT(((c_T2MX)-(c_T2MN)),2))+2147483648,4294967296)-2147483648,((c_T2MX)-(c_T2MN))*(((F134)-(c_T2MN))*((1000)-(0))+IF(((1000)-(0))&gt;=0,1,-1)*QUOTIENT(((c_T2MX)-(c_T2MN)),2)))&lt;0,-1,0),IF(IF(o_WRAP=1,MOD(((c_T2MX)-(c_T2MN))*(((F134)-(c_T2MN))*((1000)-(0))+IF(((1000)-(0))&gt;=0,1,-1)*QUOTIENT(((c_T2MX)-(c_T2MN)),2))+2147483648,4294967296)-2147483648,((c_T2MX)-(c_T2MN))*(((F134)-(c_T2MN))*((1000)-(0))+IF(((1000)-(0))&gt;=0,1,-1)*QUOTIENT(((c_T2MX)-(c_T2MN)),2)))&gt;=0,1,0))),"")</f>
        <v/>
      </c>
      <c r="H134" s="7" t="str">
        <f aca="false">IF(E134&gt;1000+k_TOL,"T1 HIGH",IF(E134&lt;0-k_TOL,"T1 LOW",IF(c_TPOT&gt;1,IF(G134&gt;1000+k_TOL,"T2 HIGH",IF(G134&lt;0-k_TOL,"T2 LOW",IF(c_TTYPE=2,IF(ABS(1000-MAX(0,MIN(1000,E134))-MAX(0,MIN(1000,G134)))&gt;k_MAXERR,"MISMATCH","OK"),IF(OR(MAX(0,MIN(1000,E134))-k_MAXERR&gt;MAX(0,MIN(1000,G134)),MAX(0,MIN(1000,G134))-k_MAXERR&gt;MAX(0,MIN(1000,E134))),"MISMATCH","OK")))),"OK")))</f>
        <v>OK</v>
      </c>
      <c r="I134" s="7" t="n">
        <f aca="false">MAX(0,MIN(1000,D134))</f>
        <v>219</v>
      </c>
      <c r="J134" s="7" t="str">
        <f aca="false">IF(c_TPOT&gt;1,IF(c_TTYPE=2,1000-MAX(0,MIN(1000,G134)),MAX(0,MIN(1000,G134))),"")</f>
        <v/>
      </c>
      <c r="K134" s="7" t="n">
        <f aca="false">IF(c_TPOT&gt;1,QUOTIENT(I134+J134,2),I134)</f>
        <v>219</v>
      </c>
      <c r="L134" s="7" t="n">
        <f aca="false">IF(AND(K134=0,c_TCREEP&gt;0),10*c_TCREEP,IF(AND(K134&lt;=c_TRNGMIN,K134&gt;=c_TRNGMAX,c_TRNGMIN-c_TRNGMAX&lt;&gt;0),-10*c_TMINRN+QUOTIENT((c_TMAXRN-c_TMINRN)*(100-QUOTIENT((K134-c_TRNGMAX)*100,c_TRNGMIN-c_TRNGMAX)),-10),0))</f>
        <v>0</v>
      </c>
      <c r="M134" s="7" t="n">
        <f aca="false">IF(((c_TMAP1IN)-(c_TFWD))=0,(0)+QUOTIENT(((c_TMAP1OUT)-(0)),2),QUOTIENT((((K134)-(c_TFWD))*((c_TMAP1OUT)-(0))+IF(((c_TMAP1OUT)-(0))&gt;=0,1,-1)*QUOTIENT(((c_TMAP1IN)-(c_TFWD)),2)),((c_TMAP1IN)-(c_TFWD)))+(0)+IF(((c_TMAP1OUT)-(0))&gt;=0,IF(IF(o_WRAP=1,MOD(((c_TMAP1IN)-(c_TFWD))*(((K134)-(c_TFWD))*((c_TMAP1OUT)-(0))+IF(((c_TMAP1OUT)-(0))&gt;=0,1,-1)*QUOTIENT(((c_TMAP1IN)-(c_TFWD)),2))+2147483648,4294967296)-2147483648,((c_TMAP1IN)-(c_TFWD))*(((K134)-(c_TFWD))*((c_TMAP1OUT)-(0))+IF(((c_TMAP1OUT)-(0))&gt;=0,1,-1)*QUOTIENT(((c_TMAP1IN)-(c_TFWD)),2)))&lt;0,-1,0),IF(IF(o_WRAP=1,MOD(((c_TMAP1IN)-(c_TFWD))*(((K134)-(c_TFWD))*((c_TMAP1OUT)-(0))+IF(((c_TMAP1OUT)-(0))&gt;=0,1,-1)*QUOTIENT(((c_TMAP1IN)-(c_TFWD)),2))+2147483648,4294967296)-2147483648,((c_TMAP1IN)-(c_TFWD))*(((K134)-(c_TFWD))*((c_TMAP1OUT)-(0))+IF(((c_TMAP1OUT)-(0))&gt;=0,1,-1)*QUOTIENT(((c_TMAP1IN)-(c_TFWD)),2)))&gt;=0,1,0)))</f>
        <v>163</v>
      </c>
      <c r="N134" s="7" t="n">
        <f aca="false">IF(((c_TMAP2IN)-(c_TMAP1IN))=0,(c_TMAP1OUT)+QUOTIENT(((c_TMAP2OUT)-(c_TMAP1OUT)),2),QUOTIENT((((K134)-(c_TMAP1IN))*((c_TMAP2OUT)-(c_TMAP1OUT))+IF(((c_TMAP2OUT)-(c_TMAP1OUT))&gt;=0,1,-1)*QUOTIENT(((c_TMAP2IN)-(c_TMAP1IN)),2)),((c_TMAP2IN)-(c_TMAP1IN)))+(c_TMAP1OUT)+IF(((c_TMAP2OUT)-(c_TMAP1OUT))&gt;=0,IF(IF(o_WRAP=1,MOD(((c_TMAP2IN)-(c_TMAP1IN))*(((K134)-(c_TMAP1IN))*((c_TMAP2OUT)-(c_TMAP1OUT))+IF(((c_TMAP2OUT)-(c_TMAP1OUT))&gt;=0,1,-1)*QUOTIENT(((c_TMAP2IN)-(c_TMAP1IN)),2))+2147483648,4294967296)-2147483648,((c_TMAP2IN)-(c_TMAP1IN))*(((K134)-(c_TMAP1IN))*((c_TMAP2OUT)-(c_TMAP1OUT))+IF(((c_TMAP2OUT)-(c_TMAP1OUT))&gt;=0,1,-1)*QUOTIENT(((c_TMAP2IN)-(c_TMAP1IN)),2)))&lt;0,-1,0),IF(IF(o_WRAP=1,MOD(((c_TMAP2IN)-(c_TMAP1IN))*(((K134)-(c_TMAP1IN))*((c_TMAP2OUT)-(c_TMAP1OUT))+IF(((c_TMAP2OUT)-(c_TMAP1OUT))&gt;=0,1,-1)*QUOTIENT(((c_TMAP2IN)-(c_TMAP1IN)),2))+2147483648,4294967296)-2147483648,((c_TMAP2IN)-(c_TMAP1IN))*(((K134)-(c_TMAP1IN))*((c_TMAP2OUT)-(c_TMAP1OUT))+IF(((c_TMAP2OUT)-(c_TMAP1OUT))&gt;=0,1,-1)*QUOTIENT(((c_TMAP2IN)-(c_TMAP1IN)),2)))&gt;=0,1,0)))</f>
        <v>118</v>
      </c>
      <c r="O134" s="7" t="n">
        <f aca="false">IF(((c_TMAP3IN)-(c_TMAP2IN))=0,(c_TMAP2OUT)+QUOTIENT(((c_TMAP3OUT)-(c_TMAP2OUT)),2),QUOTIENT((((K134)-(c_TMAP2IN))*((c_TMAP3OUT)-(c_TMAP2OUT))+IF(((c_TMAP3OUT)-(c_TMAP2OUT))&gt;=0,1,-1)*QUOTIENT(((c_TMAP3IN)-(c_TMAP2IN)),2)),((c_TMAP3IN)-(c_TMAP2IN)))+(c_TMAP2OUT)+IF(((c_TMAP3OUT)-(c_TMAP2OUT))&gt;=0,IF(IF(o_WRAP=1,MOD(((c_TMAP3IN)-(c_TMAP2IN))*(((K134)-(c_TMAP2IN))*((c_TMAP3OUT)-(c_TMAP2OUT))+IF(((c_TMAP3OUT)-(c_TMAP2OUT))&gt;=0,1,-1)*QUOTIENT(((c_TMAP3IN)-(c_TMAP2IN)),2))+2147483648,4294967296)-2147483648,((c_TMAP3IN)-(c_TMAP2IN))*(((K134)-(c_TMAP2IN))*((c_TMAP3OUT)-(c_TMAP2OUT))+IF(((c_TMAP3OUT)-(c_TMAP2OUT))&gt;=0,1,-1)*QUOTIENT(((c_TMAP3IN)-(c_TMAP2IN)),2)))&lt;0,-1,0),IF(IF(o_WRAP=1,MOD(((c_TMAP3IN)-(c_TMAP2IN))*(((K134)-(c_TMAP2IN))*((c_TMAP3OUT)-(c_TMAP2OUT))+IF(((c_TMAP3OUT)-(c_TMAP2OUT))&gt;=0,1,-1)*QUOTIENT(((c_TMAP3IN)-(c_TMAP2IN)),2))+2147483648,4294967296)-2147483648,((c_TMAP3IN)-(c_TMAP2IN))*(((K134)-(c_TMAP2IN))*((c_TMAP3OUT)-(c_TMAP2OUT))+IF(((c_TMAP3OUT)-(c_TMAP2OUT))&gt;=0,1,-1)*QUOTIENT(((c_TMAP3IN)-(c_TMAP2IN)),2)))&gt;=0,1,0)))</f>
        <v>108</v>
      </c>
      <c r="P134" s="7" t="n">
        <f aca="false">IF(((1000)-(c_TMAP3IN))=0,(c_TMAP3OUT)+QUOTIENT(((1000)-(c_TMAP3OUT)),2),QUOTIENT((((K134)-(c_TMAP3IN))*((1000)-(c_TMAP3OUT))+IF(((1000)-(c_TMAP3OUT))&gt;=0,1,-1)*QUOTIENT(((1000)-(c_TMAP3IN)),2)),((1000)-(c_TMAP3IN)))+(c_TMAP3OUT)+IF(((1000)-(c_TMAP3OUT))&gt;=0,IF(IF(o_WRAP=1,MOD(((1000)-(c_TMAP3IN))*(((K134)-(c_TMAP3IN))*((1000)-(c_TMAP3OUT))+IF(((1000)-(c_TMAP3OUT))&gt;=0,1,-1)*QUOTIENT(((1000)-(c_TMAP3IN)),2))+2147483648,4294967296)-2147483648,((1000)-(c_TMAP3IN))*(((K134)-(c_TMAP3IN))*((1000)-(c_TMAP3OUT))+IF(((1000)-(c_TMAP3OUT))&gt;=0,1,-1)*QUOTIENT(((1000)-(c_TMAP3IN)),2)))&lt;0,-1,0),IF(IF(o_WRAP=1,MOD(((1000)-(c_TMAP3IN))*(((K134)-(c_TMAP3IN))*((1000)-(c_TMAP3OUT))+IF(((1000)-(c_TMAP3OUT))&gt;=0,1,-1)*QUOTIENT(((1000)-(c_TMAP3IN)),2))+2147483648,4294967296)-2147483648,((1000)-(c_TMAP3IN))*(((K134)-(c_TMAP3IN))*((1000)-(c_TMAP3OUT))+IF(((1000)-(c_TMAP3OUT))&gt;=0,1,-1)*QUOTIENT(((1000)-(c_TMAP3IN)),2)))&gt;=0,1,0)))</f>
        <v>39</v>
      </c>
      <c r="Q134" s="7" t="str">
        <f aca="false">IF(K134&gt;=c_TFWD,IF(AND(K134&gt;=c_TMAP3IN,c_TMAP3IN&lt;1000),"Seg4 map3-100%",IF(AND(K134&gt;=c_TMAP2IN,c_TMAP3IN&gt;c_TMAP2IN),"Seg3 map2-map3",IF(AND(K134&gt;=c_TMAP1IN,c_TMAP2IN&gt;c_TMAP1IN),"Seg2 map1-map2","Seg1 TFWD-map1"))),IF(AND(K134=0,c_TCREEP&gt;0),"Creep",IF(AND(K134&lt;=c_TRNGMIN,K134&gt;=c_TRNGMAX,c_TRNGMIN-c_TRNGMAX&lt;&gt;0),"Regen ramp","Coast (0)")))</f>
        <v>Seg2 map1-map2</v>
      </c>
      <c r="R134" s="7" t="n">
        <f aca="false">IF(K134&gt;=c_TFWD,IF(AND(K134&gt;=c_TMAP3IN,c_TMAP3IN&lt;1000),P134,IF(AND(K134&gt;=c_TMAP2IN,c_TMAP3IN&gt;c_TMAP2IN),O134,IF(AND(K134&gt;=c_TMAP1IN,c_TMAP2IN&gt;c_TMAP1IN),N134,M134))),L134)</f>
        <v>118</v>
      </c>
      <c r="S134" s="7" t="str">
        <f aca="false">IF(R134&lt;-1090,"TOO LOW",IF(R134&gt;1090,"TOO HIGH",""))</f>
        <v/>
      </c>
      <c r="T134" s="15" t="n">
        <f aca="false">IF(H134&lt;&gt;"OK",0,IF(S134&lt;&gt;"",0,IF(R134&gt;979,1000,R134)))</f>
        <v>118</v>
      </c>
      <c r="U134" s="7" t="n">
        <f aca="false">T134/10</f>
        <v>11.8</v>
      </c>
    </row>
    <row r="135" customFormat="false" ht="15" hidden="false" customHeight="false" outlineLevel="0" collapsed="false">
      <c r="A135" s="7" t="n">
        <v>130</v>
      </c>
      <c r="B135" s="7" t="n">
        <f aca="false">ROUND(o_SWSTART+A135*(o_SWEND-o_SWSTART)/400,0)</f>
        <v>1331</v>
      </c>
      <c r="C135" s="7" t="n">
        <f aca="false">QUOTIENT((B135-c_OFF1)*c_GAIN1,1024)</f>
        <v>1331</v>
      </c>
      <c r="D135" s="7" t="n">
        <f aca="false">IF(((c_T1MX)-(c_T1MN))=0,(0)+QUOTIENT(((1000)-(0)),2),QUOTIENT((((C135)-(c_T1MN))*((1000)-(0))+IF(((1000)-(0))&gt;=0,1,-1)*QUOTIENT(((c_T1MX)-(c_T1MN)),2)),((c_T1MX)-(c_T1MN)))+(0)+IF(((1000)-(0))&gt;=0,IF(IF(o_WRAP=1,MOD(((c_T1MX)-(c_T1MN))*(((C135)-(c_T1MN))*((1000)-(0))+IF(((1000)-(0))&gt;=0,1,-1)*QUOTIENT(((c_T1MX)-(c_T1MN)),2))+2147483648,4294967296)-2147483648,((c_T1MX)-(c_T1MN))*(((C135)-(c_T1MN))*((1000)-(0))+IF(((1000)-(0))&gt;=0,1,-1)*QUOTIENT(((c_T1MX)-(c_T1MN)),2)))&lt;0,-1,0),IF(IF(o_WRAP=1,MOD(((c_T1MX)-(c_T1MN))*(((C135)-(c_T1MN))*((1000)-(0))+IF(((1000)-(0))&gt;=0,1,-1)*QUOTIENT(((c_T1MX)-(c_T1MN)),2))+2147483648,4294967296)-2147483648,((c_T1MX)-(c_T1MN))*(((C135)-(c_T1MN))*((1000)-(0))+IF(((1000)-(0))&gt;=0,1,-1)*QUOTIENT(((c_T1MX)-(c_T1MN)),2)))&gt;=0,1,0)))</f>
        <v>223</v>
      </c>
      <c r="E135" s="7" t="n">
        <f aca="false">IF(AND(c_TPOT=1,c_TTYPE=2),1000-D135,D135)</f>
        <v>223</v>
      </c>
      <c r="F135" s="7" t="str">
        <f aca="false">IF(c_TPOT&gt;1,ROUND(IF(c_TTYPE=2,c_T2MX-IF(c_T1MX=c_T1MN,0,(C135-c_T1MN)/(c_T1MX-c_T1MN))*(c_T2MX-c_T2MN),c_T2MN+IF(c_T1MX=c_T1MN,0,(C135-c_T1MN)/(c_T1MX-c_T1MN))*(c_T2MX-c_T2MN))+o_MISMATCH,0),"")</f>
        <v/>
      </c>
      <c r="G135" s="7" t="str">
        <f aca="false">IF(c_TPOT&gt;1,IF(((c_T2MX)-(c_T2MN))=0,(0)+QUOTIENT(((1000)-(0)),2),QUOTIENT((((F135)-(c_T2MN))*((1000)-(0))+IF(((1000)-(0))&gt;=0,1,-1)*QUOTIENT(((c_T2MX)-(c_T2MN)),2)),((c_T2MX)-(c_T2MN)))+(0)+IF(((1000)-(0))&gt;=0,IF(IF(o_WRAP=1,MOD(((c_T2MX)-(c_T2MN))*(((F135)-(c_T2MN))*((1000)-(0))+IF(((1000)-(0))&gt;=0,1,-1)*QUOTIENT(((c_T2MX)-(c_T2MN)),2))+2147483648,4294967296)-2147483648,((c_T2MX)-(c_T2MN))*(((F135)-(c_T2MN))*((1000)-(0))+IF(((1000)-(0))&gt;=0,1,-1)*QUOTIENT(((c_T2MX)-(c_T2MN)),2)))&lt;0,-1,0),IF(IF(o_WRAP=1,MOD(((c_T2MX)-(c_T2MN))*(((F135)-(c_T2MN))*((1000)-(0))+IF(((1000)-(0))&gt;=0,1,-1)*QUOTIENT(((c_T2MX)-(c_T2MN)),2))+2147483648,4294967296)-2147483648,((c_T2MX)-(c_T2MN))*(((F135)-(c_T2MN))*((1000)-(0))+IF(((1000)-(0))&gt;=0,1,-1)*QUOTIENT(((c_T2MX)-(c_T2MN)),2)))&gt;=0,1,0))),"")</f>
        <v/>
      </c>
      <c r="H135" s="7" t="str">
        <f aca="false">IF(E135&gt;1000+k_TOL,"T1 HIGH",IF(E135&lt;0-k_TOL,"T1 LOW",IF(c_TPOT&gt;1,IF(G135&gt;1000+k_TOL,"T2 HIGH",IF(G135&lt;0-k_TOL,"T2 LOW",IF(c_TTYPE=2,IF(ABS(1000-MAX(0,MIN(1000,E135))-MAX(0,MIN(1000,G135)))&gt;k_MAXERR,"MISMATCH","OK"),IF(OR(MAX(0,MIN(1000,E135))-k_MAXERR&gt;MAX(0,MIN(1000,G135)),MAX(0,MIN(1000,G135))-k_MAXERR&gt;MAX(0,MIN(1000,E135))),"MISMATCH","OK")))),"OK")))</f>
        <v>OK</v>
      </c>
      <c r="I135" s="7" t="n">
        <f aca="false">MAX(0,MIN(1000,D135))</f>
        <v>223</v>
      </c>
      <c r="J135" s="7" t="str">
        <f aca="false">IF(c_TPOT&gt;1,IF(c_TTYPE=2,1000-MAX(0,MIN(1000,G135)),MAX(0,MIN(1000,G135))),"")</f>
        <v/>
      </c>
      <c r="K135" s="7" t="n">
        <f aca="false">IF(c_TPOT&gt;1,QUOTIENT(I135+J135,2),I135)</f>
        <v>223</v>
      </c>
      <c r="L135" s="7" t="n">
        <f aca="false">IF(AND(K135=0,c_TCREEP&gt;0),10*c_TCREEP,IF(AND(K135&lt;=c_TRNGMIN,K135&gt;=c_TRNGMAX,c_TRNGMIN-c_TRNGMAX&lt;&gt;0),-10*c_TMINRN+QUOTIENT((c_TMAXRN-c_TMINRN)*(100-QUOTIENT((K135-c_TRNGMAX)*100,c_TRNGMIN-c_TRNGMAX)),-10),0))</f>
        <v>0</v>
      </c>
      <c r="M135" s="7" t="n">
        <f aca="false">IF(((c_TMAP1IN)-(c_TFWD))=0,(0)+QUOTIENT(((c_TMAP1OUT)-(0)),2),QUOTIENT((((K135)-(c_TFWD))*((c_TMAP1OUT)-(0))+IF(((c_TMAP1OUT)-(0))&gt;=0,1,-1)*QUOTIENT(((c_TMAP1IN)-(c_TFWD)),2)),((c_TMAP1IN)-(c_TFWD)))+(0)+IF(((c_TMAP1OUT)-(0))&gt;=0,IF(IF(o_WRAP=1,MOD(((c_TMAP1IN)-(c_TFWD))*(((K135)-(c_TFWD))*((c_TMAP1OUT)-(0))+IF(((c_TMAP1OUT)-(0))&gt;=0,1,-1)*QUOTIENT(((c_TMAP1IN)-(c_TFWD)),2))+2147483648,4294967296)-2147483648,((c_TMAP1IN)-(c_TFWD))*(((K135)-(c_TFWD))*((c_TMAP1OUT)-(0))+IF(((c_TMAP1OUT)-(0))&gt;=0,1,-1)*QUOTIENT(((c_TMAP1IN)-(c_TFWD)),2)))&lt;0,-1,0),IF(IF(o_WRAP=1,MOD(((c_TMAP1IN)-(c_TFWD))*(((K135)-(c_TFWD))*((c_TMAP1OUT)-(0))+IF(((c_TMAP1OUT)-(0))&gt;=0,1,-1)*QUOTIENT(((c_TMAP1IN)-(c_TFWD)),2))+2147483648,4294967296)-2147483648,((c_TMAP1IN)-(c_TFWD))*(((K135)-(c_TFWD))*((c_TMAP1OUT)-(0))+IF(((c_TMAP1OUT)-(0))&gt;=0,1,-1)*QUOTIENT(((c_TMAP1IN)-(c_TFWD)),2)))&gt;=0,1,0)))</f>
        <v>166</v>
      </c>
      <c r="N135" s="7" t="n">
        <f aca="false">IF(((c_TMAP2IN)-(c_TMAP1IN))=0,(c_TMAP1OUT)+QUOTIENT(((c_TMAP2OUT)-(c_TMAP1OUT)),2),QUOTIENT((((K135)-(c_TMAP1IN))*((c_TMAP2OUT)-(c_TMAP1OUT))+IF(((c_TMAP2OUT)-(c_TMAP1OUT))&gt;=0,1,-1)*QUOTIENT(((c_TMAP2IN)-(c_TMAP1IN)),2)),((c_TMAP2IN)-(c_TMAP1IN)))+(c_TMAP1OUT)+IF(((c_TMAP2OUT)-(c_TMAP1OUT))&gt;=0,IF(IF(o_WRAP=1,MOD(((c_TMAP2IN)-(c_TMAP1IN))*(((K135)-(c_TMAP1IN))*((c_TMAP2OUT)-(c_TMAP1OUT))+IF(((c_TMAP2OUT)-(c_TMAP1OUT))&gt;=0,1,-1)*QUOTIENT(((c_TMAP2IN)-(c_TMAP1IN)),2))+2147483648,4294967296)-2147483648,((c_TMAP2IN)-(c_TMAP1IN))*(((K135)-(c_TMAP1IN))*((c_TMAP2OUT)-(c_TMAP1OUT))+IF(((c_TMAP2OUT)-(c_TMAP1OUT))&gt;=0,1,-1)*QUOTIENT(((c_TMAP2IN)-(c_TMAP1IN)),2)))&lt;0,-1,0),IF(IF(o_WRAP=1,MOD(((c_TMAP2IN)-(c_TMAP1IN))*(((K135)-(c_TMAP1IN))*((c_TMAP2OUT)-(c_TMAP1OUT))+IF(((c_TMAP2OUT)-(c_TMAP1OUT))&gt;=0,1,-1)*QUOTIENT(((c_TMAP2IN)-(c_TMAP1IN)),2))+2147483648,4294967296)-2147483648,((c_TMAP2IN)-(c_TMAP1IN))*(((K135)-(c_TMAP1IN))*((c_TMAP2OUT)-(c_TMAP1OUT))+IF(((c_TMAP2OUT)-(c_TMAP1OUT))&gt;=0,1,-1)*QUOTIENT(((c_TMAP2IN)-(c_TMAP1IN)),2)))&gt;=0,1,0)))</f>
        <v>119</v>
      </c>
      <c r="O135" s="7" t="n">
        <f aca="false">IF(((c_TMAP3IN)-(c_TMAP2IN))=0,(c_TMAP2OUT)+QUOTIENT(((c_TMAP3OUT)-(c_TMAP2OUT)),2),QUOTIENT((((K135)-(c_TMAP2IN))*((c_TMAP3OUT)-(c_TMAP2OUT))+IF(((c_TMAP3OUT)-(c_TMAP2OUT))&gt;=0,1,-1)*QUOTIENT(((c_TMAP3IN)-(c_TMAP2IN)),2)),((c_TMAP3IN)-(c_TMAP2IN)))+(c_TMAP2OUT)+IF(((c_TMAP3OUT)-(c_TMAP2OUT))&gt;=0,IF(IF(o_WRAP=1,MOD(((c_TMAP3IN)-(c_TMAP2IN))*(((K135)-(c_TMAP2IN))*((c_TMAP3OUT)-(c_TMAP2OUT))+IF(((c_TMAP3OUT)-(c_TMAP2OUT))&gt;=0,1,-1)*QUOTIENT(((c_TMAP3IN)-(c_TMAP2IN)),2))+2147483648,4294967296)-2147483648,((c_TMAP3IN)-(c_TMAP2IN))*(((K135)-(c_TMAP2IN))*((c_TMAP3OUT)-(c_TMAP2OUT))+IF(((c_TMAP3OUT)-(c_TMAP2OUT))&gt;=0,1,-1)*QUOTIENT(((c_TMAP3IN)-(c_TMAP2IN)),2)))&lt;0,-1,0),IF(IF(o_WRAP=1,MOD(((c_TMAP3IN)-(c_TMAP2IN))*(((K135)-(c_TMAP2IN))*((c_TMAP3OUT)-(c_TMAP2OUT))+IF(((c_TMAP3OUT)-(c_TMAP2OUT))&gt;=0,1,-1)*QUOTIENT(((c_TMAP3IN)-(c_TMAP2IN)),2))+2147483648,4294967296)-2147483648,((c_TMAP3IN)-(c_TMAP2IN))*(((K135)-(c_TMAP2IN))*((c_TMAP3OUT)-(c_TMAP2OUT))+IF(((c_TMAP3OUT)-(c_TMAP2OUT))&gt;=0,1,-1)*QUOTIENT(((c_TMAP3IN)-(c_TMAP2IN)),2)))&gt;=0,1,0)))</f>
        <v>111</v>
      </c>
      <c r="P135" s="7" t="n">
        <f aca="false">IF(((1000)-(c_TMAP3IN))=0,(c_TMAP3OUT)+QUOTIENT(((1000)-(c_TMAP3OUT)),2),QUOTIENT((((K135)-(c_TMAP3IN))*((1000)-(c_TMAP3OUT))+IF(((1000)-(c_TMAP3OUT))&gt;=0,1,-1)*QUOTIENT(((1000)-(c_TMAP3IN)),2)),((1000)-(c_TMAP3IN)))+(c_TMAP3OUT)+IF(((1000)-(c_TMAP3OUT))&gt;=0,IF(IF(o_WRAP=1,MOD(((1000)-(c_TMAP3IN))*(((K135)-(c_TMAP3IN))*((1000)-(c_TMAP3OUT))+IF(((1000)-(c_TMAP3OUT))&gt;=0,1,-1)*QUOTIENT(((1000)-(c_TMAP3IN)),2))+2147483648,4294967296)-2147483648,((1000)-(c_TMAP3IN))*(((K135)-(c_TMAP3IN))*((1000)-(c_TMAP3OUT))+IF(((1000)-(c_TMAP3OUT))&gt;=0,1,-1)*QUOTIENT(((1000)-(c_TMAP3IN)),2)))&lt;0,-1,0),IF(IF(o_WRAP=1,MOD(((1000)-(c_TMAP3IN))*(((K135)-(c_TMAP3IN))*((1000)-(c_TMAP3OUT))+IF(((1000)-(c_TMAP3OUT))&gt;=0,1,-1)*QUOTIENT(((1000)-(c_TMAP3IN)),2))+2147483648,4294967296)-2147483648,((1000)-(c_TMAP3IN))*(((K135)-(c_TMAP3IN))*((1000)-(c_TMAP3OUT))+IF(((1000)-(c_TMAP3OUT))&gt;=0,1,-1)*QUOTIENT(((1000)-(c_TMAP3IN)),2)))&gt;=0,1,0)))</f>
        <v>44</v>
      </c>
      <c r="Q135" s="7" t="str">
        <f aca="false">IF(K135&gt;=c_TFWD,IF(AND(K135&gt;=c_TMAP3IN,c_TMAP3IN&lt;1000),"Seg4 map3-100%",IF(AND(K135&gt;=c_TMAP2IN,c_TMAP3IN&gt;c_TMAP2IN),"Seg3 map2-map3",IF(AND(K135&gt;=c_TMAP1IN,c_TMAP2IN&gt;c_TMAP1IN),"Seg2 map1-map2","Seg1 TFWD-map1"))),IF(AND(K135=0,c_TCREEP&gt;0),"Creep",IF(AND(K135&lt;=c_TRNGMIN,K135&gt;=c_TRNGMAX,c_TRNGMIN-c_TRNGMAX&lt;&gt;0),"Regen ramp","Coast (0)")))</f>
        <v>Seg2 map1-map2</v>
      </c>
      <c r="R135" s="7" t="n">
        <f aca="false">IF(K135&gt;=c_TFWD,IF(AND(K135&gt;=c_TMAP3IN,c_TMAP3IN&lt;1000),P135,IF(AND(K135&gt;=c_TMAP2IN,c_TMAP3IN&gt;c_TMAP2IN),O135,IF(AND(K135&gt;=c_TMAP1IN,c_TMAP2IN&gt;c_TMAP1IN),N135,M135))),L135)</f>
        <v>119</v>
      </c>
      <c r="S135" s="7" t="str">
        <f aca="false">IF(R135&lt;-1090,"TOO LOW",IF(R135&gt;1090,"TOO HIGH",""))</f>
        <v/>
      </c>
      <c r="T135" s="15" t="n">
        <f aca="false">IF(H135&lt;&gt;"OK",0,IF(S135&lt;&gt;"",0,IF(R135&gt;979,1000,R135)))</f>
        <v>119</v>
      </c>
      <c r="U135" s="7" t="n">
        <f aca="false">T135/10</f>
        <v>11.9</v>
      </c>
    </row>
    <row r="136" customFormat="false" ht="15" hidden="false" customHeight="false" outlineLevel="0" collapsed="false">
      <c r="A136" s="7" t="n">
        <v>131</v>
      </c>
      <c r="B136" s="7" t="n">
        <f aca="false">ROUND(o_SWSTART+A136*(o_SWEND-o_SWSTART)/400,0)</f>
        <v>1341</v>
      </c>
      <c r="C136" s="7" t="n">
        <f aca="false">QUOTIENT((B136-c_OFF1)*c_GAIN1,1024)</f>
        <v>1341</v>
      </c>
      <c r="D136" s="7" t="n">
        <f aca="false">IF(((c_T1MX)-(c_T1MN))=0,(0)+QUOTIENT(((1000)-(0)),2),QUOTIENT((((C136)-(c_T1MN))*((1000)-(0))+IF(((1000)-(0))&gt;=0,1,-1)*QUOTIENT(((c_T1MX)-(c_T1MN)),2)),((c_T1MX)-(c_T1MN)))+(0)+IF(((1000)-(0))&gt;=0,IF(IF(o_WRAP=1,MOD(((c_T1MX)-(c_T1MN))*(((C136)-(c_T1MN))*((1000)-(0))+IF(((1000)-(0))&gt;=0,1,-1)*QUOTIENT(((c_T1MX)-(c_T1MN)),2))+2147483648,4294967296)-2147483648,((c_T1MX)-(c_T1MN))*(((C136)-(c_T1MN))*((1000)-(0))+IF(((1000)-(0))&gt;=0,1,-1)*QUOTIENT(((c_T1MX)-(c_T1MN)),2)))&lt;0,-1,0),IF(IF(o_WRAP=1,MOD(((c_T1MX)-(c_T1MN))*(((C136)-(c_T1MN))*((1000)-(0))+IF(((1000)-(0))&gt;=0,1,-1)*QUOTIENT(((c_T1MX)-(c_T1MN)),2))+2147483648,4294967296)-2147483648,((c_T1MX)-(c_T1MN))*(((C136)-(c_T1MN))*((1000)-(0))+IF(((1000)-(0))&gt;=0,1,-1)*QUOTIENT(((c_T1MX)-(c_T1MN)),2)))&gt;=0,1,0)))</f>
        <v>227</v>
      </c>
      <c r="E136" s="7" t="n">
        <f aca="false">IF(AND(c_TPOT=1,c_TTYPE=2),1000-D136,D136)</f>
        <v>227</v>
      </c>
      <c r="F136" s="7" t="str">
        <f aca="false">IF(c_TPOT&gt;1,ROUND(IF(c_TTYPE=2,c_T2MX-IF(c_T1MX=c_T1MN,0,(C136-c_T1MN)/(c_T1MX-c_T1MN))*(c_T2MX-c_T2MN),c_T2MN+IF(c_T1MX=c_T1MN,0,(C136-c_T1MN)/(c_T1MX-c_T1MN))*(c_T2MX-c_T2MN))+o_MISMATCH,0),"")</f>
        <v/>
      </c>
      <c r="G136" s="7" t="str">
        <f aca="false">IF(c_TPOT&gt;1,IF(((c_T2MX)-(c_T2MN))=0,(0)+QUOTIENT(((1000)-(0)),2),QUOTIENT((((F136)-(c_T2MN))*((1000)-(0))+IF(((1000)-(0))&gt;=0,1,-1)*QUOTIENT(((c_T2MX)-(c_T2MN)),2)),((c_T2MX)-(c_T2MN)))+(0)+IF(((1000)-(0))&gt;=0,IF(IF(o_WRAP=1,MOD(((c_T2MX)-(c_T2MN))*(((F136)-(c_T2MN))*((1000)-(0))+IF(((1000)-(0))&gt;=0,1,-1)*QUOTIENT(((c_T2MX)-(c_T2MN)),2))+2147483648,4294967296)-2147483648,((c_T2MX)-(c_T2MN))*(((F136)-(c_T2MN))*((1000)-(0))+IF(((1000)-(0))&gt;=0,1,-1)*QUOTIENT(((c_T2MX)-(c_T2MN)),2)))&lt;0,-1,0),IF(IF(o_WRAP=1,MOD(((c_T2MX)-(c_T2MN))*(((F136)-(c_T2MN))*((1000)-(0))+IF(((1000)-(0))&gt;=0,1,-1)*QUOTIENT(((c_T2MX)-(c_T2MN)),2))+2147483648,4294967296)-2147483648,((c_T2MX)-(c_T2MN))*(((F136)-(c_T2MN))*((1000)-(0))+IF(((1000)-(0))&gt;=0,1,-1)*QUOTIENT(((c_T2MX)-(c_T2MN)),2)))&gt;=0,1,0))),"")</f>
        <v/>
      </c>
      <c r="H136" s="7" t="str">
        <f aca="false">IF(E136&gt;1000+k_TOL,"T1 HIGH",IF(E136&lt;0-k_TOL,"T1 LOW",IF(c_TPOT&gt;1,IF(G136&gt;1000+k_TOL,"T2 HIGH",IF(G136&lt;0-k_TOL,"T2 LOW",IF(c_TTYPE=2,IF(ABS(1000-MAX(0,MIN(1000,E136))-MAX(0,MIN(1000,G136)))&gt;k_MAXERR,"MISMATCH","OK"),IF(OR(MAX(0,MIN(1000,E136))-k_MAXERR&gt;MAX(0,MIN(1000,G136)),MAX(0,MIN(1000,G136))-k_MAXERR&gt;MAX(0,MIN(1000,E136))),"MISMATCH","OK")))),"OK")))</f>
        <v>OK</v>
      </c>
      <c r="I136" s="7" t="n">
        <f aca="false">MAX(0,MIN(1000,D136))</f>
        <v>227</v>
      </c>
      <c r="J136" s="7" t="str">
        <f aca="false">IF(c_TPOT&gt;1,IF(c_TTYPE=2,1000-MAX(0,MIN(1000,G136)),MAX(0,MIN(1000,G136))),"")</f>
        <v/>
      </c>
      <c r="K136" s="7" t="n">
        <f aca="false">IF(c_TPOT&gt;1,QUOTIENT(I136+J136,2),I136)</f>
        <v>227</v>
      </c>
      <c r="L136" s="7" t="n">
        <f aca="false">IF(AND(K136=0,c_TCREEP&gt;0),10*c_TCREEP,IF(AND(K136&lt;=c_TRNGMIN,K136&gt;=c_TRNGMAX,c_TRNGMIN-c_TRNGMAX&lt;&gt;0),-10*c_TMINRN+QUOTIENT((c_TMAXRN-c_TMINRN)*(100-QUOTIENT((K136-c_TRNGMAX)*100,c_TRNGMIN-c_TRNGMAX)),-10),0))</f>
        <v>0</v>
      </c>
      <c r="M136" s="7" t="n">
        <f aca="false">IF(((c_TMAP1IN)-(c_TFWD))=0,(0)+QUOTIENT(((c_TMAP1OUT)-(0)),2),QUOTIENT((((K136)-(c_TFWD))*((c_TMAP1OUT)-(0))+IF(((c_TMAP1OUT)-(0))&gt;=0,1,-1)*QUOTIENT(((c_TMAP1IN)-(c_TFWD)),2)),((c_TMAP1IN)-(c_TFWD)))+(0)+IF(((c_TMAP1OUT)-(0))&gt;=0,IF(IF(o_WRAP=1,MOD(((c_TMAP1IN)-(c_TFWD))*(((K136)-(c_TFWD))*((c_TMAP1OUT)-(0))+IF(((c_TMAP1OUT)-(0))&gt;=0,1,-1)*QUOTIENT(((c_TMAP1IN)-(c_TFWD)),2))+2147483648,4294967296)-2147483648,((c_TMAP1IN)-(c_TFWD))*(((K136)-(c_TFWD))*((c_TMAP1OUT)-(0))+IF(((c_TMAP1OUT)-(0))&gt;=0,1,-1)*QUOTIENT(((c_TMAP1IN)-(c_TFWD)),2)))&lt;0,-1,0),IF(IF(o_WRAP=1,MOD(((c_TMAP1IN)-(c_TFWD))*(((K136)-(c_TFWD))*((c_TMAP1OUT)-(0))+IF(((c_TMAP1OUT)-(0))&gt;=0,1,-1)*QUOTIENT(((c_TMAP1IN)-(c_TFWD)),2))+2147483648,4294967296)-2147483648,((c_TMAP1IN)-(c_TFWD))*(((K136)-(c_TFWD))*((c_TMAP1OUT)-(0))+IF(((c_TMAP1OUT)-(0))&gt;=0,1,-1)*QUOTIENT(((c_TMAP1IN)-(c_TFWD)),2)))&gt;=0,1,0)))</f>
        <v>169</v>
      </c>
      <c r="N136" s="7" t="n">
        <f aca="false">IF(((c_TMAP2IN)-(c_TMAP1IN))=0,(c_TMAP1OUT)+QUOTIENT(((c_TMAP2OUT)-(c_TMAP1OUT)),2),QUOTIENT((((K136)-(c_TMAP1IN))*((c_TMAP2OUT)-(c_TMAP1OUT))+IF(((c_TMAP2OUT)-(c_TMAP1OUT))&gt;=0,1,-1)*QUOTIENT(((c_TMAP2IN)-(c_TMAP1IN)),2)),((c_TMAP2IN)-(c_TMAP1IN)))+(c_TMAP1OUT)+IF(((c_TMAP2OUT)-(c_TMAP1OUT))&gt;=0,IF(IF(o_WRAP=1,MOD(((c_TMAP2IN)-(c_TMAP1IN))*(((K136)-(c_TMAP1IN))*((c_TMAP2OUT)-(c_TMAP1OUT))+IF(((c_TMAP2OUT)-(c_TMAP1OUT))&gt;=0,1,-1)*QUOTIENT(((c_TMAP2IN)-(c_TMAP1IN)),2))+2147483648,4294967296)-2147483648,((c_TMAP2IN)-(c_TMAP1IN))*(((K136)-(c_TMAP1IN))*((c_TMAP2OUT)-(c_TMAP1OUT))+IF(((c_TMAP2OUT)-(c_TMAP1OUT))&gt;=0,1,-1)*QUOTIENT(((c_TMAP2IN)-(c_TMAP1IN)),2)))&lt;0,-1,0),IF(IF(o_WRAP=1,MOD(((c_TMAP2IN)-(c_TMAP1IN))*(((K136)-(c_TMAP1IN))*((c_TMAP2OUT)-(c_TMAP1OUT))+IF(((c_TMAP2OUT)-(c_TMAP1OUT))&gt;=0,1,-1)*QUOTIENT(((c_TMAP2IN)-(c_TMAP1IN)),2))+2147483648,4294967296)-2147483648,((c_TMAP2IN)-(c_TMAP1IN))*(((K136)-(c_TMAP1IN))*((c_TMAP2OUT)-(c_TMAP1OUT))+IF(((c_TMAP2OUT)-(c_TMAP1OUT))&gt;=0,1,-1)*QUOTIENT(((c_TMAP2IN)-(c_TMAP1IN)),2)))&gt;=0,1,0)))</f>
        <v>121</v>
      </c>
      <c r="O136" s="7" t="n">
        <f aca="false">IF(((c_TMAP3IN)-(c_TMAP2IN))=0,(c_TMAP2OUT)+QUOTIENT(((c_TMAP3OUT)-(c_TMAP2OUT)),2),QUOTIENT((((K136)-(c_TMAP2IN))*((c_TMAP3OUT)-(c_TMAP2OUT))+IF(((c_TMAP3OUT)-(c_TMAP2OUT))&gt;=0,1,-1)*QUOTIENT(((c_TMAP3IN)-(c_TMAP2IN)),2)),((c_TMAP3IN)-(c_TMAP2IN)))+(c_TMAP2OUT)+IF(((c_TMAP3OUT)-(c_TMAP2OUT))&gt;=0,IF(IF(o_WRAP=1,MOD(((c_TMAP3IN)-(c_TMAP2IN))*(((K136)-(c_TMAP2IN))*((c_TMAP3OUT)-(c_TMAP2OUT))+IF(((c_TMAP3OUT)-(c_TMAP2OUT))&gt;=0,1,-1)*QUOTIENT(((c_TMAP3IN)-(c_TMAP2IN)),2))+2147483648,4294967296)-2147483648,((c_TMAP3IN)-(c_TMAP2IN))*(((K136)-(c_TMAP2IN))*((c_TMAP3OUT)-(c_TMAP2OUT))+IF(((c_TMAP3OUT)-(c_TMAP2OUT))&gt;=0,1,-1)*QUOTIENT(((c_TMAP3IN)-(c_TMAP2IN)),2)))&lt;0,-1,0),IF(IF(o_WRAP=1,MOD(((c_TMAP3IN)-(c_TMAP2IN))*(((K136)-(c_TMAP2IN))*((c_TMAP3OUT)-(c_TMAP2OUT))+IF(((c_TMAP3OUT)-(c_TMAP2OUT))&gt;=0,1,-1)*QUOTIENT(((c_TMAP3IN)-(c_TMAP2IN)),2))+2147483648,4294967296)-2147483648,((c_TMAP3IN)-(c_TMAP2IN))*(((K136)-(c_TMAP2IN))*((c_TMAP3OUT)-(c_TMAP2OUT))+IF(((c_TMAP3OUT)-(c_TMAP2OUT))&gt;=0,1,-1)*QUOTIENT(((c_TMAP3IN)-(c_TMAP2IN)),2)))&gt;=0,1,0)))</f>
        <v>114</v>
      </c>
      <c r="P136" s="7" t="n">
        <f aca="false">IF(((1000)-(c_TMAP3IN))=0,(c_TMAP3OUT)+QUOTIENT(((1000)-(c_TMAP3OUT)),2),QUOTIENT((((K136)-(c_TMAP3IN))*((1000)-(c_TMAP3OUT))+IF(((1000)-(c_TMAP3OUT))&gt;=0,1,-1)*QUOTIENT(((1000)-(c_TMAP3IN)),2)),((1000)-(c_TMAP3IN)))+(c_TMAP3OUT)+IF(((1000)-(c_TMAP3OUT))&gt;=0,IF(IF(o_WRAP=1,MOD(((1000)-(c_TMAP3IN))*(((K136)-(c_TMAP3IN))*((1000)-(c_TMAP3OUT))+IF(((1000)-(c_TMAP3OUT))&gt;=0,1,-1)*QUOTIENT(((1000)-(c_TMAP3IN)),2))+2147483648,4294967296)-2147483648,((1000)-(c_TMAP3IN))*(((K136)-(c_TMAP3IN))*((1000)-(c_TMAP3OUT))+IF(((1000)-(c_TMAP3OUT))&gt;=0,1,-1)*QUOTIENT(((1000)-(c_TMAP3IN)),2)))&lt;0,-1,0),IF(IF(o_WRAP=1,MOD(((1000)-(c_TMAP3IN))*(((K136)-(c_TMAP3IN))*((1000)-(c_TMAP3OUT))+IF(((1000)-(c_TMAP3OUT))&gt;=0,1,-1)*QUOTIENT(((1000)-(c_TMAP3IN)),2))+2147483648,4294967296)-2147483648,((1000)-(c_TMAP3IN))*(((K136)-(c_TMAP3IN))*((1000)-(c_TMAP3OUT))+IF(((1000)-(c_TMAP3OUT))&gt;=0,1,-1)*QUOTIENT(((1000)-(c_TMAP3IN)),2)))&gt;=0,1,0)))</f>
        <v>49</v>
      </c>
      <c r="Q136" s="7" t="str">
        <f aca="false">IF(K136&gt;=c_TFWD,IF(AND(K136&gt;=c_TMAP3IN,c_TMAP3IN&lt;1000),"Seg4 map3-100%",IF(AND(K136&gt;=c_TMAP2IN,c_TMAP3IN&gt;c_TMAP2IN),"Seg3 map2-map3",IF(AND(K136&gt;=c_TMAP1IN,c_TMAP2IN&gt;c_TMAP1IN),"Seg2 map1-map2","Seg1 TFWD-map1"))),IF(AND(K136=0,c_TCREEP&gt;0),"Creep",IF(AND(K136&lt;=c_TRNGMIN,K136&gt;=c_TRNGMAX,c_TRNGMIN-c_TRNGMAX&lt;&gt;0),"Regen ramp","Coast (0)")))</f>
        <v>Seg2 map1-map2</v>
      </c>
      <c r="R136" s="7" t="n">
        <f aca="false">IF(K136&gt;=c_TFWD,IF(AND(K136&gt;=c_TMAP3IN,c_TMAP3IN&lt;1000),P136,IF(AND(K136&gt;=c_TMAP2IN,c_TMAP3IN&gt;c_TMAP2IN),O136,IF(AND(K136&gt;=c_TMAP1IN,c_TMAP2IN&gt;c_TMAP1IN),N136,M136))),L136)</f>
        <v>121</v>
      </c>
      <c r="S136" s="7" t="str">
        <f aca="false">IF(R136&lt;-1090,"TOO LOW",IF(R136&gt;1090,"TOO HIGH",""))</f>
        <v/>
      </c>
      <c r="T136" s="15" t="n">
        <f aca="false">IF(H136&lt;&gt;"OK",0,IF(S136&lt;&gt;"",0,IF(R136&gt;979,1000,R136)))</f>
        <v>121</v>
      </c>
      <c r="U136" s="7" t="n">
        <f aca="false">T136/10</f>
        <v>12.1</v>
      </c>
    </row>
    <row r="137" customFormat="false" ht="15" hidden="false" customHeight="false" outlineLevel="0" collapsed="false">
      <c r="A137" s="7" t="n">
        <v>132</v>
      </c>
      <c r="B137" s="7" t="n">
        <f aca="false">ROUND(o_SWSTART+A137*(o_SWEND-o_SWSTART)/400,0)</f>
        <v>1351</v>
      </c>
      <c r="C137" s="7" t="n">
        <f aca="false">QUOTIENT((B137-c_OFF1)*c_GAIN1,1024)</f>
        <v>1351</v>
      </c>
      <c r="D137" s="7" t="n">
        <f aca="false">IF(((c_T1MX)-(c_T1MN))=0,(0)+QUOTIENT(((1000)-(0)),2),QUOTIENT((((C137)-(c_T1MN))*((1000)-(0))+IF(((1000)-(0))&gt;=0,1,-1)*QUOTIENT(((c_T1MX)-(c_T1MN)),2)),((c_T1MX)-(c_T1MN)))+(0)+IF(((1000)-(0))&gt;=0,IF(IF(o_WRAP=1,MOD(((c_T1MX)-(c_T1MN))*(((C137)-(c_T1MN))*((1000)-(0))+IF(((1000)-(0))&gt;=0,1,-1)*QUOTIENT(((c_T1MX)-(c_T1MN)),2))+2147483648,4294967296)-2147483648,((c_T1MX)-(c_T1MN))*(((C137)-(c_T1MN))*((1000)-(0))+IF(((1000)-(0))&gt;=0,1,-1)*QUOTIENT(((c_T1MX)-(c_T1MN)),2)))&lt;0,-1,0),IF(IF(o_WRAP=1,MOD(((c_T1MX)-(c_T1MN))*(((C137)-(c_T1MN))*((1000)-(0))+IF(((1000)-(0))&gt;=0,1,-1)*QUOTIENT(((c_T1MX)-(c_T1MN)),2))+2147483648,4294967296)-2147483648,((c_T1MX)-(c_T1MN))*(((C137)-(c_T1MN))*((1000)-(0))+IF(((1000)-(0))&gt;=0,1,-1)*QUOTIENT(((c_T1MX)-(c_T1MN)),2)))&gt;=0,1,0)))</f>
        <v>230</v>
      </c>
      <c r="E137" s="7" t="n">
        <f aca="false">IF(AND(c_TPOT=1,c_TTYPE=2),1000-D137,D137)</f>
        <v>230</v>
      </c>
      <c r="F137" s="7" t="str">
        <f aca="false">IF(c_TPOT&gt;1,ROUND(IF(c_TTYPE=2,c_T2MX-IF(c_T1MX=c_T1MN,0,(C137-c_T1MN)/(c_T1MX-c_T1MN))*(c_T2MX-c_T2MN),c_T2MN+IF(c_T1MX=c_T1MN,0,(C137-c_T1MN)/(c_T1MX-c_T1MN))*(c_T2MX-c_T2MN))+o_MISMATCH,0),"")</f>
        <v/>
      </c>
      <c r="G137" s="7" t="str">
        <f aca="false">IF(c_TPOT&gt;1,IF(((c_T2MX)-(c_T2MN))=0,(0)+QUOTIENT(((1000)-(0)),2),QUOTIENT((((F137)-(c_T2MN))*((1000)-(0))+IF(((1000)-(0))&gt;=0,1,-1)*QUOTIENT(((c_T2MX)-(c_T2MN)),2)),((c_T2MX)-(c_T2MN)))+(0)+IF(((1000)-(0))&gt;=0,IF(IF(o_WRAP=1,MOD(((c_T2MX)-(c_T2MN))*(((F137)-(c_T2MN))*((1000)-(0))+IF(((1000)-(0))&gt;=0,1,-1)*QUOTIENT(((c_T2MX)-(c_T2MN)),2))+2147483648,4294967296)-2147483648,((c_T2MX)-(c_T2MN))*(((F137)-(c_T2MN))*((1000)-(0))+IF(((1000)-(0))&gt;=0,1,-1)*QUOTIENT(((c_T2MX)-(c_T2MN)),2)))&lt;0,-1,0),IF(IF(o_WRAP=1,MOD(((c_T2MX)-(c_T2MN))*(((F137)-(c_T2MN))*((1000)-(0))+IF(((1000)-(0))&gt;=0,1,-1)*QUOTIENT(((c_T2MX)-(c_T2MN)),2))+2147483648,4294967296)-2147483648,((c_T2MX)-(c_T2MN))*(((F137)-(c_T2MN))*((1000)-(0))+IF(((1000)-(0))&gt;=0,1,-1)*QUOTIENT(((c_T2MX)-(c_T2MN)),2)))&gt;=0,1,0))),"")</f>
        <v/>
      </c>
      <c r="H137" s="7" t="str">
        <f aca="false">IF(E137&gt;1000+k_TOL,"T1 HIGH",IF(E137&lt;0-k_TOL,"T1 LOW",IF(c_TPOT&gt;1,IF(G137&gt;1000+k_TOL,"T2 HIGH",IF(G137&lt;0-k_TOL,"T2 LOW",IF(c_TTYPE=2,IF(ABS(1000-MAX(0,MIN(1000,E137))-MAX(0,MIN(1000,G137)))&gt;k_MAXERR,"MISMATCH","OK"),IF(OR(MAX(0,MIN(1000,E137))-k_MAXERR&gt;MAX(0,MIN(1000,G137)),MAX(0,MIN(1000,G137))-k_MAXERR&gt;MAX(0,MIN(1000,E137))),"MISMATCH","OK")))),"OK")))</f>
        <v>OK</v>
      </c>
      <c r="I137" s="7" t="n">
        <f aca="false">MAX(0,MIN(1000,D137))</f>
        <v>230</v>
      </c>
      <c r="J137" s="7" t="str">
        <f aca="false">IF(c_TPOT&gt;1,IF(c_TTYPE=2,1000-MAX(0,MIN(1000,G137)),MAX(0,MIN(1000,G137))),"")</f>
        <v/>
      </c>
      <c r="K137" s="7" t="n">
        <f aca="false">IF(c_TPOT&gt;1,QUOTIENT(I137+J137,2),I137)</f>
        <v>230</v>
      </c>
      <c r="L137" s="7" t="n">
        <f aca="false">IF(AND(K137=0,c_TCREEP&gt;0),10*c_TCREEP,IF(AND(K137&lt;=c_TRNGMIN,K137&gt;=c_TRNGMAX,c_TRNGMIN-c_TRNGMAX&lt;&gt;0),-10*c_TMINRN+QUOTIENT((c_TMAXRN-c_TMINRN)*(100-QUOTIENT((K137-c_TRNGMAX)*100,c_TRNGMIN-c_TRNGMAX)),-10),0))</f>
        <v>0</v>
      </c>
      <c r="M137" s="7" t="n">
        <f aca="false">IF(((c_TMAP1IN)-(c_TFWD))=0,(0)+QUOTIENT(((c_TMAP1OUT)-(0)),2),QUOTIENT((((K137)-(c_TFWD))*((c_TMAP1OUT)-(0))+IF(((c_TMAP1OUT)-(0))&gt;=0,1,-1)*QUOTIENT(((c_TMAP1IN)-(c_TFWD)),2)),((c_TMAP1IN)-(c_TFWD)))+(0)+IF(((c_TMAP1OUT)-(0))&gt;=0,IF(IF(o_WRAP=1,MOD(((c_TMAP1IN)-(c_TFWD))*(((K137)-(c_TFWD))*((c_TMAP1OUT)-(0))+IF(((c_TMAP1OUT)-(0))&gt;=0,1,-1)*QUOTIENT(((c_TMAP1IN)-(c_TFWD)),2))+2147483648,4294967296)-2147483648,((c_TMAP1IN)-(c_TFWD))*(((K137)-(c_TFWD))*((c_TMAP1OUT)-(0))+IF(((c_TMAP1OUT)-(0))&gt;=0,1,-1)*QUOTIENT(((c_TMAP1IN)-(c_TFWD)),2)))&lt;0,-1,0),IF(IF(o_WRAP=1,MOD(((c_TMAP1IN)-(c_TFWD))*(((K137)-(c_TFWD))*((c_TMAP1OUT)-(0))+IF(((c_TMAP1OUT)-(0))&gt;=0,1,-1)*QUOTIENT(((c_TMAP1IN)-(c_TFWD)),2))+2147483648,4294967296)-2147483648,((c_TMAP1IN)-(c_TFWD))*(((K137)-(c_TFWD))*((c_TMAP1OUT)-(0))+IF(((c_TMAP1OUT)-(0))&gt;=0,1,-1)*QUOTIENT(((c_TMAP1IN)-(c_TFWD)),2)))&gt;=0,1,0)))</f>
        <v>171</v>
      </c>
      <c r="N137" s="7" t="n">
        <f aca="false">IF(((c_TMAP2IN)-(c_TMAP1IN))=0,(c_TMAP1OUT)+QUOTIENT(((c_TMAP2OUT)-(c_TMAP1OUT)),2),QUOTIENT((((K137)-(c_TMAP1IN))*((c_TMAP2OUT)-(c_TMAP1OUT))+IF(((c_TMAP2OUT)-(c_TMAP1OUT))&gt;=0,1,-1)*QUOTIENT(((c_TMAP2IN)-(c_TMAP1IN)),2)),((c_TMAP2IN)-(c_TMAP1IN)))+(c_TMAP1OUT)+IF(((c_TMAP2OUT)-(c_TMAP1OUT))&gt;=0,IF(IF(o_WRAP=1,MOD(((c_TMAP2IN)-(c_TMAP1IN))*(((K137)-(c_TMAP1IN))*((c_TMAP2OUT)-(c_TMAP1OUT))+IF(((c_TMAP2OUT)-(c_TMAP1OUT))&gt;=0,1,-1)*QUOTIENT(((c_TMAP2IN)-(c_TMAP1IN)),2))+2147483648,4294967296)-2147483648,((c_TMAP2IN)-(c_TMAP1IN))*(((K137)-(c_TMAP1IN))*((c_TMAP2OUT)-(c_TMAP1OUT))+IF(((c_TMAP2OUT)-(c_TMAP1OUT))&gt;=0,1,-1)*QUOTIENT(((c_TMAP2IN)-(c_TMAP1IN)),2)))&lt;0,-1,0),IF(IF(o_WRAP=1,MOD(((c_TMAP2IN)-(c_TMAP1IN))*(((K137)-(c_TMAP1IN))*((c_TMAP2OUT)-(c_TMAP1OUT))+IF(((c_TMAP2OUT)-(c_TMAP1OUT))&gt;=0,1,-1)*QUOTIENT(((c_TMAP2IN)-(c_TMAP1IN)),2))+2147483648,4294967296)-2147483648,((c_TMAP2IN)-(c_TMAP1IN))*(((K137)-(c_TMAP1IN))*((c_TMAP2OUT)-(c_TMAP1OUT))+IF(((c_TMAP2OUT)-(c_TMAP1OUT))&gt;=0,1,-1)*QUOTIENT(((c_TMAP2IN)-(c_TMAP1IN)),2)))&gt;=0,1,0)))</f>
        <v>122</v>
      </c>
      <c r="O137" s="7" t="n">
        <f aca="false">IF(((c_TMAP3IN)-(c_TMAP2IN))=0,(c_TMAP2OUT)+QUOTIENT(((c_TMAP3OUT)-(c_TMAP2OUT)),2),QUOTIENT((((K137)-(c_TMAP2IN))*((c_TMAP3OUT)-(c_TMAP2OUT))+IF(((c_TMAP3OUT)-(c_TMAP2OUT))&gt;=0,1,-1)*QUOTIENT(((c_TMAP3IN)-(c_TMAP2IN)),2)),((c_TMAP3IN)-(c_TMAP2IN)))+(c_TMAP2OUT)+IF(((c_TMAP3OUT)-(c_TMAP2OUT))&gt;=0,IF(IF(o_WRAP=1,MOD(((c_TMAP3IN)-(c_TMAP2IN))*(((K137)-(c_TMAP2IN))*((c_TMAP3OUT)-(c_TMAP2OUT))+IF(((c_TMAP3OUT)-(c_TMAP2OUT))&gt;=0,1,-1)*QUOTIENT(((c_TMAP3IN)-(c_TMAP2IN)),2))+2147483648,4294967296)-2147483648,((c_TMAP3IN)-(c_TMAP2IN))*(((K137)-(c_TMAP2IN))*((c_TMAP3OUT)-(c_TMAP2OUT))+IF(((c_TMAP3OUT)-(c_TMAP2OUT))&gt;=0,1,-1)*QUOTIENT(((c_TMAP3IN)-(c_TMAP2IN)),2)))&lt;0,-1,0),IF(IF(o_WRAP=1,MOD(((c_TMAP3IN)-(c_TMAP2IN))*(((K137)-(c_TMAP2IN))*((c_TMAP3OUT)-(c_TMAP2OUT))+IF(((c_TMAP3OUT)-(c_TMAP2OUT))&gt;=0,1,-1)*QUOTIENT(((c_TMAP3IN)-(c_TMAP2IN)),2))+2147483648,4294967296)-2147483648,((c_TMAP3IN)-(c_TMAP2IN))*(((K137)-(c_TMAP2IN))*((c_TMAP3OUT)-(c_TMAP2OUT))+IF(((c_TMAP3OUT)-(c_TMAP2OUT))&gt;=0,1,-1)*QUOTIENT(((c_TMAP3IN)-(c_TMAP2IN)),2)))&gt;=0,1,0)))</f>
        <v>116</v>
      </c>
      <c r="P137" s="7" t="n">
        <f aca="false">IF(((1000)-(c_TMAP3IN))=0,(c_TMAP3OUT)+QUOTIENT(((1000)-(c_TMAP3OUT)),2),QUOTIENT((((K137)-(c_TMAP3IN))*((1000)-(c_TMAP3OUT))+IF(((1000)-(c_TMAP3OUT))&gt;=0,1,-1)*QUOTIENT(((1000)-(c_TMAP3IN)),2)),((1000)-(c_TMAP3IN)))+(c_TMAP3OUT)+IF(((1000)-(c_TMAP3OUT))&gt;=0,IF(IF(o_WRAP=1,MOD(((1000)-(c_TMAP3IN))*(((K137)-(c_TMAP3IN))*((1000)-(c_TMAP3OUT))+IF(((1000)-(c_TMAP3OUT))&gt;=0,1,-1)*QUOTIENT(((1000)-(c_TMAP3IN)),2))+2147483648,4294967296)-2147483648,((1000)-(c_TMAP3IN))*(((K137)-(c_TMAP3IN))*((1000)-(c_TMAP3OUT))+IF(((1000)-(c_TMAP3OUT))&gt;=0,1,-1)*QUOTIENT(((1000)-(c_TMAP3IN)),2)))&lt;0,-1,0),IF(IF(o_WRAP=1,MOD(((1000)-(c_TMAP3IN))*(((K137)-(c_TMAP3IN))*((1000)-(c_TMAP3OUT))+IF(((1000)-(c_TMAP3OUT))&gt;=0,1,-1)*QUOTIENT(((1000)-(c_TMAP3IN)),2))+2147483648,4294967296)-2147483648,((1000)-(c_TMAP3IN))*(((K137)-(c_TMAP3IN))*((1000)-(c_TMAP3OUT))+IF(((1000)-(c_TMAP3OUT))&gt;=0,1,-1)*QUOTIENT(((1000)-(c_TMAP3IN)),2)))&gt;=0,1,0)))</f>
        <v>52</v>
      </c>
      <c r="Q137" s="7" t="str">
        <f aca="false">IF(K137&gt;=c_TFWD,IF(AND(K137&gt;=c_TMAP3IN,c_TMAP3IN&lt;1000),"Seg4 map3-100%",IF(AND(K137&gt;=c_TMAP2IN,c_TMAP3IN&gt;c_TMAP2IN),"Seg3 map2-map3",IF(AND(K137&gt;=c_TMAP1IN,c_TMAP2IN&gt;c_TMAP1IN),"Seg2 map1-map2","Seg1 TFWD-map1"))),IF(AND(K137=0,c_TCREEP&gt;0),"Creep",IF(AND(K137&lt;=c_TRNGMIN,K137&gt;=c_TRNGMAX,c_TRNGMIN-c_TRNGMAX&lt;&gt;0),"Regen ramp","Coast (0)")))</f>
        <v>Seg2 map1-map2</v>
      </c>
      <c r="R137" s="7" t="n">
        <f aca="false">IF(K137&gt;=c_TFWD,IF(AND(K137&gt;=c_TMAP3IN,c_TMAP3IN&lt;1000),P137,IF(AND(K137&gt;=c_TMAP2IN,c_TMAP3IN&gt;c_TMAP2IN),O137,IF(AND(K137&gt;=c_TMAP1IN,c_TMAP2IN&gt;c_TMAP1IN),N137,M137))),L137)</f>
        <v>122</v>
      </c>
      <c r="S137" s="7" t="str">
        <f aca="false">IF(R137&lt;-1090,"TOO LOW",IF(R137&gt;1090,"TOO HIGH",""))</f>
        <v/>
      </c>
      <c r="T137" s="15" t="n">
        <f aca="false">IF(H137&lt;&gt;"OK",0,IF(S137&lt;&gt;"",0,IF(R137&gt;979,1000,R137)))</f>
        <v>122</v>
      </c>
      <c r="U137" s="7" t="n">
        <f aca="false">T137/10</f>
        <v>12.2</v>
      </c>
    </row>
    <row r="138" customFormat="false" ht="15" hidden="false" customHeight="false" outlineLevel="0" collapsed="false">
      <c r="A138" s="7" t="n">
        <v>133</v>
      </c>
      <c r="B138" s="7" t="n">
        <f aca="false">ROUND(o_SWSTART+A138*(o_SWEND-o_SWSTART)/400,0)</f>
        <v>1362</v>
      </c>
      <c r="C138" s="7" t="n">
        <f aca="false">QUOTIENT((B138-c_OFF1)*c_GAIN1,1024)</f>
        <v>1362</v>
      </c>
      <c r="D138" s="7" t="n">
        <f aca="false">IF(((c_T1MX)-(c_T1MN))=0,(0)+QUOTIENT(((1000)-(0)),2),QUOTIENT((((C138)-(c_T1MN))*((1000)-(0))+IF(((1000)-(0))&gt;=0,1,-1)*QUOTIENT(((c_T1MX)-(c_T1MN)),2)),((c_T1MX)-(c_T1MN)))+(0)+IF(((1000)-(0))&gt;=0,IF(IF(o_WRAP=1,MOD(((c_T1MX)-(c_T1MN))*(((C138)-(c_T1MN))*((1000)-(0))+IF(((1000)-(0))&gt;=0,1,-1)*QUOTIENT(((c_T1MX)-(c_T1MN)),2))+2147483648,4294967296)-2147483648,((c_T1MX)-(c_T1MN))*(((C138)-(c_T1MN))*((1000)-(0))+IF(((1000)-(0))&gt;=0,1,-1)*QUOTIENT(((c_T1MX)-(c_T1MN)),2)))&lt;0,-1,0),IF(IF(o_WRAP=1,MOD(((c_T1MX)-(c_T1MN))*(((C138)-(c_T1MN))*((1000)-(0))+IF(((1000)-(0))&gt;=0,1,-1)*QUOTIENT(((c_T1MX)-(c_T1MN)),2))+2147483648,4294967296)-2147483648,((c_T1MX)-(c_T1MN))*(((C138)-(c_T1MN))*((1000)-(0))+IF(((1000)-(0))&gt;=0,1,-1)*QUOTIENT(((c_T1MX)-(c_T1MN)),2)))&gt;=0,1,0)))</f>
        <v>234</v>
      </c>
      <c r="E138" s="7" t="n">
        <f aca="false">IF(AND(c_TPOT=1,c_TTYPE=2),1000-D138,D138)</f>
        <v>234</v>
      </c>
      <c r="F138" s="7" t="str">
        <f aca="false">IF(c_TPOT&gt;1,ROUND(IF(c_TTYPE=2,c_T2MX-IF(c_T1MX=c_T1MN,0,(C138-c_T1MN)/(c_T1MX-c_T1MN))*(c_T2MX-c_T2MN),c_T2MN+IF(c_T1MX=c_T1MN,0,(C138-c_T1MN)/(c_T1MX-c_T1MN))*(c_T2MX-c_T2MN))+o_MISMATCH,0),"")</f>
        <v/>
      </c>
      <c r="G138" s="7" t="str">
        <f aca="false">IF(c_TPOT&gt;1,IF(((c_T2MX)-(c_T2MN))=0,(0)+QUOTIENT(((1000)-(0)),2),QUOTIENT((((F138)-(c_T2MN))*((1000)-(0))+IF(((1000)-(0))&gt;=0,1,-1)*QUOTIENT(((c_T2MX)-(c_T2MN)),2)),((c_T2MX)-(c_T2MN)))+(0)+IF(((1000)-(0))&gt;=0,IF(IF(o_WRAP=1,MOD(((c_T2MX)-(c_T2MN))*(((F138)-(c_T2MN))*((1000)-(0))+IF(((1000)-(0))&gt;=0,1,-1)*QUOTIENT(((c_T2MX)-(c_T2MN)),2))+2147483648,4294967296)-2147483648,((c_T2MX)-(c_T2MN))*(((F138)-(c_T2MN))*((1000)-(0))+IF(((1000)-(0))&gt;=0,1,-1)*QUOTIENT(((c_T2MX)-(c_T2MN)),2)))&lt;0,-1,0),IF(IF(o_WRAP=1,MOD(((c_T2MX)-(c_T2MN))*(((F138)-(c_T2MN))*((1000)-(0))+IF(((1000)-(0))&gt;=0,1,-1)*QUOTIENT(((c_T2MX)-(c_T2MN)),2))+2147483648,4294967296)-2147483648,((c_T2MX)-(c_T2MN))*(((F138)-(c_T2MN))*((1000)-(0))+IF(((1000)-(0))&gt;=0,1,-1)*QUOTIENT(((c_T2MX)-(c_T2MN)),2)))&gt;=0,1,0))),"")</f>
        <v/>
      </c>
      <c r="H138" s="7" t="str">
        <f aca="false">IF(E138&gt;1000+k_TOL,"T1 HIGH",IF(E138&lt;0-k_TOL,"T1 LOW",IF(c_TPOT&gt;1,IF(G138&gt;1000+k_TOL,"T2 HIGH",IF(G138&lt;0-k_TOL,"T2 LOW",IF(c_TTYPE=2,IF(ABS(1000-MAX(0,MIN(1000,E138))-MAX(0,MIN(1000,G138)))&gt;k_MAXERR,"MISMATCH","OK"),IF(OR(MAX(0,MIN(1000,E138))-k_MAXERR&gt;MAX(0,MIN(1000,G138)),MAX(0,MIN(1000,G138))-k_MAXERR&gt;MAX(0,MIN(1000,E138))),"MISMATCH","OK")))),"OK")))</f>
        <v>OK</v>
      </c>
      <c r="I138" s="7" t="n">
        <f aca="false">MAX(0,MIN(1000,D138))</f>
        <v>234</v>
      </c>
      <c r="J138" s="7" t="str">
        <f aca="false">IF(c_TPOT&gt;1,IF(c_TTYPE=2,1000-MAX(0,MIN(1000,G138)),MAX(0,MIN(1000,G138))),"")</f>
        <v/>
      </c>
      <c r="K138" s="7" t="n">
        <f aca="false">IF(c_TPOT&gt;1,QUOTIENT(I138+J138,2),I138)</f>
        <v>234</v>
      </c>
      <c r="L138" s="7" t="n">
        <f aca="false">IF(AND(K138=0,c_TCREEP&gt;0),10*c_TCREEP,IF(AND(K138&lt;=c_TRNGMIN,K138&gt;=c_TRNGMAX,c_TRNGMIN-c_TRNGMAX&lt;&gt;0),-10*c_TMINRN+QUOTIENT((c_TMAXRN-c_TMINRN)*(100-QUOTIENT((K138-c_TRNGMAX)*100,c_TRNGMIN-c_TRNGMAX)),-10),0))</f>
        <v>0</v>
      </c>
      <c r="M138" s="7" t="n">
        <f aca="false">IF(((c_TMAP1IN)-(c_TFWD))=0,(0)+QUOTIENT(((c_TMAP1OUT)-(0)),2),QUOTIENT((((K138)-(c_TFWD))*((c_TMAP1OUT)-(0))+IF(((c_TMAP1OUT)-(0))&gt;=0,1,-1)*QUOTIENT(((c_TMAP1IN)-(c_TFWD)),2)),((c_TMAP1IN)-(c_TFWD)))+(0)+IF(((c_TMAP1OUT)-(0))&gt;=0,IF(IF(o_WRAP=1,MOD(((c_TMAP1IN)-(c_TFWD))*(((K138)-(c_TFWD))*((c_TMAP1OUT)-(0))+IF(((c_TMAP1OUT)-(0))&gt;=0,1,-1)*QUOTIENT(((c_TMAP1IN)-(c_TFWD)),2))+2147483648,4294967296)-2147483648,((c_TMAP1IN)-(c_TFWD))*(((K138)-(c_TFWD))*((c_TMAP1OUT)-(0))+IF(((c_TMAP1OUT)-(0))&gt;=0,1,-1)*QUOTIENT(((c_TMAP1IN)-(c_TFWD)),2)))&lt;0,-1,0),IF(IF(o_WRAP=1,MOD(((c_TMAP1IN)-(c_TFWD))*(((K138)-(c_TFWD))*((c_TMAP1OUT)-(0))+IF(((c_TMAP1OUT)-(0))&gt;=0,1,-1)*QUOTIENT(((c_TMAP1IN)-(c_TFWD)),2))+2147483648,4294967296)-2147483648,((c_TMAP1IN)-(c_TFWD))*(((K138)-(c_TFWD))*((c_TMAP1OUT)-(0))+IF(((c_TMAP1OUT)-(0))&gt;=0,1,-1)*QUOTIENT(((c_TMAP1IN)-(c_TFWD)),2)))&gt;=0,1,0)))</f>
        <v>174</v>
      </c>
      <c r="N138" s="7" t="n">
        <f aca="false">IF(((c_TMAP2IN)-(c_TMAP1IN))=0,(c_TMAP1OUT)+QUOTIENT(((c_TMAP2OUT)-(c_TMAP1OUT)),2),QUOTIENT((((K138)-(c_TMAP1IN))*((c_TMAP2OUT)-(c_TMAP1OUT))+IF(((c_TMAP2OUT)-(c_TMAP1OUT))&gt;=0,1,-1)*QUOTIENT(((c_TMAP2IN)-(c_TMAP1IN)),2)),((c_TMAP2IN)-(c_TMAP1IN)))+(c_TMAP1OUT)+IF(((c_TMAP2OUT)-(c_TMAP1OUT))&gt;=0,IF(IF(o_WRAP=1,MOD(((c_TMAP2IN)-(c_TMAP1IN))*(((K138)-(c_TMAP1IN))*((c_TMAP2OUT)-(c_TMAP1OUT))+IF(((c_TMAP2OUT)-(c_TMAP1OUT))&gt;=0,1,-1)*QUOTIENT(((c_TMAP2IN)-(c_TMAP1IN)),2))+2147483648,4294967296)-2147483648,((c_TMAP2IN)-(c_TMAP1IN))*(((K138)-(c_TMAP1IN))*((c_TMAP2OUT)-(c_TMAP1OUT))+IF(((c_TMAP2OUT)-(c_TMAP1OUT))&gt;=0,1,-1)*QUOTIENT(((c_TMAP2IN)-(c_TMAP1IN)),2)))&lt;0,-1,0),IF(IF(o_WRAP=1,MOD(((c_TMAP2IN)-(c_TMAP1IN))*(((K138)-(c_TMAP1IN))*((c_TMAP2OUT)-(c_TMAP1OUT))+IF(((c_TMAP2OUT)-(c_TMAP1OUT))&gt;=0,1,-1)*QUOTIENT(((c_TMAP2IN)-(c_TMAP1IN)),2))+2147483648,4294967296)-2147483648,((c_TMAP2IN)-(c_TMAP1IN))*(((K138)-(c_TMAP1IN))*((c_TMAP2OUT)-(c_TMAP1OUT))+IF(((c_TMAP2OUT)-(c_TMAP1OUT))&gt;=0,1,-1)*QUOTIENT(((c_TMAP2IN)-(c_TMAP1IN)),2)))&gt;=0,1,0)))</f>
        <v>124</v>
      </c>
      <c r="O138" s="7" t="n">
        <f aca="false">IF(((c_TMAP3IN)-(c_TMAP2IN))=0,(c_TMAP2OUT)+QUOTIENT(((c_TMAP3OUT)-(c_TMAP2OUT)),2),QUOTIENT((((K138)-(c_TMAP2IN))*((c_TMAP3OUT)-(c_TMAP2OUT))+IF(((c_TMAP3OUT)-(c_TMAP2OUT))&gt;=0,1,-1)*QUOTIENT(((c_TMAP3IN)-(c_TMAP2IN)),2)),((c_TMAP3IN)-(c_TMAP2IN)))+(c_TMAP2OUT)+IF(((c_TMAP3OUT)-(c_TMAP2OUT))&gt;=0,IF(IF(o_WRAP=1,MOD(((c_TMAP3IN)-(c_TMAP2IN))*(((K138)-(c_TMAP2IN))*((c_TMAP3OUT)-(c_TMAP2OUT))+IF(((c_TMAP3OUT)-(c_TMAP2OUT))&gt;=0,1,-1)*QUOTIENT(((c_TMAP3IN)-(c_TMAP2IN)),2))+2147483648,4294967296)-2147483648,((c_TMAP3IN)-(c_TMAP2IN))*(((K138)-(c_TMAP2IN))*((c_TMAP3OUT)-(c_TMAP2OUT))+IF(((c_TMAP3OUT)-(c_TMAP2OUT))&gt;=0,1,-1)*QUOTIENT(((c_TMAP3IN)-(c_TMAP2IN)),2)))&lt;0,-1,0),IF(IF(o_WRAP=1,MOD(((c_TMAP3IN)-(c_TMAP2IN))*(((K138)-(c_TMAP2IN))*((c_TMAP3OUT)-(c_TMAP2OUT))+IF(((c_TMAP3OUT)-(c_TMAP2OUT))&gt;=0,1,-1)*QUOTIENT(((c_TMAP3IN)-(c_TMAP2IN)),2))+2147483648,4294967296)-2147483648,((c_TMAP3IN)-(c_TMAP2IN))*(((K138)-(c_TMAP2IN))*((c_TMAP3OUT)-(c_TMAP2OUT))+IF(((c_TMAP3OUT)-(c_TMAP2OUT))&gt;=0,1,-1)*QUOTIENT(((c_TMAP3IN)-(c_TMAP2IN)),2)))&gt;=0,1,0)))</f>
        <v>119</v>
      </c>
      <c r="P138" s="7" t="n">
        <f aca="false">IF(((1000)-(c_TMAP3IN))=0,(c_TMAP3OUT)+QUOTIENT(((1000)-(c_TMAP3OUT)),2),QUOTIENT((((K138)-(c_TMAP3IN))*((1000)-(c_TMAP3OUT))+IF(((1000)-(c_TMAP3OUT))&gt;=0,1,-1)*QUOTIENT(((1000)-(c_TMAP3IN)),2)),((1000)-(c_TMAP3IN)))+(c_TMAP3OUT)+IF(((1000)-(c_TMAP3OUT))&gt;=0,IF(IF(o_WRAP=1,MOD(((1000)-(c_TMAP3IN))*(((K138)-(c_TMAP3IN))*((1000)-(c_TMAP3OUT))+IF(((1000)-(c_TMAP3OUT))&gt;=0,1,-1)*QUOTIENT(((1000)-(c_TMAP3IN)),2))+2147483648,4294967296)-2147483648,((1000)-(c_TMAP3IN))*(((K138)-(c_TMAP3IN))*((1000)-(c_TMAP3OUT))+IF(((1000)-(c_TMAP3OUT))&gt;=0,1,-1)*QUOTIENT(((1000)-(c_TMAP3IN)),2)))&lt;0,-1,0),IF(IF(o_WRAP=1,MOD(((1000)-(c_TMAP3IN))*(((K138)-(c_TMAP3IN))*((1000)-(c_TMAP3OUT))+IF(((1000)-(c_TMAP3OUT))&gt;=0,1,-1)*QUOTIENT(((1000)-(c_TMAP3IN)),2))+2147483648,4294967296)-2147483648,((1000)-(c_TMAP3IN))*(((K138)-(c_TMAP3IN))*((1000)-(c_TMAP3OUT))+IF(((1000)-(c_TMAP3OUT))&gt;=0,1,-1)*QUOTIENT(((1000)-(c_TMAP3IN)),2)))&gt;=0,1,0)))</f>
        <v>57</v>
      </c>
      <c r="Q138" s="7" t="str">
        <f aca="false">IF(K138&gt;=c_TFWD,IF(AND(K138&gt;=c_TMAP3IN,c_TMAP3IN&lt;1000),"Seg4 map3-100%",IF(AND(K138&gt;=c_TMAP2IN,c_TMAP3IN&gt;c_TMAP2IN),"Seg3 map2-map3",IF(AND(K138&gt;=c_TMAP1IN,c_TMAP2IN&gt;c_TMAP1IN),"Seg2 map1-map2","Seg1 TFWD-map1"))),IF(AND(K138=0,c_TCREEP&gt;0),"Creep",IF(AND(K138&lt;=c_TRNGMIN,K138&gt;=c_TRNGMAX,c_TRNGMIN-c_TRNGMAX&lt;&gt;0),"Regen ramp","Coast (0)")))</f>
        <v>Seg2 map1-map2</v>
      </c>
      <c r="R138" s="7" t="n">
        <f aca="false">IF(K138&gt;=c_TFWD,IF(AND(K138&gt;=c_TMAP3IN,c_TMAP3IN&lt;1000),P138,IF(AND(K138&gt;=c_TMAP2IN,c_TMAP3IN&gt;c_TMAP2IN),O138,IF(AND(K138&gt;=c_TMAP1IN,c_TMAP2IN&gt;c_TMAP1IN),N138,M138))),L138)</f>
        <v>124</v>
      </c>
      <c r="S138" s="7" t="str">
        <f aca="false">IF(R138&lt;-1090,"TOO LOW",IF(R138&gt;1090,"TOO HIGH",""))</f>
        <v/>
      </c>
      <c r="T138" s="15" t="n">
        <f aca="false">IF(H138&lt;&gt;"OK",0,IF(S138&lt;&gt;"",0,IF(R138&gt;979,1000,R138)))</f>
        <v>124</v>
      </c>
      <c r="U138" s="7" t="n">
        <f aca="false">T138/10</f>
        <v>12.4</v>
      </c>
    </row>
    <row r="139" customFormat="false" ht="15" hidden="false" customHeight="false" outlineLevel="0" collapsed="false">
      <c r="A139" s="7" t="n">
        <v>134</v>
      </c>
      <c r="B139" s="7" t="n">
        <f aca="false">ROUND(o_SWSTART+A139*(o_SWEND-o_SWSTART)/400,0)</f>
        <v>1372</v>
      </c>
      <c r="C139" s="7" t="n">
        <f aca="false">QUOTIENT((B139-c_OFF1)*c_GAIN1,1024)</f>
        <v>1372</v>
      </c>
      <c r="D139" s="7" t="n">
        <f aca="false">IF(((c_T1MX)-(c_T1MN))=0,(0)+QUOTIENT(((1000)-(0)),2),QUOTIENT((((C139)-(c_T1MN))*((1000)-(0))+IF(((1000)-(0))&gt;=0,1,-1)*QUOTIENT(((c_T1MX)-(c_T1MN)),2)),((c_T1MX)-(c_T1MN)))+(0)+IF(((1000)-(0))&gt;=0,IF(IF(o_WRAP=1,MOD(((c_T1MX)-(c_T1MN))*(((C139)-(c_T1MN))*((1000)-(0))+IF(((1000)-(0))&gt;=0,1,-1)*QUOTIENT(((c_T1MX)-(c_T1MN)),2))+2147483648,4294967296)-2147483648,((c_T1MX)-(c_T1MN))*(((C139)-(c_T1MN))*((1000)-(0))+IF(((1000)-(0))&gt;=0,1,-1)*QUOTIENT(((c_T1MX)-(c_T1MN)),2)))&lt;0,-1,0),IF(IF(o_WRAP=1,MOD(((c_T1MX)-(c_T1MN))*(((C139)-(c_T1MN))*((1000)-(0))+IF(((1000)-(0))&gt;=0,1,-1)*QUOTIENT(((c_T1MX)-(c_T1MN)),2))+2147483648,4294967296)-2147483648,((c_T1MX)-(c_T1MN))*(((C139)-(c_T1MN))*((1000)-(0))+IF(((1000)-(0))&gt;=0,1,-1)*QUOTIENT(((c_T1MX)-(c_T1MN)),2)))&gt;=0,1,0)))</f>
        <v>238</v>
      </c>
      <c r="E139" s="7" t="n">
        <f aca="false">IF(AND(c_TPOT=1,c_TTYPE=2),1000-D139,D139)</f>
        <v>238</v>
      </c>
      <c r="F139" s="7" t="str">
        <f aca="false">IF(c_TPOT&gt;1,ROUND(IF(c_TTYPE=2,c_T2MX-IF(c_T1MX=c_T1MN,0,(C139-c_T1MN)/(c_T1MX-c_T1MN))*(c_T2MX-c_T2MN),c_T2MN+IF(c_T1MX=c_T1MN,0,(C139-c_T1MN)/(c_T1MX-c_T1MN))*(c_T2MX-c_T2MN))+o_MISMATCH,0),"")</f>
        <v/>
      </c>
      <c r="G139" s="7" t="str">
        <f aca="false">IF(c_TPOT&gt;1,IF(((c_T2MX)-(c_T2MN))=0,(0)+QUOTIENT(((1000)-(0)),2),QUOTIENT((((F139)-(c_T2MN))*((1000)-(0))+IF(((1000)-(0))&gt;=0,1,-1)*QUOTIENT(((c_T2MX)-(c_T2MN)),2)),((c_T2MX)-(c_T2MN)))+(0)+IF(((1000)-(0))&gt;=0,IF(IF(o_WRAP=1,MOD(((c_T2MX)-(c_T2MN))*(((F139)-(c_T2MN))*((1000)-(0))+IF(((1000)-(0))&gt;=0,1,-1)*QUOTIENT(((c_T2MX)-(c_T2MN)),2))+2147483648,4294967296)-2147483648,((c_T2MX)-(c_T2MN))*(((F139)-(c_T2MN))*((1000)-(0))+IF(((1000)-(0))&gt;=0,1,-1)*QUOTIENT(((c_T2MX)-(c_T2MN)),2)))&lt;0,-1,0),IF(IF(o_WRAP=1,MOD(((c_T2MX)-(c_T2MN))*(((F139)-(c_T2MN))*((1000)-(0))+IF(((1000)-(0))&gt;=0,1,-1)*QUOTIENT(((c_T2MX)-(c_T2MN)),2))+2147483648,4294967296)-2147483648,((c_T2MX)-(c_T2MN))*(((F139)-(c_T2MN))*((1000)-(0))+IF(((1000)-(0))&gt;=0,1,-1)*QUOTIENT(((c_T2MX)-(c_T2MN)),2)))&gt;=0,1,0))),"")</f>
        <v/>
      </c>
      <c r="H139" s="7" t="str">
        <f aca="false">IF(E139&gt;1000+k_TOL,"T1 HIGH",IF(E139&lt;0-k_TOL,"T1 LOW",IF(c_TPOT&gt;1,IF(G139&gt;1000+k_TOL,"T2 HIGH",IF(G139&lt;0-k_TOL,"T2 LOW",IF(c_TTYPE=2,IF(ABS(1000-MAX(0,MIN(1000,E139))-MAX(0,MIN(1000,G139)))&gt;k_MAXERR,"MISMATCH","OK"),IF(OR(MAX(0,MIN(1000,E139))-k_MAXERR&gt;MAX(0,MIN(1000,G139)),MAX(0,MIN(1000,G139))-k_MAXERR&gt;MAX(0,MIN(1000,E139))),"MISMATCH","OK")))),"OK")))</f>
        <v>OK</v>
      </c>
      <c r="I139" s="7" t="n">
        <f aca="false">MAX(0,MIN(1000,D139))</f>
        <v>238</v>
      </c>
      <c r="J139" s="7" t="str">
        <f aca="false">IF(c_TPOT&gt;1,IF(c_TTYPE=2,1000-MAX(0,MIN(1000,G139)),MAX(0,MIN(1000,G139))),"")</f>
        <v/>
      </c>
      <c r="K139" s="7" t="n">
        <f aca="false">IF(c_TPOT&gt;1,QUOTIENT(I139+J139,2),I139)</f>
        <v>238</v>
      </c>
      <c r="L139" s="7" t="n">
        <f aca="false">IF(AND(K139=0,c_TCREEP&gt;0),10*c_TCREEP,IF(AND(K139&lt;=c_TRNGMIN,K139&gt;=c_TRNGMAX,c_TRNGMIN-c_TRNGMAX&lt;&gt;0),-10*c_TMINRN+QUOTIENT((c_TMAXRN-c_TMINRN)*(100-QUOTIENT((K139-c_TRNGMAX)*100,c_TRNGMIN-c_TRNGMAX)),-10),0))</f>
        <v>0</v>
      </c>
      <c r="M139" s="7" t="n">
        <f aca="false">IF(((c_TMAP1IN)-(c_TFWD))=0,(0)+QUOTIENT(((c_TMAP1OUT)-(0)),2),QUOTIENT((((K139)-(c_TFWD))*((c_TMAP1OUT)-(0))+IF(((c_TMAP1OUT)-(0))&gt;=0,1,-1)*QUOTIENT(((c_TMAP1IN)-(c_TFWD)),2)),((c_TMAP1IN)-(c_TFWD)))+(0)+IF(((c_TMAP1OUT)-(0))&gt;=0,IF(IF(o_WRAP=1,MOD(((c_TMAP1IN)-(c_TFWD))*(((K139)-(c_TFWD))*((c_TMAP1OUT)-(0))+IF(((c_TMAP1OUT)-(0))&gt;=0,1,-1)*QUOTIENT(((c_TMAP1IN)-(c_TFWD)),2))+2147483648,4294967296)-2147483648,((c_TMAP1IN)-(c_TFWD))*(((K139)-(c_TFWD))*((c_TMAP1OUT)-(0))+IF(((c_TMAP1OUT)-(0))&gt;=0,1,-1)*QUOTIENT(((c_TMAP1IN)-(c_TFWD)),2)))&lt;0,-1,0),IF(IF(o_WRAP=1,MOD(((c_TMAP1IN)-(c_TFWD))*(((K139)-(c_TFWD))*((c_TMAP1OUT)-(0))+IF(((c_TMAP1OUT)-(0))&gt;=0,1,-1)*QUOTIENT(((c_TMAP1IN)-(c_TFWD)),2))+2147483648,4294967296)-2147483648,((c_TMAP1IN)-(c_TFWD))*(((K139)-(c_TFWD))*((c_TMAP1OUT)-(0))+IF(((c_TMAP1OUT)-(0))&gt;=0,1,-1)*QUOTIENT(((c_TMAP1IN)-(c_TFWD)),2)))&gt;=0,1,0)))</f>
        <v>177</v>
      </c>
      <c r="N139" s="7" t="n">
        <f aca="false">IF(((c_TMAP2IN)-(c_TMAP1IN))=0,(c_TMAP1OUT)+QUOTIENT(((c_TMAP2OUT)-(c_TMAP1OUT)),2),QUOTIENT((((K139)-(c_TMAP1IN))*((c_TMAP2OUT)-(c_TMAP1OUT))+IF(((c_TMAP2OUT)-(c_TMAP1OUT))&gt;=0,1,-1)*QUOTIENT(((c_TMAP2IN)-(c_TMAP1IN)),2)),((c_TMAP2IN)-(c_TMAP1IN)))+(c_TMAP1OUT)+IF(((c_TMAP2OUT)-(c_TMAP1OUT))&gt;=0,IF(IF(o_WRAP=1,MOD(((c_TMAP2IN)-(c_TMAP1IN))*(((K139)-(c_TMAP1IN))*((c_TMAP2OUT)-(c_TMAP1OUT))+IF(((c_TMAP2OUT)-(c_TMAP1OUT))&gt;=0,1,-1)*QUOTIENT(((c_TMAP2IN)-(c_TMAP1IN)),2))+2147483648,4294967296)-2147483648,((c_TMAP2IN)-(c_TMAP1IN))*(((K139)-(c_TMAP1IN))*((c_TMAP2OUT)-(c_TMAP1OUT))+IF(((c_TMAP2OUT)-(c_TMAP1OUT))&gt;=0,1,-1)*QUOTIENT(((c_TMAP2IN)-(c_TMAP1IN)),2)))&lt;0,-1,0),IF(IF(o_WRAP=1,MOD(((c_TMAP2IN)-(c_TMAP1IN))*(((K139)-(c_TMAP1IN))*((c_TMAP2OUT)-(c_TMAP1OUT))+IF(((c_TMAP2OUT)-(c_TMAP1OUT))&gt;=0,1,-1)*QUOTIENT(((c_TMAP2IN)-(c_TMAP1IN)),2))+2147483648,4294967296)-2147483648,((c_TMAP2IN)-(c_TMAP1IN))*(((K139)-(c_TMAP1IN))*((c_TMAP2OUT)-(c_TMAP1OUT))+IF(((c_TMAP2OUT)-(c_TMAP1OUT))&gt;=0,1,-1)*QUOTIENT(((c_TMAP2IN)-(c_TMAP1IN)),2)))&gt;=0,1,0)))</f>
        <v>125</v>
      </c>
      <c r="O139" s="7" t="n">
        <f aca="false">IF(((c_TMAP3IN)-(c_TMAP2IN))=0,(c_TMAP2OUT)+QUOTIENT(((c_TMAP3OUT)-(c_TMAP2OUT)),2),QUOTIENT((((K139)-(c_TMAP2IN))*((c_TMAP3OUT)-(c_TMAP2OUT))+IF(((c_TMAP3OUT)-(c_TMAP2OUT))&gt;=0,1,-1)*QUOTIENT(((c_TMAP3IN)-(c_TMAP2IN)),2)),((c_TMAP3IN)-(c_TMAP2IN)))+(c_TMAP2OUT)+IF(((c_TMAP3OUT)-(c_TMAP2OUT))&gt;=0,IF(IF(o_WRAP=1,MOD(((c_TMAP3IN)-(c_TMAP2IN))*(((K139)-(c_TMAP2IN))*((c_TMAP3OUT)-(c_TMAP2OUT))+IF(((c_TMAP3OUT)-(c_TMAP2OUT))&gt;=0,1,-1)*QUOTIENT(((c_TMAP3IN)-(c_TMAP2IN)),2))+2147483648,4294967296)-2147483648,((c_TMAP3IN)-(c_TMAP2IN))*(((K139)-(c_TMAP2IN))*((c_TMAP3OUT)-(c_TMAP2OUT))+IF(((c_TMAP3OUT)-(c_TMAP2OUT))&gt;=0,1,-1)*QUOTIENT(((c_TMAP3IN)-(c_TMAP2IN)),2)))&lt;0,-1,0),IF(IF(o_WRAP=1,MOD(((c_TMAP3IN)-(c_TMAP2IN))*(((K139)-(c_TMAP2IN))*((c_TMAP3OUT)-(c_TMAP2OUT))+IF(((c_TMAP3OUT)-(c_TMAP2OUT))&gt;=0,1,-1)*QUOTIENT(((c_TMAP3IN)-(c_TMAP2IN)),2))+2147483648,4294967296)-2147483648,((c_TMAP3IN)-(c_TMAP2IN))*(((K139)-(c_TMAP2IN))*((c_TMAP3OUT)-(c_TMAP2OUT))+IF(((c_TMAP3OUT)-(c_TMAP2OUT))&gt;=0,1,-1)*QUOTIENT(((c_TMAP3IN)-(c_TMAP2IN)),2)))&gt;=0,1,0)))</f>
        <v>122</v>
      </c>
      <c r="P139" s="7" t="n">
        <f aca="false">IF(((1000)-(c_TMAP3IN))=0,(c_TMAP3OUT)+QUOTIENT(((1000)-(c_TMAP3OUT)),2),QUOTIENT((((K139)-(c_TMAP3IN))*((1000)-(c_TMAP3OUT))+IF(((1000)-(c_TMAP3OUT))&gt;=0,1,-1)*QUOTIENT(((1000)-(c_TMAP3IN)),2)),((1000)-(c_TMAP3IN)))+(c_TMAP3OUT)+IF(((1000)-(c_TMAP3OUT))&gt;=0,IF(IF(o_WRAP=1,MOD(((1000)-(c_TMAP3IN))*(((K139)-(c_TMAP3IN))*((1000)-(c_TMAP3OUT))+IF(((1000)-(c_TMAP3OUT))&gt;=0,1,-1)*QUOTIENT(((1000)-(c_TMAP3IN)),2))+2147483648,4294967296)-2147483648,((1000)-(c_TMAP3IN))*(((K139)-(c_TMAP3IN))*((1000)-(c_TMAP3OUT))+IF(((1000)-(c_TMAP3OUT))&gt;=0,1,-1)*QUOTIENT(((1000)-(c_TMAP3IN)),2)))&lt;0,-1,0),IF(IF(o_WRAP=1,MOD(((1000)-(c_TMAP3IN))*(((K139)-(c_TMAP3IN))*((1000)-(c_TMAP3OUT))+IF(((1000)-(c_TMAP3OUT))&gt;=0,1,-1)*QUOTIENT(((1000)-(c_TMAP3IN)),2))+2147483648,4294967296)-2147483648,((1000)-(c_TMAP3IN))*(((K139)-(c_TMAP3IN))*((1000)-(c_TMAP3OUT))+IF(((1000)-(c_TMAP3OUT))&gt;=0,1,-1)*QUOTIENT(((1000)-(c_TMAP3IN)),2)))&gt;=0,1,0)))</f>
        <v>62</v>
      </c>
      <c r="Q139" s="7" t="str">
        <f aca="false">IF(K139&gt;=c_TFWD,IF(AND(K139&gt;=c_TMAP3IN,c_TMAP3IN&lt;1000),"Seg4 map3-100%",IF(AND(K139&gt;=c_TMAP2IN,c_TMAP3IN&gt;c_TMAP2IN),"Seg3 map2-map3",IF(AND(K139&gt;=c_TMAP1IN,c_TMAP2IN&gt;c_TMAP1IN),"Seg2 map1-map2","Seg1 TFWD-map1"))),IF(AND(K139=0,c_TCREEP&gt;0),"Creep",IF(AND(K139&lt;=c_TRNGMIN,K139&gt;=c_TRNGMAX,c_TRNGMIN-c_TRNGMAX&lt;&gt;0),"Regen ramp","Coast (0)")))</f>
        <v>Seg2 map1-map2</v>
      </c>
      <c r="R139" s="7" t="n">
        <f aca="false">IF(K139&gt;=c_TFWD,IF(AND(K139&gt;=c_TMAP3IN,c_TMAP3IN&lt;1000),P139,IF(AND(K139&gt;=c_TMAP2IN,c_TMAP3IN&gt;c_TMAP2IN),O139,IF(AND(K139&gt;=c_TMAP1IN,c_TMAP2IN&gt;c_TMAP1IN),N139,M139))),L139)</f>
        <v>125</v>
      </c>
      <c r="S139" s="7" t="str">
        <f aca="false">IF(R139&lt;-1090,"TOO LOW",IF(R139&gt;1090,"TOO HIGH",""))</f>
        <v/>
      </c>
      <c r="T139" s="15" t="n">
        <f aca="false">IF(H139&lt;&gt;"OK",0,IF(S139&lt;&gt;"",0,IF(R139&gt;979,1000,R139)))</f>
        <v>125</v>
      </c>
      <c r="U139" s="7" t="n">
        <f aca="false">T139/10</f>
        <v>12.5</v>
      </c>
    </row>
    <row r="140" customFormat="false" ht="15" hidden="false" customHeight="false" outlineLevel="0" collapsed="false">
      <c r="A140" s="7" t="n">
        <v>135</v>
      </c>
      <c r="B140" s="7" t="n">
        <f aca="false">ROUND(o_SWSTART+A140*(o_SWEND-o_SWSTART)/400,0)</f>
        <v>1382</v>
      </c>
      <c r="C140" s="7" t="n">
        <f aca="false">QUOTIENT((B140-c_OFF1)*c_GAIN1,1024)</f>
        <v>1382</v>
      </c>
      <c r="D140" s="7" t="n">
        <f aca="false">IF(((c_T1MX)-(c_T1MN))=0,(0)+QUOTIENT(((1000)-(0)),2),QUOTIENT((((C140)-(c_T1MN))*((1000)-(0))+IF(((1000)-(0))&gt;=0,1,-1)*QUOTIENT(((c_T1MX)-(c_T1MN)),2)),((c_T1MX)-(c_T1MN)))+(0)+IF(((1000)-(0))&gt;=0,IF(IF(o_WRAP=1,MOD(((c_T1MX)-(c_T1MN))*(((C140)-(c_T1MN))*((1000)-(0))+IF(((1000)-(0))&gt;=0,1,-1)*QUOTIENT(((c_T1MX)-(c_T1MN)),2))+2147483648,4294967296)-2147483648,((c_T1MX)-(c_T1MN))*(((C140)-(c_T1MN))*((1000)-(0))+IF(((1000)-(0))&gt;=0,1,-1)*QUOTIENT(((c_T1MX)-(c_T1MN)),2)))&lt;0,-1,0),IF(IF(o_WRAP=1,MOD(((c_T1MX)-(c_T1MN))*(((C140)-(c_T1MN))*((1000)-(0))+IF(((1000)-(0))&gt;=0,1,-1)*QUOTIENT(((c_T1MX)-(c_T1MN)),2))+2147483648,4294967296)-2147483648,((c_T1MX)-(c_T1MN))*(((C140)-(c_T1MN))*((1000)-(0))+IF(((1000)-(0))&gt;=0,1,-1)*QUOTIENT(((c_T1MX)-(c_T1MN)),2)))&gt;=0,1,0)))</f>
        <v>241</v>
      </c>
      <c r="E140" s="7" t="n">
        <f aca="false">IF(AND(c_TPOT=1,c_TTYPE=2),1000-D140,D140)</f>
        <v>241</v>
      </c>
      <c r="F140" s="7" t="str">
        <f aca="false">IF(c_TPOT&gt;1,ROUND(IF(c_TTYPE=2,c_T2MX-IF(c_T1MX=c_T1MN,0,(C140-c_T1MN)/(c_T1MX-c_T1MN))*(c_T2MX-c_T2MN),c_T2MN+IF(c_T1MX=c_T1MN,0,(C140-c_T1MN)/(c_T1MX-c_T1MN))*(c_T2MX-c_T2MN))+o_MISMATCH,0),"")</f>
        <v/>
      </c>
      <c r="G140" s="7" t="str">
        <f aca="false">IF(c_TPOT&gt;1,IF(((c_T2MX)-(c_T2MN))=0,(0)+QUOTIENT(((1000)-(0)),2),QUOTIENT((((F140)-(c_T2MN))*((1000)-(0))+IF(((1000)-(0))&gt;=0,1,-1)*QUOTIENT(((c_T2MX)-(c_T2MN)),2)),((c_T2MX)-(c_T2MN)))+(0)+IF(((1000)-(0))&gt;=0,IF(IF(o_WRAP=1,MOD(((c_T2MX)-(c_T2MN))*(((F140)-(c_T2MN))*((1000)-(0))+IF(((1000)-(0))&gt;=0,1,-1)*QUOTIENT(((c_T2MX)-(c_T2MN)),2))+2147483648,4294967296)-2147483648,((c_T2MX)-(c_T2MN))*(((F140)-(c_T2MN))*((1000)-(0))+IF(((1000)-(0))&gt;=0,1,-1)*QUOTIENT(((c_T2MX)-(c_T2MN)),2)))&lt;0,-1,0),IF(IF(o_WRAP=1,MOD(((c_T2MX)-(c_T2MN))*(((F140)-(c_T2MN))*((1000)-(0))+IF(((1000)-(0))&gt;=0,1,-1)*QUOTIENT(((c_T2MX)-(c_T2MN)),2))+2147483648,4294967296)-2147483648,((c_T2MX)-(c_T2MN))*(((F140)-(c_T2MN))*((1000)-(0))+IF(((1000)-(0))&gt;=0,1,-1)*QUOTIENT(((c_T2MX)-(c_T2MN)),2)))&gt;=0,1,0))),"")</f>
        <v/>
      </c>
      <c r="H140" s="7" t="str">
        <f aca="false">IF(E140&gt;1000+k_TOL,"T1 HIGH",IF(E140&lt;0-k_TOL,"T1 LOW",IF(c_TPOT&gt;1,IF(G140&gt;1000+k_TOL,"T2 HIGH",IF(G140&lt;0-k_TOL,"T2 LOW",IF(c_TTYPE=2,IF(ABS(1000-MAX(0,MIN(1000,E140))-MAX(0,MIN(1000,G140)))&gt;k_MAXERR,"MISMATCH","OK"),IF(OR(MAX(0,MIN(1000,E140))-k_MAXERR&gt;MAX(0,MIN(1000,G140)),MAX(0,MIN(1000,G140))-k_MAXERR&gt;MAX(0,MIN(1000,E140))),"MISMATCH","OK")))),"OK")))</f>
        <v>OK</v>
      </c>
      <c r="I140" s="7" t="n">
        <f aca="false">MAX(0,MIN(1000,D140))</f>
        <v>241</v>
      </c>
      <c r="J140" s="7" t="str">
        <f aca="false">IF(c_TPOT&gt;1,IF(c_TTYPE=2,1000-MAX(0,MIN(1000,G140)),MAX(0,MIN(1000,G140))),"")</f>
        <v/>
      </c>
      <c r="K140" s="7" t="n">
        <f aca="false">IF(c_TPOT&gt;1,QUOTIENT(I140+J140,2),I140)</f>
        <v>241</v>
      </c>
      <c r="L140" s="7" t="n">
        <f aca="false">IF(AND(K140=0,c_TCREEP&gt;0),10*c_TCREEP,IF(AND(K140&lt;=c_TRNGMIN,K140&gt;=c_TRNGMAX,c_TRNGMIN-c_TRNGMAX&lt;&gt;0),-10*c_TMINRN+QUOTIENT((c_TMAXRN-c_TMINRN)*(100-QUOTIENT((K140-c_TRNGMAX)*100,c_TRNGMIN-c_TRNGMAX)),-10),0))</f>
        <v>0</v>
      </c>
      <c r="M140" s="7" t="n">
        <f aca="false">IF(((c_TMAP1IN)-(c_TFWD))=0,(0)+QUOTIENT(((c_TMAP1OUT)-(0)),2),QUOTIENT((((K140)-(c_TFWD))*((c_TMAP1OUT)-(0))+IF(((c_TMAP1OUT)-(0))&gt;=0,1,-1)*QUOTIENT(((c_TMAP1IN)-(c_TFWD)),2)),((c_TMAP1IN)-(c_TFWD)))+(0)+IF(((c_TMAP1OUT)-(0))&gt;=0,IF(IF(o_WRAP=1,MOD(((c_TMAP1IN)-(c_TFWD))*(((K140)-(c_TFWD))*((c_TMAP1OUT)-(0))+IF(((c_TMAP1OUT)-(0))&gt;=0,1,-1)*QUOTIENT(((c_TMAP1IN)-(c_TFWD)),2))+2147483648,4294967296)-2147483648,((c_TMAP1IN)-(c_TFWD))*(((K140)-(c_TFWD))*((c_TMAP1OUT)-(0))+IF(((c_TMAP1OUT)-(0))&gt;=0,1,-1)*QUOTIENT(((c_TMAP1IN)-(c_TFWD)),2)))&lt;0,-1,0),IF(IF(o_WRAP=1,MOD(((c_TMAP1IN)-(c_TFWD))*(((K140)-(c_TFWD))*((c_TMAP1OUT)-(0))+IF(((c_TMAP1OUT)-(0))&gt;=0,1,-1)*QUOTIENT(((c_TMAP1IN)-(c_TFWD)),2))+2147483648,4294967296)-2147483648,((c_TMAP1IN)-(c_TFWD))*(((K140)-(c_TFWD))*((c_TMAP1OUT)-(0))+IF(((c_TMAP1OUT)-(0))&gt;=0,1,-1)*QUOTIENT(((c_TMAP1IN)-(c_TFWD)),2)))&gt;=0,1,0)))</f>
        <v>180</v>
      </c>
      <c r="N140" s="7" t="n">
        <f aca="false">IF(((c_TMAP2IN)-(c_TMAP1IN))=0,(c_TMAP1OUT)+QUOTIENT(((c_TMAP2OUT)-(c_TMAP1OUT)),2),QUOTIENT((((K140)-(c_TMAP1IN))*((c_TMAP2OUT)-(c_TMAP1OUT))+IF(((c_TMAP2OUT)-(c_TMAP1OUT))&gt;=0,1,-1)*QUOTIENT(((c_TMAP2IN)-(c_TMAP1IN)),2)),((c_TMAP2IN)-(c_TMAP1IN)))+(c_TMAP1OUT)+IF(((c_TMAP2OUT)-(c_TMAP1OUT))&gt;=0,IF(IF(o_WRAP=1,MOD(((c_TMAP2IN)-(c_TMAP1IN))*(((K140)-(c_TMAP1IN))*((c_TMAP2OUT)-(c_TMAP1OUT))+IF(((c_TMAP2OUT)-(c_TMAP1OUT))&gt;=0,1,-1)*QUOTIENT(((c_TMAP2IN)-(c_TMAP1IN)),2))+2147483648,4294967296)-2147483648,((c_TMAP2IN)-(c_TMAP1IN))*(((K140)-(c_TMAP1IN))*((c_TMAP2OUT)-(c_TMAP1OUT))+IF(((c_TMAP2OUT)-(c_TMAP1OUT))&gt;=0,1,-1)*QUOTIENT(((c_TMAP2IN)-(c_TMAP1IN)),2)))&lt;0,-1,0),IF(IF(o_WRAP=1,MOD(((c_TMAP2IN)-(c_TMAP1IN))*(((K140)-(c_TMAP1IN))*((c_TMAP2OUT)-(c_TMAP1OUT))+IF(((c_TMAP2OUT)-(c_TMAP1OUT))&gt;=0,1,-1)*QUOTIENT(((c_TMAP2IN)-(c_TMAP1IN)),2))+2147483648,4294967296)-2147483648,((c_TMAP2IN)-(c_TMAP1IN))*(((K140)-(c_TMAP1IN))*((c_TMAP2OUT)-(c_TMAP1OUT))+IF(((c_TMAP2OUT)-(c_TMAP1OUT))&gt;=0,1,-1)*QUOTIENT(((c_TMAP2IN)-(c_TMAP1IN)),2)))&gt;=0,1,0)))</f>
        <v>126</v>
      </c>
      <c r="O140" s="7" t="n">
        <f aca="false">IF(((c_TMAP3IN)-(c_TMAP2IN))=0,(c_TMAP2OUT)+QUOTIENT(((c_TMAP3OUT)-(c_TMAP2OUT)),2),QUOTIENT((((K140)-(c_TMAP2IN))*((c_TMAP3OUT)-(c_TMAP2OUT))+IF(((c_TMAP3OUT)-(c_TMAP2OUT))&gt;=0,1,-1)*QUOTIENT(((c_TMAP3IN)-(c_TMAP2IN)),2)),((c_TMAP3IN)-(c_TMAP2IN)))+(c_TMAP2OUT)+IF(((c_TMAP3OUT)-(c_TMAP2OUT))&gt;=0,IF(IF(o_WRAP=1,MOD(((c_TMAP3IN)-(c_TMAP2IN))*(((K140)-(c_TMAP2IN))*((c_TMAP3OUT)-(c_TMAP2OUT))+IF(((c_TMAP3OUT)-(c_TMAP2OUT))&gt;=0,1,-1)*QUOTIENT(((c_TMAP3IN)-(c_TMAP2IN)),2))+2147483648,4294967296)-2147483648,((c_TMAP3IN)-(c_TMAP2IN))*(((K140)-(c_TMAP2IN))*((c_TMAP3OUT)-(c_TMAP2OUT))+IF(((c_TMAP3OUT)-(c_TMAP2OUT))&gt;=0,1,-1)*QUOTIENT(((c_TMAP3IN)-(c_TMAP2IN)),2)))&lt;0,-1,0),IF(IF(o_WRAP=1,MOD(((c_TMAP3IN)-(c_TMAP2IN))*(((K140)-(c_TMAP2IN))*((c_TMAP3OUT)-(c_TMAP2OUT))+IF(((c_TMAP3OUT)-(c_TMAP2OUT))&gt;=0,1,-1)*QUOTIENT(((c_TMAP3IN)-(c_TMAP2IN)),2))+2147483648,4294967296)-2147483648,((c_TMAP3IN)-(c_TMAP2IN))*(((K140)-(c_TMAP2IN))*((c_TMAP3OUT)-(c_TMAP2OUT))+IF(((c_TMAP3OUT)-(c_TMAP2OUT))&gt;=0,1,-1)*QUOTIENT(((c_TMAP3IN)-(c_TMAP2IN)),2)))&gt;=0,1,0)))</f>
        <v>124</v>
      </c>
      <c r="P140" s="7" t="n">
        <f aca="false">IF(((1000)-(c_TMAP3IN))=0,(c_TMAP3OUT)+QUOTIENT(((1000)-(c_TMAP3OUT)),2),QUOTIENT((((K140)-(c_TMAP3IN))*((1000)-(c_TMAP3OUT))+IF(((1000)-(c_TMAP3OUT))&gt;=0,1,-1)*QUOTIENT(((1000)-(c_TMAP3IN)),2)),((1000)-(c_TMAP3IN)))+(c_TMAP3OUT)+IF(((1000)-(c_TMAP3OUT))&gt;=0,IF(IF(o_WRAP=1,MOD(((1000)-(c_TMAP3IN))*(((K140)-(c_TMAP3IN))*((1000)-(c_TMAP3OUT))+IF(((1000)-(c_TMAP3OUT))&gt;=0,1,-1)*QUOTIENT(((1000)-(c_TMAP3IN)),2))+2147483648,4294967296)-2147483648,((1000)-(c_TMAP3IN))*(((K140)-(c_TMAP3IN))*((1000)-(c_TMAP3OUT))+IF(((1000)-(c_TMAP3OUT))&gt;=0,1,-1)*QUOTIENT(((1000)-(c_TMAP3IN)),2)))&lt;0,-1,0),IF(IF(o_WRAP=1,MOD(((1000)-(c_TMAP3IN))*(((K140)-(c_TMAP3IN))*((1000)-(c_TMAP3OUT))+IF(((1000)-(c_TMAP3OUT))&gt;=0,1,-1)*QUOTIENT(((1000)-(c_TMAP3IN)),2))+2147483648,4294967296)-2147483648,((1000)-(c_TMAP3IN))*(((K140)-(c_TMAP3IN))*((1000)-(c_TMAP3OUT))+IF(((1000)-(c_TMAP3OUT))&gt;=0,1,-1)*QUOTIENT(((1000)-(c_TMAP3IN)),2)))&gt;=0,1,0)))</f>
        <v>66</v>
      </c>
      <c r="Q140" s="7" t="str">
        <f aca="false">IF(K140&gt;=c_TFWD,IF(AND(K140&gt;=c_TMAP3IN,c_TMAP3IN&lt;1000),"Seg4 map3-100%",IF(AND(K140&gt;=c_TMAP2IN,c_TMAP3IN&gt;c_TMAP2IN),"Seg3 map2-map3",IF(AND(K140&gt;=c_TMAP1IN,c_TMAP2IN&gt;c_TMAP1IN),"Seg2 map1-map2","Seg1 TFWD-map1"))),IF(AND(K140=0,c_TCREEP&gt;0),"Creep",IF(AND(K140&lt;=c_TRNGMIN,K140&gt;=c_TRNGMAX,c_TRNGMIN-c_TRNGMAX&lt;&gt;0),"Regen ramp","Coast (0)")))</f>
        <v>Seg2 map1-map2</v>
      </c>
      <c r="R140" s="7" t="n">
        <f aca="false">IF(K140&gt;=c_TFWD,IF(AND(K140&gt;=c_TMAP3IN,c_TMAP3IN&lt;1000),P140,IF(AND(K140&gt;=c_TMAP2IN,c_TMAP3IN&gt;c_TMAP2IN),O140,IF(AND(K140&gt;=c_TMAP1IN,c_TMAP2IN&gt;c_TMAP1IN),N140,M140))),L140)</f>
        <v>126</v>
      </c>
      <c r="S140" s="7" t="str">
        <f aca="false">IF(R140&lt;-1090,"TOO LOW",IF(R140&gt;1090,"TOO HIGH",""))</f>
        <v/>
      </c>
      <c r="T140" s="15" t="n">
        <f aca="false">IF(H140&lt;&gt;"OK",0,IF(S140&lt;&gt;"",0,IF(R140&gt;979,1000,R140)))</f>
        <v>126</v>
      </c>
      <c r="U140" s="7" t="n">
        <f aca="false">T140/10</f>
        <v>12.6</v>
      </c>
    </row>
    <row r="141" customFormat="false" ht="15" hidden="false" customHeight="false" outlineLevel="0" collapsed="false">
      <c r="A141" s="7" t="n">
        <v>136</v>
      </c>
      <c r="B141" s="7" t="n">
        <f aca="false">ROUND(o_SWSTART+A141*(o_SWEND-o_SWSTART)/400,0)</f>
        <v>1392</v>
      </c>
      <c r="C141" s="7" t="n">
        <f aca="false">QUOTIENT((B141-c_OFF1)*c_GAIN1,1024)</f>
        <v>1392</v>
      </c>
      <c r="D141" s="7" t="n">
        <f aca="false">IF(((c_T1MX)-(c_T1MN))=0,(0)+QUOTIENT(((1000)-(0)),2),QUOTIENT((((C141)-(c_T1MN))*((1000)-(0))+IF(((1000)-(0))&gt;=0,1,-1)*QUOTIENT(((c_T1MX)-(c_T1MN)),2)),((c_T1MX)-(c_T1MN)))+(0)+IF(((1000)-(0))&gt;=0,IF(IF(o_WRAP=1,MOD(((c_T1MX)-(c_T1MN))*(((C141)-(c_T1MN))*((1000)-(0))+IF(((1000)-(0))&gt;=0,1,-1)*QUOTIENT(((c_T1MX)-(c_T1MN)),2))+2147483648,4294967296)-2147483648,((c_T1MX)-(c_T1MN))*(((C141)-(c_T1MN))*((1000)-(0))+IF(((1000)-(0))&gt;=0,1,-1)*QUOTIENT(((c_T1MX)-(c_T1MN)),2)))&lt;0,-1,0),IF(IF(o_WRAP=1,MOD(((c_T1MX)-(c_T1MN))*(((C141)-(c_T1MN))*((1000)-(0))+IF(((1000)-(0))&gt;=0,1,-1)*QUOTIENT(((c_T1MX)-(c_T1MN)),2))+2147483648,4294967296)-2147483648,((c_T1MX)-(c_T1MN))*(((C141)-(c_T1MN))*((1000)-(0))+IF(((1000)-(0))&gt;=0,1,-1)*QUOTIENT(((c_T1MX)-(c_T1MN)),2)))&gt;=0,1,0)))</f>
        <v>245</v>
      </c>
      <c r="E141" s="7" t="n">
        <f aca="false">IF(AND(c_TPOT=1,c_TTYPE=2),1000-D141,D141)</f>
        <v>245</v>
      </c>
      <c r="F141" s="7" t="str">
        <f aca="false">IF(c_TPOT&gt;1,ROUND(IF(c_TTYPE=2,c_T2MX-IF(c_T1MX=c_T1MN,0,(C141-c_T1MN)/(c_T1MX-c_T1MN))*(c_T2MX-c_T2MN),c_T2MN+IF(c_T1MX=c_T1MN,0,(C141-c_T1MN)/(c_T1MX-c_T1MN))*(c_T2MX-c_T2MN))+o_MISMATCH,0),"")</f>
        <v/>
      </c>
      <c r="G141" s="7" t="str">
        <f aca="false">IF(c_TPOT&gt;1,IF(((c_T2MX)-(c_T2MN))=0,(0)+QUOTIENT(((1000)-(0)),2),QUOTIENT((((F141)-(c_T2MN))*((1000)-(0))+IF(((1000)-(0))&gt;=0,1,-1)*QUOTIENT(((c_T2MX)-(c_T2MN)),2)),((c_T2MX)-(c_T2MN)))+(0)+IF(((1000)-(0))&gt;=0,IF(IF(o_WRAP=1,MOD(((c_T2MX)-(c_T2MN))*(((F141)-(c_T2MN))*((1000)-(0))+IF(((1000)-(0))&gt;=0,1,-1)*QUOTIENT(((c_T2MX)-(c_T2MN)),2))+2147483648,4294967296)-2147483648,((c_T2MX)-(c_T2MN))*(((F141)-(c_T2MN))*((1000)-(0))+IF(((1000)-(0))&gt;=0,1,-1)*QUOTIENT(((c_T2MX)-(c_T2MN)),2)))&lt;0,-1,0),IF(IF(o_WRAP=1,MOD(((c_T2MX)-(c_T2MN))*(((F141)-(c_T2MN))*((1000)-(0))+IF(((1000)-(0))&gt;=0,1,-1)*QUOTIENT(((c_T2MX)-(c_T2MN)),2))+2147483648,4294967296)-2147483648,((c_T2MX)-(c_T2MN))*(((F141)-(c_T2MN))*((1000)-(0))+IF(((1000)-(0))&gt;=0,1,-1)*QUOTIENT(((c_T2MX)-(c_T2MN)),2)))&gt;=0,1,0))),"")</f>
        <v/>
      </c>
      <c r="H141" s="7" t="str">
        <f aca="false">IF(E141&gt;1000+k_TOL,"T1 HIGH",IF(E141&lt;0-k_TOL,"T1 LOW",IF(c_TPOT&gt;1,IF(G141&gt;1000+k_TOL,"T2 HIGH",IF(G141&lt;0-k_TOL,"T2 LOW",IF(c_TTYPE=2,IF(ABS(1000-MAX(0,MIN(1000,E141))-MAX(0,MIN(1000,G141)))&gt;k_MAXERR,"MISMATCH","OK"),IF(OR(MAX(0,MIN(1000,E141))-k_MAXERR&gt;MAX(0,MIN(1000,G141)),MAX(0,MIN(1000,G141))-k_MAXERR&gt;MAX(0,MIN(1000,E141))),"MISMATCH","OK")))),"OK")))</f>
        <v>OK</v>
      </c>
      <c r="I141" s="7" t="n">
        <f aca="false">MAX(0,MIN(1000,D141))</f>
        <v>245</v>
      </c>
      <c r="J141" s="7" t="str">
        <f aca="false">IF(c_TPOT&gt;1,IF(c_TTYPE=2,1000-MAX(0,MIN(1000,G141)),MAX(0,MIN(1000,G141))),"")</f>
        <v/>
      </c>
      <c r="K141" s="7" t="n">
        <f aca="false">IF(c_TPOT&gt;1,QUOTIENT(I141+J141,2),I141)</f>
        <v>245</v>
      </c>
      <c r="L141" s="7" t="n">
        <f aca="false">IF(AND(K141=0,c_TCREEP&gt;0),10*c_TCREEP,IF(AND(K141&lt;=c_TRNGMIN,K141&gt;=c_TRNGMAX,c_TRNGMIN-c_TRNGMAX&lt;&gt;0),-10*c_TMINRN+QUOTIENT((c_TMAXRN-c_TMINRN)*(100-QUOTIENT((K141-c_TRNGMAX)*100,c_TRNGMIN-c_TRNGMAX)),-10),0))</f>
        <v>0</v>
      </c>
      <c r="M141" s="7" t="n">
        <f aca="false">IF(((c_TMAP1IN)-(c_TFWD))=0,(0)+QUOTIENT(((c_TMAP1OUT)-(0)),2),QUOTIENT((((K141)-(c_TFWD))*((c_TMAP1OUT)-(0))+IF(((c_TMAP1OUT)-(0))&gt;=0,1,-1)*QUOTIENT(((c_TMAP1IN)-(c_TFWD)),2)),((c_TMAP1IN)-(c_TFWD)))+(0)+IF(((c_TMAP1OUT)-(0))&gt;=0,IF(IF(o_WRAP=1,MOD(((c_TMAP1IN)-(c_TFWD))*(((K141)-(c_TFWD))*((c_TMAP1OUT)-(0))+IF(((c_TMAP1OUT)-(0))&gt;=0,1,-1)*QUOTIENT(((c_TMAP1IN)-(c_TFWD)),2))+2147483648,4294967296)-2147483648,((c_TMAP1IN)-(c_TFWD))*(((K141)-(c_TFWD))*((c_TMAP1OUT)-(0))+IF(((c_TMAP1OUT)-(0))&gt;=0,1,-1)*QUOTIENT(((c_TMAP1IN)-(c_TFWD)),2)))&lt;0,-1,0),IF(IF(o_WRAP=1,MOD(((c_TMAP1IN)-(c_TFWD))*(((K141)-(c_TFWD))*((c_TMAP1OUT)-(0))+IF(((c_TMAP1OUT)-(0))&gt;=0,1,-1)*QUOTIENT(((c_TMAP1IN)-(c_TFWD)),2))+2147483648,4294967296)-2147483648,((c_TMAP1IN)-(c_TFWD))*(((K141)-(c_TFWD))*((c_TMAP1OUT)-(0))+IF(((c_TMAP1OUT)-(0))&gt;=0,1,-1)*QUOTIENT(((c_TMAP1IN)-(c_TFWD)),2)))&gt;=0,1,0)))</f>
        <v>183</v>
      </c>
      <c r="N141" s="7" t="n">
        <f aca="false">IF(((c_TMAP2IN)-(c_TMAP1IN))=0,(c_TMAP1OUT)+QUOTIENT(((c_TMAP2OUT)-(c_TMAP1OUT)),2),QUOTIENT((((K141)-(c_TMAP1IN))*((c_TMAP2OUT)-(c_TMAP1OUT))+IF(((c_TMAP2OUT)-(c_TMAP1OUT))&gt;=0,1,-1)*QUOTIENT(((c_TMAP2IN)-(c_TMAP1IN)),2)),((c_TMAP2IN)-(c_TMAP1IN)))+(c_TMAP1OUT)+IF(((c_TMAP2OUT)-(c_TMAP1OUT))&gt;=0,IF(IF(o_WRAP=1,MOD(((c_TMAP2IN)-(c_TMAP1IN))*(((K141)-(c_TMAP1IN))*((c_TMAP2OUT)-(c_TMAP1OUT))+IF(((c_TMAP2OUT)-(c_TMAP1OUT))&gt;=0,1,-1)*QUOTIENT(((c_TMAP2IN)-(c_TMAP1IN)),2))+2147483648,4294967296)-2147483648,((c_TMAP2IN)-(c_TMAP1IN))*(((K141)-(c_TMAP1IN))*((c_TMAP2OUT)-(c_TMAP1OUT))+IF(((c_TMAP2OUT)-(c_TMAP1OUT))&gt;=0,1,-1)*QUOTIENT(((c_TMAP2IN)-(c_TMAP1IN)),2)))&lt;0,-1,0),IF(IF(o_WRAP=1,MOD(((c_TMAP2IN)-(c_TMAP1IN))*(((K141)-(c_TMAP1IN))*((c_TMAP2OUT)-(c_TMAP1OUT))+IF(((c_TMAP2OUT)-(c_TMAP1OUT))&gt;=0,1,-1)*QUOTIENT(((c_TMAP2IN)-(c_TMAP1IN)),2))+2147483648,4294967296)-2147483648,((c_TMAP2IN)-(c_TMAP1IN))*(((K141)-(c_TMAP1IN))*((c_TMAP2OUT)-(c_TMAP1OUT))+IF(((c_TMAP2OUT)-(c_TMAP1OUT))&gt;=0,1,-1)*QUOTIENT(((c_TMAP2IN)-(c_TMAP1IN)),2)))&gt;=0,1,0)))</f>
        <v>128</v>
      </c>
      <c r="O141" s="7" t="n">
        <f aca="false">IF(((c_TMAP3IN)-(c_TMAP2IN))=0,(c_TMAP2OUT)+QUOTIENT(((c_TMAP3OUT)-(c_TMAP2OUT)),2),QUOTIENT((((K141)-(c_TMAP2IN))*((c_TMAP3OUT)-(c_TMAP2OUT))+IF(((c_TMAP3OUT)-(c_TMAP2OUT))&gt;=0,1,-1)*QUOTIENT(((c_TMAP3IN)-(c_TMAP2IN)),2)),((c_TMAP3IN)-(c_TMAP2IN)))+(c_TMAP2OUT)+IF(((c_TMAP3OUT)-(c_TMAP2OUT))&gt;=0,IF(IF(o_WRAP=1,MOD(((c_TMAP3IN)-(c_TMAP2IN))*(((K141)-(c_TMAP2IN))*((c_TMAP3OUT)-(c_TMAP2OUT))+IF(((c_TMAP3OUT)-(c_TMAP2OUT))&gt;=0,1,-1)*QUOTIENT(((c_TMAP3IN)-(c_TMAP2IN)),2))+2147483648,4294967296)-2147483648,((c_TMAP3IN)-(c_TMAP2IN))*(((K141)-(c_TMAP2IN))*((c_TMAP3OUT)-(c_TMAP2OUT))+IF(((c_TMAP3OUT)-(c_TMAP2OUT))&gt;=0,1,-1)*QUOTIENT(((c_TMAP3IN)-(c_TMAP2IN)),2)))&lt;0,-1,0),IF(IF(o_WRAP=1,MOD(((c_TMAP3IN)-(c_TMAP2IN))*(((K141)-(c_TMAP2IN))*((c_TMAP3OUT)-(c_TMAP2OUT))+IF(((c_TMAP3OUT)-(c_TMAP2OUT))&gt;=0,1,-1)*QUOTIENT(((c_TMAP3IN)-(c_TMAP2IN)),2))+2147483648,4294967296)-2147483648,((c_TMAP3IN)-(c_TMAP2IN))*(((K141)-(c_TMAP2IN))*((c_TMAP3OUT)-(c_TMAP2OUT))+IF(((c_TMAP3OUT)-(c_TMAP2OUT))&gt;=0,1,-1)*QUOTIENT(((c_TMAP3IN)-(c_TMAP2IN)),2)))&gt;=0,1,0)))</f>
        <v>126</v>
      </c>
      <c r="P141" s="7" t="n">
        <f aca="false">IF(((1000)-(c_TMAP3IN))=0,(c_TMAP3OUT)+QUOTIENT(((1000)-(c_TMAP3OUT)),2),QUOTIENT((((K141)-(c_TMAP3IN))*((1000)-(c_TMAP3OUT))+IF(((1000)-(c_TMAP3OUT))&gt;=0,1,-1)*QUOTIENT(((1000)-(c_TMAP3IN)),2)),((1000)-(c_TMAP3IN)))+(c_TMAP3OUT)+IF(((1000)-(c_TMAP3OUT))&gt;=0,IF(IF(o_WRAP=1,MOD(((1000)-(c_TMAP3IN))*(((K141)-(c_TMAP3IN))*((1000)-(c_TMAP3OUT))+IF(((1000)-(c_TMAP3OUT))&gt;=0,1,-1)*QUOTIENT(((1000)-(c_TMAP3IN)),2))+2147483648,4294967296)-2147483648,((1000)-(c_TMAP3IN))*(((K141)-(c_TMAP3IN))*((1000)-(c_TMAP3OUT))+IF(((1000)-(c_TMAP3OUT))&gt;=0,1,-1)*QUOTIENT(((1000)-(c_TMAP3IN)),2)))&lt;0,-1,0),IF(IF(o_WRAP=1,MOD(((1000)-(c_TMAP3IN))*(((K141)-(c_TMAP3IN))*((1000)-(c_TMAP3OUT))+IF(((1000)-(c_TMAP3OUT))&gt;=0,1,-1)*QUOTIENT(((1000)-(c_TMAP3IN)),2))+2147483648,4294967296)-2147483648,((1000)-(c_TMAP3IN))*(((K141)-(c_TMAP3IN))*((1000)-(c_TMAP3OUT))+IF(((1000)-(c_TMAP3OUT))&gt;=0,1,-1)*QUOTIENT(((1000)-(c_TMAP3IN)),2)))&gt;=0,1,0)))</f>
        <v>71</v>
      </c>
      <c r="Q141" s="7" t="str">
        <f aca="false">IF(K141&gt;=c_TFWD,IF(AND(K141&gt;=c_TMAP3IN,c_TMAP3IN&lt;1000),"Seg4 map3-100%",IF(AND(K141&gt;=c_TMAP2IN,c_TMAP3IN&gt;c_TMAP2IN),"Seg3 map2-map3",IF(AND(K141&gt;=c_TMAP1IN,c_TMAP2IN&gt;c_TMAP1IN),"Seg2 map1-map2","Seg1 TFWD-map1"))),IF(AND(K141=0,c_TCREEP&gt;0),"Creep",IF(AND(K141&lt;=c_TRNGMIN,K141&gt;=c_TRNGMAX,c_TRNGMIN-c_TRNGMAX&lt;&gt;0),"Regen ramp","Coast (0)")))</f>
        <v>Seg2 map1-map2</v>
      </c>
      <c r="R141" s="7" t="n">
        <f aca="false">IF(K141&gt;=c_TFWD,IF(AND(K141&gt;=c_TMAP3IN,c_TMAP3IN&lt;1000),P141,IF(AND(K141&gt;=c_TMAP2IN,c_TMAP3IN&gt;c_TMAP2IN),O141,IF(AND(K141&gt;=c_TMAP1IN,c_TMAP2IN&gt;c_TMAP1IN),N141,M141))),L141)</f>
        <v>128</v>
      </c>
      <c r="S141" s="7" t="str">
        <f aca="false">IF(R141&lt;-1090,"TOO LOW",IF(R141&gt;1090,"TOO HIGH",""))</f>
        <v/>
      </c>
      <c r="T141" s="15" t="n">
        <f aca="false">IF(H141&lt;&gt;"OK",0,IF(S141&lt;&gt;"",0,IF(R141&gt;979,1000,R141)))</f>
        <v>128</v>
      </c>
      <c r="U141" s="7" t="n">
        <f aca="false">T141/10</f>
        <v>12.8</v>
      </c>
    </row>
    <row r="142" customFormat="false" ht="15" hidden="false" customHeight="false" outlineLevel="0" collapsed="false">
      <c r="A142" s="7" t="n">
        <v>137</v>
      </c>
      <c r="B142" s="7" t="n">
        <f aca="false">ROUND(o_SWSTART+A142*(o_SWEND-o_SWSTART)/400,0)</f>
        <v>1403</v>
      </c>
      <c r="C142" s="7" t="n">
        <f aca="false">QUOTIENT((B142-c_OFF1)*c_GAIN1,1024)</f>
        <v>1403</v>
      </c>
      <c r="D142" s="7" t="n">
        <f aca="false">IF(((c_T1MX)-(c_T1MN))=0,(0)+QUOTIENT(((1000)-(0)),2),QUOTIENT((((C142)-(c_T1MN))*((1000)-(0))+IF(((1000)-(0))&gt;=0,1,-1)*QUOTIENT(((c_T1MX)-(c_T1MN)),2)),((c_T1MX)-(c_T1MN)))+(0)+IF(((1000)-(0))&gt;=0,IF(IF(o_WRAP=1,MOD(((c_T1MX)-(c_T1MN))*(((C142)-(c_T1MN))*((1000)-(0))+IF(((1000)-(0))&gt;=0,1,-1)*QUOTIENT(((c_T1MX)-(c_T1MN)),2))+2147483648,4294967296)-2147483648,((c_T1MX)-(c_T1MN))*(((C142)-(c_T1MN))*((1000)-(0))+IF(((1000)-(0))&gt;=0,1,-1)*QUOTIENT(((c_T1MX)-(c_T1MN)),2)))&lt;0,-1,0),IF(IF(o_WRAP=1,MOD(((c_T1MX)-(c_T1MN))*(((C142)-(c_T1MN))*((1000)-(0))+IF(((1000)-(0))&gt;=0,1,-1)*QUOTIENT(((c_T1MX)-(c_T1MN)),2))+2147483648,4294967296)-2147483648,((c_T1MX)-(c_T1MN))*(((C142)-(c_T1MN))*((1000)-(0))+IF(((1000)-(0))&gt;=0,1,-1)*QUOTIENT(((c_T1MX)-(c_T1MN)),2)))&gt;=0,1,0)))</f>
        <v>249</v>
      </c>
      <c r="E142" s="7" t="n">
        <f aca="false">IF(AND(c_TPOT=1,c_TTYPE=2),1000-D142,D142)</f>
        <v>249</v>
      </c>
      <c r="F142" s="7" t="str">
        <f aca="false">IF(c_TPOT&gt;1,ROUND(IF(c_TTYPE=2,c_T2MX-IF(c_T1MX=c_T1MN,0,(C142-c_T1MN)/(c_T1MX-c_T1MN))*(c_T2MX-c_T2MN),c_T2MN+IF(c_T1MX=c_T1MN,0,(C142-c_T1MN)/(c_T1MX-c_T1MN))*(c_T2MX-c_T2MN))+o_MISMATCH,0),"")</f>
        <v/>
      </c>
      <c r="G142" s="7" t="str">
        <f aca="false">IF(c_TPOT&gt;1,IF(((c_T2MX)-(c_T2MN))=0,(0)+QUOTIENT(((1000)-(0)),2),QUOTIENT((((F142)-(c_T2MN))*((1000)-(0))+IF(((1000)-(0))&gt;=0,1,-1)*QUOTIENT(((c_T2MX)-(c_T2MN)),2)),((c_T2MX)-(c_T2MN)))+(0)+IF(((1000)-(0))&gt;=0,IF(IF(o_WRAP=1,MOD(((c_T2MX)-(c_T2MN))*(((F142)-(c_T2MN))*((1000)-(0))+IF(((1000)-(0))&gt;=0,1,-1)*QUOTIENT(((c_T2MX)-(c_T2MN)),2))+2147483648,4294967296)-2147483648,((c_T2MX)-(c_T2MN))*(((F142)-(c_T2MN))*((1000)-(0))+IF(((1000)-(0))&gt;=0,1,-1)*QUOTIENT(((c_T2MX)-(c_T2MN)),2)))&lt;0,-1,0),IF(IF(o_WRAP=1,MOD(((c_T2MX)-(c_T2MN))*(((F142)-(c_T2MN))*((1000)-(0))+IF(((1000)-(0))&gt;=0,1,-1)*QUOTIENT(((c_T2MX)-(c_T2MN)),2))+2147483648,4294967296)-2147483648,((c_T2MX)-(c_T2MN))*(((F142)-(c_T2MN))*((1000)-(0))+IF(((1000)-(0))&gt;=0,1,-1)*QUOTIENT(((c_T2MX)-(c_T2MN)),2)))&gt;=0,1,0))),"")</f>
        <v/>
      </c>
      <c r="H142" s="7" t="str">
        <f aca="false">IF(E142&gt;1000+k_TOL,"T1 HIGH",IF(E142&lt;0-k_TOL,"T1 LOW",IF(c_TPOT&gt;1,IF(G142&gt;1000+k_TOL,"T2 HIGH",IF(G142&lt;0-k_TOL,"T2 LOW",IF(c_TTYPE=2,IF(ABS(1000-MAX(0,MIN(1000,E142))-MAX(0,MIN(1000,G142)))&gt;k_MAXERR,"MISMATCH","OK"),IF(OR(MAX(0,MIN(1000,E142))-k_MAXERR&gt;MAX(0,MIN(1000,G142)),MAX(0,MIN(1000,G142))-k_MAXERR&gt;MAX(0,MIN(1000,E142))),"MISMATCH","OK")))),"OK")))</f>
        <v>OK</v>
      </c>
      <c r="I142" s="7" t="n">
        <f aca="false">MAX(0,MIN(1000,D142))</f>
        <v>249</v>
      </c>
      <c r="J142" s="7" t="str">
        <f aca="false">IF(c_TPOT&gt;1,IF(c_TTYPE=2,1000-MAX(0,MIN(1000,G142)),MAX(0,MIN(1000,G142))),"")</f>
        <v/>
      </c>
      <c r="K142" s="7" t="n">
        <f aca="false">IF(c_TPOT&gt;1,QUOTIENT(I142+J142,2),I142)</f>
        <v>249</v>
      </c>
      <c r="L142" s="7" t="n">
        <f aca="false">IF(AND(K142=0,c_TCREEP&gt;0),10*c_TCREEP,IF(AND(K142&lt;=c_TRNGMIN,K142&gt;=c_TRNGMAX,c_TRNGMIN-c_TRNGMAX&lt;&gt;0),-10*c_TMINRN+QUOTIENT((c_TMAXRN-c_TMINRN)*(100-QUOTIENT((K142-c_TRNGMAX)*100,c_TRNGMIN-c_TRNGMAX)),-10),0))</f>
        <v>0</v>
      </c>
      <c r="M142" s="7" t="n">
        <f aca="false">IF(((c_TMAP1IN)-(c_TFWD))=0,(0)+QUOTIENT(((c_TMAP1OUT)-(0)),2),QUOTIENT((((K142)-(c_TFWD))*((c_TMAP1OUT)-(0))+IF(((c_TMAP1OUT)-(0))&gt;=0,1,-1)*QUOTIENT(((c_TMAP1IN)-(c_TFWD)),2)),((c_TMAP1IN)-(c_TFWD)))+(0)+IF(((c_TMAP1OUT)-(0))&gt;=0,IF(IF(o_WRAP=1,MOD(((c_TMAP1IN)-(c_TFWD))*(((K142)-(c_TFWD))*((c_TMAP1OUT)-(0))+IF(((c_TMAP1OUT)-(0))&gt;=0,1,-1)*QUOTIENT(((c_TMAP1IN)-(c_TFWD)),2))+2147483648,4294967296)-2147483648,((c_TMAP1IN)-(c_TFWD))*(((K142)-(c_TFWD))*((c_TMAP1OUT)-(0))+IF(((c_TMAP1OUT)-(0))&gt;=0,1,-1)*QUOTIENT(((c_TMAP1IN)-(c_TFWD)),2)))&lt;0,-1,0),IF(IF(o_WRAP=1,MOD(((c_TMAP1IN)-(c_TFWD))*(((K142)-(c_TFWD))*((c_TMAP1OUT)-(0))+IF(((c_TMAP1OUT)-(0))&gt;=0,1,-1)*QUOTIENT(((c_TMAP1IN)-(c_TFWD)),2))+2147483648,4294967296)-2147483648,((c_TMAP1IN)-(c_TFWD))*(((K142)-(c_TFWD))*((c_TMAP1OUT)-(0))+IF(((c_TMAP1OUT)-(0))&gt;=0,1,-1)*QUOTIENT(((c_TMAP1IN)-(c_TFWD)),2)))&gt;=0,1,0)))</f>
        <v>186</v>
      </c>
      <c r="N142" s="7" t="n">
        <f aca="false">IF(((c_TMAP2IN)-(c_TMAP1IN))=0,(c_TMAP1OUT)+QUOTIENT(((c_TMAP2OUT)-(c_TMAP1OUT)),2),QUOTIENT((((K142)-(c_TMAP1IN))*((c_TMAP2OUT)-(c_TMAP1OUT))+IF(((c_TMAP2OUT)-(c_TMAP1OUT))&gt;=0,1,-1)*QUOTIENT(((c_TMAP2IN)-(c_TMAP1IN)),2)),((c_TMAP2IN)-(c_TMAP1IN)))+(c_TMAP1OUT)+IF(((c_TMAP2OUT)-(c_TMAP1OUT))&gt;=0,IF(IF(o_WRAP=1,MOD(((c_TMAP2IN)-(c_TMAP1IN))*(((K142)-(c_TMAP1IN))*((c_TMAP2OUT)-(c_TMAP1OUT))+IF(((c_TMAP2OUT)-(c_TMAP1OUT))&gt;=0,1,-1)*QUOTIENT(((c_TMAP2IN)-(c_TMAP1IN)),2))+2147483648,4294967296)-2147483648,((c_TMAP2IN)-(c_TMAP1IN))*(((K142)-(c_TMAP1IN))*((c_TMAP2OUT)-(c_TMAP1OUT))+IF(((c_TMAP2OUT)-(c_TMAP1OUT))&gt;=0,1,-1)*QUOTIENT(((c_TMAP2IN)-(c_TMAP1IN)),2)))&lt;0,-1,0),IF(IF(o_WRAP=1,MOD(((c_TMAP2IN)-(c_TMAP1IN))*(((K142)-(c_TMAP1IN))*((c_TMAP2OUT)-(c_TMAP1OUT))+IF(((c_TMAP2OUT)-(c_TMAP1OUT))&gt;=0,1,-1)*QUOTIENT(((c_TMAP2IN)-(c_TMAP1IN)),2))+2147483648,4294967296)-2147483648,((c_TMAP2IN)-(c_TMAP1IN))*(((K142)-(c_TMAP1IN))*((c_TMAP2OUT)-(c_TMAP1OUT))+IF(((c_TMAP2OUT)-(c_TMAP1OUT))&gt;=0,1,-1)*QUOTIENT(((c_TMAP2IN)-(c_TMAP1IN)),2)))&gt;=0,1,0)))</f>
        <v>130</v>
      </c>
      <c r="O142" s="7" t="n">
        <f aca="false">IF(((c_TMAP3IN)-(c_TMAP2IN))=0,(c_TMAP2OUT)+QUOTIENT(((c_TMAP3OUT)-(c_TMAP2OUT)),2),QUOTIENT((((K142)-(c_TMAP2IN))*((c_TMAP3OUT)-(c_TMAP2OUT))+IF(((c_TMAP3OUT)-(c_TMAP2OUT))&gt;=0,1,-1)*QUOTIENT(((c_TMAP3IN)-(c_TMAP2IN)),2)),((c_TMAP3IN)-(c_TMAP2IN)))+(c_TMAP2OUT)+IF(((c_TMAP3OUT)-(c_TMAP2OUT))&gt;=0,IF(IF(o_WRAP=1,MOD(((c_TMAP3IN)-(c_TMAP2IN))*(((K142)-(c_TMAP2IN))*((c_TMAP3OUT)-(c_TMAP2OUT))+IF(((c_TMAP3OUT)-(c_TMAP2OUT))&gt;=0,1,-1)*QUOTIENT(((c_TMAP3IN)-(c_TMAP2IN)),2))+2147483648,4294967296)-2147483648,((c_TMAP3IN)-(c_TMAP2IN))*(((K142)-(c_TMAP2IN))*((c_TMAP3OUT)-(c_TMAP2OUT))+IF(((c_TMAP3OUT)-(c_TMAP2OUT))&gt;=0,1,-1)*QUOTIENT(((c_TMAP3IN)-(c_TMAP2IN)),2)))&lt;0,-1,0),IF(IF(o_WRAP=1,MOD(((c_TMAP3IN)-(c_TMAP2IN))*(((K142)-(c_TMAP2IN))*((c_TMAP3OUT)-(c_TMAP2OUT))+IF(((c_TMAP3OUT)-(c_TMAP2OUT))&gt;=0,1,-1)*QUOTIENT(((c_TMAP3IN)-(c_TMAP2IN)),2))+2147483648,4294967296)-2147483648,((c_TMAP3IN)-(c_TMAP2IN))*(((K142)-(c_TMAP2IN))*((c_TMAP3OUT)-(c_TMAP2OUT))+IF(((c_TMAP3OUT)-(c_TMAP2OUT))&gt;=0,1,-1)*QUOTIENT(((c_TMAP3IN)-(c_TMAP2IN)),2)))&gt;=0,1,0)))</f>
        <v>129</v>
      </c>
      <c r="P142" s="7" t="n">
        <f aca="false">IF(((1000)-(c_TMAP3IN))=0,(c_TMAP3OUT)+QUOTIENT(((1000)-(c_TMAP3OUT)),2),QUOTIENT((((K142)-(c_TMAP3IN))*((1000)-(c_TMAP3OUT))+IF(((1000)-(c_TMAP3OUT))&gt;=0,1,-1)*QUOTIENT(((1000)-(c_TMAP3IN)),2)),((1000)-(c_TMAP3IN)))+(c_TMAP3OUT)+IF(((1000)-(c_TMAP3OUT))&gt;=0,IF(IF(o_WRAP=1,MOD(((1000)-(c_TMAP3IN))*(((K142)-(c_TMAP3IN))*((1000)-(c_TMAP3OUT))+IF(((1000)-(c_TMAP3OUT))&gt;=0,1,-1)*QUOTIENT(((1000)-(c_TMAP3IN)),2))+2147483648,4294967296)-2147483648,((1000)-(c_TMAP3IN))*(((K142)-(c_TMAP3IN))*((1000)-(c_TMAP3OUT))+IF(((1000)-(c_TMAP3OUT))&gt;=0,1,-1)*QUOTIENT(((1000)-(c_TMAP3IN)),2)))&lt;0,-1,0),IF(IF(o_WRAP=1,MOD(((1000)-(c_TMAP3IN))*(((K142)-(c_TMAP3IN))*((1000)-(c_TMAP3OUT))+IF(((1000)-(c_TMAP3OUT))&gt;=0,1,-1)*QUOTIENT(((1000)-(c_TMAP3IN)),2))+2147483648,4294967296)-2147483648,((1000)-(c_TMAP3IN))*(((K142)-(c_TMAP3IN))*((1000)-(c_TMAP3OUT))+IF(((1000)-(c_TMAP3OUT))&gt;=0,1,-1)*QUOTIENT(((1000)-(c_TMAP3IN)),2)))&gt;=0,1,0)))</f>
        <v>76</v>
      </c>
      <c r="Q142" s="7" t="str">
        <f aca="false">IF(K142&gt;=c_TFWD,IF(AND(K142&gt;=c_TMAP3IN,c_TMAP3IN&lt;1000),"Seg4 map3-100%",IF(AND(K142&gt;=c_TMAP2IN,c_TMAP3IN&gt;c_TMAP2IN),"Seg3 map2-map3",IF(AND(K142&gt;=c_TMAP1IN,c_TMAP2IN&gt;c_TMAP1IN),"Seg2 map1-map2","Seg1 TFWD-map1"))),IF(AND(K142=0,c_TCREEP&gt;0),"Creep",IF(AND(K142&lt;=c_TRNGMIN,K142&gt;=c_TRNGMAX,c_TRNGMIN-c_TRNGMAX&lt;&gt;0),"Regen ramp","Coast (0)")))</f>
        <v>Seg2 map1-map2</v>
      </c>
      <c r="R142" s="7" t="n">
        <f aca="false">IF(K142&gt;=c_TFWD,IF(AND(K142&gt;=c_TMAP3IN,c_TMAP3IN&lt;1000),P142,IF(AND(K142&gt;=c_TMAP2IN,c_TMAP3IN&gt;c_TMAP2IN),O142,IF(AND(K142&gt;=c_TMAP1IN,c_TMAP2IN&gt;c_TMAP1IN),N142,M142))),L142)</f>
        <v>130</v>
      </c>
      <c r="S142" s="7" t="str">
        <f aca="false">IF(R142&lt;-1090,"TOO LOW",IF(R142&gt;1090,"TOO HIGH",""))</f>
        <v/>
      </c>
      <c r="T142" s="15" t="n">
        <f aca="false">IF(H142&lt;&gt;"OK",0,IF(S142&lt;&gt;"",0,IF(R142&gt;979,1000,R142)))</f>
        <v>130</v>
      </c>
      <c r="U142" s="7" t="n">
        <f aca="false">T142/10</f>
        <v>13</v>
      </c>
    </row>
    <row r="143" customFormat="false" ht="15" hidden="false" customHeight="false" outlineLevel="0" collapsed="false">
      <c r="A143" s="7" t="n">
        <v>138</v>
      </c>
      <c r="B143" s="7" t="n">
        <f aca="false">ROUND(o_SWSTART+A143*(o_SWEND-o_SWSTART)/400,0)</f>
        <v>1413</v>
      </c>
      <c r="C143" s="7" t="n">
        <f aca="false">QUOTIENT((B143-c_OFF1)*c_GAIN1,1024)</f>
        <v>1413</v>
      </c>
      <c r="D143" s="7" t="n">
        <f aca="false">IF(((c_T1MX)-(c_T1MN))=0,(0)+QUOTIENT(((1000)-(0)),2),QUOTIENT((((C143)-(c_T1MN))*((1000)-(0))+IF(((1000)-(0))&gt;=0,1,-1)*QUOTIENT(((c_T1MX)-(c_T1MN)),2)),((c_T1MX)-(c_T1MN)))+(0)+IF(((1000)-(0))&gt;=0,IF(IF(o_WRAP=1,MOD(((c_T1MX)-(c_T1MN))*(((C143)-(c_T1MN))*((1000)-(0))+IF(((1000)-(0))&gt;=0,1,-1)*QUOTIENT(((c_T1MX)-(c_T1MN)),2))+2147483648,4294967296)-2147483648,((c_T1MX)-(c_T1MN))*(((C143)-(c_T1MN))*((1000)-(0))+IF(((1000)-(0))&gt;=0,1,-1)*QUOTIENT(((c_T1MX)-(c_T1MN)),2)))&lt;0,-1,0),IF(IF(o_WRAP=1,MOD(((c_T1MX)-(c_T1MN))*(((C143)-(c_T1MN))*((1000)-(0))+IF(((1000)-(0))&gt;=0,1,-1)*QUOTIENT(((c_T1MX)-(c_T1MN)),2))+2147483648,4294967296)-2147483648,((c_T1MX)-(c_T1MN))*(((C143)-(c_T1MN))*((1000)-(0))+IF(((1000)-(0))&gt;=0,1,-1)*QUOTIENT(((c_T1MX)-(c_T1MN)),2)))&gt;=0,1,0)))</f>
        <v>253</v>
      </c>
      <c r="E143" s="7" t="n">
        <f aca="false">IF(AND(c_TPOT=1,c_TTYPE=2),1000-D143,D143)</f>
        <v>253</v>
      </c>
      <c r="F143" s="7" t="str">
        <f aca="false">IF(c_TPOT&gt;1,ROUND(IF(c_TTYPE=2,c_T2MX-IF(c_T1MX=c_T1MN,0,(C143-c_T1MN)/(c_T1MX-c_T1MN))*(c_T2MX-c_T2MN),c_T2MN+IF(c_T1MX=c_T1MN,0,(C143-c_T1MN)/(c_T1MX-c_T1MN))*(c_T2MX-c_T2MN))+o_MISMATCH,0),"")</f>
        <v/>
      </c>
      <c r="G143" s="7" t="str">
        <f aca="false">IF(c_TPOT&gt;1,IF(((c_T2MX)-(c_T2MN))=0,(0)+QUOTIENT(((1000)-(0)),2),QUOTIENT((((F143)-(c_T2MN))*((1000)-(0))+IF(((1000)-(0))&gt;=0,1,-1)*QUOTIENT(((c_T2MX)-(c_T2MN)),2)),((c_T2MX)-(c_T2MN)))+(0)+IF(((1000)-(0))&gt;=0,IF(IF(o_WRAP=1,MOD(((c_T2MX)-(c_T2MN))*(((F143)-(c_T2MN))*((1000)-(0))+IF(((1000)-(0))&gt;=0,1,-1)*QUOTIENT(((c_T2MX)-(c_T2MN)),2))+2147483648,4294967296)-2147483648,((c_T2MX)-(c_T2MN))*(((F143)-(c_T2MN))*((1000)-(0))+IF(((1000)-(0))&gt;=0,1,-1)*QUOTIENT(((c_T2MX)-(c_T2MN)),2)))&lt;0,-1,0),IF(IF(o_WRAP=1,MOD(((c_T2MX)-(c_T2MN))*(((F143)-(c_T2MN))*((1000)-(0))+IF(((1000)-(0))&gt;=0,1,-1)*QUOTIENT(((c_T2MX)-(c_T2MN)),2))+2147483648,4294967296)-2147483648,((c_T2MX)-(c_T2MN))*(((F143)-(c_T2MN))*((1000)-(0))+IF(((1000)-(0))&gt;=0,1,-1)*QUOTIENT(((c_T2MX)-(c_T2MN)),2)))&gt;=0,1,0))),"")</f>
        <v/>
      </c>
      <c r="H143" s="7" t="str">
        <f aca="false">IF(E143&gt;1000+k_TOL,"T1 HIGH",IF(E143&lt;0-k_TOL,"T1 LOW",IF(c_TPOT&gt;1,IF(G143&gt;1000+k_TOL,"T2 HIGH",IF(G143&lt;0-k_TOL,"T2 LOW",IF(c_TTYPE=2,IF(ABS(1000-MAX(0,MIN(1000,E143))-MAX(0,MIN(1000,G143)))&gt;k_MAXERR,"MISMATCH","OK"),IF(OR(MAX(0,MIN(1000,E143))-k_MAXERR&gt;MAX(0,MIN(1000,G143)),MAX(0,MIN(1000,G143))-k_MAXERR&gt;MAX(0,MIN(1000,E143))),"MISMATCH","OK")))),"OK")))</f>
        <v>OK</v>
      </c>
      <c r="I143" s="7" t="n">
        <f aca="false">MAX(0,MIN(1000,D143))</f>
        <v>253</v>
      </c>
      <c r="J143" s="7" t="str">
        <f aca="false">IF(c_TPOT&gt;1,IF(c_TTYPE=2,1000-MAX(0,MIN(1000,G143)),MAX(0,MIN(1000,G143))),"")</f>
        <v/>
      </c>
      <c r="K143" s="7" t="n">
        <f aca="false">IF(c_TPOT&gt;1,QUOTIENT(I143+J143,2),I143)</f>
        <v>253</v>
      </c>
      <c r="L143" s="7" t="n">
        <f aca="false">IF(AND(K143=0,c_TCREEP&gt;0),10*c_TCREEP,IF(AND(K143&lt;=c_TRNGMIN,K143&gt;=c_TRNGMAX,c_TRNGMIN-c_TRNGMAX&lt;&gt;0),-10*c_TMINRN+QUOTIENT((c_TMAXRN-c_TMINRN)*(100-QUOTIENT((K143-c_TRNGMAX)*100,c_TRNGMIN-c_TRNGMAX)),-10),0))</f>
        <v>0</v>
      </c>
      <c r="M143" s="7" t="n">
        <f aca="false">IF(((c_TMAP1IN)-(c_TFWD))=0,(0)+QUOTIENT(((c_TMAP1OUT)-(0)),2),QUOTIENT((((K143)-(c_TFWD))*((c_TMAP1OUT)-(0))+IF(((c_TMAP1OUT)-(0))&gt;=0,1,-1)*QUOTIENT(((c_TMAP1IN)-(c_TFWD)),2)),((c_TMAP1IN)-(c_TFWD)))+(0)+IF(((c_TMAP1OUT)-(0))&gt;=0,IF(IF(o_WRAP=1,MOD(((c_TMAP1IN)-(c_TFWD))*(((K143)-(c_TFWD))*((c_TMAP1OUT)-(0))+IF(((c_TMAP1OUT)-(0))&gt;=0,1,-1)*QUOTIENT(((c_TMAP1IN)-(c_TFWD)),2))+2147483648,4294967296)-2147483648,((c_TMAP1IN)-(c_TFWD))*(((K143)-(c_TFWD))*((c_TMAP1OUT)-(0))+IF(((c_TMAP1OUT)-(0))&gt;=0,1,-1)*QUOTIENT(((c_TMAP1IN)-(c_TFWD)),2)))&lt;0,-1,0),IF(IF(o_WRAP=1,MOD(((c_TMAP1IN)-(c_TFWD))*(((K143)-(c_TFWD))*((c_TMAP1OUT)-(0))+IF(((c_TMAP1OUT)-(0))&gt;=0,1,-1)*QUOTIENT(((c_TMAP1IN)-(c_TFWD)),2))+2147483648,4294967296)-2147483648,((c_TMAP1IN)-(c_TFWD))*(((K143)-(c_TFWD))*((c_TMAP1OUT)-(0))+IF(((c_TMAP1OUT)-(0))&gt;=0,1,-1)*QUOTIENT(((c_TMAP1IN)-(c_TFWD)),2)))&gt;=0,1,0)))</f>
        <v>189</v>
      </c>
      <c r="N143" s="7" t="n">
        <f aca="false">IF(((c_TMAP2IN)-(c_TMAP1IN))=0,(c_TMAP1OUT)+QUOTIENT(((c_TMAP2OUT)-(c_TMAP1OUT)),2),QUOTIENT((((K143)-(c_TMAP1IN))*((c_TMAP2OUT)-(c_TMAP1OUT))+IF(((c_TMAP2OUT)-(c_TMAP1OUT))&gt;=0,1,-1)*QUOTIENT(((c_TMAP2IN)-(c_TMAP1IN)),2)),((c_TMAP2IN)-(c_TMAP1IN)))+(c_TMAP1OUT)+IF(((c_TMAP2OUT)-(c_TMAP1OUT))&gt;=0,IF(IF(o_WRAP=1,MOD(((c_TMAP2IN)-(c_TMAP1IN))*(((K143)-(c_TMAP1IN))*((c_TMAP2OUT)-(c_TMAP1OUT))+IF(((c_TMAP2OUT)-(c_TMAP1OUT))&gt;=0,1,-1)*QUOTIENT(((c_TMAP2IN)-(c_TMAP1IN)),2))+2147483648,4294967296)-2147483648,((c_TMAP2IN)-(c_TMAP1IN))*(((K143)-(c_TMAP1IN))*((c_TMAP2OUT)-(c_TMAP1OUT))+IF(((c_TMAP2OUT)-(c_TMAP1OUT))&gt;=0,1,-1)*QUOTIENT(((c_TMAP2IN)-(c_TMAP1IN)),2)))&lt;0,-1,0),IF(IF(o_WRAP=1,MOD(((c_TMAP2IN)-(c_TMAP1IN))*(((K143)-(c_TMAP1IN))*((c_TMAP2OUT)-(c_TMAP1OUT))+IF(((c_TMAP2OUT)-(c_TMAP1OUT))&gt;=0,1,-1)*QUOTIENT(((c_TMAP2IN)-(c_TMAP1IN)),2))+2147483648,4294967296)-2147483648,((c_TMAP2IN)-(c_TMAP1IN))*(((K143)-(c_TMAP1IN))*((c_TMAP2OUT)-(c_TMAP1OUT))+IF(((c_TMAP2OUT)-(c_TMAP1OUT))&gt;=0,1,-1)*QUOTIENT(((c_TMAP2IN)-(c_TMAP1IN)),2)))&gt;=0,1,0)))</f>
        <v>131</v>
      </c>
      <c r="O143" s="7" t="n">
        <f aca="false">IF(((c_TMAP3IN)-(c_TMAP2IN))=0,(c_TMAP2OUT)+QUOTIENT(((c_TMAP3OUT)-(c_TMAP2OUT)),2),QUOTIENT((((K143)-(c_TMAP2IN))*((c_TMAP3OUT)-(c_TMAP2OUT))+IF(((c_TMAP3OUT)-(c_TMAP2OUT))&gt;=0,1,-1)*QUOTIENT(((c_TMAP3IN)-(c_TMAP2IN)),2)),((c_TMAP3IN)-(c_TMAP2IN)))+(c_TMAP2OUT)+IF(((c_TMAP3OUT)-(c_TMAP2OUT))&gt;=0,IF(IF(o_WRAP=1,MOD(((c_TMAP3IN)-(c_TMAP2IN))*(((K143)-(c_TMAP2IN))*((c_TMAP3OUT)-(c_TMAP2OUT))+IF(((c_TMAP3OUT)-(c_TMAP2OUT))&gt;=0,1,-1)*QUOTIENT(((c_TMAP3IN)-(c_TMAP2IN)),2))+2147483648,4294967296)-2147483648,((c_TMAP3IN)-(c_TMAP2IN))*(((K143)-(c_TMAP2IN))*((c_TMAP3OUT)-(c_TMAP2OUT))+IF(((c_TMAP3OUT)-(c_TMAP2OUT))&gt;=0,1,-1)*QUOTIENT(((c_TMAP3IN)-(c_TMAP2IN)),2)))&lt;0,-1,0),IF(IF(o_WRAP=1,MOD(((c_TMAP3IN)-(c_TMAP2IN))*(((K143)-(c_TMAP2IN))*((c_TMAP3OUT)-(c_TMAP2OUT))+IF(((c_TMAP3OUT)-(c_TMAP2OUT))&gt;=0,1,-1)*QUOTIENT(((c_TMAP3IN)-(c_TMAP2IN)),2))+2147483648,4294967296)-2147483648,((c_TMAP3IN)-(c_TMAP2IN))*(((K143)-(c_TMAP2IN))*((c_TMAP3OUT)-(c_TMAP2OUT))+IF(((c_TMAP3OUT)-(c_TMAP2OUT))&gt;=0,1,-1)*QUOTIENT(((c_TMAP3IN)-(c_TMAP2IN)),2)))&gt;=0,1,0)))</f>
        <v>132</v>
      </c>
      <c r="P143" s="7" t="n">
        <f aca="false">IF(((1000)-(c_TMAP3IN))=0,(c_TMAP3OUT)+QUOTIENT(((1000)-(c_TMAP3OUT)),2),QUOTIENT((((K143)-(c_TMAP3IN))*((1000)-(c_TMAP3OUT))+IF(((1000)-(c_TMAP3OUT))&gt;=0,1,-1)*QUOTIENT(((1000)-(c_TMAP3IN)),2)),((1000)-(c_TMAP3IN)))+(c_TMAP3OUT)+IF(((1000)-(c_TMAP3OUT))&gt;=0,IF(IF(o_WRAP=1,MOD(((1000)-(c_TMAP3IN))*(((K143)-(c_TMAP3IN))*((1000)-(c_TMAP3OUT))+IF(((1000)-(c_TMAP3OUT))&gt;=0,1,-1)*QUOTIENT(((1000)-(c_TMAP3IN)),2))+2147483648,4294967296)-2147483648,((1000)-(c_TMAP3IN))*(((K143)-(c_TMAP3IN))*((1000)-(c_TMAP3OUT))+IF(((1000)-(c_TMAP3OUT))&gt;=0,1,-1)*QUOTIENT(((1000)-(c_TMAP3IN)),2)))&lt;0,-1,0),IF(IF(o_WRAP=1,MOD(((1000)-(c_TMAP3IN))*(((K143)-(c_TMAP3IN))*((1000)-(c_TMAP3OUT))+IF(((1000)-(c_TMAP3OUT))&gt;=0,1,-1)*QUOTIENT(((1000)-(c_TMAP3IN)),2))+2147483648,4294967296)-2147483648,((1000)-(c_TMAP3IN))*(((K143)-(c_TMAP3IN))*((1000)-(c_TMAP3OUT))+IF(((1000)-(c_TMAP3OUT))&gt;=0,1,-1)*QUOTIENT(((1000)-(c_TMAP3IN)),2)))&gt;=0,1,0)))</f>
        <v>81</v>
      </c>
      <c r="Q143" s="7" t="str">
        <f aca="false">IF(K143&gt;=c_TFWD,IF(AND(K143&gt;=c_TMAP3IN,c_TMAP3IN&lt;1000),"Seg4 map3-100%",IF(AND(K143&gt;=c_TMAP2IN,c_TMAP3IN&gt;c_TMAP2IN),"Seg3 map2-map3",IF(AND(K143&gt;=c_TMAP1IN,c_TMAP2IN&gt;c_TMAP1IN),"Seg2 map1-map2","Seg1 TFWD-map1"))),IF(AND(K143=0,c_TCREEP&gt;0),"Creep",IF(AND(K143&lt;=c_TRNGMIN,K143&gt;=c_TRNGMAX,c_TRNGMIN-c_TRNGMAX&lt;&gt;0),"Regen ramp","Coast (0)")))</f>
        <v>Seg3 map2-map3</v>
      </c>
      <c r="R143" s="7" t="n">
        <f aca="false">IF(K143&gt;=c_TFWD,IF(AND(K143&gt;=c_TMAP3IN,c_TMAP3IN&lt;1000),P143,IF(AND(K143&gt;=c_TMAP2IN,c_TMAP3IN&gt;c_TMAP2IN),O143,IF(AND(K143&gt;=c_TMAP1IN,c_TMAP2IN&gt;c_TMAP1IN),N143,M143))),L143)</f>
        <v>132</v>
      </c>
      <c r="S143" s="7" t="str">
        <f aca="false">IF(R143&lt;-1090,"TOO LOW",IF(R143&gt;1090,"TOO HIGH",""))</f>
        <v/>
      </c>
      <c r="T143" s="15" t="n">
        <f aca="false">IF(H143&lt;&gt;"OK",0,IF(S143&lt;&gt;"",0,IF(R143&gt;979,1000,R143)))</f>
        <v>132</v>
      </c>
      <c r="U143" s="7" t="n">
        <f aca="false">T143/10</f>
        <v>13.2</v>
      </c>
    </row>
    <row r="144" customFormat="false" ht="15" hidden="false" customHeight="false" outlineLevel="0" collapsed="false">
      <c r="A144" s="7" t="n">
        <v>139</v>
      </c>
      <c r="B144" s="7" t="n">
        <f aca="false">ROUND(o_SWSTART+A144*(o_SWEND-o_SWSTART)/400,0)</f>
        <v>1423</v>
      </c>
      <c r="C144" s="7" t="n">
        <f aca="false">QUOTIENT((B144-c_OFF1)*c_GAIN1,1024)</f>
        <v>1423</v>
      </c>
      <c r="D144" s="7" t="n">
        <f aca="false">IF(((c_T1MX)-(c_T1MN))=0,(0)+QUOTIENT(((1000)-(0)),2),QUOTIENT((((C144)-(c_T1MN))*((1000)-(0))+IF(((1000)-(0))&gt;=0,1,-1)*QUOTIENT(((c_T1MX)-(c_T1MN)),2)),((c_T1MX)-(c_T1MN)))+(0)+IF(((1000)-(0))&gt;=0,IF(IF(o_WRAP=1,MOD(((c_T1MX)-(c_T1MN))*(((C144)-(c_T1MN))*((1000)-(0))+IF(((1000)-(0))&gt;=0,1,-1)*QUOTIENT(((c_T1MX)-(c_T1MN)),2))+2147483648,4294967296)-2147483648,((c_T1MX)-(c_T1MN))*(((C144)-(c_T1MN))*((1000)-(0))+IF(((1000)-(0))&gt;=0,1,-1)*QUOTIENT(((c_T1MX)-(c_T1MN)),2)))&lt;0,-1,0),IF(IF(o_WRAP=1,MOD(((c_T1MX)-(c_T1MN))*(((C144)-(c_T1MN))*((1000)-(0))+IF(((1000)-(0))&gt;=0,1,-1)*QUOTIENT(((c_T1MX)-(c_T1MN)),2))+2147483648,4294967296)-2147483648,((c_T1MX)-(c_T1MN))*(((C144)-(c_T1MN))*((1000)-(0))+IF(((1000)-(0))&gt;=0,1,-1)*QUOTIENT(((c_T1MX)-(c_T1MN)),2)))&gt;=0,1,0)))</f>
        <v>256</v>
      </c>
      <c r="E144" s="7" t="n">
        <f aca="false">IF(AND(c_TPOT=1,c_TTYPE=2),1000-D144,D144)</f>
        <v>256</v>
      </c>
      <c r="F144" s="7" t="str">
        <f aca="false">IF(c_TPOT&gt;1,ROUND(IF(c_TTYPE=2,c_T2MX-IF(c_T1MX=c_T1MN,0,(C144-c_T1MN)/(c_T1MX-c_T1MN))*(c_T2MX-c_T2MN),c_T2MN+IF(c_T1MX=c_T1MN,0,(C144-c_T1MN)/(c_T1MX-c_T1MN))*(c_T2MX-c_T2MN))+o_MISMATCH,0),"")</f>
        <v/>
      </c>
      <c r="G144" s="7" t="str">
        <f aca="false">IF(c_TPOT&gt;1,IF(((c_T2MX)-(c_T2MN))=0,(0)+QUOTIENT(((1000)-(0)),2),QUOTIENT((((F144)-(c_T2MN))*((1000)-(0))+IF(((1000)-(0))&gt;=0,1,-1)*QUOTIENT(((c_T2MX)-(c_T2MN)),2)),((c_T2MX)-(c_T2MN)))+(0)+IF(((1000)-(0))&gt;=0,IF(IF(o_WRAP=1,MOD(((c_T2MX)-(c_T2MN))*(((F144)-(c_T2MN))*((1000)-(0))+IF(((1000)-(0))&gt;=0,1,-1)*QUOTIENT(((c_T2MX)-(c_T2MN)),2))+2147483648,4294967296)-2147483648,((c_T2MX)-(c_T2MN))*(((F144)-(c_T2MN))*((1000)-(0))+IF(((1000)-(0))&gt;=0,1,-1)*QUOTIENT(((c_T2MX)-(c_T2MN)),2)))&lt;0,-1,0),IF(IF(o_WRAP=1,MOD(((c_T2MX)-(c_T2MN))*(((F144)-(c_T2MN))*((1000)-(0))+IF(((1000)-(0))&gt;=0,1,-1)*QUOTIENT(((c_T2MX)-(c_T2MN)),2))+2147483648,4294967296)-2147483648,((c_T2MX)-(c_T2MN))*(((F144)-(c_T2MN))*((1000)-(0))+IF(((1000)-(0))&gt;=0,1,-1)*QUOTIENT(((c_T2MX)-(c_T2MN)),2)))&gt;=0,1,0))),"")</f>
        <v/>
      </c>
      <c r="H144" s="7" t="str">
        <f aca="false">IF(E144&gt;1000+k_TOL,"T1 HIGH",IF(E144&lt;0-k_TOL,"T1 LOW",IF(c_TPOT&gt;1,IF(G144&gt;1000+k_TOL,"T2 HIGH",IF(G144&lt;0-k_TOL,"T2 LOW",IF(c_TTYPE=2,IF(ABS(1000-MAX(0,MIN(1000,E144))-MAX(0,MIN(1000,G144)))&gt;k_MAXERR,"MISMATCH","OK"),IF(OR(MAX(0,MIN(1000,E144))-k_MAXERR&gt;MAX(0,MIN(1000,G144)),MAX(0,MIN(1000,G144))-k_MAXERR&gt;MAX(0,MIN(1000,E144))),"MISMATCH","OK")))),"OK")))</f>
        <v>OK</v>
      </c>
      <c r="I144" s="7" t="n">
        <f aca="false">MAX(0,MIN(1000,D144))</f>
        <v>256</v>
      </c>
      <c r="J144" s="7" t="str">
        <f aca="false">IF(c_TPOT&gt;1,IF(c_TTYPE=2,1000-MAX(0,MIN(1000,G144)),MAX(0,MIN(1000,G144))),"")</f>
        <v/>
      </c>
      <c r="K144" s="7" t="n">
        <f aca="false">IF(c_TPOT&gt;1,QUOTIENT(I144+J144,2),I144)</f>
        <v>256</v>
      </c>
      <c r="L144" s="7" t="n">
        <f aca="false">IF(AND(K144=0,c_TCREEP&gt;0),10*c_TCREEP,IF(AND(K144&lt;=c_TRNGMIN,K144&gt;=c_TRNGMAX,c_TRNGMIN-c_TRNGMAX&lt;&gt;0),-10*c_TMINRN+QUOTIENT((c_TMAXRN-c_TMINRN)*(100-QUOTIENT((K144-c_TRNGMAX)*100,c_TRNGMIN-c_TRNGMAX)),-10),0))</f>
        <v>0</v>
      </c>
      <c r="M144" s="7" t="n">
        <f aca="false">IF(((c_TMAP1IN)-(c_TFWD))=0,(0)+QUOTIENT(((c_TMAP1OUT)-(0)),2),QUOTIENT((((K144)-(c_TFWD))*((c_TMAP1OUT)-(0))+IF(((c_TMAP1OUT)-(0))&gt;=0,1,-1)*QUOTIENT(((c_TMAP1IN)-(c_TFWD)),2)),((c_TMAP1IN)-(c_TFWD)))+(0)+IF(((c_TMAP1OUT)-(0))&gt;=0,IF(IF(o_WRAP=1,MOD(((c_TMAP1IN)-(c_TFWD))*(((K144)-(c_TFWD))*((c_TMAP1OUT)-(0))+IF(((c_TMAP1OUT)-(0))&gt;=0,1,-1)*QUOTIENT(((c_TMAP1IN)-(c_TFWD)),2))+2147483648,4294967296)-2147483648,((c_TMAP1IN)-(c_TFWD))*(((K144)-(c_TFWD))*((c_TMAP1OUT)-(0))+IF(((c_TMAP1OUT)-(0))&gt;=0,1,-1)*QUOTIENT(((c_TMAP1IN)-(c_TFWD)),2)))&lt;0,-1,0),IF(IF(o_WRAP=1,MOD(((c_TMAP1IN)-(c_TFWD))*(((K144)-(c_TFWD))*((c_TMAP1OUT)-(0))+IF(((c_TMAP1OUT)-(0))&gt;=0,1,-1)*QUOTIENT(((c_TMAP1IN)-(c_TFWD)),2))+2147483648,4294967296)-2147483648,((c_TMAP1IN)-(c_TFWD))*(((K144)-(c_TFWD))*((c_TMAP1OUT)-(0))+IF(((c_TMAP1OUT)-(0))&gt;=0,1,-1)*QUOTIENT(((c_TMAP1IN)-(c_TFWD)),2)))&gt;=0,1,0)))</f>
        <v>191</v>
      </c>
      <c r="N144" s="7" t="n">
        <f aca="false">IF(((c_TMAP2IN)-(c_TMAP1IN))=0,(c_TMAP1OUT)+QUOTIENT(((c_TMAP2OUT)-(c_TMAP1OUT)),2),QUOTIENT((((K144)-(c_TMAP1IN))*((c_TMAP2OUT)-(c_TMAP1OUT))+IF(((c_TMAP2OUT)-(c_TMAP1OUT))&gt;=0,1,-1)*QUOTIENT(((c_TMAP2IN)-(c_TMAP1IN)),2)),((c_TMAP2IN)-(c_TMAP1IN)))+(c_TMAP1OUT)+IF(((c_TMAP2OUT)-(c_TMAP1OUT))&gt;=0,IF(IF(o_WRAP=1,MOD(((c_TMAP2IN)-(c_TMAP1IN))*(((K144)-(c_TMAP1IN))*((c_TMAP2OUT)-(c_TMAP1OUT))+IF(((c_TMAP2OUT)-(c_TMAP1OUT))&gt;=0,1,-1)*QUOTIENT(((c_TMAP2IN)-(c_TMAP1IN)),2))+2147483648,4294967296)-2147483648,((c_TMAP2IN)-(c_TMAP1IN))*(((K144)-(c_TMAP1IN))*((c_TMAP2OUT)-(c_TMAP1OUT))+IF(((c_TMAP2OUT)-(c_TMAP1OUT))&gt;=0,1,-1)*QUOTIENT(((c_TMAP2IN)-(c_TMAP1IN)),2)))&lt;0,-1,0),IF(IF(o_WRAP=1,MOD(((c_TMAP2IN)-(c_TMAP1IN))*(((K144)-(c_TMAP1IN))*((c_TMAP2OUT)-(c_TMAP1OUT))+IF(((c_TMAP2OUT)-(c_TMAP1OUT))&gt;=0,1,-1)*QUOTIENT(((c_TMAP2IN)-(c_TMAP1IN)),2))+2147483648,4294967296)-2147483648,((c_TMAP2IN)-(c_TMAP1IN))*(((K144)-(c_TMAP1IN))*((c_TMAP2OUT)-(c_TMAP1OUT))+IF(((c_TMAP2OUT)-(c_TMAP1OUT))&gt;=0,1,-1)*QUOTIENT(((c_TMAP2IN)-(c_TMAP1IN)),2)))&gt;=0,1,0)))</f>
        <v>132</v>
      </c>
      <c r="O144" s="7" t="n">
        <f aca="false">IF(((c_TMAP3IN)-(c_TMAP2IN))=0,(c_TMAP2OUT)+QUOTIENT(((c_TMAP3OUT)-(c_TMAP2OUT)),2),QUOTIENT((((K144)-(c_TMAP2IN))*((c_TMAP3OUT)-(c_TMAP2OUT))+IF(((c_TMAP3OUT)-(c_TMAP2OUT))&gt;=0,1,-1)*QUOTIENT(((c_TMAP3IN)-(c_TMAP2IN)),2)),((c_TMAP3IN)-(c_TMAP2IN)))+(c_TMAP2OUT)+IF(((c_TMAP3OUT)-(c_TMAP2OUT))&gt;=0,IF(IF(o_WRAP=1,MOD(((c_TMAP3IN)-(c_TMAP2IN))*(((K144)-(c_TMAP2IN))*((c_TMAP3OUT)-(c_TMAP2OUT))+IF(((c_TMAP3OUT)-(c_TMAP2OUT))&gt;=0,1,-1)*QUOTIENT(((c_TMAP3IN)-(c_TMAP2IN)),2))+2147483648,4294967296)-2147483648,((c_TMAP3IN)-(c_TMAP2IN))*(((K144)-(c_TMAP2IN))*((c_TMAP3OUT)-(c_TMAP2OUT))+IF(((c_TMAP3OUT)-(c_TMAP2OUT))&gt;=0,1,-1)*QUOTIENT(((c_TMAP3IN)-(c_TMAP2IN)),2)))&lt;0,-1,0),IF(IF(o_WRAP=1,MOD(((c_TMAP3IN)-(c_TMAP2IN))*(((K144)-(c_TMAP2IN))*((c_TMAP3OUT)-(c_TMAP2OUT))+IF(((c_TMAP3OUT)-(c_TMAP2OUT))&gt;=0,1,-1)*QUOTIENT(((c_TMAP3IN)-(c_TMAP2IN)),2))+2147483648,4294967296)-2147483648,((c_TMAP3IN)-(c_TMAP2IN))*(((K144)-(c_TMAP2IN))*((c_TMAP3OUT)-(c_TMAP2OUT))+IF(((c_TMAP3OUT)-(c_TMAP2OUT))&gt;=0,1,-1)*QUOTIENT(((c_TMAP3IN)-(c_TMAP2IN)),2)))&gt;=0,1,0)))</f>
        <v>134</v>
      </c>
      <c r="P144" s="7" t="n">
        <f aca="false">IF(((1000)-(c_TMAP3IN))=0,(c_TMAP3OUT)+QUOTIENT(((1000)-(c_TMAP3OUT)),2),QUOTIENT((((K144)-(c_TMAP3IN))*((1000)-(c_TMAP3OUT))+IF(((1000)-(c_TMAP3OUT))&gt;=0,1,-1)*QUOTIENT(((1000)-(c_TMAP3IN)),2)),((1000)-(c_TMAP3IN)))+(c_TMAP3OUT)+IF(((1000)-(c_TMAP3OUT))&gt;=0,IF(IF(o_WRAP=1,MOD(((1000)-(c_TMAP3IN))*(((K144)-(c_TMAP3IN))*((1000)-(c_TMAP3OUT))+IF(((1000)-(c_TMAP3OUT))&gt;=0,1,-1)*QUOTIENT(((1000)-(c_TMAP3IN)),2))+2147483648,4294967296)-2147483648,((1000)-(c_TMAP3IN))*(((K144)-(c_TMAP3IN))*((1000)-(c_TMAP3OUT))+IF(((1000)-(c_TMAP3OUT))&gt;=0,1,-1)*QUOTIENT(((1000)-(c_TMAP3IN)),2)))&lt;0,-1,0),IF(IF(o_WRAP=1,MOD(((1000)-(c_TMAP3IN))*(((K144)-(c_TMAP3IN))*((1000)-(c_TMAP3OUT))+IF(((1000)-(c_TMAP3OUT))&gt;=0,1,-1)*QUOTIENT(((1000)-(c_TMAP3IN)),2))+2147483648,4294967296)-2147483648,((1000)-(c_TMAP3IN))*(((K144)-(c_TMAP3IN))*((1000)-(c_TMAP3OUT))+IF(((1000)-(c_TMAP3OUT))&gt;=0,1,-1)*QUOTIENT(((1000)-(c_TMAP3IN)),2)))&gt;=0,1,0)))</f>
        <v>84</v>
      </c>
      <c r="Q144" s="7" t="str">
        <f aca="false">IF(K144&gt;=c_TFWD,IF(AND(K144&gt;=c_TMAP3IN,c_TMAP3IN&lt;1000),"Seg4 map3-100%",IF(AND(K144&gt;=c_TMAP2IN,c_TMAP3IN&gt;c_TMAP2IN),"Seg3 map2-map3",IF(AND(K144&gt;=c_TMAP1IN,c_TMAP2IN&gt;c_TMAP1IN),"Seg2 map1-map2","Seg1 TFWD-map1"))),IF(AND(K144=0,c_TCREEP&gt;0),"Creep",IF(AND(K144&lt;=c_TRNGMIN,K144&gt;=c_TRNGMAX,c_TRNGMIN-c_TRNGMAX&lt;&gt;0),"Regen ramp","Coast (0)")))</f>
        <v>Seg3 map2-map3</v>
      </c>
      <c r="R144" s="7" t="n">
        <f aca="false">IF(K144&gt;=c_TFWD,IF(AND(K144&gt;=c_TMAP3IN,c_TMAP3IN&lt;1000),P144,IF(AND(K144&gt;=c_TMAP2IN,c_TMAP3IN&gt;c_TMAP2IN),O144,IF(AND(K144&gt;=c_TMAP1IN,c_TMAP2IN&gt;c_TMAP1IN),N144,M144))),L144)</f>
        <v>134</v>
      </c>
      <c r="S144" s="7" t="str">
        <f aca="false">IF(R144&lt;-1090,"TOO LOW",IF(R144&gt;1090,"TOO HIGH",""))</f>
        <v/>
      </c>
      <c r="T144" s="15" t="n">
        <f aca="false">IF(H144&lt;&gt;"OK",0,IF(S144&lt;&gt;"",0,IF(R144&gt;979,1000,R144)))</f>
        <v>134</v>
      </c>
      <c r="U144" s="7" t="n">
        <f aca="false">T144/10</f>
        <v>13.4</v>
      </c>
    </row>
    <row r="145" customFormat="false" ht="15" hidden="false" customHeight="false" outlineLevel="0" collapsed="false">
      <c r="A145" s="7" t="n">
        <v>140</v>
      </c>
      <c r="B145" s="7" t="n">
        <f aca="false">ROUND(o_SWSTART+A145*(o_SWEND-o_SWSTART)/400,0)</f>
        <v>1433</v>
      </c>
      <c r="C145" s="7" t="n">
        <f aca="false">QUOTIENT((B145-c_OFF1)*c_GAIN1,1024)</f>
        <v>1433</v>
      </c>
      <c r="D145" s="7" t="n">
        <f aca="false">IF(((c_T1MX)-(c_T1MN))=0,(0)+QUOTIENT(((1000)-(0)),2),QUOTIENT((((C145)-(c_T1MN))*((1000)-(0))+IF(((1000)-(0))&gt;=0,1,-1)*QUOTIENT(((c_T1MX)-(c_T1MN)),2)),((c_T1MX)-(c_T1MN)))+(0)+IF(((1000)-(0))&gt;=0,IF(IF(o_WRAP=1,MOD(((c_T1MX)-(c_T1MN))*(((C145)-(c_T1MN))*((1000)-(0))+IF(((1000)-(0))&gt;=0,1,-1)*QUOTIENT(((c_T1MX)-(c_T1MN)),2))+2147483648,4294967296)-2147483648,((c_T1MX)-(c_T1MN))*(((C145)-(c_T1MN))*((1000)-(0))+IF(((1000)-(0))&gt;=0,1,-1)*QUOTIENT(((c_T1MX)-(c_T1MN)),2)))&lt;0,-1,0),IF(IF(o_WRAP=1,MOD(((c_T1MX)-(c_T1MN))*(((C145)-(c_T1MN))*((1000)-(0))+IF(((1000)-(0))&gt;=0,1,-1)*QUOTIENT(((c_T1MX)-(c_T1MN)),2))+2147483648,4294967296)-2147483648,((c_T1MX)-(c_T1MN))*(((C145)-(c_T1MN))*((1000)-(0))+IF(((1000)-(0))&gt;=0,1,-1)*QUOTIENT(((c_T1MX)-(c_T1MN)),2)))&gt;=0,1,0)))</f>
        <v>260</v>
      </c>
      <c r="E145" s="7" t="n">
        <f aca="false">IF(AND(c_TPOT=1,c_TTYPE=2),1000-D145,D145)</f>
        <v>260</v>
      </c>
      <c r="F145" s="7" t="str">
        <f aca="false">IF(c_TPOT&gt;1,ROUND(IF(c_TTYPE=2,c_T2MX-IF(c_T1MX=c_T1MN,0,(C145-c_T1MN)/(c_T1MX-c_T1MN))*(c_T2MX-c_T2MN),c_T2MN+IF(c_T1MX=c_T1MN,0,(C145-c_T1MN)/(c_T1MX-c_T1MN))*(c_T2MX-c_T2MN))+o_MISMATCH,0),"")</f>
        <v/>
      </c>
      <c r="G145" s="7" t="str">
        <f aca="false">IF(c_TPOT&gt;1,IF(((c_T2MX)-(c_T2MN))=0,(0)+QUOTIENT(((1000)-(0)),2),QUOTIENT((((F145)-(c_T2MN))*((1000)-(0))+IF(((1000)-(0))&gt;=0,1,-1)*QUOTIENT(((c_T2MX)-(c_T2MN)),2)),((c_T2MX)-(c_T2MN)))+(0)+IF(((1000)-(0))&gt;=0,IF(IF(o_WRAP=1,MOD(((c_T2MX)-(c_T2MN))*(((F145)-(c_T2MN))*((1000)-(0))+IF(((1000)-(0))&gt;=0,1,-1)*QUOTIENT(((c_T2MX)-(c_T2MN)),2))+2147483648,4294967296)-2147483648,((c_T2MX)-(c_T2MN))*(((F145)-(c_T2MN))*((1000)-(0))+IF(((1000)-(0))&gt;=0,1,-1)*QUOTIENT(((c_T2MX)-(c_T2MN)),2)))&lt;0,-1,0),IF(IF(o_WRAP=1,MOD(((c_T2MX)-(c_T2MN))*(((F145)-(c_T2MN))*((1000)-(0))+IF(((1000)-(0))&gt;=0,1,-1)*QUOTIENT(((c_T2MX)-(c_T2MN)),2))+2147483648,4294967296)-2147483648,((c_T2MX)-(c_T2MN))*(((F145)-(c_T2MN))*((1000)-(0))+IF(((1000)-(0))&gt;=0,1,-1)*QUOTIENT(((c_T2MX)-(c_T2MN)),2)))&gt;=0,1,0))),"")</f>
        <v/>
      </c>
      <c r="H145" s="7" t="str">
        <f aca="false">IF(E145&gt;1000+k_TOL,"T1 HIGH",IF(E145&lt;0-k_TOL,"T1 LOW",IF(c_TPOT&gt;1,IF(G145&gt;1000+k_TOL,"T2 HIGH",IF(G145&lt;0-k_TOL,"T2 LOW",IF(c_TTYPE=2,IF(ABS(1000-MAX(0,MIN(1000,E145))-MAX(0,MIN(1000,G145)))&gt;k_MAXERR,"MISMATCH","OK"),IF(OR(MAX(0,MIN(1000,E145))-k_MAXERR&gt;MAX(0,MIN(1000,G145)),MAX(0,MIN(1000,G145))-k_MAXERR&gt;MAX(0,MIN(1000,E145))),"MISMATCH","OK")))),"OK")))</f>
        <v>OK</v>
      </c>
      <c r="I145" s="7" t="n">
        <f aca="false">MAX(0,MIN(1000,D145))</f>
        <v>260</v>
      </c>
      <c r="J145" s="7" t="str">
        <f aca="false">IF(c_TPOT&gt;1,IF(c_TTYPE=2,1000-MAX(0,MIN(1000,G145)),MAX(0,MIN(1000,G145))),"")</f>
        <v/>
      </c>
      <c r="K145" s="7" t="n">
        <f aca="false">IF(c_TPOT&gt;1,QUOTIENT(I145+J145,2),I145)</f>
        <v>260</v>
      </c>
      <c r="L145" s="7" t="n">
        <f aca="false">IF(AND(K145=0,c_TCREEP&gt;0),10*c_TCREEP,IF(AND(K145&lt;=c_TRNGMIN,K145&gt;=c_TRNGMAX,c_TRNGMIN-c_TRNGMAX&lt;&gt;0),-10*c_TMINRN+QUOTIENT((c_TMAXRN-c_TMINRN)*(100-QUOTIENT((K145-c_TRNGMAX)*100,c_TRNGMIN-c_TRNGMAX)),-10),0))</f>
        <v>0</v>
      </c>
      <c r="M145" s="7" t="n">
        <f aca="false">IF(((c_TMAP1IN)-(c_TFWD))=0,(0)+QUOTIENT(((c_TMAP1OUT)-(0)),2),QUOTIENT((((K145)-(c_TFWD))*((c_TMAP1OUT)-(0))+IF(((c_TMAP1OUT)-(0))&gt;=0,1,-1)*QUOTIENT(((c_TMAP1IN)-(c_TFWD)),2)),((c_TMAP1IN)-(c_TFWD)))+(0)+IF(((c_TMAP1OUT)-(0))&gt;=0,IF(IF(o_WRAP=1,MOD(((c_TMAP1IN)-(c_TFWD))*(((K145)-(c_TFWD))*((c_TMAP1OUT)-(0))+IF(((c_TMAP1OUT)-(0))&gt;=0,1,-1)*QUOTIENT(((c_TMAP1IN)-(c_TFWD)),2))+2147483648,4294967296)-2147483648,((c_TMAP1IN)-(c_TFWD))*(((K145)-(c_TFWD))*((c_TMAP1OUT)-(0))+IF(((c_TMAP1OUT)-(0))&gt;=0,1,-1)*QUOTIENT(((c_TMAP1IN)-(c_TFWD)),2)))&lt;0,-1,0),IF(IF(o_WRAP=1,MOD(((c_TMAP1IN)-(c_TFWD))*(((K145)-(c_TFWD))*((c_TMAP1OUT)-(0))+IF(((c_TMAP1OUT)-(0))&gt;=0,1,-1)*QUOTIENT(((c_TMAP1IN)-(c_TFWD)),2))+2147483648,4294967296)-2147483648,((c_TMAP1IN)-(c_TFWD))*(((K145)-(c_TFWD))*((c_TMAP1OUT)-(0))+IF(((c_TMAP1OUT)-(0))&gt;=0,1,-1)*QUOTIENT(((c_TMAP1IN)-(c_TFWD)),2)))&gt;=0,1,0)))</f>
        <v>194</v>
      </c>
      <c r="N145" s="7" t="n">
        <f aca="false">IF(((c_TMAP2IN)-(c_TMAP1IN))=0,(c_TMAP1OUT)+QUOTIENT(((c_TMAP2OUT)-(c_TMAP1OUT)),2),QUOTIENT((((K145)-(c_TMAP1IN))*((c_TMAP2OUT)-(c_TMAP1OUT))+IF(((c_TMAP2OUT)-(c_TMAP1OUT))&gt;=0,1,-1)*QUOTIENT(((c_TMAP2IN)-(c_TMAP1IN)),2)),((c_TMAP2IN)-(c_TMAP1IN)))+(c_TMAP1OUT)+IF(((c_TMAP2OUT)-(c_TMAP1OUT))&gt;=0,IF(IF(o_WRAP=1,MOD(((c_TMAP2IN)-(c_TMAP1IN))*(((K145)-(c_TMAP1IN))*((c_TMAP2OUT)-(c_TMAP1OUT))+IF(((c_TMAP2OUT)-(c_TMAP1OUT))&gt;=0,1,-1)*QUOTIENT(((c_TMAP2IN)-(c_TMAP1IN)),2))+2147483648,4294967296)-2147483648,((c_TMAP2IN)-(c_TMAP1IN))*(((K145)-(c_TMAP1IN))*((c_TMAP2OUT)-(c_TMAP1OUT))+IF(((c_TMAP2OUT)-(c_TMAP1OUT))&gt;=0,1,-1)*QUOTIENT(((c_TMAP2IN)-(c_TMAP1IN)),2)))&lt;0,-1,0),IF(IF(o_WRAP=1,MOD(((c_TMAP2IN)-(c_TMAP1IN))*(((K145)-(c_TMAP1IN))*((c_TMAP2OUT)-(c_TMAP1OUT))+IF(((c_TMAP2OUT)-(c_TMAP1OUT))&gt;=0,1,-1)*QUOTIENT(((c_TMAP2IN)-(c_TMAP1IN)),2))+2147483648,4294967296)-2147483648,((c_TMAP2IN)-(c_TMAP1IN))*(((K145)-(c_TMAP1IN))*((c_TMAP2OUT)-(c_TMAP1OUT))+IF(((c_TMAP2OUT)-(c_TMAP1OUT))&gt;=0,1,-1)*QUOTIENT(((c_TMAP2IN)-(c_TMAP1IN)),2)))&gt;=0,1,0)))</f>
        <v>134</v>
      </c>
      <c r="O145" s="7" t="n">
        <f aca="false">IF(((c_TMAP3IN)-(c_TMAP2IN))=0,(c_TMAP2OUT)+QUOTIENT(((c_TMAP3OUT)-(c_TMAP2OUT)),2),QUOTIENT((((K145)-(c_TMAP2IN))*((c_TMAP3OUT)-(c_TMAP2OUT))+IF(((c_TMAP3OUT)-(c_TMAP2OUT))&gt;=0,1,-1)*QUOTIENT(((c_TMAP3IN)-(c_TMAP2IN)),2)),((c_TMAP3IN)-(c_TMAP2IN)))+(c_TMAP2OUT)+IF(((c_TMAP3OUT)-(c_TMAP2OUT))&gt;=0,IF(IF(o_WRAP=1,MOD(((c_TMAP3IN)-(c_TMAP2IN))*(((K145)-(c_TMAP2IN))*((c_TMAP3OUT)-(c_TMAP2OUT))+IF(((c_TMAP3OUT)-(c_TMAP2OUT))&gt;=0,1,-1)*QUOTIENT(((c_TMAP3IN)-(c_TMAP2IN)),2))+2147483648,4294967296)-2147483648,((c_TMAP3IN)-(c_TMAP2IN))*(((K145)-(c_TMAP2IN))*((c_TMAP3OUT)-(c_TMAP2OUT))+IF(((c_TMAP3OUT)-(c_TMAP2OUT))&gt;=0,1,-1)*QUOTIENT(((c_TMAP3IN)-(c_TMAP2IN)),2)))&lt;0,-1,0),IF(IF(o_WRAP=1,MOD(((c_TMAP3IN)-(c_TMAP2IN))*(((K145)-(c_TMAP2IN))*((c_TMAP3OUT)-(c_TMAP2OUT))+IF(((c_TMAP3OUT)-(c_TMAP2OUT))&gt;=0,1,-1)*QUOTIENT(((c_TMAP3IN)-(c_TMAP2IN)),2))+2147483648,4294967296)-2147483648,((c_TMAP3IN)-(c_TMAP2IN))*(((K145)-(c_TMAP2IN))*((c_TMAP3OUT)-(c_TMAP2OUT))+IF(((c_TMAP3OUT)-(c_TMAP2OUT))&gt;=0,1,-1)*QUOTIENT(((c_TMAP3IN)-(c_TMAP2IN)),2)))&gt;=0,1,0)))</f>
        <v>137</v>
      </c>
      <c r="P145" s="7" t="n">
        <f aca="false">IF(((1000)-(c_TMAP3IN))=0,(c_TMAP3OUT)+QUOTIENT(((1000)-(c_TMAP3OUT)),2),QUOTIENT((((K145)-(c_TMAP3IN))*((1000)-(c_TMAP3OUT))+IF(((1000)-(c_TMAP3OUT))&gt;=0,1,-1)*QUOTIENT(((1000)-(c_TMAP3IN)),2)),((1000)-(c_TMAP3IN)))+(c_TMAP3OUT)+IF(((1000)-(c_TMAP3OUT))&gt;=0,IF(IF(o_WRAP=1,MOD(((1000)-(c_TMAP3IN))*(((K145)-(c_TMAP3IN))*((1000)-(c_TMAP3OUT))+IF(((1000)-(c_TMAP3OUT))&gt;=0,1,-1)*QUOTIENT(((1000)-(c_TMAP3IN)),2))+2147483648,4294967296)-2147483648,((1000)-(c_TMAP3IN))*(((K145)-(c_TMAP3IN))*((1000)-(c_TMAP3OUT))+IF(((1000)-(c_TMAP3OUT))&gt;=0,1,-1)*QUOTIENT(((1000)-(c_TMAP3IN)),2)))&lt;0,-1,0),IF(IF(o_WRAP=1,MOD(((1000)-(c_TMAP3IN))*(((K145)-(c_TMAP3IN))*((1000)-(c_TMAP3OUT))+IF(((1000)-(c_TMAP3OUT))&gt;=0,1,-1)*QUOTIENT(((1000)-(c_TMAP3IN)),2))+2147483648,4294967296)-2147483648,((1000)-(c_TMAP3IN))*(((K145)-(c_TMAP3IN))*((1000)-(c_TMAP3OUT))+IF(((1000)-(c_TMAP3OUT))&gt;=0,1,-1)*QUOTIENT(((1000)-(c_TMAP3IN)),2)))&gt;=0,1,0)))</f>
        <v>89</v>
      </c>
      <c r="Q145" s="7" t="str">
        <f aca="false">IF(K145&gt;=c_TFWD,IF(AND(K145&gt;=c_TMAP3IN,c_TMAP3IN&lt;1000),"Seg4 map3-100%",IF(AND(K145&gt;=c_TMAP2IN,c_TMAP3IN&gt;c_TMAP2IN),"Seg3 map2-map3",IF(AND(K145&gt;=c_TMAP1IN,c_TMAP2IN&gt;c_TMAP1IN),"Seg2 map1-map2","Seg1 TFWD-map1"))),IF(AND(K145=0,c_TCREEP&gt;0),"Creep",IF(AND(K145&lt;=c_TRNGMIN,K145&gt;=c_TRNGMAX,c_TRNGMIN-c_TRNGMAX&lt;&gt;0),"Regen ramp","Coast (0)")))</f>
        <v>Seg3 map2-map3</v>
      </c>
      <c r="R145" s="7" t="n">
        <f aca="false">IF(K145&gt;=c_TFWD,IF(AND(K145&gt;=c_TMAP3IN,c_TMAP3IN&lt;1000),P145,IF(AND(K145&gt;=c_TMAP2IN,c_TMAP3IN&gt;c_TMAP2IN),O145,IF(AND(K145&gt;=c_TMAP1IN,c_TMAP2IN&gt;c_TMAP1IN),N145,M145))),L145)</f>
        <v>137</v>
      </c>
      <c r="S145" s="7" t="str">
        <f aca="false">IF(R145&lt;-1090,"TOO LOW",IF(R145&gt;1090,"TOO HIGH",""))</f>
        <v/>
      </c>
      <c r="T145" s="15" t="n">
        <f aca="false">IF(H145&lt;&gt;"OK",0,IF(S145&lt;&gt;"",0,IF(R145&gt;979,1000,R145)))</f>
        <v>137</v>
      </c>
      <c r="U145" s="7" t="n">
        <f aca="false">T145/10</f>
        <v>13.7</v>
      </c>
    </row>
    <row r="146" customFormat="false" ht="15" hidden="false" customHeight="false" outlineLevel="0" collapsed="false">
      <c r="A146" s="7" t="n">
        <v>141</v>
      </c>
      <c r="B146" s="7" t="n">
        <f aca="false">ROUND(o_SWSTART+A146*(o_SWEND-o_SWSTART)/400,0)</f>
        <v>1443</v>
      </c>
      <c r="C146" s="7" t="n">
        <f aca="false">QUOTIENT((B146-c_OFF1)*c_GAIN1,1024)</f>
        <v>1443</v>
      </c>
      <c r="D146" s="7" t="n">
        <f aca="false">IF(((c_T1MX)-(c_T1MN))=0,(0)+QUOTIENT(((1000)-(0)),2),QUOTIENT((((C146)-(c_T1MN))*((1000)-(0))+IF(((1000)-(0))&gt;=0,1,-1)*QUOTIENT(((c_T1MX)-(c_T1MN)),2)),((c_T1MX)-(c_T1MN)))+(0)+IF(((1000)-(0))&gt;=0,IF(IF(o_WRAP=1,MOD(((c_T1MX)-(c_T1MN))*(((C146)-(c_T1MN))*((1000)-(0))+IF(((1000)-(0))&gt;=0,1,-1)*QUOTIENT(((c_T1MX)-(c_T1MN)),2))+2147483648,4294967296)-2147483648,((c_T1MX)-(c_T1MN))*(((C146)-(c_T1MN))*((1000)-(0))+IF(((1000)-(0))&gt;=0,1,-1)*QUOTIENT(((c_T1MX)-(c_T1MN)),2)))&lt;0,-1,0),IF(IF(o_WRAP=1,MOD(((c_T1MX)-(c_T1MN))*(((C146)-(c_T1MN))*((1000)-(0))+IF(((1000)-(0))&gt;=0,1,-1)*QUOTIENT(((c_T1MX)-(c_T1MN)),2))+2147483648,4294967296)-2147483648,((c_T1MX)-(c_T1MN))*(((C146)-(c_T1MN))*((1000)-(0))+IF(((1000)-(0))&gt;=0,1,-1)*QUOTIENT(((c_T1MX)-(c_T1MN)),2)))&gt;=0,1,0)))</f>
        <v>263</v>
      </c>
      <c r="E146" s="7" t="n">
        <f aca="false">IF(AND(c_TPOT=1,c_TTYPE=2),1000-D146,D146)</f>
        <v>263</v>
      </c>
      <c r="F146" s="7" t="str">
        <f aca="false">IF(c_TPOT&gt;1,ROUND(IF(c_TTYPE=2,c_T2MX-IF(c_T1MX=c_T1MN,0,(C146-c_T1MN)/(c_T1MX-c_T1MN))*(c_T2MX-c_T2MN),c_T2MN+IF(c_T1MX=c_T1MN,0,(C146-c_T1MN)/(c_T1MX-c_T1MN))*(c_T2MX-c_T2MN))+o_MISMATCH,0),"")</f>
        <v/>
      </c>
      <c r="G146" s="7" t="str">
        <f aca="false">IF(c_TPOT&gt;1,IF(((c_T2MX)-(c_T2MN))=0,(0)+QUOTIENT(((1000)-(0)),2),QUOTIENT((((F146)-(c_T2MN))*((1000)-(0))+IF(((1000)-(0))&gt;=0,1,-1)*QUOTIENT(((c_T2MX)-(c_T2MN)),2)),((c_T2MX)-(c_T2MN)))+(0)+IF(((1000)-(0))&gt;=0,IF(IF(o_WRAP=1,MOD(((c_T2MX)-(c_T2MN))*(((F146)-(c_T2MN))*((1000)-(0))+IF(((1000)-(0))&gt;=0,1,-1)*QUOTIENT(((c_T2MX)-(c_T2MN)),2))+2147483648,4294967296)-2147483648,((c_T2MX)-(c_T2MN))*(((F146)-(c_T2MN))*((1000)-(0))+IF(((1000)-(0))&gt;=0,1,-1)*QUOTIENT(((c_T2MX)-(c_T2MN)),2)))&lt;0,-1,0),IF(IF(o_WRAP=1,MOD(((c_T2MX)-(c_T2MN))*(((F146)-(c_T2MN))*((1000)-(0))+IF(((1000)-(0))&gt;=0,1,-1)*QUOTIENT(((c_T2MX)-(c_T2MN)),2))+2147483648,4294967296)-2147483648,((c_T2MX)-(c_T2MN))*(((F146)-(c_T2MN))*((1000)-(0))+IF(((1000)-(0))&gt;=0,1,-1)*QUOTIENT(((c_T2MX)-(c_T2MN)),2)))&gt;=0,1,0))),"")</f>
        <v/>
      </c>
      <c r="H146" s="7" t="str">
        <f aca="false">IF(E146&gt;1000+k_TOL,"T1 HIGH",IF(E146&lt;0-k_TOL,"T1 LOW",IF(c_TPOT&gt;1,IF(G146&gt;1000+k_TOL,"T2 HIGH",IF(G146&lt;0-k_TOL,"T2 LOW",IF(c_TTYPE=2,IF(ABS(1000-MAX(0,MIN(1000,E146))-MAX(0,MIN(1000,G146)))&gt;k_MAXERR,"MISMATCH","OK"),IF(OR(MAX(0,MIN(1000,E146))-k_MAXERR&gt;MAX(0,MIN(1000,G146)),MAX(0,MIN(1000,G146))-k_MAXERR&gt;MAX(0,MIN(1000,E146))),"MISMATCH","OK")))),"OK")))</f>
        <v>OK</v>
      </c>
      <c r="I146" s="7" t="n">
        <f aca="false">MAX(0,MIN(1000,D146))</f>
        <v>263</v>
      </c>
      <c r="J146" s="7" t="str">
        <f aca="false">IF(c_TPOT&gt;1,IF(c_TTYPE=2,1000-MAX(0,MIN(1000,G146)),MAX(0,MIN(1000,G146))),"")</f>
        <v/>
      </c>
      <c r="K146" s="7" t="n">
        <f aca="false">IF(c_TPOT&gt;1,QUOTIENT(I146+J146,2),I146)</f>
        <v>263</v>
      </c>
      <c r="L146" s="7" t="n">
        <f aca="false">IF(AND(K146=0,c_TCREEP&gt;0),10*c_TCREEP,IF(AND(K146&lt;=c_TRNGMIN,K146&gt;=c_TRNGMAX,c_TRNGMIN-c_TRNGMAX&lt;&gt;0),-10*c_TMINRN+QUOTIENT((c_TMAXRN-c_TMINRN)*(100-QUOTIENT((K146-c_TRNGMAX)*100,c_TRNGMIN-c_TRNGMAX)),-10),0))</f>
        <v>0</v>
      </c>
      <c r="M146" s="7" t="n">
        <f aca="false">IF(((c_TMAP1IN)-(c_TFWD))=0,(0)+QUOTIENT(((c_TMAP1OUT)-(0)),2),QUOTIENT((((K146)-(c_TFWD))*((c_TMAP1OUT)-(0))+IF(((c_TMAP1OUT)-(0))&gt;=0,1,-1)*QUOTIENT(((c_TMAP1IN)-(c_TFWD)),2)),((c_TMAP1IN)-(c_TFWD)))+(0)+IF(((c_TMAP1OUT)-(0))&gt;=0,IF(IF(o_WRAP=1,MOD(((c_TMAP1IN)-(c_TFWD))*(((K146)-(c_TFWD))*((c_TMAP1OUT)-(0))+IF(((c_TMAP1OUT)-(0))&gt;=0,1,-1)*QUOTIENT(((c_TMAP1IN)-(c_TFWD)),2))+2147483648,4294967296)-2147483648,((c_TMAP1IN)-(c_TFWD))*(((K146)-(c_TFWD))*((c_TMAP1OUT)-(0))+IF(((c_TMAP1OUT)-(0))&gt;=0,1,-1)*QUOTIENT(((c_TMAP1IN)-(c_TFWD)),2)))&lt;0,-1,0),IF(IF(o_WRAP=1,MOD(((c_TMAP1IN)-(c_TFWD))*(((K146)-(c_TFWD))*((c_TMAP1OUT)-(0))+IF(((c_TMAP1OUT)-(0))&gt;=0,1,-1)*QUOTIENT(((c_TMAP1IN)-(c_TFWD)),2))+2147483648,4294967296)-2147483648,((c_TMAP1IN)-(c_TFWD))*(((K146)-(c_TFWD))*((c_TMAP1OUT)-(0))+IF(((c_TMAP1OUT)-(0))&gt;=0,1,-1)*QUOTIENT(((c_TMAP1IN)-(c_TFWD)),2)))&gt;=0,1,0)))</f>
        <v>197</v>
      </c>
      <c r="N146" s="7" t="n">
        <f aca="false">IF(((c_TMAP2IN)-(c_TMAP1IN))=0,(c_TMAP1OUT)+QUOTIENT(((c_TMAP2OUT)-(c_TMAP1OUT)),2),QUOTIENT((((K146)-(c_TMAP1IN))*((c_TMAP2OUT)-(c_TMAP1OUT))+IF(((c_TMAP2OUT)-(c_TMAP1OUT))&gt;=0,1,-1)*QUOTIENT(((c_TMAP2IN)-(c_TMAP1IN)),2)),((c_TMAP2IN)-(c_TMAP1IN)))+(c_TMAP1OUT)+IF(((c_TMAP2OUT)-(c_TMAP1OUT))&gt;=0,IF(IF(o_WRAP=1,MOD(((c_TMAP2IN)-(c_TMAP1IN))*(((K146)-(c_TMAP1IN))*((c_TMAP2OUT)-(c_TMAP1OUT))+IF(((c_TMAP2OUT)-(c_TMAP1OUT))&gt;=0,1,-1)*QUOTIENT(((c_TMAP2IN)-(c_TMAP1IN)),2))+2147483648,4294967296)-2147483648,((c_TMAP2IN)-(c_TMAP1IN))*(((K146)-(c_TMAP1IN))*((c_TMAP2OUT)-(c_TMAP1OUT))+IF(((c_TMAP2OUT)-(c_TMAP1OUT))&gt;=0,1,-1)*QUOTIENT(((c_TMAP2IN)-(c_TMAP1IN)),2)))&lt;0,-1,0),IF(IF(o_WRAP=1,MOD(((c_TMAP2IN)-(c_TMAP1IN))*(((K146)-(c_TMAP1IN))*((c_TMAP2OUT)-(c_TMAP1OUT))+IF(((c_TMAP2OUT)-(c_TMAP1OUT))&gt;=0,1,-1)*QUOTIENT(((c_TMAP2IN)-(c_TMAP1IN)),2))+2147483648,4294967296)-2147483648,((c_TMAP2IN)-(c_TMAP1IN))*(((K146)-(c_TMAP1IN))*((c_TMAP2OUT)-(c_TMAP1OUT))+IF(((c_TMAP2OUT)-(c_TMAP1OUT))&gt;=0,1,-1)*QUOTIENT(((c_TMAP2IN)-(c_TMAP1IN)),2)))&gt;=0,1,0)))</f>
        <v>135</v>
      </c>
      <c r="O146" s="7" t="n">
        <f aca="false">IF(((c_TMAP3IN)-(c_TMAP2IN))=0,(c_TMAP2OUT)+QUOTIENT(((c_TMAP3OUT)-(c_TMAP2OUT)),2),QUOTIENT((((K146)-(c_TMAP2IN))*((c_TMAP3OUT)-(c_TMAP2OUT))+IF(((c_TMAP3OUT)-(c_TMAP2OUT))&gt;=0,1,-1)*QUOTIENT(((c_TMAP3IN)-(c_TMAP2IN)),2)),((c_TMAP3IN)-(c_TMAP2IN)))+(c_TMAP2OUT)+IF(((c_TMAP3OUT)-(c_TMAP2OUT))&gt;=0,IF(IF(o_WRAP=1,MOD(((c_TMAP3IN)-(c_TMAP2IN))*(((K146)-(c_TMAP2IN))*((c_TMAP3OUT)-(c_TMAP2OUT))+IF(((c_TMAP3OUT)-(c_TMAP2OUT))&gt;=0,1,-1)*QUOTIENT(((c_TMAP3IN)-(c_TMAP2IN)),2))+2147483648,4294967296)-2147483648,((c_TMAP3IN)-(c_TMAP2IN))*(((K146)-(c_TMAP2IN))*((c_TMAP3OUT)-(c_TMAP2OUT))+IF(((c_TMAP3OUT)-(c_TMAP2OUT))&gt;=0,1,-1)*QUOTIENT(((c_TMAP3IN)-(c_TMAP2IN)),2)))&lt;0,-1,0),IF(IF(o_WRAP=1,MOD(((c_TMAP3IN)-(c_TMAP2IN))*(((K146)-(c_TMAP2IN))*((c_TMAP3OUT)-(c_TMAP2OUT))+IF(((c_TMAP3OUT)-(c_TMAP2OUT))&gt;=0,1,-1)*QUOTIENT(((c_TMAP3IN)-(c_TMAP2IN)),2))+2147483648,4294967296)-2147483648,((c_TMAP3IN)-(c_TMAP2IN))*(((K146)-(c_TMAP2IN))*((c_TMAP3OUT)-(c_TMAP2OUT))+IF(((c_TMAP3OUT)-(c_TMAP2OUT))&gt;=0,1,-1)*QUOTIENT(((c_TMAP3IN)-(c_TMAP2IN)),2)))&gt;=0,1,0)))</f>
        <v>139</v>
      </c>
      <c r="P146" s="7" t="n">
        <f aca="false">IF(((1000)-(c_TMAP3IN))=0,(c_TMAP3OUT)+QUOTIENT(((1000)-(c_TMAP3OUT)),2),QUOTIENT((((K146)-(c_TMAP3IN))*((1000)-(c_TMAP3OUT))+IF(((1000)-(c_TMAP3OUT))&gt;=0,1,-1)*QUOTIENT(((1000)-(c_TMAP3IN)),2)),((1000)-(c_TMAP3IN)))+(c_TMAP3OUT)+IF(((1000)-(c_TMAP3OUT))&gt;=0,IF(IF(o_WRAP=1,MOD(((1000)-(c_TMAP3IN))*(((K146)-(c_TMAP3IN))*((1000)-(c_TMAP3OUT))+IF(((1000)-(c_TMAP3OUT))&gt;=0,1,-1)*QUOTIENT(((1000)-(c_TMAP3IN)),2))+2147483648,4294967296)-2147483648,((1000)-(c_TMAP3IN))*(((K146)-(c_TMAP3IN))*((1000)-(c_TMAP3OUT))+IF(((1000)-(c_TMAP3OUT))&gt;=0,1,-1)*QUOTIENT(((1000)-(c_TMAP3IN)),2)))&lt;0,-1,0),IF(IF(o_WRAP=1,MOD(((1000)-(c_TMAP3IN))*(((K146)-(c_TMAP3IN))*((1000)-(c_TMAP3OUT))+IF(((1000)-(c_TMAP3OUT))&gt;=0,1,-1)*QUOTIENT(((1000)-(c_TMAP3IN)),2))+2147483648,4294967296)-2147483648,((1000)-(c_TMAP3IN))*(((K146)-(c_TMAP3IN))*((1000)-(c_TMAP3OUT))+IF(((1000)-(c_TMAP3OUT))&gt;=0,1,-1)*QUOTIENT(((1000)-(c_TMAP3IN)),2)))&gt;=0,1,0)))</f>
        <v>93</v>
      </c>
      <c r="Q146" s="7" t="str">
        <f aca="false">IF(K146&gt;=c_TFWD,IF(AND(K146&gt;=c_TMAP3IN,c_TMAP3IN&lt;1000),"Seg4 map3-100%",IF(AND(K146&gt;=c_TMAP2IN,c_TMAP3IN&gt;c_TMAP2IN),"Seg3 map2-map3",IF(AND(K146&gt;=c_TMAP1IN,c_TMAP2IN&gt;c_TMAP1IN),"Seg2 map1-map2","Seg1 TFWD-map1"))),IF(AND(K146=0,c_TCREEP&gt;0),"Creep",IF(AND(K146&lt;=c_TRNGMIN,K146&gt;=c_TRNGMAX,c_TRNGMIN-c_TRNGMAX&lt;&gt;0),"Regen ramp","Coast (0)")))</f>
        <v>Seg3 map2-map3</v>
      </c>
      <c r="R146" s="7" t="n">
        <f aca="false">IF(K146&gt;=c_TFWD,IF(AND(K146&gt;=c_TMAP3IN,c_TMAP3IN&lt;1000),P146,IF(AND(K146&gt;=c_TMAP2IN,c_TMAP3IN&gt;c_TMAP2IN),O146,IF(AND(K146&gt;=c_TMAP1IN,c_TMAP2IN&gt;c_TMAP1IN),N146,M146))),L146)</f>
        <v>139</v>
      </c>
      <c r="S146" s="7" t="str">
        <f aca="false">IF(R146&lt;-1090,"TOO LOW",IF(R146&gt;1090,"TOO HIGH",""))</f>
        <v/>
      </c>
      <c r="T146" s="15" t="n">
        <f aca="false">IF(H146&lt;&gt;"OK",0,IF(S146&lt;&gt;"",0,IF(R146&gt;979,1000,R146)))</f>
        <v>139</v>
      </c>
      <c r="U146" s="7" t="n">
        <f aca="false">T146/10</f>
        <v>13.9</v>
      </c>
    </row>
    <row r="147" customFormat="false" ht="15" hidden="false" customHeight="false" outlineLevel="0" collapsed="false">
      <c r="A147" s="7" t="n">
        <v>142</v>
      </c>
      <c r="B147" s="7" t="n">
        <f aca="false">ROUND(o_SWSTART+A147*(o_SWEND-o_SWSTART)/400,0)</f>
        <v>1454</v>
      </c>
      <c r="C147" s="7" t="n">
        <f aca="false">QUOTIENT((B147-c_OFF1)*c_GAIN1,1024)</f>
        <v>1454</v>
      </c>
      <c r="D147" s="7" t="n">
        <f aca="false">IF(((c_T1MX)-(c_T1MN))=0,(0)+QUOTIENT(((1000)-(0)),2),QUOTIENT((((C147)-(c_T1MN))*((1000)-(0))+IF(((1000)-(0))&gt;=0,1,-1)*QUOTIENT(((c_T1MX)-(c_T1MN)),2)),((c_T1MX)-(c_T1MN)))+(0)+IF(((1000)-(0))&gt;=0,IF(IF(o_WRAP=1,MOD(((c_T1MX)-(c_T1MN))*(((C147)-(c_T1MN))*((1000)-(0))+IF(((1000)-(0))&gt;=0,1,-1)*QUOTIENT(((c_T1MX)-(c_T1MN)),2))+2147483648,4294967296)-2147483648,((c_T1MX)-(c_T1MN))*(((C147)-(c_T1MN))*((1000)-(0))+IF(((1000)-(0))&gt;=0,1,-1)*QUOTIENT(((c_T1MX)-(c_T1MN)),2)))&lt;0,-1,0),IF(IF(o_WRAP=1,MOD(((c_T1MX)-(c_T1MN))*(((C147)-(c_T1MN))*((1000)-(0))+IF(((1000)-(0))&gt;=0,1,-1)*QUOTIENT(((c_T1MX)-(c_T1MN)),2))+2147483648,4294967296)-2147483648,((c_T1MX)-(c_T1MN))*(((C147)-(c_T1MN))*((1000)-(0))+IF(((1000)-(0))&gt;=0,1,-1)*QUOTIENT(((c_T1MX)-(c_T1MN)),2)))&gt;=0,1,0)))</f>
        <v>267</v>
      </c>
      <c r="E147" s="7" t="n">
        <f aca="false">IF(AND(c_TPOT=1,c_TTYPE=2),1000-D147,D147)</f>
        <v>267</v>
      </c>
      <c r="F147" s="7" t="str">
        <f aca="false">IF(c_TPOT&gt;1,ROUND(IF(c_TTYPE=2,c_T2MX-IF(c_T1MX=c_T1MN,0,(C147-c_T1MN)/(c_T1MX-c_T1MN))*(c_T2MX-c_T2MN),c_T2MN+IF(c_T1MX=c_T1MN,0,(C147-c_T1MN)/(c_T1MX-c_T1MN))*(c_T2MX-c_T2MN))+o_MISMATCH,0),"")</f>
        <v/>
      </c>
      <c r="G147" s="7" t="str">
        <f aca="false">IF(c_TPOT&gt;1,IF(((c_T2MX)-(c_T2MN))=0,(0)+QUOTIENT(((1000)-(0)),2),QUOTIENT((((F147)-(c_T2MN))*((1000)-(0))+IF(((1000)-(0))&gt;=0,1,-1)*QUOTIENT(((c_T2MX)-(c_T2MN)),2)),((c_T2MX)-(c_T2MN)))+(0)+IF(((1000)-(0))&gt;=0,IF(IF(o_WRAP=1,MOD(((c_T2MX)-(c_T2MN))*(((F147)-(c_T2MN))*((1000)-(0))+IF(((1000)-(0))&gt;=0,1,-1)*QUOTIENT(((c_T2MX)-(c_T2MN)),2))+2147483648,4294967296)-2147483648,((c_T2MX)-(c_T2MN))*(((F147)-(c_T2MN))*((1000)-(0))+IF(((1000)-(0))&gt;=0,1,-1)*QUOTIENT(((c_T2MX)-(c_T2MN)),2)))&lt;0,-1,0),IF(IF(o_WRAP=1,MOD(((c_T2MX)-(c_T2MN))*(((F147)-(c_T2MN))*((1000)-(0))+IF(((1000)-(0))&gt;=0,1,-1)*QUOTIENT(((c_T2MX)-(c_T2MN)),2))+2147483648,4294967296)-2147483648,((c_T2MX)-(c_T2MN))*(((F147)-(c_T2MN))*((1000)-(0))+IF(((1000)-(0))&gt;=0,1,-1)*QUOTIENT(((c_T2MX)-(c_T2MN)),2)))&gt;=0,1,0))),"")</f>
        <v/>
      </c>
      <c r="H147" s="7" t="str">
        <f aca="false">IF(E147&gt;1000+k_TOL,"T1 HIGH",IF(E147&lt;0-k_TOL,"T1 LOW",IF(c_TPOT&gt;1,IF(G147&gt;1000+k_TOL,"T2 HIGH",IF(G147&lt;0-k_TOL,"T2 LOW",IF(c_TTYPE=2,IF(ABS(1000-MAX(0,MIN(1000,E147))-MAX(0,MIN(1000,G147)))&gt;k_MAXERR,"MISMATCH","OK"),IF(OR(MAX(0,MIN(1000,E147))-k_MAXERR&gt;MAX(0,MIN(1000,G147)),MAX(0,MIN(1000,G147))-k_MAXERR&gt;MAX(0,MIN(1000,E147))),"MISMATCH","OK")))),"OK")))</f>
        <v>OK</v>
      </c>
      <c r="I147" s="7" t="n">
        <f aca="false">MAX(0,MIN(1000,D147))</f>
        <v>267</v>
      </c>
      <c r="J147" s="7" t="str">
        <f aca="false">IF(c_TPOT&gt;1,IF(c_TTYPE=2,1000-MAX(0,MIN(1000,G147)),MAX(0,MIN(1000,G147))),"")</f>
        <v/>
      </c>
      <c r="K147" s="7" t="n">
        <f aca="false">IF(c_TPOT&gt;1,QUOTIENT(I147+J147,2),I147)</f>
        <v>267</v>
      </c>
      <c r="L147" s="7" t="n">
        <f aca="false">IF(AND(K147=0,c_TCREEP&gt;0),10*c_TCREEP,IF(AND(K147&lt;=c_TRNGMIN,K147&gt;=c_TRNGMAX,c_TRNGMIN-c_TRNGMAX&lt;&gt;0),-10*c_TMINRN+QUOTIENT((c_TMAXRN-c_TMINRN)*(100-QUOTIENT((K147-c_TRNGMAX)*100,c_TRNGMIN-c_TRNGMAX)),-10),0))</f>
        <v>0</v>
      </c>
      <c r="M147" s="7" t="n">
        <f aca="false">IF(((c_TMAP1IN)-(c_TFWD))=0,(0)+QUOTIENT(((c_TMAP1OUT)-(0)),2),QUOTIENT((((K147)-(c_TFWD))*((c_TMAP1OUT)-(0))+IF(((c_TMAP1OUT)-(0))&gt;=0,1,-1)*QUOTIENT(((c_TMAP1IN)-(c_TFWD)),2)),((c_TMAP1IN)-(c_TFWD)))+(0)+IF(((c_TMAP1OUT)-(0))&gt;=0,IF(IF(o_WRAP=1,MOD(((c_TMAP1IN)-(c_TFWD))*(((K147)-(c_TFWD))*((c_TMAP1OUT)-(0))+IF(((c_TMAP1OUT)-(0))&gt;=0,1,-1)*QUOTIENT(((c_TMAP1IN)-(c_TFWD)),2))+2147483648,4294967296)-2147483648,((c_TMAP1IN)-(c_TFWD))*(((K147)-(c_TFWD))*((c_TMAP1OUT)-(0))+IF(((c_TMAP1OUT)-(0))&gt;=0,1,-1)*QUOTIENT(((c_TMAP1IN)-(c_TFWD)),2)))&lt;0,-1,0),IF(IF(o_WRAP=1,MOD(((c_TMAP1IN)-(c_TFWD))*(((K147)-(c_TFWD))*((c_TMAP1OUT)-(0))+IF(((c_TMAP1OUT)-(0))&gt;=0,1,-1)*QUOTIENT(((c_TMAP1IN)-(c_TFWD)),2))+2147483648,4294967296)-2147483648,((c_TMAP1IN)-(c_TFWD))*(((K147)-(c_TFWD))*((c_TMAP1OUT)-(0))+IF(((c_TMAP1OUT)-(0))&gt;=0,1,-1)*QUOTIENT(((c_TMAP1IN)-(c_TFWD)),2)))&gt;=0,1,0)))</f>
        <v>200</v>
      </c>
      <c r="N147" s="7" t="n">
        <f aca="false">IF(((c_TMAP2IN)-(c_TMAP1IN))=0,(c_TMAP1OUT)+QUOTIENT(((c_TMAP2OUT)-(c_TMAP1OUT)),2),QUOTIENT((((K147)-(c_TMAP1IN))*((c_TMAP2OUT)-(c_TMAP1OUT))+IF(((c_TMAP2OUT)-(c_TMAP1OUT))&gt;=0,1,-1)*QUOTIENT(((c_TMAP2IN)-(c_TMAP1IN)),2)),((c_TMAP2IN)-(c_TMAP1IN)))+(c_TMAP1OUT)+IF(((c_TMAP2OUT)-(c_TMAP1OUT))&gt;=0,IF(IF(o_WRAP=1,MOD(((c_TMAP2IN)-(c_TMAP1IN))*(((K147)-(c_TMAP1IN))*((c_TMAP2OUT)-(c_TMAP1OUT))+IF(((c_TMAP2OUT)-(c_TMAP1OUT))&gt;=0,1,-1)*QUOTIENT(((c_TMAP2IN)-(c_TMAP1IN)),2))+2147483648,4294967296)-2147483648,((c_TMAP2IN)-(c_TMAP1IN))*(((K147)-(c_TMAP1IN))*((c_TMAP2OUT)-(c_TMAP1OUT))+IF(((c_TMAP2OUT)-(c_TMAP1OUT))&gt;=0,1,-1)*QUOTIENT(((c_TMAP2IN)-(c_TMAP1IN)),2)))&lt;0,-1,0),IF(IF(o_WRAP=1,MOD(((c_TMAP2IN)-(c_TMAP1IN))*(((K147)-(c_TMAP1IN))*((c_TMAP2OUT)-(c_TMAP1OUT))+IF(((c_TMAP2OUT)-(c_TMAP1OUT))&gt;=0,1,-1)*QUOTIENT(((c_TMAP2IN)-(c_TMAP1IN)),2))+2147483648,4294967296)-2147483648,((c_TMAP2IN)-(c_TMAP1IN))*(((K147)-(c_TMAP1IN))*((c_TMAP2OUT)-(c_TMAP1OUT))+IF(((c_TMAP2OUT)-(c_TMAP1OUT))&gt;=0,1,-1)*QUOTIENT(((c_TMAP2IN)-(c_TMAP1IN)),2)))&gt;=0,1,0)))</f>
        <v>137</v>
      </c>
      <c r="O147" s="7" t="n">
        <f aca="false">IF(((c_TMAP3IN)-(c_TMAP2IN))=0,(c_TMAP2OUT)+QUOTIENT(((c_TMAP3OUT)-(c_TMAP2OUT)),2),QUOTIENT((((K147)-(c_TMAP2IN))*((c_TMAP3OUT)-(c_TMAP2OUT))+IF(((c_TMAP3OUT)-(c_TMAP2OUT))&gt;=0,1,-1)*QUOTIENT(((c_TMAP3IN)-(c_TMAP2IN)),2)),((c_TMAP3IN)-(c_TMAP2IN)))+(c_TMAP2OUT)+IF(((c_TMAP3OUT)-(c_TMAP2OUT))&gt;=0,IF(IF(o_WRAP=1,MOD(((c_TMAP3IN)-(c_TMAP2IN))*(((K147)-(c_TMAP2IN))*((c_TMAP3OUT)-(c_TMAP2OUT))+IF(((c_TMAP3OUT)-(c_TMAP2OUT))&gt;=0,1,-1)*QUOTIENT(((c_TMAP3IN)-(c_TMAP2IN)),2))+2147483648,4294967296)-2147483648,((c_TMAP3IN)-(c_TMAP2IN))*(((K147)-(c_TMAP2IN))*((c_TMAP3OUT)-(c_TMAP2OUT))+IF(((c_TMAP3OUT)-(c_TMAP2OUT))&gt;=0,1,-1)*QUOTIENT(((c_TMAP3IN)-(c_TMAP2IN)),2)))&lt;0,-1,0),IF(IF(o_WRAP=1,MOD(((c_TMAP3IN)-(c_TMAP2IN))*(((K147)-(c_TMAP2IN))*((c_TMAP3OUT)-(c_TMAP2OUT))+IF(((c_TMAP3OUT)-(c_TMAP2OUT))&gt;=0,1,-1)*QUOTIENT(((c_TMAP3IN)-(c_TMAP2IN)),2))+2147483648,4294967296)-2147483648,((c_TMAP3IN)-(c_TMAP2IN))*(((K147)-(c_TMAP2IN))*((c_TMAP3OUT)-(c_TMAP2OUT))+IF(((c_TMAP3OUT)-(c_TMAP2OUT))&gt;=0,1,-1)*QUOTIENT(((c_TMAP3IN)-(c_TMAP2IN)),2)))&gt;=0,1,0)))</f>
        <v>142</v>
      </c>
      <c r="P147" s="7" t="n">
        <f aca="false">IF(((1000)-(c_TMAP3IN))=0,(c_TMAP3OUT)+QUOTIENT(((1000)-(c_TMAP3OUT)),2),QUOTIENT((((K147)-(c_TMAP3IN))*((1000)-(c_TMAP3OUT))+IF(((1000)-(c_TMAP3OUT))&gt;=0,1,-1)*QUOTIENT(((1000)-(c_TMAP3IN)),2)),((1000)-(c_TMAP3IN)))+(c_TMAP3OUT)+IF(((1000)-(c_TMAP3OUT))&gt;=0,IF(IF(o_WRAP=1,MOD(((1000)-(c_TMAP3IN))*(((K147)-(c_TMAP3IN))*((1000)-(c_TMAP3OUT))+IF(((1000)-(c_TMAP3OUT))&gt;=0,1,-1)*QUOTIENT(((1000)-(c_TMAP3IN)),2))+2147483648,4294967296)-2147483648,((1000)-(c_TMAP3IN))*(((K147)-(c_TMAP3IN))*((1000)-(c_TMAP3OUT))+IF(((1000)-(c_TMAP3OUT))&gt;=0,1,-1)*QUOTIENT(((1000)-(c_TMAP3IN)),2)))&lt;0,-1,0),IF(IF(o_WRAP=1,MOD(((1000)-(c_TMAP3IN))*(((K147)-(c_TMAP3IN))*((1000)-(c_TMAP3OUT))+IF(((1000)-(c_TMAP3OUT))&gt;=0,1,-1)*QUOTIENT(((1000)-(c_TMAP3IN)),2))+2147483648,4294967296)-2147483648,((1000)-(c_TMAP3IN))*(((K147)-(c_TMAP3IN))*((1000)-(c_TMAP3OUT))+IF(((1000)-(c_TMAP3OUT))&gt;=0,1,-1)*QUOTIENT(((1000)-(c_TMAP3IN)),2)))&gt;=0,1,0)))</f>
        <v>98</v>
      </c>
      <c r="Q147" s="7" t="str">
        <f aca="false">IF(K147&gt;=c_TFWD,IF(AND(K147&gt;=c_TMAP3IN,c_TMAP3IN&lt;1000),"Seg4 map3-100%",IF(AND(K147&gt;=c_TMAP2IN,c_TMAP3IN&gt;c_TMAP2IN),"Seg3 map2-map3",IF(AND(K147&gt;=c_TMAP1IN,c_TMAP2IN&gt;c_TMAP1IN),"Seg2 map1-map2","Seg1 TFWD-map1"))),IF(AND(K147=0,c_TCREEP&gt;0),"Creep",IF(AND(K147&lt;=c_TRNGMIN,K147&gt;=c_TRNGMAX,c_TRNGMIN-c_TRNGMAX&lt;&gt;0),"Regen ramp","Coast (0)")))</f>
        <v>Seg3 map2-map3</v>
      </c>
      <c r="R147" s="7" t="n">
        <f aca="false">IF(K147&gt;=c_TFWD,IF(AND(K147&gt;=c_TMAP3IN,c_TMAP3IN&lt;1000),P147,IF(AND(K147&gt;=c_TMAP2IN,c_TMAP3IN&gt;c_TMAP2IN),O147,IF(AND(K147&gt;=c_TMAP1IN,c_TMAP2IN&gt;c_TMAP1IN),N147,M147))),L147)</f>
        <v>142</v>
      </c>
      <c r="S147" s="7" t="str">
        <f aca="false">IF(R147&lt;-1090,"TOO LOW",IF(R147&gt;1090,"TOO HIGH",""))</f>
        <v/>
      </c>
      <c r="T147" s="15" t="n">
        <f aca="false">IF(H147&lt;&gt;"OK",0,IF(S147&lt;&gt;"",0,IF(R147&gt;979,1000,R147)))</f>
        <v>142</v>
      </c>
      <c r="U147" s="7" t="n">
        <f aca="false">T147/10</f>
        <v>14.2</v>
      </c>
    </row>
    <row r="148" customFormat="false" ht="15" hidden="false" customHeight="false" outlineLevel="0" collapsed="false">
      <c r="A148" s="7" t="n">
        <v>143</v>
      </c>
      <c r="B148" s="7" t="n">
        <f aca="false">ROUND(o_SWSTART+A148*(o_SWEND-o_SWSTART)/400,0)</f>
        <v>1464</v>
      </c>
      <c r="C148" s="7" t="n">
        <f aca="false">QUOTIENT((B148-c_OFF1)*c_GAIN1,1024)</f>
        <v>1464</v>
      </c>
      <c r="D148" s="7" t="n">
        <f aca="false">IF(((c_T1MX)-(c_T1MN))=0,(0)+QUOTIENT(((1000)-(0)),2),QUOTIENT((((C148)-(c_T1MN))*((1000)-(0))+IF(((1000)-(0))&gt;=0,1,-1)*QUOTIENT(((c_T1MX)-(c_T1MN)),2)),((c_T1MX)-(c_T1MN)))+(0)+IF(((1000)-(0))&gt;=0,IF(IF(o_WRAP=1,MOD(((c_T1MX)-(c_T1MN))*(((C148)-(c_T1MN))*((1000)-(0))+IF(((1000)-(0))&gt;=0,1,-1)*QUOTIENT(((c_T1MX)-(c_T1MN)),2))+2147483648,4294967296)-2147483648,((c_T1MX)-(c_T1MN))*(((C148)-(c_T1MN))*((1000)-(0))+IF(((1000)-(0))&gt;=0,1,-1)*QUOTIENT(((c_T1MX)-(c_T1MN)),2)))&lt;0,-1,0),IF(IF(o_WRAP=1,MOD(((c_T1MX)-(c_T1MN))*(((C148)-(c_T1MN))*((1000)-(0))+IF(((1000)-(0))&gt;=0,1,-1)*QUOTIENT(((c_T1MX)-(c_T1MN)),2))+2147483648,4294967296)-2147483648,((c_T1MX)-(c_T1MN))*(((C148)-(c_T1MN))*((1000)-(0))+IF(((1000)-(0))&gt;=0,1,-1)*QUOTIENT(((c_T1MX)-(c_T1MN)),2)))&gt;=0,1,0)))</f>
        <v>271</v>
      </c>
      <c r="E148" s="7" t="n">
        <f aca="false">IF(AND(c_TPOT=1,c_TTYPE=2),1000-D148,D148)</f>
        <v>271</v>
      </c>
      <c r="F148" s="7" t="str">
        <f aca="false">IF(c_TPOT&gt;1,ROUND(IF(c_TTYPE=2,c_T2MX-IF(c_T1MX=c_T1MN,0,(C148-c_T1MN)/(c_T1MX-c_T1MN))*(c_T2MX-c_T2MN),c_T2MN+IF(c_T1MX=c_T1MN,0,(C148-c_T1MN)/(c_T1MX-c_T1MN))*(c_T2MX-c_T2MN))+o_MISMATCH,0),"")</f>
        <v/>
      </c>
      <c r="G148" s="7" t="str">
        <f aca="false">IF(c_TPOT&gt;1,IF(((c_T2MX)-(c_T2MN))=0,(0)+QUOTIENT(((1000)-(0)),2),QUOTIENT((((F148)-(c_T2MN))*((1000)-(0))+IF(((1000)-(0))&gt;=0,1,-1)*QUOTIENT(((c_T2MX)-(c_T2MN)),2)),((c_T2MX)-(c_T2MN)))+(0)+IF(((1000)-(0))&gt;=0,IF(IF(o_WRAP=1,MOD(((c_T2MX)-(c_T2MN))*(((F148)-(c_T2MN))*((1000)-(0))+IF(((1000)-(0))&gt;=0,1,-1)*QUOTIENT(((c_T2MX)-(c_T2MN)),2))+2147483648,4294967296)-2147483648,((c_T2MX)-(c_T2MN))*(((F148)-(c_T2MN))*((1000)-(0))+IF(((1000)-(0))&gt;=0,1,-1)*QUOTIENT(((c_T2MX)-(c_T2MN)),2)))&lt;0,-1,0),IF(IF(o_WRAP=1,MOD(((c_T2MX)-(c_T2MN))*(((F148)-(c_T2MN))*((1000)-(0))+IF(((1000)-(0))&gt;=0,1,-1)*QUOTIENT(((c_T2MX)-(c_T2MN)),2))+2147483648,4294967296)-2147483648,((c_T2MX)-(c_T2MN))*(((F148)-(c_T2MN))*((1000)-(0))+IF(((1000)-(0))&gt;=0,1,-1)*QUOTIENT(((c_T2MX)-(c_T2MN)),2)))&gt;=0,1,0))),"")</f>
        <v/>
      </c>
      <c r="H148" s="7" t="str">
        <f aca="false">IF(E148&gt;1000+k_TOL,"T1 HIGH",IF(E148&lt;0-k_TOL,"T1 LOW",IF(c_TPOT&gt;1,IF(G148&gt;1000+k_TOL,"T2 HIGH",IF(G148&lt;0-k_TOL,"T2 LOW",IF(c_TTYPE=2,IF(ABS(1000-MAX(0,MIN(1000,E148))-MAX(0,MIN(1000,G148)))&gt;k_MAXERR,"MISMATCH","OK"),IF(OR(MAX(0,MIN(1000,E148))-k_MAXERR&gt;MAX(0,MIN(1000,G148)),MAX(0,MIN(1000,G148))-k_MAXERR&gt;MAX(0,MIN(1000,E148))),"MISMATCH","OK")))),"OK")))</f>
        <v>OK</v>
      </c>
      <c r="I148" s="7" t="n">
        <f aca="false">MAX(0,MIN(1000,D148))</f>
        <v>271</v>
      </c>
      <c r="J148" s="7" t="str">
        <f aca="false">IF(c_TPOT&gt;1,IF(c_TTYPE=2,1000-MAX(0,MIN(1000,G148)),MAX(0,MIN(1000,G148))),"")</f>
        <v/>
      </c>
      <c r="K148" s="7" t="n">
        <f aca="false">IF(c_TPOT&gt;1,QUOTIENT(I148+J148,2),I148)</f>
        <v>271</v>
      </c>
      <c r="L148" s="7" t="n">
        <f aca="false">IF(AND(K148=0,c_TCREEP&gt;0),10*c_TCREEP,IF(AND(K148&lt;=c_TRNGMIN,K148&gt;=c_TRNGMAX,c_TRNGMIN-c_TRNGMAX&lt;&gt;0),-10*c_TMINRN+QUOTIENT((c_TMAXRN-c_TMINRN)*(100-QUOTIENT((K148-c_TRNGMAX)*100,c_TRNGMIN-c_TRNGMAX)),-10),0))</f>
        <v>0</v>
      </c>
      <c r="M148" s="7" t="n">
        <f aca="false">IF(((c_TMAP1IN)-(c_TFWD))=0,(0)+QUOTIENT(((c_TMAP1OUT)-(0)),2),QUOTIENT((((K148)-(c_TFWD))*((c_TMAP1OUT)-(0))+IF(((c_TMAP1OUT)-(0))&gt;=0,1,-1)*QUOTIENT(((c_TMAP1IN)-(c_TFWD)),2)),((c_TMAP1IN)-(c_TFWD)))+(0)+IF(((c_TMAP1OUT)-(0))&gt;=0,IF(IF(o_WRAP=1,MOD(((c_TMAP1IN)-(c_TFWD))*(((K148)-(c_TFWD))*((c_TMAP1OUT)-(0))+IF(((c_TMAP1OUT)-(0))&gt;=0,1,-1)*QUOTIENT(((c_TMAP1IN)-(c_TFWD)),2))+2147483648,4294967296)-2147483648,((c_TMAP1IN)-(c_TFWD))*(((K148)-(c_TFWD))*((c_TMAP1OUT)-(0))+IF(((c_TMAP1OUT)-(0))&gt;=0,1,-1)*QUOTIENT(((c_TMAP1IN)-(c_TFWD)),2)))&lt;0,-1,0),IF(IF(o_WRAP=1,MOD(((c_TMAP1IN)-(c_TFWD))*(((K148)-(c_TFWD))*((c_TMAP1OUT)-(0))+IF(((c_TMAP1OUT)-(0))&gt;=0,1,-1)*QUOTIENT(((c_TMAP1IN)-(c_TFWD)),2))+2147483648,4294967296)-2147483648,((c_TMAP1IN)-(c_TFWD))*(((K148)-(c_TFWD))*((c_TMAP1OUT)-(0))+IF(((c_TMAP1OUT)-(0))&gt;=0,1,-1)*QUOTIENT(((c_TMAP1IN)-(c_TFWD)),2)))&gt;=0,1,0)))</f>
        <v>203</v>
      </c>
      <c r="N148" s="7" t="n">
        <f aca="false">IF(((c_TMAP2IN)-(c_TMAP1IN))=0,(c_TMAP1OUT)+QUOTIENT(((c_TMAP2OUT)-(c_TMAP1OUT)),2),QUOTIENT((((K148)-(c_TMAP1IN))*((c_TMAP2OUT)-(c_TMAP1OUT))+IF(((c_TMAP2OUT)-(c_TMAP1OUT))&gt;=0,1,-1)*QUOTIENT(((c_TMAP2IN)-(c_TMAP1IN)),2)),((c_TMAP2IN)-(c_TMAP1IN)))+(c_TMAP1OUT)+IF(((c_TMAP2OUT)-(c_TMAP1OUT))&gt;=0,IF(IF(o_WRAP=1,MOD(((c_TMAP2IN)-(c_TMAP1IN))*(((K148)-(c_TMAP1IN))*((c_TMAP2OUT)-(c_TMAP1OUT))+IF(((c_TMAP2OUT)-(c_TMAP1OUT))&gt;=0,1,-1)*QUOTIENT(((c_TMAP2IN)-(c_TMAP1IN)),2))+2147483648,4294967296)-2147483648,((c_TMAP2IN)-(c_TMAP1IN))*(((K148)-(c_TMAP1IN))*((c_TMAP2OUT)-(c_TMAP1OUT))+IF(((c_TMAP2OUT)-(c_TMAP1OUT))&gt;=0,1,-1)*QUOTIENT(((c_TMAP2IN)-(c_TMAP1IN)),2)))&lt;0,-1,0),IF(IF(o_WRAP=1,MOD(((c_TMAP2IN)-(c_TMAP1IN))*(((K148)-(c_TMAP1IN))*((c_TMAP2OUT)-(c_TMAP1OUT))+IF(((c_TMAP2OUT)-(c_TMAP1OUT))&gt;=0,1,-1)*QUOTIENT(((c_TMAP2IN)-(c_TMAP1IN)),2))+2147483648,4294967296)-2147483648,((c_TMAP2IN)-(c_TMAP1IN))*(((K148)-(c_TMAP1IN))*((c_TMAP2OUT)-(c_TMAP1OUT))+IF(((c_TMAP2OUT)-(c_TMAP1OUT))&gt;=0,1,-1)*QUOTIENT(((c_TMAP2IN)-(c_TMAP1IN)),2)))&gt;=0,1,0)))</f>
        <v>138</v>
      </c>
      <c r="O148" s="7" t="n">
        <f aca="false">IF(((c_TMAP3IN)-(c_TMAP2IN))=0,(c_TMAP2OUT)+QUOTIENT(((c_TMAP3OUT)-(c_TMAP2OUT)),2),QUOTIENT((((K148)-(c_TMAP2IN))*((c_TMAP3OUT)-(c_TMAP2OUT))+IF(((c_TMAP3OUT)-(c_TMAP2OUT))&gt;=0,1,-1)*QUOTIENT(((c_TMAP3IN)-(c_TMAP2IN)),2)),((c_TMAP3IN)-(c_TMAP2IN)))+(c_TMAP2OUT)+IF(((c_TMAP3OUT)-(c_TMAP2OUT))&gt;=0,IF(IF(o_WRAP=1,MOD(((c_TMAP3IN)-(c_TMAP2IN))*(((K148)-(c_TMAP2IN))*((c_TMAP3OUT)-(c_TMAP2OUT))+IF(((c_TMAP3OUT)-(c_TMAP2OUT))&gt;=0,1,-1)*QUOTIENT(((c_TMAP3IN)-(c_TMAP2IN)),2))+2147483648,4294967296)-2147483648,((c_TMAP3IN)-(c_TMAP2IN))*(((K148)-(c_TMAP2IN))*((c_TMAP3OUT)-(c_TMAP2OUT))+IF(((c_TMAP3OUT)-(c_TMAP2OUT))&gt;=0,1,-1)*QUOTIENT(((c_TMAP3IN)-(c_TMAP2IN)),2)))&lt;0,-1,0),IF(IF(o_WRAP=1,MOD(((c_TMAP3IN)-(c_TMAP2IN))*(((K148)-(c_TMAP2IN))*((c_TMAP3OUT)-(c_TMAP2OUT))+IF(((c_TMAP3OUT)-(c_TMAP2OUT))&gt;=0,1,-1)*QUOTIENT(((c_TMAP3IN)-(c_TMAP2IN)),2))+2147483648,4294967296)-2147483648,((c_TMAP3IN)-(c_TMAP2IN))*(((K148)-(c_TMAP2IN))*((c_TMAP3OUT)-(c_TMAP2OUT))+IF(((c_TMAP3OUT)-(c_TMAP2OUT))&gt;=0,1,-1)*QUOTIENT(((c_TMAP3IN)-(c_TMAP2IN)),2)))&gt;=0,1,0)))</f>
        <v>145</v>
      </c>
      <c r="P148" s="7" t="n">
        <f aca="false">IF(((1000)-(c_TMAP3IN))=0,(c_TMAP3OUT)+QUOTIENT(((1000)-(c_TMAP3OUT)),2),QUOTIENT((((K148)-(c_TMAP3IN))*((1000)-(c_TMAP3OUT))+IF(((1000)-(c_TMAP3OUT))&gt;=0,1,-1)*QUOTIENT(((1000)-(c_TMAP3IN)),2)),((1000)-(c_TMAP3IN)))+(c_TMAP3OUT)+IF(((1000)-(c_TMAP3OUT))&gt;=0,IF(IF(o_WRAP=1,MOD(((1000)-(c_TMAP3IN))*(((K148)-(c_TMAP3IN))*((1000)-(c_TMAP3OUT))+IF(((1000)-(c_TMAP3OUT))&gt;=0,1,-1)*QUOTIENT(((1000)-(c_TMAP3IN)),2))+2147483648,4294967296)-2147483648,((1000)-(c_TMAP3IN))*(((K148)-(c_TMAP3IN))*((1000)-(c_TMAP3OUT))+IF(((1000)-(c_TMAP3OUT))&gt;=0,1,-1)*QUOTIENT(((1000)-(c_TMAP3IN)),2)))&lt;0,-1,0),IF(IF(o_WRAP=1,MOD(((1000)-(c_TMAP3IN))*(((K148)-(c_TMAP3IN))*((1000)-(c_TMAP3OUT))+IF(((1000)-(c_TMAP3OUT))&gt;=0,1,-1)*QUOTIENT(((1000)-(c_TMAP3IN)),2))+2147483648,4294967296)-2147483648,((1000)-(c_TMAP3IN))*(((K148)-(c_TMAP3IN))*((1000)-(c_TMAP3OUT))+IF(((1000)-(c_TMAP3OUT))&gt;=0,1,-1)*QUOTIENT(((1000)-(c_TMAP3IN)),2)))&gt;=0,1,0)))</f>
        <v>103</v>
      </c>
      <c r="Q148" s="7" t="str">
        <f aca="false">IF(K148&gt;=c_TFWD,IF(AND(K148&gt;=c_TMAP3IN,c_TMAP3IN&lt;1000),"Seg4 map3-100%",IF(AND(K148&gt;=c_TMAP2IN,c_TMAP3IN&gt;c_TMAP2IN),"Seg3 map2-map3",IF(AND(K148&gt;=c_TMAP1IN,c_TMAP2IN&gt;c_TMAP1IN),"Seg2 map1-map2","Seg1 TFWD-map1"))),IF(AND(K148=0,c_TCREEP&gt;0),"Creep",IF(AND(K148&lt;=c_TRNGMIN,K148&gt;=c_TRNGMAX,c_TRNGMIN-c_TRNGMAX&lt;&gt;0),"Regen ramp","Coast (0)")))</f>
        <v>Seg3 map2-map3</v>
      </c>
      <c r="R148" s="7" t="n">
        <f aca="false">IF(K148&gt;=c_TFWD,IF(AND(K148&gt;=c_TMAP3IN,c_TMAP3IN&lt;1000),P148,IF(AND(K148&gt;=c_TMAP2IN,c_TMAP3IN&gt;c_TMAP2IN),O148,IF(AND(K148&gt;=c_TMAP1IN,c_TMAP2IN&gt;c_TMAP1IN),N148,M148))),L148)</f>
        <v>145</v>
      </c>
      <c r="S148" s="7" t="str">
        <f aca="false">IF(R148&lt;-1090,"TOO LOW",IF(R148&gt;1090,"TOO HIGH",""))</f>
        <v/>
      </c>
      <c r="T148" s="15" t="n">
        <f aca="false">IF(H148&lt;&gt;"OK",0,IF(S148&lt;&gt;"",0,IF(R148&gt;979,1000,R148)))</f>
        <v>145</v>
      </c>
      <c r="U148" s="7" t="n">
        <f aca="false">T148/10</f>
        <v>14.5</v>
      </c>
    </row>
    <row r="149" customFormat="false" ht="15" hidden="false" customHeight="false" outlineLevel="0" collapsed="false">
      <c r="A149" s="7" t="n">
        <v>144</v>
      </c>
      <c r="B149" s="7" t="n">
        <f aca="false">ROUND(o_SWSTART+A149*(o_SWEND-o_SWSTART)/400,0)</f>
        <v>1474</v>
      </c>
      <c r="C149" s="7" t="n">
        <f aca="false">QUOTIENT((B149-c_OFF1)*c_GAIN1,1024)</f>
        <v>1474</v>
      </c>
      <c r="D149" s="7" t="n">
        <f aca="false">IF(((c_T1MX)-(c_T1MN))=0,(0)+QUOTIENT(((1000)-(0)),2),QUOTIENT((((C149)-(c_T1MN))*((1000)-(0))+IF(((1000)-(0))&gt;=0,1,-1)*QUOTIENT(((c_T1MX)-(c_T1MN)),2)),((c_T1MX)-(c_T1MN)))+(0)+IF(((1000)-(0))&gt;=0,IF(IF(o_WRAP=1,MOD(((c_T1MX)-(c_T1MN))*(((C149)-(c_T1MN))*((1000)-(0))+IF(((1000)-(0))&gt;=0,1,-1)*QUOTIENT(((c_T1MX)-(c_T1MN)),2))+2147483648,4294967296)-2147483648,((c_T1MX)-(c_T1MN))*(((C149)-(c_T1MN))*((1000)-(0))+IF(((1000)-(0))&gt;=0,1,-1)*QUOTIENT(((c_T1MX)-(c_T1MN)),2)))&lt;0,-1,0),IF(IF(o_WRAP=1,MOD(((c_T1MX)-(c_T1MN))*(((C149)-(c_T1MN))*((1000)-(0))+IF(((1000)-(0))&gt;=0,1,-1)*QUOTIENT(((c_T1MX)-(c_T1MN)),2))+2147483648,4294967296)-2147483648,((c_T1MX)-(c_T1MN))*(((C149)-(c_T1MN))*((1000)-(0))+IF(((1000)-(0))&gt;=0,1,-1)*QUOTIENT(((c_T1MX)-(c_T1MN)),2)))&gt;=0,1,0)))</f>
        <v>275</v>
      </c>
      <c r="E149" s="7" t="n">
        <f aca="false">IF(AND(c_TPOT=1,c_TTYPE=2),1000-D149,D149)</f>
        <v>275</v>
      </c>
      <c r="F149" s="7" t="str">
        <f aca="false">IF(c_TPOT&gt;1,ROUND(IF(c_TTYPE=2,c_T2MX-IF(c_T1MX=c_T1MN,0,(C149-c_T1MN)/(c_T1MX-c_T1MN))*(c_T2MX-c_T2MN),c_T2MN+IF(c_T1MX=c_T1MN,0,(C149-c_T1MN)/(c_T1MX-c_T1MN))*(c_T2MX-c_T2MN))+o_MISMATCH,0),"")</f>
        <v/>
      </c>
      <c r="G149" s="7" t="str">
        <f aca="false">IF(c_TPOT&gt;1,IF(((c_T2MX)-(c_T2MN))=0,(0)+QUOTIENT(((1000)-(0)),2),QUOTIENT((((F149)-(c_T2MN))*((1000)-(0))+IF(((1000)-(0))&gt;=0,1,-1)*QUOTIENT(((c_T2MX)-(c_T2MN)),2)),((c_T2MX)-(c_T2MN)))+(0)+IF(((1000)-(0))&gt;=0,IF(IF(o_WRAP=1,MOD(((c_T2MX)-(c_T2MN))*(((F149)-(c_T2MN))*((1000)-(0))+IF(((1000)-(0))&gt;=0,1,-1)*QUOTIENT(((c_T2MX)-(c_T2MN)),2))+2147483648,4294967296)-2147483648,((c_T2MX)-(c_T2MN))*(((F149)-(c_T2MN))*((1000)-(0))+IF(((1000)-(0))&gt;=0,1,-1)*QUOTIENT(((c_T2MX)-(c_T2MN)),2)))&lt;0,-1,0),IF(IF(o_WRAP=1,MOD(((c_T2MX)-(c_T2MN))*(((F149)-(c_T2MN))*((1000)-(0))+IF(((1000)-(0))&gt;=0,1,-1)*QUOTIENT(((c_T2MX)-(c_T2MN)),2))+2147483648,4294967296)-2147483648,((c_T2MX)-(c_T2MN))*(((F149)-(c_T2MN))*((1000)-(0))+IF(((1000)-(0))&gt;=0,1,-1)*QUOTIENT(((c_T2MX)-(c_T2MN)),2)))&gt;=0,1,0))),"")</f>
        <v/>
      </c>
      <c r="H149" s="7" t="str">
        <f aca="false">IF(E149&gt;1000+k_TOL,"T1 HIGH",IF(E149&lt;0-k_TOL,"T1 LOW",IF(c_TPOT&gt;1,IF(G149&gt;1000+k_TOL,"T2 HIGH",IF(G149&lt;0-k_TOL,"T2 LOW",IF(c_TTYPE=2,IF(ABS(1000-MAX(0,MIN(1000,E149))-MAX(0,MIN(1000,G149)))&gt;k_MAXERR,"MISMATCH","OK"),IF(OR(MAX(0,MIN(1000,E149))-k_MAXERR&gt;MAX(0,MIN(1000,G149)),MAX(0,MIN(1000,G149))-k_MAXERR&gt;MAX(0,MIN(1000,E149))),"MISMATCH","OK")))),"OK")))</f>
        <v>OK</v>
      </c>
      <c r="I149" s="7" t="n">
        <f aca="false">MAX(0,MIN(1000,D149))</f>
        <v>275</v>
      </c>
      <c r="J149" s="7" t="str">
        <f aca="false">IF(c_TPOT&gt;1,IF(c_TTYPE=2,1000-MAX(0,MIN(1000,G149)),MAX(0,MIN(1000,G149))),"")</f>
        <v/>
      </c>
      <c r="K149" s="7" t="n">
        <f aca="false">IF(c_TPOT&gt;1,QUOTIENT(I149+J149,2),I149)</f>
        <v>275</v>
      </c>
      <c r="L149" s="7" t="n">
        <f aca="false">IF(AND(K149=0,c_TCREEP&gt;0),10*c_TCREEP,IF(AND(K149&lt;=c_TRNGMIN,K149&gt;=c_TRNGMAX,c_TRNGMIN-c_TRNGMAX&lt;&gt;0),-10*c_TMINRN+QUOTIENT((c_TMAXRN-c_TMINRN)*(100-QUOTIENT((K149-c_TRNGMAX)*100,c_TRNGMIN-c_TRNGMAX)),-10),0))</f>
        <v>0</v>
      </c>
      <c r="M149" s="7" t="n">
        <f aca="false">IF(((c_TMAP1IN)-(c_TFWD))=0,(0)+QUOTIENT(((c_TMAP1OUT)-(0)),2),QUOTIENT((((K149)-(c_TFWD))*((c_TMAP1OUT)-(0))+IF(((c_TMAP1OUT)-(0))&gt;=0,1,-1)*QUOTIENT(((c_TMAP1IN)-(c_TFWD)),2)),((c_TMAP1IN)-(c_TFWD)))+(0)+IF(((c_TMAP1OUT)-(0))&gt;=0,IF(IF(o_WRAP=1,MOD(((c_TMAP1IN)-(c_TFWD))*(((K149)-(c_TFWD))*((c_TMAP1OUT)-(0))+IF(((c_TMAP1OUT)-(0))&gt;=0,1,-1)*QUOTIENT(((c_TMAP1IN)-(c_TFWD)),2))+2147483648,4294967296)-2147483648,((c_TMAP1IN)-(c_TFWD))*(((K149)-(c_TFWD))*((c_TMAP1OUT)-(0))+IF(((c_TMAP1OUT)-(0))&gt;=0,1,-1)*QUOTIENT(((c_TMAP1IN)-(c_TFWD)),2)))&lt;0,-1,0),IF(IF(o_WRAP=1,MOD(((c_TMAP1IN)-(c_TFWD))*(((K149)-(c_TFWD))*((c_TMAP1OUT)-(0))+IF(((c_TMAP1OUT)-(0))&gt;=0,1,-1)*QUOTIENT(((c_TMAP1IN)-(c_TFWD)),2))+2147483648,4294967296)-2147483648,((c_TMAP1IN)-(c_TFWD))*(((K149)-(c_TFWD))*((c_TMAP1OUT)-(0))+IF(((c_TMAP1OUT)-(0))&gt;=0,1,-1)*QUOTIENT(((c_TMAP1IN)-(c_TFWD)),2)))&gt;=0,1,0)))</f>
        <v>206</v>
      </c>
      <c r="N149" s="7" t="n">
        <f aca="false">IF(((c_TMAP2IN)-(c_TMAP1IN))=0,(c_TMAP1OUT)+QUOTIENT(((c_TMAP2OUT)-(c_TMAP1OUT)),2),QUOTIENT((((K149)-(c_TMAP1IN))*((c_TMAP2OUT)-(c_TMAP1OUT))+IF(((c_TMAP2OUT)-(c_TMAP1OUT))&gt;=0,1,-1)*QUOTIENT(((c_TMAP2IN)-(c_TMAP1IN)),2)),((c_TMAP2IN)-(c_TMAP1IN)))+(c_TMAP1OUT)+IF(((c_TMAP2OUT)-(c_TMAP1OUT))&gt;=0,IF(IF(o_WRAP=1,MOD(((c_TMAP2IN)-(c_TMAP1IN))*(((K149)-(c_TMAP1IN))*((c_TMAP2OUT)-(c_TMAP1OUT))+IF(((c_TMAP2OUT)-(c_TMAP1OUT))&gt;=0,1,-1)*QUOTIENT(((c_TMAP2IN)-(c_TMAP1IN)),2))+2147483648,4294967296)-2147483648,((c_TMAP2IN)-(c_TMAP1IN))*(((K149)-(c_TMAP1IN))*((c_TMAP2OUT)-(c_TMAP1OUT))+IF(((c_TMAP2OUT)-(c_TMAP1OUT))&gt;=0,1,-1)*QUOTIENT(((c_TMAP2IN)-(c_TMAP1IN)),2)))&lt;0,-1,0),IF(IF(o_WRAP=1,MOD(((c_TMAP2IN)-(c_TMAP1IN))*(((K149)-(c_TMAP1IN))*((c_TMAP2OUT)-(c_TMAP1OUT))+IF(((c_TMAP2OUT)-(c_TMAP1OUT))&gt;=0,1,-1)*QUOTIENT(((c_TMAP2IN)-(c_TMAP1IN)),2))+2147483648,4294967296)-2147483648,((c_TMAP2IN)-(c_TMAP1IN))*(((K149)-(c_TMAP1IN))*((c_TMAP2OUT)-(c_TMAP1OUT))+IF(((c_TMAP2OUT)-(c_TMAP1OUT))&gt;=0,1,-1)*QUOTIENT(((c_TMAP2IN)-(c_TMAP1IN)),2)))&gt;=0,1,0)))</f>
        <v>140</v>
      </c>
      <c r="O149" s="7" t="n">
        <f aca="false">IF(((c_TMAP3IN)-(c_TMAP2IN))=0,(c_TMAP2OUT)+QUOTIENT(((c_TMAP3OUT)-(c_TMAP2OUT)),2),QUOTIENT((((K149)-(c_TMAP2IN))*((c_TMAP3OUT)-(c_TMAP2OUT))+IF(((c_TMAP3OUT)-(c_TMAP2OUT))&gt;=0,1,-1)*QUOTIENT(((c_TMAP3IN)-(c_TMAP2IN)),2)),((c_TMAP3IN)-(c_TMAP2IN)))+(c_TMAP2OUT)+IF(((c_TMAP3OUT)-(c_TMAP2OUT))&gt;=0,IF(IF(o_WRAP=1,MOD(((c_TMAP3IN)-(c_TMAP2IN))*(((K149)-(c_TMAP2IN))*((c_TMAP3OUT)-(c_TMAP2OUT))+IF(((c_TMAP3OUT)-(c_TMAP2OUT))&gt;=0,1,-1)*QUOTIENT(((c_TMAP3IN)-(c_TMAP2IN)),2))+2147483648,4294967296)-2147483648,((c_TMAP3IN)-(c_TMAP2IN))*(((K149)-(c_TMAP2IN))*((c_TMAP3OUT)-(c_TMAP2OUT))+IF(((c_TMAP3OUT)-(c_TMAP2OUT))&gt;=0,1,-1)*QUOTIENT(((c_TMAP3IN)-(c_TMAP2IN)),2)))&lt;0,-1,0),IF(IF(o_WRAP=1,MOD(((c_TMAP3IN)-(c_TMAP2IN))*(((K149)-(c_TMAP2IN))*((c_TMAP3OUT)-(c_TMAP2OUT))+IF(((c_TMAP3OUT)-(c_TMAP2OUT))&gt;=0,1,-1)*QUOTIENT(((c_TMAP3IN)-(c_TMAP2IN)),2))+2147483648,4294967296)-2147483648,((c_TMAP3IN)-(c_TMAP2IN))*(((K149)-(c_TMAP2IN))*((c_TMAP3OUT)-(c_TMAP2OUT))+IF(((c_TMAP3OUT)-(c_TMAP2OUT))&gt;=0,1,-1)*QUOTIENT(((c_TMAP3IN)-(c_TMAP2IN)),2)))&gt;=0,1,0)))</f>
        <v>148</v>
      </c>
      <c r="P149" s="7" t="n">
        <f aca="false">IF(((1000)-(c_TMAP3IN))=0,(c_TMAP3OUT)+QUOTIENT(((1000)-(c_TMAP3OUT)),2),QUOTIENT((((K149)-(c_TMAP3IN))*((1000)-(c_TMAP3OUT))+IF(((1000)-(c_TMAP3OUT))&gt;=0,1,-1)*QUOTIENT(((1000)-(c_TMAP3IN)),2)),((1000)-(c_TMAP3IN)))+(c_TMAP3OUT)+IF(((1000)-(c_TMAP3OUT))&gt;=0,IF(IF(o_WRAP=1,MOD(((1000)-(c_TMAP3IN))*(((K149)-(c_TMAP3IN))*((1000)-(c_TMAP3OUT))+IF(((1000)-(c_TMAP3OUT))&gt;=0,1,-1)*QUOTIENT(((1000)-(c_TMAP3IN)),2))+2147483648,4294967296)-2147483648,((1000)-(c_TMAP3IN))*(((K149)-(c_TMAP3IN))*((1000)-(c_TMAP3OUT))+IF(((1000)-(c_TMAP3OUT))&gt;=0,1,-1)*QUOTIENT(((1000)-(c_TMAP3IN)),2)))&lt;0,-1,0),IF(IF(o_WRAP=1,MOD(((1000)-(c_TMAP3IN))*(((K149)-(c_TMAP3IN))*((1000)-(c_TMAP3OUT))+IF(((1000)-(c_TMAP3OUT))&gt;=0,1,-1)*QUOTIENT(((1000)-(c_TMAP3IN)),2))+2147483648,4294967296)-2147483648,((1000)-(c_TMAP3IN))*(((K149)-(c_TMAP3IN))*((1000)-(c_TMAP3OUT))+IF(((1000)-(c_TMAP3OUT))&gt;=0,1,-1)*QUOTIENT(((1000)-(c_TMAP3IN)),2)))&gt;=0,1,0)))</f>
        <v>108</v>
      </c>
      <c r="Q149" s="7" t="str">
        <f aca="false">IF(K149&gt;=c_TFWD,IF(AND(K149&gt;=c_TMAP3IN,c_TMAP3IN&lt;1000),"Seg4 map3-100%",IF(AND(K149&gt;=c_TMAP2IN,c_TMAP3IN&gt;c_TMAP2IN),"Seg3 map2-map3",IF(AND(K149&gt;=c_TMAP1IN,c_TMAP2IN&gt;c_TMAP1IN),"Seg2 map1-map2","Seg1 TFWD-map1"))),IF(AND(K149=0,c_TCREEP&gt;0),"Creep",IF(AND(K149&lt;=c_TRNGMIN,K149&gt;=c_TRNGMAX,c_TRNGMIN-c_TRNGMAX&lt;&gt;0),"Regen ramp","Coast (0)")))</f>
        <v>Seg3 map2-map3</v>
      </c>
      <c r="R149" s="7" t="n">
        <f aca="false">IF(K149&gt;=c_TFWD,IF(AND(K149&gt;=c_TMAP3IN,c_TMAP3IN&lt;1000),P149,IF(AND(K149&gt;=c_TMAP2IN,c_TMAP3IN&gt;c_TMAP2IN),O149,IF(AND(K149&gt;=c_TMAP1IN,c_TMAP2IN&gt;c_TMAP1IN),N149,M149))),L149)</f>
        <v>148</v>
      </c>
      <c r="S149" s="7" t="str">
        <f aca="false">IF(R149&lt;-1090,"TOO LOW",IF(R149&gt;1090,"TOO HIGH",""))</f>
        <v/>
      </c>
      <c r="T149" s="15" t="n">
        <f aca="false">IF(H149&lt;&gt;"OK",0,IF(S149&lt;&gt;"",0,IF(R149&gt;979,1000,R149)))</f>
        <v>148</v>
      </c>
      <c r="U149" s="7" t="n">
        <f aca="false">T149/10</f>
        <v>14.8</v>
      </c>
    </row>
    <row r="150" customFormat="false" ht="15" hidden="false" customHeight="false" outlineLevel="0" collapsed="false">
      <c r="A150" s="7" t="n">
        <v>145</v>
      </c>
      <c r="B150" s="7" t="n">
        <f aca="false">ROUND(o_SWSTART+A150*(o_SWEND-o_SWSTART)/400,0)</f>
        <v>1484</v>
      </c>
      <c r="C150" s="7" t="n">
        <f aca="false">QUOTIENT((B150-c_OFF1)*c_GAIN1,1024)</f>
        <v>1484</v>
      </c>
      <c r="D150" s="7" t="n">
        <f aca="false">IF(((c_T1MX)-(c_T1MN))=0,(0)+QUOTIENT(((1000)-(0)),2),QUOTIENT((((C150)-(c_T1MN))*((1000)-(0))+IF(((1000)-(0))&gt;=0,1,-1)*QUOTIENT(((c_T1MX)-(c_T1MN)),2)),((c_T1MX)-(c_T1MN)))+(0)+IF(((1000)-(0))&gt;=0,IF(IF(o_WRAP=1,MOD(((c_T1MX)-(c_T1MN))*(((C150)-(c_T1MN))*((1000)-(0))+IF(((1000)-(0))&gt;=0,1,-1)*QUOTIENT(((c_T1MX)-(c_T1MN)),2))+2147483648,4294967296)-2147483648,((c_T1MX)-(c_T1MN))*(((C150)-(c_T1MN))*((1000)-(0))+IF(((1000)-(0))&gt;=0,1,-1)*QUOTIENT(((c_T1MX)-(c_T1MN)),2)))&lt;0,-1,0),IF(IF(o_WRAP=1,MOD(((c_T1MX)-(c_T1MN))*(((C150)-(c_T1MN))*((1000)-(0))+IF(((1000)-(0))&gt;=0,1,-1)*QUOTIENT(((c_T1MX)-(c_T1MN)),2))+2147483648,4294967296)-2147483648,((c_T1MX)-(c_T1MN))*(((C150)-(c_T1MN))*((1000)-(0))+IF(((1000)-(0))&gt;=0,1,-1)*QUOTIENT(((c_T1MX)-(c_T1MN)),2)))&gt;=0,1,0)))</f>
        <v>278</v>
      </c>
      <c r="E150" s="7" t="n">
        <f aca="false">IF(AND(c_TPOT=1,c_TTYPE=2),1000-D150,D150)</f>
        <v>278</v>
      </c>
      <c r="F150" s="7" t="str">
        <f aca="false">IF(c_TPOT&gt;1,ROUND(IF(c_TTYPE=2,c_T2MX-IF(c_T1MX=c_T1MN,0,(C150-c_T1MN)/(c_T1MX-c_T1MN))*(c_T2MX-c_T2MN),c_T2MN+IF(c_T1MX=c_T1MN,0,(C150-c_T1MN)/(c_T1MX-c_T1MN))*(c_T2MX-c_T2MN))+o_MISMATCH,0),"")</f>
        <v/>
      </c>
      <c r="G150" s="7" t="str">
        <f aca="false">IF(c_TPOT&gt;1,IF(((c_T2MX)-(c_T2MN))=0,(0)+QUOTIENT(((1000)-(0)),2),QUOTIENT((((F150)-(c_T2MN))*((1000)-(0))+IF(((1000)-(0))&gt;=0,1,-1)*QUOTIENT(((c_T2MX)-(c_T2MN)),2)),((c_T2MX)-(c_T2MN)))+(0)+IF(((1000)-(0))&gt;=0,IF(IF(o_WRAP=1,MOD(((c_T2MX)-(c_T2MN))*(((F150)-(c_T2MN))*((1000)-(0))+IF(((1000)-(0))&gt;=0,1,-1)*QUOTIENT(((c_T2MX)-(c_T2MN)),2))+2147483648,4294967296)-2147483648,((c_T2MX)-(c_T2MN))*(((F150)-(c_T2MN))*((1000)-(0))+IF(((1000)-(0))&gt;=0,1,-1)*QUOTIENT(((c_T2MX)-(c_T2MN)),2)))&lt;0,-1,0),IF(IF(o_WRAP=1,MOD(((c_T2MX)-(c_T2MN))*(((F150)-(c_T2MN))*((1000)-(0))+IF(((1000)-(0))&gt;=0,1,-1)*QUOTIENT(((c_T2MX)-(c_T2MN)),2))+2147483648,4294967296)-2147483648,((c_T2MX)-(c_T2MN))*(((F150)-(c_T2MN))*((1000)-(0))+IF(((1000)-(0))&gt;=0,1,-1)*QUOTIENT(((c_T2MX)-(c_T2MN)),2)))&gt;=0,1,0))),"")</f>
        <v/>
      </c>
      <c r="H150" s="7" t="str">
        <f aca="false">IF(E150&gt;1000+k_TOL,"T1 HIGH",IF(E150&lt;0-k_TOL,"T1 LOW",IF(c_TPOT&gt;1,IF(G150&gt;1000+k_TOL,"T2 HIGH",IF(G150&lt;0-k_TOL,"T2 LOW",IF(c_TTYPE=2,IF(ABS(1000-MAX(0,MIN(1000,E150))-MAX(0,MIN(1000,G150)))&gt;k_MAXERR,"MISMATCH","OK"),IF(OR(MAX(0,MIN(1000,E150))-k_MAXERR&gt;MAX(0,MIN(1000,G150)),MAX(0,MIN(1000,G150))-k_MAXERR&gt;MAX(0,MIN(1000,E150))),"MISMATCH","OK")))),"OK")))</f>
        <v>OK</v>
      </c>
      <c r="I150" s="7" t="n">
        <f aca="false">MAX(0,MIN(1000,D150))</f>
        <v>278</v>
      </c>
      <c r="J150" s="7" t="str">
        <f aca="false">IF(c_TPOT&gt;1,IF(c_TTYPE=2,1000-MAX(0,MIN(1000,G150)),MAX(0,MIN(1000,G150))),"")</f>
        <v/>
      </c>
      <c r="K150" s="7" t="n">
        <f aca="false">IF(c_TPOT&gt;1,QUOTIENT(I150+J150,2),I150)</f>
        <v>278</v>
      </c>
      <c r="L150" s="7" t="n">
        <f aca="false">IF(AND(K150=0,c_TCREEP&gt;0),10*c_TCREEP,IF(AND(K150&lt;=c_TRNGMIN,K150&gt;=c_TRNGMAX,c_TRNGMIN-c_TRNGMAX&lt;&gt;0),-10*c_TMINRN+QUOTIENT((c_TMAXRN-c_TMINRN)*(100-QUOTIENT((K150-c_TRNGMAX)*100,c_TRNGMIN-c_TRNGMAX)),-10),0))</f>
        <v>0</v>
      </c>
      <c r="M150" s="7" t="n">
        <f aca="false">IF(((c_TMAP1IN)-(c_TFWD))=0,(0)+QUOTIENT(((c_TMAP1OUT)-(0)),2),QUOTIENT((((K150)-(c_TFWD))*((c_TMAP1OUT)-(0))+IF(((c_TMAP1OUT)-(0))&gt;=0,1,-1)*QUOTIENT(((c_TMAP1IN)-(c_TFWD)),2)),((c_TMAP1IN)-(c_TFWD)))+(0)+IF(((c_TMAP1OUT)-(0))&gt;=0,IF(IF(o_WRAP=1,MOD(((c_TMAP1IN)-(c_TFWD))*(((K150)-(c_TFWD))*((c_TMAP1OUT)-(0))+IF(((c_TMAP1OUT)-(0))&gt;=0,1,-1)*QUOTIENT(((c_TMAP1IN)-(c_TFWD)),2))+2147483648,4294967296)-2147483648,((c_TMAP1IN)-(c_TFWD))*(((K150)-(c_TFWD))*((c_TMAP1OUT)-(0))+IF(((c_TMAP1OUT)-(0))&gt;=0,1,-1)*QUOTIENT(((c_TMAP1IN)-(c_TFWD)),2)))&lt;0,-1,0),IF(IF(o_WRAP=1,MOD(((c_TMAP1IN)-(c_TFWD))*(((K150)-(c_TFWD))*((c_TMAP1OUT)-(0))+IF(((c_TMAP1OUT)-(0))&gt;=0,1,-1)*QUOTIENT(((c_TMAP1IN)-(c_TFWD)),2))+2147483648,4294967296)-2147483648,((c_TMAP1IN)-(c_TFWD))*(((K150)-(c_TFWD))*((c_TMAP1OUT)-(0))+IF(((c_TMAP1OUT)-(0))&gt;=0,1,-1)*QUOTIENT(((c_TMAP1IN)-(c_TFWD)),2)))&gt;=0,1,0)))</f>
        <v>208</v>
      </c>
      <c r="N150" s="7" t="n">
        <f aca="false">IF(((c_TMAP2IN)-(c_TMAP1IN))=0,(c_TMAP1OUT)+QUOTIENT(((c_TMAP2OUT)-(c_TMAP1OUT)),2),QUOTIENT((((K150)-(c_TMAP1IN))*((c_TMAP2OUT)-(c_TMAP1OUT))+IF(((c_TMAP2OUT)-(c_TMAP1OUT))&gt;=0,1,-1)*QUOTIENT(((c_TMAP2IN)-(c_TMAP1IN)),2)),((c_TMAP2IN)-(c_TMAP1IN)))+(c_TMAP1OUT)+IF(((c_TMAP2OUT)-(c_TMAP1OUT))&gt;=0,IF(IF(o_WRAP=1,MOD(((c_TMAP2IN)-(c_TMAP1IN))*(((K150)-(c_TMAP1IN))*((c_TMAP2OUT)-(c_TMAP1OUT))+IF(((c_TMAP2OUT)-(c_TMAP1OUT))&gt;=0,1,-1)*QUOTIENT(((c_TMAP2IN)-(c_TMAP1IN)),2))+2147483648,4294967296)-2147483648,((c_TMAP2IN)-(c_TMAP1IN))*(((K150)-(c_TMAP1IN))*((c_TMAP2OUT)-(c_TMAP1OUT))+IF(((c_TMAP2OUT)-(c_TMAP1OUT))&gt;=0,1,-1)*QUOTIENT(((c_TMAP2IN)-(c_TMAP1IN)),2)))&lt;0,-1,0),IF(IF(o_WRAP=1,MOD(((c_TMAP2IN)-(c_TMAP1IN))*(((K150)-(c_TMAP1IN))*((c_TMAP2OUT)-(c_TMAP1OUT))+IF(((c_TMAP2OUT)-(c_TMAP1OUT))&gt;=0,1,-1)*QUOTIENT(((c_TMAP2IN)-(c_TMAP1IN)),2))+2147483648,4294967296)-2147483648,((c_TMAP2IN)-(c_TMAP1IN))*(((K150)-(c_TMAP1IN))*((c_TMAP2OUT)-(c_TMAP1OUT))+IF(((c_TMAP2OUT)-(c_TMAP1OUT))&gt;=0,1,-1)*QUOTIENT(((c_TMAP2IN)-(c_TMAP1IN)),2)))&gt;=0,1,0)))</f>
        <v>141</v>
      </c>
      <c r="O150" s="7" t="n">
        <f aca="false">IF(((c_TMAP3IN)-(c_TMAP2IN))=0,(c_TMAP2OUT)+QUOTIENT(((c_TMAP3OUT)-(c_TMAP2OUT)),2),QUOTIENT((((K150)-(c_TMAP2IN))*((c_TMAP3OUT)-(c_TMAP2OUT))+IF(((c_TMAP3OUT)-(c_TMAP2OUT))&gt;=0,1,-1)*QUOTIENT(((c_TMAP3IN)-(c_TMAP2IN)),2)),((c_TMAP3IN)-(c_TMAP2IN)))+(c_TMAP2OUT)+IF(((c_TMAP3OUT)-(c_TMAP2OUT))&gt;=0,IF(IF(o_WRAP=1,MOD(((c_TMAP3IN)-(c_TMAP2IN))*(((K150)-(c_TMAP2IN))*((c_TMAP3OUT)-(c_TMAP2OUT))+IF(((c_TMAP3OUT)-(c_TMAP2OUT))&gt;=0,1,-1)*QUOTIENT(((c_TMAP3IN)-(c_TMAP2IN)),2))+2147483648,4294967296)-2147483648,((c_TMAP3IN)-(c_TMAP2IN))*(((K150)-(c_TMAP2IN))*((c_TMAP3OUT)-(c_TMAP2OUT))+IF(((c_TMAP3OUT)-(c_TMAP2OUT))&gt;=0,1,-1)*QUOTIENT(((c_TMAP3IN)-(c_TMAP2IN)),2)))&lt;0,-1,0),IF(IF(o_WRAP=1,MOD(((c_TMAP3IN)-(c_TMAP2IN))*(((K150)-(c_TMAP2IN))*((c_TMAP3OUT)-(c_TMAP2OUT))+IF(((c_TMAP3OUT)-(c_TMAP2OUT))&gt;=0,1,-1)*QUOTIENT(((c_TMAP3IN)-(c_TMAP2IN)),2))+2147483648,4294967296)-2147483648,((c_TMAP3IN)-(c_TMAP2IN))*(((K150)-(c_TMAP2IN))*((c_TMAP3OUT)-(c_TMAP2OUT))+IF(((c_TMAP3OUT)-(c_TMAP2OUT))&gt;=0,1,-1)*QUOTIENT(((c_TMAP3IN)-(c_TMAP2IN)),2)))&gt;=0,1,0)))</f>
        <v>150</v>
      </c>
      <c r="P150" s="7" t="n">
        <f aca="false">IF(((1000)-(c_TMAP3IN))=0,(c_TMAP3OUT)+QUOTIENT(((1000)-(c_TMAP3OUT)),2),QUOTIENT((((K150)-(c_TMAP3IN))*((1000)-(c_TMAP3OUT))+IF(((1000)-(c_TMAP3OUT))&gt;=0,1,-1)*QUOTIENT(((1000)-(c_TMAP3IN)),2)),((1000)-(c_TMAP3IN)))+(c_TMAP3OUT)+IF(((1000)-(c_TMAP3OUT))&gt;=0,IF(IF(o_WRAP=1,MOD(((1000)-(c_TMAP3IN))*(((K150)-(c_TMAP3IN))*((1000)-(c_TMAP3OUT))+IF(((1000)-(c_TMAP3OUT))&gt;=0,1,-1)*QUOTIENT(((1000)-(c_TMAP3IN)),2))+2147483648,4294967296)-2147483648,((1000)-(c_TMAP3IN))*(((K150)-(c_TMAP3IN))*((1000)-(c_TMAP3OUT))+IF(((1000)-(c_TMAP3OUT))&gt;=0,1,-1)*QUOTIENT(((1000)-(c_TMAP3IN)),2)))&lt;0,-1,0),IF(IF(o_WRAP=1,MOD(((1000)-(c_TMAP3IN))*(((K150)-(c_TMAP3IN))*((1000)-(c_TMAP3OUT))+IF(((1000)-(c_TMAP3OUT))&gt;=0,1,-1)*QUOTIENT(((1000)-(c_TMAP3IN)),2))+2147483648,4294967296)-2147483648,((1000)-(c_TMAP3IN))*(((K150)-(c_TMAP3IN))*((1000)-(c_TMAP3OUT))+IF(((1000)-(c_TMAP3OUT))&gt;=0,1,-1)*QUOTIENT(((1000)-(c_TMAP3IN)),2)))&gt;=0,1,0)))</f>
        <v>111</v>
      </c>
      <c r="Q150" s="7" t="str">
        <f aca="false">IF(K150&gt;=c_TFWD,IF(AND(K150&gt;=c_TMAP3IN,c_TMAP3IN&lt;1000),"Seg4 map3-100%",IF(AND(K150&gt;=c_TMAP2IN,c_TMAP3IN&gt;c_TMAP2IN),"Seg3 map2-map3",IF(AND(K150&gt;=c_TMAP1IN,c_TMAP2IN&gt;c_TMAP1IN),"Seg2 map1-map2","Seg1 TFWD-map1"))),IF(AND(K150=0,c_TCREEP&gt;0),"Creep",IF(AND(K150&lt;=c_TRNGMIN,K150&gt;=c_TRNGMAX,c_TRNGMIN-c_TRNGMAX&lt;&gt;0),"Regen ramp","Coast (0)")))</f>
        <v>Seg3 map2-map3</v>
      </c>
      <c r="R150" s="7" t="n">
        <f aca="false">IF(K150&gt;=c_TFWD,IF(AND(K150&gt;=c_TMAP3IN,c_TMAP3IN&lt;1000),P150,IF(AND(K150&gt;=c_TMAP2IN,c_TMAP3IN&gt;c_TMAP2IN),O150,IF(AND(K150&gt;=c_TMAP1IN,c_TMAP2IN&gt;c_TMAP1IN),N150,M150))),L150)</f>
        <v>150</v>
      </c>
      <c r="S150" s="7" t="str">
        <f aca="false">IF(R150&lt;-1090,"TOO LOW",IF(R150&gt;1090,"TOO HIGH",""))</f>
        <v/>
      </c>
      <c r="T150" s="15" t="n">
        <f aca="false">IF(H150&lt;&gt;"OK",0,IF(S150&lt;&gt;"",0,IF(R150&gt;979,1000,R150)))</f>
        <v>150</v>
      </c>
      <c r="U150" s="7" t="n">
        <f aca="false">T150/10</f>
        <v>15</v>
      </c>
    </row>
    <row r="151" customFormat="false" ht="15" hidden="false" customHeight="false" outlineLevel="0" collapsed="false">
      <c r="A151" s="7" t="n">
        <v>146</v>
      </c>
      <c r="B151" s="7" t="n">
        <f aca="false">ROUND(o_SWSTART+A151*(o_SWEND-o_SWSTART)/400,0)</f>
        <v>1495</v>
      </c>
      <c r="C151" s="7" t="n">
        <f aca="false">QUOTIENT((B151-c_OFF1)*c_GAIN1,1024)</f>
        <v>1495</v>
      </c>
      <c r="D151" s="7" t="n">
        <f aca="false">IF(((c_T1MX)-(c_T1MN))=0,(0)+QUOTIENT(((1000)-(0)),2),QUOTIENT((((C151)-(c_T1MN))*((1000)-(0))+IF(((1000)-(0))&gt;=0,1,-1)*QUOTIENT(((c_T1MX)-(c_T1MN)),2)),((c_T1MX)-(c_T1MN)))+(0)+IF(((1000)-(0))&gt;=0,IF(IF(o_WRAP=1,MOD(((c_T1MX)-(c_T1MN))*(((C151)-(c_T1MN))*((1000)-(0))+IF(((1000)-(0))&gt;=0,1,-1)*QUOTIENT(((c_T1MX)-(c_T1MN)),2))+2147483648,4294967296)-2147483648,((c_T1MX)-(c_T1MN))*(((C151)-(c_T1MN))*((1000)-(0))+IF(((1000)-(0))&gt;=0,1,-1)*QUOTIENT(((c_T1MX)-(c_T1MN)),2)))&lt;0,-1,0),IF(IF(o_WRAP=1,MOD(((c_T1MX)-(c_T1MN))*(((C151)-(c_T1MN))*((1000)-(0))+IF(((1000)-(0))&gt;=0,1,-1)*QUOTIENT(((c_T1MX)-(c_T1MN)),2))+2147483648,4294967296)-2147483648,((c_T1MX)-(c_T1MN))*(((C151)-(c_T1MN))*((1000)-(0))+IF(((1000)-(0))&gt;=0,1,-1)*QUOTIENT(((c_T1MX)-(c_T1MN)),2)))&gt;=0,1,0)))</f>
        <v>281</v>
      </c>
      <c r="E151" s="7" t="n">
        <f aca="false">IF(AND(c_TPOT=1,c_TTYPE=2),1000-D151,D151)</f>
        <v>281</v>
      </c>
      <c r="F151" s="7" t="str">
        <f aca="false">IF(c_TPOT&gt;1,ROUND(IF(c_TTYPE=2,c_T2MX-IF(c_T1MX=c_T1MN,0,(C151-c_T1MN)/(c_T1MX-c_T1MN))*(c_T2MX-c_T2MN),c_T2MN+IF(c_T1MX=c_T1MN,0,(C151-c_T1MN)/(c_T1MX-c_T1MN))*(c_T2MX-c_T2MN))+o_MISMATCH,0),"")</f>
        <v/>
      </c>
      <c r="G151" s="7" t="str">
        <f aca="false">IF(c_TPOT&gt;1,IF(((c_T2MX)-(c_T2MN))=0,(0)+QUOTIENT(((1000)-(0)),2),QUOTIENT((((F151)-(c_T2MN))*((1000)-(0))+IF(((1000)-(0))&gt;=0,1,-1)*QUOTIENT(((c_T2MX)-(c_T2MN)),2)),((c_T2MX)-(c_T2MN)))+(0)+IF(((1000)-(0))&gt;=0,IF(IF(o_WRAP=1,MOD(((c_T2MX)-(c_T2MN))*(((F151)-(c_T2MN))*((1000)-(0))+IF(((1000)-(0))&gt;=0,1,-1)*QUOTIENT(((c_T2MX)-(c_T2MN)),2))+2147483648,4294967296)-2147483648,((c_T2MX)-(c_T2MN))*(((F151)-(c_T2MN))*((1000)-(0))+IF(((1000)-(0))&gt;=0,1,-1)*QUOTIENT(((c_T2MX)-(c_T2MN)),2)))&lt;0,-1,0),IF(IF(o_WRAP=1,MOD(((c_T2MX)-(c_T2MN))*(((F151)-(c_T2MN))*((1000)-(0))+IF(((1000)-(0))&gt;=0,1,-1)*QUOTIENT(((c_T2MX)-(c_T2MN)),2))+2147483648,4294967296)-2147483648,((c_T2MX)-(c_T2MN))*(((F151)-(c_T2MN))*((1000)-(0))+IF(((1000)-(0))&gt;=0,1,-1)*QUOTIENT(((c_T2MX)-(c_T2MN)),2)))&gt;=0,1,0))),"")</f>
        <v/>
      </c>
      <c r="H151" s="7" t="str">
        <f aca="false">IF(E151&gt;1000+k_TOL,"T1 HIGH",IF(E151&lt;0-k_TOL,"T1 LOW",IF(c_TPOT&gt;1,IF(G151&gt;1000+k_TOL,"T2 HIGH",IF(G151&lt;0-k_TOL,"T2 LOW",IF(c_TTYPE=2,IF(ABS(1000-MAX(0,MIN(1000,E151))-MAX(0,MIN(1000,G151)))&gt;k_MAXERR,"MISMATCH","OK"),IF(OR(MAX(0,MIN(1000,E151))-k_MAXERR&gt;MAX(0,MIN(1000,G151)),MAX(0,MIN(1000,G151))-k_MAXERR&gt;MAX(0,MIN(1000,E151))),"MISMATCH","OK")))),"OK")))</f>
        <v>OK</v>
      </c>
      <c r="I151" s="7" t="n">
        <f aca="false">MAX(0,MIN(1000,D151))</f>
        <v>281</v>
      </c>
      <c r="J151" s="7" t="str">
        <f aca="false">IF(c_TPOT&gt;1,IF(c_TTYPE=2,1000-MAX(0,MIN(1000,G151)),MAX(0,MIN(1000,G151))),"")</f>
        <v/>
      </c>
      <c r="K151" s="7" t="n">
        <f aca="false">IF(c_TPOT&gt;1,QUOTIENT(I151+J151,2),I151)</f>
        <v>281</v>
      </c>
      <c r="L151" s="7" t="n">
        <f aca="false">IF(AND(K151=0,c_TCREEP&gt;0),10*c_TCREEP,IF(AND(K151&lt;=c_TRNGMIN,K151&gt;=c_TRNGMAX,c_TRNGMIN-c_TRNGMAX&lt;&gt;0),-10*c_TMINRN+QUOTIENT((c_TMAXRN-c_TMINRN)*(100-QUOTIENT((K151-c_TRNGMAX)*100,c_TRNGMIN-c_TRNGMAX)),-10),0))</f>
        <v>0</v>
      </c>
      <c r="M151" s="7" t="n">
        <f aca="false">IF(((c_TMAP1IN)-(c_TFWD))=0,(0)+QUOTIENT(((c_TMAP1OUT)-(0)),2),QUOTIENT((((K151)-(c_TFWD))*((c_TMAP1OUT)-(0))+IF(((c_TMAP1OUT)-(0))&gt;=0,1,-1)*QUOTIENT(((c_TMAP1IN)-(c_TFWD)),2)),((c_TMAP1IN)-(c_TFWD)))+(0)+IF(((c_TMAP1OUT)-(0))&gt;=0,IF(IF(o_WRAP=1,MOD(((c_TMAP1IN)-(c_TFWD))*(((K151)-(c_TFWD))*((c_TMAP1OUT)-(0))+IF(((c_TMAP1OUT)-(0))&gt;=0,1,-1)*QUOTIENT(((c_TMAP1IN)-(c_TFWD)),2))+2147483648,4294967296)-2147483648,((c_TMAP1IN)-(c_TFWD))*(((K151)-(c_TFWD))*((c_TMAP1OUT)-(0))+IF(((c_TMAP1OUT)-(0))&gt;=0,1,-1)*QUOTIENT(((c_TMAP1IN)-(c_TFWD)),2)))&lt;0,-1,0),IF(IF(o_WRAP=1,MOD(((c_TMAP1IN)-(c_TFWD))*(((K151)-(c_TFWD))*((c_TMAP1OUT)-(0))+IF(((c_TMAP1OUT)-(0))&gt;=0,1,-1)*QUOTIENT(((c_TMAP1IN)-(c_TFWD)),2))+2147483648,4294967296)-2147483648,((c_TMAP1IN)-(c_TFWD))*(((K151)-(c_TFWD))*((c_TMAP1OUT)-(0))+IF(((c_TMAP1OUT)-(0))&gt;=0,1,-1)*QUOTIENT(((c_TMAP1IN)-(c_TFWD)),2)))&gt;=0,1,0)))</f>
        <v>211</v>
      </c>
      <c r="N151" s="7" t="n">
        <f aca="false">IF(((c_TMAP2IN)-(c_TMAP1IN))=0,(c_TMAP1OUT)+QUOTIENT(((c_TMAP2OUT)-(c_TMAP1OUT)),2),QUOTIENT((((K151)-(c_TMAP1IN))*((c_TMAP2OUT)-(c_TMAP1OUT))+IF(((c_TMAP2OUT)-(c_TMAP1OUT))&gt;=0,1,-1)*QUOTIENT(((c_TMAP2IN)-(c_TMAP1IN)),2)),((c_TMAP2IN)-(c_TMAP1IN)))+(c_TMAP1OUT)+IF(((c_TMAP2OUT)-(c_TMAP1OUT))&gt;=0,IF(IF(o_WRAP=1,MOD(((c_TMAP2IN)-(c_TMAP1IN))*(((K151)-(c_TMAP1IN))*((c_TMAP2OUT)-(c_TMAP1OUT))+IF(((c_TMAP2OUT)-(c_TMAP1OUT))&gt;=0,1,-1)*QUOTIENT(((c_TMAP2IN)-(c_TMAP1IN)),2))+2147483648,4294967296)-2147483648,((c_TMAP2IN)-(c_TMAP1IN))*(((K151)-(c_TMAP1IN))*((c_TMAP2OUT)-(c_TMAP1OUT))+IF(((c_TMAP2OUT)-(c_TMAP1OUT))&gt;=0,1,-1)*QUOTIENT(((c_TMAP2IN)-(c_TMAP1IN)),2)))&lt;0,-1,0),IF(IF(o_WRAP=1,MOD(((c_TMAP2IN)-(c_TMAP1IN))*(((K151)-(c_TMAP1IN))*((c_TMAP2OUT)-(c_TMAP1OUT))+IF(((c_TMAP2OUT)-(c_TMAP1OUT))&gt;=0,1,-1)*QUOTIENT(((c_TMAP2IN)-(c_TMAP1IN)),2))+2147483648,4294967296)-2147483648,((c_TMAP2IN)-(c_TMAP1IN))*(((K151)-(c_TMAP1IN))*((c_TMAP2OUT)-(c_TMAP1OUT))+IF(((c_TMAP2OUT)-(c_TMAP1OUT))&gt;=0,1,-1)*QUOTIENT(((c_TMAP2IN)-(c_TMAP1IN)),2)))&gt;=0,1,0)))</f>
        <v>142</v>
      </c>
      <c r="O151" s="7" t="n">
        <f aca="false">IF(((c_TMAP3IN)-(c_TMAP2IN))=0,(c_TMAP2OUT)+QUOTIENT(((c_TMAP3OUT)-(c_TMAP2OUT)),2),QUOTIENT((((K151)-(c_TMAP2IN))*((c_TMAP3OUT)-(c_TMAP2OUT))+IF(((c_TMAP3OUT)-(c_TMAP2OUT))&gt;=0,1,-1)*QUOTIENT(((c_TMAP3IN)-(c_TMAP2IN)),2)),((c_TMAP3IN)-(c_TMAP2IN)))+(c_TMAP2OUT)+IF(((c_TMAP3OUT)-(c_TMAP2OUT))&gt;=0,IF(IF(o_WRAP=1,MOD(((c_TMAP3IN)-(c_TMAP2IN))*(((K151)-(c_TMAP2IN))*((c_TMAP3OUT)-(c_TMAP2OUT))+IF(((c_TMAP3OUT)-(c_TMAP2OUT))&gt;=0,1,-1)*QUOTIENT(((c_TMAP3IN)-(c_TMAP2IN)),2))+2147483648,4294967296)-2147483648,((c_TMAP3IN)-(c_TMAP2IN))*(((K151)-(c_TMAP2IN))*((c_TMAP3OUT)-(c_TMAP2OUT))+IF(((c_TMAP3OUT)-(c_TMAP2OUT))&gt;=0,1,-1)*QUOTIENT(((c_TMAP3IN)-(c_TMAP2IN)),2)))&lt;0,-1,0),IF(IF(o_WRAP=1,MOD(((c_TMAP3IN)-(c_TMAP2IN))*(((K151)-(c_TMAP2IN))*((c_TMAP3OUT)-(c_TMAP2OUT))+IF(((c_TMAP3OUT)-(c_TMAP2OUT))&gt;=0,1,-1)*QUOTIENT(((c_TMAP3IN)-(c_TMAP2IN)),2))+2147483648,4294967296)-2147483648,((c_TMAP3IN)-(c_TMAP2IN))*(((K151)-(c_TMAP2IN))*((c_TMAP3OUT)-(c_TMAP2OUT))+IF(((c_TMAP3OUT)-(c_TMAP2OUT))&gt;=0,1,-1)*QUOTIENT(((c_TMAP3IN)-(c_TMAP2IN)),2)))&gt;=0,1,0)))</f>
        <v>152</v>
      </c>
      <c r="P151" s="7" t="n">
        <f aca="false">IF(((1000)-(c_TMAP3IN))=0,(c_TMAP3OUT)+QUOTIENT(((1000)-(c_TMAP3OUT)),2),QUOTIENT((((K151)-(c_TMAP3IN))*((1000)-(c_TMAP3OUT))+IF(((1000)-(c_TMAP3OUT))&gt;=0,1,-1)*QUOTIENT(((1000)-(c_TMAP3IN)),2)),((1000)-(c_TMAP3IN)))+(c_TMAP3OUT)+IF(((1000)-(c_TMAP3OUT))&gt;=0,IF(IF(o_WRAP=1,MOD(((1000)-(c_TMAP3IN))*(((K151)-(c_TMAP3IN))*((1000)-(c_TMAP3OUT))+IF(((1000)-(c_TMAP3OUT))&gt;=0,1,-1)*QUOTIENT(((1000)-(c_TMAP3IN)),2))+2147483648,4294967296)-2147483648,((1000)-(c_TMAP3IN))*(((K151)-(c_TMAP3IN))*((1000)-(c_TMAP3OUT))+IF(((1000)-(c_TMAP3OUT))&gt;=0,1,-1)*QUOTIENT(((1000)-(c_TMAP3IN)),2)))&lt;0,-1,0),IF(IF(o_WRAP=1,MOD(((1000)-(c_TMAP3IN))*(((K151)-(c_TMAP3IN))*((1000)-(c_TMAP3OUT))+IF(((1000)-(c_TMAP3OUT))&gt;=0,1,-1)*QUOTIENT(((1000)-(c_TMAP3IN)),2))+2147483648,4294967296)-2147483648,((1000)-(c_TMAP3IN))*(((K151)-(c_TMAP3IN))*((1000)-(c_TMAP3OUT))+IF(((1000)-(c_TMAP3OUT))&gt;=0,1,-1)*QUOTIENT(((1000)-(c_TMAP3IN)),2)))&gt;=0,1,0)))</f>
        <v>115</v>
      </c>
      <c r="Q151" s="7" t="str">
        <f aca="false">IF(K151&gt;=c_TFWD,IF(AND(K151&gt;=c_TMAP3IN,c_TMAP3IN&lt;1000),"Seg4 map3-100%",IF(AND(K151&gt;=c_TMAP2IN,c_TMAP3IN&gt;c_TMAP2IN),"Seg3 map2-map3",IF(AND(K151&gt;=c_TMAP1IN,c_TMAP2IN&gt;c_TMAP1IN),"Seg2 map1-map2","Seg1 TFWD-map1"))),IF(AND(K151=0,c_TCREEP&gt;0),"Creep",IF(AND(K151&lt;=c_TRNGMIN,K151&gt;=c_TRNGMAX,c_TRNGMIN-c_TRNGMAX&lt;&gt;0),"Regen ramp","Coast (0)")))</f>
        <v>Seg3 map2-map3</v>
      </c>
      <c r="R151" s="7" t="n">
        <f aca="false">IF(K151&gt;=c_TFWD,IF(AND(K151&gt;=c_TMAP3IN,c_TMAP3IN&lt;1000),P151,IF(AND(K151&gt;=c_TMAP2IN,c_TMAP3IN&gt;c_TMAP2IN),O151,IF(AND(K151&gt;=c_TMAP1IN,c_TMAP2IN&gt;c_TMAP1IN),N151,M151))),L151)</f>
        <v>152</v>
      </c>
      <c r="S151" s="7" t="str">
        <f aca="false">IF(R151&lt;-1090,"TOO LOW",IF(R151&gt;1090,"TOO HIGH",""))</f>
        <v/>
      </c>
      <c r="T151" s="15" t="n">
        <f aca="false">IF(H151&lt;&gt;"OK",0,IF(S151&lt;&gt;"",0,IF(R151&gt;979,1000,R151)))</f>
        <v>152</v>
      </c>
      <c r="U151" s="7" t="n">
        <f aca="false">T151/10</f>
        <v>15.2</v>
      </c>
    </row>
    <row r="152" customFormat="false" ht="15" hidden="false" customHeight="false" outlineLevel="0" collapsed="false">
      <c r="A152" s="7" t="n">
        <v>147</v>
      </c>
      <c r="B152" s="7" t="n">
        <f aca="false">ROUND(o_SWSTART+A152*(o_SWEND-o_SWSTART)/400,0)</f>
        <v>1505</v>
      </c>
      <c r="C152" s="7" t="n">
        <f aca="false">QUOTIENT((B152-c_OFF1)*c_GAIN1,1024)</f>
        <v>1505</v>
      </c>
      <c r="D152" s="7" t="n">
        <f aca="false">IF(((c_T1MX)-(c_T1MN))=0,(0)+QUOTIENT(((1000)-(0)),2),QUOTIENT((((C152)-(c_T1MN))*((1000)-(0))+IF(((1000)-(0))&gt;=0,1,-1)*QUOTIENT(((c_T1MX)-(c_T1MN)),2)),((c_T1MX)-(c_T1MN)))+(0)+IF(((1000)-(0))&gt;=0,IF(IF(o_WRAP=1,MOD(((c_T1MX)-(c_T1MN))*(((C152)-(c_T1MN))*((1000)-(0))+IF(((1000)-(0))&gt;=0,1,-1)*QUOTIENT(((c_T1MX)-(c_T1MN)),2))+2147483648,4294967296)-2147483648,((c_T1MX)-(c_T1MN))*(((C152)-(c_T1MN))*((1000)-(0))+IF(((1000)-(0))&gt;=0,1,-1)*QUOTIENT(((c_T1MX)-(c_T1MN)),2)))&lt;0,-1,0),IF(IF(o_WRAP=1,MOD(((c_T1MX)-(c_T1MN))*(((C152)-(c_T1MN))*((1000)-(0))+IF(((1000)-(0))&gt;=0,1,-1)*QUOTIENT(((c_T1MX)-(c_T1MN)),2))+2147483648,4294967296)-2147483648,((c_T1MX)-(c_T1MN))*(((C152)-(c_T1MN))*((1000)-(0))+IF(((1000)-(0))&gt;=0,1,-1)*QUOTIENT(((c_T1MX)-(c_T1MN)),2)))&gt;=0,1,0)))</f>
        <v>285</v>
      </c>
      <c r="E152" s="7" t="n">
        <f aca="false">IF(AND(c_TPOT=1,c_TTYPE=2),1000-D152,D152)</f>
        <v>285</v>
      </c>
      <c r="F152" s="7" t="str">
        <f aca="false">IF(c_TPOT&gt;1,ROUND(IF(c_TTYPE=2,c_T2MX-IF(c_T1MX=c_T1MN,0,(C152-c_T1MN)/(c_T1MX-c_T1MN))*(c_T2MX-c_T2MN),c_T2MN+IF(c_T1MX=c_T1MN,0,(C152-c_T1MN)/(c_T1MX-c_T1MN))*(c_T2MX-c_T2MN))+o_MISMATCH,0),"")</f>
        <v/>
      </c>
      <c r="G152" s="7" t="str">
        <f aca="false">IF(c_TPOT&gt;1,IF(((c_T2MX)-(c_T2MN))=0,(0)+QUOTIENT(((1000)-(0)),2),QUOTIENT((((F152)-(c_T2MN))*((1000)-(0))+IF(((1000)-(0))&gt;=0,1,-1)*QUOTIENT(((c_T2MX)-(c_T2MN)),2)),((c_T2MX)-(c_T2MN)))+(0)+IF(((1000)-(0))&gt;=0,IF(IF(o_WRAP=1,MOD(((c_T2MX)-(c_T2MN))*(((F152)-(c_T2MN))*((1000)-(0))+IF(((1000)-(0))&gt;=0,1,-1)*QUOTIENT(((c_T2MX)-(c_T2MN)),2))+2147483648,4294967296)-2147483648,((c_T2MX)-(c_T2MN))*(((F152)-(c_T2MN))*((1000)-(0))+IF(((1000)-(0))&gt;=0,1,-1)*QUOTIENT(((c_T2MX)-(c_T2MN)),2)))&lt;0,-1,0),IF(IF(o_WRAP=1,MOD(((c_T2MX)-(c_T2MN))*(((F152)-(c_T2MN))*((1000)-(0))+IF(((1000)-(0))&gt;=0,1,-1)*QUOTIENT(((c_T2MX)-(c_T2MN)),2))+2147483648,4294967296)-2147483648,((c_T2MX)-(c_T2MN))*(((F152)-(c_T2MN))*((1000)-(0))+IF(((1000)-(0))&gt;=0,1,-1)*QUOTIENT(((c_T2MX)-(c_T2MN)),2)))&gt;=0,1,0))),"")</f>
        <v/>
      </c>
      <c r="H152" s="7" t="str">
        <f aca="false">IF(E152&gt;1000+k_TOL,"T1 HIGH",IF(E152&lt;0-k_TOL,"T1 LOW",IF(c_TPOT&gt;1,IF(G152&gt;1000+k_TOL,"T2 HIGH",IF(G152&lt;0-k_TOL,"T2 LOW",IF(c_TTYPE=2,IF(ABS(1000-MAX(0,MIN(1000,E152))-MAX(0,MIN(1000,G152)))&gt;k_MAXERR,"MISMATCH","OK"),IF(OR(MAX(0,MIN(1000,E152))-k_MAXERR&gt;MAX(0,MIN(1000,G152)),MAX(0,MIN(1000,G152))-k_MAXERR&gt;MAX(0,MIN(1000,E152))),"MISMATCH","OK")))),"OK")))</f>
        <v>OK</v>
      </c>
      <c r="I152" s="7" t="n">
        <f aca="false">MAX(0,MIN(1000,D152))</f>
        <v>285</v>
      </c>
      <c r="J152" s="7" t="str">
        <f aca="false">IF(c_TPOT&gt;1,IF(c_TTYPE=2,1000-MAX(0,MIN(1000,G152)),MAX(0,MIN(1000,G152))),"")</f>
        <v/>
      </c>
      <c r="K152" s="7" t="n">
        <f aca="false">IF(c_TPOT&gt;1,QUOTIENT(I152+J152,2),I152)</f>
        <v>285</v>
      </c>
      <c r="L152" s="7" t="n">
        <f aca="false">IF(AND(K152=0,c_TCREEP&gt;0),10*c_TCREEP,IF(AND(K152&lt;=c_TRNGMIN,K152&gt;=c_TRNGMAX,c_TRNGMIN-c_TRNGMAX&lt;&gt;0),-10*c_TMINRN+QUOTIENT((c_TMAXRN-c_TMINRN)*(100-QUOTIENT((K152-c_TRNGMAX)*100,c_TRNGMIN-c_TRNGMAX)),-10),0))</f>
        <v>0</v>
      </c>
      <c r="M152" s="7" t="n">
        <f aca="false">IF(((c_TMAP1IN)-(c_TFWD))=0,(0)+QUOTIENT(((c_TMAP1OUT)-(0)),2),QUOTIENT((((K152)-(c_TFWD))*((c_TMAP1OUT)-(0))+IF(((c_TMAP1OUT)-(0))&gt;=0,1,-1)*QUOTIENT(((c_TMAP1IN)-(c_TFWD)),2)),((c_TMAP1IN)-(c_TFWD)))+(0)+IF(((c_TMAP1OUT)-(0))&gt;=0,IF(IF(o_WRAP=1,MOD(((c_TMAP1IN)-(c_TFWD))*(((K152)-(c_TFWD))*((c_TMAP1OUT)-(0))+IF(((c_TMAP1OUT)-(0))&gt;=0,1,-1)*QUOTIENT(((c_TMAP1IN)-(c_TFWD)),2))+2147483648,4294967296)-2147483648,((c_TMAP1IN)-(c_TFWD))*(((K152)-(c_TFWD))*((c_TMAP1OUT)-(0))+IF(((c_TMAP1OUT)-(0))&gt;=0,1,-1)*QUOTIENT(((c_TMAP1IN)-(c_TFWD)),2)))&lt;0,-1,0),IF(IF(o_WRAP=1,MOD(((c_TMAP1IN)-(c_TFWD))*(((K152)-(c_TFWD))*((c_TMAP1OUT)-(0))+IF(((c_TMAP1OUT)-(0))&gt;=0,1,-1)*QUOTIENT(((c_TMAP1IN)-(c_TFWD)),2))+2147483648,4294967296)-2147483648,((c_TMAP1IN)-(c_TFWD))*(((K152)-(c_TFWD))*((c_TMAP1OUT)-(0))+IF(((c_TMAP1OUT)-(0))&gt;=0,1,-1)*QUOTIENT(((c_TMAP1IN)-(c_TFWD)),2)))&gt;=0,1,0)))</f>
        <v>214</v>
      </c>
      <c r="N152" s="7" t="n">
        <f aca="false">IF(((c_TMAP2IN)-(c_TMAP1IN))=0,(c_TMAP1OUT)+QUOTIENT(((c_TMAP2OUT)-(c_TMAP1OUT)),2),QUOTIENT((((K152)-(c_TMAP1IN))*((c_TMAP2OUT)-(c_TMAP1OUT))+IF(((c_TMAP2OUT)-(c_TMAP1OUT))&gt;=0,1,-1)*QUOTIENT(((c_TMAP2IN)-(c_TMAP1IN)),2)),((c_TMAP2IN)-(c_TMAP1IN)))+(c_TMAP1OUT)+IF(((c_TMAP2OUT)-(c_TMAP1OUT))&gt;=0,IF(IF(o_WRAP=1,MOD(((c_TMAP2IN)-(c_TMAP1IN))*(((K152)-(c_TMAP1IN))*((c_TMAP2OUT)-(c_TMAP1OUT))+IF(((c_TMAP2OUT)-(c_TMAP1OUT))&gt;=0,1,-1)*QUOTIENT(((c_TMAP2IN)-(c_TMAP1IN)),2))+2147483648,4294967296)-2147483648,((c_TMAP2IN)-(c_TMAP1IN))*(((K152)-(c_TMAP1IN))*((c_TMAP2OUT)-(c_TMAP1OUT))+IF(((c_TMAP2OUT)-(c_TMAP1OUT))&gt;=0,1,-1)*QUOTIENT(((c_TMAP2IN)-(c_TMAP1IN)),2)))&lt;0,-1,0),IF(IF(o_WRAP=1,MOD(((c_TMAP2IN)-(c_TMAP1IN))*(((K152)-(c_TMAP1IN))*((c_TMAP2OUT)-(c_TMAP1OUT))+IF(((c_TMAP2OUT)-(c_TMAP1OUT))&gt;=0,1,-1)*QUOTIENT(((c_TMAP2IN)-(c_TMAP1IN)),2))+2147483648,4294967296)-2147483648,((c_TMAP2IN)-(c_TMAP1IN))*(((K152)-(c_TMAP1IN))*((c_TMAP2OUT)-(c_TMAP1OUT))+IF(((c_TMAP2OUT)-(c_TMAP1OUT))&gt;=0,1,-1)*QUOTIENT(((c_TMAP2IN)-(c_TMAP1IN)),2)))&gt;=0,1,0)))</f>
        <v>144</v>
      </c>
      <c r="O152" s="7" t="n">
        <f aca="false">IF(((c_TMAP3IN)-(c_TMAP2IN))=0,(c_TMAP2OUT)+QUOTIENT(((c_TMAP3OUT)-(c_TMAP2OUT)),2),QUOTIENT((((K152)-(c_TMAP2IN))*((c_TMAP3OUT)-(c_TMAP2OUT))+IF(((c_TMAP3OUT)-(c_TMAP2OUT))&gt;=0,1,-1)*QUOTIENT(((c_TMAP3IN)-(c_TMAP2IN)),2)),((c_TMAP3IN)-(c_TMAP2IN)))+(c_TMAP2OUT)+IF(((c_TMAP3OUT)-(c_TMAP2OUT))&gt;=0,IF(IF(o_WRAP=1,MOD(((c_TMAP3IN)-(c_TMAP2IN))*(((K152)-(c_TMAP2IN))*((c_TMAP3OUT)-(c_TMAP2OUT))+IF(((c_TMAP3OUT)-(c_TMAP2OUT))&gt;=0,1,-1)*QUOTIENT(((c_TMAP3IN)-(c_TMAP2IN)),2))+2147483648,4294967296)-2147483648,((c_TMAP3IN)-(c_TMAP2IN))*(((K152)-(c_TMAP2IN))*((c_TMAP3OUT)-(c_TMAP2OUT))+IF(((c_TMAP3OUT)-(c_TMAP2OUT))&gt;=0,1,-1)*QUOTIENT(((c_TMAP3IN)-(c_TMAP2IN)),2)))&lt;0,-1,0),IF(IF(o_WRAP=1,MOD(((c_TMAP3IN)-(c_TMAP2IN))*(((K152)-(c_TMAP2IN))*((c_TMAP3OUT)-(c_TMAP2OUT))+IF(((c_TMAP3OUT)-(c_TMAP2OUT))&gt;=0,1,-1)*QUOTIENT(((c_TMAP3IN)-(c_TMAP2IN)),2))+2147483648,4294967296)-2147483648,((c_TMAP3IN)-(c_TMAP2IN))*(((K152)-(c_TMAP2IN))*((c_TMAP3OUT)-(c_TMAP2OUT))+IF(((c_TMAP3OUT)-(c_TMAP2OUT))&gt;=0,1,-1)*QUOTIENT(((c_TMAP3IN)-(c_TMAP2IN)),2)))&gt;=0,1,0)))</f>
        <v>155</v>
      </c>
      <c r="P152" s="7" t="n">
        <f aca="false">IF(((1000)-(c_TMAP3IN))=0,(c_TMAP3OUT)+QUOTIENT(((1000)-(c_TMAP3OUT)),2),QUOTIENT((((K152)-(c_TMAP3IN))*((1000)-(c_TMAP3OUT))+IF(((1000)-(c_TMAP3OUT))&gt;=0,1,-1)*QUOTIENT(((1000)-(c_TMAP3IN)),2)),((1000)-(c_TMAP3IN)))+(c_TMAP3OUT)+IF(((1000)-(c_TMAP3OUT))&gt;=0,IF(IF(o_WRAP=1,MOD(((1000)-(c_TMAP3IN))*(((K152)-(c_TMAP3IN))*((1000)-(c_TMAP3OUT))+IF(((1000)-(c_TMAP3OUT))&gt;=0,1,-1)*QUOTIENT(((1000)-(c_TMAP3IN)),2))+2147483648,4294967296)-2147483648,((1000)-(c_TMAP3IN))*(((K152)-(c_TMAP3IN))*((1000)-(c_TMAP3OUT))+IF(((1000)-(c_TMAP3OUT))&gt;=0,1,-1)*QUOTIENT(((1000)-(c_TMAP3IN)),2)))&lt;0,-1,0),IF(IF(o_WRAP=1,MOD(((1000)-(c_TMAP3IN))*(((K152)-(c_TMAP3IN))*((1000)-(c_TMAP3OUT))+IF(((1000)-(c_TMAP3OUT))&gt;=0,1,-1)*QUOTIENT(((1000)-(c_TMAP3IN)),2))+2147483648,4294967296)-2147483648,((1000)-(c_TMAP3IN))*(((K152)-(c_TMAP3IN))*((1000)-(c_TMAP3OUT))+IF(((1000)-(c_TMAP3OUT))&gt;=0,1,-1)*QUOTIENT(((1000)-(c_TMAP3IN)),2)))&gt;=0,1,0)))</f>
        <v>120</v>
      </c>
      <c r="Q152" s="7" t="str">
        <f aca="false">IF(K152&gt;=c_TFWD,IF(AND(K152&gt;=c_TMAP3IN,c_TMAP3IN&lt;1000),"Seg4 map3-100%",IF(AND(K152&gt;=c_TMAP2IN,c_TMAP3IN&gt;c_TMAP2IN),"Seg3 map2-map3",IF(AND(K152&gt;=c_TMAP1IN,c_TMAP2IN&gt;c_TMAP1IN),"Seg2 map1-map2","Seg1 TFWD-map1"))),IF(AND(K152=0,c_TCREEP&gt;0),"Creep",IF(AND(K152&lt;=c_TRNGMIN,K152&gt;=c_TRNGMAX,c_TRNGMIN-c_TRNGMAX&lt;&gt;0),"Regen ramp","Coast (0)")))</f>
        <v>Seg3 map2-map3</v>
      </c>
      <c r="R152" s="7" t="n">
        <f aca="false">IF(K152&gt;=c_TFWD,IF(AND(K152&gt;=c_TMAP3IN,c_TMAP3IN&lt;1000),P152,IF(AND(K152&gt;=c_TMAP2IN,c_TMAP3IN&gt;c_TMAP2IN),O152,IF(AND(K152&gt;=c_TMAP1IN,c_TMAP2IN&gt;c_TMAP1IN),N152,M152))),L152)</f>
        <v>155</v>
      </c>
      <c r="S152" s="7" t="str">
        <f aca="false">IF(R152&lt;-1090,"TOO LOW",IF(R152&gt;1090,"TOO HIGH",""))</f>
        <v/>
      </c>
      <c r="T152" s="15" t="n">
        <f aca="false">IF(H152&lt;&gt;"OK",0,IF(S152&lt;&gt;"",0,IF(R152&gt;979,1000,R152)))</f>
        <v>155</v>
      </c>
      <c r="U152" s="7" t="n">
        <f aca="false">T152/10</f>
        <v>15.5</v>
      </c>
    </row>
    <row r="153" customFormat="false" ht="15" hidden="false" customHeight="false" outlineLevel="0" collapsed="false">
      <c r="A153" s="7" t="n">
        <v>148</v>
      </c>
      <c r="B153" s="7" t="n">
        <f aca="false">ROUND(o_SWSTART+A153*(o_SWEND-o_SWSTART)/400,0)</f>
        <v>1515</v>
      </c>
      <c r="C153" s="7" t="n">
        <f aca="false">QUOTIENT((B153-c_OFF1)*c_GAIN1,1024)</f>
        <v>1515</v>
      </c>
      <c r="D153" s="7" t="n">
        <f aca="false">IF(((c_T1MX)-(c_T1MN))=0,(0)+QUOTIENT(((1000)-(0)),2),QUOTIENT((((C153)-(c_T1MN))*((1000)-(0))+IF(((1000)-(0))&gt;=0,1,-1)*QUOTIENT(((c_T1MX)-(c_T1MN)),2)),((c_T1MX)-(c_T1MN)))+(0)+IF(((1000)-(0))&gt;=0,IF(IF(o_WRAP=1,MOD(((c_T1MX)-(c_T1MN))*(((C153)-(c_T1MN))*((1000)-(0))+IF(((1000)-(0))&gt;=0,1,-1)*QUOTIENT(((c_T1MX)-(c_T1MN)),2))+2147483648,4294967296)-2147483648,((c_T1MX)-(c_T1MN))*(((C153)-(c_T1MN))*((1000)-(0))+IF(((1000)-(0))&gt;=0,1,-1)*QUOTIENT(((c_T1MX)-(c_T1MN)),2)))&lt;0,-1,0),IF(IF(o_WRAP=1,MOD(((c_T1MX)-(c_T1MN))*(((C153)-(c_T1MN))*((1000)-(0))+IF(((1000)-(0))&gt;=0,1,-1)*QUOTIENT(((c_T1MX)-(c_T1MN)),2))+2147483648,4294967296)-2147483648,((c_T1MX)-(c_T1MN))*(((C153)-(c_T1MN))*((1000)-(0))+IF(((1000)-(0))&gt;=0,1,-1)*QUOTIENT(((c_T1MX)-(c_T1MN)),2)))&gt;=0,1,0)))</f>
        <v>289</v>
      </c>
      <c r="E153" s="7" t="n">
        <f aca="false">IF(AND(c_TPOT=1,c_TTYPE=2),1000-D153,D153)</f>
        <v>289</v>
      </c>
      <c r="F153" s="7" t="str">
        <f aca="false">IF(c_TPOT&gt;1,ROUND(IF(c_TTYPE=2,c_T2MX-IF(c_T1MX=c_T1MN,0,(C153-c_T1MN)/(c_T1MX-c_T1MN))*(c_T2MX-c_T2MN),c_T2MN+IF(c_T1MX=c_T1MN,0,(C153-c_T1MN)/(c_T1MX-c_T1MN))*(c_T2MX-c_T2MN))+o_MISMATCH,0),"")</f>
        <v/>
      </c>
      <c r="G153" s="7" t="str">
        <f aca="false">IF(c_TPOT&gt;1,IF(((c_T2MX)-(c_T2MN))=0,(0)+QUOTIENT(((1000)-(0)),2),QUOTIENT((((F153)-(c_T2MN))*((1000)-(0))+IF(((1000)-(0))&gt;=0,1,-1)*QUOTIENT(((c_T2MX)-(c_T2MN)),2)),((c_T2MX)-(c_T2MN)))+(0)+IF(((1000)-(0))&gt;=0,IF(IF(o_WRAP=1,MOD(((c_T2MX)-(c_T2MN))*(((F153)-(c_T2MN))*((1000)-(0))+IF(((1000)-(0))&gt;=0,1,-1)*QUOTIENT(((c_T2MX)-(c_T2MN)),2))+2147483648,4294967296)-2147483648,((c_T2MX)-(c_T2MN))*(((F153)-(c_T2MN))*((1000)-(0))+IF(((1000)-(0))&gt;=0,1,-1)*QUOTIENT(((c_T2MX)-(c_T2MN)),2)))&lt;0,-1,0),IF(IF(o_WRAP=1,MOD(((c_T2MX)-(c_T2MN))*(((F153)-(c_T2MN))*((1000)-(0))+IF(((1000)-(0))&gt;=0,1,-1)*QUOTIENT(((c_T2MX)-(c_T2MN)),2))+2147483648,4294967296)-2147483648,((c_T2MX)-(c_T2MN))*(((F153)-(c_T2MN))*((1000)-(0))+IF(((1000)-(0))&gt;=0,1,-1)*QUOTIENT(((c_T2MX)-(c_T2MN)),2)))&gt;=0,1,0))),"")</f>
        <v/>
      </c>
      <c r="H153" s="7" t="str">
        <f aca="false">IF(E153&gt;1000+k_TOL,"T1 HIGH",IF(E153&lt;0-k_TOL,"T1 LOW",IF(c_TPOT&gt;1,IF(G153&gt;1000+k_TOL,"T2 HIGH",IF(G153&lt;0-k_TOL,"T2 LOW",IF(c_TTYPE=2,IF(ABS(1000-MAX(0,MIN(1000,E153))-MAX(0,MIN(1000,G153)))&gt;k_MAXERR,"MISMATCH","OK"),IF(OR(MAX(0,MIN(1000,E153))-k_MAXERR&gt;MAX(0,MIN(1000,G153)),MAX(0,MIN(1000,G153))-k_MAXERR&gt;MAX(0,MIN(1000,E153))),"MISMATCH","OK")))),"OK")))</f>
        <v>OK</v>
      </c>
      <c r="I153" s="7" t="n">
        <f aca="false">MAX(0,MIN(1000,D153))</f>
        <v>289</v>
      </c>
      <c r="J153" s="7" t="str">
        <f aca="false">IF(c_TPOT&gt;1,IF(c_TTYPE=2,1000-MAX(0,MIN(1000,G153)),MAX(0,MIN(1000,G153))),"")</f>
        <v/>
      </c>
      <c r="K153" s="7" t="n">
        <f aca="false">IF(c_TPOT&gt;1,QUOTIENT(I153+J153,2),I153)</f>
        <v>289</v>
      </c>
      <c r="L153" s="7" t="n">
        <f aca="false">IF(AND(K153=0,c_TCREEP&gt;0),10*c_TCREEP,IF(AND(K153&lt;=c_TRNGMIN,K153&gt;=c_TRNGMAX,c_TRNGMIN-c_TRNGMAX&lt;&gt;0),-10*c_TMINRN+QUOTIENT((c_TMAXRN-c_TMINRN)*(100-QUOTIENT((K153-c_TRNGMAX)*100,c_TRNGMIN-c_TRNGMAX)),-10),0))</f>
        <v>0</v>
      </c>
      <c r="M153" s="7" t="n">
        <f aca="false">IF(((c_TMAP1IN)-(c_TFWD))=0,(0)+QUOTIENT(((c_TMAP1OUT)-(0)),2),QUOTIENT((((K153)-(c_TFWD))*((c_TMAP1OUT)-(0))+IF(((c_TMAP1OUT)-(0))&gt;=0,1,-1)*QUOTIENT(((c_TMAP1IN)-(c_TFWD)),2)),((c_TMAP1IN)-(c_TFWD)))+(0)+IF(((c_TMAP1OUT)-(0))&gt;=0,IF(IF(o_WRAP=1,MOD(((c_TMAP1IN)-(c_TFWD))*(((K153)-(c_TFWD))*((c_TMAP1OUT)-(0))+IF(((c_TMAP1OUT)-(0))&gt;=0,1,-1)*QUOTIENT(((c_TMAP1IN)-(c_TFWD)),2))+2147483648,4294967296)-2147483648,((c_TMAP1IN)-(c_TFWD))*(((K153)-(c_TFWD))*((c_TMAP1OUT)-(0))+IF(((c_TMAP1OUT)-(0))&gt;=0,1,-1)*QUOTIENT(((c_TMAP1IN)-(c_TFWD)),2)))&lt;0,-1,0),IF(IF(o_WRAP=1,MOD(((c_TMAP1IN)-(c_TFWD))*(((K153)-(c_TFWD))*((c_TMAP1OUT)-(0))+IF(((c_TMAP1OUT)-(0))&gt;=0,1,-1)*QUOTIENT(((c_TMAP1IN)-(c_TFWD)),2))+2147483648,4294967296)-2147483648,((c_TMAP1IN)-(c_TFWD))*(((K153)-(c_TFWD))*((c_TMAP1OUT)-(0))+IF(((c_TMAP1OUT)-(0))&gt;=0,1,-1)*QUOTIENT(((c_TMAP1IN)-(c_TFWD)),2)))&gt;=0,1,0)))</f>
        <v>217</v>
      </c>
      <c r="N153" s="7" t="n">
        <f aca="false">IF(((c_TMAP2IN)-(c_TMAP1IN))=0,(c_TMAP1OUT)+QUOTIENT(((c_TMAP2OUT)-(c_TMAP1OUT)),2),QUOTIENT((((K153)-(c_TMAP1IN))*((c_TMAP2OUT)-(c_TMAP1OUT))+IF(((c_TMAP2OUT)-(c_TMAP1OUT))&gt;=0,1,-1)*QUOTIENT(((c_TMAP2IN)-(c_TMAP1IN)),2)),((c_TMAP2IN)-(c_TMAP1IN)))+(c_TMAP1OUT)+IF(((c_TMAP2OUT)-(c_TMAP1OUT))&gt;=0,IF(IF(o_WRAP=1,MOD(((c_TMAP2IN)-(c_TMAP1IN))*(((K153)-(c_TMAP1IN))*((c_TMAP2OUT)-(c_TMAP1OUT))+IF(((c_TMAP2OUT)-(c_TMAP1OUT))&gt;=0,1,-1)*QUOTIENT(((c_TMAP2IN)-(c_TMAP1IN)),2))+2147483648,4294967296)-2147483648,((c_TMAP2IN)-(c_TMAP1IN))*(((K153)-(c_TMAP1IN))*((c_TMAP2OUT)-(c_TMAP1OUT))+IF(((c_TMAP2OUT)-(c_TMAP1OUT))&gt;=0,1,-1)*QUOTIENT(((c_TMAP2IN)-(c_TMAP1IN)),2)))&lt;0,-1,0),IF(IF(o_WRAP=1,MOD(((c_TMAP2IN)-(c_TMAP1IN))*(((K153)-(c_TMAP1IN))*((c_TMAP2OUT)-(c_TMAP1OUT))+IF(((c_TMAP2OUT)-(c_TMAP1OUT))&gt;=0,1,-1)*QUOTIENT(((c_TMAP2IN)-(c_TMAP1IN)),2))+2147483648,4294967296)-2147483648,((c_TMAP2IN)-(c_TMAP1IN))*(((K153)-(c_TMAP1IN))*((c_TMAP2OUT)-(c_TMAP1OUT))+IF(((c_TMAP2OUT)-(c_TMAP1OUT))&gt;=0,1,-1)*QUOTIENT(((c_TMAP2IN)-(c_TMAP1IN)),2)))&gt;=0,1,0)))</f>
        <v>146</v>
      </c>
      <c r="O153" s="7" t="n">
        <f aca="false">IF(((c_TMAP3IN)-(c_TMAP2IN))=0,(c_TMAP2OUT)+QUOTIENT(((c_TMAP3OUT)-(c_TMAP2OUT)),2),QUOTIENT((((K153)-(c_TMAP2IN))*((c_TMAP3OUT)-(c_TMAP2OUT))+IF(((c_TMAP3OUT)-(c_TMAP2OUT))&gt;=0,1,-1)*QUOTIENT(((c_TMAP3IN)-(c_TMAP2IN)),2)),((c_TMAP3IN)-(c_TMAP2IN)))+(c_TMAP2OUT)+IF(((c_TMAP3OUT)-(c_TMAP2OUT))&gt;=0,IF(IF(o_WRAP=1,MOD(((c_TMAP3IN)-(c_TMAP2IN))*(((K153)-(c_TMAP2IN))*((c_TMAP3OUT)-(c_TMAP2OUT))+IF(((c_TMAP3OUT)-(c_TMAP2OUT))&gt;=0,1,-1)*QUOTIENT(((c_TMAP3IN)-(c_TMAP2IN)),2))+2147483648,4294967296)-2147483648,((c_TMAP3IN)-(c_TMAP2IN))*(((K153)-(c_TMAP2IN))*((c_TMAP3OUT)-(c_TMAP2OUT))+IF(((c_TMAP3OUT)-(c_TMAP2OUT))&gt;=0,1,-1)*QUOTIENT(((c_TMAP3IN)-(c_TMAP2IN)),2)))&lt;0,-1,0),IF(IF(o_WRAP=1,MOD(((c_TMAP3IN)-(c_TMAP2IN))*(((K153)-(c_TMAP2IN))*((c_TMAP3OUT)-(c_TMAP2OUT))+IF(((c_TMAP3OUT)-(c_TMAP2OUT))&gt;=0,1,-1)*QUOTIENT(((c_TMAP3IN)-(c_TMAP2IN)),2))+2147483648,4294967296)-2147483648,((c_TMAP3IN)-(c_TMAP2IN))*(((K153)-(c_TMAP2IN))*((c_TMAP3OUT)-(c_TMAP2OUT))+IF(((c_TMAP3OUT)-(c_TMAP2OUT))&gt;=0,1,-1)*QUOTIENT(((c_TMAP3IN)-(c_TMAP2IN)),2)))&gt;=0,1,0)))</f>
        <v>157</v>
      </c>
      <c r="P153" s="7" t="n">
        <f aca="false">IF(((1000)-(c_TMAP3IN))=0,(c_TMAP3OUT)+QUOTIENT(((1000)-(c_TMAP3OUT)),2),QUOTIENT((((K153)-(c_TMAP3IN))*((1000)-(c_TMAP3OUT))+IF(((1000)-(c_TMAP3OUT))&gt;=0,1,-1)*QUOTIENT(((1000)-(c_TMAP3IN)),2)),((1000)-(c_TMAP3IN)))+(c_TMAP3OUT)+IF(((1000)-(c_TMAP3OUT))&gt;=0,IF(IF(o_WRAP=1,MOD(((1000)-(c_TMAP3IN))*(((K153)-(c_TMAP3IN))*((1000)-(c_TMAP3OUT))+IF(((1000)-(c_TMAP3OUT))&gt;=0,1,-1)*QUOTIENT(((1000)-(c_TMAP3IN)),2))+2147483648,4294967296)-2147483648,((1000)-(c_TMAP3IN))*(((K153)-(c_TMAP3IN))*((1000)-(c_TMAP3OUT))+IF(((1000)-(c_TMAP3OUT))&gt;=0,1,-1)*QUOTIENT(((1000)-(c_TMAP3IN)),2)))&lt;0,-1,0),IF(IF(o_WRAP=1,MOD(((1000)-(c_TMAP3IN))*(((K153)-(c_TMAP3IN))*((1000)-(c_TMAP3OUT))+IF(((1000)-(c_TMAP3OUT))&gt;=0,1,-1)*QUOTIENT(((1000)-(c_TMAP3IN)),2))+2147483648,4294967296)-2147483648,((1000)-(c_TMAP3IN))*(((K153)-(c_TMAP3IN))*((1000)-(c_TMAP3OUT))+IF(((1000)-(c_TMAP3OUT))&gt;=0,1,-1)*QUOTIENT(((1000)-(c_TMAP3IN)),2)))&gt;=0,1,0)))</f>
        <v>125</v>
      </c>
      <c r="Q153" s="7" t="str">
        <f aca="false">IF(K153&gt;=c_TFWD,IF(AND(K153&gt;=c_TMAP3IN,c_TMAP3IN&lt;1000),"Seg4 map3-100%",IF(AND(K153&gt;=c_TMAP2IN,c_TMAP3IN&gt;c_TMAP2IN),"Seg3 map2-map3",IF(AND(K153&gt;=c_TMAP1IN,c_TMAP2IN&gt;c_TMAP1IN),"Seg2 map1-map2","Seg1 TFWD-map1"))),IF(AND(K153=0,c_TCREEP&gt;0),"Creep",IF(AND(K153&lt;=c_TRNGMIN,K153&gt;=c_TRNGMAX,c_TRNGMIN-c_TRNGMAX&lt;&gt;0),"Regen ramp","Coast (0)")))</f>
        <v>Seg3 map2-map3</v>
      </c>
      <c r="R153" s="7" t="n">
        <f aca="false">IF(K153&gt;=c_TFWD,IF(AND(K153&gt;=c_TMAP3IN,c_TMAP3IN&lt;1000),P153,IF(AND(K153&gt;=c_TMAP2IN,c_TMAP3IN&gt;c_TMAP2IN),O153,IF(AND(K153&gt;=c_TMAP1IN,c_TMAP2IN&gt;c_TMAP1IN),N153,M153))),L153)</f>
        <v>157</v>
      </c>
      <c r="S153" s="7" t="str">
        <f aca="false">IF(R153&lt;-1090,"TOO LOW",IF(R153&gt;1090,"TOO HIGH",""))</f>
        <v/>
      </c>
      <c r="T153" s="15" t="n">
        <f aca="false">IF(H153&lt;&gt;"OK",0,IF(S153&lt;&gt;"",0,IF(R153&gt;979,1000,R153)))</f>
        <v>157</v>
      </c>
      <c r="U153" s="7" t="n">
        <f aca="false">T153/10</f>
        <v>15.7</v>
      </c>
    </row>
    <row r="154" customFormat="false" ht="15" hidden="false" customHeight="false" outlineLevel="0" collapsed="false">
      <c r="A154" s="7" t="n">
        <v>149</v>
      </c>
      <c r="B154" s="7" t="n">
        <f aca="false">ROUND(o_SWSTART+A154*(o_SWEND-o_SWSTART)/400,0)</f>
        <v>1525</v>
      </c>
      <c r="C154" s="7" t="n">
        <f aca="false">QUOTIENT((B154-c_OFF1)*c_GAIN1,1024)</f>
        <v>1525</v>
      </c>
      <c r="D154" s="7" t="n">
        <f aca="false">IF(((c_T1MX)-(c_T1MN))=0,(0)+QUOTIENT(((1000)-(0)),2),QUOTIENT((((C154)-(c_T1MN))*((1000)-(0))+IF(((1000)-(0))&gt;=0,1,-1)*QUOTIENT(((c_T1MX)-(c_T1MN)),2)),((c_T1MX)-(c_T1MN)))+(0)+IF(((1000)-(0))&gt;=0,IF(IF(o_WRAP=1,MOD(((c_T1MX)-(c_T1MN))*(((C154)-(c_T1MN))*((1000)-(0))+IF(((1000)-(0))&gt;=0,1,-1)*QUOTIENT(((c_T1MX)-(c_T1MN)),2))+2147483648,4294967296)-2147483648,((c_T1MX)-(c_T1MN))*(((C154)-(c_T1MN))*((1000)-(0))+IF(((1000)-(0))&gt;=0,1,-1)*QUOTIENT(((c_T1MX)-(c_T1MN)),2)))&lt;0,-1,0),IF(IF(o_WRAP=1,MOD(((c_T1MX)-(c_T1MN))*(((C154)-(c_T1MN))*((1000)-(0))+IF(((1000)-(0))&gt;=0,1,-1)*QUOTIENT(((c_T1MX)-(c_T1MN)),2))+2147483648,4294967296)-2147483648,((c_T1MX)-(c_T1MN))*(((C154)-(c_T1MN))*((1000)-(0))+IF(((1000)-(0))&gt;=0,1,-1)*QUOTIENT(((c_T1MX)-(c_T1MN)),2)))&gt;=0,1,0)))</f>
        <v>292</v>
      </c>
      <c r="E154" s="7" t="n">
        <f aca="false">IF(AND(c_TPOT=1,c_TTYPE=2),1000-D154,D154)</f>
        <v>292</v>
      </c>
      <c r="F154" s="7" t="str">
        <f aca="false">IF(c_TPOT&gt;1,ROUND(IF(c_TTYPE=2,c_T2MX-IF(c_T1MX=c_T1MN,0,(C154-c_T1MN)/(c_T1MX-c_T1MN))*(c_T2MX-c_T2MN),c_T2MN+IF(c_T1MX=c_T1MN,0,(C154-c_T1MN)/(c_T1MX-c_T1MN))*(c_T2MX-c_T2MN))+o_MISMATCH,0),"")</f>
        <v/>
      </c>
      <c r="G154" s="7" t="str">
        <f aca="false">IF(c_TPOT&gt;1,IF(((c_T2MX)-(c_T2MN))=0,(0)+QUOTIENT(((1000)-(0)),2),QUOTIENT((((F154)-(c_T2MN))*((1000)-(0))+IF(((1000)-(0))&gt;=0,1,-1)*QUOTIENT(((c_T2MX)-(c_T2MN)),2)),((c_T2MX)-(c_T2MN)))+(0)+IF(((1000)-(0))&gt;=0,IF(IF(o_WRAP=1,MOD(((c_T2MX)-(c_T2MN))*(((F154)-(c_T2MN))*((1000)-(0))+IF(((1000)-(0))&gt;=0,1,-1)*QUOTIENT(((c_T2MX)-(c_T2MN)),2))+2147483648,4294967296)-2147483648,((c_T2MX)-(c_T2MN))*(((F154)-(c_T2MN))*((1000)-(0))+IF(((1000)-(0))&gt;=0,1,-1)*QUOTIENT(((c_T2MX)-(c_T2MN)),2)))&lt;0,-1,0),IF(IF(o_WRAP=1,MOD(((c_T2MX)-(c_T2MN))*(((F154)-(c_T2MN))*((1000)-(0))+IF(((1000)-(0))&gt;=0,1,-1)*QUOTIENT(((c_T2MX)-(c_T2MN)),2))+2147483648,4294967296)-2147483648,((c_T2MX)-(c_T2MN))*(((F154)-(c_T2MN))*((1000)-(0))+IF(((1000)-(0))&gt;=0,1,-1)*QUOTIENT(((c_T2MX)-(c_T2MN)),2)))&gt;=0,1,0))),"")</f>
        <v/>
      </c>
      <c r="H154" s="7" t="str">
        <f aca="false">IF(E154&gt;1000+k_TOL,"T1 HIGH",IF(E154&lt;0-k_TOL,"T1 LOW",IF(c_TPOT&gt;1,IF(G154&gt;1000+k_TOL,"T2 HIGH",IF(G154&lt;0-k_TOL,"T2 LOW",IF(c_TTYPE=2,IF(ABS(1000-MAX(0,MIN(1000,E154))-MAX(0,MIN(1000,G154)))&gt;k_MAXERR,"MISMATCH","OK"),IF(OR(MAX(0,MIN(1000,E154))-k_MAXERR&gt;MAX(0,MIN(1000,G154)),MAX(0,MIN(1000,G154))-k_MAXERR&gt;MAX(0,MIN(1000,E154))),"MISMATCH","OK")))),"OK")))</f>
        <v>OK</v>
      </c>
      <c r="I154" s="7" t="n">
        <f aca="false">MAX(0,MIN(1000,D154))</f>
        <v>292</v>
      </c>
      <c r="J154" s="7" t="str">
        <f aca="false">IF(c_TPOT&gt;1,IF(c_TTYPE=2,1000-MAX(0,MIN(1000,G154)),MAX(0,MIN(1000,G154))),"")</f>
        <v/>
      </c>
      <c r="K154" s="7" t="n">
        <f aca="false">IF(c_TPOT&gt;1,QUOTIENT(I154+J154,2),I154)</f>
        <v>292</v>
      </c>
      <c r="L154" s="7" t="n">
        <f aca="false">IF(AND(K154=0,c_TCREEP&gt;0),10*c_TCREEP,IF(AND(K154&lt;=c_TRNGMIN,K154&gt;=c_TRNGMAX,c_TRNGMIN-c_TRNGMAX&lt;&gt;0),-10*c_TMINRN+QUOTIENT((c_TMAXRN-c_TMINRN)*(100-QUOTIENT((K154-c_TRNGMAX)*100,c_TRNGMIN-c_TRNGMAX)),-10),0))</f>
        <v>0</v>
      </c>
      <c r="M154" s="7" t="n">
        <f aca="false">IF(((c_TMAP1IN)-(c_TFWD))=0,(0)+QUOTIENT(((c_TMAP1OUT)-(0)),2),QUOTIENT((((K154)-(c_TFWD))*((c_TMAP1OUT)-(0))+IF(((c_TMAP1OUT)-(0))&gt;=0,1,-1)*QUOTIENT(((c_TMAP1IN)-(c_TFWD)),2)),((c_TMAP1IN)-(c_TFWD)))+(0)+IF(((c_TMAP1OUT)-(0))&gt;=0,IF(IF(o_WRAP=1,MOD(((c_TMAP1IN)-(c_TFWD))*(((K154)-(c_TFWD))*((c_TMAP1OUT)-(0))+IF(((c_TMAP1OUT)-(0))&gt;=0,1,-1)*QUOTIENT(((c_TMAP1IN)-(c_TFWD)),2))+2147483648,4294967296)-2147483648,((c_TMAP1IN)-(c_TFWD))*(((K154)-(c_TFWD))*((c_TMAP1OUT)-(0))+IF(((c_TMAP1OUT)-(0))&gt;=0,1,-1)*QUOTIENT(((c_TMAP1IN)-(c_TFWD)),2)))&lt;0,-1,0),IF(IF(o_WRAP=1,MOD(((c_TMAP1IN)-(c_TFWD))*(((K154)-(c_TFWD))*((c_TMAP1OUT)-(0))+IF(((c_TMAP1OUT)-(0))&gt;=0,1,-1)*QUOTIENT(((c_TMAP1IN)-(c_TFWD)),2))+2147483648,4294967296)-2147483648,((c_TMAP1IN)-(c_TFWD))*(((K154)-(c_TFWD))*((c_TMAP1OUT)-(0))+IF(((c_TMAP1OUT)-(0))&gt;=0,1,-1)*QUOTIENT(((c_TMAP1IN)-(c_TFWD)),2)))&gt;=0,1,0)))</f>
        <v>219</v>
      </c>
      <c r="N154" s="7" t="n">
        <f aca="false">IF(((c_TMAP2IN)-(c_TMAP1IN))=0,(c_TMAP1OUT)+QUOTIENT(((c_TMAP2OUT)-(c_TMAP1OUT)),2),QUOTIENT((((K154)-(c_TMAP1IN))*((c_TMAP2OUT)-(c_TMAP1OUT))+IF(((c_TMAP2OUT)-(c_TMAP1OUT))&gt;=0,1,-1)*QUOTIENT(((c_TMAP2IN)-(c_TMAP1IN)),2)),((c_TMAP2IN)-(c_TMAP1IN)))+(c_TMAP1OUT)+IF(((c_TMAP2OUT)-(c_TMAP1OUT))&gt;=0,IF(IF(o_WRAP=1,MOD(((c_TMAP2IN)-(c_TMAP1IN))*(((K154)-(c_TMAP1IN))*((c_TMAP2OUT)-(c_TMAP1OUT))+IF(((c_TMAP2OUT)-(c_TMAP1OUT))&gt;=0,1,-1)*QUOTIENT(((c_TMAP2IN)-(c_TMAP1IN)),2))+2147483648,4294967296)-2147483648,((c_TMAP2IN)-(c_TMAP1IN))*(((K154)-(c_TMAP1IN))*((c_TMAP2OUT)-(c_TMAP1OUT))+IF(((c_TMAP2OUT)-(c_TMAP1OUT))&gt;=0,1,-1)*QUOTIENT(((c_TMAP2IN)-(c_TMAP1IN)),2)))&lt;0,-1,0),IF(IF(o_WRAP=1,MOD(((c_TMAP2IN)-(c_TMAP1IN))*(((K154)-(c_TMAP1IN))*((c_TMAP2OUT)-(c_TMAP1OUT))+IF(((c_TMAP2OUT)-(c_TMAP1OUT))&gt;=0,1,-1)*QUOTIENT(((c_TMAP2IN)-(c_TMAP1IN)),2))+2147483648,4294967296)-2147483648,((c_TMAP2IN)-(c_TMAP1IN))*(((K154)-(c_TMAP1IN))*((c_TMAP2OUT)-(c_TMAP1OUT))+IF(((c_TMAP2OUT)-(c_TMAP1OUT))&gt;=0,1,-1)*QUOTIENT(((c_TMAP2IN)-(c_TMAP1IN)),2)))&gt;=0,1,0)))</f>
        <v>147</v>
      </c>
      <c r="O154" s="7" t="n">
        <f aca="false">IF(((c_TMAP3IN)-(c_TMAP2IN))=0,(c_TMAP2OUT)+QUOTIENT(((c_TMAP3OUT)-(c_TMAP2OUT)),2),QUOTIENT((((K154)-(c_TMAP2IN))*((c_TMAP3OUT)-(c_TMAP2OUT))+IF(((c_TMAP3OUT)-(c_TMAP2OUT))&gt;=0,1,-1)*QUOTIENT(((c_TMAP3IN)-(c_TMAP2IN)),2)),((c_TMAP3IN)-(c_TMAP2IN)))+(c_TMAP2OUT)+IF(((c_TMAP3OUT)-(c_TMAP2OUT))&gt;=0,IF(IF(o_WRAP=1,MOD(((c_TMAP3IN)-(c_TMAP2IN))*(((K154)-(c_TMAP2IN))*((c_TMAP3OUT)-(c_TMAP2OUT))+IF(((c_TMAP3OUT)-(c_TMAP2OUT))&gt;=0,1,-1)*QUOTIENT(((c_TMAP3IN)-(c_TMAP2IN)),2))+2147483648,4294967296)-2147483648,((c_TMAP3IN)-(c_TMAP2IN))*(((K154)-(c_TMAP2IN))*((c_TMAP3OUT)-(c_TMAP2OUT))+IF(((c_TMAP3OUT)-(c_TMAP2OUT))&gt;=0,1,-1)*QUOTIENT(((c_TMAP3IN)-(c_TMAP2IN)),2)))&lt;0,-1,0),IF(IF(o_WRAP=1,MOD(((c_TMAP3IN)-(c_TMAP2IN))*(((K154)-(c_TMAP2IN))*((c_TMAP3OUT)-(c_TMAP2OUT))+IF(((c_TMAP3OUT)-(c_TMAP2OUT))&gt;=0,1,-1)*QUOTIENT(((c_TMAP3IN)-(c_TMAP2IN)),2))+2147483648,4294967296)-2147483648,((c_TMAP3IN)-(c_TMAP2IN))*(((K154)-(c_TMAP2IN))*((c_TMAP3OUT)-(c_TMAP2OUT))+IF(((c_TMAP3OUT)-(c_TMAP2OUT))&gt;=0,1,-1)*QUOTIENT(((c_TMAP3IN)-(c_TMAP2IN)),2)))&gt;=0,1,0)))</f>
        <v>159</v>
      </c>
      <c r="P154" s="7" t="n">
        <f aca="false">IF(((1000)-(c_TMAP3IN))=0,(c_TMAP3OUT)+QUOTIENT(((1000)-(c_TMAP3OUT)),2),QUOTIENT((((K154)-(c_TMAP3IN))*((1000)-(c_TMAP3OUT))+IF(((1000)-(c_TMAP3OUT))&gt;=0,1,-1)*QUOTIENT(((1000)-(c_TMAP3IN)),2)),((1000)-(c_TMAP3IN)))+(c_TMAP3OUT)+IF(((1000)-(c_TMAP3OUT))&gt;=0,IF(IF(o_WRAP=1,MOD(((1000)-(c_TMAP3IN))*(((K154)-(c_TMAP3IN))*((1000)-(c_TMAP3OUT))+IF(((1000)-(c_TMAP3OUT))&gt;=0,1,-1)*QUOTIENT(((1000)-(c_TMAP3IN)),2))+2147483648,4294967296)-2147483648,((1000)-(c_TMAP3IN))*(((K154)-(c_TMAP3IN))*((1000)-(c_TMAP3OUT))+IF(((1000)-(c_TMAP3OUT))&gt;=0,1,-1)*QUOTIENT(((1000)-(c_TMAP3IN)),2)))&lt;0,-1,0),IF(IF(o_WRAP=1,MOD(((1000)-(c_TMAP3IN))*(((K154)-(c_TMAP3IN))*((1000)-(c_TMAP3OUT))+IF(((1000)-(c_TMAP3OUT))&gt;=0,1,-1)*QUOTIENT(((1000)-(c_TMAP3IN)),2))+2147483648,4294967296)-2147483648,((1000)-(c_TMAP3IN))*(((K154)-(c_TMAP3IN))*((1000)-(c_TMAP3OUT))+IF(((1000)-(c_TMAP3OUT))&gt;=0,1,-1)*QUOTIENT(((1000)-(c_TMAP3IN)),2)))&gt;=0,1,0)))</f>
        <v>129</v>
      </c>
      <c r="Q154" s="7" t="str">
        <f aca="false">IF(K154&gt;=c_TFWD,IF(AND(K154&gt;=c_TMAP3IN,c_TMAP3IN&lt;1000),"Seg4 map3-100%",IF(AND(K154&gt;=c_TMAP2IN,c_TMAP3IN&gt;c_TMAP2IN),"Seg3 map2-map3",IF(AND(K154&gt;=c_TMAP1IN,c_TMAP2IN&gt;c_TMAP1IN),"Seg2 map1-map2","Seg1 TFWD-map1"))),IF(AND(K154=0,c_TCREEP&gt;0),"Creep",IF(AND(K154&lt;=c_TRNGMIN,K154&gt;=c_TRNGMAX,c_TRNGMIN-c_TRNGMAX&lt;&gt;0),"Regen ramp","Coast (0)")))</f>
        <v>Seg3 map2-map3</v>
      </c>
      <c r="R154" s="7" t="n">
        <f aca="false">IF(K154&gt;=c_TFWD,IF(AND(K154&gt;=c_TMAP3IN,c_TMAP3IN&lt;1000),P154,IF(AND(K154&gt;=c_TMAP2IN,c_TMAP3IN&gt;c_TMAP2IN),O154,IF(AND(K154&gt;=c_TMAP1IN,c_TMAP2IN&gt;c_TMAP1IN),N154,M154))),L154)</f>
        <v>159</v>
      </c>
      <c r="S154" s="7" t="str">
        <f aca="false">IF(R154&lt;-1090,"TOO LOW",IF(R154&gt;1090,"TOO HIGH",""))</f>
        <v/>
      </c>
      <c r="T154" s="15" t="n">
        <f aca="false">IF(H154&lt;&gt;"OK",0,IF(S154&lt;&gt;"",0,IF(R154&gt;979,1000,R154)))</f>
        <v>159</v>
      </c>
      <c r="U154" s="7" t="n">
        <f aca="false">T154/10</f>
        <v>15.9</v>
      </c>
    </row>
    <row r="155" customFormat="false" ht="15" hidden="false" customHeight="false" outlineLevel="0" collapsed="false">
      <c r="A155" s="7" t="n">
        <v>150</v>
      </c>
      <c r="B155" s="7" t="n">
        <f aca="false">ROUND(o_SWSTART+A155*(o_SWEND-o_SWSTART)/400,0)</f>
        <v>1536</v>
      </c>
      <c r="C155" s="7" t="n">
        <f aca="false">QUOTIENT((B155-c_OFF1)*c_GAIN1,1024)</f>
        <v>1536</v>
      </c>
      <c r="D155" s="7" t="n">
        <f aca="false">IF(((c_T1MX)-(c_T1MN))=0,(0)+QUOTIENT(((1000)-(0)),2),QUOTIENT((((C155)-(c_T1MN))*((1000)-(0))+IF(((1000)-(0))&gt;=0,1,-1)*QUOTIENT(((c_T1MX)-(c_T1MN)),2)),((c_T1MX)-(c_T1MN)))+(0)+IF(((1000)-(0))&gt;=0,IF(IF(o_WRAP=1,MOD(((c_T1MX)-(c_T1MN))*(((C155)-(c_T1MN))*((1000)-(0))+IF(((1000)-(0))&gt;=0,1,-1)*QUOTIENT(((c_T1MX)-(c_T1MN)),2))+2147483648,4294967296)-2147483648,((c_T1MX)-(c_T1MN))*(((C155)-(c_T1MN))*((1000)-(0))+IF(((1000)-(0))&gt;=0,1,-1)*QUOTIENT(((c_T1MX)-(c_T1MN)),2)))&lt;0,-1,0),IF(IF(o_WRAP=1,MOD(((c_T1MX)-(c_T1MN))*(((C155)-(c_T1MN))*((1000)-(0))+IF(((1000)-(0))&gt;=0,1,-1)*QUOTIENT(((c_T1MX)-(c_T1MN)),2))+2147483648,4294967296)-2147483648,((c_T1MX)-(c_T1MN))*(((C155)-(c_T1MN))*((1000)-(0))+IF(((1000)-(0))&gt;=0,1,-1)*QUOTIENT(((c_T1MX)-(c_T1MN)),2)))&gt;=0,1,0)))</f>
        <v>296</v>
      </c>
      <c r="E155" s="7" t="n">
        <f aca="false">IF(AND(c_TPOT=1,c_TTYPE=2),1000-D155,D155)</f>
        <v>296</v>
      </c>
      <c r="F155" s="7" t="str">
        <f aca="false">IF(c_TPOT&gt;1,ROUND(IF(c_TTYPE=2,c_T2MX-IF(c_T1MX=c_T1MN,0,(C155-c_T1MN)/(c_T1MX-c_T1MN))*(c_T2MX-c_T2MN),c_T2MN+IF(c_T1MX=c_T1MN,0,(C155-c_T1MN)/(c_T1MX-c_T1MN))*(c_T2MX-c_T2MN))+o_MISMATCH,0),"")</f>
        <v/>
      </c>
      <c r="G155" s="7" t="str">
        <f aca="false">IF(c_TPOT&gt;1,IF(((c_T2MX)-(c_T2MN))=0,(0)+QUOTIENT(((1000)-(0)),2),QUOTIENT((((F155)-(c_T2MN))*((1000)-(0))+IF(((1000)-(0))&gt;=0,1,-1)*QUOTIENT(((c_T2MX)-(c_T2MN)),2)),((c_T2MX)-(c_T2MN)))+(0)+IF(((1000)-(0))&gt;=0,IF(IF(o_WRAP=1,MOD(((c_T2MX)-(c_T2MN))*(((F155)-(c_T2MN))*((1000)-(0))+IF(((1000)-(0))&gt;=0,1,-1)*QUOTIENT(((c_T2MX)-(c_T2MN)),2))+2147483648,4294967296)-2147483648,((c_T2MX)-(c_T2MN))*(((F155)-(c_T2MN))*((1000)-(0))+IF(((1000)-(0))&gt;=0,1,-1)*QUOTIENT(((c_T2MX)-(c_T2MN)),2)))&lt;0,-1,0),IF(IF(o_WRAP=1,MOD(((c_T2MX)-(c_T2MN))*(((F155)-(c_T2MN))*((1000)-(0))+IF(((1000)-(0))&gt;=0,1,-1)*QUOTIENT(((c_T2MX)-(c_T2MN)),2))+2147483648,4294967296)-2147483648,((c_T2MX)-(c_T2MN))*(((F155)-(c_T2MN))*((1000)-(0))+IF(((1000)-(0))&gt;=0,1,-1)*QUOTIENT(((c_T2MX)-(c_T2MN)),2)))&gt;=0,1,0))),"")</f>
        <v/>
      </c>
      <c r="H155" s="7" t="str">
        <f aca="false">IF(E155&gt;1000+k_TOL,"T1 HIGH",IF(E155&lt;0-k_TOL,"T1 LOW",IF(c_TPOT&gt;1,IF(G155&gt;1000+k_TOL,"T2 HIGH",IF(G155&lt;0-k_TOL,"T2 LOW",IF(c_TTYPE=2,IF(ABS(1000-MAX(0,MIN(1000,E155))-MAX(0,MIN(1000,G155)))&gt;k_MAXERR,"MISMATCH","OK"),IF(OR(MAX(0,MIN(1000,E155))-k_MAXERR&gt;MAX(0,MIN(1000,G155)),MAX(0,MIN(1000,G155))-k_MAXERR&gt;MAX(0,MIN(1000,E155))),"MISMATCH","OK")))),"OK")))</f>
        <v>OK</v>
      </c>
      <c r="I155" s="7" t="n">
        <f aca="false">MAX(0,MIN(1000,D155))</f>
        <v>296</v>
      </c>
      <c r="J155" s="7" t="str">
        <f aca="false">IF(c_TPOT&gt;1,IF(c_TTYPE=2,1000-MAX(0,MIN(1000,G155)),MAX(0,MIN(1000,G155))),"")</f>
        <v/>
      </c>
      <c r="K155" s="7" t="n">
        <f aca="false">IF(c_TPOT&gt;1,QUOTIENT(I155+J155,2),I155)</f>
        <v>296</v>
      </c>
      <c r="L155" s="7" t="n">
        <f aca="false">IF(AND(K155=0,c_TCREEP&gt;0),10*c_TCREEP,IF(AND(K155&lt;=c_TRNGMIN,K155&gt;=c_TRNGMAX,c_TRNGMIN-c_TRNGMAX&lt;&gt;0),-10*c_TMINRN+QUOTIENT((c_TMAXRN-c_TMINRN)*(100-QUOTIENT((K155-c_TRNGMAX)*100,c_TRNGMIN-c_TRNGMAX)),-10),0))</f>
        <v>0</v>
      </c>
      <c r="M155" s="7" t="n">
        <f aca="false">IF(((c_TMAP1IN)-(c_TFWD))=0,(0)+QUOTIENT(((c_TMAP1OUT)-(0)),2),QUOTIENT((((K155)-(c_TFWD))*((c_TMAP1OUT)-(0))+IF(((c_TMAP1OUT)-(0))&gt;=0,1,-1)*QUOTIENT(((c_TMAP1IN)-(c_TFWD)),2)),((c_TMAP1IN)-(c_TFWD)))+(0)+IF(((c_TMAP1OUT)-(0))&gt;=0,IF(IF(o_WRAP=1,MOD(((c_TMAP1IN)-(c_TFWD))*(((K155)-(c_TFWD))*((c_TMAP1OUT)-(0))+IF(((c_TMAP1OUT)-(0))&gt;=0,1,-1)*QUOTIENT(((c_TMAP1IN)-(c_TFWD)),2))+2147483648,4294967296)-2147483648,((c_TMAP1IN)-(c_TFWD))*(((K155)-(c_TFWD))*((c_TMAP1OUT)-(0))+IF(((c_TMAP1OUT)-(0))&gt;=0,1,-1)*QUOTIENT(((c_TMAP1IN)-(c_TFWD)),2)))&lt;0,-1,0),IF(IF(o_WRAP=1,MOD(((c_TMAP1IN)-(c_TFWD))*(((K155)-(c_TFWD))*((c_TMAP1OUT)-(0))+IF(((c_TMAP1OUT)-(0))&gt;=0,1,-1)*QUOTIENT(((c_TMAP1IN)-(c_TFWD)),2))+2147483648,4294967296)-2147483648,((c_TMAP1IN)-(c_TFWD))*(((K155)-(c_TFWD))*((c_TMAP1OUT)-(0))+IF(((c_TMAP1OUT)-(0))&gt;=0,1,-1)*QUOTIENT(((c_TMAP1IN)-(c_TFWD)),2)))&gt;=0,1,0)))</f>
        <v>222</v>
      </c>
      <c r="N155" s="7" t="n">
        <f aca="false">IF(((c_TMAP2IN)-(c_TMAP1IN))=0,(c_TMAP1OUT)+QUOTIENT(((c_TMAP2OUT)-(c_TMAP1OUT)),2),QUOTIENT((((K155)-(c_TMAP1IN))*((c_TMAP2OUT)-(c_TMAP1OUT))+IF(((c_TMAP2OUT)-(c_TMAP1OUT))&gt;=0,1,-1)*QUOTIENT(((c_TMAP2IN)-(c_TMAP1IN)),2)),((c_TMAP2IN)-(c_TMAP1IN)))+(c_TMAP1OUT)+IF(((c_TMAP2OUT)-(c_TMAP1OUT))&gt;=0,IF(IF(o_WRAP=1,MOD(((c_TMAP2IN)-(c_TMAP1IN))*(((K155)-(c_TMAP1IN))*((c_TMAP2OUT)-(c_TMAP1OUT))+IF(((c_TMAP2OUT)-(c_TMAP1OUT))&gt;=0,1,-1)*QUOTIENT(((c_TMAP2IN)-(c_TMAP1IN)),2))+2147483648,4294967296)-2147483648,((c_TMAP2IN)-(c_TMAP1IN))*(((K155)-(c_TMAP1IN))*((c_TMAP2OUT)-(c_TMAP1OUT))+IF(((c_TMAP2OUT)-(c_TMAP1OUT))&gt;=0,1,-1)*QUOTIENT(((c_TMAP2IN)-(c_TMAP1IN)),2)))&lt;0,-1,0),IF(IF(o_WRAP=1,MOD(((c_TMAP2IN)-(c_TMAP1IN))*(((K155)-(c_TMAP1IN))*((c_TMAP2OUT)-(c_TMAP1OUT))+IF(((c_TMAP2OUT)-(c_TMAP1OUT))&gt;=0,1,-1)*QUOTIENT(((c_TMAP2IN)-(c_TMAP1IN)),2))+2147483648,4294967296)-2147483648,((c_TMAP2IN)-(c_TMAP1IN))*(((K155)-(c_TMAP1IN))*((c_TMAP2OUT)-(c_TMAP1OUT))+IF(((c_TMAP2OUT)-(c_TMAP1OUT))&gt;=0,1,-1)*QUOTIENT(((c_TMAP2IN)-(c_TMAP1IN)),2)))&gt;=0,1,0)))</f>
        <v>148</v>
      </c>
      <c r="O155" s="7" t="n">
        <f aca="false">IF(((c_TMAP3IN)-(c_TMAP2IN))=0,(c_TMAP2OUT)+QUOTIENT(((c_TMAP3OUT)-(c_TMAP2OUT)),2),QUOTIENT((((K155)-(c_TMAP2IN))*((c_TMAP3OUT)-(c_TMAP2OUT))+IF(((c_TMAP3OUT)-(c_TMAP2OUT))&gt;=0,1,-1)*QUOTIENT(((c_TMAP3IN)-(c_TMAP2IN)),2)),((c_TMAP3IN)-(c_TMAP2IN)))+(c_TMAP2OUT)+IF(((c_TMAP3OUT)-(c_TMAP2OUT))&gt;=0,IF(IF(o_WRAP=1,MOD(((c_TMAP3IN)-(c_TMAP2IN))*(((K155)-(c_TMAP2IN))*((c_TMAP3OUT)-(c_TMAP2OUT))+IF(((c_TMAP3OUT)-(c_TMAP2OUT))&gt;=0,1,-1)*QUOTIENT(((c_TMAP3IN)-(c_TMAP2IN)),2))+2147483648,4294967296)-2147483648,((c_TMAP3IN)-(c_TMAP2IN))*(((K155)-(c_TMAP2IN))*((c_TMAP3OUT)-(c_TMAP2OUT))+IF(((c_TMAP3OUT)-(c_TMAP2OUT))&gt;=0,1,-1)*QUOTIENT(((c_TMAP3IN)-(c_TMAP2IN)),2)))&lt;0,-1,0),IF(IF(o_WRAP=1,MOD(((c_TMAP3IN)-(c_TMAP2IN))*(((K155)-(c_TMAP2IN))*((c_TMAP3OUT)-(c_TMAP2OUT))+IF(((c_TMAP3OUT)-(c_TMAP2OUT))&gt;=0,1,-1)*QUOTIENT(((c_TMAP3IN)-(c_TMAP2IN)),2))+2147483648,4294967296)-2147483648,((c_TMAP3IN)-(c_TMAP2IN))*(((K155)-(c_TMAP2IN))*((c_TMAP3OUT)-(c_TMAP2OUT))+IF(((c_TMAP3OUT)-(c_TMAP2OUT))&gt;=0,1,-1)*QUOTIENT(((c_TMAP3IN)-(c_TMAP2IN)),2)))&gt;=0,1,0)))</f>
        <v>162</v>
      </c>
      <c r="P155" s="7" t="n">
        <f aca="false">IF(((1000)-(c_TMAP3IN))=0,(c_TMAP3OUT)+QUOTIENT(((1000)-(c_TMAP3OUT)),2),QUOTIENT((((K155)-(c_TMAP3IN))*((1000)-(c_TMAP3OUT))+IF(((1000)-(c_TMAP3OUT))&gt;=0,1,-1)*QUOTIENT(((1000)-(c_TMAP3IN)),2)),((1000)-(c_TMAP3IN)))+(c_TMAP3OUT)+IF(((1000)-(c_TMAP3OUT))&gt;=0,IF(IF(o_WRAP=1,MOD(((1000)-(c_TMAP3IN))*(((K155)-(c_TMAP3IN))*((1000)-(c_TMAP3OUT))+IF(((1000)-(c_TMAP3OUT))&gt;=0,1,-1)*QUOTIENT(((1000)-(c_TMAP3IN)),2))+2147483648,4294967296)-2147483648,((1000)-(c_TMAP3IN))*(((K155)-(c_TMAP3IN))*((1000)-(c_TMAP3OUT))+IF(((1000)-(c_TMAP3OUT))&gt;=0,1,-1)*QUOTIENT(((1000)-(c_TMAP3IN)),2)))&lt;0,-1,0),IF(IF(o_WRAP=1,MOD(((1000)-(c_TMAP3IN))*(((K155)-(c_TMAP3IN))*((1000)-(c_TMAP3OUT))+IF(((1000)-(c_TMAP3OUT))&gt;=0,1,-1)*QUOTIENT(((1000)-(c_TMAP3IN)),2))+2147483648,4294967296)-2147483648,((1000)-(c_TMAP3IN))*(((K155)-(c_TMAP3IN))*((1000)-(c_TMAP3OUT))+IF(((1000)-(c_TMAP3OUT))&gt;=0,1,-1)*QUOTIENT(((1000)-(c_TMAP3IN)),2)))&gt;=0,1,0)))</f>
        <v>134</v>
      </c>
      <c r="Q155" s="7" t="str">
        <f aca="false">IF(K155&gt;=c_TFWD,IF(AND(K155&gt;=c_TMAP3IN,c_TMAP3IN&lt;1000),"Seg4 map3-100%",IF(AND(K155&gt;=c_TMAP2IN,c_TMAP3IN&gt;c_TMAP2IN),"Seg3 map2-map3",IF(AND(K155&gt;=c_TMAP1IN,c_TMAP2IN&gt;c_TMAP1IN),"Seg2 map1-map2","Seg1 TFWD-map1"))),IF(AND(K155=0,c_TCREEP&gt;0),"Creep",IF(AND(K155&lt;=c_TRNGMIN,K155&gt;=c_TRNGMAX,c_TRNGMIN-c_TRNGMAX&lt;&gt;0),"Regen ramp","Coast (0)")))</f>
        <v>Seg3 map2-map3</v>
      </c>
      <c r="R155" s="7" t="n">
        <f aca="false">IF(K155&gt;=c_TFWD,IF(AND(K155&gt;=c_TMAP3IN,c_TMAP3IN&lt;1000),P155,IF(AND(K155&gt;=c_TMAP2IN,c_TMAP3IN&gt;c_TMAP2IN),O155,IF(AND(K155&gt;=c_TMAP1IN,c_TMAP2IN&gt;c_TMAP1IN),N155,M155))),L155)</f>
        <v>162</v>
      </c>
      <c r="S155" s="7" t="str">
        <f aca="false">IF(R155&lt;-1090,"TOO LOW",IF(R155&gt;1090,"TOO HIGH",""))</f>
        <v/>
      </c>
      <c r="T155" s="15" t="n">
        <f aca="false">IF(H155&lt;&gt;"OK",0,IF(S155&lt;&gt;"",0,IF(R155&gt;979,1000,R155)))</f>
        <v>162</v>
      </c>
      <c r="U155" s="7" t="n">
        <f aca="false">T155/10</f>
        <v>16.2</v>
      </c>
    </row>
    <row r="156" customFormat="false" ht="15" hidden="false" customHeight="false" outlineLevel="0" collapsed="false">
      <c r="A156" s="7" t="n">
        <v>151</v>
      </c>
      <c r="B156" s="7" t="n">
        <f aca="false">ROUND(o_SWSTART+A156*(o_SWEND-o_SWSTART)/400,0)</f>
        <v>1546</v>
      </c>
      <c r="C156" s="7" t="n">
        <f aca="false">QUOTIENT((B156-c_OFF1)*c_GAIN1,1024)</f>
        <v>1546</v>
      </c>
      <c r="D156" s="7" t="n">
        <f aca="false">IF(((c_T1MX)-(c_T1MN))=0,(0)+QUOTIENT(((1000)-(0)),2),QUOTIENT((((C156)-(c_T1MN))*((1000)-(0))+IF(((1000)-(0))&gt;=0,1,-1)*QUOTIENT(((c_T1MX)-(c_T1MN)),2)),((c_T1MX)-(c_T1MN)))+(0)+IF(((1000)-(0))&gt;=0,IF(IF(o_WRAP=1,MOD(((c_T1MX)-(c_T1MN))*(((C156)-(c_T1MN))*((1000)-(0))+IF(((1000)-(0))&gt;=0,1,-1)*QUOTIENT(((c_T1MX)-(c_T1MN)),2))+2147483648,4294967296)-2147483648,((c_T1MX)-(c_T1MN))*(((C156)-(c_T1MN))*((1000)-(0))+IF(((1000)-(0))&gt;=0,1,-1)*QUOTIENT(((c_T1MX)-(c_T1MN)),2)))&lt;0,-1,0),IF(IF(o_WRAP=1,MOD(((c_T1MX)-(c_T1MN))*(((C156)-(c_T1MN))*((1000)-(0))+IF(((1000)-(0))&gt;=0,1,-1)*QUOTIENT(((c_T1MX)-(c_T1MN)),2))+2147483648,4294967296)-2147483648,((c_T1MX)-(c_T1MN))*(((C156)-(c_T1MN))*((1000)-(0))+IF(((1000)-(0))&gt;=0,1,-1)*QUOTIENT(((c_T1MX)-(c_T1MN)),2)))&gt;=0,1,0)))</f>
        <v>300</v>
      </c>
      <c r="E156" s="7" t="n">
        <f aca="false">IF(AND(c_TPOT=1,c_TTYPE=2),1000-D156,D156)</f>
        <v>300</v>
      </c>
      <c r="F156" s="7" t="str">
        <f aca="false">IF(c_TPOT&gt;1,ROUND(IF(c_TTYPE=2,c_T2MX-IF(c_T1MX=c_T1MN,0,(C156-c_T1MN)/(c_T1MX-c_T1MN))*(c_T2MX-c_T2MN),c_T2MN+IF(c_T1MX=c_T1MN,0,(C156-c_T1MN)/(c_T1MX-c_T1MN))*(c_T2MX-c_T2MN))+o_MISMATCH,0),"")</f>
        <v/>
      </c>
      <c r="G156" s="7" t="str">
        <f aca="false">IF(c_TPOT&gt;1,IF(((c_T2MX)-(c_T2MN))=0,(0)+QUOTIENT(((1000)-(0)),2),QUOTIENT((((F156)-(c_T2MN))*((1000)-(0))+IF(((1000)-(0))&gt;=0,1,-1)*QUOTIENT(((c_T2MX)-(c_T2MN)),2)),((c_T2MX)-(c_T2MN)))+(0)+IF(((1000)-(0))&gt;=0,IF(IF(o_WRAP=1,MOD(((c_T2MX)-(c_T2MN))*(((F156)-(c_T2MN))*((1000)-(0))+IF(((1000)-(0))&gt;=0,1,-1)*QUOTIENT(((c_T2MX)-(c_T2MN)),2))+2147483648,4294967296)-2147483648,((c_T2MX)-(c_T2MN))*(((F156)-(c_T2MN))*((1000)-(0))+IF(((1000)-(0))&gt;=0,1,-1)*QUOTIENT(((c_T2MX)-(c_T2MN)),2)))&lt;0,-1,0),IF(IF(o_WRAP=1,MOD(((c_T2MX)-(c_T2MN))*(((F156)-(c_T2MN))*((1000)-(0))+IF(((1000)-(0))&gt;=0,1,-1)*QUOTIENT(((c_T2MX)-(c_T2MN)),2))+2147483648,4294967296)-2147483648,((c_T2MX)-(c_T2MN))*(((F156)-(c_T2MN))*((1000)-(0))+IF(((1000)-(0))&gt;=0,1,-1)*QUOTIENT(((c_T2MX)-(c_T2MN)),2)))&gt;=0,1,0))),"")</f>
        <v/>
      </c>
      <c r="H156" s="7" t="str">
        <f aca="false">IF(E156&gt;1000+k_TOL,"T1 HIGH",IF(E156&lt;0-k_TOL,"T1 LOW",IF(c_TPOT&gt;1,IF(G156&gt;1000+k_TOL,"T2 HIGH",IF(G156&lt;0-k_TOL,"T2 LOW",IF(c_TTYPE=2,IF(ABS(1000-MAX(0,MIN(1000,E156))-MAX(0,MIN(1000,G156)))&gt;k_MAXERR,"MISMATCH","OK"),IF(OR(MAX(0,MIN(1000,E156))-k_MAXERR&gt;MAX(0,MIN(1000,G156)),MAX(0,MIN(1000,G156))-k_MAXERR&gt;MAX(0,MIN(1000,E156))),"MISMATCH","OK")))),"OK")))</f>
        <v>OK</v>
      </c>
      <c r="I156" s="7" t="n">
        <f aca="false">MAX(0,MIN(1000,D156))</f>
        <v>300</v>
      </c>
      <c r="J156" s="7" t="str">
        <f aca="false">IF(c_TPOT&gt;1,IF(c_TTYPE=2,1000-MAX(0,MIN(1000,G156)),MAX(0,MIN(1000,G156))),"")</f>
        <v/>
      </c>
      <c r="K156" s="7" t="n">
        <f aca="false">IF(c_TPOT&gt;1,QUOTIENT(I156+J156,2),I156)</f>
        <v>300</v>
      </c>
      <c r="L156" s="7" t="n">
        <f aca="false">IF(AND(K156=0,c_TCREEP&gt;0),10*c_TCREEP,IF(AND(K156&lt;=c_TRNGMIN,K156&gt;=c_TRNGMAX,c_TRNGMIN-c_TRNGMAX&lt;&gt;0),-10*c_TMINRN+QUOTIENT((c_TMAXRN-c_TMINRN)*(100-QUOTIENT((K156-c_TRNGMAX)*100,c_TRNGMIN-c_TRNGMAX)),-10),0))</f>
        <v>0</v>
      </c>
      <c r="M156" s="7" t="n">
        <f aca="false">IF(((c_TMAP1IN)-(c_TFWD))=0,(0)+QUOTIENT(((c_TMAP1OUT)-(0)),2),QUOTIENT((((K156)-(c_TFWD))*((c_TMAP1OUT)-(0))+IF(((c_TMAP1OUT)-(0))&gt;=0,1,-1)*QUOTIENT(((c_TMAP1IN)-(c_TFWD)),2)),((c_TMAP1IN)-(c_TFWD)))+(0)+IF(((c_TMAP1OUT)-(0))&gt;=0,IF(IF(o_WRAP=1,MOD(((c_TMAP1IN)-(c_TFWD))*(((K156)-(c_TFWD))*((c_TMAP1OUT)-(0))+IF(((c_TMAP1OUT)-(0))&gt;=0,1,-1)*QUOTIENT(((c_TMAP1IN)-(c_TFWD)),2))+2147483648,4294967296)-2147483648,((c_TMAP1IN)-(c_TFWD))*(((K156)-(c_TFWD))*((c_TMAP1OUT)-(0))+IF(((c_TMAP1OUT)-(0))&gt;=0,1,-1)*QUOTIENT(((c_TMAP1IN)-(c_TFWD)),2)))&lt;0,-1,0),IF(IF(o_WRAP=1,MOD(((c_TMAP1IN)-(c_TFWD))*(((K156)-(c_TFWD))*((c_TMAP1OUT)-(0))+IF(((c_TMAP1OUT)-(0))&gt;=0,1,-1)*QUOTIENT(((c_TMAP1IN)-(c_TFWD)),2))+2147483648,4294967296)-2147483648,((c_TMAP1IN)-(c_TFWD))*(((K156)-(c_TFWD))*((c_TMAP1OUT)-(0))+IF(((c_TMAP1OUT)-(0))&gt;=0,1,-1)*QUOTIENT(((c_TMAP1IN)-(c_TFWD)),2)))&gt;=0,1,0)))</f>
        <v>226</v>
      </c>
      <c r="N156" s="7" t="n">
        <f aca="false">IF(((c_TMAP2IN)-(c_TMAP1IN))=0,(c_TMAP1OUT)+QUOTIENT(((c_TMAP2OUT)-(c_TMAP1OUT)),2),QUOTIENT((((K156)-(c_TMAP1IN))*((c_TMAP2OUT)-(c_TMAP1OUT))+IF(((c_TMAP2OUT)-(c_TMAP1OUT))&gt;=0,1,-1)*QUOTIENT(((c_TMAP2IN)-(c_TMAP1IN)),2)),((c_TMAP2IN)-(c_TMAP1IN)))+(c_TMAP1OUT)+IF(((c_TMAP2OUT)-(c_TMAP1OUT))&gt;=0,IF(IF(o_WRAP=1,MOD(((c_TMAP2IN)-(c_TMAP1IN))*(((K156)-(c_TMAP1IN))*((c_TMAP2OUT)-(c_TMAP1OUT))+IF(((c_TMAP2OUT)-(c_TMAP1OUT))&gt;=0,1,-1)*QUOTIENT(((c_TMAP2IN)-(c_TMAP1IN)),2))+2147483648,4294967296)-2147483648,((c_TMAP2IN)-(c_TMAP1IN))*(((K156)-(c_TMAP1IN))*((c_TMAP2OUT)-(c_TMAP1OUT))+IF(((c_TMAP2OUT)-(c_TMAP1OUT))&gt;=0,1,-1)*QUOTIENT(((c_TMAP2IN)-(c_TMAP1IN)),2)))&lt;0,-1,0),IF(IF(o_WRAP=1,MOD(((c_TMAP2IN)-(c_TMAP1IN))*(((K156)-(c_TMAP1IN))*((c_TMAP2OUT)-(c_TMAP1OUT))+IF(((c_TMAP2OUT)-(c_TMAP1OUT))&gt;=0,1,-1)*QUOTIENT(((c_TMAP2IN)-(c_TMAP1IN)),2))+2147483648,4294967296)-2147483648,((c_TMAP2IN)-(c_TMAP1IN))*(((K156)-(c_TMAP1IN))*((c_TMAP2OUT)-(c_TMAP1OUT))+IF(((c_TMAP2OUT)-(c_TMAP1OUT))&gt;=0,1,-1)*QUOTIENT(((c_TMAP2IN)-(c_TMAP1IN)),2)))&gt;=0,1,0)))</f>
        <v>150</v>
      </c>
      <c r="O156" s="7" t="n">
        <f aca="false">IF(((c_TMAP3IN)-(c_TMAP2IN))=0,(c_TMAP2OUT)+QUOTIENT(((c_TMAP3OUT)-(c_TMAP2OUT)),2),QUOTIENT((((K156)-(c_TMAP2IN))*((c_TMAP3OUT)-(c_TMAP2OUT))+IF(((c_TMAP3OUT)-(c_TMAP2OUT))&gt;=0,1,-1)*QUOTIENT(((c_TMAP3IN)-(c_TMAP2IN)),2)),((c_TMAP3IN)-(c_TMAP2IN)))+(c_TMAP2OUT)+IF(((c_TMAP3OUT)-(c_TMAP2OUT))&gt;=0,IF(IF(o_WRAP=1,MOD(((c_TMAP3IN)-(c_TMAP2IN))*(((K156)-(c_TMAP2IN))*((c_TMAP3OUT)-(c_TMAP2OUT))+IF(((c_TMAP3OUT)-(c_TMAP2OUT))&gt;=0,1,-1)*QUOTIENT(((c_TMAP3IN)-(c_TMAP2IN)),2))+2147483648,4294967296)-2147483648,((c_TMAP3IN)-(c_TMAP2IN))*(((K156)-(c_TMAP2IN))*((c_TMAP3OUT)-(c_TMAP2OUT))+IF(((c_TMAP3OUT)-(c_TMAP2OUT))&gt;=0,1,-1)*QUOTIENT(((c_TMAP3IN)-(c_TMAP2IN)),2)))&lt;0,-1,0),IF(IF(o_WRAP=1,MOD(((c_TMAP3IN)-(c_TMAP2IN))*(((K156)-(c_TMAP2IN))*((c_TMAP3OUT)-(c_TMAP2OUT))+IF(((c_TMAP3OUT)-(c_TMAP2OUT))&gt;=0,1,-1)*QUOTIENT(((c_TMAP3IN)-(c_TMAP2IN)),2))+2147483648,4294967296)-2147483648,((c_TMAP3IN)-(c_TMAP2IN))*(((K156)-(c_TMAP2IN))*((c_TMAP3OUT)-(c_TMAP2OUT))+IF(((c_TMAP3OUT)-(c_TMAP2OUT))&gt;=0,1,-1)*QUOTIENT(((c_TMAP3IN)-(c_TMAP2IN)),2)))&gt;=0,1,0)))</f>
        <v>165</v>
      </c>
      <c r="P156" s="7" t="n">
        <f aca="false">IF(((1000)-(c_TMAP3IN))=0,(c_TMAP3OUT)+QUOTIENT(((1000)-(c_TMAP3OUT)),2),QUOTIENT((((K156)-(c_TMAP3IN))*((1000)-(c_TMAP3OUT))+IF(((1000)-(c_TMAP3OUT))&gt;=0,1,-1)*QUOTIENT(((1000)-(c_TMAP3IN)),2)),((1000)-(c_TMAP3IN)))+(c_TMAP3OUT)+IF(((1000)-(c_TMAP3OUT))&gt;=0,IF(IF(o_WRAP=1,MOD(((1000)-(c_TMAP3IN))*(((K156)-(c_TMAP3IN))*((1000)-(c_TMAP3OUT))+IF(((1000)-(c_TMAP3OUT))&gt;=0,1,-1)*QUOTIENT(((1000)-(c_TMAP3IN)),2))+2147483648,4294967296)-2147483648,((1000)-(c_TMAP3IN))*(((K156)-(c_TMAP3IN))*((1000)-(c_TMAP3OUT))+IF(((1000)-(c_TMAP3OUT))&gt;=0,1,-1)*QUOTIENT(((1000)-(c_TMAP3IN)),2)))&lt;0,-1,0),IF(IF(o_WRAP=1,MOD(((1000)-(c_TMAP3IN))*(((K156)-(c_TMAP3IN))*((1000)-(c_TMAP3OUT))+IF(((1000)-(c_TMAP3OUT))&gt;=0,1,-1)*QUOTIENT(((1000)-(c_TMAP3IN)),2))+2147483648,4294967296)-2147483648,((1000)-(c_TMAP3IN))*(((K156)-(c_TMAP3IN))*((1000)-(c_TMAP3OUT))+IF(((1000)-(c_TMAP3OUT))&gt;=0,1,-1)*QUOTIENT(((1000)-(c_TMAP3IN)),2)))&gt;=0,1,0)))</f>
        <v>138</v>
      </c>
      <c r="Q156" s="7" t="str">
        <f aca="false">IF(K156&gt;=c_TFWD,IF(AND(K156&gt;=c_TMAP3IN,c_TMAP3IN&lt;1000),"Seg4 map3-100%",IF(AND(K156&gt;=c_TMAP2IN,c_TMAP3IN&gt;c_TMAP2IN),"Seg3 map2-map3",IF(AND(K156&gt;=c_TMAP1IN,c_TMAP2IN&gt;c_TMAP1IN),"Seg2 map1-map2","Seg1 TFWD-map1"))),IF(AND(K156=0,c_TCREEP&gt;0),"Creep",IF(AND(K156&lt;=c_TRNGMIN,K156&gt;=c_TRNGMAX,c_TRNGMIN-c_TRNGMAX&lt;&gt;0),"Regen ramp","Coast (0)")))</f>
        <v>Seg3 map2-map3</v>
      </c>
      <c r="R156" s="7" t="n">
        <f aca="false">IF(K156&gt;=c_TFWD,IF(AND(K156&gt;=c_TMAP3IN,c_TMAP3IN&lt;1000),P156,IF(AND(K156&gt;=c_TMAP2IN,c_TMAP3IN&gt;c_TMAP2IN),O156,IF(AND(K156&gt;=c_TMAP1IN,c_TMAP2IN&gt;c_TMAP1IN),N156,M156))),L156)</f>
        <v>165</v>
      </c>
      <c r="S156" s="7" t="str">
        <f aca="false">IF(R156&lt;-1090,"TOO LOW",IF(R156&gt;1090,"TOO HIGH",""))</f>
        <v/>
      </c>
      <c r="T156" s="15" t="n">
        <f aca="false">IF(H156&lt;&gt;"OK",0,IF(S156&lt;&gt;"",0,IF(R156&gt;979,1000,R156)))</f>
        <v>165</v>
      </c>
      <c r="U156" s="7" t="n">
        <f aca="false">T156/10</f>
        <v>16.5</v>
      </c>
    </row>
    <row r="157" customFormat="false" ht="15" hidden="false" customHeight="false" outlineLevel="0" collapsed="false">
      <c r="A157" s="7" t="n">
        <v>152</v>
      </c>
      <c r="B157" s="7" t="n">
        <f aca="false">ROUND(o_SWSTART+A157*(o_SWEND-o_SWSTART)/400,0)</f>
        <v>1556</v>
      </c>
      <c r="C157" s="7" t="n">
        <f aca="false">QUOTIENT((B157-c_OFF1)*c_GAIN1,1024)</f>
        <v>1556</v>
      </c>
      <c r="D157" s="7" t="n">
        <f aca="false">IF(((c_T1MX)-(c_T1MN))=0,(0)+QUOTIENT(((1000)-(0)),2),QUOTIENT((((C157)-(c_T1MN))*((1000)-(0))+IF(((1000)-(0))&gt;=0,1,-1)*QUOTIENT(((c_T1MX)-(c_T1MN)),2)),((c_T1MX)-(c_T1MN)))+(0)+IF(((1000)-(0))&gt;=0,IF(IF(o_WRAP=1,MOD(((c_T1MX)-(c_T1MN))*(((C157)-(c_T1MN))*((1000)-(0))+IF(((1000)-(0))&gt;=0,1,-1)*QUOTIENT(((c_T1MX)-(c_T1MN)),2))+2147483648,4294967296)-2147483648,((c_T1MX)-(c_T1MN))*(((C157)-(c_T1MN))*((1000)-(0))+IF(((1000)-(0))&gt;=0,1,-1)*QUOTIENT(((c_T1MX)-(c_T1MN)),2)))&lt;0,-1,0),IF(IF(o_WRAP=1,MOD(((c_T1MX)-(c_T1MN))*(((C157)-(c_T1MN))*((1000)-(0))+IF(((1000)-(0))&gt;=0,1,-1)*QUOTIENT(((c_T1MX)-(c_T1MN)),2))+2147483648,4294967296)-2147483648,((c_T1MX)-(c_T1MN))*(((C157)-(c_T1MN))*((1000)-(0))+IF(((1000)-(0))&gt;=0,1,-1)*QUOTIENT(((c_T1MX)-(c_T1MN)),2)))&gt;=0,1,0)))</f>
        <v>303</v>
      </c>
      <c r="E157" s="7" t="n">
        <f aca="false">IF(AND(c_TPOT=1,c_TTYPE=2),1000-D157,D157)</f>
        <v>303</v>
      </c>
      <c r="F157" s="7" t="str">
        <f aca="false">IF(c_TPOT&gt;1,ROUND(IF(c_TTYPE=2,c_T2MX-IF(c_T1MX=c_T1MN,0,(C157-c_T1MN)/(c_T1MX-c_T1MN))*(c_T2MX-c_T2MN),c_T2MN+IF(c_T1MX=c_T1MN,0,(C157-c_T1MN)/(c_T1MX-c_T1MN))*(c_T2MX-c_T2MN))+o_MISMATCH,0),"")</f>
        <v/>
      </c>
      <c r="G157" s="7" t="str">
        <f aca="false">IF(c_TPOT&gt;1,IF(((c_T2MX)-(c_T2MN))=0,(0)+QUOTIENT(((1000)-(0)),2),QUOTIENT((((F157)-(c_T2MN))*((1000)-(0))+IF(((1000)-(0))&gt;=0,1,-1)*QUOTIENT(((c_T2MX)-(c_T2MN)),2)),((c_T2MX)-(c_T2MN)))+(0)+IF(((1000)-(0))&gt;=0,IF(IF(o_WRAP=1,MOD(((c_T2MX)-(c_T2MN))*(((F157)-(c_T2MN))*((1000)-(0))+IF(((1000)-(0))&gt;=0,1,-1)*QUOTIENT(((c_T2MX)-(c_T2MN)),2))+2147483648,4294967296)-2147483648,((c_T2MX)-(c_T2MN))*(((F157)-(c_T2MN))*((1000)-(0))+IF(((1000)-(0))&gt;=0,1,-1)*QUOTIENT(((c_T2MX)-(c_T2MN)),2)))&lt;0,-1,0),IF(IF(o_WRAP=1,MOD(((c_T2MX)-(c_T2MN))*(((F157)-(c_T2MN))*((1000)-(0))+IF(((1000)-(0))&gt;=0,1,-1)*QUOTIENT(((c_T2MX)-(c_T2MN)),2))+2147483648,4294967296)-2147483648,((c_T2MX)-(c_T2MN))*(((F157)-(c_T2MN))*((1000)-(0))+IF(((1000)-(0))&gt;=0,1,-1)*QUOTIENT(((c_T2MX)-(c_T2MN)),2)))&gt;=0,1,0))),"")</f>
        <v/>
      </c>
      <c r="H157" s="7" t="str">
        <f aca="false">IF(E157&gt;1000+k_TOL,"T1 HIGH",IF(E157&lt;0-k_TOL,"T1 LOW",IF(c_TPOT&gt;1,IF(G157&gt;1000+k_TOL,"T2 HIGH",IF(G157&lt;0-k_TOL,"T2 LOW",IF(c_TTYPE=2,IF(ABS(1000-MAX(0,MIN(1000,E157))-MAX(0,MIN(1000,G157)))&gt;k_MAXERR,"MISMATCH","OK"),IF(OR(MAX(0,MIN(1000,E157))-k_MAXERR&gt;MAX(0,MIN(1000,G157)),MAX(0,MIN(1000,G157))-k_MAXERR&gt;MAX(0,MIN(1000,E157))),"MISMATCH","OK")))),"OK")))</f>
        <v>OK</v>
      </c>
      <c r="I157" s="7" t="n">
        <f aca="false">MAX(0,MIN(1000,D157))</f>
        <v>303</v>
      </c>
      <c r="J157" s="7" t="str">
        <f aca="false">IF(c_TPOT&gt;1,IF(c_TTYPE=2,1000-MAX(0,MIN(1000,G157)),MAX(0,MIN(1000,G157))),"")</f>
        <v/>
      </c>
      <c r="K157" s="7" t="n">
        <f aca="false">IF(c_TPOT&gt;1,QUOTIENT(I157+J157,2),I157)</f>
        <v>303</v>
      </c>
      <c r="L157" s="7" t="n">
        <f aca="false">IF(AND(K157=0,c_TCREEP&gt;0),10*c_TCREEP,IF(AND(K157&lt;=c_TRNGMIN,K157&gt;=c_TRNGMAX,c_TRNGMIN-c_TRNGMAX&lt;&gt;0),-10*c_TMINRN+QUOTIENT((c_TMAXRN-c_TMINRN)*(100-QUOTIENT((K157-c_TRNGMAX)*100,c_TRNGMIN-c_TRNGMAX)),-10),0))</f>
        <v>0</v>
      </c>
      <c r="M157" s="7" t="n">
        <f aca="false">IF(((c_TMAP1IN)-(c_TFWD))=0,(0)+QUOTIENT(((c_TMAP1OUT)-(0)),2),QUOTIENT((((K157)-(c_TFWD))*((c_TMAP1OUT)-(0))+IF(((c_TMAP1OUT)-(0))&gt;=0,1,-1)*QUOTIENT(((c_TMAP1IN)-(c_TFWD)),2)),((c_TMAP1IN)-(c_TFWD)))+(0)+IF(((c_TMAP1OUT)-(0))&gt;=0,IF(IF(o_WRAP=1,MOD(((c_TMAP1IN)-(c_TFWD))*(((K157)-(c_TFWD))*((c_TMAP1OUT)-(0))+IF(((c_TMAP1OUT)-(0))&gt;=0,1,-1)*QUOTIENT(((c_TMAP1IN)-(c_TFWD)),2))+2147483648,4294967296)-2147483648,((c_TMAP1IN)-(c_TFWD))*(((K157)-(c_TFWD))*((c_TMAP1OUT)-(0))+IF(((c_TMAP1OUT)-(0))&gt;=0,1,-1)*QUOTIENT(((c_TMAP1IN)-(c_TFWD)),2)))&lt;0,-1,0),IF(IF(o_WRAP=1,MOD(((c_TMAP1IN)-(c_TFWD))*(((K157)-(c_TFWD))*((c_TMAP1OUT)-(0))+IF(((c_TMAP1OUT)-(0))&gt;=0,1,-1)*QUOTIENT(((c_TMAP1IN)-(c_TFWD)),2))+2147483648,4294967296)-2147483648,((c_TMAP1IN)-(c_TFWD))*(((K157)-(c_TFWD))*((c_TMAP1OUT)-(0))+IF(((c_TMAP1OUT)-(0))&gt;=0,1,-1)*QUOTIENT(((c_TMAP1IN)-(c_TFWD)),2)))&gt;=0,1,0)))</f>
        <v>228</v>
      </c>
      <c r="N157" s="7" t="n">
        <f aca="false">IF(((c_TMAP2IN)-(c_TMAP1IN))=0,(c_TMAP1OUT)+QUOTIENT(((c_TMAP2OUT)-(c_TMAP1OUT)),2),QUOTIENT((((K157)-(c_TMAP1IN))*((c_TMAP2OUT)-(c_TMAP1OUT))+IF(((c_TMAP2OUT)-(c_TMAP1OUT))&gt;=0,1,-1)*QUOTIENT(((c_TMAP2IN)-(c_TMAP1IN)),2)),((c_TMAP2IN)-(c_TMAP1IN)))+(c_TMAP1OUT)+IF(((c_TMAP2OUT)-(c_TMAP1OUT))&gt;=0,IF(IF(o_WRAP=1,MOD(((c_TMAP2IN)-(c_TMAP1IN))*(((K157)-(c_TMAP1IN))*((c_TMAP2OUT)-(c_TMAP1OUT))+IF(((c_TMAP2OUT)-(c_TMAP1OUT))&gt;=0,1,-1)*QUOTIENT(((c_TMAP2IN)-(c_TMAP1IN)),2))+2147483648,4294967296)-2147483648,((c_TMAP2IN)-(c_TMAP1IN))*(((K157)-(c_TMAP1IN))*((c_TMAP2OUT)-(c_TMAP1OUT))+IF(((c_TMAP2OUT)-(c_TMAP1OUT))&gt;=0,1,-1)*QUOTIENT(((c_TMAP2IN)-(c_TMAP1IN)),2)))&lt;0,-1,0),IF(IF(o_WRAP=1,MOD(((c_TMAP2IN)-(c_TMAP1IN))*(((K157)-(c_TMAP1IN))*((c_TMAP2OUT)-(c_TMAP1OUT))+IF(((c_TMAP2OUT)-(c_TMAP1OUT))&gt;=0,1,-1)*QUOTIENT(((c_TMAP2IN)-(c_TMAP1IN)),2))+2147483648,4294967296)-2147483648,((c_TMAP2IN)-(c_TMAP1IN))*(((K157)-(c_TMAP1IN))*((c_TMAP2OUT)-(c_TMAP1OUT))+IF(((c_TMAP2OUT)-(c_TMAP1OUT))&gt;=0,1,-1)*QUOTIENT(((c_TMAP2IN)-(c_TMAP1IN)),2)))&gt;=0,1,0)))</f>
        <v>151</v>
      </c>
      <c r="O157" s="7" t="n">
        <f aca="false">IF(((c_TMAP3IN)-(c_TMAP2IN))=0,(c_TMAP2OUT)+QUOTIENT(((c_TMAP3OUT)-(c_TMAP2OUT)),2),QUOTIENT((((K157)-(c_TMAP2IN))*((c_TMAP3OUT)-(c_TMAP2OUT))+IF(((c_TMAP3OUT)-(c_TMAP2OUT))&gt;=0,1,-1)*QUOTIENT(((c_TMAP3IN)-(c_TMAP2IN)),2)),((c_TMAP3IN)-(c_TMAP2IN)))+(c_TMAP2OUT)+IF(((c_TMAP3OUT)-(c_TMAP2OUT))&gt;=0,IF(IF(o_WRAP=1,MOD(((c_TMAP3IN)-(c_TMAP2IN))*(((K157)-(c_TMAP2IN))*((c_TMAP3OUT)-(c_TMAP2OUT))+IF(((c_TMAP3OUT)-(c_TMAP2OUT))&gt;=0,1,-1)*QUOTIENT(((c_TMAP3IN)-(c_TMAP2IN)),2))+2147483648,4294967296)-2147483648,((c_TMAP3IN)-(c_TMAP2IN))*(((K157)-(c_TMAP2IN))*((c_TMAP3OUT)-(c_TMAP2OUT))+IF(((c_TMAP3OUT)-(c_TMAP2OUT))&gt;=0,1,-1)*QUOTIENT(((c_TMAP3IN)-(c_TMAP2IN)),2)))&lt;0,-1,0),IF(IF(o_WRAP=1,MOD(((c_TMAP3IN)-(c_TMAP2IN))*(((K157)-(c_TMAP2IN))*((c_TMAP3OUT)-(c_TMAP2OUT))+IF(((c_TMAP3OUT)-(c_TMAP2OUT))&gt;=0,1,-1)*QUOTIENT(((c_TMAP3IN)-(c_TMAP2IN)),2))+2147483648,4294967296)-2147483648,((c_TMAP3IN)-(c_TMAP2IN))*(((K157)-(c_TMAP2IN))*((c_TMAP3OUT)-(c_TMAP2OUT))+IF(((c_TMAP3OUT)-(c_TMAP2OUT))&gt;=0,1,-1)*QUOTIENT(((c_TMAP3IN)-(c_TMAP2IN)),2)))&gt;=0,1,0)))</f>
        <v>167</v>
      </c>
      <c r="P157" s="7" t="n">
        <f aca="false">IF(((1000)-(c_TMAP3IN))=0,(c_TMAP3OUT)+QUOTIENT(((1000)-(c_TMAP3OUT)),2),QUOTIENT((((K157)-(c_TMAP3IN))*((1000)-(c_TMAP3OUT))+IF(((1000)-(c_TMAP3OUT))&gt;=0,1,-1)*QUOTIENT(((1000)-(c_TMAP3IN)),2)),((1000)-(c_TMAP3IN)))+(c_TMAP3OUT)+IF(((1000)-(c_TMAP3OUT))&gt;=0,IF(IF(o_WRAP=1,MOD(((1000)-(c_TMAP3IN))*(((K157)-(c_TMAP3IN))*((1000)-(c_TMAP3OUT))+IF(((1000)-(c_TMAP3OUT))&gt;=0,1,-1)*QUOTIENT(((1000)-(c_TMAP3IN)),2))+2147483648,4294967296)-2147483648,((1000)-(c_TMAP3IN))*(((K157)-(c_TMAP3IN))*((1000)-(c_TMAP3OUT))+IF(((1000)-(c_TMAP3OUT))&gt;=0,1,-1)*QUOTIENT(((1000)-(c_TMAP3IN)),2)))&lt;0,-1,0),IF(IF(o_WRAP=1,MOD(((1000)-(c_TMAP3IN))*(((K157)-(c_TMAP3IN))*((1000)-(c_TMAP3OUT))+IF(((1000)-(c_TMAP3OUT))&gt;=0,1,-1)*QUOTIENT(((1000)-(c_TMAP3IN)),2))+2147483648,4294967296)-2147483648,((1000)-(c_TMAP3IN))*(((K157)-(c_TMAP3IN))*((1000)-(c_TMAP3OUT))+IF(((1000)-(c_TMAP3OUT))&gt;=0,1,-1)*QUOTIENT(((1000)-(c_TMAP3IN)),2)))&gt;=0,1,0)))</f>
        <v>142</v>
      </c>
      <c r="Q157" s="7" t="str">
        <f aca="false">IF(K157&gt;=c_TFWD,IF(AND(K157&gt;=c_TMAP3IN,c_TMAP3IN&lt;1000),"Seg4 map3-100%",IF(AND(K157&gt;=c_TMAP2IN,c_TMAP3IN&gt;c_TMAP2IN),"Seg3 map2-map3",IF(AND(K157&gt;=c_TMAP1IN,c_TMAP2IN&gt;c_TMAP1IN),"Seg2 map1-map2","Seg1 TFWD-map1"))),IF(AND(K157=0,c_TCREEP&gt;0),"Creep",IF(AND(K157&lt;=c_TRNGMIN,K157&gt;=c_TRNGMAX,c_TRNGMIN-c_TRNGMAX&lt;&gt;0),"Regen ramp","Coast (0)")))</f>
        <v>Seg3 map2-map3</v>
      </c>
      <c r="R157" s="7" t="n">
        <f aca="false">IF(K157&gt;=c_TFWD,IF(AND(K157&gt;=c_TMAP3IN,c_TMAP3IN&lt;1000),P157,IF(AND(K157&gt;=c_TMAP2IN,c_TMAP3IN&gt;c_TMAP2IN),O157,IF(AND(K157&gt;=c_TMAP1IN,c_TMAP2IN&gt;c_TMAP1IN),N157,M157))),L157)</f>
        <v>167</v>
      </c>
      <c r="S157" s="7" t="str">
        <f aca="false">IF(R157&lt;-1090,"TOO LOW",IF(R157&gt;1090,"TOO HIGH",""))</f>
        <v/>
      </c>
      <c r="T157" s="15" t="n">
        <f aca="false">IF(H157&lt;&gt;"OK",0,IF(S157&lt;&gt;"",0,IF(R157&gt;979,1000,R157)))</f>
        <v>167</v>
      </c>
      <c r="U157" s="7" t="n">
        <f aca="false">T157/10</f>
        <v>16.7</v>
      </c>
    </row>
    <row r="158" customFormat="false" ht="15" hidden="false" customHeight="false" outlineLevel="0" collapsed="false">
      <c r="A158" s="7" t="n">
        <v>153</v>
      </c>
      <c r="B158" s="7" t="n">
        <f aca="false">ROUND(o_SWSTART+A158*(o_SWEND-o_SWSTART)/400,0)</f>
        <v>1566</v>
      </c>
      <c r="C158" s="7" t="n">
        <f aca="false">QUOTIENT((B158-c_OFF1)*c_GAIN1,1024)</f>
        <v>1566</v>
      </c>
      <c r="D158" s="7" t="n">
        <f aca="false">IF(((c_T1MX)-(c_T1MN))=0,(0)+QUOTIENT(((1000)-(0)),2),QUOTIENT((((C158)-(c_T1MN))*((1000)-(0))+IF(((1000)-(0))&gt;=0,1,-1)*QUOTIENT(((c_T1MX)-(c_T1MN)),2)),((c_T1MX)-(c_T1MN)))+(0)+IF(((1000)-(0))&gt;=0,IF(IF(o_WRAP=1,MOD(((c_T1MX)-(c_T1MN))*(((C158)-(c_T1MN))*((1000)-(0))+IF(((1000)-(0))&gt;=0,1,-1)*QUOTIENT(((c_T1MX)-(c_T1MN)),2))+2147483648,4294967296)-2147483648,((c_T1MX)-(c_T1MN))*(((C158)-(c_T1MN))*((1000)-(0))+IF(((1000)-(0))&gt;=0,1,-1)*QUOTIENT(((c_T1MX)-(c_T1MN)),2)))&lt;0,-1,0),IF(IF(o_WRAP=1,MOD(((c_T1MX)-(c_T1MN))*(((C158)-(c_T1MN))*((1000)-(0))+IF(((1000)-(0))&gt;=0,1,-1)*QUOTIENT(((c_T1MX)-(c_T1MN)),2))+2147483648,4294967296)-2147483648,((c_T1MX)-(c_T1MN))*(((C158)-(c_T1MN))*((1000)-(0))+IF(((1000)-(0))&gt;=0,1,-1)*QUOTIENT(((c_T1MX)-(c_T1MN)),2)))&gt;=0,1,0)))</f>
        <v>307</v>
      </c>
      <c r="E158" s="7" t="n">
        <f aca="false">IF(AND(c_TPOT=1,c_TTYPE=2),1000-D158,D158)</f>
        <v>307</v>
      </c>
      <c r="F158" s="7" t="str">
        <f aca="false">IF(c_TPOT&gt;1,ROUND(IF(c_TTYPE=2,c_T2MX-IF(c_T1MX=c_T1MN,0,(C158-c_T1MN)/(c_T1MX-c_T1MN))*(c_T2MX-c_T2MN),c_T2MN+IF(c_T1MX=c_T1MN,0,(C158-c_T1MN)/(c_T1MX-c_T1MN))*(c_T2MX-c_T2MN))+o_MISMATCH,0),"")</f>
        <v/>
      </c>
      <c r="G158" s="7" t="str">
        <f aca="false">IF(c_TPOT&gt;1,IF(((c_T2MX)-(c_T2MN))=0,(0)+QUOTIENT(((1000)-(0)),2),QUOTIENT((((F158)-(c_T2MN))*((1000)-(0))+IF(((1000)-(0))&gt;=0,1,-1)*QUOTIENT(((c_T2MX)-(c_T2MN)),2)),((c_T2MX)-(c_T2MN)))+(0)+IF(((1000)-(0))&gt;=0,IF(IF(o_WRAP=1,MOD(((c_T2MX)-(c_T2MN))*(((F158)-(c_T2MN))*((1000)-(0))+IF(((1000)-(0))&gt;=0,1,-1)*QUOTIENT(((c_T2MX)-(c_T2MN)),2))+2147483648,4294967296)-2147483648,((c_T2MX)-(c_T2MN))*(((F158)-(c_T2MN))*((1000)-(0))+IF(((1000)-(0))&gt;=0,1,-1)*QUOTIENT(((c_T2MX)-(c_T2MN)),2)))&lt;0,-1,0),IF(IF(o_WRAP=1,MOD(((c_T2MX)-(c_T2MN))*(((F158)-(c_T2MN))*((1000)-(0))+IF(((1000)-(0))&gt;=0,1,-1)*QUOTIENT(((c_T2MX)-(c_T2MN)),2))+2147483648,4294967296)-2147483648,((c_T2MX)-(c_T2MN))*(((F158)-(c_T2MN))*((1000)-(0))+IF(((1000)-(0))&gt;=0,1,-1)*QUOTIENT(((c_T2MX)-(c_T2MN)),2)))&gt;=0,1,0))),"")</f>
        <v/>
      </c>
      <c r="H158" s="7" t="str">
        <f aca="false">IF(E158&gt;1000+k_TOL,"T1 HIGH",IF(E158&lt;0-k_TOL,"T1 LOW",IF(c_TPOT&gt;1,IF(G158&gt;1000+k_TOL,"T2 HIGH",IF(G158&lt;0-k_TOL,"T2 LOW",IF(c_TTYPE=2,IF(ABS(1000-MAX(0,MIN(1000,E158))-MAX(0,MIN(1000,G158)))&gt;k_MAXERR,"MISMATCH","OK"),IF(OR(MAX(0,MIN(1000,E158))-k_MAXERR&gt;MAX(0,MIN(1000,G158)),MAX(0,MIN(1000,G158))-k_MAXERR&gt;MAX(0,MIN(1000,E158))),"MISMATCH","OK")))),"OK")))</f>
        <v>OK</v>
      </c>
      <c r="I158" s="7" t="n">
        <f aca="false">MAX(0,MIN(1000,D158))</f>
        <v>307</v>
      </c>
      <c r="J158" s="7" t="str">
        <f aca="false">IF(c_TPOT&gt;1,IF(c_TTYPE=2,1000-MAX(0,MIN(1000,G158)),MAX(0,MIN(1000,G158))),"")</f>
        <v/>
      </c>
      <c r="K158" s="7" t="n">
        <f aca="false">IF(c_TPOT&gt;1,QUOTIENT(I158+J158,2),I158)</f>
        <v>307</v>
      </c>
      <c r="L158" s="7" t="n">
        <f aca="false">IF(AND(K158=0,c_TCREEP&gt;0),10*c_TCREEP,IF(AND(K158&lt;=c_TRNGMIN,K158&gt;=c_TRNGMAX,c_TRNGMIN-c_TRNGMAX&lt;&gt;0),-10*c_TMINRN+QUOTIENT((c_TMAXRN-c_TMINRN)*(100-QUOTIENT((K158-c_TRNGMAX)*100,c_TRNGMIN-c_TRNGMAX)),-10),0))</f>
        <v>0</v>
      </c>
      <c r="M158" s="7" t="n">
        <f aca="false">IF(((c_TMAP1IN)-(c_TFWD))=0,(0)+QUOTIENT(((c_TMAP1OUT)-(0)),2),QUOTIENT((((K158)-(c_TFWD))*((c_TMAP1OUT)-(0))+IF(((c_TMAP1OUT)-(0))&gt;=0,1,-1)*QUOTIENT(((c_TMAP1IN)-(c_TFWD)),2)),((c_TMAP1IN)-(c_TFWD)))+(0)+IF(((c_TMAP1OUT)-(0))&gt;=0,IF(IF(o_WRAP=1,MOD(((c_TMAP1IN)-(c_TFWD))*(((K158)-(c_TFWD))*((c_TMAP1OUT)-(0))+IF(((c_TMAP1OUT)-(0))&gt;=0,1,-1)*QUOTIENT(((c_TMAP1IN)-(c_TFWD)),2))+2147483648,4294967296)-2147483648,((c_TMAP1IN)-(c_TFWD))*(((K158)-(c_TFWD))*((c_TMAP1OUT)-(0))+IF(((c_TMAP1OUT)-(0))&gt;=0,1,-1)*QUOTIENT(((c_TMAP1IN)-(c_TFWD)),2)))&lt;0,-1,0),IF(IF(o_WRAP=1,MOD(((c_TMAP1IN)-(c_TFWD))*(((K158)-(c_TFWD))*((c_TMAP1OUT)-(0))+IF(((c_TMAP1OUT)-(0))&gt;=0,1,-1)*QUOTIENT(((c_TMAP1IN)-(c_TFWD)),2))+2147483648,4294967296)-2147483648,((c_TMAP1IN)-(c_TFWD))*(((K158)-(c_TFWD))*((c_TMAP1OUT)-(0))+IF(((c_TMAP1OUT)-(0))&gt;=0,1,-1)*QUOTIENT(((c_TMAP1IN)-(c_TFWD)),2)))&gt;=0,1,0)))</f>
        <v>231</v>
      </c>
      <c r="N158" s="7" t="n">
        <f aca="false">IF(((c_TMAP2IN)-(c_TMAP1IN))=0,(c_TMAP1OUT)+QUOTIENT(((c_TMAP2OUT)-(c_TMAP1OUT)),2),QUOTIENT((((K158)-(c_TMAP1IN))*((c_TMAP2OUT)-(c_TMAP1OUT))+IF(((c_TMAP2OUT)-(c_TMAP1OUT))&gt;=0,1,-1)*QUOTIENT(((c_TMAP2IN)-(c_TMAP1IN)),2)),((c_TMAP2IN)-(c_TMAP1IN)))+(c_TMAP1OUT)+IF(((c_TMAP2OUT)-(c_TMAP1OUT))&gt;=0,IF(IF(o_WRAP=1,MOD(((c_TMAP2IN)-(c_TMAP1IN))*(((K158)-(c_TMAP1IN))*((c_TMAP2OUT)-(c_TMAP1OUT))+IF(((c_TMAP2OUT)-(c_TMAP1OUT))&gt;=0,1,-1)*QUOTIENT(((c_TMAP2IN)-(c_TMAP1IN)),2))+2147483648,4294967296)-2147483648,((c_TMAP2IN)-(c_TMAP1IN))*(((K158)-(c_TMAP1IN))*((c_TMAP2OUT)-(c_TMAP1OUT))+IF(((c_TMAP2OUT)-(c_TMAP1OUT))&gt;=0,1,-1)*QUOTIENT(((c_TMAP2IN)-(c_TMAP1IN)),2)))&lt;0,-1,0),IF(IF(o_WRAP=1,MOD(((c_TMAP2IN)-(c_TMAP1IN))*(((K158)-(c_TMAP1IN))*((c_TMAP2OUT)-(c_TMAP1OUT))+IF(((c_TMAP2OUT)-(c_TMAP1OUT))&gt;=0,1,-1)*QUOTIENT(((c_TMAP2IN)-(c_TMAP1IN)),2))+2147483648,4294967296)-2147483648,((c_TMAP2IN)-(c_TMAP1IN))*(((K158)-(c_TMAP1IN))*((c_TMAP2OUT)-(c_TMAP1OUT))+IF(((c_TMAP2OUT)-(c_TMAP1OUT))&gt;=0,1,-1)*QUOTIENT(((c_TMAP2IN)-(c_TMAP1IN)),2)))&gt;=0,1,0)))</f>
        <v>153</v>
      </c>
      <c r="O158" s="7" t="n">
        <f aca="false">IF(((c_TMAP3IN)-(c_TMAP2IN))=0,(c_TMAP2OUT)+QUOTIENT(((c_TMAP3OUT)-(c_TMAP2OUT)),2),QUOTIENT((((K158)-(c_TMAP2IN))*((c_TMAP3OUT)-(c_TMAP2OUT))+IF(((c_TMAP3OUT)-(c_TMAP2OUT))&gt;=0,1,-1)*QUOTIENT(((c_TMAP3IN)-(c_TMAP2IN)),2)),((c_TMAP3IN)-(c_TMAP2IN)))+(c_TMAP2OUT)+IF(((c_TMAP3OUT)-(c_TMAP2OUT))&gt;=0,IF(IF(o_WRAP=1,MOD(((c_TMAP3IN)-(c_TMAP2IN))*(((K158)-(c_TMAP2IN))*((c_TMAP3OUT)-(c_TMAP2OUT))+IF(((c_TMAP3OUT)-(c_TMAP2OUT))&gt;=0,1,-1)*QUOTIENT(((c_TMAP3IN)-(c_TMAP2IN)),2))+2147483648,4294967296)-2147483648,((c_TMAP3IN)-(c_TMAP2IN))*(((K158)-(c_TMAP2IN))*((c_TMAP3OUT)-(c_TMAP2OUT))+IF(((c_TMAP3OUT)-(c_TMAP2OUT))&gt;=0,1,-1)*QUOTIENT(((c_TMAP3IN)-(c_TMAP2IN)),2)))&lt;0,-1,0),IF(IF(o_WRAP=1,MOD(((c_TMAP3IN)-(c_TMAP2IN))*(((K158)-(c_TMAP2IN))*((c_TMAP3OUT)-(c_TMAP2OUT))+IF(((c_TMAP3OUT)-(c_TMAP2OUT))&gt;=0,1,-1)*QUOTIENT(((c_TMAP3IN)-(c_TMAP2IN)),2))+2147483648,4294967296)-2147483648,((c_TMAP3IN)-(c_TMAP2IN))*(((K158)-(c_TMAP2IN))*((c_TMAP3OUT)-(c_TMAP2OUT))+IF(((c_TMAP3OUT)-(c_TMAP2OUT))&gt;=0,1,-1)*QUOTIENT(((c_TMAP3IN)-(c_TMAP2IN)),2)))&gt;=0,1,0)))</f>
        <v>170</v>
      </c>
      <c r="P158" s="7" t="n">
        <f aca="false">IF(((1000)-(c_TMAP3IN))=0,(c_TMAP3OUT)+QUOTIENT(((1000)-(c_TMAP3OUT)),2),QUOTIENT((((K158)-(c_TMAP3IN))*((1000)-(c_TMAP3OUT))+IF(((1000)-(c_TMAP3OUT))&gt;=0,1,-1)*QUOTIENT(((1000)-(c_TMAP3IN)),2)),((1000)-(c_TMAP3IN)))+(c_TMAP3OUT)+IF(((1000)-(c_TMAP3OUT))&gt;=0,IF(IF(o_WRAP=1,MOD(((1000)-(c_TMAP3IN))*(((K158)-(c_TMAP3IN))*((1000)-(c_TMAP3OUT))+IF(((1000)-(c_TMAP3OUT))&gt;=0,1,-1)*QUOTIENT(((1000)-(c_TMAP3IN)),2))+2147483648,4294967296)-2147483648,((1000)-(c_TMAP3IN))*(((K158)-(c_TMAP3IN))*((1000)-(c_TMAP3OUT))+IF(((1000)-(c_TMAP3OUT))&gt;=0,1,-1)*QUOTIENT(((1000)-(c_TMAP3IN)),2)))&lt;0,-1,0),IF(IF(o_WRAP=1,MOD(((1000)-(c_TMAP3IN))*(((K158)-(c_TMAP3IN))*((1000)-(c_TMAP3OUT))+IF(((1000)-(c_TMAP3OUT))&gt;=0,1,-1)*QUOTIENT(((1000)-(c_TMAP3IN)),2))+2147483648,4294967296)-2147483648,((1000)-(c_TMAP3IN))*(((K158)-(c_TMAP3IN))*((1000)-(c_TMAP3OUT))+IF(((1000)-(c_TMAP3OUT))&gt;=0,1,-1)*QUOTIENT(((1000)-(c_TMAP3IN)),2)))&gt;=0,1,0)))</f>
        <v>147</v>
      </c>
      <c r="Q158" s="7" t="str">
        <f aca="false">IF(K158&gt;=c_TFWD,IF(AND(K158&gt;=c_TMAP3IN,c_TMAP3IN&lt;1000),"Seg4 map3-100%",IF(AND(K158&gt;=c_TMAP2IN,c_TMAP3IN&gt;c_TMAP2IN),"Seg3 map2-map3",IF(AND(K158&gt;=c_TMAP1IN,c_TMAP2IN&gt;c_TMAP1IN),"Seg2 map1-map2","Seg1 TFWD-map1"))),IF(AND(K158=0,c_TCREEP&gt;0),"Creep",IF(AND(K158&lt;=c_TRNGMIN,K158&gt;=c_TRNGMAX,c_TRNGMIN-c_TRNGMAX&lt;&gt;0),"Regen ramp","Coast (0)")))</f>
        <v>Seg3 map2-map3</v>
      </c>
      <c r="R158" s="7" t="n">
        <f aca="false">IF(K158&gt;=c_TFWD,IF(AND(K158&gt;=c_TMAP3IN,c_TMAP3IN&lt;1000),P158,IF(AND(K158&gt;=c_TMAP2IN,c_TMAP3IN&gt;c_TMAP2IN),O158,IF(AND(K158&gt;=c_TMAP1IN,c_TMAP2IN&gt;c_TMAP1IN),N158,M158))),L158)</f>
        <v>170</v>
      </c>
      <c r="S158" s="7" t="str">
        <f aca="false">IF(R158&lt;-1090,"TOO LOW",IF(R158&gt;1090,"TOO HIGH",""))</f>
        <v/>
      </c>
      <c r="T158" s="15" t="n">
        <f aca="false">IF(H158&lt;&gt;"OK",0,IF(S158&lt;&gt;"",0,IF(R158&gt;979,1000,R158)))</f>
        <v>170</v>
      </c>
      <c r="U158" s="7" t="n">
        <f aca="false">T158/10</f>
        <v>17</v>
      </c>
    </row>
    <row r="159" customFormat="false" ht="15" hidden="false" customHeight="false" outlineLevel="0" collapsed="false">
      <c r="A159" s="7" t="n">
        <v>154</v>
      </c>
      <c r="B159" s="7" t="n">
        <f aca="false">ROUND(o_SWSTART+A159*(o_SWEND-o_SWSTART)/400,0)</f>
        <v>1577</v>
      </c>
      <c r="C159" s="7" t="n">
        <f aca="false">QUOTIENT((B159-c_OFF1)*c_GAIN1,1024)</f>
        <v>1577</v>
      </c>
      <c r="D159" s="7" t="n">
        <f aca="false">IF(((c_T1MX)-(c_T1MN))=0,(0)+QUOTIENT(((1000)-(0)),2),QUOTIENT((((C159)-(c_T1MN))*((1000)-(0))+IF(((1000)-(0))&gt;=0,1,-1)*QUOTIENT(((c_T1MX)-(c_T1MN)),2)),((c_T1MX)-(c_T1MN)))+(0)+IF(((1000)-(0))&gt;=0,IF(IF(o_WRAP=1,MOD(((c_T1MX)-(c_T1MN))*(((C159)-(c_T1MN))*((1000)-(0))+IF(((1000)-(0))&gt;=0,1,-1)*QUOTIENT(((c_T1MX)-(c_T1MN)),2))+2147483648,4294967296)-2147483648,((c_T1MX)-(c_T1MN))*(((C159)-(c_T1MN))*((1000)-(0))+IF(((1000)-(0))&gt;=0,1,-1)*QUOTIENT(((c_T1MX)-(c_T1MN)),2)))&lt;0,-1,0),IF(IF(o_WRAP=1,MOD(((c_T1MX)-(c_T1MN))*(((C159)-(c_T1MN))*((1000)-(0))+IF(((1000)-(0))&gt;=0,1,-1)*QUOTIENT(((c_T1MX)-(c_T1MN)),2))+2147483648,4294967296)-2147483648,((c_T1MX)-(c_T1MN))*(((C159)-(c_T1MN))*((1000)-(0))+IF(((1000)-(0))&gt;=0,1,-1)*QUOTIENT(((c_T1MX)-(c_T1MN)),2)))&gt;=0,1,0)))</f>
        <v>311</v>
      </c>
      <c r="E159" s="7" t="n">
        <f aca="false">IF(AND(c_TPOT=1,c_TTYPE=2),1000-D159,D159)</f>
        <v>311</v>
      </c>
      <c r="F159" s="7" t="str">
        <f aca="false">IF(c_TPOT&gt;1,ROUND(IF(c_TTYPE=2,c_T2MX-IF(c_T1MX=c_T1MN,0,(C159-c_T1MN)/(c_T1MX-c_T1MN))*(c_T2MX-c_T2MN),c_T2MN+IF(c_T1MX=c_T1MN,0,(C159-c_T1MN)/(c_T1MX-c_T1MN))*(c_T2MX-c_T2MN))+o_MISMATCH,0),"")</f>
        <v/>
      </c>
      <c r="G159" s="7" t="str">
        <f aca="false">IF(c_TPOT&gt;1,IF(((c_T2MX)-(c_T2MN))=0,(0)+QUOTIENT(((1000)-(0)),2),QUOTIENT((((F159)-(c_T2MN))*((1000)-(0))+IF(((1000)-(0))&gt;=0,1,-1)*QUOTIENT(((c_T2MX)-(c_T2MN)),2)),((c_T2MX)-(c_T2MN)))+(0)+IF(((1000)-(0))&gt;=0,IF(IF(o_WRAP=1,MOD(((c_T2MX)-(c_T2MN))*(((F159)-(c_T2MN))*((1000)-(0))+IF(((1000)-(0))&gt;=0,1,-1)*QUOTIENT(((c_T2MX)-(c_T2MN)),2))+2147483648,4294967296)-2147483648,((c_T2MX)-(c_T2MN))*(((F159)-(c_T2MN))*((1000)-(0))+IF(((1000)-(0))&gt;=0,1,-1)*QUOTIENT(((c_T2MX)-(c_T2MN)),2)))&lt;0,-1,0),IF(IF(o_WRAP=1,MOD(((c_T2MX)-(c_T2MN))*(((F159)-(c_T2MN))*((1000)-(0))+IF(((1000)-(0))&gt;=0,1,-1)*QUOTIENT(((c_T2MX)-(c_T2MN)),2))+2147483648,4294967296)-2147483648,((c_T2MX)-(c_T2MN))*(((F159)-(c_T2MN))*((1000)-(0))+IF(((1000)-(0))&gt;=0,1,-1)*QUOTIENT(((c_T2MX)-(c_T2MN)),2)))&gt;=0,1,0))),"")</f>
        <v/>
      </c>
      <c r="H159" s="7" t="str">
        <f aca="false">IF(E159&gt;1000+k_TOL,"T1 HIGH",IF(E159&lt;0-k_TOL,"T1 LOW",IF(c_TPOT&gt;1,IF(G159&gt;1000+k_TOL,"T2 HIGH",IF(G159&lt;0-k_TOL,"T2 LOW",IF(c_TTYPE=2,IF(ABS(1000-MAX(0,MIN(1000,E159))-MAX(0,MIN(1000,G159)))&gt;k_MAXERR,"MISMATCH","OK"),IF(OR(MAX(0,MIN(1000,E159))-k_MAXERR&gt;MAX(0,MIN(1000,G159)),MAX(0,MIN(1000,G159))-k_MAXERR&gt;MAX(0,MIN(1000,E159))),"MISMATCH","OK")))),"OK")))</f>
        <v>OK</v>
      </c>
      <c r="I159" s="7" t="n">
        <f aca="false">MAX(0,MIN(1000,D159))</f>
        <v>311</v>
      </c>
      <c r="J159" s="7" t="str">
        <f aca="false">IF(c_TPOT&gt;1,IF(c_TTYPE=2,1000-MAX(0,MIN(1000,G159)),MAX(0,MIN(1000,G159))),"")</f>
        <v/>
      </c>
      <c r="K159" s="7" t="n">
        <f aca="false">IF(c_TPOT&gt;1,QUOTIENT(I159+J159,2),I159)</f>
        <v>311</v>
      </c>
      <c r="L159" s="7" t="n">
        <f aca="false">IF(AND(K159=0,c_TCREEP&gt;0),10*c_TCREEP,IF(AND(K159&lt;=c_TRNGMIN,K159&gt;=c_TRNGMAX,c_TRNGMIN-c_TRNGMAX&lt;&gt;0),-10*c_TMINRN+QUOTIENT((c_TMAXRN-c_TMINRN)*(100-QUOTIENT((K159-c_TRNGMAX)*100,c_TRNGMIN-c_TRNGMAX)),-10),0))</f>
        <v>0</v>
      </c>
      <c r="M159" s="7" t="n">
        <f aca="false">IF(((c_TMAP1IN)-(c_TFWD))=0,(0)+QUOTIENT(((c_TMAP1OUT)-(0)),2),QUOTIENT((((K159)-(c_TFWD))*((c_TMAP1OUT)-(0))+IF(((c_TMAP1OUT)-(0))&gt;=0,1,-1)*QUOTIENT(((c_TMAP1IN)-(c_TFWD)),2)),((c_TMAP1IN)-(c_TFWD)))+(0)+IF(((c_TMAP1OUT)-(0))&gt;=0,IF(IF(o_WRAP=1,MOD(((c_TMAP1IN)-(c_TFWD))*(((K159)-(c_TFWD))*((c_TMAP1OUT)-(0))+IF(((c_TMAP1OUT)-(0))&gt;=0,1,-1)*QUOTIENT(((c_TMAP1IN)-(c_TFWD)),2))+2147483648,4294967296)-2147483648,((c_TMAP1IN)-(c_TFWD))*(((K159)-(c_TFWD))*((c_TMAP1OUT)-(0))+IF(((c_TMAP1OUT)-(0))&gt;=0,1,-1)*QUOTIENT(((c_TMAP1IN)-(c_TFWD)),2)))&lt;0,-1,0),IF(IF(o_WRAP=1,MOD(((c_TMAP1IN)-(c_TFWD))*(((K159)-(c_TFWD))*((c_TMAP1OUT)-(0))+IF(((c_TMAP1OUT)-(0))&gt;=0,1,-1)*QUOTIENT(((c_TMAP1IN)-(c_TFWD)),2))+2147483648,4294967296)-2147483648,((c_TMAP1IN)-(c_TFWD))*(((K159)-(c_TFWD))*((c_TMAP1OUT)-(0))+IF(((c_TMAP1OUT)-(0))&gt;=0,1,-1)*QUOTIENT(((c_TMAP1IN)-(c_TFWD)),2)))&gt;=0,1,0)))</f>
        <v>234</v>
      </c>
      <c r="N159" s="7" t="n">
        <f aca="false">IF(((c_TMAP2IN)-(c_TMAP1IN))=0,(c_TMAP1OUT)+QUOTIENT(((c_TMAP2OUT)-(c_TMAP1OUT)),2),QUOTIENT((((K159)-(c_TMAP1IN))*((c_TMAP2OUT)-(c_TMAP1OUT))+IF(((c_TMAP2OUT)-(c_TMAP1OUT))&gt;=0,1,-1)*QUOTIENT(((c_TMAP2IN)-(c_TMAP1IN)),2)),((c_TMAP2IN)-(c_TMAP1IN)))+(c_TMAP1OUT)+IF(((c_TMAP2OUT)-(c_TMAP1OUT))&gt;=0,IF(IF(o_WRAP=1,MOD(((c_TMAP2IN)-(c_TMAP1IN))*(((K159)-(c_TMAP1IN))*((c_TMAP2OUT)-(c_TMAP1OUT))+IF(((c_TMAP2OUT)-(c_TMAP1OUT))&gt;=0,1,-1)*QUOTIENT(((c_TMAP2IN)-(c_TMAP1IN)),2))+2147483648,4294967296)-2147483648,((c_TMAP2IN)-(c_TMAP1IN))*(((K159)-(c_TMAP1IN))*((c_TMAP2OUT)-(c_TMAP1OUT))+IF(((c_TMAP2OUT)-(c_TMAP1OUT))&gt;=0,1,-1)*QUOTIENT(((c_TMAP2IN)-(c_TMAP1IN)),2)))&lt;0,-1,0),IF(IF(o_WRAP=1,MOD(((c_TMAP2IN)-(c_TMAP1IN))*(((K159)-(c_TMAP1IN))*((c_TMAP2OUT)-(c_TMAP1OUT))+IF(((c_TMAP2OUT)-(c_TMAP1OUT))&gt;=0,1,-1)*QUOTIENT(((c_TMAP2IN)-(c_TMAP1IN)),2))+2147483648,4294967296)-2147483648,((c_TMAP2IN)-(c_TMAP1IN))*(((K159)-(c_TMAP1IN))*((c_TMAP2OUT)-(c_TMAP1OUT))+IF(((c_TMAP2OUT)-(c_TMAP1OUT))&gt;=0,1,-1)*QUOTIENT(((c_TMAP2IN)-(c_TMAP1IN)),2)))&gt;=0,1,0)))</f>
        <v>154</v>
      </c>
      <c r="O159" s="7" t="n">
        <f aca="false">IF(((c_TMAP3IN)-(c_TMAP2IN))=0,(c_TMAP2OUT)+QUOTIENT(((c_TMAP3OUT)-(c_TMAP2OUT)),2),QUOTIENT((((K159)-(c_TMAP2IN))*((c_TMAP3OUT)-(c_TMAP2OUT))+IF(((c_TMAP3OUT)-(c_TMAP2OUT))&gt;=0,1,-1)*QUOTIENT(((c_TMAP3IN)-(c_TMAP2IN)),2)),((c_TMAP3IN)-(c_TMAP2IN)))+(c_TMAP2OUT)+IF(((c_TMAP3OUT)-(c_TMAP2OUT))&gt;=0,IF(IF(o_WRAP=1,MOD(((c_TMAP3IN)-(c_TMAP2IN))*(((K159)-(c_TMAP2IN))*((c_TMAP3OUT)-(c_TMAP2OUT))+IF(((c_TMAP3OUT)-(c_TMAP2OUT))&gt;=0,1,-1)*QUOTIENT(((c_TMAP3IN)-(c_TMAP2IN)),2))+2147483648,4294967296)-2147483648,((c_TMAP3IN)-(c_TMAP2IN))*(((K159)-(c_TMAP2IN))*((c_TMAP3OUT)-(c_TMAP2OUT))+IF(((c_TMAP3OUT)-(c_TMAP2OUT))&gt;=0,1,-1)*QUOTIENT(((c_TMAP3IN)-(c_TMAP2IN)),2)))&lt;0,-1,0),IF(IF(o_WRAP=1,MOD(((c_TMAP3IN)-(c_TMAP2IN))*(((K159)-(c_TMAP2IN))*((c_TMAP3OUT)-(c_TMAP2OUT))+IF(((c_TMAP3OUT)-(c_TMAP2OUT))&gt;=0,1,-1)*QUOTIENT(((c_TMAP3IN)-(c_TMAP2IN)),2))+2147483648,4294967296)-2147483648,((c_TMAP3IN)-(c_TMAP2IN))*(((K159)-(c_TMAP2IN))*((c_TMAP3OUT)-(c_TMAP2OUT))+IF(((c_TMAP3OUT)-(c_TMAP2OUT))&gt;=0,1,-1)*QUOTIENT(((c_TMAP3IN)-(c_TMAP2IN)),2)))&gt;=0,1,0)))</f>
        <v>173</v>
      </c>
      <c r="P159" s="7" t="n">
        <f aca="false">IF(((1000)-(c_TMAP3IN))=0,(c_TMAP3OUT)+QUOTIENT(((1000)-(c_TMAP3OUT)),2),QUOTIENT((((K159)-(c_TMAP3IN))*((1000)-(c_TMAP3OUT))+IF(((1000)-(c_TMAP3OUT))&gt;=0,1,-1)*QUOTIENT(((1000)-(c_TMAP3IN)),2)),((1000)-(c_TMAP3IN)))+(c_TMAP3OUT)+IF(((1000)-(c_TMAP3OUT))&gt;=0,IF(IF(o_WRAP=1,MOD(((1000)-(c_TMAP3IN))*(((K159)-(c_TMAP3IN))*((1000)-(c_TMAP3OUT))+IF(((1000)-(c_TMAP3OUT))&gt;=0,1,-1)*QUOTIENT(((1000)-(c_TMAP3IN)),2))+2147483648,4294967296)-2147483648,((1000)-(c_TMAP3IN))*(((K159)-(c_TMAP3IN))*((1000)-(c_TMAP3OUT))+IF(((1000)-(c_TMAP3OUT))&gt;=0,1,-1)*QUOTIENT(((1000)-(c_TMAP3IN)),2)))&lt;0,-1,0),IF(IF(o_WRAP=1,MOD(((1000)-(c_TMAP3IN))*(((K159)-(c_TMAP3IN))*((1000)-(c_TMAP3OUT))+IF(((1000)-(c_TMAP3OUT))&gt;=0,1,-1)*QUOTIENT(((1000)-(c_TMAP3IN)),2))+2147483648,4294967296)-2147483648,((1000)-(c_TMAP3IN))*(((K159)-(c_TMAP3IN))*((1000)-(c_TMAP3OUT))+IF(((1000)-(c_TMAP3OUT))&gt;=0,1,-1)*QUOTIENT(((1000)-(c_TMAP3IN)),2)))&gt;=0,1,0)))</f>
        <v>152</v>
      </c>
      <c r="Q159" s="7" t="str">
        <f aca="false">IF(K159&gt;=c_TFWD,IF(AND(K159&gt;=c_TMAP3IN,c_TMAP3IN&lt;1000),"Seg4 map3-100%",IF(AND(K159&gt;=c_TMAP2IN,c_TMAP3IN&gt;c_TMAP2IN),"Seg3 map2-map3",IF(AND(K159&gt;=c_TMAP1IN,c_TMAP2IN&gt;c_TMAP1IN),"Seg2 map1-map2","Seg1 TFWD-map1"))),IF(AND(K159=0,c_TCREEP&gt;0),"Creep",IF(AND(K159&lt;=c_TRNGMIN,K159&gt;=c_TRNGMAX,c_TRNGMIN-c_TRNGMAX&lt;&gt;0),"Regen ramp","Coast (0)")))</f>
        <v>Seg3 map2-map3</v>
      </c>
      <c r="R159" s="7" t="n">
        <f aca="false">IF(K159&gt;=c_TFWD,IF(AND(K159&gt;=c_TMAP3IN,c_TMAP3IN&lt;1000),P159,IF(AND(K159&gt;=c_TMAP2IN,c_TMAP3IN&gt;c_TMAP2IN),O159,IF(AND(K159&gt;=c_TMAP1IN,c_TMAP2IN&gt;c_TMAP1IN),N159,M159))),L159)</f>
        <v>173</v>
      </c>
      <c r="S159" s="7" t="str">
        <f aca="false">IF(R159&lt;-1090,"TOO LOW",IF(R159&gt;1090,"TOO HIGH",""))</f>
        <v/>
      </c>
      <c r="T159" s="15" t="n">
        <f aca="false">IF(H159&lt;&gt;"OK",0,IF(S159&lt;&gt;"",0,IF(R159&gt;979,1000,R159)))</f>
        <v>173</v>
      </c>
      <c r="U159" s="7" t="n">
        <f aca="false">T159/10</f>
        <v>17.3</v>
      </c>
    </row>
    <row r="160" customFormat="false" ht="15" hidden="false" customHeight="false" outlineLevel="0" collapsed="false">
      <c r="A160" s="7" t="n">
        <v>155</v>
      </c>
      <c r="B160" s="7" t="n">
        <f aca="false">ROUND(o_SWSTART+A160*(o_SWEND-o_SWSTART)/400,0)</f>
        <v>1587</v>
      </c>
      <c r="C160" s="7" t="n">
        <f aca="false">QUOTIENT((B160-c_OFF1)*c_GAIN1,1024)</f>
        <v>1587</v>
      </c>
      <c r="D160" s="7" t="n">
        <f aca="false">IF(((c_T1MX)-(c_T1MN))=0,(0)+QUOTIENT(((1000)-(0)),2),QUOTIENT((((C160)-(c_T1MN))*((1000)-(0))+IF(((1000)-(0))&gt;=0,1,-1)*QUOTIENT(((c_T1MX)-(c_T1MN)),2)),((c_T1MX)-(c_T1MN)))+(0)+IF(((1000)-(0))&gt;=0,IF(IF(o_WRAP=1,MOD(((c_T1MX)-(c_T1MN))*(((C160)-(c_T1MN))*((1000)-(0))+IF(((1000)-(0))&gt;=0,1,-1)*QUOTIENT(((c_T1MX)-(c_T1MN)),2))+2147483648,4294967296)-2147483648,((c_T1MX)-(c_T1MN))*(((C160)-(c_T1MN))*((1000)-(0))+IF(((1000)-(0))&gt;=0,1,-1)*QUOTIENT(((c_T1MX)-(c_T1MN)),2)))&lt;0,-1,0),IF(IF(o_WRAP=1,MOD(((c_T1MX)-(c_T1MN))*(((C160)-(c_T1MN))*((1000)-(0))+IF(((1000)-(0))&gt;=0,1,-1)*QUOTIENT(((c_T1MX)-(c_T1MN)),2))+2147483648,4294967296)-2147483648,((c_T1MX)-(c_T1MN))*(((C160)-(c_T1MN))*((1000)-(0))+IF(((1000)-(0))&gt;=0,1,-1)*QUOTIENT(((c_T1MX)-(c_T1MN)),2)))&gt;=0,1,0)))</f>
        <v>315</v>
      </c>
      <c r="E160" s="7" t="n">
        <f aca="false">IF(AND(c_TPOT=1,c_TTYPE=2),1000-D160,D160)</f>
        <v>315</v>
      </c>
      <c r="F160" s="7" t="str">
        <f aca="false">IF(c_TPOT&gt;1,ROUND(IF(c_TTYPE=2,c_T2MX-IF(c_T1MX=c_T1MN,0,(C160-c_T1MN)/(c_T1MX-c_T1MN))*(c_T2MX-c_T2MN),c_T2MN+IF(c_T1MX=c_T1MN,0,(C160-c_T1MN)/(c_T1MX-c_T1MN))*(c_T2MX-c_T2MN))+o_MISMATCH,0),"")</f>
        <v/>
      </c>
      <c r="G160" s="7" t="str">
        <f aca="false">IF(c_TPOT&gt;1,IF(((c_T2MX)-(c_T2MN))=0,(0)+QUOTIENT(((1000)-(0)),2),QUOTIENT((((F160)-(c_T2MN))*((1000)-(0))+IF(((1000)-(0))&gt;=0,1,-1)*QUOTIENT(((c_T2MX)-(c_T2MN)),2)),((c_T2MX)-(c_T2MN)))+(0)+IF(((1000)-(0))&gt;=0,IF(IF(o_WRAP=1,MOD(((c_T2MX)-(c_T2MN))*(((F160)-(c_T2MN))*((1000)-(0))+IF(((1000)-(0))&gt;=0,1,-1)*QUOTIENT(((c_T2MX)-(c_T2MN)),2))+2147483648,4294967296)-2147483648,((c_T2MX)-(c_T2MN))*(((F160)-(c_T2MN))*((1000)-(0))+IF(((1000)-(0))&gt;=0,1,-1)*QUOTIENT(((c_T2MX)-(c_T2MN)),2)))&lt;0,-1,0),IF(IF(o_WRAP=1,MOD(((c_T2MX)-(c_T2MN))*(((F160)-(c_T2MN))*((1000)-(0))+IF(((1000)-(0))&gt;=0,1,-1)*QUOTIENT(((c_T2MX)-(c_T2MN)),2))+2147483648,4294967296)-2147483648,((c_T2MX)-(c_T2MN))*(((F160)-(c_T2MN))*((1000)-(0))+IF(((1000)-(0))&gt;=0,1,-1)*QUOTIENT(((c_T2MX)-(c_T2MN)),2)))&gt;=0,1,0))),"")</f>
        <v/>
      </c>
      <c r="H160" s="7" t="str">
        <f aca="false">IF(E160&gt;1000+k_TOL,"T1 HIGH",IF(E160&lt;0-k_TOL,"T1 LOW",IF(c_TPOT&gt;1,IF(G160&gt;1000+k_TOL,"T2 HIGH",IF(G160&lt;0-k_TOL,"T2 LOW",IF(c_TTYPE=2,IF(ABS(1000-MAX(0,MIN(1000,E160))-MAX(0,MIN(1000,G160)))&gt;k_MAXERR,"MISMATCH","OK"),IF(OR(MAX(0,MIN(1000,E160))-k_MAXERR&gt;MAX(0,MIN(1000,G160)),MAX(0,MIN(1000,G160))-k_MAXERR&gt;MAX(0,MIN(1000,E160))),"MISMATCH","OK")))),"OK")))</f>
        <v>OK</v>
      </c>
      <c r="I160" s="7" t="n">
        <f aca="false">MAX(0,MIN(1000,D160))</f>
        <v>315</v>
      </c>
      <c r="J160" s="7" t="str">
        <f aca="false">IF(c_TPOT&gt;1,IF(c_TTYPE=2,1000-MAX(0,MIN(1000,G160)),MAX(0,MIN(1000,G160))),"")</f>
        <v/>
      </c>
      <c r="K160" s="7" t="n">
        <f aca="false">IF(c_TPOT&gt;1,QUOTIENT(I160+J160,2),I160)</f>
        <v>315</v>
      </c>
      <c r="L160" s="7" t="n">
        <f aca="false">IF(AND(K160=0,c_TCREEP&gt;0),10*c_TCREEP,IF(AND(K160&lt;=c_TRNGMIN,K160&gt;=c_TRNGMAX,c_TRNGMIN-c_TRNGMAX&lt;&gt;0),-10*c_TMINRN+QUOTIENT((c_TMAXRN-c_TMINRN)*(100-QUOTIENT((K160-c_TRNGMAX)*100,c_TRNGMIN-c_TRNGMAX)),-10),0))</f>
        <v>0</v>
      </c>
      <c r="M160" s="7" t="n">
        <f aca="false">IF(((c_TMAP1IN)-(c_TFWD))=0,(0)+QUOTIENT(((c_TMAP1OUT)-(0)),2),QUOTIENT((((K160)-(c_TFWD))*((c_TMAP1OUT)-(0))+IF(((c_TMAP1OUT)-(0))&gt;=0,1,-1)*QUOTIENT(((c_TMAP1IN)-(c_TFWD)),2)),((c_TMAP1IN)-(c_TFWD)))+(0)+IF(((c_TMAP1OUT)-(0))&gt;=0,IF(IF(o_WRAP=1,MOD(((c_TMAP1IN)-(c_TFWD))*(((K160)-(c_TFWD))*((c_TMAP1OUT)-(0))+IF(((c_TMAP1OUT)-(0))&gt;=0,1,-1)*QUOTIENT(((c_TMAP1IN)-(c_TFWD)),2))+2147483648,4294967296)-2147483648,((c_TMAP1IN)-(c_TFWD))*(((K160)-(c_TFWD))*((c_TMAP1OUT)-(0))+IF(((c_TMAP1OUT)-(0))&gt;=0,1,-1)*QUOTIENT(((c_TMAP1IN)-(c_TFWD)),2)))&lt;0,-1,0),IF(IF(o_WRAP=1,MOD(((c_TMAP1IN)-(c_TFWD))*(((K160)-(c_TFWD))*((c_TMAP1OUT)-(0))+IF(((c_TMAP1OUT)-(0))&gt;=0,1,-1)*QUOTIENT(((c_TMAP1IN)-(c_TFWD)),2))+2147483648,4294967296)-2147483648,((c_TMAP1IN)-(c_TFWD))*(((K160)-(c_TFWD))*((c_TMAP1OUT)-(0))+IF(((c_TMAP1OUT)-(0))&gt;=0,1,-1)*QUOTIENT(((c_TMAP1IN)-(c_TFWD)),2)))&gt;=0,1,0)))</f>
        <v>237</v>
      </c>
      <c r="N160" s="7" t="n">
        <f aca="false">IF(((c_TMAP2IN)-(c_TMAP1IN))=0,(c_TMAP1OUT)+QUOTIENT(((c_TMAP2OUT)-(c_TMAP1OUT)),2),QUOTIENT((((K160)-(c_TMAP1IN))*((c_TMAP2OUT)-(c_TMAP1OUT))+IF(((c_TMAP2OUT)-(c_TMAP1OUT))&gt;=0,1,-1)*QUOTIENT(((c_TMAP2IN)-(c_TMAP1IN)),2)),((c_TMAP2IN)-(c_TMAP1IN)))+(c_TMAP1OUT)+IF(((c_TMAP2OUT)-(c_TMAP1OUT))&gt;=0,IF(IF(o_WRAP=1,MOD(((c_TMAP2IN)-(c_TMAP1IN))*(((K160)-(c_TMAP1IN))*((c_TMAP2OUT)-(c_TMAP1OUT))+IF(((c_TMAP2OUT)-(c_TMAP1OUT))&gt;=0,1,-1)*QUOTIENT(((c_TMAP2IN)-(c_TMAP1IN)),2))+2147483648,4294967296)-2147483648,((c_TMAP2IN)-(c_TMAP1IN))*(((K160)-(c_TMAP1IN))*((c_TMAP2OUT)-(c_TMAP1OUT))+IF(((c_TMAP2OUT)-(c_TMAP1OUT))&gt;=0,1,-1)*QUOTIENT(((c_TMAP2IN)-(c_TMAP1IN)),2)))&lt;0,-1,0),IF(IF(o_WRAP=1,MOD(((c_TMAP2IN)-(c_TMAP1IN))*(((K160)-(c_TMAP1IN))*((c_TMAP2OUT)-(c_TMAP1OUT))+IF(((c_TMAP2OUT)-(c_TMAP1OUT))&gt;=0,1,-1)*QUOTIENT(((c_TMAP2IN)-(c_TMAP1IN)),2))+2147483648,4294967296)-2147483648,((c_TMAP2IN)-(c_TMAP1IN))*(((K160)-(c_TMAP1IN))*((c_TMAP2OUT)-(c_TMAP1OUT))+IF(((c_TMAP2OUT)-(c_TMAP1OUT))&gt;=0,1,-1)*QUOTIENT(((c_TMAP2IN)-(c_TMAP1IN)),2)))&gt;=0,1,0)))</f>
        <v>156</v>
      </c>
      <c r="O160" s="7" t="n">
        <f aca="false">IF(((c_TMAP3IN)-(c_TMAP2IN))=0,(c_TMAP2OUT)+QUOTIENT(((c_TMAP3OUT)-(c_TMAP2OUT)),2),QUOTIENT((((K160)-(c_TMAP2IN))*((c_TMAP3OUT)-(c_TMAP2OUT))+IF(((c_TMAP3OUT)-(c_TMAP2OUT))&gt;=0,1,-1)*QUOTIENT(((c_TMAP3IN)-(c_TMAP2IN)),2)),((c_TMAP3IN)-(c_TMAP2IN)))+(c_TMAP2OUT)+IF(((c_TMAP3OUT)-(c_TMAP2OUT))&gt;=0,IF(IF(o_WRAP=1,MOD(((c_TMAP3IN)-(c_TMAP2IN))*(((K160)-(c_TMAP2IN))*((c_TMAP3OUT)-(c_TMAP2OUT))+IF(((c_TMAP3OUT)-(c_TMAP2OUT))&gt;=0,1,-1)*QUOTIENT(((c_TMAP3IN)-(c_TMAP2IN)),2))+2147483648,4294967296)-2147483648,((c_TMAP3IN)-(c_TMAP2IN))*(((K160)-(c_TMAP2IN))*((c_TMAP3OUT)-(c_TMAP2OUT))+IF(((c_TMAP3OUT)-(c_TMAP2OUT))&gt;=0,1,-1)*QUOTIENT(((c_TMAP3IN)-(c_TMAP2IN)),2)))&lt;0,-1,0),IF(IF(o_WRAP=1,MOD(((c_TMAP3IN)-(c_TMAP2IN))*(((K160)-(c_TMAP2IN))*((c_TMAP3OUT)-(c_TMAP2OUT))+IF(((c_TMAP3OUT)-(c_TMAP2OUT))&gt;=0,1,-1)*QUOTIENT(((c_TMAP3IN)-(c_TMAP2IN)),2))+2147483648,4294967296)-2147483648,((c_TMAP3IN)-(c_TMAP2IN))*(((K160)-(c_TMAP2IN))*((c_TMAP3OUT)-(c_TMAP2OUT))+IF(((c_TMAP3OUT)-(c_TMAP2OUT))&gt;=0,1,-1)*QUOTIENT(((c_TMAP3IN)-(c_TMAP2IN)),2)))&gt;=0,1,0)))</f>
        <v>176</v>
      </c>
      <c r="P160" s="7" t="n">
        <f aca="false">IF(((1000)-(c_TMAP3IN))=0,(c_TMAP3OUT)+QUOTIENT(((1000)-(c_TMAP3OUT)),2),QUOTIENT((((K160)-(c_TMAP3IN))*((1000)-(c_TMAP3OUT))+IF(((1000)-(c_TMAP3OUT))&gt;=0,1,-1)*QUOTIENT(((1000)-(c_TMAP3IN)),2)),((1000)-(c_TMAP3IN)))+(c_TMAP3OUT)+IF(((1000)-(c_TMAP3OUT))&gt;=0,IF(IF(o_WRAP=1,MOD(((1000)-(c_TMAP3IN))*(((K160)-(c_TMAP3IN))*((1000)-(c_TMAP3OUT))+IF(((1000)-(c_TMAP3OUT))&gt;=0,1,-1)*QUOTIENT(((1000)-(c_TMAP3IN)),2))+2147483648,4294967296)-2147483648,((1000)-(c_TMAP3IN))*(((K160)-(c_TMAP3IN))*((1000)-(c_TMAP3OUT))+IF(((1000)-(c_TMAP3OUT))&gt;=0,1,-1)*QUOTIENT(((1000)-(c_TMAP3IN)),2)))&lt;0,-1,0),IF(IF(o_WRAP=1,MOD(((1000)-(c_TMAP3IN))*(((K160)-(c_TMAP3IN))*((1000)-(c_TMAP3OUT))+IF(((1000)-(c_TMAP3OUT))&gt;=0,1,-1)*QUOTIENT(((1000)-(c_TMAP3IN)),2))+2147483648,4294967296)-2147483648,((1000)-(c_TMAP3IN))*(((K160)-(c_TMAP3IN))*((1000)-(c_TMAP3OUT))+IF(((1000)-(c_TMAP3OUT))&gt;=0,1,-1)*QUOTIENT(((1000)-(c_TMAP3IN)),2)))&gt;=0,1,0)))</f>
        <v>157</v>
      </c>
      <c r="Q160" s="7" t="str">
        <f aca="false">IF(K160&gt;=c_TFWD,IF(AND(K160&gt;=c_TMAP3IN,c_TMAP3IN&lt;1000),"Seg4 map3-100%",IF(AND(K160&gt;=c_TMAP2IN,c_TMAP3IN&gt;c_TMAP2IN),"Seg3 map2-map3",IF(AND(K160&gt;=c_TMAP1IN,c_TMAP2IN&gt;c_TMAP1IN),"Seg2 map1-map2","Seg1 TFWD-map1"))),IF(AND(K160=0,c_TCREEP&gt;0),"Creep",IF(AND(K160&lt;=c_TRNGMIN,K160&gt;=c_TRNGMAX,c_TRNGMIN-c_TRNGMAX&lt;&gt;0),"Regen ramp","Coast (0)")))</f>
        <v>Seg3 map2-map3</v>
      </c>
      <c r="R160" s="7" t="n">
        <f aca="false">IF(K160&gt;=c_TFWD,IF(AND(K160&gt;=c_TMAP3IN,c_TMAP3IN&lt;1000),P160,IF(AND(K160&gt;=c_TMAP2IN,c_TMAP3IN&gt;c_TMAP2IN),O160,IF(AND(K160&gt;=c_TMAP1IN,c_TMAP2IN&gt;c_TMAP1IN),N160,M160))),L160)</f>
        <v>176</v>
      </c>
      <c r="S160" s="7" t="str">
        <f aca="false">IF(R160&lt;-1090,"TOO LOW",IF(R160&gt;1090,"TOO HIGH",""))</f>
        <v/>
      </c>
      <c r="T160" s="15" t="n">
        <f aca="false">IF(H160&lt;&gt;"OK",0,IF(S160&lt;&gt;"",0,IF(R160&gt;979,1000,R160)))</f>
        <v>176</v>
      </c>
      <c r="U160" s="7" t="n">
        <f aca="false">T160/10</f>
        <v>17.6</v>
      </c>
    </row>
    <row r="161" customFormat="false" ht="15" hidden="false" customHeight="false" outlineLevel="0" collapsed="false">
      <c r="A161" s="7" t="n">
        <v>156</v>
      </c>
      <c r="B161" s="7" t="n">
        <f aca="false">ROUND(o_SWSTART+A161*(o_SWEND-o_SWSTART)/400,0)</f>
        <v>1597</v>
      </c>
      <c r="C161" s="7" t="n">
        <f aca="false">QUOTIENT((B161-c_OFF1)*c_GAIN1,1024)</f>
        <v>1597</v>
      </c>
      <c r="D161" s="7" t="n">
        <f aca="false">IF(((c_T1MX)-(c_T1MN))=0,(0)+QUOTIENT(((1000)-(0)),2),QUOTIENT((((C161)-(c_T1MN))*((1000)-(0))+IF(((1000)-(0))&gt;=0,1,-1)*QUOTIENT(((c_T1MX)-(c_T1MN)),2)),((c_T1MX)-(c_T1MN)))+(0)+IF(((1000)-(0))&gt;=0,IF(IF(o_WRAP=1,MOD(((c_T1MX)-(c_T1MN))*(((C161)-(c_T1MN))*((1000)-(0))+IF(((1000)-(0))&gt;=0,1,-1)*QUOTIENT(((c_T1MX)-(c_T1MN)),2))+2147483648,4294967296)-2147483648,((c_T1MX)-(c_T1MN))*(((C161)-(c_T1MN))*((1000)-(0))+IF(((1000)-(0))&gt;=0,1,-1)*QUOTIENT(((c_T1MX)-(c_T1MN)),2)))&lt;0,-1,0),IF(IF(o_WRAP=1,MOD(((c_T1MX)-(c_T1MN))*(((C161)-(c_T1MN))*((1000)-(0))+IF(((1000)-(0))&gt;=0,1,-1)*QUOTIENT(((c_T1MX)-(c_T1MN)),2))+2147483648,4294967296)-2147483648,((c_T1MX)-(c_T1MN))*(((C161)-(c_T1MN))*((1000)-(0))+IF(((1000)-(0))&gt;=0,1,-1)*QUOTIENT(((c_T1MX)-(c_T1MN)),2)))&gt;=0,1,0)))</f>
        <v>318</v>
      </c>
      <c r="E161" s="7" t="n">
        <f aca="false">IF(AND(c_TPOT=1,c_TTYPE=2),1000-D161,D161)</f>
        <v>318</v>
      </c>
      <c r="F161" s="7" t="str">
        <f aca="false">IF(c_TPOT&gt;1,ROUND(IF(c_TTYPE=2,c_T2MX-IF(c_T1MX=c_T1MN,0,(C161-c_T1MN)/(c_T1MX-c_T1MN))*(c_T2MX-c_T2MN),c_T2MN+IF(c_T1MX=c_T1MN,0,(C161-c_T1MN)/(c_T1MX-c_T1MN))*(c_T2MX-c_T2MN))+o_MISMATCH,0),"")</f>
        <v/>
      </c>
      <c r="G161" s="7" t="str">
        <f aca="false">IF(c_TPOT&gt;1,IF(((c_T2MX)-(c_T2MN))=0,(0)+QUOTIENT(((1000)-(0)),2),QUOTIENT((((F161)-(c_T2MN))*((1000)-(0))+IF(((1000)-(0))&gt;=0,1,-1)*QUOTIENT(((c_T2MX)-(c_T2MN)),2)),((c_T2MX)-(c_T2MN)))+(0)+IF(((1000)-(0))&gt;=0,IF(IF(o_WRAP=1,MOD(((c_T2MX)-(c_T2MN))*(((F161)-(c_T2MN))*((1000)-(0))+IF(((1000)-(0))&gt;=0,1,-1)*QUOTIENT(((c_T2MX)-(c_T2MN)),2))+2147483648,4294967296)-2147483648,((c_T2MX)-(c_T2MN))*(((F161)-(c_T2MN))*((1000)-(0))+IF(((1000)-(0))&gt;=0,1,-1)*QUOTIENT(((c_T2MX)-(c_T2MN)),2)))&lt;0,-1,0),IF(IF(o_WRAP=1,MOD(((c_T2MX)-(c_T2MN))*(((F161)-(c_T2MN))*((1000)-(0))+IF(((1000)-(0))&gt;=0,1,-1)*QUOTIENT(((c_T2MX)-(c_T2MN)),2))+2147483648,4294967296)-2147483648,((c_T2MX)-(c_T2MN))*(((F161)-(c_T2MN))*((1000)-(0))+IF(((1000)-(0))&gt;=0,1,-1)*QUOTIENT(((c_T2MX)-(c_T2MN)),2)))&gt;=0,1,0))),"")</f>
        <v/>
      </c>
      <c r="H161" s="7" t="str">
        <f aca="false">IF(E161&gt;1000+k_TOL,"T1 HIGH",IF(E161&lt;0-k_TOL,"T1 LOW",IF(c_TPOT&gt;1,IF(G161&gt;1000+k_TOL,"T2 HIGH",IF(G161&lt;0-k_TOL,"T2 LOW",IF(c_TTYPE=2,IF(ABS(1000-MAX(0,MIN(1000,E161))-MAX(0,MIN(1000,G161)))&gt;k_MAXERR,"MISMATCH","OK"),IF(OR(MAX(0,MIN(1000,E161))-k_MAXERR&gt;MAX(0,MIN(1000,G161)),MAX(0,MIN(1000,G161))-k_MAXERR&gt;MAX(0,MIN(1000,E161))),"MISMATCH","OK")))),"OK")))</f>
        <v>OK</v>
      </c>
      <c r="I161" s="7" t="n">
        <f aca="false">MAX(0,MIN(1000,D161))</f>
        <v>318</v>
      </c>
      <c r="J161" s="7" t="str">
        <f aca="false">IF(c_TPOT&gt;1,IF(c_TTYPE=2,1000-MAX(0,MIN(1000,G161)),MAX(0,MIN(1000,G161))),"")</f>
        <v/>
      </c>
      <c r="K161" s="7" t="n">
        <f aca="false">IF(c_TPOT&gt;1,QUOTIENT(I161+J161,2),I161)</f>
        <v>318</v>
      </c>
      <c r="L161" s="7" t="n">
        <f aca="false">IF(AND(K161=0,c_TCREEP&gt;0),10*c_TCREEP,IF(AND(K161&lt;=c_TRNGMIN,K161&gt;=c_TRNGMAX,c_TRNGMIN-c_TRNGMAX&lt;&gt;0),-10*c_TMINRN+QUOTIENT((c_TMAXRN-c_TMINRN)*(100-QUOTIENT((K161-c_TRNGMAX)*100,c_TRNGMIN-c_TRNGMAX)),-10),0))</f>
        <v>0</v>
      </c>
      <c r="M161" s="7" t="n">
        <f aca="false">IF(((c_TMAP1IN)-(c_TFWD))=0,(0)+QUOTIENT(((c_TMAP1OUT)-(0)),2),QUOTIENT((((K161)-(c_TFWD))*((c_TMAP1OUT)-(0))+IF(((c_TMAP1OUT)-(0))&gt;=0,1,-1)*QUOTIENT(((c_TMAP1IN)-(c_TFWD)),2)),((c_TMAP1IN)-(c_TFWD)))+(0)+IF(((c_TMAP1OUT)-(0))&gt;=0,IF(IF(o_WRAP=1,MOD(((c_TMAP1IN)-(c_TFWD))*(((K161)-(c_TFWD))*((c_TMAP1OUT)-(0))+IF(((c_TMAP1OUT)-(0))&gt;=0,1,-1)*QUOTIENT(((c_TMAP1IN)-(c_TFWD)),2))+2147483648,4294967296)-2147483648,((c_TMAP1IN)-(c_TFWD))*(((K161)-(c_TFWD))*((c_TMAP1OUT)-(0))+IF(((c_TMAP1OUT)-(0))&gt;=0,1,-1)*QUOTIENT(((c_TMAP1IN)-(c_TFWD)),2)))&lt;0,-1,0),IF(IF(o_WRAP=1,MOD(((c_TMAP1IN)-(c_TFWD))*(((K161)-(c_TFWD))*((c_TMAP1OUT)-(0))+IF(((c_TMAP1OUT)-(0))&gt;=0,1,-1)*QUOTIENT(((c_TMAP1IN)-(c_TFWD)),2))+2147483648,4294967296)-2147483648,((c_TMAP1IN)-(c_TFWD))*(((K161)-(c_TFWD))*((c_TMAP1OUT)-(0))+IF(((c_TMAP1OUT)-(0))&gt;=0,1,-1)*QUOTIENT(((c_TMAP1IN)-(c_TFWD)),2)))&gt;=0,1,0)))</f>
        <v>240</v>
      </c>
      <c r="N161" s="7" t="n">
        <f aca="false">IF(((c_TMAP2IN)-(c_TMAP1IN))=0,(c_TMAP1OUT)+QUOTIENT(((c_TMAP2OUT)-(c_TMAP1OUT)),2),QUOTIENT((((K161)-(c_TMAP1IN))*((c_TMAP2OUT)-(c_TMAP1OUT))+IF(((c_TMAP2OUT)-(c_TMAP1OUT))&gt;=0,1,-1)*QUOTIENT(((c_TMAP2IN)-(c_TMAP1IN)),2)),((c_TMAP2IN)-(c_TMAP1IN)))+(c_TMAP1OUT)+IF(((c_TMAP2OUT)-(c_TMAP1OUT))&gt;=0,IF(IF(o_WRAP=1,MOD(((c_TMAP2IN)-(c_TMAP1IN))*(((K161)-(c_TMAP1IN))*((c_TMAP2OUT)-(c_TMAP1OUT))+IF(((c_TMAP2OUT)-(c_TMAP1OUT))&gt;=0,1,-1)*QUOTIENT(((c_TMAP2IN)-(c_TMAP1IN)),2))+2147483648,4294967296)-2147483648,((c_TMAP2IN)-(c_TMAP1IN))*(((K161)-(c_TMAP1IN))*((c_TMAP2OUT)-(c_TMAP1OUT))+IF(((c_TMAP2OUT)-(c_TMAP1OUT))&gt;=0,1,-1)*QUOTIENT(((c_TMAP2IN)-(c_TMAP1IN)),2)))&lt;0,-1,0),IF(IF(o_WRAP=1,MOD(((c_TMAP2IN)-(c_TMAP1IN))*(((K161)-(c_TMAP1IN))*((c_TMAP2OUT)-(c_TMAP1OUT))+IF(((c_TMAP2OUT)-(c_TMAP1OUT))&gt;=0,1,-1)*QUOTIENT(((c_TMAP2IN)-(c_TMAP1IN)),2))+2147483648,4294967296)-2147483648,((c_TMAP2IN)-(c_TMAP1IN))*(((K161)-(c_TMAP1IN))*((c_TMAP2OUT)-(c_TMAP1OUT))+IF(((c_TMAP2OUT)-(c_TMAP1OUT))&gt;=0,1,-1)*QUOTIENT(((c_TMAP2IN)-(c_TMAP1IN)),2)))&gt;=0,1,0)))</f>
        <v>157</v>
      </c>
      <c r="O161" s="7" t="n">
        <f aca="false">IF(((c_TMAP3IN)-(c_TMAP2IN))=0,(c_TMAP2OUT)+QUOTIENT(((c_TMAP3OUT)-(c_TMAP2OUT)),2),QUOTIENT((((K161)-(c_TMAP2IN))*((c_TMAP3OUT)-(c_TMAP2OUT))+IF(((c_TMAP3OUT)-(c_TMAP2OUT))&gt;=0,1,-1)*QUOTIENT(((c_TMAP3IN)-(c_TMAP2IN)),2)),((c_TMAP3IN)-(c_TMAP2IN)))+(c_TMAP2OUT)+IF(((c_TMAP3OUT)-(c_TMAP2OUT))&gt;=0,IF(IF(o_WRAP=1,MOD(((c_TMAP3IN)-(c_TMAP2IN))*(((K161)-(c_TMAP2IN))*((c_TMAP3OUT)-(c_TMAP2OUT))+IF(((c_TMAP3OUT)-(c_TMAP2OUT))&gt;=0,1,-1)*QUOTIENT(((c_TMAP3IN)-(c_TMAP2IN)),2))+2147483648,4294967296)-2147483648,((c_TMAP3IN)-(c_TMAP2IN))*(((K161)-(c_TMAP2IN))*((c_TMAP3OUT)-(c_TMAP2OUT))+IF(((c_TMAP3OUT)-(c_TMAP2OUT))&gt;=0,1,-1)*QUOTIENT(((c_TMAP3IN)-(c_TMAP2IN)),2)))&lt;0,-1,0),IF(IF(o_WRAP=1,MOD(((c_TMAP3IN)-(c_TMAP2IN))*(((K161)-(c_TMAP2IN))*((c_TMAP3OUT)-(c_TMAP2OUT))+IF(((c_TMAP3OUT)-(c_TMAP2OUT))&gt;=0,1,-1)*QUOTIENT(((c_TMAP3IN)-(c_TMAP2IN)),2))+2147483648,4294967296)-2147483648,((c_TMAP3IN)-(c_TMAP2IN))*(((K161)-(c_TMAP2IN))*((c_TMAP3OUT)-(c_TMAP2OUT))+IF(((c_TMAP3OUT)-(c_TMAP2OUT))&gt;=0,1,-1)*QUOTIENT(((c_TMAP3IN)-(c_TMAP2IN)),2)))&gt;=0,1,0)))</f>
        <v>178</v>
      </c>
      <c r="P161" s="7" t="n">
        <f aca="false">IF(((1000)-(c_TMAP3IN))=0,(c_TMAP3OUT)+QUOTIENT(((1000)-(c_TMAP3OUT)),2),QUOTIENT((((K161)-(c_TMAP3IN))*((1000)-(c_TMAP3OUT))+IF(((1000)-(c_TMAP3OUT))&gt;=0,1,-1)*QUOTIENT(((1000)-(c_TMAP3IN)),2)),((1000)-(c_TMAP3IN)))+(c_TMAP3OUT)+IF(((1000)-(c_TMAP3OUT))&gt;=0,IF(IF(o_WRAP=1,MOD(((1000)-(c_TMAP3IN))*(((K161)-(c_TMAP3IN))*((1000)-(c_TMAP3OUT))+IF(((1000)-(c_TMAP3OUT))&gt;=0,1,-1)*QUOTIENT(((1000)-(c_TMAP3IN)),2))+2147483648,4294967296)-2147483648,((1000)-(c_TMAP3IN))*(((K161)-(c_TMAP3IN))*((1000)-(c_TMAP3OUT))+IF(((1000)-(c_TMAP3OUT))&gt;=0,1,-1)*QUOTIENT(((1000)-(c_TMAP3IN)),2)))&lt;0,-1,0),IF(IF(o_WRAP=1,MOD(((1000)-(c_TMAP3IN))*(((K161)-(c_TMAP3IN))*((1000)-(c_TMAP3OUT))+IF(((1000)-(c_TMAP3OUT))&gt;=0,1,-1)*QUOTIENT(((1000)-(c_TMAP3IN)),2))+2147483648,4294967296)-2147483648,((1000)-(c_TMAP3IN))*(((K161)-(c_TMAP3IN))*((1000)-(c_TMAP3OUT))+IF(((1000)-(c_TMAP3OUT))&gt;=0,1,-1)*QUOTIENT(((1000)-(c_TMAP3IN)),2)))&gt;=0,1,0)))</f>
        <v>161</v>
      </c>
      <c r="Q161" s="7" t="str">
        <f aca="false">IF(K161&gt;=c_TFWD,IF(AND(K161&gt;=c_TMAP3IN,c_TMAP3IN&lt;1000),"Seg4 map3-100%",IF(AND(K161&gt;=c_TMAP2IN,c_TMAP3IN&gt;c_TMAP2IN),"Seg3 map2-map3",IF(AND(K161&gt;=c_TMAP1IN,c_TMAP2IN&gt;c_TMAP1IN),"Seg2 map1-map2","Seg1 TFWD-map1"))),IF(AND(K161=0,c_TCREEP&gt;0),"Creep",IF(AND(K161&lt;=c_TRNGMIN,K161&gt;=c_TRNGMAX,c_TRNGMIN-c_TRNGMAX&lt;&gt;0),"Regen ramp","Coast (0)")))</f>
        <v>Seg3 map2-map3</v>
      </c>
      <c r="R161" s="7" t="n">
        <f aca="false">IF(K161&gt;=c_TFWD,IF(AND(K161&gt;=c_TMAP3IN,c_TMAP3IN&lt;1000),P161,IF(AND(K161&gt;=c_TMAP2IN,c_TMAP3IN&gt;c_TMAP2IN),O161,IF(AND(K161&gt;=c_TMAP1IN,c_TMAP2IN&gt;c_TMAP1IN),N161,M161))),L161)</f>
        <v>178</v>
      </c>
      <c r="S161" s="7" t="str">
        <f aca="false">IF(R161&lt;-1090,"TOO LOW",IF(R161&gt;1090,"TOO HIGH",""))</f>
        <v/>
      </c>
      <c r="T161" s="15" t="n">
        <f aca="false">IF(H161&lt;&gt;"OK",0,IF(S161&lt;&gt;"",0,IF(R161&gt;979,1000,R161)))</f>
        <v>178</v>
      </c>
      <c r="U161" s="7" t="n">
        <f aca="false">T161/10</f>
        <v>17.8</v>
      </c>
    </row>
    <row r="162" customFormat="false" ht="15" hidden="false" customHeight="false" outlineLevel="0" collapsed="false">
      <c r="A162" s="7" t="n">
        <v>157</v>
      </c>
      <c r="B162" s="7" t="n">
        <f aca="false">ROUND(o_SWSTART+A162*(o_SWEND-o_SWSTART)/400,0)</f>
        <v>1607</v>
      </c>
      <c r="C162" s="7" t="n">
        <f aca="false">QUOTIENT((B162-c_OFF1)*c_GAIN1,1024)</f>
        <v>1607</v>
      </c>
      <c r="D162" s="7" t="n">
        <f aca="false">IF(((c_T1MX)-(c_T1MN))=0,(0)+QUOTIENT(((1000)-(0)),2),QUOTIENT((((C162)-(c_T1MN))*((1000)-(0))+IF(((1000)-(0))&gt;=0,1,-1)*QUOTIENT(((c_T1MX)-(c_T1MN)),2)),((c_T1MX)-(c_T1MN)))+(0)+IF(((1000)-(0))&gt;=0,IF(IF(o_WRAP=1,MOD(((c_T1MX)-(c_T1MN))*(((C162)-(c_T1MN))*((1000)-(0))+IF(((1000)-(0))&gt;=0,1,-1)*QUOTIENT(((c_T1MX)-(c_T1MN)),2))+2147483648,4294967296)-2147483648,((c_T1MX)-(c_T1MN))*(((C162)-(c_T1MN))*((1000)-(0))+IF(((1000)-(0))&gt;=0,1,-1)*QUOTIENT(((c_T1MX)-(c_T1MN)),2)))&lt;0,-1,0),IF(IF(o_WRAP=1,MOD(((c_T1MX)-(c_T1MN))*(((C162)-(c_T1MN))*((1000)-(0))+IF(((1000)-(0))&gt;=0,1,-1)*QUOTIENT(((c_T1MX)-(c_T1MN)),2))+2147483648,4294967296)-2147483648,((c_T1MX)-(c_T1MN))*(((C162)-(c_T1MN))*((1000)-(0))+IF(((1000)-(0))&gt;=0,1,-1)*QUOTIENT(((c_T1MX)-(c_T1MN)),2)))&gt;=0,1,0)))</f>
        <v>322</v>
      </c>
      <c r="E162" s="7" t="n">
        <f aca="false">IF(AND(c_TPOT=1,c_TTYPE=2),1000-D162,D162)</f>
        <v>322</v>
      </c>
      <c r="F162" s="7" t="str">
        <f aca="false">IF(c_TPOT&gt;1,ROUND(IF(c_TTYPE=2,c_T2MX-IF(c_T1MX=c_T1MN,0,(C162-c_T1MN)/(c_T1MX-c_T1MN))*(c_T2MX-c_T2MN),c_T2MN+IF(c_T1MX=c_T1MN,0,(C162-c_T1MN)/(c_T1MX-c_T1MN))*(c_T2MX-c_T2MN))+o_MISMATCH,0),"")</f>
        <v/>
      </c>
      <c r="G162" s="7" t="str">
        <f aca="false">IF(c_TPOT&gt;1,IF(((c_T2MX)-(c_T2MN))=0,(0)+QUOTIENT(((1000)-(0)),2),QUOTIENT((((F162)-(c_T2MN))*((1000)-(0))+IF(((1000)-(0))&gt;=0,1,-1)*QUOTIENT(((c_T2MX)-(c_T2MN)),2)),((c_T2MX)-(c_T2MN)))+(0)+IF(((1000)-(0))&gt;=0,IF(IF(o_WRAP=1,MOD(((c_T2MX)-(c_T2MN))*(((F162)-(c_T2MN))*((1000)-(0))+IF(((1000)-(0))&gt;=0,1,-1)*QUOTIENT(((c_T2MX)-(c_T2MN)),2))+2147483648,4294967296)-2147483648,((c_T2MX)-(c_T2MN))*(((F162)-(c_T2MN))*((1000)-(0))+IF(((1000)-(0))&gt;=0,1,-1)*QUOTIENT(((c_T2MX)-(c_T2MN)),2)))&lt;0,-1,0),IF(IF(o_WRAP=1,MOD(((c_T2MX)-(c_T2MN))*(((F162)-(c_T2MN))*((1000)-(0))+IF(((1000)-(0))&gt;=0,1,-1)*QUOTIENT(((c_T2MX)-(c_T2MN)),2))+2147483648,4294967296)-2147483648,((c_T2MX)-(c_T2MN))*(((F162)-(c_T2MN))*((1000)-(0))+IF(((1000)-(0))&gt;=0,1,-1)*QUOTIENT(((c_T2MX)-(c_T2MN)),2)))&gt;=0,1,0))),"")</f>
        <v/>
      </c>
      <c r="H162" s="7" t="str">
        <f aca="false">IF(E162&gt;1000+k_TOL,"T1 HIGH",IF(E162&lt;0-k_TOL,"T1 LOW",IF(c_TPOT&gt;1,IF(G162&gt;1000+k_TOL,"T2 HIGH",IF(G162&lt;0-k_TOL,"T2 LOW",IF(c_TTYPE=2,IF(ABS(1000-MAX(0,MIN(1000,E162))-MAX(0,MIN(1000,G162)))&gt;k_MAXERR,"MISMATCH","OK"),IF(OR(MAX(0,MIN(1000,E162))-k_MAXERR&gt;MAX(0,MIN(1000,G162)),MAX(0,MIN(1000,G162))-k_MAXERR&gt;MAX(0,MIN(1000,E162))),"MISMATCH","OK")))),"OK")))</f>
        <v>OK</v>
      </c>
      <c r="I162" s="7" t="n">
        <f aca="false">MAX(0,MIN(1000,D162))</f>
        <v>322</v>
      </c>
      <c r="J162" s="7" t="str">
        <f aca="false">IF(c_TPOT&gt;1,IF(c_TTYPE=2,1000-MAX(0,MIN(1000,G162)),MAX(0,MIN(1000,G162))),"")</f>
        <v/>
      </c>
      <c r="K162" s="7" t="n">
        <f aca="false">IF(c_TPOT&gt;1,QUOTIENT(I162+J162,2),I162)</f>
        <v>322</v>
      </c>
      <c r="L162" s="7" t="n">
        <f aca="false">IF(AND(K162=0,c_TCREEP&gt;0),10*c_TCREEP,IF(AND(K162&lt;=c_TRNGMIN,K162&gt;=c_TRNGMAX,c_TRNGMIN-c_TRNGMAX&lt;&gt;0),-10*c_TMINRN+QUOTIENT((c_TMAXRN-c_TMINRN)*(100-QUOTIENT((K162-c_TRNGMAX)*100,c_TRNGMIN-c_TRNGMAX)),-10),0))</f>
        <v>0</v>
      </c>
      <c r="M162" s="7" t="n">
        <f aca="false">IF(((c_TMAP1IN)-(c_TFWD))=0,(0)+QUOTIENT(((c_TMAP1OUT)-(0)),2),QUOTIENT((((K162)-(c_TFWD))*((c_TMAP1OUT)-(0))+IF(((c_TMAP1OUT)-(0))&gt;=0,1,-1)*QUOTIENT(((c_TMAP1IN)-(c_TFWD)),2)),((c_TMAP1IN)-(c_TFWD)))+(0)+IF(((c_TMAP1OUT)-(0))&gt;=0,IF(IF(o_WRAP=1,MOD(((c_TMAP1IN)-(c_TFWD))*(((K162)-(c_TFWD))*((c_TMAP1OUT)-(0))+IF(((c_TMAP1OUT)-(0))&gt;=0,1,-1)*QUOTIENT(((c_TMAP1IN)-(c_TFWD)),2))+2147483648,4294967296)-2147483648,((c_TMAP1IN)-(c_TFWD))*(((K162)-(c_TFWD))*((c_TMAP1OUT)-(0))+IF(((c_TMAP1OUT)-(0))&gt;=0,1,-1)*QUOTIENT(((c_TMAP1IN)-(c_TFWD)),2)))&lt;0,-1,0),IF(IF(o_WRAP=1,MOD(((c_TMAP1IN)-(c_TFWD))*(((K162)-(c_TFWD))*((c_TMAP1OUT)-(0))+IF(((c_TMAP1OUT)-(0))&gt;=0,1,-1)*QUOTIENT(((c_TMAP1IN)-(c_TFWD)),2))+2147483648,4294967296)-2147483648,((c_TMAP1IN)-(c_TFWD))*(((K162)-(c_TFWD))*((c_TMAP1OUT)-(0))+IF(((c_TMAP1OUT)-(0))&gt;=0,1,-1)*QUOTIENT(((c_TMAP1IN)-(c_TFWD)),2)))&gt;=0,1,0)))</f>
        <v>243</v>
      </c>
      <c r="N162" s="7" t="n">
        <f aca="false">IF(((c_TMAP2IN)-(c_TMAP1IN))=0,(c_TMAP1OUT)+QUOTIENT(((c_TMAP2OUT)-(c_TMAP1OUT)),2),QUOTIENT((((K162)-(c_TMAP1IN))*((c_TMAP2OUT)-(c_TMAP1OUT))+IF(((c_TMAP2OUT)-(c_TMAP1OUT))&gt;=0,1,-1)*QUOTIENT(((c_TMAP2IN)-(c_TMAP1IN)),2)),((c_TMAP2IN)-(c_TMAP1IN)))+(c_TMAP1OUT)+IF(((c_TMAP2OUT)-(c_TMAP1OUT))&gt;=0,IF(IF(o_WRAP=1,MOD(((c_TMAP2IN)-(c_TMAP1IN))*(((K162)-(c_TMAP1IN))*((c_TMAP2OUT)-(c_TMAP1OUT))+IF(((c_TMAP2OUT)-(c_TMAP1OUT))&gt;=0,1,-1)*QUOTIENT(((c_TMAP2IN)-(c_TMAP1IN)),2))+2147483648,4294967296)-2147483648,((c_TMAP2IN)-(c_TMAP1IN))*(((K162)-(c_TMAP1IN))*((c_TMAP2OUT)-(c_TMAP1OUT))+IF(((c_TMAP2OUT)-(c_TMAP1OUT))&gt;=0,1,-1)*QUOTIENT(((c_TMAP2IN)-(c_TMAP1IN)),2)))&lt;0,-1,0),IF(IF(o_WRAP=1,MOD(((c_TMAP2IN)-(c_TMAP1IN))*(((K162)-(c_TMAP1IN))*((c_TMAP2OUT)-(c_TMAP1OUT))+IF(((c_TMAP2OUT)-(c_TMAP1OUT))&gt;=0,1,-1)*QUOTIENT(((c_TMAP2IN)-(c_TMAP1IN)),2))+2147483648,4294967296)-2147483648,((c_TMAP2IN)-(c_TMAP1IN))*(((K162)-(c_TMAP1IN))*((c_TMAP2OUT)-(c_TMAP1OUT))+IF(((c_TMAP2OUT)-(c_TMAP1OUT))&gt;=0,1,-1)*QUOTIENT(((c_TMAP2IN)-(c_TMAP1IN)),2)))&gt;=0,1,0)))</f>
        <v>159</v>
      </c>
      <c r="O162" s="7" t="n">
        <f aca="false">IF(((c_TMAP3IN)-(c_TMAP2IN))=0,(c_TMAP2OUT)+QUOTIENT(((c_TMAP3OUT)-(c_TMAP2OUT)),2),QUOTIENT((((K162)-(c_TMAP2IN))*((c_TMAP3OUT)-(c_TMAP2OUT))+IF(((c_TMAP3OUT)-(c_TMAP2OUT))&gt;=0,1,-1)*QUOTIENT(((c_TMAP3IN)-(c_TMAP2IN)),2)),((c_TMAP3IN)-(c_TMAP2IN)))+(c_TMAP2OUT)+IF(((c_TMAP3OUT)-(c_TMAP2OUT))&gt;=0,IF(IF(o_WRAP=1,MOD(((c_TMAP3IN)-(c_TMAP2IN))*(((K162)-(c_TMAP2IN))*((c_TMAP3OUT)-(c_TMAP2OUT))+IF(((c_TMAP3OUT)-(c_TMAP2OUT))&gt;=0,1,-1)*QUOTIENT(((c_TMAP3IN)-(c_TMAP2IN)),2))+2147483648,4294967296)-2147483648,((c_TMAP3IN)-(c_TMAP2IN))*(((K162)-(c_TMAP2IN))*((c_TMAP3OUT)-(c_TMAP2OUT))+IF(((c_TMAP3OUT)-(c_TMAP2OUT))&gt;=0,1,-1)*QUOTIENT(((c_TMAP3IN)-(c_TMAP2IN)),2)))&lt;0,-1,0),IF(IF(o_WRAP=1,MOD(((c_TMAP3IN)-(c_TMAP2IN))*(((K162)-(c_TMAP2IN))*((c_TMAP3OUT)-(c_TMAP2OUT))+IF(((c_TMAP3OUT)-(c_TMAP2OUT))&gt;=0,1,-1)*QUOTIENT(((c_TMAP3IN)-(c_TMAP2IN)),2))+2147483648,4294967296)-2147483648,((c_TMAP3IN)-(c_TMAP2IN))*(((K162)-(c_TMAP2IN))*((c_TMAP3OUT)-(c_TMAP2OUT))+IF(((c_TMAP3OUT)-(c_TMAP2OUT))&gt;=0,1,-1)*QUOTIENT(((c_TMAP3IN)-(c_TMAP2IN)),2)))&gt;=0,1,0)))</f>
        <v>180</v>
      </c>
      <c r="P162" s="7" t="n">
        <f aca="false">IF(((1000)-(c_TMAP3IN))=0,(c_TMAP3OUT)+QUOTIENT(((1000)-(c_TMAP3OUT)),2),QUOTIENT((((K162)-(c_TMAP3IN))*((1000)-(c_TMAP3OUT))+IF(((1000)-(c_TMAP3OUT))&gt;=0,1,-1)*QUOTIENT(((1000)-(c_TMAP3IN)),2)),((1000)-(c_TMAP3IN)))+(c_TMAP3OUT)+IF(((1000)-(c_TMAP3OUT))&gt;=0,IF(IF(o_WRAP=1,MOD(((1000)-(c_TMAP3IN))*(((K162)-(c_TMAP3IN))*((1000)-(c_TMAP3OUT))+IF(((1000)-(c_TMAP3OUT))&gt;=0,1,-1)*QUOTIENT(((1000)-(c_TMAP3IN)),2))+2147483648,4294967296)-2147483648,((1000)-(c_TMAP3IN))*(((K162)-(c_TMAP3IN))*((1000)-(c_TMAP3OUT))+IF(((1000)-(c_TMAP3OUT))&gt;=0,1,-1)*QUOTIENT(((1000)-(c_TMAP3IN)),2)))&lt;0,-1,0),IF(IF(o_WRAP=1,MOD(((1000)-(c_TMAP3IN))*(((K162)-(c_TMAP3IN))*((1000)-(c_TMAP3OUT))+IF(((1000)-(c_TMAP3OUT))&gt;=0,1,-1)*QUOTIENT(((1000)-(c_TMAP3IN)),2))+2147483648,4294967296)-2147483648,((1000)-(c_TMAP3IN))*(((K162)-(c_TMAP3IN))*((1000)-(c_TMAP3OUT))+IF(((1000)-(c_TMAP3OUT))&gt;=0,1,-1)*QUOTIENT(((1000)-(c_TMAP3IN)),2)))&gt;=0,1,0)))</f>
        <v>166</v>
      </c>
      <c r="Q162" s="7" t="str">
        <f aca="false">IF(K162&gt;=c_TFWD,IF(AND(K162&gt;=c_TMAP3IN,c_TMAP3IN&lt;1000),"Seg4 map3-100%",IF(AND(K162&gt;=c_TMAP2IN,c_TMAP3IN&gt;c_TMAP2IN),"Seg3 map2-map3",IF(AND(K162&gt;=c_TMAP1IN,c_TMAP2IN&gt;c_TMAP1IN),"Seg2 map1-map2","Seg1 TFWD-map1"))),IF(AND(K162=0,c_TCREEP&gt;0),"Creep",IF(AND(K162&lt;=c_TRNGMIN,K162&gt;=c_TRNGMAX,c_TRNGMIN-c_TRNGMAX&lt;&gt;0),"Regen ramp","Coast (0)")))</f>
        <v>Seg3 map2-map3</v>
      </c>
      <c r="R162" s="7" t="n">
        <f aca="false">IF(K162&gt;=c_TFWD,IF(AND(K162&gt;=c_TMAP3IN,c_TMAP3IN&lt;1000),P162,IF(AND(K162&gt;=c_TMAP2IN,c_TMAP3IN&gt;c_TMAP2IN),O162,IF(AND(K162&gt;=c_TMAP1IN,c_TMAP2IN&gt;c_TMAP1IN),N162,M162))),L162)</f>
        <v>180</v>
      </c>
      <c r="S162" s="7" t="str">
        <f aca="false">IF(R162&lt;-1090,"TOO LOW",IF(R162&gt;1090,"TOO HIGH",""))</f>
        <v/>
      </c>
      <c r="T162" s="15" t="n">
        <f aca="false">IF(H162&lt;&gt;"OK",0,IF(S162&lt;&gt;"",0,IF(R162&gt;979,1000,R162)))</f>
        <v>180</v>
      </c>
      <c r="U162" s="7" t="n">
        <f aca="false">T162/10</f>
        <v>18</v>
      </c>
    </row>
    <row r="163" customFormat="false" ht="15" hidden="false" customHeight="false" outlineLevel="0" collapsed="false">
      <c r="A163" s="7" t="n">
        <v>158</v>
      </c>
      <c r="B163" s="7" t="n">
        <f aca="false">ROUND(o_SWSTART+A163*(o_SWEND-o_SWSTART)/400,0)</f>
        <v>1618</v>
      </c>
      <c r="C163" s="7" t="n">
        <f aca="false">QUOTIENT((B163-c_OFF1)*c_GAIN1,1024)</f>
        <v>1618</v>
      </c>
      <c r="D163" s="7" t="n">
        <f aca="false">IF(((c_T1MX)-(c_T1MN))=0,(0)+QUOTIENT(((1000)-(0)),2),QUOTIENT((((C163)-(c_T1MN))*((1000)-(0))+IF(((1000)-(0))&gt;=0,1,-1)*QUOTIENT(((c_T1MX)-(c_T1MN)),2)),((c_T1MX)-(c_T1MN)))+(0)+IF(((1000)-(0))&gt;=0,IF(IF(o_WRAP=1,MOD(((c_T1MX)-(c_T1MN))*(((C163)-(c_T1MN))*((1000)-(0))+IF(((1000)-(0))&gt;=0,1,-1)*QUOTIENT(((c_T1MX)-(c_T1MN)),2))+2147483648,4294967296)-2147483648,((c_T1MX)-(c_T1MN))*(((C163)-(c_T1MN))*((1000)-(0))+IF(((1000)-(0))&gt;=0,1,-1)*QUOTIENT(((c_T1MX)-(c_T1MN)),2)))&lt;0,-1,0),IF(IF(o_WRAP=1,MOD(((c_T1MX)-(c_T1MN))*(((C163)-(c_T1MN))*((1000)-(0))+IF(((1000)-(0))&gt;=0,1,-1)*QUOTIENT(((c_T1MX)-(c_T1MN)),2))+2147483648,4294967296)-2147483648,((c_T1MX)-(c_T1MN))*(((C163)-(c_T1MN))*((1000)-(0))+IF(((1000)-(0))&gt;=0,1,-1)*QUOTIENT(((c_T1MX)-(c_T1MN)),2)))&gt;=0,1,0)))</f>
        <v>326</v>
      </c>
      <c r="E163" s="7" t="n">
        <f aca="false">IF(AND(c_TPOT=1,c_TTYPE=2),1000-D163,D163)</f>
        <v>326</v>
      </c>
      <c r="F163" s="7" t="str">
        <f aca="false">IF(c_TPOT&gt;1,ROUND(IF(c_TTYPE=2,c_T2MX-IF(c_T1MX=c_T1MN,0,(C163-c_T1MN)/(c_T1MX-c_T1MN))*(c_T2MX-c_T2MN),c_T2MN+IF(c_T1MX=c_T1MN,0,(C163-c_T1MN)/(c_T1MX-c_T1MN))*(c_T2MX-c_T2MN))+o_MISMATCH,0),"")</f>
        <v/>
      </c>
      <c r="G163" s="7" t="str">
        <f aca="false">IF(c_TPOT&gt;1,IF(((c_T2MX)-(c_T2MN))=0,(0)+QUOTIENT(((1000)-(0)),2),QUOTIENT((((F163)-(c_T2MN))*((1000)-(0))+IF(((1000)-(0))&gt;=0,1,-1)*QUOTIENT(((c_T2MX)-(c_T2MN)),2)),((c_T2MX)-(c_T2MN)))+(0)+IF(((1000)-(0))&gt;=0,IF(IF(o_WRAP=1,MOD(((c_T2MX)-(c_T2MN))*(((F163)-(c_T2MN))*((1000)-(0))+IF(((1000)-(0))&gt;=0,1,-1)*QUOTIENT(((c_T2MX)-(c_T2MN)),2))+2147483648,4294967296)-2147483648,((c_T2MX)-(c_T2MN))*(((F163)-(c_T2MN))*((1000)-(0))+IF(((1000)-(0))&gt;=0,1,-1)*QUOTIENT(((c_T2MX)-(c_T2MN)),2)))&lt;0,-1,0),IF(IF(o_WRAP=1,MOD(((c_T2MX)-(c_T2MN))*(((F163)-(c_T2MN))*((1000)-(0))+IF(((1000)-(0))&gt;=0,1,-1)*QUOTIENT(((c_T2MX)-(c_T2MN)),2))+2147483648,4294967296)-2147483648,((c_T2MX)-(c_T2MN))*(((F163)-(c_T2MN))*((1000)-(0))+IF(((1000)-(0))&gt;=0,1,-1)*QUOTIENT(((c_T2MX)-(c_T2MN)),2)))&gt;=0,1,0))),"")</f>
        <v/>
      </c>
      <c r="H163" s="7" t="str">
        <f aca="false">IF(E163&gt;1000+k_TOL,"T1 HIGH",IF(E163&lt;0-k_TOL,"T1 LOW",IF(c_TPOT&gt;1,IF(G163&gt;1000+k_TOL,"T2 HIGH",IF(G163&lt;0-k_TOL,"T2 LOW",IF(c_TTYPE=2,IF(ABS(1000-MAX(0,MIN(1000,E163))-MAX(0,MIN(1000,G163)))&gt;k_MAXERR,"MISMATCH","OK"),IF(OR(MAX(0,MIN(1000,E163))-k_MAXERR&gt;MAX(0,MIN(1000,G163)),MAX(0,MIN(1000,G163))-k_MAXERR&gt;MAX(0,MIN(1000,E163))),"MISMATCH","OK")))),"OK")))</f>
        <v>OK</v>
      </c>
      <c r="I163" s="7" t="n">
        <f aca="false">MAX(0,MIN(1000,D163))</f>
        <v>326</v>
      </c>
      <c r="J163" s="7" t="str">
        <f aca="false">IF(c_TPOT&gt;1,IF(c_TTYPE=2,1000-MAX(0,MIN(1000,G163)),MAX(0,MIN(1000,G163))),"")</f>
        <v/>
      </c>
      <c r="K163" s="7" t="n">
        <f aca="false">IF(c_TPOT&gt;1,QUOTIENT(I163+J163,2),I163)</f>
        <v>326</v>
      </c>
      <c r="L163" s="7" t="n">
        <f aca="false">IF(AND(K163=0,c_TCREEP&gt;0),10*c_TCREEP,IF(AND(K163&lt;=c_TRNGMIN,K163&gt;=c_TRNGMAX,c_TRNGMIN-c_TRNGMAX&lt;&gt;0),-10*c_TMINRN+QUOTIENT((c_TMAXRN-c_TMINRN)*(100-QUOTIENT((K163-c_TRNGMAX)*100,c_TRNGMIN-c_TRNGMAX)),-10),0))</f>
        <v>0</v>
      </c>
      <c r="M163" s="7" t="n">
        <f aca="false">IF(((c_TMAP1IN)-(c_TFWD))=0,(0)+QUOTIENT(((c_TMAP1OUT)-(0)),2),QUOTIENT((((K163)-(c_TFWD))*((c_TMAP1OUT)-(0))+IF(((c_TMAP1OUT)-(0))&gt;=0,1,-1)*QUOTIENT(((c_TMAP1IN)-(c_TFWD)),2)),((c_TMAP1IN)-(c_TFWD)))+(0)+IF(((c_TMAP1OUT)-(0))&gt;=0,IF(IF(o_WRAP=1,MOD(((c_TMAP1IN)-(c_TFWD))*(((K163)-(c_TFWD))*((c_TMAP1OUT)-(0))+IF(((c_TMAP1OUT)-(0))&gt;=0,1,-1)*QUOTIENT(((c_TMAP1IN)-(c_TFWD)),2))+2147483648,4294967296)-2147483648,((c_TMAP1IN)-(c_TFWD))*(((K163)-(c_TFWD))*((c_TMAP1OUT)-(0))+IF(((c_TMAP1OUT)-(0))&gt;=0,1,-1)*QUOTIENT(((c_TMAP1IN)-(c_TFWD)),2)))&lt;0,-1,0),IF(IF(o_WRAP=1,MOD(((c_TMAP1IN)-(c_TFWD))*(((K163)-(c_TFWD))*((c_TMAP1OUT)-(0))+IF(((c_TMAP1OUT)-(0))&gt;=0,1,-1)*QUOTIENT(((c_TMAP1IN)-(c_TFWD)),2))+2147483648,4294967296)-2147483648,((c_TMAP1IN)-(c_TFWD))*(((K163)-(c_TFWD))*((c_TMAP1OUT)-(0))+IF(((c_TMAP1OUT)-(0))&gt;=0,1,-1)*QUOTIENT(((c_TMAP1IN)-(c_TFWD)),2)))&gt;=0,1,0)))</f>
        <v>246</v>
      </c>
      <c r="N163" s="7" t="n">
        <f aca="false">IF(((c_TMAP2IN)-(c_TMAP1IN))=0,(c_TMAP1OUT)+QUOTIENT(((c_TMAP2OUT)-(c_TMAP1OUT)),2),QUOTIENT((((K163)-(c_TMAP1IN))*((c_TMAP2OUT)-(c_TMAP1OUT))+IF(((c_TMAP2OUT)-(c_TMAP1OUT))&gt;=0,1,-1)*QUOTIENT(((c_TMAP2IN)-(c_TMAP1IN)),2)),((c_TMAP2IN)-(c_TMAP1IN)))+(c_TMAP1OUT)+IF(((c_TMAP2OUT)-(c_TMAP1OUT))&gt;=0,IF(IF(o_WRAP=1,MOD(((c_TMAP2IN)-(c_TMAP1IN))*(((K163)-(c_TMAP1IN))*((c_TMAP2OUT)-(c_TMAP1OUT))+IF(((c_TMAP2OUT)-(c_TMAP1OUT))&gt;=0,1,-1)*QUOTIENT(((c_TMAP2IN)-(c_TMAP1IN)),2))+2147483648,4294967296)-2147483648,((c_TMAP2IN)-(c_TMAP1IN))*(((K163)-(c_TMAP1IN))*((c_TMAP2OUT)-(c_TMAP1OUT))+IF(((c_TMAP2OUT)-(c_TMAP1OUT))&gt;=0,1,-1)*QUOTIENT(((c_TMAP2IN)-(c_TMAP1IN)),2)))&lt;0,-1,0),IF(IF(o_WRAP=1,MOD(((c_TMAP2IN)-(c_TMAP1IN))*(((K163)-(c_TMAP1IN))*((c_TMAP2OUT)-(c_TMAP1OUT))+IF(((c_TMAP2OUT)-(c_TMAP1OUT))&gt;=0,1,-1)*QUOTIENT(((c_TMAP2IN)-(c_TMAP1IN)),2))+2147483648,4294967296)-2147483648,((c_TMAP2IN)-(c_TMAP1IN))*(((K163)-(c_TMAP1IN))*((c_TMAP2OUT)-(c_TMAP1OUT))+IF(((c_TMAP2OUT)-(c_TMAP1OUT))&gt;=0,1,-1)*QUOTIENT(((c_TMAP2IN)-(c_TMAP1IN)),2)))&gt;=0,1,0)))</f>
        <v>160</v>
      </c>
      <c r="O163" s="7" t="n">
        <f aca="false">IF(((c_TMAP3IN)-(c_TMAP2IN))=0,(c_TMAP2OUT)+QUOTIENT(((c_TMAP3OUT)-(c_TMAP2OUT)),2),QUOTIENT((((K163)-(c_TMAP2IN))*((c_TMAP3OUT)-(c_TMAP2OUT))+IF(((c_TMAP3OUT)-(c_TMAP2OUT))&gt;=0,1,-1)*QUOTIENT(((c_TMAP3IN)-(c_TMAP2IN)),2)),((c_TMAP3IN)-(c_TMAP2IN)))+(c_TMAP2OUT)+IF(((c_TMAP3OUT)-(c_TMAP2OUT))&gt;=0,IF(IF(o_WRAP=1,MOD(((c_TMAP3IN)-(c_TMAP2IN))*(((K163)-(c_TMAP2IN))*((c_TMAP3OUT)-(c_TMAP2OUT))+IF(((c_TMAP3OUT)-(c_TMAP2OUT))&gt;=0,1,-1)*QUOTIENT(((c_TMAP3IN)-(c_TMAP2IN)),2))+2147483648,4294967296)-2147483648,((c_TMAP3IN)-(c_TMAP2IN))*(((K163)-(c_TMAP2IN))*((c_TMAP3OUT)-(c_TMAP2OUT))+IF(((c_TMAP3OUT)-(c_TMAP2OUT))&gt;=0,1,-1)*QUOTIENT(((c_TMAP3IN)-(c_TMAP2IN)),2)))&lt;0,-1,0),IF(IF(o_WRAP=1,MOD(((c_TMAP3IN)-(c_TMAP2IN))*(((K163)-(c_TMAP2IN))*((c_TMAP3OUT)-(c_TMAP2OUT))+IF(((c_TMAP3OUT)-(c_TMAP2OUT))&gt;=0,1,-1)*QUOTIENT(((c_TMAP3IN)-(c_TMAP2IN)),2))+2147483648,4294967296)-2147483648,((c_TMAP3IN)-(c_TMAP2IN))*(((K163)-(c_TMAP2IN))*((c_TMAP3OUT)-(c_TMAP2OUT))+IF(((c_TMAP3OUT)-(c_TMAP2OUT))&gt;=0,1,-1)*QUOTIENT(((c_TMAP3IN)-(c_TMAP2IN)),2)))&gt;=0,1,0)))</f>
        <v>183</v>
      </c>
      <c r="P163" s="7" t="n">
        <f aca="false">IF(((1000)-(c_TMAP3IN))=0,(c_TMAP3OUT)+QUOTIENT(((1000)-(c_TMAP3OUT)),2),QUOTIENT((((K163)-(c_TMAP3IN))*((1000)-(c_TMAP3OUT))+IF(((1000)-(c_TMAP3OUT))&gt;=0,1,-1)*QUOTIENT(((1000)-(c_TMAP3IN)),2)),((1000)-(c_TMAP3IN)))+(c_TMAP3OUT)+IF(((1000)-(c_TMAP3OUT))&gt;=0,IF(IF(o_WRAP=1,MOD(((1000)-(c_TMAP3IN))*(((K163)-(c_TMAP3IN))*((1000)-(c_TMAP3OUT))+IF(((1000)-(c_TMAP3OUT))&gt;=0,1,-1)*QUOTIENT(((1000)-(c_TMAP3IN)),2))+2147483648,4294967296)-2147483648,((1000)-(c_TMAP3IN))*(((K163)-(c_TMAP3IN))*((1000)-(c_TMAP3OUT))+IF(((1000)-(c_TMAP3OUT))&gt;=0,1,-1)*QUOTIENT(((1000)-(c_TMAP3IN)),2)))&lt;0,-1,0),IF(IF(o_WRAP=1,MOD(((1000)-(c_TMAP3IN))*(((K163)-(c_TMAP3IN))*((1000)-(c_TMAP3OUT))+IF(((1000)-(c_TMAP3OUT))&gt;=0,1,-1)*QUOTIENT(((1000)-(c_TMAP3IN)),2))+2147483648,4294967296)-2147483648,((1000)-(c_TMAP3IN))*(((K163)-(c_TMAP3IN))*((1000)-(c_TMAP3OUT))+IF(((1000)-(c_TMAP3OUT))&gt;=0,1,-1)*QUOTIENT(((1000)-(c_TMAP3IN)),2)))&gt;=0,1,0)))</f>
        <v>170</v>
      </c>
      <c r="Q163" s="7" t="str">
        <f aca="false">IF(K163&gt;=c_TFWD,IF(AND(K163&gt;=c_TMAP3IN,c_TMAP3IN&lt;1000),"Seg4 map3-100%",IF(AND(K163&gt;=c_TMAP2IN,c_TMAP3IN&gt;c_TMAP2IN),"Seg3 map2-map3",IF(AND(K163&gt;=c_TMAP1IN,c_TMAP2IN&gt;c_TMAP1IN),"Seg2 map1-map2","Seg1 TFWD-map1"))),IF(AND(K163=0,c_TCREEP&gt;0),"Creep",IF(AND(K163&lt;=c_TRNGMIN,K163&gt;=c_TRNGMAX,c_TRNGMIN-c_TRNGMAX&lt;&gt;0),"Regen ramp","Coast (0)")))</f>
        <v>Seg3 map2-map3</v>
      </c>
      <c r="R163" s="7" t="n">
        <f aca="false">IF(K163&gt;=c_TFWD,IF(AND(K163&gt;=c_TMAP3IN,c_TMAP3IN&lt;1000),P163,IF(AND(K163&gt;=c_TMAP2IN,c_TMAP3IN&gt;c_TMAP2IN),O163,IF(AND(K163&gt;=c_TMAP1IN,c_TMAP2IN&gt;c_TMAP1IN),N163,M163))),L163)</f>
        <v>183</v>
      </c>
      <c r="S163" s="7" t="str">
        <f aca="false">IF(R163&lt;-1090,"TOO LOW",IF(R163&gt;1090,"TOO HIGH",""))</f>
        <v/>
      </c>
      <c r="T163" s="15" t="n">
        <f aca="false">IF(H163&lt;&gt;"OK",0,IF(S163&lt;&gt;"",0,IF(R163&gt;979,1000,R163)))</f>
        <v>183</v>
      </c>
      <c r="U163" s="7" t="n">
        <f aca="false">T163/10</f>
        <v>18.3</v>
      </c>
    </row>
    <row r="164" customFormat="false" ht="15" hidden="false" customHeight="false" outlineLevel="0" collapsed="false">
      <c r="A164" s="7" t="n">
        <v>159</v>
      </c>
      <c r="B164" s="7" t="n">
        <f aca="false">ROUND(o_SWSTART+A164*(o_SWEND-o_SWSTART)/400,0)</f>
        <v>1628</v>
      </c>
      <c r="C164" s="7" t="n">
        <f aca="false">QUOTIENT((B164-c_OFF1)*c_GAIN1,1024)</f>
        <v>1628</v>
      </c>
      <c r="D164" s="7" t="n">
        <f aca="false">IF(((c_T1MX)-(c_T1MN))=0,(0)+QUOTIENT(((1000)-(0)),2),QUOTIENT((((C164)-(c_T1MN))*((1000)-(0))+IF(((1000)-(0))&gt;=0,1,-1)*QUOTIENT(((c_T1MX)-(c_T1MN)),2)),((c_T1MX)-(c_T1MN)))+(0)+IF(((1000)-(0))&gt;=0,IF(IF(o_WRAP=1,MOD(((c_T1MX)-(c_T1MN))*(((C164)-(c_T1MN))*((1000)-(0))+IF(((1000)-(0))&gt;=0,1,-1)*QUOTIENT(((c_T1MX)-(c_T1MN)),2))+2147483648,4294967296)-2147483648,((c_T1MX)-(c_T1MN))*(((C164)-(c_T1MN))*((1000)-(0))+IF(((1000)-(0))&gt;=0,1,-1)*QUOTIENT(((c_T1MX)-(c_T1MN)),2)))&lt;0,-1,0),IF(IF(o_WRAP=1,MOD(((c_T1MX)-(c_T1MN))*(((C164)-(c_T1MN))*((1000)-(0))+IF(((1000)-(0))&gt;=0,1,-1)*QUOTIENT(((c_T1MX)-(c_T1MN)),2))+2147483648,4294967296)-2147483648,((c_T1MX)-(c_T1MN))*(((C164)-(c_T1MN))*((1000)-(0))+IF(((1000)-(0))&gt;=0,1,-1)*QUOTIENT(((c_T1MX)-(c_T1MN)),2)))&gt;=0,1,0)))</f>
        <v>329</v>
      </c>
      <c r="E164" s="7" t="n">
        <f aca="false">IF(AND(c_TPOT=1,c_TTYPE=2),1000-D164,D164)</f>
        <v>329</v>
      </c>
      <c r="F164" s="7" t="str">
        <f aca="false">IF(c_TPOT&gt;1,ROUND(IF(c_TTYPE=2,c_T2MX-IF(c_T1MX=c_T1MN,0,(C164-c_T1MN)/(c_T1MX-c_T1MN))*(c_T2MX-c_T2MN),c_T2MN+IF(c_T1MX=c_T1MN,0,(C164-c_T1MN)/(c_T1MX-c_T1MN))*(c_T2MX-c_T2MN))+o_MISMATCH,0),"")</f>
        <v/>
      </c>
      <c r="G164" s="7" t="str">
        <f aca="false">IF(c_TPOT&gt;1,IF(((c_T2MX)-(c_T2MN))=0,(0)+QUOTIENT(((1000)-(0)),2),QUOTIENT((((F164)-(c_T2MN))*((1000)-(0))+IF(((1000)-(0))&gt;=0,1,-1)*QUOTIENT(((c_T2MX)-(c_T2MN)),2)),((c_T2MX)-(c_T2MN)))+(0)+IF(((1000)-(0))&gt;=0,IF(IF(o_WRAP=1,MOD(((c_T2MX)-(c_T2MN))*(((F164)-(c_T2MN))*((1000)-(0))+IF(((1000)-(0))&gt;=0,1,-1)*QUOTIENT(((c_T2MX)-(c_T2MN)),2))+2147483648,4294967296)-2147483648,((c_T2MX)-(c_T2MN))*(((F164)-(c_T2MN))*((1000)-(0))+IF(((1000)-(0))&gt;=0,1,-1)*QUOTIENT(((c_T2MX)-(c_T2MN)),2)))&lt;0,-1,0),IF(IF(o_WRAP=1,MOD(((c_T2MX)-(c_T2MN))*(((F164)-(c_T2MN))*((1000)-(0))+IF(((1000)-(0))&gt;=0,1,-1)*QUOTIENT(((c_T2MX)-(c_T2MN)),2))+2147483648,4294967296)-2147483648,((c_T2MX)-(c_T2MN))*(((F164)-(c_T2MN))*((1000)-(0))+IF(((1000)-(0))&gt;=0,1,-1)*QUOTIENT(((c_T2MX)-(c_T2MN)),2)))&gt;=0,1,0))),"")</f>
        <v/>
      </c>
      <c r="H164" s="7" t="str">
        <f aca="false">IF(E164&gt;1000+k_TOL,"T1 HIGH",IF(E164&lt;0-k_TOL,"T1 LOW",IF(c_TPOT&gt;1,IF(G164&gt;1000+k_TOL,"T2 HIGH",IF(G164&lt;0-k_TOL,"T2 LOW",IF(c_TTYPE=2,IF(ABS(1000-MAX(0,MIN(1000,E164))-MAX(0,MIN(1000,G164)))&gt;k_MAXERR,"MISMATCH","OK"),IF(OR(MAX(0,MIN(1000,E164))-k_MAXERR&gt;MAX(0,MIN(1000,G164)),MAX(0,MIN(1000,G164))-k_MAXERR&gt;MAX(0,MIN(1000,E164))),"MISMATCH","OK")))),"OK")))</f>
        <v>OK</v>
      </c>
      <c r="I164" s="7" t="n">
        <f aca="false">MAX(0,MIN(1000,D164))</f>
        <v>329</v>
      </c>
      <c r="J164" s="7" t="str">
        <f aca="false">IF(c_TPOT&gt;1,IF(c_TTYPE=2,1000-MAX(0,MIN(1000,G164)),MAX(0,MIN(1000,G164))),"")</f>
        <v/>
      </c>
      <c r="K164" s="7" t="n">
        <f aca="false">IF(c_TPOT&gt;1,QUOTIENT(I164+J164,2),I164)</f>
        <v>329</v>
      </c>
      <c r="L164" s="7" t="n">
        <f aca="false">IF(AND(K164=0,c_TCREEP&gt;0),10*c_TCREEP,IF(AND(K164&lt;=c_TRNGMIN,K164&gt;=c_TRNGMAX,c_TRNGMIN-c_TRNGMAX&lt;&gt;0),-10*c_TMINRN+QUOTIENT((c_TMAXRN-c_TMINRN)*(100-QUOTIENT((K164-c_TRNGMAX)*100,c_TRNGMIN-c_TRNGMAX)),-10),0))</f>
        <v>0</v>
      </c>
      <c r="M164" s="7" t="n">
        <f aca="false">IF(((c_TMAP1IN)-(c_TFWD))=0,(0)+QUOTIENT(((c_TMAP1OUT)-(0)),2),QUOTIENT((((K164)-(c_TFWD))*((c_TMAP1OUT)-(0))+IF(((c_TMAP1OUT)-(0))&gt;=0,1,-1)*QUOTIENT(((c_TMAP1IN)-(c_TFWD)),2)),((c_TMAP1IN)-(c_TFWD)))+(0)+IF(((c_TMAP1OUT)-(0))&gt;=0,IF(IF(o_WRAP=1,MOD(((c_TMAP1IN)-(c_TFWD))*(((K164)-(c_TFWD))*((c_TMAP1OUT)-(0))+IF(((c_TMAP1OUT)-(0))&gt;=0,1,-1)*QUOTIENT(((c_TMAP1IN)-(c_TFWD)),2))+2147483648,4294967296)-2147483648,((c_TMAP1IN)-(c_TFWD))*(((K164)-(c_TFWD))*((c_TMAP1OUT)-(0))+IF(((c_TMAP1OUT)-(0))&gt;=0,1,-1)*QUOTIENT(((c_TMAP1IN)-(c_TFWD)),2)))&lt;0,-1,0),IF(IF(o_WRAP=1,MOD(((c_TMAP1IN)-(c_TFWD))*(((K164)-(c_TFWD))*((c_TMAP1OUT)-(0))+IF(((c_TMAP1OUT)-(0))&gt;=0,1,-1)*QUOTIENT(((c_TMAP1IN)-(c_TFWD)),2))+2147483648,4294967296)-2147483648,((c_TMAP1IN)-(c_TFWD))*(((K164)-(c_TFWD))*((c_TMAP1OUT)-(0))+IF(((c_TMAP1OUT)-(0))&gt;=0,1,-1)*QUOTIENT(((c_TMAP1IN)-(c_TFWD)),2)))&gt;=0,1,0)))</f>
        <v>248</v>
      </c>
      <c r="N164" s="7" t="n">
        <f aca="false">IF(((c_TMAP2IN)-(c_TMAP1IN))=0,(c_TMAP1OUT)+QUOTIENT(((c_TMAP2OUT)-(c_TMAP1OUT)),2),QUOTIENT((((K164)-(c_TMAP1IN))*((c_TMAP2OUT)-(c_TMAP1OUT))+IF(((c_TMAP2OUT)-(c_TMAP1OUT))&gt;=0,1,-1)*QUOTIENT(((c_TMAP2IN)-(c_TMAP1IN)),2)),((c_TMAP2IN)-(c_TMAP1IN)))+(c_TMAP1OUT)+IF(((c_TMAP2OUT)-(c_TMAP1OUT))&gt;=0,IF(IF(o_WRAP=1,MOD(((c_TMAP2IN)-(c_TMAP1IN))*(((K164)-(c_TMAP1IN))*((c_TMAP2OUT)-(c_TMAP1OUT))+IF(((c_TMAP2OUT)-(c_TMAP1OUT))&gt;=0,1,-1)*QUOTIENT(((c_TMAP2IN)-(c_TMAP1IN)),2))+2147483648,4294967296)-2147483648,((c_TMAP2IN)-(c_TMAP1IN))*(((K164)-(c_TMAP1IN))*((c_TMAP2OUT)-(c_TMAP1OUT))+IF(((c_TMAP2OUT)-(c_TMAP1OUT))&gt;=0,1,-1)*QUOTIENT(((c_TMAP2IN)-(c_TMAP1IN)),2)))&lt;0,-1,0),IF(IF(o_WRAP=1,MOD(((c_TMAP2IN)-(c_TMAP1IN))*(((K164)-(c_TMAP1IN))*((c_TMAP2OUT)-(c_TMAP1OUT))+IF(((c_TMAP2OUT)-(c_TMAP1OUT))&gt;=0,1,-1)*QUOTIENT(((c_TMAP2IN)-(c_TMAP1IN)),2))+2147483648,4294967296)-2147483648,((c_TMAP2IN)-(c_TMAP1IN))*(((K164)-(c_TMAP1IN))*((c_TMAP2OUT)-(c_TMAP1OUT))+IF(((c_TMAP2OUT)-(c_TMAP1OUT))&gt;=0,1,-1)*QUOTIENT(((c_TMAP2IN)-(c_TMAP1IN)),2)))&gt;=0,1,0)))</f>
        <v>162</v>
      </c>
      <c r="O164" s="7" t="n">
        <f aca="false">IF(((c_TMAP3IN)-(c_TMAP2IN))=0,(c_TMAP2OUT)+QUOTIENT(((c_TMAP3OUT)-(c_TMAP2OUT)),2),QUOTIENT((((K164)-(c_TMAP2IN))*((c_TMAP3OUT)-(c_TMAP2OUT))+IF(((c_TMAP3OUT)-(c_TMAP2OUT))&gt;=0,1,-1)*QUOTIENT(((c_TMAP3IN)-(c_TMAP2IN)),2)),((c_TMAP3IN)-(c_TMAP2IN)))+(c_TMAP2OUT)+IF(((c_TMAP3OUT)-(c_TMAP2OUT))&gt;=0,IF(IF(o_WRAP=1,MOD(((c_TMAP3IN)-(c_TMAP2IN))*(((K164)-(c_TMAP2IN))*((c_TMAP3OUT)-(c_TMAP2OUT))+IF(((c_TMAP3OUT)-(c_TMAP2OUT))&gt;=0,1,-1)*QUOTIENT(((c_TMAP3IN)-(c_TMAP2IN)),2))+2147483648,4294967296)-2147483648,((c_TMAP3IN)-(c_TMAP2IN))*(((K164)-(c_TMAP2IN))*((c_TMAP3OUT)-(c_TMAP2OUT))+IF(((c_TMAP3OUT)-(c_TMAP2OUT))&gt;=0,1,-1)*QUOTIENT(((c_TMAP3IN)-(c_TMAP2IN)),2)))&lt;0,-1,0),IF(IF(o_WRAP=1,MOD(((c_TMAP3IN)-(c_TMAP2IN))*(((K164)-(c_TMAP2IN))*((c_TMAP3OUT)-(c_TMAP2OUT))+IF(((c_TMAP3OUT)-(c_TMAP2OUT))&gt;=0,1,-1)*QUOTIENT(((c_TMAP3IN)-(c_TMAP2IN)),2))+2147483648,4294967296)-2147483648,((c_TMAP3IN)-(c_TMAP2IN))*(((K164)-(c_TMAP2IN))*((c_TMAP3OUT)-(c_TMAP2OUT))+IF(((c_TMAP3OUT)-(c_TMAP2OUT))&gt;=0,1,-1)*QUOTIENT(((c_TMAP3IN)-(c_TMAP2IN)),2)))&gt;=0,1,0)))</f>
        <v>185</v>
      </c>
      <c r="P164" s="7" t="n">
        <f aca="false">IF(((1000)-(c_TMAP3IN))=0,(c_TMAP3OUT)+QUOTIENT(((1000)-(c_TMAP3OUT)),2),QUOTIENT((((K164)-(c_TMAP3IN))*((1000)-(c_TMAP3OUT))+IF(((1000)-(c_TMAP3OUT))&gt;=0,1,-1)*QUOTIENT(((1000)-(c_TMAP3IN)),2)),((1000)-(c_TMAP3IN)))+(c_TMAP3OUT)+IF(((1000)-(c_TMAP3OUT))&gt;=0,IF(IF(o_WRAP=1,MOD(((1000)-(c_TMAP3IN))*(((K164)-(c_TMAP3IN))*((1000)-(c_TMAP3OUT))+IF(((1000)-(c_TMAP3OUT))&gt;=0,1,-1)*QUOTIENT(((1000)-(c_TMAP3IN)),2))+2147483648,4294967296)-2147483648,((1000)-(c_TMAP3IN))*(((K164)-(c_TMAP3IN))*((1000)-(c_TMAP3OUT))+IF(((1000)-(c_TMAP3OUT))&gt;=0,1,-1)*QUOTIENT(((1000)-(c_TMAP3IN)),2)))&lt;0,-1,0),IF(IF(o_WRAP=1,MOD(((1000)-(c_TMAP3IN))*(((K164)-(c_TMAP3IN))*((1000)-(c_TMAP3OUT))+IF(((1000)-(c_TMAP3OUT))&gt;=0,1,-1)*QUOTIENT(((1000)-(c_TMAP3IN)),2))+2147483648,4294967296)-2147483648,((1000)-(c_TMAP3IN))*(((K164)-(c_TMAP3IN))*((1000)-(c_TMAP3OUT))+IF(((1000)-(c_TMAP3OUT))&gt;=0,1,-1)*QUOTIENT(((1000)-(c_TMAP3IN)),2)))&gt;=0,1,0)))</f>
        <v>174</v>
      </c>
      <c r="Q164" s="7" t="str">
        <f aca="false">IF(K164&gt;=c_TFWD,IF(AND(K164&gt;=c_TMAP3IN,c_TMAP3IN&lt;1000),"Seg4 map3-100%",IF(AND(K164&gt;=c_TMAP2IN,c_TMAP3IN&gt;c_TMAP2IN),"Seg3 map2-map3",IF(AND(K164&gt;=c_TMAP1IN,c_TMAP2IN&gt;c_TMAP1IN),"Seg2 map1-map2","Seg1 TFWD-map1"))),IF(AND(K164=0,c_TCREEP&gt;0),"Creep",IF(AND(K164&lt;=c_TRNGMIN,K164&gt;=c_TRNGMAX,c_TRNGMIN-c_TRNGMAX&lt;&gt;0),"Regen ramp","Coast (0)")))</f>
        <v>Seg3 map2-map3</v>
      </c>
      <c r="R164" s="7" t="n">
        <f aca="false">IF(K164&gt;=c_TFWD,IF(AND(K164&gt;=c_TMAP3IN,c_TMAP3IN&lt;1000),P164,IF(AND(K164&gt;=c_TMAP2IN,c_TMAP3IN&gt;c_TMAP2IN),O164,IF(AND(K164&gt;=c_TMAP1IN,c_TMAP2IN&gt;c_TMAP1IN),N164,M164))),L164)</f>
        <v>185</v>
      </c>
      <c r="S164" s="7" t="str">
        <f aca="false">IF(R164&lt;-1090,"TOO LOW",IF(R164&gt;1090,"TOO HIGH",""))</f>
        <v/>
      </c>
      <c r="T164" s="15" t="n">
        <f aca="false">IF(H164&lt;&gt;"OK",0,IF(S164&lt;&gt;"",0,IF(R164&gt;979,1000,R164)))</f>
        <v>185</v>
      </c>
      <c r="U164" s="7" t="n">
        <f aca="false">T164/10</f>
        <v>18.5</v>
      </c>
    </row>
    <row r="165" customFormat="false" ht="15" hidden="false" customHeight="false" outlineLevel="0" collapsed="false">
      <c r="A165" s="7" t="n">
        <v>160</v>
      </c>
      <c r="B165" s="7" t="n">
        <f aca="false">ROUND(o_SWSTART+A165*(o_SWEND-o_SWSTART)/400,0)</f>
        <v>1638</v>
      </c>
      <c r="C165" s="7" t="n">
        <f aca="false">QUOTIENT((B165-c_OFF1)*c_GAIN1,1024)</f>
        <v>1638</v>
      </c>
      <c r="D165" s="7" t="n">
        <f aca="false">IF(((c_T1MX)-(c_T1MN))=0,(0)+QUOTIENT(((1000)-(0)),2),QUOTIENT((((C165)-(c_T1MN))*((1000)-(0))+IF(((1000)-(0))&gt;=0,1,-1)*QUOTIENT(((c_T1MX)-(c_T1MN)),2)),((c_T1MX)-(c_T1MN)))+(0)+IF(((1000)-(0))&gt;=0,IF(IF(o_WRAP=1,MOD(((c_T1MX)-(c_T1MN))*(((C165)-(c_T1MN))*((1000)-(0))+IF(((1000)-(0))&gt;=0,1,-1)*QUOTIENT(((c_T1MX)-(c_T1MN)),2))+2147483648,4294967296)-2147483648,((c_T1MX)-(c_T1MN))*(((C165)-(c_T1MN))*((1000)-(0))+IF(((1000)-(0))&gt;=0,1,-1)*QUOTIENT(((c_T1MX)-(c_T1MN)),2)))&lt;0,-1,0),IF(IF(o_WRAP=1,MOD(((c_T1MX)-(c_T1MN))*(((C165)-(c_T1MN))*((1000)-(0))+IF(((1000)-(0))&gt;=0,1,-1)*QUOTIENT(((c_T1MX)-(c_T1MN)),2))+2147483648,4294967296)-2147483648,((c_T1MX)-(c_T1MN))*(((C165)-(c_T1MN))*((1000)-(0))+IF(((1000)-(0))&gt;=0,1,-1)*QUOTIENT(((c_T1MX)-(c_T1MN)),2)))&gt;=0,1,0)))</f>
        <v>333</v>
      </c>
      <c r="E165" s="7" t="n">
        <f aca="false">IF(AND(c_TPOT=1,c_TTYPE=2),1000-D165,D165)</f>
        <v>333</v>
      </c>
      <c r="F165" s="7" t="str">
        <f aca="false">IF(c_TPOT&gt;1,ROUND(IF(c_TTYPE=2,c_T2MX-IF(c_T1MX=c_T1MN,0,(C165-c_T1MN)/(c_T1MX-c_T1MN))*(c_T2MX-c_T2MN),c_T2MN+IF(c_T1MX=c_T1MN,0,(C165-c_T1MN)/(c_T1MX-c_T1MN))*(c_T2MX-c_T2MN))+o_MISMATCH,0),"")</f>
        <v/>
      </c>
      <c r="G165" s="7" t="str">
        <f aca="false">IF(c_TPOT&gt;1,IF(((c_T2MX)-(c_T2MN))=0,(0)+QUOTIENT(((1000)-(0)),2),QUOTIENT((((F165)-(c_T2MN))*((1000)-(0))+IF(((1000)-(0))&gt;=0,1,-1)*QUOTIENT(((c_T2MX)-(c_T2MN)),2)),((c_T2MX)-(c_T2MN)))+(0)+IF(((1000)-(0))&gt;=0,IF(IF(o_WRAP=1,MOD(((c_T2MX)-(c_T2MN))*(((F165)-(c_T2MN))*((1000)-(0))+IF(((1000)-(0))&gt;=0,1,-1)*QUOTIENT(((c_T2MX)-(c_T2MN)),2))+2147483648,4294967296)-2147483648,((c_T2MX)-(c_T2MN))*(((F165)-(c_T2MN))*((1000)-(0))+IF(((1000)-(0))&gt;=0,1,-1)*QUOTIENT(((c_T2MX)-(c_T2MN)),2)))&lt;0,-1,0),IF(IF(o_WRAP=1,MOD(((c_T2MX)-(c_T2MN))*(((F165)-(c_T2MN))*((1000)-(0))+IF(((1000)-(0))&gt;=0,1,-1)*QUOTIENT(((c_T2MX)-(c_T2MN)),2))+2147483648,4294967296)-2147483648,((c_T2MX)-(c_T2MN))*(((F165)-(c_T2MN))*((1000)-(0))+IF(((1000)-(0))&gt;=0,1,-1)*QUOTIENT(((c_T2MX)-(c_T2MN)),2)))&gt;=0,1,0))),"")</f>
        <v/>
      </c>
      <c r="H165" s="7" t="str">
        <f aca="false">IF(E165&gt;1000+k_TOL,"T1 HIGH",IF(E165&lt;0-k_TOL,"T1 LOW",IF(c_TPOT&gt;1,IF(G165&gt;1000+k_TOL,"T2 HIGH",IF(G165&lt;0-k_TOL,"T2 LOW",IF(c_TTYPE=2,IF(ABS(1000-MAX(0,MIN(1000,E165))-MAX(0,MIN(1000,G165)))&gt;k_MAXERR,"MISMATCH","OK"),IF(OR(MAX(0,MIN(1000,E165))-k_MAXERR&gt;MAX(0,MIN(1000,G165)),MAX(0,MIN(1000,G165))-k_MAXERR&gt;MAX(0,MIN(1000,E165))),"MISMATCH","OK")))),"OK")))</f>
        <v>OK</v>
      </c>
      <c r="I165" s="7" t="n">
        <f aca="false">MAX(0,MIN(1000,D165))</f>
        <v>333</v>
      </c>
      <c r="J165" s="7" t="str">
        <f aca="false">IF(c_TPOT&gt;1,IF(c_TTYPE=2,1000-MAX(0,MIN(1000,G165)),MAX(0,MIN(1000,G165))),"")</f>
        <v/>
      </c>
      <c r="K165" s="7" t="n">
        <f aca="false">IF(c_TPOT&gt;1,QUOTIENT(I165+J165,2),I165)</f>
        <v>333</v>
      </c>
      <c r="L165" s="7" t="n">
        <f aca="false">IF(AND(K165=0,c_TCREEP&gt;0),10*c_TCREEP,IF(AND(K165&lt;=c_TRNGMIN,K165&gt;=c_TRNGMAX,c_TRNGMIN-c_TRNGMAX&lt;&gt;0),-10*c_TMINRN+QUOTIENT((c_TMAXRN-c_TMINRN)*(100-QUOTIENT((K165-c_TRNGMAX)*100,c_TRNGMIN-c_TRNGMAX)),-10),0))</f>
        <v>0</v>
      </c>
      <c r="M165" s="7" t="n">
        <f aca="false">IF(((c_TMAP1IN)-(c_TFWD))=0,(0)+QUOTIENT(((c_TMAP1OUT)-(0)),2),QUOTIENT((((K165)-(c_TFWD))*((c_TMAP1OUT)-(0))+IF(((c_TMAP1OUT)-(0))&gt;=0,1,-1)*QUOTIENT(((c_TMAP1IN)-(c_TFWD)),2)),((c_TMAP1IN)-(c_TFWD)))+(0)+IF(((c_TMAP1OUT)-(0))&gt;=0,IF(IF(o_WRAP=1,MOD(((c_TMAP1IN)-(c_TFWD))*(((K165)-(c_TFWD))*((c_TMAP1OUT)-(0))+IF(((c_TMAP1OUT)-(0))&gt;=0,1,-1)*QUOTIENT(((c_TMAP1IN)-(c_TFWD)),2))+2147483648,4294967296)-2147483648,((c_TMAP1IN)-(c_TFWD))*(((K165)-(c_TFWD))*((c_TMAP1OUT)-(0))+IF(((c_TMAP1OUT)-(0))&gt;=0,1,-1)*QUOTIENT(((c_TMAP1IN)-(c_TFWD)),2)))&lt;0,-1,0),IF(IF(o_WRAP=1,MOD(((c_TMAP1IN)-(c_TFWD))*(((K165)-(c_TFWD))*((c_TMAP1OUT)-(0))+IF(((c_TMAP1OUT)-(0))&gt;=0,1,-1)*QUOTIENT(((c_TMAP1IN)-(c_TFWD)),2))+2147483648,4294967296)-2147483648,((c_TMAP1IN)-(c_TFWD))*(((K165)-(c_TFWD))*((c_TMAP1OUT)-(0))+IF(((c_TMAP1OUT)-(0))&gt;=0,1,-1)*QUOTIENT(((c_TMAP1IN)-(c_TFWD)),2)))&gt;=0,1,0)))</f>
        <v>251</v>
      </c>
      <c r="N165" s="7" t="n">
        <f aca="false">IF(((c_TMAP2IN)-(c_TMAP1IN))=0,(c_TMAP1OUT)+QUOTIENT(((c_TMAP2OUT)-(c_TMAP1OUT)),2),QUOTIENT((((K165)-(c_TMAP1IN))*((c_TMAP2OUT)-(c_TMAP1OUT))+IF(((c_TMAP2OUT)-(c_TMAP1OUT))&gt;=0,1,-1)*QUOTIENT(((c_TMAP2IN)-(c_TMAP1IN)),2)),((c_TMAP2IN)-(c_TMAP1IN)))+(c_TMAP1OUT)+IF(((c_TMAP2OUT)-(c_TMAP1OUT))&gt;=0,IF(IF(o_WRAP=1,MOD(((c_TMAP2IN)-(c_TMAP1IN))*(((K165)-(c_TMAP1IN))*((c_TMAP2OUT)-(c_TMAP1OUT))+IF(((c_TMAP2OUT)-(c_TMAP1OUT))&gt;=0,1,-1)*QUOTIENT(((c_TMAP2IN)-(c_TMAP1IN)),2))+2147483648,4294967296)-2147483648,((c_TMAP2IN)-(c_TMAP1IN))*(((K165)-(c_TMAP1IN))*((c_TMAP2OUT)-(c_TMAP1OUT))+IF(((c_TMAP2OUT)-(c_TMAP1OUT))&gt;=0,1,-1)*QUOTIENT(((c_TMAP2IN)-(c_TMAP1IN)),2)))&lt;0,-1,0),IF(IF(o_WRAP=1,MOD(((c_TMAP2IN)-(c_TMAP1IN))*(((K165)-(c_TMAP1IN))*((c_TMAP2OUT)-(c_TMAP1OUT))+IF(((c_TMAP2OUT)-(c_TMAP1OUT))&gt;=0,1,-1)*QUOTIENT(((c_TMAP2IN)-(c_TMAP1IN)),2))+2147483648,4294967296)-2147483648,((c_TMAP2IN)-(c_TMAP1IN))*(((K165)-(c_TMAP1IN))*((c_TMAP2OUT)-(c_TMAP1OUT))+IF(((c_TMAP2OUT)-(c_TMAP1OUT))&gt;=0,1,-1)*QUOTIENT(((c_TMAP2IN)-(c_TMAP1IN)),2)))&gt;=0,1,0)))</f>
        <v>163</v>
      </c>
      <c r="O165" s="7" t="n">
        <f aca="false">IF(((c_TMAP3IN)-(c_TMAP2IN))=0,(c_TMAP2OUT)+QUOTIENT(((c_TMAP3OUT)-(c_TMAP2OUT)),2),QUOTIENT((((K165)-(c_TMAP2IN))*((c_TMAP3OUT)-(c_TMAP2OUT))+IF(((c_TMAP3OUT)-(c_TMAP2OUT))&gt;=0,1,-1)*QUOTIENT(((c_TMAP3IN)-(c_TMAP2IN)),2)),((c_TMAP3IN)-(c_TMAP2IN)))+(c_TMAP2OUT)+IF(((c_TMAP3OUT)-(c_TMAP2OUT))&gt;=0,IF(IF(o_WRAP=1,MOD(((c_TMAP3IN)-(c_TMAP2IN))*(((K165)-(c_TMAP2IN))*((c_TMAP3OUT)-(c_TMAP2OUT))+IF(((c_TMAP3OUT)-(c_TMAP2OUT))&gt;=0,1,-1)*QUOTIENT(((c_TMAP3IN)-(c_TMAP2IN)),2))+2147483648,4294967296)-2147483648,((c_TMAP3IN)-(c_TMAP2IN))*(((K165)-(c_TMAP2IN))*((c_TMAP3OUT)-(c_TMAP2OUT))+IF(((c_TMAP3OUT)-(c_TMAP2OUT))&gt;=0,1,-1)*QUOTIENT(((c_TMAP3IN)-(c_TMAP2IN)),2)))&lt;0,-1,0),IF(IF(o_WRAP=1,MOD(((c_TMAP3IN)-(c_TMAP2IN))*(((K165)-(c_TMAP2IN))*((c_TMAP3OUT)-(c_TMAP2OUT))+IF(((c_TMAP3OUT)-(c_TMAP2OUT))&gt;=0,1,-1)*QUOTIENT(((c_TMAP3IN)-(c_TMAP2IN)),2))+2147483648,4294967296)-2147483648,((c_TMAP3IN)-(c_TMAP2IN))*(((K165)-(c_TMAP2IN))*((c_TMAP3OUT)-(c_TMAP2OUT))+IF(((c_TMAP3OUT)-(c_TMAP2OUT))&gt;=0,1,-1)*QUOTIENT(((c_TMAP3IN)-(c_TMAP2IN)),2)))&gt;=0,1,0)))</f>
        <v>188</v>
      </c>
      <c r="P165" s="7" t="n">
        <f aca="false">IF(((1000)-(c_TMAP3IN))=0,(c_TMAP3OUT)+QUOTIENT(((1000)-(c_TMAP3OUT)),2),QUOTIENT((((K165)-(c_TMAP3IN))*((1000)-(c_TMAP3OUT))+IF(((1000)-(c_TMAP3OUT))&gt;=0,1,-1)*QUOTIENT(((1000)-(c_TMAP3IN)),2)),((1000)-(c_TMAP3IN)))+(c_TMAP3OUT)+IF(((1000)-(c_TMAP3OUT))&gt;=0,IF(IF(o_WRAP=1,MOD(((1000)-(c_TMAP3IN))*(((K165)-(c_TMAP3IN))*((1000)-(c_TMAP3OUT))+IF(((1000)-(c_TMAP3OUT))&gt;=0,1,-1)*QUOTIENT(((1000)-(c_TMAP3IN)),2))+2147483648,4294967296)-2147483648,((1000)-(c_TMAP3IN))*(((K165)-(c_TMAP3IN))*((1000)-(c_TMAP3OUT))+IF(((1000)-(c_TMAP3OUT))&gt;=0,1,-1)*QUOTIENT(((1000)-(c_TMAP3IN)),2)))&lt;0,-1,0),IF(IF(o_WRAP=1,MOD(((1000)-(c_TMAP3IN))*(((K165)-(c_TMAP3IN))*((1000)-(c_TMAP3OUT))+IF(((1000)-(c_TMAP3OUT))&gt;=0,1,-1)*QUOTIENT(((1000)-(c_TMAP3IN)),2))+2147483648,4294967296)-2147483648,((1000)-(c_TMAP3IN))*(((K165)-(c_TMAP3IN))*((1000)-(c_TMAP3OUT))+IF(((1000)-(c_TMAP3OUT))&gt;=0,1,-1)*QUOTIENT(((1000)-(c_TMAP3IN)),2)))&gt;=0,1,0)))</f>
        <v>179</v>
      </c>
      <c r="Q165" s="7" t="str">
        <f aca="false">IF(K165&gt;=c_TFWD,IF(AND(K165&gt;=c_TMAP3IN,c_TMAP3IN&lt;1000),"Seg4 map3-100%",IF(AND(K165&gt;=c_TMAP2IN,c_TMAP3IN&gt;c_TMAP2IN),"Seg3 map2-map3",IF(AND(K165&gt;=c_TMAP1IN,c_TMAP2IN&gt;c_TMAP1IN),"Seg2 map1-map2","Seg1 TFWD-map1"))),IF(AND(K165=0,c_TCREEP&gt;0),"Creep",IF(AND(K165&lt;=c_TRNGMIN,K165&gt;=c_TRNGMAX,c_TRNGMIN-c_TRNGMAX&lt;&gt;0),"Regen ramp","Coast (0)")))</f>
        <v>Seg3 map2-map3</v>
      </c>
      <c r="R165" s="7" t="n">
        <f aca="false">IF(K165&gt;=c_TFWD,IF(AND(K165&gt;=c_TMAP3IN,c_TMAP3IN&lt;1000),P165,IF(AND(K165&gt;=c_TMAP2IN,c_TMAP3IN&gt;c_TMAP2IN),O165,IF(AND(K165&gt;=c_TMAP1IN,c_TMAP2IN&gt;c_TMAP1IN),N165,M165))),L165)</f>
        <v>188</v>
      </c>
      <c r="S165" s="7" t="str">
        <f aca="false">IF(R165&lt;-1090,"TOO LOW",IF(R165&gt;1090,"TOO HIGH",""))</f>
        <v/>
      </c>
      <c r="T165" s="15" t="n">
        <f aca="false">IF(H165&lt;&gt;"OK",0,IF(S165&lt;&gt;"",0,IF(R165&gt;979,1000,R165)))</f>
        <v>188</v>
      </c>
      <c r="U165" s="7" t="n">
        <f aca="false">T165/10</f>
        <v>18.8</v>
      </c>
    </row>
    <row r="166" customFormat="false" ht="15" hidden="false" customHeight="false" outlineLevel="0" collapsed="false">
      <c r="A166" s="7" t="n">
        <v>161</v>
      </c>
      <c r="B166" s="7" t="n">
        <f aca="false">ROUND(o_SWSTART+A166*(o_SWEND-o_SWSTART)/400,0)</f>
        <v>1648</v>
      </c>
      <c r="C166" s="7" t="n">
        <f aca="false">QUOTIENT((B166-c_OFF1)*c_GAIN1,1024)</f>
        <v>1648</v>
      </c>
      <c r="D166" s="7" t="n">
        <f aca="false">IF(((c_T1MX)-(c_T1MN))=0,(0)+QUOTIENT(((1000)-(0)),2),QUOTIENT((((C166)-(c_T1MN))*((1000)-(0))+IF(((1000)-(0))&gt;=0,1,-1)*QUOTIENT(((c_T1MX)-(c_T1MN)),2)),((c_T1MX)-(c_T1MN)))+(0)+IF(((1000)-(0))&gt;=0,IF(IF(o_WRAP=1,MOD(((c_T1MX)-(c_T1MN))*(((C166)-(c_T1MN))*((1000)-(0))+IF(((1000)-(0))&gt;=0,1,-1)*QUOTIENT(((c_T1MX)-(c_T1MN)),2))+2147483648,4294967296)-2147483648,((c_T1MX)-(c_T1MN))*(((C166)-(c_T1MN))*((1000)-(0))+IF(((1000)-(0))&gt;=0,1,-1)*QUOTIENT(((c_T1MX)-(c_T1MN)),2)))&lt;0,-1,0),IF(IF(o_WRAP=1,MOD(((c_T1MX)-(c_T1MN))*(((C166)-(c_T1MN))*((1000)-(0))+IF(((1000)-(0))&gt;=0,1,-1)*QUOTIENT(((c_T1MX)-(c_T1MN)),2))+2147483648,4294967296)-2147483648,((c_T1MX)-(c_T1MN))*(((C166)-(c_T1MN))*((1000)-(0))+IF(((1000)-(0))&gt;=0,1,-1)*QUOTIENT(((c_T1MX)-(c_T1MN)),2)))&gt;=0,1,0)))</f>
        <v>337</v>
      </c>
      <c r="E166" s="7" t="n">
        <f aca="false">IF(AND(c_TPOT=1,c_TTYPE=2),1000-D166,D166)</f>
        <v>337</v>
      </c>
      <c r="F166" s="7" t="str">
        <f aca="false">IF(c_TPOT&gt;1,ROUND(IF(c_TTYPE=2,c_T2MX-IF(c_T1MX=c_T1MN,0,(C166-c_T1MN)/(c_T1MX-c_T1MN))*(c_T2MX-c_T2MN),c_T2MN+IF(c_T1MX=c_T1MN,0,(C166-c_T1MN)/(c_T1MX-c_T1MN))*(c_T2MX-c_T2MN))+o_MISMATCH,0),"")</f>
        <v/>
      </c>
      <c r="G166" s="7" t="str">
        <f aca="false">IF(c_TPOT&gt;1,IF(((c_T2MX)-(c_T2MN))=0,(0)+QUOTIENT(((1000)-(0)),2),QUOTIENT((((F166)-(c_T2MN))*((1000)-(0))+IF(((1000)-(0))&gt;=0,1,-1)*QUOTIENT(((c_T2MX)-(c_T2MN)),2)),((c_T2MX)-(c_T2MN)))+(0)+IF(((1000)-(0))&gt;=0,IF(IF(o_WRAP=1,MOD(((c_T2MX)-(c_T2MN))*(((F166)-(c_T2MN))*((1000)-(0))+IF(((1000)-(0))&gt;=0,1,-1)*QUOTIENT(((c_T2MX)-(c_T2MN)),2))+2147483648,4294967296)-2147483648,((c_T2MX)-(c_T2MN))*(((F166)-(c_T2MN))*((1000)-(0))+IF(((1000)-(0))&gt;=0,1,-1)*QUOTIENT(((c_T2MX)-(c_T2MN)),2)))&lt;0,-1,0),IF(IF(o_WRAP=1,MOD(((c_T2MX)-(c_T2MN))*(((F166)-(c_T2MN))*((1000)-(0))+IF(((1000)-(0))&gt;=0,1,-1)*QUOTIENT(((c_T2MX)-(c_T2MN)),2))+2147483648,4294967296)-2147483648,((c_T2MX)-(c_T2MN))*(((F166)-(c_T2MN))*((1000)-(0))+IF(((1000)-(0))&gt;=0,1,-1)*QUOTIENT(((c_T2MX)-(c_T2MN)),2)))&gt;=0,1,0))),"")</f>
        <v/>
      </c>
      <c r="H166" s="7" t="str">
        <f aca="false">IF(E166&gt;1000+k_TOL,"T1 HIGH",IF(E166&lt;0-k_TOL,"T1 LOW",IF(c_TPOT&gt;1,IF(G166&gt;1000+k_TOL,"T2 HIGH",IF(G166&lt;0-k_TOL,"T2 LOW",IF(c_TTYPE=2,IF(ABS(1000-MAX(0,MIN(1000,E166))-MAX(0,MIN(1000,G166)))&gt;k_MAXERR,"MISMATCH","OK"),IF(OR(MAX(0,MIN(1000,E166))-k_MAXERR&gt;MAX(0,MIN(1000,G166)),MAX(0,MIN(1000,G166))-k_MAXERR&gt;MAX(0,MIN(1000,E166))),"MISMATCH","OK")))),"OK")))</f>
        <v>OK</v>
      </c>
      <c r="I166" s="7" t="n">
        <f aca="false">MAX(0,MIN(1000,D166))</f>
        <v>337</v>
      </c>
      <c r="J166" s="7" t="str">
        <f aca="false">IF(c_TPOT&gt;1,IF(c_TTYPE=2,1000-MAX(0,MIN(1000,G166)),MAX(0,MIN(1000,G166))),"")</f>
        <v/>
      </c>
      <c r="K166" s="7" t="n">
        <f aca="false">IF(c_TPOT&gt;1,QUOTIENT(I166+J166,2),I166)</f>
        <v>337</v>
      </c>
      <c r="L166" s="7" t="n">
        <f aca="false">IF(AND(K166=0,c_TCREEP&gt;0),10*c_TCREEP,IF(AND(K166&lt;=c_TRNGMIN,K166&gt;=c_TRNGMAX,c_TRNGMIN-c_TRNGMAX&lt;&gt;0),-10*c_TMINRN+QUOTIENT((c_TMAXRN-c_TMINRN)*(100-QUOTIENT((K166-c_TRNGMAX)*100,c_TRNGMIN-c_TRNGMAX)),-10),0))</f>
        <v>0</v>
      </c>
      <c r="M166" s="7" t="n">
        <f aca="false">IF(((c_TMAP1IN)-(c_TFWD))=0,(0)+QUOTIENT(((c_TMAP1OUT)-(0)),2),QUOTIENT((((K166)-(c_TFWD))*((c_TMAP1OUT)-(0))+IF(((c_TMAP1OUT)-(0))&gt;=0,1,-1)*QUOTIENT(((c_TMAP1IN)-(c_TFWD)),2)),((c_TMAP1IN)-(c_TFWD)))+(0)+IF(((c_TMAP1OUT)-(0))&gt;=0,IF(IF(o_WRAP=1,MOD(((c_TMAP1IN)-(c_TFWD))*(((K166)-(c_TFWD))*((c_TMAP1OUT)-(0))+IF(((c_TMAP1OUT)-(0))&gt;=0,1,-1)*QUOTIENT(((c_TMAP1IN)-(c_TFWD)),2))+2147483648,4294967296)-2147483648,((c_TMAP1IN)-(c_TFWD))*(((K166)-(c_TFWD))*((c_TMAP1OUT)-(0))+IF(((c_TMAP1OUT)-(0))&gt;=0,1,-1)*QUOTIENT(((c_TMAP1IN)-(c_TFWD)),2)))&lt;0,-1,0),IF(IF(o_WRAP=1,MOD(((c_TMAP1IN)-(c_TFWD))*(((K166)-(c_TFWD))*((c_TMAP1OUT)-(0))+IF(((c_TMAP1OUT)-(0))&gt;=0,1,-1)*QUOTIENT(((c_TMAP1IN)-(c_TFWD)),2))+2147483648,4294967296)-2147483648,((c_TMAP1IN)-(c_TFWD))*(((K166)-(c_TFWD))*((c_TMAP1OUT)-(0))+IF(((c_TMAP1OUT)-(0))&gt;=0,1,-1)*QUOTIENT(((c_TMAP1IN)-(c_TFWD)),2)))&gt;=0,1,0)))</f>
        <v>254</v>
      </c>
      <c r="N166" s="7" t="n">
        <f aca="false">IF(((c_TMAP2IN)-(c_TMAP1IN))=0,(c_TMAP1OUT)+QUOTIENT(((c_TMAP2OUT)-(c_TMAP1OUT)),2),QUOTIENT((((K166)-(c_TMAP1IN))*((c_TMAP2OUT)-(c_TMAP1OUT))+IF(((c_TMAP2OUT)-(c_TMAP1OUT))&gt;=0,1,-1)*QUOTIENT(((c_TMAP2IN)-(c_TMAP1IN)),2)),((c_TMAP2IN)-(c_TMAP1IN)))+(c_TMAP1OUT)+IF(((c_TMAP2OUT)-(c_TMAP1OUT))&gt;=0,IF(IF(o_WRAP=1,MOD(((c_TMAP2IN)-(c_TMAP1IN))*(((K166)-(c_TMAP1IN))*((c_TMAP2OUT)-(c_TMAP1OUT))+IF(((c_TMAP2OUT)-(c_TMAP1OUT))&gt;=0,1,-1)*QUOTIENT(((c_TMAP2IN)-(c_TMAP1IN)),2))+2147483648,4294967296)-2147483648,((c_TMAP2IN)-(c_TMAP1IN))*(((K166)-(c_TMAP1IN))*((c_TMAP2OUT)-(c_TMAP1OUT))+IF(((c_TMAP2OUT)-(c_TMAP1OUT))&gt;=0,1,-1)*QUOTIENT(((c_TMAP2IN)-(c_TMAP1IN)),2)))&lt;0,-1,0),IF(IF(o_WRAP=1,MOD(((c_TMAP2IN)-(c_TMAP1IN))*(((K166)-(c_TMAP1IN))*((c_TMAP2OUT)-(c_TMAP1OUT))+IF(((c_TMAP2OUT)-(c_TMAP1OUT))&gt;=0,1,-1)*QUOTIENT(((c_TMAP2IN)-(c_TMAP1IN)),2))+2147483648,4294967296)-2147483648,((c_TMAP2IN)-(c_TMAP1IN))*(((K166)-(c_TMAP1IN))*((c_TMAP2OUT)-(c_TMAP1OUT))+IF(((c_TMAP2OUT)-(c_TMAP1OUT))&gt;=0,1,-1)*QUOTIENT(((c_TMAP2IN)-(c_TMAP1IN)),2)))&gt;=0,1,0)))</f>
        <v>165</v>
      </c>
      <c r="O166" s="7" t="n">
        <f aca="false">IF(((c_TMAP3IN)-(c_TMAP2IN))=0,(c_TMAP2OUT)+QUOTIENT(((c_TMAP3OUT)-(c_TMAP2OUT)),2),QUOTIENT((((K166)-(c_TMAP2IN))*((c_TMAP3OUT)-(c_TMAP2OUT))+IF(((c_TMAP3OUT)-(c_TMAP2OUT))&gt;=0,1,-1)*QUOTIENT(((c_TMAP3IN)-(c_TMAP2IN)),2)),((c_TMAP3IN)-(c_TMAP2IN)))+(c_TMAP2OUT)+IF(((c_TMAP3OUT)-(c_TMAP2OUT))&gt;=0,IF(IF(o_WRAP=1,MOD(((c_TMAP3IN)-(c_TMAP2IN))*(((K166)-(c_TMAP2IN))*((c_TMAP3OUT)-(c_TMAP2OUT))+IF(((c_TMAP3OUT)-(c_TMAP2OUT))&gt;=0,1,-1)*QUOTIENT(((c_TMAP3IN)-(c_TMAP2IN)),2))+2147483648,4294967296)-2147483648,((c_TMAP3IN)-(c_TMAP2IN))*(((K166)-(c_TMAP2IN))*((c_TMAP3OUT)-(c_TMAP2OUT))+IF(((c_TMAP3OUT)-(c_TMAP2OUT))&gt;=0,1,-1)*QUOTIENT(((c_TMAP3IN)-(c_TMAP2IN)),2)))&lt;0,-1,0),IF(IF(o_WRAP=1,MOD(((c_TMAP3IN)-(c_TMAP2IN))*(((K166)-(c_TMAP2IN))*((c_TMAP3OUT)-(c_TMAP2OUT))+IF(((c_TMAP3OUT)-(c_TMAP2OUT))&gt;=0,1,-1)*QUOTIENT(((c_TMAP3IN)-(c_TMAP2IN)),2))+2147483648,4294967296)-2147483648,((c_TMAP3IN)-(c_TMAP2IN))*(((K166)-(c_TMAP2IN))*((c_TMAP3OUT)-(c_TMAP2OUT))+IF(((c_TMAP3OUT)-(c_TMAP2OUT))&gt;=0,1,-1)*QUOTIENT(((c_TMAP3IN)-(c_TMAP2IN)),2)))&gt;=0,1,0)))</f>
        <v>191</v>
      </c>
      <c r="P166" s="7" t="n">
        <f aca="false">IF(((1000)-(c_TMAP3IN))=0,(c_TMAP3OUT)+QUOTIENT(((1000)-(c_TMAP3OUT)),2),QUOTIENT((((K166)-(c_TMAP3IN))*((1000)-(c_TMAP3OUT))+IF(((1000)-(c_TMAP3OUT))&gt;=0,1,-1)*QUOTIENT(((1000)-(c_TMAP3IN)),2)),((1000)-(c_TMAP3IN)))+(c_TMAP3OUT)+IF(((1000)-(c_TMAP3OUT))&gt;=0,IF(IF(o_WRAP=1,MOD(((1000)-(c_TMAP3IN))*(((K166)-(c_TMAP3IN))*((1000)-(c_TMAP3OUT))+IF(((1000)-(c_TMAP3OUT))&gt;=0,1,-1)*QUOTIENT(((1000)-(c_TMAP3IN)),2))+2147483648,4294967296)-2147483648,((1000)-(c_TMAP3IN))*(((K166)-(c_TMAP3IN))*((1000)-(c_TMAP3OUT))+IF(((1000)-(c_TMAP3OUT))&gt;=0,1,-1)*QUOTIENT(((1000)-(c_TMAP3IN)),2)))&lt;0,-1,0),IF(IF(o_WRAP=1,MOD(((1000)-(c_TMAP3IN))*(((K166)-(c_TMAP3IN))*((1000)-(c_TMAP3OUT))+IF(((1000)-(c_TMAP3OUT))&gt;=0,1,-1)*QUOTIENT(((1000)-(c_TMAP3IN)),2))+2147483648,4294967296)-2147483648,((1000)-(c_TMAP3IN))*(((K166)-(c_TMAP3IN))*((1000)-(c_TMAP3OUT))+IF(((1000)-(c_TMAP3OUT))&gt;=0,1,-1)*QUOTIENT(((1000)-(c_TMAP3IN)),2)))&gt;=0,1,0)))</f>
        <v>184</v>
      </c>
      <c r="Q166" s="7" t="str">
        <f aca="false">IF(K166&gt;=c_TFWD,IF(AND(K166&gt;=c_TMAP3IN,c_TMAP3IN&lt;1000),"Seg4 map3-100%",IF(AND(K166&gt;=c_TMAP2IN,c_TMAP3IN&gt;c_TMAP2IN),"Seg3 map2-map3",IF(AND(K166&gt;=c_TMAP1IN,c_TMAP2IN&gt;c_TMAP1IN),"Seg2 map1-map2","Seg1 TFWD-map1"))),IF(AND(K166=0,c_TCREEP&gt;0),"Creep",IF(AND(K166&lt;=c_TRNGMIN,K166&gt;=c_TRNGMAX,c_TRNGMIN-c_TRNGMAX&lt;&gt;0),"Regen ramp","Coast (0)")))</f>
        <v>Seg3 map2-map3</v>
      </c>
      <c r="R166" s="7" t="n">
        <f aca="false">IF(K166&gt;=c_TFWD,IF(AND(K166&gt;=c_TMAP3IN,c_TMAP3IN&lt;1000),P166,IF(AND(K166&gt;=c_TMAP2IN,c_TMAP3IN&gt;c_TMAP2IN),O166,IF(AND(K166&gt;=c_TMAP1IN,c_TMAP2IN&gt;c_TMAP1IN),N166,M166))),L166)</f>
        <v>191</v>
      </c>
      <c r="S166" s="7" t="str">
        <f aca="false">IF(R166&lt;-1090,"TOO LOW",IF(R166&gt;1090,"TOO HIGH",""))</f>
        <v/>
      </c>
      <c r="T166" s="15" t="n">
        <f aca="false">IF(H166&lt;&gt;"OK",0,IF(S166&lt;&gt;"",0,IF(R166&gt;979,1000,R166)))</f>
        <v>191</v>
      </c>
      <c r="U166" s="7" t="n">
        <f aca="false">T166/10</f>
        <v>19.1</v>
      </c>
    </row>
    <row r="167" customFormat="false" ht="15" hidden="false" customHeight="false" outlineLevel="0" collapsed="false">
      <c r="A167" s="7" t="n">
        <v>162</v>
      </c>
      <c r="B167" s="7" t="n">
        <f aca="false">ROUND(o_SWSTART+A167*(o_SWEND-o_SWSTART)/400,0)</f>
        <v>1658</v>
      </c>
      <c r="C167" s="7" t="n">
        <f aca="false">QUOTIENT((B167-c_OFF1)*c_GAIN1,1024)</f>
        <v>1658</v>
      </c>
      <c r="D167" s="7" t="n">
        <f aca="false">IF(((c_T1MX)-(c_T1MN))=0,(0)+QUOTIENT(((1000)-(0)),2),QUOTIENT((((C167)-(c_T1MN))*((1000)-(0))+IF(((1000)-(0))&gt;=0,1,-1)*QUOTIENT(((c_T1MX)-(c_T1MN)),2)),((c_T1MX)-(c_T1MN)))+(0)+IF(((1000)-(0))&gt;=0,IF(IF(o_WRAP=1,MOD(((c_T1MX)-(c_T1MN))*(((C167)-(c_T1MN))*((1000)-(0))+IF(((1000)-(0))&gt;=0,1,-1)*QUOTIENT(((c_T1MX)-(c_T1MN)),2))+2147483648,4294967296)-2147483648,((c_T1MX)-(c_T1MN))*(((C167)-(c_T1MN))*((1000)-(0))+IF(((1000)-(0))&gt;=0,1,-1)*QUOTIENT(((c_T1MX)-(c_T1MN)),2)))&lt;0,-1,0),IF(IF(o_WRAP=1,MOD(((c_T1MX)-(c_T1MN))*(((C167)-(c_T1MN))*((1000)-(0))+IF(((1000)-(0))&gt;=0,1,-1)*QUOTIENT(((c_T1MX)-(c_T1MN)),2))+2147483648,4294967296)-2147483648,((c_T1MX)-(c_T1MN))*(((C167)-(c_T1MN))*((1000)-(0))+IF(((1000)-(0))&gt;=0,1,-1)*QUOTIENT(((c_T1MX)-(c_T1MN)),2)))&gt;=0,1,0)))</f>
        <v>340</v>
      </c>
      <c r="E167" s="7" t="n">
        <f aca="false">IF(AND(c_TPOT=1,c_TTYPE=2),1000-D167,D167)</f>
        <v>340</v>
      </c>
      <c r="F167" s="7" t="str">
        <f aca="false">IF(c_TPOT&gt;1,ROUND(IF(c_TTYPE=2,c_T2MX-IF(c_T1MX=c_T1MN,0,(C167-c_T1MN)/(c_T1MX-c_T1MN))*(c_T2MX-c_T2MN),c_T2MN+IF(c_T1MX=c_T1MN,0,(C167-c_T1MN)/(c_T1MX-c_T1MN))*(c_T2MX-c_T2MN))+o_MISMATCH,0),"")</f>
        <v/>
      </c>
      <c r="G167" s="7" t="str">
        <f aca="false">IF(c_TPOT&gt;1,IF(((c_T2MX)-(c_T2MN))=0,(0)+QUOTIENT(((1000)-(0)),2),QUOTIENT((((F167)-(c_T2MN))*((1000)-(0))+IF(((1000)-(0))&gt;=0,1,-1)*QUOTIENT(((c_T2MX)-(c_T2MN)),2)),((c_T2MX)-(c_T2MN)))+(0)+IF(((1000)-(0))&gt;=0,IF(IF(o_WRAP=1,MOD(((c_T2MX)-(c_T2MN))*(((F167)-(c_T2MN))*((1000)-(0))+IF(((1000)-(0))&gt;=0,1,-1)*QUOTIENT(((c_T2MX)-(c_T2MN)),2))+2147483648,4294967296)-2147483648,((c_T2MX)-(c_T2MN))*(((F167)-(c_T2MN))*((1000)-(0))+IF(((1000)-(0))&gt;=0,1,-1)*QUOTIENT(((c_T2MX)-(c_T2MN)),2)))&lt;0,-1,0),IF(IF(o_WRAP=1,MOD(((c_T2MX)-(c_T2MN))*(((F167)-(c_T2MN))*((1000)-(0))+IF(((1000)-(0))&gt;=0,1,-1)*QUOTIENT(((c_T2MX)-(c_T2MN)),2))+2147483648,4294967296)-2147483648,((c_T2MX)-(c_T2MN))*(((F167)-(c_T2MN))*((1000)-(0))+IF(((1000)-(0))&gt;=0,1,-1)*QUOTIENT(((c_T2MX)-(c_T2MN)),2)))&gt;=0,1,0))),"")</f>
        <v/>
      </c>
      <c r="H167" s="7" t="str">
        <f aca="false">IF(E167&gt;1000+k_TOL,"T1 HIGH",IF(E167&lt;0-k_TOL,"T1 LOW",IF(c_TPOT&gt;1,IF(G167&gt;1000+k_TOL,"T2 HIGH",IF(G167&lt;0-k_TOL,"T2 LOW",IF(c_TTYPE=2,IF(ABS(1000-MAX(0,MIN(1000,E167))-MAX(0,MIN(1000,G167)))&gt;k_MAXERR,"MISMATCH","OK"),IF(OR(MAX(0,MIN(1000,E167))-k_MAXERR&gt;MAX(0,MIN(1000,G167)),MAX(0,MIN(1000,G167))-k_MAXERR&gt;MAX(0,MIN(1000,E167))),"MISMATCH","OK")))),"OK")))</f>
        <v>OK</v>
      </c>
      <c r="I167" s="7" t="n">
        <f aca="false">MAX(0,MIN(1000,D167))</f>
        <v>340</v>
      </c>
      <c r="J167" s="7" t="str">
        <f aca="false">IF(c_TPOT&gt;1,IF(c_TTYPE=2,1000-MAX(0,MIN(1000,G167)),MAX(0,MIN(1000,G167))),"")</f>
        <v/>
      </c>
      <c r="K167" s="7" t="n">
        <f aca="false">IF(c_TPOT&gt;1,QUOTIENT(I167+J167,2),I167)</f>
        <v>340</v>
      </c>
      <c r="L167" s="7" t="n">
        <f aca="false">IF(AND(K167=0,c_TCREEP&gt;0),10*c_TCREEP,IF(AND(K167&lt;=c_TRNGMIN,K167&gt;=c_TRNGMAX,c_TRNGMIN-c_TRNGMAX&lt;&gt;0),-10*c_TMINRN+QUOTIENT((c_TMAXRN-c_TMINRN)*(100-QUOTIENT((K167-c_TRNGMAX)*100,c_TRNGMIN-c_TRNGMAX)),-10),0))</f>
        <v>0</v>
      </c>
      <c r="M167" s="7" t="n">
        <f aca="false">IF(((c_TMAP1IN)-(c_TFWD))=0,(0)+QUOTIENT(((c_TMAP1OUT)-(0)),2),QUOTIENT((((K167)-(c_TFWD))*((c_TMAP1OUT)-(0))+IF(((c_TMAP1OUT)-(0))&gt;=0,1,-1)*QUOTIENT(((c_TMAP1IN)-(c_TFWD)),2)),((c_TMAP1IN)-(c_TFWD)))+(0)+IF(((c_TMAP1OUT)-(0))&gt;=0,IF(IF(o_WRAP=1,MOD(((c_TMAP1IN)-(c_TFWD))*(((K167)-(c_TFWD))*((c_TMAP1OUT)-(0))+IF(((c_TMAP1OUT)-(0))&gt;=0,1,-1)*QUOTIENT(((c_TMAP1IN)-(c_TFWD)),2))+2147483648,4294967296)-2147483648,((c_TMAP1IN)-(c_TFWD))*(((K167)-(c_TFWD))*((c_TMAP1OUT)-(0))+IF(((c_TMAP1OUT)-(0))&gt;=0,1,-1)*QUOTIENT(((c_TMAP1IN)-(c_TFWD)),2)))&lt;0,-1,0),IF(IF(o_WRAP=1,MOD(((c_TMAP1IN)-(c_TFWD))*(((K167)-(c_TFWD))*((c_TMAP1OUT)-(0))+IF(((c_TMAP1OUT)-(0))&gt;=0,1,-1)*QUOTIENT(((c_TMAP1IN)-(c_TFWD)),2))+2147483648,4294967296)-2147483648,((c_TMAP1IN)-(c_TFWD))*(((K167)-(c_TFWD))*((c_TMAP1OUT)-(0))+IF(((c_TMAP1OUT)-(0))&gt;=0,1,-1)*QUOTIENT(((c_TMAP1IN)-(c_TFWD)),2)))&gt;=0,1,0)))</f>
        <v>257</v>
      </c>
      <c r="N167" s="7" t="n">
        <f aca="false">IF(((c_TMAP2IN)-(c_TMAP1IN))=0,(c_TMAP1OUT)+QUOTIENT(((c_TMAP2OUT)-(c_TMAP1OUT)),2),QUOTIENT((((K167)-(c_TMAP1IN))*((c_TMAP2OUT)-(c_TMAP1OUT))+IF(((c_TMAP2OUT)-(c_TMAP1OUT))&gt;=0,1,-1)*QUOTIENT(((c_TMAP2IN)-(c_TMAP1IN)),2)),((c_TMAP2IN)-(c_TMAP1IN)))+(c_TMAP1OUT)+IF(((c_TMAP2OUT)-(c_TMAP1OUT))&gt;=0,IF(IF(o_WRAP=1,MOD(((c_TMAP2IN)-(c_TMAP1IN))*(((K167)-(c_TMAP1IN))*((c_TMAP2OUT)-(c_TMAP1OUT))+IF(((c_TMAP2OUT)-(c_TMAP1OUT))&gt;=0,1,-1)*QUOTIENT(((c_TMAP2IN)-(c_TMAP1IN)),2))+2147483648,4294967296)-2147483648,((c_TMAP2IN)-(c_TMAP1IN))*(((K167)-(c_TMAP1IN))*((c_TMAP2OUT)-(c_TMAP1OUT))+IF(((c_TMAP2OUT)-(c_TMAP1OUT))&gt;=0,1,-1)*QUOTIENT(((c_TMAP2IN)-(c_TMAP1IN)),2)))&lt;0,-1,0),IF(IF(o_WRAP=1,MOD(((c_TMAP2IN)-(c_TMAP1IN))*(((K167)-(c_TMAP1IN))*((c_TMAP2OUT)-(c_TMAP1OUT))+IF(((c_TMAP2OUT)-(c_TMAP1OUT))&gt;=0,1,-1)*QUOTIENT(((c_TMAP2IN)-(c_TMAP1IN)),2))+2147483648,4294967296)-2147483648,((c_TMAP2IN)-(c_TMAP1IN))*(((K167)-(c_TMAP1IN))*((c_TMAP2OUT)-(c_TMAP1OUT))+IF(((c_TMAP2OUT)-(c_TMAP1OUT))&gt;=0,1,-1)*QUOTIENT(((c_TMAP2IN)-(c_TMAP1IN)),2)))&gt;=0,1,0)))</f>
        <v>166</v>
      </c>
      <c r="O167" s="7" t="n">
        <f aca="false">IF(((c_TMAP3IN)-(c_TMAP2IN))=0,(c_TMAP2OUT)+QUOTIENT(((c_TMAP3OUT)-(c_TMAP2OUT)),2),QUOTIENT((((K167)-(c_TMAP2IN))*((c_TMAP3OUT)-(c_TMAP2OUT))+IF(((c_TMAP3OUT)-(c_TMAP2OUT))&gt;=0,1,-1)*QUOTIENT(((c_TMAP3IN)-(c_TMAP2IN)),2)),((c_TMAP3IN)-(c_TMAP2IN)))+(c_TMAP2OUT)+IF(((c_TMAP3OUT)-(c_TMAP2OUT))&gt;=0,IF(IF(o_WRAP=1,MOD(((c_TMAP3IN)-(c_TMAP2IN))*(((K167)-(c_TMAP2IN))*((c_TMAP3OUT)-(c_TMAP2OUT))+IF(((c_TMAP3OUT)-(c_TMAP2OUT))&gt;=0,1,-1)*QUOTIENT(((c_TMAP3IN)-(c_TMAP2IN)),2))+2147483648,4294967296)-2147483648,((c_TMAP3IN)-(c_TMAP2IN))*(((K167)-(c_TMAP2IN))*((c_TMAP3OUT)-(c_TMAP2OUT))+IF(((c_TMAP3OUT)-(c_TMAP2OUT))&gt;=0,1,-1)*QUOTIENT(((c_TMAP3IN)-(c_TMAP2IN)),2)))&lt;0,-1,0),IF(IF(o_WRAP=1,MOD(((c_TMAP3IN)-(c_TMAP2IN))*(((K167)-(c_TMAP2IN))*((c_TMAP3OUT)-(c_TMAP2OUT))+IF(((c_TMAP3OUT)-(c_TMAP2OUT))&gt;=0,1,-1)*QUOTIENT(((c_TMAP3IN)-(c_TMAP2IN)),2))+2147483648,4294967296)-2147483648,((c_TMAP3IN)-(c_TMAP2IN))*(((K167)-(c_TMAP2IN))*((c_TMAP3OUT)-(c_TMAP2OUT))+IF(((c_TMAP3OUT)-(c_TMAP2OUT))&gt;=0,1,-1)*QUOTIENT(((c_TMAP3IN)-(c_TMAP2IN)),2)))&gt;=0,1,0)))</f>
        <v>193</v>
      </c>
      <c r="P167" s="7" t="n">
        <f aca="false">IF(((1000)-(c_TMAP3IN))=0,(c_TMAP3OUT)+QUOTIENT(((1000)-(c_TMAP3OUT)),2),QUOTIENT((((K167)-(c_TMAP3IN))*((1000)-(c_TMAP3OUT))+IF(((1000)-(c_TMAP3OUT))&gt;=0,1,-1)*QUOTIENT(((1000)-(c_TMAP3IN)),2)),((1000)-(c_TMAP3IN)))+(c_TMAP3OUT)+IF(((1000)-(c_TMAP3OUT))&gt;=0,IF(IF(o_WRAP=1,MOD(((1000)-(c_TMAP3IN))*(((K167)-(c_TMAP3IN))*((1000)-(c_TMAP3OUT))+IF(((1000)-(c_TMAP3OUT))&gt;=0,1,-1)*QUOTIENT(((1000)-(c_TMAP3IN)),2))+2147483648,4294967296)-2147483648,((1000)-(c_TMAP3IN))*(((K167)-(c_TMAP3IN))*((1000)-(c_TMAP3OUT))+IF(((1000)-(c_TMAP3OUT))&gt;=0,1,-1)*QUOTIENT(((1000)-(c_TMAP3IN)),2)))&lt;0,-1,0),IF(IF(o_WRAP=1,MOD(((1000)-(c_TMAP3IN))*(((K167)-(c_TMAP3IN))*((1000)-(c_TMAP3OUT))+IF(((1000)-(c_TMAP3OUT))&gt;=0,1,-1)*QUOTIENT(((1000)-(c_TMAP3IN)),2))+2147483648,4294967296)-2147483648,((1000)-(c_TMAP3IN))*(((K167)-(c_TMAP3IN))*((1000)-(c_TMAP3OUT))+IF(((1000)-(c_TMAP3OUT))&gt;=0,1,-1)*QUOTIENT(((1000)-(c_TMAP3IN)),2)))&gt;=0,1,0)))</f>
        <v>188</v>
      </c>
      <c r="Q167" s="7" t="str">
        <f aca="false">IF(K167&gt;=c_TFWD,IF(AND(K167&gt;=c_TMAP3IN,c_TMAP3IN&lt;1000),"Seg4 map3-100%",IF(AND(K167&gt;=c_TMAP2IN,c_TMAP3IN&gt;c_TMAP2IN),"Seg3 map2-map3",IF(AND(K167&gt;=c_TMAP1IN,c_TMAP2IN&gt;c_TMAP1IN),"Seg2 map1-map2","Seg1 TFWD-map1"))),IF(AND(K167=0,c_TCREEP&gt;0),"Creep",IF(AND(K167&lt;=c_TRNGMIN,K167&gt;=c_TRNGMAX,c_TRNGMIN-c_TRNGMAX&lt;&gt;0),"Regen ramp","Coast (0)")))</f>
        <v>Seg3 map2-map3</v>
      </c>
      <c r="R167" s="7" t="n">
        <f aca="false">IF(K167&gt;=c_TFWD,IF(AND(K167&gt;=c_TMAP3IN,c_TMAP3IN&lt;1000),P167,IF(AND(K167&gt;=c_TMAP2IN,c_TMAP3IN&gt;c_TMAP2IN),O167,IF(AND(K167&gt;=c_TMAP1IN,c_TMAP2IN&gt;c_TMAP1IN),N167,M167))),L167)</f>
        <v>193</v>
      </c>
      <c r="S167" s="7" t="str">
        <f aca="false">IF(R167&lt;-1090,"TOO LOW",IF(R167&gt;1090,"TOO HIGH",""))</f>
        <v/>
      </c>
      <c r="T167" s="15" t="n">
        <f aca="false">IF(H167&lt;&gt;"OK",0,IF(S167&lt;&gt;"",0,IF(R167&gt;979,1000,R167)))</f>
        <v>193</v>
      </c>
      <c r="U167" s="7" t="n">
        <f aca="false">T167/10</f>
        <v>19.3</v>
      </c>
    </row>
    <row r="168" customFormat="false" ht="15" hidden="false" customHeight="false" outlineLevel="0" collapsed="false">
      <c r="A168" s="7" t="n">
        <v>163</v>
      </c>
      <c r="B168" s="7" t="n">
        <f aca="false">ROUND(o_SWSTART+A168*(o_SWEND-o_SWSTART)/400,0)</f>
        <v>1669</v>
      </c>
      <c r="C168" s="7" t="n">
        <f aca="false">QUOTIENT((B168-c_OFF1)*c_GAIN1,1024)</f>
        <v>1669</v>
      </c>
      <c r="D168" s="7" t="n">
        <f aca="false">IF(((c_T1MX)-(c_T1MN))=0,(0)+QUOTIENT(((1000)-(0)),2),QUOTIENT((((C168)-(c_T1MN))*((1000)-(0))+IF(((1000)-(0))&gt;=0,1,-1)*QUOTIENT(((c_T1MX)-(c_T1MN)),2)),((c_T1MX)-(c_T1MN)))+(0)+IF(((1000)-(0))&gt;=0,IF(IF(o_WRAP=1,MOD(((c_T1MX)-(c_T1MN))*(((C168)-(c_T1MN))*((1000)-(0))+IF(((1000)-(0))&gt;=0,1,-1)*QUOTIENT(((c_T1MX)-(c_T1MN)),2))+2147483648,4294967296)-2147483648,((c_T1MX)-(c_T1MN))*(((C168)-(c_T1MN))*((1000)-(0))+IF(((1000)-(0))&gt;=0,1,-1)*QUOTIENT(((c_T1MX)-(c_T1MN)),2)))&lt;0,-1,0),IF(IF(o_WRAP=1,MOD(((c_T1MX)-(c_T1MN))*(((C168)-(c_T1MN))*((1000)-(0))+IF(((1000)-(0))&gt;=0,1,-1)*QUOTIENT(((c_T1MX)-(c_T1MN)),2))+2147483648,4294967296)-2147483648,((c_T1MX)-(c_T1MN))*(((C168)-(c_T1MN))*((1000)-(0))+IF(((1000)-(0))&gt;=0,1,-1)*QUOTIENT(((c_T1MX)-(c_T1MN)),2)))&gt;=0,1,0)))</f>
        <v>344</v>
      </c>
      <c r="E168" s="7" t="n">
        <f aca="false">IF(AND(c_TPOT=1,c_TTYPE=2),1000-D168,D168)</f>
        <v>344</v>
      </c>
      <c r="F168" s="7" t="str">
        <f aca="false">IF(c_TPOT&gt;1,ROUND(IF(c_TTYPE=2,c_T2MX-IF(c_T1MX=c_T1MN,0,(C168-c_T1MN)/(c_T1MX-c_T1MN))*(c_T2MX-c_T2MN),c_T2MN+IF(c_T1MX=c_T1MN,0,(C168-c_T1MN)/(c_T1MX-c_T1MN))*(c_T2MX-c_T2MN))+o_MISMATCH,0),"")</f>
        <v/>
      </c>
      <c r="G168" s="7" t="str">
        <f aca="false">IF(c_TPOT&gt;1,IF(((c_T2MX)-(c_T2MN))=0,(0)+QUOTIENT(((1000)-(0)),2),QUOTIENT((((F168)-(c_T2MN))*((1000)-(0))+IF(((1000)-(0))&gt;=0,1,-1)*QUOTIENT(((c_T2MX)-(c_T2MN)),2)),((c_T2MX)-(c_T2MN)))+(0)+IF(((1000)-(0))&gt;=0,IF(IF(o_WRAP=1,MOD(((c_T2MX)-(c_T2MN))*(((F168)-(c_T2MN))*((1000)-(0))+IF(((1000)-(0))&gt;=0,1,-1)*QUOTIENT(((c_T2MX)-(c_T2MN)),2))+2147483648,4294967296)-2147483648,((c_T2MX)-(c_T2MN))*(((F168)-(c_T2MN))*((1000)-(0))+IF(((1000)-(0))&gt;=0,1,-1)*QUOTIENT(((c_T2MX)-(c_T2MN)),2)))&lt;0,-1,0),IF(IF(o_WRAP=1,MOD(((c_T2MX)-(c_T2MN))*(((F168)-(c_T2MN))*((1000)-(0))+IF(((1000)-(0))&gt;=0,1,-1)*QUOTIENT(((c_T2MX)-(c_T2MN)),2))+2147483648,4294967296)-2147483648,((c_T2MX)-(c_T2MN))*(((F168)-(c_T2MN))*((1000)-(0))+IF(((1000)-(0))&gt;=0,1,-1)*QUOTIENT(((c_T2MX)-(c_T2MN)),2)))&gt;=0,1,0))),"")</f>
        <v/>
      </c>
      <c r="H168" s="7" t="str">
        <f aca="false">IF(E168&gt;1000+k_TOL,"T1 HIGH",IF(E168&lt;0-k_TOL,"T1 LOW",IF(c_TPOT&gt;1,IF(G168&gt;1000+k_TOL,"T2 HIGH",IF(G168&lt;0-k_TOL,"T2 LOW",IF(c_TTYPE=2,IF(ABS(1000-MAX(0,MIN(1000,E168))-MAX(0,MIN(1000,G168)))&gt;k_MAXERR,"MISMATCH","OK"),IF(OR(MAX(0,MIN(1000,E168))-k_MAXERR&gt;MAX(0,MIN(1000,G168)),MAX(0,MIN(1000,G168))-k_MAXERR&gt;MAX(0,MIN(1000,E168))),"MISMATCH","OK")))),"OK")))</f>
        <v>OK</v>
      </c>
      <c r="I168" s="7" t="n">
        <f aca="false">MAX(0,MIN(1000,D168))</f>
        <v>344</v>
      </c>
      <c r="J168" s="7" t="str">
        <f aca="false">IF(c_TPOT&gt;1,IF(c_TTYPE=2,1000-MAX(0,MIN(1000,G168)),MAX(0,MIN(1000,G168))),"")</f>
        <v/>
      </c>
      <c r="K168" s="7" t="n">
        <f aca="false">IF(c_TPOT&gt;1,QUOTIENT(I168+J168,2),I168)</f>
        <v>344</v>
      </c>
      <c r="L168" s="7" t="n">
        <f aca="false">IF(AND(K168=0,c_TCREEP&gt;0),10*c_TCREEP,IF(AND(K168&lt;=c_TRNGMIN,K168&gt;=c_TRNGMAX,c_TRNGMIN-c_TRNGMAX&lt;&gt;0),-10*c_TMINRN+QUOTIENT((c_TMAXRN-c_TMINRN)*(100-QUOTIENT((K168-c_TRNGMAX)*100,c_TRNGMIN-c_TRNGMAX)),-10),0))</f>
        <v>0</v>
      </c>
      <c r="M168" s="7" t="n">
        <f aca="false">IF(((c_TMAP1IN)-(c_TFWD))=0,(0)+QUOTIENT(((c_TMAP1OUT)-(0)),2),QUOTIENT((((K168)-(c_TFWD))*((c_TMAP1OUT)-(0))+IF(((c_TMAP1OUT)-(0))&gt;=0,1,-1)*QUOTIENT(((c_TMAP1IN)-(c_TFWD)),2)),((c_TMAP1IN)-(c_TFWD)))+(0)+IF(((c_TMAP1OUT)-(0))&gt;=0,IF(IF(o_WRAP=1,MOD(((c_TMAP1IN)-(c_TFWD))*(((K168)-(c_TFWD))*((c_TMAP1OUT)-(0))+IF(((c_TMAP1OUT)-(0))&gt;=0,1,-1)*QUOTIENT(((c_TMAP1IN)-(c_TFWD)),2))+2147483648,4294967296)-2147483648,((c_TMAP1IN)-(c_TFWD))*(((K168)-(c_TFWD))*((c_TMAP1OUT)-(0))+IF(((c_TMAP1OUT)-(0))&gt;=0,1,-1)*QUOTIENT(((c_TMAP1IN)-(c_TFWD)),2)))&lt;0,-1,0),IF(IF(o_WRAP=1,MOD(((c_TMAP1IN)-(c_TFWD))*(((K168)-(c_TFWD))*((c_TMAP1OUT)-(0))+IF(((c_TMAP1OUT)-(0))&gt;=0,1,-1)*QUOTIENT(((c_TMAP1IN)-(c_TFWD)),2))+2147483648,4294967296)-2147483648,((c_TMAP1IN)-(c_TFWD))*(((K168)-(c_TFWD))*((c_TMAP1OUT)-(0))+IF(((c_TMAP1OUT)-(0))&gt;=0,1,-1)*QUOTIENT(((c_TMAP1IN)-(c_TFWD)),2)))&gt;=0,1,0)))</f>
        <v>260</v>
      </c>
      <c r="N168" s="7" t="n">
        <f aca="false">IF(((c_TMAP2IN)-(c_TMAP1IN))=0,(c_TMAP1OUT)+QUOTIENT(((c_TMAP2OUT)-(c_TMAP1OUT)),2),QUOTIENT((((K168)-(c_TMAP1IN))*((c_TMAP2OUT)-(c_TMAP1OUT))+IF(((c_TMAP2OUT)-(c_TMAP1OUT))&gt;=0,1,-1)*QUOTIENT(((c_TMAP2IN)-(c_TMAP1IN)),2)),((c_TMAP2IN)-(c_TMAP1IN)))+(c_TMAP1OUT)+IF(((c_TMAP2OUT)-(c_TMAP1OUT))&gt;=0,IF(IF(o_WRAP=1,MOD(((c_TMAP2IN)-(c_TMAP1IN))*(((K168)-(c_TMAP1IN))*((c_TMAP2OUT)-(c_TMAP1OUT))+IF(((c_TMAP2OUT)-(c_TMAP1OUT))&gt;=0,1,-1)*QUOTIENT(((c_TMAP2IN)-(c_TMAP1IN)),2))+2147483648,4294967296)-2147483648,((c_TMAP2IN)-(c_TMAP1IN))*(((K168)-(c_TMAP1IN))*((c_TMAP2OUT)-(c_TMAP1OUT))+IF(((c_TMAP2OUT)-(c_TMAP1OUT))&gt;=0,1,-1)*QUOTIENT(((c_TMAP2IN)-(c_TMAP1IN)),2)))&lt;0,-1,0),IF(IF(o_WRAP=1,MOD(((c_TMAP2IN)-(c_TMAP1IN))*(((K168)-(c_TMAP1IN))*((c_TMAP2OUT)-(c_TMAP1OUT))+IF(((c_TMAP2OUT)-(c_TMAP1OUT))&gt;=0,1,-1)*QUOTIENT(((c_TMAP2IN)-(c_TMAP1IN)),2))+2147483648,4294967296)-2147483648,((c_TMAP2IN)-(c_TMAP1IN))*(((K168)-(c_TMAP1IN))*((c_TMAP2OUT)-(c_TMAP1OUT))+IF(((c_TMAP2OUT)-(c_TMAP1OUT))&gt;=0,1,-1)*QUOTIENT(((c_TMAP2IN)-(c_TMAP1IN)),2)))&gt;=0,1,0)))</f>
        <v>168</v>
      </c>
      <c r="O168" s="7" t="n">
        <f aca="false">IF(((c_TMAP3IN)-(c_TMAP2IN))=0,(c_TMAP2OUT)+QUOTIENT(((c_TMAP3OUT)-(c_TMAP2OUT)),2),QUOTIENT((((K168)-(c_TMAP2IN))*((c_TMAP3OUT)-(c_TMAP2OUT))+IF(((c_TMAP3OUT)-(c_TMAP2OUT))&gt;=0,1,-1)*QUOTIENT(((c_TMAP3IN)-(c_TMAP2IN)),2)),((c_TMAP3IN)-(c_TMAP2IN)))+(c_TMAP2OUT)+IF(((c_TMAP3OUT)-(c_TMAP2OUT))&gt;=0,IF(IF(o_WRAP=1,MOD(((c_TMAP3IN)-(c_TMAP2IN))*(((K168)-(c_TMAP2IN))*((c_TMAP3OUT)-(c_TMAP2OUT))+IF(((c_TMAP3OUT)-(c_TMAP2OUT))&gt;=0,1,-1)*QUOTIENT(((c_TMAP3IN)-(c_TMAP2IN)),2))+2147483648,4294967296)-2147483648,((c_TMAP3IN)-(c_TMAP2IN))*(((K168)-(c_TMAP2IN))*((c_TMAP3OUT)-(c_TMAP2OUT))+IF(((c_TMAP3OUT)-(c_TMAP2OUT))&gt;=0,1,-1)*QUOTIENT(((c_TMAP3IN)-(c_TMAP2IN)),2)))&lt;0,-1,0),IF(IF(o_WRAP=1,MOD(((c_TMAP3IN)-(c_TMAP2IN))*(((K168)-(c_TMAP2IN))*((c_TMAP3OUT)-(c_TMAP2OUT))+IF(((c_TMAP3OUT)-(c_TMAP2OUT))&gt;=0,1,-1)*QUOTIENT(((c_TMAP3IN)-(c_TMAP2IN)),2))+2147483648,4294967296)-2147483648,((c_TMAP3IN)-(c_TMAP2IN))*(((K168)-(c_TMAP2IN))*((c_TMAP3OUT)-(c_TMAP2OUT))+IF(((c_TMAP3OUT)-(c_TMAP2OUT))&gt;=0,1,-1)*QUOTIENT(((c_TMAP3IN)-(c_TMAP2IN)),2)))&gt;=0,1,0)))</f>
        <v>196</v>
      </c>
      <c r="P168" s="7" t="n">
        <f aca="false">IF(((1000)-(c_TMAP3IN))=0,(c_TMAP3OUT)+QUOTIENT(((1000)-(c_TMAP3OUT)),2),QUOTIENT((((K168)-(c_TMAP3IN))*((1000)-(c_TMAP3OUT))+IF(((1000)-(c_TMAP3OUT))&gt;=0,1,-1)*QUOTIENT(((1000)-(c_TMAP3IN)),2)),((1000)-(c_TMAP3IN)))+(c_TMAP3OUT)+IF(((1000)-(c_TMAP3OUT))&gt;=0,IF(IF(o_WRAP=1,MOD(((1000)-(c_TMAP3IN))*(((K168)-(c_TMAP3IN))*((1000)-(c_TMAP3OUT))+IF(((1000)-(c_TMAP3OUT))&gt;=0,1,-1)*QUOTIENT(((1000)-(c_TMAP3IN)),2))+2147483648,4294967296)-2147483648,((1000)-(c_TMAP3IN))*(((K168)-(c_TMAP3IN))*((1000)-(c_TMAP3OUT))+IF(((1000)-(c_TMAP3OUT))&gt;=0,1,-1)*QUOTIENT(((1000)-(c_TMAP3IN)),2)))&lt;0,-1,0),IF(IF(o_WRAP=1,MOD(((1000)-(c_TMAP3IN))*(((K168)-(c_TMAP3IN))*((1000)-(c_TMAP3OUT))+IF(((1000)-(c_TMAP3OUT))&gt;=0,1,-1)*QUOTIENT(((1000)-(c_TMAP3IN)),2))+2147483648,4294967296)-2147483648,((1000)-(c_TMAP3IN))*(((K168)-(c_TMAP3IN))*((1000)-(c_TMAP3OUT))+IF(((1000)-(c_TMAP3OUT))&gt;=0,1,-1)*QUOTIENT(((1000)-(c_TMAP3IN)),2)))&gt;=0,1,0)))</f>
        <v>193</v>
      </c>
      <c r="Q168" s="7" t="str">
        <f aca="false">IF(K168&gt;=c_TFWD,IF(AND(K168&gt;=c_TMAP3IN,c_TMAP3IN&lt;1000),"Seg4 map3-100%",IF(AND(K168&gt;=c_TMAP2IN,c_TMAP3IN&gt;c_TMAP2IN),"Seg3 map2-map3",IF(AND(K168&gt;=c_TMAP1IN,c_TMAP2IN&gt;c_TMAP1IN),"Seg2 map1-map2","Seg1 TFWD-map1"))),IF(AND(K168=0,c_TCREEP&gt;0),"Creep",IF(AND(K168&lt;=c_TRNGMIN,K168&gt;=c_TRNGMAX,c_TRNGMIN-c_TRNGMAX&lt;&gt;0),"Regen ramp","Coast (0)")))</f>
        <v>Seg3 map2-map3</v>
      </c>
      <c r="R168" s="7" t="n">
        <f aca="false">IF(K168&gt;=c_TFWD,IF(AND(K168&gt;=c_TMAP3IN,c_TMAP3IN&lt;1000),P168,IF(AND(K168&gt;=c_TMAP2IN,c_TMAP3IN&gt;c_TMAP2IN),O168,IF(AND(K168&gt;=c_TMAP1IN,c_TMAP2IN&gt;c_TMAP1IN),N168,M168))),L168)</f>
        <v>196</v>
      </c>
      <c r="S168" s="7" t="str">
        <f aca="false">IF(R168&lt;-1090,"TOO LOW",IF(R168&gt;1090,"TOO HIGH",""))</f>
        <v/>
      </c>
      <c r="T168" s="15" t="n">
        <f aca="false">IF(H168&lt;&gt;"OK",0,IF(S168&lt;&gt;"",0,IF(R168&gt;979,1000,R168)))</f>
        <v>196</v>
      </c>
      <c r="U168" s="7" t="n">
        <f aca="false">T168/10</f>
        <v>19.6</v>
      </c>
    </row>
    <row r="169" customFormat="false" ht="15" hidden="false" customHeight="false" outlineLevel="0" collapsed="false">
      <c r="A169" s="7" t="n">
        <v>164</v>
      </c>
      <c r="B169" s="7" t="n">
        <f aca="false">ROUND(o_SWSTART+A169*(o_SWEND-o_SWSTART)/400,0)</f>
        <v>1679</v>
      </c>
      <c r="C169" s="7" t="n">
        <f aca="false">QUOTIENT((B169-c_OFF1)*c_GAIN1,1024)</f>
        <v>1679</v>
      </c>
      <c r="D169" s="7" t="n">
        <f aca="false">IF(((c_T1MX)-(c_T1MN))=0,(0)+QUOTIENT(((1000)-(0)),2),QUOTIENT((((C169)-(c_T1MN))*((1000)-(0))+IF(((1000)-(0))&gt;=0,1,-1)*QUOTIENT(((c_T1MX)-(c_T1MN)),2)),((c_T1MX)-(c_T1MN)))+(0)+IF(((1000)-(0))&gt;=0,IF(IF(o_WRAP=1,MOD(((c_T1MX)-(c_T1MN))*(((C169)-(c_T1MN))*((1000)-(0))+IF(((1000)-(0))&gt;=0,1,-1)*QUOTIENT(((c_T1MX)-(c_T1MN)),2))+2147483648,4294967296)-2147483648,((c_T1MX)-(c_T1MN))*(((C169)-(c_T1MN))*((1000)-(0))+IF(((1000)-(0))&gt;=0,1,-1)*QUOTIENT(((c_T1MX)-(c_T1MN)),2)))&lt;0,-1,0),IF(IF(o_WRAP=1,MOD(((c_T1MX)-(c_T1MN))*(((C169)-(c_T1MN))*((1000)-(0))+IF(((1000)-(0))&gt;=0,1,-1)*QUOTIENT(((c_T1MX)-(c_T1MN)),2))+2147483648,4294967296)-2147483648,((c_T1MX)-(c_T1MN))*(((C169)-(c_T1MN))*((1000)-(0))+IF(((1000)-(0))&gt;=0,1,-1)*QUOTIENT(((c_T1MX)-(c_T1MN)),2)))&gt;=0,1,0)))</f>
        <v>348</v>
      </c>
      <c r="E169" s="7" t="n">
        <f aca="false">IF(AND(c_TPOT=1,c_TTYPE=2),1000-D169,D169)</f>
        <v>348</v>
      </c>
      <c r="F169" s="7" t="str">
        <f aca="false">IF(c_TPOT&gt;1,ROUND(IF(c_TTYPE=2,c_T2MX-IF(c_T1MX=c_T1MN,0,(C169-c_T1MN)/(c_T1MX-c_T1MN))*(c_T2MX-c_T2MN),c_T2MN+IF(c_T1MX=c_T1MN,0,(C169-c_T1MN)/(c_T1MX-c_T1MN))*(c_T2MX-c_T2MN))+o_MISMATCH,0),"")</f>
        <v/>
      </c>
      <c r="G169" s="7" t="str">
        <f aca="false">IF(c_TPOT&gt;1,IF(((c_T2MX)-(c_T2MN))=0,(0)+QUOTIENT(((1000)-(0)),2),QUOTIENT((((F169)-(c_T2MN))*((1000)-(0))+IF(((1000)-(0))&gt;=0,1,-1)*QUOTIENT(((c_T2MX)-(c_T2MN)),2)),((c_T2MX)-(c_T2MN)))+(0)+IF(((1000)-(0))&gt;=0,IF(IF(o_WRAP=1,MOD(((c_T2MX)-(c_T2MN))*(((F169)-(c_T2MN))*((1000)-(0))+IF(((1000)-(0))&gt;=0,1,-1)*QUOTIENT(((c_T2MX)-(c_T2MN)),2))+2147483648,4294967296)-2147483648,((c_T2MX)-(c_T2MN))*(((F169)-(c_T2MN))*((1000)-(0))+IF(((1000)-(0))&gt;=0,1,-1)*QUOTIENT(((c_T2MX)-(c_T2MN)),2)))&lt;0,-1,0),IF(IF(o_WRAP=1,MOD(((c_T2MX)-(c_T2MN))*(((F169)-(c_T2MN))*((1000)-(0))+IF(((1000)-(0))&gt;=0,1,-1)*QUOTIENT(((c_T2MX)-(c_T2MN)),2))+2147483648,4294967296)-2147483648,((c_T2MX)-(c_T2MN))*(((F169)-(c_T2MN))*((1000)-(0))+IF(((1000)-(0))&gt;=0,1,-1)*QUOTIENT(((c_T2MX)-(c_T2MN)),2)))&gt;=0,1,0))),"")</f>
        <v/>
      </c>
      <c r="H169" s="7" t="str">
        <f aca="false">IF(E169&gt;1000+k_TOL,"T1 HIGH",IF(E169&lt;0-k_TOL,"T1 LOW",IF(c_TPOT&gt;1,IF(G169&gt;1000+k_TOL,"T2 HIGH",IF(G169&lt;0-k_TOL,"T2 LOW",IF(c_TTYPE=2,IF(ABS(1000-MAX(0,MIN(1000,E169))-MAX(0,MIN(1000,G169)))&gt;k_MAXERR,"MISMATCH","OK"),IF(OR(MAX(0,MIN(1000,E169))-k_MAXERR&gt;MAX(0,MIN(1000,G169)),MAX(0,MIN(1000,G169))-k_MAXERR&gt;MAX(0,MIN(1000,E169))),"MISMATCH","OK")))),"OK")))</f>
        <v>OK</v>
      </c>
      <c r="I169" s="7" t="n">
        <f aca="false">MAX(0,MIN(1000,D169))</f>
        <v>348</v>
      </c>
      <c r="J169" s="7" t="str">
        <f aca="false">IF(c_TPOT&gt;1,IF(c_TTYPE=2,1000-MAX(0,MIN(1000,G169)),MAX(0,MIN(1000,G169))),"")</f>
        <v/>
      </c>
      <c r="K169" s="7" t="n">
        <f aca="false">IF(c_TPOT&gt;1,QUOTIENT(I169+J169,2),I169)</f>
        <v>348</v>
      </c>
      <c r="L169" s="7" t="n">
        <f aca="false">IF(AND(K169=0,c_TCREEP&gt;0),10*c_TCREEP,IF(AND(K169&lt;=c_TRNGMIN,K169&gt;=c_TRNGMAX,c_TRNGMIN-c_TRNGMAX&lt;&gt;0),-10*c_TMINRN+QUOTIENT((c_TMAXRN-c_TMINRN)*(100-QUOTIENT((K169-c_TRNGMAX)*100,c_TRNGMIN-c_TRNGMAX)),-10),0))</f>
        <v>0</v>
      </c>
      <c r="M169" s="7" t="n">
        <f aca="false">IF(((c_TMAP1IN)-(c_TFWD))=0,(0)+QUOTIENT(((c_TMAP1OUT)-(0)),2),QUOTIENT((((K169)-(c_TFWD))*((c_TMAP1OUT)-(0))+IF(((c_TMAP1OUT)-(0))&gt;=0,1,-1)*QUOTIENT(((c_TMAP1IN)-(c_TFWD)),2)),((c_TMAP1IN)-(c_TFWD)))+(0)+IF(((c_TMAP1OUT)-(0))&gt;=0,IF(IF(o_WRAP=1,MOD(((c_TMAP1IN)-(c_TFWD))*(((K169)-(c_TFWD))*((c_TMAP1OUT)-(0))+IF(((c_TMAP1OUT)-(0))&gt;=0,1,-1)*QUOTIENT(((c_TMAP1IN)-(c_TFWD)),2))+2147483648,4294967296)-2147483648,((c_TMAP1IN)-(c_TFWD))*(((K169)-(c_TFWD))*((c_TMAP1OUT)-(0))+IF(((c_TMAP1OUT)-(0))&gt;=0,1,-1)*QUOTIENT(((c_TMAP1IN)-(c_TFWD)),2)))&lt;0,-1,0),IF(IF(o_WRAP=1,MOD(((c_TMAP1IN)-(c_TFWD))*(((K169)-(c_TFWD))*((c_TMAP1OUT)-(0))+IF(((c_TMAP1OUT)-(0))&gt;=0,1,-1)*QUOTIENT(((c_TMAP1IN)-(c_TFWD)),2))+2147483648,4294967296)-2147483648,((c_TMAP1IN)-(c_TFWD))*(((K169)-(c_TFWD))*((c_TMAP1OUT)-(0))+IF(((c_TMAP1OUT)-(0))&gt;=0,1,-1)*QUOTIENT(((c_TMAP1IN)-(c_TFWD)),2)))&gt;=0,1,0)))</f>
        <v>263</v>
      </c>
      <c r="N169" s="7" t="n">
        <f aca="false">IF(((c_TMAP2IN)-(c_TMAP1IN))=0,(c_TMAP1OUT)+QUOTIENT(((c_TMAP2OUT)-(c_TMAP1OUT)),2),QUOTIENT((((K169)-(c_TMAP1IN))*((c_TMAP2OUT)-(c_TMAP1OUT))+IF(((c_TMAP2OUT)-(c_TMAP1OUT))&gt;=0,1,-1)*QUOTIENT(((c_TMAP2IN)-(c_TMAP1IN)),2)),((c_TMAP2IN)-(c_TMAP1IN)))+(c_TMAP1OUT)+IF(((c_TMAP2OUT)-(c_TMAP1OUT))&gt;=0,IF(IF(o_WRAP=1,MOD(((c_TMAP2IN)-(c_TMAP1IN))*(((K169)-(c_TMAP1IN))*((c_TMAP2OUT)-(c_TMAP1OUT))+IF(((c_TMAP2OUT)-(c_TMAP1OUT))&gt;=0,1,-1)*QUOTIENT(((c_TMAP2IN)-(c_TMAP1IN)),2))+2147483648,4294967296)-2147483648,((c_TMAP2IN)-(c_TMAP1IN))*(((K169)-(c_TMAP1IN))*((c_TMAP2OUT)-(c_TMAP1OUT))+IF(((c_TMAP2OUT)-(c_TMAP1OUT))&gt;=0,1,-1)*QUOTIENT(((c_TMAP2IN)-(c_TMAP1IN)),2)))&lt;0,-1,0),IF(IF(o_WRAP=1,MOD(((c_TMAP2IN)-(c_TMAP1IN))*(((K169)-(c_TMAP1IN))*((c_TMAP2OUT)-(c_TMAP1OUT))+IF(((c_TMAP2OUT)-(c_TMAP1OUT))&gt;=0,1,-1)*QUOTIENT(((c_TMAP2IN)-(c_TMAP1IN)),2))+2147483648,4294967296)-2147483648,((c_TMAP2IN)-(c_TMAP1IN))*(((K169)-(c_TMAP1IN))*((c_TMAP2OUT)-(c_TMAP1OUT))+IF(((c_TMAP2OUT)-(c_TMAP1OUT))&gt;=0,1,-1)*QUOTIENT(((c_TMAP2IN)-(c_TMAP1IN)),2)))&gt;=0,1,0)))</f>
        <v>169</v>
      </c>
      <c r="O169" s="7" t="n">
        <f aca="false">IF(((c_TMAP3IN)-(c_TMAP2IN))=0,(c_TMAP2OUT)+QUOTIENT(((c_TMAP3OUT)-(c_TMAP2OUT)),2),QUOTIENT((((K169)-(c_TMAP2IN))*((c_TMAP3OUT)-(c_TMAP2OUT))+IF(((c_TMAP3OUT)-(c_TMAP2OUT))&gt;=0,1,-1)*QUOTIENT(((c_TMAP3IN)-(c_TMAP2IN)),2)),((c_TMAP3IN)-(c_TMAP2IN)))+(c_TMAP2OUT)+IF(((c_TMAP3OUT)-(c_TMAP2OUT))&gt;=0,IF(IF(o_WRAP=1,MOD(((c_TMAP3IN)-(c_TMAP2IN))*(((K169)-(c_TMAP2IN))*((c_TMAP3OUT)-(c_TMAP2OUT))+IF(((c_TMAP3OUT)-(c_TMAP2OUT))&gt;=0,1,-1)*QUOTIENT(((c_TMAP3IN)-(c_TMAP2IN)),2))+2147483648,4294967296)-2147483648,((c_TMAP3IN)-(c_TMAP2IN))*(((K169)-(c_TMAP2IN))*((c_TMAP3OUT)-(c_TMAP2OUT))+IF(((c_TMAP3OUT)-(c_TMAP2OUT))&gt;=0,1,-1)*QUOTIENT(((c_TMAP3IN)-(c_TMAP2IN)),2)))&lt;0,-1,0),IF(IF(o_WRAP=1,MOD(((c_TMAP3IN)-(c_TMAP2IN))*(((K169)-(c_TMAP2IN))*((c_TMAP3OUT)-(c_TMAP2OUT))+IF(((c_TMAP3OUT)-(c_TMAP2OUT))&gt;=0,1,-1)*QUOTIENT(((c_TMAP3IN)-(c_TMAP2IN)),2))+2147483648,4294967296)-2147483648,((c_TMAP3IN)-(c_TMAP2IN))*(((K169)-(c_TMAP2IN))*((c_TMAP3OUT)-(c_TMAP2OUT))+IF(((c_TMAP3OUT)-(c_TMAP2OUT))&gt;=0,1,-1)*QUOTIENT(((c_TMAP3IN)-(c_TMAP2IN)),2)))&gt;=0,1,0)))</f>
        <v>199</v>
      </c>
      <c r="P169" s="7" t="n">
        <f aca="false">IF(((1000)-(c_TMAP3IN))=0,(c_TMAP3OUT)+QUOTIENT(((1000)-(c_TMAP3OUT)),2),QUOTIENT((((K169)-(c_TMAP3IN))*((1000)-(c_TMAP3OUT))+IF(((1000)-(c_TMAP3OUT))&gt;=0,1,-1)*QUOTIENT(((1000)-(c_TMAP3IN)),2)),((1000)-(c_TMAP3IN)))+(c_TMAP3OUT)+IF(((1000)-(c_TMAP3OUT))&gt;=0,IF(IF(o_WRAP=1,MOD(((1000)-(c_TMAP3IN))*(((K169)-(c_TMAP3IN))*((1000)-(c_TMAP3OUT))+IF(((1000)-(c_TMAP3OUT))&gt;=0,1,-1)*QUOTIENT(((1000)-(c_TMAP3IN)),2))+2147483648,4294967296)-2147483648,((1000)-(c_TMAP3IN))*(((K169)-(c_TMAP3IN))*((1000)-(c_TMAP3OUT))+IF(((1000)-(c_TMAP3OUT))&gt;=0,1,-1)*QUOTIENT(((1000)-(c_TMAP3IN)),2)))&lt;0,-1,0),IF(IF(o_WRAP=1,MOD(((1000)-(c_TMAP3IN))*(((K169)-(c_TMAP3IN))*((1000)-(c_TMAP3OUT))+IF(((1000)-(c_TMAP3OUT))&gt;=0,1,-1)*QUOTIENT(((1000)-(c_TMAP3IN)),2))+2147483648,4294967296)-2147483648,((1000)-(c_TMAP3IN))*(((K169)-(c_TMAP3IN))*((1000)-(c_TMAP3OUT))+IF(((1000)-(c_TMAP3OUT))&gt;=0,1,-1)*QUOTIENT(((1000)-(c_TMAP3IN)),2)))&gt;=0,1,0)))</f>
        <v>198</v>
      </c>
      <c r="Q169" s="7" t="str">
        <f aca="false">IF(K169&gt;=c_TFWD,IF(AND(K169&gt;=c_TMAP3IN,c_TMAP3IN&lt;1000),"Seg4 map3-100%",IF(AND(K169&gt;=c_TMAP2IN,c_TMAP3IN&gt;c_TMAP2IN),"Seg3 map2-map3",IF(AND(K169&gt;=c_TMAP1IN,c_TMAP2IN&gt;c_TMAP1IN),"Seg2 map1-map2","Seg1 TFWD-map1"))),IF(AND(K169=0,c_TCREEP&gt;0),"Creep",IF(AND(K169&lt;=c_TRNGMIN,K169&gt;=c_TRNGMAX,c_TRNGMIN-c_TRNGMAX&lt;&gt;0),"Regen ramp","Coast (0)")))</f>
        <v>Seg3 map2-map3</v>
      </c>
      <c r="R169" s="7" t="n">
        <f aca="false">IF(K169&gt;=c_TFWD,IF(AND(K169&gt;=c_TMAP3IN,c_TMAP3IN&lt;1000),P169,IF(AND(K169&gt;=c_TMAP2IN,c_TMAP3IN&gt;c_TMAP2IN),O169,IF(AND(K169&gt;=c_TMAP1IN,c_TMAP2IN&gt;c_TMAP1IN),N169,M169))),L169)</f>
        <v>199</v>
      </c>
      <c r="S169" s="7" t="str">
        <f aca="false">IF(R169&lt;-1090,"TOO LOW",IF(R169&gt;1090,"TOO HIGH",""))</f>
        <v/>
      </c>
      <c r="T169" s="15" t="n">
        <f aca="false">IF(H169&lt;&gt;"OK",0,IF(S169&lt;&gt;"",0,IF(R169&gt;979,1000,R169)))</f>
        <v>199</v>
      </c>
      <c r="U169" s="7" t="n">
        <f aca="false">T169/10</f>
        <v>19.9</v>
      </c>
    </row>
    <row r="170" customFormat="false" ht="15" hidden="false" customHeight="false" outlineLevel="0" collapsed="false">
      <c r="A170" s="7" t="n">
        <v>165</v>
      </c>
      <c r="B170" s="7" t="n">
        <f aca="false">ROUND(o_SWSTART+A170*(o_SWEND-o_SWSTART)/400,0)</f>
        <v>1689</v>
      </c>
      <c r="C170" s="7" t="n">
        <f aca="false">QUOTIENT((B170-c_OFF1)*c_GAIN1,1024)</f>
        <v>1689</v>
      </c>
      <c r="D170" s="7" t="n">
        <f aca="false">IF(((c_T1MX)-(c_T1MN))=0,(0)+QUOTIENT(((1000)-(0)),2),QUOTIENT((((C170)-(c_T1MN))*((1000)-(0))+IF(((1000)-(0))&gt;=0,1,-1)*QUOTIENT(((c_T1MX)-(c_T1MN)),2)),((c_T1MX)-(c_T1MN)))+(0)+IF(((1000)-(0))&gt;=0,IF(IF(o_WRAP=1,MOD(((c_T1MX)-(c_T1MN))*(((C170)-(c_T1MN))*((1000)-(0))+IF(((1000)-(0))&gt;=0,1,-1)*QUOTIENT(((c_T1MX)-(c_T1MN)),2))+2147483648,4294967296)-2147483648,((c_T1MX)-(c_T1MN))*(((C170)-(c_T1MN))*((1000)-(0))+IF(((1000)-(0))&gt;=0,1,-1)*QUOTIENT(((c_T1MX)-(c_T1MN)),2)))&lt;0,-1,0),IF(IF(o_WRAP=1,MOD(((c_T1MX)-(c_T1MN))*(((C170)-(c_T1MN))*((1000)-(0))+IF(((1000)-(0))&gt;=0,1,-1)*QUOTIENT(((c_T1MX)-(c_T1MN)),2))+2147483648,4294967296)-2147483648,((c_T1MX)-(c_T1MN))*(((C170)-(c_T1MN))*((1000)-(0))+IF(((1000)-(0))&gt;=0,1,-1)*QUOTIENT(((c_T1MX)-(c_T1MN)),2)))&gt;=0,1,0)))</f>
        <v>352</v>
      </c>
      <c r="E170" s="7" t="n">
        <f aca="false">IF(AND(c_TPOT=1,c_TTYPE=2),1000-D170,D170)</f>
        <v>352</v>
      </c>
      <c r="F170" s="7" t="str">
        <f aca="false">IF(c_TPOT&gt;1,ROUND(IF(c_TTYPE=2,c_T2MX-IF(c_T1MX=c_T1MN,0,(C170-c_T1MN)/(c_T1MX-c_T1MN))*(c_T2MX-c_T2MN),c_T2MN+IF(c_T1MX=c_T1MN,0,(C170-c_T1MN)/(c_T1MX-c_T1MN))*(c_T2MX-c_T2MN))+o_MISMATCH,0),"")</f>
        <v/>
      </c>
      <c r="G170" s="7" t="str">
        <f aca="false">IF(c_TPOT&gt;1,IF(((c_T2MX)-(c_T2MN))=0,(0)+QUOTIENT(((1000)-(0)),2),QUOTIENT((((F170)-(c_T2MN))*((1000)-(0))+IF(((1000)-(0))&gt;=0,1,-1)*QUOTIENT(((c_T2MX)-(c_T2MN)),2)),((c_T2MX)-(c_T2MN)))+(0)+IF(((1000)-(0))&gt;=0,IF(IF(o_WRAP=1,MOD(((c_T2MX)-(c_T2MN))*(((F170)-(c_T2MN))*((1000)-(0))+IF(((1000)-(0))&gt;=0,1,-1)*QUOTIENT(((c_T2MX)-(c_T2MN)),2))+2147483648,4294967296)-2147483648,((c_T2MX)-(c_T2MN))*(((F170)-(c_T2MN))*((1000)-(0))+IF(((1000)-(0))&gt;=0,1,-1)*QUOTIENT(((c_T2MX)-(c_T2MN)),2)))&lt;0,-1,0),IF(IF(o_WRAP=1,MOD(((c_T2MX)-(c_T2MN))*(((F170)-(c_T2MN))*((1000)-(0))+IF(((1000)-(0))&gt;=0,1,-1)*QUOTIENT(((c_T2MX)-(c_T2MN)),2))+2147483648,4294967296)-2147483648,((c_T2MX)-(c_T2MN))*(((F170)-(c_T2MN))*((1000)-(0))+IF(((1000)-(0))&gt;=0,1,-1)*QUOTIENT(((c_T2MX)-(c_T2MN)),2)))&gt;=0,1,0))),"")</f>
        <v/>
      </c>
      <c r="H170" s="7" t="str">
        <f aca="false">IF(E170&gt;1000+k_TOL,"T1 HIGH",IF(E170&lt;0-k_TOL,"T1 LOW",IF(c_TPOT&gt;1,IF(G170&gt;1000+k_TOL,"T2 HIGH",IF(G170&lt;0-k_TOL,"T2 LOW",IF(c_TTYPE=2,IF(ABS(1000-MAX(0,MIN(1000,E170))-MAX(0,MIN(1000,G170)))&gt;k_MAXERR,"MISMATCH","OK"),IF(OR(MAX(0,MIN(1000,E170))-k_MAXERR&gt;MAX(0,MIN(1000,G170)),MAX(0,MIN(1000,G170))-k_MAXERR&gt;MAX(0,MIN(1000,E170))),"MISMATCH","OK")))),"OK")))</f>
        <v>OK</v>
      </c>
      <c r="I170" s="7" t="n">
        <f aca="false">MAX(0,MIN(1000,D170))</f>
        <v>352</v>
      </c>
      <c r="J170" s="7" t="str">
        <f aca="false">IF(c_TPOT&gt;1,IF(c_TTYPE=2,1000-MAX(0,MIN(1000,G170)),MAX(0,MIN(1000,G170))),"")</f>
        <v/>
      </c>
      <c r="K170" s="7" t="n">
        <f aca="false">IF(c_TPOT&gt;1,QUOTIENT(I170+J170,2),I170)</f>
        <v>352</v>
      </c>
      <c r="L170" s="7" t="n">
        <f aca="false">IF(AND(K170=0,c_TCREEP&gt;0),10*c_TCREEP,IF(AND(K170&lt;=c_TRNGMIN,K170&gt;=c_TRNGMAX,c_TRNGMIN-c_TRNGMAX&lt;&gt;0),-10*c_TMINRN+QUOTIENT((c_TMAXRN-c_TMINRN)*(100-QUOTIENT((K170-c_TRNGMAX)*100,c_TRNGMIN-c_TRNGMAX)),-10),0))</f>
        <v>0</v>
      </c>
      <c r="M170" s="7" t="n">
        <f aca="false">IF(((c_TMAP1IN)-(c_TFWD))=0,(0)+QUOTIENT(((c_TMAP1OUT)-(0)),2),QUOTIENT((((K170)-(c_TFWD))*((c_TMAP1OUT)-(0))+IF(((c_TMAP1OUT)-(0))&gt;=0,1,-1)*QUOTIENT(((c_TMAP1IN)-(c_TFWD)),2)),((c_TMAP1IN)-(c_TFWD)))+(0)+IF(((c_TMAP1OUT)-(0))&gt;=0,IF(IF(o_WRAP=1,MOD(((c_TMAP1IN)-(c_TFWD))*(((K170)-(c_TFWD))*((c_TMAP1OUT)-(0))+IF(((c_TMAP1OUT)-(0))&gt;=0,1,-1)*QUOTIENT(((c_TMAP1IN)-(c_TFWD)),2))+2147483648,4294967296)-2147483648,((c_TMAP1IN)-(c_TFWD))*(((K170)-(c_TFWD))*((c_TMAP1OUT)-(0))+IF(((c_TMAP1OUT)-(0))&gt;=0,1,-1)*QUOTIENT(((c_TMAP1IN)-(c_TFWD)),2)))&lt;0,-1,0),IF(IF(o_WRAP=1,MOD(((c_TMAP1IN)-(c_TFWD))*(((K170)-(c_TFWD))*((c_TMAP1OUT)-(0))+IF(((c_TMAP1OUT)-(0))&gt;=0,1,-1)*QUOTIENT(((c_TMAP1IN)-(c_TFWD)),2))+2147483648,4294967296)-2147483648,((c_TMAP1IN)-(c_TFWD))*(((K170)-(c_TFWD))*((c_TMAP1OUT)-(0))+IF(((c_TMAP1OUT)-(0))&gt;=0,1,-1)*QUOTIENT(((c_TMAP1IN)-(c_TFWD)),2)))&gt;=0,1,0)))</f>
        <v>266</v>
      </c>
      <c r="N170" s="7" t="n">
        <f aca="false">IF(((c_TMAP2IN)-(c_TMAP1IN))=0,(c_TMAP1OUT)+QUOTIENT(((c_TMAP2OUT)-(c_TMAP1OUT)),2),QUOTIENT((((K170)-(c_TMAP1IN))*((c_TMAP2OUT)-(c_TMAP1OUT))+IF(((c_TMAP2OUT)-(c_TMAP1OUT))&gt;=0,1,-1)*QUOTIENT(((c_TMAP2IN)-(c_TMAP1IN)),2)),((c_TMAP2IN)-(c_TMAP1IN)))+(c_TMAP1OUT)+IF(((c_TMAP2OUT)-(c_TMAP1OUT))&gt;=0,IF(IF(o_WRAP=1,MOD(((c_TMAP2IN)-(c_TMAP1IN))*(((K170)-(c_TMAP1IN))*((c_TMAP2OUT)-(c_TMAP1OUT))+IF(((c_TMAP2OUT)-(c_TMAP1OUT))&gt;=0,1,-1)*QUOTIENT(((c_TMAP2IN)-(c_TMAP1IN)),2))+2147483648,4294967296)-2147483648,((c_TMAP2IN)-(c_TMAP1IN))*(((K170)-(c_TMAP1IN))*((c_TMAP2OUT)-(c_TMAP1OUT))+IF(((c_TMAP2OUT)-(c_TMAP1OUT))&gt;=0,1,-1)*QUOTIENT(((c_TMAP2IN)-(c_TMAP1IN)),2)))&lt;0,-1,0),IF(IF(o_WRAP=1,MOD(((c_TMAP2IN)-(c_TMAP1IN))*(((K170)-(c_TMAP1IN))*((c_TMAP2OUT)-(c_TMAP1OUT))+IF(((c_TMAP2OUT)-(c_TMAP1OUT))&gt;=0,1,-1)*QUOTIENT(((c_TMAP2IN)-(c_TMAP1IN)),2))+2147483648,4294967296)-2147483648,((c_TMAP2IN)-(c_TMAP1IN))*(((K170)-(c_TMAP1IN))*((c_TMAP2OUT)-(c_TMAP1OUT))+IF(((c_TMAP2OUT)-(c_TMAP1OUT))&gt;=0,1,-1)*QUOTIENT(((c_TMAP2IN)-(c_TMAP1IN)),2)))&gt;=0,1,0)))</f>
        <v>171</v>
      </c>
      <c r="O170" s="7" t="n">
        <f aca="false">IF(((c_TMAP3IN)-(c_TMAP2IN))=0,(c_TMAP2OUT)+QUOTIENT(((c_TMAP3OUT)-(c_TMAP2OUT)),2),QUOTIENT((((K170)-(c_TMAP2IN))*((c_TMAP3OUT)-(c_TMAP2OUT))+IF(((c_TMAP3OUT)-(c_TMAP2OUT))&gt;=0,1,-1)*QUOTIENT(((c_TMAP3IN)-(c_TMAP2IN)),2)),((c_TMAP3IN)-(c_TMAP2IN)))+(c_TMAP2OUT)+IF(((c_TMAP3OUT)-(c_TMAP2OUT))&gt;=0,IF(IF(o_WRAP=1,MOD(((c_TMAP3IN)-(c_TMAP2IN))*(((K170)-(c_TMAP2IN))*((c_TMAP3OUT)-(c_TMAP2OUT))+IF(((c_TMAP3OUT)-(c_TMAP2OUT))&gt;=0,1,-1)*QUOTIENT(((c_TMAP3IN)-(c_TMAP2IN)),2))+2147483648,4294967296)-2147483648,((c_TMAP3IN)-(c_TMAP2IN))*(((K170)-(c_TMAP2IN))*((c_TMAP3OUT)-(c_TMAP2OUT))+IF(((c_TMAP3OUT)-(c_TMAP2OUT))&gt;=0,1,-1)*QUOTIENT(((c_TMAP3IN)-(c_TMAP2IN)),2)))&lt;0,-1,0),IF(IF(o_WRAP=1,MOD(((c_TMAP3IN)-(c_TMAP2IN))*(((K170)-(c_TMAP2IN))*((c_TMAP3OUT)-(c_TMAP2OUT))+IF(((c_TMAP3OUT)-(c_TMAP2OUT))&gt;=0,1,-1)*QUOTIENT(((c_TMAP3IN)-(c_TMAP2IN)),2))+2147483648,4294967296)-2147483648,((c_TMAP3IN)-(c_TMAP2IN))*(((K170)-(c_TMAP2IN))*((c_TMAP3OUT)-(c_TMAP2OUT))+IF(((c_TMAP3OUT)-(c_TMAP2OUT))&gt;=0,1,-1)*QUOTIENT(((c_TMAP3IN)-(c_TMAP2IN)),2)))&gt;=0,1,0)))</f>
        <v>201</v>
      </c>
      <c r="P170" s="7" t="n">
        <f aca="false">IF(((1000)-(c_TMAP3IN))=0,(c_TMAP3OUT)+QUOTIENT(((1000)-(c_TMAP3OUT)),2),QUOTIENT((((K170)-(c_TMAP3IN))*((1000)-(c_TMAP3OUT))+IF(((1000)-(c_TMAP3OUT))&gt;=0,1,-1)*QUOTIENT(((1000)-(c_TMAP3IN)),2)),((1000)-(c_TMAP3IN)))+(c_TMAP3OUT)+IF(((1000)-(c_TMAP3OUT))&gt;=0,IF(IF(o_WRAP=1,MOD(((1000)-(c_TMAP3IN))*(((K170)-(c_TMAP3IN))*((1000)-(c_TMAP3OUT))+IF(((1000)-(c_TMAP3OUT))&gt;=0,1,-1)*QUOTIENT(((1000)-(c_TMAP3IN)),2))+2147483648,4294967296)-2147483648,((1000)-(c_TMAP3IN))*(((K170)-(c_TMAP3IN))*((1000)-(c_TMAP3OUT))+IF(((1000)-(c_TMAP3OUT))&gt;=0,1,-1)*QUOTIENT(((1000)-(c_TMAP3IN)),2)))&lt;0,-1,0),IF(IF(o_WRAP=1,MOD(((1000)-(c_TMAP3IN))*(((K170)-(c_TMAP3IN))*((1000)-(c_TMAP3OUT))+IF(((1000)-(c_TMAP3OUT))&gt;=0,1,-1)*QUOTIENT(((1000)-(c_TMAP3IN)),2))+2147483648,4294967296)-2147483648,((1000)-(c_TMAP3IN))*(((K170)-(c_TMAP3IN))*((1000)-(c_TMAP3OUT))+IF(((1000)-(c_TMAP3OUT))&gt;=0,1,-1)*QUOTIENT(((1000)-(c_TMAP3IN)),2)))&gt;=0,1,0)))</f>
        <v>202</v>
      </c>
      <c r="Q170" s="7" t="str">
        <f aca="false">IF(K170&gt;=c_TFWD,IF(AND(K170&gt;=c_TMAP3IN,c_TMAP3IN&lt;1000),"Seg4 map3-100%",IF(AND(K170&gt;=c_TMAP2IN,c_TMAP3IN&gt;c_TMAP2IN),"Seg3 map2-map3",IF(AND(K170&gt;=c_TMAP1IN,c_TMAP2IN&gt;c_TMAP1IN),"Seg2 map1-map2","Seg1 TFWD-map1"))),IF(AND(K170=0,c_TCREEP&gt;0),"Creep",IF(AND(K170&lt;=c_TRNGMIN,K170&gt;=c_TRNGMAX,c_TRNGMIN-c_TRNGMAX&lt;&gt;0),"Regen ramp","Coast (0)")))</f>
        <v>Seg4 map3-100%</v>
      </c>
      <c r="R170" s="7" t="n">
        <f aca="false">IF(K170&gt;=c_TFWD,IF(AND(K170&gt;=c_TMAP3IN,c_TMAP3IN&lt;1000),P170,IF(AND(K170&gt;=c_TMAP2IN,c_TMAP3IN&gt;c_TMAP2IN),O170,IF(AND(K170&gt;=c_TMAP1IN,c_TMAP2IN&gt;c_TMAP1IN),N170,M170))),L170)</f>
        <v>202</v>
      </c>
      <c r="S170" s="7" t="str">
        <f aca="false">IF(R170&lt;-1090,"TOO LOW",IF(R170&gt;1090,"TOO HIGH",""))</f>
        <v/>
      </c>
      <c r="T170" s="15" t="n">
        <f aca="false">IF(H170&lt;&gt;"OK",0,IF(S170&lt;&gt;"",0,IF(R170&gt;979,1000,R170)))</f>
        <v>202</v>
      </c>
      <c r="U170" s="7" t="n">
        <f aca="false">T170/10</f>
        <v>20.2</v>
      </c>
    </row>
    <row r="171" customFormat="false" ht="15" hidden="false" customHeight="false" outlineLevel="0" collapsed="false">
      <c r="A171" s="7" t="n">
        <v>166</v>
      </c>
      <c r="B171" s="7" t="n">
        <f aca="false">ROUND(o_SWSTART+A171*(o_SWEND-o_SWSTART)/400,0)</f>
        <v>1699</v>
      </c>
      <c r="C171" s="7" t="n">
        <f aca="false">QUOTIENT((B171-c_OFF1)*c_GAIN1,1024)</f>
        <v>1699</v>
      </c>
      <c r="D171" s="7" t="n">
        <f aca="false">IF(((c_T1MX)-(c_T1MN))=0,(0)+QUOTIENT(((1000)-(0)),2),QUOTIENT((((C171)-(c_T1MN))*((1000)-(0))+IF(((1000)-(0))&gt;=0,1,-1)*QUOTIENT(((c_T1MX)-(c_T1MN)),2)),((c_T1MX)-(c_T1MN)))+(0)+IF(((1000)-(0))&gt;=0,IF(IF(o_WRAP=1,MOD(((c_T1MX)-(c_T1MN))*(((C171)-(c_T1MN))*((1000)-(0))+IF(((1000)-(0))&gt;=0,1,-1)*QUOTIENT(((c_T1MX)-(c_T1MN)),2))+2147483648,4294967296)-2147483648,((c_T1MX)-(c_T1MN))*(((C171)-(c_T1MN))*((1000)-(0))+IF(((1000)-(0))&gt;=0,1,-1)*QUOTIENT(((c_T1MX)-(c_T1MN)),2)))&lt;0,-1,0),IF(IF(o_WRAP=1,MOD(((c_T1MX)-(c_T1MN))*(((C171)-(c_T1MN))*((1000)-(0))+IF(((1000)-(0))&gt;=0,1,-1)*QUOTIENT(((c_T1MX)-(c_T1MN)),2))+2147483648,4294967296)-2147483648,((c_T1MX)-(c_T1MN))*(((C171)-(c_T1MN))*((1000)-(0))+IF(((1000)-(0))&gt;=0,1,-1)*QUOTIENT(((c_T1MX)-(c_T1MN)),2)))&gt;=0,1,0)))</f>
        <v>355</v>
      </c>
      <c r="E171" s="7" t="n">
        <f aca="false">IF(AND(c_TPOT=1,c_TTYPE=2),1000-D171,D171)</f>
        <v>355</v>
      </c>
      <c r="F171" s="7" t="str">
        <f aca="false">IF(c_TPOT&gt;1,ROUND(IF(c_TTYPE=2,c_T2MX-IF(c_T1MX=c_T1MN,0,(C171-c_T1MN)/(c_T1MX-c_T1MN))*(c_T2MX-c_T2MN),c_T2MN+IF(c_T1MX=c_T1MN,0,(C171-c_T1MN)/(c_T1MX-c_T1MN))*(c_T2MX-c_T2MN))+o_MISMATCH,0),"")</f>
        <v/>
      </c>
      <c r="G171" s="7" t="str">
        <f aca="false">IF(c_TPOT&gt;1,IF(((c_T2MX)-(c_T2MN))=0,(0)+QUOTIENT(((1000)-(0)),2),QUOTIENT((((F171)-(c_T2MN))*((1000)-(0))+IF(((1000)-(0))&gt;=0,1,-1)*QUOTIENT(((c_T2MX)-(c_T2MN)),2)),((c_T2MX)-(c_T2MN)))+(0)+IF(((1000)-(0))&gt;=0,IF(IF(o_WRAP=1,MOD(((c_T2MX)-(c_T2MN))*(((F171)-(c_T2MN))*((1000)-(0))+IF(((1000)-(0))&gt;=0,1,-1)*QUOTIENT(((c_T2MX)-(c_T2MN)),2))+2147483648,4294967296)-2147483648,((c_T2MX)-(c_T2MN))*(((F171)-(c_T2MN))*((1000)-(0))+IF(((1000)-(0))&gt;=0,1,-1)*QUOTIENT(((c_T2MX)-(c_T2MN)),2)))&lt;0,-1,0),IF(IF(o_WRAP=1,MOD(((c_T2MX)-(c_T2MN))*(((F171)-(c_T2MN))*((1000)-(0))+IF(((1000)-(0))&gt;=0,1,-1)*QUOTIENT(((c_T2MX)-(c_T2MN)),2))+2147483648,4294967296)-2147483648,((c_T2MX)-(c_T2MN))*(((F171)-(c_T2MN))*((1000)-(0))+IF(((1000)-(0))&gt;=0,1,-1)*QUOTIENT(((c_T2MX)-(c_T2MN)),2)))&gt;=0,1,0))),"")</f>
        <v/>
      </c>
      <c r="H171" s="7" t="str">
        <f aca="false">IF(E171&gt;1000+k_TOL,"T1 HIGH",IF(E171&lt;0-k_TOL,"T1 LOW",IF(c_TPOT&gt;1,IF(G171&gt;1000+k_TOL,"T2 HIGH",IF(G171&lt;0-k_TOL,"T2 LOW",IF(c_TTYPE=2,IF(ABS(1000-MAX(0,MIN(1000,E171))-MAX(0,MIN(1000,G171)))&gt;k_MAXERR,"MISMATCH","OK"),IF(OR(MAX(0,MIN(1000,E171))-k_MAXERR&gt;MAX(0,MIN(1000,G171)),MAX(0,MIN(1000,G171))-k_MAXERR&gt;MAX(0,MIN(1000,E171))),"MISMATCH","OK")))),"OK")))</f>
        <v>OK</v>
      </c>
      <c r="I171" s="7" t="n">
        <f aca="false">MAX(0,MIN(1000,D171))</f>
        <v>355</v>
      </c>
      <c r="J171" s="7" t="str">
        <f aca="false">IF(c_TPOT&gt;1,IF(c_TTYPE=2,1000-MAX(0,MIN(1000,G171)),MAX(0,MIN(1000,G171))),"")</f>
        <v/>
      </c>
      <c r="K171" s="7" t="n">
        <f aca="false">IF(c_TPOT&gt;1,QUOTIENT(I171+J171,2),I171)</f>
        <v>355</v>
      </c>
      <c r="L171" s="7" t="n">
        <f aca="false">IF(AND(K171=0,c_TCREEP&gt;0),10*c_TCREEP,IF(AND(K171&lt;=c_TRNGMIN,K171&gt;=c_TRNGMAX,c_TRNGMIN-c_TRNGMAX&lt;&gt;0),-10*c_TMINRN+QUOTIENT((c_TMAXRN-c_TMINRN)*(100-QUOTIENT((K171-c_TRNGMAX)*100,c_TRNGMIN-c_TRNGMAX)),-10),0))</f>
        <v>0</v>
      </c>
      <c r="M171" s="7" t="n">
        <f aca="false">IF(((c_TMAP1IN)-(c_TFWD))=0,(0)+QUOTIENT(((c_TMAP1OUT)-(0)),2),QUOTIENT((((K171)-(c_TFWD))*((c_TMAP1OUT)-(0))+IF(((c_TMAP1OUT)-(0))&gt;=0,1,-1)*QUOTIENT(((c_TMAP1IN)-(c_TFWD)),2)),((c_TMAP1IN)-(c_TFWD)))+(0)+IF(((c_TMAP1OUT)-(0))&gt;=0,IF(IF(o_WRAP=1,MOD(((c_TMAP1IN)-(c_TFWD))*(((K171)-(c_TFWD))*((c_TMAP1OUT)-(0))+IF(((c_TMAP1OUT)-(0))&gt;=0,1,-1)*QUOTIENT(((c_TMAP1IN)-(c_TFWD)),2))+2147483648,4294967296)-2147483648,((c_TMAP1IN)-(c_TFWD))*(((K171)-(c_TFWD))*((c_TMAP1OUT)-(0))+IF(((c_TMAP1OUT)-(0))&gt;=0,1,-1)*QUOTIENT(((c_TMAP1IN)-(c_TFWD)),2)))&lt;0,-1,0),IF(IF(o_WRAP=1,MOD(((c_TMAP1IN)-(c_TFWD))*(((K171)-(c_TFWD))*((c_TMAP1OUT)-(0))+IF(((c_TMAP1OUT)-(0))&gt;=0,1,-1)*QUOTIENT(((c_TMAP1IN)-(c_TFWD)),2))+2147483648,4294967296)-2147483648,((c_TMAP1IN)-(c_TFWD))*(((K171)-(c_TFWD))*((c_TMAP1OUT)-(0))+IF(((c_TMAP1OUT)-(0))&gt;=0,1,-1)*QUOTIENT(((c_TMAP1IN)-(c_TFWD)),2)))&gt;=0,1,0)))</f>
        <v>268</v>
      </c>
      <c r="N171" s="7" t="n">
        <f aca="false">IF(((c_TMAP2IN)-(c_TMAP1IN))=0,(c_TMAP1OUT)+QUOTIENT(((c_TMAP2OUT)-(c_TMAP1OUT)),2),QUOTIENT((((K171)-(c_TMAP1IN))*((c_TMAP2OUT)-(c_TMAP1OUT))+IF(((c_TMAP2OUT)-(c_TMAP1OUT))&gt;=0,1,-1)*QUOTIENT(((c_TMAP2IN)-(c_TMAP1IN)),2)),((c_TMAP2IN)-(c_TMAP1IN)))+(c_TMAP1OUT)+IF(((c_TMAP2OUT)-(c_TMAP1OUT))&gt;=0,IF(IF(o_WRAP=1,MOD(((c_TMAP2IN)-(c_TMAP1IN))*(((K171)-(c_TMAP1IN))*((c_TMAP2OUT)-(c_TMAP1OUT))+IF(((c_TMAP2OUT)-(c_TMAP1OUT))&gt;=0,1,-1)*QUOTIENT(((c_TMAP2IN)-(c_TMAP1IN)),2))+2147483648,4294967296)-2147483648,((c_TMAP2IN)-(c_TMAP1IN))*(((K171)-(c_TMAP1IN))*((c_TMAP2OUT)-(c_TMAP1OUT))+IF(((c_TMAP2OUT)-(c_TMAP1OUT))&gt;=0,1,-1)*QUOTIENT(((c_TMAP2IN)-(c_TMAP1IN)),2)))&lt;0,-1,0),IF(IF(o_WRAP=1,MOD(((c_TMAP2IN)-(c_TMAP1IN))*(((K171)-(c_TMAP1IN))*((c_TMAP2OUT)-(c_TMAP1OUT))+IF(((c_TMAP2OUT)-(c_TMAP1OUT))&gt;=0,1,-1)*QUOTIENT(((c_TMAP2IN)-(c_TMAP1IN)),2))+2147483648,4294967296)-2147483648,((c_TMAP2IN)-(c_TMAP1IN))*(((K171)-(c_TMAP1IN))*((c_TMAP2OUT)-(c_TMAP1OUT))+IF(((c_TMAP2OUT)-(c_TMAP1OUT))&gt;=0,1,-1)*QUOTIENT(((c_TMAP2IN)-(c_TMAP1IN)),2)))&gt;=0,1,0)))</f>
        <v>172</v>
      </c>
      <c r="O171" s="7" t="n">
        <f aca="false">IF(((c_TMAP3IN)-(c_TMAP2IN))=0,(c_TMAP2OUT)+QUOTIENT(((c_TMAP3OUT)-(c_TMAP2OUT)),2),QUOTIENT((((K171)-(c_TMAP2IN))*((c_TMAP3OUT)-(c_TMAP2OUT))+IF(((c_TMAP3OUT)-(c_TMAP2OUT))&gt;=0,1,-1)*QUOTIENT(((c_TMAP3IN)-(c_TMAP2IN)),2)),((c_TMAP3IN)-(c_TMAP2IN)))+(c_TMAP2OUT)+IF(((c_TMAP3OUT)-(c_TMAP2OUT))&gt;=0,IF(IF(o_WRAP=1,MOD(((c_TMAP3IN)-(c_TMAP2IN))*(((K171)-(c_TMAP2IN))*((c_TMAP3OUT)-(c_TMAP2OUT))+IF(((c_TMAP3OUT)-(c_TMAP2OUT))&gt;=0,1,-1)*QUOTIENT(((c_TMAP3IN)-(c_TMAP2IN)),2))+2147483648,4294967296)-2147483648,((c_TMAP3IN)-(c_TMAP2IN))*(((K171)-(c_TMAP2IN))*((c_TMAP3OUT)-(c_TMAP2OUT))+IF(((c_TMAP3OUT)-(c_TMAP2OUT))&gt;=0,1,-1)*QUOTIENT(((c_TMAP3IN)-(c_TMAP2IN)),2)))&lt;0,-1,0),IF(IF(o_WRAP=1,MOD(((c_TMAP3IN)-(c_TMAP2IN))*(((K171)-(c_TMAP2IN))*((c_TMAP3OUT)-(c_TMAP2OUT))+IF(((c_TMAP3OUT)-(c_TMAP2OUT))&gt;=0,1,-1)*QUOTIENT(((c_TMAP3IN)-(c_TMAP2IN)),2))+2147483648,4294967296)-2147483648,((c_TMAP3IN)-(c_TMAP2IN))*(((K171)-(c_TMAP2IN))*((c_TMAP3OUT)-(c_TMAP2OUT))+IF(((c_TMAP3OUT)-(c_TMAP2OUT))&gt;=0,1,-1)*QUOTIENT(((c_TMAP3IN)-(c_TMAP2IN)),2)))&gt;=0,1,0)))</f>
        <v>204</v>
      </c>
      <c r="P171" s="7" t="n">
        <f aca="false">IF(((1000)-(c_TMAP3IN))=0,(c_TMAP3OUT)+QUOTIENT(((1000)-(c_TMAP3OUT)),2),QUOTIENT((((K171)-(c_TMAP3IN))*((1000)-(c_TMAP3OUT))+IF(((1000)-(c_TMAP3OUT))&gt;=0,1,-1)*QUOTIENT(((1000)-(c_TMAP3IN)),2)),((1000)-(c_TMAP3IN)))+(c_TMAP3OUT)+IF(((1000)-(c_TMAP3OUT))&gt;=0,IF(IF(o_WRAP=1,MOD(((1000)-(c_TMAP3IN))*(((K171)-(c_TMAP3IN))*((1000)-(c_TMAP3OUT))+IF(((1000)-(c_TMAP3OUT))&gt;=0,1,-1)*QUOTIENT(((1000)-(c_TMAP3IN)),2))+2147483648,4294967296)-2147483648,((1000)-(c_TMAP3IN))*(((K171)-(c_TMAP3IN))*((1000)-(c_TMAP3OUT))+IF(((1000)-(c_TMAP3OUT))&gt;=0,1,-1)*QUOTIENT(((1000)-(c_TMAP3IN)),2)))&lt;0,-1,0),IF(IF(o_WRAP=1,MOD(((1000)-(c_TMAP3IN))*(((K171)-(c_TMAP3IN))*((1000)-(c_TMAP3OUT))+IF(((1000)-(c_TMAP3OUT))&gt;=0,1,-1)*QUOTIENT(((1000)-(c_TMAP3IN)),2))+2147483648,4294967296)-2147483648,((1000)-(c_TMAP3IN))*(((K171)-(c_TMAP3IN))*((1000)-(c_TMAP3OUT))+IF(((1000)-(c_TMAP3OUT))&gt;=0,1,-1)*QUOTIENT(((1000)-(c_TMAP3IN)),2)))&gt;=0,1,0)))</f>
        <v>206</v>
      </c>
      <c r="Q171" s="7" t="str">
        <f aca="false">IF(K171&gt;=c_TFWD,IF(AND(K171&gt;=c_TMAP3IN,c_TMAP3IN&lt;1000),"Seg4 map3-100%",IF(AND(K171&gt;=c_TMAP2IN,c_TMAP3IN&gt;c_TMAP2IN),"Seg3 map2-map3",IF(AND(K171&gt;=c_TMAP1IN,c_TMAP2IN&gt;c_TMAP1IN),"Seg2 map1-map2","Seg1 TFWD-map1"))),IF(AND(K171=0,c_TCREEP&gt;0),"Creep",IF(AND(K171&lt;=c_TRNGMIN,K171&gt;=c_TRNGMAX,c_TRNGMIN-c_TRNGMAX&lt;&gt;0),"Regen ramp","Coast (0)")))</f>
        <v>Seg4 map3-100%</v>
      </c>
      <c r="R171" s="7" t="n">
        <f aca="false">IF(K171&gt;=c_TFWD,IF(AND(K171&gt;=c_TMAP3IN,c_TMAP3IN&lt;1000),P171,IF(AND(K171&gt;=c_TMAP2IN,c_TMAP3IN&gt;c_TMAP2IN),O171,IF(AND(K171&gt;=c_TMAP1IN,c_TMAP2IN&gt;c_TMAP1IN),N171,M171))),L171)</f>
        <v>206</v>
      </c>
      <c r="S171" s="7" t="str">
        <f aca="false">IF(R171&lt;-1090,"TOO LOW",IF(R171&gt;1090,"TOO HIGH",""))</f>
        <v/>
      </c>
      <c r="T171" s="15" t="n">
        <f aca="false">IF(H171&lt;&gt;"OK",0,IF(S171&lt;&gt;"",0,IF(R171&gt;979,1000,R171)))</f>
        <v>206</v>
      </c>
      <c r="U171" s="7" t="n">
        <f aca="false">T171/10</f>
        <v>20.6</v>
      </c>
    </row>
    <row r="172" customFormat="false" ht="15" hidden="false" customHeight="false" outlineLevel="0" collapsed="false">
      <c r="A172" s="7" t="n">
        <v>167</v>
      </c>
      <c r="B172" s="7" t="n">
        <f aca="false">ROUND(o_SWSTART+A172*(o_SWEND-o_SWSTART)/400,0)</f>
        <v>1710</v>
      </c>
      <c r="C172" s="7" t="n">
        <f aca="false">QUOTIENT((B172-c_OFF1)*c_GAIN1,1024)</f>
        <v>1710</v>
      </c>
      <c r="D172" s="7" t="n">
        <f aca="false">IF(((c_T1MX)-(c_T1MN))=0,(0)+QUOTIENT(((1000)-(0)),2),QUOTIENT((((C172)-(c_T1MN))*((1000)-(0))+IF(((1000)-(0))&gt;=0,1,-1)*QUOTIENT(((c_T1MX)-(c_T1MN)),2)),((c_T1MX)-(c_T1MN)))+(0)+IF(((1000)-(0))&gt;=0,IF(IF(o_WRAP=1,MOD(((c_T1MX)-(c_T1MN))*(((C172)-(c_T1MN))*((1000)-(0))+IF(((1000)-(0))&gt;=0,1,-1)*QUOTIENT(((c_T1MX)-(c_T1MN)),2))+2147483648,4294967296)-2147483648,((c_T1MX)-(c_T1MN))*(((C172)-(c_T1MN))*((1000)-(0))+IF(((1000)-(0))&gt;=0,1,-1)*QUOTIENT(((c_T1MX)-(c_T1MN)),2)))&lt;0,-1,0),IF(IF(o_WRAP=1,MOD(((c_T1MX)-(c_T1MN))*(((C172)-(c_T1MN))*((1000)-(0))+IF(((1000)-(0))&gt;=0,1,-1)*QUOTIENT(((c_T1MX)-(c_T1MN)),2))+2147483648,4294967296)-2147483648,((c_T1MX)-(c_T1MN))*(((C172)-(c_T1MN))*((1000)-(0))+IF(((1000)-(0))&gt;=0,1,-1)*QUOTIENT(((c_T1MX)-(c_T1MN)),2)))&gt;=0,1,0)))</f>
        <v>359</v>
      </c>
      <c r="E172" s="7" t="n">
        <f aca="false">IF(AND(c_TPOT=1,c_TTYPE=2),1000-D172,D172)</f>
        <v>359</v>
      </c>
      <c r="F172" s="7" t="str">
        <f aca="false">IF(c_TPOT&gt;1,ROUND(IF(c_TTYPE=2,c_T2MX-IF(c_T1MX=c_T1MN,0,(C172-c_T1MN)/(c_T1MX-c_T1MN))*(c_T2MX-c_T2MN),c_T2MN+IF(c_T1MX=c_T1MN,0,(C172-c_T1MN)/(c_T1MX-c_T1MN))*(c_T2MX-c_T2MN))+o_MISMATCH,0),"")</f>
        <v/>
      </c>
      <c r="G172" s="7" t="str">
        <f aca="false">IF(c_TPOT&gt;1,IF(((c_T2MX)-(c_T2MN))=0,(0)+QUOTIENT(((1000)-(0)),2),QUOTIENT((((F172)-(c_T2MN))*((1000)-(0))+IF(((1000)-(0))&gt;=0,1,-1)*QUOTIENT(((c_T2MX)-(c_T2MN)),2)),((c_T2MX)-(c_T2MN)))+(0)+IF(((1000)-(0))&gt;=0,IF(IF(o_WRAP=1,MOD(((c_T2MX)-(c_T2MN))*(((F172)-(c_T2MN))*((1000)-(0))+IF(((1000)-(0))&gt;=0,1,-1)*QUOTIENT(((c_T2MX)-(c_T2MN)),2))+2147483648,4294967296)-2147483648,((c_T2MX)-(c_T2MN))*(((F172)-(c_T2MN))*((1000)-(0))+IF(((1000)-(0))&gt;=0,1,-1)*QUOTIENT(((c_T2MX)-(c_T2MN)),2)))&lt;0,-1,0),IF(IF(o_WRAP=1,MOD(((c_T2MX)-(c_T2MN))*(((F172)-(c_T2MN))*((1000)-(0))+IF(((1000)-(0))&gt;=0,1,-1)*QUOTIENT(((c_T2MX)-(c_T2MN)),2))+2147483648,4294967296)-2147483648,((c_T2MX)-(c_T2MN))*(((F172)-(c_T2MN))*((1000)-(0))+IF(((1000)-(0))&gt;=0,1,-1)*QUOTIENT(((c_T2MX)-(c_T2MN)),2)))&gt;=0,1,0))),"")</f>
        <v/>
      </c>
      <c r="H172" s="7" t="str">
        <f aca="false">IF(E172&gt;1000+k_TOL,"T1 HIGH",IF(E172&lt;0-k_TOL,"T1 LOW",IF(c_TPOT&gt;1,IF(G172&gt;1000+k_TOL,"T2 HIGH",IF(G172&lt;0-k_TOL,"T2 LOW",IF(c_TTYPE=2,IF(ABS(1000-MAX(0,MIN(1000,E172))-MAX(0,MIN(1000,G172)))&gt;k_MAXERR,"MISMATCH","OK"),IF(OR(MAX(0,MIN(1000,E172))-k_MAXERR&gt;MAX(0,MIN(1000,G172)),MAX(0,MIN(1000,G172))-k_MAXERR&gt;MAX(0,MIN(1000,E172))),"MISMATCH","OK")))),"OK")))</f>
        <v>OK</v>
      </c>
      <c r="I172" s="7" t="n">
        <f aca="false">MAX(0,MIN(1000,D172))</f>
        <v>359</v>
      </c>
      <c r="J172" s="7" t="str">
        <f aca="false">IF(c_TPOT&gt;1,IF(c_TTYPE=2,1000-MAX(0,MIN(1000,G172)),MAX(0,MIN(1000,G172))),"")</f>
        <v/>
      </c>
      <c r="K172" s="7" t="n">
        <f aca="false">IF(c_TPOT&gt;1,QUOTIENT(I172+J172,2),I172)</f>
        <v>359</v>
      </c>
      <c r="L172" s="7" t="n">
        <f aca="false">IF(AND(K172=0,c_TCREEP&gt;0),10*c_TCREEP,IF(AND(K172&lt;=c_TRNGMIN,K172&gt;=c_TRNGMAX,c_TRNGMIN-c_TRNGMAX&lt;&gt;0),-10*c_TMINRN+QUOTIENT((c_TMAXRN-c_TMINRN)*(100-QUOTIENT((K172-c_TRNGMAX)*100,c_TRNGMIN-c_TRNGMAX)),-10),0))</f>
        <v>0</v>
      </c>
      <c r="M172" s="7" t="n">
        <f aca="false">IF(((c_TMAP1IN)-(c_TFWD))=0,(0)+QUOTIENT(((c_TMAP1OUT)-(0)),2),QUOTIENT((((K172)-(c_TFWD))*((c_TMAP1OUT)-(0))+IF(((c_TMAP1OUT)-(0))&gt;=0,1,-1)*QUOTIENT(((c_TMAP1IN)-(c_TFWD)),2)),((c_TMAP1IN)-(c_TFWD)))+(0)+IF(((c_TMAP1OUT)-(0))&gt;=0,IF(IF(o_WRAP=1,MOD(((c_TMAP1IN)-(c_TFWD))*(((K172)-(c_TFWD))*((c_TMAP1OUT)-(0))+IF(((c_TMAP1OUT)-(0))&gt;=0,1,-1)*QUOTIENT(((c_TMAP1IN)-(c_TFWD)),2))+2147483648,4294967296)-2147483648,((c_TMAP1IN)-(c_TFWD))*(((K172)-(c_TFWD))*((c_TMAP1OUT)-(0))+IF(((c_TMAP1OUT)-(0))&gt;=0,1,-1)*QUOTIENT(((c_TMAP1IN)-(c_TFWD)),2)))&lt;0,-1,0),IF(IF(o_WRAP=1,MOD(((c_TMAP1IN)-(c_TFWD))*(((K172)-(c_TFWD))*((c_TMAP1OUT)-(0))+IF(((c_TMAP1OUT)-(0))&gt;=0,1,-1)*QUOTIENT(((c_TMAP1IN)-(c_TFWD)),2))+2147483648,4294967296)-2147483648,((c_TMAP1IN)-(c_TFWD))*(((K172)-(c_TFWD))*((c_TMAP1OUT)-(0))+IF(((c_TMAP1OUT)-(0))&gt;=0,1,-1)*QUOTIENT(((c_TMAP1IN)-(c_TFWD)),2)))&gt;=0,1,0)))</f>
        <v>271</v>
      </c>
      <c r="N172" s="7" t="n">
        <f aca="false">IF(((c_TMAP2IN)-(c_TMAP1IN))=0,(c_TMAP1OUT)+QUOTIENT(((c_TMAP2OUT)-(c_TMAP1OUT)),2),QUOTIENT((((K172)-(c_TMAP1IN))*((c_TMAP2OUT)-(c_TMAP1OUT))+IF(((c_TMAP2OUT)-(c_TMAP1OUT))&gt;=0,1,-1)*QUOTIENT(((c_TMAP2IN)-(c_TMAP1IN)),2)),((c_TMAP2IN)-(c_TMAP1IN)))+(c_TMAP1OUT)+IF(((c_TMAP2OUT)-(c_TMAP1OUT))&gt;=0,IF(IF(o_WRAP=1,MOD(((c_TMAP2IN)-(c_TMAP1IN))*(((K172)-(c_TMAP1IN))*((c_TMAP2OUT)-(c_TMAP1OUT))+IF(((c_TMAP2OUT)-(c_TMAP1OUT))&gt;=0,1,-1)*QUOTIENT(((c_TMAP2IN)-(c_TMAP1IN)),2))+2147483648,4294967296)-2147483648,((c_TMAP2IN)-(c_TMAP1IN))*(((K172)-(c_TMAP1IN))*((c_TMAP2OUT)-(c_TMAP1OUT))+IF(((c_TMAP2OUT)-(c_TMAP1OUT))&gt;=0,1,-1)*QUOTIENT(((c_TMAP2IN)-(c_TMAP1IN)),2)))&lt;0,-1,0),IF(IF(o_WRAP=1,MOD(((c_TMAP2IN)-(c_TMAP1IN))*(((K172)-(c_TMAP1IN))*((c_TMAP2OUT)-(c_TMAP1OUT))+IF(((c_TMAP2OUT)-(c_TMAP1OUT))&gt;=0,1,-1)*QUOTIENT(((c_TMAP2IN)-(c_TMAP1IN)),2))+2147483648,4294967296)-2147483648,((c_TMAP2IN)-(c_TMAP1IN))*(((K172)-(c_TMAP1IN))*((c_TMAP2OUT)-(c_TMAP1OUT))+IF(((c_TMAP2OUT)-(c_TMAP1OUT))&gt;=0,1,-1)*QUOTIENT(((c_TMAP2IN)-(c_TMAP1IN)),2)))&gt;=0,1,0)))</f>
        <v>174</v>
      </c>
      <c r="O172" s="7" t="n">
        <f aca="false">IF(((c_TMAP3IN)-(c_TMAP2IN))=0,(c_TMAP2OUT)+QUOTIENT(((c_TMAP3OUT)-(c_TMAP2OUT)),2),QUOTIENT((((K172)-(c_TMAP2IN))*((c_TMAP3OUT)-(c_TMAP2OUT))+IF(((c_TMAP3OUT)-(c_TMAP2OUT))&gt;=0,1,-1)*QUOTIENT(((c_TMAP3IN)-(c_TMAP2IN)),2)),((c_TMAP3IN)-(c_TMAP2IN)))+(c_TMAP2OUT)+IF(((c_TMAP3OUT)-(c_TMAP2OUT))&gt;=0,IF(IF(o_WRAP=1,MOD(((c_TMAP3IN)-(c_TMAP2IN))*(((K172)-(c_TMAP2IN))*((c_TMAP3OUT)-(c_TMAP2OUT))+IF(((c_TMAP3OUT)-(c_TMAP2OUT))&gt;=0,1,-1)*QUOTIENT(((c_TMAP3IN)-(c_TMAP2IN)),2))+2147483648,4294967296)-2147483648,((c_TMAP3IN)-(c_TMAP2IN))*(((K172)-(c_TMAP2IN))*((c_TMAP3OUT)-(c_TMAP2OUT))+IF(((c_TMAP3OUT)-(c_TMAP2OUT))&gt;=0,1,-1)*QUOTIENT(((c_TMAP3IN)-(c_TMAP2IN)),2)))&lt;0,-1,0),IF(IF(o_WRAP=1,MOD(((c_TMAP3IN)-(c_TMAP2IN))*(((K172)-(c_TMAP2IN))*((c_TMAP3OUT)-(c_TMAP2OUT))+IF(((c_TMAP3OUT)-(c_TMAP2OUT))&gt;=0,1,-1)*QUOTIENT(((c_TMAP3IN)-(c_TMAP2IN)),2))+2147483648,4294967296)-2147483648,((c_TMAP3IN)-(c_TMAP2IN))*(((K172)-(c_TMAP2IN))*((c_TMAP3OUT)-(c_TMAP2OUT))+IF(((c_TMAP3OUT)-(c_TMAP2OUT))&gt;=0,1,-1)*QUOTIENT(((c_TMAP3IN)-(c_TMAP2IN)),2)))&gt;=0,1,0)))</f>
        <v>206</v>
      </c>
      <c r="P172" s="7" t="n">
        <f aca="false">IF(((1000)-(c_TMAP3IN))=0,(c_TMAP3OUT)+QUOTIENT(((1000)-(c_TMAP3OUT)),2),QUOTIENT((((K172)-(c_TMAP3IN))*((1000)-(c_TMAP3OUT))+IF(((1000)-(c_TMAP3OUT))&gt;=0,1,-1)*QUOTIENT(((1000)-(c_TMAP3IN)),2)),((1000)-(c_TMAP3IN)))+(c_TMAP3OUT)+IF(((1000)-(c_TMAP3OUT))&gt;=0,IF(IF(o_WRAP=1,MOD(((1000)-(c_TMAP3IN))*(((K172)-(c_TMAP3IN))*((1000)-(c_TMAP3OUT))+IF(((1000)-(c_TMAP3OUT))&gt;=0,1,-1)*QUOTIENT(((1000)-(c_TMAP3IN)),2))+2147483648,4294967296)-2147483648,((1000)-(c_TMAP3IN))*(((K172)-(c_TMAP3IN))*((1000)-(c_TMAP3OUT))+IF(((1000)-(c_TMAP3OUT))&gt;=0,1,-1)*QUOTIENT(((1000)-(c_TMAP3IN)),2)))&lt;0,-1,0),IF(IF(o_WRAP=1,MOD(((1000)-(c_TMAP3IN))*(((K172)-(c_TMAP3IN))*((1000)-(c_TMAP3OUT))+IF(((1000)-(c_TMAP3OUT))&gt;=0,1,-1)*QUOTIENT(((1000)-(c_TMAP3IN)),2))+2147483648,4294967296)-2147483648,((1000)-(c_TMAP3IN))*(((K172)-(c_TMAP3IN))*((1000)-(c_TMAP3OUT))+IF(((1000)-(c_TMAP3OUT))&gt;=0,1,-1)*QUOTIENT(((1000)-(c_TMAP3IN)),2)))&gt;=0,1,0)))</f>
        <v>211</v>
      </c>
      <c r="Q172" s="7" t="str">
        <f aca="false">IF(K172&gt;=c_TFWD,IF(AND(K172&gt;=c_TMAP3IN,c_TMAP3IN&lt;1000),"Seg4 map3-100%",IF(AND(K172&gt;=c_TMAP2IN,c_TMAP3IN&gt;c_TMAP2IN),"Seg3 map2-map3",IF(AND(K172&gt;=c_TMAP1IN,c_TMAP2IN&gt;c_TMAP1IN),"Seg2 map1-map2","Seg1 TFWD-map1"))),IF(AND(K172=0,c_TCREEP&gt;0),"Creep",IF(AND(K172&lt;=c_TRNGMIN,K172&gt;=c_TRNGMAX,c_TRNGMIN-c_TRNGMAX&lt;&gt;0),"Regen ramp","Coast (0)")))</f>
        <v>Seg4 map3-100%</v>
      </c>
      <c r="R172" s="7" t="n">
        <f aca="false">IF(K172&gt;=c_TFWD,IF(AND(K172&gt;=c_TMAP3IN,c_TMAP3IN&lt;1000),P172,IF(AND(K172&gt;=c_TMAP2IN,c_TMAP3IN&gt;c_TMAP2IN),O172,IF(AND(K172&gt;=c_TMAP1IN,c_TMAP2IN&gt;c_TMAP1IN),N172,M172))),L172)</f>
        <v>211</v>
      </c>
      <c r="S172" s="7" t="str">
        <f aca="false">IF(R172&lt;-1090,"TOO LOW",IF(R172&gt;1090,"TOO HIGH",""))</f>
        <v/>
      </c>
      <c r="T172" s="15" t="n">
        <f aca="false">IF(H172&lt;&gt;"OK",0,IF(S172&lt;&gt;"",0,IF(R172&gt;979,1000,R172)))</f>
        <v>211</v>
      </c>
      <c r="U172" s="7" t="n">
        <f aca="false">T172/10</f>
        <v>21.1</v>
      </c>
    </row>
    <row r="173" customFormat="false" ht="15" hidden="false" customHeight="false" outlineLevel="0" collapsed="false">
      <c r="A173" s="7" t="n">
        <v>168</v>
      </c>
      <c r="B173" s="7" t="n">
        <f aca="false">ROUND(o_SWSTART+A173*(o_SWEND-o_SWSTART)/400,0)</f>
        <v>1720</v>
      </c>
      <c r="C173" s="7" t="n">
        <f aca="false">QUOTIENT((B173-c_OFF1)*c_GAIN1,1024)</f>
        <v>1720</v>
      </c>
      <c r="D173" s="7" t="n">
        <f aca="false">IF(((c_T1MX)-(c_T1MN))=0,(0)+QUOTIENT(((1000)-(0)),2),QUOTIENT((((C173)-(c_T1MN))*((1000)-(0))+IF(((1000)-(0))&gt;=0,1,-1)*QUOTIENT(((c_T1MX)-(c_T1MN)),2)),((c_T1MX)-(c_T1MN)))+(0)+IF(((1000)-(0))&gt;=0,IF(IF(o_WRAP=1,MOD(((c_T1MX)-(c_T1MN))*(((C173)-(c_T1MN))*((1000)-(0))+IF(((1000)-(0))&gt;=0,1,-1)*QUOTIENT(((c_T1MX)-(c_T1MN)),2))+2147483648,4294967296)-2147483648,((c_T1MX)-(c_T1MN))*(((C173)-(c_T1MN))*((1000)-(0))+IF(((1000)-(0))&gt;=0,1,-1)*QUOTIENT(((c_T1MX)-(c_T1MN)),2)))&lt;0,-1,0),IF(IF(o_WRAP=1,MOD(((c_T1MX)-(c_T1MN))*(((C173)-(c_T1MN))*((1000)-(0))+IF(((1000)-(0))&gt;=0,1,-1)*QUOTIENT(((c_T1MX)-(c_T1MN)),2))+2147483648,4294967296)-2147483648,((c_T1MX)-(c_T1MN))*(((C173)-(c_T1MN))*((1000)-(0))+IF(((1000)-(0))&gt;=0,1,-1)*QUOTIENT(((c_T1MX)-(c_T1MN)),2)))&gt;=0,1,0)))</f>
        <v>363</v>
      </c>
      <c r="E173" s="7" t="n">
        <f aca="false">IF(AND(c_TPOT=1,c_TTYPE=2),1000-D173,D173)</f>
        <v>363</v>
      </c>
      <c r="F173" s="7" t="str">
        <f aca="false">IF(c_TPOT&gt;1,ROUND(IF(c_TTYPE=2,c_T2MX-IF(c_T1MX=c_T1MN,0,(C173-c_T1MN)/(c_T1MX-c_T1MN))*(c_T2MX-c_T2MN),c_T2MN+IF(c_T1MX=c_T1MN,0,(C173-c_T1MN)/(c_T1MX-c_T1MN))*(c_T2MX-c_T2MN))+o_MISMATCH,0),"")</f>
        <v/>
      </c>
      <c r="G173" s="7" t="str">
        <f aca="false">IF(c_TPOT&gt;1,IF(((c_T2MX)-(c_T2MN))=0,(0)+QUOTIENT(((1000)-(0)),2),QUOTIENT((((F173)-(c_T2MN))*((1000)-(0))+IF(((1000)-(0))&gt;=0,1,-1)*QUOTIENT(((c_T2MX)-(c_T2MN)),2)),((c_T2MX)-(c_T2MN)))+(0)+IF(((1000)-(0))&gt;=0,IF(IF(o_WRAP=1,MOD(((c_T2MX)-(c_T2MN))*(((F173)-(c_T2MN))*((1000)-(0))+IF(((1000)-(0))&gt;=0,1,-1)*QUOTIENT(((c_T2MX)-(c_T2MN)),2))+2147483648,4294967296)-2147483648,((c_T2MX)-(c_T2MN))*(((F173)-(c_T2MN))*((1000)-(0))+IF(((1000)-(0))&gt;=0,1,-1)*QUOTIENT(((c_T2MX)-(c_T2MN)),2)))&lt;0,-1,0),IF(IF(o_WRAP=1,MOD(((c_T2MX)-(c_T2MN))*(((F173)-(c_T2MN))*((1000)-(0))+IF(((1000)-(0))&gt;=0,1,-1)*QUOTIENT(((c_T2MX)-(c_T2MN)),2))+2147483648,4294967296)-2147483648,((c_T2MX)-(c_T2MN))*(((F173)-(c_T2MN))*((1000)-(0))+IF(((1000)-(0))&gt;=0,1,-1)*QUOTIENT(((c_T2MX)-(c_T2MN)),2)))&gt;=0,1,0))),"")</f>
        <v/>
      </c>
      <c r="H173" s="7" t="str">
        <f aca="false">IF(E173&gt;1000+k_TOL,"T1 HIGH",IF(E173&lt;0-k_TOL,"T1 LOW",IF(c_TPOT&gt;1,IF(G173&gt;1000+k_TOL,"T2 HIGH",IF(G173&lt;0-k_TOL,"T2 LOW",IF(c_TTYPE=2,IF(ABS(1000-MAX(0,MIN(1000,E173))-MAX(0,MIN(1000,G173)))&gt;k_MAXERR,"MISMATCH","OK"),IF(OR(MAX(0,MIN(1000,E173))-k_MAXERR&gt;MAX(0,MIN(1000,G173)),MAX(0,MIN(1000,G173))-k_MAXERR&gt;MAX(0,MIN(1000,E173))),"MISMATCH","OK")))),"OK")))</f>
        <v>OK</v>
      </c>
      <c r="I173" s="7" t="n">
        <f aca="false">MAX(0,MIN(1000,D173))</f>
        <v>363</v>
      </c>
      <c r="J173" s="7" t="str">
        <f aca="false">IF(c_TPOT&gt;1,IF(c_TTYPE=2,1000-MAX(0,MIN(1000,G173)),MAX(0,MIN(1000,G173))),"")</f>
        <v/>
      </c>
      <c r="K173" s="7" t="n">
        <f aca="false">IF(c_TPOT&gt;1,QUOTIENT(I173+J173,2),I173)</f>
        <v>363</v>
      </c>
      <c r="L173" s="7" t="n">
        <f aca="false">IF(AND(K173=0,c_TCREEP&gt;0),10*c_TCREEP,IF(AND(K173&lt;=c_TRNGMIN,K173&gt;=c_TRNGMAX,c_TRNGMIN-c_TRNGMAX&lt;&gt;0),-10*c_TMINRN+QUOTIENT((c_TMAXRN-c_TMINRN)*(100-QUOTIENT((K173-c_TRNGMAX)*100,c_TRNGMIN-c_TRNGMAX)),-10),0))</f>
        <v>0</v>
      </c>
      <c r="M173" s="7" t="n">
        <f aca="false">IF(((c_TMAP1IN)-(c_TFWD))=0,(0)+QUOTIENT(((c_TMAP1OUT)-(0)),2),QUOTIENT((((K173)-(c_TFWD))*((c_TMAP1OUT)-(0))+IF(((c_TMAP1OUT)-(0))&gt;=0,1,-1)*QUOTIENT(((c_TMAP1IN)-(c_TFWD)),2)),((c_TMAP1IN)-(c_TFWD)))+(0)+IF(((c_TMAP1OUT)-(0))&gt;=0,IF(IF(o_WRAP=1,MOD(((c_TMAP1IN)-(c_TFWD))*(((K173)-(c_TFWD))*((c_TMAP1OUT)-(0))+IF(((c_TMAP1OUT)-(0))&gt;=0,1,-1)*QUOTIENT(((c_TMAP1IN)-(c_TFWD)),2))+2147483648,4294967296)-2147483648,((c_TMAP1IN)-(c_TFWD))*(((K173)-(c_TFWD))*((c_TMAP1OUT)-(0))+IF(((c_TMAP1OUT)-(0))&gt;=0,1,-1)*QUOTIENT(((c_TMAP1IN)-(c_TFWD)),2)))&lt;0,-1,0),IF(IF(o_WRAP=1,MOD(((c_TMAP1IN)-(c_TFWD))*(((K173)-(c_TFWD))*((c_TMAP1OUT)-(0))+IF(((c_TMAP1OUT)-(0))&gt;=0,1,-1)*QUOTIENT(((c_TMAP1IN)-(c_TFWD)),2))+2147483648,4294967296)-2147483648,((c_TMAP1IN)-(c_TFWD))*(((K173)-(c_TFWD))*((c_TMAP1OUT)-(0))+IF(((c_TMAP1OUT)-(0))&gt;=0,1,-1)*QUOTIENT(((c_TMAP1IN)-(c_TFWD)),2)))&gt;=0,1,0)))</f>
        <v>275</v>
      </c>
      <c r="N173" s="7" t="n">
        <f aca="false">IF(((c_TMAP2IN)-(c_TMAP1IN))=0,(c_TMAP1OUT)+QUOTIENT(((c_TMAP2OUT)-(c_TMAP1OUT)),2),QUOTIENT((((K173)-(c_TMAP1IN))*((c_TMAP2OUT)-(c_TMAP1OUT))+IF(((c_TMAP2OUT)-(c_TMAP1OUT))&gt;=0,1,-1)*QUOTIENT(((c_TMAP2IN)-(c_TMAP1IN)),2)),((c_TMAP2IN)-(c_TMAP1IN)))+(c_TMAP1OUT)+IF(((c_TMAP2OUT)-(c_TMAP1OUT))&gt;=0,IF(IF(o_WRAP=1,MOD(((c_TMAP2IN)-(c_TMAP1IN))*(((K173)-(c_TMAP1IN))*((c_TMAP2OUT)-(c_TMAP1OUT))+IF(((c_TMAP2OUT)-(c_TMAP1OUT))&gt;=0,1,-1)*QUOTIENT(((c_TMAP2IN)-(c_TMAP1IN)),2))+2147483648,4294967296)-2147483648,((c_TMAP2IN)-(c_TMAP1IN))*(((K173)-(c_TMAP1IN))*((c_TMAP2OUT)-(c_TMAP1OUT))+IF(((c_TMAP2OUT)-(c_TMAP1OUT))&gt;=0,1,-1)*QUOTIENT(((c_TMAP2IN)-(c_TMAP1IN)),2)))&lt;0,-1,0),IF(IF(o_WRAP=1,MOD(((c_TMAP2IN)-(c_TMAP1IN))*(((K173)-(c_TMAP1IN))*((c_TMAP2OUT)-(c_TMAP1OUT))+IF(((c_TMAP2OUT)-(c_TMAP1OUT))&gt;=0,1,-1)*QUOTIENT(((c_TMAP2IN)-(c_TMAP1IN)),2))+2147483648,4294967296)-2147483648,((c_TMAP2IN)-(c_TMAP1IN))*(((K173)-(c_TMAP1IN))*((c_TMAP2OUT)-(c_TMAP1OUT))+IF(((c_TMAP2OUT)-(c_TMAP1OUT))&gt;=0,1,-1)*QUOTIENT(((c_TMAP2IN)-(c_TMAP1IN)),2)))&gt;=0,1,0)))</f>
        <v>175</v>
      </c>
      <c r="O173" s="7" t="n">
        <f aca="false">IF(((c_TMAP3IN)-(c_TMAP2IN))=0,(c_TMAP2OUT)+QUOTIENT(((c_TMAP3OUT)-(c_TMAP2OUT)),2),QUOTIENT((((K173)-(c_TMAP2IN))*((c_TMAP3OUT)-(c_TMAP2OUT))+IF(((c_TMAP3OUT)-(c_TMAP2OUT))&gt;=0,1,-1)*QUOTIENT(((c_TMAP3IN)-(c_TMAP2IN)),2)),((c_TMAP3IN)-(c_TMAP2IN)))+(c_TMAP2OUT)+IF(((c_TMAP3OUT)-(c_TMAP2OUT))&gt;=0,IF(IF(o_WRAP=1,MOD(((c_TMAP3IN)-(c_TMAP2IN))*(((K173)-(c_TMAP2IN))*((c_TMAP3OUT)-(c_TMAP2OUT))+IF(((c_TMAP3OUT)-(c_TMAP2OUT))&gt;=0,1,-1)*QUOTIENT(((c_TMAP3IN)-(c_TMAP2IN)),2))+2147483648,4294967296)-2147483648,((c_TMAP3IN)-(c_TMAP2IN))*(((K173)-(c_TMAP2IN))*((c_TMAP3OUT)-(c_TMAP2OUT))+IF(((c_TMAP3OUT)-(c_TMAP2OUT))&gt;=0,1,-1)*QUOTIENT(((c_TMAP3IN)-(c_TMAP2IN)),2)))&lt;0,-1,0),IF(IF(o_WRAP=1,MOD(((c_TMAP3IN)-(c_TMAP2IN))*(((K173)-(c_TMAP2IN))*((c_TMAP3OUT)-(c_TMAP2OUT))+IF(((c_TMAP3OUT)-(c_TMAP2OUT))&gt;=0,1,-1)*QUOTIENT(((c_TMAP3IN)-(c_TMAP2IN)),2))+2147483648,4294967296)-2147483648,((c_TMAP3IN)-(c_TMAP2IN))*(((K173)-(c_TMAP2IN))*((c_TMAP3OUT)-(c_TMAP2OUT))+IF(((c_TMAP3OUT)-(c_TMAP2OUT))&gt;=0,1,-1)*QUOTIENT(((c_TMAP3IN)-(c_TMAP2IN)),2)))&gt;=0,1,0)))</f>
        <v>209</v>
      </c>
      <c r="P173" s="7" t="n">
        <f aca="false">IF(((1000)-(c_TMAP3IN))=0,(c_TMAP3OUT)+QUOTIENT(((1000)-(c_TMAP3OUT)),2),QUOTIENT((((K173)-(c_TMAP3IN))*((1000)-(c_TMAP3OUT))+IF(((1000)-(c_TMAP3OUT))&gt;=0,1,-1)*QUOTIENT(((1000)-(c_TMAP3IN)),2)),((1000)-(c_TMAP3IN)))+(c_TMAP3OUT)+IF(((1000)-(c_TMAP3OUT))&gt;=0,IF(IF(o_WRAP=1,MOD(((1000)-(c_TMAP3IN))*(((K173)-(c_TMAP3IN))*((1000)-(c_TMAP3OUT))+IF(((1000)-(c_TMAP3OUT))&gt;=0,1,-1)*QUOTIENT(((1000)-(c_TMAP3IN)),2))+2147483648,4294967296)-2147483648,((1000)-(c_TMAP3IN))*(((K173)-(c_TMAP3IN))*((1000)-(c_TMAP3OUT))+IF(((1000)-(c_TMAP3OUT))&gt;=0,1,-1)*QUOTIENT(((1000)-(c_TMAP3IN)),2)))&lt;0,-1,0),IF(IF(o_WRAP=1,MOD(((1000)-(c_TMAP3IN))*(((K173)-(c_TMAP3IN))*((1000)-(c_TMAP3OUT))+IF(((1000)-(c_TMAP3OUT))&gt;=0,1,-1)*QUOTIENT(((1000)-(c_TMAP3IN)),2))+2147483648,4294967296)-2147483648,((1000)-(c_TMAP3IN))*(((K173)-(c_TMAP3IN))*((1000)-(c_TMAP3OUT))+IF(((1000)-(c_TMAP3OUT))&gt;=0,1,-1)*QUOTIENT(((1000)-(c_TMAP3IN)),2)))&gt;=0,1,0)))</f>
        <v>216</v>
      </c>
      <c r="Q173" s="7" t="str">
        <f aca="false">IF(K173&gt;=c_TFWD,IF(AND(K173&gt;=c_TMAP3IN,c_TMAP3IN&lt;1000),"Seg4 map3-100%",IF(AND(K173&gt;=c_TMAP2IN,c_TMAP3IN&gt;c_TMAP2IN),"Seg3 map2-map3",IF(AND(K173&gt;=c_TMAP1IN,c_TMAP2IN&gt;c_TMAP1IN),"Seg2 map1-map2","Seg1 TFWD-map1"))),IF(AND(K173=0,c_TCREEP&gt;0),"Creep",IF(AND(K173&lt;=c_TRNGMIN,K173&gt;=c_TRNGMAX,c_TRNGMIN-c_TRNGMAX&lt;&gt;0),"Regen ramp","Coast (0)")))</f>
        <v>Seg4 map3-100%</v>
      </c>
      <c r="R173" s="7" t="n">
        <f aca="false">IF(K173&gt;=c_TFWD,IF(AND(K173&gt;=c_TMAP3IN,c_TMAP3IN&lt;1000),P173,IF(AND(K173&gt;=c_TMAP2IN,c_TMAP3IN&gt;c_TMAP2IN),O173,IF(AND(K173&gt;=c_TMAP1IN,c_TMAP2IN&gt;c_TMAP1IN),N173,M173))),L173)</f>
        <v>216</v>
      </c>
      <c r="S173" s="7" t="str">
        <f aca="false">IF(R173&lt;-1090,"TOO LOW",IF(R173&gt;1090,"TOO HIGH",""))</f>
        <v/>
      </c>
      <c r="T173" s="15" t="n">
        <f aca="false">IF(H173&lt;&gt;"OK",0,IF(S173&lt;&gt;"",0,IF(R173&gt;979,1000,R173)))</f>
        <v>216</v>
      </c>
      <c r="U173" s="7" t="n">
        <f aca="false">T173/10</f>
        <v>21.6</v>
      </c>
    </row>
    <row r="174" customFormat="false" ht="15" hidden="false" customHeight="false" outlineLevel="0" collapsed="false">
      <c r="A174" s="7" t="n">
        <v>169</v>
      </c>
      <c r="B174" s="7" t="n">
        <f aca="false">ROUND(o_SWSTART+A174*(o_SWEND-o_SWSTART)/400,0)</f>
        <v>1730</v>
      </c>
      <c r="C174" s="7" t="n">
        <f aca="false">QUOTIENT((B174-c_OFF1)*c_GAIN1,1024)</f>
        <v>1730</v>
      </c>
      <c r="D174" s="7" t="n">
        <f aca="false">IF(((c_T1MX)-(c_T1MN))=0,(0)+QUOTIENT(((1000)-(0)),2),QUOTIENT((((C174)-(c_T1MN))*((1000)-(0))+IF(((1000)-(0))&gt;=0,1,-1)*QUOTIENT(((c_T1MX)-(c_T1MN)),2)),((c_T1MX)-(c_T1MN)))+(0)+IF(((1000)-(0))&gt;=0,IF(IF(o_WRAP=1,MOD(((c_T1MX)-(c_T1MN))*(((C174)-(c_T1MN))*((1000)-(0))+IF(((1000)-(0))&gt;=0,1,-1)*QUOTIENT(((c_T1MX)-(c_T1MN)),2))+2147483648,4294967296)-2147483648,((c_T1MX)-(c_T1MN))*(((C174)-(c_T1MN))*((1000)-(0))+IF(((1000)-(0))&gt;=0,1,-1)*QUOTIENT(((c_T1MX)-(c_T1MN)),2)))&lt;0,-1,0),IF(IF(o_WRAP=1,MOD(((c_T1MX)-(c_T1MN))*(((C174)-(c_T1MN))*((1000)-(0))+IF(((1000)-(0))&gt;=0,1,-1)*QUOTIENT(((c_T1MX)-(c_T1MN)),2))+2147483648,4294967296)-2147483648,((c_T1MX)-(c_T1MN))*(((C174)-(c_T1MN))*((1000)-(0))+IF(((1000)-(0))&gt;=0,1,-1)*QUOTIENT(((c_T1MX)-(c_T1MN)),2)))&gt;=0,1,0)))</f>
        <v>366</v>
      </c>
      <c r="E174" s="7" t="n">
        <f aca="false">IF(AND(c_TPOT=1,c_TTYPE=2),1000-D174,D174)</f>
        <v>366</v>
      </c>
      <c r="F174" s="7" t="str">
        <f aca="false">IF(c_TPOT&gt;1,ROUND(IF(c_TTYPE=2,c_T2MX-IF(c_T1MX=c_T1MN,0,(C174-c_T1MN)/(c_T1MX-c_T1MN))*(c_T2MX-c_T2MN),c_T2MN+IF(c_T1MX=c_T1MN,0,(C174-c_T1MN)/(c_T1MX-c_T1MN))*(c_T2MX-c_T2MN))+o_MISMATCH,0),"")</f>
        <v/>
      </c>
      <c r="G174" s="7" t="str">
        <f aca="false">IF(c_TPOT&gt;1,IF(((c_T2MX)-(c_T2MN))=0,(0)+QUOTIENT(((1000)-(0)),2),QUOTIENT((((F174)-(c_T2MN))*((1000)-(0))+IF(((1000)-(0))&gt;=0,1,-1)*QUOTIENT(((c_T2MX)-(c_T2MN)),2)),((c_T2MX)-(c_T2MN)))+(0)+IF(((1000)-(0))&gt;=0,IF(IF(o_WRAP=1,MOD(((c_T2MX)-(c_T2MN))*(((F174)-(c_T2MN))*((1000)-(0))+IF(((1000)-(0))&gt;=0,1,-1)*QUOTIENT(((c_T2MX)-(c_T2MN)),2))+2147483648,4294967296)-2147483648,((c_T2MX)-(c_T2MN))*(((F174)-(c_T2MN))*((1000)-(0))+IF(((1000)-(0))&gt;=0,1,-1)*QUOTIENT(((c_T2MX)-(c_T2MN)),2)))&lt;0,-1,0),IF(IF(o_WRAP=1,MOD(((c_T2MX)-(c_T2MN))*(((F174)-(c_T2MN))*((1000)-(0))+IF(((1000)-(0))&gt;=0,1,-1)*QUOTIENT(((c_T2MX)-(c_T2MN)),2))+2147483648,4294967296)-2147483648,((c_T2MX)-(c_T2MN))*(((F174)-(c_T2MN))*((1000)-(0))+IF(((1000)-(0))&gt;=0,1,-1)*QUOTIENT(((c_T2MX)-(c_T2MN)),2)))&gt;=0,1,0))),"")</f>
        <v/>
      </c>
      <c r="H174" s="7" t="str">
        <f aca="false">IF(E174&gt;1000+k_TOL,"T1 HIGH",IF(E174&lt;0-k_TOL,"T1 LOW",IF(c_TPOT&gt;1,IF(G174&gt;1000+k_TOL,"T2 HIGH",IF(G174&lt;0-k_TOL,"T2 LOW",IF(c_TTYPE=2,IF(ABS(1000-MAX(0,MIN(1000,E174))-MAX(0,MIN(1000,G174)))&gt;k_MAXERR,"MISMATCH","OK"),IF(OR(MAX(0,MIN(1000,E174))-k_MAXERR&gt;MAX(0,MIN(1000,G174)),MAX(0,MIN(1000,G174))-k_MAXERR&gt;MAX(0,MIN(1000,E174))),"MISMATCH","OK")))),"OK")))</f>
        <v>OK</v>
      </c>
      <c r="I174" s="7" t="n">
        <f aca="false">MAX(0,MIN(1000,D174))</f>
        <v>366</v>
      </c>
      <c r="J174" s="7" t="str">
        <f aca="false">IF(c_TPOT&gt;1,IF(c_TTYPE=2,1000-MAX(0,MIN(1000,G174)),MAX(0,MIN(1000,G174))),"")</f>
        <v/>
      </c>
      <c r="K174" s="7" t="n">
        <f aca="false">IF(c_TPOT&gt;1,QUOTIENT(I174+J174,2),I174)</f>
        <v>366</v>
      </c>
      <c r="L174" s="7" t="n">
        <f aca="false">IF(AND(K174=0,c_TCREEP&gt;0),10*c_TCREEP,IF(AND(K174&lt;=c_TRNGMIN,K174&gt;=c_TRNGMAX,c_TRNGMIN-c_TRNGMAX&lt;&gt;0),-10*c_TMINRN+QUOTIENT((c_TMAXRN-c_TMINRN)*(100-QUOTIENT((K174-c_TRNGMAX)*100,c_TRNGMIN-c_TRNGMAX)),-10),0))</f>
        <v>0</v>
      </c>
      <c r="M174" s="7" t="n">
        <f aca="false">IF(((c_TMAP1IN)-(c_TFWD))=0,(0)+QUOTIENT(((c_TMAP1OUT)-(0)),2),QUOTIENT((((K174)-(c_TFWD))*((c_TMAP1OUT)-(0))+IF(((c_TMAP1OUT)-(0))&gt;=0,1,-1)*QUOTIENT(((c_TMAP1IN)-(c_TFWD)),2)),((c_TMAP1IN)-(c_TFWD)))+(0)+IF(((c_TMAP1OUT)-(0))&gt;=0,IF(IF(o_WRAP=1,MOD(((c_TMAP1IN)-(c_TFWD))*(((K174)-(c_TFWD))*((c_TMAP1OUT)-(0))+IF(((c_TMAP1OUT)-(0))&gt;=0,1,-1)*QUOTIENT(((c_TMAP1IN)-(c_TFWD)),2))+2147483648,4294967296)-2147483648,((c_TMAP1IN)-(c_TFWD))*(((K174)-(c_TFWD))*((c_TMAP1OUT)-(0))+IF(((c_TMAP1OUT)-(0))&gt;=0,1,-1)*QUOTIENT(((c_TMAP1IN)-(c_TFWD)),2)))&lt;0,-1,0),IF(IF(o_WRAP=1,MOD(((c_TMAP1IN)-(c_TFWD))*(((K174)-(c_TFWD))*((c_TMAP1OUT)-(0))+IF(((c_TMAP1OUT)-(0))&gt;=0,1,-1)*QUOTIENT(((c_TMAP1IN)-(c_TFWD)),2))+2147483648,4294967296)-2147483648,((c_TMAP1IN)-(c_TFWD))*(((K174)-(c_TFWD))*((c_TMAP1OUT)-(0))+IF(((c_TMAP1OUT)-(0))&gt;=0,1,-1)*QUOTIENT(((c_TMAP1IN)-(c_TFWD)),2)))&gt;=0,1,0)))</f>
        <v>277</v>
      </c>
      <c r="N174" s="7" t="n">
        <f aca="false">IF(((c_TMAP2IN)-(c_TMAP1IN))=0,(c_TMAP1OUT)+QUOTIENT(((c_TMAP2OUT)-(c_TMAP1OUT)),2),QUOTIENT((((K174)-(c_TMAP1IN))*((c_TMAP2OUT)-(c_TMAP1OUT))+IF(((c_TMAP2OUT)-(c_TMAP1OUT))&gt;=0,1,-1)*QUOTIENT(((c_TMAP2IN)-(c_TMAP1IN)),2)),((c_TMAP2IN)-(c_TMAP1IN)))+(c_TMAP1OUT)+IF(((c_TMAP2OUT)-(c_TMAP1OUT))&gt;=0,IF(IF(o_WRAP=1,MOD(((c_TMAP2IN)-(c_TMAP1IN))*(((K174)-(c_TMAP1IN))*((c_TMAP2OUT)-(c_TMAP1OUT))+IF(((c_TMAP2OUT)-(c_TMAP1OUT))&gt;=0,1,-1)*QUOTIENT(((c_TMAP2IN)-(c_TMAP1IN)),2))+2147483648,4294967296)-2147483648,((c_TMAP2IN)-(c_TMAP1IN))*(((K174)-(c_TMAP1IN))*((c_TMAP2OUT)-(c_TMAP1OUT))+IF(((c_TMAP2OUT)-(c_TMAP1OUT))&gt;=0,1,-1)*QUOTIENT(((c_TMAP2IN)-(c_TMAP1IN)),2)))&lt;0,-1,0),IF(IF(o_WRAP=1,MOD(((c_TMAP2IN)-(c_TMAP1IN))*(((K174)-(c_TMAP1IN))*((c_TMAP2OUT)-(c_TMAP1OUT))+IF(((c_TMAP2OUT)-(c_TMAP1OUT))&gt;=0,1,-1)*QUOTIENT(((c_TMAP2IN)-(c_TMAP1IN)),2))+2147483648,4294967296)-2147483648,((c_TMAP2IN)-(c_TMAP1IN))*(((K174)-(c_TMAP1IN))*((c_TMAP2OUT)-(c_TMAP1OUT))+IF(((c_TMAP2OUT)-(c_TMAP1OUT))&gt;=0,1,-1)*QUOTIENT(((c_TMAP2IN)-(c_TMAP1IN)),2)))&gt;=0,1,0)))</f>
        <v>176</v>
      </c>
      <c r="O174" s="7" t="n">
        <f aca="false">IF(((c_TMAP3IN)-(c_TMAP2IN))=0,(c_TMAP2OUT)+QUOTIENT(((c_TMAP3OUT)-(c_TMAP2OUT)),2),QUOTIENT((((K174)-(c_TMAP2IN))*((c_TMAP3OUT)-(c_TMAP2OUT))+IF(((c_TMAP3OUT)-(c_TMAP2OUT))&gt;=0,1,-1)*QUOTIENT(((c_TMAP3IN)-(c_TMAP2IN)),2)),((c_TMAP3IN)-(c_TMAP2IN)))+(c_TMAP2OUT)+IF(((c_TMAP3OUT)-(c_TMAP2OUT))&gt;=0,IF(IF(o_WRAP=1,MOD(((c_TMAP3IN)-(c_TMAP2IN))*(((K174)-(c_TMAP2IN))*((c_TMAP3OUT)-(c_TMAP2OUT))+IF(((c_TMAP3OUT)-(c_TMAP2OUT))&gt;=0,1,-1)*QUOTIENT(((c_TMAP3IN)-(c_TMAP2IN)),2))+2147483648,4294967296)-2147483648,((c_TMAP3IN)-(c_TMAP2IN))*(((K174)-(c_TMAP2IN))*((c_TMAP3OUT)-(c_TMAP2OUT))+IF(((c_TMAP3OUT)-(c_TMAP2OUT))&gt;=0,1,-1)*QUOTIENT(((c_TMAP3IN)-(c_TMAP2IN)),2)))&lt;0,-1,0),IF(IF(o_WRAP=1,MOD(((c_TMAP3IN)-(c_TMAP2IN))*(((K174)-(c_TMAP2IN))*((c_TMAP3OUT)-(c_TMAP2OUT))+IF(((c_TMAP3OUT)-(c_TMAP2OUT))&gt;=0,1,-1)*QUOTIENT(((c_TMAP3IN)-(c_TMAP2IN)),2))+2147483648,4294967296)-2147483648,((c_TMAP3IN)-(c_TMAP2IN))*(((K174)-(c_TMAP2IN))*((c_TMAP3OUT)-(c_TMAP2OUT))+IF(((c_TMAP3OUT)-(c_TMAP2OUT))&gt;=0,1,-1)*QUOTIENT(((c_TMAP3IN)-(c_TMAP2IN)),2)))&gt;=0,1,0)))</f>
        <v>211</v>
      </c>
      <c r="P174" s="7" t="n">
        <f aca="false">IF(((1000)-(c_TMAP3IN))=0,(c_TMAP3OUT)+QUOTIENT(((1000)-(c_TMAP3OUT)),2),QUOTIENT((((K174)-(c_TMAP3IN))*((1000)-(c_TMAP3OUT))+IF(((1000)-(c_TMAP3OUT))&gt;=0,1,-1)*QUOTIENT(((1000)-(c_TMAP3IN)),2)),((1000)-(c_TMAP3IN)))+(c_TMAP3OUT)+IF(((1000)-(c_TMAP3OUT))&gt;=0,IF(IF(o_WRAP=1,MOD(((1000)-(c_TMAP3IN))*(((K174)-(c_TMAP3IN))*((1000)-(c_TMAP3OUT))+IF(((1000)-(c_TMAP3OUT))&gt;=0,1,-1)*QUOTIENT(((1000)-(c_TMAP3IN)),2))+2147483648,4294967296)-2147483648,((1000)-(c_TMAP3IN))*(((K174)-(c_TMAP3IN))*((1000)-(c_TMAP3OUT))+IF(((1000)-(c_TMAP3OUT))&gt;=0,1,-1)*QUOTIENT(((1000)-(c_TMAP3IN)),2)))&lt;0,-1,0),IF(IF(o_WRAP=1,MOD(((1000)-(c_TMAP3IN))*(((K174)-(c_TMAP3IN))*((1000)-(c_TMAP3OUT))+IF(((1000)-(c_TMAP3OUT))&gt;=0,1,-1)*QUOTIENT(((1000)-(c_TMAP3IN)),2))+2147483648,4294967296)-2147483648,((1000)-(c_TMAP3IN))*(((K174)-(c_TMAP3IN))*((1000)-(c_TMAP3OUT))+IF(((1000)-(c_TMAP3OUT))&gt;=0,1,-1)*QUOTIENT(((1000)-(c_TMAP3IN)),2)))&gt;=0,1,0)))</f>
        <v>220</v>
      </c>
      <c r="Q174" s="7" t="str">
        <f aca="false">IF(K174&gt;=c_TFWD,IF(AND(K174&gt;=c_TMAP3IN,c_TMAP3IN&lt;1000),"Seg4 map3-100%",IF(AND(K174&gt;=c_TMAP2IN,c_TMAP3IN&gt;c_TMAP2IN),"Seg3 map2-map3",IF(AND(K174&gt;=c_TMAP1IN,c_TMAP2IN&gt;c_TMAP1IN),"Seg2 map1-map2","Seg1 TFWD-map1"))),IF(AND(K174=0,c_TCREEP&gt;0),"Creep",IF(AND(K174&lt;=c_TRNGMIN,K174&gt;=c_TRNGMAX,c_TRNGMIN-c_TRNGMAX&lt;&gt;0),"Regen ramp","Coast (0)")))</f>
        <v>Seg4 map3-100%</v>
      </c>
      <c r="R174" s="7" t="n">
        <f aca="false">IF(K174&gt;=c_TFWD,IF(AND(K174&gt;=c_TMAP3IN,c_TMAP3IN&lt;1000),P174,IF(AND(K174&gt;=c_TMAP2IN,c_TMAP3IN&gt;c_TMAP2IN),O174,IF(AND(K174&gt;=c_TMAP1IN,c_TMAP2IN&gt;c_TMAP1IN),N174,M174))),L174)</f>
        <v>220</v>
      </c>
      <c r="S174" s="7" t="str">
        <f aca="false">IF(R174&lt;-1090,"TOO LOW",IF(R174&gt;1090,"TOO HIGH",""))</f>
        <v/>
      </c>
      <c r="T174" s="15" t="n">
        <f aca="false">IF(H174&lt;&gt;"OK",0,IF(S174&lt;&gt;"",0,IF(R174&gt;979,1000,R174)))</f>
        <v>220</v>
      </c>
      <c r="U174" s="7" t="n">
        <f aca="false">T174/10</f>
        <v>22</v>
      </c>
    </row>
    <row r="175" customFormat="false" ht="15" hidden="false" customHeight="false" outlineLevel="0" collapsed="false">
      <c r="A175" s="7" t="n">
        <v>170</v>
      </c>
      <c r="B175" s="7" t="n">
        <f aca="false">ROUND(o_SWSTART+A175*(o_SWEND-o_SWSTART)/400,0)</f>
        <v>1740</v>
      </c>
      <c r="C175" s="7" t="n">
        <f aca="false">QUOTIENT((B175-c_OFF1)*c_GAIN1,1024)</f>
        <v>1740</v>
      </c>
      <c r="D175" s="7" t="n">
        <f aca="false">IF(((c_T1MX)-(c_T1MN))=0,(0)+QUOTIENT(((1000)-(0)),2),QUOTIENT((((C175)-(c_T1MN))*((1000)-(0))+IF(((1000)-(0))&gt;=0,1,-1)*QUOTIENT(((c_T1MX)-(c_T1MN)),2)),((c_T1MX)-(c_T1MN)))+(0)+IF(((1000)-(0))&gt;=0,IF(IF(o_WRAP=1,MOD(((c_T1MX)-(c_T1MN))*(((C175)-(c_T1MN))*((1000)-(0))+IF(((1000)-(0))&gt;=0,1,-1)*QUOTIENT(((c_T1MX)-(c_T1MN)),2))+2147483648,4294967296)-2147483648,((c_T1MX)-(c_T1MN))*(((C175)-(c_T1MN))*((1000)-(0))+IF(((1000)-(0))&gt;=0,1,-1)*QUOTIENT(((c_T1MX)-(c_T1MN)),2)))&lt;0,-1,0),IF(IF(o_WRAP=1,MOD(((c_T1MX)-(c_T1MN))*(((C175)-(c_T1MN))*((1000)-(0))+IF(((1000)-(0))&gt;=0,1,-1)*QUOTIENT(((c_T1MX)-(c_T1MN)),2))+2147483648,4294967296)-2147483648,((c_T1MX)-(c_T1MN))*(((C175)-(c_T1MN))*((1000)-(0))+IF(((1000)-(0))&gt;=0,1,-1)*QUOTIENT(((c_T1MX)-(c_T1MN)),2)))&gt;=0,1,0)))</f>
        <v>370</v>
      </c>
      <c r="E175" s="7" t="n">
        <f aca="false">IF(AND(c_TPOT=1,c_TTYPE=2),1000-D175,D175)</f>
        <v>370</v>
      </c>
      <c r="F175" s="7" t="str">
        <f aca="false">IF(c_TPOT&gt;1,ROUND(IF(c_TTYPE=2,c_T2MX-IF(c_T1MX=c_T1MN,0,(C175-c_T1MN)/(c_T1MX-c_T1MN))*(c_T2MX-c_T2MN),c_T2MN+IF(c_T1MX=c_T1MN,0,(C175-c_T1MN)/(c_T1MX-c_T1MN))*(c_T2MX-c_T2MN))+o_MISMATCH,0),"")</f>
        <v/>
      </c>
      <c r="G175" s="7" t="str">
        <f aca="false">IF(c_TPOT&gt;1,IF(((c_T2MX)-(c_T2MN))=0,(0)+QUOTIENT(((1000)-(0)),2),QUOTIENT((((F175)-(c_T2MN))*((1000)-(0))+IF(((1000)-(0))&gt;=0,1,-1)*QUOTIENT(((c_T2MX)-(c_T2MN)),2)),((c_T2MX)-(c_T2MN)))+(0)+IF(((1000)-(0))&gt;=0,IF(IF(o_WRAP=1,MOD(((c_T2MX)-(c_T2MN))*(((F175)-(c_T2MN))*((1000)-(0))+IF(((1000)-(0))&gt;=0,1,-1)*QUOTIENT(((c_T2MX)-(c_T2MN)),2))+2147483648,4294967296)-2147483648,((c_T2MX)-(c_T2MN))*(((F175)-(c_T2MN))*((1000)-(0))+IF(((1000)-(0))&gt;=0,1,-1)*QUOTIENT(((c_T2MX)-(c_T2MN)),2)))&lt;0,-1,0),IF(IF(o_WRAP=1,MOD(((c_T2MX)-(c_T2MN))*(((F175)-(c_T2MN))*((1000)-(0))+IF(((1000)-(0))&gt;=0,1,-1)*QUOTIENT(((c_T2MX)-(c_T2MN)),2))+2147483648,4294967296)-2147483648,((c_T2MX)-(c_T2MN))*(((F175)-(c_T2MN))*((1000)-(0))+IF(((1000)-(0))&gt;=0,1,-1)*QUOTIENT(((c_T2MX)-(c_T2MN)),2)))&gt;=0,1,0))),"")</f>
        <v/>
      </c>
      <c r="H175" s="7" t="str">
        <f aca="false">IF(E175&gt;1000+k_TOL,"T1 HIGH",IF(E175&lt;0-k_TOL,"T1 LOW",IF(c_TPOT&gt;1,IF(G175&gt;1000+k_TOL,"T2 HIGH",IF(G175&lt;0-k_TOL,"T2 LOW",IF(c_TTYPE=2,IF(ABS(1000-MAX(0,MIN(1000,E175))-MAX(0,MIN(1000,G175)))&gt;k_MAXERR,"MISMATCH","OK"),IF(OR(MAX(0,MIN(1000,E175))-k_MAXERR&gt;MAX(0,MIN(1000,G175)),MAX(0,MIN(1000,G175))-k_MAXERR&gt;MAX(0,MIN(1000,E175))),"MISMATCH","OK")))),"OK")))</f>
        <v>OK</v>
      </c>
      <c r="I175" s="7" t="n">
        <f aca="false">MAX(0,MIN(1000,D175))</f>
        <v>370</v>
      </c>
      <c r="J175" s="7" t="str">
        <f aca="false">IF(c_TPOT&gt;1,IF(c_TTYPE=2,1000-MAX(0,MIN(1000,G175)),MAX(0,MIN(1000,G175))),"")</f>
        <v/>
      </c>
      <c r="K175" s="7" t="n">
        <f aca="false">IF(c_TPOT&gt;1,QUOTIENT(I175+J175,2),I175)</f>
        <v>370</v>
      </c>
      <c r="L175" s="7" t="n">
        <f aca="false">IF(AND(K175=0,c_TCREEP&gt;0),10*c_TCREEP,IF(AND(K175&lt;=c_TRNGMIN,K175&gt;=c_TRNGMAX,c_TRNGMIN-c_TRNGMAX&lt;&gt;0),-10*c_TMINRN+QUOTIENT((c_TMAXRN-c_TMINRN)*(100-QUOTIENT((K175-c_TRNGMAX)*100,c_TRNGMIN-c_TRNGMAX)),-10),0))</f>
        <v>0</v>
      </c>
      <c r="M175" s="7" t="n">
        <f aca="false">IF(((c_TMAP1IN)-(c_TFWD))=0,(0)+QUOTIENT(((c_TMAP1OUT)-(0)),2),QUOTIENT((((K175)-(c_TFWD))*((c_TMAP1OUT)-(0))+IF(((c_TMAP1OUT)-(0))&gt;=0,1,-1)*QUOTIENT(((c_TMAP1IN)-(c_TFWD)),2)),((c_TMAP1IN)-(c_TFWD)))+(0)+IF(((c_TMAP1OUT)-(0))&gt;=0,IF(IF(o_WRAP=1,MOD(((c_TMAP1IN)-(c_TFWD))*(((K175)-(c_TFWD))*((c_TMAP1OUT)-(0))+IF(((c_TMAP1OUT)-(0))&gt;=0,1,-1)*QUOTIENT(((c_TMAP1IN)-(c_TFWD)),2))+2147483648,4294967296)-2147483648,((c_TMAP1IN)-(c_TFWD))*(((K175)-(c_TFWD))*((c_TMAP1OUT)-(0))+IF(((c_TMAP1OUT)-(0))&gt;=0,1,-1)*QUOTIENT(((c_TMAP1IN)-(c_TFWD)),2)))&lt;0,-1,0),IF(IF(o_WRAP=1,MOD(((c_TMAP1IN)-(c_TFWD))*(((K175)-(c_TFWD))*((c_TMAP1OUT)-(0))+IF(((c_TMAP1OUT)-(0))&gt;=0,1,-1)*QUOTIENT(((c_TMAP1IN)-(c_TFWD)),2))+2147483648,4294967296)-2147483648,((c_TMAP1IN)-(c_TFWD))*(((K175)-(c_TFWD))*((c_TMAP1OUT)-(0))+IF(((c_TMAP1OUT)-(0))&gt;=0,1,-1)*QUOTIENT(((c_TMAP1IN)-(c_TFWD)),2)))&gt;=0,1,0)))</f>
        <v>280</v>
      </c>
      <c r="N175" s="7" t="n">
        <f aca="false">IF(((c_TMAP2IN)-(c_TMAP1IN))=0,(c_TMAP1OUT)+QUOTIENT(((c_TMAP2OUT)-(c_TMAP1OUT)),2),QUOTIENT((((K175)-(c_TMAP1IN))*((c_TMAP2OUT)-(c_TMAP1OUT))+IF(((c_TMAP2OUT)-(c_TMAP1OUT))&gt;=0,1,-1)*QUOTIENT(((c_TMAP2IN)-(c_TMAP1IN)),2)),((c_TMAP2IN)-(c_TMAP1IN)))+(c_TMAP1OUT)+IF(((c_TMAP2OUT)-(c_TMAP1OUT))&gt;=0,IF(IF(o_WRAP=1,MOD(((c_TMAP2IN)-(c_TMAP1IN))*(((K175)-(c_TMAP1IN))*((c_TMAP2OUT)-(c_TMAP1OUT))+IF(((c_TMAP2OUT)-(c_TMAP1OUT))&gt;=0,1,-1)*QUOTIENT(((c_TMAP2IN)-(c_TMAP1IN)),2))+2147483648,4294967296)-2147483648,((c_TMAP2IN)-(c_TMAP1IN))*(((K175)-(c_TMAP1IN))*((c_TMAP2OUT)-(c_TMAP1OUT))+IF(((c_TMAP2OUT)-(c_TMAP1OUT))&gt;=0,1,-1)*QUOTIENT(((c_TMAP2IN)-(c_TMAP1IN)),2)))&lt;0,-1,0),IF(IF(o_WRAP=1,MOD(((c_TMAP2IN)-(c_TMAP1IN))*(((K175)-(c_TMAP1IN))*((c_TMAP2OUT)-(c_TMAP1OUT))+IF(((c_TMAP2OUT)-(c_TMAP1OUT))&gt;=0,1,-1)*QUOTIENT(((c_TMAP2IN)-(c_TMAP1IN)),2))+2147483648,4294967296)-2147483648,((c_TMAP2IN)-(c_TMAP1IN))*(((K175)-(c_TMAP1IN))*((c_TMAP2OUT)-(c_TMAP1OUT))+IF(((c_TMAP2OUT)-(c_TMAP1OUT))&gt;=0,1,-1)*QUOTIENT(((c_TMAP2IN)-(c_TMAP1IN)),2)))&gt;=0,1,0)))</f>
        <v>178</v>
      </c>
      <c r="O175" s="7" t="n">
        <f aca="false">IF(((c_TMAP3IN)-(c_TMAP2IN))=0,(c_TMAP2OUT)+QUOTIENT(((c_TMAP3OUT)-(c_TMAP2OUT)),2),QUOTIENT((((K175)-(c_TMAP2IN))*((c_TMAP3OUT)-(c_TMAP2OUT))+IF(((c_TMAP3OUT)-(c_TMAP2OUT))&gt;=0,1,-1)*QUOTIENT(((c_TMAP3IN)-(c_TMAP2IN)),2)),((c_TMAP3IN)-(c_TMAP2IN)))+(c_TMAP2OUT)+IF(((c_TMAP3OUT)-(c_TMAP2OUT))&gt;=0,IF(IF(o_WRAP=1,MOD(((c_TMAP3IN)-(c_TMAP2IN))*(((K175)-(c_TMAP2IN))*((c_TMAP3OUT)-(c_TMAP2OUT))+IF(((c_TMAP3OUT)-(c_TMAP2OUT))&gt;=0,1,-1)*QUOTIENT(((c_TMAP3IN)-(c_TMAP2IN)),2))+2147483648,4294967296)-2147483648,((c_TMAP3IN)-(c_TMAP2IN))*(((K175)-(c_TMAP2IN))*((c_TMAP3OUT)-(c_TMAP2OUT))+IF(((c_TMAP3OUT)-(c_TMAP2OUT))&gt;=0,1,-1)*QUOTIENT(((c_TMAP3IN)-(c_TMAP2IN)),2)))&lt;0,-1,0),IF(IF(o_WRAP=1,MOD(((c_TMAP3IN)-(c_TMAP2IN))*(((K175)-(c_TMAP2IN))*((c_TMAP3OUT)-(c_TMAP2OUT))+IF(((c_TMAP3OUT)-(c_TMAP2OUT))&gt;=0,1,-1)*QUOTIENT(((c_TMAP3IN)-(c_TMAP2IN)),2))+2147483648,4294967296)-2147483648,((c_TMAP3IN)-(c_TMAP2IN))*(((K175)-(c_TMAP2IN))*((c_TMAP3OUT)-(c_TMAP2OUT))+IF(((c_TMAP3OUT)-(c_TMAP2OUT))&gt;=0,1,-1)*QUOTIENT(((c_TMAP3IN)-(c_TMAP2IN)),2)))&gt;=0,1,0)))</f>
        <v>214</v>
      </c>
      <c r="P175" s="7" t="n">
        <f aca="false">IF(((1000)-(c_TMAP3IN))=0,(c_TMAP3OUT)+QUOTIENT(((1000)-(c_TMAP3OUT)),2),QUOTIENT((((K175)-(c_TMAP3IN))*((1000)-(c_TMAP3OUT))+IF(((1000)-(c_TMAP3OUT))&gt;=0,1,-1)*QUOTIENT(((1000)-(c_TMAP3IN)),2)),((1000)-(c_TMAP3IN)))+(c_TMAP3OUT)+IF(((1000)-(c_TMAP3OUT))&gt;=0,IF(IF(o_WRAP=1,MOD(((1000)-(c_TMAP3IN))*(((K175)-(c_TMAP3IN))*((1000)-(c_TMAP3OUT))+IF(((1000)-(c_TMAP3OUT))&gt;=0,1,-1)*QUOTIENT(((1000)-(c_TMAP3IN)),2))+2147483648,4294967296)-2147483648,((1000)-(c_TMAP3IN))*(((K175)-(c_TMAP3IN))*((1000)-(c_TMAP3OUT))+IF(((1000)-(c_TMAP3OUT))&gt;=0,1,-1)*QUOTIENT(((1000)-(c_TMAP3IN)),2)))&lt;0,-1,0),IF(IF(o_WRAP=1,MOD(((1000)-(c_TMAP3IN))*(((K175)-(c_TMAP3IN))*((1000)-(c_TMAP3OUT))+IF(((1000)-(c_TMAP3OUT))&gt;=0,1,-1)*QUOTIENT(((1000)-(c_TMAP3IN)),2))+2147483648,4294967296)-2147483648,((1000)-(c_TMAP3IN))*(((K175)-(c_TMAP3IN))*((1000)-(c_TMAP3OUT))+IF(((1000)-(c_TMAP3OUT))&gt;=0,1,-1)*QUOTIENT(((1000)-(c_TMAP3IN)),2)))&gt;=0,1,0)))</f>
        <v>225</v>
      </c>
      <c r="Q175" s="7" t="str">
        <f aca="false">IF(K175&gt;=c_TFWD,IF(AND(K175&gt;=c_TMAP3IN,c_TMAP3IN&lt;1000),"Seg4 map3-100%",IF(AND(K175&gt;=c_TMAP2IN,c_TMAP3IN&gt;c_TMAP2IN),"Seg3 map2-map3",IF(AND(K175&gt;=c_TMAP1IN,c_TMAP2IN&gt;c_TMAP1IN),"Seg2 map1-map2","Seg1 TFWD-map1"))),IF(AND(K175=0,c_TCREEP&gt;0),"Creep",IF(AND(K175&lt;=c_TRNGMIN,K175&gt;=c_TRNGMAX,c_TRNGMIN-c_TRNGMAX&lt;&gt;0),"Regen ramp","Coast (0)")))</f>
        <v>Seg4 map3-100%</v>
      </c>
      <c r="R175" s="7" t="n">
        <f aca="false">IF(K175&gt;=c_TFWD,IF(AND(K175&gt;=c_TMAP3IN,c_TMAP3IN&lt;1000),P175,IF(AND(K175&gt;=c_TMAP2IN,c_TMAP3IN&gt;c_TMAP2IN),O175,IF(AND(K175&gt;=c_TMAP1IN,c_TMAP2IN&gt;c_TMAP1IN),N175,M175))),L175)</f>
        <v>225</v>
      </c>
      <c r="S175" s="7" t="str">
        <f aca="false">IF(R175&lt;-1090,"TOO LOW",IF(R175&gt;1090,"TOO HIGH",""))</f>
        <v/>
      </c>
      <c r="T175" s="15" t="n">
        <f aca="false">IF(H175&lt;&gt;"OK",0,IF(S175&lt;&gt;"",0,IF(R175&gt;979,1000,R175)))</f>
        <v>225</v>
      </c>
      <c r="U175" s="7" t="n">
        <f aca="false">T175/10</f>
        <v>22.5</v>
      </c>
    </row>
    <row r="176" customFormat="false" ht="15" hidden="false" customHeight="false" outlineLevel="0" collapsed="false">
      <c r="A176" s="7" t="n">
        <v>171</v>
      </c>
      <c r="B176" s="7" t="n">
        <f aca="false">ROUND(o_SWSTART+A176*(o_SWEND-o_SWSTART)/400,0)</f>
        <v>1751</v>
      </c>
      <c r="C176" s="7" t="n">
        <f aca="false">QUOTIENT((B176-c_OFF1)*c_GAIN1,1024)</f>
        <v>1751</v>
      </c>
      <c r="D176" s="7" t="n">
        <f aca="false">IF(((c_T1MX)-(c_T1MN))=0,(0)+QUOTIENT(((1000)-(0)),2),QUOTIENT((((C176)-(c_T1MN))*((1000)-(0))+IF(((1000)-(0))&gt;=0,1,-1)*QUOTIENT(((c_T1MX)-(c_T1MN)),2)),((c_T1MX)-(c_T1MN)))+(0)+IF(((1000)-(0))&gt;=0,IF(IF(o_WRAP=1,MOD(((c_T1MX)-(c_T1MN))*(((C176)-(c_T1MN))*((1000)-(0))+IF(((1000)-(0))&gt;=0,1,-1)*QUOTIENT(((c_T1MX)-(c_T1MN)),2))+2147483648,4294967296)-2147483648,((c_T1MX)-(c_T1MN))*(((C176)-(c_T1MN))*((1000)-(0))+IF(((1000)-(0))&gt;=0,1,-1)*QUOTIENT(((c_T1MX)-(c_T1MN)),2)))&lt;0,-1,0),IF(IF(o_WRAP=1,MOD(((c_T1MX)-(c_T1MN))*(((C176)-(c_T1MN))*((1000)-(0))+IF(((1000)-(0))&gt;=0,1,-1)*QUOTIENT(((c_T1MX)-(c_T1MN)),2))+2147483648,4294967296)-2147483648,((c_T1MX)-(c_T1MN))*(((C176)-(c_T1MN))*((1000)-(0))+IF(((1000)-(0))&gt;=0,1,-1)*QUOTIENT(((c_T1MX)-(c_T1MN)),2)))&gt;=0,1,0)))</f>
        <v>374</v>
      </c>
      <c r="E176" s="7" t="n">
        <f aca="false">IF(AND(c_TPOT=1,c_TTYPE=2),1000-D176,D176)</f>
        <v>374</v>
      </c>
      <c r="F176" s="7" t="str">
        <f aca="false">IF(c_TPOT&gt;1,ROUND(IF(c_TTYPE=2,c_T2MX-IF(c_T1MX=c_T1MN,0,(C176-c_T1MN)/(c_T1MX-c_T1MN))*(c_T2MX-c_T2MN),c_T2MN+IF(c_T1MX=c_T1MN,0,(C176-c_T1MN)/(c_T1MX-c_T1MN))*(c_T2MX-c_T2MN))+o_MISMATCH,0),"")</f>
        <v/>
      </c>
      <c r="G176" s="7" t="str">
        <f aca="false">IF(c_TPOT&gt;1,IF(((c_T2MX)-(c_T2MN))=0,(0)+QUOTIENT(((1000)-(0)),2),QUOTIENT((((F176)-(c_T2MN))*((1000)-(0))+IF(((1000)-(0))&gt;=0,1,-1)*QUOTIENT(((c_T2MX)-(c_T2MN)),2)),((c_T2MX)-(c_T2MN)))+(0)+IF(((1000)-(0))&gt;=0,IF(IF(o_WRAP=1,MOD(((c_T2MX)-(c_T2MN))*(((F176)-(c_T2MN))*((1000)-(0))+IF(((1000)-(0))&gt;=0,1,-1)*QUOTIENT(((c_T2MX)-(c_T2MN)),2))+2147483648,4294967296)-2147483648,((c_T2MX)-(c_T2MN))*(((F176)-(c_T2MN))*((1000)-(0))+IF(((1000)-(0))&gt;=0,1,-1)*QUOTIENT(((c_T2MX)-(c_T2MN)),2)))&lt;0,-1,0),IF(IF(o_WRAP=1,MOD(((c_T2MX)-(c_T2MN))*(((F176)-(c_T2MN))*((1000)-(0))+IF(((1000)-(0))&gt;=0,1,-1)*QUOTIENT(((c_T2MX)-(c_T2MN)),2))+2147483648,4294967296)-2147483648,((c_T2MX)-(c_T2MN))*(((F176)-(c_T2MN))*((1000)-(0))+IF(((1000)-(0))&gt;=0,1,-1)*QUOTIENT(((c_T2MX)-(c_T2MN)),2)))&gt;=0,1,0))),"")</f>
        <v/>
      </c>
      <c r="H176" s="7" t="str">
        <f aca="false">IF(E176&gt;1000+k_TOL,"T1 HIGH",IF(E176&lt;0-k_TOL,"T1 LOW",IF(c_TPOT&gt;1,IF(G176&gt;1000+k_TOL,"T2 HIGH",IF(G176&lt;0-k_TOL,"T2 LOW",IF(c_TTYPE=2,IF(ABS(1000-MAX(0,MIN(1000,E176))-MAX(0,MIN(1000,G176)))&gt;k_MAXERR,"MISMATCH","OK"),IF(OR(MAX(0,MIN(1000,E176))-k_MAXERR&gt;MAX(0,MIN(1000,G176)),MAX(0,MIN(1000,G176))-k_MAXERR&gt;MAX(0,MIN(1000,E176))),"MISMATCH","OK")))),"OK")))</f>
        <v>OK</v>
      </c>
      <c r="I176" s="7" t="n">
        <f aca="false">MAX(0,MIN(1000,D176))</f>
        <v>374</v>
      </c>
      <c r="J176" s="7" t="str">
        <f aca="false">IF(c_TPOT&gt;1,IF(c_TTYPE=2,1000-MAX(0,MIN(1000,G176)),MAX(0,MIN(1000,G176))),"")</f>
        <v/>
      </c>
      <c r="K176" s="7" t="n">
        <f aca="false">IF(c_TPOT&gt;1,QUOTIENT(I176+J176,2),I176)</f>
        <v>374</v>
      </c>
      <c r="L176" s="7" t="n">
        <f aca="false">IF(AND(K176=0,c_TCREEP&gt;0),10*c_TCREEP,IF(AND(K176&lt;=c_TRNGMIN,K176&gt;=c_TRNGMAX,c_TRNGMIN-c_TRNGMAX&lt;&gt;0),-10*c_TMINRN+QUOTIENT((c_TMAXRN-c_TMINRN)*(100-QUOTIENT((K176-c_TRNGMAX)*100,c_TRNGMIN-c_TRNGMAX)),-10),0))</f>
        <v>0</v>
      </c>
      <c r="M176" s="7" t="n">
        <f aca="false">IF(((c_TMAP1IN)-(c_TFWD))=0,(0)+QUOTIENT(((c_TMAP1OUT)-(0)),2),QUOTIENT((((K176)-(c_TFWD))*((c_TMAP1OUT)-(0))+IF(((c_TMAP1OUT)-(0))&gt;=0,1,-1)*QUOTIENT(((c_TMAP1IN)-(c_TFWD)),2)),((c_TMAP1IN)-(c_TFWD)))+(0)+IF(((c_TMAP1OUT)-(0))&gt;=0,IF(IF(o_WRAP=1,MOD(((c_TMAP1IN)-(c_TFWD))*(((K176)-(c_TFWD))*((c_TMAP1OUT)-(0))+IF(((c_TMAP1OUT)-(0))&gt;=0,1,-1)*QUOTIENT(((c_TMAP1IN)-(c_TFWD)),2))+2147483648,4294967296)-2147483648,((c_TMAP1IN)-(c_TFWD))*(((K176)-(c_TFWD))*((c_TMAP1OUT)-(0))+IF(((c_TMAP1OUT)-(0))&gt;=0,1,-1)*QUOTIENT(((c_TMAP1IN)-(c_TFWD)),2)))&lt;0,-1,0),IF(IF(o_WRAP=1,MOD(((c_TMAP1IN)-(c_TFWD))*(((K176)-(c_TFWD))*((c_TMAP1OUT)-(0))+IF(((c_TMAP1OUT)-(0))&gt;=0,1,-1)*QUOTIENT(((c_TMAP1IN)-(c_TFWD)),2))+2147483648,4294967296)-2147483648,((c_TMAP1IN)-(c_TFWD))*(((K176)-(c_TFWD))*((c_TMAP1OUT)-(0))+IF(((c_TMAP1OUT)-(0))&gt;=0,1,-1)*QUOTIENT(((c_TMAP1IN)-(c_TFWD)),2)))&gt;=0,1,0)))</f>
        <v>283</v>
      </c>
      <c r="N176" s="7" t="n">
        <f aca="false">IF(((c_TMAP2IN)-(c_TMAP1IN))=0,(c_TMAP1OUT)+QUOTIENT(((c_TMAP2OUT)-(c_TMAP1OUT)),2),QUOTIENT((((K176)-(c_TMAP1IN))*((c_TMAP2OUT)-(c_TMAP1OUT))+IF(((c_TMAP2OUT)-(c_TMAP1OUT))&gt;=0,1,-1)*QUOTIENT(((c_TMAP2IN)-(c_TMAP1IN)),2)),((c_TMAP2IN)-(c_TMAP1IN)))+(c_TMAP1OUT)+IF(((c_TMAP2OUT)-(c_TMAP1OUT))&gt;=0,IF(IF(o_WRAP=1,MOD(((c_TMAP2IN)-(c_TMAP1IN))*(((K176)-(c_TMAP1IN))*((c_TMAP2OUT)-(c_TMAP1OUT))+IF(((c_TMAP2OUT)-(c_TMAP1OUT))&gt;=0,1,-1)*QUOTIENT(((c_TMAP2IN)-(c_TMAP1IN)),2))+2147483648,4294967296)-2147483648,((c_TMAP2IN)-(c_TMAP1IN))*(((K176)-(c_TMAP1IN))*((c_TMAP2OUT)-(c_TMAP1OUT))+IF(((c_TMAP2OUT)-(c_TMAP1OUT))&gt;=0,1,-1)*QUOTIENT(((c_TMAP2IN)-(c_TMAP1IN)),2)))&lt;0,-1,0),IF(IF(o_WRAP=1,MOD(((c_TMAP2IN)-(c_TMAP1IN))*(((K176)-(c_TMAP1IN))*((c_TMAP2OUT)-(c_TMAP1OUT))+IF(((c_TMAP2OUT)-(c_TMAP1OUT))&gt;=0,1,-1)*QUOTIENT(((c_TMAP2IN)-(c_TMAP1IN)),2))+2147483648,4294967296)-2147483648,((c_TMAP2IN)-(c_TMAP1IN))*(((K176)-(c_TMAP1IN))*((c_TMAP2OUT)-(c_TMAP1OUT))+IF(((c_TMAP2OUT)-(c_TMAP1OUT))&gt;=0,1,-1)*QUOTIENT(((c_TMAP2IN)-(c_TMAP1IN)),2)))&gt;=0,1,0)))</f>
        <v>180</v>
      </c>
      <c r="O176" s="7" t="n">
        <f aca="false">IF(((c_TMAP3IN)-(c_TMAP2IN))=0,(c_TMAP2OUT)+QUOTIENT(((c_TMAP3OUT)-(c_TMAP2OUT)),2),QUOTIENT((((K176)-(c_TMAP2IN))*((c_TMAP3OUT)-(c_TMAP2OUT))+IF(((c_TMAP3OUT)-(c_TMAP2OUT))&gt;=0,1,-1)*QUOTIENT(((c_TMAP3IN)-(c_TMAP2IN)),2)),((c_TMAP3IN)-(c_TMAP2IN)))+(c_TMAP2OUT)+IF(((c_TMAP3OUT)-(c_TMAP2OUT))&gt;=0,IF(IF(o_WRAP=1,MOD(((c_TMAP3IN)-(c_TMAP2IN))*(((K176)-(c_TMAP2IN))*((c_TMAP3OUT)-(c_TMAP2OUT))+IF(((c_TMAP3OUT)-(c_TMAP2OUT))&gt;=0,1,-1)*QUOTIENT(((c_TMAP3IN)-(c_TMAP2IN)),2))+2147483648,4294967296)-2147483648,((c_TMAP3IN)-(c_TMAP2IN))*(((K176)-(c_TMAP2IN))*((c_TMAP3OUT)-(c_TMAP2OUT))+IF(((c_TMAP3OUT)-(c_TMAP2OUT))&gt;=0,1,-1)*QUOTIENT(((c_TMAP3IN)-(c_TMAP2IN)),2)))&lt;0,-1,0),IF(IF(o_WRAP=1,MOD(((c_TMAP3IN)-(c_TMAP2IN))*(((K176)-(c_TMAP2IN))*((c_TMAP3OUT)-(c_TMAP2OUT))+IF(((c_TMAP3OUT)-(c_TMAP2OUT))&gt;=0,1,-1)*QUOTIENT(((c_TMAP3IN)-(c_TMAP2IN)),2))+2147483648,4294967296)-2147483648,((c_TMAP3IN)-(c_TMAP2IN))*(((K176)-(c_TMAP2IN))*((c_TMAP3OUT)-(c_TMAP2OUT))+IF(((c_TMAP3OUT)-(c_TMAP2OUT))&gt;=0,1,-1)*QUOTIENT(((c_TMAP3IN)-(c_TMAP2IN)),2)))&gt;=0,1,0)))</f>
        <v>217</v>
      </c>
      <c r="P176" s="7" t="n">
        <f aca="false">IF(((1000)-(c_TMAP3IN))=0,(c_TMAP3OUT)+QUOTIENT(((1000)-(c_TMAP3OUT)),2),QUOTIENT((((K176)-(c_TMAP3IN))*((1000)-(c_TMAP3OUT))+IF(((1000)-(c_TMAP3OUT))&gt;=0,1,-1)*QUOTIENT(((1000)-(c_TMAP3IN)),2)),((1000)-(c_TMAP3IN)))+(c_TMAP3OUT)+IF(((1000)-(c_TMAP3OUT))&gt;=0,IF(IF(o_WRAP=1,MOD(((1000)-(c_TMAP3IN))*(((K176)-(c_TMAP3IN))*((1000)-(c_TMAP3OUT))+IF(((1000)-(c_TMAP3OUT))&gt;=0,1,-1)*QUOTIENT(((1000)-(c_TMAP3IN)),2))+2147483648,4294967296)-2147483648,((1000)-(c_TMAP3IN))*(((K176)-(c_TMAP3IN))*((1000)-(c_TMAP3OUT))+IF(((1000)-(c_TMAP3OUT))&gt;=0,1,-1)*QUOTIENT(((1000)-(c_TMAP3IN)),2)))&lt;0,-1,0),IF(IF(o_WRAP=1,MOD(((1000)-(c_TMAP3IN))*(((K176)-(c_TMAP3IN))*((1000)-(c_TMAP3OUT))+IF(((1000)-(c_TMAP3OUT))&gt;=0,1,-1)*QUOTIENT(((1000)-(c_TMAP3IN)),2))+2147483648,4294967296)-2147483648,((1000)-(c_TMAP3IN))*(((K176)-(c_TMAP3IN))*((1000)-(c_TMAP3OUT))+IF(((1000)-(c_TMAP3OUT))&gt;=0,1,-1)*QUOTIENT(((1000)-(c_TMAP3IN)),2)))&gt;=0,1,0)))</f>
        <v>230</v>
      </c>
      <c r="Q176" s="7" t="str">
        <f aca="false">IF(K176&gt;=c_TFWD,IF(AND(K176&gt;=c_TMAP3IN,c_TMAP3IN&lt;1000),"Seg4 map3-100%",IF(AND(K176&gt;=c_TMAP2IN,c_TMAP3IN&gt;c_TMAP2IN),"Seg3 map2-map3",IF(AND(K176&gt;=c_TMAP1IN,c_TMAP2IN&gt;c_TMAP1IN),"Seg2 map1-map2","Seg1 TFWD-map1"))),IF(AND(K176=0,c_TCREEP&gt;0),"Creep",IF(AND(K176&lt;=c_TRNGMIN,K176&gt;=c_TRNGMAX,c_TRNGMIN-c_TRNGMAX&lt;&gt;0),"Regen ramp","Coast (0)")))</f>
        <v>Seg4 map3-100%</v>
      </c>
      <c r="R176" s="7" t="n">
        <f aca="false">IF(K176&gt;=c_TFWD,IF(AND(K176&gt;=c_TMAP3IN,c_TMAP3IN&lt;1000),P176,IF(AND(K176&gt;=c_TMAP2IN,c_TMAP3IN&gt;c_TMAP2IN),O176,IF(AND(K176&gt;=c_TMAP1IN,c_TMAP2IN&gt;c_TMAP1IN),N176,M176))),L176)</f>
        <v>230</v>
      </c>
      <c r="S176" s="7" t="str">
        <f aca="false">IF(R176&lt;-1090,"TOO LOW",IF(R176&gt;1090,"TOO HIGH",""))</f>
        <v/>
      </c>
      <c r="T176" s="15" t="n">
        <f aca="false">IF(H176&lt;&gt;"OK",0,IF(S176&lt;&gt;"",0,IF(R176&gt;979,1000,R176)))</f>
        <v>230</v>
      </c>
      <c r="U176" s="7" t="n">
        <f aca="false">T176/10</f>
        <v>23</v>
      </c>
    </row>
    <row r="177" customFormat="false" ht="15" hidden="false" customHeight="false" outlineLevel="0" collapsed="false">
      <c r="A177" s="7" t="n">
        <v>172</v>
      </c>
      <c r="B177" s="7" t="n">
        <f aca="false">ROUND(o_SWSTART+A177*(o_SWEND-o_SWSTART)/400,0)</f>
        <v>1761</v>
      </c>
      <c r="C177" s="7" t="n">
        <f aca="false">QUOTIENT((B177-c_OFF1)*c_GAIN1,1024)</f>
        <v>1761</v>
      </c>
      <c r="D177" s="7" t="n">
        <f aca="false">IF(((c_T1MX)-(c_T1MN))=0,(0)+QUOTIENT(((1000)-(0)),2),QUOTIENT((((C177)-(c_T1MN))*((1000)-(0))+IF(((1000)-(0))&gt;=0,1,-1)*QUOTIENT(((c_T1MX)-(c_T1MN)),2)),((c_T1MX)-(c_T1MN)))+(0)+IF(((1000)-(0))&gt;=0,IF(IF(o_WRAP=1,MOD(((c_T1MX)-(c_T1MN))*(((C177)-(c_T1MN))*((1000)-(0))+IF(((1000)-(0))&gt;=0,1,-1)*QUOTIENT(((c_T1MX)-(c_T1MN)),2))+2147483648,4294967296)-2147483648,((c_T1MX)-(c_T1MN))*(((C177)-(c_T1MN))*((1000)-(0))+IF(((1000)-(0))&gt;=0,1,-1)*QUOTIENT(((c_T1MX)-(c_T1MN)),2)))&lt;0,-1,0),IF(IF(o_WRAP=1,MOD(((c_T1MX)-(c_T1MN))*(((C177)-(c_T1MN))*((1000)-(0))+IF(((1000)-(0))&gt;=0,1,-1)*QUOTIENT(((c_T1MX)-(c_T1MN)),2))+2147483648,4294967296)-2147483648,((c_T1MX)-(c_T1MN))*(((C177)-(c_T1MN))*((1000)-(0))+IF(((1000)-(0))&gt;=0,1,-1)*QUOTIENT(((c_T1MX)-(c_T1MN)),2)))&gt;=0,1,0)))</f>
        <v>378</v>
      </c>
      <c r="E177" s="7" t="n">
        <f aca="false">IF(AND(c_TPOT=1,c_TTYPE=2),1000-D177,D177)</f>
        <v>378</v>
      </c>
      <c r="F177" s="7" t="str">
        <f aca="false">IF(c_TPOT&gt;1,ROUND(IF(c_TTYPE=2,c_T2MX-IF(c_T1MX=c_T1MN,0,(C177-c_T1MN)/(c_T1MX-c_T1MN))*(c_T2MX-c_T2MN),c_T2MN+IF(c_T1MX=c_T1MN,0,(C177-c_T1MN)/(c_T1MX-c_T1MN))*(c_T2MX-c_T2MN))+o_MISMATCH,0),"")</f>
        <v/>
      </c>
      <c r="G177" s="7" t="str">
        <f aca="false">IF(c_TPOT&gt;1,IF(((c_T2MX)-(c_T2MN))=0,(0)+QUOTIENT(((1000)-(0)),2),QUOTIENT((((F177)-(c_T2MN))*((1000)-(0))+IF(((1000)-(0))&gt;=0,1,-1)*QUOTIENT(((c_T2MX)-(c_T2MN)),2)),((c_T2MX)-(c_T2MN)))+(0)+IF(((1000)-(0))&gt;=0,IF(IF(o_WRAP=1,MOD(((c_T2MX)-(c_T2MN))*(((F177)-(c_T2MN))*((1000)-(0))+IF(((1000)-(0))&gt;=0,1,-1)*QUOTIENT(((c_T2MX)-(c_T2MN)),2))+2147483648,4294967296)-2147483648,((c_T2MX)-(c_T2MN))*(((F177)-(c_T2MN))*((1000)-(0))+IF(((1000)-(0))&gt;=0,1,-1)*QUOTIENT(((c_T2MX)-(c_T2MN)),2)))&lt;0,-1,0),IF(IF(o_WRAP=1,MOD(((c_T2MX)-(c_T2MN))*(((F177)-(c_T2MN))*((1000)-(0))+IF(((1000)-(0))&gt;=0,1,-1)*QUOTIENT(((c_T2MX)-(c_T2MN)),2))+2147483648,4294967296)-2147483648,((c_T2MX)-(c_T2MN))*(((F177)-(c_T2MN))*((1000)-(0))+IF(((1000)-(0))&gt;=0,1,-1)*QUOTIENT(((c_T2MX)-(c_T2MN)),2)))&gt;=0,1,0))),"")</f>
        <v/>
      </c>
      <c r="H177" s="7" t="str">
        <f aca="false">IF(E177&gt;1000+k_TOL,"T1 HIGH",IF(E177&lt;0-k_TOL,"T1 LOW",IF(c_TPOT&gt;1,IF(G177&gt;1000+k_TOL,"T2 HIGH",IF(G177&lt;0-k_TOL,"T2 LOW",IF(c_TTYPE=2,IF(ABS(1000-MAX(0,MIN(1000,E177))-MAX(0,MIN(1000,G177)))&gt;k_MAXERR,"MISMATCH","OK"),IF(OR(MAX(0,MIN(1000,E177))-k_MAXERR&gt;MAX(0,MIN(1000,G177)),MAX(0,MIN(1000,G177))-k_MAXERR&gt;MAX(0,MIN(1000,E177))),"MISMATCH","OK")))),"OK")))</f>
        <v>OK</v>
      </c>
      <c r="I177" s="7" t="n">
        <f aca="false">MAX(0,MIN(1000,D177))</f>
        <v>378</v>
      </c>
      <c r="J177" s="7" t="str">
        <f aca="false">IF(c_TPOT&gt;1,IF(c_TTYPE=2,1000-MAX(0,MIN(1000,G177)),MAX(0,MIN(1000,G177))),"")</f>
        <v/>
      </c>
      <c r="K177" s="7" t="n">
        <f aca="false">IF(c_TPOT&gt;1,QUOTIENT(I177+J177,2),I177)</f>
        <v>378</v>
      </c>
      <c r="L177" s="7" t="n">
        <f aca="false">IF(AND(K177=0,c_TCREEP&gt;0),10*c_TCREEP,IF(AND(K177&lt;=c_TRNGMIN,K177&gt;=c_TRNGMAX,c_TRNGMIN-c_TRNGMAX&lt;&gt;0),-10*c_TMINRN+QUOTIENT((c_TMAXRN-c_TMINRN)*(100-QUOTIENT((K177-c_TRNGMAX)*100,c_TRNGMIN-c_TRNGMAX)),-10),0))</f>
        <v>0</v>
      </c>
      <c r="M177" s="7" t="n">
        <f aca="false">IF(((c_TMAP1IN)-(c_TFWD))=0,(0)+QUOTIENT(((c_TMAP1OUT)-(0)),2),QUOTIENT((((K177)-(c_TFWD))*((c_TMAP1OUT)-(0))+IF(((c_TMAP1OUT)-(0))&gt;=0,1,-1)*QUOTIENT(((c_TMAP1IN)-(c_TFWD)),2)),((c_TMAP1IN)-(c_TFWD)))+(0)+IF(((c_TMAP1OUT)-(0))&gt;=0,IF(IF(o_WRAP=1,MOD(((c_TMAP1IN)-(c_TFWD))*(((K177)-(c_TFWD))*((c_TMAP1OUT)-(0))+IF(((c_TMAP1OUT)-(0))&gt;=0,1,-1)*QUOTIENT(((c_TMAP1IN)-(c_TFWD)),2))+2147483648,4294967296)-2147483648,((c_TMAP1IN)-(c_TFWD))*(((K177)-(c_TFWD))*((c_TMAP1OUT)-(0))+IF(((c_TMAP1OUT)-(0))&gt;=0,1,-1)*QUOTIENT(((c_TMAP1IN)-(c_TFWD)),2)))&lt;0,-1,0),IF(IF(o_WRAP=1,MOD(((c_TMAP1IN)-(c_TFWD))*(((K177)-(c_TFWD))*((c_TMAP1OUT)-(0))+IF(((c_TMAP1OUT)-(0))&gt;=0,1,-1)*QUOTIENT(((c_TMAP1IN)-(c_TFWD)),2))+2147483648,4294967296)-2147483648,((c_TMAP1IN)-(c_TFWD))*(((K177)-(c_TFWD))*((c_TMAP1OUT)-(0))+IF(((c_TMAP1OUT)-(0))&gt;=0,1,-1)*QUOTIENT(((c_TMAP1IN)-(c_TFWD)),2)))&gt;=0,1,0)))</f>
        <v>286</v>
      </c>
      <c r="N177" s="7" t="n">
        <f aca="false">IF(((c_TMAP2IN)-(c_TMAP1IN))=0,(c_TMAP1OUT)+QUOTIENT(((c_TMAP2OUT)-(c_TMAP1OUT)),2),QUOTIENT((((K177)-(c_TMAP1IN))*((c_TMAP2OUT)-(c_TMAP1OUT))+IF(((c_TMAP2OUT)-(c_TMAP1OUT))&gt;=0,1,-1)*QUOTIENT(((c_TMAP2IN)-(c_TMAP1IN)),2)),((c_TMAP2IN)-(c_TMAP1IN)))+(c_TMAP1OUT)+IF(((c_TMAP2OUT)-(c_TMAP1OUT))&gt;=0,IF(IF(o_WRAP=1,MOD(((c_TMAP2IN)-(c_TMAP1IN))*(((K177)-(c_TMAP1IN))*((c_TMAP2OUT)-(c_TMAP1OUT))+IF(((c_TMAP2OUT)-(c_TMAP1OUT))&gt;=0,1,-1)*QUOTIENT(((c_TMAP2IN)-(c_TMAP1IN)),2))+2147483648,4294967296)-2147483648,((c_TMAP2IN)-(c_TMAP1IN))*(((K177)-(c_TMAP1IN))*((c_TMAP2OUT)-(c_TMAP1OUT))+IF(((c_TMAP2OUT)-(c_TMAP1OUT))&gt;=0,1,-1)*QUOTIENT(((c_TMAP2IN)-(c_TMAP1IN)),2)))&lt;0,-1,0),IF(IF(o_WRAP=1,MOD(((c_TMAP2IN)-(c_TMAP1IN))*(((K177)-(c_TMAP1IN))*((c_TMAP2OUT)-(c_TMAP1OUT))+IF(((c_TMAP2OUT)-(c_TMAP1OUT))&gt;=0,1,-1)*QUOTIENT(((c_TMAP2IN)-(c_TMAP1IN)),2))+2147483648,4294967296)-2147483648,((c_TMAP2IN)-(c_TMAP1IN))*(((K177)-(c_TMAP1IN))*((c_TMAP2OUT)-(c_TMAP1OUT))+IF(((c_TMAP2OUT)-(c_TMAP1OUT))&gt;=0,1,-1)*QUOTIENT(((c_TMAP2IN)-(c_TMAP1IN)),2)))&gt;=0,1,0)))</f>
        <v>181</v>
      </c>
      <c r="O177" s="7" t="n">
        <f aca="false">IF(((c_TMAP3IN)-(c_TMAP2IN))=0,(c_TMAP2OUT)+QUOTIENT(((c_TMAP3OUT)-(c_TMAP2OUT)),2),QUOTIENT((((K177)-(c_TMAP2IN))*((c_TMAP3OUT)-(c_TMAP2OUT))+IF(((c_TMAP3OUT)-(c_TMAP2OUT))&gt;=0,1,-1)*QUOTIENT(((c_TMAP3IN)-(c_TMAP2IN)),2)),((c_TMAP3IN)-(c_TMAP2IN)))+(c_TMAP2OUT)+IF(((c_TMAP3OUT)-(c_TMAP2OUT))&gt;=0,IF(IF(o_WRAP=1,MOD(((c_TMAP3IN)-(c_TMAP2IN))*(((K177)-(c_TMAP2IN))*((c_TMAP3OUT)-(c_TMAP2OUT))+IF(((c_TMAP3OUT)-(c_TMAP2OUT))&gt;=0,1,-1)*QUOTIENT(((c_TMAP3IN)-(c_TMAP2IN)),2))+2147483648,4294967296)-2147483648,((c_TMAP3IN)-(c_TMAP2IN))*(((K177)-(c_TMAP2IN))*((c_TMAP3OUT)-(c_TMAP2OUT))+IF(((c_TMAP3OUT)-(c_TMAP2OUT))&gt;=0,1,-1)*QUOTIENT(((c_TMAP3IN)-(c_TMAP2IN)),2)))&lt;0,-1,0),IF(IF(o_WRAP=1,MOD(((c_TMAP3IN)-(c_TMAP2IN))*(((K177)-(c_TMAP2IN))*((c_TMAP3OUT)-(c_TMAP2OUT))+IF(((c_TMAP3OUT)-(c_TMAP2OUT))&gt;=0,1,-1)*QUOTIENT(((c_TMAP3IN)-(c_TMAP2IN)),2))+2147483648,4294967296)-2147483648,((c_TMAP3IN)-(c_TMAP2IN))*(((K177)-(c_TMAP2IN))*((c_TMAP3OUT)-(c_TMAP2OUT))+IF(((c_TMAP3OUT)-(c_TMAP2OUT))&gt;=0,1,-1)*QUOTIENT(((c_TMAP3IN)-(c_TMAP2IN)),2)))&gt;=0,1,0)))</f>
        <v>220</v>
      </c>
      <c r="P177" s="7" t="n">
        <f aca="false">IF(((1000)-(c_TMAP3IN))=0,(c_TMAP3OUT)+QUOTIENT(((1000)-(c_TMAP3OUT)),2),QUOTIENT((((K177)-(c_TMAP3IN))*((1000)-(c_TMAP3OUT))+IF(((1000)-(c_TMAP3OUT))&gt;=0,1,-1)*QUOTIENT(((1000)-(c_TMAP3IN)),2)),((1000)-(c_TMAP3IN)))+(c_TMAP3OUT)+IF(((1000)-(c_TMAP3OUT))&gt;=0,IF(IF(o_WRAP=1,MOD(((1000)-(c_TMAP3IN))*(((K177)-(c_TMAP3IN))*((1000)-(c_TMAP3OUT))+IF(((1000)-(c_TMAP3OUT))&gt;=0,1,-1)*QUOTIENT(((1000)-(c_TMAP3IN)),2))+2147483648,4294967296)-2147483648,((1000)-(c_TMAP3IN))*(((K177)-(c_TMAP3IN))*((1000)-(c_TMAP3OUT))+IF(((1000)-(c_TMAP3OUT))&gt;=0,1,-1)*QUOTIENT(((1000)-(c_TMAP3IN)),2)))&lt;0,-1,0),IF(IF(o_WRAP=1,MOD(((1000)-(c_TMAP3IN))*(((K177)-(c_TMAP3IN))*((1000)-(c_TMAP3OUT))+IF(((1000)-(c_TMAP3OUT))&gt;=0,1,-1)*QUOTIENT(((1000)-(c_TMAP3IN)),2))+2147483648,4294967296)-2147483648,((1000)-(c_TMAP3IN))*(((K177)-(c_TMAP3IN))*((1000)-(c_TMAP3OUT))+IF(((1000)-(c_TMAP3OUT))&gt;=0,1,-1)*QUOTIENT(((1000)-(c_TMAP3IN)),2)))&gt;=0,1,0)))</f>
        <v>234</v>
      </c>
      <c r="Q177" s="7" t="str">
        <f aca="false">IF(K177&gt;=c_TFWD,IF(AND(K177&gt;=c_TMAP3IN,c_TMAP3IN&lt;1000),"Seg4 map3-100%",IF(AND(K177&gt;=c_TMAP2IN,c_TMAP3IN&gt;c_TMAP2IN),"Seg3 map2-map3",IF(AND(K177&gt;=c_TMAP1IN,c_TMAP2IN&gt;c_TMAP1IN),"Seg2 map1-map2","Seg1 TFWD-map1"))),IF(AND(K177=0,c_TCREEP&gt;0),"Creep",IF(AND(K177&lt;=c_TRNGMIN,K177&gt;=c_TRNGMAX,c_TRNGMIN-c_TRNGMAX&lt;&gt;0),"Regen ramp","Coast (0)")))</f>
        <v>Seg4 map3-100%</v>
      </c>
      <c r="R177" s="7" t="n">
        <f aca="false">IF(K177&gt;=c_TFWD,IF(AND(K177&gt;=c_TMAP3IN,c_TMAP3IN&lt;1000),P177,IF(AND(K177&gt;=c_TMAP2IN,c_TMAP3IN&gt;c_TMAP2IN),O177,IF(AND(K177&gt;=c_TMAP1IN,c_TMAP2IN&gt;c_TMAP1IN),N177,M177))),L177)</f>
        <v>234</v>
      </c>
      <c r="S177" s="7" t="str">
        <f aca="false">IF(R177&lt;-1090,"TOO LOW",IF(R177&gt;1090,"TOO HIGH",""))</f>
        <v/>
      </c>
      <c r="T177" s="15" t="n">
        <f aca="false">IF(H177&lt;&gt;"OK",0,IF(S177&lt;&gt;"",0,IF(R177&gt;979,1000,R177)))</f>
        <v>234</v>
      </c>
      <c r="U177" s="7" t="n">
        <f aca="false">T177/10</f>
        <v>23.4</v>
      </c>
    </row>
    <row r="178" customFormat="false" ht="15" hidden="false" customHeight="false" outlineLevel="0" collapsed="false">
      <c r="A178" s="7" t="n">
        <v>173</v>
      </c>
      <c r="B178" s="7" t="n">
        <f aca="false">ROUND(o_SWSTART+A178*(o_SWEND-o_SWSTART)/400,0)</f>
        <v>1771</v>
      </c>
      <c r="C178" s="7" t="n">
        <f aca="false">QUOTIENT((B178-c_OFF1)*c_GAIN1,1024)</f>
        <v>1771</v>
      </c>
      <c r="D178" s="7" t="n">
        <f aca="false">IF(((c_T1MX)-(c_T1MN))=0,(0)+QUOTIENT(((1000)-(0)),2),QUOTIENT((((C178)-(c_T1MN))*((1000)-(0))+IF(((1000)-(0))&gt;=0,1,-1)*QUOTIENT(((c_T1MX)-(c_T1MN)),2)),((c_T1MX)-(c_T1MN)))+(0)+IF(((1000)-(0))&gt;=0,IF(IF(o_WRAP=1,MOD(((c_T1MX)-(c_T1MN))*(((C178)-(c_T1MN))*((1000)-(0))+IF(((1000)-(0))&gt;=0,1,-1)*QUOTIENT(((c_T1MX)-(c_T1MN)),2))+2147483648,4294967296)-2147483648,((c_T1MX)-(c_T1MN))*(((C178)-(c_T1MN))*((1000)-(0))+IF(((1000)-(0))&gt;=0,1,-1)*QUOTIENT(((c_T1MX)-(c_T1MN)),2)))&lt;0,-1,0),IF(IF(o_WRAP=1,MOD(((c_T1MX)-(c_T1MN))*(((C178)-(c_T1MN))*((1000)-(0))+IF(((1000)-(0))&gt;=0,1,-1)*QUOTIENT(((c_T1MX)-(c_T1MN)),2))+2147483648,4294967296)-2147483648,((c_T1MX)-(c_T1MN))*(((C178)-(c_T1MN))*((1000)-(0))+IF(((1000)-(0))&gt;=0,1,-1)*QUOTIENT(((c_T1MX)-(c_T1MN)),2)))&gt;=0,1,0)))</f>
        <v>381</v>
      </c>
      <c r="E178" s="7" t="n">
        <f aca="false">IF(AND(c_TPOT=1,c_TTYPE=2),1000-D178,D178)</f>
        <v>381</v>
      </c>
      <c r="F178" s="7" t="str">
        <f aca="false">IF(c_TPOT&gt;1,ROUND(IF(c_TTYPE=2,c_T2MX-IF(c_T1MX=c_T1MN,0,(C178-c_T1MN)/(c_T1MX-c_T1MN))*(c_T2MX-c_T2MN),c_T2MN+IF(c_T1MX=c_T1MN,0,(C178-c_T1MN)/(c_T1MX-c_T1MN))*(c_T2MX-c_T2MN))+o_MISMATCH,0),"")</f>
        <v/>
      </c>
      <c r="G178" s="7" t="str">
        <f aca="false">IF(c_TPOT&gt;1,IF(((c_T2MX)-(c_T2MN))=0,(0)+QUOTIENT(((1000)-(0)),2),QUOTIENT((((F178)-(c_T2MN))*((1000)-(0))+IF(((1000)-(0))&gt;=0,1,-1)*QUOTIENT(((c_T2MX)-(c_T2MN)),2)),((c_T2MX)-(c_T2MN)))+(0)+IF(((1000)-(0))&gt;=0,IF(IF(o_WRAP=1,MOD(((c_T2MX)-(c_T2MN))*(((F178)-(c_T2MN))*((1000)-(0))+IF(((1000)-(0))&gt;=0,1,-1)*QUOTIENT(((c_T2MX)-(c_T2MN)),2))+2147483648,4294967296)-2147483648,((c_T2MX)-(c_T2MN))*(((F178)-(c_T2MN))*((1000)-(0))+IF(((1000)-(0))&gt;=0,1,-1)*QUOTIENT(((c_T2MX)-(c_T2MN)),2)))&lt;0,-1,0),IF(IF(o_WRAP=1,MOD(((c_T2MX)-(c_T2MN))*(((F178)-(c_T2MN))*((1000)-(0))+IF(((1000)-(0))&gt;=0,1,-1)*QUOTIENT(((c_T2MX)-(c_T2MN)),2))+2147483648,4294967296)-2147483648,((c_T2MX)-(c_T2MN))*(((F178)-(c_T2MN))*((1000)-(0))+IF(((1000)-(0))&gt;=0,1,-1)*QUOTIENT(((c_T2MX)-(c_T2MN)),2)))&gt;=0,1,0))),"")</f>
        <v/>
      </c>
      <c r="H178" s="7" t="str">
        <f aca="false">IF(E178&gt;1000+k_TOL,"T1 HIGH",IF(E178&lt;0-k_TOL,"T1 LOW",IF(c_TPOT&gt;1,IF(G178&gt;1000+k_TOL,"T2 HIGH",IF(G178&lt;0-k_TOL,"T2 LOW",IF(c_TTYPE=2,IF(ABS(1000-MAX(0,MIN(1000,E178))-MAX(0,MIN(1000,G178)))&gt;k_MAXERR,"MISMATCH","OK"),IF(OR(MAX(0,MIN(1000,E178))-k_MAXERR&gt;MAX(0,MIN(1000,G178)),MAX(0,MIN(1000,G178))-k_MAXERR&gt;MAX(0,MIN(1000,E178))),"MISMATCH","OK")))),"OK")))</f>
        <v>OK</v>
      </c>
      <c r="I178" s="7" t="n">
        <f aca="false">MAX(0,MIN(1000,D178))</f>
        <v>381</v>
      </c>
      <c r="J178" s="7" t="str">
        <f aca="false">IF(c_TPOT&gt;1,IF(c_TTYPE=2,1000-MAX(0,MIN(1000,G178)),MAX(0,MIN(1000,G178))),"")</f>
        <v/>
      </c>
      <c r="K178" s="7" t="n">
        <f aca="false">IF(c_TPOT&gt;1,QUOTIENT(I178+J178,2),I178)</f>
        <v>381</v>
      </c>
      <c r="L178" s="7" t="n">
        <f aca="false">IF(AND(K178=0,c_TCREEP&gt;0),10*c_TCREEP,IF(AND(K178&lt;=c_TRNGMIN,K178&gt;=c_TRNGMAX,c_TRNGMIN-c_TRNGMAX&lt;&gt;0),-10*c_TMINRN+QUOTIENT((c_TMAXRN-c_TMINRN)*(100-QUOTIENT((K178-c_TRNGMAX)*100,c_TRNGMIN-c_TRNGMAX)),-10),0))</f>
        <v>0</v>
      </c>
      <c r="M178" s="7" t="n">
        <f aca="false">IF(((c_TMAP1IN)-(c_TFWD))=0,(0)+QUOTIENT(((c_TMAP1OUT)-(0)),2),QUOTIENT((((K178)-(c_TFWD))*((c_TMAP1OUT)-(0))+IF(((c_TMAP1OUT)-(0))&gt;=0,1,-1)*QUOTIENT(((c_TMAP1IN)-(c_TFWD)),2)),((c_TMAP1IN)-(c_TFWD)))+(0)+IF(((c_TMAP1OUT)-(0))&gt;=0,IF(IF(o_WRAP=1,MOD(((c_TMAP1IN)-(c_TFWD))*(((K178)-(c_TFWD))*((c_TMAP1OUT)-(0))+IF(((c_TMAP1OUT)-(0))&gt;=0,1,-1)*QUOTIENT(((c_TMAP1IN)-(c_TFWD)),2))+2147483648,4294967296)-2147483648,((c_TMAP1IN)-(c_TFWD))*(((K178)-(c_TFWD))*((c_TMAP1OUT)-(0))+IF(((c_TMAP1OUT)-(0))&gt;=0,1,-1)*QUOTIENT(((c_TMAP1IN)-(c_TFWD)),2)))&lt;0,-1,0),IF(IF(o_WRAP=1,MOD(((c_TMAP1IN)-(c_TFWD))*(((K178)-(c_TFWD))*((c_TMAP1OUT)-(0))+IF(((c_TMAP1OUT)-(0))&gt;=0,1,-1)*QUOTIENT(((c_TMAP1IN)-(c_TFWD)),2))+2147483648,4294967296)-2147483648,((c_TMAP1IN)-(c_TFWD))*(((K178)-(c_TFWD))*((c_TMAP1OUT)-(0))+IF(((c_TMAP1OUT)-(0))&gt;=0,1,-1)*QUOTIENT(((c_TMAP1IN)-(c_TFWD)),2)))&gt;=0,1,0)))</f>
        <v>289</v>
      </c>
      <c r="N178" s="7" t="n">
        <f aca="false">IF(((c_TMAP2IN)-(c_TMAP1IN))=0,(c_TMAP1OUT)+QUOTIENT(((c_TMAP2OUT)-(c_TMAP1OUT)),2),QUOTIENT((((K178)-(c_TMAP1IN))*((c_TMAP2OUT)-(c_TMAP1OUT))+IF(((c_TMAP2OUT)-(c_TMAP1OUT))&gt;=0,1,-1)*QUOTIENT(((c_TMAP2IN)-(c_TMAP1IN)),2)),((c_TMAP2IN)-(c_TMAP1IN)))+(c_TMAP1OUT)+IF(((c_TMAP2OUT)-(c_TMAP1OUT))&gt;=0,IF(IF(o_WRAP=1,MOD(((c_TMAP2IN)-(c_TMAP1IN))*(((K178)-(c_TMAP1IN))*((c_TMAP2OUT)-(c_TMAP1OUT))+IF(((c_TMAP2OUT)-(c_TMAP1OUT))&gt;=0,1,-1)*QUOTIENT(((c_TMAP2IN)-(c_TMAP1IN)),2))+2147483648,4294967296)-2147483648,((c_TMAP2IN)-(c_TMAP1IN))*(((K178)-(c_TMAP1IN))*((c_TMAP2OUT)-(c_TMAP1OUT))+IF(((c_TMAP2OUT)-(c_TMAP1OUT))&gt;=0,1,-1)*QUOTIENT(((c_TMAP2IN)-(c_TMAP1IN)),2)))&lt;0,-1,0),IF(IF(o_WRAP=1,MOD(((c_TMAP2IN)-(c_TMAP1IN))*(((K178)-(c_TMAP1IN))*((c_TMAP2OUT)-(c_TMAP1OUT))+IF(((c_TMAP2OUT)-(c_TMAP1OUT))&gt;=0,1,-1)*QUOTIENT(((c_TMAP2IN)-(c_TMAP1IN)),2))+2147483648,4294967296)-2147483648,((c_TMAP2IN)-(c_TMAP1IN))*(((K178)-(c_TMAP1IN))*((c_TMAP2OUT)-(c_TMAP1OUT))+IF(((c_TMAP2OUT)-(c_TMAP1OUT))&gt;=0,1,-1)*QUOTIENT(((c_TMAP2IN)-(c_TMAP1IN)),2)))&gt;=0,1,0)))</f>
        <v>182</v>
      </c>
      <c r="O178" s="7" t="n">
        <f aca="false">IF(((c_TMAP3IN)-(c_TMAP2IN))=0,(c_TMAP2OUT)+QUOTIENT(((c_TMAP3OUT)-(c_TMAP2OUT)),2),QUOTIENT((((K178)-(c_TMAP2IN))*((c_TMAP3OUT)-(c_TMAP2OUT))+IF(((c_TMAP3OUT)-(c_TMAP2OUT))&gt;=0,1,-1)*QUOTIENT(((c_TMAP3IN)-(c_TMAP2IN)),2)),((c_TMAP3IN)-(c_TMAP2IN)))+(c_TMAP2OUT)+IF(((c_TMAP3OUT)-(c_TMAP2OUT))&gt;=0,IF(IF(o_WRAP=1,MOD(((c_TMAP3IN)-(c_TMAP2IN))*(((K178)-(c_TMAP2IN))*((c_TMAP3OUT)-(c_TMAP2OUT))+IF(((c_TMAP3OUT)-(c_TMAP2OUT))&gt;=0,1,-1)*QUOTIENT(((c_TMAP3IN)-(c_TMAP2IN)),2))+2147483648,4294967296)-2147483648,((c_TMAP3IN)-(c_TMAP2IN))*(((K178)-(c_TMAP2IN))*((c_TMAP3OUT)-(c_TMAP2OUT))+IF(((c_TMAP3OUT)-(c_TMAP2OUT))&gt;=0,1,-1)*QUOTIENT(((c_TMAP3IN)-(c_TMAP2IN)),2)))&lt;0,-1,0),IF(IF(o_WRAP=1,MOD(((c_TMAP3IN)-(c_TMAP2IN))*(((K178)-(c_TMAP2IN))*((c_TMAP3OUT)-(c_TMAP2OUT))+IF(((c_TMAP3OUT)-(c_TMAP2OUT))&gt;=0,1,-1)*QUOTIENT(((c_TMAP3IN)-(c_TMAP2IN)),2))+2147483648,4294967296)-2147483648,((c_TMAP3IN)-(c_TMAP2IN))*(((K178)-(c_TMAP2IN))*((c_TMAP3OUT)-(c_TMAP2OUT))+IF(((c_TMAP3OUT)-(c_TMAP2OUT))&gt;=0,1,-1)*QUOTIENT(((c_TMAP3IN)-(c_TMAP2IN)),2)))&gt;=0,1,0)))</f>
        <v>222</v>
      </c>
      <c r="P178" s="7" t="n">
        <f aca="false">IF(((1000)-(c_TMAP3IN))=0,(c_TMAP3OUT)+QUOTIENT(((1000)-(c_TMAP3OUT)),2),QUOTIENT((((K178)-(c_TMAP3IN))*((1000)-(c_TMAP3OUT))+IF(((1000)-(c_TMAP3OUT))&gt;=0,1,-1)*QUOTIENT(((1000)-(c_TMAP3IN)),2)),((1000)-(c_TMAP3IN)))+(c_TMAP3OUT)+IF(((1000)-(c_TMAP3OUT))&gt;=0,IF(IF(o_WRAP=1,MOD(((1000)-(c_TMAP3IN))*(((K178)-(c_TMAP3IN))*((1000)-(c_TMAP3OUT))+IF(((1000)-(c_TMAP3OUT))&gt;=0,1,-1)*QUOTIENT(((1000)-(c_TMAP3IN)),2))+2147483648,4294967296)-2147483648,((1000)-(c_TMAP3IN))*(((K178)-(c_TMAP3IN))*((1000)-(c_TMAP3OUT))+IF(((1000)-(c_TMAP3OUT))&gt;=0,1,-1)*QUOTIENT(((1000)-(c_TMAP3IN)),2)))&lt;0,-1,0),IF(IF(o_WRAP=1,MOD(((1000)-(c_TMAP3IN))*(((K178)-(c_TMAP3IN))*((1000)-(c_TMAP3OUT))+IF(((1000)-(c_TMAP3OUT))&gt;=0,1,-1)*QUOTIENT(((1000)-(c_TMAP3IN)),2))+2147483648,4294967296)-2147483648,((1000)-(c_TMAP3IN))*(((K178)-(c_TMAP3IN))*((1000)-(c_TMAP3OUT))+IF(((1000)-(c_TMAP3OUT))&gt;=0,1,-1)*QUOTIENT(((1000)-(c_TMAP3IN)),2)))&gt;=0,1,0)))</f>
        <v>238</v>
      </c>
      <c r="Q178" s="7" t="str">
        <f aca="false">IF(K178&gt;=c_TFWD,IF(AND(K178&gt;=c_TMAP3IN,c_TMAP3IN&lt;1000),"Seg4 map3-100%",IF(AND(K178&gt;=c_TMAP2IN,c_TMAP3IN&gt;c_TMAP2IN),"Seg3 map2-map3",IF(AND(K178&gt;=c_TMAP1IN,c_TMAP2IN&gt;c_TMAP1IN),"Seg2 map1-map2","Seg1 TFWD-map1"))),IF(AND(K178=0,c_TCREEP&gt;0),"Creep",IF(AND(K178&lt;=c_TRNGMIN,K178&gt;=c_TRNGMAX,c_TRNGMIN-c_TRNGMAX&lt;&gt;0),"Regen ramp","Coast (0)")))</f>
        <v>Seg4 map3-100%</v>
      </c>
      <c r="R178" s="7" t="n">
        <f aca="false">IF(K178&gt;=c_TFWD,IF(AND(K178&gt;=c_TMAP3IN,c_TMAP3IN&lt;1000),P178,IF(AND(K178&gt;=c_TMAP2IN,c_TMAP3IN&gt;c_TMAP2IN),O178,IF(AND(K178&gt;=c_TMAP1IN,c_TMAP2IN&gt;c_TMAP1IN),N178,M178))),L178)</f>
        <v>238</v>
      </c>
      <c r="S178" s="7" t="str">
        <f aca="false">IF(R178&lt;-1090,"TOO LOW",IF(R178&gt;1090,"TOO HIGH",""))</f>
        <v/>
      </c>
      <c r="T178" s="15" t="n">
        <f aca="false">IF(H178&lt;&gt;"OK",0,IF(S178&lt;&gt;"",0,IF(R178&gt;979,1000,R178)))</f>
        <v>238</v>
      </c>
      <c r="U178" s="7" t="n">
        <f aca="false">T178/10</f>
        <v>23.8</v>
      </c>
    </row>
    <row r="179" customFormat="false" ht="15" hidden="false" customHeight="false" outlineLevel="0" collapsed="false">
      <c r="A179" s="7" t="n">
        <v>174</v>
      </c>
      <c r="B179" s="7" t="n">
        <f aca="false">ROUND(o_SWSTART+A179*(o_SWEND-o_SWSTART)/400,0)</f>
        <v>1781</v>
      </c>
      <c r="C179" s="7" t="n">
        <f aca="false">QUOTIENT((B179-c_OFF1)*c_GAIN1,1024)</f>
        <v>1781</v>
      </c>
      <c r="D179" s="7" t="n">
        <f aca="false">IF(((c_T1MX)-(c_T1MN))=0,(0)+QUOTIENT(((1000)-(0)),2),QUOTIENT((((C179)-(c_T1MN))*((1000)-(0))+IF(((1000)-(0))&gt;=0,1,-1)*QUOTIENT(((c_T1MX)-(c_T1MN)),2)),((c_T1MX)-(c_T1MN)))+(0)+IF(((1000)-(0))&gt;=0,IF(IF(o_WRAP=1,MOD(((c_T1MX)-(c_T1MN))*(((C179)-(c_T1MN))*((1000)-(0))+IF(((1000)-(0))&gt;=0,1,-1)*QUOTIENT(((c_T1MX)-(c_T1MN)),2))+2147483648,4294967296)-2147483648,((c_T1MX)-(c_T1MN))*(((C179)-(c_T1MN))*((1000)-(0))+IF(((1000)-(0))&gt;=0,1,-1)*QUOTIENT(((c_T1MX)-(c_T1MN)),2)))&lt;0,-1,0),IF(IF(o_WRAP=1,MOD(((c_T1MX)-(c_T1MN))*(((C179)-(c_T1MN))*((1000)-(0))+IF(((1000)-(0))&gt;=0,1,-1)*QUOTIENT(((c_T1MX)-(c_T1MN)),2))+2147483648,4294967296)-2147483648,((c_T1MX)-(c_T1MN))*(((C179)-(c_T1MN))*((1000)-(0))+IF(((1000)-(0))&gt;=0,1,-1)*QUOTIENT(((c_T1MX)-(c_T1MN)),2)))&gt;=0,1,0)))</f>
        <v>385</v>
      </c>
      <c r="E179" s="7" t="n">
        <f aca="false">IF(AND(c_TPOT=1,c_TTYPE=2),1000-D179,D179)</f>
        <v>385</v>
      </c>
      <c r="F179" s="7" t="str">
        <f aca="false">IF(c_TPOT&gt;1,ROUND(IF(c_TTYPE=2,c_T2MX-IF(c_T1MX=c_T1MN,0,(C179-c_T1MN)/(c_T1MX-c_T1MN))*(c_T2MX-c_T2MN),c_T2MN+IF(c_T1MX=c_T1MN,0,(C179-c_T1MN)/(c_T1MX-c_T1MN))*(c_T2MX-c_T2MN))+o_MISMATCH,0),"")</f>
        <v/>
      </c>
      <c r="G179" s="7" t="str">
        <f aca="false">IF(c_TPOT&gt;1,IF(((c_T2MX)-(c_T2MN))=0,(0)+QUOTIENT(((1000)-(0)),2),QUOTIENT((((F179)-(c_T2MN))*((1000)-(0))+IF(((1000)-(0))&gt;=0,1,-1)*QUOTIENT(((c_T2MX)-(c_T2MN)),2)),((c_T2MX)-(c_T2MN)))+(0)+IF(((1000)-(0))&gt;=0,IF(IF(o_WRAP=1,MOD(((c_T2MX)-(c_T2MN))*(((F179)-(c_T2MN))*((1000)-(0))+IF(((1000)-(0))&gt;=0,1,-1)*QUOTIENT(((c_T2MX)-(c_T2MN)),2))+2147483648,4294967296)-2147483648,((c_T2MX)-(c_T2MN))*(((F179)-(c_T2MN))*((1000)-(0))+IF(((1000)-(0))&gt;=0,1,-1)*QUOTIENT(((c_T2MX)-(c_T2MN)),2)))&lt;0,-1,0),IF(IF(o_WRAP=1,MOD(((c_T2MX)-(c_T2MN))*(((F179)-(c_T2MN))*((1000)-(0))+IF(((1000)-(0))&gt;=0,1,-1)*QUOTIENT(((c_T2MX)-(c_T2MN)),2))+2147483648,4294967296)-2147483648,((c_T2MX)-(c_T2MN))*(((F179)-(c_T2MN))*((1000)-(0))+IF(((1000)-(0))&gt;=0,1,-1)*QUOTIENT(((c_T2MX)-(c_T2MN)),2)))&gt;=0,1,0))),"")</f>
        <v/>
      </c>
      <c r="H179" s="7" t="str">
        <f aca="false">IF(E179&gt;1000+k_TOL,"T1 HIGH",IF(E179&lt;0-k_TOL,"T1 LOW",IF(c_TPOT&gt;1,IF(G179&gt;1000+k_TOL,"T2 HIGH",IF(G179&lt;0-k_TOL,"T2 LOW",IF(c_TTYPE=2,IF(ABS(1000-MAX(0,MIN(1000,E179))-MAX(0,MIN(1000,G179)))&gt;k_MAXERR,"MISMATCH","OK"),IF(OR(MAX(0,MIN(1000,E179))-k_MAXERR&gt;MAX(0,MIN(1000,G179)),MAX(0,MIN(1000,G179))-k_MAXERR&gt;MAX(0,MIN(1000,E179))),"MISMATCH","OK")))),"OK")))</f>
        <v>OK</v>
      </c>
      <c r="I179" s="7" t="n">
        <f aca="false">MAX(0,MIN(1000,D179))</f>
        <v>385</v>
      </c>
      <c r="J179" s="7" t="str">
        <f aca="false">IF(c_TPOT&gt;1,IF(c_TTYPE=2,1000-MAX(0,MIN(1000,G179)),MAX(0,MIN(1000,G179))),"")</f>
        <v/>
      </c>
      <c r="K179" s="7" t="n">
        <f aca="false">IF(c_TPOT&gt;1,QUOTIENT(I179+J179,2),I179)</f>
        <v>385</v>
      </c>
      <c r="L179" s="7" t="n">
        <f aca="false">IF(AND(K179=0,c_TCREEP&gt;0),10*c_TCREEP,IF(AND(K179&lt;=c_TRNGMIN,K179&gt;=c_TRNGMAX,c_TRNGMIN-c_TRNGMAX&lt;&gt;0),-10*c_TMINRN+QUOTIENT((c_TMAXRN-c_TMINRN)*(100-QUOTIENT((K179-c_TRNGMAX)*100,c_TRNGMIN-c_TRNGMAX)),-10),0))</f>
        <v>0</v>
      </c>
      <c r="M179" s="7" t="n">
        <f aca="false">IF(((c_TMAP1IN)-(c_TFWD))=0,(0)+QUOTIENT(((c_TMAP1OUT)-(0)),2),QUOTIENT((((K179)-(c_TFWD))*((c_TMAP1OUT)-(0))+IF(((c_TMAP1OUT)-(0))&gt;=0,1,-1)*QUOTIENT(((c_TMAP1IN)-(c_TFWD)),2)),((c_TMAP1IN)-(c_TFWD)))+(0)+IF(((c_TMAP1OUT)-(0))&gt;=0,IF(IF(o_WRAP=1,MOD(((c_TMAP1IN)-(c_TFWD))*(((K179)-(c_TFWD))*((c_TMAP1OUT)-(0))+IF(((c_TMAP1OUT)-(0))&gt;=0,1,-1)*QUOTIENT(((c_TMAP1IN)-(c_TFWD)),2))+2147483648,4294967296)-2147483648,((c_TMAP1IN)-(c_TFWD))*(((K179)-(c_TFWD))*((c_TMAP1OUT)-(0))+IF(((c_TMAP1OUT)-(0))&gt;=0,1,-1)*QUOTIENT(((c_TMAP1IN)-(c_TFWD)),2)))&lt;0,-1,0),IF(IF(o_WRAP=1,MOD(((c_TMAP1IN)-(c_TFWD))*(((K179)-(c_TFWD))*((c_TMAP1OUT)-(0))+IF(((c_TMAP1OUT)-(0))&gt;=0,1,-1)*QUOTIENT(((c_TMAP1IN)-(c_TFWD)),2))+2147483648,4294967296)-2147483648,((c_TMAP1IN)-(c_TFWD))*(((K179)-(c_TFWD))*((c_TMAP1OUT)-(0))+IF(((c_TMAP1OUT)-(0))&gt;=0,1,-1)*QUOTIENT(((c_TMAP1IN)-(c_TFWD)),2)))&gt;=0,1,0)))</f>
        <v>292</v>
      </c>
      <c r="N179" s="7" t="n">
        <f aca="false">IF(((c_TMAP2IN)-(c_TMAP1IN))=0,(c_TMAP1OUT)+QUOTIENT(((c_TMAP2OUT)-(c_TMAP1OUT)),2),QUOTIENT((((K179)-(c_TMAP1IN))*((c_TMAP2OUT)-(c_TMAP1OUT))+IF(((c_TMAP2OUT)-(c_TMAP1OUT))&gt;=0,1,-1)*QUOTIENT(((c_TMAP2IN)-(c_TMAP1IN)),2)),((c_TMAP2IN)-(c_TMAP1IN)))+(c_TMAP1OUT)+IF(((c_TMAP2OUT)-(c_TMAP1OUT))&gt;=0,IF(IF(o_WRAP=1,MOD(((c_TMAP2IN)-(c_TMAP1IN))*(((K179)-(c_TMAP1IN))*((c_TMAP2OUT)-(c_TMAP1OUT))+IF(((c_TMAP2OUT)-(c_TMAP1OUT))&gt;=0,1,-1)*QUOTIENT(((c_TMAP2IN)-(c_TMAP1IN)),2))+2147483648,4294967296)-2147483648,((c_TMAP2IN)-(c_TMAP1IN))*(((K179)-(c_TMAP1IN))*((c_TMAP2OUT)-(c_TMAP1OUT))+IF(((c_TMAP2OUT)-(c_TMAP1OUT))&gt;=0,1,-1)*QUOTIENT(((c_TMAP2IN)-(c_TMAP1IN)),2)))&lt;0,-1,0),IF(IF(o_WRAP=1,MOD(((c_TMAP2IN)-(c_TMAP1IN))*(((K179)-(c_TMAP1IN))*((c_TMAP2OUT)-(c_TMAP1OUT))+IF(((c_TMAP2OUT)-(c_TMAP1OUT))&gt;=0,1,-1)*QUOTIENT(((c_TMAP2IN)-(c_TMAP1IN)),2))+2147483648,4294967296)-2147483648,((c_TMAP2IN)-(c_TMAP1IN))*(((K179)-(c_TMAP1IN))*((c_TMAP2OUT)-(c_TMAP1OUT))+IF(((c_TMAP2OUT)-(c_TMAP1OUT))&gt;=0,1,-1)*QUOTIENT(((c_TMAP2IN)-(c_TMAP1IN)),2)))&gt;=0,1,0)))</f>
        <v>184</v>
      </c>
      <c r="O179" s="7" t="n">
        <f aca="false">IF(((c_TMAP3IN)-(c_TMAP2IN))=0,(c_TMAP2OUT)+QUOTIENT(((c_TMAP3OUT)-(c_TMAP2OUT)),2),QUOTIENT((((K179)-(c_TMAP2IN))*((c_TMAP3OUT)-(c_TMAP2OUT))+IF(((c_TMAP3OUT)-(c_TMAP2OUT))&gt;=0,1,-1)*QUOTIENT(((c_TMAP3IN)-(c_TMAP2IN)),2)),((c_TMAP3IN)-(c_TMAP2IN)))+(c_TMAP2OUT)+IF(((c_TMAP3OUT)-(c_TMAP2OUT))&gt;=0,IF(IF(o_WRAP=1,MOD(((c_TMAP3IN)-(c_TMAP2IN))*(((K179)-(c_TMAP2IN))*((c_TMAP3OUT)-(c_TMAP2OUT))+IF(((c_TMAP3OUT)-(c_TMAP2OUT))&gt;=0,1,-1)*QUOTIENT(((c_TMAP3IN)-(c_TMAP2IN)),2))+2147483648,4294967296)-2147483648,((c_TMAP3IN)-(c_TMAP2IN))*(((K179)-(c_TMAP2IN))*((c_TMAP3OUT)-(c_TMAP2OUT))+IF(((c_TMAP3OUT)-(c_TMAP2OUT))&gt;=0,1,-1)*QUOTIENT(((c_TMAP3IN)-(c_TMAP2IN)),2)))&lt;0,-1,0),IF(IF(o_WRAP=1,MOD(((c_TMAP3IN)-(c_TMAP2IN))*(((K179)-(c_TMAP2IN))*((c_TMAP3OUT)-(c_TMAP2OUT))+IF(((c_TMAP3OUT)-(c_TMAP2OUT))&gt;=0,1,-1)*QUOTIENT(((c_TMAP3IN)-(c_TMAP2IN)),2))+2147483648,4294967296)-2147483648,((c_TMAP3IN)-(c_TMAP2IN))*(((K179)-(c_TMAP2IN))*((c_TMAP3OUT)-(c_TMAP2OUT))+IF(((c_TMAP3OUT)-(c_TMAP2OUT))&gt;=0,1,-1)*QUOTIENT(((c_TMAP3IN)-(c_TMAP2IN)),2)))&gt;=0,1,0)))</f>
        <v>225</v>
      </c>
      <c r="P179" s="7" t="n">
        <f aca="false">IF(((1000)-(c_TMAP3IN))=0,(c_TMAP3OUT)+QUOTIENT(((1000)-(c_TMAP3OUT)),2),QUOTIENT((((K179)-(c_TMAP3IN))*((1000)-(c_TMAP3OUT))+IF(((1000)-(c_TMAP3OUT))&gt;=0,1,-1)*QUOTIENT(((1000)-(c_TMAP3IN)),2)),((1000)-(c_TMAP3IN)))+(c_TMAP3OUT)+IF(((1000)-(c_TMAP3OUT))&gt;=0,IF(IF(o_WRAP=1,MOD(((1000)-(c_TMAP3IN))*(((K179)-(c_TMAP3IN))*((1000)-(c_TMAP3OUT))+IF(((1000)-(c_TMAP3OUT))&gt;=0,1,-1)*QUOTIENT(((1000)-(c_TMAP3IN)),2))+2147483648,4294967296)-2147483648,((1000)-(c_TMAP3IN))*(((K179)-(c_TMAP3IN))*((1000)-(c_TMAP3OUT))+IF(((1000)-(c_TMAP3OUT))&gt;=0,1,-1)*QUOTIENT(((1000)-(c_TMAP3IN)),2)))&lt;0,-1,0),IF(IF(o_WRAP=1,MOD(((1000)-(c_TMAP3IN))*(((K179)-(c_TMAP3IN))*((1000)-(c_TMAP3OUT))+IF(((1000)-(c_TMAP3OUT))&gt;=0,1,-1)*QUOTIENT(((1000)-(c_TMAP3IN)),2))+2147483648,4294967296)-2147483648,((1000)-(c_TMAP3IN))*(((K179)-(c_TMAP3IN))*((1000)-(c_TMAP3OUT))+IF(((1000)-(c_TMAP3OUT))&gt;=0,1,-1)*QUOTIENT(((1000)-(c_TMAP3IN)),2)))&gt;=0,1,0)))</f>
        <v>243</v>
      </c>
      <c r="Q179" s="7" t="str">
        <f aca="false">IF(K179&gt;=c_TFWD,IF(AND(K179&gt;=c_TMAP3IN,c_TMAP3IN&lt;1000),"Seg4 map3-100%",IF(AND(K179&gt;=c_TMAP2IN,c_TMAP3IN&gt;c_TMAP2IN),"Seg3 map2-map3",IF(AND(K179&gt;=c_TMAP1IN,c_TMAP2IN&gt;c_TMAP1IN),"Seg2 map1-map2","Seg1 TFWD-map1"))),IF(AND(K179=0,c_TCREEP&gt;0),"Creep",IF(AND(K179&lt;=c_TRNGMIN,K179&gt;=c_TRNGMAX,c_TRNGMIN-c_TRNGMAX&lt;&gt;0),"Regen ramp","Coast (0)")))</f>
        <v>Seg4 map3-100%</v>
      </c>
      <c r="R179" s="7" t="n">
        <f aca="false">IF(K179&gt;=c_TFWD,IF(AND(K179&gt;=c_TMAP3IN,c_TMAP3IN&lt;1000),P179,IF(AND(K179&gt;=c_TMAP2IN,c_TMAP3IN&gt;c_TMAP2IN),O179,IF(AND(K179&gt;=c_TMAP1IN,c_TMAP2IN&gt;c_TMAP1IN),N179,M179))),L179)</f>
        <v>243</v>
      </c>
      <c r="S179" s="7" t="str">
        <f aca="false">IF(R179&lt;-1090,"TOO LOW",IF(R179&gt;1090,"TOO HIGH",""))</f>
        <v/>
      </c>
      <c r="T179" s="15" t="n">
        <f aca="false">IF(H179&lt;&gt;"OK",0,IF(S179&lt;&gt;"",0,IF(R179&gt;979,1000,R179)))</f>
        <v>243</v>
      </c>
      <c r="U179" s="7" t="n">
        <f aca="false">T179/10</f>
        <v>24.3</v>
      </c>
    </row>
    <row r="180" customFormat="false" ht="15" hidden="false" customHeight="false" outlineLevel="0" collapsed="false">
      <c r="A180" s="7" t="n">
        <v>175</v>
      </c>
      <c r="B180" s="7" t="n">
        <f aca="false">ROUND(o_SWSTART+A180*(o_SWEND-o_SWSTART)/400,0)</f>
        <v>1792</v>
      </c>
      <c r="C180" s="7" t="n">
        <f aca="false">QUOTIENT((B180-c_OFF1)*c_GAIN1,1024)</f>
        <v>1792</v>
      </c>
      <c r="D180" s="7" t="n">
        <f aca="false">IF(((c_T1MX)-(c_T1MN))=0,(0)+QUOTIENT(((1000)-(0)),2),QUOTIENT((((C180)-(c_T1MN))*((1000)-(0))+IF(((1000)-(0))&gt;=0,1,-1)*QUOTIENT(((c_T1MX)-(c_T1MN)),2)),((c_T1MX)-(c_T1MN)))+(0)+IF(((1000)-(0))&gt;=0,IF(IF(o_WRAP=1,MOD(((c_T1MX)-(c_T1MN))*(((C180)-(c_T1MN))*((1000)-(0))+IF(((1000)-(0))&gt;=0,1,-1)*QUOTIENT(((c_T1MX)-(c_T1MN)),2))+2147483648,4294967296)-2147483648,((c_T1MX)-(c_T1MN))*(((C180)-(c_T1MN))*((1000)-(0))+IF(((1000)-(0))&gt;=0,1,-1)*QUOTIENT(((c_T1MX)-(c_T1MN)),2)))&lt;0,-1,0),IF(IF(o_WRAP=1,MOD(((c_T1MX)-(c_T1MN))*(((C180)-(c_T1MN))*((1000)-(0))+IF(((1000)-(0))&gt;=0,1,-1)*QUOTIENT(((c_T1MX)-(c_T1MN)),2))+2147483648,4294967296)-2147483648,((c_T1MX)-(c_T1MN))*(((C180)-(c_T1MN))*((1000)-(0))+IF(((1000)-(0))&gt;=0,1,-1)*QUOTIENT(((c_T1MX)-(c_T1MN)),2)))&gt;=0,1,0)))</f>
        <v>389</v>
      </c>
      <c r="E180" s="7" t="n">
        <f aca="false">IF(AND(c_TPOT=1,c_TTYPE=2),1000-D180,D180)</f>
        <v>389</v>
      </c>
      <c r="F180" s="7" t="str">
        <f aca="false">IF(c_TPOT&gt;1,ROUND(IF(c_TTYPE=2,c_T2MX-IF(c_T1MX=c_T1MN,0,(C180-c_T1MN)/(c_T1MX-c_T1MN))*(c_T2MX-c_T2MN),c_T2MN+IF(c_T1MX=c_T1MN,0,(C180-c_T1MN)/(c_T1MX-c_T1MN))*(c_T2MX-c_T2MN))+o_MISMATCH,0),"")</f>
        <v/>
      </c>
      <c r="G180" s="7" t="str">
        <f aca="false">IF(c_TPOT&gt;1,IF(((c_T2MX)-(c_T2MN))=0,(0)+QUOTIENT(((1000)-(0)),2),QUOTIENT((((F180)-(c_T2MN))*((1000)-(0))+IF(((1000)-(0))&gt;=0,1,-1)*QUOTIENT(((c_T2MX)-(c_T2MN)),2)),((c_T2MX)-(c_T2MN)))+(0)+IF(((1000)-(0))&gt;=0,IF(IF(o_WRAP=1,MOD(((c_T2MX)-(c_T2MN))*(((F180)-(c_T2MN))*((1000)-(0))+IF(((1000)-(0))&gt;=0,1,-1)*QUOTIENT(((c_T2MX)-(c_T2MN)),2))+2147483648,4294967296)-2147483648,((c_T2MX)-(c_T2MN))*(((F180)-(c_T2MN))*((1000)-(0))+IF(((1000)-(0))&gt;=0,1,-1)*QUOTIENT(((c_T2MX)-(c_T2MN)),2)))&lt;0,-1,0),IF(IF(o_WRAP=1,MOD(((c_T2MX)-(c_T2MN))*(((F180)-(c_T2MN))*((1000)-(0))+IF(((1000)-(0))&gt;=0,1,-1)*QUOTIENT(((c_T2MX)-(c_T2MN)),2))+2147483648,4294967296)-2147483648,((c_T2MX)-(c_T2MN))*(((F180)-(c_T2MN))*((1000)-(0))+IF(((1000)-(0))&gt;=0,1,-1)*QUOTIENT(((c_T2MX)-(c_T2MN)),2)))&gt;=0,1,0))),"")</f>
        <v/>
      </c>
      <c r="H180" s="7" t="str">
        <f aca="false">IF(E180&gt;1000+k_TOL,"T1 HIGH",IF(E180&lt;0-k_TOL,"T1 LOW",IF(c_TPOT&gt;1,IF(G180&gt;1000+k_TOL,"T2 HIGH",IF(G180&lt;0-k_TOL,"T2 LOW",IF(c_TTYPE=2,IF(ABS(1000-MAX(0,MIN(1000,E180))-MAX(0,MIN(1000,G180)))&gt;k_MAXERR,"MISMATCH","OK"),IF(OR(MAX(0,MIN(1000,E180))-k_MAXERR&gt;MAX(0,MIN(1000,G180)),MAX(0,MIN(1000,G180))-k_MAXERR&gt;MAX(0,MIN(1000,E180))),"MISMATCH","OK")))),"OK")))</f>
        <v>OK</v>
      </c>
      <c r="I180" s="7" t="n">
        <f aca="false">MAX(0,MIN(1000,D180))</f>
        <v>389</v>
      </c>
      <c r="J180" s="7" t="str">
        <f aca="false">IF(c_TPOT&gt;1,IF(c_TTYPE=2,1000-MAX(0,MIN(1000,G180)),MAX(0,MIN(1000,G180))),"")</f>
        <v/>
      </c>
      <c r="K180" s="7" t="n">
        <f aca="false">IF(c_TPOT&gt;1,QUOTIENT(I180+J180,2),I180)</f>
        <v>389</v>
      </c>
      <c r="L180" s="7" t="n">
        <f aca="false">IF(AND(K180=0,c_TCREEP&gt;0),10*c_TCREEP,IF(AND(K180&lt;=c_TRNGMIN,K180&gt;=c_TRNGMAX,c_TRNGMIN-c_TRNGMAX&lt;&gt;0),-10*c_TMINRN+QUOTIENT((c_TMAXRN-c_TMINRN)*(100-QUOTIENT((K180-c_TRNGMAX)*100,c_TRNGMIN-c_TRNGMAX)),-10),0))</f>
        <v>0</v>
      </c>
      <c r="M180" s="7" t="n">
        <f aca="false">IF(((c_TMAP1IN)-(c_TFWD))=0,(0)+QUOTIENT(((c_TMAP1OUT)-(0)),2),QUOTIENT((((K180)-(c_TFWD))*((c_TMAP1OUT)-(0))+IF(((c_TMAP1OUT)-(0))&gt;=0,1,-1)*QUOTIENT(((c_TMAP1IN)-(c_TFWD)),2)),((c_TMAP1IN)-(c_TFWD)))+(0)+IF(((c_TMAP1OUT)-(0))&gt;=0,IF(IF(o_WRAP=1,MOD(((c_TMAP1IN)-(c_TFWD))*(((K180)-(c_TFWD))*((c_TMAP1OUT)-(0))+IF(((c_TMAP1OUT)-(0))&gt;=0,1,-1)*QUOTIENT(((c_TMAP1IN)-(c_TFWD)),2))+2147483648,4294967296)-2147483648,((c_TMAP1IN)-(c_TFWD))*(((K180)-(c_TFWD))*((c_TMAP1OUT)-(0))+IF(((c_TMAP1OUT)-(0))&gt;=0,1,-1)*QUOTIENT(((c_TMAP1IN)-(c_TFWD)),2)))&lt;0,-1,0),IF(IF(o_WRAP=1,MOD(((c_TMAP1IN)-(c_TFWD))*(((K180)-(c_TFWD))*((c_TMAP1OUT)-(0))+IF(((c_TMAP1OUT)-(0))&gt;=0,1,-1)*QUOTIENT(((c_TMAP1IN)-(c_TFWD)),2))+2147483648,4294967296)-2147483648,((c_TMAP1IN)-(c_TFWD))*(((K180)-(c_TFWD))*((c_TMAP1OUT)-(0))+IF(((c_TMAP1OUT)-(0))&gt;=0,1,-1)*QUOTIENT(((c_TMAP1IN)-(c_TFWD)),2)))&gt;=0,1,0)))</f>
        <v>295</v>
      </c>
      <c r="N180" s="7" t="n">
        <f aca="false">IF(((c_TMAP2IN)-(c_TMAP1IN))=0,(c_TMAP1OUT)+QUOTIENT(((c_TMAP2OUT)-(c_TMAP1OUT)),2),QUOTIENT((((K180)-(c_TMAP1IN))*((c_TMAP2OUT)-(c_TMAP1OUT))+IF(((c_TMAP2OUT)-(c_TMAP1OUT))&gt;=0,1,-1)*QUOTIENT(((c_TMAP2IN)-(c_TMAP1IN)),2)),((c_TMAP2IN)-(c_TMAP1IN)))+(c_TMAP1OUT)+IF(((c_TMAP2OUT)-(c_TMAP1OUT))&gt;=0,IF(IF(o_WRAP=1,MOD(((c_TMAP2IN)-(c_TMAP1IN))*(((K180)-(c_TMAP1IN))*((c_TMAP2OUT)-(c_TMAP1OUT))+IF(((c_TMAP2OUT)-(c_TMAP1OUT))&gt;=0,1,-1)*QUOTIENT(((c_TMAP2IN)-(c_TMAP1IN)),2))+2147483648,4294967296)-2147483648,((c_TMAP2IN)-(c_TMAP1IN))*(((K180)-(c_TMAP1IN))*((c_TMAP2OUT)-(c_TMAP1OUT))+IF(((c_TMAP2OUT)-(c_TMAP1OUT))&gt;=0,1,-1)*QUOTIENT(((c_TMAP2IN)-(c_TMAP1IN)),2)))&lt;0,-1,0),IF(IF(o_WRAP=1,MOD(((c_TMAP2IN)-(c_TMAP1IN))*(((K180)-(c_TMAP1IN))*((c_TMAP2OUT)-(c_TMAP1OUT))+IF(((c_TMAP2OUT)-(c_TMAP1OUT))&gt;=0,1,-1)*QUOTIENT(((c_TMAP2IN)-(c_TMAP1IN)),2))+2147483648,4294967296)-2147483648,((c_TMAP2IN)-(c_TMAP1IN))*(((K180)-(c_TMAP1IN))*((c_TMAP2OUT)-(c_TMAP1OUT))+IF(((c_TMAP2OUT)-(c_TMAP1OUT))&gt;=0,1,-1)*QUOTIENT(((c_TMAP2IN)-(c_TMAP1IN)),2)))&gt;=0,1,0)))</f>
        <v>186</v>
      </c>
      <c r="O180" s="7" t="n">
        <f aca="false">IF(((c_TMAP3IN)-(c_TMAP2IN))=0,(c_TMAP2OUT)+QUOTIENT(((c_TMAP3OUT)-(c_TMAP2OUT)),2),QUOTIENT((((K180)-(c_TMAP2IN))*((c_TMAP3OUT)-(c_TMAP2OUT))+IF(((c_TMAP3OUT)-(c_TMAP2OUT))&gt;=0,1,-1)*QUOTIENT(((c_TMAP3IN)-(c_TMAP2IN)),2)),((c_TMAP3IN)-(c_TMAP2IN)))+(c_TMAP2OUT)+IF(((c_TMAP3OUT)-(c_TMAP2OUT))&gt;=0,IF(IF(o_WRAP=1,MOD(((c_TMAP3IN)-(c_TMAP2IN))*(((K180)-(c_TMAP2IN))*((c_TMAP3OUT)-(c_TMAP2OUT))+IF(((c_TMAP3OUT)-(c_TMAP2OUT))&gt;=0,1,-1)*QUOTIENT(((c_TMAP3IN)-(c_TMAP2IN)),2))+2147483648,4294967296)-2147483648,((c_TMAP3IN)-(c_TMAP2IN))*(((K180)-(c_TMAP2IN))*((c_TMAP3OUT)-(c_TMAP2OUT))+IF(((c_TMAP3OUT)-(c_TMAP2OUT))&gt;=0,1,-1)*QUOTIENT(((c_TMAP3IN)-(c_TMAP2IN)),2)))&lt;0,-1,0),IF(IF(o_WRAP=1,MOD(((c_TMAP3IN)-(c_TMAP2IN))*(((K180)-(c_TMAP2IN))*((c_TMAP3OUT)-(c_TMAP2OUT))+IF(((c_TMAP3OUT)-(c_TMAP2OUT))&gt;=0,1,-1)*QUOTIENT(((c_TMAP3IN)-(c_TMAP2IN)),2))+2147483648,4294967296)-2147483648,((c_TMAP3IN)-(c_TMAP2IN))*(((K180)-(c_TMAP2IN))*((c_TMAP3OUT)-(c_TMAP2OUT))+IF(((c_TMAP3OUT)-(c_TMAP2OUT))&gt;=0,1,-1)*QUOTIENT(((c_TMAP3IN)-(c_TMAP2IN)),2)))&gt;=0,1,0)))</f>
        <v>227</v>
      </c>
      <c r="P180" s="7" t="n">
        <f aca="false">IF(((1000)-(c_TMAP3IN))=0,(c_TMAP3OUT)+QUOTIENT(((1000)-(c_TMAP3OUT)),2),QUOTIENT((((K180)-(c_TMAP3IN))*((1000)-(c_TMAP3OUT))+IF(((1000)-(c_TMAP3OUT))&gt;=0,1,-1)*QUOTIENT(((1000)-(c_TMAP3IN)),2)),((1000)-(c_TMAP3IN)))+(c_TMAP3OUT)+IF(((1000)-(c_TMAP3OUT))&gt;=0,IF(IF(o_WRAP=1,MOD(((1000)-(c_TMAP3IN))*(((K180)-(c_TMAP3IN))*((1000)-(c_TMAP3OUT))+IF(((1000)-(c_TMAP3OUT))&gt;=0,1,-1)*QUOTIENT(((1000)-(c_TMAP3IN)),2))+2147483648,4294967296)-2147483648,((1000)-(c_TMAP3IN))*(((K180)-(c_TMAP3IN))*((1000)-(c_TMAP3OUT))+IF(((1000)-(c_TMAP3OUT))&gt;=0,1,-1)*QUOTIENT(((1000)-(c_TMAP3IN)),2)))&lt;0,-1,0),IF(IF(o_WRAP=1,MOD(((1000)-(c_TMAP3IN))*(((K180)-(c_TMAP3IN))*((1000)-(c_TMAP3OUT))+IF(((1000)-(c_TMAP3OUT))&gt;=0,1,-1)*QUOTIENT(((1000)-(c_TMAP3IN)),2))+2147483648,4294967296)-2147483648,((1000)-(c_TMAP3IN))*(((K180)-(c_TMAP3IN))*((1000)-(c_TMAP3OUT))+IF(((1000)-(c_TMAP3OUT))&gt;=0,1,-1)*QUOTIENT(((1000)-(c_TMAP3IN)),2)))&gt;=0,1,0)))</f>
        <v>248</v>
      </c>
      <c r="Q180" s="7" t="str">
        <f aca="false">IF(K180&gt;=c_TFWD,IF(AND(K180&gt;=c_TMAP3IN,c_TMAP3IN&lt;1000),"Seg4 map3-100%",IF(AND(K180&gt;=c_TMAP2IN,c_TMAP3IN&gt;c_TMAP2IN),"Seg3 map2-map3",IF(AND(K180&gt;=c_TMAP1IN,c_TMAP2IN&gt;c_TMAP1IN),"Seg2 map1-map2","Seg1 TFWD-map1"))),IF(AND(K180=0,c_TCREEP&gt;0),"Creep",IF(AND(K180&lt;=c_TRNGMIN,K180&gt;=c_TRNGMAX,c_TRNGMIN-c_TRNGMAX&lt;&gt;0),"Regen ramp","Coast (0)")))</f>
        <v>Seg4 map3-100%</v>
      </c>
      <c r="R180" s="7" t="n">
        <f aca="false">IF(K180&gt;=c_TFWD,IF(AND(K180&gt;=c_TMAP3IN,c_TMAP3IN&lt;1000),P180,IF(AND(K180&gt;=c_TMAP2IN,c_TMAP3IN&gt;c_TMAP2IN),O180,IF(AND(K180&gt;=c_TMAP1IN,c_TMAP2IN&gt;c_TMAP1IN),N180,M180))),L180)</f>
        <v>248</v>
      </c>
      <c r="S180" s="7" t="str">
        <f aca="false">IF(R180&lt;-1090,"TOO LOW",IF(R180&gt;1090,"TOO HIGH",""))</f>
        <v/>
      </c>
      <c r="T180" s="15" t="n">
        <f aca="false">IF(H180&lt;&gt;"OK",0,IF(S180&lt;&gt;"",0,IF(R180&gt;979,1000,R180)))</f>
        <v>248</v>
      </c>
      <c r="U180" s="7" t="n">
        <f aca="false">T180/10</f>
        <v>24.8</v>
      </c>
    </row>
    <row r="181" customFormat="false" ht="15" hidden="false" customHeight="false" outlineLevel="0" collapsed="false">
      <c r="A181" s="7" t="n">
        <v>176</v>
      </c>
      <c r="B181" s="7" t="n">
        <f aca="false">ROUND(o_SWSTART+A181*(o_SWEND-o_SWSTART)/400,0)</f>
        <v>1802</v>
      </c>
      <c r="C181" s="7" t="n">
        <f aca="false">QUOTIENT((B181-c_OFF1)*c_GAIN1,1024)</f>
        <v>1802</v>
      </c>
      <c r="D181" s="7" t="n">
        <f aca="false">IF(((c_T1MX)-(c_T1MN))=0,(0)+QUOTIENT(((1000)-(0)),2),QUOTIENT((((C181)-(c_T1MN))*((1000)-(0))+IF(((1000)-(0))&gt;=0,1,-1)*QUOTIENT(((c_T1MX)-(c_T1MN)),2)),((c_T1MX)-(c_T1MN)))+(0)+IF(((1000)-(0))&gt;=0,IF(IF(o_WRAP=1,MOD(((c_T1MX)-(c_T1MN))*(((C181)-(c_T1MN))*((1000)-(0))+IF(((1000)-(0))&gt;=0,1,-1)*QUOTIENT(((c_T1MX)-(c_T1MN)),2))+2147483648,4294967296)-2147483648,((c_T1MX)-(c_T1MN))*(((C181)-(c_T1MN))*((1000)-(0))+IF(((1000)-(0))&gt;=0,1,-1)*QUOTIENT(((c_T1MX)-(c_T1MN)),2)))&lt;0,-1,0),IF(IF(o_WRAP=1,MOD(((c_T1MX)-(c_T1MN))*(((C181)-(c_T1MN))*((1000)-(0))+IF(((1000)-(0))&gt;=0,1,-1)*QUOTIENT(((c_T1MX)-(c_T1MN)),2))+2147483648,4294967296)-2147483648,((c_T1MX)-(c_T1MN))*(((C181)-(c_T1MN))*((1000)-(0))+IF(((1000)-(0))&gt;=0,1,-1)*QUOTIENT(((c_T1MX)-(c_T1MN)),2)))&gt;=0,1,0)))</f>
        <v>392</v>
      </c>
      <c r="E181" s="7" t="n">
        <f aca="false">IF(AND(c_TPOT=1,c_TTYPE=2),1000-D181,D181)</f>
        <v>392</v>
      </c>
      <c r="F181" s="7" t="str">
        <f aca="false">IF(c_TPOT&gt;1,ROUND(IF(c_TTYPE=2,c_T2MX-IF(c_T1MX=c_T1MN,0,(C181-c_T1MN)/(c_T1MX-c_T1MN))*(c_T2MX-c_T2MN),c_T2MN+IF(c_T1MX=c_T1MN,0,(C181-c_T1MN)/(c_T1MX-c_T1MN))*(c_T2MX-c_T2MN))+o_MISMATCH,0),"")</f>
        <v/>
      </c>
      <c r="G181" s="7" t="str">
        <f aca="false">IF(c_TPOT&gt;1,IF(((c_T2MX)-(c_T2MN))=0,(0)+QUOTIENT(((1000)-(0)),2),QUOTIENT((((F181)-(c_T2MN))*((1000)-(0))+IF(((1000)-(0))&gt;=0,1,-1)*QUOTIENT(((c_T2MX)-(c_T2MN)),2)),((c_T2MX)-(c_T2MN)))+(0)+IF(((1000)-(0))&gt;=0,IF(IF(o_WRAP=1,MOD(((c_T2MX)-(c_T2MN))*(((F181)-(c_T2MN))*((1000)-(0))+IF(((1000)-(0))&gt;=0,1,-1)*QUOTIENT(((c_T2MX)-(c_T2MN)),2))+2147483648,4294967296)-2147483648,((c_T2MX)-(c_T2MN))*(((F181)-(c_T2MN))*((1000)-(0))+IF(((1000)-(0))&gt;=0,1,-1)*QUOTIENT(((c_T2MX)-(c_T2MN)),2)))&lt;0,-1,0),IF(IF(o_WRAP=1,MOD(((c_T2MX)-(c_T2MN))*(((F181)-(c_T2MN))*((1000)-(0))+IF(((1000)-(0))&gt;=0,1,-1)*QUOTIENT(((c_T2MX)-(c_T2MN)),2))+2147483648,4294967296)-2147483648,((c_T2MX)-(c_T2MN))*(((F181)-(c_T2MN))*((1000)-(0))+IF(((1000)-(0))&gt;=0,1,-1)*QUOTIENT(((c_T2MX)-(c_T2MN)),2)))&gt;=0,1,0))),"")</f>
        <v/>
      </c>
      <c r="H181" s="7" t="str">
        <f aca="false">IF(E181&gt;1000+k_TOL,"T1 HIGH",IF(E181&lt;0-k_TOL,"T1 LOW",IF(c_TPOT&gt;1,IF(G181&gt;1000+k_TOL,"T2 HIGH",IF(G181&lt;0-k_TOL,"T2 LOW",IF(c_TTYPE=2,IF(ABS(1000-MAX(0,MIN(1000,E181))-MAX(0,MIN(1000,G181)))&gt;k_MAXERR,"MISMATCH","OK"),IF(OR(MAX(0,MIN(1000,E181))-k_MAXERR&gt;MAX(0,MIN(1000,G181)),MAX(0,MIN(1000,G181))-k_MAXERR&gt;MAX(0,MIN(1000,E181))),"MISMATCH","OK")))),"OK")))</f>
        <v>OK</v>
      </c>
      <c r="I181" s="7" t="n">
        <f aca="false">MAX(0,MIN(1000,D181))</f>
        <v>392</v>
      </c>
      <c r="J181" s="7" t="str">
        <f aca="false">IF(c_TPOT&gt;1,IF(c_TTYPE=2,1000-MAX(0,MIN(1000,G181)),MAX(0,MIN(1000,G181))),"")</f>
        <v/>
      </c>
      <c r="K181" s="7" t="n">
        <f aca="false">IF(c_TPOT&gt;1,QUOTIENT(I181+J181,2),I181)</f>
        <v>392</v>
      </c>
      <c r="L181" s="7" t="n">
        <f aca="false">IF(AND(K181=0,c_TCREEP&gt;0),10*c_TCREEP,IF(AND(K181&lt;=c_TRNGMIN,K181&gt;=c_TRNGMAX,c_TRNGMIN-c_TRNGMAX&lt;&gt;0),-10*c_TMINRN+QUOTIENT((c_TMAXRN-c_TMINRN)*(100-QUOTIENT((K181-c_TRNGMAX)*100,c_TRNGMIN-c_TRNGMAX)),-10),0))</f>
        <v>0</v>
      </c>
      <c r="M181" s="7" t="n">
        <f aca="false">IF(((c_TMAP1IN)-(c_TFWD))=0,(0)+QUOTIENT(((c_TMAP1OUT)-(0)),2),QUOTIENT((((K181)-(c_TFWD))*((c_TMAP1OUT)-(0))+IF(((c_TMAP1OUT)-(0))&gt;=0,1,-1)*QUOTIENT(((c_TMAP1IN)-(c_TFWD)),2)),((c_TMAP1IN)-(c_TFWD)))+(0)+IF(((c_TMAP1OUT)-(0))&gt;=0,IF(IF(o_WRAP=1,MOD(((c_TMAP1IN)-(c_TFWD))*(((K181)-(c_TFWD))*((c_TMAP1OUT)-(0))+IF(((c_TMAP1OUT)-(0))&gt;=0,1,-1)*QUOTIENT(((c_TMAP1IN)-(c_TFWD)),2))+2147483648,4294967296)-2147483648,((c_TMAP1IN)-(c_TFWD))*(((K181)-(c_TFWD))*((c_TMAP1OUT)-(0))+IF(((c_TMAP1OUT)-(0))&gt;=0,1,-1)*QUOTIENT(((c_TMAP1IN)-(c_TFWD)),2)))&lt;0,-1,0),IF(IF(o_WRAP=1,MOD(((c_TMAP1IN)-(c_TFWD))*(((K181)-(c_TFWD))*((c_TMAP1OUT)-(0))+IF(((c_TMAP1OUT)-(0))&gt;=0,1,-1)*QUOTIENT(((c_TMAP1IN)-(c_TFWD)),2))+2147483648,4294967296)-2147483648,((c_TMAP1IN)-(c_TFWD))*(((K181)-(c_TFWD))*((c_TMAP1OUT)-(0))+IF(((c_TMAP1OUT)-(0))&gt;=0,1,-1)*QUOTIENT(((c_TMAP1IN)-(c_TFWD)),2)))&gt;=0,1,0)))</f>
        <v>297</v>
      </c>
      <c r="N181" s="7" t="n">
        <f aca="false">IF(((c_TMAP2IN)-(c_TMAP1IN))=0,(c_TMAP1OUT)+QUOTIENT(((c_TMAP2OUT)-(c_TMAP1OUT)),2),QUOTIENT((((K181)-(c_TMAP1IN))*((c_TMAP2OUT)-(c_TMAP1OUT))+IF(((c_TMAP2OUT)-(c_TMAP1OUT))&gt;=0,1,-1)*QUOTIENT(((c_TMAP2IN)-(c_TMAP1IN)),2)),((c_TMAP2IN)-(c_TMAP1IN)))+(c_TMAP1OUT)+IF(((c_TMAP2OUT)-(c_TMAP1OUT))&gt;=0,IF(IF(o_WRAP=1,MOD(((c_TMAP2IN)-(c_TMAP1IN))*(((K181)-(c_TMAP1IN))*((c_TMAP2OUT)-(c_TMAP1OUT))+IF(((c_TMAP2OUT)-(c_TMAP1OUT))&gt;=0,1,-1)*QUOTIENT(((c_TMAP2IN)-(c_TMAP1IN)),2))+2147483648,4294967296)-2147483648,((c_TMAP2IN)-(c_TMAP1IN))*(((K181)-(c_TMAP1IN))*((c_TMAP2OUT)-(c_TMAP1OUT))+IF(((c_TMAP2OUT)-(c_TMAP1OUT))&gt;=0,1,-1)*QUOTIENT(((c_TMAP2IN)-(c_TMAP1IN)),2)))&lt;0,-1,0),IF(IF(o_WRAP=1,MOD(((c_TMAP2IN)-(c_TMAP1IN))*(((K181)-(c_TMAP1IN))*((c_TMAP2OUT)-(c_TMAP1OUT))+IF(((c_TMAP2OUT)-(c_TMAP1OUT))&gt;=0,1,-1)*QUOTIENT(((c_TMAP2IN)-(c_TMAP1IN)),2))+2147483648,4294967296)-2147483648,((c_TMAP2IN)-(c_TMAP1IN))*(((K181)-(c_TMAP1IN))*((c_TMAP2OUT)-(c_TMAP1OUT))+IF(((c_TMAP2OUT)-(c_TMAP1OUT))&gt;=0,1,-1)*QUOTIENT(((c_TMAP2IN)-(c_TMAP1IN)),2)))&gt;=0,1,0)))</f>
        <v>187</v>
      </c>
      <c r="O181" s="7" t="n">
        <f aca="false">IF(((c_TMAP3IN)-(c_TMAP2IN))=0,(c_TMAP2OUT)+QUOTIENT(((c_TMAP3OUT)-(c_TMAP2OUT)),2),QUOTIENT((((K181)-(c_TMAP2IN))*((c_TMAP3OUT)-(c_TMAP2OUT))+IF(((c_TMAP3OUT)-(c_TMAP2OUT))&gt;=0,1,-1)*QUOTIENT(((c_TMAP3IN)-(c_TMAP2IN)),2)),((c_TMAP3IN)-(c_TMAP2IN)))+(c_TMAP2OUT)+IF(((c_TMAP3OUT)-(c_TMAP2OUT))&gt;=0,IF(IF(o_WRAP=1,MOD(((c_TMAP3IN)-(c_TMAP2IN))*(((K181)-(c_TMAP2IN))*((c_TMAP3OUT)-(c_TMAP2OUT))+IF(((c_TMAP3OUT)-(c_TMAP2OUT))&gt;=0,1,-1)*QUOTIENT(((c_TMAP3IN)-(c_TMAP2IN)),2))+2147483648,4294967296)-2147483648,((c_TMAP3IN)-(c_TMAP2IN))*(((K181)-(c_TMAP2IN))*((c_TMAP3OUT)-(c_TMAP2OUT))+IF(((c_TMAP3OUT)-(c_TMAP2OUT))&gt;=0,1,-1)*QUOTIENT(((c_TMAP3IN)-(c_TMAP2IN)),2)))&lt;0,-1,0),IF(IF(o_WRAP=1,MOD(((c_TMAP3IN)-(c_TMAP2IN))*(((K181)-(c_TMAP2IN))*((c_TMAP3OUT)-(c_TMAP2OUT))+IF(((c_TMAP3OUT)-(c_TMAP2OUT))&gt;=0,1,-1)*QUOTIENT(((c_TMAP3IN)-(c_TMAP2IN)),2))+2147483648,4294967296)-2147483648,((c_TMAP3IN)-(c_TMAP2IN))*(((K181)-(c_TMAP2IN))*((c_TMAP3OUT)-(c_TMAP2OUT))+IF(((c_TMAP3OUT)-(c_TMAP2OUT))&gt;=0,1,-1)*QUOTIENT(((c_TMAP3IN)-(c_TMAP2IN)),2)))&gt;=0,1,0)))</f>
        <v>229</v>
      </c>
      <c r="P181" s="7" t="n">
        <f aca="false">IF(((1000)-(c_TMAP3IN))=0,(c_TMAP3OUT)+QUOTIENT(((1000)-(c_TMAP3OUT)),2),QUOTIENT((((K181)-(c_TMAP3IN))*((1000)-(c_TMAP3OUT))+IF(((1000)-(c_TMAP3OUT))&gt;=0,1,-1)*QUOTIENT(((1000)-(c_TMAP3IN)),2)),((1000)-(c_TMAP3IN)))+(c_TMAP3OUT)+IF(((1000)-(c_TMAP3OUT))&gt;=0,IF(IF(o_WRAP=1,MOD(((1000)-(c_TMAP3IN))*(((K181)-(c_TMAP3IN))*((1000)-(c_TMAP3OUT))+IF(((1000)-(c_TMAP3OUT))&gt;=0,1,-1)*QUOTIENT(((1000)-(c_TMAP3IN)),2))+2147483648,4294967296)-2147483648,((1000)-(c_TMAP3IN))*(((K181)-(c_TMAP3IN))*((1000)-(c_TMAP3OUT))+IF(((1000)-(c_TMAP3OUT))&gt;=0,1,-1)*QUOTIENT(((1000)-(c_TMAP3IN)),2)))&lt;0,-1,0),IF(IF(o_WRAP=1,MOD(((1000)-(c_TMAP3IN))*(((K181)-(c_TMAP3IN))*((1000)-(c_TMAP3OUT))+IF(((1000)-(c_TMAP3OUT))&gt;=0,1,-1)*QUOTIENT(((1000)-(c_TMAP3IN)),2))+2147483648,4294967296)-2147483648,((1000)-(c_TMAP3IN))*(((K181)-(c_TMAP3IN))*((1000)-(c_TMAP3OUT))+IF(((1000)-(c_TMAP3OUT))&gt;=0,1,-1)*QUOTIENT(((1000)-(c_TMAP3IN)),2)))&gt;=0,1,0)))</f>
        <v>252</v>
      </c>
      <c r="Q181" s="7" t="str">
        <f aca="false">IF(K181&gt;=c_TFWD,IF(AND(K181&gt;=c_TMAP3IN,c_TMAP3IN&lt;1000),"Seg4 map3-100%",IF(AND(K181&gt;=c_TMAP2IN,c_TMAP3IN&gt;c_TMAP2IN),"Seg3 map2-map3",IF(AND(K181&gt;=c_TMAP1IN,c_TMAP2IN&gt;c_TMAP1IN),"Seg2 map1-map2","Seg1 TFWD-map1"))),IF(AND(K181=0,c_TCREEP&gt;0),"Creep",IF(AND(K181&lt;=c_TRNGMIN,K181&gt;=c_TRNGMAX,c_TRNGMIN-c_TRNGMAX&lt;&gt;0),"Regen ramp","Coast (0)")))</f>
        <v>Seg4 map3-100%</v>
      </c>
      <c r="R181" s="7" t="n">
        <f aca="false">IF(K181&gt;=c_TFWD,IF(AND(K181&gt;=c_TMAP3IN,c_TMAP3IN&lt;1000),P181,IF(AND(K181&gt;=c_TMAP2IN,c_TMAP3IN&gt;c_TMAP2IN),O181,IF(AND(K181&gt;=c_TMAP1IN,c_TMAP2IN&gt;c_TMAP1IN),N181,M181))),L181)</f>
        <v>252</v>
      </c>
      <c r="S181" s="7" t="str">
        <f aca="false">IF(R181&lt;-1090,"TOO LOW",IF(R181&gt;1090,"TOO HIGH",""))</f>
        <v/>
      </c>
      <c r="T181" s="15" t="n">
        <f aca="false">IF(H181&lt;&gt;"OK",0,IF(S181&lt;&gt;"",0,IF(R181&gt;979,1000,R181)))</f>
        <v>252</v>
      </c>
      <c r="U181" s="7" t="n">
        <f aca="false">T181/10</f>
        <v>25.2</v>
      </c>
    </row>
    <row r="182" customFormat="false" ht="15" hidden="false" customHeight="false" outlineLevel="0" collapsed="false">
      <c r="A182" s="7" t="n">
        <v>177</v>
      </c>
      <c r="B182" s="7" t="n">
        <f aca="false">ROUND(o_SWSTART+A182*(o_SWEND-o_SWSTART)/400,0)</f>
        <v>1812</v>
      </c>
      <c r="C182" s="7" t="n">
        <f aca="false">QUOTIENT((B182-c_OFF1)*c_GAIN1,1024)</f>
        <v>1812</v>
      </c>
      <c r="D182" s="7" t="n">
        <f aca="false">IF(((c_T1MX)-(c_T1MN))=0,(0)+QUOTIENT(((1000)-(0)),2),QUOTIENT((((C182)-(c_T1MN))*((1000)-(0))+IF(((1000)-(0))&gt;=0,1,-1)*QUOTIENT(((c_T1MX)-(c_T1MN)),2)),((c_T1MX)-(c_T1MN)))+(0)+IF(((1000)-(0))&gt;=0,IF(IF(o_WRAP=1,MOD(((c_T1MX)-(c_T1MN))*(((C182)-(c_T1MN))*((1000)-(0))+IF(((1000)-(0))&gt;=0,1,-1)*QUOTIENT(((c_T1MX)-(c_T1MN)),2))+2147483648,4294967296)-2147483648,((c_T1MX)-(c_T1MN))*(((C182)-(c_T1MN))*((1000)-(0))+IF(((1000)-(0))&gt;=0,1,-1)*QUOTIENT(((c_T1MX)-(c_T1MN)),2)))&lt;0,-1,0),IF(IF(o_WRAP=1,MOD(((c_T1MX)-(c_T1MN))*(((C182)-(c_T1MN))*((1000)-(0))+IF(((1000)-(0))&gt;=0,1,-1)*QUOTIENT(((c_T1MX)-(c_T1MN)),2))+2147483648,4294967296)-2147483648,((c_T1MX)-(c_T1MN))*(((C182)-(c_T1MN))*((1000)-(0))+IF(((1000)-(0))&gt;=0,1,-1)*QUOTIENT(((c_T1MX)-(c_T1MN)),2)))&gt;=0,1,0)))</f>
        <v>396</v>
      </c>
      <c r="E182" s="7" t="n">
        <f aca="false">IF(AND(c_TPOT=1,c_TTYPE=2),1000-D182,D182)</f>
        <v>396</v>
      </c>
      <c r="F182" s="7" t="str">
        <f aca="false">IF(c_TPOT&gt;1,ROUND(IF(c_TTYPE=2,c_T2MX-IF(c_T1MX=c_T1MN,0,(C182-c_T1MN)/(c_T1MX-c_T1MN))*(c_T2MX-c_T2MN),c_T2MN+IF(c_T1MX=c_T1MN,0,(C182-c_T1MN)/(c_T1MX-c_T1MN))*(c_T2MX-c_T2MN))+o_MISMATCH,0),"")</f>
        <v/>
      </c>
      <c r="G182" s="7" t="str">
        <f aca="false">IF(c_TPOT&gt;1,IF(((c_T2MX)-(c_T2MN))=0,(0)+QUOTIENT(((1000)-(0)),2),QUOTIENT((((F182)-(c_T2MN))*((1000)-(0))+IF(((1000)-(0))&gt;=0,1,-1)*QUOTIENT(((c_T2MX)-(c_T2MN)),2)),((c_T2MX)-(c_T2MN)))+(0)+IF(((1000)-(0))&gt;=0,IF(IF(o_WRAP=1,MOD(((c_T2MX)-(c_T2MN))*(((F182)-(c_T2MN))*((1000)-(0))+IF(((1000)-(0))&gt;=0,1,-1)*QUOTIENT(((c_T2MX)-(c_T2MN)),2))+2147483648,4294967296)-2147483648,((c_T2MX)-(c_T2MN))*(((F182)-(c_T2MN))*((1000)-(0))+IF(((1000)-(0))&gt;=0,1,-1)*QUOTIENT(((c_T2MX)-(c_T2MN)),2)))&lt;0,-1,0),IF(IF(o_WRAP=1,MOD(((c_T2MX)-(c_T2MN))*(((F182)-(c_T2MN))*((1000)-(0))+IF(((1000)-(0))&gt;=0,1,-1)*QUOTIENT(((c_T2MX)-(c_T2MN)),2))+2147483648,4294967296)-2147483648,((c_T2MX)-(c_T2MN))*(((F182)-(c_T2MN))*((1000)-(0))+IF(((1000)-(0))&gt;=0,1,-1)*QUOTIENT(((c_T2MX)-(c_T2MN)),2)))&gt;=0,1,0))),"")</f>
        <v/>
      </c>
      <c r="H182" s="7" t="str">
        <f aca="false">IF(E182&gt;1000+k_TOL,"T1 HIGH",IF(E182&lt;0-k_TOL,"T1 LOW",IF(c_TPOT&gt;1,IF(G182&gt;1000+k_TOL,"T2 HIGH",IF(G182&lt;0-k_TOL,"T2 LOW",IF(c_TTYPE=2,IF(ABS(1000-MAX(0,MIN(1000,E182))-MAX(0,MIN(1000,G182)))&gt;k_MAXERR,"MISMATCH","OK"),IF(OR(MAX(0,MIN(1000,E182))-k_MAXERR&gt;MAX(0,MIN(1000,G182)),MAX(0,MIN(1000,G182))-k_MAXERR&gt;MAX(0,MIN(1000,E182))),"MISMATCH","OK")))),"OK")))</f>
        <v>OK</v>
      </c>
      <c r="I182" s="7" t="n">
        <f aca="false">MAX(0,MIN(1000,D182))</f>
        <v>396</v>
      </c>
      <c r="J182" s="7" t="str">
        <f aca="false">IF(c_TPOT&gt;1,IF(c_TTYPE=2,1000-MAX(0,MIN(1000,G182)),MAX(0,MIN(1000,G182))),"")</f>
        <v/>
      </c>
      <c r="K182" s="7" t="n">
        <f aca="false">IF(c_TPOT&gt;1,QUOTIENT(I182+J182,2),I182)</f>
        <v>396</v>
      </c>
      <c r="L182" s="7" t="n">
        <f aca="false">IF(AND(K182=0,c_TCREEP&gt;0),10*c_TCREEP,IF(AND(K182&lt;=c_TRNGMIN,K182&gt;=c_TRNGMAX,c_TRNGMIN-c_TRNGMAX&lt;&gt;0),-10*c_TMINRN+QUOTIENT((c_TMAXRN-c_TMINRN)*(100-QUOTIENT((K182-c_TRNGMAX)*100,c_TRNGMIN-c_TRNGMAX)),-10),0))</f>
        <v>0</v>
      </c>
      <c r="M182" s="7" t="n">
        <f aca="false">IF(((c_TMAP1IN)-(c_TFWD))=0,(0)+QUOTIENT(((c_TMAP1OUT)-(0)),2),QUOTIENT((((K182)-(c_TFWD))*((c_TMAP1OUT)-(0))+IF(((c_TMAP1OUT)-(0))&gt;=0,1,-1)*QUOTIENT(((c_TMAP1IN)-(c_TFWD)),2)),((c_TMAP1IN)-(c_TFWD)))+(0)+IF(((c_TMAP1OUT)-(0))&gt;=0,IF(IF(o_WRAP=1,MOD(((c_TMAP1IN)-(c_TFWD))*(((K182)-(c_TFWD))*((c_TMAP1OUT)-(0))+IF(((c_TMAP1OUT)-(0))&gt;=0,1,-1)*QUOTIENT(((c_TMAP1IN)-(c_TFWD)),2))+2147483648,4294967296)-2147483648,((c_TMAP1IN)-(c_TFWD))*(((K182)-(c_TFWD))*((c_TMAP1OUT)-(0))+IF(((c_TMAP1OUT)-(0))&gt;=0,1,-1)*QUOTIENT(((c_TMAP1IN)-(c_TFWD)),2)))&lt;0,-1,0),IF(IF(o_WRAP=1,MOD(((c_TMAP1IN)-(c_TFWD))*(((K182)-(c_TFWD))*((c_TMAP1OUT)-(0))+IF(((c_TMAP1OUT)-(0))&gt;=0,1,-1)*QUOTIENT(((c_TMAP1IN)-(c_TFWD)),2))+2147483648,4294967296)-2147483648,((c_TMAP1IN)-(c_TFWD))*(((K182)-(c_TFWD))*((c_TMAP1OUT)-(0))+IF(((c_TMAP1OUT)-(0))&gt;=0,1,-1)*QUOTIENT(((c_TMAP1IN)-(c_TFWD)),2)))&gt;=0,1,0)))</f>
        <v>300</v>
      </c>
      <c r="N182" s="7" t="n">
        <f aca="false">IF(((c_TMAP2IN)-(c_TMAP1IN))=0,(c_TMAP1OUT)+QUOTIENT(((c_TMAP2OUT)-(c_TMAP1OUT)),2),QUOTIENT((((K182)-(c_TMAP1IN))*((c_TMAP2OUT)-(c_TMAP1OUT))+IF(((c_TMAP2OUT)-(c_TMAP1OUT))&gt;=0,1,-1)*QUOTIENT(((c_TMAP2IN)-(c_TMAP1IN)),2)),((c_TMAP2IN)-(c_TMAP1IN)))+(c_TMAP1OUT)+IF(((c_TMAP2OUT)-(c_TMAP1OUT))&gt;=0,IF(IF(o_WRAP=1,MOD(((c_TMAP2IN)-(c_TMAP1IN))*(((K182)-(c_TMAP1IN))*((c_TMAP2OUT)-(c_TMAP1OUT))+IF(((c_TMAP2OUT)-(c_TMAP1OUT))&gt;=0,1,-1)*QUOTIENT(((c_TMAP2IN)-(c_TMAP1IN)),2))+2147483648,4294967296)-2147483648,((c_TMAP2IN)-(c_TMAP1IN))*(((K182)-(c_TMAP1IN))*((c_TMAP2OUT)-(c_TMAP1OUT))+IF(((c_TMAP2OUT)-(c_TMAP1OUT))&gt;=0,1,-1)*QUOTIENT(((c_TMAP2IN)-(c_TMAP1IN)),2)))&lt;0,-1,0),IF(IF(o_WRAP=1,MOD(((c_TMAP2IN)-(c_TMAP1IN))*(((K182)-(c_TMAP1IN))*((c_TMAP2OUT)-(c_TMAP1OUT))+IF(((c_TMAP2OUT)-(c_TMAP1OUT))&gt;=0,1,-1)*QUOTIENT(((c_TMAP2IN)-(c_TMAP1IN)),2))+2147483648,4294967296)-2147483648,((c_TMAP2IN)-(c_TMAP1IN))*(((K182)-(c_TMAP1IN))*((c_TMAP2OUT)-(c_TMAP1OUT))+IF(((c_TMAP2OUT)-(c_TMAP1OUT))&gt;=0,1,-1)*QUOTIENT(((c_TMAP2IN)-(c_TMAP1IN)),2)))&gt;=0,1,0)))</f>
        <v>188</v>
      </c>
      <c r="O182" s="7" t="n">
        <f aca="false">IF(((c_TMAP3IN)-(c_TMAP2IN))=0,(c_TMAP2OUT)+QUOTIENT(((c_TMAP3OUT)-(c_TMAP2OUT)),2),QUOTIENT((((K182)-(c_TMAP2IN))*((c_TMAP3OUT)-(c_TMAP2OUT))+IF(((c_TMAP3OUT)-(c_TMAP2OUT))&gt;=0,1,-1)*QUOTIENT(((c_TMAP3IN)-(c_TMAP2IN)),2)),((c_TMAP3IN)-(c_TMAP2IN)))+(c_TMAP2OUT)+IF(((c_TMAP3OUT)-(c_TMAP2OUT))&gt;=0,IF(IF(o_WRAP=1,MOD(((c_TMAP3IN)-(c_TMAP2IN))*(((K182)-(c_TMAP2IN))*((c_TMAP3OUT)-(c_TMAP2OUT))+IF(((c_TMAP3OUT)-(c_TMAP2OUT))&gt;=0,1,-1)*QUOTIENT(((c_TMAP3IN)-(c_TMAP2IN)),2))+2147483648,4294967296)-2147483648,((c_TMAP3IN)-(c_TMAP2IN))*(((K182)-(c_TMAP2IN))*((c_TMAP3OUT)-(c_TMAP2OUT))+IF(((c_TMAP3OUT)-(c_TMAP2OUT))&gt;=0,1,-1)*QUOTIENT(((c_TMAP3IN)-(c_TMAP2IN)),2)))&lt;0,-1,0),IF(IF(o_WRAP=1,MOD(((c_TMAP3IN)-(c_TMAP2IN))*(((K182)-(c_TMAP2IN))*((c_TMAP3OUT)-(c_TMAP2OUT))+IF(((c_TMAP3OUT)-(c_TMAP2OUT))&gt;=0,1,-1)*QUOTIENT(((c_TMAP3IN)-(c_TMAP2IN)),2))+2147483648,4294967296)-2147483648,((c_TMAP3IN)-(c_TMAP2IN))*(((K182)-(c_TMAP2IN))*((c_TMAP3OUT)-(c_TMAP2OUT))+IF(((c_TMAP3OUT)-(c_TMAP2OUT))&gt;=0,1,-1)*QUOTIENT(((c_TMAP3IN)-(c_TMAP2IN)),2)))&gt;=0,1,0)))</f>
        <v>232</v>
      </c>
      <c r="P182" s="7" t="n">
        <f aca="false">IF(((1000)-(c_TMAP3IN))=0,(c_TMAP3OUT)+QUOTIENT(((1000)-(c_TMAP3OUT)),2),QUOTIENT((((K182)-(c_TMAP3IN))*((1000)-(c_TMAP3OUT))+IF(((1000)-(c_TMAP3OUT))&gt;=0,1,-1)*QUOTIENT(((1000)-(c_TMAP3IN)),2)),((1000)-(c_TMAP3IN)))+(c_TMAP3OUT)+IF(((1000)-(c_TMAP3OUT))&gt;=0,IF(IF(o_WRAP=1,MOD(((1000)-(c_TMAP3IN))*(((K182)-(c_TMAP3IN))*((1000)-(c_TMAP3OUT))+IF(((1000)-(c_TMAP3OUT))&gt;=0,1,-1)*QUOTIENT(((1000)-(c_TMAP3IN)),2))+2147483648,4294967296)-2147483648,((1000)-(c_TMAP3IN))*(((K182)-(c_TMAP3IN))*((1000)-(c_TMAP3OUT))+IF(((1000)-(c_TMAP3OUT))&gt;=0,1,-1)*QUOTIENT(((1000)-(c_TMAP3IN)),2)))&lt;0,-1,0),IF(IF(o_WRAP=1,MOD(((1000)-(c_TMAP3IN))*(((K182)-(c_TMAP3IN))*((1000)-(c_TMAP3OUT))+IF(((1000)-(c_TMAP3OUT))&gt;=0,1,-1)*QUOTIENT(((1000)-(c_TMAP3IN)),2))+2147483648,4294967296)-2147483648,((1000)-(c_TMAP3IN))*(((K182)-(c_TMAP3IN))*((1000)-(c_TMAP3OUT))+IF(((1000)-(c_TMAP3OUT))&gt;=0,1,-1)*QUOTIENT(((1000)-(c_TMAP3IN)),2)))&gt;=0,1,0)))</f>
        <v>257</v>
      </c>
      <c r="Q182" s="7" t="str">
        <f aca="false">IF(K182&gt;=c_TFWD,IF(AND(K182&gt;=c_TMAP3IN,c_TMAP3IN&lt;1000),"Seg4 map3-100%",IF(AND(K182&gt;=c_TMAP2IN,c_TMAP3IN&gt;c_TMAP2IN),"Seg3 map2-map3",IF(AND(K182&gt;=c_TMAP1IN,c_TMAP2IN&gt;c_TMAP1IN),"Seg2 map1-map2","Seg1 TFWD-map1"))),IF(AND(K182=0,c_TCREEP&gt;0),"Creep",IF(AND(K182&lt;=c_TRNGMIN,K182&gt;=c_TRNGMAX,c_TRNGMIN-c_TRNGMAX&lt;&gt;0),"Regen ramp","Coast (0)")))</f>
        <v>Seg4 map3-100%</v>
      </c>
      <c r="R182" s="7" t="n">
        <f aca="false">IF(K182&gt;=c_TFWD,IF(AND(K182&gt;=c_TMAP3IN,c_TMAP3IN&lt;1000),P182,IF(AND(K182&gt;=c_TMAP2IN,c_TMAP3IN&gt;c_TMAP2IN),O182,IF(AND(K182&gt;=c_TMAP1IN,c_TMAP2IN&gt;c_TMAP1IN),N182,M182))),L182)</f>
        <v>257</v>
      </c>
      <c r="S182" s="7" t="str">
        <f aca="false">IF(R182&lt;-1090,"TOO LOW",IF(R182&gt;1090,"TOO HIGH",""))</f>
        <v/>
      </c>
      <c r="T182" s="15" t="n">
        <f aca="false">IF(H182&lt;&gt;"OK",0,IF(S182&lt;&gt;"",0,IF(R182&gt;979,1000,R182)))</f>
        <v>257</v>
      </c>
      <c r="U182" s="7" t="n">
        <f aca="false">T182/10</f>
        <v>25.7</v>
      </c>
    </row>
    <row r="183" customFormat="false" ht="15" hidden="false" customHeight="false" outlineLevel="0" collapsed="false">
      <c r="A183" s="7" t="n">
        <v>178</v>
      </c>
      <c r="B183" s="7" t="n">
        <f aca="false">ROUND(o_SWSTART+A183*(o_SWEND-o_SWSTART)/400,0)</f>
        <v>1822</v>
      </c>
      <c r="C183" s="7" t="n">
        <f aca="false">QUOTIENT((B183-c_OFF1)*c_GAIN1,1024)</f>
        <v>1822</v>
      </c>
      <c r="D183" s="7" t="n">
        <f aca="false">IF(((c_T1MX)-(c_T1MN))=0,(0)+QUOTIENT(((1000)-(0)),2),QUOTIENT((((C183)-(c_T1MN))*((1000)-(0))+IF(((1000)-(0))&gt;=0,1,-1)*QUOTIENT(((c_T1MX)-(c_T1MN)),2)),((c_T1MX)-(c_T1MN)))+(0)+IF(((1000)-(0))&gt;=0,IF(IF(o_WRAP=1,MOD(((c_T1MX)-(c_T1MN))*(((C183)-(c_T1MN))*((1000)-(0))+IF(((1000)-(0))&gt;=0,1,-1)*QUOTIENT(((c_T1MX)-(c_T1MN)),2))+2147483648,4294967296)-2147483648,((c_T1MX)-(c_T1MN))*(((C183)-(c_T1MN))*((1000)-(0))+IF(((1000)-(0))&gt;=0,1,-1)*QUOTIENT(((c_T1MX)-(c_T1MN)),2)))&lt;0,-1,0),IF(IF(o_WRAP=1,MOD(((c_T1MX)-(c_T1MN))*(((C183)-(c_T1MN))*((1000)-(0))+IF(((1000)-(0))&gt;=0,1,-1)*QUOTIENT(((c_T1MX)-(c_T1MN)),2))+2147483648,4294967296)-2147483648,((c_T1MX)-(c_T1MN))*(((C183)-(c_T1MN))*((1000)-(0))+IF(((1000)-(0))&gt;=0,1,-1)*QUOTIENT(((c_T1MX)-(c_T1MN)),2)))&gt;=0,1,0)))</f>
        <v>400</v>
      </c>
      <c r="E183" s="7" t="n">
        <f aca="false">IF(AND(c_TPOT=1,c_TTYPE=2),1000-D183,D183)</f>
        <v>400</v>
      </c>
      <c r="F183" s="7" t="str">
        <f aca="false">IF(c_TPOT&gt;1,ROUND(IF(c_TTYPE=2,c_T2MX-IF(c_T1MX=c_T1MN,0,(C183-c_T1MN)/(c_T1MX-c_T1MN))*(c_T2MX-c_T2MN),c_T2MN+IF(c_T1MX=c_T1MN,0,(C183-c_T1MN)/(c_T1MX-c_T1MN))*(c_T2MX-c_T2MN))+o_MISMATCH,0),"")</f>
        <v/>
      </c>
      <c r="G183" s="7" t="str">
        <f aca="false">IF(c_TPOT&gt;1,IF(((c_T2MX)-(c_T2MN))=0,(0)+QUOTIENT(((1000)-(0)),2),QUOTIENT((((F183)-(c_T2MN))*((1000)-(0))+IF(((1000)-(0))&gt;=0,1,-1)*QUOTIENT(((c_T2MX)-(c_T2MN)),2)),((c_T2MX)-(c_T2MN)))+(0)+IF(((1000)-(0))&gt;=0,IF(IF(o_WRAP=1,MOD(((c_T2MX)-(c_T2MN))*(((F183)-(c_T2MN))*((1000)-(0))+IF(((1000)-(0))&gt;=0,1,-1)*QUOTIENT(((c_T2MX)-(c_T2MN)),2))+2147483648,4294967296)-2147483648,((c_T2MX)-(c_T2MN))*(((F183)-(c_T2MN))*((1000)-(0))+IF(((1000)-(0))&gt;=0,1,-1)*QUOTIENT(((c_T2MX)-(c_T2MN)),2)))&lt;0,-1,0),IF(IF(o_WRAP=1,MOD(((c_T2MX)-(c_T2MN))*(((F183)-(c_T2MN))*((1000)-(0))+IF(((1000)-(0))&gt;=0,1,-1)*QUOTIENT(((c_T2MX)-(c_T2MN)),2))+2147483648,4294967296)-2147483648,((c_T2MX)-(c_T2MN))*(((F183)-(c_T2MN))*((1000)-(0))+IF(((1000)-(0))&gt;=0,1,-1)*QUOTIENT(((c_T2MX)-(c_T2MN)),2)))&gt;=0,1,0))),"")</f>
        <v/>
      </c>
      <c r="H183" s="7" t="str">
        <f aca="false">IF(E183&gt;1000+k_TOL,"T1 HIGH",IF(E183&lt;0-k_TOL,"T1 LOW",IF(c_TPOT&gt;1,IF(G183&gt;1000+k_TOL,"T2 HIGH",IF(G183&lt;0-k_TOL,"T2 LOW",IF(c_TTYPE=2,IF(ABS(1000-MAX(0,MIN(1000,E183))-MAX(0,MIN(1000,G183)))&gt;k_MAXERR,"MISMATCH","OK"),IF(OR(MAX(0,MIN(1000,E183))-k_MAXERR&gt;MAX(0,MIN(1000,G183)),MAX(0,MIN(1000,G183))-k_MAXERR&gt;MAX(0,MIN(1000,E183))),"MISMATCH","OK")))),"OK")))</f>
        <v>OK</v>
      </c>
      <c r="I183" s="7" t="n">
        <f aca="false">MAX(0,MIN(1000,D183))</f>
        <v>400</v>
      </c>
      <c r="J183" s="7" t="str">
        <f aca="false">IF(c_TPOT&gt;1,IF(c_TTYPE=2,1000-MAX(0,MIN(1000,G183)),MAX(0,MIN(1000,G183))),"")</f>
        <v/>
      </c>
      <c r="K183" s="7" t="n">
        <f aca="false">IF(c_TPOT&gt;1,QUOTIENT(I183+J183,2),I183)</f>
        <v>400</v>
      </c>
      <c r="L183" s="7" t="n">
        <f aca="false">IF(AND(K183=0,c_TCREEP&gt;0),10*c_TCREEP,IF(AND(K183&lt;=c_TRNGMIN,K183&gt;=c_TRNGMAX,c_TRNGMIN-c_TRNGMAX&lt;&gt;0),-10*c_TMINRN+QUOTIENT((c_TMAXRN-c_TMINRN)*(100-QUOTIENT((K183-c_TRNGMAX)*100,c_TRNGMIN-c_TRNGMAX)),-10),0))</f>
        <v>0</v>
      </c>
      <c r="M183" s="7" t="n">
        <f aca="false">IF(((c_TMAP1IN)-(c_TFWD))=0,(0)+QUOTIENT(((c_TMAP1OUT)-(0)),2),QUOTIENT((((K183)-(c_TFWD))*((c_TMAP1OUT)-(0))+IF(((c_TMAP1OUT)-(0))&gt;=0,1,-1)*QUOTIENT(((c_TMAP1IN)-(c_TFWD)),2)),((c_TMAP1IN)-(c_TFWD)))+(0)+IF(((c_TMAP1OUT)-(0))&gt;=0,IF(IF(o_WRAP=1,MOD(((c_TMAP1IN)-(c_TFWD))*(((K183)-(c_TFWD))*((c_TMAP1OUT)-(0))+IF(((c_TMAP1OUT)-(0))&gt;=0,1,-1)*QUOTIENT(((c_TMAP1IN)-(c_TFWD)),2))+2147483648,4294967296)-2147483648,((c_TMAP1IN)-(c_TFWD))*(((K183)-(c_TFWD))*((c_TMAP1OUT)-(0))+IF(((c_TMAP1OUT)-(0))&gt;=0,1,-1)*QUOTIENT(((c_TMAP1IN)-(c_TFWD)),2)))&lt;0,-1,0),IF(IF(o_WRAP=1,MOD(((c_TMAP1IN)-(c_TFWD))*(((K183)-(c_TFWD))*((c_TMAP1OUT)-(0))+IF(((c_TMAP1OUT)-(0))&gt;=0,1,-1)*QUOTIENT(((c_TMAP1IN)-(c_TFWD)),2))+2147483648,4294967296)-2147483648,((c_TMAP1IN)-(c_TFWD))*(((K183)-(c_TFWD))*((c_TMAP1OUT)-(0))+IF(((c_TMAP1OUT)-(0))&gt;=0,1,-1)*QUOTIENT(((c_TMAP1IN)-(c_TFWD)),2)))&gt;=0,1,0)))</f>
        <v>303</v>
      </c>
      <c r="N183" s="7" t="n">
        <f aca="false">IF(((c_TMAP2IN)-(c_TMAP1IN))=0,(c_TMAP1OUT)+QUOTIENT(((c_TMAP2OUT)-(c_TMAP1OUT)),2),QUOTIENT((((K183)-(c_TMAP1IN))*((c_TMAP2OUT)-(c_TMAP1OUT))+IF(((c_TMAP2OUT)-(c_TMAP1OUT))&gt;=0,1,-1)*QUOTIENT(((c_TMAP2IN)-(c_TMAP1IN)),2)),((c_TMAP2IN)-(c_TMAP1IN)))+(c_TMAP1OUT)+IF(((c_TMAP2OUT)-(c_TMAP1OUT))&gt;=0,IF(IF(o_WRAP=1,MOD(((c_TMAP2IN)-(c_TMAP1IN))*(((K183)-(c_TMAP1IN))*((c_TMAP2OUT)-(c_TMAP1OUT))+IF(((c_TMAP2OUT)-(c_TMAP1OUT))&gt;=0,1,-1)*QUOTIENT(((c_TMAP2IN)-(c_TMAP1IN)),2))+2147483648,4294967296)-2147483648,((c_TMAP2IN)-(c_TMAP1IN))*(((K183)-(c_TMAP1IN))*((c_TMAP2OUT)-(c_TMAP1OUT))+IF(((c_TMAP2OUT)-(c_TMAP1OUT))&gt;=0,1,-1)*QUOTIENT(((c_TMAP2IN)-(c_TMAP1IN)),2)))&lt;0,-1,0),IF(IF(o_WRAP=1,MOD(((c_TMAP2IN)-(c_TMAP1IN))*(((K183)-(c_TMAP1IN))*((c_TMAP2OUT)-(c_TMAP1OUT))+IF(((c_TMAP2OUT)-(c_TMAP1OUT))&gt;=0,1,-1)*QUOTIENT(((c_TMAP2IN)-(c_TMAP1IN)),2))+2147483648,4294967296)-2147483648,((c_TMAP2IN)-(c_TMAP1IN))*(((K183)-(c_TMAP1IN))*((c_TMAP2OUT)-(c_TMAP1OUT))+IF(((c_TMAP2OUT)-(c_TMAP1OUT))&gt;=0,1,-1)*QUOTIENT(((c_TMAP2IN)-(c_TMAP1IN)),2)))&gt;=0,1,0)))</f>
        <v>190</v>
      </c>
      <c r="O183" s="7" t="n">
        <f aca="false">IF(((c_TMAP3IN)-(c_TMAP2IN))=0,(c_TMAP2OUT)+QUOTIENT(((c_TMAP3OUT)-(c_TMAP2OUT)),2),QUOTIENT((((K183)-(c_TMAP2IN))*((c_TMAP3OUT)-(c_TMAP2OUT))+IF(((c_TMAP3OUT)-(c_TMAP2OUT))&gt;=0,1,-1)*QUOTIENT(((c_TMAP3IN)-(c_TMAP2IN)),2)),((c_TMAP3IN)-(c_TMAP2IN)))+(c_TMAP2OUT)+IF(((c_TMAP3OUT)-(c_TMAP2OUT))&gt;=0,IF(IF(o_WRAP=1,MOD(((c_TMAP3IN)-(c_TMAP2IN))*(((K183)-(c_TMAP2IN))*((c_TMAP3OUT)-(c_TMAP2OUT))+IF(((c_TMAP3OUT)-(c_TMAP2OUT))&gt;=0,1,-1)*QUOTIENT(((c_TMAP3IN)-(c_TMAP2IN)),2))+2147483648,4294967296)-2147483648,((c_TMAP3IN)-(c_TMAP2IN))*(((K183)-(c_TMAP2IN))*((c_TMAP3OUT)-(c_TMAP2OUT))+IF(((c_TMAP3OUT)-(c_TMAP2OUT))&gt;=0,1,-1)*QUOTIENT(((c_TMAP3IN)-(c_TMAP2IN)),2)))&lt;0,-1,0),IF(IF(o_WRAP=1,MOD(((c_TMAP3IN)-(c_TMAP2IN))*(((K183)-(c_TMAP2IN))*((c_TMAP3OUT)-(c_TMAP2OUT))+IF(((c_TMAP3OUT)-(c_TMAP2OUT))&gt;=0,1,-1)*QUOTIENT(((c_TMAP3IN)-(c_TMAP2IN)),2))+2147483648,4294967296)-2147483648,((c_TMAP3IN)-(c_TMAP2IN))*(((K183)-(c_TMAP2IN))*((c_TMAP3OUT)-(c_TMAP2OUT))+IF(((c_TMAP3OUT)-(c_TMAP2OUT))&gt;=0,1,-1)*QUOTIENT(((c_TMAP3IN)-(c_TMAP2IN)),2)))&gt;=0,1,0)))</f>
        <v>235</v>
      </c>
      <c r="P183" s="7" t="n">
        <f aca="false">IF(((1000)-(c_TMAP3IN))=0,(c_TMAP3OUT)+QUOTIENT(((1000)-(c_TMAP3OUT)),2),QUOTIENT((((K183)-(c_TMAP3IN))*((1000)-(c_TMAP3OUT))+IF(((1000)-(c_TMAP3OUT))&gt;=0,1,-1)*QUOTIENT(((1000)-(c_TMAP3IN)),2)),((1000)-(c_TMAP3IN)))+(c_TMAP3OUT)+IF(((1000)-(c_TMAP3OUT))&gt;=0,IF(IF(o_WRAP=1,MOD(((1000)-(c_TMAP3IN))*(((K183)-(c_TMAP3IN))*((1000)-(c_TMAP3OUT))+IF(((1000)-(c_TMAP3OUT))&gt;=0,1,-1)*QUOTIENT(((1000)-(c_TMAP3IN)),2))+2147483648,4294967296)-2147483648,((1000)-(c_TMAP3IN))*(((K183)-(c_TMAP3IN))*((1000)-(c_TMAP3OUT))+IF(((1000)-(c_TMAP3OUT))&gt;=0,1,-1)*QUOTIENT(((1000)-(c_TMAP3IN)),2)))&lt;0,-1,0),IF(IF(o_WRAP=1,MOD(((1000)-(c_TMAP3IN))*(((K183)-(c_TMAP3IN))*((1000)-(c_TMAP3OUT))+IF(((1000)-(c_TMAP3OUT))&gt;=0,1,-1)*QUOTIENT(((1000)-(c_TMAP3IN)),2))+2147483648,4294967296)-2147483648,((1000)-(c_TMAP3IN))*(((K183)-(c_TMAP3IN))*((1000)-(c_TMAP3OUT))+IF(((1000)-(c_TMAP3OUT))&gt;=0,1,-1)*QUOTIENT(((1000)-(c_TMAP3IN)),2)))&gt;=0,1,0)))</f>
        <v>262</v>
      </c>
      <c r="Q183" s="7" t="str">
        <f aca="false">IF(K183&gt;=c_TFWD,IF(AND(K183&gt;=c_TMAP3IN,c_TMAP3IN&lt;1000),"Seg4 map3-100%",IF(AND(K183&gt;=c_TMAP2IN,c_TMAP3IN&gt;c_TMAP2IN),"Seg3 map2-map3",IF(AND(K183&gt;=c_TMAP1IN,c_TMAP2IN&gt;c_TMAP1IN),"Seg2 map1-map2","Seg1 TFWD-map1"))),IF(AND(K183=0,c_TCREEP&gt;0),"Creep",IF(AND(K183&lt;=c_TRNGMIN,K183&gt;=c_TRNGMAX,c_TRNGMIN-c_TRNGMAX&lt;&gt;0),"Regen ramp","Coast (0)")))</f>
        <v>Seg4 map3-100%</v>
      </c>
      <c r="R183" s="7" t="n">
        <f aca="false">IF(K183&gt;=c_TFWD,IF(AND(K183&gt;=c_TMAP3IN,c_TMAP3IN&lt;1000),P183,IF(AND(K183&gt;=c_TMAP2IN,c_TMAP3IN&gt;c_TMAP2IN),O183,IF(AND(K183&gt;=c_TMAP1IN,c_TMAP2IN&gt;c_TMAP1IN),N183,M183))),L183)</f>
        <v>262</v>
      </c>
      <c r="S183" s="7" t="str">
        <f aca="false">IF(R183&lt;-1090,"TOO LOW",IF(R183&gt;1090,"TOO HIGH",""))</f>
        <v/>
      </c>
      <c r="T183" s="15" t="n">
        <f aca="false">IF(H183&lt;&gt;"OK",0,IF(S183&lt;&gt;"",0,IF(R183&gt;979,1000,R183)))</f>
        <v>262</v>
      </c>
      <c r="U183" s="7" t="n">
        <f aca="false">T183/10</f>
        <v>26.2</v>
      </c>
    </row>
    <row r="184" customFormat="false" ht="15" hidden="false" customHeight="false" outlineLevel="0" collapsed="false">
      <c r="A184" s="7" t="n">
        <v>179</v>
      </c>
      <c r="B184" s="7" t="n">
        <f aca="false">ROUND(o_SWSTART+A184*(o_SWEND-o_SWSTART)/400,0)</f>
        <v>1833</v>
      </c>
      <c r="C184" s="7" t="n">
        <f aca="false">QUOTIENT((B184-c_OFF1)*c_GAIN1,1024)</f>
        <v>1833</v>
      </c>
      <c r="D184" s="7" t="n">
        <f aca="false">IF(((c_T1MX)-(c_T1MN))=0,(0)+QUOTIENT(((1000)-(0)),2),QUOTIENT((((C184)-(c_T1MN))*((1000)-(0))+IF(((1000)-(0))&gt;=0,1,-1)*QUOTIENT(((c_T1MX)-(c_T1MN)),2)),((c_T1MX)-(c_T1MN)))+(0)+IF(((1000)-(0))&gt;=0,IF(IF(o_WRAP=1,MOD(((c_T1MX)-(c_T1MN))*(((C184)-(c_T1MN))*((1000)-(0))+IF(((1000)-(0))&gt;=0,1,-1)*QUOTIENT(((c_T1MX)-(c_T1MN)),2))+2147483648,4294967296)-2147483648,((c_T1MX)-(c_T1MN))*(((C184)-(c_T1MN))*((1000)-(0))+IF(((1000)-(0))&gt;=0,1,-1)*QUOTIENT(((c_T1MX)-(c_T1MN)),2)))&lt;0,-1,0),IF(IF(o_WRAP=1,MOD(((c_T1MX)-(c_T1MN))*(((C184)-(c_T1MN))*((1000)-(0))+IF(((1000)-(0))&gt;=0,1,-1)*QUOTIENT(((c_T1MX)-(c_T1MN)),2))+2147483648,4294967296)-2147483648,((c_T1MX)-(c_T1MN))*(((C184)-(c_T1MN))*((1000)-(0))+IF(((1000)-(0))&gt;=0,1,-1)*QUOTIENT(((c_T1MX)-(c_T1MN)),2)))&gt;=0,1,0)))</f>
        <v>404</v>
      </c>
      <c r="E184" s="7" t="n">
        <f aca="false">IF(AND(c_TPOT=1,c_TTYPE=2),1000-D184,D184)</f>
        <v>404</v>
      </c>
      <c r="F184" s="7" t="str">
        <f aca="false">IF(c_TPOT&gt;1,ROUND(IF(c_TTYPE=2,c_T2MX-IF(c_T1MX=c_T1MN,0,(C184-c_T1MN)/(c_T1MX-c_T1MN))*(c_T2MX-c_T2MN),c_T2MN+IF(c_T1MX=c_T1MN,0,(C184-c_T1MN)/(c_T1MX-c_T1MN))*(c_T2MX-c_T2MN))+o_MISMATCH,0),"")</f>
        <v/>
      </c>
      <c r="G184" s="7" t="str">
        <f aca="false">IF(c_TPOT&gt;1,IF(((c_T2MX)-(c_T2MN))=0,(0)+QUOTIENT(((1000)-(0)),2),QUOTIENT((((F184)-(c_T2MN))*((1000)-(0))+IF(((1000)-(0))&gt;=0,1,-1)*QUOTIENT(((c_T2MX)-(c_T2MN)),2)),((c_T2MX)-(c_T2MN)))+(0)+IF(((1000)-(0))&gt;=0,IF(IF(o_WRAP=1,MOD(((c_T2MX)-(c_T2MN))*(((F184)-(c_T2MN))*((1000)-(0))+IF(((1000)-(0))&gt;=0,1,-1)*QUOTIENT(((c_T2MX)-(c_T2MN)),2))+2147483648,4294967296)-2147483648,((c_T2MX)-(c_T2MN))*(((F184)-(c_T2MN))*((1000)-(0))+IF(((1000)-(0))&gt;=0,1,-1)*QUOTIENT(((c_T2MX)-(c_T2MN)),2)))&lt;0,-1,0),IF(IF(o_WRAP=1,MOD(((c_T2MX)-(c_T2MN))*(((F184)-(c_T2MN))*((1000)-(0))+IF(((1000)-(0))&gt;=0,1,-1)*QUOTIENT(((c_T2MX)-(c_T2MN)),2))+2147483648,4294967296)-2147483648,((c_T2MX)-(c_T2MN))*(((F184)-(c_T2MN))*((1000)-(0))+IF(((1000)-(0))&gt;=0,1,-1)*QUOTIENT(((c_T2MX)-(c_T2MN)),2)))&gt;=0,1,0))),"")</f>
        <v/>
      </c>
      <c r="H184" s="7" t="str">
        <f aca="false">IF(E184&gt;1000+k_TOL,"T1 HIGH",IF(E184&lt;0-k_TOL,"T1 LOW",IF(c_TPOT&gt;1,IF(G184&gt;1000+k_TOL,"T2 HIGH",IF(G184&lt;0-k_TOL,"T2 LOW",IF(c_TTYPE=2,IF(ABS(1000-MAX(0,MIN(1000,E184))-MAX(0,MIN(1000,G184)))&gt;k_MAXERR,"MISMATCH","OK"),IF(OR(MAX(0,MIN(1000,E184))-k_MAXERR&gt;MAX(0,MIN(1000,G184)),MAX(0,MIN(1000,G184))-k_MAXERR&gt;MAX(0,MIN(1000,E184))),"MISMATCH","OK")))),"OK")))</f>
        <v>OK</v>
      </c>
      <c r="I184" s="7" t="n">
        <f aca="false">MAX(0,MIN(1000,D184))</f>
        <v>404</v>
      </c>
      <c r="J184" s="7" t="str">
        <f aca="false">IF(c_TPOT&gt;1,IF(c_TTYPE=2,1000-MAX(0,MIN(1000,G184)),MAX(0,MIN(1000,G184))),"")</f>
        <v/>
      </c>
      <c r="K184" s="7" t="n">
        <f aca="false">IF(c_TPOT&gt;1,QUOTIENT(I184+J184,2),I184)</f>
        <v>404</v>
      </c>
      <c r="L184" s="7" t="n">
        <f aca="false">IF(AND(K184=0,c_TCREEP&gt;0),10*c_TCREEP,IF(AND(K184&lt;=c_TRNGMIN,K184&gt;=c_TRNGMAX,c_TRNGMIN-c_TRNGMAX&lt;&gt;0),-10*c_TMINRN+QUOTIENT((c_TMAXRN-c_TMINRN)*(100-QUOTIENT((K184-c_TRNGMAX)*100,c_TRNGMIN-c_TRNGMAX)),-10),0))</f>
        <v>0</v>
      </c>
      <c r="M184" s="7" t="n">
        <f aca="false">IF(((c_TMAP1IN)-(c_TFWD))=0,(0)+QUOTIENT(((c_TMAP1OUT)-(0)),2),QUOTIENT((((K184)-(c_TFWD))*((c_TMAP1OUT)-(0))+IF(((c_TMAP1OUT)-(0))&gt;=0,1,-1)*QUOTIENT(((c_TMAP1IN)-(c_TFWD)),2)),((c_TMAP1IN)-(c_TFWD)))+(0)+IF(((c_TMAP1OUT)-(0))&gt;=0,IF(IF(o_WRAP=1,MOD(((c_TMAP1IN)-(c_TFWD))*(((K184)-(c_TFWD))*((c_TMAP1OUT)-(0))+IF(((c_TMAP1OUT)-(0))&gt;=0,1,-1)*QUOTIENT(((c_TMAP1IN)-(c_TFWD)),2))+2147483648,4294967296)-2147483648,((c_TMAP1IN)-(c_TFWD))*(((K184)-(c_TFWD))*((c_TMAP1OUT)-(0))+IF(((c_TMAP1OUT)-(0))&gt;=0,1,-1)*QUOTIENT(((c_TMAP1IN)-(c_TFWD)),2)))&lt;0,-1,0),IF(IF(o_WRAP=1,MOD(((c_TMAP1IN)-(c_TFWD))*(((K184)-(c_TFWD))*((c_TMAP1OUT)-(0))+IF(((c_TMAP1OUT)-(0))&gt;=0,1,-1)*QUOTIENT(((c_TMAP1IN)-(c_TFWD)),2))+2147483648,4294967296)-2147483648,((c_TMAP1IN)-(c_TFWD))*(((K184)-(c_TFWD))*((c_TMAP1OUT)-(0))+IF(((c_TMAP1OUT)-(0))&gt;=0,1,-1)*QUOTIENT(((c_TMAP1IN)-(c_TFWD)),2)))&gt;=0,1,0)))</f>
        <v>306</v>
      </c>
      <c r="N184" s="7" t="n">
        <f aca="false">IF(((c_TMAP2IN)-(c_TMAP1IN))=0,(c_TMAP1OUT)+QUOTIENT(((c_TMAP2OUT)-(c_TMAP1OUT)),2),QUOTIENT((((K184)-(c_TMAP1IN))*((c_TMAP2OUT)-(c_TMAP1OUT))+IF(((c_TMAP2OUT)-(c_TMAP1OUT))&gt;=0,1,-1)*QUOTIENT(((c_TMAP2IN)-(c_TMAP1IN)),2)),((c_TMAP2IN)-(c_TMAP1IN)))+(c_TMAP1OUT)+IF(((c_TMAP2OUT)-(c_TMAP1OUT))&gt;=0,IF(IF(o_WRAP=1,MOD(((c_TMAP2IN)-(c_TMAP1IN))*(((K184)-(c_TMAP1IN))*((c_TMAP2OUT)-(c_TMAP1OUT))+IF(((c_TMAP2OUT)-(c_TMAP1OUT))&gt;=0,1,-1)*QUOTIENT(((c_TMAP2IN)-(c_TMAP1IN)),2))+2147483648,4294967296)-2147483648,((c_TMAP2IN)-(c_TMAP1IN))*(((K184)-(c_TMAP1IN))*((c_TMAP2OUT)-(c_TMAP1OUT))+IF(((c_TMAP2OUT)-(c_TMAP1OUT))&gt;=0,1,-1)*QUOTIENT(((c_TMAP2IN)-(c_TMAP1IN)),2)))&lt;0,-1,0),IF(IF(o_WRAP=1,MOD(((c_TMAP2IN)-(c_TMAP1IN))*(((K184)-(c_TMAP1IN))*((c_TMAP2OUT)-(c_TMAP1OUT))+IF(((c_TMAP2OUT)-(c_TMAP1OUT))&gt;=0,1,-1)*QUOTIENT(((c_TMAP2IN)-(c_TMAP1IN)),2))+2147483648,4294967296)-2147483648,((c_TMAP2IN)-(c_TMAP1IN))*(((K184)-(c_TMAP1IN))*((c_TMAP2OUT)-(c_TMAP1OUT))+IF(((c_TMAP2OUT)-(c_TMAP1OUT))&gt;=0,1,-1)*QUOTIENT(((c_TMAP2IN)-(c_TMAP1IN)),2)))&gt;=0,1,0)))</f>
        <v>192</v>
      </c>
      <c r="O184" s="7" t="n">
        <f aca="false">IF(((c_TMAP3IN)-(c_TMAP2IN))=0,(c_TMAP2OUT)+QUOTIENT(((c_TMAP3OUT)-(c_TMAP2OUT)),2),QUOTIENT((((K184)-(c_TMAP2IN))*((c_TMAP3OUT)-(c_TMAP2OUT))+IF(((c_TMAP3OUT)-(c_TMAP2OUT))&gt;=0,1,-1)*QUOTIENT(((c_TMAP3IN)-(c_TMAP2IN)),2)),((c_TMAP3IN)-(c_TMAP2IN)))+(c_TMAP2OUT)+IF(((c_TMAP3OUT)-(c_TMAP2OUT))&gt;=0,IF(IF(o_WRAP=1,MOD(((c_TMAP3IN)-(c_TMAP2IN))*(((K184)-(c_TMAP2IN))*((c_TMAP3OUT)-(c_TMAP2OUT))+IF(((c_TMAP3OUT)-(c_TMAP2OUT))&gt;=0,1,-1)*QUOTIENT(((c_TMAP3IN)-(c_TMAP2IN)),2))+2147483648,4294967296)-2147483648,((c_TMAP3IN)-(c_TMAP2IN))*(((K184)-(c_TMAP2IN))*((c_TMAP3OUT)-(c_TMAP2OUT))+IF(((c_TMAP3OUT)-(c_TMAP2OUT))&gt;=0,1,-1)*QUOTIENT(((c_TMAP3IN)-(c_TMAP2IN)),2)))&lt;0,-1,0),IF(IF(o_WRAP=1,MOD(((c_TMAP3IN)-(c_TMAP2IN))*(((K184)-(c_TMAP2IN))*((c_TMAP3OUT)-(c_TMAP2OUT))+IF(((c_TMAP3OUT)-(c_TMAP2OUT))&gt;=0,1,-1)*QUOTIENT(((c_TMAP3IN)-(c_TMAP2IN)),2))+2147483648,4294967296)-2147483648,((c_TMAP3IN)-(c_TMAP2IN))*(((K184)-(c_TMAP2IN))*((c_TMAP3OUT)-(c_TMAP2OUT))+IF(((c_TMAP3OUT)-(c_TMAP2OUT))&gt;=0,1,-1)*QUOTIENT(((c_TMAP3IN)-(c_TMAP2IN)),2)))&gt;=0,1,0)))</f>
        <v>238</v>
      </c>
      <c r="P184" s="7" t="n">
        <f aca="false">IF(((1000)-(c_TMAP3IN))=0,(c_TMAP3OUT)+QUOTIENT(((1000)-(c_TMAP3OUT)),2),QUOTIENT((((K184)-(c_TMAP3IN))*((1000)-(c_TMAP3OUT))+IF(((1000)-(c_TMAP3OUT))&gt;=0,1,-1)*QUOTIENT(((1000)-(c_TMAP3IN)),2)),((1000)-(c_TMAP3IN)))+(c_TMAP3OUT)+IF(((1000)-(c_TMAP3OUT))&gt;=0,IF(IF(o_WRAP=1,MOD(((1000)-(c_TMAP3IN))*(((K184)-(c_TMAP3IN))*((1000)-(c_TMAP3OUT))+IF(((1000)-(c_TMAP3OUT))&gt;=0,1,-1)*QUOTIENT(((1000)-(c_TMAP3IN)),2))+2147483648,4294967296)-2147483648,((1000)-(c_TMAP3IN))*(((K184)-(c_TMAP3IN))*((1000)-(c_TMAP3OUT))+IF(((1000)-(c_TMAP3OUT))&gt;=0,1,-1)*QUOTIENT(((1000)-(c_TMAP3IN)),2)))&lt;0,-1,0),IF(IF(o_WRAP=1,MOD(((1000)-(c_TMAP3IN))*(((K184)-(c_TMAP3IN))*((1000)-(c_TMAP3OUT))+IF(((1000)-(c_TMAP3OUT))&gt;=0,1,-1)*QUOTIENT(((1000)-(c_TMAP3IN)),2))+2147483648,4294967296)-2147483648,((1000)-(c_TMAP3IN))*(((K184)-(c_TMAP3IN))*((1000)-(c_TMAP3OUT))+IF(((1000)-(c_TMAP3OUT))&gt;=0,1,-1)*QUOTIENT(((1000)-(c_TMAP3IN)),2)))&gt;=0,1,0)))</f>
        <v>266</v>
      </c>
      <c r="Q184" s="7" t="str">
        <f aca="false">IF(K184&gt;=c_TFWD,IF(AND(K184&gt;=c_TMAP3IN,c_TMAP3IN&lt;1000),"Seg4 map3-100%",IF(AND(K184&gt;=c_TMAP2IN,c_TMAP3IN&gt;c_TMAP2IN),"Seg3 map2-map3",IF(AND(K184&gt;=c_TMAP1IN,c_TMAP2IN&gt;c_TMAP1IN),"Seg2 map1-map2","Seg1 TFWD-map1"))),IF(AND(K184=0,c_TCREEP&gt;0),"Creep",IF(AND(K184&lt;=c_TRNGMIN,K184&gt;=c_TRNGMAX,c_TRNGMIN-c_TRNGMAX&lt;&gt;0),"Regen ramp","Coast (0)")))</f>
        <v>Seg4 map3-100%</v>
      </c>
      <c r="R184" s="7" t="n">
        <f aca="false">IF(K184&gt;=c_TFWD,IF(AND(K184&gt;=c_TMAP3IN,c_TMAP3IN&lt;1000),P184,IF(AND(K184&gt;=c_TMAP2IN,c_TMAP3IN&gt;c_TMAP2IN),O184,IF(AND(K184&gt;=c_TMAP1IN,c_TMAP2IN&gt;c_TMAP1IN),N184,M184))),L184)</f>
        <v>266</v>
      </c>
      <c r="S184" s="7" t="str">
        <f aca="false">IF(R184&lt;-1090,"TOO LOW",IF(R184&gt;1090,"TOO HIGH",""))</f>
        <v/>
      </c>
      <c r="T184" s="15" t="n">
        <f aca="false">IF(H184&lt;&gt;"OK",0,IF(S184&lt;&gt;"",0,IF(R184&gt;979,1000,R184)))</f>
        <v>266</v>
      </c>
      <c r="U184" s="7" t="n">
        <f aca="false">T184/10</f>
        <v>26.6</v>
      </c>
    </row>
    <row r="185" customFormat="false" ht="15" hidden="false" customHeight="false" outlineLevel="0" collapsed="false">
      <c r="A185" s="7" t="n">
        <v>180</v>
      </c>
      <c r="B185" s="7" t="n">
        <f aca="false">ROUND(o_SWSTART+A185*(o_SWEND-o_SWSTART)/400,0)</f>
        <v>1843</v>
      </c>
      <c r="C185" s="7" t="n">
        <f aca="false">QUOTIENT((B185-c_OFF1)*c_GAIN1,1024)</f>
        <v>1843</v>
      </c>
      <c r="D185" s="7" t="n">
        <f aca="false">IF(((c_T1MX)-(c_T1MN))=0,(0)+QUOTIENT(((1000)-(0)),2),QUOTIENT((((C185)-(c_T1MN))*((1000)-(0))+IF(((1000)-(0))&gt;=0,1,-1)*QUOTIENT(((c_T1MX)-(c_T1MN)),2)),((c_T1MX)-(c_T1MN)))+(0)+IF(((1000)-(0))&gt;=0,IF(IF(o_WRAP=1,MOD(((c_T1MX)-(c_T1MN))*(((C185)-(c_T1MN))*((1000)-(0))+IF(((1000)-(0))&gt;=0,1,-1)*QUOTIENT(((c_T1MX)-(c_T1MN)),2))+2147483648,4294967296)-2147483648,((c_T1MX)-(c_T1MN))*(((C185)-(c_T1MN))*((1000)-(0))+IF(((1000)-(0))&gt;=0,1,-1)*QUOTIENT(((c_T1MX)-(c_T1MN)),2)))&lt;0,-1,0),IF(IF(o_WRAP=1,MOD(((c_T1MX)-(c_T1MN))*(((C185)-(c_T1MN))*((1000)-(0))+IF(((1000)-(0))&gt;=0,1,-1)*QUOTIENT(((c_T1MX)-(c_T1MN)),2))+2147483648,4294967296)-2147483648,((c_T1MX)-(c_T1MN))*(((C185)-(c_T1MN))*((1000)-(0))+IF(((1000)-(0))&gt;=0,1,-1)*QUOTIENT(((c_T1MX)-(c_T1MN)),2)))&gt;=0,1,0)))</f>
        <v>407</v>
      </c>
      <c r="E185" s="7" t="n">
        <f aca="false">IF(AND(c_TPOT=1,c_TTYPE=2),1000-D185,D185)</f>
        <v>407</v>
      </c>
      <c r="F185" s="7" t="str">
        <f aca="false">IF(c_TPOT&gt;1,ROUND(IF(c_TTYPE=2,c_T2MX-IF(c_T1MX=c_T1MN,0,(C185-c_T1MN)/(c_T1MX-c_T1MN))*(c_T2MX-c_T2MN),c_T2MN+IF(c_T1MX=c_T1MN,0,(C185-c_T1MN)/(c_T1MX-c_T1MN))*(c_T2MX-c_T2MN))+o_MISMATCH,0),"")</f>
        <v/>
      </c>
      <c r="G185" s="7" t="str">
        <f aca="false">IF(c_TPOT&gt;1,IF(((c_T2MX)-(c_T2MN))=0,(0)+QUOTIENT(((1000)-(0)),2),QUOTIENT((((F185)-(c_T2MN))*((1000)-(0))+IF(((1000)-(0))&gt;=0,1,-1)*QUOTIENT(((c_T2MX)-(c_T2MN)),2)),((c_T2MX)-(c_T2MN)))+(0)+IF(((1000)-(0))&gt;=0,IF(IF(o_WRAP=1,MOD(((c_T2MX)-(c_T2MN))*(((F185)-(c_T2MN))*((1000)-(0))+IF(((1000)-(0))&gt;=0,1,-1)*QUOTIENT(((c_T2MX)-(c_T2MN)),2))+2147483648,4294967296)-2147483648,((c_T2MX)-(c_T2MN))*(((F185)-(c_T2MN))*((1000)-(0))+IF(((1000)-(0))&gt;=0,1,-1)*QUOTIENT(((c_T2MX)-(c_T2MN)),2)))&lt;0,-1,0),IF(IF(o_WRAP=1,MOD(((c_T2MX)-(c_T2MN))*(((F185)-(c_T2MN))*((1000)-(0))+IF(((1000)-(0))&gt;=0,1,-1)*QUOTIENT(((c_T2MX)-(c_T2MN)),2))+2147483648,4294967296)-2147483648,((c_T2MX)-(c_T2MN))*(((F185)-(c_T2MN))*((1000)-(0))+IF(((1000)-(0))&gt;=0,1,-1)*QUOTIENT(((c_T2MX)-(c_T2MN)),2)))&gt;=0,1,0))),"")</f>
        <v/>
      </c>
      <c r="H185" s="7" t="str">
        <f aca="false">IF(E185&gt;1000+k_TOL,"T1 HIGH",IF(E185&lt;0-k_TOL,"T1 LOW",IF(c_TPOT&gt;1,IF(G185&gt;1000+k_TOL,"T2 HIGH",IF(G185&lt;0-k_TOL,"T2 LOW",IF(c_TTYPE=2,IF(ABS(1000-MAX(0,MIN(1000,E185))-MAX(0,MIN(1000,G185)))&gt;k_MAXERR,"MISMATCH","OK"),IF(OR(MAX(0,MIN(1000,E185))-k_MAXERR&gt;MAX(0,MIN(1000,G185)),MAX(0,MIN(1000,G185))-k_MAXERR&gt;MAX(0,MIN(1000,E185))),"MISMATCH","OK")))),"OK")))</f>
        <v>OK</v>
      </c>
      <c r="I185" s="7" t="n">
        <f aca="false">MAX(0,MIN(1000,D185))</f>
        <v>407</v>
      </c>
      <c r="J185" s="7" t="str">
        <f aca="false">IF(c_TPOT&gt;1,IF(c_TTYPE=2,1000-MAX(0,MIN(1000,G185)),MAX(0,MIN(1000,G185))),"")</f>
        <v/>
      </c>
      <c r="K185" s="7" t="n">
        <f aca="false">IF(c_TPOT&gt;1,QUOTIENT(I185+J185,2),I185)</f>
        <v>407</v>
      </c>
      <c r="L185" s="7" t="n">
        <f aca="false">IF(AND(K185=0,c_TCREEP&gt;0),10*c_TCREEP,IF(AND(K185&lt;=c_TRNGMIN,K185&gt;=c_TRNGMAX,c_TRNGMIN-c_TRNGMAX&lt;&gt;0),-10*c_TMINRN+QUOTIENT((c_TMAXRN-c_TMINRN)*(100-QUOTIENT((K185-c_TRNGMAX)*100,c_TRNGMIN-c_TRNGMAX)),-10),0))</f>
        <v>0</v>
      </c>
      <c r="M185" s="7" t="n">
        <f aca="false">IF(((c_TMAP1IN)-(c_TFWD))=0,(0)+QUOTIENT(((c_TMAP1OUT)-(0)),2),QUOTIENT((((K185)-(c_TFWD))*((c_TMAP1OUT)-(0))+IF(((c_TMAP1OUT)-(0))&gt;=0,1,-1)*QUOTIENT(((c_TMAP1IN)-(c_TFWD)),2)),((c_TMAP1IN)-(c_TFWD)))+(0)+IF(((c_TMAP1OUT)-(0))&gt;=0,IF(IF(o_WRAP=1,MOD(((c_TMAP1IN)-(c_TFWD))*(((K185)-(c_TFWD))*((c_TMAP1OUT)-(0))+IF(((c_TMAP1OUT)-(0))&gt;=0,1,-1)*QUOTIENT(((c_TMAP1IN)-(c_TFWD)),2))+2147483648,4294967296)-2147483648,((c_TMAP1IN)-(c_TFWD))*(((K185)-(c_TFWD))*((c_TMAP1OUT)-(0))+IF(((c_TMAP1OUT)-(0))&gt;=0,1,-1)*QUOTIENT(((c_TMAP1IN)-(c_TFWD)),2)))&lt;0,-1,0),IF(IF(o_WRAP=1,MOD(((c_TMAP1IN)-(c_TFWD))*(((K185)-(c_TFWD))*((c_TMAP1OUT)-(0))+IF(((c_TMAP1OUT)-(0))&gt;=0,1,-1)*QUOTIENT(((c_TMAP1IN)-(c_TFWD)),2))+2147483648,4294967296)-2147483648,((c_TMAP1IN)-(c_TFWD))*(((K185)-(c_TFWD))*((c_TMAP1OUT)-(0))+IF(((c_TMAP1OUT)-(0))&gt;=0,1,-1)*QUOTIENT(((c_TMAP1IN)-(c_TFWD)),2)))&gt;=0,1,0)))</f>
        <v>309</v>
      </c>
      <c r="N185" s="7" t="n">
        <f aca="false">IF(((c_TMAP2IN)-(c_TMAP1IN))=0,(c_TMAP1OUT)+QUOTIENT(((c_TMAP2OUT)-(c_TMAP1OUT)),2),QUOTIENT((((K185)-(c_TMAP1IN))*((c_TMAP2OUT)-(c_TMAP1OUT))+IF(((c_TMAP2OUT)-(c_TMAP1OUT))&gt;=0,1,-1)*QUOTIENT(((c_TMAP2IN)-(c_TMAP1IN)),2)),((c_TMAP2IN)-(c_TMAP1IN)))+(c_TMAP1OUT)+IF(((c_TMAP2OUT)-(c_TMAP1OUT))&gt;=0,IF(IF(o_WRAP=1,MOD(((c_TMAP2IN)-(c_TMAP1IN))*(((K185)-(c_TMAP1IN))*((c_TMAP2OUT)-(c_TMAP1OUT))+IF(((c_TMAP2OUT)-(c_TMAP1OUT))&gt;=0,1,-1)*QUOTIENT(((c_TMAP2IN)-(c_TMAP1IN)),2))+2147483648,4294967296)-2147483648,((c_TMAP2IN)-(c_TMAP1IN))*(((K185)-(c_TMAP1IN))*((c_TMAP2OUT)-(c_TMAP1OUT))+IF(((c_TMAP2OUT)-(c_TMAP1OUT))&gt;=0,1,-1)*QUOTIENT(((c_TMAP2IN)-(c_TMAP1IN)),2)))&lt;0,-1,0),IF(IF(o_WRAP=1,MOD(((c_TMAP2IN)-(c_TMAP1IN))*(((K185)-(c_TMAP1IN))*((c_TMAP2OUT)-(c_TMAP1OUT))+IF(((c_TMAP2OUT)-(c_TMAP1OUT))&gt;=0,1,-1)*QUOTIENT(((c_TMAP2IN)-(c_TMAP1IN)),2))+2147483648,4294967296)-2147483648,((c_TMAP2IN)-(c_TMAP1IN))*(((K185)-(c_TMAP1IN))*((c_TMAP2OUT)-(c_TMAP1OUT))+IF(((c_TMAP2OUT)-(c_TMAP1OUT))&gt;=0,1,-1)*QUOTIENT(((c_TMAP2IN)-(c_TMAP1IN)),2)))&gt;=0,1,0)))</f>
        <v>193</v>
      </c>
      <c r="O185" s="7" t="n">
        <f aca="false">IF(((c_TMAP3IN)-(c_TMAP2IN))=0,(c_TMAP2OUT)+QUOTIENT(((c_TMAP3OUT)-(c_TMAP2OUT)),2),QUOTIENT((((K185)-(c_TMAP2IN))*((c_TMAP3OUT)-(c_TMAP2OUT))+IF(((c_TMAP3OUT)-(c_TMAP2OUT))&gt;=0,1,-1)*QUOTIENT(((c_TMAP3IN)-(c_TMAP2IN)),2)),((c_TMAP3IN)-(c_TMAP2IN)))+(c_TMAP2OUT)+IF(((c_TMAP3OUT)-(c_TMAP2OUT))&gt;=0,IF(IF(o_WRAP=1,MOD(((c_TMAP3IN)-(c_TMAP2IN))*(((K185)-(c_TMAP2IN))*((c_TMAP3OUT)-(c_TMAP2OUT))+IF(((c_TMAP3OUT)-(c_TMAP2OUT))&gt;=0,1,-1)*QUOTIENT(((c_TMAP3IN)-(c_TMAP2IN)),2))+2147483648,4294967296)-2147483648,((c_TMAP3IN)-(c_TMAP2IN))*(((K185)-(c_TMAP2IN))*((c_TMAP3OUT)-(c_TMAP2OUT))+IF(((c_TMAP3OUT)-(c_TMAP2OUT))&gt;=0,1,-1)*QUOTIENT(((c_TMAP3IN)-(c_TMAP2IN)),2)))&lt;0,-1,0),IF(IF(o_WRAP=1,MOD(((c_TMAP3IN)-(c_TMAP2IN))*(((K185)-(c_TMAP2IN))*((c_TMAP3OUT)-(c_TMAP2OUT))+IF(((c_TMAP3OUT)-(c_TMAP2OUT))&gt;=0,1,-1)*QUOTIENT(((c_TMAP3IN)-(c_TMAP2IN)),2))+2147483648,4294967296)-2147483648,((c_TMAP3IN)-(c_TMAP2IN))*(((K185)-(c_TMAP2IN))*((c_TMAP3OUT)-(c_TMAP2OUT))+IF(((c_TMAP3OUT)-(c_TMAP2OUT))&gt;=0,1,-1)*QUOTIENT(((c_TMAP3IN)-(c_TMAP2IN)),2)))&gt;=0,1,0)))</f>
        <v>240</v>
      </c>
      <c r="P185" s="7" t="n">
        <f aca="false">IF(((1000)-(c_TMAP3IN))=0,(c_TMAP3OUT)+QUOTIENT(((1000)-(c_TMAP3OUT)),2),QUOTIENT((((K185)-(c_TMAP3IN))*((1000)-(c_TMAP3OUT))+IF(((1000)-(c_TMAP3OUT))&gt;=0,1,-1)*QUOTIENT(((1000)-(c_TMAP3IN)),2)),((1000)-(c_TMAP3IN)))+(c_TMAP3OUT)+IF(((1000)-(c_TMAP3OUT))&gt;=0,IF(IF(o_WRAP=1,MOD(((1000)-(c_TMAP3IN))*(((K185)-(c_TMAP3IN))*((1000)-(c_TMAP3OUT))+IF(((1000)-(c_TMAP3OUT))&gt;=0,1,-1)*QUOTIENT(((1000)-(c_TMAP3IN)),2))+2147483648,4294967296)-2147483648,((1000)-(c_TMAP3IN))*(((K185)-(c_TMAP3IN))*((1000)-(c_TMAP3OUT))+IF(((1000)-(c_TMAP3OUT))&gt;=0,1,-1)*QUOTIENT(((1000)-(c_TMAP3IN)),2)))&lt;0,-1,0),IF(IF(o_WRAP=1,MOD(((1000)-(c_TMAP3IN))*(((K185)-(c_TMAP3IN))*((1000)-(c_TMAP3OUT))+IF(((1000)-(c_TMAP3OUT))&gt;=0,1,-1)*QUOTIENT(((1000)-(c_TMAP3IN)),2))+2147483648,4294967296)-2147483648,((1000)-(c_TMAP3IN))*(((K185)-(c_TMAP3IN))*((1000)-(c_TMAP3OUT))+IF(((1000)-(c_TMAP3OUT))&gt;=0,1,-1)*QUOTIENT(((1000)-(c_TMAP3IN)),2)))&gt;=0,1,0)))</f>
        <v>270</v>
      </c>
      <c r="Q185" s="7" t="str">
        <f aca="false">IF(K185&gt;=c_TFWD,IF(AND(K185&gt;=c_TMAP3IN,c_TMAP3IN&lt;1000),"Seg4 map3-100%",IF(AND(K185&gt;=c_TMAP2IN,c_TMAP3IN&gt;c_TMAP2IN),"Seg3 map2-map3",IF(AND(K185&gt;=c_TMAP1IN,c_TMAP2IN&gt;c_TMAP1IN),"Seg2 map1-map2","Seg1 TFWD-map1"))),IF(AND(K185=0,c_TCREEP&gt;0),"Creep",IF(AND(K185&lt;=c_TRNGMIN,K185&gt;=c_TRNGMAX,c_TRNGMIN-c_TRNGMAX&lt;&gt;0),"Regen ramp","Coast (0)")))</f>
        <v>Seg4 map3-100%</v>
      </c>
      <c r="R185" s="7" t="n">
        <f aca="false">IF(K185&gt;=c_TFWD,IF(AND(K185&gt;=c_TMAP3IN,c_TMAP3IN&lt;1000),P185,IF(AND(K185&gt;=c_TMAP2IN,c_TMAP3IN&gt;c_TMAP2IN),O185,IF(AND(K185&gt;=c_TMAP1IN,c_TMAP2IN&gt;c_TMAP1IN),N185,M185))),L185)</f>
        <v>270</v>
      </c>
      <c r="S185" s="7" t="str">
        <f aca="false">IF(R185&lt;-1090,"TOO LOW",IF(R185&gt;1090,"TOO HIGH",""))</f>
        <v/>
      </c>
      <c r="T185" s="15" t="n">
        <f aca="false">IF(H185&lt;&gt;"OK",0,IF(S185&lt;&gt;"",0,IF(R185&gt;979,1000,R185)))</f>
        <v>270</v>
      </c>
      <c r="U185" s="7" t="n">
        <f aca="false">T185/10</f>
        <v>27</v>
      </c>
    </row>
    <row r="186" customFormat="false" ht="15" hidden="false" customHeight="false" outlineLevel="0" collapsed="false">
      <c r="A186" s="7" t="n">
        <v>181</v>
      </c>
      <c r="B186" s="7" t="n">
        <f aca="false">ROUND(o_SWSTART+A186*(o_SWEND-o_SWSTART)/400,0)</f>
        <v>1853</v>
      </c>
      <c r="C186" s="7" t="n">
        <f aca="false">QUOTIENT((B186-c_OFF1)*c_GAIN1,1024)</f>
        <v>1853</v>
      </c>
      <c r="D186" s="7" t="n">
        <f aca="false">IF(((c_T1MX)-(c_T1MN))=0,(0)+QUOTIENT(((1000)-(0)),2),QUOTIENT((((C186)-(c_T1MN))*((1000)-(0))+IF(((1000)-(0))&gt;=0,1,-1)*QUOTIENT(((c_T1MX)-(c_T1MN)),2)),((c_T1MX)-(c_T1MN)))+(0)+IF(((1000)-(0))&gt;=0,IF(IF(o_WRAP=1,MOD(((c_T1MX)-(c_T1MN))*(((C186)-(c_T1MN))*((1000)-(0))+IF(((1000)-(0))&gt;=0,1,-1)*QUOTIENT(((c_T1MX)-(c_T1MN)),2))+2147483648,4294967296)-2147483648,((c_T1MX)-(c_T1MN))*(((C186)-(c_T1MN))*((1000)-(0))+IF(((1000)-(0))&gt;=0,1,-1)*QUOTIENT(((c_T1MX)-(c_T1MN)),2)))&lt;0,-1,0),IF(IF(o_WRAP=1,MOD(((c_T1MX)-(c_T1MN))*(((C186)-(c_T1MN))*((1000)-(0))+IF(((1000)-(0))&gt;=0,1,-1)*QUOTIENT(((c_T1MX)-(c_T1MN)),2))+2147483648,4294967296)-2147483648,((c_T1MX)-(c_T1MN))*(((C186)-(c_T1MN))*((1000)-(0))+IF(((1000)-(0))&gt;=0,1,-1)*QUOTIENT(((c_T1MX)-(c_T1MN)),2)))&gt;=0,1,0)))</f>
        <v>411</v>
      </c>
      <c r="E186" s="7" t="n">
        <f aca="false">IF(AND(c_TPOT=1,c_TTYPE=2),1000-D186,D186)</f>
        <v>411</v>
      </c>
      <c r="F186" s="7" t="str">
        <f aca="false">IF(c_TPOT&gt;1,ROUND(IF(c_TTYPE=2,c_T2MX-IF(c_T1MX=c_T1MN,0,(C186-c_T1MN)/(c_T1MX-c_T1MN))*(c_T2MX-c_T2MN),c_T2MN+IF(c_T1MX=c_T1MN,0,(C186-c_T1MN)/(c_T1MX-c_T1MN))*(c_T2MX-c_T2MN))+o_MISMATCH,0),"")</f>
        <v/>
      </c>
      <c r="G186" s="7" t="str">
        <f aca="false">IF(c_TPOT&gt;1,IF(((c_T2MX)-(c_T2MN))=0,(0)+QUOTIENT(((1000)-(0)),2),QUOTIENT((((F186)-(c_T2MN))*((1000)-(0))+IF(((1000)-(0))&gt;=0,1,-1)*QUOTIENT(((c_T2MX)-(c_T2MN)),2)),((c_T2MX)-(c_T2MN)))+(0)+IF(((1000)-(0))&gt;=0,IF(IF(o_WRAP=1,MOD(((c_T2MX)-(c_T2MN))*(((F186)-(c_T2MN))*((1000)-(0))+IF(((1000)-(0))&gt;=0,1,-1)*QUOTIENT(((c_T2MX)-(c_T2MN)),2))+2147483648,4294967296)-2147483648,((c_T2MX)-(c_T2MN))*(((F186)-(c_T2MN))*((1000)-(0))+IF(((1000)-(0))&gt;=0,1,-1)*QUOTIENT(((c_T2MX)-(c_T2MN)),2)))&lt;0,-1,0),IF(IF(o_WRAP=1,MOD(((c_T2MX)-(c_T2MN))*(((F186)-(c_T2MN))*((1000)-(0))+IF(((1000)-(0))&gt;=0,1,-1)*QUOTIENT(((c_T2MX)-(c_T2MN)),2))+2147483648,4294967296)-2147483648,((c_T2MX)-(c_T2MN))*(((F186)-(c_T2MN))*((1000)-(0))+IF(((1000)-(0))&gt;=0,1,-1)*QUOTIENT(((c_T2MX)-(c_T2MN)),2)))&gt;=0,1,0))),"")</f>
        <v/>
      </c>
      <c r="H186" s="7" t="str">
        <f aca="false">IF(E186&gt;1000+k_TOL,"T1 HIGH",IF(E186&lt;0-k_TOL,"T1 LOW",IF(c_TPOT&gt;1,IF(G186&gt;1000+k_TOL,"T2 HIGH",IF(G186&lt;0-k_TOL,"T2 LOW",IF(c_TTYPE=2,IF(ABS(1000-MAX(0,MIN(1000,E186))-MAX(0,MIN(1000,G186)))&gt;k_MAXERR,"MISMATCH","OK"),IF(OR(MAX(0,MIN(1000,E186))-k_MAXERR&gt;MAX(0,MIN(1000,G186)),MAX(0,MIN(1000,G186))-k_MAXERR&gt;MAX(0,MIN(1000,E186))),"MISMATCH","OK")))),"OK")))</f>
        <v>OK</v>
      </c>
      <c r="I186" s="7" t="n">
        <f aca="false">MAX(0,MIN(1000,D186))</f>
        <v>411</v>
      </c>
      <c r="J186" s="7" t="str">
        <f aca="false">IF(c_TPOT&gt;1,IF(c_TTYPE=2,1000-MAX(0,MIN(1000,G186)),MAX(0,MIN(1000,G186))),"")</f>
        <v/>
      </c>
      <c r="K186" s="7" t="n">
        <f aca="false">IF(c_TPOT&gt;1,QUOTIENT(I186+J186,2),I186)</f>
        <v>411</v>
      </c>
      <c r="L186" s="7" t="n">
        <f aca="false">IF(AND(K186=0,c_TCREEP&gt;0),10*c_TCREEP,IF(AND(K186&lt;=c_TRNGMIN,K186&gt;=c_TRNGMAX,c_TRNGMIN-c_TRNGMAX&lt;&gt;0),-10*c_TMINRN+QUOTIENT((c_TMAXRN-c_TMINRN)*(100-QUOTIENT((K186-c_TRNGMAX)*100,c_TRNGMIN-c_TRNGMAX)),-10),0))</f>
        <v>0</v>
      </c>
      <c r="M186" s="7" t="n">
        <f aca="false">IF(((c_TMAP1IN)-(c_TFWD))=0,(0)+QUOTIENT(((c_TMAP1OUT)-(0)),2),QUOTIENT((((K186)-(c_TFWD))*((c_TMAP1OUT)-(0))+IF(((c_TMAP1OUT)-(0))&gt;=0,1,-1)*QUOTIENT(((c_TMAP1IN)-(c_TFWD)),2)),((c_TMAP1IN)-(c_TFWD)))+(0)+IF(((c_TMAP1OUT)-(0))&gt;=0,IF(IF(o_WRAP=1,MOD(((c_TMAP1IN)-(c_TFWD))*(((K186)-(c_TFWD))*((c_TMAP1OUT)-(0))+IF(((c_TMAP1OUT)-(0))&gt;=0,1,-1)*QUOTIENT(((c_TMAP1IN)-(c_TFWD)),2))+2147483648,4294967296)-2147483648,((c_TMAP1IN)-(c_TFWD))*(((K186)-(c_TFWD))*((c_TMAP1OUT)-(0))+IF(((c_TMAP1OUT)-(0))&gt;=0,1,-1)*QUOTIENT(((c_TMAP1IN)-(c_TFWD)),2)))&lt;0,-1,0),IF(IF(o_WRAP=1,MOD(((c_TMAP1IN)-(c_TFWD))*(((K186)-(c_TFWD))*((c_TMAP1OUT)-(0))+IF(((c_TMAP1OUT)-(0))&gt;=0,1,-1)*QUOTIENT(((c_TMAP1IN)-(c_TFWD)),2))+2147483648,4294967296)-2147483648,((c_TMAP1IN)-(c_TFWD))*(((K186)-(c_TFWD))*((c_TMAP1OUT)-(0))+IF(((c_TMAP1OUT)-(0))&gt;=0,1,-1)*QUOTIENT(((c_TMAP1IN)-(c_TFWD)),2)))&gt;=0,1,0)))</f>
        <v>312</v>
      </c>
      <c r="N186" s="7" t="n">
        <f aca="false">IF(((c_TMAP2IN)-(c_TMAP1IN))=0,(c_TMAP1OUT)+QUOTIENT(((c_TMAP2OUT)-(c_TMAP1OUT)),2),QUOTIENT((((K186)-(c_TMAP1IN))*((c_TMAP2OUT)-(c_TMAP1OUT))+IF(((c_TMAP2OUT)-(c_TMAP1OUT))&gt;=0,1,-1)*QUOTIENT(((c_TMAP2IN)-(c_TMAP1IN)),2)),((c_TMAP2IN)-(c_TMAP1IN)))+(c_TMAP1OUT)+IF(((c_TMAP2OUT)-(c_TMAP1OUT))&gt;=0,IF(IF(o_WRAP=1,MOD(((c_TMAP2IN)-(c_TMAP1IN))*(((K186)-(c_TMAP1IN))*((c_TMAP2OUT)-(c_TMAP1OUT))+IF(((c_TMAP2OUT)-(c_TMAP1OUT))&gt;=0,1,-1)*QUOTIENT(((c_TMAP2IN)-(c_TMAP1IN)),2))+2147483648,4294967296)-2147483648,((c_TMAP2IN)-(c_TMAP1IN))*(((K186)-(c_TMAP1IN))*((c_TMAP2OUT)-(c_TMAP1OUT))+IF(((c_TMAP2OUT)-(c_TMAP1OUT))&gt;=0,1,-1)*QUOTIENT(((c_TMAP2IN)-(c_TMAP1IN)),2)))&lt;0,-1,0),IF(IF(o_WRAP=1,MOD(((c_TMAP2IN)-(c_TMAP1IN))*(((K186)-(c_TMAP1IN))*((c_TMAP2OUT)-(c_TMAP1OUT))+IF(((c_TMAP2OUT)-(c_TMAP1OUT))&gt;=0,1,-1)*QUOTIENT(((c_TMAP2IN)-(c_TMAP1IN)),2))+2147483648,4294967296)-2147483648,((c_TMAP2IN)-(c_TMAP1IN))*(((K186)-(c_TMAP1IN))*((c_TMAP2OUT)-(c_TMAP1OUT))+IF(((c_TMAP2OUT)-(c_TMAP1OUT))&gt;=0,1,-1)*QUOTIENT(((c_TMAP2IN)-(c_TMAP1IN)),2)))&gt;=0,1,0)))</f>
        <v>194</v>
      </c>
      <c r="O186" s="7" t="n">
        <f aca="false">IF(((c_TMAP3IN)-(c_TMAP2IN))=0,(c_TMAP2OUT)+QUOTIENT(((c_TMAP3OUT)-(c_TMAP2OUT)),2),QUOTIENT((((K186)-(c_TMAP2IN))*((c_TMAP3OUT)-(c_TMAP2OUT))+IF(((c_TMAP3OUT)-(c_TMAP2OUT))&gt;=0,1,-1)*QUOTIENT(((c_TMAP3IN)-(c_TMAP2IN)),2)),((c_TMAP3IN)-(c_TMAP2IN)))+(c_TMAP2OUT)+IF(((c_TMAP3OUT)-(c_TMAP2OUT))&gt;=0,IF(IF(o_WRAP=1,MOD(((c_TMAP3IN)-(c_TMAP2IN))*(((K186)-(c_TMAP2IN))*((c_TMAP3OUT)-(c_TMAP2OUT))+IF(((c_TMAP3OUT)-(c_TMAP2OUT))&gt;=0,1,-1)*QUOTIENT(((c_TMAP3IN)-(c_TMAP2IN)),2))+2147483648,4294967296)-2147483648,((c_TMAP3IN)-(c_TMAP2IN))*(((K186)-(c_TMAP2IN))*((c_TMAP3OUT)-(c_TMAP2OUT))+IF(((c_TMAP3OUT)-(c_TMAP2OUT))&gt;=0,1,-1)*QUOTIENT(((c_TMAP3IN)-(c_TMAP2IN)),2)))&lt;0,-1,0),IF(IF(o_WRAP=1,MOD(((c_TMAP3IN)-(c_TMAP2IN))*(((K186)-(c_TMAP2IN))*((c_TMAP3OUT)-(c_TMAP2OUT))+IF(((c_TMAP3OUT)-(c_TMAP2OUT))&gt;=0,1,-1)*QUOTIENT(((c_TMAP3IN)-(c_TMAP2IN)),2))+2147483648,4294967296)-2147483648,((c_TMAP3IN)-(c_TMAP2IN))*(((K186)-(c_TMAP2IN))*((c_TMAP3OUT)-(c_TMAP2OUT))+IF(((c_TMAP3OUT)-(c_TMAP2OUT))&gt;=0,1,-1)*QUOTIENT(((c_TMAP3IN)-(c_TMAP2IN)),2)))&gt;=0,1,0)))</f>
        <v>243</v>
      </c>
      <c r="P186" s="7" t="n">
        <f aca="false">IF(((1000)-(c_TMAP3IN))=0,(c_TMAP3OUT)+QUOTIENT(((1000)-(c_TMAP3OUT)),2),QUOTIENT((((K186)-(c_TMAP3IN))*((1000)-(c_TMAP3OUT))+IF(((1000)-(c_TMAP3OUT))&gt;=0,1,-1)*QUOTIENT(((1000)-(c_TMAP3IN)),2)),((1000)-(c_TMAP3IN)))+(c_TMAP3OUT)+IF(((1000)-(c_TMAP3OUT))&gt;=0,IF(IF(o_WRAP=1,MOD(((1000)-(c_TMAP3IN))*(((K186)-(c_TMAP3IN))*((1000)-(c_TMAP3OUT))+IF(((1000)-(c_TMAP3OUT))&gt;=0,1,-1)*QUOTIENT(((1000)-(c_TMAP3IN)),2))+2147483648,4294967296)-2147483648,((1000)-(c_TMAP3IN))*(((K186)-(c_TMAP3IN))*((1000)-(c_TMAP3OUT))+IF(((1000)-(c_TMAP3OUT))&gt;=0,1,-1)*QUOTIENT(((1000)-(c_TMAP3IN)),2)))&lt;0,-1,0),IF(IF(o_WRAP=1,MOD(((1000)-(c_TMAP3IN))*(((K186)-(c_TMAP3IN))*((1000)-(c_TMAP3OUT))+IF(((1000)-(c_TMAP3OUT))&gt;=0,1,-1)*QUOTIENT(((1000)-(c_TMAP3IN)),2))+2147483648,4294967296)-2147483648,((1000)-(c_TMAP3IN))*(((K186)-(c_TMAP3IN))*((1000)-(c_TMAP3OUT))+IF(((1000)-(c_TMAP3OUT))&gt;=0,1,-1)*QUOTIENT(((1000)-(c_TMAP3IN)),2)))&gt;=0,1,0)))</f>
        <v>275</v>
      </c>
      <c r="Q186" s="7" t="str">
        <f aca="false">IF(K186&gt;=c_TFWD,IF(AND(K186&gt;=c_TMAP3IN,c_TMAP3IN&lt;1000),"Seg4 map3-100%",IF(AND(K186&gt;=c_TMAP2IN,c_TMAP3IN&gt;c_TMAP2IN),"Seg3 map2-map3",IF(AND(K186&gt;=c_TMAP1IN,c_TMAP2IN&gt;c_TMAP1IN),"Seg2 map1-map2","Seg1 TFWD-map1"))),IF(AND(K186=0,c_TCREEP&gt;0),"Creep",IF(AND(K186&lt;=c_TRNGMIN,K186&gt;=c_TRNGMAX,c_TRNGMIN-c_TRNGMAX&lt;&gt;0),"Regen ramp","Coast (0)")))</f>
        <v>Seg4 map3-100%</v>
      </c>
      <c r="R186" s="7" t="n">
        <f aca="false">IF(K186&gt;=c_TFWD,IF(AND(K186&gt;=c_TMAP3IN,c_TMAP3IN&lt;1000),P186,IF(AND(K186&gt;=c_TMAP2IN,c_TMAP3IN&gt;c_TMAP2IN),O186,IF(AND(K186&gt;=c_TMAP1IN,c_TMAP2IN&gt;c_TMAP1IN),N186,M186))),L186)</f>
        <v>275</v>
      </c>
      <c r="S186" s="7" t="str">
        <f aca="false">IF(R186&lt;-1090,"TOO LOW",IF(R186&gt;1090,"TOO HIGH",""))</f>
        <v/>
      </c>
      <c r="T186" s="15" t="n">
        <f aca="false">IF(H186&lt;&gt;"OK",0,IF(S186&lt;&gt;"",0,IF(R186&gt;979,1000,R186)))</f>
        <v>275</v>
      </c>
      <c r="U186" s="7" t="n">
        <f aca="false">T186/10</f>
        <v>27.5</v>
      </c>
    </row>
    <row r="187" customFormat="false" ht="15" hidden="false" customHeight="false" outlineLevel="0" collapsed="false">
      <c r="A187" s="7" t="n">
        <v>182</v>
      </c>
      <c r="B187" s="7" t="n">
        <f aca="false">ROUND(o_SWSTART+A187*(o_SWEND-o_SWSTART)/400,0)</f>
        <v>1863</v>
      </c>
      <c r="C187" s="7" t="n">
        <f aca="false">QUOTIENT((B187-c_OFF1)*c_GAIN1,1024)</f>
        <v>1863</v>
      </c>
      <c r="D187" s="7" t="n">
        <f aca="false">IF(((c_T1MX)-(c_T1MN))=0,(0)+QUOTIENT(((1000)-(0)),2),QUOTIENT((((C187)-(c_T1MN))*((1000)-(0))+IF(((1000)-(0))&gt;=0,1,-1)*QUOTIENT(((c_T1MX)-(c_T1MN)),2)),((c_T1MX)-(c_T1MN)))+(0)+IF(((1000)-(0))&gt;=0,IF(IF(o_WRAP=1,MOD(((c_T1MX)-(c_T1MN))*(((C187)-(c_T1MN))*((1000)-(0))+IF(((1000)-(0))&gt;=0,1,-1)*QUOTIENT(((c_T1MX)-(c_T1MN)),2))+2147483648,4294967296)-2147483648,((c_T1MX)-(c_T1MN))*(((C187)-(c_T1MN))*((1000)-(0))+IF(((1000)-(0))&gt;=0,1,-1)*QUOTIENT(((c_T1MX)-(c_T1MN)),2)))&lt;0,-1,0),IF(IF(o_WRAP=1,MOD(((c_T1MX)-(c_T1MN))*(((C187)-(c_T1MN))*((1000)-(0))+IF(((1000)-(0))&gt;=0,1,-1)*QUOTIENT(((c_T1MX)-(c_T1MN)),2))+2147483648,4294967296)-2147483648,((c_T1MX)-(c_T1MN))*(((C187)-(c_T1MN))*((1000)-(0))+IF(((1000)-(0))&gt;=0,1,-1)*QUOTIENT(((c_T1MX)-(c_T1MN)),2)))&gt;=0,1,0)))</f>
        <v>414</v>
      </c>
      <c r="E187" s="7" t="n">
        <f aca="false">IF(AND(c_TPOT=1,c_TTYPE=2),1000-D187,D187)</f>
        <v>414</v>
      </c>
      <c r="F187" s="7" t="str">
        <f aca="false">IF(c_TPOT&gt;1,ROUND(IF(c_TTYPE=2,c_T2MX-IF(c_T1MX=c_T1MN,0,(C187-c_T1MN)/(c_T1MX-c_T1MN))*(c_T2MX-c_T2MN),c_T2MN+IF(c_T1MX=c_T1MN,0,(C187-c_T1MN)/(c_T1MX-c_T1MN))*(c_T2MX-c_T2MN))+o_MISMATCH,0),"")</f>
        <v/>
      </c>
      <c r="G187" s="7" t="str">
        <f aca="false">IF(c_TPOT&gt;1,IF(((c_T2MX)-(c_T2MN))=0,(0)+QUOTIENT(((1000)-(0)),2),QUOTIENT((((F187)-(c_T2MN))*((1000)-(0))+IF(((1000)-(0))&gt;=0,1,-1)*QUOTIENT(((c_T2MX)-(c_T2MN)),2)),((c_T2MX)-(c_T2MN)))+(0)+IF(((1000)-(0))&gt;=0,IF(IF(o_WRAP=1,MOD(((c_T2MX)-(c_T2MN))*(((F187)-(c_T2MN))*((1000)-(0))+IF(((1000)-(0))&gt;=0,1,-1)*QUOTIENT(((c_T2MX)-(c_T2MN)),2))+2147483648,4294967296)-2147483648,((c_T2MX)-(c_T2MN))*(((F187)-(c_T2MN))*((1000)-(0))+IF(((1000)-(0))&gt;=0,1,-1)*QUOTIENT(((c_T2MX)-(c_T2MN)),2)))&lt;0,-1,0),IF(IF(o_WRAP=1,MOD(((c_T2MX)-(c_T2MN))*(((F187)-(c_T2MN))*((1000)-(0))+IF(((1000)-(0))&gt;=0,1,-1)*QUOTIENT(((c_T2MX)-(c_T2MN)),2))+2147483648,4294967296)-2147483648,((c_T2MX)-(c_T2MN))*(((F187)-(c_T2MN))*((1000)-(0))+IF(((1000)-(0))&gt;=0,1,-1)*QUOTIENT(((c_T2MX)-(c_T2MN)),2)))&gt;=0,1,0))),"")</f>
        <v/>
      </c>
      <c r="H187" s="7" t="str">
        <f aca="false">IF(E187&gt;1000+k_TOL,"T1 HIGH",IF(E187&lt;0-k_TOL,"T1 LOW",IF(c_TPOT&gt;1,IF(G187&gt;1000+k_TOL,"T2 HIGH",IF(G187&lt;0-k_TOL,"T2 LOW",IF(c_TTYPE=2,IF(ABS(1000-MAX(0,MIN(1000,E187))-MAX(0,MIN(1000,G187)))&gt;k_MAXERR,"MISMATCH","OK"),IF(OR(MAX(0,MIN(1000,E187))-k_MAXERR&gt;MAX(0,MIN(1000,G187)),MAX(0,MIN(1000,G187))-k_MAXERR&gt;MAX(0,MIN(1000,E187))),"MISMATCH","OK")))),"OK")))</f>
        <v>OK</v>
      </c>
      <c r="I187" s="7" t="n">
        <f aca="false">MAX(0,MIN(1000,D187))</f>
        <v>414</v>
      </c>
      <c r="J187" s="7" t="str">
        <f aca="false">IF(c_TPOT&gt;1,IF(c_TTYPE=2,1000-MAX(0,MIN(1000,G187)),MAX(0,MIN(1000,G187))),"")</f>
        <v/>
      </c>
      <c r="K187" s="7" t="n">
        <f aca="false">IF(c_TPOT&gt;1,QUOTIENT(I187+J187,2),I187)</f>
        <v>414</v>
      </c>
      <c r="L187" s="7" t="n">
        <f aca="false">IF(AND(K187=0,c_TCREEP&gt;0),10*c_TCREEP,IF(AND(K187&lt;=c_TRNGMIN,K187&gt;=c_TRNGMAX,c_TRNGMIN-c_TRNGMAX&lt;&gt;0),-10*c_TMINRN+QUOTIENT((c_TMAXRN-c_TMINRN)*(100-QUOTIENT((K187-c_TRNGMAX)*100,c_TRNGMIN-c_TRNGMAX)),-10),0))</f>
        <v>0</v>
      </c>
      <c r="M187" s="7" t="n">
        <f aca="false">IF(((c_TMAP1IN)-(c_TFWD))=0,(0)+QUOTIENT(((c_TMAP1OUT)-(0)),2),QUOTIENT((((K187)-(c_TFWD))*((c_TMAP1OUT)-(0))+IF(((c_TMAP1OUT)-(0))&gt;=0,1,-1)*QUOTIENT(((c_TMAP1IN)-(c_TFWD)),2)),((c_TMAP1IN)-(c_TFWD)))+(0)+IF(((c_TMAP1OUT)-(0))&gt;=0,IF(IF(o_WRAP=1,MOD(((c_TMAP1IN)-(c_TFWD))*(((K187)-(c_TFWD))*((c_TMAP1OUT)-(0))+IF(((c_TMAP1OUT)-(0))&gt;=0,1,-1)*QUOTIENT(((c_TMAP1IN)-(c_TFWD)),2))+2147483648,4294967296)-2147483648,((c_TMAP1IN)-(c_TFWD))*(((K187)-(c_TFWD))*((c_TMAP1OUT)-(0))+IF(((c_TMAP1OUT)-(0))&gt;=0,1,-1)*QUOTIENT(((c_TMAP1IN)-(c_TFWD)),2)))&lt;0,-1,0),IF(IF(o_WRAP=1,MOD(((c_TMAP1IN)-(c_TFWD))*(((K187)-(c_TFWD))*((c_TMAP1OUT)-(0))+IF(((c_TMAP1OUT)-(0))&gt;=0,1,-1)*QUOTIENT(((c_TMAP1IN)-(c_TFWD)),2))+2147483648,4294967296)-2147483648,((c_TMAP1IN)-(c_TFWD))*(((K187)-(c_TFWD))*((c_TMAP1OUT)-(0))+IF(((c_TMAP1OUT)-(0))&gt;=0,1,-1)*QUOTIENT(((c_TMAP1IN)-(c_TFWD)),2)))&gt;=0,1,0)))</f>
        <v>314</v>
      </c>
      <c r="N187" s="7" t="n">
        <f aca="false">IF(((c_TMAP2IN)-(c_TMAP1IN))=0,(c_TMAP1OUT)+QUOTIENT(((c_TMAP2OUT)-(c_TMAP1OUT)),2),QUOTIENT((((K187)-(c_TMAP1IN))*((c_TMAP2OUT)-(c_TMAP1OUT))+IF(((c_TMAP2OUT)-(c_TMAP1OUT))&gt;=0,1,-1)*QUOTIENT(((c_TMAP2IN)-(c_TMAP1IN)),2)),((c_TMAP2IN)-(c_TMAP1IN)))+(c_TMAP1OUT)+IF(((c_TMAP2OUT)-(c_TMAP1OUT))&gt;=0,IF(IF(o_WRAP=1,MOD(((c_TMAP2IN)-(c_TMAP1IN))*(((K187)-(c_TMAP1IN))*((c_TMAP2OUT)-(c_TMAP1OUT))+IF(((c_TMAP2OUT)-(c_TMAP1OUT))&gt;=0,1,-1)*QUOTIENT(((c_TMAP2IN)-(c_TMAP1IN)),2))+2147483648,4294967296)-2147483648,((c_TMAP2IN)-(c_TMAP1IN))*(((K187)-(c_TMAP1IN))*((c_TMAP2OUT)-(c_TMAP1OUT))+IF(((c_TMAP2OUT)-(c_TMAP1OUT))&gt;=0,1,-1)*QUOTIENT(((c_TMAP2IN)-(c_TMAP1IN)),2)))&lt;0,-1,0),IF(IF(o_WRAP=1,MOD(((c_TMAP2IN)-(c_TMAP1IN))*(((K187)-(c_TMAP1IN))*((c_TMAP2OUT)-(c_TMAP1OUT))+IF(((c_TMAP2OUT)-(c_TMAP1OUT))&gt;=0,1,-1)*QUOTIENT(((c_TMAP2IN)-(c_TMAP1IN)),2))+2147483648,4294967296)-2147483648,((c_TMAP2IN)-(c_TMAP1IN))*(((K187)-(c_TMAP1IN))*((c_TMAP2OUT)-(c_TMAP1OUT))+IF(((c_TMAP2OUT)-(c_TMAP1OUT))&gt;=0,1,-1)*QUOTIENT(((c_TMAP2IN)-(c_TMAP1IN)),2)))&gt;=0,1,0)))</f>
        <v>196</v>
      </c>
      <c r="O187" s="7" t="n">
        <f aca="false">IF(((c_TMAP3IN)-(c_TMAP2IN))=0,(c_TMAP2OUT)+QUOTIENT(((c_TMAP3OUT)-(c_TMAP2OUT)),2),QUOTIENT((((K187)-(c_TMAP2IN))*((c_TMAP3OUT)-(c_TMAP2OUT))+IF(((c_TMAP3OUT)-(c_TMAP2OUT))&gt;=0,1,-1)*QUOTIENT(((c_TMAP3IN)-(c_TMAP2IN)),2)),((c_TMAP3IN)-(c_TMAP2IN)))+(c_TMAP2OUT)+IF(((c_TMAP3OUT)-(c_TMAP2OUT))&gt;=0,IF(IF(o_WRAP=1,MOD(((c_TMAP3IN)-(c_TMAP2IN))*(((K187)-(c_TMAP2IN))*((c_TMAP3OUT)-(c_TMAP2OUT))+IF(((c_TMAP3OUT)-(c_TMAP2OUT))&gt;=0,1,-1)*QUOTIENT(((c_TMAP3IN)-(c_TMAP2IN)),2))+2147483648,4294967296)-2147483648,((c_TMAP3IN)-(c_TMAP2IN))*(((K187)-(c_TMAP2IN))*((c_TMAP3OUT)-(c_TMAP2OUT))+IF(((c_TMAP3OUT)-(c_TMAP2OUT))&gt;=0,1,-1)*QUOTIENT(((c_TMAP3IN)-(c_TMAP2IN)),2)))&lt;0,-1,0),IF(IF(o_WRAP=1,MOD(((c_TMAP3IN)-(c_TMAP2IN))*(((K187)-(c_TMAP2IN))*((c_TMAP3OUT)-(c_TMAP2OUT))+IF(((c_TMAP3OUT)-(c_TMAP2OUT))&gt;=0,1,-1)*QUOTIENT(((c_TMAP3IN)-(c_TMAP2IN)),2))+2147483648,4294967296)-2147483648,((c_TMAP3IN)-(c_TMAP2IN))*(((K187)-(c_TMAP2IN))*((c_TMAP3OUT)-(c_TMAP2OUT))+IF(((c_TMAP3OUT)-(c_TMAP2OUT))&gt;=0,1,-1)*QUOTIENT(((c_TMAP3IN)-(c_TMAP2IN)),2)))&gt;=0,1,0)))</f>
        <v>245</v>
      </c>
      <c r="P187" s="7" t="n">
        <f aca="false">IF(((1000)-(c_TMAP3IN))=0,(c_TMAP3OUT)+QUOTIENT(((1000)-(c_TMAP3OUT)),2),QUOTIENT((((K187)-(c_TMAP3IN))*((1000)-(c_TMAP3OUT))+IF(((1000)-(c_TMAP3OUT))&gt;=0,1,-1)*QUOTIENT(((1000)-(c_TMAP3IN)),2)),((1000)-(c_TMAP3IN)))+(c_TMAP3OUT)+IF(((1000)-(c_TMAP3OUT))&gt;=0,IF(IF(o_WRAP=1,MOD(((1000)-(c_TMAP3IN))*(((K187)-(c_TMAP3IN))*((1000)-(c_TMAP3OUT))+IF(((1000)-(c_TMAP3OUT))&gt;=0,1,-1)*QUOTIENT(((1000)-(c_TMAP3IN)),2))+2147483648,4294967296)-2147483648,((1000)-(c_TMAP3IN))*(((K187)-(c_TMAP3IN))*((1000)-(c_TMAP3OUT))+IF(((1000)-(c_TMAP3OUT))&gt;=0,1,-1)*QUOTIENT(((1000)-(c_TMAP3IN)),2)))&lt;0,-1,0),IF(IF(o_WRAP=1,MOD(((1000)-(c_TMAP3IN))*(((K187)-(c_TMAP3IN))*((1000)-(c_TMAP3OUT))+IF(((1000)-(c_TMAP3OUT))&gt;=0,1,-1)*QUOTIENT(((1000)-(c_TMAP3IN)),2))+2147483648,4294967296)-2147483648,((1000)-(c_TMAP3IN))*(((K187)-(c_TMAP3IN))*((1000)-(c_TMAP3OUT))+IF(((1000)-(c_TMAP3OUT))&gt;=0,1,-1)*QUOTIENT(((1000)-(c_TMAP3IN)),2)))&gt;=0,1,0)))</f>
        <v>279</v>
      </c>
      <c r="Q187" s="7" t="str">
        <f aca="false">IF(K187&gt;=c_TFWD,IF(AND(K187&gt;=c_TMAP3IN,c_TMAP3IN&lt;1000),"Seg4 map3-100%",IF(AND(K187&gt;=c_TMAP2IN,c_TMAP3IN&gt;c_TMAP2IN),"Seg3 map2-map3",IF(AND(K187&gt;=c_TMAP1IN,c_TMAP2IN&gt;c_TMAP1IN),"Seg2 map1-map2","Seg1 TFWD-map1"))),IF(AND(K187=0,c_TCREEP&gt;0),"Creep",IF(AND(K187&lt;=c_TRNGMIN,K187&gt;=c_TRNGMAX,c_TRNGMIN-c_TRNGMAX&lt;&gt;0),"Regen ramp","Coast (0)")))</f>
        <v>Seg4 map3-100%</v>
      </c>
      <c r="R187" s="7" t="n">
        <f aca="false">IF(K187&gt;=c_TFWD,IF(AND(K187&gt;=c_TMAP3IN,c_TMAP3IN&lt;1000),P187,IF(AND(K187&gt;=c_TMAP2IN,c_TMAP3IN&gt;c_TMAP2IN),O187,IF(AND(K187&gt;=c_TMAP1IN,c_TMAP2IN&gt;c_TMAP1IN),N187,M187))),L187)</f>
        <v>279</v>
      </c>
      <c r="S187" s="7" t="str">
        <f aca="false">IF(R187&lt;-1090,"TOO LOW",IF(R187&gt;1090,"TOO HIGH",""))</f>
        <v/>
      </c>
      <c r="T187" s="15" t="n">
        <f aca="false">IF(H187&lt;&gt;"OK",0,IF(S187&lt;&gt;"",0,IF(R187&gt;979,1000,R187)))</f>
        <v>279</v>
      </c>
      <c r="U187" s="7" t="n">
        <f aca="false">T187/10</f>
        <v>27.9</v>
      </c>
    </row>
    <row r="188" customFormat="false" ht="15" hidden="false" customHeight="false" outlineLevel="0" collapsed="false">
      <c r="A188" s="7" t="n">
        <v>183</v>
      </c>
      <c r="B188" s="7" t="n">
        <f aca="false">ROUND(o_SWSTART+A188*(o_SWEND-o_SWSTART)/400,0)</f>
        <v>1873</v>
      </c>
      <c r="C188" s="7" t="n">
        <f aca="false">QUOTIENT((B188-c_OFF1)*c_GAIN1,1024)</f>
        <v>1873</v>
      </c>
      <c r="D188" s="7" t="n">
        <f aca="false">IF(((c_T1MX)-(c_T1MN))=0,(0)+QUOTIENT(((1000)-(0)),2),QUOTIENT((((C188)-(c_T1MN))*((1000)-(0))+IF(((1000)-(0))&gt;=0,1,-1)*QUOTIENT(((c_T1MX)-(c_T1MN)),2)),((c_T1MX)-(c_T1MN)))+(0)+IF(((1000)-(0))&gt;=0,IF(IF(o_WRAP=1,MOD(((c_T1MX)-(c_T1MN))*(((C188)-(c_T1MN))*((1000)-(0))+IF(((1000)-(0))&gt;=0,1,-1)*QUOTIENT(((c_T1MX)-(c_T1MN)),2))+2147483648,4294967296)-2147483648,((c_T1MX)-(c_T1MN))*(((C188)-(c_T1MN))*((1000)-(0))+IF(((1000)-(0))&gt;=0,1,-1)*QUOTIENT(((c_T1MX)-(c_T1MN)),2)))&lt;0,-1,0),IF(IF(o_WRAP=1,MOD(((c_T1MX)-(c_T1MN))*(((C188)-(c_T1MN))*((1000)-(0))+IF(((1000)-(0))&gt;=0,1,-1)*QUOTIENT(((c_T1MX)-(c_T1MN)),2))+2147483648,4294967296)-2147483648,((c_T1MX)-(c_T1MN))*(((C188)-(c_T1MN))*((1000)-(0))+IF(((1000)-(0))&gt;=0,1,-1)*QUOTIENT(((c_T1MX)-(c_T1MN)),2)))&gt;=0,1,0)))</f>
        <v>418</v>
      </c>
      <c r="E188" s="7" t="n">
        <f aca="false">IF(AND(c_TPOT=1,c_TTYPE=2),1000-D188,D188)</f>
        <v>418</v>
      </c>
      <c r="F188" s="7" t="str">
        <f aca="false">IF(c_TPOT&gt;1,ROUND(IF(c_TTYPE=2,c_T2MX-IF(c_T1MX=c_T1MN,0,(C188-c_T1MN)/(c_T1MX-c_T1MN))*(c_T2MX-c_T2MN),c_T2MN+IF(c_T1MX=c_T1MN,0,(C188-c_T1MN)/(c_T1MX-c_T1MN))*(c_T2MX-c_T2MN))+o_MISMATCH,0),"")</f>
        <v/>
      </c>
      <c r="G188" s="7" t="str">
        <f aca="false">IF(c_TPOT&gt;1,IF(((c_T2MX)-(c_T2MN))=0,(0)+QUOTIENT(((1000)-(0)),2),QUOTIENT((((F188)-(c_T2MN))*((1000)-(0))+IF(((1000)-(0))&gt;=0,1,-1)*QUOTIENT(((c_T2MX)-(c_T2MN)),2)),((c_T2MX)-(c_T2MN)))+(0)+IF(((1000)-(0))&gt;=0,IF(IF(o_WRAP=1,MOD(((c_T2MX)-(c_T2MN))*(((F188)-(c_T2MN))*((1000)-(0))+IF(((1000)-(0))&gt;=0,1,-1)*QUOTIENT(((c_T2MX)-(c_T2MN)),2))+2147483648,4294967296)-2147483648,((c_T2MX)-(c_T2MN))*(((F188)-(c_T2MN))*((1000)-(0))+IF(((1000)-(0))&gt;=0,1,-1)*QUOTIENT(((c_T2MX)-(c_T2MN)),2)))&lt;0,-1,0),IF(IF(o_WRAP=1,MOD(((c_T2MX)-(c_T2MN))*(((F188)-(c_T2MN))*((1000)-(0))+IF(((1000)-(0))&gt;=0,1,-1)*QUOTIENT(((c_T2MX)-(c_T2MN)),2))+2147483648,4294967296)-2147483648,((c_T2MX)-(c_T2MN))*(((F188)-(c_T2MN))*((1000)-(0))+IF(((1000)-(0))&gt;=0,1,-1)*QUOTIENT(((c_T2MX)-(c_T2MN)),2)))&gt;=0,1,0))),"")</f>
        <v/>
      </c>
      <c r="H188" s="7" t="str">
        <f aca="false">IF(E188&gt;1000+k_TOL,"T1 HIGH",IF(E188&lt;0-k_TOL,"T1 LOW",IF(c_TPOT&gt;1,IF(G188&gt;1000+k_TOL,"T2 HIGH",IF(G188&lt;0-k_TOL,"T2 LOW",IF(c_TTYPE=2,IF(ABS(1000-MAX(0,MIN(1000,E188))-MAX(0,MIN(1000,G188)))&gt;k_MAXERR,"MISMATCH","OK"),IF(OR(MAX(0,MIN(1000,E188))-k_MAXERR&gt;MAX(0,MIN(1000,G188)),MAX(0,MIN(1000,G188))-k_MAXERR&gt;MAX(0,MIN(1000,E188))),"MISMATCH","OK")))),"OK")))</f>
        <v>OK</v>
      </c>
      <c r="I188" s="7" t="n">
        <f aca="false">MAX(0,MIN(1000,D188))</f>
        <v>418</v>
      </c>
      <c r="J188" s="7" t="str">
        <f aca="false">IF(c_TPOT&gt;1,IF(c_TTYPE=2,1000-MAX(0,MIN(1000,G188)),MAX(0,MIN(1000,G188))),"")</f>
        <v/>
      </c>
      <c r="K188" s="7" t="n">
        <f aca="false">IF(c_TPOT&gt;1,QUOTIENT(I188+J188,2),I188)</f>
        <v>418</v>
      </c>
      <c r="L188" s="7" t="n">
        <f aca="false">IF(AND(K188=0,c_TCREEP&gt;0),10*c_TCREEP,IF(AND(K188&lt;=c_TRNGMIN,K188&gt;=c_TRNGMAX,c_TRNGMIN-c_TRNGMAX&lt;&gt;0),-10*c_TMINRN+QUOTIENT((c_TMAXRN-c_TMINRN)*(100-QUOTIENT((K188-c_TRNGMAX)*100,c_TRNGMIN-c_TRNGMAX)),-10),0))</f>
        <v>0</v>
      </c>
      <c r="M188" s="7" t="n">
        <f aca="false">IF(((c_TMAP1IN)-(c_TFWD))=0,(0)+QUOTIENT(((c_TMAP1OUT)-(0)),2),QUOTIENT((((K188)-(c_TFWD))*((c_TMAP1OUT)-(0))+IF(((c_TMAP1OUT)-(0))&gt;=0,1,-1)*QUOTIENT(((c_TMAP1IN)-(c_TFWD)),2)),((c_TMAP1IN)-(c_TFWD)))+(0)+IF(((c_TMAP1OUT)-(0))&gt;=0,IF(IF(o_WRAP=1,MOD(((c_TMAP1IN)-(c_TFWD))*(((K188)-(c_TFWD))*((c_TMAP1OUT)-(0))+IF(((c_TMAP1OUT)-(0))&gt;=0,1,-1)*QUOTIENT(((c_TMAP1IN)-(c_TFWD)),2))+2147483648,4294967296)-2147483648,((c_TMAP1IN)-(c_TFWD))*(((K188)-(c_TFWD))*((c_TMAP1OUT)-(0))+IF(((c_TMAP1OUT)-(0))&gt;=0,1,-1)*QUOTIENT(((c_TMAP1IN)-(c_TFWD)),2)))&lt;0,-1,0),IF(IF(o_WRAP=1,MOD(((c_TMAP1IN)-(c_TFWD))*(((K188)-(c_TFWD))*((c_TMAP1OUT)-(0))+IF(((c_TMAP1OUT)-(0))&gt;=0,1,-1)*QUOTIENT(((c_TMAP1IN)-(c_TFWD)),2))+2147483648,4294967296)-2147483648,((c_TMAP1IN)-(c_TFWD))*(((K188)-(c_TFWD))*((c_TMAP1OUT)-(0))+IF(((c_TMAP1OUT)-(0))&gt;=0,1,-1)*QUOTIENT(((c_TMAP1IN)-(c_TFWD)),2)))&gt;=0,1,0)))</f>
        <v>317</v>
      </c>
      <c r="N188" s="7" t="n">
        <f aca="false">IF(((c_TMAP2IN)-(c_TMAP1IN))=0,(c_TMAP1OUT)+QUOTIENT(((c_TMAP2OUT)-(c_TMAP1OUT)),2),QUOTIENT((((K188)-(c_TMAP1IN))*((c_TMAP2OUT)-(c_TMAP1OUT))+IF(((c_TMAP2OUT)-(c_TMAP1OUT))&gt;=0,1,-1)*QUOTIENT(((c_TMAP2IN)-(c_TMAP1IN)),2)),((c_TMAP2IN)-(c_TMAP1IN)))+(c_TMAP1OUT)+IF(((c_TMAP2OUT)-(c_TMAP1OUT))&gt;=0,IF(IF(o_WRAP=1,MOD(((c_TMAP2IN)-(c_TMAP1IN))*(((K188)-(c_TMAP1IN))*((c_TMAP2OUT)-(c_TMAP1OUT))+IF(((c_TMAP2OUT)-(c_TMAP1OUT))&gt;=0,1,-1)*QUOTIENT(((c_TMAP2IN)-(c_TMAP1IN)),2))+2147483648,4294967296)-2147483648,((c_TMAP2IN)-(c_TMAP1IN))*(((K188)-(c_TMAP1IN))*((c_TMAP2OUT)-(c_TMAP1OUT))+IF(((c_TMAP2OUT)-(c_TMAP1OUT))&gt;=0,1,-1)*QUOTIENT(((c_TMAP2IN)-(c_TMAP1IN)),2)))&lt;0,-1,0),IF(IF(o_WRAP=1,MOD(((c_TMAP2IN)-(c_TMAP1IN))*(((K188)-(c_TMAP1IN))*((c_TMAP2OUT)-(c_TMAP1OUT))+IF(((c_TMAP2OUT)-(c_TMAP1OUT))&gt;=0,1,-1)*QUOTIENT(((c_TMAP2IN)-(c_TMAP1IN)),2))+2147483648,4294967296)-2147483648,((c_TMAP2IN)-(c_TMAP1IN))*(((K188)-(c_TMAP1IN))*((c_TMAP2OUT)-(c_TMAP1OUT))+IF(((c_TMAP2OUT)-(c_TMAP1OUT))&gt;=0,1,-1)*QUOTIENT(((c_TMAP2IN)-(c_TMAP1IN)),2)))&gt;=0,1,0)))</f>
        <v>197</v>
      </c>
      <c r="O188" s="7" t="n">
        <f aca="false">IF(((c_TMAP3IN)-(c_TMAP2IN))=0,(c_TMAP2OUT)+QUOTIENT(((c_TMAP3OUT)-(c_TMAP2OUT)),2),QUOTIENT((((K188)-(c_TMAP2IN))*((c_TMAP3OUT)-(c_TMAP2OUT))+IF(((c_TMAP3OUT)-(c_TMAP2OUT))&gt;=0,1,-1)*QUOTIENT(((c_TMAP3IN)-(c_TMAP2IN)),2)),((c_TMAP3IN)-(c_TMAP2IN)))+(c_TMAP2OUT)+IF(((c_TMAP3OUT)-(c_TMAP2OUT))&gt;=0,IF(IF(o_WRAP=1,MOD(((c_TMAP3IN)-(c_TMAP2IN))*(((K188)-(c_TMAP2IN))*((c_TMAP3OUT)-(c_TMAP2OUT))+IF(((c_TMAP3OUT)-(c_TMAP2OUT))&gt;=0,1,-1)*QUOTIENT(((c_TMAP3IN)-(c_TMAP2IN)),2))+2147483648,4294967296)-2147483648,((c_TMAP3IN)-(c_TMAP2IN))*(((K188)-(c_TMAP2IN))*((c_TMAP3OUT)-(c_TMAP2OUT))+IF(((c_TMAP3OUT)-(c_TMAP2OUT))&gt;=0,1,-1)*QUOTIENT(((c_TMAP3IN)-(c_TMAP2IN)),2)))&lt;0,-1,0),IF(IF(o_WRAP=1,MOD(((c_TMAP3IN)-(c_TMAP2IN))*(((K188)-(c_TMAP2IN))*((c_TMAP3OUT)-(c_TMAP2OUT))+IF(((c_TMAP3OUT)-(c_TMAP2OUT))&gt;=0,1,-1)*QUOTIENT(((c_TMAP3IN)-(c_TMAP2IN)),2))+2147483648,4294967296)-2147483648,((c_TMAP3IN)-(c_TMAP2IN))*(((K188)-(c_TMAP2IN))*((c_TMAP3OUT)-(c_TMAP2OUT))+IF(((c_TMAP3OUT)-(c_TMAP2OUT))&gt;=0,1,-1)*QUOTIENT(((c_TMAP3IN)-(c_TMAP2IN)),2)))&gt;=0,1,0)))</f>
        <v>248</v>
      </c>
      <c r="P188" s="7" t="n">
        <f aca="false">IF(((1000)-(c_TMAP3IN))=0,(c_TMAP3OUT)+QUOTIENT(((1000)-(c_TMAP3OUT)),2),QUOTIENT((((K188)-(c_TMAP3IN))*((1000)-(c_TMAP3OUT))+IF(((1000)-(c_TMAP3OUT))&gt;=0,1,-1)*QUOTIENT(((1000)-(c_TMAP3IN)),2)),((1000)-(c_TMAP3IN)))+(c_TMAP3OUT)+IF(((1000)-(c_TMAP3OUT))&gt;=0,IF(IF(o_WRAP=1,MOD(((1000)-(c_TMAP3IN))*(((K188)-(c_TMAP3IN))*((1000)-(c_TMAP3OUT))+IF(((1000)-(c_TMAP3OUT))&gt;=0,1,-1)*QUOTIENT(((1000)-(c_TMAP3IN)),2))+2147483648,4294967296)-2147483648,((1000)-(c_TMAP3IN))*(((K188)-(c_TMAP3IN))*((1000)-(c_TMAP3OUT))+IF(((1000)-(c_TMAP3OUT))&gt;=0,1,-1)*QUOTIENT(((1000)-(c_TMAP3IN)),2)))&lt;0,-1,0),IF(IF(o_WRAP=1,MOD(((1000)-(c_TMAP3IN))*(((K188)-(c_TMAP3IN))*((1000)-(c_TMAP3OUT))+IF(((1000)-(c_TMAP3OUT))&gt;=0,1,-1)*QUOTIENT(((1000)-(c_TMAP3IN)),2))+2147483648,4294967296)-2147483648,((1000)-(c_TMAP3IN))*(((K188)-(c_TMAP3IN))*((1000)-(c_TMAP3OUT))+IF(((1000)-(c_TMAP3OUT))&gt;=0,1,-1)*QUOTIENT(((1000)-(c_TMAP3IN)),2)))&gt;=0,1,0)))</f>
        <v>284</v>
      </c>
      <c r="Q188" s="7" t="str">
        <f aca="false">IF(K188&gt;=c_TFWD,IF(AND(K188&gt;=c_TMAP3IN,c_TMAP3IN&lt;1000),"Seg4 map3-100%",IF(AND(K188&gt;=c_TMAP2IN,c_TMAP3IN&gt;c_TMAP2IN),"Seg3 map2-map3",IF(AND(K188&gt;=c_TMAP1IN,c_TMAP2IN&gt;c_TMAP1IN),"Seg2 map1-map2","Seg1 TFWD-map1"))),IF(AND(K188=0,c_TCREEP&gt;0),"Creep",IF(AND(K188&lt;=c_TRNGMIN,K188&gt;=c_TRNGMAX,c_TRNGMIN-c_TRNGMAX&lt;&gt;0),"Regen ramp","Coast (0)")))</f>
        <v>Seg4 map3-100%</v>
      </c>
      <c r="R188" s="7" t="n">
        <f aca="false">IF(K188&gt;=c_TFWD,IF(AND(K188&gt;=c_TMAP3IN,c_TMAP3IN&lt;1000),P188,IF(AND(K188&gt;=c_TMAP2IN,c_TMAP3IN&gt;c_TMAP2IN),O188,IF(AND(K188&gt;=c_TMAP1IN,c_TMAP2IN&gt;c_TMAP1IN),N188,M188))),L188)</f>
        <v>284</v>
      </c>
      <c r="S188" s="7" t="str">
        <f aca="false">IF(R188&lt;-1090,"TOO LOW",IF(R188&gt;1090,"TOO HIGH",""))</f>
        <v/>
      </c>
      <c r="T188" s="15" t="n">
        <f aca="false">IF(H188&lt;&gt;"OK",0,IF(S188&lt;&gt;"",0,IF(R188&gt;979,1000,R188)))</f>
        <v>284</v>
      </c>
      <c r="U188" s="7" t="n">
        <f aca="false">T188/10</f>
        <v>28.4</v>
      </c>
    </row>
    <row r="189" customFormat="false" ht="15" hidden="false" customHeight="false" outlineLevel="0" collapsed="false">
      <c r="A189" s="7" t="n">
        <v>184</v>
      </c>
      <c r="B189" s="7" t="n">
        <f aca="false">ROUND(o_SWSTART+A189*(o_SWEND-o_SWSTART)/400,0)</f>
        <v>1884</v>
      </c>
      <c r="C189" s="7" t="n">
        <f aca="false">QUOTIENT((B189-c_OFF1)*c_GAIN1,1024)</f>
        <v>1884</v>
      </c>
      <c r="D189" s="7" t="n">
        <f aca="false">IF(((c_T1MX)-(c_T1MN))=0,(0)+QUOTIENT(((1000)-(0)),2),QUOTIENT((((C189)-(c_T1MN))*((1000)-(0))+IF(((1000)-(0))&gt;=0,1,-1)*QUOTIENT(((c_T1MX)-(c_T1MN)),2)),((c_T1MX)-(c_T1MN)))+(0)+IF(((1000)-(0))&gt;=0,IF(IF(o_WRAP=1,MOD(((c_T1MX)-(c_T1MN))*(((C189)-(c_T1MN))*((1000)-(0))+IF(((1000)-(0))&gt;=0,1,-1)*QUOTIENT(((c_T1MX)-(c_T1MN)),2))+2147483648,4294967296)-2147483648,((c_T1MX)-(c_T1MN))*(((C189)-(c_T1MN))*((1000)-(0))+IF(((1000)-(0))&gt;=0,1,-1)*QUOTIENT(((c_T1MX)-(c_T1MN)),2)))&lt;0,-1,0),IF(IF(o_WRAP=1,MOD(((c_T1MX)-(c_T1MN))*(((C189)-(c_T1MN))*((1000)-(0))+IF(((1000)-(0))&gt;=0,1,-1)*QUOTIENT(((c_T1MX)-(c_T1MN)),2))+2147483648,4294967296)-2147483648,((c_T1MX)-(c_T1MN))*(((C189)-(c_T1MN))*((1000)-(0))+IF(((1000)-(0))&gt;=0,1,-1)*QUOTIENT(((c_T1MX)-(c_T1MN)),2)))&gt;=0,1,0)))</f>
        <v>422</v>
      </c>
      <c r="E189" s="7" t="n">
        <f aca="false">IF(AND(c_TPOT=1,c_TTYPE=2),1000-D189,D189)</f>
        <v>422</v>
      </c>
      <c r="F189" s="7" t="str">
        <f aca="false">IF(c_TPOT&gt;1,ROUND(IF(c_TTYPE=2,c_T2MX-IF(c_T1MX=c_T1MN,0,(C189-c_T1MN)/(c_T1MX-c_T1MN))*(c_T2MX-c_T2MN),c_T2MN+IF(c_T1MX=c_T1MN,0,(C189-c_T1MN)/(c_T1MX-c_T1MN))*(c_T2MX-c_T2MN))+o_MISMATCH,0),"")</f>
        <v/>
      </c>
      <c r="G189" s="7" t="str">
        <f aca="false">IF(c_TPOT&gt;1,IF(((c_T2MX)-(c_T2MN))=0,(0)+QUOTIENT(((1000)-(0)),2),QUOTIENT((((F189)-(c_T2MN))*((1000)-(0))+IF(((1000)-(0))&gt;=0,1,-1)*QUOTIENT(((c_T2MX)-(c_T2MN)),2)),((c_T2MX)-(c_T2MN)))+(0)+IF(((1000)-(0))&gt;=0,IF(IF(o_WRAP=1,MOD(((c_T2MX)-(c_T2MN))*(((F189)-(c_T2MN))*((1000)-(0))+IF(((1000)-(0))&gt;=0,1,-1)*QUOTIENT(((c_T2MX)-(c_T2MN)),2))+2147483648,4294967296)-2147483648,((c_T2MX)-(c_T2MN))*(((F189)-(c_T2MN))*((1000)-(0))+IF(((1000)-(0))&gt;=0,1,-1)*QUOTIENT(((c_T2MX)-(c_T2MN)),2)))&lt;0,-1,0),IF(IF(o_WRAP=1,MOD(((c_T2MX)-(c_T2MN))*(((F189)-(c_T2MN))*((1000)-(0))+IF(((1000)-(0))&gt;=0,1,-1)*QUOTIENT(((c_T2MX)-(c_T2MN)),2))+2147483648,4294967296)-2147483648,((c_T2MX)-(c_T2MN))*(((F189)-(c_T2MN))*((1000)-(0))+IF(((1000)-(0))&gt;=0,1,-1)*QUOTIENT(((c_T2MX)-(c_T2MN)),2)))&gt;=0,1,0))),"")</f>
        <v/>
      </c>
      <c r="H189" s="7" t="str">
        <f aca="false">IF(E189&gt;1000+k_TOL,"T1 HIGH",IF(E189&lt;0-k_TOL,"T1 LOW",IF(c_TPOT&gt;1,IF(G189&gt;1000+k_TOL,"T2 HIGH",IF(G189&lt;0-k_TOL,"T2 LOW",IF(c_TTYPE=2,IF(ABS(1000-MAX(0,MIN(1000,E189))-MAX(0,MIN(1000,G189)))&gt;k_MAXERR,"MISMATCH","OK"),IF(OR(MAX(0,MIN(1000,E189))-k_MAXERR&gt;MAX(0,MIN(1000,G189)),MAX(0,MIN(1000,G189))-k_MAXERR&gt;MAX(0,MIN(1000,E189))),"MISMATCH","OK")))),"OK")))</f>
        <v>OK</v>
      </c>
      <c r="I189" s="7" t="n">
        <f aca="false">MAX(0,MIN(1000,D189))</f>
        <v>422</v>
      </c>
      <c r="J189" s="7" t="str">
        <f aca="false">IF(c_TPOT&gt;1,IF(c_TTYPE=2,1000-MAX(0,MIN(1000,G189)),MAX(0,MIN(1000,G189))),"")</f>
        <v/>
      </c>
      <c r="K189" s="7" t="n">
        <f aca="false">IF(c_TPOT&gt;1,QUOTIENT(I189+J189,2),I189)</f>
        <v>422</v>
      </c>
      <c r="L189" s="7" t="n">
        <f aca="false">IF(AND(K189=0,c_TCREEP&gt;0),10*c_TCREEP,IF(AND(K189&lt;=c_TRNGMIN,K189&gt;=c_TRNGMAX,c_TRNGMIN-c_TRNGMAX&lt;&gt;0),-10*c_TMINRN+QUOTIENT((c_TMAXRN-c_TMINRN)*(100-QUOTIENT((K189-c_TRNGMAX)*100,c_TRNGMIN-c_TRNGMAX)),-10),0))</f>
        <v>0</v>
      </c>
      <c r="M189" s="7" t="n">
        <f aca="false">IF(((c_TMAP1IN)-(c_TFWD))=0,(0)+QUOTIENT(((c_TMAP1OUT)-(0)),2),QUOTIENT((((K189)-(c_TFWD))*((c_TMAP1OUT)-(0))+IF(((c_TMAP1OUT)-(0))&gt;=0,1,-1)*QUOTIENT(((c_TMAP1IN)-(c_TFWD)),2)),((c_TMAP1IN)-(c_TFWD)))+(0)+IF(((c_TMAP1OUT)-(0))&gt;=0,IF(IF(o_WRAP=1,MOD(((c_TMAP1IN)-(c_TFWD))*(((K189)-(c_TFWD))*((c_TMAP1OUT)-(0))+IF(((c_TMAP1OUT)-(0))&gt;=0,1,-1)*QUOTIENT(((c_TMAP1IN)-(c_TFWD)),2))+2147483648,4294967296)-2147483648,((c_TMAP1IN)-(c_TFWD))*(((K189)-(c_TFWD))*((c_TMAP1OUT)-(0))+IF(((c_TMAP1OUT)-(0))&gt;=0,1,-1)*QUOTIENT(((c_TMAP1IN)-(c_TFWD)),2)))&lt;0,-1,0),IF(IF(o_WRAP=1,MOD(((c_TMAP1IN)-(c_TFWD))*(((K189)-(c_TFWD))*((c_TMAP1OUT)-(0))+IF(((c_TMAP1OUT)-(0))&gt;=0,1,-1)*QUOTIENT(((c_TMAP1IN)-(c_TFWD)),2))+2147483648,4294967296)-2147483648,((c_TMAP1IN)-(c_TFWD))*(((K189)-(c_TFWD))*((c_TMAP1OUT)-(0))+IF(((c_TMAP1OUT)-(0))&gt;=0,1,-1)*QUOTIENT(((c_TMAP1IN)-(c_TFWD)),2)))&gt;=0,1,0)))</f>
        <v>320</v>
      </c>
      <c r="N189" s="7" t="n">
        <f aca="false">IF(((c_TMAP2IN)-(c_TMAP1IN))=0,(c_TMAP1OUT)+QUOTIENT(((c_TMAP2OUT)-(c_TMAP1OUT)),2),QUOTIENT((((K189)-(c_TMAP1IN))*((c_TMAP2OUT)-(c_TMAP1OUT))+IF(((c_TMAP2OUT)-(c_TMAP1OUT))&gt;=0,1,-1)*QUOTIENT(((c_TMAP2IN)-(c_TMAP1IN)),2)),((c_TMAP2IN)-(c_TMAP1IN)))+(c_TMAP1OUT)+IF(((c_TMAP2OUT)-(c_TMAP1OUT))&gt;=0,IF(IF(o_WRAP=1,MOD(((c_TMAP2IN)-(c_TMAP1IN))*(((K189)-(c_TMAP1IN))*((c_TMAP2OUT)-(c_TMAP1OUT))+IF(((c_TMAP2OUT)-(c_TMAP1OUT))&gt;=0,1,-1)*QUOTIENT(((c_TMAP2IN)-(c_TMAP1IN)),2))+2147483648,4294967296)-2147483648,((c_TMAP2IN)-(c_TMAP1IN))*(((K189)-(c_TMAP1IN))*((c_TMAP2OUT)-(c_TMAP1OUT))+IF(((c_TMAP2OUT)-(c_TMAP1OUT))&gt;=0,1,-1)*QUOTIENT(((c_TMAP2IN)-(c_TMAP1IN)),2)))&lt;0,-1,0),IF(IF(o_WRAP=1,MOD(((c_TMAP2IN)-(c_TMAP1IN))*(((K189)-(c_TMAP1IN))*((c_TMAP2OUT)-(c_TMAP1OUT))+IF(((c_TMAP2OUT)-(c_TMAP1OUT))&gt;=0,1,-1)*QUOTIENT(((c_TMAP2IN)-(c_TMAP1IN)),2))+2147483648,4294967296)-2147483648,((c_TMAP2IN)-(c_TMAP1IN))*(((K189)-(c_TMAP1IN))*((c_TMAP2OUT)-(c_TMAP1OUT))+IF(((c_TMAP2OUT)-(c_TMAP1OUT))&gt;=0,1,-1)*QUOTIENT(((c_TMAP2IN)-(c_TMAP1IN)),2)))&gt;=0,1,0)))</f>
        <v>199</v>
      </c>
      <c r="O189" s="7" t="n">
        <f aca="false">IF(((c_TMAP3IN)-(c_TMAP2IN))=0,(c_TMAP2OUT)+QUOTIENT(((c_TMAP3OUT)-(c_TMAP2OUT)),2),QUOTIENT((((K189)-(c_TMAP2IN))*((c_TMAP3OUT)-(c_TMAP2OUT))+IF(((c_TMAP3OUT)-(c_TMAP2OUT))&gt;=0,1,-1)*QUOTIENT(((c_TMAP3IN)-(c_TMAP2IN)),2)),((c_TMAP3IN)-(c_TMAP2IN)))+(c_TMAP2OUT)+IF(((c_TMAP3OUT)-(c_TMAP2OUT))&gt;=0,IF(IF(o_WRAP=1,MOD(((c_TMAP3IN)-(c_TMAP2IN))*(((K189)-(c_TMAP2IN))*((c_TMAP3OUT)-(c_TMAP2OUT))+IF(((c_TMAP3OUT)-(c_TMAP2OUT))&gt;=0,1,-1)*QUOTIENT(((c_TMAP3IN)-(c_TMAP2IN)),2))+2147483648,4294967296)-2147483648,((c_TMAP3IN)-(c_TMAP2IN))*(((K189)-(c_TMAP2IN))*((c_TMAP3OUT)-(c_TMAP2OUT))+IF(((c_TMAP3OUT)-(c_TMAP2OUT))&gt;=0,1,-1)*QUOTIENT(((c_TMAP3IN)-(c_TMAP2IN)),2)))&lt;0,-1,0),IF(IF(o_WRAP=1,MOD(((c_TMAP3IN)-(c_TMAP2IN))*(((K189)-(c_TMAP2IN))*((c_TMAP3OUT)-(c_TMAP2OUT))+IF(((c_TMAP3OUT)-(c_TMAP2OUT))&gt;=0,1,-1)*QUOTIENT(((c_TMAP3IN)-(c_TMAP2IN)),2))+2147483648,4294967296)-2147483648,((c_TMAP3IN)-(c_TMAP2IN))*(((K189)-(c_TMAP2IN))*((c_TMAP3OUT)-(c_TMAP2OUT))+IF(((c_TMAP3OUT)-(c_TMAP2OUT))&gt;=0,1,-1)*QUOTIENT(((c_TMAP3IN)-(c_TMAP2IN)),2)))&gt;=0,1,0)))</f>
        <v>250</v>
      </c>
      <c r="P189" s="7" t="n">
        <f aca="false">IF(((1000)-(c_TMAP3IN))=0,(c_TMAP3OUT)+QUOTIENT(((1000)-(c_TMAP3OUT)),2),QUOTIENT((((K189)-(c_TMAP3IN))*((1000)-(c_TMAP3OUT))+IF(((1000)-(c_TMAP3OUT))&gt;=0,1,-1)*QUOTIENT(((1000)-(c_TMAP3IN)),2)),((1000)-(c_TMAP3IN)))+(c_TMAP3OUT)+IF(((1000)-(c_TMAP3OUT))&gt;=0,IF(IF(o_WRAP=1,MOD(((1000)-(c_TMAP3IN))*(((K189)-(c_TMAP3IN))*((1000)-(c_TMAP3OUT))+IF(((1000)-(c_TMAP3OUT))&gt;=0,1,-1)*QUOTIENT(((1000)-(c_TMAP3IN)),2))+2147483648,4294967296)-2147483648,((1000)-(c_TMAP3IN))*(((K189)-(c_TMAP3IN))*((1000)-(c_TMAP3OUT))+IF(((1000)-(c_TMAP3OUT))&gt;=0,1,-1)*QUOTIENT(((1000)-(c_TMAP3IN)),2)))&lt;0,-1,0),IF(IF(o_WRAP=1,MOD(((1000)-(c_TMAP3IN))*(((K189)-(c_TMAP3IN))*((1000)-(c_TMAP3OUT))+IF(((1000)-(c_TMAP3OUT))&gt;=0,1,-1)*QUOTIENT(((1000)-(c_TMAP3IN)),2))+2147483648,4294967296)-2147483648,((1000)-(c_TMAP3IN))*(((K189)-(c_TMAP3IN))*((1000)-(c_TMAP3OUT))+IF(((1000)-(c_TMAP3OUT))&gt;=0,1,-1)*QUOTIENT(((1000)-(c_TMAP3IN)),2)))&gt;=0,1,0)))</f>
        <v>289</v>
      </c>
      <c r="Q189" s="7" t="str">
        <f aca="false">IF(K189&gt;=c_TFWD,IF(AND(K189&gt;=c_TMAP3IN,c_TMAP3IN&lt;1000),"Seg4 map3-100%",IF(AND(K189&gt;=c_TMAP2IN,c_TMAP3IN&gt;c_TMAP2IN),"Seg3 map2-map3",IF(AND(K189&gt;=c_TMAP1IN,c_TMAP2IN&gt;c_TMAP1IN),"Seg2 map1-map2","Seg1 TFWD-map1"))),IF(AND(K189=0,c_TCREEP&gt;0),"Creep",IF(AND(K189&lt;=c_TRNGMIN,K189&gt;=c_TRNGMAX,c_TRNGMIN-c_TRNGMAX&lt;&gt;0),"Regen ramp","Coast (0)")))</f>
        <v>Seg4 map3-100%</v>
      </c>
      <c r="R189" s="7" t="n">
        <f aca="false">IF(K189&gt;=c_TFWD,IF(AND(K189&gt;=c_TMAP3IN,c_TMAP3IN&lt;1000),P189,IF(AND(K189&gt;=c_TMAP2IN,c_TMAP3IN&gt;c_TMAP2IN),O189,IF(AND(K189&gt;=c_TMAP1IN,c_TMAP2IN&gt;c_TMAP1IN),N189,M189))),L189)</f>
        <v>289</v>
      </c>
      <c r="S189" s="7" t="str">
        <f aca="false">IF(R189&lt;-1090,"TOO LOW",IF(R189&gt;1090,"TOO HIGH",""))</f>
        <v/>
      </c>
      <c r="T189" s="15" t="n">
        <f aca="false">IF(H189&lt;&gt;"OK",0,IF(S189&lt;&gt;"",0,IF(R189&gt;979,1000,R189)))</f>
        <v>289</v>
      </c>
      <c r="U189" s="7" t="n">
        <f aca="false">T189/10</f>
        <v>28.9</v>
      </c>
    </row>
    <row r="190" customFormat="false" ht="15" hidden="false" customHeight="false" outlineLevel="0" collapsed="false">
      <c r="A190" s="7" t="n">
        <v>185</v>
      </c>
      <c r="B190" s="7" t="n">
        <f aca="false">ROUND(o_SWSTART+A190*(o_SWEND-o_SWSTART)/400,0)</f>
        <v>1894</v>
      </c>
      <c r="C190" s="7" t="n">
        <f aca="false">QUOTIENT((B190-c_OFF1)*c_GAIN1,1024)</f>
        <v>1894</v>
      </c>
      <c r="D190" s="7" t="n">
        <f aca="false">IF(((c_T1MX)-(c_T1MN))=0,(0)+QUOTIENT(((1000)-(0)),2),QUOTIENT((((C190)-(c_T1MN))*((1000)-(0))+IF(((1000)-(0))&gt;=0,1,-1)*QUOTIENT(((c_T1MX)-(c_T1MN)),2)),((c_T1MX)-(c_T1MN)))+(0)+IF(((1000)-(0))&gt;=0,IF(IF(o_WRAP=1,MOD(((c_T1MX)-(c_T1MN))*(((C190)-(c_T1MN))*((1000)-(0))+IF(((1000)-(0))&gt;=0,1,-1)*QUOTIENT(((c_T1MX)-(c_T1MN)),2))+2147483648,4294967296)-2147483648,((c_T1MX)-(c_T1MN))*(((C190)-(c_T1MN))*((1000)-(0))+IF(((1000)-(0))&gt;=0,1,-1)*QUOTIENT(((c_T1MX)-(c_T1MN)),2)))&lt;0,-1,0),IF(IF(o_WRAP=1,MOD(((c_T1MX)-(c_T1MN))*(((C190)-(c_T1MN))*((1000)-(0))+IF(((1000)-(0))&gt;=0,1,-1)*QUOTIENT(((c_T1MX)-(c_T1MN)),2))+2147483648,4294967296)-2147483648,((c_T1MX)-(c_T1MN))*(((C190)-(c_T1MN))*((1000)-(0))+IF(((1000)-(0))&gt;=0,1,-1)*QUOTIENT(((c_T1MX)-(c_T1MN)),2)))&gt;=0,1,0)))</f>
        <v>426</v>
      </c>
      <c r="E190" s="7" t="n">
        <f aca="false">IF(AND(c_TPOT=1,c_TTYPE=2),1000-D190,D190)</f>
        <v>426</v>
      </c>
      <c r="F190" s="7" t="str">
        <f aca="false">IF(c_TPOT&gt;1,ROUND(IF(c_TTYPE=2,c_T2MX-IF(c_T1MX=c_T1MN,0,(C190-c_T1MN)/(c_T1MX-c_T1MN))*(c_T2MX-c_T2MN),c_T2MN+IF(c_T1MX=c_T1MN,0,(C190-c_T1MN)/(c_T1MX-c_T1MN))*(c_T2MX-c_T2MN))+o_MISMATCH,0),"")</f>
        <v/>
      </c>
      <c r="G190" s="7" t="str">
        <f aca="false">IF(c_TPOT&gt;1,IF(((c_T2MX)-(c_T2MN))=0,(0)+QUOTIENT(((1000)-(0)),2),QUOTIENT((((F190)-(c_T2MN))*((1000)-(0))+IF(((1000)-(0))&gt;=0,1,-1)*QUOTIENT(((c_T2MX)-(c_T2MN)),2)),((c_T2MX)-(c_T2MN)))+(0)+IF(((1000)-(0))&gt;=0,IF(IF(o_WRAP=1,MOD(((c_T2MX)-(c_T2MN))*(((F190)-(c_T2MN))*((1000)-(0))+IF(((1000)-(0))&gt;=0,1,-1)*QUOTIENT(((c_T2MX)-(c_T2MN)),2))+2147483648,4294967296)-2147483648,((c_T2MX)-(c_T2MN))*(((F190)-(c_T2MN))*((1000)-(0))+IF(((1000)-(0))&gt;=0,1,-1)*QUOTIENT(((c_T2MX)-(c_T2MN)),2)))&lt;0,-1,0),IF(IF(o_WRAP=1,MOD(((c_T2MX)-(c_T2MN))*(((F190)-(c_T2MN))*((1000)-(0))+IF(((1000)-(0))&gt;=0,1,-1)*QUOTIENT(((c_T2MX)-(c_T2MN)),2))+2147483648,4294967296)-2147483648,((c_T2MX)-(c_T2MN))*(((F190)-(c_T2MN))*((1000)-(0))+IF(((1000)-(0))&gt;=0,1,-1)*QUOTIENT(((c_T2MX)-(c_T2MN)),2)))&gt;=0,1,0))),"")</f>
        <v/>
      </c>
      <c r="H190" s="7" t="str">
        <f aca="false">IF(E190&gt;1000+k_TOL,"T1 HIGH",IF(E190&lt;0-k_TOL,"T1 LOW",IF(c_TPOT&gt;1,IF(G190&gt;1000+k_TOL,"T2 HIGH",IF(G190&lt;0-k_TOL,"T2 LOW",IF(c_TTYPE=2,IF(ABS(1000-MAX(0,MIN(1000,E190))-MAX(0,MIN(1000,G190)))&gt;k_MAXERR,"MISMATCH","OK"),IF(OR(MAX(0,MIN(1000,E190))-k_MAXERR&gt;MAX(0,MIN(1000,G190)),MAX(0,MIN(1000,G190))-k_MAXERR&gt;MAX(0,MIN(1000,E190))),"MISMATCH","OK")))),"OK")))</f>
        <v>OK</v>
      </c>
      <c r="I190" s="7" t="n">
        <f aca="false">MAX(0,MIN(1000,D190))</f>
        <v>426</v>
      </c>
      <c r="J190" s="7" t="str">
        <f aca="false">IF(c_TPOT&gt;1,IF(c_TTYPE=2,1000-MAX(0,MIN(1000,G190)),MAX(0,MIN(1000,G190))),"")</f>
        <v/>
      </c>
      <c r="K190" s="7" t="n">
        <f aca="false">IF(c_TPOT&gt;1,QUOTIENT(I190+J190,2),I190)</f>
        <v>426</v>
      </c>
      <c r="L190" s="7" t="n">
        <f aca="false">IF(AND(K190=0,c_TCREEP&gt;0),10*c_TCREEP,IF(AND(K190&lt;=c_TRNGMIN,K190&gt;=c_TRNGMAX,c_TRNGMIN-c_TRNGMAX&lt;&gt;0),-10*c_TMINRN+QUOTIENT((c_TMAXRN-c_TMINRN)*(100-QUOTIENT((K190-c_TRNGMAX)*100,c_TRNGMIN-c_TRNGMAX)),-10),0))</f>
        <v>0</v>
      </c>
      <c r="M190" s="7" t="n">
        <f aca="false">IF(((c_TMAP1IN)-(c_TFWD))=0,(0)+QUOTIENT(((c_TMAP1OUT)-(0)),2),QUOTIENT((((K190)-(c_TFWD))*((c_TMAP1OUT)-(0))+IF(((c_TMAP1OUT)-(0))&gt;=0,1,-1)*QUOTIENT(((c_TMAP1IN)-(c_TFWD)),2)),((c_TMAP1IN)-(c_TFWD)))+(0)+IF(((c_TMAP1OUT)-(0))&gt;=0,IF(IF(o_WRAP=1,MOD(((c_TMAP1IN)-(c_TFWD))*(((K190)-(c_TFWD))*((c_TMAP1OUT)-(0))+IF(((c_TMAP1OUT)-(0))&gt;=0,1,-1)*QUOTIENT(((c_TMAP1IN)-(c_TFWD)),2))+2147483648,4294967296)-2147483648,((c_TMAP1IN)-(c_TFWD))*(((K190)-(c_TFWD))*((c_TMAP1OUT)-(0))+IF(((c_TMAP1OUT)-(0))&gt;=0,1,-1)*QUOTIENT(((c_TMAP1IN)-(c_TFWD)),2)))&lt;0,-1,0),IF(IF(o_WRAP=1,MOD(((c_TMAP1IN)-(c_TFWD))*(((K190)-(c_TFWD))*((c_TMAP1OUT)-(0))+IF(((c_TMAP1OUT)-(0))&gt;=0,1,-1)*QUOTIENT(((c_TMAP1IN)-(c_TFWD)),2))+2147483648,4294967296)-2147483648,((c_TMAP1IN)-(c_TFWD))*(((K190)-(c_TFWD))*((c_TMAP1OUT)-(0))+IF(((c_TMAP1OUT)-(0))&gt;=0,1,-1)*QUOTIENT(((c_TMAP1IN)-(c_TFWD)),2)))&gt;=0,1,0)))</f>
        <v>324</v>
      </c>
      <c r="N190" s="7" t="n">
        <f aca="false">IF(((c_TMAP2IN)-(c_TMAP1IN))=0,(c_TMAP1OUT)+QUOTIENT(((c_TMAP2OUT)-(c_TMAP1OUT)),2),QUOTIENT((((K190)-(c_TMAP1IN))*((c_TMAP2OUT)-(c_TMAP1OUT))+IF(((c_TMAP2OUT)-(c_TMAP1OUT))&gt;=0,1,-1)*QUOTIENT(((c_TMAP2IN)-(c_TMAP1IN)),2)),((c_TMAP2IN)-(c_TMAP1IN)))+(c_TMAP1OUT)+IF(((c_TMAP2OUT)-(c_TMAP1OUT))&gt;=0,IF(IF(o_WRAP=1,MOD(((c_TMAP2IN)-(c_TMAP1IN))*(((K190)-(c_TMAP1IN))*((c_TMAP2OUT)-(c_TMAP1OUT))+IF(((c_TMAP2OUT)-(c_TMAP1OUT))&gt;=0,1,-1)*QUOTIENT(((c_TMAP2IN)-(c_TMAP1IN)),2))+2147483648,4294967296)-2147483648,((c_TMAP2IN)-(c_TMAP1IN))*(((K190)-(c_TMAP1IN))*((c_TMAP2OUT)-(c_TMAP1OUT))+IF(((c_TMAP2OUT)-(c_TMAP1OUT))&gt;=0,1,-1)*QUOTIENT(((c_TMAP2IN)-(c_TMAP1IN)),2)))&lt;0,-1,0),IF(IF(o_WRAP=1,MOD(((c_TMAP2IN)-(c_TMAP1IN))*(((K190)-(c_TMAP1IN))*((c_TMAP2OUT)-(c_TMAP1OUT))+IF(((c_TMAP2OUT)-(c_TMAP1OUT))&gt;=0,1,-1)*QUOTIENT(((c_TMAP2IN)-(c_TMAP1IN)),2))+2147483648,4294967296)-2147483648,((c_TMAP2IN)-(c_TMAP1IN))*(((K190)-(c_TMAP1IN))*((c_TMAP2OUT)-(c_TMAP1OUT))+IF(((c_TMAP2OUT)-(c_TMAP1OUT))&gt;=0,1,-1)*QUOTIENT(((c_TMAP2IN)-(c_TMAP1IN)),2)))&gt;=0,1,0)))</f>
        <v>200</v>
      </c>
      <c r="O190" s="7" t="n">
        <f aca="false">IF(((c_TMAP3IN)-(c_TMAP2IN))=0,(c_TMAP2OUT)+QUOTIENT(((c_TMAP3OUT)-(c_TMAP2OUT)),2),QUOTIENT((((K190)-(c_TMAP2IN))*((c_TMAP3OUT)-(c_TMAP2OUT))+IF(((c_TMAP3OUT)-(c_TMAP2OUT))&gt;=0,1,-1)*QUOTIENT(((c_TMAP3IN)-(c_TMAP2IN)),2)),((c_TMAP3IN)-(c_TMAP2IN)))+(c_TMAP2OUT)+IF(((c_TMAP3OUT)-(c_TMAP2OUT))&gt;=0,IF(IF(o_WRAP=1,MOD(((c_TMAP3IN)-(c_TMAP2IN))*(((K190)-(c_TMAP2IN))*((c_TMAP3OUT)-(c_TMAP2OUT))+IF(((c_TMAP3OUT)-(c_TMAP2OUT))&gt;=0,1,-1)*QUOTIENT(((c_TMAP3IN)-(c_TMAP2IN)),2))+2147483648,4294967296)-2147483648,((c_TMAP3IN)-(c_TMAP2IN))*(((K190)-(c_TMAP2IN))*((c_TMAP3OUT)-(c_TMAP2OUT))+IF(((c_TMAP3OUT)-(c_TMAP2OUT))&gt;=0,1,-1)*QUOTIENT(((c_TMAP3IN)-(c_TMAP2IN)),2)))&lt;0,-1,0),IF(IF(o_WRAP=1,MOD(((c_TMAP3IN)-(c_TMAP2IN))*(((K190)-(c_TMAP2IN))*((c_TMAP3OUT)-(c_TMAP2OUT))+IF(((c_TMAP3OUT)-(c_TMAP2OUT))&gt;=0,1,-1)*QUOTIENT(((c_TMAP3IN)-(c_TMAP2IN)),2))+2147483648,4294967296)-2147483648,((c_TMAP3IN)-(c_TMAP2IN))*(((K190)-(c_TMAP2IN))*((c_TMAP3OUT)-(c_TMAP2OUT))+IF(((c_TMAP3OUT)-(c_TMAP2OUT))&gt;=0,1,-1)*QUOTIENT(((c_TMAP3IN)-(c_TMAP2IN)),2)))&gt;=0,1,0)))</f>
        <v>253</v>
      </c>
      <c r="P190" s="7" t="n">
        <f aca="false">IF(((1000)-(c_TMAP3IN))=0,(c_TMAP3OUT)+QUOTIENT(((1000)-(c_TMAP3OUT)),2),QUOTIENT((((K190)-(c_TMAP3IN))*((1000)-(c_TMAP3OUT))+IF(((1000)-(c_TMAP3OUT))&gt;=0,1,-1)*QUOTIENT(((1000)-(c_TMAP3IN)),2)),((1000)-(c_TMAP3IN)))+(c_TMAP3OUT)+IF(((1000)-(c_TMAP3OUT))&gt;=0,IF(IF(o_WRAP=1,MOD(((1000)-(c_TMAP3IN))*(((K190)-(c_TMAP3IN))*((1000)-(c_TMAP3OUT))+IF(((1000)-(c_TMAP3OUT))&gt;=0,1,-1)*QUOTIENT(((1000)-(c_TMAP3IN)),2))+2147483648,4294967296)-2147483648,((1000)-(c_TMAP3IN))*(((K190)-(c_TMAP3IN))*((1000)-(c_TMAP3OUT))+IF(((1000)-(c_TMAP3OUT))&gt;=0,1,-1)*QUOTIENT(((1000)-(c_TMAP3IN)),2)))&lt;0,-1,0),IF(IF(o_WRAP=1,MOD(((1000)-(c_TMAP3IN))*(((K190)-(c_TMAP3IN))*((1000)-(c_TMAP3OUT))+IF(((1000)-(c_TMAP3OUT))&gt;=0,1,-1)*QUOTIENT(((1000)-(c_TMAP3IN)),2))+2147483648,4294967296)-2147483648,((1000)-(c_TMAP3IN))*(((K190)-(c_TMAP3IN))*((1000)-(c_TMAP3OUT))+IF(((1000)-(c_TMAP3OUT))&gt;=0,1,-1)*QUOTIENT(((1000)-(c_TMAP3IN)),2)))&gt;=0,1,0)))</f>
        <v>294</v>
      </c>
      <c r="Q190" s="7" t="str">
        <f aca="false">IF(K190&gt;=c_TFWD,IF(AND(K190&gt;=c_TMAP3IN,c_TMAP3IN&lt;1000),"Seg4 map3-100%",IF(AND(K190&gt;=c_TMAP2IN,c_TMAP3IN&gt;c_TMAP2IN),"Seg3 map2-map3",IF(AND(K190&gt;=c_TMAP1IN,c_TMAP2IN&gt;c_TMAP1IN),"Seg2 map1-map2","Seg1 TFWD-map1"))),IF(AND(K190=0,c_TCREEP&gt;0),"Creep",IF(AND(K190&lt;=c_TRNGMIN,K190&gt;=c_TRNGMAX,c_TRNGMIN-c_TRNGMAX&lt;&gt;0),"Regen ramp","Coast (0)")))</f>
        <v>Seg4 map3-100%</v>
      </c>
      <c r="R190" s="7" t="n">
        <f aca="false">IF(K190&gt;=c_TFWD,IF(AND(K190&gt;=c_TMAP3IN,c_TMAP3IN&lt;1000),P190,IF(AND(K190&gt;=c_TMAP2IN,c_TMAP3IN&gt;c_TMAP2IN),O190,IF(AND(K190&gt;=c_TMAP1IN,c_TMAP2IN&gt;c_TMAP1IN),N190,M190))),L190)</f>
        <v>294</v>
      </c>
      <c r="S190" s="7" t="str">
        <f aca="false">IF(R190&lt;-1090,"TOO LOW",IF(R190&gt;1090,"TOO HIGH",""))</f>
        <v/>
      </c>
      <c r="T190" s="15" t="n">
        <f aca="false">IF(H190&lt;&gt;"OK",0,IF(S190&lt;&gt;"",0,IF(R190&gt;979,1000,R190)))</f>
        <v>294</v>
      </c>
      <c r="U190" s="7" t="n">
        <f aca="false">T190/10</f>
        <v>29.4</v>
      </c>
    </row>
    <row r="191" customFormat="false" ht="15" hidden="false" customHeight="false" outlineLevel="0" collapsed="false">
      <c r="A191" s="7" t="n">
        <v>186</v>
      </c>
      <c r="B191" s="7" t="n">
        <f aca="false">ROUND(o_SWSTART+A191*(o_SWEND-o_SWSTART)/400,0)</f>
        <v>1904</v>
      </c>
      <c r="C191" s="7" t="n">
        <f aca="false">QUOTIENT((B191-c_OFF1)*c_GAIN1,1024)</f>
        <v>1904</v>
      </c>
      <c r="D191" s="7" t="n">
        <f aca="false">IF(((c_T1MX)-(c_T1MN))=0,(0)+QUOTIENT(((1000)-(0)),2),QUOTIENT((((C191)-(c_T1MN))*((1000)-(0))+IF(((1000)-(0))&gt;=0,1,-1)*QUOTIENT(((c_T1MX)-(c_T1MN)),2)),((c_T1MX)-(c_T1MN)))+(0)+IF(((1000)-(0))&gt;=0,IF(IF(o_WRAP=1,MOD(((c_T1MX)-(c_T1MN))*(((C191)-(c_T1MN))*((1000)-(0))+IF(((1000)-(0))&gt;=0,1,-1)*QUOTIENT(((c_T1MX)-(c_T1MN)),2))+2147483648,4294967296)-2147483648,((c_T1MX)-(c_T1MN))*(((C191)-(c_T1MN))*((1000)-(0))+IF(((1000)-(0))&gt;=0,1,-1)*QUOTIENT(((c_T1MX)-(c_T1MN)),2)))&lt;0,-1,0),IF(IF(o_WRAP=1,MOD(((c_T1MX)-(c_T1MN))*(((C191)-(c_T1MN))*((1000)-(0))+IF(((1000)-(0))&gt;=0,1,-1)*QUOTIENT(((c_T1MX)-(c_T1MN)),2))+2147483648,4294967296)-2147483648,((c_T1MX)-(c_T1MN))*(((C191)-(c_T1MN))*((1000)-(0))+IF(((1000)-(0))&gt;=0,1,-1)*QUOTIENT(((c_T1MX)-(c_T1MN)),2)))&gt;=0,1,0)))</f>
        <v>429</v>
      </c>
      <c r="E191" s="7" t="n">
        <f aca="false">IF(AND(c_TPOT=1,c_TTYPE=2),1000-D191,D191)</f>
        <v>429</v>
      </c>
      <c r="F191" s="7" t="str">
        <f aca="false">IF(c_TPOT&gt;1,ROUND(IF(c_TTYPE=2,c_T2MX-IF(c_T1MX=c_T1MN,0,(C191-c_T1MN)/(c_T1MX-c_T1MN))*(c_T2MX-c_T2MN),c_T2MN+IF(c_T1MX=c_T1MN,0,(C191-c_T1MN)/(c_T1MX-c_T1MN))*(c_T2MX-c_T2MN))+o_MISMATCH,0),"")</f>
        <v/>
      </c>
      <c r="G191" s="7" t="str">
        <f aca="false">IF(c_TPOT&gt;1,IF(((c_T2MX)-(c_T2MN))=0,(0)+QUOTIENT(((1000)-(0)),2),QUOTIENT((((F191)-(c_T2MN))*((1000)-(0))+IF(((1000)-(0))&gt;=0,1,-1)*QUOTIENT(((c_T2MX)-(c_T2MN)),2)),((c_T2MX)-(c_T2MN)))+(0)+IF(((1000)-(0))&gt;=0,IF(IF(o_WRAP=1,MOD(((c_T2MX)-(c_T2MN))*(((F191)-(c_T2MN))*((1000)-(0))+IF(((1000)-(0))&gt;=0,1,-1)*QUOTIENT(((c_T2MX)-(c_T2MN)),2))+2147483648,4294967296)-2147483648,((c_T2MX)-(c_T2MN))*(((F191)-(c_T2MN))*((1000)-(0))+IF(((1000)-(0))&gt;=0,1,-1)*QUOTIENT(((c_T2MX)-(c_T2MN)),2)))&lt;0,-1,0),IF(IF(o_WRAP=1,MOD(((c_T2MX)-(c_T2MN))*(((F191)-(c_T2MN))*((1000)-(0))+IF(((1000)-(0))&gt;=0,1,-1)*QUOTIENT(((c_T2MX)-(c_T2MN)),2))+2147483648,4294967296)-2147483648,((c_T2MX)-(c_T2MN))*(((F191)-(c_T2MN))*((1000)-(0))+IF(((1000)-(0))&gt;=0,1,-1)*QUOTIENT(((c_T2MX)-(c_T2MN)),2)))&gt;=0,1,0))),"")</f>
        <v/>
      </c>
      <c r="H191" s="7" t="str">
        <f aca="false">IF(E191&gt;1000+k_TOL,"T1 HIGH",IF(E191&lt;0-k_TOL,"T1 LOW",IF(c_TPOT&gt;1,IF(G191&gt;1000+k_TOL,"T2 HIGH",IF(G191&lt;0-k_TOL,"T2 LOW",IF(c_TTYPE=2,IF(ABS(1000-MAX(0,MIN(1000,E191))-MAX(0,MIN(1000,G191)))&gt;k_MAXERR,"MISMATCH","OK"),IF(OR(MAX(0,MIN(1000,E191))-k_MAXERR&gt;MAX(0,MIN(1000,G191)),MAX(0,MIN(1000,G191))-k_MAXERR&gt;MAX(0,MIN(1000,E191))),"MISMATCH","OK")))),"OK")))</f>
        <v>OK</v>
      </c>
      <c r="I191" s="7" t="n">
        <f aca="false">MAX(0,MIN(1000,D191))</f>
        <v>429</v>
      </c>
      <c r="J191" s="7" t="str">
        <f aca="false">IF(c_TPOT&gt;1,IF(c_TTYPE=2,1000-MAX(0,MIN(1000,G191)),MAX(0,MIN(1000,G191))),"")</f>
        <v/>
      </c>
      <c r="K191" s="7" t="n">
        <f aca="false">IF(c_TPOT&gt;1,QUOTIENT(I191+J191,2),I191)</f>
        <v>429</v>
      </c>
      <c r="L191" s="7" t="n">
        <f aca="false">IF(AND(K191=0,c_TCREEP&gt;0),10*c_TCREEP,IF(AND(K191&lt;=c_TRNGMIN,K191&gt;=c_TRNGMAX,c_TRNGMIN-c_TRNGMAX&lt;&gt;0),-10*c_TMINRN+QUOTIENT((c_TMAXRN-c_TMINRN)*(100-QUOTIENT((K191-c_TRNGMAX)*100,c_TRNGMIN-c_TRNGMAX)),-10),0))</f>
        <v>0</v>
      </c>
      <c r="M191" s="7" t="n">
        <f aca="false">IF(((c_TMAP1IN)-(c_TFWD))=0,(0)+QUOTIENT(((c_TMAP1OUT)-(0)),2),QUOTIENT((((K191)-(c_TFWD))*((c_TMAP1OUT)-(0))+IF(((c_TMAP1OUT)-(0))&gt;=0,1,-1)*QUOTIENT(((c_TMAP1IN)-(c_TFWD)),2)),((c_TMAP1IN)-(c_TFWD)))+(0)+IF(((c_TMAP1OUT)-(0))&gt;=0,IF(IF(o_WRAP=1,MOD(((c_TMAP1IN)-(c_TFWD))*(((K191)-(c_TFWD))*((c_TMAP1OUT)-(0))+IF(((c_TMAP1OUT)-(0))&gt;=0,1,-1)*QUOTIENT(((c_TMAP1IN)-(c_TFWD)),2))+2147483648,4294967296)-2147483648,((c_TMAP1IN)-(c_TFWD))*(((K191)-(c_TFWD))*((c_TMAP1OUT)-(0))+IF(((c_TMAP1OUT)-(0))&gt;=0,1,-1)*QUOTIENT(((c_TMAP1IN)-(c_TFWD)),2)))&lt;0,-1,0),IF(IF(o_WRAP=1,MOD(((c_TMAP1IN)-(c_TFWD))*(((K191)-(c_TFWD))*((c_TMAP1OUT)-(0))+IF(((c_TMAP1OUT)-(0))&gt;=0,1,-1)*QUOTIENT(((c_TMAP1IN)-(c_TFWD)),2))+2147483648,4294967296)-2147483648,((c_TMAP1IN)-(c_TFWD))*(((K191)-(c_TFWD))*((c_TMAP1OUT)-(0))+IF(((c_TMAP1OUT)-(0))&gt;=0,1,-1)*QUOTIENT(((c_TMAP1IN)-(c_TFWD)),2)))&gt;=0,1,0)))</f>
        <v>326</v>
      </c>
      <c r="N191" s="7" t="n">
        <f aca="false">IF(((c_TMAP2IN)-(c_TMAP1IN))=0,(c_TMAP1OUT)+QUOTIENT(((c_TMAP2OUT)-(c_TMAP1OUT)),2),QUOTIENT((((K191)-(c_TMAP1IN))*((c_TMAP2OUT)-(c_TMAP1OUT))+IF(((c_TMAP2OUT)-(c_TMAP1OUT))&gt;=0,1,-1)*QUOTIENT(((c_TMAP2IN)-(c_TMAP1IN)),2)),((c_TMAP2IN)-(c_TMAP1IN)))+(c_TMAP1OUT)+IF(((c_TMAP2OUT)-(c_TMAP1OUT))&gt;=0,IF(IF(o_WRAP=1,MOD(((c_TMAP2IN)-(c_TMAP1IN))*(((K191)-(c_TMAP1IN))*((c_TMAP2OUT)-(c_TMAP1OUT))+IF(((c_TMAP2OUT)-(c_TMAP1OUT))&gt;=0,1,-1)*QUOTIENT(((c_TMAP2IN)-(c_TMAP1IN)),2))+2147483648,4294967296)-2147483648,((c_TMAP2IN)-(c_TMAP1IN))*(((K191)-(c_TMAP1IN))*((c_TMAP2OUT)-(c_TMAP1OUT))+IF(((c_TMAP2OUT)-(c_TMAP1OUT))&gt;=0,1,-1)*QUOTIENT(((c_TMAP2IN)-(c_TMAP1IN)),2)))&lt;0,-1,0),IF(IF(o_WRAP=1,MOD(((c_TMAP2IN)-(c_TMAP1IN))*(((K191)-(c_TMAP1IN))*((c_TMAP2OUT)-(c_TMAP1OUT))+IF(((c_TMAP2OUT)-(c_TMAP1OUT))&gt;=0,1,-1)*QUOTIENT(((c_TMAP2IN)-(c_TMAP1IN)),2))+2147483648,4294967296)-2147483648,((c_TMAP2IN)-(c_TMAP1IN))*(((K191)-(c_TMAP1IN))*((c_TMAP2OUT)-(c_TMAP1OUT))+IF(((c_TMAP2OUT)-(c_TMAP1OUT))&gt;=0,1,-1)*QUOTIENT(((c_TMAP2IN)-(c_TMAP1IN)),2)))&gt;=0,1,0)))</f>
        <v>202</v>
      </c>
      <c r="O191" s="7" t="n">
        <f aca="false">IF(((c_TMAP3IN)-(c_TMAP2IN))=0,(c_TMAP2OUT)+QUOTIENT(((c_TMAP3OUT)-(c_TMAP2OUT)),2),QUOTIENT((((K191)-(c_TMAP2IN))*((c_TMAP3OUT)-(c_TMAP2OUT))+IF(((c_TMAP3OUT)-(c_TMAP2OUT))&gt;=0,1,-1)*QUOTIENT(((c_TMAP3IN)-(c_TMAP2IN)),2)),((c_TMAP3IN)-(c_TMAP2IN)))+(c_TMAP2OUT)+IF(((c_TMAP3OUT)-(c_TMAP2OUT))&gt;=0,IF(IF(o_WRAP=1,MOD(((c_TMAP3IN)-(c_TMAP2IN))*(((K191)-(c_TMAP2IN))*((c_TMAP3OUT)-(c_TMAP2OUT))+IF(((c_TMAP3OUT)-(c_TMAP2OUT))&gt;=0,1,-1)*QUOTIENT(((c_TMAP3IN)-(c_TMAP2IN)),2))+2147483648,4294967296)-2147483648,((c_TMAP3IN)-(c_TMAP2IN))*(((K191)-(c_TMAP2IN))*((c_TMAP3OUT)-(c_TMAP2OUT))+IF(((c_TMAP3OUT)-(c_TMAP2OUT))&gt;=0,1,-1)*QUOTIENT(((c_TMAP3IN)-(c_TMAP2IN)),2)))&lt;0,-1,0),IF(IF(o_WRAP=1,MOD(((c_TMAP3IN)-(c_TMAP2IN))*(((K191)-(c_TMAP2IN))*((c_TMAP3OUT)-(c_TMAP2OUT))+IF(((c_TMAP3OUT)-(c_TMAP2OUT))&gt;=0,1,-1)*QUOTIENT(((c_TMAP3IN)-(c_TMAP2IN)),2))+2147483648,4294967296)-2147483648,((c_TMAP3IN)-(c_TMAP2IN))*(((K191)-(c_TMAP2IN))*((c_TMAP3OUT)-(c_TMAP2OUT))+IF(((c_TMAP3OUT)-(c_TMAP2OUT))&gt;=0,1,-1)*QUOTIENT(((c_TMAP3IN)-(c_TMAP2IN)),2)))&gt;=0,1,0)))</f>
        <v>255</v>
      </c>
      <c r="P191" s="7" t="n">
        <f aca="false">IF(((1000)-(c_TMAP3IN))=0,(c_TMAP3OUT)+QUOTIENT(((1000)-(c_TMAP3OUT)),2),QUOTIENT((((K191)-(c_TMAP3IN))*((1000)-(c_TMAP3OUT))+IF(((1000)-(c_TMAP3OUT))&gt;=0,1,-1)*QUOTIENT(((1000)-(c_TMAP3IN)),2)),((1000)-(c_TMAP3IN)))+(c_TMAP3OUT)+IF(((1000)-(c_TMAP3OUT))&gt;=0,IF(IF(o_WRAP=1,MOD(((1000)-(c_TMAP3IN))*(((K191)-(c_TMAP3IN))*((1000)-(c_TMAP3OUT))+IF(((1000)-(c_TMAP3OUT))&gt;=0,1,-1)*QUOTIENT(((1000)-(c_TMAP3IN)),2))+2147483648,4294967296)-2147483648,((1000)-(c_TMAP3IN))*(((K191)-(c_TMAP3IN))*((1000)-(c_TMAP3OUT))+IF(((1000)-(c_TMAP3OUT))&gt;=0,1,-1)*QUOTIENT(((1000)-(c_TMAP3IN)),2)))&lt;0,-1,0),IF(IF(o_WRAP=1,MOD(((1000)-(c_TMAP3IN))*(((K191)-(c_TMAP3IN))*((1000)-(c_TMAP3OUT))+IF(((1000)-(c_TMAP3OUT))&gt;=0,1,-1)*QUOTIENT(((1000)-(c_TMAP3IN)),2))+2147483648,4294967296)-2147483648,((1000)-(c_TMAP3IN))*(((K191)-(c_TMAP3IN))*((1000)-(c_TMAP3OUT))+IF(((1000)-(c_TMAP3OUT))&gt;=0,1,-1)*QUOTIENT(((1000)-(c_TMAP3IN)),2)))&gt;=0,1,0)))</f>
        <v>297</v>
      </c>
      <c r="Q191" s="7" t="str">
        <f aca="false">IF(K191&gt;=c_TFWD,IF(AND(K191&gt;=c_TMAP3IN,c_TMAP3IN&lt;1000),"Seg4 map3-100%",IF(AND(K191&gt;=c_TMAP2IN,c_TMAP3IN&gt;c_TMAP2IN),"Seg3 map2-map3",IF(AND(K191&gt;=c_TMAP1IN,c_TMAP2IN&gt;c_TMAP1IN),"Seg2 map1-map2","Seg1 TFWD-map1"))),IF(AND(K191=0,c_TCREEP&gt;0),"Creep",IF(AND(K191&lt;=c_TRNGMIN,K191&gt;=c_TRNGMAX,c_TRNGMIN-c_TRNGMAX&lt;&gt;0),"Regen ramp","Coast (0)")))</f>
        <v>Seg4 map3-100%</v>
      </c>
      <c r="R191" s="7" t="n">
        <f aca="false">IF(K191&gt;=c_TFWD,IF(AND(K191&gt;=c_TMAP3IN,c_TMAP3IN&lt;1000),P191,IF(AND(K191&gt;=c_TMAP2IN,c_TMAP3IN&gt;c_TMAP2IN),O191,IF(AND(K191&gt;=c_TMAP1IN,c_TMAP2IN&gt;c_TMAP1IN),N191,M191))),L191)</f>
        <v>297</v>
      </c>
      <c r="S191" s="7" t="str">
        <f aca="false">IF(R191&lt;-1090,"TOO LOW",IF(R191&gt;1090,"TOO HIGH",""))</f>
        <v/>
      </c>
      <c r="T191" s="15" t="n">
        <f aca="false">IF(H191&lt;&gt;"OK",0,IF(S191&lt;&gt;"",0,IF(R191&gt;979,1000,R191)))</f>
        <v>297</v>
      </c>
      <c r="U191" s="7" t="n">
        <f aca="false">T191/10</f>
        <v>29.7</v>
      </c>
    </row>
    <row r="192" customFormat="false" ht="15" hidden="false" customHeight="false" outlineLevel="0" collapsed="false">
      <c r="A192" s="7" t="n">
        <v>187</v>
      </c>
      <c r="B192" s="7" t="n">
        <f aca="false">ROUND(o_SWSTART+A192*(o_SWEND-o_SWSTART)/400,0)</f>
        <v>1914</v>
      </c>
      <c r="C192" s="7" t="n">
        <f aca="false">QUOTIENT((B192-c_OFF1)*c_GAIN1,1024)</f>
        <v>1914</v>
      </c>
      <c r="D192" s="7" t="n">
        <f aca="false">IF(((c_T1MX)-(c_T1MN))=0,(0)+QUOTIENT(((1000)-(0)),2),QUOTIENT((((C192)-(c_T1MN))*((1000)-(0))+IF(((1000)-(0))&gt;=0,1,-1)*QUOTIENT(((c_T1MX)-(c_T1MN)),2)),((c_T1MX)-(c_T1MN)))+(0)+IF(((1000)-(0))&gt;=0,IF(IF(o_WRAP=1,MOD(((c_T1MX)-(c_T1MN))*(((C192)-(c_T1MN))*((1000)-(0))+IF(((1000)-(0))&gt;=0,1,-1)*QUOTIENT(((c_T1MX)-(c_T1MN)),2))+2147483648,4294967296)-2147483648,((c_T1MX)-(c_T1MN))*(((C192)-(c_T1MN))*((1000)-(0))+IF(((1000)-(0))&gt;=0,1,-1)*QUOTIENT(((c_T1MX)-(c_T1MN)),2)))&lt;0,-1,0),IF(IF(o_WRAP=1,MOD(((c_T1MX)-(c_T1MN))*(((C192)-(c_T1MN))*((1000)-(0))+IF(((1000)-(0))&gt;=0,1,-1)*QUOTIENT(((c_T1MX)-(c_T1MN)),2))+2147483648,4294967296)-2147483648,((c_T1MX)-(c_T1MN))*(((C192)-(c_T1MN))*((1000)-(0))+IF(((1000)-(0))&gt;=0,1,-1)*QUOTIENT(((c_T1MX)-(c_T1MN)),2)))&gt;=0,1,0)))</f>
        <v>433</v>
      </c>
      <c r="E192" s="7" t="n">
        <f aca="false">IF(AND(c_TPOT=1,c_TTYPE=2),1000-D192,D192)</f>
        <v>433</v>
      </c>
      <c r="F192" s="7" t="str">
        <f aca="false">IF(c_TPOT&gt;1,ROUND(IF(c_TTYPE=2,c_T2MX-IF(c_T1MX=c_T1MN,0,(C192-c_T1MN)/(c_T1MX-c_T1MN))*(c_T2MX-c_T2MN),c_T2MN+IF(c_T1MX=c_T1MN,0,(C192-c_T1MN)/(c_T1MX-c_T1MN))*(c_T2MX-c_T2MN))+o_MISMATCH,0),"")</f>
        <v/>
      </c>
      <c r="G192" s="7" t="str">
        <f aca="false">IF(c_TPOT&gt;1,IF(((c_T2MX)-(c_T2MN))=0,(0)+QUOTIENT(((1000)-(0)),2),QUOTIENT((((F192)-(c_T2MN))*((1000)-(0))+IF(((1000)-(0))&gt;=0,1,-1)*QUOTIENT(((c_T2MX)-(c_T2MN)),2)),((c_T2MX)-(c_T2MN)))+(0)+IF(((1000)-(0))&gt;=0,IF(IF(o_WRAP=1,MOD(((c_T2MX)-(c_T2MN))*(((F192)-(c_T2MN))*((1000)-(0))+IF(((1000)-(0))&gt;=0,1,-1)*QUOTIENT(((c_T2MX)-(c_T2MN)),2))+2147483648,4294967296)-2147483648,((c_T2MX)-(c_T2MN))*(((F192)-(c_T2MN))*((1000)-(0))+IF(((1000)-(0))&gt;=0,1,-1)*QUOTIENT(((c_T2MX)-(c_T2MN)),2)))&lt;0,-1,0),IF(IF(o_WRAP=1,MOD(((c_T2MX)-(c_T2MN))*(((F192)-(c_T2MN))*((1000)-(0))+IF(((1000)-(0))&gt;=0,1,-1)*QUOTIENT(((c_T2MX)-(c_T2MN)),2))+2147483648,4294967296)-2147483648,((c_T2MX)-(c_T2MN))*(((F192)-(c_T2MN))*((1000)-(0))+IF(((1000)-(0))&gt;=0,1,-1)*QUOTIENT(((c_T2MX)-(c_T2MN)),2)))&gt;=0,1,0))),"")</f>
        <v/>
      </c>
      <c r="H192" s="7" t="str">
        <f aca="false">IF(E192&gt;1000+k_TOL,"T1 HIGH",IF(E192&lt;0-k_TOL,"T1 LOW",IF(c_TPOT&gt;1,IF(G192&gt;1000+k_TOL,"T2 HIGH",IF(G192&lt;0-k_TOL,"T2 LOW",IF(c_TTYPE=2,IF(ABS(1000-MAX(0,MIN(1000,E192))-MAX(0,MIN(1000,G192)))&gt;k_MAXERR,"MISMATCH","OK"),IF(OR(MAX(0,MIN(1000,E192))-k_MAXERR&gt;MAX(0,MIN(1000,G192)),MAX(0,MIN(1000,G192))-k_MAXERR&gt;MAX(0,MIN(1000,E192))),"MISMATCH","OK")))),"OK")))</f>
        <v>OK</v>
      </c>
      <c r="I192" s="7" t="n">
        <f aca="false">MAX(0,MIN(1000,D192))</f>
        <v>433</v>
      </c>
      <c r="J192" s="7" t="str">
        <f aca="false">IF(c_TPOT&gt;1,IF(c_TTYPE=2,1000-MAX(0,MIN(1000,G192)),MAX(0,MIN(1000,G192))),"")</f>
        <v/>
      </c>
      <c r="K192" s="7" t="n">
        <f aca="false">IF(c_TPOT&gt;1,QUOTIENT(I192+J192,2),I192)</f>
        <v>433</v>
      </c>
      <c r="L192" s="7" t="n">
        <f aca="false">IF(AND(K192=0,c_TCREEP&gt;0),10*c_TCREEP,IF(AND(K192&lt;=c_TRNGMIN,K192&gt;=c_TRNGMAX,c_TRNGMIN-c_TRNGMAX&lt;&gt;0),-10*c_TMINRN+QUOTIENT((c_TMAXRN-c_TMINRN)*(100-QUOTIENT((K192-c_TRNGMAX)*100,c_TRNGMIN-c_TRNGMAX)),-10),0))</f>
        <v>0</v>
      </c>
      <c r="M192" s="7" t="n">
        <f aca="false">IF(((c_TMAP1IN)-(c_TFWD))=0,(0)+QUOTIENT(((c_TMAP1OUT)-(0)),2),QUOTIENT((((K192)-(c_TFWD))*((c_TMAP1OUT)-(0))+IF(((c_TMAP1OUT)-(0))&gt;=0,1,-1)*QUOTIENT(((c_TMAP1IN)-(c_TFWD)),2)),((c_TMAP1IN)-(c_TFWD)))+(0)+IF(((c_TMAP1OUT)-(0))&gt;=0,IF(IF(o_WRAP=1,MOD(((c_TMAP1IN)-(c_TFWD))*(((K192)-(c_TFWD))*((c_TMAP1OUT)-(0))+IF(((c_TMAP1OUT)-(0))&gt;=0,1,-1)*QUOTIENT(((c_TMAP1IN)-(c_TFWD)),2))+2147483648,4294967296)-2147483648,((c_TMAP1IN)-(c_TFWD))*(((K192)-(c_TFWD))*((c_TMAP1OUT)-(0))+IF(((c_TMAP1OUT)-(0))&gt;=0,1,-1)*QUOTIENT(((c_TMAP1IN)-(c_TFWD)),2)))&lt;0,-1,0),IF(IF(o_WRAP=1,MOD(((c_TMAP1IN)-(c_TFWD))*(((K192)-(c_TFWD))*((c_TMAP1OUT)-(0))+IF(((c_TMAP1OUT)-(0))&gt;=0,1,-1)*QUOTIENT(((c_TMAP1IN)-(c_TFWD)),2))+2147483648,4294967296)-2147483648,((c_TMAP1IN)-(c_TFWD))*(((K192)-(c_TFWD))*((c_TMAP1OUT)-(0))+IF(((c_TMAP1OUT)-(0))&gt;=0,1,-1)*QUOTIENT(((c_TMAP1IN)-(c_TFWD)),2)))&gt;=0,1,0)))</f>
        <v>329</v>
      </c>
      <c r="N192" s="7" t="n">
        <f aca="false">IF(((c_TMAP2IN)-(c_TMAP1IN))=0,(c_TMAP1OUT)+QUOTIENT(((c_TMAP2OUT)-(c_TMAP1OUT)),2),QUOTIENT((((K192)-(c_TMAP1IN))*((c_TMAP2OUT)-(c_TMAP1OUT))+IF(((c_TMAP2OUT)-(c_TMAP1OUT))&gt;=0,1,-1)*QUOTIENT(((c_TMAP2IN)-(c_TMAP1IN)),2)),((c_TMAP2IN)-(c_TMAP1IN)))+(c_TMAP1OUT)+IF(((c_TMAP2OUT)-(c_TMAP1OUT))&gt;=0,IF(IF(o_WRAP=1,MOD(((c_TMAP2IN)-(c_TMAP1IN))*(((K192)-(c_TMAP1IN))*((c_TMAP2OUT)-(c_TMAP1OUT))+IF(((c_TMAP2OUT)-(c_TMAP1OUT))&gt;=0,1,-1)*QUOTIENT(((c_TMAP2IN)-(c_TMAP1IN)),2))+2147483648,4294967296)-2147483648,((c_TMAP2IN)-(c_TMAP1IN))*(((K192)-(c_TMAP1IN))*((c_TMAP2OUT)-(c_TMAP1OUT))+IF(((c_TMAP2OUT)-(c_TMAP1OUT))&gt;=0,1,-1)*QUOTIENT(((c_TMAP2IN)-(c_TMAP1IN)),2)))&lt;0,-1,0),IF(IF(o_WRAP=1,MOD(((c_TMAP2IN)-(c_TMAP1IN))*(((K192)-(c_TMAP1IN))*((c_TMAP2OUT)-(c_TMAP1OUT))+IF(((c_TMAP2OUT)-(c_TMAP1OUT))&gt;=0,1,-1)*QUOTIENT(((c_TMAP2IN)-(c_TMAP1IN)),2))+2147483648,4294967296)-2147483648,((c_TMAP2IN)-(c_TMAP1IN))*(((K192)-(c_TMAP1IN))*((c_TMAP2OUT)-(c_TMAP1OUT))+IF(((c_TMAP2OUT)-(c_TMAP1OUT))&gt;=0,1,-1)*QUOTIENT(((c_TMAP2IN)-(c_TMAP1IN)),2)))&gt;=0,1,0)))</f>
        <v>203</v>
      </c>
      <c r="O192" s="7" t="n">
        <f aca="false">IF(((c_TMAP3IN)-(c_TMAP2IN))=0,(c_TMAP2OUT)+QUOTIENT(((c_TMAP3OUT)-(c_TMAP2OUT)),2),QUOTIENT((((K192)-(c_TMAP2IN))*((c_TMAP3OUT)-(c_TMAP2OUT))+IF(((c_TMAP3OUT)-(c_TMAP2OUT))&gt;=0,1,-1)*QUOTIENT(((c_TMAP3IN)-(c_TMAP2IN)),2)),((c_TMAP3IN)-(c_TMAP2IN)))+(c_TMAP2OUT)+IF(((c_TMAP3OUT)-(c_TMAP2OUT))&gt;=0,IF(IF(o_WRAP=1,MOD(((c_TMAP3IN)-(c_TMAP2IN))*(((K192)-(c_TMAP2IN))*((c_TMAP3OUT)-(c_TMAP2OUT))+IF(((c_TMAP3OUT)-(c_TMAP2OUT))&gt;=0,1,-1)*QUOTIENT(((c_TMAP3IN)-(c_TMAP2IN)),2))+2147483648,4294967296)-2147483648,((c_TMAP3IN)-(c_TMAP2IN))*(((K192)-(c_TMAP2IN))*((c_TMAP3OUT)-(c_TMAP2OUT))+IF(((c_TMAP3OUT)-(c_TMAP2OUT))&gt;=0,1,-1)*QUOTIENT(((c_TMAP3IN)-(c_TMAP2IN)),2)))&lt;0,-1,0),IF(IF(o_WRAP=1,MOD(((c_TMAP3IN)-(c_TMAP2IN))*(((K192)-(c_TMAP2IN))*((c_TMAP3OUT)-(c_TMAP2OUT))+IF(((c_TMAP3OUT)-(c_TMAP2OUT))&gt;=0,1,-1)*QUOTIENT(((c_TMAP3IN)-(c_TMAP2IN)),2))+2147483648,4294967296)-2147483648,((c_TMAP3IN)-(c_TMAP2IN))*(((K192)-(c_TMAP2IN))*((c_TMAP3OUT)-(c_TMAP2OUT))+IF(((c_TMAP3OUT)-(c_TMAP2OUT))&gt;=0,1,-1)*QUOTIENT(((c_TMAP3IN)-(c_TMAP2IN)),2)))&gt;=0,1,0)))</f>
        <v>258</v>
      </c>
      <c r="P192" s="7" t="n">
        <f aca="false">IF(((1000)-(c_TMAP3IN))=0,(c_TMAP3OUT)+QUOTIENT(((1000)-(c_TMAP3OUT)),2),QUOTIENT((((K192)-(c_TMAP3IN))*((1000)-(c_TMAP3OUT))+IF(((1000)-(c_TMAP3OUT))&gt;=0,1,-1)*QUOTIENT(((1000)-(c_TMAP3IN)),2)),((1000)-(c_TMAP3IN)))+(c_TMAP3OUT)+IF(((1000)-(c_TMAP3OUT))&gt;=0,IF(IF(o_WRAP=1,MOD(((1000)-(c_TMAP3IN))*(((K192)-(c_TMAP3IN))*((1000)-(c_TMAP3OUT))+IF(((1000)-(c_TMAP3OUT))&gt;=0,1,-1)*QUOTIENT(((1000)-(c_TMAP3IN)),2))+2147483648,4294967296)-2147483648,((1000)-(c_TMAP3IN))*(((K192)-(c_TMAP3IN))*((1000)-(c_TMAP3OUT))+IF(((1000)-(c_TMAP3OUT))&gt;=0,1,-1)*QUOTIENT(((1000)-(c_TMAP3IN)),2)))&lt;0,-1,0),IF(IF(o_WRAP=1,MOD(((1000)-(c_TMAP3IN))*(((K192)-(c_TMAP3IN))*((1000)-(c_TMAP3OUT))+IF(((1000)-(c_TMAP3OUT))&gt;=0,1,-1)*QUOTIENT(((1000)-(c_TMAP3IN)),2))+2147483648,4294967296)-2147483648,((1000)-(c_TMAP3IN))*(((K192)-(c_TMAP3IN))*((1000)-(c_TMAP3OUT))+IF(((1000)-(c_TMAP3OUT))&gt;=0,1,-1)*QUOTIENT(((1000)-(c_TMAP3IN)),2)))&gt;=0,1,0)))</f>
        <v>302</v>
      </c>
      <c r="Q192" s="7" t="str">
        <f aca="false">IF(K192&gt;=c_TFWD,IF(AND(K192&gt;=c_TMAP3IN,c_TMAP3IN&lt;1000),"Seg4 map3-100%",IF(AND(K192&gt;=c_TMAP2IN,c_TMAP3IN&gt;c_TMAP2IN),"Seg3 map2-map3",IF(AND(K192&gt;=c_TMAP1IN,c_TMAP2IN&gt;c_TMAP1IN),"Seg2 map1-map2","Seg1 TFWD-map1"))),IF(AND(K192=0,c_TCREEP&gt;0),"Creep",IF(AND(K192&lt;=c_TRNGMIN,K192&gt;=c_TRNGMAX,c_TRNGMIN-c_TRNGMAX&lt;&gt;0),"Regen ramp","Coast (0)")))</f>
        <v>Seg4 map3-100%</v>
      </c>
      <c r="R192" s="7" t="n">
        <f aca="false">IF(K192&gt;=c_TFWD,IF(AND(K192&gt;=c_TMAP3IN,c_TMAP3IN&lt;1000),P192,IF(AND(K192&gt;=c_TMAP2IN,c_TMAP3IN&gt;c_TMAP2IN),O192,IF(AND(K192&gt;=c_TMAP1IN,c_TMAP2IN&gt;c_TMAP1IN),N192,M192))),L192)</f>
        <v>302</v>
      </c>
      <c r="S192" s="7" t="str">
        <f aca="false">IF(R192&lt;-1090,"TOO LOW",IF(R192&gt;1090,"TOO HIGH",""))</f>
        <v/>
      </c>
      <c r="T192" s="15" t="n">
        <f aca="false">IF(H192&lt;&gt;"OK",0,IF(S192&lt;&gt;"",0,IF(R192&gt;979,1000,R192)))</f>
        <v>302</v>
      </c>
      <c r="U192" s="7" t="n">
        <f aca="false">T192/10</f>
        <v>30.2</v>
      </c>
    </row>
    <row r="193" customFormat="false" ht="15" hidden="false" customHeight="false" outlineLevel="0" collapsed="false">
      <c r="A193" s="7" t="n">
        <v>188</v>
      </c>
      <c r="B193" s="7" t="n">
        <f aca="false">ROUND(o_SWSTART+A193*(o_SWEND-o_SWSTART)/400,0)</f>
        <v>1925</v>
      </c>
      <c r="C193" s="7" t="n">
        <f aca="false">QUOTIENT((B193-c_OFF1)*c_GAIN1,1024)</f>
        <v>1925</v>
      </c>
      <c r="D193" s="7" t="n">
        <f aca="false">IF(((c_T1MX)-(c_T1MN))=0,(0)+QUOTIENT(((1000)-(0)),2),QUOTIENT((((C193)-(c_T1MN))*((1000)-(0))+IF(((1000)-(0))&gt;=0,1,-1)*QUOTIENT(((c_T1MX)-(c_T1MN)),2)),((c_T1MX)-(c_T1MN)))+(0)+IF(((1000)-(0))&gt;=0,IF(IF(o_WRAP=1,MOD(((c_T1MX)-(c_T1MN))*(((C193)-(c_T1MN))*((1000)-(0))+IF(((1000)-(0))&gt;=0,1,-1)*QUOTIENT(((c_T1MX)-(c_T1MN)),2))+2147483648,4294967296)-2147483648,((c_T1MX)-(c_T1MN))*(((C193)-(c_T1MN))*((1000)-(0))+IF(((1000)-(0))&gt;=0,1,-1)*QUOTIENT(((c_T1MX)-(c_T1MN)),2)))&lt;0,-1,0),IF(IF(o_WRAP=1,MOD(((c_T1MX)-(c_T1MN))*(((C193)-(c_T1MN))*((1000)-(0))+IF(((1000)-(0))&gt;=0,1,-1)*QUOTIENT(((c_T1MX)-(c_T1MN)),2))+2147483648,4294967296)-2147483648,((c_T1MX)-(c_T1MN))*(((C193)-(c_T1MN))*((1000)-(0))+IF(((1000)-(0))&gt;=0,1,-1)*QUOTIENT(((c_T1MX)-(c_T1MN)),2)))&gt;=0,1,0)))</f>
        <v>437</v>
      </c>
      <c r="E193" s="7" t="n">
        <f aca="false">IF(AND(c_TPOT=1,c_TTYPE=2),1000-D193,D193)</f>
        <v>437</v>
      </c>
      <c r="F193" s="7" t="str">
        <f aca="false">IF(c_TPOT&gt;1,ROUND(IF(c_TTYPE=2,c_T2MX-IF(c_T1MX=c_T1MN,0,(C193-c_T1MN)/(c_T1MX-c_T1MN))*(c_T2MX-c_T2MN),c_T2MN+IF(c_T1MX=c_T1MN,0,(C193-c_T1MN)/(c_T1MX-c_T1MN))*(c_T2MX-c_T2MN))+o_MISMATCH,0),"")</f>
        <v/>
      </c>
      <c r="G193" s="7" t="str">
        <f aca="false">IF(c_TPOT&gt;1,IF(((c_T2MX)-(c_T2MN))=0,(0)+QUOTIENT(((1000)-(0)),2),QUOTIENT((((F193)-(c_T2MN))*((1000)-(0))+IF(((1000)-(0))&gt;=0,1,-1)*QUOTIENT(((c_T2MX)-(c_T2MN)),2)),((c_T2MX)-(c_T2MN)))+(0)+IF(((1000)-(0))&gt;=0,IF(IF(o_WRAP=1,MOD(((c_T2MX)-(c_T2MN))*(((F193)-(c_T2MN))*((1000)-(0))+IF(((1000)-(0))&gt;=0,1,-1)*QUOTIENT(((c_T2MX)-(c_T2MN)),2))+2147483648,4294967296)-2147483648,((c_T2MX)-(c_T2MN))*(((F193)-(c_T2MN))*((1000)-(0))+IF(((1000)-(0))&gt;=0,1,-1)*QUOTIENT(((c_T2MX)-(c_T2MN)),2)))&lt;0,-1,0),IF(IF(o_WRAP=1,MOD(((c_T2MX)-(c_T2MN))*(((F193)-(c_T2MN))*((1000)-(0))+IF(((1000)-(0))&gt;=0,1,-1)*QUOTIENT(((c_T2MX)-(c_T2MN)),2))+2147483648,4294967296)-2147483648,((c_T2MX)-(c_T2MN))*(((F193)-(c_T2MN))*((1000)-(0))+IF(((1000)-(0))&gt;=0,1,-1)*QUOTIENT(((c_T2MX)-(c_T2MN)),2)))&gt;=0,1,0))),"")</f>
        <v/>
      </c>
      <c r="H193" s="7" t="str">
        <f aca="false">IF(E193&gt;1000+k_TOL,"T1 HIGH",IF(E193&lt;0-k_TOL,"T1 LOW",IF(c_TPOT&gt;1,IF(G193&gt;1000+k_TOL,"T2 HIGH",IF(G193&lt;0-k_TOL,"T2 LOW",IF(c_TTYPE=2,IF(ABS(1000-MAX(0,MIN(1000,E193))-MAX(0,MIN(1000,G193)))&gt;k_MAXERR,"MISMATCH","OK"),IF(OR(MAX(0,MIN(1000,E193))-k_MAXERR&gt;MAX(0,MIN(1000,G193)),MAX(0,MIN(1000,G193))-k_MAXERR&gt;MAX(0,MIN(1000,E193))),"MISMATCH","OK")))),"OK")))</f>
        <v>OK</v>
      </c>
      <c r="I193" s="7" t="n">
        <f aca="false">MAX(0,MIN(1000,D193))</f>
        <v>437</v>
      </c>
      <c r="J193" s="7" t="str">
        <f aca="false">IF(c_TPOT&gt;1,IF(c_TTYPE=2,1000-MAX(0,MIN(1000,G193)),MAX(0,MIN(1000,G193))),"")</f>
        <v/>
      </c>
      <c r="K193" s="7" t="n">
        <f aca="false">IF(c_TPOT&gt;1,QUOTIENT(I193+J193,2),I193)</f>
        <v>437</v>
      </c>
      <c r="L193" s="7" t="n">
        <f aca="false">IF(AND(K193=0,c_TCREEP&gt;0),10*c_TCREEP,IF(AND(K193&lt;=c_TRNGMIN,K193&gt;=c_TRNGMAX,c_TRNGMIN-c_TRNGMAX&lt;&gt;0),-10*c_TMINRN+QUOTIENT((c_TMAXRN-c_TMINRN)*(100-QUOTIENT((K193-c_TRNGMAX)*100,c_TRNGMIN-c_TRNGMAX)),-10),0))</f>
        <v>0</v>
      </c>
      <c r="M193" s="7" t="n">
        <f aca="false">IF(((c_TMAP1IN)-(c_TFWD))=0,(0)+QUOTIENT(((c_TMAP1OUT)-(0)),2),QUOTIENT((((K193)-(c_TFWD))*((c_TMAP1OUT)-(0))+IF(((c_TMAP1OUT)-(0))&gt;=0,1,-1)*QUOTIENT(((c_TMAP1IN)-(c_TFWD)),2)),((c_TMAP1IN)-(c_TFWD)))+(0)+IF(((c_TMAP1OUT)-(0))&gt;=0,IF(IF(o_WRAP=1,MOD(((c_TMAP1IN)-(c_TFWD))*(((K193)-(c_TFWD))*((c_TMAP1OUT)-(0))+IF(((c_TMAP1OUT)-(0))&gt;=0,1,-1)*QUOTIENT(((c_TMAP1IN)-(c_TFWD)),2))+2147483648,4294967296)-2147483648,((c_TMAP1IN)-(c_TFWD))*(((K193)-(c_TFWD))*((c_TMAP1OUT)-(0))+IF(((c_TMAP1OUT)-(0))&gt;=0,1,-1)*QUOTIENT(((c_TMAP1IN)-(c_TFWD)),2)))&lt;0,-1,0),IF(IF(o_WRAP=1,MOD(((c_TMAP1IN)-(c_TFWD))*(((K193)-(c_TFWD))*((c_TMAP1OUT)-(0))+IF(((c_TMAP1OUT)-(0))&gt;=0,1,-1)*QUOTIENT(((c_TMAP1IN)-(c_TFWD)),2))+2147483648,4294967296)-2147483648,((c_TMAP1IN)-(c_TFWD))*(((K193)-(c_TFWD))*((c_TMAP1OUT)-(0))+IF(((c_TMAP1OUT)-(0))&gt;=0,1,-1)*QUOTIENT(((c_TMAP1IN)-(c_TFWD)),2)))&gt;=0,1,0)))</f>
        <v>332</v>
      </c>
      <c r="N193" s="7" t="n">
        <f aca="false">IF(((c_TMAP2IN)-(c_TMAP1IN))=0,(c_TMAP1OUT)+QUOTIENT(((c_TMAP2OUT)-(c_TMAP1OUT)),2),QUOTIENT((((K193)-(c_TMAP1IN))*((c_TMAP2OUT)-(c_TMAP1OUT))+IF(((c_TMAP2OUT)-(c_TMAP1OUT))&gt;=0,1,-1)*QUOTIENT(((c_TMAP2IN)-(c_TMAP1IN)),2)),((c_TMAP2IN)-(c_TMAP1IN)))+(c_TMAP1OUT)+IF(((c_TMAP2OUT)-(c_TMAP1OUT))&gt;=0,IF(IF(o_WRAP=1,MOD(((c_TMAP2IN)-(c_TMAP1IN))*(((K193)-(c_TMAP1IN))*((c_TMAP2OUT)-(c_TMAP1OUT))+IF(((c_TMAP2OUT)-(c_TMAP1OUT))&gt;=0,1,-1)*QUOTIENT(((c_TMAP2IN)-(c_TMAP1IN)),2))+2147483648,4294967296)-2147483648,((c_TMAP2IN)-(c_TMAP1IN))*(((K193)-(c_TMAP1IN))*((c_TMAP2OUT)-(c_TMAP1OUT))+IF(((c_TMAP2OUT)-(c_TMAP1OUT))&gt;=0,1,-1)*QUOTIENT(((c_TMAP2IN)-(c_TMAP1IN)),2)))&lt;0,-1,0),IF(IF(o_WRAP=1,MOD(((c_TMAP2IN)-(c_TMAP1IN))*(((K193)-(c_TMAP1IN))*((c_TMAP2OUT)-(c_TMAP1OUT))+IF(((c_TMAP2OUT)-(c_TMAP1OUT))&gt;=0,1,-1)*QUOTIENT(((c_TMAP2IN)-(c_TMAP1IN)),2))+2147483648,4294967296)-2147483648,((c_TMAP2IN)-(c_TMAP1IN))*(((K193)-(c_TMAP1IN))*((c_TMAP2OUT)-(c_TMAP1OUT))+IF(((c_TMAP2OUT)-(c_TMAP1OUT))&gt;=0,1,-1)*QUOTIENT(((c_TMAP2IN)-(c_TMAP1IN)),2)))&gt;=0,1,0)))</f>
        <v>205</v>
      </c>
      <c r="O193" s="7" t="n">
        <f aca="false">IF(((c_TMAP3IN)-(c_TMAP2IN))=0,(c_TMAP2OUT)+QUOTIENT(((c_TMAP3OUT)-(c_TMAP2OUT)),2),QUOTIENT((((K193)-(c_TMAP2IN))*((c_TMAP3OUT)-(c_TMAP2OUT))+IF(((c_TMAP3OUT)-(c_TMAP2OUT))&gt;=0,1,-1)*QUOTIENT(((c_TMAP3IN)-(c_TMAP2IN)),2)),((c_TMAP3IN)-(c_TMAP2IN)))+(c_TMAP2OUT)+IF(((c_TMAP3OUT)-(c_TMAP2OUT))&gt;=0,IF(IF(o_WRAP=1,MOD(((c_TMAP3IN)-(c_TMAP2IN))*(((K193)-(c_TMAP2IN))*((c_TMAP3OUT)-(c_TMAP2OUT))+IF(((c_TMAP3OUT)-(c_TMAP2OUT))&gt;=0,1,-1)*QUOTIENT(((c_TMAP3IN)-(c_TMAP2IN)),2))+2147483648,4294967296)-2147483648,((c_TMAP3IN)-(c_TMAP2IN))*(((K193)-(c_TMAP2IN))*((c_TMAP3OUT)-(c_TMAP2OUT))+IF(((c_TMAP3OUT)-(c_TMAP2OUT))&gt;=0,1,-1)*QUOTIENT(((c_TMAP3IN)-(c_TMAP2IN)),2)))&lt;0,-1,0),IF(IF(o_WRAP=1,MOD(((c_TMAP3IN)-(c_TMAP2IN))*(((K193)-(c_TMAP2IN))*((c_TMAP3OUT)-(c_TMAP2OUT))+IF(((c_TMAP3OUT)-(c_TMAP2OUT))&gt;=0,1,-1)*QUOTIENT(((c_TMAP3IN)-(c_TMAP2IN)),2))+2147483648,4294967296)-2147483648,((c_TMAP3IN)-(c_TMAP2IN))*(((K193)-(c_TMAP2IN))*((c_TMAP3OUT)-(c_TMAP2OUT))+IF(((c_TMAP3OUT)-(c_TMAP2OUT))&gt;=0,1,-1)*QUOTIENT(((c_TMAP3IN)-(c_TMAP2IN)),2)))&gt;=0,1,0)))</f>
        <v>261</v>
      </c>
      <c r="P193" s="7" t="n">
        <f aca="false">IF(((1000)-(c_TMAP3IN))=0,(c_TMAP3OUT)+QUOTIENT(((1000)-(c_TMAP3OUT)),2),QUOTIENT((((K193)-(c_TMAP3IN))*((1000)-(c_TMAP3OUT))+IF(((1000)-(c_TMAP3OUT))&gt;=0,1,-1)*QUOTIENT(((1000)-(c_TMAP3IN)),2)),((1000)-(c_TMAP3IN)))+(c_TMAP3OUT)+IF(((1000)-(c_TMAP3OUT))&gt;=0,IF(IF(o_WRAP=1,MOD(((1000)-(c_TMAP3IN))*(((K193)-(c_TMAP3IN))*((1000)-(c_TMAP3OUT))+IF(((1000)-(c_TMAP3OUT))&gt;=0,1,-1)*QUOTIENT(((1000)-(c_TMAP3IN)),2))+2147483648,4294967296)-2147483648,((1000)-(c_TMAP3IN))*(((K193)-(c_TMAP3IN))*((1000)-(c_TMAP3OUT))+IF(((1000)-(c_TMAP3OUT))&gt;=0,1,-1)*QUOTIENT(((1000)-(c_TMAP3IN)),2)))&lt;0,-1,0),IF(IF(o_WRAP=1,MOD(((1000)-(c_TMAP3IN))*(((K193)-(c_TMAP3IN))*((1000)-(c_TMAP3OUT))+IF(((1000)-(c_TMAP3OUT))&gt;=0,1,-1)*QUOTIENT(((1000)-(c_TMAP3IN)),2))+2147483648,4294967296)-2147483648,((1000)-(c_TMAP3IN))*(((K193)-(c_TMAP3IN))*((1000)-(c_TMAP3OUT))+IF(((1000)-(c_TMAP3OUT))&gt;=0,1,-1)*QUOTIENT(((1000)-(c_TMAP3IN)),2)))&gt;=0,1,0)))</f>
        <v>307</v>
      </c>
      <c r="Q193" s="7" t="str">
        <f aca="false">IF(K193&gt;=c_TFWD,IF(AND(K193&gt;=c_TMAP3IN,c_TMAP3IN&lt;1000),"Seg4 map3-100%",IF(AND(K193&gt;=c_TMAP2IN,c_TMAP3IN&gt;c_TMAP2IN),"Seg3 map2-map3",IF(AND(K193&gt;=c_TMAP1IN,c_TMAP2IN&gt;c_TMAP1IN),"Seg2 map1-map2","Seg1 TFWD-map1"))),IF(AND(K193=0,c_TCREEP&gt;0),"Creep",IF(AND(K193&lt;=c_TRNGMIN,K193&gt;=c_TRNGMAX,c_TRNGMIN-c_TRNGMAX&lt;&gt;0),"Regen ramp","Coast (0)")))</f>
        <v>Seg4 map3-100%</v>
      </c>
      <c r="R193" s="7" t="n">
        <f aca="false">IF(K193&gt;=c_TFWD,IF(AND(K193&gt;=c_TMAP3IN,c_TMAP3IN&lt;1000),P193,IF(AND(K193&gt;=c_TMAP2IN,c_TMAP3IN&gt;c_TMAP2IN),O193,IF(AND(K193&gt;=c_TMAP1IN,c_TMAP2IN&gt;c_TMAP1IN),N193,M193))),L193)</f>
        <v>307</v>
      </c>
      <c r="S193" s="7" t="str">
        <f aca="false">IF(R193&lt;-1090,"TOO LOW",IF(R193&gt;1090,"TOO HIGH",""))</f>
        <v/>
      </c>
      <c r="T193" s="15" t="n">
        <f aca="false">IF(H193&lt;&gt;"OK",0,IF(S193&lt;&gt;"",0,IF(R193&gt;979,1000,R193)))</f>
        <v>307</v>
      </c>
      <c r="U193" s="7" t="n">
        <f aca="false">T193/10</f>
        <v>30.7</v>
      </c>
    </row>
    <row r="194" customFormat="false" ht="15" hidden="false" customHeight="false" outlineLevel="0" collapsed="false">
      <c r="A194" s="7" t="n">
        <v>189</v>
      </c>
      <c r="B194" s="7" t="n">
        <f aca="false">ROUND(o_SWSTART+A194*(o_SWEND-o_SWSTART)/400,0)</f>
        <v>1935</v>
      </c>
      <c r="C194" s="7" t="n">
        <f aca="false">QUOTIENT((B194-c_OFF1)*c_GAIN1,1024)</f>
        <v>1935</v>
      </c>
      <c r="D194" s="7" t="n">
        <f aca="false">IF(((c_T1MX)-(c_T1MN))=0,(0)+QUOTIENT(((1000)-(0)),2),QUOTIENT((((C194)-(c_T1MN))*((1000)-(0))+IF(((1000)-(0))&gt;=0,1,-1)*QUOTIENT(((c_T1MX)-(c_T1MN)),2)),((c_T1MX)-(c_T1MN)))+(0)+IF(((1000)-(0))&gt;=0,IF(IF(o_WRAP=1,MOD(((c_T1MX)-(c_T1MN))*(((C194)-(c_T1MN))*((1000)-(0))+IF(((1000)-(0))&gt;=0,1,-1)*QUOTIENT(((c_T1MX)-(c_T1MN)),2))+2147483648,4294967296)-2147483648,((c_T1MX)-(c_T1MN))*(((C194)-(c_T1MN))*((1000)-(0))+IF(((1000)-(0))&gt;=0,1,-1)*QUOTIENT(((c_T1MX)-(c_T1MN)),2)))&lt;0,-1,0),IF(IF(o_WRAP=1,MOD(((c_T1MX)-(c_T1MN))*(((C194)-(c_T1MN))*((1000)-(0))+IF(((1000)-(0))&gt;=0,1,-1)*QUOTIENT(((c_T1MX)-(c_T1MN)),2))+2147483648,4294967296)-2147483648,((c_T1MX)-(c_T1MN))*(((C194)-(c_T1MN))*((1000)-(0))+IF(((1000)-(0))&gt;=0,1,-1)*QUOTIENT(((c_T1MX)-(c_T1MN)),2)))&gt;=0,1,0)))</f>
        <v>441</v>
      </c>
      <c r="E194" s="7" t="n">
        <f aca="false">IF(AND(c_TPOT=1,c_TTYPE=2),1000-D194,D194)</f>
        <v>441</v>
      </c>
      <c r="F194" s="7" t="str">
        <f aca="false">IF(c_TPOT&gt;1,ROUND(IF(c_TTYPE=2,c_T2MX-IF(c_T1MX=c_T1MN,0,(C194-c_T1MN)/(c_T1MX-c_T1MN))*(c_T2MX-c_T2MN),c_T2MN+IF(c_T1MX=c_T1MN,0,(C194-c_T1MN)/(c_T1MX-c_T1MN))*(c_T2MX-c_T2MN))+o_MISMATCH,0),"")</f>
        <v/>
      </c>
      <c r="G194" s="7" t="str">
        <f aca="false">IF(c_TPOT&gt;1,IF(((c_T2MX)-(c_T2MN))=0,(0)+QUOTIENT(((1000)-(0)),2),QUOTIENT((((F194)-(c_T2MN))*((1000)-(0))+IF(((1000)-(0))&gt;=0,1,-1)*QUOTIENT(((c_T2MX)-(c_T2MN)),2)),((c_T2MX)-(c_T2MN)))+(0)+IF(((1000)-(0))&gt;=0,IF(IF(o_WRAP=1,MOD(((c_T2MX)-(c_T2MN))*(((F194)-(c_T2MN))*((1000)-(0))+IF(((1000)-(0))&gt;=0,1,-1)*QUOTIENT(((c_T2MX)-(c_T2MN)),2))+2147483648,4294967296)-2147483648,((c_T2MX)-(c_T2MN))*(((F194)-(c_T2MN))*((1000)-(0))+IF(((1000)-(0))&gt;=0,1,-1)*QUOTIENT(((c_T2MX)-(c_T2MN)),2)))&lt;0,-1,0),IF(IF(o_WRAP=1,MOD(((c_T2MX)-(c_T2MN))*(((F194)-(c_T2MN))*((1000)-(0))+IF(((1000)-(0))&gt;=0,1,-1)*QUOTIENT(((c_T2MX)-(c_T2MN)),2))+2147483648,4294967296)-2147483648,((c_T2MX)-(c_T2MN))*(((F194)-(c_T2MN))*((1000)-(0))+IF(((1000)-(0))&gt;=0,1,-1)*QUOTIENT(((c_T2MX)-(c_T2MN)),2)))&gt;=0,1,0))),"")</f>
        <v/>
      </c>
      <c r="H194" s="7" t="str">
        <f aca="false">IF(E194&gt;1000+k_TOL,"T1 HIGH",IF(E194&lt;0-k_TOL,"T1 LOW",IF(c_TPOT&gt;1,IF(G194&gt;1000+k_TOL,"T2 HIGH",IF(G194&lt;0-k_TOL,"T2 LOW",IF(c_TTYPE=2,IF(ABS(1000-MAX(0,MIN(1000,E194))-MAX(0,MIN(1000,G194)))&gt;k_MAXERR,"MISMATCH","OK"),IF(OR(MAX(0,MIN(1000,E194))-k_MAXERR&gt;MAX(0,MIN(1000,G194)),MAX(0,MIN(1000,G194))-k_MAXERR&gt;MAX(0,MIN(1000,E194))),"MISMATCH","OK")))),"OK")))</f>
        <v>OK</v>
      </c>
      <c r="I194" s="7" t="n">
        <f aca="false">MAX(0,MIN(1000,D194))</f>
        <v>441</v>
      </c>
      <c r="J194" s="7" t="str">
        <f aca="false">IF(c_TPOT&gt;1,IF(c_TTYPE=2,1000-MAX(0,MIN(1000,G194)),MAX(0,MIN(1000,G194))),"")</f>
        <v/>
      </c>
      <c r="K194" s="7" t="n">
        <f aca="false">IF(c_TPOT&gt;1,QUOTIENT(I194+J194,2),I194)</f>
        <v>441</v>
      </c>
      <c r="L194" s="7" t="n">
        <f aca="false">IF(AND(K194=0,c_TCREEP&gt;0),10*c_TCREEP,IF(AND(K194&lt;=c_TRNGMIN,K194&gt;=c_TRNGMAX,c_TRNGMIN-c_TRNGMAX&lt;&gt;0),-10*c_TMINRN+QUOTIENT((c_TMAXRN-c_TMINRN)*(100-QUOTIENT((K194-c_TRNGMAX)*100,c_TRNGMIN-c_TRNGMAX)),-10),0))</f>
        <v>0</v>
      </c>
      <c r="M194" s="7" t="n">
        <f aca="false">IF(((c_TMAP1IN)-(c_TFWD))=0,(0)+QUOTIENT(((c_TMAP1OUT)-(0)),2),QUOTIENT((((K194)-(c_TFWD))*((c_TMAP1OUT)-(0))+IF(((c_TMAP1OUT)-(0))&gt;=0,1,-1)*QUOTIENT(((c_TMAP1IN)-(c_TFWD)),2)),((c_TMAP1IN)-(c_TFWD)))+(0)+IF(((c_TMAP1OUT)-(0))&gt;=0,IF(IF(o_WRAP=1,MOD(((c_TMAP1IN)-(c_TFWD))*(((K194)-(c_TFWD))*((c_TMAP1OUT)-(0))+IF(((c_TMAP1OUT)-(0))&gt;=0,1,-1)*QUOTIENT(((c_TMAP1IN)-(c_TFWD)),2))+2147483648,4294967296)-2147483648,((c_TMAP1IN)-(c_TFWD))*(((K194)-(c_TFWD))*((c_TMAP1OUT)-(0))+IF(((c_TMAP1OUT)-(0))&gt;=0,1,-1)*QUOTIENT(((c_TMAP1IN)-(c_TFWD)),2)))&lt;0,-1,0),IF(IF(o_WRAP=1,MOD(((c_TMAP1IN)-(c_TFWD))*(((K194)-(c_TFWD))*((c_TMAP1OUT)-(0))+IF(((c_TMAP1OUT)-(0))&gt;=0,1,-1)*QUOTIENT(((c_TMAP1IN)-(c_TFWD)),2))+2147483648,4294967296)-2147483648,((c_TMAP1IN)-(c_TFWD))*(((K194)-(c_TFWD))*((c_TMAP1OUT)-(0))+IF(((c_TMAP1OUT)-(0))&gt;=0,1,-1)*QUOTIENT(((c_TMAP1IN)-(c_TFWD)),2)))&gt;=0,1,0)))</f>
        <v>335</v>
      </c>
      <c r="N194" s="7" t="n">
        <f aca="false">IF(((c_TMAP2IN)-(c_TMAP1IN))=0,(c_TMAP1OUT)+QUOTIENT(((c_TMAP2OUT)-(c_TMAP1OUT)),2),QUOTIENT((((K194)-(c_TMAP1IN))*((c_TMAP2OUT)-(c_TMAP1OUT))+IF(((c_TMAP2OUT)-(c_TMAP1OUT))&gt;=0,1,-1)*QUOTIENT(((c_TMAP2IN)-(c_TMAP1IN)),2)),((c_TMAP2IN)-(c_TMAP1IN)))+(c_TMAP1OUT)+IF(((c_TMAP2OUT)-(c_TMAP1OUT))&gt;=0,IF(IF(o_WRAP=1,MOD(((c_TMAP2IN)-(c_TMAP1IN))*(((K194)-(c_TMAP1IN))*((c_TMAP2OUT)-(c_TMAP1OUT))+IF(((c_TMAP2OUT)-(c_TMAP1OUT))&gt;=0,1,-1)*QUOTIENT(((c_TMAP2IN)-(c_TMAP1IN)),2))+2147483648,4294967296)-2147483648,((c_TMAP2IN)-(c_TMAP1IN))*(((K194)-(c_TMAP1IN))*((c_TMAP2OUT)-(c_TMAP1OUT))+IF(((c_TMAP2OUT)-(c_TMAP1OUT))&gt;=0,1,-1)*QUOTIENT(((c_TMAP2IN)-(c_TMAP1IN)),2)))&lt;0,-1,0),IF(IF(o_WRAP=1,MOD(((c_TMAP2IN)-(c_TMAP1IN))*(((K194)-(c_TMAP1IN))*((c_TMAP2OUT)-(c_TMAP1OUT))+IF(((c_TMAP2OUT)-(c_TMAP1OUT))&gt;=0,1,-1)*QUOTIENT(((c_TMAP2IN)-(c_TMAP1IN)),2))+2147483648,4294967296)-2147483648,((c_TMAP2IN)-(c_TMAP1IN))*(((K194)-(c_TMAP1IN))*((c_TMAP2OUT)-(c_TMAP1OUT))+IF(((c_TMAP2OUT)-(c_TMAP1OUT))&gt;=0,1,-1)*QUOTIENT(((c_TMAP2IN)-(c_TMAP1IN)),2)))&gt;=0,1,0)))</f>
        <v>206</v>
      </c>
      <c r="O194" s="7" t="n">
        <f aca="false">IF(((c_TMAP3IN)-(c_TMAP2IN))=0,(c_TMAP2OUT)+QUOTIENT(((c_TMAP3OUT)-(c_TMAP2OUT)),2),QUOTIENT((((K194)-(c_TMAP2IN))*((c_TMAP3OUT)-(c_TMAP2OUT))+IF(((c_TMAP3OUT)-(c_TMAP2OUT))&gt;=0,1,-1)*QUOTIENT(((c_TMAP3IN)-(c_TMAP2IN)),2)),((c_TMAP3IN)-(c_TMAP2IN)))+(c_TMAP2OUT)+IF(((c_TMAP3OUT)-(c_TMAP2OUT))&gt;=0,IF(IF(o_WRAP=1,MOD(((c_TMAP3IN)-(c_TMAP2IN))*(((K194)-(c_TMAP2IN))*((c_TMAP3OUT)-(c_TMAP2OUT))+IF(((c_TMAP3OUT)-(c_TMAP2OUT))&gt;=0,1,-1)*QUOTIENT(((c_TMAP3IN)-(c_TMAP2IN)),2))+2147483648,4294967296)-2147483648,((c_TMAP3IN)-(c_TMAP2IN))*(((K194)-(c_TMAP2IN))*((c_TMAP3OUT)-(c_TMAP2OUT))+IF(((c_TMAP3OUT)-(c_TMAP2OUT))&gt;=0,1,-1)*QUOTIENT(((c_TMAP3IN)-(c_TMAP2IN)),2)))&lt;0,-1,0),IF(IF(o_WRAP=1,MOD(((c_TMAP3IN)-(c_TMAP2IN))*(((K194)-(c_TMAP2IN))*((c_TMAP3OUT)-(c_TMAP2OUT))+IF(((c_TMAP3OUT)-(c_TMAP2OUT))&gt;=0,1,-1)*QUOTIENT(((c_TMAP3IN)-(c_TMAP2IN)),2))+2147483648,4294967296)-2147483648,((c_TMAP3IN)-(c_TMAP2IN))*(((K194)-(c_TMAP2IN))*((c_TMAP3OUT)-(c_TMAP2OUT))+IF(((c_TMAP3OUT)-(c_TMAP2OUT))&gt;=0,1,-1)*QUOTIENT(((c_TMAP3IN)-(c_TMAP2IN)),2)))&gt;=0,1,0)))</f>
        <v>264</v>
      </c>
      <c r="P194" s="7" t="n">
        <f aca="false">IF(((1000)-(c_TMAP3IN))=0,(c_TMAP3OUT)+QUOTIENT(((1000)-(c_TMAP3OUT)),2),QUOTIENT((((K194)-(c_TMAP3IN))*((1000)-(c_TMAP3OUT))+IF(((1000)-(c_TMAP3OUT))&gt;=0,1,-1)*QUOTIENT(((1000)-(c_TMAP3IN)),2)),((1000)-(c_TMAP3IN)))+(c_TMAP3OUT)+IF(((1000)-(c_TMAP3OUT))&gt;=0,IF(IF(o_WRAP=1,MOD(((1000)-(c_TMAP3IN))*(((K194)-(c_TMAP3IN))*((1000)-(c_TMAP3OUT))+IF(((1000)-(c_TMAP3OUT))&gt;=0,1,-1)*QUOTIENT(((1000)-(c_TMAP3IN)),2))+2147483648,4294967296)-2147483648,((1000)-(c_TMAP3IN))*(((K194)-(c_TMAP3IN))*((1000)-(c_TMAP3OUT))+IF(((1000)-(c_TMAP3OUT))&gt;=0,1,-1)*QUOTIENT(((1000)-(c_TMAP3IN)),2)))&lt;0,-1,0),IF(IF(o_WRAP=1,MOD(((1000)-(c_TMAP3IN))*(((K194)-(c_TMAP3IN))*((1000)-(c_TMAP3OUT))+IF(((1000)-(c_TMAP3OUT))&gt;=0,1,-1)*QUOTIENT(((1000)-(c_TMAP3IN)),2))+2147483648,4294967296)-2147483648,((1000)-(c_TMAP3IN))*(((K194)-(c_TMAP3IN))*((1000)-(c_TMAP3OUT))+IF(((1000)-(c_TMAP3OUT))&gt;=0,1,-1)*QUOTIENT(((1000)-(c_TMAP3IN)),2)))&gt;=0,1,0)))</f>
        <v>312</v>
      </c>
      <c r="Q194" s="7" t="str">
        <f aca="false">IF(K194&gt;=c_TFWD,IF(AND(K194&gt;=c_TMAP3IN,c_TMAP3IN&lt;1000),"Seg4 map3-100%",IF(AND(K194&gt;=c_TMAP2IN,c_TMAP3IN&gt;c_TMAP2IN),"Seg3 map2-map3",IF(AND(K194&gt;=c_TMAP1IN,c_TMAP2IN&gt;c_TMAP1IN),"Seg2 map1-map2","Seg1 TFWD-map1"))),IF(AND(K194=0,c_TCREEP&gt;0),"Creep",IF(AND(K194&lt;=c_TRNGMIN,K194&gt;=c_TRNGMAX,c_TRNGMIN-c_TRNGMAX&lt;&gt;0),"Regen ramp","Coast (0)")))</f>
        <v>Seg4 map3-100%</v>
      </c>
      <c r="R194" s="7" t="n">
        <f aca="false">IF(K194&gt;=c_TFWD,IF(AND(K194&gt;=c_TMAP3IN,c_TMAP3IN&lt;1000),P194,IF(AND(K194&gt;=c_TMAP2IN,c_TMAP3IN&gt;c_TMAP2IN),O194,IF(AND(K194&gt;=c_TMAP1IN,c_TMAP2IN&gt;c_TMAP1IN),N194,M194))),L194)</f>
        <v>312</v>
      </c>
      <c r="S194" s="7" t="str">
        <f aca="false">IF(R194&lt;-1090,"TOO LOW",IF(R194&gt;1090,"TOO HIGH",""))</f>
        <v/>
      </c>
      <c r="T194" s="15" t="n">
        <f aca="false">IF(H194&lt;&gt;"OK",0,IF(S194&lt;&gt;"",0,IF(R194&gt;979,1000,R194)))</f>
        <v>312</v>
      </c>
      <c r="U194" s="7" t="n">
        <f aca="false">T194/10</f>
        <v>31.2</v>
      </c>
    </row>
    <row r="195" customFormat="false" ht="15" hidden="false" customHeight="false" outlineLevel="0" collapsed="false">
      <c r="A195" s="7" t="n">
        <v>190</v>
      </c>
      <c r="B195" s="7" t="n">
        <f aca="false">ROUND(o_SWSTART+A195*(o_SWEND-o_SWSTART)/400,0)</f>
        <v>1945</v>
      </c>
      <c r="C195" s="7" t="n">
        <f aca="false">QUOTIENT((B195-c_OFF1)*c_GAIN1,1024)</f>
        <v>1945</v>
      </c>
      <c r="D195" s="7" t="n">
        <f aca="false">IF(((c_T1MX)-(c_T1MN))=0,(0)+QUOTIENT(((1000)-(0)),2),QUOTIENT((((C195)-(c_T1MN))*((1000)-(0))+IF(((1000)-(0))&gt;=0,1,-1)*QUOTIENT(((c_T1MX)-(c_T1MN)),2)),((c_T1MX)-(c_T1MN)))+(0)+IF(((1000)-(0))&gt;=0,IF(IF(o_WRAP=1,MOD(((c_T1MX)-(c_T1MN))*(((C195)-(c_T1MN))*((1000)-(0))+IF(((1000)-(0))&gt;=0,1,-1)*QUOTIENT(((c_T1MX)-(c_T1MN)),2))+2147483648,4294967296)-2147483648,((c_T1MX)-(c_T1MN))*(((C195)-(c_T1MN))*((1000)-(0))+IF(((1000)-(0))&gt;=0,1,-1)*QUOTIENT(((c_T1MX)-(c_T1MN)),2)))&lt;0,-1,0),IF(IF(o_WRAP=1,MOD(((c_T1MX)-(c_T1MN))*(((C195)-(c_T1MN))*((1000)-(0))+IF(((1000)-(0))&gt;=0,1,-1)*QUOTIENT(((c_T1MX)-(c_T1MN)),2))+2147483648,4294967296)-2147483648,((c_T1MX)-(c_T1MN))*(((C195)-(c_T1MN))*((1000)-(0))+IF(((1000)-(0))&gt;=0,1,-1)*QUOTIENT(((c_T1MX)-(c_T1MN)),2)))&gt;=0,1,0)))</f>
        <v>444</v>
      </c>
      <c r="E195" s="7" t="n">
        <f aca="false">IF(AND(c_TPOT=1,c_TTYPE=2),1000-D195,D195)</f>
        <v>444</v>
      </c>
      <c r="F195" s="7" t="str">
        <f aca="false">IF(c_TPOT&gt;1,ROUND(IF(c_TTYPE=2,c_T2MX-IF(c_T1MX=c_T1MN,0,(C195-c_T1MN)/(c_T1MX-c_T1MN))*(c_T2MX-c_T2MN),c_T2MN+IF(c_T1MX=c_T1MN,0,(C195-c_T1MN)/(c_T1MX-c_T1MN))*(c_T2MX-c_T2MN))+o_MISMATCH,0),"")</f>
        <v/>
      </c>
      <c r="G195" s="7" t="str">
        <f aca="false">IF(c_TPOT&gt;1,IF(((c_T2MX)-(c_T2MN))=0,(0)+QUOTIENT(((1000)-(0)),2),QUOTIENT((((F195)-(c_T2MN))*((1000)-(0))+IF(((1000)-(0))&gt;=0,1,-1)*QUOTIENT(((c_T2MX)-(c_T2MN)),2)),((c_T2MX)-(c_T2MN)))+(0)+IF(((1000)-(0))&gt;=0,IF(IF(o_WRAP=1,MOD(((c_T2MX)-(c_T2MN))*(((F195)-(c_T2MN))*((1000)-(0))+IF(((1000)-(0))&gt;=0,1,-1)*QUOTIENT(((c_T2MX)-(c_T2MN)),2))+2147483648,4294967296)-2147483648,((c_T2MX)-(c_T2MN))*(((F195)-(c_T2MN))*((1000)-(0))+IF(((1000)-(0))&gt;=0,1,-1)*QUOTIENT(((c_T2MX)-(c_T2MN)),2)))&lt;0,-1,0),IF(IF(o_WRAP=1,MOD(((c_T2MX)-(c_T2MN))*(((F195)-(c_T2MN))*((1000)-(0))+IF(((1000)-(0))&gt;=0,1,-1)*QUOTIENT(((c_T2MX)-(c_T2MN)),2))+2147483648,4294967296)-2147483648,((c_T2MX)-(c_T2MN))*(((F195)-(c_T2MN))*((1000)-(0))+IF(((1000)-(0))&gt;=0,1,-1)*QUOTIENT(((c_T2MX)-(c_T2MN)),2)))&gt;=0,1,0))),"")</f>
        <v/>
      </c>
      <c r="H195" s="7" t="str">
        <f aca="false">IF(E195&gt;1000+k_TOL,"T1 HIGH",IF(E195&lt;0-k_TOL,"T1 LOW",IF(c_TPOT&gt;1,IF(G195&gt;1000+k_TOL,"T2 HIGH",IF(G195&lt;0-k_TOL,"T2 LOW",IF(c_TTYPE=2,IF(ABS(1000-MAX(0,MIN(1000,E195))-MAX(0,MIN(1000,G195)))&gt;k_MAXERR,"MISMATCH","OK"),IF(OR(MAX(0,MIN(1000,E195))-k_MAXERR&gt;MAX(0,MIN(1000,G195)),MAX(0,MIN(1000,G195))-k_MAXERR&gt;MAX(0,MIN(1000,E195))),"MISMATCH","OK")))),"OK")))</f>
        <v>OK</v>
      </c>
      <c r="I195" s="7" t="n">
        <f aca="false">MAX(0,MIN(1000,D195))</f>
        <v>444</v>
      </c>
      <c r="J195" s="7" t="str">
        <f aca="false">IF(c_TPOT&gt;1,IF(c_TTYPE=2,1000-MAX(0,MIN(1000,G195)),MAX(0,MIN(1000,G195))),"")</f>
        <v/>
      </c>
      <c r="K195" s="7" t="n">
        <f aca="false">IF(c_TPOT&gt;1,QUOTIENT(I195+J195,2),I195)</f>
        <v>444</v>
      </c>
      <c r="L195" s="7" t="n">
        <f aca="false">IF(AND(K195=0,c_TCREEP&gt;0),10*c_TCREEP,IF(AND(K195&lt;=c_TRNGMIN,K195&gt;=c_TRNGMAX,c_TRNGMIN-c_TRNGMAX&lt;&gt;0),-10*c_TMINRN+QUOTIENT((c_TMAXRN-c_TMINRN)*(100-QUOTIENT((K195-c_TRNGMAX)*100,c_TRNGMIN-c_TRNGMAX)),-10),0))</f>
        <v>0</v>
      </c>
      <c r="M195" s="7" t="n">
        <f aca="false">IF(((c_TMAP1IN)-(c_TFWD))=0,(0)+QUOTIENT(((c_TMAP1OUT)-(0)),2),QUOTIENT((((K195)-(c_TFWD))*((c_TMAP1OUT)-(0))+IF(((c_TMAP1OUT)-(0))&gt;=0,1,-1)*QUOTIENT(((c_TMAP1IN)-(c_TFWD)),2)),((c_TMAP1IN)-(c_TFWD)))+(0)+IF(((c_TMAP1OUT)-(0))&gt;=0,IF(IF(o_WRAP=1,MOD(((c_TMAP1IN)-(c_TFWD))*(((K195)-(c_TFWD))*((c_TMAP1OUT)-(0))+IF(((c_TMAP1OUT)-(0))&gt;=0,1,-1)*QUOTIENT(((c_TMAP1IN)-(c_TFWD)),2))+2147483648,4294967296)-2147483648,((c_TMAP1IN)-(c_TFWD))*(((K195)-(c_TFWD))*((c_TMAP1OUT)-(0))+IF(((c_TMAP1OUT)-(0))&gt;=0,1,-1)*QUOTIENT(((c_TMAP1IN)-(c_TFWD)),2)))&lt;0,-1,0),IF(IF(o_WRAP=1,MOD(((c_TMAP1IN)-(c_TFWD))*(((K195)-(c_TFWD))*((c_TMAP1OUT)-(0))+IF(((c_TMAP1OUT)-(0))&gt;=0,1,-1)*QUOTIENT(((c_TMAP1IN)-(c_TFWD)),2))+2147483648,4294967296)-2147483648,((c_TMAP1IN)-(c_TFWD))*(((K195)-(c_TFWD))*((c_TMAP1OUT)-(0))+IF(((c_TMAP1OUT)-(0))&gt;=0,1,-1)*QUOTIENT(((c_TMAP1IN)-(c_TFWD)),2)))&gt;=0,1,0)))</f>
        <v>338</v>
      </c>
      <c r="N195" s="7" t="n">
        <f aca="false">IF(((c_TMAP2IN)-(c_TMAP1IN))=0,(c_TMAP1OUT)+QUOTIENT(((c_TMAP2OUT)-(c_TMAP1OUT)),2),QUOTIENT((((K195)-(c_TMAP1IN))*((c_TMAP2OUT)-(c_TMAP1OUT))+IF(((c_TMAP2OUT)-(c_TMAP1OUT))&gt;=0,1,-1)*QUOTIENT(((c_TMAP2IN)-(c_TMAP1IN)),2)),((c_TMAP2IN)-(c_TMAP1IN)))+(c_TMAP1OUT)+IF(((c_TMAP2OUT)-(c_TMAP1OUT))&gt;=0,IF(IF(o_WRAP=1,MOD(((c_TMAP2IN)-(c_TMAP1IN))*(((K195)-(c_TMAP1IN))*((c_TMAP2OUT)-(c_TMAP1OUT))+IF(((c_TMAP2OUT)-(c_TMAP1OUT))&gt;=0,1,-1)*QUOTIENT(((c_TMAP2IN)-(c_TMAP1IN)),2))+2147483648,4294967296)-2147483648,((c_TMAP2IN)-(c_TMAP1IN))*(((K195)-(c_TMAP1IN))*((c_TMAP2OUT)-(c_TMAP1OUT))+IF(((c_TMAP2OUT)-(c_TMAP1OUT))&gt;=0,1,-1)*QUOTIENT(((c_TMAP2IN)-(c_TMAP1IN)),2)))&lt;0,-1,0),IF(IF(o_WRAP=1,MOD(((c_TMAP2IN)-(c_TMAP1IN))*(((K195)-(c_TMAP1IN))*((c_TMAP2OUT)-(c_TMAP1OUT))+IF(((c_TMAP2OUT)-(c_TMAP1OUT))&gt;=0,1,-1)*QUOTIENT(((c_TMAP2IN)-(c_TMAP1IN)),2))+2147483648,4294967296)-2147483648,((c_TMAP2IN)-(c_TMAP1IN))*(((K195)-(c_TMAP1IN))*((c_TMAP2OUT)-(c_TMAP1OUT))+IF(((c_TMAP2OUT)-(c_TMAP1OUT))&gt;=0,1,-1)*QUOTIENT(((c_TMAP2IN)-(c_TMAP1IN)),2)))&gt;=0,1,0)))</f>
        <v>208</v>
      </c>
      <c r="O195" s="7" t="n">
        <f aca="false">IF(((c_TMAP3IN)-(c_TMAP2IN))=0,(c_TMAP2OUT)+QUOTIENT(((c_TMAP3OUT)-(c_TMAP2OUT)),2),QUOTIENT((((K195)-(c_TMAP2IN))*((c_TMAP3OUT)-(c_TMAP2OUT))+IF(((c_TMAP3OUT)-(c_TMAP2OUT))&gt;=0,1,-1)*QUOTIENT(((c_TMAP3IN)-(c_TMAP2IN)),2)),((c_TMAP3IN)-(c_TMAP2IN)))+(c_TMAP2OUT)+IF(((c_TMAP3OUT)-(c_TMAP2OUT))&gt;=0,IF(IF(o_WRAP=1,MOD(((c_TMAP3IN)-(c_TMAP2IN))*(((K195)-(c_TMAP2IN))*((c_TMAP3OUT)-(c_TMAP2OUT))+IF(((c_TMAP3OUT)-(c_TMAP2OUT))&gt;=0,1,-1)*QUOTIENT(((c_TMAP3IN)-(c_TMAP2IN)),2))+2147483648,4294967296)-2147483648,((c_TMAP3IN)-(c_TMAP2IN))*(((K195)-(c_TMAP2IN))*((c_TMAP3OUT)-(c_TMAP2OUT))+IF(((c_TMAP3OUT)-(c_TMAP2OUT))&gt;=0,1,-1)*QUOTIENT(((c_TMAP3IN)-(c_TMAP2IN)),2)))&lt;0,-1,0),IF(IF(o_WRAP=1,MOD(((c_TMAP3IN)-(c_TMAP2IN))*(((K195)-(c_TMAP2IN))*((c_TMAP3OUT)-(c_TMAP2OUT))+IF(((c_TMAP3OUT)-(c_TMAP2OUT))&gt;=0,1,-1)*QUOTIENT(((c_TMAP3IN)-(c_TMAP2IN)),2))+2147483648,4294967296)-2147483648,((c_TMAP3IN)-(c_TMAP2IN))*(((K195)-(c_TMAP2IN))*((c_TMAP3OUT)-(c_TMAP2OUT))+IF(((c_TMAP3OUT)-(c_TMAP2OUT))&gt;=0,1,-1)*QUOTIENT(((c_TMAP3IN)-(c_TMAP2IN)),2)))&gt;=0,1,0)))</f>
        <v>266</v>
      </c>
      <c r="P195" s="7" t="n">
        <f aca="false">IF(((1000)-(c_TMAP3IN))=0,(c_TMAP3OUT)+QUOTIENT(((1000)-(c_TMAP3OUT)),2),QUOTIENT((((K195)-(c_TMAP3IN))*((1000)-(c_TMAP3OUT))+IF(((1000)-(c_TMAP3OUT))&gt;=0,1,-1)*QUOTIENT(((1000)-(c_TMAP3IN)),2)),((1000)-(c_TMAP3IN)))+(c_TMAP3OUT)+IF(((1000)-(c_TMAP3OUT))&gt;=0,IF(IF(o_WRAP=1,MOD(((1000)-(c_TMAP3IN))*(((K195)-(c_TMAP3IN))*((1000)-(c_TMAP3OUT))+IF(((1000)-(c_TMAP3OUT))&gt;=0,1,-1)*QUOTIENT(((1000)-(c_TMAP3IN)),2))+2147483648,4294967296)-2147483648,((1000)-(c_TMAP3IN))*(((K195)-(c_TMAP3IN))*((1000)-(c_TMAP3OUT))+IF(((1000)-(c_TMAP3OUT))&gt;=0,1,-1)*QUOTIENT(((1000)-(c_TMAP3IN)),2)))&lt;0,-1,0),IF(IF(o_WRAP=1,MOD(((1000)-(c_TMAP3IN))*(((K195)-(c_TMAP3IN))*((1000)-(c_TMAP3OUT))+IF(((1000)-(c_TMAP3OUT))&gt;=0,1,-1)*QUOTIENT(((1000)-(c_TMAP3IN)),2))+2147483648,4294967296)-2147483648,((1000)-(c_TMAP3IN))*(((K195)-(c_TMAP3IN))*((1000)-(c_TMAP3OUT))+IF(((1000)-(c_TMAP3OUT))&gt;=0,1,-1)*QUOTIENT(((1000)-(c_TMAP3IN)),2)))&gt;=0,1,0)))</f>
        <v>316</v>
      </c>
      <c r="Q195" s="7" t="str">
        <f aca="false">IF(K195&gt;=c_TFWD,IF(AND(K195&gt;=c_TMAP3IN,c_TMAP3IN&lt;1000),"Seg4 map3-100%",IF(AND(K195&gt;=c_TMAP2IN,c_TMAP3IN&gt;c_TMAP2IN),"Seg3 map2-map3",IF(AND(K195&gt;=c_TMAP1IN,c_TMAP2IN&gt;c_TMAP1IN),"Seg2 map1-map2","Seg1 TFWD-map1"))),IF(AND(K195=0,c_TCREEP&gt;0),"Creep",IF(AND(K195&lt;=c_TRNGMIN,K195&gt;=c_TRNGMAX,c_TRNGMIN-c_TRNGMAX&lt;&gt;0),"Regen ramp","Coast (0)")))</f>
        <v>Seg4 map3-100%</v>
      </c>
      <c r="R195" s="7" t="n">
        <f aca="false">IF(K195&gt;=c_TFWD,IF(AND(K195&gt;=c_TMAP3IN,c_TMAP3IN&lt;1000),P195,IF(AND(K195&gt;=c_TMAP2IN,c_TMAP3IN&gt;c_TMAP2IN),O195,IF(AND(K195&gt;=c_TMAP1IN,c_TMAP2IN&gt;c_TMAP1IN),N195,M195))),L195)</f>
        <v>316</v>
      </c>
      <c r="S195" s="7" t="str">
        <f aca="false">IF(R195&lt;-1090,"TOO LOW",IF(R195&gt;1090,"TOO HIGH",""))</f>
        <v/>
      </c>
      <c r="T195" s="15" t="n">
        <f aca="false">IF(H195&lt;&gt;"OK",0,IF(S195&lt;&gt;"",0,IF(R195&gt;979,1000,R195)))</f>
        <v>316</v>
      </c>
      <c r="U195" s="7" t="n">
        <f aca="false">T195/10</f>
        <v>31.6</v>
      </c>
    </row>
    <row r="196" customFormat="false" ht="15" hidden="false" customHeight="false" outlineLevel="0" collapsed="false">
      <c r="A196" s="7" t="n">
        <v>191</v>
      </c>
      <c r="B196" s="7" t="n">
        <f aca="false">ROUND(o_SWSTART+A196*(o_SWEND-o_SWSTART)/400,0)</f>
        <v>1955</v>
      </c>
      <c r="C196" s="7" t="n">
        <f aca="false">QUOTIENT((B196-c_OFF1)*c_GAIN1,1024)</f>
        <v>1955</v>
      </c>
      <c r="D196" s="7" t="n">
        <f aca="false">IF(((c_T1MX)-(c_T1MN))=0,(0)+QUOTIENT(((1000)-(0)),2),QUOTIENT((((C196)-(c_T1MN))*((1000)-(0))+IF(((1000)-(0))&gt;=0,1,-1)*QUOTIENT(((c_T1MX)-(c_T1MN)),2)),((c_T1MX)-(c_T1MN)))+(0)+IF(((1000)-(0))&gt;=0,IF(IF(o_WRAP=1,MOD(((c_T1MX)-(c_T1MN))*(((C196)-(c_T1MN))*((1000)-(0))+IF(((1000)-(0))&gt;=0,1,-1)*QUOTIENT(((c_T1MX)-(c_T1MN)),2))+2147483648,4294967296)-2147483648,((c_T1MX)-(c_T1MN))*(((C196)-(c_T1MN))*((1000)-(0))+IF(((1000)-(0))&gt;=0,1,-1)*QUOTIENT(((c_T1MX)-(c_T1MN)),2)))&lt;0,-1,0),IF(IF(o_WRAP=1,MOD(((c_T1MX)-(c_T1MN))*(((C196)-(c_T1MN))*((1000)-(0))+IF(((1000)-(0))&gt;=0,1,-1)*QUOTIENT(((c_T1MX)-(c_T1MN)),2))+2147483648,4294967296)-2147483648,((c_T1MX)-(c_T1MN))*(((C196)-(c_T1MN))*((1000)-(0))+IF(((1000)-(0))&gt;=0,1,-1)*QUOTIENT(((c_T1MX)-(c_T1MN)),2)))&gt;=0,1,0)))</f>
        <v>448</v>
      </c>
      <c r="E196" s="7" t="n">
        <f aca="false">IF(AND(c_TPOT=1,c_TTYPE=2),1000-D196,D196)</f>
        <v>448</v>
      </c>
      <c r="F196" s="7" t="str">
        <f aca="false">IF(c_TPOT&gt;1,ROUND(IF(c_TTYPE=2,c_T2MX-IF(c_T1MX=c_T1MN,0,(C196-c_T1MN)/(c_T1MX-c_T1MN))*(c_T2MX-c_T2MN),c_T2MN+IF(c_T1MX=c_T1MN,0,(C196-c_T1MN)/(c_T1MX-c_T1MN))*(c_T2MX-c_T2MN))+o_MISMATCH,0),"")</f>
        <v/>
      </c>
      <c r="G196" s="7" t="str">
        <f aca="false">IF(c_TPOT&gt;1,IF(((c_T2MX)-(c_T2MN))=0,(0)+QUOTIENT(((1000)-(0)),2),QUOTIENT((((F196)-(c_T2MN))*((1000)-(0))+IF(((1000)-(0))&gt;=0,1,-1)*QUOTIENT(((c_T2MX)-(c_T2MN)),2)),((c_T2MX)-(c_T2MN)))+(0)+IF(((1000)-(0))&gt;=0,IF(IF(o_WRAP=1,MOD(((c_T2MX)-(c_T2MN))*(((F196)-(c_T2MN))*((1000)-(0))+IF(((1000)-(0))&gt;=0,1,-1)*QUOTIENT(((c_T2MX)-(c_T2MN)),2))+2147483648,4294967296)-2147483648,((c_T2MX)-(c_T2MN))*(((F196)-(c_T2MN))*((1000)-(0))+IF(((1000)-(0))&gt;=0,1,-1)*QUOTIENT(((c_T2MX)-(c_T2MN)),2)))&lt;0,-1,0),IF(IF(o_WRAP=1,MOD(((c_T2MX)-(c_T2MN))*(((F196)-(c_T2MN))*((1000)-(0))+IF(((1000)-(0))&gt;=0,1,-1)*QUOTIENT(((c_T2MX)-(c_T2MN)),2))+2147483648,4294967296)-2147483648,((c_T2MX)-(c_T2MN))*(((F196)-(c_T2MN))*((1000)-(0))+IF(((1000)-(0))&gt;=0,1,-1)*QUOTIENT(((c_T2MX)-(c_T2MN)),2)))&gt;=0,1,0))),"")</f>
        <v/>
      </c>
      <c r="H196" s="7" t="str">
        <f aca="false">IF(E196&gt;1000+k_TOL,"T1 HIGH",IF(E196&lt;0-k_TOL,"T1 LOW",IF(c_TPOT&gt;1,IF(G196&gt;1000+k_TOL,"T2 HIGH",IF(G196&lt;0-k_TOL,"T2 LOW",IF(c_TTYPE=2,IF(ABS(1000-MAX(0,MIN(1000,E196))-MAX(0,MIN(1000,G196)))&gt;k_MAXERR,"MISMATCH","OK"),IF(OR(MAX(0,MIN(1000,E196))-k_MAXERR&gt;MAX(0,MIN(1000,G196)),MAX(0,MIN(1000,G196))-k_MAXERR&gt;MAX(0,MIN(1000,E196))),"MISMATCH","OK")))),"OK")))</f>
        <v>OK</v>
      </c>
      <c r="I196" s="7" t="n">
        <f aca="false">MAX(0,MIN(1000,D196))</f>
        <v>448</v>
      </c>
      <c r="J196" s="7" t="str">
        <f aca="false">IF(c_TPOT&gt;1,IF(c_TTYPE=2,1000-MAX(0,MIN(1000,G196)),MAX(0,MIN(1000,G196))),"")</f>
        <v/>
      </c>
      <c r="K196" s="7" t="n">
        <f aca="false">IF(c_TPOT&gt;1,QUOTIENT(I196+J196,2),I196)</f>
        <v>448</v>
      </c>
      <c r="L196" s="7" t="n">
        <f aca="false">IF(AND(K196=0,c_TCREEP&gt;0),10*c_TCREEP,IF(AND(K196&lt;=c_TRNGMIN,K196&gt;=c_TRNGMAX,c_TRNGMIN-c_TRNGMAX&lt;&gt;0),-10*c_TMINRN+QUOTIENT((c_TMAXRN-c_TMINRN)*(100-QUOTIENT((K196-c_TRNGMAX)*100,c_TRNGMIN-c_TRNGMAX)),-10),0))</f>
        <v>0</v>
      </c>
      <c r="M196" s="7" t="n">
        <f aca="false">IF(((c_TMAP1IN)-(c_TFWD))=0,(0)+QUOTIENT(((c_TMAP1OUT)-(0)),2),QUOTIENT((((K196)-(c_TFWD))*((c_TMAP1OUT)-(0))+IF(((c_TMAP1OUT)-(0))&gt;=0,1,-1)*QUOTIENT(((c_TMAP1IN)-(c_TFWD)),2)),((c_TMAP1IN)-(c_TFWD)))+(0)+IF(((c_TMAP1OUT)-(0))&gt;=0,IF(IF(o_WRAP=1,MOD(((c_TMAP1IN)-(c_TFWD))*(((K196)-(c_TFWD))*((c_TMAP1OUT)-(0))+IF(((c_TMAP1OUT)-(0))&gt;=0,1,-1)*QUOTIENT(((c_TMAP1IN)-(c_TFWD)),2))+2147483648,4294967296)-2147483648,((c_TMAP1IN)-(c_TFWD))*(((K196)-(c_TFWD))*((c_TMAP1OUT)-(0))+IF(((c_TMAP1OUT)-(0))&gt;=0,1,-1)*QUOTIENT(((c_TMAP1IN)-(c_TFWD)),2)))&lt;0,-1,0),IF(IF(o_WRAP=1,MOD(((c_TMAP1IN)-(c_TFWD))*(((K196)-(c_TFWD))*((c_TMAP1OUT)-(0))+IF(((c_TMAP1OUT)-(0))&gt;=0,1,-1)*QUOTIENT(((c_TMAP1IN)-(c_TFWD)),2))+2147483648,4294967296)-2147483648,((c_TMAP1IN)-(c_TFWD))*(((K196)-(c_TFWD))*((c_TMAP1OUT)-(0))+IF(((c_TMAP1OUT)-(0))&gt;=0,1,-1)*QUOTIENT(((c_TMAP1IN)-(c_TFWD)),2)))&gt;=0,1,0)))</f>
        <v>341</v>
      </c>
      <c r="N196" s="7" t="n">
        <f aca="false">IF(((c_TMAP2IN)-(c_TMAP1IN))=0,(c_TMAP1OUT)+QUOTIENT(((c_TMAP2OUT)-(c_TMAP1OUT)),2),QUOTIENT((((K196)-(c_TMAP1IN))*((c_TMAP2OUT)-(c_TMAP1OUT))+IF(((c_TMAP2OUT)-(c_TMAP1OUT))&gt;=0,1,-1)*QUOTIENT(((c_TMAP2IN)-(c_TMAP1IN)),2)),((c_TMAP2IN)-(c_TMAP1IN)))+(c_TMAP1OUT)+IF(((c_TMAP2OUT)-(c_TMAP1OUT))&gt;=0,IF(IF(o_WRAP=1,MOD(((c_TMAP2IN)-(c_TMAP1IN))*(((K196)-(c_TMAP1IN))*((c_TMAP2OUT)-(c_TMAP1OUT))+IF(((c_TMAP2OUT)-(c_TMAP1OUT))&gt;=0,1,-1)*QUOTIENT(((c_TMAP2IN)-(c_TMAP1IN)),2))+2147483648,4294967296)-2147483648,((c_TMAP2IN)-(c_TMAP1IN))*(((K196)-(c_TMAP1IN))*((c_TMAP2OUT)-(c_TMAP1OUT))+IF(((c_TMAP2OUT)-(c_TMAP1OUT))&gt;=0,1,-1)*QUOTIENT(((c_TMAP2IN)-(c_TMAP1IN)),2)))&lt;0,-1,0),IF(IF(o_WRAP=1,MOD(((c_TMAP2IN)-(c_TMAP1IN))*(((K196)-(c_TMAP1IN))*((c_TMAP2OUT)-(c_TMAP1OUT))+IF(((c_TMAP2OUT)-(c_TMAP1OUT))&gt;=0,1,-1)*QUOTIENT(((c_TMAP2IN)-(c_TMAP1IN)),2))+2147483648,4294967296)-2147483648,((c_TMAP2IN)-(c_TMAP1IN))*(((K196)-(c_TMAP1IN))*((c_TMAP2OUT)-(c_TMAP1OUT))+IF(((c_TMAP2OUT)-(c_TMAP1OUT))&gt;=0,1,-1)*QUOTIENT(((c_TMAP2IN)-(c_TMAP1IN)),2)))&gt;=0,1,0)))</f>
        <v>209</v>
      </c>
      <c r="O196" s="7" t="n">
        <f aca="false">IF(((c_TMAP3IN)-(c_TMAP2IN))=0,(c_TMAP2OUT)+QUOTIENT(((c_TMAP3OUT)-(c_TMAP2OUT)),2),QUOTIENT((((K196)-(c_TMAP2IN))*((c_TMAP3OUT)-(c_TMAP2OUT))+IF(((c_TMAP3OUT)-(c_TMAP2OUT))&gt;=0,1,-1)*QUOTIENT(((c_TMAP3IN)-(c_TMAP2IN)),2)),((c_TMAP3IN)-(c_TMAP2IN)))+(c_TMAP2OUT)+IF(((c_TMAP3OUT)-(c_TMAP2OUT))&gt;=0,IF(IF(o_WRAP=1,MOD(((c_TMAP3IN)-(c_TMAP2IN))*(((K196)-(c_TMAP2IN))*((c_TMAP3OUT)-(c_TMAP2OUT))+IF(((c_TMAP3OUT)-(c_TMAP2OUT))&gt;=0,1,-1)*QUOTIENT(((c_TMAP3IN)-(c_TMAP2IN)),2))+2147483648,4294967296)-2147483648,((c_TMAP3IN)-(c_TMAP2IN))*(((K196)-(c_TMAP2IN))*((c_TMAP3OUT)-(c_TMAP2OUT))+IF(((c_TMAP3OUT)-(c_TMAP2OUT))&gt;=0,1,-1)*QUOTIENT(((c_TMAP3IN)-(c_TMAP2IN)),2)))&lt;0,-1,0),IF(IF(o_WRAP=1,MOD(((c_TMAP3IN)-(c_TMAP2IN))*(((K196)-(c_TMAP2IN))*((c_TMAP3OUT)-(c_TMAP2OUT))+IF(((c_TMAP3OUT)-(c_TMAP2OUT))&gt;=0,1,-1)*QUOTIENT(((c_TMAP3IN)-(c_TMAP2IN)),2))+2147483648,4294967296)-2147483648,((c_TMAP3IN)-(c_TMAP2IN))*(((K196)-(c_TMAP2IN))*((c_TMAP3OUT)-(c_TMAP2OUT))+IF(((c_TMAP3OUT)-(c_TMAP2OUT))&gt;=0,1,-1)*QUOTIENT(((c_TMAP3IN)-(c_TMAP2IN)),2)))&gt;=0,1,0)))</f>
        <v>269</v>
      </c>
      <c r="P196" s="7" t="n">
        <f aca="false">IF(((1000)-(c_TMAP3IN))=0,(c_TMAP3OUT)+QUOTIENT(((1000)-(c_TMAP3OUT)),2),QUOTIENT((((K196)-(c_TMAP3IN))*((1000)-(c_TMAP3OUT))+IF(((1000)-(c_TMAP3OUT))&gt;=0,1,-1)*QUOTIENT(((1000)-(c_TMAP3IN)),2)),((1000)-(c_TMAP3IN)))+(c_TMAP3OUT)+IF(((1000)-(c_TMAP3OUT))&gt;=0,IF(IF(o_WRAP=1,MOD(((1000)-(c_TMAP3IN))*(((K196)-(c_TMAP3IN))*((1000)-(c_TMAP3OUT))+IF(((1000)-(c_TMAP3OUT))&gt;=0,1,-1)*QUOTIENT(((1000)-(c_TMAP3IN)),2))+2147483648,4294967296)-2147483648,((1000)-(c_TMAP3IN))*(((K196)-(c_TMAP3IN))*((1000)-(c_TMAP3OUT))+IF(((1000)-(c_TMAP3OUT))&gt;=0,1,-1)*QUOTIENT(((1000)-(c_TMAP3IN)),2)))&lt;0,-1,0),IF(IF(o_WRAP=1,MOD(((1000)-(c_TMAP3IN))*(((K196)-(c_TMAP3IN))*((1000)-(c_TMAP3OUT))+IF(((1000)-(c_TMAP3OUT))&gt;=0,1,-1)*QUOTIENT(((1000)-(c_TMAP3IN)),2))+2147483648,4294967296)-2147483648,((1000)-(c_TMAP3IN))*(((K196)-(c_TMAP3IN))*((1000)-(c_TMAP3OUT))+IF(((1000)-(c_TMAP3OUT))&gt;=0,1,-1)*QUOTIENT(((1000)-(c_TMAP3IN)),2)))&gt;=0,1,0)))</f>
        <v>321</v>
      </c>
      <c r="Q196" s="7" t="str">
        <f aca="false">IF(K196&gt;=c_TFWD,IF(AND(K196&gt;=c_TMAP3IN,c_TMAP3IN&lt;1000),"Seg4 map3-100%",IF(AND(K196&gt;=c_TMAP2IN,c_TMAP3IN&gt;c_TMAP2IN),"Seg3 map2-map3",IF(AND(K196&gt;=c_TMAP1IN,c_TMAP2IN&gt;c_TMAP1IN),"Seg2 map1-map2","Seg1 TFWD-map1"))),IF(AND(K196=0,c_TCREEP&gt;0),"Creep",IF(AND(K196&lt;=c_TRNGMIN,K196&gt;=c_TRNGMAX,c_TRNGMIN-c_TRNGMAX&lt;&gt;0),"Regen ramp","Coast (0)")))</f>
        <v>Seg4 map3-100%</v>
      </c>
      <c r="R196" s="7" t="n">
        <f aca="false">IF(K196&gt;=c_TFWD,IF(AND(K196&gt;=c_TMAP3IN,c_TMAP3IN&lt;1000),P196,IF(AND(K196&gt;=c_TMAP2IN,c_TMAP3IN&gt;c_TMAP2IN),O196,IF(AND(K196&gt;=c_TMAP1IN,c_TMAP2IN&gt;c_TMAP1IN),N196,M196))),L196)</f>
        <v>321</v>
      </c>
      <c r="S196" s="7" t="str">
        <f aca="false">IF(R196&lt;-1090,"TOO LOW",IF(R196&gt;1090,"TOO HIGH",""))</f>
        <v/>
      </c>
      <c r="T196" s="15" t="n">
        <f aca="false">IF(H196&lt;&gt;"OK",0,IF(S196&lt;&gt;"",0,IF(R196&gt;979,1000,R196)))</f>
        <v>321</v>
      </c>
      <c r="U196" s="7" t="n">
        <f aca="false">T196/10</f>
        <v>32.1</v>
      </c>
    </row>
    <row r="197" customFormat="false" ht="15" hidden="false" customHeight="false" outlineLevel="0" collapsed="false">
      <c r="A197" s="7" t="n">
        <v>192</v>
      </c>
      <c r="B197" s="7" t="n">
        <f aca="false">ROUND(o_SWSTART+A197*(o_SWEND-o_SWSTART)/400,0)</f>
        <v>1966</v>
      </c>
      <c r="C197" s="7" t="n">
        <f aca="false">QUOTIENT((B197-c_OFF1)*c_GAIN1,1024)</f>
        <v>1966</v>
      </c>
      <c r="D197" s="7" t="n">
        <f aca="false">IF(((c_T1MX)-(c_T1MN))=0,(0)+QUOTIENT(((1000)-(0)),2),QUOTIENT((((C197)-(c_T1MN))*((1000)-(0))+IF(((1000)-(0))&gt;=0,1,-1)*QUOTIENT(((c_T1MX)-(c_T1MN)),2)),((c_T1MX)-(c_T1MN)))+(0)+IF(((1000)-(0))&gt;=0,IF(IF(o_WRAP=1,MOD(((c_T1MX)-(c_T1MN))*(((C197)-(c_T1MN))*((1000)-(0))+IF(((1000)-(0))&gt;=0,1,-1)*QUOTIENT(((c_T1MX)-(c_T1MN)),2))+2147483648,4294967296)-2147483648,((c_T1MX)-(c_T1MN))*(((C197)-(c_T1MN))*((1000)-(0))+IF(((1000)-(0))&gt;=0,1,-1)*QUOTIENT(((c_T1MX)-(c_T1MN)),2)))&lt;0,-1,0),IF(IF(o_WRAP=1,MOD(((c_T1MX)-(c_T1MN))*(((C197)-(c_T1MN))*((1000)-(0))+IF(((1000)-(0))&gt;=0,1,-1)*QUOTIENT(((c_T1MX)-(c_T1MN)),2))+2147483648,4294967296)-2147483648,((c_T1MX)-(c_T1MN))*(((C197)-(c_T1MN))*((1000)-(0))+IF(((1000)-(0))&gt;=0,1,-1)*QUOTIENT(((c_T1MX)-(c_T1MN)),2)))&gt;=0,1,0)))</f>
        <v>452</v>
      </c>
      <c r="E197" s="7" t="n">
        <f aca="false">IF(AND(c_TPOT=1,c_TTYPE=2),1000-D197,D197)</f>
        <v>452</v>
      </c>
      <c r="F197" s="7" t="str">
        <f aca="false">IF(c_TPOT&gt;1,ROUND(IF(c_TTYPE=2,c_T2MX-IF(c_T1MX=c_T1MN,0,(C197-c_T1MN)/(c_T1MX-c_T1MN))*(c_T2MX-c_T2MN),c_T2MN+IF(c_T1MX=c_T1MN,0,(C197-c_T1MN)/(c_T1MX-c_T1MN))*(c_T2MX-c_T2MN))+o_MISMATCH,0),"")</f>
        <v/>
      </c>
      <c r="G197" s="7" t="str">
        <f aca="false">IF(c_TPOT&gt;1,IF(((c_T2MX)-(c_T2MN))=0,(0)+QUOTIENT(((1000)-(0)),2),QUOTIENT((((F197)-(c_T2MN))*((1000)-(0))+IF(((1000)-(0))&gt;=0,1,-1)*QUOTIENT(((c_T2MX)-(c_T2MN)),2)),((c_T2MX)-(c_T2MN)))+(0)+IF(((1000)-(0))&gt;=0,IF(IF(o_WRAP=1,MOD(((c_T2MX)-(c_T2MN))*(((F197)-(c_T2MN))*((1000)-(0))+IF(((1000)-(0))&gt;=0,1,-1)*QUOTIENT(((c_T2MX)-(c_T2MN)),2))+2147483648,4294967296)-2147483648,((c_T2MX)-(c_T2MN))*(((F197)-(c_T2MN))*((1000)-(0))+IF(((1000)-(0))&gt;=0,1,-1)*QUOTIENT(((c_T2MX)-(c_T2MN)),2)))&lt;0,-1,0),IF(IF(o_WRAP=1,MOD(((c_T2MX)-(c_T2MN))*(((F197)-(c_T2MN))*((1000)-(0))+IF(((1000)-(0))&gt;=0,1,-1)*QUOTIENT(((c_T2MX)-(c_T2MN)),2))+2147483648,4294967296)-2147483648,((c_T2MX)-(c_T2MN))*(((F197)-(c_T2MN))*((1000)-(0))+IF(((1000)-(0))&gt;=0,1,-1)*QUOTIENT(((c_T2MX)-(c_T2MN)),2)))&gt;=0,1,0))),"")</f>
        <v/>
      </c>
      <c r="H197" s="7" t="str">
        <f aca="false">IF(E197&gt;1000+k_TOL,"T1 HIGH",IF(E197&lt;0-k_TOL,"T1 LOW",IF(c_TPOT&gt;1,IF(G197&gt;1000+k_TOL,"T2 HIGH",IF(G197&lt;0-k_TOL,"T2 LOW",IF(c_TTYPE=2,IF(ABS(1000-MAX(0,MIN(1000,E197))-MAX(0,MIN(1000,G197)))&gt;k_MAXERR,"MISMATCH","OK"),IF(OR(MAX(0,MIN(1000,E197))-k_MAXERR&gt;MAX(0,MIN(1000,G197)),MAX(0,MIN(1000,G197))-k_MAXERR&gt;MAX(0,MIN(1000,E197))),"MISMATCH","OK")))),"OK")))</f>
        <v>OK</v>
      </c>
      <c r="I197" s="7" t="n">
        <f aca="false">MAX(0,MIN(1000,D197))</f>
        <v>452</v>
      </c>
      <c r="J197" s="7" t="str">
        <f aca="false">IF(c_TPOT&gt;1,IF(c_TTYPE=2,1000-MAX(0,MIN(1000,G197)),MAX(0,MIN(1000,G197))),"")</f>
        <v/>
      </c>
      <c r="K197" s="7" t="n">
        <f aca="false">IF(c_TPOT&gt;1,QUOTIENT(I197+J197,2),I197)</f>
        <v>452</v>
      </c>
      <c r="L197" s="7" t="n">
        <f aca="false">IF(AND(K197=0,c_TCREEP&gt;0),10*c_TCREEP,IF(AND(K197&lt;=c_TRNGMIN,K197&gt;=c_TRNGMAX,c_TRNGMIN-c_TRNGMAX&lt;&gt;0),-10*c_TMINRN+QUOTIENT((c_TMAXRN-c_TMINRN)*(100-QUOTIENT((K197-c_TRNGMAX)*100,c_TRNGMIN-c_TRNGMAX)),-10),0))</f>
        <v>0</v>
      </c>
      <c r="M197" s="7" t="n">
        <f aca="false">IF(((c_TMAP1IN)-(c_TFWD))=0,(0)+QUOTIENT(((c_TMAP1OUT)-(0)),2),QUOTIENT((((K197)-(c_TFWD))*((c_TMAP1OUT)-(0))+IF(((c_TMAP1OUT)-(0))&gt;=0,1,-1)*QUOTIENT(((c_TMAP1IN)-(c_TFWD)),2)),((c_TMAP1IN)-(c_TFWD)))+(0)+IF(((c_TMAP1OUT)-(0))&gt;=0,IF(IF(o_WRAP=1,MOD(((c_TMAP1IN)-(c_TFWD))*(((K197)-(c_TFWD))*((c_TMAP1OUT)-(0))+IF(((c_TMAP1OUT)-(0))&gt;=0,1,-1)*QUOTIENT(((c_TMAP1IN)-(c_TFWD)),2))+2147483648,4294967296)-2147483648,((c_TMAP1IN)-(c_TFWD))*(((K197)-(c_TFWD))*((c_TMAP1OUT)-(0))+IF(((c_TMAP1OUT)-(0))&gt;=0,1,-1)*QUOTIENT(((c_TMAP1IN)-(c_TFWD)),2)))&lt;0,-1,0),IF(IF(o_WRAP=1,MOD(((c_TMAP1IN)-(c_TFWD))*(((K197)-(c_TFWD))*((c_TMAP1OUT)-(0))+IF(((c_TMAP1OUT)-(0))&gt;=0,1,-1)*QUOTIENT(((c_TMAP1IN)-(c_TFWD)),2))+2147483648,4294967296)-2147483648,((c_TMAP1IN)-(c_TFWD))*(((K197)-(c_TFWD))*((c_TMAP1OUT)-(0))+IF(((c_TMAP1OUT)-(0))&gt;=0,1,-1)*QUOTIENT(((c_TMAP1IN)-(c_TFWD)),2)))&gt;=0,1,0)))</f>
        <v>344</v>
      </c>
      <c r="N197" s="7" t="n">
        <f aca="false">IF(((c_TMAP2IN)-(c_TMAP1IN))=0,(c_TMAP1OUT)+QUOTIENT(((c_TMAP2OUT)-(c_TMAP1OUT)),2),QUOTIENT((((K197)-(c_TMAP1IN))*((c_TMAP2OUT)-(c_TMAP1OUT))+IF(((c_TMAP2OUT)-(c_TMAP1OUT))&gt;=0,1,-1)*QUOTIENT(((c_TMAP2IN)-(c_TMAP1IN)),2)),((c_TMAP2IN)-(c_TMAP1IN)))+(c_TMAP1OUT)+IF(((c_TMAP2OUT)-(c_TMAP1OUT))&gt;=0,IF(IF(o_WRAP=1,MOD(((c_TMAP2IN)-(c_TMAP1IN))*(((K197)-(c_TMAP1IN))*((c_TMAP2OUT)-(c_TMAP1OUT))+IF(((c_TMAP2OUT)-(c_TMAP1OUT))&gt;=0,1,-1)*QUOTIENT(((c_TMAP2IN)-(c_TMAP1IN)),2))+2147483648,4294967296)-2147483648,((c_TMAP2IN)-(c_TMAP1IN))*(((K197)-(c_TMAP1IN))*((c_TMAP2OUT)-(c_TMAP1OUT))+IF(((c_TMAP2OUT)-(c_TMAP1OUT))&gt;=0,1,-1)*QUOTIENT(((c_TMAP2IN)-(c_TMAP1IN)),2)))&lt;0,-1,0),IF(IF(o_WRAP=1,MOD(((c_TMAP2IN)-(c_TMAP1IN))*(((K197)-(c_TMAP1IN))*((c_TMAP2OUT)-(c_TMAP1OUT))+IF(((c_TMAP2OUT)-(c_TMAP1OUT))&gt;=0,1,-1)*QUOTIENT(((c_TMAP2IN)-(c_TMAP1IN)),2))+2147483648,4294967296)-2147483648,((c_TMAP2IN)-(c_TMAP1IN))*(((K197)-(c_TMAP1IN))*((c_TMAP2OUT)-(c_TMAP1OUT))+IF(((c_TMAP2OUT)-(c_TMAP1OUT))&gt;=0,1,-1)*QUOTIENT(((c_TMAP2IN)-(c_TMAP1IN)),2)))&gt;=0,1,0)))</f>
        <v>211</v>
      </c>
      <c r="O197" s="7" t="n">
        <f aca="false">IF(((c_TMAP3IN)-(c_TMAP2IN))=0,(c_TMAP2OUT)+QUOTIENT(((c_TMAP3OUT)-(c_TMAP2OUT)),2),QUOTIENT((((K197)-(c_TMAP2IN))*((c_TMAP3OUT)-(c_TMAP2OUT))+IF(((c_TMAP3OUT)-(c_TMAP2OUT))&gt;=0,1,-1)*QUOTIENT(((c_TMAP3IN)-(c_TMAP2IN)),2)),((c_TMAP3IN)-(c_TMAP2IN)))+(c_TMAP2OUT)+IF(((c_TMAP3OUT)-(c_TMAP2OUT))&gt;=0,IF(IF(o_WRAP=1,MOD(((c_TMAP3IN)-(c_TMAP2IN))*(((K197)-(c_TMAP2IN))*((c_TMAP3OUT)-(c_TMAP2OUT))+IF(((c_TMAP3OUT)-(c_TMAP2OUT))&gt;=0,1,-1)*QUOTIENT(((c_TMAP3IN)-(c_TMAP2IN)),2))+2147483648,4294967296)-2147483648,((c_TMAP3IN)-(c_TMAP2IN))*(((K197)-(c_TMAP2IN))*((c_TMAP3OUT)-(c_TMAP2OUT))+IF(((c_TMAP3OUT)-(c_TMAP2OUT))&gt;=0,1,-1)*QUOTIENT(((c_TMAP3IN)-(c_TMAP2IN)),2)))&lt;0,-1,0),IF(IF(o_WRAP=1,MOD(((c_TMAP3IN)-(c_TMAP2IN))*(((K197)-(c_TMAP2IN))*((c_TMAP3OUT)-(c_TMAP2OUT))+IF(((c_TMAP3OUT)-(c_TMAP2OUT))&gt;=0,1,-1)*QUOTIENT(((c_TMAP3IN)-(c_TMAP2IN)),2))+2147483648,4294967296)-2147483648,((c_TMAP3IN)-(c_TMAP2IN))*(((K197)-(c_TMAP2IN))*((c_TMAP3OUT)-(c_TMAP2OUT))+IF(((c_TMAP3OUT)-(c_TMAP2OUT))&gt;=0,1,-1)*QUOTIENT(((c_TMAP3IN)-(c_TMAP2IN)),2)))&gt;=0,1,0)))</f>
        <v>271</v>
      </c>
      <c r="P197" s="7" t="n">
        <f aca="false">IF(((1000)-(c_TMAP3IN))=0,(c_TMAP3OUT)+QUOTIENT(((1000)-(c_TMAP3OUT)),2),QUOTIENT((((K197)-(c_TMAP3IN))*((1000)-(c_TMAP3OUT))+IF(((1000)-(c_TMAP3OUT))&gt;=0,1,-1)*QUOTIENT(((1000)-(c_TMAP3IN)),2)),((1000)-(c_TMAP3IN)))+(c_TMAP3OUT)+IF(((1000)-(c_TMAP3OUT))&gt;=0,IF(IF(o_WRAP=1,MOD(((1000)-(c_TMAP3IN))*(((K197)-(c_TMAP3IN))*((1000)-(c_TMAP3OUT))+IF(((1000)-(c_TMAP3OUT))&gt;=0,1,-1)*QUOTIENT(((1000)-(c_TMAP3IN)),2))+2147483648,4294967296)-2147483648,((1000)-(c_TMAP3IN))*(((K197)-(c_TMAP3IN))*((1000)-(c_TMAP3OUT))+IF(((1000)-(c_TMAP3OUT))&gt;=0,1,-1)*QUOTIENT(((1000)-(c_TMAP3IN)),2)))&lt;0,-1,0),IF(IF(o_WRAP=1,MOD(((1000)-(c_TMAP3IN))*(((K197)-(c_TMAP3IN))*((1000)-(c_TMAP3OUT))+IF(((1000)-(c_TMAP3OUT))&gt;=0,1,-1)*QUOTIENT(((1000)-(c_TMAP3IN)),2))+2147483648,4294967296)-2147483648,((1000)-(c_TMAP3IN))*(((K197)-(c_TMAP3IN))*((1000)-(c_TMAP3OUT))+IF(((1000)-(c_TMAP3OUT))&gt;=0,1,-1)*QUOTIENT(((1000)-(c_TMAP3IN)),2)))&gt;=0,1,0)))</f>
        <v>326</v>
      </c>
      <c r="Q197" s="7" t="str">
        <f aca="false">IF(K197&gt;=c_TFWD,IF(AND(K197&gt;=c_TMAP3IN,c_TMAP3IN&lt;1000),"Seg4 map3-100%",IF(AND(K197&gt;=c_TMAP2IN,c_TMAP3IN&gt;c_TMAP2IN),"Seg3 map2-map3",IF(AND(K197&gt;=c_TMAP1IN,c_TMAP2IN&gt;c_TMAP1IN),"Seg2 map1-map2","Seg1 TFWD-map1"))),IF(AND(K197=0,c_TCREEP&gt;0),"Creep",IF(AND(K197&lt;=c_TRNGMIN,K197&gt;=c_TRNGMAX,c_TRNGMIN-c_TRNGMAX&lt;&gt;0),"Regen ramp","Coast (0)")))</f>
        <v>Seg4 map3-100%</v>
      </c>
      <c r="R197" s="7" t="n">
        <f aca="false">IF(K197&gt;=c_TFWD,IF(AND(K197&gt;=c_TMAP3IN,c_TMAP3IN&lt;1000),P197,IF(AND(K197&gt;=c_TMAP2IN,c_TMAP3IN&gt;c_TMAP2IN),O197,IF(AND(K197&gt;=c_TMAP1IN,c_TMAP2IN&gt;c_TMAP1IN),N197,M197))),L197)</f>
        <v>326</v>
      </c>
      <c r="S197" s="7" t="str">
        <f aca="false">IF(R197&lt;-1090,"TOO LOW",IF(R197&gt;1090,"TOO HIGH",""))</f>
        <v/>
      </c>
      <c r="T197" s="15" t="n">
        <f aca="false">IF(H197&lt;&gt;"OK",0,IF(S197&lt;&gt;"",0,IF(R197&gt;979,1000,R197)))</f>
        <v>326</v>
      </c>
      <c r="U197" s="7" t="n">
        <f aca="false">T197/10</f>
        <v>32.6</v>
      </c>
    </row>
    <row r="198" customFormat="false" ht="15" hidden="false" customHeight="false" outlineLevel="0" collapsed="false">
      <c r="A198" s="7" t="n">
        <v>193</v>
      </c>
      <c r="B198" s="7" t="n">
        <f aca="false">ROUND(o_SWSTART+A198*(o_SWEND-o_SWSTART)/400,0)</f>
        <v>1976</v>
      </c>
      <c r="C198" s="7" t="n">
        <f aca="false">QUOTIENT((B198-c_OFF1)*c_GAIN1,1024)</f>
        <v>1976</v>
      </c>
      <c r="D198" s="7" t="n">
        <f aca="false">IF(((c_T1MX)-(c_T1MN))=0,(0)+QUOTIENT(((1000)-(0)),2),QUOTIENT((((C198)-(c_T1MN))*((1000)-(0))+IF(((1000)-(0))&gt;=0,1,-1)*QUOTIENT(((c_T1MX)-(c_T1MN)),2)),((c_T1MX)-(c_T1MN)))+(0)+IF(((1000)-(0))&gt;=0,IF(IF(o_WRAP=1,MOD(((c_T1MX)-(c_T1MN))*(((C198)-(c_T1MN))*((1000)-(0))+IF(((1000)-(0))&gt;=0,1,-1)*QUOTIENT(((c_T1MX)-(c_T1MN)),2))+2147483648,4294967296)-2147483648,((c_T1MX)-(c_T1MN))*(((C198)-(c_T1MN))*((1000)-(0))+IF(((1000)-(0))&gt;=0,1,-1)*QUOTIENT(((c_T1MX)-(c_T1MN)),2)))&lt;0,-1,0),IF(IF(o_WRAP=1,MOD(((c_T1MX)-(c_T1MN))*(((C198)-(c_T1MN))*((1000)-(0))+IF(((1000)-(0))&gt;=0,1,-1)*QUOTIENT(((c_T1MX)-(c_T1MN)),2))+2147483648,4294967296)-2147483648,((c_T1MX)-(c_T1MN))*(((C198)-(c_T1MN))*((1000)-(0))+IF(((1000)-(0))&gt;=0,1,-1)*QUOTIENT(((c_T1MX)-(c_T1MN)),2)))&gt;=0,1,0)))</f>
        <v>455</v>
      </c>
      <c r="E198" s="7" t="n">
        <f aca="false">IF(AND(c_TPOT=1,c_TTYPE=2),1000-D198,D198)</f>
        <v>455</v>
      </c>
      <c r="F198" s="7" t="str">
        <f aca="false">IF(c_TPOT&gt;1,ROUND(IF(c_TTYPE=2,c_T2MX-IF(c_T1MX=c_T1MN,0,(C198-c_T1MN)/(c_T1MX-c_T1MN))*(c_T2MX-c_T2MN),c_T2MN+IF(c_T1MX=c_T1MN,0,(C198-c_T1MN)/(c_T1MX-c_T1MN))*(c_T2MX-c_T2MN))+o_MISMATCH,0),"")</f>
        <v/>
      </c>
      <c r="G198" s="7" t="str">
        <f aca="false">IF(c_TPOT&gt;1,IF(((c_T2MX)-(c_T2MN))=0,(0)+QUOTIENT(((1000)-(0)),2),QUOTIENT((((F198)-(c_T2MN))*((1000)-(0))+IF(((1000)-(0))&gt;=0,1,-1)*QUOTIENT(((c_T2MX)-(c_T2MN)),2)),((c_T2MX)-(c_T2MN)))+(0)+IF(((1000)-(0))&gt;=0,IF(IF(o_WRAP=1,MOD(((c_T2MX)-(c_T2MN))*(((F198)-(c_T2MN))*((1000)-(0))+IF(((1000)-(0))&gt;=0,1,-1)*QUOTIENT(((c_T2MX)-(c_T2MN)),2))+2147483648,4294967296)-2147483648,((c_T2MX)-(c_T2MN))*(((F198)-(c_T2MN))*((1000)-(0))+IF(((1000)-(0))&gt;=0,1,-1)*QUOTIENT(((c_T2MX)-(c_T2MN)),2)))&lt;0,-1,0),IF(IF(o_WRAP=1,MOD(((c_T2MX)-(c_T2MN))*(((F198)-(c_T2MN))*((1000)-(0))+IF(((1000)-(0))&gt;=0,1,-1)*QUOTIENT(((c_T2MX)-(c_T2MN)),2))+2147483648,4294967296)-2147483648,((c_T2MX)-(c_T2MN))*(((F198)-(c_T2MN))*((1000)-(0))+IF(((1000)-(0))&gt;=0,1,-1)*QUOTIENT(((c_T2MX)-(c_T2MN)),2)))&gt;=0,1,0))),"")</f>
        <v/>
      </c>
      <c r="H198" s="7" t="str">
        <f aca="false">IF(E198&gt;1000+k_TOL,"T1 HIGH",IF(E198&lt;0-k_TOL,"T1 LOW",IF(c_TPOT&gt;1,IF(G198&gt;1000+k_TOL,"T2 HIGH",IF(G198&lt;0-k_TOL,"T2 LOW",IF(c_TTYPE=2,IF(ABS(1000-MAX(0,MIN(1000,E198))-MAX(0,MIN(1000,G198)))&gt;k_MAXERR,"MISMATCH","OK"),IF(OR(MAX(0,MIN(1000,E198))-k_MAXERR&gt;MAX(0,MIN(1000,G198)),MAX(0,MIN(1000,G198))-k_MAXERR&gt;MAX(0,MIN(1000,E198))),"MISMATCH","OK")))),"OK")))</f>
        <v>OK</v>
      </c>
      <c r="I198" s="7" t="n">
        <f aca="false">MAX(0,MIN(1000,D198))</f>
        <v>455</v>
      </c>
      <c r="J198" s="7" t="str">
        <f aca="false">IF(c_TPOT&gt;1,IF(c_TTYPE=2,1000-MAX(0,MIN(1000,G198)),MAX(0,MIN(1000,G198))),"")</f>
        <v/>
      </c>
      <c r="K198" s="7" t="n">
        <f aca="false">IF(c_TPOT&gt;1,QUOTIENT(I198+J198,2),I198)</f>
        <v>455</v>
      </c>
      <c r="L198" s="7" t="n">
        <f aca="false">IF(AND(K198=0,c_TCREEP&gt;0),10*c_TCREEP,IF(AND(K198&lt;=c_TRNGMIN,K198&gt;=c_TRNGMAX,c_TRNGMIN-c_TRNGMAX&lt;&gt;0),-10*c_TMINRN+QUOTIENT((c_TMAXRN-c_TMINRN)*(100-QUOTIENT((K198-c_TRNGMAX)*100,c_TRNGMIN-c_TRNGMAX)),-10),0))</f>
        <v>0</v>
      </c>
      <c r="M198" s="7" t="n">
        <f aca="false">IF(((c_TMAP1IN)-(c_TFWD))=0,(0)+QUOTIENT(((c_TMAP1OUT)-(0)),2),QUOTIENT((((K198)-(c_TFWD))*((c_TMAP1OUT)-(0))+IF(((c_TMAP1OUT)-(0))&gt;=0,1,-1)*QUOTIENT(((c_TMAP1IN)-(c_TFWD)),2)),((c_TMAP1IN)-(c_TFWD)))+(0)+IF(((c_TMAP1OUT)-(0))&gt;=0,IF(IF(o_WRAP=1,MOD(((c_TMAP1IN)-(c_TFWD))*(((K198)-(c_TFWD))*((c_TMAP1OUT)-(0))+IF(((c_TMAP1OUT)-(0))&gt;=0,1,-1)*QUOTIENT(((c_TMAP1IN)-(c_TFWD)),2))+2147483648,4294967296)-2147483648,((c_TMAP1IN)-(c_TFWD))*(((K198)-(c_TFWD))*((c_TMAP1OUT)-(0))+IF(((c_TMAP1OUT)-(0))&gt;=0,1,-1)*QUOTIENT(((c_TMAP1IN)-(c_TFWD)),2)))&lt;0,-1,0),IF(IF(o_WRAP=1,MOD(((c_TMAP1IN)-(c_TFWD))*(((K198)-(c_TFWD))*((c_TMAP1OUT)-(0))+IF(((c_TMAP1OUT)-(0))&gt;=0,1,-1)*QUOTIENT(((c_TMAP1IN)-(c_TFWD)),2))+2147483648,4294967296)-2147483648,((c_TMAP1IN)-(c_TFWD))*(((K198)-(c_TFWD))*((c_TMAP1OUT)-(0))+IF(((c_TMAP1OUT)-(0))&gt;=0,1,-1)*QUOTIENT(((c_TMAP1IN)-(c_TFWD)),2)))&gt;=0,1,0)))</f>
        <v>346</v>
      </c>
      <c r="N198" s="7" t="n">
        <f aca="false">IF(((c_TMAP2IN)-(c_TMAP1IN))=0,(c_TMAP1OUT)+QUOTIENT(((c_TMAP2OUT)-(c_TMAP1OUT)),2),QUOTIENT((((K198)-(c_TMAP1IN))*((c_TMAP2OUT)-(c_TMAP1OUT))+IF(((c_TMAP2OUT)-(c_TMAP1OUT))&gt;=0,1,-1)*QUOTIENT(((c_TMAP2IN)-(c_TMAP1IN)),2)),((c_TMAP2IN)-(c_TMAP1IN)))+(c_TMAP1OUT)+IF(((c_TMAP2OUT)-(c_TMAP1OUT))&gt;=0,IF(IF(o_WRAP=1,MOD(((c_TMAP2IN)-(c_TMAP1IN))*(((K198)-(c_TMAP1IN))*((c_TMAP2OUT)-(c_TMAP1OUT))+IF(((c_TMAP2OUT)-(c_TMAP1OUT))&gt;=0,1,-1)*QUOTIENT(((c_TMAP2IN)-(c_TMAP1IN)),2))+2147483648,4294967296)-2147483648,((c_TMAP2IN)-(c_TMAP1IN))*(((K198)-(c_TMAP1IN))*((c_TMAP2OUT)-(c_TMAP1OUT))+IF(((c_TMAP2OUT)-(c_TMAP1OUT))&gt;=0,1,-1)*QUOTIENT(((c_TMAP2IN)-(c_TMAP1IN)),2)))&lt;0,-1,0),IF(IF(o_WRAP=1,MOD(((c_TMAP2IN)-(c_TMAP1IN))*(((K198)-(c_TMAP1IN))*((c_TMAP2OUT)-(c_TMAP1OUT))+IF(((c_TMAP2OUT)-(c_TMAP1OUT))&gt;=0,1,-1)*QUOTIENT(((c_TMAP2IN)-(c_TMAP1IN)),2))+2147483648,4294967296)-2147483648,((c_TMAP2IN)-(c_TMAP1IN))*(((K198)-(c_TMAP1IN))*((c_TMAP2OUT)-(c_TMAP1OUT))+IF(((c_TMAP2OUT)-(c_TMAP1OUT))&gt;=0,1,-1)*QUOTIENT(((c_TMAP2IN)-(c_TMAP1IN)),2)))&gt;=0,1,0)))</f>
        <v>212</v>
      </c>
      <c r="O198" s="7" t="n">
        <f aca="false">IF(((c_TMAP3IN)-(c_TMAP2IN))=0,(c_TMAP2OUT)+QUOTIENT(((c_TMAP3OUT)-(c_TMAP2OUT)),2),QUOTIENT((((K198)-(c_TMAP2IN))*((c_TMAP3OUT)-(c_TMAP2OUT))+IF(((c_TMAP3OUT)-(c_TMAP2OUT))&gt;=0,1,-1)*QUOTIENT(((c_TMAP3IN)-(c_TMAP2IN)),2)),((c_TMAP3IN)-(c_TMAP2IN)))+(c_TMAP2OUT)+IF(((c_TMAP3OUT)-(c_TMAP2OUT))&gt;=0,IF(IF(o_WRAP=1,MOD(((c_TMAP3IN)-(c_TMAP2IN))*(((K198)-(c_TMAP2IN))*((c_TMAP3OUT)-(c_TMAP2OUT))+IF(((c_TMAP3OUT)-(c_TMAP2OUT))&gt;=0,1,-1)*QUOTIENT(((c_TMAP3IN)-(c_TMAP2IN)),2))+2147483648,4294967296)-2147483648,((c_TMAP3IN)-(c_TMAP2IN))*(((K198)-(c_TMAP2IN))*((c_TMAP3OUT)-(c_TMAP2OUT))+IF(((c_TMAP3OUT)-(c_TMAP2OUT))&gt;=0,1,-1)*QUOTIENT(((c_TMAP3IN)-(c_TMAP2IN)),2)))&lt;0,-1,0),IF(IF(o_WRAP=1,MOD(((c_TMAP3IN)-(c_TMAP2IN))*(((K198)-(c_TMAP2IN))*((c_TMAP3OUT)-(c_TMAP2OUT))+IF(((c_TMAP3OUT)-(c_TMAP2OUT))&gt;=0,1,-1)*QUOTIENT(((c_TMAP3IN)-(c_TMAP2IN)),2))+2147483648,4294967296)-2147483648,((c_TMAP3IN)-(c_TMAP2IN))*(((K198)-(c_TMAP2IN))*((c_TMAP3OUT)-(c_TMAP2OUT))+IF(((c_TMAP3OUT)-(c_TMAP2OUT))&gt;=0,1,-1)*QUOTIENT(((c_TMAP3IN)-(c_TMAP2IN)),2)))&gt;=0,1,0)))</f>
        <v>274</v>
      </c>
      <c r="P198" s="7" t="n">
        <f aca="false">IF(((1000)-(c_TMAP3IN))=0,(c_TMAP3OUT)+QUOTIENT(((1000)-(c_TMAP3OUT)),2),QUOTIENT((((K198)-(c_TMAP3IN))*((1000)-(c_TMAP3OUT))+IF(((1000)-(c_TMAP3OUT))&gt;=0,1,-1)*QUOTIENT(((1000)-(c_TMAP3IN)),2)),((1000)-(c_TMAP3IN)))+(c_TMAP3OUT)+IF(((1000)-(c_TMAP3OUT))&gt;=0,IF(IF(o_WRAP=1,MOD(((1000)-(c_TMAP3IN))*(((K198)-(c_TMAP3IN))*((1000)-(c_TMAP3OUT))+IF(((1000)-(c_TMAP3OUT))&gt;=0,1,-1)*QUOTIENT(((1000)-(c_TMAP3IN)),2))+2147483648,4294967296)-2147483648,((1000)-(c_TMAP3IN))*(((K198)-(c_TMAP3IN))*((1000)-(c_TMAP3OUT))+IF(((1000)-(c_TMAP3OUT))&gt;=0,1,-1)*QUOTIENT(((1000)-(c_TMAP3IN)),2)))&lt;0,-1,0),IF(IF(o_WRAP=1,MOD(((1000)-(c_TMAP3IN))*(((K198)-(c_TMAP3IN))*((1000)-(c_TMAP3OUT))+IF(((1000)-(c_TMAP3OUT))&gt;=0,1,-1)*QUOTIENT(((1000)-(c_TMAP3IN)),2))+2147483648,4294967296)-2147483648,((1000)-(c_TMAP3IN))*(((K198)-(c_TMAP3IN))*((1000)-(c_TMAP3OUT))+IF(((1000)-(c_TMAP3OUT))&gt;=0,1,-1)*QUOTIENT(((1000)-(c_TMAP3IN)),2)))&gt;=0,1,0)))</f>
        <v>329</v>
      </c>
      <c r="Q198" s="7" t="str">
        <f aca="false">IF(K198&gt;=c_TFWD,IF(AND(K198&gt;=c_TMAP3IN,c_TMAP3IN&lt;1000),"Seg4 map3-100%",IF(AND(K198&gt;=c_TMAP2IN,c_TMAP3IN&gt;c_TMAP2IN),"Seg3 map2-map3",IF(AND(K198&gt;=c_TMAP1IN,c_TMAP2IN&gt;c_TMAP1IN),"Seg2 map1-map2","Seg1 TFWD-map1"))),IF(AND(K198=0,c_TCREEP&gt;0),"Creep",IF(AND(K198&lt;=c_TRNGMIN,K198&gt;=c_TRNGMAX,c_TRNGMIN-c_TRNGMAX&lt;&gt;0),"Regen ramp","Coast (0)")))</f>
        <v>Seg4 map3-100%</v>
      </c>
      <c r="R198" s="7" t="n">
        <f aca="false">IF(K198&gt;=c_TFWD,IF(AND(K198&gt;=c_TMAP3IN,c_TMAP3IN&lt;1000),P198,IF(AND(K198&gt;=c_TMAP2IN,c_TMAP3IN&gt;c_TMAP2IN),O198,IF(AND(K198&gt;=c_TMAP1IN,c_TMAP2IN&gt;c_TMAP1IN),N198,M198))),L198)</f>
        <v>329</v>
      </c>
      <c r="S198" s="7" t="str">
        <f aca="false">IF(R198&lt;-1090,"TOO LOW",IF(R198&gt;1090,"TOO HIGH",""))</f>
        <v/>
      </c>
      <c r="T198" s="15" t="n">
        <f aca="false">IF(H198&lt;&gt;"OK",0,IF(S198&lt;&gt;"",0,IF(R198&gt;979,1000,R198)))</f>
        <v>329</v>
      </c>
      <c r="U198" s="7" t="n">
        <f aca="false">T198/10</f>
        <v>32.9</v>
      </c>
    </row>
    <row r="199" customFormat="false" ht="15" hidden="false" customHeight="false" outlineLevel="0" collapsed="false">
      <c r="A199" s="7" t="n">
        <v>194</v>
      </c>
      <c r="B199" s="7" t="n">
        <f aca="false">ROUND(o_SWSTART+A199*(o_SWEND-o_SWSTART)/400,0)</f>
        <v>1986</v>
      </c>
      <c r="C199" s="7" t="n">
        <f aca="false">QUOTIENT((B199-c_OFF1)*c_GAIN1,1024)</f>
        <v>1986</v>
      </c>
      <c r="D199" s="7" t="n">
        <f aca="false">IF(((c_T1MX)-(c_T1MN))=0,(0)+QUOTIENT(((1000)-(0)),2),QUOTIENT((((C199)-(c_T1MN))*((1000)-(0))+IF(((1000)-(0))&gt;=0,1,-1)*QUOTIENT(((c_T1MX)-(c_T1MN)),2)),((c_T1MX)-(c_T1MN)))+(0)+IF(((1000)-(0))&gt;=0,IF(IF(o_WRAP=1,MOD(((c_T1MX)-(c_T1MN))*(((C199)-(c_T1MN))*((1000)-(0))+IF(((1000)-(0))&gt;=0,1,-1)*QUOTIENT(((c_T1MX)-(c_T1MN)),2))+2147483648,4294967296)-2147483648,((c_T1MX)-(c_T1MN))*(((C199)-(c_T1MN))*((1000)-(0))+IF(((1000)-(0))&gt;=0,1,-1)*QUOTIENT(((c_T1MX)-(c_T1MN)),2)))&lt;0,-1,0),IF(IF(o_WRAP=1,MOD(((c_T1MX)-(c_T1MN))*(((C199)-(c_T1MN))*((1000)-(0))+IF(((1000)-(0))&gt;=0,1,-1)*QUOTIENT(((c_T1MX)-(c_T1MN)),2))+2147483648,4294967296)-2147483648,((c_T1MX)-(c_T1MN))*(((C199)-(c_T1MN))*((1000)-(0))+IF(((1000)-(0))&gt;=0,1,-1)*QUOTIENT(((c_T1MX)-(c_T1MN)),2)))&gt;=0,1,0)))</f>
        <v>459</v>
      </c>
      <c r="E199" s="7" t="n">
        <f aca="false">IF(AND(c_TPOT=1,c_TTYPE=2),1000-D199,D199)</f>
        <v>459</v>
      </c>
      <c r="F199" s="7" t="str">
        <f aca="false">IF(c_TPOT&gt;1,ROUND(IF(c_TTYPE=2,c_T2MX-IF(c_T1MX=c_T1MN,0,(C199-c_T1MN)/(c_T1MX-c_T1MN))*(c_T2MX-c_T2MN),c_T2MN+IF(c_T1MX=c_T1MN,0,(C199-c_T1MN)/(c_T1MX-c_T1MN))*(c_T2MX-c_T2MN))+o_MISMATCH,0),"")</f>
        <v/>
      </c>
      <c r="G199" s="7" t="str">
        <f aca="false">IF(c_TPOT&gt;1,IF(((c_T2MX)-(c_T2MN))=0,(0)+QUOTIENT(((1000)-(0)),2),QUOTIENT((((F199)-(c_T2MN))*((1000)-(0))+IF(((1000)-(0))&gt;=0,1,-1)*QUOTIENT(((c_T2MX)-(c_T2MN)),2)),((c_T2MX)-(c_T2MN)))+(0)+IF(((1000)-(0))&gt;=0,IF(IF(o_WRAP=1,MOD(((c_T2MX)-(c_T2MN))*(((F199)-(c_T2MN))*((1000)-(0))+IF(((1000)-(0))&gt;=0,1,-1)*QUOTIENT(((c_T2MX)-(c_T2MN)),2))+2147483648,4294967296)-2147483648,((c_T2MX)-(c_T2MN))*(((F199)-(c_T2MN))*((1000)-(0))+IF(((1000)-(0))&gt;=0,1,-1)*QUOTIENT(((c_T2MX)-(c_T2MN)),2)))&lt;0,-1,0),IF(IF(o_WRAP=1,MOD(((c_T2MX)-(c_T2MN))*(((F199)-(c_T2MN))*((1000)-(0))+IF(((1000)-(0))&gt;=0,1,-1)*QUOTIENT(((c_T2MX)-(c_T2MN)),2))+2147483648,4294967296)-2147483648,((c_T2MX)-(c_T2MN))*(((F199)-(c_T2MN))*((1000)-(0))+IF(((1000)-(0))&gt;=0,1,-1)*QUOTIENT(((c_T2MX)-(c_T2MN)),2)))&gt;=0,1,0))),"")</f>
        <v/>
      </c>
      <c r="H199" s="7" t="str">
        <f aca="false">IF(E199&gt;1000+k_TOL,"T1 HIGH",IF(E199&lt;0-k_TOL,"T1 LOW",IF(c_TPOT&gt;1,IF(G199&gt;1000+k_TOL,"T2 HIGH",IF(G199&lt;0-k_TOL,"T2 LOW",IF(c_TTYPE=2,IF(ABS(1000-MAX(0,MIN(1000,E199))-MAX(0,MIN(1000,G199)))&gt;k_MAXERR,"MISMATCH","OK"),IF(OR(MAX(0,MIN(1000,E199))-k_MAXERR&gt;MAX(0,MIN(1000,G199)),MAX(0,MIN(1000,G199))-k_MAXERR&gt;MAX(0,MIN(1000,E199))),"MISMATCH","OK")))),"OK")))</f>
        <v>OK</v>
      </c>
      <c r="I199" s="7" t="n">
        <f aca="false">MAX(0,MIN(1000,D199))</f>
        <v>459</v>
      </c>
      <c r="J199" s="7" t="str">
        <f aca="false">IF(c_TPOT&gt;1,IF(c_TTYPE=2,1000-MAX(0,MIN(1000,G199)),MAX(0,MIN(1000,G199))),"")</f>
        <v/>
      </c>
      <c r="K199" s="7" t="n">
        <f aca="false">IF(c_TPOT&gt;1,QUOTIENT(I199+J199,2),I199)</f>
        <v>459</v>
      </c>
      <c r="L199" s="7" t="n">
        <f aca="false">IF(AND(K199=0,c_TCREEP&gt;0),10*c_TCREEP,IF(AND(K199&lt;=c_TRNGMIN,K199&gt;=c_TRNGMAX,c_TRNGMIN-c_TRNGMAX&lt;&gt;0),-10*c_TMINRN+QUOTIENT((c_TMAXRN-c_TMINRN)*(100-QUOTIENT((K199-c_TRNGMAX)*100,c_TRNGMIN-c_TRNGMAX)),-10),0))</f>
        <v>0</v>
      </c>
      <c r="M199" s="7" t="n">
        <f aca="false">IF(((c_TMAP1IN)-(c_TFWD))=0,(0)+QUOTIENT(((c_TMAP1OUT)-(0)),2),QUOTIENT((((K199)-(c_TFWD))*((c_TMAP1OUT)-(0))+IF(((c_TMAP1OUT)-(0))&gt;=0,1,-1)*QUOTIENT(((c_TMAP1IN)-(c_TFWD)),2)),((c_TMAP1IN)-(c_TFWD)))+(0)+IF(((c_TMAP1OUT)-(0))&gt;=0,IF(IF(o_WRAP=1,MOD(((c_TMAP1IN)-(c_TFWD))*(((K199)-(c_TFWD))*((c_TMAP1OUT)-(0))+IF(((c_TMAP1OUT)-(0))&gt;=0,1,-1)*QUOTIENT(((c_TMAP1IN)-(c_TFWD)),2))+2147483648,4294967296)-2147483648,((c_TMAP1IN)-(c_TFWD))*(((K199)-(c_TFWD))*((c_TMAP1OUT)-(0))+IF(((c_TMAP1OUT)-(0))&gt;=0,1,-1)*QUOTIENT(((c_TMAP1IN)-(c_TFWD)),2)))&lt;0,-1,0),IF(IF(o_WRAP=1,MOD(((c_TMAP1IN)-(c_TFWD))*(((K199)-(c_TFWD))*((c_TMAP1OUT)-(0))+IF(((c_TMAP1OUT)-(0))&gt;=0,1,-1)*QUOTIENT(((c_TMAP1IN)-(c_TFWD)),2))+2147483648,4294967296)-2147483648,((c_TMAP1IN)-(c_TFWD))*(((K199)-(c_TFWD))*((c_TMAP1OUT)-(0))+IF(((c_TMAP1OUT)-(0))&gt;=0,1,-1)*QUOTIENT(((c_TMAP1IN)-(c_TFWD)),2)))&gt;=0,1,0)))</f>
        <v>349</v>
      </c>
      <c r="N199" s="7" t="n">
        <f aca="false">IF(((c_TMAP2IN)-(c_TMAP1IN))=0,(c_TMAP1OUT)+QUOTIENT(((c_TMAP2OUT)-(c_TMAP1OUT)),2),QUOTIENT((((K199)-(c_TMAP1IN))*((c_TMAP2OUT)-(c_TMAP1OUT))+IF(((c_TMAP2OUT)-(c_TMAP1OUT))&gt;=0,1,-1)*QUOTIENT(((c_TMAP2IN)-(c_TMAP1IN)),2)),((c_TMAP2IN)-(c_TMAP1IN)))+(c_TMAP1OUT)+IF(((c_TMAP2OUT)-(c_TMAP1OUT))&gt;=0,IF(IF(o_WRAP=1,MOD(((c_TMAP2IN)-(c_TMAP1IN))*(((K199)-(c_TMAP1IN))*((c_TMAP2OUT)-(c_TMAP1OUT))+IF(((c_TMAP2OUT)-(c_TMAP1OUT))&gt;=0,1,-1)*QUOTIENT(((c_TMAP2IN)-(c_TMAP1IN)),2))+2147483648,4294967296)-2147483648,((c_TMAP2IN)-(c_TMAP1IN))*(((K199)-(c_TMAP1IN))*((c_TMAP2OUT)-(c_TMAP1OUT))+IF(((c_TMAP2OUT)-(c_TMAP1OUT))&gt;=0,1,-1)*QUOTIENT(((c_TMAP2IN)-(c_TMAP1IN)),2)))&lt;0,-1,0),IF(IF(o_WRAP=1,MOD(((c_TMAP2IN)-(c_TMAP1IN))*(((K199)-(c_TMAP1IN))*((c_TMAP2OUT)-(c_TMAP1OUT))+IF(((c_TMAP2OUT)-(c_TMAP1OUT))&gt;=0,1,-1)*QUOTIENT(((c_TMAP2IN)-(c_TMAP1IN)),2))+2147483648,4294967296)-2147483648,((c_TMAP2IN)-(c_TMAP1IN))*(((K199)-(c_TMAP1IN))*((c_TMAP2OUT)-(c_TMAP1OUT))+IF(((c_TMAP2OUT)-(c_TMAP1OUT))&gt;=0,1,-1)*QUOTIENT(((c_TMAP2IN)-(c_TMAP1IN)),2)))&gt;=0,1,0)))</f>
        <v>214</v>
      </c>
      <c r="O199" s="7" t="n">
        <f aca="false">IF(((c_TMAP3IN)-(c_TMAP2IN))=0,(c_TMAP2OUT)+QUOTIENT(((c_TMAP3OUT)-(c_TMAP2OUT)),2),QUOTIENT((((K199)-(c_TMAP2IN))*((c_TMAP3OUT)-(c_TMAP2OUT))+IF(((c_TMAP3OUT)-(c_TMAP2OUT))&gt;=0,1,-1)*QUOTIENT(((c_TMAP3IN)-(c_TMAP2IN)),2)),((c_TMAP3IN)-(c_TMAP2IN)))+(c_TMAP2OUT)+IF(((c_TMAP3OUT)-(c_TMAP2OUT))&gt;=0,IF(IF(o_WRAP=1,MOD(((c_TMAP3IN)-(c_TMAP2IN))*(((K199)-(c_TMAP2IN))*((c_TMAP3OUT)-(c_TMAP2OUT))+IF(((c_TMAP3OUT)-(c_TMAP2OUT))&gt;=0,1,-1)*QUOTIENT(((c_TMAP3IN)-(c_TMAP2IN)),2))+2147483648,4294967296)-2147483648,((c_TMAP3IN)-(c_TMAP2IN))*(((K199)-(c_TMAP2IN))*((c_TMAP3OUT)-(c_TMAP2OUT))+IF(((c_TMAP3OUT)-(c_TMAP2OUT))&gt;=0,1,-1)*QUOTIENT(((c_TMAP3IN)-(c_TMAP2IN)),2)))&lt;0,-1,0),IF(IF(o_WRAP=1,MOD(((c_TMAP3IN)-(c_TMAP2IN))*(((K199)-(c_TMAP2IN))*((c_TMAP3OUT)-(c_TMAP2OUT))+IF(((c_TMAP3OUT)-(c_TMAP2OUT))&gt;=0,1,-1)*QUOTIENT(((c_TMAP3IN)-(c_TMAP2IN)),2))+2147483648,4294967296)-2147483648,((c_TMAP3IN)-(c_TMAP2IN))*(((K199)-(c_TMAP2IN))*((c_TMAP3OUT)-(c_TMAP2OUT))+IF(((c_TMAP3OUT)-(c_TMAP2OUT))&gt;=0,1,-1)*QUOTIENT(((c_TMAP3IN)-(c_TMAP2IN)),2)))&gt;=0,1,0)))</f>
        <v>276</v>
      </c>
      <c r="P199" s="7" t="n">
        <f aca="false">IF(((1000)-(c_TMAP3IN))=0,(c_TMAP3OUT)+QUOTIENT(((1000)-(c_TMAP3OUT)),2),QUOTIENT((((K199)-(c_TMAP3IN))*((1000)-(c_TMAP3OUT))+IF(((1000)-(c_TMAP3OUT))&gt;=0,1,-1)*QUOTIENT(((1000)-(c_TMAP3IN)),2)),((1000)-(c_TMAP3IN)))+(c_TMAP3OUT)+IF(((1000)-(c_TMAP3OUT))&gt;=0,IF(IF(o_WRAP=1,MOD(((1000)-(c_TMAP3IN))*(((K199)-(c_TMAP3IN))*((1000)-(c_TMAP3OUT))+IF(((1000)-(c_TMAP3OUT))&gt;=0,1,-1)*QUOTIENT(((1000)-(c_TMAP3IN)),2))+2147483648,4294967296)-2147483648,((1000)-(c_TMAP3IN))*(((K199)-(c_TMAP3IN))*((1000)-(c_TMAP3OUT))+IF(((1000)-(c_TMAP3OUT))&gt;=0,1,-1)*QUOTIENT(((1000)-(c_TMAP3IN)),2)))&lt;0,-1,0),IF(IF(o_WRAP=1,MOD(((1000)-(c_TMAP3IN))*(((K199)-(c_TMAP3IN))*((1000)-(c_TMAP3OUT))+IF(((1000)-(c_TMAP3OUT))&gt;=0,1,-1)*QUOTIENT(((1000)-(c_TMAP3IN)),2))+2147483648,4294967296)-2147483648,((1000)-(c_TMAP3IN))*(((K199)-(c_TMAP3IN))*((1000)-(c_TMAP3OUT))+IF(((1000)-(c_TMAP3OUT))&gt;=0,1,-1)*QUOTIENT(((1000)-(c_TMAP3IN)),2)))&gt;=0,1,0)))</f>
        <v>334</v>
      </c>
      <c r="Q199" s="7" t="str">
        <f aca="false">IF(K199&gt;=c_TFWD,IF(AND(K199&gt;=c_TMAP3IN,c_TMAP3IN&lt;1000),"Seg4 map3-100%",IF(AND(K199&gt;=c_TMAP2IN,c_TMAP3IN&gt;c_TMAP2IN),"Seg3 map2-map3",IF(AND(K199&gt;=c_TMAP1IN,c_TMAP2IN&gt;c_TMAP1IN),"Seg2 map1-map2","Seg1 TFWD-map1"))),IF(AND(K199=0,c_TCREEP&gt;0),"Creep",IF(AND(K199&lt;=c_TRNGMIN,K199&gt;=c_TRNGMAX,c_TRNGMIN-c_TRNGMAX&lt;&gt;0),"Regen ramp","Coast (0)")))</f>
        <v>Seg4 map3-100%</v>
      </c>
      <c r="R199" s="7" t="n">
        <f aca="false">IF(K199&gt;=c_TFWD,IF(AND(K199&gt;=c_TMAP3IN,c_TMAP3IN&lt;1000),P199,IF(AND(K199&gt;=c_TMAP2IN,c_TMAP3IN&gt;c_TMAP2IN),O199,IF(AND(K199&gt;=c_TMAP1IN,c_TMAP2IN&gt;c_TMAP1IN),N199,M199))),L199)</f>
        <v>334</v>
      </c>
      <c r="S199" s="7" t="str">
        <f aca="false">IF(R199&lt;-1090,"TOO LOW",IF(R199&gt;1090,"TOO HIGH",""))</f>
        <v/>
      </c>
      <c r="T199" s="15" t="n">
        <f aca="false">IF(H199&lt;&gt;"OK",0,IF(S199&lt;&gt;"",0,IF(R199&gt;979,1000,R199)))</f>
        <v>334</v>
      </c>
      <c r="U199" s="7" t="n">
        <f aca="false">T199/10</f>
        <v>33.4</v>
      </c>
    </row>
    <row r="200" customFormat="false" ht="15" hidden="false" customHeight="false" outlineLevel="0" collapsed="false">
      <c r="A200" s="7" t="n">
        <v>195</v>
      </c>
      <c r="B200" s="7" t="n">
        <f aca="false">ROUND(o_SWSTART+A200*(o_SWEND-o_SWSTART)/400,0)</f>
        <v>1996</v>
      </c>
      <c r="C200" s="7" t="n">
        <f aca="false">QUOTIENT((B200-c_OFF1)*c_GAIN1,1024)</f>
        <v>1996</v>
      </c>
      <c r="D200" s="7" t="n">
        <f aca="false">IF(((c_T1MX)-(c_T1MN))=0,(0)+QUOTIENT(((1000)-(0)),2),QUOTIENT((((C200)-(c_T1MN))*((1000)-(0))+IF(((1000)-(0))&gt;=0,1,-1)*QUOTIENT(((c_T1MX)-(c_T1MN)),2)),((c_T1MX)-(c_T1MN)))+(0)+IF(((1000)-(0))&gt;=0,IF(IF(o_WRAP=1,MOD(((c_T1MX)-(c_T1MN))*(((C200)-(c_T1MN))*((1000)-(0))+IF(((1000)-(0))&gt;=0,1,-1)*QUOTIENT(((c_T1MX)-(c_T1MN)),2))+2147483648,4294967296)-2147483648,((c_T1MX)-(c_T1MN))*(((C200)-(c_T1MN))*((1000)-(0))+IF(((1000)-(0))&gt;=0,1,-1)*QUOTIENT(((c_T1MX)-(c_T1MN)),2)))&lt;0,-1,0),IF(IF(o_WRAP=1,MOD(((c_T1MX)-(c_T1MN))*(((C200)-(c_T1MN))*((1000)-(0))+IF(((1000)-(0))&gt;=0,1,-1)*QUOTIENT(((c_T1MX)-(c_T1MN)),2))+2147483648,4294967296)-2147483648,((c_T1MX)-(c_T1MN))*(((C200)-(c_T1MN))*((1000)-(0))+IF(((1000)-(0))&gt;=0,1,-1)*QUOTIENT(((c_T1MX)-(c_T1MN)),2)))&gt;=0,1,0)))</f>
        <v>463</v>
      </c>
      <c r="E200" s="7" t="n">
        <f aca="false">IF(AND(c_TPOT=1,c_TTYPE=2),1000-D200,D200)</f>
        <v>463</v>
      </c>
      <c r="F200" s="7" t="str">
        <f aca="false">IF(c_TPOT&gt;1,ROUND(IF(c_TTYPE=2,c_T2MX-IF(c_T1MX=c_T1MN,0,(C200-c_T1MN)/(c_T1MX-c_T1MN))*(c_T2MX-c_T2MN),c_T2MN+IF(c_T1MX=c_T1MN,0,(C200-c_T1MN)/(c_T1MX-c_T1MN))*(c_T2MX-c_T2MN))+o_MISMATCH,0),"")</f>
        <v/>
      </c>
      <c r="G200" s="7" t="str">
        <f aca="false">IF(c_TPOT&gt;1,IF(((c_T2MX)-(c_T2MN))=0,(0)+QUOTIENT(((1000)-(0)),2),QUOTIENT((((F200)-(c_T2MN))*((1000)-(0))+IF(((1000)-(0))&gt;=0,1,-1)*QUOTIENT(((c_T2MX)-(c_T2MN)),2)),((c_T2MX)-(c_T2MN)))+(0)+IF(((1000)-(0))&gt;=0,IF(IF(o_WRAP=1,MOD(((c_T2MX)-(c_T2MN))*(((F200)-(c_T2MN))*((1000)-(0))+IF(((1000)-(0))&gt;=0,1,-1)*QUOTIENT(((c_T2MX)-(c_T2MN)),2))+2147483648,4294967296)-2147483648,((c_T2MX)-(c_T2MN))*(((F200)-(c_T2MN))*((1000)-(0))+IF(((1000)-(0))&gt;=0,1,-1)*QUOTIENT(((c_T2MX)-(c_T2MN)),2)))&lt;0,-1,0),IF(IF(o_WRAP=1,MOD(((c_T2MX)-(c_T2MN))*(((F200)-(c_T2MN))*((1000)-(0))+IF(((1000)-(0))&gt;=0,1,-1)*QUOTIENT(((c_T2MX)-(c_T2MN)),2))+2147483648,4294967296)-2147483648,((c_T2MX)-(c_T2MN))*(((F200)-(c_T2MN))*((1000)-(0))+IF(((1000)-(0))&gt;=0,1,-1)*QUOTIENT(((c_T2MX)-(c_T2MN)),2)))&gt;=0,1,0))),"")</f>
        <v/>
      </c>
      <c r="H200" s="7" t="str">
        <f aca="false">IF(E200&gt;1000+k_TOL,"T1 HIGH",IF(E200&lt;0-k_TOL,"T1 LOW",IF(c_TPOT&gt;1,IF(G200&gt;1000+k_TOL,"T2 HIGH",IF(G200&lt;0-k_TOL,"T2 LOW",IF(c_TTYPE=2,IF(ABS(1000-MAX(0,MIN(1000,E200))-MAX(0,MIN(1000,G200)))&gt;k_MAXERR,"MISMATCH","OK"),IF(OR(MAX(0,MIN(1000,E200))-k_MAXERR&gt;MAX(0,MIN(1000,G200)),MAX(0,MIN(1000,G200))-k_MAXERR&gt;MAX(0,MIN(1000,E200))),"MISMATCH","OK")))),"OK")))</f>
        <v>OK</v>
      </c>
      <c r="I200" s="7" t="n">
        <f aca="false">MAX(0,MIN(1000,D200))</f>
        <v>463</v>
      </c>
      <c r="J200" s="7" t="str">
        <f aca="false">IF(c_TPOT&gt;1,IF(c_TTYPE=2,1000-MAX(0,MIN(1000,G200)),MAX(0,MIN(1000,G200))),"")</f>
        <v/>
      </c>
      <c r="K200" s="7" t="n">
        <f aca="false">IF(c_TPOT&gt;1,QUOTIENT(I200+J200,2),I200)</f>
        <v>463</v>
      </c>
      <c r="L200" s="7" t="n">
        <f aca="false">IF(AND(K200=0,c_TCREEP&gt;0),10*c_TCREEP,IF(AND(K200&lt;=c_TRNGMIN,K200&gt;=c_TRNGMAX,c_TRNGMIN-c_TRNGMAX&lt;&gt;0),-10*c_TMINRN+QUOTIENT((c_TMAXRN-c_TMINRN)*(100-QUOTIENT((K200-c_TRNGMAX)*100,c_TRNGMIN-c_TRNGMAX)),-10),0))</f>
        <v>0</v>
      </c>
      <c r="M200" s="7" t="n">
        <f aca="false">IF(((c_TMAP1IN)-(c_TFWD))=0,(0)+QUOTIENT(((c_TMAP1OUT)-(0)),2),QUOTIENT((((K200)-(c_TFWD))*((c_TMAP1OUT)-(0))+IF(((c_TMAP1OUT)-(0))&gt;=0,1,-1)*QUOTIENT(((c_TMAP1IN)-(c_TFWD)),2)),((c_TMAP1IN)-(c_TFWD)))+(0)+IF(((c_TMAP1OUT)-(0))&gt;=0,IF(IF(o_WRAP=1,MOD(((c_TMAP1IN)-(c_TFWD))*(((K200)-(c_TFWD))*((c_TMAP1OUT)-(0))+IF(((c_TMAP1OUT)-(0))&gt;=0,1,-1)*QUOTIENT(((c_TMAP1IN)-(c_TFWD)),2))+2147483648,4294967296)-2147483648,((c_TMAP1IN)-(c_TFWD))*(((K200)-(c_TFWD))*((c_TMAP1OUT)-(0))+IF(((c_TMAP1OUT)-(0))&gt;=0,1,-1)*QUOTIENT(((c_TMAP1IN)-(c_TFWD)),2)))&lt;0,-1,0),IF(IF(o_WRAP=1,MOD(((c_TMAP1IN)-(c_TFWD))*(((K200)-(c_TFWD))*((c_TMAP1OUT)-(0))+IF(((c_TMAP1OUT)-(0))&gt;=0,1,-1)*QUOTIENT(((c_TMAP1IN)-(c_TFWD)),2))+2147483648,4294967296)-2147483648,((c_TMAP1IN)-(c_TFWD))*(((K200)-(c_TFWD))*((c_TMAP1OUT)-(0))+IF(((c_TMAP1OUT)-(0))&gt;=0,1,-1)*QUOTIENT(((c_TMAP1IN)-(c_TFWD)),2)))&gt;=0,1,0)))</f>
        <v>352</v>
      </c>
      <c r="N200" s="7" t="n">
        <f aca="false">IF(((c_TMAP2IN)-(c_TMAP1IN))=0,(c_TMAP1OUT)+QUOTIENT(((c_TMAP2OUT)-(c_TMAP1OUT)),2),QUOTIENT((((K200)-(c_TMAP1IN))*((c_TMAP2OUT)-(c_TMAP1OUT))+IF(((c_TMAP2OUT)-(c_TMAP1OUT))&gt;=0,1,-1)*QUOTIENT(((c_TMAP2IN)-(c_TMAP1IN)),2)),((c_TMAP2IN)-(c_TMAP1IN)))+(c_TMAP1OUT)+IF(((c_TMAP2OUT)-(c_TMAP1OUT))&gt;=0,IF(IF(o_WRAP=1,MOD(((c_TMAP2IN)-(c_TMAP1IN))*(((K200)-(c_TMAP1IN))*((c_TMAP2OUT)-(c_TMAP1OUT))+IF(((c_TMAP2OUT)-(c_TMAP1OUT))&gt;=0,1,-1)*QUOTIENT(((c_TMAP2IN)-(c_TMAP1IN)),2))+2147483648,4294967296)-2147483648,((c_TMAP2IN)-(c_TMAP1IN))*(((K200)-(c_TMAP1IN))*((c_TMAP2OUT)-(c_TMAP1OUT))+IF(((c_TMAP2OUT)-(c_TMAP1OUT))&gt;=0,1,-1)*QUOTIENT(((c_TMAP2IN)-(c_TMAP1IN)),2)))&lt;0,-1,0),IF(IF(o_WRAP=1,MOD(((c_TMAP2IN)-(c_TMAP1IN))*(((K200)-(c_TMAP1IN))*((c_TMAP2OUT)-(c_TMAP1OUT))+IF(((c_TMAP2OUT)-(c_TMAP1OUT))&gt;=0,1,-1)*QUOTIENT(((c_TMAP2IN)-(c_TMAP1IN)),2))+2147483648,4294967296)-2147483648,((c_TMAP2IN)-(c_TMAP1IN))*(((K200)-(c_TMAP1IN))*((c_TMAP2OUT)-(c_TMAP1OUT))+IF(((c_TMAP2OUT)-(c_TMAP1OUT))&gt;=0,1,-1)*QUOTIENT(((c_TMAP2IN)-(c_TMAP1IN)),2)))&gt;=0,1,0)))</f>
        <v>215</v>
      </c>
      <c r="O200" s="7" t="n">
        <f aca="false">IF(((c_TMAP3IN)-(c_TMAP2IN))=0,(c_TMAP2OUT)+QUOTIENT(((c_TMAP3OUT)-(c_TMAP2OUT)),2),QUOTIENT((((K200)-(c_TMAP2IN))*((c_TMAP3OUT)-(c_TMAP2OUT))+IF(((c_TMAP3OUT)-(c_TMAP2OUT))&gt;=0,1,-1)*QUOTIENT(((c_TMAP3IN)-(c_TMAP2IN)),2)),((c_TMAP3IN)-(c_TMAP2IN)))+(c_TMAP2OUT)+IF(((c_TMAP3OUT)-(c_TMAP2OUT))&gt;=0,IF(IF(o_WRAP=1,MOD(((c_TMAP3IN)-(c_TMAP2IN))*(((K200)-(c_TMAP2IN))*((c_TMAP3OUT)-(c_TMAP2OUT))+IF(((c_TMAP3OUT)-(c_TMAP2OUT))&gt;=0,1,-1)*QUOTIENT(((c_TMAP3IN)-(c_TMAP2IN)),2))+2147483648,4294967296)-2147483648,((c_TMAP3IN)-(c_TMAP2IN))*(((K200)-(c_TMAP2IN))*((c_TMAP3OUT)-(c_TMAP2OUT))+IF(((c_TMAP3OUT)-(c_TMAP2OUT))&gt;=0,1,-1)*QUOTIENT(((c_TMAP3IN)-(c_TMAP2IN)),2)))&lt;0,-1,0),IF(IF(o_WRAP=1,MOD(((c_TMAP3IN)-(c_TMAP2IN))*(((K200)-(c_TMAP2IN))*((c_TMAP3OUT)-(c_TMAP2OUT))+IF(((c_TMAP3OUT)-(c_TMAP2OUT))&gt;=0,1,-1)*QUOTIENT(((c_TMAP3IN)-(c_TMAP2IN)),2))+2147483648,4294967296)-2147483648,((c_TMAP3IN)-(c_TMAP2IN))*(((K200)-(c_TMAP2IN))*((c_TMAP3OUT)-(c_TMAP2OUT))+IF(((c_TMAP3OUT)-(c_TMAP2OUT))&gt;=0,1,-1)*QUOTIENT(((c_TMAP3IN)-(c_TMAP2IN)),2)))&gt;=0,1,0)))</f>
        <v>279</v>
      </c>
      <c r="P200" s="7" t="n">
        <f aca="false">IF(((1000)-(c_TMAP3IN))=0,(c_TMAP3OUT)+QUOTIENT(((1000)-(c_TMAP3OUT)),2),QUOTIENT((((K200)-(c_TMAP3IN))*((1000)-(c_TMAP3OUT))+IF(((1000)-(c_TMAP3OUT))&gt;=0,1,-1)*QUOTIENT(((1000)-(c_TMAP3IN)),2)),((1000)-(c_TMAP3IN)))+(c_TMAP3OUT)+IF(((1000)-(c_TMAP3OUT))&gt;=0,IF(IF(o_WRAP=1,MOD(((1000)-(c_TMAP3IN))*(((K200)-(c_TMAP3IN))*((1000)-(c_TMAP3OUT))+IF(((1000)-(c_TMAP3OUT))&gt;=0,1,-1)*QUOTIENT(((1000)-(c_TMAP3IN)),2))+2147483648,4294967296)-2147483648,((1000)-(c_TMAP3IN))*(((K200)-(c_TMAP3IN))*((1000)-(c_TMAP3OUT))+IF(((1000)-(c_TMAP3OUT))&gt;=0,1,-1)*QUOTIENT(((1000)-(c_TMAP3IN)),2)))&lt;0,-1,0),IF(IF(o_WRAP=1,MOD(((1000)-(c_TMAP3IN))*(((K200)-(c_TMAP3IN))*((1000)-(c_TMAP3OUT))+IF(((1000)-(c_TMAP3OUT))&gt;=0,1,-1)*QUOTIENT(((1000)-(c_TMAP3IN)),2))+2147483648,4294967296)-2147483648,((1000)-(c_TMAP3IN))*(((K200)-(c_TMAP3IN))*((1000)-(c_TMAP3OUT))+IF(((1000)-(c_TMAP3OUT))&gt;=0,1,-1)*QUOTIENT(((1000)-(c_TMAP3IN)),2)))&gt;=0,1,0)))</f>
        <v>339</v>
      </c>
      <c r="Q200" s="7" t="str">
        <f aca="false">IF(K200&gt;=c_TFWD,IF(AND(K200&gt;=c_TMAP3IN,c_TMAP3IN&lt;1000),"Seg4 map3-100%",IF(AND(K200&gt;=c_TMAP2IN,c_TMAP3IN&gt;c_TMAP2IN),"Seg3 map2-map3",IF(AND(K200&gt;=c_TMAP1IN,c_TMAP2IN&gt;c_TMAP1IN),"Seg2 map1-map2","Seg1 TFWD-map1"))),IF(AND(K200=0,c_TCREEP&gt;0),"Creep",IF(AND(K200&lt;=c_TRNGMIN,K200&gt;=c_TRNGMAX,c_TRNGMIN-c_TRNGMAX&lt;&gt;0),"Regen ramp","Coast (0)")))</f>
        <v>Seg4 map3-100%</v>
      </c>
      <c r="R200" s="7" t="n">
        <f aca="false">IF(K200&gt;=c_TFWD,IF(AND(K200&gt;=c_TMAP3IN,c_TMAP3IN&lt;1000),P200,IF(AND(K200&gt;=c_TMAP2IN,c_TMAP3IN&gt;c_TMAP2IN),O200,IF(AND(K200&gt;=c_TMAP1IN,c_TMAP2IN&gt;c_TMAP1IN),N200,M200))),L200)</f>
        <v>339</v>
      </c>
      <c r="S200" s="7" t="str">
        <f aca="false">IF(R200&lt;-1090,"TOO LOW",IF(R200&gt;1090,"TOO HIGH",""))</f>
        <v/>
      </c>
      <c r="T200" s="15" t="n">
        <f aca="false">IF(H200&lt;&gt;"OK",0,IF(S200&lt;&gt;"",0,IF(R200&gt;979,1000,R200)))</f>
        <v>339</v>
      </c>
      <c r="U200" s="7" t="n">
        <f aca="false">T200/10</f>
        <v>33.9</v>
      </c>
    </row>
    <row r="201" customFormat="false" ht="15" hidden="false" customHeight="false" outlineLevel="0" collapsed="false">
      <c r="A201" s="7" t="n">
        <v>196</v>
      </c>
      <c r="B201" s="7" t="n">
        <f aca="false">ROUND(o_SWSTART+A201*(o_SWEND-o_SWSTART)/400,0)</f>
        <v>2007</v>
      </c>
      <c r="C201" s="7" t="n">
        <f aca="false">QUOTIENT((B201-c_OFF1)*c_GAIN1,1024)</f>
        <v>2007</v>
      </c>
      <c r="D201" s="7" t="n">
        <f aca="false">IF(((c_T1MX)-(c_T1MN))=0,(0)+QUOTIENT(((1000)-(0)),2),QUOTIENT((((C201)-(c_T1MN))*((1000)-(0))+IF(((1000)-(0))&gt;=0,1,-1)*QUOTIENT(((c_T1MX)-(c_T1MN)),2)),((c_T1MX)-(c_T1MN)))+(0)+IF(((1000)-(0))&gt;=0,IF(IF(o_WRAP=1,MOD(((c_T1MX)-(c_T1MN))*(((C201)-(c_T1MN))*((1000)-(0))+IF(((1000)-(0))&gt;=0,1,-1)*QUOTIENT(((c_T1MX)-(c_T1MN)),2))+2147483648,4294967296)-2147483648,((c_T1MX)-(c_T1MN))*(((C201)-(c_T1MN))*((1000)-(0))+IF(((1000)-(0))&gt;=0,1,-1)*QUOTIENT(((c_T1MX)-(c_T1MN)),2)))&lt;0,-1,0),IF(IF(o_WRAP=1,MOD(((c_T1MX)-(c_T1MN))*(((C201)-(c_T1MN))*((1000)-(0))+IF(((1000)-(0))&gt;=0,1,-1)*QUOTIENT(((c_T1MX)-(c_T1MN)),2))+2147483648,4294967296)-2147483648,((c_T1MX)-(c_T1MN))*(((C201)-(c_T1MN))*((1000)-(0))+IF(((1000)-(0))&gt;=0,1,-1)*QUOTIENT(((c_T1MX)-(c_T1MN)),2)))&gt;=0,1,0)))</f>
        <v>467</v>
      </c>
      <c r="E201" s="7" t="n">
        <f aca="false">IF(AND(c_TPOT=1,c_TTYPE=2),1000-D201,D201)</f>
        <v>467</v>
      </c>
      <c r="F201" s="7" t="str">
        <f aca="false">IF(c_TPOT&gt;1,ROUND(IF(c_TTYPE=2,c_T2MX-IF(c_T1MX=c_T1MN,0,(C201-c_T1MN)/(c_T1MX-c_T1MN))*(c_T2MX-c_T2MN),c_T2MN+IF(c_T1MX=c_T1MN,0,(C201-c_T1MN)/(c_T1MX-c_T1MN))*(c_T2MX-c_T2MN))+o_MISMATCH,0),"")</f>
        <v/>
      </c>
      <c r="G201" s="7" t="str">
        <f aca="false">IF(c_TPOT&gt;1,IF(((c_T2MX)-(c_T2MN))=0,(0)+QUOTIENT(((1000)-(0)),2),QUOTIENT((((F201)-(c_T2MN))*((1000)-(0))+IF(((1000)-(0))&gt;=0,1,-1)*QUOTIENT(((c_T2MX)-(c_T2MN)),2)),((c_T2MX)-(c_T2MN)))+(0)+IF(((1000)-(0))&gt;=0,IF(IF(o_WRAP=1,MOD(((c_T2MX)-(c_T2MN))*(((F201)-(c_T2MN))*((1000)-(0))+IF(((1000)-(0))&gt;=0,1,-1)*QUOTIENT(((c_T2MX)-(c_T2MN)),2))+2147483648,4294967296)-2147483648,((c_T2MX)-(c_T2MN))*(((F201)-(c_T2MN))*((1000)-(0))+IF(((1000)-(0))&gt;=0,1,-1)*QUOTIENT(((c_T2MX)-(c_T2MN)),2)))&lt;0,-1,0),IF(IF(o_WRAP=1,MOD(((c_T2MX)-(c_T2MN))*(((F201)-(c_T2MN))*((1000)-(0))+IF(((1000)-(0))&gt;=0,1,-1)*QUOTIENT(((c_T2MX)-(c_T2MN)),2))+2147483648,4294967296)-2147483648,((c_T2MX)-(c_T2MN))*(((F201)-(c_T2MN))*((1000)-(0))+IF(((1000)-(0))&gt;=0,1,-1)*QUOTIENT(((c_T2MX)-(c_T2MN)),2)))&gt;=0,1,0))),"")</f>
        <v/>
      </c>
      <c r="H201" s="7" t="str">
        <f aca="false">IF(E201&gt;1000+k_TOL,"T1 HIGH",IF(E201&lt;0-k_TOL,"T1 LOW",IF(c_TPOT&gt;1,IF(G201&gt;1000+k_TOL,"T2 HIGH",IF(G201&lt;0-k_TOL,"T2 LOW",IF(c_TTYPE=2,IF(ABS(1000-MAX(0,MIN(1000,E201))-MAX(0,MIN(1000,G201)))&gt;k_MAXERR,"MISMATCH","OK"),IF(OR(MAX(0,MIN(1000,E201))-k_MAXERR&gt;MAX(0,MIN(1000,G201)),MAX(0,MIN(1000,G201))-k_MAXERR&gt;MAX(0,MIN(1000,E201))),"MISMATCH","OK")))),"OK")))</f>
        <v>OK</v>
      </c>
      <c r="I201" s="7" t="n">
        <f aca="false">MAX(0,MIN(1000,D201))</f>
        <v>467</v>
      </c>
      <c r="J201" s="7" t="str">
        <f aca="false">IF(c_TPOT&gt;1,IF(c_TTYPE=2,1000-MAX(0,MIN(1000,G201)),MAX(0,MIN(1000,G201))),"")</f>
        <v/>
      </c>
      <c r="K201" s="7" t="n">
        <f aca="false">IF(c_TPOT&gt;1,QUOTIENT(I201+J201,2),I201)</f>
        <v>467</v>
      </c>
      <c r="L201" s="7" t="n">
        <f aca="false">IF(AND(K201=0,c_TCREEP&gt;0),10*c_TCREEP,IF(AND(K201&lt;=c_TRNGMIN,K201&gt;=c_TRNGMAX,c_TRNGMIN-c_TRNGMAX&lt;&gt;0),-10*c_TMINRN+QUOTIENT((c_TMAXRN-c_TMINRN)*(100-QUOTIENT((K201-c_TRNGMAX)*100,c_TRNGMIN-c_TRNGMAX)),-10),0))</f>
        <v>0</v>
      </c>
      <c r="M201" s="7" t="n">
        <f aca="false">IF(((c_TMAP1IN)-(c_TFWD))=0,(0)+QUOTIENT(((c_TMAP1OUT)-(0)),2),QUOTIENT((((K201)-(c_TFWD))*((c_TMAP1OUT)-(0))+IF(((c_TMAP1OUT)-(0))&gt;=0,1,-1)*QUOTIENT(((c_TMAP1IN)-(c_TFWD)),2)),((c_TMAP1IN)-(c_TFWD)))+(0)+IF(((c_TMAP1OUT)-(0))&gt;=0,IF(IF(o_WRAP=1,MOD(((c_TMAP1IN)-(c_TFWD))*(((K201)-(c_TFWD))*((c_TMAP1OUT)-(0))+IF(((c_TMAP1OUT)-(0))&gt;=0,1,-1)*QUOTIENT(((c_TMAP1IN)-(c_TFWD)),2))+2147483648,4294967296)-2147483648,((c_TMAP1IN)-(c_TFWD))*(((K201)-(c_TFWD))*((c_TMAP1OUT)-(0))+IF(((c_TMAP1OUT)-(0))&gt;=0,1,-1)*QUOTIENT(((c_TMAP1IN)-(c_TFWD)),2)))&lt;0,-1,0),IF(IF(o_WRAP=1,MOD(((c_TMAP1IN)-(c_TFWD))*(((K201)-(c_TFWD))*((c_TMAP1OUT)-(0))+IF(((c_TMAP1OUT)-(0))&gt;=0,1,-1)*QUOTIENT(((c_TMAP1IN)-(c_TFWD)),2))+2147483648,4294967296)-2147483648,((c_TMAP1IN)-(c_TFWD))*(((K201)-(c_TFWD))*((c_TMAP1OUT)-(0))+IF(((c_TMAP1OUT)-(0))&gt;=0,1,-1)*QUOTIENT(((c_TMAP1IN)-(c_TFWD)),2)))&gt;=0,1,0)))</f>
        <v>355</v>
      </c>
      <c r="N201" s="7" t="n">
        <f aca="false">IF(((c_TMAP2IN)-(c_TMAP1IN))=0,(c_TMAP1OUT)+QUOTIENT(((c_TMAP2OUT)-(c_TMAP1OUT)),2),QUOTIENT((((K201)-(c_TMAP1IN))*((c_TMAP2OUT)-(c_TMAP1OUT))+IF(((c_TMAP2OUT)-(c_TMAP1OUT))&gt;=0,1,-1)*QUOTIENT(((c_TMAP2IN)-(c_TMAP1IN)),2)),((c_TMAP2IN)-(c_TMAP1IN)))+(c_TMAP1OUT)+IF(((c_TMAP2OUT)-(c_TMAP1OUT))&gt;=0,IF(IF(o_WRAP=1,MOD(((c_TMAP2IN)-(c_TMAP1IN))*(((K201)-(c_TMAP1IN))*((c_TMAP2OUT)-(c_TMAP1OUT))+IF(((c_TMAP2OUT)-(c_TMAP1OUT))&gt;=0,1,-1)*QUOTIENT(((c_TMAP2IN)-(c_TMAP1IN)),2))+2147483648,4294967296)-2147483648,((c_TMAP2IN)-(c_TMAP1IN))*(((K201)-(c_TMAP1IN))*((c_TMAP2OUT)-(c_TMAP1OUT))+IF(((c_TMAP2OUT)-(c_TMAP1OUT))&gt;=0,1,-1)*QUOTIENT(((c_TMAP2IN)-(c_TMAP1IN)),2)))&lt;0,-1,0),IF(IF(o_WRAP=1,MOD(((c_TMAP2IN)-(c_TMAP1IN))*(((K201)-(c_TMAP1IN))*((c_TMAP2OUT)-(c_TMAP1OUT))+IF(((c_TMAP2OUT)-(c_TMAP1OUT))&gt;=0,1,-1)*QUOTIENT(((c_TMAP2IN)-(c_TMAP1IN)),2))+2147483648,4294967296)-2147483648,((c_TMAP2IN)-(c_TMAP1IN))*(((K201)-(c_TMAP1IN))*((c_TMAP2OUT)-(c_TMAP1OUT))+IF(((c_TMAP2OUT)-(c_TMAP1OUT))&gt;=0,1,-1)*QUOTIENT(((c_TMAP2IN)-(c_TMAP1IN)),2)))&gt;=0,1,0)))</f>
        <v>217</v>
      </c>
      <c r="O201" s="7" t="n">
        <f aca="false">IF(((c_TMAP3IN)-(c_TMAP2IN))=0,(c_TMAP2OUT)+QUOTIENT(((c_TMAP3OUT)-(c_TMAP2OUT)),2),QUOTIENT((((K201)-(c_TMAP2IN))*((c_TMAP3OUT)-(c_TMAP2OUT))+IF(((c_TMAP3OUT)-(c_TMAP2OUT))&gt;=0,1,-1)*QUOTIENT(((c_TMAP3IN)-(c_TMAP2IN)),2)),((c_TMAP3IN)-(c_TMAP2IN)))+(c_TMAP2OUT)+IF(((c_TMAP3OUT)-(c_TMAP2OUT))&gt;=0,IF(IF(o_WRAP=1,MOD(((c_TMAP3IN)-(c_TMAP2IN))*(((K201)-(c_TMAP2IN))*((c_TMAP3OUT)-(c_TMAP2OUT))+IF(((c_TMAP3OUT)-(c_TMAP2OUT))&gt;=0,1,-1)*QUOTIENT(((c_TMAP3IN)-(c_TMAP2IN)),2))+2147483648,4294967296)-2147483648,((c_TMAP3IN)-(c_TMAP2IN))*(((K201)-(c_TMAP2IN))*((c_TMAP3OUT)-(c_TMAP2OUT))+IF(((c_TMAP3OUT)-(c_TMAP2OUT))&gt;=0,1,-1)*QUOTIENT(((c_TMAP3IN)-(c_TMAP2IN)),2)))&lt;0,-1,0),IF(IF(o_WRAP=1,MOD(((c_TMAP3IN)-(c_TMAP2IN))*(((K201)-(c_TMAP2IN))*((c_TMAP3OUT)-(c_TMAP2OUT))+IF(((c_TMAP3OUT)-(c_TMAP2OUT))&gt;=0,1,-1)*QUOTIENT(((c_TMAP3IN)-(c_TMAP2IN)),2))+2147483648,4294967296)-2147483648,((c_TMAP3IN)-(c_TMAP2IN))*(((K201)-(c_TMAP2IN))*((c_TMAP3OUT)-(c_TMAP2OUT))+IF(((c_TMAP3OUT)-(c_TMAP2OUT))&gt;=0,1,-1)*QUOTIENT(((c_TMAP3IN)-(c_TMAP2IN)),2)))&gt;=0,1,0)))</f>
        <v>282</v>
      </c>
      <c r="P201" s="7" t="n">
        <f aca="false">IF(((1000)-(c_TMAP3IN))=0,(c_TMAP3OUT)+QUOTIENT(((1000)-(c_TMAP3OUT)),2),QUOTIENT((((K201)-(c_TMAP3IN))*((1000)-(c_TMAP3OUT))+IF(((1000)-(c_TMAP3OUT))&gt;=0,1,-1)*QUOTIENT(((1000)-(c_TMAP3IN)),2)),((1000)-(c_TMAP3IN)))+(c_TMAP3OUT)+IF(((1000)-(c_TMAP3OUT))&gt;=0,IF(IF(o_WRAP=1,MOD(((1000)-(c_TMAP3IN))*(((K201)-(c_TMAP3IN))*((1000)-(c_TMAP3OUT))+IF(((1000)-(c_TMAP3OUT))&gt;=0,1,-1)*QUOTIENT(((1000)-(c_TMAP3IN)),2))+2147483648,4294967296)-2147483648,((1000)-(c_TMAP3IN))*(((K201)-(c_TMAP3IN))*((1000)-(c_TMAP3OUT))+IF(((1000)-(c_TMAP3OUT))&gt;=0,1,-1)*QUOTIENT(((1000)-(c_TMAP3IN)),2)))&lt;0,-1,0),IF(IF(o_WRAP=1,MOD(((1000)-(c_TMAP3IN))*(((K201)-(c_TMAP3IN))*((1000)-(c_TMAP3OUT))+IF(((1000)-(c_TMAP3OUT))&gt;=0,1,-1)*QUOTIENT(((1000)-(c_TMAP3IN)),2))+2147483648,4294967296)-2147483648,((1000)-(c_TMAP3IN))*(((K201)-(c_TMAP3IN))*((1000)-(c_TMAP3OUT))+IF(((1000)-(c_TMAP3OUT))&gt;=0,1,-1)*QUOTIENT(((1000)-(c_TMAP3IN)),2)))&gt;=0,1,0)))</f>
        <v>344</v>
      </c>
      <c r="Q201" s="7" t="str">
        <f aca="false">IF(K201&gt;=c_TFWD,IF(AND(K201&gt;=c_TMAP3IN,c_TMAP3IN&lt;1000),"Seg4 map3-100%",IF(AND(K201&gt;=c_TMAP2IN,c_TMAP3IN&gt;c_TMAP2IN),"Seg3 map2-map3",IF(AND(K201&gt;=c_TMAP1IN,c_TMAP2IN&gt;c_TMAP1IN),"Seg2 map1-map2","Seg1 TFWD-map1"))),IF(AND(K201=0,c_TCREEP&gt;0),"Creep",IF(AND(K201&lt;=c_TRNGMIN,K201&gt;=c_TRNGMAX,c_TRNGMIN-c_TRNGMAX&lt;&gt;0),"Regen ramp","Coast (0)")))</f>
        <v>Seg4 map3-100%</v>
      </c>
      <c r="R201" s="7" t="n">
        <f aca="false">IF(K201&gt;=c_TFWD,IF(AND(K201&gt;=c_TMAP3IN,c_TMAP3IN&lt;1000),P201,IF(AND(K201&gt;=c_TMAP2IN,c_TMAP3IN&gt;c_TMAP2IN),O201,IF(AND(K201&gt;=c_TMAP1IN,c_TMAP2IN&gt;c_TMAP1IN),N201,M201))),L201)</f>
        <v>344</v>
      </c>
      <c r="S201" s="7" t="str">
        <f aca="false">IF(R201&lt;-1090,"TOO LOW",IF(R201&gt;1090,"TOO HIGH",""))</f>
        <v/>
      </c>
      <c r="T201" s="15" t="n">
        <f aca="false">IF(H201&lt;&gt;"OK",0,IF(S201&lt;&gt;"",0,IF(R201&gt;979,1000,R201)))</f>
        <v>344</v>
      </c>
      <c r="U201" s="7" t="n">
        <f aca="false">T201/10</f>
        <v>34.4</v>
      </c>
    </row>
    <row r="202" customFormat="false" ht="15" hidden="false" customHeight="false" outlineLevel="0" collapsed="false">
      <c r="A202" s="7" t="n">
        <v>197</v>
      </c>
      <c r="B202" s="7" t="n">
        <f aca="false">ROUND(o_SWSTART+A202*(o_SWEND-o_SWSTART)/400,0)</f>
        <v>2017</v>
      </c>
      <c r="C202" s="7" t="n">
        <f aca="false">QUOTIENT((B202-c_OFF1)*c_GAIN1,1024)</f>
        <v>2017</v>
      </c>
      <c r="D202" s="7" t="n">
        <f aca="false">IF(((c_T1MX)-(c_T1MN))=0,(0)+QUOTIENT(((1000)-(0)),2),QUOTIENT((((C202)-(c_T1MN))*((1000)-(0))+IF(((1000)-(0))&gt;=0,1,-1)*QUOTIENT(((c_T1MX)-(c_T1MN)),2)),((c_T1MX)-(c_T1MN)))+(0)+IF(((1000)-(0))&gt;=0,IF(IF(o_WRAP=1,MOD(((c_T1MX)-(c_T1MN))*(((C202)-(c_T1MN))*((1000)-(0))+IF(((1000)-(0))&gt;=0,1,-1)*QUOTIENT(((c_T1MX)-(c_T1MN)),2))+2147483648,4294967296)-2147483648,((c_T1MX)-(c_T1MN))*(((C202)-(c_T1MN))*((1000)-(0))+IF(((1000)-(0))&gt;=0,1,-1)*QUOTIENT(((c_T1MX)-(c_T1MN)),2)))&lt;0,-1,0),IF(IF(o_WRAP=1,MOD(((c_T1MX)-(c_T1MN))*(((C202)-(c_T1MN))*((1000)-(0))+IF(((1000)-(0))&gt;=0,1,-1)*QUOTIENT(((c_T1MX)-(c_T1MN)),2))+2147483648,4294967296)-2147483648,((c_T1MX)-(c_T1MN))*(((C202)-(c_T1MN))*((1000)-(0))+IF(((1000)-(0))&gt;=0,1,-1)*QUOTIENT(((c_T1MX)-(c_T1MN)),2)))&gt;=0,1,0)))</f>
        <v>470</v>
      </c>
      <c r="E202" s="7" t="n">
        <f aca="false">IF(AND(c_TPOT=1,c_TTYPE=2),1000-D202,D202)</f>
        <v>470</v>
      </c>
      <c r="F202" s="7" t="str">
        <f aca="false">IF(c_TPOT&gt;1,ROUND(IF(c_TTYPE=2,c_T2MX-IF(c_T1MX=c_T1MN,0,(C202-c_T1MN)/(c_T1MX-c_T1MN))*(c_T2MX-c_T2MN),c_T2MN+IF(c_T1MX=c_T1MN,0,(C202-c_T1MN)/(c_T1MX-c_T1MN))*(c_T2MX-c_T2MN))+o_MISMATCH,0),"")</f>
        <v/>
      </c>
      <c r="G202" s="7" t="str">
        <f aca="false">IF(c_TPOT&gt;1,IF(((c_T2MX)-(c_T2MN))=0,(0)+QUOTIENT(((1000)-(0)),2),QUOTIENT((((F202)-(c_T2MN))*((1000)-(0))+IF(((1000)-(0))&gt;=0,1,-1)*QUOTIENT(((c_T2MX)-(c_T2MN)),2)),((c_T2MX)-(c_T2MN)))+(0)+IF(((1000)-(0))&gt;=0,IF(IF(o_WRAP=1,MOD(((c_T2MX)-(c_T2MN))*(((F202)-(c_T2MN))*((1000)-(0))+IF(((1000)-(0))&gt;=0,1,-1)*QUOTIENT(((c_T2MX)-(c_T2MN)),2))+2147483648,4294967296)-2147483648,((c_T2MX)-(c_T2MN))*(((F202)-(c_T2MN))*((1000)-(0))+IF(((1000)-(0))&gt;=0,1,-1)*QUOTIENT(((c_T2MX)-(c_T2MN)),2)))&lt;0,-1,0),IF(IF(o_WRAP=1,MOD(((c_T2MX)-(c_T2MN))*(((F202)-(c_T2MN))*((1000)-(0))+IF(((1000)-(0))&gt;=0,1,-1)*QUOTIENT(((c_T2MX)-(c_T2MN)),2))+2147483648,4294967296)-2147483648,((c_T2MX)-(c_T2MN))*(((F202)-(c_T2MN))*((1000)-(0))+IF(((1000)-(0))&gt;=0,1,-1)*QUOTIENT(((c_T2MX)-(c_T2MN)),2)))&gt;=0,1,0))),"")</f>
        <v/>
      </c>
      <c r="H202" s="7" t="str">
        <f aca="false">IF(E202&gt;1000+k_TOL,"T1 HIGH",IF(E202&lt;0-k_TOL,"T1 LOW",IF(c_TPOT&gt;1,IF(G202&gt;1000+k_TOL,"T2 HIGH",IF(G202&lt;0-k_TOL,"T2 LOW",IF(c_TTYPE=2,IF(ABS(1000-MAX(0,MIN(1000,E202))-MAX(0,MIN(1000,G202)))&gt;k_MAXERR,"MISMATCH","OK"),IF(OR(MAX(0,MIN(1000,E202))-k_MAXERR&gt;MAX(0,MIN(1000,G202)),MAX(0,MIN(1000,G202))-k_MAXERR&gt;MAX(0,MIN(1000,E202))),"MISMATCH","OK")))),"OK")))</f>
        <v>OK</v>
      </c>
      <c r="I202" s="7" t="n">
        <f aca="false">MAX(0,MIN(1000,D202))</f>
        <v>470</v>
      </c>
      <c r="J202" s="7" t="str">
        <f aca="false">IF(c_TPOT&gt;1,IF(c_TTYPE=2,1000-MAX(0,MIN(1000,G202)),MAX(0,MIN(1000,G202))),"")</f>
        <v/>
      </c>
      <c r="K202" s="7" t="n">
        <f aca="false">IF(c_TPOT&gt;1,QUOTIENT(I202+J202,2),I202)</f>
        <v>470</v>
      </c>
      <c r="L202" s="7" t="n">
        <f aca="false">IF(AND(K202=0,c_TCREEP&gt;0),10*c_TCREEP,IF(AND(K202&lt;=c_TRNGMIN,K202&gt;=c_TRNGMAX,c_TRNGMIN-c_TRNGMAX&lt;&gt;0),-10*c_TMINRN+QUOTIENT((c_TMAXRN-c_TMINRN)*(100-QUOTIENT((K202-c_TRNGMAX)*100,c_TRNGMIN-c_TRNGMAX)),-10),0))</f>
        <v>0</v>
      </c>
      <c r="M202" s="7" t="n">
        <f aca="false">IF(((c_TMAP1IN)-(c_TFWD))=0,(0)+QUOTIENT(((c_TMAP1OUT)-(0)),2),QUOTIENT((((K202)-(c_TFWD))*((c_TMAP1OUT)-(0))+IF(((c_TMAP1OUT)-(0))&gt;=0,1,-1)*QUOTIENT(((c_TMAP1IN)-(c_TFWD)),2)),((c_TMAP1IN)-(c_TFWD)))+(0)+IF(((c_TMAP1OUT)-(0))&gt;=0,IF(IF(o_WRAP=1,MOD(((c_TMAP1IN)-(c_TFWD))*(((K202)-(c_TFWD))*((c_TMAP1OUT)-(0))+IF(((c_TMAP1OUT)-(0))&gt;=0,1,-1)*QUOTIENT(((c_TMAP1IN)-(c_TFWD)),2))+2147483648,4294967296)-2147483648,((c_TMAP1IN)-(c_TFWD))*(((K202)-(c_TFWD))*((c_TMAP1OUT)-(0))+IF(((c_TMAP1OUT)-(0))&gt;=0,1,-1)*QUOTIENT(((c_TMAP1IN)-(c_TFWD)),2)))&lt;0,-1,0),IF(IF(o_WRAP=1,MOD(((c_TMAP1IN)-(c_TFWD))*(((K202)-(c_TFWD))*((c_TMAP1OUT)-(0))+IF(((c_TMAP1OUT)-(0))&gt;=0,1,-1)*QUOTIENT(((c_TMAP1IN)-(c_TFWD)),2))+2147483648,4294967296)-2147483648,((c_TMAP1IN)-(c_TFWD))*(((K202)-(c_TFWD))*((c_TMAP1OUT)-(0))+IF(((c_TMAP1OUT)-(0))&gt;=0,1,-1)*QUOTIENT(((c_TMAP1IN)-(c_TFWD)),2)))&gt;=0,1,0)))</f>
        <v>358</v>
      </c>
      <c r="N202" s="7" t="n">
        <f aca="false">IF(((c_TMAP2IN)-(c_TMAP1IN))=0,(c_TMAP1OUT)+QUOTIENT(((c_TMAP2OUT)-(c_TMAP1OUT)),2),QUOTIENT((((K202)-(c_TMAP1IN))*((c_TMAP2OUT)-(c_TMAP1OUT))+IF(((c_TMAP2OUT)-(c_TMAP1OUT))&gt;=0,1,-1)*QUOTIENT(((c_TMAP2IN)-(c_TMAP1IN)),2)),((c_TMAP2IN)-(c_TMAP1IN)))+(c_TMAP1OUT)+IF(((c_TMAP2OUT)-(c_TMAP1OUT))&gt;=0,IF(IF(o_WRAP=1,MOD(((c_TMAP2IN)-(c_TMAP1IN))*(((K202)-(c_TMAP1IN))*((c_TMAP2OUT)-(c_TMAP1OUT))+IF(((c_TMAP2OUT)-(c_TMAP1OUT))&gt;=0,1,-1)*QUOTIENT(((c_TMAP2IN)-(c_TMAP1IN)),2))+2147483648,4294967296)-2147483648,((c_TMAP2IN)-(c_TMAP1IN))*(((K202)-(c_TMAP1IN))*((c_TMAP2OUT)-(c_TMAP1OUT))+IF(((c_TMAP2OUT)-(c_TMAP1OUT))&gt;=0,1,-1)*QUOTIENT(((c_TMAP2IN)-(c_TMAP1IN)),2)))&lt;0,-1,0),IF(IF(o_WRAP=1,MOD(((c_TMAP2IN)-(c_TMAP1IN))*(((K202)-(c_TMAP1IN))*((c_TMAP2OUT)-(c_TMAP1OUT))+IF(((c_TMAP2OUT)-(c_TMAP1OUT))&gt;=0,1,-1)*QUOTIENT(((c_TMAP2IN)-(c_TMAP1IN)),2))+2147483648,4294967296)-2147483648,((c_TMAP2IN)-(c_TMAP1IN))*(((K202)-(c_TMAP1IN))*((c_TMAP2OUT)-(c_TMAP1OUT))+IF(((c_TMAP2OUT)-(c_TMAP1OUT))&gt;=0,1,-1)*QUOTIENT(((c_TMAP2IN)-(c_TMAP1IN)),2)))&gt;=0,1,0)))</f>
        <v>218</v>
      </c>
      <c r="O202" s="7" t="n">
        <f aca="false">IF(((c_TMAP3IN)-(c_TMAP2IN))=0,(c_TMAP2OUT)+QUOTIENT(((c_TMAP3OUT)-(c_TMAP2OUT)),2),QUOTIENT((((K202)-(c_TMAP2IN))*((c_TMAP3OUT)-(c_TMAP2OUT))+IF(((c_TMAP3OUT)-(c_TMAP2OUT))&gt;=0,1,-1)*QUOTIENT(((c_TMAP3IN)-(c_TMAP2IN)),2)),((c_TMAP3IN)-(c_TMAP2IN)))+(c_TMAP2OUT)+IF(((c_TMAP3OUT)-(c_TMAP2OUT))&gt;=0,IF(IF(o_WRAP=1,MOD(((c_TMAP3IN)-(c_TMAP2IN))*(((K202)-(c_TMAP2IN))*((c_TMAP3OUT)-(c_TMAP2OUT))+IF(((c_TMAP3OUT)-(c_TMAP2OUT))&gt;=0,1,-1)*QUOTIENT(((c_TMAP3IN)-(c_TMAP2IN)),2))+2147483648,4294967296)-2147483648,((c_TMAP3IN)-(c_TMAP2IN))*(((K202)-(c_TMAP2IN))*((c_TMAP3OUT)-(c_TMAP2OUT))+IF(((c_TMAP3OUT)-(c_TMAP2OUT))&gt;=0,1,-1)*QUOTIENT(((c_TMAP3IN)-(c_TMAP2IN)),2)))&lt;0,-1,0),IF(IF(o_WRAP=1,MOD(((c_TMAP3IN)-(c_TMAP2IN))*(((K202)-(c_TMAP2IN))*((c_TMAP3OUT)-(c_TMAP2OUT))+IF(((c_TMAP3OUT)-(c_TMAP2OUT))&gt;=0,1,-1)*QUOTIENT(((c_TMAP3IN)-(c_TMAP2IN)),2))+2147483648,4294967296)-2147483648,((c_TMAP3IN)-(c_TMAP2IN))*(((K202)-(c_TMAP2IN))*((c_TMAP3OUT)-(c_TMAP2OUT))+IF(((c_TMAP3OUT)-(c_TMAP2OUT))&gt;=0,1,-1)*QUOTIENT(((c_TMAP3IN)-(c_TMAP2IN)),2)))&gt;=0,1,0)))</f>
        <v>284</v>
      </c>
      <c r="P202" s="7" t="n">
        <f aca="false">IF(((1000)-(c_TMAP3IN))=0,(c_TMAP3OUT)+QUOTIENT(((1000)-(c_TMAP3OUT)),2),QUOTIENT((((K202)-(c_TMAP3IN))*((1000)-(c_TMAP3OUT))+IF(((1000)-(c_TMAP3OUT))&gt;=0,1,-1)*QUOTIENT(((1000)-(c_TMAP3IN)),2)),((1000)-(c_TMAP3IN)))+(c_TMAP3OUT)+IF(((1000)-(c_TMAP3OUT))&gt;=0,IF(IF(o_WRAP=1,MOD(((1000)-(c_TMAP3IN))*(((K202)-(c_TMAP3IN))*((1000)-(c_TMAP3OUT))+IF(((1000)-(c_TMAP3OUT))&gt;=0,1,-1)*QUOTIENT(((1000)-(c_TMAP3IN)),2))+2147483648,4294967296)-2147483648,((1000)-(c_TMAP3IN))*(((K202)-(c_TMAP3IN))*((1000)-(c_TMAP3OUT))+IF(((1000)-(c_TMAP3OUT))&gt;=0,1,-1)*QUOTIENT(((1000)-(c_TMAP3IN)),2)))&lt;0,-1,0),IF(IF(o_WRAP=1,MOD(((1000)-(c_TMAP3IN))*(((K202)-(c_TMAP3IN))*((1000)-(c_TMAP3OUT))+IF(((1000)-(c_TMAP3OUT))&gt;=0,1,-1)*QUOTIENT(((1000)-(c_TMAP3IN)),2))+2147483648,4294967296)-2147483648,((1000)-(c_TMAP3IN))*(((K202)-(c_TMAP3IN))*((1000)-(c_TMAP3OUT))+IF(((1000)-(c_TMAP3OUT))&gt;=0,1,-1)*QUOTIENT(((1000)-(c_TMAP3IN)),2)))&gt;=0,1,0)))</f>
        <v>348</v>
      </c>
      <c r="Q202" s="7" t="str">
        <f aca="false">IF(K202&gt;=c_TFWD,IF(AND(K202&gt;=c_TMAP3IN,c_TMAP3IN&lt;1000),"Seg4 map3-100%",IF(AND(K202&gt;=c_TMAP2IN,c_TMAP3IN&gt;c_TMAP2IN),"Seg3 map2-map3",IF(AND(K202&gt;=c_TMAP1IN,c_TMAP2IN&gt;c_TMAP1IN),"Seg2 map1-map2","Seg1 TFWD-map1"))),IF(AND(K202=0,c_TCREEP&gt;0),"Creep",IF(AND(K202&lt;=c_TRNGMIN,K202&gt;=c_TRNGMAX,c_TRNGMIN-c_TRNGMAX&lt;&gt;0),"Regen ramp","Coast (0)")))</f>
        <v>Seg4 map3-100%</v>
      </c>
      <c r="R202" s="7" t="n">
        <f aca="false">IF(K202&gt;=c_TFWD,IF(AND(K202&gt;=c_TMAP3IN,c_TMAP3IN&lt;1000),P202,IF(AND(K202&gt;=c_TMAP2IN,c_TMAP3IN&gt;c_TMAP2IN),O202,IF(AND(K202&gt;=c_TMAP1IN,c_TMAP2IN&gt;c_TMAP1IN),N202,M202))),L202)</f>
        <v>348</v>
      </c>
      <c r="S202" s="7" t="str">
        <f aca="false">IF(R202&lt;-1090,"TOO LOW",IF(R202&gt;1090,"TOO HIGH",""))</f>
        <v/>
      </c>
      <c r="T202" s="15" t="n">
        <f aca="false">IF(H202&lt;&gt;"OK",0,IF(S202&lt;&gt;"",0,IF(R202&gt;979,1000,R202)))</f>
        <v>348</v>
      </c>
      <c r="U202" s="7" t="n">
        <f aca="false">T202/10</f>
        <v>34.8</v>
      </c>
    </row>
    <row r="203" customFormat="false" ht="15" hidden="false" customHeight="false" outlineLevel="0" collapsed="false">
      <c r="A203" s="7" t="n">
        <v>198</v>
      </c>
      <c r="B203" s="7" t="n">
        <f aca="false">ROUND(o_SWSTART+A203*(o_SWEND-o_SWSTART)/400,0)</f>
        <v>2027</v>
      </c>
      <c r="C203" s="7" t="n">
        <f aca="false">QUOTIENT((B203-c_OFF1)*c_GAIN1,1024)</f>
        <v>2027</v>
      </c>
      <c r="D203" s="7" t="n">
        <f aca="false">IF(((c_T1MX)-(c_T1MN))=0,(0)+QUOTIENT(((1000)-(0)),2),QUOTIENT((((C203)-(c_T1MN))*((1000)-(0))+IF(((1000)-(0))&gt;=0,1,-1)*QUOTIENT(((c_T1MX)-(c_T1MN)),2)),((c_T1MX)-(c_T1MN)))+(0)+IF(((1000)-(0))&gt;=0,IF(IF(o_WRAP=1,MOD(((c_T1MX)-(c_T1MN))*(((C203)-(c_T1MN))*((1000)-(0))+IF(((1000)-(0))&gt;=0,1,-1)*QUOTIENT(((c_T1MX)-(c_T1MN)),2))+2147483648,4294967296)-2147483648,((c_T1MX)-(c_T1MN))*(((C203)-(c_T1MN))*((1000)-(0))+IF(((1000)-(0))&gt;=0,1,-1)*QUOTIENT(((c_T1MX)-(c_T1MN)),2)))&lt;0,-1,0),IF(IF(o_WRAP=1,MOD(((c_T1MX)-(c_T1MN))*(((C203)-(c_T1MN))*((1000)-(0))+IF(((1000)-(0))&gt;=0,1,-1)*QUOTIENT(((c_T1MX)-(c_T1MN)),2))+2147483648,4294967296)-2147483648,((c_T1MX)-(c_T1MN))*(((C203)-(c_T1MN))*((1000)-(0))+IF(((1000)-(0))&gt;=0,1,-1)*QUOTIENT(((c_T1MX)-(c_T1MN)),2)))&gt;=0,1,0)))</f>
        <v>474</v>
      </c>
      <c r="E203" s="7" t="n">
        <f aca="false">IF(AND(c_TPOT=1,c_TTYPE=2),1000-D203,D203)</f>
        <v>474</v>
      </c>
      <c r="F203" s="7" t="str">
        <f aca="false">IF(c_TPOT&gt;1,ROUND(IF(c_TTYPE=2,c_T2MX-IF(c_T1MX=c_T1MN,0,(C203-c_T1MN)/(c_T1MX-c_T1MN))*(c_T2MX-c_T2MN),c_T2MN+IF(c_T1MX=c_T1MN,0,(C203-c_T1MN)/(c_T1MX-c_T1MN))*(c_T2MX-c_T2MN))+o_MISMATCH,0),"")</f>
        <v/>
      </c>
      <c r="G203" s="7" t="str">
        <f aca="false">IF(c_TPOT&gt;1,IF(((c_T2MX)-(c_T2MN))=0,(0)+QUOTIENT(((1000)-(0)),2),QUOTIENT((((F203)-(c_T2MN))*((1000)-(0))+IF(((1000)-(0))&gt;=0,1,-1)*QUOTIENT(((c_T2MX)-(c_T2MN)),2)),((c_T2MX)-(c_T2MN)))+(0)+IF(((1000)-(0))&gt;=0,IF(IF(o_WRAP=1,MOD(((c_T2MX)-(c_T2MN))*(((F203)-(c_T2MN))*((1000)-(0))+IF(((1000)-(0))&gt;=0,1,-1)*QUOTIENT(((c_T2MX)-(c_T2MN)),2))+2147483648,4294967296)-2147483648,((c_T2MX)-(c_T2MN))*(((F203)-(c_T2MN))*((1000)-(0))+IF(((1000)-(0))&gt;=0,1,-1)*QUOTIENT(((c_T2MX)-(c_T2MN)),2)))&lt;0,-1,0),IF(IF(o_WRAP=1,MOD(((c_T2MX)-(c_T2MN))*(((F203)-(c_T2MN))*((1000)-(0))+IF(((1000)-(0))&gt;=0,1,-1)*QUOTIENT(((c_T2MX)-(c_T2MN)),2))+2147483648,4294967296)-2147483648,((c_T2MX)-(c_T2MN))*(((F203)-(c_T2MN))*((1000)-(0))+IF(((1000)-(0))&gt;=0,1,-1)*QUOTIENT(((c_T2MX)-(c_T2MN)),2)))&gt;=0,1,0))),"")</f>
        <v/>
      </c>
      <c r="H203" s="7" t="str">
        <f aca="false">IF(E203&gt;1000+k_TOL,"T1 HIGH",IF(E203&lt;0-k_TOL,"T1 LOW",IF(c_TPOT&gt;1,IF(G203&gt;1000+k_TOL,"T2 HIGH",IF(G203&lt;0-k_TOL,"T2 LOW",IF(c_TTYPE=2,IF(ABS(1000-MAX(0,MIN(1000,E203))-MAX(0,MIN(1000,G203)))&gt;k_MAXERR,"MISMATCH","OK"),IF(OR(MAX(0,MIN(1000,E203))-k_MAXERR&gt;MAX(0,MIN(1000,G203)),MAX(0,MIN(1000,G203))-k_MAXERR&gt;MAX(0,MIN(1000,E203))),"MISMATCH","OK")))),"OK")))</f>
        <v>OK</v>
      </c>
      <c r="I203" s="7" t="n">
        <f aca="false">MAX(0,MIN(1000,D203))</f>
        <v>474</v>
      </c>
      <c r="J203" s="7" t="str">
        <f aca="false">IF(c_TPOT&gt;1,IF(c_TTYPE=2,1000-MAX(0,MIN(1000,G203)),MAX(0,MIN(1000,G203))),"")</f>
        <v/>
      </c>
      <c r="K203" s="7" t="n">
        <f aca="false">IF(c_TPOT&gt;1,QUOTIENT(I203+J203,2),I203)</f>
        <v>474</v>
      </c>
      <c r="L203" s="7" t="n">
        <f aca="false">IF(AND(K203=0,c_TCREEP&gt;0),10*c_TCREEP,IF(AND(K203&lt;=c_TRNGMIN,K203&gt;=c_TRNGMAX,c_TRNGMIN-c_TRNGMAX&lt;&gt;0),-10*c_TMINRN+QUOTIENT((c_TMAXRN-c_TMINRN)*(100-QUOTIENT((K203-c_TRNGMAX)*100,c_TRNGMIN-c_TRNGMAX)),-10),0))</f>
        <v>0</v>
      </c>
      <c r="M203" s="7" t="n">
        <f aca="false">IF(((c_TMAP1IN)-(c_TFWD))=0,(0)+QUOTIENT(((c_TMAP1OUT)-(0)),2),QUOTIENT((((K203)-(c_TFWD))*((c_TMAP1OUT)-(0))+IF(((c_TMAP1OUT)-(0))&gt;=0,1,-1)*QUOTIENT(((c_TMAP1IN)-(c_TFWD)),2)),((c_TMAP1IN)-(c_TFWD)))+(0)+IF(((c_TMAP1OUT)-(0))&gt;=0,IF(IF(o_WRAP=1,MOD(((c_TMAP1IN)-(c_TFWD))*(((K203)-(c_TFWD))*((c_TMAP1OUT)-(0))+IF(((c_TMAP1OUT)-(0))&gt;=0,1,-1)*QUOTIENT(((c_TMAP1IN)-(c_TFWD)),2))+2147483648,4294967296)-2147483648,((c_TMAP1IN)-(c_TFWD))*(((K203)-(c_TFWD))*((c_TMAP1OUT)-(0))+IF(((c_TMAP1OUT)-(0))&gt;=0,1,-1)*QUOTIENT(((c_TMAP1IN)-(c_TFWD)),2)))&lt;0,-1,0),IF(IF(o_WRAP=1,MOD(((c_TMAP1IN)-(c_TFWD))*(((K203)-(c_TFWD))*((c_TMAP1OUT)-(0))+IF(((c_TMAP1OUT)-(0))&gt;=0,1,-1)*QUOTIENT(((c_TMAP1IN)-(c_TFWD)),2))+2147483648,4294967296)-2147483648,((c_TMAP1IN)-(c_TFWD))*(((K203)-(c_TFWD))*((c_TMAP1OUT)-(0))+IF(((c_TMAP1OUT)-(0))&gt;=0,1,-1)*QUOTIENT(((c_TMAP1IN)-(c_TFWD)),2)))&gt;=0,1,0)))</f>
        <v>361</v>
      </c>
      <c r="N203" s="7" t="n">
        <f aca="false">IF(((c_TMAP2IN)-(c_TMAP1IN))=0,(c_TMAP1OUT)+QUOTIENT(((c_TMAP2OUT)-(c_TMAP1OUT)),2),QUOTIENT((((K203)-(c_TMAP1IN))*((c_TMAP2OUT)-(c_TMAP1OUT))+IF(((c_TMAP2OUT)-(c_TMAP1OUT))&gt;=0,1,-1)*QUOTIENT(((c_TMAP2IN)-(c_TMAP1IN)),2)),((c_TMAP2IN)-(c_TMAP1IN)))+(c_TMAP1OUT)+IF(((c_TMAP2OUT)-(c_TMAP1OUT))&gt;=0,IF(IF(o_WRAP=1,MOD(((c_TMAP2IN)-(c_TMAP1IN))*(((K203)-(c_TMAP1IN))*((c_TMAP2OUT)-(c_TMAP1OUT))+IF(((c_TMAP2OUT)-(c_TMAP1OUT))&gt;=0,1,-1)*QUOTIENT(((c_TMAP2IN)-(c_TMAP1IN)),2))+2147483648,4294967296)-2147483648,((c_TMAP2IN)-(c_TMAP1IN))*(((K203)-(c_TMAP1IN))*((c_TMAP2OUT)-(c_TMAP1OUT))+IF(((c_TMAP2OUT)-(c_TMAP1OUT))&gt;=0,1,-1)*QUOTIENT(((c_TMAP2IN)-(c_TMAP1IN)),2)))&lt;0,-1,0),IF(IF(o_WRAP=1,MOD(((c_TMAP2IN)-(c_TMAP1IN))*(((K203)-(c_TMAP1IN))*((c_TMAP2OUT)-(c_TMAP1OUT))+IF(((c_TMAP2OUT)-(c_TMAP1OUT))&gt;=0,1,-1)*QUOTIENT(((c_TMAP2IN)-(c_TMAP1IN)),2))+2147483648,4294967296)-2147483648,((c_TMAP2IN)-(c_TMAP1IN))*(((K203)-(c_TMAP1IN))*((c_TMAP2OUT)-(c_TMAP1OUT))+IF(((c_TMAP2OUT)-(c_TMAP1OUT))&gt;=0,1,-1)*QUOTIENT(((c_TMAP2IN)-(c_TMAP1IN)),2)))&gt;=0,1,0)))</f>
        <v>220</v>
      </c>
      <c r="O203" s="7" t="n">
        <f aca="false">IF(((c_TMAP3IN)-(c_TMAP2IN))=0,(c_TMAP2OUT)+QUOTIENT(((c_TMAP3OUT)-(c_TMAP2OUT)),2),QUOTIENT((((K203)-(c_TMAP2IN))*((c_TMAP3OUT)-(c_TMAP2OUT))+IF(((c_TMAP3OUT)-(c_TMAP2OUT))&gt;=0,1,-1)*QUOTIENT(((c_TMAP3IN)-(c_TMAP2IN)),2)),((c_TMAP3IN)-(c_TMAP2IN)))+(c_TMAP2OUT)+IF(((c_TMAP3OUT)-(c_TMAP2OUT))&gt;=0,IF(IF(o_WRAP=1,MOD(((c_TMAP3IN)-(c_TMAP2IN))*(((K203)-(c_TMAP2IN))*((c_TMAP3OUT)-(c_TMAP2OUT))+IF(((c_TMAP3OUT)-(c_TMAP2OUT))&gt;=0,1,-1)*QUOTIENT(((c_TMAP3IN)-(c_TMAP2IN)),2))+2147483648,4294967296)-2147483648,((c_TMAP3IN)-(c_TMAP2IN))*(((K203)-(c_TMAP2IN))*((c_TMAP3OUT)-(c_TMAP2OUT))+IF(((c_TMAP3OUT)-(c_TMAP2OUT))&gt;=0,1,-1)*QUOTIENT(((c_TMAP3IN)-(c_TMAP2IN)),2)))&lt;0,-1,0),IF(IF(o_WRAP=1,MOD(((c_TMAP3IN)-(c_TMAP2IN))*(((K203)-(c_TMAP2IN))*((c_TMAP3OUT)-(c_TMAP2OUT))+IF(((c_TMAP3OUT)-(c_TMAP2OUT))&gt;=0,1,-1)*QUOTIENT(((c_TMAP3IN)-(c_TMAP2IN)),2))+2147483648,4294967296)-2147483648,((c_TMAP3IN)-(c_TMAP2IN))*(((K203)-(c_TMAP2IN))*((c_TMAP3OUT)-(c_TMAP2OUT))+IF(((c_TMAP3OUT)-(c_TMAP2OUT))&gt;=0,1,-1)*QUOTIENT(((c_TMAP3IN)-(c_TMAP2IN)),2)))&gt;=0,1,0)))</f>
        <v>287</v>
      </c>
      <c r="P203" s="7" t="n">
        <f aca="false">IF(((1000)-(c_TMAP3IN))=0,(c_TMAP3OUT)+QUOTIENT(((1000)-(c_TMAP3OUT)),2),QUOTIENT((((K203)-(c_TMAP3IN))*((1000)-(c_TMAP3OUT))+IF(((1000)-(c_TMAP3OUT))&gt;=0,1,-1)*QUOTIENT(((1000)-(c_TMAP3IN)),2)),((1000)-(c_TMAP3IN)))+(c_TMAP3OUT)+IF(((1000)-(c_TMAP3OUT))&gt;=0,IF(IF(o_WRAP=1,MOD(((1000)-(c_TMAP3IN))*(((K203)-(c_TMAP3IN))*((1000)-(c_TMAP3OUT))+IF(((1000)-(c_TMAP3OUT))&gt;=0,1,-1)*QUOTIENT(((1000)-(c_TMAP3IN)),2))+2147483648,4294967296)-2147483648,((1000)-(c_TMAP3IN))*(((K203)-(c_TMAP3IN))*((1000)-(c_TMAP3OUT))+IF(((1000)-(c_TMAP3OUT))&gt;=0,1,-1)*QUOTIENT(((1000)-(c_TMAP3IN)),2)))&lt;0,-1,0),IF(IF(o_WRAP=1,MOD(((1000)-(c_TMAP3IN))*(((K203)-(c_TMAP3IN))*((1000)-(c_TMAP3OUT))+IF(((1000)-(c_TMAP3OUT))&gt;=0,1,-1)*QUOTIENT(((1000)-(c_TMAP3IN)),2))+2147483648,4294967296)-2147483648,((1000)-(c_TMAP3IN))*(((K203)-(c_TMAP3IN))*((1000)-(c_TMAP3OUT))+IF(((1000)-(c_TMAP3OUT))&gt;=0,1,-1)*QUOTIENT(((1000)-(c_TMAP3IN)),2)))&gt;=0,1,0)))</f>
        <v>353</v>
      </c>
      <c r="Q203" s="7" t="str">
        <f aca="false">IF(K203&gt;=c_TFWD,IF(AND(K203&gt;=c_TMAP3IN,c_TMAP3IN&lt;1000),"Seg4 map3-100%",IF(AND(K203&gt;=c_TMAP2IN,c_TMAP3IN&gt;c_TMAP2IN),"Seg3 map2-map3",IF(AND(K203&gt;=c_TMAP1IN,c_TMAP2IN&gt;c_TMAP1IN),"Seg2 map1-map2","Seg1 TFWD-map1"))),IF(AND(K203=0,c_TCREEP&gt;0),"Creep",IF(AND(K203&lt;=c_TRNGMIN,K203&gt;=c_TRNGMAX,c_TRNGMIN-c_TRNGMAX&lt;&gt;0),"Regen ramp","Coast (0)")))</f>
        <v>Seg4 map3-100%</v>
      </c>
      <c r="R203" s="7" t="n">
        <f aca="false">IF(K203&gt;=c_TFWD,IF(AND(K203&gt;=c_TMAP3IN,c_TMAP3IN&lt;1000),P203,IF(AND(K203&gt;=c_TMAP2IN,c_TMAP3IN&gt;c_TMAP2IN),O203,IF(AND(K203&gt;=c_TMAP1IN,c_TMAP2IN&gt;c_TMAP1IN),N203,M203))),L203)</f>
        <v>353</v>
      </c>
      <c r="S203" s="7" t="str">
        <f aca="false">IF(R203&lt;-1090,"TOO LOW",IF(R203&gt;1090,"TOO HIGH",""))</f>
        <v/>
      </c>
      <c r="T203" s="15" t="n">
        <f aca="false">IF(H203&lt;&gt;"OK",0,IF(S203&lt;&gt;"",0,IF(R203&gt;979,1000,R203)))</f>
        <v>353</v>
      </c>
      <c r="U203" s="7" t="n">
        <f aca="false">T203/10</f>
        <v>35.3</v>
      </c>
    </row>
    <row r="204" customFormat="false" ht="15" hidden="false" customHeight="false" outlineLevel="0" collapsed="false">
      <c r="A204" s="7" t="n">
        <v>199</v>
      </c>
      <c r="B204" s="7" t="n">
        <f aca="false">ROUND(o_SWSTART+A204*(o_SWEND-o_SWSTART)/400,0)</f>
        <v>2037</v>
      </c>
      <c r="C204" s="7" t="n">
        <f aca="false">QUOTIENT((B204-c_OFF1)*c_GAIN1,1024)</f>
        <v>2037</v>
      </c>
      <c r="D204" s="7" t="n">
        <f aca="false">IF(((c_T1MX)-(c_T1MN))=0,(0)+QUOTIENT(((1000)-(0)),2),QUOTIENT((((C204)-(c_T1MN))*((1000)-(0))+IF(((1000)-(0))&gt;=0,1,-1)*QUOTIENT(((c_T1MX)-(c_T1MN)),2)),((c_T1MX)-(c_T1MN)))+(0)+IF(((1000)-(0))&gt;=0,IF(IF(o_WRAP=1,MOD(((c_T1MX)-(c_T1MN))*(((C204)-(c_T1MN))*((1000)-(0))+IF(((1000)-(0))&gt;=0,1,-1)*QUOTIENT(((c_T1MX)-(c_T1MN)),2))+2147483648,4294967296)-2147483648,((c_T1MX)-(c_T1MN))*(((C204)-(c_T1MN))*((1000)-(0))+IF(((1000)-(0))&gt;=0,1,-1)*QUOTIENT(((c_T1MX)-(c_T1MN)),2)))&lt;0,-1,0),IF(IF(o_WRAP=1,MOD(((c_T1MX)-(c_T1MN))*(((C204)-(c_T1MN))*((1000)-(0))+IF(((1000)-(0))&gt;=0,1,-1)*QUOTIENT(((c_T1MX)-(c_T1MN)),2))+2147483648,4294967296)-2147483648,((c_T1MX)-(c_T1MN))*(((C204)-(c_T1MN))*((1000)-(0))+IF(((1000)-(0))&gt;=0,1,-1)*QUOTIENT(((c_T1MX)-(c_T1MN)),2)))&gt;=0,1,0)))</f>
        <v>477</v>
      </c>
      <c r="E204" s="7" t="n">
        <f aca="false">IF(AND(c_TPOT=1,c_TTYPE=2),1000-D204,D204)</f>
        <v>477</v>
      </c>
      <c r="F204" s="7" t="str">
        <f aca="false">IF(c_TPOT&gt;1,ROUND(IF(c_TTYPE=2,c_T2MX-IF(c_T1MX=c_T1MN,0,(C204-c_T1MN)/(c_T1MX-c_T1MN))*(c_T2MX-c_T2MN),c_T2MN+IF(c_T1MX=c_T1MN,0,(C204-c_T1MN)/(c_T1MX-c_T1MN))*(c_T2MX-c_T2MN))+o_MISMATCH,0),"")</f>
        <v/>
      </c>
      <c r="G204" s="7" t="str">
        <f aca="false">IF(c_TPOT&gt;1,IF(((c_T2MX)-(c_T2MN))=0,(0)+QUOTIENT(((1000)-(0)),2),QUOTIENT((((F204)-(c_T2MN))*((1000)-(0))+IF(((1000)-(0))&gt;=0,1,-1)*QUOTIENT(((c_T2MX)-(c_T2MN)),2)),((c_T2MX)-(c_T2MN)))+(0)+IF(((1000)-(0))&gt;=0,IF(IF(o_WRAP=1,MOD(((c_T2MX)-(c_T2MN))*(((F204)-(c_T2MN))*((1000)-(0))+IF(((1000)-(0))&gt;=0,1,-1)*QUOTIENT(((c_T2MX)-(c_T2MN)),2))+2147483648,4294967296)-2147483648,((c_T2MX)-(c_T2MN))*(((F204)-(c_T2MN))*((1000)-(0))+IF(((1000)-(0))&gt;=0,1,-1)*QUOTIENT(((c_T2MX)-(c_T2MN)),2)))&lt;0,-1,0),IF(IF(o_WRAP=1,MOD(((c_T2MX)-(c_T2MN))*(((F204)-(c_T2MN))*((1000)-(0))+IF(((1000)-(0))&gt;=0,1,-1)*QUOTIENT(((c_T2MX)-(c_T2MN)),2))+2147483648,4294967296)-2147483648,((c_T2MX)-(c_T2MN))*(((F204)-(c_T2MN))*((1000)-(0))+IF(((1000)-(0))&gt;=0,1,-1)*QUOTIENT(((c_T2MX)-(c_T2MN)),2)))&gt;=0,1,0))),"")</f>
        <v/>
      </c>
      <c r="H204" s="7" t="str">
        <f aca="false">IF(E204&gt;1000+k_TOL,"T1 HIGH",IF(E204&lt;0-k_TOL,"T1 LOW",IF(c_TPOT&gt;1,IF(G204&gt;1000+k_TOL,"T2 HIGH",IF(G204&lt;0-k_TOL,"T2 LOW",IF(c_TTYPE=2,IF(ABS(1000-MAX(0,MIN(1000,E204))-MAX(0,MIN(1000,G204)))&gt;k_MAXERR,"MISMATCH","OK"),IF(OR(MAX(0,MIN(1000,E204))-k_MAXERR&gt;MAX(0,MIN(1000,G204)),MAX(0,MIN(1000,G204))-k_MAXERR&gt;MAX(0,MIN(1000,E204))),"MISMATCH","OK")))),"OK")))</f>
        <v>OK</v>
      </c>
      <c r="I204" s="7" t="n">
        <f aca="false">MAX(0,MIN(1000,D204))</f>
        <v>477</v>
      </c>
      <c r="J204" s="7" t="str">
        <f aca="false">IF(c_TPOT&gt;1,IF(c_TTYPE=2,1000-MAX(0,MIN(1000,G204)),MAX(0,MIN(1000,G204))),"")</f>
        <v/>
      </c>
      <c r="K204" s="7" t="n">
        <f aca="false">IF(c_TPOT&gt;1,QUOTIENT(I204+J204,2),I204)</f>
        <v>477</v>
      </c>
      <c r="L204" s="7" t="n">
        <f aca="false">IF(AND(K204=0,c_TCREEP&gt;0),10*c_TCREEP,IF(AND(K204&lt;=c_TRNGMIN,K204&gt;=c_TRNGMAX,c_TRNGMIN-c_TRNGMAX&lt;&gt;0),-10*c_TMINRN+QUOTIENT((c_TMAXRN-c_TMINRN)*(100-QUOTIENT((K204-c_TRNGMAX)*100,c_TRNGMIN-c_TRNGMAX)),-10),0))</f>
        <v>0</v>
      </c>
      <c r="M204" s="7" t="n">
        <f aca="false">IF(((c_TMAP1IN)-(c_TFWD))=0,(0)+QUOTIENT(((c_TMAP1OUT)-(0)),2),QUOTIENT((((K204)-(c_TFWD))*((c_TMAP1OUT)-(0))+IF(((c_TMAP1OUT)-(0))&gt;=0,1,-1)*QUOTIENT(((c_TMAP1IN)-(c_TFWD)),2)),((c_TMAP1IN)-(c_TFWD)))+(0)+IF(((c_TMAP1OUT)-(0))&gt;=0,IF(IF(o_WRAP=1,MOD(((c_TMAP1IN)-(c_TFWD))*(((K204)-(c_TFWD))*((c_TMAP1OUT)-(0))+IF(((c_TMAP1OUT)-(0))&gt;=0,1,-1)*QUOTIENT(((c_TMAP1IN)-(c_TFWD)),2))+2147483648,4294967296)-2147483648,((c_TMAP1IN)-(c_TFWD))*(((K204)-(c_TFWD))*((c_TMAP1OUT)-(0))+IF(((c_TMAP1OUT)-(0))&gt;=0,1,-1)*QUOTIENT(((c_TMAP1IN)-(c_TFWD)),2)))&lt;0,-1,0),IF(IF(o_WRAP=1,MOD(((c_TMAP1IN)-(c_TFWD))*(((K204)-(c_TFWD))*((c_TMAP1OUT)-(0))+IF(((c_TMAP1OUT)-(0))&gt;=0,1,-1)*QUOTIENT(((c_TMAP1IN)-(c_TFWD)),2))+2147483648,4294967296)-2147483648,((c_TMAP1IN)-(c_TFWD))*(((K204)-(c_TFWD))*((c_TMAP1OUT)-(0))+IF(((c_TMAP1OUT)-(0))&gt;=0,1,-1)*QUOTIENT(((c_TMAP1IN)-(c_TFWD)),2)))&gt;=0,1,0)))</f>
        <v>363</v>
      </c>
      <c r="N204" s="7" t="n">
        <f aca="false">IF(((c_TMAP2IN)-(c_TMAP1IN))=0,(c_TMAP1OUT)+QUOTIENT(((c_TMAP2OUT)-(c_TMAP1OUT)),2),QUOTIENT((((K204)-(c_TMAP1IN))*((c_TMAP2OUT)-(c_TMAP1OUT))+IF(((c_TMAP2OUT)-(c_TMAP1OUT))&gt;=0,1,-1)*QUOTIENT(((c_TMAP2IN)-(c_TMAP1IN)),2)),((c_TMAP2IN)-(c_TMAP1IN)))+(c_TMAP1OUT)+IF(((c_TMAP2OUT)-(c_TMAP1OUT))&gt;=0,IF(IF(o_WRAP=1,MOD(((c_TMAP2IN)-(c_TMAP1IN))*(((K204)-(c_TMAP1IN))*((c_TMAP2OUT)-(c_TMAP1OUT))+IF(((c_TMAP2OUT)-(c_TMAP1OUT))&gt;=0,1,-1)*QUOTIENT(((c_TMAP2IN)-(c_TMAP1IN)),2))+2147483648,4294967296)-2147483648,((c_TMAP2IN)-(c_TMAP1IN))*(((K204)-(c_TMAP1IN))*((c_TMAP2OUT)-(c_TMAP1OUT))+IF(((c_TMAP2OUT)-(c_TMAP1OUT))&gt;=0,1,-1)*QUOTIENT(((c_TMAP2IN)-(c_TMAP1IN)),2)))&lt;0,-1,0),IF(IF(o_WRAP=1,MOD(((c_TMAP2IN)-(c_TMAP1IN))*(((K204)-(c_TMAP1IN))*((c_TMAP2OUT)-(c_TMAP1OUT))+IF(((c_TMAP2OUT)-(c_TMAP1OUT))&gt;=0,1,-1)*QUOTIENT(((c_TMAP2IN)-(c_TMAP1IN)),2))+2147483648,4294967296)-2147483648,((c_TMAP2IN)-(c_TMAP1IN))*(((K204)-(c_TMAP1IN))*((c_TMAP2OUT)-(c_TMAP1OUT))+IF(((c_TMAP2OUT)-(c_TMAP1OUT))&gt;=0,1,-1)*QUOTIENT(((c_TMAP2IN)-(c_TMAP1IN)),2)))&gt;=0,1,0)))</f>
        <v>221</v>
      </c>
      <c r="O204" s="7" t="n">
        <f aca="false">IF(((c_TMAP3IN)-(c_TMAP2IN))=0,(c_TMAP2OUT)+QUOTIENT(((c_TMAP3OUT)-(c_TMAP2OUT)),2),QUOTIENT((((K204)-(c_TMAP2IN))*((c_TMAP3OUT)-(c_TMAP2OUT))+IF(((c_TMAP3OUT)-(c_TMAP2OUT))&gt;=0,1,-1)*QUOTIENT(((c_TMAP3IN)-(c_TMAP2IN)),2)),((c_TMAP3IN)-(c_TMAP2IN)))+(c_TMAP2OUT)+IF(((c_TMAP3OUT)-(c_TMAP2OUT))&gt;=0,IF(IF(o_WRAP=1,MOD(((c_TMAP3IN)-(c_TMAP2IN))*(((K204)-(c_TMAP2IN))*((c_TMAP3OUT)-(c_TMAP2OUT))+IF(((c_TMAP3OUT)-(c_TMAP2OUT))&gt;=0,1,-1)*QUOTIENT(((c_TMAP3IN)-(c_TMAP2IN)),2))+2147483648,4294967296)-2147483648,((c_TMAP3IN)-(c_TMAP2IN))*(((K204)-(c_TMAP2IN))*((c_TMAP3OUT)-(c_TMAP2OUT))+IF(((c_TMAP3OUT)-(c_TMAP2OUT))&gt;=0,1,-1)*QUOTIENT(((c_TMAP3IN)-(c_TMAP2IN)),2)))&lt;0,-1,0),IF(IF(o_WRAP=1,MOD(((c_TMAP3IN)-(c_TMAP2IN))*(((K204)-(c_TMAP2IN))*((c_TMAP3OUT)-(c_TMAP2OUT))+IF(((c_TMAP3OUT)-(c_TMAP2OUT))&gt;=0,1,-1)*QUOTIENT(((c_TMAP3IN)-(c_TMAP2IN)),2))+2147483648,4294967296)-2147483648,((c_TMAP3IN)-(c_TMAP2IN))*(((K204)-(c_TMAP2IN))*((c_TMAP3OUT)-(c_TMAP2OUT))+IF(((c_TMAP3OUT)-(c_TMAP2OUT))&gt;=0,1,-1)*QUOTIENT(((c_TMAP3IN)-(c_TMAP2IN)),2)))&gt;=0,1,0)))</f>
        <v>289</v>
      </c>
      <c r="P204" s="7" t="n">
        <f aca="false">IF(((1000)-(c_TMAP3IN))=0,(c_TMAP3OUT)+QUOTIENT(((1000)-(c_TMAP3OUT)),2),QUOTIENT((((K204)-(c_TMAP3IN))*((1000)-(c_TMAP3OUT))+IF(((1000)-(c_TMAP3OUT))&gt;=0,1,-1)*QUOTIENT(((1000)-(c_TMAP3IN)),2)),((1000)-(c_TMAP3IN)))+(c_TMAP3OUT)+IF(((1000)-(c_TMAP3OUT))&gt;=0,IF(IF(o_WRAP=1,MOD(((1000)-(c_TMAP3IN))*(((K204)-(c_TMAP3IN))*((1000)-(c_TMAP3OUT))+IF(((1000)-(c_TMAP3OUT))&gt;=0,1,-1)*QUOTIENT(((1000)-(c_TMAP3IN)),2))+2147483648,4294967296)-2147483648,((1000)-(c_TMAP3IN))*(((K204)-(c_TMAP3IN))*((1000)-(c_TMAP3OUT))+IF(((1000)-(c_TMAP3OUT))&gt;=0,1,-1)*QUOTIENT(((1000)-(c_TMAP3IN)),2)))&lt;0,-1,0),IF(IF(o_WRAP=1,MOD(((1000)-(c_TMAP3IN))*(((K204)-(c_TMAP3IN))*((1000)-(c_TMAP3OUT))+IF(((1000)-(c_TMAP3OUT))&gt;=0,1,-1)*QUOTIENT(((1000)-(c_TMAP3IN)),2))+2147483648,4294967296)-2147483648,((1000)-(c_TMAP3IN))*(((K204)-(c_TMAP3IN))*((1000)-(c_TMAP3OUT))+IF(((1000)-(c_TMAP3OUT))&gt;=0,1,-1)*QUOTIENT(((1000)-(c_TMAP3IN)),2)))&gt;=0,1,0)))</f>
        <v>356</v>
      </c>
      <c r="Q204" s="7" t="str">
        <f aca="false">IF(K204&gt;=c_TFWD,IF(AND(K204&gt;=c_TMAP3IN,c_TMAP3IN&lt;1000),"Seg4 map3-100%",IF(AND(K204&gt;=c_TMAP2IN,c_TMAP3IN&gt;c_TMAP2IN),"Seg3 map2-map3",IF(AND(K204&gt;=c_TMAP1IN,c_TMAP2IN&gt;c_TMAP1IN),"Seg2 map1-map2","Seg1 TFWD-map1"))),IF(AND(K204=0,c_TCREEP&gt;0),"Creep",IF(AND(K204&lt;=c_TRNGMIN,K204&gt;=c_TRNGMAX,c_TRNGMIN-c_TRNGMAX&lt;&gt;0),"Regen ramp","Coast (0)")))</f>
        <v>Seg4 map3-100%</v>
      </c>
      <c r="R204" s="7" t="n">
        <f aca="false">IF(K204&gt;=c_TFWD,IF(AND(K204&gt;=c_TMAP3IN,c_TMAP3IN&lt;1000),P204,IF(AND(K204&gt;=c_TMAP2IN,c_TMAP3IN&gt;c_TMAP2IN),O204,IF(AND(K204&gt;=c_TMAP1IN,c_TMAP2IN&gt;c_TMAP1IN),N204,M204))),L204)</f>
        <v>356</v>
      </c>
      <c r="S204" s="7" t="str">
        <f aca="false">IF(R204&lt;-1090,"TOO LOW",IF(R204&gt;1090,"TOO HIGH",""))</f>
        <v/>
      </c>
      <c r="T204" s="15" t="n">
        <f aca="false">IF(H204&lt;&gt;"OK",0,IF(S204&lt;&gt;"",0,IF(R204&gt;979,1000,R204)))</f>
        <v>356</v>
      </c>
      <c r="U204" s="7" t="n">
        <f aca="false">T204/10</f>
        <v>35.6</v>
      </c>
    </row>
    <row r="205" customFormat="false" ht="15" hidden="false" customHeight="false" outlineLevel="0" collapsed="false">
      <c r="A205" s="7" t="n">
        <v>200</v>
      </c>
      <c r="B205" s="7" t="n">
        <f aca="false">ROUND(o_SWSTART+A205*(o_SWEND-o_SWSTART)/400,0)</f>
        <v>2048</v>
      </c>
      <c r="C205" s="7" t="n">
        <f aca="false">QUOTIENT((B205-c_OFF1)*c_GAIN1,1024)</f>
        <v>2048</v>
      </c>
      <c r="D205" s="7" t="n">
        <f aca="false">IF(((c_T1MX)-(c_T1MN))=0,(0)+QUOTIENT(((1000)-(0)),2),QUOTIENT((((C205)-(c_T1MN))*((1000)-(0))+IF(((1000)-(0))&gt;=0,1,-1)*QUOTIENT(((c_T1MX)-(c_T1MN)),2)),((c_T1MX)-(c_T1MN)))+(0)+IF(((1000)-(0))&gt;=0,IF(IF(o_WRAP=1,MOD(((c_T1MX)-(c_T1MN))*(((C205)-(c_T1MN))*((1000)-(0))+IF(((1000)-(0))&gt;=0,1,-1)*QUOTIENT(((c_T1MX)-(c_T1MN)),2))+2147483648,4294967296)-2147483648,((c_T1MX)-(c_T1MN))*(((C205)-(c_T1MN))*((1000)-(0))+IF(((1000)-(0))&gt;=0,1,-1)*QUOTIENT(((c_T1MX)-(c_T1MN)),2)))&lt;0,-1,0),IF(IF(o_WRAP=1,MOD(((c_T1MX)-(c_T1MN))*(((C205)-(c_T1MN))*((1000)-(0))+IF(((1000)-(0))&gt;=0,1,-1)*QUOTIENT(((c_T1MX)-(c_T1MN)),2))+2147483648,4294967296)-2147483648,((c_T1MX)-(c_T1MN))*(((C205)-(c_T1MN))*((1000)-(0))+IF(((1000)-(0))&gt;=0,1,-1)*QUOTIENT(((c_T1MX)-(c_T1MN)),2)))&gt;=0,1,0)))</f>
        <v>481</v>
      </c>
      <c r="E205" s="7" t="n">
        <f aca="false">IF(AND(c_TPOT=1,c_TTYPE=2),1000-D205,D205)</f>
        <v>481</v>
      </c>
      <c r="F205" s="7" t="str">
        <f aca="false">IF(c_TPOT&gt;1,ROUND(IF(c_TTYPE=2,c_T2MX-IF(c_T1MX=c_T1MN,0,(C205-c_T1MN)/(c_T1MX-c_T1MN))*(c_T2MX-c_T2MN),c_T2MN+IF(c_T1MX=c_T1MN,0,(C205-c_T1MN)/(c_T1MX-c_T1MN))*(c_T2MX-c_T2MN))+o_MISMATCH,0),"")</f>
        <v/>
      </c>
      <c r="G205" s="7" t="str">
        <f aca="false">IF(c_TPOT&gt;1,IF(((c_T2MX)-(c_T2MN))=0,(0)+QUOTIENT(((1000)-(0)),2),QUOTIENT((((F205)-(c_T2MN))*((1000)-(0))+IF(((1000)-(0))&gt;=0,1,-1)*QUOTIENT(((c_T2MX)-(c_T2MN)),2)),((c_T2MX)-(c_T2MN)))+(0)+IF(((1000)-(0))&gt;=0,IF(IF(o_WRAP=1,MOD(((c_T2MX)-(c_T2MN))*(((F205)-(c_T2MN))*((1000)-(0))+IF(((1000)-(0))&gt;=0,1,-1)*QUOTIENT(((c_T2MX)-(c_T2MN)),2))+2147483648,4294967296)-2147483648,((c_T2MX)-(c_T2MN))*(((F205)-(c_T2MN))*((1000)-(0))+IF(((1000)-(0))&gt;=0,1,-1)*QUOTIENT(((c_T2MX)-(c_T2MN)),2)))&lt;0,-1,0),IF(IF(o_WRAP=1,MOD(((c_T2MX)-(c_T2MN))*(((F205)-(c_T2MN))*((1000)-(0))+IF(((1000)-(0))&gt;=0,1,-1)*QUOTIENT(((c_T2MX)-(c_T2MN)),2))+2147483648,4294967296)-2147483648,((c_T2MX)-(c_T2MN))*(((F205)-(c_T2MN))*((1000)-(0))+IF(((1000)-(0))&gt;=0,1,-1)*QUOTIENT(((c_T2MX)-(c_T2MN)),2)))&gt;=0,1,0))),"")</f>
        <v/>
      </c>
      <c r="H205" s="7" t="str">
        <f aca="false">IF(E205&gt;1000+k_TOL,"T1 HIGH",IF(E205&lt;0-k_TOL,"T1 LOW",IF(c_TPOT&gt;1,IF(G205&gt;1000+k_TOL,"T2 HIGH",IF(G205&lt;0-k_TOL,"T2 LOW",IF(c_TTYPE=2,IF(ABS(1000-MAX(0,MIN(1000,E205))-MAX(0,MIN(1000,G205)))&gt;k_MAXERR,"MISMATCH","OK"),IF(OR(MAX(0,MIN(1000,E205))-k_MAXERR&gt;MAX(0,MIN(1000,G205)),MAX(0,MIN(1000,G205))-k_MAXERR&gt;MAX(0,MIN(1000,E205))),"MISMATCH","OK")))),"OK")))</f>
        <v>OK</v>
      </c>
      <c r="I205" s="7" t="n">
        <f aca="false">MAX(0,MIN(1000,D205))</f>
        <v>481</v>
      </c>
      <c r="J205" s="7" t="str">
        <f aca="false">IF(c_TPOT&gt;1,IF(c_TTYPE=2,1000-MAX(0,MIN(1000,G205)),MAX(0,MIN(1000,G205))),"")</f>
        <v/>
      </c>
      <c r="K205" s="7" t="n">
        <f aca="false">IF(c_TPOT&gt;1,QUOTIENT(I205+J205,2),I205)</f>
        <v>481</v>
      </c>
      <c r="L205" s="7" t="n">
        <f aca="false">IF(AND(K205=0,c_TCREEP&gt;0),10*c_TCREEP,IF(AND(K205&lt;=c_TRNGMIN,K205&gt;=c_TRNGMAX,c_TRNGMIN-c_TRNGMAX&lt;&gt;0),-10*c_TMINRN+QUOTIENT((c_TMAXRN-c_TMINRN)*(100-QUOTIENT((K205-c_TRNGMAX)*100,c_TRNGMIN-c_TRNGMAX)),-10),0))</f>
        <v>0</v>
      </c>
      <c r="M205" s="7" t="n">
        <f aca="false">IF(((c_TMAP1IN)-(c_TFWD))=0,(0)+QUOTIENT(((c_TMAP1OUT)-(0)),2),QUOTIENT((((K205)-(c_TFWD))*((c_TMAP1OUT)-(0))+IF(((c_TMAP1OUT)-(0))&gt;=0,1,-1)*QUOTIENT(((c_TMAP1IN)-(c_TFWD)),2)),((c_TMAP1IN)-(c_TFWD)))+(0)+IF(((c_TMAP1OUT)-(0))&gt;=0,IF(IF(o_WRAP=1,MOD(((c_TMAP1IN)-(c_TFWD))*(((K205)-(c_TFWD))*((c_TMAP1OUT)-(0))+IF(((c_TMAP1OUT)-(0))&gt;=0,1,-1)*QUOTIENT(((c_TMAP1IN)-(c_TFWD)),2))+2147483648,4294967296)-2147483648,((c_TMAP1IN)-(c_TFWD))*(((K205)-(c_TFWD))*((c_TMAP1OUT)-(0))+IF(((c_TMAP1OUT)-(0))&gt;=0,1,-1)*QUOTIENT(((c_TMAP1IN)-(c_TFWD)),2)))&lt;0,-1,0),IF(IF(o_WRAP=1,MOD(((c_TMAP1IN)-(c_TFWD))*(((K205)-(c_TFWD))*((c_TMAP1OUT)-(0))+IF(((c_TMAP1OUT)-(0))&gt;=0,1,-1)*QUOTIENT(((c_TMAP1IN)-(c_TFWD)),2))+2147483648,4294967296)-2147483648,((c_TMAP1IN)-(c_TFWD))*(((K205)-(c_TFWD))*((c_TMAP1OUT)-(0))+IF(((c_TMAP1OUT)-(0))&gt;=0,1,-1)*QUOTIENT(((c_TMAP1IN)-(c_TFWD)),2)))&gt;=0,1,0)))</f>
        <v>366</v>
      </c>
      <c r="N205" s="7" t="n">
        <f aca="false">IF(((c_TMAP2IN)-(c_TMAP1IN))=0,(c_TMAP1OUT)+QUOTIENT(((c_TMAP2OUT)-(c_TMAP1OUT)),2),QUOTIENT((((K205)-(c_TMAP1IN))*((c_TMAP2OUT)-(c_TMAP1OUT))+IF(((c_TMAP2OUT)-(c_TMAP1OUT))&gt;=0,1,-1)*QUOTIENT(((c_TMAP2IN)-(c_TMAP1IN)),2)),((c_TMAP2IN)-(c_TMAP1IN)))+(c_TMAP1OUT)+IF(((c_TMAP2OUT)-(c_TMAP1OUT))&gt;=0,IF(IF(o_WRAP=1,MOD(((c_TMAP2IN)-(c_TMAP1IN))*(((K205)-(c_TMAP1IN))*((c_TMAP2OUT)-(c_TMAP1OUT))+IF(((c_TMAP2OUT)-(c_TMAP1OUT))&gt;=0,1,-1)*QUOTIENT(((c_TMAP2IN)-(c_TMAP1IN)),2))+2147483648,4294967296)-2147483648,((c_TMAP2IN)-(c_TMAP1IN))*(((K205)-(c_TMAP1IN))*((c_TMAP2OUT)-(c_TMAP1OUT))+IF(((c_TMAP2OUT)-(c_TMAP1OUT))&gt;=0,1,-1)*QUOTIENT(((c_TMAP2IN)-(c_TMAP1IN)),2)))&lt;0,-1,0),IF(IF(o_WRAP=1,MOD(((c_TMAP2IN)-(c_TMAP1IN))*(((K205)-(c_TMAP1IN))*((c_TMAP2OUT)-(c_TMAP1OUT))+IF(((c_TMAP2OUT)-(c_TMAP1OUT))&gt;=0,1,-1)*QUOTIENT(((c_TMAP2IN)-(c_TMAP1IN)),2))+2147483648,4294967296)-2147483648,((c_TMAP2IN)-(c_TMAP1IN))*(((K205)-(c_TMAP1IN))*((c_TMAP2OUT)-(c_TMAP1OUT))+IF(((c_TMAP2OUT)-(c_TMAP1OUT))&gt;=0,1,-1)*QUOTIENT(((c_TMAP2IN)-(c_TMAP1IN)),2)))&gt;=0,1,0)))</f>
        <v>222</v>
      </c>
      <c r="O205" s="7" t="n">
        <f aca="false">IF(((c_TMAP3IN)-(c_TMAP2IN))=0,(c_TMAP2OUT)+QUOTIENT(((c_TMAP3OUT)-(c_TMAP2OUT)),2),QUOTIENT((((K205)-(c_TMAP2IN))*((c_TMAP3OUT)-(c_TMAP2OUT))+IF(((c_TMAP3OUT)-(c_TMAP2OUT))&gt;=0,1,-1)*QUOTIENT(((c_TMAP3IN)-(c_TMAP2IN)),2)),((c_TMAP3IN)-(c_TMAP2IN)))+(c_TMAP2OUT)+IF(((c_TMAP3OUT)-(c_TMAP2OUT))&gt;=0,IF(IF(o_WRAP=1,MOD(((c_TMAP3IN)-(c_TMAP2IN))*(((K205)-(c_TMAP2IN))*((c_TMAP3OUT)-(c_TMAP2OUT))+IF(((c_TMAP3OUT)-(c_TMAP2OUT))&gt;=0,1,-1)*QUOTIENT(((c_TMAP3IN)-(c_TMAP2IN)),2))+2147483648,4294967296)-2147483648,((c_TMAP3IN)-(c_TMAP2IN))*(((K205)-(c_TMAP2IN))*((c_TMAP3OUT)-(c_TMAP2OUT))+IF(((c_TMAP3OUT)-(c_TMAP2OUT))&gt;=0,1,-1)*QUOTIENT(((c_TMAP3IN)-(c_TMAP2IN)),2)))&lt;0,-1,0),IF(IF(o_WRAP=1,MOD(((c_TMAP3IN)-(c_TMAP2IN))*(((K205)-(c_TMAP2IN))*((c_TMAP3OUT)-(c_TMAP2OUT))+IF(((c_TMAP3OUT)-(c_TMAP2OUT))&gt;=0,1,-1)*QUOTIENT(((c_TMAP3IN)-(c_TMAP2IN)),2))+2147483648,4294967296)-2147483648,((c_TMAP3IN)-(c_TMAP2IN))*(((K205)-(c_TMAP2IN))*((c_TMAP3OUT)-(c_TMAP2OUT))+IF(((c_TMAP3OUT)-(c_TMAP2OUT))&gt;=0,1,-1)*QUOTIENT(((c_TMAP3IN)-(c_TMAP2IN)),2)))&gt;=0,1,0)))</f>
        <v>292</v>
      </c>
      <c r="P205" s="7" t="n">
        <f aca="false">IF(((1000)-(c_TMAP3IN))=0,(c_TMAP3OUT)+QUOTIENT(((1000)-(c_TMAP3OUT)),2),QUOTIENT((((K205)-(c_TMAP3IN))*((1000)-(c_TMAP3OUT))+IF(((1000)-(c_TMAP3OUT))&gt;=0,1,-1)*QUOTIENT(((1000)-(c_TMAP3IN)),2)),((1000)-(c_TMAP3IN)))+(c_TMAP3OUT)+IF(((1000)-(c_TMAP3OUT))&gt;=0,IF(IF(o_WRAP=1,MOD(((1000)-(c_TMAP3IN))*(((K205)-(c_TMAP3IN))*((1000)-(c_TMAP3OUT))+IF(((1000)-(c_TMAP3OUT))&gt;=0,1,-1)*QUOTIENT(((1000)-(c_TMAP3IN)),2))+2147483648,4294967296)-2147483648,((1000)-(c_TMAP3IN))*(((K205)-(c_TMAP3IN))*((1000)-(c_TMAP3OUT))+IF(((1000)-(c_TMAP3OUT))&gt;=0,1,-1)*QUOTIENT(((1000)-(c_TMAP3IN)),2)))&lt;0,-1,0),IF(IF(o_WRAP=1,MOD(((1000)-(c_TMAP3IN))*(((K205)-(c_TMAP3IN))*((1000)-(c_TMAP3OUT))+IF(((1000)-(c_TMAP3OUT))&gt;=0,1,-1)*QUOTIENT(((1000)-(c_TMAP3IN)),2))+2147483648,4294967296)-2147483648,((1000)-(c_TMAP3IN))*(((K205)-(c_TMAP3IN))*((1000)-(c_TMAP3OUT))+IF(((1000)-(c_TMAP3OUT))&gt;=0,1,-1)*QUOTIENT(((1000)-(c_TMAP3IN)),2)))&gt;=0,1,0)))</f>
        <v>361</v>
      </c>
      <c r="Q205" s="7" t="str">
        <f aca="false">IF(K205&gt;=c_TFWD,IF(AND(K205&gt;=c_TMAP3IN,c_TMAP3IN&lt;1000),"Seg4 map3-100%",IF(AND(K205&gt;=c_TMAP2IN,c_TMAP3IN&gt;c_TMAP2IN),"Seg3 map2-map3",IF(AND(K205&gt;=c_TMAP1IN,c_TMAP2IN&gt;c_TMAP1IN),"Seg2 map1-map2","Seg1 TFWD-map1"))),IF(AND(K205=0,c_TCREEP&gt;0),"Creep",IF(AND(K205&lt;=c_TRNGMIN,K205&gt;=c_TRNGMAX,c_TRNGMIN-c_TRNGMAX&lt;&gt;0),"Regen ramp","Coast (0)")))</f>
        <v>Seg4 map3-100%</v>
      </c>
      <c r="R205" s="7" t="n">
        <f aca="false">IF(K205&gt;=c_TFWD,IF(AND(K205&gt;=c_TMAP3IN,c_TMAP3IN&lt;1000),P205,IF(AND(K205&gt;=c_TMAP2IN,c_TMAP3IN&gt;c_TMAP2IN),O205,IF(AND(K205&gt;=c_TMAP1IN,c_TMAP2IN&gt;c_TMAP1IN),N205,M205))),L205)</f>
        <v>361</v>
      </c>
      <c r="S205" s="7" t="str">
        <f aca="false">IF(R205&lt;-1090,"TOO LOW",IF(R205&gt;1090,"TOO HIGH",""))</f>
        <v/>
      </c>
      <c r="T205" s="15" t="n">
        <f aca="false">IF(H205&lt;&gt;"OK",0,IF(S205&lt;&gt;"",0,IF(R205&gt;979,1000,R205)))</f>
        <v>361</v>
      </c>
      <c r="U205" s="7" t="n">
        <f aca="false">T205/10</f>
        <v>36.1</v>
      </c>
    </row>
    <row r="206" customFormat="false" ht="15" hidden="false" customHeight="false" outlineLevel="0" collapsed="false">
      <c r="A206" s="7" t="n">
        <v>201</v>
      </c>
      <c r="B206" s="7" t="n">
        <f aca="false">ROUND(o_SWSTART+A206*(o_SWEND-o_SWSTART)/400,0)</f>
        <v>2058</v>
      </c>
      <c r="C206" s="7" t="n">
        <f aca="false">QUOTIENT((B206-c_OFF1)*c_GAIN1,1024)</f>
        <v>2058</v>
      </c>
      <c r="D206" s="7" t="n">
        <f aca="false">IF(((c_T1MX)-(c_T1MN))=0,(0)+QUOTIENT(((1000)-(0)),2),QUOTIENT((((C206)-(c_T1MN))*((1000)-(0))+IF(((1000)-(0))&gt;=0,1,-1)*QUOTIENT(((c_T1MX)-(c_T1MN)),2)),((c_T1MX)-(c_T1MN)))+(0)+IF(((1000)-(0))&gt;=0,IF(IF(o_WRAP=1,MOD(((c_T1MX)-(c_T1MN))*(((C206)-(c_T1MN))*((1000)-(0))+IF(((1000)-(0))&gt;=0,1,-1)*QUOTIENT(((c_T1MX)-(c_T1MN)),2))+2147483648,4294967296)-2147483648,((c_T1MX)-(c_T1MN))*(((C206)-(c_T1MN))*((1000)-(0))+IF(((1000)-(0))&gt;=0,1,-1)*QUOTIENT(((c_T1MX)-(c_T1MN)),2)))&lt;0,-1,0),IF(IF(o_WRAP=1,MOD(((c_T1MX)-(c_T1MN))*(((C206)-(c_T1MN))*((1000)-(0))+IF(((1000)-(0))&gt;=0,1,-1)*QUOTIENT(((c_T1MX)-(c_T1MN)),2))+2147483648,4294967296)-2147483648,((c_T1MX)-(c_T1MN))*(((C206)-(c_T1MN))*((1000)-(0))+IF(((1000)-(0))&gt;=0,1,-1)*QUOTIENT(((c_T1MX)-(c_T1MN)),2)))&gt;=0,1,0)))</f>
        <v>485</v>
      </c>
      <c r="E206" s="7" t="n">
        <f aca="false">IF(AND(c_TPOT=1,c_TTYPE=2),1000-D206,D206)</f>
        <v>485</v>
      </c>
      <c r="F206" s="7" t="str">
        <f aca="false">IF(c_TPOT&gt;1,ROUND(IF(c_TTYPE=2,c_T2MX-IF(c_T1MX=c_T1MN,0,(C206-c_T1MN)/(c_T1MX-c_T1MN))*(c_T2MX-c_T2MN),c_T2MN+IF(c_T1MX=c_T1MN,0,(C206-c_T1MN)/(c_T1MX-c_T1MN))*(c_T2MX-c_T2MN))+o_MISMATCH,0),"")</f>
        <v/>
      </c>
      <c r="G206" s="7" t="str">
        <f aca="false">IF(c_TPOT&gt;1,IF(((c_T2MX)-(c_T2MN))=0,(0)+QUOTIENT(((1000)-(0)),2),QUOTIENT((((F206)-(c_T2MN))*((1000)-(0))+IF(((1000)-(0))&gt;=0,1,-1)*QUOTIENT(((c_T2MX)-(c_T2MN)),2)),((c_T2MX)-(c_T2MN)))+(0)+IF(((1000)-(0))&gt;=0,IF(IF(o_WRAP=1,MOD(((c_T2MX)-(c_T2MN))*(((F206)-(c_T2MN))*((1000)-(0))+IF(((1000)-(0))&gt;=0,1,-1)*QUOTIENT(((c_T2MX)-(c_T2MN)),2))+2147483648,4294967296)-2147483648,((c_T2MX)-(c_T2MN))*(((F206)-(c_T2MN))*((1000)-(0))+IF(((1000)-(0))&gt;=0,1,-1)*QUOTIENT(((c_T2MX)-(c_T2MN)),2)))&lt;0,-1,0),IF(IF(o_WRAP=1,MOD(((c_T2MX)-(c_T2MN))*(((F206)-(c_T2MN))*((1000)-(0))+IF(((1000)-(0))&gt;=0,1,-1)*QUOTIENT(((c_T2MX)-(c_T2MN)),2))+2147483648,4294967296)-2147483648,((c_T2MX)-(c_T2MN))*(((F206)-(c_T2MN))*((1000)-(0))+IF(((1000)-(0))&gt;=0,1,-1)*QUOTIENT(((c_T2MX)-(c_T2MN)),2)))&gt;=0,1,0))),"")</f>
        <v/>
      </c>
      <c r="H206" s="7" t="str">
        <f aca="false">IF(E206&gt;1000+k_TOL,"T1 HIGH",IF(E206&lt;0-k_TOL,"T1 LOW",IF(c_TPOT&gt;1,IF(G206&gt;1000+k_TOL,"T2 HIGH",IF(G206&lt;0-k_TOL,"T2 LOW",IF(c_TTYPE=2,IF(ABS(1000-MAX(0,MIN(1000,E206))-MAX(0,MIN(1000,G206)))&gt;k_MAXERR,"MISMATCH","OK"),IF(OR(MAX(0,MIN(1000,E206))-k_MAXERR&gt;MAX(0,MIN(1000,G206)),MAX(0,MIN(1000,G206))-k_MAXERR&gt;MAX(0,MIN(1000,E206))),"MISMATCH","OK")))),"OK")))</f>
        <v>OK</v>
      </c>
      <c r="I206" s="7" t="n">
        <f aca="false">MAX(0,MIN(1000,D206))</f>
        <v>485</v>
      </c>
      <c r="J206" s="7" t="str">
        <f aca="false">IF(c_TPOT&gt;1,IF(c_TTYPE=2,1000-MAX(0,MIN(1000,G206)),MAX(0,MIN(1000,G206))),"")</f>
        <v/>
      </c>
      <c r="K206" s="7" t="n">
        <f aca="false">IF(c_TPOT&gt;1,QUOTIENT(I206+J206,2),I206)</f>
        <v>485</v>
      </c>
      <c r="L206" s="7" t="n">
        <f aca="false">IF(AND(K206=0,c_TCREEP&gt;0),10*c_TCREEP,IF(AND(K206&lt;=c_TRNGMIN,K206&gt;=c_TRNGMAX,c_TRNGMIN-c_TRNGMAX&lt;&gt;0),-10*c_TMINRN+QUOTIENT((c_TMAXRN-c_TMINRN)*(100-QUOTIENT((K206-c_TRNGMAX)*100,c_TRNGMIN-c_TRNGMAX)),-10),0))</f>
        <v>0</v>
      </c>
      <c r="M206" s="7" t="n">
        <f aca="false">IF(((c_TMAP1IN)-(c_TFWD))=0,(0)+QUOTIENT(((c_TMAP1OUT)-(0)),2),QUOTIENT((((K206)-(c_TFWD))*((c_TMAP1OUT)-(0))+IF(((c_TMAP1OUT)-(0))&gt;=0,1,-1)*QUOTIENT(((c_TMAP1IN)-(c_TFWD)),2)),((c_TMAP1IN)-(c_TFWD)))+(0)+IF(((c_TMAP1OUT)-(0))&gt;=0,IF(IF(o_WRAP=1,MOD(((c_TMAP1IN)-(c_TFWD))*(((K206)-(c_TFWD))*((c_TMAP1OUT)-(0))+IF(((c_TMAP1OUT)-(0))&gt;=0,1,-1)*QUOTIENT(((c_TMAP1IN)-(c_TFWD)),2))+2147483648,4294967296)-2147483648,((c_TMAP1IN)-(c_TFWD))*(((K206)-(c_TFWD))*((c_TMAP1OUT)-(0))+IF(((c_TMAP1OUT)-(0))&gt;=0,1,-1)*QUOTIENT(((c_TMAP1IN)-(c_TFWD)),2)))&lt;0,-1,0),IF(IF(o_WRAP=1,MOD(((c_TMAP1IN)-(c_TFWD))*(((K206)-(c_TFWD))*((c_TMAP1OUT)-(0))+IF(((c_TMAP1OUT)-(0))&gt;=0,1,-1)*QUOTIENT(((c_TMAP1IN)-(c_TFWD)),2))+2147483648,4294967296)-2147483648,((c_TMAP1IN)-(c_TFWD))*(((K206)-(c_TFWD))*((c_TMAP1OUT)-(0))+IF(((c_TMAP1OUT)-(0))&gt;=0,1,-1)*QUOTIENT(((c_TMAP1IN)-(c_TFWD)),2)))&gt;=0,1,0)))</f>
        <v>369</v>
      </c>
      <c r="N206" s="7" t="n">
        <f aca="false">IF(((c_TMAP2IN)-(c_TMAP1IN))=0,(c_TMAP1OUT)+QUOTIENT(((c_TMAP2OUT)-(c_TMAP1OUT)),2),QUOTIENT((((K206)-(c_TMAP1IN))*((c_TMAP2OUT)-(c_TMAP1OUT))+IF(((c_TMAP2OUT)-(c_TMAP1OUT))&gt;=0,1,-1)*QUOTIENT(((c_TMAP2IN)-(c_TMAP1IN)),2)),((c_TMAP2IN)-(c_TMAP1IN)))+(c_TMAP1OUT)+IF(((c_TMAP2OUT)-(c_TMAP1OUT))&gt;=0,IF(IF(o_WRAP=1,MOD(((c_TMAP2IN)-(c_TMAP1IN))*(((K206)-(c_TMAP1IN))*((c_TMAP2OUT)-(c_TMAP1OUT))+IF(((c_TMAP2OUT)-(c_TMAP1OUT))&gt;=0,1,-1)*QUOTIENT(((c_TMAP2IN)-(c_TMAP1IN)),2))+2147483648,4294967296)-2147483648,((c_TMAP2IN)-(c_TMAP1IN))*(((K206)-(c_TMAP1IN))*((c_TMAP2OUT)-(c_TMAP1OUT))+IF(((c_TMAP2OUT)-(c_TMAP1OUT))&gt;=0,1,-1)*QUOTIENT(((c_TMAP2IN)-(c_TMAP1IN)),2)))&lt;0,-1,0),IF(IF(o_WRAP=1,MOD(((c_TMAP2IN)-(c_TMAP1IN))*(((K206)-(c_TMAP1IN))*((c_TMAP2OUT)-(c_TMAP1OUT))+IF(((c_TMAP2OUT)-(c_TMAP1OUT))&gt;=0,1,-1)*QUOTIENT(((c_TMAP2IN)-(c_TMAP1IN)),2))+2147483648,4294967296)-2147483648,((c_TMAP2IN)-(c_TMAP1IN))*(((K206)-(c_TMAP1IN))*((c_TMAP2OUT)-(c_TMAP1OUT))+IF(((c_TMAP2OUT)-(c_TMAP1OUT))&gt;=0,1,-1)*QUOTIENT(((c_TMAP2IN)-(c_TMAP1IN)),2)))&gt;=0,1,0)))</f>
        <v>224</v>
      </c>
      <c r="O206" s="7" t="n">
        <f aca="false">IF(((c_TMAP3IN)-(c_TMAP2IN))=0,(c_TMAP2OUT)+QUOTIENT(((c_TMAP3OUT)-(c_TMAP2OUT)),2),QUOTIENT((((K206)-(c_TMAP2IN))*((c_TMAP3OUT)-(c_TMAP2OUT))+IF(((c_TMAP3OUT)-(c_TMAP2OUT))&gt;=0,1,-1)*QUOTIENT(((c_TMAP3IN)-(c_TMAP2IN)),2)),((c_TMAP3IN)-(c_TMAP2IN)))+(c_TMAP2OUT)+IF(((c_TMAP3OUT)-(c_TMAP2OUT))&gt;=0,IF(IF(o_WRAP=1,MOD(((c_TMAP3IN)-(c_TMAP2IN))*(((K206)-(c_TMAP2IN))*((c_TMAP3OUT)-(c_TMAP2OUT))+IF(((c_TMAP3OUT)-(c_TMAP2OUT))&gt;=0,1,-1)*QUOTIENT(((c_TMAP3IN)-(c_TMAP2IN)),2))+2147483648,4294967296)-2147483648,((c_TMAP3IN)-(c_TMAP2IN))*(((K206)-(c_TMAP2IN))*((c_TMAP3OUT)-(c_TMAP2OUT))+IF(((c_TMAP3OUT)-(c_TMAP2OUT))&gt;=0,1,-1)*QUOTIENT(((c_TMAP3IN)-(c_TMAP2IN)),2)))&lt;0,-1,0),IF(IF(o_WRAP=1,MOD(((c_TMAP3IN)-(c_TMAP2IN))*(((K206)-(c_TMAP2IN))*((c_TMAP3OUT)-(c_TMAP2OUT))+IF(((c_TMAP3OUT)-(c_TMAP2OUT))&gt;=0,1,-1)*QUOTIENT(((c_TMAP3IN)-(c_TMAP2IN)),2))+2147483648,4294967296)-2147483648,((c_TMAP3IN)-(c_TMAP2IN))*(((K206)-(c_TMAP2IN))*((c_TMAP3OUT)-(c_TMAP2OUT))+IF(((c_TMAP3OUT)-(c_TMAP2OUT))&gt;=0,1,-1)*QUOTIENT(((c_TMAP3IN)-(c_TMAP2IN)),2)))&gt;=0,1,0)))</f>
        <v>295</v>
      </c>
      <c r="P206" s="7" t="n">
        <f aca="false">IF(((1000)-(c_TMAP3IN))=0,(c_TMAP3OUT)+QUOTIENT(((1000)-(c_TMAP3OUT)),2),QUOTIENT((((K206)-(c_TMAP3IN))*((1000)-(c_TMAP3OUT))+IF(((1000)-(c_TMAP3OUT))&gt;=0,1,-1)*QUOTIENT(((1000)-(c_TMAP3IN)),2)),((1000)-(c_TMAP3IN)))+(c_TMAP3OUT)+IF(((1000)-(c_TMAP3OUT))&gt;=0,IF(IF(o_WRAP=1,MOD(((1000)-(c_TMAP3IN))*(((K206)-(c_TMAP3IN))*((1000)-(c_TMAP3OUT))+IF(((1000)-(c_TMAP3OUT))&gt;=0,1,-1)*QUOTIENT(((1000)-(c_TMAP3IN)),2))+2147483648,4294967296)-2147483648,((1000)-(c_TMAP3IN))*(((K206)-(c_TMAP3IN))*((1000)-(c_TMAP3OUT))+IF(((1000)-(c_TMAP3OUT))&gt;=0,1,-1)*QUOTIENT(((1000)-(c_TMAP3IN)),2)))&lt;0,-1,0),IF(IF(o_WRAP=1,MOD(((1000)-(c_TMAP3IN))*(((K206)-(c_TMAP3IN))*((1000)-(c_TMAP3OUT))+IF(((1000)-(c_TMAP3OUT))&gt;=0,1,-1)*QUOTIENT(((1000)-(c_TMAP3IN)),2))+2147483648,4294967296)-2147483648,((1000)-(c_TMAP3IN))*(((K206)-(c_TMAP3IN))*((1000)-(c_TMAP3OUT))+IF(((1000)-(c_TMAP3OUT))&gt;=0,1,-1)*QUOTIENT(((1000)-(c_TMAP3IN)),2)))&gt;=0,1,0)))</f>
        <v>366</v>
      </c>
      <c r="Q206" s="7" t="str">
        <f aca="false">IF(K206&gt;=c_TFWD,IF(AND(K206&gt;=c_TMAP3IN,c_TMAP3IN&lt;1000),"Seg4 map3-100%",IF(AND(K206&gt;=c_TMAP2IN,c_TMAP3IN&gt;c_TMAP2IN),"Seg3 map2-map3",IF(AND(K206&gt;=c_TMAP1IN,c_TMAP2IN&gt;c_TMAP1IN),"Seg2 map1-map2","Seg1 TFWD-map1"))),IF(AND(K206=0,c_TCREEP&gt;0),"Creep",IF(AND(K206&lt;=c_TRNGMIN,K206&gt;=c_TRNGMAX,c_TRNGMIN-c_TRNGMAX&lt;&gt;0),"Regen ramp","Coast (0)")))</f>
        <v>Seg4 map3-100%</v>
      </c>
      <c r="R206" s="7" t="n">
        <f aca="false">IF(K206&gt;=c_TFWD,IF(AND(K206&gt;=c_TMAP3IN,c_TMAP3IN&lt;1000),P206,IF(AND(K206&gt;=c_TMAP2IN,c_TMAP3IN&gt;c_TMAP2IN),O206,IF(AND(K206&gt;=c_TMAP1IN,c_TMAP2IN&gt;c_TMAP1IN),N206,M206))),L206)</f>
        <v>366</v>
      </c>
      <c r="S206" s="7" t="str">
        <f aca="false">IF(R206&lt;-1090,"TOO LOW",IF(R206&gt;1090,"TOO HIGH",""))</f>
        <v/>
      </c>
      <c r="T206" s="15" t="n">
        <f aca="false">IF(H206&lt;&gt;"OK",0,IF(S206&lt;&gt;"",0,IF(R206&gt;979,1000,R206)))</f>
        <v>366</v>
      </c>
      <c r="U206" s="7" t="n">
        <f aca="false">T206/10</f>
        <v>36.6</v>
      </c>
    </row>
    <row r="207" customFormat="false" ht="15" hidden="false" customHeight="false" outlineLevel="0" collapsed="false">
      <c r="A207" s="7" t="n">
        <v>202</v>
      </c>
      <c r="B207" s="7" t="n">
        <f aca="false">ROUND(o_SWSTART+A207*(o_SWEND-o_SWSTART)/400,0)</f>
        <v>2068</v>
      </c>
      <c r="C207" s="7" t="n">
        <f aca="false">QUOTIENT((B207-c_OFF1)*c_GAIN1,1024)</f>
        <v>2068</v>
      </c>
      <c r="D207" s="7" t="n">
        <f aca="false">IF(((c_T1MX)-(c_T1MN))=0,(0)+QUOTIENT(((1000)-(0)),2),QUOTIENT((((C207)-(c_T1MN))*((1000)-(0))+IF(((1000)-(0))&gt;=0,1,-1)*QUOTIENT(((c_T1MX)-(c_T1MN)),2)),((c_T1MX)-(c_T1MN)))+(0)+IF(((1000)-(0))&gt;=0,IF(IF(o_WRAP=1,MOD(((c_T1MX)-(c_T1MN))*(((C207)-(c_T1MN))*((1000)-(0))+IF(((1000)-(0))&gt;=0,1,-1)*QUOTIENT(((c_T1MX)-(c_T1MN)),2))+2147483648,4294967296)-2147483648,((c_T1MX)-(c_T1MN))*(((C207)-(c_T1MN))*((1000)-(0))+IF(((1000)-(0))&gt;=0,1,-1)*QUOTIENT(((c_T1MX)-(c_T1MN)),2)))&lt;0,-1,0),IF(IF(o_WRAP=1,MOD(((c_T1MX)-(c_T1MN))*(((C207)-(c_T1MN))*((1000)-(0))+IF(((1000)-(0))&gt;=0,1,-1)*QUOTIENT(((c_T1MX)-(c_T1MN)),2))+2147483648,4294967296)-2147483648,((c_T1MX)-(c_T1MN))*(((C207)-(c_T1MN))*((1000)-(0))+IF(((1000)-(0))&gt;=0,1,-1)*QUOTIENT(((c_T1MX)-(c_T1MN)),2)))&gt;=0,1,0)))</f>
        <v>489</v>
      </c>
      <c r="E207" s="7" t="n">
        <f aca="false">IF(AND(c_TPOT=1,c_TTYPE=2),1000-D207,D207)</f>
        <v>489</v>
      </c>
      <c r="F207" s="7" t="str">
        <f aca="false">IF(c_TPOT&gt;1,ROUND(IF(c_TTYPE=2,c_T2MX-IF(c_T1MX=c_T1MN,0,(C207-c_T1MN)/(c_T1MX-c_T1MN))*(c_T2MX-c_T2MN),c_T2MN+IF(c_T1MX=c_T1MN,0,(C207-c_T1MN)/(c_T1MX-c_T1MN))*(c_T2MX-c_T2MN))+o_MISMATCH,0),"")</f>
        <v/>
      </c>
      <c r="G207" s="7" t="str">
        <f aca="false">IF(c_TPOT&gt;1,IF(((c_T2MX)-(c_T2MN))=0,(0)+QUOTIENT(((1000)-(0)),2),QUOTIENT((((F207)-(c_T2MN))*((1000)-(0))+IF(((1000)-(0))&gt;=0,1,-1)*QUOTIENT(((c_T2MX)-(c_T2MN)),2)),((c_T2MX)-(c_T2MN)))+(0)+IF(((1000)-(0))&gt;=0,IF(IF(o_WRAP=1,MOD(((c_T2MX)-(c_T2MN))*(((F207)-(c_T2MN))*((1000)-(0))+IF(((1000)-(0))&gt;=0,1,-1)*QUOTIENT(((c_T2MX)-(c_T2MN)),2))+2147483648,4294967296)-2147483648,((c_T2MX)-(c_T2MN))*(((F207)-(c_T2MN))*((1000)-(0))+IF(((1000)-(0))&gt;=0,1,-1)*QUOTIENT(((c_T2MX)-(c_T2MN)),2)))&lt;0,-1,0),IF(IF(o_WRAP=1,MOD(((c_T2MX)-(c_T2MN))*(((F207)-(c_T2MN))*((1000)-(0))+IF(((1000)-(0))&gt;=0,1,-1)*QUOTIENT(((c_T2MX)-(c_T2MN)),2))+2147483648,4294967296)-2147483648,((c_T2MX)-(c_T2MN))*(((F207)-(c_T2MN))*((1000)-(0))+IF(((1000)-(0))&gt;=0,1,-1)*QUOTIENT(((c_T2MX)-(c_T2MN)),2)))&gt;=0,1,0))),"")</f>
        <v/>
      </c>
      <c r="H207" s="7" t="str">
        <f aca="false">IF(E207&gt;1000+k_TOL,"T1 HIGH",IF(E207&lt;0-k_TOL,"T1 LOW",IF(c_TPOT&gt;1,IF(G207&gt;1000+k_TOL,"T2 HIGH",IF(G207&lt;0-k_TOL,"T2 LOW",IF(c_TTYPE=2,IF(ABS(1000-MAX(0,MIN(1000,E207))-MAX(0,MIN(1000,G207)))&gt;k_MAXERR,"MISMATCH","OK"),IF(OR(MAX(0,MIN(1000,E207))-k_MAXERR&gt;MAX(0,MIN(1000,G207)),MAX(0,MIN(1000,G207))-k_MAXERR&gt;MAX(0,MIN(1000,E207))),"MISMATCH","OK")))),"OK")))</f>
        <v>OK</v>
      </c>
      <c r="I207" s="7" t="n">
        <f aca="false">MAX(0,MIN(1000,D207))</f>
        <v>489</v>
      </c>
      <c r="J207" s="7" t="str">
        <f aca="false">IF(c_TPOT&gt;1,IF(c_TTYPE=2,1000-MAX(0,MIN(1000,G207)),MAX(0,MIN(1000,G207))),"")</f>
        <v/>
      </c>
      <c r="K207" s="7" t="n">
        <f aca="false">IF(c_TPOT&gt;1,QUOTIENT(I207+J207,2),I207)</f>
        <v>489</v>
      </c>
      <c r="L207" s="7" t="n">
        <f aca="false">IF(AND(K207=0,c_TCREEP&gt;0),10*c_TCREEP,IF(AND(K207&lt;=c_TRNGMIN,K207&gt;=c_TRNGMAX,c_TRNGMIN-c_TRNGMAX&lt;&gt;0),-10*c_TMINRN+QUOTIENT((c_TMAXRN-c_TMINRN)*(100-QUOTIENT((K207-c_TRNGMAX)*100,c_TRNGMIN-c_TRNGMAX)),-10),0))</f>
        <v>0</v>
      </c>
      <c r="M207" s="7" t="n">
        <f aca="false">IF(((c_TMAP1IN)-(c_TFWD))=0,(0)+QUOTIENT(((c_TMAP1OUT)-(0)),2),QUOTIENT((((K207)-(c_TFWD))*((c_TMAP1OUT)-(0))+IF(((c_TMAP1OUT)-(0))&gt;=0,1,-1)*QUOTIENT(((c_TMAP1IN)-(c_TFWD)),2)),((c_TMAP1IN)-(c_TFWD)))+(0)+IF(((c_TMAP1OUT)-(0))&gt;=0,IF(IF(o_WRAP=1,MOD(((c_TMAP1IN)-(c_TFWD))*(((K207)-(c_TFWD))*((c_TMAP1OUT)-(0))+IF(((c_TMAP1OUT)-(0))&gt;=0,1,-1)*QUOTIENT(((c_TMAP1IN)-(c_TFWD)),2))+2147483648,4294967296)-2147483648,((c_TMAP1IN)-(c_TFWD))*(((K207)-(c_TFWD))*((c_TMAP1OUT)-(0))+IF(((c_TMAP1OUT)-(0))&gt;=0,1,-1)*QUOTIENT(((c_TMAP1IN)-(c_TFWD)),2)))&lt;0,-1,0),IF(IF(o_WRAP=1,MOD(((c_TMAP1IN)-(c_TFWD))*(((K207)-(c_TFWD))*((c_TMAP1OUT)-(0))+IF(((c_TMAP1OUT)-(0))&gt;=0,1,-1)*QUOTIENT(((c_TMAP1IN)-(c_TFWD)),2))+2147483648,4294967296)-2147483648,((c_TMAP1IN)-(c_TFWD))*(((K207)-(c_TFWD))*((c_TMAP1OUT)-(0))+IF(((c_TMAP1OUT)-(0))&gt;=0,1,-1)*QUOTIENT(((c_TMAP1IN)-(c_TFWD)),2)))&gt;=0,1,0)))</f>
        <v>373</v>
      </c>
      <c r="N207" s="7" t="n">
        <f aca="false">IF(((c_TMAP2IN)-(c_TMAP1IN))=0,(c_TMAP1OUT)+QUOTIENT(((c_TMAP2OUT)-(c_TMAP1OUT)),2),QUOTIENT((((K207)-(c_TMAP1IN))*((c_TMAP2OUT)-(c_TMAP1OUT))+IF(((c_TMAP2OUT)-(c_TMAP1OUT))&gt;=0,1,-1)*QUOTIENT(((c_TMAP2IN)-(c_TMAP1IN)),2)),((c_TMAP2IN)-(c_TMAP1IN)))+(c_TMAP1OUT)+IF(((c_TMAP2OUT)-(c_TMAP1OUT))&gt;=0,IF(IF(o_WRAP=1,MOD(((c_TMAP2IN)-(c_TMAP1IN))*(((K207)-(c_TMAP1IN))*((c_TMAP2OUT)-(c_TMAP1OUT))+IF(((c_TMAP2OUT)-(c_TMAP1OUT))&gt;=0,1,-1)*QUOTIENT(((c_TMAP2IN)-(c_TMAP1IN)),2))+2147483648,4294967296)-2147483648,((c_TMAP2IN)-(c_TMAP1IN))*(((K207)-(c_TMAP1IN))*((c_TMAP2OUT)-(c_TMAP1OUT))+IF(((c_TMAP2OUT)-(c_TMAP1OUT))&gt;=0,1,-1)*QUOTIENT(((c_TMAP2IN)-(c_TMAP1IN)),2)))&lt;0,-1,0),IF(IF(o_WRAP=1,MOD(((c_TMAP2IN)-(c_TMAP1IN))*(((K207)-(c_TMAP1IN))*((c_TMAP2OUT)-(c_TMAP1OUT))+IF(((c_TMAP2OUT)-(c_TMAP1OUT))&gt;=0,1,-1)*QUOTIENT(((c_TMAP2IN)-(c_TMAP1IN)),2))+2147483648,4294967296)-2147483648,((c_TMAP2IN)-(c_TMAP1IN))*(((K207)-(c_TMAP1IN))*((c_TMAP2OUT)-(c_TMAP1OUT))+IF(((c_TMAP2OUT)-(c_TMAP1OUT))&gt;=0,1,-1)*QUOTIENT(((c_TMAP2IN)-(c_TMAP1IN)),2)))&gt;=0,1,0)))</f>
        <v>226</v>
      </c>
      <c r="O207" s="7" t="n">
        <f aca="false">IF(((c_TMAP3IN)-(c_TMAP2IN))=0,(c_TMAP2OUT)+QUOTIENT(((c_TMAP3OUT)-(c_TMAP2OUT)),2),QUOTIENT((((K207)-(c_TMAP2IN))*((c_TMAP3OUT)-(c_TMAP2OUT))+IF(((c_TMAP3OUT)-(c_TMAP2OUT))&gt;=0,1,-1)*QUOTIENT(((c_TMAP3IN)-(c_TMAP2IN)),2)),((c_TMAP3IN)-(c_TMAP2IN)))+(c_TMAP2OUT)+IF(((c_TMAP3OUT)-(c_TMAP2OUT))&gt;=0,IF(IF(o_WRAP=1,MOD(((c_TMAP3IN)-(c_TMAP2IN))*(((K207)-(c_TMAP2IN))*((c_TMAP3OUT)-(c_TMAP2OUT))+IF(((c_TMAP3OUT)-(c_TMAP2OUT))&gt;=0,1,-1)*QUOTIENT(((c_TMAP3IN)-(c_TMAP2IN)),2))+2147483648,4294967296)-2147483648,((c_TMAP3IN)-(c_TMAP2IN))*(((K207)-(c_TMAP2IN))*((c_TMAP3OUT)-(c_TMAP2OUT))+IF(((c_TMAP3OUT)-(c_TMAP2OUT))&gt;=0,1,-1)*QUOTIENT(((c_TMAP3IN)-(c_TMAP2IN)),2)))&lt;0,-1,0),IF(IF(o_WRAP=1,MOD(((c_TMAP3IN)-(c_TMAP2IN))*(((K207)-(c_TMAP2IN))*((c_TMAP3OUT)-(c_TMAP2OUT))+IF(((c_TMAP3OUT)-(c_TMAP2OUT))&gt;=0,1,-1)*QUOTIENT(((c_TMAP3IN)-(c_TMAP2IN)),2))+2147483648,4294967296)-2147483648,((c_TMAP3IN)-(c_TMAP2IN))*(((K207)-(c_TMAP2IN))*((c_TMAP3OUT)-(c_TMAP2OUT))+IF(((c_TMAP3OUT)-(c_TMAP2OUT))&gt;=0,1,-1)*QUOTIENT(((c_TMAP3IN)-(c_TMAP2IN)),2)))&gt;=0,1,0)))</f>
        <v>297</v>
      </c>
      <c r="P207" s="7" t="n">
        <f aca="false">IF(((1000)-(c_TMAP3IN))=0,(c_TMAP3OUT)+QUOTIENT(((1000)-(c_TMAP3OUT)),2),QUOTIENT((((K207)-(c_TMAP3IN))*((1000)-(c_TMAP3OUT))+IF(((1000)-(c_TMAP3OUT))&gt;=0,1,-1)*QUOTIENT(((1000)-(c_TMAP3IN)),2)),((1000)-(c_TMAP3IN)))+(c_TMAP3OUT)+IF(((1000)-(c_TMAP3OUT))&gt;=0,IF(IF(o_WRAP=1,MOD(((1000)-(c_TMAP3IN))*(((K207)-(c_TMAP3IN))*((1000)-(c_TMAP3OUT))+IF(((1000)-(c_TMAP3OUT))&gt;=0,1,-1)*QUOTIENT(((1000)-(c_TMAP3IN)),2))+2147483648,4294967296)-2147483648,((1000)-(c_TMAP3IN))*(((K207)-(c_TMAP3IN))*((1000)-(c_TMAP3OUT))+IF(((1000)-(c_TMAP3OUT))&gt;=0,1,-1)*QUOTIENT(((1000)-(c_TMAP3IN)),2)))&lt;0,-1,0),IF(IF(o_WRAP=1,MOD(((1000)-(c_TMAP3IN))*(((K207)-(c_TMAP3IN))*((1000)-(c_TMAP3OUT))+IF(((1000)-(c_TMAP3OUT))&gt;=0,1,-1)*QUOTIENT(((1000)-(c_TMAP3IN)),2))+2147483648,4294967296)-2147483648,((1000)-(c_TMAP3IN))*(((K207)-(c_TMAP3IN))*((1000)-(c_TMAP3OUT))+IF(((1000)-(c_TMAP3OUT))&gt;=0,1,-1)*QUOTIENT(((1000)-(c_TMAP3IN)),2)))&gt;=0,1,0)))</f>
        <v>371</v>
      </c>
      <c r="Q207" s="7" t="str">
        <f aca="false">IF(K207&gt;=c_TFWD,IF(AND(K207&gt;=c_TMAP3IN,c_TMAP3IN&lt;1000),"Seg4 map3-100%",IF(AND(K207&gt;=c_TMAP2IN,c_TMAP3IN&gt;c_TMAP2IN),"Seg3 map2-map3",IF(AND(K207&gt;=c_TMAP1IN,c_TMAP2IN&gt;c_TMAP1IN),"Seg2 map1-map2","Seg1 TFWD-map1"))),IF(AND(K207=0,c_TCREEP&gt;0),"Creep",IF(AND(K207&lt;=c_TRNGMIN,K207&gt;=c_TRNGMAX,c_TRNGMIN-c_TRNGMAX&lt;&gt;0),"Regen ramp","Coast (0)")))</f>
        <v>Seg4 map3-100%</v>
      </c>
      <c r="R207" s="7" t="n">
        <f aca="false">IF(K207&gt;=c_TFWD,IF(AND(K207&gt;=c_TMAP3IN,c_TMAP3IN&lt;1000),P207,IF(AND(K207&gt;=c_TMAP2IN,c_TMAP3IN&gt;c_TMAP2IN),O207,IF(AND(K207&gt;=c_TMAP1IN,c_TMAP2IN&gt;c_TMAP1IN),N207,M207))),L207)</f>
        <v>371</v>
      </c>
      <c r="S207" s="7" t="str">
        <f aca="false">IF(R207&lt;-1090,"TOO LOW",IF(R207&gt;1090,"TOO HIGH",""))</f>
        <v/>
      </c>
      <c r="T207" s="15" t="n">
        <f aca="false">IF(H207&lt;&gt;"OK",0,IF(S207&lt;&gt;"",0,IF(R207&gt;979,1000,R207)))</f>
        <v>371</v>
      </c>
      <c r="U207" s="7" t="n">
        <f aca="false">T207/10</f>
        <v>37.1</v>
      </c>
    </row>
    <row r="208" customFormat="false" ht="15" hidden="false" customHeight="false" outlineLevel="0" collapsed="false">
      <c r="A208" s="7" t="n">
        <v>203</v>
      </c>
      <c r="B208" s="7" t="n">
        <f aca="false">ROUND(o_SWSTART+A208*(o_SWEND-o_SWSTART)/400,0)</f>
        <v>2078</v>
      </c>
      <c r="C208" s="7" t="n">
        <f aca="false">QUOTIENT((B208-c_OFF1)*c_GAIN1,1024)</f>
        <v>2078</v>
      </c>
      <c r="D208" s="7" t="n">
        <f aca="false">IF(((c_T1MX)-(c_T1MN))=0,(0)+QUOTIENT(((1000)-(0)),2),QUOTIENT((((C208)-(c_T1MN))*((1000)-(0))+IF(((1000)-(0))&gt;=0,1,-1)*QUOTIENT(((c_T1MX)-(c_T1MN)),2)),((c_T1MX)-(c_T1MN)))+(0)+IF(((1000)-(0))&gt;=0,IF(IF(o_WRAP=1,MOD(((c_T1MX)-(c_T1MN))*(((C208)-(c_T1MN))*((1000)-(0))+IF(((1000)-(0))&gt;=0,1,-1)*QUOTIENT(((c_T1MX)-(c_T1MN)),2))+2147483648,4294967296)-2147483648,((c_T1MX)-(c_T1MN))*(((C208)-(c_T1MN))*((1000)-(0))+IF(((1000)-(0))&gt;=0,1,-1)*QUOTIENT(((c_T1MX)-(c_T1MN)),2)))&lt;0,-1,0),IF(IF(o_WRAP=1,MOD(((c_T1MX)-(c_T1MN))*(((C208)-(c_T1MN))*((1000)-(0))+IF(((1000)-(0))&gt;=0,1,-1)*QUOTIENT(((c_T1MX)-(c_T1MN)),2))+2147483648,4294967296)-2147483648,((c_T1MX)-(c_T1MN))*(((C208)-(c_T1MN))*((1000)-(0))+IF(((1000)-(0))&gt;=0,1,-1)*QUOTIENT(((c_T1MX)-(c_T1MN)),2)))&gt;=0,1,0)))</f>
        <v>492</v>
      </c>
      <c r="E208" s="7" t="n">
        <f aca="false">IF(AND(c_TPOT=1,c_TTYPE=2),1000-D208,D208)</f>
        <v>492</v>
      </c>
      <c r="F208" s="7" t="str">
        <f aca="false">IF(c_TPOT&gt;1,ROUND(IF(c_TTYPE=2,c_T2MX-IF(c_T1MX=c_T1MN,0,(C208-c_T1MN)/(c_T1MX-c_T1MN))*(c_T2MX-c_T2MN),c_T2MN+IF(c_T1MX=c_T1MN,0,(C208-c_T1MN)/(c_T1MX-c_T1MN))*(c_T2MX-c_T2MN))+o_MISMATCH,0),"")</f>
        <v/>
      </c>
      <c r="G208" s="7" t="str">
        <f aca="false">IF(c_TPOT&gt;1,IF(((c_T2MX)-(c_T2MN))=0,(0)+QUOTIENT(((1000)-(0)),2),QUOTIENT((((F208)-(c_T2MN))*((1000)-(0))+IF(((1000)-(0))&gt;=0,1,-1)*QUOTIENT(((c_T2MX)-(c_T2MN)),2)),((c_T2MX)-(c_T2MN)))+(0)+IF(((1000)-(0))&gt;=0,IF(IF(o_WRAP=1,MOD(((c_T2MX)-(c_T2MN))*(((F208)-(c_T2MN))*((1000)-(0))+IF(((1000)-(0))&gt;=0,1,-1)*QUOTIENT(((c_T2MX)-(c_T2MN)),2))+2147483648,4294967296)-2147483648,((c_T2MX)-(c_T2MN))*(((F208)-(c_T2MN))*((1000)-(0))+IF(((1000)-(0))&gt;=0,1,-1)*QUOTIENT(((c_T2MX)-(c_T2MN)),2)))&lt;0,-1,0),IF(IF(o_WRAP=1,MOD(((c_T2MX)-(c_T2MN))*(((F208)-(c_T2MN))*((1000)-(0))+IF(((1000)-(0))&gt;=0,1,-1)*QUOTIENT(((c_T2MX)-(c_T2MN)),2))+2147483648,4294967296)-2147483648,((c_T2MX)-(c_T2MN))*(((F208)-(c_T2MN))*((1000)-(0))+IF(((1000)-(0))&gt;=0,1,-1)*QUOTIENT(((c_T2MX)-(c_T2MN)),2)))&gt;=0,1,0))),"")</f>
        <v/>
      </c>
      <c r="H208" s="7" t="str">
        <f aca="false">IF(E208&gt;1000+k_TOL,"T1 HIGH",IF(E208&lt;0-k_TOL,"T1 LOW",IF(c_TPOT&gt;1,IF(G208&gt;1000+k_TOL,"T2 HIGH",IF(G208&lt;0-k_TOL,"T2 LOW",IF(c_TTYPE=2,IF(ABS(1000-MAX(0,MIN(1000,E208))-MAX(0,MIN(1000,G208)))&gt;k_MAXERR,"MISMATCH","OK"),IF(OR(MAX(0,MIN(1000,E208))-k_MAXERR&gt;MAX(0,MIN(1000,G208)),MAX(0,MIN(1000,G208))-k_MAXERR&gt;MAX(0,MIN(1000,E208))),"MISMATCH","OK")))),"OK")))</f>
        <v>OK</v>
      </c>
      <c r="I208" s="7" t="n">
        <f aca="false">MAX(0,MIN(1000,D208))</f>
        <v>492</v>
      </c>
      <c r="J208" s="7" t="str">
        <f aca="false">IF(c_TPOT&gt;1,IF(c_TTYPE=2,1000-MAX(0,MIN(1000,G208)),MAX(0,MIN(1000,G208))),"")</f>
        <v/>
      </c>
      <c r="K208" s="7" t="n">
        <f aca="false">IF(c_TPOT&gt;1,QUOTIENT(I208+J208,2),I208)</f>
        <v>492</v>
      </c>
      <c r="L208" s="7" t="n">
        <f aca="false">IF(AND(K208=0,c_TCREEP&gt;0),10*c_TCREEP,IF(AND(K208&lt;=c_TRNGMIN,K208&gt;=c_TRNGMAX,c_TRNGMIN-c_TRNGMAX&lt;&gt;0),-10*c_TMINRN+QUOTIENT((c_TMAXRN-c_TMINRN)*(100-QUOTIENT((K208-c_TRNGMAX)*100,c_TRNGMIN-c_TRNGMAX)),-10),0))</f>
        <v>0</v>
      </c>
      <c r="M208" s="7" t="n">
        <f aca="false">IF(((c_TMAP1IN)-(c_TFWD))=0,(0)+QUOTIENT(((c_TMAP1OUT)-(0)),2),QUOTIENT((((K208)-(c_TFWD))*((c_TMAP1OUT)-(0))+IF(((c_TMAP1OUT)-(0))&gt;=0,1,-1)*QUOTIENT(((c_TMAP1IN)-(c_TFWD)),2)),((c_TMAP1IN)-(c_TFWD)))+(0)+IF(((c_TMAP1OUT)-(0))&gt;=0,IF(IF(o_WRAP=1,MOD(((c_TMAP1IN)-(c_TFWD))*(((K208)-(c_TFWD))*((c_TMAP1OUT)-(0))+IF(((c_TMAP1OUT)-(0))&gt;=0,1,-1)*QUOTIENT(((c_TMAP1IN)-(c_TFWD)),2))+2147483648,4294967296)-2147483648,((c_TMAP1IN)-(c_TFWD))*(((K208)-(c_TFWD))*((c_TMAP1OUT)-(0))+IF(((c_TMAP1OUT)-(0))&gt;=0,1,-1)*QUOTIENT(((c_TMAP1IN)-(c_TFWD)),2)))&lt;0,-1,0),IF(IF(o_WRAP=1,MOD(((c_TMAP1IN)-(c_TFWD))*(((K208)-(c_TFWD))*((c_TMAP1OUT)-(0))+IF(((c_TMAP1OUT)-(0))&gt;=0,1,-1)*QUOTIENT(((c_TMAP1IN)-(c_TFWD)),2))+2147483648,4294967296)-2147483648,((c_TMAP1IN)-(c_TFWD))*(((K208)-(c_TFWD))*((c_TMAP1OUT)-(0))+IF(((c_TMAP1OUT)-(0))&gt;=0,1,-1)*QUOTIENT(((c_TMAP1IN)-(c_TFWD)),2)))&gt;=0,1,0)))</f>
        <v>375</v>
      </c>
      <c r="N208" s="7" t="n">
        <f aca="false">IF(((c_TMAP2IN)-(c_TMAP1IN))=0,(c_TMAP1OUT)+QUOTIENT(((c_TMAP2OUT)-(c_TMAP1OUT)),2),QUOTIENT((((K208)-(c_TMAP1IN))*((c_TMAP2OUT)-(c_TMAP1OUT))+IF(((c_TMAP2OUT)-(c_TMAP1OUT))&gt;=0,1,-1)*QUOTIENT(((c_TMAP2IN)-(c_TMAP1IN)),2)),((c_TMAP2IN)-(c_TMAP1IN)))+(c_TMAP1OUT)+IF(((c_TMAP2OUT)-(c_TMAP1OUT))&gt;=0,IF(IF(o_WRAP=1,MOD(((c_TMAP2IN)-(c_TMAP1IN))*(((K208)-(c_TMAP1IN))*((c_TMAP2OUT)-(c_TMAP1OUT))+IF(((c_TMAP2OUT)-(c_TMAP1OUT))&gt;=0,1,-1)*QUOTIENT(((c_TMAP2IN)-(c_TMAP1IN)),2))+2147483648,4294967296)-2147483648,((c_TMAP2IN)-(c_TMAP1IN))*(((K208)-(c_TMAP1IN))*((c_TMAP2OUT)-(c_TMAP1OUT))+IF(((c_TMAP2OUT)-(c_TMAP1OUT))&gt;=0,1,-1)*QUOTIENT(((c_TMAP2IN)-(c_TMAP1IN)),2)))&lt;0,-1,0),IF(IF(o_WRAP=1,MOD(((c_TMAP2IN)-(c_TMAP1IN))*(((K208)-(c_TMAP1IN))*((c_TMAP2OUT)-(c_TMAP1OUT))+IF(((c_TMAP2OUT)-(c_TMAP1OUT))&gt;=0,1,-1)*QUOTIENT(((c_TMAP2IN)-(c_TMAP1IN)),2))+2147483648,4294967296)-2147483648,((c_TMAP2IN)-(c_TMAP1IN))*(((K208)-(c_TMAP1IN))*((c_TMAP2OUT)-(c_TMAP1OUT))+IF(((c_TMAP2OUT)-(c_TMAP1OUT))&gt;=0,1,-1)*QUOTIENT(((c_TMAP2IN)-(c_TMAP1IN)),2)))&gt;=0,1,0)))</f>
        <v>227</v>
      </c>
      <c r="O208" s="7" t="n">
        <f aca="false">IF(((c_TMAP3IN)-(c_TMAP2IN))=0,(c_TMAP2OUT)+QUOTIENT(((c_TMAP3OUT)-(c_TMAP2OUT)),2),QUOTIENT((((K208)-(c_TMAP2IN))*((c_TMAP3OUT)-(c_TMAP2OUT))+IF(((c_TMAP3OUT)-(c_TMAP2OUT))&gt;=0,1,-1)*QUOTIENT(((c_TMAP3IN)-(c_TMAP2IN)),2)),((c_TMAP3IN)-(c_TMAP2IN)))+(c_TMAP2OUT)+IF(((c_TMAP3OUT)-(c_TMAP2OUT))&gt;=0,IF(IF(o_WRAP=1,MOD(((c_TMAP3IN)-(c_TMAP2IN))*(((K208)-(c_TMAP2IN))*((c_TMAP3OUT)-(c_TMAP2OUT))+IF(((c_TMAP3OUT)-(c_TMAP2OUT))&gt;=0,1,-1)*QUOTIENT(((c_TMAP3IN)-(c_TMAP2IN)),2))+2147483648,4294967296)-2147483648,((c_TMAP3IN)-(c_TMAP2IN))*(((K208)-(c_TMAP2IN))*((c_TMAP3OUT)-(c_TMAP2OUT))+IF(((c_TMAP3OUT)-(c_TMAP2OUT))&gt;=0,1,-1)*QUOTIENT(((c_TMAP3IN)-(c_TMAP2IN)),2)))&lt;0,-1,0),IF(IF(o_WRAP=1,MOD(((c_TMAP3IN)-(c_TMAP2IN))*(((K208)-(c_TMAP2IN))*((c_TMAP3OUT)-(c_TMAP2OUT))+IF(((c_TMAP3OUT)-(c_TMAP2OUT))&gt;=0,1,-1)*QUOTIENT(((c_TMAP3IN)-(c_TMAP2IN)),2))+2147483648,4294967296)-2147483648,((c_TMAP3IN)-(c_TMAP2IN))*(((K208)-(c_TMAP2IN))*((c_TMAP3OUT)-(c_TMAP2OUT))+IF(((c_TMAP3OUT)-(c_TMAP2OUT))&gt;=0,1,-1)*QUOTIENT(((c_TMAP3IN)-(c_TMAP2IN)),2)))&gt;=0,1,0)))</f>
        <v>299</v>
      </c>
      <c r="P208" s="7" t="n">
        <f aca="false">IF(((1000)-(c_TMAP3IN))=0,(c_TMAP3OUT)+QUOTIENT(((1000)-(c_TMAP3OUT)),2),QUOTIENT((((K208)-(c_TMAP3IN))*((1000)-(c_TMAP3OUT))+IF(((1000)-(c_TMAP3OUT))&gt;=0,1,-1)*QUOTIENT(((1000)-(c_TMAP3IN)),2)),((1000)-(c_TMAP3IN)))+(c_TMAP3OUT)+IF(((1000)-(c_TMAP3OUT))&gt;=0,IF(IF(o_WRAP=1,MOD(((1000)-(c_TMAP3IN))*(((K208)-(c_TMAP3IN))*((1000)-(c_TMAP3OUT))+IF(((1000)-(c_TMAP3OUT))&gt;=0,1,-1)*QUOTIENT(((1000)-(c_TMAP3IN)),2))+2147483648,4294967296)-2147483648,((1000)-(c_TMAP3IN))*(((K208)-(c_TMAP3IN))*((1000)-(c_TMAP3OUT))+IF(((1000)-(c_TMAP3OUT))&gt;=0,1,-1)*QUOTIENT(((1000)-(c_TMAP3IN)),2)))&lt;0,-1,0),IF(IF(o_WRAP=1,MOD(((1000)-(c_TMAP3IN))*(((K208)-(c_TMAP3IN))*((1000)-(c_TMAP3OUT))+IF(((1000)-(c_TMAP3OUT))&gt;=0,1,-1)*QUOTIENT(((1000)-(c_TMAP3IN)),2))+2147483648,4294967296)-2147483648,((1000)-(c_TMAP3IN))*(((K208)-(c_TMAP3IN))*((1000)-(c_TMAP3OUT))+IF(((1000)-(c_TMAP3OUT))&gt;=0,1,-1)*QUOTIENT(((1000)-(c_TMAP3IN)),2)))&gt;=0,1,0)))</f>
        <v>375</v>
      </c>
      <c r="Q208" s="7" t="str">
        <f aca="false">IF(K208&gt;=c_TFWD,IF(AND(K208&gt;=c_TMAP3IN,c_TMAP3IN&lt;1000),"Seg4 map3-100%",IF(AND(K208&gt;=c_TMAP2IN,c_TMAP3IN&gt;c_TMAP2IN),"Seg3 map2-map3",IF(AND(K208&gt;=c_TMAP1IN,c_TMAP2IN&gt;c_TMAP1IN),"Seg2 map1-map2","Seg1 TFWD-map1"))),IF(AND(K208=0,c_TCREEP&gt;0),"Creep",IF(AND(K208&lt;=c_TRNGMIN,K208&gt;=c_TRNGMAX,c_TRNGMIN-c_TRNGMAX&lt;&gt;0),"Regen ramp","Coast (0)")))</f>
        <v>Seg4 map3-100%</v>
      </c>
      <c r="R208" s="7" t="n">
        <f aca="false">IF(K208&gt;=c_TFWD,IF(AND(K208&gt;=c_TMAP3IN,c_TMAP3IN&lt;1000),P208,IF(AND(K208&gt;=c_TMAP2IN,c_TMAP3IN&gt;c_TMAP2IN),O208,IF(AND(K208&gt;=c_TMAP1IN,c_TMAP2IN&gt;c_TMAP1IN),N208,M208))),L208)</f>
        <v>375</v>
      </c>
      <c r="S208" s="7" t="str">
        <f aca="false">IF(R208&lt;-1090,"TOO LOW",IF(R208&gt;1090,"TOO HIGH",""))</f>
        <v/>
      </c>
      <c r="T208" s="15" t="n">
        <f aca="false">IF(H208&lt;&gt;"OK",0,IF(S208&lt;&gt;"",0,IF(R208&gt;979,1000,R208)))</f>
        <v>375</v>
      </c>
      <c r="U208" s="7" t="n">
        <f aca="false">T208/10</f>
        <v>37.5</v>
      </c>
    </row>
    <row r="209" customFormat="false" ht="15" hidden="false" customHeight="false" outlineLevel="0" collapsed="false">
      <c r="A209" s="7" t="n">
        <v>204</v>
      </c>
      <c r="B209" s="7" t="n">
        <f aca="false">ROUND(o_SWSTART+A209*(o_SWEND-o_SWSTART)/400,0)</f>
        <v>2088</v>
      </c>
      <c r="C209" s="7" t="n">
        <f aca="false">QUOTIENT((B209-c_OFF1)*c_GAIN1,1024)</f>
        <v>2088</v>
      </c>
      <c r="D209" s="7" t="n">
        <f aca="false">IF(((c_T1MX)-(c_T1MN))=0,(0)+QUOTIENT(((1000)-(0)),2),QUOTIENT((((C209)-(c_T1MN))*((1000)-(0))+IF(((1000)-(0))&gt;=0,1,-1)*QUOTIENT(((c_T1MX)-(c_T1MN)),2)),((c_T1MX)-(c_T1MN)))+(0)+IF(((1000)-(0))&gt;=0,IF(IF(o_WRAP=1,MOD(((c_T1MX)-(c_T1MN))*(((C209)-(c_T1MN))*((1000)-(0))+IF(((1000)-(0))&gt;=0,1,-1)*QUOTIENT(((c_T1MX)-(c_T1MN)),2))+2147483648,4294967296)-2147483648,((c_T1MX)-(c_T1MN))*(((C209)-(c_T1MN))*((1000)-(0))+IF(((1000)-(0))&gt;=0,1,-1)*QUOTIENT(((c_T1MX)-(c_T1MN)),2)))&lt;0,-1,0),IF(IF(o_WRAP=1,MOD(((c_T1MX)-(c_T1MN))*(((C209)-(c_T1MN))*((1000)-(0))+IF(((1000)-(0))&gt;=0,1,-1)*QUOTIENT(((c_T1MX)-(c_T1MN)),2))+2147483648,4294967296)-2147483648,((c_T1MX)-(c_T1MN))*(((C209)-(c_T1MN))*((1000)-(0))+IF(((1000)-(0))&gt;=0,1,-1)*QUOTIENT(((c_T1MX)-(c_T1MN)),2)))&gt;=0,1,0)))</f>
        <v>496</v>
      </c>
      <c r="E209" s="7" t="n">
        <f aca="false">IF(AND(c_TPOT=1,c_TTYPE=2),1000-D209,D209)</f>
        <v>496</v>
      </c>
      <c r="F209" s="7" t="str">
        <f aca="false">IF(c_TPOT&gt;1,ROUND(IF(c_TTYPE=2,c_T2MX-IF(c_T1MX=c_T1MN,0,(C209-c_T1MN)/(c_T1MX-c_T1MN))*(c_T2MX-c_T2MN),c_T2MN+IF(c_T1MX=c_T1MN,0,(C209-c_T1MN)/(c_T1MX-c_T1MN))*(c_T2MX-c_T2MN))+o_MISMATCH,0),"")</f>
        <v/>
      </c>
      <c r="G209" s="7" t="str">
        <f aca="false">IF(c_TPOT&gt;1,IF(((c_T2MX)-(c_T2MN))=0,(0)+QUOTIENT(((1000)-(0)),2),QUOTIENT((((F209)-(c_T2MN))*((1000)-(0))+IF(((1000)-(0))&gt;=0,1,-1)*QUOTIENT(((c_T2MX)-(c_T2MN)),2)),((c_T2MX)-(c_T2MN)))+(0)+IF(((1000)-(0))&gt;=0,IF(IF(o_WRAP=1,MOD(((c_T2MX)-(c_T2MN))*(((F209)-(c_T2MN))*((1000)-(0))+IF(((1000)-(0))&gt;=0,1,-1)*QUOTIENT(((c_T2MX)-(c_T2MN)),2))+2147483648,4294967296)-2147483648,((c_T2MX)-(c_T2MN))*(((F209)-(c_T2MN))*((1000)-(0))+IF(((1000)-(0))&gt;=0,1,-1)*QUOTIENT(((c_T2MX)-(c_T2MN)),2)))&lt;0,-1,0),IF(IF(o_WRAP=1,MOD(((c_T2MX)-(c_T2MN))*(((F209)-(c_T2MN))*((1000)-(0))+IF(((1000)-(0))&gt;=0,1,-1)*QUOTIENT(((c_T2MX)-(c_T2MN)),2))+2147483648,4294967296)-2147483648,((c_T2MX)-(c_T2MN))*(((F209)-(c_T2MN))*((1000)-(0))+IF(((1000)-(0))&gt;=0,1,-1)*QUOTIENT(((c_T2MX)-(c_T2MN)),2)))&gt;=0,1,0))),"")</f>
        <v/>
      </c>
      <c r="H209" s="7" t="str">
        <f aca="false">IF(E209&gt;1000+k_TOL,"T1 HIGH",IF(E209&lt;0-k_TOL,"T1 LOW",IF(c_TPOT&gt;1,IF(G209&gt;1000+k_TOL,"T2 HIGH",IF(G209&lt;0-k_TOL,"T2 LOW",IF(c_TTYPE=2,IF(ABS(1000-MAX(0,MIN(1000,E209))-MAX(0,MIN(1000,G209)))&gt;k_MAXERR,"MISMATCH","OK"),IF(OR(MAX(0,MIN(1000,E209))-k_MAXERR&gt;MAX(0,MIN(1000,G209)),MAX(0,MIN(1000,G209))-k_MAXERR&gt;MAX(0,MIN(1000,E209))),"MISMATCH","OK")))),"OK")))</f>
        <v>OK</v>
      </c>
      <c r="I209" s="7" t="n">
        <f aca="false">MAX(0,MIN(1000,D209))</f>
        <v>496</v>
      </c>
      <c r="J209" s="7" t="str">
        <f aca="false">IF(c_TPOT&gt;1,IF(c_TTYPE=2,1000-MAX(0,MIN(1000,G209)),MAX(0,MIN(1000,G209))),"")</f>
        <v/>
      </c>
      <c r="K209" s="7" t="n">
        <f aca="false">IF(c_TPOT&gt;1,QUOTIENT(I209+J209,2),I209)</f>
        <v>496</v>
      </c>
      <c r="L209" s="7" t="n">
        <f aca="false">IF(AND(K209=0,c_TCREEP&gt;0),10*c_TCREEP,IF(AND(K209&lt;=c_TRNGMIN,K209&gt;=c_TRNGMAX,c_TRNGMIN-c_TRNGMAX&lt;&gt;0),-10*c_TMINRN+QUOTIENT((c_TMAXRN-c_TMINRN)*(100-QUOTIENT((K209-c_TRNGMAX)*100,c_TRNGMIN-c_TRNGMAX)),-10),0))</f>
        <v>0</v>
      </c>
      <c r="M209" s="7" t="n">
        <f aca="false">IF(((c_TMAP1IN)-(c_TFWD))=0,(0)+QUOTIENT(((c_TMAP1OUT)-(0)),2),QUOTIENT((((K209)-(c_TFWD))*((c_TMAP1OUT)-(0))+IF(((c_TMAP1OUT)-(0))&gt;=0,1,-1)*QUOTIENT(((c_TMAP1IN)-(c_TFWD)),2)),((c_TMAP1IN)-(c_TFWD)))+(0)+IF(((c_TMAP1OUT)-(0))&gt;=0,IF(IF(o_WRAP=1,MOD(((c_TMAP1IN)-(c_TFWD))*(((K209)-(c_TFWD))*((c_TMAP1OUT)-(0))+IF(((c_TMAP1OUT)-(0))&gt;=0,1,-1)*QUOTIENT(((c_TMAP1IN)-(c_TFWD)),2))+2147483648,4294967296)-2147483648,((c_TMAP1IN)-(c_TFWD))*(((K209)-(c_TFWD))*((c_TMAP1OUT)-(0))+IF(((c_TMAP1OUT)-(0))&gt;=0,1,-1)*QUOTIENT(((c_TMAP1IN)-(c_TFWD)),2)))&lt;0,-1,0),IF(IF(o_WRAP=1,MOD(((c_TMAP1IN)-(c_TFWD))*(((K209)-(c_TFWD))*((c_TMAP1OUT)-(0))+IF(((c_TMAP1OUT)-(0))&gt;=0,1,-1)*QUOTIENT(((c_TMAP1IN)-(c_TFWD)),2))+2147483648,4294967296)-2147483648,((c_TMAP1IN)-(c_TFWD))*(((K209)-(c_TFWD))*((c_TMAP1OUT)-(0))+IF(((c_TMAP1OUT)-(0))&gt;=0,1,-1)*QUOTIENT(((c_TMAP1IN)-(c_TFWD)),2)))&gt;=0,1,0)))</f>
        <v>378</v>
      </c>
      <c r="N209" s="7" t="n">
        <f aca="false">IF(((c_TMAP2IN)-(c_TMAP1IN))=0,(c_TMAP1OUT)+QUOTIENT(((c_TMAP2OUT)-(c_TMAP1OUT)),2),QUOTIENT((((K209)-(c_TMAP1IN))*((c_TMAP2OUT)-(c_TMAP1OUT))+IF(((c_TMAP2OUT)-(c_TMAP1OUT))&gt;=0,1,-1)*QUOTIENT(((c_TMAP2IN)-(c_TMAP1IN)),2)),((c_TMAP2IN)-(c_TMAP1IN)))+(c_TMAP1OUT)+IF(((c_TMAP2OUT)-(c_TMAP1OUT))&gt;=0,IF(IF(o_WRAP=1,MOD(((c_TMAP2IN)-(c_TMAP1IN))*(((K209)-(c_TMAP1IN))*((c_TMAP2OUT)-(c_TMAP1OUT))+IF(((c_TMAP2OUT)-(c_TMAP1OUT))&gt;=0,1,-1)*QUOTIENT(((c_TMAP2IN)-(c_TMAP1IN)),2))+2147483648,4294967296)-2147483648,((c_TMAP2IN)-(c_TMAP1IN))*(((K209)-(c_TMAP1IN))*((c_TMAP2OUT)-(c_TMAP1OUT))+IF(((c_TMAP2OUT)-(c_TMAP1OUT))&gt;=0,1,-1)*QUOTIENT(((c_TMAP2IN)-(c_TMAP1IN)),2)))&lt;0,-1,0),IF(IF(o_WRAP=1,MOD(((c_TMAP2IN)-(c_TMAP1IN))*(((K209)-(c_TMAP1IN))*((c_TMAP2OUT)-(c_TMAP1OUT))+IF(((c_TMAP2OUT)-(c_TMAP1OUT))&gt;=0,1,-1)*QUOTIENT(((c_TMAP2IN)-(c_TMAP1IN)),2))+2147483648,4294967296)-2147483648,((c_TMAP2IN)-(c_TMAP1IN))*(((K209)-(c_TMAP1IN))*((c_TMAP2OUT)-(c_TMAP1OUT))+IF(((c_TMAP2OUT)-(c_TMAP1OUT))&gt;=0,1,-1)*QUOTIENT(((c_TMAP2IN)-(c_TMAP1IN)),2)))&gt;=0,1,0)))</f>
        <v>228</v>
      </c>
      <c r="O209" s="7" t="n">
        <f aca="false">IF(((c_TMAP3IN)-(c_TMAP2IN))=0,(c_TMAP2OUT)+QUOTIENT(((c_TMAP3OUT)-(c_TMAP2OUT)),2),QUOTIENT((((K209)-(c_TMAP2IN))*((c_TMAP3OUT)-(c_TMAP2OUT))+IF(((c_TMAP3OUT)-(c_TMAP2OUT))&gt;=0,1,-1)*QUOTIENT(((c_TMAP3IN)-(c_TMAP2IN)),2)),((c_TMAP3IN)-(c_TMAP2IN)))+(c_TMAP2OUT)+IF(((c_TMAP3OUT)-(c_TMAP2OUT))&gt;=0,IF(IF(o_WRAP=1,MOD(((c_TMAP3IN)-(c_TMAP2IN))*(((K209)-(c_TMAP2IN))*((c_TMAP3OUT)-(c_TMAP2OUT))+IF(((c_TMAP3OUT)-(c_TMAP2OUT))&gt;=0,1,-1)*QUOTIENT(((c_TMAP3IN)-(c_TMAP2IN)),2))+2147483648,4294967296)-2147483648,((c_TMAP3IN)-(c_TMAP2IN))*(((K209)-(c_TMAP2IN))*((c_TMAP3OUT)-(c_TMAP2OUT))+IF(((c_TMAP3OUT)-(c_TMAP2OUT))&gt;=0,1,-1)*QUOTIENT(((c_TMAP3IN)-(c_TMAP2IN)),2)))&lt;0,-1,0),IF(IF(o_WRAP=1,MOD(((c_TMAP3IN)-(c_TMAP2IN))*(((K209)-(c_TMAP2IN))*((c_TMAP3OUT)-(c_TMAP2OUT))+IF(((c_TMAP3OUT)-(c_TMAP2OUT))&gt;=0,1,-1)*QUOTIENT(((c_TMAP3IN)-(c_TMAP2IN)),2))+2147483648,4294967296)-2147483648,((c_TMAP3IN)-(c_TMAP2IN))*(((K209)-(c_TMAP2IN))*((c_TMAP3OUT)-(c_TMAP2OUT))+IF(((c_TMAP3OUT)-(c_TMAP2OUT))&gt;=0,1,-1)*QUOTIENT(((c_TMAP3IN)-(c_TMAP2IN)),2)))&gt;=0,1,0)))</f>
        <v>302</v>
      </c>
      <c r="P209" s="7" t="n">
        <f aca="false">IF(((1000)-(c_TMAP3IN))=0,(c_TMAP3OUT)+QUOTIENT(((1000)-(c_TMAP3OUT)),2),QUOTIENT((((K209)-(c_TMAP3IN))*((1000)-(c_TMAP3OUT))+IF(((1000)-(c_TMAP3OUT))&gt;=0,1,-1)*QUOTIENT(((1000)-(c_TMAP3IN)),2)),((1000)-(c_TMAP3IN)))+(c_TMAP3OUT)+IF(((1000)-(c_TMAP3OUT))&gt;=0,IF(IF(o_WRAP=1,MOD(((1000)-(c_TMAP3IN))*(((K209)-(c_TMAP3IN))*((1000)-(c_TMAP3OUT))+IF(((1000)-(c_TMAP3OUT))&gt;=0,1,-1)*QUOTIENT(((1000)-(c_TMAP3IN)),2))+2147483648,4294967296)-2147483648,((1000)-(c_TMAP3IN))*(((K209)-(c_TMAP3IN))*((1000)-(c_TMAP3OUT))+IF(((1000)-(c_TMAP3OUT))&gt;=0,1,-1)*QUOTIENT(((1000)-(c_TMAP3IN)),2)))&lt;0,-1,0),IF(IF(o_WRAP=1,MOD(((1000)-(c_TMAP3IN))*(((K209)-(c_TMAP3IN))*((1000)-(c_TMAP3OUT))+IF(((1000)-(c_TMAP3OUT))&gt;=0,1,-1)*QUOTIENT(((1000)-(c_TMAP3IN)),2))+2147483648,4294967296)-2147483648,((1000)-(c_TMAP3IN))*(((K209)-(c_TMAP3IN))*((1000)-(c_TMAP3OUT))+IF(((1000)-(c_TMAP3OUT))&gt;=0,1,-1)*QUOTIENT(((1000)-(c_TMAP3IN)),2)))&gt;=0,1,0)))</f>
        <v>380</v>
      </c>
      <c r="Q209" s="7" t="str">
        <f aca="false">IF(K209&gt;=c_TFWD,IF(AND(K209&gt;=c_TMAP3IN,c_TMAP3IN&lt;1000),"Seg4 map3-100%",IF(AND(K209&gt;=c_TMAP2IN,c_TMAP3IN&gt;c_TMAP2IN),"Seg3 map2-map3",IF(AND(K209&gt;=c_TMAP1IN,c_TMAP2IN&gt;c_TMAP1IN),"Seg2 map1-map2","Seg1 TFWD-map1"))),IF(AND(K209=0,c_TCREEP&gt;0),"Creep",IF(AND(K209&lt;=c_TRNGMIN,K209&gt;=c_TRNGMAX,c_TRNGMIN-c_TRNGMAX&lt;&gt;0),"Regen ramp","Coast (0)")))</f>
        <v>Seg4 map3-100%</v>
      </c>
      <c r="R209" s="7" t="n">
        <f aca="false">IF(K209&gt;=c_TFWD,IF(AND(K209&gt;=c_TMAP3IN,c_TMAP3IN&lt;1000),P209,IF(AND(K209&gt;=c_TMAP2IN,c_TMAP3IN&gt;c_TMAP2IN),O209,IF(AND(K209&gt;=c_TMAP1IN,c_TMAP2IN&gt;c_TMAP1IN),N209,M209))),L209)</f>
        <v>380</v>
      </c>
      <c r="S209" s="7" t="str">
        <f aca="false">IF(R209&lt;-1090,"TOO LOW",IF(R209&gt;1090,"TOO HIGH",""))</f>
        <v/>
      </c>
      <c r="T209" s="15" t="n">
        <f aca="false">IF(H209&lt;&gt;"OK",0,IF(S209&lt;&gt;"",0,IF(R209&gt;979,1000,R209)))</f>
        <v>380</v>
      </c>
      <c r="U209" s="7" t="n">
        <f aca="false">T209/10</f>
        <v>38</v>
      </c>
    </row>
    <row r="210" customFormat="false" ht="15" hidden="false" customHeight="false" outlineLevel="0" collapsed="false">
      <c r="A210" s="7" t="n">
        <v>205</v>
      </c>
      <c r="B210" s="7" t="n">
        <f aca="false">ROUND(o_SWSTART+A210*(o_SWEND-o_SWSTART)/400,0)</f>
        <v>2099</v>
      </c>
      <c r="C210" s="7" t="n">
        <f aca="false">QUOTIENT((B210-c_OFF1)*c_GAIN1,1024)</f>
        <v>2099</v>
      </c>
      <c r="D210" s="7" t="n">
        <f aca="false">IF(((c_T1MX)-(c_T1MN))=0,(0)+QUOTIENT(((1000)-(0)),2),QUOTIENT((((C210)-(c_T1MN))*((1000)-(0))+IF(((1000)-(0))&gt;=0,1,-1)*QUOTIENT(((c_T1MX)-(c_T1MN)),2)),((c_T1MX)-(c_T1MN)))+(0)+IF(((1000)-(0))&gt;=0,IF(IF(o_WRAP=1,MOD(((c_T1MX)-(c_T1MN))*(((C210)-(c_T1MN))*((1000)-(0))+IF(((1000)-(0))&gt;=0,1,-1)*QUOTIENT(((c_T1MX)-(c_T1MN)),2))+2147483648,4294967296)-2147483648,((c_T1MX)-(c_T1MN))*(((C210)-(c_T1MN))*((1000)-(0))+IF(((1000)-(0))&gt;=0,1,-1)*QUOTIENT(((c_T1MX)-(c_T1MN)),2)))&lt;0,-1,0),IF(IF(o_WRAP=1,MOD(((c_T1MX)-(c_T1MN))*(((C210)-(c_T1MN))*((1000)-(0))+IF(((1000)-(0))&gt;=0,1,-1)*QUOTIENT(((c_T1MX)-(c_T1MN)),2))+2147483648,4294967296)-2147483648,((c_T1MX)-(c_T1MN))*(((C210)-(c_T1MN))*((1000)-(0))+IF(((1000)-(0))&gt;=0,1,-1)*QUOTIENT(((c_T1MX)-(c_T1MN)),2)))&gt;=0,1,0)))</f>
        <v>500</v>
      </c>
      <c r="E210" s="7" t="n">
        <f aca="false">IF(AND(c_TPOT=1,c_TTYPE=2),1000-D210,D210)</f>
        <v>500</v>
      </c>
      <c r="F210" s="7" t="str">
        <f aca="false">IF(c_TPOT&gt;1,ROUND(IF(c_TTYPE=2,c_T2MX-IF(c_T1MX=c_T1MN,0,(C210-c_T1MN)/(c_T1MX-c_T1MN))*(c_T2MX-c_T2MN),c_T2MN+IF(c_T1MX=c_T1MN,0,(C210-c_T1MN)/(c_T1MX-c_T1MN))*(c_T2MX-c_T2MN))+o_MISMATCH,0),"")</f>
        <v/>
      </c>
      <c r="G210" s="7" t="str">
        <f aca="false">IF(c_TPOT&gt;1,IF(((c_T2MX)-(c_T2MN))=0,(0)+QUOTIENT(((1000)-(0)),2),QUOTIENT((((F210)-(c_T2MN))*((1000)-(0))+IF(((1000)-(0))&gt;=0,1,-1)*QUOTIENT(((c_T2MX)-(c_T2MN)),2)),((c_T2MX)-(c_T2MN)))+(0)+IF(((1000)-(0))&gt;=0,IF(IF(o_WRAP=1,MOD(((c_T2MX)-(c_T2MN))*(((F210)-(c_T2MN))*((1000)-(0))+IF(((1000)-(0))&gt;=0,1,-1)*QUOTIENT(((c_T2MX)-(c_T2MN)),2))+2147483648,4294967296)-2147483648,((c_T2MX)-(c_T2MN))*(((F210)-(c_T2MN))*((1000)-(0))+IF(((1000)-(0))&gt;=0,1,-1)*QUOTIENT(((c_T2MX)-(c_T2MN)),2)))&lt;0,-1,0),IF(IF(o_WRAP=1,MOD(((c_T2MX)-(c_T2MN))*(((F210)-(c_T2MN))*((1000)-(0))+IF(((1000)-(0))&gt;=0,1,-1)*QUOTIENT(((c_T2MX)-(c_T2MN)),2))+2147483648,4294967296)-2147483648,((c_T2MX)-(c_T2MN))*(((F210)-(c_T2MN))*((1000)-(0))+IF(((1000)-(0))&gt;=0,1,-1)*QUOTIENT(((c_T2MX)-(c_T2MN)),2)))&gt;=0,1,0))),"")</f>
        <v/>
      </c>
      <c r="H210" s="7" t="str">
        <f aca="false">IF(E210&gt;1000+k_TOL,"T1 HIGH",IF(E210&lt;0-k_TOL,"T1 LOW",IF(c_TPOT&gt;1,IF(G210&gt;1000+k_TOL,"T2 HIGH",IF(G210&lt;0-k_TOL,"T2 LOW",IF(c_TTYPE=2,IF(ABS(1000-MAX(0,MIN(1000,E210))-MAX(0,MIN(1000,G210)))&gt;k_MAXERR,"MISMATCH","OK"),IF(OR(MAX(0,MIN(1000,E210))-k_MAXERR&gt;MAX(0,MIN(1000,G210)),MAX(0,MIN(1000,G210))-k_MAXERR&gt;MAX(0,MIN(1000,E210))),"MISMATCH","OK")))),"OK")))</f>
        <v>OK</v>
      </c>
      <c r="I210" s="7" t="n">
        <f aca="false">MAX(0,MIN(1000,D210))</f>
        <v>500</v>
      </c>
      <c r="J210" s="7" t="str">
        <f aca="false">IF(c_TPOT&gt;1,IF(c_TTYPE=2,1000-MAX(0,MIN(1000,G210)),MAX(0,MIN(1000,G210))),"")</f>
        <v/>
      </c>
      <c r="K210" s="7" t="n">
        <f aca="false">IF(c_TPOT&gt;1,QUOTIENT(I210+J210,2),I210)</f>
        <v>500</v>
      </c>
      <c r="L210" s="7" t="n">
        <f aca="false">IF(AND(K210=0,c_TCREEP&gt;0),10*c_TCREEP,IF(AND(K210&lt;=c_TRNGMIN,K210&gt;=c_TRNGMAX,c_TRNGMIN-c_TRNGMAX&lt;&gt;0),-10*c_TMINRN+QUOTIENT((c_TMAXRN-c_TMINRN)*(100-QUOTIENT((K210-c_TRNGMAX)*100,c_TRNGMIN-c_TRNGMAX)),-10),0))</f>
        <v>0</v>
      </c>
      <c r="M210" s="7" t="n">
        <f aca="false">IF(((c_TMAP1IN)-(c_TFWD))=0,(0)+QUOTIENT(((c_TMAP1OUT)-(0)),2),QUOTIENT((((K210)-(c_TFWD))*((c_TMAP1OUT)-(0))+IF(((c_TMAP1OUT)-(0))&gt;=0,1,-1)*QUOTIENT(((c_TMAP1IN)-(c_TFWD)),2)),((c_TMAP1IN)-(c_TFWD)))+(0)+IF(((c_TMAP1OUT)-(0))&gt;=0,IF(IF(o_WRAP=1,MOD(((c_TMAP1IN)-(c_TFWD))*(((K210)-(c_TFWD))*((c_TMAP1OUT)-(0))+IF(((c_TMAP1OUT)-(0))&gt;=0,1,-1)*QUOTIENT(((c_TMAP1IN)-(c_TFWD)),2))+2147483648,4294967296)-2147483648,((c_TMAP1IN)-(c_TFWD))*(((K210)-(c_TFWD))*((c_TMAP1OUT)-(0))+IF(((c_TMAP1OUT)-(0))&gt;=0,1,-1)*QUOTIENT(((c_TMAP1IN)-(c_TFWD)),2)))&lt;0,-1,0),IF(IF(o_WRAP=1,MOD(((c_TMAP1IN)-(c_TFWD))*(((K210)-(c_TFWD))*((c_TMAP1OUT)-(0))+IF(((c_TMAP1OUT)-(0))&gt;=0,1,-1)*QUOTIENT(((c_TMAP1IN)-(c_TFWD)),2))+2147483648,4294967296)-2147483648,((c_TMAP1IN)-(c_TFWD))*(((K210)-(c_TFWD))*((c_TMAP1OUT)-(0))+IF(((c_TMAP1OUT)-(0))&gt;=0,1,-1)*QUOTIENT(((c_TMAP1IN)-(c_TFWD)),2)))&gt;=0,1,0)))</f>
        <v>381</v>
      </c>
      <c r="N210" s="7" t="n">
        <f aca="false">IF(((c_TMAP2IN)-(c_TMAP1IN))=0,(c_TMAP1OUT)+QUOTIENT(((c_TMAP2OUT)-(c_TMAP1OUT)),2),QUOTIENT((((K210)-(c_TMAP1IN))*((c_TMAP2OUT)-(c_TMAP1OUT))+IF(((c_TMAP2OUT)-(c_TMAP1OUT))&gt;=0,1,-1)*QUOTIENT(((c_TMAP2IN)-(c_TMAP1IN)),2)),((c_TMAP2IN)-(c_TMAP1IN)))+(c_TMAP1OUT)+IF(((c_TMAP2OUT)-(c_TMAP1OUT))&gt;=0,IF(IF(o_WRAP=1,MOD(((c_TMAP2IN)-(c_TMAP1IN))*(((K210)-(c_TMAP1IN))*((c_TMAP2OUT)-(c_TMAP1OUT))+IF(((c_TMAP2OUT)-(c_TMAP1OUT))&gt;=0,1,-1)*QUOTIENT(((c_TMAP2IN)-(c_TMAP1IN)),2))+2147483648,4294967296)-2147483648,((c_TMAP2IN)-(c_TMAP1IN))*(((K210)-(c_TMAP1IN))*((c_TMAP2OUT)-(c_TMAP1OUT))+IF(((c_TMAP2OUT)-(c_TMAP1OUT))&gt;=0,1,-1)*QUOTIENT(((c_TMAP2IN)-(c_TMAP1IN)),2)))&lt;0,-1,0),IF(IF(o_WRAP=1,MOD(((c_TMAP2IN)-(c_TMAP1IN))*(((K210)-(c_TMAP1IN))*((c_TMAP2OUT)-(c_TMAP1OUT))+IF(((c_TMAP2OUT)-(c_TMAP1OUT))&gt;=0,1,-1)*QUOTIENT(((c_TMAP2IN)-(c_TMAP1IN)),2))+2147483648,4294967296)-2147483648,((c_TMAP2IN)-(c_TMAP1IN))*(((K210)-(c_TMAP1IN))*((c_TMAP2OUT)-(c_TMAP1OUT))+IF(((c_TMAP2OUT)-(c_TMAP1OUT))&gt;=0,1,-1)*QUOTIENT(((c_TMAP2IN)-(c_TMAP1IN)),2)))&gt;=0,1,0)))</f>
        <v>230</v>
      </c>
      <c r="O210" s="7" t="n">
        <f aca="false">IF(((c_TMAP3IN)-(c_TMAP2IN))=0,(c_TMAP2OUT)+QUOTIENT(((c_TMAP3OUT)-(c_TMAP2OUT)),2),QUOTIENT((((K210)-(c_TMAP2IN))*((c_TMAP3OUT)-(c_TMAP2OUT))+IF(((c_TMAP3OUT)-(c_TMAP2OUT))&gt;=0,1,-1)*QUOTIENT(((c_TMAP3IN)-(c_TMAP2IN)),2)),((c_TMAP3IN)-(c_TMAP2IN)))+(c_TMAP2OUT)+IF(((c_TMAP3OUT)-(c_TMAP2OUT))&gt;=0,IF(IF(o_WRAP=1,MOD(((c_TMAP3IN)-(c_TMAP2IN))*(((K210)-(c_TMAP2IN))*((c_TMAP3OUT)-(c_TMAP2OUT))+IF(((c_TMAP3OUT)-(c_TMAP2OUT))&gt;=0,1,-1)*QUOTIENT(((c_TMAP3IN)-(c_TMAP2IN)),2))+2147483648,4294967296)-2147483648,((c_TMAP3IN)-(c_TMAP2IN))*(((K210)-(c_TMAP2IN))*((c_TMAP3OUT)-(c_TMAP2OUT))+IF(((c_TMAP3OUT)-(c_TMAP2OUT))&gt;=0,1,-1)*QUOTIENT(((c_TMAP3IN)-(c_TMAP2IN)),2)))&lt;0,-1,0),IF(IF(o_WRAP=1,MOD(((c_TMAP3IN)-(c_TMAP2IN))*(((K210)-(c_TMAP2IN))*((c_TMAP3OUT)-(c_TMAP2OUT))+IF(((c_TMAP3OUT)-(c_TMAP2OUT))&gt;=0,1,-1)*QUOTIENT(((c_TMAP3IN)-(c_TMAP2IN)),2))+2147483648,4294967296)-2147483648,((c_TMAP3IN)-(c_TMAP2IN))*(((K210)-(c_TMAP2IN))*((c_TMAP3OUT)-(c_TMAP2OUT))+IF(((c_TMAP3OUT)-(c_TMAP2OUT))&gt;=0,1,-1)*QUOTIENT(((c_TMAP3IN)-(c_TMAP2IN)),2)))&gt;=0,1,0)))</f>
        <v>305</v>
      </c>
      <c r="P210" s="7" t="n">
        <f aca="false">IF(((1000)-(c_TMAP3IN))=0,(c_TMAP3OUT)+QUOTIENT(((1000)-(c_TMAP3OUT)),2),QUOTIENT((((K210)-(c_TMAP3IN))*((1000)-(c_TMAP3OUT))+IF(((1000)-(c_TMAP3OUT))&gt;=0,1,-1)*QUOTIENT(((1000)-(c_TMAP3IN)),2)),((1000)-(c_TMAP3IN)))+(c_TMAP3OUT)+IF(((1000)-(c_TMAP3OUT))&gt;=0,IF(IF(o_WRAP=1,MOD(((1000)-(c_TMAP3IN))*(((K210)-(c_TMAP3IN))*((1000)-(c_TMAP3OUT))+IF(((1000)-(c_TMAP3OUT))&gt;=0,1,-1)*QUOTIENT(((1000)-(c_TMAP3IN)),2))+2147483648,4294967296)-2147483648,((1000)-(c_TMAP3IN))*(((K210)-(c_TMAP3IN))*((1000)-(c_TMAP3OUT))+IF(((1000)-(c_TMAP3OUT))&gt;=0,1,-1)*QUOTIENT(((1000)-(c_TMAP3IN)),2)))&lt;0,-1,0),IF(IF(o_WRAP=1,MOD(((1000)-(c_TMAP3IN))*(((K210)-(c_TMAP3IN))*((1000)-(c_TMAP3OUT))+IF(((1000)-(c_TMAP3OUT))&gt;=0,1,-1)*QUOTIENT(((1000)-(c_TMAP3IN)),2))+2147483648,4294967296)-2147483648,((1000)-(c_TMAP3IN))*(((K210)-(c_TMAP3IN))*((1000)-(c_TMAP3OUT))+IF(((1000)-(c_TMAP3OUT))&gt;=0,1,-1)*QUOTIENT(((1000)-(c_TMAP3IN)),2)))&gt;=0,1,0)))</f>
        <v>385</v>
      </c>
      <c r="Q210" s="7" t="str">
        <f aca="false">IF(K210&gt;=c_TFWD,IF(AND(K210&gt;=c_TMAP3IN,c_TMAP3IN&lt;1000),"Seg4 map3-100%",IF(AND(K210&gt;=c_TMAP2IN,c_TMAP3IN&gt;c_TMAP2IN),"Seg3 map2-map3",IF(AND(K210&gt;=c_TMAP1IN,c_TMAP2IN&gt;c_TMAP1IN),"Seg2 map1-map2","Seg1 TFWD-map1"))),IF(AND(K210=0,c_TCREEP&gt;0),"Creep",IF(AND(K210&lt;=c_TRNGMIN,K210&gt;=c_TRNGMAX,c_TRNGMIN-c_TRNGMAX&lt;&gt;0),"Regen ramp","Coast (0)")))</f>
        <v>Seg4 map3-100%</v>
      </c>
      <c r="R210" s="7" t="n">
        <f aca="false">IF(K210&gt;=c_TFWD,IF(AND(K210&gt;=c_TMAP3IN,c_TMAP3IN&lt;1000),P210,IF(AND(K210&gt;=c_TMAP2IN,c_TMAP3IN&gt;c_TMAP2IN),O210,IF(AND(K210&gt;=c_TMAP1IN,c_TMAP2IN&gt;c_TMAP1IN),N210,M210))),L210)</f>
        <v>385</v>
      </c>
      <c r="S210" s="7" t="str">
        <f aca="false">IF(R210&lt;-1090,"TOO LOW",IF(R210&gt;1090,"TOO HIGH",""))</f>
        <v/>
      </c>
      <c r="T210" s="15" t="n">
        <f aca="false">IF(H210&lt;&gt;"OK",0,IF(S210&lt;&gt;"",0,IF(R210&gt;979,1000,R210)))</f>
        <v>385</v>
      </c>
      <c r="U210" s="7" t="n">
        <f aca="false">T210/10</f>
        <v>38.5</v>
      </c>
    </row>
    <row r="211" customFormat="false" ht="15" hidden="false" customHeight="false" outlineLevel="0" collapsed="false">
      <c r="A211" s="7" t="n">
        <v>206</v>
      </c>
      <c r="B211" s="7" t="n">
        <f aca="false">ROUND(o_SWSTART+A211*(o_SWEND-o_SWSTART)/400,0)</f>
        <v>2109</v>
      </c>
      <c r="C211" s="7" t="n">
        <f aca="false">QUOTIENT((B211-c_OFF1)*c_GAIN1,1024)</f>
        <v>2109</v>
      </c>
      <c r="D211" s="7" t="n">
        <f aca="false">IF(((c_T1MX)-(c_T1MN))=0,(0)+QUOTIENT(((1000)-(0)),2),QUOTIENT((((C211)-(c_T1MN))*((1000)-(0))+IF(((1000)-(0))&gt;=0,1,-1)*QUOTIENT(((c_T1MX)-(c_T1MN)),2)),((c_T1MX)-(c_T1MN)))+(0)+IF(((1000)-(0))&gt;=0,IF(IF(o_WRAP=1,MOD(((c_T1MX)-(c_T1MN))*(((C211)-(c_T1MN))*((1000)-(0))+IF(((1000)-(0))&gt;=0,1,-1)*QUOTIENT(((c_T1MX)-(c_T1MN)),2))+2147483648,4294967296)-2147483648,((c_T1MX)-(c_T1MN))*(((C211)-(c_T1MN))*((1000)-(0))+IF(((1000)-(0))&gt;=0,1,-1)*QUOTIENT(((c_T1MX)-(c_T1MN)),2)))&lt;0,-1,0),IF(IF(o_WRAP=1,MOD(((c_T1MX)-(c_T1MN))*(((C211)-(c_T1MN))*((1000)-(0))+IF(((1000)-(0))&gt;=0,1,-1)*QUOTIENT(((c_T1MX)-(c_T1MN)),2))+2147483648,4294967296)-2147483648,((c_T1MX)-(c_T1MN))*(((C211)-(c_T1MN))*((1000)-(0))+IF(((1000)-(0))&gt;=0,1,-1)*QUOTIENT(((c_T1MX)-(c_T1MN)),2)))&gt;=0,1,0)))</f>
        <v>504</v>
      </c>
      <c r="E211" s="7" t="n">
        <f aca="false">IF(AND(c_TPOT=1,c_TTYPE=2),1000-D211,D211)</f>
        <v>504</v>
      </c>
      <c r="F211" s="7" t="str">
        <f aca="false">IF(c_TPOT&gt;1,ROUND(IF(c_TTYPE=2,c_T2MX-IF(c_T1MX=c_T1MN,0,(C211-c_T1MN)/(c_T1MX-c_T1MN))*(c_T2MX-c_T2MN),c_T2MN+IF(c_T1MX=c_T1MN,0,(C211-c_T1MN)/(c_T1MX-c_T1MN))*(c_T2MX-c_T2MN))+o_MISMATCH,0),"")</f>
        <v/>
      </c>
      <c r="G211" s="7" t="str">
        <f aca="false">IF(c_TPOT&gt;1,IF(((c_T2MX)-(c_T2MN))=0,(0)+QUOTIENT(((1000)-(0)),2),QUOTIENT((((F211)-(c_T2MN))*((1000)-(0))+IF(((1000)-(0))&gt;=0,1,-1)*QUOTIENT(((c_T2MX)-(c_T2MN)),2)),((c_T2MX)-(c_T2MN)))+(0)+IF(((1000)-(0))&gt;=0,IF(IF(o_WRAP=1,MOD(((c_T2MX)-(c_T2MN))*(((F211)-(c_T2MN))*((1000)-(0))+IF(((1000)-(0))&gt;=0,1,-1)*QUOTIENT(((c_T2MX)-(c_T2MN)),2))+2147483648,4294967296)-2147483648,((c_T2MX)-(c_T2MN))*(((F211)-(c_T2MN))*((1000)-(0))+IF(((1000)-(0))&gt;=0,1,-1)*QUOTIENT(((c_T2MX)-(c_T2MN)),2)))&lt;0,-1,0),IF(IF(o_WRAP=1,MOD(((c_T2MX)-(c_T2MN))*(((F211)-(c_T2MN))*((1000)-(0))+IF(((1000)-(0))&gt;=0,1,-1)*QUOTIENT(((c_T2MX)-(c_T2MN)),2))+2147483648,4294967296)-2147483648,((c_T2MX)-(c_T2MN))*(((F211)-(c_T2MN))*((1000)-(0))+IF(((1000)-(0))&gt;=0,1,-1)*QUOTIENT(((c_T2MX)-(c_T2MN)),2)))&gt;=0,1,0))),"")</f>
        <v/>
      </c>
      <c r="H211" s="7" t="str">
        <f aca="false">IF(E211&gt;1000+k_TOL,"T1 HIGH",IF(E211&lt;0-k_TOL,"T1 LOW",IF(c_TPOT&gt;1,IF(G211&gt;1000+k_TOL,"T2 HIGH",IF(G211&lt;0-k_TOL,"T2 LOW",IF(c_TTYPE=2,IF(ABS(1000-MAX(0,MIN(1000,E211))-MAX(0,MIN(1000,G211)))&gt;k_MAXERR,"MISMATCH","OK"),IF(OR(MAX(0,MIN(1000,E211))-k_MAXERR&gt;MAX(0,MIN(1000,G211)),MAX(0,MIN(1000,G211))-k_MAXERR&gt;MAX(0,MIN(1000,E211))),"MISMATCH","OK")))),"OK")))</f>
        <v>OK</v>
      </c>
      <c r="I211" s="7" t="n">
        <f aca="false">MAX(0,MIN(1000,D211))</f>
        <v>504</v>
      </c>
      <c r="J211" s="7" t="str">
        <f aca="false">IF(c_TPOT&gt;1,IF(c_TTYPE=2,1000-MAX(0,MIN(1000,G211)),MAX(0,MIN(1000,G211))),"")</f>
        <v/>
      </c>
      <c r="K211" s="7" t="n">
        <f aca="false">IF(c_TPOT&gt;1,QUOTIENT(I211+J211,2),I211)</f>
        <v>504</v>
      </c>
      <c r="L211" s="7" t="n">
        <f aca="false">IF(AND(K211=0,c_TCREEP&gt;0),10*c_TCREEP,IF(AND(K211&lt;=c_TRNGMIN,K211&gt;=c_TRNGMAX,c_TRNGMIN-c_TRNGMAX&lt;&gt;0),-10*c_TMINRN+QUOTIENT((c_TMAXRN-c_TMINRN)*(100-QUOTIENT((K211-c_TRNGMAX)*100,c_TRNGMIN-c_TRNGMAX)),-10),0))</f>
        <v>0</v>
      </c>
      <c r="M211" s="7" t="n">
        <f aca="false">IF(((c_TMAP1IN)-(c_TFWD))=0,(0)+QUOTIENT(((c_TMAP1OUT)-(0)),2),QUOTIENT((((K211)-(c_TFWD))*((c_TMAP1OUT)-(0))+IF(((c_TMAP1OUT)-(0))&gt;=0,1,-1)*QUOTIENT(((c_TMAP1IN)-(c_TFWD)),2)),((c_TMAP1IN)-(c_TFWD)))+(0)+IF(((c_TMAP1OUT)-(0))&gt;=0,IF(IF(o_WRAP=1,MOD(((c_TMAP1IN)-(c_TFWD))*(((K211)-(c_TFWD))*((c_TMAP1OUT)-(0))+IF(((c_TMAP1OUT)-(0))&gt;=0,1,-1)*QUOTIENT(((c_TMAP1IN)-(c_TFWD)),2))+2147483648,4294967296)-2147483648,((c_TMAP1IN)-(c_TFWD))*(((K211)-(c_TFWD))*((c_TMAP1OUT)-(0))+IF(((c_TMAP1OUT)-(0))&gt;=0,1,-1)*QUOTIENT(((c_TMAP1IN)-(c_TFWD)),2)))&lt;0,-1,0),IF(IF(o_WRAP=1,MOD(((c_TMAP1IN)-(c_TFWD))*(((K211)-(c_TFWD))*((c_TMAP1OUT)-(0))+IF(((c_TMAP1OUT)-(0))&gt;=0,1,-1)*QUOTIENT(((c_TMAP1IN)-(c_TFWD)),2))+2147483648,4294967296)-2147483648,((c_TMAP1IN)-(c_TFWD))*(((K211)-(c_TFWD))*((c_TMAP1OUT)-(0))+IF(((c_TMAP1OUT)-(0))&gt;=0,1,-1)*QUOTIENT(((c_TMAP1IN)-(c_TFWD)),2)))&gt;=0,1,0)))</f>
        <v>384</v>
      </c>
      <c r="N211" s="7" t="n">
        <f aca="false">IF(((c_TMAP2IN)-(c_TMAP1IN))=0,(c_TMAP1OUT)+QUOTIENT(((c_TMAP2OUT)-(c_TMAP1OUT)),2),QUOTIENT((((K211)-(c_TMAP1IN))*((c_TMAP2OUT)-(c_TMAP1OUT))+IF(((c_TMAP2OUT)-(c_TMAP1OUT))&gt;=0,1,-1)*QUOTIENT(((c_TMAP2IN)-(c_TMAP1IN)),2)),((c_TMAP2IN)-(c_TMAP1IN)))+(c_TMAP1OUT)+IF(((c_TMAP2OUT)-(c_TMAP1OUT))&gt;=0,IF(IF(o_WRAP=1,MOD(((c_TMAP2IN)-(c_TMAP1IN))*(((K211)-(c_TMAP1IN))*((c_TMAP2OUT)-(c_TMAP1OUT))+IF(((c_TMAP2OUT)-(c_TMAP1OUT))&gt;=0,1,-1)*QUOTIENT(((c_TMAP2IN)-(c_TMAP1IN)),2))+2147483648,4294967296)-2147483648,((c_TMAP2IN)-(c_TMAP1IN))*(((K211)-(c_TMAP1IN))*((c_TMAP2OUT)-(c_TMAP1OUT))+IF(((c_TMAP2OUT)-(c_TMAP1OUT))&gt;=0,1,-1)*QUOTIENT(((c_TMAP2IN)-(c_TMAP1IN)),2)))&lt;0,-1,0),IF(IF(o_WRAP=1,MOD(((c_TMAP2IN)-(c_TMAP1IN))*(((K211)-(c_TMAP1IN))*((c_TMAP2OUT)-(c_TMAP1OUT))+IF(((c_TMAP2OUT)-(c_TMAP1OUT))&gt;=0,1,-1)*QUOTIENT(((c_TMAP2IN)-(c_TMAP1IN)),2))+2147483648,4294967296)-2147483648,((c_TMAP2IN)-(c_TMAP1IN))*(((K211)-(c_TMAP1IN))*((c_TMAP2OUT)-(c_TMAP1OUT))+IF(((c_TMAP2OUT)-(c_TMAP1OUT))&gt;=0,1,-1)*QUOTIENT(((c_TMAP2IN)-(c_TMAP1IN)),2)))&gt;=0,1,0)))</f>
        <v>232</v>
      </c>
      <c r="O211" s="7" t="n">
        <f aca="false">IF(((c_TMAP3IN)-(c_TMAP2IN))=0,(c_TMAP2OUT)+QUOTIENT(((c_TMAP3OUT)-(c_TMAP2OUT)),2),QUOTIENT((((K211)-(c_TMAP2IN))*((c_TMAP3OUT)-(c_TMAP2OUT))+IF(((c_TMAP3OUT)-(c_TMAP2OUT))&gt;=0,1,-1)*QUOTIENT(((c_TMAP3IN)-(c_TMAP2IN)),2)),((c_TMAP3IN)-(c_TMAP2IN)))+(c_TMAP2OUT)+IF(((c_TMAP3OUT)-(c_TMAP2OUT))&gt;=0,IF(IF(o_WRAP=1,MOD(((c_TMAP3IN)-(c_TMAP2IN))*(((K211)-(c_TMAP2IN))*((c_TMAP3OUT)-(c_TMAP2OUT))+IF(((c_TMAP3OUT)-(c_TMAP2OUT))&gt;=0,1,-1)*QUOTIENT(((c_TMAP3IN)-(c_TMAP2IN)),2))+2147483648,4294967296)-2147483648,((c_TMAP3IN)-(c_TMAP2IN))*(((K211)-(c_TMAP2IN))*((c_TMAP3OUT)-(c_TMAP2OUT))+IF(((c_TMAP3OUT)-(c_TMAP2OUT))&gt;=0,1,-1)*QUOTIENT(((c_TMAP3IN)-(c_TMAP2IN)),2)))&lt;0,-1,0),IF(IF(o_WRAP=1,MOD(((c_TMAP3IN)-(c_TMAP2IN))*(((K211)-(c_TMAP2IN))*((c_TMAP3OUT)-(c_TMAP2OUT))+IF(((c_TMAP3OUT)-(c_TMAP2OUT))&gt;=0,1,-1)*QUOTIENT(((c_TMAP3IN)-(c_TMAP2IN)),2))+2147483648,4294967296)-2147483648,((c_TMAP3IN)-(c_TMAP2IN))*(((K211)-(c_TMAP2IN))*((c_TMAP3OUT)-(c_TMAP2OUT))+IF(((c_TMAP3OUT)-(c_TMAP2OUT))&gt;=0,1,-1)*QUOTIENT(((c_TMAP3IN)-(c_TMAP2IN)),2)))&gt;=0,1,0)))</f>
        <v>308</v>
      </c>
      <c r="P211" s="7" t="n">
        <f aca="false">IF(((1000)-(c_TMAP3IN))=0,(c_TMAP3OUT)+QUOTIENT(((1000)-(c_TMAP3OUT)),2),QUOTIENT((((K211)-(c_TMAP3IN))*((1000)-(c_TMAP3OUT))+IF(((1000)-(c_TMAP3OUT))&gt;=0,1,-1)*QUOTIENT(((1000)-(c_TMAP3IN)),2)),((1000)-(c_TMAP3IN)))+(c_TMAP3OUT)+IF(((1000)-(c_TMAP3OUT))&gt;=0,IF(IF(o_WRAP=1,MOD(((1000)-(c_TMAP3IN))*(((K211)-(c_TMAP3IN))*((1000)-(c_TMAP3OUT))+IF(((1000)-(c_TMAP3OUT))&gt;=0,1,-1)*QUOTIENT(((1000)-(c_TMAP3IN)),2))+2147483648,4294967296)-2147483648,((1000)-(c_TMAP3IN))*(((K211)-(c_TMAP3IN))*((1000)-(c_TMAP3OUT))+IF(((1000)-(c_TMAP3OUT))&gt;=0,1,-1)*QUOTIENT(((1000)-(c_TMAP3IN)),2)))&lt;0,-1,0),IF(IF(o_WRAP=1,MOD(((1000)-(c_TMAP3IN))*(((K211)-(c_TMAP3IN))*((1000)-(c_TMAP3OUT))+IF(((1000)-(c_TMAP3OUT))&gt;=0,1,-1)*QUOTIENT(((1000)-(c_TMAP3IN)),2))+2147483648,4294967296)-2147483648,((1000)-(c_TMAP3IN))*(((K211)-(c_TMAP3IN))*((1000)-(c_TMAP3OUT))+IF(((1000)-(c_TMAP3OUT))&gt;=0,1,-1)*QUOTIENT(((1000)-(c_TMAP3IN)),2)))&gt;=0,1,0)))</f>
        <v>390</v>
      </c>
      <c r="Q211" s="7" t="str">
        <f aca="false">IF(K211&gt;=c_TFWD,IF(AND(K211&gt;=c_TMAP3IN,c_TMAP3IN&lt;1000),"Seg4 map3-100%",IF(AND(K211&gt;=c_TMAP2IN,c_TMAP3IN&gt;c_TMAP2IN),"Seg3 map2-map3",IF(AND(K211&gt;=c_TMAP1IN,c_TMAP2IN&gt;c_TMAP1IN),"Seg2 map1-map2","Seg1 TFWD-map1"))),IF(AND(K211=0,c_TCREEP&gt;0),"Creep",IF(AND(K211&lt;=c_TRNGMIN,K211&gt;=c_TRNGMAX,c_TRNGMIN-c_TRNGMAX&lt;&gt;0),"Regen ramp","Coast (0)")))</f>
        <v>Seg4 map3-100%</v>
      </c>
      <c r="R211" s="7" t="n">
        <f aca="false">IF(K211&gt;=c_TFWD,IF(AND(K211&gt;=c_TMAP3IN,c_TMAP3IN&lt;1000),P211,IF(AND(K211&gt;=c_TMAP2IN,c_TMAP3IN&gt;c_TMAP2IN),O211,IF(AND(K211&gt;=c_TMAP1IN,c_TMAP2IN&gt;c_TMAP1IN),N211,M211))),L211)</f>
        <v>390</v>
      </c>
      <c r="S211" s="7" t="str">
        <f aca="false">IF(R211&lt;-1090,"TOO LOW",IF(R211&gt;1090,"TOO HIGH",""))</f>
        <v/>
      </c>
      <c r="T211" s="15" t="n">
        <f aca="false">IF(H211&lt;&gt;"OK",0,IF(S211&lt;&gt;"",0,IF(R211&gt;979,1000,R211)))</f>
        <v>390</v>
      </c>
      <c r="U211" s="7" t="n">
        <f aca="false">T211/10</f>
        <v>39</v>
      </c>
    </row>
    <row r="212" customFormat="false" ht="15" hidden="false" customHeight="false" outlineLevel="0" collapsed="false">
      <c r="A212" s="7" t="n">
        <v>207</v>
      </c>
      <c r="B212" s="7" t="n">
        <f aca="false">ROUND(o_SWSTART+A212*(o_SWEND-o_SWSTART)/400,0)</f>
        <v>2119</v>
      </c>
      <c r="C212" s="7" t="n">
        <f aca="false">QUOTIENT((B212-c_OFF1)*c_GAIN1,1024)</f>
        <v>2119</v>
      </c>
      <c r="D212" s="7" t="n">
        <f aca="false">IF(((c_T1MX)-(c_T1MN))=0,(0)+QUOTIENT(((1000)-(0)),2),QUOTIENT((((C212)-(c_T1MN))*((1000)-(0))+IF(((1000)-(0))&gt;=0,1,-1)*QUOTIENT(((c_T1MX)-(c_T1MN)),2)),((c_T1MX)-(c_T1MN)))+(0)+IF(((1000)-(0))&gt;=0,IF(IF(o_WRAP=1,MOD(((c_T1MX)-(c_T1MN))*(((C212)-(c_T1MN))*((1000)-(0))+IF(((1000)-(0))&gt;=0,1,-1)*QUOTIENT(((c_T1MX)-(c_T1MN)),2))+2147483648,4294967296)-2147483648,((c_T1MX)-(c_T1MN))*(((C212)-(c_T1MN))*((1000)-(0))+IF(((1000)-(0))&gt;=0,1,-1)*QUOTIENT(((c_T1MX)-(c_T1MN)),2)))&lt;0,-1,0),IF(IF(o_WRAP=1,MOD(((c_T1MX)-(c_T1MN))*(((C212)-(c_T1MN))*((1000)-(0))+IF(((1000)-(0))&gt;=0,1,-1)*QUOTIENT(((c_T1MX)-(c_T1MN)),2))+2147483648,4294967296)-2147483648,((c_T1MX)-(c_T1MN))*(((C212)-(c_T1MN))*((1000)-(0))+IF(((1000)-(0))&gt;=0,1,-1)*QUOTIENT(((c_T1MX)-(c_T1MN)),2)))&gt;=0,1,0)))</f>
        <v>507</v>
      </c>
      <c r="E212" s="7" t="n">
        <f aca="false">IF(AND(c_TPOT=1,c_TTYPE=2),1000-D212,D212)</f>
        <v>507</v>
      </c>
      <c r="F212" s="7" t="str">
        <f aca="false">IF(c_TPOT&gt;1,ROUND(IF(c_TTYPE=2,c_T2MX-IF(c_T1MX=c_T1MN,0,(C212-c_T1MN)/(c_T1MX-c_T1MN))*(c_T2MX-c_T2MN),c_T2MN+IF(c_T1MX=c_T1MN,0,(C212-c_T1MN)/(c_T1MX-c_T1MN))*(c_T2MX-c_T2MN))+o_MISMATCH,0),"")</f>
        <v/>
      </c>
      <c r="G212" s="7" t="str">
        <f aca="false">IF(c_TPOT&gt;1,IF(((c_T2MX)-(c_T2MN))=0,(0)+QUOTIENT(((1000)-(0)),2),QUOTIENT((((F212)-(c_T2MN))*((1000)-(0))+IF(((1000)-(0))&gt;=0,1,-1)*QUOTIENT(((c_T2MX)-(c_T2MN)),2)),((c_T2MX)-(c_T2MN)))+(0)+IF(((1000)-(0))&gt;=0,IF(IF(o_WRAP=1,MOD(((c_T2MX)-(c_T2MN))*(((F212)-(c_T2MN))*((1000)-(0))+IF(((1000)-(0))&gt;=0,1,-1)*QUOTIENT(((c_T2MX)-(c_T2MN)),2))+2147483648,4294967296)-2147483648,((c_T2MX)-(c_T2MN))*(((F212)-(c_T2MN))*((1000)-(0))+IF(((1000)-(0))&gt;=0,1,-1)*QUOTIENT(((c_T2MX)-(c_T2MN)),2)))&lt;0,-1,0),IF(IF(o_WRAP=1,MOD(((c_T2MX)-(c_T2MN))*(((F212)-(c_T2MN))*((1000)-(0))+IF(((1000)-(0))&gt;=0,1,-1)*QUOTIENT(((c_T2MX)-(c_T2MN)),2))+2147483648,4294967296)-2147483648,((c_T2MX)-(c_T2MN))*(((F212)-(c_T2MN))*((1000)-(0))+IF(((1000)-(0))&gt;=0,1,-1)*QUOTIENT(((c_T2MX)-(c_T2MN)),2)))&gt;=0,1,0))),"")</f>
        <v/>
      </c>
      <c r="H212" s="7" t="str">
        <f aca="false">IF(E212&gt;1000+k_TOL,"T1 HIGH",IF(E212&lt;0-k_TOL,"T1 LOW",IF(c_TPOT&gt;1,IF(G212&gt;1000+k_TOL,"T2 HIGH",IF(G212&lt;0-k_TOL,"T2 LOW",IF(c_TTYPE=2,IF(ABS(1000-MAX(0,MIN(1000,E212))-MAX(0,MIN(1000,G212)))&gt;k_MAXERR,"MISMATCH","OK"),IF(OR(MAX(0,MIN(1000,E212))-k_MAXERR&gt;MAX(0,MIN(1000,G212)),MAX(0,MIN(1000,G212))-k_MAXERR&gt;MAX(0,MIN(1000,E212))),"MISMATCH","OK")))),"OK")))</f>
        <v>OK</v>
      </c>
      <c r="I212" s="7" t="n">
        <f aca="false">MAX(0,MIN(1000,D212))</f>
        <v>507</v>
      </c>
      <c r="J212" s="7" t="str">
        <f aca="false">IF(c_TPOT&gt;1,IF(c_TTYPE=2,1000-MAX(0,MIN(1000,G212)),MAX(0,MIN(1000,G212))),"")</f>
        <v/>
      </c>
      <c r="K212" s="7" t="n">
        <f aca="false">IF(c_TPOT&gt;1,QUOTIENT(I212+J212,2),I212)</f>
        <v>507</v>
      </c>
      <c r="L212" s="7" t="n">
        <f aca="false">IF(AND(K212=0,c_TCREEP&gt;0),10*c_TCREEP,IF(AND(K212&lt;=c_TRNGMIN,K212&gt;=c_TRNGMAX,c_TRNGMIN-c_TRNGMAX&lt;&gt;0),-10*c_TMINRN+QUOTIENT((c_TMAXRN-c_TMINRN)*(100-QUOTIENT((K212-c_TRNGMAX)*100,c_TRNGMIN-c_TRNGMAX)),-10),0))</f>
        <v>0</v>
      </c>
      <c r="M212" s="7" t="n">
        <f aca="false">IF(((c_TMAP1IN)-(c_TFWD))=0,(0)+QUOTIENT(((c_TMAP1OUT)-(0)),2),QUOTIENT((((K212)-(c_TFWD))*((c_TMAP1OUT)-(0))+IF(((c_TMAP1OUT)-(0))&gt;=0,1,-1)*QUOTIENT(((c_TMAP1IN)-(c_TFWD)),2)),((c_TMAP1IN)-(c_TFWD)))+(0)+IF(((c_TMAP1OUT)-(0))&gt;=0,IF(IF(o_WRAP=1,MOD(((c_TMAP1IN)-(c_TFWD))*(((K212)-(c_TFWD))*((c_TMAP1OUT)-(0))+IF(((c_TMAP1OUT)-(0))&gt;=0,1,-1)*QUOTIENT(((c_TMAP1IN)-(c_TFWD)),2))+2147483648,4294967296)-2147483648,((c_TMAP1IN)-(c_TFWD))*(((K212)-(c_TFWD))*((c_TMAP1OUT)-(0))+IF(((c_TMAP1OUT)-(0))&gt;=0,1,-1)*QUOTIENT(((c_TMAP1IN)-(c_TFWD)),2)))&lt;0,-1,0),IF(IF(o_WRAP=1,MOD(((c_TMAP1IN)-(c_TFWD))*(((K212)-(c_TFWD))*((c_TMAP1OUT)-(0))+IF(((c_TMAP1OUT)-(0))&gt;=0,1,-1)*QUOTIENT(((c_TMAP1IN)-(c_TFWD)),2))+2147483648,4294967296)-2147483648,((c_TMAP1IN)-(c_TFWD))*(((K212)-(c_TFWD))*((c_TMAP1OUT)-(0))+IF(((c_TMAP1OUT)-(0))&gt;=0,1,-1)*QUOTIENT(((c_TMAP1IN)-(c_TFWD)),2)))&gt;=0,1,0)))</f>
        <v>387</v>
      </c>
      <c r="N212" s="7" t="n">
        <f aca="false">IF(((c_TMAP2IN)-(c_TMAP1IN))=0,(c_TMAP1OUT)+QUOTIENT(((c_TMAP2OUT)-(c_TMAP1OUT)),2),QUOTIENT((((K212)-(c_TMAP1IN))*((c_TMAP2OUT)-(c_TMAP1OUT))+IF(((c_TMAP2OUT)-(c_TMAP1OUT))&gt;=0,1,-1)*QUOTIENT(((c_TMAP2IN)-(c_TMAP1IN)),2)),((c_TMAP2IN)-(c_TMAP1IN)))+(c_TMAP1OUT)+IF(((c_TMAP2OUT)-(c_TMAP1OUT))&gt;=0,IF(IF(o_WRAP=1,MOD(((c_TMAP2IN)-(c_TMAP1IN))*(((K212)-(c_TMAP1IN))*((c_TMAP2OUT)-(c_TMAP1OUT))+IF(((c_TMAP2OUT)-(c_TMAP1OUT))&gt;=0,1,-1)*QUOTIENT(((c_TMAP2IN)-(c_TMAP1IN)),2))+2147483648,4294967296)-2147483648,((c_TMAP2IN)-(c_TMAP1IN))*(((K212)-(c_TMAP1IN))*((c_TMAP2OUT)-(c_TMAP1OUT))+IF(((c_TMAP2OUT)-(c_TMAP1OUT))&gt;=0,1,-1)*QUOTIENT(((c_TMAP2IN)-(c_TMAP1IN)),2)))&lt;0,-1,0),IF(IF(o_WRAP=1,MOD(((c_TMAP2IN)-(c_TMAP1IN))*(((K212)-(c_TMAP1IN))*((c_TMAP2OUT)-(c_TMAP1OUT))+IF(((c_TMAP2OUT)-(c_TMAP1OUT))&gt;=0,1,-1)*QUOTIENT(((c_TMAP2IN)-(c_TMAP1IN)),2))+2147483648,4294967296)-2147483648,((c_TMAP2IN)-(c_TMAP1IN))*(((K212)-(c_TMAP1IN))*((c_TMAP2OUT)-(c_TMAP1OUT))+IF(((c_TMAP2OUT)-(c_TMAP1OUT))&gt;=0,1,-1)*QUOTIENT(((c_TMAP2IN)-(c_TMAP1IN)),2)))&gt;=0,1,0)))</f>
        <v>233</v>
      </c>
      <c r="O212" s="7" t="n">
        <f aca="false">IF(((c_TMAP3IN)-(c_TMAP2IN))=0,(c_TMAP2OUT)+QUOTIENT(((c_TMAP3OUT)-(c_TMAP2OUT)),2),QUOTIENT((((K212)-(c_TMAP2IN))*((c_TMAP3OUT)-(c_TMAP2OUT))+IF(((c_TMAP3OUT)-(c_TMAP2OUT))&gt;=0,1,-1)*QUOTIENT(((c_TMAP3IN)-(c_TMAP2IN)),2)),((c_TMAP3IN)-(c_TMAP2IN)))+(c_TMAP2OUT)+IF(((c_TMAP3OUT)-(c_TMAP2OUT))&gt;=0,IF(IF(o_WRAP=1,MOD(((c_TMAP3IN)-(c_TMAP2IN))*(((K212)-(c_TMAP2IN))*((c_TMAP3OUT)-(c_TMAP2OUT))+IF(((c_TMAP3OUT)-(c_TMAP2OUT))&gt;=0,1,-1)*QUOTIENT(((c_TMAP3IN)-(c_TMAP2IN)),2))+2147483648,4294967296)-2147483648,((c_TMAP3IN)-(c_TMAP2IN))*(((K212)-(c_TMAP2IN))*((c_TMAP3OUT)-(c_TMAP2OUT))+IF(((c_TMAP3OUT)-(c_TMAP2OUT))&gt;=0,1,-1)*QUOTIENT(((c_TMAP3IN)-(c_TMAP2IN)),2)))&lt;0,-1,0),IF(IF(o_WRAP=1,MOD(((c_TMAP3IN)-(c_TMAP2IN))*(((K212)-(c_TMAP2IN))*((c_TMAP3OUT)-(c_TMAP2OUT))+IF(((c_TMAP3OUT)-(c_TMAP2OUT))&gt;=0,1,-1)*QUOTIENT(((c_TMAP3IN)-(c_TMAP2IN)),2))+2147483648,4294967296)-2147483648,((c_TMAP3IN)-(c_TMAP2IN))*(((K212)-(c_TMAP2IN))*((c_TMAP3OUT)-(c_TMAP2OUT))+IF(((c_TMAP3OUT)-(c_TMAP2OUT))&gt;=0,1,-1)*QUOTIENT(((c_TMAP3IN)-(c_TMAP2IN)),2)))&gt;=0,1,0)))</f>
        <v>310</v>
      </c>
      <c r="P212" s="7" t="n">
        <f aca="false">IF(((1000)-(c_TMAP3IN))=0,(c_TMAP3OUT)+QUOTIENT(((1000)-(c_TMAP3OUT)),2),QUOTIENT((((K212)-(c_TMAP3IN))*((1000)-(c_TMAP3OUT))+IF(((1000)-(c_TMAP3OUT))&gt;=0,1,-1)*QUOTIENT(((1000)-(c_TMAP3IN)),2)),((1000)-(c_TMAP3IN)))+(c_TMAP3OUT)+IF(((1000)-(c_TMAP3OUT))&gt;=0,IF(IF(o_WRAP=1,MOD(((1000)-(c_TMAP3IN))*(((K212)-(c_TMAP3IN))*((1000)-(c_TMAP3OUT))+IF(((1000)-(c_TMAP3OUT))&gt;=0,1,-1)*QUOTIENT(((1000)-(c_TMAP3IN)),2))+2147483648,4294967296)-2147483648,((1000)-(c_TMAP3IN))*(((K212)-(c_TMAP3IN))*((1000)-(c_TMAP3OUT))+IF(((1000)-(c_TMAP3OUT))&gt;=0,1,-1)*QUOTIENT(((1000)-(c_TMAP3IN)),2)))&lt;0,-1,0),IF(IF(o_WRAP=1,MOD(((1000)-(c_TMAP3IN))*(((K212)-(c_TMAP3IN))*((1000)-(c_TMAP3OUT))+IF(((1000)-(c_TMAP3OUT))&gt;=0,1,-1)*QUOTIENT(((1000)-(c_TMAP3IN)),2))+2147483648,4294967296)-2147483648,((1000)-(c_TMAP3IN))*(((K212)-(c_TMAP3IN))*((1000)-(c_TMAP3OUT))+IF(((1000)-(c_TMAP3OUT))&gt;=0,1,-1)*QUOTIENT(((1000)-(c_TMAP3IN)),2)))&gt;=0,1,0)))</f>
        <v>393</v>
      </c>
      <c r="Q212" s="7" t="str">
        <f aca="false">IF(K212&gt;=c_TFWD,IF(AND(K212&gt;=c_TMAP3IN,c_TMAP3IN&lt;1000),"Seg4 map3-100%",IF(AND(K212&gt;=c_TMAP2IN,c_TMAP3IN&gt;c_TMAP2IN),"Seg3 map2-map3",IF(AND(K212&gt;=c_TMAP1IN,c_TMAP2IN&gt;c_TMAP1IN),"Seg2 map1-map2","Seg1 TFWD-map1"))),IF(AND(K212=0,c_TCREEP&gt;0),"Creep",IF(AND(K212&lt;=c_TRNGMIN,K212&gt;=c_TRNGMAX,c_TRNGMIN-c_TRNGMAX&lt;&gt;0),"Regen ramp","Coast (0)")))</f>
        <v>Seg4 map3-100%</v>
      </c>
      <c r="R212" s="7" t="n">
        <f aca="false">IF(K212&gt;=c_TFWD,IF(AND(K212&gt;=c_TMAP3IN,c_TMAP3IN&lt;1000),P212,IF(AND(K212&gt;=c_TMAP2IN,c_TMAP3IN&gt;c_TMAP2IN),O212,IF(AND(K212&gt;=c_TMAP1IN,c_TMAP2IN&gt;c_TMAP1IN),N212,M212))),L212)</f>
        <v>393</v>
      </c>
      <c r="S212" s="7" t="str">
        <f aca="false">IF(R212&lt;-1090,"TOO LOW",IF(R212&gt;1090,"TOO HIGH",""))</f>
        <v/>
      </c>
      <c r="T212" s="15" t="n">
        <f aca="false">IF(H212&lt;&gt;"OK",0,IF(S212&lt;&gt;"",0,IF(R212&gt;979,1000,R212)))</f>
        <v>393</v>
      </c>
      <c r="U212" s="7" t="n">
        <f aca="false">T212/10</f>
        <v>39.3</v>
      </c>
    </row>
    <row r="213" customFormat="false" ht="15" hidden="false" customHeight="false" outlineLevel="0" collapsed="false">
      <c r="A213" s="7" t="n">
        <v>208</v>
      </c>
      <c r="B213" s="7" t="n">
        <f aca="false">ROUND(o_SWSTART+A213*(o_SWEND-o_SWSTART)/400,0)</f>
        <v>2129</v>
      </c>
      <c r="C213" s="7" t="n">
        <f aca="false">QUOTIENT((B213-c_OFF1)*c_GAIN1,1024)</f>
        <v>2129</v>
      </c>
      <c r="D213" s="7" t="n">
        <f aca="false">IF(((c_T1MX)-(c_T1MN))=0,(0)+QUOTIENT(((1000)-(0)),2),QUOTIENT((((C213)-(c_T1MN))*((1000)-(0))+IF(((1000)-(0))&gt;=0,1,-1)*QUOTIENT(((c_T1MX)-(c_T1MN)),2)),((c_T1MX)-(c_T1MN)))+(0)+IF(((1000)-(0))&gt;=0,IF(IF(o_WRAP=1,MOD(((c_T1MX)-(c_T1MN))*(((C213)-(c_T1MN))*((1000)-(0))+IF(((1000)-(0))&gt;=0,1,-1)*QUOTIENT(((c_T1MX)-(c_T1MN)),2))+2147483648,4294967296)-2147483648,((c_T1MX)-(c_T1MN))*(((C213)-(c_T1MN))*((1000)-(0))+IF(((1000)-(0))&gt;=0,1,-1)*QUOTIENT(((c_T1MX)-(c_T1MN)),2)))&lt;0,-1,0),IF(IF(o_WRAP=1,MOD(((c_T1MX)-(c_T1MN))*(((C213)-(c_T1MN))*((1000)-(0))+IF(((1000)-(0))&gt;=0,1,-1)*QUOTIENT(((c_T1MX)-(c_T1MN)),2))+2147483648,4294967296)-2147483648,((c_T1MX)-(c_T1MN))*(((C213)-(c_T1MN))*((1000)-(0))+IF(((1000)-(0))&gt;=0,1,-1)*QUOTIENT(((c_T1MX)-(c_T1MN)),2)))&gt;=0,1,0)))</f>
        <v>511</v>
      </c>
      <c r="E213" s="7" t="n">
        <f aca="false">IF(AND(c_TPOT=1,c_TTYPE=2),1000-D213,D213)</f>
        <v>511</v>
      </c>
      <c r="F213" s="7" t="str">
        <f aca="false">IF(c_TPOT&gt;1,ROUND(IF(c_TTYPE=2,c_T2MX-IF(c_T1MX=c_T1MN,0,(C213-c_T1MN)/(c_T1MX-c_T1MN))*(c_T2MX-c_T2MN),c_T2MN+IF(c_T1MX=c_T1MN,0,(C213-c_T1MN)/(c_T1MX-c_T1MN))*(c_T2MX-c_T2MN))+o_MISMATCH,0),"")</f>
        <v/>
      </c>
      <c r="G213" s="7" t="str">
        <f aca="false">IF(c_TPOT&gt;1,IF(((c_T2MX)-(c_T2MN))=0,(0)+QUOTIENT(((1000)-(0)),2),QUOTIENT((((F213)-(c_T2MN))*((1000)-(0))+IF(((1000)-(0))&gt;=0,1,-1)*QUOTIENT(((c_T2MX)-(c_T2MN)),2)),((c_T2MX)-(c_T2MN)))+(0)+IF(((1000)-(0))&gt;=0,IF(IF(o_WRAP=1,MOD(((c_T2MX)-(c_T2MN))*(((F213)-(c_T2MN))*((1000)-(0))+IF(((1000)-(0))&gt;=0,1,-1)*QUOTIENT(((c_T2MX)-(c_T2MN)),2))+2147483648,4294967296)-2147483648,((c_T2MX)-(c_T2MN))*(((F213)-(c_T2MN))*((1000)-(0))+IF(((1000)-(0))&gt;=0,1,-1)*QUOTIENT(((c_T2MX)-(c_T2MN)),2)))&lt;0,-1,0),IF(IF(o_WRAP=1,MOD(((c_T2MX)-(c_T2MN))*(((F213)-(c_T2MN))*((1000)-(0))+IF(((1000)-(0))&gt;=0,1,-1)*QUOTIENT(((c_T2MX)-(c_T2MN)),2))+2147483648,4294967296)-2147483648,((c_T2MX)-(c_T2MN))*(((F213)-(c_T2MN))*((1000)-(0))+IF(((1000)-(0))&gt;=0,1,-1)*QUOTIENT(((c_T2MX)-(c_T2MN)),2)))&gt;=0,1,0))),"")</f>
        <v/>
      </c>
      <c r="H213" s="7" t="str">
        <f aca="false">IF(E213&gt;1000+k_TOL,"T1 HIGH",IF(E213&lt;0-k_TOL,"T1 LOW",IF(c_TPOT&gt;1,IF(G213&gt;1000+k_TOL,"T2 HIGH",IF(G213&lt;0-k_TOL,"T2 LOW",IF(c_TTYPE=2,IF(ABS(1000-MAX(0,MIN(1000,E213))-MAX(0,MIN(1000,G213)))&gt;k_MAXERR,"MISMATCH","OK"),IF(OR(MAX(0,MIN(1000,E213))-k_MAXERR&gt;MAX(0,MIN(1000,G213)),MAX(0,MIN(1000,G213))-k_MAXERR&gt;MAX(0,MIN(1000,E213))),"MISMATCH","OK")))),"OK")))</f>
        <v>OK</v>
      </c>
      <c r="I213" s="7" t="n">
        <f aca="false">MAX(0,MIN(1000,D213))</f>
        <v>511</v>
      </c>
      <c r="J213" s="7" t="str">
        <f aca="false">IF(c_TPOT&gt;1,IF(c_TTYPE=2,1000-MAX(0,MIN(1000,G213)),MAX(0,MIN(1000,G213))),"")</f>
        <v/>
      </c>
      <c r="K213" s="7" t="n">
        <f aca="false">IF(c_TPOT&gt;1,QUOTIENT(I213+J213,2),I213)</f>
        <v>511</v>
      </c>
      <c r="L213" s="7" t="n">
        <f aca="false">IF(AND(K213=0,c_TCREEP&gt;0),10*c_TCREEP,IF(AND(K213&lt;=c_TRNGMIN,K213&gt;=c_TRNGMAX,c_TRNGMIN-c_TRNGMAX&lt;&gt;0),-10*c_TMINRN+QUOTIENT((c_TMAXRN-c_TMINRN)*(100-QUOTIENT((K213-c_TRNGMAX)*100,c_TRNGMIN-c_TRNGMAX)),-10),0))</f>
        <v>0</v>
      </c>
      <c r="M213" s="7" t="n">
        <f aca="false">IF(((c_TMAP1IN)-(c_TFWD))=0,(0)+QUOTIENT(((c_TMAP1OUT)-(0)),2),QUOTIENT((((K213)-(c_TFWD))*((c_TMAP1OUT)-(0))+IF(((c_TMAP1OUT)-(0))&gt;=0,1,-1)*QUOTIENT(((c_TMAP1IN)-(c_TFWD)),2)),((c_TMAP1IN)-(c_TFWD)))+(0)+IF(((c_TMAP1OUT)-(0))&gt;=0,IF(IF(o_WRAP=1,MOD(((c_TMAP1IN)-(c_TFWD))*(((K213)-(c_TFWD))*((c_TMAP1OUT)-(0))+IF(((c_TMAP1OUT)-(0))&gt;=0,1,-1)*QUOTIENT(((c_TMAP1IN)-(c_TFWD)),2))+2147483648,4294967296)-2147483648,((c_TMAP1IN)-(c_TFWD))*(((K213)-(c_TFWD))*((c_TMAP1OUT)-(0))+IF(((c_TMAP1OUT)-(0))&gt;=0,1,-1)*QUOTIENT(((c_TMAP1IN)-(c_TFWD)),2)))&lt;0,-1,0),IF(IF(o_WRAP=1,MOD(((c_TMAP1IN)-(c_TFWD))*(((K213)-(c_TFWD))*((c_TMAP1OUT)-(0))+IF(((c_TMAP1OUT)-(0))&gt;=0,1,-1)*QUOTIENT(((c_TMAP1IN)-(c_TFWD)),2))+2147483648,4294967296)-2147483648,((c_TMAP1IN)-(c_TFWD))*(((K213)-(c_TFWD))*((c_TMAP1OUT)-(0))+IF(((c_TMAP1OUT)-(0))&gt;=0,1,-1)*QUOTIENT(((c_TMAP1IN)-(c_TFWD)),2)))&gt;=0,1,0)))</f>
        <v>390</v>
      </c>
      <c r="N213" s="7" t="n">
        <f aca="false">IF(((c_TMAP2IN)-(c_TMAP1IN))=0,(c_TMAP1OUT)+QUOTIENT(((c_TMAP2OUT)-(c_TMAP1OUT)),2),QUOTIENT((((K213)-(c_TMAP1IN))*((c_TMAP2OUT)-(c_TMAP1OUT))+IF(((c_TMAP2OUT)-(c_TMAP1OUT))&gt;=0,1,-1)*QUOTIENT(((c_TMAP2IN)-(c_TMAP1IN)),2)),((c_TMAP2IN)-(c_TMAP1IN)))+(c_TMAP1OUT)+IF(((c_TMAP2OUT)-(c_TMAP1OUT))&gt;=0,IF(IF(o_WRAP=1,MOD(((c_TMAP2IN)-(c_TMAP1IN))*(((K213)-(c_TMAP1IN))*((c_TMAP2OUT)-(c_TMAP1OUT))+IF(((c_TMAP2OUT)-(c_TMAP1OUT))&gt;=0,1,-1)*QUOTIENT(((c_TMAP2IN)-(c_TMAP1IN)),2))+2147483648,4294967296)-2147483648,((c_TMAP2IN)-(c_TMAP1IN))*(((K213)-(c_TMAP1IN))*((c_TMAP2OUT)-(c_TMAP1OUT))+IF(((c_TMAP2OUT)-(c_TMAP1OUT))&gt;=0,1,-1)*QUOTIENT(((c_TMAP2IN)-(c_TMAP1IN)),2)))&lt;0,-1,0),IF(IF(o_WRAP=1,MOD(((c_TMAP2IN)-(c_TMAP1IN))*(((K213)-(c_TMAP1IN))*((c_TMAP2OUT)-(c_TMAP1OUT))+IF(((c_TMAP2OUT)-(c_TMAP1OUT))&gt;=0,1,-1)*QUOTIENT(((c_TMAP2IN)-(c_TMAP1IN)),2))+2147483648,4294967296)-2147483648,((c_TMAP2IN)-(c_TMAP1IN))*(((K213)-(c_TMAP1IN))*((c_TMAP2OUT)-(c_TMAP1OUT))+IF(((c_TMAP2OUT)-(c_TMAP1OUT))&gt;=0,1,-1)*QUOTIENT(((c_TMAP2IN)-(c_TMAP1IN)),2)))&gt;=0,1,0)))</f>
        <v>234</v>
      </c>
      <c r="O213" s="7" t="n">
        <f aca="false">IF(((c_TMAP3IN)-(c_TMAP2IN))=0,(c_TMAP2OUT)+QUOTIENT(((c_TMAP3OUT)-(c_TMAP2OUT)),2),QUOTIENT((((K213)-(c_TMAP2IN))*((c_TMAP3OUT)-(c_TMAP2OUT))+IF(((c_TMAP3OUT)-(c_TMAP2OUT))&gt;=0,1,-1)*QUOTIENT(((c_TMAP3IN)-(c_TMAP2IN)),2)),((c_TMAP3IN)-(c_TMAP2IN)))+(c_TMAP2OUT)+IF(((c_TMAP3OUT)-(c_TMAP2OUT))&gt;=0,IF(IF(o_WRAP=1,MOD(((c_TMAP3IN)-(c_TMAP2IN))*(((K213)-(c_TMAP2IN))*((c_TMAP3OUT)-(c_TMAP2OUT))+IF(((c_TMAP3OUT)-(c_TMAP2OUT))&gt;=0,1,-1)*QUOTIENT(((c_TMAP3IN)-(c_TMAP2IN)),2))+2147483648,4294967296)-2147483648,((c_TMAP3IN)-(c_TMAP2IN))*(((K213)-(c_TMAP2IN))*((c_TMAP3OUT)-(c_TMAP2OUT))+IF(((c_TMAP3OUT)-(c_TMAP2OUT))&gt;=0,1,-1)*QUOTIENT(((c_TMAP3IN)-(c_TMAP2IN)),2)))&lt;0,-1,0),IF(IF(o_WRAP=1,MOD(((c_TMAP3IN)-(c_TMAP2IN))*(((K213)-(c_TMAP2IN))*((c_TMAP3OUT)-(c_TMAP2OUT))+IF(((c_TMAP3OUT)-(c_TMAP2OUT))&gt;=0,1,-1)*QUOTIENT(((c_TMAP3IN)-(c_TMAP2IN)),2))+2147483648,4294967296)-2147483648,((c_TMAP3IN)-(c_TMAP2IN))*(((K213)-(c_TMAP2IN))*((c_TMAP3OUT)-(c_TMAP2OUT))+IF(((c_TMAP3OUT)-(c_TMAP2OUT))&gt;=0,1,-1)*QUOTIENT(((c_TMAP3IN)-(c_TMAP2IN)),2)))&gt;=0,1,0)))</f>
        <v>313</v>
      </c>
      <c r="P213" s="7" t="n">
        <f aca="false">IF(((1000)-(c_TMAP3IN))=0,(c_TMAP3OUT)+QUOTIENT(((1000)-(c_TMAP3OUT)),2),QUOTIENT((((K213)-(c_TMAP3IN))*((1000)-(c_TMAP3OUT))+IF(((1000)-(c_TMAP3OUT))&gt;=0,1,-1)*QUOTIENT(((1000)-(c_TMAP3IN)),2)),((1000)-(c_TMAP3IN)))+(c_TMAP3OUT)+IF(((1000)-(c_TMAP3OUT))&gt;=0,IF(IF(o_WRAP=1,MOD(((1000)-(c_TMAP3IN))*(((K213)-(c_TMAP3IN))*((1000)-(c_TMAP3OUT))+IF(((1000)-(c_TMAP3OUT))&gt;=0,1,-1)*QUOTIENT(((1000)-(c_TMAP3IN)),2))+2147483648,4294967296)-2147483648,((1000)-(c_TMAP3IN))*(((K213)-(c_TMAP3IN))*((1000)-(c_TMAP3OUT))+IF(((1000)-(c_TMAP3OUT))&gt;=0,1,-1)*QUOTIENT(((1000)-(c_TMAP3IN)),2)))&lt;0,-1,0),IF(IF(o_WRAP=1,MOD(((1000)-(c_TMAP3IN))*(((K213)-(c_TMAP3IN))*((1000)-(c_TMAP3OUT))+IF(((1000)-(c_TMAP3OUT))&gt;=0,1,-1)*QUOTIENT(((1000)-(c_TMAP3IN)),2))+2147483648,4294967296)-2147483648,((1000)-(c_TMAP3IN))*(((K213)-(c_TMAP3IN))*((1000)-(c_TMAP3OUT))+IF(((1000)-(c_TMAP3OUT))&gt;=0,1,-1)*QUOTIENT(((1000)-(c_TMAP3IN)),2)))&gt;=0,1,0)))</f>
        <v>398</v>
      </c>
      <c r="Q213" s="7" t="str">
        <f aca="false">IF(K213&gt;=c_TFWD,IF(AND(K213&gt;=c_TMAP3IN,c_TMAP3IN&lt;1000),"Seg4 map3-100%",IF(AND(K213&gt;=c_TMAP2IN,c_TMAP3IN&gt;c_TMAP2IN),"Seg3 map2-map3",IF(AND(K213&gt;=c_TMAP1IN,c_TMAP2IN&gt;c_TMAP1IN),"Seg2 map1-map2","Seg1 TFWD-map1"))),IF(AND(K213=0,c_TCREEP&gt;0),"Creep",IF(AND(K213&lt;=c_TRNGMIN,K213&gt;=c_TRNGMAX,c_TRNGMIN-c_TRNGMAX&lt;&gt;0),"Regen ramp","Coast (0)")))</f>
        <v>Seg4 map3-100%</v>
      </c>
      <c r="R213" s="7" t="n">
        <f aca="false">IF(K213&gt;=c_TFWD,IF(AND(K213&gt;=c_TMAP3IN,c_TMAP3IN&lt;1000),P213,IF(AND(K213&gt;=c_TMAP2IN,c_TMAP3IN&gt;c_TMAP2IN),O213,IF(AND(K213&gt;=c_TMAP1IN,c_TMAP2IN&gt;c_TMAP1IN),N213,M213))),L213)</f>
        <v>398</v>
      </c>
      <c r="S213" s="7" t="str">
        <f aca="false">IF(R213&lt;-1090,"TOO LOW",IF(R213&gt;1090,"TOO HIGH",""))</f>
        <v/>
      </c>
      <c r="T213" s="15" t="n">
        <f aca="false">IF(H213&lt;&gt;"OK",0,IF(S213&lt;&gt;"",0,IF(R213&gt;979,1000,R213)))</f>
        <v>398</v>
      </c>
      <c r="U213" s="7" t="n">
        <f aca="false">T213/10</f>
        <v>39.8</v>
      </c>
    </row>
    <row r="214" customFormat="false" ht="15" hidden="false" customHeight="false" outlineLevel="0" collapsed="false">
      <c r="A214" s="7" t="n">
        <v>209</v>
      </c>
      <c r="B214" s="7" t="n">
        <f aca="false">ROUND(o_SWSTART+A214*(o_SWEND-o_SWSTART)/400,0)</f>
        <v>2140</v>
      </c>
      <c r="C214" s="7" t="n">
        <f aca="false">QUOTIENT((B214-c_OFF1)*c_GAIN1,1024)</f>
        <v>2140</v>
      </c>
      <c r="D214" s="7" t="n">
        <f aca="false">IF(((c_T1MX)-(c_T1MN))=0,(0)+QUOTIENT(((1000)-(0)),2),QUOTIENT((((C214)-(c_T1MN))*((1000)-(0))+IF(((1000)-(0))&gt;=0,1,-1)*QUOTIENT(((c_T1MX)-(c_T1MN)),2)),((c_T1MX)-(c_T1MN)))+(0)+IF(((1000)-(0))&gt;=0,IF(IF(o_WRAP=1,MOD(((c_T1MX)-(c_T1MN))*(((C214)-(c_T1MN))*((1000)-(0))+IF(((1000)-(0))&gt;=0,1,-1)*QUOTIENT(((c_T1MX)-(c_T1MN)),2))+2147483648,4294967296)-2147483648,((c_T1MX)-(c_T1MN))*(((C214)-(c_T1MN))*((1000)-(0))+IF(((1000)-(0))&gt;=0,1,-1)*QUOTIENT(((c_T1MX)-(c_T1MN)),2)))&lt;0,-1,0),IF(IF(o_WRAP=1,MOD(((c_T1MX)-(c_T1MN))*(((C214)-(c_T1MN))*((1000)-(0))+IF(((1000)-(0))&gt;=0,1,-1)*QUOTIENT(((c_T1MX)-(c_T1MN)),2))+2147483648,4294967296)-2147483648,((c_T1MX)-(c_T1MN))*(((C214)-(c_T1MN))*((1000)-(0))+IF(((1000)-(0))&gt;=0,1,-1)*QUOTIENT(((c_T1MX)-(c_T1MN)),2)))&gt;=0,1,0)))</f>
        <v>515</v>
      </c>
      <c r="E214" s="7" t="n">
        <f aca="false">IF(AND(c_TPOT=1,c_TTYPE=2),1000-D214,D214)</f>
        <v>515</v>
      </c>
      <c r="F214" s="7" t="str">
        <f aca="false">IF(c_TPOT&gt;1,ROUND(IF(c_TTYPE=2,c_T2MX-IF(c_T1MX=c_T1MN,0,(C214-c_T1MN)/(c_T1MX-c_T1MN))*(c_T2MX-c_T2MN),c_T2MN+IF(c_T1MX=c_T1MN,0,(C214-c_T1MN)/(c_T1MX-c_T1MN))*(c_T2MX-c_T2MN))+o_MISMATCH,0),"")</f>
        <v/>
      </c>
      <c r="G214" s="7" t="str">
        <f aca="false">IF(c_TPOT&gt;1,IF(((c_T2MX)-(c_T2MN))=0,(0)+QUOTIENT(((1000)-(0)),2),QUOTIENT((((F214)-(c_T2MN))*((1000)-(0))+IF(((1000)-(0))&gt;=0,1,-1)*QUOTIENT(((c_T2MX)-(c_T2MN)),2)),((c_T2MX)-(c_T2MN)))+(0)+IF(((1000)-(0))&gt;=0,IF(IF(o_WRAP=1,MOD(((c_T2MX)-(c_T2MN))*(((F214)-(c_T2MN))*((1000)-(0))+IF(((1000)-(0))&gt;=0,1,-1)*QUOTIENT(((c_T2MX)-(c_T2MN)),2))+2147483648,4294967296)-2147483648,((c_T2MX)-(c_T2MN))*(((F214)-(c_T2MN))*((1000)-(0))+IF(((1000)-(0))&gt;=0,1,-1)*QUOTIENT(((c_T2MX)-(c_T2MN)),2)))&lt;0,-1,0),IF(IF(o_WRAP=1,MOD(((c_T2MX)-(c_T2MN))*(((F214)-(c_T2MN))*((1000)-(0))+IF(((1000)-(0))&gt;=0,1,-1)*QUOTIENT(((c_T2MX)-(c_T2MN)),2))+2147483648,4294967296)-2147483648,((c_T2MX)-(c_T2MN))*(((F214)-(c_T2MN))*((1000)-(0))+IF(((1000)-(0))&gt;=0,1,-1)*QUOTIENT(((c_T2MX)-(c_T2MN)),2)))&gt;=0,1,0))),"")</f>
        <v/>
      </c>
      <c r="H214" s="7" t="str">
        <f aca="false">IF(E214&gt;1000+k_TOL,"T1 HIGH",IF(E214&lt;0-k_TOL,"T1 LOW",IF(c_TPOT&gt;1,IF(G214&gt;1000+k_TOL,"T2 HIGH",IF(G214&lt;0-k_TOL,"T2 LOW",IF(c_TTYPE=2,IF(ABS(1000-MAX(0,MIN(1000,E214))-MAX(0,MIN(1000,G214)))&gt;k_MAXERR,"MISMATCH","OK"),IF(OR(MAX(0,MIN(1000,E214))-k_MAXERR&gt;MAX(0,MIN(1000,G214)),MAX(0,MIN(1000,G214))-k_MAXERR&gt;MAX(0,MIN(1000,E214))),"MISMATCH","OK")))),"OK")))</f>
        <v>OK</v>
      </c>
      <c r="I214" s="7" t="n">
        <f aca="false">MAX(0,MIN(1000,D214))</f>
        <v>515</v>
      </c>
      <c r="J214" s="7" t="str">
        <f aca="false">IF(c_TPOT&gt;1,IF(c_TTYPE=2,1000-MAX(0,MIN(1000,G214)),MAX(0,MIN(1000,G214))),"")</f>
        <v/>
      </c>
      <c r="K214" s="7" t="n">
        <f aca="false">IF(c_TPOT&gt;1,QUOTIENT(I214+J214,2),I214)</f>
        <v>515</v>
      </c>
      <c r="L214" s="7" t="n">
        <f aca="false">IF(AND(K214=0,c_TCREEP&gt;0),10*c_TCREEP,IF(AND(K214&lt;=c_TRNGMIN,K214&gt;=c_TRNGMAX,c_TRNGMIN-c_TRNGMAX&lt;&gt;0),-10*c_TMINRN+QUOTIENT((c_TMAXRN-c_TMINRN)*(100-QUOTIENT((K214-c_TRNGMAX)*100,c_TRNGMIN-c_TRNGMAX)),-10),0))</f>
        <v>0</v>
      </c>
      <c r="M214" s="7" t="n">
        <f aca="false">IF(((c_TMAP1IN)-(c_TFWD))=0,(0)+QUOTIENT(((c_TMAP1OUT)-(0)),2),QUOTIENT((((K214)-(c_TFWD))*((c_TMAP1OUT)-(0))+IF(((c_TMAP1OUT)-(0))&gt;=0,1,-1)*QUOTIENT(((c_TMAP1IN)-(c_TFWD)),2)),((c_TMAP1IN)-(c_TFWD)))+(0)+IF(((c_TMAP1OUT)-(0))&gt;=0,IF(IF(o_WRAP=1,MOD(((c_TMAP1IN)-(c_TFWD))*(((K214)-(c_TFWD))*((c_TMAP1OUT)-(0))+IF(((c_TMAP1OUT)-(0))&gt;=0,1,-1)*QUOTIENT(((c_TMAP1IN)-(c_TFWD)),2))+2147483648,4294967296)-2147483648,((c_TMAP1IN)-(c_TFWD))*(((K214)-(c_TFWD))*((c_TMAP1OUT)-(0))+IF(((c_TMAP1OUT)-(0))&gt;=0,1,-1)*QUOTIENT(((c_TMAP1IN)-(c_TFWD)),2)))&lt;0,-1,0),IF(IF(o_WRAP=1,MOD(((c_TMAP1IN)-(c_TFWD))*(((K214)-(c_TFWD))*((c_TMAP1OUT)-(0))+IF(((c_TMAP1OUT)-(0))&gt;=0,1,-1)*QUOTIENT(((c_TMAP1IN)-(c_TFWD)),2))+2147483648,4294967296)-2147483648,((c_TMAP1IN)-(c_TFWD))*(((K214)-(c_TFWD))*((c_TMAP1OUT)-(0))+IF(((c_TMAP1OUT)-(0))&gt;=0,1,-1)*QUOTIENT(((c_TMAP1IN)-(c_TFWD)),2)))&gt;=0,1,0)))</f>
        <v>393</v>
      </c>
      <c r="N214" s="7" t="n">
        <f aca="false">IF(((c_TMAP2IN)-(c_TMAP1IN))=0,(c_TMAP1OUT)+QUOTIENT(((c_TMAP2OUT)-(c_TMAP1OUT)),2),QUOTIENT((((K214)-(c_TMAP1IN))*((c_TMAP2OUT)-(c_TMAP1OUT))+IF(((c_TMAP2OUT)-(c_TMAP1OUT))&gt;=0,1,-1)*QUOTIENT(((c_TMAP2IN)-(c_TMAP1IN)),2)),((c_TMAP2IN)-(c_TMAP1IN)))+(c_TMAP1OUT)+IF(((c_TMAP2OUT)-(c_TMAP1OUT))&gt;=0,IF(IF(o_WRAP=1,MOD(((c_TMAP2IN)-(c_TMAP1IN))*(((K214)-(c_TMAP1IN))*((c_TMAP2OUT)-(c_TMAP1OUT))+IF(((c_TMAP2OUT)-(c_TMAP1OUT))&gt;=0,1,-1)*QUOTIENT(((c_TMAP2IN)-(c_TMAP1IN)),2))+2147483648,4294967296)-2147483648,((c_TMAP2IN)-(c_TMAP1IN))*(((K214)-(c_TMAP1IN))*((c_TMAP2OUT)-(c_TMAP1OUT))+IF(((c_TMAP2OUT)-(c_TMAP1OUT))&gt;=0,1,-1)*QUOTIENT(((c_TMAP2IN)-(c_TMAP1IN)),2)))&lt;0,-1,0),IF(IF(o_WRAP=1,MOD(((c_TMAP2IN)-(c_TMAP1IN))*(((K214)-(c_TMAP1IN))*((c_TMAP2OUT)-(c_TMAP1OUT))+IF(((c_TMAP2OUT)-(c_TMAP1OUT))&gt;=0,1,-1)*QUOTIENT(((c_TMAP2IN)-(c_TMAP1IN)),2))+2147483648,4294967296)-2147483648,((c_TMAP2IN)-(c_TMAP1IN))*(((K214)-(c_TMAP1IN))*((c_TMAP2OUT)-(c_TMAP1OUT))+IF(((c_TMAP2OUT)-(c_TMAP1OUT))&gt;=0,1,-1)*QUOTIENT(((c_TMAP2IN)-(c_TMAP1IN)),2)))&gt;=0,1,0)))</f>
        <v>236</v>
      </c>
      <c r="O214" s="7" t="n">
        <f aca="false">IF(((c_TMAP3IN)-(c_TMAP2IN))=0,(c_TMAP2OUT)+QUOTIENT(((c_TMAP3OUT)-(c_TMAP2OUT)),2),QUOTIENT((((K214)-(c_TMAP2IN))*((c_TMAP3OUT)-(c_TMAP2OUT))+IF(((c_TMAP3OUT)-(c_TMAP2OUT))&gt;=0,1,-1)*QUOTIENT(((c_TMAP3IN)-(c_TMAP2IN)),2)),((c_TMAP3IN)-(c_TMAP2IN)))+(c_TMAP2OUT)+IF(((c_TMAP3OUT)-(c_TMAP2OUT))&gt;=0,IF(IF(o_WRAP=1,MOD(((c_TMAP3IN)-(c_TMAP2IN))*(((K214)-(c_TMAP2IN))*((c_TMAP3OUT)-(c_TMAP2OUT))+IF(((c_TMAP3OUT)-(c_TMAP2OUT))&gt;=0,1,-1)*QUOTIENT(((c_TMAP3IN)-(c_TMAP2IN)),2))+2147483648,4294967296)-2147483648,((c_TMAP3IN)-(c_TMAP2IN))*(((K214)-(c_TMAP2IN))*((c_TMAP3OUT)-(c_TMAP2OUT))+IF(((c_TMAP3OUT)-(c_TMAP2OUT))&gt;=0,1,-1)*QUOTIENT(((c_TMAP3IN)-(c_TMAP2IN)),2)))&lt;0,-1,0),IF(IF(o_WRAP=1,MOD(((c_TMAP3IN)-(c_TMAP2IN))*(((K214)-(c_TMAP2IN))*((c_TMAP3OUT)-(c_TMAP2OUT))+IF(((c_TMAP3OUT)-(c_TMAP2OUT))&gt;=0,1,-1)*QUOTIENT(((c_TMAP3IN)-(c_TMAP2IN)),2))+2147483648,4294967296)-2147483648,((c_TMAP3IN)-(c_TMAP2IN))*(((K214)-(c_TMAP2IN))*((c_TMAP3OUT)-(c_TMAP2OUT))+IF(((c_TMAP3OUT)-(c_TMAP2OUT))&gt;=0,1,-1)*QUOTIENT(((c_TMAP3IN)-(c_TMAP2IN)),2)))&gt;=0,1,0)))</f>
        <v>316</v>
      </c>
      <c r="P214" s="7" t="n">
        <f aca="false">IF(((1000)-(c_TMAP3IN))=0,(c_TMAP3OUT)+QUOTIENT(((1000)-(c_TMAP3OUT)),2),QUOTIENT((((K214)-(c_TMAP3IN))*((1000)-(c_TMAP3OUT))+IF(((1000)-(c_TMAP3OUT))&gt;=0,1,-1)*QUOTIENT(((1000)-(c_TMAP3IN)),2)),((1000)-(c_TMAP3IN)))+(c_TMAP3OUT)+IF(((1000)-(c_TMAP3OUT))&gt;=0,IF(IF(o_WRAP=1,MOD(((1000)-(c_TMAP3IN))*(((K214)-(c_TMAP3IN))*((1000)-(c_TMAP3OUT))+IF(((1000)-(c_TMAP3OUT))&gt;=0,1,-1)*QUOTIENT(((1000)-(c_TMAP3IN)),2))+2147483648,4294967296)-2147483648,((1000)-(c_TMAP3IN))*(((K214)-(c_TMAP3IN))*((1000)-(c_TMAP3OUT))+IF(((1000)-(c_TMAP3OUT))&gt;=0,1,-1)*QUOTIENT(((1000)-(c_TMAP3IN)),2)))&lt;0,-1,0),IF(IF(o_WRAP=1,MOD(((1000)-(c_TMAP3IN))*(((K214)-(c_TMAP3IN))*((1000)-(c_TMAP3OUT))+IF(((1000)-(c_TMAP3OUT))&gt;=0,1,-1)*QUOTIENT(((1000)-(c_TMAP3IN)),2))+2147483648,4294967296)-2147483648,((1000)-(c_TMAP3IN))*(((K214)-(c_TMAP3IN))*((1000)-(c_TMAP3OUT))+IF(((1000)-(c_TMAP3OUT))&gt;=0,1,-1)*QUOTIENT(((1000)-(c_TMAP3IN)),2)))&gt;=0,1,0)))</f>
        <v>403</v>
      </c>
      <c r="Q214" s="7" t="str">
        <f aca="false">IF(K214&gt;=c_TFWD,IF(AND(K214&gt;=c_TMAP3IN,c_TMAP3IN&lt;1000),"Seg4 map3-100%",IF(AND(K214&gt;=c_TMAP2IN,c_TMAP3IN&gt;c_TMAP2IN),"Seg3 map2-map3",IF(AND(K214&gt;=c_TMAP1IN,c_TMAP2IN&gt;c_TMAP1IN),"Seg2 map1-map2","Seg1 TFWD-map1"))),IF(AND(K214=0,c_TCREEP&gt;0),"Creep",IF(AND(K214&lt;=c_TRNGMIN,K214&gt;=c_TRNGMAX,c_TRNGMIN-c_TRNGMAX&lt;&gt;0),"Regen ramp","Coast (0)")))</f>
        <v>Seg4 map3-100%</v>
      </c>
      <c r="R214" s="7" t="n">
        <f aca="false">IF(K214&gt;=c_TFWD,IF(AND(K214&gt;=c_TMAP3IN,c_TMAP3IN&lt;1000),P214,IF(AND(K214&gt;=c_TMAP2IN,c_TMAP3IN&gt;c_TMAP2IN),O214,IF(AND(K214&gt;=c_TMAP1IN,c_TMAP2IN&gt;c_TMAP1IN),N214,M214))),L214)</f>
        <v>403</v>
      </c>
      <c r="S214" s="7" t="str">
        <f aca="false">IF(R214&lt;-1090,"TOO LOW",IF(R214&gt;1090,"TOO HIGH",""))</f>
        <v/>
      </c>
      <c r="T214" s="15" t="n">
        <f aca="false">IF(H214&lt;&gt;"OK",0,IF(S214&lt;&gt;"",0,IF(R214&gt;979,1000,R214)))</f>
        <v>403</v>
      </c>
      <c r="U214" s="7" t="n">
        <f aca="false">T214/10</f>
        <v>40.3</v>
      </c>
    </row>
    <row r="215" customFormat="false" ht="15" hidden="false" customHeight="false" outlineLevel="0" collapsed="false">
      <c r="A215" s="7" t="n">
        <v>210</v>
      </c>
      <c r="B215" s="7" t="n">
        <f aca="false">ROUND(o_SWSTART+A215*(o_SWEND-o_SWSTART)/400,0)</f>
        <v>2150</v>
      </c>
      <c r="C215" s="7" t="n">
        <f aca="false">QUOTIENT((B215-c_OFF1)*c_GAIN1,1024)</f>
        <v>2150</v>
      </c>
      <c r="D215" s="7" t="n">
        <f aca="false">IF(((c_T1MX)-(c_T1MN))=0,(0)+QUOTIENT(((1000)-(0)),2),QUOTIENT((((C215)-(c_T1MN))*((1000)-(0))+IF(((1000)-(0))&gt;=0,1,-1)*QUOTIENT(((c_T1MX)-(c_T1MN)),2)),((c_T1MX)-(c_T1MN)))+(0)+IF(((1000)-(0))&gt;=0,IF(IF(o_WRAP=1,MOD(((c_T1MX)-(c_T1MN))*(((C215)-(c_T1MN))*((1000)-(0))+IF(((1000)-(0))&gt;=0,1,-1)*QUOTIENT(((c_T1MX)-(c_T1MN)),2))+2147483648,4294967296)-2147483648,((c_T1MX)-(c_T1MN))*(((C215)-(c_T1MN))*((1000)-(0))+IF(((1000)-(0))&gt;=0,1,-1)*QUOTIENT(((c_T1MX)-(c_T1MN)),2)))&lt;0,-1,0),IF(IF(o_WRAP=1,MOD(((c_T1MX)-(c_T1MN))*(((C215)-(c_T1MN))*((1000)-(0))+IF(((1000)-(0))&gt;=0,1,-1)*QUOTIENT(((c_T1MX)-(c_T1MN)),2))+2147483648,4294967296)-2147483648,((c_T1MX)-(c_T1MN))*(((C215)-(c_T1MN))*((1000)-(0))+IF(((1000)-(0))&gt;=0,1,-1)*QUOTIENT(((c_T1MX)-(c_T1MN)),2)))&gt;=0,1,0)))</f>
        <v>518</v>
      </c>
      <c r="E215" s="7" t="n">
        <f aca="false">IF(AND(c_TPOT=1,c_TTYPE=2),1000-D215,D215)</f>
        <v>518</v>
      </c>
      <c r="F215" s="7" t="str">
        <f aca="false">IF(c_TPOT&gt;1,ROUND(IF(c_TTYPE=2,c_T2MX-IF(c_T1MX=c_T1MN,0,(C215-c_T1MN)/(c_T1MX-c_T1MN))*(c_T2MX-c_T2MN),c_T2MN+IF(c_T1MX=c_T1MN,0,(C215-c_T1MN)/(c_T1MX-c_T1MN))*(c_T2MX-c_T2MN))+o_MISMATCH,0),"")</f>
        <v/>
      </c>
      <c r="G215" s="7" t="str">
        <f aca="false">IF(c_TPOT&gt;1,IF(((c_T2MX)-(c_T2MN))=0,(0)+QUOTIENT(((1000)-(0)),2),QUOTIENT((((F215)-(c_T2MN))*((1000)-(0))+IF(((1000)-(0))&gt;=0,1,-1)*QUOTIENT(((c_T2MX)-(c_T2MN)),2)),((c_T2MX)-(c_T2MN)))+(0)+IF(((1000)-(0))&gt;=0,IF(IF(o_WRAP=1,MOD(((c_T2MX)-(c_T2MN))*(((F215)-(c_T2MN))*((1000)-(0))+IF(((1000)-(0))&gt;=0,1,-1)*QUOTIENT(((c_T2MX)-(c_T2MN)),2))+2147483648,4294967296)-2147483648,((c_T2MX)-(c_T2MN))*(((F215)-(c_T2MN))*((1000)-(0))+IF(((1000)-(0))&gt;=0,1,-1)*QUOTIENT(((c_T2MX)-(c_T2MN)),2)))&lt;0,-1,0),IF(IF(o_WRAP=1,MOD(((c_T2MX)-(c_T2MN))*(((F215)-(c_T2MN))*((1000)-(0))+IF(((1000)-(0))&gt;=0,1,-1)*QUOTIENT(((c_T2MX)-(c_T2MN)),2))+2147483648,4294967296)-2147483648,((c_T2MX)-(c_T2MN))*(((F215)-(c_T2MN))*((1000)-(0))+IF(((1000)-(0))&gt;=0,1,-1)*QUOTIENT(((c_T2MX)-(c_T2MN)),2)))&gt;=0,1,0))),"")</f>
        <v/>
      </c>
      <c r="H215" s="7" t="str">
        <f aca="false">IF(E215&gt;1000+k_TOL,"T1 HIGH",IF(E215&lt;0-k_TOL,"T1 LOW",IF(c_TPOT&gt;1,IF(G215&gt;1000+k_TOL,"T2 HIGH",IF(G215&lt;0-k_TOL,"T2 LOW",IF(c_TTYPE=2,IF(ABS(1000-MAX(0,MIN(1000,E215))-MAX(0,MIN(1000,G215)))&gt;k_MAXERR,"MISMATCH","OK"),IF(OR(MAX(0,MIN(1000,E215))-k_MAXERR&gt;MAX(0,MIN(1000,G215)),MAX(0,MIN(1000,G215))-k_MAXERR&gt;MAX(0,MIN(1000,E215))),"MISMATCH","OK")))),"OK")))</f>
        <v>OK</v>
      </c>
      <c r="I215" s="7" t="n">
        <f aca="false">MAX(0,MIN(1000,D215))</f>
        <v>518</v>
      </c>
      <c r="J215" s="7" t="str">
        <f aca="false">IF(c_TPOT&gt;1,IF(c_TTYPE=2,1000-MAX(0,MIN(1000,G215)),MAX(0,MIN(1000,G215))),"")</f>
        <v/>
      </c>
      <c r="K215" s="7" t="n">
        <f aca="false">IF(c_TPOT&gt;1,QUOTIENT(I215+J215,2),I215)</f>
        <v>518</v>
      </c>
      <c r="L215" s="7" t="n">
        <f aca="false">IF(AND(K215=0,c_TCREEP&gt;0),10*c_TCREEP,IF(AND(K215&lt;=c_TRNGMIN,K215&gt;=c_TRNGMAX,c_TRNGMIN-c_TRNGMAX&lt;&gt;0),-10*c_TMINRN+QUOTIENT((c_TMAXRN-c_TMINRN)*(100-QUOTIENT((K215-c_TRNGMAX)*100,c_TRNGMIN-c_TRNGMAX)),-10),0))</f>
        <v>0</v>
      </c>
      <c r="M215" s="7" t="n">
        <f aca="false">IF(((c_TMAP1IN)-(c_TFWD))=0,(0)+QUOTIENT(((c_TMAP1OUT)-(0)),2),QUOTIENT((((K215)-(c_TFWD))*((c_TMAP1OUT)-(0))+IF(((c_TMAP1OUT)-(0))&gt;=0,1,-1)*QUOTIENT(((c_TMAP1IN)-(c_TFWD)),2)),((c_TMAP1IN)-(c_TFWD)))+(0)+IF(((c_TMAP1OUT)-(0))&gt;=0,IF(IF(o_WRAP=1,MOD(((c_TMAP1IN)-(c_TFWD))*(((K215)-(c_TFWD))*((c_TMAP1OUT)-(0))+IF(((c_TMAP1OUT)-(0))&gt;=0,1,-1)*QUOTIENT(((c_TMAP1IN)-(c_TFWD)),2))+2147483648,4294967296)-2147483648,((c_TMAP1IN)-(c_TFWD))*(((K215)-(c_TFWD))*((c_TMAP1OUT)-(0))+IF(((c_TMAP1OUT)-(0))&gt;=0,1,-1)*QUOTIENT(((c_TMAP1IN)-(c_TFWD)),2)))&lt;0,-1,0),IF(IF(o_WRAP=1,MOD(((c_TMAP1IN)-(c_TFWD))*(((K215)-(c_TFWD))*((c_TMAP1OUT)-(0))+IF(((c_TMAP1OUT)-(0))&gt;=0,1,-1)*QUOTIENT(((c_TMAP1IN)-(c_TFWD)),2))+2147483648,4294967296)-2147483648,((c_TMAP1IN)-(c_TFWD))*(((K215)-(c_TFWD))*((c_TMAP1OUT)-(0))+IF(((c_TMAP1OUT)-(0))&gt;=0,1,-1)*QUOTIENT(((c_TMAP1IN)-(c_TFWD)),2)))&gt;=0,1,0)))</f>
        <v>395</v>
      </c>
      <c r="N215" s="7" t="n">
        <f aca="false">IF(((c_TMAP2IN)-(c_TMAP1IN))=0,(c_TMAP1OUT)+QUOTIENT(((c_TMAP2OUT)-(c_TMAP1OUT)),2),QUOTIENT((((K215)-(c_TMAP1IN))*((c_TMAP2OUT)-(c_TMAP1OUT))+IF(((c_TMAP2OUT)-(c_TMAP1OUT))&gt;=0,1,-1)*QUOTIENT(((c_TMAP2IN)-(c_TMAP1IN)),2)),((c_TMAP2IN)-(c_TMAP1IN)))+(c_TMAP1OUT)+IF(((c_TMAP2OUT)-(c_TMAP1OUT))&gt;=0,IF(IF(o_WRAP=1,MOD(((c_TMAP2IN)-(c_TMAP1IN))*(((K215)-(c_TMAP1IN))*((c_TMAP2OUT)-(c_TMAP1OUT))+IF(((c_TMAP2OUT)-(c_TMAP1OUT))&gt;=0,1,-1)*QUOTIENT(((c_TMAP2IN)-(c_TMAP1IN)),2))+2147483648,4294967296)-2147483648,((c_TMAP2IN)-(c_TMAP1IN))*(((K215)-(c_TMAP1IN))*((c_TMAP2OUT)-(c_TMAP1OUT))+IF(((c_TMAP2OUT)-(c_TMAP1OUT))&gt;=0,1,-1)*QUOTIENT(((c_TMAP2IN)-(c_TMAP1IN)),2)))&lt;0,-1,0),IF(IF(o_WRAP=1,MOD(((c_TMAP2IN)-(c_TMAP1IN))*(((K215)-(c_TMAP1IN))*((c_TMAP2OUT)-(c_TMAP1OUT))+IF(((c_TMAP2OUT)-(c_TMAP1OUT))&gt;=0,1,-1)*QUOTIENT(((c_TMAP2IN)-(c_TMAP1IN)),2))+2147483648,4294967296)-2147483648,((c_TMAP2IN)-(c_TMAP1IN))*(((K215)-(c_TMAP1IN))*((c_TMAP2OUT)-(c_TMAP1OUT))+IF(((c_TMAP2OUT)-(c_TMAP1OUT))&gt;=0,1,-1)*QUOTIENT(((c_TMAP2IN)-(c_TMAP1IN)),2)))&gt;=0,1,0)))</f>
        <v>237</v>
      </c>
      <c r="O215" s="7" t="n">
        <f aca="false">IF(((c_TMAP3IN)-(c_TMAP2IN))=0,(c_TMAP2OUT)+QUOTIENT(((c_TMAP3OUT)-(c_TMAP2OUT)),2),QUOTIENT((((K215)-(c_TMAP2IN))*((c_TMAP3OUT)-(c_TMAP2OUT))+IF(((c_TMAP3OUT)-(c_TMAP2OUT))&gt;=0,1,-1)*QUOTIENT(((c_TMAP3IN)-(c_TMAP2IN)),2)),((c_TMAP3IN)-(c_TMAP2IN)))+(c_TMAP2OUT)+IF(((c_TMAP3OUT)-(c_TMAP2OUT))&gt;=0,IF(IF(o_WRAP=1,MOD(((c_TMAP3IN)-(c_TMAP2IN))*(((K215)-(c_TMAP2IN))*((c_TMAP3OUT)-(c_TMAP2OUT))+IF(((c_TMAP3OUT)-(c_TMAP2OUT))&gt;=0,1,-1)*QUOTIENT(((c_TMAP3IN)-(c_TMAP2IN)),2))+2147483648,4294967296)-2147483648,((c_TMAP3IN)-(c_TMAP2IN))*(((K215)-(c_TMAP2IN))*((c_TMAP3OUT)-(c_TMAP2OUT))+IF(((c_TMAP3OUT)-(c_TMAP2OUT))&gt;=0,1,-1)*QUOTIENT(((c_TMAP3IN)-(c_TMAP2IN)),2)))&lt;0,-1,0),IF(IF(o_WRAP=1,MOD(((c_TMAP3IN)-(c_TMAP2IN))*(((K215)-(c_TMAP2IN))*((c_TMAP3OUT)-(c_TMAP2OUT))+IF(((c_TMAP3OUT)-(c_TMAP2OUT))&gt;=0,1,-1)*QUOTIENT(((c_TMAP3IN)-(c_TMAP2IN)),2))+2147483648,4294967296)-2147483648,((c_TMAP3IN)-(c_TMAP2IN))*(((K215)-(c_TMAP2IN))*((c_TMAP3OUT)-(c_TMAP2OUT))+IF(((c_TMAP3OUT)-(c_TMAP2OUT))&gt;=0,1,-1)*QUOTIENT(((c_TMAP3IN)-(c_TMAP2IN)),2)))&gt;=0,1,0)))</f>
        <v>318</v>
      </c>
      <c r="P215" s="7" t="n">
        <f aca="false">IF(((1000)-(c_TMAP3IN))=0,(c_TMAP3OUT)+QUOTIENT(((1000)-(c_TMAP3OUT)),2),QUOTIENT((((K215)-(c_TMAP3IN))*((1000)-(c_TMAP3OUT))+IF(((1000)-(c_TMAP3OUT))&gt;=0,1,-1)*QUOTIENT(((1000)-(c_TMAP3IN)),2)),((1000)-(c_TMAP3IN)))+(c_TMAP3OUT)+IF(((1000)-(c_TMAP3OUT))&gt;=0,IF(IF(o_WRAP=1,MOD(((1000)-(c_TMAP3IN))*(((K215)-(c_TMAP3IN))*((1000)-(c_TMAP3OUT))+IF(((1000)-(c_TMAP3OUT))&gt;=0,1,-1)*QUOTIENT(((1000)-(c_TMAP3IN)),2))+2147483648,4294967296)-2147483648,((1000)-(c_TMAP3IN))*(((K215)-(c_TMAP3IN))*((1000)-(c_TMAP3OUT))+IF(((1000)-(c_TMAP3OUT))&gt;=0,1,-1)*QUOTIENT(((1000)-(c_TMAP3IN)),2)))&lt;0,-1,0),IF(IF(o_WRAP=1,MOD(((1000)-(c_TMAP3IN))*(((K215)-(c_TMAP3IN))*((1000)-(c_TMAP3OUT))+IF(((1000)-(c_TMAP3OUT))&gt;=0,1,-1)*QUOTIENT(((1000)-(c_TMAP3IN)),2))+2147483648,4294967296)-2147483648,((1000)-(c_TMAP3IN))*(((K215)-(c_TMAP3IN))*((1000)-(c_TMAP3OUT))+IF(((1000)-(c_TMAP3OUT))&gt;=0,1,-1)*QUOTIENT(((1000)-(c_TMAP3IN)),2)))&gt;=0,1,0)))</f>
        <v>407</v>
      </c>
      <c r="Q215" s="7" t="str">
        <f aca="false">IF(K215&gt;=c_TFWD,IF(AND(K215&gt;=c_TMAP3IN,c_TMAP3IN&lt;1000),"Seg4 map3-100%",IF(AND(K215&gt;=c_TMAP2IN,c_TMAP3IN&gt;c_TMAP2IN),"Seg3 map2-map3",IF(AND(K215&gt;=c_TMAP1IN,c_TMAP2IN&gt;c_TMAP1IN),"Seg2 map1-map2","Seg1 TFWD-map1"))),IF(AND(K215=0,c_TCREEP&gt;0),"Creep",IF(AND(K215&lt;=c_TRNGMIN,K215&gt;=c_TRNGMAX,c_TRNGMIN-c_TRNGMAX&lt;&gt;0),"Regen ramp","Coast (0)")))</f>
        <v>Seg4 map3-100%</v>
      </c>
      <c r="R215" s="7" t="n">
        <f aca="false">IF(K215&gt;=c_TFWD,IF(AND(K215&gt;=c_TMAP3IN,c_TMAP3IN&lt;1000),P215,IF(AND(K215&gt;=c_TMAP2IN,c_TMAP3IN&gt;c_TMAP2IN),O215,IF(AND(K215&gt;=c_TMAP1IN,c_TMAP2IN&gt;c_TMAP1IN),N215,M215))),L215)</f>
        <v>407</v>
      </c>
      <c r="S215" s="7" t="str">
        <f aca="false">IF(R215&lt;-1090,"TOO LOW",IF(R215&gt;1090,"TOO HIGH",""))</f>
        <v/>
      </c>
      <c r="T215" s="15" t="n">
        <f aca="false">IF(H215&lt;&gt;"OK",0,IF(S215&lt;&gt;"",0,IF(R215&gt;979,1000,R215)))</f>
        <v>407</v>
      </c>
      <c r="U215" s="7" t="n">
        <f aca="false">T215/10</f>
        <v>40.7</v>
      </c>
    </row>
    <row r="216" customFormat="false" ht="15" hidden="false" customHeight="false" outlineLevel="0" collapsed="false">
      <c r="A216" s="7" t="n">
        <v>211</v>
      </c>
      <c r="B216" s="7" t="n">
        <f aca="false">ROUND(o_SWSTART+A216*(o_SWEND-o_SWSTART)/400,0)</f>
        <v>2160</v>
      </c>
      <c r="C216" s="7" t="n">
        <f aca="false">QUOTIENT((B216-c_OFF1)*c_GAIN1,1024)</f>
        <v>2160</v>
      </c>
      <c r="D216" s="7" t="n">
        <f aca="false">IF(((c_T1MX)-(c_T1MN))=0,(0)+QUOTIENT(((1000)-(0)),2),QUOTIENT((((C216)-(c_T1MN))*((1000)-(0))+IF(((1000)-(0))&gt;=0,1,-1)*QUOTIENT(((c_T1MX)-(c_T1MN)),2)),((c_T1MX)-(c_T1MN)))+(0)+IF(((1000)-(0))&gt;=0,IF(IF(o_WRAP=1,MOD(((c_T1MX)-(c_T1MN))*(((C216)-(c_T1MN))*((1000)-(0))+IF(((1000)-(0))&gt;=0,1,-1)*QUOTIENT(((c_T1MX)-(c_T1MN)),2))+2147483648,4294967296)-2147483648,((c_T1MX)-(c_T1MN))*(((C216)-(c_T1MN))*((1000)-(0))+IF(((1000)-(0))&gt;=0,1,-1)*QUOTIENT(((c_T1MX)-(c_T1MN)),2)))&lt;0,-1,0),IF(IF(o_WRAP=1,MOD(((c_T1MX)-(c_T1MN))*(((C216)-(c_T1MN))*((1000)-(0))+IF(((1000)-(0))&gt;=0,1,-1)*QUOTIENT(((c_T1MX)-(c_T1MN)),2))+2147483648,4294967296)-2147483648,((c_T1MX)-(c_T1MN))*(((C216)-(c_T1MN))*((1000)-(0))+IF(((1000)-(0))&gt;=0,1,-1)*QUOTIENT(((c_T1MX)-(c_T1MN)),2)))&gt;=0,1,0)))</f>
        <v>522</v>
      </c>
      <c r="E216" s="7" t="n">
        <f aca="false">IF(AND(c_TPOT=1,c_TTYPE=2),1000-D216,D216)</f>
        <v>522</v>
      </c>
      <c r="F216" s="7" t="str">
        <f aca="false">IF(c_TPOT&gt;1,ROUND(IF(c_TTYPE=2,c_T2MX-IF(c_T1MX=c_T1MN,0,(C216-c_T1MN)/(c_T1MX-c_T1MN))*(c_T2MX-c_T2MN),c_T2MN+IF(c_T1MX=c_T1MN,0,(C216-c_T1MN)/(c_T1MX-c_T1MN))*(c_T2MX-c_T2MN))+o_MISMATCH,0),"")</f>
        <v/>
      </c>
      <c r="G216" s="7" t="str">
        <f aca="false">IF(c_TPOT&gt;1,IF(((c_T2MX)-(c_T2MN))=0,(0)+QUOTIENT(((1000)-(0)),2),QUOTIENT((((F216)-(c_T2MN))*((1000)-(0))+IF(((1000)-(0))&gt;=0,1,-1)*QUOTIENT(((c_T2MX)-(c_T2MN)),2)),((c_T2MX)-(c_T2MN)))+(0)+IF(((1000)-(0))&gt;=0,IF(IF(o_WRAP=1,MOD(((c_T2MX)-(c_T2MN))*(((F216)-(c_T2MN))*((1000)-(0))+IF(((1000)-(0))&gt;=0,1,-1)*QUOTIENT(((c_T2MX)-(c_T2MN)),2))+2147483648,4294967296)-2147483648,((c_T2MX)-(c_T2MN))*(((F216)-(c_T2MN))*((1000)-(0))+IF(((1000)-(0))&gt;=0,1,-1)*QUOTIENT(((c_T2MX)-(c_T2MN)),2)))&lt;0,-1,0),IF(IF(o_WRAP=1,MOD(((c_T2MX)-(c_T2MN))*(((F216)-(c_T2MN))*((1000)-(0))+IF(((1000)-(0))&gt;=0,1,-1)*QUOTIENT(((c_T2MX)-(c_T2MN)),2))+2147483648,4294967296)-2147483648,((c_T2MX)-(c_T2MN))*(((F216)-(c_T2MN))*((1000)-(0))+IF(((1000)-(0))&gt;=0,1,-1)*QUOTIENT(((c_T2MX)-(c_T2MN)),2)))&gt;=0,1,0))),"")</f>
        <v/>
      </c>
      <c r="H216" s="7" t="str">
        <f aca="false">IF(E216&gt;1000+k_TOL,"T1 HIGH",IF(E216&lt;0-k_TOL,"T1 LOW",IF(c_TPOT&gt;1,IF(G216&gt;1000+k_TOL,"T2 HIGH",IF(G216&lt;0-k_TOL,"T2 LOW",IF(c_TTYPE=2,IF(ABS(1000-MAX(0,MIN(1000,E216))-MAX(0,MIN(1000,G216)))&gt;k_MAXERR,"MISMATCH","OK"),IF(OR(MAX(0,MIN(1000,E216))-k_MAXERR&gt;MAX(0,MIN(1000,G216)),MAX(0,MIN(1000,G216))-k_MAXERR&gt;MAX(0,MIN(1000,E216))),"MISMATCH","OK")))),"OK")))</f>
        <v>OK</v>
      </c>
      <c r="I216" s="7" t="n">
        <f aca="false">MAX(0,MIN(1000,D216))</f>
        <v>522</v>
      </c>
      <c r="J216" s="7" t="str">
        <f aca="false">IF(c_TPOT&gt;1,IF(c_TTYPE=2,1000-MAX(0,MIN(1000,G216)),MAX(0,MIN(1000,G216))),"")</f>
        <v/>
      </c>
      <c r="K216" s="7" t="n">
        <f aca="false">IF(c_TPOT&gt;1,QUOTIENT(I216+J216,2),I216)</f>
        <v>522</v>
      </c>
      <c r="L216" s="7" t="n">
        <f aca="false">IF(AND(K216=0,c_TCREEP&gt;0),10*c_TCREEP,IF(AND(K216&lt;=c_TRNGMIN,K216&gt;=c_TRNGMAX,c_TRNGMIN-c_TRNGMAX&lt;&gt;0),-10*c_TMINRN+QUOTIENT((c_TMAXRN-c_TMINRN)*(100-QUOTIENT((K216-c_TRNGMAX)*100,c_TRNGMIN-c_TRNGMAX)),-10),0))</f>
        <v>0</v>
      </c>
      <c r="M216" s="7" t="n">
        <f aca="false">IF(((c_TMAP1IN)-(c_TFWD))=0,(0)+QUOTIENT(((c_TMAP1OUT)-(0)),2),QUOTIENT((((K216)-(c_TFWD))*((c_TMAP1OUT)-(0))+IF(((c_TMAP1OUT)-(0))&gt;=0,1,-1)*QUOTIENT(((c_TMAP1IN)-(c_TFWD)),2)),((c_TMAP1IN)-(c_TFWD)))+(0)+IF(((c_TMAP1OUT)-(0))&gt;=0,IF(IF(o_WRAP=1,MOD(((c_TMAP1IN)-(c_TFWD))*(((K216)-(c_TFWD))*((c_TMAP1OUT)-(0))+IF(((c_TMAP1OUT)-(0))&gt;=0,1,-1)*QUOTIENT(((c_TMAP1IN)-(c_TFWD)),2))+2147483648,4294967296)-2147483648,((c_TMAP1IN)-(c_TFWD))*(((K216)-(c_TFWD))*((c_TMAP1OUT)-(0))+IF(((c_TMAP1OUT)-(0))&gt;=0,1,-1)*QUOTIENT(((c_TMAP1IN)-(c_TFWD)),2)))&lt;0,-1,0),IF(IF(o_WRAP=1,MOD(((c_TMAP1IN)-(c_TFWD))*(((K216)-(c_TFWD))*((c_TMAP1OUT)-(0))+IF(((c_TMAP1OUT)-(0))&gt;=0,1,-1)*QUOTIENT(((c_TMAP1IN)-(c_TFWD)),2))+2147483648,4294967296)-2147483648,((c_TMAP1IN)-(c_TFWD))*(((K216)-(c_TFWD))*((c_TMAP1OUT)-(0))+IF(((c_TMAP1OUT)-(0))&gt;=0,1,-1)*QUOTIENT(((c_TMAP1IN)-(c_TFWD)),2)))&gt;=0,1,0)))</f>
        <v>398</v>
      </c>
      <c r="N216" s="7" t="n">
        <f aca="false">IF(((c_TMAP2IN)-(c_TMAP1IN))=0,(c_TMAP1OUT)+QUOTIENT(((c_TMAP2OUT)-(c_TMAP1OUT)),2),QUOTIENT((((K216)-(c_TMAP1IN))*((c_TMAP2OUT)-(c_TMAP1OUT))+IF(((c_TMAP2OUT)-(c_TMAP1OUT))&gt;=0,1,-1)*QUOTIENT(((c_TMAP2IN)-(c_TMAP1IN)),2)),((c_TMAP2IN)-(c_TMAP1IN)))+(c_TMAP1OUT)+IF(((c_TMAP2OUT)-(c_TMAP1OUT))&gt;=0,IF(IF(o_WRAP=1,MOD(((c_TMAP2IN)-(c_TMAP1IN))*(((K216)-(c_TMAP1IN))*((c_TMAP2OUT)-(c_TMAP1OUT))+IF(((c_TMAP2OUT)-(c_TMAP1OUT))&gt;=0,1,-1)*QUOTIENT(((c_TMAP2IN)-(c_TMAP1IN)),2))+2147483648,4294967296)-2147483648,((c_TMAP2IN)-(c_TMAP1IN))*(((K216)-(c_TMAP1IN))*((c_TMAP2OUT)-(c_TMAP1OUT))+IF(((c_TMAP2OUT)-(c_TMAP1OUT))&gt;=0,1,-1)*QUOTIENT(((c_TMAP2IN)-(c_TMAP1IN)),2)))&lt;0,-1,0),IF(IF(o_WRAP=1,MOD(((c_TMAP2IN)-(c_TMAP1IN))*(((K216)-(c_TMAP1IN))*((c_TMAP2OUT)-(c_TMAP1OUT))+IF(((c_TMAP2OUT)-(c_TMAP1OUT))&gt;=0,1,-1)*QUOTIENT(((c_TMAP2IN)-(c_TMAP1IN)),2))+2147483648,4294967296)-2147483648,((c_TMAP2IN)-(c_TMAP1IN))*(((K216)-(c_TMAP1IN))*((c_TMAP2OUT)-(c_TMAP1OUT))+IF(((c_TMAP2OUT)-(c_TMAP1OUT))&gt;=0,1,-1)*QUOTIENT(((c_TMAP2IN)-(c_TMAP1IN)),2)))&gt;=0,1,0)))</f>
        <v>239</v>
      </c>
      <c r="O216" s="7" t="n">
        <f aca="false">IF(((c_TMAP3IN)-(c_TMAP2IN))=0,(c_TMAP2OUT)+QUOTIENT(((c_TMAP3OUT)-(c_TMAP2OUT)),2),QUOTIENT((((K216)-(c_TMAP2IN))*((c_TMAP3OUT)-(c_TMAP2OUT))+IF(((c_TMAP3OUT)-(c_TMAP2OUT))&gt;=0,1,-1)*QUOTIENT(((c_TMAP3IN)-(c_TMAP2IN)),2)),((c_TMAP3IN)-(c_TMAP2IN)))+(c_TMAP2OUT)+IF(((c_TMAP3OUT)-(c_TMAP2OUT))&gt;=0,IF(IF(o_WRAP=1,MOD(((c_TMAP3IN)-(c_TMAP2IN))*(((K216)-(c_TMAP2IN))*((c_TMAP3OUT)-(c_TMAP2OUT))+IF(((c_TMAP3OUT)-(c_TMAP2OUT))&gt;=0,1,-1)*QUOTIENT(((c_TMAP3IN)-(c_TMAP2IN)),2))+2147483648,4294967296)-2147483648,((c_TMAP3IN)-(c_TMAP2IN))*(((K216)-(c_TMAP2IN))*((c_TMAP3OUT)-(c_TMAP2OUT))+IF(((c_TMAP3OUT)-(c_TMAP2OUT))&gt;=0,1,-1)*QUOTIENT(((c_TMAP3IN)-(c_TMAP2IN)),2)))&lt;0,-1,0),IF(IF(o_WRAP=1,MOD(((c_TMAP3IN)-(c_TMAP2IN))*(((K216)-(c_TMAP2IN))*((c_TMAP3OUT)-(c_TMAP2OUT))+IF(((c_TMAP3OUT)-(c_TMAP2OUT))&gt;=0,1,-1)*QUOTIENT(((c_TMAP3IN)-(c_TMAP2IN)),2))+2147483648,4294967296)-2147483648,((c_TMAP3IN)-(c_TMAP2IN))*(((K216)-(c_TMAP2IN))*((c_TMAP3OUT)-(c_TMAP2OUT))+IF(((c_TMAP3OUT)-(c_TMAP2OUT))&gt;=0,1,-1)*QUOTIENT(((c_TMAP3IN)-(c_TMAP2IN)),2)))&gt;=0,1,0)))</f>
        <v>320</v>
      </c>
      <c r="P216" s="7" t="n">
        <f aca="false">IF(((1000)-(c_TMAP3IN))=0,(c_TMAP3OUT)+QUOTIENT(((1000)-(c_TMAP3OUT)),2),QUOTIENT((((K216)-(c_TMAP3IN))*((1000)-(c_TMAP3OUT))+IF(((1000)-(c_TMAP3OUT))&gt;=0,1,-1)*QUOTIENT(((1000)-(c_TMAP3IN)),2)),((1000)-(c_TMAP3IN)))+(c_TMAP3OUT)+IF(((1000)-(c_TMAP3OUT))&gt;=0,IF(IF(o_WRAP=1,MOD(((1000)-(c_TMAP3IN))*(((K216)-(c_TMAP3IN))*((1000)-(c_TMAP3OUT))+IF(((1000)-(c_TMAP3OUT))&gt;=0,1,-1)*QUOTIENT(((1000)-(c_TMAP3IN)),2))+2147483648,4294967296)-2147483648,((1000)-(c_TMAP3IN))*(((K216)-(c_TMAP3IN))*((1000)-(c_TMAP3OUT))+IF(((1000)-(c_TMAP3OUT))&gt;=0,1,-1)*QUOTIENT(((1000)-(c_TMAP3IN)),2)))&lt;0,-1,0),IF(IF(o_WRAP=1,MOD(((1000)-(c_TMAP3IN))*(((K216)-(c_TMAP3IN))*((1000)-(c_TMAP3OUT))+IF(((1000)-(c_TMAP3OUT))&gt;=0,1,-1)*QUOTIENT(((1000)-(c_TMAP3IN)),2))+2147483648,4294967296)-2147483648,((1000)-(c_TMAP3IN))*(((K216)-(c_TMAP3IN))*((1000)-(c_TMAP3OUT))+IF(((1000)-(c_TMAP3OUT))&gt;=0,1,-1)*QUOTIENT(((1000)-(c_TMAP3IN)),2)))&gt;=0,1,0)))</f>
        <v>412</v>
      </c>
      <c r="Q216" s="7" t="str">
        <f aca="false">IF(K216&gt;=c_TFWD,IF(AND(K216&gt;=c_TMAP3IN,c_TMAP3IN&lt;1000),"Seg4 map3-100%",IF(AND(K216&gt;=c_TMAP2IN,c_TMAP3IN&gt;c_TMAP2IN),"Seg3 map2-map3",IF(AND(K216&gt;=c_TMAP1IN,c_TMAP2IN&gt;c_TMAP1IN),"Seg2 map1-map2","Seg1 TFWD-map1"))),IF(AND(K216=0,c_TCREEP&gt;0),"Creep",IF(AND(K216&lt;=c_TRNGMIN,K216&gt;=c_TRNGMAX,c_TRNGMIN-c_TRNGMAX&lt;&gt;0),"Regen ramp","Coast (0)")))</f>
        <v>Seg4 map3-100%</v>
      </c>
      <c r="R216" s="7" t="n">
        <f aca="false">IF(K216&gt;=c_TFWD,IF(AND(K216&gt;=c_TMAP3IN,c_TMAP3IN&lt;1000),P216,IF(AND(K216&gt;=c_TMAP2IN,c_TMAP3IN&gt;c_TMAP2IN),O216,IF(AND(K216&gt;=c_TMAP1IN,c_TMAP2IN&gt;c_TMAP1IN),N216,M216))),L216)</f>
        <v>412</v>
      </c>
      <c r="S216" s="7" t="str">
        <f aca="false">IF(R216&lt;-1090,"TOO LOW",IF(R216&gt;1090,"TOO HIGH",""))</f>
        <v/>
      </c>
      <c r="T216" s="15" t="n">
        <f aca="false">IF(H216&lt;&gt;"OK",0,IF(S216&lt;&gt;"",0,IF(R216&gt;979,1000,R216)))</f>
        <v>412</v>
      </c>
      <c r="U216" s="7" t="n">
        <f aca="false">T216/10</f>
        <v>41.2</v>
      </c>
    </row>
    <row r="217" customFormat="false" ht="15" hidden="false" customHeight="false" outlineLevel="0" collapsed="false">
      <c r="A217" s="7" t="n">
        <v>212</v>
      </c>
      <c r="B217" s="7" t="n">
        <f aca="false">ROUND(o_SWSTART+A217*(o_SWEND-o_SWSTART)/400,0)</f>
        <v>2170</v>
      </c>
      <c r="C217" s="7" t="n">
        <f aca="false">QUOTIENT((B217-c_OFF1)*c_GAIN1,1024)</f>
        <v>2170</v>
      </c>
      <c r="D217" s="7" t="n">
        <f aca="false">IF(((c_T1MX)-(c_T1MN))=0,(0)+QUOTIENT(((1000)-(0)),2),QUOTIENT((((C217)-(c_T1MN))*((1000)-(0))+IF(((1000)-(0))&gt;=0,1,-1)*QUOTIENT(((c_T1MX)-(c_T1MN)),2)),((c_T1MX)-(c_T1MN)))+(0)+IF(((1000)-(0))&gt;=0,IF(IF(o_WRAP=1,MOD(((c_T1MX)-(c_T1MN))*(((C217)-(c_T1MN))*((1000)-(0))+IF(((1000)-(0))&gt;=0,1,-1)*QUOTIENT(((c_T1MX)-(c_T1MN)),2))+2147483648,4294967296)-2147483648,((c_T1MX)-(c_T1MN))*(((C217)-(c_T1MN))*((1000)-(0))+IF(((1000)-(0))&gt;=0,1,-1)*QUOTIENT(((c_T1MX)-(c_T1MN)),2)))&lt;0,-1,0),IF(IF(o_WRAP=1,MOD(((c_T1MX)-(c_T1MN))*(((C217)-(c_T1MN))*((1000)-(0))+IF(((1000)-(0))&gt;=0,1,-1)*QUOTIENT(((c_T1MX)-(c_T1MN)),2))+2147483648,4294967296)-2147483648,((c_T1MX)-(c_T1MN))*(((C217)-(c_T1MN))*((1000)-(0))+IF(((1000)-(0))&gt;=0,1,-1)*QUOTIENT(((c_T1MX)-(c_T1MN)),2)))&gt;=0,1,0)))</f>
        <v>526</v>
      </c>
      <c r="E217" s="7" t="n">
        <f aca="false">IF(AND(c_TPOT=1,c_TTYPE=2),1000-D217,D217)</f>
        <v>526</v>
      </c>
      <c r="F217" s="7" t="str">
        <f aca="false">IF(c_TPOT&gt;1,ROUND(IF(c_TTYPE=2,c_T2MX-IF(c_T1MX=c_T1MN,0,(C217-c_T1MN)/(c_T1MX-c_T1MN))*(c_T2MX-c_T2MN),c_T2MN+IF(c_T1MX=c_T1MN,0,(C217-c_T1MN)/(c_T1MX-c_T1MN))*(c_T2MX-c_T2MN))+o_MISMATCH,0),"")</f>
        <v/>
      </c>
      <c r="G217" s="7" t="str">
        <f aca="false">IF(c_TPOT&gt;1,IF(((c_T2MX)-(c_T2MN))=0,(0)+QUOTIENT(((1000)-(0)),2),QUOTIENT((((F217)-(c_T2MN))*((1000)-(0))+IF(((1000)-(0))&gt;=0,1,-1)*QUOTIENT(((c_T2MX)-(c_T2MN)),2)),((c_T2MX)-(c_T2MN)))+(0)+IF(((1000)-(0))&gt;=0,IF(IF(o_WRAP=1,MOD(((c_T2MX)-(c_T2MN))*(((F217)-(c_T2MN))*((1000)-(0))+IF(((1000)-(0))&gt;=0,1,-1)*QUOTIENT(((c_T2MX)-(c_T2MN)),2))+2147483648,4294967296)-2147483648,((c_T2MX)-(c_T2MN))*(((F217)-(c_T2MN))*((1000)-(0))+IF(((1000)-(0))&gt;=0,1,-1)*QUOTIENT(((c_T2MX)-(c_T2MN)),2)))&lt;0,-1,0),IF(IF(o_WRAP=1,MOD(((c_T2MX)-(c_T2MN))*(((F217)-(c_T2MN))*((1000)-(0))+IF(((1000)-(0))&gt;=0,1,-1)*QUOTIENT(((c_T2MX)-(c_T2MN)),2))+2147483648,4294967296)-2147483648,((c_T2MX)-(c_T2MN))*(((F217)-(c_T2MN))*((1000)-(0))+IF(((1000)-(0))&gt;=0,1,-1)*QUOTIENT(((c_T2MX)-(c_T2MN)),2)))&gt;=0,1,0))),"")</f>
        <v/>
      </c>
      <c r="H217" s="7" t="str">
        <f aca="false">IF(E217&gt;1000+k_TOL,"T1 HIGH",IF(E217&lt;0-k_TOL,"T1 LOW",IF(c_TPOT&gt;1,IF(G217&gt;1000+k_TOL,"T2 HIGH",IF(G217&lt;0-k_TOL,"T2 LOW",IF(c_TTYPE=2,IF(ABS(1000-MAX(0,MIN(1000,E217))-MAX(0,MIN(1000,G217)))&gt;k_MAXERR,"MISMATCH","OK"),IF(OR(MAX(0,MIN(1000,E217))-k_MAXERR&gt;MAX(0,MIN(1000,G217)),MAX(0,MIN(1000,G217))-k_MAXERR&gt;MAX(0,MIN(1000,E217))),"MISMATCH","OK")))),"OK")))</f>
        <v>OK</v>
      </c>
      <c r="I217" s="7" t="n">
        <f aca="false">MAX(0,MIN(1000,D217))</f>
        <v>526</v>
      </c>
      <c r="J217" s="7" t="str">
        <f aca="false">IF(c_TPOT&gt;1,IF(c_TTYPE=2,1000-MAX(0,MIN(1000,G217)),MAX(0,MIN(1000,G217))),"")</f>
        <v/>
      </c>
      <c r="K217" s="7" t="n">
        <f aca="false">IF(c_TPOT&gt;1,QUOTIENT(I217+J217,2),I217)</f>
        <v>526</v>
      </c>
      <c r="L217" s="7" t="n">
        <f aca="false">IF(AND(K217=0,c_TCREEP&gt;0),10*c_TCREEP,IF(AND(K217&lt;=c_TRNGMIN,K217&gt;=c_TRNGMAX,c_TRNGMIN-c_TRNGMAX&lt;&gt;0),-10*c_TMINRN+QUOTIENT((c_TMAXRN-c_TMINRN)*(100-QUOTIENT((K217-c_TRNGMAX)*100,c_TRNGMIN-c_TRNGMAX)),-10),0))</f>
        <v>0</v>
      </c>
      <c r="M217" s="7" t="n">
        <f aca="false">IF(((c_TMAP1IN)-(c_TFWD))=0,(0)+QUOTIENT(((c_TMAP1OUT)-(0)),2),QUOTIENT((((K217)-(c_TFWD))*((c_TMAP1OUT)-(0))+IF(((c_TMAP1OUT)-(0))&gt;=0,1,-1)*QUOTIENT(((c_TMAP1IN)-(c_TFWD)),2)),((c_TMAP1IN)-(c_TFWD)))+(0)+IF(((c_TMAP1OUT)-(0))&gt;=0,IF(IF(o_WRAP=1,MOD(((c_TMAP1IN)-(c_TFWD))*(((K217)-(c_TFWD))*((c_TMAP1OUT)-(0))+IF(((c_TMAP1OUT)-(0))&gt;=0,1,-1)*QUOTIENT(((c_TMAP1IN)-(c_TFWD)),2))+2147483648,4294967296)-2147483648,((c_TMAP1IN)-(c_TFWD))*(((K217)-(c_TFWD))*((c_TMAP1OUT)-(0))+IF(((c_TMAP1OUT)-(0))&gt;=0,1,-1)*QUOTIENT(((c_TMAP1IN)-(c_TFWD)),2)))&lt;0,-1,0),IF(IF(o_WRAP=1,MOD(((c_TMAP1IN)-(c_TFWD))*(((K217)-(c_TFWD))*((c_TMAP1OUT)-(0))+IF(((c_TMAP1OUT)-(0))&gt;=0,1,-1)*QUOTIENT(((c_TMAP1IN)-(c_TFWD)),2))+2147483648,4294967296)-2147483648,((c_TMAP1IN)-(c_TFWD))*(((K217)-(c_TFWD))*((c_TMAP1OUT)-(0))+IF(((c_TMAP1OUT)-(0))&gt;=0,1,-1)*QUOTIENT(((c_TMAP1IN)-(c_TFWD)),2)))&gt;=0,1,0)))</f>
        <v>401</v>
      </c>
      <c r="N217" s="7" t="n">
        <f aca="false">IF(((c_TMAP2IN)-(c_TMAP1IN))=0,(c_TMAP1OUT)+QUOTIENT(((c_TMAP2OUT)-(c_TMAP1OUT)),2),QUOTIENT((((K217)-(c_TMAP1IN))*((c_TMAP2OUT)-(c_TMAP1OUT))+IF(((c_TMAP2OUT)-(c_TMAP1OUT))&gt;=0,1,-1)*QUOTIENT(((c_TMAP2IN)-(c_TMAP1IN)),2)),((c_TMAP2IN)-(c_TMAP1IN)))+(c_TMAP1OUT)+IF(((c_TMAP2OUT)-(c_TMAP1OUT))&gt;=0,IF(IF(o_WRAP=1,MOD(((c_TMAP2IN)-(c_TMAP1IN))*(((K217)-(c_TMAP1IN))*((c_TMAP2OUT)-(c_TMAP1OUT))+IF(((c_TMAP2OUT)-(c_TMAP1OUT))&gt;=0,1,-1)*QUOTIENT(((c_TMAP2IN)-(c_TMAP1IN)),2))+2147483648,4294967296)-2147483648,((c_TMAP2IN)-(c_TMAP1IN))*(((K217)-(c_TMAP1IN))*((c_TMAP2OUT)-(c_TMAP1OUT))+IF(((c_TMAP2OUT)-(c_TMAP1OUT))&gt;=0,1,-1)*QUOTIENT(((c_TMAP2IN)-(c_TMAP1IN)),2)))&lt;0,-1,0),IF(IF(o_WRAP=1,MOD(((c_TMAP2IN)-(c_TMAP1IN))*(((K217)-(c_TMAP1IN))*((c_TMAP2OUT)-(c_TMAP1OUT))+IF(((c_TMAP2OUT)-(c_TMAP1OUT))&gt;=0,1,-1)*QUOTIENT(((c_TMAP2IN)-(c_TMAP1IN)),2))+2147483648,4294967296)-2147483648,((c_TMAP2IN)-(c_TMAP1IN))*(((K217)-(c_TMAP1IN))*((c_TMAP2OUT)-(c_TMAP1OUT))+IF(((c_TMAP2OUT)-(c_TMAP1OUT))&gt;=0,1,-1)*QUOTIENT(((c_TMAP2IN)-(c_TMAP1IN)),2)))&gt;=0,1,0)))</f>
        <v>240</v>
      </c>
      <c r="O217" s="7" t="n">
        <f aca="false">IF(((c_TMAP3IN)-(c_TMAP2IN))=0,(c_TMAP2OUT)+QUOTIENT(((c_TMAP3OUT)-(c_TMAP2OUT)),2),QUOTIENT((((K217)-(c_TMAP2IN))*((c_TMAP3OUT)-(c_TMAP2OUT))+IF(((c_TMAP3OUT)-(c_TMAP2OUT))&gt;=0,1,-1)*QUOTIENT(((c_TMAP3IN)-(c_TMAP2IN)),2)),((c_TMAP3IN)-(c_TMAP2IN)))+(c_TMAP2OUT)+IF(((c_TMAP3OUT)-(c_TMAP2OUT))&gt;=0,IF(IF(o_WRAP=1,MOD(((c_TMAP3IN)-(c_TMAP2IN))*(((K217)-(c_TMAP2IN))*((c_TMAP3OUT)-(c_TMAP2OUT))+IF(((c_TMAP3OUT)-(c_TMAP2OUT))&gt;=0,1,-1)*QUOTIENT(((c_TMAP3IN)-(c_TMAP2IN)),2))+2147483648,4294967296)-2147483648,((c_TMAP3IN)-(c_TMAP2IN))*(((K217)-(c_TMAP2IN))*((c_TMAP3OUT)-(c_TMAP2OUT))+IF(((c_TMAP3OUT)-(c_TMAP2OUT))&gt;=0,1,-1)*QUOTIENT(((c_TMAP3IN)-(c_TMAP2IN)),2)))&lt;0,-1,0),IF(IF(o_WRAP=1,MOD(((c_TMAP3IN)-(c_TMAP2IN))*(((K217)-(c_TMAP2IN))*((c_TMAP3OUT)-(c_TMAP2OUT))+IF(((c_TMAP3OUT)-(c_TMAP2OUT))&gt;=0,1,-1)*QUOTIENT(((c_TMAP3IN)-(c_TMAP2IN)),2))+2147483648,4294967296)-2147483648,((c_TMAP3IN)-(c_TMAP2IN))*(((K217)-(c_TMAP2IN))*((c_TMAP3OUT)-(c_TMAP2OUT))+IF(((c_TMAP3OUT)-(c_TMAP2OUT))&gt;=0,1,-1)*QUOTIENT(((c_TMAP3IN)-(c_TMAP2IN)),2)))&gt;=0,1,0)))</f>
        <v>323</v>
      </c>
      <c r="P217" s="7" t="n">
        <f aca="false">IF(((1000)-(c_TMAP3IN))=0,(c_TMAP3OUT)+QUOTIENT(((1000)-(c_TMAP3OUT)),2),QUOTIENT((((K217)-(c_TMAP3IN))*((1000)-(c_TMAP3OUT))+IF(((1000)-(c_TMAP3OUT))&gt;=0,1,-1)*QUOTIENT(((1000)-(c_TMAP3IN)),2)),((1000)-(c_TMAP3IN)))+(c_TMAP3OUT)+IF(((1000)-(c_TMAP3OUT))&gt;=0,IF(IF(o_WRAP=1,MOD(((1000)-(c_TMAP3IN))*(((K217)-(c_TMAP3IN))*((1000)-(c_TMAP3OUT))+IF(((1000)-(c_TMAP3OUT))&gt;=0,1,-1)*QUOTIENT(((1000)-(c_TMAP3IN)),2))+2147483648,4294967296)-2147483648,((1000)-(c_TMAP3IN))*(((K217)-(c_TMAP3IN))*((1000)-(c_TMAP3OUT))+IF(((1000)-(c_TMAP3OUT))&gt;=0,1,-1)*QUOTIENT(((1000)-(c_TMAP3IN)),2)))&lt;0,-1,0),IF(IF(o_WRAP=1,MOD(((1000)-(c_TMAP3IN))*(((K217)-(c_TMAP3IN))*((1000)-(c_TMAP3OUT))+IF(((1000)-(c_TMAP3OUT))&gt;=0,1,-1)*QUOTIENT(((1000)-(c_TMAP3IN)),2))+2147483648,4294967296)-2147483648,((1000)-(c_TMAP3IN))*(((K217)-(c_TMAP3IN))*((1000)-(c_TMAP3OUT))+IF(((1000)-(c_TMAP3OUT))&gt;=0,1,-1)*QUOTIENT(((1000)-(c_TMAP3IN)),2)))&gt;=0,1,0)))</f>
        <v>417</v>
      </c>
      <c r="Q217" s="7" t="str">
        <f aca="false">IF(K217&gt;=c_TFWD,IF(AND(K217&gt;=c_TMAP3IN,c_TMAP3IN&lt;1000),"Seg4 map3-100%",IF(AND(K217&gt;=c_TMAP2IN,c_TMAP3IN&gt;c_TMAP2IN),"Seg3 map2-map3",IF(AND(K217&gt;=c_TMAP1IN,c_TMAP2IN&gt;c_TMAP1IN),"Seg2 map1-map2","Seg1 TFWD-map1"))),IF(AND(K217=0,c_TCREEP&gt;0),"Creep",IF(AND(K217&lt;=c_TRNGMIN,K217&gt;=c_TRNGMAX,c_TRNGMIN-c_TRNGMAX&lt;&gt;0),"Regen ramp","Coast (0)")))</f>
        <v>Seg4 map3-100%</v>
      </c>
      <c r="R217" s="7" t="n">
        <f aca="false">IF(K217&gt;=c_TFWD,IF(AND(K217&gt;=c_TMAP3IN,c_TMAP3IN&lt;1000),P217,IF(AND(K217&gt;=c_TMAP2IN,c_TMAP3IN&gt;c_TMAP2IN),O217,IF(AND(K217&gt;=c_TMAP1IN,c_TMAP2IN&gt;c_TMAP1IN),N217,M217))),L217)</f>
        <v>417</v>
      </c>
      <c r="S217" s="7" t="str">
        <f aca="false">IF(R217&lt;-1090,"TOO LOW",IF(R217&gt;1090,"TOO HIGH",""))</f>
        <v/>
      </c>
      <c r="T217" s="15" t="n">
        <f aca="false">IF(H217&lt;&gt;"OK",0,IF(S217&lt;&gt;"",0,IF(R217&gt;979,1000,R217)))</f>
        <v>417</v>
      </c>
      <c r="U217" s="7" t="n">
        <f aca="false">T217/10</f>
        <v>41.7</v>
      </c>
    </row>
    <row r="218" customFormat="false" ht="15" hidden="false" customHeight="false" outlineLevel="0" collapsed="false">
      <c r="A218" s="7" t="n">
        <v>213</v>
      </c>
      <c r="B218" s="7" t="n">
        <f aca="false">ROUND(o_SWSTART+A218*(o_SWEND-o_SWSTART)/400,0)</f>
        <v>2181</v>
      </c>
      <c r="C218" s="7" t="n">
        <f aca="false">QUOTIENT((B218-c_OFF1)*c_GAIN1,1024)</f>
        <v>2181</v>
      </c>
      <c r="D218" s="7" t="n">
        <f aca="false">IF(((c_T1MX)-(c_T1MN))=0,(0)+QUOTIENT(((1000)-(0)),2),QUOTIENT((((C218)-(c_T1MN))*((1000)-(0))+IF(((1000)-(0))&gt;=0,1,-1)*QUOTIENT(((c_T1MX)-(c_T1MN)),2)),((c_T1MX)-(c_T1MN)))+(0)+IF(((1000)-(0))&gt;=0,IF(IF(o_WRAP=1,MOD(((c_T1MX)-(c_T1MN))*(((C218)-(c_T1MN))*((1000)-(0))+IF(((1000)-(0))&gt;=0,1,-1)*QUOTIENT(((c_T1MX)-(c_T1MN)),2))+2147483648,4294967296)-2147483648,((c_T1MX)-(c_T1MN))*(((C218)-(c_T1MN))*((1000)-(0))+IF(((1000)-(0))&gt;=0,1,-1)*QUOTIENT(((c_T1MX)-(c_T1MN)),2)))&lt;0,-1,0),IF(IF(o_WRAP=1,MOD(((c_T1MX)-(c_T1MN))*(((C218)-(c_T1MN))*((1000)-(0))+IF(((1000)-(0))&gt;=0,1,-1)*QUOTIENT(((c_T1MX)-(c_T1MN)),2))+2147483648,4294967296)-2147483648,((c_T1MX)-(c_T1MN))*(((C218)-(c_T1MN))*((1000)-(0))+IF(((1000)-(0))&gt;=0,1,-1)*QUOTIENT(((c_T1MX)-(c_T1MN)),2)))&gt;=0,1,0)))</f>
        <v>530</v>
      </c>
      <c r="E218" s="7" t="n">
        <f aca="false">IF(AND(c_TPOT=1,c_TTYPE=2),1000-D218,D218)</f>
        <v>530</v>
      </c>
      <c r="F218" s="7" t="str">
        <f aca="false">IF(c_TPOT&gt;1,ROUND(IF(c_TTYPE=2,c_T2MX-IF(c_T1MX=c_T1MN,0,(C218-c_T1MN)/(c_T1MX-c_T1MN))*(c_T2MX-c_T2MN),c_T2MN+IF(c_T1MX=c_T1MN,0,(C218-c_T1MN)/(c_T1MX-c_T1MN))*(c_T2MX-c_T2MN))+o_MISMATCH,0),"")</f>
        <v/>
      </c>
      <c r="G218" s="7" t="str">
        <f aca="false">IF(c_TPOT&gt;1,IF(((c_T2MX)-(c_T2MN))=0,(0)+QUOTIENT(((1000)-(0)),2),QUOTIENT((((F218)-(c_T2MN))*((1000)-(0))+IF(((1000)-(0))&gt;=0,1,-1)*QUOTIENT(((c_T2MX)-(c_T2MN)),2)),((c_T2MX)-(c_T2MN)))+(0)+IF(((1000)-(0))&gt;=0,IF(IF(o_WRAP=1,MOD(((c_T2MX)-(c_T2MN))*(((F218)-(c_T2MN))*((1000)-(0))+IF(((1000)-(0))&gt;=0,1,-1)*QUOTIENT(((c_T2MX)-(c_T2MN)),2))+2147483648,4294967296)-2147483648,((c_T2MX)-(c_T2MN))*(((F218)-(c_T2MN))*((1000)-(0))+IF(((1000)-(0))&gt;=0,1,-1)*QUOTIENT(((c_T2MX)-(c_T2MN)),2)))&lt;0,-1,0),IF(IF(o_WRAP=1,MOD(((c_T2MX)-(c_T2MN))*(((F218)-(c_T2MN))*((1000)-(0))+IF(((1000)-(0))&gt;=0,1,-1)*QUOTIENT(((c_T2MX)-(c_T2MN)),2))+2147483648,4294967296)-2147483648,((c_T2MX)-(c_T2MN))*(((F218)-(c_T2MN))*((1000)-(0))+IF(((1000)-(0))&gt;=0,1,-1)*QUOTIENT(((c_T2MX)-(c_T2MN)),2)))&gt;=0,1,0))),"")</f>
        <v/>
      </c>
      <c r="H218" s="7" t="str">
        <f aca="false">IF(E218&gt;1000+k_TOL,"T1 HIGH",IF(E218&lt;0-k_TOL,"T1 LOW",IF(c_TPOT&gt;1,IF(G218&gt;1000+k_TOL,"T2 HIGH",IF(G218&lt;0-k_TOL,"T2 LOW",IF(c_TTYPE=2,IF(ABS(1000-MAX(0,MIN(1000,E218))-MAX(0,MIN(1000,G218)))&gt;k_MAXERR,"MISMATCH","OK"),IF(OR(MAX(0,MIN(1000,E218))-k_MAXERR&gt;MAX(0,MIN(1000,G218)),MAX(0,MIN(1000,G218))-k_MAXERR&gt;MAX(0,MIN(1000,E218))),"MISMATCH","OK")))),"OK")))</f>
        <v>OK</v>
      </c>
      <c r="I218" s="7" t="n">
        <f aca="false">MAX(0,MIN(1000,D218))</f>
        <v>530</v>
      </c>
      <c r="J218" s="7" t="str">
        <f aca="false">IF(c_TPOT&gt;1,IF(c_TTYPE=2,1000-MAX(0,MIN(1000,G218)),MAX(0,MIN(1000,G218))),"")</f>
        <v/>
      </c>
      <c r="K218" s="7" t="n">
        <f aca="false">IF(c_TPOT&gt;1,QUOTIENT(I218+J218,2),I218)</f>
        <v>530</v>
      </c>
      <c r="L218" s="7" t="n">
        <f aca="false">IF(AND(K218=0,c_TCREEP&gt;0),10*c_TCREEP,IF(AND(K218&lt;=c_TRNGMIN,K218&gt;=c_TRNGMAX,c_TRNGMIN-c_TRNGMAX&lt;&gt;0),-10*c_TMINRN+QUOTIENT((c_TMAXRN-c_TMINRN)*(100-QUOTIENT((K218-c_TRNGMAX)*100,c_TRNGMIN-c_TRNGMAX)),-10),0))</f>
        <v>0</v>
      </c>
      <c r="M218" s="7" t="n">
        <f aca="false">IF(((c_TMAP1IN)-(c_TFWD))=0,(0)+QUOTIENT(((c_TMAP1OUT)-(0)),2),QUOTIENT((((K218)-(c_TFWD))*((c_TMAP1OUT)-(0))+IF(((c_TMAP1OUT)-(0))&gt;=0,1,-1)*QUOTIENT(((c_TMAP1IN)-(c_TFWD)),2)),((c_TMAP1IN)-(c_TFWD)))+(0)+IF(((c_TMAP1OUT)-(0))&gt;=0,IF(IF(o_WRAP=1,MOD(((c_TMAP1IN)-(c_TFWD))*(((K218)-(c_TFWD))*((c_TMAP1OUT)-(0))+IF(((c_TMAP1OUT)-(0))&gt;=0,1,-1)*QUOTIENT(((c_TMAP1IN)-(c_TFWD)),2))+2147483648,4294967296)-2147483648,((c_TMAP1IN)-(c_TFWD))*(((K218)-(c_TFWD))*((c_TMAP1OUT)-(0))+IF(((c_TMAP1OUT)-(0))&gt;=0,1,-1)*QUOTIENT(((c_TMAP1IN)-(c_TFWD)),2)))&lt;0,-1,0),IF(IF(o_WRAP=1,MOD(((c_TMAP1IN)-(c_TFWD))*(((K218)-(c_TFWD))*((c_TMAP1OUT)-(0))+IF(((c_TMAP1OUT)-(0))&gt;=0,1,-1)*QUOTIENT(((c_TMAP1IN)-(c_TFWD)),2))+2147483648,4294967296)-2147483648,((c_TMAP1IN)-(c_TFWD))*(((K218)-(c_TFWD))*((c_TMAP1OUT)-(0))+IF(((c_TMAP1OUT)-(0))&gt;=0,1,-1)*QUOTIENT(((c_TMAP1IN)-(c_TFWD)),2)))&gt;=0,1,0)))</f>
        <v>404</v>
      </c>
      <c r="N218" s="7" t="n">
        <f aca="false">IF(((c_TMAP2IN)-(c_TMAP1IN))=0,(c_TMAP1OUT)+QUOTIENT(((c_TMAP2OUT)-(c_TMAP1OUT)),2),QUOTIENT((((K218)-(c_TMAP1IN))*((c_TMAP2OUT)-(c_TMAP1OUT))+IF(((c_TMAP2OUT)-(c_TMAP1OUT))&gt;=0,1,-1)*QUOTIENT(((c_TMAP2IN)-(c_TMAP1IN)),2)),((c_TMAP2IN)-(c_TMAP1IN)))+(c_TMAP1OUT)+IF(((c_TMAP2OUT)-(c_TMAP1OUT))&gt;=0,IF(IF(o_WRAP=1,MOD(((c_TMAP2IN)-(c_TMAP1IN))*(((K218)-(c_TMAP1IN))*((c_TMAP2OUT)-(c_TMAP1OUT))+IF(((c_TMAP2OUT)-(c_TMAP1OUT))&gt;=0,1,-1)*QUOTIENT(((c_TMAP2IN)-(c_TMAP1IN)),2))+2147483648,4294967296)-2147483648,((c_TMAP2IN)-(c_TMAP1IN))*(((K218)-(c_TMAP1IN))*((c_TMAP2OUT)-(c_TMAP1OUT))+IF(((c_TMAP2OUT)-(c_TMAP1OUT))&gt;=0,1,-1)*QUOTIENT(((c_TMAP2IN)-(c_TMAP1IN)),2)))&lt;0,-1,0),IF(IF(o_WRAP=1,MOD(((c_TMAP2IN)-(c_TMAP1IN))*(((K218)-(c_TMAP1IN))*((c_TMAP2OUT)-(c_TMAP1OUT))+IF(((c_TMAP2OUT)-(c_TMAP1OUT))&gt;=0,1,-1)*QUOTIENT(((c_TMAP2IN)-(c_TMAP1IN)),2))+2147483648,4294967296)-2147483648,((c_TMAP2IN)-(c_TMAP1IN))*(((K218)-(c_TMAP1IN))*((c_TMAP2OUT)-(c_TMAP1OUT))+IF(((c_TMAP2OUT)-(c_TMAP1OUT))&gt;=0,1,-1)*QUOTIENT(((c_TMAP2IN)-(c_TMAP1IN)),2)))&gt;=0,1,0)))</f>
        <v>242</v>
      </c>
      <c r="O218" s="7" t="n">
        <f aca="false">IF(((c_TMAP3IN)-(c_TMAP2IN))=0,(c_TMAP2OUT)+QUOTIENT(((c_TMAP3OUT)-(c_TMAP2OUT)),2),QUOTIENT((((K218)-(c_TMAP2IN))*((c_TMAP3OUT)-(c_TMAP2OUT))+IF(((c_TMAP3OUT)-(c_TMAP2OUT))&gt;=0,1,-1)*QUOTIENT(((c_TMAP3IN)-(c_TMAP2IN)),2)),((c_TMAP3IN)-(c_TMAP2IN)))+(c_TMAP2OUT)+IF(((c_TMAP3OUT)-(c_TMAP2OUT))&gt;=0,IF(IF(o_WRAP=1,MOD(((c_TMAP3IN)-(c_TMAP2IN))*(((K218)-(c_TMAP2IN))*((c_TMAP3OUT)-(c_TMAP2OUT))+IF(((c_TMAP3OUT)-(c_TMAP2OUT))&gt;=0,1,-1)*QUOTIENT(((c_TMAP3IN)-(c_TMAP2IN)),2))+2147483648,4294967296)-2147483648,((c_TMAP3IN)-(c_TMAP2IN))*(((K218)-(c_TMAP2IN))*((c_TMAP3OUT)-(c_TMAP2OUT))+IF(((c_TMAP3OUT)-(c_TMAP2OUT))&gt;=0,1,-1)*QUOTIENT(((c_TMAP3IN)-(c_TMAP2IN)),2)))&lt;0,-1,0),IF(IF(o_WRAP=1,MOD(((c_TMAP3IN)-(c_TMAP2IN))*(((K218)-(c_TMAP2IN))*((c_TMAP3OUT)-(c_TMAP2OUT))+IF(((c_TMAP3OUT)-(c_TMAP2OUT))&gt;=0,1,-1)*QUOTIENT(((c_TMAP3IN)-(c_TMAP2IN)),2))+2147483648,4294967296)-2147483648,((c_TMAP3IN)-(c_TMAP2IN))*(((K218)-(c_TMAP2IN))*((c_TMAP3OUT)-(c_TMAP2OUT))+IF(((c_TMAP3OUT)-(c_TMAP2OUT))&gt;=0,1,-1)*QUOTIENT(((c_TMAP3IN)-(c_TMAP2IN)),2)))&gt;=0,1,0)))</f>
        <v>326</v>
      </c>
      <c r="P218" s="7" t="n">
        <f aca="false">IF(((1000)-(c_TMAP3IN))=0,(c_TMAP3OUT)+QUOTIENT(((1000)-(c_TMAP3OUT)),2),QUOTIENT((((K218)-(c_TMAP3IN))*((1000)-(c_TMAP3OUT))+IF(((1000)-(c_TMAP3OUT))&gt;=0,1,-1)*QUOTIENT(((1000)-(c_TMAP3IN)),2)),((1000)-(c_TMAP3IN)))+(c_TMAP3OUT)+IF(((1000)-(c_TMAP3OUT))&gt;=0,IF(IF(o_WRAP=1,MOD(((1000)-(c_TMAP3IN))*(((K218)-(c_TMAP3IN))*((1000)-(c_TMAP3OUT))+IF(((1000)-(c_TMAP3OUT))&gt;=0,1,-1)*QUOTIENT(((1000)-(c_TMAP3IN)),2))+2147483648,4294967296)-2147483648,((1000)-(c_TMAP3IN))*(((K218)-(c_TMAP3IN))*((1000)-(c_TMAP3OUT))+IF(((1000)-(c_TMAP3OUT))&gt;=0,1,-1)*QUOTIENT(((1000)-(c_TMAP3IN)),2)))&lt;0,-1,0),IF(IF(o_WRAP=1,MOD(((1000)-(c_TMAP3IN))*(((K218)-(c_TMAP3IN))*((1000)-(c_TMAP3OUT))+IF(((1000)-(c_TMAP3OUT))&gt;=0,1,-1)*QUOTIENT(((1000)-(c_TMAP3IN)),2))+2147483648,4294967296)-2147483648,((1000)-(c_TMAP3IN))*(((K218)-(c_TMAP3IN))*((1000)-(c_TMAP3OUT))+IF(((1000)-(c_TMAP3OUT))&gt;=0,1,-1)*QUOTIENT(((1000)-(c_TMAP3IN)),2)))&gt;=0,1,0)))</f>
        <v>422</v>
      </c>
      <c r="Q218" s="7" t="str">
        <f aca="false">IF(K218&gt;=c_TFWD,IF(AND(K218&gt;=c_TMAP3IN,c_TMAP3IN&lt;1000),"Seg4 map3-100%",IF(AND(K218&gt;=c_TMAP2IN,c_TMAP3IN&gt;c_TMAP2IN),"Seg3 map2-map3",IF(AND(K218&gt;=c_TMAP1IN,c_TMAP2IN&gt;c_TMAP1IN),"Seg2 map1-map2","Seg1 TFWD-map1"))),IF(AND(K218=0,c_TCREEP&gt;0),"Creep",IF(AND(K218&lt;=c_TRNGMIN,K218&gt;=c_TRNGMAX,c_TRNGMIN-c_TRNGMAX&lt;&gt;0),"Regen ramp","Coast (0)")))</f>
        <v>Seg4 map3-100%</v>
      </c>
      <c r="R218" s="7" t="n">
        <f aca="false">IF(K218&gt;=c_TFWD,IF(AND(K218&gt;=c_TMAP3IN,c_TMAP3IN&lt;1000),P218,IF(AND(K218&gt;=c_TMAP2IN,c_TMAP3IN&gt;c_TMAP2IN),O218,IF(AND(K218&gt;=c_TMAP1IN,c_TMAP2IN&gt;c_TMAP1IN),N218,M218))),L218)</f>
        <v>422</v>
      </c>
      <c r="S218" s="7" t="str">
        <f aca="false">IF(R218&lt;-1090,"TOO LOW",IF(R218&gt;1090,"TOO HIGH",""))</f>
        <v/>
      </c>
      <c r="T218" s="15" t="n">
        <f aca="false">IF(H218&lt;&gt;"OK",0,IF(S218&lt;&gt;"",0,IF(R218&gt;979,1000,R218)))</f>
        <v>422</v>
      </c>
      <c r="U218" s="7" t="n">
        <f aca="false">T218/10</f>
        <v>42.2</v>
      </c>
    </row>
    <row r="219" customFormat="false" ht="15" hidden="false" customHeight="false" outlineLevel="0" collapsed="false">
      <c r="A219" s="7" t="n">
        <v>214</v>
      </c>
      <c r="B219" s="7" t="n">
        <f aca="false">ROUND(o_SWSTART+A219*(o_SWEND-o_SWSTART)/400,0)</f>
        <v>2191</v>
      </c>
      <c r="C219" s="7" t="n">
        <f aca="false">QUOTIENT((B219-c_OFF1)*c_GAIN1,1024)</f>
        <v>2191</v>
      </c>
      <c r="D219" s="7" t="n">
        <f aca="false">IF(((c_T1MX)-(c_T1MN))=0,(0)+QUOTIENT(((1000)-(0)),2),QUOTIENT((((C219)-(c_T1MN))*((1000)-(0))+IF(((1000)-(0))&gt;=0,1,-1)*QUOTIENT(((c_T1MX)-(c_T1MN)),2)),((c_T1MX)-(c_T1MN)))+(0)+IF(((1000)-(0))&gt;=0,IF(IF(o_WRAP=1,MOD(((c_T1MX)-(c_T1MN))*(((C219)-(c_T1MN))*((1000)-(0))+IF(((1000)-(0))&gt;=0,1,-1)*QUOTIENT(((c_T1MX)-(c_T1MN)),2))+2147483648,4294967296)-2147483648,((c_T1MX)-(c_T1MN))*(((C219)-(c_T1MN))*((1000)-(0))+IF(((1000)-(0))&gt;=0,1,-1)*QUOTIENT(((c_T1MX)-(c_T1MN)),2)))&lt;0,-1,0),IF(IF(o_WRAP=1,MOD(((c_T1MX)-(c_T1MN))*(((C219)-(c_T1MN))*((1000)-(0))+IF(((1000)-(0))&gt;=0,1,-1)*QUOTIENT(((c_T1MX)-(c_T1MN)),2))+2147483648,4294967296)-2147483648,((c_T1MX)-(c_T1MN))*(((C219)-(c_T1MN))*((1000)-(0))+IF(((1000)-(0))&gt;=0,1,-1)*QUOTIENT(((c_T1MX)-(c_T1MN)),2)))&gt;=0,1,0)))</f>
        <v>533</v>
      </c>
      <c r="E219" s="7" t="n">
        <f aca="false">IF(AND(c_TPOT=1,c_TTYPE=2),1000-D219,D219)</f>
        <v>533</v>
      </c>
      <c r="F219" s="7" t="str">
        <f aca="false">IF(c_TPOT&gt;1,ROUND(IF(c_TTYPE=2,c_T2MX-IF(c_T1MX=c_T1MN,0,(C219-c_T1MN)/(c_T1MX-c_T1MN))*(c_T2MX-c_T2MN),c_T2MN+IF(c_T1MX=c_T1MN,0,(C219-c_T1MN)/(c_T1MX-c_T1MN))*(c_T2MX-c_T2MN))+o_MISMATCH,0),"")</f>
        <v/>
      </c>
      <c r="G219" s="7" t="str">
        <f aca="false">IF(c_TPOT&gt;1,IF(((c_T2MX)-(c_T2MN))=0,(0)+QUOTIENT(((1000)-(0)),2),QUOTIENT((((F219)-(c_T2MN))*((1000)-(0))+IF(((1000)-(0))&gt;=0,1,-1)*QUOTIENT(((c_T2MX)-(c_T2MN)),2)),((c_T2MX)-(c_T2MN)))+(0)+IF(((1000)-(0))&gt;=0,IF(IF(o_WRAP=1,MOD(((c_T2MX)-(c_T2MN))*(((F219)-(c_T2MN))*((1000)-(0))+IF(((1000)-(0))&gt;=0,1,-1)*QUOTIENT(((c_T2MX)-(c_T2MN)),2))+2147483648,4294967296)-2147483648,((c_T2MX)-(c_T2MN))*(((F219)-(c_T2MN))*((1000)-(0))+IF(((1000)-(0))&gt;=0,1,-1)*QUOTIENT(((c_T2MX)-(c_T2MN)),2)))&lt;0,-1,0),IF(IF(o_WRAP=1,MOD(((c_T2MX)-(c_T2MN))*(((F219)-(c_T2MN))*((1000)-(0))+IF(((1000)-(0))&gt;=0,1,-1)*QUOTIENT(((c_T2MX)-(c_T2MN)),2))+2147483648,4294967296)-2147483648,((c_T2MX)-(c_T2MN))*(((F219)-(c_T2MN))*((1000)-(0))+IF(((1000)-(0))&gt;=0,1,-1)*QUOTIENT(((c_T2MX)-(c_T2MN)),2)))&gt;=0,1,0))),"")</f>
        <v/>
      </c>
      <c r="H219" s="7" t="str">
        <f aca="false">IF(E219&gt;1000+k_TOL,"T1 HIGH",IF(E219&lt;0-k_TOL,"T1 LOW",IF(c_TPOT&gt;1,IF(G219&gt;1000+k_TOL,"T2 HIGH",IF(G219&lt;0-k_TOL,"T2 LOW",IF(c_TTYPE=2,IF(ABS(1000-MAX(0,MIN(1000,E219))-MAX(0,MIN(1000,G219)))&gt;k_MAXERR,"MISMATCH","OK"),IF(OR(MAX(0,MIN(1000,E219))-k_MAXERR&gt;MAX(0,MIN(1000,G219)),MAX(0,MIN(1000,G219))-k_MAXERR&gt;MAX(0,MIN(1000,E219))),"MISMATCH","OK")))),"OK")))</f>
        <v>OK</v>
      </c>
      <c r="I219" s="7" t="n">
        <f aca="false">MAX(0,MIN(1000,D219))</f>
        <v>533</v>
      </c>
      <c r="J219" s="7" t="str">
        <f aca="false">IF(c_TPOT&gt;1,IF(c_TTYPE=2,1000-MAX(0,MIN(1000,G219)),MAX(0,MIN(1000,G219))),"")</f>
        <v/>
      </c>
      <c r="K219" s="7" t="n">
        <f aca="false">IF(c_TPOT&gt;1,QUOTIENT(I219+J219,2),I219)</f>
        <v>533</v>
      </c>
      <c r="L219" s="7" t="n">
        <f aca="false">IF(AND(K219=0,c_TCREEP&gt;0),10*c_TCREEP,IF(AND(K219&lt;=c_TRNGMIN,K219&gt;=c_TRNGMAX,c_TRNGMIN-c_TRNGMAX&lt;&gt;0),-10*c_TMINRN+QUOTIENT((c_TMAXRN-c_TMINRN)*(100-QUOTIENT((K219-c_TRNGMAX)*100,c_TRNGMIN-c_TRNGMAX)),-10),0))</f>
        <v>0</v>
      </c>
      <c r="M219" s="7" t="n">
        <f aca="false">IF(((c_TMAP1IN)-(c_TFWD))=0,(0)+QUOTIENT(((c_TMAP1OUT)-(0)),2),QUOTIENT((((K219)-(c_TFWD))*((c_TMAP1OUT)-(0))+IF(((c_TMAP1OUT)-(0))&gt;=0,1,-1)*QUOTIENT(((c_TMAP1IN)-(c_TFWD)),2)),((c_TMAP1IN)-(c_TFWD)))+(0)+IF(((c_TMAP1OUT)-(0))&gt;=0,IF(IF(o_WRAP=1,MOD(((c_TMAP1IN)-(c_TFWD))*(((K219)-(c_TFWD))*((c_TMAP1OUT)-(0))+IF(((c_TMAP1OUT)-(0))&gt;=0,1,-1)*QUOTIENT(((c_TMAP1IN)-(c_TFWD)),2))+2147483648,4294967296)-2147483648,((c_TMAP1IN)-(c_TFWD))*(((K219)-(c_TFWD))*((c_TMAP1OUT)-(0))+IF(((c_TMAP1OUT)-(0))&gt;=0,1,-1)*QUOTIENT(((c_TMAP1IN)-(c_TFWD)),2)))&lt;0,-1,0),IF(IF(o_WRAP=1,MOD(((c_TMAP1IN)-(c_TFWD))*(((K219)-(c_TFWD))*((c_TMAP1OUT)-(0))+IF(((c_TMAP1OUT)-(0))&gt;=0,1,-1)*QUOTIENT(((c_TMAP1IN)-(c_TFWD)),2))+2147483648,4294967296)-2147483648,((c_TMAP1IN)-(c_TFWD))*(((K219)-(c_TFWD))*((c_TMAP1OUT)-(0))+IF(((c_TMAP1OUT)-(0))&gt;=0,1,-1)*QUOTIENT(((c_TMAP1IN)-(c_TFWD)),2)))&gt;=0,1,0)))</f>
        <v>407</v>
      </c>
      <c r="N219" s="7" t="n">
        <f aca="false">IF(((c_TMAP2IN)-(c_TMAP1IN))=0,(c_TMAP1OUT)+QUOTIENT(((c_TMAP2OUT)-(c_TMAP1OUT)),2),QUOTIENT((((K219)-(c_TMAP1IN))*((c_TMAP2OUT)-(c_TMAP1OUT))+IF(((c_TMAP2OUT)-(c_TMAP1OUT))&gt;=0,1,-1)*QUOTIENT(((c_TMAP2IN)-(c_TMAP1IN)),2)),((c_TMAP2IN)-(c_TMAP1IN)))+(c_TMAP1OUT)+IF(((c_TMAP2OUT)-(c_TMAP1OUT))&gt;=0,IF(IF(o_WRAP=1,MOD(((c_TMAP2IN)-(c_TMAP1IN))*(((K219)-(c_TMAP1IN))*((c_TMAP2OUT)-(c_TMAP1OUT))+IF(((c_TMAP2OUT)-(c_TMAP1OUT))&gt;=0,1,-1)*QUOTIENT(((c_TMAP2IN)-(c_TMAP1IN)),2))+2147483648,4294967296)-2147483648,((c_TMAP2IN)-(c_TMAP1IN))*(((K219)-(c_TMAP1IN))*((c_TMAP2OUT)-(c_TMAP1OUT))+IF(((c_TMAP2OUT)-(c_TMAP1OUT))&gt;=0,1,-1)*QUOTIENT(((c_TMAP2IN)-(c_TMAP1IN)),2)))&lt;0,-1,0),IF(IF(o_WRAP=1,MOD(((c_TMAP2IN)-(c_TMAP1IN))*(((K219)-(c_TMAP1IN))*((c_TMAP2OUT)-(c_TMAP1OUT))+IF(((c_TMAP2OUT)-(c_TMAP1OUT))&gt;=0,1,-1)*QUOTIENT(((c_TMAP2IN)-(c_TMAP1IN)),2))+2147483648,4294967296)-2147483648,((c_TMAP2IN)-(c_TMAP1IN))*(((K219)-(c_TMAP1IN))*((c_TMAP2OUT)-(c_TMAP1OUT))+IF(((c_TMAP2OUT)-(c_TMAP1OUT))&gt;=0,1,-1)*QUOTIENT(((c_TMAP2IN)-(c_TMAP1IN)),2)))&gt;=0,1,0)))</f>
        <v>243</v>
      </c>
      <c r="O219" s="7" t="n">
        <f aca="false">IF(((c_TMAP3IN)-(c_TMAP2IN))=0,(c_TMAP2OUT)+QUOTIENT(((c_TMAP3OUT)-(c_TMAP2OUT)),2),QUOTIENT((((K219)-(c_TMAP2IN))*((c_TMAP3OUT)-(c_TMAP2OUT))+IF(((c_TMAP3OUT)-(c_TMAP2OUT))&gt;=0,1,-1)*QUOTIENT(((c_TMAP3IN)-(c_TMAP2IN)),2)),((c_TMAP3IN)-(c_TMAP2IN)))+(c_TMAP2OUT)+IF(((c_TMAP3OUT)-(c_TMAP2OUT))&gt;=0,IF(IF(o_WRAP=1,MOD(((c_TMAP3IN)-(c_TMAP2IN))*(((K219)-(c_TMAP2IN))*((c_TMAP3OUT)-(c_TMAP2OUT))+IF(((c_TMAP3OUT)-(c_TMAP2OUT))&gt;=0,1,-1)*QUOTIENT(((c_TMAP3IN)-(c_TMAP2IN)),2))+2147483648,4294967296)-2147483648,((c_TMAP3IN)-(c_TMAP2IN))*(((K219)-(c_TMAP2IN))*((c_TMAP3OUT)-(c_TMAP2OUT))+IF(((c_TMAP3OUT)-(c_TMAP2OUT))&gt;=0,1,-1)*QUOTIENT(((c_TMAP3IN)-(c_TMAP2IN)),2)))&lt;0,-1,0),IF(IF(o_WRAP=1,MOD(((c_TMAP3IN)-(c_TMAP2IN))*(((K219)-(c_TMAP2IN))*((c_TMAP3OUT)-(c_TMAP2OUT))+IF(((c_TMAP3OUT)-(c_TMAP2OUT))&gt;=0,1,-1)*QUOTIENT(((c_TMAP3IN)-(c_TMAP2IN)),2))+2147483648,4294967296)-2147483648,((c_TMAP3IN)-(c_TMAP2IN))*(((K219)-(c_TMAP2IN))*((c_TMAP3OUT)-(c_TMAP2OUT))+IF(((c_TMAP3OUT)-(c_TMAP2OUT))&gt;=0,1,-1)*QUOTIENT(((c_TMAP3IN)-(c_TMAP2IN)),2)))&gt;=0,1,0)))</f>
        <v>328</v>
      </c>
      <c r="P219" s="7" t="n">
        <f aca="false">IF(((1000)-(c_TMAP3IN))=0,(c_TMAP3OUT)+QUOTIENT(((1000)-(c_TMAP3OUT)),2),QUOTIENT((((K219)-(c_TMAP3IN))*((1000)-(c_TMAP3OUT))+IF(((1000)-(c_TMAP3OUT))&gt;=0,1,-1)*QUOTIENT(((1000)-(c_TMAP3IN)),2)),((1000)-(c_TMAP3IN)))+(c_TMAP3OUT)+IF(((1000)-(c_TMAP3OUT))&gt;=0,IF(IF(o_WRAP=1,MOD(((1000)-(c_TMAP3IN))*(((K219)-(c_TMAP3IN))*((1000)-(c_TMAP3OUT))+IF(((1000)-(c_TMAP3OUT))&gt;=0,1,-1)*QUOTIENT(((1000)-(c_TMAP3IN)),2))+2147483648,4294967296)-2147483648,((1000)-(c_TMAP3IN))*(((K219)-(c_TMAP3IN))*((1000)-(c_TMAP3OUT))+IF(((1000)-(c_TMAP3OUT))&gt;=0,1,-1)*QUOTIENT(((1000)-(c_TMAP3IN)),2)))&lt;0,-1,0),IF(IF(o_WRAP=1,MOD(((1000)-(c_TMAP3IN))*(((K219)-(c_TMAP3IN))*((1000)-(c_TMAP3OUT))+IF(((1000)-(c_TMAP3OUT))&gt;=0,1,-1)*QUOTIENT(((1000)-(c_TMAP3IN)),2))+2147483648,4294967296)-2147483648,((1000)-(c_TMAP3IN))*(((K219)-(c_TMAP3IN))*((1000)-(c_TMAP3OUT))+IF(((1000)-(c_TMAP3OUT))&gt;=0,1,-1)*QUOTIENT(((1000)-(c_TMAP3IN)),2)))&gt;=0,1,0)))</f>
        <v>425</v>
      </c>
      <c r="Q219" s="7" t="str">
        <f aca="false">IF(K219&gt;=c_TFWD,IF(AND(K219&gt;=c_TMAP3IN,c_TMAP3IN&lt;1000),"Seg4 map3-100%",IF(AND(K219&gt;=c_TMAP2IN,c_TMAP3IN&gt;c_TMAP2IN),"Seg3 map2-map3",IF(AND(K219&gt;=c_TMAP1IN,c_TMAP2IN&gt;c_TMAP1IN),"Seg2 map1-map2","Seg1 TFWD-map1"))),IF(AND(K219=0,c_TCREEP&gt;0),"Creep",IF(AND(K219&lt;=c_TRNGMIN,K219&gt;=c_TRNGMAX,c_TRNGMIN-c_TRNGMAX&lt;&gt;0),"Regen ramp","Coast (0)")))</f>
        <v>Seg4 map3-100%</v>
      </c>
      <c r="R219" s="7" t="n">
        <f aca="false">IF(K219&gt;=c_TFWD,IF(AND(K219&gt;=c_TMAP3IN,c_TMAP3IN&lt;1000),P219,IF(AND(K219&gt;=c_TMAP2IN,c_TMAP3IN&gt;c_TMAP2IN),O219,IF(AND(K219&gt;=c_TMAP1IN,c_TMAP2IN&gt;c_TMAP1IN),N219,M219))),L219)</f>
        <v>425</v>
      </c>
      <c r="S219" s="7" t="str">
        <f aca="false">IF(R219&lt;-1090,"TOO LOW",IF(R219&gt;1090,"TOO HIGH",""))</f>
        <v/>
      </c>
      <c r="T219" s="15" t="n">
        <f aca="false">IF(H219&lt;&gt;"OK",0,IF(S219&lt;&gt;"",0,IF(R219&gt;979,1000,R219)))</f>
        <v>425</v>
      </c>
      <c r="U219" s="7" t="n">
        <f aca="false">T219/10</f>
        <v>42.5</v>
      </c>
    </row>
    <row r="220" customFormat="false" ht="15" hidden="false" customHeight="false" outlineLevel="0" collapsed="false">
      <c r="A220" s="7" t="n">
        <v>215</v>
      </c>
      <c r="B220" s="7" t="n">
        <f aca="false">ROUND(o_SWSTART+A220*(o_SWEND-o_SWSTART)/400,0)</f>
        <v>2201</v>
      </c>
      <c r="C220" s="7" t="n">
        <f aca="false">QUOTIENT((B220-c_OFF1)*c_GAIN1,1024)</f>
        <v>2201</v>
      </c>
      <c r="D220" s="7" t="n">
        <f aca="false">IF(((c_T1MX)-(c_T1MN))=0,(0)+QUOTIENT(((1000)-(0)),2),QUOTIENT((((C220)-(c_T1MN))*((1000)-(0))+IF(((1000)-(0))&gt;=0,1,-1)*QUOTIENT(((c_T1MX)-(c_T1MN)),2)),((c_T1MX)-(c_T1MN)))+(0)+IF(((1000)-(0))&gt;=0,IF(IF(o_WRAP=1,MOD(((c_T1MX)-(c_T1MN))*(((C220)-(c_T1MN))*((1000)-(0))+IF(((1000)-(0))&gt;=0,1,-1)*QUOTIENT(((c_T1MX)-(c_T1MN)),2))+2147483648,4294967296)-2147483648,((c_T1MX)-(c_T1MN))*(((C220)-(c_T1MN))*((1000)-(0))+IF(((1000)-(0))&gt;=0,1,-1)*QUOTIENT(((c_T1MX)-(c_T1MN)),2)))&lt;0,-1,0),IF(IF(o_WRAP=1,MOD(((c_T1MX)-(c_T1MN))*(((C220)-(c_T1MN))*((1000)-(0))+IF(((1000)-(0))&gt;=0,1,-1)*QUOTIENT(((c_T1MX)-(c_T1MN)),2))+2147483648,4294967296)-2147483648,((c_T1MX)-(c_T1MN))*(((C220)-(c_T1MN))*((1000)-(0))+IF(((1000)-(0))&gt;=0,1,-1)*QUOTIENT(((c_T1MX)-(c_T1MN)),2)))&gt;=0,1,0)))</f>
        <v>537</v>
      </c>
      <c r="E220" s="7" t="n">
        <f aca="false">IF(AND(c_TPOT=1,c_TTYPE=2),1000-D220,D220)</f>
        <v>537</v>
      </c>
      <c r="F220" s="7" t="str">
        <f aca="false">IF(c_TPOT&gt;1,ROUND(IF(c_TTYPE=2,c_T2MX-IF(c_T1MX=c_T1MN,0,(C220-c_T1MN)/(c_T1MX-c_T1MN))*(c_T2MX-c_T2MN),c_T2MN+IF(c_T1MX=c_T1MN,0,(C220-c_T1MN)/(c_T1MX-c_T1MN))*(c_T2MX-c_T2MN))+o_MISMATCH,0),"")</f>
        <v/>
      </c>
      <c r="G220" s="7" t="str">
        <f aca="false">IF(c_TPOT&gt;1,IF(((c_T2MX)-(c_T2MN))=0,(0)+QUOTIENT(((1000)-(0)),2),QUOTIENT((((F220)-(c_T2MN))*((1000)-(0))+IF(((1000)-(0))&gt;=0,1,-1)*QUOTIENT(((c_T2MX)-(c_T2MN)),2)),((c_T2MX)-(c_T2MN)))+(0)+IF(((1000)-(0))&gt;=0,IF(IF(o_WRAP=1,MOD(((c_T2MX)-(c_T2MN))*(((F220)-(c_T2MN))*((1000)-(0))+IF(((1000)-(0))&gt;=0,1,-1)*QUOTIENT(((c_T2MX)-(c_T2MN)),2))+2147483648,4294967296)-2147483648,((c_T2MX)-(c_T2MN))*(((F220)-(c_T2MN))*((1000)-(0))+IF(((1000)-(0))&gt;=0,1,-1)*QUOTIENT(((c_T2MX)-(c_T2MN)),2)))&lt;0,-1,0),IF(IF(o_WRAP=1,MOD(((c_T2MX)-(c_T2MN))*(((F220)-(c_T2MN))*((1000)-(0))+IF(((1000)-(0))&gt;=0,1,-1)*QUOTIENT(((c_T2MX)-(c_T2MN)),2))+2147483648,4294967296)-2147483648,((c_T2MX)-(c_T2MN))*(((F220)-(c_T2MN))*((1000)-(0))+IF(((1000)-(0))&gt;=0,1,-1)*QUOTIENT(((c_T2MX)-(c_T2MN)),2)))&gt;=0,1,0))),"")</f>
        <v/>
      </c>
      <c r="H220" s="7" t="str">
        <f aca="false">IF(E220&gt;1000+k_TOL,"T1 HIGH",IF(E220&lt;0-k_TOL,"T1 LOW",IF(c_TPOT&gt;1,IF(G220&gt;1000+k_TOL,"T2 HIGH",IF(G220&lt;0-k_TOL,"T2 LOW",IF(c_TTYPE=2,IF(ABS(1000-MAX(0,MIN(1000,E220))-MAX(0,MIN(1000,G220)))&gt;k_MAXERR,"MISMATCH","OK"),IF(OR(MAX(0,MIN(1000,E220))-k_MAXERR&gt;MAX(0,MIN(1000,G220)),MAX(0,MIN(1000,G220))-k_MAXERR&gt;MAX(0,MIN(1000,E220))),"MISMATCH","OK")))),"OK")))</f>
        <v>OK</v>
      </c>
      <c r="I220" s="7" t="n">
        <f aca="false">MAX(0,MIN(1000,D220))</f>
        <v>537</v>
      </c>
      <c r="J220" s="7" t="str">
        <f aca="false">IF(c_TPOT&gt;1,IF(c_TTYPE=2,1000-MAX(0,MIN(1000,G220)),MAX(0,MIN(1000,G220))),"")</f>
        <v/>
      </c>
      <c r="K220" s="7" t="n">
        <f aca="false">IF(c_TPOT&gt;1,QUOTIENT(I220+J220,2),I220)</f>
        <v>537</v>
      </c>
      <c r="L220" s="7" t="n">
        <f aca="false">IF(AND(K220=0,c_TCREEP&gt;0),10*c_TCREEP,IF(AND(K220&lt;=c_TRNGMIN,K220&gt;=c_TRNGMAX,c_TRNGMIN-c_TRNGMAX&lt;&gt;0),-10*c_TMINRN+QUOTIENT((c_TMAXRN-c_TMINRN)*(100-QUOTIENT((K220-c_TRNGMAX)*100,c_TRNGMIN-c_TRNGMAX)),-10),0))</f>
        <v>0</v>
      </c>
      <c r="M220" s="7" t="n">
        <f aca="false">IF(((c_TMAP1IN)-(c_TFWD))=0,(0)+QUOTIENT(((c_TMAP1OUT)-(0)),2),QUOTIENT((((K220)-(c_TFWD))*((c_TMAP1OUT)-(0))+IF(((c_TMAP1OUT)-(0))&gt;=0,1,-1)*QUOTIENT(((c_TMAP1IN)-(c_TFWD)),2)),((c_TMAP1IN)-(c_TFWD)))+(0)+IF(((c_TMAP1OUT)-(0))&gt;=0,IF(IF(o_WRAP=1,MOD(((c_TMAP1IN)-(c_TFWD))*(((K220)-(c_TFWD))*((c_TMAP1OUT)-(0))+IF(((c_TMAP1OUT)-(0))&gt;=0,1,-1)*QUOTIENT(((c_TMAP1IN)-(c_TFWD)),2))+2147483648,4294967296)-2147483648,((c_TMAP1IN)-(c_TFWD))*(((K220)-(c_TFWD))*((c_TMAP1OUT)-(0))+IF(((c_TMAP1OUT)-(0))&gt;=0,1,-1)*QUOTIENT(((c_TMAP1IN)-(c_TFWD)),2)))&lt;0,-1,0),IF(IF(o_WRAP=1,MOD(((c_TMAP1IN)-(c_TFWD))*(((K220)-(c_TFWD))*((c_TMAP1OUT)-(0))+IF(((c_TMAP1OUT)-(0))&gt;=0,1,-1)*QUOTIENT(((c_TMAP1IN)-(c_TFWD)),2))+2147483648,4294967296)-2147483648,((c_TMAP1IN)-(c_TFWD))*(((K220)-(c_TFWD))*((c_TMAP1OUT)-(0))+IF(((c_TMAP1OUT)-(0))&gt;=0,1,-1)*QUOTIENT(((c_TMAP1IN)-(c_TFWD)),2)))&gt;=0,1,0)))</f>
        <v>410</v>
      </c>
      <c r="N220" s="7" t="n">
        <f aca="false">IF(((c_TMAP2IN)-(c_TMAP1IN))=0,(c_TMAP1OUT)+QUOTIENT(((c_TMAP2OUT)-(c_TMAP1OUT)),2),QUOTIENT((((K220)-(c_TMAP1IN))*((c_TMAP2OUT)-(c_TMAP1OUT))+IF(((c_TMAP2OUT)-(c_TMAP1OUT))&gt;=0,1,-1)*QUOTIENT(((c_TMAP2IN)-(c_TMAP1IN)),2)),((c_TMAP2IN)-(c_TMAP1IN)))+(c_TMAP1OUT)+IF(((c_TMAP2OUT)-(c_TMAP1OUT))&gt;=0,IF(IF(o_WRAP=1,MOD(((c_TMAP2IN)-(c_TMAP1IN))*(((K220)-(c_TMAP1IN))*((c_TMAP2OUT)-(c_TMAP1OUT))+IF(((c_TMAP2OUT)-(c_TMAP1OUT))&gt;=0,1,-1)*QUOTIENT(((c_TMAP2IN)-(c_TMAP1IN)),2))+2147483648,4294967296)-2147483648,((c_TMAP2IN)-(c_TMAP1IN))*(((K220)-(c_TMAP1IN))*((c_TMAP2OUT)-(c_TMAP1OUT))+IF(((c_TMAP2OUT)-(c_TMAP1OUT))&gt;=0,1,-1)*QUOTIENT(((c_TMAP2IN)-(c_TMAP1IN)),2)))&lt;0,-1,0),IF(IF(o_WRAP=1,MOD(((c_TMAP2IN)-(c_TMAP1IN))*(((K220)-(c_TMAP1IN))*((c_TMAP2OUT)-(c_TMAP1OUT))+IF(((c_TMAP2OUT)-(c_TMAP1OUT))&gt;=0,1,-1)*QUOTIENT(((c_TMAP2IN)-(c_TMAP1IN)),2))+2147483648,4294967296)-2147483648,((c_TMAP2IN)-(c_TMAP1IN))*(((K220)-(c_TMAP1IN))*((c_TMAP2OUT)-(c_TMAP1OUT))+IF(((c_TMAP2OUT)-(c_TMAP1OUT))&gt;=0,1,-1)*QUOTIENT(((c_TMAP2IN)-(c_TMAP1IN)),2)))&gt;=0,1,0)))</f>
        <v>245</v>
      </c>
      <c r="O220" s="7" t="n">
        <f aca="false">IF(((c_TMAP3IN)-(c_TMAP2IN))=0,(c_TMAP2OUT)+QUOTIENT(((c_TMAP3OUT)-(c_TMAP2OUT)),2),QUOTIENT((((K220)-(c_TMAP2IN))*((c_TMAP3OUT)-(c_TMAP2OUT))+IF(((c_TMAP3OUT)-(c_TMAP2OUT))&gt;=0,1,-1)*QUOTIENT(((c_TMAP3IN)-(c_TMAP2IN)),2)),((c_TMAP3IN)-(c_TMAP2IN)))+(c_TMAP2OUT)+IF(((c_TMAP3OUT)-(c_TMAP2OUT))&gt;=0,IF(IF(o_WRAP=1,MOD(((c_TMAP3IN)-(c_TMAP2IN))*(((K220)-(c_TMAP2IN))*((c_TMAP3OUT)-(c_TMAP2OUT))+IF(((c_TMAP3OUT)-(c_TMAP2OUT))&gt;=0,1,-1)*QUOTIENT(((c_TMAP3IN)-(c_TMAP2IN)),2))+2147483648,4294967296)-2147483648,((c_TMAP3IN)-(c_TMAP2IN))*(((K220)-(c_TMAP2IN))*((c_TMAP3OUT)-(c_TMAP2OUT))+IF(((c_TMAP3OUT)-(c_TMAP2OUT))&gt;=0,1,-1)*QUOTIENT(((c_TMAP3IN)-(c_TMAP2IN)),2)))&lt;0,-1,0),IF(IF(o_WRAP=1,MOD(((c_TMAP3IN)-(c_TMAP2IN))*(((K220)-(c_TMAP2IN))*((c_TMAP3OUT)-(c_TMAP2OUT))+IF(((c_TMAP3OUT)-(c_TMAP2OUT))&gt;=0,1,-1)*QUOTIENT(((c_TMAP3IN)-(c_TMAP2IN)),2))+2147483648,4294967296)-2147483648,((c_TMAP3IN)-(c_TMAP2IN))*(((K220)-(c_TMAP2IN))*((c_TMAP3OUT)-(c_TMAP2OUT))+IF(((c_TMAP3OUT)-(c_TMAP2OUT))&gt;=0,1,-1)*QUOTIENT(((c_TMAP3IN)-(c_TMAP2IN)),2)))&gt;=0,1,0)))</f>
        <v>331</v>
      </c>
      <c r="P220" s="7" t="n">
        <f aca="false">IF(((1000)-(c_TMAP3IN))=0,(c_TMAP3OUT)+QUOTIENT(((1000)-(c_TMAP3OUT)),2),QUOTIENT((((K220)-(c_TMAP3IN))*((1000)-(c_TMAP3OUT))+IF(((1000)-(c_TMAP3OUT))&gt;=0,1,-1)*QUOTIENT(((1000)-(c_TMAP3IN)),2)),((1000)-(c_TMAP3IN)))+(c_TMAP3OUT)+IF(((1000)-(c_TMAP3OUT))&gt;=0,IF(IF(o_WRAP=1,MOD(((1000)-(c_TMAP3IN))*(((K220)-(c_TMAP3IN))*((1000)-(c_TMAP3OUT))+IF(((1000)-(c_TMAP3OUT))&gt;=0,1,-1)*QUOTIENT(((1000)-(c_TMAP3IN)),2))+2147483648,4294967296)-2147483648,((1000)-(c_TMAP3IN))*(((K220)-(c_TMAP3IN))*((1000)-(c_TMAP3OUT))+IF(((1000)-(c_TMAP3OUT))&gt;=0,1,-1)*QUOTIENT(((1000)-(c_TMAP3IN)),2)))&lt;0,-1,0),IF(IF(o_WRAP=1,MOD(((1000)-(c_TMAP3IN))*(((K220)-(c_TMAP3IN))*((1000)-(c_TMAP3OUT))+IF(((1000)-(c_TMAP3OUT))&gt;=0,1,-1)*QUOTIENT(((1000)-(c_TMAP3IN)),2))+2147483648,4294967296)-2147483648,((1000)-(c_TMAP3IN))*(((K220)-(c_TMAP3IN))*((1000)-(c_TMAP3OUT))+IF(((1000)-(c_TMAP3OUT))&gt;=0,1,-1)*QUOTIENT(((1000)-(c_TMAP3IN)),2)))&gt;=0,1,0)))</f>
        <v>430</v>
      </c>
      <c r="Q220" s="7" t="str">
        <f aca="false">IF(K220&gt;=c_TFWD,IF(AND(K220&gt;=c_TMAP3IN,c_TMAP3IN&lt;1000),"Seg4 map3-100%",IF(AND(K220&gt;=c_TMAP2IN,c_TMAP3IN&gt;c_TMAP2IN),"Seg3 map2-map3",IF(AND(K220&gt;=c_TMAP1IN,c_TMAP2IN&gt;c_TMAP1IN),"Seg2 map1-map2","Seg1 TFWD-map1"))),IF(AND(K220=0,c_TCREEP&gt;0),"Creep",IF(AND(K220&lt;=c_TRNGMIN,K220&gt;=c_TRNGMAX,c_TRNGMIN-c_TRNGMAX&lt;&gt;0),"Regen ramp","Coast (0)")))</f>
        <v>Seg4 map3-100%</v>
      </c>
      <c r="R220" s="7" t="n">
        <f aca="false">IF(K220&gt;=c_TFWD,IF(AND(K220&gt;=c_TMAP3IN,c_TMAP3IN&lt;1000),P220,IF(AND(K220&gt;=c_TMAP2IN,c_TMAP3IN&gt;c_TMAP2IN),O220,IF(AND(K220&gt;=c_TMAP1IN,c_TMAP2IN&gt;c_TMAP1IN),N220,M220))),L220)</f>
        <v>430</v>
      </c>
      <c r="S220" s="7" t="str">
        <f aca="false">IF(R220&lt;-1090,"TOO LOW",IF(R220&gt;1090,"TOO HIGH",""))</f>
        <v/>
      </c>
      <c r="T220" s="15" t="n">
        <f aca="false">IF(H220&lt;&gt;"OK",0,IF(S220&lt;&gt;"",0,IF(R220&gt;979,1000,R220)))</f>
        <v>430</v>
      </c>
      <c r="U220" s="7" t="n">
        <f aca="false">T220/10</f>
        <v>43</v>
      </c>
    </row>
    <row r="221" customFormat="false" ht="15" hidden="false" customHeight="false" outlineLevel="0" collapsed="false">
      <c r="A221" s="7" t="n">
        <v>216</v>
      </c>
      <c r="B221" s="7" t="n">
        <f aca="false">ROUND(o_SWSTART+A221*(o_SWEND-o_SWSTART)/400,0)</f>
        <v>2211</v>
      </c>
      <c r="C221" s="7" t="n">
        <f aca="false">QUOTIENT((B221-c_OFF1)*c_GAIN1,1024)</f>
        <v>2211</v>
      </c>
      <c r="D221" s="7" t="n">
        <f aca="false">IF(((c_T1MX)-(c_T1MN))=0,(0)+QUOTIENT(((1000)-(0)),2),QUOTIENT((((C221)-(c_T1MN))*((1000)-(0))+IF(((1000)-(0))&gt;=0,1,-1)*QUOTIENT(((c_T1MX)-(c_T1MN)),2)),((c_T1MX)-(c_T1MN)))+(0)+IF(((1000)-(0))&gt;=0,IF(IF(o_WRAP=1,MOD(((c_T1MX)-(c_T1MN))*(((C221)-(c_T1MN))*((1000)-(0))+IF(((1000)-(0))&gt;=0,1,-1)*QUOTIENT(((c_T1MX)-(c_T1MN)),2))+2147483648,4294967296)-2147483648,((c_T1MX)-(c_T1MN))*(((C221)-(c_T1MN))*((1000)-(0))+IF(((1000)-(0))&gt;=0,1,-1)*QUOTIENT(((c_T1MX)-(c_T1MN)),2)))&lt;0,-1,0),IF(IF(o_WRAP=1,MOD(((c_T1MX)-(c_T1MN))*(((C221)-(c_T1MN))*((1000)-(0))+IF(((1000)-(0))&gt;=0,1,-1)*QUOTIENT(((c_T1MX)-(c_T1MN)),2))+2147483648,4294967296)-2147483648,((c_T1MX)-(c_T1MN))*(((C221)-(c_T1MN))*((1000)-(0))+IF(((1000)-(0))&gt;=0,1,-1)*QUOTIENT(((c_T1MX)-(c_T1MN)),2)))&gt;=0,1,0)))</f>
        <v>540</v>
      </c>
      <c r="E221" s="7" t="n">
        <f aca="false">IF(AND(c_TPOT=1,c_TTYPE=2),1000-D221,D221)</f>
        <v>540</v>
      </c>
      <c r="F221" s="7" t="str">
        <f aca="false">IF(c_TPOT&gt;1,ROUND(IF(c_TTYPE=2,c_T2MX-IF(c_T1MX=c_T1MN,0,(C221-c_T1MN)/(c_T1MX-c_T1MN))*(c_T2MX-c_T2MN),c_T2MN+IF(c_T1MX=c_T1MN,0,(C221-c_T1MN)/(c_T1MX-c_T1MN))*(c_T2MX-c_T2MN))+o_MISMATCH,0),"")</f>
        <v/>
      </c>
      <c r="G221" s="7" t="str">
        <f aca="false">IF(c_TPOT&gt;1,IF(((c_T2MX)-(c_T2MN))=0,(0)+QUOTIENT(((1000)-(0)),2),QUOTIENT((((F221)-(c_T2MN))*((1000)-(0))+IF(((1000)-(0))&gt;=0,1,-1)*QUOTIENT(((c_T2MX)-(c_T2MN)),2)),((c_T2MX)-(c_T2MN)))+(0)+IF(((1000)-(0))&gt;=0,IF(IF(o_WRAP=1,MOD(((c_T2MX)-(c_T2MN))*(((F221)-(c_T2MN))*((1000)-(0))+IF(((1000)-(0))&gt;=0,1,-1)*QUOTIENT(((c_T2MX)-(c_T2MN)),2))+2147483648,4294967296)-2147483648,((c_T2MX)-(c_T2MN))*(((F221)-(c_T2MN))*((1000)-(0))+IF(((1000)-(0))&gt;=0,1,-1)*QUOTIENT(((c_T2MX)-(c_T2MN)),2)))&lt;0,-1,0),IF(IF(o_WRAP=1,MOD(((c_T2MX)-(c_T2MN))*(((F221)-(c_T2MN))*((1000)-(0))+IF(((1000)-(0))&gt;=0,1,-1)*QUOTIENT(((c_T2MX)-(c_T2MN)),2))+2147483648,4294967296)-2147483648,((c_T2MX)-(c_T2MN))*(((F221)-(c_T2MN))*((1000)-(0))+IF(((1000)-(0))&gt;=0,1,-1)*QUOTIENT(((c_T2MX)-(c_T2MN)),2)))&gt;=0,1,0))),"")</f>
        <v/>
      </c>
      <c r="H221" s="7" t="str">
        <f aca="false">IF(E221&gt;1000+k_TOL,"T1 HIGH",IF(E221&lt;0-k_TOL,"T1 LOW",IF(c_TPOT&gt;1,IF(G221&gt;1000+k_TOL,"T2 HIGH",IF(G221&lt;0-k_TOL,"T2 LOW",IF(c_TTYPE=2,IF(ABS(1000-MAX(0,MIN(1000,E221))-MAX(0,MIN(1000,G221)))&gt;k_MAXERR,"MISMATCH","OK"),IF(OR(MAX(0,MIN(1000,E221))-k_MAXERR&gt;MAX(0,MIN(1000,G221)),MAX(0,MIN(1000,G221))-k_MAXERR&gt;MAX(0,MIN(1000,E221))),"MISMATCH","OK")))),"OK")))</f>
        <v>OK</v>
      </c>
      <c r="I221" s="7" t="n">
        <f aca="false">MAX(0,MIN(1000,D221))</f>
        <v>540</v>
      </c>
      <c r="J221" s="7" t="str">
        <f aca="false">IF(c_TPOT&gt;1,IF(c_TTYPE=2,1000-MAX(0,MIN(1000,G221)),MAX(0,MIN(1000,G221))),"")</f>
        <v/>
      </c>
      <c r="K221" s="7" t="n">
        <f aca="false">IF(c_TPOT&gt;1,QUOTIENT(I221+J221,2),I221)</f>
        <v>540</v>
      </c>
      <c r="L221" s="7" t="n">
        <f aca="false">IF(AND(K221=0,c_TCREEP&gt;0),10*c_TCREEP,IF(AND(K221&lt;=c_TRNGMIN,K221&gt;=c_TRNGMAX,c_TRNGMIN-c_TRNGMAX&lt;&gt;0),-10*c_TMINRN+QUOTIENT((c_TMAXRN-c_TMINRN)*(100-QUOTIENT((K221-c_TRNGMAX)*100,c_TRNGMIN-c_TRNGMAX)),-10),0))</f>
        <v>0</v>
      </c>
      <c r="M221" s="7" t="n">
        <f aca="false">IF(((c_TMAP1IN)-(c_TFWD))=0,(0)+QUOTIENT(((c_TMAP1OUT)-(0)),2),QUOTIENT((((K221)-(c_TFWD))*((c_TMAP1OUT)-(0))+IF(((c_TMAP1OUT)-(0))&gt;=0,1,-1)*QUOTIENT(((c_TMAP1IN)-(c_TFWD)),2)),((c_TMAP1IN)-(c_TFWD)))+(0)+IF(((c_TMAP1OUT)-(0))&gt;=0,IF(IF(o_WRAP=1,MOD(((c_TMAP1IN)-(c_TFWD))*(((K221)-(c_TFWD))*((c_TMAP1OUT)-(0))+IF(((c_TMAP1OUT)-(0))&gt;=0,1,-1)*QUOTIENT(((c_TMAP1IN)-(c_TFWD)),2))+2147483648,4294967296)-2147483648,((c_TMAP1IN)-(c_TFWD))*(((K221)-(c_TFWD))*((c_TMAP1OUT)-(0))+IF(((c_TMAP1OUT)-(0))&gt;=0,1,-1)*QUOTIENT(((c_TMAP1IN)-(c_TFWD)),2)))&lt;0,-1,0),IF(IF(o_WRAP=1,MOD(((c_TMAP1IN)-(c_TFWD))*(((K221)-(c_TFWD))*((c_TMAP1OUT)-(0))+IF(((c_TMAP1OUT)-(0))&gt;=0,1,-1)*QUOTIENT(((c_TMAP1IN)-(c_TFWD)),2))+2147483648,4294967296)-2147483648,((c_TMAP1IN)-(c_TFWD))*(((K221)-(c_TFWD))*((c_TMAP1OUT)-(0))+IF(((c_TMAP1OUT)-(0))&gt;=0,1,-1)*QUOTIENT(((c_TMAP1IN)-(c_TFWD)),2)))&gt;=0,1,0)))</f>
        <v>412</v>
      </c>
      <c r="N221" s="7" t="n">
        <f aca="false">IF(((c_TMAP2IN)-(c_TMAP1IN))=0,(c_TMAP1OUT)+QUOTIENT(((c_TMAP2OUT)-(c_TMAP1OUT)),2),QUOTIENT((((K221)-(c_TMAP1IN))*((c_TMAP2OUT)-(c_TMAP1OUT))+IF(((c_TMAP2OUT)-(c_TMAP1OUT))&gt;=0,1,-1)*QUOTIENT(((c_TMAP2IN)-(c_TMAP1IN)),2)),((c_TMAP2IN)-(c_TMAP1IN)))+(c_TMAP1OUT)+IF(((c_TMAP2OUT)-(c_TMAP1OUT))&gt;=0,IF(IF(o_WRAP=1,MOD(((c_TMAP2IN)-(c_TMAP1IN))*(((K221)-(c_TMAP1IN))*((c_TMAP2OUT)-(c_TMAP1OUT))+IF(((c_TMAP2OUT)-(c_TMAP1OUT))&gt;=0,1,-1)*QUOTIENT(((c_TMAP2IN)-(c_TMAP1IN)),2))+2147483648,4294967296)-2147483648,((c_TMAP2IN)-(c_TMAP1IN))*(((K221)-(c_TMAP1IN))*((c_TMAP2OUT)-(c_TMAP1OUT))+IF(((c_TMAP2OUT)-(c_TMAP1OUT))&gt;=0,1,-1)*QUOTIENT(((c_TMAP2IN)-(c_TMAP1IN)),2)))&lt;0,-1,0),IF(IF(o_WRAP=1,MOD(((c_TMAP2IN)-(c_TMAP1IN))*(((K221)-(c_TMAP1IN))*((c_TMAP2OUT)-(c_TMAP1OUT))+IF(((c_TMAP2OUT)-(c_TMAP1OUT))&gt;=0,1,-1)*QUOTIENT(((c_TMAP2IN)-(c_TMAP1IN)),2))+2147483648,4294967296)-2147483648,((c_TMAP2IN)-(c_TMAP1IN))*(((K221)-(c_TMAP1IN))*((c_TMAP2OUT)-(c_TMAP1OUT))+IF(((c_TMAP2OUT)-(c_TMAP1OUT))&gt;=0,1,-1)*QUOTIENT(((c_TMAP2IN)-(c_TMAP1IN)),2)))&gt;=0,1,0)))</f>
        <v>246</v>
      </c>
      <c r="O221" s="7" t="n">
        <f aca="false">IF(((c_TMAP3IN)-(c_TMAP2IN))=0,(c_TMAP2OUT)+QUOTIENT(((c_TMAP3OUT)-(c_TMAP2OUT)),2),QUOTIENT((((K221)-(c_TMAP2IN))*((c_TMAP3OUT)-(c_TMAP2OUT))+IF(((c_TMAP3OUT)-(c_TMAP2OUT))&gt;=0,1,-1)*QUOTIENT(((c_TMAP3IN)-(c_TMAP2IN)),2)),((c_TMAP3IN)-(c_TMAP2IN)))+(c_TMAP2OUT)+IF(((c_TMAP3OUT)-(c_TMAP2OUT))&gt;=0,IF(IF(o_WRAP=1,MOD(((c_TMAP3IN)-(c_TMAP2IN))*(((K221)-(c_TMAP2IN))*((c_TMAP3OUT)-(c_TMAP2OUT))+IF(((c_TMAP3OUT)-(c_TMAP2OUT))&gt;=0,1,-1)*QUOTIENT(((c_TMAP3IN)-(c_TMAP2IN)),2))+2147483648,4294967296)-2147483648,((c_TMAP3IN)-(c_TMAP2IN))*(((K221)-(c_TMAP2IN))*((c_TMAP3OUT)-(c_TMAP2OUT))+IF(((c_TMAP3OUT)-(c_TMAP2OUT))&gt;=0,1,-1)*QUOTIENT(((c_TMAP3IN)-(c_TMAP2IN)),2)))&lt;0,-1,0),IF(IF(o_WRAP=1,MOD(((c_TMAP3IN)-(c_TMAP2IN))*(((K221)-(c_TMAP2IN))*((c_TMAP3OUT)-(c_TMAP2OUT))+IF(((c_TMAP3OUT)-(c_TMAP2OUT))&gt;=0,1,-1)*QUOTIENT(((c_TMAP3IN)-(c_TMAP2IN)),2))+2147483648,4294967296)-2147483648,((c_TMAP3IN)-(c_TMAP2IN))*(((K221)-(c_TMAP2IN))*((c_TMAP3OUT)-(c_TMAP2OUT))+IF(((c_TMAP3OUT)-(c_TMAP2OUT))&gt;=0,1,-1)*QUOTIENT(((c_TMAP3IN)-(c_TMAP2IN)),2)))&gt;=0,1,0)))</f>
        <v>333</v>
      </c>
      <c r="P221" s="7" t="n">
        <f aca="false">IF(((1000)-(c_TMAP3IN))=0,(c_TMAP3OUT)+QUOTIENT(((1000)-(c_TMAP3OUT)),2),QUOTIENT((((K221)-(c_TMAP3IN))*((1000)-(c_TMAP3OUT))+IF(((1000)-(c_TMAP3OUT))&gt;=0,1,-1)*QUOTIENT(((1000)-(c_TMAP3IN)),2)),((1000)-(c_TMAP3IN)))+(c_TMAP3OUT)+IF(((1000)-(c_TMAP3OUT))&gt;=0,IF(IF(o_WRAP=1,MOD(((1000)-(c_TMAP3IN))*(((K221)-(c_TMAP3IN))*((1000)-(c_TMAP3OUT))+IF(((1000)-(c_TMAP3OUT))&gt;=0,1,-1)*QUOTIENT(((1000)-(c_TMAP3IN)),2))+2147483648,4294967296)-2147483648,((1000)-(c_TMAP3IN))*(((K221)-(c_TMAP3IN))*((1000)-(c_TMAP3OUT))+IF(((1000)-(c_TMAP3OUT))&gt;=0,1,-1)*QUOTIENT(((1000)-(c_TMAP3IN)),2)))&lt;0,-1,0),IF(IF(o_WRAP=1,MOD(((1000)-(c_TMAP3IN))*(((K221)-(c_TMAP3IN))*((1000)-(c_TMAP3OUT))+IF(((1000)-(c_TMAP3OUT))&gt;=0,1,-1)*QUOTIENT(((1000)-(c_TMAP3IN)),2))+2147483648,4294967296)-2147483648,((1000)-(c_TMAP3IN))*(((K221)-(c_TMAP3IN))*((1000)-(c_TMAP3OUT))+IF(((1000)-(c_TMAP3OUT))&gt;=0,1,-1)*QUOTIENT(((1000)-(c_TMAP3IN)),2)))&gt;=0,1,0)))</f>
        <v>434</v>
      </c>
      <c r="Q221" s="7" t="str">
        <f aca="false">IF(K221&gt;=c_TFWD,IF(AND(K221&gt;=c_TMAP3IN,c_TMAP3IN&lt;1000),"Seg4 map3-100%",IF(AND(K221&gt;=c_TMAP2IN,c_TMAP3IN&gt;c_TMAP2IN),"Seg3 map2-map3",IF(AND(K221&gt;=c_TMAP1IN,c_TMAP2IN&gt;c_TMAP1IN),"Seg2 map1-map2","Seg1 TFWD-map1"))),IF(AND(K221=0,c_TCREEP&gt;0),"Creep",IF(AND(K221&lt;=c_TRNGMIN,K221&gt;=c_TRNGMAX,c_TRNGMIN-c_TRNGMAX&lt;&gt;0),"Regen ramp","Coast (0)")))</f>
        <v>Seg4 map3-100%</v>
      </c>
      <c r="R221" s="7" t="n">
        <f aca="false">IF(K221&gt;=c_TFWD,IF(AND(K221&gt;=c_TMAP3IN,c_TMAP3IN&lt;1000),P221,IF(AND(K221&gt;=c_TMAP2IN,c_TMAP3IN&gt;c_TMAP2IN),O221,IF(AND(K221&gt;=c_TMAP1IN,c_TMAP2IN&gt;c_TMAP1IN),N221,M221))),L221)</f>
        <v>434</v>
      </c>
      <c r="S221" s="7" t="str">
        <f aca="false">IF(R221&lt;-1090,"TOO LOW",IF(R221&gt;1090,"TOO HIGH",""))</f>
        <v/>
      </c>
      <c r="T221" s="15" t="n">
        <f aca="false">IF(H221&lt;&gt;"OK",0,IF(S221&lt;&gt;"",0,IF(R221&gt;979,1000,R221)))</f>
        <v>434</v>
      </c>
      <c r="U221" s="7" t="n">
        <f aca="false">T221/10</f>
        <v>43.4</v>
      </c>
    </row>
    <row r="222" customFormat="false" ht="15" hidden="false" customHeight="false" outlineLevel="0" collapsed="false">
      <c r="A222" s="7" t="n">
        <v>217</v>
      </c>
      <c r="B222" s="7" t="n">
        <f aca="false">ROUND(o_SWSTART+A222*(o_SWEND-o_SWSTART)/400,0)</f>
        <v>2222</v>
      </c>
      <c r="C222" s="7" t="n">
        <f aca="false">QUOTIENT((B222-c_OFF1)*c_GAIN1,1024)</f>
        <v>2222</v>
      </c>
      <c r="D222" s="7" t="n">
        <f aca="false">IF(((c_T1MX)-(c_T1MN))=0,(0)+QUOTIENT(((1000)-(0)),2),QUOTIENT((((C222)-(c_T1MN))*((1000)-(0))+IF(((1000)-(0))&gt;=0,1,-1)*QUOTIENT(((c_T1MX)-(c_T1MN)),2)),((c_T1MX)-(c_T1MN)))+(0)+IF(((1000)-(0))&gt;=0,IF(IF(o_WRAP=1,MOD(((c_T1MX)-(c_T1MN))*(((C222)-(c_T1MN))*((1000)-(0))+IF(((1000)-(0))&gt;=0,1,-1)*QUOTIENT(((c_T1MX)-(c_T1MN)),2))+2147483648,4294967296)-2147483648,((c_T1MX)-(c_T1MN))*(((C222)-(c_T1MN))*((1000)-(0))+IF(((1000)-(0))&gt;=0,1,-1)*QUOTIENT(((c_T1MX)-(c_T1MN)),2)))&lt;0,-1,0),IF(IF(o_WRAP=1,MOD(((c_T1MX)-(c_T1MN))*(((C222)-(c_T1MN))*((1000)-(0))+IF(((1000)-(0))&gt;=0,1,-1)*QUOTIENT(((c_T1MX)-(c_T1MN)),2))+2147483648,4294967296)-2147483648,((c_T1MX)-(c_T1MN))*(((C222)-(c_T1MN))*((1000)-(0))+IF(((1000)-(0))&gt;=0,1,-1)*QUOTIENT(((c_T1MX)-(c_T1MN)),2)))&gt;=0,1,0)))</f>
        <v>544</v>
      </c>
      <c r="E222" s="7" t="n">
        <f aca="false">IF(AND(c_TPOT=1,c_TTYPE=2),1000-D222,D222)</f>
        <v>544</v>
      </c>
      <c r="F222" s="7" t="str">
        <f aca="false">IF(c_TPOT&gt;1,ROUND(IF(c_TTYPE=2,c_T2MX-IF(c_T1MX=c_T1MN,0,(C222-c_T1MN)/(c_T1MX-c_T1MN))*(c_T2MX-c_T2MN),c_T2MN+IF(c_T1MX=c_T1MN,0,(C222-c_T1MN)/(c_T1MX-c_T1MN))*(c_T2MX-c_T2MN))+o_MISMATCH,0),"")</f>
        <v/>
      </c>
      <c r="G222" s="7" t="str">
        <f aca="false">IF(c_TPOT&gt;1,IF(((c_T2MX)-(c_T2MN))=0,(0)+QUOTIENT(((1000)-(0)),2),QUOTIENT((((F222)-(c_T2MN))*((1000)-(0))+IF(((1000)-(0))&gt;=0,1,-1)*QUOTIENT(((c_T2MX)-(c_T2MN)),2)),((c_T2MX)-(c_T2MN)))+(0)+IF(((1000)-(0))&gt;=0,IF(IF(o_WRAP=1,MOD(((c_T2MX)-(c_T2MN))*(((F222)-(c_T2MN))*((1000)-(0))+IF(((1000)-(0))&gt;=0,1,-1)*QUOTIENT(((c_T2MX)-(c_T2MN)),2))+2147483648,4294967296)-2147483648,((c_T2MX)-(c_T2MN))*(((F222)-(c_T2MN))*((1000)-(0))+IF(((1000)-(0))&gt;=0,1,-1)*QUOTIENT(((c_T2MX)-(c_T2MN)),2)))&lt;0,-1,0),IF(IF(o_WRAP=1,MOD(((c_T2MX)-(c_T2MN))*(((F222)-(c_T2MN))*((1000)-(0))+IF(((1000)-(0))&gt;=0,1,-1)*QUOTIENT(((c_T2MX)-(c_T2MN)),2))+2147483648,4294967296)-2147483648,((c_T2MX)-(c_T2MN))*(((F222)-(c_T2MN))*((1000)-(0))+IF(((1000)-(0))&gt;=0,1,-1)*QUOTIENT(((c_T2MX)-(c_T2MN)),2)))&gt;=0,1,0))),"")</f>
        <v/>
      </c>
      <c r="H222" s="7" t="str">
        <f aca="false">IF(E222&gt;1000+k_TOL,"T1 HIGH",IF(E222&lt;0-k_TOL,"T1 LOW",IF(c_TPOT&gt;1,IF(G222&gt;1000+k_TOL,"T2 HIGH",IF(G222&lt;0-k_TOL,"T2 LOW",IF(c_TTYPE=2,IF(ABS(1000-MAX(0,MIN(1000,E222))-MAX(0,MIN(1000,G222)))&gt;k_MAXERR,"MISMATCH","OK"),IF(OR(MAX(0,MIN(1000,E222))-k_MAXERR&gt;MAX(0,MIN(1000,G222)),MAX(0,MIN(1000,G222))-k_MAXERR&gt;MAX(0,MIN(1000,E222))),"MISMATCH","OK")))),"OK")))</f>
        <v>OK</v>
      </c>
      <c r="I222" s="7" t="n">
        <f aca="false">MAX(0,MIN(1000,D222))</f>
        <v>544</v>
      </c>
      <c r="J222" s="7" t="str">
        <f aca="false">IF(c_TPOT&gt;1,IF(c_TTYPE=2,1000-MAX(0,MIN(1000,G222)),MAX(0,MIN(1000,G222))),"")</f>
        <v/>
      </c>
      <c r="K222" s="7" t="n">
        <f aca="false">IF(c_TPOT&gt;1,QUOTIENT(I222+J222,2),I222)</f>
        <v>544</v>
      </c>
      <c r="L222" s="7" t="n">
        <f aca="false">IF(AND(K222=0,c_TCREEP&gt;0),10*c_TCREEP,IF(AND(K222&lt;=c_TRNGMIN,K222&gt;=c_TRNGMAX,c_TRNGMIN-c_TRNGMAX&lt;&gt;0),-10*c_TMINRN+QUOTIENT((c_TMAXRN-c_TMINRN)*(100-QUOTIENT((K222-c_TRNGMAX)*100,c_TRNGMIN-c_TRNGMAX)),-10),0))</f>
        <v>0</v>
      </c>
      <c r="M222" s="7" t="n">
        <f aca="false">IF(((c_TMAP1IN)-(c_TFWD))=0,(0)+QUOTIENT(((c_TMAP1OUT)-(0)),2),QUOTIENT((((K222)-(c_TFWD))*((c_TMAP1OUT)-(0))+IF(((c_TMAP1OUT)-(0))&gt;=0,1,-1)*QUOTIENT(((c_TMAP1IN)-(c_TFWD)),2)),((c_TMAP1IN)-(c_TFWD)))+(0)+IF(((c_TMAP1OUT)-(0))&gt;=0,IF(IF(o_WRAP=1,MOD(((c_TMAP1IN)-(c_TFWD))*(((K222)-(c_TFWD))*((c_TMAP1OUT)-(0))+IF(((c_TMAP1OUT)-(0))&gt;=0,1,-1)*QUOTIENT(((c_TMAP1IN)-(c_TFWD)),2))+2147483648,4294967296)-2147483648,((c_TMAP1IN)-(c_TFWD))*(((K222)-(c_TFWD))*((c_TMAP1OUT)-(0))+IF(((c_TMAP1OUT)-(0))&gt;=0,1,-1)*QUOTIENT(((c_TMAP1IN)-(c_TFWD)),2)))&lt;0,-1,0),IF(IF(o_WRAP=1,MOD(((c_TMAP1IN)-(c_TFWD))*(((K222)-(c_TFWD))*((c_TMAP1OUT)-(0))+IF(((c_TMAP1OUT)-(0))&gt;=0,1,-1)*QUOTIENT(((c_TMAP1IN)-(c_TFWD)),2))+2147483648,4294967296)-2147483648,((c_TMAP1IN)-(c_TFWD))*(((K222)-(c_TFWD))*((c_TMAP1OUT)-(0))+IF(((c_TMAP1OUT)-(0))&gt;=0,1,-1)*QUOTIENT(((c_TMAP1IN)-(c_TFWD)),2)))&gt;=0,1,0)))</f>
        <v>415</v>
      </c>
      <c r="N222" s="7" t="n">
        <f aca="false">IF(((c_TMAP2IN)-(c_TMAP1IN))=0,(c_TMAP1OUT)+QUOTIENT(((c_TMAP2OUT)-(c_TMAP1OUT)),2),QUOTIENT((((K222)-(c_TMAP1IN))*((c_TMAP2OUT)-(c_TMAP1OUT))+IF(((c_TMAP2OUT)-(c_TMAP1OUT))&gt;=0,1,-1)*QUOTIENT(((c_TMAP2IN)-(c_TMAP1IN)),2)),((c_TMAP2IN)-(c_TMAP1IN)))+(c_TMAP1OUT)+IF(((c_TMAP2OUT)-(c_TMAP1OUT))&gt;=0,IF(IF(o_WRAP=1,MOD(((c_TMAP2IN)-(c_TMAP1IN))*(((K222)-(c_TMAP1IN))*((c_TMAP2OUT)-(c_TMAP1OUT))+IF(((c_TMAP2OUT)-(c_TMAP1OUT))&gt;=0,1,-1)*QUOTIENT(((c_TMAP2IN)-(c_TMAP1IN)),2))+2147483648,4294967296)-2147483648,((c_TMAP2IN)-(c_TMAP1IN))*(((K222)-(c_TMAP1IN))*((c_TMAP2OUT)-(c_TMAP1OUT))+IF(((c_TMAP2OUT)-(c_TMAP1OUT))&gt;=0,1,-1)*QUOTIENT(((c_TMAP2IN)-(c_TMAP1IN)),2)))&lt;0,-1,0),IF(IF(o_WRAP=1,MOD(((c_TMAP2IN)-(c_TMAP1IN))*(((K222)-(c_TMAP1IN))*((c_TMAP2OUT)-(c_TMAP1OUT))+IF(((c_TMAP2OUT)-(c_TMAP1OUT))&gt;=0,1,-1)*QUOTIENT(((c_TMAP2IN)-(c_TMAP1IN)),2))+2147483648,4294967296)-2147483648,((c_TMAP2IN)-(c_TMAP1IN))*(((K222)-(c_TMAP1IN))*((c_TMAP2OUT)-(c_TMAP1OUT))+IF(((c_TMAP2OUT)-(c_TMAP1OUT))&gt;=0,1,-1)*QUOTIENT(((c_TMAP2IN)-(c_TMAP1IN)),2)))&gt;=0,1,0)))</f>
        <v>248</v>
      </c>
      <c r="O222" s="7" t="n">
        <f aca="false">IF(((c_TMAP3IN)-(c_TMAP2IN))=0,(c_TMAP2OUT)+QUOTIENT(((c_TMAP3OUT)-(c_TMAP2OUT)),2),QUOTIENT((((K222)-(c_TMAP2IN))*((c_TMAP3OUT)-(c_TMAP2OUT))+IF(((c_TMAP3OUT)-(c_TMAP2OUT))&gt;=0,1,-1)*QUOTIENT(((c_TMAP3IN)-(c_TMAP2IN)),2)),((c_TMAP3IN)-(c_TMAP2IN)))+(c_TMAP2OUT)+IF(((c_TMAP3OUT)-(c_TMAP2OUT))&gt;=0,IF(IF(o_WRAP=1,MOD(((c_TMAP3IN)-(c_TMAP2IN))*(((K222)-(c_TMAP2IN))*((c_TMAP3OUT)-(c_TMAP2OUT))+IF(((c_TMAP3OUT)-(c_TMAP2OUT))&gt;=0,1,-1)*QUOTIENT(((c_TMAP3IN)-(c_TMAP2IN)),2))+2147483648,4294967296)-2147483648,((c_TMAP3IN)-(c_TMAP2IN))*(((K222)-(c_TMAP2IN))*((c_TMAP3OUT)-(c_TMAP2OUT))+IF(((c_TMAP3OUT)-(c_TMAP2OUT))&gt;=0,1,-1)*QUOTIENT(((c_TMAP3IN)-(c_TMAP2IN)),2)))&lt;0,-1,0),IF(IF(o_WRAP=1,MOD(((c_TMAP3IN)-(c_TMAP2IN))*(((K222)-(c_TMAP2IN))*((c_TMAP3OUT)-(c_TMAP2OUT))+IF(((c_TMAP3OUT)-(c_TMAP2OUT))&gt;=0,1,-1)*QUOTIENT(((c_TMAP3IN)-(c_TMAP2IN)),2))+2147483648,4294967296)-2147483648,((c_TMAP3IN)-(c_TMAP2IN))*(((K222)-(c_TMAP2IN))*((c_TMAP3OUT)-(c_TMAP2OUT))+IF(((c_TMAP3OUT)-(c_TMAP2OUT))&gt;=0,1,-1)*QUOTIENT(((c_TMAP3IN)-(c_TMAP2IN)),2)))&gt;=0,1,0)))</f>
        <v>336</v>
      </c>
      <c r="P222" s="7" t="n">
        <f aca="false">IF(((1000)-(c_TMAP3IN))=0,(c_TMAP3OUT)+QUOTIENT(((1000)-(c_TMAP3OUT)),2),QUOTIENT((((K222)-(c_TMAP3IN))*((1000)-(c_TMAP3OUT))+IF(((1000)-(c_TMAP3OUT))&gt;=0,1,-1)*QUOTIENT(((1000)-(c_TMAP3IN)),2)),((1000)-(c_TMAP3IN)))+(c_TMAP3OUT)+IF(((1000)-(c_TMAP3OUT))&gt;=0,IF(IF(o_WRAP=1,MOD(((1000)-(c_TMAP3IN))*(((K222)-(c_TMAP3IN))*((1000)-(c_TMAP3OUT))+IF(((1000)-(c_TMAP3OUT))&gt;=0,1,-1)*QUOTIENT(((1000)-(c_TMAP3IN)),2))+2147483648,4294967296)-2147483648,((1000)-(c_TMAP3IN))*(((K222)-(c_TMAP3IN))*((1000)-(c_TMAP3OUT))+IF(((1000)-(c_TMAP3OUT))&gt;=0,1,-1)*QUOTIENT(((1000)-(c_TMAP3IN)),2)))&lt;0,-1,0),IF(IF(o_WRAP=1,MOD(((1000)-(c_TMAP3IN))*(((K222)-(c_TMAP3IN))*((1000)-(c_TMAP3OUT))+IF(((1000)-(c_TMAP3OUT))&gt;=0,1,-1)*QUOTIENT(((1000)-(c_TMAP3IN)),2))+2147483648,4294967296)-2147483648,((1000)-(c_TMAP3IN))*(((K222)-(c_TMAP3IN))*((1000)-(c_TMAP3OUT))+IF(((1000)-(c_TMAP3OUT))&gt;=0,1,-1)*QUOTIENT(((1000)-(c_TMAP3IN)),2)))&gt;=0,1,0)))</f>
        <v>439</v>
      </c>
      <c r="Q222" s="7" t="str">
        <f aca="false">IF(K222&gt;=c_TFWD,IF(AND(K222&gt;=c_TMAP3IN,c_TMAP3IN&lt;1000),"Seg4 map3-100%",IF(AND(K222&gt;=c_TMAP2IN,c_TMAP3IN&gt;c_TMAP2IN),"Seg3 map2-map3",IF(AND(K222&gt;=c_TMAP1IN,c_TMAP2IN&gt;c_TMAP1IN),"Seg2 map1-map2","Seg1 TFWD-map1"))),IF(AND(K222=0,c_TCREEP&gt;0),"Creep",IF(AND(K222&lt;=c_TRNGMIN,K222&gt;=c_TRNGMAX,c_TRNGMIN-c_TRNGMAX&lt;&gt;0),"Regen ramp","Coast (0)")))</f>
        <v>Seg4 map3-100%</v>
      </c>
      <c r="R222" s="7" t="n">
        <f aca="false">IF(K222&gt;=c_TFWD,IF(AND(K222&gt;=c_TMAP3IN,c_TMAP3IN&lt;1000),P222,IF(AND(K222&gt;=c_TMAP2IN,c_TMAP3IN&gt;c_TMAP2IN),O222,IF(AND(K222&gt;=c_TMAP1IN,c_TMAP2IN&gt;c_TMAP1IN),N222,M222))),L222)</f>
        <v>439</v>
      </c>
      <c r="S222" s="7" t="str">
        <f aca="false">IF(R222&lt;-1090,"TOO LOW",IF(R222&gt;1090,"TOO HIGH",""))</f>
        <v/>
      </c>
      <c r="T222" s="15" t="n">
        <f aca="false">IF(H222&lt;&gt;"OK",0,IF(S222&lt;&gt;"",0,IF(R222&gt;979,1000,R222)))</f>
        <v>439</v>
      </c>
      <c r="U222" s="7" t="n">
        <f aca="false">T222/10</f>
        <v>43.9</v>
      </c>
    </row>
    <row r="223" customFormat="false" ht="15" hidden="false" customHeight="false" outlineLevel="0" collapsed="false">
      <c r="A223" s="7" t="n">
        <v>218</v>
      </c>
      <c r="B223" s="7" t="n">
        <f aca="false">ROUND(o_SWSTART+A223*(o_SWEND-o_SWSTART)/400,0)</f>
        <v>2232</v>
      </c>
      <c r="C223" s="7" t="n">
        <f aca="false">QUOTIENT((B223-c_OFF1)*c_GAIN1,1024)</f>
        <v>2232</v>
      </c>
      <c r="D223" s="7" t="n">
        <f aca="false">IF(((c_T1MX)-(c_T1MN))=0,(0)+QUOTIENT(((1000)-(0)),2),QUOTIENT((((C223)-(c_T1MN))*((1000)-(0))+IF(((1000)-(0))&gt;=0,1,-1)*QUOTIENT(((c_T1MX)-(c_T1MN)),2)),((c_T1MX)-(c_T1MN)))+(0)+IF(((1000)-(0))&gt;=0,IF(IF(o_WRAP=1,MOD(((c_T1MX)-(c_T1MN))*(((C223)-(c_T1MN))*((1000)-(0))+IF(((1000)-(0))&gt;=0,1,-1)*QUOTIENT(((c_T1MX)-(c_T1MN)),2))+2147483648,4294967296)-2147483648,((c_T1MX)-(c_T1MN))*(((C223)-(c_T1MN))*((1000)-(0))+IF(((1000)-(0))&gt;=0,1,-1)*QUOTIENT(((c_T1MX)-(c_T1MN)),2)))&lt;0,-1,0),IF(IF(o_WRAP=1,MOD(((c_T1MX)-(c_T1MN))*(((C223)-(c_T1MN))*((1000)-(0))+IF(((1000)-(0))&gt;=0,1,-1)*QUOTIENT(((c_T1MX)-(c_T1MN)),2))+2147483648,4294967296)-2147483648,((c_T1MX)-(c_T1MN))*(((C223)-(c_T1MN))*((1000)-(0))+IF(((1000)-(0))&gt;=0,1,-1)*QUOTIENT(((c_T1MX)-(c_T1MN)),2)))&gt;=0,1,0)))</f>
        <v>548</v>
      </c>
      <c r="E223" s="7" t="n">
        <f aca="false">IF(AND(c_TPOT=1,c_TTYPE=2),1000-D223,D223)</f>
        <v>548</v>
      </c>
      <c r="F223" s="7" t="str">
        <f aca="false">IF(c_TPOT&gt;1,ROUND(IF(c_TTYPE=2,c_T2MX-IF(c_T1MX=c_T1MN,0,(C223-c_T1MN)/(c_T1MX-c_T1MN))*(c_T2MX-c_T2MN),c_T2MN+IF(c_T1MX=c_T1MN,0,(C223-c_T1MN)/(c_T1MX-c_T1MN))*(c_T2MX-c_T2MN))+o_MISMATCH,0),"")</f>
        <v/>
      </c>
      <c r="G223" s="7" t="str">
        <f aca="false">IF(c_TPOT&gt;1,IF(((c_T2MX)-(c_T2MN))=0,(0)+QUOTIENT(((1000)-(0)),2),QUOTIENT((((F223)-(c_T2MN))*((1000)-(0))+IF(((1000)-(0))&gt;=0,1,-1)*QUOTIENT(((c_T2MX)-(c_T2MN)),2)),((c_T2MX)-(c_T2MN)))+(0)+IF(((1000)-(0))&gt;=0,IF(IF(o_WRAP=1,MOD(((c_T2MX)-(c_T2MN))*(((F223)-(c_T2MN))*((1000)-(0))+IF(((1000)-(0))&gt;=0,1,-1)*QUOTIENT(((c_T2MX)-(c_T2MN)),2))+2147483648,4294967296)-2147483648,((c_T2MX)-(c_T2MN))*(((F223)-(c_T2MN))*((1000)-(0))+IF(((1000)-(0))&gt;=0,1,-1)*QUOTIENT(((c_T2MX)-(c_T2MN)),2)))&lt;0,-1,0),IF(IF(o_WRAP=1,MOD(((c_T2MX)-(c_T2MN))*(((F223)-(c_T2MN))*((1000)-(0))+IF(((1000)-(0))&gt;=0,1,-1)*QUOTIENT(((c_T2MX)-(c_T2MN)),2))+2147483648,4294967296)-2147483648,((c_T2MX)-(c_T2MN))*(((F223)-(c_T2MN))*((1000)-(0))+IF(((1000)-(0))&gt;=0,1,-1)*QUOTIENT(((c_T2MX)-(c_T2MN)),2)))&gt;=0,1,0))),"")</f>
        <v/>
      </c>
      <c r="H223" s="7" t="str">
        <f aca="false">IF(E223&gt;1000+k_TOL,"T1 HIGH",IF(E223&lt;0-k_TOL,"T1 LOW",IF(c_TPOT&gt;1,IF(G223&gt;1000+k_TOL,"T2 HIGH",IF(G223&lt;0-k_TOL,"T2 LOW",IF(c_TTYPE=2,IF(ABS(1000-MAX(0,MIN(1000,E223))-MAX(0,MIN(1000,G223)))&gt;k_MAXERR,"MISMATCH","OK"),IF(OR(MAX(0,MIN(1000,E223))-k_MAXERR&gt;MAX(0,MIN(1000,G223)),MAX(0,MIN(1000,G223))-k_MAXERR&gt;MAX(0,MIN(1000,E223))),"MISMATCH","OK")))),"OK")))</f>
        <v>OK</v>
      </c>
      <c r="I223" s="7" t="n">
        <f aca="false">MAX(0,MIN(1000,D223))</f>
        <v>548</v>
      </c>
      <c r="J223" s="7" t="str">
        <f aca="false">IF(c_TPOT&gt;1,IF(c_TTYPE=2,1000-MAX(0,MIN(1000,G223)),MAX(0,MIN(1000,G223))),"")</f>
        <v/>
      </c>
      <c r="K223" s="7" t="n">
        <f aca="false">IF(c_TPOT&gt;1,QUOTIENT(I223+J223,2),I223)</f>
        <v>548</v>
      </c>
      <c r="L223" s="7" t="n">
        <f aca="false">IF(AND(K223=0,c_TCREEP&gt;0),10*c_TCREEP,IF(AND(K223&lt;=c_TRNGMIN,K223&gt;=c_TRNGMAX,c_TRNGMIN-c_TRNGMAX&lt;&gt;0),-10*c_TMINRN+QUOTIENT((c_TMAXRN-c_TMINRN)*(100-QUOTIENT((K223-c_TRNGMAX)*100,c_TRNGMIN-c_TRNGMAX)),-10),0))</f>
        <v>0</v>
      </c>
      <c r="M223" s="7" t="n">
        <f aca="false">IF(((c_TMAP1IN)-(c_TFWD))=0,(0)+QUOTIENT(((c_TMAP1OUT)-(0)),2),QUOTIENT((((K223)-(c_TFWD))*((c_TMAP1OUT)-(0))+IF(((c_TMAP1OUT)-(0))&gt;=0,1,-1)*QUOTIENT(((c_TMAP1IN)-(c_TFWD)),2)),((c_TMAP1IN)-(c_TFWD)))+(0)+IF(((c_TMAP1OUT)-(0))&gt;=0,IF(IF(o_WRAP=1,MOD(((c_TMAP1IN)-(c_TFWD))*(((K223)-(c_TFWD))*((c_TMAP1OUT)-(0))+IF(((c_TMAP1OUT)-(0))&gt;=0,1,-1)*QUOTIENT(((c_TMAP1IN)-(c_TFWD)),2))+2147483648,4294967296)-2147483648,((c_TMAP1IN)-(c_TFWD))*(((K223)-(c_TFWD))*((c_TMAP1OUT)-(0))+IF(((c_TMAP1OUT)-(0))&gt;=0,1,-1)*QUOTIENT(((c_TMAP1IN)-(c_TFWD)),2)))&lt;0,-1,0),IF(IF(o_WRAP=1,MOD(((c_TMAP1IN)-(c_TFWD))*(((K223)-(c_TFWD))*((c_TMAP1OUT)-(0))+IF(((c_TMAP1OUT)-(0))&gt;=0,1,-1)*QUOTIENT(((c_TMAP1IN)-(c_TFWD)),2))+2147483648,4294967296)-2147483648,((c_TMAP1IN)-(c_TFWD))*(((K223)-(c_TFWD))*((c_TMAP1OUT)-(0))+IF(((c_TMAP1OUT)-(0))&gt;=0,1,-1)*QUOTIENT(((c_TMAP1IN)-(c_TFWD)),2)))&gt;=0,1,0)))</f>
        <v>418</v>
      </c>
      <c r="N223" s="7" t="n">
        <f aca="false">IF(((c_TMAP2IN)-(c_TMAP1IN))=0,(c_TMAP1OUT)+QUOTIENT(((c_TMAP2OUT)-(c_TMAP1OUT)),2),QUOTIENT((((K223)-(c_TMAP1IN))*((c_TMAP2OUT)-(c_TMAP1OUT))+IF(((c_TMAP2OUT)-(c_TMAP1OUT))&gt;=0,1,-1)*QUOTIENT(((c_TMAP2IN)-(c_TMAP1IN)),2)),((c_TMAP2IN)-(c_TMAP1IN)))+(c_TMAP1OUT)+IF(((c_TMAP2OUT)-(c_TMAP1OUT))&gt;=0,IF(IF(o_WRAP=1,MOD(((c_TMAP2IN)-(c_TMAP1IN))*(((K223)-(c_TMAP1IN))*((c_TMAP2OUT)-(c_TMAP1OUT))+IF(((c_TMAP2OUT)-(c_TMAP1OUT))&gt;=0,1,-1)*QUOTIENT(((c_TMAP2IN)-(c_TMAP1IN)),2))+2147483648,4294967296)-2147483648,((c_TMAP2IN)-(c_TMAP1IN))*(((K223)-(c_TMAP1IN))*((c_TMAP2OUT)-(c_TMAP1OUT))+IF(((c_TMAP2OUT)-(c_TMAP1OUT))&gt;=0,1,-1)*QUOTIENT(((c_TMAP2IN)-(c_TMAP1IN)),2)))&lt;0,-1,0),IF(IF(o_WRAP=1,MOD(((c_TMAP2IN)-(c_TMAP1IN))*(((K223)-(c_TMAP1IN))*((c_TMAP2OUT)-(c_TMAP1OUT))+IF(((c_TMAP2OUT)-(c_TMAP1OUT))&gt;=0,1,-1)*QUOTIENT(((c_TMAP2IN)-(c_TMAP1IN)),2))+2147483648,4294967296)-2147483648,((c_TMAP2IN)-(c_TMAP1IN))*(((K223)-(c_TMAP1IN))*((c_TMAP2OUT)-(c_TMAP1OUT))+IF(((c_TMAP2OUT)-(c_TMAP1OUT))&gt;=0,1,-1)*QUOTIENT(((c_TMAP2IN)-(c_TMAP1IN)),2)))&gt;=0,1,0)))</f>
        <v>249</v>
      </c>
      <c r="O223" s="7" t="n">
        <f aca="false">IF(((c_TMAP3IN)-(c_TMAP2IN))=0,(c_TMAP2OUT)+QUOTIENT(((c_TMAP3OUT)-(c_TMAP2OUT)),2),QUOTIENT((((K223)-(c_TMAP2IN))*((c_TMAP3OUT)-(c_TMAP2OUT))+IF(((c_TMAP3OUT)-(c_TMAP2OUT))&gt;=0,1,-1)*QUOTIENT(((c_TMAP3IN)-(c_TMAP2IN)),2)),((c_TMAP3IN)-(c_TMAP2IN)))+(c_TMAP2OUT)+IF(((c_TMAP3OUT)-(c_TMAP2OUT))&gt;=0,IF(IF(o_WRAP=1,MOD(((c_TMAP3IN)-(c_TMAP2IN))*(((K223)-(c_TMAP2IN))*((c_TMAP3OUT)-(c_TMAP2OUT))+IF(((c_TMAP3OUT)-(c_TMAP2OUT))&gt;=0,1,-1)*QUOTIENT(((c_TMAP3IN)-(c_TMAP2IN)),2))+2147483648,4294967296)-2147483648,((c_TMAP3IN)-(c_TMAP2IN))*(((K223)-(c_TMAP2IN))*((c_TMAP3OUT)-(c_TMAP2OUT))+IF(((c_TMAP3OUT)-(c_TMAP2OUT))&gt;=0,1,-1)*QUOTIENT(((c_TMAP3IN)-(c_TMAP2IN)),2)))&lt;0,-1,0),IF(IF(o_WRAP=1,MOD(((c_TMAP3IN)-(c_TMAP2IN))*(((K223)-(c_TMAP2IN))*((c_TMAP3OUT)-(c_TMAP2OUT))+IF(((c_TMAP3OUT)-(c_TMAP2OUT))&gt;=0,1,-1)*QUOTIENT(((c_TMAP3IN)-(c_TMAP2IN)),2))+2147483648,4294967296)-2147483648,((c_TMAP3IN)-(c_TMAP2IN))*(((K223)-(c_TMAP2IN))*((c_TMAP3OUT)-(c_TMAP2OUT))+IF(((c_TMAP3OUT)-(c_TMAP2OUT))&gt;=0,1,-1)*QUOTIENT(((c_TMAP3IN)-(c_TMAP2IN)),2)))&gt;=0,1,0)))</f>
        <v>339</v>
      </c>
      <c r="P223" s="7" t="n">
        <f aca="false">IF(((1000)-(c_TMAP3IN))=0,(c_TMAP3OUT)+QUOTIENT(((1000)-(c_TMAP3OUT)),2),QUOTIENT((((K223)-(c_TMAP3IN))*((1000)-(c_TMAP3OUT))+IF(((1000)-(c_TMAP3OUT))&gt;=0,1,-1)*QUOTIENT(((1000)-(c_TMAP3IN)),2)),((1000)-(c_TMAP3IN)))+(c_TMAP3OUT)+IF(((1000)-(c_TMAP3OUT))&gt;=0,IF(IF(o_WRAP=1,MOD(((1000)-(c_TMAP3IN))*(((K223)-(c_TMAP3IN))*((1000)-(c_TMAP3OUT))+IF(((1000)-(c_TMAP3OUT))&gt;=0,1,-1)*QUOTIENT(((1000)-(c_TMAP3IN)),2))+2147483648,4294967296)-2147483648,((1000)-(c_TMAP3IN))*(((K223)-(c_TMAP3IN))*((1000)-(c_TMAP3OUT))+IF(((1000)-(c_TMAP3OUT))&gt;=0,1,-1)*QUOTIENT(((1000)-(c_TMAP3IN)),2)))&lt;0,-1,0),IF(IF(o_WRAP=1,MOD(((1000)-(c_TMAP3IN))*(((K223)-(c_TMAP3IN))*((1000)-(c_TMAP3OUT))+IF(((1000)-(c_TMAP3OUT))&gt;=0,1,-1)*QUOTIENT(((1000)-(c_TMAP3IN)),2))+2147483648,4294967296)-2147483648,((1000)-(c_TMAP3IN))*(((K223)-(c_TMAP3IN))*((1000)-(c_TMAP3OUT))+IF(((1000)-(c_TMAP3OUT))&gt;=0,1,-1)*QUOTIENT(((1000)-(c_TMAP3IN)),2)))&gt;=0,1,0)))</f>
        <v>444</v>
      </c>
      <c r="Q223" s="7" t="str">
        <f aca="false">IF(K223&gt;=c_TFWD,IF(AND(K223&gt;=c_TMAP3IN,c_TMAP3IN&lt;1000),"Seg4 map3-100%",IF(AND(K223&gt;=c_TMAP2IN,c_TMAP3IN&gt;c_TMAP2IN),"Seg3 map2-map3",IF(AND(K223&gt;=c_TMAP1IN,c_TMAP2IN&gt;c_TMAP1IN),"Seg2 map1-map2","Seg1 TFWD-map1"))),IF(AND(K223=0,c_TCREEP&gt;0),"Creep",IF(AND(K223&lt;=c_TRNGMIN,K223&gt;=c_TRNGMAX,c_TRNGMIN-c_TRNGMAX&lt;&gt;0),"Regen ramp","Coast (0)")))</f>
        <v>Seg4 map3-100%</v>
      </c>
      <c r="R223" s="7" t="n">
        <f aca="false">IF(K223&gt;=c_TFWD,IF(AND(K223&gt;=c_TMAP3IN,c_TMAP3IN&lt;1000),P223,IF(AND(K223&gt;=c_TMAP2IN,c_TMAP3IN&gt;c_TMAP2IN),O223,IF(AND(K223&gt;=c_TMAP1IN,c_TMAP2IN&gt;c_TMAP1IN),N223,M223))),L223)</f>
        <v>444</v>
      </c>
      <c r="S223" s="7" t="str">
        <f aca="false">IF(R223&lt;-1090,"TOO LOW",IF(R223&gt;1090,"TOO HIGH",""))</f>
        <v/>
      </c>
      <c r="T223" s="15" t="n">
        <f aca="false">IF(H223&lt;&gt;"OK",0,IF(S223&lt;&gt;"",0,IF(R223&gt;979,1000,R223)))</f>
        <v>444</v>
      </c>
      <c r="U223" s="7" t="n">
        <f aca="false">T223/10</f>
        <v>44.4</v>
      </c>
    </row>
    <row r="224" customFormat="false" ht="15" hidden="false" customHeight="false" outlineLevel="0" collapsed="false">
      <c r="A224" s="7" t="n">
        <v>219</v>
      </c>
      <c r="B224" s="7" t="n">
        <f aca="false">ROUND(o_SWSTART+A224*(o_SWEND-o_SWSTART)/400,0)</f>
        <v>2242</v>
      </c>
      <c r="C224" s="7" t="n">
        <f aca="false">QUOTIENT((B224-c_OFF1)*c_GAIN1,1024)</f>
        <v>2242</v>
      </c>
      <c r="D224" s="7" t="n">
        <f aca="false">IF(((c_T1MX)-(c_T1MN))=0,(0)+QUOTIENT(((1000)-(0)),2),QUOTIENT((((C224)-(c_T1MN))*((1000)-(0))+IF(((1000)-(0))&gt;=0,1,-1)*QUOTIENT(((c_T1MX)-(c_T1MN)),2)),((c_T1MX)-(c_T1MN)))+(0)+IF(((1000)-(0))&gt;=0,IF(IF(o_WRAP=1,MOD(((c_T1MX)-(c_T1MN))*(((C224)-(c_T1MN))*((1000)-(0))+IF(((1000)-(0))&gt;=0,1,-1)*QUOTIENT(((c_T1MX)-(c_T1MN)),2))+2147483648,4294967296)-2147483648,((c_T1MX)-(c_T1MN))*(((C224)-(c_T1MN))*((1000)-(0))+IF(((1000)-(0))&gt;=0,1,-1)*QUOTIENT(((c_T1MX)-(c_T1MN)),2)))&lt;0,-1,0),IF(IF(o_WRAP=1,MOD(((c_T1MX)-(c_T1MN))*(((C224)-(c_T1MN))*((1000)-(0))+IF(((1000)-(0))&gt;=0,1,-1)*QUOTIENT(((c_T1MX)-(c_T1MN)),2))+2147483648,4294967296)-2147483648,((c_T1MX)-(c_T1MN))*(((C224)-(c_T1MN))*((1000)-(0))+IF(((1000)-(0))&gt;=0,1,-1)*QUOTIENT(((c_T1MX)-(c_T1MN)),2)))&gt;=0,1,0)))</f>
        <v>552</v>
      </c>
      <c r="E224" s="7" t="n">
        <f aca="false">IF(AND(c_TPOT=1,c_TTYPE=2),1000-D224,D224)</f>
        <v>552</v>
      </c>
      <c r="F224" s="7" t="str">
        <f aca="false">IF(c_TPOT&gt;1,ROUND(IF(c_TTYPE=2,c_T2MX-IF(c_T1MX=c_T1MN,0,(C224-c_T1MN)/(c_T1MX-c_T1MN))*(c_T2MX-c_T2MN),c_T2MN+IF(c_T1MX=c_T1MN,0,(C224-c_T1MN)/(c_T1MX-c_T1MN))*(c_T2MX-c_T2MN))+o_MISMATCH,0),"")</f>
        <v/>
      </c>
      <c r="G224" s="7" t="str">
        <f aca="false">IF(c_TPOT&gt;1,IF(((c_T2MX)-(c_T2MN))=0,(0)+QUOTIENT(((1000)-(0)),2),QUOTIENT((((F224)-(c_T2MN))*((1000)-(0))+IF(((1000)-(0))&gt;=0,1,-1)*QUOTIENT(((c_T2MX)-(c_T2MN)),2)),((c_T2MX)-(c_T2MN)))+(0)+IF(((1000)-(0))&gt;=0,IF(IF(o_WRAP=1,MOD(((c_T2MX)-(c_T2MN))*(((F224)-(c_T2MN))*((1000)-(0))+IF(((1000)-(0))&gt;=0,1,-1)*QUOTIENT(((c_T2MX)-(c_T2MN)),2))+2147483648,4294967296)-2147483648,((c_T2MX)-(c_T2MN))*(((F224)-(c_T2MN))*((1000)-(0))+IF(((1000)-(0))&gt;=0,1,-1)*QUOTIENT(((c_T2MX)-(c_T2MN)),2)))&lt;0,-1,0),IF(IF(o_WRAP=1,MOD(((c_T2MX)-(c_T2MN))*(((F224)-(c_T2MN))*((1000)-(0))+IF(((1000)-(0))&gt;=0,1,-1)*QUOTIENT(((c_T2MX)-(c_T2MN)),2))+2147483648,4294967296)-2147483648,((c_T2MX)-(c_T2MN))*(((F224)-(c_T2MN))*((1000)-(0))+IF(((1000)-(0))&gt;=0,1,-1)*QUOTIENT(((c_T2MX)-(c_T2MN)),2)))&gt;=0,1,0))),"")</f>
        <v/>
      </c>
      <c r="H224" s="7" t="str">
        <f aca="false">IF(E224&gt;1000+k_TOL,"T1 HIGH",IF(E224&lt;0-k_TOL,"T1 LOW",IF(c_TPOT&gt;1,IF(G224&gt;1000+k_TOL,"T2 HIGH",IF(G224&lt;0-k_TOL,"T2 LOW",IF(c_TTYPE=2,IF(ABS(1000-MAX(0,MIN(1000,E224))-MAX(0,MIN(1000,G224)))&gt;k_MAXERR,"MISMATCH","OK"),IF(OR(MAX(0,MIN(1000,E224))-k_MAXERR&gt;MAX(0,MIN(1000,G224)),MAX(0,MIN(1000,G224))-k_MAXERR&gt;MAX(0,MIN(1000,E224))),"MISMATCH","OK")))),"OK")))</f>
        <v>OK</v>
      </c>
      <c r="I224" s="7" t="n">
        <f aca="false">MAX(0,MIN(1000,D224))</f>
        <v>552</v>
      </c>
      <c r="J224" s="7" t="str">
        <f aca="false">IF(c_TPOT&gt;1,IF(c_TTYPE=2,1000-MAX(0,MIN(1000,G224)),MAX(0,MIN(1000,G224))),"")</f>
        <v/>
      </c>
      <c r="K224" s="7" t="n">
        <f aca="false">IF(c_TPOT&gt;1,QUOTIENT(I224+J224,2),I224)</f>
        <v>552</v>
      </c>
      <c r="L224" s="7" t="n">
        <f aca="false">IF(AND(K224=0,c_TCREEP&gt;0),10*c_TCREEP,IF(AND(K224&lt;=c_TRNGMIN,K224&gt;=c_TRNGMAX,c_TRNGMIN-c_TRNGMAX&lt;&gt;0),-10*c_TMINRN+QUOTIENT((c_TMAXRN-c_TMINRN)*(100-QUOTIENT((K224-c_TRNGMAX)*100,c_TRNGMIN-c_TRNGMAX)),-10),0))</f>
        <v>0</v>
      </c>
      <c r="M224" s="7" t="n">
        <f aca="false">IF(((c_TMAP1IN)-(c_TFWD))=0,(0)+QUOTIENT(((c_TMAP1OUT)-(0)),2),QUOTIENT((((K224)-(c_TFWD))*((c_TMAP1OUT)-(0))+IF(((c_TMAP1OUT)-(0))&gt;=0,1,-1)*QUOTIENT(((c_TMAP1IN)-(c_TFWD)),2)),((c_TMAP1IN)-(c_TFWD)))+(0)+IF(((c_TMAP1OUT)-(0))&gt;=0,IF(IF(o_WRAP=1,MOD(((c_TMAP1IN)-(c_TFWD))*(((K224)-(c_TFWD))*((c_TMAP1OUT)-(0))+IF(((c_TMAP1OUT)-(0))&gt;=0,1,-1)*QUOTIENT(((c_TMAP1IN)-(c_TFWD)),2))+2147483648,4294967296)-2147483648,((c_TMAP1IN)-(c_TFWD))*(((K224)-(c_TFWD))*((c_TMAP1OUT)-(0))+IF(((c_TMAP1OUT)-(0))&gt;=0,1,-1)*QUOTIENT(((c_TMAP1IN)-(c_TFWD)),2)))&lt;0,-1,0),IF(IF(o_WRAP=1,MOD(((c_TMAP1IN)-(c_TFWD))*(((K224)-(c_TFWD))*((c_TMAP1OUT)-(0))+IF(((c_TMAP1OUT)-(0))&gt;=0,1,-1)*QUOTIENT(((c_TMAP1IN)-(c_TFWD)),2))+2147483648,4294967296)-2147483648,((c_TMAP1IN)-(c_TFWD))*(((K224)-(c_TFWD))*((c_TMAP1OUT)-(0))+IF(((c_TMAP1OUT)-(0))&gt;=0,1,-1)*QUOTIENT(((c_TMAP1IN)-(c_TFWD)),2)))&gt;=0,1,0)))</f>
        <v>422</v>
      </c>
      <c r="N224" s="7" t="n">
        <f aca="false">IF(((c_TMAP2IN)-(c_TMAP1IN))=0,(c_TMAP1OUT)+QUOTIENT(((c_TMAP2OUT)-(c_TMAP1OUT)),2),QUOTIENT((((K224)-(c_TMAP1IN))*((c_TMAP2OUT)-(c_TMAP1OUT))+IF(((c_TMAP2OUT)-(c_TMAP1OUT))&gt;=0,1,-1)*QUOTIENT(((c_TMAP2IN)-(c_TMAP1IN)),2)),((c_TMAP2IN)-(c_TMAP1IN)))+(c_TMAP1OUT)+IF(((c_TMAP2OUT)-(c_TMAP1OUT))&gt;=0,IF(IF(o_WRAP=1,MOD(((c_TMAP2IN)-(c_TMAP1IN))*(((K224)-(c_TMAP1IN))*((c_TMAP2OUT)-(c_TMAP1OUT))+IF(((c_TMAP2OUT)-(c_TMAP1OUT))&gt;=0,1,-1)*QUOTIENT(((c_TMAP2IN)-(c_TMAP1IN)),2))+2147483648,4294967296)-2147483648,((c_TMAP2IN)-(c_TMAP1IN))*(((K224)-(c_TMAP1IN))*((c_TMAP2OUT)-(c_TMAP1OUT))+IF(((c_TMAP2OUT)-(c_TMAP1OUT))&gt;=0,1,-1)*QUOTIENT(((c_TMAP2IN)-(c_TMAP1IN)),2)))&lt;0,-1,0),IF(IF(o_WRAP=1,MOD(((c_TMAP2IN)-(c_TMAP1IN))*(((K224)-(c_TMAP1IN))*((c_TMAP2OUT)-(c_TMAP1OUT))+IF(((c_TMAP2OUT)-(c_TMAP1OUT))&gt;=0,1,-1)*QUOTIENT(((c_TMAP2IN)-(c_TMAP1IN)),2))+2147483648,4294967296)-2147483648,((c_TMAP2IN)-(c_TMAP1IN))*(((K224)-(c_TMAP1IN))*((c_TMAP2OUT)-(c_TMAP1OUT))+IF(((c_TMAP2OUT)-(c_TMAP1OUT))&gt;=0,1,-1)*QUOTIENT(((c_TMAP2IN)-(c_TMAP1IN)),2)))&gt;=0,1,0)))</f>
        <v>251</v>
      </c>
      <c r="O224" s="7" t="n">
        <f aca="false">IF(((c_TMAP3IN)-(c_TMAP2IN))=0,(c_TMAP2OUT)+QUOTIENT(((c_TMAP3OUT)-(c_TMAP2OUT)),2),QUOTIENT((((K224)-(c_TMAP2IN))*((c_TMAP3OUT)-(c_TMAP2OUT))+IF(((c_TMAP3OUT)-(c_TMAP2OUT))&gt;=0,1,-1)*QUOTIENT(((c_TMAP3IN)-(c_TMAP2IN)),2)),((c_TMAP3IN)-(c_TMAP2IN)))+(c_TMAP2OUT)+IF(((c_TMAP3OUT)-(c_TMAP2OUT))&gt;=0,IF(IF(o_WRAP=1,MOD(((c_TMAP3IN)-(c_TMAP2IN))*(((K224)-(c_TMAP2IN))*((c_TMAP3OUT)-(c_TMAP2OUT))+IF(((c_TMAP3OUT)-(c_TMAP2OUT))&gt;=0,1,-1)*QUOTIENT(((c_TMAP3IN)-(c_TMAP2IN)),2))+2147483648,4294967296)-2147483648,((c_TMAP3IN)-(c_TMAP2IN))*(((K224)-(c_TMAP2IN))*((c_TMAP3OUT)-(c_TMAP2OUT))+IF(((c_TMAP3OUT)-(c_TMAP2OUT))&gt;=0,1,-1)*QUOTIENT(((c_TMAP3IN)-(c_TMAP2IN)),2)))&lt;0,-1,0),IF(IF(o_WRAP=1,MOD(((c_TMAP3IN)-(c_TMAP2IN))*(((K224)-(c_TMAP2IN))*((c_TMAP3OUT)-(c_TMAP2OUT))+IF(((c_TMAP3OUT)-(c_TMAP2OUT))&gt;=0,1,-1)*QUOTIENT(((c_TMAP3IN)-(c_TMAP2IN)),2))+2147483648,4294967296)-2147483648,((c_TMAP3IN)-(c_TMAP2IN))*(((K224)-(c_TMAP2IN))*((c_TMAP3OUT)-(c_TMAP2OUT))+IF(((c_TMAP3OUT)-(c_TMAP2OUT))&gt;=0,1,-1)*QUOTIENT(((c_TMAP3IN)-(c_TMAP2IN)),2)))&gt;=0,1,0)))</f>
        <v>341</v>
      </c>
      <c r="P224" s="7" t="n">
        <f aca="false">IF(((1000)-(c_TMAP3IN))=0,(c_TMAP3OUT)+QUOTIENT(((1000)-(c_TMAP3OUT)),2),QUOTIENT((((K224)-(c_TMAP3IN))*((1000)-(c_TMAP3OUT))+IF(((1000)-(c_TMAP3OUT))&gt;=0,1,-1)*QUOTIENT(((1000)-(c_TMAP3IN)),2)),((1000)-(c_TMAP3IN)))+(c_TMAP3OUT)+IF(((1000)-(c_TMAP3OUT))&gt;=0,IF(IF(o_WRAP=1,MOD(((1000)-(c_TMAP3IN))*(((K224)-(c_TMAP3IN))*((1000)-(c_TMAP3OUT))+IF(((1000)-(c_TMAP3OUT))&gt;=0,1,-1)*QUOTIENT(((1000)-(c_TMAP3IN)),2))+2147483648,4294967296)-2147483648,((1000)-(c_TMAP3IN))*(((K224)-(c_TMAP3IN))*((1000)-(c_TMAP3OUT))+IF(((1000)-(c_TMAP3OUT))&gt;=0,1,-1)*QUOTIENT(((1000)-(c_TMAP3IN)),2)))&lt;0,-1,0),IF(IF(o_WRAP=1,MOD(((1000)-(c_TMAP3IN))*(((K224)-(c_TMAP3IN))*((1000)-(c_TMAP3OUT))+IF(((1000)-(c_TMAP3OUT))&gt;=0,1,-1)*QUOTIENT(((1000)-(c_TMAP3IN)),2))+2147483648,4294967296)-2147483648,((1000)-(c_TMAP3IN))*(((K224)-(c_TMAP3IN))*((1000)-(c_TMAP3OUT))+IF(((1000)-(c_TMAP3OUT))&gt;=0,1,-1)*QUOTIENT(((1000)-(c_TMAP3IN)),2)))&gt;=0,1,0)))</f>
        <v>449</v>
      </c>
      <c r="Q224" s="7" t="str">
        <f aca="false">IF(K224&gt;=c_TFWD,IF(AND(K224&gt;=c_TMAP3IN,c_TMAP3IN&lt;1000),"Seg4 map3-100%",IF(AND(K224&gt;=c_TMAP2IN,c_TMAP3IN&gt;c_TMAP2IN),"Seg3 map2-map3",IF(AND(K224&gt;=c_TMAP1IN,c_TMAP2IN&gt;c_TMAP1IN),"Seg2 map1-map2","Seg1 TFWD-map1"))),IF(AND(K224=0,c_TCREEP&gt;0),"Creep",IF(AND(K224&lt;=c_TRNGMIN,K224&gt;=c_TRNGMAX,c_TRNGMIN-c_TRNGMAX&lt;&gt;0),"Regen ramp","Coast (0)")))</f>
        <v>Seg4 map3-100%</v>
      </c>
      <c r="R224" s="7" t="n">
        <f aca="false">IF(K224&gt;=c_TFWD,IF(AND(K224&gt;=c_TMAP3IN,c_TMAP3IN&lt;1000),P224,IF(AND(K224&gt;=c_TMAP2IN,c_TMAP3IN&gt;c_TMAP2IN),O224,IF(AND(K224&gt;=c_TMAP1IN,c_TMAP2IN&gt;c_TMAP1IN),N224,M224))),L224)</f>
        <v>449</v>
      </c>
      <c r="S224" s="7" t="str">
        <f aca="false">IF(R224&lt;-1090,"TOO LOW",IF(R224&gt;1090,"TOO HIGH",""))</f>
        <v/>
      </c>
      <c r="T224" s="15" t="n">
        <f aca="false">IF(H224&lt;&gt;"OK",0,IF(S224&lt;&gt;"",0,IF(R224&gt;979,1000,R224)))</f>
        <v>449</v>
      </c>
      <c r="U224" s="7" t="n">
        <f aca="false">T224/10</f>
        <v>44.9</v>
      </c>
    </row>
    <row r="225" customFormat="false" ht="15" hidden="false" customHeight="false" outlineLevel="0" collapsed="false">
      <c r="A225" s="7" t="n">
        <v>220</v>
      </c>
      <c r="B225" s="7" t="n">
        <f aca="false">ROUND(o_SWSTART+A225*(o_SWEND-o_SWSTART)/400,0)</f>
        <v>2252</v>
      </c>
      <c r="C225" s="7" t="n">
        <f aca="false">QUOTIENT((B225-c_OFF1)*c_GAIN1,1024)</f>
        <v>2252</v>
      </c>
      <c r="D225" s="7" t="n">
        <f aca="false">IF(((c_T1MX)-(c_T1MN))=0,(0)+QUOTIENT(((1000)-(0)),2),QUOTIENT((((C225)-(c_T1MN))*((1000)-(0))+IF(((1000)-(0))&gt;=0,1,-1)*QUOTIENT(((c_T1MX)-(c_T1MN)),2)),((c_T1MX)-(c_T1MN)))+(0)+IF(((1000)-(0))&gt;=0,IF(IF(o_WRAP=1,MOD(((c_T1MX)-(c_T1MN))*(((C225)-(c_T1MN))*((1000)-(0))+IF(((1000)-(0))&gt;=0,1,-1)*QUOTIENT(((c_T1MX)-(c_T1MN)),2))+2147483648,4294967296)-2147483648,((c_T1MX)-(c_T1MN))*(((C225)-(c_T1MN))*((1000)-(0))+IF(((1000)-(0))&gt;=0,1,-1)*QUOTIENT(((c_T1MX)-(c_T1MN)),2)))&lt;0,-1,0),IF(IF(o_WRAP=1,MOD(((c_T1MX)-(c_T1MN))*(((C225)-(c_T1MN))*((1000)-(0))+IF(((1000)-(0))&gt;=0,1,-1)*QUOTIENT(((c_T1MX)-(c_T1MN)),2))+2147483648,4294967296)-2147483648,((c_T1MX)-(c_T1MN))*(((C225)-(c_T1MN))*((1000)-(0))+IF(((1000)-(0))&gt;=0,1,-1)*QUOTIENT(((c_T1MX)-(c_T1MN)),2)))&gt;=0,1,0)))</f>
        <v>555</v>
      </c>
      <c r="E225" s="7" t="n">
        <f aca="false">IF(AND(c_TPOT=1,c_TTYPE=2),1000-D225,D225)</f>
        <v>555</v>
      </c>
      <c r="F225" s="7" t="str">
        <f aca="false">IF(c_TPOT&gt;1,ROUND(IF(c_TTYPE=2,c_T2MX-IF(c_T1MX=c_T1MN,0,(C225-c_T1MN)/(c_T1MX-c_T1MN))*(c_T2MX-c_T2MN),c_T2MN+IF(c_T1MX=c_T1MN,0,(C225-c_T1MN)/(c_T1MX-c_T1MN))*(c_T2MX-c_T2MN))+o_MISMATCH,0),"")</f>
        <v/>
      </c>
      <c r="G225" s="7" t="str">
        <f aca="false">IF(c_TPOT&gt;1,IF(((c_T2MX)-(c_T2MN))=0,(0)+QUOTIENT(((1000)-(0)),2),QUOTIENT((((F225)-(c_T2MN))*((1000)-(0))+IF(((1000)-(0))&gt;=0,1,-1)*QUOTIENT(((c_T2MX)-(c_T2MN)),2)),((c_T2MX)-(c_T2MN)))+(0)+IF(((1000)-(0))&gt;=0,IF(IF(o_WRAP=1,MOD(((c_T2MX)-(c_T2MN))*(((F225)-(c_T2MN))*((1000)-(0))+IF(((1000)-(0))&gt;=0,1,-1)*QUOTIENT(((c_T2MX)-(c_T2MN)),2))+2147483648,4294967296)-2147483648,((c_T2MX)-(c_T2MN))*(((F225)-(c_T2MN))*((1000)-(0))+IF(((1000)-(0))&gt;=0,1,-1)*QUOTIENT(((c_T2MX)-(c_T2MN)),2)))&lt;0,-1,0),IF(IF(o_WRAP=1,MOD(((c_T2MX)-(c_T2MN))*(((F225)-(c_T2MN))*((1000)-(0))+IF(((1000)-(0))&gt;=0,1,-1)*QUOTIENT(((c_T2MX)-(c_T2MN)),2))+2147483648,4294967296)-2147483648,((c_T2MX)-(c_T2MN))*(((F225)-(c_T2MN))*((1000)-(0))+IF(((1000)-(0))&gt;=0,1,-1)*QUOTIENT(((c_T2MX)-(c_T2MN)),2)))&gt;=0,1,0))),"")</f>
        <v/>
      </c>
      <c r="H225" s="7" t="str">
        <f aca="false">IF(E225&gt;1000+k_TOL,"T1 HIGH",IF(E225&lt;0-k_TOL,"T1 LOW",IF(c_TPOT&gt;1,IF(G225&gt;1000+k_TOL,"T2 HIGH",IF(G225&lt;0-k_TOL,"T2 LOW",IF(c_TTYPE=2,IF(ABS(1000-MAX(0,MIN(1000,E225))-MAX(0,MIN(1000,G225)))&gt;k_MAXERR,"MISMATCH","OK"),IF(OR(MAX(0,MIN(1000,E225))-k_MAXERR&gt;MAX(0,MIN(1000,G225)),MAX(0,MIN(1000,G225))-k_MAXERR&gt;MAX(0,MIN(1000,E225))),"MISMATCH","OK")))),"OK")))</f>
        <v>OK</v>
      </c>
      <c r="I225" s="7" t="n">
        <f aca="false">MAX(0,MIN(1000,D225))</f>
        <v>555</v>
      </c>
      <c r="J225" s="7" t="str">
        <f aca="false">IF(c_TPOT&gt;1,IF(c_TTYPE=2,1000-MAX(0,MIN(1000,G225)),MAX(0,MIN(1000,G225))),"")</f>
        <v/>
      </c>
      <c r="K225" s="7" t="n">
        <f aca="false">IF(c_TPOT&gt;1,QUOTIENT(I225+J225,2),I225)</f>
        <v>555</v>
      </c>
      <c r="L225" s="7" t="n">
        <f aca="false">IF(AND(K225=0,c_TCREEP&gt;0),10*c_TCREEP,IF(AND(K225&lt;=c_TRNGMIN,K225&gt;=c_TRNGMAX,c_TRNGMIN-c_TRNGMAX&lt;&gt;0),-10*c_TMINRN+QUOTIENT((c_TMAXRN-c_TMINRN)*(100-QUOTIENT((K225-c_TRNGMAX)*100,c_TRNGMIN-c_TRNGMAX)),-10),0))</f>
        <v>0</v>
      </c>
      <c r="M225" s="7" t="n">
        <f aca="false">IF(((c_TMAP1IN)-(c_TFWD))=0,(0)+QUOTIENT(((c_TMAP1OUT)-(0)),2),QUOTIENT((((K225)-(c_TFWD))*((c_TMAP1OUT)-(0))+IF(((c_TMAP1OUT)-(0))&gt;=0,1,-1)*QUOTIENT(((c_TMAP1IN)-(c_TFWD)),2)),((c_TMAP1IN)-(c_TFWD)))+(0)+IF(((c_TMAP1OUT)-(0))&gt;=0,IF(IF(o_WRAP=1,MOD(((c_TMAP1IN)-(c_TFWD))*(((K225)-(c_TFWD))*((c_TMAP1OUT)-(0))+IF(((c_TMAP1OUT)-(0))&gt;=0,1,-1)*QUOTIENT(((c_TMAP1IN)-(c_TFWD)),2))+2147483648,4294967296)-2147483648,((c_TMAP1IN)-(c_TFWD))*(((K225)-(c_TFWD))*((c_TMAP1OUT)-(0))+IF(((c_TMAP1OUT)-(0))&gt;=0,1,-1)*QUOTIENT(((c_TMAP1IN)-(c_TFWD)),2)))&lt;0,-1,0),IF(IF(o_WRAP=1,MOD(((c_TMAP1IN)-(c_TFWD))*(((K225)-(c_TFWD))*((c_TMAP1OUT)-(0))+IF(((c_TMAP1OUT)-(0))&gt;=0,1,-1)*QUOTIENT(((c_TMAP1IN)-(c_TFWD)),2))+2147483648,4294967296)-2147483648,((c_TMAP1IN)-(c_TFWD))*(((K225)-(c_TFWD))*((c_TMAP1OUT)-(0))+IF(((c_TMAP1OUT)-(0))&gt;=0,1,-1)*QUOTIENT(((c_TMAP1IN)-(c_TFWD)),2)))&gt;=0,1,0)))</f>
        <v>424</v>
      </c>
      <c r="N225" s="7" t="n">
        <f aca="false">IF(((c_TMAP2IN)-(c_TMAP1IN))=0,(c_TMAP1OUT)+QUOTIENT(((c_TMAP2OUT)-(c_TMAP1OUT)),2),QUOTIENT((((K225)-(c_TMAP1IN))*((c_TMAP2OUT)-(c_TMAP1OUT))+IF(((c_TMAP2OUT)-(c_TMAP1OUT))&gt;=0,1,-1)*QUOTIENT(((c_TMAP2IN)-(c_TMAP1IN)),2)),((c_TMAP2IN)-(c_TMAP1IN)))+(c_TMAP1OUT)+IF(((c_TMAP2OUT)-(c_TMAP1OUT))&gt;=0,IF(IF(o_WRAP=1,MOD(((c_TMAP2IN)-(c_TMAP1IN))*(((K225)-(c_TMAP1IN))*((c_TMAP2OUT)-(c_TMAP1OUT))+IF(((c_TMAP2OUT)-(c_TMAP1OUT))&gt;=0,1,-1)*QUOTIENT(((c_TMAP2IN)-(c_TMAP1IN)),2))+2147483648,4294967296)-2147483648,((c_TMAP2IN)-(c_TMAP1IN))*(((K225)-(c_TMAP1IN))*((c_TMAP2OUT)-(c_TMAP1OUT))+IF(((c_TMAP2OUT)-(c_TMAP1OUT))&gt;=0,1,-1)*QUOTIENT(((c_TMAP2IN)-(c_TMAP1IN)),2)))&lt;0,-1,0),IF(IF(o_WRAP=1,MOD(((c_TMAP2IN)-(c_TMAP1IN))*(((K225)-(c_TMAP1IN))*((c_TMAP2OUT)-(c_TMAP1OUT))+IF(((c_TMAP2OUT)-(c_TMAP1OUT))&gt;=0,1,-1)*QUOTIENT(((c_TMAP2IN)-(c_TMAP1IN)),2))+2147483648,4294967296)-2147483648,((c_TMAP2IN)-(c_TMAP1IN))*(((K225)-(c_TMAP1IN))*((c_TMAP2OUT)-(c_TMAP1OUT))+IF(((c_TMAP2OUT)-(c_TMAP1OUT))&gt;=0,1,-1)*QUOTIENT(((c_TMAP2IN)-(c_TMAP1IN)),2)))&gt;=0,1,0)))</f>
        <v>252</v>
      </c>
      <c r="O225" s="7" t="n">
        <f aca="false">IF(((c_TMAP3IN)-(c_TMAP2IN))=0,(c_TMAP2OUT)+QUOTIENT(((c_TMAP3OUT)-(c_TMAP2OUT)),2),QUOTIENT((((K225)-(c_TMAP2IN))*((c_TMAP3OUT)-(c_TMAP2OUT))+IF(((c_TMAP3OUT)-(c_TMAP2OUT))&gt;=0,1,-1)*QUOTIENT(((c_TMAP3IN)-(c_TMAP2IN)),2)),((c_TMAP3IN)-(c_TMAP2IN)))+(c_TMAP2OUT)+IF(((c_TMAP3OUT)-(c_TMAP2OUT))&gt;=0,IF(IF(o_WRAP=1,MOD(((c_TMAP3IN)-(c_TMAP2IN))*(((K225)-(c_TMAP2IN))*((c_TMAP3OUT)-(c_TMAP2OUT))+IF(((c_TMAP3OUT)-(c_TMAP2OUT))&gt;=0,1,-1)*QUOTIENT(((c_TMAP3IN)-(c_TMAP2IN)),2))+2147483648,4294967296)-2147483648,((c_TMAP3IN)-(c_TMAP2IN))*(((K225)-(c_TMAP2IN))*((c_TMAP3OUT)-(c_TMAP2OUT))+IF(((c_TMAP3OUT)-(c_TMAP2OUT))&gt;=0,1,-1)*QUOTIENT(((c_TMAP3IN)-(c_TMAP2IN)),2)))&lt;0,-1,0),IF(IF(o_WRAP=1,MOD(((c_TMAP3IN)-(c_TMAP2IN))*(((K225)-(c_TMAP2IN))*((c_TMAP3OUT)-(c_TMAP2OUT))+IF(((c_TMAP3OUT)-(c_TMAP2OUT))&gt;=0,1,-1)*QUOTIENT(((c_TMAP3IN)-(c_TMAP2IN)),2))+2147483648,4294967296)-2147483648,((c_TMAP3IN)-(c_TMAP2IN))*(((K225)-(c_TMAP2IN))*((c_TMAP3OUT)-(c_TMAP2OUT))+IF(((c_TMAP3OUT)-(c_TMAP2OUT))&gt;=0,1,-1)*QUOTIENT(((c_TMAP3IN)-(c_TMAP2IN)),2)))&gt;=0,1,0)))</f>
        <v>344</v>
      </c>
      <c r="P225" s="7" t="n">
        <f aca="false">IF(((1000)-(c_TMAP3IN))=0,(c_TMAP3OUT)+QUOTIENT(((1000)-(c_TMAP3OUT)),2),QUOTIENT((((K225)-(c_TMAP3IN))*((1000)-(c_TMAP3OUT))+IF(((1000)-(c_TMAP3OUT))&gt;=0,1,-1)*QUOTIENT(((1000)-(c_TMAP3IN)),2)),((1000)-(c_TMAP3IN)))+(c_TMAP3OUT)+IF(((1000)-(c_TMAP3OUT))&gt;=0,IF(IF(o_WRAP=1,MOD(((1000)-(c_TMAP3IN))*(((K225)-(c_TMAP3IN))*((1000)-(c_TMAP3OUT))+IF(((1000)-(c_TMAP3OUT))&gt;=0,1,-1)*QUOTIENT(((1000)-(c_TMAP3IN)),2))+2147483648,4294967296)-2147483648,((1000)-(c_TMAP3IN))*(((K225)-(c_TMAP3IN))*((1000)-(c_TMAP3OUT))+IF(((1000)-(c_TMAP3OUT))&gt;=0,1,-1)*QUOTIENT(((1000)-(c_TMAP3IN)),2)))&lt;0,-1,0),IF(IF(o_WRAP=1,MOD(((1000)-(c_TMAP3IN))*(((K225)-(c_TMAP3IN))*((1000)-(c_TMAP3OUT))+IF(((1000)-(c_TMAP3OUT))&gt;=0,1,-1)*QUOTIENT(((1000)-(c_TMAP3IN)),2))+2147483648,4294967296)-2147483648,((1000)-(c_TMAP3IN))*(((K225)-(c_TMAP3IN))*((1000)-(c_TMAP3OUT))+IF(((1000)-(c_TMAP3OUT))&gt;=0,1,-1)*QUOTIENT(((1000)-(c_TMAP3IN)),2)))&gt;=0,1,0)))</f>
        <v>452</v>
      </c>
      <c r="Q225" s="7" t="str">
        <f aca="false">IF(K225&gt;=c_TFWD,IF(AND(K225&gt;=c_TMAP3IN,c_TMAP3IN&lt;1000),"Seg4 map3-100%",IF(AND(K225&gt;=c_TMAP2IN,c_TMAP3IN&gt;c_TMAP2IN),"Seg3 map2-map3",IF(AND(K225&gt;=c_TMAP1IN,c_TMAP2IN&gt;c_TMAP1IN),"Seg2 map1-map2","Seg1 TFWD-map1"))),IF(AND(K225=0,c_TCREEP&gt;0),"Creep",IF(AND(K225&lt;=c_TRNGMIN,K225&gt;=c_TRNGMAX,c_TRNGMIN-c_TRNGMAX&lt;&gt;0),"Regen ramp","Coast (0)")))</f>
        <v>Seg4 map3-100%</v>
      </c>
      <c r="R225" s="7" t="n">
        <f aca="false">IF(K225&gt;=c_TFWD,IF(AND(K225&gt;=c_TMAP3IN,c_TMAP3IN&lt;1000),P225,IF(AND(K225&gt;=c_TMAP2IN,c_TMAP3IN&gt;c_TMAP2IN),O225,IF(AND(K225&gt;=c_TMAP1IN,c_TMAP2IN&gt;c_TMAP1IN),N225,M225))),L225)</f>
        <v>452</v>
      </c>
      <c r="S225" s="7" t="str">
        <f aca="false">IF(R225&lt;-1090,"TOO LOW",IF(R225&gt;1090,"TOO HIGH",""))</f>
        <v/>
      </c>
      <c r="T225" s="15" t="n">
        <f aca="false">IF(H225&lt;&gt;"OK",0,IF(S225&lt;&gt;"",0,IF(R225&gt;979,1000,R225)))</f>
        <v>452</v>
      </c>
      <c r="U225" s="7" t="n">
        <f aca="false">T225/10</f>
        <v>45.2</v>
      </c>
    </row>
    <row r="226" customFormat="false" ht="15" hidden="false" customHeight="false" outlineLevel="0" collapsed="false">
      <c r="A226" s="7" t="n">
        <v>221</v>
      </c>
      <c r="B226" s="7" t="n">
        <f aca="false">ROUND(o_SWSTART+A226*(o_SWEND-o_SWSTART)/400,0)</f>
        <v>2262</v>
      </c>
      <c r="C226" s="7" t="n">
        <f aca="false">QUOTIENT((B226-c_OFF1)*c_GAIN1,1024)</f>
        <v>2262</v>
      </c>
      <c r="D226" s="7" t="n">
        <f aca="false">IF(((c_T1MX)-(c_T1MN))=0,(0)+QUOTIENT(((1000)-(0)),2),QUOTIENT((((C226)-(c_T1MN))*((1000)-(0))+IF(((1000)-(0))&gt;=0,1,-1)*QUOTIENT(((c_T1MX)-(c_T1MN)),2)),((c_T1MX)-(c_T1MN)))+(0)+IF(((1000)-(0))&gt;=0,IF(IF(o_WRAP=1,MOD(((c_T1MX)-(c_T1MN))*(((C226)-(c_T1MN))*((1000)-(0))+IF(((1000)-(0))&gt;=0,1,-1)*QUOTIENT(((c_T1MX)-(c_T1MN)),2))+2147483648,4294967296)-2147483648,((c_T1MX)-(c_T1MN))*(((C226)-(c_T1MN))*((1000)-(0))+IF(((1000)-(0))&gt;=0,1,-1)*QUOTIENT(((c_T1MX)-(c_T1MN)),2)))&lt;0,-1,0),IF(IF(o_WRAP=1,MOD(((c_T1MX)-(c_T1MN))*(((C226)-(c_T1MN))*((1000)-(0))+IF(((1000)-(0))&gt;=0,1,-1)*QUOTIENT(((c_T1MX)-(c_T1MN)),2))+2147483648,4294967296)-2147483648,((c_T1MX)-(c_T1MN))*(((C226)-(c_T1MN))*((1000)-(0))+IF(((1000)-(0))&gt;=0,1,-1)*QUOTIENT(((c_T1MX)-(c_T1MN)),2)))&gt;=0,1,0)))</f>
        <v>559</v>
      </c>
      <c r="E226" s="7" t="n">
        <f aca="false">IF(AND(c_TPOT=1,c_TTYPE=2),1000-D226,D226)</f>
        <v>559</v>
      </c>
      <c r="F226" s="7" t="str">
        <f aca="false">IF(c_TPOT&gt;1,ROUND(IF(c_TTYPE=2,c_T2MX-IF(c_T1MX=c_T1MN,0,(C226-c_T1MN)/(c_T1MX-c_T1MN))*(c_T2MX-c_T2MN),c_T2MN+IF(c_T1MX=c_T1MN,0,(C226-c_T1MN)/(c_T1MX-c_T1MN))*(c_T2MX-c_T2MN))+o_MISMATCH,0),"")</f>
        <v/>
      </c>
      <c r="G226" s="7" t="str">
        <f aca="false">IF(c_TPOT&gt;1,IF(((c_T2MX)-(c_T2MN))=0,(0)+QUOTIENT(((1000)-(0)),2),QUOTIENT((((F226)-(c_T2MN))*((1000)-(0))+IF(((1000)-(0))&gt;=0,1,-1)*QUOTIENT(((c_T2MX)-(c_T2MN)),2)),((c_T2MX)-(c_T2MN)))+(0)+IF(((1000)-(0))&gt;=0,IF(IF(o_WRAP=1,MOD(((c_T2MX)-(c_T2MN))*(((F226)-(c_T2MN))*((1000)-(0))+IF(((1000)-(0))&gt;=0,1,-1)*QUOTIENT(((c_T2MX)-(c_T2MN)),2))+2147483648,4294967296)-2147483648,((c_T2MX)-(c_T2MN))*(((F226)-(c_T2MN))*((1000)-(0))+IF(((1000)-(0))&gt;=0,1,-1)*QUOTIENT(((c_T2MX)-(c_T2MN)),2)))&lt;0,-1,0),IF(IF(o_WRAP=1,MOD(((c_T2MX)-(c_T2MN))*(((F226)-(c_T2MN))*((1000)-(0))+IF(((1000)-(0))&gt;=0,1,-1)*QUOTIENT(((c_T2MX)-(c_T2MN)),2))+2147483648,4294967296)-2147483648,((c_T2MX)-(c_T2MN))*(((F226)-(c_T2MN))*((1000)-(0))+IF(((1000)-(0))&gt;=0,1,-1)*QUOTIENT(((c_T2MX)-(c_T2MN)),2)))&gt;=0,1,0))),"")</f>
        <v/>
      </c>
      <c r="H226" s="7" t="str">
        <f aca="false">IF(E226&gt;1000+k_TOL,"T1 HIGH",IF(E226&lt;0-k_TOL,"T1 LOW",IF(c_TPOT&gt;1,IF(G226&gt;1000+k_TOL,"T2 HIGH",IF(G226&lt;0-k_TOL,"T2 LOW",IF(c_TTYPE=2,IF(ABS(1000-MAX(0,MIN(1000,E226))-MAX(0,MIN(1000,G226)))&gt;k_MAXERR,"MISMATCH","OK"),IF(OR(MAX(0,MIN(1000,E226))-k_MAXERR&gt;MAX(0,MIN(1000,G226)),MAX(0,MIN(1000,G226))-k_MAXERR&gt;MAX(0,MIN(1000,E226))),"MISMATCH","OK")))),"OK")))</f>
        <v>OK</v>
      </c>
      <c r="I226" s="7" t="n">
        <f aca="false">MAX(0,MIN(1000,D226))</f>
        <v>559</v>
      </c>
      <c r="J226" s="7" t="str">
        <f aca="false">IF(c_TPOT&gt;1,IF(c_TTYPE=2,1000-MAX(0,MIN(1000,G226)),MAX(0,MIN(1000,G226))),"")</f>
        <v/>
      </c>
      <c r="K226" s="7" t="n">
        <f aca="false">IF(c_TPOT&gt;1,QUOTIENT(I226+J226,2),I226)</f>
        <v>559</v>
      </c>
      <c r="L226" s="7" t="n">
        <f aca="false">IF(AND(K226=0,c_TCREEP&gt;0),10*c_TCREEP,IF(AND(K226&lt;=c_TRNGMIN,K226&gt;=c_TRNGMAX,c_TRNGMIN-c_TRNGMAX&lt;&gt;0),-10*c_TMINRN+QUOTIENT((c_TMAXRN-c_TMINRN)*(100-QUOTIENT((K226-c_TRNGMAX)*100,c_TRNGMIN-c_TRNGMAX)),-10),0))</f>
        <v>0</v>
      </c>
      <c r="M226" s="7" t="n">
        <f aca="false">IF(((c_TMAP1IN)-(c_TFWD))=0,(0)+QUOTIENT(((c_TMAP1OUT)-(0)),2),QUOTIENT((((K226)-(c_TFWD))*((c_TMAP1OUT)-(0))+IF(((c_TMAP1OUT)-(0))&gt;=0,1,-1)*QUOTIENT(((c_TMAP1IN)-(c_TFWD)),2)),((c_TMAP1IN)-(c_TFWD)))+(0)+IF(((c_TMAP1OUT)-(0))&gt;=0,IF(IF(o_WRAP=1,MOD(((c_TMAP1IN)-(c_TFWD))*(((K226)-(c_TFWD))*((c_TMAP1OUT)-(0))+IF(((c_TMAP1OUT)-(0))&gt;=0,1,-1)*QUOTIENT(((c_TMAP1IN)-(c_TFWD)),2))+2147483648,4294967296)-2147483648,((c_TMAP1IN)-(c_TFWD))*(((K226)-(c_TFWD))*((c_TMAP1OUT)-(0))+IF(((c_TMAP1OUT)-(0))&gt;=0,1,-1)*QUOTIENT(((c_TMAP1IN)-(c_TFWD)),2)))&lt;0,-1,0),IF(IF(o_WRAP=1,MOD(((c_TMAP1IN)-(c_TFWD))*(((K226)-(c_TFWD))*((c_TMAP1OUT)-(0))+IF(((c_TMAP1OUT)-(0))&gt;=0,1,-1)*QUOTIENT(((c_TMAP1IN)-(c_TFWD)),2))+2147483648,4294967296)-2147483648,((c_TMAP1IN)-(c_TFWD))*(((K226)-(c_TFWD))*((c_TMAP1OUT)-(0))+IF(((c_TMAP1OUT)-(0))&gt;=0,1,-1)*QUOTIENT(((c_TMAP1IN)-(c_TFWD)),2)))&gt;=0,1,0)))</f>
        <v>427</v>
      </c>
      <c r="N226" s="7" t="n">
        <f aca="false">IF(((c_TMAP2IN)-(c_TMAP1IN))=0,(c_TMAP1OUT)+QUOTIENT(((c_TMAP2OUT)-(c_TMAP1OUT)),2),QUOTIENT((((K226)-(c_TMAP1IN))*((c_TMAP2OUT)-(c_TMAP1OUT))+IF(((c_TMAP2OUT)-(c_TMAP1OUT))&gt;=0,1,-1)*QUOTIENT(((c_TMAP2IN)-(c_TMAP1IN)),2)),((c_TMAP2IN)-(c_TMAP1IN)))+(c_TMAP1OUT)+IF(((c_TMAP2OUT)-(c_TMAP1OUT))&gt;=0,IF(IF(o_WRAP=1,MOD(((c_TMAP2IN)-(c_TMAP1IN))*(((K226)-(c_TMAP1IN))*((c_TMAP2OUT)-(c_TMAP1OUT))+IF(((c_TMAP2OUT)-(c_TMAP1OUT))&gt;=0,1,-1)*QUOTIENT(((c_TMAP2IN)-(c_TMAP1IN)),2))+2147483648,4294967296)-2147483648,((c_TMAP2IN)-(c_TMAP1IN))*(((K226)-(c_TMAP1IN))*((c_TMAP2OUT)-(c_TMAP1OUT))+IF(((c_TMAP2OUT)-(c_TMAP1OUT))&gt;=0,1,-1)*QUOTIENT(((c_TMAP2IN)-(c_TMAP1IN)),2)))&lt;0,-1,0),IF(IF(o_WRAP=1,MOD(((c_TMAP2IN)-(c_TMAP1IN))*(((K226)-(c_TMAP1IN))*((c_TMAP2OUT)-(c_TMAP1OUT))+IF(((c_TMAP2OUT)-(c_TMAP1OUT))&gt;=0,1,-1)*QUOTIENT(((c_TMAP2IN)-(c_TMAP1IN)),2))+2147483648,4294967296)-2147483648,((c_TMAP2IN)-(c_TMAP1IN))*(((K226)-(c_TMAP1IN))*((c_TMAP2OUT)-(c_TMAP1OUT))+IF(((c_TMAP2OUT)-(c_TMAP1OUT))&gt;=0,1,-1)*QUOTIENT(((c_TMAP2IN)-(c_TMAP1IN)),2)))&gt;=0,1,0)))</f>
        <v>254</v>
      </c>
      <c r="O226" s="7" t="n">
        <f aca="false">IF(((c_TMAP3IN)-(c_TMAP2IN))=0,(c_TMAP2OUT)+QUOTIENT(((c_TMAP3OUT)-(c_TMAP2OUT)),2),QUOTIENT((((K226)-(c_TMAP2IN))*((c_TMAP3OUT)-(c_TMAP2OUT))+IF(((c_TMAP3OUT)-(c_TMAP2OUT))&gt;=0,1,-1)*QUOTIENT(((c_TMAP3IN)-(c_TMAP2IN)),2)),((c_TMAP3IN)-(c_TMAP2IN)))+(c_TMAP2OUT)+IF(((c_TMAP3OUT)-(c_TMAP2OUT))&gt;=0,IF(IF(o_WRAP=1,MOD(((c_TMAP3IN)-(c_TMAP2IN))*(((K226)-(c_TMAP2IN))*((c_TMAP3OUT)-(c_TMAP2OUT))+IF(((c_TMAP3OUT)-(c_TMAP2OUT))&gt;=0,1,-1)*QUOTIENT(((c_TMAP3IN)-(c_TMAP2IN)),2))+2147483648,4294967296)-2147483648,((c_TMAP3IN)-(c_TMAP2IN))*(((K226)-(c_TMAP2IN))*((c_TMAP3OUT)-(c_TMAP2OUT))+IF(((c_TMAP3OUT)-(c_TMAP2OUT))&gt;=0,1,-1)*QUOTIENT(((c_TMAP3IN)-(c_TMAP2IN)),2)))&lt;0,-1,0),IF(IF(o_WRAP=1,MOD(((c_TMAP3IN)-(c_TMAP2IN))*(((K226)-(c_TMAP2IN))*((c_TMAP3OUT)-(c_TMAP2OUT))+IF(((c_TMAP3OUT)-(c_TMAP2OUT))&gt;=0,1,-1)*QUOTIENT(((c_TMAP3IN)-(c_TMAP2IN)),2))+2147483648,4294967296)-2147483648,((c_TMAP3IN)-(c_TMAP2IN))*(((K226)-(c_TMAP2IN))*((c_TMAP3OUT)-(c_TMAP2OUT))+IF(((c_TMAP3OUT)-(c_TMAP2OUT))&gt;=0,1,-1)*QUOTIENT(((c_TMAP3IN)-(c_TMAP2IN)),2)))&gt;=0,1,0)))</f>
        <v>346</v>
      </c>
      <c r="P226" s="7" t="n">
        <f aca="false">IF(((1000)-(c_TMAP3IN))=0,(c_TMAP3OUT)+QUOTIENT(((1000)-(c_TMAP3OUT)),2),QUOTIENT((((K226)-(c_TMAP3IN))*((1000)-(c_TMAP3OUT))+IF(((1000)-(c_TMAP3OUT))&gt;=0,1,-1)*QUOTIENT(((1000)-(c_TMAP3IN)),2)),((1000)-(c_TMAP3IN)))+(c_TMAP3OUT)+IF(((1000)-(c_TMAP3OUT))&gt;=0,IF(IF(o_WRAP=1,MOD(((1000)-(c_TMAP3IN))*(((K226)-(c_TMAP3IN))*((1000)-(c_TMAP3OUT))+IF(((1000)-(c_TMAP3OUT))&gt;=0,1,-1)*QUOTIENT(((1000)-(c_TMAP3IN)),2))+2147483648,4294967296)-2147483648,((1000)-(c_TMAP3IN))*(((K226)-(c_TMAP3IN))*((1000)-(c_TMAP3OUT))+IF(((1000)-(c_TMAP3OUT))&gt;=0,1,-1)*QUOTIENT(((1000)-(c_TMAP3IN)),2)))&lt;0,-1,0),IF(IF(o_WRAP=1,MOD(((1000)-(c_TMAP3IN))*(((K226)-(c_TMAP3IN))*((1000)-(c_TMAP3OUT))+IF(((1000)-(c_TMAP3OUT))&gt;=0,1,-1)*QUOTIENT(((1000)-(c_TMAP3IN)),2))+2147483648,4294967296)-2147483648,((1000)-(c_TMAP3IN))*(((K226)-(c_TMAP3IN))*((1000)-(c_TMAP3OUT))+IF(((1000)-(c_TMAP3OUT))&gt;=0,1,-1)*QUOTIENT(((1000)-(c_TMAP3IN)),2)))&gt;=0,1,0)))</f>
        <v>457</v>
      </c>
      <c r="Q226" s="7" t="str">
        <f aca="false">IF(K226&gt;=c_TFWD,IF(AND(K226&gt;=c_TMAP3IN,c_TMAP3IN&lt;1000),"Seg4 map3-100%",IF(AND(K226&gt;=c_TMAP2IN,c_TMAP3IN&gt;c_TMAP2IN),"Seg3 map2-map3",IF(AND(K226&gt;=c_TMAP1IN,c_TMAP2IN&gt;c_TMAP1IN),"Seg2 map1-map2","Seg1 TFWD-map1"))),IF(AND(K226=0,c_TCREEP&gt;0),"Creep",IF(AND(K226&lt;=c_TRNGMIN,K226&gt;=c_TRNGMAX,c_TRNGMIN-c_TRNGMAX&lt;&gt;0),"Regen ramp","Coast (0)")))</f>
        <v>Seg4 map3-100%</v>
      </c>
      <c r="R226" s="7" t="n">
        <f aca="false">IF(K226&gt;=c_TFWD,IF(AND(K226&gt;=c_TMAP3IN,c_TMAP3IN&lt;1000),P226,IF(AND(K226&gt;=c_TMAP2IN,c_TMAP3IN&gt;c_TMAP2IN),O226,IF(AND(K226&gt;=c_TMAP1IN,c_TMAP2IN&gt;c_TMAP1IN),N226,M226))),L226)</f>
        <v>457</v>
      </c>
      <c r="S226" s="7" t="str">
        <f aca="false">IF(R226&lt;-1090,"TOO LOW",IF(R226&gt;1090,"TOO HIGH",""))</f>
        <v/>
      </c>
      <c r="T226" s="15" t="n">
        <f aca="false">IF(H226&lt;&gt;"OK",0,IF(S226&lt;&gt;"",0,IF(R226&gt;979,1000,R226)))</f>
        <v>457</v>
      </c>
      <c r="U226" s="7" t="n">
        <f aca="false">T226/10</f>
        <v>45.7</v>
      </c>
    </row>
    <row r="227" customFormat="false" ht="15" hidden="false" customHeight="false" outlineLevel="0" collapsed="false">
      <c r="A227" s="7" t="n">
        <v>222</v>
      </c>
      <c r="B227" s="7" t="n">
        <f aca="false">ROUND(o_SWSTART+A227*(o_SWEND-o_SWSTART)/400,0)</f>
        <v>2273</v>
      </c>
      <c r="C227" s="7" t="n">
        <f aca="false">QUOTIENT((B227-c_OFF1)*c_GAIN1,1024)</f>
        <v>2273</v>
      </c>
      <c r="D227" s="7" t="n">
        <f aca="false">IF(((c_T1MX)-(c_T1MN))=0,(0)+QUOTIENT(((1000)-(0)),2),QUOTIENT((((C227)-(c_T1MN))*((1000)-(0))+IF(((1000)-(0))&gt;=0,1,-1)*QUOTIENT(((c_T1MX)-(c_T1MN)),2)),((c_T1MX)-(c_T1MN)))+(0)+IF(((1000)-(0))&gt;=0,IF(IF(o_WRAP=1,MOD(((c_T1MX)-(c_T1MN))*(((C227)-(c_T1MN))*((1000)-(0))+IF(((1000)-(0))&gt;=0,1,-1)*QUOTIENT(((c_T1MX)-(c_T1MN)),2))+2147483648,4294967296)-2147483648,((c_T1MX)-(c_T1MN))*(((C227)-(c_T1MN))*((1000)-(0))+IF(((1000)-(0))&gt;=0,1,-1)*QUOTIENT(((c_T1MX)-(c_T1MN)),2)))&lt;0,-1,0),IF(IF(o_WRAP=1,MOD(((c_T1MX)-(c_T1MN))*(((C227)-(c_T1MN))*((1000)-(0))+IF(((1000)-(0))&gt;=0,1,-1)*QUOTIENT(((c_T1MX)-(c_T1MN)),2))+2147483648,4294967296)-2147483648,((c_T1MX)-(c_T1MN))*(((C227)-(c_T1MN))*((1000)-(0))+IF(((1000)-(0))&gt;=0,1,-1)*QUOTIENT(((c_T1MX)-(c_T1MN)),2)))&gt;=0,1,0)))</f>
        <v>564</v>
      </c>
      <c r="E227" s="7" t="n">
        <f aca="false">IF(AND(c_TPOT=1,c_TTYPE=2),1000-D227,D227)</f>
        <v>564</v>
      </c>
      <c r="F227" s="7" t="str">
        <f aca="false">IF(c_TPOT&gt;1,ROUND(IF(c_TTYPE=2,c_T2MX-IF(c_T1MX=c_T1MN,0,(C227-c_T1MN)/(c_T1MX-c_T1MN))*(c_T2MX-c_T2MN),c_T2MN+IF(c_T1MX=c_T1MN,0,(C227-c_T1MN)/(c_T1MX-c_T1MN))*(c_T2MX-c_T2MN))+o_MISMATCH,0),"")</f>
        <v/>
      </c>
      <c r="G227" s="7" t="str">
        <f aca="false">IF(c_TPOT&gt;1,IF(((c_T2MX)-(c_T2MN))=0,(0)+QUOTIENT(((1000)-(0)),2),QUOTIENT((((F227)-(c_T2MN))*((1000)-(0))+IF(((1000)-(0))&gt;=0,1,-1)*QUOTIENT(((c_T2MX)-(c_T2MN)),2)),((c_T2MX)-(c_T2MN)))+(0)+IF(((1000)-(0))&gt;=0,IF(IF(o_WRAP=1,MOD(((c_T2MX)-(c_T2MN))*(((F227)-(c_T2MN))*((1000)-(0))+IF(((1000)-(0))&gt;=0,1,-1)*QUOTIENT(((c_T2MX)-(c_T2MN)),2))+2147483648,4294967296)-2147483648,((c_T2MX)-(c_T2MN))*(((F227)-(c_T2MN))*((1000)-(0))+IF(((1000)-(0))&gt;=0,1,-1)*QUOTIENT(((c_T2MX)-(c_T2MN)),2)))&lt;0,-1,0),IF(IF(o_WRAP=1,MOD(((c_T2MX)-(c_T2MN))*(((F227)-(c_T2MN))*((1000)-(0))+IF(((1000)-(0))&gt;=0,1,-1)*QUOTIENT(((c_T2MX)-(c_T2MN)),2))+2147483648,4294967296)-2147483648,((c_T2MX)-(c_T2MN))*(((F227)-(c_T2MN))*((1000)-(0))+IF(((1000)-(0))&gt;=0,1,-1)*QUOTIENT(((c_T2MX)-(c_T2MN)),2)))&gt;=0,1,0))),"")</f>
        <v/>
      </c>
      <c r="H227" s="7" t="str">
        <f aca="false">IF(E227&gt;1000+k_TOL,"T1 HIGH",IF(E227&lt;0-k_TOL,"T1 LOW",IF(c_TPOT&gt;1,IF(G227&gt;1000+k_TOL,"T2 HIGH",IF(G227&lt;0-k_TOL,"T2 LOW",IF(c_TTYPE=2,IF(ABS(1000-MAX(0,MIN(1000,E227))-MAX(0,MIN(1000,G227)))&gt;k_MAXERR,"MISMATCH","OK"),IF(OR(MAX(0,MIN(1000,E227))-k_MAXERR&gt;MAX(0,MIN(1000,G227)),MAX(0,MIN(1000,G227))-k_MAXERR&gt;MAX(0,MIN(1000,E227))),"MISMATCH","OK")))),"OK")))</f>
        <v>OK</v>
      </c>
      <c r="I227" s="7" t="n">
        <f aca="false">MAX(0,MIN(1000,D227))</f>
        <v>564</v>
      </c>
      <c r="J227" s="7" t="str">
        <f aca="false">IF(c_TPOT&gt;1,IF(c_TTYPE=2,1000-MAX(0,MIN(1000,G227)),MAX(0,MIN(1000,G227))),"")</f>
        <v/>
      </c>
      <c r="K227" s="7" t="n">
        <f aca="false">IF(c_TPOT&gt;1,QUOTIENT(I227+J227,2),I227)</f>
        <v>564</v>
      </c>
      <c r="L227" s="7" t="n">
        <f aca="false">IF(AND(K227=0,c_TCREEP&gt;0),10*c_TCREEP,IF(AND(K227&lt;=c_TRNGMIN,K227&gt;=c_TRNGMAX,c_TRNGMIN-c_TRNGMAX&lt;&gt;0),-10*c_TMINRN+QUOTIENT((c_TMAXRN-c_TMINRN)*(100-QUOTIENT((K227-c_TRNGMAX)*100,c_TRNGMIN-c_TRNGMAX)),-10),0))</f>
        <v>0</v>
      </c>
      <c r="M227" s="7" t="n">
        <f aca="false">IF(((c_TMAP1IN)-(c_TFWD))=0,(0)+QUOTIENT(((c_TMAP1OUT)-(0)),2),QUOTIENT((((K227)-(c_TFWD))*((c_TMAP1OUT)-(0))+IF(((c_TMAP1OUT)-(0))&gt;=0,1,-1)*QUOTIENT(((c_TMAP1IN)-(c_TFWD)),2)),((c_TMAP1IN)-(c_TFWD)))+(0)+IF(((c_TMAP1OUT)-(0))&gt;=0,IF(IF(o_WRAP=1,MOD(((c_TMAP1IN)-(c_TFWD))*(((K227)-(c_TFWD))*((c_TMAP1OUT)-(0))+IF(((c_TMAP1OUT)-(0))&gt;=0,1,-1)*QUOTIENT(((c_TMAP1IN)-(c_TFWD)),2))+2147483648,4294967296)-2147483648,((c_TMAP1IN)-(c_TFWD))*(((K227)-(c_TFWD))*((c_TMAP1OUT)-(0))+IF(((c_TMAP1OUT)-(0))&gt;=0,1,-1)*QUOTIENT(((c_TMAP1IN)-(c_TFWD)),2)))&lt;0,-1,0),IF(IF(o_WRAP=1,MOD(((c_TMAP1IN)-(c_TFWD))*(((K227)-(c_TFWD))*((c_TMAP1OUT)-(0))+IF(((c_TMAP1OUT)-(0))&gt;=0,1,-1)*QUOTIENT(((c_TMAP1IN)-(c_TFWD)),2))+2147483648,4294967296)-2147483648,((c_TMAP1IN)-(c_TFWD))*(((K227)-(c_TFWD))*((c_TMAP1OUT)-(0))+IF(((c_TMAP1OUT)-(0))&gt;=0,1,-1)*QUOTIENT(((c_TMAP1IN)-(c_TFWD)),2)))&gt;=0,1,0)))</f>
        <v>431</v>
      </c>
      <c r="N227" s="7" t="n">
        <f aca="false">IF(((c_TMAP2IN)-(c_TMAP1IN))=0,(c_TMAP1OUT)+QUOTIENT(((c_TMAP2OUT)-(c_TMAP1OUT)),2),QUOTIENT((((K227)-(c_TMAP1IN))*((c_TMAP2OUT)-(c_TMAP1OUT))+IF(((c_TMAP2OUT)-(c_TMAP1OUT))&gt;=0,1,-1)*QUOTIENT(((c_TMAP2IN)-(c_TMAP1IN)),2)),((c_TMAP2IN)-(c_TMAP1IN)))+(c_TMAP1OUT)+IF(((c_TMAP2OUT)-(c_TMAP1OUT))&gt;=0,IF(IF(o_WRAP=1,MOD(((c_TMAP2IN)-(c_TMAP1IN))*(((K227)-(c_TMAP1IN))*((c_TMAP2OUT)-(c_TMAP1OUT))+IF(((c_TMAP2OUT)-(c_TMAP1OUT))&gt;=0,1,-1)*QUOTIENT(((c_TMAP2IN)-(c_TMAP1IN)),2))+2147483648,4294967296)-2147483648,((c_TMAP2IN)-(c_TMAP1IN))*(((K227)-(c_TMAP1IN))*((c_TMAP2OUT)-(c_TMAP1OUT))+IF(((c_TMAP2OUT)-(c_TMAP1OUT))&gt;=0,1,-1)*QUOTIENT(((c_TMAP2IN)-(c_TMAP1IN)),2)))&lt;0,-1,0),IF(IF(o_WRAP=1,MOD(((c_TMAP2IN)-(c_TMAP1IN))*(((K227)-(c_TMAP1IN))*((c_TMAP2OUT)-(c_TMAP1OUT))+IF(((c_TMAP2OUT)-(c_TMAP1OUT))&gt;=0,1,-1)*QUOTIENT(((c_TMAP2IN)-(c_TMAP1IN)),2))+2147483648,4294967296)-2147483648,((c_TMAP2IN)-(c_TMAP1IN))*(((K227)-(c_TMAP1IN))*((c_TMAP2OUT)-(c_TMAP1OUT))+IF(((c_TMAP2OUT)-(c_TMAP1OUT))&gt;=0,1,-1)*QUOTIENT(((c_TMAP2IN)-(c_TMAP1IN)),2)))&gt;=0,1,0)))</f>
        <v>256</v>
      </c>
      <c r="O227" s="7" t="n">
        <f aca="false">IF(((c_TMAP3IN)-(c_TMAP2IN))=0,(c_TMAP2OUT)+QUOTIENT(((c_TMAP3OUT)-(c_TMAP2OUT)),2),QUOTIENT((((K227)-(c_TMAP2IN))*((c_TMAP3OUT)-(c_TMAP2OUT))+IF(((c_TMAP3OUT)-(c_TMAP2OUT))&gt;=0,1,-1)*QUOTIENT(((c_TMAP3IN)-(c_TMAP2IN)),2)),((c_TMAP3IN)-(c_TMAP2IN)))+(c_TMAP2OUT)+IF(((c_TMAP3OUT)-(c_TMAP2OUT))&gt;=0,IF(IF(o_WRAP=1,MOD(((c_TMAP3IN)-(c_TMAP2IN))*(((K227)-(c_TMAP2IN))*((c_TMAP3OUT)-(c_TMAP2OUT))+IF(((c_TMAP3OUT)-(c_TMAP2OUT))&gt;=0,1,-1)*QUOTIENT(((c_TMAP3IN)-(c_TMAP2IN)),2))+2147483648,4294967296)-2147483648,((c_TMAP3IN)-(c_TMAP2IN))*(((K227)-(c_TMAP2IN))*((c_TMAP3OUT)-(c_TMAP2OUT))+IF(((c_TMAP3OUT)-(c_TMAP2OUT))&gt;=0,1,-1)*QUOTIENT(((c_TMAP3IN)-(c_TMAP2IN)),2)))&lt;0,-1,0),IF(IF(o_WRAP=1,MOD(((c_TMAP3IN)-(c_TMAP2IN))*(((K227)-(c_TMAP2IN))*((c_TMAP3OUT)-(c_TMAP2OUT))+IF(((c_TMAP3OUT)-(c_TMAP2OUT))&gt;=0,1,-1)*QUOTIENT(((c_TMAP3IN)-(c_TMAP2IN)),2))+2147483648,4294967296)-2147483648,((c_TMAP3IN)-(c_TMAP2IN))*(((K227)-(c_TMAP2IN))*((c_TMAP3OUT)-(c_TMAP2OUT))+IF(((c_TMAP3OUT)-(c_TMAP2OUT))&gt;=0,1,-1)*QUOTIENT(((c_TMAP3IN)-(c_TMAP2IN)),2)))&gt;=0,1,0)))</f>
        <v>350</v>
      </c>
      <c r="P227" s="7" t="n">
        <f aca="false">IF(((1000)-(c_TMAP3IN))=0,(c_TMAP3OUT)+QUOTIENT(((1000)-(c_TMAP3OUT)),2),QUOTIENT((((K227)-(c_TMAP3IN))*((1000)-(c_TMAP3OUT))+IF(((1000)-(c_TMAP3OUT))&gt;=0,1,-1)*QUOTIENT(((1000)-(c_TMAP3IN)),2)),((1000)-(c_TMAP3IN)))+(c_TMAP3OUT)+IF(((1000)-(c_TMAP3OUT))&gt;=0,IF(IF(o_WRAP=1,MOD(((1000)-(c_TMAP3IN))*(((K227)-(c_TMAP3IN))*((1000)-(c_TMAP3OUT))+IF(((1000)-(c_TMAP3OUT))&gt;=0,1,-1)*QUOTIENT(((1000)-(c_TMAP3IN)),2))+2147483648,4294967296)-2147483648,((1000)-(c_TMAP3IN))*(((K227)-(c_TMAP3IN))*((1000)-(c_TMAP3OUT))+IF(((1000)-(c_TMAP3OUT))&gt;=0,1,-1)*QUOTIENT(((1000)-(c_TMAP3IN)),2)))&lt;0,-1,0),IF(IF(o_WRAP=1,MOD(((1000)-(c_TMAP3IN))*(((K227)-(c_TMAP3IN))*((1000)-(c_TMAP3OUT))+IF(((1000)-(c_TMAP3OUT))&gt;=0,1,-1)*QUOTIENT(((1000)-(c_TMAP3IN)),2))+2147483648,4294967296)-2147483648,((1000)-(c_TMAP3IN))*(((K227)-(c_TMAP3IN))*((1000)-(c_TMAP3OUT))+IF(((1000)-(c_TMAP3OUT))&gt;=0,1,-1)*QUOTIENT(((1000)-(c_TMAP3IN)),2)))&gt;=0,1,0)))</f>
        <v>463</v>
      </c>
      <c r="Q227" s="7" t="str">
        <f aca="false">IF(K227&gt;=c_TFWD,IF(AND(K227&gt;=c_TMAP3IN,c_TMAP3IN&lt;1000),"Seg4 map3-100%",IF(AND(K227&gt;=c_TMAP2IN,c_TMAP3IN&gt;c_TMAP2IN),"Seg3 map2-map3",IF(AND(K227&gt;=c_TMAP1IN,c_TMAP2IN&gt;c_TMAP1IN),"Seg2 map1-map2","Seg1 TFWD-map1"))),IF(AND(K227=0,c_TCREEP&gt;0),"Creep",IF(AND(K227&lt;=c_TRNGMIN,K227&gt;=c_TRNGMAX,c_TRNGMIN-c_TRNGMAX&lt;&gt;0),"Regen ramp","Coast (0)")))</f>
        <v>Seg4 map3-100%</v>
      </c>
      <c r="R227" s="7" t="n">
        <f aca="false">IF(K227&gt;=c_TFWD,IF(AND(K227&gt;=c_TMAP3IN,c_TMAP3IN&lt;1000),P227,IF(AND(K227&gt;=c_TMAP2IN,c_TMAP3IN&gt;c_TMAP2IN),O227,IF(AND(K227&gt;=c_TMAP1IN,c_TMAP2IN&gt;c_TMAP1IN),N227,M227))),L227)</f>
        <v>463</v>
      </c>
      <c r="S227" s="7" t="str">
        <f aca="false">IF(R227&lt;-1090,"TOO LOW",IF(R227&gt;1090,"TOO HIGH",""))</f>
        <v/>
      </c>
      <c r="T227" s="15" t="n">
        <f aca="false">IF(H227&lt;&gt;"OK",0,IF(S227&lt;&gt;"",0,IF(R227&gt;979,1000,R227)))</f>
        <v>463</v>
      </c>
      <c r="U227" s="7" t="n">
        <f aca="false">T227/10</f>
        <v>46.3</v>
      </c>
    </row>
    <row r="228" customFormat="false" ht="15" hidden="false" customHeight="false" outlineLevel="0" collapsed="false">
      <c r="A228" s="7" t="n">
        <v>223</v>
      </c>
      <c r="B228" s="7" t="n">
        <f aca="false">ROUND(o_SWSTART+A228*(o_SWEND-o_SWSTART)/400,0)</f>
        <v>2283</v>
      </c>
      <c r="C228" s="7" t="n">
        <f aca="false">QUOTIENT((B228-c_OFF1)*c_GAIN1,1024)</f>
        <v>2283</v>
      </c>
      <c r="D228" s="7" t="n">
        <f aca="false">IF(((c_T1MX)-(c_T1MN))=0,(0)+QUOTIENT(((1000)-(0)),2),QUOTIENT((((C228)-(c_T1MN))*((1000)-(0))+IF(((1000)-(0))&gt;=0,1,-1)*QUOTIENT(((c_T1MX)-(c_T1MN)),2)),((c_T1MX)-(c_T1MN)))+(0)+IF(((1000)-(0))&gt;=0,IF(IF(o_WRAP=1,MOD(((c_T1MX)-(c_T1MN))*(((C228)-(c_T1MN))*((1000)-(0))+IF(((1000)-(0))&gt;=0,1,-1)*QUOTIENT(((c_T1MX)-(c_T1MN)),2))+2147483648,4294967296)-2147483648,((c_T1MX)-(c_T1MN))*(((C228)-(c_T1MN))*((1000)-(0))+IF(((1000)-(0))&gt;=0,1,-1)*QUOTIENT(((c_T1MX)-(c_T1MN)),2)))&lt;0,-1,0),IF(IF(o_WRAP=1,MOD(((c_T1MX)-(c_T1MN))*(((C228)-(c_T1MN))*((1000)-(0))+IF(((1000)-(0))&gt;=0,1,-1)*QUOTIENT(((c_T1MX)-(c_T1MN)),2))+2147483648,4294967296)-2147483648,((c_T1MX)-(c_T1MN))*(((C228)-(c_T1MN))*((1000)-(0))+IF(((1000)-(0))&gt;=0,1,-1)*QUOTIENT(((c_T1MX)-(c_T1MN)),2)))&gt;=0,1,0)))</f>
        <v>567</v>
      </c>
      <c r="E228" s="7" t="n">
        <f aca="false">IF(AND(c_TPOT=1,c_TTYPE=2),1000-D228,D228)</f>
        <v>567</v>
      </c>
      <c r="F228" s="7" t="str">
        <f aca="false">IF(c_TPOT&gt;1,ROUND(IF(c_TTYPE=2,c_T2MX-IF(c_T1MX=c_T1MN,0,(C228-c_T1MN)/(c_T1MX-c_T1MN))*(c_T2MX-c_T2MN),c_T2MN+IF(c_T1MX=c_T1MN,0,(C228-c_T1MN)/(c_T1MX-c_T1MN))*(c_T2MX-c_T2MN))+o_MISMATCH,0),"")</f>
        <v/>
      </c>
      <c r="G228" s="7" t="str">
        <f aca="false">IF(c_TPOT&gt;1,IF(((c_T2MX)-(c_T2MN))=0,(0)+QUOTIENT(((1000)-(0)),2),QUOTIENT((((F228)-(c_T2MN))*((1000)-(0))+IF(((1000)-(0))&gt;=0,1,-1)*QUOTIENT(((c_T2MX)-(c_T2MN)),2)),((c_T2MX)-(c_T2MN)))+(0)+IF(((1000)-(0))&gt;=0,IF(IF(o_WRAP=1,MOD(((c_T2MX)-(c_T2MN))*(((F228)-(c_T2MN))*((1000)-(0))+IF(((1000)-(0))&gt;=0,1,-1)*QUOTIENT(((c_T2MX)-(c_T2MN)),2))+2147483648,4294967296)-2147483648,((c_T2MX)-(c_T2MN))*(((F228)-(c_T2MN))*((1000)-(0))+IF(((1000)-(0))&gt;=0,1,-1)*QUOTIENT(((c_T2MX)-(c_T2MN)),2)))&lt;0,-1,0),IF(IF(o_WRAP=1,MOD(((c_T2MX)-(c_T2MN))*(((F228)-(c_T2MN))*((1000)-(0))+IF(((1000)-(0))&gt;=0,1,-1)*QUOTIENT(((c_T2MX)-(c_T2MN)),2))+2147483648,4294967296)-2147483648,((c_T2MX)-(c_T2MN))*(((F228)-(c_T2MN))*((1000)-(0))+IF(((1000)-(0))&gt;=0,1,-1)*QUOTIENT(((c_T2MX)-(c_T2MN)),2)))&gt;=0,1,0))),"")</f>
        <v/>
      </c>
      <c r="H228" s="7" t="str">
        <f aca="false">IF(E228&gt;1000+k_TOL,"T1 HIGH",IF(E228&lt;0-k_TOL,"T1 LOW",IF(c_TPOT&gt;1,IF(G228&gt;1000+k_TOL,"T2 HIGH",IF(G228&lt;0-k_TOL,"T2 LOW",IF(c_TTYPE=2,IF(ABS(1000-MAX(0,MIN(1000,E228))-MAX(0,MIN(1000,G228)))&gt;k_MAXERR,"MISMATCH","OK"),IF(OR(MAX(0,MIN(1000,E228))-k_MAXERR&gt;MAX(0,MIN(1000,G228)),MAX(0,MIN(1000,G228))-k_MAXERR&gt;MAX(0,MIN(1000,E228))),"MISMATCH","OK")))),"OK")))</f>
        <v>OK</v>
      </c>
      <c r="I228" s="7" t="n">
        <f aca="false">MAX(0,MIN(1000,D228))</f>
        <v>567</v>
      </c>
      <c r="J228" s="7" t="str">
        <f aca="false">IF(c_TPOT&gt;1,IF(c_TTYPE=2,1000-MAX(0,MIN(1000,G228)),MAX(0,MIN(1000,G228))),"")</f>
        <v/>
      </c>
      <c r="K228" s="7" t="n">
        <f aca="false">IF(c_TPOT&gt;1,QUOTIENT(I228+J228,2),I228)</f>
        <v>567</v>
      </c>
      <c r="L228" s="7" t="n">
        <f aca="false">IF(AND(K228=0,c_TCREEP&gt;0),10*c_TCREEP,IF(AND(K228&lt;=c_TRNGMIN,K228&gt;=c_TRNGMAX,c_TRNGMIN-c_TRNGMAX&lt;&gt;0),-10*c_TMINRN+QUOTIENT((c_TMAXRN-c_TMINRN)*(100-QUOTIENT((K228-c_TRNGMAX)*100,c_TRNGMIN-c_TRNGMAX)),-10),0))</f>
        <v>0</v>
      </c>
      <c r="M228" s="7" t="n">
        <f aca="false">IF(((c_TMAP1IN)-(c_TFWD))=0,(0)+QUOTIENT(((c_TMAP1OUT)-(0)),2),QUOTIENT((((K228)-(c_TFWD))*((c_TMAP1OUT)-(0))+IF(((c_TMAP1OUT)-(0))&gt;=0,1,-1)*QUOTIENT(((c_TMAP1IN)-(c_TFWD)),2)),((c_TMAP1IN)-(c_TFWD)))+(0)+IF(((c_TMAP1OUT)-(0))&gt;=0,IF(IF(o_WRAP=1,MOD(((c_TMAP1IN)-(c_TFWD))*(((K228)-(c_TFWD))*((c_TMAP1OUT)-(0))+IF(((c_TMAP1OUT)-(0))&gt;=0,1,-1)*QUOTIENT(((c_TMAP1IN)-(c_TFWD)),2))+2147483648,4294967296)-2147483648,((c_TMAP1IN)-(c_TFWD))*(((K228)-(c_TFWD))*((c_TMAP1OUT)-(0))+IF(((c_TMAP1OUT)-(0))&gt;=0,1,-1)*QUOTIENT(((c_TMAP1IN)-(c_TFWD)),2)))&lt;0,-1,0),IF(IF(o_WRAP=1,MOD(((c_TMAP1IN)-(c_TFWD))*(((K228)-(c_TFWD))*((c_TMAP1OUT)-(0))+IF(((c_TMAP1OUT)-(0))&gt;=0,1,-1)*QUOTIENT(((c_TMAP1IN)-(c_TFWD)),2))+2147483648,4294967296)-2147483648,((c_TMAP1IN)-(c_TFWD))*(((K228)-(c_TFWD))*((c_TMAP1OUT)-(0))+IF(((c_TMAP1OUT)-(0))&gt;=0,1,-1)*QUOTIENT(((c_TMAP1IN)-(c_TFWD)),2)))&gt;=0,1,0)))</f>
        <v>433</v>
      </c>
      <c r="N228" s="7" t="n">
        <f aca="false">IF(((c_TMAP2IN)-(c_TMAP1IN))=0,(c_TMAP1OUT)+QUOTIENT(((c_TMAP2OUT)-(c_TMAP1OUT)),2),QUOTIENT((((K228)-(c_TMAP1IN))*((c_TMAP2OUT)-(c_TMAP1OUT))+IF(((c_TMAP2OUT)-(c_TMAP1OUT))&gt;=0,1,-1)*QUOTIENT(((c_TMAP2IN)-(c_TMAP1IN)),2)),((c_TMAP2IN)-(c_TMAP1IN)))+(c_TMAP1OUT)+IF(((c_TMAP2OUT)-(c_TMAP1OUT))&gt;=0,IF(IF(o_WRAP=1,MOD(((c_TMAP2IN)-(c_TMAP1IN))*(((K228)-(c_TMAP1IN))*((c_TMAP2OUT)-(c_TMAP1OUT))+IF(((c_TMAP2OUT)-(c_TMAP1OUT))&gt;=0,1,-1)*QUOTIENT(((c_TMAP2IN)-(c_TMAP1IN)),2))+2147483648,4294967296)-2147483648,((c_TMAP2IN)-(c_TMAP1IN))*(((K228)-(c_TMAP1IN))*((c_TMAP2OUT)-(c_TMAP1OUT))+IF(((c_TMAP2OUT)-(c_TMAP1OUT))&gt;=0,1,-1)*QUOTIENT(((c_TMAP2IN)-(c_TMAP1IN)),2)))&lt;0,-1,0),IF(IF(o_WRAP=1,MOD(((c_TMAP2IN)-(c_TMAP1IN))*(((K228)-(c_TMAP1IN))*((c_TMAP2OUT)-(c_TMAP1OUT))+IF(((c_TMAP2OUT)-(c_TMAP1OUT))&gt;=0,1,-1)*QUOTIENT(((c_TMAP2IN)-(c_TMAP1IN)),2))+2147483648,4294967296)-2147483648,((c_TMAP2IN)-(c_TMAP1IN))*(((K228)-(c_TMAP1IN))*((c_TMAP2OUT)-(c_TMAP1OUT))+IF(((c_TMAP2OUT)-(c_TMAP1OUT))&gt;=0,1,-1)*QUOTIENT(((c_TMAP2IN)-(c_TMAP1IN)),2)))&gt;=0,1,0)))</f>
        <v>257</v>
      </c>
      <c r="O228" s="7" t="n">
        <f aca="false">IF(((c_TMAP3IN)-(c_TMAP2IN))=0,(c_TMAP2OUT)+QUOTIENT(((c_TMAP3OUT)-(c_TMAP2OUT)),2),QUOTIENT((((K228)-(c_TMAP2IN))*((c_TMAP3OUT)-(c_TMAP2OUT))+IF(((c_TMAP3OUT)-(c_TMAP2OUT))&gt;=0,1,-1)*QUOTIENT(((c_TMAP3IN)-(c_TMAP2IN)),2)),((c_TMAP3IN)-(c_TMAP2IN)))+(c_TMAP2OUT)+IF(((c_TMAP3OUT)-(c_TMAP2OUT))&gt;=0,IF(IF(o_WRAP=1,MOD(((c_TMAP3IN)-(c_TMAP2IN))*(((K228)-(c_TMAP2IN))*((c_TMAP3OUT)-(c_TMAP2OUT))+IF(((c_TMAP3OUT)-(c_TMAP2OUT))&gt;=0,1,-1)*QUOTIENT(((c_TMAP3IN)-(c_TMAP2IN)),2))+2147483648,4294967296)-2147483648,((c_TMAP3IN)-(c_TMAP2IN))*(((K228)-(c_TMAP2IN))*((c_TMAP3OUT)-(c_TMAP2OUT))+IF(((c_TMAP3OUT)-(c_TMAP2OUT))&gt;=0,1,-1)*QUOTIENT(((c_TMAP3IN)-(c_TMAP2IN)),2)))&lt;0,-1,0),IF(IF(o_WRAP=1,MOD(((c_TMAP3IN)-(c_TMAP2IN))*(((K228)-(c_TMAP2IN))*((c_TMAP3OUT)-(c_TMAP2OUT))+IF(((c_TMAP3OUT)-(c_TMAP2OUT))&gt;=0,1,-1)*QUOTIENT(((c_TMAP3IN)-(c_TMAP2IN)),2))+2147483648,4294967296)-2147483648,((c_TMAP3IN)-(c_TMAP2IN))*(((K228)-(c_TMAP2IN))*((c_TMAP3OUT)-(c_TMAP2OUT))+IF(((c_TMAP3OUT)-(c_TMAP2OUT))&gt;=0,1,-1)*QUOTIENT(((c_TMAP3IN)-(c_TMAP2IN)),2)))&gt;=0,1,0)))</f>
        <v>352</v>
      </c>
      <c r="P228" s="7" t="n">
        <f aca="false">IF(((1000)-(c_TMAP3IN))=0,(c_TMAP3OUT)+QUOTIENT(((1000)-(c_TMAP3OUT)),2),QUOTIENT((((K228)-(c_TMAP3IN))*((1000)-(c_TMAP3OUT))+IF(((1000)-(c_TMAP3OUT))&gt;=0,1,-1)*QUOTIENT(((1000)-(c_TMAP3IN)),2)),((1000)-(c_TMAP3IN)))+(c_TMAP3OUT)+IF(((1000)-(c_TMAP3OUT))&gt;=0,IF(IF(o_WRAP=1,MOD(((1000)-(c_TMAP3IN))*(((K228)-(c_TMAP3IN))*((1000)-(c_TMAP3OUT))+IF(((1000)-(c_TMAP3OUT))&gt;=0,1,-1)*QUOTIENT(((1000)-(c_TMAP3IN)),2))+2147483648,4294967296)-2147483648,((1000)-(c_TMAP3IN))*(((K228)-(c_TMAP3IN))*((1000)-(c_TMAP3OUT))+IF(((1000)-(c_TMAP3OUT))&gt;=0,1,-1)*QUOTIENT(((1000)-(c_TMAP3IN)),2)))&lt;0,-1,0),IF(IF(o_WRAP=1,MOD(((1000)-(c_TMAP3IN))*(((K228)-(c_TMAP3IN))*((1000)-(c_TMAP3OUT))+IF(((1000)-(c_TMAP3OUT))&gt;=0,1,-1)*QUOTIENT(((1000)-(c_TMAP3IN)),2))+2147483648,4294967296)-2147483648,((1000)-(c_TMAP3IN))*(((K228)-(c_TMAP3IN))*((1000)-(c_TMAP3OUT))+IF(((1000)-(c_TMAP3OUT))&gt;=0,1,-1)*QUOTIENT(((1000)-(c_TMAP3IN)),2)))&gt;=0,1,0)))</f>
        <v>467</v>
      </c>
      <c r="Q228" s="7" t="str">
        <f aca="false">IF(K228&gt;=c_TFWD,IF(AND(K228&gt;=c_TMAP3IN,c_TMAP3IN&lt;1000),"Seg4 map3-100%",IF(AND(K228&gt;=c_TMAP2IN,c_TMAP3IN&gt;c_TMAP2IN),"Seg3 map2-map3",IF(AND(K228&gt;=c_TMAP1IN,c_TMAP2IN&gt;c_TMAP1IN),"Seg2 map1-map2","Seg1 TFWD-map1"))),IF(AND(K228=0,c_TCREEP&gt;0),"Creep",IF(AND(K228&lt;=c_TRNGMIN,K228&gt;=c_TRNGMAX,c_TRNGMIN-c_TRNGMAX&lt;&gt;0),"Regen ramp","Coast (0)")))</f>
        <v>Seg4 map3-100%</v>
      </c>
      <c r="R228" s="7" t="n">
        <f aca="false">IF(K228&gt;=c_TFWD,IF(AND(K228&gt;=c_TMAP3IN,c_TMAP3IN&lt;1000),P228,IF(AND(K228&gt;=c_TMAP2IN,c_TMAP3IN&gt;c_TMAP2IN),O228,IF(AND(K228&gt;=c_TMAP1IN,c_TMAP2IN&gt;c_TMAP1IN),N228,M228))),L228)</f>
        <v>467</v>
      </c>
      <c r="S228" s="7" t="str">
        <f aca="false">IF(R228&lt;-1090,"TOO LOW",IF(R228&gt;1090,"TOO HIGH",""))</f>
        <v/>
      </c>
      <c r="T228" s="15" t="n">
        <f aca="false">IF(H228&lt;&gt;"OK",0,IF(S228&lt;&gt;"",0,IF(R228&gt;979,1000,R228)))</f>
        <v>467</v>
      </c>
      <c r="U228" s="7" t="n">
        <f aca="false">T228/10</f>
        <v>46.7</v>
      </c>
    </row>
    <row r="229" customFormat="false" ht="15" hidden="false" customHeight="false" outlineLevel="0" collapsed="false">
      <c r="A229" s="7" t="n">
        <v>224</v>
      </c>
      <c r="B229" s="7" t="n">
        <f aca="false">ROUND(o_SWSTART+A229*(o_SWEND-o_SWSTART)/400,0)</f>
        <v>2293</v>
      </c>
      <c r="C229" s="7" t="n">
        <f aca="false">QUOTIENT((B229-c_OFF1)*c_GAIN1,1024)</f>
        <v>2293</v>
      </c>
      <c r="D229" s="7" t="n">
        <f aca="false">IF(((c_T1MX)-(c_T1MN))=0,(0)+QUOTIENT(((1000)-(0)),2),QUOTIENT((((C229)-(c_T1MN))*((1000)-(0))+IF(((1000)-(0))&gt;=0,1,-1)*QUOTIENT(((c_T1MX)-(c_T1MN)),2)),((c_T1MX)-(c_T1MN)))+(0)+IF(((1000)-(0))&gt;=0,IF(IF(o_WRAP=1,MOD(((c_T1MX)-(c_T1MN))*(((C229)-(c_T1MN))*((1000)-(0))+IF(((1000)-(0))&gt;=0,1,-1)*QUOTIENT(((c_T1MX)-(c_T1MN)),2))+2147483648,4294967296)-2147483648,((c_T1MX)-(c_T1MN))*(((C229)-(c_T1MN))*((1000)-(0))+IF(((1000)-(0))&gt;=0,1,-1)*QUOTIENT(((c_T1MX)-(c_T1MN)),2)))&lt;0,-1,0),IF(IF(o_WRAP=1,MOD(((c_T1MX)-(c_T1MN))*(((C229)-(c_T1MN))*((1000)-(0))+IF(((1000)-(0))&gt;=0,1,-1)*QUOTIENT(((c_T1MX)-(c_T1MN)),2))+2147483648,4294967296)-2147483648,((c_T1MX)-(c_T1MN))*(((C229)-(c_T1MN))*((1000)-(0))+IF(((1000)-(0))&gt;=0,1,-1)*QUOTIENT(((c_T1MX)-(c_T1MN)),2)))&gt;=0,1,0)))</f>
        <v>571</v>
      </c>
      <c r="E229" s="7" t="n">
        <f aca="false">IF(AND(c_TPOT=1,c_TTYPE=2),1000-D229,D229)</f>
        <v>571</v>
      </c>
      <c r="F229" s="7" t="str">
        <f aca="false">IF(c_TPOT&gt;1,ROUND(IF(c_TTYPE=2,c_T2MX-IF(c_T1MX=c_T1MN,0,(C229-c_T1MN)/(c_T1MX-c_T1MN))*(c_T2MX-c_T2MN),c_T2MN+IF(c_T1MX=c_T1MN,0,(C229-c_T1MN)/(c_T1MX-c_T1MN))*(c_T2MX-c_T2MN))+o_MISMATCH,0),"")</f>
        <v/>
      </c>
      <c r="G229" s="7" t="str">
        <f aca="false">IF(c_TPOT&gt;1,IF(((c_T2MX)-(c_T2MN))=0,(0)+QUOTIENT(((1000)-(0)),2),QUOTIENT((((F229)-(c_T2MN))*((1000)-(0))+IF(((1000)-(0))&gt;=0,1,-1)*QUOTIENT(((c_T2MX)-(c_T2MN)),2)),((c_T2MX)-(c_T2MN)))+(0)+IF(((1000)-(0))&gt;=0,IF(IF(o_WRAP=1,MOD(((c_T2MX)-(c_T2MN))*(((F229)-(c_T2MN))*((1000)-(0))+IF(((1000)-(0))&gt;=0,1,-1)*QUOTIENT(((c_T2MX)-(c_T2MN)),2))+2147483648,4294967296)-2147483648,((c_T2MX)-(c_T2MN))*(((F229)-(c_T2MN))*((1000)-(0))+IF(((1000)-(0))&gt;=0,1,-1)*QUOTIENT(((c_T2MX)-(c_T2MN)),2)))&lt;0,-1,0),IF(IF(o_WRAP=1,MOD(((c_T2MX)-(c_T2MN))*(((F229)-(c_T2MN))*((1000)-(0))+IF(((1000)-(0))&gt;=0,1,-1)*QUOTIENT(((c_T2MX)-(c_T2MN)),2))+2147483648,4294967296)-2147483648,((c_T2MX)-(c_T2MN))*(((F229)-(c_T2MN))*((1000)-(0))+IF(((1000)-(0))&gt;=0,1,-1)*QUOTIENT(((c_T2MX)-(c_T2MN)),2)))&gt;=0,1,0))),"")</f>
        <v/>
      </c>
      <c r="H229" s="7" t="str">
        <f aca="false">IF(E229&gt;1000+k_TOL,"T1 HIGH",IF(E229&lt;0-k_TOL,"T1 LOW",IF(c_TPOT&gt;1,IF(G229&gt;1000+k_TOL,"T2 HIGH",IF(G229&lt;0-k_TOL,"T2 LOW",IF(c_TTYPE=2,IF(ABS(1000-MAX(0,MIN(1000,E229))-MAX(0,MIN(1000,G229)))&gt;k_MAXERR,"MISMATCH","OK"),IF(OR(MAX(0,MIN(1000,E229))-k_MAXERR&gt;MAX(0,MIN(1000,G229)),MAX(0,MIN(1000,G229))-k_MAXERR&gt;MAX(0,MIN(1000,E229))),"MISMATCH","OK")))),"OK")))</f>
        <v>OK</v>
      </c>
      <c r="I229" s="7" t="n">
        <f aca="false">MAX(0,MIN(1000,D229))</f>
        <v>571</v>
      </c>
      <c r="J229" s="7" t="str">
        <f aca="false">IF(c_TPOT&gt;1,IF(c_TTYPE=2,1000-MAX(0,MIN(1000,G229)),MAX(0,MIN(1000,G229))),"")</f>
        <v/>
      </c>
      <c r="K229" s="7" t="n">
        <f aca="false">IF(c_TPOT&gt;1,QUOTIENT(I229+J229,2),I229)</f>
        <v>571</v>
      </c>
      <c r="L229" s="7" t="n">
        <f aca="false">IF(AND(K229=0,c_TCREEP&gt;0),10*c_TCREEP,IF(AND(K229&lt;=c_TRNGMIN,K229&gt;=c_TRNGMAX,c_TRNGMIN-c_TRNGMAX&lt;&gt;0),-10*c_TMINRN+QUOTIENT((c_TMAXRN-c_TMINRN)*(100-QUOTIENT((K229-c_TRNGMAX)*100,c_TRNGMIN-c_TRNGMAX)),-10),0))</f>
        <v>0</v>
      </c>
      <c r="M229" s="7" t="n">
        <f aca="false">IF(((c_TMAP1IN)-(c_TFWD))=0,(0)+QUOTIENT(((c_TMAP1OUT)-(0)),2),QUOTIENT((((K229)-(c_TFWD))*((c_TMAP1OUT)-(0))+IF(((c_TMAP1OUT)-(0))&gt;=0,1,-1)*QUOTIENT(((c_TMAP1IN)-(c_TFWD)),2)),((c_TMAP1IN)-(c_TFWD)))+(0)+IF(((c_TMAP1OUT)-(0))&gt;=0,IF(IF(o_WRAP=1,MOD(((c_TMAP1IN)-(c_TFWD))*(((K229)-(c_TFWD))*((c_TMAP1OUT)-(0))+IF(((c_TMAP1OUT)-(0))&gt;=0,1,-1)*QUOTIENT(((c_TMAP1IN)-(c_TFWD)),2))+2147483648,4294967296)-2147483648,((c_TMAP1IN)-(c_TFWD))*(((K229)-(c_TFWD))*((c_TMAP1OUT)-(0))+IF(((c_TMAP1OUT)-(0))&gt;=0,1,-1)*QUOTIENT(((c_TMAP1IN)-(c_TFWD)),2)))&lt;0,-1,0),IF(IF(o_WRAP=1,MOD(((c_TMAP1IN)-(c_TFWD))*(((K229)-(c_TFWD))*((c_TMAP1OUT)-(0))+IF(((c_TMAP1OUT)-(0))&gt;=0,1,-1)*QUOTIENT(((c_TMAP1IN)-(c_TFWD)),2))+2147483648,4294967296)-2147483648,((c_TMAP1IN)-(c_TFWD))*(((K229)-(c_TFWD))*((c_TMAP1OUT)-(0))+IF(((c_TMAP1OUT)-(0))&gt;=0,1,-1)*QUOTIENT(((c_TMAP1IN)-(c_TFWD)),2)))&gt;=0,1,0)))</f>
        <v>436</v>
      </c>
      <c r="N229" s="7" t="n">
        <f aca="false">IF(((c_TMAP2IN)-(c_TMAP1IN))=0,(c_TMAP1OUT)+QUOTIENT(((c_TMAP2OUT)-(c_TMAP1OUT)),2),QUOTIENT((((K229)-(c_TMAP1IN))*((c_TMAP2OUT)-(c_TMAP1OUT))+IF(((c_TMAP2OUT)-(c_TMAP1OUT))&gt;=0,1,-1)*QUOTIENT(((c_TMAP2IN)-(c_TMAP1IN)),2)),((c_TMAP2IN)-(c_TMAP1IN)))+(c_TMAP1OUT)+IF(((c_TMAP2OUT)-(c_TMAP1OUT))&gt;=0,IF(IF(o_WRAP=1,MOD(((c_TMAP2IN)-(c_TMAP1IN))*(((K229)-(c_TMAP1IN))*((c_TMAP2OUT)-(c_TMAP1OUT))+IF(((c_TMAP2OUT)-(c_TMAP1OUT))&gt;=0,1,-1)*QUOTIENT(((c_TMAP2IN)-(c_TMAP1IN)),2))+2147483648,4294967296)-2147483648,((c_TMAP2IN)-(c_TMAP1IN))*(((K229)-(c_TMAP1IN))*((c_TMAP2OUT)-(c_TMAP1OUT))+IF(((c_TMAP2OUT)-(c_TMAP1OUT))&gt;=0,1,-1)*QUOTIENT(((c_TMAP2IN)-(c_TMAP1IN)),2)))&lt;0,-1,0),IF(IF(o_WRAP=1,MOD(((c_TMAP2IN)-(c_TMAP1IN))*(((K229)-(c_TMAP1IN))*((c_TMAP2OUT)-(c_TMAP1OUT))+IF(((c_TMAP2OUT)-(c_TMAP1OUT))&gt;=0,1,-1)*QUOTIENT(((c_TMAP2IN)-(c_TMAP1IN)),2))+2147483648,4294967296)-2147483648,((c_TMAP2IN)-(c_TMAP1IN))*(((K229)-(c_TMAP1IN))*((c_TMAP2OUT)-(c_TMAP1OUT))+IF(((c_TMAP2OUT)-(c_TMAP1OUT))&gt;=0,1,-1)*QUOTIENT(((c_TMAP2IN)-(c_TMAP1IN)),2)))&gt;=0,1,0)))</f>
        <v>258</v>
      </c>
      <c r="O229" s="7" t="n">
        <f aca="false">IF(((c_TMAP3IN)-(c_TMAP2IN))=0,(c_TMAP2OUT)+QUOTIENT(((c_TMAP3OUT)-(c_TMAP2OUT)),2),QUOTIENT((((K229)-(c_TMAP2IN))*((c_TMAP3OUT)-(c_TMAP2OUT))+IF(((c_TMAP3OUT)-(c_TMAP2OUT))&gt;=0,1,-1)*QUOTIENT(((c_TMAP3IN)-(c_TMAP2IN)),2)),((c_TMAP3IN)-(c_TMAP2IN)))+(c_TMAP2OUT)+IF(((c_TMAP3OUT)-(c_TMAP2OUT))&gt;=0,IF(IF(o_WRAP=1,MOD(((c_TMAP3IN)-(c_TMAP2IN))*(((K229)-(c_TMAP2IN))*((c_TMAP3OUT)-(c_TMAP2OUT))+IF(((c_TMAP3OUT)-(c_TMAP2OUT))&gt;=0,1,-1)*QUOTIENT(((c_TMAP3IN)-(c_TMAP2IN)),2))+2147483648,4294967296)-2147483648,((c_TMAP3IN)-(c_TMAP2IN))*(((K229)-(c_TMAP2IN))*((c_TMAP3OUT)-(c_TMAP2OUT))+IF(((c_TMAP3OUT)-(c_TMAP2OUT))&gt;=0,1,-1)*QUOTIENT(((c_TMAP3IN)-(c_TMAP2IN)),2)))&lt;0,-1,0),IF(IF(o_WRAP=1,MOD(((c_TMAP3IN)-(c_TMAP2IN))*(((K229)-(c_TMAP2IN))*((c_TMAP3OUT)-(c_TMAP2OUT))+IF(((c_TMAP3OUT)-(c_TMAP2OUT))&gt;=0,1,-1)*QUOTIENT(((c_TMAP3IN)-(c_TMAP2IN)),2))+2147483648,4294967296)-2147483648,((c_TMAP3IN)-(c_TMAP2IN))*(((K229)-(c_TMAP2IN))*((c_TMAP3OUT)-(c_TMAP2OUT))+IF(((c_TMAP3OUT)-(c_TMAP2OUT))&gt;=0,1,-1)*QUOTIENT(((c_TMAP3IN)-(c_TMAP2IN)),2)))&gt;=0,1,0)))</f>
        <v>355</v>
      </c>
      <c r="P229" s="7" t="n">
        <f aca="false">IF(((1000)-(c_TMAP3IN))=0,(c_TMAP3OUT)+QUOTIENT(((1000)-(c_TMAP3OUT)),2),QUOTIENT((((K229)-(c_TMAP3IN))*((1000)-(c_TMAP3OUT))+IF(((1000)-(c_TMAP3OUT))&gt;=0,1,-1)*QUOTIENT(((1000)-(c_TMAP3IN)),2)),((1000)-(c_TMAP3IN)))+(c_TMAP3OUT)+IF(((1000)-(c_TMAP3OUT))&gt;=0,IF(IF(o_WRAP=1,MOD(((1000)-(c_TMAP3IN))*(((K229)-(c_TMAP3IN))*((1000)-(c_TMAP3OUT))+IF(((1000)-(c_TMAP3OUT))&gt;=0,1,-1)*QUOTIENT(((1000)-(c_TMAP3IN)),2))+2147483648,4294967296)-2147483648,((1000)-(c_TMAP3IN))*(((K229)-(c_TMAP3IN))*((1000)-(c_TMAP3OUT))+IF(((1000)-(c_TMAP3OUT))&gt;=0,1,-1)*QUOTIENT(((1000)-(c_TMAP3IN)),2)))&lt;0,-1,0),IF(IF(o_WRAP=1,MOD(((1000)-(c_TMAP3IN))*(((K229)-(c_TMAP3IN))*((1000)-(c_TMAP3OUT))+IF(((1000)-(c_TMAP3OUT))&gt;=0,1,-1)*QUOTIENT(((1000)-(c_TMAP3IN)),2))+2147483648,4294967296)-2147483648,((1000)-(c_TMAP3IN))*(((K229)-(c_TMAP3IN))*((1000)-(c_TMAP3OUT))+IF(((1000)-(c_TMAP3OUT))&gt;=0,1,-1)*QUOTIENT(((1000)-(c_TMAP3IN)),2)))&gt;=0,1,0)))</f>
        <v>472</v>
      </c>
      <c r="Q229" s="7" t="str">
        <f aca="false">IF(K229&gt;=c_TFWD,IF(AND(K229&gt;=c_TMAP3IN,c_TMAP3IN&lt;1000),"Seg4 map3-100%",IF(AND(K229&gt;=c_TMAP2IN,c_TMAP3IN&gt;c_TMAP2IN),"Seg3 map2-map3",IF(AND(K229&gt;=c_TMAP1IN,c_TMAP2IN&gt;c_TMAP1IN),"Seg2 map1-map2","Seg1 TFWD-map1"))),IF(AND(K229=0,c_TCREEP&gt;0),"Creep",IF(AND(K229&lt;=c_TRNGMIN,K229&gt;=c_TRNGMAX,c_TRNGMIN-c_TRNGMAX&lt;&gt;0),"Regen ramp","Coast (0)")))</f>
        <v>Seg4 map3-100%</v>
      </c>
      <c r="R229" s="7" t="n">
        <f aca="false">IF(K229&gt;=c_TFWD,IF(AND(K229&gt;=c_TMAP3IN,c_TMAP3IN&lt;1000),P229,IF(AND(K229&gt;=c_TMAP2IN,c_TMAP3IN&gt;c_TMAP2IN),O229,IF(AND(K229&gt;=c_TMAP1IN,c_TMAP2IN&gt;c_TMAP1IN),N229,M229))),L229)</f>
        <v>472</v>
      </c>
      <c r="S229" s="7" t="str">
        <f aca="false">IF(R229&lt;-1090,"TOO LOW",IF(R229&gt;1090,"TOO HIGH",""))</f>
        <v/>
      </c>
      <c r="T229" s="15" t="n">
        <f aca="false">IF(H229&lt;&gt;"OK",0,IF(S229&lt;&gt;"",0,IF(R229&gt;979,1000,R229)))</f>
        <v>472</v>
      </c>
      <c r="U229" s="7" t="n">
        <f aca="false">T229/10</f>
        <v>47.2</v>
      </c>
    </row>
    <row r="230" customFormat="false" ht="15" hidden="false" customHeight="false" outlineLevel="0" collapsed="false">
      <c r="A230" s="7" t="n">
        <v>225</v>
      </c>
      <c r="B230" s="7" t="n">
        <f aca="false">ROUND(o_SWSTART+A230*(o_SWEND-o_SWSTART)/400,0)</f>
        <v>2303</v>
      </c>
      <c r="C230" s="7" t="n">
        <f aca="false">QUOTIENT((B230-c_OFF1)*c_GAIN1,1024)</f>
        <v>2303</v>
      </c>
      <c r="D230" s="7" t="n">
        <f aca="false">IF(((c_T1MX)-(c_T1MN))=0,(0)+QUOTIENT(((1000)-(0)),2),QUOTIENT((((C230)-(c_T1MN))*((1000)-(0))+IF(((1000)-(0))&gt;=0,1,-1)*QUOTIENT(((c_T1MX)-(c_T1MN)),2)),((c_T1MX)-(c_T1MN)))+(0)+IF(((1000)-(0))&gt;=0,IF(IF(o_WRAP=1,MOD(((c_T1MX)-(c_T1MN))*(((C230)-(c_T1MN))*((1000)-(0))+IF(((1000)-(0))&gt;=0,1,-1)*QUOTIENT(((c_T1MX)-(c_T1MN)),2))+2147483648,4294967296)-2147483648,((c_T1MX)-(c_T1MN))*(((C230)-(c_T1MN))*((1000)-(0))+IF(((1000)-(0))&gt;=0,1,-1)*QUOTIENT(((c_T1MX)-(c_T1MN)),2)))&lt;0,-1,0),IF(IF(o_WRAP=1,MOD(((c_T1MX)-(c_T1MN))*(((C230)-(c_T1MN))*((1000)-(0))+IF(((1000)-(0))&gt;=0,1,-1)*QUOTIENT(((c_T1MX)-(c_T1MN)),2))+2147483648,4294967296)-2147483648,((c_T1MX)-(c_T1MN))*(((C230)-(c_T1MN))*((1000)-(0))+IF(((1000)-(0))&gt;=0,1,-1)*QUOTIENT(((c_T1MX)-(c_T1MN)),2)))&gt;=0,1,0)))</f>
        <v>575</v>
      </c>
      <c r="E230" s="7" t="n">
        <f aca="false">IF(AND(c_TPOT=1,c_TTYPE=2),1000-D230,D230)</f>
        <v>575</v>
      </c>
      <c r="F230" s="7" t="str">
        <f aca="false">IF(c_TPOT&gt;1,ROUND(IF(c_TTYPE=2,c_T2MX-IF(c_T1MX=c_T1MN,0,(C230-c_T1MN)/(c_T1MX-c_T1MN))*(c_T2MX-c_T2MN),c_T2MN+IF(c_T1MX=c_T1MN,0,(C230-c_T1MN)/(c_T1MX-c_T1MN))*(c_T2MX-c_T2MN))+o_MISMATCH,0),"")</f>
        <v/>
      </c>
      <c r="G230" s="7" t="str">
        <f aca="false">IF(c_TPOT&gt;1,IF(((c_T2MX)-(c_T2MN))=0,(0)+QUOTIENT(((1000)-(0)),2),QUOTIENT((((F230)-(c_T2MN))*((1000)-(0))+IF(((1000)-(0))&gt;=0,1,-1)*QUOTIENT(((c_T2MX)-(c_T2MN)),2)),((c_T2MX)-(c_T2MN)))+(0)+IF(((1000)-(0))&gt;=0,IF(IF(o_WRAP=1,MOD(((c_T2MX)-(c_T2MN))*(((F230)-(c_T2MN))*((1000)-(0))+IF(((1000)-(0))&gt;=0,1,-1)*QUOTIENT(((c_T2MX)-(c_T2MN)),2))+2147483648,4294967296)-2147483648,((c_T2MX)-(c_T2MN))*(((F230)-(c_T2MN))*((1000)-(0))+IF(((1000)-(0))&gt;=0,1,-1)*QUOTIENT(((c_T2MX)-(c_T2MN)),2)))&lt;0,-1,0),IF(IF(o_WRAP=1,MOD(((c_T2MX)-(c_T2MN))*(((F230)-(c_T2MN))*((1000)-(0))+IF(((1000)-(0))&gt;=0,1,-1)*QUOTIENT(((c_T2MX)-(c_T2MN)),2))+2147483648,4294967296)-2147483648,((c_T2MX)-(c_T2MN))*(((F230)-(c_T2MN))*((1000)-(0))+IF(((1000)-(0))&gt;=0,1,-1)*QUOTIENT(((c_T2MX)-(c_T2MN)),2)))&gt;=0,1,0))),"")</f>
        <v/>
      </c>
      <c r="H230" s="7" t="str">
        <f aca="false">IF(E230&gt;1000+k_TOL,"T1 HIGH",IF(E230&lt;0-k_TOL,"T1 LOW",IF(c_TPOT&gt;1,IF(G230&gt;1000+k_TOL,"T2 HIGH",IF(G230&lt;0-k_TOL,"T2 LOW",IF(c_TTYPE=2,IF(ABS(1000-MAX(0,MIN(1000,E230))-MAX(0,MIN(1000,G230)))&gt;k_MAXERR,"MISMATCH","OK"),IF(OR(MAX(0,MIN(1000,E230))-k_MAXERR&gt;MAX(0,MIN(1000,G230)),MAX(0,MIN(1000,G230))-k_MAXERR&gt;MAX(0,MIN(1000,E230))),"MISMATCH","OK")))),"OK")))</f>
        <v>OK</v>
      </c>
      <c r="I230" s="7" t="n">
        <f aca="false">MAX(0,MIN(1000,D230))</f>
        <v>575</v>
      </c>
      <c r="J230" s="7" t="str">
        <f aca="false">IF(c_TPOT&gt;1,IF(c_TTYPE=2,1000-MAX(0,MIN(1000,G230)),MAX(0,MIN(1000,G230))),"")</f>
        <v/>
      </c>
      <c r="K230" s="7" t="n">
        <f aca="false">IF(c_TPOT&gt;1,QUOTIENT(I230+J230,2),I230)</f>
        <v>575</v>
      </c>
      <c r="L230" s="7" t="n">
        <f aca="false">IF(AND(K230=0,c_TCREEP&gt;0),10*c_TCREEP,IF(AND(K230&lt;=c_TRNGMIN,K230&gt;=c_TRNGMAX,c_TRNGMIN-c_TRNGMAX&lt;&gt;0),-10*c_TMINRN+QUOTIENT((c_TMAXRN-c_TMINRN)*(100-QUOTIENT((K230-c_TRNGMAX)*100,c_TRNGMIN-c_TRNGMAX)),-10),0))</f>
        <v>0</v>
      </c>
      <c r="M230" s="7" t="n">
        <f aca="false">IF(((c_TMAP1IN)-(c_TFWD))=0,(0)+QUOTIENT(((c_TMAP1OUT)-(0)),2),QUOTIENT((((K230)-(c_TFWD))*((c_TMAP1OUT)-(0))+IF(((c_TMAP1OUT)-(0))&gt;=0,1,-1)*QUOTIENT(((c_TMAP1IN)-(c_TFWD)),2)),((c_TMAP1IN)-(c_TFWD)))+(0)+IF(((c_TMAP1OUT)-(0))&gt;=0,IF(IF(o_WRAP=1,MOD(((c_TMAP1IN)-(c_TFWD))*(((K230)-(c_TFWD))*((c_TMAP1OUT)-(0))+IF(((c_TMAP1OUT)-(0))&gt;=0,1,-1)*QUOTIENT(((c_TMAP1IN)-(c_TFWD)),2))+2147483648,4294967296)-2147483648,((c_TMAP1IN)-(c_TFWD))*(((K230)-(c_TFWD))*((c_TMAP1OUT)-(0))+IF(((c_TMAP1OUT)-(0))&gt;=0,1,-1)*QUOTIENT(((c_TMAP1IN)-(c_TFWD)),2)))&lt;0,-1,0),IF(IF(o_WRAP=1,MOD(((c_TMAP1IN)-(c_TFWD))*(((K230)-(c_TFWD))*((c_TMAP1OUT)-(0))+IF(((c_TMAP1OUT)-(0))&gt;=0,1,-1)*QUOTIENT(((c_TMAP1IN)-(c_TFWD)),2))+2147483648,4294967296)-2147483648,((c_TMAP1IN)-(c_TFWD))*(((K230)-(c_TFWD))*((c_TMAP1OUT)-(0))+IF(((c_TMAP1OUT)-(0))&gt;=0,1,-1)*QUOTIENT(((c_TMAP1IN)-(c_TFWD)),2)))&gt;=0,1,0)))</f>
        <v>439</v>
      </c>
      <c r="N230" s="7" t="n">
        <f aca="false">IF(((c_TMAP2IN)-(c_TMAP1IN))=0,(c_TMAP1OUT)+QUOTIENT(((c_TMAP2OUT)-(c_TMAP1OUT)),2),QUOTIENT((((K230)-(c_TMAP1IN))*((c_TMAP2OUT)-(c_TMAP1OUT))+IF(((c_TMAP2OUT)-(c_TMAP1OUT))&gt;=0,1,-1)*QUOTIENT(((c_TMAP2IN)-(c_TMAP1IN)),2)),((c_TMAP2IN)-(c_TMAP1IN)))+(c_TMAP1OUT)+IF(((c_TMAP2OUT)-(c_TMAP1OUT))&gt;=0,IF(IF(o_WRAP=1,MOD(((c_TMAP2IN)-(c_TMAP1IN))*(((K230)-(c_TMAP1IN))*((c_TMAP2OUT)-(c_TMAP1OUT))+IF(((c_TMAP2OUT)-(c_TMAP1OUT))&gt;=0,1,-1)*QUOTIENT(((c_TMAP2IN)-(c_TMAP1IN)),2))+2147483648,4294967296)-2147483648,((c_TMAP2IN)-(c_TMAP1IN))*(((K230)-(c_TMAP1IN))*((c_TMAP2OUT)-(c_TMAP1OUT))+IF(((c_TMAP2OUT)-(c_TMAP1OUT))&gt;=0,1,-1)*QUOTIENT(((c_TMAP2IN)-(c_TMAP1IN)),2)))&lt;0,-1,0),IF(IF(o_WRAP=1,MOD(((c_TMAP2IN)-(c_TMAP1IN))*(((K230)-(c_TMAP1IN))*((c_TMAP2OUT)-(c_TMAP1OUT))+IF(((c_TMAP2OUT)-(c_TMAP1OUT))&gt;=0,1,-1)*QUOTIENT(((c_TMAP2IN)-(c_TMAP1IN)),2))+2147483648,4294967296)-2147483648,((c_TMAP2IN)-(c_TMAP1IN))*(((K230)-(c_TMAP1IN))*((c_TMAP2OUT)-(c_TMAP1OUT))+IF(((c_TMAP2OUT)-(c_TMAP1OUT))&gt;=0,1,-1)*QUOTIENT(((c_TMAP2IN)-(c_TMAP1IN)),2)))&gt;=0,1,0)))</f>
        <v>260</v>
      </c>
      <c r="O230" s="7" t="n">
        <f aca="false">IF(((c_TMAP3IN)-(c_TMAP2IN))=0,(c_TMAP2OUT)+QUOTIENT(((c_TMAP3OUT)-(c_TMAP2OUT)),2),QUOTIENT((((K230)-(c_TMAP2IN))*((c_TMAP3OUT)-(c_TMAP2OUT))+IF(((c_TMAP3OUT)-(c_TMAP2OUT))&gt;=0,1,-1)*QUOTIENT(((c_TMAP3IN)-(c_TMAP2IN)),2)),((c_TMAP3IN)-(c_TMAP2IN)))+(c_TMAP2OUT)+IF(((c_TMAP3OUT)-(c_TMAP2OUT))&gt;=0,IF(IF(o_WRAP=1,MOD(((c_TMAP3IN)-(c_TMAP2IN))*(((K230)-(c_TMAP2IN))*((c_TMAP3OUT)-(c_TMAP2OUT))+IF(((c_TMAP3OUT)-(c_TMAP2OUT))&gt;=0,1,-1)*QUOTIENT(((c_TMAP3IN)-(c_TMAP2IN)),2))+2147483648,4294967296)-2147483648,((c_TMAP3IN)-(c_TMAP2IN))*(((K230)-(c_TMAP2IN))*((c_TMAP3OUT)-(c_TMAP2OUT))+IF(((c_TMAP3OUT)-(c_TMAP2OUT))&gt;=0,1,-1)*QUOTIENT(((c_TMAP3IN)-(c_TMAP2IN)),2)))&lt;0,-1,0),IF(IF(o_WRAP=1,MOD(((c_TMAP3IN)-(c_TMAP2IN))*(((K230)-(c_TMAP2IN))*((c_TMAP3OUT)-(c_TMAP2OUT))+IF(((c_TMAP3OUT)-(c_TMAP2OUT))&gt;=0,1,-1)*QUOTIENT(((c_TMAP3IN)-(c_TMAP2IN)),2))+2147483648,4294967296)-2147483648,((c_TMAP3IN)-(c_TMAP2IN))*(((K230)-(c_TMAP2IN))*((c_TMAP3OUT)-(c_TMAP2OUT))+IF(((c_TMAP3OUT)-(c_TMAP2OUT))&gt;=0,1,-1)*QUOTIENT(((c_TMAP3IN)-(c_TMAP2IN)),2)))&gt;=0,1,0)))</f>
        <v>358</v>
      </c>
      <c r="P230" s="7" t="n">
        <f aca="false">IF(((1000)-(c_TMAP3IN))=0,(c_TMAP3OUT)+QUOTIENT(((1000)-(c_TMAP3OUT)),2),QUOTIENT((((K230)-(c_TMAP3IN))*((1000)-(c_TMAP3OUT))+IF(((1000)-(c_TMAP3OUT))&gt;=0,1,-1)*QUOTIENT(((1000)-(c_TMAP3IN)),2)),((1000)-(c_TMAP3IN)))+(c_TMAP3OUT)+IF(((1000)-(c_TMAP3OUT))&gt;=0,IF(IF(o_WRAP=1,MOD(((1000)-(c_TMAP3IN))*(((K230)-(c_TMAP3IN))*((1000)-(c_TMAP3OUT))+IF(((1000)-(c_TMAP3OUT))&gt;=0,1,-1)*QUOTIENT(((1000)-(c_TMAP3IN)),2))+2147483648,4294967296)-2147483648,((1000)-(c_TMAP3IN))*(((K230)-(c_TMAP3IN))*((1000)-(c_TMAP3OUT))+IF(((1000)-(c_TMAP3OUT))&gt;=0,1,-1)*QUOTIENT(((1000)-(c_TMAP3IN)),2)))&lt;0,-1,0),IF(IF(o_WRAP=1,MOD(((1000)-(c_TMAP3IN))*(((K230)-(c_TMAP3IN))*((1000)-(c_TMAP3OUT))+IF(((1000)-(c_TMAP3OUT))&gt;=0,1,-1)*QUOTIENT(((1000)-(c_TMAP3IN)),2))+2147483648,4294967296)-2147483648,((1000)-(c_TMAP3IN))*(((K230)-(c_TMAP3IN))*((1000)-(c_TMAP3OUT))+IF(((1000)-(c_TMAP3OUT))&gt;=0,1,-1)*QUOTIENT(((1000)-(c_TMAP3IN)),2)))&gt;=0,1,0)))</f>
        <v>477</v>
      </c>
      <c r="Q230" s="7" t="str">
        <f aca="false">IF(K230&gt;=c_TFWD,IF(AND(K230&gt;=c_TMAP3IN,c_TMAP3IN&lt;1000),"Seg4 map3-100%",IF(AND(K230&gt;=c_TMAP2IN,c_TMAP3IN&gt;c_TMAP2IN),"Seg3 map2-map3",IF(AND(K230&gt;=c_TMAP1IN,c_TMAP2IN&gt;c_TMAP1IN),"Seg2 map1-map2","Seg1 TFWD-map1"))),IF(AND(K230=0,c_TCREEP&gt;0),"Creep",IF(AND(K230&lt;=c_TRNGMIN,K230&gt;=c_TRNGMAX,c_TRNGMIN-c_TRNGMAX&lt;&gt;0),"Regen ramp","Coast (0)")))</f>
        <v>Seg4 map3-100%</v>
      </c>
      <c r="R230" s="7" t="n">
        <f aca="false">IF(K230&gt;=c_TFWD,IF(AND(K230&gt;=c_TMAP3IN,c_TMAP3IN&lt;1000),P230,IF(AND(K230&gt;=c_TMAP2IN,c_TMAP3IN&gt;c_TMAP2IN),O230,IF(AND(K230&gt;=c_TMAP1IN,c_TMAP2IN&gt;c_TMAP1IN),N230,M230))),L230)</f>
        <v>477</v>
      </c>
      <c r="S230" s="7" t="str">
        <f aca="false">IF(R230&lt;-1090,"TOO LOW",IF(R230&gt;1090,"TOO HIGH",""))</f>
        <v/>
      </c>
      <c r="T230" s="15" t="n">
        <f aca="false">IF(H230&lt;&gt;"OK",0,IF(S230&lt;&gt;"",0,IF(R230&gt;979,1000,R230)))</f>
        <v>477</v>
      </c>
      <c r="U230" s="7" t="n">
        <f aca="false">T230/10</f>
        <v>47.7</v>
      </c>
    </row>
    <row r="231" customFormat="false" ht="15" hidden="false" customHeight="false" outlineLevel="0" collapsed="false">
      <c r="A231" s="7" t="n">
        <v>226</v>
      </c>
      <c r="B231" s="7" t="n">
        <f aca="false">ROUND(o_SWSTART+A231*(o_SWEND-o_SWSTART)/400,0)</f>
        <v>2314</v>
      </c>
      <c r="C231" s="7" t="n">
        <f aca="false">QUOTIENT((B231-c_OFF1)*c_GAIN1,1024)</f>
        <v>2314</v>
      </c>
      <c r="D231" s="7" t="n">
        <f aca="false">IF(((c_T1MX)-(c_T1MN))=0,(0)+QUOTIENT(((1000)-(0)),2),QUOTIENT((((C231)-(c_T1MN))*((1000)-(0))+IF(((1000)-(0))&gt;=0,1,-1)*QUOTIENT(((c_T1MX)-(c_T1MN)),2)),((c_T1MX)-(c_T1MN)))+(0)+IF(((1000)-(0))&gt;=0,IF(IF(o_WRAP=1,MOD(((c_T1MX)-(c_T1MN))*(((C231)-(c_T1MN))*((1000)-(0))+IF(((1000)-(0))&gt;=0,1,-1)*QUOTIENT(((c_T1MX)-(c_T1MN)),2))+2147483648,4294967296)-2147483648,((c_T1MX)-(c_T1MN))*(((C231)-(c_T1MN))*((1000)-(0))+IF(((1000)-(0))&gt;=0,1,-1)*QUOTIENT(((c_T1MX)-(c_T1MN)),2)))&lt;0,-1,0),IF(IF(o_WRAP=1,MOD(((c_T1MX)-(c_T1MN))*(((C231)-(c_T1MN))*((1000)-(0))+IF(((1000)-(0))&gt;=0,1,-1)*QUOTIENT(((c_T1MX)-(c_T1MN)),2))+2147483648,4294967296)-2147483648,((c_T1MX)-(c_T1MN))*(((C231)-(c_T1MN))*((1000)-(0))+IF(((1000)-(0))&gt;=0,1,-1)*QUOTIENT(((c_T1MX)-(c_T1MN)),2)))&gt;=0,1,0)))</f>
        <v>579</v>
      </c>
      <c r="E231" s="7" t="n">
        <f aca="false">IF(AND(c_TPOT=1,c_TTYPE=2),1000-D231,D231)</f>
        <v>579</v>
      </c>
      <c r="F231" s="7" t="str">
        <f aca="false">IF(c_TPOT&gt;1,ROUND(IF(c_TTYPE=2,c_T2MX-IF(c_T1MX=c_T1MN,0,(C231-c_T1MN)/(c_T1MX-c_T1MN))*(c_T2MX-c_T2MN),c_T2MN+IF(c_T1MX=c_T1MN,0,(C231-c_T1MN)/(c_T1MX-c_T1MN))*(c_T2MX-c_T2MN))+o_MISMATCH,0),"")</f>
        <v/>
      </c>
      <c r="G231" s="7" t="str">
        <f aca="false">IF(c_TPOT&gt;1,IF(((c_T2MX)-(c_T2MN))=0,(0)+QUOTIENT(((1000)-(0)),2),QUOTIENT((((F231)-(c_T2MN))*((1000)-(0))+IF(((1000)-(0))&gt;=0,1,-1)*QUOTIENT(((c_T2MX)-(c_T2MN)),2)),((c_T2MX)-(c_T2MN)))+(0)+IF(((1000)-(0))&gt;=0,IF(IF(o_WRAP=1,MOD(((c_T2MX)-(c_T2MN))*(((F231)-(c_T2MN))*((1000)-(0))+IF(((1000)-(0))&gt;=0,1,-1)*QUOTIENT(((c_T2MX)-(c_T2MN)),2))+2147483648,4294967296)-2147483648,((c_T2MX)-(c_T2MN))*(((F231)-(c_T2MN))*((1000)-(0))+IF(((1000)-(0))&gt;=0,1,-1)*QUOTIENT(((c_T2MX)-(c_T2MN)),2)))&lt;0,-1,0),IF(IF(o_WRAP=1,MOD(((c_T2MX)-(c_T2MN))*(((F231)-(c_T2MN))*((1000)-(0))+IF(((1000)-(0))&gt;=0,1,-1)*QUOTIENT(((c_T2MX)-(c_T2MN)),2))+2147483648,4294967296)-2147483648,((c_T2MX)-(c_T2MN))*(((F231)-(c_T2MN))*((1000)-(0))+IF(((1000)-(0))&gt;=0,1,-1)*QUOTIENT(((c_T2MX)-(c_T2MN)),2)))&gt;=0,1,0))),"")</f>
        <v/>
      </c>
      <c r="H231" s="7" t="str">
        <f aca="false">IF(E231&gt;1000+k_TOL,"T1 HIGH",IF(E231&lt;0-k_TOL,"T1 LOW",IF(c_TPOT&gt;1,IF(G231&gt;1000+k_TOL,"T2 HIGH",IF(G231&lt;0-k_TOL,"T2 LOW",IF(c_TTYPE=2,IF(ABS(1000-MAX(0,MIN(1000,E231))-MAX(0,MIN(1000,G231)))&gt;k_MAXERR,"MISMATCH","OK"),IF(OR(MAX(0,MIN(1000,E231))-k_MAXERR&gt;MAX(0,MIN(1000,G231)),MAX(0,MIN(1000,G231))-k_MAXERR&gt;MAX(0,MIN(1000,E231))),"MISMATCH","OK")))),"OK")))</f>
        <v>OK</v>
      </c>
      <c r="I231" s="7" t="n">
        <f aca="false">MAX(0,MIN(1000,D231))</f>
        <v>579</v>
      </c>
      <c r="J231" s="7" t="str">
        <f aca="false">IF(c_TPOT&gt;1,IF(c_TTYPE=2,1000-MAX(0,MIN(1000,G231)),MAX(0,MIN(1000,G231))),"")</f>
        <v/>
      </c>
      <c r="K231" s="7" t="n">
        <f aca="false">IF(c_TPOT&gt;1,QUOTIENT(I231+J231,2),I231)</f>
        <v>579</v>
      </c>
      <c r="L231" s="7" t="n">
        <f aca="false">IF(AND(K231=0,c_TCREEP&gt;0),10*c_TCREEP,IF(AND(K231&lt;=c_TRNGMIN,K231&gt;=c_TRNGMAX,c_TRNGMIN-c_TRNGMAX&lt;&gt;0),-10*c_TMINRN+QUOTIENT((c_TMAXRN-c_TMINRN)*(100-QUOTIENT((K231-c_TRNGMAX)*100,c_TRNGMIN-c_TRNGMAX)),-10),0))</f>
        <v>0</v>
      </c>
      <c r="M231" s="7" t="n">
        <f aca="false">IF(((c_TMAP1IN)-(c_TFWD))=0,(0)+QUOTIENT(((c_TMAP1OUT)-(0)),2),QUOTIENT((((K231)-(c_TFWD))*((c_TMAP1OUT)-(0))+IF(((c_TMAP1OUT)-(0))&gt;=0,1,-1)*QUOTIENT(((c_TMAP1IN)-(c_TFWD)),2)),((c_TMAP1IN)-(c_TFWD)))+(0)+IF(((c_TMAP1OUT)-(0))&gt;=0,IF(IF(o_WRAP=1,MOD(((c_TMAP1IN)-(c_TFWD))*(((K231)-(c_TFWD))*((c_TMAP1OUT)-(0))+IF(((c_TMAP1OUT)-(0))&gt;=0,1,-1)*QUOTIENT(((c_TMAP1IN)-(c_TFWD)),2))+2147483648,4294967296)-2147483648,((c_TMAP1IN)-(c_TFWD))*(((K231)-(c_TFWD))*((c_TMAP1OUT)-(0))+IF(((c_TMAP1OUT)-(0))&gt;=0,1,-1)*QUOTIENT(((c_TMAP1IN)-(c_TFWD)),2)))&lt;0,-1,0),IF(IF(o_WRAP=1,MOD(((c_TMAP1IN)-(c_TFWD))*(((K231)-(c_TFWD))*((c_TMAP1OUT)-(0))+IF(((c_TMAP1OUT)-(0))&gt;=0,1,-1)*QUOTIENT(((c_TMAP1IN)-(c_TFWD)),2))+2147483648,4294967296)-2147483648,((c_TMAP1IN)-(c_TFWD))*(((K231)-(c_TFWD))*((c_TMAP1OUT)-(0))+IF(((c_TMAP1OUT)-(0))&gt;=0,1,-1)*QUOTIENT(((c_TMAP1IN)-(c_TFWD)),2)))&gt;=0,1,0)))</f>
        <v>443</v>
      </c>
      <c r="N231" s="7" t="n">
        <f aca="false">IF(((c_TMAP2IN)-(c_TMAP1IN))=0,(c_TMAP1OUT)+QUOTIENT(((c_TMAP2OUT)-(c_TMAP1OUT)),2),QUOTIENT((((K231)-(c_TMAP1IN))*((c_TMAP2OUT)-(c_TMAP1OUT))+IF(((c_TMAP2OUT)-(c_TMAP1OUT))&gt;=0,1,-1)*QUOTIENT(((c_TMAP2IN)-(c_TMAP1IN)),2)),((c_TMAP2IN)-(c_TMAP1IN)))+(c_TMAP1OUT)+IF(((c_TMAP2OUT)-(c_TMAP1OUT))&gt;=0,IF(IF(o_WRAP=1,MOD(((c_TMAP2IN)-(c_TMAP1IN))*(((K231)-(c_TMAP1IN))*((c_TMAP2OUT)-(c_TMAP1OUT))+IF(((c_TMAP2OUT)-(c_TMAP1OUT))&gt;=0,1,-1)*QUOTIENT(((c_TMAP2IN)-(c_TMAP1IN)),2))+2147483648,4294967296)-2147483648,((c_TMAP2IN)-(c_TMAP1IN))*(((K231)-(c_TMAP1IN))*((c_TMAP2OUT)-(c_TMAP1OUT))+IF(((c_TMAP2OUT)-(c_TMAP1OUT))&gt;=0,1,-1)*QUOTIENT(((c_TMAP2IN)-(c_TMAP1IN)),2)))&lt;0,-1,0),IF(IF(o_WRAP=1,MOD(((c_TMAP2IN)-(c_TMAP1IN))*(((K231)-(c_TMAP1IN))*((c_TMAP2OUT)-(c_TMAP1OUT))+IF(((c_TMAP2OUT)-(c_TMAP1OUT))&gt;=0,1,-1)*QUOTIENT(((c_TMAP2IN)-(c_TMAP1IN)),2))+2147483648,4294967296)-2147483648,((c_TMAP2IN)-(c_TMAP1IN))*(((K231)-(c_TMAP1IN))*((c_TMAP2OUT)-(c_TMAP1OUT))+IF(((c_TMAP2OUT)-(c_TMAP1OUT))&gt;=0,1,-1)*QUOTIENT(((c_TMAP2IN)-(c_TMAP1IN)),2)))&gt;=0,1,0)))</f>
        <v>262</v>
      </c>
      <c r="O231" s="7" t="n">
        <f aca="false">IF(((c_TMAP3IN)-(c_TMAP2IN))=0,(c_TMAP2OUT)+QUOTIENT(((c_TMAP3OUT)-(c_TMAP2OUT)),2),QUOTIENT((((K231)-(c_TMAP2IN))*((c_TMAP3OUT)-(c_TMAP2OUT))+IF(((c_TMAP3OUT)-(c_TMAP2OUT))&gt;=0,1,-1)*QUOTIENT(((c_TMAP3IN)-(c_TMAP2IN)),2)),((c_TMAP3IN)-(c_TMAP2IN)))+(c_TMAP2OUT)+IF(((c_TMAP3OUT)-(c_TMAP2OUT))&gt;=0,IF(IF(o_WRAP=1,MOD(((c_TMAP3IN)-(c_TMAP2IN))*(((K231)-(c_TMAP2IN))*((c_TMAP3OUT)-(c_TMAP2OUT))+IF(((c_TMAP3OUT)-(c_TMAP2OUT))&gt;=0,1,-1)*QUOTIENT(((c_TMAP3IN)-(c_TMAP2IN)),2))+2147483648,4294967296)-2147483648,((c_TMAP3IN)-(c_TMAP2IN))*(((K231)-(c_TMAP2IN))*((c_TMAP3OUT)-(c_TMAP2OUT))+IF(((c_TMAP3OUT)-(c_TMAP2OUT))&gt;=0,1,-1)*QUOTIENT(((c_TMAP3IN)-(c_TMAP2IN)),2)))&lt;0,-1,0),IF(IF(o_WRAP=1,MOD(((c_TMAP3IN)-(c_TMAP2IN))*(((K231)-(c_TMAP2IN))*((c_TMAP3OUT)-(c_TMAP2OUT))+IF(((c_TMAP3OUT)-(c_TMAP2OUT))&gt;=0,1,-1)*QUOTIENT(((c_TMAP3IN)-(c_TMAP2IN)),2))+2147483648,4294967296)-2147483648,((c_TMAP3IN)-(c_TMAP2IN))*(((K231)-(c_TMAP2IN))*((c_TMAP3OUT)-(c_TMAP2OUT))+IF(((c_TMAP3OUT)-(c_TMAP2OUT))&gt;=0,1,-1)*QUOTIENT(((c_TMAP3IN)-(c_TMAP2IN)),2)))&gt;=0,1,0)))</f>
        <v>360</v>
      </c>
      <c r="P231" s="7" t="n">
        <f aca="false">IF(((1000)-(c_TMAP3IN))=0,(c_TMAP3OUT)+QUOTIENT(((1000)-(c_TMAP3OUT)),2),QUOTIENT((((K231)-(c_TMAP3IN))*((1000)-(c_TMAP3OUT))+IF(((1000)-(c_TMAP3OUT))&gt;=0,1,-1)*QUOTIENT(((1000)-(c_TMAP3IN)),2)),((1000)-(c_TMAP3IN)))+(c_TMAP3OUT)+IF(((1000)-(c_TMAP3OUT))&gt;=0,IF(IF(o_WRAP=1,MOD(((1000)-(c_TMAP3IN))*(((K231)-(c_TMAP3IN))*((1000)-(c_TMAP3OUT))+IF(((1000)-(c_TMAP3OUT))&gt;=0,1,-1)*QUOTIENT(((1000)-(c_TMAP3IN)),2))+2147483648,4294967296)-2147483648,((1000)-(c_TMAP3IN))*(((K231)-(c_TMAP3IN))*((1000)-(c_TMAP3OUT))+IF(((1000)-(c_TMAP3OUT))&gt;=0,1,-1)*QUOTIENT(((1000)-(c_TMAP3IN)),2)))&lt;0,-1,0),IF(IF(o_WRAP=1,MOD(((1000)-(c_TMAP3IN))*(((K231)-(c_TMAP3IN))*((1000)-(c_TMAP3OUT))+IF(((1000)-(c_TMAP3OUT))&gt;=0,1,-1)*QUOTIENT(((1000)-(c_TMAP3IN)),2))+2147483648,4294967296)-2147483648,((1000)-(c_TMAP3IN))*(((K231)-(c_TMAP3IN))*((1000)-(c_TMAP3OUT))+IF(((1000)-(c_TMAP3OUT))&gt;=0,1,-1)*QUOTIENT(((1000)-(c_TMAP3IN)),2)))&gt;=0,1,0)))</f>
        <v>482</v>
      </c>
      <c r="Q231" s="7" t="str">
        <f aca="false">IF(K231&gt;=c_TFWD,IF(AND(K231&gt;=c_TMAP3IN,c_TMAP3IN&lt;1000),"Seg4 map3-100%",IF(AND(K231&gt;=c_TMAP2IN,c_TMAP3IN&gt;c_TMAP2IN),"Seg3 map2-map3",IF(AND(K231&gt;=c_TMAP1IN,c_TMAP2IN&gt;c_TMAP1IN),"Seg2 map1-map2","Seg1 TFWD-map1"))),IF(AND(K231=0,c_TCREEP&gt;0),"Creep",IF(AND(K231&lt;=c_TRNGMIN,K231&gt;=c_TRNGMAX,c_TRNGMIN-c_TRNGMAX&lt;&gt;0),"Regen ramp","Coast (0)")))</f>
        <v>Seg4 map3-100%</v>
      </c>
      <c r="R231" s="7" t="n">
        <f aca="false">IF(K231&gt;=c_TFWD,IF(AND(K231&gt;=c_TMAP3IN,c_TMAP3IN&lt;1000),P231,IF(AND(K231&gt;=c_TMAP2IN,c_TMAP3IN&gt;c_TMAP2IN),O231,IF(AND(K231&gt;=c_TMAP1IN,c_TMAP2IN&gt;c_TMAP1IN),N231,M231))),L231)</f>
        <v>482</v>
      </c>
      <c r="S231" s="7" t="str">
        <f aca="false">IF(R231&lt;-1090,"TOO LOW",IF(R231&gt;1090,"TOO HIGH",""))</f>
        <v/>
      </c>
      <c r="T231" s="15" t="n">
        <f aca="false">IF(H231&lt;&gt;"OK",0,IF(S231&lt;&gt;"",0,IF(R231&gt;979,1000,R231)))</f>
        <v>482</v>
      </c>
      <c r="U231" s="7" t="n">
        <f aca="false">T231/10</f>
        <v>48.2</v>
      </c>
    </row>
    <row r="232" customFormat="false" ht="15" hidden="false" customHeight="false" outlineLevel="0" collapsed="false">
      <c r="A232" s="7" t="n">
        <v>227</v>
      </c>
      <c r="B232" s="7" t="n">
        <f aca="false">ROUND(o_SWSTART+A232*(o_SWEND-o_SWSTART)/400,0)</f>
        <v>2324</v>
      </c>
      <c r="C232" s="7" t="n">
        <f aca="false">QUOTIENT((B232-c_OFF1)*c_GAIN1,1024)</f>
        <v>2324</v>
      </c>
      <c r="D232" s="7" t="n">
        <f aca="false">IF(((c_T1MX)-(c_T1MN))=0,(0)+QUOTIENT(((1000)-(0)),2),QUOTIENT((((C232)-(c_T1MN))*((1000)-(0))+IF(((1000)-(0))&gt;=0,1,-1)*QUOTIENT(((c_T1MX)-(c_T1MN)),2)),((c_T1MX)-(c_T1MN)))+(0)+IF(((1000)-(0))&gt;=0,IF(IF(o_WRAP=1,MOD(((c_T1MX)-(c_T1MN))*(((C232)-(c_T1MN))*((1000)-(0))+IF(((1000)-(0))&gt;=0,1,-1)*QUOTIENT(((c_T1MX)-(c_T1MN)),2))+2147483648,4294967296)-2147483648,((c_T1MX)-(c_T1MN))*(((C232)-(c_T1MN))*((1000)-(0))+IF(((1000)-(0))&gt;=0,1,-1)*QUOTIENT(((c_T1MX)-(c_T1MN)),2)))&lt;0,-1,0),IF(IF(o_WRAP=1,MOD(((c_T1MX)-(c_T1MN))*(((C232)-(c_T1MN))*((1000)-(0))+IF(((1000)-(0))&gt;=0,1,-1)*QUOTIENT(((c_T1MX)-(c_T1MN)),2))+2147483648,4294967296)-2147483648,((c_T1MX)-(c_T1MN))*(((C232)-(c_T1MN))*((1000)-(0))+IF(((1000)-(0))&gt;=0,1,-1)*QUOTIENT(((c_T1MX)-(c_T1MN)),2)))&gt;=0,1,0)))</f>
        <v>582</v>
      </c>
      <c r="E232" s="7" t="n">
        <f aca="false">IF(AND(c_TPOT=1,c_TTYPE=2),1000-D232,D232)</f>
        <v>582</v>
      </c>
      <c r="F232" s="7" t="str">
        <f aca="false">IF(c_TPOT&gt;1,ROUND(IF(c_TTYPE=2,c_T2MX-IF(c_T1MX=c_T1MN,0,(C232-c_T1MN)/(c_T1MX-c_T1MN))*(c_T2MX-c_T2MN),c_T2MN+IF(c_T1MX=c_T1MN,0,(C232-c_T1MN)/(c_T1MX-c_T1MN))*(c_T2MX-c_T2MN))+o_MISMATCH,0),"")</f>
        <v/>
      </c>
      <c r="G232" s="7" t="str">
        <f aca="false">IF(c_TPOT&gt;1,IF(((c_T2MX)-(c_T2MN))=0,(0)+QUOTIENT(((1000)-(0)),2),QUOTIENT((((F232)-(c_T2MN))*((1000)-(0))+IF(((1000)-(0))&gt;=0,1,-1)*QUOTIENT(((c_T2MX)-(c_T2MN)),2)),((c_T2MX)-(c_T2MN)))+(0)+IF(((1000)-(0))&gt;=0,IF(IF(o_WRAP=1,MOD(((c_T2MX)-(c_T2MN))*(((F232)-(c_T2MN))*((1000)-(0))+IF(((1000)-(0))&gt;=0,1,-1)*QUOTIENT(((c_T2MX)-(c_T2MN)),2))+2147483648,4294967296)-2147483648,((c_T2MX)-(c_T2MN))*(((F232)-(c_T2MN))*((1000)-(0))+IF(((1000)-(0))&gt;=0,1,-1)*QUOTIENT(((c_T2MX)-(c_T2MN)),2)))&lt;0,-1,0),IF(IF(o_WRAP=1,MOD(((c_T2MX)-(c_T2MN))*(((F232)-(c_T2MN))*((1000)-(0))+IF(((1000)-(0))&gt;=0,1,-1)*QUOTIENT(((c_T2MX)-(c_T2MN)),2))+2147483648,4294967296)-2147483648,((c_T2MX)-(c_T2MN))*(((F232)-(c_T2MN))*((1000)-(0))+IF(((1000)-(0))&gt;=0,1,-1)*QUOTIENT(((c_T2MX)-(c_T2MN)),2)))&gt;=0,1,0))),"")</f>
        <v/>
      </c>
      <c r="H232" s="7" t="str">
        <f aca="false">IF(E232&gt;1000+k_TOL,"T1 HIGH",IF(E232&lt;0-k_TOL,"T1 LOW",IF(c_TPOT&gt;1,IF(G232&gt;1000+k_TOL,"T2 HIGH",IF(G232&lt;0-k_TOL,"T2 LOW",IF(c_TTYPE=2,IF(ABS(1000-MAX(0,MIN(1000,E232))-MAX(0,MIN(1000,G232)))&gt;k_MAXERR,"MISMATCH","OK"),IF(OR(MAX(0,MIN(1000,E232))-k_MAXERR&gt;MAX(0,MIN(1000,G232)),MAX(0,MIN(1000,G232))-k_MAXERR&gt;MAX(0,MIN(1000,E232))),"MISMATCH","OK")))),"OK")))</f>
        <v>OK</v>
      </c>
      <c r="I232" s="7" t="n">
        <f aca="false">MAX(0,MIN(1000,D232))</f>
        <v>582</v>
      </c>
      <c r="J232" s="7" t="str">
        <f aca="false">IF(c_TPOT&gt;1,IF(c_TTYPE=2,1000-MAX(0,MIN(1000,G232)),MAX(0,MIN(1000,G232))),"")</f>
        <v/>
      </c>
      <c r="K232" s="7" t="n">
        <f aca="false">IF(c_TPOT&gt;1,QUOTIENT(I232+J232,2),I232)</f>
        <v>582</v>
      </c>
      <c r="L232" s="7" t="n">
        <f aca="false">IF(AND(K232=0,c_TCREEP&gt;0),10*c_TCREEP,IF(AND(K232&lt;=c_TRNGMIN,K232&gt;=c_TRNGMAX,c_TRNGMIN-c_TRNGMAX&lt;&gt;0),-10*c_TMINRN+QUOTIENT((c_TMAXRN-c_TMINRN)*(100-QUOTIENT((K232-c_TRNGMAX)*100,c_TRNGMIN-c_TRNGMAX)),-10),0))</f>
        <v>0</v>
      </c>
      <c r="M232" s="7" t="n">
        <f aca="false">IF(((c_TMAP1IN)-(c_TFWD))=0,(0)+QUOTIENT(((c_TMAP1OUT)-(0)),2),QUOTIENT((((K232)-(c_TFWD))*((c_TMAP1OUT)-(0))+IF(((c_TMAP1OUT)-(0))&gt;=0,1,-1)*QUOTIENT(((c_TMAP1IN)-(c_TFWD)),2)),((c_TMAP1IN)-(c_TFWD)))+(0)+IF(((c_TMAP1OUT)-(0))&gt;=0,IF(IF(o_WRAP=1,MOD(((c_TMAP1IN)-(c_TFWD))*(((K232)-(c_TFWD))*((c_TMAP1OUT)-(0))+IF(((c_TMAP1OUT)-(0))&gt;=0,1,-1)*QUOTIENT(((c_TMAP1IN)-(c_TFWD)),2))+2147483648,4294967296)-2147483648,((c_TMAP1IN)-(c_TFWD))*(((K232)-(c_TFWD))*((c_TMAP1OUT)-(0))+IF(((c_TMAP1OUT)-(0))&gt;=0,1,-1)*QUOTIENT(((c_TMAP1IN)-(c_TFWD)),2)))&lt;0,-1,0),IF(IF(o_WRAP=1,MOD(((c_TMAP1IN)-(c_TFWD))*(((K232)-(c_TFWD))*((c_TMAP1OUT)-(0))+IF(((c_TMAP1OUT)-(0))&gt;=0,1,-1)*QUOTIENT(((c_TMAP1IN)-(c_TFWD)),2))+2147483648,4294967296)-2147483648,((c_TMAP1IN)-(c_TFWD))*(((K232)-(c_TFWD))*((c_TMAP1OUT)-(0))+IF(((c_TMAP1OUT)-(0))&gt;=0,1,-1)*QUOTIENT(((c_TMAP1IN)-(c_TFWD)),2)))&gt;=0,1,0)))</f>
        <v>445</v>
      </c>
      <c r="N232" s="7" t="n">
        <f aca="false">IF(((c_TMAP2IN)-(c_TMAP1IN))=0,(c_TMAP1OUT)+QUOTIENT(((c_TMAP2OUT)-(c_TMAP1OUT)),2),QUOTIENT((((K232)-(c_TMAP1IN))*((c_TMAP2OUT)-(c_TMAP1OUT))+IF(((c_TMAP2OUT)-(c_TMAP1OUT))&gt;=0,1,-1)*QUOTIENT(((c_TMAP2IN)-(c_TMAP1IN)),2)),((c_TMAP2IN)-(c_TMAP1IN)))+(c_TMAP1OUT)+IF(((c_TMAP2OUT)-(c_TMAP1OUT))&gt;=0,IF(IF(o_WRAP=1,MOD(((c_TMAP2IN)-(c_TMAP1IN))*(((K232)-(c_TMAP1IN))*((c_TMAP2OUT)-(c_TMAP1OUT))+IF(((c_TMAP2OUT)-(c_TMAP1OUT))&gt;=0,1,-1)*QUOTIENT(((c_TMAP2IN)-(c_TMAP1IN)),2))+2147483648,4294967296)-2147483648,((c_TMAP2IN)-(c_TMAP1IN))*(((K232)-(c_TMAP1IN))*((c_TMAP2OUT)-(c_TMAP1OUT))+IF(((c_TMAP2OUT)-(c_TMAP1OUT))&gt;=0,1,-1)*QUOTIENT(((c_TMAP2IN)-(c_TMAP1IN)),2)))&lt;0,-1,0),IF(IF(o_WRAP=1,MOD(((c_TMAP2IN)-(c_TMAP1IN))*(((K232)-(c_TMAP1IN))*((c_TMAP2OUT)-(c_TMAP1OUT))+IF(((c_TMAP2OUT)-(c_TMAP1OUT))&gt;=0,1,-1)*QUOTIENT(((c_TMAP2IN)-(c_TMAP1IN)),2))+2147483648,4294967296)-2147483648,((c_TMAP2IN)-(c_TMAP1IN))*(((K232)-(c_TMAP1IN))*((c_TMAP2OUT)-(c_TMAP1OUT))+IF(((c_TMAP2OUT)-(c_TMAP1OUT))&gt;=0,1,-1)*QUOTIENT(((c_TMAP2IN)-(c_TMAP1IN)),2)))&gt;=0,1,0)))</f>
        <v>263</v>
      </c>
      <c r="O232" s="7" t="n">
        <f aca="false">IF(((c_TMAP3IN)-(c_TMAP2IN))=0,(c_TMAP2OUT)+QUOTIENT(((c_TMAP3OUT)-(c_TMAP2OUT)),2),QUOTIENT((((K232)-(c_TMAP2IN))*((c_TMAP3OUT)-(c_TMAP2OUT))+IF(((c_TMAP3OUT)-(c_TMAP2OUT))&gt;=0,1,-1)*QUOTIENT(((c_TMAP3IN)-(c_TMAP2IN)),2)),((c_TMAP3IN)-(c_TMAP2IN)))+(c_TMAP2OUT)+IF(((c_TMAP3OUT)-(c_TMAP2OUT))&gt;=0,IF(IF(o_WRAP=1,MOD(((c_TMAP3IN)-(c_TMAP2IN))*(((K232)-(c_TMAP2IN))*((c_TMAP3OUT)-(c_TMAP2OUT))+IF(((c_TMAP3OUT)-(c_TMAP2OUT))&gt;=0,1,-1)*QUOTIENT(((c_TMAP3IN)-(c_TMAP2IN)),2))+2147483648,4294967296)-2147483648,((c_TMAP3IN)-(c_TMAP2IN))*(((K232)-(c_TMAP2IN))*((c_TMAP3OUT)-(c_TMAP2OUT))+IF(((c_TMAP3OUT)-(c_TMAP2OUT))&gt;=0,1,-1)*QUOTIENT(((c_TMAP3IN)-(c_TMAP2IN)),2)))&lt;0,-1,0),IF(IF(o_WRAP=1,MOD(((c_TMAP3IN)-(c_TMAP2IN))*(((K232)-(c_TMAP2IN))*((c_TMAP3OUT)-(c_TMAP2OUT))+IF(((c_TMAP3OUT)-(c_TMAP2OUT))&gt;=0,1,-1)*QUOTIENT(((c_TMAP3IN)-(c_TMAP2IN)),2))+2147483648,4294967296)-2147483648,((c_TMAP3IN)-(c_TMAP2IN))*(((K232)-(c_TMAP2IN))*((c_TMAP3OUT)-(c_TMAP2OUT))+IF(((c_TMAP3OUT)-(c_TMAP2OUT))&gt;=0,1,-1)*QUOTIENT(((c_TMAP3IN)-(c_TMAP2IN)),2)))&gt;=0,1,0)))</f>
        <v>362</v>
      </c>
      <c r="P232" s="7" t="n">
        <f aca="false">IF(((1000)-(c_TMAP3IN))=0,(c_TMAP3OUT)+QUOTIENT(((1000)-(c_TMAP3OUT)),2),QUOTIENT((((K232)-(c_TMAP3IN))*((1000)-(c_TMAP3OUT))+IF(((1000)-(c_TMAP3OUT))&gt;=0,1,-1)*QUOTIENT(((1000)-(c_TMAP3IN)),2)),((1000)-(c_TMAP3IN)))+(c_TMAP3OUT)+IF(((1000)-(c_TMAP3OUT))&gt;=0,IF(IF(o_WRAP=1,MOD(((1000)-(c_TMAP3IN))*(((K232)-(c_TMAP3IN))*((1000)-(c_TMAP3OUT))+IF(((1000)-(c_TMAP3OUT))&gt;=0,1,-1)*QUOTIENT(((1000)-(c_TMAP3IN)),2))+2147483648,4294967296)-2147483648,((1000)-(c_TMAP3IN))*(((K232)-(c_TMAP3IN))*((1000)-(c_TMAP3OUT))+IF(((1000)-(c_TMAP3OUT))&gt;=0,1,-1)*QUOTIENT(((1000)-(c_TMAP3IN)),2)))&lt;0,-1,0),IF(IF(o_WRAP=1,MOD(((1000)-(c_TMAP3IN))*(((K232)-(c_TMAP3IN))*((1000)-(c_TMAP3OUT))+IF(((1000)-(c_TMAP3OUT))&gt;=0,1,-1)*QUOTIENT(((1000)-(c_TMAP3IN)),2))+2147483648,4294967296)-2147483648,((1000)-(c_TMAP3IN))*(((K232)-(c_TMAP3IN))*((1000)-(c_TMAP3OUT))+IF(((1000)-(c_TMAP3OUT))&gt;=0,1,-1)*QUOTIENT(((1000)-(c_TMAP3IN)),2)))&gt;=0,1,0)))</f>
        <v>486</v>
      </c>
      <c r="Q232" s="7" t="str">
        <f aca="false">IF(K232&gt;=c_TFWD,IF(AND(K232&gt;=c_TMAP3IN,c_TMAP3IN&lt;1000),"Seg4 map3-100%",IF(AND(K232&gt;=c_TMAP2IN,c_TMAP3IN&gt;c_TMAP2IN),"Seg3 map2-map3",IF(AND(K232&gt;=c_TMAP1IN,c_TMAP2IN&gt;c_TMAP1IN),"Seg2 map1-map2","Seg1 TFWD-map1"))),IF(AND(K232=0,c_TCREEP&gt;0),"Creep",IF(AND(K232&lt;=c_TRNGMIN,K232&gt;=c_TRNGMAX,c_TRNGMIN-c_TRNGMAX&lt;&gt;0),"Regen ramp","Coast (0)")))</f>
        <v>Seg4 map3-100%</v>
      </c>
      <c r="R232" s="7" t="n">
        <f aca="false">IF(K232&gt;=c_TFWD,IF(AND(K232&gt;=c_TMAP3IN,c_TMAP3IN&lt;1000),P232,IF(AND(K232&gt;=c_TMAP2IN,c_TMAP3IN&gt;c_TMAP2IN),O232,IF(AND(K232&gt;=c_TMAP1IN,c_TMAP2IN&gt;c_TMAP1IN),N232,M232))),L232)</f>
        <v>486</v>
      </c>
      <c r="S232" s="7" t="str">
        <f aca="false">IF(R232&lt;-1090,"TOO LOW",IF(R232&gt;1090,"TOO HIGH",""))</f>
        <v/>
      </c>
      <c r="T232" s="15" t="n">
        <f aca="false">IF(H232&lt;&gt;"OK",0,IF(S232&lt;&gt;"",0,IF(R232&gt;979,1000,R232)))</f>
        <v>486</v>
      </c>
      <c r="U232" s="7" t="n">
        <f aca="false">T232/10</f>
        <v>48.6</v>
      </c>
    </row>
    <row r="233" customFormat="false" ht="15" hidden="false" customHeight="false" outlineLevel="0" collapsed="false">
      <c r="A233" s="7" t="n">
        <v>228</v>
      </c>
      <c r="B233" s="7" t="n">
        <f aca="false">ROUND(o_SWSTART+A233*(o_SWEND-o_SWSTART)/400,0)</f>
        <v>2334</v>
      </c>
      <c r="C233" s="7" t="n">
        <f aca="false">QUOTIENT((B233-c_OFF1)*c_GAIN1,1024)</f>
        <v>2334</v>
      </c>
      <c r="D233" s="7" t="n">
        <f aca="false">IF(((c_T1MX)-(c_T1MN))=0,(0)+QUOTIENT(((1000)-(0)),2),QUOTIENT((((C233)-(c_T1MN))*((1000)-(0))+IF(((1000)-(0))&gt;=0,1,-1)*QUOTIENT(((c_T1MX)-(c_T1MN)),2)),((c_T1MX)-(c_T1MN)))+(0)+IF(((1000)-(0))&gt;=0,IF(IF(o_WRAP=1,MOD(((c_T1MX)-(c_T1MN))*(((C233)-(c_T1MN))*((1000)-(0))+IF(((1000)-(0))&gt;=0,1,-1)*QUOTIENT(((c_T1MX)-(c_T1MN)),2))+2147483648,4294967296)-2147483648,((c_T1MX)-(c_T1MN))*(((C233)-(c_T1MN))*((1000)-(0))+IF(((1000)-(0))&gt;=0,1,-1)*QUOTIENT(((c_T1MX)-(c_T1MN)),2)))&lt;0,-1,0),IF(IF(o_WRAP=1,MOD(((c_T1MX)-(c_T1MN))*(((C233)-(c_T1MN))*((1000)-(0))+IF(((1000)-(0))&gt;=0,1,-1)*QUOTIENT(((c_T1MX)-(c_T1MN)),2))+2147483648,4294967296)-2147483648,((c_T1MX)-(c_T1MN))*(((C233)-(c_T1MN))*((1000)-(0))+IF(((1000)-(0))&gt;=0,1,-1)*QUOTIENT(((c_T1MX)-(c_T1MN)),2)))&gt;=0,1,0)))</f>
        <v>586</v>
      </c>
      <c r="E233" s="7" t="n">
        <f aca="false">IF(AND(c_TPOT=1,c_TTYPE=2),1000-D233,D233)</f>
        <v>586</v>
      </c>
      <c r="F233" s="7" t="str">
        <f aca="false">IF(c_TPOT&gt;1,ROUND(IF(c_TTYPE=2,c_T2MX-IF(c_T1MX=c_T1MN,0,(C233-c_T1MN)/(c_T1MX-c_T1MN))*(c_T2MX-c_T2MN),c_T2MN+IF(c_T1MX=c_T1MN,0,(C233-c_T1MN)/(c_T1MX-c_T1MN))*(c_T2MX-c_T2MN))+o_MISMATCH,0),"")</f>
        <v/>
      </c>
      <c r="G233" s="7" t="str">
        <f aca="false">IF(c_TPOT&gt;1,IF(((c_T2MX)-(c_T2MN))=0,(0)+QUOTIENT(((1000)-(0)),2),QUOTIENT((((F233)-(c_T2MN))*((1000)-(0))+IF(((1000)-(0))&gt;=0,1,-1)*QUOTIENT(((c_T2MX)-(c_T2MN)),2)),((c_T2MX)-(c_T2MN)))+(0)+IF(((1000)-(0))&gt;=0,IF(IF(o_WRAP=1,MOD(((c_T2MX)-(c_T2MN))*(((F233)-(c_T2MN))*((1000)-(0))+IF(((1000)-(0))&gt;=0,1,-1)*QUOTIENT(((c_T2MX)-(c_T2MN)),2))+2147483648,4294967296)-2147483648,((c_T2MX)-(c_T2MN))*(((F233)-(c_T2MN))*((1000)-(0))+IF(((1000)-(0))&gt;=0,1,-1)*QUOTIENT(((c_T2MX)-(c_T2MN)),2)))&lt;0,-1,0),IF(IF(o_WRAP=1,MOD(((c_T2MX)-(c_T2MN))*(((F233)-(c_T2MN))*((1000)-(0))+IF(((1000)-(0))&gt;=0,1,-1)*QUOTIENT(((c_T2MX)-(c_T2MN)),2))+2147483648,4294967296)-2147483648,((c_T2MX)-(c_T2MN))*(((F233)-(c_T2MN))*((1000)-(0))+IF(((1000)-(0))&gt;=0,1,-1)*QUOTIENT(((c_T2MX)-(c_T2MN)),2)))&gt;=0,1,0))),"")</f>
        <v/>
      </c>
      <c r="H233" s="7" t="str">
        <f aca="false">IF(E233&gt;1000+k_TOL,"T1 HIGH",IF(E233&lt;0-k_TOL,"T1 LOW",IF(c_TPOT&gt;1,IF(G233&gt;1000+k_TOL,"T2 HIGH",IF(G233&lt;0-k_TOL,"T2 LOW",IF(c_TTYPE=2,IF(ABS(1000-MAX(0,MIN(1000,E233))-MAX(0,MIN(1000,G233)))&gt;k_MAXERR,"MISMATCH","OK"),IF(OR(MAX(0,MIN(1000,E233))-k_MAXERR&gt;MAX(0,MIN(1000,G233)),MAX(0,MIN(1000,G233))-k_MAXERR&gt;MAX(0,MIN(1000,E233))),"MISMATCH","OK")))),"OK")))</f>
        <v>OK</v>
      </c>
      <c r="I233" s="7" t="n">
        <f aca="false">MAX(0,MIN(1000,D233))</f>
        <v>586</v>
      </c>
      <c r="J233" s="7" t="str">
        <f aca="false">IF(c_TPOT&gt;1,IF(c_TTYPE=2,1000-MAX(0,MIN(1000,G233)),MAX(0,MIN(1000,G233))),"")</f>
        <v/>
      </c>
      <c r="K233" s="7" t="n">
        <f aca="false">IF(c_TPOT&gt;1,QUOTIENT(I233+J233,2),I233)</f>
        <v>586</v>
      </c>
      <c r="L233" s="7" t="n">
        <f aca="false">IF(AND(K233=0,c_TCREEP&gt;0),10*c_TCREEP,IF(AND(K233&lt;=c_TRNGMIN,K233&gt;=c_TRNGMAX,c_TRNGMIN-c_TRNGMAX&lt;&gt;0),-10*c_TMINRN+QUOTIENT((c_TMAXRN-c_TMINRN)*(100-QUOTIENT((K233-c_TRNGMAX)*100,c_TRNGMIN-c_TRNGMAX)),-10),0))</f>
        <v>0</v>
      </c>
      <c r="M233" s="7" t="n">
        <f aca="false">IF(((c_TMAP1IN)-(c_TFWD))=0,(0)+QUOTIENT(((c_TMAP1OUT)-(0)),2),QUOTIENT((((K233)-(c_TFWD))*((c_TMAP1OUT)-(0))+IF(((c_TMAP1OUT)-(0))&gt;=0,1,-1)*QUOTIENT(((c_TMAP1IN)-(c_TFWD)),2)),((c_TMAP1IN)-(c_TFWD)))+(0)+IF(((c_TMAP1OUT)-(0))&gt;=0,IF(IF(o_WRAP=1,MOD(((c_TMAP1IN)-(c_TFWD))*(((K233)-(c_TFWD))*((c_TMAP1OUT)-(0))+IF(((c_TMAP1OUT)-(0))&gt;=0,1,-1)*QUOTIENT(((c_TMAP1IN)-(c_TFWD)),2))+2147483648,4294967296)-2147483648,((c_TMAP1IN)-(c_TFWD))*(((K233)-(c_TFWD))*((c_TMAP1OUT)-(0))+IF(((c_TMAP1OUT)-(0))&gt;=0,1,-1)*QUOTIENT(((c_TMAP1IN)-(c_TFWD)),2)))&lt;0,-1,0),IF(IF(o_WRAP=1,MOD(((c_TMAP1IN)-(c_TFWD))*(((K233)-(c_TFWD))*((c_TMAP1OUT)-(0))+IF(((c_TMAP1OUT)-(0))&gt;=0,1,-1)*QUOTIENT(((c_TMAP1IN)-(c_TFWD)),2))+2147483648,4294967296)-2147483648,((c_TMAP1IN)-(c_TFWD))*(((K233)-(c_TFWD))*((c_TMAP1OUT)-(0))+IF(((c_TMAP1OUT)-(0))&gt;=0,1,-1)*QUOTIENT(((c_TMAP1IN)-(c_TFWD)),2)))&gt;=0,1,0)))</f>
        <v>448</v>
      </c>
      <c r="N233" s="7" t="n">
        <f aca="false">IF(((c_TMAP2IN)-(c_TMAP1IN))=0,(c_TMAP1OUT)+QUOTIENT(((c_TMAP2OUT)-(c_TMAP1OUT)),2),QUOTIENT((((K233)-(c_TMAP1IN))*((c_TMAP2OUT)-(c_TMAP1OUT))+IF(((c_TMAP2OUT)-(c_TMAP1OUT))&gt;=0,1,-1)*QUOTIENT(((c_TMAP2IN)-(c_TMAP1IN)),2)),((c_TMAP2IN)-(c_TMAP1IN)))+(c_TMAP1OUT)+IF(((c_TMAP2OUT)-(c_TMAP1OUT))&gt;=0,IF(IF(o_WRAP=1,MOD(((c_TMAP2IN)-(c_TMAP1IN))*(((K233)-(c_TMAP1IN))*((c_TMAP2OUT)-(c_TMAP1OUT))+IF(((c_TMAP2OUT)-(c_TMAP1OUT))&gt;=0,1,-1)*QUOTIENT(((c_TMAP2IN)-(c_TMAP1IN)),2))+2147483648,4294967296)-2147483648,((c_TMAP2IN)-(c_TMAP1IN))*(((K233)-(c_TMAP1IN))*((c_TMAP2OUT)-(c_TMAP1OUT))+IF(((c_TMAP2OUT)-(c_TMAP1OUT))&gt;=0,1,-1)*QUOTIENT(((c_TMAP2IN)-(c_TMAP1IN)),2)))&lt;0,-1,0),IF(IF(o_WRAP=1,MOD(((c_TMAP2IN)-(c_TMAP1IN))*(((K233)-(c_TMAP1IN))*((c_TMAP2OUT)-(c_TMAP1OUT))+IF(((c_TMAP2OUT)-(c_TMAP1OUT))&gt;=0,1,-1)*QUOTIENT(((c_TMAP2IN)-(c_TMAP1IN)),2))+2147483648,4294967296)-2147483648,((c_TMAP2IN)-(c_TMAP1IN))*(((K233)-(c_TMAP1IN))*((c_TMAP2OUT)-(c_TMAP1OUT))+IF(((c_TMAP2OUT)-(c_TMAP1OUT))&gt;=0,1,-1)*QUOTIENT(((c_TMAP2IN)-(c_TMAP1IN)),2)))&gt;=0,1,0)))</f>
        <v>264</v>
      </c>
      <c r="O233" s="7" t="n">
        <f aca="false">IF(((c_TMAP3IN)-(c_TMAP2IN))=0,(c_TMAP2OUT)+QUOTIENT(((c_TMAP3OUT)-(c_TMAP2OUT)),2),QUOTIENT((((K233)-(c_TMAP2IN))*((c_TMAP3OUT)-(c_TMAP2OUT))+IF(((c_TMAP3OUT)-(c_TMAP2OUT))&gt;=0,1,-1)*QUOTIENT(((c_TMAP3IN)-(c_TMAP2IN)),2)),((c_TMAP3IN)-(c_TMAP2IN)))+(c_TMAP2OUT)+IF(((c_TMAP3OUT)-(c_TMAP2OUT))&gt;=0,IF(IF(o_WRAP=1,MOD(((c_TMAP3IN)-(c_TMAP2IN))*(((K233)-(c_TMAP2IN))*((c_TMAP3OUT)-(c_TMAP2OUT))+IF(((c_TMAP3OUT)-(c_TMAP2OUT))&gt;=0,1,-1)*QUOTIENT(((c_TMAP3IN)-(c_TMAP2IN)),2))+2147483648,4294967296)-2147483648,((c_TMAP3IN)-(c_TMAP2IN))*(((K233)-(c_TMAP2IN))*((c_TMAP3OUT)-(c_TMAP2OUT))+IF(((c_TMAP3OUT)-(c_TMAP2OUT))&gt;=0,1,-1)*QUOTIENT(((c_TMAP3IN)-(c_TMAP2IN)),2)))&lt;0,-1,0),IF(IF(o_WRAP=1,MOD(((c_TMAP3IN)-(c_TMAP2IN))*(((K233)-(c_TMAP2IN))*((c_TMAP3OUT)-(c_TMAP2OUT))+IF(((c_TMAP3OUT)-(c_TMAP2OUT))&gt;=0,1,-1)*QUOTIENT(((c_TMAP3IN)-(c_TMAP2IN)),2))+2147483648,4294967296)-2147483648,((c_TMAP3IN)-(c_TMAP2IN))*(((K233)-(c_TMAP2IN))*((c_TMAP3OUT)-(c_TMAP2OUT))+IF(((c_TMAP3OUT)-(c_TMAP2OUT))&gt;=0,1,-1)*QUOTIENT(((c_TMAP3IN)-(c_TMAP2IN)),2)))&gt;=0,1,0)))</f>
        <v>365</v>
      </c>
      <c r="P233" s="7" t="n">
        <f aca="false">IF(((1000)-(c_TMAP3IN))=0,(c_TMAP3OUT)+QUOTIENT(((1000)-(c_TMAP3OUT)),2),QUOTIENT((((K233)-(c_TMAP3IN))*((1000)-(c_TMAP3OUT))+IF(((1000)-(c_TMAP3OUT))&gt;=0,1,-1)*QUOTIENT(((1000)-(c_TMAP3IN)),2)),((1000)-(c_TMAP3IN)))+(c_TMAP3OUT)+IF(((1000)-(c_TMAP3OUT))&gt;=0,IF(IF(o_WRAP=1,MOD(((1000)-(c_TMAP3IN))*(((K233)-(c_TMAP3IN))*((1000)-(c_TMAP3OUT))+IF(((1000)-(c_TMAP3OUT))&gt;=0,1,-1)*QUOTIENT(((1000)-(c_TMAP3IN)),2))+2147483648,4294967296)-2147483648,((1000)-(c_TMAP3IN))*(((K233)-(c_TMAP3IN))*((1000)-(c_TMAP3OUT))+IF(((1000)-(c_TMAP3OUT))&gt;=0,1,-1)*QUOTIENT(((1000)-(c_TMAP3IN)),2)))&lt;0,-1,0),IF(IF(o_WRAP=1,MOD(((1000)-(c_TMAP3IN))*(((K233)-(c_TMAP3IN))*((1000)-(c_TMAP3OUT))+IF(((1000)-(c_TMAP3OUT))&gt;=0,1,-1)*QUOTIENT(((1000)-(c_TMAP3IN)),2))+2147483648,4294967296)-2147483648,((1000)-(c_TMAP3IN))*(((K233)-(c_TMAP3IN))*((1000)-(c_TMAP3OUT))+IF(((1000)-(c_TMAP3OUT))&gt;=0,1,-1)*QUOTIENT(((1000)-(c_TMAP3IN)),2)))&gt;=0,1,0)))</f>
        <v>490</v>
      </c>
      <c r="Q233" s="7" t="str">
        <f aca="false">IF(K233&gt;=c_TFWD,IF(AND(K233&gt;=c_TMAP3IN,c_TMAP3IN&lt;1000),"Seg4 map3-100%",IF(AND(K233&gt;=c_TMAP2IN,c_TMAP3IN&gt;c_TMAP2IN),"Seg3 map2-map3",IF(AND(K233&gt;=c_TMAP1IN,c_TMAP2IN&gt;c_TMAP1IN),"Seg2 map1-map2","Seg1 TFWD-map1"))),IF(AND(K233=0,c_TCREEP&gt;0),"Creep",IF(AND(K233&lt;=c_TRNGMIN,K233&gt;=c_TRNGMAX,c_TRNGMIN-c_TRNGMAX&lt;&gt;0),"Regen ramp","Coast (0)")))</f>
        <v>Seg4 map3-100%</v>
      </c>
      <c r="R233" s="7" t="n">
        <f aca="false">IF(K233&gt;=c_TFWD,IF(AND(K233&gt;=c_TMAP3IN,c_TMAP3IN&lt;1000),P233,IF(AND(K233&gt;=c_TMAP2IN,c_TMAP3IN&gt;c_TMAP2IN),O233,IF(AND(K233&gt;=c_TMAP1IN,c_TMAP2IN&gt;c_TMAP1IN),N233,M233))),L233)</f>
        <v>490</v>
      </c>
      <c r="S233" s="7" t="str">
        <f aca="false">IF(R233&lt;-1090,"TOO LOW",IF(R233&gt;1090,"TOO HIGH",""))</f>
        <v/>
      </c>
      <c r="T233" s="15" t="n">
        <f aca="false">IF(H233&lt;&gt;"OK",0,IF(S233&lt;&gt;"",0,IF(R233&gt;979,1000,R233)))</f>
        <v>490</v>
      </c>
      <c r="U233" s="7" t="n">
        <f aca="false">T233/10</f>
        <v>49</v>
      </c>
    </row>
    <row r="234" customFormat="false" ht="15" hidden="false" customHeight="false" outlineLevel="0" collapsed="false">
      <c r="A234" s="7" t="n">
        <v>229</v>
      </c>
      <c r="B234" s="7" t="n">
        <f aca="false">ROUND(o_SWSTART+A234*(o_SWEND-o_SWSTART)/400,0)</f>
        <v>2344</v>
      </c>
      <c r="C234" s="7" t="n">
        <f aca="false">QUOTIENT((B234-c_OFF1)*c_GAIN1,1024)</f>
        <v>2344</v>
      </c>
      <c r="D234" s="7" t="n">
        <f aca="false">IF(((c_T1MX)-(c_T1MN))=0,(0)+QUOTIENT(((1000)-(0)),2),QUOTIENT((((C234)-(c_T1MN))*((1000)-(0))+IF(((1000)-(0))&gt;=0,1,-1)*QUOTIENT(((c_T1MX)-(c_T1MN)),2)),((c_T1MX)-(c_T1MN)))+(0)+IF(((1000)-(0))&gt;=0,IF(IF(o_WRAP=1,MOD(((c_T1MX)-(c_T1MN))*(((C234)-(c_T1MN))*((1000)-(0))+IF(((1000)-(0))&gt;=0,1,-1)*QUOTIENT(((c_T1MX)-(c_T1MN)),2))+2147483648,4294967296)-2147483648,((c_T1MX)-(c_T1MN))*(((C234)-(c_T1MN))*((1000)-(0))+IF(((1000)-(0))&gt;=0,1,-1)*QUOTIENT(((c_T1MX)-(c_T1MN)),2)))&lt;0,-1,0),IF(IF(o_WRAP=1,MOD(((c_T1MX)-(c_T1MN))*(((C234)-(c_T1MN))*((1000)-(0))+IF(((1000)-(0))&gt;=0,1,-1)*QUOTIENT(((c_T1MX)-(c_T1MN)),2))+2147483648,4294967296)-2147483648,((c_T1MX)-(c_T1MN))*(((C234)-(c_T1MN))*((1000)-(0))+IF(((1000)-(0))&gt;=0,1,-1)*QUOTIENT(((c_T1MX)-(c_T1MN)),2)))&gt;=0,1,0)))</f>
        <v>590</v>
      </c>
      <c r="E234" s="7" t="n">
        <f aca="false">IF(AND(c_TPOT=1,c_TTYPE=2),1000-D234,D234)</f>
        <v>590</v>
      </c>
      <c r="F234" s="7" t="str">
        <f aca="false">IF(c_TPOT&gt;1,ROUND(IF(c_TTYPE=2,c_T2MX-IF(c_T1MX=c_T1MN,0,(C234-c_T1MN)/(c_T1MX-c_T1MN))*(c_T2MX-c_T2MN),c_T2MN+IF(c_T1MX=c_T1MN,0,(C234-c_T1MN)/(c_T1MX-c_T1MN))*(c_T2MX-c_T2MN))+o_MISMATCH,0),"")</f>
        <v/>
      </c>
      <c r="G234" s="7" t="str">
        <f aca="false">IF(c_TPOT&gt;1,IF(((c_T2MX)-(c_T2MN))=0,(0)+QUOTIENT(((1000)-(0)),2),QUOTIENT((((F234)-(c_T2MN))*((1000)-(0))+IF(((1000)-(0))&gt;=0,1,-1)*QUOTIENT(((c_T2MX)-(c_T2MN)),2)),((c_T2MX)-(c_T2MN)))+(0)+IF(((1000)-(0))&gt;=0,IF(IF(o_WRAP=1,MOD(((c_T2MX)-(c_T2MN))*(((F234)-(c_T2MN))*((1000)-(0))+IF(((1000)-(0))&gt;=0,1,-1)*QUOTIENT(((c_T2MX)-(c_T2MN)),2))+2147483648,4294967296)-2147483648,((c_T2MX)-(c_T2MN))*(((F234)-(c_T2MN))*((1000)-(0))+IF(((1000)-(0))&gt;=0,1,-1)*QUOTIENT(((c_T2MX)-(c_T2MN)),2)))&lt;0,-1,0),IF(IF(o_WRAP=1,MOD(((c_T2MX)-(c_T2MN))*(((F234)-(c_T2MN))*((1000)-(0))+IF(((1000)-(0))&gt;=0,1,-1)*QUOTIENT(((c_T2MX)-(c_T2MN)),2))+2147483648,4294967296)-2147483648,((c_T2MX)-(c_T2MN))*(((F234)-(c_T2MN))*((1000)-(0))+IF(((1000)-(0))&gt;=0,1,-1)*QUOTIENT(((c_T2MX)-(c_T2MN)),2)))&gt;=0,1,0))),"")</f>
        <v/>
      </c>
      <c r="H234" s="7" t="str">
        <f aca="false">IF(E234&gt;1000+k_TOL,"T1 HIGH",IF(E234&lt;0-k_TOL,"T1 LOW",IF(c_TPOT&gt;1,IF(G234&gt;1000+k_TOL,"T2 HIGH",IF(G234&lt;0-k_TOL,"T2 LOW",IF(c_TTYPE=2,IF(ABS(1000-MAX(0,MIN(1000,E234))-MAX(0,MIN(1000,G234)))&gt;k_MAXERR,"MISMATCH","OK"),IF(OR(MAX(0,MIN(1000,E234))-k_MAXERR&gt;MAX(0,MIN(1000,G234)),MAX(0,MIN(1000,G234))-k_MAXERR&gt;MAX(0,MIN(1000,E234))),"MISMATCH","OK")))),"OK")))</f>
        <v>OK</v>
      </c>
      <c r="I234" s="7" t="n">
        <f aca="false">MAX(0,MIN(1000,D234))</f>
        <v>590</v>
      </c>
      <c r="J234" s="7" t="str">
        <f aca="false">IF(c_TPOT&gt;1,IF(c_TTYPE=2,1000-MAX(0,MIN(1000,G234)),MAX(0,MIN(1000,G234))),"")</f>
        <v/>
      </c>
      <c r="K234" s="7" t="n">
        <f aca="false">IF(c_TPOT&gt;1,QUOTIENT(I234+J234,2),I234)</f>
        <v>590</v>
      </c>
      <c r="L234" s="7" t="n">
        <f aca="false">IF(AND(K234=0,c_TCREEP&gt;0),10*c_TCREEP,IF(AND(K234&lt;=c_TRNGMIN,K234&gt;=c_TRNGMAX,c_TRNGMIN-c_TRNGMAX&lt;&gt;0),-10*c_TMINRN+QUOTIENT((c_TMAXRN-c_TMINRN)*(100-QUOTIENT((K234-c_TRNGMAX)*100,c_TRNGMIN-c_TRNGMAX)),-10),0))</f>
        <v>0</v>
      </c>
      <c r="M234" s="7" t="n">
        <f aca="false">IF(((c_TMAP1IN)-(c_TFWD))=0,(0)+QUOTIENT(((c_TMAP1OUT)-(0)),2),QUOTIENT((((K234)-(c_TFWD))*((c_TMAP1OUT)-(0))+IF(((c_TMAP1OUT)-(0))&gt;=0,1,-1)*QUOTIENT(((c_TMAP1IN)-(c_TFWD)),2)),((c_TMAP1IN)-(c_TFWD)))+(0)+IF(((c_TMAP1OUT)-(0))&gt;=0,IF(IF(o_WRAP=1,MOD(((c_TMAP1IN)-(c_TFWD))*(((K234)-(c_TFWD))*((c_TMAP1OUT)-(0))+IF(((c_TMAP1OUT)-(0))&gt;=0,1,-1)*QUOTIENT(((c_TMAP1IN)-(c_TFWD)),2))+2147483648,4294967296)-2147483648,((c_TMAP1IN)-(c_TFWD))*(((K234)-(c_TFWD))*((c_TMAP1OUT)-(0))+IF(((c_TMAP1OUT)-(0))&gt;=0,1,-1)*QUOTIENT(((c_TMAP1IN)-(c_TFWD)),2)))&lt;0,-1,0),IF(IF(o_WRAP=1,MOD(((c_TMAP1IN)-(c_TFWD))*(((K234)-(c_TFWD))*((c_TMAP1OUT)-(0))+IF(((c_TMAP1OUT)-(0))&gt;=0,1,-1)*QUOTIENT(((c_TMAP1IN)-(c_TFWD)),2))+2147483648,4294967296)-2147483648,((c_TMAP1IN)-(c_TFWD))*(((K234)-(c_TFWD))*((c_TMAP1OUT)-(0))+IF(((c_TMAP1OUT)-(0))&gt;=0,1,-1)*QUOTIENT(((c_TMAP1IN)-(c_TFWD)),2)))&gt;=0,1,0)))</f>
        <v>451</v>
      </c>
      <c r="N234" s="7" t="n">
        <f aca="false">IF(((c_TMAP2IN)-(c_TMAP1IN))=0,(c_TMAP1OUT)+QUOTIENT(((c_TMAP2OUT)-(c_TMAP1OUT)),2),QUOTIENT((((K234)-(c_TMAP1IN))*((c_TMAP2OUT)-(c_TMAP1OUT))+IF(((c_TMAP2OUT)-(c_TMAP1OUT))&gt;=0,1,-1)*QUOTIENT(((c_TMAP2IN)-(c_TMAP1IN)),2)),((c_TMAP2IN)-(c_TMAP1IN)))+(c_TMAP1OUT)+IF(((c_TMAP2OUT)-(c_TMAP1OUT))&gt;=0,IF(IF(o_WRAP=1,MOD(((c_TMAP2IN)-(c_TMAP1IN))*(((K234)-(c_TMAP1IN))*((c_TMAP2OUT)-(c_TMAP1OUT))+IF(((c_TMAP2OUT)-(c_TMAP1OUT))&gt;=0,1,-1)*QUOTIENT(((c_TMAP2IN)-(c_TMAP1IN)),2))+2147483648,4294967296)-2147483648,((c_TMAP2IN)-(c_TMAP1IN))*(((K234)-(c_TMAP1IN))*((c_TMAP2OUT)-(c_TMAP1OUT))+IF(((c_TMAP2OUT)-(c_TMAP1OUT))&gt;=0,1,-1)*QUOTIENT(((c_TMAP2IN)-(c_TMAP1IN)),2)))&lt;0,-1,0),IF(IF(o_WRAP=1,MOD(((c_TMAP2IN)-(c_TMAP1IN))*(((K234)-(c_TMAP1IN))*((c_TMAP2OUT)-(c_TMAP1OUT))+IF(((c_TMAP2OUT)-(c_TMAP1OUT))&gt;=0,1,-1)*QUOTIENT(((c_TMAP2IN)-(c_TMAP1IN)),2))+2147483648,4294967296)-2147483648,((c_TMAP2IN)-(c_TMAP1IN))*(((K234)-(c_TMAP1IN))*((c_TMAP2OUT)-(c_TMAP1OUT))+IF(((c_TMAP2OUT)-(c_TMAP1OUT))&gt;=0,1,-1)*QUOTIENT(((c_TMAP2IN)-(c_TMAP1IN)),2)))&gt;=0,1,0)))</f>
        <v>266</v>
      </c>
      <c r="O234" s="7" t="n">
        <f aca="false">IF(((c_TMAP3IN)-(c_TMAP2IN))=0,(c_TMAP2OUT)+QUOTIENT(((c_TMAP3OUT)-(c_TMAP2OUT)),2),QUOTIENT((((K234)-(c_TMAP2IN))*((c_TMAP3OUT)-(c_TMAP2OUT))+IF(((c_TMAP3OUT)-(c_TMAP2OUT))&gt;=0,1,-1)*QUOTIENT(((c_TMAP3IN)-(c_TMAP2IN)),2)),((c_TMAP3IN)-(c_TMAP2IN)))+(c_TMAP2OUT)+IF(((c_TMAP3OUT)-(c_TMAP2OUT))&gt;=0,IF(IF(o_WRAP=1,MOD(((c_TMAP3IN)-(c_TMAP2IN))*(((K234)-(c_TMAP2IN))*((c_TMAP3OUT)-(c_TMAP2OUT))+IF(((c_TMAP3OUT)-(c_TMAP2OUT))&gt;=0,1,-1)*QUOTIENT(((c_TMAP3IN)-(c_TMAP2IN)),2))+2147483648,4294967296)-2147483648,((c_TMAP3IN)-(c_TMAP2IN))*(((K234)-(c_TMAP2IN))*((c_TMAP3OUT)-(c_TMAP2OUT))+IF(((c_TMAP3OUT)-(c_TMAP2OUT))&gt;=0,1,-1)*QUOTIENT(((c_TMAP3IN)-(c_TMAP2IN)),2)))&lt;0,-1,0),IF(IF(o_WRAP=1,MOD(((c_TMAP3IN)-(c_TMAP2IN))*(((K234)-(c_TMAP2IN))*((c_TMAP3OUT)-(c_TMAP2OUT))+IF(((c_TMAP3OUT)-(c_TMAP2OUT))&gt;=0,1,-1)*QUOTIENT(((c_TMAP3IN)-(c_TMAP2IN)),2))+2147483648,4294967296)-2147483648,((c_TMAP3IN)-(c_TMAP2IN))*(((K234)-(c_TMAP2IN))*((c_TMAP3OUT)-(c_TMAP2OUT))+IF(((c_TMAP3OUT)-(c_TMAP2OUT))&gt;=0,1,-1)*QUOTIENT(((c_TMAP3IN)-(c_TMAP2IN)),2)))&gt;=0,1,0)))</f>
        <v>368</v>
      </c>
      <c r="P234" s="7" t="n">
        <f aca="false">IF(((1000)-(c_TMAP3IN))=0,(c_TMAP3OUT)+QUOTIENT(((1000)-(c_TMAP3OUT)),2),QUOTIENT((((K234)-(c_TMAP3IN))*((1000)-(c_TMAP3OUT))+IF(((1000)-(c_TMAP3OUT))&gt;=0,1,-1)*QUOTIENT(((1000)-(c_TMAP3IN)),2)),((1000)-(c_TMAP3IN)))+(c_TMAP3OUT)+IF(((1000)-(c_TMAP3OUT))&gt;=0,IF(IF(o_WRAP=1,MOD(((1000)-(c_TMAP3IN))*(((K234)-(c_TMAP3IN))*((1000)-(c_TMAP3OUT))+IF(((1000)-(c_TMAP3OUT))&gt;=0,1,-1)*QUOTIENT(((1000)-(c_TMAP3IN)),2))+2147483648,4294967296)-2147483648,((1000)-(c_TMAP3IN))*(((K234)-(c_TMAP3IN))*((1000)-(c_TMAP3OUT))+IF(((1000)-(c_TMAP3OUT))&gt;=0,1,-1)*QUOTIENT(((1000)-(c_TMAP3IN)),2)))&lt;0,-1,0),IF(IF(o_WRAP=1,MOD(((1000)-(c_TMAP3IN))*(((K234)-(c_TMAP3IN))*((1000)-(c_TMAP3OUT))+IF(((1000)-(c_TMAP3OUT))&gt;=0,1,-1)*QUOTIENT(((1000)-(c_TMAP3IN)),2))+2147483648,4294967296)-2147483648,((1000)-(c_TMAP3IN))*(((K234)-(c_TMAP3IN))*((1000)-(c_TMAP3OUT))+IF(((1000)-(c_TMAP3OUT))&gt;=0,1,-1)*QUOTIENT(((1000)-(c_TMAP3IN)),2)))&gt;=0,1,0)))</f>
        <v>495</v>
      </c>
      <c r="Q234" s="7" t="str">
        <f aca="false">IF(K234&gt;=c_TFWD,IF(AND(K234&gt;=c_TMAP3IN,c_TMAP3IN&lt;1000),"Seg4 map3-100%",IF(AND(K234&gt;=c_TMAP2IN,c_TMAP3IN&gt;c_TMAP2IN),"Seg3 map2-map3",IF(AND(K234&gt;=c_TMAP1IN,c_TMAP2IN&gt;c_TMAP1IN),"Seg2 map1-map2","Seg1 TFWD-map1"))),IF(AND(K234=0,c_TCREEP&gt;0),"Creep",IF(AND(K234&lt;=c_TRNGMIN,K234&gt;=c_TRNGMAX,c_TRNGMIN-c_TRNGMAX&lt;&gt;0),"Regen ramp","Coast (0)")))</f>
        <v>Seg4 map3-100%</v>
      </c>
      <c r="R234" s="7" t="n">
        <f aca="false">IF(K234&gt;=c_TFWD,IF(AND(K234&gt;=c_TMAP3IN,c_TMAP3IN&lt;1000),P234,IF(AND(K234&gt;=c_TMAP2IN,c_TMAP3IN&gt;c_TMAP2IN),O234,IF(AND(K234&gt;=c_TMAP1IN,c_TMAP2IN&gt;c_TMAP1IN),N234,M234))),L234)</f>
        <v>495</v>
      </c>
      <c r="S234" s="7" t="str">
        <f aca="false">IF(R234&lt;-1090,"TOO LOW",IF(R234&gt;1090,"TOO HIGH",""))</f>
        <v/>
      </c>
      <c r="T234" s="15" t="n">
        <f aca="false">IF(H234&lt;&gt;"OK",0,IF(S234&lt;&gt;"",0,IF(R234&gt;979,1000,R234)))</f>
        <v>495</v>
      </c>
      <c r="U234" s="7" t="n">
        <f aca="false">T234/10</f>
        <v>49.5</v>
      </c>
    </row>
    <row r="235" customFormat="false" ht="15" hidden="false" customHeight="false" outlineLevel="0" collapsed="false">
      <c r="A235" s="7" t="n">
        <v>230</v>
      </c>
      <c r="B235" s="7" t="n">
        <f aca="false">ROUND(o_SWSTART+A235*(o_SWEND-o_SWSTART)/400,0)</f>
        <v>2355</v>
      </c>
      <c r="C235" s="7" t="n">
        <f aca="false">QUOTIENT((B235-c_OFF1)*c_GAIN1,1024)</f>
        <v>2355</v>
      </c>
      <c r="D235" s="7" t="n">
        <f aca="false">IF(((c_T1MX)-(c_T1MN))=0,(0)+QUOTIENT(((1000)-(0)),2),QUOTIENT((((C235)-(c_T1MN))*((1000)-(0))+IF(((1000)-(0))&gt;=0,1,-1)*QUOTIENT(((c_T1MX)-(c_T1MN)),2)),((c_T1MX)-(c_T1MN)))+(0)+IF(((1000)-(0))&gt;=0,IF(IF(o_WRAP=1,MOD(((c_T1MX)-(c_T1MN))*(((C235)-(c_T1MN))*((1000)-(0))+IF(((1000)-(0))&gt;=0,1,-1)*QUOTIENT(((c_T1MX)-(c_T1MN)),2))+2147483648,4294967296)-2147483648,((c_T1MX)-(c_T1MN))*(((C235)-(c_T1MN))*((1000)-(0))+IF(((1000)-(0))&gt;=0,1,-1)*QUOTIENT(((c_T1MX)-(c_T1MN)),2)))&lt;0,-1,0),IF(IF(o_WRAP=1,MOD(((c_T1MX)-(c_T1MN))*(((C235)-(c_T1MN))*((1000)-(0))+IF(((1000)-(0))&gt;=0,1,-1)*QUOTIENT(((c_T1MX)-(c_T1MN)),2))+2147483648,4294967296)-2147483648,((c_T1MX)-(c_T1MN))*(((C235)-(c_T1MN))*((1000)-(0))+IF(((1000)-(0))&gt;=0,1,-1)*QUOTIENT(((c_T1MX)-(c_T1MN)),2)))&gt;=0,1,0)))</f>
        <v>594</v>
      </c>
      <c r="E235" s="7" t="n">
        <f aca="false">IF(AND(c_TPOT=1,c_TTYPE=2),1000-D235,D235)</f>
        <v>594</v>
      </c>
      <c r="F235" s="7" t="str">
        <f aca="false">IF(c_TPOT&gt;1,ROUND(IF(c_TTYPE=2,c_T2MX-IF(c_T1MX=c_T1MN,0,(C235-c_T1MN)/(c_T1MX-c_T1MN))*(c_T2MX-c_T2MN),c_T2MN+IF(c_T1MX=c_T1MN,0,(C235-c_T1MN)/(c_T1MX-c_T1MN))*(c_T2MX-c_T2MN))+o_MISMATCH,0),"")</f>
        <v/>
      </c>
      <c r="G235" s="7" t="str">
        <f aca="false">IF(c_TPOT&gt;1,IF(((c_T2MX)-(c_T2MN))=0,(0)+QUOTIENT(((1000)-(0)),2),QUOTIENT((((F235)-(c_T2MN))*((1000)-(0))+IF(((1000)-(0))&gt;=0,1,-1)*QUOTIENT(((c_T2MX)-(c_T2MN)),2)),((c_T2MX)-(c_T2MN)))+(0)+IF(((1000)-(0))&gt;=0,IF(IF(o_WRAP=1,MOD(((c_T2MX)-(c_T2MN))*(((F235)-(c_T2MN))*((1000)-(0))+IF(((1000)-(0))&gt;=0,1,-1)*QUOTIENT(((c_T2MX)-(c_T2MN)),2))+2147483648,4294967296)-2147483648,((c_T2MX)-(c_T2MN))*(((F235)-(c_T2MN))*((1000)-(0))+IF(((1000)-(0))&gt;=0,1,-1)*QUOTIENT(((c_T2MX)-(c_T2MN)),2)))&lt;0,-1,0),IF(IF(o_WRAP=1,MOD(((c_T2MX)-(c_T2MN))*(((F235)-(c_T2MN))*((1000)-(0))+IF(((1000)-(0))&gt;=0,1,-1)*QUOTIENT(((c_T2MX)-(c_T2MN)),2))+2147483648,4294967296)-2147483648,((c_T2MX)-(c_T2MN))*(((F235)-(c_T2MN))*((1000)-(0))+IF(((1000)-(0))&gt;=0,1,-1)*QUOTIENT(((c_T2MX)-(c_T2MN)),2)))&gt;=0,1,0))),"")</f>
        <v/>
      </c>
      <c r="H235" s="7" t="str">
        <f aca="false">IF(E235&gt;1000+k_TOL,"T1 HIGH",IF(E235&lt;0-k_TOL,"T1 LOW",IF(c_TPOT&gt;1,IF(G235&gt;1000+k_TOL,"T2 HIGH",IF(G235&lt;0-k_TOL,"T2 LOW",IF(c_TTYPE=2,IF(ABS(1000-MAX(0,MIN(1000,E235))-MAX(0,MIN(1000,G235)))&gt;k_MAXERR,"MISMATCH","OK"),IF(OR(MAX(0,MIN(1000,E235))-k_MAXERR&gt;MAX(0,MIN(1000,G235)),MAX(0,MIN(1000,G235))-k_MAXERR&gt;MAX(0,MIN(1000,E235))),"MISMATCH","OK")))),"OK")))</f>
        <v>OK</v>
      </c>
      <c r="I235" s="7" t="n">
        <f aca="false">MAX(0,MIN(1000,D235))</f>
        <v>594</v>
      </c>
      <c r="J235" s="7" t="str">
        <f aca="false">IF(c_TPOT&gt;1,IF(c_TTYPE=2,1000-MAX(0,MIN(1000,G235)),MAX(0,MIN(1000,G235))),"")</f>
        <v/>
      </c>
      <c r="K235" s="7" t="n">
        <f aca="false">IF(c_TPOT&gt;1,QUOTIENT(I235+J235,2),I235)</f>
        <v>594</v>
      </c>
      <c r="L235" s="7" t="n">
        <f aca="false">IF(AND(K235=0,c_TCREEP&gt;0),10*c_TCREEP,IF(AND(K235&lt;=c_TRNGMIN,K235&gt;=c_TRNGMAX,c_TRNGMIN-c_TRNGMAX&lt;&gt;0),-10*c_TMINRN+QUOTIENT((c_TMAXRN-c_TMINRN)*(100-QUOTIENT((K235-c_TRNGMAX)*100,c_TRNGMIN-c_TRNGMAX)),-10),0))</f>
        <v>0</v>
      </c>
      <c r="M235" s="7" t="n">
        <f aca="false">IF(((c_TMAP1IN)-(c_TFWD))=0,(0)+QUOTIENT(((c_TMAP1OUT)-(0)),2),QUOTIENT((((K235)-(c_TFWD))*((c_TMAP1OUT)-(0))+IF(((c_TMAP1OUT)-(0))&gt;=0,1,-1)*QUOTIENT(((c_TMAP1IN)-(c_TFWD)),2)),((c_TMAP1IN)-(c_TFWD)))+(0)+IF(((c_TMAP1OUT)-(0))&gt;=0,IF(IF(o_WRAP=1,MOD(((c_TMAP1IN)-(c_TFWD))*(((K235)-(c_TFWD))*((c_TMAP1OUT)-(0))+IF(((c_TMAP1OUT)-(0))&gt;=0,1,-1)*QUOTIENT(((c_TMAP1IN)-(c_TFWD)),2))+2147483648,4294967296)-2147483648,((c_TMAP1IN)-(c_TFWD))*(((K235)-(c_TFWD))*((c_TMAP1OUT)-(0))+IF(((c_TMAP1OUT)-(0))&gt;=0,1,-1)*QUOTIENT(((c_TMAP1IN)-(c_TFWD)),2)))&lt;0,-1,0),IF(IF(o_WRAP=1,MOD(((c_TMAP1IN)-(c_TFWD))*(((K235)-(c_TFWD))*((c_TMAP1OUT)-(0))+IF(((c_TMAP1OUT)-(0))&gt;=0,1,-1)*QUOTIENT(((c_TMAP1IN)-(c_TFWD)),2))+2147483648,4294967296)-2147483648,((c_TMAP1IN)-(c_TFWD))*(((K235)-(c_TFWD))*((c_TMAP1OUT)-(0))+IF(((c_TMAP1OUT)-(0))&gt;=0,1,-1)*QUOTIENT(((c_TMAP1IN)-(c_TFWD)),2)))&gt;=0,1,0)))</f>
        <v>454</v>
      </c>
      <c r="N235" s="7" t="n">
        <f aca="false">IF(((c_TMAP2IN)-(c_TMAP1IN))=0,(c_TMAP1OUT)+QUOTIENT(((c_TMAP2OUT)-(c_TMAP1OUT)),2),QUOTIENT((((K235)-(c_TMAP1IN))*((c_TMAP2OUT)-(c_TMAP1OUT))+IF(((c_TMAP2OUT)-(c_TMAP1OUT))&gt;=0,1,-1)*QUOTIENT(((c_TMAP2IN)-(c_TMAP1IN)),2)),((c_TMAP2IN)-(c_TMAP1IN)))+(c_TMAP1OUT)+IF(((c_TMAP2OUT)-(c_TMAP1OUT))&gt;=0,IF(IF(o_WRAP=1,MOD(((c_TMAP2IN)-(c_TMAP1IN))*(((K235)-(c_TMAP1IN))*((c_TMAP2OUT)-(c_TMAP1OUT))+IF(((c_TMAP2OUT)-(c_TMAP1OUT))&gt;=0,1,-1)*QUOTIENT(((c_TMAP2IN)-(c_TMAP1IN)),2))+2147483648,4294967296)-2147483648,((c_TMAP2IN)-(c_TMAP1IN))*(((K235)-(c_TMAP1IN))*((c_TMAP2OUT)-(c_TMAP1OUT))+IF(((c_TMAP2OUT)-(c_TMAP1OUT))&gt;=0,1,-1)*QUOTIENT(((c_TMAP2IN)-(c_TMAP1IN)),2)))&lt;0,-1,0),IF(IF(o_WRAP=1,MOD(((c_TMAP2IN)-(c_TMAP1IN))*(((K235)-(c_TMAP1IN))*((c_TMAP2OUT)-(c_TMAP1OUT))+IF(((c_TMAP2OUT)-(c_TMAP1OUT))&gt;=0,1,-1)*QUOTIENT(((c_TMAP2IN)-(c_TMAP1IN)),2))+2147483648,4294967296)-2147483648,((c_TMAP2IN)-(c_TMAP1IN))*(((K235)-(c_TMAP1IN))*((c_TMAP2OUT)-(c_TMAP1OUT))+IF(((c_TMAP2OUT)-(c_TMAP1OUT))&gt;=0,1,-1)*QUOTIENT(((c_TMAP2IN)-(c_TMAP1IN)),2)))&gt;=0,1,0)))</f>
        <v>268</v>
      </c>
      <c r="O235" s="7" t="n">
        <f aca="false">IF(((c_TMAP3IN)-(c_TMAP2IN))=0,(c_TMAP2OUT)+QUOTIENT(((c_TMAP3OUT)-(c_TMAP2OUT)),2),QUOTIENT((((K235)-(c_TMAP2IN))*((c_TMAP3OUT)-(c_TMAP2OUT))+IF(((c_TMAP3OUT)-(c_TMAP2OUT))&gt;=0,1,-1)*QUOTIENT(((c_TMAP3IN)-(c_TMAP2IN)),2)),((c_TMAP3IN)-(c_TMAP2IN)))+(c_TMAP2OUT)+IF(((c_TMAP3OUT)-(c_TMAP2OUT))&gt;=0,IF(IF(o_WRAP=1,MOD(((c_TMAP3IN)-(c_TMAP2IN))*(((K235)-(c_TMAP2IN))*((c_TMAP3OUT)-(c_TMAP2OUT))+IF(((c_TMAP3OUT)-(c_TMAP2OUT))&gt;=0,1,-1)*QUOTIENT(((c_TMAP3IN)-(c_TMAP2IN)),2))+2147483648,4294967296)-2147483648,((c_TMAP3IN)-(c_TMAP2IN))*(((K235)-(c_TMAP2IN))*((c_TMAP3OUT)-(c_TMAP2OUT))+IF(((c_TMAP3OUT)-(c_TMAP2OUT))&gt;=0,1,-1)*QUOTIENT(((c_TMAP3IN)-(c_TMAP2IN)),2)))&lt;0,-1,0),IF(IF(o_WRAP=1,MOD(((c_TMAP3IN)-(c_TMAP2IN))*(((K235)-(c_TMAP2IN))*((c_TMAP3OUT)-(c_TMAP2OUT))+IF(((c_TMAP3OUT)-(c_TMAP2OUT))&gt;=0,1,-1)*QUOTIENT(((c_TMAP3IN)-(c_TMAP2IN)),2))+2147483648,4294967296)-2147483648,((c_TMAP3IN)-(c_TMAP2IN))*(((K235)-(c_TMAP2IN))*((c_TMAP3OUT)-(c_TMAP2OUT))+IF(((c_TMAP3OUT)-(c_TMAP2OUT))&gt;=0,1,-1)*QUOTIENT(((c_TMAP3IN)-(c_TMAP2IN)),2)))&gt;=0,1,0)))</f>
        <v>371</v>
      </c>
      <c r="P235" s="7" t="n">
        <f aca="false">IF(((1000)-(c_TMAP3IN))=0,(c_TMAP3OUT)+QUOTIENT(((1000)-(c_TMAP3OUT)),2),QUOTIENT((((K235)-(c_TMAP3IN))*((1000)-(c_TMAP3OUT))+IF(((1000)-(c_TMAP3OUT))&gt;=0,1,-1)*QUOTIENT(((1000)-(c_TMAP3IN)),2)),((1000)-(c_TMAP3IN)))+(c_TMAP3OUT)+IF(((1000)-(c_TMAP3OUT))&gt;=0,IF(IF(o_WRAP=1,MOD(((1000)-(c_TMAP3IN))*(((K235)-(c_TMAP3IN))*((1000)-(c_TMAP3OUT))+IF(((1000)-(c_TMAP3OUT))&gt;=0,1,-1)*QUOTIENT(((1000)-(c_TMAP3IN)),2))+2147483648,4294967296)-2147483648,((1000)-(c_TMAP3IN))*(((K235)-(c_TMAP3IN))*((1000)-(c_TMAP3OUT))+IF(((1000)-(c_TMAP3OUT))&gt;=0,1,-1)*QUOTIENT(((1000)-(c_TMAP3IN)),2)))&lt;0,-1,0),IF(IF(o_WRAP=1,MOD(((1000)-(c_TMAP3IN))*(((K235)-(c_TMAP3IN))*((1000)-(c_TMAP3OUT))+IF(((1000)-(c_TMAP3OUT))&gt;=0,1,-1)*QUOTIENT(((1000)-(c_TMAP3IN)),2))+2147483648,4294967296)-2147483648,((1000)-(c_TMAP3IN))*(((K235)-(c_TMAP3IN))*((1000)-(c_TMAP3OUT))+IF(((1000)-(c_TMAP3OUT))&gt;=0,1,-1)*QUOTIENT(((1000)-(c_TMAP3IN)),2)))&gt;=0,1,0)))</f>
        <v>500</v>
      </c>
      <c r="Q235" s="7" t="str">
        <f aca="false">IF(K235&gt;=c_TFWD,IF(AND(K235&gt;=c_TMAP3IN,c_TMAP3IN&lt;1000),"Seg4 map3-100%",IF(AND(K235&gt;=c_TMAP2IN,c_TMAP3IN&gt;c_TMAP2IN),"Seg3 map2-map3",IF(AND(K235&gt;=c_TMAP1IN,c_TMAP2IN&gt;c_TMAP1IN),"Seg2 map1-map2","Seg1 TFWD-map1"))),IF(AND(K235=0,c_TCREEP&gt;0),"Creep",IF(AND(K235&lt;=c_TRNGMIN,K235&gt;=c_TRNGMAX,c_TRNGMIN-c_TRNGMAX&lt;&gt;0),"Regen ramp","Coast (0)")))</f>
        <v>Seg4 map3-100%</v>
      </c>
      <c r="R235" s="7" t="n">
        <f aca="false">IF(K235&gt;=c_TFWD,IF(AND(K235&gt;=c_TMAP3IN,c_TMAP3IN&lt;1000),P235,IF(AND(K235&gt;=c_TMAP2IN,c_TMAP3IN&gt;c_TMAP2IN),O235,IF(AND(K235&gt;=c_TMAP1IN,c_TMAP2IN&gt;c_TMAP1IN),N235,M235))),L235)</f>
        <v>500</v>
      </c>
      <c r="S235" s="7" t="str">
        <f aca="false">IF(R235&lt;-1090,"TOO LOW",IF(R235&gt;1090,"TOO HIGH",""))</f>
        <v/>
      </c>
      <c r="T235" s="15" t="n">
        <f aca="false">IF(H235&lt;&gt;"OK",0,IF(S235&lt;&gt;"",0,IF(R235&gt;979,1000,R235)))</f>
        <v>500</v>
      </c>
      <c r="U235" s="7" t="n">
        <f aca="false">T235/10</f>
        <v>50</v>
      </c>
    </row>
    <row r="236" customFormat="false" ht="15" hidden="false" customHeight="false" outlineLevel="0" collapsed="false">
      <c r="A236" s="7" t="n">
        <v>231</v>
      </c>
      <c r="B236" s="7" t="n">
        <f aca="false">ROUND(o_SWSTART+A236*(o_SWEND-o_SWSTART)/400,0)</f>
        <v>2365</v>
      </c>
      <c r="C236" s="7" t="n">
        <f aca="false">QUOTIENT((B236-c_OFF1)*c_GAIN1,1024)</f>
        <v>2365</v>
      </c>
      <c r="D236" s="7" t="n">
        <f aca="false">IF(((c_T1MX)-(c_T1MN))=0,(0)+QUOTIENT(((1000)-(0)),2),QUOTIENT((((C236)-(c_T1MN))*((1000)-(0))+IF(((1000)-(0))&gt;=0,1,-1)*QUOTIENT(((c_T1MX)-(c_T1MN)),2)),((c_T1MX)-(c_T1MN)))+(0)+IF(((1000)-(0))&gt;=0,IF(IF(o_WRAP=1,MOD(((c_T1MX)-(c_T1MN))*(((C236)-(c_T1MN))*((1000)-(0))+IF(((1000)-(0))&gt;=0,1,-1)*QUOTIENT(((c_T1MX)-(c_T1MN)),2))+2147483648,4294967296)-2147483648,((c_T1MX)-(c_T1MN))*(((C236)-(c_T1MN))*((1000)-(0))+IF(((1000)-(0))&gt;=0,1,-1)*QUOTIENT(((c_T1MX)-(c_T1MN)),2)))&lt;0,-1,0),IF(IF(o_WRAP=1,MOD(((c_T1MX)-(c_T1MN))*(((C236)-(c_T1MN))*((1000)-(0))+IF(((1000)-(0))&gt;=0,1,-1)*QUOTIENT(((c_T1MX)-(c_T1MN)),2))+2147483648,4294967296)-2147483648,((c_T1MX)-(c_T1MN))*(((C236)-(c_T1MN))*((1000)-(0))+IF(((1000)-(0))&gt;=0,1,-1)*QUOTIENT(((c_T1MX)-(c_T1MN)),2)))&gt;=0,1,0)))</f>
        <v>597</v>
      </c>
      <c r="E236" s="7" t="n">
        <f aca="false">IF(AND(c_TPOT=1,c_TTYPE=2),1000-D236,D236)</f>
        <v>597</v>
      </c>
      <c r="F236" s="7" t="str">
        <f aca="false">IF(c_TPOT&gt;1,ROUND(IF(c_TTYPE=2,c_T2MX-IF(c_T1MX=c_T1MN,0,(C236-c_T1MN)/(c_T1MX-c_T1MN))*(c_T2MX-c_T2MN),c_T2MN+IF(c_T1MX=c_T1MN,0,(C236-c_T1MN)/(c_T1MX-c_T1MN))*(c_T2MX-c_T2MN))+o_MISMATCH,0),"")</f>
        <v/>
      </c>
      <c r="G236" s="7" t="str">
        <f aca="false">IF(c_TPOT&gt;1,IF(((c_T2MX)-(c_T2MN))=0,(0)+QUOTIENT(((1000)-(0)),2),QUOTIENT((((F236)-(c_T2MN))*((1000)-(0))+IF(((1000)-(0))&gt;=0,1,-1)*QUOTIENT(((c_T2MX)-(c_T2MN)),2)),((c_T2MX)-(c_T2MN)))+(0)+IF(((1000)-(0))&gt;=0,IF(IF(o_WRAP=1,MOD(((c_T2MX)-(c_T2MN))*(((F236)-(c_T2MN))*((1000)-(0))+IF(((1000)-(0))&gt;=0,1,-1)*QUOTIENT(((c_T2MX)-(c_T2MN)),2))+2147483648,4294967296)-2147483648,((c_T2MX)-(c_T2MN))*(((F236)-(c_T2MN))*((1000)-(0))+IF(((1000)-(0))&gt;=0,1,-1)*QUOTIENT(((c_T2MX)-(c_T2MN)),2)))&lt;0,-1,0),IF(IF(o_WRAP=1,MOD(((c_T2MX)-(c_T2MN))*(((F236)-(c_T2MN))*((1000)-(0))+IF(((1000)-(0))&gt;=0,1,-1)*QUOTIENT(((c_T2MX)-(c_T2MN)),2))+2147483648,4294967296)-2147483648,((c_T2MX)-(c_T2MN))*(((F236)-(c_T2MN))*((1000)-(0))+IF(((1000)-(0))&gt;=0,1,-1)*QUOTIENT(((c_T2MX)-(c_T2MN)),2)))&gt;=0,1,0))),"")</f>
        <v/>
      </c>
      <c r="H236" s="7" t="str">
        <f aca="false">IF(E236&gt;1000+k_TOL,"T1 HIGH",IF(E236&lt;0-k_TOL,"T1 LOW",IF(c_TPOT&gt;1,IF(G236&gt;1000+k_TOL,"T2 HIGH",IF(G236&lt;0-k_TOL,"T2 LOW",IF(c_TTYPE=2,IF(ABS(1000-MAX(0,MIN(1000,E236))-MAX(0,MIN(1000,G236)))&gt;k_MAXERR,"MISMATCH","OK"),IF(OR(MAX(0,MIN(1000,E236))-k_MAXERR&gt;MAX(0,MIN(1000,G236)),MAX(0,MIN(1000,G236))-k_MAXERR&gt;MAX(0,MIN(1000,E236))),"MISMATCH","OK")))),"OK")))</f>
        <v>OK</v>
      </c>
      <c r="I236" s="7" t="n">
        <f aca="false">MAX(0,MIN(1000,D236))</f>
        <v>597</v>
      </c>
      <c r="J236" s="7" t="str">
        <f aca="false">IF(c_TPOT&gt;1,IF(c_TTYPE=2,1000-MAX(0,MIN(1000,G236)),MAX(0,MIN(1000,G236))),"")</f>
        <v/>
      </c>
      <c r="K236" s="7" t="n">
        <f aca="false">IF(c_TPOT&gt;1,QUOTIENT(I236+J236,2),I236)</f>
        <v>597</v>
      </c>
      <c r="L236" s="7" t="n">
        <f aca="false">IF(AND(K236=0,c_TCREEP&gt;0),10*c_TCREEP,IF(AND(K236&lt;=c_TRNGMIN,K236&gt;=c_TRNGMAX,c_TRNGMIN-c_TRNGMAX&lt;&gt;0),-10*c_TMINRN+QUOTIENT((c_TMAXRN-c_TMINRN)*(100-QUOTIENT((K236-c_TRNGMAX)*100,c_TRNGMIN-c_TRNGMAX)),-10),0))</f>
        <v>0</v>
      </c>
      <c r="M236" s="7" t="n">
        <f aca="false">IF(((c_TMAP1IN)-(c_TFWD))=0,(0)+QUOTIENT(((c_TMAP1OUT)-(0)),2),QUOTIENT((((K236)-(c_TFWD))*((c_TMAP1OUT)-(0))+IF(((c_TMAP1OUT)-(0))&gt;=0,1,-1)*QUOTIENT(((c_TMAP1IN)-(c_TFWD)),2)),((c_TMAP1IN)-(c_TFWD)))+(0)+IF(((c_TMAP1OUT)-(0))&gt;=0,IF(IF(o_WRAP=1,MOD(((c_TMAP1IN)-(c_TFWD))*(((K236)-(c_TFWD))*((c_TMAP1OUT)-(0))+IF(((c_TMAP1OUT)-(0))&gt;=0,1,-1)*QUOTIENT(((c_TMAP1IN)-(c_TFWD)),2))+2147483648,4294967296)-2147483648,((c_TMAP1IN)-(c_TFWD))*(((K236)-(c_TFWD))*((c_TMAP1OUT)-(0))+IF(((c_TMAP1OUT)-(0))&gt;=0,1,-1)*QUOTIENT(((c_TMAP1IN)-(c_TFWD)),2)))&lt;0,-1,0),IF(IF(o_WRAP=1,MOD(((c_TMAP1IN)-(c_TFWD))*(((K236)-(c_TFWD))*((c_TMAP1OUT)-(0))+IF(((c_TMAP1OUT)-(0))&gt;=0,1,-1)*QUOTIENT(((c_TMAP1IN)-(c_TFWD)),2))+2147483648,4294967296)-2147483648,((c_TMAP1IN)-(c_TFWD))*(((K236)-(c_TFWD))*((c_TMAP1OUT)-(0))+IF(((c_TMAP1OUT)-(0))&gt;=0,1,-1)*QUOTIENT(((c_TMAP1IN)-(c_TFWD)),2)))&gt;=0,1,0)))</f>
        <v>457</v>
      </c>
      <c r="N236" s="7" t="n">
        <f aca="false">IF(((c_TMAP2IN)-(c_TMAP1IN))=0,(c_TMAP1OUT)+QUOTIENT(((c_TMAP2OUT)-(c_TMAP1OUT)),2),QUOTIENT((((K236)-(c_TMAP1IN))*((c_TMAP2OUT)-(c_TMAP1OUT))+IF(((c_TMAP2OUT)-(c_TMAP1OUT))&gt;=0,1,-1)*QUOTIENT(((c_TMAP2IN)-(c_TMAP1IN)),2)),((c_TMAP2IN)-(c_TMAP1IN)))+(c_TMAP1OUT)+IF(((c_TMAP2OUT)-(c_TMAP1OUT))&gt;=0,IF(IF(o_WRAP=1,MOD(((c_TMAP2IN)-(c_TMAP1IN))*(((K236)-(c_TMAP1IN))*((c_TMAP2OUT)-(c_TMAP1OUT))+IF(((c_TMAP2OUT)-(c_TMAP1OUT))&gt;=0,1,-1)*QUOTIENT(((c_TMAP2IN)-(c_TMAP1IN)),2))+2147483648,4294967296)-2147483648,((c_TMAP2IN)-(c_TMAP1IN))*(((K236)-(c_TMAP1IN))*((c_TMAP2OUT)-(c_TMAP1OUT))+IF(((c_TMAP2OUT)-(c_TMAP1OUT))&gt;=0,1,-1)*QUOTIENT(((c_TMAP2IN)-(c_TMAP1IN)),2)))&lt;0,-1,0),IF(IF(o_WRAP=1,MOD(((c_TMAP2IN)-(c_TMAP1IN))*(((K236)-(c_TMAP1IN))*((c_TMAP2OUT)-(c_TMAP1OUT))+IF(((c_TMAP2OUT)-(c_TMAP1OUT))&gt;=0,1,-1)*QUOTIENT(((c_TMAP2IN)-(c_TMAP1IN)),2))+2147483648,4294967296)-2147483648,((c_TMAP2IN)-(c_TMAP1IN))*(((K236)-(c_TMAP1IN))*((c_TMAP2OUT)-(c_TMAP1OUT))+IF(((c_TMAP2OUT)-(c_TMAP1OUT))&gt;=0,1,-1)*QUOTIENT(((c_TMAP2IN)-(c_TMAP1IN)),2)))&gt;=0,1,0)))</f>
        <v>269</v>
      </c>
      <c r="O236" s="7" t="n">
        <f aca="false">IF(((c_TMAP3IN)-(c_TMAP2IN))=0,(c_TMAP2OUT)+QUOTIENT(((c_TMAP3OUT)-(c_TMAP2OUT)),2),QUOTIENT((((K236)-(c_TMAP2IN))*((c_TMAP3OUT)-(c_TMAP2OUT))+IF(((c_TMAP3OUT)-(c_TMAP2OUT))&gt;=0,1,-1)*QUOTIENT(((c_TMAP3IN)-(c_TMAP2IN)),2)),((c_TMAP3IN)-(c_TMAP2IN)))+(c_TMAP2OUT)+IF(((c_TMAP3OUT)-(c_TMAP2OUT))&gt;=0,IF(IF(o_WRAP=1,MOD(((c_TMAP3IN)-(c_TMAP2IN))*(((K236)-(c_TMAP2IN))*((c_TMAP3OUT)-(c_TMAP2OUT))+IF(((c_TMAP3OUT)-(c_TMAP2OUT))&gt;=0,1,-1)*QUOTIENT(((c_TMAP3IN)-(c_TMAP2IN)),2))+2147483648,4294967296)-2147483648,((c_TMAP3IN)-(c_TMAP2IN))*(((K236)-(c_TMAP2IN))*((c_TMAP3OUT)-(c_TMAP2OUT))+IF(((c_TMAP3OUT)-(c_TMAP2OUT))&gt;=0,1,-1)*QUOTIENT(((c_TMAP3IN)-(c_TMAP2IN)),2)))&lt;0,-1,0),IF(IF(o_WRAP=1,MOD(((c_TMAP3IN)-(c_TMAP2IN))*(((K236)-(c_TMAP2IN))*((c_TMAP3OUT)-(c_TMAP2OUT))+IF(((c_TMAP3OUT)-(c_TMAP2OUT))&gt;=0,1,-1)*QUOTIENT(((c_TMAP3IN)-(c_TMAP2IN)),2))+2147483648,4294967296)-2147483648,((c_TMAP3IN)-(c_TMAP2IN))*(((K236)-(c_TMAP2IN))*((c_TMAP3OUT)-(c_TMAP2OUT))+IF(((c_TMAP3OUT)-(c_TMAP2OUT))&gt;=0,1,-1)*QUOTIENT(((c_TMAP3IN)-(c_TMAP2IN)),2)))&gt;=0,1,0)))</f>
        <v>373</v>
      </c>
      <c r="P236" s="7" t="n">
        <f aca="false">IF(((1000)-(c_TMAP3IN))=0,(c_TMAP3OUT)+QUOTIENT(((1000)-(c_TMAP3OUT)),2),QUOTIENT((((K236)-(c_TMAP3IN))*((1000)-(c_TMAP3OUT))+IF(((1000)-(c_TMAP3OUT))&gt;=0,1,-1)*QUOTIENT(((1000)-(c_TMAP3IN)),2)),((1000)-(c_TMAP3IN)))+(c_TMAP3OUT)+IF(((1000)-(c_TMAP3OUT))&gt;=0,IF(IF(o_WRAP=1,MOD(((1000)-(c_TMAP3IN))*(((K236)-(c_TMAP3IN))*((1000)-(c_TMAP3OUT))+IF(((1000)-(c_TMAP3OUT))&gt;=0,1,-1)*QUOTIENT(((1000)-(c_TMAP3IN)),2))+2147483648,4294967296)-2147483648,((1000)-(c_TMAP3IN))*(((K236)-(c_TMAP3IN))*((1000)-(c_TMAP3OUT))+IF(((1000)-(c_TMAP3OUT))&gt;=0,1,-1)*QUOTIENT(((1000)-(c_TMAP3IN)),2)))&lt;0,-1,0),IF(IF(o_WRAP=1,MOD(((1000)-(c_TMAP3IN))*(((K236)-(c_TMAP3IN))*((1000)-(c_TMAP3OUT))+IF(((1000)-(c_TMAP3OUT))&gt;=0,1,-1)*QUOTIENT(((1000)-(c_TMAP3IN)),2))+2147483648,4294967296)-2147483648,((1000)-(c_TMAP3IN))*(((K236)-(c_TMAP3IN))*((1000)-(c_TMAP3OUT))+IF(((1000)-(c_TMAP3OUT))&gt;=0,1,-1)*QUOTIENT(((1000)-(c_TMAP3IN)),2)))&gt;=0,1,0)))</f>
        <v>504</v>
      </c>
      <c r="Q236" s="7" t="str">
        <f aca="false">IF(K236&gt;=c_TFWD,IF(AND(K236&gt;=c_TMAP3IN,c_TMAP3IN&lt;1000),"Seg4 map3-100%",IF(AND(K236&gt;=c_TMAP2IN,c_TMAP3IN&gt;c_TMAP2IN),"Seg3 map2-map3",IF(AND(K236&gt;=c_TMAP1IN,c_TMAP2IN&gt;c_TMAP1IN),"Seg2 map1-map2","Seg1 TFWD-map1"))),IF(AND(K236=0,c_TCREEP&gt;0),"Creep",IF(AND(K236&lt;=c_TRNGMIN,K236&gt;=c_TRNGMAX,c_TRNGMIN-c_TRNGMAX&lt;&gt;0),"Regen ramp","Coast (0)")))</f>
        <v>Seg4 map3-100%</v>
      </c>
      <c r="R236" s="7" t="n">
        <f aca="false">IF(K236&gt;=c_TFWD,IF(AND(K236&gt;=c_TMAP3IN,c_TMAP3IN&lt;1000),P236,IF(AND(K236&gt;=c_TMAP2IN,c_TMAP3IN&gt;c_TMAP2IN),O236,IF(AND(K236&gt;=c_TMAP1IN,c_TMAP2IN&gt;c_TMAP1IN),N236,M236))),L236)</f>
        <v>504</v>
      </c>
      <c r="S236" s="7" t="str">
        <f aca="false">IF(R236&lt;-1090,"TOO LOW",IF(R236&gt;1090,"TOO HIGH",""))</f>
        <v/>
      </c>
      <c r="T236" s="15" t="n">
        <f aca="false">IF(H236&lt;&gt;"OK",0,IF(S236&lt;&gt;"",0,IF(R236&gt;979,1000,R236)))</f>
        <v>504</v>
      </c>
      <c r="U236" s="7" t="n">
        <f aca="false">T236/10</f>
        <v>50.4</v>
      </c>
    </row>
    <row r="237" customFormat="false" ht="15" hidden="false" customHeight="false" outlineLevel="0" collapsed="false">
      <c r="A237" s="7" t="n">
        <v>232</v>
      </c>
      <c r="B237" s="7" t="n">
        <f aca="false">ROUND(o_SWSTART+A237*(o_SWEND-o_SWSTART)/400,0)</f>
        <v>2375</v>
      </c>
      <c r="C237" s="7" t="n">
        <f aca="false">QUOTIENT((B237-c_OFF1)*c_GAIN1,1024)</f>
        <v>2375</v>
      </c>
      <c r="D237" s="7" t="n">
        <f aca="false">IF(((c_T1MX)-(c_T1MN))=0,(0)+QUOTIENT(((1000)-(0)),2),QUOTIENT((((C237)-(c_T1MN))*((1000)-(0))+IF(((1000)-(0))&gt;=0,1,-1)*QUOTIENT(((c_T1MX)-(c_T1MN)),2)),((c_T1MX)-(c_T1MN)))+(0)+IF(((1000)-(0))&gt;=0,IF(IF(o_WRAP=1,MOD(((c_T1MX)-(c_T1MN))*(((C237)-(c_T1MN))*((1000)-(0))+IF(((1000)-(0))&gt;=0,1,-1)*QUOTIENT(((c_T1MX)-(c_T1MN)),2))+2147483648,4294967296)-2147483648,((c_T1MX)-(c_T1MN))*(((C237)-(c_T1MN))*((1000)-(0))+IF(((1000)-(0))&gt;=0,1,-1)*QUOTIENT(((c_T1MX)-(c_T1MN)),2)))&lt;0,-1,0),IF(IF(o_WRAP=1,MOD(((c_T1MX)-(c_T1MN))*(((C237)-(c_T1MN))*((1000)-(0))+IF(((1000)-(0))&gt;=0,1,-1)*QUOTIENT(((c_T1MX)-(c_T1MN)),2))+2147483648,4294967296)-2147483648,((c_T1MX)-(c_T1MN))*(((C237)-(c_T1MN))*((1000)-(0))+IF(((1000)-(0))&gt;=0,1,-1)*QUOTIENT(((c_T1MX)-(c_T1MN)),2)))&gt;=0,1,0)))</f>
        <v>601</v>
      </c>
      <c r="E237" s="7" t="n">
        <f aca="false">IF(AND(c_TPOT=1,c_TTYPE=2),1000-D237,D237)</f>
        <v>601</v>
      </c>
      <c r="F237" s="7" t="str">
        <f aca="false">IF(c_TPOT&gt;1,ROUND(IF(c_TTYPE=2,c_T2MX-IF(c_T1MX=c_T1MN,0,(C237-c_T1MN)/(c_T1MX-c_T1MN))*(c_T2MX-c_T2MN),c_T2MN+IF(c_T1MX=c_T1MN,0,(C237-c_T1MN)/(c_T1MX-c_T1MN))*(c_T2MX-c_T2MN))+o_MISMATCH,0),"")</f>
        <v/>
      </c>
      <c r="G237" s="7" t="str">
        <f aca="false">IF(c_TPOT&gt;1,IF(((c_T2MX)-(c_T2MN))=0,(0)+QUOTIENT(((1000)-(0)),2),QUOTIENT((((F237)-(c_T2MN))*((1000)-(0))+IF(((1000)-(0))&gt;=0,1,-1)*QUOTIENT(((c_T2MX)-(c_T2MN)),2)),((c_T2MX)-(c_T2MN)))+(0)+IF(((1000)-(0))&gt;=0,IF(IF(o_WRAP=1,MOD(((c_T2MX)-(c_T2MN))*(((F237)-(c_T2MN))*((1000)-(0))+IF(((1000)-(0))&gt;=0,1,-1)*QUOTIENT(((c_T2MX)-(c_T2MN)),2))+2147483648,4294967296)-2147483648,((c_T2MX)-(c_T2MN))*(((F237)-(c_T2MN))*((1000)-(0))+IF(((1000)-(0))&gt;=0,1,-1)*QUOTIENT(((c_T2MX)-(c_T2MN)),2)))&lt;0,-1,0),IF(IF(o_WRAP=1,MOD(((c_T2MX)-(c_T2MN))*(((F237)-(c_T2MN))*((1000)-(0))+IF(((1000)-(0))&gt;=0,1,-1)*QUOTIENT(((c_T2MX)-(c_T2MN)),2))+2147483648,4294967296)-2147483648,((c_T2MX)-(c_T2MN))*(((F237)-(c_T2MN))*((1000)-(0))+IF(((1000)-(0))&gt;=0,1,-1)*QUOTIENT(((c_T2MX)-(c_T2MN)),2)))&gt;=0,1,0))),"")</f>
        <v/>
      </c>
      <c r="H237" s="7" t="str">
        <f aca="false">IF(E237&gt;1000+k_TOL,"T1 HIGH",IF(E237&lt;0-k_TOL,"T1 LOW",IF(c_TPOT&gt;1,IF(G237&gt;1000+k_TOL,"T2 HIGH",IF(G237&lt;0-k_TOL,"T2 LOW",IF(c_TTYPE=2,IF(ABS(1000-MAX(0,MIN(1000,E237))-MAX(0,MIN(1000,G237)))&gt;k_MAXERR,"MISMATCH","OK"),IF(OR(MAX(0,MIN(1000,E237))-k_MAXERR&gt;MAX(0,MIN(1000,G237)),MAX(0,MIN(1000,G237))-k_MAXERR&gt;MAX(0,MIN(1000,E237))),"MISMATCH","OK")))),"OK")))</f>
        <v>OK</v>
      </c>
      <c r="I237" s="7" t="n">
        <f aca="false">MAX(0,MIN(1000,D237))</f>
        <v>601</v>
      </c>
      <c r="J237" s="7" t="str">
        <f aca="false">IF(c_TPOT&gt;1,IF(c_TTYPE=2,1000-MAX(0,MIN(1000,G237)),MAX(0,MIN(1000,G237))),"")</f>
        <v/>
      </c>
      <c r="K237" s="7" t="n">
        <f aca="false">IF(c_TPOT&gt;1,QUOTIENT(I237+J237,2),I237)</f>
        <v>601</v>
      </c>
      <c r="L237" s="7" t="n">
        <f aca="false">IF(AND(K237=0,c_TCREEP&gt;0),10*c_TCREEP,IF(AND(K237&lt;=c_TRNGMIN,K237&gt;=c_TRNGMAX,c_TRNGMIN-c_TRNGMAX&lt;&gt;0),-10*c_TMINRN+QUOTIENT((c_TMAXRN-c_TMINRN)*(100-QUOTIENT((K237-c_TRNGMAX)*100,c_TRNGMIN-c_TRNGMAX)),-10),0))</f>
        <v>0</v>
      </c>
      <c r="M237" s="7" t="n">
        <f aca="false">IF(((c_TMAP1IN)-(c_TFWD))=0,(0)+QUOTIENT(((c_TMAP1OUT)-(0)),2),QUOTIENT((((K237)-(c_TFWD))*((c_TMAP1OUT)-(0))+IF(((c_TMAP1OUT)-(0))&gt;=0,1,-1)*QUOTIENT(((c_TMAP1IN)-(c_TFWD)),2)),((c_TMAP1IN)-(c_TFWD)))+(0)+IF(((c_TMAP1OUT)-(0))&gt;=0,IF(IF(o_WRAP=1,MOD(((c_TMAP1IN)-(c_TFWD))*(((K237)-(c_TFWD))*((c_TMAP1OUT)-(0))+IF(((c_TMAP1OUT)-(0))&gt;=0,1,-1)*QUOTIENT(((c_TMAP1IN)-(c_TFWD)),2))+2147483648,4294967296)-2147483648,((c_TMAP1IN)-(c_TFWD))*(((K237)-(c_TFWD))*((c_TMAP1OUT)-(0))+IF(((c_TMAP1OUT)-(0))&gt;=0,1,-1)*QUOTIENT(((c_TMAP1IN)-(c_TFWD)),2)))&lt;0,-1,0),IF(IF(o_WRAP=1,MOD(((c_TMAP1IN)-(c_TFWD))*(((K237)-(c_TFWD))*((c_TMAP1OUT)-(0))+IF(((c_TMAP1OUT)-(0))&gt;=0,1,-1)*QUOTIENT(((c_TMAP1IN)-(c_TFWD)),2))+2147483648,4294967296)-2147483648,((c_TMAP1IN)-(c_TFWD))*(((K237)-(c_TFWD))*((c_TMAP1OUT)-(0))+IF(((c_TMAP1OUT)-(0))&gt;=0,1,-1)*QUOTIENT(((c_TMAP1IN)-(c_TFWD)),2)))&gt;=0,1,0)))</f>
        <v>460</v>
      </c>
      <c r="N237" s="7" t="n">
        <f aca="false">IF(((c_TMAP2IN)-(c_TMAP1IN))=0,(c_TMAP1OUT)+QUOTIENT(((c_TMAP2OUT)-(c_TMAP1OUT)),2),QUOTIENT((((K237)-(c_TMAP1IN))*((c_TMAP2OUT)-(c_TMAP1OUT))+IF(((c_TMAP2OUT)-(c_TMAP1OUT))&gt;=0,1,-1)*QUOTIENT(((c_TMAP2IN)-(c_TMAP1IN)),2)),((c_TMAP2IN)-(c_TMAP1IN)))+(c_TMAP1OUT)+IF(((c_TMAP2OUT)-(c_TMAP1OUT))&gt;=0,IF(IF(o_WRAP=1,MOD(((c_TMAP2IN)-(c_TMAP1IN))*(((K237)-(c_TMAP1IN))*((c_TMAP2OUT)-(c_TMAP1OUT))+IF(((c_TMAP2OUT)-(c_TMAP1OUT))&gt;=0,1,-1)*QUOTIENT(((c_TMAP2IN)-(c_TMAP1IN)),2))+2147483648,4294967296)-2147483648,((c_TMAP2IN)-(c_TMAP1IN))*(((K237)-(c_TMAP1IN))*((c_TMAP2OUT)-(c_TMAP1OUT))+IF(((c_TMAP2OUT)-(c_TMAP1OUT))&gt;=0,1,-1)*QUOTIENT(((c_TMAP2IN)-(c_TMAP1IN)),2)))&lt;0,-1,0),IF(IF(o_WRAP=1,MOD(((c_TMAP2IN)-(c_TMAP1IN))*(((K237)-(c_TMAP1IN))*((c_TMAP2OUT)-(c_TMAP1OUT))+IF(((c_TMAP2OUT)-(c_TMAP1OUT))&gt;=0,1,-1)*QUOTIENT(((c_TMAP2IN)-(c_TMAP1IN)),2))+2147483648,4294967296)-2147483648,((c_TMAP2IN)-(c_TMAP1IN))*(((K237)-(c_TMAP1IN))*((c_TMAP2OUT)-(c_TMAP1OUT))+IF(((c_TMAP2OUT)-(c_TMAP1OUT))&gt;=0,1,-1)*QUOTIENT(((c_TMAP2IN)-(c_TMAP1IN)),2)))&gt;=0,1,0)))</f>
        <v>270</v>
      </c>
      <c r="O237" s="7" t="n">
        <f aca="false">IF(((c_TMAP3IN)-(c_TMAP2IN))=0,(c_TMAP2OUT)+QUOTIENT(((c_TMAP3OUT)-(c_TMAP2OUT)),2),QUOTIENT((((K237)-(c_TMAP2IN))*((c_TMAP3OUT)-(c_TMAP2OUT))+IF(((c_TMAP3OUT)-(c_TMAP2OUT))&gt;=0,1,-1)*QUOTIENT(((c_TMAP3IN)-(c_TMAP2IN)),2)),((c_TMAP3IN)-(c_TMAP2IN)))+(c_TMAP2OUT)+IF(((c_TMAP3OUT)-(c_TMAP2OUT))&gt;=0,IF(IF(o_WRAP=1,MOD(((c_TMAP3IN)-(c_TMAP2IN))*(((K237)-(c_TMAP2IN))*((c_TMAP3OUT)-(c_TMAP2OUT))+IF(((c_TMAP3OUT)-(c_TMAP2OUT))&gt;=0,1,-1)*QUOTIENT(((c_TMAP3IN)-(c_TMAP2IN)),2))+2147483648,4294967296)-2147483648,((c_TMAP3IN)-(c_TMAP2IN))*(((K237)-(c_TMAP2IN))*((c_TMAP3OUT)-(c_TMAP2OUT))+IF(((c_TMAP3OUT)-(c_TMAP2OUT))&gt;=0,1,-1)*QUOTIENT(((c_TMAP3IN)-(c_TMAP2IN)),2)))&lt;0,-1,0),IF(IF(o_WRAP=1,MOD(((c_TMAP3IN)-(c_TMAP2IN))*(((K237)-(c_TMAP2IN))*((c_TMAP3OUT)-(c_TMAP2OUT))+IF(((c_TMAP3OUT)-(c_TMAP2OUT))&gt;=0,1,-1)*QUOTIENT(((c_TMAP3IN)-(c_TMAP2IN)),2))+2147483648,4294967296)-2147483648,((c_TMAP3IN)-(c_TMAP2IN))*(((K237)-(c_TMAP2IN))*((c_TMAP3OUT)-(c_TMAP2OUT))+IF(((c_TMAP3OUT)-(c_TMAP2OUT))&gt;=0,1,-1)*QUOTIENT(((c_TMAP3IN)-(c_TMAP2IN)),2)))&gt;=0,1,0)))</f>
        <v>376</v>
      </c>
      <c r="P237" s="7" t="n">
        <f aca="false">IF(((1000)-(c_TMAP3IN))=0,(c_TMAP3OUT)+QUOTIENT(((1000)-(c_TMAP3OUT)),2),QUOTIENT((((K237)-(c_TMAP3IN))*((1000)-(c_TMAP3OUT))+IF(((1000)-(c_TMAP3OUT))&gt;=0,1,-1)*QUOTIENT(((1000)-(c_TMAP3IN)),2)),((1000)-(c_TMAP3IN)))+(c_TMAP3OUT)+IF(((1000)-(c_TMAP3OUT))&gt;=0,IF(IF(o_WRAP=1,MOD(((1000)-(c_TMAP3IN))*(((K237)-(c_TMAP3IN))*((1000)-(c_TMAP3OUT))+IF(((1000)-(c_TMAP3OUT))&gt;=0,1,-1)*QUOTIENT(((1000)-(c_TMAP3IN)),2))+2147483648,4294967296)-2147483648,((1000)-(c_TMAP3IN))*(((K237)-(c_TMAP3IN))*((1000)-(c_TMAP3OUT))+IF(((1000)-(c_TMAP3OUT))&gt;=0,1,-1)*QUOTIENT(((1000)-(c_TMAP3IN)),2)))&lt;0,-1,0),IF(IF(o_WRAP=1,MOD(((1000)-(c_TMAP3IN))*(((K237)-(c_TMAP3IN))*((1000)-(c_TMAP3OUT))+IF(((1000)-(c_TMAP3OUT))&gt;=0,1,-1)*QUOTIENT(((1000)-(c_TMAP3IN)),2))+2147483648,4294967296)-2147483648,((1000)-(c_TMAP3IN))*(((K237)-(c_TMAP3IN))*((1000)-(c_TMAP3OUT))+IF(((1000)-(c_TMAP3OUT))&gt;=0,1,-1)*QUOTIENT(((1000)-(c_TMAP3IN)),2)))&gt;=0,1,0)))</f>
        <v>509</v>
      </c>
      <c r="Q237" s="7" t="str">
        <f aca="false">IF(K237&gt;=c_TFWD,IF(AND(K237&gt;=c_TMAP3IN,c_TMAP3IN&lt;1000),"Seg4 map3-100%",IF(AND(K237&gt;=c_TMAP2IN,c_TMAP3IN&gt;c_TMAP2IN),"Seg3 map2-map3",IF(AND(K237&gt;=c_TMAP1IN,c_TMAP2IN&gt;c_TMAP1IN),"Seg2 map1-map2","Seg1 TFWD-map1"))),IF(AND(K237=0,c_TCREEP&gt;0),"Creep",IF(AND(K237&lt;=c_TRNGMIN,K237&gt;=c_TRNGMAX,c_TRNGMIN-c_TRNGMAX&lt;&gt;0),"Regen ramp","Coast (0)")))</f>
        <v>Seg4 map3-100%</v>
      </c>
      <c r="R237" s="7" t="n">
        <f aca="false">IF(K237&gt;=c_TFWD,IF(AND(K237&gt;=c_TMAP3IN,c_TMAP3IN&lt;1000),P237,IF(AND(K237&gt;=c_TMAP2IN,c_TMAP3IN&gt;c_TMAP2IN),O237,IF(AND(K237&gt;=c_TMAP1IN,c_TMAP2IN&gt;c_TMAP1IN),N237,M237))),L237)</f>
        <v>509</v>
      </c>
      <c r="S237" s="7" t="str">
        <f aca="false">IF(R237&lt;-1090,"TOO LOW",IF(R237&gt;1090,"TOO HIGH",""))</f>
        <v/>
      </c>
      <c r="T237" s="15" t="n">
        <f aca="false">IF(H237&lt;&gt;"OK",0,IF(S237&lt;&gt;"",0,IF(R237&gt;979,1000,R237)))</f>
        <v>509</v>
      </c>
      <c r="U237" s="7" t="n">
        <f aca="false">T237/10</f>
        <v>50.9</v>
      </c>
    </row>
    <row r="238" customFormat="false" ht="15" hidden="false" customHeight="false" outlineLevel="0" collapsed="false">
      <c r="A238" s="7" t="n">
        <v>233</v>
      </c>
      <c r="B238" s="7" t="n">
        <f aca="false">ROUND(o_SWSTART+A238*(o_SWEND-o_SWSTART)/400,0)</f>
        <v>2385</v>
      </c>
      <c r="C238" s="7" t="n">
        <f aca="false">QUOTIENT((B238-c_OFF1)*c_GAIN1,1024)</f>
        <v>2385</v>
      </c>
      <c r="D238" s="7" t="n">
        <f aca="false">IF(((c_T1MX)-(c_T1MN))=0,(0)+QUOTIENT(((1000)-(0)),2),QUOTIENT((((C238)-(c_T1MN))*((1000)-(0))+IF(((1000)-(0))&gt;=0,1,-1)*QUOTIENT(((c_T1MX)-(c_T1MN)),2)),((c_T1MX)-(c_T1MN)))+(0)+IF(((1000)-(0))&gt;=0,IF(IF(o_WRAP=1,MOD(((c_T1MX)-(c_T1MN))*(((C238)-(c_T1MN))*((1000)-(0))+IF(((1000)-(0))&gt;=0,1,-1)*QUOTIENT(((c_T1MX)-(c_T1MN)),2))+2147483648,4294967296)-2147483648,((c_T1MX)-(c_T1MN))*(((C238)-(c_T1MN))*((1000)-(0))+IF(((1000)-(0))&gt;=0,1,-1)*QUOTIENT(((c_T1MX)-(c_T1MN)),2)))&lt;0,-1,0),IF(IF(o_WRAP=1,MOD(((c_T1MX)-(c_T1MN))*(((C238)-(c_T1MN))*((1000)-(0))+IF(((1000)-(0))&gt;=0,1,-1)*QUOTIENT(((c_T1MX)-(c_T1MN)),2))+2147483648,4294967296)-2147483648,((c_T1MX)-(c_T1MN))*(((C238)-(c_T1MN))*((1000)-(0))+IF(((1000)-(0))&gt;=0,1,-1)*QUOTIENT(((c_T1MX)-(c_T1MN)),2)))&gt;=0,1,0)))</f>
        <v>604</v>
      </c>
      <c r="E238" s="7" t="n">
        <f aca="false">IF(AND(c_TPOT=1,c_TTYPE=2),1000-D238,D238)</f>
        <v>604</v>
      </c>
      <c r="F238" s="7" t="str">
        <f aca="false">IF(c_TPOT&gt;1,ROUND(IF(c_TTYPE=2,c_T2MX-IF(c_T1MX=c_T1MN,0,(C238-c_T1MN)/(c_T1MX-c_T1MN))*(c_T2MX-c_T2MN),c_T2MN+IF(c_T1MX=c_T1MN,0,(C238-c_T1MN)/(c_T1MX-c_T1MN))*(c_T2MX-c_T2MN))+o_MISMATCH,0),"")</f>
        <v/>
      </c>
      <c r="G238" s="7" t="str">
        <f aca="false">IF(c_TPOT&gt;1,IF(((c_T2MX)-(c_T2MN))=0,(0)+QUOTIENT(((1000)-(0)),2),QUOTIENT((((F238)-(c_T2MN))*((1000)-(0))+IF(((1000)-(0))&gt;=0,1,-1)*QUOTIENT(((c_T2MX)-(c_T2MN)),2)),((c_T2MX)-(c_T2MN)))+(0)+IF(((1000)-(0))&gt;=0,IF(IF(o_WRAP=1,MOD(((c_T2MX)-(c_T2MN))*(((F238)-(c_T2MN))*((1000)-(0))+IF(((1000)-(0))&gt;=0,1,-1)*QUOTIENT(((c_T2MX)-(c_T2MN)),2))+2147483648,4294967296)-2147483648,((c_T2MX)-(c_T2MN))*(((F238)-(c_T2MN))*((1000)-(0))+IF(((1000)-(0))&gt;=0,1,-1)*QUOTIENT(((c_T2MX)-(c_T2MN)),2)))&lt;0,-1,0),IF(IF(o_WRAP=1,MOD(((c_T2MX)-(c_T2MN))*(((F238)-(c_T2MN))*((1000)-(0))+IF(((1000)-(0))&gt;=0,1,-1)*QUOTIENT(((c_T2MX)-(c_T2MN)),2))+2147483648,4294967296)-2147483648,((c_T2MX)-(c_T2MN))*(((F238)-(c_T2MN))*((1000)-(0))+IF(((1000)-(0))&gt;=0,1,-1)*QUOTIENT(((c_T2MX)-(c_T2MN)),2)))&gt;=0,1,0))),"")</f>
        <v/>
      </c>
      <c r="H238" s="7" t="str">
        <f aca="false">IF(E238&gt;1000+k_TOL,"T1 HIGH",IF(E238&lt;0-k_TOL,"T1 LOW",IF(c_TPOT&gt;1,IF(G238&gt;1000+k_TOL,"T2 HIGH",IF(G238&lt;0-k_TOL,"T2 LOW",IF(c_TTYPE=2,IF(ABS(1000-MAX(0,MIN(1000,E238))-MAX(0,MIN(1000,G238)))&gt;k_MAXERR,"MISMATCH","OK"),IF(OR(MAX(0,MIN(1000,E238))-k_MAXERR&gt;MAX(0,MIN(1000,G238)),MAX(0,MIN(1000,G238))-k_MAXERR&gt;MAX(0,MIN(1000,E238))),"MISMATCH","OK")))),"OK")))</f>
        <v>OK</v>
      </c>
      <c r="I238" s="7" t="n">
        <f aca="false">MAX(0,MIN(1000,D238))</f>
        <v>604</v>
      </c>
      <c r="J238" s="7" t="str">
        <f aca="false">IF(c_TPOT&gt;1,IF(c_TTYPE=2,1000-MAX(0,MIN(1000,G238)),MAX(0,MIN(1000,G238))),"")</f>
        <v/>
      </c>
      <c r="K238" s="7" t="n">
        <f aca="false">IF(c_TPOT&gt;1,QUOTIENT(I238+J238,2),I238)</f>
        <v>604</v>
      </c>
      <c r="L238" s="7" t="n">
        <f aca="false">IF(AND(K238=0,c_TCREEP&gt;0),10*c_TCREEP,IF(AND(K238&lt;=c_TRNGMIN,K238&gt;=c_TRNGMAX,c_TRNGMIN-c_TRNGMAX&lt;&gt;0),-10*c_TMINRN+QUOTIENT((c_TMAXRN-c_TMINRN)*(100-QUOTIENT((K238-c_TRNGMAX)*100,c_TRNGMIN-c_TRNGMAX)),-10),0))</f>
        <v>0</v>
      </c>
      <c r="M238" s="7" t="n">
        <f aca="false">IF(((c_TMAP1IN)-(c_TFWD))=0,(0)+QUOTIENT(((c_TMAP1OUT)-(0)),2),QUOTIENT((((K238)-(c_TFWD))*((c_TMAP1OUT)-(0))+IF(((c_TMAP1OUT)-(0))&gt;=0,1,-1)*QUOTIENT(((c_TMAP1IN)-(c_TFWD)),2)),((c_TMAP1IN)-(c_TFWD)))+(0)+IF(((c_TMAP1OUT)-(0))&gt;=0,IF(IF(o_WRAP=1,MOD(((c_TMAP1IN)-(c_TFWD))*(((K238)-(c_TFWD))*((c_TMAP1OUT)-(0))+IF(((c_TMAP1OUT)-(0))&gt;=0,1,-1)*QUOTIENT(((c_TMAP1IN)-(c_TFWD)),2))+2147483648,4294967296)-2147483648,((c_TMAP1IN)-(c_TFWD))*(((K238)-(c_TFWD))*((c_TMAP1OUT)-(0))+IF(((c_TMAP1OUT)-(0))&gt;=0,1,-1)*QUOTIENT(((c_TMAP1IN)-(c_TFWD)),2)))&lt;0,-1,0),IF(IF(o_WRAP=1,MOD(((c_TMAP1IN)-(c_TFWD))*(((K238)-(c_TFWD))*((c_TMAP1OUT)-(0))+IF(((c_TMAP1OUT)-(0))&gt;=0,1,-1)*QUOTIENT(((c_TMAP1IN)-(c_TFWD)),2))+2147483648,4294967296)-2147483648,((c_TMAP1IN)-(c_TFWD))*(((K238)-(c_TFWD))*((c_TMAP1OUT)-(0))+IF(((c_TMAP1OUT)-(0))&gt;=0,1,-1)*QUOTIENT(((c_TMAP1IN)-(c_TFWD)),2)))&gt;=0,1,0)))</f>
        <v>462</v>
      </c>
      <c r="N238" s="7" t="n">
        <f aca="false">IF(((c_TMAP2IN)-(c_TMAP1IN))=0,(c_TMAP1OUT)+QUOTIENT(((c_TMAP2OUT)-(c_TMAP1OUT)),2),QUOTIENT((((K238)-(c_TMAP1IN))*((c_TMAP2OUT)-(c_TMAP1OUT))+IF(((c_TMAP2OUT)-(c_TMAP1OUT))&gt;=0,1,-1)*QUOTIENT(((c_TMAP2IN)-(c_TMAP1IN)),2)),((c_TMAP2IN)-(c_TMAP1IN)))+(c_TMAP1OUT)+IF(((c_TMAP2OUT)-(c_TMAP1OUT))&gt;=0,IF(IF(o_WRAP=1,MOD(((c_TMAP2IN)-(c_TMAP1IN))*(((K238)-(c_TMAP1IN))*((c_TMAP2OUT)-(c_TMAP1OUT))+IF(((c_TMAP2OUT)-(c_TMAP1OUT))&gt;=0,1,-1)*QUOTIENT(((c_TMAP2IN)-(c_TMAP1IN)),2))+2147483648,4294967296)-2147483648,((c_TMAP2IN)-(c_TMAP1IN))*(((K238)-(c_TMAP1IN))*((c_TMAP2OUT)-(c_TMAP1OUT))+IF(((c_TMAP2OUT)-(c_TMAP1OUT))&gt;=0,1,-1)*QUOTIENT(((c_TMAP2IN)-(c_TMAP1IN)),2)))&lt;0,-1,0),IF(IF(o_WRAP=1,MOD(((c_TMAP2IN)-(c_TMAP1IN))*(((K238)-(c_TMAP1IN))*((c_TMAP2OUT)-(c_TMAP1OUT))+IF(((c_TMAP2OUT)-(c_TMAP1OUT))&gt;=0,1,-1)*QUOTIENT(((c_TMAP2IN)-(c_TMAP1IN)),2))+2147483648,4294967296)-2147483648,((c_TMAP2IN)-(c_TMAP1IN))*(((K238)-(c_TMAP1IN))*((c_TMAP2OUT)-(c_TMAP1OUT))+IF(((c_TMAP2OUT)-(c_TMAP1OUT))&gt;=0,1,-1)*QUOTIENT(((c_TMAP2IN)-(c_TMAP1IN)),2)))&gt;=0,1,0)))</f>
        <v>272</v>
      </c>
      <c r="O238" s="7" t="n">
        <f aca="false">IF(((c_TMAP3IN)-(c_TMAP2IN))=0,(c_TMAP2OUT)+QUOTIENT(((c_TMAP3OUT)-(c_TMAP2OUT)),2),QUOTIENT((((K238)-(c_TMAP2IN))*((c_TMAP3OUT)-(c_TMAP2OUT))+IF(((c_TMAP3OUT)-(c_TMAP2OUT))&gt;=0,1,-1)*QUOTIENT(((c_TMAP3IN)-(c_TMAP2IN)),2)),((c_TMAP3IN)-(c_TMAP2IN)))+(c_TMAP2OUT)+IF(((c_TMAP3OUT)-(c_TMAP2OUT))&gt;=0,IF(IF(o_WRAP=1,MOD(((c_TMAP3IN)-(c_TMAP2IN))*(((K238)-(c_TMAP2IN))*((c_TMAP3OUT)-(c_TMAP2OUT))+IF(((c_TMAP3OUT)-(c_TMAP2OUT))&gt;=0,1,-1)*QUOTIENT(((c_TMAP3IN)-(c_TMAP2IN)),2))+2147483648,4294967296)-2147483648,((c_TMAP3IN)-(c_TMAP2IN))*(((K238)-(c_TMAP2IN))*((c_TMAP3OUT)-(c_TMAP2OUT))+IF(((c_TMAP3OUT)-(c_TMAP2OUT))&gt;=0,1,-1)*QUOTIENT(((c_TMAP3IN)-(c_TMAP2IN)),2)))&lt;0,-1,0),IF(IF(o_WRAP=1,MOD(((c_TMAP3IN)-(c_TMAP2IN))*(((K238)-(c_TMAP2IN))*((c_TMAP3OUT)-(c_TMAP2OUT))+IF(((c_TMAP3OUT)-(c_TMAP2OUT))&gt;=0,1,-1)*QUOTIENT(((c_TMAP3IN)-(c_TMAP2IN)),2))+2147483648,4294967296)-2147483648,((c_TMAP3IN)-(c_TMAP2IN))*(((K238)-(c_TMAP2IN))*((c_TMAP3OUT)-(c_TMAP2OUT))+IF(((c_TMAP3OUT)-(c_TMAP2OUT))&gt;=0,1,-1)*QUOTIENT(((c_TMAP3IN)-(c_TMAP2IN)),2)))&gt;=0,1,0)))</f>
        <v>378</v>
      </c>
      <c r="P238" s="7" t="n">
        <f aca="false">IF(((1000)-(c_TMAP3IN))=0,(c_TMAP3OUT)+QUOTIENT(((1000)-(c_TMAP3OUT)),2),QUOTIENT((((K238)-(c_TMAP3IN))*((1000)-(c_TMAP3OUT))+IF(((1000)-(c_TMAP3OUT))&gt;=0,1,-1)*QUOTIENT(((1000)-(c_TMAP3IN)),2)),((1000)-(c_TMAP3IN)))+(c_TMAP3OUT)+IF(((1000)-(c_TMAP3OUT))&gt;=0,IF(IF(o_WRAP=1,MOD(((1000)-(c_TMAP3IN))*(((K238)-(c_TMAP3IN))*((1000)-(c_TMAP3OUT))+IF(((1000)-(c_TMAP3OUT))&gt;=0,1,-1)*QUOTIENT(((1000)-(c_TMAP3IN)),2))+2147483648,4294967296)-2147483648,((1000)-(c_TMAP3IN))*(((K238)-(c_TMAP3IN))*((1000)-(c_TMAP3OUT))+IF(((1000)-(c_TMAP3OUT))&gt;=0,1,-1)*QUOTIENT(((1000)-(c_TMAP3IN)),2)))&lt;0,-1,0),IF(IF(o_WRAP=1,MOD(((1000)-(c_TMAP3IN))*(((K238)-(c_TMAP3IN))*((1000)-(c_TMAP3OUT))+IF(((1000)-(c_TMAP3OUT))&gt;=0,1,-1)*QUOTIENT(((1000)-(c_TMAP3IN)),2))+2147483648,4294967296)-2147483648,((1000)-(c_TMAP3IN))*(((K238)-(c_TMAP3IN))*((1000)-(c_TMAP3OUT))+IF(((1000)-(c_TMAP3OUT))&gt;=0,1,-1)*QUOTIENT(((1000)-(c_TMAP3IN)),2)))&gt;=0,1,0)))</f>
        <v>513</v>
      </c>
      <c r="Q238" s="7" t="str">
        <f aca="false">IF(K238&gt;=c_TFWD,IF(AND(K238&gt;=c_TMAP3IN,c_TMAP3IN&lt;1000),"Seg4 map3-100%",IF(AND(K238&gt;=c_TMAP2IN,c_TMAP3IN&gt;c_TMAP2IN),"Seg3 map2-map3",IF(AND(K238&gt;=c_TMAP1IN,c_TMAP2IN&gt;c_TMAP1IN),"Seg2 map1-map2","Seg1 TFWD-map1"))),IF(AND(K238=0,c_TCREEP&gt;0),"Creep",IF(AND(K238&lt;=c_TRNGMIN,K238&gt;=c_TRNGMAX,c_TRNGMIN-c_TRNGMAX&lt;&gt;0),"Regen ramp","Coast (0)")))</f>
        <v>Seg4 map3-100%</v>
      </c>
      <c r="R238" s="7" t="n">
        <f aca="false">IF(K238&gt;=c_TFWD,IF(AND(K238&gt;=c_TMAP3IN,c_TMAP3IN&lt;1000),P238,IF(AND(K238&gt;=c_TMAP2IN,c_TMAP3IN&gt;c_TMAP2IN),O238,IF(AND(K238&gt;=c_TMAP1IN,c_TMAP2IN&gt;c_TMAP1IN),N238,M238))),L238)</f>
        <v>513</v>
      </c>
      <c r="S238" s="7" t="str">
        <f aca="false">IF(R238&lt;-1090,"TOO LOW",IF(R238&gt;1090,"TOO HIGH",""))</f>
        <v/>
      </c>
      <c r="T238" s="15" t="n">
        <f aca="false">IF(H238&lt;&gt;"OK",0,IF(S238&lt;&gt;"",0,IF(R238&gt;979,1000,R238)))</f>
        <v>513</v>
      </c>
      <c r="U238" s="7" t="n">
        <f aca="false">T238/10</f>
        <v>51.3</v>
      </c>
    </row>
    <row r="239" customFormat="false" ht="15" hidden="false" customHeight="false" outlineLevel="0" collapsed="false">
      <c r="A239" s="7" t="n">
        <v>234</v>
      </c>
      <c r="B239" s="7" t="n">
        <f aca="false">ROUND(o_SWSTART+A239*(o_SWEND-o_SWSTART)/400,0)</f>
        <v>2396</v>
      </c>
      <c r="C239" s="7" t="n">
        <f aca="false">QUOTIENT((B239-c_OFF1)*c_GAIN1,1024)</f>
        <v>2396</v>
      </c>
      <c r="D239" s="7" t="n">
        <f aca="false">IF(((c_T1MX)-(c_T1MN))=0,(0)+QUOTIENT(((1000)-(0)),2),QUOTIENT((((C239)-(c_T1MN))*((1000)-(0))+IF(((1000)-(0))&gt;=0,1,-1)*QUOTIENT(((c_T1MX)-(c_T1MN)),2)),((c_T1MX)-(c_T1MN)))+(0)+IF(((1000)-(0))&gt;=0,IF(IF(o_WRAP=1,MOD(((c_T1MX)-(c_T1MN))*(((C239)-(c_T1MN))*((1000)-(0))+IF(((1000)-(0))&gt;=0,1,-1)*QUOTIENT(((c_T1MX)-(c_T1MN)),2))+2147483648,4294967296)-2147483648,((c_T1MX)-(c_T1MN))*(((C239)-(c_T1MN))*((1000)-(0))+IF(((1000)-(0))&gt;=0,1,-1)*QUOTIENT(((c_T1MX)-(c_T1MN)),2)))&lt;0,-1,0),IF(IF(o_WRAP=1,MOD(((c_T1MX)-(c_T1MN))*(((C239)-(c_T1MN))*((1000)-(0))+IF(((1000)-(0))&gt;=0,1,-1)*QUOTIENT(((c_T1MX)-(c_T1MN)),2))+2147483648,4294967296)-2147483648,((c_T1MX)-(c_T1MN))*(((C239)-(c_T1MN))*((1000)-(0))+IF(((1000)-(0))&gt;=0,1,-1)*QUOTIENT(((c_T1MX)-(c_T1MN)),2)))&gt;=0,1,0)))</f>
        <v>608</v>
      </c>
      <c r="E239" s="7" t="n">
        <f aca="false">IF(AND(c_TPOT=1,c_TTYPE=2),1000-D239,D239)</f>
        <v>608</v>
      </c>
      <c r="F239" s="7" t="str">
        <f aca="false">IF(c_TPOT&gt;1,ROUND(IF(c_TTYPE=2,c_T2MX-IF(c_T1MX=c_T1MN,0,(C239-c_T1MN)/(c_T1MX-c_T1MN))*(c_T2MX-c_T2MN),c_T2MN+IF(c_T1MX=c_T1MN,0,(C239-c_T1MN)/(c_T1MX-c_T1MN))*(c_T2MX-c_T2MN))+o_MISMATCH,0),"")</f>
        <v/>
      </c>
      <c r="G239" s="7" t="str">
        <f aca="false">IF(c_TPOT&gt;1,IF(((c_T2MX)-(c_T2MN))=0,(0)+QUOTIENT(((1000)-(0)),2),QUOTIENT((((F239)-(c_T2MN))*((1000)-(0))+IF(((1000)-(0))&gt;=0,1,-1)*QUOTIENT(((c_T2MX)-(c_T2MN)),2)),((c_T2MX)-(c_T2MN)))+(0)+IF(((1000)-(0))&gt;=0,IF(IF(o_WRAP=1,MOD(((c_T2MX)-(c_T2MN))*(((F239)-(c_T2MN))*((1000)-(0))+IF(((1000)-(0))&gt;=0,1,-1)*QUOTIENT(((c_T2MX)-(c_T2MN)),2))+2147483648,4294967296)-2147483648,((c_T2MX)-(c_T2MN))*(((F239)-(c_T2MN))*((1000)-(0))+IF(((1000)-(0))&gt;=0,1,-1)*QUOTIENT(((c_T2MX)-(c_T2MN)),2)))&lt;0,-1,0),IF(IF(o_WRAP=1,MOD(((c_T2MX)-(c_T2MN))*(((F239)-(c_T2MN))*((1000)-(0))+IF(((1000)-(0))&gt;=0,1,-1)*QUOTIENT(((c_T2MX)-(c_T2MN)),2))+2147483648,4294967296)-2147483648,((c_T2MX)-(c_T2MN))*(((F239)-(c_T2MN))*((1000)-(0))+IF(((1000)-(0))&gt;=0,1,-1)*QUOTIENT(((c_T2MX)-(c_T2MN)),2)))&gt;=0,1,0))),"")</f>
        <v/>
      </c>
      <c r="H239" s="7" t="str">
        <f aca="false">IF(E239&gt;1000+k_TOL,"T1 HIGH",IF(E239&lt;0-k_TOL,"T1 LOW",IF(c_TPOT&gt;1,IF(G239&gt;1000+k_TOL,"T2 HIGH",IF(G239&lt;0-k_TOL,"T2 LOW",IF(c_TTYPE=2,IF(ABS(1000-MAX(0,MIN(1000,E239))-MAX(0,MIN(1000,G239)))&gt;k_MAXERR,"MISMATCH","OK"),IF(OR(MAX(0,MIN(1000,E239))-k_MAXERR&gt;MAX(0,MIN(1000,G239)),MAX(0,MIN(1000,G239))-k_MAXERR&gt;MAX(0,MIN(1000,E239))),"MISMATCH","OK")))),"OK")))</f>
        <v>OK</v>
      </c>
      <c r="I239" s="7" t="n">
        <f aca="false">MAX(0,MIN(1000,D239))</f>
        <v>608</v>
      </c>
      <c r="J239" s="7" t="str">
        <f aca="false">IF(c_TPOT&gt;1,IF(c_TTYPE=2,1000-MAX(0,MIN(1000,G239)),MAX(0,MIN(1000,G239))),"")</f>
        <v/>
      </c>
      <c r="K239" s="7" t="n">
        <f aca="false">IF(c_TPOT&gt;1,QUOTIENT(I239+J239,2),I239)</f>
        <v>608</v>
      </c>
      <c r="L239" s="7" t="n">
        <f aca="false">IF(AND(K239=0,c_TCREEP&gt;0),10*c_TCREEP,IF(AND(K239&lt;=c_TRNGMIN,K239&gt;=c_TRNGMAX,c_TRNGMIN-c_TRNGMAX&lt;&gt;0),-10*c_TMINRN+QUOTIENT((c_TMAXRN-c_TMINRN)*(100-QUOTIENT((K239-c_TRNGMAX)*100,c_TRNGMIN-c_TRNGMAX)),-10),0))</f>
        <v>0</v>
      </c>
      <c r="M239" s="7" t="n">
        <f aca="false">IF(((c_TMAP1IN)-(c_TFWD))=0,(0)+QUOTIENT(((c_TMAP1OUT)-(0)),2),QUOTIENT((((K239)-(c_TFWD))*((c_TMAP1OUT)-(0))+IF(((c_TMAP1OUT)-(0))&gt;=0,1,-1)*QUOTIENT(((c_TMAP1IN)-(c_TFWD)),2)),((c_TMAP1IN)-(c_TFWD)))+(0)+IF(((c_TMAP1OUT)-(0))&gt;=0,IF(IF(o_WRAP=1,MOD(((c_TMAP1IN)-(c_TFWD))*(((K239)-(c_TFWD))*((c_TMAP1OUT)-(0))+IF(((c_TMAP1OUT)-(0))&gt;=0,1,-1)*QUOTIENT(((c_TMAP1IN)-(c_TFWD)),2))+2147483648,4294967296)-2147483648,((c_TMAP1IN)-(c_TFWD))*(((K239)-(c_TFWD))*((c_TMAP1OUT)-(0))+IF(((c_TMAP1OUT)-(0))&gt;=0,1,-1)*QUOTIENT(((c_TMAP1IN)-(c_TFWD)),2)))&lt;0,-1,0),IF(IF(o_WRAP=1,MOD(((c_TMAP1IN)-(c_TFWD))*(((K239)-(c_TFWD))*((c_TMAP1OUT)-(0))+IF(((c_TMAP1OUT)-(0))&gt;=0,1,-1)*QUOTIENT(((c_TMAP1IN)-(c_TFWD)),2))+2147483648,4294967296)-2147483648,((c_TMAP1IN)-(c_TFWD))*(((K239)-(c_TFWD))*((c_TMAP1OUT)-(0))+IF(((c_TMAP1OUT)-(0))&gt;=0,1,-1)*QUOTIENT(((c_TMAP1IN)-(c_TFWD)),2)))&gt;=0,1,0)))</f>
        <v>465</v>
      </c>
      <c r="N239" s="7" t="n">
        <f aca="false">IF(((c_TMAP2IN)-(c_TMAP1IN))=0,(c_TMAP1OUT)+QUOTIENT(((c_TMAP2OUT)-(c_TMAP1OUT)),2),QUOTIENT((((K239)-(c_TMAP1IN))*((c_TMAP2OUT)-(c_TMAP1OUT))+IF(((c_TMAP2OUT)-(c_TMAP1OUT))&gt;=0,1,-1)*QUOTIENT(((c_TMAP2IN)-(c_TMAP1IN)),2)),((c_TMAP2IN)-(c_TMAP1IN)))+(c_TMAP1OUT)+IF(((c_TMAP2OUT)-(c_TMAP1OUT))&gt;=0,IF(IF(o_WRAP=1,MOD(((c_TMAP2IN)-(c_TMAP1IN))*(((K239)-(c_TMAP1IN))*((c_TMAP2OUT)-(c_TMAP1OUT))+IF(((c_TMAP2OUT)-(c_TMAP1OUT))&gt;=0,1,-1)*QUOTIENT(((c_TMAP2IN)-(c_TMAP1IN)),2))+2147483648,4294967296)-2147483648,((c_TMAP2IN)-(c_TMAP1IN))*(((K239)-(c_TMAP1IN))*((c_TMAP2OUT)-(c_TMAP1OUT))+IF(((c_TMAP2OUT)-(c_TMAP1OUT))&gt;=0,1,-1)*QUOTIENT(((c_TMAP2IN)-(c_TMAP1IN)),2)))&lt;0,-1,0),IF(IF(o_WRAP=1,MOD(((c_TMAP2IN)-(c_TMAP1IN))*(((K239)-(c_TMAP1IN))*((c_TMAP2OUT)-(c_TMAP1OUT))+IF(((c_TMAP2OUT)-(c_TMAP1OUT))&gt;=0,1,-1)*QUOTIENT(((c_TMAP2IN)-(c_TMAP1IN)),2))+2147483648,4294967296)-2147483648,((c_TMAP2IN)-(c_TMAP1IN))*(((K239)-(c_TMAP1IN))*((c_TMAP2OUT)-(c_TMAP1OUT))+IF(((c_TMAP2OUT)-(c_TMAP1OUT))&gt;=0,1,-1)*QUOTIENT(((c_TMAP2IN)-(c_TMAP1IN)),2)))&gt;=0,1,0)))</f>
        <v>273</v>
      </c>
      <c r="O239" s="7" t="n">
        <f aca="false">IF(((c_TMAP3IN)-(c_TMAP2IN))=0,(c_TMAP2OUT)+QUOTIENT(((c_TMAP3OUT)-(c_TMAP2OUT)),2),QUOTIENT((((K239)-(c_TMAP2IN))*((c_TMAP3OUT)-(c_TMAP2OUT))+IF(((c_TMAP3OUT)-(c_TMAP2OUT))&gt;=0,1,-1)*QUOTIENT(((c_TMAP3IN)-(c_TMAP2IN)),2)),((c_TMAP3IN)-(c_TMAP2IN)))+(c_TMAP2OUT)+IF(((c_TMAP3OUT)-(c_TMAP2OUT))&gt;=0,IF(IF(o_WRAP=1,MOD(((c_TMAP3IN)-(c_TMAP2IN))*(((K239)-(c_TMAP2IN))*((c_TMAP3OUT)-(c_TMAP2OUT))+IF(((c_TMAP3OUT)-(c_TMAP2OUT))&gt;=0,1,-1)*QUOTIENT(((c_TMAP3IN)-(c_TMAP2IN)),2))+2147483648,4294967296)-2147483648,((c_TMAP3IN)-(c_TMAP2IN))*(((K239)-(c_TMAP2IN))*((c_TMAP3OUT)-(c_TMAP2OUT))+IF(((c_TMAP3OUT)-(c_TMAP2OUT))&gt;=0,1,-1)*QUOTIENT(((c_TMAP3IN)-(c_TMAP2IN)),2)))&lt;0,-1,0),IF(IF(o_WRAP=1,MOD(((c_TMAP3IN)-(c_TMAP2IN))*(((K239)-(c_TMAP2IN))*((c_TMAP3OUT)-(c_TMAP2OUT))+IF(((c_TMAP3OUT)-(c_TMAP2OUT))&gt;=0,1,-1)*QUOTIENT(((c_TMAP3IN)-(c_TMAP2IN)),2))+2147483648,4294967296)-2147483648,((c_TMAP3IN)-(c_TMAP2IN))*(((K239)-(c_TMAP2IN))*((c_TMAP3OUT)-(c_TMAP2OUT))+IF(((c_TMAP3OUT)-(c_TMAP2OUT))&gt;=0,1,-1)*QUOTIENT(((c_TMAP3IN)-(c_TMAP2IN)),2)))&gt;=0,1,0)))</f>
        <v>381</v>
      </c>
      <c r="P239" s="7" t="n">
        <f aca="false">IF(((1000)-(c_TMAP3IN))=0,(c_TMAP3OUT)+QUOTIENT(((1000)-(c_TMAP3OUT)),2),QUOTIENT((((K239)-(c_TMAP3IN))*((1000)-(c_TMAP3OUT))+IF(((1000)-(c_TMAP3OUT))&gt;=0,1,-1)*QUOTIENT(((1000)-(c_TMAP3IN)),2)),((1000)-(c_TMAP3IN)))+(c_TMAP3OUT)+IF(((1000)-(c_TMAP3OUT))&gt;=0,IF(IF(o_WRAP=1,MOD(((1000)-(c_TMAP3IN))*(((K239)-(c_TMAP3IN))*((1000)-(c_TMAP3OUT))+IF(((1000)-(c_TMAP3OUT))&gt;=0,1,-1)*QUOTIENT(((1000)-(c_TMAP3IN)),2))+2147483648,4294967296)-2147483648,((1000)-(c_TMAP3IN))*(((K239)-(c_TMAP3IN))*((1000)-(c_TMAP3OUT))+IF(((1000)-(c_TMAP3OUT))&gt;=0,1,-1)*QUOTIENT(((1000)-(c_TMAP3IN)),2)))&lt;0,-1,0),IF(IF(o_WRAP=1,MOD(((1000)-(c_TMAP3IN))*(((K239)-(c_TMAP3IN))*((1000)-(c_TMAP3OUT))+IF(((1000)-(c_TMAP3OUT))&gt;=0,1,-1)*QUOTIENT(((1000)-(c_TMAP3IN)),2))+2147483648,4294967296)-2147483648,((1000)-(c_TMAP3IN))*(((K239)-(c_TMAP3IN))*((1000)-(c_TMAP3OUT))+IF(((1000)-(c_TMAP3OUT))&gt;=0,1,-1)*QUOTIENT(((1000)-(c_TMAP3IN)),2)))&gt;=0,1,0)))</f>
        <v>518</v>
      </c>
      <c r="Q239" s="7" t="str">
        <f aca="false">IF(K239&gt;=c_TFWD,IF(AND(K239&gt;=c_TMAP3IN,c_TMAP3IN&lt;1000),"Seg4 map3-100%",IF(AND(K239&gt;=c_TMAP2IN,c_TMAP3IN&gt;c_TMAP2IN),"Seg3 map2-map3",IF(AND(K239&gt;=c_TMAP1IN,c_TMAP2IN&gt;c_TMAP1IN),"Seg2 map1-map2","Seg1 TFWD-map1"))),IF(AND(K239=0,c_TCREEP&gt;0),"Creep",IF(AND(K239&lt;=c_TRNGMIN,K239&gt;=c_TRNGMAX,c_TRNGMIN-c_TRNGMAX&lt;&gt;0),"Regen ramp","Coast (0)")))</f>
        <v>Seg4 map3-100%</v>
      </c>
      <c r="R239" s="7" t="n">
        <f aca="false">IF(K239&gt;=c_TFWD,IF(AND(K239&gt;=c_TMAP3IN,c_TMAP3IN&lt;1000),P239,IF(AND(K239&gt;=c_TMAP2IN,c_TMAP3IN&gt;c_TMAP2IN),O239,IF(AND(K239&gt;=c_TMAP1IN,c_TMAP2IN&gt;c_TMAP1IN),N239,M239))),L239)</f>
        <v>518</v>
      </c>
      <c r="S239" s="7" t="str">
        <f aca="false">IF(R239&lt;-1090,"TOO LOW",IF(R239&gt;1090,"TOO HIGH",""))</f>
        <v/>
      </c>
      <c r="T239" s="15" t="n">
        <f aca="false">IF(H239&lt;&gt;"OK",0,IF(S239&lt;&gt;"",0,IF(R239&gt;979,1000,R239)))</f>
        <v>518</v>
      </c>
      <c r="U239" s="7" t="n">
        <f aca="false">T239/10</f>
        <v>51.8</v>
      </c>
    </row>
    <row r="240" customFormat="false" ht="15" hidden="false" customHeight="false" outlineLevel="0" collapsed="false">
      <c r="A240" s="7" t="n">
        <v>235</v>
      </c>
      <c r="B240" s="7" t="n">
        <f aca="false">ROUND(o_SWSTART+A240*(o_SWEND-o_SWSTART)/400,0)</f>
        <v>2406</v>
      </c>
      <c r="C240" s="7" t="n">
        <f aca="false">QUOTIENT((B240-c_OFF1)*c_GAIN1,1024)</f>
        <v>2406</v>
      </c>
      <c r="D240" s="7" t="n">
        <f aca="false">IF(((c_T1MX)-(c_T1MN))=0,(0)+QUOTIENT(((1000)-(0)),2),QUOTIENT((((C240)-(c_T1MN))*((1000)-(0))+IF(((1000)-(0))&gt;=0,1,-1)*QUOTIENT(((c_T1MX)-(c_T1MN)),2)),((c_T1MX)-(c_T1MN)))+(0)+IF(((1000)-(0))&gt;=0,IF(IF(o_WRAP=1,MOD(((c_T1MX)-(c_T1MN))*(((C240)-(c_T1MN))*((1000)-(0))+IF(((1000)-(0))&gt;=0,1,-1)*QUOTIENT(((c_T1MX)-(c_T1MN)),2))+2147483648,4294967296)-2147483648,((c_T1MX)-(c_T1MN))*(((C240)-(c_T1MN))*((1000)-(0))+IF(((1000)-(0))&gt;=0,1,-1)*QUOTIENT(((c_T1MX)-(c_T1MN)),2)))&lt;0,-1,0),IF(IF(o_WRAP=1,MOD(((c_T1MX)-(c_T1MN))*(((C240)-(c_T1MN))*((1000)-(0))+IF(((1000)-(0))&gt;=0,1,-1)*QUOTIENT(((c_T1MX)-(c_T1MN)),2))+2147483648,4294967296)-2147483648,((c_T1MX)-(c_T1MN))*(((C240)-(c_T1MN))*((1000)-(0))+IF(((1000)-(0))&gt;=0,1,-1)*QUOTIENT(((c_T1MX)-(c_T1MN)),2)))&gt;=0,1,0)))</f>
        <v>612</v>
      </c>
      <c r="E240" s="7" t="n">
        <f aca="false">IF(AND(c_TPOT=1,c_TTYPE=2),1000-D240,D240)</f>
        <v>612</v>
      </c>
      <c r="F240" s="7" t="str">
        <f aca="false">IF(c_TPOT&gt;1,ROUND(IF(c_TTYPE=2,c_T2MX-IF(c_T1MX=c_T1MN,0,(C240-c_T1MN)/(c_T1MX-c_T1MN))*(c_T2MX-c_T2MN),c_T2MN+IF(c_T1MX=c_T1MN,0,(C240-c_T1MN)/(c_T1MX-c_T1MN))*(c_T2MX-c_T2MN))+o_MISMATCH,0),"")</f>
        <v/>
      </c>
      <c r="G240" s="7" t="str">
        <f aca="false">IF(c_TPOT&gt;1,IF(((c_T2MX)-(c_T2MN))=0,(0)+QUOTIENT(((1000)-(0)),2),QUOTIENT((((F240)-(c_T2MN))*((1000)-(0))+IF(((1000)-(0))&gt;=0,1,-1)*QUOTIENT(((c_T2MX)-(c_T2MN)),2)),((c_T2MX)-(c_T2MN)))+(0)+IF(((1000)-(0))&gt;=0,IF(IF(o_WRAP=1,MOD(((c_T2MX)-(c_T2MN))*(((F240)-(c_T2MN))*((1000)-(0))+IF(((1000)-(0))&gt;=0,1,-1)*QUOTIENT(((c_T2MX)-(c_T2MN)),2))+2147483648,4294967296)-2147483648,((c_T2MX)-(c_T2MN))*(((F240)-(c_T2MN))*((1000)-(0))+IF(((1000)-(0))&gt;=0,1,-1)*QUOTIENT(((c_T2MX)-(c_T2MN)),2)))&lt;0,-1,0),IF(IF(o_WRAP=1,MOD(((c_T2MX)-(c_T2MN))*(((F240)-(c_T2MN))*((1000)-(0))+IF(((1000)-(0))&gt;=0,1,-1)*QUOTIENT(((c_T2MX)-(c_T2MN)),2))+2147483648,4294967296)-2147483648,((c_T2MX)-(c_T2MN))*(((F240)-(c_T2MN))*((1000)-(0))+IF(((1000)-(0))&gt;=0,1,-1)*QUOTIENT(((c_T2MX)-(c_T2MN)),2)))&gt;=0,1,0))),"")</f>
        <v/>
      </c>
      <c r="H240" s="7" t="str">
        <f aca="false">IF(E240&gt;1000+k_TOL,"T1 HIGH",IF(E240&lt;0-k_TOL,"T1 LOW",IF(c_TPOT&gt;1,IF(G240&gt;1000+k_TOL,"T2 HIGH",IF(G240&lt;0-k_TOL,"T2 LOW",IF(c_TTYPE=2,IF(ABS(1000-MAX(0,MIN(1000,E240))-MAX(0,MIN(1000,G240)))&gt;k_MAXERR,"MISMATCH","OK"),IF(OR(MAX(0,MIN(1000,E240))-k_MAXERR&gt;MAX(0,MIN(1000,G240)),MAX(0,MIN(1000,G240))-k_MAXERR&gt;MAX(0,MIN(1000,E240))),"MISMATCH","OK")))),"OK")))</f>
        <v>OK</v>
      </c>
      <c r="I240" s="7" t="n">
        <f aca="false">MAX(0,MIN(1000,D240))</f>
        <v>612</v>
      </c>
      <c r="J240" s="7" t="str">
        <f aca="false">IF(c_TPOT&gt;1,IF(c_TTYPE=2,1000-MAX(0,MIN(1000,G240)),MAX(0,MIN(1000,G240))),"")</f>
        <v/>
      </c>
      <c r="K240" s="7" t="n">
        <f aca="false">IF(c_TPOT&gt;1,QUOTIENT(I240+J240,2),I240)</f>
        <v>612</v>
      </c>
      <c r="L240" s="7" t="n">
        <f aca="false">IF(AND(K240=0,c_TCREEP&gt;0),10*c_TCREEP,IF(AND(K240&lt;=c_TRNGMIN,K240&gt;=c_TRNGMAX,c_TRNGMIN-c_TRNGMAX&lt;&gt;0),-10*c_TMINRN+QUOTIENT((c_TMAXRN-c_TMINRN)*(100-QUOTIENT((K240-c_TRNGMAX)*100,c_TRNGMIN-c_TRNGMAX)),-10),0))</f>
        <v>0</v>
      </c>
      <c r="M240" s="7" t="n">
        <f aca="false">IF(((c_TMAP1IN)-(c_TFWD))=0,(0)+QUOTIENT(((c_TMAP1OUT)-(0)),2),QUOTIENT((((K240)-(c_TFWD))*((c_TMAP1OUT)-(0))+IF(((c_TMAP1OUT)-(0))&gt;=0,1,-1)*QUOTIENT(((c_TMAP1IN)-(c_TFWD)),2)),((c_TMAP1IN)-(c_TFWD)))+(0)+IF(((c_TMAP1OUT)-(0))&gt;=0,IF(IF(o_WRAP=1,MOD(((c_TMAP1IN)-(c_TFWD))*(((K240)-(c_TFWD))*((c_TMAP1OUT)-(0))+IF(((c_TMAP1OUT)-(0))&gt;=0,1,-1)*QUOTIENT(((c_TMAP1IN)-(c_TFWD)),2))+2147483648,4294967296)-2147483648,((c_TMAP1IN)-(c_TFWD))*(((K240)-(c_TFWD))*((c_TMAP1OUT)-(0))+IF(((c_TMAP1OUT)-(0))&gt;=0,1,-1)*QUOTIENT(((c_TMAP1IN)-(c_TFWD)),2)))&lt;0,-1,0),IF(IF(o_WRAP=1,MOD(((c_TMAP1IN)-(c_TFWD))*(((K240)-(c_TFWD))*((c_TMAP1OUT)-(0))+IF(((c_TMAP1OUT)-(0))&gt;=0,1,-1)*QUOTIENT(((c_TMAP1IN)-(c_TFWD)),2))+2147483648,4294967296)-2147483648,((c_TMAP1IN)-(c_TFWD))*(((K240)-(c_TFWD))*((c_TMAP1OUT)-(0))+IF(((c_TMAP1OUT)-(0))&gt;=0,1,-1)*QUOTIENT(((c_TMAP1IN)-(c_TFWD)),2)))&gt;=0,1,0)))</f>
        <v>468</v>
      </c>
      <c r="N240" s="7" t="n">
        <f aca="false">IF(((c_TMAP2IN)-(c_TMAP1IN))=0,(c_TMAP1OUT)+QUOTIENT(((c_TMAP2OUT)-(c_TMAP1OUT)),2),QUOTIENT((((K240)-(c_TMAP1IN))*((c_TMAP2OUT)-(c_TMAP1OUT))+IF(((c_TMAP2OUT)-(c_TMAP1OUT))&gt;=0,1,-1)*QUOTIENT(((c_TMAP2IN)-(c_TMAP1IN)),2)),((c_TMAP2IN)-(c_TMAP1IN)))+(c_TMAP1OUT)+IF(((c_TMAP2OUT)-(c_TMAP1OUT))&gt;=0,IF(IF(o_WRAP=1,MOD(((c_TMAP2IN)-(c_TMAP1IN))*(((K240)-(c_TMAP1IN))*((c_TMAP2OUT)-(c_TMAP1OUT))+IF(((c_TMAP2OUT)-(c_TMAP1OUT))&gt;=0,1,-1)*QUOTIENT(((c_TMAP2IN)-(c_TMAP1IN)),2))+2147483648,4294967296)-2147483648,((c_TMAP2IN)-(c_TMAP1IN))*(((K240)-(c_TMAP1IN))*((c_TMAP2OUT)-(c_TMAP1OUT))+IF(((c_TMAP2OUT)-(c_TMAP1OUT))&gt;=0,1,-1)*QUOTIENT(((c_TMAP2IN)-(c_TMAP1IN)),2)))&lt;0,-1,0),IF(IF(o_WRAP=1,MOD(((c_TMAP2IN)-(c_TMAP1IN))*(((K240)-(c_TMAP1IN))*((c_TMAP2OUT)-(c_TMAP1OUT))+IF(((c_TMAP2OUT)-(c_TMAP1OUT))&gt;=0,1,-1)*QUOTIENT(((c_TMAP2IN)-(c_TMAP1IN)),2))+2147483648,4294967296)-2147483648,((c_TMAP2IN)-(c_TMAP1IN))*(((K240)-(c_TMAP1IN))*((c_TMAP2OUT)-(c_TMAP1OUT))+IF(((c_TMAP2OUT)-(c_TMAP1OUT))&gt;=0,1,-1)*QUOTIENT(((c_TMAP2IN)-(c_TMAP1IN)),2)))&gt;=0,1,0)))</f>
        <v>275</v>
      </c>
      <c r="O240" s="7" t="n">
        <f aca="false">IF(((c_TMAP3IN)-(c_TMAP2IN))=0,(c_TMAP2OUT)+QUOTIENT(((c_TMAP3OUT)-(c_TMAP2OUT)),2),QUOTIENT((((K240)-(c_TMAP2IN))*((c_TMAP3OUT)-(c_TMAP2OUT))+IF(((c_TMAP3OUT)-(c_TMAP2OUT))&gt;=0,1,-1)*QUOTIENT(((c_TMAP3IN)-(c_TMAP2IN)),2)),((c_TMAP3IN)-(c_TMAP2IN)))+(c_TMAP2OUT)+IF(((c_TMAP3OUT)-(c_TMAP2OUT))&gt;=0,IF(IF(o_WRAP=1,MOD(((c_TMAP3IN)-(c_TMAP2IN))*(((K240)-(c_TMAP2IN))*((c_TMAP3OUT)-(c_TMAP2OUT))+IF(((c_TMAP3OUT)-(c_TMAP2OUT))&gt;=0,1,-1)*QUOTIENT(((c_TMAP3IN)-(c_TMAP2IN)),2))+2147483648,4294967296)-2147483648,((c_TMAP3IN)-(c_TMAP2IN))*(((K240)-(c_TMAP2IN))*((c_TMAP3OUT)-(c_TMAP2OUT))+IF(((c_TMAP3OUT)-(c_TMAP2OUT))&gt;=0,1,-1)*QUOTIENT(((c_TMAP3IN)-(c_TMAP2IN)),2)))&lt;0,-1,0),IF(IF(o_WRAP=1,MOD(((c_TMAP3IN)-(c_TMAP2IN))*(((K240)-(c_TMAP2IN))*((c_TMAP3OUT)-(c_TMAP2OUT))+IF(((c_TMAP3OUT)-(c_TMAP2OUT))&gt;=0,1,-1)*QUOTIENT(((c_TMAP3IN)-(c_TMAP2IN)),2))+2147483648,4294967296)-2147483648,((c_TMAP3IN)-(c_TMAP2IN))*(((K240)-(c_TMAP2IN))*((c_TMAP3OUT)-(c_TMAP2OUT))+IF(((c_TMAP3OUT)-(c_TMAP2OUT))&gt;=0,1,-1)*QUOTIENT(((c_TMAP3IN)-(c_TMAP2IN)),2)))&gt;=0,1,0)))</f>
        <v>383</v>
      </c>
      <c r="P240" s="7" t="n">
        <f aca="false">IF(((1000)-(c_TMAP3IN))=0,(c_TMAP3OUT)+QUOTIENT(((1000)-(c_TMAP3OUT)),2),QUOTIENT((((K240)-(c_TMAP3IN))*((1000)-(c_TMAP3OUT))+IF(((1000)-(c_TMAP3OUT))&gt;=0,1,-1)*QUOTIENT(((1000)-(c_TMAP3IN)),2)),((1000)-(c_TMAP3IN)))+(c_TMAP3OUT)+IF(((1000)-(c_TMAP3OUT))&gt;=0,IF(IF(o_WRAP=1,MOD(((1000)-(c_TMAP3IN))*(((K240)-(c_TMAP3IN))*((1000)-(c_TMAP3OUT))+IF(((1000)-(c_TMAP3OUT))&gt;=0,1,-1)*QUOTIENT(((1000)-(c_TMAP3IN)),2))+2147483648,4294967296)-2147483648,((1000)-(c_TMAP3IN))*(((K240)-(c_TMAP3IN))*((1000)-(c_TMAP3OUT))+IF(((1000)-(c_TMAP3OUT))&gt;=0,1,-1)*QUOTIENT(((1000)-(c_TMAP3IN)),2)))&lt;0,-1,0),IF(IF(o_WRAP=1,MOD(((1000)-(c_TMAP3IN))*(((K240)-(c_TMAP3IN))*((1000)-(c_TMAP3OUT))+IF(((1000)-(c_TMAP3OUT))&gt;=0,1,-1)*QUOTIENT(((1000)-(c_TMAP3IN)),2))+2147483648,4294967296)-2147483648,((1000)-(c_TMAP3IN))*(((K240)-(c_TMAP3IN))*((1000)-(c_TMAP3OUT))+IF(((1000)-(c_TMAP3OUT))&gt;=0,1,-1)*QUOTIENT(((1000)-(c_TMAP3IN)),2)))&gt;=0,1,0)))</f>
        <v>522</v>
      </c>
      <c r="Q240" s="7" t="str">
        <f aca="false">IF(K240&gt;=c_TFWD,IF(AND(K240&gt;=c_TMAP3IN,c_TMAP3IN&lt;1000),"Seg4 map3-100%",IF(AND(K240&gt;=c_TMAP2IN,c_TMAP3IN&gt;c_TMAP2IN),"Seg3 map2-map3",IF(AND(K240&gt;=c_TMAP1IN,c_TMAP2IN&gt;c_TMAP1IN),"Seg2 map1-map2","Seg1 TFWD-map1"))),IF(AND(K240=0,c_TCREEP&gt;0),"Creep",IF(AND(K240&lt;=c_TRNGMIN,K240&gt;=c_TRNGMAX,c_TRNGMIN-c_TRNGMAX&lt;&gt;0),"Regen ramp","Coast (0)")))</f>
        <v>Seg4 map3-100%</v>
      </c>
      <c r="R240" s="7" t="n">
        <f aca="false">IF(K240&gt;=c_TFWD,IF(AND(K240&gt;=c_TMAP3IN,c_TMAP3IN&lt;1000),P240,IF(AND(K240&gt;=c_TMAP2IN,c_TMAP3IN&gt;c_TMAP2IN),O240,IF(AND(K240&gt;=c_TMAP1IN,c_TMAP2IN&gt;c_TMAP1IN),N240,M240))),L240)</f>
        <v>522</v>
      </c>
      <c r="S240" s="7" t="str">
        <f aca="false">IF(R240&lt;-1090,"TOO LOW",IF(R240&gt;1090,"TOO HIGH",""))</f>
        <v/>
      </c>
      <c r="T240" s="15" t="n">
        <f aca="false">IF(H240&lt;&gt;"OK",0,IF(S240&lt;&gt;"",0,IF(R240&gt;979,1000,R240)))</f>
        <v>522</v>
      </c>
      <c r="U240" s="7" t="n">
        <f aca="false">T240/10</f>
        <v>52.2</v>
      </c>
    </row>
    <row r="241" customFormat="false" ht="15" hidden="false" customHeight="false" outlineLevel="0" collapsed="false">
      <c r="A241" s="7" t="n">
        <v>236</v>
      </c>
      <c r="B241" s="7" t="n">
        <f aca="false">ROUND(o_SWSTART+A241*(o_SWEND-o_SWSTART)/400,0)</f>
        <v>2416</v>
      </c>
      <c r="C241" s="7" t="n">
        <f aca="false">QUOTIENT((B241-c_OFF1)*c_GAIN1,1024)</f>
        <v>2416</v>
      </c>
      <c r="D241" s="7" t="n">
        <f aca="false">IF(((c_T1MX)-(c_T1MN))=0,(0)+QUOTIENT(((1000)-(0)),2),QUOTIENT((((C241)-(c_T1MN))*((1000)-(0))+IF(((1000)-(0))&gt;=0,1,-1)*QUOTIENT(((c_T1MX)-(c_T1MN)),2)),((c_T1MX)-(c_T1MN)))+(0)+IF(((1000)-(0))&gt;=0,IF(IF(o_WRAP=1,MOD(((c_T1MX)-(c_T1MN))*(((C241)-(c_T1MN))*((1000)-(0))+IF(((1000)-(0))&gt;=0,1,-1)*QUOTIENT(((c_T1MX)-(c_T1MN)),2))+2147483648,4294967296)-2147483648,((c_T1MX)-(c_T1MN))*(((C241)-(c_T1MN))*((1000)-(0))+IF(((1000)-(0))&gt;=0,1,-1)*QUOTIENT(((c_T1MX)-(c_T1MN)),2)))&lt;0,-1,0),IF(IF(o_WRAP=1,MOD(((c_T1MX)-(c_T1MN))*(((C241)-(c_T1MN))*((1000)-(0))+IF(((1000)-(0))&gt;=0,1,-1)*QUOTIENT(((c_T1MX)-(c_T1MN)),2))+2147483648,4294967296)-2147483648,((c_T1MX)-(c_T1MN))*(((C241)-(c_T1MN))*((1000)-(0))+IF(((1000)-(0))&gt;=0,1,-1)*QUOTIENT(((c_T1MX)-(c_T1MN)),2)))&gt;=0,1,0)))</f>
        <v>616</v>
      </c>
      <c r="E241" s="7" t="n">
        <f aca="false">IF(AND(c_TPOT=1,c_TTYPE=2),1000-D241,D241)</f>
        <v>616</v>
      </c>
      <c r="F241" s="7" t="str">
        <f aca="false">IF(c_TPOT&gt;1,ROUND(IF(c_TTYPE=2,c_T2MX-IF(c_T1MX=c_T1MN,0,(C241-c_T1MN)/(c_T1MX-c_T1MN))*(c_T2MX-c_T2MN),c_T2MN+IF(c_T1MX=c_T1MN,0,(C241-c_T1MN)/(c_T1MX-c_T1MN))*(c_T2MX-c_T2MN))+o_MISMATCH,0),"")</f>
        <v/>
      </c>
      <c r="G241" s="7" t="str">
        <f aca="false">IF(c_TPOT&gt;1,IF(((c_T2MX)-(c_T2MN))=0,(0)+QUOTIENT(((1000)-(0)),2),QUOTIENT((((F241)-(c_T2MN))*((1000)-(0))+IF(((1000)-(0))&gt;=0,1,-1)*QUOTIENT(((c_T2MX)-(c_T2MN)),2)),((c_T2MX)-(c_T2MN)))+(0)+IF(((1000)-(0))&gt;=0,IF(IF(o_WRAP=1,MOD(((c_T2MX)-(c_T2MN))*(((F241)-(c_T2MN))*((1000)-(0))+IF(((1000)-(0))&gt;=0,1,-1)*QUOTIENT(((c_T2MX)-(c_T2MN)),2))+2147483648,4294967296)-2147483648,((c_T2MX)-(c_T2MN))*(((F241)-(c_T2MN))*((1000)-(0))+IF(((1000)-(0))&gt;=0,1,-1)*QUOTIENT(((c_T2MX)-(c_T2MN)),2)))&lt;0,-1,0),IF(IF(o_WRAP=1,MOD(((c_T2MX)-(c_T2MN))*(((F241)-(c_T2MN))*((1000)-(0))+IF(((1000)-(0))&gt;=0,1,-1)*QUOTIENT(((c_T2MX)-(c_T2MN)),2))+2147483648,4294967296)-2147483648,((c_T2MX)-(c_T2MN))*(((F241)-(c_T2MN))*((1000)-(0))+IF(((1000)-(0))&gt;=0,1,-1)*QUOTIENT(((c_T2MX)-(c_T2MN)),2)))&gt;=0,1,0))),"")</f>
        <v/>
      </c>
      <c r="H241" s="7" t="str">
        <f aca="false">IF(E241&gt;1000+k_TOL,"T1 HIGH",IF(E241&lt;0-k_TOL,"T1 LOW",IF(c_TPOT&gt;1,IF(G241&gt;1000+k_TOL,"T2 HIGH",IF(G241&lt;0-k_TOL,"T2 LOW",IF(c_TTYPE=2,IF(ABS(1000-MAX(0,MIN(1000,E241))-MAX(0,MIN(1000,G241)))&gt;k_MAXERR,"MISMATCH","OK"),IF(OR(MAX(0,MIN(1000,E241))-k_MAXERR&gt;MAX(0,MIN(1000,G241)),MAX(0,MIN(1000,G241))-k_MAXERR&gt;MAX(0,MIN(1000,E241))),"MISMATCH","OK")))),"OK")))</f>
        <v>OK</v>
      </c>
      <c r="I241" s="7" t="n">
        <f aca="false">MAX(0,MIN(1000,D241))</f>
        <v>616</v>
      </c>
      <c r="J241" s="7" t="str">
        <f aca="false">IF(c_TPOT&gt;1,IF(c_TTYPE=2,1000-MAX(0,MIN(1000,G241)),MAX(0,MIN(1000,G241))),"")</f>
        <v/>
      </c>
      <c r="K241" s="7" t="n">
        <f aca="false">IF(c_TPOT&gt;1,QUOTIENT(I241+J241,2),I241)</f>
        <v>616</v>
      </c>
      <c r="L241" s="7" t="n">
        <f aca="false">IF(AND(K241=0,c_TCREEP&gt;0),10*c_TCREEP,IF(AND(K241&lt;=c_TRNGMIN,K241&gt;=c_TRNGMAX,c_TRNGMIN-c_TRNGMAX&lt;&gt;0),-10*c_TMINRN+QUOTIENT((c_TMAXRN-c_TMINRN)*(100-QUOTIENT((K241-c_TRNGMAX)*100,c_TRNGMIN-c_TRNGMAX)),-10),0))</f>
        <v>0</v>
      </c>
      <c r="M241" s="7" t="n">
        <f aca="false">IF(((c_TMAP1IN)-(c_TFWD))=0,(0)+QUOTIENT(((c_TMAP1OUT)-(0)),2),QUOTIENT((((K241)-(c_TFWD))*((c_TMAP1OUT)-(0))+IF(((c_TMAP1OUT)-(0))&gt;=0,1,-1)*QUOTIENT(((c_TMAP1IN)-(c_TFWD)),2)),((c_TMAP1IN)-(c_TFWD)))+(0)+IF(((c_TMAP1OUT)-(0))&gt;=0,IF(IF(o_WRAP=1,MOD(((c_TMAP1IN)-(c_TFWD))*(((K241)-(c_TFWD))*((c_TMAP1OUT)-(0))+IF(((c_TMAP1OUT)-(0))&gt;=0,1,-1)*QUOTIENT(((c_TMAP1IN)-(c_TFWD)),2))+2147483648,4294967296)-2147483648,((c_TMAP1IN)-(c_TFWD))*(((K241)-(c_TFWD))*((c_TMAP1OUT)-(0))+IF(((c_TMAP1OUT)-(0))&gt;=0,1,-1)*QUOTIENT(((c_TMAP1IN)-(c_TFWD)),2)))&lt;0,-1,0),IF(IF(o_WRAP=1,MOD(((c_TMAP1IN)-(c_TFWD))*(((K241)-(c_TFWD))*((c_TMAP1OUT)-(0))+IF(((c_TMAP1OUT)-(0))&gt;=0,1,-1)*QUOTIENT(((c_TMAP1IN)-(c_TFWD)),2))+2147483648,4294967296)-2147483648,((c_TMAP1IN)-(c_TFWD))*(((K241)-(c_TFWD))*((c_TMAP1OUT)-(0))+IF(((c_TMAP1OUT)-(0))&gt;=0,1,-1)*QUOTIENT(((c_TMAP1IN)-(c_TFWD)),2)))&gt;=0,1,0)))</f>
        <v>471</v>
      </c>
      <c r="N241" s="7" t="n">
        <f aca="false">IF(((c_TMAP2IN)-(c_TMAP1IN))=0,(c_TMAP1OUT)+QUOTIENT(((c_TMAP2OUT)-(c_TMAP1OUT)),2),QUOTIENT((((K241)-(c_TMAP1IN))*((c_TMAP2OUT)-(c_TMAP1OUT))+IF(((c_TMAP2OUT)-(c_TMAP1OUT))&gt;=0,1,-1)*QUOTIENT(((c_TMAP2IN)-(c_TMAP1IN)),2)),((c_TMAP2IN)-(c_TMAP1IN)))+(c_TMAP1OUT)+IF(((c_TMAP2OUT)-(c_TMAP1OUT))&gt;=0,IF(IF(o_WRAP=1,MOD(((c_TMAP2IN)-(c_TMAP1IN))*(((K241)-(c_TMAP1IN))*((c_TMAP2OUT)-(c_TMAP1OUT))+IF(((c_TMAP2OUT)-(c_TMAP1OUT))&gt;=0,1,-1)*QUOTIENT(((c_TMAP2IN)-(c_TMAP1IN)),2))+2147483648,4294967296)-2147483648,((c_TMAP2IN)-(c_TMAP1IN))*(((K241)-(c_TMAP1IN))*((c_TMAP2OUT)-(c_TMAP1OUT))+IF(((c_TMAP2OUT)-(c_TMAP1OUT))&gt;=0,1,-1)*QUOTIENT(((c_TMAP2IN)-(c_TMAP1IN)),2)))&lt;0,-1,0),IF(IF(o_WRAP=1,MOD(((c_TMAP2IN)-(c_TMAP1IN))*(((K241)-(c_TMAP1IN))*((c_TMAP2OUT)-(c_TMAP1OUT))+IF(((c_TMAP2OUT)-(c_TMAP1OUT))&gt;=0,1,-1)*QUOTIENT(((c_TMAP2IN)-(c_TMAP1IN)),2))+2147483648,4294967296)-2147483648,((c_TMAP2IN)-(c_TMAP1IN))*(((K241)-(c_TMAP1IN))*((c_TMAP2OUT)-(c_TMAP1OUT))+IF(((c_TMAP2OUT)-(c_TMAP1OUT))&gt;=0,1,-1)*QUOTIENT(((c_TMAP2IN)-(c_TMAP1IN)),2)))&gt;=0,1,0)))</f>
        <v>276</v>
      </c>
      <c r="O241" s="7" t="n">
        <f aca="false">IF(((c_TMAP3IN)-(c_TMAP2IN))=0,(c_TMAP2OUT)+QUOTIENT(((c_TMAP3OUT)-(c_TMAP2OUT)),2),QUOTIENT((((K241)-(c_TMAP2IN))*((c_TMAP3OUT)-(c_TMAP2OUT))+IF(((c_TMAP3OUT)-(c_TMAP2OUT))&gt;=0,1,-1)*QUOTIENT(((c_TMAP3IN)-(c_TMAP2IN)),2)),((c_TMAP3IN)-(c_TMAP2IN)))+(c_TMAP2OUT)+IF(((c_TMAP3OUT)-(c_TMAP2OUT))&gt;=0,IF(IF(o_WRAP=1,MOD(((c_TMAP3IN)-(c_TMAP2IN))*(((K241)-(c_TMAP2IN))*((c_TMAP3OUT)-(c_TMAP2OUT))+IF(((c_TMAP3OUT)-(c_TMAP2OUT))&gt;=0,1,-1)*QUOTIENT(((c_TMAP3IN)-(c_TMAP2IN)),2))+2147483648,4294967296)-2147483648,((c_TMAP3IN)-(c_TMAP2IN))*(((K241)-(c_TMAP2IN))*((c_TMAP3OUT)-(c_TMAP2OUT))+IF(((c_TMAP3OUT)-(c_TMAP2OUT))&gt;=0,1,-1)*QUOTIENT(((c_TMAP3IN)-(c_TMAP2IN)),2)))&lt;0,-1,0),IF(IF(o_WRAP=1,MOD(((c_TMAP3IN)-(c_TMAP2IN))*(((K241)-(c_TMAP2IN))*((c_TMAP3OUT)-(c_TMAP2OUT))+IF(((c_TMAP3OUT)-(c_TMAP2OUT))&gt;=0,1,-1)*QUOTIENT(((c_TMAP3IN)-(c_TMAP2IN)),2))+2147483648,4294967296)-2147483648,((c_TMAP3IN)-(c_TMAP2IN))*(((K241)-(c_TMAP2IN))*((c_TMAP3OUT)-(c_TMAP2OUT))+IF(((c_TMAP3OUT)-(c_TMAP2OUT))&gt;=0,1,-1)*QUOTIENT(((c_TMAP3IN)-(c_TMAP2IN)),2)))&gt;=0,1,0)))</f>
        <v>386</v>
      </c>
      <c r="P241" s="7" t="n">
        <f aca="false">IF(((1000)-(c_TMAP3IN))=0,(c_TMAP3OUT)+QUOTIENT(((1000)-(c_TMAP3OUT)),2),QUOTIENT((((K241)-(c_TMAP3IN))*((1000)-(c_TMAP3OUT))+IF(((1000)-(c_TMAP3OUT))&gt;=0,1,-1)*QUOTIENT(((1000)-(c_TMAP3IN)),2)),((1000)-(c_TMAP3IN)))+(c_TMAP3OUT)+IF(((1000)-(c_TMAP3OUT))&gt;=0,IF(IF(o_WRAP=1,MOD(((1000)-(c_TMAP3IN))*(((K241)-(c_TMAP3IN))*((1000)-(c_TMAP3OUT))+IF(((1000)-(c_TMAP3OUT))&gt;=0,1,-1)*QUOTIENT(((1000)-(c_TMAP3IN)),2))+2147483648,4294967296)-2147483648,((1000)-(c_TMAP3IN))*(((K241)-(c_TMAP3IN))*((1000)-(c_TMAP3OUT))+IF(((1000)-(c_TMAP3OUT))&gt;=0,1,-1)*QUOTIENT(((1000)-(c_TMAP3IN)),2)))&lt;0,-1,0),IF(IF(o_WRAP=1,MOD(((1000)-(c_TMAP3IN))*(((K241)-(c_TMAP3IN))*((1000)-(c_TMAP3OUT))+IF(((1000)-(c_TMAP3OUT))&gt;=0,1,-1)*QUOTIENT(((1000)-(c_TMAP3IN)),2))+2147483648,4294967296)-2147483648,((1000)-(c_TMAP3IN))*(((K241)-(c_TMAP3IN))*((1000)-(c_TMAP3OUT))+IF(((1000)-(c_TMAP3OUT))&gt;=0,1,-1)*QUOTIENT(((1000)-(c_TMAP3IN)),2)))&gt;=0,1,0)))</f>
        <v>527</v>
      </c>
      <c r="Q241" s="7" t="str">
        <f aca="false">IF(K241&gt;=c_TFWD,IF(AND(K241&gt;=c_TMAP3IN,c_TMAP3IN&lt;1000),"Seg4 map3-100%",IF(AND(K241&gt;=c_TMAP2IN,c_TMAP3IN&gt;c_TMAP2IN),"Seg3 map2-map3",IF(AND(K241&gt;=c_TMAP1IN,c_TMAP2IN&gt;c_TMAP1IN),"Seg2 map1-map2","Seg1 TFWD-map1"))),IF(AND(K241=0,c_TCREEP&gt;0),"Creep",IF(AND(K241&lt;=c_TRNGMIN,K241&gt;=c_TRNGMAX,c_TRNGMIN-c_TRNGMAX&lt;&gt;0),"Regen ramp","Coast (0)")))</f>
        <v>Seg4 map3-100%</v>
      </c>
      <c r="R241" s="7" t="n">
        <f aca="false">IF(K241&gt;=c_TFWD,IF(AND(K241&gt;=c_TMAP3IN,c_TMAP3IN&lt;1000),P241,IF(AND(K241&gt;=c_TMAP2IN,c_TMAP3IN&gt;c_TMAP2IN),O241,IF(AND(K241&gt;=c_TMAP1IN,c_TMAP2IN&gt;c_TMAP1IN),N241,M241))),L241)</f>
        <v>527</v>
      </c>
      <c r="S241" s="7" t="str">
        <f aca="false">IF(R241&lt;-1090,"TOO LOW",IF(R241&gt;1090,"TOO HIGH",""))</f>
        <v/>
      </c>
      <c r="T241" s="15" t="n">
        <f aca="false">IF(H241&lt;&gt;"OK",0,IF(S241&lt;&gt;"",0,IF(R241&gt;979,1000,R241)))</f>
        <v>527</v>
      </c>
      <c r="U241" s="7" t="n">
        <f aca="false">T241/10</f>
        <v>52.7</v>
      </c>
    </row>
    <row r="242" customFormat="false" ht="15" hidden="false" customHeight="false" outlineLevel="0" collapsed="false">
      <c r="A242" s="7" t="n">
        <v>237</v>
      </c>
      <c r="B242" s="7" t="n">
        <f aca="false">ROUND(o_SWSTART+A242*(o_SWEND-o_SWSTART)/400,0)</f>
        <v>2426</v>
      </c>
      <c r="C242" s="7" t="n">
        <f aca="false">QUOTIENT((B242-c_OFF1)*c_GAIN1,1024)</f>
        <v>2426</v>
      </c>
      <c r="D242" s="7" t="n">
        <f aca="false">IF(((c_T1MX)-(c_T1MN))=0,(0)+QUOTIENT(((1000)-(0)),2),QUOTIENT((((C242)-(c_T1MN))*((1000)-(0))+IF(((1000)-(0))&gt;=0,1,-1)*QUOTIENT(((c_T1MX)-(c_T1MN)),2)),((c_T1MX)-(c_T1MN)))+(0)+IF(((1000)-(0))&gt;=0,IF(IF(o_WRAP=1,MOD(((c_T1MX)-(c_T1MN))*(((C242)-(c_T1MN))*((1000)-(0))+IF(((1000)-(0))&gt;=0,1,-1)*QUOTIENT(((c_T1MX)-(c_T1MN)),2))+2147483648,4294967296)-2147483648,((c_T1MX)-(c_T1MN))*(((C242)-(c_T1MN))*((1000)-(0))+IF(((1000)-(0))&gt;=0,1,-1)*QUOTIENT(((c_T1MX)-(c_T1MN)),2)))&lt;0,-1,0),IF(IF(o_WRAP=1,MOD(((c_T1MX)-(c_T1MN))*(((C242)-(c_T1MN))*((1000)-(0))+IF(((1000)-(0))&gt;=0,1,-1)*QUOTIENT(((c_T1MX)-(c_T1MN)),2))+2147483648,4294967296)-2147483648,((c_T1MX)-(c_T1MN))*(((C242)-(c_T1MN))*((1000)-(0))+IF(((1000)-(0))&gt;=0,1,-1)*QUOTIENT(((c_T1MX)-(c_T1MN)),2)))&gt;=0,1,0)))</f>
        <v>619</v>
      </c>
      <c r="E242" s="7" t="n">
        <f aca="false">IF(AND(c_TPOT=1,c_TTYPE=2),1000-D242,D242)</f>
        <v>619</v>
      </c>
      <c r="F242" s="7" t="str">
        <f aca="false">IF(c_TPOT&gt;1,ROUND(IF(c_TTYPE=2,c_T2MX-IF(c_T1MX=c_T1MN,0,(C242-c_T1MN)/(c_T1MX-c_T1MN))*(c_T2MX-c_T2MN),c_T2MN+IF(c_T1MX=c_T1MN,0,(C242-c_T1MN)/(c_T1MX-c_T1MN))*(c_T2MX-c_T2MN))+o_MISMATCH,0),"")</f>
        <v/>
      </c>
      <c r="G242" s="7" t="str">
        <f aca="false">IF(c_TPOT&gt;1,IF(((c_T2MX)-(c_T2MN))=0,(0)+QUOTIENT(((1000)-(0)),2),QUOTIENT((((F242)-(c_T2MN))*((1000)-(0))+IF(((1000)-(0))&gt;=0,1,-1)*QUOTIENT(((c_T2MX)-(c_T2MN)),2)),((c_T2MX)-(c_T2MN)))+(0)+IF(((1000)-(0))&gt;=0,IF(IF(o_WRAP=1,MOD(((c_T2MX)-(c_T2MN))*(((F242)-(c_T2MN))*((1000)-(0))+IF(((1000)-(0))&gt;=0,1,-1)*QUOTIENT(((c_T2MX)-(c_T2MN)),2))+2147483648,4294967296)-2147483648,((c_T2MX)-(c_T2MN))*(((F242)-(c_T2MN))*((1000)-(0))+IF(((1000)-(0))&gt;=0,1,-1)*QUOTIENT(((c_T2MX)-(c_T2MN)),2)))&lt;0,-1,0),IF(IF(o_WRAP=1,MOD(((c_T2MX)-(c_T2MN))*(((F242)-(c_T2MN))*((1000)-(0))+IF(((1000)-(0))&gt;=0,1,-1)*QUOTIENT(((c_T2MX)-(c_T2MN)),2))+2147483648,4294967296)-2147483648,((c_T2MX)-(c_T2MN))*(((F242)-(c_T2MN))*((1000)-(0))+IF(((1000)-(0))&gt;=0,1,-1)*QUOTIENT(((c_T2MX)-(c_T2MN)),2)))&gt;=0,1,0))),"")</f>
        <v/>
      </c>
      <c r="H242" s="7" t="str">
        <f aca="false">IF(E242&gt;1000+k_TOL,"T1 HIGH",IF(E242&lt;0-k_TOL,"T1 LOW",IF(c_TPOT&gt;1,IF(G242&gt;1000+k_TOL,"T2 HIGH",IF(G242&lt;0-k_TOL,"T2 LOW",IF(c_TTYPE=2,IF(ABS(1000-MAX(0,MIN(1000,E242))-MAX(0,MIN(1000,G242)))&gt;k_MAXERR,"MISMATCH","OK"),IF(OR(MAX(0,MIN(1000,E242))-k_MAXERR&gt;MAX(0,MIN(1000,G242)),MAX(0,MIN(1000,G242))-k_MAXERR&gt;MAX(0,MIN(1000,E242))),"MISMATCH","OK")))),"OK")))</f>
        <v>OK</v>
      </c>
      <c r="I242" s="7" t="n">
        <f aca="false">MAX(0,MIN(1000,D242))</f>
        <v>619</v>
      </c>
      <c r="J242" s="7" t="str">
        <f aca="false">IF(c_TPOT&gt;1,IF(c_TTYPE=2,1000-MAX(0,MIN(1000,G242)),MAX(0,MIN(1000,G242))),"")</f>
        <v/>
      </c>
      <c r="K242" s="7" t="n">
        <f aca="false">IF(c_TPOT&gt;1,QUOTIENT(I242+J242,2),I242)</f>
        <v>619</v>
      </c>
      <c r="L242" s="7" t="n">
        <f aca="false">IF(AND(K242=0,c_TCREEP&gt;0),10*c_TCREEP,IF(AND(K242&lt;=c_TRNGMIN,K242&gt;=c_TRNGMAX,c_TRNGMIN-c_TRNGMAX&lt;&gt;0),-10*c_TMINRN+QUOTIENT((c_TMAXRN-c_TMINRN)*(100-QUOTIENT((K242-c_TRNGMAX)*100,c_TRNGMIN-c_TRNGMAX)),-10),0))</f>
        <v>0</v>
      </c>
      <c r="M242" s="7" t="n">
        <f aca="false">IF(((c_TMAP1IN)-(c_TFWD))=0,(0)+QUOTIENT(((c_TMAP1OUT)-(0)),2),QUOTIENT((((K242)-(c_TFWD))*((c_TMAP1OUT)-(0))+IF(((c_TMAP1OUT)-(0))&gt;=0,1,-1)*QUOTIENT(((c_TMAP1IN)-(c_TFWD)),2)),((c_TMAP1IN)-(c_TFWD)))+(0)+IF(((c_TMAP1OUT)-(0))&gt;=0,IF(IF(o_WRAP=1,MOD(((c_TMAP1IN)-(c_TFWD))*(((K242)-(c_TFWD))*((c_TMAP1OUT)-(0))+IF(((c_TMAP1OUT)-(0))&gt;=0,1,-1)*QUOTIENT(((c_TMAP1IN)-(c_TFWD)),2))+2147483648,4294967296)-2147483648,((c_TMAP1IN)-(c_TFWD))*(((K242)-(c_TFWD))*((c_TMAP1OUT)-(0))+IF(((c_TMAP1OUT)-(0))&gt;=0,1,-1)*QUOTIENT(((c_TMAP1IN)-(c_TFWD)),2)))&lt;0,-1,0),IF(IF(o_WRAP=1,MOD(((c_TMAP1IN)-(c_TFWD))*(((K242)-(c_TFWD))*((c_TMAP1OUT)-(0))+IF(((c_TMAP1OUT)-(0))&gt;=0,1,-1)*QUOTIENT(((c_TMAP1IN)-(c_TFWD)),2))+2147483648,4294967296)-2147483648,((c_TMAP1IN)-(c_TFWD))*(((K242)-(c_TFWD))*((c_TMAP1OUT)-(0))+IF(((c_TMAP1OUT)-(0))&gt;=0,1,-1)*QUOTIENT(((c_TMAP1IN)-(c_TFWD)),2)))&gt;=0,1,0)))</f>
        <v>474</v>
      </c>
      <c r="N242" s="7" t="n">
        <f aca="false">IF(((c_TMAP2IN)-(c_TMAP1IN))=0,(c_TMAP1OUT)+QUOTIENT(((c_TMAP2OUT)-(c_TMAP1OUT)),2),QUOTIENT((((K242)-(c_TMAP1IN))*((c_TMAP2OUT)-(c_TMAP1OUT))+IF(((c_TMAP2OUT)-(c_TMAP1OUT))&gt;=0,1,-1)*QUOTIENT(((c_TMAP2IN)-(c_TMAP1IN)),2)),((c_TMAP2IN)-(c_TMAP1IN)))+(c_TMAP1OUT)+IF(((c_TMAP2OUT)-(c_TMAP1OUT))&gt;=0,IF(IF(o_WRAP=1,MOD(((c_TMAP2IN)-(c_TMAP1IN))*(((K242)-(c_TMAP1IN))*((c_TMAP2OUT)-(c_TMAP1OUT))+IF(((c_TMAP2OUT)-(c_TMAP1OUT))&gt;=0,1,-1)*QUOTIENT(((c_TMAP2IN)-(c_TMAP1IN)),2))+2147483648,4294967296)-2147483648,((c_TMAP2IN)-(c_TMAP1IN))*(((K242)-(c_TMAP1IN))*((c_TMAP2OUT)-(c_TMAP1OUT))+IF(((c_TMAP2OUT)-(c_TMAP1OUT))&gt;=0,1,-1)*QUOTIENT(((c_TMAP2IN)-(c_TMAP1IN)),2)))&lt;0,-1,0),IF(IF(o_WRAP=1,MOD(((c_TMAP2IN)-(c_TMAP1IN))*(((K242)-(c_TMAP1IN))*((c_TMAP2OUT)-(c_TMAP1OUT))+IF(((c_TMAP2OUT)-(c_TMAP1OUT))&gt;=0,1,-1)*QUOTIENT(((c_TMAP2IN)-(c_TMAP1IN)),2))+2147483648,4294967296)-2147483648,((c_TMAP2IN)-(c_TMAP1IN))*(((K242)-(c_TMAP1IN))*((c_TMAP2OUT)-(c_TMAP1OUT))+IF(((c_TMAP2OUT)-(c_TMAP1OUT))&gt;=0,1,-1)*QUOTIENT(((c_TMAP2IN)-(c_TMAP1IN)),2)))&gt;=0,1,0)))</f>
        <v>278</v>
      </c>
      <c r="O242" s="7" t="n">
        <f aca="false">IF(((c_TMAP3IN)-(c_TMAP2IN))=0,(c_TMAP2OUT)+QUOTIENT(((c_TMAP3OUT)-(c_TMAP2OUT)),2),QUOTIENT((((K242)-(c_TMAP2IN))*((c_TMAP3OUT)-(c_TMAP2OUT))+IF(((c_TMAP3OUT)-(c_TMAP2OUT))&gt;=0,1,-1)*QUOTIENT(((c_TMAP3IN)-(c_TMAP2IN)),2)),((c_TMAP3IN)-(c_TMAP2IN)))+(c_TMAP2OUT)+IF(((c_TMAP3OUT)-(c_TMAP2OUT))&gt;=0,IF(IF(o_WRAP=1,MOD(((c_TMAP3IN)-(c_TMAP2IN))*(((K242)-(c_TMAP2IN))*((c_TMAP3OUT)-(c_TMAP2OUT))+IF(((c_TMAP3OUT)-(c_TMAP2OUT))&gt;=0,1,-1)*QUOTIENT(((c_TMAP3IN)-(c_TMAP2IN)),2))+2147483648,4294967296)-2147483648,((c_TMAP3IN)-(c_TMAP2IN))*(((K242)-(c_TMAP2IN))*((c_TMAP3OUT)-(c_TMAP2OUT))+IF(((c_TMAP3OUT)-(c_TMAP2OUT))&gt;=0,1,-1)*QUOTIENT(((c_TMAP3IN)-(c_TMAP2IN)),2)))&lt;0,-1,0),IF(IF(o_WRAP=1,MOD(((c_TMAP3IN)-(c_TMAP2IN))*(((K242)-(c_TMAP2IN))*((c_TMAP3OUT)-(c_TMAP2OUT))+IF(((c_TMAP3OUT)-(c_TMAP2OUT))&gt;=0,1,-1)*QUOTIENT(((c_TMAP3IN)-(c_TMAP2IN)),2))+2147483648,4294967296)-2147483648,((c_TMAP3IN)-(c_TMAP2IN))*(((K242)-(c_TMAP2IN))*((c_TMAP3OUT)-(c_TMAP2OUT))+IF(((c_TMAP3OUT)-(c_TMAP2OUT))&gt;=0,1,-1)*QUOTIENT(((c_TMAP3IN)-(c_TMAP2IN)),2)))&gt;=0,1,0)))</f>
        <v>388</v>
      </c>
      <c r="P242" s="7" t="n">
        <f aca="false">IF(((1000)-(c_TMAP3IN))=0,(c_TMAP3OUT)+QUOTIENT(((1000)-(c_TMAP3OUT)),2),QUOTIENT((((K242)-(c_TMAP3IN))*((1000)-(c_TMAP3OUT))+IF(((1000)-(c_TMAP3OUT))&gt;=0,1,-1)*QUOTIENT(((1000)-(c_TMAP3IN)),2)),((1000)-(c_TMAP3IN)))+(c_TMAP3OUT)+IF(((1000)-(c_TMAP3OUT))&gt;=0,IF(IF(o_WRAP=1,MOD(((1000)-(c_TMAP3IN))*(((K242)-(c_TMAP3IN))*((1000)-(c_TMAP3OUT))+IF(((1000)-(c_TMAP3OUT))&gt;=0,1,-1)*QUOTIENT(((1000)-(c_TMAP3IN)),2))+2147483648,4294967296)-2147483648,((1000)-(c_TMAP3IN))*(((K242)-(c_TMAP3IN))*((1000)-(c_TMAP3OUT))+IF(((1000)-(c_TMAP3OUT))&gt;=0,1,-1)*QUOTIENT(((1000)-(c_TMAP3IN)),2)))&lt;0,-1,0),IF(IF(o_WRAP=1,MOD(((1000)-(c_TMAP3IN))*(((K242)-(c_TMAP3IN))*((1000)-(c_TMAP3OUT))+IF(((1000)-(c_TMAP3OUT))&gt;=0,1,-1)*QUOTIENT(((1000)-(c_TMAP3IN)),2))+2147483648,4294967296)-2147483648,((1000)-(c_TMAP3IN))*(((K242)-(c_TMAP3IN))*((1000)-(c_TMAP3OUT))+IF(((1000)-(c_TMAP3OUT))&gt;=0,1,-1)*QUOTIENT(((1000)-(c_TMAP3IN)),2)))&gt;=0,1,0)))</f>
        <v>531</v>
      </c>
      <c r="Q242" s="7" t="str">
        <f aca="false">IF(K242&gt;=c_TFWD,IF(AND(K242&gt;=c_TMAP3IN,c_TMAP3IN&lt;1000),"Seg4 map3-100%",IF(AND(K242&gt;=c_TMAP2IN,c_TMAP3IN&gt;c_TMAP2IN),"Seg3 map2-map3",IF(AND(K242&gt;=c_TMAP1IN,c_TMAP2IN&gt;c_TMAP1IN),"Seg2 map1-map2","Seg1 TFWD-map1"))),IF(AND(K242=0,c_TCREEP&gt;0),"Creep",IF(AND(K242&lt;=c_TRNGMIN,K242&gt;=c_TRNGMAX,c_TRNGMIN-c_TRNGMAX&lt;&gt;0),"Regen ramp","Coast (0)")))</f>
        <v>Seg4 map3-100%</v>
      </c>
      <c r="R242" s="7" t="n">
        <f aca="false">IF(K242&gt;=c_TFWD,IF(AND(K242&gt;=c_TMAP3IN,c_TMAP3IN&lt;1000),P242,IF(AND(K242&gt;=c_TMAP2IN,c_TMAP3IN&gt;c_TMAP2IN),O242,IF(AND(K242&gt;=c_TMAP1IN,c_TMAP2IN&gt;c_TMAP1IN),N242,M242))),L242)</f>
        <v>531</v>
      </c>
      <c r="S242" s="7" t="str">
        <f aca="false">IF(R242&lt;-1090,"TOO LOW",IF(R242&gt;1090,"TOO HIGH",""))</f>
        <v/>
      </c>
      <c r="T242" s="15" t="n">
        <f aca="false">IF(H242&lt;&gt;"OK",0,IF(S242&lt;&gt;"",0,IF(R242&gt;979,1000,R242)))</f>
        <v>531</v>
      </c>
      <c r="U242" s="7" t="n">
        <f aca="false">T242/10</f>
        <v>53.1</v>
      </c>
    </row>
    <row r="243" customFormat="false" ht="15" hidden="false" customHeight="false" outlineLevel="0" collapsed="false">
      <c r="A243" s="7" t="n">
        <v>238</v>
      </c>
      <c r="B243" s="7" t="n">
        <f aca="false">ROUND(o_SWSTART+A243*(o_SWEND-o_SWSTART)/400,0)</f>
        <v>2437</v>
      </c>
      <c r="C243" s="7" t="n">
        <f aca="false">QUOTIENT((B243-c_OFF1)*c_GAIN1,1024)</f>
        <v>2437</v>
      </c>
      <c r="D243" s="7" t="n">
        <f aca="false">IF(((c_T1MX)-(c_T1MN))=0,(0)+QUOTIENT(((1000)-(0)),2),QUOTIENT((((C243)-(c_T1MN))*((1000)-(0))+IF(((1000)-(0))&gt;=0,1,-1)*QUOTIENT(((c_T1MX)-(c_T1MN)),2)),((c_T1MX)-(c_T1MN)))+(0)+IF(((1000)-(0))&gt;=0,IF(IF(o_WRAP=1,MOD(((c_T1MX)-(c_T1MN))*(((C243)-(c_T1MN))*((1000)-(0))+IF(((1000)-(0))&gt;=0,1,-1)*QUOTIENT(((c_T1MX)-(c_T1MN)),2))+2147483648,4294967296)-2147483648,((c_T1MX)-(c_T1MN))*(((C243)-(c_T1MN))*((1000)-(0))+IF(((1000)-(0))&gt;=0,1,-1)*QUOTIENT(((c_T1MX)-(c_T1MN)),2)))&lt;0,-1,0),IF(IF(o_WRAP=1,MOD(((c_T1MX)-(c_T1MN))*(((C243)-(c_T1MN))*((1000)-(0))+IF(((1000)-(0))&gt;=0,1,-1)*QUOTIENT(((c_T1MX)-(c_T1MN)),2))+2147483648,4294967296)-2147483648,((c_T1MX)-(c_T1MN))*(((C243)-(c_T1MN))*((1000)-(0))+IF(((1000)-(0))&gt;=0,1,-1)*QUOTIENT(((c_T1MX)-(c_T1MN)),2)))&gt;=0,1,0)))</f>
        <v>623</v>
      </c>
      <c r="E243" s="7" t="n">
        <f aca="false">IF(AND(c_TPOT=1,c_TTYPE=2),1000-D243,D243)</f>
        <v>623</v>
      </c>
      <c r="F243" s="7" t="str">
        <f aca="false">IF(c_TPOT&gt;1,ROUND(IF(c_TTYPE=2,c_T2MX-IF(c_T1MX=c_T1MN,0,(C243-c_T1MN)/(c_T1MX-c_T1MN))*(c_T2MX-c_T2MN),c_T2MN+IF(c_T1MX=c_T1MN,0,(C243-c_T1MN)/(c_T1MX-c_T1MN))*(c_T2MX-c_T2MN))+o_MISMATCH,0),"")</f>
        <v/>
      </c>
      <c r="G243" s="7" t="str">
        <f aca="false">IF(c_TPOT&gt;1,IF(((c_T2MX)-(c_T2MN))=0,(0)+QUOTIENT(((1000)-(0)),2),QUOTIENT((((F243)-(c_T2MN))*((1000)-(0))+IF(((1000)-(0))&gt;=0,1,-1)*QUOTIENT(((c_T2MX)-(c_T2MN)),2)),((c_T2MX)-(c_T2MN)))+(0)+IF(((1000)-(0))&gt;=0,IF(IF(o_WRAP=1,MOD(((c_T2MX)-(c_T2MN))*(((F243)-(c_T2MN))*((1000)-(0))+IF(((1000)-(0))&gt;=0,1,-1)*QUOTIENT(((c_T2MX)-(c_T2MN)),2))+2147483648,4294967296)-2147483648,((c_T2MX)-(c_T2MN))*(((F243)-(c_T2MN))*((1000)-(0))+IF(((1000)-(0))&gt;=0,1,-1)*QUOTIENT(((c_T2MX)-(c_T2MN)),2)))&lt;0,-1,0),IF(IF(o_WRAP=1,MOD(((c_T2MX)-(c_T2MN))*(((F243)-(c_T2MN))*((1000)-(0))+IF(((1000)-(0))&gt;=0,1,-1)*QUOTIENT(((c_T2MX)-(c_T2MN)),2))+2147483648,4294967296)-2147483648,((c_T2MX)-(c_T2MN))*(((F243)-(c_T2MN))*((1000)-(0))+IF(((1000)-(0))&gt;=0,1,-1)*QUOTIENT(((c_T2MX)-(c_T2MN)),2)))&gt;=0,1,0))),"")</f>
        <v/>
      </c>
      <c r="H243" s="7" t="str">
        <f aca="false">IF(E243&gt;1000+k_TOL,"T1 HIGH",IF(E243&lt;0-k_TOL,"T1 LOW",IF(c_TPOT&gt;1,IF(G243&gt;1000+k_TOL,"T2 HIGH",IF(G243&lt;0-k_TOL,"T2 LOW",IF(c_TTYPE=2,IF(ABS(1000-MAX(0,MIN(1000,E243))-MAX(0,MIN(1000,G243)))&gt;k_MAXERR,"MISMATCH","OK"),IF(OR(MAX(0,MIN(1000,E243))-k_MAXERR&gt;MAX(0,MIN(1000,G243)),MAX(0,MIN(1000,G243))-k_MAXERR&gt;MAX(0,MIN(1000,E243))),"MISMATCH","OK")))),"OK")))</f>
        <v>OK</v>
      </c>
      <c r="I243" s="7" t="n">
        <f aca="false">MAX(0,MIN(1000,D243))</f>
        <v>623</v>
      </c>
      <c r="J243" s="7" t="str">
        <f aca="false">IF(c_TPOT&gt;1,IF(c_TTYPE=2,1000-MAX(0,MIN(1000,G243)),MAX(0,MIN(1000,G243))),"")</f>
        <v/>
      </c>
      <c r="K243" s="7" t="n">
        <f aca="false">IF(c_TPOT&gt;1,QUOTIENT(I243+J243,2),I243)</f>
        <v>623</v>
      </c>
      <c r="L243" s="7" t="n">
        <f aca="false">IF(AND(K243=0,c_TCREEP&gt;0),10*c_TCREEP,IF(AND(K243&lt;=c_TRNGMIN,K243&gt;=c_TRNGMAX,c_TRNGMIN-c_TRNGMAX&lt;&gt;0),-10*c_TMINRN+QUOTIENT((c_TMAXRN-c_TMINRN)*(100-QUOTIENT((K243-c_TRNGMAX)*100,c_TRNGMIN-c_TRNGMAX)),-10),0))</f>
        <v>0</v>
      </c>
      <c r="M243" s="7" t="n">
        <f aca="false">IF(((c_TMAP1IN)-(c_TFWD))=0,(0)+QUOTIENT(((c_TMAP1OUT)-(0)),2),QUOTIENT((((K243)-(c_TFWD))*((c_TMAP1OUT)-(0))+IF(((c_TMAP1OUT)-(0))&gt;=0,1,-1)*QUOTIENT(((c_TMAP1IN)-(c_TFWD)),2)),((c_TMAP1IN)-(c_TFWD)))+(0)+IF(((c_TMAP1OUT)-(0))&gt;=0,IF(IF(o_WRAP=1,MOD(((c_TMAP1IN)-(c_TFWD))*(((K243)-(c_TFWD))*((c_TMAP1OUT)-(0))+IF(((c_TMAP1OUT)-(0))&gt;=0,1,-1)*QUOTIENT(((c_TMAP1IN)-(c_TFWD)),2))+2147483648,4294967296)-2147483648,((c_TMAP1IN)-(c_TFWD))*(((K243)-(c_TFWD))*((c_TMAP1OUT)-(0))+IF(((c_TMAP1OUT)-(0))&gt;=0,1,-1)*QUOTIENT(((c_TMAP1IN)-(c_TFWD)),2)))&lt;0,-1,0),IF(IF(o_WRAP=1,MOD(((c_TMAP1IN)-(c_TFWD))*(((K243)-(c_TFWD))*((c_TMAP1OUT)-(0))+IF(((c_TMAP1OUT)-(0))&gt;=0,1,-1)*QUOTIENT(((c_TMAP1IN)-(c_TFWD)),2))+2147483648,4294967296)-2147483648,((c_TMAP1IN)-(c_TFWD))*(((K243)-(c_TFWD))*((c_TMAP1OUT)-(0))+IF(((c_TMAP1OUT)-(0))&gt;=0,1,-1)*QUOTIENT(((c_TMAP1IN)-(c_TFWD)),2)))&gt;=0,1,0)))</f>
        <v>477</v>
      </c>
      <c r="N243" s="7" t="n">
        <f aca="false">IF(((c_TMAP2IN)-(c_TMAP1IN))=0,(c_TMAP1OUT)+QUOTIENT(((c_TMAP2OUT)-(c_TMAP1OUT)),2),QUOTIENT((((K243)-(c_TMAP1IN))*((c_TMAP2OUT)-(c_TMAP1OUT))+IF(((c_TMAP2OUT)-(c_TMAP1OUT))&gt;=0,1,-1)*QUOTIENT(((c_TMAP2IN)-(c_TMAP1IN)),2)),((c_TMAP2IN)-(c_TMAP1IN)))+(c_TMAP1OUT)+IF(((c_TMAP2OUT)-(c_TMAP1OUT))&gt;=0,IF(IF(o_WRAP=1,MOD(((c_TMAP2IN)-(c_TMAP1IN))*(((K243)-(c_TMAP1IN))*((c_TMAP2OUT)-(c_TMAP1OUT))+IF(((c_TMAP2OUT)-(c_TMAP1OUT))&gt;=0,1,-1)*QUOTIENT(((c_TMAP2IN)-(c_TMAP1IN)),2))+2147483648,4294967296)-2147483648,((c_TMAP2IN)-(c_TMAP1IN))*(((K243)-(c_TMAP1IN))*((c_TMAP2OUT)-(c_TMAP1OUT))+IF(((c_TMAP2OUT)-(c_TMAP1OUT))&gt;=0,1,-1)*QUOTIENT(((c_TMAP2IN)-(c_TMAP1IN)),2)))&lt;0,-1,0),IF(IF(o_WRAP=1,MOD(((c_TMAP2IN)-(c_TMAP1IN))*(((K243)-(c_TMAP1IN))*((c_TMAP2OUT)-(c_TMAP1OUT))+IF(((c_TMAP2OUT)-(c_TMAP1OUT))&gt;=0,1,-1)*QUOTIENT(((c_TMAP2IN)-(c_TMAP1IN)),2))+2147483648,4294967296)-2147483648,((c_TMAP2IN)-(c_TMAP1IN))*(((K243)-(c_TMAP1IN))*((c_TMAP2OUT)-(c_TMAP1OUT))+IF(((c_TMAP2OUT)-(c_TMAP1OUT))&gt;=0,1,-1)*QUOTIENT(((c_TMAP2IN)-(c_TMAP1IN)),2)))&gt;=0,1,0)))</f>
        <v>279</v>
      </c>
      <c r="O243" s="7" t="n">
        <f aca="false">IF(((c_TMAP3IN)-(c_TMAP2IN))=0,(c_TMAP2OUT)+QUOTIENT(((c_TMAP3OUT)-(c_TMAP2OUT)),2),QUOTIENT((((K243)-(c_TMAP2IN))*((c_TMAP3OUT)-(c_TMAP2OUT))+IF(((c_TMAP3OUT)-(c_TMAP2OUT))&gt;=0,1,-1)*QUOTIENT(((c_TMAP3IN)-(c_TMAP2IN)),2)),((c_TMAP3IN)-(c_TMAP2IN)))+(c_TMAP2OUT)+IF(((c_TMAP3OUT)-(c_TMAP2OUT))&gt;=0,IF(IF(o_WRAP=1,MOD(((c_TMAP3IN)-(c_TMAP2IN))*(((K243)-(c_TMAP2IN))*((c_TMAP3OUT)-(c_TMAP2OUT))+IF(((c_TMAP3OUT)-(c_TMAP2OUT))&gt;=0,1,-1)*QUOTIENT(((c_TMAP3IN)-(c_TMAP2IN)),2))+2147483648,4294967296)-2147483648,((c_TMAP3IN)-(c_TMAP2IN))*(((K243)-(c_TMAP2IN))*((c_TMAP3OUT)-(c_TMAP2OUT))+IF(((c_TMAP3OUT)-(c_TMAP2OUT))&gt;=0,1,-1)*QUOTIENT(((c_TMAP3IN)-(c_TMAP2IN)),2)))&lt;0,-1,0),IF(IF(o_WRAP=1,MOD(((c_TMAP3IN)-(c_TMAP2IN))*(((K243)-(c_TMAP2IN))*((c_TMAP3OUT)-(c_TMAP2OUT))+IF(((c_TMAP3OUT)-(c_TMAP2OUT))&gt;=0,1,-1)*QUOTIENT(((c_TMAP3IN)-(c_TMAP2IN)),2))+2147483648,4294967296)-2147483648,((c_TMAP3IN)-(c_TMAP2IN))*(((K243)-(c_TMAP2IN))*((c_TMAP3OUT)-(c_TMAP2OUT))+IF(((c_TMAP3OUT)-(c_TMAP2OUT))&gt;=0,1,-1)*QUOTIENT(((c_TMAP3IN)-(c_TMAP2IN)),2)))&gt;=0,1,0)))</f>
        <v>391</v>
      </c>
      <c r="P243" s="7" t="n">
        <f aca="false">IF(((1000)-(c_TMAP3IN))=0,(c_TMAP3OUT)+QUOTIENT(((1000)-(c_TMAP3OUT)),2),QUOTIENT((((K243)-(c_TMAP3IN))*((1000)-(c_TMAP3OUT))+IF(((1000)-(c_TMAP3OUT))&gt;=0,1,-1)*QUOTIENT(((1000)-(c_TMAP3IN)),2)),((1000)-(c_TMAP3IN)))+(c_TMAP3OUT)+IF(((1000)-(c_TMAP3OUT))&gt;=0,IF(IF(o_WRAP=1,MOD(((1000)-(c_TMAP3IN))*(((K243)-(c_TMAP3IN))*((1000)-(c_TMAP3OUT))+IF(((1000)-(c_TMAP3OUT))&gt;=0,1,-1)*QUOTIENT(((1000)-(c_TMAP3IN)),2))+2147483648,4294967296)-2147483648,((1000)-(c_TMAP3IN))*(((K243)-(c_TMAP3IN))*((1000)-(c_TMAP3OUT))+IF(((1000)-(c_TMAP3OUT))&gt;=0,1,-1)*QUOTIENT(((1000)-(c_TMAP3IN)),2)))&lt;0,-1,0),IF(IF(o_WRAP=1,MOD(((1000)-(c_TMAP3IN))*(((K243)-(c_TMAP3IN))*((1000)-(c_TMAP3OUT))+IF(((1000)-(c_TMAP3OUT))&gt;=0,1,-1)*QUOTIENT(((1000)-(c_TMAP3IN)),2))+2147483648,4294967296)-2147483648,((1000)-(c_TMAP3IN))*(((K243)-(c_TMAP3IN))*((1000)-(c_TMAP3OUT))+IF(((1000)-(c_TMAP3OUT))&gt;=0,1,-1)*QUOTIENT(((1000)-(c_TMAP3IN)),2)))&gt;=0,1,0)))</f>
        <v>536</v>
      </c>
      <c r="Q243" s="7" t="str">
        <f aca="false">IF(K243&gt;=c_TFWD,IF(AND(K243&gt;=c_TMAP3IN,c_TMAP3IN&lt;1000),"Seg4 map3-100%",IF(AND(K243&gt;=c_TMAP2IN,c_TMAP3IN&gt;c_TMAP2IN),"Seg3 map2-map3",IF(AND(K243&gt;=c_TMAP1IN,c_TMAP2IN&gt;c_TMAP1IN),"Seg2 map1-map2","Seg1 TFWD-map1"))),IF(AND(K243=0,c_TCREEP&gt;0),"Creep",IF(AND(K243&lt;=c_TRNGMIN,K243&gt;=c_TRNGMAX,c_TRNGMIN-c_TRNGMAX&lt;&gt;0),"Regen ramp","Coast (0)")))</f>
        <v>Seg4 map3-100%</v>
      </c>
      <c r="R243" s="7" t="n">
        <f aca="false">IF(K243&gt;=c_TFWD,IF(AND(K243&gt;=c_TMAP3IN,c_TMAP3IN&lt;1000),P243,IF(AND(K243&gt;=c_TMAP2IN,c_TMAP3IN&gt;c_TMAP2IN),O243,IF(AND(K243&gt;=c_TMAP1IN,c_TMAP2IN&gt;c_TMAP1IN),N243,M243))),L243)</f>
        <v>536</v>
      </c>
      <c r="S243" s="7" t="str">
        <f aca="false">IF(R243&lt;-1090,"TOO LOW",IF(R243&gt;1090,"TOO HIGH",""))</f>
        <v/>
      </c>
      <c r="T243" s="15" t="n">
        <f aca="false">IF(H243&lt;&gt;"OK",0,IF(S243&lt;&gt;"",0,IF(R243&gt;979,1000,R243)))</f>
        <v>536</v>
      </c>
      <c r="U243" s="7" t="n">
        <f aca="false">T243/10</f>
        <v>53.6</v>
      </c>
    </row>
    <row r="244" customFormat="false" ht="15" hidden="false" customHeight="false" outlineLevel="0" collapsed="false">
      <c r="A244" s="7" t="n">
        <v>239</v>
      </c>
      <c r="B244" s="7" t="n">
        <f aca="false">ROUND(o_SWSTART+A244*(o_SWEND-o_SWSTART)/400,0)</f>
        <v>2447</v>
      </c>
      <c r="C244" s="7" t="n">
        <f aca="false">QUOTIENT((B244-c_OFF1)*c_GAIN1,1024)</f>
        <v>2447</v>
      </c>
      <c r="D244" s="7" t="n">
        <f aca="false">IF(((c_T1MX)-(c_T1MN))=0,(0)+QUOTIENT(((1000)-(0)),2),QUOTIENT((((C244)-(c_T1MN))*((1000)-(0))+IF(((1000)-(0))&gt;=0,1,-1)*QUOTIENT(((c_T1MX)-(c_T1MN)),2)),((c_T1MX)-(c_T1MN)))+(0)+IF(((1000)-(0))&gt;=0,IF(IF(o_WRAP=1,MOD(((c_T1MX)-(c_T1MN))*(((C244)-(c_T1MN))*((1000)-(0))+IF(((1000)-(0))&gt;=0,1,-1)*QUOTIENT(((c_T1MX)-(c_T1MN)),2))+2147483648,4294967296)-2147483648,((c_T1MX)-(c_T1MN))*(((C244)-(c_T1MN))*((1000)-(0))+IF(((1000)-(0))&gt;=0,1,-1)*QUOTIENT(((c_T1MX)-(c_T1MN)),2)))&lt;0,-1,0),IF(IF(o_WRAP=1,MOD(((c_T1MX)-(c_T1MN))*(((C244)-(c_T1MN))*((1000)-(0))+IF(((1000)-(0))&gt;=0,1,-1)*QUOTIENT(((c_T1MX)-(c_T1MN)),2))+2147483648,4294967296)-2147483648,((c_T1MX)-(c_T1MN))*(((C244)-(c_T1MN))*((1000)-(0))+IF(((1000)-(0))&gt;=0,1,-1)*QUOTIENT(((c_T1MX)-(c_T1MN)),2)))&gt;=0,1,0)))</f>
        <v>627</v>
      </c>
      <c r="E244" s="7" t="n">
        <f aca="false">IF(AND(c_TPOT=1,c_TTYPE=2),1000-D244,D244)</f>
        <v>627</v>
      </c>
      <c r="F244" s="7" t="str">
        <f aca="false">IF(c_TPOT&gt;1,ROUND(IF(c_TTYPE=2,c_T2MX-IF(c_T1MX=c_T1MN,0,(C244-c_T1MN)/(c_T1MX-c_T1MN))*(c_T2MX-c_T2MN),c_T2MN+IF(c_T1MX=c_T1MN,0,(C244-c_T1MN)/(c_T1MX-c_T1MN))*(c_T2MX-c_T2MN))+o_MISMATCH,0),"")</f>
        <v/>
      </c>
      <c r="G244" s="7" t="str">
        <f aca="false">IF(c_TPOT&gt;1,IF(((c_T2MX)-(c_T2MN))=0,(0)+QUOTIENT(((1000)-(0)),2),QUOTIENT((((F244)-(c_T2MN))*((1000)-(0))+IF(((1000)-(0))&gt;=0,1,-1)*QUOTIENT(((c_T2MX)-(c_T2MN)),2)),((c_T2MX)-(c_T2MN)))+(0)+IF(((1000)-(0))&gt;=0,IF(IF(o_WRAP=1,MOD(((c_T2MX)-(c_T2MN))*(((F244)-(c_T2MN))*((1000)-(0))+IF(((1000)-(0))&gt;=0,1,-1)*QUOTIENT(((c_T2MX)-(c_T2MN)),2))+2147483648,4294967296)-2147483648,((c_T2MX)-(c_T2MN))*(((F244)-(c_T2MN))*((1000)-(0))+IF(((1000)-(0))&gt;=0,1,-1)*QUOTIENT(((c_T2MX)-(c_T2MN)),2)))&lt;0,-1,0),IF(IF(o_WRAP=1,MOD(((c_T2MX)-(c_T2MN))*(((F244)-(c_T2MN))*((1000)-(0))+IF(((1000)-(0))&gt;=0,1,-1)*QUOTIENT(((c_T2MX)-(c_T2MN)),2))+2147483648,4294967296)-2147483648,((c_T2MX)-(c_T2MN))*(((F244)-(c_T2MN))*((1000)-(0))+IF(((1000)-(0))&gt;=0,1,-1)*QUOTIENT(((c_T2MX)-(c_T2MN)),2)))&gt;=0,1,0))),"")</f>
        <v/>
      </c>
      <c r="H244" s="7" t="str">
        <f aca="false">IF(E244&gt;1000+k_TOL,"T1 HIGH",IF(E244&lt;0-k_TOL,"T1 LOW",IF(c_TPOT&gt;1,IF(G244&gt;1000+k_TOL,"T2 HIGH",IF(G244&lt;0-k_TOL,"T2 LOW",IF(c_TTYPE=2,IF(ABS(1000-MAX(0,MIN(1000,E244))-MAX(0,MIN(1000,G244)))&gt;k_MAXERR,"MISMATCH","OK"),IF(OR(MAX(0,MIN(1000,E244))-k_MAXERR&gt;MAX(0,MIN(1000,G244)),MAX(0,MIN(1000,G244))-k_MAXERR&gt;MAX(0,MIN(1000,E244))),"MISMATCH","OK")))),"OK")))</f>
        <v>OK</v>
      </c>
      <c r="I244" s="7" t="n">
        <f aca="false">MAX(0,MIN(1000,D244))</f>
        <v>627</v>
      </c>
      <c r="J244" s="7" t="str">
        <f aca="false">IF(c_TPOT&gt;1,IF(c_TTYPE=2,1000-MAX(0,MIN(1000,G244)),MAX(0,MIN(1000,G244))),"")</f>
        <v/>
      </c>
      <c r="K244" s="7" t="n">
        <f aca="false">IF(c_TPOT&gt;1,QUOTIENT(I244+J244,2),I244)</f>
        <v>627</v>
      </c>
      <c r="L244" s="7" t="n">
        <f aca="false">IF(AND(K244=0,c_TCREEP&gt;0),10*c_TCREEP,IF(AND(K244&lt;=c_TRNGMIN,K244&gt;=c_TRNGMAX,c_TRNGMIN-c_TRNGMAX&lt;&gt;0),-10*c_TMINRN+QUOTIENT((c_TMAXRN-c_TMINRN)*(100-QUOTIENT((K244-c_TRNGMAX)*100,c_TRNGMIN-c_TRNGMAX)),-10),0))</f>
        <v>0</v>
      </c>
      <c r="M244" s="7" t="n">
        <f aca="false">IF(((c_TMAP1IN)-(c_TFWD))=0,(0)+QUOTIENT(((c_TMAP1OUT)-(0)),2),QUOTIENT((((K244)-(c_TFWD))*((c_TMAP1OUT)-(0))+IF(((c_TMAP1OUT)-(0))&gt;=0,1,-1)*QUOTIENT(((c_TMAP1IN)-(c_TFWD)),2)),((c_TMAP1IN)-(c_TFWD)))+(0)+IF(((c_TMAP1OUT)-(0))&gt;=0,IF(IF(o_WRAP=1,MOD(((c_TMAP1IN)-(c_TFWD))*(((K244)-(c_TFWD))*((c_TMAP1OUT)-(0))+IF(((c_TMAP1OUT)-(0))&gt;=0,1,-1)*QUOTIENT(((c_TMAP1IN)-(c_TFWD)),2))+2147483648,4294967296)-2147483648,((c_TMAP1IN)-(c_TFWD))*(((K244)-(c_TFWD))*((c_TMAP1OUT)-(0))+IF(((c_TMAP1OUT)-(0))&gt;=0,1,-1)*QUOTIENT(((c_TMAP1IN)-(c_TFWD)),2)))&lt;0,-1,0),IF(IF(o_WRAP=1,MOD(((c_TMAP1IN)-(c_TFWD))*(((K244)-(c_TFWD))*((c_TMAP1OUT)-(0))+IF(((c_TMAP1OUT)-(0))&gt;=0,1,-1)*QUOTIENT(((c_TMAP1IN)-(c_TFWD)),2))+2147483648,4294967296)-2147483648,((c_TMAP1IN)-(c_TFWD))*(((K244)-(c_TFWD))*((c_TMAP1OUT)-(0))+IF(((c_TMAP1OUT)-(0))&gt;=0,1,-1)*QUOTIENT(((c_TMAP1IN)-(c_TFWD)),2)))&gt;=0,1,0)))</f>
        <v>480</v>
      </c>
      <c r="N244" s="7" t="n">
        <f aca="false">IF(((c_TMAP2IN)-(c_TMAP1IN))=0,(c_TMAP1OUT)+QUOTIENT(((c_TMAP2OUT)-(c_TMAP1OUT)),2),QUOTIENT((((K244)-(c_TMAP1IN))*((c_TMAP2OUT)-(c_TMAP1OUT))+IF(((c_TMAP2OUT)-(c_TMAP1OUT))&gt;=0,1,-1)*QUOTIENT(((c_TMAP2IN)-(c_TMAP1IN)),2)),((c_TMAP2IN)-(c_TMAP1IN)))+(c_TMAP1OUT)+IF(((c_TMAP2OUT)-(c_TMAP1OUT))&gt;=0,IF(IF(o_WRAP=1,MOD(((c_TMAP2IN)-(c_TMAP1IN))*(((K244)-(c_TMAP1IN))*((c_TMAP2OUT)-(c_TMAP1OUT))+IF(((c_TMAP2OUT)-(c_TMAP1OUT))&gt;=0,1,-1)*QUOTIENT(((c_TMAP2IN)-(c_TMAP1IN)),2))+2147483648,4294967296)-2147483648,((c_TMAP2IN)-(c_TMAP1IN))*(((K244)-(c_TMAP1IN))*((c_TMAP2OUT)-(c_TMAP1OUT))+IF(((c_TMAP2OUT)-(c_TMAP1OUT))&gt;=0,1,-1)*QUOTIENT(((c_TMAP2IN)-(c_TMAP1IN)),2)))&lt;0,-1,0),IF(IF(o_WRAP=1,MOD(((c_TMAP2IN)-(c_TMAP1IN))*(((K244)-(c_TMAP1IN))*((c_TMAP2OUT)-(c_TMAP1OUT))+IF(((c_TMAP2OUT)-(c_TMAP1OUT))&gt;=0,1,-1)*QUOTIENT(((c_TMAP2IN)-(c_TMAP1IN)),2))+2147483648,4294967296)-2147483648,((c_TMAP2IN)-(c_TMAP1IN))*(((K244)-(c_TMAP1IN))*((c_TMAP2OUT)-(c_TMAP1OUT))+IF(((c_TMAP2OUT)-(c_TMAP1OUT))&gt;=0,1,-1)*QUOTIENT(((c_TMAP2IN)-(c_TMAP1IN)),2)))&gt;=0,1,0)))</f>
        <v>281</v>
      </c>
      <c r="O244" s="7" t="n">
        <f aca="false">IF(((c_TMAP3IN)-(c_TMAP2IN))=0,(c_TMAP2OUT)+QUOTIENT(((c_TMAP3OUT)-(c_TMAP2OUT)),2),QUOTIENT((((K244)-(c_TMAP2IN))*((c_TMAP3OUT)-(c_TMAP2OUT))+IF(((c_TMAP3OUT)-(c_TMAP2OUT))&gt;=0,1,-1)*QUOTIENT(((c_TMAP3IN)-(c_TMAP2IN)),2)),((c_TMAP3IN)-(c_TMAP2IN)))+(c_TMAP2OUT)+IF(((c_TMAP3OUT)-(c_TMAP2OUT))&gt;=0,IF(IF(o_WRAP=1,MOD(((c_TMAP3IN)-(c_TMAP2IN))*(((K244)-(c_TMAP2IN))*((c_TMAP3OUT)-(c_TMAP2OUT))+IF(((c_TMAP3OUT)-(c_TMAP2OUT))&gt;=0,1,-1)*QUOTIENT(((c_TMAP3IN)-(c_TMAP2IN)),2))+2147483648,4294967296)-2147483648,((c_TMAP3IN)-(c_TMAP2IN))*(((K244)-(c_TMAP2IN))*((c_TMAP3OUT)-(c_TMAP2OUT))+IF(((c_TMAP3OUT)-(c_TMAP2OUT))&gt;=0,1,-1)*QUOTIENT(((c_TMAP3IN)-(c_TMAP2IN)),2)))&lt;0,-1,0),IF(IF(o_WRAP=1,MOD(((c_TMAP3IN)-(c_TMAP2IN))*(((K244)-(c_TMAP2IN))*((c_TMAP3OUT)-(c_TMAP2OUT))+IF(((c_TMAP3OUT)-(c_TMAP2OUT))&gt;=0,1,-1)*QUOTIENT(((c_TMAP3IN)-(c_TMAP2IN)),2))+2147483648,4294967296)-2147483648,((c_TMAP3IN)-(c_TMAP2IN))*(((K244)-(c_TMAP2IN))*((c_TMAP3OUT)-(c_TMAP2OUT))+IF(((c_TMAP3OUT)-(c_TMAP2OUT))&gt;=0,1,-1)*QUOTIENT(((c_TMAP3IN)-(c_TMAP2IN)),2)))&gt;=0,1,0)))</f>
        <v>394</v>
      </c>
      <c r="P244" s="7" t="n">
        <f aca="false">IF(((1000)-(c_TMAP3IN))=0,(c_TMAP3OUT)+QUOTIENT(((1000)-(c_TMAP3OUT)),2),QUOTIENT((((K244)-(c_TMAP3IN))*((1000)-(c_TMAP3OUT))+IF(((1000)-(c_TMAP3OUT))&gt;=0,1,-1)*QUOTIENT(((1000)-(c_TMAP3IN)),2)),((1000)-(c_TMAP3IN)))+(c_TMAP3OUT)+IF(((1000)-(c_TMAP3OUT))&gt;=0,IF(IF(o_WRAP=1,MOD(((1000)-(c_TMAP3IN))*(((K244)-(c_TMAP3IN))*((1000)-(c_TMAP3OUT))+IF(((1000)-(c_TMAP3OUT))&gt;=0,1,-1)*QUOTIENT(((1000)-(c_TMAP3IN)),2))+2147483648,4294967296)-2147483648,((1000)-(c_TMAP3IN))*(((K244)-(c_TMAP3IN))*((1000)-(c_TMAP3OUT))+IF(((1000)-(c_TMAP3OUT))&gt;=0,1,-1)*QUOTIENT(((1000)-(c_TMAP3IN)),2)))&lt;0,-1,0),IF(IF(o_WRAP=1,MOD(((1000)-(c_TMAP3IN))*(((K244)-(c_TMAP3IN))*((1000)-(c_TMAP3OUT))+IF(((1000)-(c_TMAP3OUT))&gt;=0,1,-1)*QUOTIENT(((1000)-(c_TMAP3IN)),2))+2147483648,4294967296)-2147483648,((1000)-(c_TMAP3IN))*(((K244)-(c_TMAP3IN))*((1000)-(c_TMAP3OUT))+IF(((1000)-(c_TMAP3OUT))&gt;=0,1,-1)*QUOTIENT(((1000)-(c_TMAP3IN)),2)))&gt;=0,1,0)))</f>
        <v>541</v>
      </c>
      <c r="Q244" s="7" t="str">
        <f aca="false">IF(K244&gt;=c_TFWD,IF(AND(K244&gt;=c_TMAP3IN,c_TMAP3IN&lt;1000),"Seg4 map3-100%",IF(AND(K244&gt;=c_TMAP2IN,c_TMAP3IN&gt;c_TMAP2IN),"Seg3 map2-map3",IF(AND(K244&gt;=c_TMAP1IN,c_TMAP2IN&gt;c_TMAP1IN),"Seg2 map1-map2","Seg1 TFWD-map1"))),IF(AND(K244=0,c_TCREEP&gt;0),"Creep",IF(AND(K244&lt;=c_TRNGMIN,K244&gt;=c_TRNGMAX,c_TRNGMIN-c_TRNGMAX&lt;&gt;0),"Regen ramp","Coast (0)")))</f>
        <v>Seg4 map3-100%</v>
      </c>
      <c r="R244" s="7" t="n">
        <f aca="false">IF(K244&gt;=c_TFWD,IF(AND(K244&gt;=c_TMAP3IN,c_TMAP3IN&lt;1000),P244,IF(AND(K244&gt;=c_TMAP2IN,c_TMAP3IN&gt;c_TMAP2IN),O244,IF(AND(K244&gt;=c_TMAP1IN,c_TMAP2IN&gt;c_TMAP1IN),N244,M244))),L244)</f>
        <v>541</v>
      </c>
      <c r="S244" s="7" t="str">
        <f aca="false">IF(R244&lt;-1090,"TOO LOW",IF(R244&gt;1090,"TOO HIGH",""))</f>
        <v/>
      </c>
      <c r="T244" s="15" t="n">
        <f aca="false">IF(H244&lt;&gt;"OK",0,IF(S244&lt;&gt;"",0,IF(R244&gt;979,1000,R244)))</f>
        <v>541</v>
      </c>
      <c r="U244" s="7" t="n">
        <f aca="false">T244/10</f>
        <v>54.1</v>
      </c>
    </row>
    <row r="245" customFormat="false" ht="15" hidden="false" customHeight="false" outlineLevel="0" collapsed="false">
      <c r="A245" s="7" t="n">
        <v>240</v>
      </c>
      <c r="B245" s="7" t="n">
        <f aca="false">ROUND(o_SWSTART+A245*(o_SWEND-o_SWSTART)/400,0)</f>
        <v>2457</v>
      </c>
      <c r="C245" s="7" t="n">
        <f aca="false">QUOTIENT((B245-c_OFF1)*c_GAIN1,1024)</f>
        <v>2457</v>
      </c>
      <c r="D245" s="7" t="n">
        <f aca="false">IF(((c_T1MX)-(c_T1MN))=0,(0)+QUOTIENT(((1000)-(0)),2),QUOTIENT((((C245)-(c_T1MN))*((1000)-(0))+IF(((1000)-(0))&gt;=0,1,-1)*QUOTIENT(((c_T1MX)-(c_T1MN)),2)),((c_T1MX)-(c_T1MN)))+(0)+IF(((1000)-(0))&gt;=0,IF(IF(o_WRAP=1,MOD(((c_T1MX)-(c_T1MN))*(((C245)-(c_T1MN))*((1000)-(0))+IF(((1000)-(0))&gt;=0,1,-1)*QUOTIENT(((c_T1MX)-(c_T1MN)),2))+2147483648,4294967296)-2147483648,((c_T1MX)-(c_T1MN))*(((C245)-(c_T1MN))*((1000)-(0))+IF(((1000)-(0))&gt;=0,1,-1)*QUOTIENT(((c_T1MX)-(c_T1MN)),2)))&lt;0,-1,0),IF(IF(o_WRAP=1,MOD(((c_T1MX)-(c_T1MN))*(((C245)-(c_T1MN))*((1000)-(0))+IF(((1000)-(0))&gt;=0,1,-1)*QUOTIENT(((c_T1MX)-(c_T1MN)),2))+2147483648,4294967296)-2147483648,((c_T1MX)-(c_T1MN))*(((C245)-(c_T1MN))*((1000)-(0))+IF(((1000)-(0))&gt;=0,1,-1)*QUOTIENT(((c_T1MX)-(c_T1MN)),2)))&gt;=0,1,0)))</f>
        <v>630</v>
      </c>
      <c r="E245" s="7" t="n">
        <f aca="false">IF(AND(c_TPOT=1,c_TTYPE=2),1000-D245,D245)</f>
        <v>630</v>
      </c>
      <c r="F245" s="7" t="str">
        <f aca="false">IF(c_TPOT&gt;1,ROUND(IF(c_TTYPE=2,c_T2MX-IF(c_T1MX=c_T1MN,0,(C245-c_T1MN)/(c_T1MX-c_T1MN))*(c_T2MX-c_T2MN),c_T2MN+IF(c_T1MX=c_T1MN,0,(C245-c_T1MN)/(c_T1MX-c_T1MN))*(c_T2MX-c_T2MN))+o_MISMATCH,0),"")</f>
        <v/>
      </c>
      <c r="G245" s="7" t="str">
        <f aca="false">IF(c_TPOT&gt;1,IF(((c_T2MX)-(c_T2MN))=0,(0)+QUOTIENT(((1000)-(0)),2),QUOTIENT((((F245)-(c_T2MN))*((1000)-(0))+IF(((1000)-(0))&gt;=0,1,-1)*QUOTIENT(((c_T2MX)-(c_T2MN)),2)),((c_T2MX)-(c_T2MN)))+(0)+IF(((1000)-(0))&gt;=0,IF(IF(o_WRAP=1,MOD(((c_T2MX)-(c_T2MN))*(((F245)-(c_T2MN))*((1000)-(0))+IF(((1000)-(0))&gt;=0,1,-1)*QUOTIENT(((c_T2MX)-(c_T2MN)),2))+2147483648,4294967296)-2147483648,((c_T2MX)-(c_T2MN))*(((F245)-(c_T2MN))*((1000)-(0))+IF(((1000)-(0))&gt;=0,1,-1)*QUOTIENT(((c_T2MX)-(c_T2MN)),2)))&lt;0,-1,0),IF(IF(o_WRAP=1,MOD(((c_T2MX)-(c_T2MN))*(((F245)-(c_T2MN))*((1000)-(0))+IF(((1000)-(0))&gt;=0,1,-1)*QUOTIENT(((c_T2MX)-(c_T2MN)),2))+2147483648,4294967296)-2147483648,((c_T2MX)-(c_T2MN))*(((F245)-(c_T2MN))*((1000)-(0))+IF(((1000)-(0))&gt;=0,1,-1)*QUOTIENT(((c_T2MX)-(c_T2MN)),2)))&gt;=0,1,0))),"")</f>
        <v/>
      </c>
      <c r="H245" s="7" t="str">
        <f aca="false">IF(E245&gt;1000+k_TOL,"T1 HIGH",IF(E245&lt;0-k_TOL,"T1 LOW",IF(c_TPOT&gt;1,IF(G245&gt;1000+k_TOL,"T2 HIGH",IF(G245&lt;0-k_TOL,"T2 LOW",IF(c_TTYPE=2,IF(ABS(1000-MAX(0,MIN(1000,E245))-MAX(0,MIN(1000,G245)))&gt;k_MAXERR,"MISMATCH","OK"),IF(OR(MAX(0,MIN(1000,E245))-k_MAXERR&gt;MAX(0,MIN(1000,G245)),MAX(0,MIN(1000,G245))-k_MAXERR&gt;MAX(0,MIN(1000,E245))),"MISMATCH","OK")))),"OK")))</f>
        <v>OK</v>
      </c>
      <c r="I245" s="7" t="n">
        <f aca="false">MAX(0,MIN(1000,D245))</f>
        <v>630</v>
      </c>
      <c r="J245" s="7" t="str">
        <f aca="false">IF(c_TPOT&gt;1,IF(c_TTYPE=2,1000-MAX(0,MIN(1000,G245)),MAX(0,MIN(1000,G245))),"")</f>
        <v/>
      </c>
      <c r="K245" s="7" t="n">
        <f aca="false">IF(c_TPOT&gt;1,QUOTIENT(I245+J245,2),I245)</f>
        <v>630</v>
      </c>
      <c r="L245" s="7" t="n">
        <f aca="false">IF(AND(K245=0,c_TCREEP&gt;0),10*c_TCREEP,IF(AND(K245&lt;=c_TRNGMIN,K245&gt;=c_TRNGMAX,c_TRNGMIN-c_TRNGMAX&lt;&gt;0),-10*c_TMINRN+QUOTIENT((c_TMAXRN-c_TMINRN)*(100-QUOTIENT((K245-c_TRNGMAX)*100,c_TRNGMIN-c_TRNGMAX)),-10),0))</f>
        <v>0</v>
      </c>
      <c r="M245" s="7" t="n">
        <f aca="false">IF(((c_TMAP1IN)-(c_TFWD))=0,(0)+QUOTIENT(((c_TMAP1OUT)-(0)),2),QUOTIENT((((K245)-(c_TFWD))*((c_TMAP1OUT)-(0))+IF(((c_TMAP1OUT)-(0))&gt;=0,1,-1)*QUOTIENT(((c_TMAP1IN)-(c_TFWD)),2)),((c_TMAP1IN)-(c_TFWD)))+(0)+IF(((c_TMAP1OUT)-(0))&gt;=0,IF(IF(o_WRAP=1,MOD(((c_TMAP1IN)-(c_TFWD))*(((K245)-(c_TFWD))*((c_TMAP1OUT)-(0))+IF(((c_TMAP1OUT)-(0))&gt;=0,1,-1)*QUOTIENT(((c_TMAP1IN)-(c_TFWD)),2))+2147483648,4294967296)-2147483648,((c_TMAP1IN)-(c_TFWD))*(((K245)-(c_TFWD))*((c_TMAP1OUT)-(0))+IF(((c_TMAP1OUT)-(0))&gt;=0,1,-1)*QUOTIENT(((c_TMAP1IN)-(c_TFWD)),2)))&lt;0,-1,0),IF(IF(o_WRAP=1,MOD(((c_TMAP1IN)-(c_TFWD))*(((K245)-(c_TFWD))*((c_TMAP1OUT)-(0))+IF(((c_TMAP1OUT)-(0))&gt;=0,1,-1)*QUOTIENT(((c_TMAP1IN)-(c_TFWD)),2))+2147483648,4294967296)-2147483648,((c_TMAP1IN)-(c_TFWD))*(((K245)-(c_TFWD))*((c_TMAP1OUT)-(0))+IF(((c_TMAP1OUT)-(0))&gt;=0,1,-1)*QUOTIENT(((c_TMAP1IN)-(c_TFWD)),2)))&gt;=0,1,0)))</f>
        <v>482</v>
      </c>
      <c r="N245" s="7" t="n">
        <f aca="false">IF(((c_TMAP2IN)-(c_TMAP1IN))=0,(c_TMAP1OUT)+QUOTIENT(((c_TMAP2OUT)-(c_TMAP1OUT)),2),QUOTIENT((((K245)-(c_TMAP1IN))*((c_TMAP2OUT)-(c_TMAP1OUT))+IF(((c_TMAP2OUT)-(c_TMAP1OUT))&gt;=0,1,-1)*QUOTIENT(((c_TMAP2IN)-(c_TMAP1IN)),2)),((c_TMAP2IN)-(c_TMAP1IN)))+(c_TMAP1OUT)+IF(((c_TMAP2OUT)-(c_TMAP1OUT))&gt;=0,IF(IF(o_WRAP=1,MOD(((c_TMAP2IN)-(c_TMAP1IN))*(((K245)-(c_TMAP1IN))*((c_TMAP2OUT)-(c_TMAP1OUT))+IF(((c_TMAP2OUT)-(c_TMAP1OUT))&gt;=0,1,-1)*QUOTIENT(((c_TMAP2IN)-(c_TMAP1IN)),2))+2147483648,4294967296)-2147483648,((c_TMAP2IN)-(c_TMAP1IN))*(((K245)-(c_TMAP1IN))*((c_TMAP2OUT)-(c_TMAP1OUT))+IF(((c_TMAP2OUT)-(c_TMAP1OUT))&gt;=0,1,-1)*QUOTIENT(((c_TMAP2IN)-(c_TMAP1IN)),2)))&lt;0,-1,0),IF(IF(o_WRAP=1,MOD(((c_TMAP2IN)-(c_TMAP1IN))*(((K245)-(c_TMAP1IN))*((c_TMAP2OUT)-(c_TMAP1OUT))+IF(((c_TMAP2OUT)-(c_TMAP1OUT))&gt;=0,1,-1)*QUOTIENT(((c_TMAP2IN)-(c_TMAP1IN)),2))+2147483648,4294967296)-2147483648,((c_TMAP2IN)-(c_TMAP1IN))*(((K245)-(c_TMAP1IN))*((c_TMAP2OUT)-(c_TMAP1OUT))+IF(((c_TMAP2OUT)-(c_TMAP1OUT))&gt;=0,1,-1)*QUOTIENT(((c_TMAP2IN)-(c_TMAP1IN)),2)))&gt;=0,1,0)))</f>
        <v>282</v>
      </c>
      <c r="O245" s="7" t="n">
        <f aca="false">IF(((c_TMAP3IN)-(c_TMAP2IN))=0,(c_TMAP2OUT)+QUOTIENT(((c_TMAP3OUT)-(c_TMAP2OUT)),2),QUOTIENT((((K245)-(c_TMAP2IN))*((c_TMAP3OUT)-(c_TMAP2OUT))+IF(((c_TMAP3OUT)-(c_TMAP2OUT))&gt;=0,1,-1)*QUOTIENT(((c_TMAP3IN)-(c_TMAP2IN)),2)),((c_TMAP3IN)-(c_TMAP2IN)))+(c_TMAP2OUT)+IF(((c_TMAP3OUT)-(c_TMAP2OUT))&gt;=0,IF(IF(o_WRAP=1,MOD(((c_TMAP3IN)-(c_TMAP2IN))*(((K245)-(c_TMAP2IN))*((c_TMAP3OUT)-(c_TMAP2OUT))+IF(((c_TMAP3OUT)-(c_TMAP2OUT))&gt;=0,1,-1)*QUOTIENT(((c_TMAP3IN)-(c_TMAP2IN)),2))+2147483648,4294967296)-2147483648,((c_TMAP3IN)-(c_TMAP2IN))*(((K245)-(c_TMAP2IN))*((c_TMAP3OUT)-(c_TMAP2OUT))+IF(((c_TMAP3OUT)-(c_TMAP2OUT))&gt;=0,1,-1)*QUOTIENT(((c_TMAP3IN)-(c_TMAP2IN)),2)))&lt;0,-1,0),IF(IF(o_WRAP=1,MOD(((c_TMAP3IN)-(c_TMAP2IN))*(((K245)-(c_TMAP2IN))*((c_TMAP3OUT)-(c_TMAP2OUT))+IF(((c_TMAP3OUT)-(c_TMAP2OUT))&gt;=0,1,-1)*QUOTIENT(((c_TMAP3IN)-(c_TMAP2IN)),2))+2147483648,4294967296)-2147483648,((c_TMAP3IN)-(c_TMAP2IN))*(((K245)-(c_TMAP2IN))*((c_TMAP3OUT)-(c_TMAP2OUT))+IF(((c_TMAP3OUT)-(c_TMAP2OUT))&gt;=0,1,-1)*QUOTIENT(((c_TMAP3IN)-(c_TMAP2IN)),2)))&gt;=0,1,0)))</f>
        <v>396</v>
      </c>
      <c r="P245" s="7" t="n">
        <f aca="false">IF(((1000)-(c_TMAP3IN))=0,(c_TMAP3OUT)+QUOTIENT(((1000)-(c_TMAP3OUT)),2),QUOTIENT((((K245)-(c_TMAP3IN))*((1000)-(c_TMAP3OUT))+IF(((1000)-(c_TMAP3OUT))&gt;=0,1,-1)*QUOTIENT(((1000)-(c_TMAP3IN)),2)),((1000)-(c_TMAP3IN)))+(c_TMAP3OUT)+IF(((1000)-(c_TMAP3OUT))&gt;=0,IF(IF(o_WRAP=1,MOD(((1000)-(c_TMAP3IN))*(((K245)-(c_TMAP3IN))*((1000)-(c_TMAP3OUT))+IF(((1000)-(c_TMAP3OUT))&gt;=0,1,-1)*QUOTIENT(((1000)-(c_TMAP3IN)),2))+2147483648,4294967296)-2147483648,((1000)-(c_TMAP3IN))*(((K245)-(c_TMAP3IN))*((1000)-(c_TMAP3OUT))+IF(((1000)-(c_TMAP3OUT))&gt;=0,1,-1)*QUOTIENT(((1000)-(c_TMAP3IN)),2)))&lt;0,-1,0),IF(IF(o_WRAP=1,MOD(((1000)-(c_TMAP3IN))*(((K245)-(c_TMAP3IN))*((1000)-(c_TMAP3OUT))+IF(((1000)-(c_TMAP3OUT))&gt;=0,1,-1)*QUOTIENT(((1000)-(c_TMAP3IN)),2))+2147483648,4294967296)-2147483648,((1000)-(c_TMAP3IN))*(((K245)-(c_TMAP3IN))*((1000)-(c_TMAP3OUT))+IF(((1000)-(c_TMAP3OUT))&gt;=0,1,-1)*QUOTIENT(((1000)-(c_TMAP3IN)),2)))&gt;=0,1,0)))</f>
        <v>545</v>
      </c>
      <c r="Q245" s="7" t="str">
        <f aca="false">IF(K245&gt;=c_TFWD,IF(AND(K245&gt;=c_TMAP3IN,c_TMAP3IN&lt;1000),"Seg4 map3-100%",IF(AND(K245&gt;=c_TMAP2IN,c_TMAP3IN&gt;c_TMAP2IN),"Seg3 map2-map3",IF(AND(K245&gt;=c_TMAP1IN,c_TMAP2IN&gt;c_TMAP1IN),"Seg2 map1-map2","Seg1 TFWD-map1"))),IF(AND(K245=0,c_TCREEP&gt;0),"Creep",IF(AND(K245&lt;=c_TRNGMIN,K245&gt;=c_TRNGMAX,c_TRNGMIN-c_TRNGMAX&lt;&gt;0),"Regen ramp","Coast (0)")))</f>
        <v>Seg4 map3-100%</v>
      </c>
      <c r="R245" s="7" t="n">
        <f aca="false">IF(K245&gt;=c_TFWD,IF(AND(K245&gt;=c_TMAP3IN,c_TMAP3IN&lt;1000),P245,IF(AND(K245&gt;=c_TMAP2IN,c_TMAP3IN&gt;c_TMAP2IN),O245,IF(AND(K245&gt;=c_TMAP1IN,c_TMAP2IN&gt;c_TMAP1IN),N245,M245))),L245)</f>
        <v>545</v>
      </c>
      <c r="S245" s="7" t="str">
        <f aca="false">IF(R245&lt;-1090,"TOO LOW",IF(R245&gt;1090,"TOO HIGH",""))</f>
        <v/>
      </c>
      <c r="T245" s="15" t="n">
        <f aca="false">IF(H245&lt;&gt;"OK",0,IF(S245&lt;&gt;"",0,IF(R245&gt;979,1000,R245)))</f>
        <v>545</v>
      </c>
      <c r="U245" s="7" t="n">
        <f aca="false">T245/10</f>
        <v>54.5</v>
      </c>
    </row>
    <row r="246" customFormat="false" ht="15" hidden="false" customHeight="false" outlineLevel="0" collapsed="false">
      <c r="A246" s="7" t="n">
        <v>241</v>
      </c>
      <c r="B246" s="7" t="n">
        <f aca="false">ROUND(o_SWSTART+A246*(o_SWEND-o_SWSTART)/400,0)</f>
        <v>2467</v>
      </c>
      <c r="C246" s="7" t="n">
        <f aca="false">QUOTIENT((B246-c_OFF1)*c_GAIN1,1024)</f>
        <v>2467</v>
      </c>
      <c r="D246" s="7" t="n">
        <f aca="false">IF(((c_T1MX)-(c_T1MN))=0,(0)+QUOTIENT(((1000)-(0)),2),QUOTIENT((((C246)-(c_T1MN))*((1000)-(0))+IF(((1000)-(0))&gt;=0,1,-1)*QUOTIENT(((c_T1MX)-(c_T1MN)),2)),((c_T1MX)-(c_T1MN)))+(0)+IF(((1000)-(0))&gt;=0,IF(IF(o_WRAP=1,MOD(((c_T1MX)-(c_T1MN))*(((C246)-(c_T1MN))*((1000)-(0))+IF(((1000)-(0))&gt;=0,1,-1)*QUOTIENT(((c_T1MX)-(c_T1MN)),2))+2147483648,4294967296)-2147483648,((c_T1MX)-(c_T1MN))*(((C246)-(c_T1MN))*((1000)-(0))+IF(((1000)-(0))&gt;=0,1,-1)*QUOTIENT(((c_T1MX)-(c_T1MN)),2)))&lt;0,-1,0),IF(IF(o_WRAP=1,MOD(((c_T1MX)-(c_T1MN))*(((C246)-(c_T1MN))*((1000)-(0))+IF(((1000)-(0))&gt;=0,1,-1)*QUOTIENT(((c_T1MX)-(c_T1MN)),2))+2147483648,4294967296)-2147483648,((c_T1MX)-(c_T1MN))*(((C246)-(c_T1MN))*((1000)-(0))+IF(((1000)-(0))&gt;=0,1,-1)*QUOTIENT(((c_T1MX)-(c_T1MN)),2)))&gt;=0,1,0)))</f>
        <v>634</v>
      </c>
      <c r="E246" s="7" t="n">
        <f aca="false">IF(AND(c_TPOT=1,c_TTYPE=2),1000-D246,D246)</f>
        <v>634</v>
      </c>
      <c r="F246" s="7" t="str">
        <f aca="false">IF(c_TPOT&gt;1,ROUND(IF(c_TTYPE=2,c_T2MX-IF(c_T1MX=c_T1MN,0,(C246-c_T1MN)/(c_T1MX-c_T1MN))*(c_T2MX-c_T2MN),c_T2MN+IF(c_T1MX=c_T1MN,0,(C246-c_T1MN)/(c_T1MX-c_T1MN))*(c_T2MX-c_T2MN))+o_MISMATCH,0),"")</f>
        <v/>
      </c>
      <c r="G246" s="7" t="str">
        <f aca="false">IF(c_TPOT&gt;1,IF(((c_T2MX)-(c_T2MN))=0,(0)+QUOTIENT(((1000)-(0)),2),QUOTIENT((((F246)-(c_T2MN))*((1000)-(0))+IF(((1000)-(0))&gt;=0,1,-1)*QUOTIENT(((c_T2MX)-(c_T2MN)),2)),((c_T2MX)-(c_T2MN)))+(0)+IF(((1000)-(0))&gt;=0,IF(IF(o_WRAP=1,MOD(((c_T2MX)-(c_T2MN))*(((F246)-(c_T2MN))*((1000)-(0))+IF(((1000)-(0))&gt;=0,1,-1)*QUOTIENT(((c_T2MX)-(c_T2MN)),2))+2147483648,4294967296)-2147483648,((c_T2MX)-(c_T2MN))*(((F246)-(c_T2MN))*((1000)-(0))+IF(((1000)-(0))&gt;=0,1,-1)*QUOTIENT(((c_T2MX)-(c_T2MN)),2)))&lt;0,-1,0),IF(IF(o_WRAP=1,MOD(((c_T2MX)-(c_T2MN))*(((F246)-(c_T2MN))*((1000)-(0))+IF(((1000)-(0))&gt;=0,1,-1)*QUOTIENT(((c_T2MX)-(c_T2MN)),2))+2147483648,4294967296)-2147483648,((c_T2MX)-(c_T2MN))*(((F246)-(c_T2MN))*((1000)-(0))+IF(((1000)-(0))&gt;=0,1,-1)*QUOTIENT(((c_T2MX)-(c_T2MN)),2)))&gt;=0,1,0))),"")</f>
        <v/>
      </c>
      <c r="H246" s="7" t="str">
        <f aca="false">IF(E246&gt;1000+k_TOL,"T1 HIGH",IF(E246&lt;0-k_TOL,"T1 LOW",IF(c_TPOT&gt;1,IF(G246&gt;1000+k_TOL,"T2 HIGH",IF(G246&lt;0-k_TOL,"T2 LOW",IF(c_TTYPE=2,IF(ABS(1000-MAX(0,MIN(1000,E246))-MAX(0,MIN(1000,G246)))&gt;k_MAXERR,"MISMATCH","OK"),IF(OR(MAX(0,MIN(1000,E246))-k_MAXERR&gt;MAX(0,MIN(1000,G246)),MAX(0,MIN(1000,G246))-k_MAXERR&gt;MAX(0,MIN(1000,E246))),"MISMATCH","OK")))),"OK")))</f>
        <v>OK</v>
      </c>
      <c r="I246" s="7" t="n">
        <f aca="false">MAX(0,MIN(1000,D246))</f>
        <v>634</v>
      </c>
      <c r="J246" s="7" t="str">
        <f aca="false">IF(c_TPOT&gt;1,IF(c_TTYPE=2,1000-MAX(0,MIN(1000,G246)),MAX(0,MIN(1000,G246))),"")</f>
        <v/>
      </c>
      <c r="K246" s="7" t="n">
        <f aca="false">IF(c_TPOT&gt;1,QUOTIENT(I246+J246,2),I246)</f>
        <v>634</v>
      </c>
      <c r="L246" s="7" t="n">
        <f aca="false">IF(AND(K246=0,c_TCREEP&gt;0),10*c_TCREEP,IF(AND(K246&lt;=c_TRNGMIN,K246&gt;=c_TRNGMAX,c_TRNGMIN-c_TRNGMAX&lt;&gt;0),-10*c_TMINRN+QUOTIENT((c_TMAXRN-c_TMINRN)*(100-QUOTIENT((K246-c_TRNGMAX)*100,c_TRNGMIN-c_TRNGMAX)),-10),0))</f>
        <v>0</v>
      </c>
      <c r="M246" s="7" t="n">
        <f aca="false">IF(((c_TMAP1IN)-(c_TFWD))=0,(0)+QUOTIENT(((c_TMAP1OUT)-(0)),2),QUOTIENT((((K246)-(c_TFWD))*((c_TMAP1OUT)-(0))+IF(((c_TMAP1OUT)-(0))&gt;=0,1,-1)*QUOTIENT(((c_TMAP1IN)-(c_TFWD)),2)),((c_TMAP1IN)-(c_TFWD)))+(0)+IF(((c_TMAP1OUT)-(0))&gt;=0,IF(IF(o_WRAP=1,MOD(((c_TMAP1IN)-(c_TFWD))*(((K246)-(c_TFWD))*((c_TMAP1OUT)-(0))+IF(((c_TMAP1OUT)-(0))&gt;=0,1,-1)*QUOTIENT(((c_TMAP1IN)-(c_TFWD)),2))+2147483648,4294967296)-2147483648,((c_TMAP1IN)-(c_TFWD))*(((K246)-(c_TFWD))*((c_TMAP1OUT)-(0))+IF(((c_TMAP1OUT)-(0))&gt;=0,1,-1)*QUOTIENT(((c_TMAP1IN)-(c_TFWD)),2)))&lt;0,-1,0),IF(IF(o_WRAP=1,MOD(((c_TMAP1IN)-(c_TFWD))*(((K246)-(c_TFWD))*((c_TMAP1OUT)-(0))+IF(((c_TMAP1OUT)-(0))&gt;=0,1,-1)*QUOTIENT(((c_TMAP1IN)-(c_TFWD)),2))+2147483648,4294967296)-2147483648,((c_TMAP1IN)-(c_TFWD))*(((K246)-(c_TFWD))*((c_TMAP1OUT)-(0))+IF(((c_TMAP1OUT)-(0))&gt;=0,1,-1)*QUOTIENT(((c_TMAP1IN)-(c_TFWD)),2)))&gt;=0,1,0)))</f>
        <v>485</v>
      </c>
      <c r="N246" s="7" t="n">
        <f aca="false">IF(((c_TMAP2IN)-(c_TMAP1IN))=0,(c_TMAP1OUT)+QUOTIENT(((c_TMAP2OUT)-(c_TMAP1OUT)),2),QUOTIENT((((K246)-(c_TMAP1IN))*((c_TMAP2OUT)-(c_TMAP1OUT))+IF(((c_TMAP2OUT)-(c_TMAP1OUT))&gt;=0,1,-1)*QUOTIENT(((c_TMAP2IN)-(c_TMAP1IN)),2)),((c_TMAP2IN)-(c_TMAP1IN)))+(c_TMAP1OUT)+IF(((c_TMAP2OUT)-(c_TMAP1OUT))&gt;=0,IF(IF(o_WRAP=1,MOD(((c_TMAP2IN)-(c_TMAP1IN))*(((K246)-(c_TMAP1IN))*((c_TMAP2OUT)-(c_TMAP1OUT))+IF(((c_TMAP2OUT)-(c_TMAP1OUT))&gt;=0,1,-1)*QUOTIENT(((c_TMAP2IN)-(c_TMAP1IN)),2))+2147483648,4294967296)-2147483648,((c_TMAP2IN)-(c_TMAP1IN))*(((K246)-(c_TMAP1IN))*((c_TMAP2OUT)-(c_TMAP1OUT))+IF(((c_TMAP2OUT)-(c_TMAP1OUT))&gt;=0,1,-1)*QUOTIENT(((c_TMAP2IN)-(c_TMAP1IN)),2)))&lt;0,-1,0),IF(IF(o_WRAP=1,MOD(((c_TMAP2IN)-(c_TMAP1IN))*(((K246)-(c_TMAP1IN))*((c_TMAP2OUT)-(c_TMAP1OUT))+IF(((c_TMAP2OUT)-(c_TMAP1OUT))&gt;=0,1,-1)*QUOTIENT(((c_TMAP2IN)-(c_TMAP1IN)),2))+2147483648,4294967296)-2147483648,((c_TMAP2IN)-(c_TMAP1IN))*(((K246)-(c_TMAP1IN))*((c_TMAP2OUT)-(c_TMAP1OUT))+IF(((c_TMAP2OUT)-(c_TMAP1OUT))&gt;=0,1,-1)*QUOTIENT(((c_TMAP2IN)-(c_TMAP1IN)),2)))&gt;=0,1,0)))</f>
        <v>284</v>
      </c>
      <c r="O246" s="7" t="n">
        <f aca="false">IF(((c_TMAP3IN)-(c_TMAP2IN))=0,(c_TMAP2OUT)+QUOTIENT(((c_TMAP3OUT)-(c_TMAP2OUT)),2),QUOTIENT((((K246)-(c_TMAP2IN))*((c_TMAP3OUT)-(c_TMAP2OUT))+IF(((c_TMAP3OUT)-(c_TMAP2OUT))&gt;=0,1,-1)*QUOTIENT(((c_TMAP3IN)-(c_TMAP2IN)),2)),((c_TMAP3IN)-(c_TMAP2IN)))+(c_TMAP2OUT)+IF(((c_TMAP3OUT)-(c_TMAP2OUT))&gt;=0,IF(IF(o_WRAP=1,MOD(((c_TMAP3IN)-(c_TMAP2IN))*(((K246)-(c_TMAP2IN))*((c_TMAP3OUT)-(c_TMAP2OUT))+IF(((c_TMAP3OUT)-(c_TMAP2OUT))&gt;=0,1,-1)*QUOTIENT(((c_TMAP3IN)-(c_TMAP2IN)),2))+2147483648,4294967296)-2147483648,((c_TMAP3IN)-(c_TMAP2IN))*(((K246)-(c_TMAP2IN))*((c_TMAP3OUT)-(c_TMAP2OUT))+IF(((c_TMAP3OUT)-(c_TMAP2OUT))&gt;=0,1,-1)*QUOTIENT(((c_TMAP3IN)-(c_TMAP2IN)),2)))&lt;0,-1,0),IF(IF(o_WRAP=1,MOD(((c_TMAP3IN)-(c_TMAP2IN))*(((K246)-(c_TMAP2IN))*((c_TMAP3OUT)-(c_TMAP2OUT))+IF(((c_TMAP3OUT)-(c_TMAP2OUT))&gt;=0,1,-1)*QUOTIENT(((c_TMAP3IN)-(c_TMAP2IN)),2))+2147483648,4294967296)-2147483648,((c_TMAP3IN)-(c_TMAP2IN))*(((K246)-(c_TMAP2IN))*((c_TMAP3OUT)-(c_TMAP2OUT))+IF(((c_TMAP3OUT)-(c_TMAP2OUT))&gt;=0,1,-1)*QUOTIENT(((c_TMAP3IN)-(c_TMAP2IN)),2)))&gt;=0,1,0)))</f>
        <v>399</v>
      </c>
      <c r="P246" s="7" t="n">
        <f aca="false">IF(((1000)-(c_TMAP3IN))=0,(c_TMAP3OUT)+QUOTIENT(((1000)-(c_TMAP3OUT)),2),QUOTIENT((((K246)-(c_TMAP3IN))*((1000)-(c_TMAP3OUT))+IF(((1000)-(c_TMAP3OUT))&gt;=0,1,-1)*QUOTIENT(((1000)-(c_TMAP3IN)),2)),((1000)-(c_TMAP3IN)))+(c_TMAP3OUT)+IF(((1000)-(c_TMAP3OUT))&gt;=0,IF(IF(o_WRAP=1,MOD(((1000)-(c_TMAP3IN))*(((K246)-(c_TMAP3IN))*((1000)-(c_TMAP3OUT))+IF(((1000)-(c_TMAP3OUT))&gt;=0,1,-1)*QUOTIENT(((1000)-(c_TMAP3IN)),2))+2147483648,4294967296)-2147483648,((1000)-(c_TMAP3IN))*(((K246)-(c_TMAP3IN))*((1000)-(c_TMAP3OUT))+IF(((1000)-(c_TMAP3OUT))&gt;=0,1,-1)*QUOTIENT(((1000)-(c_TMAP3IN)),2)))&lt;0,-1,0),IF(IF(o_WRAP=1,MOD(((1000)-(c_TMAP3IN))*(((K246)-(c_TMAP3IN))*((1000)-(c_TMAP3OUT))+IF(((1000)-(c_TMAP3OUT))&gt;=0,1,-1)*QUOTIENT(((1000)-(c_TMAP3IN)),2))+2147483648,4294967296)-2147483648,((1000)-(c_TMAP3IN))*(((K246)-(c_TMAP3IN))*((1000)-(c_TMAP3OUT))+IF(((1000)-(c_TMAP3OUT))&gt;=0,1,-1)*QUOTIENT(((1000)-(c_TMAP3IN)),2)))&gt;=0,1,0)))</f>
        <v>550</v>
      </c>
      <c r="Q246" s="7" t="str">
        <f aca="false">IF(K246&gt;=c_TFWD,IF(AND(K246&gt;=c_TMAP3IN,c_TMAP3IN&lt;1000),"Seg4 map3-100%",IF(AND(K246&gt;=c_TMAP2IN,c_TMAP3IN&gt;c_TMAP2IN),"Seg3 map2-map3",IF(AND(K246&gt;=c_TMAP1IN,c_TMAP2IN&gt;c_TMAP1IN),"Seg2 map1-map2","Seg1 TFWD-map1"))),IF(AND(K246=0,c_TCREEP&gt;0),"Creep",IF(AND(K246&lt;=c_TRNGMIN,K246&gt;=c_TRNGMAX,c_TRNGMIN-c_TRNGMAX&lt;&gt;0),"Regen ramp","Coast (0)")))</f>
        <v>Seg4 map3-100%</v>
      </c>
      <c r="R246" s="7" t="n">
        <f aca="false">IF(K246&gt;=c_TFWD,IF(AND(K246&gt;=c_TMAP3IN,c_TMAP3IN&lt;1000),P246,IF(AND(K246&gt;=c_TMAP2IN,c_TMAP3IN&gt;c_TMAP2IN),O246,IF(AND(K246&gt;=c_TMAP1IN,c_TMAP2IN&gt;c_TMAP1IN),N246,M246))),L246)</f>
        <v>550</v>
      </c>
      <c r="S246" s="7" t="str">
        <f aca="false">IF(R246&lt;-1090,"TOO LOW",IF(R246&gt;1090,"TOO HIGH",""))</f>
        <v/>
      </c>
      <c r="T246" s="15" t="n">
        <f aca="false">IF(H246&lt;&gt;"OK",0,IF(S246&lt;&gt;"",0,IF(R246&gt;979,1000,R246)))</f>
        <v>550</v>
      </c>
      <c r="U246" s="7" t="n">
        <f aca="false">T246/10</f>
        <v>55</v>
      </c>
    </row>
    <row r="247" customFormat="false" ht="15" hidden="false" customHeight="false" outlineLevel="0" collapsed="false">
      <c r="A247" s="7" t="n">
        <v>242</v>
      </c>
      <c r="B247" s="7" t="n">
        <f aca="false">ROUND(o_SWSTART+A247*(o_SWEND-o_SWSTART)/400,0)</f>
        <v>2477</v>
      </c>
      <c r="C247" s="7" t="n">
        <f aca="false">QUOTIENT((B247-c_OFF1)*c_GAIN1,1024)</f>
        <v>2477</v>
      </c>
      <c r="D247" s="7" t="n">
        <f aca="false">IF(((c_T1MX)-(c_T1MN))=0,(0)+QUOTIENT(((1000)-(0)),2),QUOTIENT((((C247)-(c_T1MN))*((1000)-(0))+IF(((1000)-(0))&gt;=0,1,-1)*QUOTIENT(((c_T1MX)-(c_T1MN)),2)),((c_T1MX)-(c_T1MN)))+(0)+IF(((1000)-(0))&gt;=0,IF(IF(o_WRAP=1,MOD(((c_T1MX)-(c_T1MN))*(((C247)-(c_T1MN))*((1000)-(0))+IF(((1000)-(0))&gt;=0,1,-1)*QUOTIENT(((c_T1MX)-(c_T1MN)),2))+2147483648,4294967296)-2147483648,((c_T1MX)-(c_T1MN))*(((C247)-(c_T1MN))*((1000)-(0))+IF(((1000)-(0))&gt;=0,1,-1)*QUOTIENT(((c_T1MX)-(c_T1MN)),2)))&lt;0,-1,0),IF(IF(o_WRAP=1,MOD(((c_T1MX)-(c_T1MN))*(((C247)-(c_T1MN))*((1000)-(0))+IF(((1000)-(0))&gt;=0,1,-1)*QUOTIENT(((c_T1MX)-(c_T1MN)),2))+2147483648,4294967296)-2147483648,((c_T1MX)-(c_T1MN))*(((C247)-(c_T1MN))*((1000)-(0))+IF(((1000)-(0))&gt;=0,1,-1)*QUOTIENT(((c_T1MX)-(c_T1MN)),2)))&gt;=0,1,0)))</f>
        <v>638</v>
      </c>
      <c r="E247" s="7" t="n">
        <f aca="false">IF(AND(c_TPOT=1,c_TTYPE=2),1000-D247,D247)</f>
        <v>638</v>
      </c>
      <c r="F247" s="7" t="str">
        <f aca="false">IF(c_TPOT&gt;1,ROUND(IF(c_TTYPE=2,c_T2MX-IF(c_T1MX=c_T1MN,0,(C247-c_T1MN)/(c_T1MX-c_T1MN))*(c_T2MX-c_T2MN),c_T2MN+IF(c_T1MX=c_T1MN,0,(C247-c_T1MN)/(c_T1MX-c_T1MN))*(c_T2MX-c_T2MN))+o_MISMATCH,0),"")</f>
        <v/>
      </c>
      <c r="G247" s="7" t="str">
        <f aca="false">IF(c_TPOT&gt;1,IF(((c_T2MX)-(c_T2MN))=0,(0)+QUOTIENT(((1000)-(0)),2),QUOTIENT((((F247)-(c_T2MN))*((1000)-(0))+IF(((1000)-(0))&gt;=0,1,-1)*QUOTIENT(((c_T2MX)-(c_T2MN)),2)),((c_T2MX)-(c_T2MN)))+(0)+IF(((1000)-(0))&gt;=0,IF(IF(o_WRAP=1,MOD(((c_T2MX)-(c_T2MN))*(((F247)-(c_T2MN))*((1000)-(0))+IF(((1000)-(0))&gt;=0,1,-1)*QUOTIENT(((c_T2MX)-(c_T2MN)),2))+2147483648,4294967296)-2147483648,((c_T2MX)-(c_T2MN))*(((F247)-(c_T2MN))*((1000)-(0))+IF(((1000)-(0))&gt;=0,1,-1)*QUOTIENT(((c_T2MX)-(c_T2MN)),2)))&lt;0,-1,0),IF(IF(o_WRAP=1,MOD(((c_T2MX)-(c_T2MN))*(((F247)-(c_T2MN))*((1000)-(0))+IF(((1000)-(0))&gt;=0,1,-1)*QUOTIENT(((c_T2MX)-(c_T2MN)),2))+2147483648,4294967296)-2147483648,((c_T2MX)-(c_T2MN))*(((F247)-(c_T2MN))*((1000)-(0))+IF(((1000)-(0))&gt;=0,1,-1)*QUOTIENT(((c_T2MX)-(c_T2MN)),2)))&gt;=0,1,0))),"")</f>
        <v/>
      </c>
      <c r="H247" s="7" t="str">
        <f aca="false">IF(E247&gt;1000+k_TOL,"T1 HIGH",IF(E247&lt;0-k_TOL,"T1 LOW",IF(c_TPOT&gt;1,IF(G247&gt;1000+k_TOL,"T2 HIGH",IF(G247&lt;0-k_TOL,"T2 LOW",IF(c_TTYPE=2,IF(ABS(1000-MAX(0,MIN(1000,E247))-MAX(0,MIN(1000,G247)))&gt;k_MAXERR,"MISMATCH","OK"),IF(OR(MAX(0,MIN(1000,E247))-k_MAXERR&gt;MAX(0,MIN(1000,G247)),MAX(0,MIN(1000,G247))-k_MAXERR&gt;MAX(0,MIN(1000,E247))),"MISMATCH","OK")))),"OK")))</f>
        <v>OK</v>
      </c>
      <c r="I247" s="7" t="n">
        <f aca="false">MAX(0,MIN(1000,D247))</f>
        <v>638</v>
      </c>
      <c r="J247" s="7" t="str">
        <f aca="false">IF(c_TPOT&gt;1,IF(c_TTYPE=2,1000-MAX(0,MIN(1000,G247)),MAX(0,MIN(1000,G247))),"")</f>
        <v/>
      </c>
      <c r="K247" s="7" t="n">
        <f aca="false">IF(c_TPOT&gt;1,QUOTIENT(I247+J247,2),I247)</f>
        <v>638</v>
      </c>
      <c r="L247" s="7" t="n">
        <f aca="false">IF(AND(K247=0,c_TCREEP&gt;0),10*c_TCREEP,IF(AND(K247&lt;=c_TRNGMIN,K247&gt;=c_TRNGMAX,c_TRNGMIN-c_TRNGMAX&lt;&gt;0),-10*c_TMINRN+QUOTIENT((c_TMAXRN-c_TMINRN)*(100-QUOTIENT((K247-c_TRNGMAX)*100,c_TRNGMIN-c_TRNGMAX)),-10),0))</f>
        <v>0</v>
      </c>
      <c r="M247" s="7" t="n">
        <f aca="false">IF(((c_TMAP1IN)-(c_TFWD))=0,(0)+QUOTIENT(((c_TMAP1OUT)-(0)),2),QUOTIENT((((K247)-(c_TFWD))*((c_TMAP1OUT)-(0))+IF(((c_TMAP1OUT)-(0))&gt;=0,1,-1)*QUOTIENT(((c_TMAP1IN)-(c_TFWD)),2)),((c_TMAP1IN)-(c_TFWD)))+(0)+IF(((c_TMAP1OUT)-(0))&gt;=0,IF(IF(o_WRAP=1,MOD(((c_TMAP1IN)-(c_TFWD))*(((K247)-(c_TFWD))*((c_TMAP1OUT)-(0))+IF(((c_TMAP1OUT)-(0))&gt;=0,1,-1)*QUOTIENT(((c_TMAP1IN)-(c_TFWD)),2))+2147483648,4294967296)-2147483648,((c_TMAP1IN)-(c_TFWD))*(((K247)-(c_TFWD))*((c_TMAP1OUT)-(0))+IF(((c_TMAP1OUT)-(0))&gt;=0,1,-1)*QUOTIENT(((c_TMAP1IN)-(c_TFWD)),2)))&lt;0,-1,0),IF(IF(o_WRAP=1,MOD(((c_TMAP1IN)-(c_TFWD))*(((K247)-(c_TFWD))*((c_TMAP1OUT)-(0))+IF(((c_TMAP1OUT)-(0))&gt;=0,1,-1)*QUOTIENT(((c_TMAP1IN)-(c_TFWD)),2))+2147483648,4294967296)-2147483648,((c_TMAP1IN)-(c_TFWD))*(((K247)-(c_TFWD))*((c_TMAP1OUT)-(0))+IF(((c_TMAP1OUT)-(0))&gt;=0,1,-1)*QUOTIENT(((c_TMAP1IN)-(c_TFWD)),2)))&gt;=0,1,0)))</f>
        <v>488</v>
      </c>
      <c r="N247" s="7" t="n">
        <f aca="false">IF(((c_TMAP2IN)-(c_TMAP1IN))=0,(c_TMAP1OUT)+QUOTIENT(((c_TMAP2OUT)-(c_TMAP1OUT)),2),QUOTIENT((((K247)-(c_TMAP1IN))*((c_TMAP2OUT)-(c_TMAP1OUT))+IF(((c_TMAP2OUT)-(c_TMAP1OUT))&gt;=0,1,-1)*QUOTIENT(((c_TMAP2IN)-(c_TMAP1IN)),2)),((c_TMAP2IN)-(c_TMAP1IN)))+(c_TMAP1OUT)+IF(((c_TMAP2OUT)-(c_TMAP1OUT))&gt;=0,IF(IF(o_WRAP=1,MOD(((c_TMAP2IN)-(c_TMAP1IN))*(((K247)-(c_TMAP1IN))*((c_TMAP2OUT)-(c_TMAP1OUT))+IF(((c_TMAP2OUT)-(c_TMAP1OUT))&gt;=0,1,-1)*QUOTIENT(((c_TMAP2IN)-(c_TMAP1IN)),2))+2147483648,4294967296)-2147483648,((c_TMAP2IN)-(c_TMAP1IN))*(((K247)-(c_TMAP1IN))*((c_TMAP2OUT)-(c_TMAP1OUT))+IF(((c_TMAP2OUT)-(c_TMAP1OUT))&gt;=0,1,-1)*QUOTIENT(((c_TMAP2IN)-(c_TMAP1IN)),2)))&lt;0,-1,0),IF(IF(o_WRAP=1,MOD(((c_TMAP2IN)-(c_TMAP1IN))*(((K247)-(c_TMAP1IN))*((c_TMAP2OUT)-(c_TMAP1OUT))+IF(((c_TMAP2OUT)-(c_TMAP1OUT))&gt;=0,1,-1)*QUOTIENT(((c_TMAP2IN)-(c_TMAP1IN)),2))+2147483648,4294967296)-2147483648,((c_TMAP2IN)-(c_TMAP1IN))*(((K247)-(c_TMAP1IN))*((c_TMAP2OUT)-(c_TMAP1OUT))+IF(((c_TMAP2OUT)-(c_TMAP1OUT))&gt;=0,1,-1)*QUOTIENT(((c_TMAP2IN)-(c_TMAP1IN)),2)))&gt;=0,1,0)))</f>
        <v>285</v>
      </c>
      <c r="O247" s="7" t="n">
        <f aca="false">IF(((c_TMAP3IN)-(c_TMAP2IN))=0,(c_TMAP2OUT)+QUOTIENT(((c_TMAP3OUT)-(c_TMAP2OUT)),2),QUOTIENT((((K247)-(c_TMAP2IN))*((c_TMAP3OUT)-(c_TMAP2OUT))+IF(((c_TMAP3OUT)-(c_TMAP2OUT))&gt;=0,1,-1)*QUOTIENT(((c_TMAP3IN)-(c_TMAP2IN)),2)),((c_TMAP3IN)-(c_TMAP2IN)))+(c_TMAP2OUT)+IF(((c_TMAP3OUT)-(c_TMAP2OUT))&gt;=0,IF(IF(o_WRAP=1,MOD(((c_TMAP3IN)-(c_TMAP2IN))*(((K247)-(c_TMAP2IN))*((c_TMAP3OUT)-(c_TMAP2OUT))+IF(((c_TMAP3OUT)-(c_TMAP2OUT))&gt;=0,1,-1)*QUOTIENT(((c_TMAP3IN)-(c_TMAP2IN)),2))+2147483648,4294967296)-2147483648,((c_TMAP3IN)-(c_TMAP2IN))*(((K247)-(c_TMAP2IN))*((c_TMAP3OUT)-(c_TMAP2OUT))+IF(((c_TMAP3OUT)-(c_TMAP2OUT))&gt;=0,1,-1)*QUOTIENT(((c_TMAP3IN)-(c_TMAP2IN)),2)))&lt;0,-1,0),IF(IF(o_WRAP=1,MOD(((c_TMAP3IN)-(c_TMAP2IN))*(((K247)-(c_TMAP2IN))*((c_TMAP3OUT)-(c_TMAP2OUT))+IF(((c_TMAP3OUT)-(c_TMAP2OUT))&gt;=0,1,-1)*QUOTIENT(((c_TMAP3IN)-(c_TMAP2IN)),2))+2147483648,4294967296)-2147483648,((c_TMAP3IN)-(c_TMAP2IN))*(((K247)-(c_TMAP2IN))*((c_TMAP3OUT)-(c_TMAP2OUT))+IF(((c_TMAP3OUT)-(c_TMAP2OUT))&gt;=0,1,-1)*QUOTIENT(((c_TMAP3IN)-(c_TMAP2IN)),2)))&gt;=0,1,0)))</f>
        <v>402</v>
      </c>
      <c r="P247" s="7" t="n">
        <f aca="false">IF(((1000)-(c_TMAP3IN))=0,(c_TMAP3OUT)+QUOTIENT(((1000)-(c_TMAP3OUT)),2),QUOTIENT((((K247)-(c_TMAP3IN))*((1000)-(c_TMAP3OUT))+IF(((1000)-(c_TMAP3OUT))&gt;=0,1,-1)*QUOTIENT(((1000)-(c_TMAP3IN)),2)),((1000)-(c_TMAP3IN)))+(c_TMAP3OUT)+IF(((1000)-(c_TMAP3OUT))&gt;=0,IF(IF(o_WRAP=1,MOD(((1000)-(c_TMAP3IN))*(((K247)-(c_TMAP3IN))*((1000)-(c_TMAP3OUT))+IF(((1000)-(c_TMAP3OUT))&gt;=0,1,-1)*QUOTIENT(((1000)-(c_TMAP3IN)),2))+2147483648,4294967296)-2147483648,((1000)-(c_TMAP3IN))*(((K247)-(c_TMAP3IN))*((1000)-(c_TMAP3OUT))+IF(((1000)-(c_TMAP3OUT))&gt;=0,1,-1)*QUOTIENT(((1000)-(c_TMAP3IN)),2)))&lt;0,-1,0),IF(IF(o_WRAP=1,MOD(((1000)-(c_TMAP3IN))*(((K247)-(c_TMAP3IN))*((1000)-(c_TMAP3OUT))+IF(((1000)-(c_TMAP3OUT))&gt;=0,1,-1)*QUOTIENT(((1000)-(c_TMAP3IN)),2))+2147483648,4294967296)-2147483648,((1000)-(c_TMAP3IN))*(((K247)-(c_TMAP3IN))*((1000)-(c_TMAP3OUT))+IF(((1000)-(c_TMAP3OUT))&gt;=0,1,-1)*QUOTIENT(((1000)-(c_TMAP3IN)),2)))&gt;=0,1,0)))</f>
        <v>554</v>
      </c>
      <c r="Q247" s="7" t="str">
        <f aca="false">IF(K247&gt;=c_TFWD,IF(AND(K247&gt;=c_TMAP3IN,c_TMAP3IN&lt;1000),"Seg4 map3-100%",IF(AND(K247&gt;=c_TMAP2IN,c_TMAP3IN&gt;c_TMAP2IN),"Seg3 map2-map3",IF(AND(K247&gt;=c_TMAP1IN,c_TMAP2IN&gt;c_TMAP1IN),"Seg2 map1-map2","Seg1 TFWD-map1"))),IF(AND(K247=0,c_TCREEP&gt;0),"Creep",IF(AND(K247&lt;=c_TRNGMIN,K247&gt;=c_TRNGMAX,c_TRNGMIN-c_TRNGMAX&lt;&gt;0),"Regen ramp","Coast (0)")))</f>
        <v>Seg4 map3-100%</v>
      </c>
      <c r="R247" s="7" t="n">
        <f aca="false">IF(K247&gt;=c_TFWD,IF(AND(K247&gt;=c_TMAP3IN,c_TMAP3IN&lt;1000),P247,IF(AND(K247&gt;=c_TMAP2IN,c_TMAP3IN&gt;c_TMAP2IN),O247,IF(AND(K247&gt;=c_TMAP1IN,c_TMAP2IN&gt;c_TMAP1IN),N247,M247))),L247)</f>
        <v>554</v>
      </c>
      <c r="S247" s="7" t="str">
        <f aca="false">IF(R247&lt;-1090,"TOO LOW",IF(R247&gt;1090,"TOO HIGH",""))</f>
        <v/>
      </c>
      <c r="T247" s="15" t="n">
        <f aca="false">IF(H247&lt;&gt;"OK",0,IF(S247&lt;&gt;"",0,IF(R247&gt;979,1000,R247)))</f>
        <v>554</v>
      </c>
      <c r="U247" s="7" t="n">
        <f aca="false">T247/10</f>
        <v>55.4</v>
      </c>
    </row>
    <row r="248" customFormat="false" ht="15" hidden="false" customHeight="false" outlineLevel="0" collapsed="false">
      <c r="A248" s="7" t="n">
        <v>243</v>
      </c>
      <c r="B248" s="7" t="n">
        <f aca="false">ROUND(o_SWSTART+A248*(o_SWEND-o_SWSTART)/400,0)</f>
        <v>2488</v>
      </c>
      <c r="C248" s="7" t="n">
        <f aca="false">QUOTIENT((B248-c_OFF1)*c_GAIN1,1024)</f>
        <v>2488</v>
      </c>
      <c r="D248" s="7" t="n">
        <f aca="false">IF(((c_T1MX)-(c_T1MN))=0,(0)+QUOTIENT(((1000)-(0)),2),QUOTIENT((((C248)-(c_T1MN))*((1000)-(0))+IF(((1000)-(0))&gt;=0,1,-1)*QUOTIENT(((c_T1MX)-(c_T1MN)),2)),((c_T1MX)-(c_T1MN)))+(0)+IF(((1000)-(0))&gt;=0,IF(IF(o_WRAP=1,MOD(((c_T1MX)-(c_T1MN))*(((C248)-(c_T1MN))*((1000)-(0))+IF(((1000)-(0))&gt;=0,1,-1)*QUOTIENT(((c_T1MX)-(c_T1MN)),2))+2147483648,4294967296)-2147483648,((c_T1MX)-(c_T1MN))*(((C248)-(c_T1MN))*((1000)-(0))+IF(((1000)-(0))&gt;=0,1,-1)*QUOTIENT(((c_T1MX)-(c_T1MN)),2)))&lt;0,-1,0),IF(IF(o_WRAP=1,MOD(((c_T1MX)-(c_T1MN))*(((C248)-(c_T1MN))*((1000)-(0))+IF(((1000)-(0))&gt;=0,1,-1)*QUOTIENT(((c_T1MX)-(c_T1MN)),2))+2147483648,4294967296)-2147483648,((c_T1MX)-(c_T1MN))*(((C248)-(c_T1MN))*((1000)-(0))+IF(((1000)-(0))&gt;=0,1,-1)*QUOTIENT(((c_T1MX)-(c_T1MN)),2)))&gt;=0,1,0)))</f>
        <v>642</v>
      </c>
      <c r="E248" s="7" t="n">
        <f aca="false">IF(AND(c_TPOT=1,c_TTYPE=2),1000-D248,D248)</f>
        <v>642</v>
      </c>
      <c r="F248" s="7" t="str">
        <f aca="false">IF(c_TPOT&gt;1,ROUND(IF(c_TTYPE=2,c_T2MX-IF(c_T1MX=c_T1MN,0,(C248-c_T1MN)/(c_T1MX-c_T1MN))*(c_T2MX-c_T2MN),c_T2MN+IF(c_T1MX=c_T1MN,0,(C248-c_T1MN)/(c_T1MX-c_T1MN))*(c_T2MX-c_T2MN))+o_MISMATCH,0),"")</f>
        <v/>
      </c>
      <c r="G248" s="7" t="str">
        <f aca="false">IF(c_TPOT&gt;1,IF(((c_T2MX)-(c_T2MN))=0,(0)+QUOTIENT(((1000)-(0)),2),QUOTIENT((((F248)-(c_T2MN))*((1000)-(0))+IF(((1000)-(0))&gt;=0,1,-1)*QUOTIENT(((c_T2MX)-(c_T2MN)),2)),((c_T2MX)-(c_T2MN)))+(0)+IF(((1000)-(0))&gt;=0,IF(IF(o_WRAP=1,MOD(((c_T2MX)-(c_T2MN))*(((F248)-(c_T2MN))*((1000)-(0))+IF(((1000)-(0))&gt;=0,1,-1)*QUOTIENT(((c_T2MX)-(c_T2MN)),2))+2147483648,4294967296)-2147483648,((c_T2MX)-(c_T2MN))*(((F248)-(c_T2MN))*((1000)-(0))+IF(((1000)-(0))&gt;=0,1,-1)*QUOTIENT(((c_T2MX)-(c_T2MN)),2)))&lt;0,-1,0),IF(IF(o_WRAP=1,MOD(((c_T2MX)-(c_T2MN))*(((F248)-(c_T2MN))*((1000)-(0))+IF(((1000)-(0))&gt;=0,1,-1)*QUOTIENT(((c_T2MX)-(c_T2MN)),2))+2147483648,4294967296)-2147483648,((c_T2MX)-(c_T2MN))*(((F248)-(c_T2MN))*((1000)-(0))+IF(((1000)-(0))&gt;=0,1,-1)*QUOTIENT(((c_T2MX)-(c_T2MN)),2)))&gt;=0,1,0))),"")</f>
        <v/>
      </c>
      <c r="H248" s="7" t="str">
        <f aca="false">IF(E248&gt;1000+k_TOL,"T1 HIGH",IF(E248&lt;0-k_TOL,"T1 LOW",IF(c_TPOT&gt;1,IF(G248&gt;1000+k_TOL,"T2 HIGH",IF(G248&lt;0-k_TOL,"T2 LOW",IF(c_TTYPE=2,IF(ABS(1000-MAX(0,MIN(1000,E248))-MAX(0,MIN(1000,G248)))&gt;k_MAXERR,"MISMATCH","OK"),IF(OR(MAX(0,MIN(1000,E248))-k_MAXERR&gt;MAX(0,MIN(1000,G248)),MAX(0,MIN(1000,G248))-k_MAXERR&gt;MAX(0,MIN(1000,E248))),"MISMATCH","OK")))),"OK")))</f>
        <v>OK</v>
      </c>
      <c r="I248" s="7" t="n">
        <f aca="false">MAX(0,MIN(1000,D248))</f>
        <v>642</v>
      </c>
      <c r="J248" s="7" t="str">
        <f aca="false">IF(c_TPOT&gt;1,IF(c_TTYPE=2,1000-MAX(0,MIN(1000,G248)),MAX(0,MIN(1000,G248))),"")</f>
        <v/>
      </c>
      <c r="K248" s="7" t="n">
        <f aca="false">IF(c_TPOT&gt;1,QUOTIENT(I248+J248,2),I248)</f>
        <v>642</v>
      </c>
      <c r="L248" s="7" t="n">
        <f aca="false">IF(AND(K248=0,c_TCREEP&gt;0),10*c_TCREEP,IF(AND(K248&lt;=c_TRNGMIN,K248&gt;=c_TRNGMAX,c_TRNGMIN-c_TRNGMAX&lt;&gt;0),-10*c_TMINRN+QUOTIENT((c_TMAXRN-c_TMINRN)*(100-QUOTIENT((K248-c_TRNGMAX)*100,c_TRNGMIN-c_TRNGMAX)),-10),0))</f>
        <v>0</v>
      </c>
      <c r="M248" s="7" t="n">
        <f aca="false">IF(((c_TMAP1IN)-(c_TFWD))=0,(0)+QUOTIENT(((c_TMAP1OUT)-(0)),2),QUOTIENT((((K248)-(c_TFWD))*((c_TMAP1OUT)-(0))+IF(((c_TMAP1OUT)-(0))&gt;=0,1,-1)*QUOTIENT(((c_TMAP1IN)-(c_TFWD)),2)),((c_TMAP1IN)-(c_TFWD)))+(0)+IF(((c_TMAP1OUT)-(0))&gt;=0,IF(IF(o_WRAP=1,MOD(((c_TMAP1IN)-(c_TFWD))*(((K248)-(c_TFWD))*((c_TMAP1OUT)-(0))+IF(((c_TMAP1OUT)-(0))&gt;=0,1,-1)*QUOTIENT(((c_TMAP1IN)-(c_TFWD)),2))+2147483648,4294967296)-2147483648,((c_TMAP1IN)-(c_TFWD))*(((K248)-(c_TFWD))*((c_TMAP1OUT)-(0))+IF(((c_TMAP1OUT)-(0))&gt;=0,1,-1)*QUOTIENT(((c_TMAP1IN)-(c_TFWD)),2)))&lt;0,-1,0),IF(IF(o_WRAP=1,MOD(((c_TMAP1IN)-(c_TFWD))*(((K248)-(c_TFWD))*((c_TMAP1OUT)-(0))+IF(((c_TMAP1OUT)-(0))&gt;=0,1,-1)*QUOTIENT(((c_TMAP1IN)-(c_TFWD)),2))+2147483648,4294967296)-2147483648,((c_TMAP1IN)-(c_TFWD))*(((K248)-(c_TFWD))*((c_TMAP1OUT)-(0))+IF(((c_TMAP1OUT)-(0))&gt;=0,1,-1)*QUOTIENT(((c_TMAP1IN)-(c_TFWD)),2)))&gt;=0,1,0)))</f>
        <v>492</v>
      </c>
      <c r="N248" s="7" t="n">
        <f aca="false">IF(((c_TMAP2IN)-(c_TMAP1IN))=0,(c_TMAP1OUT)+QUOTIENT(((c_TMAP2OUT)-(c_TMAP1OUT)),2),QUOTIENT((((K248)-(c_TMAP1IN))*((c_TMAP2OUT)-(c_TMAP1OUT))+IF(((c_TMAP2OUT)-(c_TMAP1OUT))&gt;=0,1,-1)*QUOTIENT(((c_TMAP2IN)-(c_TMAP1IN)),2)),((c_TMAP2IN)-(c_TMAP1IN)))+(c_TMAP1OUT)+IF(((c_TMAP2OUT)-(c_TMAP1OUT))&gt;=0,IF(IF(o_WRAP=1,MOD(((c_TMAP2IN)-(c_TMAP1IN))*(((K248)-(c_TMAP1IN))*((c_TMAP2OUT)-(c_TMAP1OUT))+IF(((c_TMAP2OUT)-(c_TMAP1OUT))&gt;=0,1,-1)*QUOTIENT(((c_TMAP2IN)-(c_TMAP1IN)),2))+2147483648,4294967296)-2147483648,((c_TMAP2IN)-(c_TMAP1IN))*(((K248)-(c_TMAP1IN))*((c_TMAP2OUT)-(c_TMAP1OUT))+IF(((c_TMAP2OUT)-(c_TMAP1OUT))&gt;=0,1,-1)*QUOTIENT(((c_TMAP2IN)-(c_TMAP1IN)),2)))&lt;0,-1,0),IF(IF(o_WRAP=1,MOD(((c_TMAP2IN)-(c_TMAP1IN))*(((K248)-(c_TMAP1IN))*((c_TMAP2OUT)-(c_TMAP1OUT))+IF(((c_TMAP2OUT)-(c_TMAP1OUT))&gt;=0,1,-1)*QUOTIENT(((c_TMAP2IN)-(c_TMAP1IN)),2))+2147483648,4294967296)-2147483648,((c_TMAP2IN)-(c_TMAP1IN))*(((K248)-(c_TMAP1IN))*((c_TMAP2OUT)-(c_TMAP1OUT))+IF(((c_TMAP2OUT)-(c_TMAP1OUT))&gt;=0,1,-1)*QUOTIENT(((c_TMAP2IN)-(c_TMAP1IN)),2)))&gt;=0,1,0)))</f>
        <v>287</v>
      </c>
      <c r="O248" s="7" t="n">
        <f aca="false">IF(((c_TMAP3IN)-(c_TMAP2IN))=0,(c_TMAP2OUT)+QUOTIENT(((c_TMAP3OUT)-(c_TMAP2OUT)),2),QUOTIENT((((K248)-(c_TMAP2IN))*((c_TMAP3OUT)-(c_TMAP2OUT))+IF(((c_TMAP3OUT)-(c_TMAP2OUT))&gt;=0,1,-1)*QUOTIENT(((c_TMAP3IN)-(c_TMAP2IN)),2)),((c_TMAP3IN)-(c_TMAP2IN)))+(c_TMAP2OUT)+IF(((c_TMAP3OUT)-(c_TMAP2OUT))&gt;=0,IF(IF(o_WRAP=1,MOD(((c_TMAP3IN)-(c_TMAP2IN))*(((K248)-(c_TMAP2IN))*((c_TMAP3OUT)-(c_TMAP2OUT))+IF(((c_TMAP3OUT)-(c_TMAP2OUT))&gt;=0,1,-1)*QUOTIENT(((c_TMAP3IN)-(c_TMAP2IN)),2))+2147483648,4294967296)-2147483648,((c_TMAP3IN)-(c_TMAP2IN))*(((K248)-(c_TMAP2IN))*((c_TMAP3OUT)-(c_TMAP2OUT))+IF(((c_TMAP3OUT)-(c_TMAP2OUT))&gt;=0,1,-1)*QUOTIENT(((c_TMAP3IN)-(c_TMAP2IN)),2)))&lt;0,-1,0),IF(IF(o_WRAP=1,MOD(((c_TMAP3IN)-(c_TMAP2IN))*(((K248)-(c_TMAP2IN))*((c_TMAP3OUT)-(c_TMAP2OUT))+IF(((c_TMAP3OUT)-(c_TMAP2OUT))&gt;=0,1,-1)*QUOTIENT(((c_TMAP3IN)-(c_TMAP2IN)),2))+2147483648,4294967296)-2147483648,((c_TMAP3IN)-(c_TMAP2IN))*(((K248)-(c_TMAP2IN))*((c_TMAP3OUT)-(c_TMAP2OUT))+IF(((c_TMAP3OUT)-(c_TMAP2OUT))&gt;=0,1,-1)*QUOTIENT(((c_TMAP3IN)-(c_TMAP2IN)),2)))&gt;=0,1,0)))</f>
        <v>404</v>
      </c>
      <c r="P248" s="7" t="n">
        <f aca="false">IF(((1000)-(c_TMAP3IN))=0,(c_TMAP3OUT)+QUOTIENT(((1000)-(c_TMAP3OUT)),2),QUOTIENT((((K248)-(c_TMAP3IN))*((1000)-(c_TMAP3OUT))+IF(((1000)-(c_TMAP3OUT))&gt;=0,1,-1)*QUOTIENT(((1000)-(c_TMAP3IN)),2)),((1000)-(c_TMAP3IN)))+(c_TMAP3OUT)+IF(((1000)-(c_TMAP3OUT))&gt;=0,IF(IF(o_WRAP=1,MOD(((1000)-(c_TMAP3IN))*(((K248)-(c_TMAP3IN))*((1000)-(c_TMAP3OUT))+IF(((1000)-(c_TMAP3OUT))&gt;=0,1,-1)*QUOTIENT(((1000)-(c_TMAP3IN)),2))+2147483648,4294967296)-2147483648,((1000)-(c_TMAP3IN))*(((K248)-(c_TMAP3IN))*((1000)-(c_TMAP3OUT))+IF(((1000)-(c_TMAP3OUT))&gt;=0,1,-1)*QUOTIENT(((1000)-(c_TMAP3IN)),2)))&lt;0,-1,0),IF(IF(o_WRAP=1,MOD(((1000)-(c_TMAP3IN))*(((K248)-(c_TMAP3IN))*((1000)-(c_TMAP3OUT))+IF(((1000)-(c_TMAP3OUT))&gt;=0,1,-1)*QUOTIENT(((1000)-(c_TMAP3IN)),2))+2147483648,4294967296)-2147483648,((1000)-(c_TMAP3IN))*(((K248)-(c_TMAP3IN))*((1000)-(c_TMAP3OUT))+IF(((1000)-(c_TMAP3OUT))&gt;=0,1,-1)*QUOTIENT(((1000)-(c_TMAP3IN)),2)))&gt;=0,1,0)))</f>
        <v>559</v>
      </c>
      <c r="Q248" s="7" t="str">
        <f aca="false">IF(K248&gt;=c_TFWD,IF(AND(K248&gt;=c_TMAP3IN,c_TMAP3IN&lt;1000),"Seg4 map3-100%",IF(AND(K248&gt;=c_TMAP2IN,c_TMAP3IN&gt;c_TMAP2IN),"Seg3 map2-map3",IF(AND(K248&gt;=c_TMAP1IN,c_TMAP2IN&gt;c_TMAP1IN),"Seg2 map1-map2","Seg1 TFWD-map1"))),IF(AND(K248=0,c_TCREEP&gt;0),"Creep",IF(AND(K248&lt;=c_TRNGMIN,K248&gt;=c_TRNGMAX,c_TRNGMIN-c_TRNGMAX&lt;&gt;0),"Regen ramp","Coast (0)")))</f>
        <v>Seg4 map3-100%</v>
      </c>
      <c r="R248" s="7" t="n">
        <f aca="false">IF(K248&gt;=c_TFWD,IF(AND(K248&gt;=c_TMAP3IN,c_TMAP3IN&lt;1000),P248,IF(AND(K248&gt;=c_TMAP2IN,c_TMAP3IN&gt;c_TMAP2IN),O248,IF(AND(K248&gt;=c_TMAP1IN,c_TMAP2IN&gt;c_TMAP1IN),N248,M248))),L248)</f>
        <v>559</v>
      </c>
      <c r="S248" s="7" t="str">
        <f aca="false">IF(R248&lt;-1090,"TOO LOW",IF(R248&gt;1090,"TOO HIGH",""))</f>
        <v/>
      </c>
      <c r="T248" s="15" t="n">
        <f aca="false">IF(H248&lt;&gt;"OK",0,IF(S248&lt;&gt;"",0,IF(R248&gt;979,1000,R248)))</f>
        <v>559</v>
      </c>
      <c r="U248" s="7" t="n">
        <f aca="false">T248/10</f>
        <v>55.9</v>
      </c>
    </row>
    <row r="249" customFormat="false" ht="15" hidden="false" customHeight="false" outlineLevel="0" collapsed="false">
      <c r="A249" s="7" t="n">
        <v>244</v>
      </c>
      <c r="B249" s="7" t="n">
        <f aca="false">ROUND(o_SWSTART+A249*(o_SWEND-o_SWSTART)/400,0)</f>
        <v>2498</v>
      </c>
      <c r="C249" s="7" t="n">
        <f aca="false">QUOTIENT((B249-c_OFF1)*c_GAIN1,1024)</f>
        <v>2498</v>
      </c>
      <c r="D249" s="7" t="n">
        <f aca="false">IF(((c_T1MX)-(c_T1MN))=0,(0)+QUOTIENT(((1000)-(0)),2),QUOTIENT((((C249)-(c_T1MN))*((1000)-(0))+IF(((1000)-(0))&gt;=0,1,-1)*QUOTIENT(((c_T1MX)-(c_T1MN)),2)),((c_T1MX)-(c_T1MN)))+(0)+IF(((1000)-(0))&gt;=0,IF(IF(o_WRAP=1,MOD(((c_T1MX)-(c_T1MN))*(((C249)-(c_T1MN))*((1000)-(0))+IF(((1000)-(0))&gt;=0,1,-1)*QUOTIENT(((c_T1MX)-(c_T1MN)),2))+2147483648,4294967296)-2147483648,((c_T1MX)-(c_T1MN))*(((C249)-(c_T1MN))*((1000)-(0))+IF(((1000)-(0))&gt;=0,1,-1)*QUOTIENT(((c_T1MX)-(c_T1MN)),2)))&lt;0,-1,0),IF(IF(o_WRAP=1,MOD(((c_T1MX)-(c_T1MN))*(((C249)-(c_T1MN))*((1000)-(0))+IF(((1000)-(0))&gt;=0,1,-1)*QUOTIENT(((c_T1MX)-(c_T1MN)),2))+2147483648,4294967296)-2147483648,((c_T1MX)-(c_T1MN))*(((C249)-(c_T1MN))*((1000)-(0))+IF(((1000)-(0))&gt;=0,1,-1)*QUOTIENT(((c_T1MX)-(c_T1MN)),2)))&gt;=0,1,0)))</f>
        <v>645</v>
      </c>
      <c r="E249" s="7" t="n">
        <f aca="false">IF(AND(c_TPOT=1,c_TTYPE=2),1000-D249,D249)</f>
        <v>645</v>
      </c>
      <c r="F249" s="7" t="str">
        <f aca="false">IF(c_TPOT&gt;1,ROUND(IF(c_TTYPE=2,c_T2MX-IF(c_T1MX=c_T1MN,0,(C249-c_T1MN)/(c_T1MX-c_T1MN))*(c_T2MX-c_T2MN),c_T2MN+IF(c_T1MX=c_T1MN,0,(C249-c_T1MN)/(c_T1MX-c_T1MN))*(c_T2MX-c_T2MN))+o_MISMATCH,0),"")</f>
        <v/>
      </c>
      <c r="G249" s="7" t="str">
        <f aca="false">IF(c_TPOT&gt;1,IF(((c_T2MX)-(c_T2MN))=0,(0)+QUOTIENT(((1000)-(0)),2),QUOTIENT((((F249)-(c_T2MN))*((1000)-(0))+IF(((1000)-(0))&gt;=0,1,-1)*QUOTIENT(((c_T2MX)-(c_T2MN)),2)),((c_T2MX)-(c_T2MN)))+(0)+IF(((1000)-(0))&gt;=0,IF(IF(o_WRAP=1,MOD(((c_T2MX)-(c_T2MN))*(((F249)-(c_T2MN))*((1000)-(0))+IF(((1000)-(0))&gt;=0,1,-1)*QUOTIENT(((c_T2MX)-(c_T2MN)),2))+2147483648,4294967296)-2147483648,((c_T2MX)-(c_T2MN))*(((F249)-(c_T2MN))*((1000)-(0))+IF(((1000)-(0))&gt;=0,1,-1)*QUOTIENT(((c_T2MX)-(c_T2MN)),2)))&lt;0,-1,0),IF(IF(o_WRAP=1,MOD(((c_T2MX)-(c_T2MN))*(((F249)-(c_T2MN))*((1000)-(0))+IF(((1000)-(0))&gt;=0,1,-1)*QUOTIENT(((c_T2MX)-(c_T2MN)),2))+2147483648,4294967296)-2147483648,((c_T2MX)-(c_T2MN))*(((F249)-(c_T2MN))*((1000)-(0))+IF(((1000)-(0))&gt;=0,1,-1)*QUOTIENT(((c_T2MX)-(c_T2MN)),2)))&gt;=0,1,0))),"")</f>
        <v/>
      </c>
      <c r="H249" s="7" t="str">
        <f aca="false">IF(E249&gt;1000+k_TOL,"T1 HIGH",IF(E249&lt;0-k_TOL,"T1 LOW",IF(c_TPOT&gt;1,IF(G249&gt;1000+k_TOL,"T2 HIGH",IF(G249&lt;0-k_TOL,"T2 LOW",IF(c_TTYPE=2,IF(ABS(1000-MAX(0,MIN(1000,E249))-MAX(0,MIN(1000,G249)))&gt;k_MAXERR,"MISMATCH","OK"),IF(OR(MAX(0,MIN(1000,E249))-k_MAXERR&gt;MAX(0,MIN(1000,G249)),MAX(0,MIN(1000,G249))-k_MAXERR&gt;MAX(0,MIN(1000,E249))),"MISMATCH","OK")))),"OK")))</f>
        <v>OK</v>
      </c>
      <c r="I249" s="7" t="n">
        <f aca="false">MAX(0,MIN(1000,D249))</f>
        <v>645</v>
      </c>
      <c r="J249" s="7" t="str">
        <f aca="false">IF(c_TPOT&gt;1,IF(c_TTYPE=2,1000-MAX(0,MIN(1000,G249)),MAX(0,MIN(1000,G249))),"")</f>
        <v/>
      </c>
      <c r="K249" s="7" t="n">
        <f aca="false">IF(c_TPOT&gt;1,QUOTIENT(I249+J249,2),I249)</f>
        <v>645</v>
      </c>
      <c r="L249" s="7" t="n">
        <f aca="false">IF(AND(K249=0,c_TCREEP&gt;0),10*c_TCREEP,IF(AND(K249&lt;=c_TRNGMIN,K249&gt;=c_TRNGMAX,c_TRNGMIN-c_TRNGMAX&lt;&gt;0),-10*c_TMINRN+QUOTIENT((c_TMAXRN-c_TMINRN)*(100-QUOTIENT((K249-c_TRNGMAX)*100,c_TRNGMIN-c_TRNGMAX)),-10),0))</f>
        <v>0</v>
      </c>
      <c r="M249" s="7" t="n">
        <f aca="false">IF(((c_TMAP1IN)-(c_TFWD))=0,(0)+QUOTIENT(((c_TMAP1OUT)-(0)),2),QUOTIENT((((K249)-(c_TFWD))*((c_TMAP1OUT)-(0))+IF(((c_TMAP1OUT)-(0))&gt;=0,1,-1)*QUOTIENT(((c_TMAP1IN)-(c_TFWD)),2)),((c_TMAP1IN)-(c_TFWD)))+(0)+IF(((c_TMAP1OUT)-(0))&gt;=0,IF(IF(o_WRAP=1,MOD(((c_TMAP1IN)-(c_TFWD))*(((K249)-(c_TFWD))*((c_TMAP1OUT)-(0))+IF(((c_TMAP1OUT)-(0))&gt;=0,1,-1)*QUOTIENT(((c_TMAP1IN)-(c_TFWD)),2))+2147483648,4294967296)-2147483648,((c_TMAP1IN)-(c_TFWD))*(((K249)-(c_TFWD))*((c_TMAP1OUT)-(0))+IF(((c_TMAP1OUT)-(0))&gt;=0,1,-1)*QUOTIENT(((c_TMAP1IN)-(c_TFWD)),2)))&lt;0,-1,0),IF(IF(o_WRAP=1,MOD(((c_TMAP1IN)-(c_TFWD))*(((K249)-(c_TFWD))*((c_TMAP1OUT)-(0))+IF(((c_TMAP1OUT)-(0))&gt;=0,1,-1)*QUOTIENT(((c_TMAP1IN)-(c_TFWD)),2))+2147483648,4294967296)-2147483648,((c_TMAP1IN)-(c_TFWD))*(((K249)-(c_TFWD))*((c_TMAP1OUT)-(0))+IF(((c_TMAP1OUT)-(0))&gt;=0,1,-1)*QUOTIENT(((c_TMAP1IN)-(c_TFWD)),2)))&gt;=0,1,0)))</f>
        <v>494</v>
      </c>
      <c r="N249" s="7" t="n">
        <f aca="false">IF(((c_TMAP2IN)-(c_TMAP1IN))=0,(c_TMAP1OUT)+QUOTIENT(((c_TMAP2OUT)-(c_TMAP1OUT)),2),QUOTIENT((((K249)-(c_TMAP1IN))*((c_TMAP2OUT)-(c_TMAP1OUT))+IF(((c_TMAP2OUT)-(c_TMAP1OUT))&gt;=0,1,-1)*QUOTIENT(((c_TMAP2IN)-(c_TMAP1IN)),2)),((c_TMAP2IN)-(c_TMAP1IN)))+(c_TMAP1OUT)+IF(((c_TMAP2OUT)-(c_TMAP1OUT))&gt;=0,IF(IF(o_WRAP=1,MOD(((c_TMAP2IN)-(c_TMAP1IN))*(((K249)-(c_TMAP1IN))*((c_TMAP2OUT)-(c_TMAP1OUT))+IF(((c_TMAP2OUT)-(c_TMAP1OUT))&gt;=0,1,-1)*QUOTIENT(((c_TMAP2IN)-(c_TMAP1IN)),2))+2147483648,4294967296)-2147483648,((c_TMAP2IN)-(c_TMAP1IN))*(((K249)-(c_TMAP1IN))*((c_TMAP2OUT)-(c_TMAP1OUT))+IF(((c_TMAP2OUT)-(c_TMAP1OUT))&gt;=0,1,-1)*QUOTIENT(((c_TMAP2IN)-(c_TMAP1IN)),2)))&lt;0,-1,0),IF(IF(o_WRAP=1,MOD(((c_TMAP2IN)-(c_TMAP1IN))*(((K249)-(c_TMAP1IN))*((c_TMAP2OUT)-(c_TMAP1OUT))+IF(((c_TMAP2OUT)-(c_TMAP1OUT))&gt;=0,1,-1)*QUOTIENT(((c_TMAP2IN)-(c_TMAP1IN)),2))+2147483648,4294967296)-2147483648,((c_TMAP2IN)-(c_TMAP1IN))*(((K249)-(c_TMAP1IN))*((c_TMAP2OUT)-(c_TMAP1OUT))+IF(((c_TMAP2OUT)-(c_TMAP1OUT))&gt;=0,1,-1)*QUOTIENT(((c_TMAP2IN)-(c_TMAP1IN)),2)))&gt;=0,1,0)))</f>
        <v>288</v>
      </c>
      <c r="O249" s="7" t="n">
        <f aca="false">IF(((c_TMAP3IN)-(c_TMAP2IN))=0,(c_TMAP2OUT)+QUOTIENT(((c_TMAP3OUT)-(c_TMAP2OUT)),2),QUOTIENT((((K249)-(c_TMAP2IN))*((c_TMAP3OUT)-(c_TMAP2OUT))+IF(((c_TMAP3OUT)-(c_TMAP2OUT))&gt;=0,1,-1)*QUOTIENT(((c_TMAP3IN)-(c_TMAP2IN)),2)),((c_TMAP3IN)-(c_TMAP2IN)))+(c_TMAP2OUT)+IF(((c_TMAP3OUT)-(c_TMAP2OUT))&gt;=0,IF(IF(o_WRAP=1,MOD(((c_TMAP3IN)-(c_TMAP2IN))*(((K249)-(c_TMAP2IN))*((c_TMAP3OUT)-(c_TMAP2OUT))+IF(((c_TMAP3OUT)-(c_TMAP2OUT))&gt;=0,1,-1)*QUOTIENT(((c_TMAP3IN)-(c_TMAP2IN)),2))+2147483648,4294967296)-2147483648,((c_TMAP3IN)-(c_TMAP2IN))*(((K249)-(c_TMAP2IN))*((c_TMAP3OUT)-(c_TMAP2OUT))+IF(((c_TMAP3OUT)-(c_TMAP2OUT))&gt;=0,1,-1)*QUOTIENT(((c_TMAP3IN)-(c_TMAP2IN)),2)))&lt;0,-1,0),IF(IF(o_WRAP=1,MOD(((c_TMAP3IN)-(c_TMAP2IN))*(((K249)-(c_TMAP2IN))*((c_TMAP3OUT)-(c_TMAP2OUT))+IF(((c_TMAP3OUT)-(c_TMAP2OUT))&gt;=0,1,-1)*QUOTIENT(((c_TMAP3IN)-(c_TMAP2IN)),2))+2147483648,4294967296)-2147483648,((c_TMAP3IN)-(c_TMAP2IN))*(((K249)-(c_TMAP2IN))*((c_TMAP3OUT)-(c_TMAP2OUT))+IF(((c_TMAP3OUT)-(c_TMAP2OUT))&gt;=0,1,-1)*QUOTIENT(((c_TMAP3IN)-(c_TMAP2IN)),2)))&gt;=0,1,0)))</f>
        <v>407</v>
      </c>
      <c r="P249" s="7" t="n">
        <f aca="false">IF(((1000)-(c_TMAP3IN))=0,(c_TMAP3OUT)+QUOTIENT(((1000)-(c_TMAP3OUT)),2),QUOTIENT((((K249)-(c_TMAP3IN))*((1000)-(c_TMAP3OUT))+IF(((1000)-(c_TMAP3OUT))&gt;=0,1,-1)*QUOTIENT(((1000)-(c_TMAP3IN)),2)),((1000)-(c_TMAP3IN)))+(c_TMAP3OUT)+IF(((1000)-(c_TMAP3OUT))&gt;=0,IF(IF(o_WRAP=1,MOD(((1000)-(c_TMAP3IN))*(((K249)-(c_TMAP3IN))*((1000)-(c_TMAP3OUT))+IF(((1000)-(c_TMAP3OUT))&gt;=0,1,-1)*QUOTIENT(((1000)-(c_TMAP3IN)),2))+2147483648,4294967296)-2147483648,((1000)-(c_TMAP3IN))*(((K249)-(c_TMAP3IN))*((1000)-(c_TMAP3OUT))+IF(((1000)-(c_TMAP3OUT))&gt;=0,1,-1)*QUOTIENT(((1000)-(c_TMAP3IN)),2)))&lt;0,-1,0),IF(IF(o_WRAP=1,MOD(((1000)-(c_TMAP3IN))*(((K249)-(c_TMAP3IN))*((1000)-(c_TMAP3OUT))+IF(((1000)-(c_TMAP3OUT))&gt;=0,1,-1)*QUOTIENT(((1000)-(c_TMAP3IN)),2))+2147483648,4294967296)-2147483648,((1000)-(c_TMAP3IN))*(((K249)-(c_TMAP3IN))*((1000)-(c_TMAP3OUT))+IF(((1000)-(c_TMAP3OUT))&gt;=0,1,-1)*QUOTIENT(((1000)-(c_TMAP3IN)),2)))&gt;=0,1,0)))</f>
        <v>563</v>
      </c>
      <c r="Q249" s="7" t="str">
        <f aca="false">IF(K249&gt;=c_TFWD,IF(AND(K249&gt;=c_TMAP3IN,c_TMAP3IN&lt;1000),"Seg4 map3-100%",IF(AND(K249&gt;=c_TMAP2IN,c_TMAP3IN&gt;c_TMAP2IN),"Seg3 map2-map3",IF(AND(K249&gt;=c_TMAP1IN,c_TMAP2IN&gt;c_TMAP1IN),"Seg2 map1-map2","Seg1 TFWD-map1"))),IF(AND(K249=0,c_TCREEP&gt;0),"Creep",IF(AND(K249&lt;=c_TRNGMIN,K249&gt;=c_TRNGMAX,c_TRNGMIN-c_TRNGMAX&lt;&gt;0),"Regen ramp","Coast (0)")))</f>
        <v>Seg4 map3-100%</v>
      </c>
      <c r="R249" s="7" t="n">
        <f aca="false">IF(K249&gt;=c_TFWD,IF(AND(K249&gt;=c_TMAP3IN,c_TMAP3IN&lt;1000),P249,IF(AND(K249&gt;=c_TMAP2IN,c_TMAP3IN&gt;c_TMAP2IN),O249,IF(AND(K249&gt;=c_TMAP1IN,c_TMAP2IN&gt;c_TMAP1IN),N249,M249))),L249)</f>
        <v>563</v>
      </c>
      <c r="S249" s="7" t="str">
        <f aca="false">IF(R249&lt;-1090,"TOO LOW",IF(R249&gt;1090,"TOO HIGH",""))</f>
        <v/>
      </c>
      <c r="T249" s="15" t="n">
        <f aca="false">IF(H249&lt;&gt;"OK",0,IF(S249&lt;&gt;"",0,IF(R249&gt;979,1000,R249)))</f>
        <v>563</v>
      </c>
      <c r="U249" s="7" t="n">
        <f aca="false">T249/10</f>
        <v>56.3</v>
      </c>
    </row>
    <row r="250" customFormat="false" ht="15" hidden="false" customHeight="false" outlineLevel="0" collapsed="false">
      <c r="A250" s="7" t="n">
        <v>245</v>
      </c>
      <c r="B250" s="7" t="n">
        <f aca="false">ROUND(o_SWSTART+A250*(o_SWEND-o_SWSTART)/400,0)</f>
        <v>2508</v>
      </c>
      <c r="C250" s="7" t="n">
        <f aca="false">QUOTIENT((B250-c_OFF1)*c_GAIN1,1024)</f>
        <v>2508</v>
      </c>
      <c r="D250" s="7" t="n">
        <f aca="false">IF(((c_T1MX)-(c_T1MN))=0,(0)+QUOTIENT(((1000)-(0)),2),QUOTIENT((((C250)-(c_T1MN))*((1000)-(0))+IF(((1000)-(0))&gt;=0,1,-1)*QUOTIENT(((c_T1MX)-(c_T1MN)),2)),((c_T1MX)-(c_T1MN)))+(0)+IF(((1000)-(0))&gt;=0,IF(IF(o_WRAP=1,MOD(((c_T1MX)-(c_T1MN))*(((C250)-(c_T1MN))*((1000)-(0))+IF(((1000)-(0))&gt;=0,1,-1)*QUOTIENT(((c_T1MX)-(c_T1MN)),2))+2147483648,4294967296)-2147483648,((c_T1MX)-(c_T1MN))*(((C250)-(c_T1MN))*((1000)-(0))+IF(((1000)-(0))&gt;=0,1,-1)*QUOTIENT(((c_T1MX)-(c_T1MN)),2)))&lt;0,-1,0),IF(IF(o_WRAP=1,MOD(((c_T1MX)-(c_T1MN))*(((C250)-(c_T1MN))*((1000)-(0))+IF(((1000)-(0))&gt;=0,1,-1)*QUOTIENT(((c_T1MX)-(c_T1MN)),2))+2147483648,4294967296)-2147483648,((c_T1MX)-(c_T1MN))*(((C250)-(c_T1MN))*((1000)-(0))+IF(((1000)-(0))&gt;=0,1,-1)*QUOTIENT(((c_T1MX)-(c_T1MN)),2)))&gt;=0,1,0)))</f>
        <v>649</v>
      </c>
      <c r="E250" s="7" t="n">
        <f aca="false">IF(AND(c_TPOT=1,c_TTYPE=2),1000-D250,D250)</f>
        <v>649</v>
      </c>
      <c r="F250" s="7" t="str">
        <f aca="false">IF(c_TPOT&gt;1,ROUND(IF(c_TTYPE=2,c_T2MX-IF(c_T1MX=c_T1MN,0,(C250-c_T1MN)/(c_T1MX-c_T1MN))*(c_T2MX-c_T2MN),c_T2MN+IF(c_T1MX=c_T1MN,0,(C250-c_T1MN)/(c_T1MX-c_T1MN))*(c_T2MX-c_T2MN))+o_MISMATCH,0),"")</f>
        <v/>
      </c>
      <c r="G250" s="7" t="str">
        <f aca="false">IF(c_TPOT&gt;1,IF(((c_T2MX)-(c_T2MN))=0,(0)+QUOTIENT(((1000)-(0)),2),QUOTIENT((((F250)-(c_T2MN))*((1000)-(0))+IF(((1000)-(0))&gt;=0,1,-1)*QUOTIENT(((c_T2MX)-(c_T2MN)),2)),((c_T2MX)-(c_T2MN)))+(0)+IF(((1000)-(0))&gt;=0,IF(IF(o_WRAP=1,MOD(((c_T2MX)-(c_T2MN))*(((F250)-(c_T2MN))*((1000)-(0))+IF(((1000)-(0))&gt;=0,1,-1)*QUOTIENT(((c_T2MX)-(c_T2MN)),2))+2147483648,4294967296)-2147483648,((c_T2MX)-(c_T2MN))*(((F250)-(c_T2MN))*((1000)-(0))+IF(((1000)-(0))&gt;=0,1,-1)*QUOTIENT(((c_T2MX)-(c_T2MN)),2)))&lt;0,-1,0),IF(IF(o_WRAP=1,MOD(((c_T2MX)-(c_T2MN))*(((F250)-(c_T2MN))*((1000)-(0))+IF(((1000)-(0))&gt;=0,1,-1)*QUOTIENT(((c_T2MX)-(c_T2MN)),2))+2147483648,4294967296)-2147483648,((c_T2MX)-(c_T2MN))*(((F250)-(c_T2MN))*((1000)-(0))+IF(((1000)-(0))&gt;=0,1,-1)*QUOTIENT(((c_T2MX)-(c_T2MN)),2)))&gt;=0,1,0))),"")</f>
        <v/>
      </c>
      <c r="H250" s="7" t="str">
        <f aca="false">IF(E250&gt;1000+k_TOL,"T1 HIGH",IF(E250&lt;0-k_TOL,"T1 LOW",IF(c_TPOT&gt;1,IF(G250&gt;1000+k_TOL,"T2 HIGH",IF(G250&lt;0-k_TOL,"T2 LOW",IF(c_TTYPE=2,IF(ABS(1000-MAX(0,MIN(1000,E250))-MAX(0,MIN(1000,G250)))&gt;k_MAXERR,"MISMATCH","OK"),IF(OR(MAX(0,MIN(1000,E250))-k_MAXERR&gt;MAX(0,MIN(1000,G250)),MAX(0,MIN(1000,G250))-k_MAXERR&gt;MAX(0,MIN(1000,E250))),"MISMATCH","OK")))),"OK")))</f>
        <v>OK</v>
      </c>
      <c r="I250" s="7" t="n">
        <f aca="false">MAX(0,MIN(1000,D250))</f>
        <v>649</v>
      </c>
      <c r="J250" s="7" t="str">
        <f aca="false">IF(c_TPOT&gt;1,IF(c_TTYPE=2,1000-MAX(0,MIN(1000,G250)),MAX(0,MIN(1000,G250))),"")</f>
        <v/>
      </c>
      <c r="K250" s="7" t="n">
        <f aca="false">IF(c_TPOT&gt;1,QUOTIENT(I250+J250,2),I250)</f>
        <v>649</v>
      </c>
      <c r="L250" s="7" t="n">
        <f aca="false">IF(AND(K250=0,c_TCREEP&gt;0),10*c_TCREEP,IF(AND(K250&lt;=c_TRNGMIN,K250&gt;=c_TRNGMAX,c_TRNGMIN-c_TRNGMAX&lt;&gt;0),-10*c_TMINRN+QUOTIENT((c_TMAXRN-c_TMINRN)*(100-QUOTIENT((K250-c_TRNGMAX)*100,c_TRNGMIN-c_TRNGMAX)),-10),0))</f>
        <v>0</v>
      </c>
      <c r="M250" s="7" t="n">
        <f aca="false">IF(((c_TMAP1IN)-(c_TFWD))=0,(0)+QUOTIENT(((c_TMAP1OUT)-(0)),2),QUOTIENT((((K250)-(c_TFWD))*((c_TMAP1OUT)-(0))+IF(((c_TMAP1OUT)-(0))&gt;=0,1,-1)*QUOTIENT(((c_TMAP1IN)-(c_TFWD)),2)),((c_TMAP1IN)-(c_TFWD)))+(0)+IF(((c_TMAP1OUT)-(0))&gt;=0,IF(IF(o_WRAP=1,MOD(((c_TMAP1IN)-(c_TFWD))*(((K250)-(c_TFWD))*((c_TMAP1OUT)-(0))+IF(((c_TMAP1OUT)-(0))&gt;=0,1,-1)*QUOTIENT(((c_TMAP1IN)-(c_TFWD)),2))+2147483648,4294967296)-2147483648,((c_TMAP1IN)-(c_TFWD))*(((K250)-(c_TFWD))*((c_TMAP1OUT)-(0))+IF(((c_TMAP1OUT)-(0))&gt;=0,1,-1)*QUOTIENT(((c_TMAP1IN)-(c_TFWD)),2)))&lt;0,-1,0),IF(IF(o_WRAP=1,MOD(((c_TMAP1IN)-(c_TFWD))*(((K250)-(c_TFWD))*((c_TMAP1OUT)-(0))+IF(((c_TMAP1OUT)-(0))&gt;=0,1,-1)*QUOTIENT(((c_TMAP1IN)-(c_TFWD)),2))+2147483648,4294967296)-2147483648,((c_TMAP1IN)-(c_TFWD))*(((K250)-(c_TFWD))*((c_TMAP1OUT)-(0))+IF(((c_TMAP1OUT)-(0))&gt;=0,1,-1)*QUOTIENT(((c_TMAP1IN)-(c_TFWD)),2)))&gt;=0,1,0)))</f>
        <v>497</v>
      </c>
      <c r="N250" s="7" t="n">
        <f aca="false">IF(((c_TMAP2IN)-(c_TMAP1IN))=0,(c_TMAP1OUT)+QUOTIENT(((c_TMAP2OUT)-(c_TMAP1OUT)),2),QUOTIENT((((K250)-(c_TMAP1IN))*((c_TMAP2OUT)-(c_TMAP1OUT))+IF(((c_TMAP2OUT)-(c_TMAP1OUT))&gt;=0,1,-1)*QUOTIENT(((c_TMAP2IN)-(c_TMAP1IN)),2)),((c_TMAP2IN)-(c_TMAP1IN)))+(c_TMAP1OUT)+IF(((c_TMAP2OUT)-(c_TMAP1OUT))&gt;=0,IF(IF(o_WRAP=1,MOD(((c_TMAP2IN)-(c_TMAP1IN))*(((K250)-(c_TMAP1IN))*((c_TMAP2OUT)-(c_TMAP1OUT))+IF(((c_TMAP2OUT)-(c_TMAP1OUT))&gt;=0,1,-1)*QUOTIENT(((c_TMAP2IN)-(c_TMAP1IN)),2))+2147483648,4294967296)-2147483648,((c_TMAP2IN)-(c_TMAP1IN))*(((K250)-(c_TMAP1IN))*((c_TMAP2OUT)-(c_TMAP1OUT))+IF(((c_TMAP2OUT)-(c_TMAP1OUT))&gt;=0,1,-1)*QUOTIENT(((c_TMAP2IN)-(c_TMAP1IN)),2)))&lt;0,-1,0),IF(IF(o_WRAP=1,MOD(((c_TMAP2IN)-(c_TMAP1IN))*(((K250)-(c_TMAP1IN))*((c_TMAP2OUT)-(c_TMAP1OUT))+IF(((c_TMAP2OUT)-(c_TMAP1OUT))&gt;=0,1,-1)*QUOTIENT(((c_TMAP2IN)-(c_TMAP1IN)),2))+2147483648,4294967296)-2147483648,((c_TMAP2IN)-(c_TMAP1IN))*(((K250)-(c_TMAP1IN))*((c_TMAP2OUT)-(c_TMAP1OUT))+IF(((c_TMAP2OUT)-(c_TMAP1OUT))&gt;=0,1,-1)*QUOTIENT(((c_TMAP2IN)-(c_TMAP1IN)),2)))&gt;=0,1,0)))</f>
        <v>290</v>
      </c>
      <c r="O250" s="7" t="n">
        <f aca="false">IF(((c_TMAP3IN)-(c_TMAP2IN))=0,(c_TMAP2OUT)+QUOTIENT(((c_TMAP3OUT)-(c_TMAP2OUT)),2),QUOTIENT((((K250)-(c_TMAP2IN))*((c_TMAP3OUT)-(c_TMAP2OUT))+IF(((c_TMAP3OUT)-(c_TMAP2OUT))&gt;=0,1,-1)*QUOTIENT(((c_TMAP3IN)-(c_TMAP2IN)),2)),((c_TMAP3IN)-(c_TMAP2IN)))+(c_TMAP2OUT)+IF(((c_TMAP3OUT)-(c_TMAP2OUT))&gt;=0,IF(IF(o_WRAP=1,MOD(((c_TMAP3IN)-(c_TMAP2IN))*(((K250)-(c_TMAP2IN))*((c_TMAP3OUT)-(c_TMAP2OUT))+IF(((c_TMAP3OUT)-(c_TMAP2OUT))&gt;=0,1,-1)*QUOTIENT(((c_TMAP3IN)-(c_TMAP2IN)),2))+2147483648,4294967296)-2147483648,((c_TMAP3IN)-(c_TMAP2IN))*(((K250)-(c_TMAP2IN))*((c_TMAP3OUT)-(c_TMAP2OUT))+IF(((c_TMAP3OUT)-(c_TMAP2OUT))&gt;=0,1,-1)*QUOTIENT(((c_TMAP3IN)-(c_TMAP2IN)),2)))&lt;0,-1,0),IF(IF(o_WRAP=1,MOD(((c_TMAP3IN)-(c_TMAP2IN))*(((K250)-(c_TMAP2IN))*((c_TMAP3OUT)-(c_TMAP2OUT))+IF(((c_TMAP3OUT)-(c_TMAP2OUT))&gt;=0,1,-1)*QUOTIENT(((c_TMAP3IN)-(c_TMAP2IN)),2))+2147483648,4294967296)-2147483648,((c_TMAP3IN)-(c_TMAP2IN))*(((K250)-(c_TMAP2IN))*((c_TMAP3OUT)-(c_TMAP2OUT))+IF(((c_TMAP3OUT)-(c_TMAP2OUT))&gt;=0,1,-1)*QUOTIENT(((c_TMAP3IN)-(c_TMAP2IN)),2)))&gt;=0,1,0)))</f>
        <v>409</v>
      </c>
      <c r="P250" s="7" t="n">
        <f aca="false">IF(((1000)-(c_TMAP3IN))=0,(c_TMAP3OUT)+QUOTIENT(((1000)-(c_TMAP3OUT)),2),QUOTIENT((((K250)-(c_TMAP3IN))*((1000)-(c_TMAP3OUT))+IF(((1000)-(c_TMAP3OUT))&gt;=0,1,-1)*QUOTIENT(((1000)-(c_TMAP3IN)),2)),((1000)-(c_TMAP3IN)))+(c_TMAP3OUT)+IF(((1000)-(c_TMAP3OUT))&gt;=0,IF(IF(o_WRAP=1,MOD(((1000)-(c_TMAP3IN))*(((K250)-(c_TMAP3IN))*((1000)-(c_TMAP3OUT))+IF(((1000)-(c_TMAP3OUT))&gt;=0,1,-1)*QUOTIENT(((1000)-(c_TMAP3IN)),2))+2147483648,4294967296)-2147483648,((1000)-(c_TMAP3IN))*(((K250)-(c_TMAP3IN))*((1000)-(c_TMAP3OUT))+IF(((1000)-(c_TMAP3OUT))&gt;=0,1,-1)*QUOTIENT(((1000)-(c_TMAP3IN)),2)))&lt;0,-1,0),IF(IF(o_WRAP=1,MOD(((1000)-(c_TMAP3IN))*(((K250)-(c_TMAP3IN))*((1000)-(c_TMAP3OUT))+IF(((1000)-(c_TMAP3OUT))&gt;=0,1,-1)*QUOTIENT(((1000)-(c_TMAP3IN)),2))+2147483648,4294967296)-2147483648,((1000)-(c_TMAP3IN))*(((K250)-(c_TMAP3IN))*((1000)-(c_TMAP3OUT))+IF(((1000)-(c_TMAP3OUT))&gt;=0,1,-1)*QUOTIENT(((1000)-(c_TMAP3IN)),2)))&gt;=0,1,0)))</f>
        <v>568</v>
      </c>
      <c r="Q250" s="7" t="str">
        <f aca="false">IF(K250&gt;=c_TFWD,IF(AND(K250&gt;=c_TMAP3IN,c_TMAP3IN&lt;1000),"Seg4 map3-100%",IF(AND(K250&gt;=c_TMAP2IN,c_TMAP3IN&gt;c_TMAP2IN),"Seg3 map2-map3",IF(AND(K250&gt;=c_TMAP1IN,c_TMAP2IN&gt;c_TMAP1IN),"Seg2 map1-map2","Seg1 TFWD-map1"))),IF(AND(K250=0,c_TCREEP&gt;0),"Creep",IF(AND(K250&lt;=c_TRNGMIN,K250&gt;=c_TRNGMAX,c_TRNGMIN-c_TRNGMAX&lt;&gt;0),"Regen ramp","Coast (0)")))</f>
        <v>Seg4 map3-100%</v>
      </c>
      <c r="R250" s="7" t="n">
        <f aca="false">IF(K250&gt;=c_TFWD,IF(AND(K250&gt;=c_TMAP3IN,c_TMAP3IN&lt;1000),P250,IF(AND(K250&gt;=c_TMAP2IN,c_TMAP3IN&gt;c_TMAP2IN),O250,IF(AND(K250&gt;=c_TMAP1IN,c_TMAP2IN&gt;c_TMAP1IN),N250,M250))),L250)</f>
        <v>568</v>
      </c>
      <c r="S250" s="7" t="str">
        <f aca="false">IF(R250&lt;-1090,"TOO LOW",IF(R250&gt;1090,"TOO HIGH",""))</f>
        <v/>
      </c>
      <c r="T250" s="15" t="n">
        <f aca="false">IF(H250&lt;&gt;"OK",0,IF(S250&lt;&gt;"",0,IF(R250&gt;979,1000,R250)))</f>
        <v>568</v>
      </c>
      <c r="U250" s="7" t="n">
        <f aca="false">T250/10</f>
        <v>56.8</v>
      </c>
    </row>
    <row r="251" customFormat="false" ht="15" hidden="false" customHeight="false" outlineLevel="0" collapsed="false">
      <c r="A251" s="7" t="n">
        <v>246</v>
      </c>
      <c r="B251" s="7" t="n">
        <f aca="false">ROUND(o_SWSTART+A251*(o_SWEND-o_SWSTART)/400,0)</f>
        <v>2518</v>
      </c>
      <c r="C251" s="7" t="n">
        <f aca="false">QUOTIENT((B251-c_OFF1)*c_GAIN1,1024)</f>
        <v>2518</v>
      </c>
      <c r="D251" s="7" t="n">
        <f aca="false">IF(((c_T1MX)-(c_T1MN))=0,(0)+QUOTIENT(((1000)-(0)),2),QUOTIENT((((C251)-(c_T1MN))*((1000)-(0))+IF(((1000)-(0))&gt;=0,1,-1)*QUOTIENT(((c_T1MX)-(c_T1MN)),2)),((c_T1MX)-(c_T1MN)))+(0)+IF(((1000)-(0))&gt;=0,IF(IF(o_WRAP=1,MOD(((c_T1MX)-(c_T1MN))*(((C251)-(c_T1MN))*((1000)-(0))+IF(((1000)-(0))&gt;=0,1,-1)*QUOTIENT(((c_T1MX)-(c_T1MN)),2))+2147483648,4294967296)-2147483648,((c_T1MX)-(c_T1MN))*(((C251)-(c_T1MN))*((1000)-(0))+IF(((1000)-(0))&gt;=0,1,-1)*QUOTIENT(((c_T1MX)-(c_T1MN)),2)))&lt;0,-1,0),IF(IF(o_WRAP=1,MOD(((c_T1MX)-(c_T1MN))*(((C251)-(c_T1MN))*((1000)-(0))+IF(((1000)-(0))&gt;=0,1,-1)*QUOTIENT(((c_T1MX)-(c_T1MN)),2))+2147483648,4294967296)-2147483648,((c_T1MX)-(c_T1MN))*(((C251)-(c_T1MN))*((1000)-(0))+IF(((1000)-(0))&gt;=0,1,-1)*QUOTIENT(((c_T1MX)-(c_T1MN)),2)))&gt;=0,1,0)))</f>
        <v>653</v>
      </c>
      <c r="E251" s="7" t="n">
        <f aca="false">IF(AND(c_TPOT=1,c_TTYPE=2),1000-D251,D251)</f>
        <v>653</v>
      </c>
      <c r="F251" s="7" t="str">
        <f aca="false">IF(c_TPOT&gt;1,ROUND(IF(c_TTYPE=2,c_T2MX-IF(c_T1MX=c_T1MN,0,(C251-c_T1MN)/(c_T1MX-c_T1MN))*(c_T2MX-c_T2MN),c_T2MN+IF(c_T1MX=c_T1MN,0,(C251-c_T1MN)/(c_T1MX-c_T1MN))*(c_T2MX-c_T2MN))+o_MISMATCH,0),"")</f>
        <v/>
      </c>
      <c r="G251" s="7" t="str">
        <f aca="false">IF(c_TPOT&gt;1,IF(((c_T2MX)-(c_T2MN))=0,(0)+QUOTIENT(((1000)-(0)),2),QUOTIENT((((F251)-(c_T2MN))*((1000)-(0))+IF(((1000)-(0))&gt;=0,1,-1)*QUOTIENT(((c_T2MX)-(c_T2MN)),2)),((c_T2MX)-(c_T2MN)))+(0)+IF(((1000)-(0))&gt;=0,IF(IF(o_WRAP=1,MOD(((c_T2MX)-(c_T2MN))*(((F251)-(c_T2MN))*((1000)-(0))+IF(((1000)-(0))&gt;=0,1,-1)*QUOTIENT(((c_T2MX)-(c_T2MN)),2))+2147483648,4294967296)-2147483648,((c_T2MX)-(c_T2MN))*(((F251)-(c_T2MN))*((1000)-(0))+IF(((1000)-(0))&gt;=0,1,-1)*QUOTIENT(((c_T2MX)-(c_T2MN)),2)))&lt;0,-1,0),IF(IF(o_WRAP=1,MOD(((c_T2MX)-(c_T2MN))*(((F251)-(c_T2MN))*((1000)-(0))+IF(((1000)-(0))&gt;=0,1,-1)*QUOTIENT(((c_T2MX)-(c_T2MN)),2))+2147483648,4294967296)-2147483648,((c_T2MX)-(c_T2MN))*(((F251)-(c_T2MN))*((1000)-(0))+IF(((1000)-(0))&gt;=0,1,-1)*QUOTIENT(((c_T2MX)-(c_T2MN)),2)))&gt;=0,1,0))),"")</f>
        <v/>
      </c>
      <c r="H251" s="7" t="str">
        <f aca="false">IF(E251&gt;1000+k_TOL,"T1 HIGH",IF(E251&lt;0-k_TOL,"T1 LOW",IF(c_TPOT&gt;1,IF(G251&gt;1000+k_TOL,"T2 HIGH",IF(G251&lt;0-k_TOL,"T2 LOW",IF(c_TTYPE=2,IF(ABS(1000-MAX(0,MIN(1000,E251))-MAX(0,MIN(1000,G251)))&gt;k_MAXERR,"MISMATCH","OK"),IF(OR(MAX(0,MIN(1000,E251))-k_MAXERR&gt;MAX(0,MIN(1000,G251)),MAX(0,MIN(1000,G251))-k_MAXERR&gt;MAX(0,MIN(1000,E251))),"MISMATCH","OK")))),"OK")))</f>
        <v>OK</v>
      </c>
      <c r="I251" s="7" t="n">
        <f aca="false">MAX(0,MIN(1000,D251))</f>
        <v>653</v>
      </c>
      <c r="J251" s="7" t="str">
        <f aca="false">IF(c_TPOT&gt;1,IF(c_TTYPE=2,1000-MAX(0,MIN(1000,G251)),MAX(0,MIN(1000,G251))),"")</f>
        <v/>
      </c>
      <c r="K251" s="7" t="n">
        <f aca="false">IF(c_TPOT&gt;1,QUOTIENT(I251+J251,2),I251)</f>
        <v>653</v>
      </c>
      <c r="L251" s="7" t="n">
        <f aca="false">IF(AND(K251=0,c_TCREEP&gt;0),10*c_TCREEP,IF(AND(K251&lt;=c_TRNGMIN,K251&gt;=c_TRNGMAX,c_TRNGMIN-c_TRNGMAX&lt;&gt;0),-10*c_TMINRN+QUOTIENT((c_TMAXRN-c_TMINRN)*(100-QUOTIENT((K251-c_TRNGMAX)*100,c_TRNGMIN-c_TRNGMAX)),-10),0))</f>
        <v>0</v>
      </c>
      <c r="M251" s="7" t="n">
        <f aca="false">IF(((c_TMAP1IN)-(c_TFWD))=0,(0)+QUOTIENT(((c_TMAP1OUT)-(0)),2),QUOTIENT((((K251)-(c_TFWD))*((c_TMAP1OUT)-(0))+IF(((c_TMAP1OUT)-(0))&gt;=0,1,-1)*QUOTIENT(((c_TMAP1IN)-(c_TFWD)),2)),((c_TMAP1IN)-(c_TFWD)))+(0)+IF(((c_TMAP1OUT)-(0))&gt;=0,IF(IF(o_WRAP=1,MOD(((c_TMAP1IN)-(c_TFWD))*(((K251)-(c_TFWD))*((c_TMAP1OUT)-(0))+IF(((c_TMAP1OUT)-(0))&gt;=0,1,-1)*QUOTIENT(((c_TMAP1IN)-(c_TFWD)),2))+2147483648,4294967296)-2147483648,((c_TMAP1IN)-(c_TFWD))*(((K251)-(c_TFWD))*((c_TMAP1OUT)-(0))+IF(((c_TMAP1OUT)-(0))&gt;=0,1,-1)*QUOTIENT(((c_TMAP1IN)-(c_TFWD)),2)))&lt;0,-1,0),IF(IF(o_WRAP=1,MOD(((c_TMAP1IN)-(c_TFWD))*(((K251)-(c_TFWD))*((c_TMAP1OUT)-(0))+IF(((c_TMAP1OUT)-(0))&gt;=0,1,-1)*QUOTIENT(((c_TMAP1IN)-(c_TFWD)),2))+2147483648,4294967296)-2147483648,((c_TMAP1IN)-(c_TFWD))*(((K251)-(c_TFWD))*((c_TMAP1OUT)-(0))+IF(((c_TMAP1OUT)-(0))&gt;=0,1,-1)*QUOTIENT(((c_TMAP1IN)-(c_TFWD)),2)))&gt;=0,1,0)))</f>
        <v>500</v>
      </c>
      <c r="N251" s="7" t="n">
        <f aca="false">IF(((c_TMAP2IN)-(c_TMAP1IN))=0,(c_TMAP1OUT)+QUOTIENT(((c_TMAP2OUT)-(c_TMAP1OUT)),2),QUOTIENT((((K251)-(c_TMAP1IN))*((c_TMAP2OUT)-(c_TMAP1OUT))+IF(((c_TMAP2OUT)-(c_TMAP1OUT))&gt;=0,1,-1)*QUOTIENT(((c_TMAP2IN)-(c_TMAP1IN)),2)),((c_TMAP2IN)-(c_TMAP1IN)))+(c_TMAP1OUT)+IF(((c_TMAP2OUT)-(c_TMAP1OUT))&gt;=0,IF(IF(o_WRAP=1,MOD(((c_TMAP2IN)-(c_TMAP1IN))*(((K251)-(c_TMAP1IN))*((c_TMAP2OUT)-(c_TMAP1OUT))+IF(((c_TMAP2OUT)-(c_TMAP1OUT))&gt;=0,1,-1)*QUOTIENT(((c_TMAP2IN)-(c_TMAP1IN)),2))+2147483648,4294967296)-2147483648,((c_TMAP2IN)-(c_TMAP1IN))*(((K251)-(c_TMAP1IN))*((c_TMAP2OUT)-(c_TMAP1OUT))+IF(((c_TMAP2OUT)-(c_TMAP1OUT))&gt;=0,1,-1)*QUOTIENT(((c_TMAP2IN)-(c_TMAP1IN)),2)))&lt;0,-1,0),IF(IF(o_WRAP=1,MOD(((c_TMAP2IN)-(c_TMAP1IN))*(((K251)-(c_TMAP1IN))*((c_TMAP2OUT)-(c_TMAP1OUT))+IF(((c_TMAP2OUT)-(c_TMAP1OUT))&gt;=0,1,-1)*QUOTIENT(((c_TMAP2IN)-(c_TMAP1IN)),2))+2147483648,4294967296)-2147483648,((c_TMAP2IN)-(c_TMAP1IN))*(((K251)-(c_TMAP1IN))*((c_TMAP2OUT)-(c_TMAP1OUT))+IF(((c_TMAP2OUT)-(c_TMAP1OUT))&gt;=0,1,-1)*QUOTIENT(((c_TMAP2IN)-(c_TMAP1IN)),2)))&gt;=0,1,0)))</f>
        <v>291</v>
      </c>
      <c r="O251" s="7" t="n">
        <f aca="false">IF(((c_TMAP3IN)-(c_TMAP2IN))=0,(c_TMAP2OUT)+QUOTIENT(((c_TMAP3OUT)-(c_TMAP2OUT)),2),QUOTIENT((((K251)-(c_TMAP2IN))*((c_TMAP3OUT)-(c_TMAP2OUT))+IF(((c_TMAP3OUT)-(c_TMAP2OUT))&gt;=0,1,-1)*QUOTIENT(((c_TMAP3IN)-(c_TMAP2IN)),2)),((c_TMAP3IN)-(c_TMAP2IN)))+(c_TMAP2OUT)+IF(((c_TMAP3OUT)-(c_TMAP2OUT))&gt;=0,IF(IF(o_WRAP=1,MOD(((c_TMAP3IN)-(c_TMAP2IN))*(((K251)-(c_TMAP2IN))*((c_TMAP3OUT)-(c_TMAP2OUT))+IF(((c_TMAP3OUT)-(c_TMAP2OUT))&gt;=0,1,-1)*QUOTIENT(((c_TMAP3IN)-(c_TMAP2IN)),2))+2147483648,4294967296)-2147483648,((c_TMAP3IN)-(c_TMAP2IN))*(((K251)-(c_TMAP2IN))*((c_TMAP3OUT)-(c_TMAP2OUT))+IF(((c_TMAP3OUT)-(c_TMAP2OUT))&gt;=0,1,-1)*QUOTIENT(((c_TMAP3IN)-(c_TMAP2IN)),2)))&lt;0,-1,0),IF(IF(o_WRAP=1,MOD(((c_TMAP3IN)-(c_TMAP2IN))*(((K251)-(c_TMAP2IN))*((c_TMAP3OUT)-(c_TMAP2OUT))+IF(((c_TMAP3OUT)-(c_TMAP2OUT))&gt;=0,1,-1)*QUOTIENT(((c_TMAP3IN)-(c_TMAP2IN)),2))+2147483648,4294967296)-2147483648,((c_TMAP3IN)-(c_TMAP2IN))*(((K251)-(c_TMAP2IN))*((c_TMAP3OUT)-(c_TMAP2OUT))+IF(((c_TMAP3OUT)-(c_TMAP2OUT))&gt;=0,1,-1)*QUOTIENT(((c_TMAP3IN)-(c_TMAP2IN)),2)))&gt;=0,1,0)))</f>
        <v>412</v>
      </c>
      <c r="P251" s="7" t="n">
        <f aca="false">IF(((1000)-(c_TMAP3IN))=0,(c_TMAP3OUT)+QUOTIENT(((1000)-(c_TMAP3OUT)),2),QUOTIENT((((K251)-(c_TMAP3IN))*((1000)-(c_TMAP3OUT))+IF(((1000)-(c_TMAP3OUT))&gt;=0,1,-1)*QUOTIENT(((1000)-(c_TMAP3IN)),2)),((1000)-(c_TMAP3IN)))+(c_TMAP3OUT)+IF(((1000)-(c_TMAP3OUT))&gt;=0,IF(IF(o_WRAP=1,MOD(((1000)-(c_TMAP3IN))*(((K251)-(c_TMAP3IN))*((1000)-(c_TMAP3OUT))+IF(((1000)-(c_TMAP3OUT))&gt;=0,1,-1)*QUOTIENT(((1000)-(c_TMAP3IN)),2))+2147483648,4294967296)-2147483648,((1000)-(c_TMAP3IN))*(((K251)-(c_TMAP3IN))*((1000)-(c_TMAP3OUT))+IF(((1000)-(c_TMAP3OUT))&gt;=0,1,-1)*QUOTIENT(((1000)-(c_TMAP3IN)),2)))&lt;0,-1,0),IF(IF(o_WRAP=1,MOD(((1000)-(c_TMAP3IN))*(((K251)-(c_TMAP3IN))*((1000)-(c_TMAP3OUT))+IF(((1000)-(c_TMAP3OUT))&gt;=0,1,-1)*QUOTIENT(((1000)-(c_TMAP3IN)),2))+2147483648,4294967296)-2147483648,((1000)-(c_TMAP3IN))*(((K251)-(c_TMAP3IN))*((1000)-(c_TMAP3OUT))+IF(((1000)-(c_TMAP3OUT))&gt;=0,1,-1)*QUOTIENT(((1000)-(c_TMAP3IN)),2)))&gt;=0,1,0)))</f>
        <v>573</v>
      </c>
      <c r="Q251" s="7" t="str">
        <f aca="false">IF(K251&gt;=c_TFWD,IF(AND(K251&gt;=c_TMAP3IN,c_TMAP3IN&lt;1000),"Seg4 map3-100%",IF(AND(K251&gt;=c_TMAP2IN,c_TMAP3IN&gt;c_TMAP2IN),"Seg3 map2-map3",IF(AND(K251&gt;=c_TMAP1IN,c_TMAP2IN&gt;c_TMAP1IN),"Seg2 map1-map2","Seg1 TFWD-map1"))),IF(AND(K251=0,c_TCREEP&gt;0),"Creep",IF(AND(K251&lt;=c_TRNGMIN,K251&gt;=c_TRNGMAX,c_TRNGMIN-c_TRNGMAX&lt;&gt;0),"Regen ramp","Coast (0)")))</f>
        <v>Seg4 map3-100%</v>
      </c>
      <c r="R251" s="7" t="n">
        <f aca="false">IF(K251&gt;=c_TFWD,IF(AND(K251&gt;=c_TMAP3IN,c_TMAP3IN&lt;1000),P251,IF(AND(K251&gt;=c_TMAP2IN,c_TMAP3IN&gt;c_TMAP2IN),O251,IF(AND(K251&gt;=c_TMAP1IN,c_TMAP2IN&gt;c_TMAP1IN),N251,M251))),L251)</f>
        <v>573</v>
      </c>
      <c r="S251" s="7" t="str">
        <f aca="false">IF(R251&lt;-1090,"TOO LOW",IF(R251&gt;1090,"TOO HIGH",""))</f>
        <v/>
      </c>
      <c r="T251" s="15" t="n">
        <f aca="false">IF(H251&lt;&gt;"OK",0,IF(S251&lt;&gt;"",0,IF(R251&gt;979,1000,R251)))</f>
        <v>573</v>
      </c>
      <c r="U251" s="7" t="n">
        <f aca="false">T251/10</f>
        <v>57.3</v>
      </c>
    </row>
    <row r="252" customFormat="false" ht="15" hidden="false" customHeight="false" outlineLevel="0" collapsed="false">
      <c r="A252" s="7" t="n">
        <v>247</v>
      </c>
      <c r="B252" s="7" t="n">
        <f aca="false">ROUND(o_SWSTART+A252*(o_SWEND-o_SWSTART)/400,0)</f>
        <v>2529</v>
      </c>
      <c r="C252" s="7" t="n">
        <f aca="false">QUOTIENT((B252-c_OFF1)*c_GAIN1,1024)</f>
        <v>2529</v>
      </c>
      <c r="D252" s="7" t="n">
        <f aca="false">IF(((c_T1MX)-(c_T1MN))=0,(0)+QUOTIENT(((1000)-(0)),2),QUOTIENT((((C252)-(c_T1MN))*((1000)-(0))+IF(((1000)-(0))&gt;=0,1,-1)*QUOTIENT(((c_T1MX)-(c_T1MN)),2)),((c_T1MX)-(c_T1MN)))+(0)+IF(((1000)-(0))&gt;=0,IF(IF(o_WRAP=1,MOD(((c_T1MX)-(c_T1MN))*(((C252)-(c_T1MN))*((1000)-(0))+IF(((1000)-(0))&gt;=0,1,-1)*QUOTIENT(((c_T1MX)-(c_T1MN)),2))+2147483648,4294967296)-2147483648,((c_T1MX)-(c_T1MN))*(((C252)-(c_T1MN))*((1000)-(0))+IF(((1000)-(0))&gt;=0,1,-1)*QUOTIENT(((c_T1MX)-(c_T1MN)),2)))&lt;0,-1,0),IF(IF(o_WRAP=1,MOD(((c_T1MX)-(c_T1MN))*(((C252)-(c_T1MN))*((1000)-(0))+IF(((1000)-(0))&gt;=0,1,-1)*QUOTIENT(((c_T1MX)-(c_T1MN)),2))+2147483648,4294967296)-2147483648,((c_T1MX)-(c_T1MN))*(((C252)-(c_T1MN))*((1000)-(0))+IF(((1000)-(0))&gt;=0,1,-1)*QUOTIENT(((c_T1MX)-(c_T1MN)),2)))&gt;=0,1,0)))</f>
        <v>657</v>
      </c>
      <c r="E252" s="7" t="n">
        <f aca="false">IF(AND(c_TPOT=1,c_TTYPE=2),1000-D252,D252)</f>
        <v>657</v>
      </c>
      <c r="F252" s="7" t="str">
        <f aca="false">IF(c_TPOT&gt;1,ROUND(IF(c_TTYPE=2,c_T2MX-IF(c_T1MX=c_T1MN,0,(C252-c_T1MN)/(c_T1MX-c_T1MN))*(c_T2MX-c_T2MN),c_T2MN+IF(c_T1MX=c_T1MN,0,(C252-c_T1MN)/(c_T1MX-c_T1MN))*(c_T2MX-c_T2MN))+o_MISMATCH,0),"")</f>
        <v/>
      </c>
      <c r="G252" s="7" t="str">
        <f aca="false">IF(c_TPOT&gt;1,IF(((c_T2MX)-(c_T2MN))=0,(0)+QUOTIENT(((1000)-(0)),2),QUOTIENT((((F252)-(c_T2MN))*((1000)-(0))+IF(((1000)-(0))&gt;=0,1,-1)*QUOTIENT(((c_T2MX)-(c_T2MN)),2)),((c_T2MX)-(c_T2MN)))+(0)+IF(((1000)-(0))&gt;=0,IF(IF(o_WRAP=1,MOD(((c_T2MX)-(c_T2MN))*(((F252)-(c_T2MN))*((1000)-(0))+IF(((1000)-(0))&gt;=0,1,-1)*QUOTIENT(((c_T2MX)-(c_T2MN)),2))+2147483648,4294967296)-2147483648,((c_T2MX)-(c_T2MN))*(((F252)-(c_T2MN))*((1000)-(0))+IF(((1000)-(0))&gt;=0,1,-1)*QUOTIENT(((c_T2MX)-(c_T2MN)),2)))&lt;0,-1,0),IF(IF(o_WRAP=1,MOD(((c_T2MX)-(c_T2MN))*(((F252)-(c_T2MN))*((1000)-(0))+IF(((1000)-(0))&gt;=0,1,-1)*QUOTIENT(((c_T2MX)-(c_T2MN)),2))+2147483648,4294967296)-2147483648,((c_T2MX)-(c_T2MN))*(((F252)-(c_T2MN))*((1000)-(0))+IF(((1000)-(0))&gt;=0,1,-1)*QUOTIENT(((c_T2MX)-(c_T2MN)),2)))&gt;=0,1,0))),"")</f>
        <v/>
      </c>
      <c r="H252" s="7" t="str">
        <f aca="false">IF(E252&gt;1000+k_TOL,"T1 HIGH",IF(E252&lt;0-k_TOL,"T1 LOW",IF(c_TPOT&gt;1,IF(G252&gt;1000+k_TOL,"T2 HIGH",IF(G252&lt;0-k_TOL,"T2 LOW",IF(c_TTYPE=2,IF(ABS(1000-MAX(0,MIN(1000,E252))-MAX(0,MIN(1000,G252)))&gt;k_MAXERR,"MISMATCH","OK"),IF(OR(MAX(0,MIN(1000,E252))-k_MAXERR&gt;MAX(0,MIN(1000,G252)),MAX(0,MIN(1000,G252))-k_MAXERR&gt;MAX(0,MIN(1000,E252))),"MISMATCH","OK")))),"OK")))</f>
        <v>OK</v>
      </c>
      <c r="I252" s="7" t="n">
        <f aca="false">MAX(0,MIN(1000,D252))</f>
        <v>657</v>
      </c>
      <c r="J252" s="7" t="str">
        <f aca="false">IF(c_TPOT&gt;1,IF(c_TTYPE=2,1000-MAX(0,MIN(1000,G252)),MAX(0,MIN(1000,G252))),"")</f>
        <v/>
      </c>
      <c r="K252" s="7" t="n">
        <f aca="false">IF(c_TPOT&gt;1,QUOTIENT(I252+J252,2),I252)</f>
        <v>657</v>
      </c>
      <c r="L252" s="7" t="n">
        <f aca="false">IF(AND(K252=0,c_TCREEP&gt;0),10*c_TCREEP,IF(AND(K252&lt;=c_TRNGMIN,K252&gt;=c_TRNGMAX,c_TRNGMIN-c_TRNGMAX&lt;&gt;0),-10*c_TMINRN+QUOTIENT((c_TMAXRN-c_TMINRN)*(100-QUOTIENT((K252-c_TRNGMAX)*100,c_TRNGMIN-c_TRNGMAX)),-10),0))</f>
        <v>0</v>
      </c>
      <c r="M252" s="7" t="n">
        <f aca="false">IF(((c_TMAP1IN)-(c_TFWD))=0,(0)+QUOTIENT(((c_TMAP1OUT)-(0)),2),QUOTIENT((((K252)-(c_TFWD))*((c_TMAP1OUT)-(0))+IF(((c_TMAP1OUT)-(0))&gt;=0,1,-1)*QUOTIENT(((c_TMAP1IN)-(c_TFWD)),2)),((c_TMAP1IN)-(c_TFWD)))+(0)+IF(((c_TMAP1OUT)-(0))&gt;=0,IF(IF(o_WRAP=1,MOD(((c_TMAP1IN)-(c_TFWD))*(((K252)-(c_TFWD))*((c_TMAP1OUT)-(0))+IF(((c_TMAP1OUT)-(0))&gt;=0,1,-1)*QUOTIENT(((c_TMAP1IN)-(c_TFWD)),2))+2147483648,4294967296)-2147483648,((c_TMAP1IN)-(c_TFWD))*(((K252)-(c_TFWD))*((c_TMAP1OUT)-(0))+IF(((c_TMAP1OUT)-(0))&gt;=0,1,-1)*QUOTIENT(((c_TMAP1IN)-(c_TFWD)),2)))&lt;0,-1,0),IF(IF(o_WRAP=1,MOD(((c_TMAP1IN)-(c_TFWD))*(((K252)-(c_TFWD))*((c_TMAP1OUT)-(0))+IF(((c_TMAP1OUT)-(0))&gt;=0,1,-1)*QUOTIENT(((c_TMAP1IN)-(c_TFWD)),2))+2147483648,4294967296)-2147483648,((c_TMAP1IN)-(c_TFWD))*(((K252)-(c_TFWD))*((c_TMAP1OUT)-(0))+IF(((c_TMAP1OUT)-(0))&gt;=0,1,-1)*QUOTIENT(((c_TMAP1IN)-(c_TFWD)),2)))&gt;=0,1,0)))</f>
        <v>503</v>
      </c>
      <c r="N252" s="7" t="n">
        <f aca="false">IF(((c_TMAP2IN)-(c_TMAP1IN))=0,(c_TMAP1OUT)+QUOTIENT(((c_TMAP2OUT)-(c_TMAP1OUT)),2),QUOTIENT((((K252)-(c_TMAP1IN))*((c_TMAP2OUT)-(c_TMAP1OUT))+IF(((c_TMAP2OUT)-(c_TMAP1OUT))&gt;=0,1,-1)*QUOTIENT(((c_TMAP2IN)-(c_TMAP1IN)),2)),((c_TMAP2IN)-(c_TMAP1IN)))+(c_TMAP1OUT)+IF(((c_TMAP2OUT)-(c_TMAP1OUT))&gt;=0,IF(IF(o_WRAP=1,MOD(((c_TMAP2IN)-(c_TMAP1IN))*(((K252)-(c_TMAP1IN))*((c_TMAP2OUT)-(c_TMAP1OUT))+IF(((c_TMAP2OUT)-(c_TMAP1OUT))&gt;=0,1,-1)*QUOTIENT(((c_TMAP2IN)-(c_TMAP1IN)),2))+2147483648,4294967296)-2147483648,((c_TMAP2IN)-(c_TMAP1IN))*(((K252)-(c_TMAP1IN))*((c_TMAP2OUT)-(c_TMAP1OUT))+IF(((c_TMAP2OUT)-(c_TMAP1OUT))&gt;=0,1,-1)*QUOTIENT(((c_TMAP2IN)-(c_TMAP1IN)),2)))&lt;0,-1,0),IF(IF(o_WRAP=1,MOD(((c_TMAP2IN)-(c_TMAP1IN))*(((K252)-(c_TMAP1IN))*((c_TMAP2OUT)-(c_TMAP1OUT))+IF(((c_TMAP2OUT)-(c_TMAP1OUT))&gt;=0,1,-1)*QUOTIENT(((c_TMAP2IN)-(c_TMAP1IN)),2))+2147483648,4294967296)-2147483648,((c_TMAP2IN)-(c_TMAP1IN))*(((K252)-(c_TMAP1IN))*((c_TMAP2OUT)-(c_TMAP1OUT))+IF(((c_TMAP2OUT)-(c_TMAP1OUT))&gt;=0,1,-1)*QUOTIENT(((c_TMAP2IN)-(c_TMAP1IN)),2)))&gt;=0,1,0)))</f>
        <v>293</v>
      </c>
      <c r="O252" s="7" t="n">
        <f aca="false">IF(((c_TMAP3IN)-(c_TMAP2IN))=0,(c_TMAP2OUT)+QUOTIENT(((c_TMAP3OUT)-(c_TMAP2OUT)),2),QUOTIENT((((K252)-(c_TMAP2IN))*((c_TMAP3OUT)-(c_TMAP2OUT))+IF(((c_TMAP3OUT)-(c_TMAP2OUT))&gt;=0,1,-1)*QUOTIENT(((c_TMAP3IN)-(c_TMAP2IN)),2)),((c_TMAP3IN)-(c_TMAP2IN)))+(c_TMAP2OUT)+IF(((c_TMAP3OUT)-(c_TMAP2OUT))&gt;=0,IF(IF(o_WRAP=1,MOD(((c_TMAP3IN)-(c_TMAP2IN))*(((K252)-(c_TMAP2IN))*((c_TMAP3OUT)-(c_TMAP2OUT))+IF(((c_TMAP3OUT)-(c_TMAP2OUT))&gt;=0,1,-1)*QUOTIENT(((c_TMAP3IN)-(c_TMAP2IN)),2))+2147483648,4294967296)-2147483648,((c_TMAP3IN)-(c_TMAP2IN))*(((K252)-(c_TMAP2IN))*((c_TMAP3OUT)-(c_TMAP2OUT))+IF(((c_TMAP3OUT)-(c_TMAP2OUT))&gt;=0,1,-1)*QUOTIENT(((c_TMAP3IN)-(c_TMAP2IN)),2)))&lt;0,-1,0),IF(IF(o_WRAP=1,MOD(((c_TMAP3IN)-(c_TMAP2IN))*(((K252)-(c_TMAP2IN))*((c_TMAP3OUT)-(c_TMAP2OUT))+IF(((c_TMAP3OUT)-(c_TMAP2OUT))&gt;=0,1,-1)*QUOTIENT(((c_TMAP3IN)-(c_TMAP2IN)),2))+2147483648,4294967296)-2147483648,((c_TMAP3IN)-(c_TMAP2IN))*(((K252)-(c_TMAP2IN))*((c_TMAP3OUT)-(c_TMAP2OUT))+IF(((c_TMAP3OUT)-(c_TMAP2OUT))&gt;=0,1,-1)*QUOTIENT(((c_TMAP3IN)-(c_TMAP2IN)),2)))&gt;=0,1,0)))</f>
        <v>415</v>
      </c>
      <c r="P252" s="7" t="n">
        <f aca="false">IF(((1000)-(c_TMAP3IN))=0,(c_TMAP3OUT)+QUOTIENT(((1000)-(c_TMAP3OUT)),2),QUOTIENT((((K252)-(c_TMAP3IN))*((1000)-(c_TMAP3OUT))+IF(((1000)-(c_TMAP3OUT))&gt;=0,1,-1)*QUOTIENT(((1000)-(c_TMAP3IN)),2)),((1000)-(c_TMAP3IN)))+(c_TMAP3OUT)+IF(((1000)-(c_TMAP3OUT))&gt;=0,IF(IF(o_WRAP=1,MOD(((1000)-(c_TMAP3IN))*(((K252)-(c_TMAP3IN))*((1000)-(c_TMAP3OUT))+IF(((1000)-(c_TMAP3OUT))&gt;=0,1,-1)*QUOTIENT(((1000)-(c_TMAP3IN)),2))+2147483648,4294967296)-2147483648,((1000)-(c_TMAP3IN))*(((K252)-(c_TMAP3IN))*((1000)-(c_TMAP3OUT))+IF(((1000)-(c_TMAP3OUT))&gt;=0,1,-1)*QUOTIENT(((1000)-(c_TMAP3IN)),2)))&lt;0,-1,0),IF(IF(o_WRAP=1,MOD(((1000)-(c_TMAP3IN))*(((K252)-(c_TMAP3IN))*((1000)-(c_TMAP3OUT))+IF(((1000)-(c_TMAP3OUT))&gt;=0,1,-1)*QUOTIENT(((1000)-(c_TMAP3IN)),2))+2147483648,4294967296)-2147483648,((1000)-(c_TMAP3IN))*(((K252)-(c_TMAP3IN))*((1000)-(c_TMAP3OUT))+IF(((1000)-(c_TMAP3OUT))&gt;=0,1,-1)*QUOTIENT(((1000)-(c_TMAP3IN)),2)))&gt;=0,1,0)))</f>
        <v>578</v>
      </c>
      <c r="Q252" s="7" t="str">
        <f aca="false">IF(K252&gt;=c_TFWD,IF(AND(K252&gt;=c_TMAP3IN,c_TMAP3IN&lt;1000),"Seg4 map3-100%",IF(AND(K252&gt;=c_TMAP2IN,c_TMAP3IN&gt;c_TMAP2IN),"Seg3 map2-map3",IF(AND(K252&gt;=c_TMAP1IN,c_TMAP2IN&gt;c_TMAP1IN),"Seg2 map1-map2","Seg1 TFWD-map1"))),IF(AND(K252=0,c_TCREEP&gt;0),"Creep",IF(AND(K252&lt;=c_TRNGMIN,K252&gt;=c_TRNGMAX,c_TRNGMIN-c_TRNGMAX&lt;&gt;0),"Regen ramp","Coast (0)")))</f>
        <v>Seg4 map3-100%</v>
      </c>
      <c r="R252" s="7" t="n">
        <f aca="false">IF(K252&gt;=c_TFWD,IF(AND(K252&gt;=c_TMAP3IN,c_TMAP3IN&lt;1000),P252,IF(AND(K252&gt;=c_TMAP2IN,c_TMAP3IN&gt;c_TMAP2IN),O252,IF(AND(K252&gt;=c_TMAP1IN,c_TMAP2IN&gt;c_TMAP1IN),N252,M252))),L252)</f>
        <v>578</v>
      </c>
      <c r="S252" s="7" t="str">
        <f aca="false">IF(R252&lt;-1090,"TOO LOW",IF(R252&gt;1090,"TOO HIGH",""))</f>
        <v/>
      </c>
      <c r="T252" s="15" t="n">
        <f aca="false">IF(H252&lt;&gt;"OK",0,IF(S252&lt;&gt;"",0,IF(R252&gt;979,1000,R252)))</f>
        <v>578</v>
      </c>
      <c r="U252" s="7" t="n">
        <f aca="false">T252/10</f>
        <v>57.8</v>
      </c>
    </row>
    <row r="253" customFormat="false" ht="15" hidden="false" customHeight="false" outlineLevel="0" collapsed="false">
      <c r="A253" s="7" t="n">
        <v>248</v>
      </c>
      <c r="B253" s="7" t="n">
        <f aca="false">ROUND(o_SWSTART+A253*(o_SWEND-o_SWSTART)/400,0)</f>
        <v>2539</v>
      </c>
      <c r="C253" s="7" t="n">
        <f aca="false">QUOTIENT((B253-c_OFF1)*c_GAIN1,1024)</f>
        <v>2539</v>
      </c>
      <c r="D253" s="7" t="n">
        <f aca="false">IF(((c_T1MX)-(c_T1MN))=0,(0)+QUOTIENT(((1000)-(0)),2),QUOTIENT((((C253)-(c_T1MN))*((1000)-(0))+IF(((1000)-(0))&gt;=0,1,-1)*QUOTIENT(((c_T1MX)-(c_T1MN)),2)),((c_T1MX)-(c_T1MN)))+(0)+IF(((1000)-(0))&gt;=0,IF(IF(o_WRAP=1,MOD(((c_T1MX)-(c_T1MN))*(((C253)-(c_T1MN))*((1000)-(0))+IF(((1000)-(0))&gt;=0,1,-1)*QUOTIENT(((c_T1MX)-(c_T1MN)),2))+2147483648,4294967296)-2147483648,((c_T1MX)-(c_T1MN))*(((C253)-(c_T1MN))*((1000)-(0))+IF(((1000)-(0))&gt;=0,1,-1)*QUOTIENT(((c_T1MX)-(c_T1MN)),2)))&lt;0,-1,0),IF(IF(o_WRAP=1,MOD(((c_T1MX)-(c_T1MN))*(((C253)-(c_T1MN))*((1000)-(0))+IF(((1000)-(0))&gt;=0,1,-1)*QUOTIENT(((c_T1MX)-(c_T1MN)),2))+2147483648,4294967296)-2147483648,((c_T1MX)-(c_T1MN))*(((C253)-(c_T1MN))*((1000)-(0))+IF(((1000)-(0))&gt;=0,1,-1)*QUOTIENT(((c_T1MX)-(c_T1MN)),2)))&gt;=0,1,0)))</f>
        <v>660</v>
      </c>
      <c r="E253" s="7" t="n">
        <f aca="false">IF(AND(c_TPOT=1,c_TTYPE=2),1000-D253,D253)</f>
        <v>660</v>
      </c>
      <c r="F253" s="7" t="str">
        <f aca="false">IF(c_TPOT&gt;1,ROUND(IF(c_TTYPE=2,c_T2MX-IF(c_T1MX=c_T1MN,0,(C253-c_T1MN)/(c_T1MX-c_T1MN))*(c_T2MX-c_T2MN),c_T2MN+IF(c_T1MX=c_T1MN,0,(C253-c_T1MN)/(c_T1MX-c_T1MN))*(c_T2MX-c_T2MN))+o_MISMATCH,0),"")</f>
        <v/>
      </c>
      <c r="G253" s="7" t="str">
        <f aca="false">IF(c_TPOT&gt;1,IF(((c_T2MX)-(c_T2MN))=0,(0)+QUOTIENT(((1000)-(0)),2),QUOTIENT((((F253)-(c_T2MN))*((1000)-(0))+IF(((1000)-(0))&gt;=0,1,-1)*QUOTIENT(((c_T2MX)-(c_T2MN)),2)),((c_T2MX)-(c_T2MN)))+(0)+IF(((1000)-(0))&gt;=0,IF(IF(o_WRAP=1,MOD(((c_T2MX)-(c_T2MN))*(((F253)-(c_T2MN))*((1000)-(0))+IF(((1000)-(0))&gt;=0,1,-1)*QUOTIENT(((c_T2MX)-(c_T2MN)),2))+2147483648,4294967296)-2147483648,((c_T2MX)-(c_T2MN))*(((F253)-(c_T2MN))*((1000)-(0))+IF(((1000)-(0))&gt;=0,1,-1)*QUOTIENT(((c_T2MX)-(c_T2MN)),2)))&lt;0,-1,0),IF(IF(o_WRAP=1,MOD(((c_T2MX)-(c_T2MN))*(((F253)-(c_T2MN))*((1000)-(0))+IF(((1000)-(0))&gt;=0,1,-1)*QUOTIENT(((c_T2MX)-(c_T2MN)),2))+2147483648,4294967296)-2147483648,((c_T2MX)-(c_T2MN))*(((F253)-(c_T2MN))*((1000)-(0))+IF(((1000)-(0))&gt;=0,1,-1)*QUOTIENT(((c_T2MX)-(c_T2MN)),2)))&gt;=0,1,0))),"")</f>
        <v/>
      </c>
      <c r="H253" s="7" t="str">
        <f aca="false">IF(E253&gt;1000+k_TOL,"T1 HIGH",IF(E253&lt;0-k_TOL,"T1 LOW",IF(c_TPOT&gt;1,IF(G253&gt;1000+k_TOL,"T2 HIGH",IF(G253&lt;0-k_TOL,"T2 LOW",IF(c_TTYPE=2,IF(ABS(1000-MAX(0,MIN(1000,E253))-MAX(0,MIN(1000,G253)))&gt;k_MAXERR,"MISMATCH","OK"),IF(OR(MAX(0,MIN(1000,E253))-k_MAXERR&gt;MAX(0,MIN(1000,G253)),MAX(0,MIN(1000,G253))-k_MAXERR&gt;MAX(0,MIN(1000,E253))),"MISMATCH","OK")))),"OK")))</f>
        <v>OK</v>
      </c>
      <c r="I253" s="7" t="n">
        <f aca="false">MAX(0,MIN(1000,D253))</f>
        <v>660</v>
      </c>
      <c r="J253" s="7" t="str">
        <f aca="false">IF(c_TPOT&gt;1,IF(c_TTYPE=2,1000-MAX(0,MIN(1000,G253)),MAX(0,MIN(1000,G253))),"")</f>
        <v/>
      </c>
      <c r="K253" s="7" t="n">
        <f aca="false">IF(c_TPOT&gt;1,QUOTIENT(I253+J253,2),I253)</f>
        <v>660</v>
      </c>
      <c r="L253" s="7" t="n">
        <f aca="false">IF(AND(K253=0,c_TCREEP&gt;0),10*c_TCREEP,IF(AND(K253&lt;=c_TRNGMIN,K253&gt;=c_TRNGMAX,c_TRNGMIN-c_TRNGMAX&lt;&gt;0),-10*c_TMINRN+QUOTIENT((c_TMAXRN-c_TMINRN)*(100-QUOTIENT((K253-c_TRNGMAX)*100,c_TRNGMIN-c_TRNGMAX)),-10),0))</f>
        <v>0</v>
      </c>
      <c r="M253" s="7" t="n">
        <f aca="false">IF(((c_TMAP1IN)-(c_TFWD))=0,(0)+QUOTIENT(((c_TMAP1OUT)-(0)),2),QUOTIENT((((K253)-(c_TFWD))*((c_TMAP1OUT)-(0))+IF(((c_TMAP1OUT)-(0))&gt;=0,1,-1)*QUOTIENT(((c_TMAP1IN)-(c_TFWD)),2)),((c_TMAP1IN)-(c_TFWD)))+(0)+IF(((c_TMAP1OUT)-(0))&gt;=0,IF(IF(o_WRAP=1,MOD(((c_TMAP1IN)-(c_TFWD))*(((K253)-(c_TFWD))*((c_TMAP1OUT)-(0))+IF(((c_TMAP1OUT)-(0))&gt;=0,1,-1)*QUOTIENT(((c_TMAP1IN)-(c_TFWD)),2))+2147483648,4294967296)-2147483648,((c_TMAP1IN)-(c_TFWD))*(((K253)-(c_TFWD))*((c_TMAP1OUT)-(0))+IF(((c_TMAP1OUT)-(0))&gt;=0,1,-1)*QUOTIENT(((c_TMAP1IN)-(c_TFWD)),2)))&lt;0,-1,0),IF(IF(o_WRAP=1,MOD(((c_TMAP1IN)-(c_TFWD))*(((K253)-(c_TFWD))*((c_TMAP1OUT)-(0))+IF(((c_TMAP1OUT)-(0))&gt;=0,1,-1)*QUOTIENT(((c_TMAP1IN)-(c_TFWD)),2))+2147483648,4294967296)-2147483648,((c_TMAP1IN)-(c_TFWD))*(((K253)-(c_TFWD))*((c_TMAP1OUT)-(0))+IF(((c_TMAP1OUT)-(0))&gt;=0,1,-1)*QUOTIENT(((c_TMAP1IN)-(c_TFWD)),2)))&gt;=0,1,0)))</f>
        <v>506</v>
      </c>
      <c r="N253" s="7" t="n">
        <f aca="false">IF(((c_TMAP2IN)-(c_TMAP1IN))=0,(c_TMAP1OUT)+QUOTIENT(((c_TMAP2OUT)-(c_TMAP1OUT)),2),QUOTIENT((((K253)-(c_TMAP1IN))*((c_TMAP2OUT)-(c_TMAP1OUT))+IF(((c_TMAP2OUT)-(c_TMAP1OUT))&gt;=0,1,-1)*QUOTIENT(((c_TMAP2IN)-(c_TMAP1IN)),2)),((c_TMAP2IN)-(c_TMAP1IN)))+(c_TMAP1OUT)+IF(((c_TMAP2OUT)-(c_TMAP1OUT))&gt;=0,IF(IF(o_WRAP=1,MOD(((c_TMAP2IN)-(c_TMAP1IN))*(((K253)-(c_TMAP1IN))*((c_TMAP2OUT)-(c_TMAP1OUT))+IF(((c_TMAP2OUT)-(c_TMAP1OUT))&gt;=0,1,-1)*QUOTIENT(((c_TMAP2IN)-(c_TMAP1IN)),2))+2147483648,4294967296)-2147483648,((c_TMAP2IN)-(c_TMAP1IN))*(((K253)-(c_TMAP1IN))*((c_TMAP2OUT)-(c_TMAP1OUT))+IF(((c_TMAP2OUT)-(c_TMAP1OUT))&gt;=0,1,-1)*QUOTIENT(((c_TMAP2IN)-(c_TMAP1IN)),2)))&lt;0,-1,0),IF(IF(o_WRAP=1,MOD(((c_TMAP2IN)-(c_TMAP1IN))*(((K253)-(c_TMAP1IN))*((c_TMAP2OUT)-(c_TMAP1OUT))+IF(((c_TMAP2OUT)-(c_TMAP1OUT))&gt;=0,1,-1)*QUOTIENT(((c_TMAP2IN)-(c_TMAP1IN)),2))+2147483648,4294967296)-2147483648,((c_TMAP2IN)-(c_TMAP1IN))*(((K253)-(c_TMAP1IN))*((c_TMAP2OUT)-(c_TMAP1OUT))+IF(((c_TMAP2OUT)-(c_TMAP1OUT))&gt;=0,1,-1)*QUOTIENT(((c_TMAP2IN)-(c_TMAP1IN)),2)))&gt;=0,1,0)))</f>
        <v>294</v>
      </c>
      <c r="O253" s="7" t="n">
        <f aca="false">IF(((c_TMAP3IN)-(c_TMAP2IN))=0,(c_TMAP2OUT)+QUOTIENT(((c_TMAP3OUT)-(c_TMAP2OUT)),2),QUOTIENT((((K253)-(c_TMAP2IN))*((c_TMAP3OUT)-(c_TMAP2OUT))+IF(((c_TMAP3OUT)-(c_TMAP2OUT))&gt;=0,1,-1)*QUOTIENT(((c_TMAP3IN)-(c_TMAP2IN)),2)),((c_TMAP3IN)-(c_TMAP2IN)))+(c_TMAP2OUT)+IF(((c_TMAP3OUT)-(c_TMAP2OUT))&gt;=0,IF(IF(o_WRAP=1,MOD(((c_TMAP3IN)-(c_TMAP2IN))*(((K253)-(c_TMAP2IN))*((c_TMAP3OUT)-(c_TMAP2OUT))+IF(((c_TMAP3OUT)-(c_TMAP2OUT))&gt;=0,1,-1)*QUOTIENT(((c_TMAP3IN)-(c_TMAP2IN)),2))+2147483648,4294967296)-2147483648,((c_TMAP3IN)-(c_TMAP2IN))*(((K253)-(c_TMAP2IN))*((c_TMAP3OUT)-(c_TMAP2OUT))+IF(((c_TMAP3OUT)-(c_TMAP2OUT))&gt;=0,1,-1)*QUOTIENT(((c_TMAP3IN)-(c_TMAP2IN)),2)))&lt;0,-1,0),IF(IF(o_WRAP=1,MOD(((c_TMAP3IN)-(c_TMAP2IN))*(((K253)-(c_TMAP2IN))*((c_TMAP3OUT)-(c_TMAP2OUT))+IF(((c_TMAP3OUT)-(c_TMAP2OUT))&gt;=0,1,-1)*QUOTIENT(((c_TMAP3IN)-(c_TMAP2IN)),2))+2147483648,4294967296)-2147483648,((c_TMAP3IN)-(c_TMAP2IN))*(((K253)-(c_TMAP2IN))*((c_TMAP3OUT)-(c_TMAP2OUT))+IF(((c_TMAP3OUT)-(c_TMAP2OUT))&gt;=0,1,-1)*QUOTIENT(((c_TMAP3IN)-(c_TMAP2IN)),2)))&gt;=0,1,0)))</f>
        <v>417</v>
      </c>
      <c r="P253" s="7" t="n">
        <f aca="false">IF(((1000)-(c_TMAP3IN))=0,(c_TMAP3OUT)+QUOTIENT(((1000)-(c_TMAP3OUT)),2),QUOTIENT((((K253)-(c_TMAP3IN))*((1000)-(c_TMAP3OUT))+IF(((1000)-(c_TMAP3OUT))&gt;=0,1,-1)*QUOTIENT(((1000)-(c_TMAP3IN)),2)),((1000)-(c_TMAP3IN)))+(c_TMAP3OUT)+IF(((1000)-(c_TMAP3OUT))&gt;=0,IF(IF(o_WRAP=1,MOD(((1000)-(c_TMAP3IN))*(((K253)-(c_TMAP3IN))*((1000)-(c_TMAP3OUT))+IF(((1000)-(c_TMAP3OUT))&gt;=0,1,-1)*QUOTIENT(((1000)-(c_TMAP3IN)),2))+2147483648,4294967296)-2147483648,((1000)-(c_TMAP3IN))*(((K253)-(c_TMAP3IN))*((1000)-(c_TMAP3OUT))+IF(((1000)-(c_TMAP3OUT))&gt;=0,1,-1)*QUOTIENT(((1000)-(c_TMAP3IN)),2)))&lt;0,-1,0),IF(IF(o_WRAP=1,MOD(((1000)-(c_TMAP3IN))*(((K253)-(c_TMAP3IN))*((1000)-(c_TMAP3OUT))+IF(((1000)-(c_TMAP3OUT))&gt;=0,1,-1)*QUOTIENT(((1000)-(c_TMAP3IN)),2))+2147483648,4294967296)-2147483648,((1000)-(c_TMAP3IN))*(((K253)-(c_TMAP3IN))*((1000)-(c_TMAP3OUT))+IF(((1000)-(c_TMAP3OUT))&gt;=0,1,-1)*QUOTIENT(((1000)-(c_TMAP3IN)),2)))&gt;=0,1,0)))</f>
        <v>582</v>
      </c>
      <c r="Q253" s="7" t="str">
        <f aca="false">IF(K253&gt;=c_TFWD,IF(AND(K253&gt;=c_TMAP3IN,c_TMAP3IN&lt;1000),"Seg4 map3-100%",IF(AND(K253&gt;=c_TMAP2IN,c_TMAP3IN&gt;c_TMAP2IN),"Seg3 map2-map3",IF(AND(K253&gt;=c_TMAP1IN,c_TMAP2IN&gt;c_TMAP1IN),"Seg2 map1-map2","Seg1 TFWD-map1"))),IF(AND(K253=0,c_TCREEP&gt;0),"Creep",IF(AND(K253&lt;=c_TRNGMIN,K253&gt;=c_TRNGMAX,c_TRNGMIN-c_TRNGMAX&lt;&gt;0),"Regen ramp","Coast (0)")))</f>
        <v>Seg4 map3-100%</v>
      </c>
      <c r="R253" s="7" t="n">
        <f aca="false">IF(K253&gt;=c_TFWD,IF(AND(K253&gt;=c_TMAP3IN,c_TMAP3IN&lt;1000),P253,IF(AND(K253&gt;=c_TMAP2IN,c_TMAP3IN&gt;c_TMAP2IN),O253,IF(AND(K253&gt;=c_TMAP1IN,c_TMAP2IN&gt;c_TMAP1IN),N253,M253))),L253)</f>
        <v>582</v>
      </c>
      <c r="S253" s="7" t="str">
        <f aca="false">IF(R253&lt;-1090,"TOO LOW",IF(R253&gt;1090,"TOO HIGH",""))</f>
        <v/>
      </c>
      <c r="T253" s="15" t="n">
        <f aca="false">IF(H253&lt;&gt;"OK",0,IF(S253&lt;&gt;"",0,IF(R253&gt;979,1000,R253)))</f>
        <v>582</v>
      </c>
      <c r="U253" s="7" t="n">
        <f aca="false">T253/10</f>
        <v>58.2</v>
      </c>
    </row>
    <row r="254" customFormat="false" ht="15" hidden="false" customHeight="false" outlineLevel="0" collapsed="false">
      <c r="A254" s="7" t="n">
        <v>249</v>
      </c>
      <c r="B254" s="7" t="n">
        <f aca="false">ROUND(o_SWSTART+A254*(o_SWEND-o_SWSTART)/400,0)</f>
        <v>2549</v>
      </c>
      <c r="C254" s="7" t="n">
        <f aca="false">QUOTIENT((B254-c_OFF1)*c_GAIN1,1024)</f>
        <v>2549</v>
      </c>
      <c r="D254" s="7" t="n">
        <f aca="false">IF(((c_T1MX)-(c_T1MN))=0,(0)+QUOTIENT(((1000)-(0)),2),QUOTIENT((((C254)-(c_T1MN))*((1000)-(0))+IF(((1000)-(0))&gt;=0,1,-1)*QUOTIENT(((c_T1MX)-(c_T1MN)),2)),((c_T1MX)-(c_T1MN)))+(0)+IF(((1000)-(0))&gt;=0,IF(IF(o_WRAP=1,MOD(((c_T1MX)-(c_T1MN))*(((C254)-(c_T1MN))*((1000)-(0))+IF(((1000)-(0))&gt;=0,1,-1)*QUOTIENT(((c_T1MX)-(c_T1MN)),2))+2147483648,4294967296)-2147483648,((c_T1MX)-(c_T1MN))*(((C254)-(c_T1MN))*((1000)-(0))+IF(((1000)-(0))&gt;=0,1,-1)*QUOTIENT(((c_T1MX)-(c_T1MN)),2)))&lt;0,-1,0),IF(IF(o_WRAP=1,MOD(((c_T1MX)-(c_T1MN))*(((C254)-(c_T1MN))*((1000)-(0))+IF(((1000)-(0))&gt;=0,1,-1)*QUOTIENT(((c_T1MX)-(c_T1MN)),2))+2147483648,4294967296)-2147483648,((c_T1MX)-(c_T1MN))*(((C254)-(c_T1MN))*((1000)-(0))+IF(((1000)-(0))&gt;=0,1,-1)*QUOTIENT(((c_T1MX)-(c_T1MN)),2)))&gt;=0,1,0)))</f>
        <v>664</v>
      </c>
      <c r="E254" s="7" t="n">
        <f aca="false">IF(AND(c_TPOT=1,c_TTYPE=2),1000-D254,D254)</f>
        <v>664</v>
      </c>
      <c r="F254" s="7" t="str">
        <f aca="false">IF(c_TPOT&gt;1,ROUND(IF(c_TTYPE=2,c_T2MX-IF(c_T1MX=c_T1MN,0,(C254-c_T1MN)/(c_T1MX-c_T1MN))*(c_T2MX-c_T2MN),c_T2MN+IF(c_T1MX=c_T1MN,0,(C254-c_T1MN)/(c_T1MX-c_T1MN))*(c_T2MX-c_T2MN))+o_MISMATCH,0),"")</f>
        <v/>
      </c>
      <c r="G254" s="7" t="str">
        <f aca="false">IF(c_TPOT&gt;1,IF(((c_T2MX)-(c_T2MN))=0,(0)+QUOTIENT(((1000)-(0)),2),QUOTIENT((((F254)-(c_T2MN))*((1000)-(0))+IF(((1000)-(0))&gt;=0,1,-1)*QUOTIENT(((c_T2MX)-(c_T2MN)),2)),((c_T2MX)-(c_T2MN)))+(0)+IF(((1000)-(0))&gt;=0,IF(IF(o_WRAP=1,MOD(((c_T2MX)-(c_T2MN))*(((F254)-(c_T2MN))*((1000)-(0))+IF(((1000)-(0))&gt;=0,1,-1)*QUOTIENT(((c_T2MX)-(c_T2MN)),2))+2147483648,4294967296)-2147483648,((c_T2MX)-(c_T2MN))*(((F254)-(c_T2MN))*((1000)-(0))+IF(((1000)-(0))&gt;=0,1,-1)*QUOTIENT(((c_T2MX)-(c_T2MN)),2)))&lt;0,-1,0),IF(IF(o_WRAP=1,MOD(((c_T2MX)-(c_T2MN))*(((F254)-(c_T2MN))*((1000)-(0))+IF(((1000)-(0))&gt;=0,1,-1)*QUOTIENT(((c_T2MX)-(c_T2MN)),2))+2147483648,4294967296)-2147483648,((c_T2MX)-(c_T2MN))*(((F254)-(c_T2MN))*((1000)-(0))+IF(((1000)-(0))&gt;=0,1,-1)*QUOTIENT(((c_T2MX)-(c_T2MN)),2)))&gt;=0,1,0))),"")</f>
        <v/>
      </c>
      <c r="H254" s="7" t="str">
        <f aca="false">IF(E254&gt;1000+k_TOL,"T1 HIGH",IF(E254&lt;0-k_TOL,"T1 LOW",IF(c_TPOT&gt;1,IF(G254&gt;1000+k_TOL,"T2 HIGH",IF(G254&lt;0-k_TOL,"T2 LOW",IF(c_TTYPE=2,IF(ABS(1000-MAX(0,MIN(1000,E254))-MAX(0,MIN(1000,G254)))&gt;k_MAXERR,"MISMATCH","OK"),IF(OR(MAX(0,MIN(1000,E254))-k_MAXERR&gt;MAX(0,MIN(1000,G254)),MAX(0,MIN(1000,G254))-k_MAXERR&gt;MAX(0,MIN(1000,E254))),"MISMATCH","OK")))),"OK")))</f>
        <v>OK</v>
      </c>
      <c r="I254" s="7" t="n">
        <f aca="false">MAX(0,MIN(1000,D254))</f>
        <v>664</v>
      </c>
      <c r="J254" s="7" t="str">
        <f aca="false">IF(c_TPOT&gt;1,IF(c_TTYPE=2,1000-MAX(0,MIN(1000,G254)),MAX(0,MIN(1000,G254))),"")</f>
        <v/>
      </c>
      <c r="K254" s="7" t="n">
        <f aca="false">IF(c_TPOT&gt;1,QUOTIENT(I254+J254,2),I254)</f>
        <v>664</v>
      </c>
      <c r="L254" s="7" t="n">
        <f aca="false">IF(AND(K254=0,c_TCREEP&gt;0),10*c_TCREEP,IF(AND(K254&lt;=c_TRNGMIN,K254&gt;=c_TRNGMAX,c_TRNGMIN-c_TRNGMAX&lt;&gt;0),-10*c_TMINRN+QUOTIENT((c_TMAXRN-c_TMINRN)*(100-QUOTIENT((K254-c_TRNGMAX)*100,c_TRNGMIN-c_TRNGMAX)),-10),0))</f>
        <v>0</v>
      </c>
      <c r="M254" s="7" t="n">
        <f aca="false">IF(((c_TMAP1IN)-(c_TFWD))=0,(0)+QUOTIENT(((c_TMAP1OUT)-(0)),2),QUOTIENT((((K254)-(c_TFWD))*((c_TMAP1OUT)-(0))+IF(((c_TMAP1OUT)-(0))&gt;=0,1,-1)*QUOTIENT(((c_TMAP1IN)-(c_TFWD)),2)),((c_TMAP1IN)-(c_TFWD)))+(0)+IF(((c_TMAP1OUT)-(0))&gt;=0,IF(IF(o_WRAP=1,MOD(((c_TMAP1IN)-(c_TFWD))*(((K254)-(c_TFWD))*((c_TMAP1OUT)-(0))+IF(((c_TMAP1OUT)-(0))&gt;=0,1,-1)*QUOTIENT(((c_TMAP1IN)-(c_TFWD)),2))+2147483648,4294967296)-2147483648,((c_TMAP1IN)-(c_TFWD))*(((K254)-(c_TFWD))*((c_TMAP1OUT)-(0))+IF(((c_TMAP1OUT)-(0))&gt;=0,1,-1)*QUOTIENT(((c_TMAP1IN)-(c_TFWD)),2)))&lt;0,-1,0),IF(IF(o_WRAP=1,MOD(((c_TMAP1IN)-(c_TFWD))*(((K254)-(c_TFWD))*((c_TMAP1OUT)-(0))+IF(((c_TMAP1OUT)-(0))&gt;=0,1,-1)*QUOTIENT(((c_TMAP1IN)-(c_TFWD)),2))+2147483648,4294967296)-2147483648,((c_TMAP1IN)-(c_TFWD))*(((K254)-(c_TFWD))*((c_TMAP1OUT)-(0))+IF(((c_TMAP1OUT)-(0))&gt;=0,1,-1)*QUOTIENT(((c_TMAP1IN)-(c_TFWD)),2)))&gt;=0,1,0)))</f>
        <v>509</v>
      </c>
      <c r="N254" s="7" t="n">
        <f aca="false">IF(((c_TMAP2IN)-(c_TMAP1IN))=0,(c_TMAP1OUT)+QUOTIENT(((c_TMAP2OUT)-(c_TMAP1OUT)),2),QUOTIENT((((K254)-(c_TMAP1IN))*((c_TMAP2OUT)-(c_TMAP1OUT))+IF(((c_TMAP2OUT)-(c_TMAP1OUT))&gt;=0,1,-1)*QUOTIENT(((c_TMAP2IN)-(c_TMAP1IN)),2)),((c_TMAP2IN)-(c_TMAP1IN)))+(c_TMAP1OUT)+IF(((c_TMAP2OUT)-(c_TMAP1OUT))&gt;=0,IF(IF(o_WRAP=1,MOD(((c_TMAP2IN)-(c_TMAP1IN))*(((K254)-(c_TMAP1IN))*((c_TMAP2OUT)-(c_TMAP1OUT))+IF(((c_TMAP2OUT)-(c_TMAP1OUT))&gt;=0,1,-1)*QUOTIENT(((c_TMAP2IN)-(c_TMAP1IN)),2))+2147483648,4294967296)-2147483648,((c_TMAP2IN)-(c_TMAP1IN))*(((K254)-(c_TMAP1IN))*((c_TMAP2OUT)-(c_TMAP1OUT))+IF(((c_TMAP2OUT)-(c_TMAP1OUT))&gt;=0,1,-1)*QUOTIENT(((c_TMAP2IN)-(c_TMAP1IN)),2)))&lt;0,-1,0),IF(IF(o_WRAP=1,MOD(((c_TMAP2IN)-(c_TMAP1IN))*(((K254)-(c_TMAP1IN))*((c_TMAP2OUT)-(c_TMAP1OUT))+IF(((c_TMAP2OUT)-(c_TMAP1OUT))&gt;=0,1,-1)*QUOTIENT(((c_TMAP2IN)-(c_TMAP1IN)),2))+2147483648,4294967296)-2147483648,((c_TMAP2IN)-(c_TMAP1IN))*(((K254)-(c_TMAP1IN))*((c_TMAP2OUT)-(c_TMAP1OUT))+IF(((c_TMAP2OUT)-(c_TMAP1OUT))&gt;=0,1,-1)*QUOTIENT(((c_TMAP2IN)-(c_TMAP1IN)),2)))&gt;=0,1,0)))</f>
        <v>296</v>
      </c>
      <c r="O254" s="7" t="n">
        <f aca="false">IF(((c_TMAP3IN)-(c_TMAP2IN))=0,(c_TMAP2OUT)+QUOTIENT(((c_TMAP3OUT)-(c_TMAP2OUT)),2),QUOTIENT((((K254)-(c_TMAP2IN))*((c_TMAP3OUT)-(c_TMAP2OUT))+IF(((c_TMAP3OUT)-(c_TMAP2OUT))&gt;=0,1,-1)*QUOTIENT(((c_TMAP3IN)-(c_TMAP2IN)),2)),((c_TMAP3IN)-(c_TMAP2IN)))+(c_TMAP2OUT)+IF(((c_TMAP3OUT)-(c_TMAP2OUT))&gt;=0,IF(IF(o_WRAP=1,MOD(((c_TMAP3IN)-(c_TMAP2IN))*(((K254)-(c_TMAP2IN))*((c_TMAP3OUT)-(c_TMAP2OUT))+IF(((c_TMAP3OUT)-(c_TMAP2OUT))&gt;=0,1,-1)*QUOTIENT(((c_TMAP3IN)-(c_TMAP2IN)),2))+2147483648,4294967296)-2147483648,((c_TMAP3IN)-(c_TMAP2IN))*(((K254)-(c_TMAP2IN))*((c_TMAP3OUT)-(c_TMAP2OUT))+IF(((c_TMAP3OUT)-(c_TMAP2OUT))&gt;=0,1,-1)*QUOTIENT(((c_TMAP3IN)-(c_TMAP2IN)),2)))&lt;0,-1,0),IF(IF(o_WRAP=1,MOD(((c_TMAP3IN)-(c_TMAP2IN))*(((K254)-(c_TMAP2IN))*((c_TMAP3OUT)-(c_TMAP2OUT))+IF(((c_TMAP3OUT)-(c_TMAP2OUT))&gt;=0,1,-1)*QUOTIENT(((c_TMAP3IN)-(c_TMAP2IN)),2))+2147483648,4294967296)-2147483648,((c_TMAP3IN)-(c_TMAP2IN))*(((K254)-(c_TMAP2IN))*((c_TMAP3OUT)-(c_TMAP2OUT))+IF(((c_TMAP3OUT)-(c_TMAP2OUT))&gt;=0,1,-1)*QUOTIENT(((c_TMAP3IN)-(c_TMAP2IN)),2)))&gt;=0,1,0)))</f>
        <v>420</v>
      </c>
      <c r="P254" s="7" t="n">
        <f aca="false">IF(((1000)-(c_TMAP3IN))=0,(c_TMAP3OUT)+QUOTIENT(((1000)-(c_TMAP3OUT)),2),QUOTIENT((((K254)-(c_TMAP3IN))*((1000)-(c_TMAP3OUT))+IF(((1000)-(c_TMAP3OUT))&gt;=0,1,-1)*QUOTIENT(((1000)-(c_TMAP3IN)),2)),((1000)-(c_TMAP3IN)))+(c_TMAP3OUT)+IF(((1000)-(c_TMAP3OUT))&gt;=0,IF(IF(o_WRAP=1,MOD(((1000)-(c_TMAP3IN))*(((K254)-(c_TMAP3IN))*((1000)-(c_TMAP3OUT))+IF(((1000)-(c_TMAP3OUT))&gt;=0,1,-1)*QUOTIENT(((1000)-(c_TMAP3IN)),2))+2147483648,4294967296)-2147483648,((1000)-(c_TMAP3IN))*(((K254)-(c_TMAP3IN))*((1000)-(c_TMAP3OUT))+IF(((1000)-(c_TMAP3OUT))&gt;=0,1,-1)*QUOTIENT(((1000)-(c_TMAP3IN)),2)))&lt;0,-1,0),IF(IF(o_WRAP=1,MOD(((1000)-(c_TMAP3IN))*(((K254)-(c_TMAP3IN))*((1000)-(c_TMAP3OUT))+IF(((1000)-(c_TMAP3OUT))&gt;=0,1,-1)*QUOTIENT(((1000)-(c_TMAP3IN)),2))+2147483648,4294967296)-2147483648,((1000)-(c_TMAP3IN))*(((K254)-(c_TMAP3IN))*((1000)-(c_TMAP3OUT))+IF(((1000)-(c_TMAP3OUT))&gt;=0,1,-1)*QUOTIENT(((1000)-(c_TMAP3IN)),2)))&gt;=0,1,0)))</f>
        <v>586</v>
      </c>
      <c r="Q254" s="7" t="str">
        <f aca="false">IF(K254&gt;=c_TFWD,IF(AND(K254&gt;=c_TMAP3IN,c_TMAP3IN&lt;1000),"Seg4 map3-100%",IF(AND(K254&gt;=c_TMAP2IN,c_TMAP3IN&gt;c_TMAP2IN),"Seg3 map2-map3",IF(AND(K254&gt;=c_TMAP1IN,c_TMAP2IN&gt;c_TMAP1IN),"Seg2 map1-map2","Seg1 TFWD-map1"))),IF(AND(K254=0,c_TCREEP&gt;0),"Creep",IF(AND(K254&lt;=c_TRNGMIN,K254&gt;=c_TRNGMAX,c_TRNGMIN-c_TRNGMAX&lt;&gt;0),"Regen ramp","Coast (0)")))</f>
        <v>Seg4 map3-100%</v>
      </c>
      <c r="R254" s="7" t="n">
        <f aca="false">IF(K254&gt;=c_TFWD,IF(AND(K254&gt;=c_TMAP3IN,c_TMAP3IN&lt;1000),P254,IF(AND(K254&gt;=c_TMAP2IN,c_TMAP3IN&gt;c_TMAP2IN),O254,IF(AND(K254&gt;=c_TMAP1IN,c_TMAP2IN&gt;c_TMAP1IN),N254,M254))),L254)</f>
        <v>586</v>
      </c>
      <c r="S254" s="7" t="str">
        <f aca="false">IF(R254&lt;-1090,"TOO LOW",IF(R254&gt;1090,"TOO HIGH",""))</f>
        <v/>
      </c>
      <c r="T254" s="15" t="n">
        <f aca="false">IF(H254&lt;&gt;"OK",0,IF(S254&lt;&gt;"",0,IF(R254&gt;979,1000,R254)))</f>
        <v>586</v>
      </c>
      <c r="U254" s="7" t="n">
        <f aca="false">T254/10</f>
        <v>58.6</v>
      </c>
    </row>
    <row r="255" customFormat="false" ht="15" hidden="false" customHeight="false" outlineLevel="0" collapsed="false">
      <c r="A255" s="7" t="n">
        <v>250</v>
      </c>
      <c r="B255" s="7" t="n">
        <f aca="false">ROUND(o_SWSTART+A255*(o_SWEND-o_SWSTART)/400,0)</f>
        <v>2559</v>
      </c>
      <c r="C255" s="7" t="n">
        <f aca="false">QUOTIENT((B255-c_OFF1)*c_GAIN1,1024)</f>
        <v>2559</v>
      </c>
      <c r="D255" s="7" t="n">
        <f aca="false">IF(((c_T1MX)-(c_T1MN))=0,(0)+QUOTIENT(((1000)-(0)),2),QUOTIENT((((C255)-(c_T1MN))*((1000)-(0))+IF(((1000)-(0))&gt;=0,1,-1)*QUOTIENT(((c_T1MX)-(c_T1MN)),2)),((c_T1MX)-(c_T1MN)))+(0)+IF(((1000)-(0))&gt;=0,IF(IF(o_WRAP=1,MOD(((c_T1MX)-(c_T1MN))*(((C255)-(c_T1MN))*((1000)-(0))+IF(((1000)-(0))&gt;=0,1,-1)*QUOTIENT(((c_T1MX)-(c_T1MN)),2))+2147483648,4294967296)-2147483648,((c_T1MX)-(c_T1MN))*(((C255)-(c_T1MN))*((1000)-(0))+IF(((1000)-(0))&gt;=0,1,-1)*QUOTIENT(((c_T1MX)-(c_T1MN)),2)))&lt;0,-1,0),IF(IF(o_WRAP=1,MOD(((c_T1MX)-(c_T1MN))*(((C255)-(c_T1MN))*((1000)-(0))+IF(((1000)-(0))&gt;=0,1,-1)*QUOTIENT(((c_T1MX)-(c_T1MN)),2))+2147483648,4294967296)-2147483648,((c_T1MX)-(c_T1MN))*(((C255)-(c_T1MN))*((1000)-(0))+IF(((1000)-(0))&gt;=0,1,-1)*QUOTIENT(((c_T1MX)-(c_T1MN)),2)))&gt;=0,1,0)))</f>
        <v>667</v>
      </c>
      <c r="E255" s="7" t="n">
        <f aca="false">IF(AND(c_TPOT=1,c_TTYPE=2),1000-D255,D255)</f>
        <v>667</v>
      </c>
      <c r="F255" s="7" t="str">
        <f aca="false">IF(c_TPOT&gt;1,ROUND(IF(c_TTYPE=2,c_T2MX-IF(c_T1MX=c_T1MN,0,(C255-c_T1MN)/(c_T1MX-c_T1MN))*(c_T2MX-c_T2MN),c_T2MN+IF(c_T1MX=c_T1MN,0,(C255-c_T1MN)/(c_T1MX-c_T1MN))*(c_T2MX-c_T2MN))+o_MISMATCH,0),"")</f>
        <v/>
      </c>
      <c r="G255" s="7" t="str">
        <f aca="false">IF(c_TPOT&gt;1,IF(((c_T2MX)-(c_T2MN))=0,(0)+QUOTIENT(((1000)-(0)),2),QUOTIENT((((F255)-(c_T2MN))*((1000)-(0))+IF(((1000)-(0))&gt;=0,1,-1)*QUOTIENT(((c_T2MX)-(c_T2MN)),2)),((c_T2MX)-(c_T2MN)))+(0)+IF(((1000)-(0))&gt;=0,IF(IF(o_WRAP=1,MOD(((c_T2MX)-(c_T2MN))*(((F255)-(c_T2MN))*((1000)-(0))+IF(((1000)-(0))&gt;=0,1,-1)*QUOTIENT(((c_T2MX)-(c_T2MN)),2))+2147483648,4294967296)-2147483648,((c_T2MX)-(c_T2MN))*(((F255)-(c_T2MN))*((1000)-(0))+IF(((1000)-(0))&gt;=0,1,-1)*QUOTIENT(((c_T2MX)-(c_T2MN)),2)))&lt;0,-1,0),IF(IF(o_WRAP=1,MOD(((c_T2MX)-(c_T2MN))*(((F255)-(c_T2MN))*((1000)-(0))+IF(((1000)-(0))&gt;=0,1,-1)*QUOTIENT(((c_T2MX)-(c_T2MN)),2))+2147483648,4294967296)-2147483648,((c_T2MX)-(c_T2MN))*(((F255)-(c_T2MN))*((1000)-(0))+IF(((1000)-(0))&gt;=0,1,-1)*QUOTIENT(((c_T2MX)-(c_T2MN)),2)))&gt;=0,1,0))),"")</f>
        <v/>
      </c>
      <c r="H255" s="7" t="str">
        <f aca="false">IF(E255&gt;1000+k_TOL,"T1 HIGH",IF(E255&lt;0-k_TOL,"T1 LOW",IF(c_TPOT&gt;1,IF(G255&gt;1000+k_TOL,"T2 HIGH",IF(G255&lt;0-k_TOL,"T2 LOW",IF(c_TTYPE=2,IF(ABS(1000-MAX(0,MIN(1000,E255))-MAX(0,MIN(1000,G255)))&gt;k_MAXERR,"MISMATCH","OK"),IF(OR(MAX(0,MIN(1000,E255))-k_MAXERR&gt;MAX(0,MIN(1000,G255)),MAX(0,MIN(1000,G255))-k_MAXERR&gt;MAX(0,MIN(1000,E255))),"MISMATCH","OK")))),"OK")))</f>
        <v>OK</v>
      </c>
      <c r="I255" s="7" t="n">
        <f aca="false">MAX(0,MIN(1000,D255))</f>
        <v>667</v>
      </c>
      <c r="J255" s="7" t="str">
        <f aca="false">IF(c_TPOT&gt;1,IF(c_TTYPE=2,1000-MAX(0,MIN(1000,G255)),MAX(0,MIN(1000,G255))),"")</f>
        <v/>
      </c>
      <c r="K255" s="7" t="n">
        <f aca="false">IF(c_TPOT&gt;1,QUOTIENT(I255+J255,2),I255)</f>
        <v>667</v>
      </c>
      <c r="L255" s="7" t="n">
        <f aca="false">IF(AND(K255=0,c_TCREEP&gt;0),10*c_TCREEP,IF(AND(K255&lt;=c_TRNGMIN,K255&gt;=c_TRNGMAX,c_TRNGMIN-c_TRNGMAX&lt;&gt;0),-10*c_TMINRN+QUOTIENT((c_TMAXRN-c_TMINRN)*(100-QUOTIENT((K255-c_TRNGMAX)*100,c_TRNGMIN-c_TRNGMAX)),-10),0))</f>
        <v>0</v>
      </c>
      <c r="M255" s="7" t="n">
        <f aca="false">IF(((c_TMAP1IN)-(c_TFWD))=0,(0)+QUOTIENT(((c_TMAP1OUT)-(0)),2),QUOTIENT((((K255)-(c_TFWD))*((c_TMAP1OUT)-(0))+IF(((c_TMAP1OUT)-(0))&gt;=0,1,-1)*QUOTIENT(((c_TMAP1IN)-(c_TFWD)),2)),((c_TMAP1IN)-(c_TFWD)))+(0)+IF(((c_TMAP1OUT)-(0))&gt;=0,IF(IF(o_WRAP=1,MOD(((c_TMAP1IN)-(c_TFWD))*(((K255)-(c_TFWD))*((c_TMAP1OUT)-(0))+IF(((c_TMAP1OUT)-(0))&gt;=0,1,-1)*QUOTIENT(((c_TMAP1IN)-(c_TFWD)),2))+2147483648,4294967296)-2147483648,((c_TMAP1IN)-(c_TFWD))*(((K255)-(c_TFWD))*((c_TMAP1OUT)-(0))+IF(((c_TMAP1OUT)-(0))&gt;=0,1,-1)*QUOTIENT(((c_TMAP1IN)-(c_TFWD)),2)))&lt;0,-1,0),IF(IF(o_WRAP=1,MOD(((c_TMAP1IN)-(c_TFWD))*(((K255)-(c_TFWD))*((c_TMAP1OUT)-(0))+IF(((c_TMAP1OUT)-(0))&gt;=0,1,-1)*QUOTIENT(((c_TMAP1IN)-(c_TFWD)),2))+2147483648,4294967296)-2147483648,((c_TMAP1IN)-(c_TFWD))*(((K255)-(c_TFWD))*((c_TMAP1OUT)-(0))+IF(((c_TMAP1OUT)-(0))&gt;=0,1,-1)*QUOTIENT(((c_TMAP1IN)-(c_TFWD)),2)))&gt;=0,1,0)))</f>
        <v>511</v>
      </c>
      <c r="N255" s="7" t="n">
        <f aca="false">IF(((c_TMAP2IN)-(c_TMAP1IN))=0,(c_TMAP1OUT)+QUOTIENT(((c_TMAP2OUT)-(c_TMAP1OUT)),2),QUOTIENT((((K255)-(c_TMAP1IN))*((c_TMAP2OUT)-(c_TMAP1OUT))+IF(((c_TMAP2OUT)-(c_TMAP1OUT))&gt;=0,1,-1)*QUOTIENT(((c_TMAP2IN)-(c_TMAP1IN)),2)),((c_TMAP2IN)-(c_TMAP1IN)))+(c_TMAP1OUT)+IF(((c_TMAP2OUT)-(c_TMAP1OUT))&gt;=0,IF(IF(o_WRAP=1,MOD(((c_TMAP2IN)-(c_TMAP1IN))*(((K255)-(c_TMAP1IN))*((c_TMAP2OUT)-(c_TMAP1OUT))+IF(((c_TMAP2OUT)-(c_TMAP1OUT))&gt;=0,1,-1)*QUOTIENT(((c_TMAP2IN)-(c_TMAP1IN)),2))+2147483648,4294967296)-2147483648,((c_TMAP2IN)-(c_TMAP1IN))*(((K255)-(c_TMAP1IN))*((c_TMAP2OUT)-(c_TMAP1OUT))+IF(((c_TMAP2OUT)-(c_TMAP1OUT))&gt;=0,1,-1)*QUOTIENT(((c_TMAP2IN)-(c_TMAP1IN)),2)))&lt;0,-1,0),IF(IF(o_WRAP=1,MOD(((c_TMAP2IN)-(c_TMAP1IN))*(((K255)-(c_TMAP1IN))*((c_TMAP2OUT)-(c_TMAP1OUT))+IF(((c_TMAP2OUT)-(c_TMAP1OUT))&gt;=0,1,-1)*QUOTIENT(((c_TMAP2IN)-(c_TMAP1IN)),2))+2147483648,4294967296)-2147483648,((c_TMAP2IN)-(c_TMAP1IN))*(((K255)-(c_TMAP1IN))*((c_TMAP2OUT)-(c_TMAP1OUT))+IF(((c_TMAP2OUT)-(c_TMAP1OUT))&gt;=0,1,-1)*QUOTIENT(((c_TMAP2IN)-(c_TMAP1IN)),2)))&gt;=0,1,0)))</f>
        <v>297</v>
      </c>
      <c r="O255" s="7" t="n">
        <f aca="false">IF(((c_TMAP3IN)-(c_TMAP2IN))=0,(c_TMAP2OUT)+QUOTIENT(((c_TMAP3OUT)-(c_TMAP2OUT)),2),QUOTIENT((((K255)-(c_TMAP2IN))*((c_TMAP3OUT)-(c_TMAP2OUT))+IF(((c_TMAP3OUT)-(c_TMAP2OUT))&gt;=0,1,-1)*QUOTIENT(((c_TMAP3IN)-(c_TMAP2IN)),2)),((c_TMAP3IN)-(c_TMAP2IN)))+(c_TMAP2OUT)+IF(((c_TMAP3OUT)-(c_TMAP2OUT))&gt;=0,IF(IF(o_WRAP=1,MOD(((c_TMAP3IN)-(c_TMAP2IN))*(((K255)-(c_TMAP2IN))*((c_TMAP3OUT)-(c_TMAP2OUT))+IF(((c_TMAP3OUT)-(c_TMAP2OUT))&gt;=0,1,-1)*QUOTIENT(((c_TMAP3IN)-(c_TMAP2IN)),2))+2147483648,4294967296)-2147483648,((c_TMAP3IN)-(c_TMAP2IN))*(((K255)-(c_TMAP2IN))*((c_TMAP3OUT)-(c_TMAP2OUT))+IF(((c_TMAP3OUT)-(c_TMAP2OUT))&gt;=0,1,-1)*QUOTIENT(((c_TMAP3IN)-(c_TMAP2IN)),2)))&lt;0,-1,0),IF(IF(o_WRAP=1,MOD(((c_TMAP3IN)-(c_TMAP2IN))*(((K255)-(c_TMAP2IN))*((c_TMAP3OUT)-(c_TMAP2OUT))+IF(((c_TMAP3OUT)-(c_TMAP2OUT))&gt;=0,1,-1)*QUOTIENT(((c_TMAP3IN)-(c_TMAP2IN)),2))+2147483648,4294967296)-2147483648,((c_TMAP3IN)-(c_TMAP2IN))*(((K255)-(c_TMAP2IN))*((c_TMAP3OUT)-(c_TMAP2OUT))+IF(((c_TMAP3OUT)-(c_TMAP2OUT))&gt;=0,1,-1)*QUOTIENT(((c_TMAP3IN)-(c_TMAP2IN)),2)))&gt;=0,1,0)))</f>
        <v>422</v>
      </c>
      <c r="P255" s="7" t="n">
        <f aca="false">IF(((1000)-(c_TMAP3IN))=0,(c_TMAP3OUT)+QUOTIENT(((1000)-(c_TMAP3OUT)),2),QUOTIENT((((K255)-(c_TMAP3IN))*((1000)-(c_TMAP3OUT))+IF(((1000)-(c_TMAP3OUT))&gt;=0,1,-1)*QUOTIENT(((1000)-(c_TMAP3IN)),2)),((1000)-(c_TMAP3IN)))+(c_TMAP3OUT)+IF(((1000)-(c_TMAP3OUT))&gt;=0,IF(IF(o_WRAP=1,MOD(((1000)-(c_TMAP3IN))*(((K255)-(c_TMAP3IN))*((1000)-(c_TMAP3OUT))+IF(((1000)-(c_TMAP3OUT))&gt;=0,1,-1)*QUOTIENT(((1000)-(c_TMAP3IN)),2))+2147483648,4294967296)-2147483648,((1000)-(c_TMAP3IN))*(((K255)-(c_TMAP3IN))*((1000)-(c_TMAP3OUT))+IF(((1000)-(c_TMAP3OUT))&gt;=0,1,-1)*QUOTIENT(((1000)-(c_TMAP3IN)),2)))&lt;0,-1,0),IF(IF(o_WRAP=1,MOD(((1000)-(c_TMAP3IN))*(((K255)-(c_TMAP3IN))*((1000)-(c_TMAP3OUT))+IF(((1000)-(c_TMAP3OUT))&gt;=0,1,-1)*QUOTIENT(((1000)-(c_TMAP3IN)),2))+2147483648,4294967296)-2147483648,((1000)-(c_TMAP3IN))*(((K255)-(c_TMAP3IN))*((1000)-(c_TMAP3OUT))+IF(((1000)-(c_TMAP3OUT))&gt;=0,1,-1)*QUOTIENT(((1000)-(c_TMAP3IN)),2)))&gt;=0,1,0)))</f>
        <v>590</v>
      </c>
      <c r="Q255" s="7" t="str">
        <f aca="false">IF(K255&gt;=c_TFWD,IF(AND(K255&gt;=c_TMAP3IN,c_TMAP3IN&lt;1000),"Seg4 map3-100%",IF(AND(K255&gt;=c_TMAP2IN,c_TMAP3IN&gt;c_TMAP2IN),"Seg3 map2-map3",IF(AND(K255&gt;=c_TMAP1IN,c_TMAP2IN&gt;c_TMAP1IN),"Seg2 map1-map2","Seg1 TFWD-map1"))),IF(AND(K255=0,c_TCREEP&gt;0),"Creep",IF(AND(K255&lt;=c_TRNGMIN,K255&gt;=c_TRNGMAX,c_TRNGMIN-c_TRNGMAX&lt;&gt;0),"Regen ramp","Coast (0)")))</f>
        <v>Seg4 map3-100%</v>
      </c>
      <c r="R255" s="7" t="n">
        <f aca="false">IF(K255&gt;=c_TFWD,IF(AND(K255&gt;=c_TMAP3IN,c_TMAP3IN&lt;1000),P255,IF(AND(K255&gt;=c_TMAP2IN,c_TMAP3IN&gt;c_TMAP2IN),O255,IF(AND(K255&gt;=c_TMAP1IN,c_TMAP2IN&gt;c_TMAP1IN),N255,M255))),L255)</f>
        <v>590</v>
      </c>
      <c r="S255" s="7" t="str">
        <f aca="false">IF(R255&lt;-1090,"TOO LOW",IF(R255&gt;1090,"TOO HIGH",""))</f>
        <v/>
      </c>
      <c r="T255" s="15" t="n">
        <f aca="false">IF(H255&lt;&gt;"OK",0,IF(S255&lt;&gt;"",0,IF(R255&gt;979,1000,R255)))</f>
        <v>590</v>
      </c>
      <c r="U255" s="7" t="n">
        <f aca="false">T255/10</f>
        <v>59</v>
      </c>
    </row>
    <row r="256" customFormat="false" ht="15" hidden="false" customHeight="false" outlineLevel="0" collapsed="false">
      <c r="A256" s="7" t="n">
        <v>251</v>
      </c>
      <c r="B256" s="7" t="n">
        <f aca="false">ROUND(o_SWSTART+A256*(o_SWEND-o_SWSTART)/400,0)</f>
        <v>2570</v>
      </c>
      <c r="C256" s="7" t="n">
        <f aca="false">QUOTIENT((B256-c_OFF1)*c_GAIN1,1024)</f>
        <v>2570</v>
      </c>
      <c r="D256" s="7" t="n">
        <f aca="false">IF(((c_T1MX)-(c_T1MN))=0,(0)+QUOTIENT(((1000)-(0)),2),QUOTIENT((((C256)-(c_T1MN))*((1000)-(0))+IF(((1000)-(0))&gt;=0,1,-1)*QUOTIENT(((c_T1MX)-(c_T1MN)),2)),((c_T1MX)-(c_T1MN)))+(0)+IF(((1000)-(0))&gt;=0,IF(IF(o_WRAP=1,MOD(((c_T1MX)-(c_T1MN))*(((C256)-(c_T1MN))*((1000)-(0))+IF(((1000)-(0))&gt;=0,1,-1)*QUOTIENT(((c_T1MX)-(c_T1MN)),2))+2147483648,4294967296)-2147483648,((c_T1MX)-(c_T1MN))*(((C256)-(c_T1MN))*((1000)-(0))+IF(((1000)-(0))&gt;=0,1,-1)*QUOTIENT(((c_T1MX)-(c_T1MN)),2)))&lt;0,-1,0),IF(IF(o_WRAP=1,MOD(((c_T1MX)-(c_T1MN))*(((C256)-(c_T1MN))*((1000)-(0))+IF(((1000)-(0))&gt;=0,1,-1)*QUOTIENT(((c_T1MX)-(c_T1MN)),2))+2147483648,4294967296)-2147483648,((c_T1MX)-(c_T1MN))*(((C256)-(c_T1MN))*((1000)-(0))+IF(((1000)-(0))&gt;=0,1,-1)*QUOTIENT(((c_T1MX)-(c_T1MN)),2)))&gt;=0,1,0)))</f>
        <v>671</v>
      </c>
      <c r="E256" s="7" t="n">
        <f aca="false">IF(AND(c_TPOT=1,c_TTYPE=2),1000-D256,D256)</f>
        <v>671</v>
      </c>
      <c r="F256" s="7" t="str">
        <f aca="false">IF(c_TPOT&gt;1,ROUND(IF(c_TTYPE=2,c_T2MX-IF(c_T1MX=c_T1MN,0,(C256-c_T1MN)/(c_T1MX-c_T1MN))*(c_T2MX-c_T2MN),c_T2MN+IF(c_T1MX=c_T1MN,0,(C256-c_T1MN)/(c_T1MX-c_T1MN))*(c_T2MX-c_T2MN))+o_MISMATCH,0),"")</f>
        <v/>
      </c>
      <c r="G256" s="7" t="str">
        <f aca="false">IF(c_TPOT&gt;1,IF(((c_T2MX)-(c_T2MN))=0,(0)+QUOTIENT(((1000)-(0)),2),QUOTIENT((((F256)-(c_T2MN))*((1000)-(0))+IF(((1000)-(0))&gt;=0,1,-1)*QUOTIENT(((c_T2MX)-(c_T2MN)),2)),((c_T2MX)-(c_T2MN)))+(0)+IF(((1000)-(0))&gt;=0,IF(IF(o_WRAP=1,MOD(((c_T2MX)-(c_T2MN))*(((F256)-(c_T2MN))*((1000)-(0))+IF(((1000)-(0))&gt;=0,1,-1)*QUOTIENT(((c_T2MX)-(c_T2MN)),2))+2147483648,4294967296)-2147483648,((c_T2MX)-(c_T2MN))*(((F256)-(c_T2MN))*((1000)-(0))+IF(((1000)-(0))&gt;=0,1,-1)*QUOTIENT(((c_T2MX)-(c_T2MN)),2)))&lt;0,-1,0),IF(IF(o_WRAP=1,MOD(((c_T2MX)-(c_T2MN))*(((F256)-(c_T2MN))*((1000)-(0))+IF(((1000)-(0))&gt;=0,1,-1)*QUOTIENT(((c_T2MX)-(c_T2MN)),2))+2147483648,4294967296)-2147483648,((c_T2MX)-(c_T2MN))*(((F256)-(c_T2MN))*((1000)-(0))+IF(((1000)-(0))&gt;=0,1,-1)*QUOTIENT(((c_T2MX)-(c_T2MN)),2)))&gt;=0,1,0))),"")</f>
        <v/>
      </c>
      <c r="H256" s="7" t="str">
        <f aca="false">IF(E256&gt;1000+k_TOL,"T1 HIGH",IF(E256&lt;0-k_TOL,"T1 LOW",IF(c_TPOT&gt;1,IF(G256&gt;1000+k_TOL,"T2 HIGH",IF(G256&lt;0-k_TOL,"T2 LOW",IF(c_TTYPE=2,IF(ABS(1000-MAX(0,MIN(1000,E256))-MAX(0,MIN(1000,G256)))&gt;k_MAXERR,"MISMATCH","OK"),IF(OR(MAX(0,MIN(1000,E256))-k_MAXERR&gt;MAX(0,MIN(1000,G256)),MAX(0,MIN(1000,G256))-k_MAXERR&gt;MAX(0,MIN(1000,E256))),"MISMATCH","OK")))),"OK")))</f>
        <v>OK</v>
      </c>
      <c r="I256" s="7" t="n">
        <f aca="false">MAX(0,MIN(1000,D256))</f>
        <v>671</v>
      </c>
      <c r="J256" s="7" t="str">
        <f aca="false">IF(c_TPOT&gt;1,IF(c_TTYPE=2,1000-MAX(0,MIN(1000,G256)),MAX(0,MIN(1000,G256))),"")</f>
        <v/>
      </c>
      <c r="K256" s="7" t="n">
        <f aca="false">IF(c_TPOT&gt;1,QUOTIENT(I256+J256,2),I256)</f>
        <v>671</v>
      </c>
      <c r="L256" s="7" t="n">
        <f aca="false">IF(AND(K256=0,c_TCREEP&gt;0),10*c_TCREEP,IF(AND(K256&lt;=c_TRNGMIN,K256&gt;=c_TRNGMAX,c_TRNGMIN-c_TRNGMAX&lt;&gt;0),-10*c_TMINRN+QUOTIENT((c_TMAXRN-c_TMINRN)*(100-QUOTIENT((K256-c_TRNGMAX)*100,c_TRNGMIN-c_TRNGMAX)),-10),0))</f>
        <v>0</v>
      </c>
      <c r="M256" s="7" t="n">
        <f aca="false">IF(((c_TMAP1IN)-(c_TFWD))=0,(0)+QUOTIENT(((c_TMAP1OUT)-(0)),2),QUOTIENT((((K256)-(c_TFWD))*((c_TMAP1OUT)-(0))+IF(((c_TMAP1OUT)-(0))&gt;=0,1,-1)*QUOTIENT(((c_TMAP1IN)-(c_TFWD)),2)),((c_TMAP1IN)-(c_TFWD)))+(0)+IF(((c_TMAP1OUT)-(0))&gt;=0,IF(IF(o_WRAP=1,MOD(((c_TMAP1IN)-(c_TFWD))*(((K256)-(c_TFWD))*((c_TMAP1OUT)-(0))+IF(((c_TMAP1OUT)-(0))&gt;=0,1,-1)*QUOTIENT(((c_TMAP1IN)-(c_TFWD)),2))+2147483648,4294967296)-2147483648,((c_TMAP1IN)-(c_TFWD))*(((K256)-(c_TFWD))*((c_TMAP1OUT)-(0))+IF(((c_TMAP1OUT)-(0))&gt;=0,1,-1)*QUOTIENT(((c_TMAP1IN)-(c_TFWD)),2)))&lt;0,-1,0),IF(IF(o_WRAP=1,MOD(((c_TMAP1IN)-(c_TFWD))*(((K256)-(c_TFWD))*((c_TMAP1OUT)-(0))+IF(((c_TMAP1OUT)-(0))&gt;=0,1,-1)*QUOTIENT(((c_TMAP1IN)-(c_TFWD)),2))+2147483648,4294967296)-2147483648,((c_TMAP1IN)-(c_TFWD))*(((K256)-(c_TFWD))*((c_TMAP1OUT)-(0))+IF(((c_TMAP1OUT)-(0))&gt;=0,1,-1)*QUOTIENT(((c_TMAP1IN)-(c_TFWD)),2)))&gt;=0,1,0)))</f>
        <v>514</v>
      </c>
      <c r="N256" s="7" t="n">
        <f aca="false">IF(((c_TMAP2IN)-(c_TMAP1IN))=0,(c_TMAP1OUT)+QUOTIENT(((c_TMAP2OUT)-(c_TMAP1OUT)),2),QUOTIENT((((K256)-(c_TMAP1IN))*((c_TMAP2OUT)-(c_TMAP1OUT))+IF(((c_TMAP2OUT)-(c_TMAP1OUT))&gt;=0,1,-1)*QUOTIENT(((c_TMAP2IN)-(c_TMAP1IN)),2)),((c_TMAP2IN)-(c_TMAP1IN)))+(c_TMAP1OUT)+IF(((c_TMAP2OUT)-(c_TMAP1OUT))&gt;=0,IF(IF(o_WRAP=1,MOD(((c_TMAP2IN)-(c_TMAP1IN))*(((K256)-(c_TMAP1IN))*((c_TMAP2OUT)-(c_TMAP1OUT))+IF(((c_TMAP2OUT)-(c_TMAP1OUT))&gt;=0,1,-1)*QUOTIENT(((c_TMAP2IN)-(c_TMAP1IN)),2))+2147483648,4294967296)-2147483648,((c_TMAP2IN)-(c_TMAP1IN))*(((K256)-(c_TMAP1IN))*((c_TMAP2OUT)-(c_TMAP1OUT))+IF(((c_TMAP2OUT)-(c_TMAP1OUT))&gt;=0,1,-1)*QUOTIENT(((c_TMAP2IN)-(c_TMAP1IN)),2)))&lt;0,-1,0),IF(IF(o_WRAP=1,MOD(((c_TMAP2IN)-(c_TMAP1IN))*(((K256)-(c_TMAP1IN))*((c_TMAP2OUT)-(c_TMAP1OUT))+IF(((c_TMAP2OUT)-(c_TMAP1OUT))&gt;=0,1,-1)*QUOTIENT(((c_TMAP2IN)-(c_TMAP1IN)),2))+2147483648,4294967296)-2147483648,((c_TMAP2IN)-(c_TMAP1IN))*(((K256)-(c_TMAP1IN))*((c_TMAP2OUT)-(c_TMAP1OUT))+IF(((c_TMAP2OUT)-(c_TMAP1OUT))&gt;=0,1,-1)*QUOTIENT(((c_TMAP2IN)-(c_TMAP1IN)),2)))&gt;=0,1,0)))</f>
        <v>298</v>
      </c>
      <c r="O256" s="7" t="n">
        <f aca="false">IF(((c_TMAP3IN)-(c_TMAP2IN))=0,(c_TMAP2OUT)+QUOTIENT(((c_TMAP3OUT)-(c_TMAP2OUT)),2),QUOTIENT((((K256)-(c_TMAP2IN))*((c_TMAP3OUT)-(c_TMAP2OUT))+IF(((c_TMAP3OUT)-(c_TMAP2OUT))&gt;=0,1,-1)*QUOTIENT(((c_TMAP3IN)-(c_TMAP2IN)),2)),((c_TMAP3IN)-(c_TMAP2IN)))+(c_TMAP2OUT)+IF(((c_TMAP3OUT)-(c_TMAP2OUT))&gt;=0,IF(IF(o_WRAP=1,MOD(((c_TMAP3IN)-(c_TMAP2IN))*(((K256)-(c_TMAP2IN))*((c_TMAP3OUT)-(c_TMAP2OUT))+IF(((c_TMAP3OUT)-(c_TMAP2OUT))&gt;=0,1,-1)*QUOTIENT(((c_TMAP3IN)-(c_TMAP2IN)),2))+2147483648,4294967296)-2147483648,((c_TMAP3IN)-(c_TMAP2IN))*(((K256)-(c_TMAP2IN))*((c_TMAP3OUT)-(c_TMAP2OUT))+IF(((c_TMAP3OUT)-(c_TMAP2OUT))&gt;=0,1,-1)*QUOTIENT(((c_TMAP3IN)-(c_TMAP2IN)),2)))&lt;0,-1,0),IF(IF(o_WRAP=1,MOD(((c_TMAP3IN)-(c_TMAP2IN))*(((K256)-(c_TMAP2IN))*((c_TMAP3OUT)-(c_TMAP2OUT))+IF(((c_TMAP3OUT)-(c_TMAP2OUT))&gt;=0,1,-1)*QUOTIENT(((c_TMAP3IN)-(c_TMAP2IN)),2))+2147483648,4294967296)-2147483648,((c_TMAP3IN)-(c_TMAP2IN))*(((K256)-(c_TMAP2IN))*((c_TMAP3OUT)-(c_TMAP2OUT))+IF(((c_TMAP3OUT)-(c_TMAP2OUT))&gt;=0,1,-1)*QUOTIENT(((c_TMAP3IN)-(c_TMAP2IN)),2)))&gt;=0,1,0)))</f>
        <v>425</v>
      </c>
      <c r="P256" s="7" t="n">
        <f aca="false">IF(((1000)-(c_TMAP3IN))=0,(c_TMAP3OUT)+QUOTIENT(((1000)-(c_TMAP3OUT)),2),QUOTIENT((((K256)-(c_TMAP3IN))*((1000)-(c_TMAP3OUT))+IF(((1000)-(c_TMAP3OUT))&gt;=0,1,-1)*QUOTIENT(((1000)-(c_TMAP3IN)),2)),((1000)-(c_TMAP3IN)))+(c_TMAP3OUT)+IF(((1000)-(c_TMAP3OUT))&gt;=0,IF(IF(o_WRAP=1,MOD(((1000)-(c_TMAP3IN))*(((K256)-(c_TMAP3IN))*((1000)-(c_TMAP3OUT))+IF(((1000)-(c_TMAP3OUT))&gt;=0,1,-1)*QUOTIENT(((1000)-(c_TMAP3IN)),2))+2147483648,4294967296)-2147483648,((1000)-(c_TMAP3IN))*(((K256)-(c_TMAP3IN))*((1000)-(c_TMAP3OUT))+IF(((1000)-(c_TMAP3OUT))&gt;=0,1,-1)*QUOTIENT(((1000)-(c_TMAP3IN)),2)))&lt;0,-1,0),IF(IF(o_WRAP=1,MOD(((1000)-(c_TMAP3IN))*(((K256)-(c_TMAP3IN))*((1000)-(c_TMAP3OUT))+IF(((1000)-(c_TMAP3OUT))&gt;=0,1,-1)*QUOTIENT(((1000)-(c_TMAP3IN)),2))+2147483648,4294967296)-2147483648,((1000)-(c_TMAP3IN))*(((K256)-(c_TMAP3IN))*((1000)-(c_TMAP3OUT))+IF(((1000)-(c_TMAP3OUT))&gt;=0,1,-1)*QUOTIENT(((1000)-(c_TMAP3IN)),2)))&gt;=0,1,0)))</f>
        <v>595</v>
      </c>
      <c r="Q256" s="7" t="str">
        <f aca="false">IF(K256&gt;=c_TFWD,IF(AND(K256&gt;=c_TMAP3IN,c_TMAP3IN&lt;1000),"Seg4 map3-100%",IF(AND(K256&gt;=c_TMAP2IN,c_TMAP3IN&gt;c_TMAP2IN),"Seg3 map2-map3",IF(AND(K256&gt;=c_TMAP1IN,c_TMAP2IN&gt;c_TMAP1IN),"Seg2 map1-map2","Seg1 TFWD-map1"))),IF(AND(K256=0,c_TCREEP&gt;0),"Creep",IF(AND(K256&lt;=c_TRNGMIN,K256&gt;=c_TRNGMAX,c_TRNGMIN-c_TRNGMAX&lt;&gt;0),"Regen ramp","Coast (0)")))</f>
        <v>Seg4 map3-100%</v>
      </c>
      <c r="R256" s="7" t="n">
        <f aca="false">IF(K256&gt;=c_TFWD,IF(AND(K256&gt;=c_TMAP3IN,c_TMAP3IN&lt;1000),P256,IF(AND(K256&gt;=c_TMAP2IN,c_TMAP3IN&gt;c_TMAP2IN),O256,IF(AND(K256&gt;=c_TMAP1IN,c_TMAP2IN&gt;c_TMAP1IN),N256,M256))),L256)</f>
        <v>595</v>
      </c>
      <c r="S256" s="7" t="str">
        <f aca="false">IF(R256&lt;-1090,"TOO LOW",IF(R256&gt;1090,"TOO HIGH",""))</f>
        <v/>
      </c>
      <c r="T256" s="15" t="n">
        <f aca="false">IF(H256&lt;&gt;"OK",0,IF(S256&lt;&gt;"",0,IF(R256&gt;979,1000,R256)))</f>
        <v>595</v>
      </c>
      <c r="U256" s="7" t="n">
        <f aca="false">T256/10</f>
        <v>59.5</v>
      </c>
    </row>
    <row r="257" customFormat="false" ht="15" hidden="false" customHeight="false" outlineLevel="0" collapsed="false">
      <c r="A257" s="7" t="n">
        <v>252</v>
      </c>
      <c r="B257" s="7" t="n">
        <f aca="false">ROUND(o_SWSTART+A257*(o_SWEND-o_SWSTART)/400,0)</f>
        <v>2580</v>
      </c>
      <c r="C257" s="7" t="n">
        <f aca="false">QUOTIENT((B257-c_OFF1)*c_GAIN1,1024)</f>
        <v>2580</v>
      </c>
      <c r="D257" s="7" t="n">
        <f aca="false">IF(((c_T1MX)-(c_T1MN))=0,(0)+QUOTIENT(((1000)-(0)),2),QUOTIENT((((C257)-(c_T1MN))*((1000)-(0))+IF(((1000)-(0))&gt;=0,1,-1)*QUOTIENT(((c_T1MX)-(c_T1MN)),2)),((c_T1MX)-(c_T1MN)))+(0)+IF(((1000)-(0))&gt;=0,IF(IF(o_WRAP=1,MOD(((c_T1MX)-(c_T1MN))*(((C257)-(c_T1MN))*((1000)-(0))+IF(((1000)-(0))&gt;=0,1,-1)*QUOTIENT(((c_T1MX)-(c_T1MN)),2))+2147483648,4294967296)-2147483648,((c_T1MX)-(c_T1MN))*(((C257)-(c_T1MN))*((1000)-(0))+IF(((1000)-(0))&gt;=0,1,-1)*QUOTIENT(((c_T1MX)-(c_T1MN)),2)))&lt;0,-1,0),IF(IF(o_WRAP=1,MOD(((c_T1MX)-(c_T1MN))*(((C257)-(c_T1MN))*((1000)-(0))+IF(((1000)-(0))&gt;=0,1,-1)*QUOTIENT(((c_T1MX)-(c_T1MN)),2))+2147483648,4294967296)-2147483648,((c_T1MX)-(c_T1MN))*(((C257)-(c_T1MN))*((1000)-(0))+IF(((1000)-(0))&gt;=0,1,-1)*QUOTIENT(((c_T1MX)-(c_T1MN)),2)))&gt;=0,1,0)))</f>
        <v>675</v>
      </c>
      <c r="E257" s="7" t="n">
        <f aca="false">IF(AND(c_TPOT=1,c_TTYPE=2),1000-D257,D257)</f>
        <v>675</v>
      </c>
      <c r="F257" s="7" t="str">
        <f aca="false">IF(c_TPOT&gt;1,ROUND(IF(c_TTYPE=2,c_T2MX-IF(c_T1MX=c_T1MN,0,(C257-c_T1MN)/(c_T1MX-c_T1MN))*(c_T2MX-c_T2MN),c_T2MN+IF(c_T1MX=c_T1MN,0,(C257-c_T1MN)/(c_T1MX-c_T1MN))*(c_T2MX-c_T2MN))+o_MISMATCH,0),"")</f>
        <v/>
      </c>
      <c r="G257" s="7" t="str">
        <f aca="false">IF(c_TPOT&gt;1,IF(((c_T2MX)-(c_T2MN))=0,(0)+QUOTIENT(((1000)-(0)),2),QUOTIENT((((F257)-(c_T2MN))*((1000)-(0))+IF(((1000)-(0))&gt;=0,1,-1)*QUOTIENT(((c_T2MX)-(c_T2MN)),2)),((c_T2MX)-(c_T2MN)))+(0)+IF(((1000)-(0))&gt;=0,IF(IF(o_WRAP=1,MOD(((c_T2MX)-(c_T2MN))*(((F257)-(c_T2MN))*((1000)-(0))+IF(((1000)-(0))&gt;=0,1,-1)*QUOTIENT(((c_T2MX)-(c_T2MN)),2))+2147483648,4294967296)-2147483648,((c_T2MX)-(c_T2MN))*(((F257)-(c_T2MN))*((1000)-(0))+IF(((1000)-(0))&gt;=0,1,-1)*QUOTIENT(((c_T2MX)-(c_T2MN)),2)))&lt;0,-1,0),IF(IF(o_WRAP=1,MOD(((c_T2MX)-(c_T2MN))*(((F257)-(c_T2MN))*((1000)-(0))+IF(((1000)-(0))&gt;=0,1,-1)*QUOTIENT(((c_T2MX)-(c_T2MN)),2))+2147483648,4294967296)-2147483648,((c_T2MX)-(c_T2MN))*(((F257)-(c_T2MN))*((1000)-(0))+IF(((1000)-(0))&gt;=0,1,-1)*QUOTIENT(((c_T2MX)-(c_T2MN)),2)))&gt;=0,1,0))),"")</f>
        <v/>
      </c>
      <c r="H257" s="7" t="str">
        <f aca="false">IF(E257&gt;1000+k_TOL,"T1 HIGH",IF(E257&lt;0-k_TOL,"T1 LOW",IF(c_TPOT&gt;1,IF(G257&gt;1000+k_TOL,"T2 HIGH",IF(G257&lt;0-k_TOL,"T2 LOW",IF(c_TTYPE=2,IF(ABS(1000-MAX(0,MIN(1000,E257))-MAX(0,MIN(1000,G257)))&gt;k_MAXERR,"MISMATCH","OK"),IF(OR(MAX(0,MIN(1000,E257))-k_MAXERR&gt;MAX(0,MIN(1000,G257)),MAX(0,MIN(1000,G257))-k_MAXERR&gt;MAX(0,MIN(1000,E257))),"MISMATCH","OK")))),"OK")))</f>
        <v>OK</v>
      </c>
      <c r="I257" s="7" t="n">
        <f aca="false">MAX(0,MIN(1000,D257))</f>
        <v>675</v>
      </c>
      <c r="J257" s="7" t="str">
        <f aca="false">IF(c_TPOT&gt;1,IF(c_TTYPE=2,1000-MAX(0,MIN(1000,G257)),MAX(0,MIN(1000,G257))),"")</f>
        <v/>
      </c>
      <c r="K257" s="7" t="n">
        <f aca="false">IF(c_TPOT&gt;1,QUOTIENT(I257+J257,2),I257)</f>
        <v>675</v>
      </c>
      <c r="L257" s="7" t="n">
        <f aca="false">IF(AND(K257=0,c_TCREEP&gt;0),10*c_TCREEP,IF(AND(K257&lt;=c_TRNGMIN,K257&gt;=c_TRNGMAX,c_TRNGMIN-c_TRNGMAX&lt;&gt;0),-10*c_TMINRN+QUOTIENT((c_TMAXRN-c_TMINRN)*(100-QUOTIENT((K257-c_TRNGMAX)*100,c_TRNGMIN-c_TRNGMAX)),-10),0))</f>
        <v>0</v>
      </c>
      <c r="M257" s="7" t="n">
        <f aca="false">IF(((c_TMAP1IN)-(c_TFWD))=0,(0)+QUOTIENT(((c_TMAP1OUT)-(0)),2),QUOTIENT((((K257)-(c_TFWD))*((c_TMAP1OUT)-(0))+IF(((c_TMAP1OUT)-(0))&gt;=0,1,-1)*QUOTIENT(((c_TMAP1IN)-(c_TFWD)),2)),((c_TMAP1IN)-(c_TFWD)))+(0)+IF(((c_TMAP1OUT)-(0))&gt;=0,IF(IF(o_WRAP=1,MOD(((c_TMAP1IN)-(c_TFWD))*(((K257)-(c_TFWD))*((c_TMAP1OUT)-(0))+IF(((c_TMAP1OUT)-(0))&gt;=0,1,-1)*QUOTIENT(((c_TMAP1IN)-(c_TFWD)),2))+2147483648,4294967296)-2147483648,((c_TMAP1IN)-(c_TFWD))*(((K257)-(c_TFWD))*((c_TMAP1OUT)-(0))+IF(((c_TMAP1OUT)-(0))&gt;=0,1,-1)*QUOTIENT(((c_TMAP1IN)-(c_TFWD)),2)))&lt;0,-1,0),IF(IF(o_WRAP=1,MOD(((c_TMAP1IN)-(c_TFWD))*(((K257)-(c_TFWD))*((c_TMAP1OUT)-(0))+IF(((c_TMAP1OUT)-(0))&gt;=0,1,-1)*QUOTIENT(((c_TMAP1IN)-(c_TFWD)),2))+2147483648,4294967296)-2147483648,((c_TMAP1IN)-(c_TFWD))*(((K257)-(c_TFWD))*((c_TMAP1OUT)-(0))+IF(((c_TMAP1OUT)-(0))&gt;=0,1,-1)*QUOTIENT(((c_TMAP1IN)-(c_TFWD)),2)))&gt;=0,1,0)))</f>
        <v>517</v>
      </c>
      <c r="N257" s="7" t="n">
        <f aca="false">IF(((c_TMAP2IN)-(c_TMAP1IN))=0,(c_TMAP1OUT)+QUOTIENT(((c_TMAP2OUT)-(c_TMAP1OUT)),2),QUOTIENT((((K257)-(c_TMAP1IN))*((c_TMAP2OUT)-(c_TMAP1OUT))+IF(((c_TMAP2OUT)-(c_TMAP1OUT))&gt;=0,1,-1)*QUOTIENT(((c_TMAP2IN)-(c_TMAP1IN)),2)),((c_TMAP2IN)-(c_TMAP1IN)))+(c_TMAP1OUT)+IF(((c_TMAP2OUT)-(c_TMAP1OUT))&gt;=0,IF(IF(o_WRAP=1,MOD(((c_TMAP2IN)-(c_TMAP1IN))*(((K257)-(c_TMAP1IN))*((c_TMAP2OUT)-(c_TMAP1OUT))+IF(((c_TMAP2OUT)-(c_TMAP1OUT))&gt;=0,1,-1)*QUOTIENT(((c_TMAP2IN)-(c_TMAP1IN)),2))+2147483648,4294967296)-2147483648,((c_TMAP2IN)-(c_TMAP1IN))*(((K257)-(c_TMAP1IN))*((c_TMAP2OUT)-(c_TMAP1OUT))+IF(((c_TMAP2OUT)-(c_TMAP1OUT))&gt;=0,1,-1)*QUOTIENT(((c_TMAP2IN)-(c_TMAP1IN)),2)))&lt;0,-1,0),IF(IF(o_WRAP=1,MOD(((c_TMAP2IN)-(c_TMAP1IN))*(((K257)-(c_TMAP1IN))*((c_TMAP2OUT)-(c_TMAP1OUT))+IF(((c_TMAP2OUT)-(c_TMAP1OUT))&gt;=0,1,-1)*QUOTIENT(((c_TMAP2IN)-(c_TMAP1IN)),2))+2147483648,4294967296)-2147483648,((c_TMAP2IN)-(c_TMAP1IN))*(((K257)-(c_TMAP1IN))*((c_TMAP2OUT)-(c_TMAP1OUT))+IF(((c_TMAP2OUT)-(c_TMAP1OUT))&gt;=0,1,-1)*QUOTIENT(((c_TMAP2IN)-(c_TMAP1IN)),2)))&gt;=0,1,0)))</f>
        <v>300</v>
      </c>
      <c r="O257" s="7" t="n">
        <f aca="false">IF(((c_TMAP3IN)-(c_TMAP2IN))=0,(c_TMAP2OUT)+QUOTIENT(((c_TMAP3OUT)-(c_TMAP2OUT)),2),QUOTIENT((((K257)-(c_TMAP2IN))*((c_TMAP3OUT)-(c_TMAP2OUT))+IF(((c_TMAP3OUT)-(c_TMAP2OUT))&gt;=0,1,-1)*QUOTIENT(((c_TMAP3IN)-(c_TMAP2IN)),2)),((c_TMAP3IN)-(c_TMAP2IN)))+(c_TMAP2OUT)+IF(((c_TMAP3OUT)-(c_TMAP2OUT))&gt;=0,IF(IF(o_WRAP=1,MOD(((c_TMAP3IN)-(c_TMAP2IN))*(((K257)-(c_TMAP2IN))*((c_TMAP3OUT)-(c_TMAP2OUT))+IF(((c_TMAP3OUT)-(c_TMAP2OUT))&gt;=0,1,-1)*QUOTIENT(((c_TMAP3IN)-(c_TMAP2IN)),2))+2147483648,4294967296)-2147483648,((c_TMAP3IN)-(c_TMAP2IN))*(((K257)-(c_TMAP2IN))*((c_TMAP3OUT)-(c_TMAP2OUT))+IF(((c_TMAP3OUT)-(c_TMAP2OUT))&gt;=0,1,-1)*QUOTIENT(((c_TMAP3IN)-(c_TMAP2IN)),2)))&lt;0,-1,0),IF(IF(o_WRAP=1,MOD(((c_TMAP3IN)-(c_TMAP2IN))*(((K257)-(c_TMAP2IN))*((c_TMAP3OUT)-(c_TMAP2OUT))+IF(((c_TMAP3OUT)-(c_TMAP2OUT))&gt;=0,1,-1)*QUOTIENT(((c_TMAP3IN)-(c_TMAP2IN)),2))+2147483648,4294967296)-2147483648,((c_TMAP3IN)-(c_TMAP2IN))*(((K257)-(c_TMAP2IN))*((c_TMAP3OUT)-(c_TMAP2OUT))+IF(((c_TMAP3OUT)-(c_TMAP2OUT))&gt;=0,1,-1)*QUOTIENT(((c_TMAP3IN)-(c_TMAP2IN)),2)))&gt;=0,1,0)))</f>
        <v>428</v>
      </c>
      <c r="P257" s="7" t="n">
        <f aca="false">IF(((1000)-(c_TMAP3IN))=0,(c_TMAP3OUT)+QUOTIENT(((1000)-(c_TMAP3OUT)),2),QUOTIENT((((K257)-(c_TMAP3IN))*((1000)-(c_TMAP3OUT))+IF(((1000)-(c_TMAP3OUT))&gt;=0,1,-1)*QUOTIENT(((1000)-(c_TMAP3IN)),2)),((1000)-(c_TMAP3IN)))+(c_TMAP3OUT)+IF(((1000)-(c_TMAP3OUT))&gt;=0,IF(IF(o_WRAP=1,MOD(((1000)-(c_TMAP3IN))*(((K257)-(c_TMAP3IN))*((1000)-(c_TMAP3OUT))+IF(((1000)-(c_TMAP3OUT))&gt;=0,1,-1)*QUOTIENT(((1000)-(c_TMAP3IN)),2))+2147483648,4294967296)-2147483648,((1000)-(c_TMAP3IN))*(((K257)-(c_TMAP3IN))*((1000)-(c_TMAP3OUT))+IF(((1000)-(c_TMAP3OUT))&gt;=0,1,-1)*QUOTIENT(((1000)-(c_TMAP3IN)),2)))&lt;0,-1,0),IF(IF(o_WRAP=1,MOD(((1000)-(c_TMAP3IN))*(((K257)-(c_TMAP3IN))*((1000)-(c_TMAP3OUT))+IF(((1000)-(c_TMAP3OUT))&gt;=0,1,-1)*QUOTIENT(((1000)-(c_TMAP3IN)),2))+2147483648,4294967296)-2147483648,((1000)-(c_TMAP3IN))*(((K257)-(c_TMAP3IN))*((1000)-(c_TMAP3OUT))+IF(((1000)-(c_TMAP3OUT))&gt;=0,1,-1)*QUOTIENT(((1000)-(c_TMAP3IN)),2)))&gt;=0,1,0)))</f>
        <v>600</v>
      </c>
      <c r="Q257" s="7" t="str">
        <f aca="false">IF(K257&gt;=c_TFWD,IF(AND(K257&gt;=c_TMAP3IN,c_TMAP3IN&lt;1000),"Seg4 map3-100%",IF(AND(K257&gt;=c_TMAP2IN,c_TMAP3IN&gt;c_TMAP2IN),"Seg3 map2-map3",IF(AND(K257&gt;=c_TMAP1IN,c_TMAP2IN&gt;c_TMAP1IN),"Seg2 map1-map2","Seg1 TFWD-map1"))),IF(AND(K257=0,c_TCREEP&gt;0),"Creep",IF(AND(K257&lt;=c_TRNGMIN,K257&gt;=c_TRNGMAX,c_TRNGMIN-c_TRNGMAX&lt;&gt;0),"Regen ramp","Coast (0)")))</f>
        <v>Seg4 map3-100%</v>
      </c>
      <c r="R257" s="7" t="n">
        <f aca="false">IF(K257&gt;=c_TFWD,IF(AND(K257&gt;=c_TMAP3IN,c_TMAP3IN&lt;1000),P257,IF(AND(K257&gt;=c_TMAP2IN,c_TMAP3IN&gt;c_TMAP2IN),O257,IF(AND(K257&gt;=c_TMAP1IN,c_TMAP2IN&gt;c_TMAP1IN),N257,M257))),L257)</f>
        <v>600</v>
      </c>
      <c r="S257" s="7" t="str">
        <f aca="false">IF(R257&lt;-1090,"TOO LOW",IF(R257&gt;1090,"TOO HIGH",""))</f>
        <v/>
      </c>
      <c r="T257" s="15" t="n">
        <f aca="false">IF(H257&lt;&gt;"OK",0,IF(S257&lt;&gt;"",0,IF(R257&gt;979,1000,R257)))</f>
        <v>600</v>
      </c>
      <c r="U257" s="7" t="n">
        <f aca="false">T257/10</f>
        <v>60</v>
      </c>
    </row>
    <row r="258" customFormat="false" ht="15" hidden="false" customHeight="false" outlineLevel="0" collapsed="false">
      <c r="A258" s="7" t="n">
        <v>253</v>
      </c>
      <c r="B258" s="7" t="n">
        <f aca="false">ROUND(o_SWSTART+A258*(o_SWEND-o_SWSTART)/400,0)</f>
        <v>2590</v>
      </c>
      <c r="C258" s="7" t="n">
        <f aca="false">QUOTIENT((B258-c_OFF1)*c_GAIN1,1024)</f>
        <v>2590</v>
      </c>
      <c r="D258" s="7" t="n">
        <f aca="false">IF(((c_T1MX)-(c_T1MN))=0,(0)+QUOTIENT(((1000)-(0)),2),QUOTIENT((((C258)-(c_T1MN))*((1000)-(0))+IF(((1000)-(0))&gt;=0,1,-1)*QUOTIENT(((c_T1MX)-(c_T1MN)),2)),((c_T1MX)-(c_T1MN)))+(0)+IF(((1000)-(0))&gt;=0,IF(IF(o_WRAP=1,MOD(((c_T1MX)-(c_T1MN))*(((C258)-(c_T1MN))*((1000)-(0))+IF(((1000)-(0))&gt;=0,1,-1)*QUOTIENT(((c_T1MX)-(c_T1MN)),2))+2147483648,4294967296)-2147483648,((c_T1MX)-(c_T1MN))*(((C258)-(c_T1MN))*((1000)-(0))+IF(((1000)-(0))&gt;=0,1,-1)*QUOTIENT(((c_T1MX)-(c_T1MN)),2)))&lt;0,-1,0),IF(IF(o_WRAP=1,MOD(((c_T1MX)-(c_T1MN))*(((C258)-(c_T1MN))*((1000)-(0))+IF(((1000)-(0))&gt;=0,1,-1)*QUOTIENT(((c_T1MX)-(c_T1MN)),2))+2147483648,4294967296)-2147483648,((c_T1MX)-(c_T1MN))*(((C258)-(c_T1MN))*((1000)-(0))+IF(((1000)-(0))&gt;=0,1,-1)*QUOTIENT(((c_T1MX)-(c_T1MN)),2)))&gt;=0,1,0)))</f>
        <v>679</v>
      </c>
      <c r="E258" s="7" t="n">
        <f aca="false">IF(AND(c_TPOT=1,c_TTYPE=2),1000-D258,D258)</f>
        <v>679</v>
      </c>
      <c r="F258" s="7" t="str">
        <f aca="false">IF(c_TPOT&gt;1,ROUND(IF(c_TTYPE=2,c_T2MX-IF(c_T1MX=c_T1MN,0,(C258-c_T1MN)/(c_T1MX-c_T1MN))*(c_T2MX-c_T2MN),c_T2MN+IF(c_T1MX=c_T1MN,0,(C258-c_T1MN)/(c_T1MX-c_T1MN))*(c_T2MX-c_T2MN))+o_MISMATCH,0),"")</f>
        <v/>
      </c>
      <c r="G258" s="7" t="str">
        <f aca="false">IF(c_TPOT&gt;1,IF(((c_T2MX)-(c_T2MN))=0,(0)+QUOTIENT(((1000)-(0)),2),QUOTIENT((((F258)-(c_T2MN))*((1000)-(0))+IF(((1000)-(0))&gt;=0,1,-1)*QUOTIENT(((c_T2MX)-(c_T2MN)),2)),((c_T2MX)-(c_T2MN)))+(0)+IF(((1000)-(0))&gt;=0,IF(IF(o_WRAP=1,MOD(((c_T2MX)-(c_T2MN))*(((F258)-(c_T2MN))*((1000)-(0))+IF(((1000)-(0))&gt;=0,1,-1)*QUOTIENT(((c_T2MX)-(c_T2MN)),2))+2147483648,4294967296)-2147483648,((c_T2MX)-(c_T2MN))*(((F258)-(c_T2MN))*((1000)-(0))+IF(((1000)-(0))&gt;=0,1,-1)*QUOTIENT(((c_T2MX)-(c_T2MN)),2)))&lt;0,-1,0),IF(IF(o_WRAP=1,MOD(((c_T2MX)-(c_T2MN))*(((F258)-(c_T2MN))*((1000)-(0))+IF(((1000)-(0))&gt;=0,1,-1)*QUOTIENT(((c_T2MX)-(c_T2MN)),2))+2147483648,4294967296)-2147483648,((c_T2MX)-(c_T2MN))*(((F258)-(c_T2MN))*((1000)-(0))+IF(((1000)-(0))&gt;=0,1,-1)*QUOTIENT(((c_T2MX)-(c_T2MN)),2)))&gt;=0,1,0))),"")</f>
        <v/>
      </c>
      <c r="H258" s="7" t="str">
        <f aca="false">IF(E258&gt;1000+k_TOL,"T1 HIGH",IF(E258&lt;0-k_TOL,"T1 LOW",IF(c_TPOT&gt;1,IF(G258&gt;1000+k_TOL,"T2 HIGH",IF(G258&lt;0-k_TOL,"T2 LOW",IF(c_TTYPE=2,IF(ABS(1000-MAX(0,MIN(1000,E258))-MAX(0,MIN(1000,G258)))&gt;k_MAXERR,"MISMATCH","OK"),IF(OR(MAX(0,MIN(1000,E258))-k_MAXERR&gt;MAX(0,MIN(1000,G258)),MAX(0,MIN(1000,G258))-k_MAXERR&gt;MAX(0,MIN(1000,E258))),"MISMATCH","OK")))),"OK")))</f>
        <v>OK</v>
      </c>
      <c r="I258" s="7" t="n">
        <f aca="false">MAX(0,MIN(1000,D258))</f>
        <v>679</v>
      </c>
      <c r="J258" s="7" t="str">
        <f aca="false">IF(c_TPOT&gt;1,IF(c_TTYPE=2,1000-MAX(0,MIN(1000,G258)),MAX(0,MIN(1000,G258))),"")</f>
        <v/>
      </c>
      <c r="K258" s="7" t="n">
        <f aca="false">IF(c_TPOT&gt;1,QUOTIENT(I258+J258,2),I258)</f>
        <v>679</v>
      </c>
      <c r="L258" s="7" t="n">
        <f aca="false">IF(AND(K258=0,c_TCREEP&gt;0),10*c_TCREEP,IF(AND(K258&lt;=c_TRNGMIN,K258&gt;=c_TRNGMAX,c_TRNGMIN-c_TRNGMAX&lt;&gt;0),-10*c_TMINRN+QUOTIENT((c_TMAXRN-c_TMINRN)*(100-QUOTIENT((K258-c_TRNGMAX)*100,c_TRNGMIN-c_TRNGMAX)),-10),0))</f>
        <v>0</v>
      </c>
      <c r="M258" s="7" t="n">
        <f aca="false">IF(((c_TMAP1IN)-(c_TFWD))=0,(0)+QUOTIENT(((c_TMAP1OUT)-(0)),2),QUOTIENT((((K258)-(c_TFWD))*((c_TMAP1OUT)-(0))+IF(((c_TMAP1OUT)-(0))&gt;=0,1,-1)*QUOTIENT(((c_TMAP1IN)-(c_TFWD)),2)),((c_TMAP1IN)-(c_TFWD)))+(0)+IF(((c_TMAP1OUT)-(0))&gt;=0,IF(IF(o_WRAP=1,MOD(((c_TMAP1IN)-(c_TFWD))*(((K258)-(c_TFWD))*((c_TMAP1OUT)-(0))+IF(((c_TMAP1OUT)-(0))&gt;=0,1,-1)*QUOTIENT(((c_TMAP1IN)-(c_TFWD)),2))+2147483648,4294967296)-2147483648,((c_TMAP1IN)-(c_TFWD))*(((K258)-(c_TFWD))*((c_TMAP1OUT)-(0))+IF(((c_TMAP1OUT)-(0))&gt;=0,1,-1)*QUOTIENT(((c_TMAP1IN)-(c_TFWD)),2)))&lt;0,-1,0),IF(IF(o_WRAP=1,MOD(((c_TMAP1IN)-(c_TFWD))*(((K258)-(c_TFWD))*((c_TMAP1OUT)-(0))+IF(((c_TMAP1OUT)-(0))&gt;=0,1,-1)*QUOTIENT(((c_TMAP1IN)-(c_TFWD)),2))+2147483648,4294967296)-2147483648,((c_TMAP1IN)-(c_TFWD))*(((K258)-(c_TFWD))*((c_TMAP1OUT)-(0))+IF(((c_TMAP1OUT)-(0))&gt;=0,1,-1)*QUOTIENT(((c_TMAP1IN)-(c_TFWD)),2)))&gt;=0,1,0)))</f>
        <v>520</v>
      </c>
      <c r="N258" s="7" t="n">
        <f aca="false">IF(((c_TMAP2IN)-(c_TMAP1IN))=0,(c_TMAP1OUT)+QUOTIENT(((c_TMAP2OUT)-(c_TMAP1OUT)),2),QUOTIENT((((K258)-(c_TMAP1IN))*((c_TMAP2OUT)-(c_TMAP1OUT))+IF(((c_TMAP2OUT)-(c_TMAP1OUT))&gt;=0,1,-1)*QUOTIENT(((c_TMAP2IN)-(c_TMAP1IN)),2)),((c_TMAP2IN)-(c_TMAP1IN)))+(c_TMAP1OUT)+IF(((c_TMAP2OUT)-(c_TMAP1OUT))&gt;=0,IF(IF(o_WRAP=1,MOD(((c_TMAP2IN)-(c_TMAP1IN))*(((K258)-(c_TMAP1IN))*((c_TMAP2OUT)-(c_TMAP1OUT))+IF(((c_TMAP2OUT)-(c_TMAP1OUT))&gt;=0,1,-1)*QUOTIENT(((c_TMAP2IN)-(c_TMAP1IN)),2))+2147483648,4294967296)-2147483648,((c_TMAP2IN)-(c_TMAP1IN))*(((K258)-(c_TMAP1IN))*((c_TMAP2OUT)-(c_TMAP1OUT))+IF(((c_TMAP2OUT)-(c_TMAP1OUT))&gt;=0,1,-1)*QUOTIENT(((c_TMAP2IN)-(c_TMAP1IN)),2)))&lt;0,-1,0),IF(IF(o_WRAP=1,MOD(((c_TMAP2IN)-(c_TMAP1IN))*(((K258)-(c_TMAP1IN))*((c_TMAP2OUT)-(c_TMAP1OUT))+IF(((c_TMAP2OUT)-(c_TMAP1OUT))&gt;=0,1,-1)*QUOTIENT(((c_TMAP2IN)-(c_TMAP1IN)),2))+2147483648,4294967296)-2147483648,((c_TMAP2IN)-(c_TMAP1IN))*(((K258)-(c_TMAP1IN))*((c_TMAP2OUT)-(c_TMAP1OUT))+IF(((c_TMAP2OUT)-(c_TMAP1OUT))&gt;=0,1,-1)*QUOTIENT(((c_TMAP2IN)-(c_TMAP1IN)),2)))&gt;=0,1,0)))</f>
        <v>302</v>
      </c>
      <c r="O258" s="7" t="n">
        <f aca="false">IF(((c_TMAP3IN)-(c_TMAP2IN))=0,(c_TMAP2OUT)+QUOTIENT(((c_TMAP3OUT)-(c_TMAP2OUT)),2),QUOTIENT((((K258)-(c_TMAP2IN))*((c_TMAP3OUT)-(c_TMAP2OUT))+IF(((c_TMAP3OUT)-(c_TMAP2OUT))&gt;=0,1,-1)*QUOTIENT(((c_TMAP3IN)-(c_TMAP2IN)),2)),((c_TMAP3IN)-(c_TMAP2IN)))+(c_TMAP2OUT)+IF(((c_TMAP3OUT)-(c_TMAP2OUT))&gt;=0,IF(IF(o_WRAP=1,MOD(((c_TMAP3IN)-(c_TMAP2IN))*(((K258)-(c_TMAP2IN))*((c_TMAP3OUT)-(c_TMAP2OUT))+IF(((c_TMAP3OUT)-(c_TMAP2OUT))&gt;=0,1,-1)*QUOTIENT(((c_TMAP3IN)-(c_TMAP2IN)),2))+2147483648,4294967296)-2147483648,((c_TMAP3IN)-(c_TMAP2IN))*(((K258)-(c_TMAP2IN))*((c_TMAP3OUT)-(c_TMAP2OUT))+IF(((c_TMAP3OUT)-(c_TMAP2OUT))&gt;=0,1,-1)*QUOTIENT(((c_TMAP3IN)-(c_TMAP2IN)),2)))&lt;0,-1,0),IF(IF(o_WRAP=1,MOD(((c_TMAP3IN)-(c_TMAP2IN))*(((K258)-(c_TMAP2IN))*((c_TMAP3OUT)-(c_TMAP2OUT))+IF(((c_TMAP3OUT)-(c_TMAP2OUT))&gt;=0,1,-1)*QUOTIENT(((c_TMAP3IN)-(c_TMAP2IN)),2))+2147483648,4294967296)-2147483648,((c_TMAP3IN)-(c_TMAP2IN))*(((K258)-(c_TMAP2IN))*((c_TMAP3OUT)-(c_TMAP2OUT))+IF(((c_TMAP3OUT)-(c_TMAP2OUT))&gt;=0,1,-1)*QUOTIENT(((c_TMAP3IN)-(c_TMAP2IN)),2)))&gt;=0,1,0)))</f>
        <v>430</v>
      </c>
      <c r="P258" s="7" t="n">
        <f aca="false">IF(((1000)-(c_TMAP3IN))=0,(c_TMAP3OUT)+QUOTIENT(((1000)-(c_TMAP3OUT)),2),QUOTIENT((((K258)-(c_TMAP3IN))*((1000)-(c_TMAP3OUT))+IF(((1000)-(c_TMAP3OUT))&gt;=0,1,-1)*QUOTIENT(((1000)-(c_TMAP3IN)),2)),((1000)-(c_TMAP3IN)))+(c_TMAP3OUT)+IF(((1000)-(c_TMAP3OUT))&gt;=0,IF(IF(o_WRAP=1,MOD(((1000)-(c_TMAP3IN))*(((K258)-(c_TMAP3IN))*((1000)-(c_TMAP3OUT))+IF(((1000)-(c_TMAP3OUT))&gt;=0,1,-1)*QUOTIENT(((1000)-(c_TMAP3IN)),2))+2147483648,4294967296)-2147483648,((1000)-(c_TMAP3IN))*(((K258)-(c_TMAP3IN))*((1000)-(c_TMAP3OUT))+IF(((1000)-(c_TMAP3OUT))&gt;=0,1,-1)*QUOTIENT(((1000)-(c_TMAP3IN)),2)))&lt;0,-1,0),IF(IF(o_WRAP=1,MOD(((1000)-(c_TMAP3IN))*(((K258)-(c_TMAP3IN))*((1000)-(c_TMAP3OUT))+IF(((1000)-(c_TMAP3OUT))&gt;=0,1,-1)*QUOTIENT(((1000)-(c_TMAP3IN)),2))+2147483648,4294967296)-2147483648,((1000)-(c_TMAP3IN))*(((K258)-(c_TMAP3IN))*((1000)-(c_TMAP3OUT))+IF(((1000)-(c_TMAP3OUT))&gt;=0,1,-1)*QUOTIENT(((1000)-(c_TMAP3IN)),2)))&gt;=0,1,0)))</f>
        <v>605</v>
      </c>
      <c r="Q258" s="7" t="str">
        <f aca="false">IF(K258&gt;=c_TFWD,IF(AND(K258&gt;=c_TMAP3IN,c_TMAP3IN&lt;1000),"Seg4 map3-100%",IF(AND(K258&gt;=c_TMAP2IN,c_TMAP3IN&gt;c_TMAP2IN),"Seg3 map2-map3",IF(AND(K258&gt;=c_TMAP1IN,c_TMAP2IN&gt;c_TMAP1IN),"Seg2 map1-map2","Seg1 TFWD-map1"))),IF(AND(K258=0,c_TCREEP&gt;0),"Creep",IF(AND(K258&lt;=c_TRNGMIN,K258&gt;=c_TRNGMAX,c_TRNGMIN-c_TRNGMAX&lt;&gt;0),"Regen ramp","Coast (0)")))</f>
        <v>Seg4 map3-100%</v>
      </c>
      <c r="R258" s="7" t="n">
        <f aca="false">IF(K258&gt;=c_TFWD,IF(AND(K258&gt;=c_TMAP3IN,c_TMAP3IN&lt;1000),P258,IF(AND(K258&gt;=c_TMAP2IN,c_TMAP3IN&gt;c_TMAP2IN),O258,IF(AND(K258&gt;=c_TMAP1IN,c_TMAP2IN&gt;c_TMAP1IN),N258,M258))),L258)</f>
        <v>605</v>
      </c>
      <c r="S258" s="7" t="str">
        <f aca="false">IF(R258&lt;-1090,"TOO LOW",IF(R258&gt;1090,"TOO HIGH",""))</f>
        <v/>
      </c>
      <c r="T258" s="15" t="n">
        <f aca="false">IF(H258&lt;&gt;"OK",0,IF(S258&lt;&gt;"",0,IF(R258&gt;979,1000,R258)))</f>
        <v>605</v>
      </c>
      <c r="U258" s="7" t="n">
        <f aca="false">T258/10</f>
        <v>60.5</v>
      </c>
    </row>
    <row r="259" customFormat="false" ht="15" hidden="false" customHeight="false" outlineLevel="0" collapsed="false">
      <c r="A259" s="7" t="n">
        <v>254</v>
      </c>
      <c r="B259" s="7" t="n">
        <f aca="false">ROUND(o_SWSTART+A259*(o_SWEND-o_SWSTART)/400,0)</f>
        <v>2600</v>
      </c>
      <c r="C259" s="7" t="n">
        <f aca="false">QUOTIENT((B259-c_OFF1)*c_GAIN1,1024)</f>
        <v>2600</v>
      </c>
      <c r="D259" s="7" t="n">
        <f aca="false">IF(((c_T1MX)-(c_T1MN))=0,(0)+QUOTIENT(((1000)-(0)),2),QUOTIENT((((C259)-(c_T1MN))*((1000)-(0))+IF(((1000)-(0))&gt;=0,1,-1)*QUOTIENT(((c_T1MX)-(c_T1MN)),2)),((c_T1MX)-(c_T1MN)))+(0)+IF(((1000)-(0))&gt;=0,IF(IF(o_WRAP=1,MOD(((c_T1MX)-(c_T1MN))*(((C259)-(c_T1MN))*((1000)-(0))+IF(((1000)-(0))&gt;=0,1,-1)*QUOTIENT(((c_T1MX)-(c_T1MN)),2))+2147483648,4294967296)-2147483648,((c_T1MX)-(c_T1MN))*(((C259)-(c_T1MN))*((1000)-(0))+IF(((1000)-(0))&gt;=0,1,-1)*QUOTIENT(((c_T1MX)-(c_T1MN)),2)))&lt;0,-1,0),IF(IF(o_WRAP=1,MOD(((c_T1MX)-(c_T1MN))*(((C259)-(c_T1MN))*((1000)-(0))+IF(((1000)-(0))&gt;=0,1,-1)*QUOTIENT(((c_T1MX)-(c_T1MN)),2))+2147483648,4294967296)-2147483648,((c_T1MX)-(c_T1MN))*(((C259)-(c_T1MN))*((1000)-(0))+IF(((1000)-(0))&gt;=0,1,-1)*QUOTIENT(((c_T1MX)-(c_T1MN)),2)))&gt;=0,1,0)))</f>
        <v>682</v>
      </c>
      <c r="E259" s="7" t="n">
        <f aca="false">IF(AND(c_TPOT=1,c_TTYPE=2),1000-D259,D259)</f>
        <v>682</v>
      </c>
      <c r="F259" s="7" t="str">
        <f aca="false">IF(c_TPOT&gt;1,ROUND(IF(c_TTYPE=2,c_T2MX-IF(c_T1MX=c_T1MN,0,(C259-c_T1MN)/(c_T1MX-c_T1MN))*(c_T2MX-c_T2MN),c_T2MN+IF(c_T1MX=c_T1MN,0,(C259-c_T1MN)/(c_T1MX-c_T1MN))*(c_T2MX-c_T2MN))+o_MISMATCH,0),"")</f>
        <v/>
      </c>
      <c r="G259" s="7" t="str">
        <f aca="false">IF(c_TPOT&gt;1,IF(((c_T2MX)-(c_T2MN))=0,(0)+QUOTIENT(((1000)-(0)),2),QUOTIENT((((F259)-(c_T2MN))*((1000)-(0))+IF(((1000)-(0))&gt;=0,1,-1)*QUOTIENT(((c_T2MX)-(c_T2MN)),2)),((c_T2MX)-(c_T2MN)))+(0)+IF(((1000)-(0))&gt;=0,IF(IF(o_WRAP=1,MOD(((c_T2MX)-(c_T2MN))*(((F259)-(c_T2MN))*((1000)-(0))+IF(((1000)-(0))&gt;=0,1,-1)*QUOTIENT(((c_T2MX)-(c_T2MN)),2))+2147483648,4294967296)-2147483648,((c_T2MX)-(c_T2MN))*(((F259)-(c_T2MN))*((1000)-(0))+IF(((1000)-(0))&gt;=0,1,-1)*QUOTIENT(((c_T2MX)-(c_T2MN)),2)))&lt;0,-1,0),IF(IF(o_WRAP=1,MOD(((c_T2MX)-(c_T2MN))*(((F259)-(c_T2MN))*((1000)-(0))+IF(((1000)-(0))&gt;=0,1,-1)*QUOTIENT(((c_T2MX)-(c_T2MN)),2))+2147483648,4294967296)-2147483648,((c_T2MX)-(c_T2MN))*(((F259)-(c_T2MN))*((1000)-(0))+IF(((1000)-(0))&gt;=0,1,-1)*QUOTIENT(((c_T2MX)-(c_T2MN)),2)))&gt;=0,1,0))),"")</f>
        <v/>
      </c>
      <c r="H259" s="7" t="str">
        <f aca="false">IF(E259&gt;1000+k_TOL,"T1 HIGH",IF(E259&lt;0-k_TOL,"T1 LOW",IF(c_TPOT&gt;1,IF(G259&gt;1000+k_TOL,"T2 HIGH",IF(G259&lt;0-k_TOL,"T2 LOW",IF(c_TTYPE=2,IF(ABS(1000-MAX(0,MIN(1000,E259))-MAX(0,MIN(1000,G259)))&gt;k_MAXERR,"MISMATCH","OK"),IF(OR(MAX(0,MIN(1000,E259))-k_MAXERR&gt;MAX(0,MIN(1000,G259)),MAX(0,MIN(1000,G259))-k_MAXERR&gt;MAX(0,MIN(1000,E259))),"MISMATCH","OK")))),"OK")))</f>
        <v>OK</v>
      </c>
      <c r="I259" s="7" t="n">
        <f aca="false">MAX(0,MIN(1000,D259))</f>
        <v>682</v>
      </c>
      <c r="J259" s="7" t="str">
        <f aca="false">IF(c_TPOT&gt;1,IF(c_TTYPE=2,1000-MAX(0,MIN(1000,G259)),MAX(0,MIN(1000,G259))),"")</f>
        <v/>
      </c>
      <c r="K259" s="7" t="n">
        <f aca="false">IF(c_TPOT&gt;1,QUOTIENT(I259+J259,2),I259)</f>
        <v>682</v>
      </c>
      <c r="L259" s="7" t="n">
        <f aca="false">IF(AND(K259=0,c_TCREEP&gt;0),10*c_TCREEP,IF(AND(K259&lt;=c_TRNGMIN,K259&gt;=c_TRNGMAX,c_TRNGMIN-c_TRNGMAX&lt;&gt;0),-10*c_TMINRN+QUOTIENT((c_TMAXRN-c_TMINRN)*(100-QUOTIENT((K259-c_TRNGMAX)*100,c_TRNGMIN-c_TRNGMAX)),-10),0))</f>
        <v>0</v>
      </c>
      <c r="M259" s="7" t="n">
        <f aca="false">IF(((c_TMAP1IN)-(c_TFWD))=0,(0)+QUOTIENT(((c_TMAP1OUT)-(0)),2),QUOTIENT((((K259)-(c_TFWD))*((c_TMAP1OUT)-(0))+IF(((c_TMAP1OUT)-(0))&gt;=0,1,-1)*QUOTIENT(((c_TMAP1IN)-(c_TFWD)),2)),((c_TMAP1IN)-(c_TFWD)))+(0)+IF(((c_TMAP1OUT)-(0))&gt;=0,IF(IF(o_WRAP=1,MOD(((c_TMAP1IN)-(c_TFWD))*(((K259)-(c_TFWD))*((c_TMAP1OUT)-(0))+IF(((c_TMAP1OUT)-(0))&gt;=0,1,-1)*QUOTIENT(((c_TMAP1IN)-(c_TFWD)),2))+2147483648,4294967296)-2147483648,((c_TMAP1IN)-(c_TFWD))*(((K259)-(c_TFWD))*((c_TMAP1OUT)-(0))+IF(((c_TMAP1OUT)-(0))&gt;=0,1,-1)*QUOTIENT(((c_TMAP1IN)-(c_TFWD)),2)))&lt;0,-1,0),IF(IF(o_WRAP=1,MOD(((c_TMAP1IN)-(c_TFWD))*(((K259)-(c_TFWD))*((c_TMAP1OUT)-(0))+IF(((c_TMAP1OUT)-(0))&gt;=0,1,-1)*QUOTIENT(((c_TMAP1IN)-(c_TFWD)),2))+2147483648,4294967296)-2147483648,((c_TMAP1IN)-(c_TFWD))*(((K259)-(c_TFWD))*((c_TMAP1OUT)-(0))+IF(((c_TMAP1OUT)-(0))&gt;=0,1,-1)*QUOTIENT(((c_TMAP1IN)-(c_TFWD)),2)))&gt;=0,1,0)))</f>
        <v>523</v>
      </c>
      <c r="N259" s="7" t="n">
        <f aca="false">IF(((c_TMAP2IN)-(c_TMAP1IN))=0,(c_TMAP1OUT)+QUOTIENT(((c_TMAP2OUT)-(c_TMAP1OUT)),2),QUOTIENT((((K259)-(c_TMAP1IN))*((c_TMAP2OUT)-(c_TMAP1OUT))+IF(((c_TMAP2OUT)-(c_TMAP1OUT))&gt;=0,1,-1)*QUOTIENT(((c_TMAP2IN)-(c_TMAP1IN)),2)),((c_TMAP2IN)-(c_TMAP1IN)))+(c_TMAP1OUT)+IF(((c_TMAP2OUT)-(c_TMAP1OUT))&gt;=0,IF(IF(o_WRAP=1,MOD(((c_TMAP2IN)-(c_TMAP1IN))*(((K259)-(c_TMAP1IN))*((c_TMAP2OUT)-(c_TMAP1OUT))+IF(((c_TMAP2OUT)-(c_TMAP1OUT))&gt;=0,1,-1)*QUOTIENT(((c_TMAP2IN)-(c_TMAP1IN)),2))+2147483648,4294967296)-2147483648,((c_TMAP2IN)-(c_TMAP1IN))*(((K259)-(c_TMAP1IN))*((c_TMAP2OUT)-(c_TMAP1OUT))+IF(((c_TMAP2OUT)-(c_TMAP1OUT))&gt;=0,1,-1)*QUOTIENT(((c_TMAP2IN)-(c_TMAP1IN)),2)))&lt;0,-1,0),IF(IF(o_WRAP=1,MOD(((c_TMAP2IN)-(c_TMAP1IN))*(((K259)-(c_TMAP1IN))*((c_TMAP2OUT)-(c_TMAP1OUT))+IF(((c_TMAP2OUT)-(c_TMAP1OUT))&gt;=0,1,-1)*QUOTIENT(((c_TMAP2IN)-(c_TMAP1IN)),2))+2147483648,4294967296)-2147483648,((c_TMAP2IN)-(c_TMAP1IN))*(((K259)-(c_TMAP1IN))*((c_TMAP2OUT)-(c_TMAP1OUT))+IF(((c_TMAP2OUT)-(c_TMAP1OUT))&gt;=0,1,-1)*QUOTIENT(((c_TMAP2IN)-(c_TMAP1IN)),2)))&gt;=0,1,0)))</f>
        <v>303</v>
      </c>
      <c r="O259" s="7" t="n">
        <f aca="false">IF(((c_TMAP3IN)-(c_TMAP2IN))=0,(c_TMAP2OUT)+QUOTIENT(((c_TMAP3OUT)-(c_TMAP2OUT)),2),QUOTIENT((((K259)-(c_TMAP2IN))*((c_TMAP3OUT)-(c_TMAP2OUT))+IF(((c_TMAP3OUT)-(c_TMAP2OUT))&gt;=0,1,-1)*QUOTIENT(((c_TMAP3IN)-(c_TMAP2IN)),2)),((c_TMAP3IN)-(c_TMAP2IN)))+(c_TMAP2OUT)+IF(((c_TMAP3OUT)-(c_TMAP2OUT))&gt;=0,IF(IF(o_WRAP=1,MOD(((c_TMAP3IN)-(c_TMAP2IN))*(((K259)-(c_TMAP2IN))*((c_TMAP3OUT)-(c_TMAP2OUT))+IF(((c_TMAP3OUT)-(c_TMAP2OUT))&gt;=0,1,-1)*QUOTIENT(((c_TMAP3IN)-(c_TMAP2IN)),2))+2147483648,4294967296)-2147483648,((c_TMAP3IN)-(c_TMAP2IN))*(((K259)-(c_TMAP2IN))*((c_TMAP3OUT)-(c_TMAP2OUT))+IF(((c_TMAP3OUT)-(c_TMAP2OUT))&gt;=0,1,-1)*QUOTIENT(((c_TMAP3IN)-(c_TMAP2IN)),2)))&lt;0,-1,0),IF(IF(o_WRAP=1,MOD(((c_TMAP3IN)-(c_TMAP2IN))*(((K259)-(c_TMAP2IN))*((c_TMAP3OUT)-(c_TMAP2OUT))+IF(((c_TMAP3OUT)-(c_TMAP2OUT))&gt;=0,1,-1)*QUOTIENT(((c_TMAP3IN)-(c_TMAP2IN)),2))+2147483648,4294967296)-2147483648,((c_TMAP3IN)-(c_TMAP2IN))*(((K259)-(c_TMAP2IN))*((c_TMAP3OUT)-(c_TMAP2OUT))+IF(((c_TMAP3OUT)-(c_TMAP2OUT))&gt;=0,1,-1)*QUOTIENT(((c_TMAP3IN)-(c_TMAP2IN)),2)))&gt;=0,1,0)))</f>
        <v>432</v>
      </c>
      <c r="P259" s="7" t="n">
        <f aca="false">IF(((1000)-(c_TMAP3IN))=0,(c_TMAP3OUT)+QUOTIENT(((1000)-(c_TMAP3OUT)),2),QUOTIENT((((K259)-(c_TMAP3IN))*((1000)-(c_TMAP3OUT))+IF(((1000)-(c_TMAP3OUT))&gt;=0,1,-1)*QUOTIENT(((1000)-(c_TMAP3IN)),2)),((1000)-(c_TMAP3IN)))+(c_TMAP3OUT)+IF(((1000)-(c_TMAP3OUT))&gt;=0,IF(IF(o_WRAP=1,MOD(((1000)-(c_TMAP3IN))*(((K259)-(c_TMAP3IN))*((1000)-(c_TMAP3OUT))+IF(((1000)-(c_TMAP3OUT))&gt;=0,1,-1)*QUOTIENT(((1000)-(c_TMAP3IN)),2))+2147483648,4294967296)-2147483648,((1000)-(c_TMAP3IN))*(((K259)-(c_TMAP3IN))*((1000)-(c_TMAP3OUT))+IF(((1000)-(c_TMAP3OUT))&gt;=0,1,-1)*QUOTIENT(((1000)-(c_TMAP3IN)),2)))&lt;0,-1,0),IF(IF(o_WRAP=1,MOD(((1000)-(c_TMAP3IN))*(((K259)-(c_TMAP3IN))*((1000)-(c_TMAP3OUT))+IF(((1000)-(c_TMAP3OUT))&gt;=0,1,-1)*QUOTIENT(((1000)-(c_TMAP3IN)),2))+2147483648,4294967296)-2147483648,((1000)-(c_TMAP3IN))*(((K259)-(c_TMAP3IN))*((1000)-(c_TMAP3OUT))+IF(((1000)-(c_TMAP3OUT))&gt;=0,1,-1)*QUOTIENT(((1000)-(c_TMAP3IN)),2)))&gt;=0,1,0)))</f>
        <v>609</v>
      </c>
      <c r="Q259" s="7" t="str">
        <f aca="false">IF(K259&gt;=c_TFWD,IF(AND(K259&gt;=c_TMAP3IN,c_TMAP3IN&lt;1000),"Seg4 map3-100%",IF(AND(K259&gt;=c_TMAP2IN,c_TMAP3IN&gt;c_TMAP2IN),"Seg3 map2-map3",IF(AND(K259&gt;=c_TMAP1IN,c_TMAP2IN&gt;c_TMAP1IN),"Seg2 map1-map2","Seg1 TFWD-map1"))),IF(AND(K259=0,c_TCREEP&gt;0),"Creep",IF(AND(K259&lt;=c_TRNGMIN,K259&gt;=c_TRNGMAX,c_TRNGMIN-c_TRNGMAX&lt;&gt;0),"Regen ramp","Coast (0)")))</f>
        <v>Seg4 map3-100%</v>
      </c>
      <c r="R259" s="7" t="n">
        <f aca="false">IF(K259&gt;=c_TFWD,IF(AND(K259&gt;=c_TMAP3IN,c_TMAP3IN&lt;1000),P259,IF(AND(K259&gt;=c_TMAP2IN,c_TMAP3IN&gt;c_TMAP2IN),O259,IF(AND(K259&gt;=c_TMAP1IN,c_TMAP2IN&gt;c_TMAP1IN),N259,M259))),L259)</f>
        <v>609</v>
      </c>
      <c r="S259" s="7" t="str">
        <f aca="false">IF(R259&lt;-1090,"TOO LOW",IF(R259&gt;1090,"TOO HIGH",""))</f>
        <v/>
      </c>
      <c r="T259" s="15" t="n">
        <f aca="false">IF(H259&lt;&gt;"OK",0,IF(S259&lt;&gt;"",0,IF(R259&gt;979,1000,R259)))</f>
        <v>609</v>
      </c>
      <c r="U259" s="7" t="n">
        <f aca="false">T259/10</f>
        <v>60.9</v>
      </c>
    </row>
    <row r="260" customFormat="false" ht="15" hidden="false" customHeight="false" outlineLevel="0" collapsed="false">
      <c r="A260" s="7" t="n">
        <v>255</v>
      </c>
      <c r="B260" s="7" t="n">
        <f aca="false">ROUND(o_SWSTART+A260*(o_SWEND-o_SWSTART)/400,0)</f>
        <v>2611</v>
      </c>
      <c r="C260" s="7" t="n">
        <f aca="false">QUOTIENT((B260-c_OFF1)*c_GAIN1,1024)</f>
        <v>2611</v>
      </c>
      <c r="D260" s="7" t="n">
        <f aca="false">IF(((c_T1MX)-(c_T1MN))=0,(0)+QUOTIENT(((1000)-(0)),2),QUOTIENT((((C260)-(c_T1MN))*((1000)-(0))+IF(((1000)-(0))&gt;=0,1,-1)*QUOTIENT(((c_T1MX)-(c_T1MN)),2)),((c_T1MX)-(c_T1MN)))+(0)+IF(((1000)-(0))&gt;=0,IF(IF(o_WRAP=1,MOD(((c_T1MX)-(c_T1MN))*(((C260)-(c_T1MN))*((1000)-(0))+IF(((1000)-(0))&gt;=0,1,-1)*QUOTIENT(((c_T1MX)-(c_T1MN)),2))+2147483648,4294967296)-2147483648,((c_T1MX)-(c_T1MN))*(((C260)-(c_T1MN))*((1000)-(0))+IF(((1000)-(0))&gt;=0,1,-1)*QUOTIENT(((c_T1MX)-(c_T1MN)),2)))&lt;0,-1,0),IF(IF(o_WRAP=1,MOD(((c_T1MX)-(c_T1MN))*(((C260)-(c_T1MN))*((1000)-(0))+IF(((1000)-(0))&gt;=0,1,-1)*QUOTIENT(((c_T1MX)-(c_T1MN)),2))+2147483648,4294967296)-2147483648,((c_T1MX)-(c_T1MN))*(((C260)-(c_T1MN))*((1000)-(0))+IF(((1000)-(0))&gt;=0,1,-1)*QUOTIENT(((c_T1MX)-(c_T1MN)),2)))&gt;=0,1,0)))</f>
        <v>686</v>
      </c>
      <c r="E260" s="7" t="n">
        <f aca="false">IF(AND(c_TPOT=1,c_TTYPE=2),1000-D260,D260)</f>
        <v>686</v>
      </c>
      <c r="F260" s="7" t="str">
        <f aca="false">IF(c_TPOT&gt;1,ROUND(IF(c_TTYPE=2,c_T2MX-IF(c_T1MX=c_T1MN,0,(C260-c_T1MN)/(c_T1MX-c_T1MN))*(c_T2MX-c_T2MN),c_T2MN+IF(c_T1MX=c_T1MN,0,(C260-c_T1MN)/(c_T1MX-c_T1MN))*(c_T2MX-c_T2MN))+o_MISMATCH,0),"")</f>
        <v/>
      </c>
      <c r="G260" s="7" t="str">
        <f aca="false">IF(c_TPOT&gt;1,IF(((c_T2MX)-(c_T2MN))=0,(0)+QUOTIENT(((1000)-(0)),2),QUOTIENT((((F260)-(c_T2MN))*((1000)-(0))+IF(((1000)-(0))&gt;=0,1,-1)*QUOTIENT(((c_T2MX)-(c_T2MN)),2)),((c_T2MX)-(c_T2MN)))+(0)+IF(((1000)-(0))&gt;=0,IF(IF(o_WRAP=1,MOD(((c_T2MX)-(c_T2MN))*(((F260)-(c_T2MN))*((1000)-(0))+IF(((1000)-(0))&gt;=0,1,-1)*QUOTIENT(((c_T2MX)-(c_T2MN)),2))+2147483648,4294967296)-2147483648,((c_T2MX)-(c_T2MN))*(((F260)-(c_T2MN))*((1000)-(0))+IF(((1000)-(0))&gt;=0,1,-1)*QUOTIENT(((c_T2MX)-(c_T2MN)),2)))&lt;0,-1,0),IF(IF(o_WRAP=1,MOD(((c_T2MX)-(c_T2MN))*(((F260)-(c_T2MN))*((1000)-(0))+IF(((1000)-(0))&gt;=0,1,-1)*QUOTIENT(((c_T2MX)-(c_T2MN)),2))+2147483648,4294967296)-2147483648,((c_T2MX)-(c_T2MN))*(((F260)-(c_T2MN))*((1000)-(0))+IF(((1000)-(0))&gt;=0,1,-1)*QUOTIENT(((c_T2MX)-(c_T2MN)),2)))&gt;=0,1,0))),"")</f>
        <v/>
      </c>
      <c r="H260" s="7" t="str">
        <f aca="false">IF(E260&gt;1000+k_TOL,"T1 HIGH",IF(E260&lt;0-k_TOL,"T1 LOW",IF(c_TPOT&gt;1,IF(G260&gt;1000+k_TOL,"T2 HIGH",IF(G260&lt;0-k_TOL,"T2 LOW",IF(c_TTYPE=2,IF(ABS(1000-MAX(0,MIN(1000,E260))-MAX(0,MIN(1000,G260)))&gt;k_MAXERR,"MISMATCH","OK"),IF(OR(MAX(0,MIN(1000,E260))-k_MAXERR&gt;MAX(0,MIN(1000,G260)),MAX(0,MIN(1000,G260))-k_MAXERR&gt;MAX(0,MIN(1000,E260))),"MISMATCH","OK")))),"OK")))</f>
        <v>OK</v>
      </c>
      <c r="I260" s="7" t="n">
        <f aca="false">MAX(0,MIN(1000,D260))</f>
        <v>686</v>
      </c>
      <c r="J260" s="7" t="str">
        <f aca="false">IF(c_TPOT&gt;1,IF(c_TTYPE=2,1000-MAX(0,MIN(1000,G260)),MAX(0,MIN(1000,G260))),"")</f>
        <v/>
      </c>
      <c r="K260" s="7" t="n">
        <f aca="false">IF(c_TPOT&gt;1,QUOTIENT(I260+J260,2),I260)</f>
        <v>686</v>
      </c>
      <c r="L260" s="7" t="n">
        <f aca="false">IF(AND(K260=0,c_TCREEP&gt;0),10*c_TCREEP,IF(AND(K260&lt;=c_TRNGMIN,K260&gt;=c_TRNGMAX,c_TRNGMIN-c_TRNGMAX&lt;&gt;0),-10*c_TMINRN+QUOTIENT((c_TMAXRN-c_TMINRN)*(100-QUOTIENT((K260-c_TRNGMAX)*100,c_TRNGMIN-c_TRNGMAX)),-10),0))</f>
        <v>0</v>
      </c>
      <c r="M260" s="7" t="n">
        <f aca="false">IF(((c_TMAP1IN)-(c_TFWD))=0,(0)+QUOTIENT(((c_TMAP1OUT)-(0)),2),QUOTIENT((((K260)-(c_TFWD))*((c_TMAP1OUT)-(0))+IF(((c_TMAP1OUT)-(0))&gt;=0,1,-1)*QUOTIENT(((c_TMAP1IN)-(c_TFWD)),2)),((c_TMAP1IN)-(c_TFWD)))+(0)+IF(((c_TMAP1OUT)-(0))&gt;=0,IF(IF(o_WRAP=1,MOD(((c_TMAP1IN)-(c_TFWD))*(((K260)-(c_TFWD))*((c_TMAP1OUT)-(0))+IF(((c_TMAP1OUT)-(0))&gt;=0,1,-1)*QUOTIENT(((c_TMAP1IN)-(c_TFWD)),2))+2147483648,4294967296)-2147483648,((c_TMAP1IN)-(c_TFWD))*(((K260)-(c_TFWD))*((c_TMAP1OUT)-(0))+IF(((c_TMAP1OUT)-(0))&gt;=0,1,-1)*QUOTIENT(((c_TMAP1IN)-(c_TFWD)),2)))&lt;0,-1,0),IF(IF(o_WRAP=1,MOD(((c_TMAP1IN)-(c_TFWD))*(((K260)-(c_TFWD))*((c_TMAP1OUT)-(0))+IF(((c_TMAP1OUT)-(0))&gt;=0,1,-1)*QUOTIENT(((c_TMAP1IN)-(c_TFWD)),2))+2147483648,4294967296)-2147483648,((c_TMAP1IN)-(c_TFWD))*(((K260)-(c_TFWD))*((c_TMAP1OUT)-(0))+IF(((c_TMAP1OUT)-(0))&gt;=0,1,-1)*QUOTIENT(((c_TMAP1IN)-(c_TFWD)),2)))&gt;=0,1,0)))</f>
        <v>526</v>
      </c>
      <c r="N260" s="7" t="n">
        <f aca="false">IF(((c_TMAP2IN)-(c_TMAP1IN))=0,(c_TMAP1OUT)+QUOTIENT(((c_TMAP2OUT)-(c_TMAP1OUT)),2),QUOTIENT((((K260)-(c_TMAP1IN))*((c_TMAP2OUT)-(c_TMAP1OUT))+IF(((c_TMAP2OUT)-(c_TMAP1OUT))&gt;=0,1,-1)*QUOTIENT(((c_TMAP2IN)-(c_TMAP1IN)),2)),((c_TMAP2IN)-(c_TMAP1IN)))+(c_TMAP1OUT)+IF(((c_TMAP2OUT)-(c_TMAP1OUT))&gt;=0,IF(IF(o_WRAP=1,MOD(((c_TMAP2IN)-(c_TMAP1IN))*(((K260)-(c_TMAP1IN))*((c_TMAP2OUT)-(c_TMAP1OUT))+IF(((c_TMAP2OUT)-(c_TMAP1OUT))&gt;=0,1,-1)*QUOTIENT(((c_TMAP2IN)-(c_TMAP1IN)),2))+2147483648,4294967296)-2147483648,((c_TMAP2IN)-(c_TMAP1IN))*(((K260)-(c_TMAP1IN))*((c_TMAP2OUT)-(c_TMAP1OUT))+IF(((c_TMAP2OUT)-(c_TMAP1OUT))&gt;=0,1,-1)*QUOTIENT(((c_TMAP2IN)-(c_TMAP1IN)),2)))&lt;0,-1,0),IF(IF(o_WRAP=1,MOD(((c_TMAP2IN)-(c_TMAP1IN))*(((K260)-(c_TMAP1IN))*((c_TMAP2OUT)-(c_TMAP1OUT))+IF(((c_TMAP2OUT)-(c_TMAP1OUT))&gt;=0,1,-1)*QUOTIENT(((c_TMAP2IN)-(c_TMAP1IN)),2))+2147483648,4294967296)-2147483648,((c_TMAP2IN)-(c_TMAP1IN))*(((K260)-(c_TMAP1IN))*((c_TMAP2OUT)-(c_TMAP1OUT))+IF(((c_TMAP2OUT)-(c_TMAP1OUT))&gt;=0,1,-1)*QUOTIENT(((c_TMAP2IN)-(c_TMAP1IN)),2)))&gt;=0,1,0)))</f>
        <v>304</v>
      </c>
      <c r="O260" s="7" t="n">
        <f aca="false">IF(((c_TMAP3IN)-(c_TMAP2IN))=0,(c_TMAP2OUT)+QUOTIENT(((c_TMAP3OUT)-(c_TMAP2OUT)),2),QUOTIENT((((K260)-(c_TMAP2IN))*((c_TMAP3OUT)-(c_TMAP2OUT))+IF(((c_TMAP3OUT)-(c_TMAP2OUT))&gt;=0,1,-1)*QUOTIENT(((c_TMAP3IN)-(c_TMAP2IN)),2)),((c_TMAP3IN)-(c_TMAP2IN)))+(c_TMAP2OUT)+IF(((c_TMAP3OUT)-(c_TMAP2OUT))&gt;=0,IF(IF(o_WRAP=1,MOD(((c_TMAP3IN)-(c_TMAP2IN))*(((K260)-(c_TMAP2IN))*((c_TMAP3OUT)-(c_TMAP2OUT))+IF(((c_TMAP3OUT)-(c_TMAP2OUT))&gt;=0,1,-1)*QUOTIENT(((c_TMAP3IN)-(c_TMAP2IN)),2))+2147483648,4294967296)-2147483648,((c_TMAP3IN)-(c_TMAP2IN))*(((K260)-(c_TMAP2IN))*((c_TMAP3OUT)-(c_TMAP2OUT))+IF(((c_TMAP3OUT)-(c_TMAP2OUT))&gt;=0,1,-1)*QUOTIENT(((c_TMAP3IN)-(c_TMAP2IN)),2)))&lt;0,-1,0),IF(IF(o_WRAP=1,MOD(((c_TMAP3IN)-(c_TMAP2IN))*(((K260)-(c_TMAP2IN))*((c_TMAP3OUT)-(c_TMAP2OUT))+IF(((c_TMAP3OUT)-(c_TMAP2OUT))&gt;=0,1,-1)*QUOTIENT(((c_TMAP3IN)-(c_TMAP2IN)),2))+2147483648,4294967296)-2147483648,((c_TMAP3IN)-(c_TMAP2IN))*(((K260)-(c_TMAP2IN))*((c_TMAP3OUT)-(c_TMAP2OUT))+IF(((c_TMAP3OUT)-(c_TMAP2OUT))&gt;=0,1,-1)*QUOTIENT(((c_TMAP3IN)-(c_TMAP2IN)),2)))&gt;=0,1,0)))</f>
        <v>435</v>
      </c>
      <c r="P260" s="7" t="n">
        <f aca="false">IF(((1000)-(c_TMAP3IN))=0,(c_TMAP3OUT)+QUOTIENT(((1000)-(c_TMAP3OUT)),2),QUOTIENT((((K260)-(c_TMAP3IN))*((1000)-(c_TMAP3OUT))+IF(((1000)-(c_TMAP3OUT))&gt;=0,1,-1)*QUOTIENT(((1000)-(c_TMAP3IN)),2)),((1000)-(c_TMAP3IN)))+(c_TMAP3OUT)+IF(((1000)-(c_TMAP3OUT))&gt;=0,IF(IF(o_WRAP=1,MOD(((1000)-(c_TMAP3IN))*(((K260)-(c_TMAP3IN))*((1000)-(c_TMAP3OUT))+IF(((1000)-(c_TMAP3OUT))&gt;=0,1,-1)*QUOTIENT(((1000)-(c_TMAP3IN)),2))+2147483648,4294967296)-2147483648,((1000)-(c_TMAP3IN))*(((K260)-(c_TMAP3IN))*((1000)-(c_TMAP3OUT))+IF(((1000)-(c_TMAP3OUT))&gt;=0,1,-1)*QUOTIENT(((1000)-(c_TMAP3IN)),2)))&lt;0,-1,0),IF(IF(o_WRAP=1,MOD(((1000)-(c_TMAP3IN))*(((K260)-(c_TMAP3IN))*((1000)-(c_TMAP3OUT))+IF(((1000)-(c_TMAP3OUT))&gt;=0,1,-1)*QUOTIENT(((1000)-(c_TMAP3IN)),2))+2147483648,4294967296)-2147483648,((1000)-(c_TMAP3IN))*(((K260)-(c_TMAP3IN))*((1000)-(c_TMAP3OUT))+IF(((1000)-(c_TMAP3OUT))&gt;=0,1,-1)*QUOTIENT(((1000)-(c_TMAP3IN)),2)))&gt;=0,1,0)))</f>
        <v>614</v>
      </c>
      <c r="Q260" s="7" t="str">
        <f aca="false">IF(K260&gt;=c_TFWD,IF(AND(K260&gt;=c_TMAP3IN,c_TMAP3IN&lt;1000),"Seg4 map3-100%",IF(AND(K260&gt;=c_TMAP2IN,c_TMAP3IN&gt;c_TMAP2IN),"Seg3 map2-map3",IF(AND(K260&gt;=c_TMAP1IN,c_TMAP2IN&gt;c_TMAP1IN),"Seg2 map1-map2","Seg1 TFWD-map1"))),IF(AND(K260=0,c_TCREEP&gt;0),"Creep",IF(AND(K260&lt;=c_TRNGMIN,K260&gt;=c_TRNGMAX,c_TRNGMIN-c_TRNGMAX&lt;&gt;0),"Regen ramp","Coast (0)")))</f>
        <v>Seg4 map3-100%</v>
      </c>
      <c r="R260" s="7" t="n">
        <f aca="false">IF(K260&gt;=c_TFWD,IF(AND(K260&gt;=c_TMAP3IN,c_TMAP3IN&lt;1000),P260,IF(AND(K260&gt;=c_TMAP2IN,c_TMAP3IN&gt;c_TMAP2IN),O260,IF(AND(K260&gt;=c_TMAP1IN,c_TMAP2IN&gt;c_TMAP1IN),N260,M260))),L260)</f>
        <v>614</v>
      </c>
      <c r="S260" s="7" t="str">
        <f aca="false">IF(R260&lt;-1090,"TOO LOW",IF(R260&gt;1090,"TOO HIGH",""))</f>
        <v/>
      </c>
      <c r="T260" s="15" t="n">
        <f aca="false">IF(H260&lt;&gt;"OK",0,IF(S260&lt;&gt;"",0,IF(R260&gt;979,1000,R260)))</f>
        <v>614</v>
      </c>
      <c r="U260" s="7" t="n">
        <f aca="false">T260/10</f>
        <v>61.4</v>
      </c>
    </row>
    <row r="261" customFormat="false" ht="15" hidden="false" customHeight="false" outlineLevel="0" collapsed="false">
      <c r="A261" s="7" t="n">
        <v>256</v>
      </c>
      <c r="B261" s="7" t="n">
        <f aca="false">ROUND(o_SWSTART+A261*(o_SWEND-o_SWSTART)/400,0)</f>
        <v>2621</v>
      </c>
      <c r="C261" s="7" t="n">
        <f aca="false">QUOTIENT((B261-c_OFF1)*c_GAIN1,1024)</f>
        <v>2621</v>
      </c>
      <c r="D261" s="7" t="n">
        <f aca="false">IF(((c_T1MX)-(c_T1MN))=0,(0)+QUOTIENT(((1000)-(0)),2),QUOTIENT((((C261)-(c_T1MN))*((1000)-(0))+IF(((1000)-(0))&gt;=0,1,-1)*QUOTIENT(((c_T1MX)-(c_T1MN)),2)),((c_T1MX)-(c_T1MN)))+(0)+IF(((1000)-(0))&gt;=0,IF(IF(o_WRAP=1,MOD(((c_T1MX)-(c_T1MN))*(((C261)-(c_T1MN))*((1000)-(0))+IF(((1000)-(0))&gt;=0,1,-1)*QUOTIENT(((c_T1MX)-(c_T1MN)),2))+2147483648,4294967296)-2147483648,((c_T1MX)-(c_T1MN))*(((C261)-(c_T1MN))*((1000)-(0))+IF(((1000)-(0))&gt;=0,1,-1)*QUOTIENT(((c_T1MX)-(c_T1MN)),2)))&lt;0,-1,0),IF(IF(o_WRAP=1,MOD(((c_T1MX)-(c_T1MN))*(((C261)-(c_T1MN))*((1000)-(0))+IF(((1000)-(0))&gt;=0,1,-1)*QUOTIENT(((c_T1MX)-(c_T1MN)),2))+2147483648,4294967296)-2147483648,((c_T1MX)-(c_T1MN))*(((C261)-(c_T1MN))*((1000)-(0))+IF(((1000)-(0))&gt;=0,1,-1)*QUOTIENT(((c_T1MX)-(c_T1MN)),2)))&gt;=0,1,0)))</f>
        <v>690</v>
      </c>
      <c r="E261" s="7" t="n">
        <f aca="false">IF(AND(c_TPOT=1,c_TTYPE=2),1000-D261,D261)</f>
        <v>690</v>
      </c>
      <c r="F261" s="7" t="str">
        <f aca="false">IF(c_TPOT&gt;1,ROUND(IF(c_TTYPE=2,c_T2MX-IF(c_T1MX=c_T1MN,0,(C261-c_T1MN)/(c_T1MX-c_T1MN))*(c_T2MX-c_T2MN),c_T2MN+IF(c_T1MX=c_T1MN,0,(C261-c_T1MN)/(c_T1MX-c_T1MN))*(c_T2MX-c_T2MN))+o_MISMATCH,0),"")</f>
        <v/>
      </c>
      <c r="G261" s="7" t="str">
        <f aca="false">IF(c_TPOT&gt;1,IF(((c_T2MX)-(c_T2MN))=0,(0)+QUOTIENT(((1000)-(0)),2),QUOTIENT((((F261)-(c_T2MN))*((1000)-(0))+IF(((1000)-(0))&gt;=0,1,-1)*QUOTIENT(((c_T2MX)-(c_T2MN)),2)),((c_T2MX)-(c_T2MN)))+(0)+IF(((1000)-(0))&gt;=0,IF(IF(o_WRAP=1,MOD(((c_T2MX)-(c_T2MN))*(((F261)-(c_T2MN))*((1000)-(0))+IF(((1000)-(0))&gt;=0,1,-1)*QUOTIENT(((c_T2MX)-(c_T2MN)),2))+2147483648,4294967296)-2147483648,((c_T2MX)-(c_T2MN))*(((F261)-(c_T2MN))*((1000)-(0))+IF(((1000)-(0))&gt;=0,1,-1)*QUOTIENT(((c_T2MX)-(c_T2MN)),2)))&lt;0,-1,0),IF(IF(o_WRAP=1,MOD(((c_T2MX)-(c_T2MN))*(((F261)-(c_T2MN))*((1000)-(0))+IF(((1000)-(0))&gt;=0,1,-1)*QUOTIENT(((c_T2MX)-(c_T2MN)),2))+2147483648,4294967296)-2147483648,((c_T2MX)-(c_T2MN))*(((F261)-(c_T2MN))*((1000)-(0))+IF(((1000)-(0))&gt;=0,1,-1)*QUOTIENT(((c_T2MX)-(c_T2MN)),2)))&gt;=0,1,0))),"")</f>
        <v/>
      </c>
      <c r="H261" s="7" t="str">
        <f aca="false">IF(E261&gt;1000+k_TOL,"T1 HIGH",IF(E261&lt;0-k_TOL,"T1 LOW",IF(c_TPOT&gt;1,IF(G261&gt;1000+k_TOL,"T2 HIGH",IF(G261&lt;0-k_TOL,"T2 LOW",IF(c_TTYPE=2,IF(ABS(1000-MAX(0,MIN(1000,E261))-MAX(0,MIN(1000,G261)))&gt;k_MAXERR,"MISMATCH","OK"),IF(OR(MAX(0,MIN(1000,E261))-k_MAXERR&gt;MAX(0,MIN(1000,G261)),MAX(0,MIN(1000,G261))-k_MAXERR&gt;MAX(0,MIN(1000,E261))),"MISMATCH","OK")))),"OK")))</f>
        <v>OK</v>
      </c>
      <c r="I261" s="7" t="n">
        <f aca="false">MAX(0,MIN(1000,D261))</f>
        <v>690</v>
      </c>
      <c r="J261" s="7" t="str">
        <f aca="false">IF(c_TPOT&gt;1,IF(c_TTYPE=2,1000-MAX(0,MIN(1000,G261)),MAX(0,MIN(1000,G261))),"")</f>
        <v/>
      </c>
      <c r="K261" s="7" t="n">
        <f aca="false">IF(c_TPOT&gt;1,QUOTIENT(I261+J261,2),I261)</f>
        <v>690</v>
      </c>
      <c r="L261" s="7" t="n">
        <f aca="false">IF(AND(K261=0,c_TCREEP&gt;0),10*c_TCREEP,IF(AND(K261&lt;=c_TRNGMIN,K261&gt;=c_TRNGMAX,c_TRNGMIN-c_TRNGMAX&lt;&gt;0),-10*c_TMINRN+QUOTIENT((c_TMAXRN-c_TMINRN)*(100-QUOTIENT((K261-c_TRNGMAX)*100,c_TRNGMIN-c_TRNGMAX)),-10),0))</f>
        <v>0</v>
      </c>
      <c r="M261" s="7" t="n">
        <f aca="false">IF(((c_TMAP1IN)-(c_TFWD))=0,(0)+QUOTIENT(((c_TMAP1OUT)-(0)),2),QUOTIENT((((K261)-(c_TFWD))*((c_TMAP1OUT)-(0))+IF(((c_TMAP1OUT)-(0))&gt;=0,1,-1)*QUOTIENT(((c_TMAP1IN)-(c_TFWD)),2)),((c_TMAP1IN)-(c_TFWD)))+(0)+IF(((c_TMAP1OUT)-(0))&gt;=0,IF(IF(o_WRAP=1,MOD(((c_TMAP1IN)-(c_TFWD))*(((K261)-(c_TFWD))*((c_TMAP1OUT)-(0))+IF(((c_TMAP1OUT)-(0))&gt;=0,1,-1)*QUOTIENT(((c_TMAP1IN)-(c_TFWD)),2))+2147483648,4294967296)-2147483648,((c_TMAP1IN)-(c_TFWD))*(((K261)-(c_TFWD))*((c_TMAP1OUT)-(0))+IF(((c_TMAP1OUT)-(0))&gt;=0,1,-1)*QUOTIENT(((c_TMAP1IN)-(c_TFWD)),2)))&lt;0,-1,0),IF(IF(o_WRAP=1,MOD(((c_TMAP1IN)-(c_TFWD))*(((K261)-(c_TFWD))*((c_TMAP1OUT)-(0))+IF(((c_TMAP1OUT)-(0))&gt;=0,1,-1)*QUOTIENT(((c_TMAP1IN)-(c_TFWD)),2))+2147483648,4294967296)-2147483648,((c_TMAP1IN)-(c_TFWD))*(((K261)-(c_TFWD))*((c_TMAP1OUT)-(0))+IF(((c_TMAP1OUT)-(0))&gt;=0,1,-1)*QUOTIENT(((c_TMAP1IN)-(c_TFWD)),2)))&gt;=0,1,0)))</f>
        <v>529</v>
      </c>
      <c r="N261" s="7" t="n">
        <f aca="false">IF(((c_TMAP2IN)-(c_TMAP1IN))=0,(c_TMAP1OUT)+QUOTIENT(((c_TMAP2OUT)-(c_TMAP1OUT)),2),QUOTIENT((((K261)-(c_TMAP1IN))*((c_TMAP2OUT)-(c_TMAP1OUT))+IF(((c_TMAP2OUT)-(c_TMAP1OUT))&gt;=0,1,-1)*QUOTIENT(((c_TMAP2IN)-(c_TMAP1IN)),2)),((c_TMAP2IN)-(c_TMAP1IN)))+(c_TMAP1OUT)+IF(((c_TMAP2OUT)-(c_TMAP1OUT))&gt;=0,IF(IF(o_WRAP=1,MOD(((c_TMAP2IN)-(c_TMAP1IN))*(((K261)-(c_TMAP1IN))*((c_TMAP2OUT)-(c_TMAP1OUT))+IF(((c_TMAP2OUT)-(c_TMAP1OUT))&gt;=0,1,-1)*QUOTIENT(((c_TMAP2IN)-(c_TMAP1IN)),2))+2147483648,4294967296)-2147483648,((c_TMAP2IN)-(c_TMAP1IN))*(((K261)-(c_TMAP1IN))*((c_TMAP2OUT)-(c_TMAP1OUT))+IF(((c_TMAP2OUT)-(c_TMAP1OUT))&gt;=0,1,-1)*QUOTIENT(((c_TMAP2IN)-(c_TMAP1IN)),2)))&lt;0,-1,0),IF(IF(o_WRAP=1,MOD(((c_TMAP2IN)-(c_TMAP1IN))*(((K261)-(c_TMAP1IN))*((c_TMAP2OUT)-(c_TMAP1OUT))+IF(((c_TMAP2OUT)-(c_TMAP1OUT))&gt;=0,1,-1)*QUOTIENT(((c_TMAP2IN)-(c_TMAP1IN)),2))+2147483648,4294967296)-2147483648,((c_TMAP2IN)-(c_TMAP1IN))*(((K261)-(c_TMAP1IN))*((c_TMAP2OUT)-(c_TMAP1OUT))+IF(((c_TMAP2OUT)-(c_TMAP1OUT))&gt;=0,1,-1)*QUOTIENT(((c_TMAP2IN)-(c_TMAP1IN)),2)))&gt;=0,1,0)))</f>
        <v>306</v>
      </c>
      <c r="O261" s="7" t="n">
        <f aca="false">IF(((c_TMAP3IN)-(c_TMAP2IN))=0,(c_TMAP2OUT)+QUOTIENT(((c_TMAP3OUT)-(c_TMAP2OUT)),2),QUOTIENT((((K261)-(c_TMAP2IN))*((c_TMAP3OUT)-(c_TMAP2OUT))+IF(((c_TMAP3OUT)-(c_TMAP2OUT))&gt;=0,1,-1)*QUOTIENT(((c_TMAP3IN)-(c_TMAP2IN)),2)),((c_TMAP3IN)-(c_TMAP2IN)))+(c_TMAP2OUT)+IF(((c_TMAP3OUT)-(c_TMAP2OUT))&gt;=0,IF(IF(o_WRAP=1,MOD(((c_TMAP3IN)-(c_TMAP2IN))*(((K261)-(c_TMAP2IN))*((c_TMAP3OUT)-(c_TMAP2OUT))+IF(((c_TMAP3OUT)-(c_TMAP2OUT))&gt;=0,1,-1)*QUOTIENT(((c_TMAP3IN)-(c_TMAP2IN)),2))+2147483648,4294967296)-2147483648,((c_TMAP3IN)-(c_TMAP2IN))*(((K261)-(c_TMAP2IN))*((c_TMAP3OUT)-(c_TMAP2OUT))+IF(((c_TMAP3OUT)-(c_TMAP2OUT))&gt;=0,1,-1)*QUOTIENT(((c_TMAP3IN)-(c_TMAP2IN)),2)))&lt;0,-1,0),IF(IF(o_WRAP=1,MOD(((c_TMAP3IN)-(c_TMAP2IN))*(((K261)-(c_TMAP2IN))*((c_TMAP3OUT)-(c_TMAP2OUT))+IF(((c_TMAP3OUT)-(c_TMAP2OUT))&gt;=0,1,-1)*QUOTIENT(((c_TMAP3IN)-(c_TMAP2IN)),2))+2147483648,4294967296)-2147483648,((c_TMAP3IN)-(c_TMAP2IN))*(((K261)-(c_TMAP2IN))*((c_TMAP3OUT)-(c_TMAP2OUT))+IF(((c_TMAP3OUT)-(c_TMAP2OUT))&gt;=0,1,-1)*QUOTIENT(((c_TMAP3IN)-(c_TMAP2IN)),2)))&gt;=0,1,0)))</f>
        <v>438</v>
      </c>
      <c r="P261" s="7" t="n">
        <f aca="false">IF(((1000)-(c_TMAP3IN))=0,(c_TMAP3OUT)+QUOTIENT(((1000)-(c_TMAP3OUT)),2),QUOTIENT((((K261)-(c_TMAP3IN))*((1000)-(c_TMAP3OUT))+IF(((1000)-(c_TMAP3OUT))&gt;=0,1,-1)*QUOTIENT(((1000)-(c_TMAP3IN)),2)),((1000)-(c_TMAP3IN)))+(c_TMAP3OUT)+IF(((1000)-(c_TMAP3OUT))&gt;=0,IF(IF(o_WRAP=1,MOD(((1000)-(c_TMAP3IN))*(((K261)-(c_TMAP3IN))*((1000)-(c_TMAP3OUT))+IF(((1000)-(c_TMAP3OUT))&gt;=0,1,-1)*QUOTIENT(((1000)-(c_TMAP3IN)),2))+2147483648,4294967296)-2147483648,((1000)-(c_TMAP3IN))*(((K261)-(c_TMAP3IN))*((1000)-(c_TMAP3OUT))+IF(((1000)-(c_TMAP3OUT))&gt;=0,1,-1)*QUOTIENT(((1000)-(c_TMAP3IN)),2)))&lt;0,-1,0),IF(IF(o_WRAP=1,MOD(((1000)-(c_TMAP3IN))*(((K261)-(c_TMAP3IN))*((1000)-(c_TMAP3OUT))+IF(((1000)-(c_TMAP3OUT))&gt;=0,1,-1)*QUOTIENT(((1000)-(c_TMAP3IN)),2))+2147483648,4294967296)-2147483648,((1000)-(c_TMAP3IN))*(((K261)-(c_TMAP3IN))*((1000)-(c_TMAP3OUT))+IF(((1000)-(c_TMAP3OUT))&gt;=0,1,-1)*QUOTIENT(((1000)-(c_TMAP3IN)),2)))&gt;=0,1,0)))</f>
        <v>618</v>
      </c>
      <c r="Q261" s="7" t="str">
        <f aca="false">IF(K261&gt;=c_TFWD,IF(AND(K261&gt;=c_TMAP3IN,c_TMAP3IN&lt;1000),"Seg4 map3-100%",IF(AND(K261&gt;=c_TMAP2IN,c_TMAP3IN&gt;c_TMAP2IN),"Seg3 map2-map3",IF(AND(K261&gt;=c_TMAP1IN,c_TMAP2IN&gt;c_TMAP1IN),"Seg2 map1-map2","Seg1 TFWD-map1"))),IF(AND(K261=0,c_TCREEP&gt;0),"Creep",IF(AND(K261&lt;=c_TRNGMIN,K261&gt;=c_TRNGMAX,c_TRNGMIN-c_TRNGMAX&lt;&gt;0),"Regen ramp","Coast (0)")))</f>
        <v>Seg4 map3-100%</v>
      </c>
      <c r="R261" s="7" t="n">
        <f aca="false">IF(K261&gt;=c_TFWD,IF(AND(K261&gt;=c_TMAP3IN,c_TMAP3IN&lt;1000),P261,IF(AND(K261&gt;=c_TMAP2IN,c_TMAP3IN&gt;c_TMAP2IN),O261,IF(AND(K261&gt;=c_TMAP1IN,c_TMAP2IN&gt;c_TMAP1IN),N261,M261))),L261)</f>
        <v>618</v>
      </c>
      <c r="S261" s="7" t="str">
        <f aca="false">IF(R261&lt;-1090,"TOO LOW",IF(R261&gt;1090,"TOO HIGH",""))</f>
        <v/>
      </c>
      <c r="T261" s="15" t="n">
        <f aca="false">IF(H261&lt;&gt;"OK",0,IF(S261&lt;&gt;"",0,IF(R261&gt;979,1000,R261)))</f>
        <v>618</v>
      </c>
      <c r="U261" s="7" t="n">
        <f aca="false">T261/10</f>
        <v>61.8</v>
      </c>
    </row>
    <row r="262" customFormat="false" ht="15" hidden="false" customHeight="false" outlineLevel="0" collapsed="false">
      <c r="A262" s="7" t="n">
        <v>257</v>
      </c>
      <c r="B262" s="7" t="n">
        <f aca="false">ROUND(o_SWSTART+A262*(o_SWEND-o_SWSTART)/400,0)</f>
        <v>2631</v>
      </c>
      <c r="C262" s="7" t="n">
        <f aca="false">QUOTIENT((B262-c_OFF1)*c_GAIN1,1024)</f>
        <v>2631</v>
      </c>
      <c r="D262" s="7" t="n">
        <f aca="false">IF(((c_T1MX)-(c_T1MN))=0,(0)+QUOTIENT(((1000)-(0)),2),QUOTIENT((((C262)-(c_T1MN))*((1000)-(0))+IF(((1000)-(0))&gt;=0,1,-1)*QUOTIENT(((c_T1MX)-(c_T1MN)),2)),((c_T1MX)-(c_T1MN)))+(0)+IF(((1000)-(0))&gt;=0,IF(IF(o_WRAP=1,MOD(((c_T1MX)-(c_T1MN))*(((C262)-(c_T1MN))*((1000)-(0))+IF(((1000)-(0))&gt;=0,1,-1)*QUOTIENT(((c_T1MX)-(c_T1MN)),2))+2147483648,4294967296)-2147483648,((c_T1MX)-(c_T1MN))*(((C262)-(c_T1MN))*((1000)-(0))+IF(((1000)-(0))&gt;=0,1,-1)*QUOTIENT(((c_T1MX)-(c_T1MN)),2)))&lt;0,-1,0),IF(IF(o_WRAP=1,MOD(((c_T1MX)-(c_T1MN))*(((C262)-(c_T1MN))*((1000)-(0))+IF(((1000)-(0))&gt;=0,1,-1)*QUOTIENT(((c_T1MX)-(c_T1MN)),2))+2147483648,4294967296)-2147483648,((c_T1MX)-(c_T1MN))*(((C262)-(c_T1MN))*((1000)-(0))+IF(((1000)-(0))&gt;=0,1,-1)*QUOTIENT(((c_T1MX)-(c_T1MN)),2)))&gt;=0,1,0)))</f>
        <v>693</v>
      </c>
      <c r="E262" s="7" t="n">
        <f aca="false">IF(AND(c_TPOT=1,c_TTYPE=2),1000-D262,D262)</f>
        <v>693</v>
      </c>
      <c r="F262" s="7" t="str">
        <f aca="false">IF(c_TPOT&gt;1,ROUND(IF(c_TTYPE=2,c_T2MX-IF(c_T1MX=c_T1MN,0,(C262-c_T1MN)/(c_T1MX-c_T1MN))*(c_T2MX-c_T2MN),c_T2MN+IF(c_T1MX=c_T1MN,0,(C262-c_T1MN)/(c_T1MX-c_T1MN))*(c_T2MX-c_T2MN))+o_MISMATCH,0),"")</f>
        <v/>
      </c>
      <c r="G262" s="7" t="str">
        <f aca="false">IF(c_TPOT&gt;1,IF(((c_T2MX)-(c_T2MN))=0,(0)+QUOTIENT(((1000)-(0)),2),QUOTIENT((((F262)-(c_T2MN))*((1000)-(0))+IF(((1000)-(0))&gt;=0,1,-1)*QUOTIENT(((c_T2MX)-(c_T2MN)),2)),((c_T2MX)-(c_T2MN)))+(0)+IF(((1000)-(0))&gt;=0,IF(IF(o_WRAP=1,MOD(((c_T2MX)-(c_T2MN))*(((F262)-(c_T2MN))*((1000)-(0))+IF(((1000)-(0))&gt;=0,1,-1)*QUOTIENT(((c_T2MX)-(c_T2MN)),2))+2147483648,4294967296)-2147483648,((c_T2MX)-(c_T2MN))*(((F262)-(c_T2MN))*((1000)-(0))+IF(((1000)-(0))&gt;=0,1,-1)*QUOTIENT(((c_T2MX)-(c_T2MN)),2)))&lt;0,-1,0),IF(IF(o_WRAP=1,MOD(((c_T2MX)-(c_T2MN))*(((F262)-(c_T2MN))*((1000)-(0))+IF(((1000)-(0))&gt;=0,1,-1)*QUOTIENT(((c_T2MX)-(c_T2MN)),2))+2147483648,4294967296)-2147483648,((c_T2MX)-(c_T2MN))*(((F262)-(c_T2MN))*((1000)-(0))+IF(((1000)-(0))&gt;=0,1,-1)*QUOTIENT(((c_T2MX)-(c_T2MN)),2)))&gt;=0,1,0))),"")</f>
        <v/>
      </c>
      <c r="H262" s="7" t="str">
        <f aca="false">IF(E262&gt;1000+k_TOL,"T1 HIGH",IF(E262&lt;0-k_TOL,"T1 LOW",IF(c_TPOT&gt;1,IF(G262&gt;1000+k_TOL,"T2 HIGH",IF(G262&lt;0-k_TOL,"T2 LOW",IF(c_TTYPE=2,IF(ABS(1000-MAX(0,MIN(1000,E262))-MAX(0,MIN(1000,G262)))&gt;k_MAXERR,"MISMATCH","OK"),IF(OR(MAX(0,MIN(1000,E262))-k_MAXERR&gt;MAX(0,MIN(1000,G262)),MAX(0,MIN(1000,G262))-k_MAXERR&gt;MAX(0,MIN(1000,E262))),"MISMATCH","OK")))),"OK")))</f>
        <v>OK</v>
      </c>
      <c r="I262" s="7" t="n">
        <f aca="false">MAX(0,MIN(1000,D262))</f>
        <v>693</v>
      </c>
      <c r="J262" s="7" t="str">
        <f aca="false">IF(c_TPOT&gt;1,IF(c_TTYPE=2,1000-MAX(0,MIN(1000,G262)),MAX(0,MIN(1000,G262))),"")</f>
        <v/>
      </c>
      <c r="K262" s="7" t="n">
        <f aca="false">IF(c_TPOT&gt;1,QUOTIENT(I262+J262,2),I262)</f>
        <v>693</v>
      </c>
      <c r="L262" s="7" t="n">
        <f aca="false">IF(AND(K262=0,c_TCREEP&gt;0),10*c_TCREEP,IF(AND(K262&lt;=c_TRNGMIN,K262&gt;=c_TRNGMAX,c_TRNGMIN-c_TRNGMAX&lt;&gt;0),-10*c_TMINRN+QUOTIENT((c_TMAXRN-c_TMINRN)*(100-QUOTIENT((K262-c_TRNGMAX)*100,c_TRNGMIN-c_TRNGMAX)),-10),0))</f>
        <v>0</v>
      </c>
      <c r="M262" s="7" t="n">
        <f aca="false">IF(((c_TMAP1IN)-(c_TFWD))=0,(0)+QUOTIENT(((c_TMAP1OUT)-(0)),2),QUOTIENT((((K262)-(c_TFWD))*((c_TMAP1OUT)-(0))+IF(((c_TMAP1OUT)-(0))&gt;=0,1,-1)*QUOTIENT(((c_TMAP1IN)-(c_TFWD)),2)),((c_TMAP1IN)-(c_TFWD)))+(0)+IF(((c_TMAP1OUT)-(0))&gt;=0,IF(IF(o_WRAP=1,MOD(((c_TMAP1IN)-(c_TFWD))*(((K262)-(c_TFWD))*((c_TMAP1OUT)-(0))+IF(((c_TMAP1OUT)-(0))&gt;=0,1,-1)*QUOTIENT(((c_TMAP1IN)-(c_TFWD)),2))+2147483648,4294967296)-2147483648,((c_TMAP1IN)-(c_TFWD))*(((K262)-(c_TFWD))*((c_TMAP1OUT)-(0))+IF(((c_TMAP1OUT)-(0))&gt;=0,1,-1)*QUOTIENT(((c_TMAP1IN)-(c_TFWD)),2)))&lt;0,-1,0),IF(IF(o_WRAP=1,MOD(((c_TMAP1IN)-(c_TFWD))*(((K262)-(c_TFWD))*((c_TMAP1OUT)-(0))+IF(((c_TMAP1OUT)-(0))&gt;=0,1,-1)*QUOTIENT(((c_TMAP1IN)-(c_TFWD)),2))+2147483648,4294967296)-2147483648,((c_TMAP1IN)-(c_TFWD))*(((K262)-(c_TFWD))*((c_TMAP1OUT)-(0))+IF(((c_TMAP1OUT)-(0))&gt;=0,1,-1)*QUOTIENT(((c_TMAP1IN)-(c_TFWD)),2)))&gt;=0,1,0)))</f>
        <v>531</v>
      </c>
      <c r="N262" s="7" t="n">
        <f aca="false">IF(((c_TMAP2IN)-(c_TMAP1IN))=0,(c_TMAP1OUT)+QUOTIENT(((c_TMAP2OUT)-(c_TMAP1OUT)),2),QUOTIENT((((K262)-(c_TMAP1IN))*((c_TMAP2OUT)-(c_TMAP1OUT))+IF(((c_TMAP2OUT)-(c_TMAP1OUT))&gt;=0,1,-1)*QUOTIENT(((c_TMAP2IN)-(c_TMAP1IN)),2)),((c_TMAP2IN)-(c_TMAP1IN)))+(c_TMAP1OUT)+IF(((c_TMAP2OUT)-(c_TMAP1OUT))&gt;=0,IF(IF(o_WRAP=1,MOD(((c_TMAP2IN)-(c_TMAP1IN))*(((K262)-(c_TMAP1IN))*((c_TMAP2OUT)-(c_TMAP1OUT))+IF(((c_TMAP2OUT)-(c_TMAP1OUT))&gt;=0,1,-1)*QUOTIENT(((c_TMAP2IN)-(c_TMAP1IN)),2))+2147483648,4294967296)-2147483648,((c_TMAP2IN)-(c_TMAP1IN))*(((K262)-(c_TMAP1IN))*((c_TMAP2OUT)-(c_TMAP1OUT))+IF(((c_TMAP2OUT)-(c_TMAP1OUT))&gt;=0,1,-1)*QUOTIENT(((c_TMAP2IN)-(c_TMAP1IN)),2)))&lt;0,-1,0),IF(IF(o_WRAP=1,MOD(((c_TMAP2IN)-(c_TMAP1IN))*(((K262)-(c_TMAP1IN))*((c_TMAP2OUT)-(c_TMAP1OUT))+IF(((c_TMAP2OUT)-(c_TMAP1OUT))&gt;=0,1,-1)*QUOTIENT(((c_TMAP2IN)-(c_TMAP1IN)),2))+2147483648,4294967296)-2147483648,((c_TMAP2IN)-(c_TMAP1IN))*(((K262)-(c_TMAP1IN))*((c_TMAP2OUT)-(c_TMAP1OUT))+IF(((c_TMAP2OUT)-(c_TMAP1OUT))&gt;=0,1,-1)*QUOTIENT(((c_TMAP2IN)-(c_TMAP1IN)),2)))&gt;=0,1,0)))</f>
        <v>307</v>
      </c>
      <c r="O262" s="7" t="n">
        <f aca="false">IF(((c_TMAP3IN)-(c_TMAP2IN))=0,(c_TMAP2OUT)+QUOTIENT(((c_TMAP3OUT)-(c_TMAP2OUT)),2),QUOTIENT((((K262)-(c_TMAP2IN))*((c_TMAP3OUT)-(c_TMAP2OUT))+IF(((c_TMAP3OUT)-(c_TMAP2OUT))&gt;=0,1,-1)*QUOTIENT(((c_TMAP3IN)-(c_TMAP2IN)),2)),((c_TMAP3IN)-(c_TMAP2IN)))+(c_TMAP2OUT)+IF(((c_TMAP3OUT)-(c_TMAP2OUT))&gt;=0,IF(IF(o_WRAP=1,MOD(((c_TMAP3IN)-(c_TMAP2IN))*(((K262)-(c_TMAP2IN))*((c_TMAP3OUT)-(c_TMAP2OUT))+IF(((c_TMAP3OUT)-(c_TMAP2OUT))&gt;=0,1,-1)*QUOTIENT(((c_TMAP3IN)-(c_TMAP2IN)),2))+2147483648,4294967296)-2147483648,((c_TMAP3IN)-(c_TMAP2IN))*(((K262)-(c_TMAP2IN))*((c_TMAP3OUT)-(c_TMAP2OUT))+IF(((c_TMAP3OUT)-(c_TMAP2OUT))&gt;=0,1,-1)*QUOTIENT(((c_TMAP3IN)-(c_TMAP2IN)),2)))&lt;0,-1,0),IF(IF(o_WRAP=1,MOD(((c_TMAP3IN)-(c_TMAP2IN))*(((K262)-(c_TMAP2IN))*((c_TMAP3OUT)-(c_TMAP2OUT))+IF(((c_TMAP3OUT)-(c_TMAP2OUT))&gt;=0,1,-1)*QUOTIENT(((c_TMAP3IN)-(c_TMAP2IN)),2))+2147483648,4294967296)-2147483648,((c_TMAP3IN)-(c_TMAP2IN))*(((K262)-(c_TMAP2IN))*((c_TMAP3OUT)-(c_TMAP2OUT))+IF(((c_TMAP3OUT)-(c_TMAP2OUT))&gt;=0,1,-1)*QUOTIENT(((c_TMAP3IN)-(c_TMAP2IN)),2)))&gt;=0,1,0)))</f>
        <v>440</v>
      </c>
      <c r="P262" s="7" t="n">
        <f aca="false">IF(((1000)-(c_TMAP3IN))=0,(c_TMAP3OUT)+QUOTIENT(((1000)-(c_TMAP3OUT)),2),QUOTIENT((((K262)-(c_TMAP3IN))*((1000)-(c_TMAP3OUT))+IF(((1000)-(c_TMAP3OUT))&gt;=0,1,-1)*QUOTIENT(((1000)-(c_TMAP3IN)),2)),((1000)-(c_TMAP3IN)))+(c_TMAP3OUT)+IF(((1000)-(c_TMAP3OUT))&gt;=0,IF(IF(o_WRAP=1,MOD(((1000)-(c_TMAP3IN))*(((K262)-(c_TMAP3IN))*((1000)-(c_TMAP3OUT))+IF(((1000)-(c_TMAP3OUT))&gt;=0,1,-1)*QUOTIENT(((1000)-(c_TMAP3IN)),2))+2147483648,4294967296)-2147483648,((1000)-(c_TMAP3IN))*(((K262)-(c_TMAP3IN))*((1000)-(c_TMAP3OUT))+IF(((1000)-(c_TMAP3OUT))&gt;=0,1,-1)*QUOTIENT(((1000)-(c_TMAP3IN)),2)))&lt;0,-1,0),IF(IF(o_WRAP=1,MOD(((1000)-(c_TMAP3IN))*(((K262)-(c_TMAP3IN))*((1000)-(c_TMAP3OUT))+IF(((1000)-(c_TMAP3OUT))&gt;=0,1,-1)*QUOTIENT(((1000)-(c_TMAP3IN)),2))+2147483648,4294967296)-2147483648,((1000)-(c_TMAP3IN))*(((K262)-(c_TMAP3IN))*((1000)-(c_TMAP3OUT))+IF(((1000)-(c_TMAP3OUT))&gt;=0,1,-1)*QUOTIENT(((1000)-(c_TMAP3IN)),2)))&gt;=0,1,0)))</f>
        <v>622</v>
      </c>
      <c r="Q262" s="7" t="str">
        <f aca="false">IF(K262&gt;=c_TFWD,IF(AND(K262&gt;=c_TMAP3IN,c_TMAP3IN&lt;1000),"Seg4 map3-100%",IF(AND(K262&gt;=c_TMAP2IN,c_TMAP3IN&gt;c_TMAP2IN),"Seg3 map2-map3",IF(AND(K262&gt;=c_TMAP1IN,c_TMAP2IN&gt;c_TMAP1IN),"Seg2 map1-map2","Seg1 TFWD-map1"))),IF(AND(K262=0,c_TCREEP&gt;0),"Creep",IF(AND(K262&lt;=c_TRNGMIN,K262&gt;=c_TRNGMAX,c_TRNGMIN-c_TRNGMAX&lt;&gt;0),"Regen ramp","Coast (0)")))</f>
        <v>Seg4 map3-100%</v>
      </c>
      <c r="R262" s="7" t="n">
        <f aca="false">IF(K262&gt;=c_TFWD,IF(AND(K262&gt;=c_TMAP3IN,c_TMAP3IN&lt;1000),P262,IF(AND(K262&gt;=c_TMAP2IN,c_TMAP3IN&gt;c_TMAP2IN),O262,IF(AND(K262&gt;=c_TMAP1IN,c_TMAP2IN&gt;c_TMAP1IN),N262,M262))),L262)</f>
        <v>622</v>
      </c>
      <c r="S262" s="7" t="str">
        <f aca="false">IF(R262&lt;-1090,"TOO LOW",IF(R262&gt;1090,"TOO HIGH",""))</f>
        <v/>
      </c>
      <c r="T262" s="15" t="n">
        <f aca="false">IF(H262&lt;&gt;"OK",0,IF(S262&lt;&gt;"",0,IF(R262&gt;979,1000,R262)))</f>
        <v>622</v>
      </c>
      <c r="U262" s="7" t="n">
        <f aca="false">T262/10</f>
        <v>62.2</v>
      </c>
    </row>
    <row r="263" customFormat="false" ht="15" hidden="false" customHeight="false" outlineLevel="0" collapsed="false">
      <c r="A263" s="7" t="n">
        <v>258</v>
      </c>
      <c r="B263" s="7" t="n">
        <f aca="false">ROUND(o_SWSTART+A263*(o_SWEND-o_SWSTART)/400,0)</f>
        <v>2641</v>
      </c>
      <c r="C263" s="7" t="n">
        <f aca="false">QUOTIENT((B263-c_OFF1)*c_GAIN1,1024)</f>
        <v>2641</v>
      </c>
      <c r="D263" s="7" t="n">
        <f aca="false">IF(((c_T1MX)-(c_T1MN))=0,(0)+QUOTIENT(((1000)-(0)),2),QUOTIENT((((C263)-(c_T1MN))*((1000)-(0))+IF(((1000)-(0))&gt;=0,1,-1)*QUOTIENT(((c_T1MX)-(c_T1MN)),2)),((c_T1MX)-(c_T1MN)))+(0)+IF(((1000)-(0))&gt;=0,IF(IF(o_WRAP=1,MOD(((c_T1MX)-(c_T1MN))*(((C263)-(c_T1MN))*((1000)-(0))+IF(((1000)-(0))&gt;=0,1,-1)*QUOTIENT(((c_T1MX)-(c_T1MN)),2))+2147483648,4294967296)-2147483648,((c_T1MX)-(c_T1MN))*(((C263)-(c_T1MN))*((1000)-(0))+IF(((1000)-(0))&gt;=0,1,-1)*QUOTIENT(((c_T1MX)-(c_T1MN)),2)))&lt;0,-1,0),IF(IF(o_WRAP=1,MOD(((c_T1MX)-(c_T1MN))*(((C263)-(c_T1MN))*((1000)-(0))+IF(((1000)-(0))&gt;=0,1,-1)*QUOTIENT(((c_T1MX)-(c_T1MN)),2))+2147483648,4294967296)-2147483648,((c_T1MX)-(c_T1MN))*(((C263)-(c_T1MN))*((1000)-(0))+IF(((1000)-(0))&gt;=0,1,-1)*QUOTIENT(((c_T1MX)-(c_T1MN)),2)))&gt;=0,1,0)))</f>
        <v>697</v>
      </c>
      <c r="E263" s="7" t="n">
        <f aca="false">IF(AND(c_TPOT=1,c_TTYPE=2),1000-D263,D263)</f>
        <v>697</v>
      </c>
      <c r="F263" s="7" t="str">
        <f aca="false">IF(c_TPOT&gt;1,ROUND(IF(c_TTYPE=2,c_T2MX-IF(c_T1MX=c_T1MN,0,(C263-c_T1MN)/(c_T1MX-c_T1MN))*(c_T2MX-c_T2MN),c_T2MN+IF(c_T1MX=c_T1MN,0,(C263-c_T1MN)/(c_T1MX-c_T1MN))*(c_T2MX-c_T2MN))+o_MISMATCH,0),"")</f>
        <v/>
      </c>
      <c r="G263" s="7" t="str">
        <f aca="false">IF(c_TPOT&gt;1,IF(((c_T2MX)-(c_T2MN))=0,(0)+QUOTIENT(((1000)-(0)),2),QUOTIENT((((F263)-(c_T2MN))*((1000)-(0))+IF(((1000)-(0))&gt;=0,1,-1)*QUOTIENT(((c_T2MX)-(c_T2MN)),2)),((c_T2MX)-(c_T2MN)))+(0)+IF(((1000)-(0))&gt;=0,IF(IF(o_WRAP=1,MOD(((c_T2MX)-(c_T2MN))*(((F263)-(c_T2MN))*((1000)-(0))+IF(((1000)-(0))&gt;=0,1,-1)*QUOTIENT(((c_T2MX)-(c_T2MN)),2))+2147483648,4294967296)-2147483648,((c_T2MX)-(c_T2MN))*(((F263)-(c_T2MN))*((1000)-(0))+IF(((1000)-(0))&gt;=0,1,-1)*QUOTIENT(((c_T2MX)-(c_T2MN)),2)))&lt;0,-1,0),IF(IF(o_WRAP=1,MOD(((c_T2MX)-(c_T2MN))*(((F263)-(c_T2MN))*((1000)-(0))+IF(((1000)-(0))&gt;=0,1,-1)*QUOTIENT(((c_T2MX)-(c_T2MN)),2))+2147483648,4294967296)-2147483648,((c_T2MX)-(c_T2MN))*(((F263)-(c_T2MN))*((1000)-(0))+IF(((1000)-(0))&gt;=0,1,-1)*QUOTIENT(((c_T2MX)-(c_T2MN)),2)))&gt;=0,1,0))),"")</f>
        <v/>
      </c>
      <c r="H263" s="7" t="str">
        <f aca="false">IF(E263&gt;1000+k_TOL,"T1 HIGH",IF(E263&lt;0-k_TOL,"T1 LOW",IF(c_TPOT&gt;1,IF(G263&gt;1000+k_TOL,"T2 HIGH",IF(G263&lt;0-k_TOL,"T2 LOW",IF(c_TTYPE=2,IF(ABS(1000-MAX(0,MIN(1000,E263))-MAX(0,MIN(1000,G263)))&gt;k_MAXERR,"MISMATCH","OK"),IF(OR(MAX(0,MIN(1000,E263))-k_MAXERR&gt;MAX(0,MIN(1000,G263)),MAX(0,MIN(1000,G263))-k_MAXERR&gt;MAX(0,MIN(1000,E263))),"MISMATCH","OK")))),"OK")))</f>
        <v>OK</v>
      </c>
      <c r="I263" s="7" t="n">
        <f aca="false">MAX(0,MIN(1000,D263))</f>
        <v>697</v>
      </c>
      <c r="J263" s="7" t="str">
        <f aca="false">IF(c_TPOT&gt;1,IF(c_TTYPE=2,1000-MAX(0,MIN(1000,G263)),MAX(0,MIN(1000,G263))),"")</f>
        <v/>
      </c>
      <c r="K263" s="7" t="n">
        <f aca="false">IF(c_TPOT&gt;1,QUOTIENT(I263+J263,2),I263)</f>
        <v>697</v>
      </c>
      <c r="L263" s="7" t="n">
        <f aca="false">IF(AND(K263=0,c_TCREEP&gt;0),10*c_TCREEP,IF(AND(K263&lt;=c_TRNGMIN,K263&gt;=c_TRNGMAX,c_TRNGMIN-c_TRNGMAX&lt;&gt;0),-10*c_TMINRN+QUOTIENT((c_TMAXRN-c_TMINRN)*(100-QUOTIENT((K263-c_TRNGMAX)*100,c_TRNGMIN-c_TRNGMAX)),-10),0))</f>
        <v>0</v>
      </c>
      <c r="M263" s="7" t="n">
        <f aca="false">IF(((c_TMAP1IN)-(c_TFWD))=0,(0)+QUOTIENT(((c_TMAP1OUT)-(0)),2),QUOTIENT((((K263)-(c_TFWD))*((c_TMAP1OUT)-(0))+IF(((c_TMAP1OUT)-(0))&gt;=0,1,-1)*QUOTIENT(((c_TMAP1IN)-(c_TFWD)),2)),((c_TMAP1IN)-(c_TFWD)))+(0)+IF(((c_TMAP1OUT)-(0))&gt;=0,IF(IF(o_WRAP=1,MOD(((c_TMAP1IN)-(c_TFWD))*(((K263)-(c_TFWD))*((c_TMAP1OUT)-(0))+IF(((c_TMAP1OUT)-(0))&gt;=0,1,-1)*QUOTIENT(((c_TMAP1IN)-(c_TFWD)),2))+2147483648,4294967296)-2147483648,((c_TMAP1IN)-(c_TFWD))*(((K263)-(c_TFWD))*((c_TMAP1OUT)-(0))+IF(((c_TMAP1OUT)-(0))&gt;=0,1,-1)*QUOTIENT(((c_TMAP1IN)-(c_TFWD)),2)))&lt;0,-1,0),IF(IF(o_WRAP=1,MOD(((c_TMAP1IN)-(c_TFWD))*(((K263)-(c_TFWD))*((c_TMAP1OUT)-(0))+IF(((c_TMAP1OUT)-(0))&gt;=0,1,-1)*QUOTIENT(((c_TMAP1IN)-(c_TFWD)),2))+2147483648,4294967296)-2147483648,((c_TMAP1IN)-(c_TFWD))*(((K263)-(c_TFWD))*((c_TMAP1OUT)-(0))+IF(((c_TMAP1OUT)-(0))&gt;=0,1,-1)*QUOTIENT(((c_TMAP1IN)-(c_TFWD)),2)))&gt;=0,1,0)))</f>
        <v>534</v>
      </c>
      <c r="N263" s="7" t="n">
        <f aca="false">IF(((c_TMAP2IN)-(c_TMAP1IN))=0,(c_TMAP1OUT)+QUOTIENT(((c_TMAP2OUT)-(c_TMAP1OUT)),2),QUOTIENT((((K263)-(c_TMAP1IN))*((c_TMAP2OUT)-(c_TMAP1OUT))+IF(((c_TMAP2OUT)-(c_TMAP1OUT))&gt;=0,1,-1)*QUOTIENT(((c_TMAP2IN)-(c_TMAP1IN)),2)),((c_TMAP2IN)-(c_TMAP1IN)))+(c_TMAP1OUT)+IF(((c_TMAP2OUT)-(c_TMAP1OUT))&gt;=0,IF(IF(o_WRAP=1,MOD(((c_TMAP2IN)-(c_TMAP1IN))*(((K263)-(c_TMAP1IN))*((c_TMAP2OUT)-(c_TMAP1OUT))+IF(((c_TMAP2OUT)-(c_TMAP1OUT))&gt;=0,1,-1)*QUOTIENT(((c_TMAP2IN)-(c_TMAP1IN)),2))+2147483648,4294967296)-2147483648,((c_TMAP2IN)-(c_TMAP1IN))*(((K263)-(c_TMAP1IN))*((c_TMAP2OUT)-(c_TMAP1OUT))+IF(((c_TMAP2OUT)-(c_TMAP1OUT))&gt;=0,1,-1)*QUOTIENT(((c_TMAP2IN)-(c_TMAP1IN)),2)))&lt;0,-1,0),IF(IF(o_WRAP=1,MOD(((c_TMAP2IN)-(c_TMAP1IN))*(((K263)-(c_TMAP1IN))*((c_TMAP2OUT)-(c_TMAP1OUT))+IF(((c_TMAP2OUT)-(c_TMAP1OUT))&gt;=0,1,-1)*QUOTIENT(((c_TMAP2IN)-(c_TMAP1IN)),2))+2147483648,4294967296)-2147483648,((c_TMAP2IN)-(c_TMAP1IN))*(((K263)-(c_TMAP1IN))*((c_TMAP2OUT)-(c_TMAP1OUT))+IF(((c_TMAP2OUT)-(c_TMAP1OUT))&gt;=0,1,-1)*QUOTIENT(((c_TMAP2IN)-(c_TMAP1IN)),2)))&gt;=0,1,0)))</f>
        <v>309</v>
      </c>
      <c r="O263" s="7" t="n">
        <f aca="false">IF(((c_TMAP3IN)-(c_TMAP2IN))=0,(c_TMAP2OUT)+QUOTIENT(((c_TMAP3OUT)-(c_TMAP2OUT)),2),QUOTIENT((((K263)-(c_TMAP2IN))*((c_TMAP3OUT)-(c_TMAP2OUT))+IF(((c_TMAP3OUT)-(c_TMAP2OUT))&gt;=0,1,-1)*QUOTIENT(((c_TMAP3IN)-(c_TMAP2IN)),2)),((c_TMAP3IN)-(c_TMAP2IN)))+(c_TMAP2OUT)+IF(((c_TMAP3OUT)-(c_TMAP2OUT))&gt;=0,IF(IF(o_WRAP=1,MOD(((c_TMAP3IN)-(c_TMAP2IN))*(((K263)-(c_TMAP2IN))*((c_TMAP3OUT)-(c_TMAP2OUT))+IF(((c_TMAP3OUT)-(c_TMAP2OUT))&gt;=0,1,-1)*QUOTIENT(((c_TMAP3IN)-(c_TMAP2IN)),2))+2147483648,4294967296)-2147483648,((c_TMAP3IN)-(c_TMAP2IN))*(((K263)-(c_TMAP2IN))*((c_TMAP3OUT)-(c_TMAP2OUT))+IF(((c_TMAP3OUT)-(c_TMAP2OUT))&gt;=0,1,-1)*QUOTIENT(((c_TMAP3IN)-(c_TMAP2IN)),2)))&lt;0,-1,0),IF(IF(o_WRAP=1,MOD(((c_TMAP3IN)-(c_TMAP2IN))*(((K263)-(c_TMAP2IN))*((c_TMAP3OUT)-(c_TMAP2OUT))+IF(((c_TMAP3OUT)-(c_TMAP2OUT))&gt;=0,1,-1)*QUOTIENT(((c_TMAP3IN)-(c_TMAP2IN)),2))+2147483648,4294967296)-2147483648,((c_TMAP3IN)-(c_TMAP2IN))*(((K263)-(c_TMAP2IN))*((c_TMAP3OUT)-(c_TMAP2OUT))+IF(((c_TMAP3OUT)-(c_TMAP2OUT))&gt;=0,1,-1)*QUOTIENT(((c_TMAP3IN)-(c_TMAP2IN)),2)))&gt;=0,1,0)))</f>
        <v>443</v>
      </c>
      <c r="P263" s="7" t="n">
        <f aca="false">IF(((1000)-(c_TMAP3IN))=0,(c_TMAP3OUT)+QUOTIENT(((1000)-(c_TMAP3OUT)),2),QUOTIENT((((K263)-(c_TMAP3IN))*((1000)-(c_TMAP3OUT))+IF(((1000)-(c_TMAP3OUT))&gt;=0,1,-1)*QUOTIENT(((1000)-(c_TMAP3IN)),2)),((1000)-(c_TMAP3IN)))+(c_TMAP3OUT)+IF(((1000)-(c_TMAP3OUT))&gt;=0,IF(IF(o_WRAP=1,MOD(((1000)-(c_TMAP3IN))*(((K263)-(c_TMAP3IN))*((1000)-(c_TMAP3OUT))+IF(((1000)-(c_TMAP3OUT))&gt;=0,1,-1)*QUOTIENT(((1000)-(c_TMAP3IN)),2))+2147483648,4294967296)-2147483648,((1000)-(c_TMAP3IN))*(((K263)-(c_TMAP3IN))*((1000)-(c_TMAP3OUT))+IF(((1000)-(c_TMAP3OUT))&gt;=0,1,-1)*QUOTIENT(((1000)-(c_TMAP3IN)),2)))&lt;0,-1,0),IF(IF(o_WRAP=1,MOD(((1000)-(c_TMAP3IN))*(((K263)-(c_TMAP3IN))*((1000)-(c_TMAP3OUT))+IF(((1000)-(c_TMAP3OUT))&gt;=0,1,-1)*QUOTIENT(((1000)-(c_TMAP3IN)),2))+2147483648,4294967296)-2147483648,((1000)-(c_TMAP3IN))*(((K263)-(c_TMAP3IN))*((1000)-(c_TMAP3OUT))+IF(((1000)-(c_TMAP3OUT))&gt;=0,1,-1)*QUOTIENT(((1000)-(c_TMAP3IN)),2)))&gt;=0,1,0)))</f>
        <v>627</v>
      </c>
      <c r="Q263" s="7" t="str">
        <f aca="false">IF(K263&gt;=c_TFWD,IF(AND(K263&gt;=c_TMAP3IN,c_TMAP3IN&lt;1000),"Seg4 map3-100%",IF(AND(K263&gt;=c_TMAP2IN,c_TMAP3IN&gt;c_TMAP2IN),"Seg3 map2-map3",IF(AND(K263&gt;=c_TMAP1IN,c_TMAP2IN&gt;c_TMAP1IN),"Seg2 map1-map2","Seg1 TFWD-map1"))),IF(AND(K263=0,c_TCREEP&gt;0),"Creep",IF(AND(K263&lt;=c_TRNGMIN,K263&gt;=c_TRNGMAX,c_TRNGMIN-c_TRNGMAX&lt;&gt;0),"Regen ramp","Coast (0)")))</f>
        <v>Seg4 map3-100%</v>
      </c>
      <c r="R263" s="7" t="n">
        <f aca="false">IF(K263&gt;=c_TFWD,IF(AND(K263&gt;=c_TMAP3IN,c_TMAP3IN&lt;1000),P263,IF(AND(K263&gt;=c_TMAP2IN,c_TMAP3IN&gt;c_TMAP2IN),O263,IF(AND(K263&gt;=c_TMAP1IN,c_TMAP2IN&gt;c_TMAP1IN),N263,M263))),L263)</f>
        <v>627</v>
      </c>
      <c r="S263" s="7" t="str">
        <f aca="false">IF(R263&lt;-1090,"TOO LOW",IF(R263&gt;1090,"TOO HIGH",""))</f>
        <v/>
      </c>
      <c r="T263" s="15" t="n">
        <f aca="false">IF(H263&lt;&gt;"OK",0,IF(S263&lt;&gt;"",0,IF(R263&gt;979,1000,R263)))</f>
        <v>627</v>
      </c>
      <c r="U263" s="7" t="n">
        <f aca="false">T263/10</f>
        <v>62.7</v>
      </c>
    </row>
    <row r="264" customFormat="false" ht="15" hidden="false" customHeight="false" outlineLevel="0" collapsed="false">
      <c r="A264" s="7" t="n">
        <v>259</v>
      </c>
      <c r="B264" s="7" t="n">
        <f aca="false">ROUND(o_SWSTART+A264*(o_SWEND-o_SWSTART)/400,0)</f>
        <v>2652</v>
      </c>
      <c r="C264" s="7" t="n">
        <f aca="false">QUOTIENT((B264-c_OFF1)*c_GAIN1,1024)</f>
        <v>2652</v>
      </c>
      <c r="D264" s="7" t="n">
        <f aca="false">IF(((c_T1MX)-(c_T1MN))=0,(0)+QUOTIENT(((1000)-(0)),2),QUOTIENT((((C264)-(c_T1MN))*((1000)-(0))+IF(((1000)-(0))&gt;=0,1,-1)*QUOTIENT(((c_T1MX)-(c_T1MN)),2)),((c_T1MX)-(c_T1MN)))+(0)+IF(((1000)-(0))&gt;=0,IF(IF(o_WRAP=1,MOD(((c_T1MX)-(c_T1MN))*(((C264)-(c_T1MN))*((1000)-(0))+IF(((1000)-(0))&gt;=0,1,-1)*QUOTIENT(((c_T1MX)-(c_T1MN)),2))+2147483648,4294967296)-2147483648,((c_T1MX)-(c_T1MN))*(((C264)-(c_T1MN))*((1000)-(0))+IF(((1000)-(0))&gt;=0,1,-1)*QUOTIENT(((c_T1MX)-(c_T1MN)),2)))&lt;0,-1,0),IF(IF(o_WRAP=1,MOD(((c_T1MX)-(c_T1MN))*(((C264)-(c_T1MN))*((1000)-(0))+IF(((1000)-(0))&gt;=0,1,-1)*QUOTIENT(((c_T1MX)-(c_T1MN)),2))+2147483648,4294967296)-2147483648,((c_T1MX)-(c_T1MN))*(((C264)-(c_T1MN))*((1000)-(0))+IF(((1000)-(0))&gt;=0,1,-1)*QUOTIENT(((c_T1MX)-(c_T1MN)),2)))&gt;=0,1,0)))</f>
        <v>701</v>
      </c>
      <c r="E264" s="7" t="n">
        <f aca="false">IF(AND(c_TPOT=1,c_TTYPE=2),1000-D264,D264)</f>
        <v>701</v>
      </c>
      <c r="F264" s="7" t="str">
        <f aca="false">IF(c_TPOT&gt;1,ROUND(IF(c_TTYPE=2,c_T2MX-IF(c_T1MX=c_T1MN,0,(C264-c_T1MN)/(c_T1MX-c_T1MN))*(c_T2MX-c_T2MN),c_T2MN+IF(c_T1MX=c_T1MN,0,(C264-c_T1MN)/(c_T1MX-c_T1MN))*(c_T2MX-c_T2MN))+o_MISMATCH,0),"")</f>
        <v/>
      </c>
      <c r="G264" s="7" t="str">
        <f aca="false">IF(c_TPOT&gt;1,IF(((c_T2MX)-(c_T2MN))=0,(0)+QUOTIENT(((1000)-(0)),2),QUOTIENT((((F264)-(c_T2MN))*((1000)-(0))+IF(((1000)-(0))&gt;=0,1,-1)*QUOTIENT(((c_T2MX)-(c_T2MN)),2)),((c_T2MX)-(c_T2MN)))+(0)+IF(((1000)-(0))&gt;=0,IF(IF(o_WRAP=1,MOD(((c_T2MX)-(c_T2MN))*(((F264)-(c_T2MN))*((1000)-(0))+IF(((1000)-(0))&gt;=0,1,-1)*QUOTIENT(((c_T2MX)-(c_T2MN)),2))+2147483648,4294967296)-2147483648,((c_T2MX)-(c_T2MN))*(((F264)-(c_T2MN))*((1000)-(0))+IF(((1000)-(0))&gt;=0,1,-1)*QUOTIENT(((c_T2MX)-(c_T2MN)),2)))&lt;0,-1,0),IF(IF(o_WRAP=1,MOD(((c_T2MX)-(c_T2MN))*(((F264)-(c_T2MN))*((1000)-(0))+IF(((1000)-(0))&gt;=0,1,-1)*QUOTIENT(((c_T2MX)-(c_T2MN)),2))+2147483648,4294967296)-2147483648,((c_T2MX)-(c_T2MN))*(((F264)-(c_T2MN))*((1000)-(0))+IF(((1000)-(0))&gt;=0,1,-1)*QUOTIENT(((c_T2MX)-(c_T2MN)),2)))&gt;=0,1,0))),"")</f>
        <v/>
      </c>
      <c r="H264" s="7" t="str">
        <f aca="false">IF(E264&gt;1000+k_TOL,"T1 HIGH",IF(E264&lt;0-k_TOL,"T1 LOW",IF(c_TPOT&gt;1,IF(G264&gt;1000+k_TOL,"T2 HIGH",IF(G264&lt;0-k_TOL,"T2 LOW",IF(c_TTYPE=2,IF(ABS(1000-MAX(0,MIN(1000,E264))-MAX(0,MIN(1000,G264)))&gt;k_MAXERR,"MISMATCH","OK"),IF(OR(MAX(0,MIN(1000,E264))-k_MAXERR&gt;MAX(0,MIN(1000,G264)),MAX(0,MIN(1000,G264))-k_MAXERR&gt;MAX(0,MIN(1000,E264))),"MISMATCH","OK")))),"OK")))</f>
        <v>OK</v>
      </c>
      <c r="I264" s="7" t="n">
        <f aca="false">MAX(0,MIN(1000,D264))</f>
        <v>701</v>
      </c>
      <c r="J264" s="7" t="str">
        <f aca="false">IF(c_TPOT&gt;1,IF(c_TTYPE=2,1000-MAX(0,MIN(1000,G264)),MAX(0,MIN(1000,G264))),"")</f>
        <v/>
      </c>
      <c r="K264" s="7" t="n">
        <f aca="false">IF(c_TPOT&gt;1,QUOTIENT(I264+J264,2),I264)</f>
        <v>701</v>
      </c>
      <c r="L264" s="7" t="n">
        <f aca="false">IF(AND(K264=0,c_TCREEP&gt;0),10*c_TCREEP,IF(AND(K264&lt;=c_TRNGMIN,K264&gt;=c_TRNGMAX,c_TRNGMIN-c_TRNGMAX&lt;&gt;0),-10*c_TMINRN+QUOTIENT((c_TMAXRN-c_TMINRN)*(100-QUOTIENT((K264-c_TRNGMAX)*100,c_TRNGMIN-c_TRNGMAX)),-10),0))</f>
        <v>0</v>
      </c>
      <c r="M264" s="7" t="n">
        <f aca="false">IF(((c_TMAP1IN)-(c_TFWD))=0,(0)+QUOTIENT(((c_TMAP1OUT)-(0)),2),QUOTIENT((((K264)-(c_TFWD))*((c_TMAP1OUT)-(0))+IF(((c_TMAP1OUT)-(0))&gt;=0,1,-1)*QUOTIENT(((c_TMAP1IN)-(c_TFWD)),2)),((c_TMAP1IN)-(c_TFWD)))+(0)+IF(((c_TMAP1OUT)-(0))&gt;=0,IF(IF(o_WRAP=1,MOD(((c_TMAP1IN)-(c_TFWD))*(((K264)-(c_TFWD))*((c_TMAP1OUT)-(0))+IF(((c_TMAP1OUT)-(0))&gt;=0,1,-1)*QUOTIENT(((c_TMAP1IN)-(c_TFWD)),2))+2147483648,4294967296)-2147483648,((c_TMAP1IN)-(c_TFWD))*(((K264)-(c_TFWD))*((c_TMAP1OUT)-(0))+IF(((c_TMAP1OUT)-(0))&gt;=0,1,-1)*QUOTIENT(((c_TMAP1IN)-(c_TFWD)),2)))&lt;0,-1,0),IF(IF(o_WRAP=1,MOD(((c_TMAP1IN)-(c_TFWD))*(((K264)-(c_TFWD))*((c_TMAP1OUT)-(0))+IF(((c_TMAP1OUT)-(0))&gt;=0,1,-1)*QUOTIENT(((c_TMAP1IN)-(c_TFWD)),2))+2147483648,4294967296)-2147483648,((c_TMAP1IN)-(c_TFWD))*(((K264)-(c_TFWD))*((c_TMAP1OUT)-(0))+IF(((c_TMAP1OUT)-(0))&gt;=0,1,-1)*QUOTIENT(((c_TMAP1IN)-(c_TFWD)),2)))&gt;=0,1,0)))</f>
        <v>537</v>
      </c>
      <c r="N264" s="7" t="n">
        <f aca="false">IF(((c_TMAP2IN)-(c_TMAP1IN))=0,(c_TMAP1OUT)+QUOTIENT(((c_TMAP2OUT)-(c_TMAP1OUT)),2),QUOTIENT((((K264)-(c_TMAP1IN))*((c_TMAP2OUT)-(c_TMAP1OUT))+IF(((c_TMAP2OUT)-(c_TMAP1OUT))&gt;=0,1,-1)*QUOTIENT(((c_TMAP2IN)-(c_TMAP1IN)),2)),((c_TMAP2IN)-(c_TMAP1IN)))+(c_TMAP1OUT)+IF(((c_TMAP2OUT)-(c_TMAP1OUT))&gt;=0,IF(IF(o_WRAP=1,MOD(((c_TMAP2IN)-(c_TMAP1IN))*(((K264)-(c_TMAP1IN))*((c_TMAP2OUT)-(c_TMAP1OUT))+IF(((c_TMAP2OUT)-(c_TMAP1OUT))&gt;=0,1,-1)*QUOTIENT(((c_TMAP2IN)-(c_TMAP1IN)),2))+2147483648,4294967296)-2147483648,((c_TMAP2IN)-(c_TMAP1IN))*(((K264)-(c_TMAP1IN))*((c_TMAP2OUT)-(c_TMAP1OUT))+IF(((c_TMAP2OUT)-(c_TMAP1OUT))&gt;=0,1,-1)*QUOTIENT(((c_TMAP2IN)-(c_TMAP1IN)),2)))&lt;0,-1,0),IF(IF(o_WRAP=1,MOD(((c_TMAP2IN)-(c_TMAP1IN))*(((K264)-(c_TMAP1IN))*((c_TMAP2OUT)-(c_TMAP1OUT))+IF(((c_TMAP2OUT)-(c_TMAP1OUT))&gt;=0,1,-1)*QUOTIENT(((c_TMAP2IN)-(c_TMAP1IN)),2))+2147483648,4294967296)-2147483648,((c_TMAP2IN)-(c_TMAP1IN))*(((K264)-(c_TMAP1IN))*((c_TMAP2OUT)-(c_TMAP1OUT))+IF(((c_TMAP2OUT)-(c_TMAP1OUT))&gt;=0,1,-1)*QUOTIENT(((c_TMAP2IN)-(c_TMAP1IN)),2)))&gt;=0,1,0)))</f>
        <v>310</v>
      </c>
      <c r="O264" s="7" t="n">
        <f aca="false">IF(((c_TMAP3IN)-(c_TMAP2IN))=0,(c_TMAP2OUT)+QUOTIENT(((c_TMAP3OUT)-(c_TMAP2OUT)),2),QUOTIENT((((K264)-(c_TMAP2IN))*((c_TMAP3OUT)-(c_TMAP2OUT))+IF(((c_TMAP3OUT)-(c_TMAP2OUT))&gt;=0,1,-1)*QUOTIENT(((c_TMAP3IN)-(c_TMAP2IN)),2)),((c_TMAP3IN)-(c_TMAP2IN)))+(c_TMAP2OUT)+IF(((c_TMAP3OUT)-(c_TMAP2OUT))&gt;=0,IF(IF(o_WRAP=1,MOD(((c_TMAP3IN)-(c_TMAP2IN))*(((K264)-(c_TMAP2IN))*((c_TMAP3OUT)-(c_TMAP2OUT))+IF(((c_TMAP3OUT)-(c_TMAP2OUT))&gt;=0,1,-1)*QUOTIENT(((c_TMAP3IN)-(c_TMAP2IN)),2))+2147483648,4294967296)-2147483648,((c_TMAP3IN)-(c_TMAP2IN))*(((K264)-(c_TMAP2IN))*((c_TMAP3OUT)-(c_TMAP2OUT))+IF(((c_TMAP3OUT)-(c_TMAP2OUT))&gt;=0,1,-1)*QUOTIENT(((c_TMAP3IN)-(c_TMAP2IN)),2)))&lt;0,-1,0),IF(IF(o_WRAP=1,MOD(((c_TMAP3IN)-(c_TMAP2IN))*(((K264)-(c_TMAP2IN))*((c_TMAP3OUT)-(c_TMAP2OUT))+IF(((c_TMAP3OUT)-(c_TMAP2OUT))&gt;=0,1,-1)*QUOTIENT(((c_TMAP3IN)-(c_TMAP2IN)),2))+2147483648,4294967296)-2147483648,((c_TMAP3IN)-(c_TMAP2IN))*(((K264)-(c_TMAP2IN))*((c_TMAP3OUT)-(c_TMAP2OUT))+IF(((c_TMAP3OUT)-(c_TMAP2OUT))&gt;=0,1,-1)*QUOTIENT(((c_TMAP3IN)-(c_TMAP2IN)),2)))&gt;=0,1,0)))</f>
        <v>446</v>
      </c>
      <c r="P264" s="7" t="n">
        <f aca="false">IF(((1000)-(c_TMAP3IN))=0,(c_TMAP3OUT)+QUOTIENT(((1000)-(c_TMAP3OUT)),2),QUOTIENT((((K264)-(c_TMAP3IN))*((1000)-(c_TMAP3OUT))+IF(((1000)-(c_TMAP3OUT))&gt;=0,1,-1)*QUOTIENT(((1000)-(c_TMAP3IN)),2)),((1000)-(c_TMAP3IN)))+(c_TMAP3OUT)+IF(((1000)-(c_TMAP3OUT))&gt;=0,IF(IF(o_WRAP=1,MOD(((1000)-(c_TMAP3IN))*(((K264)-(c_TMAP3IN))*((1000)-(c_TMAP3OUT))+IF(((1000)-(c_TMAP3OUT))&gt;=0,1,-1)*QUOTIENT(((1000)-(c_TMAP3IN)),2))+2147483648,4294967296)-2147483648,((1000)-(c_TMAP3IN))*(((K264)-(c_TMAP3IN))*((1000)-(c_TMAP3OUT))+IF(((1000)-(c_TMAP3OUT))&gt;=0,1,-1)*QUOTIENT(((1000)-(c_TMAP3IN)),2)))&lt;0,-1,0),IF(IF(o_WRAP=1,MOD(((1000)-(c_TMAP3IN))*(((K264)-(c_TMAP3IN))*((1000)-(c_TMAP3OUT))+IF(((1000)-(c_TMAP3OUT))&gt;=0,1,-1)*QUOTIENT(((1000)-(c_TMAP3IN)),2))+2147483648,4294967296)-2147483648,((1000)-(c_TMAP3IN))*(((K264)-(c_TMAP3IN))*((1000)-(c_TMAP3OUT))+IF(((1000)-(c_TMAP3OUT))&gt;=0,1,-1)*QUOTIENT(((1000)-(c_TMAP3IN)),2)))&gt;=0,1,0)))</f>
        <v>632</v>
      </c>
      <c r="Q264" s="7" t="str">
        <f aca="false">IF(K264&gt;=c_TFWD,IF(AND(K264&gt;=c_TMAP3IN,c_TMAP3IN&lt;1000),"Seg4 map3-100%",IF(AND(K264&gt;=c_TMAP2IN,c_TMAP3IN&gt;c_TMAP2IN),"Seg3 map2-map3",IF(AND(K264&gt;=c_TMAP1IN,c_TMAP2IN&gt;c_TMAP1IN),"Seg2 map1-map2","Seg1 TFWD-map1"))),IF(AND(K264=0,c_TCREEP&gt;0),"Creep",IF(AND(K264&lt;=c_TRNGMIN,K264&gt;=c_TRNGMAX,c_TRNGMIN-c_TRNGMAX&lt;&gt;0),"Regen ramp","Coast (0)")))</f>
        <v>Seg4 map3-100%</v>
      </c>
      <c r="R264" s="7" t="n">
        <f aca="false">IF(K264&gt;=c_TFWD,IF(AND(K264&gt;=c_TMAP3IN,c_TMAP3IN&lt;1000),P264,IF(AND(K264&gt;=c_TMAP2IN,c_TMAP3IN&gt;c_TMAP2IN),O264,IF(AND(K264&gt;=c_TMAP1IN,c_TMAP2IN&gt;c_TMAP1IN),N264,M264))),L264)</f>
        <v>632</v>
      </c>
      <c r="S264" s="7" t="str">
        <f aca="false">IF(R264&lt;-1090,"TOO LOW",IF(R264&gt;1090,"TOO HIGH",""))</f>
        <v/>
      </c>
      <c r="T264" s="15" t="n">
        <f aca="false">IF(H264&lt;&gt;"OK",0,IF(S264&lt;&gt;"",0,IF(R264&gt;979,1000,R264)))</f>
        <v>632</v>
      </c>
      <c r="U264" s="7" t="n">
        <f aca="false">T264/10</f>
        <v>63.2</v>
      </c>
    </row>
    <row r="265" customFormat="false" ht="15" hidden="false" customHeight="false" outlineLevel="0" collapsed="false">
      <c r="A265" s="7" t="n">
        <v>260</v>
      </c>
      <c r="B265" s="7" t="n">
        <f aca="false">ROUND(o_SWSTART+A265*(o_SWEND-o_SWSTART)/400,0)</f>
        <v>2662</v>
      </c>
      <c r="C265" s="7" t="n">
        <f aca="false">QUOTIENT((B265-c_OFF1)*c_GAIN1,1024)</f>
        <v>2662</v>
      </c>
      <c r="D265" s="7" t="n">
        <f aca="false">IF(((c_T1MX)-(c_T1MN))=0,(0)+QUOTIENT(((1000)-(0)),2),QUOTIENT((((C265)-(c_T1MN))*((1000)-(0))+IF(((1000)-(0))&gt;=0,1,-1)*QUOTIENT(((c_T1MX)-(c_T1MN)),2)),((c_T1MX)-(c_T1MN)))+(0)+IF(((1000)-(0))&gt;=0,IF(IF(o_WRAP=1,MOD(((c_T1MX)-(c_T1MN))*(((C265)-(c_T1MN))*((1000)-(0))+IF(((1000)-(0))&gt;=0,1,-1)*QUOTIENT(((c_T1MX)-(c_T1MN)),2))+2147483648,4294967296)-2147483648,((c_T1MX)-(c_T1MN))*(((C265)-(c_T1MN))*((1000)-(0))+IF(((1000)-(0))&gt;=0,1,-1)*QUOTIENT(((c_T1MX)-(c_T1MN)),2)))&lt;0,-1,0),IF(IF(o_WRAP=1,MOD(((c_T1MX)-(c_T1MN))*(((C265)-(c_T1MN))*((1000)-(0))+IF(((1000)-(0))&gt;=0,1,-1)*QUOTIENT(((c_T1MX)-(c_T1MN)),2))+2147483648,4294967296)-2147483648,((c_T1MX)-(c_T1MN))*(((C265)-(c_T1MN))*((1000)-(0))+IF(((1000)-(0))&gt;=0,1,-1)*QUOTIENT(((c_T1MX)-(c_T1MN)),2)))&gt;=0,1,0)))</f>
        <v>705</v>
      </c>
      <c r="E265" s="7" t="n">
        <f aca="false">IF(AND(c_TPOT=1,c_TTYPE=2),1000-D265,D265)</f>
        <v>705</v>
      </c>
      <c r="F265" s="7" t="str">
        <f aca="false">IF(c_TPOT&gt;1,ROUND(IF(c_TTYPE=2,c_T2MX-IF(c_T1MX=c_T1MN,0,(C265-c_T1MN)/(c_T1MX-c_T1MN))*(c_T2MX-c_T2MN),c_T2MN+IF(c_T1MX=c_T1MN,0,(C265-c_T1MN)/(c_T1MX-c_T1MN))*(c_T2MX-c_T2MN))+o_MISMATCH,0),"")</f>
        <v/>
      </c>
      <c r="G265" s="7" t="str">
        <f aca="false">IF(c_TPOT&gt;1,IF(((c_T2MX)-(c_T2MN))=0,(0)+QUOTIENT(((1000)-(0)),2),QUOTIENT((((F265)-(c_T2MN))*((1000)-(0))+IF(((1000)-(0))&gt;=0,1,-1)*QUOTIENT(((c_T2MX)-(c_T2MN)),2)),((c_T2MX)-(c_T2MN)))+(0)+IF(((1000)-(0))&gt;=0,IF(IF(o_WRAP=1,MOD(((c_T2MX)-(c_T2MN))*(((F265)-(c_T2MN))*((1000)-(0))+IF(((1000)-(0))&gt;=0,1,-1)*QUOTIENT(((c_T2MX)-(c_T2MN)),2))+2147483648,4294967296)-2147483648,((c_T2MX)-(c_T2MN))*(((F265)-(c_T2MN))*((1000)-(0))+IF(((1000)-(0))&gt;=0,1,-1)*QUOTIENT(((c_T2MX)-(c_T2MN)),2)))&lt;0,-1,0),IF(IF(o_WRAP=1,MOD(((c_T2MX)-(c_T2MN))*(((F265)-(c_T2MN))*((1000)-(0))+IF(((1000)-(0))&gt;=0,1,-1)*QUOTIENT(((c_T2MX)-(c_T2MN)),2))+2147483648,4294967296)-2147483648,((c_T2MX)-(c_T2MN))*(((F265)-(c_T2MN))*((1000)-(0))+IF(((1000)-(0))&gt;=0,1,-1)*QUOTIENT(((c_T2MX)-(c_T2MN)),2)))&gt;=0,1,0))),"")</f>
        <v/>
      </c>
      <c r="H265" s="7" t="str">
        <f aca="false">IF(E265&gt;1000+k_TOL,"T1 HIGH",IF(E265&lt;0-k_TOL,"T1 LOW",IF(c_TPOT&gt;1,IF(G265&gt;1000+k_TOL,"T2 HIGH",IF(G265&lt;0-k_TOL,"T2 LOW",IF(c_TTYPE=2,IF(ABS(1000-MAX(0,MIN(1000,E265))-MAX(0,MIN(1000,G265)))&gt;k_MAXERR,"MISMATCH","OK"),IF(OR(MAX(0,MIN(1000,E265))-k_MAXERR&gt;MAX(0,MIN(1000,G265)),MAX(0,MIN(1000,G265))-k_MAXERR&gt;MAX(0,MIN(1000,E265))),"MISMATCH","OK")))),"OK")))</f>
        <v>OK</v>
      </c>
      <c r="I265" s="7" t="n">
        <f aca="false">MAX(0,MIN(1000,D265))</f>
        <v>705</v>
      </c>
      <c r="J265" s="7" t="str">
        <f aca="false">IF(c_TPOT&gt;1,IF(c_TTYPE=2,1000-MAX(0,MIN(1000,G265)),MAX(0,MIN(1000,G265))),"")</f>
        <v/>
      </c>
      <c r="K265" s="7" t="n">
        <f aca="false">IF(c_TPOT&gt;1,QUOTIENT(I265+J265,2),I265)</f>
        <v>705</v>
      </c>
      <c r="L265" s="7" t="n">
        <f aca="false">IF(AND(K265=0,c_TCREEP&gt;0),10*c_TCREEP,IF(AND(K265&lt;=c_TRNGMIN,K265&gt;=c_TRNGMAX,c_TRNGMIN-c_TRNGMAX&lt;&gt;0),-10*c_TMINRN+QUOTIENT((c_TMAXRN-c_TMINRN)*(100-QUOTIENT((K265-c_TRNGMAX)*100,c_TRNGMIN-c_TRNGMAX)),-10),0))</f>
        <v>0</v>
      </c>
      <c r="M265" s="7" t="n">
        <f aca="false">IF(((c_TMAP1IN)-(c_TFWD))=0,(0)+QUOTIENT(((c_TMAP1OUT)-(0)),2),QUOTIENT((((K265)-(c_TFWD))*((c_TMAP1OUT)-(0))+IF(((c_TMAP1OUT)-(0))&gt;=0,1,-1)*QUOTIENT(((c_TMAP1IN)-(c_TFWD)),2)),((c_TMAP1IN)-(c_TFWD)))+(0)+IF(((c_TMAP1OUT)-(0))&gt;=0,IF(IF(o_WRAP=1,MOD(((c_TMAP1IN)-(c_TFWD))*(((K265)-(c_TFWD))*((c_TMAP1OUT)-(0))+IF(((c_TMAP1OUT)-(0))&gt;=0,1,-1)*QUOTIENT(((c_TMAP1IN)-(c_TFWD)),2))+2147483648,4294967296)-2147483648,((c_TMAP1IN)-(c_TFWD))*(((K265)-(c_TFWD))*((c_TMAP1OUT)-(0))+IF(((c_TMAP1OUT)-(0))&gt;=0,1,-1)*QUOTIENT(((c_TMAP1IN)-(c_TFWD)),2)))&lt;0,-1,0),IF(IF(o_WRAP=1,MOD(((c_TMAP1IN)-(c_TFWD))*(((K265)-(c_TFWD))*((c_TMAP1OUT)-(0))+IF(((c_TMAP1OUT)-(0))&gt;=0,1,-1)*QUOTIENT(((c_TMAP1IN)-(c_TFWD)),2))+2147483648,4294967296)-2147483648,((c_TMAP1IN)-(c_TFWD))*(((K265)-(c_TFWD))*((c_TMAP1OUT)-(0))+IF(((c_TMAP1OUT)-(0))&gt;=0,1,-1)*QUOTIENT(((c_TMAP1IN)-(c_TFWD)),2)))&gt;=0,1,0)))</f>
        <v>541</v>
      </c>
      <c r="N265" s="7" t="n">
        <f aca="false">IF(((c_TMAP2IN)-(c_TMAP1IN))=0,(c_TMAP1OUT)+QUOTIENT(((c_TMAP2OUT)-(c_TMAP1OUT)),2),QUOTIENT((((K265)-(c_TMAP1IN))*((c_TMAP2OUT)-(c_TMAP1OUT))+IF(((c_TMAP2OUT)-(c_TMAP1OUT))&gt;=0,1,-1)*QUOTIENT(((c_TMAP2IN)-(c_TMAP1IN)),2)),((c_TMAP2IN)-(c_TMAP1IN)))+(c_TMAP1OUT)+IF(((c_TMAP2OUT)-(c_TMAP1OUT))&gt;=0,IF(IF(o_WRAP=1,MOD(((c_TMAP2IN)-(c_TMAP1IN))*(((K265)-(c_TMAP1IN))*((c_TMAP2OUT)-(c_TMAP1OUT))+IF(((c_TMAP2OUT)-(c_TMAP1OUT))&gt;=0,1,-1)*QUOTIENT(((c_TMAP2IN)-(c_TMAP1IN)),2))+2147483648,4294967296)-2147483648,((c_TMAP2IN)-(c_TMAP1IN))*(((K265)-(c_TMAP1IN))*((c_TMAP2OUT)-(c_TMAP1OUT))+IF(((c_TMAP2OUT)-(c_TMAP1OUT))&gt;=0,1,-1)*QUOTIENT(((c_TMAP2IN)-(c_TMAP1IN)),2)))&lt;0,-1,0),IF(IF(o_WRAP=1,MOD(((c_TMAP2IN)-(c_TMAP1IN))*(((K265)-(c_TMAP1IN))*((c_TMAP2OUT)-(c_TMAP1OUT))+IF(((c_TMAP2OUT)-(c_TMAP1OUT))&gt;=0,1,-1)*QUOTIENT(((c_TMAP2IN)-(c_TMAP1IN)),2))+2147483648,4294967296)-2147483648,((c_TMAP2IN)-(c_TMAP1IN))*(((K265)-(c_TMAP1IN))*((c_TMAP2OUT)-(c_TMAP1OUT))+IF(((c_TMAP2OUT)-(c_TMAP1OUT))&gt;=0,1,-1)*QUOTIENT(((c_TMAP2IN)-(c_TMAP1IN)),2)))&gt;=0,1,0)))</f>
        <v>312</v>
      </c>
      <c r="O265" s="7" t="n">
        <f aca="false">IF(((c_TMAP3IN)-(c_TMAP2IN))=0,(c_TMAP2OUT)+QUOTIENT(((c_TMAP3OUT)-(c_TMAP2OUT)),2),QUOTIENT((((K265)-(c_TMAP2IN))*((c_TMAP3OUT)-(c_TMAP2OUT))+IF(((c_TMAP3OUT)-(c_TMAP2OUT))&gt;=0,1,-1)*QUOTIENT(((c_TMAP3IN)-(c_TMAP2IN)),2)),((c_TMAP3IN)-(c_TMAP2IN)))+(c_TMAP2OUT)+IF(((c_TMAP3OUT)-(c_TMAP2OUT))&gt;=0,IF(IF(o_WRAP=1,MOD(((c_TMAP3IN)-(c_TMAP2IN))*(((K265)-(c_TMAP2IN))*((c_TMAP3OUT)-(c_TMAP2OUT))+IF(((c_TMAP3OUT)-(c_TMAP2OUT))&gt;=0,1,-1)*QUOTIENT(((c_TMAP3IN)-(c_TMAP2IN)),2))+2147483648,4294967296)-2147483648,((c_TMAP3IN)-(c_TMAP2IN))*(((K265)-(c_TMAP2IN))*((c_TMAP3OUT)-(c_TMAP2OUT))+IF(((c_TMAP3OUT)-(c_TMAP2OUT))&gt;=0,1,-1)*QUOTIENT(((c_TMAP3IN)-(c_TMAP2IN)),2)))&lt;0,-1,0),IF(IF(o_WRAP=1,MOD(((c_TMAP3IN)-(c_TMAP2IN))*(((K265)-(c_TMAP2IN))*((c_TMAP3OUT)-(c_TMAP2OUT))+IF(((c_TMAP3OUT)-(c_TMAP2OUT))&gt;=0,1,-1)*QUOTIENT(((c_TMAP3IN)-(c_TMAP2IN)),2))+2147483648,4294967296)-2147483648,((c_TMAP3IN)-(c_TMAP2IN))*(((K265)-(c_TMAP2IN))*((c_TMAP3OUT)-(c_TMAP2OUT))+IF(((c_TMAP3OUT)-(c_TMAP2OUT))&gt;=0,1,-1)*QUOTIENT(((c_TMAP3IN)-(c_TMAP2IN)),2)))&gt;=0,1,0)))</f>
        <v>449</v>
      </c>
      <c r="P265" s="7" t="n">
        <f aca="false">IF(((1000)-(c_TMAP3IN))=0,(c_TMAP3OUT)+QUOTIENT(((1000)-(c_TMAP3OUT)),2),QUOTIENT((((K265)-(c_TMAP3IN))*((1000)-(c_TMAP3OUT))+IF(((1000)-(c_TMAP3OUT))&gt;=0,1,-1)*QUOTIENT(((1000)-(c_TMAP3IN)),2)),((1000)-(c_TMAP3IN)))+(c_TMAP3OUT)+IF(((1000)-(c_TMAP3OUT))&gt;=0,IF(IF(o_WRAP=1,MOD(((1000)-(c_TMAP3IN))*(((K265)-(c_TMAP3IN))*((1000)-(c_TMAP3OUT))+IF(((1000)-(c_TMAP3OUT))&gt;=0,1,-1)*QUOTIENT(((1000)-(c_TMAP3IN)),2))+2147483648,4294967296)-2147483648,((1000)-(c_TMAP3IN))*(((K265)-(c_TMAP3IN))*((1000)-(c_TMAP3OUT))+IF(((1000)-(c_TMAP3OUT))&gt;=0,1,-1)*QUOTIENT(((1000)-(c_TMAP3IN)),2)))&lt;0,-1,0),IF(IF(o_WRAP=1,MOD(((1000)-(c_TMAP3IN))*(((K265)-(c_TMAP3IN))*((1000)-(c_TMAP3OUT))+IF(((1000)-(c_TMAP3OUT))&gt;=0,1,-1)*QUOTIENT(((1000)-(c_TMAP3IN)),2))+2147483648,4294967296)-2147483648,((1000)-(c_TMAP3IN))*(((K265)-(c_TMAP3IN))*((1000)-(c_TMAP3OUT))+IF(((1000)-(c_TMAP3OUT))&gt;=0,1,-1)*QUOTIENT(((1000)-(c_TMAP3IN)),2)))&gt;=0,1,0)))</f>
        <v>637</v>
      </c>
      <c r="Q265" s="7" t="str">
        <f aca="false">IF(K265&gt;=c_TFWD,IF(AND(K265&gt;=c_TMAP3IN,c_TMAP3IN&lt;1000),"Seg4 map3-100%",IF(AND(K265&gt;=c_TMAP2IN,c_TMAP3IN&gt;c_TMAP2IN),"Seg3 map2-map3",IF(AND(K265&gt;=c_TMAP1IN,c_TMAP2IN&gt;c_TMAP1IN),"Seg2 map1-map2","Seg1 TFWD-map1"))),IF(AND(K265=0,c_TCREEP&gt;0),"Creep",IF(AND(K265&lt;=c_TRNGMIN,K265&gt;=c_TRNGMAX,c_TRNGMIN-c_TRNGMAX&lt;&gt;0),"Regen ramp","Coast (0)")))</f>
        <v>Seg4 map3-100%</v>
      </c>
      <c r="R265" s="7" t="n">
        <f aca="false">IF(K265&gt;=c_TFWD,IF(AND(K265&gt;=c_TMAP3IN,c_TMAP3IN&lt;1000),P265,IF(AND(K265&gt;=c_TMAP2IN,c_TMAP3IN&gt;c_TMAP2IN),O265,IF(AND(K265&gt;=c_TMAP1IN,c_TMAP2IN&gt;c_TMAP1IN),N265,M265))),L265)</f>
        <v>637</v>
      </c>
      <c r="S265" s="7" t="str">
        <f aca="false">IF(R265&lt;-1090,"TOO LOW",IF(R265&gt;1090,"TOO HIGH",""))</f>
        <v/>
      </c>
      <c r="T265" s="15" t="n">
        <f aca="false">IF(H265&lt;&gt;"OK",0,IF(S265&lt;&gt;"",0,IF(R265&gt;979,1000,R265)))</f>
        <v>637</v>
      </c>
      <c r="U265" s="7" t="n">
        <f aca="false">T265/10</f>
        <v>63.7</v>
      </c>
    </row>
    <row r="266" customFormat="false" ht="15" hidden="false" customHeight="false" outlineLevel="0" collapsed="false">
      <c r="A266" s="7" t="n">
        <v>261</v>
      </c>
      <c r="B266" s="7" t="n">
        <f aca="false">ROUND(o_SWSTART+A266*(o_SWEND-o_SWSTART)/400,0)</f>
        <v>2672</v>
      </c>
      <c r="C266" s="7" t="n">
        <f aca="false">QUOTIENT((B266-c_OFF1)*c_GAIN1,1024)</f>
        <v>2672</v>
      </c>
      <c r="D266" s="7" t="n">
        <f aca="false">IF(((c_T1MX)-(c_T1MN))=0,(0)+QUOTIENT(((1000)-(0)),2),QUOTIENT((((C266)-(c_T1MN))*((1000)-(0))+IF(((1000)-(0))&gt;=0,1,-1)*QUOTIENT(((c_T1MX)-(c_T1MN)),2)),((c_T1MX)-(c_T1MN)))+(0)+IF(((1000)-(0))&gt;=0,IF(IF(o_WRAP=1,MOD(((c_T1MX)-(c_T1MN))*(((C266)-(c_T1MN))*((1000)-(0))+IF(((1000)-(0))&gt;=0,1,-1)*QUOTIENT(((c_T1MX)-(c_T1MN)),2))+2147483648,4294967296)-2147483648,((c_T1MX)-(c_T1MN))*(((C266)-(c_T1MN))*((1000)-(0))+IF(((1000)-(0))&gt;=0,1,-1)*QUOTIENT(((c_T1MX)-(c_T1MN)),2)))&lt;0,-1,0),IF(IF(o_WRAP=1,MOD(((c_T1MX)-(c_T1MN))*(((C266)-(c_T1MN))*((1000)-(0))+IF(((1000)-(0))&gt;=0,1,-1)*QUOTIENT(((c_T1MX)-(c_T1MN)),2))+2147483648,4294967296)-2147483648,((c_T1MX)-(c_T1MN))*(((C266)-(c_T1MN))*((1000)-(0))+IF(((1000)-(0))&gt;=0,1,-1)*QUOTIENT(((c_T1MX)-(c_T1MN)),2)))&gt;=0,1,0)))</f>
        <v>708</v>
      </c>
      <c r="E266" s="7" t="n">
        <f aca="false">IF(AND(c_TPOT=1,c_TTYPE=2),1000-D266,D266)</f>
        <v>708</v>
      </c>
      <c r="F266" s="7" t="str">
        <f aca="false">IF(c_TPOT&gt;1,ROUND(IF(c_TTYPE=2,c_T2MX-IF(c_T1MX=c_T1MN,0,(C266-c_T1MN)/(c_T1MX-c_T1MN))*(c_T2MX-c_T2MN),c_T2MN+IF(c_T1MX=c_T1MN,0,(C266-c_T1MN)/(c_T1MX-c_T1MN))*(c_T2MX-c_T2MN))+o_MISMATCH,0),"")</f>
        <v/>
      </c>
      <c r="G266" s="7" t="str">
        <f aca="false">IF(c_TPOT&gt;1,IF(((c_T2MX)-(c_T2MN))=0,(0)+QUOTIENT(((1000)-(0)),2),QUOTIENT((((F266)-(c_T2MN))*((1000)-(0))+IF(((1000)-(0))&gt;=0,1,-1)*QUOTIENT(((c_T2MX)-(c_T2MN)),2)),((c_T2MX)-(c_T2MN)))+(0)+IF(((1000)-(0))&gt;=0,IF(IF(o_WRAP=1,MOD(((c_T2MX)-(c_T2MN))*(((F266)-(c_T2MN))*((1000)-(0))+IF(((1000)-(0))&gt;=0,1,-1)*QUOTIENT(((c_T2MX)-(c_T2MN)),2))+2147483648,4294967296)-2147483648,((c_T2MX)-(c_T2MN))*(((F266)-(c_T2MN))*((1000)-(0))+IF(((1000)-(0))&gt;=0,1,-1)*QUOTIENT(((c_T2MX)-(c_T2MN)),2)))&lt;0,-1,0),IF(IF(o_WRAP=1,MOD(((c_T2MX)-(c_T2MN))*(((F266)-(c_T2MN))*((1000)-(0))+IF(((1000)-(0))&gt;=0,1,-1)*QUOTIENT(((c_T2MX)-(c_T2MN)),2))+2147483648,4294967296)-2147483648,((c_T2MX)-(c_T2MN))*(((F266)-(c_T2MN))*((1000)-(0))+IF(((1000)-(0))&gt;=0,1,-1)*QUOTIENT(((c_T2MX)-(c_T2MN)),2)))&gt;=0,1,0))),"")</f>
        <v/>
      </c>
      <c r="H266" s="7" t="str">
        <f aca="false">IF(E266&gt;1000+k_TOL,"T1 HIGH",IF(E266&lt;0-k_TOL,"T1 LOW",IF(c_TPOT&gt;1,IF(G266&gt;1000+k_TOL,"T2 HIGH",IF(G266&lt;0-k_TOL,"T2 LOW",IF(c_TTYPE=2,IF(ABS(1000-MAX(0,MIN(1000,E266))-MAX(0,MIN(1000,G266)))&gt;k_MAXERR,"MISMATCH","OK"),IF(OR(MAX(0,MIN(1000,E266))-k_MAXERR&gt;MAX(0,MIN(1000,G266)),MAX(0,MIN(1000,G266))-k_MAXERR&gt;MAX(0,MIN(1000,E266))),"MISMATCH","OK")))),"OK")))</f>
        <v>OK</v>
      </c>
      <c r="I266" s="7" t="n">
        <f aca="false">MAX(0,MIN(1000,D266))</f>
        <v>708</v>
      </c>
      <c r="J266" s="7" t="str">
        <f aca="false">IF(c_TPOT&gt;1,IF(c_TTYPE=2,1000-MAX(0,MIN(1000,G266)),MAX(0,MIN(1000,G266))),"")</f>
        <v/>
      </c>
      <c r="K266" s="7" t="n">
        <f aca="false">IF(c_TPOT&gt;1,QUOTIENT(I266+J266,2),I266)</f>
        <v>708</v>
      </c>
      <c r="L266" s="7" t="n">
        <f aca="false">IF(AND(K266=0,c_TCREEP&gt;0),10*c_TCREEP,IF(AND(K266&lt;=c_TRNGMIN,K266&gt;=c_TRNGMAX,c_TRNGMIN-c_TRNGMAX&lt;&gt;0),-10*c_TMINRN+QUOTIENT((c_TMAXRN-c_TMINRN)*(100-QUOTIENT((K266-c_TRNGMAX)*100,c_TRNGMIN-c_TRNGMAX)),-10),0))</f>
        <v>0</v>
      </c>
      <c r="M266" s="7" t="n">
        <f aca="false">IF(((c_TMAP1IN)-(c_TFWD))=0,(0)+QUOTIENT(((c_TMAP1OUT)-(0)),2),QUOTIENT((((K266)-(c_TFWD))*((c_TMAP1OUT)-(0))+IF(((c_TMAP1OUT)-(0))&gt;=0,1,-1)*QUOTIENT(((c_TMAP1IN)-(c_TFWD)),2)),((c_TMAP1IN)-(c_TFWD)))+(0)+IF(((c_TMAP1OUT)-(0))&gt;=0,IF(IF(o_WRAP=1,MOD(((c_TMAP1IN)-(c_TFWD))*(((K266)-(c_TFWD))*((c_TMAP1OUT)-(0))+IF(((c_TMAP1OUT)-(0))&gt;=0,1,-1)*QUOTIENT(((c_TMAP1IN)-(c_TFWD)),2))+2147483648,4294967296)-2147483648,((c_TMAP1IN)-(c_TFWD))*(((K266)-(c_TFWD))*((c_TMAP1OUT)-(0))+IF(((c_TMAP1OUT)-(0))&gt;=0,1,-1)*QUOTIENT(((c_TMAP1IN)-(c_TFWD)),2)))&lt;0,-1,0),IF(IF(o_WRAP=1,MOD(((c_TMAP1IN)-(c_TFWD))*(((K266)-(c_TFWD))*((c_TMAP1OUT)-(0))+IF(((c_TMAP1OUT)-(0))&gt;=0,1,-1)*QUOTIENT(((c_TMAP1IN)-(c_TFWD)),2))+2147483648,4294967296)-2147483648,((c_TMAP1IN)-(c_TFWD))*(((K266)-(c_TFWD))*((c_TMAP1OUT)-(0))+IF(((c_TMAP1OUT)-(0))&gt;=0,1,-1)*QUOTIENT(((c_TMAP1IN)-(c_TFWD)),2)))&gt;=0,1,0)))</f>
        <v>543</v>
      </c>
      <c r="N266" s="7" t="n">
        <f aca="false">IF(((c_TMAP2IN)-(c_TMAP1IN))=0,(c_TMAP1OUT)+QUOTIENT(((c_TMAP2OUT)-(c_TMAP1OUT)),2),QUOTIENT((((K266)-(c_TMAP1IN))*((c_TMAP2OUT)-(c_TMAP1OUT))+IF(((c_TMAP2OUT)-(c_TMAP1OUT))&gt;=0,1,-1)*QUOTIENT(((c_TMAP2IN)-(c_TMAP1IN)),2)),((c_TMAP2IN)-(c_TMAP1IN)))+(c_TMAP1OUT)+IF(((c_TMAP2OUT)-(c_TMAP1OUT))&gt;=0,IF(IF(o_WRAP=1,MOD(((c_TMAP2IN)-(c_TMAP1IN))*(((K266)-(c_TMAP1IN))*((c_TMAP2OUT)-(c_TMAP1OUT))+IF(((c_TMAP2OUT)-(c_TMAP1OUT))&gt;=0,1,-1)*QUOTIENT(((c_TMAP2IN)-(c_TMAP1IN)),2))+2147483648,4294967296)-2147483648,((c_TMAP2IN)-(c_TMAP1IN))*(((K266)-(c_TMAP1IN))*((c_TMAP2OUT)-(c_TMAP1OUT))+IF(((c_TMAP2OUT)-(c_TMAP1OUT))&gt;=0,1,-1)*QUOTIENT(((c_TMAP2IN)-(c_TMAP1IN)),2)))&lt;0,-1,0),IF(IF(o_WRAP=1,MOD(((c_TMAP2IN)-(c_TMAP1IN))*(((K266)-(c_TMAP1IN))*((c_TMAP2OUT)-(c_TMAP1OUT))+IF(((c_TMAP2OUT)-(c_TMAP1OUT))&gt;=0,1,-1)*QUOTIENT(((c_TMAP2IN)-(c_TMAP1IN)),2))+2147483648,4294967296)-2147483648,((c_TMAP2IN)-(c_TMAP1IN))*(((K266)-(c_TMAP1IN))*((c_TMAP2OUT)-(c_TMAP1OUT))+IF(((c_TMAP2OUT)-(c_TMAP1OUT))&gt;=0,1,-1)*QUOTIENT(((c_TMAP2IN)-(c_TMAP1IN)),2)))&gt;=0,1,0)))</f>
        <v>313</v>
      </c>
      <c r="O266" s="7" t="n">
        <f aca="false">IF(((c_TMAP3IN)-(c_TMAP2IN))=0,(c_TMAP2OUT)+QUOTIENT(((c_TMAP3OUT)-(c_TMAP2OUT)),2),QUOTIENT((((K266)-(c_TMAP2IN))*((c_TMAP3OUT)-(c_TMAP2OUT))+IF(((c_TMAP3OUT)-(c_TMAP2OUT))&gt;=0,1,-1)*QUOTIENT(((c_TMAP3IN)-(c_TMAP2IN)),2)),((c_TMAP3IN)-(c_TMAP2IN)))+(c_TMAP2OUT)+IF(((c_TMAP3OUT)-(c_TMAP2OUT))&gt;=0,IF(IF(o_WRAP=1,MOD(((c_TMAP3IN)-(c_TMAP2IN))*(((K266)-(c_TMAP2IN))*((c_TMAP3OUT)-(c_TMAP2OUT))+IF(((c_TMAP3OUT)-(c_TMAP2OUT))&gt;=0,1,-1)*QUOTIENT(((c_TMAP3IN)-(c_TMAP2IN)),2))+2147483648,4294967296)-2147483648,((c_TMAP3IN)-(c_TMAP2IN))*(((K266)-(c_TMAP2IN))*((c_TMAP3OUT)-(c_TMAP2OUT))+IF(((c_TMAP3OUT)-(c_TMAP2OUT))&gt;=0,1,-1)*QUOTIENT(((c_TMAP3IN)-(c_TMAP2IN)),2)))&lt;0,-1,0),IF(IF(o_WRAP=1,MOD(((c_TMAP3IN)-(c_TMAP2IN))*(((K266)-(c_TMAP2IN))*((c_TMAP3OUT)-(c_TMAP2OUT))+IF(((c_TMAP3OUT)-(c_TMAP2OUT))&gt;=0,1,-1)*QUOTIENT(((c_TMAP3IN)-(c_TMAP2IN)),2))+2147483648,4294967296)-2147483648,((c_TMAP3IN)-(c_TMAP2IN))*(((K266)-(c_TMAP2IN))*((c_TMAP3OUT)-(c_TMAP2OUT))+IF(((c_TMAP3OUT)-(c_TMAP2OUT))&gt;=0,1,-1)*QUOTIENT(((c_TMAP3IN)-(c_TMAP2IN)),2)))&gt;=0,1,0)))</f>
        <v>451</v>
      </c>
      <c r="P266" s="7" t="n">
        <f aca="false">IF(((1000)-(c_TMAP3IN))=0,(c_TMAP3OUT)+QUOTIENT(((1000)-(c_TMAP3OUT)),2),QUOTIENT((((K266)-(c_TMAP3IN))*((1000)-(c_TMAP3OUT))+IF(((1000)-(c_TMAP3OUT))&gt;=0,1,-1)*QUOTIENT(((1000)-(c_TMAP3IN)),2)),((1000)-(c_TMAP3IN)))+(c_TMAP3OUT)+IF(((1000)-(c_TMAP3OUT))&gt;=0,IF(IF(o_WRAP=1,MOD(((1000)-(c_TMAP3IN))*(((K266)-(c_TMAP3IN))*((1000)-(c_TMAP3OUT))+IF(((1000)-(c_TMAP3OUT))&gt;=0,1,-1)*QUOTIENT(((1000)-(c_TMAP3IN)),2))+2147483648,4294967296)-2147483648,((1000)-(c_TMAP3IN))*(((K266)-(c_TMAP3IN))*((1000)-(c_TMAP3OUT))+IF(((1000)-(c_TMAP3OUT))&gt;=0,1,-1)*QUOTIENT(((1000)-(c_TMAP3IN)),2)))&lt;0,-1,0),IF(IF(o_WRAP=1,MOD(((1000)-(c_TMAP3IN))*(((K266)-(c_TMAP3IN))*((1000)-(c_TMAP3OUT))+IF(((1000)-(c_TMAP3OUT))&gt;=0,1,-1)*QUOTIENT(((1000)-(c_TMAP3IN)),2))+2147483648,4294967296)-2147483648,((1000)-(c_TMAP3IN))*(((K266)-(c_TMAP3IN))*((1000)-(c_TMAP3OUT))+IF(((1000)-(c_TMAP3OUT))&gt;=0,1,-1)*QUOTIENT(((1000)-(c_TMAP3IN)),2)))&gt;=0,1,0)))</f>
        <v>641</v>
      </c>
      <c r="Q266" s="7" t="str">
        <f aca="false">IF(K266&gt;=c_TFWD,IF(AND(K266&gt;=c_TMAP3IN,c_TMAP3IN&lt;1000),"Seg4 map3-100%",IF(AND(K266&gt;=c_TMAP2IN,c_TMAP3IN&gt;c_TMAP2IN),"Seg3 map2-map3",IF(AND(K266&gt;=c_TMAP1IN,c_TMAP2IN&gt;c_TMAP1IN),"Seg2 map1-map2","Seg1 TFWD-map1"))),IF(AND(K266=0,c_TCREEP&gt;0),"Creep",IF(AND(K266&lt;=c_TRNGMIN,K266&gt;=c_TRNGMAX,c_TRNGMIN-c_TRNGMAX&lt;&gt;0),"Regen ramp","Coast (0)")))</f>
        <v>Seg4 map3-100%</v>
      </c>
      <c r="R266" s="7" t="n">
        <f aca="false">IF(K266&gt;=c_TFWD,IF(AND(K266&gt;=c_TMAP3IN,c_TMAP3IN&lt;1000),P266,IF(AND(K266&gt;=c_TMAP2IN,c_TMAP3IN&gt;c_TMAP2IN),O266,IF(AND(K266&gt;=c_TMAP1IN,c_TMAP2IN&gt;c_TMAP1IN),N266,M266))),L266)</f>
        <v>641</v>
      </c>
      <c r="S266" s="7" t="str">
        <f aca="false">IF(R266&lt;-1090,"TOO LOW",IF(R266&gt;1090,"TOO HIGH",""))</f>
        <v/>
      </c>
      <c r="T266" s="15" t="n">
        <f aca="false">IF(H266&lt;&gt;"OK",0,IF(S266&lt;&gt;"",0,IF(R266&gt;979,1000,R266)))</f>
        <v>641</v>
      </c>
      <c r="U266" s="7" t="n">
        <f aca="false">T266/10</f>
        <v>64.1</v>
      </c>
    </row>
    <row r="267" customFormat="false" ht="15" hidden="false" customHeight="false" outlineLevel="0" collapsed="false">
      <c r="A267" s="7" t="n">
        <v>262</v>
      </c>
      <c r="B267" s="7" t="n">
        <f aca="false">ROUND(o_SWSTART+A267*(o_SWEND-o_SWSTART)/400,0)</f>
        <v>2682</v>
      </c>
      <c r="C267" s="7" t="n">
        <f aca="false">QUOTIENT((B267-c_OFF1)*c_GAIN1,1024)</f>
        <v>2682</v>
      </c>
      <c r="D267" s="7" t="n">
        <f aca="false">IF(((c_T1MX)-(c_T1MN))=0,(0)+QUOTIENT(((1000)-(0)),2),QUOTIENT((((C267)-(c_T1MN))*((1000)-(0))+IF(((1000)-(0))&gt;=0,1,-1)*QUOTIENT(((c_T1MX)-(c_T1MN)),2)),((c_T1MX)-(c_T1MN)))+(0)+IF(((1000)-(0))&gt;=0,IF(IF(o_WRAP=1,MOD(((c_T1MX)-(c_T1MN))*(((C267)-(c_T1MN))*((1000)-(0))+IF(((1000)-(0))&gt;=0,1,-1)*QUOTIENT(((c_T1MX)-(c_T1MN)),2))+2147483648,4294967296)-2147483648,((c_T1MX)-(c_T1MN))*(((C267)-(c_T1MN))*((1000)-(0))+IF(((1000)-(0))&gt;=0,1,-1)*QUOTIENT(((c_T1MX)-(c_T1MN)),2)))&lt;0,-1,0),IF(IF(o_WRAP=1,MOD(((c_T1MX)-(c_T1MN))*(((C267)-(c_T1MN))*((1000)-(0))+IF(((1000)-(0))&gt;=0,1,-1)*QUOTIENT(((c_T1MX)-(c_T1MN)),2))+2147483648,4294967296)-2147483648,((c_T1MX)-(c_T1MN))*(((C267)-(c_T1MN))*((1000)-(0))+IF(((1000)-(0))&gt;=0,1,-1)*QUOTIENT(((c_T1MX)-(c_T1MN)),2)))&gt;=0,1,0)))</f>
        <v>712</v>
      </c>
      <c r="E267" s="7" t="n">
        <f aca="false">IF(AND(c_TPOT=1,c_TTYPE=2),1000-D267,D267)</f>
        <v>712</v>
      </c>
      <c r="F267" s="7" t="str">
        <f aca="false">IF(c_TPOT&gt;1,ROUND(IF(c_TTYPE=2,c_T2MX-IF(c_T1MX=c_T1MN,0,(C267-c_T1MN)/(c_T1MX-c_T1MN))*(c_T2MX-c_T2MN),c_T2MN+IF(c_T1MX=c_T1MN,0,(C267-c_T1MN)/(c_T1MX-c_T1MN))*(c_T2MX-c_T2MN))+o_MISMATCH,0),"")</f>
        <v/>
      </c>
      <c r="G267" s="7" t="str">
        <f aca="false">IF(c_TPOT&gt;1,IF(((c_T2MX)-(c_T2MN))=0,(0)+QUOTIENT(((1000)-(0)),2),QUOTIENT((((F267)-(c_T2MN))*((1000)-(0))+IF(((1000)-(0))&gt;=0,1,-1)*QUOTIENT(((c_T2MX)-(c_T2MN)),2)),((c_T2MX)-(c_T2MN)))+(0)+IF(((1000)-(0))&gt;=0,IF(IF(o_WRAP=1,MOD(((c_T2MX)-(c_T2MN))*(((F267)-(c_T2MN))*((1000)-(0))+IF(((1000)-(0))&gt;=0,1,-1)*QUOTIENT(((c_T2MX)-(c_T2MN)),2))+2147483648,4294967296)-2147483648,((c_T2MX)-(c_T2MN))*(((F267)-(c_T2MN))*((1000)-(0))+IF(((1000)-(0))&gt;=0,1,-1)*QUOTIENT(((c_T2MX)-(c_T2MN)),2)))&lt;0,-1,0),IF(IF(o_WRAP=1,MOD(((c_T2MX)-(c_T2MN))*(((F267)-(c_T2MN))*((1000)-(0))+IF(((1000)-(0))&gt;=0,1,-1)*QUOTIENT(((c_T2MX)-(c_T2MN)),2))+2147483648,4294967296)-2147483648,((c_T2MX)-(c_T2MN))*(((F267)-(c_T2MN))*((1000)-(0))+IF(((1000)-(0))&gt;=0,1,-1)*QUOTIENT(((c_T2MX)-(c_T2MN)),2)))&gt;=0,1,0))),"")</f>
        <v/>
      </c>
      <c r="H267" s="7" t="str">
        <f aca="false">IF(E267&gt;1000+k_TOL,"T1 HIGH",IF(E267&lt;0-k_TOL,"T1 LOW",IF(c_TPOT&gt;1,IF(G267&gt;1000+k_TOL,"T2 HIGH",IF(G267&lt;0-k_TOL,"T2 LOW",IF(c_TTYPE=2,IF(ABS(1000-MAX(0,MIN(1000,E267))-MAX(0,MIN(1000,G267)))&gt;k_MAXERR,"MISMATCH","OK"),IF(OR(MAX(0,MIN(1000,E267))-k_MAXERR&gt;MAX(0,MIN(1000,G267)),MAX(0,MIN(1000,G267))-k_MAXERR&gt;MAX(0,MIN(1000,E267))),"MISMATCH","OK")))),"OK")))</f>
        <v>OK</v>
      </c>
      <c r="I267" s="7" t="n">
        <f aca="false">MAX(0,MIN(1000,D267))</f>
        <v>712</v>
      </c>
      <c r="J267" s="7" t="str">
        <f aca="false">IF(c_TPOT&gt;1,IF(c_TTYPE=2,1000-MAX(0,MIN(1000,G267)),MAX(0,MIN(1000,G267))),"")</f>
        <v/>
      </c>
      <c r="K267" s="7" t="n">
        <f aca="false">IF(c_TPOT&gt;1,QUOTIENT(I267+J267,2),I267)</f>
        <v>712</v>
      </c>
      <c r="L267" s="7" t="n">
        <f aca="false">IF(AND(K267=0,c_TCREEP&gt;0),10*c_TCREEP,IF(AND(K267&lt;=c_TRNGMIN,K267&gt;=c_TRNGMAX,c_TRNGMIN-c_TRNGMAX&lt;&gt;0),-10*c_TMINRN+QUOTIENT((c_TMAXRN-c_TMINRN)*(100-QUOTIENT((K267-c_TRNGMAX)*100,c_TRNGMIN-c_TRNGMAX)),-10),0))</f>
        <v>0</v>
      </c>
      <c r="M267" s="7" t="n">
        <f aca="false">IF(((c_TMAP1IN)-(c_TFWD))=0,(0)+QUOTIENT(((c_TMAP1OUT)-(0)),2),QUOTIENT((((K267)-(c_TFWD))*((c_TMAP1OUT)-(0))+IF(((c_TMAP1OUT)-(0))&gt;=0,1,-1)*QUOTIENT(((c_TMAP1IN)-(c_TFWD)),2)),((c_TMAP1IN)-(c_TFWD)))+(0)+IF(((c_TMAP1OUT)-(0))&gt;=0,IF(IF(o_WRAP=1,MOD(((c_TMAP1IN)-(c_TFWD))*(((K267)-(c_TFWD))*((c_TMAP1OUT)-(0))+IF(((c_TMAP1OUT)-(0))&gt;=0,1,-1)*QUOTIENT(((c_TMAP1IN)-(c_TFWD)),2))+2147483648,4294967296)-2147483648,((c_TMAP1IN)-(c_TFWD))*(((K267)-(c_TFWD))*((c_TMAP1OUT)-(0))+IF(((c_TMAP1OUT)-(0))&gt;=0,1,-1)*QUOTIENT(((c_TMAP1IN)-(c_TFWD)),2)))&lt;0,-1,0),IF(IF(o_WRAP=1,MOD(((c_TMAP1IN)-(c_TFWD))*(((K267)-(c_TFWD))*((c_TMAP1OUT)-(0))+IF(((c_TMAP1OUT)-(0))&gt;=0,1,-1)*QUOTIENT(((c_TMAP1IN)-(c_TFWD)),2))+2147483648,4294967296)-2147483648,((c_TMAP1IN)-(c_TFWD))*(((K267)-(c_TFWD))*((c_TMAP1OUT)-(0))+IF(((c_TMAP1OUT)-(0))&gt;=0,1,-1)*QUOTIENT(((c_TMAP1IN)-(c_TFWD)),2)))&gt;=0,1,0)))</f>
        <v>546</v>
      </c>
      <c r="N267" s="7" t="n">
        <f aca="false">IF(((c_TMAP2IN)-(c_TMAP1IN))=0,(c_TMAP1OUT)+QUOTIENT(((c_TMAP2OUT)-(c_TMAP1OUT)),2),QUOTIENT((((K267)-(c_TMAP1IN))*((c_TMAP2OUT)-(c_TMAP1OUT))+IF(((c_TMAP2OUT)-(c_TMAP1OUT))&gt;=0,1,-1)*QUOTIENT(((c_TMAP2IN)-(c_TMAP1IN)),2)),((c_TMAP2IN)-(c_TMAP1IN)))+(c_TMAP1OUT)+IF(((c_TMAP2OUT)-(c_TMAP1OUT))&gt;=0,IF(IF(o_WRAP=1,MOD(((c_TMAP2IN)-(c_TMAP1IN))*(((K267)-(c_TMAP1IN))*((c_TMAP2OUT)-(c_TMAP1OUT))+IF(((c_TMAP2OUT)-(c_TMAP1OUT))&gt;=0,1,-1)*QUOTIENT(((c_TMAP2IN)-(c_TMAP1IN)),2))+2147483648,4294967296)-2147483648,((c_TMAP2IN)-(c_TMAP1IN))*(((K267)-(c_TMAP1IN))*((c_TMAP2OUT)-(c_TMAP1OUT))+IF(((c_TMAP2OUT)-(c_TMAP1OUT))&gt;=0,1,-1)*QUOTIENT(((c_TMAP2IN)-(c_TMAP1IN)),2)))&lt;0,-1,0),IF(IF(o_WRAP=1,MOD(((c_TMAP2IN)-(c_TMAP1IN))*(((K267)-(c_TMAP1IN))*((c_TMAP2OUT)-(c_TMAP1OUT))+IF(((c_TMAP2OUT)-(c_TMAP1OUT))&gt;=0,1,-1)*QUOTIENT(((c_TMAP2IN)-(c_TMAP1IN)),2))+2147483648,4294967296)-2147483648,((c_TMAP2IN)-(c_TMAP1IN))*(((K267)-(c_TMAP1IN))*((c_TMAP2OUT)-(c_TMAP1OUT))+IF(((c_TMAP2OUT)-(c_TMAP1OUT))&gt;=0,1,-1)*QUOTIENT(((c_TMAP2IN)-(c_TMAP1IN)),2)))&gt;=0,1,0)))</f>
        <v>315</v>
      </c>
      <c r="O267" s="7" t="n">
        <f aca="false">IF(((c_TMAP3IN)-(c_TMAP2IN))=0,(c_TMAP2OUT)+QUOTIENT(((c_TMAP3OUT)-(c_TMAP2OUT)),2),QUOTIENT((((K267)-(c_TMAP2IN))*((c_TMAP3OUT)-(c_TMAP2OUT))+IF(((c_TMAP3OUT)-(c_TMAP2OUT))&gt;=0,1,-1)*QUOTIENT(((c_TMAP3IN)-(c_TMAP2IN)),2)),((c_TMAP3IN)-(c_TMAP2IN)))+(c_TMAP2OUT)+IF(((c_TMAP3OUT)-(c_TMAP2OUT))&gt;=0,IF(IF(o_WRAP=1,MOD(((c_TMAP3IN)-(c_TMAP2IN))*(((K267)-(c_TMAP2IN))*((c_TMAP3OUT)-(c_TMAP2OUT))+IF(((c_TMAP3OUT)-(c_TMAP2OUT))&gt;=0,1,-1)*QUOTIENT(((c_TMAP3IN)-(c_TMAP2IN)),2))+2147483648,4294967296)-2147483648,((c_TMAP3IN)-(c_TMAP2IN))*(((K267)-(c_TMAP2IN))*((c_TMAP3OUT)-(c_TMAP2OUT))+IF(((c_TMAP3OUT)-(c_TMAP2OUT))&gt;=0,1,-1)*QUOTIENT(((c_TMAP3IN)-(c_TMAP2IN)),2)))&lt;0,-1,0),IF(IF(o_WRAP=1,MOD(((c_TMAP3IN)-(c_TMAP2IN))*(((K267)-(c_TMAP2IN))*((c_TMAP3OUT)-(c_TMAP2OUT))+IF(((c_TMAP3OUT)-(c_TMAP2OUT))&gt;=0,1,-1)*QUOTIENT(((c_TMAP3IN)-(c_TMAP2IN)),2))+2147483648,4294967296)-2147483648,((c_TMAP3IN)-(c_TMAP2IN))*(((K267)-(c_TMAP2IN))*((c_TMAP3OUT)-(c_TMAP2OUT))+IF(((c_TMAP3OUT)-(c_TMAP2OUT))&gt;=0,1,-1)*QUOTIENT(((c_TMAP3IN)-(c_TMAP2IN)),2)))&gt;=0,1,0)))</f>
        <v>453</v>
      </c>
      <c r="P267" s="7" t="n">
        <f aca="false">IF(((1000)-(c_TMAP3IN))=0,(c_TMAP3OUT)+QUOTIENT(((1000)-(c_TMAP3OUT)),2),QUOTIENT((((K267)-(c_TMAP3IN))*((1000)-(c_TMAP3OUT))+IF(((1000)-(c_TMAP3OUT))&gt;=0,1,-1)*QUOTIENT(((1000)-(c_TMAP3IN)),2)),((1000)-(c_TMAP3IN)))+(c_TMAP3OUT)+IF(((1000)-(c_TMAP3OUT))&gt;=0,IF(IF(o_WRAP=1,MOD(((1000)-(c_TMAP3IN))*(((K267)-(c_TMAP3IN))*((1000)-(c_TMAP3OUT))+IF(((1000)-(c_TMAP3OUT))&gt;=0,1,-1)*QUOTIENT(((1000)-(c_TMAP3IN)),2))+2147483648,4294967296)-2147483648,((1000)-(c_TMAP3IN))*(((K267)-(c_TMAP3IN))*((1000)-(c_TMAP3OUT))+IF(((1000)-(c_TMAP3OUT))&gt;=0,1,-1)*QUOTIENT(((1000)-(c_TMAP3IN)),2)))&lt;0,-1,0),IF(IF(o_WRAP=1,MOD(((1000)-(c_TMAP3IN))*(((K267)-(c_TMAP3IN))*((1000)-(c_TMAP3OUT))+IF(((1000)-(c_TMAP3OUT))&gt;=0,1,-1)*QUOTIENT(((1000)-(c_TMAP3IN)),2))+2147483648,4294967296)-2147483648,((1000)-(c_TMAP3IN))*(((K267)-(c_TMAP3IN))*((1000)-(c_TMAP3OUT))+IF(((1000)-(c_TMAP3OUT))&gt;=0,1,-1)*QUOTIENT(((1000)-(c_TMAP3IN)),2)))&gt;=0,1,0)))</f>
        <v>646</v>
      </c>
      <c r="Q267" s="7" t="str">
        <f aca="false">IF(K267&gt;=c_TFWD,IF(AND(K267&gt;=c_TMAP3IN,c_TMAP3IN&lt;1000),"Seg4 map3-100%",IF(AND(K267&gt;=c_TMAP2IN,c_TMAP3IN&gt;c_TMAP2IN),"Seg3 map2-map3",IF(AND(K267&gt;=c_TMAP1IN,c_TMAP2IN&gt;c_TMAP1IN),"Seg2 map1-map2","Seg1 TFWD-map1"))),IF(AND(K267=0,c_TCREEP&gt;0),"Creep",IF(AND(K267&lt;=c_TRNGMIN,K267&gt;=c_TRNGMAX,c_TRNGMIN-c_TRNGMAX&lt;&gt;0),"Regen ramp","Coast (0)")))</f>
        <v>Seg4 map3-100%</v>
      </c>
      <c r="R267" s="7" t="n">
        <f aca="false">IF(K267&gt;=c_TFWD,IF(AND(K267&gt;=c_TMAP3IN,c_TMAP3IN&lt;1000),P267,IF(AND(K267&gt;=c_TMAP2IN,c_TMAP3IN&gt;c_TMAP2IN),O267,IF(AND(K267&gt;=c_TMAP1IN,c_TMAP2IN&gt;c_TMAP1IN),N267,M267))),L267)</f>
        <v>646</v>
      </c>
      <c r="S267" s="7" t="str">
        <f aca="false">IF(R267&lt;-1090,"TOO LOW",IF(R267&gt;1090,"TOO HIGH",""))</f>
        <v/>
      </c>
      <c r="T267" s="15" t="n">
        <f aca="false">IF(H267&lt;&gt;"OK",0,IF(S267&lt;&gt;"",0,IF(R267&gt;979,1000,R267)))</f>
        <v>646</v>
      </c>
      <c r="U267" s="7" t="n">
        <f aca="false">T267/10</f>
        <v>64.6</v>
      </c>
    </row>
    <row r="268" customFormat="false" ht="15" hidden="false" customHeight="false" outlineLevel="0" collapsed="false">
      <c r="A268" s="7" t="n">
        <v>263</v>
      </c>
      <c r="B268" s="7" t="n">
        <f aca="false">ROUND(o_SWSTART+A268*(o_SWEND-o_SWSTART)/400,0)</f>
        <v>2692</v>
      </c>
      <c r="C268" s="7" t="n">
        <f aca="false">QUOTIENT((B268-c_OFF1)*c_GAIN1,1024)</f>
        <v>2692</v>
      </c>
      <c r="D268" s="7" t="n">
        <f aca="false">IF(((c_T1MX)-(c_T1MN))=0,(0)+QUOTIENT(((1000)-(0)),2),QUOTIENT((((C268)-(c_T1MN))*((1000)-(0))+IF(((1000)-(0))&gt;=0,1,-1)*QUOTIENT(((c_T1MX)-(c_T1MN)),2)),((c_T1MX)-(c_T1MN)))+(0)+IF(((1000)-(0))&gt;=0,IF(IF(o_WRAP=1,MOD(((c_T1MX)-(c_T1MN))*(((C268)-(c_T1MN))*((1000)-(0))+IF(((1000)-(0))&gt;=0,1,-1)*QUOTIENT(((c_T1MX)-(c_T1MN)),2))+2147483648,4294967296)-2147483648,((c_T1MX)-(c_T1MN))*(((C268)-(c_T1MN))*((1000)-(0))+IF(((1000)-(0))&gt;=0,1,-1)*QUOTIENT(((c_T1MX)-(c_T1MN)),2)))&lt;0,-1,0),IF(IF(o_WRAP=1,MOD(((c_T1MX)-(c_T1MN))*(((C268)-(c_T1MN))*((1000)-(0))+IF(((1000)-(0))&gt;=0,1,-1)*QUOTIENT(((c_T1MX)-(c_T1MN)),2))+2147483648,4294967296)-2147483648,((c_T1MX)-(c_T1MN))*(((C268)-(c_T1MN))*((1000)-(0))+IF(((1000)-(0))&gt;=0,1,-1)*QUOTIENT(((c_T1MX)-(c_T1MN)),2)))&gt;=0,1,0)))</f>
        <v>716</v>
      </c>
      <c r="E268" s="7" t="n">
        <f aca="false">IF(AND(c_TPOT=1,c_TTYPE=2),1000-D268,D268)</f>
        <v>716</v>
      </c>
      <c r="F268" s="7" t="str">
        <f aca="false">IF(c_TPOT&gt;1,ROUND(IF(c_TTYPE=2,c_T2MX-IF(c_T1MX=c_T1MN,0,(C268-c_T1MN)/(c_T1MX-c_T1MN))*(c_T2MX-c_T2MN),c_T2MN+IF(c_T1MX=c_T1MN,0,(C268-c_T1MN)/(c_T1MX-c_T1MN))*(c_T2MX-c_T2MN))+o_MISMATCH,0),"")</f>
        <v/>
      </c>
      <c r="G268" s="7" t="str">
        <f aca="false">IF(c_TPOT&gt;1,IF(((c_T2MX)-(c_T2MN))=0,(0)+QUOTIENT(((1000)-(0)),2),QUOTIENT((((F268)-(c_T2MN))*((1000)-(0))+IF(((1000)-(0))&gt;=0,1,-1)*QUOTIENT(((c_T2MX)-(c_T2MN)),2)),((c_T2MX)-(c_T2MN)))+(0)+IF(((1000)-(0))&gt;=0,IF(IF(o_WRAP=1,MOD(((c_T2MX)-(c_T2MN))*(((F268)-(c_T2MN))*((1000)-(0))+IF(((1000)-(0))&gt;=0,1,-1)*QUOTIENT(((c_T2MX)-(c_T2MN)),2))+2147483648,4294967296)-2147483648,((c_T2MX)-(c_T2MN))*(((F268)-(c_T2MN))*((1000)-(0))+IF(((1000)-(0))&gt;=0,1,-1)*QUOTIENT(((c_T2MX)-(c_T2MN)),2)))&lt;0,-1,0),IF(IF(o_WRAP=1,MOD(((c_T2MX)-(c_T2MN))*(((F268)-(c_T2MN))*((1000)-(0))+IF(((1000)-(0))&gt;=0,1,-1)*QUOTIENT(((c_T2MX)-(c_T2MN)),2))+2147483648,4294967296)-2147483648,((c_T2MX)-(c_T2MN))*(((F268)-(c_T2MN))*((1000)-(0))+IF(((1000)-(0))&gt;=0,1,-1)*QUOTIENT(((c_T2MX)-(c_T2MN)),2)))&gt;=0,1,0))),"")</f>
        <v/>
      </c>
      <c r="H268" s="7" t="str">
        <f aca="false">IF(E268&gt;1000+k_TOL,"T1 HIGH",IF(E268&lt;0-k_TOL,"T1 LOW",IF(c_TPOT&gt;1,IF(G268&gt;1000+k_TOL,"T2 HIGH",IF(G268&lt;0-k_TOL,"T2 LOW",IF(c_TTYPE=2,IF(ABS(1000-MAX(0,MIN(1000,E268))-MAX(0,MIN(1000,G268)))&gt;k_MAXERR,"MISMATCH","OK"),IF(OR(MAX(0,MIN(1000,E268))-k_MAXERR&gt;MAX(0,MIN(1000,G268)),MAX(0,MIN(1000,G268))-k_MAXERR&gt;MAX(0,MIN(1000,E268))),"MISMATCH","OK")))),"OK")))</f>
        <v>OK</v>
      </c>
      <c r="I268" s="7" t="n">
        <f aca="false">MAX(0,MIN(1000,D268))</f>
        <v>716</v>
      </c>
      <c r="J268" s="7" t="str">
        <f aca="false">IF(c_TPOT&gt;1,IF(c_TTYPE=2,1000-MAX(0,MIN(1000,G268)),MAX(0,MIN(1000,G268))),"")</f>
        <v/>
      </c>
      <c r="K268" s="7" t="n">
        <f aca="false">IF(c_TPOT&gt;1,QUOTIENT(I268+J268,2),I268)</f>
        <v>716</v>
      </c>
      <c r="L268" s="7" t="n">
        <f aca="false">IF(AND(K268=0,c_TCREEP&gt;0),10*c_TCREEP,IF(AND(K268&lt;=c_TRNGMIN,K268&gt;=c_TRNGMAX,c_TRNGMIN-c_TRNGMAX&lt;&gt;0),-10*c_TMINRN+QUOTIENT((c_TMAXRN-c_TMINRN)*(100-QUOTIENT((K268-c_TRNGMAX)*100,c_TRNGMIN-c_TRNGMAX)),-10),0))</f>
        <v>0</v>
      </c>
      <c r="M268" s="7" t="n">
        <f aca="false">IF(((c_TMAP1IN)-(c_TFWD))=0,(0)+QUOTIENT(((c_TMAP1OUT)-(0)),2),QUOTIENT((((K268)-(c_TFWD))*((c_TMAP1OUT)-(0))+IF(((c_TMAP1OUT)-(0))&gt;=0,1,-1)*QUOTIENT(((c_TMAP1IN)-(c_TFWD)),2)),((c_TMAP1IN)-(c_TFWD)))+(0)+IF(((c_TMAP1OUT)-(0))&gt;=0,IF(IF(o_WRAP=1,MOD(((c_TMAP1IN)-(c_TFWD))*(((K268)-(c_TFWD))*((c_TMAP1OUT)-(0))+IF(((c_TMAP1OUT)-(0))&gt;=0,1,-1)*QUOTIENT(((c_TMAP1IN)-(c_TFWD)),2))+2147483648,4294967296)-2147483648,((c_TMAP1IN)-(c_TFWD))*(((K268)-(c_TFWD))*((c_TMAP1OUT)-(0))+IF(((c_TMAP1OUT)-(0))&gt;=0,1,-1)*QUOTIENT(((c_TMAP1IN)-(c_TFWD)),2)))&lt;0,-1,0),IF(IF(o_WRAP=1,MOD(((c_TMAP1IN)-(c_TFWD))*(((K268)-(c_TFWD))*((c_TMAP1OUT)-(0))+IF(((c_TMAP1OUT)-(0))&gt;=0,1,-1)*QUOTIENT(((c_TMAP1IN)-(c_TFWD)),2))+2147483648,4294967296)-2147483648,((c_TMAP1IN)-(c_TFWD))*(((K268)-(c_TFWD))*((c_TMAP1OUT)-(0))+IF(((c_TMAP1OUT)-(0))&gt;=0,1,-1)*QUOTIENT(((c_TMAP1IN)-(c_TFWD)),2)))&gt;=0,1,0)))</f>
        <v>549</v>
      </c>
      <c r="N268" s="7" t="n">
        <f aca="false">IF(((c_TMAP2IN)-(c_TMAP1IN))=0,(c_TMAP1OUT)+QUOTIENT(((c_TMAP2OUT)-(c_TMAP1OUT)),2),QUOTIENT((((K268)-(c_TMAP1IN))*((c_TMAP2OUT)-(c_TMAP1OUT))+IF(((c_TMAP2OUT)-(c_TMAP1OUT))&gt;=0,1,-1)*QUOTIENT(((c_TMAP2IN)-(c_TMAP1IN)),2)),((c_TMAP2IN)-(c_TMAP1IN)))+(c_TMAP1OUT)+IF(((c_TMAP2OUT)-(c_TMAP1OUT))&gt;=0,IF(IF(o_WRAP=1,MOD(((c_TMAP2IN)-(c_TMAP1IN))*(((K268)-(c_TMAP1IN))*((c_TMAP2OUT)-(c_TMAP1OUT))+IF(((c_TMAP2OUT)-(c_TMAP1OUT))&gt;=0,1,-1)*QUOTIENT(((c_TMAP2IN)-(c_TMAP1IN)),2))+2147483648,4294967296)-2147483648,((c_TMAP2IN)-(c_TMAP1IN))*(((K268)-(c_TMAP1IN))*((c_TMAP2OUT)-(c_TMAP1OUT))+IF(((c_TMAP2OUT)-(c_TMAP1OUT))&gt;=0,1,-1)*QUOTIENT(((c_TMAP2IN)-(c_TMAP1IN)),2)))&lt;0,-1,0),IF(IF(o_WRAP=1,MOD(((c_TMAP2IN)-(c_TMAP1IN))*(((K268)-(c_TMAP1IN))*((c_TMAP2OUT)-(c_TMAP1OUT))+IF(((c_TMAP2OUT)-(c_TMAP1OUT))&gt;=0,1,-1)*QUOTIENT(((c_TMAP2IN)-(c_TMAP1IN)),2))+2147483648,4294967296)-2147483648,((c_TMAP2IN)-(c_TMAP1IN))*(((K268)-(c_TMAP1IN))*((c_TMAP2OUT)-(c_TMAP1OUT))+IF(((c_TMAP2OUT)-(c_TMAP1OUT))&gt;=0,1,-1)*QUOTIENT(((c_TMAP2IN)-(c_TMAP1IN)),2)))&gt;=0,1,0)))</f>
        <v>316</v>
      </c>
      <c r="O268" s="7" t="n">
        <f aca="false">IF(((c_TMAP3IN)-(c_TMAP2IN))=0,(c_TMAP2OUT)+QUOTIENT(((c_TMAP3OUT)-(c_TMAP2OUT)),2),QUOTIENT((((K268)-(c_TMAP2IN))*((c_TMAP3OUT)-(c_TMAP2OUT))+IF(((c_TMAP3OUT)-(c_TMAP2OUT))&gt;=0,1,-1)*QUOTIENT(((c_TMAP3IN)-(c_TMAP2IN)),2)),((c_TMAP3IN)-(c_TMAP2IN)))+(c_TMAP2OUT)+IF(((c_TMAP3OUT)-(c_TMAP2OUT))&gt;=0,IF(IF(o_WRAP=1,MOD(((c_TMAP3IN)-(c_TMAP2IN))*(((K268)-(c_TMAP2IN))*((c_TMAP3OUT)-(c_TMAP2OUT))+IF(((c_TMAP3OUT)-(c_TMAP2OUT))&gt;=0,1,-1)*QUOTIENT(((c_TMAP3IN)-(c_TMAP2IN)),2))+2147483648,4294967296)-2147483648,((c_TMAP3IN)-(c_TMAP2IN))*(((K268)-(c_TMAP2IN))*((c_TMAP3OUT)-(c_TMAP2OUT))+IF(((c_TMAP3OUT)-(c_TMAP2OUT))&gt;=0,1,-1)*QUOTIENT(((c_TMAP3IN)-(c_TMAP2IN)),2)))&lt;0,-1,0),IF(IF(o_WRAP=1,MOD(((c_TMAP3IN)-(c_TMAP2IN))*(((K268)-(c_TMAP2IN))*((c_TMAP3OUT)-(c_TMAP2OUT))+IF(((c_TMAP3OUT)-(c_TMAP2OUT))&gt;=0,1,-1)*QUOTIENT(((c_TMAP3IN)-(c_TMAP2IN)),2))+2147483648,4294967296)-2147483648,((c_TMAP3IN)-(c_TMAP2IN))*(((K268)-(c_TMAP2IN))*((c_TMAP3OUT)-(c_TMAP2OUT))+IF(((c_TMAP3OUT)-(c_TMAP2OUT))&gt;=0,1,-1)*QUOTIENT(((c_TMAP3IN)-(c_TMAP2IN)),2)))&gt;=0,1,0)))</f>
        <v>456</v>
      </c>
      <c r="P268" s="7" t="n">
        <f aca="false">IF(((1000)-(c_TMAP3IN))=0,(c_TMAP3OUT)+QUOTIENT(((1000)-(c_TMAP3OUT)),2),QUOTIENT((((K268)-(c_TMAP3IN))*((1000)-(c_TMAP3OUT))+IF(((1000)-(c_TMAP3OUT))&gt;=0,1,-1)*QUOTIENT(((1000)-(c_TMAP3IN)),2)),((1000)-(c_TMAP3IN)))+(c_TMAP3OUT)+IF(((1000)-(c_TMAP3OUT))&gt;=0,IF(IF(o_WRAP=1,MOD(((1000)-(c_TMAP3IN))*(((K268)-(c_TMAP3IN))*((1000)-(c_TMAP3OUT))+IF(((1000)-(c_TMAP3OUT))&gt;=0,1,-1)*QUOTIENT(((1000)-(c_TMAP3IN)),2))+2147483648,4294967296)-2147483648,((1000)-(c_TMAP3IN))*(((K268)-(c_TMAP3IN))*((1000)-(c_TMAP3OUT))+IF(((1000)-(c_TMAP3OUT))&gt;=0,1,-1)*QUOTIENT(((1000)-(c_TMAP3IN)),2)))&lt;0,-1,0),IF(IF(o_WRAP=1,MOD(((1000)-(c_TMAP3IN))*(((K268)-(c_TMAP3IN))*((1000)-(c_TMAP3OUT))+IF(((1000)-(c_TMAP3OUT))&gt;=0,1,-1)*QUOTIENT(((1000)-(c_TMAP3IN)),2))+2147483648,4294967296)-2147483648,((1000)-(c_TMAP3IN))*(((K268)-(c_TMAP3IN))*((1000)-(c_TMAP3OUT))+IF(((1000)-(c_TMAP3OUT))&gt;=0,1,-1)*QUOTIENT(((1000)-(c_TMAP3IN)),2)))&gt;=0,1,0)))</f>
        <v>650</v>
      </c>
      <c r="Q268" s="7" t="str">
        <f aca="false">IF(K268&gt;=c_TFWD,IF(AND(K268&gt;=c_TMAP3IN,c_TMAP3IN&lt;1000),"Seg4 map3-100%",IF(AND(K268&gt;=c_TMAP2IN,c_TMAP3IN&gt;c_TMAP2IN),"Seg3 map2-map3",IF(AND(K268&gt;=c_TMAP1IN,c_TMAP2IN&gt;c_TMAP1IN),"Seg2 map1-map2","Seg1 TFWD-map1"))),IF(AND(K268=0,c_TCREEP&gt;0),"Creep",IF(AND(K268&lt;=c_TRNGMIN,K268&gt;=c_TRNGMAX,c_TRNGMIN-c_TRNGMAX&lt;&gt;0),"Regen ramp","Coast (0)")))</f>
        <v>Seg4 map3-100%</v>
      </c>
      <c r="R268" s="7" t="n">
        <f aca="false">IF(K268&gt;=c_TFWD,IF(AND(K268&gt;=c_TMAP3IN,c_TMAP3IN&lt;1000),P268,IF(AND(K268&gt;=c_TMAP2IN,c_TMAP3IN&gt;c_TMAP2IN),O268,IF(AND(K268&gt;=c_TMAP1IN,c_TMAP2IN&gt;c_TMAP1IN),N268,M268))),L268)</f>
        <v>650</v>
      </c>
      <c r="S268" s="7" t="str">
        <f aca="false">IF(R268&lt;-1090,"TOO LOW",IF(R268&gt;1090,"TOO HIGH",""))</f>
        <v/>
      </c>
      <c r="T268" s="15" t="n">
        <f aca="false">IF(H268&lt;&gt;"OK",0,IF(S268&lt;&gt;"",0,IF(R268&gt;979,1000,R268)))</f>
        <v>650</v>
      </c>
      <c r="U268" s="7" t="n">
        <f aca="false">T268/10</f>
        <v>65</v>
      </c>
    </row>
    <row r="269" customFormat="false" ht="15" hidden="false" customHeight="false" outlineLevel="0" collapsed="false">
      <c r="A269" s="7" t="n">
        <v>264</v>
      </c>
      <c r="B269" s="7" t="n">
        <f aca="false">ROUND(o_SWSTART+A269*(o_SWEND-o_SWSTART)/400,0)</f>
        <v>2703</v>
      </c>
      <c r="C269" s="7" t="n">
        <f aca="false">QUOTIENT((B269-c_OFF1)*c_GAIN1,1024)</f>
        <v>2703</v>
      </c>
      <c r="D269" s="7" t="n">
        <f aca="false">IF(((c_T1MX)-(c_T1MN))=0,(0)+QUOTIENT(((1000)-(0)),2),QUOTIENT((((C269)-(c_T1MN))*((1000)-(0))+IF(((1000)-(0))&gt;=0,1,-1)*QUOTIENT(((c_T1MX)-(c_T1MN)),2)),((c_T1MX)-(c_T1MN)))+(0)+IF(((1000)-(0))&gt;=0,IF(IF(o_WRAP=1,MOD(((c_T1MX)-(c_T1MN))*(((C269)-(c_T1MN))*((1000)-(0))+IF(((1000)-(0))&gt;=0,1,-1)*QUOTIENT(((c_T1MX)-(c_T1MN)),2))+2147483648,4294967296)-2147483648,((c_T1MX)-(c_T1MN))*(((C269)-(c_T1MN))*((1000)-(0))+IF(((1000)-(0))&gt;=0,1,-1)*QUOTIENT(((c_T1MX)-(c_T1MN)),2)))&lt;0,-1,0),IF(IF(o_WRAP=1,MOD(((c_T1MX)-(c_T1MN))*(((C269)-(c_T1MN))*((1000)-(0))+IF(((1000)-(0))&gt;=0,1,-1)*QUOTIENT(((c_T1MX)-(c_T1MN)),2))+2147483648,4294967296)-2147483648,((c_T1MX)-(c_T1MN))*(((C269)-(c_T1MN))*((1000)-(0))+IF(((1000)-(0))&gt;=0,1,-1)*QUOTIENT(((c_T1MX)-(c_T1MN)),2)))&gt;=0,1,0)))</f>
        <v>720</v>
      </c>
      <c r="E269" s="7" t="n">
        <f aca="false">IF(AND(c_TPOT=1,c_TTYPE=2),1000-D269,D269)</f>
        <v>720</v>
      </c>
      <c r="F269" s="7" t="str">
        <f aca="false">IF(c_TPOT&gt;1,ROUND(IF(c_TTYPE=2,c_T2MX-IF(c_T1MX=c_T1MN,0,(C269-c_T1MN)/(c_T1MX-c_T1MN))*(c_T2MX-c_T2MN),c_T2MN+IF(c_T1MX=c_T1MN,0,(C269-c_T1MN)/(c_T1MX-c_T1MN))*(c_T2MX-c_T2MN))+o_MISMATCH,0),"")</f>
        <v/>
      </c>
      <c r="G269" s="7" t="str">
        <f aca="false">IF(c_TPOT&gt;1,IF(((c_T2MX)-(c_T2MN))=0,(0)+QUOTIENT(((1000)-(0)),2),QUOTIENT((((F269)-(c_T2MN))*((1000)-(0))+IF(((1000)-(0))&gt;=0,1,-1)*QUOTIENT(((c_T2MX)-(c_T2MN)),2)),((c_T2MX)-(c_T2MN)))+(0)+IF(((1000)-(0))&gt;=0,IF(IF(o_WRAP=1,MOD(((c_T2MX)-(c_T2MN))*(((F269)-(c_T2MN))*((1000)-(0))+IF(((1000)-(0))&gt;=0,1,-1)*QUOTIENT(((c_T2MX)-(c_T2MN)),2))+2147483648,4294967296)-2147483648,((c_T2MX)-(c_T2MN))*(((F269)-(c_T2MN))*((1000)-(0))+IF(((1000)-(0))&gt;=0,1,-1)*QUOTIENT(((c_T2MX)-(c_T2MN)),2)))&lt;0,-1,0),IF(IF(o_WRAP=1,MOD(((c_T2MX)-(c_T2MN))*(((F269)-(c_T2MN))*((1000)-(0))+IF(((1000)-(0))&gt;=0,1,-1)*QUOTIENT(((c_T2MX)-(c_T2MN)),2))+2147483648,4294967296)-2147483648,((c_T2MX)-(c_T2MN))*(((F269)-(c_T2MN))*((1000)-(0))+IF(((1000)-(0))&gt;=0,1,-1)*QUOTIENT(((c_T2MX)-(c_T2MN)),2)))&gt;=0,1,0))),"")</f>
        <v/>
      </c>
      <c r="H269" s="7" t="str">
        <f aca="false">IF(E269&gt;1000+k_TOL,"T1 HIGH",IF(E269&lt;0-k_TOL,"T1 LOW",IF(c_TPOT&gt;1,IF(G269&gt;1000+k_TOL,"T2 HIGH",IF(G269&lt;0-k_TOL,"T2 LOW",IF(c_TTYPE=2,IF(ABS(1000-MAX(0,MIN(1000,E269))-MAX(0,MIN(1000,G269)))&gt;k_MAXERR,"MISMATCH","OK"),IF(OR(MAX(0,MIN(1000,E269))-k_MAXERR&gt;MAX(0,MIN(1000,G269)),MAX(0,MIN(1000,G269))-k_MAXERR&gt;MAX(0,MIN(1000,E269))),"MISMATCH","OK")))),"OK")))</f>
        <v>OK</v>
      </c>
      <c r="I269" s="7" t="n">
        <f aca="false">MAX(0,MIN(1000,D269))</f>
        <v>720</v>
      </c>
      <c r="J269" s="7" t="str">
        <f aca="false">IF(c_TPOT&gt;1,IF(c_TTYPE=2,1000-MAX(0,MIN(1000,G269)),MAX(0,MIN(1000,G269))),"")</f>
        <v/>
      </c>
      <c r="K269" s="7" t="n">
        <f aca="false">IF(c_TPOT&gt;1,QUOTIENT(I269+J269,2),I269)</f>
        <v>720</v>
      </c>
      <c r="L269" s="7" t="n">
        <f aca="false">IF(AND(K269=0,c_TCREEP&gt;0),10*c_TCREEP,IF(AND(K269&lt;=c_TRNGMIN,K269&gt;=c_TRNGMAX,c_TRNGMIN-c_TRNGMAX&lt;&gt;0),-10*c_TMINRN+QUOTIENT((c_TMAXRN-c_TMINRN)*(100-QUOTIENT((K269-c_TRNGMAX)*100,c_TRNGMIN-c_TRNGMAX)),-10),0))</f>
        <v>0</v>
      </c>
      <c r="M269" s="7" t="n">
        <f aca="false">IF(((c_TMAP1IN)-(c_TFWD))=0,(0)+QUOTIENT(((c_TMAP1OUT)-(0)),2),QUOTIENT((((K269)-(c_TFWD))*((c_TMAP1OUT)-(0))+IF(((c_TMAP1OUT)-(0))&gt;=0,1,-1)*QUOTIENT(((c_TMAP1IN)-(c_TFWD)),2)),((c_TMAP1IN)-(c_TFWD)))+(0)+IF(((c_TMAP1OUT)-(0))&gt;=0,IF(IF(o_WRAP=1,MOD(((c_TMAP1IN)-(c_TFWD))*(((K269)-(c_TFWD))*((c_TMAP1OUT)-(0))+IF(((c_TMAP1OUT)-(0))&gt;=0,1,-1)*QUOTIENT(((c_TMAP1IN)-(c_TFWD)),2))+2147483648,4294967296)-2147483648,((c_TMAP1IN)-(c_TFWD))*(((K269)-(c_TFWD))*((c_TMAP1OUT)-(0))+IF(((c_TMAP1OUT)-(0))&gt;=0,1,-1)*QUOTIENT(((c_TMAP1IN)-(c_TFWD)),2)))&lt;0,-1,0),IF(IF(o_WRAP=1,MOD(((c_TMAP1IN)-(c_TFWD))*(((K269)-(c_TFWD))*((c_TMAP1OUT)-(0))+IF(((c_TMAP1OUT)-(0))&gt;=0,1,-1)*QUOTIENT(((c_TMAP1IN)-(c_TFWD)),2))+2147483648,4294967296)-2147483648,((c_TMAP1IN)-(c_TFWD))*(((K269)-(c_TFWD))*((c_TMAP1OUT)-(0))+IF(((c_TMAP1OUT)-(0))&gt;=0,1,-1)*QUOTIENT(((c_TMAP1IN)-(c_TFWD)),2)))&gt;=0,1,0)))</f>
        <v>552</v>
      </c>
      <c r="N269" s="7" t="n">
        <f aca="false">IF(((c_TMAP2IN)-(c_TMAP1IN))=0,(c_TMAP1OUT)+QUOTIENT(((c_TMAP2OUT)-(c_TMAP1OUT)),2),QUOTIENT((((K269)-(c_TMAP1IN))*((c_TMAP2OUT)-(c_TMAP1OUT))+IF(((c_TMAP2OUT)-(c_TMAP1OUT))&gt;=0,1,-1)*QUOTIENT(((c_TMAP2IN)-(c_TMAP1IN)),2)),((c_TMAP2IN)-(c_TMAP1IN)))+(c_TMAP1OUT)+IF(((c_TMAP2OUT)-(c_TMAP1OUT))&gt;=0,IF(IF(o_WRAP=1,MOD(((c_TMAP2IN)-(c_TMAP1IN))*(((K269)-(c_TMAP1IN))*((c_TMAP2OUT)-(c_TMAP1OUT))+IF(((c_TMAP2OUT)-(c_TMAP1OUT))&gt;=0,1,-1)*QUOTIENT(((c_TMAP2IN)-(c_TMAP1IN)),2))+2147483648,4294967296)-2147483648,((c_TMAP2IN)-(c_TMAP1IN))*(((K269)-(c_TMAP1IN))*((c_TMAP2OUT)-(c_TMAP1OUT))+IF(((c_TMAP2OUT)-(c_TMAP1OUT))&gt;=0,1,-1)*QUOTIENT(((c_TMAP2IN)-(c_TMAP1IN)),2)))&lt;0,-1,0),IF(IF(o_WRAP=1,MOD(((c_TMAP2IN)-(c_TMAP1IN))*(((K269)-(c_TMAP1IN))*((c_TMAP2OUT)-(c_TMAP1OUT))+IF(((c_TMAP2OUT)-(c_TMAP1OUT))&gt;=0,1,-1)*QUOTIENT(((c_TMAP2IN)-(c_TMAP1IN)),2))+2147483648,4294967296)-2147483648,((c_TMAP2IN)-(c_TMAP1IN))*(((K269)-(c_TMAP1IN))*((c_TMAP2OUT)-(c_TMAP1OUT))+IF(((c_TMAP2OUT)-(c_TMAP1OUT))&gt;=0,1,-1)*QUOTIENT(((c_TMAP2IN)-(c_TMAP1IN)),2)))&gt;=0,1,0)))</f>
        <v>318</v>
      </c>
      <c r="O269" s="7" t="n">
        <f aca="false">IF(((c_TMAP3IN)-(c_TMAP2IN))=0,(c_TMAP2OUT)+QUOTIENT(((c_TMAP3OUT)-(c_TMAP2OUT)),2),QUOTIENT((((K269)-(c_TMAP2IN))*((c_TMAP3OUT)-(c_TMAP2OUT))+IF(((c_TMAP3OUT)-(c_TMAP2OUT))&gt;=0,1,-1)*QUOTIENT(((c_TMAP3IN)-(c_TMAP2IN)),2)),((c_TMAP3IN)-(c_TMAP2IN)))+(c_TMAP2OUT)+IF(((c_TMAP3OUT)-(c_TMAP2OUT))&gt;=0,IF(IF(o_WRAP=1,MOD(((c_TMAP3IN)-(c_TMAP2IN))*(((K269)-(c_TMAP2IN))*((c_TMAP3OUT)-(c_TMAP2OUT))+IF(((c_TMAP3OUT)-(c_TMAP2OUT))&gt;=0,1,-1)*QUOTIENT(((c_TMAP3IN)-(c_TMAP2IN)),2))+2147483648,4294967296)-2147483648,((c_TMAP3IN)-(c_TMAP2IN))*(((K269)-(c_TMAP2IN))*((c_TMAP3OUT)-(c_TMAP2OUT))+IF(((c_TMAP3OUT)-(c_TMAP2OUT))&gt;=0,1,-1)*QUOTIENT(((c_TMAP3IN)-(c_TMAP2IN)),2)))&lt;0,-1,0),IF(IF(o_WRAP=1,MOD(((c_TMAP3IN)-(c_TMAP2IN))*(((K269)-(c_TMAP2IN))*((c_TMAP3OUT)-(c_TMAP2OUT))+IF(((c_TMAP3OUT)-(c_TMAP2OUT))&gt;=0,1,-1)*QUOTIENT(((c_TMAP3IN)-(c_TMAP2IN)),2))+2147483648,4294967296)-2147483648,((c_TMAP3IN)-(c_TMAP2IN))*(((K269)-(c_TMAP2IN))*((c_TMAP3OUT)-(c_TMAP2OUT))+IF(((c_TMAP3OUT)-(c_TMAP2OUT))&gt;=0,1,-1)*QUOTIENT(((c_TMAP3IN)-(c_TMAP2IN)),2)))&gt;=0,1,0)))</f>
        <v>459</v>
      </c>
      <c r="P269" s="7" t="n">
        <f aca="false">IF(((1000)-(c_TMAP3IN))=0,(c_TMAP3OUT)+QUOTIENT(((1000)-(c_TMAP3OUT)),2),QUOTIENT((((K269)-(c_TMAP3IN))*((1000)-(c_TMAP3OUT))+IF(((1000)-(c_TMAP3OUT))&gt;=0,1,-1)*QUOTIENT(((1000)-(c_TMAP3IN)),2)),((1000)-(c_TMAP3IN)))+(c_TMAP3OUT)+IF(((1000)-(c_TMAP3OUT))&gt;=0,IF(IF(o_WRAP=1,MOD(((1000)-(c_TMAP3IN))*(((K269)-(c_TMAP3IN))*((1000)-(c_TMAP3OUT))+IF(((1000)-(c_TMAP3OUT))&gt;=0,1,-1)*QUOTIENT(((1000)-(c_TMAP3IN)),2))+2147483648,4294967296)-2147483648,((1000)-(c_TMAP3IN))*(((K269)-(c_TMAP3IN))*((1000)-(c_TMAP3OUT))+IF(((1000)-(c_TMAP3OUT))&gt;=0,1,-1)*QUOTIENT(((1000)-(c_TMAP3IN)),2)))&lt;0,-1,0),IF(IF(o_WRAP=1,MOD(((1000)-(c_TMAP3IN))*(((K269)-(c_TMAP3IN))*((1000)-(c_TMAP3OUT))+IF(((1000)-(c_TMAP3OUT))&gt;=0,1,-1)*QUOTIENT(((1000)-(c_TMAP3IN)),2))+2147483648,4294967296)-2147483648,((1000)-(c_TMAP3IN))*(((K269)-(c_TMAP3IN))*((1000)-(c_TMAP3OUT))+IF(((1000)-(c_TMAP3OUT))&gt;=0,1,-1)*QUOTIENT(((1000)-(c_TMAP3IN)),2)))&gt;=0,1,0)))</f>
        <v>655</v>
      </c>
      <c r="Q269" s="7" t="str">
        <f aca="false">IF(K269&gt;=c_TFWD,IF(AND(K269&gt;=c_TMAP3IN,c_TMAP3IN&lt;1000),"Seg4 map3-100%",IF(AND(K269&gt;=c_TMAP2IN,c_TMAP3IN&gt;c_TMAP2IN),"Seg3 map2-map3",IF(AND(K269&gt;=c_TMAP1IN,c_TMAP2IN&gt;c_TMAP1IN),"Seg2 map1-map2","Seg1 TFWD-map1"))),IF(AND(K269=0,c_TCREEP&gt;0),"Creep",IF(AND(K269&lt;=c_TRNGMIN,K269&gt;=c_TRNGMAX,c_TRNGMIN-c_TRNGMAX&lt;&gt;0),"Regen ramp","Coast (0)")))</f>
        <v>Seg4 map3-100%</v>
      </c>
      <c r="R269" s="7" t="n">
        <f aca="false">IF(K269&gt;=c_TFWD,IF(AND(K269&gt;=c_TMAP3IN,c_TMAP3IN&lt;1000),P269,IF(AND(K269&gt;=c_TMAP2IN,c_TMAP3IN&gt;c_TMAP2IN),O269,IF(AND(K269&gt;=c_TMAP1IN,c_TMAP2IN&gt;c_TMAP1IN),N269,M269))),L269)</f>
        <v>655</v>
      </c>
      <c r="S269" s="7" t="str">
        <f aca="false">IF(R269&lt;-1090,"TOO LOW",IF(R269&gt;1090,"TOO HIGH",""))</f>
        <v/>
      </c>
      <c r="T269" s="15" t="n">
        <f aca="false">IF(H269&lt;&gt;"OK",0,IF(S269&lt;&gt;"",0,IF(R269&gt;979,1000,R269)))</f>
        <v>655</v>
      </c>
      <c r="U269" s="7" t="n">
        <f aca="false">T269/10</f>
        <v>65.5</v>
      </c>
    </row>
    <row r="270" customFormat="false" ht="15" hidden="false" customHeight="false" outlineLevel="0" collapsed="false">
      <c r="A270" s="7" t="n">
        <v>265</v>
      </c>
      <c r="B270" s="7" t="n">
        <f aca="false">ROUND(o_SWSTART+A270*(o_SWEND-o_SWSTART)/400,0)</f>
        <v>2713</v>
      </c>
      <c r="C270" s="7" t="n">
        <f aca="false">QUOTIENT((B270-c_OFF1)*c_GAIN1,1024)</f>
        <v>2713</v>
      </c>
      <c r="D270" s="7" t="n">
        <f aca="false">IF(((c_T1MX)-(c_T1MN))=0,(0)+QUOTIENT(((1000)-(0)),2),QUOTIENT((((C270)-(c_T1MN))*((1000)-(0))+IF(((1000)-(0))&gt;=0,1,-1)*QUOTIENT(((c_T1MX)-(c_T1MN)),2)),((c_T1MX)-(c_T1MN)))+(0)+IF(((1000)-(0))&gt;=0,IF(IF(o_WRAP=1,MOD(((c_T1MX)-(c_T1MN))*(((C270)-(c_T1MN))*((1000)-(0))+IF(((1000)-(0))&gt;=0,1,-1)*QUOTIENT(((c_T1MX)-(c_T1MN)),2))+2147483648,4294967296)-2147483648,((c_T1MX)-(c_T1MN))*(((C270)-(c_T1MN))*((1000)-(0))+IF(((1000)-(0))&gt;=0,1,-1)*QUOTIENT(((c_T1MX)-(c_T1MN)),2)))&lt;0,-1,0),IF(IF(o_WRAP=1,MOD(((c_T1MX)-(c_T1MN))*(((C270)-(c_T1MN))*((1000)-(0))+IF(((1000)-(0))&gt;=0,1,-1)*QUOTIENT(((c_T1MX)-(c_T1MN)),2))+2147483648,4294967296)-2147483648,((c_T1MX)-(c_T1MN))*(((C270)-(c_T1MN))*((1000)-(0))+IF(((1000)-(0))&gt;=0,1,-1)*QUOTIENT(((c_T1MX)-(c_T1MN)),2)))&gt;=0,1,0)))</f>
        <v>723</v>
      </c>
      <c r="E270" s="7" t="n">
        <f aca="false">IF(AND(c_TPOT=1,c_TTYPE=2),1000-D270,D270)</f>
        <v>723</v>
      </c>
      <c r="F270" s="7" t="str">
        <f aca="false">IF(c_TPOT&gt;1,ROUND(IF(c_TTYPE=2,c_T2MX-IF(c_T1MX=c_T1MN,0,(C270-c_T1MN)/(c_T1MX-c_T1MN))*(c_T2MX-c_T2MN),c_T2MN+IF(c_T1MX=c_T1MN,0,(C270-c_T1MN)/(c_T1MX-c_T1MN))*(c_T2MX-c_T2MN))+o_MISMATCH,0),"")</f>
        <v/>
      </c>
      <c r="G270" s="7" t="str">
        <f aca="false">IF(c_TPOT&gt;1,IF(((c_T2MX)-(c_T2MN))=0,(0)+QUOTIENT(((1000)-(0)),2),QUOTIENT((((F270)-(c_T2MN))*((1000)-(0))+IF(((1000)-(0))&gt;=0,1,-1)*QUOTIENT(((c_T2MX)-(c_T2MN)),2)),((c_T2MX)-(c_T2MN)))+(0)+IF(((1000)-(0))&gt;=0,IF(IF(o_WRAP=1,MOD(((c_T2MX)-(c_T2MN))*(((F270)-(c_T2MN))*((1000)-(0))+IF(((1000)-(0))&gt;=0,1,-1)*QUOTIENT(((c_T2MX)-(c_T2MN)),2))+2147483648,4294967296)-2147483648,((c_T2MX)-(c_T2MN))*(((F270)-(c_T2MN))*((1000)-(0))+IF(((1000)-(0))&gt;=0,1,-1)*QUOTIENT(((c_T2MX)-(c_T2MN)),2)))&lt;0,-1,0),IF(IF(o_WRAP=1,MOD(((c_T2MX)-(c_T2MN))*(((F270)-(c_T2MN))*((1000)-(0))+IF(((1000)-(0))&gt;=0,1,-1)*QUOTIENT(((c_T2MX)-(c_T2MN)),2))+2147483648,4294967296)-2147483648,((c_T2MX)-(c_T2MN))*(((F270)-(c_T2MN))*((1000)-(0))+IF(((1000)-(0))&gt;=0,1,-1)*QUOTIENT(((c_T2MX)-(c_T2MN)),2)))&gt;=0,1,0))),"")</f>
        <v/>
      </c>
      <c r="H270" s="7" t="str">
        <f aca="false">IF(E270&gt;1000+k_TOL,"T1 HIGH",IF(E270&lt;0-k_TOL,"T1 LOW",IF(c_TPOT&gt;1,IF(G270&gt;1000+k_TOL,"T2 HIGH",IF(G270&lt;0-k_TOL,"T2 LOW",IF(c_TTYPE=2,IF(ABS(1000-MAX(0,MIN(1000,E270))-MAX(0,MIN(1000,G270)))&gt;k_MAXERR,"MISMATCH","OK"),IF(OR(MAX(0,MIN(1000,E270))-k_MAXERR&gt;MAX(0,MIN(1000,G270)),MAX(0,MIN(1000,G270))-k_MAXERR&gt;MAX(0,MIN(1000,E270))),"MISMATCH","OK")))),"OK")))</f>
        <v>OK</v>
      </c>
      <c r="I270" s="7" t="n">
        <f aca="false">MAX(0,MIN(1000,D270))</f>
        <v>723</v>
      </c>
      <c r="J270" s="7" t="str">
        <f aca="false">IF(c_TPOT&gt;1,IF(c_TTYPE=2,1000-MAX(0,MIN(1000,G270)),MAX(0,MIN(1000,G270))),"")</f>
        <v/>
      </c>
      <c r="K270" s="7" t="n">
        <f aca="false">IF(c_TPOT&gt;1,QUOTIENT(I270+J270,2),I270)</f>
        <v>723</v>
      </c>
      <c r="L270" s="7" t="n">
        <f aca="false">IF(AND(K270=0,c_TCREEP&gt;0),10*c_TCREEP,IF(AND(K270&lt;=c_TRNGMIN,K270&gt;=c_TRNGMAX,c_TRNGMIN-c_TRNGMAX&lt;&gt;0),-10*c_TMINRN+QUOTIENT((c_TMAXRN-c_TMINRN)*(100-QUOTIENT((K270-c_TRNGMAX)*100,c_TRNGMIN-c_TRNGMAX)),-10),0))</f>
        <v>0</v>
      </c>
      <c r="M270" s="7" t="n">
        <f aca="false">IF(((c_TMAP1IN)-(c_TFWD))=0,(0)+QUOTIENT(((c_TMAP1OUT)-(0)),2),QUOTIENT((((K270)-(c_TFWD))*((c_TMAP1OUT)-(0))+IF(((c_TMAP1OUT)-(0))&gt;=0,1,-1)*QUOTIENT(((c_TMAP1IN)-(c_TFWD)),2)),((c_TMAP1IN)-(c_TFWD)))+(0)+IF(((c_TMAP1OUT)-(0))&gt;=0,IF(IF(o_WRAP=1,MOD(((c_TMAP1IN)-(c_TFWD))*(((K270)-(c_TFWD))*((c_TMAP1OUT)-(0))+IF(((c_TMAP1OUT)-(0))&gt;=0,1,-1)*QUOTIENT(((c_TMAP1IN)-(c_TFWD)),2))+2147483648,4294967296)-2147483648,((c_TMAP1IN)-(c_TFWD))*(((K270)-(c_TFWD))*((c_TMAP1OUT)-(0))+IF(((c_TMAP1OUT)-(0))&gt;=0,1,-1)*QUOTIENT(((c_TMAP1IN)-(c_TFWD)),2)))&lt;0,-1,0),IF(IF(o_WRAP=1,MOD(((c_TMAP1IN)-(c_TFWD))*(((K270)-(c_TFWD))*((c_TMAP1OUT)-(0))+IF(((c_TMAP1OUT)-(0))&gt;=0,1,-1)*QUOTIENT(((c_TMAP1IN)-(c_TFWD)),2))+2147483648,4294967296)-2147483648,((c_TMAP1IN)-(c_TFWD))*(((K270)-(c_TFWD))*((c_TMAP1OUT)-(0))+IF(((c_TMAP1OUT)-(0))&gt;=0,1,-1)*QUOTIENT(((c_TMAP1IN)-(c_TFWD)),2)))&gt;=0,1,0)))</f>
        <v>555</v>
      </c>
      <c r="N270" s="7" t="n">
        <f aca="false">IF(((c_TMAP2IN)-(c_TMAP1IN))=0,(c_TMAP1OUT)+QUOTIENT(((c_TMAP2OUT)-(c_TMAP1OUT)),2),QUOTIENT((((K270)-(c_TMAP1IN))*((c_TMAP2OUT)-(c_TMAP1OUT))+IF(((c_TMAP2OUT)-(c_TMAP1OUT))&gt;=0,1,-1)*QUOTIENT(((c_TMAP2IN)-(c_TMAP1IN)),2)),((c_TMAP2IN)-(c_TMAP1IN)))+(c_TMAP1OUT)+IF(((c_TMAP2OUT)-(c_TMAP1OUT))&gt;=0,IF(IF(o_WRAP=1,MOD(((c_TMAP2IN)-(c_TMAP1IN))*(((K270)-(c_TMAP1IN))*((c_TMAP2OUT)-(c_TMAP1OUT))+IF(((c_TMAP2OUT)-(c_TMAP1OUT))&gt;=0,1,-1)*QUOTIENT(((c_TMAP2IN)-(c_TMAP1IN)),2))+2147483648,4294967296)-2147483648,((c_TMAP2IN)-(c_TMAP1IN))*(((K270)-(c_TMAP1IN))*((c_TMAP2OUT)-(c_TMAP1OUT))+IF(((c_TMAP2OUT)-(c_TMAP1OUT))&gt;=0,1,-1)*QUOTIENT(((c_TMAP2IN)-(c_TMAP1IN)),2)))&lt;0,-1,0),IF(IF(o_WRAP=1,MOD(((c_TMAP2IN)-(c_TMAP1IN))*(((K270)-(c_TMAP1IN))*((c_TMAP2OUT)-(c_TMAP1OUT))+IF(((c_TMAP2OUT)-(c_TMAP1OUT))&gt;=0,1,-1)*QUOTIENT(((c_TMAP2IN)-(c_TMAP1IN)),2))+2147483648,4294967296)-2147483648,((c_TMAP2IN)-(c_TMAP1IN))*(((K270)-(c_TMAP1IN))*((c_TMAP2OUT)-(c_TMAP1OUT))+IF(((c_TMAP2OUT)-(c_TMAP1OUT))&gt;=0,1,-1)*QUOTIENT(((c_TMAP2IN)-(c_TMAP1IN)),2)))&gt;=0,1,0)))</f>
        <v>319</v>
      </c>
      <c r="O270" s="7" t="n">
        <f aca="false">IF(((c_TMAP3IN)-(c_TMAP2IN))=0,(c_TMAP2OUT)+QUOTIENT(((c_TMAP3OUT)-(c_TMAP2OUT)),2),QUOTIENT((((K270)-(c_TMAP2IN))*((c_TMAP3OUT)-(c_TMAP2OUT))+IF(((c_TMAP3OUT)-(c_TMAP2OUT))&gt;=0,1,-1)*QUOTIENT(((c_TMAP3IN)-(c_TMAP2IN)),2)),((c_TMAP3IN)-(c_TMAP2IN)))+(c_TMAP2OUT)+IF(((c_TMAP3OUT)-(c_TMAP2OUT))&gt;=0,IF(IF(o_WRAP=1,MOD(((c_TMAP3IN)-(c_TMAP2IN))*(((K270)-(c_TMAP2IN))*((c_TMAP3OUT)-(c_TMAP2OUT))+IF(((c_TMAP3OUT)-(c_TMAP2OUT))&gt;=0,1,-1)*QUOTIENT(((c_TMAP3IN)-(c_TMAP2IN)),2))+2147483648,4294967296)-2147483648,((c_TMAP3IN)-(c_TMAP2IN))*(((K270)-(c_TMAP2IN))*((c_TMAP3OUT)-(c_TMAP2OUT))+IF(((c_TMAP3OUT)-(c_TMAP2OUT))&gt;=0,1,-1)*QUOTIENT(((c_TMAP3IN)-(c_TMAP2IN)),2)))&lt;0,-1,0),IF(IF(o_WRAP=1,MOD(((c_TMAP3IN)-(c_TMAP2IN))*(((K270)-(c_TMAP2IN))*((c_TMAP3OUT)-(c_TMAP2OUT))+IF(((c_TMAP3OUT)-(c_TMAP2OUT))&gt;=0,1,-1)*QUOTIENT(((c_TMAP3IN)-(c_TMAP2IN)),2))+2147483648,4294967296)-2147483648,((c_TMAP3IN)-(c_TMAP2IN))*(((K270)-(c_TMAP2IN))*((c_TMAP3OUT)-(c_TMAP2OUT))+IF(((c_TMAP3OUT)-(c_TMAP2OUT))&gt;=0,1,-1)*QUOTIENT(((c_TMAP3IN)-(c_TMAP2IN)),2)))&gt;=0,1,0)))</f>
        <v>461</v>
      </c>
      <c r="P270" s="7" t="n">
        <f aca="false">IF(((1000)-(c_TMAP3IN))=0,(c_TMAP3OUT)+QUOTIENT(((1000)-(c_TMAP3OUT)),2),QUOTIENT((((K270)-(c_TMAP3IN))*((1000)-(c_TMAP3OUT))+IF(((1000)-(c_TMAP3OUT))&gt;=0,1,-1)*QUOTIENT(((1000)-(c_TMAP3IN)),2)),((1000)-(c_TMAP3IN)))+(c_TMAP3OUT)+IF(((1000)-(c_TMAP3OUT))&gt;=0,IF(IF(o_WRAP=1,MOD(((1000)-(c_TMAP3IN))*(((K270)-(c_TMAP3IN))*((1000)-(c_TMAP3OUT))+IF(((1000)-(c_TMAP3OUT))&gt;=0,1,-1)*QUOTIENT(((1000)-(c_TMAP3IN)),2))+2147483648,4294967296)-2147483648,((1000)-(c_TMAP3IN))*(((K270)-(c_TMAP3IN))*((1000)-(c_TMAP3OUT))+IF(((1000)-(c_TMAP3OUT))&gt;=0,1,-1)*QUOTIENT(((1000)-(c_TMAP3IN)),2)))&lt;0,-1,0),IF(IF(o_WRAP=1,MOD(((1000)-(c_TMAP3IN))*(((K270)-(c_TMAP3IN))*((1000)-(c_TMAP3OUT))+IF(((1000)-(c_TMAP3OUT))&gt;=0,1,-1)*QUOTIENT(((1000)-(c_TMAP3IN)),2))+2147483648,4294967296)-2147483648,((1000)-(c_TMAP3IN))*(((K270)-(c_TMAP3IN))*((1000)-(c_TMAP3OUT))+IF(((1000)-(c_TMAP3OUT))&gt;=0,1,-1)*QUOTIENT(((1000)-(c_TMAP3IN)),2)))&gt;=0,1,0)))</f>
        <v>659</v>
      </c>
      <c r="Q270" s="7" t="str">
        <f aca="false">IF(K270&gt;=c_TFWD,IF(AND(K270&gt;=c_TMAP3IN,c_TMAP3IN&lt;1000),"Seg4 map3-100%",IF(AND(K270&gt;=c_TMAP2IN,c_TMAP3IN&gt;c_TMAP2IN),"Seg3 map2-map3",IF(AND(K270&gt;=c_TMAP1IN,c_TMAP2IN&gt;c_TMAP1IN),"Seg2 map1-map2","Seg1 TFWD-map1"))),IF(AND(K270=0,c_TCREEP&gt;0),"Creep",IF(AND(K270&lt;=c_TRNGMIN,K270&gt;=c_TRNGMAX,c_TRNGMIN-c_TRNGMAX&lt;&gt;0),"Regen ramp","Coast (0)")))</f>
        <v>Seg4 map3-100%</v>
      </c>
      <c r="R270" s="7" t="n">
        <f aca="false">IF(K270&gt;=c_TFWD,IF(AND(K270&gt;=c_TMAP3IN,c_TMAP3IN&lt;1000),P270,IF(AND(K270&gt;=c_TMAP2IN,c_TMAP3IN&gt;c_TMAP2IN),O270,IF(AND(K270&gt;=c_TMAP1IN,c_TMAP2IN&gt;c_TMAP1IN),N270,M270))),L270)</f>
        <v>659</v>
      </c>
      <c r="S270" s="7" t="str">
        <f aca="false">IF(R270&lt;-1090,"TOO LOW",IF(R270&gt;1090,"TOO HIGH",""))</f>
        <v/>
      </c>
      <c r="T270" s="15" t="n">
        <f aca="false">IF(H270&lt;&gt;"OK",0,IF(S270&lt;&gt;"",0,IF(R270&gt;979,1000,R270)))</f>
        <v>659</v>
      </c>
      <c r="U270" s="7" t="n">
        <f aca="false">T270/10</f>
        <v>65.9</v>
      </c>
    </row>
    <row r="271" customFormat="false" ht="15" hidden="false" customHeight="false" outlineLevel="0" collapsed="false">
      <c r="A271" s="7" t="n">
        <v>266</v>
      </c>
      <c r="B271" s="7" t="n">
        <f aca="false">ROUND(o_SWSTART+A271*(o_SWEND-o_SWSTART)/400,0)</f>
        <v>2723</v>
      </c>
      <c r="C271" s="7" t="n">
        <f aca="false">QUOTIENT((B271-c_OFF1)*c_GAIN1,1024)</f>
        <v>2723</v>
      </c>
      <c r="D271" s="7" t="n">
        <f aca="false">IF(((c_T1MX)-(c_T1MN))=0,(0)+QUOTIENT(((1000)-(0)),2),QUOTIENT((((C271)-(c_T1MN))*((1000)-(0))+IF(((1000)-(0))&gt;=0,1,-1)*QUOTIENT(((c_T1MX)-(c_T1MN)),2)),((c_T1MX)-(c_T1MN)))+(0)+IF(((1000)-(0))&gt;=0,IF(IF(o_WRAP=1,MOD(((c_T1MX)-(c_T1MN))*(((C271)-(c_T1MN))*((1000)-(0))+IF(((1000)-(0))&gt;=0,1,-1)*QUOTIENT(((c_T1MX)-(c_T1MN)),2))+2147483648,4294967296)-2147483648,((c_T1MX)-(c_T1MN))*(((C271)-(c_T1MN))*((1000)-(0))+IF(((1000)-(0))&gt;=0,1,-1)*QUOTIENT(((c_T1MX)-(c_T1MN)),2)))&lt;0,-1,0),IF(IF(o_WRAP=1,MOD(((c_T1MX)-(c_T1MN))*(((C271)-(c_T1MN))*((1000)-(0))+IF(((1000)-(0))&gt;=0,1,-1)*QUOTIENT(((c_T1MX)-(c_T1MN)),2))+2147483648,4294967296)-2147483648,((c_T1MX)-(c_T1MN))*(((C271)-(c_T1MN))*((1000)-(0))+IF(((1000)-(0))&gt;=0,1,-1)*QUOTIENT(((c_T1MX)-(c_T1MN)),2)))&gt;=0,1,0)))</f>
        <v>727</v>
      </c>
      <c r="E271" s="7" t="n">
        <f aca="false">IF(AND(c_TPOT=1,c_TTYPE=2),1000-D271,D271)</f>
        <v>727</v>
      </c>
      <c r="F271" s="7" t="str">
        <f aca="false">IF(c_TPOT&gt;1,ROUND(IF(c_TTYPE=2,c_T2MX-IF(c_T1MX=c_T1MN,0,(C271-c_T1MN)/(c_T1MX-c_T1MN))*(c_T2MX-c_T2MN),c_T2MN+IF(c_T1MX=c_T1MN,0,(C271-c_T1MN)/(c_T1MX-c_T1MN))*(c_T2MX-c_T2MN))+o_MISMATCH,0),"")</f>
        <v/>
      </c>
      <c r="G271" s="7" t="str">
        <f aca="false">IF(c_TPOT&gt;1,IF(((c_T2MX)-(c_T2MN))=0,(0)+QUOTIENT(((1000)-(0)),2),QUOTIENT((((F271)-(c_T2MN))*((1000)-(0))+IF(((1000)-(0))&gt;=0,1,-1)*QUOTIENT(((c_T2MX)-(c_T2MN)),2)),((c_T2MX)-(c_T2MN)))+(0)+IF(((1000)-(0))&gt;=0,IF(IF(o_WRAP=1,MOD(((c_T2MX)-(c_T2MN))*(((F271)-(c_T2MN))*((1000)-(0))+IF(((1000)-(0))&gt;=0,1,-1)*QUOTIENT(((c_T2MX)-(c_T2MN)),2))+2147483648,4294967296)-2147483648,((c_T2MX)-(c_T2MN))*(((F271)-(c_T2MN))*((1000)-(0))+IF(((1000)-(0))&gt;=0,1,-1)*QUOTIENT(((c_T2MX)-(c_T2MN)),2)))&lt;0,-1,0),IF(IF(o_WRAP=1,MOD(((c_T2MX)-(c_T2MN))*(((F271)-(c_T2MN))*((1000)-(0))+IF(((1000)-(0))&gt;=0,1,-1)*QUOTIENT(((c_T2MX)-(c_T2MN)),2))+2147483648,4294967296)-2147483648,((c_T2MX)-(c_T2MN))*(((F271)-(c_T2MN))*((1000)-(0))+IF(((1000)-(0))&gt;=0,1,-1)*QUOTIENT(((c_T2MX)-(c_T2MN)),2)))&gt;=0,1,0))),"")</f>
        <v/>
      </c>
      <c r="H271" s="7" t="str">
        <f aca="false">IF(E271&gt;1000+k_TOL,"T1 HIGH",IF(E271&lt;0-k_TOL,"T1 LOW",IF(c_TPOT&gt;1,IF(G271&gt;1000+k_TOL,"T2 HIGH",IF(G271&lt;0-k_TOL,"T2 LOW",IF(c_TTYPE=2,IF(ABS(1000-MAX(0,MIN(1000,E271))-MAX(0,MIN(1000,G271)))&gt;k_MAXERR,"MISMATCH","OK"),IF(OR(MAX(0,MIN(1000,E271))-k_MAXERR&gt;MAX(0,MIN(1000,G271)),MAX(0,MIN(1000,G271))-k_MAXERR&gt;MAX(0,MIN(1000,E271))),"MISMATCH","OK")))),"OK")))</f>
        <v>OK</v>
      </c>
      <c r="I271" s="7" t="n">
        <f aca="false">MAX(0,MIN(1000,D271))</f>
        <v>727</v>
      </c>
      <c r="J271" s="7" t="str">
        <f aca="false">IF(c_TPOT&gt;1,IF(c_TTYPE=2,1000-MAX(0,MIN(1000,G271)),MAX(0,MIN(1000,G271))),"")</f>
        <v/>
      </c>
      <c r="K271" s="7" t="n">
        <f aca="false">IF(c_TPOT&gt;1,QUOTIENT(I271+J271,2),I271)</f>
        <v>727</v>
      </c>
      <c r="L271" s="7" t="n">
        <f aca="false">IF(AND(K271=0,c_TCREEP&gt;0),10*c_TCREEP,IF(AND(K271&lt;=c_TRNGMIN,K271&gt;=c_TRNGMAX,c_TRNGMIN-c_TRNGMAX&lt;&gt;0),-10*c_TMINRN+QUOTIENT((c_TMAXRN-c_TMINRN)*(100-QUOTIENT((K271-c_TRNGMAX)*100,c_TRNGMIN-c_TRNGMAX)),-10),0))</f>
        <v>0</v>
      </c>
      <c r="M271" s="7" t="n">
        <f aca="false">IF(((c_TMAP1IN)-(c_TFWD))=0,(0)+QUOTIENT(((c_TMAP1OUT)-(0)),2),QUOTIENT((((K271)-(c_TFWD))*((c_TMAP1OUT)-(0))+IF(((c_TMAP1OUT)-(0))&gt;=0,1,-1)*QUOTIENT(((c_TMAP1IN)-(c_TFWD)),2)),((c_TMAP1IN)-(c_TFWD)))+(0)+IF(((c_TMAP1OUT)-(0))&gt;=0,IF(IF(o_WRAP=1,MOD(((c_TMAP1IN)-(c_TFWD))*(((K271)-(c_TFWD))*((c_TMAP1OUT)-(0))+IF(((c_TMAP1OUT)-(0))&gt;=0,1,-1)*QUOTIENT(((c_TMAP1IN)-(c_TFWD)),2))+2147483648,4294967296)-2147483648,((c_TMAP1IN)-(c_TFWD))*(((K271)-(c_TFWD))*((c_TMAP1OUT)-(0))+IF(((c_TMAP1OUT)-(0))&gt;=0,1,-1)*QUOTIENT(((c_TMAP1IN)-(c_TFWD)),2)))&lt;0,-1,0),IF(IF(o_WRAP=1,MOD(((c_TMAP1IN)-(c_TFWD))*(((K271)-(c_TFWD))*((c_TMAP1OUT)-(0))+IF(((c_TMAP1OUT)-(0))&gt;=0,1,-1)*QUOTIENT(((c_TMAP1IN)-(c_TFWD)),2))+2147483648,4294967296)-2147483648,((c_TMAP1IN)-(c_TFWD))*(((K271)-(c_TFWD))*((c_TMAP1OUT)-(0))+IF(((c_TMAP1OUT)-(0))&gt;=0,1,-1)*QUOTIENT(((c_TMAP1IN)-(c_TFWD)),2)))&gt;=0,1,0)))</f>
        <v>558</v>
      </c>
      <c r="N271" s="7" t="n">
        <f aca="false">IF(((c_TMAP2IN)-(c_TMAP1IN))=0,(c_TMAP1OUT)+QUOTIENT(((c_TMAP2OUT)-(c_TMAP1OUT)),2),QUOTIENT((((K271)-(c_TMAP1IN))*((c_TMAP2OUT)-(c_TMAP1OUT))+IF(((c_TMAP2OUT)-(c_TMAP1OUT))&gt;=0,1,-1)*QUOTIENT(((c_TMAP2IN)-(c_TMAP1IN)),2)),((c_TMAP2IN)-(c_TMAP1IN)))+(c_TMAP1OUT)+IF(((c_TMAP2OUT)-(c_TMAP1OUT))&gt;=0,IF(IF(o_WRAP=1,MOD(((c_TMAP2IN)-(c_TMAP1IN))*(((K271)-(c_TMAP1IN))*((c_TMAP2OUT)-(c_TMAP1OUT))+IF(((c_TMAP2OUT)-(c_TMAP1OUT))&gt;=0,1,-1)*QUOTIENT(((c_TMAP2IN)-(c_TMAP1IN)),2))+2147483648,4294967296)-2147483648,((c_TMAP2IN)-(c_TMAP1IN))*(((K271)-(c_TMAP1IN))*((c_TMAP2OUT)-(c_TMAP1OUT))+IF(((c_TMAP2OUT)-(c_TMAP1OUT))&gt;=0,1,-1)*QUOTIENT(((c_TMAP2IN)-(c_TMAP1IN)),2)))&lt;0,-1,0),IF(IF(o_WRAP=1,MOD(((c_TMAP2IN)-(c_TMAP1IN))*(((K271)-(c_TMAP1IN))*((c_TMAP2OUT)-(c_TMAP1OUT))+IF(((c_TMAP2OUT)-(c_TMAP1OUT))&gt;=0,1,-1)*QUOTIENT(((c_TMAP2IN)-(c_TMAP1IN)),2))+2147483648,4294967296)-2147483648,((c_TMAP2IN)-(c_TMAP1IN))*(((K271)-(c_TMAP1IN))*((c_TMAP2OUT)-(c_TMAP1OUT))+IF(((c_TMAP2OUT)-(c_TMAP1OUT))&gt;=0,1,-1)*QUOTIENT(((c_TMAP2IN)-(c_TMAP1IN)),2)))&gt;=0,1,0)))</f>
        <v>321</v>
      </c>
      <c r="O271" s="7" t="n">
        <f aca="false">IF(((c_TMAP3IN)-(c_TMAP2IN))=0,(c_TMAP2OUT)+QUOTIENT(((c_TMAP3OUT)-(c_TMAP2OUT)),2),QUOTIENT((((K271)-(c_TMAP2IN))*((c_TMAP3OUT)-(c_TMAP2OUT))+IF(((c_TMAP3OUT)-(c_TMAP2OUT))&gt;=0,1,-1)*QUOTIENT(((c_TMAP3IN)-(c_TMAP2IN)),2)),((c_TMAP3IN)-(c_TMAP2IN)))+(c_TMAP2OUT)+IF(((c_TMAP3OUT)-(c_TMAP2OUT))&gt;=0,IF(IF(o_WRAP=1,MOD(((c_TMAP3IN)-(c_TMAP2IN))*(((K271)-(c_TMAP2IN))*((c_TMAP3OUT)-(c_TMAP2OUT))+IF(((c_TMAP3OUT)-(c_TMAP2OUT))&gt;=0,1,-1)*QUOTIENT(((c_TMAP3IN)-(c_TMAP2IN)),2))+2147483648,4294967296)-2147483648,((c_TMAP3IN)-(c_TMAP2IN))*(((K271)-(c_TMAP2IN))*((c_TMAP3OUT)-(c_TMAP2OUT))+IF(((c_TMAP3OUT)-(c_TMAP2OUT))&gt;=0,1,-1)*QUOTIENT(((c_TMAP3IN)-(c_TMAP2IN)),2)))&lt;0,-1,0),IF(IF(o_WRAP=1,MOD(((c_TMAP3IN)-(c_TMAP2IN))*(((K271)-(c_TMAP2IN))*((c_TMAP3OUT)-(c_TMAP2OUT))+IF(((c_TMAP3OUT)-(c_TMAP2OUT))&gt;=0,1,-1)*QUOTIENT(((c_TMAP3IN)-(c_TMAP2IN)),2))+2147483648,4294967296)-2147483648,((c_TMAP3IN)-(c_TMAP2IN))*(((K271)-(c_TMAP2IN))*((c_TMAP3OUT)-(c_TMAP2OUT))+IF(((c_TMAP3OUT)-(c_TMAP2OUT))&gt;=0,1,-1)*QUOTIENT(((c_TMAP3IN)-(c_TMAP2IN)),2)))&gt;=0,1,0)))</f>
        <v>464</v>
      </c>
      <c r="P271" s="7" t="n">
        <f aca="false">IF(((1000)-(c_TMAP3IN))=0,(c_TMAP3OUT)+QUOTIENT(((1000)-(c_TMAP3OUT)),2),QUOTIENT((((K271)-(c_TMAP3IN))*((1000)-(c_TMAP3OUT))+IF(((1000)-(c_TMAP3OUT))&gt;=0,1,-1)*QUOTIENT(((1000)-(c_TMAP3IN)),2)),((1000)-(c_TMAP3IN)))+(c_TMAP3OUT)+IF(((1000)-(c_TMAP3OUT))&gt;=0,IF(IF(o_WRAP=1,MOD(((1000)-(c_TMAP3IN))*(((K271)-(c_TMAP3IN))*((1000)-(c_TMAP3OUT))+IF(((1000)-(c_TMAP3OUT))&gt;=0,1,-1)*QUOTIENT(((1000)-(c_TMAP3IN)),2))+2147483648,4294967296)-2147483648,((1000)-(c_TMAP3IN))*(((K271)-(c_TMAP3IN))*((1000)-(c_TMAP3OUT))+IF(((1000)-(c_TMAP3OUT))&gt;=0,1,-1)*QUOTIENT(((1000)-(c_TMAP3IN)),2)))&lt;0,-1,0),IF(IF(o_WRAP=1,MOD(((1000)-(c_TMAP3IN))*(((K271)-(c_TMAP3IN))*((1000)-(c_TMAP3OUT))+IF(((1000)-(c_TMAP3OUT))&gt;=0,1,-1)*QUOTIENT(((1000)-(c_TMAP3IN)),2))+2147483648,4294967296)-2147483648,((1000)-(c_TMAP3IN))*(((K271)-(c_TMAP3IN))*((1000)-(c_TMAP3OUT))+IF(((1000)-(c_TMAP3OUT))&gt;=0,1,-1)*QUOTIENT(((1000)-(c_TMAP3IN)),2)))&gt;=0,1,0)))</f>
        <v>664</v>
      </c>
      <c r="Q271" s="7" t="str">
        <f aca="false">IF(K271&gt;=c_TFWD,IF(AND(K271&gt;=c_TMAP3IN,c_TMAP3IN&lt;1000),"Seg4 map3-100%",IF(AND(K271&gt;=c_TMAP2IN,c_TMAP3IN&gt;c_TMAP2IN),"Seg3 map2-map3",IF(AND(K271&gt;=c_TMAP1IN,c_TMAP2IN&gt;c_TMAP1IN),"Seg2 map1-map2","Seg1 TFWD-map1"))),IF(AND(K271=0,c_TCREEP&gt;0),"Creep",IF(AND(K271&lt;=c_TRNGMIN,K271&gt;=c_TRNGMAX,c_TRNGMIN-c_TRNGMAX&lt;&gt;0),"Regen ramp","Coast (0)")))</f>
        <v>Seg4 map3-100%</v>
      </c>
      <c r="R271" s="7" t="n">
        <f aca="false">IF(K271&gt;=c_TFWD,IF(AND(K271&gt;=c_TMAP3IN,c_TMAP3IN&lt;1000),P271,IF(AND(K271&gt;=c_TMAP2IN,c_TMAP3IN&gt;c_TMAP2IN),O271,IF(AND(K271&gt;=c_TMAP1IN,c_TMAP2IN&gt;c_TMAP1IN),N271,M271))),L271)</f>
        <v>664</v>
      </c>
      <c r="S271" s="7" t="str">
        <f aca="false">IF(R271&lt;-1090,"TOO LOW",IF(R271&gt;1090,"TOO HIGH",""))</f>
        <v/>
      </c>
      <c r="T271" s="15" t="n">
        <f aca="false">IF(H271&lt;&gt;"OK",0,IF(S271&lt;&gt;"",0,IF(R271&gt;979,1000,R271)))</f>
        <v>664</v>
      </c>
      <c r="U271" s="7" t="n">
        <f aca="false">T271/10</f>
        <v>66.4</v>
      </c>
    </row>
    <row r="272" customFormat="false" ht="15" hidden="false" customHeight="false" outlineLevel="0" collapsed="false">
      <c r="A272" s="7" t="n">
        <v>267</v>
      </c>
      <c r="B272" s="7" t="n">
        <f aca="false">ROUND(o_SWSTART+A272*(o_SWEND-o_SWSTART)/400,0)</f>
        <v>2733</v>
      </c>
      <c r="C272" s="7" t="n">
        <f aca="false">QUOTIENT((B272-c_OFF1)*c_GAIN1,1024)</f>
        <v>2733</v>
      </c>
      <c r="D272" s="7" t="n">
        <f aca="false">IF(((c_T1MX)-(c_T1MN))=0,(0)+QUOTIENT(((1000)-(0)),2),QUOTIENT((((C272)-(c_T1MN))*((1000)-(0))+IF(((1000)-(0))&gt;=0,1,-1)*QUOTIENT(((c_T1MX)-(c_T1MN)),2)),((c_T1MX)-(c_T1MN)))+(0)+IF(((1000)-(0))&gt;=0,IF(IF(o_WRAP=1,MOD(((c_T1MX)-(c_T1MN))*(((C272)-(c_T1MN))*((1000)-(0))+IF(((1000)-(0))&gt;=0,1,-1)*QUOTIENT(((c_T1MX)-(c_T1MN)),2))+2147483648,4294967296)-2147483648,((c_T1MX)-(c_T1MN))*(((C272)-(c_T1MN))*((1000)-(0))+IF(((1000)-(0))&gt;=0,1,-1)*QUOTIENT(((c_T1MX)-(c_T1MN)),2)))&lt;0,-1,0),IF(IF(o_WRAP=1,MOD(((c_T1MX)-(c_T1MN))*(((C272)-(c_T1MN))*((1000)-(0))+IF(((1000)-(0))&gt;=0,1,-1)*QUOTIENT(((c_T1MX)-(c_T1MN)),2))+2147483648,4294967296)-2147483648,((c_T1MX)-(c_T1MN))*(((C272)-(c_T1MN))*((1000)-(0))+IF(((1000)-(0))&gt;=0,1,-1)*QUOTIENT(((c_T1MX)-(c_T1MN)),2)))&gt;=0,1,0)))</f>
        <v>730</v>
      </c>
      <c r="E272" s="7" t="n">
        <f aca="false">IF(AND(c_TPOT=1,c_TTYPE=2),1000-D272,D272)</f>
        <v>730</v>
      </c>
      <c r="F272" s="7" t="str">
        <f aca="false">IF(c_TPOT&gt;1,ROUND(IF(c_TTYPE=2,c_T2MX-IF(c_T1MX=c_T1MN,0,(C272-c_T1MN)/(c_T1MX-c_T1MN))*(c_T2MX-c_T2MN),c_T2MN+IF(c_T1MX=c_T1MN,0,(C272-c_T1MN)/(c_T1MX-c_T1MN))*(c_T2MX-c_T2MN))+o_MISMATCH,0),"")</f>
        <v/>
      </c>
      <c r="G272" s="7" t="str">
        <f aca="false">IF(c_TPOT&gt;1,IF(((c_T2MX)-(c_T2MN))=0,(0)+QUOTIENT(((1000)-(0)),2),QUOTIENT((((F272)-(c_T2MN))*((1000)-(0))+IF(((1000)-(0))&gt;=0,1,-1)*QUOTIENT(((c_T2MX)-(c_T2MN)),2)),((c_T2MX)-(c_T2MN)))+(0)+IF(((1000)-(0))&gt;=0,IF(IF(o_WRAP=1,MOD(((c_T2MX)-(c_T2MN))*(((F272)-(c_T2MN))*((1000)-(0))+IF(((1000)-(0))&gt;=0,1,-1)*QUOTIENT(((c_T2MX)-(c_T2MN)),2))+2147483648,4294967296)-2147483648,((c_T2MX)-(c_T2MN))*(((F272)-(c_T2MN))*((1000)-(0))+IF(((1000)-(0))&gt;=0,1,-1)*QUOTIENT(((c_T2MX)-(c_T2MN)),2)))&lt;0,-1,0),IF(IF(o_WRAP=1,MOD(((c_T2MX)-(c_T2MN))*(((F272)-(c_T2MN))*((1000)-(0))+IF(((1000)-(0))&gt;=0,1,-1)*QUOTIENT(((c_T2MX)-(c_T2MN)),2))+2147483648,4294967296)-2147483648,((c_T2MX)-(c_T2MN))*(((F272)-(c_T2MN))*((1000)-(0))+IF(((1000)-(0))&gt;=0,1,-1)*QUOTIENT(((c_T2MX)-(c_T2MN)),2)))&gt;=0,1,0))),"")</f>
        <v/>
      </c>
      <c r="H272" s="7" t="str">
        <f aca="false">IF(E272&gt;1000+k_TOL,"T1 HIGH",IF(E272&lt;0-k_TOL,"T1 LOW",IF(c_TPOT&gt;1,IF(G272&gt;1000+k_TOL,"T2 HIGH",IF(G272&lt;0-k_TOL,"T2 LOW",IF(c_TTYPE=2,IF(ABS(1000-MAX(0,MIN(1000,E272))-MAX(0,MIN(1000,G272)))&gt;k_MAXERR,"MISMATCH","OK"),IF(OR(MAX(0,MIN(1000,E272))-k_MAXERR&gt;MAX(0,MIN(1000,G272)),MAX(0,MIN(1000,G272))-k_MAXERR&gt;MAX(0,MIN(1000,E272))),"MISMATCH","OK")))),"OK")))</f>
        <v>OK</v>
      </c>
      <c r="I272" s="7" t="n">
        <f aca="false">MAX(0,MIN(1000,D272))</f>
        <v>730</v>
      </c>
      <c r="J272" s="7" t="str">
        <f aca="false">IF(c_TPOT&gt;1,IF(c_TTYPE=2,1000-MAX(0,MIN(1000,G272)),MAX(0,MIN(1000,G272))),"")</f>
        <v/>
      </c>
      <c r="K272" s="7" t="n">
        <f aca="false">IF(c_TPOT&gt;1,QUOTIENT(I272+J272,2),I272)</f>
        <v>730</v>
      </c>
      <c r="L272" s="7" t="n">
        <f aca="false">IF(AND(K272=0,c_TCREEP&gt;0),10*c_TCREEP,IF(AND(K272&lt;=c_TRNGMIN,K272&gt;=c_TRNGMAX,c_TRNGMIN-c_TRNGMAX&lt;&gt;0),-10*c_TMINRN+QUOTIENT((c_TMAXRN-c_TMINRN)*(100-QUOTIENT((K272-c_TRNGMAX)*100,c_TRNGMIN-c_TRNGMAX)),-10),0))</f>
        <v>0</v>
      </c>
      <c r="M272" s="7" t="n">
        <f aca="false">IF(((c_TMAP1IN)-(c_TFWD))=0,(0)+QUOTIENT(((c_TMAP1OUT)-(0)),2),QUOTIENT((((K272)-(c_TFWD))*((c_TMAP1OUT)-(0))+IF(((c_TMAP1OUT)-(0))&gt;=0,1,-1)*QUOTIENT(((c_TMAP1IN)-(c_TFWD)),2)),((c_TMAP1IN)-(c_TFWD)))+(0)+IF(((c_TMAP1OUT)-(0))&gt;=0,IF(IF(o_WRAP=1,MOD(((c_TMAP1IN)-(c_TFWD))*(((K272)-(c_TFWD))*((c_TMAP1OUT)-(0))+IF(((c_TMAP1OUT)-(0))&gt;=0,1,-1)*QUOTIENT(((c_TMAP1IN)-(c_TFWD)),2))+2147483648,4294967296)-2147483648,((c_TMAP1IN)-(c_TFWD))*(((K272)-(c_TFWD))*((c_TMAP1OUT)-(0))+IF(((c_TMAP1OUT)-(0))&gt;=0,1,-1)*QUOTIENT(((c_TMAP1IN)-(c_TFWD)),2)))&lt;0,-1,0),IF(IF(o_WRAP=1,MOD(((c_TMAP1IN)-(c_TFWD))*(((K272)-(c_TFWD))*((c_TMAP1OUT)-(0))+IF(((c_TMAP1OUT)-(0))&gt;=0,1,-1)*QUOTIENT(((c_TMAP1IN)-(c_TFWD)),2))+2147483648,4294967296)-2147483648,((c_TMAP1IN)-(c_TFWD))*(((K272)-(c_TFWD))*((c_TMAP1OUT)-(0))+IF(((c_TMAP1OUT)-(0))&gt;=0,1,-1)*QUOTIENT(((c_TMAP1IN)-(c_TFWD)),2)))&gt;=0,1,0)))</f>
        <v>560</v>
      </c>
      <c r="N272" s="7" t="n">
        <f aca="false">IF(((c_TMAP2IN)-(c_TMAP1IN))=0,(c_TMAP1OUT)+QUOTIENT(((c_TMAP2OUT)-(c_TMAP1OUT)),2),QUOTIENT((((K272)-(c_TMAP1IN))*((c_TMAP2OUT)-(c_TMAP1OUT))+IF(((c_TMAP2OUT)-(c_TMAP1OUT))&gt;=0,1,-1)*QUOTIENT(((c_TMAP2IN)-(c_TMAP1IN)),2)),((c_TMAP2IN)-(c_TMAP1IN)))+(c_TMAP1OUT)+IF(((c_TMAP2OUT)-(c_TMAP1OUT))&gt;=0,IF(IF(o_WRAP=1,MOD(((c_TMAP2IN)-(c_TMAP1IN))*(((K272)-(c_TMAP1IN))*((c_TMAP2OUT)-(c_TMAP1OUT))+IF(((c_TMAP2OUT)-(c_TMAP1OUT))&gt;=0,1,-1)*QUOTIENT(((c_TMAP2IN)-(c_TMAP1IN)),2))+2147483648,4294967296)-2147483648,((c_TMAP2IN)-(c_TMAP1IN))*(((K272)-(c_TMAP1IN))*((c_TMAP2OUT)-(c_TMAP1OUT))+IF(((c_TMAP2OUT)-(c_TMAP1OUT))&gt;=0,1,-1)*QUOTIENT(((c_TMAP2IN)-(c_TMAP1IN)),2)))&lt;0,-1,0),IF(IF(o_WRAP=1,MOD(((c_TMAP2IN)-(c_TMAP1IN))*(((K272)-(c_TMAP1IN))*((c_TMAP2OUT)-(c_TMAP1OUT))+IF(((c_TMAP2OUT)-(c_TMAP1OUT))&gt;=0,1,-1)*QUOTIENT(((c_TMAP2IN)-(c_TMAP1IN)),2))+2147483648,4294967296)-2147483648,((c_TMAP2IN)-(c_TMAP1IN))*(((K272)-(c_TMAP1IN))*((c_TMAP2OUT)-(c_TMAP1OUT))+IF(((c_TMAP2OUT)-(c_TMAP1OUT))&gt;=0,1,-1)*QUOTIENT(((c_TMAP2IN)-(c_TMAP1IN)),2)))&gt;=0,1,0)))</f>
        <v>322</v>
      </c>
      <c r="O272" s="7" t="n">
        <f aca="false">IF(((c_TMAP3IN)-(c_TMAP2IN))=0,(c_TMAP2OUT)+QUOTIENT(((c_TMAP3OUT)-(c_TMAP2OUT)),2),QUOTIENT((((K272)-(c_TMAP2IN))*((c_TMAP3OUT)-(c_TMAP2OUT))+IF(((c_TMAP3OUT)-(c_TMAP2OUT))&gt;=0,1,-1)*QUOTIENT(((c_TMAP3IN)-(c_TMAP2IN)),2)),((c_TMAP3IN)-(c_TMAP2IN)))+(c_TMAP2OUT)+IF(((c_TMAP3OUT)-(c_TMAP2OUT))&gt;=0,IF(IF(o_WRAP=1,MOD(((c_TMAP3IN)-(c_TMAP2IN))*(((K272)-(c_TMAP2IN))*((c_TMAP3OUT)-(c_TMAP2OUT))+IF(((c_TMAP3OUT)-(c_TMAP2OUT))&gt;=0,1,-1)*QUOTIENT(((c_TMAP3IN)-(c_TMAP2IN)),2))+2147483648,4294967296)-2147483648,((c_TMAP3IN)-(c_TMAP2IN))*(((K272)-(c_TMAP2IN))*((c_TMAP3OUT)-(c_TMAP2OUT))+IF(((c_TMAP3OUT)-(c_TMAP2OUT))&gt;=0,1,-1)*QUOTIENT(((c_TMAP3IN)-(c_TMAP2IN)),2)))&lt;0,-1,0),IF(IF(o_WRAP=1,MOD(((c_TMAP3IN)-(c_TMAP2IN))*(((K272)-(c_TMAP2IN))*((c_TMAP3OUT)-(c_TMAP2OUT))+IF(((c_TMAP3OUT)-(c_TMAP2OUT))&gt;=0,1,-1)*QUOTIENT(((c_TMAP3IN)-(c_TMAP2IN)),2))+2147483648,4294967296)-2147483648,((c_TMAP3IN)-(c_TMAP2IN))*(((K272)-(c_TMAP2IN))*((c_TMAP3OUT)-(c_TMAP2OUT))+IF(((c_TMAP3OUT)-(c_TMAP2OUT))&gt;=0,1,-1)*QUOTIENT(((c_TMAP3IN)-(c_TMAP2IN)),2)))&gt;=0,1,0)))</f>
        <v>466</v>
      </c>
      <c r="P272" s="7" t="n">
        <f aca="false">IF(((1000)-(c_TMAP3IN))=0,(c_TMAP3OUT)+QUOTIENT(((1000)-(c_TMAP3OUT)),2),QUOTIENT((((K272)-(c_TMAP3IN))*((1000)-(c_TMAP3OUT))+IF(((1000)-(c_TMAP3OUT))&gt;=0,1,-1)*QUOTIENT(((1000)-(c_TMAP3IN)),2)),((1000)-(c_TMAP3IN)))+(c_TMAP3OUT)+IF(((1000)-(c_TMAP3OUT))&gt;=0,IF(IF(o_WRAP=1,MOD(((1000)-(c_TMAP3IN))*(((K272)-(c_TMAP3IN))*((1000)-(c_TMAP3OUT))+IF(((1000)-(c_TMAP3OUT))&gt;=0,1,-1)*QUOTIENT(((1000)-(c_TMAP3IN)),2))+2147483648,4294967296)-2147483648,((1000)-(c_TMAP3IN))*(((K272)-(c_TMAP3IN))*((1000)-(c_TMAP3OUT))+IF(((1000)-(c_TMAP3OUT))&gt;=0,1,-1)*QUOTIENT(((1000)-(c_TMAP3IN)),2)))&lt;0,-1,0),IF(IF(o_WRAP=1,MOD(((1000)-(c_TMAP3IN))*(((K272)-(c_TMAP3IN))*((1000)-(c_TMAP3OUT))+IF(((1000)-(c_TMAP3OUT))&gt;=0,1,-1)*QUOTIENT(((1000)-(c_TMAP3IN)),2))+2147483648,4294967296)-2147483648,((1000)-(c_TMAP3IN))*(((K272)-(c_TMAP3IN))*((1000)-(c_TMAP3OUT))+IF(((1000)-(c_TMAP3OUT))&gt;=0,1,-1)*QUOTIENT(((1000)-(c_TMAP3IN)),2)))&gt;=0,1,0)))</f>
        <v>668</v>
      </c>
      <c r="Q272" s="7" t="str">
        <f aca="false">IF(K272&gt;=c_TFWD,IF(AND(K272&gt;=c_TMAP3IN,c_TMAP3IN&lt;1000),"Seg4 map3-100%",IF(AND(K272&gt;=c_TMAP2IN,c_TMAP3IN&gt;c_TMAP2IN),"Seg3 map2-map3",IF(AND(K272&gt;=c_TMAP1IN,c_TMAP2IN&gt;c_TMAP1IN),"Seg2 map1-map2","Seg1 TFWD-map1"))),IF(AND(K272=0,c_TCREEP&gt;0),"Creep",IF(AND(K272&lt;=c_TRNGMIN,K272&gt;=c_TRNGMAX,c_TRNGMIN-c_TRNGMAX&lt;&gt;0),"Regen ramp","Coast (0)")))</f>
        <v>Seg4 map3-100%</v>
      </c>
      <c r="R272" s="7" t="n">
        <f aca="false">IF(K272&gt;=c_TFWD,IF(AND(K272&gt;=c_TMAP3IN,c_TMAP3IN&lt;1000),P272,IF(AND(K272&gt;=c_TMAP2IN,c_TMAP3IN&gt;c_TMAP2IN),O272,IF(AND(K272&gt;=c_TMAP1IN,c_TMAP2IN&gt;c_TMAP1IN),N272,M272))),L272)</f>
        <v>668</v>
      </c>
      <c r="S272" s="7" t="str">
        <f aca="false">IF(R272&lt;-1090,"TOO LOW",IF(R272&gt;1090,"TOO HIGH",""))</f>
        <v/>
      </c>
      <c r="T272" s="15" t="n">
        <f aca="false">IF(H272&lt;&gt;"OK",0,IF(S272&lt;&gt;"",0,IF(R272&gt;979,1000,R272)))</f>
        <v>668</v>
      </c>
      <c r="U272" s="7" t="n">
        <f aca="false">T272/10</f>
        <v>66.8</v>
      </c>
    </row>
    <row r="273" customFormat="false" ht="15" hidden="false" customHeight="false" outlineLevel="0" collapsed="false">
      <c r="A273" s="7" t="n">
        <v>268</v>
      </c>
      <c r="B273" s="7" t="n">
        <f aca="false">ROUND(o_SWSTART+A273*(o_SWEND-o_SWSTART)/400,0)</f>
        <v>2744</v>
      </c>
      <c r="C273" s="7" t="n">
        <f aca="false">QUOTIENT((B273-c_OFF1)*c_GAIN1,1024)</f>
        <v>2744</v>
      </c>
      <c r="D273" s="7" t="n">
        <f aca="false">IF(((c_T1MX)-(c_T1MN))=0,(0)+QUOTIENT(((1000)-(0)),2),QUOTIENT((((C273)-(c_T1MN))*((1000)-(0))+IF(((1000)-(0))&gt;=0,1,-1)*QUOTIENT(((c_T1MX)-(c_T1MN)),2)),((c_T1MX)-(c_T1MN)))+(0)+IF(((1000)-(0))&gt;=0,IF(IF(o_WRAP=1,MOD(((c_T1MX)-(c_T1MN))*(((C273)-(c_T1MN))*((1000)-(0))+IF(((1000)-(0))&gt;=0,1,-1)*QUOTIENT(((c_T1MX)-(c_T1MN)),2))+2147483648,4294967296)-2147483648,((c_T1MX)-(c_T1MN))*(((C273)-(c_T1MN))*((1000)-(0))+IF(((1000)-(0))&gt;=0,1,-1)*QUOTIENT(((c_T1MX)-(c_T1MN)),2)))&lt;0,-1,0),IF(IF(o_WRAP=1,MOD(((c_T1MX)-(c_T1MN))*(((C273)-(c_T1MN))*((1000)-(0))+IF(((1000)-(0))&gt;=0,1,-1)*QUOTIENT(((c_T1MX)-(c_T1MN)),2))+2147483648,4294967296)-2147483648,((c_T1MX)-(c_T1MN))*(((C273)-(c_T1MN))*((1000)-(0))+IF(((1000)-(0))&gt;=0,1,-1)*QUOTIENT(((c_T1MX)-(c_T1MN)),2)))&gt;=0,1,0)))</f>
        <v>734</v>
      </c>
      <c r="E273" s="7" t="n">
        <f aca="false">IF(AND(c_TPOT=1,c_TTYPE=2),1000-D273,D273)</f>
        <v>734</v>
      </c>
      <c r="F273" s="7" t="str">
        <f aca="false">IF(c_TPOT&gt;1,ROUND(IF(c_TTYPE=2,c_T2MX-IF(c_T1MX=c_T1MN,0,(C273-c_T1MN)/(c_T1MX-c_T1MN))*(c_T2MX-c_T2MN),c_T2MN+IF(c_T1MX=c_T1MN,0,(C273-c_T1MN)/(c_T1MX-c_T1MN))*(c_T2MX-c_T2MN))+o_MISMATCH,0),"")</f>
        <v/>
      </c>
      <c r="G273" s="7" t="str">
        <f aca="false">IF(c_TPOT&gt;1,IF(((c_T2MX)-(c_T2MN))=0,(0)+QUOTIENT(((1000)-(0)),2),QUOTIENT((((F273)-(c_T2MN))*((1000)-(0))+IF(((1000)-(0))&gt;=0,1,-1)*QUOTIENT(((c_T2MX)-(c_T2MN)),2)),((c_T2MX)-(c_T2MN)))+(0)+IF(((1000)-(0))&gt;=0,IF(IF(o_WRAP=1,MOD(((c_T2MX)-(c_T2MN))*(((F273)-(c_T2MN))*((1000)-(0))+IF(((1000)-(0))&gt;=0,1,-1)*QUOTIENT(((c_T2MX)-(c_T2MN)),2))+2147483648,4294967296)-2147483648,((c_T2MX)-(c_T2MN))*(((F273)-(c_T2MN))*((1000)-(0))+IF(((1000)-(0))&gt;=0,1,-1)*QUOTIENT(((c_T2MX)-(c_T2MN)),2)))&lt;0,-1,0),IF(IF(o_WRAP=1,MOD(((c_T2MX)-(c_T2MN))*(((F273)-(c_T2MN))*((1000)-(0))+IF(((1000)-(0))&gt;=0,1,-1)*QUOTIENT(((c_T2MX)-(c_T2MN)),2))+2147483648,4294967296)-2147483648,((c_T2MX)-(c_T2MN))*(((F273)-(c_T2MN))*((1000)-(0))+IF(((1000)-(0))&gt;=0,1,-1)*QUOTIENT(((c_T2MX)-(c_T2MN)),2)))&gt;=0,1,0))),"")</f>
        <v/>
      </c>
      <c r="H273" s="7" t="str">
        <f aca="false">IF(E273&gt;1000+k_TOL,"T1 HIGH",IF(E273&lt;0-k_TOL,"T1 LOW",IF(c_TPOT&gt;1,IF(G273&gt;1000+k_TOL,"T2 HIGH",IF(G273&lt;0-k_TOL,"T2 LOW",IF(c_TTYPE=2,IF(ABS(1000-MAX(0,MIN(1000,E273))-MAX(0,MIN(1000,G273)))&gt;k_MAXERR,"MISMATCH","OK"),IF(OR(MAX(0,MIN(1000,E273))-k_MAXERR&gt;MAX(0,MIN(1000,G273)),MAX(0,MIN(1000,G273))-k_MAXERR&gt;MAX(0,MIN(1000,E273))),"MISMATCH","OK")))),"OK")))</f>
        <v>OK</v>
      </c>
      <c r="I273" s="7" t="n">
        <f aca="false">MAX(0,MIN(1000,D273))</f>
        <v>734</v>
      </c>
      <c r="J273" s="7" t="str">
        <f aca="false">IF(c_TPOT&gt;1,IF(c_TTYPE=2,1000-MAX(0,MIN(1000,G273)),MAX(0,MIN(1000,G273))),"")</f>
        <v/>
      </c>
      <c r="K273" s="7" t="n">
        <f aca="false">IF(c_TPOT&gt;1,QUOTIENT(I273+J273,2),I273)</f>
        <v>734</v>
      </c>
      <c r="L273" s="7" t="n">
        <f aca="false">IF(AND(K273=0,c_TCREEP&gt;0),10*c_TCREEP,IF(AND(K273&lt;=c_TRNGMIN,K273&gt;=c_TRNGMAX,c_TRNGMIN-c_TRNGMAX&lt;&gt;0),-10*c_TMINRN+QUOTIENT((c_TMAXRN-c_TMINRN)*(100-QUOTIENT((K273-c_TRNGMAX)*100,c_TRNGMIN-c_TRNGMAX)),-10),0))</f>
        <v>0</v>
      </c>
      <c r="M273" s="7" t="n">
        <f aca="false">IF(((c_TMAP1IN)-(c_TFWD))=0,(0)+QUOTIENT(((c_TMAP1OUT)-(0)),2),QUOTIENT((((K273)-(c_TFWD))*((c_TMAP1OUT)-(0))+IF(((c_TMAP1OUT)-(0))&gt;=0,1,-1)*QUOTIENT(((c_TMAP1IN)-(c_TFWD)),2)),((c_TMAP1IN)-(c_TFWD)))+(0)+IF(((c_TMAP1OUT)-(0))&gt;=0,IF(IF(o_WRAP=1,MOD(((c_TMAP1IN)-(c_TFWD))*(((K273)-(c_TFWD))*((c_TMAP1OUT)-(0))+IF(((c_TMAP1OUT)-(0))&gt;=0,1,-1)*QUOTIENT(((c_TMAP1IN)-(c_TFWD)),2))+2147483648,4294967296)-2147483648,((c_TMAP1IN)-(c_TFWD))*(((K273)-(c_TFWD))*((c_TMAP1OUT)-(0))+IF(((c_TMAP1OUT)-(0))&gt;=0,1,-1)*QUOTIENT(((c_TMAP1IN)-(c_TFWD)),2)))&lt;0,-1,0),IF(IF(o_WRAP=1,MOD(((c_TMAP1IN)-(c_TFWD))*(((K273)-(c_TFWD))*((c_TMAP1OUT)-(0))+IF(((c_TMAP1OUT)-(0))&gt;=0,1,-1)*QUOTIENT(((c_TMAP1IN)-(c_TFWD)),2))+2147483648,4294967296)-2147483648,((c_TMAP1IN)-(c_TFWD))*(((K273)-(c_TFWD))*((c_TMAP1OUT)-(0))+IF(((c_TMAP1OUT)-(0))&gt;=0,1,-1)*QUOTIENT(((c_TMAP1IN)-(c_TFWD)),2)))&gt;=0,1,0)))</f>
        <v>563</v>
      </c>
      <c r="N273" s="7" t="n">
        <f aca="false">IF(((c_TMAP2IN)-(c_TMAP1IN))=0,(c_TMAP1OUT)+QUOTIENT(((c_TMAP2OUT)-(c_TMAP1OUT)),2),QUOTIENT((((K273)-(c_TMAP1IN))*((c_TMAP2OUT)-(c_TMAP1OUT))+IF(((c_TMAP2OUT)-(c_TMAP1OUT))&gt;=0,1,-1)*QUOTIENT(((c_TMAP2IN)-(c_TMAP1IN)),2)),((c_TMAP2IN)-(c_TMAP1IN)))+(c_TMAP1OUT)+IF(((c_TMAP2OUT)-(c_TMAP1OUT))&gt;=0,IF(IF(o_WRAP=1,MOD(((c_TMAP2IN)-(c_TMAP1IN))*(((K273)-(c_TMAP1IN))*((c_TMAP2OUT)-(c_TMAP1OUT))+IF(((c_TMAP2OUT)-(c_TMAP1OUT))&gt;=0,1,-1)*QUOTIENT(((c_TMAP2IN)-(c_TMAP1IN)),2))+2147483648,4294967296)-2147483648,((c_TMAP2IN)-(c_TMAP1IN))*(((K273)-(c_TMAP1IN))*((c_TMAP2OUT)-(c_TMAP1OUT))+IF(((c_TMAP2OUT)-(c_TMAP1OUT))&gt;=0,1,-1)*QUOTIENT(((c_TMAP2IN)-(c_TMAP1IN)),2)))&lt;0,-1,0),IF(IF(o_WRAP=1,MOD(((c_TMAP2IN)-(c_TMAP1IN))*(((K273)-(c_TMAP1IN))*((c_TMAP2OUT)-(c_TMAP1OUT))+IF(((c_TMAP2OUT)-(c_TMAP1OUT))&gt;=0,1,-1)*QUOTIENT(((c_TMAP2IN)-(c_TMAP1IN)),2))+2147483648,4294967296)-2147483648,((c_TMAP2IN)-(c_TMAP1IN))*(((K273)-(c_TMAP1IN))*((c_TMAP2OUT)-(c_TMAP1OUT))+IF(((c_TMAP2OUT)-(c_TMAP1OUT))&gt;=0,1,-1)*QUOTIENT(((c_TMAP2IN)-(c_TMAP1IN)),2)))&gt;=0,1,0)))</f>
        <v>324</v>
      </c>
      <c r="O273" s="7" t="n">
        <f aca="false">IF(((c_TMAP3IN)-(c_TMAP2IN))=0,(c_TMAP2OUT)+QUOTIENT(((c_TMAP3OUT)-(c_TMAP2OUT)),2),QUOTIENT((((K273)-(c_TMAP2IN))*((c_TMAP3OUT)-(c_TMAP2OUT))+IF(((c_TMAP3OUT)-(c_TMAP2OUT))&gt;=0,1,-1)*QUOTIENT(((c_TMAP3IN)-(c_TMAP2IN)),2)),((c_TMAP3IN)-(c_TMAP2IN)))+(c_TMAP2OUT)+IF(((c_TMAP3OUT)-(c_TMAP2OUT))&gt;=0,IF(IF(o_WRAP=1,MOD(((c_TMAP3IN)-(c_TMAP2IN))*(((K273)-(c_TMAP2IN))*((c_TMAP3OUT)-(c_TMAP2OUT))+IF(((c_TMAP3OUT)-(c_TMAP2OUT))&gt;=0,1,-1)*QUOTIENT(((c_TMAP3IN)-(c_TMAP2IN)),2))+2147483648,4294967296)-2147483648,((c_TMAP3IN)-(c_TMAP2IN))*(((K273)-(c_TMAP2IN))*((c_TMAP3OUT)-(c_TMAP2OUT))+IF(((c_TMAP3OUT)-(c_TMAP2OUT))&gt;=0,1,-1)*QUOTIENT(((c_TMAP3IN)-(c_TMAP2IN)),2)))&lt;0,-1,0),IF(IF(o_WRAP=1,MOD(((c_TMAP3IN)-(c_TMAP2IN))*(((K273)-(c_TMAP2IN))*((c_TMAP3OUT)-(c_TMAP2OUT))+IF(((c_TMAP3OUT)-(c_TMAP2OUT))&gt;=0,1,-1)*QUOTIENT(((c_TMAP3IN)-(c_TMAP2IN)),2))+2147483648,4294967296)-2147483648,((c_TMAP3IN)-(c_TMAP2IN))*(((K273)-(c_TMAP2IN))*((c_TMAP3OUT)-(c_TMAP2OUT))+IF(((c_TMAP3OUT)-(c_TMAP2OUT))&gt;=0,1,-1)*QUOTIENT(((c_TMAP3IN)-(c_TMAP2IN)),2)))&gt;=0,1,0)))</f>
        <v>469</v>
      </c>
      <c r="P273" s="7" t="n">
        <f aca="false">IF(((1000)-(c_TMAP3IN))=0,(c_TMAP3OUT)+QUOTIENT(((1000)-(c_TMAP3OUT)),2),QUOTIENT((((K273)-(c_TMAP3IN))*((1000)-(c_TMAP3OUT))+IF(((1000)-(c_TMAP3OUT))&gt;=0,1,-1)*QUOTIENT(((1000)-(c_TMAP3IN)),2)),((1000)-(c_TMAP3IN)))+(c_TMAP3OUT)+IF(((1000)-(c_TMAP3OUT))&gt;=0,IF(IF(o_WRAP=1,MOD(((1000)-(c_TMAP3IN))*(((K273)-(c_TMAP3IN))*((1000)-(c_TMAP3OUT))+IF(((1000)-(c_TMAP3OUT))&gt;=0,1,-1)*QUOTIENT(((1000)-(c_TMAP3IN)),2))+2147483648,4294967296)-2147483648,((1000)-(c_TMAP3IN))*(((K273)-(c_TMAP3IN))*((1000)-(c_TMAP3OUT))+IF(((1000)-(c_TMAP3OUT))&gt;=0,1,-1)*QUOTIENT(((1000)-(c_TMAP3IN)),2)))&lt;0,-1,0),IF(IF(o_WRAP=1,MOD(((1000)-(c_TMAP3IN))*(((K273)-(c_TMAP3IN))*((1000)-(c_TMAP3OUT))+IF(((1000)-(c_TMAP3OUT))&gt;=0,1,-1)*QUOTIENT(((1000)-(c_TMAP3IN)),2))+2147483648,4294967296)-2147483648,((1000)-(c_TMAP3IN))*(((K273)-(c_TMAP3IN))*((1000)-(c_TMAP3OUT))+IF(((1000)-(c_TMAP3OUT))&gt;=0,1,-1)*QUOTIENT(((1000)-(c_TMAP3IN)),2)))&gt;=0,1,0)))</f>
        <v>673</v>
      </c>
      <c r="Q273" s="7" t="str">
        <f aca="false">IF(K273&gt;=c_TFWD,IF(AND(K273&gt;=c_TMAP3IN,c_TMAP3IN&lt;1000),"Seg4 map3-100%",IF(AND(K273&gt;=c_TMAP2IN,c_TMAP3IN&gt;c_TMAP2IN),"Seg3 map2-map3",IF(AND(K273&gt;=c_TMAP1IN,c_TMAP2IN&gt;c_TMAP1IN),"Seg2 map1-map2","Seg1 TFWD-map1"))),IF(AND(K273=0,c_TCREEP&gt;0),"Creep",IF(AND(K273&lt;=c_TRNGMIN,K273&gt;=c_TRNGMAX,c_TRNGMIN-c_TRNGMAX&lt;&gt;0),"Regen ramp","Coast (0)")))</f>
        <v>Seg4 map3-100%</v>
      </c>
      <c r="R273" s="7" t="n">
        <f aca="false">IF(K273&gt;=c_TFWD,IF(AND(K273&gt;=c_TMAP3IN,c_TMAP3IN&lt;1000),P273,IF(AND(K273&gt;=c_TMAP2IN,c_TMAP3IN&gt;c_TMAP2IN),O273,IF(AND(K273&gt;=c_TMAP1IN,c_TMAP2IN&gt;c_TMAP1IN),N273,M273))),L273)</f>
        <v>673</v>
      </c>
      <c r="S273" s="7" t="str">
        <f aca="false">IF(R273&lt;-1090,"TOO LOW",IF(R273&gt;1090,"TOO HIGH",""))</f>
        <v/>
      </c>
      <c r="T273" s="15" t="n">
        <f aca="false">IF(H273&lt;&gt;"OK",0,IF(S273&lt;&gt;"",0,IF(R273&gt;979,1000,R273)))</f>
        <v>673</v>
      </c>
      <c r="U273" s="7" t="n">
        <f aca="false">T273/10</f>
        <v>67.3</v>
      </c>
    </row>
    <row r="274" customFormat="false" ht="15" hidden="false" customHeight="false" outlineLevel="0" collapsed="false">
      <c r="A274" s="7" t="n">
        <v>269</v>
      </c>
      <c r="B274" s="7" t="n">
        <f aca="false">ROUND(o_SWSTART+A274*(o_SWEND-o_SWSTART)/400,0)</f>
        <v>2754</v>
      </c>
      <c r="C274" s="7" t="n">
        <f aca="false">QUOTIENT((B274-c_OFF1)*c_GAIN1,1024)</f>
        <v>2754</v>
      </c>
      <c r="D274" s="7" t="n">
        <f aca="false">IF(((c_T1MX)-(c_T1MN))=0,(0)+QUOTIENT(((1000)-(0)),2),QUOTIENT((((C274)-(c_T1MN))*((1000)-(0))+IF(((1000)-(0))&gt;=0,1,-1)*QUOTIENT(((c_T1MX)-(c_T1MN)),2)),((c_T1MX)-(c_T1MN)))+(0)+IF(((1000)-(0))&gt;=0,IF(IF(o_WRAP=1,MOD(((c_T1MX)-(c_T1MN))*(((C274)-(c_T1MN))*((1000)-(0))+IF(((1000)-(0))&gt;=0,1,-1)*QUOTIENT(((c_T1MX)-(c_T1MN)),2))+2147483648,4294967296)-2147483648,((c_T1MX)-(c_T1MN))*(((C274)-(c_T1MN))*((1000)-(0))+IF(((1000)-(0))&gt;=0,1,-1)*QUOTIENT(((c_T1MX)-(c_T1MN)),2)))&lt;0,-1,0),IF(IF(o_WRAP=1,MOD(((c_T1MX)-(c_T1MN))*(((C274)-(c_T1MN))*((1000)-(0))+IF(((1000)-(0))&gt;=0,1,-1)*QUOTIENT(((c_T1MX)-(c_T1MN)),2))+2147483648,4294967296)-2147483648,((c_T1MX)-(c_T1MN))*(((C274)-(c_T1MN))*((1000)-(0))+IF(((1000)-(0))&gt;=0,1,-1)*QUOTIENT(((c_T1MX)-(c_T1MN)),2)))&gt;=0,1,0)))</f>
        <v>738</v>
      </c>
      <c r="E274" s="7" t="n">
        <f aca="false">IF(AND(c_TPOT=1,c_TTYPE=2),1000-D274,D274)</f>
        <v>738</v>
      </c>
      <c r="F274" s="7" t="str">
        <f aca="false">IF(c_TPOT&gt;1,ROUND(IF(c_TTYPE=2,c_T2MX-IF(c_T1MX=c_T1MN,0,(C274-c_T1MN)/(c_T1MX-c_T1MN))*(c_T2MX-c_T2MN),c_T2MN+IF(c_T1MX=c_T1MN,0,(C274-c_T1MN)/(c_T1MX-c_T1MN))*(c_T2MX-c_T2MN))+o_MISMATCH,0),"")</f>
        <v/>
      </c>
      <c r="G274" s="7" t="str">
        <f aca="false">IF(c_TPOT&gt;1,IF(((c_T2MX)-(c_T2MN))=0,(0)+QUOTIENT(((1000)-(0)),2),QUOTIENT((((F274)-(c_T2MN))*((1000)-(0))+IF(((1000)-(0))&gt;=0,1,-1)*QUOTIENT(((c_T2MX)-(c_T2MN)),2)),((c_T2MX)-(c_T2MN)))+(0)+IF(((1000)-(0))&gt;=0,IF(IF(o_WRAP=1,MOD(((c_T2MX)-(c_T2MN))*(((F274)-(c_T2MN))*((1000)-(0))+IF(((1000)-(0))&gt;=0,1,-1)*QUOTIENT(((c_T2MX)-(c_T2MN)),2))+2147483648,4294967296)-2147483648,((c_T2MX)-(c_T2MN))*(((F274)-(c_T2MN))*((1000)-(0))+IF(((1000)-(0))&gt;=0,1,-1)*QUOTIENT(((c_T2MX)-(c_T2MN)),2)))&lt;0,-1,0),IF(IF(o_WRAP=1,MOD(((c_T2MX)-(c_T2MN))*(((F274)-(c_T2MN))*((1000)-(0))+IF(((1000)-(0))&gt;=0,1,-1)*QUOTIENT(((c_T2MX)-(c_T2MN)),2))+2147483648,4294967296)-2147483648,((c_T2MX)-(c_T2MN))*(((F274)-(c_T2MN))*((1000)-(0))+IF(((1000)-(0))&gt;=0,1,-1)*QUOTIENT(((c_T2MX)-(c_T2MN)),2)))&gt;=0,1,0))),"")</f>
        <v/>
      </c>
      <c r="H274" s="7" t="str">
        <f aca="false">IF(E274&gt;1000+k_TOL,"T1 HIGH",IF(E274&lt;0-k_TOL,"T1 LOW",IF(c_TPOT&gt;1,IF(G274&gt;1000+k_TOL,"T2 HIGH",IF(G274&lt;0-k_TOL,"T2 LOW",IF(c_TTYPE=2,IF(ABS(1000-MAX(0,MIN(1000,E274))-MAX(0,MIN(1000,G274)))&gt;k_MAXERR,"MISMATCH","OK"),IF(OR(MAX(0,MIN(1000,E274))-k_MAXERR&gt;MAX(0,MIN(1000,G274)),MAX(0,MIN(1000,G274))-k_MAXERR&gt;MAX(0,MIN(1000,E274))),"MISMATCH","OK")))),"OK")))</f>
        <v>OK</v>
      </c>
      <c r="I274" s="7" t="n">
        <f aca="false">MAX(0,MIN(1000,D274))</f>
        <v>738</v>
      </c>
      <c r="J274" s="7" t="str">
        <f aca="false">IF(c_TPOT&gt;1,IF(c_TTYPE=2,1000-MAX(0,MIN(1000,G274)),MAX(0,MIN(1000,G274))),"")</f>
        <v/>
      </c>
      <c r="K274" s="7" t="n">
        <f aca="false">IF(c_TPOT&gt;1,QUOTIENT(I274+J274,2),I274)</f>
        <v>738</v>
      </c>
      <c r="L274" s="7" t="n">
        <f aca="false">IF(AND(K274=0,c_TCREEP&gt;0),10*c_TCREEP,IF(AND(K274&lt;=c_TRNGMIN,K274&gt;=c_TRNGMAX,c_TRNGMIN-c_TRNGMAX&lt;&gt;0),-10*c_TMINRN+QUOTIENT((c_TMAXRN-c_TMINRN)*(100-QUOTIENT((K274-c_TRNGMAX)*100,c_TRNGMIN-c_TRNGMAX)),-10),0))</f>
        <v>0</v>
      </c>
      <c r="M274" s="7" t="n">
        <f aca="false">IF(((c_TMAP1IN)-(c_TFWD))=0,(0)+QUOTIENT(((c_TMAP1OUT)-(0)),2),QUOTIENT((((K274)-(c_TFWD))*((c_TMAP1OUT)-(0))+IF(((c_TMAP1OUT)-(0))&gt;=0,1,-1)*QUOTIENT(((c_TMAP1IN)-(c_TFWD)),2)),((c_TMAP1IN)-(c_TFWD)))+(0)+IF(((c_TMAP1OUT)-(0))&gt;=0,IF(IF(o_WRAP=1,MOD(((c_TMAP1IN)-(c_TFWD))*(((K274)-(c_TFWD))*((c_TMAP1OUT)-(0))+IF(((c_TMAP1OUT)-(0))&gt;=0,1,-1)*QUOTIENT(((c_TMAP1IN)-(c_TFWD)),2))+2147483648,4294967296)-2147483648,((c_TMAP1IN)-(c_TFWD))*(((K274)-(c_TFWD))*((c_TMAP1OUT)-(0))+IF(((c_TMAP1OUT)-(0))&gt;=0,1,-1)*QUOTIENT(((c_TMAP1IN)-(c_TFWD)),2)))&lt;0,-1,0),IF(IF(o_WRAP=1,MOD(((c_TMAP1IN)-(c_TFWD))*(((K274)-(c_TFWD))*((c_TMAP1OUT)-(0))+IF(((c_TMAP1OUT)-(0))&gt;=0,1,-1)*QUOTIENT(((c_TMAP1IN)-(c_TFWD)),2))+2147483648,4294967296)-2147483648,((c_TMAP1IN)-(c_TFWD))*(((K274)-(c_TFWD))*((c_TMAP1OUT)-(0))+IF(((c_TMAP1OUT)-(0))&gt;=0,1,-1)*QUOTIENT(((c_TMAP1IN)-(c_TFWD)),2)))&gt;=0,1,0)))</f>
        <v>566</v>
      </c>
      <c r="N274" s="7" t="n">
        <f aca="false">IF(((c_TMAP2IN)-(c_TMAP1IN))=0,(c_TMAP1OUT)+QUOTIENT(((c_TMAP2OUT)-(c_TMAP1OUT)),2),QUOTIENT((((K274)-(c_TMAP1IN))*((c_TMAP2OUT)-(c_TMAP1OUT))+IF(((c_TMAP2OUT)-(c_TMAP1OUT))&gt;=0,1,-1)*QUOTIENT(((c_TMAP2IN)-(c_TMAP1IN)),2)),((c_TMAP2IN)-(c_TMAP1IN)))+(c_TMAP1OUT)+IF(((c_TMAP2OUT)-(c_TMAP1OUT))&gt;=0,IF(IF(o_WRAP=1,MOD(((c_TMAP2IN)-(c_TMAP1IN))*(((K274)-(c_TMAP1IN))*((c_TMAP2OUT)-(c_TMAP1OUT))+IF(((c_TMAP2OUT)-(c_TMAP1OUT))&gt;=0,1,-1)*QUOTIENT(((c_TMAP2IN)-(c_TMAP1IN)),2))+2147483648,4294967296)-2147483648,((c_TMAP2IN)-(c_TMAP1IN))*(((K274)-(c_TMAP1IN))*((c_TMAP2OUT)-(c_TMAP1OUT))+IF(((c_TMAP2OUT)-(c_TMAP1OUT))&gt;=0,1,-1)*QUOTIENT(((c_TMAP2IN)-(c_TMAP1IN)),2)))&lt;0,-1,0),IF(IF(o_WRAP=1,MOD(((c_TMAP2IN)-(c_TMAP1IN))*(((K274)-(c_TMAP1IN))*((c_TMAP2OUT)-(c_TMAP1OUT))+IF(((c_TMAP2OUT)-(c_TMAP1OUT))&gt;=0,1,-1)*QUOTIENT(((c_TMAP2IN)-(c_TMAP1IN)),2))+2147483648,4294967296)-2147483648,((c_TMAP2IN)-(c_TMAP1IN))*(((K274)-(c_TMAP1IN))*((c_TMAP2OUT)-(c_TMAP1OUT))+IF(((c_TMAP2OUT)-(c_TMAP1OUT))&gt;=0,1,-1)*QUOTIENT(((c_TMAP2IN)-(c_TMAP1IN)),2)))&gt;=0,1,0)))</f>
        <v>325</v>
      </c>
      <c r="O274" s="7" t="n">
        <f aca="false">IF(((c_TMAP3IN)-(c_TMAP2IN))=0,(c_TMAP2OUT)+QUOTIENT(((c_TMAP3OUT)-(c_TMAP2OUT)),2),QUOTIENT((((K274)-(c_TMAP2IN))*((c_TMAP3OUT)-(c_TMAP2OUT))+IF(((c_TMAP3OUT)-(c_TMAP2OUT))&gt;=0,1,-1)*QUOTIENT(((c_TMAP3IN)-(c_TMAP2IN)),2)),((c_TMAP3IN)-(c_TMAP2IN)))+(c_TMAP2OUT)+IF(((c_TMAP3OUT)-(c_TMAP2OUT))&gt;=0,IF(IF(o_WRAP=1,MOD(((c_TMAP3IN)-(c_TMAP2IN))*(((K274)-(c_TMAP2IN))*((c_TMAP3OUT)-(c_TMAP2OUT))+IF(((c_TMAP3OUT)-(c_TMAP2OUT))&gt;=0,1,-1)*QUOTIENT(((c_TMAP3IN)-(c_TMAP2IN)),2))+2147483648,4294967296)-2147483648,((c_TMAP3IN)-(c_TMAP2IN))*(((K274)-(c_TMAP2IN))*((c_TMAP3OUT)-(c_TMAP2OUT))+IF(((c_TMAP3OUT)-(c_TMAP2OUT))&gt;=0,1,-1)*QUOTIENT(((c_TMAP3IN)-(c_TMAP2IN)),2)))&lt;0,-1,0),IF(IF(o_WRAP=1,MOD(((c_TMAP3IN)-(c_TMAP2IN))*(((K274)-(c_TMAP2IN))*((c_TMAP3OUT)-(c_TMAP2OUT))+IF(((c_TMAP3OUT)-(c_TMAP2OUT))&gt;=0,1,-1)*QUOTIENT(((c_TMAP3IN)-(c_TMAP2IN)),2))+2147483648,4294967296)-2147483648,((c_TMAP3IN)-(c_TMAP2IN))*(((K274)-(c_TMAP2IN))*((c_TMAP3OUT)-(c_TMAP2OUT))+IF(((c_TMAP3OUT)-(c_TMAP2OUT))&gt;=0,1,-1)*QUOTIENT(((c_TMAP3IN)-(c_TMAP2IN)),2)))&gt;=0,1,0)))</f>
        <v>472</v>
      </c>
      <c r="P274" s="7" t="n">
        <f aca="false">IF(((1000)-(c_TMAP3IN))=0,(c_TMAP3OUT)+QUOTIENT(((1000)-(c_TMAP3OUT)),2),QUOTIENT((((K274)-(c_TMAP3IN))*((1000)-(c_TMAP3OUT))+IF(((1000)-(c_TMAP3OUT))&gt;=0,1,-1)*QUOTIENT(((1000)-(c_TMAP3IN)),2)),((1000)-(c_TMAP3IN)))+(c_TMAP3OUT)+IF(((1000)-(c_TMAP3OUT))&gt;=0,IF(IF(o_WRAP=1,MOD(((1000)-(c_TMAP3IN))*(((K274)-(c_TMAP3IN))*((1000)-(c_TMAP3OUT))+IF(((1000)-(c_TMAP3OUT))&gt;=0,1,-1)*QUOTIENT(((1000)-(c_TMAP3IN)),2))+2147483648,4294967296)-2147483648,((1000)-(c_TMAP3IN))*(((K274)-(c_TMAP3IN))*((1000)-(c_TMAP3OUT))+IF(((1000)-(c_TMAP3OUT))&gt;=0,1,-1)*QUOTIENT(((1000)-(c_TMAP3IN)),2)))&lt;0,-1,0),IF(IF(o_WRAP=1,MOD(((1000)-(c_TMAP3IN))*(((K274)-(c_TMAP3IN))*((1000)-(c_TMAP3OUT))+IF(((1000)-(c_TMAP3OUT))&gt;=0,1,-1)*QUOTIENT(((1000)-(c_TMAP3IN)),2))+2147483648,4294967296)-2147483648,((1000)-(c_TMAP3IN))*(((K274)-(c_TMAP3IN))*((1000)-(c_TMAP3OUT))+IF(((1000)-(c_TMAP3OUT))&gt;=0,1,-1)*QUOTIENT(((1000)-(c_TMAP3IN)),2)))&gt;=0,1,0)))</f>
        <v>678</v>
      </c>
      <c r="Q274" s="7" t="str">
        <f aca="false">IF(K274&gt;=c_TFWD,IF(AND(K274&gt;=c_TMAP3IN,c_TMAP3IN&lt;1000),"Seg4 map3-100%",IF(AND(K274&gt;=c_TMAP2IN,c_TMAP3IN&gt;c_TMAP2IN),"Seg3 map2-map3",IF(AND(K274&gt;=c_TMAP1IN,c_TMAP2IN&gt;c_TMAP1IN),"Seg2 map1-map2","Seg1 TFWD-map1"))),IF(AND(K274=0,c_TCREEP&gt;0),"Creep",IF(AND(K274&lt;=c_TRNGMIN,K274&gt;=c_TRNGMAX,c_TRNGMIN-c_TRNGMAX&lt;&gt;0),"Regen ramp","Coast (0)")))</f>
        <v>Seg4 map3-100%</v>
      </c>
      <c r="R274" s="7" t="n">
        <f aca="false">IF(K274&gt;=c_TFWD,IF(AND(K274&gt;=c_TMAP3IN,c_TMAP3IN&lt;1000),P274,IF(AND(K274&gt;=c_TMAP2IN,c_TMAP3IN&gt;c_TMAP2IN),O274,IF(AND(K274&gt;=c_TMAP1IN,c_TMAP2IN&gt;c_TMAP1IN),N274,M274))),L274)</f>
        <v>678</v>
      </c>
      <c r="S274" s="7" t="str">
        <f aca="false">IF(R274&lt;-1090,"TOO LOW",IF(R274&gt;1090,"TOO HIGH",""))</f>
        <v/>
      </c>
      <c r="T274" s="15" t="n">
        <f aca="false">IF(H274&lt;&gt;"OK",0,IF(S274&lt;&gt;"",0,IF(R274&gt;979,1000,R274)))</f>
        <v>678</v>
      </c>
      <c r="U274" s="7" t="n">
        <f aca="false">T274/10</f>
        <v>67.8</v>
      </c>
    </row>
    <row r="275" customFormat="false" ht="15" hidden="false" customHeight="false" outlineLevel="0" collapsed="false">
      <c r="A275" s="7" t="n">
        <v>270</v>
      </c>
      <c r="B275" s="7" t="n">
        <f aca="false">ROUND(o_SWSTART+A275*(o_SWEND-o_SWSTART)/400,0)</f>
        <v>2764</v>
      </c>
      <c r="C275" s="7" t="n">
        <f aca="false">QUOTIENT((B275-c_OFF1)*c_GAIN1,1024)</f>
        <v>2764</v>
      </c>
      <c r="D275" s="7" t="n">
        <f aca="false">IF(((c_T1MX)-(c_T1MN))=0,(0)+QUOTIENT(((1000)-(0)),2),QUOTIENT((((C275)-(c_T1MN))*((1000)-(0))+IF(((1000)-(0))&gt;=0,1,-1)*QUOTIENT(((c_T1MX)-(c_T1MN)),2)),((c_T1MX)-(c_T1MN)))+(0)+IF(((1000)-(0))&gt;=0,IF(IF(o_WRAP=1,MOD(((c_T1MX)-(c_T1MN))*(((C275)-(c_T1MN))*((1000)-(0))+IF(((1000)-(0))&gt;=0,1,-1)*QUOTIENT(((c_T1MX)-(c_T1MN)),2))+2147483648,4294967296)-2147483648,((c_T1MX)-(c_T1MN))*(((C275)-(c_T1MN))*((1000)-(0))+IF(((1000)-(0))&gt;=0,1,-1)*QUOTIENT(((c_T1MX)-(c_T1MN)),2)))&lt;0,-1,0),IF(IF(o_WRAP=1,MOD(((c_T1MX)-(c_T1MN))*(((C275)-(c_T1MN))*((1000)-(0))+IF(((1000)-(0))&gt;=0,1,-1)*QUOTIENT(((c_T1MX)-(c_T1MN)),2))+2147483648,4294967296)-2147483648,((c_T1MX)-(c_T1MN))*(((C275)-(c_T1MN))*((1000)-(0))+IF(((1000)-(0))&gt;=0,1,-1)*QUOTIENT(((c_T1MX)-(c_T1MN)),2)))&gt;=0,1,0)))</f>
        <v>742</v>
      </c>
      <c r="E275" s="7" t="n">
        <f aca="false">IF(AND(c_TPOT=1,c_TTYPE=2),1000-D275,D275)</f>
        <v>742</v>
      </c>
      <c r="F275" s="7" t="str">
        <f aca="false">IF(c_TPOT&gt;1,ROUND(IF(c_TTYPE=2,c_T2MX-IF(c_T1MX=c_T1MN,0,(C275-c_T1MN)/(c_T1MX-c_T1MN))*(c_T2MX-c_T2MN),c_T2MN+IF(c_T1MX=c_T1MN,0,(C275-c_T1MN)/(c_T1MX-c_T1MN))*(c_T2MX-c_T2MN))+o_MISMATCH,0),"")</f>
        <v/>
      </c>
      <c r="G275" s="7" t="str">
        <f aca="false">IF(c_TPOT&gt;1,IF(((c_T2MX)-(c_T2MN))=0,(0)+QUOTIENT(((1000)-(0)),2),QUOTIENT((((F275)-(c_T2MN))*((1000)-(0))+IF(((1000)-(0))&gt;=0,1,-1)*QUOTIENT(((c_T2MX)-(c_T2MN)),2)),((c_T2MX)-(c_T2MN)))+(0)+IF(((1000)-(0))&gt;=0,IF(IF(o_WRAP=1,MOD(((c_T2MX)-(c_T2MN))*(((F275)-(c_T2MN))*((1000)-(0))+IF(((1000)-(0))&gt;=0,1,-1)*QUOTIENT(((c_T2MX)-(c_T2MN)),2))+2147483648,4294967296)-2147483648,((c_T2MX)-(c_T2MN))*(((F275)-(c_T2MN))*((1000)-(0))+IF(((1000)-(0))&gt;=0,1,-1)*QUOTIENT(((c_T2MX)-(c_T2MN)),2)))&lt;0,-1,0),IF(IF(o_WRAP=1,MOD(((c_T2MX)-(c_T2MN))*(((F275)-(c_T2MN))*((1000)-(0))+IF(((1000)-(0))&gt;=0,1,-1)*QUOTIENT(((c_T2MX)-(c_T2MN)),2))+2147483648,4294967296)-2147483648,((c_T2MX)-(c_T2MN))*(((F275)-(c_T2MN))*((1000)-(0))+IF(((1000)-(0))&gt;=0,1,-1)*QUOTIENT(((c_T2MX)-(c_T2MN)),2)))&gt;=0,1,0))),"")</f>
        <v/>
      </c>
      <c r="H275" s="7" t="str">
        <f aca="false">IF(E275&gt;1000+k_TOL,"T1 HIGH",IF(E275&lt;0-k_TOL,"T1 LOW",IF(c_TPOT&gt;1,IF(G275&gt;1000+k_TOL,"T2 HIGH",IF(G275&lt;0-k_TOL,"T2 LOW",IF(c_TTYPE=2,IF(ABS(1000-MAX(0,MIN(1000,E275))-MAX(0,MIN(1000,G275)))&gt;k_MAXERR,"MISMATCH","OK"),IF(OR(MAX(0,MIN(1000,E275))-k_MAXERR&gt;MAX(0,MIN(1000,G275)),MAX(0,MIN(1000,G275))-k_MAXERR&gt;MAX(0,MIN(1000,E275))),"MISMATCH","OK")))),"OK")))</f>
        <v>OK</v>
      </c>
      <c r="I275" s="7" t="n">
        <f aca="false">MAX(0,MIN(1000,D275))</f>
        <v>742</v>
      </c>
      <c r="J275" s="7" t="str">
        <f aca="false">IF(c_TPOT&gt;1,IF(c_TTYPE=2,1000-MAX(0,MIN(1000,G275)),MAX(0,MIN(1000,G275))),"")</f>
        <v/>
      </c>
      <c r="K275" s="7" t="n">
        <f aca="false">IF(c_TPOT&gt;1,QUOTIENT(I275+J275,2),I275)</f>
        <v>742</v>
      </c>
      <c r="L275" s="7" t="n">
        <f aca="false">IF(AND(K275=0,c_TCREEP&gt;0),10*c_TCREEP,IF(AND(K275&lt;=c_TRNGMIN,K275&gt;=c_TRNGMAX,c_TRNGMIN-c_TRNGMAX&lt;&gt;0),-10*c_TMINRN+QUOTIENT((c_TMAXRN-c_TMINRN)*(100-QUOTIENT((K275-c_TRNGMAX)*100,c_TRNGMIN-c_TRNGMAX)),-10),0))</f>
        <v>0</v>
      </c>
      <c r="M275" s="7" t="n">
        <f aca="false">IF(((c_TMAP1IN)-(c_TFWD))=0,(0)+QUOTIENT(((c_TMAP1OUT)-(0)),2),QUOTIENT((((K275)-(c_TFWD))*((c_TMAP1OUT)-(0))+IF(((c_TMAP1OUT)-(0))&gt;=0,1,-1)*QUOTIENT(((c_TMAP1IN)-(c_TFWD)),2)),((c_TMAP1IN)-(c_TFWD)))+(0)+IF(((c_TMAP1OUT)-(0))&gt;=0,IF(IF(o_WRAP=1,MOD(((c_TMAP1IN)-(c_TFWD))*(((K275)-(c_TFWD))*((c_TMAP1OUT)-(0))+IF(((c_TMAP1OUT)-(0))&gt;=0,1,-1)*QUOTIENT(((c_TMAP1IN)-(c_TFWD)),2))+2147483648,4294967296)-2147483648,((c_TMAP1IN)-(c_TFWD))*(((K275)-(c_TFWD))*((c_TMAP1OUT)-(0))+IF(((c_TMAP1OUT)-(0))&gt;=0,1,-1)*QUOTIENT(((c_TMAP1IN)-(c_TFWD)),2)))&lt;0,-1,0),IF(IF(o_WRAP=1,MOD(((c_TMAP1IN)-(c_TFWD))*(((K275)-(c_TFWD))*((c_TMAP1OUT)-(0))+IF(((c_TMAP1OUT)-(0))&gt;=0,1,-1)*QUOTIENT(((c_TMAP1IN)-(c_TFWD)),2))+2147483648,4294967296)-2147483648,((c_TMAP1IN)-(c_TFWD))*(((K275)-(c_TFWD))*((c_TMAP1OUT)-(0))+IF(((c_TMAP1OUT)-(0))&gt;=0,1,-1)*QUOTIENT(((c_TMAP1IN)-(c_TFWD)),2)))&gt;=0,1,0)))</f>
        <v>569</v>
      </c>
      <c r="N275" s="7" t="n">
        <f aca="false">IF(((c_TMAP2IN)-(c_TMAP1IN))=0,(c_TMAP1OUT)+QUOTIENT(((c_TMAP2OUT)-(c_TMAP1OUT)),2),QUOTIENT((((K275)-(c_TMAP1IN))*((c_TMAP2OUT)-(c_TMAP1OUT))+IF(((c_TMAP2OUT)-(c_TMAP1OUT))&gt;=0,1,-1)*QUOTIENT(((c_TMAP2IN)-(c_TMAP1IN)),2)),((c_TMAP2IN)-(c_TMAP1IN)))+(c_TMAP1OUT)+IF(((c_TMAP2OUT)-(c_TMAP1OUT))&gt;=0,IF(IF(o_WRAP=1,MOD(((c_TMAP2IN)-(c_TMAP1IN))*(((K275)-(c_TMAP1IN))*((c_TMAP2OUT)-(c_TMAP1OUT))+IF(((c_TMAP2OUT)-(c_TMAP1OUT))&gt;=0,1,-1)*QUOTIENT(((c_TMAP2IN)-(c_TMAP1IN)),2))+2147483648,4294967296)-2147483648,((c_TMAP2IN)-(c_TMAP1IN))*(((K275)-(c_TMAP1IN))*((c_TMAP2OUT)-(c_TMAP1OUT))+IF(((c_TMAP2OUT)-(c_TMAP1OUT))&gt;=0,1,-1)*QUOTIENT(((c_TMAP2IN)-(c_TMAP1IN)),2)))&lt;0,-1,0),IF(IF(o_WRAP=1,MOD(((c_TMAP2IN)-(c_TMAP1IN))*(((K275)-(c_TMAP1IN))*((c_TMAP2OUT)-(c_TMAP1OUT))+IF(((c_TMAP2OUT)-(c_TMAP1OUT))&gt;=0,1,-1)*QUOTIENT(((c_TMAP2IN)-(c_TMAP1IN)),2))+2147483648,4294967296)-2147483648,((c_TMAP2IN)-(c_TMAP1IN))*(((K275)-(c_TMAP1IN))*((c_TMAP2OUT)-(c_TMAP1OUT))+IF(((c_TMAP2OUT)-(c_TMAP1OUT))&gt;=0,1,-1)*QUOTIENT(((c_TMAP2IN)-(c_TMAP1IN)),2)))&gt;=0,1,0)))</f>
        <v>327</v>
      </c>
      <c r="O275" s="7" t="n">
        <f aca="false">IF(((c_TMAP3IN)-(c_TMAP2IN))=0,(c_TMAP2OUT)+QUOTIENT(((c_TMAP3OUT)-(c_TMAP2OUT)),2),QUOTIENT((((K275)-(c_TMAP2IN))*((c_TMAP3OUT)-(c_TMAP2OUT))+IF(((c_TMAP3OUT)-(c_TMAP2OUT))&gt;=0,1,-1)*QUOTIENT(((c_TMAP3IN)-(c_TMAP2IN)),2)),((c_TMAP3IN)-(c_TMAP2IN)))+(c_TMAP2OUT)+IF(((c_TMAP3OUT)-(c_TMAP2OUT))&gt;=0,IF(IF(o_WRAP=1,MOD(((c_TMAP3IN)-(c_TMAP2IN))*(((K275)-(c_TMAP2IN))*((c_TMAP3OUT)-(c_TMAP2OUT))+IF(((c_TMAP3OUT)-(c_TMAP2OUT))&gt;=0,1,-1)*QUOTIENT(((c_TMAP3IN)-(c_TMAP2IN)),2))+2147483648,4294967296)-2147483648,((c_TMAP3IN)-(c_TMAP2IN))*(((K275)-(c_TMAP2IN))*((c_TMAP3OUT)-(c_TMAP2OUT))+IF(((c_TMAP3OUT)-(c_TMAP2OUT))&gt;=0,1,-1)*QUOTIENT(((c_TMAP3IN)-(c_TMAP2IN)),2)))&lt;0,-1,0),IF(IF(o_WRAP=1,MOD(((c_TMAP3IN)-(c_TMAP2IN))*(((K275)-(c_TMAP2IN))*((c_TMAP3OUT)-(c_TMAP2OUT))+IF(((c_TMAP3OUT)-(c_TMAP2OUT))&gt;=0,1,-1)*QUOTIENT(((c_TMAP3IN)-(c_TMAP2IN)),2))+2147483648,4294967296)-2147483648,((c_TMAP3IN)-(c_TMAP2IN))*(((K275)-(c_TMAP2IN))*((c_TMAP3OUT)-(c_TMAP2OUT))+IF(((c_TMAP3OUT)-(c_TMAP2OUT))&gt;=0,1,-1)*QUOTIENT(((c_TMAP3IN)-(c_TMAP2IN)),2)))&gt;=0,1,0)))</f>
        <v>474</v>
      </c>
      <c r="P275" s="7" t="n">
        <f aca="false">IF(((1000)-(c_TMAP3IN))=0,(c_TMAP3OUT)+QUOTIENT(((1000)-(c_TMAP3OUT)),2),QUOTIENT((((K275)-(c_TMAP3IN))*((1000)-(c_TMAP3OUT))+IF(((1000)-(c_TMAP3OUT))&gt;=0,1,-1)*QUOTIENT(((1000)-(c_TMAP3IN)),2)),((1000)-(c_TMAP3IN)))+(c_TMAP3OUT)+IF(((1000)-(c_TMAP3OUT))&gt;=0,IF(IF(o_WRAP=1,MOD(((1000)-(c_TMAP3IN))*(((K275)-(c_TMAP3IN))*((1000)-(c_TMAP3OUT))+IF(((1000)-(c_TMAP3OUT))&gt;=0,1,-1)*QUOTIENT(((1000)-(c_TMAP3IN)),2))+2147483648,4294967296)-2147483648,((1000)-(c_TMAP3IN))*(((K275)-(c_TMAP3IN))*((1000)-(c_TMAP3OUT))+IF(((1000)-(c_TMAP3OUT))&gt;=0,1,-1)*QUOTIENT(((1000)-(c_TMAP3IN)),2)))&lt;0,-1,0),IF(IF(o_WRAP=1,MOD(((1000)-(c_TMAP3IN))*(((K275)-(c_TMAP3IN))*((1000)-(c_TMAP3OUT))+IF(((1000)-(c_TMAP3OUT))&gt;=0,1,-1)*QUOTIENT(((1000)-(c_TMAP3IN)),2))+2147483648,4294967296)-2147483648,((1000)-(c_TMAP3IN))*(((K275)-(c_TMAP3IN))*((1000)-(c_TMAP3OUT))+IF(((1000)-(c_TMAP3OUT))&gt;=0,1,-1)*QUOTIENT(((1000)-(c_TMAP3IN)),2)))&gt;=0,1,0)))</f>
        <v>682</v>
      </c>
      <c r="Q275" s="7" t="str">
        <f aca="false">IF(K275&gt;=c_TFWD,IF(AND(K275&gt;=c_TMAP3IN,c_TMAP3IN&lt;1000),"Seg4 map3-100%",IF(AND(K275&gt;=c_TMAP2IN,c_TMAP3IN&gt;c_TMAP2IN),"Seg3 map2-map3",IF(AND(K275&gt;=c_TMAP1IN,c_TMAP2IN&gt;c_TMAP1IN),"Seg2 map1-map2","Seg1 TFWD-map1"))),IF(AND(K275=0,c_TCREEP&gt;0),"Creep",IF(AND(K275&lt;=c_TRNGMIN,K275&gt;=c_TRNGMAX,c_TRNGMIN-c_TRNGMAX&lt;&gt;0),"Regen ramp","Coast (0)")))</f>
        <v>Seg4 map3-100%</v>
      </c>
      <c r="R275" s="7" t="n">
        <f aca="false">IF(K275&gt;=c_TFWD,IF(AND(K275&gt;=c_TMAP3IN,c_TMAP3IN&lt;1000),P275,IF(AND(K275&gt;=c_TMAP2IN,c_TMAP3IN&gt;c_TMAP2IN),O275,IF(AND(K275&gt;=c_TMAP1IN,c_TMAP2IN&gt;c_TMAP1IN),N275,M275))),L275)</f>
        <v>682</v>
      </c>
      <c r="S275" s="7" t="str">
        <f aca="false">IF(R275&lt;-1090,"TOO LOW",IF(R275&gt;1090,"TOO HIGH",""))</f>
        <v/>
      </c>
      <c r="T275" s="15" t="n">
        <f aca="false">IF(H275&lt;&gt;"OK",0,IF(S275&lt;&gt;"",0,IF(R275&gt;979,1000,R275)))</f>
        <v>682</v>
      </c>
      <c r="U275" s="7" t="n">
        <f aca="false">T275/10</f>
        <v>68.2</v>
      </c>
    </row>
    <row r="276" customFormat="false" ht="15" hidden="false" customHeight="false" outlineLevel="0" collapsed="false">
      <c r="A276" s="7" t="n">
        <v>271</v>
      </c>
      <c r="B276" s="7" t="n">
        <f aca="false">ROUND(o_SWSTART+A276*(o_SWEND-o_SWSTART)/400,0)</f>
        <v>2774</v>
      </c>
      <c r="C276" s="7" t="n">
        <f aca="false">QUOTIENT((B276-c_OFF1)*c_GAIN1,1024)</f>
        <v>2774</v>
      </c>
      <c r="D276" s="7" t="n">
        <f aca="false">IF(((c_T1MX)-(c_T1MN))=0,(0)+QUOTIENT(((1000)-(0)),2),QUOTIENT((((C276)-(c_T1MN))*((1000)-(0))+IF(((1000)-(0))&gt;=0,1,-1)*QUOTIENT(((c_T1MX)-(c_T1MN)),2)),((c_T1MX)-(c_T1MN)))+(0)+IF(((1000)-(0))&gt;=0,IF(IF(o_WRAP=1,MOD(((c_T1MX)-(c_T1MN))*(((C276)-(c_T1MN))*((1000)-(0))+IF(((1000)-(0))&gt;=0,1,-1)*QUOTIENT(((c_T1MX)-(c_T1MN)),2))+2147483648,4294967296)-2147483648,((c_T1MX)-(c_T1MN))*(((C276)-(c_T1MN))*((1000)-(0))+IF(((1000)-(0))&gt;=0,1,-1)*QUOTIENT(((c_T1MX)-(c_T1MN)),2)))&lt;0,-1,0),IF(IF(o_WRAP=1,MOD(((c_T1MX)-(c_T1MN))*(((C276)-(c_T1MN))*((1000)-(0))+IF(((1000)-(0))&gt;=0,1,-1)*QUOTIENT(((c_T1MX)-(c_T1MN)),2))+2147483648,4294967296)-2147483648,((c_T1MX)-(c_T1MN))*(((C276)-(c_T1MN))*((1000)-(0))+IF(((1000)-(0))&gt;=0,1,-1)*QUOTIENT(((c_T1MX)-(c_T1MN)),2)))&gt;=0,1,0)))</f>
        <v>745</v>
      </c>
      <c r="E276" s="7" t="n">
        <f aca="false">IF(AND(c_TPOT=1,c_TTYPE=2),1000-D276,D276)</f>
        <v>745</v>
      </c>
      <c r="F276" s="7" t="str">
        <f aca="false">IF(c_TPOT&gt;1,ROUND(IF(c_TTYPE=2,c_T2MX-IF(c_T1MX=c_T1MN,0,(C276-c_T1MN)/(c_T1MX-c_T1MN))*(c_T2MX-c_T2MN),c_T2MN+IF(c_T1MX=c_T1MN,0,(C276-c_T1MN)/(c_T1MX-c_T1MN))*(c_T2MX-c_T2MN))+o_MISMATCH,0),"")</f>
        <v/>
      </c>
      <c r="G276" s="7" t="str">
        <f aca="false">IF(c_TPOT&gt;1,IF(((c_T2MX)-(c_T2MN))=0,(0)+QUOTIENT(((1000)-(0)),2),QUOTIENT((((F276)-(c_T2MN))*((1000)-(0))+IF(((1000)-(0))&gt;=0,1,-1)*QUOTIENT(((c_T2MX)-(c_T2MN)),2)),((c_T2MX)-(c_T2MN)))+(0)+IF(((1000)-(0))&gt;=0,IF(IF(o_WRAP=1,MOD(((c_T2MX)-(c_T2MN))*(((F276)-(c_T2MN))*((1000)-(0))+IF(((1000)-(0))&gt;=0,1,-1)*QUOTIENT(((c_T2MX)-(c_T2MN)),2))+2147483648,4294967296)-2147483648,((c_T2MX)-(c_T2MN))*(((F276)-(c_T2MN))*((1000)-(0))+IF(((1000)-(0))&gt;=0,1,-1)*QUOTIENT(((c_T2MX)-(c_T2MN)),2)))&lt;0,-1,0),IF(IF(o_WRAP=1,MOD(((c_T2MX)-(c_T2MN))*(((F276)-(c_T2MN))*((1000)-(0))+IF(((1000)-(0))&gt;=0,1,-1)*QUOTIENT(((c_T2MX)-(c_T2MN)),2))+2147483648,4294967296)-2147483648,((c_T2MX)-(c_T2MN))*(((F276)-(c_T2MN))*((1000)-(0))+IF(((1000)-(0))&gt;=0,1,-1)*QUOTIENT(((c_T2MX)-(c_T2MN)),2)))&gt;=0,1,0))),"")</f>
        <v/>
      </c>
      <c r="H276" s="7" t="str">
        <f aca="false">IF(E276&gt;1000+k_TOL,"T1 HIGH",IF(E276&lt;0-k_TOL,"T1 LOW",IF(c_TPOT&gt;1,IF(G276&gt;1000+k_TOL,"T2 HIGH",IF(G276&lt;0-k_TOL,"T2 LOW",IF(c_TTYPE=2,IF(ABS(1000-MAX(0,MIN(1000,E276))-MAX(0,MIN(1000,G276)))&gt;k_MAXERR,"MISMATCH","OK"),IF(OR(MAX(0,MIN(1000,E276))-k_MAXERR&gt;MAX(0,MIN(1000,G276)),MAX(0,MIN(1000,G276))-k_MAXERR&gt;MAX(0,MIN(1000,E276))),"MISMATCH","OK")))),"OK")))</f>
        <v>OK</v>
      </c>
      <c r="I276" s="7" t="n">
        <f aca="false">MAX(0,MIN(1000,D276))</f>
        <v>745</v>
      </c>
      <c r="J276" s="7" t="str">
        <f aca="false">IF(c_TPOT&gt;1,IF(c_TTYPE=2,1000-MAX(0,MIN(1000,G276)),MAX(0,MIN(1000,G276))),"")</f>
        <v/>
      </c>
      <c r="K276" s="7" t="n">
        <f aca="false">IF(c_TPOT&gt;1,QUOTIENT(I276+J276,2),I276)</f>
        <v>745</v>
      </c>
      <c r="L276" s="7" t="n">
        <f aca="false">IF(AND(K276=0,c_TCREEP&gt;0),10*c_TCREEP,IF(AND(K276&lt;=c_TRNGMIN,K276&gt;=c_TRNGMAX,c_TRNGMIN-c_TRNGMAX&lt;&gt;0),-10*c_TMINRN+QUOTIENT((c_TMAXRN-c_TMINRN)*(100-QUOTIENT((K276-c_TRNGMAX)*100,c_TRNGMIN-c_TRNGMAX)),-10),0))</f>
        <v>0</v>
      </c>
      <c r="M276" s="7" t="n">
        <f aca="false">IF(((c_TMAP1IN)-(c_TFWD))=0,(0)+QUOTIENT(((c_TMAP1OUT)-(0)),2),QUOTIENT((((K276)-(c_TFWD))*((c_TMAP1OUT)-(0))+IF(((c_TMAP1OUT)-(0))&gt;=0,1,-1)*QUOTIENT(((c_TMAP1IN)-(c_TFWD)),2)),((c_TMAP1IN)-(c_TFWD)))+(0)+IF(((c_TMAP1OUT)-(0))&gt;=0,IF(IF(o_WRAP=1,MOD(((c_TMAP1IN)-(c_TFWD))*(((K276)-(c_TFWD))*((c_TMAP1OUT)-(0))+IF(((c_TMAP1OUT)-(0))&gt;=0,1,-1)*QUOTIENT(((c_TMAP1IN)-(c_TFWD)),2))+2147483648,4294967296)-2147483648,((c_TMAP1IN)-(c_TFWD))*(((K276)-(c_TFWD))*((c_TMAP1OUT)-(0))+IF(((c_TMAP1OUT)-(0))&gt;=0,1,-1)*QUOTIENT(((c_TMAP1IN)-(c_TFWD)),2)))&lt;0,-1,0),IF(IF(o_WRAP=1,MOD(((c_TMAP1IN)-(c_TFWD))*(((K276)-(c_TFWD))*((c_TMAP1OUT)-(0))+IF(((c_TMAP1OUT)-(0))&gt;=0,1,-1)*QUOTIENT(((c_TMAP1IN)-(c_TFWD)),2))+2147483648,4294967296)-2147483648,((c_TMAP1IN)-(c_TFWD))*(((K276)-(c_TFWD))*((c_TMAP1OUT)-(0))+IF(((c_TMAP1OUT)-(0))&gt;=0,1,-1)*QUOTIENT(((c_TMAP1IN)-(c_TFWD)),2)))&gt;=0,1,0)))</f>
        <v>572</v>
      </c>
      <c r="N276" s="7" t="n">
        <f aca="false">IF(((c_TMAP2IN)-(c_TMAP1IN))=0,(c_TMAP1OUT)+QUOTIENT(((c_TMAP2OUT)-(c_TMAP1OUT)),2),QUOTIENT((((K276)-(c_TMAP1IN))*((c_TMAP2OUT)-(c_TMAP1OUT))+IF(((c_TMAP2OUT)-(c_TMAP1OUT))&gt;=0,1,-1)*QUOTIENT(((c_TMAP2IN)-(c_TMAP1IN)),2)),((c_TMAP2IN)-(c_TMAP1IN)))+(c_TMAP1OUT)+IF(((c_TMAP2OUT)-(c_TMAP1OUT))&gt;=0,IF(IF(o_WRAP=1,MOD(((c_TMAP2IN)-(c_TMAP1IN))*(((K276)-(c_TMAP1IN))*((c_TMAP2OUT)-(c_TMAP1OUT))+IF(((c_TMAP2OUT)-(c_TMAP1OUT))&gt;=0,1,-1)*QUOTIENT(((c_TMAP2IN)-(c_TMAP1IN)),2))+2147483648,4294967296)-2147483648,((c_TMAP2IN)-(c_TMAP1IN))*(((K276)-(c_TMAP1IN))*((c_TMAP2OUT)-(c_TMAP1OUT))+IF(((c_TMAP2OUT)-(c_TMAP1OUT))&gt;=0,1,-1)*QUOTIENT(((c_TMAP2IN)-(c_TMAP1IN)),2)))&lt;0,-1,0),IF(IF(o_WRAP=1,MOD(((c_TMAP2IN)-(c_TMAP1IN))*(((K276)-(c_TMAP1IN))*((c_TMAP2OUT)-(c_TMAP1OUT))+IF(((c_TMAP2OUT)-(c_TMAP1OUT))&gt;=0,1,-1)*QUOTIENT(((c_TMAP2IN)-(c_TMAP1IN)),2))+2147483648,4294967296)-2147483648,((c_TMAP2IN)-(c_TMAP1IN))*(((K276)-(c_TMAP1IN))*((c_TMAP2OUT)-(c_TMAP1OUT))+IF(((c_TMAP2OUT)-(c_TMAP1OUT))&gt;=0,1,-1)*QUOTIENT(((c_TMAP2IN)-(c_TMAP1IN)),2)))&gt;=0,1,0)))</f>
        <v>328</v>
      </c>
      <c r="O276" s="7" t="n">
        <f aca="false">IF(((c_TMAP3IN)-(c_TMAP2IN))=0,(c_TMAP2OUT)+QUOTIENT(((c_TMAP3OUT)-(c_TMAP2OUT)),2),QUOTIENT((((K276)-(c_TMAP2IN))*((c_TMAP3OUT)-(c_TMAP2OUT))+IF(((c_TMAP3OUT)-(c_TMAP2OUT))&gt;=0,1,-1)*QUOTIENT(((c_TMAP3IN)-(c_TMAP2IN)),2)),((c_TMAP3IN)-(c_TMAP2IN)))+(c_TMAP2OUT)+IF(((c_TMAP3OUT)-(c_TMAP2OUT))&gt;=0,IF(IF(o_WRAP=1,MOD(((c_TMAP3IN)-(c_TMAP2IN))*(((K276)-(c_TMAP2IN))*((c_TMAP3OUT)-(c_TMAP2OUT))+IF(((c_TMAP3OUT)-(c_TMAP2OUT))&gt;=0,1,-1)*QUOTIENT(((c_TMAP3IN)-(c_TMAP2IN)),2))+2147483648,4294967296)-2147483648,((c_TMAP3IN)-(c_TMAP2IN))*(((K276)-(c_TMAP2IN))*((c_TMAP3OUT)-(c_TMAP2OUT))+IF(((c_TMAP3OUT)-(c_TMAP2OUT))&gt;=0,1,-1)*QUOTIENT(((c_TMAP3IN)-(c_TMAP2IN)),2)))&lt;0,-1,0),IF(IF(o_WRAP=1,MOD(((c_TMAP3IN)-(c_TMAP2IN))*(((K276)-(c_TMAP2IN))*((c_TMAP3OUT)-(c_TMAP2OUT))+IF(((c_TMAP3OUT)-(c_TMAP2OUT))&gt;=0,1,-1)*QUOTIENT(((c_TMAP3IN)-(c_TMAP2IN)),2))+2147483648,4294967296)-2147483648,((c_TMAP3IN)-(c_TMAP2IN))*(((K276)-(c_TMAP2IN))*((c_TMAP3OUT)-(c_TMAP2OUT))+IF(((c_TMAP3OUT)-(c_TMAP2OUT))&gt;=0,1,-1)*QUOTIENT(((c_TMAP3IN)-(c_TMAP2IN)),2)))&gt;=0,1,0)))</f>
        <v>477</v>
      </c>
      <c r="P276" s="7" t="n">
        <f aca="false">IF(((1000)-(c_TMAP3IN))=0,(c_TMAP3OUT)+QUOTIENT(((1000)-(c_TMAP3OUT)),2),QUOTIENT((((K276)-(c_TMAP3IN))*((1000)-(c_TMAP3OUT))+IF(((1000)-(c_TMAP3OUT))&gt;=0,1,-1)*QUOTIENT(((1000)-(c_TMAP3IN)),2)),((1000)-(c_TMAP3IN)))+(c_TMAP3OUT)+IF(((1000)-(c_TMAP3OUT))&gt;=0,IF(IF(o_WRAP=1,MOD(((1000)-(c_TMAP3IN))*(((K276)-(c_TMAP3IN))*((1000)-(c_TMAP3OUT))+IF(((1000)-(c_TMAP3OUT))&gt;=0,1,-1)*QUOTIENT(((1000)-(c_TMAP3IN)),2))+2147483648,4294967296)-2147483648,((1000)-(c_TMAP3IN))*(((K276)-(c_TMAP3IN))*((1000)-(c_TMAP3OUT))+IF(((1000)-(c_TMAP3OUT))&gt;=0,1,-1)*QUOTIENT(((1000)-(c_TMAP3IN)),2)))&lt;0,-1,0),IF(IF(o_WRAP=1,MOD(((1000)-(c_TMAP3IN))*(((K276)-(c_TMAP3IN))*((1000)-(c_TMAP3OUT))+IF(((1000)-(c_TMAP3OUT))&gt;=0,1,-1)*QUOTIENT(((1000)-(c_TMAP3IN)),2))+2147483648,4294967296)-2147483648,((1000)-(c_TMAP3IN))*(((K276)-(c_TMAP3IN))*((1000)-(c_TMAP3OUT))+IF(((1000)-(c_TMAP3OUT))&gt;=0,1,-1)*QUOTIENT(((1000)-(c_TMAP3IN)),2)))&gt;=0,1,0)))</f>
        <v>686</v>
      </c>
      <c r="Q276" s="7" t="str">
        <f aca="false">IF(K276&gt;=c_TFWD,IF(AND(K276&gt;=c_TMAP3IN,c_TMAP3IN&lt;1000),"Seg4 map3-100%",IF(AND(K276&gt;=c_TMAP2IN,c_TMAP3IN&gt;c_TMAP2IN),"Seg3 map2-map3",IF(AND(K276&gt;=c_TMAP1IN,c_TMAP2IN&gt;c_TMAP1IN),"Seg2 map1-map2","Seg1 TFWD-map1"))),IF(AND(K276=0,c_TCREEP&gt;0),"Creep",IF(AND(K276&lt;=c_TRNGMIN,K276&gt;=c_TRNGMAX,c_TRNGMIN-c_TRNGMAX&lt;&gt;0),"Regen ramp","Coast (0)")))</f>
        <v>Seg4 map3-100%</v>
      </c>
      <c r="R276" s="7" t="n">
        <f aca="false">IF(K276&gt;=c_TFWD,IF(AND(K276&gt;=c_TMAP3IN,c_TMAP3IN&lt;1000),P276,IF(AND(K276&gt;=c_TMAP2IN,c_TMAP3IN&gt;c_TMAP2IN),O276,IF(AND(K276&gt;=c_TMAP1IN,c_TMAP2IN&gt;c_TMAP1IN),N276,M276))),L276)</f>
        <v>686</v>
      </c>
      <c r="S276" s="7" t="str">
        <f aca="false">IF(R276&lt;-1090,"TOO LOW",IF(R276&gt;1090,"TOO HIGH",""))</f>
        <v/>
      </c>
      <c r="T276" s="15" t="n">
        <f aca="false">IF(H276&lt;&gt;"OK",0,IF(S276&lt;&gt;"",0,IF(R276&gt;979,1000,R276)))</f>
        <v>686</v>
      </c>
      <c r="U276" s="7" t="n">
        <f aca="false">T276/10</f>
        <v>68.6</v>
      </c>
    </row>
    <row r="277" customFormat="false" ht="15" hidden="false" customHeight="false" outlineLevel="0" collapsed="false">
      <c r="A277" s="7" t="n">
        <v>272</v>
      </c>
      <c r="B277" s="7" t="n">
        <f aca="false">ROUND(o_SWSTART+A277*(o_SWEND-o_SWSTART)/400,0)</f>
        <v>2785</v>
      </c>
      <c r="C277" s="7" t="n">
        <f aca="false">QUOTIENT((B277-c_OFF1)*c_GAIN1,1024)</f>
        <v>2785</v>
      </c>
      <c r="D277" s="7" t="n">
        <f aca="false">IF(((c_T1MX)-(c_T1MN))=0,(0)+QUOTIENT(((1000)-(0)),2),QUOTIENT((((C277)-(c_T1MN))*((1000)-(0))+IF(((1000)-(0))&gt;=0,1,-1)*QUOTIENT(((c_T1MX)-(c_T1MN)),2)),((c_T1MX)-(c_T1MN)))+(0)+IF(((1000)-(0))&gt;=0,IF(IF(o_WRAP=1,MOD(((c_T1MX)-(c_T1MN))*(((C277)-(c_T1MN))*((1000)-(0))+IF(((1000)-(0))&gt;=0,1,-1)*QUOTIENT(((c_T1MX)-(c_T1MN)),2))+2147483648,4294967296)-2147483648,((c_T1MX)-(c_T1MN))*(((C277)-(c_T1MN))*((1000)-(0))+IF(((1000)-(0))&gt;=0,1,-1)*QUOTIENT(((c_T1MX)-(c_T1MN)),2)))&lt;0,-1,0),IF(IF(o_WRAP=1,MOD(((c_T1MX)-(c_T1MN))*(((C277)-(c_T1MN))*((1000)-(0))+IF(((1000)-(0))&gt;=0,1,-1)*QUOTIENT(((c_T1MX)-(c_T1MN)),2))+2147483648,4294967296)-2147483648,((c_T1MX)-(c_T1MN))*(((C277)-(c_T1MN))*((1000)-(0))+IF(((1000)-(0))&gt;=0,1,-1)*QUOTIENT(((c_T1MX)-(c_T1MN)),2)))&gt;=0,1,0)))</f>
        <v>749</v>
      </c>
      <c r="E277" s="7" t="n">
        <f aca="false">IF(AND(c_TPOT=1,c_TTYPE=2),1000-D277,D277)</f>
        <v>749</v>
      </c>
      <c r="F277" s="7" t="str">
        <f aca="false">IF(c_TPOT&gt;1,ROUND(IF(c_TTYPE=2,c_T2MX-IF(c_T1MX=c_T1MN,0,(C277-c_T1MN)/(c_T1MX-c_T1MN))*(c_T2MX-c_T2MN),c_T2MN+IF(c_T1MX=c_T1MN,0,(C277-c_T1MN)/(c_T1MX-c_T1MN))*(c_T2MX-c_T2MN))+o_MISMATCH,0),"")</f>
        <v/>
      </c>
      <c r="G277" s="7" t="str">
        <f aca="false">IF(c_TPOT&gt;1,IF(((c_T2MX)-(c_T2MN))=0,(0)+QUOTIENT(((1000)-(0)),2),QUOTIENT((((F277)-(c_T2MN))*((1000)-(0))+IF(((1000)-(0))&gt;=0,1,-1)*QUOTIENT(((c_T2MX)-(c_T2MN)),2)),((c_T2MX)-(c_T2MN)))+(0)+IF(((1000)-(0))&gt;=0,IF(IF(o_WRAP=1,MOD(((c_T2MX)-(c_T2MN))*(((F277)-(c_T2MN))*((1000)-(0))+IF(((1000)-(0))&gt;=0,1,-1)*QUOTIENT(((c_T2MX)-(c_T2MN)),2))+2147483648,4294967296)-2147483648,((c_T2MX)-(c_T2MN))*(((F277)-(c_T2MN))*((1000)-(0))+IF(((1000)-(0))&gt;=0,1,-1)*QUOTIENT(((c_T2MX)-(c_T2MN)),2)))&lt;0,-1,0),IF(IF(o_WRAP=1,MOD(((c_T2MX)-(c_T2MN))*(((F277)-(c_T2MN))*((1000)-(0))+IF(((1000)-(0))&gt;=0,1,-1)*QUOTIENT(((c_T2MX)-(c_T2MN)),2))+2147483648,4294967296)-2147483648,((c_T2MX)-(c_T2MN))*(((F277)-(c_T2MN))*((1000)-(0))+IF(((1000)-(0))&gt;=0,1,-1)*QUOTIENT(((c_T2MX)-(c_T2MN)),2)))&gt;=0,1,0))),"")</f>
        <v/>
      </c>
      <c r="H277" s="7" t="str">
        <f aca="false">IF(E277&gt;1000+k_TOL,"T1 HIGH",IF(E277&lt;0-k_TOL,"T1 LOW",IF(c_TPOT&gt;1,IF(G277&gt;1000+k_TOL,"T2 HIGH",IF(G277&lt;0-k_TOL,"T2 LOW",IF(c_TTYPE=2,IF(ABS(1000-MAX(0,MIN(1000,E277))-MAX(0,MIN(1000,G277)))&gt;k_MAXERR,"MISMATCH","OK"),IF(OR(MAX(0,MIN(1000,E277))-k_MAXERR&gt;MAX(0,MIN(1000,G277)),MAX(0,MIN(1000,G277))-k_MAXERR&gt;MAX(0,MIN(1000,E277))),"MISMATCH","OK")))),"OK")))</f>
        <v>OK</v>
      </c>
      <c r="I277" s="7" t="n">
        <f aca="false">MAX(0,MIN(1000,D277))</f>
        <v>749</v>
      </c>
      <c r="J277" s="7" t="str">
        <f aca="false">IF(c_TPOT&gt;1,IF(c_TTYPE=2,1000-MAX(0,MIN(1000,G277)),MAX(0,MIN(1000,G277))),"")</f>
        <v/>
      </c>
      <c r="K277" s="7" t="n">
        <f aca="false">IF(c_TPOT&gt;1,QUOTIENT(I277+J277,2),I277)</f>
        <v>749</v>
      </c>
      <c r="L277" s="7" t="n">
        <f aca="false">IF(AND(K277=0,c_TCREEP&gt;0),10*c_TCREEP,IF(AND(K277&lt;=c_TRNGMIN,K277&gt;=c_TRNGMAX,c_TRNGMIN-c_TRNGMAX&lt;&gt;0),-10*c_TMINRN+QUOTIENT((c_TMAXRN-c_TMINRN)*(100-QUOTIENT((K277-c_TRNGMAX)*100,c_TRNGMIN-c_TRNGMAX)),-10),0))</f>
        <v>0</v>
      </c>
      <c r="M277" s="7" t="n">
        <f aca="false">IF(((c_TMAP1IN)-(c_TFWD))=0,(0)+QUOTIENT(((c_TMAP1OUT)-(0)),2),QUOTIENT((((K277)-(c_TFWD))*((c_TMAP1OUT)-(0))+IF(((c_TMAP1OUT)-(0))&gt;=0,1,-1)*QUOTIENT(((c_TMAP1IN)-(c_TFWD)),2)),((c_TMAP1IN)-(c_TFWD)))+(0)+IF(((c_TMAP1OUT)-(0))&gt;=0,IF(IF(o_WRAP=1,MOD(((c_TMAP1IN)-(c_TFWD))*(((K277)-(c_TFWD))*((c_TMAP1OUT)-(0))+IF(((c_TMAP1OUT)-(0))&gt;=0,1,-1)*QUOTIENT(((c_TMAP1IN)-(c_TFWD)),2))+2147483648,4294967296)-2147483648,((c_TMAP1IN)-(c_TFWD))*(((K277)-(c_TFWD))*((c_TMAP1OUT)-(0))+IF(((c_TMAP1OUT)-(0))&gt;=0,1,-1)*QUOTIENT(((c_TMAP1IN)-(c_TFWD)),2)))&lt;0,-1,0),IF(IF(o_WRAP=1,MOD(((c_TMAP1IN)-(c_TFWD))*(((K277)-(c_TFWD))*((c_TMAP1OUT)-(0))+IF(((c_TMAP1OUT)-(0))&gt;=0,1,-1)*QUOTIENT(((c_TMAP1IN)-(c_TFWD)),2))+2147483648,4294967296)-2147483648,((c_TMAP1IN)-(c_TFWD))*(((K277)-(c_TFWD))*((c_TMAP1OUT)-(0))+IF(((c_TMAP1OUT)-(0))&gt;=0,1,-1)*QUOTIENT(((c_TMAP1IN)-(c_TFWD)),2)))&gt;=0,1,0)))</f>
        <v>575</v>
      </c>
      <c r="N277" s="7" t="n">
        <f aca="false">IF(((c_TMAP2IN)-(c_TMAP1IN))=0,(c_TMAP1OUT)+QUOTIENT(((c_TMAP2OUT)-(c_TMAP1OUT)),2),QUOTIENT((((K277)-(c_TMAP1IN))*((c_TMAP2OUT)-(c_TMAP1OUT))+IF(((c_TMAP2OUT)-(c_TMAP1OUT))&gt;=0,1,-1)*QUOTIENT(((c_TMAP2IN)-(c_TMAP1IN)),2)),((c_TMAP2IN)-(c_TMAP1IN)))+(c_TMAP1OUT)+IF(((c_TMAP2OUT)-(c_TMAP1OUT))&gt;=0,IF(IF(o_WRAP=1,MOD(((c_TMAP2IN)-(c_TMAP1IN))*(((K277)-(c_TMAP1IN))*((c_TMAP2OUT)-(c_TMAP1OUT))+IF(((c_TMAP2OUT)-(c_TMAP1OUT))&gt;=0,1,-1)*QUOTIENT(((c_TMAP2IN)-(c_TMAP1IN)),2))+2147483648,4294967296)-2147483648,((c_TMAP2IN)-(c_TMAP1IN))*(((K277)-(c_TMAP1IN))*((c_TMAP2OUT)-(c_TMAP1OUT))+IF(((c_TMAP2OUT)-(c_TMAP1OUT))&gt;=0,1,-1)*QUOTIENT(((c_TMAP2IN)-(c_TMAP1IN)),2)))&lt;0,-1,0),IF(IF(o_WRAP=1,MOD(((c_TMAP2IN)-(c_TMAP1IN))*(((K277)-(c_TMAP1IN))*((c_TMAP2OUT)-(c_TMAP1OUT))+IF(((c_TMAP2OUT)-(c_TMAP1OUT))&gt;=0,1,-1)*QUOTIENT(((c_TMAP2IN)-(c_TMAP1IN)),2))+2147483648,4294967296)-2147483648,((c_TMAP2IN)-(c_TMAP1IN))*(((K277)-(c_TMAP1IN))*((c_TMAP2OUT)-(c_TMAP1OUT))+IF(((c_TMAP2OUT)-(c_TMAP1OUT))&gt;=0,1,-1)*QUOTIENT(((c_TMAP2IN)-(c_TMAP1IN)),2)))&gt;=0,1,0)))</f>
        <v>330</v>
      </c>
      <c r="O277" s="7" t="n">
        <f aca="false">IF(((c_TMAP3IN)-(c_TMAP2IN))=0,(c_TMAP2OUT)+QUOTIENT(((c_TMAP3OUT)-(c_TMAP2OUT)),2),QUOTIENT((((K277)-(c_TMAP2IN))*((c_TMAP3OUT)-(c_TMAP2OUT))+IF(((c_TMAP3OUT)-(c_TMAP2OUT))&gt;=0,1,-1)*QUOTIENT(((c_TMAP3IN)-(c_TMAP2IN)),2)),((c_TMAP3IN)-(c_TMAP2IN)))+(c_TMAP2OUT)+IF(((c_TMAP3OUT)-(c_TMAP2OUT))&gt;=0,IF(IF(o_WRAP=1,MOD(((c_TMAP3IN)-(c_TMAP2IN))*(((K277)-(c_TMAP2IN))*((c_TMAP3OUT)-(c_TMAP2OUT))+IF(((c_TMAP3OUT)-(c_TMAP2OUT))&gt;=0,1,-1)*QUOTIENT(((c_TMAP3IN)-(c_TMAP2IN)),2))+2147483648,4294967296)-2147483648,((c_TMAP3IN)-(c_TMAP2IN))*(((K277)-(c_TMAP2IN))*((c_TMAP3OUT)-(c_TMAP2OUT))+IF(((c_TMAP3OUT)-(c_TMAP2OUT))&gt;=0,1,-1)*QUOTIENT(((c_TMAP3IN)-(c_TMAP2IN)),2)))&lt;0,-1,0),IF(IF(o_WRAP=1,MOD(((c_TMAP3IN)-(c_TMAP2IN))*(((K277)-(c_TMAP2IN))*((c_TMAP3OUT)-(c_TMAP2OUT))+IF(((c_TMAP3OUT)-(c_TMAP2OUT))&gt;=0,1,-1)*QUOTIENT(((c_TMAP3IN)-(c_TMAP2IN)),2))+2147483648,4294967296)-2147483648,((c_TMAP3IN)-(c_TMAP2IN))*(((K277)-(c_TMAP2IN))*((c_TMAP3OUT)-(c_TMAP2OUT))+IF(((c_TMAP3OUT)-(c_TMAP2OUT))&gt;=0,1,-1)*QUOTIENT(((c_TMAP3IN)-(c_TMAP2IN)),2)))&gt;=0,1,0)))</f>
        <v>479</v>
      </c>
      <c r="P277" s="7" t="n">
        <f aca="false">IF(((1000)-(c_TMAP3IN))=0,(c_TMAP3OUT)+QUOTIENT(((1000)-(c_TMAP3OUT)),2),QUOTIENT((((K277)-(c_TMAP3IN))*((1000)-(c_TMAP3OUT))+IF(((1000)-(c_TMAP3OUT))&gt;=0,1,-1)*QUOTIENT(((1000)-(c_TMAP3IN)),2)),((1000)-(c_TMAP3IN)))+(c_TMAP3OUT)+IF(((1000)-(c_TMAP3OUT))&gt;=0,IF(IF(o_WRAP=1,MOD(((1000)-(c_TMAP3IN))*(((K277)-(c_TMAP3IN))*((1000)-(c_TMAP3OUT))+IF(((1000)-(c_TMAP3OUT))&gt;=0,1,-1)*QUOTIENT(((1000)-(c_TMAP3IN)),2))+2147483648,4294967296)-2147483648,((1000)-(c_TMAP3IN))*(((K277)-(c_TMAP3IN))*((1000)-(c_TMAP3OUT))+IF(((1000)-(c_TMAP3OUT))&gt;=0,1,-1)*QUOTIENT(((1000)-(c_TMAP3IN)),2)))&lt;0,-1,0),IF(IF(o_WRAP=1,MOD(((1000)-(c_TMAP3IN))*(((K277)-(c_TMAP3IN))*((1000)-(c_TMAP3OUT))+IF(((1000)-(c_TMAP3OUT))&gt;=0,1,-1)*QUOTIENT(((1000)-(c_TMAP3IN)),2))+2147483648,4294967296)-2147483648,((1000)-(c_TMAP3IN))*(((K277)-(c_TMAP3IN))*((1000)-(c_TMAP3OUT))+IF(((1000)-(c_TMAP3OUT))&gt;=0,1,-1)*QUOTIENT(((1000)-(c_TMAP3IN)),2)))&gt;=0,1,0)))</f>
        <v>691</v>
      </c>
      <c r="Q277" s="7" t="str">
        <f aca="false">IF(K277&gt;=c_TFWD,IF(AND(K277&gt;=c_TMAP3IN,c_TMAP3IN&lt;1000),"Seg4 map3-100%",IF(AND(K277&gt;=c_TMAP2IN,c_TMAP3IN&gt;c_TMAP2IN),"Seg3 map2-map3",IF(AND(K277&gt;=c_TMAP1IN,c_TMAP2IN&gt;c_TMAP1IN),"Seg2 map1-map2","Seg1 TFWD-map1"))),IF(AND(K277=0,c_TCREEP&gt;0),"Creep",IF(AND(K277&lt;=c_TRNGMIN,K277&gt;=c_TRNGMAX,c_TRNGMIN-c_TRNGMAX&lt;&gt;0),"Regen ramp","Coast (0)")))</f>
        <v>Seg4 map3-100%</v>
      </c>
      <c r="R277" s="7" t="n">
        <f aca="false">IF(K277&gt;=c_TFWD,IF(AND(K277&gt;=c_TMAP3IN,c_TMAP3IN&lt;1000),P277,IF(AND(K277&gt;=c_TMAP2IN,c_TMAP3IN&gt;c_TMAP2IN),O277,IF(AND(K277&gt;=c_TMAP1IN,c_TMAP2IN&gt;c_TMAP1IN),N277,M277))),L277)</f>
        <v>691</v>
      </c>
      <c r="S277" s="7" t="str">
        <f aca="false">IF(R277&lt;-1090,"TOO LOW",IF(R277&gt;1090,"TOO HIGH",""))</f>
        <v/>
      </c>
      <c r="T277" s="15" t="n">
        <f aca="false">IF(H277&lt;&gt;"OK",0,IF(S277&lt;&gt;"",0,IF(R277&gt;979,1000,R277)))</f>
        <v>691</v>
      </c>
      <c r="U277" s="7" t="n">
        <f aca="false">T277/10</f>
        <v>69.1</v>
      </c>
    </row>
    <row r="278" customFormat="false" ht="15" hidden="false" customHeight="false" outlineLevel="0" collapsed="false">
      <c r="A278" s="7" t="n">
        <v>273</v>
      </c>
      <c r="B278" s="7" t="n">
        <f aca="false">ROUND(o_SWSTART+A278*(o_SWEND-o_SWSTART)/400,0)</f>
        <v>2795</v>
      </c>
      <c r="C278" s="7" t="n">
        <f aca="false">QUOTIENT((B278-c_OFF1)*c_GAIN1,1024)</f>
        <v>2795</v>
      </c>
      <c r="D278" s="7" t="n">
        <f aca="false">IF(((c_T1MX)-(c_T1MN))=0,(0)+QUOTIENT(((1000)-(0)),2),QUOTIENT((((C278)-(c_T1MN))*((1000)-(0))+IF(((1000)-(0))&gt;=0,1,-1)*QUOTIENT(((c_T1MX)-(c_T1MN)),2)),((c_T1MX)-(c_T1MN)))+(0)+IF(((1000)-(0))&gt;=0,IF(IF(o_WRAP=1,MOD(((c_T1MX)-(c_T1MN))*(((C278)-(c_T1MN))*((1000)-(0))+IF(((1000)-(0))&gt;=0,1,-1)*QUOTIENT(((c_T1MX)-(c_T1MN)),2))+2147483648,4294967296)-2147483648,((c_T1MX)-(c_T1MN))*(((C278)-(c_T1MN))*((1000)-(0))+IF(((1000)-(0))&gt;=0,1,-1)*QUOTIENT(((c_T1MX)-(c_T1MN)),2)))&lt;0,-1,0),IF(IF(o_WRAP=1,MOD(((c_T1MX)-(c_T1MN))*(((C278)-(c_T1MN))*((1000)-(0))+IF(((1000)-(0))&gt;=0,1,-1)*QUOTIENT(((c_T1MX)-(c_T1MN)),2))+2147483648,4294967296)-2147483648,((c_T1MX)-(c_T1MN))*(((C278)-(c_T1MN))*((1000)-(0))+IF(((1000)-(0))&gt;=0,1,-1)*QUOTIENT(((c_T1MX)-(c_T1MN)),2)))&gt;=0,1,0)))</f>
        <v>753</v>
      </c>
      <c r="E278" s="7" t="n">
        <f aca="false">IF(AND(c_TPOT=1,c_TTYPE=2),1000-D278,D278)</f>
        <v>753</v>
      </c>
      <c r="F278" s="7" t="str">
        <f aca="false">IF(c_TPOT&gt;1,ROUND(IF(c_TTYPE=2,c_T2MX-IF(c_T1MX=c_T1MN,0,(C278-c_T1MN)/(c_T1MX-c_T1MN))*(c_T2MX-c_T2MN),c_T2MN+IF(c_T1MX=c_T1MN,0,(C278-c_T1MN)/(c_T1MX-c_T1MN))*(c_T2MX-c_T2MN))+o_MISMATCH,0),"")</f>
        <v/>
      </c>
      <c r="G278" s="7" t="str">
        <f aca="false">IF(c_TPOT&gt;1,IF(((c_T2MX)-(c_T2MN))=0,(0)+QUOTIENT(((1000)-(0)),2),QUOTIENT((((F278)-(c_T2MN))*((1000)-(0))+IF(((1000)-(0))&gt;=0,1,-1)*QUOTIENT(((c_T2MX)-(c_T2MN)),2)),((c_T2MX)-(c_T2MN)))+(0)+IF(((1000)-(0))&gt;=0,IF(IF(o_WRAP=1,MOD(((c_T2MX)-(c_T2MN))*(((F278)-(c_T2MN))*((1000)-(0))+IF(((1000)-(0))&gt;=0,1,-1)*QUOTIENT(((c_T2MX)-(c_T2MN)),2))+2147483648,4294967296)-2147483648,((c_T2MX)-(c_T2MN))*(((F278)-(c_T2MN))*((1000)-(0))+IF(((1000)-(0))&gt;=0,1,-1)*QUOTIENT(((c_T2MX)-(c_T2MN)),2)))&lt;0,-1,0),IF(IF(o_WRAP=1,MOD(((c_T2MX)-(c_T2MN))*(((F278)-(c_T2MN))*((1000)-(0))+IF(((1000)-(0))&gt;=0,1,-1)*QUOTIENT(((c_T2MX)-(c_T2MN)),2))+2147483648,4294967296)-2147483648,((c_T2MX)-(c_T2MN))*(((F278)-(c_T2MN))*((1000)-(0))+IF(((1000)-(0))&gt;=0,1,-1)*QUOTIENT(((c_T2MX)-(c_T2MN)),2)))&gt;=0,1,0))),"")</f>
        <v/>
      </c>
      <c r="H278" s="7" t="str">
        <f aca="false">IF(E278&gt;1000+k_TOL,"T1 HIGH",IF(E278&lt;0-k_TOL,"T1 LOW",IF(c_TPOT&gt;1,IF(G278&gt;1000+k_TOL,"T2 HIGH",IF(G278&lt;0-k_TOL,"T2 LOW",IF(c_TTYPE=2,IF(ABS(1000-MAX(0,MIN(1000,E278))-MAX(0,MIN(1000,G278)))&gt;k_MAXERR,"MISMATCH","OK"),IF(OR(MAX(0,MIN(1000,E278))-k_MAXERR&gt;MAX(0,MIN(1000,G278)),MAX(0,MIN(1000,G278))-k_MAXERR&gt;MAX(0,MIN(1000,E278))),"MISMATCH","OK")))),"OK")))</f>
        <v>OK</v>
      </c>
      <c r="I278" s="7" t="n">
        <f aca="false">MAX(0,MIN(1000,D278))</f>
        <v>753</v>
      </c>
      <c r="J278" s="7" t="str">
        <f aca="false">IF(c_TPOT&gt;1,IF(c_TTYPE=2,1000-MAX(0,MIN(1000,G278)),MAX(0,MIN(1000,G278))),"")</f>
        <v/>
      </c>
      <c r="K278" s="7" t="n">
        <f aca="false">IF(c_TPOT&gt;1,QUOTIENT(I278+J278,2),I278)</f>
        <v>753</v>
      </c>
      <c r="L278" s="7" t="n">
        <f aca="false">IF(AND(K278=0,c_TCREEP&gt;0),10*c_TCREEP,IF(AND(K278&lt;=c_TRNGMIN,K278&gt;=c_TRNGMAX,c_TRNGMIN-c_TRNGMAX&lt;&gt;0),-10*c_TMINRN+QUOTIENT((c_TMAXRN-c_TMINRN)*(100-QUOTIENT((K278-c_TRNGMAX)*100,c_TRNGMIN-c_TRNGMAX)),-10),0))</f>
        <v>0</v>
      </c>
      <c r="M278" s="7" t="n">
        <f aca="false">IF(((c_TMAP1IN)-(c_TFWD))=0,(0)+QUOTIENT(((c_TMAP1OUT)-(0)),2),QUOTIENT((((K278)-(c_TFWD))*((c_TMAP1OUT)-(0))+IF(((c_TMAP1OUT)-(0))&gt;=0,1,-1)*QUOTIENT(((c_TMAP1IN)-(c_TFWD)),2)),((c_TMAP1IN)-(c_TFWD)))+(0)+IF(((c_TMAP1OUT)-(0))&gt;=0,IF(IF(o_WRAP=1,MOD(((c_TMAP1IN)-(c_TFWD))*(((K278)-(c_TFWD))*((c_TMAP1OUT)-(0))+IF(((c_TMAP1OUT)-(0))&gt;=0,1,-1)*QUOTIENT(((c_TMAP1IN)-(c_TFWD)),2))+2147483648,4294967296)-2147483648,((c_TMAP1IN)-(c_TFWD))*(((K278)-(c_TFWD))*((c_TMAP1OUT)-(0))+IF(((c_TMAP1OUT)-(0))&gt;=0,1,-1)*QUOTIENT(((c_TMAP1IN)-(c_TFWD)),2)))&lt;0,-1,0),IF(IF(o_WRAP=1,MOD(((c_TMAP1IN)-(c_TFWD))*(((K278)-(c_TFWD))*((c_TMAP1OUT)-(0))+IF(((c_TMAP1OUT)-(0))&gt;=0,1,-1)*QUOTIENT(((c_TMAP1IN)-(c_TFWD)),2))+2147483648,4294967296)-2147483648,((c_TMAP1IN)-(c_TFWD))*(((K278)-(c_TFWD))*((c_TMAP1OUT)-(0))+IF(((c_TMAP1OUT)-(0))&gt;=0,1,-1)*QUOTIENT(((c_TMAP1IN)-(c_TFWD)),2)))&gt;=0,1,0)))</f>
        <v>578</v>
      </c>
      <c r="N278" s="7" t="n">
        <f aca="false">IF(((c_TMAP2IN)-(c_TMAP1IN))=0,(c_TMAP1OUT)+QUOTIENT(((c_TMAP2OUT)-(c_TMAP1OUT)),2),QUOTIENT((((K278)-(c_TMAP1IN))*((c_TMAP2OUT)-(c_TMAP1OUT))+IF(((c_TMAP2OUT)-(c_TMAP1OUT))&gt;=0,1,-1)*QUOTIENT(((c_TMAP2IN)-(c_TMAP1IN)),2)),((c_TMAP2IN)-(c_TMAP1IN)))+(c_TMAP1OUT)+IF(((c_TMAP2OUT)-(c_TMAP1OUT))&gt;=0,IF(IF(o_WRAP=1,MOD(((c_TMAP2IN)-(c_TMAP1IN))*(((K278)-(c_TMAP1IN))*((c_TMAP2OUT)-(c_TMAP1OUT))+IF(((c_TMAP2OUT)-(c_TMAP1OUT))&gt;=0,1,-1)*QUOTIENT(((c_TMAP2IN)-(c_TMAP1IN)),2))+2147483648,4294967296)-2147483648,((c_TMAP2IN)-(c_TMAP1IN))*(((K278)-(c_TMAP1IN))*((c_TMAP2OUT)-(c_TMAP1OUT))+IF(((c_TMAP2OUT)-(c_TMAP1OUT))&gt;=0,1,-1)*QUOTIENT(((c_TMAP2IN)-(c_TMAP1IN)),2)))&lt;0,-1,0),IF(IF(o_WRAP=1,MOD(((c_TMAP2IN)-(c_TMAP1IN))*(((K278)-(c_TMAP1IN))*((c_TMAP2OUT)-(c_TMAP1OUT))+IF(((c_TMAP2OUT)-(c_TMAP1OUT))&gt;=0,1,-1)*QUOTIENT(((c_TMAP2IN)-(c_TMAP1IN)),2))+2147483648,4294967296)-2147483648,((c_TMAP2IN)-(c_TMAP1IN))*(((K278)-(c_TMAP1IN))*((c_TMAP2OUT)-(c_TMAP1OUT))+IF(((c_TMAP2OUT)-(c_TMAP1OUT))&gt;=0,1,-1)*QUOTIENT(((c_TMAP2IN)-(c_TMAP1IN)),2)))&gt;=0,1,0)))</f>
        <v>331</v>
      </c>
      <c r="O278" s="7" t="n">
        <f aca="false">IF(((c_TMAP3IN)-(c_TMAP2IN))=0,(c_TMAP2OUT)+QUOTIENT(((c_TMAP3OUT)-(c_TMAP2OUT)),2),QUOTIENT((((K278)-(c_TMAP2IN))*((c_TMAP3OUT)-(c_TMAP2OUT))+IF(((c_TMAP3OUT)-(c_TMAP2OUT))&gt;=0,1,-1)*QUOTIENT(((c_TMAP3IN)-(c_TMAP2IN)),2)),((c_TMAP3IN)-(c_TMAP2IN)))+(c_TMAP2OUT)+IF(((c_TMAP3OUT)-(c_TMAP2OUT))&gt;=0,IF(IF(o_WRAP=1,MOD(((c_TMAP3IN)-(c_TMAP2IN))*(((K278)-(c_TMAP2IN))*((c_TMAP3OUT)-(c_TMAP2OUT))+IF(((c_TMAP3OUT)-(c_TMAP2OUT))&gt;=0,1,-1)*QUOTIENT(((c_TMAP3IN)-(c_TMAP2IN)),2))+2147483648,4294967296)-2147483648,((c_TMAP3IN)-(c_TMAP2IN))*(((K278)-(c_TMAP2IN))*((c_TMAP3OUT)-(c_TMAP2OUT))+IF(((c_TMAP3OUT)-(c_TMAP2OUT))&gt;=0,1,-1)*QUOTIENT(((c_TMAP3IN)-(c_TMAP2IN)),2)))&lt;0,-1,0),IF(IF(o_WRAP=1,MOD(((c_TMAP3IN)-(c_TMAP2IN))*(((K278)-(c_TMAP2IN))*((c_TMAP3OUT)-(c_TMAP2OUT))+IF(((c_TMAP3OUT)-(c_TMAP2OUT))&gt;=0,1,-1)*QUOTIENT(((c_TMAP3IN)-(c_TMAP2IN)),2))+2147483648,4294967296)-2147483648,((c_TMAP3IN)-(c_TMAP2IN))*(((K278)-(c_TMAP2IN))*((c_TMAP3OUT)-(c_TMAP2OUT))+IF(((c_TMAP3OUT)-(c_TMAP2OUT))&gt;=0,1,-1)*QUOTIENT(((c_TMAP3IN)-(c_TMAP2IN)),2)))&gt;=0,1,0)))</f>
        <v>482</v>
      </c>
      <c r="P278" s="7" t="n">
        <f aca="false">IF(((1000)-(c_TMAP3IN))=0,(c_TMAP3OUT)+QUOTIENT(((1000)-(c_TMAP3OUT)),2),QUOTIENT((((K278)-(c_TMAP3IN))*((1000)-(c_TMAP3OUT))+IF(((1000)-(c_TMAP3OUT))&gt;=0,1,-1)*QUOTIENT(((1000)-(c_TMAP3IN)),2)),((1000)-(c_TMAP3IN)))+(c_TMAP3OUT)+IF(((1000)-(c_TMAP3OUT))&gt;=0,IF(IF(o_WRAP=1,MOD(((1000)-(c_TMAP3IN))*(((K278)-(c_TMAP3IN))*((1000)-(c_TMAP3OUT))+IF(((1000)-(c_TMAP3OUT))&gt;=0,1,-1)*QUOTIENT(((1000)-(c_TMAP3IN)),2))+2147483648,4294967296)-2147483648,((1000)-(c_TMAP3IN))*(((K278)-(c_TMAP3IN))*((1000)-(c_TMAP3OUT))+IF(((1000)-(c_TMAP3OUT))&gt;=0,1,-1)*QUOTIENT(((1000)-(c_TMAP3IN)),2)))&lt;0,-1,0),IF(IF(o_WRAP=1,MOD(((1000)-(c_TMAP3IN))*(((K278)-(c_TMAP3IN))*((1000)-(c_TMAP3OUT))+IF(((1000)-(c_TMAP3OUT))&gt;=0,1,-1)*QUOTIENT(((1000)-(c_TMAP3IN)),2))+2147483648,4294967296)-2147483648,((1000)-(c_TMAP3IN))*(((K278)-(c_TMAP3IN))*((1000)-(c_TMAP3OUT))+IF(((1000)-(c_TMAP3OUT))&gt;=0,1,-1)*QUOTIENT(((1000)-(c_TMAP3IN)),2)))&gt;=0,1,0)))</f>
        <v>696</v>
      </c>
      <c r="Q278" s="7" t="str">
        <f aca="false">IF(K278&gt;=c_TFWD,IF(AND(K278&gt;=c_TMAP3IN,c_TMAP3IN&lt;1000),"Seg4 map3-100%",IF(AND(K278&gt;=c_TMAP2IN,c_TMAP3IN&gt;c_TMAP2IN),"Seg3 map2-map3",IF(AND(K278&gt;=c_TMAP1IN,c_TMAP2IN&gt;c_TMAP1IN),"Seg2 map1-map2","Seg1 TFWD-map1"))),IF(AND(K278=0,c_TCREEP&gt;0),"Creep",IF(AND(K278&lt;=c_TRNGMIN,K278&gt;=c_TRNGMAX,c_TRNGMIN-c_TRNGMAX&lt;&gt;0),"Regen ramp","Coast (0)")))</f>
        <v>Seg4 map3-100%</v>
      </c>
      <c r="R278" s="7" t="n">
        <f aca="false">IF(K278&gt;=c_TFWD,IF(AND(K278&gt;=c_TMAP3IN,c_TMAP3IN&lt;1000),P278,IF(AND(K278&gt;=c_TMAP2IN,c_TMAP3IN&gt;c_TMAP2IN),O278,IF(AND(K278&gt;=c_TMAP1IN,c_TMAP2IN&gt;c_TMAP1IN),N278,M278))),L278)</f>
        <v>696</v>
      </c>
      <c r="S278" s="7" t="str">
        <f aca="false">IF(R278&lt;-1090,"TOO LOW",IF(R278&gt;1090,"TOO HIGH",""))</f>
        <v/>
      </c>
      <c r="T278" s="15" t="n">
        <f aca="false">IF(H278&lt;&gt;"OK",0,IF(S278&lt;&gt;"",0,IF(R278&gt;979,1000,R278)))</f>
        <v>696</v>
      </c>
      <c r="U278" s="7" t="n">
        <f aca="false">T278/10</f>
        <v>69.6</v>
      </c>
    </row>
    <row r="279" customFormat="false" ht="15" hidden="false" customHeight="false" outlineLevel="0" collapsed="false">
      <c r="A279" s="7" t="n">
        <v>274</v>
      </c>
      <c r="B279" s="7" t="n">
        <f aca="false">ROUND(o_SWSTART+A279*(o_SWEND-o_SWSTART)/400,0)</f>
        <v>2805</v>
      </c>
      <c r="C279" s="7" t="n">
        <f aca="false">QUOTIENT((B279-c_OFF1)*c_GAIN1,1024)</f>
        <v>2805</v>
      </c>
      <c r="D279" s="7" t="n">
        <f aca="false">IF(((c_T1MX)-(c_T1MN))=0,(0)+QUOTIENT(((1000)-(0)),2),QUOTIENT((((C279)-(c_T1MN))*((1000)-(0))+IF(((1000)-(0))&gt;=0,1,-1)*QUOTIENT(((c_T1MX)-(c_T1MN)),2)),((c_T1MX)-(c_T1MN)))+(0)+IF(((1000)-(0))&gt;=0,IF(IF(o_WRAP=1,MOD(((c_T1MX)-(c_T1MN))*(((C279)-(c_T1MN))*((1000)-(0))+IF(((1000)-(0))&gt;=0,1,-1)*QUOTIENT(((c_T1MX)-(c_T1MN)),2))+2147483648,4294967296)-2147483648,((c_T1MX)-(c_T1MN))*(((C279)-(c_T1MN))*((1000)-(0))+IF(((1000)-(0))&gt;=0,1,-1)*QUOTIENT(((c_T1MX)-(c_T1MN)),2)))&lt;0,-1,0),IF(IF(o_WRAP=1,MOD(((c_T1MX)-(c_T1MN))*(((C279)-(c_T1MN))*((1000)-(0))+IF(((1000)-(0))&gt;=0,1,-1)*QUOTIENT(((c_T1MX)-(c_T1MN)),2))+2147483648,4294967296)-2147483648,((c_T1MX)-(c_T1MN))*(((C279)-(c_T1MN))*((1000)-(0))+IF(((1000)-(0))&gt;=0,1,-1)*QUOTIENT(((c_T1MX)-(c_T1MN)),2)))&gt;=0,1,0)))</f>
        <v>756</v>
      </c>
      <c r="E279" s="7" t="n">
        <f aca="false">IF(AND(c_TPOT=1,c_TTYPE=2),1000-D279,D279)</f>
        <v>756</v>
      </c>
      <c r="F279" s="7" t="str">
        <f aca="false">IF(c_TPOT&gt;1,ROUND(IF(c_TTYPE=2,c_T2MX-IF(c_T1MX=c_T1MN,0,(C279-c_T1MN)/(c_T1MX-c_T1MN))*(c_T2MX-c_T2MN),c_T2MN+IF(c_T1MX=c_T1MN,0,(C279-c_T1MN)/(c_T1MX-c_T1MN))*(c_T2MX-c_T2MN))+o_MISMATCH,0),"")</f>
        <v/>
      </c>
      <c r="G279" s="7" t="str">
        <f aca="false">IF(c_TPOT&gt;1,IF(((c_T2MX)-(c_T2MN))=0,(0)+QUOTIENT(((1000)-(0)),2),QUOTIENT((((F279)-(c_T2MN))*((1000)-(0))+IF(((1000)-(0))&gt;=0,1,-1)*QUOTIENT(((c_T2MX)-(c_T2MN)),2)),((c_T2MX)-(c_T2MN)))+(0)+IF(((1000)-(0))&gt;=0,IF(IF(o_WRAP=1,MOD(((c_T2MX)-(c_T2MN))*(((F279)-(c_T2MN))*((1000)-(0))+IF(((1000)-(0))&gt;=0,1,-1)*QUOTIENT(((c_T2MX)-(c_T2MN)),2))+2147483648,4294967296)-2147483648,((c_T2MX)-(c_T2MN))*(((F279)-(c_T2MN))*((1000)-(0))+IF(((1000)-(0))&gt;=0,1,-1)*QUOTIENT(((c_T2MX)-(c_T2MN)),2)))&lt;0,-1,0),IF(IF(o_WRAP=1,MOD(((c_T2MX)-(c_T2MN))*(((F279)-(c_T2MN))*((1000)-(0))+IF(((1000)-(0))&gt;=0,1,-1)*QUOTIENT(((c_T2MX)-(c_T2MN)),2))+2147483648,4294967296)-2147483648,((c_T2MX)-(c_T2MN))*(((F279)-(c_T2MN))*((1000)-(0))+IF(((1000)-(0))&gt;=0,1,-1)*QUOTIENT(((c_T2MX)-(c_T2MN)),2)))&gt;=0,1,0))),"")</f>
        <v/>
      </c>
      <c r="H279" s="7" t="str">
        <f aca="false">IF(E279&gt;1000+k_TOL,"T1 HIGH",IF(E279&lt;0-k_TOL,"T1 LOW",IF(c_TPOT&gt;1,IF(G279&gt;1000+k_TOL,"T2 HIGH",IF(G279&lt;0-k_TOL,"T2 LOW",IF(c_TTYPE=2,IF(ABS(1000-MAX(0,MIN(1000,E279))-MAX(0,MIN(1000,G279)))&gt;k_MAXERR,"MISMATCH","OK"),IF(OR(MAX(0,MIN(1000,E279))-k_MAXERR&gt;MAX(0,MIN(1000,G279)),MAX(0,MIN(1000,G279))-k_MAXERR&gt;MAX(0,MIN(1000,E279))),"MISMATCH","OK")))),"OK")))</f>
        <v>OK</v>
      </c>
      <c r="I279" s="7" t="n">
        <f aca="false">MAX(0,MIN(1000,D279))</f>
        <v>756</v>
      </c>
      <c r="J279" s="7" t="str">
        <f aca="false">IF(c_TPOT&gt;1,IF(c_TTYPE=2,1000-MAX(0,MIN(1000,G279)),MAX(0,MIN(1000,G279))),"")</f>
        <v/>
      </c>
      <c r="K279" s="7" t="n">
        <f aca="false">IF(c_TPOT&gt;1,QUOTIENT(I279+J279,2),I279)</f>
        <v>756</v>
      </c>
      <c r="L279" s="7" t="n">
        <f aca="false">IF(AND(K279=0,c_TCREEP&gt;0),10*c_TCREEP,IF(AND(K279&lt;=c_TRNGMIN,K279&gt;=c_TRNGMAX,c_TRNGMIN-c_TRNGMAX&lt;&gt;0),-10*c_TMINRN+QUOTIENT((c_TMAXRN-c_TMINRN)*(100-QUOTIENT((K279-c_TRNGMAX)*100,c_TRNGMIN-c_TRNGMAX)),-10),0))</f>
        <v>0</v>
      </c>
      <c r="M279" s="7" t="n">
        <f aca="false">IF(((c_TMAP1IN)-(c_TFWD))=0,(0)+QUOTIENT(((c_TMAP1OUT)-(0)),2),QUOTIENT((((K279)-(c_TFWD))*((c_TMAP1OUT)-(0))+IF(((c_TMAP1OUT)-(0))&gt;=0,1,-1)*QUOTIENT(((c_TMAP1IN)-(c_TFWD)),2)),((c_TMAP1IN)-(c_TFWD)))+(0)+IF(((c_TMAP1OUT)-(0))&gt;=0,IF(IF(o_WRAP=1,MOD(((c_TMAP1IN)-(c_TFWD))*(((K279)-(c_TFWD))*((c_TMAP1OUT)-(0))+IF(((c_TMAP1OUT)-(0))&gt;=0,1,-1)*QUOTIENT(((c_TMAP1IN)-(c_TFWD)),2))+2147483648,4294967296)-2147483648,((c_TMAP1IN)-(c_TFWD))*(((K279)-(c_TFWD))*((c_TMAP1OUT)-(0))+IF(((c_TMAP1OUT)-(0))&gt;=0,1,-1)*QUOTIENT(((c_TMAP1IN)-(c_TFWD)),2)))&lt;0,-1,0),IF(IF(o_WRAP=1,MOD(((c_TMAP1IN)-(c_TFWD))*(((K279)-(c_TFWD))*((c_TMAP1OUT)-(0))+IF(((c_TMAP1OUT)-(0))&gt;=0,1,-1)*QUOTIENT(((c_TMAP1IN)-(c_TFWD)),2))+2147483648,4294967296)-2147483648,((c_TMAP1IN)-(c_TFWD))*(((K279)-(c_TFWD))*((c_TMAP1OUT)-(0))+IF(((c_TMAP1OUT)-(0))&gt;=0,1,-1)*QUOTIENT(((c_TMAP1IN)-(c_TFWD)),2)))&gt;=0,1,0)))</f>
        <v>580</v>
      </c>
      <c r="N279" s="7" t="n">
        <f aca="false">IF(((c_TMAP2IN)-(c_TMAP1IN))=0,(c_TMAP1OUT)+QUOTIENT(((c_TMAP2OUT)-(c_TMAP1OUT)),2),QUOTIENT((((K279)-(c_TMAP1IN))*((c_TMAP2OUT)-(c_TMAP1OUT))+IF(((c_TMAP2OUT)-(c_TMAP1OUT))&gt;=0,1,-1)*QUOTIENT(((c_TMAP2IN)-(c_TMAP1IN)),2)),((c_TMAP2IN)-(c_TMAP1IN)))+(c_TMAP1OUT)+IF(((c_TMAP2OUT)-(c_TMAP1OUT))&gt;=0,IF(IF(o_WRAP=1,MOD(((c_TMAP2IN)-(c_TMAP1IN))*(((K279)-(c_TMAP1IN))*((c_TMAP2OUT)-(c_TMAP1OUT))+IF(((c_TMAP2OUT)-(c_TMAP1OUT))&gt;=0,1,-1)*QUOTIENT(((c_TMAP2IN)-(c_TMAP1IN)),2))+2147483648,4294967296)-2147483648,((c_TMAP2IN)-(c_TMAP1IN))*(((K279)-(c_TMAP1IN))*((c_TMAP2OUT)-(c_TMAP1OUT))+IF(((c_TMAP2OUT)-(c_TMAP1OUT))&gt;=0,1,-1)*QUOTIENT(((c_TMAP2IN)-(c_TMAP1IN)),2)))&lt;0,-1,0),IF(IF(o_WRAP=1,MOD(((c_TMAP2IN)-(c_TMAP1IN))*(((K279)-(c_TMAP1IN))*((c_TMAP2OUT)-(c_TMAP1OUT))+IF(((c_TMAP2OUT)-(c_TMAP1OUT))&gt;=0,1,-1)*QUOTIENT(((c_TMAP2IN)-(c_TMAP1IN)),2))+2147483648,4294967296)-2147483648,((c_TMAP2IN)-(c_TMAP1IN))*(((K279)-(c_TMAP1IN))*((c_TMAP2OUT)-(c_TMAP1OUT))+IF(((c_TMAP2OUT)-(c_TMAP1OUT))&gt;=0,1,-1)*QUOTIENT(((c_TMAP2IN)-(c_TMAP1IN)),2)))&gt;=0,1,0)))</f>
        <v>332</v>
      </c>
      <c r="O279" s="7" t="n">
        <f aca="false">IF(((c_TMAP3IN)-(c_TMAP2IN))=0,(c_TMAP2OUT)+QUOTIENT(((c_TMAP3OUT)-(c_TMAP2OUT)),2),QUOTIENT((((K279)-(c_TMAP2IN))*((c_TMAP3OUT)-(c_TMAP2OUT))+IF(((c_TMAP3OUT)-(c_TMAP2OUT))&gt;=0,1,-1)*QUOTIENT(((c_TMAP3IN)-(c_TMAP2IN)),2)),((c_TMAP3IN)-(c_TMAP2IN)))+(c_TMAP2OUT)+IF(((c_TMAP3OUT)-(c_TMAP2OUT))&gt;=0,IF(IF(o_WRAP=1,MOD(((c_TMAP3IN)-(c_TMAP2IN))*(((K279)-(c_TMAP2IN))*((c_TMAP3OUT)-(c_TMAP2OUT))+IF(((c_TMAP3OUT)-(c_TMAP2OUT))&gt;=0,1,-1)*QUOTIENT(((c_TMAP3IN)-(c_TMAP2IN)),2))+2147483648,4294967296)-2147483648,((c_TMAP3IN)-(c_TMAP2IN))*(((K279)-(c_TMAP2IN))*((c_TMAP3OUT)-(c_TMAP2OUT))+IF(((c_TMAP3OUT)-(c_TMAP2OUT))&gt;=0,1,-1)*QUOTIENT(((c_TMAP3IN)-(c_TMAP2IN)),2)))&lt;0,-1,0),IF(IF(o_WRAP=1,MOD(((c_TMAP3IN)-(c_TMAP2IN))*(((K279)-(c_TMAP2IN))*((c_TMAP3OUT)-(c_TMAP2OUT))+IF(((c_TMAP3OUT)-(c_TMAP2OUT))&gt;=0,1,-1)*QUOTIENT(((c_TMAP3IN)-(c_TMAP2IN)),2))+2147483648,4294967296)-2147483648,((c_TMAP3IN)-(c_TMAP2IN))*(((K279)-(c_TMAP2IN))*((c_TMAP3OUT)-(c_TMAP2OUT))+IF(((c_TMAP3OUT)-(c_TMAP2OUT))&gt;=0,1,-1)*QUOTIENT(((c_TMAP3IN)-(c_TMAP2IN)),2)))&gt;=0,1,0)))</f>
        <v>484</v>
      </c>
      <c r="P279" s="7" t="n">
        <f aca="false">IF(((1000)-(c_TMAP3IN))=0,(c_TMAP3OUT)+QUOTIENT(((1000)-(c_TMAP3OUT)),2),QUOTIENT((((K279)-(c_TMAP3IN))*((1000)-(c_TMAP3OUT))+IF(((1000)-(c_TMAP3OUT))&gt;=0,1,-1)*QUOTIENT(((1000)-(c_TMAP3IN)),2)),((1000)-(c_TMAP3IN)))+(c_TMAP3OUT)+IF(((1000)-(c_TMAP3OUT))&gt;=0,IF(IF(o_WRAP=1,MOD(((1000)-(c_TMAP3IN))*(((K279)-(c_TMAP3IN))*((1000)-(c_TMAP3OUT))+IF(((1000)-(c_TMAP3OUT))&gt;=0,1,-1)*QUOTIENT(((1000)-(c_TMAP3IN)),2))+2147483648,4294967296)-2147483648,((1000)-(c_TMAP3IN))*(((K279)-(c_TMAP3IN))*((1000)-(c_TMAP3OUT))+IF(((1000)-(c_TMAP3OUT))&gt;=0,1,-1)*QUOTIENT(((1000)-(c_TMAP3IN)),2)))&lt;0,-1,0),IF(IF(o_WRAP=1,MOD(((1000)-(c_TMAP3IN))*(((K279)-(c_TMAP3IN))*((1000)-(c_TMAP3OUT))+IF(((1000)-(c_TMAP3OUT))&gt;=0,1,-1)*QUOTIENT(((1000)-(c_TMAP3IN)),2))+2147483648,4294967296)-2147483648,((1000)-(c_TMAP3IN))*(((K279)-(c_TMAP3IN))*((1000)-(c_TMAP3OUT))+IF(((1000)-(c_TMAP3OUT))&gt;=0,1,-1)*QUOTIENT(((1000)-(c_TMAP3IN)),2)))&gt;=0,1,0)))</f>
        <v>700</v>
      </c>
      <c r="Q279" s="7" t="str">
        <f aca="false">IF(K279&gt;=c_TFWD,IF(AND(K279&gt;=c_TMAP3IN,c_TMAP3IN&lt;1000),"Seg4 map3-100%",IF(AND(K279&gt;=c_TMAP2IN,c_TMAP3IN&gt;c_TMAP2IN),"Seg3 map2-map3",IF(AND(K279&gt;=c_TMAP1IN,c_TMAP2IN&gt;c_TMAP1IN),"Seg2 map1-map2","Seg1 TFWD-map1"))),IF(AND(K279=0,c_TCREEP&gt;0),"Creep",IF(AND(K279&lt;=c_TRNGMIN,K279&gt;=c_TRNGMAX,c_TRNGMIN-c_TRNGMAX&lt;&gt;0),"Regen ramp","Coast (0)")))</f>
        <v>Seg4 map3-100%</v>
      </c>
      <c r="R279" s="7" t="n">
        <f aca="false">IF(K279&gt;=c_TFWD,IF(AND(K279&gt;=c_TMAP3IN,c_TMAP3IN&lt;1000),P279,IF(AND(K279&gt;=c_TMAP2IN,c_TMAP3IN&gt;c_TMAP2IN),O279,IF(AND(K279&gt;=c_TMAP1IN,c_TMAP2IN&gt;c_TMAP1IN),N279,M279))),L279)</f>
        <v>700</v>
      </c>
      <c r="S279" s="7" t="str">
        <f aca="false">IF(R279&lt;-1090,"TOO LOW",IF(R279&gt;1090,"TOO HIGH",""))</f>
        <v/>
      </c>
      <c r="T279" s="15" t="n">
        <f aca="false">IF(H279&lt;&gt;"OK",0,IF(S279&lt;&gt;"",0,IF(R279&gt;979,1000,R279)))</f>
        <v>700</v>
      </c>
      <c r="U279" s="7" t="n">
        <f aca="false">T279/10</f>
        <v>70</v>
      </c>
    </row>
    <row r="280" customFormat="false" ht="15" hidden="false" customHeight="false" outlineLevel="0" collapsed="false">
      <c r="A280" s="7" t="n">
        <v>275</v>
      </c>
      <c r="B280" s="7" t="n">
        <f aca="false">ROUND(o_SWSTART+A280*(o_SWEND-o_SWSTART)/400,0)</f>
        <v>2815</v>
      </c>
      <c r="C280" s="7" t="n">
        <f aca="false">QUOTIENT((B280-c_OFF1)*c_GAIN1,1024)</f>
        <v>2815</v>
      </c>
      <c r="D280" s="7" t="n">
        <f aca="false">IF(((c_T1MX)-(c_T1MN))=0,(0)+QUOTIENT(((1000)-(0)),2),QUOTIENT((((C280)-(c_T1MN))*((1000)-(0))+IF(((1000)-(0))&gt;=0,1,-1)*QUOTIENT(((c_T1MX)-(c_T1MN)),2)),((c_T1MX)-(c_T1MN)))+(0)+IF(((1000)-(0))&gt;=0,IF(IF(o_WRAP=1,MOD(((c_T1MX)-(c_T1MN))*(((C280)-(c_T1MN))*((1000)-(0))+IF(((1000)-(0))&gt;=0,1,-1)*QUOTIENT(((c_T1MX)-(c_T1MN)),2))+2147483648,4294967296)-2147483648,((c_T1MX)-(c_T1MN))*(((C280)-(c_T1MN))*((1000)-(0))+IF(((1000)-(0))&gt;=0,1,-1)*QUOTIENT(((c_T1MX)-(c_T1MN)),2)))&lt;0,-1,0),IF(IF(o_WRAP=1,MOD(((c_T1MX)-(c_T1MN))*(((C280)-(c_T1MN))*((1000)-(0))+IF(((1000)-(0))&gt;=0,1,-1)*QUOTIENT(((c_T1MX)-(c_T1MN)),2))+2147483648,4294967296)-2147483648,((c_T1MX)-(c_T1MN))*(((C280)-(c_T1MN))*((1000)-(0))+IF(((1000)-(0))&gt;=0,1,-1)*QUOTIENT(((c_T1MX)-(c_T1MN)),2)))&gt;=0,1,0)))</f>
        <v>760</v>
      </c>
      <c r="E280" s="7" t="n">
        <f aca="false">IF(AND(c_TPOT=1,c_TTYPE=2),1000-D280,D280)</f>
        <v>760</v>
      </c>
      <c r="F280" s="7" t="str">
        <f aca="false">IF(c_TPOT&gt;1,ROUND(IF(c_TTYPE=2,c_T2MX-IF(c_T1MX=c_T1MN,0,(C280-c_T1MN)/(c_T1MX-c_T1MN))*(c_T2MX-c_T2MN),c_T2MN+IF(c_T1MX=c_T1MN,0,(C280-c_T1MN)/(c_T1MX-c_T1MN))*(c_T2MX-c_T2MN))+o_MISMATCH,0),"")</f>
        <v/>
      </c>
      <c r="G280" s="7" t="str">
        <f aca="false">IF(c_TPOT&gt;1,IF(((c_T2MX)-(c_T2MN))=0,(0)+QUOTIENT(((1000)-(0)),2),QUOTIENT((((F280)-(c_T2MN))*((1000)-(0))+IF(((1000)-(0))&gt;=0,1,-1)*QUOTIENT(((c_T2MX)-(c_T2MN)),2)),((c_T2MX)-(c_T2MN)))+(0)+IF(((1000)-(0))&gt;=0,IF(IF(o_WRAP=1,MOD(((c_T2MX)-(c_T2MN))*(((F280)-(c_T2MN))*((1000)-(0))+IF(((1000)-(0))&gt;=0,1,-1)*QUOTIENT(((c_T2MX)-(c_T2MN)),2))+2147483648,4294967296)-2147483648,((c_T2MX)-(c_T2MN))*(((F280)-(c_T2MN))*((1000)-(0))+IF(((1000)-(0))&gt;=0,1,-1)*QUOTIENT(((c_T2MX)-(c_T2MN)),2)))&lt;0,-1,0),IF(IF(o_WRAP=1,MOD(((c_T2MX)-(c_T2MN))*(((F280)-(c_T2MN))*((1000)-(0))+IF(((1000)-(0))&gt;=0,1,-1)*QUOTIENT(((c_T2MX)-(c_T2MN)),2))+2147483648,4294967296)-2147483648,((c_T2MX)-(c_T2MN))*(((F280)-(c_T2MN))*((1000)-(0))+IF(((1000)-(0))&gt;=0,1,-1)*QUOTIENT(((c_T2MX)-(c_T2MN)),2)))&gt;=0,1,0))),"")</f>
        <v/>
      </c>
      <c r="H280" s="7" t="str">
        <f aca="false">IF(E280&gt;1000+k_TOL,"T1 HIGH",IF(E280&lt;0-k_TOL,"T1 LOW",IF(c_TPOT&gt;1,IF(G280&gt;1000+k_TOL,"T2 HIGH",IF(G280&lt;0-k_TOL,"T2 LOW",IF(c_TTYPE=2,IF(ABS(1000-MAX(0,MIN(1000,E280))-MAX(0,MIN(1000,G280)))&gt;k_MAXERR,"MISMATCH","OK"),IF(OR(MAX(0,MIN(1000,E280))-k_MAXERR&gt;MAX(0,MIN(1000,G280)),MAX(0,MIN(1000,G280))-k_MAXERR&gt;MAX(0,MIN(1000,E280))),"MISMATCH","OK")))),"OK")))</f>
        <v>OK</v>
      </c>
      <c r="I280" s="7" t="n">
        <f aca="false">MAX(0,MIN(1000,D280))</f>
        <v>760</v>
      </c>
      <c r="J280" s="7" t="str">
        <f aca="false">IF(c_TPOT&gt;1,IF(c_TTYPE=2,1000-MAX(0,MIN(1000,G280)),MAX(0,MIN(1000,G280))),"")</f>
        <v/>
      </c>
      <c r="K280" s="7" t="n">
        <f aca="false">IF(c_TPOT&gt;1,QUOTIENT(I280+J280,2),I280)</f>
        <v>760</v>
      </c>
      <c r="L280" s="7" t="n">
        <f aca="false">IF(AND(K280=0,c_TCREEP&gt;0),10*c_TCREEP,IF(AND(K280&lt;=c_TRNGMIN,K280&gt;=c_TRNGMAX,c_TRNGMIN-c_TRNGMAX&lt;&gt;0),-10*c_TMINRN+QUOTIENT((c_TMAXRN-c_TMINRN)*(100-QUOTIENT((K280-c_TRNGMAX)*100,c_TRNGMIN-c_TRNGMAX)),-10),0))</f>
        <v>0</v>
      </c>
      <c r="M280" s="7" t="n">
        <f aca="false">IF(((c_TMAP1IN)-(c_TFWD))=0,(0)+QUOTIENT(((c_TMAP1OUT)-(0)),2),QUOTIENT((((K280)-(c_TFWD))*((c_TMAP1OUT)-(0))+IF(((c_TMAP1OUT)-(0))&gt;=0,1,-1)*QUOTIENT(((c_TMAP1IN)-(c_TFWD)),2)),((c_TMAP1IN)-(c_TFWD)))+(0)+IF(((c_TMAP1OUT)-(0))&gt;=0,IF(IF(o_WRAP=1,MOD(((c_TMAP1IN)-(c_TFWD))*(((K280)-(c_TFWD))*((c_TMAP1OUT)-(0))+IF(((c_TMAP1OUT)-(0))&gt;=0,1,-1)*QUOTIENT(((c_TMAP1IN)-(c_TFWD)),2))+2147483648,4294967296)-2147483648,((c_TMAP1IN)-(c_TFWD))*(((K280)-(c_TFWD))*((c_TMAP1OUT)-(0))+IF(((c_TMAP1OUT)-(0))&gt;=0,1,-1)*QUOTIENT(((c_TMAP1IN)-(c_TFWD)),2)))&lt;0,-1,0),IF(IF(o_WRAP=1,MOD(((c_TMAP1IN)-(c_TFWD))*(((K280)-(c_TFWD))*((c_TMAP1OUT)-(0))+IF(((c_TMAP1OUT)-(0))&gt;=0,1,-1)*QUOTIENT(((c_TMAP1IN)-(c_TFWD)),2))+2147483648,4294967296)-2147483648,((c_TMAP1IN)-(c_TFWD))*(((K280)-(c_TFWD))*((c_TMAP1OUT)-(0))+IF(((c_TMAP1OUT)-(0))&gt;=0,1,-1)*QUOTIENT(((c_TMAP1IN)-(c_TFWD)),2)))&gt;=0,1,0)))</f>
        <v>583</v>
      </c>
      <c r="N280" s="7" t="n">
        <f aca="false">IF(((c_TMAP2IN)-(c_TMAP1IN))=0,(c_TMAP1OUT)+QUOTIENT(((c_TMAP2OUT)-(c_TMAP1OUT)),2),QUOTIENT((((K280)-(c_TMAP1IN))*((c_TMAP2OUT)-(c_TMAP1OUT))+IF(((c_TMAP2OUT)-(c_TMAP1OUT))&gt;=0,1,-1)*QUOTIENT(((c_TMAP2IN)-(c_TMAP1IN)),2)),((c_TMAP2IN)-(c_TMAP1IN)))+(c_TMAP1OUT)+IF(((c_TMAP2OUT)-(c_TMAP1OUT))&gt;=0,IF(IF(o_WRAP=1,MOD(((c_TMAP2IN)-(c_TMAP1IN))*(((K280)-(c_TMAP1IN))*((c_TMAP2OUT)-(c_TMAP1OUT))+IF(((c_TMAP2OUT)-(c_TMAP1OUT))&gt;=0,1,-1)*QUOTIENT(((c_TMAP2IN)-(c_TMAP1IN)),2))+2147483648,4294967296)-2147483648,((c_TMAP2IN)-(c_TMAP1IN))*(((K280)-(c_TMAP1IN))*((c_TMAP2OUT)-(c_TMAP1OUT))+IF(((c_TMAP2OUT)-(c_TMAP1OUT))&gt;=0,1,-1)*QUOTIENT(((c_TMAP2IN)-(c_TMAP1IN)),2)))&lt;0,-1,0),IF(IF(o_WRAP=1,MOD(((c_TMAP2IN)-(c_TMAP1IN))*(((K280)-(c_TMAP1IN))*((c_TMAP2OUT)-(c_TMAP1OUT))+IF(((c_TMAP2OUT)-(c_TMAP1OUT))&gt;=0,1,-1)*QUOTIENT(((c_TMAP2IN)-(c_TMAP1IN)),2))+2147483648,4294967296)-2147483648,((c_TMAP2IN)-(c_TMAP1IN))*(((K280)-(c_TMAP1IN))*((c_TMAP2OUT)-(c_TMAP1OUT))+IF(((c_TMAP2OUT)-(c_TMAP1OUT))&gt;=0,1,-1)*QUOTIENT(((c_TMAP2IN)-(c_TMAP1IN)),2)))&gt;=0,1,0)))</f>
        <v>334</v>
      </c>
      <c r="O280" s="7" t="n">
        <f aca="false">IF(((c_TMAP3IN)-(c_TMAP2IN))=0,(c_TMAP2OUT)+QUOTIENT(((c_TMAP3OUT)-(c_TMAP2OUT)),2),QUOTIENT((((K280)-(c_TMAP2IN))*((c_TMAP3OUT)-(c_TMAP2OUT))+IF(((c_TMAP3OUT)-(c_TMAP2OUT))&gt;=0,1,-1)*QUOTIENT(((c_TMAP3IN)-(c_TMAP2IN)),2)),((c_TMAP3IN)-(c_TMAP2IN)))+(c_TMAP2OUT)+IF(((c_TMAP3OUT)-(c_TMAP2OUT))&gt;=0,IF(IF(o_WRAP=1,MOD(((c_TMAP3IN)-(c_TMAP2IN))*(((K280)-(c_TMAP2IN))*((c_TMAP3OUT)-(c_TMAP2OUT))+IF(((c_TMAP3OUT)-(c_TMAP2OUT))&gt;=0,1,-1)*QUOTIENT(((c_TMAP3IN)-(c_TMAP2IN)),2))+2147483648,4294967296)-2147483648,((c_TMAP3IN)-(c_TMAP2IN))*(((K280)-(c_TMAP2IN))*((c_TMAP3OUT)-(c_TMAP2OUT))+IF(((c_TMAP3OUT)-(c_TMAP2OUT))&gt;=0,1,-1)*QUOTIENT(((c_TMAP3IN)-(c_TMAP2IN)),2)))&lt;0,-1,0),IF(IF(o_WRAP=1,MOD(((c_TMAP3IN)-(c_TMAP2IN))*(((K280)-(c_TMAP2IN))*((c_TMAP3OUT)-(c_TMAP2OUT))+IF(((c_TMAP3OUT)-(c_TMAP2OUT))&gt;=0,1,-1)*QUOTIENT(((c_TMAP3IN)-(c_TMAP2IN)),2))+2147483648,4294967296)-2147483648,((c_TMAP3IN)-(c_TMAP2IN))*(((K280)-(c_TMAP2IN))*((c_TMAP3OUT)-(c_TMAP2OUT))+IF(((c_TMAP3OUT)-(c_TMAP2OUT))&gt;=0,1,-1)*QUOTIENT(((c_TMAP3IN)-(c_TMAP2IN)),2)))&gt;=0,1,0)))</f>
        <v>487</v>
      </c>
      <c r="P280" s="7" t="n">
        <f aca="false">IF(((1000)-(c_TMAP3IN))=0,(c_TMAP3OUT)+QUOTIENT(((1000)-(c_TMAP3OUT)),2),QUOTIENT((((K280)-(c_TMAP3IN))*((1000)-(c_TMAP3OUT))+IF(((1000)-(c_TMAP3OUT))&gt;=0,1,-1)*QUOTIENT(((1000)-(c_TMAP3IN)),2)),((1000)-(c_TMAP3IN)))+(c_TMAP3OUT)+IF(((1000)-(c_TMAP3OUT))&gt;=0,IF(IF(o_WRAP=1,MOD(((1000)-(c_TMAP3IN))*(((K280)-(c_TMAP3IN))*((1000)-(c_TMAP3OUT))+IF(((1000)-(c_TMAP3OUT))&gt;=0,1,-1)*QUOTIENT(((1000)-(c_TMAP3IN)),2))+2147483648,4294967296)-2147483648,((1000)-(c_TMAP3IN))*(((K280)-(c_TMAP3IN))*((1000)-(c_TMAP3OUT))+IF(((1000)-(c_TMAP3OUT))&gt;=0,1,-1)*QUOTIENT(((1000)-(c_TMAP3IN)),2)))&lt;0,-1,0),IF(IF(o_WRAP=1,MOD(((1000)-(c_TMAP3IN))*(((K280)-(c_TMAP3IN))*((1000)-(c_TMAP3OUT))+IF(((1000)-(c_TMAP3OUT))&gt;=0,1,-1)*QUOTIENT(((1000)-(c_TMAP3IN)),2))+2147483648,4294967296)-2147483648,((1000)-(c_TMAP3IN))*(((K280)-(c_TMAP3IN))*((1000)-(c_TMAP3OUT))+IF(((1000)-(c_TMAP3OUT))&gt;=0,1,-1)*QUOTIENT(((1000)-(c_TMAP3IN)),2)))&gt;=0,1,0)))</f>
        <v>705</v>
      </c>
      <c r="Q280" s="7" t="str">
        <f aca="false">IF(K280&gt;=c_TFWD,IF(AND(K280&gt;=c_TMAP3IN,c_TMAP3IN&lt;1000),"Seg4 map3-100%",IF(AND(K280&gt;=c_TMAP2IN,c_TMAP3IN&gt;c_TMAP2IN),"Seg3 map2-map3",IF(AND(K280&gt;=c_TMAP1IN,c_TMAP2IN&gt;c_TMAP1IN),"Seg2 map1-map2","Seg1 TFWD-map1"))),IF(AND(K280=0,c_TCREEP&gt;0),"Creep",IF(AND(K280&lt;=c_TRNGMIN,K280&gt;=c_TRNGMAX,c_TRNGMIN-c_TRNGMAX&lt;&gt;0),"Regen ramp","Coast (0)")))</f>
        <v>Seg4 map3-100%</v>
      </c>
      <c r="R280" s="7" t="n">
        <f aca="false">IF(K280&gt;=c_TFWD,IF(AND(K280&gt;=c_TMAP3IN,c_TMAP3IN&lt;1000),P280,IF(AND(K280&gt;=c_TMAP2IN,c_TMAP3IN&gt;c_TMAP2IN),O280,IF(AND(K280&gt;=c_TMAP1IN,c_TMAP2IN&gt;c_TMAP1IN),N280,M280))),L280)</f>
        <v>705</v>
      </c>
      <c r="S280" s="7" t="str">
        <f aca="false">IF(R280&lt;-1090,"TOO LOW",IF(R280&gt;1090,"TOO HIGH",""))</f>
        <v/>
      </c>
      <c r="T280" s="15" t="n">
        <f aca="false">IF(H280&lt;&gt;"OK",0,IF(S280&lt;&gt;"",0,IF(R280&gt;979,1000,R280)))</f>
        <v>705</v>
      </c>
      <c r="U280" s="7" t="n">
        <f aca="false">T280/10</f>
        <v>70.5</v>
      </c>
    </row>
    <row r="281" customFormat="false" ht="15" hidden="false" customHeight="false" outlineLevel="0" collapsed="false">
      <c r="A281" s="7" t="n">
        <v>276</v>
      </c>
      <c r="B281" s="7" t="n">
        <f aca="false">ROUND(o_SWSTART+A281*(o_SWEND-o_SWSTART)/400,0)</f>
        <v>2826</v>
      </c>
      <c r="C281" s="7" t="n">
        <f aca="false">QUOTIENT((B281-c_OFF1)*c_GAIN1,1024)</f>
        <v>2826</v>
      </c>
      <c r="D281" s="7" t="n">
        <f aca="false">IF(((c_T1MX)-(c_T1MN))=0,(0)+QUOTIENT(((1000)-(0)),2),QUOTIENT((((C281)-(c_T1MN))*((1000)-(0))+IF(((1000)-(0))&gt;=0,1,-1)*QUOTIENT(((c_T1MX)-(c_T1MN)),2)),((c_T1MX)-(c_T1MN)))+(0)+IF(((1000)-(0))&gt;=0,IF(IF(o_WRAP=1,MOD(((c_T1MX)-(c_T1MN))*(((C281)-(c_T1MN))*((1000)-(0))+IF(((1000)-(0))&gt;=0,1,-1)*QUOTIENT(((c_T1MX)-(c_T1MN)),2))+2147483648,4294967296)-2147483648,((c_T1MX)-(c_T1MN))*(((C281)-(c_T1MN))*((1000)-(0))+IF(((1000)-(0))&gt;=0,1,-1)*QUOTIENT(((c_T1MX)-(c_T1MN)),2)))&lt;0,-1,0),IF(IF(o_WRAP=1,MOD(((c_T1MX)-(c_T1MN))*(((C281)-(c_T1MN))*((1000)-(0))+IF(((1000)-(0))&gt;=0,1,-1)*QUOTIENT(((c_T1MX)-(c_T1MN)),2))+2147483648,4294967296)-2147483648,((c_T1MX)-(c_T1MN))*(((C281)-(c_T1MN))*((1000)-(0))+IF(((1000)-(0))&gt;=0,1,-1)*QUOTIENT(((c_T1MX)-(c_T1MN)),2)))&gt;=0,1,0)))</f>
        <v>764</v>
      </c>
      <c r="E281" s="7" t="n">
        <f aca="false">IF(AND(c_TPOT=1,c_TTYPE=2),1000-D281,D281)</f>
        <v>764</v>
      </c>
      <c r="F281" s="7" t="str">
        <f aca="false">IF(c_TPOT&gt;1,ROUND(IF(c_TTYPE=2,c_T2MX-IF(c_T1MX=c_T1MN,0,(C281-c_T1MN)/(c_T1MX-c_T1MN))*(c_T2MX-c_T2MN),c_T2MN+IF(c_T1MX=c_T1MN,0,(C281-c_T1MN)/(c_T1MX-c_T1MN))*(c_T2MX-c_T2MN))+o_MISMATCH,0),"")</f>
        <v/>
      </c>
      <c r="G281" s="7" t="str">
        <f aca="false">IF(c_TPOT&gt;1,IF(((c_T2MX)-(c_T2MN))=0,(0)+QUOTIENT(((1000)-(0)),2),QUOTIENT((((F281)-(c_T2MN))*((1000)-(0))+IF(((1000)-(0))&gt;=0,1,-1)*QUOTIENT(((c_T2MX)-(c_T2MN)),2)),((c_T2MX)-(c_T2MN)))+(0)+IF(((1000)-(0))&gt;=0,IF(IF(o_WRAP=1,MOD(((c_T2MX)-(c_T2MN))*(((F281)-(c_T2MN))*((1000)-(0))+IF(((1000)-(0))&gt;=0,1,-1)*QUOTIENT(((c_T2MX)-(c_T2MN)),2))+2147483648,4294967296)-2147483648,((c_T2MX)-(c_T2MN))*(((F281)-(c_T2MN))*((1000)-(0))+IF(((1000)-(0))&gt;=0,1,-1)*QUOTIENT(((c_T2MX)-(c_T2MN)),2)))&lt;0,-1,0),IF(IF(o_WRAP=1,MOD(((c_T2MX)-(c_T2MN))*(((F281)-(c_T2MN))*((1000)-(0))+IF(((1000)-(0))&gt;=0,1,-1)*QUOTIENT(((c_T2MX)-(c_T2MN)),2))+2147483648,4294967296)-2147483648,((c_T2MX)-(c_T2MN))*(((F281)-(c_T2MN))*((1000)-(0))+IF(((1000)-(0))&gt;=0,1,-1)*QUOTIENT(((c_T2MX)-(c_T2MN)),2)))&gt;=0,1,0))),"")</f>
        <v/>
      </c>
      <c r="H281" s="7" t="str">
        <f aca="false">IF(E281&gt;1000+k_TOL,"T1 HIGH",IF(E281&lt;0-k_TOL,"T1 LOW",IF(c_TPOT&gt;1,IF(G281&gt;1000+k_TOL,"T2 HIGH",IF(G281&lt;0-k_TOL,"T2 LOW",IF(c_TTYPE=2,IF(ABS(1000-MAX(0,MIN(1000,E281))-MAX(0,MIN(1000,G281)))&gt;k_MAXERR,"MISMATCH","OK"),IF(OR(MAX(0,MIN(1000,E281))-k_MAXERR&gt;MAX(0,MIN(1000,G281)),MAX(0,MIN(1000,G281))-k_MAXERR&gt;MAX(0,MIN(1000,E281))),"MISMATCH","OK")))),"OK")))</f>
        <v>OK</v>
      </c>
      <c r="I281" s="7" t="n">
        <f aca="false">MAX(0,MIN(1000,D281))</f>
        <v>764</v>
      </c>
      <c r="J281" s="7" t="str">
        <f aca="false">IF(c_TPOT&gt;1,IF(c_TTYPE=2,1000-MAX(0,MIN(1000,G281)),MAX(0,MIN(1000,G281))),"")</f>
        <v/>
      </c>
      <c r="K281" s="7" t="n">
        <f aca="false">IF(c_TPOT&gt;1,QUOTIENT(I281+J281,2),I281)</f>
        <v>764</v>
      </c>
      <c r="L281" s="7" t="n">
        <f aca="false">IF(AND(K281=0,c_TCREEP&gt;0),10*c_TCREEP,IF(AND(K281&lt;=c_TRNGMIN,K281&gt;=c_TRNGMAX,c_TRNGMIN-c_TRNGMAX&lt;&gt;0),-10*c_TMINRN+QUOTIENT((c_TMAXRN-c_TMINRN)*(100-QUOTIENT((K281-c_TRNGMAX)*100,c_TRNGMIN-c_TRNGMAX)),-10),0))</f>
        <v>0</v>
      </c>
      <c r="M281" s="7" t="n">
        <f aca="false">IF(((c_TMAP1IN)-(c_TFWD))=0,(0)+QUOTIENT(((c_TMAP1OUT)-(0)),2),QUOTIENT((((K281)-(c_TFWD))*((c_TMAP1OUT)-(0))+IF(((c_TMAP1OUT)-(0))&gt;=0,1,-1)*QUOTIENT(((c_TMAP1IN)-(c_TFWD)),2)),((c_TMAP1IN)-(c_TFWD)))+(0)+IF(((c_TMAP1OUT)-(0))&gt;=0,IF(IF(o_WRAP=1,MOD(((c_TMAP1IN)-(c_TFWD))*(((K281)-(c_TFWD))*((c_TMAP1OUT)-(0))+IF(((c_TMAP1OUT)-(0))&gt;=0,1,-1)*QUOTIENT(((c_TMAP1IN)-(c_TFWD)),2))+2147483648,4294967296)-2147483648,((c_TMAP1IN)-(c_TFWD))*(((K281)-(c_TFWD))*((c_TMAP1OUT)-(0))+IF(((c_TMAP1OUT)-(0))&gt;=0,1,-1)*QUOTIENT(((c_TMAP1IN)-(c_TFWD)),2)))&lt;0,-1,0),IF(IF(o_WRAP=1,MOD(((c_TMAP1IN)-(c_TFWD))*(((K281)-(c_TFWD))*((c_TMAP1OUT)-(0))+IF(((c_TMAP1OUT)-(0))&gt;=0,1,-1)*QUOTIENT(((c_TMAP1IN)-(c_TFWD)),2))+2147483648,4294967296)-2147483648,((c_TMAP1IN)-(c_TFWD))*(((K281)-(c_TFWD))*((c_TMAP1OUT)-(0))+IF(((c_TMAP1OUT)-(0))&gt;=0,1,-1)*QUOTIENT(((c_TMAP1IN)-(c_TFWD)),2)))&gt;=0,1,0)))</f>
        <v>586</v>
      </c>
      <c r="N281" s="7" t="n">
        <f aca="false">IF(((c_TMAP2IN)-(c_TMAP1IN))=0,(c_TMAP1OUT)+QUOTIENT(((c_TMAP2OUT)-(c_TMAP1OUT)),2),QUOTIENT((((K281)-(c_TMAP1IN))*((c_TMAP2OUT)-(c_TMAP1OUT))+IF(((c_TMAP2OUT)-(c_TMAP1OUT))&gt;=0,1,-1)*QUOTIENT(((c_TMAP2IN)-(c_TMAP1IN)),2)),((c_TMAP2IN)-(c_TMAP1IN)))+(c_TMAP1OUT)+IF(((c_TMAP2OUT)-(c_TMAP1OUT))&gt;=0,IF(IF(o_WRAP=1,MOD(((c_TMAP2IN)-(c_TMAP1IN))*(((K281)-(c_TMAP1IN))*((c_TMAP2OUT)-(c_TMAP1OUT))+IF(((c_TMAP2OUT)-(c_TMAP1OUT))&gt;=0,1,-1)*QUOTIENT(((c_TMAP2IN)-(c_TMAP1IN)),2))+2147483648,4294967296)-2147483648,((c_TMAP2IN)-(c_TMAP1IN))*(((K281)-(c_TMAP1IN))*((c_TMAP2OUT)-(c_TMAP1OUT))+IF(((c_TMAP2OUT)-(c_TMAP1OUT))&gt;=0,1,-1)*QUOTIENT(((c_TMAP2IN)-(c_TMAP1IN)),2)))&lt;0,-1,0),IF(IF(o_WRAP=1,MOD(((c_TMAP2IN)-(c_TMAP1IN))*(((K281)-(c_TMAP1IN))*((c_TMAP2OUT)-(c_TMAP1OUT))+IF(((c_TMAP2OUT)-(c_TMAP1OUT))&gt;=0,1,-1)*QUOTIENT(((c_TMAP2IN)-(c_TMAP1IN)),2))+2147483648,4294967296)-2147483648,((c_TMAP2IN)-(c_TMAP1IN))*(((K281)-(c_TMAP1IN))*((c_TMAP2OUT)-(c_TMAP1OUT))+IF(((c_TMAP2OUT)-(c_TMAP1OUT))&gt;=0,1,-1)*QUOTIENT(((c_TMAP2IN)-(c_TMAP1IN)),2)))&gt;=0,1,0)))</f>
        <v>336</v>
      </c>
      <c r="O281" s="7" t="n">
        <f aca="false">IF(((c_TMAP3IN)-(c_TMAP2IN))=0,(c_TMAP2OUT)+QUOTIENT(((c_TMAP3OUT)-(c_TMAP2OUT)),2),QUOTIENT((((K281)-(c_TMAP2IN))*((c_TMAP3OUT)-(c_TMAP2OUT))+IF(((c_TMAP3OUT)-(c_TMAP2OUT))&gt;=0,1,-1)*QUOTIENT(((c_TMAP3IN)-(c_TMAP2IN)),2)),((c_TMAP3IN)-(c_TMAP2IN)))+(c_TMAP2OUT)+IF(((c_TMAP3OUT)-(c_TMAP2OUT))&gt;=0,IF(IF(o_WRAP=1,MOD(((c_TMAP3IN)-(c_TMAP2IN))*(((K281)-(c_TMAP2IN))*((c_TMAP3OUT)-(c_TMAP2OUT))+IF(((c_TMAP3OUT)-(c_TMAP2OUT))&gt;=0,1,-1)*QUOTIENT(((c_TMAP3IN)-(c_TMAP2IN)),2))+2147483648,4294967296)-2147483648,((c_TMAP3IN)-(c_TMAP2IN))*(((K281)-(c_TMAP2IN))*((c_TMAP3OUT)-(c_TMAP2OUT))+IF(((c_TMAP3OUT)-(c_TMAP2OUT))&gt;=0,1,-1)*QUOTIENT(((c_TMAP3IN)-(c_TMAP2IN)),2)))&lt;0,-1,0),IF(IF(o_WRAP=1,MOD(((c_TMAP3IN)-(c_TMAP2IN))*(((K281)-(c_TMAP2IN))*((c_TMAP3OUT)-(c_TMAP2OUT))+IF(((c_TMAP3OUT)-(c_TMAP2OUT))&gt;=0,1,-1)*QUOTIENT(((c_TMAP3IN)-(c_TMAP2IN)),2))+2147483648,4294967296)-2147483648,((c_TMAP3IN)-(c_TMAP2IN))*(((K281)-(c_TMAP2IN))*((c_TMAP3OUT)-(c_TMAP2OUT))+IF(((c_TMAP3OUT)-(c_TMAP2OUT))&gt;=0,1,-1)*QUOTIENT(((c_TMAP3IN)-(c_TMAP2IN)),2)))&gt;=0,1,0)))</f>
        <v>490</v>
      </c>
      <c r="P281" s="7" t="n">
        <f aca="false">IF(((1000)-(c_TMAP3IN))=0,(c_TMAP3OUT)+QUOTIENT(((1000)-(c_TMAP3OUT)),2),QUOTIENT((((K281)-(c_TMAP3IN))*((1000)-(c_TMAP3OUT))+IF(((1000)-(c_TMAP3OUT))&gt;=0,1,-1)*QUOTIENT(((1000)-(c_TMAP3IN)),2)),((1000)-(c_TMAP3IN)))+(c_TMAP3OUT)+IF(((1000)-(c_TMAP3OUT))&gt;=0,IF(IF(o_WRAP=1,MOD(((1000)-(c_TMAP3IN))*(((K281)-(c_TMAP3IN))*((1000)-(c_TMAP3OUT))+IF(((1000)-(c_TMAP3OUT))&gt;=0,1,-1)*QUOTIENT(((1000)-(c_TMAP3IN)),2))+2147483648,4294967296)-2147483648,((1000)-(c_TMAP3IN))*(((K281)-(c_TMAP3IN))*((1000)-(c_TMAP3OUT))+IF(((1000)-(c_TMAP3OUT))&gt;=0,1,-1)*QUOTIENT(((1000)-(c_TMAP3IN)),2)))&lt;0,-1,0),IF(IF(o_WRAP=1,MOD(((1000)-(c_TMAP3IN))*(((K281)-(c_TMAP3IN))*((1000)-(c_TMAP3OUT))+IF(((1000)-(c_TMAP3OUT))&gt;=0,1,-1)*QUOTIENT(((1000)-(c_TMAP3IN)),2))+2147483648,4294967296)-2147483648,((1000)-(c_TMAP3IN))*(((K281)-(c_TMAP3IN))*((1000)-(c_TMAP3OUT))+IF(((1000)-(c_TMAP3OUT))&gt;=0,1,-1)*QUOTIENT(((1000)-(c_TMAP3IN)),2)))&gt;=0,1,0)))</f>
        <v>710</v>
      </c>
      <c r="Q281" s="7" t="str">
        <f aca="false">IF(K281&gt;=c_TFWD,IF(AND(K281&gt;=c_TMAP3IN,c_TMAP3IN&lt;1000),"Seg4 map3-100%",IF(AND(K281&gt;=c_TMAP2IN,c_TMAP3IN&gt;c_TMAP2IN),"Seg3 map2-map3",IF(AND(K281&gt;=c_TMAP1IN,c_TMAP2IN&gt;c_TMAP1IN),"Seg2 map1-map2","Seg1 TFWD-map1"))),IF(AND(K281=0,c_TCREEP&gt;0),"Creep",IF(AND(K281&lt;=c_TRNGMIN,K281&gt;=c_TRNGMAX,c_TRNGMIN-c_TRNGMAX&lt;&gt;0),"Regen ramp","Coast (0)")))</f>
        <v>Seg4 map3-100%</v>
      </c>
      <c r="R281" s="7" t="n">
        <f aca="false">IF(K281&gt;=c_TFWD,IF(AND(K281&gt;=c_TMAP3IN,c_TMAP3IN&lt;1000),P281,IF(AND(K281&gt;=c_TMAP2IN,c_TMAP3IN&gt;c_TMAP2IN),O281,IF(AND(K281&gt;=c_TMAP1IN,c_TMAP2IN&gt;c_TMAP1IN),N281,M281))),L281)</f>
        <v>710</v>
      </c>
      <c r="S281" s="7" t="str">
        <f aca="false">IF(R281&lt;-1090,"TOO LOW",IF(R281&gt;1090,"TOO HIGH",""))</f>
        <v/>
      </c>
      <c r="T281" s="15" t="n">
        <f aca="false">IF(H281&lt;&gt;"OK",0,IF(S281&lt;&gt;"",0,IF(R281&gt;979,1000,R281)))</f>
        <v>710</v>
      </c>
      <c r="U281" s="7" t="n">
        <f aca="false">T281/10</f>
        <v>71</v>
      </c>
    </row>
    <row r="282" customFormat="false" ht="15" hidden="false" customHeight="false" outlineLevel="0" collapsed="false">
      <c r="A282" s="7" t="n">
        <v>277</v>
      </c>
      <c r="B282" s="7" t="n">
        <f aca="false">ROUND(o_SWSTART+A282*(o_SWEND-o_SWSTART)/400,0)</f>
        <v>2836</v>
      </c>
      <c r="C282" s="7" t="n">
        <f aca="false">QUOTIENT((B282-c_OFF1)*c_GAIN1,1024)</f>
        <v>2836</v>
      </c>
      <c r="D282" s="7" t="n">
        <f aca="false">IF(((c_T1MX)-(c_T1MN))=0,(0)+QUOTIENT(((1000)-(0)),2),QUOTIENT((((C282)-(c_T1MN))*((1000)-(0))+IF(((1000)-(0))&gt;=0,1,-1)*QUOTIENT(((c_T1MX)-(c_T1MN)),2)),((c_T1MX)-(c_T1MN)))+(0)+IF(((1000)-(0))&gt;=0,IF(IF(o_WRAP=1,MOD(((c_T1MX)-(c_T1MN))*(((C282)-(c_T1MN))*((1000)-(0))+IF(((1000)-(0))&gt;=0,1,-1)*QUOTIENT(((c_T1MX)-(c_T1MN)),2))+2147483648,4294967296)-2147483648,((c_T1MX)-(c_T1MN))*(((C282)-(c_T1MN))*((1000)-(0))+IF(((1000)-(0))&gt;=0,1,-1)*QUOTIENT(((c_T1MX)-(c_T1MN)),2)))&lt;0,-1,0),IF(IF(o_WRAP=1,MOD(((c_T1MX)-(c_T1MN))*(((C282)-(c_T1MN))*((1000)-(0))+IF(((1000)-(0))&gt;=0,1,-1)*QUOTIENT(((c_T1MX)-(c_T1MN)),2))+2147483648,4294967296)-2147483648,((c_T1MX)-(c_T1MN))*(((C282)-(c_T1MN))*((1000)-(0))+IF(((1000)-(0))&gt;=0,1,-1)*QUOTIENT(((c_T1MX)-(c_T1MN)),2)))&gt;=0,1,0)))</f>
        <v>768</v>
      </c>
      <c r="E282" s="7" t="n">
        <f aca="false">IF(AND(c_TPOT=1,c_TTYPE=2),1000-D282,D282)</f>
        <v>768</v>
      </c>
      <c r="F282" s="7" t="str">
        <f aca="false">IF(c_TPOT&gt;1,ROUND(IF(c_TTYPE=2,c_T2MX-IF(c_T1MX=c_T1MN,0,(C282-c_T1MN)/(c_T1MX-c_T1MN))*(c_T2MX-c_T2MN),c_T2MN+IF(c_T1MX=c_T1MN,0,(C282-c_T1MN)/(c_T1MX-c_T1MN))*(c_T2MX-c_T2MN))+o_MISMATCH,0),"")</f>
        <v/>
      </c>
      <c r="G282" s="7" t="str">
        <f aca="false">IF(c_TPOT&gt;1,IF(((c_T2MX)-(c_T2MN))=0,(0)+QUOTIENT(((1000)-(0)),2),QUOTIENT((((F282)-(c_T2MN))*((1000)-(0))+IF(((1000)-(0))&gt;=0,1,-1)*QUOTIENT(((c_T2MX)-(c_T2MN)),2)),((c_T2MX)-(c_T2MN)))+(0)+IF(((1000)-(0))&gt;=0,IF(IF(o_WRAP=1,MOD(((c_T2MX)-(c_T2MN))*(((F282)-(c_T2MN))*((1000)-(0))+IF(((1000)-(0))&gt;=0,1,-1)*QUOTIENT(((c_T2MX)-(c_T2MN)),2))+2147483648,4294967296)-2147483648,((c_T2MX)-(c_T2MN))*(((F282)-(c_T2MN))*((1000)-(0))+IF(((1000)-(0))&gt;=0,1,-1)*QUOTIENT(((c_T2MX)-(c_T2MN)),2)))&lt;0,-1,0),IF(IF(o_WRAP=1,MOD(((c_T2MX)-(c_T2MN))*(((F282)-(c_T2MN))*((1000)-(0))+IF(((1000)-(0))&gt;=0,1,-1)*QUOTIENT(((c_T2MX)-(c_T2MN)),2))+2147483648,4294967296)-2147483648,((c_T2MX)-(c_T2MN))*(((F282)-(c_T2MN))*((1000)-(0))+IF(((1000)-(0))&gt;=0,1,-1)*QUOTIENT(((c_T2MX)-(c_T2MN)),2)))&gt;=0,1,0))),"")</f>
        <v/>
      </c>
      <c r="H282" s="7" t="str">
        <f aca="false">IF(E282&gt;1000+k_TOL,"T1 HIGH",IF(E282&lt;0-k_TOL,"T1 LOW",IF(c_TPOT&gt;1,IF(G282&gt;1000+k_TOL,"T2 HIGH",IF(G282&lt;0-k_TOL,"T2 LOW",IF(c_TTYPE=2,IF(ABS(1000-MAX(0,MIN(1000,E282))-MAX(0,MIN(1000,G282)))&gt;k_MAXERR,"MISMATCH","OK"),IF(OR(MAX(0,MIN(1000,E282))-k_MAXERR&gt;MAX(0,MIN(1000,G282)),MAX(0,MIN(1000,G282))-k_MAXERR&gt;MAX(0,MIN(1000,E282))),"MISMATCH","OK")))),"OK")))</f>
        <v>OK</v>
      </c>
      <c r="I282" s="7" t="n">
        <f aca="false">MAX(0,MIN(1000,D282))</f>
        <v>768</v>
      </c>
      <c r="J282" s="7" t="str">
        <f aca="false">IF(c_TPOT&gt;1,IF(c_TTYPE=2,1000-MAX(0,MIN(1000,G282)),MAX(0,MIN(1000,G282))),"")</f>
        <v/>
      </c>
      <c r="K282" s="7" t="n">
        <f aca="false">IF(c_TPOT&gt;1,QUOTIENT(I282+J282,2),I282)</f>
        <v>768</v>
      </c>
      <c r="L282" s="7" t="n">
        <f aca="false">IF(AND(K282=0,c_TCREEP&gt;0),10*c_TCREEP,IF(AND(K282&lt;=c_TRNGMIN,K282&gt;=c_TRNGMAX,c_TRNGMIN-c_TRNGMAX&lt;&gt;0),-10*c_TMINRN+QUOTIENT((c_TMAXRN-c_TMINRN)*(100-QUOTIENT((K282-c_TRNGMAX)*100,c_TRNGMIN-c_TRNGMAX)),-10),0))</f>
        <v>0</v>
      </c>
      <c r="M282" s="7" t="n">
        <f aca="false">IF(((c_TMAP1IN)-(c_TFWD))=0,(0)+QUOTIENT(((c_TMAP1OUT)-(0)),2),QUOTIENT((((K282)-(c_TFWD))*((c_TMAP1OUT)-(0))+IF(((c_TMAP1OUT)-(0))&gt;=0,1,-1)*QUOTIENT(((c_TMAP1IN)-(c_TFWD)),2)),((c_TMAP1IN)-(c_TFWD)))+(0)+IF(((c_TMAP1OUT)-(0))&gt;=0,IF(IF(o_WRAP=1,MOD(((c_TMAP1IN)-(c_TFWD))*(((K282)-(c_TFWD))*((c_TMAP1OUT)-(0))+IF(((c_TMAP1OUT)-(0))&gt;=0,1,-1)*QUOTIENT(((c_TMAP1IN)-(c_TFWD)),2))+2147483648,4294967296)-2147483648,((c_TMAP1IN)-(c_TFWD))*(((K282)-(c_TFWD))*((c_TMAP1OUT)-(0))+IF(((c_TMAP1OUT)-(0))&gt;=0,1,-1)*QUOTIENT(((c_TMAP1IN)-(c_TFWD)),2)))&lt;0,-1,0),IF(IF(o_WRAP=1,MOD(((c_TMAP1IN)-(c_TFWD))*(((K282)-(c_TFWD))*((c_TMAP1OUT)-(0))+IF(((c_TMAP1OUT)-(0))&gt;=0,1,-1)*QUOTIENT(((c_TMAP1IN)-(c_TFWD)),2))+2147483648,4294967296)-2147483648,((c_TMAP1IN)-(c_TFWD))*(((K282)-(c_TFWD))*((c_TMAP1OUT)-(0))+IF(((c_TMAP1OUT)-(0))&gt;=0,1,-1)*QUOTIENT(((c_TMAP1IN)-(c_TFWD)),2)))&gt;=0,1,0)))</f>
        <v>590</v>
      </c>
      <c r="N282" s="7" t="n">
        <f aca="false">IF(((c_TMAP2IN)-(c_TMAP1IN))=0,(c_TMAP1OUT)+QUOTIENT(((c_TMAP2OUT)-(c_TMAP1OUT)),2),QUOTIENT((((K282)-(c_TMAP1IN))*((c_TMAP2OUT)-(c_TMAP1OUT))+IF(((c_TMAP2OUT)-(c_TMAP1OUT))&gt;=0,1,-1)*QUOTIENT(((c_TMAP2IN)-(c_TMAP1IN)),2)),((c_TMAP2IN)-(c_TMAP1IN)))+(c_TMAP1OUT)+IF(((c_TMAP2OUT)-(c_TMAP1OUT))&gt;=0,IF(IF(o_WRAP=1,MOD(((c_TMAP2IN)-(c_TMAP1IN))*(((K282)-(c_TMAP1IN))*((c_TMAP2OUT)-(c_TMAP1OUT))+IF(((c_TMAP2OUT)-(c_TMAP1OUT))&gt;=0,1,-1)*QUOTIENT(((c_TMAP2IN)-(c_TMAP1IN)),2))+2147483648,4294967296)-2147483648,((c_TMAP2IN)-(c_TMAP1IN))*(((K282)-(c_TMAP1IN))*((c_TMAP2OUT)-(c_TMAP1OUT))+IF(((c_TMAP2OUT)-(c_TMAP1OUT))&gt;=0,1,-1)*QUOTIENT(((c_TMAP2IN)-(c_TMAP1IN)),2)))&lt;0,-1,0),IF(IF(o_WRAP=1,MOD(((c_TMAP2IN)-(c_TMAP1IN))*(((K282)-(c_TMAP1IN))*((c_TMAP2OUT)-(c_TMAP1OUT))+IF(((c_TMAP2OUT)-(c_TMAP1OUT))&gt;=0,1,-1)*QUOTIENT(((c_TMAP2IN)-(c_TMAP1IN)),2))+2147483648,4294967296)-2147483648,((c_TMAP2IN)-(c_TMAP1IN))*(((K282)-(c_TMAP1IN))*((c_TMAP2OUT)-(c_TMAP1OUT))+IF(((c_TMAP2OUT)-(c_TMAP1OUT))&gt;=0,1,-1)*QUOTIENT(((c_TMAP2IN)-(c_TMAP1IN)),2)))&gt;=0,1,0)))</f>
        <v>337</v>
      </c>
      <c r="O282" s="7" t="n">
        <f aca="false">IF(((c_TMAP3IN)-(c_TMAP2IN))=0,(c_TMAP2OUT)+QUOTIENT(((c_TMAP3OUT)-(c_TMAP2OUT)),2),QUOTIENT((((K282)-(c_TMAP2IN))*((c_TMAP3OUT)-(c_TMAP2OUT))+IF(((c_TMAP3OUT)-(c_TMAP2OUT))&gt;=0,1,-1)*QUOTIENT(((c_TMAP3IN)-(c_TMAP2IN)),2)),((c_TMAP3IN)-(c_TMAP2IN)))+(c_TMAP2OUT)+IF(((c_TMAP3OUT)-(c_TMAP2OUT))&gt;=0,IF(IF(o_WRAP=1,MOD(((c_TMAP3IN)-(c_TMAP2IN))*(((K282)-(c_TMAP2IN))*((c_TMAP3OUT)-(c_TMAP2OUT))+IF(((c_TMAP3OUT)-(c_TMAP2OUT))&gt;=0,1,-1)*QUOTIENT(((c_TMAP3IN)-(c_TMAP2IN)),2))+2147483648,4294967296)-2147483648,((c_TMAP3IN)-(c_TMAP2IN))*(((K282)-(c_TMAP2IN))*((c_TMAP3OUT)-(c_TMAP2OUT))+IF(((c_TMAP3OUT)-(c_TMAP2OUT))&gt;=0,1,-1)*QUOTIENT(((c_TMAP3IN)-(c_TMAP2IN)),2)))&lt;0,-1,0),IF(IF(o_WRAP=1,MOD(((c_TMAP3IN)-(c_TMAP2IN))*(((K282)-(c_TMAP2IN))*((c_TMAP3OUT)-(c_TMAP2OUT))+IF(((c_TMAP3OUT)-(c_TMAP2OUT))&gt;=0,1,-1)*QUOTIENT(((c_TMAP3IN)-(c_TMAP2IN)),2))+2147483648,4294967296)-2147483648,((c_TMAP3IN)-(c_TMAP2IN))*(((K282)-(c_TMAP2IN))*((c_TMAP3OUT)-(c_TMAP2OUT))+IF(((c_TMAP3OUT)-(c_TMAP2OUT))&gt;=0,1,-1)*QUOTIENT(((c_TMAP3IN)-(c_TMAP2IN)),2)))&gt;=0,1,0)))</f>
        <v>493</v>
      </c>
      <c r="P282" s="7" t="n">
        <f aca="false">IF(((1000)-(c_TMAP3IN))=0,(c_TMAP3OUT)+QUOTIENT(((1000)-(c_TMAP3OUT)),2),QUOTIENT((((K282)-(c_TMAP3IN))*((1000)-(c_TMAP3OUT))+IF(((1000)-(c_TMAP3OUT))&gt;=0,1,-1)*QUOTIENT(((1000)-(c_TMAP3IN)),2)),((1000)-(c_TMAP3IN)))+(c_TMAP3OUT)+IF(((1000)-(c_TMAP3OUT))&gt;=0,IF(IF(o_WRAP=1,MOD(((1000)-(c_TMAP3IN))*(((K282)-(c_TMAP3IN))*((1000)-(c_TMAP3OUT))+IF(((1000)-(c_TMAP3OUT))&gt;=0,1,-1)*QUOTIENT(((1000)-(c_TMAP3IN)),2))+2147483648,4294967296)-2147483648,((1000)-(c_TMAP3IN))*(((K282)-(c_TMAP3IN))*((1000)-(c_TMAP3OUT))+IF(((1000)-(c_TMAP3OUT))&gt;=0,1,-1)*QUOTIENT(((1000)-(c_TMAP3IN)),2)))&lt;0,-1,0),IF(IF(o_WRAP=1,MOD(((1000)-(c_TMAP3IN))*(((K282)-(c_TMAP3IN))*((1000)-(c_TMAP3OUT))+IF(((1000)-(c_TMAP3OUT))&gt;=0,1,-1)*QUOTIENT(((1000)-(c_TMAP3IN)),2))+2147483648,4294967296)-2147483648,((1000)-(c_TMAP3IN))*(((K282)-(c_TMAP3IN))*((1000)-(c_TMAP3OUT))+IF(((1000)-(c_TMAP3OUT))&gt;=0,1,-1)*QUOTIENT(((1000)-(c_TMAP3IN)),2)))&gt;=0,1,0)))</f>
        <v>714</v>
      </c>
      <c r="Q282" s="7" t="str">
        <f aca="false">IF(K282&gt;=c_TFWD,IF(AND(K282&gt;=c_TMAP3IN,c_TMAP3IN&lt;1000),"Seg4 map3-100%",IF(AND(K282&gt;=c_TMAP2IN,c_TMAP3IN&gt;c_TMAP2IN),"Seg3 map2-map3",IF(AND(K282&gt;=c_TMAP1IN,c_TMAP2IN&gt;c_TMAP1IN),"Seg2 map1-map2","Seg1 TFWD-map1"))),IF(AND(K282=0,c_TCREEP&gt;0),"Creep",IF(AND(K282&lt;=c_TRNGMIN,K282&gt;=c_TRNGMAX,c_TRNGMIN-c_TRNGMAX&lt;&gt;0),"Regen ramp","Coast (0)")))</f>
        <v>Seg4 map3-100%</v>
      </c>
      <c r="R282" s="7" t="n">
        <f aca="false">IF(K282&gt;=c_TFWD,IF(AND(K282&gt;=c_TMAP3IN,c_TMAP3IN&lt;1000),P282,IF(AND(K282&gt;=c_TMAP2IN,c_TMAP3IN&gt;c_TMAP2IN),O282,IF(AND(K282&gt;=c_TMAP1IN,c_TMAP2IN&gt;c_TMAP1IN),N282,M282))),L282)</f>
        <v>714</v>
      </c>
      <c r="S282" s="7" t="str">
        <f aca="false">IF(R282&lt;-1090,"TOO LOW",IF(R282&gt;1090,"TOO HIGH",""))</f>
        <v/>
      </c>
      <c r="T282" s="15" t="n">
        <f aca="false">IF(H282&lt;&gt;"OK",0,IF(S282&lt;&gt;"",0,IF(R282&gt;979,1000,R282)))</f>
        <v>714</v>
      </c>
      <c r="U282" s="7" t="n">
        <f aca="false">T282/10</f>
        <v>71.4</v>
      </c>
    </row>
    <row r="283" customFormat="false" ht="15" hidden="false" customHeight="false" outlineLevel="0" collapsed="false">
      <c r="A283" s="7" t="n">
        <v>278</v>
      </c>
      <c r="B283" s="7" t="n">
        <f aca="false">ROUND(o_SWSTART+A283*(o_SWEND-o_SWSTART)/400,0)</f>
        <v>2846</v>
      </c>
      <c r="C283" s="7" t="n">
        <f aca="false">QUOTIENT((B283-c_OFF1)*c_GAIN1,1024)</f>
        <v>2846</v>
      </c>
      <c r="D283" s="7" t="n">
        <f aca="false">IF(((c_T1MX)-(c_T1MN))=0,(0)+QUOTIENT(((1000)-(0)),2),QUOTIENT((((C283)-(c_T1MN))*((1000)-(0))+IF(((1000)-(0))&gt;=0,1,-1)*QUOTIENT(((c_T1MX)-(c_T1MN)),2)),((c_T1MX)-(c_T1MN)))+(0)+IF(((1000)-(0))&gt;=0,IF(IF(o_WRAP=1,MOD(((c_T1MX)-(c_T1MN))*(((C283)-(c_T1MN))*((1000)-(0))+IF(((1000)-(0))&gt;=0,1,-1)*QUOTIENT(((c_T1MX)-(c_T1MN)),2))+2147483648,4294967296)-2147483648,((c_T1MX)-(c_T1MN))*(((C283)-(c_T1MN))*((1000)-(0))+IF(((1000)-(0))&gt;=0,1,-1)*QUOTIENT(((c_T1MX)-(c_T1MN)),2)))&lt;0,-1,0),IF(IF(o_WRAP=1,MOD(((c_T1MX)-(c_T1MN))*(((C283)-(c_T1MN))*((1000)-(0))+IF(((1000)-(0))&gt;=0,1,-1)*QUOTIENT(((c_T1MX)-(c_T1MN)),2))+2147483648,4294967296)-2147483648,((c_T1MX)-(c_T1MN))*(((C283)-(c_T1MN))*((1000)-(0))+IF(((1000)-(0))&gt;=0,1,-1)*QUOTIENT(((c_T1MX)-(c_T1MN)),2)))&gt;=0,1,0)))</f>
        <v>771</v>
      </c>
      <c r="E283" s="7" t="n">
        <f aca="false">IF(AND(c_TPOT=1,c_TTYPE=2),1000-D283,D283)</f>
        <v>771</v>
      </c>
      <c r="F283" s="7" t="str">
        <f aca="false">IF(c_TPOT&gt;1,ROUND(IF(c_TTYPE=2,c_T2MX-IF(c_T1MX=c_T1MN,0,(C283-c_T1MN)/(c_T1MX-c_T1MN))*(c_T2MX-c_T2MN),c_T2MN+IF(c_T1MX=c_T1MN,0,(C283-c_T1MN)/(c_T1MX-c_T1MN))*(c_T2MX-c_T2MN))+o_MISMATCH,0),"")</f>
        <v/>
      </c>
      <c r="G283" s="7" t="str">
        <f aca="false">IF(c_TPOT&gt;1,IF(((c_T2MX)-(c_T2MN))=0,(0)+QUOTIENT(((1000)-(0)),2),QUOTIENT((((F283)-(c_T2MN))*((1000)-(0))+IF(((1000)-(0))&gt;=0,1,-1)*QUOTIENT(((c_T2MX)-(c_T2MN)),2)),((c_T2MX)-(c_T2MN)))+(0)+IF(((1000)-(0))&gt;=0,IF(IF(o_WRAP=1,MOD(((c_T2MX)-(c_T2MN))*(((F283)-(c_T2MN))*((1000)-(0))+IF(((1000)-(0))&gt;=0,1,-1)*QUOTIENT(((c_T2MX)-(c_T2MN)),2))+2147483648,4294967296)-2147483648,((c_T2MX)-(c_T2MN))*(((F283)-(c_T2MN))*((1000)-(0))+IF(((1000)-(0))&gt;=0,1,-1)*QUOTIENT(((c_T2MX)-(c_T2MN)),2)))&lt;0,-1,0),IF(IF(o_WRAP=1,MOD(((c_T2MX)-(c_T2MN))*(((F283)-(c_T2MN))*((1000)-(0))+IF(((1000)-(0))&gt;=0,1,-1)*QUOTIENT(((c_T2MX)-(c_T2MN)),2))+2147483648,4294967296)-2147483648,((c_T2MX)-(c_T2MN))*(((F283)-(c_T2MN))*((1000)-(0))+IF(((1000)-(0))&gt;=0,1,-1)*QUOTIENT(((c_T2MX)-(c_T2MN)),2)))&gt;=0,1,0))),"")</f>
        <v/>
      </c>
      <c r="H283" s="7" t="str">
        <f aca="false">IF(E283&gt;1000+k_TOL,"T1 HIGH",IF(E283&lt;0-k_TOL,"T1 LOW",IF(c_TPOT&gt;1,IF(G283&gt;1000+k_TOL,"T2 HIGH",IF(G283&lt;0-k_TOL,"T2 LOW",IF(c_TTYPE=2,IF(ABS(1000-MAX(0,MIN(1000,E283))-MAX(0,MIN(1000,G283)))&gt;k_MAXERR,"MISMATCH","OK"),IF(OR(MAX(0,MIN(1000,E283))-k_MAXERR&gt;MAX(0,MIN(1000,G283)),MAX(0,MIN(1000,G283))-k_MAXERR&gt;MAX(0,MIN(1000,E283))),"MISMATCH","OK")))),"OK")))</f>
        <v>OK</v>
      </c>
      <c r="I283" s="7" t="n">
        <f aca="false">MAX(0,MIN(1000,D283))</f>
        <v>771</v>
      </c>
      <c r="J283" s="7" t="str">
        <f aca="false">IF(c_TPOT&gt;1,IF(c_TTYPE=2,1000-MAX(0,MIN(1000,G283)),MAX(0,MIN(1000,G283))),"")</f>
        <v/>
      </c>
      <c r="K283" s="7" t="n">
        <f aca="false">IF(c_TPOT&gt;1,QUOTIENT(I283+J283,2),I283)</f>
        <v>771</v>
      </c>
      <c r="L283" s="7" t="n">
        <f aca="false">IF(AND(K283=0,c_TCREEP&gt;0),10*c_TCREEP,IF(AND(K283&lt;=c_TRNGMIN,K283&gt;=c_TRNGMAX,c_TRNGMIN-c_TRNGMAX&lt;&gt;0),-10*c_TMINRN+QUOTIENT((c_TMAXRN-c_TMINRN)*(100-QUOTIENT((K283-c_TRNGMAX)*100,c_TRNGMIN-c_TRNGMAX)),-10),0))</f>
        <v>0</v>
      </c>
      <c r="M283" s="7" t="n">
        <f aca="false">IF(((c_TMAP1IN)-(c_TFWD))=0,(0)+QUOTIENT(((c_TMAP1OUT)-(0)),2),QUOTIENT((((K283)-(c_TFWD))*((c_TMAP1OUT)-(0))+IF(((c_TMAP1OUT)-(0))&gt;=0,1,-1)*QUOTIENT(((c_TMAP1IN)-(c_TFWD)),2)),((c_TMAP1IN)-(c_TFWD)))+(0)+IF(((c_TMAP1OUT)-(0))&gt;=0,IF(IF(o_WRAP=1,MOD(((c_TMAP1IN)-(c_TFWD))*(((K283)-(c_TFWD))*((c_TMAP1OUT)-(0))+IF(((c_TMAP1OUT)-(0))&gt;=0,1,-1)*QUOTIENT(((c_TMAP1IN)-(c_TFWD)),2))+2147483648,4294967296)-2147483648,((c_TMAP1IN)-(c_TFWD))*(((K283)-(c_TFWD))*((c_TMAP1OUT)-(0))+IF(((c_TMAP1OUT)-(0))&gt;=0,1,-1)*QUOTIENT(((c_TMAP1IN)-(c_TFWD)),2)))&lt;0,-1,0),IF(IF(o_WRAP=1,MOD(((c_TMAP1IN)-(c_TFWD))*(((K283)-(c_TFWD))*((c_TMAP1OUT)-(0))+IF(((c_TMAP1OUT)-(0))&gt;=0,1,-1)*QUOTIENT(((c_TMAP1IN)-(c_TFWD)),2))+2147483648,4294967296)-2147483648,((c_TMAP1IN)-(c_TFWD))*(((K283)-(c_TFWD))*((c_TMAP1OUT)-(0))+IF(((c_TMAP1OUT)-(0))&gt;=0,1,-1)*QUOTIENT(((c_TMAP1IN)-(c_TFWD)),2)))&gt;=0,1,0)))</f>
        <v>592</v>
      </c>
      <c r="N283" s="7" t="n">
        <f aca="false">IF(((c_TMAP2IN)-(c_TMAP1IN))=0,(c_TMAP1OUT)+QUOTIENT(((c_TMAP2OUT)-(c_TMAP1OUT)),2),QUOTIENT((((K283)-(c_TMAP1IN))*((c_TMAP2OUT)-(c_TMAP1OUT))+IF(((c_TMAP2OUT)-(c_TMAP1OUT))&gt;=0,1,-1)*QUOTIENT(((c_TMAP2IN)-(c_TMAP1IN)),2)),((c_TMAP2IN)-(c_TMAP1IN)))+(c_TMAP1OUT)+IF(((c_TMAP2OUT)-(c_TMAP1OUT))&gt;=0,IF(IF(o_WRAP=1,MOD(((c_TMAP2IN)-(c_TMAP1IN))*(((K283)-(c_TMAP1IN))*((c_TMAP2OUT)-(c_TMAP1OUT))+IF(((c_TMAP2OUT)-(c_TMAP1OUT))&gt;=0,1,-1)*QUOTIENT(((c_TMAP2IN)-(c_TMAP1IN)),2))+2147483648,4294967296)-2147483648,((c_TMAP2IN)-(c_TMAP1IN))*(((K283)-(c_TMAP1IN))*((c_TMAP2OUT)-(c_TMAP1OUT))+IF(((c_TMAP2OUT)-(c_TMAP1OUT))&gt;=0,1,-1)*QUOTIENT(((c_TMAP2IN)-(c_TMAP1IN)),2)))&lt;0,-1,0),IF(IF(o_WRAP=1,MOD(((c_TMAP2IN)-(c_TMAP1IN))*(((K283)-(c_TMAP1IN))*((c_TMAP2OUT)-(c_TMAP1OUT))+IF(((c_TMAP2OUT)-(c_TMAP1OUT))&gt;=0,1,-1)*QUOTIENT(((c_TMAP2IN)-(c_TMAP1IN)),2))+2147483648,4294967296)-2147483648,((c_TMAP2IN)-(c_TMAP1IN))*(((K283)-(c_TMAP1IN))*((c_TMAP2OUT)-(c_TMAP1OUT))+IF(((c_TMAP2OUT)-(c_TMAP1OUT))&gt;=0,1,-1)*QUOTIENT(((c_TMAP2IN)-(c_TMAP1IN)),2)))&gt;=0,1,0)))</f>
        <v>338</v>
      </c>
      <c r="O283" s="7" t="n">
        <f aca="false">IF(((c_TMAP3IN)-(c_TMAP2IN))=0,(c_TMAP2OUT)+QUOTIENT(((c_TMAP3OUT)-(c_TMAP2OUT)),2),QUOTIENT((((K283)-(c_TMAP2IN))*((c_TMAP3OUT)-(c_TMAP2OUT))+IF(((c_TMAP3OUT)-(c_TMAP2OUT))&gt;=0,1,-1)*QUOTIENT(((c_TMAP3IN)-(c_TMAP2IN)),2)),((c_TMAP3IN)-(c_TMAP2IN)))+(c_TMAP2OUT)+IF(((c_TMAP3OUT)-(c_TMAP2OUT))&gt;=0,IF(IF(o_WRAP=1,MOD(((c_TMAP3IN)-(c_TMAP2IN))*(((K283)-(c_TMAP2IN))*((c_TMAP3OUT)-(c_TMAP2OUT))+IF(((c_TMAP3OUT)-(c_TMAP2OUT))&gt;=0,1,-1)*QUOTIENT(((c_TMAP3IN)-(c_TMAP2IN)),2))+2147483648,4294967296)-2147483648,((c_TMAP3IN)-(c_TMAP2IN))*(((K283)-(c_TMAP2IN))*((c_TMAP3OUT)-(c_TMAP2OUT))+IF(((c_TMAP3OUT)-(c_TMAP2OUT))&gt;=0,1,-1)*QUOTIENT(((c_TMAP3IN)-(c_TMAP2IN)),2)))&lt;0,-1,0),IF(IF(o_WRAP=1,MOD(((c_TMAP3IN)-(c_TMAP2IN))*(((K283)-(c_TMAP2IN))*((c_TMAP3OUT)-(c_TMAP2OUT))+IF(((c_TMAP3OUT)-(c_TMAP2OUT))&gt;=0,1,-1)*QUOTIENT(((c_TMAP3IN)-(c_TMAP2IN)),2))+2147483648,4294967296)-2147483648,((c_TMAP3IN)-(c_TMAP2IN))*(((K283)-(c_TMAP2IN))*((c_TMAP3OUT)-(c_TMAP2OUT))+IF(((c_TMAP3OUT)-(c_TMAP2OUT))&gt;=0,1,-1)*QUOTIENT(((c_TMAP3IN)-(c_TMAP2IN)),2)))&gt;=0,1,0)))</f>
        <v>495</v>
      </c>
      <c r="P283" s="7" t="n">
        <f aca="false">IF(((1000)-(c_TMAP3IN))=0,(c_TMAP3OUT)+QUOTIENT(((1000)-(c_TMAP3OUT)),2),QUOTIENT((((K283)-(c_TMAP3IN))*((1000)-(c_TMAP3OUT))+IF(((1000)-(c_TMAP3OUT))&gt;=0,1,-1)*QUOTIENT(((1000)-(c_TMAP3IN)),2)),((1000)-(c_TMAP3IN)))+(c_TMAP3OUT)+IF(((1000)-(c_TMAP3OUT))&gt;=0,IF(IF(o_WRAP=1,MOD(((1000)-(c_TMAP3IN))*(((K283)-(c_TMAP3IN))*((1000)-(c_TMAP3OUT))+IF(((1000)-(c_TMAP3OUT))&gt;=0,1,-1)*QUOTIENT(((1000)-(c_TMAP3IN)),2))+2147483648,4294967296)-2147483648,((1000)-(c_TMAP3IN))*(((K283)-(c_TMAP3IN))*((1000)-(c_TMAP3OUT))+IF(((1000)-(c_TMAP3OUT))&gt;=0,1,-1)*QUOTIENT(((1000)-(c_TMAP3IN)),2)))&lt;0,-1,0),IF(IF(o_WRAP=1,MOD(((1000)-(c_TMAP3IN))*(((K283)-(c_TMAP3IN))*((1000)-(c_TMAP3OUT))+IF(((1000)-(c_TMAP3OUT))&gt;=0,1,-1)*QUOTIENT(((1000)-(c_TMAP3IN)),2))+2147483648,4294967296)-2147483648,((1000)-(c_TMAP3IN))*(((K283)-(c_TMAP3IN))*((1000)-(c_TMAP3OUT))+IF(((1000)-(c_TMAP3OUT))&gt;=0,1,-1)*QUOTIENT(((1000)-(c_TMAP3IN)),2)))&gt;=0,1,0)))</f>
        <v>718</v>
      </c>
      <c r="Q283" s="7" t="str">
        <f aca="false">IF(K283&gt;=c_TFWD,IF(AND(K283&gt;=c_TMAP3IN,c_TMAP3IN&lt;1000),"Seg4 map3-100%",IF(AND(K283&gt;=c_TMAP2IN,c_TMAP3IN&gt;c_TMAP2IN),"Seg3 map2-map3",IF(AND(K283&gt;=c_TMAP1IN,c_TMAP2IN&gt;c_TMAP1IN),"Seg2 map1-map2","Seg1 TFWD-map1"))),IF(AND(K283=0,c_TCREEP&gt;0),"Creep",IF(AND(K283&lt;=c_TRNGMIN,K283&gt;=c_TRNGMAX,c_TRNGMIN-c_TRNGMAX&lt;&gt;0),"Regen ramp","Coast (0)")))</f>
        <v>Seg4 map3-100%</v>
      </c>
      <c r="R283" s="7" t="n">
        <f aca="false">IF(K283&gt;=c_TFWD,IF(AND(K283&gt;=c_TMAP3IN,c_TMAP3IN&lt;1000),P283,IF(AND(K283&gt;=c_TMAP2IN,c_TMAP3IN&gt;c_TMAP2IN),O283,IF(AND(K283&gt;=c_TMAP1IN,c_TMAP2IN&gt;c_TMAP1IN),N283,M283))),L283)</f>
        <v>718</v>
      </c>
      <c r="S283" s="7" t="str">
        <f aca="false">IF(R283&lt;-1090,"TOO LOW",IF(R283&gt;1090,"TOO HIGH",""))</f>
        <v/>
      </c>
      <c r="T283" s="15" t="n">
        <f aca="false">IF(H283&lt;&gt;"OK",0,IF(S283&lt;&gt;"",0,IF(R283&gt;979,1000,R283)))</f>
        <v>718</v>
      </c>
      <c r="U283" s="7" t="n">
        <f aca="false">T283/10</f>
        <v>71.8</v>
      </c>
    </row>
    <row r="284" customFormat="false" ht="15" hidden="false" customHeight="false" outlineLevel="0" collapsed="false">
      <c r="A284" s="7" t="n">
        <v>279</v>
      </c>
      <c r="B284" s="7" t="n">
        <f aca="false">ROUND(o_SWSTART+A284*(o_SWEND-o_SWSTART)/400,0)</f>
        <v>2856</v>
      </c>
      <c r="C284" s="7" t="n">
        <f aca="false">QUOTIENT((B284-c_OFF1)*c_GAIN1,1024)</f>
        <v>2856</v>
      </c>
      <c r="D284" s="7" t="n">
        <f aca="false">IF(((c_T1MX)-(c_T1MN))=0,(0)+QUOTIENT(((1000)-(0)),2),QUOTIENT((((C284)-(c_T1MN))*((1000)-(0))+IF(((1000)-(0))&gt;=0,1,-1)*QUOTIENT(((c_T1MX)-(c_T1MN)),2)),((c_T1MX)-(c_T1MN)))+(0)+IF(((1000)-(0))&gt;=0,IF(IF(o_WRAP=1,MOD(((c_T1MX)-(c_T1MN))*(((C284)-(c_T1MN))*((1000)-(0))+IF(((1000)-(0))&gt;=0,1,-1)*QUOTIENT(((c_T1MX)-(c_T1MN)),2))+2147483648,4294967296)-2147483648,((c_T1MX)-(c_T1MN))*(((C284)-(c_T1MN))*((1000)-(0))+IF(((1000)-(0))&gt;=0,1,-1)*QUOTIENT(((c_T1MX)-(c_T1MN)),2)))&lt;0,-1,0),IF(IF(o_WRAP=1,MOD(((c_T1MX)-(c_T1MN))*(((C284)-(c_T1MN))*((1000)-(0))+IF(((1000)-(0))&gt;=0,1,-1)*QUOTIENT(((c_T1MX)-(c_T1MN)),2))+2147483648,4294967296)-2147483648,((c_T1MX)-(c_T1MN))*(((C284)-(c_T1MN))*((1000)-(0))+IF(((1000)-(0))&gt;=0,1,-1)*QUOTIENT(((c_T1MX)-(c_T1MN)),2)))&gt;=0,1,0)))</f>
        <v>775</v>
      </c>
      <c r="E284" s="7" t="n">
        <f aca="false">IF(AND(c_TPOT=1,c_TTYPE=2),1000-D284,D284)</f>
        <v>775</v>
      </c>
      <c r="F284" s="7" t="str">
        <f aca="false">IF(c_TPOT&gt;1,ROUND(IF(c_TTYPE=2,c_T2MX-IF(c_T1MX=c_T1MN,0,(C284-c_T1MN)/(c_T1MX-c_T1MN))*(c_T2MX-c_T2MN),c_T2MN+IF(c_T1MX=c_T1MN,0,(C284-c_T1MN)/(c_T1MX-c_T1MN))*(c_T2MX-c_T2MN))+o_MISMATCH,0),"")</f>
        <v/>
      </c>
      <c r="G284" s="7" t="str">
        <f aca="false">IF(c_TPOT&gt;1,IF(((c_T2MX)-(c_T2MN))=0,(0)+QUOTIENT(((1000)-(0)),2),QUOTIENT((((F284)-(c_T2MN))*((1000)-(0))+IF(((1000)-(0))&gt;=0,1,-1)*QUOTIENT(((c_T2MX)-(c_T2MN)),2)),((c_T2MX)-(c_T2MN)))+(0)+IF(((1000)-(0))&gt;=0,IF(IF(o_WRAP=1,MOD(((c_T2MX)-(c_T2MN))*(((F284)-(c_T2MN))*((1000)-(0))+IF(((1000)-(0))&gt;=0,1,-1)*QUOTIENT(((c_T2MX)-(c_T2MN)),2))+2147483648,4294967296)-2147483648,((c_T2MX)-(c_T2MN))*(((F284)-(c_T2MN))*((1000)-(0))+IF(((1000)-(0))&gt;=0,1,-1)*QUOTIENT(((c_T2MX)-(c_T2MN)),2)))&lt;0,-1,0),IF(IF(o_WRAP=1,MOD(((c_T2MX)-(c_T2MN))*(((F284)-(c_T2MN))*((1000)-(0))+IF(((1000)-(0))&gt;=0,1,-1)*QUOTIENT(((c_T2MX)-(c_T2MN)),2))+2147483648,4294967296)-2147483648,((c_T2MX)-(c_T2MN))*(((F284)-(c_T2MN))*((1000)-(0))+IF(((1000)-(0))&gt;=0,1,-1)*QUOTIENT(((c_T2MX)-(c_T2MN)),2)))&gt;=0,1,0))),"")</f>
        <v/>
      </c>
      <c r="H284" s="7" t="str">
        <f aca="false">IF(E284&gt;1000+k_TOL,"T1 HIGH",IF(E284&lt;0-k_TOL,"T1 LOW",IF(c_TPOT&gt;1,IF(G284&gt;1000+k_TOL,"T2 HIGH",IF(G284&lt;0-k_TOL,"T2 LOW",IF(c_TTYPE=2,IF(ABS(1000-MAX(0,MIN(1000,E284))-MAX(0,MIN(1000,G284)))&gt;k_MAXERR,"MISMATCH","OK"),IF(OR(MAX(0,MIN(1000,E284))-k_MAXERR&gt;MAX(0,MIN(1000,G284)),MAX(0,MIN(1000,G284))-k_MAXERR&gt;MAX(0,MIN(1000,E284))),"MISMATCH","OK")))),"OK")))</f>
        <v>OK</v>
      </c>
      <c r="I284" s="7" t="n">
        <f aca="false">MAX(0,MIN(1000,D284))</f>
        <v>775</v>
      </c>
      <c r="J284" s="7" t="str">
        <f aca="false">IF(c_TPOT&gt;1,IF(c_TTYPE=2,1000-MAX(0,MIN(1000,G284)),MAX(0,MIN(1000,G284))),"")</f>
        <v/>
      </c>
      <c r="K284" s="7" t="n">
        <f aca="false">IF(c_TPOT&gt;1,QUOTIENT(I284+J284,2),I284)</f>
        <v>775</v>
      </c>
      <c r="L284" s="7" t="n">
        <f aca="false">IF(AND(K284=0,c_TCREEP&gt;0),10*c_TCREEP,IF(AND(K284&lt;=c_TRNGMIN,K284&gt;=c_TRNGMAX,c_TRNGMIN-c_TRNGMAX&lt;&gt;0),-10*c_TMINRN+QUOTIENT((c_TMAXRN-c_TMINRN)*(100-QUOTIENT((K284-c_TRNGMAX)*100,c_TRNGMIN-c_TRNGMAX)),-10),0))</f>
        <v>0</v>
      </c>
      <c r="M284" s="7" t="n">
        <f aca="false">IF(((c_TMAP1IN)-(c_TFWD))=0,(0)+QUOTIENT(((c_TMAP1OUT)-(0)),2),QUOTIENT((((K284)-(c_TFWD))*((c_TMAP1OUT)-(0))+IF(((c_TMAP1OUT)-(0))&gt;=0,1,-1)*QUOTIENT(((c_TMAP1IN)-(c_TFWD)),2)),((c_TMAP1IN)-(c_TFWD)))+(0)+IF(((c_TMAP1OUT)-(0))&gt;=0,IF(IF(o_WRAP=1,MOD(((c_TMAP1IN)-(c_TFWD))*(((K284)-(c_TFWD))*((c_TMAP1OUT)-(0))+IF(((c_TMAP1OUT)-(0))&gt;=0,1,-1)*QUOTIENT(((c_TMAP1IN)-(c_TFWD)),2))+2147483648,4294967296)-2147483648,((c_TMAP1IN)-(c_TFWD))*(((K284)-(c_TFWD))*((c_TMAP1OUT)-(0))+IF(((c_TMAP1OUT)-(0))&gt;=0,1,-1)*QUOTIENT(((c_TMAP1IN)-(c_TFWD)),2)))&lt;0,-1,0),IF(IF(o_WRAP=1,MOD(((c_TMAP1IN)-(c_TFWD))*(((K284)-(c_TFWD))*((c_TMAP1OUT)-(0))+IF(((c_TMAP1OUT)-(0))&gt;=0,1,-1)*QUOTIENT(((c_TMAP1IN)-(c_TFWD)),2))+2147483648,4294967296)-2147483648,((c_TMAP1IN)-(c_TFWD))*(((K284)-(c_TFWD))*((c_TMAP1OUT)-(0))+IF(((c_TMAP1OUT)-(0))&gt;=0,1,-1)*QUOTIENT(((c_TMAP1IN)-(c_TFWD)),2)))&gt;=0,1,0)))</f>
        <v>595</v>
      </c>
      <c r="N284" s="7" t="n">
        <f aca="false">IF(((c_TMAP2IN)-(c_TMAP1IN))=0,(c_TMAP1OUT)+QUOTIENT(((c_TMAP2OUT)-(c_TMAP1OUT)),2),QUOTIENT((((K284)-(c_TMAP1IN))*((c_TMAP2OUT)-(c_TMAP1OUT))+IF(((c_TMAP2OUT)-(c_TMAP1OUT))&gt;=0,1,-1)*QUOTIENT(((c_TMAP2IN)-(c_TMAP1IN)),2)),((c_TMAP2IN)-(c_TMAP1IN)))+(c_TMAP1OUT)+IF(((c_TMAP2OUT)-(c_TMAP1OUT))&gt;=0,IF(IF(o_WRAP=1,MOD(((c_TMAP2IN)-(c_TMAP1IN))*(((K284)-(c_TMAP1IN))*((c_TMAP2OUT)-(c_TMAP1OUT))+IF(((c_TMAP2OUT)-(c_TMAP1OUT))&gt;=0,1,-1)*QUOTIENT(((c_TMAP2IN)-(c_TMAP1IN)),2))+2147483648,4294967296)-2147483648,((c_TMAP2IN)-(c_TMAP1IN))*(((K284)-(c_TMAP1IN))*((c_TMAP2OUT)-(c_TMAP1OUT))+IF(((c_TMAP2OUT)-(c_TMAP1OUT))&gt;=0,1,-1)*QUOTIENT(((c_TMAP2IN)-(c_TMAP1IN)),2)))&lt;0,-1,0),IF(IF(o_WRAP=1,MOD(((c_TMAP2IN)-(c_TMAP1IN))*(((K284)-(c_TMAP1IN))*((c_TMAP2OUT)-(c_TMAP1OUT))+IF(((c_TMAP2OUT)-(c_TMAP1OUT))&gt;=0,1,-1)*QUOTIENT(((c_TMAP2IN)-(c_TMAP1IN)),2))+2147483648,4294967296)-2147483648,((c_TMAP2IN)-(c_TMAP1IN))*(((K284)-(c_TMAP1IN))*((c_TMAP2OUT)-(c_TMAP1OUT))+IF(((c_TMAP2OUT)-(c_TMAP1OUT))&gt;=0,1,-1)*QUOTIENT(((c_TMAP2IN)-(c_TMAP1IN)),2)))&gt;=0,1,0)))</f>
        <v>340</v>
      </c>
      <c r="O284" s="7" t="n">
        <f aca="false">IF(((c_TMAP3IN)-(c_TMAP2IN))=0,(c_TMAP2OUT)+QUOTIENT(((c_TMAP3OUT)-(c_TMAP2OUT)),2),QUOTIENT((((K284)-(c_TMAP2IN))*((c_TMAP3OUT)-(c_TMAP2OUT))+IF(((c_TMAP3OUT)-(c_TMAP2OUT))&gt;=0,1,-1)*QUOTIENT(((c_TMAP3IN)-(c_TMAP2IN)),2)),((c_TMAP3IN)-(c_TMAP2IN)))+(c_TMAP2OUT)+IF(((c_TMAP3OUT)-(c_TMAP2OUT))&gt;=0,IF(IF(o_WRAP=1,MOD(((c_TMAP3IN)-(c_TMAP2IN))*(((K284)-(c_TMAP2IN))*((c_TMAP3OUT)-(c_TMAP2OUT))+IF(((c_TMAP3OUT)-(c_TMAP2OUT))&gt;=0,1,-1)*QUOTIENT(((c_TMAP3IN)-(c_TMAP2IN)),2))+2147483648,4294967296)-2147483648,((c_TMAP3IN)-(c_TMAP2IN))*(((K284)-(c_TMAP2IN))*((c_TMAP3OUT)-(c_TMAP2OUT))+IF(((c_TMAP3OUT)-(c_TMAP2OUT))&gt;=0,1,-1)*QUOTIENT(((c_TMAP3IN)-(c_TMAP2IN)),2)))&lt;0,-1,0),IF(IF(o_WRAP=1,MOD(((c_TMAP3IN)-(c_TMAP2IN))*(((K284)-(c_TMAP2IN))*((c_TMAP3OUT)-(c_TMAP2OUT))+IF(((c_TMAP3OUT)-(c_TMAP2OUT))&gt;=0,1,-1)*QUOTIENT(((c_TMAP3IN)-(c_TMAP2IN)),2))+2147483648,4294967296)-2147483648,((c_TMAP3IN)-(c_TMAP2IN))*(((K284)-(c_TMAP2IN))*((c_TMAP3OUT)-(c_TMAP2OUT))+IF(((c_TMAP3OUT)-(c_TMAP2OUT))&gt;=0,1,-1)*QUOTIENT(((c_TMAP3IN)-(c_TMAP2IN)),2)))&gt;=0,1,0)))</f>
        <v>498</v>
      </c>
      <c r="P284" s="7" t="n">
        <f aca="false">IF(((1000)-(c_TMAP3IN))=0,(c_TMAP3OUT)+QUOTIENT(((1000)-(c_TMAP3OUT)),2),QUOTIENT((((K284)-(c_TMAP3IN))*((1000)-(c_TMAP3OUT))+IF(((1000)-(c_TMAP3OUT))&gt;=0,1,-1)*QUOTIENT(((1000)-(c_TMAP3IN)),2)),((1000)-(c_TMAP3IN)))+(c_TMAP3OUT)+IF(((1000)-(c_TMAP3OUT))&gt;=0,IF(IF(o_WRAP=1,MOD(((1000)-(c_TMAP3IN))*(((K284)-(c_TMAP3IN))*((1000)-(c_TMAP3OUT))+IF(((1000)-(c_TMAP3OUT))&gt;=0,1,-1)*QUOTIENT(((1000)-(c_TMAP3IN)),2))+2147483648,4294967296)-2147483648,((1000)-(c_TMAP3IN))*(((K284)-(c_TMAP3IN))*((1000)-(c_TMAP3OUT))+IF(((1000)-(c_TMAP3OUT))&gt;=0,1,-1)*QUOTIENT(((1000)-(c_TMAP3IN)),2)))&lt;0,-1,0),IF(IF(o_WRAP=1,MOD(((1000)-(c_TMAP3IN))*(((K284)-(c_TMAP3IN))*((1000)-(c_TMAP3OUT))+IF(((1000)-(c_TMAP3OUT))&gt;=0,1,-1)*QUOTIENT(((1000)-(c_TMAP3IN)),2))+2147483648,4294967296)-2147483648,((1000)-(c_TMAP3IN))*(((K284)-(c_TMAP3IN))*((1000)-(c_TMAP3OUT))+IF(((1000)-(c_TMAP3OUT))&gt;=0,1,-1)*QUOTIENT(((1000)-(c_TMAP3IN)),2)))&gt;=0,1,0)))</f>
        <v>723</v>
      </c>
      <c r="Q284" s="7" t="str">
        <f aca="false">IF(K284&gt;=c_TFWD,IF(AND(K284&gt;=c_TMAP3IN,c_TMAP3IN&lt;1000),"Seg4 map3-100%",IF(AND(K284&gt;=c_TMAP2IN,c_TMAP3IN&gt;c_TMAP2IN),"Seg3 map2-map3",IF(AND(K284&gt;=c_TMAP1IN,c_TMAP2IN&gt;c_TMAP1IN),"Seg2 map1-map2","Seg1 TFWD-map1"))),IF(AND(K284=0,c_TCREEP&gt;0),"Creep",IF(AND(K284&lt;=c_TRNGMIN,K284&gt;=c_TRNGMAX,c_TRNGMIN-c_TRNGMAX&lt;&gt;0),"Regen ramp","Coast (0)")))</f>
        <v>Seg4 map3-100%</v>
      </c>
      <c r="R284" s="7" t="n">
        <f aca="false">IF(K284&gt;=c_TFWD,IF(AND(K284&gt;=c_TMAP3IN,c_TMAP3IN&lt;1000),P284,IF(AND(K284&gt;=c_TMAP2IN,c_TMAP3IN&gt;c_TMAP2IN),O284,IF(AND(K284&gt;=c_TMAP1IN,c_TMAP2IN&gt;c_TMAP1IN),N284,M284))),L284)</f>
        <v>723</v>
      </c>
      <c r="S284" s="7" t="str">
        <f aca="false">IF(R284&lt;-1090,"TOO LOW",IF(R284&gt;1090,"TOO HIGH",""))</f>
        <v/>
      </c>
      <c r="T284" s="15" t="n">
        <f aca="false">IF(H284&lt;&gt;"OK",0,IF(S284&lt;&gt;"",0,IF(R284&gt;979,1000,R284)))</f>
        <v>723</v>
      </c>
      <c r="U284" s="7" t="n">
        <f aca="false">T284/10</f>
        <v>72.3</v>
      </c>
    </row>
    <row r="285" customFormat="false" ht="15" hidden="false" customHeight="false" outlineLevel="0" collapsed="false">
      <c r="A285" s="7" t="n">
        <v>280</v>
      </c>
      <c r="B285" s="7" t="n">
        <f aca="false">ROUND(o_SWSTART+A285*(o_SWEND-o_SWSTART)/400,0)</f>
        <v>2867</v>
      </c>
      <c r="C285" s="7" t="n">
        <f aca="false">QUOTIENT((B285-c_OFF1)*c_GAIN1,1024)</f>
        <v>2867</v>
      </c>
      <c r="D285" s="7" t="n">
        <f aca="false">IF(((c_T1MX)-(c_T1MN))=0,(0)+QUOTIENT(((1000)-(0)),2),QUOTIENT((((C285)-(c_T1MN))*((1000)-(0))+IF(((1000)-(0))&gt;=0,1,-1)*QUOTIENT(((c_T1MX)-(c_T1MN)),2)),((c_T1MX)-(c_T1MN)))+(0)+IF(((1000)-(0))&gt;=0,IF(IF(o_WRAP=1,MOD(((c_T1MX)-(c_T1MN))*(((C285)-(c_T1MN))*((1000)-(0))+IF(((1000)-(0))&gt;=0,1,-1)*QUOTIENT(((c_T1MX)-(c_T1MN)),2))+2147483648,4294967296)-2147483648,((c_T1MX)-(c_T1MN))*(((C285)-(c_T1MN))*((1000)-(0))+IF(((1000)-(0))&gt;=0,1,-1)*QUOTIENT(((c_T1MX)-(c_T1MN)),2)))&lt;0,-1,0),IF(IF(o_WRAP=1,MOD(((c_T1MX)-(c_T1MN))*(((C285)-(c_T1MN))*((1000)-(0))+IF(((1000)-(0))&gt;=0,1,-1)*QUOTIENT(((c_T1MX)-(c_T1MN)),2))+2147483648,4294967296)-2147483648,((c_T1MX)-(c_T1MN))*(((C285)-(c_T1MN))*((1000)-(0))+IF(((1000)-(0))&gt;=0,1,-1)*QUOTIENT(((c_T1MX)-(c_T1MN)),2)))&gt;=0,1,0)))</f>
        <v>779</v>
      </c>
      <c r="E285" s="7" t="n">
        <f aca="false">IF(AND(c_TPOT=1,c_TTYPE=2),1000-D285,D285)</f>
        <v>779</v>
      </c>
      <c r="F285" s="7" t="str">
        <f aca="false">IF(c_TPOT&gt;1,ROUND(IF(c_TTYPE=2,c_T2MX-IF(c_T1MX=c_T1MN,0,(C285-c_T1MN)/(c_T1MX-c_T1MN))*(c_T2MX-c_T2MN),c_T2MN+IF(c_T1MX=c_T1MN,0,(C285-c_T1MN)/(c_T1MX-c_T1MN))*(c_T2MX-c_T2MN))+o_MISMATCH,0),"")</f>
        <v/>
      </c>
      <c r="G285" s="7" t="str">
        <f aca="false">IF(c_TPOT&gt;1,IF(((c_T2MX)-(c_T2MN))=0,(0)+QUOTIENT(((1000)-(0)),2),QUOTIENT((((F285)-(c_T2MN))*((1000)-(0))+IF(((1000)-(0))&gt;=0,1,-1)*QUOTIENT(((c_T2MX)-(c_T2MN)),2)),((c_T2MX)-(c_T2MN)))+(0)+IF(((1000)-(0))&gt;=0,IF(IF(o_WRAP=1,MOD(((c_T2MX)-(c_T2MN))*(((F285)-(c_T2MN))*((1000)-(0))+IF(((1000)-(0))&gt;=0,1,-1)*QUOTIENT(((c_T2MX)-(c_T2MN)),2))+2147483648,4294967296)-2147483648,((c_T2MX)-(c_T2MN))*(((F285)-(c_T2MN))*((1000)-(0))+IF(((1000)-(0))&gt;=0,1,-1)*QUOTIENT(((c_T2MX)-(c_T2MN)),2)))&lt;0,-1,0),IF(IF(o_WRAP=1,MOD(((c_T2MX)-(c_T2MN))*(((F285)-(c_T2MN))*((1000)-(0))+IF(((1000)-(0))&gt;=0,1,-1)*QUOTIENT(((c_T2MX)-(c_T2MN)),2))+2147483648,4294967296)-2147483648,((c_T2MX)-(c_T2MN))*(((F285)-(c_T2MN))*((1000)-(0))+IF(((1000)-(0))&gt;=0,1,-1)*QUOTIENT(((c_T2MX)-(c_T2MN)),2)))&gt;=0,1,0))),"")</f>
        <v/>
      </c>
      <c r="H285" s="7" t="str">
        <f aca="false">IF(E285&gt;1000+k_TOL,"T1 HIGH",IF(E285&lt;0-k_TOL,"T1 LOW",IF(c_TPOT&gt;1,IF(G285&gt;1000+k_TOL,"T2 HIGH",IF(G285&lt;0-k_TOL,"T2 LOW",IF(c_TTYPE=2,IF(ABS(1000-MAX(0,MIN(1000,E285))-MAX(0,MIN(1000,G285)))&gt;k_MAXERR,"MISMATCH","OK"),IF(OR(MAX(0,MIN(1000,E285))-k_MAXERR&gt;MAX(0,MIN(1000,G285)),MAX(0,MIN(1000,G285))-k_MAXERR&gt;MAX(0,MIN(1000,E285))),"MISMATCH","OK")))),"OK")))</f>
        <v>OK</v>
      </c>
      <c r="I285" s="7" t="n">
        <f aca="false">MAX(0,MIN(1000,D285))</f>
        <v>779</v>
      </c>
      <c r="J285" s="7" t="str">
        <f aca="false">IF(c_TPOT&gt;1,IF(c_TTYPE=2,1000-MAX(0,MIN(1000,G285)),MAX(0,MIN(1000,G285))),"")</f>
        <v/>
      </c>
      <c r="K285" s="7" t="n">
        <f aca="false">IF(c_TPOT&gt;1,QUOTIENT(I285+J285,2),I285)</f>
        <v>779</v>
      </c>
      <c r="L285" s="7" t="n">
        <f aca="false">IF(AND(K285=0,c_TCREEP&gt;0),10*c_TCREEP,IF(AND(K285&lt;=c_TRNGMIN,K285&gt;=c_TRNGMAX,c_TRNGMIN-c_TRNGMAX&lt;&gt;0),-10*c_TMINRN+QUOTIENT((c_TMAXRN-c_TMINRN)*(100-QUOTIENT((K285-c_TRNGMAX)*100,c_TRNGMIN-c_TRNGMAX)),-10),0))</f>
        <v>0</v>
      </c>
      <c r="M285" s="7" t="n">
        <f aca="false">IF(((c_TMAP1IN)-(c_TFWD))=0,(0)+QUOTIENT(((c_TMAP1OUT)-(0)),2),QUOTIENT((((K285)-(c_TFWD))*((c_TMAP1OUT)-(0))+IF(((c_TMAP1OUT)-(0))&gt;=0,1,-1)*QUOTIENT(((c_TMAP1IN)-(c_TFWD)),2)),((c_TMAP1IN)-(c_TFWD)))+(0)+IF(((c_TMAP1OUT)-(0))&gt;=0,IF(IF(o_WRAP=1,MOD(((c_TMAP1IN)-(c_TFWD))*(((K285)-(c_TFWD))*((c_TMAP1OUT)-(0))+IF(((c_TMAP1OUT)-(0))&gt;=0,1,-1)*QUOTIENT(((c_TMAP1IN)-(c_TFWD)),2))+2147483648,4294967296)-2147483648,((c_TMAP1IN)-(c_TFWD))*(((K285)-(c_TFWD))*((c_TMAP1OUT)-(0))+IF(((c_TMAP1OUT)-(0))&gt;=0,1,-1)*QUOTIENT(((c_TMAP1IN)-(c_TFWD)),2)))&lt;0,-1,0),IF(IF(o_WRAP=1,MOD(((c_TMAP1IN)-(c_TFWD))*(((K285)-(c_TFWD))*((c_TMAP1OUT)-(0))+IF(((c_TMAP1OUT)-(0))&gt;=0,1,-1)*QUOTIENT(((c_TMAP1IN)-(c_TFWD)),2))+2147483648,4294967296)-2147483648,((c_TMAP1IN)-(c_TFWD))*(((K285)-(c_TFWD))*((c_TMAP1OUT)-(0))+IF(((c_TMAP1OUT)-(0))&gt;=0,1,-1)*QUOTIENT(((c_TMAP1IN)-(c_TFWD)),2)))&gt;=0,1,0)))</f>
        <v>598</v>
      </c>
      <c r="N285" s="7" t="n">
        <f aca="false">IF(((c_TMAP2IN)-(c_TMAP1IN))=0,(c_TMAP1OUT)+QUOTIENT(((c_TMAP2OUT)-(c_TMAP1OUT)),2),QUOTIENT((((K285)-(c_TMAP1IN))*((c_TMAP2OUT)-(c_TMAP1OUT))+IF(((c_TMAP2OUT)-(c_TMAP1OUT))&gt;=0,1,-1)*QUOTIENT(((c_TMAP2IN)-(c_TMAP1IN)),2)),((c_TMAP2IN)-(c_TMAP1IN)))+(c_TMAP1OUT)+IF(((c_TMAP2OUT)-(c_TMAP1OUT))&gt;=0,IF(IF(o_WRAP=1,MOD(((c_TMAP2IN)-(c_TMAP1IN))*(((K285)-(c_TMAP1IN))*((c_TMAP2OUT)-(c_TMAP1OUT))+IF(((c_TMAP2OUT)-(c_TMAP1OUT))&gt;=0,1,-1)*QUOTIENT(((c_TMAP2IN)-(c_TMAP1IN)),2))+2147483648,4294967296)-2147483648,((c_TMAP2IN)-(c_TMAP1IN))*(((K285)-(c_TMAP1IN))*((c_TMAP2OUT)-(c_TMAP1OUT))+IF(((c_TMAP2OUT)-(c_TMAP1OUT))&gt;=0,1,-1)*QUOTIENT(((c_TMAP2IN)-(c_TMAP1IN)),2)))&lt;0,-1,0),IF(IF(o_WRAP=1,MOD(((c_TMAP2IN)-(c_TMAP1IN))*(((K285)-(c_TMAP1IN))*((c_TMAP2OUT)-(c_TMAP1OUT))+IF(((c_TMAP2OUT)-(c_TMAP1OUT))&gt;=0,1,-1)*QUOTIENT(((c_TMAP2IN)-(c_TMAP1IN)),2))+2147483648,4294967296)-2147483648,((c_TMAP2IN)-(c_TMAP1IN))*(((K285)-(c_TMAP1IN))*((c_TMAP2OUT)-(c_TMAP1OUT))+IF(((c_TMAP2OUT)-(c_TMAP1OUT))&gt;=0,1,-1)*QUOTIENT(((c_TMAP2IN)-(c_TMAP1IN)),2)))&gt;=0,1,0)))</f>
        <v>342</v>
      </c>
      <c r="O285" s="7" t="n">
        <f aca="false">IF(((c_TMAP3IN)-(c_TMAP2IN))=0,(c_TMAP2OUT)+QUOTIENT(((c_TMAP3OUT)-(c_TMAP2OUT)),2),QUOTIENT((((K285)-(c_TMAP2IN))*((c_TMAP3OUT)-(c_TMAP2OUT))+IF(((c_TMAP3OUT)-(c_TMAP2OUT))&gt;=0,1,-1)*QUOTIENT(((c_TMAP3IN)-(c_TMAP2IN)),2)),((c_TMAP3IN)-(c_TMAP2IN)))+(c_TMAP2OUT)+IF(((c_TMAP3OUT)-(c_TMAP2OUT))&gt;=0,IF(IF(o_WRAP=1,MOD(((c_TMAP3IN)-(c_TMAP2IN))*(((K285)-(c_TMAP2IN))*((c_TMAP3OUT)-(c_TMAP2OUT))+IF(((c_TMAP3OUT)-(c_TMAP2OUT))&gt;=0,1,-1)*QUOTIENT(((c_TMAP3IN)-(c_TMAP2IN)),2))+2147483648,4294967296)-2147483648,((c_TMAP3IN)-(c_TMAP2IN))*(((K285)-(c_TMAP2IN))*((c_TMAP3OUT)-(c_TMAP2OUT))+IF(((c_TMAP3OUT)-(c_TMAP2OUT))&gt;=0,1,-1)*QUOTIENT(((c_TMAP3IN)-(c_TMAP2IN)),2)))&lt;0,-1,0),IF(IF(o_WRAP=1,MOD(((c_TMAP3IN)-(c_TMAP2IN))*(((K285)-(c_TMAP2IN))*((c_TMAP3OUT)-(c_TMAP2OUT))+IF(((c_TMAP3OUT)-(c_TMAP2OUT))&gt;=0,1,-1)*QUOTIENT(((c_TMAP3IN)-(c_TMAP2IN)),2))+2147483648,4294967296)-2147483648,((c_TMAP3IN)-(c_TMAP2IN))*(((K285)-(c_TMAP2IN))*((c_TMAP3OUT)-(c_TMAP2OUT))+IF(((c_TMAP3OUT)-(c_TMAP2OUT))&gt;=0,1,-1)*QUOTIENT(((c_TMAP3IN)-(c_TMAP2IN)),2)))&gt;=0,1,0)))</f>
        <v>500</v>
      </c>
      <c r="P285" s="7" t="n">
        <f aca="false">IF(((1000)-(c_TMAP3IN))=0,(c_TMAP3OUT)+QUOTIENT(((1000)-(c_TMAP3OUT)),2),QUOTIENT((((K285)-(c_TMAP3IN))*((1000)-(c_TMAP3OUT))+IF(((1000)-(c_TMAP3OUT))&gt;=0,1,-1)*QUOTIENT(((1000)-(c_TMAP3IN)),2)),((1000)-(c_TMAP3IN)))+(c_TMAP3OUT)+IF(((1000)-(c_TMAP3OUT))&gt;=0,IF(IF(o_WRAP=1,MOD(((1000)-(c_TMAP3IN))*(((K285)-(c_TMAP3IN))*((1000)-(c_TMAP3OUT))+IF(((1000)-(c_TMAP3OUT))&gt;=0,1,-1)*QUOTIENT(((1000)-(c_TMAP3IN)),2))+2147483648,4294967296)-2147483648,((1000)-(c_TMAP3IN))*(((K285)-(c_TMAP3IN))*((1000)-(c_TMAP3OUT))+IF(((1000)-(c_TMAP3OUT))&gt;=0,1,-1)*QUOTIENT(((1000)-(c_TMAP3IN)),2)))&lt;0,-1,0),IF(IF(o_WRAP=1,MOD(((1000)-(c_TMAP3IN))*(((K285)-(c_TMAP3IN))*((1000)-(c_TMAP3OUT))+IF(((1000)-(c_TMAP3OUT))&gt;=0,1,-1)*QUOTIENT(((1000)-(c_TMAP3IN)),2))+2147483648,4294967296)-2147483648,((1000)-(c_TMAP3IN))*(((K285)-(c_TMAP3IN))*((1000)-(c_TMAP3OUT))+IF(((1000)-(c_TMAP3OUT))&gt;=0,1,-1)*QUOTIENT(((1000)-(c_TMAP3IN)),2)))&gt;=0,1,0)))</f>
        <v>728</v>
      </c>
      <c r="Q285" s="7" t="str">
        <f aca="false">IF(K285&gt;=c_TFWD,IF(AND(K285&gt;=c_TMAP3IN,c_TMAP3IN&lt;1000),"Seg4 map3-100%",IF(AND(K285&gt;=c_TMAP2IN,c_TMAP3IN&gt;c_TMAP2IN),"Seg3 map2-map3",IF(AND(K285&gt;=c_TMAP1IN,c_TMAP2IN&gt;c_TMAP1IN),"Seg2 map1-map2","Seg1 TFWD-map1"))),IF(AND(K285=0,c_TCREEP&gt;0),"Creep",IF(AND(K285&lt;=c_TRNGMIN,K285&gt;=c_TRNGMAX,c_TRNGMIN-c_TRNGMAX&lt;&gt;0),"Regen ramp","Coast (0)")))</f>
        <v>Seg4 map3-100%</v>
      </c>
      <c r="R285" s="7" t="n">
        <f aca="false">IF(K285&gt;=c_TFWD,IF(AND(K285&gt;=c_TMAP3IN,c_TMAP3IN&lt;1000),P285,IF(AND(K285&gt;=c_TMAP2IN,c_TMAP3IN&gt;c_TMAP2IN),O285,IF(AND(K285&gt;=c_TMAP1IN,c_TMAP2IN&gt;c_TMAP1IN),N285,M285))),L285)</f>
        <v>728</v>
      </c>
      <c r="S285" s="7" t="str">
        <f aca="false">IF(R285&lt;-1090,"TOO LOW",IF(R285&gt;1090,"TOO HIGH",""))</f>
        <v/>
      </c>
      <c r="T285" s="15" t="n">
        <f aca="false">IF(H285&lt;&gt;"OK",0,IF(S285&lt;&gt;"",0,IF(R285&gt;979,1000,R285)))</f>
        <v>728</v>
      </c>
      <c r="U285" s="7" t="n">
        <f aca="false">T285/10</f>
        <v>72.8</v>
      </c>
    </row>
    <row r="286" customFormat="false" ht="15" hidden="false" customHeight="false" outlineLevel="0" collapsed="false">
      <c r="A286" s="7" t="n">
        <v>281</v>
      </c>
      <c r="B286" s="7" t="n">
        <f aca="false">ROUND(o_SWSTART+A286*(o_SWEND-o_SWSTART)/400,0)</f>
        <v>2877</v>
      </c>
      <c r="C286" s="7" t="n">
        <f aca="false">QUOTIENT((B286-c_OFF1)*c_GAIN1,1024)</f>
        <v>2877</v>
      </c>
      <c r="D286" s="7" t="n">
        <f aca="false">IF(((c_T1MX)-(c_T1MN))=0,(0)+QUOTIENT(((1000)-(0)),2),QUOTIENT((((C286)-(c_T1MN))*((1000)-(0))+IF(((1000)-(0))&gt;=0,1,-1)*QUOTIENT(((c_T1MX)-(c_T1MN)),2)),((c_T1MX)-(c_T1MN)))+(0)+IF(((1000)-(0))&gt;=0,IF(IF(o_WRAP=1,MOD(((c_T1MX)-(c_T1MN))*(((C286)-(c_T1MN))*((1000)-(0))+IF(((1000)-(0))&gt;=0,1,-1)*QUOTIENT(((c_T1MX)-(c_T1MN)),2))+2147483648,4294967296)-2147483648,((c_T1MX)-(c_T1MN))*(((C286)-(c_T1MN))*((1000)-(0))+IF(((1000)-(0))&gt;=0,1,-1)*QUOTIENT(((c_T1MX)-(c_T1MN)),2)))&lt;0,-1,0),IF(IF(o_WRAP=1,MOD(((c_T1MX)-(c_T1MN))*(((C286)-(c_T1MN))*((1000)-(0))+IF(((1000)-(0))&gt;=0,1,-1)*QUOTIENT(((c_T1MX)-(c_T1MN)),2))+2147483648,4294967296)-2147483648,((c_T1MX)-(c_T1MN))*(((C286)-(c_T1MN))*((1000)-(0))+IF(((1000)-(0))&gt;=0,1,-1)*QUOTIENT(((c_T1MX)-(c_T1MN)),2)))&gt;=0,1,0)))</f>
        <v>782</v>
      </c>
      <c r="E286" s="7" t="n">
        <f aca="false">IF(AND(c_TPOT=1,c_TTYPE=2),1000-D286,D286)</f>
        <v>782</v>
      </c>
      <c r="F286" s="7" t="str">
        <f aca="false">IF(c_TPOT&gt;1,ROUND(IF(c_TTYPE=2,c_T2MX-IF(c_T1MX=c_T1MN,0,(C286-c_T1MN)/(c_T1MX-c_T1MN))*(c_T2MX-c_T2MN),c_T2MN+IF(c_T1MX=c_T1MN,0,(C286-c_T1MN)/(c_T1MX-c_T1MN))*(c_T2MX-c_T2MN))+o_MISMATCH,0),"")</f>
        <v/>
      </c>
      <c r="G286" s="7" t="str">
        <f aca="false">IF(c_TPOT&gt;1,IF(((c_T2MX)-(c_T2MN))=0,(0)+QUOTIENT(((1000)-(0)),2),QUOTIENT((((F286)-(c_T2MN))*((1000)-(0))+IF(((1000)-(0))&gt;=0,1,-1)*QUOTIENT(((c_T2MX)-(c_T2MN)),2)),((c_T2MX)-(c_T2MN)))+(0)+IF(((1000)-(0))&gt;=0,IF(IF(o_WRAP=1,MOD(((c_T2MX)-(c_T2MN))*(((F286)-(c_T2MN))*((1000)-(0))+IF(((1000)-(0))&gt;=0,1,-1)*QUOTIENT(((c_T2MX)-(c_T2MN)),2))+2147483648,4294967296)-2147483648,((c_T2MX)-(c_T2MN))*(((F286)-(c_T2MN))*((1000)-(0))+IF(((1000)-(0))&gt;=0,1,-1)*QUOTIENT(((c_T2MX)-(c_T2MN)),2)))&lt;0,-1,0),IF(IF(o_WRAP=1,MOD(((c_T2MX)-(c_T2MN))*(((F286)-(c_T2MN))*((1000)-(0))+IF(((1000)-(0))&gt;=0,1,-1)*QUOTIENT(((c_T2MX)-(c_T2MN)),2))+2147483648,4294967296)-2147483648,((c_T2MX)-(c_T2MN))*(((F286)-(c_T2MN))*((1000)-(0))+IF(((1000)-(0))&gt;=0,1,-1)*QUOTIENT(((c_T2MX)-(c_T2MN)),2)))&gt;=0,1,0))),"")</f>
        <v/>
      </c>
      <c r="H286" s="7" t="str">
        <f aca="false">IF(E286&gt;1000+k_TOL,"T1 HIGH",IF(E286&lt;0-k_TOL,"T1 LOW",IF(c_TPOT&gt;1,IF(G286&gt;1000+k_TOL,"T2 HIGH",IF(G286&lt;0-k_TOL,"T2 LOW",IF(c_TTYPE=2,IF(ABS(1000-MAX(0,MIN(1000,E286))-MAX(0,MIN(1000,G286)))&gt;k_MAXERR,"MISMATCH","OK"),IF(OR(MAX(0,MIN(1000,E286))-k_MAXERR&gt;MAX(0,MIN(1000,G286)),MAX(0,MIN(1000,G286))-k_MAXERR&gt;MAX(0,MIN(1000,E286))),"MISMATCH","OK")))),"OK")))</f>
        <v>OK</v>
      </c>
      <c r="I286" s="7" t="n">
        <f aca="false">MAX(0,MIN(1000,D286))</f>
        <v>782</v>
      </c>
      <c r="J286" s="7" t="str">
        <f aca="false">IF(c_TPOT&gt;1,IF(c_TTYPE=2,1000-MAX(0,MIN(1000,G286)),MAX(0,MIN(1000,G286))),"")</f>
        <v/>
      </c>
      <c r="K286" s="7" t="n">
        <f aca="false">IF(c_TPOT&gt;1,QUOTIENT(I286+J286,2),I286)</f>
        <v>782</v>
      </c>
      <c r="L286" s="7" t="n">
        <f aca="false">IF(AND(K286=0,c_TCREEP&gt;0),10*c_TCREEP,IF(AND(K286&lt;=c_TRNGMIN,K286&gt;=c_TRNGMAX,c_TRNGMIN-c_TRNGMAX&lt;&gt;0),-10*c_TMINRN+QUOTIENT((c_TMAXRN-c_TMINRN)*(100-QUOTIENT((K286-c_TRNGMAX)*100,c_TRNGMIN-c_TRNGMAX)),-10),0))</f>
        <v>0</v>
      </c>
      <c r="M286" s="7" t="n">
        <f aca="false">IF(((c_TMAP1IN)-(c_TFWD))=0,(0)+QUOTIENT(((c_TMAP1OUT)-(0)),2),QUOTIENT((((K286)-(c_TFWD))*((c_TMAP1OUT)-(0))+IF(((c_TMAP1OUT)-(0))&gt;=0,1,-1)*QUOTIENT(((c_TMAP1IN)-(c_TFWD)),2)),((c_TMAP1IN)-(c_TFWD)))+(0)+IF(((c_TMAP1OUT)-(0))&gt;=0,IF(IF(o_WRAP=1,MOD(((c_TMAP1IN)-(c_TFWD))*(((K286)-(c_TFWD))*((c_TMAP1OUT)-(0))+IF(((c_TMAP1OUT)-(0))&gt;=0,1,-1)*QUOTIENT(((c_TMAP1IN)-(c_TFWD)),2))+2147483648,4294967296)-2147483648,((c_TMAP1IN)-(c_TFWD))*(((K286)-(c_TFWD))*((c_TMAP1OUT)-(0))+IF(((c_TMAP1OUT)-(0))&gt;=0,1,-1)*QUOTIENT(((c_TMAP1IN)-(c_TFWD)),2)))&lt;0,-1,0),IF(IF(o_WRAP=1,MOD(((c_TMAP1IN)-(c_TFWD))*(((K286)-(c_TFWD))*((c_TMAP1OUT)-(0))+IF(((c_TMAP1OUT)-(0))&gt;=0,1,-1)*QUOTIENT(((c_TMAP1IN)-(c_TFWD)),2))+2147483648,4294967296)-2147483648,((c_TMAP1IN)-(c_TFWD))*(((K286)-(c_TFWD))*((c_TMAP1OUT)-(0))+IF(((c_TMAP1OUT)-(0))&gt;=0,1,-1)*QUOTIENT(((c_TMAP1IN)-(c_TFWD)),2)))&gt;=0,1,0)))</f>
        <v>600</v>
      </c>
      <c r="N286" s="7" t="n">
        <f aca="false">IF(((c_TMAP2IN)-(c_TMAP1IN))=0,(c_TMAP1OUT)+QUOTIENT(((c_TMAP2OUT)-(c_TMAP1OUT)),2),QUOTIENT((((K286)-(c_TMAP1IN))*((c_TMAP2OUT)-(c_TMAP1OUT))+IF(((c_TMAP2OUT)-(c_TMAP1OUT))&gt;=0,1,-1)*QUOTIENT(((c_TMAP2IN)-(c_TMAP1IN)),2)),((c_TMAP2IN)-(c_TMAP1IN)))+(c_TMAP1OUT)+IF(((c_TMAP2OUT)-(c_TMAP1OUT))&gt;=0,IF(IF(o_WRAP=1,MOD(((c_TMAP2IN)-(c_TMAP1IN))*(((K286)-(c_TMAP1IN))*((c_TMAP2OUT)-(c_TMAP1OUT))+IF(((c_TMAP2OUT)-(c_TMAP1OUT))&gt;=0,1,-1)*QUOTIENT(((c_TMAP2IN)-(c_TMAP1IN)),2))+2147483648,4294967296)-2147483648,((c_TMAP2IN)-(c_TMAP1IN))*(((K286)-(c_TMAP1IN))*((c_TMAP2OUT)-(c_TMAP1OUT))+IF(((c_TMAP2OUT)-(c_TMAP1OUT))&gt;=0,1,-1)*QUOTIENT(((c_TMAP2IN)-(c_TMAP1IN)),2)))&lt;0,-1,0),IF(IF(o_WRAP=1,MOD(((c_TMAP2IN)-(c_TMAP1IN))*(((K286)-(c_TMAP1IN))*((c_TMAP2OUT)-(c_TMAP1OUT))+IF(((c_TMAP2OUT)-(c_TMAP1OUT))&gt;=0,1,-1)*QUOTIENT(((c_TMAP2IN)-(c_TMAP1IN)),2))+2147483648,4294967296)-2147483648,((c_TMAP2IN)-(c_TMAP1IN))*(((K286)-(c_TMAP1IN))*((c_TMAP2OUT)-(c_TMAP1OUT))+IF(((c_TMAP2OUT)-(c_TMAP1OUT))&gt;=0,1,-1)*QUOTIENT(((c_TMAP2IN)-(c_TMAP1IN)),2)))&gt;=0,1,0)))</f>
        <v>343</v>
      </c>
      <c r="O286" s="7" t="n">
        <f aca="false">IF(((c_TMAP3IN)-(c_TMAP2IN))=0,(c_TMAP2OUT)+QUOTIENT(((c_TMAP3OUT)-(c_TMAP2OUT)),2),QUOTIENT((((K286)-(c_TMAP2IN))*((c_TMAP3OUT)-(c_TMAP2OUT))+IF(((c_TMAP3OUT)-(c_TMAP2OUT))&gt;=0,1,-1)*QUOTIENT(((c_TMAP3IN)-(c_TMAP2IN)),2)),((c_TMAP3IN)-(c_TMAP2IN)))+(c_TMAP2OUT)+IF(((c_TMAP3OUT)-(c_TMAP2OUT))&gt;=0,IF(IF(o_WRAP=1,MOD(((c_TMAP3IN)-(c_TMAP2IN))*(((K286)-(c_TMAP2IN))*((c_TMAP3OUT)-(c_TMAP2OUT))+IF(((c_TMAP3OUT)-(c_TMAP2OUT))&gt;=0,1,-1)*QUOTIENT(((c_TMAP3IN)-(c_TMAP2IN)),2))+2147483648,4294967296)-2147483648,((c_TMAP3IN)-(c_TMAP2IN))*(((K286)-(c_TMAP2IN))*((c_TMAP3OUT)-(c_TMAP2OUT))+IF(((c_TMAP3OUT)-(c_TMAP2OUT))&gt;=0,1,-1)*QUOTIENT(((c_TMAP3IN)-(c_TMAP2IN)),2)))&lt;0,-1,0),IF(IF(o_WRAP=1,MOD(((c_TMAP3IN)-(c_TMAP2IN))*(((K286)-(c_TMAP2IN))*((c_TMAP3OUT)-(c_TMAP2OUT))+IF(((c_TMAP3OUT)-(c_TMAP2OUT))&gt;=0,1,-1)*QUOTIENT(((c_TMAP3IN)-(c_TMAP2IN)),2))+2147483648,4294967296)-2147483648,((c_TMAP3IN)-(c_TMAP2IN))*(((K286)-(c_TMAP2IN))*((c_TMAP3OUT)-(c_TMAP2OUT))+IF(((c_TMAP3OUT)-(c_TMAP2OUT))&gt;=0,1,-1)*QUOTIENT(((c_TMAP3IN)-(c_TMAP2IN)),2)))&gt;=0,1,0)))</f>
        <v>502</v>
      </c>
      <c r="P286" s="7" t="n">
        <f aca="false">IF(((1000)-(c_TMAP3IN))=0,(c_TMAP3OUT)+QUOTIENT(((1000)-(c_TMAP3OUT)),2),QUOTIENT((((K286)-(c_TMAP3IN))*((1000)-(c_TMAP3OUT))+IF(((1000)-(c_TMAP3OUT))&gt;=0,1,-1)*QUOTIENT(((1000)-(c_TMAP3IN)),2)),((1000)-(c_TMAP3IN)))+(c_TMAP3OUT)+IF(((1000)-(c_TMAP3OUT))&gt;=0,IF(IF(o_WRAP=1,MOD(((1000)-(c_TMAP3IN))*(((K286)-(c_TMAP3IN))*((1000)-(c_TMAP3OUT))+IF(((1000)-(c_TMAP3OUT))&gt;=0,1,-1)*QUOTIENT(((1000)-(c_TMAP3IN)),2))+2147483648,4294967296)-2147483648,((1000)-(c_TMAP3IN))*(((K286)-(c_TMAP3IN))*((1000)-(c_TMAP3OUT))+IF(((1000)-(c_TMAP3OUT))&gt;=0,1,-1)*QUOTIENT(((1000)-(c_TMAP3IN)),2)))&lt;0,-1,0),IF(IF(o_WRAP=1,MOD(((1000)-(c_TMAP3IN))*(((K286)-(c_TMAP3IN))*((1000)-(c_TMAP3OUT))+IF(((1000)-(c_TMAP3OUT))&gt;=0,1,-1)*QUOTIENT(((1000)-(c_TMAP3IN)),2))+2147483648,4294967296)-2147483648,((1000)-(c_TMAP3IN))*(((K286)-(c_TMAP3IN))*((1000)-(c_TMAP3OUT))+IF(((1000)-(c_TMAP3OUT))&gt;=0,1,-1)*QUOTIENT(((1000)-(c_TMAP3IN)),2)))&gt;=0,1,0)))</f>
        <v>732</v>
      </c>
      <c r="Q286" s="7" t="str">
        <f aca="false">IF(K286&gt;=c_TFWD,IF(AND(K286&gt;=c_TMAP3IN,c_TMAP3IN&lt;1000),"Seg4 map3-100%",IF(AND(K286&gt;=c_TMAP2IN,c_TMAP3IN&gt;c_TMAP2IN),"Seg3 map2-map3",IF(AND(K286&gt;=c_TMAP1IN,c_TMAP2IN&gt;c_TMAP1IN),"Seg2 map1-map2","Seg1 TFWD-map1"))),IF(AND(K286=0,c_TCREEP&gt;0),"Creep",IF(AND(K286&lt;=c_TRNGMIN,K286&gt;=c_TRNGMAX,c_TRNGMIN-c_TRNGMAX&lt;&gt;0),"Regen ramp","Coast (0)")))</f>
        <v>Seg4 map3-100%</v>
      </c>
      <c r="R286" s="7" t="n">
        <f aca="false">IF(K286&gt;=c_TFWD,IF(AND(K286&gt;=c_TMAP3IN,c_TMAP3IN&lt;1000),P286,IF(AND(K286&gt;=c_TMAP2IN,c_TMAP3IN&gt;c_TMAP2IN),O286,IF(AND(K286&gt;=c_TMAP1IN,c_TMAP2IN&gt;c_TMAP1IN),N286,M286))),L286)</f>
        <v>732</v>
      </c>
      <c r="S286" s="7" t="str">
        <f aca="false">IF(R286&lt;-1090,"TOO LOW",IF(R286&gt;1090,"TOO HIGH",""))</f>
        <v/>
      </c>
      <c r="T286" s="15" t="n">
        <f aca="false">IF(H286&lt;&gt;"OK",0,IF(S286&lt;&gt;"",0,IF(R286&gt;979,1000,R286)))</f>
        <v>732</v>
      </c>
      <c r="U286" s="7" t="n">
        <f aca="false">T286/10</f>
        <v>73.2</v>
      </c>
    </row>
    <row r="287" customFormat="false" ht="15" hidden="false" customHeight="false" outlineLevel="0" collapsed="false">
      <c r="A287" s="7" t="n">
        <v>282</v>
      </c>
      <c r="B287" s="7" t="n">
        <f aca="false">ROUND(o_SWSTART+A287*(o_SWEND-o_SWSTART)/400,0)</f>
        <v>2887</v>
      </c>
      <c r="C287" s="7" t="n">
        <f aca="false">QUOTIENT((B287-c_OFF1)*c_GAIN1,1024)</f>
        <v>2887</v>
      </c>
      <c r="D287" s="7" t="n">
        <f aca="false">IF(((c_T1MX)-(c_T1MN))=0,(0)+QUOTIENT(((1000)-(0)),2),QUOTIENT((((C287)-(c_T1MN))*((1000)-(0))+IF(((1000)-(0))&gt;=0,1,-1)*QUOTIENT(((c_T1MX)-(c_T1MN)),2)),((c_T1MX)-(c_T1MN)))+(0)+IF(((1000)-(0))&gt;=0,IF(IF(o_WRAP=1,MOD(((c_T1MX)-(c_T1MN))*(((C287)-(c_T1MN))*((1000)-(0))+IF(((1000)-(0))&gt;=0,1,-1)*QUOTIENT(((c_T1MX)-(c_T1MN)),2))+2147483648,4294967296)-2147483648,((c_T1MX)-(c_T1MN))*(((C287)-(c_T1MN))*((1000)-(0))+IF(((1000)-(0))&gt;=0,1,-1)*QUOTIENT(((c_T1MX)-(c_T1MN)),2)))&lt;0,-1,0),IF(IF(o_WRAP=1,MOD(((c_T1MX)-(c_T1MN))*(((C287)-(c_T1MN))*((1000)-(0))+IF(((1000)-(0))&gt;=0,1,-1)*QUOTIENT(((c_T1MX)-(c_T1MN)),2))+2147483648,4294967296)-2147483648,((c_T1MX)-(c_T1MN))*(((C287)-(c_T1MN))*((1000)-(0))+IF(((1000)-(0))&gt;=0,1,-1)*QUOTIENT(((c_T1MX)-(c_T1MN)),2)))&gt;=0,1,0)))</f>
        <v>786</v>
      </c>
      <c r="E287" s="7" t="n">
        <f aca="false">IF(AND(c_TPOT=1,c_TTYPE=2),1000-D287,D287)</f>
        <v>786</v>
      </c>
      <c r="F287" s="7" t="str">
        <f aca="false">IF(c_TPOT&gt;1,ROUND(IF(c_TTYPE=2,c_T2MX-IF(c_T1MX=c_T1MN,0,(C287-c_T1MN)/(c_T1MX-c_T1MN))*(c_T2MX-c_T2MN),c_T2MN+IF(c_T1MX=c_T1MN,0,(C287-c_T1MN)/(c_T1MX-c_T1MN))*(c_T2MX-c_T2MN))+o_MISMATCH,0),"")</f>
        <v/>
      </c>
      <c r="G287" s="7" t="str">
        <f aca="false">IF(c_TPOT&gt;1,IF(((c_T2MX)-(c_T2MN))=0,(0)+QUOTIENT(((1000)-(0)),2),QUOTIENT((((F287)-(c_T2MN))*((1000)-(0))+IF(((1000)-(0))&gt;=0,1,-1)*QUOTIENT(((c_T2MX)-(c_T2MN)),2)),((c_T2MX)-(c_T2MN)))+(0)+IF(((1000)-(0))&gt;=0,IF(IF(o_WRAP=1,MOD(((c_T2MX)-(c_T2MN))*(((F287)-(c_T2MN))*((1000)-(0))+IF(((1000)-(0))&gt;=0,1,-1)*QUOTIENT(((c_T2MX)-(c_T2MN)),2))+2147483648,4294967296)-2147483648,((c_T2MX)-(c_T2MN))*(((F287)-(c_T2MN))*((1000)-(0))+IF(((1000)-(0))&gt;=0,1,-1)*QUOTIENT(((c_T2MX)-(c_T2MN)),2)))&lt;0,-1,0),IF(IF(o_WRAP=1,MOD(((c_T2MX)-(c_T2MN))*(((F287)-(c_T2MN))*((1000)-(0))+IF(((1000)-(0))&gt;=0,1,-1)*QUOTIENT(((c_T2MX)-(c_T2MN)),2))+2147483648,4294967296)-2147483648,((c_T2MX)-(c_T2MN))*(((F287)-(c_T2MN))*((1000)-(0))+IF(((1000)-(0))&gt;=0,1,-1)*QUOTIENT(((c_T2MX)-(c_T2MN)),2)))&gt;=0,1,0))),"")</f>
        <v/>
      </c>
      <c r="H287" s="7" t="str">
        <f aca="false">IF(E287&gt;1000+k_TOL,"T1 HIGH",IF(E287&lt;0-k_TOL,"T1 LOW",IF(c_TPOT&gt;1,IF(G287&gt;1000+k_TOL,"T2 HIGH",IF(G287&lt;0-k_TOL,"T2 LOW",IF(c_TTYPE=2,IF(ABS(1000-MAX(0,MIN(1000,E287))-MAX(0,MIN(1000,G287)))&gt;k_MAXERR,"MISMATCH","OK"),IF(OR(MAX(0,MIN(1000,E287))-k_MAXERR&gt;MAX(0,MIN(1000,G287)),MAX(0,MIN(1000,G287))-k_MAXERR&gt;MAX(0,MIN(1000,E287))),"MISMATCH","OK")))),"OK")))</f>
        <v>OK</v>
      </c>
      <c r="I287" s="7" t="n">
        <f aca="false">MAX(0,MIN(1000,D287))</f>
        <v>786</v>
      </c>
      <c r="J287" s="7" t="str">
        <f aca="false">IF(c_TPOT&gt;1,IF(c_TTYPE=2,1000-MAX(0,MIN(1000,G287)),MAX(0,MIN(1000,G287))),"")</f>
        <v/>
      </c>
      <c r="K287" s="7" t="n">
        <f aca="false">IF(c_TPOT&gt;1,QUOTIENT(I287+J287,2),I287)</f>
        <v>786</v>
      </c>
      <c r="L287" s="7" t="n">
        <f aca="false">IF(AND(K287=0,c_TCREEP&gt;0),10*c_TCREEP,IF(AND(K287&lt;=c_TRNGMIN,K287&gt;=c_TRNGMAX,c_TRNGMIN-c_TRNGMAX&lt;&gt;0),-10*c_TMINRN+QUOTIENT((c_TMAXRN-c_TMINRN)*(100-QUOTIENT((K287-c_TRNGMAX)*100,c_TRNGMIN-c_TRNGMAX)),-10),0))</f>
        <v>0</v>
      </c>
      <c r="M287" s="7" t="n">
        <f aca="false">IF(((c_TMAP1IN)-(c_TFWD))=0,(0)+QUOTIENT(((c_TMAP1OUT)-(0)),2),QUOTIENT((((K287)-(c_TFWD))*((c_TMAP1OUT)-(0))+IF(((c_TMAP1OUT)-(0))&gt;=0,1,-1)*QUOTIENT(((c_TMAP1IN)-(c_TFWD)),2)),((c_TMAP1IN)-(c_TFWD)))+(0)+IF(((c_TMAP1OUT)-(0))&gt;=0,IF(IF(o_WRAP=1,MOD(((c_TMAP1IN)-(c_TFWD))*(((K287)-(c_TFWD))*((c_TMAP1OUT)-(0))+IF(((c_TMAP1OUT)-(0))&gt;=0,1,-1)*QUOTIENT(((c_TMAP1IN)-(c_TFWD)),2))+2147483648,4294967296)-2147483648,((c_TMAP1IN)-(c_TFWD))*(((K287)-(c_TFWD))*((c_TMAP1OUT)-(0))+IF(((c_TMAP1OUT)-(0))&gt;=0,1,-1)*QUOTIENT(((c_TMAP1IN)-(c_TFWD)),2)))&lt;0,-1,0),IF(IF(o_WRAP=1,MOD(((c_TMAP1IN)-(c_TFWD))*(((K287)-(c_TFWD))*((c_TMAP1OUT)-(0))+IF(((c_TMAP1OUT)-(0))&gt;=0,1,-1)*QUOTIENT(((c_TMAP1IN)-(c_TFWD)),2))+2147483648,4294967296)-2147483648,((c_TMAP1IN)-(c_TFWD))*(((K287)-(c_TFWD))*((c_TMAP1OUT)-(0))+IF(((c_TMAP1OUT)-(0))&gt;=0,1,-1)*QUOTIENT(((c_TMAP1IN)-(c_TFWD)),2)))&gt;=0,1,0)))</f>
        <v>604</v>
      </c>
      <c r="N287" s="7" t="n">
        <f aca="false">IF(((c_TMAP2IN)-(c_TMAP1IN))=0,(c_TMAP1OUT)+QUOTIENT(((c_TMAP2OUT)-(c_TMAP1OUT)),2),QUOTIENT((((K287)-(c_TMAP1IN))*((c_TMAP2OUT)-(c_TMAP1OUT))+IF(((c_TMAP2OUT)-(c_TMAP1OUT))&gt;=0,1,-1)*QUOTIENT(((c_TMAP2IN)-(c_TMAP1IN)),2)),((c_TMAP2IN)-(c_TMAP1IN)))+(c_TMAP1OUT)+IF(((c_TMAP2OUT)-(c_TMAP1OUT))&gt;=0,IF(IF(o_WRAP=1,MOD(((c_TMAP2IN)-(c_TMAP1IN))*(((K287)-(c_TMAP1IN))*((c_TMAP2OUT)-(c_TMAP1OUT))+IF(((c_TMAP2OUT)-(c_TMAP1OUT))&gt;=0,1,-1)*QUOTIENT(((c_TMAP2IN)-(c_TMAP1IN)),2))+2147483648,4294967296)-2147483648,((c_TMAP2IN)-(c_TMAP1IN))*(((K287)-(c_TMAP1IN))*((c_TMAP2OUT)-(c_TMAP1OUT))+IF(((c_TMAP2OUT)-(c_TMAP1OUT))&gt;=0,1,-1)*QUOTIENT(((c_TMAP2IN)-(c_TMAP1IN)),2)))&lt;0,-1,0),IF(IF(o_WRAP=1,MOD(((c_TMAP2IN)-(c_TMAP1IN))*(((K287)-(c_TMAP1IN))*((c_TMAP2OUT)-(c_TMAP1OUT))+IF(((c_TMAP2OUT)-(c_TMAP1OUT))&gt;=0,1,-1)*QUOTIENT(((c_TMAP2IN)-(c_TMAP1IN)),2))+2147483648,4294967296)-2147483648,((c_TMAP2IN)-(c_TMAP1IN))*(((K287)-(c_TMAP1IN))*((c_TMAP2OUT)-(c_TMAP1OUT))+IF(((c_TMAP2OUT)-(c_TMAP1OUT))&gt;=0,1,-1)*QUOTIENT(((c_TMAP2IN)-(c_TMAP1IN)),2)))&gt;=0,1,0)))</f>
        <v>344</v>
      </c>
      <c r="O287" s="7" t="n">
        <f aca="false">IF(((c_TMAP3IN)-(c_TMAP2IN))=0,(c_TMAP2OUT)+QUOTIENT(((c_TMAP3OUT)-(c_TMAP2OUT)),2),QUOTIENT((((K287)-(c_TMAP2IN))*((c_TMAP3OUT)-(c_TMAP2OUT))+IF(((c_TMAP3OUT)-(c_TMAP2OUT))&gt;=0,1,-1)*QUOTIENT(((c_TMAP3IN)-(c_TMAP2IN)),2)),((c_TMAP3IN)-(c_TMAP2IN)))+(c_TMAP2OUT)+IF(((c_TMAP3OUT)-(c_TMAP2OUT))&gt;=0,IF(IF(o_WRAP=1,MOD(((c_TMAP3IN)-(c_TMAP2IN))*(((K287)-(c_TMAP2IN))*((c_TMAP3OUT)-(c_TMAP2OUT))+IF(((c_TMAP3OUT)-(c_TMAP2OUT))&gt;=0,1,-1)*QUOTIENT(((c_TMAP3IN)-(c_TMAP2IN)),2))+2147483648,4294967296)-2147483648,((c_TMAP3IN)-(c_TMAP2IN))*(((K287)-(c_TMAP2IN))*((c_TMAP3OUT)-(c_TMAP2OUT))+IF(((c_TMAP3OUT)-(c_TMAP2OUT))&gt;=0,1,-1)*QUOTIENT(((c_TMAP3IN)-(c_TMAP2IN)),2)))&lt;0,-1,0),IF(IF(o_WRAP=1,MOD(((c_TMAP3IN)-(c_TMAP2IN))*(((K287)-(c_TMAP2IN))*((c_TMAP3OUT)-(c_TMAP2OUT))+IF(((c_TMAP3OUT)-(c_TMAP2OUT))&gt;=0,1,-1)*QUOTIENT(((c_TMAP3IN)-(c_TMAP2IN)),2))+2147483648,4294967296)-2147483648,((c_TMAP3IN)-(c_TMAP2IN))*(((K287)-(c_TMAP2IN))*((c_TMAP3OUT)-(c_TMAP2OUT))+IF(((c_TMAP3OUT)-(c_TMAP2OUT))&gt;=0,1,-1)*QUOTIENT(((c_TMAP3IN)-(c_TMAP2IN)),2)))&gt;=0,1,0)))</f>
        <v>505</v>
      </c>
      <c r="P287" s="7" t="n">
        <f aca="false">IF(((1000)-(c_TMAP3IN))=0,(c_TMAP3OUT)+QUOTIENT(((1000)-(c_TMAP3OUT)),2),QUOTIENT((((K287)-(c_TMAP3IN))*((1000)-(c_TMAP3OUT))+IF(((1000)-(c_TMAP3OUT))&gt;=0,1,-1)*QUOTIENT(((1000)-(c_TMAP3IN)),2)),((1000)-(c_TMAP3IN)))+(c_TMAP3OUT)+IF(((1000)-(c_TMAP3OUT))&gt;=0,IF(IF(o_WRAP=1,MOD(((1000)-(c_TMAP3IN))*(((K287)-(c_TMAP3IN))*((1000)-(c_TMAP3OUT))+IF(((1000)-(c_TMAP3OUT))&gt;=0,1,-1)*QUOTIENT(((1000)-(c_TMAP3IN)),2))+2147483648,4294967296)-2147483648,((1000)-(c_TMAP3IN))*(((K287)-(c_TMAP3IN))*((1000)-(c_TMAP3OUT))+IF(((1000)-(c_TMAP3OUT))&gt;=0,1,-1)*QUOTIENT(((1000)-(c_TMAP3IN)),2)))&lt;0,-1,0),IF(IF(o_WRAP=1,MOD(((1000)-(c_TMAP3IN))*(((K287)-(c_TMAP3IN))*((1000)-(c_TMAP3OUT))+IF(((1000)-(c_TMAP3OUT))&gt;=0,1,-1)*QUOTIENT(((1000)-(c_TMAP3IN)),2))+2147483648,4294967296)-2147483648,((1000)-(c_TMAP3IN))*(((K287)-(c_TMAP3IN))*((1000)-(c_TMAP3OUT))+IF(((1000)-(c_TMAP3OUT))&gt;=0,1,-1)*QUOTIENT(((1000)-(c_TMAP3IN)),2)))&gt;=0,1,0)))</f>
        <v>737</v>
      </c>
      <c r="Q287" s="7" t="str">
        <f aca="false">IF(K287&gt;=c_TFWD,IF(AND(K287&gt;=c_TMAP3IN,c_TMAP3IN&lt;1000),"Seg4 map3-100%",IF(AND(K287&gt;=c_TMAP2IN,c_TMAP3IN&gt;c_TMAP2IN),"Seg3 map2-map3",IF(AND(K287&gt;=c_TMAP1IN,c_TMAP2IN&gt;c_TMAP1IN),"Seg2 map1-map2","Seg1 TFWD-map1"))),IF(AND(K287=0,c_TCREEP&gt;0),"Creep",IF(AND(K287&lt;=c_TRNGMIN,K287&gt;=c_TRNGMAX,c_TRNGMIN-c_TRNGMAX&lt;&gt;0),"Regen ramp","Coast (0)")))</f>
        <v>Seg4 map3-100%</v>
      </c>
      <c r="R287" s="7" t="n">
        <f aca="false">IF(K287&gt;=c_TFWD,IF(AND(K287&gt;=c_TMAP3IN,c_TMAP3IN&lt;1000),P287,IF(AND(K287&gt;=c_TMAP2IN,c_TMAP3IN&gt;c_TMAP2IN),O287,IF(AND(K287&gt;=c_TMAP1IN,c_TMAP2IN&gt;c_TMAP1IN),N287,M287))),L287)</f>
        <v>737</v>
      </c>
      <c r="S287" s="7" t="str">
        <f aca="false">IF(R287&lt;-1090,"TOO LOW",IF(R287&gt;1090,"TOO HIGH",""))</f>
        <v/>
      </c>
      <c r="T287" s="15" t="n">
        <f aca="false">IF(H287&lt;&gt;"OK",0,IF(S287&lt;&gt;"",0,IF(R287&gt;979,1000,R287)))</f>
        <v>737</v>
      </c>
      <c r="U287" s="7" t="n">
        <f aca="false">T287/10</f>
        <v>73.7</v>
      </c>
    </row>
    <row r="288" customFormat="false" ht="15" hidden="false" customHeight="false" outlineLevel="0" collapsed="false">
      <c r="A288" s="7" t="n">
        <v>283</v>
      </c>
      <c r="B288" s="7" t="n">
        <f aca="false">ROUND(o_SWSTART+A288*(o_SWEND-o_SWSTART)/400,0)</f>
        <v>2897</v>
      </c>
      <c r="C288" s="7" t="n">
        <f aca="false">QUOTIENT((B288-c_OFF1)*c_GAIN1,1024)</f>
        <v>2897</v>
      </c>
      <c r="D288" s="7" t="n">
        <f aca="false">IF(((c_T1MX)-(c_T1MN))=0,(0)+QUOTIENT(((1000)-(0)),2),QUOTIENT((((C288)-(c_T1MN))*((1000)-(0))+IF(((1000)-(0))&gt;=0,1,-1)*QUOTIENT(((c_T1MX)-(c_T1MN)),2)),((c_T1MX)-(c_T1MN)))+(0)+IF(((1000)-(0))&gt;=0,IF(IF(o_WRAP=1,MOD(((c_T1MX)-(c_T1MN))*(((C288)-(c_T1MN))*((1000)-(0))+IF(((1000)-(0))&gt;=0,1,-1)*QUOTIENT(((c_T1MX)-(c_T1MN)),2))+2147483648,4294967296)-2147483648,((c_T1MX)-(c_T1MN))*(((C288)-(c_T1MN))*((1000)-(0))+IF(((1000)-(0))&gt;=0,1,-1)*QUOTIENT(((c_T1MX)-(c_T1MN)),2)))&lt;0,-1,0),IF(IF(o_WRAP=1,MOD(((c_T1MX)-(c_T1MN))*(((C288)-(c_T1MN))*((1000)-(0))+IF(((1000)-(0))&gt;=0,1,-1)*QUOTIENT(((c_T1MX)-(c_T1MN)),2))+2147483648,4294967296)-2147483648,((c_T1MX)-(c_T1MN))*(((C288)-(c_T1MN))*((1000)-(0))+IF(((1000)-(0))&gt;=0,1,-1)*QUOTIENT(((c_T1MX)-(c_T1MN)),2)))&gt;=0,1,0)))</f>
        <v>790</v>
      </c>
      <c r="E288" s="7" t="n">
        <f aca="false">IF(AND(c_TPOT=1,c_TTYPE=2),1000-D288,D288)</f>
        <v>790</v>
      </c>
      <c r="F288" s="7" t="str">
        <f aca="false">IF(c_TPOT&gt;1,ROUND(IF(c_TTYPE=2,c_T2MX-IF(c_T1MX=c_T1MN,0,(C288-c_T1MN)/(c_T1MX-c_T1MN))*(c_T2MX-c_T2MN),c_T2MN+IF(c_T1MX=c_T1MN,0,(C288-c_T1MN)/(c_T1MX-c_T1MN))*(c_T2MX-c_T2MN))+o_MISMATCH,0),"")</f>
        <v/>
      </c>
      <c r="G288" s="7" t="str">
        <f aca="false">IF(c_TPOT&gt;1,IF(((c_T2MX)-(c_T2MN))=0,(0)+QUOTIENT(((1000)-(0)),2),QUOTIENT((((F288)-(c_T2MN))*((1000)-(0))+IF(((1000)-(0))&gt;=0,1,-1)*QUOTIENT(((c_T2MX)-(c_T2MN)),2)),((c_T2MX)-(c_T2MN)))+(0)+IF(((1000)-(0))&gt;=0,IF(IF(o_WRAP=1,MOD(((c_T2MX)-(c_T2MN))*(((F288)-(c_T2MN))*((1000)-(0))+IF(((1000)-(0))&gt;=0,1,-1)*QUOTIENT(((c_T2MX)-(c_T2MN)),2))+2147483648,4294967296)-2147483648,((c_T2MX)-(c_T2MN))*(((F288)-(c_T2MN))*((1000)-(0))+IF(((1000)-(0))&gt;=0,1,-1)*QUOTIENT(((c_T2MX)-(c_T2MN)),2)))&lt;0,-1,0),IF(IF(o_WRAP=1,MOD(((c_T2MX)-(c_T2MN))*(((F288)-(c_T2MN))*((1000)-(0))+IF(((1000)-(0))&gt;=0,1,-1)*QUOTIENT(((c_T2MX)-(c_T2MN)),2))+2147483648,4294967296)-2147483648,((c_T2MX)-(c_T2MN))*(((F288)-(c_T2MN))*((1000)-(0))+IF(((1000)-(0))&gt;=0,1,-1)*QUOTIENT(((c_T2MX)-(c_T2MN)),2)))&gt;=0,1,0))),"")</f>
        <v/>
      </c>
      <c r="H288" s="7" t="str">
        <f aca="false">IF(E288&gt;1000+k_TOL,"T1 HIGH",IF(E288&lt;0-k_TOL,"T1 LOW",IF(c_TPOT&gt;1,IF(G288&gt;1000+k_TOL,"T2 HIGH",IF(G288&lt;0-k_TOL,"T2 LOW",IF(c_TTYPE=2,IF(ABS(1000-MAX(0,MIN(1000,E288))-MAX(0,MIN(1000,G288)))&gt;k_MAXERR,"MISMATCH","OK"),IF(OR(MAX(0,MIN(1000,E288))-k_MAXERR&gt;MAX(0,MIN(1000,G288)),MAX(0,MIN(1000,G288))-k_MAXERR&gt;MAX(0,MIN(1000,E288))),"MISMATCH","OK")))),"OK")))</f>
        <v>OK</v>
      </c>
      <c r="I288" s="7" t="n">
        <f aca="false">MAX(0,MIN(1000,D288))</f>
        <v>790</v>
      </c>
      <c r="J288" s="7" t="str">
        <f aca="false">IF(c_TPOT&gt;1,IF(c_TTYPE=2,1000-MAX(0,MIN(1000,G288)),MAX(0,MIN(1000,G288))),"")</f>
        <v/>
      </c>
      <c r="K288" s="7" t="n">
        <f aca="false">IF(c_TPOT&gt;1,QUOTIENT(I288+J288,2),I288)</f>
        <v>790</v>
      </c>
      <c r="L288" s="7" t="n">
        <f aca="false">IF(AND(K288=0,c_TCREEP&gt;0),10*c_TCREEP,IF(AND(K288&lt;=c_TRNGMIN,K288&gt;=c_TRNGMAX,c_TRNGMIN-c_TRNGMAX&lt;&gt;0),-10*c_TMINRN+QUOTIENT((c_TMAXRN-c_TMINRN)*(100-QUOTIENT((K288-c_TRNGMAX)*100,c_TRNGMIN-c_TRNGMAX)),-10),0))</f>
        <v>0</v>
      </c>
      <c r="M288" s="7" t="n">
        <f aca="false">IF(((c_TMAP1IN)-(c_TFWD))=0,(0)+QUOTIENT(((c_TMAP1OUT)-(0)),2),QUOTIENT((((K288)-(c_TFWD))*((c_TMAP1OUT)-(0))+IF(((c_TMAP1OUT)-(0))&gt;=0,1,-1)*QUOTIENT(((c_TMAP1IN)-(c_TFWD)),2)),((c_TMAP1IN)-(c_TFWD)))+(0)+IF(((c_TMAP1OUT)-(0))&gt;=0,IF(IF(o_WRAP=1,MOD(((c_TMAP1IN)-(c_TFWD))*(((K288)-(c_TFWD))*((c_TMAP1OUT)-(0))+IF(((c_TMAP1OUT)-(0))&gt;=0,1,-1)*QUOTIENT(((c_TMAP1IN)-(c_TFWD)),2))+2147483648,4294967296)-2147483648,((c_TMAP1IN)-(c_TFWD))*(((K288)-(c_TFWD))*((c_TMAP1OUT)-(0))+IF(((c_TMAP1OUT)-(0))&gt;=0,1,-1)*QUOTIENT(((c_TMAP1IN)-(c_TFWD)),2)))&lt;0,-1,0),IF(IF(o_WRAP=1,MOD(((c_TMAP1IN)-(c_TFWD))*(((K288)-(c_TFWD))*((c_TMAP1OUT)-(0))+IF(((c_TMAP1OUT)-(0))&gt;=0,1,-1)*QUOTIENT(((c_TMAP1IN)-(c_TFWD)),2))+2147483648,4294967296)-2147483648,((c_TMAP1IN)-(c_TFWD))*(((K288)-(c_TFWD))*((c_TMAP1OUT)-(0))+IF(((c_TMAP1OUT)-(0))&gt;=0,1,-1)*QUOTIENT(((c_TMAP1IN)-(c_TFWD)),2)))&gt;=0,1,0)))</f>
        <v>607</v>
      </c>
      <c r="N288" s="7" t="n">
        <f aca="false">IF(((c_TMAP2IN)-(c_TMAP1IN))=0,(c_TMAP1OUT)+QUOTIENT(((c_TMAP2OUT)-(c_TMAP1OUT)),2),QUOTIENT((((K288)-(c_TMAP1IN))*((c_TMAP2OUT)-(c_TMAP1OUT))+IF(((c_TMAP2OUT)-(c_TMAP1OUT))&gt;=0,1,-1)*QUOTIENT(((c_TMAP2IN)-(c_TMAP1IN)),2)),((c_TMAP2IN)-(c_TMAP1IN)))+(c_TMAP1OUT)+IF(((c_TMAP2OUT)-(c_TMAP1OUT))&gt;=0,IF(IF(o_WRAP=1,MOD(((c_TMAP2IN)-(c_TMAP1IN))*(((K288)-(c_TMAP1IN))*((c_TMAP2OUT)-(c_TMAP1OUT))+IF(((c_TMAP2OUT)-(c_TMAP1OUT))&gt;=0,1,-1)*QUOTIENT(((c_TMAP2IN)-(c_TMAP1IN)),2))+2147483648,4294967296)-2147483648,((c_TMAP2IN)-(c_TMAP1IN))*(((K288)-(c_TMAP1IN))*((c_TMAP2OUT)-(c_TMAP1OUT))+IF(((c_TMAP2OUT)-(c_TMAP1OUT))&gt;=0,1,-1)*QUOTIENT(((c_TMAP2IN)-(c_TMAP1IN)),2)))&lt;0,-1,0),IF(IF(o_WRAP=1,MOD(((c_TMAP2IN)-(c_TMAP1IN))*(((K288)-(c_TMAP1IN))*((c_TMAP2OUT)-(c_TMAP1OUT))+IF(((c_TMAP2OUT)-(c_TMAP1OUT))&gt;=0,1,-1)*QUOTIENT(((c_TMAP2IN)-(c_TMAP1IN)),2))+2147483648,4294967296)-2147483648,((c_TMAP2IN)-(c_TMAP1IN))*(((K288)-(c_TMAP1IN))*((c_TMAP2OUT)-(c_TMAP1OUT))+IF(((c_TMAP2OUT)-(c_TMAP1OUT))&gt;=0,1,-1)*QUOTIENT(((c_TMAP2IN)-(c_TMAP1IN)),2)))&gt;=0,1,0)))</f>
        <v>346</v>
      </c>
      <c r="O288" s="7" t="n">
        <f aca="false">IF(((c_TMAP3IN)-(c_TMAP2IN))=0,(c_TMAP2OUT)+QUOTIENT(((c_TMAP3OUT)-(c_TMAP2OUT)),2),QUOTIENT((((K288)-(c_TMAP2IN))*((c_TMAP3OUT)-(c_TMAP2OUT))+IF(((c_TMAP3OUT)-(c_TMAP2OUT))&gt;=0,1,-1)*QUOTIENT(((c_TMAP3IN)-(c_TMAP2IN)),2)),((c_TMAP3IN)-(c_TMAP2IN)))+(c_TMAP2OUT)+IF(((c_TMAP3OUT)-(c_TMAP2OUT))&gt;=0,IF(IF(o_WRAP=1,MOD(((c_TMAP3IN)-(c_TMAP2IN))*(((K288)-(c_TMAP2IN))*((c_TMAP3OUT)-(c_TMAP2OUT))+IF(((c_TMAP3OUT)-(c_TMAP2OUT))&gt;=0,1,-1)*QUOTIENT(((c_TMAP3IN)-(c_TMAP2IN)),2))+2147483648,4294967296)-2147483648,((c_TMAP3IN)-(c_TMAP2IN))*(((K288)-(c_TMAP2IN))*((c_TMAP3OUT)-(c_TMAP2OUT))+IF(((c_TMAP3OUT)-(c_TMAP2OUT))&gt;=0,1,-1)*QUOTIENT(((c_TMAP3IN)-(c_TMAP2IN)),2)))&lt;0,-1,0),IF(IF(o_WRAP=1,MOD(((c_TMAP3IN)-(c_TMAP2IN))*(((K288)-(c_TMAP2IN))*((c_TMAP3OUT)-(c_TMAP2OUT))+IF(((c_TMAP3OUT)-(c_TMAP2OUT))&gt;=0,1,-1)*QUOTIENT(((c_TMAP3IN)-(c_TMAP2IN)),2))+2147483648,4294967296)-2147483648,((c_TMAP3IN)-(c_TMAP2IN))*(((K288)-(c_TMAP2IN))*((c_TMAP3OUT)-(c_TMAP2OUT))+IF(((c_TMAP3OUT)-(c_TMAP2OUT))&gt;=0,1,-1)*QUOTIENT(((c_TMAP3IN)-(c_TMAP2IN)),2)))&gt;=0,1,0)))</f>
        <v>508</v>
      </c>
      <c r="P288" s="7" t="n">
        <f aca="false">IF(((1000)-(c_TMAP3IN))=0,(c_TMAP3OUT)+QUOTIENT(((1000)-(c_TMAP3OUT)),2),QUOTIENT((((K288)-(c_TMAP3IN))*((1000)-(c_TMAP3OUT))+IF(((1000)-(c_TMAP3OUT))&gt;=0,1,-1)*QUOTIENT(((1000)-(c_TMAP3IN)),2)),((1000)-(c_TMAP3IN)))+(c_TMAP3OUT)+IF(((1000)-(c_TMAP3OUT))&gt;=0,IF(IF(o_WRAP=1,MOD(((1000)-(c_TMAP3IN))*(((K288)-(c_TMAP3IN))*((1000)-(c_TMAP3OUT))+IF(((1000)-(c_TMAP3OUT))&gt;=0,1,-1)*QUOTIENT(((1000)-(c_TMAP3IN)),2))+2147483648,4294967296)-2147483648,((1000)-(c_TMAP3IN))*(((K288)-(c_TMAP3IN))*((1000)-(c_TMAP3OUT))+IF(((1000)-(c_TMAP3OUT))&gt;=0,1,-1)*QUOTIENT(((1000)-(c_TMAP3IN)),2)))&lt;0,-1,0),IF(IF(o_WRAP=1,MOD(((1000)-(c_TMAP3IN))*(((K288)-(c_TMAP3IN))*((1000)-(c_TMAP3OUT))+IF(((1000)-(c_TMAP3OUT))&gt;=0,1,-1)*QUOTIENT(((1000)-(c_TMAP3IN)),2))+2147483648,4294967296)-2147483648,((1000)-(c_TMAP3IN))*(((K288)-(c_TMAP3IN))*((1000)-(c_TMAP3OUT))+IF(((1000)-(c_TMAP3OUT))&gt;=0,1,-1)*QUOTIENT(((1000)-(c_TMAP3IN)),2)))&gt;=0,1,0)))</f>
        <v>742</v>
      </c>
      <c r="Q288" s="7" t="str">
        <f aca="false">IF(K288&gt;=c_TFWD,IF(AND(K288&gt;=c_TMAP3IN,c_TMAP3IN&lt;1000),"Seg4 map3-100%",IF(AND(K288&gt;=c_TMAP2IN,c_TMAP3IN&gt;c_TMAP2IN),"Seg3 map2-map3",IF(AND(K288&gt;=c_TMAP1IN,c_TMAP2IN&gt;c_TMAP1IN),"Seg2 map1-map2","Seg1 TFWD-map1"))),IF(AND(K288=0,c_TCREEP&gt;0),"Creep",IF(AND(K288&lt;=c_TRNGMIN,K288&gt;=c_TRNGMAX,c_TRNGMIN-c_TRNGMAX&lt;&gt;0),"Regen ramp","Coast (0)")))</f>
        <v>Seg4 map3-100%</v>
      </c>
      <c r="R288" s="7" t="n">
        <f aca="false">IF(K288&gt;=c_TFWD,IF(AND(K288&gt;=c_TMAP3IN,c_TMAP3IN&lt;1000),P288,IF(AND(K288&gt;=c_TMAP2IN,c_TMAP3IN&gt;c_TMAP2IN),O288,IF(AND(K288&gt;=c_TMAP1IN,c_TMAP2IN&gt;c_TMAP1IN),N288,M288))),L288)</f>
        <v>742</v>
      </c>
      <c r="S288" s="7" t="str">
        <f aca="false">IF(R288&lt;-1090,"TOO LOW",IF(R288&gt;1090,"TOO HIGH",""))</f>
        <v/>
      </c>
      <c r="T288" s="15" t="n">
        <f aca="false">IF(H288&lt;&gt;"OK",0,IF(S288&lt;&gt;"",0,IF(R288&gt;979,1000,R288)))</f>
        <v>742</v>
      </c>
      <c r="U288" s="7" t="n">
        <f aca="false">T288/10</f>
        <v>74.2</v>
      </c>
    </row>
    <row r="289" customFormat="false" ht="15" hidden="false" customHeight="false" outlineLevel="0" collapsed="false">
      <c r="A289" s="7" t="n">
        <v>284</v>
      </c>
      <c r="B289" s="7" t="n">
        <f aca="false">ROUND(o_SWSTART+A289*(o_SWEND-o_SWSTART)/400,0)</f>
        <v>2907</v>
      </c>
      <c r="C289" s="7" t="n">
        <f aca="false">QUOTIENT((B289-c_OFF1)*c_GAIN1,1024)</f>
        <v>2907</v>
      </c>
      <c r="D289" s="7" t="n">
        <f aca="false">IF(((c_T1MX)-(c_T1MN))=0,(0)+QUOTIENT(((1000)-(0)),2),QUOTIENT((((C289)-(c_T1MN))*((1000)-(0))+IF(((1000)-(0))&gt;=0,1,-1)*QUOTIENT(((c_T1MX)-(c_T1MN)),2)),((c_T1MX)-(c_T1MN)))+(0)+IF(((1000)-(0))&gt;=0,IF(IF(o_WRAP=1,MOD(((c_T1MX)-(c_T1MN))*(((C289)-(c_T1MN))*((1000)-(0))+IF(((1000)-(0))&gt;=0,1,-1)*QUOTIENT(((c_T1MX)-(c_T1MN)),2))+2147483648,4294967296)-2147483648,((c_T1MX)-(c_T1MN))*(((C289)-(c_T1MN))*((1000)-(0))+IF(((1000)-(0))&gt;=0,1,-1)*QUOTIENT(((c_T1MX)-(c_T1MN)),2)))&lt;0,-1,0),IF(IF(o_WRAP=1,MOD(((c_T1MX)-(c_T1MN))*(((C289)-(c_T1MN))*((1000)-(0))+IF(((1000)-(0))&gt;=0,1,-1)*QUOTIENT(((c_T1MX)-(c_T1MN)),2))+2147483648,4294967296)-2147483648,((c_T1MX)-(c_T1MN))*(((C289)-(c_T1MN))*((1000)-(0))+IF(((1000)-(0))&gt;=0,1,-1)*QUOTIENT(((c_T1MX)-(c_T1MN)),2)))&gt;=0,1,0)))</f>
        <v>793</v>
      </c>
      <c r="E289" s="7" t="n">
        <f aca="false">IF(AND(c_TPOT=1,c_TTYPE=2),1000-D289,D289)</f>
        <v>793</v>
      </c>
      <c r="F289" s="7" t="str">
        <f aca="false">IF(c_TPOT&gt;1,ROUND(IF(c_TTYPE=2,c_T2MX-IF(c_T1MX=c_T1MN,0,(C289-c_T1MN)/(c_T1MX-c_T1MN))*(c_T2MX-c_T2MN),c_T2MN+IF(c_T1MX=c_T1MN,0,(C289-c_T1MN)/(c_T1MX-c_T1MN))*(c_T2MX-c_T2MN))+o_MISMATCH,0),"")</f>
        <v/>
      </c>
      <c r="G289" s="7" t="str">
        <f aca="false">IF(c_TPOT&gt;1,IF(((c_T2MX)-(c_T2MN))=0,(0)+QUOTIENT(((1000)-(0)),2),QUOTIENT((((F289)-(c_T2MN))*((1000)-(0))+IF(((1000)-(0))&gt;=0,1,-1)*QUOTIENT(((c_T2MX)-(c_T2MN)),2)),((c_T2MX)-(c_T2MN)))+(0)+IF(((1000)-(0))&gt;=0,IF(IF(o_WRAP=1,MOD(((c_T2MX)-(c_T2MN))*(((F289)-(c_T2MN))*((1000)-(0))+IF(((1000)-(0))&gt;=0,1,-1)*QUOTIENT(((c_T2MX)-(c_T2MN)),2))+2147483648,4294967296)-2147483648,((c_T2MX)-(c_T2MN))*(((F289)-(c_T2MN))*((1000)-(0))+IF(((1000)-(0))&gt;=0,1,-1)*QUOTIENT(((c_T2MX)-(c_T2MN)),2)))&lt;0,-1,0),IF(IF(o_WRAP=1,MOD(((c_T2MX)-(c_T2MN))*(((F289)-(c_T2MN))*((1000)-(0))+IF(((1000)-(0))&gt;=0,1,-1)*QUOTIENT(((c_T2MX)-(c_T2MN)),2))+2147483648,4294967296)-2147483648,((c_T2MX)-(c_T2MN))*(((F289)-(c_T2MN))*((1000)-(0))+IF(((1000)-(0))&gt;=0,1,-1)*QUOTIENT(((c_T2MX)-(c_T2MN)),2)))&gt;=0,1,0))),"")</f>
        <v/>
      </c>
      <c r="H289" s="7" t="str">
        <f aca="false">IF(E289&gt;1000+k_TOL,"T1 HIGH",IF(E289&lt;0-k_TOL,"T1 LOW",IF(c_TPOT&gt;1,IF(G289&gt;1000+k_TOL,"T2 HIGH",IF(G289&lt;0-k_TOL,"T2 LOW",IF(c_TTYPE=2,IF(ABS(1000-MAX(0,MIN(1000,E289))-MAX(0,MIN(1000,G289)))&gt;k_MAXERR,"MISMATCH","OK"),IF(OR(MAX(0,MIN(1000,E289))-k_MAXERR&gt;MAX(0,MIN(1000,G289)),MAX(0,MIN(1000,G289))-k_MAXERR&gt;MAX(0,MIN(1000,E289))),"MISMATCH","OK")))),"OK")))</f>
        <v>OK</v>
      </c>
      <c r="I289" s="7" t="n">
        <f aca="false">MAX(0,MIN(1000,D289))</f>
        <v>793</v>
      </c>
      <c r="J289" s="7" t="str">
        <f aca="false">IF(c_TPOT&gt;1,IF(c_TTYPE=2,1000-MAX(0,MIN(1000,G289)),MAX(0,MIN(1000,G289))),"")</f>
        <v/>
      </c>
      <c r="K289" s="7" t="n">
        <f aca="false">IF(c_TPOT&gt;1,QUOTIENT(I289+J289,2),I289)</f>
        <v>793</v>
      </c>
      <c r="L289" s="7" t="n">
        <f aca="false">IF(AND(K289=0,c_TCREEP&gt;0),10*c_TCREEP,IF(AND(K289&lt;=c_TRNGMIN,K289&gt;=c_TRNGMAX,c_TRNGMIN-c_TRNGMAX&lt;&gt;0),-10*c_TMINRN+QUOTIENT((c_TMAXRN-c_TMINRN)*(100-QUOTIENT((K289-c_TRNGMAX)*100,c_TRNGMIN-c_TRNGMAX)),-10),0))</f>
        <v>0</v>
      </c>
      <c r="M289" s="7" t="n">
        <f aca="false">IF(((c_TMAP1IN)-(c_TFWD))=0,(0)+QUOTIENT(((c_TMAP1OUT)-(0)),2),QUOTIENT((((K289)-(c_TFWD))*((c_TMAP1OUT)-(0))+IF(((c_TMAP1OUT)-(0))&gt;=0,1,-1)*QUOTIENT(((c_TMAP1IN)-(c_TFWD)),2)),((c_TMAP1IN)-(c_TFWD)))+(0)+IF(((c_TMAP1OUT)-(0))&gt;=0,IF(IF(o_WRAP=1,MOD(((c_TMAP1IN)-(c_TFWD))*(((K289)-(c_TFWD))*((c_TMAP1OUT)-(0))+IF(((c_TMAP1OUT)-(0))&gt;=0,1,-1)*QUOTIENT(((c_TMAP1IN)-(c_TFWD)),2))+2147483648,4294967296)-2147483648,((c_TMAP1IN)-(c_TFWD))*(((K289)-(c_TFWD))*((c_TMAP1OUT)-(0))+IF(((c_TMAP1OUT)-(0))&gt;=0,1,-1)*QUOTIENT(((c_TMAP1IN)-(c_TFWD)),2)))&lt;0,-1,0),IF(IF(o_WRAP=1,MOD(((c_TMAP1IN)-(c_TFWD))*(((K289)-(c_TFWD))*((c_TMAP1OUT)-(0))+IF(((c_TMAP1OUT)-(0))&gt;=0,1,-1)*QUOTIENT(((c_TMAP1IN)-(c_TFWD)),2))+2147483648,4294967296)-2147483648,((c_TMAP1IN)-(c_TFWD))*(((K289)-(c_TFWD))*((c_TMAP1OUT)-(0))+IF(((c_TMAP1OUT)-(0))&gt;=0,1,-1)*QUOTIENT(((c_TMAP1IN)-(c_TFWD)),2)))&gt;=0,1,0)))</f>
        <v>609</v>
      </c>
      <c r="N289" s="7" t="n">
        <f aca="false">IF(((c_TMAP2IN)-(c_TMAP1IN))=0,(c_TMAP1OUT)+QUOTIENT(((c_TMAP2OUT)-(c_TMAP1OUT)),2),QUOTIENT((((K289)-(c_TMAP1IN))*((c_TMAP2OUT)-(c_TMAP1OUT))+IF(((c_TMAP2OUT)-(c_TMAP1OUT))&gt;=0,1,-1)*QUOTIENT(((c_TMAP2IN)-(c_TMAP1IN)),2)),((c_TMAP2IN)-(c_TMAP1IN)))+(c_TMAP1OUT)+IF(((c_TMAP2OUT)-(c_TMAP1OUT))&gt;=0,IF(IF(o_WRAP=1,MOD(((c_TMAP2IN)-(c_TMAP1IN))*(((K289)-(c_TMAP1IN))*((c_TMAP2OUT)-(c_TMAP1OUT))+IF(((c_TMAP2OUT)-(c_TMAP1OUT))&gt;=0,1,-1)*QUOTIENT(((c_TMAP2IN)-(c_TMAP1IN)),2))+2147483648,4294967296)-2147483648,((c_TMAP2IN)-(c_TMAP1IN))*(((K289)-(c_TMAP1IN))*((c_TMAP2OUT)-(c_TMAP1OUT))+IF(((c_TMAP2OUT)-(c_TMAP1OUT))&gt;=0,1,-1)*QUOTIENT(((c_TMAP2IN)-(c_TMAP1IN)),2)))&lt;0,-1,0),IF(IF(o_WRAP=1,MOD(((c_TMAP2IN)-(c_TMAP1IN))*(((K289)-(c_TMAP1IN))*((c_TMAP2OUT)-(c_TMAP1OUT))+IF(((c_TMAP2OUT)-(c_TMAP1OUT))&gt;=0,1,-1)*QUOTIENT(((c_TMAP2IN)-(c_TMAP1IN)),2))+2147483648,4294967296)-2147483648,((c_TMAP2IN)-(c_TMAP1IN))*(((K289)-(c_TMAP1IN))*((c_TMAP2OUT)-(c_TMAP1OUT))+IF(((c_TMAP2OUT)-(c_TMAP1OUT))&gt;=0,1,-1)*QUOTIENT(((c_TMAP2IN)-(c_TMAP1IN)),2)))&gt;=0,1,0)))</f>
        <v>347</v>
      </c>
      <c r="O289" s="7" t="n">
        <f aca="false">IF(((c_TMAP3IN)-(c_TMAP2IN))=0,(c_TMAP2OUT)+QUOTIENT(((c_TMAP3OUT)-(c_TMAP2OUT)),2),QUOTIENT((((K289)-(c_TMAP2IN))*((c_TMAP3OUT)-(c_TMAP2OUT))+IF(((c_TMAP3OUT)-(c_TMAP2OUT))&gt;=0,1,-1)*QUOTIENT(((c_TMAP3IN)-(c_TMAP2IN)),2)),((c_TMAP3IN)-(c_TMAP2IN)))+(c_TMAP2OUT)+IF(((c_TMAP3OUT)-(c_TMAP2OUT))&gt;=0,IF(IF(o_WRAP=1,MOD(((c_TMAP3IN)-(c_TMAP2IN))*(((K289)-(c_TMAP2IN))*((c_TMAP3OUT)-(c_TMAP2OUT))+IF(((c_TMAP3OUT)-(c_TMAP2OUT))&gt;=0,1,-1)*QUOTIENT(((c_TMAP3IN)-(c_TMAP2IN)),2))+2147483648,4294967296)-2147483648,((c_TMAP3IN)-(c_TMAP2IN))*(((K289)-(c_TMAP2IN))*((c_TMAP3OUT)-(c_TMAP2OUT))+IF(((c_TMAP3OUT)-(c_TMAP2OUT))&gt;=0,1,-1)*QUOTIENT(((c_TMAP3IN)-(c_TMAP2IN)),2)))&lt;0,-1,0),IF(IF(o_WRAP=1,MOD(((c_TMAP3IN)-(c_TMAP2IN))*(((K289)-(c_TMAP2IN))*((c_TMAP3OUT)-(c_TMAP2OUT))+IF(((c_TMAP3OUT)-(c_TMAP2OUT))&gt;=0,1,-1)*QUOTIENT(((c_TMAP3IN)-(c_TMAP2IN)),2))+2147483648,4294967296)-2147483648,((c_TMAP3IN)-(c_TMAP2IN))*(((K289)-(c_TMAP2IN))*((c_TMAP3OUT)-(c_TMAP2OUT))+IF(((c_TMAP3OUT)-(c_TMAP2OUT))&gt;=0,1,-1)*QUOTIENT(((c_TMAP3IN)-(c_TMAP2IN)),2)))&gt;=0,1,0)))</f>
        <v>510</v>
      </c>
      <c r="P289" s="7" t="n">
        <f aca="false">IF(((1000)-(c_TMAP3IN))=0,(c_TMAP3OUT)+QUOTIENT(((1000)-(c_TMAP3OUT)),2),QUOTIENT((((K289)-(c_TMAP3IN))*((1000)-(c_TMAP3OUT))+IF(((1000)-(c_TMAP3OUT))&gt;=0,1,-1)*QUOTIENT(((1000)-(c_TMAP3IN)),2)),((1000)-(c_TMAP3IN)))+(c_TMAP3OUT)+IF(((1000)-(c_TMAP3OUT))&gt;=0,IF(IF(o_WRAP=1,MOD(((1000)-(c_TMAP3IN))*(((K289)-(c_TMAP3IN))*((1000)-(c_TMAP3OUT))+IF(((1000)-(c_TMAP3OUT))&gt;=0,1,-1)*QUOTIENT(((1000)-(c_TMAP3IN)),2))+2147483648,4294967296)-2147483648,((1000)-(c_TMAP3IN))*(((K289)-(c_TMAP3IN))*((1000)-(c_TMAP3OUT))+IF(((1000)-(c_TMAP3OUT))&gt;=0,1,-1)*QUOTIENT(((1000)-(c_TMAP3IN)),2)))&lt;0,-1,0),IF(IF(o_WRAP=1,MOD(((1000)-(c_TMAP3IN))*(((K289)-(c_TMAP3IN))*((1000)-(c_TMAP3OUT))+IF(((1000)-(c_TMAP3OUT))&gt;=0,1,-1)*QUOTIENT(((1000)-(c_TMAP3IN)),2))+2147483648,4294967296)-2147483648,((1000)-(c_TMAP3IN))*(((K289)-(c_TMAP3IN))*((1000)-(c_TMAP3OUT))+IF(((1000)-(c_TMAP3OUT))&gt;=0,1,-1)*QUOTIENT(((1000)-(c_TMAP3IN)),2)))&gt;=0,1,0)))</f>
        <v>745</v>
      </c>
      <c r="Q289" s="7" t="str">
        <f aca="false">IF(K289&gt;=c_TFWD,IF(AND(K289&gt;=c_TMAP3IN,c_TMAP3IN&lt;1000),"Seg4 map3-100%",IF(AND(K289&gt;=c_TMAP2IN,c_TMAP3IN&gt;c_TMAP2IN),"Seg3 map2-map3",IF(AND(K289&gt;=c_TMAP1IN,c_TMAP2IN&gt;c_TMAP1IN),"Seg2 map1-map2","Seg1 TFWD-map1"))),IF(AND(K289=0,c_TCREEP&gt;0),"Creep",IF(AND(K289&lt;=c_TRNGMIN,K289&gt;=c_TRNGMAX,c_TRNGMIN-c_TRNGMAX&lt;&gt;0),"Regen ramp","Coast (0)")))</f>
        <v>Seg4 map3-100%</v>
      </c>
      <c r="R289" s="7" t="n">
        <f aca="false">IF(K289&gt;=c_TFWD,IF(AND(K289&gt;=c_TMAP3IN,c_TMAP3IN&lt;1000),P289,IF(AND(K289&gt;=c_TMAP2IN,c_TMAP3IN&gt;c_TMAP2IN),O289,IF(AND(K289&gt;=c_TMAP1IN,c_TMAP2IN&gt;c_TMAP1IN),N289,M289))),L289)</f>
        <v>745</v>
      </c>
      <c r="S289" s="7" t="str">
        <f aca="false">IF(R289&lt;-1090,"TOO LOW",IF(R289&gt;1090,"TOO HIGH",""))</f>
        <v/>
      </c>
      <c r="T289" s="15" t="n">
        <f aca="false">IF(H289&lt;&gt;"OK",0,IF(S289&lt;&gt;"",0,IF(R289&gt;979,1000,R289)))</f>
        <v>745</v>
      </c>
      <c r="U289" s="7" t="n">
        <f aca="false">T289/10</f>
        <v>74.5</v>
      </c>
    </row>
    <row r="290" customFormat="false" ht="15" hidden="false" customHeight="false" outlineLevel="0" collapsed="false">
      <c r="A290" s="7" t="n">
        <v>285</v>
      </c>
      <c r="B290" s="7" t="n">
        <f aca="false">ROUND(o_SWSTART+A290*(o_SWEND-o_SWSTART)/400,0)</f>
        <v>2918</v>
      </c>
      <c r="C290" s="7" t="n">
        <f aca="false">QUOTIENT((B290-c_OFF1)*c_GAIN1,1024)</f>
        <v>2918</v>
      </c>
      <c r="D290" s="7" t="n">
        <f aca="false">IF(((c_T1MX)-(c_T1MN))=0,(0)+QUOTIENT(((1000)-(0)),2),QUOTIENT((((C290)-(c_T1MN))*((1000)-(0))+IF(((1000)-(0))&gt;=0,1,-1)*QUOTIENT(((c_T1MX)-(c_T1MN)),2)),((c_T1MX)-(c_T1MN)))+(0)+IF(((1000)-(0))&gt;=0,IF(IF(o_WRAP=1,MOD(((c_T1MX)-(c_T1MN))*(((C290)-(c_T1MN))*((1000)-(0))+IF(((1000)-(0))&gt;=0,1,-1)*QUOTIENT(((c_T1MX)-(c_T1MN)),2))+2147483648,4294967296)-2147483648,((c_T1MX)-(c_T1MN))*(((C290)-(c_T1MN))*((1000)-(0))+IF(((1000)-(0))&gt;=0,1,-1)*QUOTIENT(((c_T1MX)-(c_T1MN)),2)))&lt;0,-1,0),IF(IF(o_WRAP=1,MOD(((c_T1MX)-(c_T1MN))*(((C290)-(c_T1MN))*((1000)-(0))+IF(((1000)-(0))&gt;=0,1,-1)*QUOTIENT(((c_T1MX)-(c_T1MN)),2))+2147483648,4294967296)-2147483648,((c_T1MX)-(c_T1MN))*(((C290)-(c_T1MN))*((1000)-(0))+IF(((1000)-(0))&gt;=0,1,-1)*QUOTIENT(((c_T1MX)-(c_T1MN)),2)))&gt;=0,1,0)))</f>
        <v>797</v>
      </c>
      <c r="E290" s="7" t="n">
        <f aca="false">IF(AND(c_TPOT=1,c_TTYPE=2),1000-D290,D290)</f>
        <v>797</v>
      </c>
      <c r="F290" s="7" t="str">
        <f aca="false">IF(c_TPOT&gt;1,ROUND(IF(c_TTYPE=2,c_T2MX-IF(c_T1MX=c_T1MN,0,(C290-c_T1MN)/(c_T1MX-c_T1MN))*(c_T2MX-c_T2MN),c_T2MN+IF(c_T1MX=c_T1MN,0,(C290-c_T1MN)/(c_T1MX-c_T1MN))*(c_T2MX-c_T2MN))+o_MISMATCH,0),"")</f>
        <v/>
      </c>
      <c r="G290" s="7" t="str">
        <f aca="false">IF(c_TPOT&gt;1,IF(((c_T2MX)-(c_T2MN))=0,(0)+QUOTIENT(((1000)-(0)),2),QUOTIENT((((F290)-(c_T2MN))*((1000)-(0))+IF(((1000)-(0))&gt;=0,1,-1)*QUOTIENT(((c_T2MX)-(c_T2MN)),2)),((c_T2MX)-(c_T2MN)))+(0)+IF(((1000)-(0))&gt;=0,IF(IF(o_WRAP=1,MOD(((c_T2MX)-(c_T2MN))*(((F290)-(c_T2MN))*((1000)-(0))+IF(((1000)-(0))&gt;=0,1,-1)*QUOTIENT(((c_T2MX)-(c_T2MN)),2))+2147483648,4294967296)-2147483648,((c_T2MX)-(c_T2MN))*(((F290)-(c_T2MN))*((1000)-(0))+IF(((1000)-(0))&gt;=0,1,-1)*QUOTIENT(((c_T2MX)-(c_T2MN)),2)))&lt;0,-1,0),IF(IF(o_WRAP=1,MOD(((c_T2MX)-(c_T2MN))*(((F290)-(c_T2MN))*((1000)-(0))+IF(((1000)-(0))&gt;=0,1,-1)*QUOTIENT(((c_T2MX)-(c_T2MN)),2))+2147483648,4294967296)-2147483648,((c_T2MX)-(c_T2MN))*(((F290)-(c_T2MN))*((1000)-(0))+IF(((1000)-(0))&gt;=0,1,-1)*QUOTIENT(((c_T2MX)-(c_T2MN)),2)))&gt;=0,1,0))),"")</f>
        <v/>
      </c>
      <c r="H290" s="7" t="str">
        <f aca="false">IF(E290&gt;1000+k_TOL,"T1 HIGH",IF(E290&lt;0-k_TOL,"T1 LOW",IF(c_TPOT&gt;1,IF(G290&gt;1000+k_TOL,"T2 HIGH",IF(G290&lt;0-k_TOL,"T2 LOW",IF(c_TTYPE=2,IF(ABS(1000-MAX(0,MIN(1000,E290))-MAX(0,MIN(1000,G290)))&gt;k_MAXERR,"MISMATCH","OK"),IF(OR(MAX(0,MIN(1000,E290))-k_MAXERR&gt;MAX(0,MIN(1000,G290)),MAX(0,MIN(1000,G290))-k_MAXERR&gt;MAX(0,MIN(1000,E290))),"MISMATCH","OK")))),"OK")))</f>
        <v>OK</v>
      </c>
      <c r="I290" s="7" t="n">
        <f aca="false">MAX(0,MIN(1000,D290))</f>
        <v>797</v>
      </c>
      <c r="J290" s="7" t="str">
        <f aca="false">IF(c_TPOT&gt;1,IF(c_TTYPE=2,1000-MAX(0,MIN(1000,G290)),MAX(0,MIN(1000,G290))),"")</f>
        <v/>
      </c>
      <c r="K290" s="7" t="n">
        <f aca="false">IF(c_TPOT&gt;1,QUOTIENT(I290+J290,2),I290)</f>
        <v>797</v>
      </c>
      <c r="L290" s="7" t="n">
        <f aca="false">IF(AND(K290=0,c_TCREEP&gt;0),10*c_TCREEP,IF(AND(K290&lt;=c_TRNGMIN,K290&gt;=c_TRNGMAX,c_TRNGMIN-c_TRNGMAX&lt;&gt;0),-10*c_TMINRN+QUOTIENT((c_TMAXRN-c_TMINRN)*(100-QUOTIENT((K290-c_TRNGMAX)*100,c_TRNGMIN-c_TRNGMAX)),-10),0))</f>
        <v>0</v>
      </c>
      <c r="M290" s="7" t="n">
        <f aca="false">IF(((c_TMAP1IN)-(c_TFWD))=0,(0)+QUOTIENT(((c_TMAP1OUT)-(0)),2),QUOTIENT((((K290)-(c_TFWD))*((c_TMAP1OUT)-(0))+IF(((c_TMAP1OUT)-(0))&gt;=0,1,-1)*QUOTIENT(((c_TMAP1IN)-(c_TFWD)),2)),((c_TMAP1IN)-(c_TFWD)))+(0)+IF(((c_TMAP1OUT)-(0))&gt;=0,IF(IF(o_WRAP=1,MOD(((c_TMAP1IN)-(c_TFWD))*(((K290)-(c_TFWD))*((c_TMAP1OUT)-(0))+IF(((c_TMAP1OUT)-(0))&gt;=0,1,-1)*QUOTIENT(((c_TMAP1IN)-(c_TFWD)),2))+2147483648,4294967296)-2147483648,((c_TMAP1IN)-(c_TFWD))*(((K290)-(c_TFWD))*((c_TMAP1OUT)-(0))+IF(((c_TMAP1OUT)-(0))&gt;=0,1,-1)*QUOTIENT(((c_TMAP1IN)-(c_TFWD)),2)))&lt;0,-1,0),IF(IF(o_WRAP=1,MOD(((c_TMAP1IN)-(c_TFWD))*(((K290)-(c_TFWD))*((c_TMAP1OUT)-(0))+IF(((c_TMAP1OUT)-(0))&gt;=0,1,-1)*QUOTIENT(((c_TMAP1IN)-(c_TFWD)),2))+2147483648,4294967296)-2147483648,((c_TMAP1IN)-(c_TFWD))*(((K290)-(c_TFWD))*((c_TMAP1OUT)-(0))+IF(((c_TMAP1OUT)-(0))&gt;=0,1,-1)*QUOTIENT(((c_TMAP1IN)-(c_TFWD)),2)))&gt;=0,1,0)))</f>
        <v>612</v>
      </c>
      <c r="N290" s="7" t="n">
        <f aca="false">IF(((c_TMAP2IN)-(c_TMAP1IN))=0,(c_TMAP1OUT)+QUOTIENT(((c_TMAP2OUT)-(c_TMAP1OUT)),2),QUOTIENT((((K290)-(c_TMAP1IN))*((c_TMAP2OUT)-(c_TMAP1OUT))+IF(((c_TMAP2OUT)-(c_TMAP1OUT))&gt;=0,1,-1)*QUOTIENT(((c_TMAP2IN)-(c_TMAP1IN)),2)),((c_TMAP2IN)-(c_TMAP1IN)))+(c_TMAP1OUT)+IF(((c_TMAP2OUT)-(c_TMAP1OUT))&gt;=0,IF(IF(o_WRAP=1,MOD(((c_TMAP2IN)-(c_TMAP1IN))*(((K290)-(c_TMAP1IN))*((c_TMAP2OUT)-(c_TMAP1OUT))+IF(((c_TMAP2OUT)-(c_TMAP1OUT))&gt;=0,1,-1)*QUOTIENT(((c_TMAP2IN)-(c_TMAP1IN)),2))+2147483648,4294967296)-2147483648,((c_TMAP2IN)-(c_TMAP1IN))*(((K290)-(c_TMAP1IN))*((c_TMAP2OUT)-(c_TMAP1OUT))+IF(((c_TMAP2OUT)-(c_TMAP1OUT))&gt;=0,1,-1)*QUOTIENT(((c_TMAP2IN)-(c_TMAP1IN)),2)))&lt;0,-1,0),IF(IF(o_WRAP=1,MOD(((c_TMAP2IN)-(c_TMAP1IN))*(((K290)-(c_TMAP1IN))*((c_TMAP2OUT)-(c_TMAP1OUT))+IF(((c_TMAP2OUT)-(c_TMAP1OUT))&gt;=0,1,-1)*QUOTIENT(((c_TMAP2IN)-(c_TMAP1IN)),2))+2147483648,4294967296)-2147483648,((c_TMAP2IN)-(c_TMAP1IN))*(((K290)-(c_TMAP1IN))*((c_TMAP2OUT)-(c_TMAP1OUT))+IF(((c_TMAP2OUT)-(c_TMAP1OUT))&gt;=0,1,-1)*QUOTIENT(((c_TMAP2IN)-(c_TMAP1IN)),2)))&gt;=0,1,0)))</f>
        <v>349</v>
      </c>
      <c r="O290" s="7" t="n">
        <f aca="false">IF(((c_TMAP3IN)-(c_TMAP2IN))=0,(c_TMAP2OUT)+QUOTIENT(((c_TMAP3OUT)-(c_TMAP2OUT)),2),QUOTIENT((((K290)-(c_TMAP2IN))*((c_TMAP3OUT)-(c_TMAP2OUT))+IF(((c_TMAP3OUT)-(c_TMAP2OUT))&gt;=0,1,-1)*QUOTIENT(((c_TMAP3IN)-(c_TMAP2IN)),2)),((c_TMAP3IN)-(c_TMAP2IN)))+(c_TMAP2OUT)+IF(((c_TMAP3OUT)-(c_TMAP2OUT))&gt;=0,IF(IF(o_WRAP=1,MOD(((c_TMAP3IN)-(c_TMAP2IN))*(((K290)-(c_TMAP2IN))*((c_TMAP3OUT)-(c_TMAP2OUT))+IF(((c_TMAP3OUT)-(c_TMAP2OUT))&gt;=0,1,-1)*QUOTIENT(((c_TMAP3IN)-(c_TMAP2IN)),2))+2147483648,4294967296)-2147483648,((c_TMAP3IN)-(c_TMAP2IN))*(((K290)-(c_TMAP2IN))*((c_TMAP3OUT)-(c_TMAP2OUT))+IF(((c_TMAP3OUT)-(c_TMAP2OUT))&gt;=0,1,-1)*QUOTIENT(((c_TMAP3IN)-(c_TMAP2IN)),2)))&lt;0,-1,0),IF(IF(o_WRAP=1,MOD(((c_TMAP3IN)-(c_TMAP2IN))*(((K290)-(c_TMAP2IN))*((c_TMAP3OUT)-(c_TMAP2OUT))+IF(((c_TMAP3OUT)-(c_TMAP2OUT))&gt;=0,1,-1)*QUOTIENT(((c_TMAP3IN)-(c_TMAP2IN)),2))+2147483648,4294967296)-2147483648,((c_TMAP3IN)-(c_TMAP2IN))*(((K290)-(c_TMAP2IN))*((c_TMAP3OUT)-(c_TMAP2OUT))+IF(((c_TMAP3OUT)-(c_TMAP2OUT))&gt;=0,1,-1)*QUOTIENT(((c_TMAP3IN)-(c_TMAP2IN)),2)))&gt;=0,1,0)))</f>
        <v>513</v>
      </c>
      <c r="P290" s="7" t="n">
        <f aca="false">IF(((1000)-(c_TMAP3IN))=0,(c_TMAP3OUT)+QUOTIENT(((1000)-(c_TMAP3OUT)),2),QUOTIENT((((K290)-(c_TMAP3IN))*((1000)-(c_TMAP3OUT))+IF(((1000)-(c_TMAP3OUT))&gt;=0,1,-1)*QUOTIENT(((1000)-(c_TMAP3IN)),2)),((1000)-(c_TMAP3IN)))+(c_TMAP3OUT)+IF(((1000)-(c_TMAP3OUT))&gt;=0,IF(IF(o_WRAP=1,MOD(((1000)-(c_TMAP3IN))*(((K290)-(c_TMAP3IN))*((1000)-(c_TMAP3OUT))+IF(((1000)-(c_TMAP3OUT))&gt;=0,1,-1)*QUOTIENT(((1000)-(c_TMAP3IN)),2))+2147483648,4294967296)-2147483648,((1000)-(c_TMAP3IN))*(((K290)-(c_TMAP3IN))*((1000)-(c_TMAP3OUT))+IF(((1000)-(c_TMAP3OUT))&gt;=0,1,-1)*QUOTIENT(((1000)-(c_TMAP3IN)),2)))&lt;0,-1,0),IF(IF(o_WRAP=1,MOD(((1000)-(c_TMAP3IN))*(((K290)-(c_TMAP3IN))*((1000)-(c_TMAP3OUT))+IF(((1000)-(c_TMAP3OUT))&gt;=0,1,-1)*QUOTIENT(((1000)-(c_TMAP3IN)),2))+2147483648,4294967296)-2147483648,((1000)-(c_TMAP3IN))*(((K290)-(c_TMAP3IN))*((1000)-(c_TMAP3OUT))+IF(((1000)-(c_TMAP3OUT))&gt;=0,1,-1)*QUOTIENT(((1000)-(c_TMAP3IN)),2)))&gt;=0,1,0)))</f>
        <v>750</v>
      </c>
      <c r="Q290" s="7" t="str">
        <f aca="false">IF(K290&gt;=c_TFWD,IF(AND(K290&gt;=c_TMAP3IN,c_TMAP3IN&lt;1000),"Seg4 map3-100%",IF(AND(K290&gt;=c_TMAP2IN,c_TMAP3IN&gt;c_TMAP2IN),"Seg3 map2-map3",IF(AND(K290&gt;=c_TMAP1IN,c_TMAP2IN&gt;c_TMAP1IN),"Seg2 map1-map2","Seg1 TFWD-map1"))),IF(AND(K290=0,c_TCREEP&gt;0),"Creep",IF(AND(K290&lt;=c_TRNGMIN,K290&gt;=c_TRNGMAX,c_TRNGMIN-c_TRNGMAX&lt;&gt;0),"Regen ramp","Coast (0)")))</f>
        <v>Seg4 map3-100%</v>
      </c>
      <c r="R290" s="7" t="n">
        <f aca="false">IF(K290&gt;=c_TFWD,IF(AND(K290&gt;=c_TMAP3IN,c_TMAP3IN&lt;1000),P290,IF(AND(K290&gt;=c_TMAP2IN,c_TMAP3IN&gt;c_TMAP2IN),O290,IF(AND(K290&gt;=c_TMAP1IN,c_TMAP2IN&gt;c_TMAP1IN),N290,M290))),L290)</f>
        <v>750</v>
      </c>
      <c r="S290" s="7" t="str">
        <f aca="false">IF(R290&lt;-1090,"TOO LOW",IF(R290&gt;1090,"TOO HIGH",""))</f>
        <v/>
      </c>
      <c r="T290" s="15" t="n">
        <f aca="false">IF(H290&lt;&gt;"OK",0,IF(S290&lt;&gt;"",0,IF(R290&gt;979,1000,R290)))</f>
        <v>750</v>
      </c>
      <c r="U290" s="7" t="n">
        <f aca="false">T290/10</f>
        <v>75</v>
      </c>
    </row>
    <row r="291" customFormat="false" ht="15" hidden="false" customHeight="false" outlineLevel="0" collapsed="false">
      <c r="A291" s="7" t="n">
        <v>286</v>
      </c>
      <c r="B291" s="7" t="n">
        <f aca="false">ROUND(o_SWSTART+A291*(o_SWEND-o_SWSTART)/400,0)</f>
        <v>2928</v>
      </c>
      <c r="C291" s="7" t="n">
        <f aca="false">QUOTIENT((B291-c_OFF1)*c_GAIN1,1024)</f>
        <v>2928</v>
      </c>
      <c r="D291" s="7" t="n">
        <f aca="false">IF(((c_T1MX)-(c_T1MN))=0,(0)+QUOTIENT(((1000)-(0)),2),QUOTIENT((((C291)-(c_T1MN))*((1000)-(0))+IF(((1000)-(0))&gt;=0,1,-1)*QUOTIENT(((c_T1MX)-(c_T1MN)),2)),((c_T1MX)-(c_T1MN)))+(0)+IF(((1000)-(0))&gt;=0,IF(IF(o_WRAP=1,MOD(((c_T1MX)-(c_T1MN))*(((C291)-(c_T1MN))*((1000)-(0))+IF(((1000)-(0))&gt;=0,1,-1)*QUOTIENT(((c_T1MX)-(c_T1MN)),2))+2147483648,4294967296)-2147483648,((c_T1MX)-(c_T1MN))*(((C291)-(c_T1MN))*((1000)-(0))+IF(((1000)-(0))&gt;=0,1,-1)*QUOTIENT(((c_T1MX)-(c_T1MN)),2)))&lt;0,-1,0),IF(IF(o_WRAP=1,MOD(((c_T1MX)-(c_T1MN))*(((C291)-(c_T1MN))*((1000)-(0))+IF(((1000)-(0))&gt;=0,1,-1)*QUOTIENT(((c_T1MX)-(c_T1MN)),2))+2147483648,4294967296)-2147483648,((c_T1MX)-(c_T1MN))*(((C291)-(c_T1MN))*((1000)-(0))+IF(((1000)-(0))&gt;=0,1,-1)*QUOTIENT(((c_T1MX)-(c_T1MN)),2)))&gt;=0,1,0)))</f>
        <v>801</v>
      </c>
      <c r="E291" s="7" t="n">
        <f aca="false">IF(AND(c_TPOT=1,c_TTYPE=2),1000-D291,D291)</f>
        <v>801</v>
      </c>
      <c r="F291" s="7" t="str">
        <f aca="false">IF(c_TPOT&gt;1,ROUND(IF(c_TTYPE=2,c_T2MX-IF(c_T1MX=c_T1MN,0,(C291-c_T1MN)/(c_T1MX-c_T1MN))*(c_T2MX-c_T2MN),c_T2MN+IF(c_T1MX=c_T1MN,0,(C291-c_T1MN)/(c_T1MX-c_T1MN))*(c_T2MX-c_T2MN))+o_MISMATCH,0),"")</f>
        <v/>
      </c>
      <c r="G291" s="7" t="str">
        <f aca="false">IF(c_TPOT&gt;1,IF(((c_T2MX)-(c_T2MN))=0,(0)+QUOTIENT(((1000)-(0)),2),QUOTIENT((((F291)-(c_T2MN))*((1000)-(0))+IF(((1000)-(0))&gt;=0,1,-1)*QUOTIENT(((c_T2MX)-(c_T2MN)),2)),((c_T2MX)-(c_T2MN)))+(0)+IF(((1000)-(0))&gt;=0,IF(IF(o_WRAP=1,MOD(((c_T2MX)-(c_T2MN))*(((F291)-(c_T2MN))*((1000)-(0))+IF(((1000)-(0))&gt;=0,1,-1)*QUOTIENT(((c_T2MX)-(c_T2MN)),2))+2147483648,4294967296)-2147483648,((c_T2MX)-(c_T2MN))*(((F291)-(c_T2MN))*((1000)-(0))+IF(((1000)-(0))&gt;=0,1,-1)*QUOTIENT(((c_T2MX)-(c_T2MN)),2)))&lt;0,-1,0),IF(IF(o_WRAP=1,MOD(((c_T2MX)-(c_T2MN))*(((F291)-(c_T2MN))*((1000)-(0))+IF(((1000)-(0))&gt;=0,1,-1)*QUOTIENT(((c_T2MX)-(c_T2MN)),2))+2147483648,4294967296)-2147483648,((c_T2MX)-(c_T2MN))*(((F291)-(c_T2MN))*((1000)-(0))+IF(((1000)-(0))&gt;=0,1,-1)*QUOTIENT(((c_T2MX)-(c_T2MN)),2)))&gt;=0,1,0))),"")</f>
        <v/>
      </c>
      <c r="H291" s="7" t="str">
        <f aca="false">IF(E291&gt;1000+k_TOL,"T1 HIGH",IF(E291&lt;0-k_TOL,"T1 LOW",IF(c_TPOT&gt;1,IF(G291&gt;1000+k_TOL,"T2 HIGH",IF(G291&lt;0-k_TOL,"T2 LOW",IF(c_TTYPE=2,IF(ABS(1000-MAX(0,MIN(1000,E291))-MAX(0,MIN(1000,G291)))&gt;k_MAXERR,"MISMATCH","OK"),IF(OR(MAX(0,MIN(1000,E291))-k_MAXERR&gt;MAX(0,MIN(1000,G291)),MAX(0,MIN(1000,G291))-k_MAXERR&gt;MAX(0,MIN(1000,E291))),"MISMATCH","OK")))),"OK")))</f>
        <v>OK</v>
      </c>
      <c r="I291" s="7" t="n">
        <f aca="false">MAX(0,MIN(1000,D291))</f>
        <v>801</v>
      </c>
      <c r="J291" s="7" t="str">
        <f aca="false">IF(c_TPOT&gt;1,IF(c_TTYPE=2,1000-MAX(0,MIN(1000,G291)),MAX(0,MIN(1000,G291))),"")</f>
        <v/>
      </c>
      <c r="K291" s="7" t="n">
        <f aca="false">IF(c_TPOT&gt;1,QUOTIENT(I291+J291,2),I291)</f>
        <v>801</v>
      </c>
      <c r="L291" s="7" t="n">
        <f aca="false">IF(AND(K291=0,c_TCREEP&gt;0),10*c_TCREEP,IF(AND(K291&lt;=c_TRNGMIN,K291&gt;=c_TRNGMAX,c_TRNGMIN-c_TRNGMAX&lt;&gt;0),-10*c_TMINRN+QUOTIENT((c_TMAXRN-c_TMINRN)*(100-QUOTIENT((K291-c_TRNGMAX)*100,c_TRNGMIN-c_TRNGMAX)),-10),0))</f>
        <v>0</v>
      </c>
      <c r="M291" s="7" t="n">
        <f aca="false">IF(((c_TMAP1IN)-(c_TFWD))=0,(0)+QUOTIENT(((c_TMAP1OUT)-(0)),2),QUOTIENT((((K291)-(c_TFWD))*((c_TMAP1OUT)-(0))+IF(((c_TMAP1OUT)-(0))&gt;=0,1,-1)*QUOTIENT(((c_TMAP1IN)-(c_TFWD)),2)),((c_TMAP1IN)-(c_TFWD)))+(0)+IF(((c_TMAP1OUT)-(0))&gt;=0,IF(IF(o_WRAP=1,MOD(((c_TMAP1IN)-(c_TFWD))*(((K291)-(c_TFWD))*((c_TMAP1OUT)-(0))+IF(((c_TMAP1OUT)-(0))&gt;=0,1,-1)*QUOTIENT(((c_TMAP1IN)-(c_TFWD)),2))+2147483648,4294967296)-2147483648,((c_TMAP1IN)-(c_TFWD))*(((K291)-(c_TFWD))*((c_TMAP1OUT)-(0))+IF(((c_TMAP1OUT)-(0))&gt;=0,1,-1)*QUOTIENT(((c_TMAP1IN)-(c_TFWD)),2)))&lt;0,-1,0),IF(IF(o_WRAP=1,MOD(((c_TMAP1IN)-(c_TFWD))*(((K291)-(c_TFWD))*((c_TMAP1OUT)-(0))+IF(((c_TMAP1OUT)-(0))&gt;=0,1,-1)*QUOTIENT(((c_TMAP1IN)-(c_TFWD)),2))+2147483648,4294967296)-2147483648,((c_TMAP1IN)-(c_TFWD))*(((K291)-(c_TFWD))*((c_TMAP1OUT)-(0))+IF(((c_TMAP1OUT)-(0))&gt;=0,1,-1)*QUOTIENT(((c_TMAP1IN)-(c_TFWD)),2)))&gt;=0,1,0)))</f>
        <v>615</v>
      </c>
      <c r="N291" s="7" t="n">
        <f aca="false">IF(((c_TMAP2IN)-(c_TMAP1IN))=0,(c_TMAP1OUT)+QUOTIENT(((c_TMAP2OUT)-(c_TMAP1OUT)),2),QUOTIENT((((K291)-(c_TMAP1IN))*((c_TMAP2OUT)-(c_TMAP1OUT))+IF(((c_TMAP2OUT)-(c_TMAP1OUT))&gt;=0,1,-1)*QUOTIENT(((c_TMAP2IN)-(c_TMAP1IN)),2)),((c_TMAP2IN)-(c_TMAP1IN)))+(c_TMAP1OUT)+IF(((c_TMAP2OUT)-(c_TMAP1OUT))&gt;=0,IF(IF(o_WRAP=1,MOD(((c_TMAP2IN)-(c_TMAP1IN))*(((K291)-(c_TMAP1IN))*((c_TMAP2OUT)-(c_TMAP1OUT))+IF(((c_TMAP2OUT)-(c_TMAP1OUT))&gt;=0,1,-1)*QUOTIENT(((c_TMAP2IN)-(c_TMAP1IN)),2))+2147483648,4294967296)-2147483648,((c_TMAP2IN)-(c_TMAP1IN))*(((K291)-(c_TMAP1IN))*((c_TMAP2OUT)-(c_TMAP1OUT))+IF(((c_TMAP2OUT)-(c_TMAP1OUT))&gt;=0,1,-1)*QUOTIENT(((c_TMAP2IN)-(c_TMAP1IN)),2)))&lt;0,-1,0),IF(IF(o_WRAP=1,MOD(((c_TMAP2IN)-(c_TMAP1IN))*(((K291)-(c_TMAP1IN))*((c_TMAP2OUT)-(c_TMAP1OUT))+IF(((c_TMAP2OUT)-(c_TMAP1OUT))&gt;=0,1,-1)*QUOTIENT(((c_TMAP2IN)-(c_TMAP1IN)),2))+2147483648,4294967296)-2147483648,((c_TMAP2IN)-(c_TMAP1IN))*(((K291)-(c_TMAP1IN))*((c_TMAP2OUT)-(c_TMAP1OUT))+IF(((c_TMAP2OUT)-(c_TMAP1OUT))&gt;=0,1,-1)*QUOTIENT(((c_TMAP2IN)-(c_TMAP1IN)),2)))&gt;=0,1,0)))</f>
        <v>350</v>
      </c>
      <c r="O291" s="7" t="n">
        <f aca="false">IF(((c_TMAP3IN)-(c_TMAP2IN))=0,(c_TMAP2OUT)+QUOTIENT(((c_TMAP3OUT)-(c_TMAP2OUT)),2),QUOTIENT((((K291)-(c_TMAP2IN))*((c_TMAP3OUT)-(c_TMAP2OUT))+IF(((c_TMAP3OUT)-(c_TMAP2OUT))&gt;=0,1,-1)*QUOTIENT(((c_TMAP3IN)-(c_TMAP2IN)),2)),((c_TMAP3IN)-(c_TMAP2IN)))+(c_TMAP2OUT)+IF(((c_TMAP3OUT)-(c_TMAP2OUT))&gt;=0,IF(IF(o_WRAP=1,MOD(((c_TMAP3IN)-(c_TMAP2IN))*(((K291)-(c_TMAP2IN))*((c_TMAP3OUT)-(c_TMAP2OUT))+IF(((c_TMAP3OUT)-(c_TMAP2OUT))&gt;=0,1,-1)*QUOTIENT(((c_TMAP3IN)-(c_TMAP2IN)),2))+2147483648,4294967296)-2147483648,((c_TMAP3IN)-(c_TMAP2IN))*(((K291)-(c_TMAP2IN))*((c_TMAP3OUT)-(c_TMAP2OUT))+IF(((c_TMAP3OUT)-(c_TMAP2OUT))&gt;=0,1,-1)*QUOTIENT(((c_TMAP3IN)-(c_TMAP2IN)),2)))&lt;0,-1,0),IF(IF(o_WRAP=1,MOD(((c_TMAP3IN)-(c_TMAP2IN))*(((K291)-(c_TMAP2IN))*((c_TMAP3OUT)-(c_TMAP2OUT))+IF(((c_TMAP3OUT)-(c_TMAP2OUT))&gt;=0,1,-1)*QUOTIENT(((c_TMAP3IN)-(c_TMAP2IN)),2))+2147483648,4294967296)-2147483648,((c_TMAP3IN)-(c_TMAP2IN))*(((K291)-(c_TMAP2IN))*((c_TMAP3OUT)-(c_TMAP2OUT))+IF(((c_TMAP3OUT)-(c_TMAP2OUT))&gt;=0,1,-1)*QUOTIENT(((c_TMAP3IN)-(c_TMAP2IN)),2)))&gt;=0,1,0)))</f>
        <v>516</v>
      </c>
      <c r="P291" s="7" t="n">
        <f aca="false">IF(((1000)-(c_TMAP3IN))=0,(c_TMAP3OUT)+QUOTIENT(((1000)-(c_TMAP3OUT)),2),QUOTIENT((((K291)-(c_TMAP3IN))*((1000)-(c_TMAP3OUT))+IF(((1000)-(c_TMAP3OUT))&gt;=0,1,-1)*QUOTIENT(((1000)-(c_TMAP3IN)),2)),((1000)-(c_TMAP3IN)))+(c_TMAP3OUT)+IF(((1000)-(c_TMAP3OUT))&gt;=0,IF(IF(o_WRAP=1,MOD(((1000)-(c_TMAP3IN))*(((K291)-(c_TMAP3IN))*((1000)-(c_TMAP3OUT))+IF(((1000)-(c_TMAP3OUT))&gt;=0,1,-1)*QUOTIENT(((1000)-(c_TMAP3IN)),2))+2147483648,4294967296)-2147483648,((1000)-(c_TMAP3IN))*(((K291)-(c_TMAP3IN))*((1000)-(c_TMAP3OUT))+IF(((1000)-(c_TMAP3OUT))&gt;=0,1,-1)*QUOTIENT(((1000)-(c_TMAP3IN)),2)))&lt;0,-1,0),IF(IF(o_WRAP=1,MOD(((1000)-(c_TMAP3IN))*(((K291)-(c_TMAP3IN))*((1000)-(c_TMAP3OUT))+IF(((1000)-(c_TMAP3OUT))&gt;=0,1,-1)*QUOTIENT(((1000)-(c_TMAP3IN)),2))+2147483648,4294967296)-2147483648,((1000)-(c_TMAP3IN))*(((K291)-(c_TMAP3IN))*((1000)-(c_TMAP3OUT))+IF(((1000)-(c_TMAP3OUT))&gt;=0,1,-1)*QUOTIENT(((1000)-(c_TMAP3IN)),2)))&gt;=0,1,0)))</f>
        <v>755</v>
      </c>
      <c r="Q291" s="7" t="str">
        <f aca="false">IF(K291&gt;=c_TFWD,IF(AND(K291&gt;=c_TMAP3IN,c_TMAP3IN&lt;1000),"Seg4 map3-100%",IF(AND(K291&gt;=c_TMAP2IN,c_TMAP3IN&gt;c_TMAP2IN),"Seg3 map2-map3",IF(AND(K291&gt;=c_TMAP1IN,c_TMAP2IN&gt;c_TMAP1IN),"Seg2 map1-map2","Seg1 TFWD-map1"))),IF(AND(K291=0,c_TCREEP&gt;0),"Creep",IF(AND(K291&lt;=c_TRNGMIN,K291&gt;=c_TRNGMAX,c_TRNGMIN-c_TRNGMAX&lt;&gt;0),"Regen ramp","Coast (0)")))</f>
        <v>Seg4 map3-100%</v>
      </c>
      <c r="R291" s="7" t="n">
        <f aca="false">IF(K291&gt;=c_TFWD,IF(AND(K291&gt;=c_TMAP3IN,c_TMAP3IN&lt;1000),P291,IF(AND(K291&gt;=c_TMAP2IN,c_TMAP3IN&gt;c_TMAP2IN),O291,IF(AND(K291&gt;=c_TMAP1IN,c_TMAP2IN&gt;c_TMAP1IN),N291,M291))),L291)</f>
        <v>755</v>
      </c>
      <c r="S291" s="7" t="str">
        <f aca="false">IF(R291&lt;-1090,"TOO LOW",IF(R291&gt;1090,"TOO HIGH",""))</f>
        <v/>
      </c>
      <c r="T291" s="15" t="n">
        <f aca="false">IF(H291&lt;&gt;"OK",0,IF(S291&lt;&gt;"",0,IF(R291&gt;979,1000,R291)))</f>
        <v>755</v>
      </c>
      <c r="U291" s="7" t="n">
        <f aca="false">T291/10</f>
        <v>75.5</v>
      </c>
    </row>
    <row r="292" customFormat="false" ht="15" hidden="false" customHeight="false" outlineLevel="0" collapsed="false">
      <c r="A292" s="7" t="n">
        <v>287</v>
      </c>
      <c r="B292" s="7" t="n">
        <f aca="false">ROUND(o_SWSTART+A292*(o_SWEND-o_SWSTART)/400,0)</f>
        <v>2938</v>
      </c>
      <c r="C292" s="7" t="n">
        <f aca="false">QUOTIENT((B292-c_OFF1)*c_GAIN1,1024)</f>
        <v>2938</v>
      </c>
      <c r="D292" s="7" t="n">
        <f aca="false">IF(((c_T1MX)-(c_T1MN))=0,(0)+QUOTIENT(((1000)-(0)),2),QUOTIENT((((C292)-(c_T1MN))*((1000)-(0))+IF(((1000)-(0))&gt;=0,1,-1)*QUOTIENT(((c_T1MX)-(c_T1MN)),2)),((c_T1MX)-(c_T1MN)))+(0)+IF(((1000)-(0))&gt;=0,IF(IF(o_WRAP=1,MOD(((c_T1MX)-(c_T1MN))*(((C292)-(c_T1MN))*((1000)-(0))+IF(((1000)-(0))&gt;=0,1,-1)*QUOTIENT(((c_T1MX)-(c_T1MN)),2))+2147483648,4294967296)-2147483648,((c_T1MX)-(c_T1MN))*(((C292)-(c_T1MN))*((1000)-(0))+IF(((1000)-(0))&gt;=0,1,-1)*QUOTIENT(((c_T1MX)-(c_T1MN)),2)))&lt;0,-1,0),IF(IF(o_WRAP=1,MOD(((c_T1MX)-(c_T1MN))*(((C292)-(c_T1MN))*((1000)-(0))+IF(((1000)-(0))&gt;=0,1,-1)*QUOTIENT(((c_T1MX)-(c_T1MN)),2))+2147483648,4294967296)-2147483648,((c_T1MX)-(c_T1MN))*(((C292)-(c_T1MN))*((1000)-(0))+IF(((1000)-(0))&gt;=0,1,-1)*QUOTIENT(((c_T1MX)-(c_T1MN)),2)))&gt;=0,1,0)))</f>
        <v>805</v>
      </c>
      <c r="E292" s="7" t="n">
        <f aca="false">IF(AND(c_TPOT=1,c_TTYPE=2),1000-D292,D292)</f>
        <v>805</v>
      </c>
      <c r="F292" s="7" t="str">
        <f aca="false">IF(c_TPOT&gt;1,ROUND(IF(c_TTYPE=2,c_T2MX-IF(c_T1MX=c_T1MN,0,(C292-c_T1MN)/(c_T1MX-c_T1MN))*(c_T2MX-c_T2MN),c_T2MN+IF(c_T1MX=c_T1MN,0,(C292-c_T1MN)/(c_T1MX-c_T1MN))*(c_T2MX-c_T2MN))+o_MISMATCH,0),"")</f>
        <v/>
      </c>
      <c r="G292" s="7" t="str">
        <f aca="false">IF(c_TPOT&gt;1,IF(((c_T2MX)-(c_T2MN))=0,(0)+QUOTIENT(((1000)-(0)),2),QUOTIENT((((F292)-(c_T2MN))*((1000)-(0))+IF(((1000)-(0))&gt;=0,1,-1)*QUOTIENT(((c_T2MX)-(c_T2MN)),2)),((c_T2MX)-(c_T2MN)))+(0)+IF(((1000)-(0))&gt;=0,IF(IF(o_WRAP=1,MOD(((c_T2MX)-(c_T2MN))*(((F292)-(c_T2MN))*((1000)-(0))+IF(((1000)-(0))&gt;=0,1,-1)*QUOTIENT(((c_T2MX)-(c_T2MN)),2))+2147483648,4294967296)-2147483648,((c_T2MX)-(c_T2MN))*(((F292)-(c_T2MN))*((1000)-(0))+IF(((1000)-(0))&gt;=0,1,-1)*QUOTIENT(((c_T2MX)-(c_T2MN)),2)))&lt;0,-1,0),IF(IF(o_WRAP=1,MOD(((c_T2MX)-(c_T2MN))*(((F292)-(c_T2MN))*((1000)-(0))+IF(((1000)-(0))&gt;=0,1,-1)*QUOTIENT(((c_T2MX)-(c_T2MN)),2))+2147483648,4294967296)-2147483648,((c_T2MX)-(c_T2MN))*(((F292)-(c_T2MN))*((1000)-(0))+IF(((1000)-(0))&gt;=0,1,-1)*QUOTIENT(((c_T2MX)-(c_T2MN)),2)))&gt;=0,1,0))),"")</f>
        <v/>
      </c>
      <c r="H292" s="7" t="str">
        <f aca="false">IF(E292&gt;1000+k_TOL,"T1 HIGH",IF(E292&lt;0-k_TOL,"T1 LOW",IF(c_TPOT&gt;1,IF(G292&gt;1000+k_TOL,"T2 HIGH",IF(G292&lt;0-k_TOL,"T2 LOW",IF(c_TTYPE=2,IF(ABS(1000-MAX(0,MIN(1000,E292))-MAX(0,MIN(1000,G292)))&gt;k_MAXERR,"MISMATCH","OK"),IF(OR(MAX(0,MIN(1000,E292))-k_MAXERR&gt;MAX(0,MIN(1000,G292)),MAX(0,MIN(1000,G292))-k_MAXERR&gt;MAX(0,MIN(1000,E292))),"MISMATCH","OK")))),"OK")))</f>
        <v>OK</v>
      </c>
      <c r="I292" s="7" t="n">
        <f aca="false">MAX(0,MIN(1000,D292))</f>
        <v>805</v>
      </c>
      <c r="J292" s="7" t="str">
        <f aca="false">IF(c_TPOT&gt;1,IF(c_TTYPE=2,1000-MAX(0,MIN(1000,G292)),MAX(0,MIN(1000,G292))),"")</f>
        <v/>
      </c>
      <c r="K292" s="7" t="n">
        <f aca="false">IF(c_TPOT&gt;1,QUOTIENT(I292+J292,2),I292)</f>
        <v>805</v>
      </c>
      <c r="L292" s="7" t="n">
        <f aca="false">IF(AND(K292=0,c_TCREEP&gt;0),10*c_TCREEP,IF(AND(K292&lt;=c_TRNGMIN,K292&gt;=c_TRNGMAX,c_TRNGMIN-c_TRNGMAX&lt;&gt;0),-10*c_TMINRN+QUOTIENT((c_TMAXRN-c_TMINRN)*(100-QUOTIENT((K292-c_TRNGMAX)*100,c_TRNGMIN-c_TRNGMAX)),-10),0))</f>
        <v>0</v>
      </c>
      <c r="M292" s="7" t="n">
        <f aca="false">IF(((c_TMAP1IN)-(c_TFWD))=0,(0)+QUOTIENT(((c_TMAP1OUT)-(0)),2),QUOTIENT((((K292)-(c_TFWD))*((c_TMAP1OUT)-(0))+IF(((c_TMAP1OUT)-(0))&gt;=0,1,-1)*QUOTIENT(((c_TMAP1IN)-(c_TFWD)),2)),((c_TMAP1IN)-(c_TFWD)))+(0)+IF(((c_TMAP1OUT)-(0))&gt;=0,IF(IF(o_WRAP=1,MOD(((c_TMAP1IN)-(c_TFWD))*(((K292)-(c_TFWD))*((c_TMAP1OUT)-(0))+IF(((c_TMAP1OUT)-(0))&gt;=0,1,-1)*QUOTIENT(((c_TMAP1IN)-(c_TFWD)),2))+2147483648,4294967296)-2147483648,((c_TMAP1IN)-(c_TFWD))*(((K292)-(c_TFWD))*((c_TMAP1OUT)-(0))+IF(((c_TMAP1OUT)-(0))&gt;=0,1,-1)*QUOTIENT(((c_TMAP1IN)-(c_TFWD)),2)))&lt;0,-1,0),IF(IF(o_WRAP=1,MOD(((c_TMAP1IN)-(c_TFWD))*(((K292)-(c_TFWD))*((c_TMAP1OUT)-(0))+IF(((c_TMAP1OUT)-(0))&gt;=0,1,-1)*QUOTIENT(((c_TMAP1IN)-(c_TFWD)),2))+2147483648,4294967296)-2147483648,((c_TMAP1IN)-(c_TFWD))*(((K292)-(c_TFWD))*((c_TMAP1OUT)-(0))+IF(((c_TMAP1OUT)-(0))&gt;=0,1,-1)*QUOTIENT(((c_TMAP1IN)-(c_TFWD)),2)))&gt;=0,1,0)))</f>
        <v>618</v>
      </c>
      <c r="N292" s="7" t="n">
        <f aca="false">IF(((c_TMAP2IN)-(c_TMAP1IN))=0,(c_TMAP1OUT)+QUOTIENT(((c_TMAP2OUT)-(c_TMAP1OUT)),2),QUOTIENT((((K292)-(c_TMAP1IN))*((c_TMAP2OUT)-(c_TMAP1OUT))+IF(((c_TMAP2OUT)-(c_TMAP1OUT))&gt;=0,1,-1)*QUOTIENT(((c_TMAP2IN)-(c_TMAP1IN)),2)),((c_TMAP2IN)-(c_TMAP1IN)))+(c_TMAP1OUT)+IF(((c_TMAP2OUT)-(c_TMAP1OUT))&gt;=0,IF(IF(o_WRAP=1,MOD(((c_TMAP2IN)-(c_TMAP1IN))*(((K292)-(c_TMAP1IN))*((c_TMAP2OUT)-(c_TMAP1OUT))+IF(((c_TMAP2OUT)-(c_TMAP1OUT))&gt;=0,1,-1)*QUOTIENT(((c_TMAP2IN)-(c_TMAP1IN)),2))+2147483648,4294967296)-2147483648,((c_TMAP2IN)-(c_TMAP1IN))*(((K292)-(c_TMAP1IN))*((c_TMAP2OUT)-(c_TMAP1OUT))+IF(((c_TMAP2OUT)-(c_TMAP1OUT))&gt;=0,1,-1)*QUOTIENT(((c_TMAP2IN)-(c_TMAP1IN)),2)))&lt;0,-1,0),IF(IF(o_WRAP=1,MOD(((c_TMAP2IN)-(c_TMAP1IN))*(((K292)-(c_TMAP1IN))*((c_TMAP2OUT)-(c_TMAP1OUT))+IF(((c_TMAP2OUT)-(c_TMAP1OUT))&gt;=0,1,-1)*QUOTIENT(((c_TMAP2IN)-(c_TMAP1IN)),2))+2147483648,4294967296)-2147483648,((c_TMAP2IN)-(c_TMAP1IN))*(((K292)-(c_TMAP1IN))*((c_TMAP2OUT)-(c_TMAP1OUT))+IF(((c_TMAP2OUT)-(c_TMAP1OUT))&gt;=0,1,-1)*QUOTIENT(((c_TMAP2IN)-(c_TMAP1IN)),2)))&gt;=0,1,0)))</f>
        <v>352</v>
      </c>
      <c r="O292" s="7" t="n">
        <f aca="false">IF(((c_TMAP3IN)-(c_TMAP2IN))=0,(c_TMAP2OUT)+QUOTIENT(((c_TMAP3OUT)-(c_TMAP2OUT)),2),QUOTIENT((((K292)-(c_TMAP2IN))*((c_TMAP3OUT)-(c_TMAP2OUT))+IF(((c_TMAP3OUT)-(c_TMAP2OUT))&gt;=0,1,-1)*QUOTIENT(((c_TMAP3IN)-(c_TMAP2IN)),2)),((c_TMAP3IN)-(c_TMAP2IN)))+(c_TMAP2OUT)+IF(((c_TMAP3OUT)-(c_TMAP2OUT))&gt;=0,IF(IF(o_WRAP=1,MOD(((c_TMAP3IN)-(c_TMAP2IN))*(((K292)-(c_TMAP2IN))*((c_TMAP3OUT)-(c_TMAP2OUT))+IF(((c_TMAP3OUT)-(c_TMAP2OUT))&gt;=0,1,-1)*QUOTIENT(((c_TMAP3IN)-(c_TMAP2IN)),2))+2147483648,4294967296)-2147483648,((c_TMAP3IN)-(c_TMAP2IN))*(((K292)-(c_TMAP2IN))*((c_TMAP3OUT)-(c_TMAP2OUT))+IF(((c_TMAP3OUT)-(c_TMAP2OUT))&gt;=0,1,-1)*QUOTIENT(((c_TMAP3IN)-(c_TMAP2IN)),2)))&lt;0,-1,0),IF(IF(o_WRAP=1,MOD(((c_TMAP3IN)-(c_TMAP2IN))*(((K292)-(c_TMAP2IN))*((c_TMAP3OUT)-(c_TMAP2OUT))+IF(((c_TMAP3OUT)-(c_TMAP2OUT))&gt;=0,1,-1)*QUOTIENT(((c_TMAP3IN)-(c_TMAP2IN)),2))+2147483648,4294967296)-2147483648,((c_TMAP3IN)-(c_TMAP2IN))*(((K292)-(c_TMAP2IN))*((c_TMAP3OUT)-(c_TMAP2OUT))+IF(((c_TMAP3OUT)-(c_TMAP2OUT))&gt;=0,1,-1)*QUOTIENT(((c_TMAP3IN)-(c_TMAP2IN)),2)))&gt;=0,1,0)))</f>
        <v>519</v>
      </c>
      <c r="P292" s="7" t="n">
        <f aca="false">IF(((1000)-(c_TMAP3IN))=0,(c_TMAP3OUT)+QUOTIENT(((1000)-(c_TMAP3OUT)),2),QUOTIENT((((K292)-(c_TMAP3IN))*((1000)-(c_TMAP3OUT))+IF(((1000)-(c_TMAP3OUT))&gt;=0,1,-1)*QUOTIENT(((1000)-(c_TMAP3IN)),2)),((1000)-(c_TMAP3IN)))+(c_TMAP3OUT)+IF(((1000)-(c_TMAP3OUT))&gt;=0,IF(IF(o_WRAP=1,MOD(((1000)-(c_TMAP3IN))*(((K292)-(c_TMAP3IN))*((1000)-(c_TMAP3OUT))+IF(((1000)-(c_TMAP3OUT))&gt;=0,1,-1)*QUOTIENT(((1000)-(c_TMAP3IN)),2))+2147483648,4294967296)-2147483648,((1000)-(c_TMAP3IN))*(((K292)-(c_TMAP3IN))*((1000)-(c_TMAP3OUT))+IF(((1000)-(c_TMAP3OUT))&gt;=0,1,-1)*QUOTIENT(((1000)-(c_TMAP3IN)),2)))&lt;0,-1,0),IF(IF(o_WRAP=1,MOD(((1000)-(c_TMAP3IN))*(((K292)-(c_TMAP3IN))*((1000)-(c_TMAP3OUT))+IF(((1000)-(c_TMAP3OUT))&gt;=0,1,-1)*QUOTIENT(((1000)-(c_TMAP3IN)),2))+2147483648,4294967296)-2147483648,((1000)-(c_TMAP3IN))*(((K292)-(c_TMAP3IN))*((1000)-(c_TMAP3OUT))+IF(((1000)-(c_TMAP3OUT))&gt;=0,1,-1)*QUOTIENT(((1000)-(c_TMAP3IN)),2)))&gt;=0,1,0)))</f>
        <v>760</v>
      </c>
      <c r="Q292" s="7" t="str">
        <f aca="false">IF(K292&gt;=c_TFWD,IF(AND(K292&gt;=c_TMAP3IN,c_TMAP3IN&lt;1000),"Seg4 map3-100%",IF(AND(K292&gt;=c_TMAP2IN,c_TMAP3IN&gt;c_TMAP2IN),"Seg3 map2-map3",IF(AND(K292&gt;=c_TMAP1IN,c_TMAP2IN&gt;c_TMAP1IN),"Seg2 map1-map2","Seg1 TFWD-map1"))),IF(AND(K292=0,c_TCREEP&gt;0),"Creep",IF(AND(K292&lt;=c_TRNGMIN,K292&gt;=c_TRNGMAX,c_TRNGMIN-c_TRNGMAX&lt;&gt;0),"Regen ramp","Coast (0)")))</f>
        <v>Seg4 map3-100%</v>
      </c>
      <c r="R292" s="7" t="n">
        <f aca="false">IF(K292&gt;=c_TFWD,IF(AND(K292&gt;=c_TMAP3IN,c_TMAP3IN&lt;1000),P292,IF(AND(K292&gt;=c_TMAP2IN,c_TMAP3IN&gt;c_TMAP2IN),O292,IF(AND(K292&gt;=c_TMAP1IN,c_TMAP2IN&gt;c_TMAP1IN),N292,M292))),L292)</f>
        <v>760</v>
      </c>
      <c r="S292" s="7" t="str">
        <f aca="false">IF(R292&lt;-1090,"TOO LOW",IF(R292&gt;1090,"TOO HIGH",""))</f>
        <v/>
      </c>
      <c r="T292" s="15" t="n">
        <f aca="false">IF(H292&lt;&gt;"OK",0,IF(S292&lt;&gt;"",0,IF(R292&gt;979,1000,R292)))</f>
        <v>760</v>
      </c>
      <c r="U292" s="7" t="n">
        <f aca="false">T292/10</f>
        <v>76</v>
      </c>
    </row>
    <row r="293" customFormat="false" ht="15" hidden="false" customHeight="false" outlineLevel="0" collapsed="false">
      <c r="A293" s="7" t="n">
        <v>288</v>
      </c>
      <c r="B293" s="7" t="n">
        <f aca="false">ROUND(o_SWSTART+A293*(o_SWEND-o_SWSTART)/400,0)</f>
        <v>2948</v>
      </c>
      <c r="C293" s="7" t="n">
        <f aca="false">QUOTIENT((B293-c_OFF1)*c_GAIN1,1024)</f>
        <v>2948</v>
      </c>
      <c r="D293" s="7" t="n">
        <f aca="false">IF(((c_T1MX)-(c_T1MN))=0,(0)+QUOTIENT(((1000)-(0)),2),QUOTIENT((((C293)-(c_T1MN))*((1000)-(0))+IF(((1000)-(0))&gt;=0,1,-1)*QUOTIENT(((c_T1MX)-(c_T1MN)),2)),((c_T1MX)-(c_T1MN)))+(0)+IF(((1000)-(0))&gt;=0,IF(IF(o_WRAP=1,MOD(((c_T1MX)-(c_T1MN))*(((C293)-(c_T1MN))*((1000)-(0))+IF(((1000)-(0))&gt;=0,1,-1)*QUOTIENT(((c_T1MX)-(c_T1MN)),2))+2147483648,4294967296)-2147483648,((c_T1MX)-(c_T1MN))*(((C293)-(c_T1MN))*((1000)-(0))+IF(((1000)-(0))&gt;=0,1,-1)*QUOTIENT(((c_T1MX)-(c_T1MN)),2)))&lt;0,-1,0),IF(IF(o_WRAP=1,MOD(((c_T1MX)-(c_T1MN))*(((C293)-(c_T1MN))*((1000)-(0))+IF(((1000)-(0))&gt;=0,1,-1)*QUOTIENT(((c_T1MX)-(c_T1MN)),2))+2147483648,4294967296)-2147483648,((c_T1MX)-(c_T1MN))*(((C293)-(c_T1MN))*((1000)-(0))+IF(((1000)-(0))&gt;=0,1,-1)*QUOTIENT(((c_T1MX)-(c_T1MN)),2)))&gt;=0,1,0)))</f>
        <v>808</v>
      </c>
      <c r="E293" s="7" t="n">
        <f aca="false">IF(AND(c_TPOT=1,c_TTYPE=2),1000-D293,D293)</f>
        <v>808</v>
      </c>
      <c r="F293" s="7" t="str">
        <f aca="false">IF(c_TPOT&gt;1,ROUND(IF(c_TTYPE=2,c_T2MX-IF(c_T1MX=c_T1MN,0,(C293-c_T1MN)/(c_T1MX-c_T1MN))*(c_T2MX-c_T2MN),c_T2MN+IF(c_T1MX=c_T1MN,0,(C293-c_T1MN)/(c_T1MX-c_T1MN))*(c_T2MX-c_T2MN))+o_MISMATCH,0),"")</f>
        <v/>
      </c>
      <c r="G293" s="7" t="str">
        <f aca="false">IF(c_TPOT&gt;1,IF(((c_T2MX)-(c_T2MN))=0,(0)+QUOTIENT(((1000)-(0)),2),QUOTIENT((((F293)-(c_T2MN))*((1000)-(0))+IF(((1000)-(0))&gt;=0,1,-1)*QUOTIENT(((c_T2MX)-(c_T2MN)),2)),((c_T2MX)-(c_T2MN)))+(0)+IF(((1000)-(0))&gt;=0,IF(IF(o_WRAP=1,MOD(((c_T2MX)-(c_T2MN))*(((F293)-(c_T2MN))*((1000)-(0))+IF(((1000)-(0))&gt;=0,1,-1)*QUOTIENT(((c_T2MX)-(c_T2MN)),2))+2147483648,4294967296)-2147483648,((c_T2MX)-(c_T2MN))*(((F293)-(c_T2MN))*((1000)-(0))+IF(((1000)-(0))&gt;=0,1,-1)*QUOTIENT(((c_T2MX)-(c_T2MN)),2)))&lt;0,-1,0),IF(IF(o_WRAP=1,MOD(((c_T2MX)-(c_T2MN))*(((F293)-(c_T2MN))*((1000)-(0))+IF(((1000)-(0))&gt;=0,1,-1)*QUOTIENT(((c_T2MX)-(c_T2MN)),2))+2147483648,4294967296)-2147483648,((c_T2MX)-(c_T2MN))*(((F293)-(c_T2MN))*((1000)-(0))+IF(((1000)-(0))&gt;=0,1,-1)*QUOTIENT(((c_T2MX)-(c_T2MN)),2)))&gt;=0,1,0))),"")</f>
        <v/>
      </c>
      <c r="H293" s="7" t="str">
        <f aca="false">IF(E293&gt;1000+k_TOL,"T1 HIGH",IF(E293&lt;0-k_TOL,"T1 LOW",IF(c_TPOT&gt;1,IF(G293&gt;1000+k_TOL,"T2 HIGH",IF(G293&lt;0-k_TOL,"T2 LOW",IF(c_TTYPE=2,IF(ABS(1000-MAX(0,MIN(1000,E293))-MAX(0,MIN(1000,G293)))&gt;k_MAXERR,"MISMATCH","OK"),IF(OR(MAX(0,MIN(1000,E293))-k_MAXERR&gt;MAX(0,MIN(1000,G293)),MAX(0,MIN(1000,G293))-k_MAXERR&gt;MAX(0,MIN(1000,E293))),"MISMATCH","OK")))),"OK")))</f>
        <v>OK</v>
      </c>
      <c r="I293" s="7" t="n">
        <f aca="false">MAX(0,MIN(1000,D293))</f>
        <v>808</v>
      </c>
      <c r="J293" s="7" t="str">
        <f aca="false">IF(c_TPOT&gt;1,IF(c_TTYPE=2,1000-MAX(0,MIN(1000,G293)),MAX(0,MIN(1000,G293))),"")</f>
        <v/>
      </c>
      <c r="K293" s="7" t="n">
        <f aca="false">IF(c_TPOT&gt;1,QUOTIENT(I293+J293,2),I293)</f>
        <v>808</v>
      </c>
      <c r="L293" s="7" t="n">
        <f aca="false">IF(AND(K293=0,c_TCREEP&gt;0),10*c_TCREEP,IF(AND(K293&lt;=c_TRNGMIN,K293&gt;=c_TRNGMAX,c_TRNGMIN-c_TRNGMAX&lt;&gt;0),-10*c_TMINRN+QUOTIENT((c_TMAXRN-c_TMINRN)*(100-QUOTIENT((K293-c_TRNGMAX)*100,c_TRNGMIN-c_TRNGMAX)),-10),0))</f>
        <v>0</v>
      </c>
      <c r="M293" s="7" t="n">
        <f aca="false">IF(((c_TMAP1IN)-(c_TFWD))=0,(0)+QUOTIENT(((c_TMAP1OUT)-(0)),2),QUOTIENT((((K293)-(c_TFWD))*((c_TMAP1OUT)-(0))+IF(((c_TMAP1OUT)-(0))&gt;=0,1,-1)*QUOTIENT(((c_TMAP1IN)-(c_TFWD)),2)),((c_TMAP1IN)-(c_TFWD)))+(0)+IF(((c_TMAP1OUT)-(0))&gt;=0,IF(IF(o_WRAP=1,MOD(((c_TMAP1IN)-(c_TFWD))*(((K293)-(c_TFWD))*((c_TMAP1OUT)-(0))+IF(((c_TMAP1OUT)-(0))&gt;=0,1,-1)*QUOTIENT(((c_TMAP1IN)-(c_TFWD)),2))+2147483648,4294967296)-2147483648,((c_TMAP1IN)-(c_TFWD))*(((K293)-(c_TFWD))*((c_TMAP1OUT)-(0))+IF(((c_TMAP1OUT)-(0))&gt;=0,1,-1)*QUOTIENT(((c_TMAP1IN)-(c_TFWD)),2)))&lt;0,-1,0),IF(IF(o_WRAP=1,MOD(((c_TMAP1IN)-(c_TFWD))*(((K293)-(c_TFWD))*((c_TMAP1OUT)-(0))+IF(((c_TMAP1OUT)-(0))&gt;=0,1,-1)*QUOTIENT(((c_TMAP1IN)-(c_TFWD)),2))+2147483648,4294967296)-2147483648,((c_TMAP1IN)-(c_TFWD))*(((K293)-(c_TFWD))*((c_TMAP1OUT)-(0))+IF(((c_TMAP1OUT)-(0))&gt;=0,1,-1)*QUOTIENT(((c_TMAP1IN)-(c_TFWD)),2)))&gt;=0,1,0)))</f>
        <v>621</v>
      </c>
      <c r="N293" s="7" t="n">
        <f aca="false">IF(((c_TMAP2IN)-(c_TMAP1IN))=0,(c_TMAP1OUT)+QUOTIENT(((c_TMAP2OUT)-(c_TMAP1OUT)),2),QUOTIENT((((K293)-(c_TMAP1IN))*((c_TMAP2OUT)-(c_TMAP1OUT))+IF(((c_TMAP2OUT)-(c_TMAP1OUT))&gt;=0,1,-1)*QUOTIENT(((c_TMAP2IN)-(c_TMAP1IN)),2)),((c_TMAP2IN)-(c_TMAP1IN)))+(c_TMAP1OUT)+IF(((c_TMAP2OUT)-(c_TMAP1OUT))&gt;=0,IF(IF(o_WRAP=1,MOD(((c_TMAP2IN)-(c_TMAP1IN))*(((K293)-(c_TMAP1IN))*((c_TMAP2OUT)-(c_TMAP1OUT))+IF(((c_TMAP2OUT)-(c_TMAP1OUT))&gt;=0,1,-1)*QUOTIENT(((c_TMAP2IN)-(c_TMAP1IN)),2))+2147483648,4294967296)-2147483648,((c_TMAP2IN)-(c_TMAP1IN))*(((K293)-(c_TMAP1IN))*((c_TMAP2OUT)-(c_TMAP1OUT))+IF(((c_TMAP2OUT)-(c_TMAP1OUT))&gt;=0,1,-1)*QUOTIENT(((c_TMAP2IN)-(c_TMAP1IN)),2)))&lt;0,-1,0),IF(IF(o_WRAP=1,MOD(((c_TMAP2IN)-(c_TMAP1IN))*(((K293)-(c_TMAP1IN))*((c_TMAP2OUT)-(c_TMAP1OUT))+IF(((c_TMAP2OUT)-(c_TMAP1OUT))&gt;=0,1,-1)*QUOTIENT(((c_TMAP2IN)-(c_TMAP1IN)),2))+2147483648,4294967296)-2147483648,((c_TMAP2IN)-(c_TMAP1IN))*(((K293)-(c_TMAP1IN))*((c_TMAP2OUT)-(c_TMAP1OUT))+IF(((c_TMAP2OUT)-(c_TMAP1OUT))&gt;=0,1,-1)*QUOTIENT(((c_TMAP2IN)-(c_TMAP1IN)),2)))&gt;=0,1,0)))</f>
        <v>353</v>
      </c>
      <c r="O293" s="7" t="n">
        <f aca="false">IF(((c_TMAP3IN)-(c_TMAP2IN))=0,(c_TMAP2OUT)+QUOTIENT(((c_TMAP3OUT)-(c_TMAP2OUT)),2),QUOTIENT((((K293)-(c_TMAP2IN))*((c_TMAP3OUT)-(c_TMAP2OUT))+IF(((c_TMAP3OUT)-(c_TMAP2OUT))&gt;=0,1,-1)*QUOTIENT(((c_TMAP3IN)-(c_TMAP2IN)),2)),((c_TMAP3IN)-(c_TMAP2IN)))+(c_TMAP2OUT)+IF(((c_TMAP3OUT)-(c_TMAP2OUT))&gt;=0,IF(IF(o_WRAP=1,MOD(((c_TMAP3IN)-(c_TMAP2IN))*(((K293)-(c_TMAP2IN))*((c_TMAP3OUT)-(c_TMAP2OUT))+IF(((c_TMAP3OUT)-(c_TMAP2OUT))&gt;=0,1,-1)*QUOTIENT(((c_TMAP3IN)-(c_TMAP2IN)),2))+2147483648,4294967296)-2147483648,((c_TMAP3IN)-(c_TMAP2IN))*(((K293)-(c_TMAP2IN))*((c_TMAP3OUT)-(c_TMAP2OUT))+IF(((c_TMAP3OUT)-(c_TMAP2OUT))&gt;=0,1,-1)*QUOTIENT(((c_TMAP3IN)-(c_TMAP2IN)),2)))&lt;0,-1,0),IF(IF(o_WRAP=1,MOD(((c_TMAP3IN)-(c_TMAP2IN))*(((K293)-(c_TMAP2IN))*((c_TMAP3OUT)-(c_TMAP2OUT))+IF(((c_TMAP3OUT)-(c_TMAP2OUT))&gt;=0,1,-1)*QUOTIENT(((c_TMAP3IN)-(c_TMAP2IN)),2))+2147483648,4294967296)-2147483648,((c_TMAP3IN)-(c_TMAP2IN))*(((K293)-(c_TMAP2IN))*((c_TMAP3OUT)-(c_TMAP2OUT))+IF(((c_TMAP3OUT)-(c_TMAP2OUT))&gt;=0,1,-1)*QUOTIENT(((c_TMAP3IN)-(c_TMAP2IN)),2)))&gt;=0,1,0)))</f>
        <v>521</v>
      </c>
      <c r="P293" s="7" t="n">
        <f aca="false">IF(((1000)-(c_TMAP3IN))=0,(c_TMAP3OUT)+QUOTIENT(((1000)-(c_TMAP3OUT)),2),QUOTIENT((((K293)-(c_TMAP3IN))*((1000)-(c_TMAP3OUT))+IF(((1000)-(c_TMAP3OUT))&gt;=0,1,-1)*QUOTIENT(((1000)-(c_TMAP3IN)),2)),((1000)-(c_TMAP3IN)))+(c_TMAP3OUT)+IF(((1000)-(c_TMAP3OUT))&gt;=0,IF(IF(o_WRAP=1,MOD(((1000)-(c_TMAP3IN))*(((K293)-(c_TMAP3IN))*((1000)-(c_TMAP3OUT))+IF(((1000)-(c_TMAP3OUT))&gt;=0,1,-1)*QUOTIENT(((1000)-(c_TMAP3IN)),2))+2147483648,4294967296)-2147483648,((1000)-(c_TMAP3IN))*(((K293)-(c_TMAP3IN))*((1000)-(c_TMAP3OUT))+IF(((1000)-(c_TMAP3OUT))&gt;=0,1,-1)*QUOTIENT(((1000)-(c_TMAP3IN)),2)))&lt;0,-1,0),IF(IF(o_WRAP=1,MOD(((1000)-(c_TMAP3IN))*(((K293)-(c_TMAP3IN))*((1000)-(c_TMAP3OUT))+IF(((1000)-(c_TMAP3OUT))&gt;=0,1,-1)*QUOTIENT(((1000)-(c_TMAP3IN)),2))+2147483648,4294967296)-2147483648,((1000)-(c_TMAP3IN))*(((K293)-(c_TMAP3IN))*((1000)-(c_TMAP3OUT))+IF(((1000)-(c_TMAP3OUT))&gt;=0,1,-1)*QUOTIENT(((1000)-(c_TMAP3IN)),2)))&gt;=0,1,0)))</f>
        <v>764</v>
      </c>
      <c r="Q293" s="7" t="str">
        <f aca="false">IF(K293&gt;=c_TFWD,IF(AND(K293&gt;=c_TMAP3IN,c_TMAP3IN&lt;1000),"Seg4 map3-100%",IF(AND(K293&gt;=c_TMAP2IN,c_TMAP3IN&gt;c_TMAP2IN),"Seg3 map2-map3",IF(AND(K293&gt;=c_TMAP1IN,c_TMAP2IN&gt;c_TMAP1IN),"Seg2 map1-map2","Seg1 TFWD-map1"))),IF(AND(K293=0,c_TCREEP&gt;0),"Creep",IF(AND(K293&lt;=c_TRNGMIN,K293&gt;=c_TRNGMAX,c_TRNGMIN-c_TRNGMAX&lt;&gt;0),"Regen ramp","Coast (0)")))</f>
        <v>Seg4 map3-100%</v>
      </c>
      <c r="R293" s="7" t="n">
        <f aca="false">IF(K293&gt;=c_TFWD,IF(AND(K293&gt;=c_TMAP3IN,c_TMAP3IN&lt;1000),P293,IF(AND(K293&gt;=c_TMAP2IN,c_TMAP3IN&gt;c_TMAP2IN),O293,IF(AND(K293&gt;=c_TMAP1IN,c_TMAP2IN&gt;c_TMAP1IN),N293,M293))),L293)</f>
        <v>764</v>
      </c>
      <c r="S293" s="7" t="str">
        <f aca="false">IF(R293&lt;-1090,"TOO LOW",IF(R293&gt;1090,"TOO HIGH",""))</f>
        <v/>
      </c>
      <c r="T293" s="15" t="n">
        <f aca="false">IF(H293&lt;&gt;"OK",0,IF(S293&lt;&gt;"",0,IF(R293&gt;979,1000,R293)))</f>
        <v>764</v>
      </c>
      <c r="U293" s="7" t="n">
        <f aca="false">T293/10</f>
        <v>76.4</v>
      </c>
    </row>
    <row r="294" customFormat="false" ht="15" hidden="false" customHeight="false" outlineLevel="0" collapsed="false">
      <c r="A294" s="7" t="n">
        <v>289</v>
      </c>
      <c r="B294" s="7" t="n">
        <f aca="false">ROUND(o_SWSTART+A294*(o_SWEND-o_SWSTART)/400,0)</f>
        <v>2959</v>
      </c>
      <c r="C294" s="7" t="n">
        <f aca="false">QUOTIENT((B294-c_OFF1)*c_GAIN1,1024)</f>
        <v>2959</v>
      </c>
      <c r="D294" s="7" t="n">
        <f aca="false">IF(((c_T1MX)-(c_T1MN))=0,(0)+QUOTIENT(((1000)-(0)),2),QUOTIENT((((C294)-(c_T1MN))*((1000)-(0))+IF(((1000)-(0))&gt;=0,1,-1)*QUOTIENT(((c_T1MX)-(c_T1MN)),2)),((c_T1MX)-(c_T1MN)))+(0)+IF(((1000)-(0))&gt;=0,IF(IF(o_WRAP=1,MOD(((c_T1MX)-(c_T1MN))*(((C294)-(c_T1MN))*((1000)-(0))+IF(((1000)-(0))&gt;=0,1,-1)*QUOTIENT(((c_T1MX)-(c_T1MN)),2))+2147483648,4294967296)-2147483648,((c_T1MX)-(c_T1MN))*(((C294)-(c_T1MN))*((1000)-(0))+IF(((1000)-(0))&gt;=0,1,-1)*QUOTIENT(((c_T1MX)-(c_T1MN)),2)))&lt;0,-1,0),IF(IF(o_WRAP=1,MOD(((c_T1MX)-(c_T1MN))*(((C294)-(c_T1MN))*((1000)-(0))+IF(((1000)-(0))&gt;=0,1,-1)*QUOTIENT(((c_T1MX)-(c_T1MN)),2))+2147483648,4294967296)-2147483648,((c_T1MX)-(c_T1MN))*(((C294)-(c_T1MN))*((1000)-(0))+IF(((1000)-(0))&gt;=0,1,-1)*QUOTIENT(((c_T1MX)-(c_T1MN)),2)))&gt;=0,1,0)))</f>
        <v>812</v>
      </c>
      <c r="E294" s="7" t="n">
        <f aca="false">IF(AND(c_TPOT=1,c_TTYPE=2),1000-D294,D294)</f>
        <v>812</v>
      </c>
      <c r="F294" s="7" t="str">
        <f aca="false">IF(c_TPOT&gt;1,ROUND(IF(c_TTYPE=2,c_T2MX-IF(c_T1MX=c_T1MN,0,(C294-c_T1MN)/(c_T1MX-c_T1MN))*(c_T2MX-c_T2MN),c_T2MN+IF(c_T1MX=c_T1MN,0,(C294-c_T1MN)/(c_T1MX-c_T1MN))*(c_T2MX-c_T2MN))+o_MISMATCH,0),"")</f>
        <v/>
      </c>
      <c r="G294" s="7" t="str">
        <f aca="false">IF(c_TPOT&gt;1,IF(((c_T2MX)-(c_T2MN))=0,(0)+QUOTIENT(((1000)-(0)),2),QUOTIENT((((F294)-(c_T2MN))*((1000)-(0))+IF(((1000)-(0))&gt;=0,1,-1)*QUOTIENT(((c_T2MX)-(c_T2MN)),2)),((c_T2MX)-(c_T2MN)))+(0)+IF(((1000)-(0))&gt;=0,IF(IF(o_WRAP=1,MOD(((c_T2MX)-(c_T2MN))*(((F294)-(c_T2MN))*((1000)-(0))+IF(((1000)-(0))&gt;=0,1,-1)*QUOTIENT(((c_T2MX)-(c_T2MN)),2))+2147483648,4294967296)-2147483648,((c_T2MX)-(c_T2MN))*(((F294)-(c_T2MN))*((1000)-(0))+IF(((1000)-(0))&gt;=0,1,-1)*QUOTIENT(((c_T2MX)-(c_T2MN)),2)))&lt;0,-1,0),IF(IF(o_WRAP=1,MOD(((c_T2MX)-(c_T2MN))*(((F294)-(c_T2MN))*((1000)-(0))+IF(((1000)-(0))&gt;=0,1,-1)*QUOTIENT(((c_T2MX)-(c_T2MN)),2))+2147483648,4294967296)-2147483648,((c_T2MX)-(c_T2MN))*(((F294)-(c_T2MN))*((1000)-(0))+IF(((1000)-(0))&gt;=0,1,-1)*QUOTIENT(((c_T2MX)-(c_T2MN)),2)))&gt;=0,1,0))),"")</f>
        <v/>
      </c>
      <c r="H294" s="7" t="str">
        <f aca="false">IF(E294&gt;1000+k_TOL,"T1 HIGH",IF(E294&lt;0-k_TOL,"T1 LOW",IF(c_TPOT&gt;1,IF(G294&gt;1000+k_TOL,"T2 HIGH",IF(G294&lt;0-k_TOL,"T2 LOW",IF(c_TTYPE=2,IF(ABS(1000-MAX(0,MIN(1000,E294))-MAX(0,MIN(1000,G294)))&gt;k_MAXERR,"MISMATCH","OK"),IF(OR(MAX(0,MIN(1000,E294))-k_MAXERR&gt;MAX(0,MIN(1000,G294)),MAX(0,MIN(1000,G294))-k_MAXERR&gt;MAX(0,MIN(1000,E294))),"MISMATCH","OK")))),"OK")))</f>
        <v>OK</v>
      </c>
      <c r="I294" s="7" t="n">
        <f aca="false">MAX(0,MIN(1000,D294))</f>
        <v>812</v>
      </c>
      <c r="J294" s="7" t="str">
        <f aca="false">IF(c_TPOT&gt;1,IF(c_TTYPE=2,1000-MAX(0,MIN(1000,G294)),MAX(0,MIN(1000,G294))),"")</f>
        <v/>
      </c>
      <c r="K294" s="7" t="n">
        <f aca="false">IF(c_TPOT&gt;1,QUOTIENT(I294+J294,2),I294)</f>
        <v>812</v>
      </c>
      <c r="L294" s="7" t="n">
        <f aca="false">IF(AND(K294=0,c_TCREEP&gt;0),10*c_TCREEP,IF(AND(K294&lt;=c_TRNGMIN,K294&gt;=c_TRNGMAX,c_TRNGMIN-c_TRNGMAX&lt;&gt;0),-10*c_TMINRN+QUOTIENT((c_TMAXRN-c_TMINRN)*(100-QUOTIENT((K294-c_TRNGMAX)*100,c_TRNGMIN-c_TRNGMAX)),-10),0))</f>
        <v>0</v>
      </c>
      <c r="M294" s="7" t="n">
        <f aca="false">IF(((c_TMAP1IN)-(c_TFWD))=0,(0)+QUOTIENT(((c_TMAP1OUT)-(0)),2),QUOTIENT((((K294)-(c_TFWD))*((c_TMAP1OUT)-(0))+IF(((c_TMAP1OUT)-(0))&gt;=0,1,-1)*QUOTIENT(((c_TMAP1IN)-(c_TFWD)),2)),((c_TMAP1IN)-(c_TFWD)))+(0)+IF(((c_TMAP1OUT)-(0))&gt;=0,IF(IF(o_WRAP=1,MOD(((c_TMAP1IN)-(c_TFWD))*(((K294)-(c_TFWD))*((c_TMAP1OUT)-(0))+IF(((c_TMAP1OUT)-(0))&gt;=0,1,-1)*QUOTIENT(((c_TMAP1IN)-(c_TFWD)),2))+2147483648,4294967296)-2147483648,((c_TMAP1IN)-(c_TFWD))*(((K294)-(c_TFWD))*((c_TMAP1OUT)-(0))+IF(((c_TMAP1OUT)-(0))&gt;=0,1,-1)*QUOTIENT(((c_TMAP1IN)-(c_TFWD)),2)))&lt;0,-1,0),IF(IF(o_WRAP=1,MOD(((c_TMAP1IN)-(c_TFWD))*(((K294)-(c_TFWD))*((c_TMAP1OUT)-(0))+IF(((c_TMAP1OUT)-(0))&gt;=0,1,-1)*QUOTIENT(((c_TMAP1IN)-(c_TFWD)),2))+2147483648,4294967296)-2147483648,((c_TMAP1IN)-(c_TFWD))*(((K294)-(c_TFWD))*((c_TMAP1OUT)-(0))+IF(((c_TMAP1OUT)-(0))&gt;=0,1,-1)*QUOTIENT(((c_TMAP1IN)-(c_TFWD)),2)))&gt;=0,1,0)))</f>
        <v>624</v>
      </c>
      <c r="N294" s="7" t="n">
        <f aca="false">IF(((c_TMAP2IN)-(c_TMAP1IN))=0,(c_TMAP1OUT)+QUOTIENT(((c_TMAP2OUT)-(c_TMAP1OUT)),2),QUOTIENT((((K294)-(c_TMAP1IN))*((c_TMAP2OUT)-(c_TMAP1OUT))+IF(((c_TMAP2OUT)-(c_TMAP1OUT))&gt;=0,1,-1)*QUOTIENT(((c_TMAP2IN)-(c_TMAP1IN)),2)),((c_TMAP2IN)-(c_TMAP1IN)))+(c_TMAP1OUT)+IF(((c_TMAP2OUT)-(c_TMAP1OUT))&gt;=0,IF(IF(o_WRAP=1,MOD(((c_TMAP2IN)-(c_TMAP1IN))*(((K294)-(c_TMAP1IN))*((c_TMAP2OUT)-(c_TMAP1OUT))+IF(((c_TMAP2OUT)-(c_TMAP1OUT))&gt;=0,1,-1)*QUOTIENT(((c_TMAP2IN)-(c_TMAP1IN)),2))+2147483648,4294967296)-2147483648,((c_TMAP2IN)-(c_TMAP1IN))*(((K294)-(c_TMAP1IN))*((c_TMAP2OUT)-(c_TMAP1OUT))+IF(((c_TMAP2OUT)-(c_TMAP1OUT))&gt;=0,1,-1)*QUOTIENT(((c_TMAP2IN)-(c_TMAP1IN)),2)))&lt;0,-1,0),IF(IF(o_WRAP=1,MOD(((c_TMAP2IN)-(c_TMAP1IN))*(((K294)-(c_TMAP1IN))*((c_TMAP2OUT)-(c_TMAP1OUT))+IF(((c_TMAP2OUT)-(c_TMAP1OUT))&gt;=0,1,-1)*QUOTIENT(((c_TMAP2IN)-(c_TMAP1IN)),2))+2147483648,4294967296)-2147483648,((c_TMAP2IN)-(c_TMAP1IN))*(((K294)-(c_TMAP1IN))*((c_TMAP2OUT)-(c_TMAP1OUT))+IF(((c_TMAP2OUT)-(c_TMAP1OUT))&gt;=0,1,-1)*QUOTIENT(((c_TMAP2IN)-(c_TMAP1IN)),2)))&gt;=0,1,0)))</f>
        <v>355</v>
      </c>
      <c r="O294" s="7" t="n">
        <f aca="false">IF(((c_TMAP3IN)-(c_TMAP2IN))=0,(c_TMAP2OUT)+QUOTIENT(((c_TMAP3OUT)-(c_TMAP2OUT)),2),QUOTIENT((((K294)-(c_TMAP2IN))*((c_TMAP3OUT)-(c_TMAP2OUT))+IF(((c_TMAP3OUT)-(c_TMAP2OUT))&gt;=0,1,-1)*QUOTIENT(((c_TMAP3IN)-(c_TMAP2IN)),2)),((c_TMAP3IN)-(c_TMAP2IN)))+(c_TMAP2OUT)+IF(((c_TMAP3OUT)-(c_TMAP2OUT))&gt;=0,IF(IF(o_WRAP=1,MOD(((c_TMAP3IN)-(c_TMAP2IN))*(((K294)-(c_TMAP2IN))*((c_TMAP3OUT)-(c_TMAP2OUT))+IF(((c_TMAP3OUT)-(c_TMAP2OUT))&gt;=0,1,-1)*QUOTIENT(((c_TMAP3IN)-(c_TMAP2IN)),2))+2147483648,4294967296)-2147483648,((c_TMAP3IN)-(c_TMAP2IN))*(((K294)-(c_TMAP2IN))*((c_TMAP3OUT)-(c_TMAP2OUT))+IF(((c_TMAP3OUT)-(c_TMAP2OUT))&gt;=0,1,-1)*QUOTIENT(((c_TMAP3IN)-(c_TMAP2IN)),2)))&lt;0,-1,0),IF(IF(o_WRAP=1,MOD(((c_TMAP3IN)-(c_TMAP2IN))*(((K294)-(c_TMAP2IN))*((c_TMAP3OUT)-(c_TMAP2OUT))+IF(((c_TMAP3OUT)-(c_TMAP2OUT))&gt;=0,1,-1)*QUOTIENT(((c_TMAP3IN)-(c_TMAP2IN)),2))+2147483648,4294967296)-2147483648,((c_TMAP3IN)-(c_TMAP2IN))*(((K294)-(c_TMAP2IN))*((c_TMAP3OUT)-(c_TMAP2OUT))+IF(((c_TMAP3OUT)-(c_TMAP2OUT))&gt;=0,1,-1)*QUOTIENT(((c_TMAP3IN)-(c_TMAP2IN)),2)))&gt;=0,1,0)))</f>
        <v>523</v>
      </c>
      <c r="P294" s="7" t="n">
        <f aca="false">IF(((1000)-(c_TMAP3IN))=0,(c_TMAP3OUT)+QUOTIENT(((1000)-(c_TMAP3OUT)),2),QUOTIENT((((K294)-(c_TMAP3IN))*((1000)-(c_TMAP3OUT))+IF(((1000)-(c_TMAP3OUT))&gt;=0,1,-1)*QUOTIENT(((1000)-(c_TMAP3IN)),2)),((1000)-(c_TMAP3IN)))+(c_TMAP3OUT)+IF(((1000)-(c_TMAP3OUT))&gt;=0,IF(IF(o_WRAP=1,MOD(((1000)-(c_TMAP3IN))*(((K294)-(c_TMAP3IN))*((1000)-(c_TMAP3OUT))+IF(((1000)-(c_TMAP3OUT))&gt;=0,1,-1)*QUOTIENT(((1000)-(c_TMAP3IN)),2))+2147483648,4294967296)-2147483648,((1000)-(c_TMAP3IN))*(((K294)-(c_TMAP3IN))*((1000)-(c_TMAP3OUT))+IF(((1000)-(c_TMAP3OUT))&gt;=0,1,-1)*QUOTIENT(((1000)-(c_TMAP3IN)),2)))&lt;0,-1,0),IF(IF(o_WRAP=1,MOD(((1000)-(c_TMAP3IN))*(((K294)-(c_TMAP3IN))*((1000)-(c_TMAP3OUT))+IF(((1000)-(c_TMAP3OUT))&gt;=0,1,-1)*QUOTIENT(((1000)-(c_TMAP3IN)),2))+2147483648,4294967296)-2147483648,((1000)-(c_TMAP3IN))*(((K294)-(c_TMAP3IN))*((1000)-(c_TMAP3OUT))+IF(((1000)-(c_TMAP3OUT))&gt;=0,1,-1)*QUOTIENT(((1000)-(c_TMAP3IN)),2)))&gt;=0,1,0)))</f>
        <v>769</v>
      </c>
      <c r="Q294" s="7" t="str">
        <f aca="false">IF(K294&gt;=c_TFWD,IF(AND(K294&gt;=c_TMAP3IN,c_TMAP3IN&lt;1000),"Seg4 map3-100%",IF(AND(K294&gt;=c_TMAP2IN,c_TMAP3IN&gt;c_TMAP2IN),"Seg3 map2-map3",IF(AND(K294&gt;=c_TMAP1IN,c_TMAP2IN&gt;c_TMAP1IN),"Seg2 map1-map2","Seg1 TFWD-map1"))),IF(AND(K294=0,c_TCREEP&gt;0),"Creep",IF(AND(K294&lt;=c_TRNGMIN,K294&gt;=c_TRNGMAX,c_TRNGMIN-c_TRNGMAX&lt;&gt;0),"Regen ramp","Coast (0)")))</f>
        <v>Seg4 map3-100%</v>
      </c>
      <c r="R294" s="7" t="n">
        <f aca="false">IF(K294&gt;=c_TFWD,IF(AND(K294&gt;=c_TMAP3IN,c_TMAP3IN&lt;1000),P294,IF(AND(K294&gt;=c_TMAP2IN,c_TMAP3IN&gt;c_TMAP2IN),O294,IF(AND(K294&gt;=c_TMAP1IN,c_TMAP2IN&gt;c_TMAP1IN),N294,M294))),L294)</f>
        <v>769</v>
      </c>
      <c r="S294" s="7" t="str">
        <f aca="false">IF(R294&lt;-1090,"TOO LOW",IF(R294&gt;1090,"TOO HIGH",""))</f>
        <v/>
      </c>
      <c r="T294" s="15" t="n">
        <f aca="false">IF(H294&lt;&gt;"OK",0,IF(S294&lt;&gt;"",0,IF(R294&gt;979,1000,R294)))</f>
        <v>769</v>
      </c>
      <c r="U294" s="7" t="n">
        <f aca="false">T294/10</f>
        <v>76.9</v>
      </c>
    </row>
    <row r="295" customFormat="false" ht="15" hidden="false" customHeight="false" outlineLevel="0" collapsed="false">
      <c r="A295" s="7" t="n">
        <v>290</v>
      </c>
      <c r="B295" s="7" t="n">
        <f aca="false">ROUND(o_SWSTART+A295*(o_SWEND-o_SWSTART)/400,0)</f>
        <v>2969</v>
      </c>
      <c r="C295" s="7" t="n">
        <f aca="false">QUOTIENT((B295-c_OFF1)*c_GAIN1,1024)</f>
        <v>2969</v>
      </c>
      <c r="D295" s="7" t="n">
        <f aca="false">IF(((c_T1MX)-(c_T1MN))=0,(0)+QUOTIENT(((1000)-(0)),2),QUOTIENT((((C295)-(c_T1MN))*((1000)-(0))+IF(((1000)-(0))&gt;=0,1,-1)*QUOTIENT(((c_T1MX)-(c_T1MN)),2)),((c_T1MX)-(c_T1MN)))+(0)+IF(((1000)-(0))&gt;=0,IF(IF(o_WRAP=1,MOD(((c_T1MX)-(c_T1MN))*(((C295)-(c_T1MN))*((1000)-(0))+IF(((1000)-(0))&gt;=0,1,-1)*QUOTIENT(((c_T1MX)-(c_T1MN)),2))+2147483648,4294967296)-2147483648,((c_T1MX)-(c_T1MN))*(((C295)-(c_T1MN))*((1000)-(0))+IF(((1000)-(0))&gt;=0,1,-1)*QUOTIENT(((c_T1MX)-(c_T1MN)),2)))&lt;0,-1,0),IF(IF(o_WRAP=1,MOD(((c_T1MX)-(c_T1MN))*(((C295)-(c_T1MN))*((1000)-(0))+IF(((1000)-(0))&gt;=0,1,-1)*QUOTIENT(((c_T1MX)-(c_T1MN)),2))+2147483648,4294967296)-2147483648,((c_T1MX)-(c_T1MN))*(((C295)-(c_T1MN))*((1000)-(0))+IF(((1000)-(0))&gt;=0,1,-1)*QUOTIENT(((c_T1MX)-(c_T1MN)),2)))&gt;=0,1,0)))</f>
        <v>816</v>
      </c>
      <c r="E295" s="7" t="n">
        <f aca="false">IF(AND(c_TPOT=1,c_TTYPE=2),1000-D295,D295)</f>
        <v>816</v>
      </c>
      <c r="F295" s="7" t="str">
        <f aca="false">IF(c_TPOT&gt;1,ROUND(IF(c_TTYPE=2,c_T2MX-IF(c_T1MX=c_T1MN,0,(C295-c_T1MN)/(c_T1MX-c_T1MN))*(c_T2MX-c_T2MN),c_T2MN+IF(c_T1MX=c_T1MN,0,(C295-c_T1MN)/(c_T1MX-c_T1MN))*(c_T2MX-c_T2MN))+o_MISMATCH,0),"")</f>
        <v/>
      </c>
      <c r="G295" s="7" t="str">
        <f aca="false">IF(c_TPOT&gt;1,IF(((c_T2MX)-(c_T2MN))=0,(0)+QUOTIENT(((1000)-(0)),2),QUOTIENT((((F295)-(c_T2MN))*((1000)-(0))+IF(((1000)-(0))&gt;=0,1,-1)*QUOTIENT(((c_T2MX)-(c_T2MN)),2)),((c_T2MX)-(c_T2MN)))+(0)+IF(((1000)-(0))&gt;=0,IF(IF(o_WRAP=1,MOD(((c_T2MX)-(c_T2MN))*(((F295)-(c_T2MN))*((1000)-(0))+IF(((1000)-(0))&gt;=0,1,-1)*QUOTIENT(((c_T2MX)-(c_T2MN)),2))+2147483648,4294967296)-2147483648,((c_T2MX)-(c_T2MN))*(((F295)-(c_T2MN))*((1000)-(0))+IF(((1000)-(0))&gt;=0,1,-1)*QUOTIENT(((c_T2MX)-(c_T2MN)),2)))&lt;0,-1,0),IF(IF(o_WRAP=1,MOD(((c_T2MX)-(c_T2MN))*(((F295)-(c_T2MN))*((1000)-(0))+IF(((1000)-(0))&gt;=0,1,-1)*QUOTIENT(((c_T2MX)-(c_T2MN)),2))+2147483648,4294967296)-2147483648,((c_T2MX)-(c_T2MN))*(((F295)-(c_T2MN))*((1000)-(0))+IF(((1000)-(0))&gt;=0,1,-1)*QUOTIENT(((c_T2MX)-(c_T2MN)),2)))&gt;=0,1,0))),"")</f>
        <v/>
      </c>
      <c r="H295" s="7" t="str">
        <f aca="false">IF(E295&gt;1000+k_TOL,"T1 HIGH",IF(E295&lt;0-k_TOL,"T1 LOW",IF(c_TPOT&gt;1,IF(G295&gt;1000+k_TOL,"T2 HIGH",IF(G295&lt;0-k_TOL,"T2 LOW",IF(c_TTYPE=2,IF(ABS(1000-MAX(0,MIN(1000,E295))-MAX(0,MIN(1000,G295)))&gt;k_MAXERR,"MISMATCH","OK"),IF(OR(MAX(0,MIN(1000,E295))-k_MAXERR&gt;MAX(0,MIN(1000,G295)),MAX(0,MIN(1000,G295))-k_MAXERR&gt;MAX(0,MIN(1000,E295))),"MISMATCH","OK")))),"OK")))</f>
        <v>OK</v>
      </c>
      <c r="I295" s="7" t="n">
        <f aca="false">MAX(0,MIN(1000,D295))</f>
        <v>816</v>
      </c>
      <c r="J295" s="7" t="str">
        <f aca="false">IF(c_TPOT&gt;1,IF(c_TTYPE=2,1000-MAX(0,MIN(1000,G295)),MAX(0,MIN(1000,G295))),"")</f>
        <v/>
      </c>
      <c r="K295" s="7" t="n">
        <f aca="false">IF(c_TPOT&gt;1,QUOTIENT(I295+J295,2),I295)</f>
        <v>816</v>
      </c>
      <c r="L295" s="7" t="n">
        <f aca="false">IF(AND(K295=0,c_TCREEP&gt;0),10*c_TCREEP,IF(AND(K295&lt;=c_TRNGMIN,K295&gt;=c_TRNGMAX,c_TRNGMIN-c_TRNGMAX&lt;&gt;0),-10*c_TMINRN+QUOTIENT((c_TMAXRN-c_TMINRN)*(100-QUOTIENT((K295-c_TRNGMAX)*100,c_TRNGMIN-c_TRNGMAX)),-10),0))</f>
        <v>0</v>
      </c>
      <c r="M295" s="7" t="n">
        <f aca="false">IF(((c_TMAP1IN)-(c_TFWD))=0,(0)+QUOTIENT(((c_TMAP1OUT)-(0)),2),QUOTIENT((((K295)-(c_TFWD))*((c_TMAP1OUT)-(0))+IF(((c_TMAP1OUT)-(0))&gt;=0,1,-1)*QUOTIENT(((c_TMAP1IN)-(c_TFWD)),2)),((c_TMAP1IN)-(c_TFWD)))+(0)+IF(((c_TMAP1OUT)-(0))&gt;=0,IF(IF(o_WRAP=1,MOD(((c_TMAP1IN)-(c_TFWD))*(((K295)-(c_TFWD))*((c_TMAP1OUT)-(0))+IF(((c_TMAP1OUT)-(0))&gt;=0,1,-1)*QUOTIENT(((c_TMAP1IN)-(c_TFWD)),2))+2147483648,4294967296)-2147483648,((c_TMAP1IN)-(c_TFWD))*(((K295)-(c_TFWD))*((c_TMAP1OUT)-(0))+IF(((c_TMAP1OUT)-(0))&gt;=0,1,-1)*QUOTIENT(((c_TMAP1IN)-(c_TFWD)),2)))&lt;0,-1,0),IF(IF(o_WRAP=1,MOD(((c_TMAP1IN)-(c_TFWD))*(((K295)-(c_TFWD))*((c_TMAP1OUT)-(0))+IF(((c_TMAP1OUT)-(0))&gt;=0,1,-1)*QUOTIENT(((c_TMAP1IN)-(c_TFWD)),2))+2147483648,4294967296)-2147483648,((c_TMAP1IN)-(c_TFWD))*(((K295)-(c_TFWD))*((c_TMAP1OUT)-(0))+IF(((c_TMAP1OUT)-(0))&gt;=0,1,-1)*QUOTIENT(((c_TMAP1IN)-(c_TFWD)),2)))&gt;=0,1,0)))</f>
        <v>627</v>
      </c>
      <c r="N295" s="7" t="n">
        <f aca="false">IF(((c_TMAP2IN)-(c_TMAP1IN))=0,(c_TMAP1OUT)+QUOTIENT(((c_TMAP2OUT)-(c_TMAP1OUT)),2),QUOTIENT((((K295)-(c_TMAP1IN))*((c_TMAP2OUT)-(c_TMAP1OUT))+IF(((c_TMAP2OUT)-(c_TMAP1OUT))&gt;=0,1,-1)*QUOTIENT(((c_TMAP2IN)-(c_TMAP1IN)),2)),((c_TMAP2IN)-(c_TMAP1IN)))+(c_TMAP1OUT)+IF(((c_TMAP2OUT)-(c_TMAP1OUT))&gt;=0,IF(IF(o_WRAP=1,MOD(((c_TMAP2IN)-(c_TMAP1IN))*(((K295)-(c_TMAP1IN))*((c_TMAP2OUT)-(c_TMAP1OUT))+IF(((c_TMAP2OUT)-(c_TMAP1OUT))&gt;=0,1,-1)*QUOTIENT(((c_TMAP2IN)-(c_TMAP1IN)),2))+2147483648,4294967296)-2147483648,((c_TMAP2IN)-(c_TMAP1IN))*(((K295)-(c_TMAP1IN))*((c_TMAP2OUT)-(c_TMAP1OUT))+IF(((c_TMAP2OUT)-(c_TMAP1OUT))&gt;=0,1,-1)*QUOTIENT(((c_TMAP2IN)-(c_TMAP1IN)),2)))&lt;0,-1,0),IF(IF(o_WRAP=1,MOD(((c_TMAP2IN)-(c_TMAP1IN))*(((K295)-(c_TMAP1IN))*((c_TMAP2OUT)-(c_TMAP1OUT))+IF(((c_TMAP2OUT)-(c_TMAP1OUT))&gt;=0,1,-1)*QUOTIENT(((c_TMAP2IN)-(c_TMAP1IN)),2))+2147483648,4294967296)-2147483648,((c_TMAP2IN)-(c_TMAP1IN))*(((K295)-(c_TMAP1IN))*((c_TMAP2OUT)-(c_TMAP1OUT))+IF(((c_TMAP2OUT)-(c_TMAP1OUT))&gt;=0,1,-1)*QUOTIENT(((c_TMAP2IN)-(c_TMAP1IN)),2)))&gt;=0,1,0)))</f>
        <v>356</v>
      </c>
      <c r="O295" s="7" t="n">
        <f aca="false">IF(((c_TMAP3IN)-(c_TMAP2IN))=0,(c_TMAP2OUT)+QUOTIENT(((c_TMAP3OUT)-(c_TMAP2OUT)),2),QUOTIENT((((K295)-(c_TMAP2IN))*((c_TMAP3OUT)-(c_TMAP2OUT))+IF(((c_TMAP3OUT)-(c_TMAP2OUT))&gt;=0,1,-1)*QUOTIENT(((c_TMAP3IN)-(c_TMAP2IN)),2)),((c_TMAP3IN)-(c_TMAP2IN)))+(c_TMAP2OUT)+IF(((c_TMAP3OUT)-(c_TMAP2OUT))&gt;=0,IF(IF(o_WRAP=1,MOD(((c_TMAP3IN)-(c_TMAP2IN))*(((K295)-(c_TMAP2IN))*((c_TMAP3OUT)-(c_TMAP2OUT))+IF(((c_TMAP3OUT)-(c_TMAP2OUT))&gt;=0,1,-1)*QUOTIENT(((c_TMAP3IN)-(c_TMAP2IN)),2))+2147483648,4294967296)-2147483648,((c_TMAP3IN)-(c_TMAP2IN))*(((K295)-(c_TMAP2IN))*((c_TMAP3OUT)-(c_TMAP2OUT))+IF(((c_TMAP3OUT)-(c_TMAP2OUT))&gt;=0,1,-1)*QUOTIENT(((c_TMAP3IN)-(c_TMAP2IN)),2)))&lt;0,-1,0),IF(IF(o_WRAP=1,MOD(((c_TMAP3IN)-(c_TMAP2IN))*(((K295)-(c_TMAP2IN))*((c_TMAP3OUT)-(c_TMAP2OUT))+IF(((c_TMAP3OUT)-(c_TMAP2OUT))&gt;=0,1,-1)*QUOTIENT(((c_TMAP3IN)-(c_TMAP2IN)),2))+2147483648,4294967296)-2147483648,((c_TMAP3IN)-(c_TMAP2IN))*(((K295)-(c_TMAP2IN))*((c_TMAP3OUT)-(c_TMAP2OUT))+IF(((c_TMAP3OUT)-(c_TMAP2OUT))&gt;=0,1,-1)*QUOTIENT(((c_TMAP3IN)-(c_TMAP2IN)),2)))&gt;=0,1,0)))</f>
        <v>526</v>
      </c>
      <c r="P295" s="7" t="n">
        <f aca="false">IF(((1000)-(c_TMAP3IN))=0,(c_TMAP3OUT)+QUOTIENT(((1000)-(c_TMAP3OUT)),2),QUOTIENT((((K295)-(c_TMAP3IN))*((1000)-(c_TMAP3OUT))+IF(((1000)-(c_TMAP3OUT))&gt;=0,1,-1)*QUOTIENT(((1000)-(c_TMAP3IN)),2)),((1000)-(c_TMAP3IN)))+(c_TMAP3OUT)+IF(((1000)-(c_TMAP3OUT))&gt;=0,IF(IF(o_WRAP=1,MOD(((1000)-(c_TMAP3IN))*(((K295)-(c_TMAP3IN))*((1000)-(c_TMAP3OUT))+IF(((1000)-(c_TMAP3OUT))&gt;=0,1,-1)*QUOTIENT(((1000)-(c_TMAP3IN)),2))+2147483648,4294967296)-2147483648,((1000)-(c_TMAP3IN))*(((K295)-(c_TMAP3IN))*((1000)-(c_TMAP3OUT))+IF(((1000)-(c_TMAP3OUT))&gt;=0,1,-1)*QUOTIENT(((1000)-(c_TMAP3IN)),2)))&lt;0,-1,0),IF(IF(o_WRAP=1,MOD(((1000)-(c_TMAP3IN))*(((K295)-(c_TMAP3IN))*((1000)-(c_TMAP3OUT))+IF(((1000)-(c_TMAP3OUT))&gt;=0,1,-1)*QUOTIENT(((1000)-(c_TMAP3IN)),2))+2147483648,4294967296)-2147483648,((1000)-(c_TMAP3IN))*(((K295)-(c_TMAP3IN))*((1000)-(c_TMAP3OUT))+IF(((1000)-(c_TMAP3OUT))&gt;=0,1,-1)*QUOTIENT(((1000)-(c_TMAP3IN)),2)))&gt;=0,1,0)))</f>
        <v>774</v>
      </c>
      <c r="Q295" s="7" t="str">
        <f aca="false">IF(K295&gt;=c_TFWD,IF(AND(K295&gt;=c_TMAP3IN,c_TMAP3IN&lt;1000),"Seg4 map3-100%",IF(AND(K295&gt;=c_TMAP2IN,c_TMAP3IN&gt;c_TMAP2IN),"Seg3 map2-map3",IF(AND(K295&gt;=c_TMAP1IN,c_TMAP2IN&gt;c_TMAP1IN),"Seg2 map1-map2","Seg1 TFWD-map1"))),IF(AND(K295=0,c_TCREEP&gt;0),"Creep",IF(AND(K295&lt;=c_TRNGMIN,K295&gt;=c_TRNGMAX,c_TRNGMIN-c_TRNGMAX&lt;&gt;0),"Regen ramp","Coast (0)")))</f>
        <v>Seg4 map3-100%</v>
      </c>
      <c r="R295" s="7" t="n">
        <f aca="false">IF(K295&gt;=c_TFWD,IF(AND(K295&gt;=c_TMAP3IN,c_TMAP3IN&lt;1000),P295,IF(AND(K295&gt;=c_TMAP2IN,c_TMAP3IN&gt;c_TMAP2IN),O295,IF(AND(K295&gt;=c_TMAP1IN,c_TMAP2IN&gt;c_TMAP1IN),N295,M295))),L295)</f>
        <v>774</v>
      </c>
      <c r="S295" s="7" t="str">
        <f aca="false">IF(R295&lt;-1090,"TOO LOW",IF(R295&gt;1090,"TOO HIGH",""))</f>
        <v/>
      </c>
      <c r="T295" s="15" t="n">
        <f aca="false">IF(H295&lt;&gt;"OK",0,IF(S295&lt;&gt;"",0,IF(R295&gt;979,1000,R295)))</f>
        <v>774</v>
      </c>
      <c r="U295" s="7" t="n">
        <f aca="false">T295/10</f>
        <v>77.4</v>
      </c>
    </row>
    <row r="296" customFormat="false" ht="15" hidden="false" customHeight="false" outlineLevel="0" collapsed="false">
      <c r="A296" s="7" t="n">
        <v>291</v>
      </c>
      <c r="B296" s="7" t="n">
        <f aca="false">ROUND(o_SWSTART+A296*(o_SWEND-o_SWSTART)/400,0)</f>
        <v>2979</v>
      </c>
      <c r="C296" s="7" t="n">
        <f aca="false">QUOTIENT((B296-c_OFF1)*c_GAIN1,1024)</f>
        <v>2979</v>
      </c>
      <c r="D296" s="7" t="n">
        <f aca="false">IF(((c_T1MX)-(c_T1MN))=0,(0)+QUOTIENT(((1000)-(0)),2),QUOTIENT((((C296)-(c_T1MN))*((1000)-(0))+IF(((1000)-(0))&gt;=0,1,-1)*QUOTIENT(((c_T1MX)-(c_T1MN)),2)),((c_T1MX)-(c_T1MN)))+(0)+IF(((1000)-(0))&gt;=0,IF(IF(o_WRAP=1,MOD(((c_T1MX)-(c_T1MN))*(((C296)-(c_T1MN))*((1000)-(0))+IF(((1000)-(0))&gt;=0,1,-1)*QUOTIENT(((c_T1MX)-(c_T1MN)),2))+2147483648,4294967296)-2147483648,((c_T1MX)-(c_T1MN))*(((C296)-(c_T1MN))*((1000)-(0))+IF(((1000)-(0))&gt;=0,1,-1)*QUOTIENT(((c_T1MX)-(c_T1MN)),2)))&lt;0,-1,0),IF(IF(o_WRAP=1,MOD(((c_T1MX)-(c_T1MN))*(((C296)-(c_T1MN))*((1000)-(0))+IF(((1000)-(0))&gt;=0,1,-1)*QUOTIENT(((c_T1MX)-(c_T1MN)),2))+2147483648,4294967296)-2147483648,((c_T1MX)-(c_T1MN))*(((C296)-(c_T1MN))*((1000)-(0))+IF(((1000)-(0))&gt;=0,1,-1)*QUOTIENT(((c_T1MX)-(c_T1MN)),2)))&gt;=0,1,0)))</f>
        <v>819</v>
      </c>
      <c r="E296" s="7" t="n">
        <f aca="false">IF(AND(c_TPOT=1,c_TTYPE=2),1000-D296,D296)</f>
        <v>819</v>
      </c>
      <c r="F296" s="7" t="str">
        <f aca="false">IF(c_TPOT&gt;1,ROUND(IF(c_TTYPE=2,c_T2MX-IF(c_T1MX=c_T1MN,0,(C296-c_T1MN)/(c_T1MX-c_T1MN))*(c_T2MX-c_T2MN),c_T2MN+IF(c_T1MX=c_T1MN,0,(C296-c_T1MN)/(c_T1MX-c_T1MN))*(c_T2MX-c_T2MN))+o_MISMATCH,0),"")</f>
        <v/>
      </c>
      <c r="G296" s="7" t="str">
        <f aca="false">IF(c_TPOT&gt;1,IF(((c_T2MX)-(c_T2MN))=0,(0)+QUOTIENT(((1000)-(0)),2),QUOTIENT((((F296)-(c_T2MN))*((1000)-(0))+IF(((1000)-(0))&gt;=0,1,-1)*QUOTIENT(((c_T2MX)-(c_T2MN)),2)),((c_T2MX)-(c_T2MN)))+(0)+IF(((1000)-(0))&gt;=0,IF(IF(o_WRAP=1,MOD(((c_T2MX)-(c_T2MN))*(((F296)-(c_T2MN))*((1000)-(0))+IF(((1000)-(0))&gt;=0,1,-1)*QUOTIENT(((c_T2MX)-(c_T2MN)),2))+2147483648,4294967296)-2147483648,((c_T2MX)-(c_T2MN))*(((F296)-(c_T2MN))*((1000)-(0))+IF(((1000)-(0))&gt;=0,1,-1)*QUOTIENT(((c_T2MX)-(c_T2MN)),2)))&lt;0,-1,0),IF(IF(o_WRAP=1,MOD(((c_T2MX)-(c_T2MN))*(((F296)-(c_T2MN))*((1000)-(0))+IF(((1000)-(0))&gt;=0,1,-1)*QUOTIENT(((c_T2MX)-(c_T2MN)),2))+2147483648,4294967296)-2147483648,((c_T2MX)-(c_T2MN))*(((F296)-(c_T2MN))*((1000)-(0))+IF(((1000)-(0))&gt;=0,1,-1)*QUOTIENT(((c_T2MX)-(c_T2MN)),2)))&gt;=0,1,0))),"")</f>
        <v/>
      </c>
      <c r="H296" s="7" t="str">
        <f aca="false">IF(E296&gt;1000+k_TOL,"T1 HIGH",IF(E296&lt;0-k_TOL,"T1 LOW",IF(c_TPOT&gt;1,IF(G296&gt;1000+k_TOL,"T2 HIGH",IF(G296&lt;0-k_TOL,"T2 LOW",IF(c_TTYPE=2,IF(ABS(1000-MAX(0,MIN(1000,E296))-MAX(0,MIN(1000,G296)))&gt;k_MAXERR,"MISMATCH","OK"),IF(OR(MAX(0,MIN(1000,E296))-k_MAXERR&gt;MAX(0,MIN(1000,G296)),MAX(0,MIN(1000,G296))-k_MAXERR&gt;MAX(0,MIN(1000,E296))),"MISMATCH","OK")))),"OK")))</f>
        <v>OK</v>
      </c>
      <c r="I296" s="7" t="n">
        <f aca="false">MAX(0,MIN(1000,D296))</f>
        <v>819</v>
      </c>
      <c r="J296" s="7" t="str">
        <f aca="false">IF(c_TPOT&gt;1,IF(c_TTYPE=2,1000-MAX(0,MIN(1000,G296)),MAX(0,MIN(1000,G296))),"")</f>
        <v/>
      </c>
      <c r="K296" s="7" t="n">
        <f aca="false">IF(c_TPOT&gt;1,QUOTIENT(I296+J296,2),I296)</f>
        <v>819</v>
      </c>
      <c r="L296" s="7" t="n">
        <f aca="false">IF(AND(K296=0,c_TCREEP&gt;0),10*c_TCREEP,IF(AND(K296&lt;=c_TRNGMIN,K296&gt;=c_TRNGMAX,c_TRNGMIN-c_TRNGMAX&lt;&gt;0),-10*c_TMINRN+QUOTIENT((c_TMAXRN-c_TMINRN)*(100-QUOTIENT((K296-c_TRNGMAX)*100,c_TRNGMIN-c_TRNGMAX)),-10),0))</f>
        <v>0</v>
      </c>
      <c r="M296" s="7" t="n">
        <f aca="false">IF(((c_TMAP1IN)-(c_TFWD))=0,(0)+QUOTIENT(((c_TMAP1OUT)-(0)),2),QUOTIENT((((K296)-(c_TFWD))*((c_TMAP1OUT)-(0))+IF(((c_TMAP1OUT)-(0))&gt;=0,1,-1)*QUOTIENT(((c_TMAP1IN)-(c_TFWD)),2)),((c_TMAP1IN)-(c_TFWD)))+(0)+IF(((c_TMAP1OUT)-(0))&gt;=0,IF(IF(o_WRAP=1,MOD(((c_TMAP1IN)-(c_TFWD))*(((K296)-(c_TFWD))*((c_TMAP1OUT)-(0))+IF(((c_TMAP1OUT)-(0))&gt;=0,1,-1)*QUOTIENT(((c_TMAP1IN)-(c_TFWD)),2))+2147483648,4294967296)-2147483648,((c_TMAP1IN)-(c_TFWD))*(((K296)-(c_TFWD))*((c_TMAP1OUT)-(0))+IF(((c_TMAP1OUT)-(0))&gt;=0,1,-1)*QUOTIENT(((c_TMAP1IN)-(c_TFWD)),2)))&lt;0,-1,0),IF(IF(o_WRAP=1,MOD(((c_TMAP1IN)-(c_TFWD))*(((K296)-(c_TFWD))*((c_TMAP1OUT)-(0))+IF(((c_TMAP1OUT)-(0))&gt;=0,1,-1)*QUOTIENT(((c_TMAP1IN)-(c_TFWD)),2))+2147483648,4294967296)-2147483648,((c_TMAP1IN)-(c_TFWD))*(((K296)-(c_TFWD))*((c_TMAP1OUT)-(0))+IF(((c_TMAP1OUT)-(0))&gt;=0,1,-1)*QUOTIENT(((c_TMAP1IN)-(c_TFWD)),2)))&gt;=0,1,0)))</f>
        <v>629</v>
      </c>
      <c r="N296" s="7" t="n">
        <f aca="false">IF(((c_TMAP2IN)-(c_TMAP1IN))=0,(c_TMAP1OUT)+QUOTIENT(((c_TMAP2OUT)-(c_TMAP1OUT)),2),QUOTIENT((((K296)-(c_TMAP1IN))*((c_TMAP2OUT)-(c_TMAP1OUT))+IF(((c_TMAP2OUT)-(c_TMAP1OUT))&gt;=0,1,-1)*QUOTIENT(((c_TMAP2IN)-(c_TMAP1IN)),2)),((c_TMAP2IN)-(c_TMAP1IN)))+(c_TMAP1OUT)+IF(((c_TMAP2OUT)-(c_TMAP1OUT))&gt;=0,IF(IF(o_WRAP=1,MOD(((c_TMAP2IN)-(c_TMAP1IN))*(((K296)-(c_TMAP1IN))*((c_TMAP2OUT)-(c_TMAP1OUT))+IF(((c_TMAP2OUT)-(c_TMAP1OUT))&gt;=0,1,-1)*QUOTIENT(((c_TMAP2IN)-(c_TMAP1IN)),2))+2147483648,4294967296)-2147483648,((c_TMAP2IN)-(c_TMAP1IN))*(((K296)-(c_TMAP1IN))*((c_TMAP2OUT)-(c_TMAP1OUT))+IF(((c_TMAP2OUT)-(c_TMAP1OUT))&gt;=0,1,-1)*QUOTIENT(((c_TMAP2IN)-(c_TMAP1IN)),2)))&lt;0,-1,0),IF(IF(o_WRAP=1,MOD(((c_TMAP2IN)-(c_TMAP1IN))*(((K296)-(c_TMAP1IN))*((c_TMAP2OUT)-(c_TMAP1OUT))+IF(((c_TMAP2OUT)-(c_TMAP1OUT))&gt;=0,1,-1)*QUOTIENT(((c_TMAP2IN)-(c_TMAP1IN)),2))+2147483648,4294967296)-2147483648,((c_TMAP2IN)-(c_TMAP1IN))*(((K296)-(c_TMAP1IN))*((c_TMAP2OUT)-(c_TMAP1OUT))+IF(((c_TMAP2OUT)-(c_TMAP1OUT))&gt;=0,1,-1)*QUOTIENT(((c_TMAP2IN)-(c_TMAP1IN)),2)))&gt;=0,1,0)))</f>
        <v>358</v>
      </c>
      <c r="O296" s="7" t="n">
        <f aca="false">IF(((c_TMAP3IN)-(c_TMAP2IN))=0,(c_TMAP2OUT)+QUOTIENT(((c_TMAP3OUT)-(c_TMAP2OUT)),2),QUOTIENT((((K296)-(c_TMAP2IN))*((c_TMAP3OUT)-(c_TMAP2OUT))+IF(((c_TMAP3OUT)-(c_TMAP2OUT))&gt;=0,1,-1)*QUOTIENT(((c_TMAP3IN)-(c_TMAP2IN)),2)),((c_TMAP3IN)-(c_TMAP2IN)))+(c_TMAP2OUT)+IF(((c_TMAP3OUT)-(c_TMAP2OUT))&gt;=0,IF(IF(o_WRAP=1,MOD(((c_TMAP3IN)-(c_TMAP2IN))*(((K296)-(c_TMAP2IN))*((c_TMAP3OUT)-(c_TMAP2OUT))+IF(((c_TMAP3OUT)-(c_TMAP2OUT))&gt;=0,1,-1)*QUOTIENT(((c_TMAP3IN)-(c_TMAP2IN)),2))+2147483648,4294967296)-2147483648,((c_TMAP3IN)-(c_TMAP2IN))*(((K296)-(c_TMAP2IN))*((c_TMAP3OUT)-(c_TMAP2OUT))+IF(((c_TMAP3OUT)-(c_TMAP2OUT))&gt;=0,1,-1)*QUOTIENT(((c_TMAP3IN)-(c_TMAP2IN)),2)))&lt;0,-1,0),IF(IF(o_WRAP=1,MOD(((c_TMAP3IN)-(c_TMAP2IN))*(((K296)-(c_TMAP2IN))*((c_TMAP3OUT)-(c_TMAP2OUT))+IF(((c_TMAP3OUT)-(c_TMAP2OUT))&gt;=0,1,-1)*QUOTIENT(((c_TMAP3IN)-(c_TMAP2IN)),2))+2147483648,4294967296)-2147483648,((c_TMAP3IN)-(c_TMAP2IN))*(((K296)-(c_TMAP2IN))*((c_TMAP3OUT)-(c_TMAP2OUT))+IF(((c_TMAP3OUT)-(c_TMAP2OUT))&gt;=0,1,-1)*QUOTIENT(((c_TMAP3IN)-(c_TMAP2IN)),2)))&gt;=0,1,0)))</f>
        <v>528</v>
      </c>
      <c r="P296" s="7" t="n">
        <f aca="false">IF(((1000)-(c_TMAP3IN))=0,(c_TMAP3OUT)+QUOTIENT(((1000)-(c_TMAP3OUT)),2),QUOTIENT((((K296)-(c_TMAP3IN))*((1000)-(c_TMAP3OUT))+IF(((1000)-(c_TMAP3OUT))&gt;=0,1,-1)*QUOTIENT(((1000)-(c_TMAP3IN)),2)),((1000)-(c_TMAP3IN)))+(c_TMAP3OUT)+IF(((1000)-(c_TMAP3OUT))&gt;=0,IF(IF(o_WRAP=1,MOD(((1000)-(c_TMAP3IN))*(((K296)-(c_TMAP3IN))*((1000)-(c_TMAP3OUT))+IF(((1000)-(c_TMAP3OUT))&gt;=0,1,-1)*QUOTIENT(((1000)-(c_TMAP3IN)),2))+2147483648,4294967296)-2147483648,((1000)-(c_TMAP3IN))*(((K296)-(c_TMAP3IN))*((1000)-(c_TMAP3OUT))+IF(((1000)-(c_TMAP3OUT))&gt;=0,1,-1)*QUOTIENT(((1000)-(c_TMAP3IN)),2)))&lt;0,-1,0),IF(IF(o_WRAP=1,MOD(((1000)-(c_TMAP3IN))*(((K296)-(c_TMAP3IN))*((1000)-(c_TMAP3OUT))+IF(((1000)-(c_TMAP3OUT))&gt;=0,1,-1)*QUOTIENT(((1000)-(c_TMAP3IN)),2))+2147483648,4294967296)-2147483648,((1000)-(c_TMAP3IN))*(((K296)-(c_TMAP3IN))*((1000)-(c_TMAP3OUT))+IF(((1000)-(c_TMAP3OUT))&gt;=0,1,-1)*QUOTIENT(((1000)-(c_TMAP3IN)),2)))&gt;=0,1,0)))</f>
        <v>777</v>
      </c>
      <c r="Q296" s="7" t="str">
        <f aca="false">IF(K296&gt;=c_TFWD,IF(AND(K296&gt;=c_TMAP3IN,c_TMAP3IN&lt;1000),"Seg4 map3-100%",IF(AND(K296&gt;=c_TMAP2IN,c_TMAP3IN&gt;c_TMAP2IN),"Seg3 map2-map3",IF(AND(K296&gt;=c_TMAP1IN,c_TMAP2IN&gt;c_TMAP1IN),"Seg2 map1-map2","Seg1 TFWD-map1"))),IF(AND(K296=0,c_TCREEP&gt;0),"Creep",IF(AND(K296&lt;=c_TRNGMIN,K296&gt;=c_TRNGMAX,c_TRNGMIN-c_TRNGMAX&lt;&gt;0),"Regen ramp","Coast (0)")))</f>
        <v>Seg4 map3-100%</v>
      </c>
      <c r="R296" s="7" t="n">
        <f aca="false">IF(K296&gt;=c_TFWD,IF(AND(K296&gt;=c_TMAP3IN,c_TMAP3IN&lt;1000),P296,IF(AND(K296&gt;=c_TMAP2IN,c_TMAP3IN&gt;c_TMAP2IN),O296,IF(AND(K296&gt;=c_TMAP1IN,c_TMAP2IN&gt;c_TMAP1IN),N296,M296))),L296)</f>
        <v>777</v>
      </c>
      <c r="S296" s="7" t="str">
        <f aca="false">IF(R296&lt;-1090,"TOO LOW",IF(R296&gt;1090,"TOO HIGH",""))</f>
        <v/>
      </c>
      <c r="T296" s="15" t="n">
        <f aca="false">IF(H296&lt;&gt;"OK",0,IF(S296&lt;&gt;"",0,IF(R296&gt;979,1000,R296)))</f>
        <v>777</v>
      </c>
      <c r="U296" s="7" t="n">
        <f aca="false">T296/10</f>
        <v>77.7</v>
      </c>
    </row>
    <row r="297" customFormat="false" ht="15" hidden="false" customHeight="false" outlineLevel="0" collapsed="false">
      <c r="A297" s="7" t="n">
        <v>292</v>
      </c>
      <c r="B297" s="7" t="n">
        <f aca="false">ROUND(o_SWSTART+A297*(o_SWEND-o_SWSTART)/400,0)</f>
        <v>2989</v>
      </c>
      <c r="C297" s="7" t="n">
        <f aca="false">QUOTIENT((B297-c_OFF1)*c_GAIN1,1024)</f>
        <v>2989</v>
      </c>
      <c r="D297" s="7" t="n">
        <f aca="false">IF(((c_T1MX)-(c_T1MN))=0,(0)+QUOTIENT(((1000)-(0)),2),QUOTIENT((((C297)-(c_T1MN))*((1000)-(0))+IF(((1000)-(0))&gt;=0,1,-1)*QUOTIENT(((c_T1MX)-(c_T1MN)),2)),((c_T1MX)-(c_T1MN)))+(0)+IF(((1000)-(0))&gt;=0,IF(IF(o_WRAP=1,MOD(((c_T1MX)-(c_T1MN))*(((C297)-(c_T1MN))*((1000)-(0))+IF(((1000)-(0))&gt;=0,1,-1)*QUOTIENT(((c_T1MX)-(c_T1MN)),2))+2147483648,4294967296)-2147483648,((c_T1MX)-(c_T1MN))*(((C297)-(c_T1MN))*((1000)-(0))+IF(((1000)-(0))&gt;=0,1,-1)*QUOTIENT(((c_T1MX)-(c_T1MN)),2)))&lt;0,-1,0),IF(IF(o_WRAP=1,MOD(((c_T1MX)-(c_T1MN))*(((C297)-(c_T1MN))*((1000)-(0))+IF(((1000)-(0))&gt;=0,1,-1)*QUOTIENT(((c_T1MX)-(c_T1MN)),2))+2147483648,4294967296)-2147483648,((c_T1MX)-(c_T1MN))*(((C297)-(c_T1MN))*((1000)-(0))+IF(((1000)-(0))&gt;=0,1,-1)*QUOTIENT(((c_T1MX)-(c_T1MN)),2)))&gt;=0,1,0)))</f>
        <v>823</v>
      </c>
      <c r="E297" s="7" t="n">
        <f aca="false">IF(AND(c_TPOT=1,c_TTYPE=2),1000-D297,D297)</f>
        <v>823</v>
      </c>
      <c r="F297" s="7" t="str">
        <f aca="false">IF(c_TPOT&gt;1,ROUND(IF(c_TTYPE=2,c_T2MX-IF(c_T1MX=c_T1MN,0,(C297-c_T1MN)/(c_T1MX-c_T1MN))*(c_T2MX-c_T2MN),c_T2MN+IF(c_T1MX=c_T1MN,0,(C297-c_T1MN)/(c_T1MX-c_T1MN))*(c_T2MX-c_T2MN))+o_MISMATCH,0),"")</f>
        <v/>
      </c>
      <c r="G297" s="7" t="str">
        <f aca="false">IF(c_TPOT&gt;1,IF(((c_T2MX)-(c_T2MN))=0,(0)+QUOTIENT(((1000)-(0)),2),QUOTIENT((((F297)-(c_T2MN))*((1000)-(0))+IF(((1000)-(0))&gt;=0,1,-1)*QUOTIENT(((c_T2MX)-(c_T2MN)),2)),((c_T2MX)-(c_T2MN)))+(0)+IF(((1000)-(0))&gt;=0,IF(IF(o_WRAP=1,MOD(((c_T2MX)-(c_T2MN))*(((F297)-(c_T2MN))*((1000)-(0))+IF(((1000)-(0))&gt;=0,1,-1)*QUOTIENT(((c_T2MX)-(c_T2MN)),2))+2147483648,4294967296)-2147483648,((c_T2MX)-(c_T2MN))*(((F297)-(c_T2MN))*((1000)-(0))+IF(((1000)-(0))&gt;=0,1,-1)*QUOTIENT(((c_T2MX)-(c_T2MN)),2)))&lt;0,-1,0),IF(IF(o_WRAP=1,MOD(((c_T2MX)-(c_T2MN))*(((F297)-(c_T2MN))*((1000)-(0))+IF(((1000)-(0))&gt;=0,1,-1)*QUOTIENT(((c_T2MX)-(c_T2MN)),2))+2147483648,4294967296)-2147483648,((c_T2MX)-(c_T2MN))*(((F297)-(c_T2MN))*((1000)-(0))+IF(((1000)-(0))&gt;=0,1,-1)*QUOTIENT(((c_T2MX)-(c_T2MN)),2)))&gt;=0,1,0))),"")</f>
        <v/>
      </c>
      <c r="H297" s="7" t="str">
        <f aca="false">IF(E297&gt;1000+k_TOL,"T1 HIGH",IF(E297&lt;0-k_TOL,"T1 LOW",IF(c_TPOT&gt;1,IF(G297&gt;1000+k_TOL,"T2 HIGH",IF(G297&lt;0-k_TOL,"T2 LOW",IF(c_TTYPE=2,IF(ABS(1000-MAX(0,MIN(1000,E297))-MAX(0,MIN(1000,G297)))&gt;k_MAXERR,"MISMATCH","OK"),IF(OR(MAX(0,MIN(1000,E297))-k_MAXERR&gt;MAX(0,MIN(1000,G297)),MAX(0,MIN(1000,G297))-k_MAXERR&gt;MAX(0,MIN(1000,E297))),"MISMATCH","OK")))),"OK")))</f>
        <v>OK</v>
      </c>
      <c r="I297" s="7" t="n">
        <f aca="false">MAX(0,MIN(1000,D297))</f>
        <v>823</v>
      </c>
      <c r="J297" s="7" t="str">
        <f aca="false">IF(c_TPOT&gt;1,IF(c_TTYPE=2,1000-MAX(0,MIN(1000,G297)),MAX(0,MIN(1000,G297))),"")</f>
        <v/>
      </c>
      <c r="K297" s="7" t="n">
        <f aca="false">IF(c_TPOT&gt;1,QUOTIENT(I297+J297,2),I297)</f>
        <v>823</v>
      </c>
      <c r="L297" s="7" t="n">
        <f aca="false">IF(AND(K297=0,c_TCREEP&gt;0),10*c_TCREEP,IF(AND(K297&lt;=c_TRNGMIN,K297&gt;=c_TRNGMAX,c_TRNGMIN-c_TRNGMAX&lt;&gt;0),-10*c_TMINRN+QUOTIENT((c_TMAXRN-c_TMINRN)*(100-QUOTIENT((K297-c_TRNGMAX)*100,c_TRNGMIN-c_TRNGMAX)),-10),0))</f>
        <v>0</v>
      </c>
      <c r="M297" s="7" t="n">
        <f aca="false">IF(((c_TMAP1IN)-(c_TFWD))=0,(0)+QUOTIENT(((c_TMAP1OUT)-(0)),2),QUOTIENT((((K297)-(c_TFWD))*((c_TMAP1OUT)-(0))+IF(((c_TMAP1OUT)-(0))&gt;=0,1,-1)*QUOTIENT(((c_TMAP1IN)-(c_TFWD)),2)),((c_TMAP1IN)-(c_TFWD)))+(0)+IF(((c_TMAP1OUT)-(0))&gt;=0,IF(IF(o_WRAP=1,MOD(((c_TMAP1IN)-(c_TFWD))*(((K297)-(c_TFWD))*((c_TMAP1OUT)-(0))+IF(((c_TMAP1OUT)-(0))&gt;=0,1,-1)*QUOTIENT(((c_TMAP1IN)-(c_TFWD)),2))+2147483648,4294967296)-2147483648,((c_TMAP1IN)-(c_TFWD))*(((K297)-(c_TFWD))*((c_TMAP1OUT)-(0))+IF(((c_TMAP1OUT)-(0))&gt;=0,1,-1)*QUOTIENT(((c_TMAP1IN)-(c_TFWD)),2)))&lt;0,-1,0),IF(IF(o_WRAP=1,MOD(((c_TMAP1IN)-(c_TFWD))*(((K297)-(c_TFWD))*((c_TMAP1OUT)-(0))+IF(((c_TMAP1OUT)-(0))&gt;=0,1,-1)*QUOTIENT(((c_TMAP1IN)-(c_TFWD)),2))+2147483648,4294967296)-2147483648,((c_TMAP1IN)-(c_TFWD))*(((K297)-(c_TFWD))*((c_TMAP1OUT)-(0))+IF(((c_TMAP1OUT)-(0))&gt;=0,1,-1)*QUOTIENT(((c_TMAP1IN)-(c_TFWD)),2)))&gt;=0,1,0)))</f>
        <v>632</v>
      </c>
      <c r="N297" s="7" t="n">
        <f aca="false">IF(((c_TMAP2IN)-(c_TMAP1IN))=0,(c_TMAP1OUT)+QUOTIENT(((c_TMAP2OUT)-(c_TMAP1OUT)),2),QUOTIENT((((K297)-(c_TMAP1IN))*((c_TMAP2OUT)-(c_TMAP1OUT))+IF(((c_TMAP2OUT)-(c_TMAP1OUT))&gt;=0,1,-1)*QUOTIENT(((c_TMAP2IN)-(c_TMAP1IN)),2)),((c_TMAP2IN)-(c_TMAP1IN)))+(c_TMAP1OUT)+IF(((c_TMAP2OUT)-(c_TMAP1OUT))&gt;=0,IF(IF(o_WRAP=1,MOD(((c_TMAP2IN)-(c_TMAP1IN))*(((K297)-(c_TMAP1IN))*((c_TMAP2OUT)-(c_TMAP1OUT))+IF(((c_TMAP2OUT)-(c_TMAP1OUT))&gt;=0,1,-1)*QUOTIENT(((c_TMAP2IN)-(c_TMAP1IN)),2))+2147483648,4294967296)-2147483648,((c_TMAP2IN)-(c_TMAP1IN))*(((K297)-(c_TMAP1IN))*((c_TMAP2OUT)-(c_TMAP1OUT))+IF(((c_TMAP2OUT)-(c_TMAP1OUT))&gt;=0,1,-1)*QUOTIENT(((c_TMAP2IN)-(c_TMAP1IN)),2)))&lt;0,-1,0),IF(IF(o_WRAP=1,MOD(((c_TMAP2IN)-(c_TMAP1IN))*(((K297)-(c_TMAP1IN))*((c_TMAP2OUT)-(c_TMAP1OUT))+IF(((c_TMAP2OUT)-(c_TMAP1OUT))&gt;=0,1,-1)*QUOTIENT(((c_TMAP2IN)-(c_TMAP1IN)),2))+2147483648,4294967296)-2147483648,((c_TMAP2IN)-(c_TMAP1IN))*(((K297)-(c_TMAP1IN))*((c_TMAP2OUT)-(c_TMAP1OUT))+IF(((c_TMAP2OUT)-(c_TMAP1OUT))&gt;=0,1,-1)*QUOTIENT(((c_TMAP2IN)-(c_TMAP1IN)),2)))&gt;=0,1,0)))</f>
        <v>359</v>
      </c>
      <c r="O297" s="7" t="n">
        <f aca="false">IF(((c_TMAP3IN)-(c_TMAP2IN))=0,(c_TMAP2OUT)+QUOTIENT(((c_TMAP3OUT)-(c_TMAP2OUT)),2),QUOTIENT((((K297)-(c_TMAP2IN))*((c_TMAP3OUT)-(c_TMAP2OUT))+IF(((c_TMAP3OUT)-(c_TMAP2OUT))&gt;=0,1,-1)*QUOTIENT(((c_TMAP3IN)-(c_TMAP2IN)),2)),((c_TMAP3IN)-(c_TMAP2IN)))+(c_TMAP2OUT)+IF(((c_TMAP3OUT)-(c_TMAP2OUT))&gt;=0,IF(IF(o_WRAP=1,MOD(((c_TMAP3IN)-(c_TMAP2IN))*(((K297)-(c_TMAP2IN))*((c_TMAP3OUT)-(c_TMAP2OUT))+IF(((c_TMAP3OUT)-(c_TMAP2OUT))&gt;=0,1,-1)*QUOTIENT(((c_TMAP3IN)-(c_TMAP2IN)),2))+2147483648,4294967296)-2147483648,((c_TMAP3IN)-(c_TMAP2IN))*(((K297)-(c_TMAP2IN))*((c_TMAP3OUT)-(c_TMAP2OUT))+IF(((c_TMAP3OUT)-(c_TMAP2OUT))&gt;=0,1,-1)*QUOTIENT(((c_TMAP3IN)-(c_TMAP2IN)),2)))&lt;0,-1,0),IF(IF(o_WRAP=1,MOD(((c_TMAP3IN)-(c_TMAP2IN))*(((K297)-(c_TMAP2IN))*((c_TMAP3OUT)-(c_TMAP2OUT))+IF(((c_TMAP3OUT)-(c_TMAP2OUT))&gt;=0,1,-1)*QUOTIENT(((c_TMAP3IN)-(c_TMAP2IN)),2))+2147483648,4294967296)-2147483648,((c_TMAP3IN)-(c_TMAP2IN))*(((K297)-(c_TMAP2IN))*((c_TMAP3OUT)-(c_TMAP2OUT))+IF(((c_TMAP3OUT)-(c_TMAP2OUT))&gt;=0,1,-1)*QUOTIENT(((c_TMAP3IN)-(c_TMAP2IN)),2)))&gt;=0,1,0)))</f>
        <v>531</v>
      </c>
      <c r="P297" s="7" t="n">
        <f aca="false">IF(((1000)-(c_TMAP3IN))=0,(c_TMAP3OUT)+QUOTIENT(((1000)-(c_TMAP3OUT)),2),QUOTIENT((((K297)-(c_TMAP3IN))*((1000)-(c_TMAP3OUT))+IF(((1000)-(c_TMAP3OUT))&gt;=0,1,-1)*QUOTIENT(((1000)-(c_TMAP3IN)),2)),((1000)-(c_TMAP3IN)))+(c_TMAP3OUT)+IF(((1000)-(c_TMAP3OUT))&gt;=0,IF(IF(o_WRAP=1,MOD(((1000)-(c_TMAP3IN))*(((K297)-(c_TMAP3IN))*((1000)-(c_TMAP3OUT))+IF(((1000)-(c_TMAP3OUT))&gt;=0,1,-1)*QUOTIENT(((1000)-(c_TMAP3IN)),2))+2147483648,4294967296)-2147483648,((1000)-(c_TMAP3IN))*(((K297)-(c_TMAP3IN))*((1000)-(c_TMAP3OUT))+IF(((1000)-(c_TMAP3OUT))&gt;=0,1,-1)*QUOTIENT(((1000)-(c_TMAP3IN)),2)))&lt;0,-1,0),IF(IF(o_WRAP=1,MOD(((1000)-(c_TMAP3IN))*(((K297)-(c_TMAP3IN))*((1000)-(c_TMAP3OUT))+IF(((1000)-(c_TMAP3OUT))&gt;=0,1,-1)*QUOTIENT(((1000)-(c_TMAP3IN)),2))+2147483648,4294967296)-2147483648,((1000)-(c_TMAP3IN))*(((K297)-(c_TMAP3IN))*((1000)-(c_TMAP3OUT))+IF(((1000)-(c_TMAP3OUT))&gt;=0,1,-1)*QUOTIENT(((1000)-(c_TMAP3IN)),2)))&gt;=0,1,0)))</f>
        <v>782</v>
      </c>
      <c r="Q297" s="7" t="str">
        <f aca="false">IF(K297&gt;=c_TFWD,IF(AND(K297&gt;=c_TMAP3IN,c_TMAP3IN&lt;1000),"Seg4 map3-100%",IF(AND(K297&gt;=c_TMAP2IN,c_TMAP3IN&gt;c_TMAP2IN),"Seg3 map2-map3",IF(AND(K297&gt;=c_TMAP1IN,c_TMAP2IN&gt;c_TMAP1IN),"Seg2 map1-map2","Seg1 TFWD-map1"))),IF(AND(K297=0,c_TCREEP&gt;0),"Creep",IF(AND(K297&lt;=c_TRNGMIN,K297&gt;=c_TRNGMAX,c_TRNGMIN-c_TRNGMAX&lt;&gt;0),"Regen ramp","Coast (0)")))</f>
        <v>Seg4 map3-100%</v>
      </c>
      <c r="R297" s="7" t="n">
        <f aca="false">IF(K297&gt;=c_TFWD,IF(AND(K297&gt;=c_TMAP3IN,c_TMAP3IN&lt;1000),P297,IF(AND(K297&gt;=c_TMAP2IN,c_TMAP3IN&gt;c_TMAP2IN),O297,IF(AND(K297&gt;=c_TMAP1IN,c_TMAP2IN&gt;c_TMAP1IN),N297,M297))),L297)</f>
        <v>782</v>
      </c>
      <c r="S297" s="7" t="str">
        <f aca="false">IF(R297&lt;-1090,"TOO LOW",IF(R297&gt;1090,"TOO HIGH",""))</f>
        <v/>
      </c>
      <c r="T297" s="15" t="n">
        <f aca="false">IF(H297&lt;&gt;"OK",0,IF(S297&lt;&gt;"",0,IF(R297&gt;979,1000,R297)))</f>
        <v>782</v>
      </c>
      <c r="U297" s="7" t="n">
        <f aca="false">T297/10</f>
        <v>78.2</v>
      </c>
    </row>
    <row r="298" customFormat="false" ht="15" hidden="false" customHeight="false" outlineLevel="0" collapsed="false">
      <c r="A298" s="7" t="n">
        <v>293</v>
      </c>
      <c r="B298" s="7" t="n">
        <f aca="false">ROUND(o_SWSTART+A298*(o_SWEND-o_SWSTART)/400,0)</f>
        <v>3000</v>
      </c>
      <c r="C298" s="7" t="n">
        <f aca="false">QUOTIENT((B298-c_OFF1)*c_GAIN1,1024)</f>
        <v>3000</v>
      </c>
      <c r="D298" s="7" t="n">
        <f aca="false">IF(((c_T1MX)-(c_T1MN))=0,(0)+QUOTIENT(((1000)-(0)),2),QUOTIENT((((C298)-(c_T1MN))*((1000)-(0))+IF(((1000)-(0))&gt;=0,1,-1)*QUOTIENT(((c_T1MX)-(c_T1MN)),2)),((c_T1MX)-(c_T1MN)))+(0)+IF(((1000)-(0))&gt;=0,IF(IF(o_WRAP=1,MOD(((c_T1MX)-(c_T1MN))*(((C298)-(c_T1MN))*((1000)-(0))+IF(((1000)-(0))&gt;=0,1,-1)*QUOTIENT(((c_T1MX)-(c_T1MN)),2))+2147483648,4294967296)-2147483648,((c_T1MX)-(c_T1MN))*(((C298)-(c_T1MN))*((1000)-(0))+IF(((1000)-(0))&gt;=0,1,-1)*QUOTIENT(((c_T1MX)-(c_T1MN)),2)))&lt;0,-1,0),IF(IF(o_WRAP=1,MOD(((c_T1MX)-(c_T1MN))*(((C298)-(c_T1MN))*((1000)-(0))+IF(((1000)-(0))&gt;=0,1,-1)*QUOTIENT(((c_T1MX)-(c_T1MN)),2))+2147483648,4294967296)-2147483648,((c_T1MX)-(c_T1MN))*(((C298)-(c_T1MN))*((1000)-(0))+IF(((1000)-(0))&gt;=0,1,-1)*QUOTIENT(((c_T1MX)-(c_T1MN)),2)))&gt;=0,1,0)))</f>
        <v>827</v>
      </c>
      <c r="E298" s="7" t="n">
        <f aca="false">IF(AND(c_TPOT=1,c_TTYPE=2),1000-D298,D298)</f>
        <v>827</v>
      </c>
      <c r="F298" s="7" t="str">
        <f aca="false">IF(c_TPOT&gt;1,ROUND(IF(c_TTYPE=2,c_T2MX-IF(c_T1MX=c_T1MN,0,(C298-c_T1MN)/(c_T1MX-c_T1MN))*(c_T2MX-c_T2MN),c_T2MN+IF(c_T1MX=c_T1MN,0,(C298-c_T1MN)/(c_T1MX-c_T1MN))*(c_T2MX-c_T2MN))+o_MISMATCH,0),"")</f>
        <v/>
      </c>
      <c r="G298" s="7" t="str">
        <f aca="false">IF(c_TPOT&gt;1,IF(((c_T2MX)-(c_T2MN))=0,(0)+QUOTIENT(((1000)-(0)),2),QUOTIENT((((F298)-(c_T2MN))*((1000)-(0))+IF(((1000)-(0))&gt;=0,1,-1)*QUOTIENT(((c_T2MX)-(c_T2MN)),2)),((c_T2MX)-(c_T2MN)))+(0)+IF(((1000)-(0))&gt;=0,IF(IF(o_WRAP=1,MOD(((c_T2MX)-(c_T2MN))*(((F298)-(c_T2MN))*((1000)-(0))+IF(((1000)-(0))&gt;=0,1,-1)*QUOTIENT(((c_T2MX)-(c_T2MN)),2))+2147483648,4294967296)-2147483648,((c_T2MX)-(c_T2MN))*(((F298)-(c_T2MN))*((1000)-(0))+IF(((1000)-(0))&gt;=0,1,-1)*QUOTIENT(((c_T2MX)-(c_T2MN)),2)))&lt;0,-1,0),IF(IF(o_WRAP=1,MOD(((c_T2MX)-(c_T2MN))*(((F298)-(c_T2MN))*((1000)-(0))+IF(((1000)-(0))&gt;=0,1,-1)*QUOTIENT(((c_T2MX)-(c_T2MN)),2))+2147483648,4294967296)-2147483648,((c_T2MX)-(c_T2MN))*(((F298)-(c_T2MN))*((1000)-(0))+IF(((1000)-(0))&gt;=0,1,-1)*QUOTIENT(((c_T2MX)-(c_T2MN)),2)))&gt;=0,1,0))),"")</f>
        <v/>
      </c>
      <c r="H298" s="7" t="str">
        <f aca="false">IF(E298&gt;1000+k_TOL,"T1 HIGH",IF(E298&lt;0-k_TOL,"T1 LOW",IF(c_TPOT&gt;1,IF(G298&gt;1000+k_TOL,"T2 HIGH",IF(G298&lt;0-k_TOL,"T2 LOW",IF(c_TTYPE=2,IF(ABS(1000-MAX(0,MIN(1000,E298))-MAX(0,MIN(1000,G298)))&gt;k_MAXERR,"MISMATCH","OK"),IF(OR(MAX(0,MIN(1000,E298))-k_MAXERR&gt;MAX(0,MIN(1000,G298)),MAX(0,MIN(1000,G298))-k_MAXERR&gt;MAX(0,MIN(1000,E298))),"MISMATCH","OK")))),"OK")))</f>
        <v>OK</v>
      </c>
      <c r="I298" s="7" t="n">
        <f aca="false">MAX(0,MIN(1000,D298))</f>
        <v>827</v>
      </c>
      <c r="J298" s="7" t="str">
        <f aca="false">IF(c_TPOT&gt;1,IF(c_TTYPE=2,1000-MAX(0,MIN(1000,G298)),MAX(0,MIN(1000,G298))),"")</f>
        <v/>
      </c>
      <c r="K298" s="7" t="n">
        <f aca="false">IF(c_TPOT&gt;1,QUOTIENT(I298+J298,2),I298)</f>
        <v>827</v>
      </c>
      <c r="L298" s="7" t="n">
        <f aca="false">IF(AND(K298=0,c_TCREEP&gt;0),10*c_TCREEP,IF(AND(K298&lt;=c_TRNGMIN,K298&gt;=c_TRNGMAX,c_TRNGMIN-c_TRNGMAX&lt;&gt;0),-10*c_TMINRN+QUOTIENT((c_TMAXRN-c_TMINRN)*(100-QUOTIENT((K298-c_TRNGMAX)*100,c_TRNGMIN-c_TRNGMAX)),-10),0))</f>
        <v>0</v>
      </c>
      <c r="M298" s="7" t="n">
        <f aca="false">IF(((c_TMAP1IN)-(c_TFWD))=0,(0)+QUOTIENT(((c_TMAP1OUT)-(0)),2),QUOTIENT((((K298)-(c_TFWD))*((c_TMAP1OUT)-(0))+IF(((c_TMAP1OUT)-(0))&gt;=0,1,-1)*QUOTIENT(((c_TMAP1IN)-(c_TFWD)),2)),((c_TMAP1IN)-(c_TFWD)))+(0)+IF(((c_TMAP1OUT)-(0))&gt;=0,IF(IF(o_WRAP=1,MOD(((c_TMAP1IN)-(c_TFWD))*(((K298)-(c_TFWD))*((c_TMAP1OUT)-(0))+IF(((c_TMAP1OUT)-(0))&gt;=0,1,-1)*QUOTIENT(((c_TMAP1IN)-(c_TFWD)),2))+2147483648,4294967296)-2147483648,((c_TMAP1IN)-(c_TFWD))*(((K298)-(c_TFWD))*((c_TMAP1OUT)-(0))+IF(((c_TMAP1OUT)-(0))&gt;=0,1,-1)*QUOTIENT(((c_TMAP1IN)-(c_TFWD)),2)))&lt;0,-1,0),IF(IF(o_WRAP=1,MOD(((c_TMAP1IN)-(c_TFWD))*(((K298)-(c_TFWD))*((c_TMAP1OUT)-(0))+IF(((c_TMAP1OUT)-(0))&gt;=0,1,-1)*QUOTIENT(((c_TMAP1IN)-(c_TFWD)),2))+2147483648,4294967296)-2147483648,((c_TMAP1IN)-(c_TFWD))*(((K298)-(c_TFWD))*((c_TMAP1OUT)-(0))+IF(((c_TMAP1OUT)-(0))&gt;=0,1,-1)*QUOTIENT(((c_TMAP1IN)-(c_TFWD)),2)))&gt;=0,1,0)))</f>
        <v>635</v>
      </c>
      <c r="N298" s="7" t="n">
        <f aca="false">IF(((c_TMAP2IN)-(c_TMAP1IN))=0,(c_TMAP1OUT)+QUOTIENT(((c_TMAP2OUT)-(c_TMAP1OUT)),2),QUOTIENT((((K298)-(c_TMAP1IN))*((c_TMAP2OUT)-(c_TMAP1OUT))+IF(((c_TMAP2OUT)-(c_TMAP1OUT))&gt;=0,1,-1)*QUOTIENT(((c_TMAP2IN)-(c_TMAP1IN)),2)),((c_TMAP2IN)-(c_TMAP1IN)))+(c_TMAP1OUT)+IF(((c_TMAP2OUT)-(c_TMAP1OUT))&gt;=0,IF(IF(o_WRAP=1,MOD(((c_TMAP2IN)-(c_TMAP1IN))*(((K298)-(c_TMAP1IN))*((c_TMAP2OUT)-(c_TMAP1OUT))+IF(((c_TMAP2OUT)-(c_TMAP1OUT))&gt;=0,1,-1)*QUOTIENT(((c_TMAP2IN)-(c_TMAP1IN)),2))+2147483648,4294967296)-2147483648,((c_TMAP2IN)-(c_TMAP1IN))*(((K298)-(c_TMAP1IN))*((c_TMAP2OUT)-(c_TMAP1OUT))+IF(((c_TMAP2OUT)-(c_TMAP1OUT))&gt;=0,1,-1)*QUOTIENT(((c_TMAP2IN)-(c_TMAP1IN)),2)))&lt;0,-1,0),IF(IF(o_WRAP=1,MOD(((c_TMAP2IN)-(c_TMAP1IN))*(((K298)-(c_TMAP1IN))*((c_TMAP2OUT)-(c_TMAP1OUT))+IF(((c_TMAP2OUT)-(c_TMAP1OUT))&gt;=0,1,-1)*QUOTIENT(((c_TMAP2IN)-(c_TMAP1IN)),2))+2147483648,4294967296)-2147483648,((c_TMAP2IN)-(c_TMAP1IN))*(((K298)-(c_TMAP1IN))*((c_TMAP2OUT)-(c_TMAP1OUT))+IF(((c_TMAP2OUT)-(c_TMAP1OUT))&gt;=0,1,-1)*QUOTIENT(((c_TMAP2IN)-(c_TMAP1IN)),2)))&gt;=0,1,0)))</f>
        <v>361</v>
      </c>
      <c r="O298" s="7" t="n">
        <f aca="false">IF(((c_TMAP3IN)-(c_TMAP2IN))=0,(c_TMAP2OUT)+QUOTIENT(((c_TMAP3OUT)-(c_TMAP2OUT)),2),QUOTIENT((((K298)-(c_TMAP2IN))*((c_TMAP3OUT)-(c_TMAP2OUT))+IF(((c_TMAP3OUT)-(c_TMAP2OUT))&gt;=0,1,-1)*QUOTIENT(((c_TMAP3IN)-(c_TMAP2IN)),2)),((c_TMAP3IN)-(c_TMAP2IN)))+(c_TMAP2OUT)+IF(((c_TMAP3OUT)-(c_TMAP2OUT))&gt;=0,IF(IF(o_WRAP=1,MOD(((c_TMAP3IN)-(c_TMAP2IN))*(((K298)-(c_TMAP2IN))*((c_TMAP3OUT)-(c_TMAP2OUT))+IF(((c_TMAP3OUT)-(c_TMAP2OUT))&gt;=0,1,-1)*QUOTIENT(((c_TMAP3IN)-(c_TMAP2IN)),2))+2147483648,4294967296)-2147483648,((c_TMAP3IN)-(c_TMAP2IN))*(((K298)-(c_TMAP2IN))*((c_TMAP3OUT)-(c_TMAP2OUT))+IF(((c_TMAP3OUT)-(c_TMAP2OUT))&gt;=0,1,-1)*QUOTIENT(((c_TMAP3IN)-(c_TMAP2IN)),2)))&lt;0,-1,0),IF(IF(o_WRAP=1,MOD(((c_TMAP3IN)-(c_TMAP2IN))*(((K298)-(c_TMAP2IN))*((c_TMAP3OUT)-(c_TMAP2OUT))+IF(((c_TMAP3OUT)-(c_TMAP2OUT))&gt;=0,1,-1)*QUOTIENT(((c_TMAP3IN)-(c_TMAP2IN)),2))+2147483648,4294967296)-2147483648,((c_TMAP3IN)-(c_TMAP2IN))*(((K298)-(c_TMAP2IN))*((c_TMAP3OUT)-(c_TMAP2OUT))+IF(((c_TMAP3OUT)-(c_TMAP2OUT))&gt;=0,1,-1)*QUOTIENT(((c_TMAP3IN)-(c_TMAP2IN)),2)))&gt;=0,1,0)))</f>
        <v>534</v>
      </c>
      <c r="P298" s="7" t="n">
        <f aca="false">IF(((1000)-(c_TMAP3IN))=0,(c_TMAP3OUT)+QUOTIENT(((1000)-(c_TMAP3OUT)),2),QUOTIENT((((K298)-(c_TMAP3IN))*((1000)-(c_TMAP3OUT))+IF(((1000)-(c_TMAP3OUT))&gt;=0,1,-1)*QUOTIENT(((1000)-(c_TMAP3IN)),2)),((1000)-(c_TMAP3IN)))+(c_TMAP3OUT)+IF(((1000)-(c_TMAP3OUT))&gt;=0,IF(IF(o_WRAP=1,MOD(((1000)-(c_TMAP3IN))*(((K298)-(c_TMAP3IN))*((1000)-(c_TMAP3OUT))+IF(((1000)-(c_TMAP3OUT))&gt;=0,1,-1)*QUOTIENT(((1000)-(c_TMAP3IN)),2))+2147483648,4294967296)-2147483648,((1000)-(c_TMAP3IN))*(((K298)-(c_TMAP3IN))*((1000)-(c_TMAP3OUT))+IF(((1000)-(c_TMAP3OUT))&gt;=0,1,-1)*QUOTIENT(((1000)-(c_TMAP3IN)),2)))&lt;0,-1,0),IF(IF(o_WRAP=1,MOD(((1000)-(c_TMAP3IN))*(((K298)-(c_TMAP3IN))*((1000)-(c_TMAP3OUT))+IF(((1000)-(c_TMAP3OUT))&gt;=0,1,-1)*QUOTIENT(((1000)-(c_TMAP3IN)),2))+2147483648,4294967296)-2147483648,((1000)-(c_TMAP3IN))*(((K298)-(c_TMAP3IN))*((1000)-(c_TMAP3OUT))+IF(((1000)-(c_TMAP3OUT))&gt;=0,1,-1)*QUOTIENT(((1000)-(c_TMAP3IN)),2)))&gt;=0,1,0)))</f>
        <v>787</v>
      </c>
      <c r="Q298" s="7" t="str">
        <f aca="false">IF(K298&gt;=c_TFWD,IF(AND(K298&gt;=c_TMAP3IN,c_TMAP3IN&lt;1000),"Seg4 map3-100%",IF(AND(K298&gt;=c_TMAP2IN,c_TMAP3IN&gt;c_TMAP2IN),"Seg3 map2-map3",IF(AND(K298&gt;=c_TMAP1IN,c_TMAP2IN&gt;c_TMAP1IN),"Seg2 map1-map2","Seg1 TFWD-map1"))),IF(AND(K298=0,c_TCREEP&gt;0),"Creep",IF(AND(K298&lt;=c_TRNGMIN,K298&gt;=c_TRNGMAX,c_TRNGMIN-c_TRNGMAX&lt;&gt;0),"Regen ramp","Coast (0)")))</f>
        <v>Seg4 map3-100%</v>
      </c>
      <c r="R298" s="7" t="n">
        <f aca="false">IF(K298&gt;=c_TFWD,IF(AND(K298&gt;=c_TMAP3IN,c_TMAP3IN&lt;1000),P298,IF(AND(K298&gt;=c_TMAP2IN,c_TMAP3IN&gt;c_TMAP2IN),O298,IF(AND(K298&gt;=c_TMAP1IN,c_TMAP2IN&gt;c_TMAP1IN),N298,M298))),L298)</f>
        <v>787</v>
      </c>
      <c r="S298" s="7" t="str">
        <f aca="false">IF(R298&lt;-1090,"TOO LOW",IF(R298&gt;1090,"TOO HIGH",""))</f>
        <v/>
      </c>
      <c r="T298" s="15" t="n">
        <f aca="false">IF(H298&lt;&gt;"OK",0,IF(S298&lt;&gt;"",0,IF(R298&gt;979,1000,R298)))</f>
        <v>787</v>
      </c>
      <c r="U298" s="7" t="n">
        <f aca="false">T298/10</f>
        <v>78.7</v>
      </c>
    </row>
    <row r="299" customFormat="false" ht="15" hidden="false" customHeight="false" outlineLevel="0" collapsed="false">
      <c r="A299" s="7" t="n">
        <v>294</v>
      </c>
      <c r="B299" s="7" t="n">
        <f aca="false">ROUND(o_SWSTART+A299*(o_SWEND-o_SWSTART)/400,0)</f>
        <v>3010</v>
      </c>
      <c r="C299" s="7" t="n">
        <f aca="false">QUOTIENT((B299-c_OFF1)*c_GAIN1,1024)</f>
        <v>3010</v>
      </c>
      <c r="D299" s="7" t="n">
        <f aca="false">IF(((c_T1MX)-(c_T1MN))=0,(0)+QUOTIENT(((1000)-(0)),2),QUOTIENT((((C299)-(c_T1MN))*((1000)-(0))+IF(((1000)-(0))&gt;=0,1,-1)*QUOTIENT(((c_T1MX)-(c_T1MN)),2)),((c_T1MX)-(c_T1MN)))+(0)+IF(((1000)-(0))&gt;=0,IF(IF(o_WRAP=1,MOD(((c_T1MX)-(c_T1MN))*(((C299)-(c_T1MN))*((1000)-(0))+IF(((1000)-(0))&gt;=0,1,-1)*QUOTIENT(((c_T1MX)-(c_T1MN)),2))+2147483648,4294967296)-2147483648,((c_T1MX)-(c_T1MN))*(((C299)-(c_T1MN))*((1000)-(0))+IF(((1000)-(0))&gt;=0,1,-1)*QUOTIENT(((c_T1MX)-(c_T1MN)),2)))&lt;0,-1,0),IF(IF(o_WRAP=1,MOD(((c_T1MX)-(c_T1MN))*(((C299)-(c_T1MN))*((1000)-(0))+IF(((1000)-(0))&gt;=0,1,-1)*QUOTIENT(((c_T1MX)-(c_T1MN)),2))+2147483648,4294967296)-2147483648,((c_T1MX)-(c_T1MN))*(((C299)-(c_T1MN))*((1000)-(0))+IF(((1000)-(0))&gt;=0,1,-1)*QUOTIENT(((c_T1MX)-(c_T1MN)),2)))&gt;=0,1,0)))</f>
        <v>831</v>
      </c>
      <c r="E299" s="7" t="n">
        <f aca="false">IF(AND(c_TPOT=1,c_TTYPE=2),1000-D299,D299)</f>
        <v>831</v>
      </c>
      <c r="F299" s="7" t="str">
        <f aca="false">IF(c_TPOT&gt;1,ROUND(IF(c_TTYPE=2,c_T2MX-IF(c_T1MX=c_T1MN,0,(C299-c_T1MN)/(c_T1MX-c_T1MN))*(c_T2MX-c_T2MN),c_T2MN+IF(c_T1MX=c_T1MN,0,(C299-c_T1MN)/(c_T1MX-c_T1MN))*(c_T2MX-c_T2MN))+o_MISMATCH,0),"")</f>
        <v/>
      </c>
      <c r="G299" s="7" t="str">
        <f aca="false">IF(c_TPOT&gt;1,IF(((c_T2MX)-(c_T2MN))=0,(0)+QUOTIENT(((1000)-(0)),2),QUOTIENT((((F299)-(c_T2MN))*((1000)-(0))+IF(((1000)-(0))&gt;=0,1,-1)*QUOTIENT(((c_T2MX)-(c_T2MN)),2)),((c_T2MX)-(c_T2MN)))+(0)+IF(((1000)-(0))&gt;=0,IF(IF(o_WRAP=1,MOD(((c_T2MX)-(c_T2MN))*(((F299)-(c_T2MN))*((1000)-(0))+IF(((1000)-(0))&gt;=0,1,-1)*QUOTIENT(((c_T2MX)-(c_T2MN)),2))+2147483648,4294967296)-2147483648,((c_T2MX)-(c_T2MN))*(((F299)-(c_T2MN))*((1000)-(0))+IF(((1000)-(0))&gt;=0,1,-1)*QUOTIENT(((c_T2MX)-(c_T2MN)),2)))&lt;0,-1,0),IF(IF(o_WRAP=1,MOD(((c_T2MX)-(c_T2MN))*(((F299)-(c_T2MN))*((1000)-(0))+IF(((1000)-(0))&gt;=0,1,-1)*QUOTIENT(((c_T2MX)-(c_T2MN)),2))+2147483648,4294967296)-2147483648,((c_T2MX)-(c_T2MN))*(((F299)-(c_T2MN))*((1000)-(0))+IF(((1000)-(0))&gt;=0,1,-1)*QUOTIENT(((c_T2MX)-(c_T2MN)),2)))&gt;=0,1,0))),"")</f>
        <v/>
      </c>
      <c r="H299" s="7" t="str">
        <f aca="false">IF(E299&gt;1000+k_TOL,"T1 HIGH",IF(E299&lt;0-k_TOL,"T1 LOW",IF(c_TPOT&gt;1,IF(G299&gt;1000+k_TOL,"T2 HIGH",IF(G299&lt;0-k_TOL,"T2 LOW",IF(c_TTYPE=2,IF(ABS(1000-MAX(0,MIN(1000,E299))-MAX(0,MIN(1000,G299)))&gt;k_MAXERR,"MISMATCH","OK"),IF(OR(MAX(0,MIN(1000,E299))-k_MAXERR&gt;MAX(0,MIN(1000,G299)),MAX(0,MIN(1000,G299))-k_MAXERR&gt;MAX(0,MIN(1000,E299))),"MISMATCH","OK")))),"OK")))</f>
        <v>OK</v>
      </c>
      <c r="I299" s="7" t="n">
        <f aca="false">MAX(0,MIN(1000,D299))</f>
        <v>831</v>
      </c>
      <c r="J299" s="7" t="str">
        <f aca="false">IF(c_TPOT&gt;1,IF(c_TTYPE=2,1000-MAX(0,MIN(1000,G299)),MAX(0,MIN(1000,G299))),"")</f>
        <v/>
      </c>
      <c r="K299" s="7" t="n">
        <f aca="false">IF(c_TPOT&gt;1,QUOTIENT(I299+J299,2),I299)</f>
        <v>831</v>
      </c>
      <c r="L299" s="7" t="n">
        <f aca="false">IF(AND(K299=0,c_TCREEP&gt;0),10*c_TCREEP,IF(AND(K299&lt;=c_TRNGMIN,K299&gt;=c_TRNGMAX,c_TRNGMIN-c_TRNGMAX&lt;&gt;0),-10*c_TMINRN+QUOTIENT((c_TMAXRN-c_TMINRN)*(100-QUOTIENT((K299-c_TRNGMAX)*100,c_TRNGMIN-c_TRNGMAX)),-10),0))</f>
        <v>0</v>
      </c>
      <c r="M299" s="7" t="n">
        <f aca="false">IF(((c_TMAP1IN)-(c_TFWD))=0,(0)+QUOTIENT(((c_TMAP1OUT)-(0)),2),QUOTIENT((((K299)-(c_TFWD))*((c_TMAP1OUT)-(0))+IF(((c_TMAP1OUT)-(0))&gt;=0,1,-1)*QUOTIENT(((c_TMAP1IN)-(c_TFWD)),2)),((c_TMAP1IN)-(c_TFWD)))+(0)+IF(((c_TMAP1OUT)-(0))&gt;=0,IF(IF(o_WRAP=1,MOD(((c_TMAP1IN)-(c_TFWD))*(((K299)-(c_TFWD))*((c_TMAP1OUT)-(0))+IF(((c_TMAP1OUT)-(0))&gt;=0,1,-1)*QUOTIENT(((c_TMAP1IN)-(c_TFWD)),2))+2147483648,4294967296)-2147483648,((c_TMAP1IN)-(c_TFWD))*(((K299)-(c_TFWD))*((c_TMAP1OUT)-(0))+IF(((c_TMAP1OUT)-(0))&gt;=0,1,-1)*QUOTIENT(((c_TMAP1IN)-(c_TFWD)),2)))&lt;0,-1,0),IF(IF(o_WRAP=1,MOD(((c_TMAP1IN)-(c_TFWD))*(((K299)-(c_TFWD))*((c_TMAP1OUT)-(0))+IF(((c_TMAP1OUT)-(0))&gt;=0,1,-1)*QUOTIENT(((c_TMAP1IN)-(c_TFWD)),2))+2147483648,4294967296)-2147483648,((c_TMAP1IN)-(c_TFWD))*(((K299)-(c_TFWD))*((c_TMAP1OUT)-(0))+IF(((c_TMAP1OUT)-(0))&gt;=0,1,-1)*QUOTIENT(((c_TMAP1IN)-(c_TFWD)),2)))&gt;=0,1,0)))</f>
        <v>639</v>
      </c>
      <c r="N299" s="7" t="n">
        <f aca="false">IF(((c_TMAP2IN)-(c_TMAP1IN))=0,(c_TMAP1OUT)+QUOTIENT(((c_TMAP2OUT)-(c_TMAP1OUT)),2),QUOTIENT((((K299)-(c_TMAP1IN))*((c_TMAP2OUT)-(c_TMAP1OUT))+IF(((c_TMAP2OUT)-(c_TMAP1OUT))&gt;=0,1,-1)*QUOTIENT(((c_TMAP2IN)-(c_TMAP1IN)),2)),((c_TMAP2IN)-(c_TMAP1IN)))+(c_TMAP1OUT)+IF(((c_TMAP2OUT)-(c_TMAP1OUT))&gt;=0,IF(IF(o_WRAP=1,MOD(((c_TMAP2IN)-(c_TMAP1IN))*(((K299)-(c_TMAP1IN))*((c_TMAP2OUT)-(c_TMAP1OUT))+IF(((c_TMAP2OUT)-(c_TMAP1OUT))&gt;=0,1,-1)*QUOTIENT(((c_TMAP2IN)-(c_TMAP1IN)),2))+2147483648,4294967296)-2147483648,((c_TMAP2IN)-(c_TMAP1IN))*(((K299)-(c_TMAP1IN))*((c_TMAP2OUT)-(c_TMAP1OUT))+IF(((c_TMAP2OUT)-(c_TMAP1OUT))&gt;=0,1,-1)*QUOTIENT(((c_TMAP2IN)-(c_TMAP1IN)),2)))&lt;0,-1,0),IF(IF(o_WRAP=1,MOD(((c_TMAP2IN)-(c_TMAP1IN))*(((K299)-(c_TMAP1IN))*((c_TMAP2OUT)-(c_TMAP1OUT))+IF(((c_TMAP2OUT)-(c_TMAP1OUT))&gt;=0,1,-1)*QUOTIENT(((c_TMAP2IN)-(c_TMAP1IN)),2))+2147483648,4294967296)-2147483648,((c_TMAP2IN)-(c_TMAP1IN))*(((K299)-(c_TMAP1IN))*((c_TMAP2OUT)-(c_TMAP1OUT))+IF(((c_TMAP2OUT)-(c_TMAP1OUT))&gt;=0,1,-1)*QUOTIENT(((c_TMAP2IN)-(c_TMAP1IN)),2)))&gt;=0,1,0)))</f>
        <v>362</v>
      </c>
      <c r="O299" s="7" t="n">
        <f aca="false">IF(((c_TMAP3IN)-(c_TMAP2IN))=0,(c_TMAP2OUT)+QUOTIENT(((c_TMAP3OUT)-(c_TMAP2OUT)),2),QUOTIENT((((K299)-(c_TMAP2IN))*((c_TMAP3OUT)-(c_TMAP2OUT))+IF(((c_TMAP3OUT)-(c_TMAP2OUT))&gt;=0,1,-1)*QUOTIENT(((c_TMAP3IN)-(c_TMAP2IN)),2)),((c_TMAP3IN)-(c_TMAP2IN)))+(c_TMAP2OUT)+IF(((c_TMAP3OUT)-(c_TMAP2OUT))&gt;=0,IF(IF(o_WRAP=1,MOD(((c_TMAP3IN)-(c_TMAP2IN))*(((K299)-(c_TMAP2IN))*((c_TMAP3OUT)-(c_TMAP2OUT))+IF(((c_TMAP3OUT)-(c_TMAP2OUT))&gt;=0,1,-1)*QUOTIENT(((c_TMAP3IN)-(c_TMAP2IN)),2))+2147483648,4294967296)-2147483648,((c_TMAP3IN)-(c_TMAP2IN))*(((K299)-(c_TMAP2IN))*((c_TMAP3OUT)-(c_TMAP2OUT))+IF(((c_TMAP3OUT)-(c_TMAP2OUT))&gt;=0,1,-1)*QUOTIENT(((c_TMAP3IN)-(c_TMAP2IN)),2)))&lt;0,-1,0),IF(IF(o_WRAP=1,MOD(((c_TMAP3IN)-(c_TMAP2IN))*(((K299)-(c_TMAP2IN))*((c_TMAP3OUT)-(c_TMAP2OUT))+IF(((c_TMAP3OUT)-(c_TMAP2OUT))&gt;=0,1,-1)*QUOTIENT(((c_TMAP3IN)-(c_TMAP2IN)),2))+2147483648,4294967296)-2147483648,((c_TMAP3IN)-(c_TMAP2IN))*(((K299)-(c_TMAP2IN))*((c_TMAP3OUT)-(c_TMAP2OUT))+IF(((c_TMAP3OUT)-(c_TMAP2OUT))&gt;=0,1,-1)*QUOTIENT(((c_TMAP3IN)-(c_TMAP2IN)),2)))&gt;=0,1,0)))</f>
        <v>537</v>
      </c>
      <c r="P299" s="7" t="n">
        <f aca="false">IF(((1000)-(c_TMAP3IN))=0,(c_TMAP3OUT)+QUOTIENT(((1000)-(c_TMAP3OUT)),2),QUOTIENT((((K299)-(c_TMAP3IN))*((1000)-(c_TMAP3OUT))+IF(((1000)-(c_TMAP3OUT))&gt;=0,1,-1)*QUOTIENT(((1000)-(c_TMAP3IN)),2)),((1000)-(c_TMAP3IN)))+(c_TMAP3OUT)+IF(((1000)-(c_TMAP3OUT))&gt;=0,IF(IF(o_WRAP=1,MOD(((1000)-(c_TMAP3IN))*(((K299)-(c_TMAP3IN))*((1000)-(c_TMAP3OUT))+IF(((1000)-(c_TMAP3OUT))&gt;=0,1,-1)*QUOTIENT(((1000)-(c_TMAP3IN)),2))+2147483648,4294967296)-2147483648,((1000)-(c_TMAP3IN))*(((K299)-(c_TMAP3IN))*((1000)-(c_TMAP3OUT))+IF(((1000)-(c_TMAP3OUT))&gt;=0,1,-1)*QUOTIENT(((1000)-(c_TMAP3IN)),2)))&lt;0,-1,0),IF(IF(o_WRAP=1,MOD(((1000)-(c_TMAP3IN))*(((K299)-(c_TMAP3IN))*((1000)-(c_TMAP3OUT))+IF(((1000)-(c_TMAP3OUT))&gt;=0,1,-1)*QUOTIENT(((1000)-(c_TMAP3IN)),2))+2147483648,4294967296)-2147483648,((1000)-(c_TMAP3IN))*(((K299)-(c_TMAP3IN))*((1000)-(c_TMAP3OUT))+IF(((1000)-(c_TMAP3OUT))&gt;=0,1,-1)*QUOTIENT(((1000)-(c_TMAP3IN)),2)))&gt;=0,1,0)))</f>
        <v>792</v>
      </c>
      <c r="Q299" s="7" t="str">
        <f aca="false">IF(K299&gt;=c_TFWD,IF(AND(K299&gt;=c_TMAP3IN,c_TMAP3IN&lt;1000),"Seg4 map3-100%",IF(AND(K299&gt;=c_TMAP2IN,c_TMAP3IN&gt;c_TMAP2IN),"Seg3 map2-map3",IF(AND(K299&gt;=c_TMAP1IN,c_TMAP2IN&gt;c_TMAP1IN),"Seg2 map1-map2","Seg1 TFWD-map1"))),IF(AND(K299=0,c_TCREEP&gt;0),"Creep",IF(AND(K299&lt;=c_TRNGMIN,K299&gt;=c_TRNGMAX,c_TRNGMIN-c_TRNGMAX&lt;&gt;0),"Regen ramp","Coast (0)")))</f>
        <v>Seg4 map3-100%</v>
      </c>
      <c r="R299" s="7" t="n">
        <f aca="false">IF(K299&gt;=c_TFWD,IF(AND(K299&gt;=c_TMAP3IN,c_TMAP3IN&lt;1000),P299,IF(AND(K299&gt;=c_TMAP2IN,c_TMAP3IN&gt;c_TMAP2IN),O299,IF(AND(K299&gt;=c_TMAP1IN,c_TMAP2IN&gt;c_TMAP1IN),N299,M299))),L299)</f>
        <v>792</v>
      </c>
      <c r="S299" s="7" t="str">
        <f aca="false">IF(R299&lt;-1090,"TOO LOW",IF(R299&gt;1090,"TOO HIGH",""))</f>
        <v/>
      </c>
      <c r="T299" s="15" t="n">
        <f aca="false">IF(H299&lt;&gt;"OK",0,IF(S299&lt;&gt;"",0,IF(R299&gt;979,1000,R299)))</f>
        <v>792</v>
      </c>
      <c r="U299" s="7" t="n">
        <f aca="false">T299/10</f>
        <v>79.2</v>
      </c>
    </row>
    <row r="300" customFormat="false" ht="15" hidden="false" customHeight="false" outlineLevel="0" collapsed="false">
      <c r="A300" s="7" t="n">
        <v>295</v>
      </c>
      <c r="B300" s="7" t="n">
        <f aca="false">ROUND(o_SWSTART+A300*(o_SWEND-o_SWSTART)/400,0)</f>
        <v>3020</v>
      </c>
      <c r="C300" s="7" t="n">
        <f aca="false">QUOTIENT((B300-c_OFF1)*c_GAIN1,1024)</f>
        <v>3020</v>
      </c>
      <c r="D300" s="7" t="n">
        <f aca="false">IF(((c_T1MX)-(c_T1MN))=0,(0)+QUOTIENT(((1000)-(0)),2),QUOTIENT((((C300)-(c_T1MN))*((1000)-(0))+IF(((1000)-(0))&gt;=0,1,-1)*QUOTIENT(((c_T1MX)-(c_T1MN)),2)),((c_T1MX)-(c_T1MN)))+(0)+IF(((1000)-(0))&gt;=0,IF(IF(o_WRAP=1,MOD(((c_T1MX)-(c_T1MN))*(((C300)-(c_T1MN))*((1000)-(0))+IF(((1000)-(0))&gt;=0,1,-1)*QUOTIENT(((c_T1MX)-(c_T1MN)),2))+2147483648,4294967296)-2147483648,((c_T1MX)-(c_T1MN))*(((C300)-(c_T1MN))*((1000)-(0))+IF(((1000)-(0))&gt;=0,1,-1)*QUOTIENT(((c_T1MX)-(c_T1MN)),2)))&lt;0,-1,0),IF(IF(o_WRAP=1,MOD(((c_T1MX)-(c_T1MN))*(((C300)-(c_T1MN))*((1000)-(0))+IF(((1000)-(0))&gt;=0,1,-1)*QUOTIENT(((c_T1MX)-(c_T1MN)),2))+2147483648,4294967296)-2147483648,((c_T1MX)-(c_T1MN))*(((C300)-(c_T1MN))*((1000)-(0))+IF(((1000)-(0))&gt;=0,1,-1)*QUOTIENT(((c_T1MX)-(c_T1MN)),2)))&gt;=0,1,0)))</f>
        <v>834</v>
      </c>
      <c r="E300" s="7" t="n">
        <f aca="false">IF(AND(c_TPOT=1,c_TTYPE=2),1000-D300,D300)</f>
        <v>834</v>
      </c>
      <c r="F300" s="7" t="str">
        <f aca="false">IF(c_TPOT&gt;1,ROUND(IF(c_TTYPE=2,c_T2MX-IF(c_T1MX=c_T1MN,0,(C300-c_T1MN)/(c_T1MX-c_T1MN))*(c_T2MX-c_T2MN),c_T2MN+IF(c_T1MX=c_T1MN,0,(C300-c_T1MN)/(c_T1MX-c_T1MN))*(c_T2MX-c_T2MN))+o_MISMATCH,0),"")</f>
        <v/>
      </c>
      <c r="G300" s="7" t="str">
        <f aca="false">IF(c_TPOT&gt;1,IF(((c_T2MX)-(c_T2MN))=0,(0)+QUOTIENT(((1000)-(0)),2),QUOTIENT((((F300)-(c_T2MN))*((1000)-(0))+IF(((1000)-(0))&gt;=0,1,-1)*QUOTIENT(((c_T2MX)-(c_T2MN)),2)),((c_T2MX)-(c_T2MN)))+(0)+IF(((1000)-(0))&gt;=0,IF(IF(o_WRAP=1,MOD(((c_T2MX)-(c_T2MN))*(((F300)-(c_T2MN))*((1000)-(0))+IF(((1000)-(0))&gt;=0,1,-1)*QUOTIENT(((c_T2MX)-(c_T2MN)),2))+2147483648,4294967296)-2147483648,((c_T2MX)-(c_T2MN))*(((F300)-(c_T2MN))*((1000)-(0))+IF(((1000)-(0))&gt;=0,1,-1)*QUOTIENT(((c_T2MX)-(c_T2MN)),2)))&lt;0,-1,0),IF(IF(o_WRAP=1,MOD(((c_T2MX)-(c_T2MN))*(((F300)-(c_T2MN))*((1000)-(0))+IF(((1000)-(0))&gt;=0,1,-1)*QUOTIENT(((c_T2MX)-(c_T2MN)),2))+2147483648,4294967296)-2147483648,((c_T2MX)-(c_T2MN))*(((F300)-(c_T2MN))*((1000)-(0))+IF(((1000)-(0))&gt;=0,1,-1)*QUOTIENT(((c_T2MX)-(c_T2MN)),2)))&gt;=0,1,0))),"")</f>
        <v/>
      </c>
      <c r="H300" s="7" t="str">
        <f aca="false">IF(E300&gt;1000+k_TOL,"T1 HIGH",IF(E300&lt;0-k_TOL,"T1 LOW",IF(c_TPOT&gt;1,IF(G300&gt;1000+k_TOL,"T2 HIGH",IF(G300&lt;0-k_TOL,"T2 LOW",IF(c_TTYPE=2,IF(ABS(1000-MAX(0,MIN(1000,E300))-MAX(0,MIN(1000,G300)))&gt;k_MAXERR,"MISMATCH","OK"),IF(OR(MAX(0,MIN(1000,E300))-k_MAXERR&gt;MAX(0,MIN(1000,G300)),MAX(0,MIN(1000,G300))-k_MAXERR&gt;MAX(0,MIN(1000,E300))),"MISMATCH","OK")))),"OK")))</f>
        <v>OK</v>
      </c>
      <c r="I300" s="7" t="n">
        <f aca="false">MAX(0,MIN(1000,D300))</f>
        <v>834</v>
      </c>
      <c r="J300" s="7" t="str">
        <f aca="false">IF(c_TPOT&gt;1,IF(c_TTYPE=2,1000-MAX(0,MIN(1000,G300)),MAX(0,MIN(1000,G300))),"")</f>
        <v/>
      </c>
      <c r="K300" s="7" t="n">
        <f aca="false">IF(c_TPOT&gt;1,QUOTIENT(I300+J300,2),I300)</f>
        <v>834</v>
      </c>
      <c r="L300" s="7" t="n">
        <f aca="false">IF(AND(K300=0,c_TCREEP&gt;0),10*c_TCREEP,IF(AND(K300&lt;=c_TRNGMIN,K300&gt;=c_TRNGMAX,c_TRNGMIN-c_TRNGMAX&lt;&gt;0),-10*c_TMINRN+QUOTIENT((c_TMAXRN-c_TMINRN)*(100-QUOTIENT((K300-c_TRNGMAX)*100,c_TRNGMIN-c_TRNGMAX)),-10),0))</f>
        <v>0</v>
      </c>
      <c r="M300" s="7" t="n">
        <f aca="false">IF(((c_TMAP1IN)-(c_TFWD))=0,(0)+QUOTIENT(((c_TMAP1OUT)-(0)),2),QUOTIENT((((K300)-(c_TFWD))*((c_TMAP1OUT)-(0))+IF(((c_TMAP1OUT)-(0))&gt;=0,1,-1)*QUOTIENT(((c_TMAP1IN)-(c_TFWD)),2)),((c_TMAP1IN)-(c_TFWD)))+(0)+IF(((c_TMAP1OUT)-(0))&gt;=0,IF(IF(o_WRAP=1,MOD(((c_TMAP1IN)-(c_TFWD))*(((K300)-(c_TFWD))*((c_TMAP1OUT)-(0))+IF(((c_TMAP1OUT)-(0))&gt;=0,1,-1)*QUOTIENT(((c_TMAP1IN)-(c_TFWD)),2))+2147483648,4294967296)-2147483648,((c_TMAP1IN)-(c_TFWD))*(((K300)-(c_TFWD))*((c_TMAP1OUT)-(0))+IF(((c_TMAP1OUT)-(0))&gt;=0,1,-1)*QUOTIENT(((c_TMAP1IN)-(c_TFWD)),2)))&lt;0,-1,0),IF(IF(o_WRAP=1,MOD(((c_TMAP1IN)-(c_TFWD))*(((K300)-(c_TFWD))*((c_TMAP1OUT)-(0))+IF(((c_TMAP1OUT)-(0))&gt;=0,1,-1)*QUOTIENT(((c_TMAP1IN)-(c_TFWD)),2))+2147483648,4294967296)-2147483648,((c_TMAP1IN)-(c_TFWD))*(((K300)-(c_TFWD))*((c_TMAP1OUT)-(0))+IF(((c_TMAP1OUT)-(0))&gt;=0,1,-1)*QUOTIENT(((c_TMAP1IN)-(c_TFWD)),2)))&gt;=0,1,0)))</f>
        <v>641</v>
      </c>
      <c r="N300" s="7" t="n">
        <f aca="false">IF(((c_TMAP2IN)-(c_TMAP1IN))=0,(c_TMAP1OUT)+QUOTIENT(((c_TMAP2OUT)-(c_TMAP1OUT)),2),QUOTIENT((((K300)-(c_TMAP1IN))*((c_TMAP2OUT)-(c_TMAP1OUT))+IF(((c_TMAP2OUT)-(c_TMAP1OUT))&gt;=0,1,-1)*QUOTIENT(((c_TMAP2IN)-(c_TMAP1IN)),2)),((c_TMAP2IN)-(c_TMAP1IN)))+(c_TMAP1OUT)+IF(((c_TMAP2OUT)-(c_TMAP1OUT))&gt;=0,IF(IF(o_WRAP=1,MOD(((c_TMAP2IN)-(c_TMAP1IN))*(((K300)-(c_TMAP1IN))*((c_TMAP2OUT)-(c_TMAP1OUT))+IF(((c_TMAP2OUT)-(c_TMAP1OUT))&gt;=0,1,-1)*QUOTIENT(((c_TMAP2IN)-(c_TMAP1IN)),2))+2147483648,4294967296)-2147483648,((c_TMAP2IN)-(c_TMAP1IN))*(((K300)-(c_TMAP1IN))*((c_TMAP2OUT)-(c_TMAP1OUT))+IF(((c_TMAP2OUT)-(c_TMAP1OUT))&gt;=0,1,-1)*QUOTIENT(((c_TMAP2IN)-(c_TMAP1IN)),2)))&lt;0,-1,0),IF(IF(o_WRAP=1,MOD(((c_TMAP2IN)-(c_TMAP1IN))*(((K300)-(c_TMAP1IN))*((c_TMAP2OUT)-(c_TMAP1OUT))+IF(((c_TMAP2OUT)-(c_TMAP1OUT))&gt;=0,1,-1)*QUOTIENT(((c_TMAP2IN)-(c_TMAP1IN)),2))+2147483648,4294967296)-2147483648,((c_TMAP2IN)-(c_TMAP1IN))*(((K300)-(c_TMAP1IN))*((c_TMAP2OUT)-(c_TMAP1OUT))+IF(((c_TMAP2OUT)-(c_TMAP1OUT))&gt;=0,1,-1)*QUOTIENT(((c_TMAP2IN)-(c_TMAP1IN)),2)))&gt;=0,1,0)))</f>
        <v>364</v>
      </c>
      <c r="O300" s="7" t="n">
        <f aca="false">IF(((c_TMAP3IN)-(c_TMAP2IN))=0,(c_TMAP2OUT)+QUOTIENT(((c_TMAP3OUT)-(c_TMAP2OUT)),2),QUOTIENT((((K300)-(c_TMAP2IN))*((c_TMAP3OUT)-(c_TMAP2OUT))+IF(((c_TMAP3OUT)-(c_TMAP2OUT))&gt;=0,1,-1)*QUOTIENT(((c_TMAP3IN)-(c_TMAP2IN)),2)),((c_TMAP3IN)-(c_TMAP2IN)))+(c_TMAP2OUT)+IF(((c_TMAP3OUT)-(c_TMAP2OUT))&gt;=0,IF(IF(o_WRAP=1,MOD(((c_TMAP3IN)-(c_TMAP2IN))*(((K300)-(c_TMAP2IN))*((c_TMAP3OUT)-(c_TMAP2OUT))+IF(((c_TMAP3OUT)-(c_TMAP2OUT))&gt;=0,1,-1)*QUOTIENT(((c_TMAP3IN)-(c_TMAP2IN)),2))+2147483648,4294967296)-2147483648,((c_TMAP3IN)-(c_TMAP2IN))*(((K300)-(c_TMAP2IN))*((c_TMAP3OUT)-(c_TMAP2OUT))+IF(((c_TMAP3OUT)-(c_TMAP2OUT))&gt;=0,1,-1)*QUOTIENT(((c_TMAP3IN)-(c_TMAP2IN)),2)))&lt;0,-1,0),IF(IF(o_WRAP=1,MOD(((c_TMAP3IN)-(c_TMAP2IN))*(((K300)-(c_TMAP2IN))*((c_TMAP3OUT)-(c_TMAP2OUT))+IF(((c_TMAP3OUT)-(c_TMAP2OUT))&gt;=0,1,-1)*QUOTIENT(((c_TMAP3IN)-(c_TMAP2IN)),2))+2147483648,4294967296)-2147483648,((c_TMAP3IN)-(c_TMAP2IN))*(((K300)-(c_TMAP2IN))*((c_TMAP3OUT)-(c_TMAP2OUT))+IF(((c_TMAP3OUT)-(c_TMAP2OUT))&gt;=0,1,-1)*QUOTIENT(((c_TMAP3IN)-(c_TMAP2IN)),2)))&gt;=0,1,0)))</f>
        <v>539</v>
      </c>
      <c r="P300" s="7" t="n">
        <f aca="false">IF(((1000)-(c_TMAP3IN))=0,(c_TMAP3OUT)+QUOTIENT(((1000)-(c_TMAP3OUT)),2),QUOTIENT((((K300)-(c_TMAP3IN))*((1000)-(c_TMAP3OUT))+IF(((1000)-(c_TMAP3OUT))&gt;=0,1,-1)*QUOTIENT(((1000)-(c_TMAP3IN)),2)),((1000)-(c_TMAP3IN)))+(c_TMAP3OUT)+IF(((1000)-(c_TMAP3OUT))&gt;=0,IF(IF(o_WRAP=1,MOD(((1000)-(c_TMAP3IN))*(((K300)-(c_TMAP3IN))*((1000)-(c_TMAP3OUT))+IF(((1000)-(c_TMAP3OUT))&gt;=0,1,-1)*QUOTIENT(((1000)-(c_TMAP3IN)),2))+2147483648,4294967296)-2147483648,((1000)-(c_TMAP3IN))*(((K300)-(c_TMAP3IN))*((1000)-(c_TMAP3OUT))+IF(((1000)-(c_TMAP3OUT))&gt;=0,1,-1)*QUOTIENT(((1000)-(c_TMAP3IN)),2)))&lt;0,-1,0),IF(IF(o_WRAP=1,MOD(((1000)-(c_TMAP3IN))*(((K300)-(c_TMAP3IN))*((1000)-(c_TMAP3OUT))+IF(((1000)-(c_TMAP3OUT))&gt;=0,1,-1)*QUOTIENT(((1000)-(c_TMAP3IN)),2))+2147483648,4294967296)-2147483648,((1000)-(c_TMAP3IN))*(((K300)-(c_TMAP3IN))*((1000)-(c_TMAP3OUT))+IF(((1000)-(c_TMAP3OUT))&gt;=0,1,-1)*QUOTIENT(((1000)-(c_TMAP3IN)),2)))&gt;=0,1,0)))</f>
        <v>796</v>
      </c>
      <c r="Q300" s="7" t="str">
        <f aca="false">IF(K300&gt;=c_TFWD,IF(AND(K300&gt;=c_TMAP3IN,c_TMAP3IN&lt;1000),"Seg4 map3-100%",IF(AND(K300&gt;=c_TMAP2IN,c_TMAP3IN&gt;c_TMAP2IN),"Seg3 map2-map3",IF(AND(K300&gt;=c_TMAP1IN,c_TMAP2IN&gt;c_TMAP1IN),"Seg2 map1-map2","Seg1 TFWD-map1"))),IF(AND(K300=0,c_TCREEP&gt;0),"Creep",IF(AND(K300&lt;=c_TRNGMIN,K300&gt;=c_TRNGMAX,c_TRNGMIN-c_TRNGMAX&lt;&gt;0),"Regen ramp","Coast (0)")))</f>
        <v>Seg4 map3-100%</v>
      </c>
      <c r="R300" s="7" t="n">
        <f aca="false">IF(K300&gt;=c_TFWD,IF(AND(K300&gt;=c_TMAP3IN,c_TMAP3IN&lt;1000),P300,IF(AND(K300&gt;=c_TMAP2IN,c_TMAP3IN&gt;c_TMAP2IN),O300,IF(AND(K300&gt;=c_TMAP1IN,c_TMAP2IN&gt;c_TMAP1IN),N300,M300))),L300)</f>
        <v>796</v>
      </c>
      <c r="S300" s="7" t="str">
        <f aca="false">IF(R300&lt;-1090,"TOO LOW",IF(R300&gt;1090,"TOO HIGH",""))</f>
        <v/>
      </c>
      <c r="T300" s="15" t="n">
        <f aca="false">IF(H300&lt;&gt;"OK",0,IF(S300&lt;&gt;"",0,IF(R300&gt;979,1000,R300)))</f>
        <v>796</v>
      </c>
      <c r="U300" s="7" t="n">
        <f aca="false">T300/10</f>
        <v>79.6</v>
      </c>
    </row>
    <row r="301" customFormat="false" ht="15" hidden="false" customHeight="false" outlineLevel="0" collapsed="false">
      <c r="A301" s="7" t="n">
        <v>296</v>
      </c>
      <c r="B301" s="7" t="n">
        <f aca="false">ROUND(o_SWSTART+A301*(o_SWEND-o_SWSTART)/400,0)</f>
        <v>3030</v>
      </c>
      <c r="C301" s="7" t="n">
        <f aca="false">QUOTIENT((B301-c_OFF1)*c_GAIN1,1024)</f>
        <v>3030</v>
      </c>
      <c r="D301" s="7" t="n">
        <f aca="false">IF(((c_T1MX)-(c_T1MN))=0,(0)+QUOTIENT(((1000)-(0)),2),QUOTIENT((((C301)-(c_T1MN))*((1000)-(0))+IF(((1000)-(0))&gt;=0,1,-1)*QUOTIENT(((c_T1MX)-(c_T1MN)),2)),((c_T1MX)-(c_T1MN)))+(0)+IF(((1000)-(0))&gt;=0,IF(IF(o_WRAP=1,MOD(((c_T1MX)-(c_T1MN))*(((C301)-(c_T1MN))*((1000)-(0))+IF(((1000)-(0))&gt;=0,1,-1)*QUOTIENT(((c_T1MX)-(c_T1MN)),2))+2147483648,4294967296)-2147483648,((c_T1MX)-(c_T1MN))*(((C301)-(c_T1MN))*((1000)-(0))+IF(((1000)-(0))&gt;=0,1,-1)*QUOTIENT(((c_T1MX)-(c_T1MN)),2)))&lt;0,-1,0),IF(IF(o_WRAP=1,MOD(((c_T1MX)-(c_T1MN))*(((C301)-(c_T1MN))*((1000)-(0))+IF(((1000)-(0))&gt;=0,1,-1)*QUOTIENT(((c_T1MX)-(c_T1MN)),2))+2147483648,4294967296)-2147483648,((c_T1MX)-(c_T1MN))*(((C301)-(c_T1MN))*((1000)-(0))+IF(((1000)-(0))&gt;=0,1,-1)*QUOTIENT(((c_T1MX)-(c_T1MN)),2)))&gt;=0,1,0)))</f>
        <v>838</v>
      </c>
      <c r="E301" s="7" t="n">
        <f aca="false">IF(AND(c_TPOT=1,c_TTYPE=2),1000-D301,D301)</f>
        <v>838</v>
      </c>
      <c r="F301" s="7" t="str">
        <f aca="false">IF(c_TPOT&gt;1,ROUND(IF(c_TTYPE=2,c_T2MX-IF(c_T1MX=c_T1MN,0,(C301-c_T1MN)/(c_T1MX-c_T1MN))*(c_T2MX-c_T2MN),c_T2MN+IF(c_T1MX=c_T1MN,0,(C301-c_T1MN)/(c_T1MX-c_T1MN))*(c_T2MX-c_T2MN))+o_MISMATCH,0),"")</f>
        <v/>
      </c>
      <c r="G301" s="7" t="str">
        <f aca="false">IF(c_TPOT&gt;1,IF(((c_T2MX)-(c_T2MN))=0,(0)+QUOTIENT(((1000)-(0)),2),QUOTIENT((((F301)-(c_T2MN))*((1000)-(0))+IF(((1000)-(0))&gt;=0,1,-1)*QUOTIENT(((c_T2MX)-(c_T2MN)),2)),((c_T2MX)-(c_T2MN)))+(0)+IF(((1000)-(0))&gt;=0,IF(IF(o_WRAP=1,MOD(((c_T2MX)-(c_T2MN))*(((F301)-(c_T2MN))*((1000)-(0))+IF(((1000)-(0))&gt;=0,1,-1)*QUOTIENT(((c_T2MX)-(c_T2MN)),2))+2147483648,4294967296)-2147483648,((c_T2MX)-(c_T2MN))*(((F301)-(c_T2MN))*((1000)-(0))+IF(((1000)-(0))&gt;=0,1,-1)*QUOTIENT(((c_T2MX)-(c_T2MN)),2)))&lt;0,-1,0),IF(IF(o_WRAP=1,MOD(((c_T2MX)-(c_T2MN))*(((F301)-(c_T2MN))*((1000)-(0))+IF(((1000)-(0))&gt;=0,1,-1)*QUOTIENT(((c_T2MX)-(c_T2MN)),2))+2147483648,4294967296)-2147483648,((c_T2MX)-(c_T2MN))*(((F301)-(c_T2MN))*((1000)-(0))+IF(((1000)-(0))&gt;=0,1,-1)*QUOTIENT(((c_T2MX)-(c_T2MN)),2)))&gt;=0,1,0))),"")</f>
        <v/>
      </c>
      <c r="H301" s="7" t="str">
        <f aca="false">IF(E301&gt;1000+k_TOL,"T1 HIGH",IF(E301&lt;0-k_TOL,"T1 LOW",IF(c_TPOT&gt;1,IF(G301&gt;1000+k_TOL,"T2 HIGH",IF(G301&lt;0-k_TOL,"T2 LOW",IF(c_TTYPE=2,IF(ABS(1000-MAX(0,MIN(1000,E301))-MAX(0,MIN(1000,G301)))&gt;k_MAXERR,"MISMATCH","OK"),IF(OR(MAX(0,MIN(1000,E301))-k_MAXERR&gt;MAX(0,MIN(1000,G301)),MAX(0,MIN(1000,G301))-k_MAXERR&gt;MAX(0,MIN(1000,E301))),"MISMATCH","OK")))),"OK")))</f>
        <v>OK</v>
      </c>
      <c r="I301" s="7" t="n">
        <f aca="false">MAX(0,MIN(1000,D301))</f>
        <v>838</v>
      </c>
      <c r="J301" s="7" t="str">
        <f aca="false">IF(c_TPOT&gt;1,IF(c_TTYPE=2,1000-MAX(0,MIN(1000,G301)),MAX(0,MIN(1000,G301))),"")</f>
        <v/>
      </c>
      <c r="K301" s="7" t="n">
        <f aca="false">IF(c_TPOT&gt;1,QUOTIENT(I301+J301,2),I301)</f>
        <v>838</v>
      </c>
      <c r="L301" s="7" t="n">
        <f aca="false">IF(AND(K301=0,c_TCREEP&gt;0),10*c_TCREEP,IF(AND(K301&lt;=c_TRNGMIN,K301&gt;=c_TRNGMAX,c_TRNGMIN-c_TRNGMAX&lt;&gt;0),-10*c_TMINRN+QUOTIENT((c_TMAXRN-c_TMINRN)*(100-QUOTIENT((K301-c_TRNGMAX)*100,c_TRNGMIN-c_TRNGMAX)),-10),0))</f>
        <v>0</v>
      </c>
      <c r="M301" s="7" t="n">
        <f aca="false">IF(((c_TMAP1IN)-(c_TFWD))=0,(0)+QUOTIENT(((c_TMAP1OUT)-(0)),2),QUOTIENT((((K301)-(c_TFWD))*((c_TMAP1OUT)-(0))+IF(((c_TMAP1OUT)-(0))&gt;=0,1,-1)*QUOTIENT(((c_TMAP1IN)-(c_TFWD)),2)),((c_TMAP1IN)-(c_TFWD)))+(0)+IF(((c_TMAP1OUT)-(0))&gt;=0,IF(IF(o_WRAP=1,MOD(((c_TMAP1IN)-(c_TFWD))*(((K301)-(c_TFWD))*((c_TMAP1OUT)-(0))+IF(((c_TMAP1OUT)-(0))&gt;=0,1,-1)*QUOTIENT(((c_TMAP1IN)-(c_TFWD)),2))+2147483648,4294967296)-2147483648,((c_TMAP1IN)-(c_TFWD))*(((K301)-(c_TFWD))*((c_TMAP1OUT)-(0))+IF(((c_TMAP1OUT)-(0))&gt;=0,1,-1)*QUOTIENT(((c_TMAP1IN)-(c_TFWD)),2)))&lt;0,-1,0),IF(IF(o_WRAP=1,MOD(((c_TMAP1IN)-(c_TFWD))*(((K301)-(c_TFWD))*((c_TMAP1OUT)-(0))+IF(((c_TMAP1OUT)-(0))&gt;=0,1,-1)*QUOTIENT(((c_TMAP1IN)-(c_TFWD)),2))+2147483648,4294967296)-2147483648,((c_TMAP1IN)-(c_TFWD))*(((K301)-(c_TFWD))*((c_TMAP1OUT)-(0))+IF(((c_TMAP1OUT)-(0))&gt;=0,1,-1)*QUOTIENT(((c_TMAP1IN)-(c_TFWD)),2)))&gt;=0,1,0)))</f>
        <v>644</v>
      </c>
      <c r="N301" s="7" t="n">
        <f aca="false">IF(((c_TMAP2IN)-(c_TMAP1IN))=0,(c_TMAP1OUT)+QUOTIENT(((c_TMAP2OUT)-(c_TMAP1OUT)),2),QUOTIENT((((K301)-(c_TMAP1IN))*((c_TMAP2OUT)-(c_TMAP1OUT))+IF(((c_TMAP2OUT)-(c_TMAP1OUT))&gt;=0,1,-1)*QUOTIENT(((c_TMAP2IN)-(c_TMAP1IN)),2)),((c_TMAP2IN)-(c_TMAP1IN)))+(c_TMAP1OUT)+IF(((c_TMAP2OUT)-(c_TMAP1OUT))&gt;=0,IF(IF(o_WRAP=1,MOD(((c_TMAP2IN)-(c_TMAP1IN))*(((K301)-(c_TMAP1IN))*((c_TMAP2OUT)-(c_TMAP1OUT))+IF(((c_TMAP2OUT)-(c_TMAP1OUT))&gt;=0,1,-1)*QUOTIENT(((c_TMAP2IN)-(c_TMAP1IN)),2))+2147483648,4294967296)-2147483648,((c_TMAP2IN)-(c_TMAP1IN))*(((K301)-(c_TMAP1IN))*((c_TMAP2OUT)-(c_TMAP1OUT))+IF(((c_TMAP2OUT)-(c_TMAP1OUT))&gt;=0,1,-1)*QUOTIENT(((c_TMAP2IN)-(c_TMAP1IN)),2)))&lt;0,-1,0),IF(IF(o_WRAP=1,MOD(((c_TMAP2IN)-(c_TMAP1IN))*(((K301)-(c_TMAP1IN))*((c_TMAP2OUT)-(c_TMAP1OUT))+IF(((c_TMAP2OUT)-(c_TMAP1OUT))&gt;=0,1,-1)*QUOTIENT(((c_TMAP2IN)-(c_TMAP1IN)),2))+2147483648,4294967296)-2147483648,((c_TMAP2IN)-(c_TMAP1IN))*(((K301)-(c_TMAP1IN))*((c_TMAP2OUT)-(c_TMAP1OUT))+IF(((c_TMAP2OUT)-(c_TMAP1OUT))&gt;=0,1,-1)*QUOTIENT(((c_TMAP2IN)-(c_TMAP1IN)),2)))&gt;=0,1,0)))</f>
        <v>365</v>
      </c>
      <c r="O301" s="7" t="n">
        <f aca="false">IF(((c_TMAP3IN)-(c_TMAP2IN))=0,(c_TMAP2OUT)+QUOTIENT(((c_TMAP3OUT)-(c_TMAP2OUT)),2),QUOTIENT((((K301)-(c_TMAP2IN))*((c_TMAP3OUT)-(c_TMAP2OUT))+IF(((c_TMAP3OUT)-(c_TMAP2OUT))&gt;=0,1,-1)*QUOTIENT(((c_TMAP3IN)-(c_TMAP2IN)),2)),((c_TMAP3IN)-(c_TMAP2IN)))+(c_TMAP2OUT)+IF(((c_TMAP3OUT)-(c_TMAP2OUT))&gt;=0,IF(IF(o_WRAP=1,MOD(((c_TMAP3IN)-(c_TMAP2IN))*(((K301)-(c_TMAP2IN))*((c_TMAP3OUT)-(c_TMAP2OUT))+IF(((c_TMAP3OUT)-(c_TMAP2OUT))&gt;=0,1,-1)*QUOTIENT(((c_TMAP3IN)-(c_TMAP2IN)),2))+2147483648,4294967296)-2147483648,((c_TMAP3IN)-(c_TMAP2IN))*(((K301)-(c_TMAP2IN))*((c_TMAP3OUT)-(c_TMAP2OUT))+IF(((c_TMAP3OUT)-(c_TMAP2OUT))&gt;=0,1,-1)*QUOTIENT(((c_TMAP3IN)-(c_TMAP2IN)),2)))&lt;0,-1,0),IF(IF(o_WRAP=1,MOD(((c_TMAP3IN)-(c_TMAP2IN))*(((K301)-(c_TMAP2IN))*((c_TMAP3OUT)-(c_TMAP2OUT))+IF(((c_TMAP3OUT)-(c_TMAP2OUT))&gt;=0,1,-1)*QUOTIENT(((c_TMAP3IN)-(c_TMAP2IN)),2))+2147483648,4294967296)-2147483648,((c_TMAP3IN)-(c_TMAP2IN))*(((K301)-(c_TMAP2IN))*((c_TMAP3OUT)-(c_TMAP2OUT))+IF(((c_TMAP3OUT)-(c_TMAP2OUT))&gt;=0,1,-1)*QUOTIENT(((c_TMAP3IN)-(c_TMAP2IN)),2)))&gt;=0,1,0)))</f>
        <v>542</v>
      </c>
      <c r="P301" s="7" t="n">
        <f aca="false">IF(((1000)-(c_TMAP3IN))=0,(c_TMAP3OUT)+QUOTIENT(((1000)-(c_TMAP3OUT)),2),QUOTIENT((((K301)-(c_TMAP3IN))*((1000)-(c_TMAP3OUT))+IF(((1000)-(c_TMAP3OUT))&gt;=0,1,-1)*QUOTIENT(((1000)-(c_TMAP3IN)),2)),((1000)-(c_TMAP3IN)))+(c_TMAP3OUT)+IF(((1000)-(c_TMAP3OUT))&gt;=0,IF(IF(o_WRAP=1,MOD(((1000)-(c_TMAP3IN))*(((K301)-(c_TMAP3IN))*((1000)-(c_TMAP3OUT))+IF(((1000)-(c_TMAP3OUT))&gt;=0,1,-1)*QUOTIENT(((1000)-(c_TMAP3IN)),2))+2147483648,4294967296)-2147483648,((1000)-(c_TMAP3IN))*(((K301)-(c_TMAP3IN))*((1000)-(c_TMAP3OUT))+IF(((1000)-(c_TMAP3OUT))&gt;=0,1,-1)*QUOTIENT(((1000)-(c_TMAP3IN)),2)))&lt;0,-1,0),IF(IF(o_WRAP=1,MOD(((1000)-(c_TMAP3IN))*(((K301)-(c_TMAP3IN))*((1000)-(c_TMAP3OUT))+IF(((1000)-(c_TMAP3OUT))&gt;=0,1,-1)*QUOTIENT(((1000)-(c_TMAP3IN)),2))+2147483648,4294967296)-2147483648,((1000)-(c_TMAP3IN))*(((K301)-(c_TMAP3IN))*((1000)-(c_TMAP3OUT))+IF(((1000)-(c_TMAP3OUT))&gt;=0,1,-1)*QUOTIENT(((1000)-(c_TMAP3IN)),2)))&gt;=0,1,0)))</f>
        <v>801</v>
      </c>
      <c r="Q301" s="7" t="str">
        <f aca="false">IF(K301&gt;=c_TFWD,IF(AND(K301&gt;=c_TMAP3IN,c_TMAP3IN&lt;1000),"Seg4 map3-100%",IF(AND(K301&gt;=c_TMAP2IN,c_TMAP3IN&gt;c_TMAP2IN),"Seg3 map2-map3",IF(AND(K301&gt;=c_TMAP1IN,c_TMAP2IN&gt;c_TMAP1IN),"Seg2 map1-map2","Seg1 TFWD-map1"))),IF(AND(K301=0,c_TCREEP&gt;0),"Creep",IF(AND(K301&lt;=c_TRNGMIN,K301&gt;=c_TRNGMAX,c_TRNGMIN-c_TRNGMAX&lt;&gt;0),"Regen ramp","Coast (0)")))</f>
        <v>Seg4 map3-100%</v>
      </c>
      <c r="R301" s="7" t="n">
        <f aca="false">IF(K301&gt;=c_TFWD,IF(AND(K301&gt;=c_TMAP3IN,c_TMAP3IN&lt;1000),P301,IF(AND(K301&gt;=c_TMAP2IN,c_TMAP3IN&gt;c_TMAP2IN),O301,IF(AND(K301&gt;=c_TMAP1IN,c_TMAP2IN&gt;c_TMAP1IN),N301,M301))),L301)</f>
        <v>801</v>
      </c>
      <c r="S301" s="7" t="str">
        <f aca="false">IF(R301&lt;-1090,"TOO LOW",IF(R301&gt;1090,"TOO HIGH",""))</f>
        <v/>
      </c>
      <c r="T301" s="15" t="n">
        <f aca="false">IF(H301&lt;&gt;"OK",0,IF(S301&lt;&gt;"",0,IF(R301&gt;979,1000,R301)))</f>
        <v>801</v>
      </c>
      <c r="U301" s="7" t="n">
        <f aca="false">T301/10</f>
        <v>80.1</v>
      </c>
    </row>
    <row r="302" customFormat="false" ht="15" hidden="false" customHeight="false" outlineLevel="0" collapsed="false">
      <c r="A302" s="7" t="n">
        <v>297</v>
      </c>
      <c r="B302" s="7" t="n">
        <f aca="false">ROUND(o_SWSTART+A302*(o_SWEND-o_SWSTART)/400,0)</f>
        <v>3041</v>
      </c>
      <c r="C302" s="7" t="n">
        <f aca="false">QUOTIENT((B302-c_OFF1)*c_GAIN1,1024)</f>
        <v>3041</v>
      </c>
      <c r="D302" s="7" t="n">
        <f aca="false">IF(((c_T1MX)-(c_T1MN))=0,(0)+QUOTIENT(((1000)-(0)),2),QUOTIENT((((C302)-(c_T1MN))*((1000)-(0))+IF(((1000)-(0))&gt;=0,1,-1)*QUOTIENT(((c_T1MX)-(c_T1MN)),2)),((c_T1MX)-(c_T1MN)))+(0)+IF(((1000)-(0))&gt;=0,IF(IF(o_WRAP=1,MOD(((c_T1MX)-(c_T1MN))*(((C302)-(c_T1MN))*((1000)-(0))+IF(((1000)-(0))&gt;=0,1,-1)*QUOTIENT(((c_T1MX)-(c_T1MN)),2))+2147483648,4294967296)-2147483648,((c_T1MX)-(c_T1MN))*(((C302)-(c_T1MN))*((1000)-(0))+IF(((1000)-(0))&gt;=0,1,-1)*QUOTIENT(((c_T1MX)-(c_T1MN)),2)))&lt;0,-1,0),IF(IF(o_WRAP=1,MOD(((c_T1MX)-(c_T1MN))*(((C302)-(c_T1MN))*((1000)-(0))+IF(((1000)-(0))&gt;=0,1,-1)*QUOTIENT(((c_T1MX)-(c_T1MN)),2))+2147483648,4294967296)-2147483648,((c_T1MX)-(c_T1MN))*(((C302)-(c_T1MN))*((1000)-(0))+IF(((1000)-(0))&gt;=0,1,-1)*QUOTIENT(((c_T1MX)-(c_T1MN)),2)))&gt;=0,1,0)))</f>
        <v>842</v>
      </c>
      <c r="E302" s="7" t="n">
        <f aca="false">IF(AND(c_TPOT=1,c_TTYPE=2),1000-D302,D302)</f>
        <v>842</v>
      </c>
      <c r="F302" s="7" t="str">
        <f aca="false">IF(c_TPOT&gt;1,ROUND(IF(c_TTYPE=2,c_T2MX-IF(c_T1MX=c_T1MN,0,(C302-c_T1MN)/(c_T1MX-c_T1MN))*(c_T2MX-c_T2MN),c_T2MN+IF(c_T1MX=c_T1MN,0,(C302-c_T1MN)/(c_T1MX-c_T1MN))*(c_T2MX-c_T2MN))+o_MISMATCH,0),"")</f>
        <v/>
      </c>
      <c r="G302" s="7" t="str">
        <f aca="false">IF(c_TPOT&gt;1,IF(((c_T2MX)-(c_T2MN))=0,(0)+QUOTIENT(((1000)-(0)),2),QUOTIENT((((F302)-(c_T2MN))*((1000)-(0))+IF(((1000)-(0))&gt;=0,1,-1)*QUOTIENT(((c_T2MX)-(c_T2MN)),2)),((c_T2MX)-(c_T2MN)))+(0)+IF(((1000)-(0))&gt;=0,IF(IF(o_WRAP=1,MOD(((c_T2MX)-(c_T2MN))*(((F302)-(c_T2MN))*((1000)-(0))+IF(((1000)-(0))&gt;=0,1,-1)*QUOTIENT(((c_T2MX)-(c_T2MN)),2))+2147483648,4294967296)-2147483648,((c_T2MX)-(c_T2MN))*(((F302)-(c_T2MN))*((1000)-(0))+IF(((1000)-(0))&gt;=0,1,-1)*QUOTIENT(((c_T2MX)-(c_T2MN)),2)))&lt;0,-1,0),IF(IF(o_WRAP=1,MOD(((c_T2MX)-(c_T2MN))*(((F302)-(c_T2MN))*((1000)-(0))+IF(((1000)-(0))&gt;=0,1,-1)*QUOTIENT(((c_T2MX)-(c_T2MN)),2))+2147483648,4294967296)-2147483648,((c_T2MX)-(c_T2MN))*(((F302)-(c_T2MN))*((1000)-(0))+IF(((1000)-(0))&gt;=0,1,-1)*QUOTIENT(((c_T2MX)-(c_T2MN)),2)))&gt;=0,1,0))),"")</f>
        <v/>
      </c>
      <c r="H302" s="7" t="str">
        <f aca="false">IF(E302&gt;1000+k_TOL,"T1 HIGH",IF(E302&lt;0-k_TOL,"T1 LOW",IF(c_TPOT&gt;1,IF(G302&gt;1000+k_TOL,"T2 HIGH",IF(G302&lt;0-k_TOL,"T2 LOW",IF(c_TTYPE=2,IF(ABS(1000-MAX(0,MIN(1000,E302))-MAX(0,MIN(1000,G302)))&gt;k_MAXERR,"MISMATCH","OK"),IF(OR(MAX(0,MIN(1000,E302))-k_MAXERR&gt;MAX(0,MIN(1000,G302)),MAX(0,MIN(1000,G302))-k_MAXERR&gt;MAX(0,MIN(1000,E302))),"MISMATCH","OK")))),"OK")))</f>
        <v>OK</v>
      </c>
      <c r="I302" s="7" t="n">
        <f aca="false">MAX(0,MIN(1000,D302))</f>
        <v>842</v>
      </c>
      <c r="J302" s="7" t="str">
        <f aca="false">IF(c_TPOT&gt;1,IF(c_TTYPE=2,1000-MAX(0,MIN(1000,G302)),MAX(0,MIN(1000,G302))),"")</f>
        <v/>
      </c>
      <c r="K302" s="7" t="n">
        <f aca="false">IF(c_TPOT&gt;1,QUOTIENT(I302+J302,2),I302)</f>
        <v>842</v>
      </c>
      <c r="L302" s="7" t="n">
        <f aca="false">IF(AND(K302=0,c_TCREEP&gt;0),10*c_TCREEP,IF(AND(K302&lt;=c_TRNGMIN,K302&gt;=c_TRNGMAX,c_TRNGMIN-c_TRNGMAX&lt;&gt;0),-10*c_TMINRN+QUOTIENT((c_TMAXRN-c_TMINRN)*(100-QUOTIENT((K302-c_TRNGMAX)*100,c_TRNGMIN-c_TRNGMAX)),-10),0))</f>
        <v>0</v>
      </c>
      <c r="M302" s="7" t="n">
        <f aca="false">IF(((c_TMAP1IN)-(c_TFWD))=0,(0)+QUOTIENT(((c_TMAP1OUT)-(0)),2),QUOTIENT((((K302)-(c_TFWD))*((c_TMAP1OUT)-(0))+IF(((c_TMAP1OUT)-(0))&gt;=0,1,-1)*QUOTIENT(((c_TMAP1IN)-(c_TFWD)),2)),((c_TMAP1IN)-(c_TFWD)))+(0)+IF(((c_TMAP1OUT)-(0))&gt;=0,IF(IF(o_WRAP=1,MOD(((c_TMAP1IN)-(c_TFWD))*(((K302)-(c_TFWD))*((c_TMAP1OUT)-(0))+IF(((c_TMAP1OUT)-(0))&gt;=0,1,-1)*QUOTIENT(((c_TMAP1IN)-(c_TFWD)),2))+2147483648,4294967296)-2147483648,((c_TMAP1IN)-(c_TFWD))*(((K302)-(c_TFWD))*((c_TMAP1OUT)-(0))+IF(((c_TMAP1OUT)-(0))&gt;=0,1,-1)*QUOTIENT(((c_TMAP1IN)-(c_TFWD)),2)))&lt;0,-1,0),IF(IF(o_WRAP=1,MOD(((c_TMAP1IN)-(c_TFWD))*(((K302)-(c_TFWD))*((c_TMAP1OUT)-(0))+IF(((c_TMAP1OUT)-(0))&gt;=0,1,-1)*QUOTIENT(((c_TMAP1IN)-(c_TFWD)),2))+2147483648,4294967296)-2147483648,((c_TMAP1IN)-(c_TFWD))*(((K302)-(c_TFWD))*((c_TMAP1OUT)-(0))+IF(((c_TMAP1OUT)-(0))&gt;=0,1,-1)*QUOTIENT(((c_TMAP1IN)-(c_TFWD)),2)))&gt;=0,1,0)))</f>
        <v>647</v>
      </c>
      <c r="N302" s="7" t="n">
        <f aca="false">IF(((c_TMAP2IN)-(c_TMAP1IN))=0,(c_TMAP1OUT)+QUOTIENT(((c_TMAP2OUT)-(c_TMAP1OUT)),2),QUOTIENT((((K302)-(c_TMAP1IN))*((c_TMAP2OUT)-(c_TMAP1OUT))+IF(((c_TMAP2OUT)-(c_TMAP1OUT))&gt;=0,1,-1)*QUOTIENT(((c_TMAP2IN)-(c_TMAP1IN)),2)),((c_TMAP2IN)-(c_TMAP1IN)))+(c_TMAP1OUT)+IF(((c_TMAP2OUT)-(c_TMAP1OUT))&gt;=0,IF(IF(o_WRAP=1,MOD(((c_TMAP2IN)-(c_TMAP1IN))*(((K302)-(c_TMAP1IN))*((c_TMAP2OUT)-(c_TMAP1OUT))+IF(((c_TMAP2OUT)-(c_TMAP1OUT))&gt;=0,1,-1)*QUOTIENT(((c_TMAP2IN)-(c_TMAP1IN)),2))+2147483648,4294967296)-2147483648,((c_TMAP2IN)-(c_TMAP1IN))*(((K302)-(c_TMAP1IN))*((c_TMAP2OUT)-(c_TMAP1OUT))+IF(((c_TMAP2OUT)-(c_TMAP1OUT))&gt;=0,1,-1)*QUOTIENT(((c_TMAP2IN)-(c_TMAP1IN)),2)))&lt;0,-1,0),IF(IF(o_WRAP=1,MOD(((c_TMAP2IN)-(c_TMAP1IN))*(((K302)-(c_TMAP1IN))*((c_TMAP2OUT)-(c_TMAP1OUT))+IF(((c_TMAP2OUT)-(c_TMAP1OUT))&gt;=0,1,-1)*QUOTIENT(((c_TMAP2IN)-(c_TMAP1IN)),2))+2147483648,4294967296)-2147483648,((c_TMAP2IN)-(c_TMAP1IN))*(((K302)-(c_TMAP1IN))*((c_TMAP2OUT)-(c_TMAP1OUT))+IF(((c_TMAP2OUT)-(c_TMAP1OUT))&gt;=0,1,-1)*QUOTIENT(((c_TMAP2IN)-(c_TMAP1IN)),2)))&gt;=0,1,0)))</f>
        <v>367</v>
      </c>
      <c r="O302" s="7" t="n">
        <f aca="false">IF(((c_TMAP3IN)-(c_TMAP2IN))=0,(c_TMAP2OUT)+QUOTIENT(((c_TMAP3OUT)-(c_TMAP2OUT)),2),QUOTIENT((((K302)-(c_TMAP2IN))*((c_TMAP3OUT)-(c_TMAP2OUT))+IF(((c_TMAP3OUT)-(c_TMAP2OUT))&gt;=0,1,-1)*QUOTIENT(((c_TMAP3IN)-(c_TMAP2IN)),2)),((c_TMAP3IN)-(c_TMAP2IN)))+(c_TMAP2OUT)+IF(((c_TMAP3OUT)-(c_TMAP2OUT))&gt;=0,IF(IF(o_WRAP=1,MOD(((c_TMAP3IN)-(c_TMAP2IN))*(((K302)-(c_TMAP2IN))*((c_TMAP3OUT)-(c_TMAP2OUT))+IF(((c_TMAP3OUT)-(c_TMAP2OUT))&gt;=0,1,-1)*QUOTIENT(((c_TMAP3IN)-(c_TMAP2IN)),2))+2147483648,4294967296)-2147483648,((c_TMAP3IN)-(c_TMAP2IN))*(((K302)-(c_TMAP2IN))*((c_TMAP3OUT)-(c_TMAP2OUT))+IF(((c_TMAP3OUT)-(c_TMAP2OUT))&gt;=0,1,-1)*QUOTIENT(((c_TMAP3IN)-(c_TMAP2IN)),2)))&lt;0,-1,0),IF(IF(o_WRAP=1,MOD(((c_TMAP3IN)-(c_TMAP2IN))*(((K302)-(c_TMAP2IN))*((c_TMAP3OUT)-(c_TMAP2OUT))+IF(((c_TMAP3OUT)-(c_TMAP2OUT))&gt;=0,1,-1)*QUOTIENT(((c_TMAP3IN)-(c_TMAP2IN)),2))+2147483648,4294967296)-2147483648,((c_TMAP3IN)-(c_TMAP2IN))*(((K302)-(c_TMAP2IN))*((c_TMAP3OUT)-(c_TMAP2OUT))+IF(((c_TMAP3OUT)-(c_TMAP2OUT))&gt;=0,1,-1)*QUOTIENT(((c_TMAP3IN)-(c_TMAP2IN)),2)))&gt;=0,1,0)))</f>
        <v>544</v>
      </c>
      <c r="P302" s="7" t="n">
        <f aca="false">IF(((1000)-(c_TMAP3IN))=0,(c_TMAP3OUT)+QUOTIENT(((1000)-(c_TMAP3OUT)),2),QUOTIENT((((K302)-(c_TMAP3IN))*((1000)-(c_TMAP3OUT))+IF(((1000)-(c_TMAP3OUT))&gt;=0,1,-1)*QUOTIENT(((1000)-(c_TMAP3IN)),2)),((1000)-(c_TMAP3IN)))+(c_TMAP3OUT)+IF(((1000)-(c_TMAP3OUT))&gt;=0,IF(IF(o_WRAP=1,MOD(((1000)-(c_TMAP3IN))*(((K302)-(c_TMAP3IN))*((1000)-(c_TMAP3OUT))+IF(((1000)-(c_TMAP3OUT))&gt;=0,1,-1)*QUOTIENT(((1000)-(c_TMAP3IN)),2))+2147483648,4294967296)-2147483648,((1000)-(c_TMAP3IN))*(((K302)-(c_TMAP3IN))*((1000)-(c_TMAP3OUT))+IF(((1000)-(c_TMAP3OUT))&gt;=0,1,-1)*QUOTIENT(((1000)-(c_TMAP3IN)),2)))&lt;0,-1,0),IF(IF(o_WRAP=1,MOD(((1000)-(c_TMAP3IN))*(((K302)-(c_TMAP3IN))*((1000)-(c_TMAP3OUT))+IF(((1000)-(c_TMAP3OUT))&gt;=0,1,-1)*QUOTIENT(((1000)-(c_TMAP3IN)),2))+2147483648,4294967296)-2147483648,((1000)-(c_TMAP3IN))*(((K302)-(c_TMAP3IN))*((1000)-(c_TMAP3OUT))+IF(((1000)-(c_TMAP3OUT))&gt;=0,1,-1)*QUOTIENT(((1000)-(c_TMAP3IN)),2)))&gt;=0,1,0)))</f>
        <v>806</v>
      </c>
      <c r="Q302" s="7" t="str">
        <f aca="false">IF(K302&gt;=c_TFWD,IF(AND(K302&gt;=c_TMAP3IN,c_TMAP3IN&lt;1000),"Seg4 map3-100%",IF(AND(K302&gt;=c_TMAP2IN,c_TMAP3IN&gt;c_TMAP2IN),"Seg3 map2-map3",IF(AND(K302&gt;=c_TMAP1IN,c_TMAP2IN&gt;c_TMAP1IN),"Seg2 map1-map2","Seg1 TFWD-map1"))),IF(AND(K302=0,c_TCREEP&gt;0),"Creep",IF(AND(K302&lt;=c_TRNGMIN,K302&gt;=c_TRNGMAX,c_TRNGMIN-c_TRNGMAX&lt;&gt;0),"Regen ramp","Coast (0)")))</f>
        <v>Seg4 map3-100%</v>
      </c>
      <c r="R302" s="7" t="n">
        <f aca="false">IF(K302&gt;=c_TFWD,IF(AND(K302&gt;=c_TMAP3IN,c_TMAP3IN&lt;1000),P302,IF(AND(K302&gt;=c_TMAP2IN,c_TMAP3IN&gt;c_TMAP2IN),O302,IF(AND(K302&gt;=c_TMAP1IN,c_TMAP2IN&gt;c_TMAP1IN),N302,M302))),L302)</f>
        <v>806</v>
      </c>
      <c r="S302" s="7" t="str">
        <f aca="false">IF(R302&lt;-1090,"TOO LOW",IF(R302&gt;1090,"TOO HIGH",""))</f>
        <v/>
      </c>
      <c r="T302" s="15" t="n">
        <f aca="false">IF(H302&lt;&gt;"OK",0,IF(S302&lt;&gt;"",0,IF(R302&gt;979,1000,R302)))</f>
        <v>806</v>
      </c>
      <c r="U302" s="7" t="n">
        <f aca="false">T302/10</f>
        <v>80.6</v>
      </c>
    </row>
    <row r="303" customFormat="false" ht="15" hidden="false" customHeight="false" outlineLevel="0" collapsed="false">
      <c r="A303" s="7" t="n">
        <v>298</v>
      </c>
      <c r="B303" s="7" t="n">
        <f aca="false">ROUND(o_SWSTART+A303*(o_SWEND-o_SWSTART)/400,0)</f>
        <v>3051</v>
      </c>
      <c r="C303" s="7" t="n">
        <f aca="false">QUOTIENT((B303-c_OFF1)*c_GAIN1,1024)</f>
        <v>3051</v>
      </c>
      <c r="D303" s="7" t="n">
        <f aca="false">IF(((c_T1MX)-(c_T1MN))=0,(0)+QUOTIENT(((1000)-(0)),2),QUOTIENT((((C303)-(c_T1MN))*((1000)-(0))+IF(((1000)-(0))&gt;=0,1,-1)*QUOTIENT(((c_T1MX)-(c_T1MN)),2)),((c_T1MX)-(c_T1MN)))+(0)+IF(((1000)-(0))&gt;=0,IF(IF(o_WRAP=1,MOD(((c_T1MX)-(c_T1MN))*(((C303)-(c_T1MN))*((1000)-(0))+IF(((1000)-(0))&gt;=0,1,-1)*QUOTIENT(((c_T1MX)-(c_T1MN)),2))+2147483648,4294967296)-2147483648,((c_T1MX)-(c_T1MN))*(((C303)-(c_T1MN))*((1000)-(0))+IF(((1000)-(0))&gt;=0,1,-1)*QUOTIENT(((c_T1MX)-(c_T1MN)),2)))&lt;0,-1,0),IF(IF(o_WRAP=1,MOD(((c_T1MX)-(c_T1MN))*(((C303)-(c_T1MN))*((1000)-(0))+IF(((1000)-(0))&gt;=0,1,-1)*QUOTIENT(((c_T1MX)-(c_T1MN)),2))+2147483648,4294967296)-2147483648,((c_T1MX)-(c_T1MN))*(((C303)-(c_T1MN))*((1000)-(0))+IF(((1000)-(0))&gt;=0,1,-1)*QUOTIENT(((c_T1MX)-(c_T1MN)),2)))&gt;=0,1,0)))</f>
        <v>844</v>
      </c>
      <c r="E303" s="7" t="n">
        <f aca="false">IF(AND(c_TPOT=1,c_TTYPE=2),1000-D303,D303)</f>
        <v>844</v>
      </c>
      <c r="F303" s="7" t="str">
        <f aca="false">IF(c_TPOT&gt;1,ROUND(IF(c_TTYPE=2,c_T2MX-IF(c_T1MX=c_T1MN,0,(C303-c_T1MN)/(c_T1MX-c_T1MN))*(c_T2MX-c_T2MN),c_T2MN+IF(c_T1MX=c_T1MN,0,(C303-c_T1MN)/(c_T1MX-c_T1MN))*(c_T2MX-c_T2MN))+o_MISMATCH,0),"")</f>
        <v/>
      </c>
      <c r="G303" s="7" t="str">
        <f aca="false">IF(c_TPOT&gt;1,IF(((c_T2MX)-(c_T2MN))=0,(0)+QUOTIENT(((1000)-(0)),2),QUOTIENT((((F303)-(c_T2MN))*((1000)-(0))+IF(((1000)-(0))&gt;=0,1,-1)*QUOTIENT(((c_T2MX)-(c_T2MN)),2)),((c_T2MX)-(c_T2MN)))+(0)+IF(((1000)-(0))&gt;=0,IF(IF(o_WRAP=1,MOD(((c_T2MX)-(c_T2MN))*(((F303)-(c_T2MN))*((1000)-(0))+IF(((1000)-(0))&gt;=0,1,-1)*QUOTIENT(((c_T2MX)-(c_T2MN)),2))+2147483648,4294967296)-2147483648,((c_T2MX)-(c_T2MN))*(((F303)-(c_T2MN))*((1000)-(0))+IF(((1000)-(0))&gt;=0,1,-1)*QUOTIENT(((c_T2MX)-(c_T2MN)),2)))&lt;0,-1,0),IF(IF(o_WRAP=1,MOD(((c_T2MX)-(c_T2MN))*(((F303)-(c_T2MN))*((1000)-(0))+IF(((1000)-(0))&gt;=0,1,-1)*QUOTIENT(((c_T2MX)-(c_T2MN)),2))+2147483648,4294967296)-2147483648,((c_T2MX)-(c_T2MN))*(((F303)-(c_T2MN))*((1000)-(0))+IF(((1000)-(0))&gt;=0,1,-1)*QUOTIENT(((c_T2MX)-(c_T2MN)),2)))&gt;=0,1,0))),"")</f>
        <v/>
      </c>
      <c r="H303" s="7" t="str">
        <f aca="false">IF(E303&gt;1000+k_TOL,"T1 HIGH",IF(E303&lt;0-k_TOL,"T1 LOW",IF(c_TPOT&gt;1,IF(G303&gt;1000+k_TOL,"T2 HIGH",IF(G303&lt;0-k_TOL,"T2 LOW",IF(c_TTYPE=2,IF(ABS(1000-MAX(0,MIN(1000,E303))-MAX(0,MIN(1000,G303)))&gt;k_MAXERR,"MISMATCH","OK"),IF(OR(MAX(0,MIN(1000,E303))-k_MAXERR&gt;MAX(0,MIN(1000,G303)),MAX(0,MIN(1000,G303))-k_MAXERR&gt;MAX(0,MIN(1000,E303))),"MISMATCH","OK")))),"OK")))</f>
        <v>OK</v>
      </c>
      <c r="I303" s="7" t="n">
        <f aca="false">MAX(0,MIN(1000,D303))</f>
        <v>844</v>
      </c>
      <c r="J303" s="7" t="str">
        <f aca="false">IF(c_TPOT&gt;1,IF(c_TTYPE=2,1000-MAX(0,MIN(1000,G303)),MAX(0,MIN(1000,G303))),"")</f>
        <v/>
      </c>
      <c r="K303" s="7" t="n">
        <f aca="false">IF(c_TPOT&gt;1,QUOTIENT(I303+J303,2),I303)</f>
        <v>844</v>
      </c>
      <c r="L303" s="7" t="n">
        <f aca="false">IF(AND(K303=0,c_TCREEP&gt;0),10*c_TCREEP,IF(AND(K303&lt;=c_TRNGMIN,K303&gt;=c_TRNGMAX,c_TRNGMIN-c_TRNGMAX&lt;&gt;0),-10*c_TMINRN+QUOTIENT((c_TMAXRN-c_TMINRN)*(100-QUOTIENT((K303-c_TRNGMAX)*100,c_TRNGMIN-c_TRNGMAX)),-10),0))</f>
        <v>0</v>
      </c>
      <c r="M303" s="7" t="n">
        <f aca="false">IF(((c_TMAP1IN)-(c_TFWD))=0,(0)+QUOTIENT(((c_TMAP1OUT)-(0)),2),QUOTIENT((((K303)-(c_TFWD))*((c_TMAP1OUT)-(0))+IF(((c_TMAP1OUT)-(0))&gt;=0,1,-1)*QUOTIENT(((c_TMAP1IN)-(c_TFWD)),2)),((c_TMAP1IN)-(c_TFWD)))+(0)+IF(((c_TMAP1OUT)-(0))&gt;=0,IF(IF(o_WRAP=1,MOD(((c_TMAP1IN)-(c_TFWD))*(((K303)-(c_TFWD))*((c_TMAP1OUT)-(0))+IF(((c_TMAP1OUT)-(0))&gt;=0,1,-1)*QUOTIENT(((c_TMAP1IN)-(c_TFWD)),2))+2147483648,4294967296)-2147483648,((c_TMAP1IN)-(c_TFWD))*(((K303)-(c_TFWD))*((c_TMAP1OUT)-(0))+IF(((c_TMAP1OUT)-(0))&gt;=0,1,-1)*QUOTIENT(((c_TMAP1IN)-(c_TFWD)),2)))&lt;0,-1,0),IF(IF(o_WRAP=1,MOD(((c_TMAP1IN)-(c_TFWD))*(((K303)-(c_TFWD))*((c_TMAP1OUT)-(0))+IF(((c_TMAP1OUT)-(0))&gt;=0,1,-1)*QUOTIENT(((c_TMAP1IN)-(c_TFWD)),2))+2147483648,4294967296)-2147483648,((c_TMAP1IN)-(c_TFWD))*(((K303)-(c_TFWD))*((c_TMAP1OUT)-(0))+IF(((c_TMAP1OUT)-(0))&gt;=0,1,-1)*QUOTIENT(((c_TMAP1IN)-(c_TFWD)),2)))&gt;=0,1,0)))</f>
        <v>649</v>
      </c>
      <c r="N303" s="7" t="n">
        <f aca="false">IF(((c_TMAP2IN)-(c_TMAP1IN))=0,(c_TMAP1OUT)+QUOTIENT(((c_TMAP2OUT)-(c_TMAP1OUT)),2),QUOTIENT((((K303)-(c_TMAP1IN))*((c_TMAP2OUT)-(c_TMAP1OUT))+IF(((c_TMAP2OUT)-(c_TMAP1OUT))&gt;=0,1,-1)*QUOTIENT(((c_TMAP2IN)-(c_TMAP1IN)),2)),((c_TMAP2IN)-(c_TMAP1IN)))+(c_TMAP1OUT)+IF(((c_TMAP2OUT)-(c_TMAP1OUT))&gt;=0,IF(IF(o_WRAP=1,MOD(((c_TMAP2IN)-(c_TMAP1IN))*(((K303)-(c_TMAP1IN))*((c_TMAP2OUT)-(c_TMAP1OUT))+IF(((c_TMAP2OUT)-(c_TMAP1OUT))&gt;=0,1,-1)*QUOTIENT(((c_TMAP2IN)-(c_TMAP1IN)),2))+2147483648,4294967296)-2147483648,((c_TMAP2IN)-(c_TMAP1IN))*(((K303)-(c_TMAP1IN))*((c_TMAP2OUT)-(c_TMAP1OUT))+IF(((c_TMAP2OUT)-(c_TMAP1OUT))&gt;=0,1,-1)*QUOTIENT(((c_TMAP2IN)-(c_TMAP1IN)),2)))&lt;0,-1,0),IF(IF(o_WRAP=1,MOD(((c_TMAP2IN)-(c_TMAP1IN))*(((K303)-(c_TMAP1IN))*((c_TMAP2OUT)-(c_TMAP1OUT))+IF(((c_TMAP2OUT)-(c_TMAP1OUT))&gt;=0,1,-1)*QUOTIENT(((c_TMAP2IN)-(c_TMAP1IN)),2))+2147483648,4294967296)-2147483648,((c_TMAP2IN)-(c_TMAP1IN))*(((K303)-(c_TMAP1IN))*((c_TMAP2OUT)-(c_TMAP1OUT))+IF(((c_TMAP2OUT)-(c_TMAP1OUT))&gt;=0,1,-1)*QUOTIENT(((c_TMAP2IN)-(c_TMAP1IN)),2)))&gt;=0,1,0)))</f>
        <v>368</v>
      </c>
      <c r="O303" s="7" t="n">
        <f aca="false">IF(((c_TMAP3IN)-(c_TMAP2IN))=0,(c_TMAP2OUT)+QUOTIENT(((c_TMAP3OUT)-(c_TMAP2OUT)),2),QUOTIENT((((K303)-(c_TMAP2IN))*((c_TMAP3OUT)-(c_TMAP2OUT))+IF(((c_TMAP3OUT)-(c_TMAP2OUT))&gt;=0,1,-1)*QUOTIENT(((c_TMAP3IN)-(c_TMAP2IN)),2)),((c_TMAP3IN)-(c_TMAP2IN)))+(c_TMAP2OUT)+IF(((c_TMAP3OUT)-(c_TMAP2OUT))&gt;=0,IF(IF(o_WRAP=1,MOD(((c_TMAP3IN)-(c_TMAP2IN))*(((K303)-(c_TMAP2IN))*((c_TMAP3OUT)-(c_TMAP2OUT))+IF(((c_TMAP3OUT)-(c_TMAP2OUT))&gt;=0,1,-1)*QUOTIENT(((c_TMAP3IN)-(c_TMAP2IN)),2))+2147483648,4294967296)-2147483648,((c_TMAP3IN)-(c_TMAP2IN))*(((K303)-(c_TMAP2IN))*((c_TMAP3OUT)-(c_TMAP2OUT))+IF(((c_TMAP3OUT)-(c_TMAP2OUT))&gt;=0,1,-1)*QUOTIENT(((c_TMAP3IN)-(c_TMAP2IN)),2)))&lt;0,-1,0),IF(IF(o_WRAP=1,MOD(((c_TMAP3IN)-(c_TMAP2IN))*(((K303)-(c_TMAP2IN))*((c_TMAP3OUT)-(c_TMAP2OUT))+IF(((c_TMAP3OUT)-(c_TMAP2OUT))&gt;=0,1,-1)*QUOTIENT(((c_TMAP3IN)-(c_TMAP2IN)),2))+2147483648,4294967296)-2147483648,((c_TMAP3IN)-(c_TMAP2IN))*(((K303)-(c_TMAP2IN))*((c_TMAP3OUT)-(c_TMAP2OUT))+IF(((c_TMAP3OUT)-(c_TMAP2OUT))&gt;=0,1,-1)*QUOTIENT(((c_TMAP3IN)-(c_TMAP2IN)),2)))&gt;=0,1,0)))</f>
        <v>546</v>
      </c>
      <c r="P303" s="7" t="n">
        <f aca="false">IF(((1000)-(c_TMAP3IN))=0,(c_TMAP3OUT)+QUOTIENT(((1000)-(c_TMAP3OUT)),2),QUOTIENT((((K303)-(c_TMAP3IN))*((1000)-(c_TMAP3OUT))+IF(((1000)-(c_TMAP3OUT))&gt;=0,1,-1)*QUOTIENT(((1000)-(c_TMAP3IN)),2)),((1000)-(c_TMAP3IN)))+(c_TMAP3OUT)+IF(((1000)-(c_TMAP3OUT))&gt;=0,IF(IF(o_WRAP=1,MOD(((1000)-(c_TMAP3IN))*(((K303)-(c_TMAP3IN))*((1000)-(c_TMAP3OUT))+IF(((1000)-(c_TMAP3OUT))&gt;=0,1,-1)*QUOTIENT(((1000)-(c_TMAP3IN)),2))+2147483648,4294967296)-2147483648,((1000)-(c_TMAP3IN))*(((K303)-(c_TMAP3IN))*((1000)-(c_TMAP3OUT))+IF(((1000)-(c_TMAP3OUT))&gt;=0,1,-1)*QUOTIENT(((1000)-(c_TMAP3IN)),2)))&lt;0,-1,0),IF(IF(o_WRAP=1,MOD(((1000)-(c_TMAP3IN))*(((K303)-(c_TMAP3IN))*((1000)-(c_TMAP3OUT))+IF(((1000)-(c_TMAP3OUT))&gt;=0,1,-1)*QUOTIENT(((1000)-(c_TMAP3IN)),2))+2147483648,4294967296)-2147483648,((1000)-(c_TMAP3IN))*(((K303)-(c_TMAP3IN))*((1000)-(c_TMAP3OUT))+IF(((1000)-(c_TMAP3OUT))&gt;=0,1,-1)*QUOTIENT(((1000)-(c_TMAP3IN)),2)))&gt;=0,1,0)))</f>
        <v>808</v>
      </c>
      <c r="Q303" s="7" t="str">
        <f aca="false">IF(K303&gt;=c_TFWD,IF(AND(K303&gt;=c_TMAP3IN,c_TMAP3IN&lt;1000),"Seg4 map3-100%",IF(AND(K303&gt;=c_TMAP2IN,c_TMAP3IN&gt;c_TMAP2IN),"Seg3 map2-map3",IF(AND(K303&gt;=c_TMAP1IN,c_TMAP2IN&gt;c_TMAP1IN),"Seg2 map1-map2","Seg1 TFWD-map1"))),IF(AND(K303=0,c_TCREEP&gt;0),"Creep",IF(AND(K303&lt;=c_TRNGMIN,K303&gt;=c_TRNGMAX,c_TRNGMIN-c_TRNGMAX&lt;&gt;0),"Regen ramp","Coast (0)")))</f>
        <v>Seg4 map3-100%</v>
      </c>
      <c r="R303" s="7" t="n">
        <f aca="false">IF(K303&gt;=c_TFWD,IF(AND(K303&gt;=c_TMAP3IN,c_TMAP3IN&lt;1000),P303,IF(AND(K303&gt;=c_TMAP2IN,c_TMAP3IN&gt;c_TMAP2IN),O303,IF(AND(K303&gt;=c_TMAP1IN,c_TMAP2IN&gt;c_TMAP1IN),N303,M303))),L303)</f>
        <v>808</v>
      </c>
      <c r="S303" s="7" t="str">
        <f aca="false">IF(R303&lt;-1090,"TOO LOW",IF(R303&gt;1090,"TOO HIGH",""))</f>
        <v/>
      </c>
      <c r="T303" s="15" t="n">
        <f aca="false">IF(H303&lt;&gt;"OK",0,IF(S303&lt;&gt;"",0,IF(R303&gt;979,1000,R303)))</f>
        <v>808</v>
      </c>
      <c r="U303" s="7" t="n">
        <f aca="false">T303/10</f>
        <v>80.8</v>
      </c>
    </row>
    <row r="304" customFormat="false" ht="15" hidden="false" customHeight="false" outlineLevel="0" collapsed="false">
      <c r="A304" s="7" t="n">
        <v>299</v>
      </c>
      <c r="B304" s="7" t="n">
        <f aca="false">ROUND(o_SWSTART+A304*(o_SWEND-o_SWSTART)/400,0)</f>
        <v>3061</v>
      </c>
      <c r="C304" s="7" t="n">
        <f aca="false">QUOTIENT((B304-c_OFF1)*c_GAIN1,1024)</f>
        <v>3061</v>
      </c>
      <c r="D304" s="7" t="n">
        <f aca="false">IF(((c_T1MX)-(c_T1MN))=0,(0)+QUOTIENT(((1000)-(0)),2),QUOTIENT((((C304)-(c_T1MN))*((1000)-(0))+IF(((1000)-(0))&gt;=0,1,-1)*QUOTIENT(((c_T1MX)-(c_T1MN)),2)),((c_T1MX)-(c_T1MN)))+(0)+IF(((1000)-(0))&gt;=0,IF(IF(o_WRAP=1,MOD(((c_T1MX)-(c_T1MN))*(((C304)-(c_T1MN))*((1000)-(0))+IF(((1000)-(0))&gt;=0,1,-1)*QUOTIENT(((c_T1MX)-(c_T1MN)),2))+2147483648,4294967296)-2147483648,((c_T1MX)-(c_T1MN))*(((C304)-(c_T1MN))*((1000)-(0))+IF(((1000)-(0))&gt;=0,1,-1)*QUOTIENT(((c_T1MX)-(c_T1MN)),2)))&lt;0,-1,0),IF(IF(o_WRAP=1,MOD(((c_T1MX)-(c_T1MN))*(((C304)-(c_T1MN))*((1000)-(0))+IF(((1000)-(0))&gt;=0,1,-1)*QUOTIENT(((c_T1MX)-(c_T1MN)),2))+2147483648,4294967296)-2147483648,((c_T1MX)-(c_T1MN))*(((C304)-(c_T1MN))*((1000)-(0))+IF(((1000)-(0))&gt;=0,1,-1)*QUOTIENT(((c_T1MX)-(c_T1MN)),2)))&gt;=0,1,0)))</f>
        <v>848</v>
      </c>
      <c r="E304" s="7" t="n">
        <f aca="false">IF(AND(c_TPOT=1,c_TTYPE=2),1000-D304,D304)</f>
        <v>848</v>
      </c>
      <c r="F304" s="7" t="str">
        <f aca="false">IF(c_TPOT&gt;1,ROUND(IF(c_TTYPE=2,c_T2MX-IF(c_T1MX=c_T1MN,0,(C304-c_T1MN)/(c_T1MX-c_T1MN))*(c_T2MX-c_T2MN),c_T2MN+IF(c_T1MX=c_T1MN,0,(C304-c_T1MN)/(c_T1MX-c_T1MN))*(c_T2MX-c_T2MN))+o_MISMATCH,0),"")</f>
        <v/>
      </c>
      <c r="G304" s="7" t="str">
        <f aca="false">IF(c_TPOT&gt;1,IF(((c_T2MX)-(c_T2MN))=0,(0)+QUOTIENT(((1000)-(0)),2),QUOTIENT((((F304)-(c_T2MN))*((1000)-(0))+IF(((1000)-(0))&gt;=0,1,-1)*QUOTIENT(((c_T2MX)-(c_T2MN)),2)),((c_T2MX)-(c_T2MN)))+(0)+IF(((1000)-(0))&gt;=0,IF(IF(o_WRAP=1,MOD(((c_T2MX)-(c_T2MN))*(((F304)-(c_T2MN))*((1000)-(0))+IF(((1000)-(0))&gt;=0,1,-1)*QUOTIENT(((c_T2MX)-(c_T2MN)),2))+2147483648,4294967296)-2147483648,((c_T2MX)-(c_T2MN))*(((F304)-(c_T2MN))*((1000)-(0))+IF(((1000)-(0))&gt;=0,1,-1)*QUOTIENT(((c_T2MX)-(c_T2MN)),2)))&lt;0,-1,0),IF(IF(o_WRAP=1,MOD(((c_T2MX)-(c_T2MN))*(((F304)-(c_T2MN))*((1000)-(0))+IF(((1000)-(0))&gt;=0,1,-1)*QUOTIENT(((c_T2MX)-(c_T2MN)),2))+2147483648,4294967296)-2147483648,((c_T2MX)-(c_T2MN))*(((F304)-(c_T2MN))*((1000)-(0))+IF(((1000)-(0))&gt;=0,1,-1)*QUOTIENT(((c_T2MX)-(c_T2MN)),2)))&gt;=0,1,0))),"")</f>
        <v/>
      </c>
      <c r="H304" s="7" t="str">
        <f aca="false">IF(E304&gt;1000+k_TOL,"T1 HIGH",IF(E304&lt;0-k_TOL,"T1 LOW",IF(c_TPOT&gt;1,IF(G304&gt;1000+k_TOL,"T2 HIGH",IF(G304&lt;0-k_TOL,"T2 LOW",IF(c_TTYPE=2,IF(ABS(1000-MAX(0,MIN(1000,E304))-MAX(0,MIN(1000,G304)))&gt;k_MAXERR,"MISMATCH","OK"),IF(OR(MAX(0,MIN(1000,E304))-k_MAXERR&gt;MAX(0,MIN(1000,G304)),MAX(0,MIN(1000,G304))-k_MAXERR&gt;MAX(0,MIN(1000,E304))),"MISMATCH","OK")))),"OK")))</f>
        <v>OK</v>
      </c>
      <c r="I304" s="7" t="n">
        <f aca="false">MAX(0,MIN(1000,D304))</f>
        <v>848</v>
      </c>
      <c r="J304" s="7" t="str">
        <f aca="false">IF(c_TPOT&gt;1,IF(c_TTYPE=2,1000-MAX(0,MIN(1000,G304)),MAX(0,MIN(1000,G304))),"")</f>
        <v/>
      </c>
      <c r="K304" s="7" t="n">
        <f aca="false">IF(c_TPOT&gt;1,QUOTIENT(I304+J304,2),I304)</f>
        <v>848</v>
      </c>
      <c r="L304" s="7" t="n">
        <f aca="false">IF(AND(K304=0,c_TCREEP&gt;0),10*c_TCREEP,IF(AND(K304&lt;=c_TRNGMIN,K304&gt;=c_TRNGMAX,c_TRNGMIN-c_TRNGMAX&lt;&gt;0),-10*c_TMINRN+QUOTIENT((c_TMAXRN-c_TMINRN)*(100-QUOTIENT((K304-c_TRNGMAX)*100,c_TRNGMIN-c_TRNGMAX)),-10),0))</f>
        <v>0</v>
      </c>
      <c r="M304" s="7" t="n">
        <f aca="false">IF(((c_TMAP1IN)-(c_TFWD))=0,(0)+QUOTIENT(((c_TMAP1OUT)-(0)),2),QUOTIENT((((K304)-(c_TFWD))*((c_TMAP1OUT)-(0))+IF(((c_TMAP1OUT)-(0))&gt;=0,1,-1)*QUOTIENT(((c_TMAP1IN)-(c_TFWD)),2)),((c_TMAP1IN)-(c_TFWD)))+(0)+IF(((c_TMAP1OUT)-(0))&gt;=0,IF(IF(o_WRAP=1,MOD(((c_TMAP1IN)-(c_TFWD))*(((K304)-(c_TFWD))*((c_TMAP1OUT)-(0))+IF(((c_TMAP1OUT)-(0))&gt;=0,1,-1)*QUOTIENT(((c_TMAP1IN)-(c_TFWD)),2))+2147483648,4294967296)-2147483648,((c_TMAP1IN)-(c_TFWD))*(((K304)-(c_TFWD))*((c_TMAP1OUT)-(0))+IF(((c_TMAP1OUT)-(0))&gt;=0,1,-1)*QUOTIENT(((c_TMAP1IN)-(c_TFWD)),2)))&lt;0,-1,0),IF(IF(o_WRAP=1,MOD(((c_TMAP1IN)-(c_TFWD))*(((K304)-(c_TFWD))*((c_TMAP1OUT)-(0))+IF(((c_TMAP1OUT)-(0))&gt;=0,1,-1)*QUOTIENT(((c_TMAP1IN)-(c_TFWD)),2))+2147483648,4294967296)-2147483648,((c_TMAP1IN)-(c_TFWD))*(((K304)-(c_TFWD))*((c_TMAP1OUT)-(0))+IF(((c_TMAP1OUT)-(0))&gt;=0,1,-1)*QUOTIENT(((c_TMAP1IN)-(c_TFWD)),2)))&gt;=0,1,0)))</f>
        <v>652</v>
      </c>
      <c r="N304" s="7" t="n">
        <f aca="false">IF(((c_TMAP2IN)-(c_TMAP1IN))=0,(c_TMAP1OUT)+QUOTIENT(((c_TMAP2OUT)-(c_TMAP1OUT)),2),QUOTIENT((((K304)-(c_TMAP1IN))*((c_TMAP2OUT)-(c_TMAP1OUT))+IF(((c_TMAP2OUT)-(c_TMAP1OUT))&gt;=0,1,-1)*QUOTIENT(((c_TMAP2IN)-(c_TMAP1IN)),2)),((c_TMAP2IN)-(c_TMAP1IN)))+(c_TMAP1OUT)+IF(((c_TMAP2OUT)-(c_TMAP1OUT))&gt;=0,IF(IF(o_WRAP=1,MOD(((c_TMAP2IN)-(c_TMAP1IN))*(((K304)-(c_TMAP1IN))*((c_TMAP2OUT)-(c_TMAP1OUT))+IF(((c_TMAP2OUT)-(c_TMAP1OUT))&gt;=0,1,-1)*QUOTIENT(((c_TMAP2IN)-(c_TMAP1IN)),2))+2147483648,4294967296)-2147483648,((c_TMAP2IN)-(c_TMAP1IN))*(((K304)-(c_TMAP1IN))*((c_TMAP2OUT)-(c_TMAP1OUT))+IF(((c_TMAP2OUT)-(c_TMAP1OUT))&gt;=0,1,-1)*QUOTIENT(((c_TMAP2IN)-(c_TMAP1IN)),2)))&lt;0,-1,0),IF(IF(o_WRAP=1,MOD(((c_TMAP2IN)-(c_TMAP1IN))*(((K304)-(c_TMAP1IN))*((c_TMAP2OUT)-(c_TMAP1OUT))+IF(((c_TMAP2OUT)-(c_TMAP1OUT))&gt;=0,1,-1)*QUOTIENT(((c_TMAP2IN)-(c_TMAP1IN)),2))+2147483648,4294967296)-2147483648,((c_TMAP2IN)-(c_TMAP1IN))*(((K304)-(c_TMAP1IN))*((c_TMAP2OUT)-(c_TMAP1OUT))+IF(((c_TMAP2OUT)-(c_TMAP1OUT))&gt;=0,1,-1)*QUOTIENT(((c_TMAP2IN)-(c_TMAP1IN)),2)))&gt;=0,1,0)))</f>
        <v>369</v>
      </c>
      <c r="O304" s="7" t="n">
        <f aca="false">IF(((c_TMAP3IN)-(c_TMAP2IN))=0,(c_TMAP2OUT)+QUOTIENT(((c_TMAP3OUT)-(c_TMAP2OUT)),2),QUOTIENT((((K304)-(c_TMAP2IN))*((c_TMAP3OUT)-(c_TMAP2OUT))+IF(((c_TMAP3OUT)-(c_TMAP2OUT))&gt;=0,1,-1)*QUOTIENT(((c_TMAP3IN)-(c_TMAP2IN)),2)),((c_TMAP3IN)-(c_TMAP2IN)))+(c_TMAP2OUT)+IF(((c_TMAP3OUT)-(c_TMAP2OUT))&gt;=0,IF(IF(o_WRAP=1,MOD(((c_TMAP3IN)-(c_TMAP2IN))*(((K304)-(c_TMAP2IN))*((c_TMAP3OUT)-(c_TMAP2OUT))+IF(((c_TMAP3OUT)-(c_TMAP2OUT))&gt;=0,1,-1)*QUOTIENT(((c_TMAP3IN)-(c_TMAP2IN)),2))+2147483648,4294967296)-2147483648,((c_TMAP3IN)-(c_TMAP2IN))*(((K304)-(c_TMAP2IN))*((c_TMAP3OUT)-(c_TMAP2OUT))+IF(((c_TMAP3OUT)-(c_TMAP2OUT))&gt;=0,1,-1)*QUOTIENT(((c_TMAP3IN)-(c_TMAP2IN)),2)))&lt;0,-1,0),IF(IF(o_WRAP=1,MOD(((c_TMAP3IN)-(c_TMAP2IN))*(((K304)-(c_TMAP2IN))*((c_TMAP3OUT)-(c_TMAP2OUT))+IF(((c_TMAP3OUT)-(c_TMAP2OUT))&gt;=0,1,-1)*QUOTIENT(((c_TMAP3IN)-(c_TMAP2IN)),2))+2147483648,4294967296)-2147483648,((c_TMAP3IN)-(c_TMAP2IN))*(((K304)-(c_TMAP2IN))*((c_TMAP3OUT)-(c_TMAP2OUT))+IF(((c_TMAP3OUT)-(c_TMAP2OUT))&gt;=0,1,-1)*QUOTIENT(((c_TMAP3IN)-(c_TMAP2IN)),2)))&gt;=0,1,0)))</f>
        <v>549</v>
      </c>
      <c r="P304" s="7" t="n">
        <f aca="false">IF(((1000)-(c_TMAP3IN))=0,(c_TMAP3OUT)+QUOTIENT(((1000)-(c_TMAP3OUT)),2),QUOTIENT((((K304)-(c_TMAP3IN))*((1000)-(c_TMAP3OUT))+IF(((1000)-(c_TMAP3OUT))&gt;=0,1,-1)*QUOTIENT(((1000)-(c_TMAP3IN)),2)),((1000)-(c_TMAP3IN)))+(c_TMAP3OUT)+IF(((1000)-(c_TMAP3OUT))&gt;=0,IF(IF(o_WRAP=1,MOD(((1000)-(c_TMAP3IN))*(((K304)-(c_TMAP3IN))*((1000)-(c_TMAP3OUT))+IF(((1000)-(c_TMAP3OUT))&gt;=0,1,-1)*QUOTIENT(((1000)-(c_TMAP3IN)),2))+2147483648,4294967296)-2147483648,((1000)-(c_TMAP3IN))*(((K304)-(c_TMAP3IN))*((1000)-(c_TMAP3OUT))+IF(((1000)-(c_TMAP3OUT))&gt;=0,1,-1)*QUOTIENT(((1000)-(c_TMAP3IN)),2)))&lt;0,-1,0),IF(IF(o_WRAP=1,MOD(((1000)-(c_TMAP3IN))*(((K304)-(c_TMAP3IN))*((1000)-(c_TMAP3OUT))+IF(((1000)-(c_TMAP3OUT))&gt;=0,1,-1)*QUOTIENT(((1000)-(c_TMAP3IN)),2))+2147483648,4294967296)-2147483648,((1000)-(c_TMAP3IN))*(((K304)-(c_TMAP3IN))*((1000)-(c_TMAP3OUT))+IF(((1000)-(c_TMAP3OUT))&gt;=0,1,-1)*QUOTIENT(((1000)-(c_TMAP3IN)),2)))&gt;=0,1,0)))</f>
        <v>813</v>
      </c>
      <c r="Q304" s="7" t="str">
        <f aca="false">IF(K304&gt;=c_TFWD,IF(AND(K304&gt;=c_TMAP3IN,c_TMAP3IN&lt;1000),"Seg4 map3-100%",IF(AND(K304&gt;=c_TMAP2IN,c_TMAP3IN&gt;c_TMAP2IN),"Seg3 map2-map3",IF(AND(K304&gt;=c_TMAP1IN,c_TMAP2IN&gt;c_TMAP1IN),"Seg2 map1-map2","Seg1 TFWD-map1"))),IF(AND(K304=0,c_TCREEP&gt;0),"Creep",IF(AND(K304&lt;=c_TRNGMIN,K304&gt;=c_TRNGMAX,c_TRNGMIN-c_TRNGMAX&lt;&gt;0),"Regen ramp","Coast (0)")))</f>
        <v>Seg4 map3-100%</v>
      </c>
      <c r="R304" s="7" t="n">
        <f aca="false">IF(K304&gt;=c_TFWD,IF(AND(K304&gt;=c_TMAP3IN,c_TMAP3IN&lt;1000),P304,IF(AND(K304&gt;=c_TMAP2IN,c_TMAP3IN&gt;c_TMAP2IN),O304,IF(AND(K304&gt;=c_TMAP1IN,c_TMAP2IN&gt;c_TMAP1IN),N304,M304))),L304)</f>
        <v>813</v>
      </c>
      <c r="S304" s="7" t="str">
        <f aca="false">IF(R304&lt;-1090,"TOO LOW",IF(R304&gt;1090,"TOO HIGH",""))</f>
        <v/>
      </c>
      <c r="T304" s="15" t="n">
        <f aca="false">IF(H304&lt;&gt;"OK",0,IF(S304&lt;&gt;"",0,IF(R304&gt;979,1000,R304)))</f>
        <v>813</v>
      </c>
      <c r="U304" s="7" t="n">
        <f aca="false">T304/10</f>
        <v>81.3</v>
      </c>
    </row>
    <row r="305" customFormat="false" ht="15" hidden="false" customHeight="false" outlineLevel="0" collapsed="false">
      <c r="A305" s="7" t="n">
        <v>300</v>
      </c>
      <c r="B305" s="7" t="n">
        <f aca="false">ROUND(o_SWSTART+A305*(o_SWEND-o_SWSTART)/400,0)</f>
        <v>3071</v>
      </c>
      <c r="C305" s="7" t="n">
        <f aca="false">QUOTIENT((B305-c_OFF1)*c_GAIN1,1024)</f>
        <v>3071</v>
      </c>
      <c r="D305" s="7" t="n">
        <f aca="false">IF(((c_T1MX)-(c_T1MN))=0,(0)+QUOTIENT(((1000)-(0)),2),QUOTIENT((((C305)-(c_T1MN))*((1000)-(0))+IF(((1000)-(0))&gt;=0,1,-1)*QUOTIENT(((c_T1MX)-(c_T1MN)),2)),((c_T1MX)-(c_T1MN)))+(0)+IF(((1000)-(0))&gt;=0,IF(IF(o_WRAP=1,MOD(((c_T1MX)-(c_T1MN))*(((C305)-(c_T1MN))*((1000)-(0))+IF(((1000)-(0))&gt;=0,1,-1)*QUOTIENT(((c_T1MX)-(c_T1MN)),2))+2147483648,4294967296)-2147483648,((c_T1MX)-(c_T1MN))*(((C305)-(c_T1MN))*((1000)-(0))+IF(((1000)-(0))&gt;=0,1,-1)*QUOTIENT(((c_T1MX)-(c_T1MN)),2)))&lt;0,-1,0),IF(IF(o_WRAP=1,MOD(((c_T1MX)-(c_T1MN))*(((C305)-(c_T1MN))*((1000)-(0))+IF(((1000)-(0))&gt;=0,1,-1)*QUOTIENT(((c_T1MX)-(c_T1MN)),2))+2147483648,4294967296)-2147483648,((c_T1MX)-(c_T1MN))*(((C305)-(c_T1MN))*((1000)-(0))+IF(((1000)-(0))&gt;=0,1,-1)*QUOTIENT(((c_T1MX)-(c_T1MN)),2)))&gt;=0,1,0)))</f>
        <v>852</v>
      </c>
      <c r="E305" s="7" t="n">
        <f aca="false">IF(AND(c_TPOT=1,c_TTYPE=2),1000-D305,D305)</f>
        <v>852</v>
      </c>
      <c r="F305" s="7" t="str">
        <f aca="false">IF(c_TPOT&gt;1,ROUND(IF(c_TTYPE=2,c_T2MX-IF(c_T1MX=c_T1MN,0,(C305-c_T1MN)/(c_T1MX-c_T1MN))*(c_T2MX-c_T2MN),c_T2MN+IF(c_T1MX=c_T1MN,0,(C305-c_T1MN)/(c_T1MX-c_T1MN))*(c_T2MX-c_T2MN))+o_MISMATCH,0),"")</f>
        <v/>
      </c>
      <c r="G305" s="7" t="str">
        <f aca="false">IF(c_TPOT&gt;1,IF(((c_T2MX)-(c_T2MN))=0,(0)+QUOTIENT(((1000)-(0)),2),QUOTIENT((((F305)-(c_T2MN))*((1000)-(0))+IF(((1000)-(0))&gt;=0,1,-1)*QUOTIENT(((c_T2MX)-(c_T2MN)),2)),((c_T2MX)-(c_T2MN)))+(0)+IF(((1000)-(0))&gt;=0,IF(IF(o_WRAP=1,MOD(((c_T2MX)-(c_T2MN))*(((F305)-(c_T2MN))*((1000)-(0))+IF(((1000)-(0))&gt;=0,1,-1)*QUOTIENT(((c_T2MX)-(c_T2MN)),2))+2147483648,4294967296)-2147483648,((c_T2MX)-(c_T2MN))*(((F305)-(c_T2MN))*((1000)-(0))+IF(((1000)-(0))&gt;=0,1,-1)*QUOTIENT(((c_T2MX)-(c_T2MN)),2)))&lt;0,-1,0),IF(IF(o_WRAP=1,MOD(((c_T2MX)-(c_T2MN))*(((F305)-(c_T2MN))*((1000)-(0))+IF(((1000)-(0))&gt;=0,1,-1)*QUOTIENT(((c_T2MX)-(c_T2MN)),2))+2147483648,4294967296)-2147483648,((c_T2MX)-(c_T2MN))*(((F305)-(c_T2MN))*((1000)-(0))+IF(((1000)-(0))&gt;=0,1,-1)*QUOTIENT(((c_T2MX)-(c_T2MN)),2)))&gt;=0,1,0))),"")</f>
        <v/>
      </c>
      <c r="H305" s="7" t="str">
        <f aca="false">IF(E305&gt;1000+k_TOL,"T1 HIGH",IF(E305&lt;0-k_TOL,"T1 LOW",IF(c_TPOT&gt;1,IF(G305&gt;1000+k_TOL,"T2 HIGH",IF(G305&lt;0-k_TOL,"T2 LOW",IF(c_TTYPE=2,IF(ABS(1000-MAX(0,MIN(1000,E305))-MAX(0,MIN(1000,G305)))&gt;k_MAXERR,"MISMATCH","OK"),IF(OR(MAX(0,MIN(1000,E305))-k_MAXERR&gt;MAX(0,MIN(1000,G305)),MAX(0,MIN(1000,G305))-k_MAXERR&gt;MAX(0,MIN(1000,E305))),"MISMATCH","OK")))),"OK")))</f>
        <v>OK</v>
      </c>
      <c r="I305" s="7" t="n">
        <f aca="false">MAX(0,MIN(1000,D305))</f>
        <v>852</v>
      </c>
      <c r="J305" s="7" t="str">
        <f aca="false">IF(c_TPOT&gt;1,IF(c_TTYPE=2,1000-MAX(0,MIN(1000,G305)),MAX(0,MIN(1000,G305))),"")</f>
        <v/>
      </c>
      <c r="K305" s="7" t="n">
        <f aca="false">IF(c_TPOT&gt;1,QUOTIENT(I305+J305,2),I305)</f>
        <v>852</v>
      </c>
      <c r="L305" s="7" t="n">
        <f aca="false">IF(AND(K305=0,c_TCREEP&gt;0),10*c_TCREEP,IF(AND(K305&lt;=c_TRNGMIN,K305&gt;=c_TRNGMAX,c_TRNGMIN-c_TRNGMAX&lt;&gt;0),-10*c_TMINRN+QUOTIENT((c_TMAXRN-c_TMINRN)*(100-QUOTIENT((K305-c_TRNGMAX)*100,c_TRNGMIN-c_TRNGMAX)),-10),0))</f>
        <v>0</v>
      </c>
      <c r="M305" s="7" t="n">
        <f aca="false">IF(((c_TMAP1IN)-(c_TFWD))=0,(0)+QUOTIENT(((c_TMAP1OUT)-(0)),2),QUOTIENT((((K305)-(c_TFWD))*((c_TMAP1OUT)-(0))+IF(((c_TMAP1OUT)-(0))&gt;=0,1,-1)*QUOTIENT(((c_TMAP1IN)-(c_TFWD)),2)),((c_TMAP1IN)-(c_TFWD)))+(0)+IF(((c_TMAP1OUT)-(0))&gt;=0,IF(IF(o_WRAP=1,MOD(((c_TMAP1IN)-(c_TFWD))*(((K305)-(c_TFWD))*((c_TMAP1OUT)-(0))+IF(((c_TMAP1OUT)-(0))&gt;=0,1,-1)*QUOTIENT(((c_TMAP1IN)-(c_TFWD)),2))+2147483648,4294967296)-2147483648,((c_TMAP1IN)-(c_TFWD))*(((K305)-(c_TFWD))*((c_TMAP1OUT)-(0))+IF(((c_TMAP1OUT)-(0))&gt;=0,1,-1)*QUOTIENT(((c_TMAP1IN)-(c_TFWD)),2)))&lt;0,-1,0),IF(IF(o_WRAP=1,MOD(((c_TMAP1IN)-(c_TFWD))*(((K305)-(c_TFWD))*((c_TMAP1OUT)-(0))+IF(((c_TMAP1OUT)-(0))&gt;=0,1,-1)*QUOTIENT(((c_TMAP1IN)-(c_TFWD)),2))+2147483648,4294967296)-2147483648,((c_TMAP1IN)-(c_TFWD))*(((K305)-(c_TFWD))*((c_TMAP1OUT)-(0))+IF(((c_TMAP1OUT)-(0))&gt;=0,1,-1)*QUOTIENT(((c_TMAP1IN)-(c_TFWD)),2)))&gt;=0,1,0)))</f>
        <v>655</v>
      </c>
      <c r="N305" s="7" t="n">
        <f aca="false">IF(((c_TMAP2IN)-(c_TMAP1IN))=0,(c_TMAP1OUT)+QUOTIENT(((c_TMAP2OUT)-(c_TMAP1OUT)),2),QUOTIENT((((K305)-(c_TMAP1IN))*((c_TMAP2OUT)-(c_TMAP1OUT))+IF(((c_TMAP2OUT)-(c_TMAP1OUT))&gt;=0,1,-1)*QUOTIENT(((c_TMAP2IN)-(c_TMAP1IN)),2)),((c_TMAP2IN)-(c_TMAP1IN)))+(c_TMAP1OUT)+IF(((c_TMAP2OUT)-(c_TMAP1OUT))&gt;=0,IF(IF(o_WRAP=1,MOD(((c_TMAP2IN)-(c_TMAP1IN))*(((K305)-(c_TMAP1IN))*((c_TMAP2OUT)-(c_TMAP1OUT))+IF(((c_TMAP2OUT)-(c_TMAP1OUT))&gt;=0,1,-1)*QUOTIENT(((c_TMAP2IN)-(c_TMAP1IN)),2))+2147483648,4294967296)-2147483648,((c_TMAP2IN)-(c_TMAP1IN))*(((K305)-(c_TMAP1IN))*((c_TMAP2OUT)-(c_TMAP1OUT))+IF(((c_TMAP2OUT)-(c_TMAP1OUT))&gt;=0,1,-1)*QUOTIENT(((c_TMAP2IN)-(c_TMAP1IN)),2)))&lt;0,-1,0),IF(IF(o_WRAP=1,MOD(((c_TMAP2IN)-(c_TMAP1IN))*(((K305)-(c_TMAP1IN))*((c_TMAP2OUT)-(c_TMAP1OUT))+IF(((c_TMAP2OUT)-(c_TMAP1OUT))&gt;=0,1,-1)*QUOTIENT(((c_TMAP2IN)-(c_TMAP1IN)),2))+2147483648,4294967296)-2147483648,((c_TMAP2IN)-(c_TMAP1IN))*(((K305)-(c_TMAP1IN))*((c_TMAP2OUT)-(c_TMAP1OUT))+IF(((c_TMAP2OUT)-(c_TMAP1OUT))&gt;=0,1,-1)*QUOTIENT(((c_TMAP2IN)-(c_TMAP1IN)),2)))&gt;=0,1,0)))</f>
        <v>371</v>
      </c>
      <c r="O305" s="7" t="n">
        <f aca="false">IF(((c_TMAP3IN)-(c_TMAP2IN))=0,(c_TMAP2OUT)+QUOTIENT(((c_TMAP3OUT)-(c_TMAP2OUT)),2),QUOTIENT((((K305)-(c_TMAP2IN))*((c_TMAP3OUT)-(c_TMAP2OUT))+IF(((c_TMAP3OUT)-(c_TMAP2OUT))&gt;=0,1,-1)*QUOTIENT(((c_TMAP3IN)-(c_TMAP2IN)),2)),((c_TMAP3IN)-(c_TMAP2IN)))+(c_TMAP2OUT)+IF(((c_TMAP3OUT)-(c_TMAP2OUT))&gt;=0,IF(IF(o_WRAP=1,MOD(((c_TMAP3IN)-(c_TMAP2IN))*(((K305)-(c_TMAP2IN))*((c_TMAP3OUT)-(c_TMAP2OUT))+IF(((c_TMAP3OUT)-(c_TMAP2OUT))&gt;=0,1,-1)*QUOTIENT(((c_TMAP3IN)-(c_TMAP2IN)),2))+2147483648,4294967296)-2147483648,((c_TMAP3IN)-(c_TMAP2IN))*(((K305)-(c_TMAP2IN))*((c_TMAP3OUT)-(c_TMAP2OUT))+IF(((c_TMAP3OUT)-(c_TMAP2OUT))&gt;=0,1,-1)*QUOTIENT(((c_TMAP3IN)-(c_TMAP2IN)),2)))&lt;0,-1,0),IF(IF(o_WRAP=1,MOD(((c_TMAP3IN)-(c_TMAP2IN))*(((K305)-(c_TMAP2IN))*((c_TMAP3OUT)-(c_TMAP2OUT))+IF(((c_TMAP3OUT)-(c_TMAP2OUT))&gt;=0,1,-1)*QUOTIENT(((c_TMAP3IN)-(c_TMAP2IN)),2))+2147483648,4294967296)-2147483648,((c_TMAP3IN)-(c_TMAP2IN))*(((K305)-(c_TMAP2IN))*((c_TMAP3OUT)-(c_TMAP2OUT))+IF(((c_TMAP3OUT)-(c_TMAP2OUT))&gt;=0,1,-1)*QUOTIENT(((c_TMAP3IN)-(c_TMAP2IN)),2)))&gt;=0,1,0)))</f>
        <v>551</v>
      </c>
      <c r="P305" s="7" t="n">
        <f aca="false">IF(((1000)-(c_TMAP3IN))=0,(c_TMAP3OUT)+QUOTIENT(((1000)-(c_TMAP3OUT)),2),QUOTIENT((((K305)-(c_TMAP3IN))*((1000)-(c_TMAP3OUT))+IF(((1000)-(c_TMAP3OUT))&gt;=0,1,-1)*QUOTIENT(((1000)-(c_TMAP3IN)),2)),((1000)-(c_TMAP3IN)))+(c_TMAP3OUT)+IF(((1000)-(c_TMAP3OUT))&gt;=0,IF(IF(o_WRAP=1,MOD(((1000)-(c_TMAP3IN))*(((K305)-(c_TMAP3IN))*((1000)-(c_TMAP3OUT))+IF(((1000)-(c_TMAP3OUT))&gt;=0,1,-1)*QUOTIENT(((1000)-(c_TMAP3IN)),2))+2147483648,4294967296)-2147483648,((1000)-(c_TMAP3IN))*(((K305)-(c_TMAP3IN))*((1000)-(c_TMAP3OUT))+IF(((1000)-(c_TMAP3OUT))&gt;=0,1,-1)*QUOTIENT(((1000)-(c_TMAP3IN)),2)))&lt;0,-1,0),IF(IF(o_WRAP=1,MOD(((1000)-(c_TMAP3IN))*(((K305)-(c_TMAP3IN))*((1000)-(c_TMAP3OUT))+IF(((1000)-(c_TMAP3OUT))&gt;=0,1,-1)*QUOTIENT(((1000)-(c_TMAP3IN)),2))+2147483648,4294967296)-2147483648,((1000)-(c_TMAP3IN))*(((K305)-(c_TMAP3IN))*((1000)-(c_TMAP3OUT))+IF(((1000)-(c_TMAP3OUT))&gt;=0,1,-1)*QUOTIENT(((1000)-(c_TMAP3IN)),2)))&gt;=0,1,0)))</f>
        <v>818</v>
      </c>
      <c r="Q305" s="7" t="str">
        <f aca="false">IF(K305&gt;=c_TFWD,IF(AND(K305&gt;=c_TMAP3IN,c_TMAP3IN&lt;1000),"Seg4 map3-100%",IF(AND(K305&gt;=c_TMAP2IN,c_TMAP3IN&gt;c_TMAP2IN),"Seg3 map2-map3",IF(AND(K305&gt;=c_TMAP1IN,c_TMAP2IN&gt;c_TMAP1IN),"Seg2 map1-map2","Seg1 TFWD-map1"))),IF(AND(K305=0,c_TCREEP&gt;0),"Creep",IF(AND(K305&lt;=c_TRNGMIN,K305&gt;=c_TRNGMAX,c_TRNGMIN-c_TRNGMAX&lt;&gt;0),"Regen ramp","Coast (0)")))</f>
        <v>Seg4 map3-100%</v>
      </c>
      <c r="R305" s="7" t="n">
        <f aca="false">IF(K305&gt;=c_TFWD,IF(AND(K305&gt;=c_TMAP3IN,c_TMAP3IN&lt;1000),P305,IF(AND(K305&gt;=c_TMAP2IN,c_TMAP3IN&gt;c_TMAP2IN),O305,IF(AND(K305&gt;=c_TMAP1IN,c_TMAP2IN&gt;c_TMAP1IN),N305,M305))),L305)</f>
        <v>818</v>
      </c>
      <c r="S305" s="7" t="str">
        <f aca="false">IF(R305&lt;-1090,"TOO LOW",IF(R305&gt;1090,"TOO HIGH",""))</f>
        <v/>
      </c>
      <c r="T305" s="15" t="n">
        <f aca="false">IF(H305&lt;&gt;"OK",0,IF(S305&lt;&gt;"",0,IF(R305&gt;979,1000,R305)))</f>
        <v>818</v>
      </c>
      <c r="U305" s="7" t="n">
        <f aca="false">T305/10</f>
        <v>81.8</v>
      </c>
    </row>
    <row r="306" customFormat="false" ht="15" hidden="false" customHeight="false" outlineLevel="0" collapsed="false">
      <c r="A306" s="7" t="n">
        <v>301</v>
      </c>
      <c r="B306" s="7" t="n">
        <f aca="false">ROUND(o_SWSTART+A306*(o_SWEND-o_SWSTART)/400,0)</f>
        <v>3081</v>
      </c>
      <c r="C306" s="7" t="n">
        <f aca="false">QUOTIENT((B306-c_OFF1)*c_GAIN1,1024)</f>
        <v>3081</v>
      </c>
      <c r="D306" s="7" t="n">
        <f aca="false">IF(((c_T1MX)-(c_T1MN))=0,(0)+QUOTIENT(((1000)-(0)),2),QUOTIENT((((C306)-(c_T1MN))*((1000)-(0))+IF(((1000)-(0))&gt;=0,1,-1)*QUOTIENT(((c_T1MX)-(c_T1MN)),2)),((c_T1MX)-(c_T1MN)))+(0)+IF(((1000)-(0))&gt;=0,IF(IF(o_WRAP=1,MOD(((c_T1MX)-(c_T1MN))*(((C306)-(c_T1MN))*((1000)-(0))+IF(((1000)-(0))&gt;=0,1,-1)*QUOTIENT(((c_T1MX)-(c_T1MN)),2))+2147483648,4294967296)-2147483648,((c_T1MX)-(c_T1MN))*(((C306)-(c_T1MN))*((1000)-(0))+IF(((1000)-(0))&gt;=0,1,-1)*QUOTIENT(((c_T1MX)-(c_T1MN)),2)))&lt;0,-1,0),IF(IF(o_WRAP=1,MOD(((c_T1MX)-(c_T1MN))*(((C306)-(c_T1MN))*((1000)-(0))+IF(((1000)-(0))&gt;=0,1,-1)*QUOTIENT(((c_T1MX)-(c_T1MN)),2))+2147483648,4294967296)-2147483648,((c_T1MX)-(c_T1MN))*(((C306)-(c_T1MN))*((1000)-(0))+IF(((1000)-(0))&gt;=0,1,-1)*QUOTIENT(((c_T1MX)-(c_T1MN)),2)))&gt;=0,1,0)))</f>
        <v>855</v>
      </c>
      <c r="E306" s="7" t="n">
        <f aca="false">IF(AND(c_TPOT=1,c_TTYPE=2),1000-D306,D306)</f>
        <v>855</v>
      </c>
      <c r="F306" s="7" t="str">
        <f aca="false">IF(c_TPOT&gt;1,ROUND(IF(c_TTYPE=2,c_T2MX-IF(c_T1MX=c_T1MN,0,(C306-c_T1MN)/(c_T1MX-c_T1MN))*(c_T2MX-c_T2MN),c_T2MN+IF(c_T1MX=c_T1MN,0,(C306-c_T1MN)/(c_T1MX-c_T1MN))*(c_T2MX-c_T2MN))+o_MISMATCH,0),"")</f>
        <v/>
      </c>
      <c r="G306" s="7" t="str">
        <f aca="false">IF(c_TPOT&gt;1,IF(((c_T2MX)-(c_T2MN))=0,(0)+QUOTIENT(((1000)-(0)),2),QUOTIENT((((F306)-(c_T2MN))*((1000)-(0))+IF(((1000)-(0))&gt;=0,1,-1)*QUOTIENT(((c_T2MX)-(c_T2MN)),2)),((c_T2MX)-(c_T2MN)))+(0)+IF(((1000)-(0))&gt;=0,IF(IF(o_WRAP=1,MOD(((c_T2MX)-(c_T2MN))*(((F306)-(c_T2MN))*((1000)-(0))+IF(((1000)-(0))&gt;=0,1,-1)*QUOTIENT(((c_T2MX)-(c_T2MN)),2))+2147483648,4294967296)-2147483648,((c_T2MX)-(c_T2MN))*(((F306)-(c_T2MN))*((1000)-(0))+IF(((1000)-(0))&gt;=0,1,-1)*QUOTIENT(((c_T2MX)-(c_T2MN)),2)))&lt;0,-1,0),IF(IF(o_WRAP=1,MOD(((c_T2MX)-(c_T2MN))*(((F306)-(c_T2MN))*((1000)-(0))+IF(((1000)-(0))&gt;=0,1,-1)*QUOTIENT(((c_T2MX)-(c_T2MN)),2))+2147483648,4294967296)-2147483648,((c_T2MX)-(c_T2MN))*(((F306)-(c_T2MN))*((1000)-(0))+IF(((1000)-(0))&gt;=0,1,-1)*QUOTIENT(((c_T2MX)-(c_T2MN)),2)))&gt;=0,1,0))),"")</f>
        <v/>
      </c>
      <c r="H306" s="7" t="str">
        <f aca="false">IF(E306&gt;1000+k_TOL,"T1 HIGH",IF(E306&lt;0-k_TOL,"T1 LOW",IF(c_TPOT&gt;1,IF(G306&gt;1000+k_TOL,"T2 HIGH",IF(G306&lt;0-k_TOL,"T2 LOW",IF(c_TTYPE=2,IF(ABS(1000-MAX(0,MIN(1000,E306))-MAX(0,MIN(1000,G306)))&gt;k_MAXERR,"MISMATCH","OK"),IF(OR(MAX(0,MIN(1000,E306))-k_MAXERR&gt;MAX(0,MIN(1000,G306)),MAX(0,MIN(1000,G306))-k_MAXERR&gt;MAX(0,MIN(1000,E306))),"MISMATCH","OK")))),"OK")))</f>
        <v>OK</v>
      </c>
      <c r="I306" s="7" t="n">
        <f aca="false">MAX(0,MIN(1000,D306))</f>
        <v>855</v>
      </c>
      <c r="J306" s="7" t="str">
        <f aca="false">IF(c_TPOT&gt;1,IF(c_TTYPE=2,1000-MAX(0,MIN(1000,G306)),MAX(0,MIN(1000,G306))),"")</f>
        <v/>
      </c>
      <c r="K306" s="7" t="n">
        <f aca="false">IF(c_TPOT&gt;1,QUOTIENT(I306+J306,2),I306)</f>
        <v>855</v>
      </c>
      <c r="L306" s="7" t="n">
        <f aca="false">IF(AND(K306=0,c_TCREEP&gt;0),10*c_TCREEP,IF(AND(K306&lt;=c_TRNGMIN,K306&gt;=c_TRNGMAX,c_TRNGMIN-c_TRNGMAX&lt;&gt;0),-10*c_TMINRN+QUOTIENT((c_TMAXRN-c_TMINRN)*(100-QUOTIENT((K306-c_TRNGMAX)*100,c_TRNGMIN-c_TRNGMAX)),-10),0))</f>
        <v>0</v>
      </c>
      <c r="M306" s="7" t="n">
        <f aca="false">IF(((c_TMAP1IN)-(c_TFWD))=0,(0)+QUOTIENT(((c_TMAP1OUT)-(0)),2),QUOTIENT((((K306)-(c_TFWD))*((c_TMAP1OUT)-(0))+IF(((c_TMAP1OUT)-(0))&gt;=0,1,-1)*QUOTIENT(((c_TMAP1IN)-(c_TFWD)),2)),((c_TMAP1IN)-(c_TFWD)))+(0)+IF(((c_TMAP1OUT)-(0))&gt;=0,IF(IF(o_WRAP=1,MOD(((c_TMAP1IN)-(c_TFWD))*(((K306)-(c_TFWD))*((c_TMAP1OUT)-(0))+IF(((c_TMAP1OUT)-(0))&gt;=0,1,-1)*QUOTIENT(((c_TMAP1IN)-(c_TFWD)),2))+2147483648,4294967296)-2147483648,((c_TMAP1IN)-(c_TFWD))*(((K306)-(c_TFWD))*((c_TMAP1OUT)-(0))+IF(((c_TMAP1OUT)-(0))&gt;=0,1,-1)*QUOTIENT(((c_TMAP1IN)-(c_TFWD)),2)))&lt;0,-1,0),IF(IF(o_WRAP=1,MOD(((c_TMAP1IN)-(c_TFWD))*(((K306)-(c_TFWD))*((c_TMAP1OUT)-(0))+IF(((c_TMAP1OUT)-(0))&gt;=0,1,-1)*QUOTIENT(((c_TMAP1IN)-(c_TFWD)),2))+2147483648,4294967296)-2147483648,((c_TMAP1IN)-(c_TFWD))*(((K306)-(c_TFWD))*((c_TMAP1OUT)-(0))+IF(((c_TMAP1OUT)-(0))&gt;=0,1,-1)*QUOTIENT(((c_TMAP1IN)-(c_TFWD)),2)))&gt;=0,1,0)))</f>
        <v>657</v>
      </c>
      <c r="N306" s="7" t="n">
        <f aca="false">IF(((c_TMAP2IN)-(c_TMAP1IN))=0,(c_TMAP1OUT)+QUOTIENT(((c_TMAP2OUT)-(c_TMAP1OUT)),2),QUOTIENT((((K306)-(c_TMAP1IN))*((c_TMAP2OUT)-(c_TMAP1OUT))+IF(((c_TMAP2OUT)-(c_TMAP1OUT))&gt;=0,1,-1)*QUOTIENT(((c_TMAP2IN)-(c_TMAP1IN)),2)),((c_TMAP2IN)-(c_TMAP1IN)))+(c_TMAP1OUT)+IF(((c_TMAP2OUT)-(c_TMAP1OUT))&gt;=0,IF(IF(o_WRAP=1,MOD(((c_TMAP2IN)-(c_TMAP1IN))*(((K306)-(c_TMAP1IN))*((c_TMAP2OUT)-(c_TMAP1OUT))+IF(((c_TMAP2OUT)-(c_TMAP1OUT))&gt;=0,1,-1)*QUOTIENT(((c_TMAP2IN)-(c_TMAP1IN)),2))+2147483648,4294967296)-2147483648,((c_TMAP2IN)-(c_TMAP1IN))*(((K306)-(c_TMAP1IN))*((c_TMAP2OUT)-(c_TMAP1OUT))+IF(((c_TMAP2OUT)-(c_TMAP1OUT))&gt;=0,1,-1)*QUOTIENT(((c_TMAP2IN)-(c_TMAP1IN)),2)))&lt;0,-1,0),IF(IF(o_WRAP=1,MOD(((c_TMAP2IN)-(c_TMAP1IN))*(((K306)-(c_TMAP1IN))*((c_TMAP2OUT)-(c_TMAP1OUT))+IF(((c_TMAP2OUT)-(c_TMAP1OUT))&gt;=0,1,-1)*QUOTIENT(((c_TMAP2IN)-(c_TMAP1IN)),2))+2147483648,4294967296)-2147483648,((c_TMAP2IN)-(c_TMAP1IN))*(((K306)-(c_TMAP1IN))*((c_TMAP2OUT)-(c_TMAP1OUT))+IF(((c_TMAP2OUT)-(c_TMAP1OUT))&gt;=0,1,-1)*QUOTIENT(((c_TMAP2IN)-(c_TMAP1IN)),2)))&gt;=0,1,0)))</f>
        <v>372</v>
      </c>
      <c r="O306" s="7" t="n">
        <f aca="false">IF(((c_TMAP3IN)-(c_TMAP2IN))=0,(c_TMAP2OUT)+QUOTIENT(((c_TMAP3OUT)-(c_TMAP2OUT)),2),QUOTIENT((((K306)-(c_TMAP2IN))*((c_TMAP3OUT)-(c_TMAP2OUT))+IF(((c_TMAP3OUT)-(c_TMAP2OUT))&gt;=0,1,-1)*QUOTIENT(((c_TMAP3IN)-(c_TMAP2IN)),2)),((c_TMAP3IN)-(c_TMAP2IN)))+(c_TMAP2OUT)+IF(((c_TMAP3OUT)-(c_TMAP2OUT))&gt;=0,IF(IF(o_WRAP=1,MOD(((c_TMAP3IN)-(c_TMAP2IN))*(((K306)-(c_TMAP2IN))*((c_TMAP3OUT)-(c_TMAP2OUT))+IF(((c_TMAP3OUT)-(c_TMAP2OUT))&gt;=0,1,-1)*QUOTIENT(((c_TMAP3IN)-(c_TMAP2IN)),2))+2147483648,4294967296)-2147483648,((c_TMAP3IN)-(c_TMAP2IN))*(((K306)-(c_TMAP2IN))*((c_TMAP3OUT)-(c_TMAP2OUT))+IF(((c_TMAP3OUT)-(c_TMAP2OUT))&gt;=0,1,-1)*QUOTIENT(((c_TMAP3IN)-(c_TMAP2IN)),2)))&lt;0,-1,0),IF(IF(o_WRAP=1,MOD(((c_TMAP3IN)-(c_TMAP2IN))*(((K306)-(c_TMAP2IN))*((c_TMAP3OUT)-(c_TMAP2OUT))+IF(((c_TMAP3OUT)-(c_TMAP2OUT))&gt;=0,1,-1)*QUOTIENT(((c_TMAP3IN)-(c_TMAP2IN)),2))+2147483648,4294967296)-2147483648,((c_TMAP3IN)-(c_TMAP2IN))*(((K306)-(c_TMAP2IN))*((c_TMAP3OUT)-(c_TMAP2OUT))+IF(((c_TMAP3OUT)-(c_TMAP2OUT))&gt;=0,1,-1)*QUOTIENT(((c_TMAP3IN)-(c_TMAP2IN)),2)))&gt;=0,1,0)))</f>
        <v>554</v>
      </c>
      <c r="P306" s="7" t="n">
        <f aca="false">IF(((1000)-(c_TMAP3IN))=0,(c_TMAP3OUT)+QUOTIENT(((1000)-(c_TMAP3OUT)),2),QUOTIENT((((K306)-(c_TMAP3IN))*((1000)-(c_TMAP3OUT))+IF(((1000)-(c_TMAP3OUT))&gt;=0,1,-1)*QUOTIENT(((1000)-(c_TMAP3IN)),2)),((1000)-(c_TMAP3IN)))+(c_TMAP3OUT)+IF(((1000)-(c_TMAP3OUT))&gt;=0,IF(IF(o_WRAP=1,MOD(((1000)-(c_TMAP3IN))*(((K306)-(c_TMAP3IN))*((1000)-(c_TMAP3OUT))+IF(((1000)-(c_TMAP3OUT))&gt;=0,1,-1)*QUOTIENT(((1000)-(c_TMAP3IN)),2))+2147483648,4294967296)-2147483648,((1000)-(c_TMAP3IN))*(((K306)-(c_TMAP3IN))*((1000)-(c_TMAP3OUT))+IF(((1000)-(c_TMAP3OUT))&gt;=0,1,-1)*QUOTIENT(((1000)-(c_TMAP3IN)),2)))&lt;0,-1,0),IF(IF(o_WRAP=1,MOD(((1000)-(c_TMAP3IN))*(((K306)-(c_TMAP3IN))*((1000)-(c_TMAP3OUT))+IF(((1000)-(c_TMAP3OUT))&gt;=0,1,-1)*QUOTIENT(((1000)-(c_TMAP3IN)),2))+2147483648,4294967296)-2147483648,((1000)-(c_TMAP3IN))*(((K306)-(c_TMAP3IN))*((1000)-(c_TMAP3OUT))+IF(((1000)-(c_TMAP3OUT))&gt;=0,1,-1)*QUOTIENT(((1000)-(c_TMAP3IN)),2)))&gt;=0,1,0)))</f>
        <v>822</v>
      </c>
      <c r="Q306" s="7" t="str">
        <f aca="false">IF(K306&gt;=c_TFWD,IF(AND(K306&gt;=c_TMAP3IN,c_TMAP3IN&lt;1000),"Seg4 map3-100%",IF(AND(K306&gt;=c_TMAP2IN,c_TMAP3IN&gt;c_TMAP2IN),"Seg3 map2-map3",IF(AND(K306&gt;=c_TMAP1IN,c_TMAP2IN&gt;c_TMAP1IN),"Seg2 map1-map2","Seg1 TFWD-map1"))),IF(AND(K306=0,c_TCREEP&gt;0),"Creep",IF(AND(K306&lt;=c_TRNGMIN,K306&gt;=c_TRNGMAX,c_TRNGMIN-c_TRNGMAX&lt;&gt;0),"Regen ramp","Coast (0)")))</f>
        <v>Seg4 map3-100%</v>
      </c>
      <c r="R306" s="7" t="n">
        <f aca="false">IF(K306&gt;=c_TFWD,IF(AND(K306&gt;=c_TMAP3IN,c_TMAP3IN&lt;1000),P306,IF(AND(K306&gt;=c_TMAP2IN,c_TMAP3IN&gt;c_TMAP2IN),O306,IF(AND(K306&gt;=c_TMAP1IN,c_TMAP2IN&gt;c_TMAP1IN),N306,M306))),L306)</f>
        <v>822</v>
      </c>
      <c r="S306" s="7" t="str">
        <f aca="false">IF(R306&lt;-1090,"TOO LOW",IF(R306&gt;1090,"TOO HIGH",""))</f>
        <v/>
      </c>
      <c r="T306" s="15" t="n">
        <f aca="false">IF(H306&lt;&gt;"OK",0,IF(S306&lt;&gt;"",0,IF(R306&gt;979,1000,R306)))</f>
        <v>822</v>
      </c>
      <c r="U306" s="7" t="n">
        <f aca="false">T306/10</f>
        <v>82.2</v>
      </c>
    </row>
    <row r="307" customFormat="false" ht="15" hidden="false" customHeight="false" outlineLevel="0" collapsed="false">
      <c r="A307" s="7" t="n">
        <v>302</v>
      </c>
      <c r="B307" s="7" t="n">
        <f aca="false">ROUND(o_SWSTART+A307*(o_SWEND-o_SWSTART)/400,0)</f>
        <v>3092</v>
      </c>
      <c r="C307" s="7" t="n">
        <f aca="false">QUOTIENT((B307-c_OFF1)*c_GAIN1,1024)</f>
        <v>3092</v>
      </c>
      <c r="D307" s="7" t="n">
        <f aca="false">IF(((c_T1MX)-(c_T1MN))=0,(0)+QUOTIENT(((1000)-(0)),2),QUOTIENT((((C307)-(c_T1MN))*((1000)-(0))+IF(((1000)-(0))&gt;=0,1,-1)*QUOTIENT(((c_T1MX)-(c_T1MN)),2)),((c_T1MX)-(c_T1MN)))+(0)+IF(((1000)-(0))&gt;=0,IF(IF(o_WRAP=1,MOD(((c_T1MX)-(c_T1MN))*(((C307)-(c_T1MN))*((1000)-(0))+IF(((1000)-(0))&gt;=0,1,-1)*QUOTIENT(((c_T1MX)-(c_T1MN)),2))+2147483648,4294967296)-2147483648,((c_T1MX)-(c_T1MN))*(((C307)-(c_T1MN))*((1000)-(0))+IF(((1000)-(0))&gt;=0,1,-1)*QUOTIENT(((c_T1MX)-(c_T1MN)),2)))&lt;0,-1,0),IF(IF(o_WRAP=1,MOD(((c_T1MX)-(c_T1MN))*(((C307)-(c_T1MN))*((1000)-(0))+IF(((1000)-(0))&gt;=0,1,-1)*QUOTIENT(((c_T1MX)-(c_T1MN)),2))+2147483648,4294967296)-2147483648,((c_T1MX)-(c_T1MN))*(((C307)-(c_T1MN))*((1000)-(0))+IF(((1000)-(0))&gt;=0,1,-1)*QUOTIENT(((c_T1MX)-(c_T1MN)),2)))&gt;=0,1,0)))</f>
        <v>859</v>
      </c>
      <c r="E307" s="7" t="n">
        <f aca="false">IF(AND(c_TPOT=1,c_TTYPE=2),1000-D307,D307)</f>
        <v>859</v>
      </c>
      <c r="F307" s="7" t="str">
        <f aca="false">IF(c_TPOT&gt;1,ROUND(IF(c_TTYPE=2,c_T2MX-IF(c_T1MX=c_T1MN,0,(C307-c_T1MN)/(c_T1MX-c_T1MN))*(c_T2MX-c_T2MN),c_T2MN+IF(c_T1MX=c_T1MN,0,(C307-c_T1MN)/(c_T1MX-c_T1MN))*(c_T2MX-c_T2MN))+o_MISMATCH,0),"")</f>
        <v/>
      </c>
      <c r="G307" s="7" t="str">
        <f aca="false">IF(c_TPOT&gt;1,IF(((c_T2MX)-(c_T2MN))=0,(0)+QUOTIENT(((1000)-(0)),2),QUOTIENT((((F307)-(c_T2MN))*((1000)-(0))+IF(((1000)-(0))&gt;=0,1,-1)*QUOTIENT(((c_T2MX)-(c_T2MN)),2)),((c_T2MX)-(c_T2MN)))+(0)+IF(((1000)-(0))&gt;=0,IF(IF(o_WRAP=1,MOD(((c_T2MX)-(c_T2MN))*(((F307)-(c_T2MN))*((1000)-(0))+IF(((1000)-(0))&gt;=0,1,-1)*QUOTIENT(((c_T2MX)-(c_T2MN)),2))+2147483648,4294967296)-2147483648,((c_T2MX)-(c_T2MN))*(((F307)-(c_T2MN))*((1000)-(0))+IF(((1000)-(0))&gt;=0,1,-1)*QUOTIENT(((c_T2MX)-(c_T2MN)),2)))&lt;0,-1,0),IF(IF(o_WRAP=1,MOD(((c_T2MX)-(c_T2MN))*(((F307)-(c_T2MN))*((1000)-(0))+IF(((1000)-(0))&gt;=0,1,-1)*QUOTIENT(((c_T2MX)-(c_T2MN)),2))+2147483648,4294967296)-2147483648,((c_T2MX)-(c_T2MN))*(((F307)-(c_T2MN))*((1000)-(0))+IF(((1000)-(0))&gt;=0,1,-1)*QUOTIENT(((c_T2MX)-(c_T2MN)),2)))&gt;=0,1,0))),"")</f>
        <v/>
      </c>
      <c r="H307" s="7" t="str">
        <f aca="false">IF(E307&gt;1000+k_TOL,"T1 HIGH",IF(E307&lt;0-k_TOL,"T1 LOW",IF(c_TPOT&gt;1,IF(G307&gt;1000+k_TOL,"T2 HIGH",IF(G307&lt;0-k_TOL,"T2 LOW",IF(c_TTYPE=2,IF(ABS(1000-MAX(0,MIN(1000,E307))-MAX(0,MIN(1000,G307)))&gt;k_MAXERR,"MISMATCH","OK"),IF(OR(MAX(0,MIN(1000,E307))-k_MAXERR&gt;MAX(0,MIN(1000,G307)),MAX(0,MIN(1000,G307))-k_MAXERR&gt;MAX(0,MIN(1000,E307))),"MISMATCH","OK")))),"OK")))</f>
        <v>OK</v>
      </c>
      <c r="I307" s="7" t="n">
        <f aca="false">MAX(0,MIN(1000,D307))</f>
        <v>859</v>
      </c>
      <c r="J307" s="7" t="str">
        <f aca="false">IF(c_TPOT&gt;1,IF(c_TTYPE=2,1000-MAX(0,MIN(1000,G307)),MAX(0,MIN(1000,G307))),"")</f>
        <v/>
      </c>
      <c r="K307" s="7" t="n">
        <f aca="false">IF(c_TPOT&gt;1,QUOTIENT(I307+J307,2),I307)</f>
        <v>859</v>
      </c>
      <c r="L307" s="7" t="n">
        <f aca="false">IF(AND(K307=0,c_TCREEP&gt;0),10*c_TCREEP,IF(AND(K307&lt;=c_TRNGMIN,K307&gt;=c_TRNGMAX,c_TRNGMIN-c_TRNGMAX&lt;&gt;0),-10*c_TMINRN+QUOTIENT((c_TMAXRN-c_TMINRN)*(100-QUOTIENT((K307-c_TRNGMAX)*100,c_TRNGMIN-c_TRNGMAX)),-10),0))</f>
        <v>0</v>
      </c>
      <c r="M307" s="7" t="n">
        <f aca="false">IF(((c_TMAP1IN)-(c_TFWD))=0,(0)+QUOTIENT(((c_TMAP1OUT)-(0)),2),QUOTIENT((((K307)-(c_TFWD))*((c_TMAP1OUT)-(0))+IF(((c_TMAP1OUT)-(0))&gt;=0,1,-1)*QUOTIENT(((c_TMAP1IN)-(c_TFWD)),2)),((c_TMAP1IN)-(c_TFWD)))+(0)+IF(((c_TMAP1OUT)-(0))&gt;=0,IF(IF(o_WRAP=1,MOD(((c_TMAP1IN)-(c_TFWD))*(((K307)-(c_TFWD))*((c_TMAP1OUT)-(0))+IF(((c_TMAP1OUT)-(0))&gt;=0,1,-1)*QUOTIENT(((c_TMAP1IN)-(c_TFWD)),2))+2147483648,4294967296)-2147483648,((c_TMAP1IN)-(c_TFWD))*(((K307)-(c_TFWD))*((c_TMAP1OUT)-(0))+IF(((c_TMAP1OUT)-(0))&gt;=0,1,-1)*QUOTIENT(((c_TMAP1IN)-(c_TFWD)),2)))&lt;0,-1,0),IF(IF(o_WRAP=1,MOD(((c_TMAP1IN)-(c_TFWD))*(((K307)-(c_TFWD))*((c_TMAP1OUT)-(0))+IF(((c_TMAP1OUT)-(0))&gt;=0,1,-1)*QUOTIENT(((c_TMAP1IN)-(c_TFWD)),2))+2147483648,4294967296)-2147483648,((c_TMAP1IN)-(c_TFWD))*(((K307)-(c_TFWD))*((c_TMAP1OUT)-(0))+IF(((c_TMAP1OUT)-(0))&gt;=0,1,-1)*QUOTIENT(((c_TMAP1IN)-(c_TFWD)),2)))&gt;=0,1,0)))</f>
        <v>660</v>
      </c>
      <c r="N307" s="7" t="n">
        <f aca="false">IF(((c_TMAP2IN)-(c_TMAP1IN))=0,(c_TMAP1OUT)+QUOTIENT(((c_TMAP2OUT)-(c_TMAP1OUT)),2),QUOTIENT((((K307)-(c_TMAP1IN))*((c_TMAP2OUT)-(c_TMAP1OUT))+IF(((c_TMAP2OUT)-(c_TMAP1OUT))&gt;=0,1,-1)*QUOTIENT(((c_TMAP2IN)-(c_TMAP1IN)),2)),((c_TMAP2IN)-(c_TMAP1IN)))+(c_TMAP1OUT)+IF(((c_TMAP2OUT)-(c_TMAP1OUT))&gt;=0,IF(IF(o_WRAP=1,MOD(((c_TMAP2IN)-(c_TMAP1IN))*(((K307)-(c_TMAP1IN))*((c_TMAP2OUT)-(c_TMAP1OUT))+IF(((c_TMAP2OUT)-(c_TMAP1OUT))&gt;=0,1,-1)*QUOTIENT(((c_TMAP2IN)-(c_TMAP1IN)),2))+2147483648,4294967296)-2147483648,((c_TMAP2IN)-(c_TMAP1IN))*(((K307)-(c_TMAP1IN))*((c_TMAP2OUT)-(c_TMAP1OUT))+IF(((c_TMAP2OUT)-(c_TMAP1OUT))&gt;=0,1,-1)*QUOTIENT(((c_TMAP2IN)-(c_TMAP1IN)),2)))&lt;0,-1,0),IF(IF(o_WRAP=1,MOD(((c_TMAP2IN)-(c_TMAP1IN))*(((K307)-(c_TMAP1IN))*((c_TMAP2OUT)-(c_TMAP1OUT))+IF(((c_TMAP2OUT)-(c_TMAP1OUT))&gt;=0,1,-1)*QUOTIENT(((c_TMAP2IN)-(c_TMAP1IN)),2))+2147483648,4294967296)-2147483648,((c_TMAP2IN)-(c_TMAP1IN))*(((K307)-(c_TMAP1IN))*((c_TMAP2OUT)-(c_TMAP1OUT))+IF(((c_TMAP2OUT)-(c_TMAP1OUT))&gt;=0,1,-1)*QUOTIENT(((c_TMAP2IN)-(c_TMAP1IN)),2)))&gt;=0,1,0)))</f>
        <v>374</v>
      </c>
      <c r="O307" s="7" t="n">
        <f aca="false">IF(((c_TMAP3IN)-(c_TMAP2IN))=0,(c_TMAP2OUT)+QUOTIENT(((c_TMAP3OUT)-(c_TMAP2OUT)),2),QUOTIENT((((K307)-(c_TMAP2IN))*((c_TMAP3OUT)-(c_TMAP2OUT))+IF(((c_TMAP3OUT)-(c_TMAP2OUT))&gt;=0,1,-1)*QUOTIENT(((c_TMAP3IN)-(c_TMAP2IN)),2)),((c_TMAP3IN)-(c_TMAP2IN)))+(c_TMAP2OUT)+IF(((c_TMAP3OUT)-(c_TMAP2OUT))&gt;=0,IF(IF(o_WRAP=1,MOD(((c_TMAP3IN)-(c_TMAP2IN))*(((K307)-(c_TMAP2IN))*((c_TMAP3OUT)-(c_TMAP2OUT))+IF(((c_TMAP3OUT)-(c_TMAP2OUT))&gt;=0,1,-1)*QUOTIENT(((c_TMAP3IN)-(c_TMAP2IN)),2))+2147483648,4294967296)-2147483648,((c_TMAP3IN)-(c_TMAP2IN))*(((K307)-(c_TMAP2IN))*((c_TMAP3OUT)-(c_TMAP2OUT))+IF(((c_TMAP3OUT)-(c_TMAP2OUT))&gt;=0,1,-1)*QUOTIENT(((c_TMAP3IN)-(c_TMAP2IN)),2)))&lt;0,-1,0),IF(IF(o_WRAP=1,MOD(((c_TMAP3IN)-(c_TMAP2IN))*(((K307)-(c_TMAP2IN))*((c_TMAP3OUT)-(c_TMAP2OUT))+IF(((c_TMAP3OUT)-(c_TMAP2OUT))&gt;=0,1,-1)*QUOTIENT(((c_TMAP3IN)-(c_TMAP2IN)),2))+2147483648,4294967296)-2147483648,((c_TMAP3IN)-(c_TMAP2IN))*(((K307)-(c_TMAP2IN))*((c_TMAP3OUT)-(c_TMAP2OUT))+IF(((c_TMAP3OUT)-(c_TMAP2OUT))&gt;=0,1,-1)*QUOTIENT(((c_TMAP3IN)-(c_TMAP2IN)),2)))&gt;=0,1,0)))</f>
        <v>556</v>
      </c>
      <c r="P307" s="7" t="n">
        <f aca="false">IF(((1000)-(c_TMAP3IN))=0,(c_TMAP3OUT)+QUOTIENT(((1000)-(c_TMAP3OUT)),2),QUOTIENT((((K307)-(c_TMAP3IN))*((1000)-(c_TMAP3OUT))+IF(((1000)-(c_TMAP3OUT))&gt;=0,1,-1)*QUOTIENT(((1000)-(c_TMAP3IN)),2)),((1000)-(c_TMAP3IN)))+(c_TMAP3OUT)+IF(((1000)-(c_TMAP3OUT))&gt;=0,IF(IF(o_WRAP=1,MOD(((1000)-(c_TMAP3IN))*(((K307)-(c_TMAP3IN))*((1000)-(c_TMAP3OUT))+IF(((1000)-(c_TMAP3OUT))&gt;=0,1,-1)*QUOTIENT(((1000)-(c_TMAP3IN)),2))+2147483648,4294967296)-2147483648,((1000)-(c_TMAP3IN))*(((K307)-(c_TMAP3IN))*((1000)-(c_TMAP3OUT))+IF(((1000)-(c_TMAP3OUT))&gt;=0,1,-1)*QUOTIENT(((1000)-(c_TMAP3IN)),2)))&lt;0,-1,0),IF(IF(o_WRAP=1,MOD(((1000)-(c_TMAP3IN))*(((K307)-(c_TMAP3IN))*((1000)-(c_TMAP3OUT))+IF(((1000)-(c_TMAP3OUT))&gt;=0,1,-1)*QUOTIENT(((1000)-(c_TMAP3IN)),2))+2147483648,4294967296)-2147483648,((1000)-(c_TMAP3IN))*(((K307)-(c_TMAP3IN))*((1000)-(c_TMAP3OUT))+IF(((1000)-(c_TMAP3OUT))&gt;=0,1,-1)*QUOTIENT(((1000)-(c_TMAP3IN)),2)))&gt;=0,1,0)))</f>
        <v>826</v>
      </c>
      <c r="Q307" s="7" t="str">
        <f aca="false">IF(K307&gt;=c_TFWD,IF(AND(K307&gt;=c_TMAP3IN,c_TMAP3IN&lt;1000),"Seg4 map3-100%",IF(AND(K307&gt;=c_TMAP2IN,c_TMAP3IN&gt;c_TMAP2IN),"Seg3 map2-map3",IF(AND(K307&gt;=c_TMAP1IN,c_TMAP2IN&gt;c_TMAP1IN),"Seg2 map1-map2","Seg1 TFWD-map1"))),IF(AND(K307=0,c_TCREEP&gt;0),"Creep",IF(AND(K307&lt;=c_TRNGMIN,K307&gt;=c_TRNGMAX,c_TRNGMIN-c_TRNGMAX&lt;&gt;0),"Regen ramp","Coast (0)")))</f>
        <v>Seg4 map3-100%</v>
      </c>
      <c r="R307" s="7" t="n">
        <f aca="false">IF(K307&gt;=c_TFWD,IF(AND(K307&gt;=c_TMAP3IN,c_TMAP3IN&lt;1000),P307,IF(AND(K307&gt;=c_TMAP2IN,c_TMAP3IN&gt;c_TMAP2IN),O307,IF(AND(K307&gt;=c_TMAP1IN,c_TMAP2IN&gt;c_TMAP1IN),N307,M307))),L307)</f>
        <v>826</v>
      </c>
      <c r="S307" s="7" t="str">
        <f aca="false">IF(R307&lt;-1090,"TOO LOW",IF(R307&gt;1090,"TOO HIGH",""))</f>
        <v/>
      </c>
      <c r="T307" s="15" t="n">
        <f aca="false">IF(H307&lt;&gt;"OK",0,IF(S307&lt;&gt;"",0,IF(R307&gt;979,1000,R307)))</f>
        <v>826</v>
      </c>
      <c r="U307" s="7" t="n">
        <f aca="false">T307/10</f>
        <v>82.6</v>
      </c>
    </row>
    <row r="308" customFormat="false" ht="15" hidden="false" customHeight="false" outlineLevel="0" collapsed="false">
      <c r="A308" s="7" t="n">
        <v>303</v>
      </c>
      <c r="B308" s="7" t="n">
        <f aca="false">ROUND(o_SWSTART+A308*(o_SWEND-o_SWSTART)/400,0)</f>
        <v>3102</v>
      </c>
      <c r="C308" s="7" t="n">
        <f aca="false">QUOTIENT((B308-c_OFF1)*c_GAIN1,1024)</f>
        <v>3102</v>
      </c>
      <c r="D308" s="7" t="n">
        <f aca="false">IF(((c_T1MX)-(c_T1MN))=0,(0)+QUOTIENT(((1000)-(0)),2),QUOTIENT((((C308)-(c_T1MN))*((1000)-(0))+IF(((1000)-(0))&gt;=0,1,-1)*QUOTIENT(((c_T1MX)-(c_T1MN)),2)),((c_T1MX)-(c_T1MN)))+(0)+IF(((1000)-(0))&gt;=0,IF(IF(o_WRAP=1,MOD(((c_T1MX)-(c_T1MN))*(((C308)-(c_T1MN))*((1000)-(0))+IF(((1000)-(0))&gt;=0,1,-1)*QUOTIENT(((c_T1MX)-(c_T1MN)),2))+2147483648,4294967296)-2147483648,((c_T1MX)-(c_T1MN))*(((C308)-(c_T1MN))*((1000)-(0))+IF(((1000)-(0))&gt;=0,1,-1)*QUOTIENT(((c_T1MX)-(c_T1MN)),2)))&lt;0,-1,0),IF(IF(o_WRAP=1,MOD(((c_T1MX)-(c_T1MN))*(((C308)-(c_T1MN))*((1000)-(0))+IF(((1000)-(0))&gt;=0,1,-1)*QUOTIENT(((c_T1MX)-(c_T1MN)),2))+2147483648,4294967296)-2147483648,((c_T1MX)-(c_T1MN))*(((C308)-(c_T1MN))*((1000)-(0))+IF(((1000)-(0))&gt;=0,1,-1)*QUOTIENT(((c_T1MX)-(c_T1MN)),2)))&gt;=0,1,0)))</f>
        <v>863</v>
      </c>
      <c r="E308" s="7" t="n">
        <f aca="false">IF(AND(c_TPOT=1,c_TTYPE=2),1000-D308,D308)</f>
        <v>863</v>
      </c>
      <c r="F308" s="7" t="str">
        <f aca="false">IF(c_TPOT&gt;1,ROUND(IF(c_TTYPE=2,c_T2MX-IF(c_T1MX=c_T1MN,0,(C308-c_T1MN)/(c_T1MX-c_T1MN))*(c_T2MX-c_T2MN),c_T2MN+IF(c_T1MX=c_T1MN,0,(C308-c_T1MN)/(c_T1MX-c_T1MN))*(c_T2MX-c_T2MN))+o_MISMATCH,0),"")</f>
        <v/>
      </c>
      <c r="G308" s="7" t="str">
        <f aca="false">IF(c_TPOT&gt;1,IF(((c_T2MX)-(c_T2MN))=0,(0)+QUOTIENT(((1000)-(0)),2),QUOTIENT((((F308)-(c_T2MN))*((1000)-(0))+IF(((1000)-(0))&gt;=0,1,-1)*QUOTIENT(((c_T2MX)-(c_T2MN)),2)),((c_T2MX)-(c_T2MN)))+(0)+IF(((1000)-(0))&gt;=0,IF(IF(o_WRAP=1,MOD(((c_T2MX)-(c_T2MN))*(((F308)-(c_T2MN))*((1000)-(0))+IF(((1000)-(0))&gt;=0,1,-1)*QUOTIENT(((c_T2MX)-(c_T2MN)),2))+2147483648,4294967296)-2147483648,((c_T2MX)-(c_T2MN))*(((F308)-(c_T2MN))*((1000)-(0))+IF(((1000)-(0))&gt;=0,1,-1)*QUOTIENT(((c_T2MX)-(c_T2MN)),2)))&lt;0,-1,0),IF(IF(o_WRAP=1,MOD(((c_T2MX)-(c_T2MN))*(((F308)-(c_T2MN))*((1000)-(0))+IF(((1000)-(0))&gt;=0,1,-1)*QUOTIENT(((c_T2MX)-(c_T2MN)),2))+2147483648,4294967296)-2147483648,((c_T2MX)-(c_T2MN))*(((F308)-(c_T2MN))*((1000)-(0))+IF(((1000)-(0))&gt;=0,1,-1)*QUOTIENT(((c_T2MX)-(c_T2MN)),2)))&gt;=0,1,0))),"")</f>
        <v/>
      </c>
      <c r="H308" s="7" t="str">
        <f aca="false">IF(E308&gt;1000+k_TOL,"T1 HIGH",IF(E308&lt;0-k_TOL,"T1 LOW",IF(c_TPOT&gt;1,IF(G308&gt;1000+k_TOL,"T2 HIGH",IF(G308&lt;0-k_TOL,"T2 LOW",IF(c_TTYPE=2,IF(ABS(1000-MAX(0,MIN(1000,E308))-MAX(0,MIN(1000,G308)))&gt;k_MAXERR,"MISMATCH","OK"),IF(OR(MAX(0,MIN(1000,E308))-k_MAXERR&gt;MAX(0,MIN(1000,G308)),MAX(0,MIN(1000,G308))-k_MAXERR&gt;MAX(0,MIN(1000,E308))),"MISMATCH","OK")))),"OK")))</f>
        <v>OK</v>
      </c>
      <c r="I308" s="7" t="n">
        <f aca="false">MAX(0,MIN(1000,D308))</f>
        <v>863</v>
      </c>
      <c r="J308" s="7" t="str">
        <f aca="false">IF(c_TPOT&gt;1,IF(c_TTYPE=2,1000-MAX(0,MIN(1000,G308)),MAX(0,MIN(1000,G308))),"")</f>
        <v/>
      </c>
      <c r="K308" s="7" t="n">
        <f aca="false">IF(c_TPOT&gt;1,QUOTIENT(I308+J308,2),I308)</f>
        <v>863</v>
      </c>
      <c r="L308" s="7" t="n">
        <f aca="false">IF(AND(K308=0,c_TCREEP&gt;0),10*c_TCREEP,IF(AND(K308&lt;=c_TRNGMIN,K308&gt;=c_TRNGMAX,c_TRNGMIN-c_TRNGMAX&lt;&gt;0),-10*c_TMINRN+QUOTIENT((c_TMAXRN-c_TMINRN)*(100-QUOTIENT((K308-c_TRNGMAX)*100,c_TRNGMIN-c_TRNGMAX)),-10),0))</f>
        <v>0</v>
      </c>
      <c r="M308" s="7" t="n">
        <f aca="false">IF(((c_TMAP1IN)-(c_TFWD))=0,(0)+QUOTIENT(((c_TMAP1OUT)-(0)),2),QUOTIENT((((K308)-(c_TFWD))*((c_TMAP1OUT)-(0))+IF(((c_TMAP1OUT)-(0))&gt;=0,1,-1)*QUOTIENT(((c_TMAP1IN)-(c_TFWD)),2)),((c_TMAP1IN)-(c_TFWD)))+(0)+IF(((c_TMAP1OUT)-(0))&gt;=0,IF(IF(o_WRAP=1,MOD(((c_TMAP1IN)-(c_TFWD))*(((K308)-(c_TFWD))*((c_TMAP1OUT)-(0))+IF(((c_TMAP1OUT)-(0))&gt;=0,1,-1)*QUOTIENT(((c_TMAP1IN)-(c_TFWD)),2))+2147483648,4294967296)-2147483648,((c_TMAP1IN)-(c_TFWD))*(((K308)-(c_TFWD))*((c_TMAP1OUT)-(0))+IF(((c_TMAP1OUT)-(0))&gt;=0,1,-1)*QUOTIENT(((c_TMAP1IN)-(c_TFWD)),2)))&lt;0,-1,0),IF(IF(o_WRAP=1,MOD(((c_TMAP1IN)-(c_TFWD))*(((K308)-(c_TFWD))*((c_TMAP1OUT)-(0))+IF(((c_TMAP1OUT)-(0))&gt;=0,1,-1)*QUOTIENT(((c_TMAP1IN)-(c_TFWD)),2))+2147483648,4294967296)-2147483648,((c_TMAP1IN)-(c_TFWD))*(((K308)-(c_TFWD))*((c_TMAP1OUT)-(0))+IF(((c_TMAP1OUT)-(0))&gt;=0,1,-1)*QUOTIENT(((c_TMAP1IN)-(c_TFWD)),2)))&gt;=0,1,0)))</f>
        <v>663</v>
      </c>
      <c r="N308" s="7" t="n">
        <f aca="false">IF(((c_TMAP2IN)-(c_TMAP1IN))=0,(c_TMAP1OUT)+QUOTIENT(((c_TMAP2OUT)-(c_TMAP1OUT)),2),QUOTIENT((((K308)-(c_TMAP1IN))*((c_TMAP2OUT)-(c_TMAP1OUT))+IF(((c_TMAP2OUT)-(c_TMAP1OUT))&gt;=0,1,-1)*QUOTIENT(((c_TMAP2IN)-(c_TMAP1IN)),2)),((c_TMAP2IN)-(c_TMAP1IN)))+(c_TMAP1OUT)+IF(((c_TMAP2OUT)-(c_TMAP1OUT))&gt;=0,IF(IF(o_WRAP=1,MOD(((c_TMAP2IN)-(c_TMAP1IN))*(((K308)-(c_TMAP1IN))*((c_TMAP2OUT)-(c_TMAP1OUT))+IF(((c_TMAP2OUT)-(c_TMAP1OUT))&gt;=0,1,-1)*QUOTIENT(((c_TMAP2IN)-(c_TMAP1IN)),2))+2147483648,4294967296)-2147483648,((c_TMAP2IN)-(c_TMAP1IN))*(((K308)-(c_TMAP1IN))*((c_TMAP2OUT)-(c_TMAP1OUT))+IF(((c_TMAP2OUT)-(c_TMAP1OUT))&gt;=0,1,-1)*QUOTIENT(((c_TMAP2IN)-(c_TMAP1IN)),2)))&lt;0,-1,0),IF(IF(o_WRAP=1,MOD(((c_TMAP2IN)-(c_TMAP1IN))*(((K308)-(c_TMAP1IN))*((c_TMAP2OUT)-(c_TMAP1OUT))+IF(((c_TMAP2OUT)-(c_TMAP1OUT))&gt;=0,1,-1)*QUOTIENT(((c_TMAP2IN)-(c_TMAP1IN)),2))+2147483648,4294967296)-2147483648,((c_TMAP2IN)-(c_TMAP1IN))*(((K308)-(c_TMAP1IN))*((c_TMAP2OUT)-(c_TMAP1OUT))+IF(((c_TMAP2OUT)-(c_TMAP1OUT))&gt;=0,1,-1)*QUOTIENT(((c_TMAP2IN)-(c_TMAP1IN)),2)))&gt;=0,1,0)))</f>
        <v>375</v>
      </c>
      <c r="O308" s="7" t="n">
        <f aca="false">IF(((c_TMAP3IN)-(c_TMAP2IN))=0,(c_TMAP2OUT)+QUOTIENT(((c_TMAP3OUT)-(c_TMAP2OUT)),2),QUOTIENT((((K308)-(c_TMAP2IN))*((c_TMAP3OUT)-(c_TMAP2OUT))+IF(((c_TMAP3OUT)-(c_TMAP2OUT))&gt;=0,1,-1)*QUOTIENT(((c_TMAP3IN)-(c_TMAP2IN)),2)),((c_TMAP3IN)-(c_TMAP2IN)))+(c_TMAP2OUT)+IF(((c_TMAP3OUT)-(c_TMAP2OUT))&gt;=0,IF(IF(o_WRAP=1,MOD(((c_TMAP3IN)-(c_TMAP2IN))*(((K308)-(c_TMAP2IN))*((c_TMAP3OUT)-(c_TMAP2OUT))+IF(((c_TMAP3OUT)-(c_TMAP2OUT))&gt;=0,1,-1)*QUOTIENT(((c_TMAP3IN)-(c_TMAP2IN)),2))+2147483648,4294967296)-2147483648,((c_TMAP3IN)-(c_TMAP2IN))*(((K308)-(c_TMAP2IN))*((c_TMAP3OUT)-(c_TMAP2OUT))+IF(((c_TMAP3OUT)-(c_TMAP2OUT))&gt;=0,1,-1)*QUOTIENT(((c_TMAP3IN)-(c_TMAP2IN)),2)))&lt;0,-1,0),IF(IF(o_WRAP=1,MOD(((c_TMAP3IN)-(c_TMAP2IN))*(((K308)-(c_TMAP2IN))*((c_TMAP3OUT)-(c_TMAP2OUT))+IF(((c_TMAP3OUT)-(c_TMAP2OUT))&gt;=0,1,-1)*QUOTIENT(((c_TMAP3IN)-(c_TMAP2IN)),2))+2147483648,4294967296)-2147483648,((c_TMAP3IN)-(c_TMAP2IN))*(((K308)-(c_TMAP2IN))*((c_TMAP3OUT)-(c_TMAP2OUT))+IF(((c_TMAP3OUT)-(c_TMAP2OUT))&gt;=0,1,-1)*QUOTIENT(((c_TMAP3IN)-(c_TMAP2IN)),2)))&gt;=0,1,0)))</f>
        <v>559</v>
      </c>
      <c r="P308" s="7" t="n">
        <f aca="false">IF(((1000)-(c_TMAP3IN))=0,(c_TMAP3OUT)+QUOTIENT(((1000)-(c_TMAP3OUT)),2),QUOTIENT((((K308)-(c_TMAP3IN))*((1000)-(c_TMAP3OUT))+IF(((1000)-(c_TMAP3OUT))&gt;=0,1,-1)*QUOTIENT(((1000)-(c_TMAP3IN)),2)),((1000)-(c_TMAP3IN)))+(c_TMAP3OUT)+IF(((1000)-(c_TMAP3OUT))&gt;=0,IF(IF(o_WRAP=1,MOD(((1000)-(c_TMAP3IN))*(((K308)-(c_TMAP3IN))*((1000)-(c_TMAP3OUT))+IF(((1000)-(c_TMAP3OUT))&gt;=0,1,-1)*QUOTIENT(((1000)-(c_TMAP3IN)),2))+2147483648,4294967296)-2147483648,((1000)-(c_TMAP3IN))*(((K308)-(c_TMAP3IN))*((1000)-(c_TMAP3OUT))+IF(((1000)-(c_TMAP3OUT))&gt;=0,1,-1)*QUOTIENT(((1000)-(c_TMAP3IN)),2)))&lt;0,-1,0),IF(IF(o_WRAP=1,MOD(((1000)-(c_TMAP3IN))*(((K308)-(c_TMAP3IN))*((1000)-(c_TMAP3OUT))+IF(((1000)-(c_TMAP3OUT))&gt;=0,1,-1)*QUOTIENT(((1000)-(c_TMAP3IN)),2))+2147483648,4294967296)-2147483648,((1000)-(c_TMAP3IN))*(((K308)-(c_TMAP3IN))*((1000)-(c_TMAP3OUT))+IF(((1000)-(c_TMAP3OUT))&gt;=0,1,-1)*QUOTIENT(((1000)-(c_TMAP3IN)),2)))&gt;=0,1,0)))</f>
        <v>831</v>
      </c>
      <c r="Q308" s="7" t="str">
        <f aca="false">IF(K308&gt;=c_TFWD,IF(AND(K308&gt;=c_TMAP3IN,c_TMAP3IN&lt;1000),"Seg4 map3-100%",IF(AND(K308&gt;=c_TMAP2IN,c_TMAP3IN&gt;c_TMAP2IN),"Seg3 map2-map3",IF(AND(K308&gt;=c_TMAP1IN,c_TMAP2IN&gt;c_TMAP1IN),"Seg2 map1-map2","Seg1 TFWD-map1"))),IF(AND(K308=0,c_TCREEP&gt;0),"Creep",IF(AND(K308&lt;=c_TRNGMIN,K308&gt;=c_TRNGMAX,c_TRNGMIN-c_TRNGMAX&lt;&gt;0),"Regen ramp","Coast (0)")))</f>
        <v>Seg4 map3-100%</v>
      </c>
      <c r="R308" s="7" t="n">
        <f aca="false">IF(K308&gt;=c_TFWD,IF(AND(K308&gt;=c_TMAP3IN,c_TMAP3IN&lt;1000),P308,IF(AND(K308&gt;=c_TMAP2IN,c_TMAP3IN&gt;c_TMAP2IN),O308,IF(AND(K308&gt;=c_TMAP1IN,c_TMAP2IN&gt;c_TMAP1IN),N308,M308))),L308)</f>
        <v>831</v>
      </c>
      <c r="S308" s="7" t="str">
        <f aca="false">IF(R308&lt;-1090,"TOO LOW",IF(R308&gt;1090,"TOO HIGH",""))</f>
        <v/>
      </c>
      <c r="T308" s="15" t="n">
        <f aca="false">IF(H308&lt;&gt;"OK",0,IF(S308&lt;&gt;"",0,IF(R308&gt;979,1000,R308)))</f>
        <v>831</v>
      </c>
      <c r="U308" s="7" t="n">
        <f aca="false">T308/10</f>
        <v>83.1</v>
      </c>
    </row>
    <row r="309" customFormat="false" ht="15" hidden="false" customHeight="false" outlineLevel="0" collapsed="false">
      <c r="A309" s="7" t="n">
        <v>304</v>
      </c>
      <c r="B309" s="7" t="n">
        <f aca="false">ROUND(o_SWSTART+A309*(o_SWEND-o_SWSTART)/400,0)</f>
        <v>3112</v>
      </c>
      <c r="C309" s="7" t="n">
        <f aca="false">QUOTIENT((B309-c_OFF1)*c_GAIN1,1024)</f>
        <v>3112</v>
      </c>
      <c r="D309" s="7" t="n">
        <f aca="false">IF(((c_T1MX)-(c_T1MN))=0,(0)+QUOTIENT(((1000)-(0)),2),QUOTIENT((((C309)-(c_T1MN))*((1000)-(0))+IF(((1000)-(0))&gt;=0,1,-1)*QUOTIENT(((c_T1MX)-(c_T1MN)),2)),((c_T1MX)-(c_T1MN)))+(0)+IF(((1000)-(0))&gt;=0,IF(IF(o_WRAP=1,MOD(((c_T1MX)-(c_T1MN))*(((C309)-(c_T1MN))*((1000)-(0))+IF(((1000)-(0))&gt;=0,1,-1)*QUOTIENT(((c_T1MX)-(c_T1MN)),2))+2147483648,4294967296)-2147483648,((c_T1MX)-(c_T1MN))*(((C309)-(c_T1MN))*((1000)-(0))+IF(((1000)-(0))&gt;=0,1,-1)*QUOTIENT(((c_T1MX)-(c_T1MN)),2)))&lt;0,-1,0),IF(IF(o_WRAP=1,MOD(((c_T1MX)-(c_T1MN))*(((C309)-(c_T1MN))*((1000)-(0))+IF(((1000)-(0))&gt;=0,1,-1)*QUOTIENT(((c_T1MX)-(c_T1MN)),2))+2147483648,4294967296)-2147483648,((c_T1MX)-(c_T1MN))*(((C309)-(c_T1MN))*((1000)-(0))+IF(((1000)-(0))&gt;=0,1,-1)*QUOTIENT(((c_T1MX)-(c_T1MN)),2)))&gt;=0,1,0)))</f>
        <v>867</v>
      </c>
      <c r="E309" s="7" t="n">
        <f aca="false">IF(AND(c_TPOT=1,c_TTYPE=2),1000-D309,D309)</f>
        <v>867</v>
      </c>
      <c r="F309" s="7" t="str">
        <f aca="false">IF(c_TPOT&gt;1,ROUND(IF(c_TTYPE=2,c_T2MX-IF(c_T1MX=c_T1MN,0,(C309-c_T1MN)/(c_T1MX-c_T1MN))*(c_T2MX-c_T2MN),c_T2MN+IF(c_T1MX=c_T1MN,0,(C309-c_T1MN)/(c_T1MX-c_T1MN))*(c_T2MX-c_T2MN))+o_MISMATCH,0),"")</f>
        <v/>
      </c>
      <c r="G309" s="7" t="str">
        <f aca="false">IF(c_TPOT&gt;1,IF(((c_T2MX)-(c_T2MN))=0,(0)+QUOTIENT(((1000)-(0)),2),QUOTIENT((((F309)-(c_T2MN))*((1000)-(0))+IF(((1000)-(0))&gt;=0,1,-1)*QUOTIENT(((c_T2MX)-(c_T2MN)),2)),((c_T2MX)-(c_T2MN)))+(0)+IF(((1000)-(0))&gt;=0,IF(IF(o_WRAP=1,MOD(((c_T2MX)-(c_T2MN))*(((F309)-(c_T2MN))*((1000)-(0))+IF(((1000)-(0))&gt;=0,1,-1)*QUOTIENT(((c_T2MX)-(c_T2MN)),2))+2147483648,4294967296)-2147483648,((c_T2MX)-(c_T2MN))*(((F309)-(c_T2MN))*((1000)-(0))+IF(((1000)-(0))&gt;=0,1,-1)*QUOTIENT(((c_T2MX)-(c_T2MN)),2)))&lt;0,-1,0),IF(IF(o_WRAP=1,MOD(((c_T2MX)-(c_T2MN))*(((F309)-(c_T2MN))*((1000)-(0))+IF(((1000)-(0))&gt;=0,1,-1)*QUOTIENT(((c_T2MX)-(c_T2MN)),2))+2147483648,4294967296)-2147483648,((c_T2MX)-(c_T2MN))*(((F309)-(c_T2MN))*((1000)-(0))+IF(((1000)-(0))&gt;=0,1,-1)*QUOTIENT(((c_T2MX)-(c_T2MN)),2)))&gt;=0,1,0))),"")</f>
        <v/>
      </c>
      <c r="H309" s="7" t="str">
        <f aca="false">IF(E309&gt;1000+k_TOL,"T1 HIGH",IF(E309&lt;0-k_TOL,"T1 LOW",IF(c_TPOT&gt;1,IF(G309&gt;1000+k_TOL,"T2 HIGH",IF(G309&lt;0-k_TOL,"T2 LOW",IF(c_TTYPE=2,IF(ABS(1000-MAX(0,MIN(1000,E309))-MAX(0,MIN(1000,G309)))&gt;k_MAXERR,"MISMATCH","OK"),IF(OR(MAX(0,MIN(1000,E309))-k_MAXERR&gt;MAX(0,MIN(1000,G309)),MAX(0,MIN(1000,G309))-k_MAXERR&gt;MAX(0,MIN(1000,E309))),"MISMATCH","OK")))),"OK")))</f>
        <v>OK</v>
      </c>
      <c r="I309" s="7" t="n">
        <f aca="false">MAX(0,MIN(1000,D309))</f>
        <v>867</v>
      </c>
      <c r="J309" s="7" t="str">
        <f aca="false">IF(c_TPOT&gt;1,IF(c_TTYPE=2,1000-MAX(0,MIN(1000,G309)),MAX(0,MIN(1000,G309))),"")</f>
        <v/>
      </c>
      <c r="K309" s="7" t="n">
        <f aca="false">IF(c_TPOT&gt;1,QUOTIENT(I309+J309,2),I309)</f>
        <v>867</v>
      </c>
      <c r="L309" s="7" t="n">
        <f aca="false">IF(AND(K309=0,c_TCREEP&gt;0),10*c_TCREEP,IF(AND(K309&lt;=c_TRNGMIN,K309&gt;=c_TRNGMAX,c_TRNGMIN-c_TRNGMAX&lt;&gt;0),-10*c_TMINRN+QUOTIENT((c_TMAXRN-c_TMINRN)*(100-QUOTIENT((K309-c_TRNGMAX)*100,c_TRNGMIN-c_TRNGMAX)),-10),0))</f>
        <v>0</v>
      </c>
      <c r="M309" s="7" t="n">
        <f aca="false">IF(((c_TMAP1IN)-(c_TFWD))=0,(0)+QUOTIENT(((c_TMAP1OUT)-(0)),2),QUOTIENT((((K309)-(c_TFWD))*((c_TMAP1OUT)-(0))+IF(((c_TMAP1OUT)-(0))&gt;=0,1,-1)*QUOTIENT(((c_TMAP1IN)-(c_TFWD)),2)),((c_TMAP1IN)-(c_TFWD)))+(0)+IF(((c_TMAP1OUT)-(0))&gt;=0,IF(IF(o_WRAP=1,MOD(((c_TMAP1IN)-(c_TFWD))*(((K309)-(c_TFWD))*((c_TMAP1OUT)-(0))+IF(((c_TMAP1OUT)-(0))&gt;=0,1,-1)*QUOTIENT(((c_TMAP1IN)-(c_TFWD)),2))+2147483648,4294967296)-2147483648,((c_TMAP1IN)-(c_TFWD))*(((K309)-(c_TFWD))*((c_TMAP1OUT)-(0))+IF(((c_TMAP1OUT)-(0))&gt;=0,1,-1)*QUOTIENT(((c_TMAP1IN)-(c_TFWD)),2)))&lt;0,-1,0),IF(IF(o_WRAP=1,MOD(((c_TMAP1IN)-(c_TFWD))*(((K309)-(c_TFWD))*((c_TMAP1OUT)-(0))+IF(((c_TMAP1OUT)-(0))&gt;=0,1,-1)*QUOTIENT(((c_TMAP1IN)-(c_TFWD)),2))+2147483648,4294967296)-2147483648,((c_TMAP1IN)-(c_TFWD))*(((K309)-(c_TFWD))*((c_TMAP1OUT)-(0))+IF(((c_TMAP1OUT)-(0))&gt;=0,1,-1)*QUOTIENT(((c_TMAP1IN)-(c_TFWD)),2)))&gt;=0,1,0)))</f>
        <v>667</v>
      </c>
      <c r="N309" s="7" t="n">
        <f aca="false">IF(((c_TMAP2IN)-(c_TMAP1IN))=0,(c_TMAP1OUT)+QUOTIENT(((c_TMAP2OUT)-(c_TMAP1OUT)),2),QUOTIENT((((K309)-(c_TMAP1IN))*((c_TMAP2OUT)-(c_TMAP1OUT))+IF(((c_TMAP2OUT)-(c_TMAP1OUT))&gt;=0,1,-1)*QUOTIENT(((c_TMAP2IN)-(c_TMAP1IN)),2)),((c_TMAP2IN)-(c_TMAP1IN)))+(c_TMAP1OUT)+IF(((c_TMAP2OUT)-(c_TMAP1OUT))&gt;=0,IF(IF(o_WRAP=1,MOD(((c_TMAP2IN)-(c_TMAP1IN))*(((K309)-(c_TMAP1IN))*((c_TMAP2OUT)-(c_TMAP1OUT))+IF(((c_TMAP2OUT)-(c_TMAP1OUT))&gt;=0,1,-1)*QUOTIENT(((c_TMAP2IN)-(c_TMAP1IN)),2))+2147483648,4294967296)-2147483648,((c_TMAP2IN)-(c_TMAP1IN))*(((K309)-(c_TMAP1IN))*((c_TMAP2OUT)-(c_TMAP1OUT))+IF(((c_TMAP2OUT)-(c_TMAP1OUT))&gt;=0,1,-1)*QUOTIENT(((c_TMAP2IN)-(c_TMAP1IN)),2)))&lt;0,-1,0),IF(IF(o_WRAP=1,MOD(((c_TMAP2IN)-(c_TMAP1IN))*(((K309)-(c_TMAP1IN))*((c_TMAP2OUT)-(c_TMAP1OUT))+IF(((c_TMAP2OUT)-(c_TMAP1OUT))&gt;=0,1,-1)*QUOTIENT(((c_TMAP2IN)-(c_TMAP1IN)),2))+2147483648,4294967296)-2147483648,((c_TMAP2IN)-(c_TMAP1IN))*(((K309)-(c_TMAP1IN))*((c_TMAP2OUT)-(c_TMAP1OUT))+IF(((c_TMAP2OUT)-(c_TMAP1OUT))&gt;=0,1,-1)*QUOTIENT(((c_TMAP2IN)-(c_TMAP1IN)),2)))&gt;=0,1,0)))</f>
        <v>377</v>
      </c>
      <c r="O309" s="7" t="n">
        <f aca="false">IF(((c_TMAP3IN)-(c_TMAP2IN))=0,(c_TMAP2OUT)+QUOTIENT(((c_TMAP3OUT)-(c_TMAP2OUT)),2),QUOTIENT((((K309)-(c_TMAP2IN))*((c_TMAP3OUT)-(c_TMAP2OUT))+IF(((c_TMAP3OUT)-(c_TMAP2OUT))&gt;=0,1,-1)*QUOTIENT(((c_TMAP3IN)-(c_TMAP2IN)),2)),((c_TMAP3IN)-(c_TMAP2IN)))+(c_TMAP2OUT)+IF(((c_TMAP3OUT)-(c_TMAP2OUT))&gt;=0,IF(IF(o_WRAP=1,MOD(((c_TMAP3IN)-(c_TMAP2IN))*(((K309)-(c_TMAP2IN))*((c_TMAP3OUT)-(c_TMAP2OUT))+IF(((c_TMAP3OUT)-(c_TMAP2OUT))&gt;=0,1,-1)*QUOTIENT(((c_TMAP3IN)-(c_TMAP2IN)),2))+2147483648,4294967296)-2147483648,((c_TMAP3IN)-(c_TMAP2IN))*(((K309)-(c_TMAP2IN))*((c_TMAP3OUT)-(c_TMAP2OUT))+IF(((c_TMAP3OUT)-(c_TMAP2OUT))&gt;=0,1,-1)*QUOTIENT(((c_TMAP3IN)-(c_TMAP2IN)),2)))&lt;0,-1,0),IF(IF(o_WRAP=1,MOD(((c_TMAP3IN)-(c_TMAP2IN))*(((K309)-(c_TMAP2IN))*((c_TMAP3OUT)-(c_TMAP2OUT))+IF(((c_TMAP3OUT)-(c_TMAP2OUT))&gt;=0,1,-1)*QUOTIENT(((c_TMAP3IN)-(c_TMAP2IN)),2))+2147483648,4294967296)-2147483648,((c_TMAP3IN)-(c_TMAP2IN))*(((K309)-(c_TMAP2IN))*((c_TMAP3OUT)-(c_TMAP2OUT))+IF(((c_TMAP3OUT)-(c_TMAP2OUT))&gt;=0,1,-1)*QUOTIENT(((c_TMAP3IN)-(c_TMAP2IN)),2)))&gt;=0,1,0)))</f>
        <v>562</v>
      </c>
      <c r="P309" s="7" t="n">
        <f aca="false">IF(((1000)-(c_TMAP3IN))=0,(c_TMAP3OUT)+QUOTIENT(((1000)-(c_TMAP3OUT)),2),QUOTIENT((((K309)-(c_TMAP3IN))*((1000)-(c_TMAP3OUT))+IF(((1000)-(c_TMAP3OUT))&gt;=0,1,-1)*QUOTIENT(((1000)-(c_TMAP3IN)),2)),((1000)-(c_TMAP3IN)))+(c_TMAP3OUT)+IF(((1000)-(c_TMAP3OUT))&gt;=0,IF(IF(o_WRAP=1,MOD(((1000)-(c_TMAP3IN))*(((K309)-(c_TMAP3IN))*((1000)-(c_TMAP3OUT))+IF(((1000)-(c_TMAP3OUT))&gt;=0,1,-1)*QUOTIENT(((1000)-(c_TMAP3IN)),2))+2147483648,4294967296)-2147483648,((1000)-(c_TMAP3IN))*(((K309)-(c_TMAP3IN))*((1000)-(c_TMAP3OUT))+IF(((1000)-(c_TMAP3OUT))&gt;=0,1,-1)*QUOTIENT(((1000)-(c_TMAP3IN)),2)))&lt;0,-1,0),IF(IF(o_WRAP=1,MOD(((1000)-(c_TMAP3IN))*(((K309)-(c_TMAP3IN))*((1000)-(c_TMAP3OUT))+IF(((1000)-(c_TMAP3OUT))&gt;=0,1,-1)*QUOTIENT(((1000)-(c_TMAP3IN)),2))+2147483648,4294967296)-2147483648,((1000)-(c_TMAP3IN))*(((K309)-(c_TMAP3IN))*((1000)-(c_TMAP3OUT))+IF(((1000)-(c_TMAP3OUT))&gt;=0,1,-1)*QUOTIENT(((1000)-(c_TMAP3IN)),2)))&gt;=0,1,0)))</f>
        <v>836</v>
      </c>
      <c r="Q309" s="7" t="str">
        <f aca="false">IF(K309&gt;=c_TFWD,IF(AND(K309&gt;=c_TMAP3IN,c_TMAP3IN&lt;1000),"Seg4 map3-100%",IF(AND(K309&gt;=c_TMAP2IN,c_TMAP3IN&gt;c_TMAP2IN),"Seg3 map2-map3",IF(AND(K309&gt;=c_TMAP1IN,c_TMAP2IN&gt;c_TMAP1IN),"Seg2 map1-map2","Seg1 TFWD-map1"))),IF(AND(K309=0,c_TCREEP&gt;0),"Creep",IF(AND(K309&lt;=c_TRNGMIN,K309&gt;=c_TRNGMAX,c_TRNGMIN-c_TRNGMAX&lt;&gt;0),"Regen ramp","Coast (0)")))</f>
        <v>Seg4 map3-100%</v>
      </c>
      <c r="R309" s="7" t="n">
        <f aca="false">IF(K309&gt;=c_TFWD,IF(AND(K309&gt;=c_TMAP3IN,c_TMAP3IN&lt;1000),P309,IF(AND(K309&gt;=c_TMAP2IN,c_TMAP3IN&gt;c_TMAP2IN),O309,IF(AND(K309&gt;=c_TMAP1IN,c_TMAP2IN&gt;c_TMAP1IN),N309,M309))),L309)</f>
        <v>836</v>
      </c>
      <c r="S309" s="7" t="str">
        <f aca="false">IF(R309&lt;-1090,"TOO LOW",IF(R309&gt;1090,"TOO HIGH",""))</f>
        <v/>
      </c>
      <c r="T309" s="15" t="n">
        <f aca="false">IF(H309&lt;&gt;"OK",0,IF(S309&lt;&gt;"",0,IF(R309&gt;979,1000,R309)))</f>
        <v>836</v>
      </c>
      <c r="U309" s="7" t="n">
        <f aca="false">T309/10</f>
        <v>83.6</v>
      </c>
    </row>
    <row r="310" customFormat="false" ht="15" hidden="false" customHeight="false" outlineLevel="0" collapsed="false">
      <c r="A310" s="7" t="n">
        <v>305</v>
      </c>
      <c r="B310" s="7" t="n">
        <f aca="false">ROUND(o_SWSTART+A310*(o_SWEND-o_SWSTART)/400,0)</f>
        <v>3122</v>
      </c>
      <c r="C310" s="7" t="n">
        <f aca="false">QUOTIENT((B310-c_OFF1)*c_GAIN1,1024)</f>
        <v>3122</v>
      </c>
      <c r="D310" s="7" t="n">
        <f aca="false">IF(((c_T1MX)-(c_T1MN))=0,(0)+QUOTIENT(((1000)-(0)),2),QUOTIENT((((C310)-(c_T1MN))*((1000)-(0))+IF(((1000)-(0))&gt;=0,1,-1)*QUOTIENT(((c_T1MX)-(c_T1MN)),2)),((c_T1MX)-(c_T1MN)))+(0)+IF(((1000)-(0))&gt;=0,IF(IF(o_WRAP=1,MOD(((c_T1MX)-(c_T1MN))*(((C310)-(c_T1MN))*((1000)-(0))+IF(((1000)-(0))&gt;=0,1,-1)*QUOTIENT(((c_T1MX)-(c_T1MN)),2))+2147483648,4294967296)-2147483648,((c_T1MX)-(c_T1MN))*(((C310)-(c_T1MN))*((1000)-(0))+IF(((1000)-(0))&gt;=0,1,-1)*QUOTIENT(((c_T1MX)-(c_T1MN)),2)))&lt;0,-1,0),IF(IF(o_WRAP=1,MOD(((c_T1MX)-(c_T1MN))*(((C310)-(c_T1MN))*((1000)-(0))+IF(((1000)-(0))&gt;=0,1,-1)*QUOTIENT(((c_T1MX)-(c_T1MN)),2))+2147483648,4294967296)-2147483648,((c_T1MX)-(c_T1MN))*(((C310)-(c_T1MN))*((1000)-(0))+IF(((1000)-(0))&gt;=0,1,-1)*QUOTIENT(((c_T1MX)-(c_T1MN)),2)))&gt;=0,1,0)))</f>
        <v>870</v>
      </c>
      <c r="E310" s="7" t="n">
        <f aca="false">IF(AND(c_TPOT=1,c_TTYPE=2),1000-D310,D310)</f>
        <v>870</v>
      </c>
      <c r="F310" s="7" t="str">
        <f aca="false">IF(c_TPOT&gt;1,ROUND(IF(c_TTYPE=2,c_T2MX-IF(c_T1MX=c_T1MN,0,(C310-c_T1MN)/(c_T1MX-c_T1MN))*(c_T2MX-c_T2MN),c_T2MN+IF(c_T1MX=c_T1MN,0,(C310-c_T1MN)/(c_T1MX-c_T1MN))*(c_T2MX-c_T2MN))+o_MISMATCH,0),"")</f>
        <v/>
      </c>
      <c r="G310" s="7" t="str">
        <f aca="false">IF(c_TPOT&gt;1,IF(((c_T2MX)-(c_T2MN))=0,(0)+QUOTIENT(((1000)-(0)),2),QUOTIENT((((F310)-(c_T2MN))*((1000)-(0))+IF(((1000)-(0))&gt;=0,1,-1)*QUOTIENT(((c_T2MX)-(c_T2MN)),2)),((c_T2MX)-(c_T2MN)))+(0)+IF(((1000)-(0))&gt;=0,IF(IF(o_WRAP=1,MOD(((c_T2MX)-(c_T2MN))*(((F310)-(c_T2MN))*((1000)-(0))+IF(((1000)-(0))&gt;=0,1,-1)*QUOTIENT(((c_T2MX)-(c_T2MN)),2))+2147483648,4294967296)-2147483648,((c_T2MX)-(c_T2MN))*(((F310)-(c_T2MN))*((1000)-(0))+IF(((1000)-(0))&gt;=0,1,-1)*QUOTIENT(((c_T2MX)-(c_T2MN)),2)))&lt;0,-1,0),IF(IF(o_WRAP=1,MOD(((c_T2MX)-(c_T2MN))*(((F310)-(c_T2MN))*((1000)-(0))+IF(((1000)-(0))&gt;=0,1,-1)*QUOTIENT(((c_T2MX)-(c_T2MN)),2))+2147483648,4294967296)-2147483648,((c_T2MX)-(c_T2MN))*(((F310)-(c_T2MN))*((1000)-(0))+IF(((1000)-(0))&gt;=0,1,-1)*QUOTIENT(((c_T2MX)-(c_T2MN)),2)))&gt;=0,1,0))),"")</f>
        <v/>
      </c>
      <c r="H310" s="7" t="str">
        <f aca="false">IF(E310&gt;1000+k_TOL,"T1 HIGH",IF(E310&lt;0-k_TOL,"T1 LOW",IF(c_TPOT&gt;1,IF(G310&gt;1000+k_TOL,"T2 HIGH",IF(G310&lt;0-k_TOL,"T2 LOW",IF(c_TTYPE=2,IF(ABS(1000-MAX(0,MIN(1000,E310))-MAX(0,MIN(1000,G310)))&gt;k_MAXERR,"MISMATCH","OK"),IF(OR(MAX(0,MIN(1000,E310))-k_MAXERR&gt;MAX(0,MIN(1000,G310)),MAX(0,MIN(1000,G310))-k_MAXERR&gt;MAX(0,MIN(1000,E310))),"MISMATCH","OK")))),"OK")))</f>
        <v>OK</v>
      </c>
      <c r="I310" s="7" t="n">
        <f aca="false">MAX(0,MIN(1000,D310))</f>
        <v>870</v>
      </c>
      <c r="J310" s="7" t="str">
        <f aca="false">IF(c_TPOT&gt;1,IF(c_TTYPE=2,1000-MAX(0,MIN(1000,G310)),MAX(0,MIN(1000,G310))),"")</f>
        <v/>
      </c>
      <c r="K310" s="7" t="n">
        <f aca="false">IF(c_TPOT&gt;1,QUOTIENT(I310+J310,2),I310)</f>
        <v>870</v>
      </c>
      <c r="L310" s="7" t="n">
        <f aca="false">IF(AND(K310=0,c_TCREEP&gt;0),10*c_TCREEP,IF(AND(K310&lt;=c_TRNGMIN,K310&gt;=c_TRNGMAX,c_TRNGMIN-c_TRNGMAX&lt;&gt;0),-10*c_TMINRN+QUOTIENT((c_TMAXRN-c_TMINRN)*(100-QUOTIENT((K310-c_TRNGMAX)*100,c_TRNGMIN-c_TRNGMAX)),-10),0))</f>
        <v>0</v>
      </c>
      <c r="M310" s="7" t="n">
        <f aca="false">IF(((c_TMAP1IN)-(c_TFWD))=0,(0)+QUOTIENT(((c_TMAP1OUT)-(0)),2),QUOTIENT((((K310)-(c_TFWD))*((c_TMAP1OUT)-(0))+IF(((c_TMAP1OUT)-(0))&gt;=0,1,-1)*QUOTIENT(((c_TMAP1IN)-(c_TFWD)),2)),((c_TMAP1IN)-(c_TFWD)))+(0)+IF(((c_TMAP1OUT)-(0))&gt;=0,IF(IF(o_WRAP=1,MOD(((c_TMAP1IN)-(c_TFWD))*(((K310)-(c_TFWD))*((c_TMAP1OUT)-(0))+IF(((c_TMAP1OUT)-(0))&gt;=0,1,-1)*QUOTIENT(((c_TMAP1IN)-(c_TFWD)),2))+2147483648,4294967296)-2147483648,((c_TMAP1IN)-(c_TFWD))*(((K310)-(c_TFWD))*((c_TMAP1OUT)-(0))+IF(((c_TMAP1OUT)-(0))&gt;=0,1,-1)*QUOTIENT(((c_TMAP1IN)-(c_TFWD)),2)))&lt;0,-1,0),IF(IF(o_WRAP=1,MOD(((c_TMAP1IN)-(c_TFWD))*(((K310)-(c_TFWD))*((c_TMAP1OUT)-(0))+IF(((c_TMAP1OUT)-(0))&gt;=0,1,-1)*QUOTIENT(((c_TMAP1IN)-(c_TFWD)),2))+2147483648,4294967296)-2147483648,((c_TMAP1IN)-(c_TFWD))*(((K310)-(c_TFWD))*((c_TMAP1OUT)-(0))+IF(((c_TMAP1OUT)-(0))&gt;=0,1,-1)*QUOTIENT(((c_TMAP1IN)-(c_TFWD)),2)))&gt;=0,1,0)))</f>
        <v>669</v>
      </c>
      <c r="N310" s="7" t="n">
        <f aca="false">IF(((c_TMAP2IN)-(c_TMAP1IN))=0,(c_TMAP1OUT)+QUOTIENT(((c_TMAP2OUT)-(c_TMAP1OUT)),2),QUOTIENT((((K310)-(c_TMAP1IN))*((c_TMAP2OUT)-(c_TMAP1OUT))+IF(((c_TMAP2OUT)-(c_TMAP1OUT))&gt;=0,1,-1)*QUOTIENT(((c_TMAP2IN)-(c_TMAP1IN)),2)),((c_TMAP2IN)-(c_TMAP1IN)))+(c_TMAP1OUT)+IF(((c_TMAP2OUT)-(c_TMAP1OUT))&gt;=0,IF(IF(o_WRAP=1,MOD(((c_TMAP2IN)-(c_TMAP1IN))*(((K310)-(c_TMAP1IN))*((c_TMAP2OUT)-(c_TMAP1OUT))+IF(((c_TMAP2OUT)-(c_TMAP1OUT))&gt;=0,1,-1)*QUOTIENT(((c_TMAP2IN)-(c_TMAP1IN)),2))+2147483648,4294967296)-2147483648,((c_TMAP2IN)-(c_TMAP1IN))*(((K310)-(c_TMAP1IN))*((c_TMAP2OUT)-(c_TMAP1OUT))+IF(((c_TMAP2OUT)-(c_TMAP1OUT))&gt;=0,1,-1)*QUOTIENT(((c_TMAP2IN)-(c_TMAP1IN)),2)))&lt;0,-1,0),IF(IF(o_WRAP=1,MOD(((c_TMAP2IN)-(c_TMAP1IN))*(((K310)-(c_TMAP1IN))*((c_TMAP2OUT)-(c_TMAP1OUT))+IF(((c_TMAP2OUT)-(c_TMAP1OUT))&gt;=0,1,-1)*QUOTIENT(((c_TMAP2IN)-(c_TMAP1IN)),2))+2147483648,4294967296)-2147483648,((c_TMAP2IN)-(c_TMAP1IN))*(((K310)-(c_TMAP1IN))*((c_TMAP2OUT)-(c_TMAP1OUT))+IF(((c_TMAP2OUT)-(c_TMAP1OUT))&gt;=0,1,-1)*QUOTIENT(((c_TMAP2IN)-(c_TMAP1IN)),2)))&gt;=0,1,0)))</f>
        <v>378</v>
      </c>
      <c r="O310" s="7" t="n">
        <f aca="false">IF(((c_TMAP3IN)-(c_TMAP2IN))=0,(c_TMAP2OUT)+QUOTIENT(((c_TMAP3OUT)-(c_TMAP2OUT)),2),QUOTIENT((((K310)-(c_TMAP2IN))*((c_TMAP3OUT)-(c_TMAP2OUT))+IF(((c_TMAP3OUT)-(c_TMAP2OUT))&gt;=0,1,-1)*QUOTIENT(((c_TMAP3IN)-(c_TMAP2IN)),2)),((c_TMAP3IN)-(c_TMAP2IN)))+(c_TMAP2OUT)+IF(((c_TMAP3OUT)-(c_TMAP2OUT))&gt;=0,IF(IF(o_WRAP=1,MOD(((c_TMAP3IN)-(c_TMAP2IN))*(((K310)-(c_TMAP2IN))*((c_TMAP3OUT)-(c_TMAP2OUT))+IF(((c_TMAP3OUT)-(c_TMAP2OUT))&gt;=0,1,-1)*QUOTIENT(((c_TMAP3IN)-(c_TMAP2IN)),2))+2147483648,4294967296)-2147483648,((c_TMAP3IN)-(c_TMAP2IN))*(((K310)-(c_TMAP2IN))*((c_TMAP3OUT)-(c_TMAP2OUT))+IF(((c_TMAP3OUT)-(c_TMAP2OUT))&gt;=0,1,-1)*QUOTIENT(((c_TMAP3IN)-(c_TMAP2IN)),2)))&lt;0,-1,0),IF(IF(o_WRAP=1,MOD(((c_TMAP3IN)-(c_TMAP2IN))*(((K310)-(c_TMAP2IN))*((c_TMAP3OUT)-(c_TMAP2OUT))+IF(((c_TMAP3OUT)-(c_TMAP2OUT))&gt;=0,1,-1)*QUOTIENT(((c_TMAP3IN)-(c_TMAP2IN)),2))+2147483648,4294967296)-2147483648,((c_TMAP3IN)-(c_TMAP2IN))*(((K310)-(c_TMAP2IN))*((c_TMAP3OUT)-(c_TMAP2OUT))+IF(((c_TMAP3OUT)-(c_TMAP2OUT))&gt;=0,1,-1)*QUOTIENT(((c_TMAP3IN)-(c_TMAP2IN)),2)))&gt;=0,1,0)))</f>
        <v>564</v>
      </c>
      <c r="P310" s="7" t="n">
        <f aca="false">IF(((1000)-(c_TMAP3IN))=0,(c_TMAP3OUT)+QUOTIENT(((1000)-(c_TMAP3OUT)),2),QUOTIENT((((K310)-(c_TMAP3IN))*((1000)-(c_TMAP3OUT))+IF(((1000)-(c_TMAP3OUT))&gt;=0,1,-1)*QUOTIENT(((1000)-(c_TMAP3IN)),2)),((1000)-(c_TMAP3IN)))+(c_TMAP3OUT)+IF(((1000)-(c_TMAP3OUT))&gt;=0,IF(IF(o_WRAP=1,MOD(((1000)-(c_TMAP3IN))*(((K310)-(c_TMAP3IN))*((1000)-(c_TMAP3OUT))+IF(((1000)-(c_TMAP3OUT))&gt;=0,1,-1)*QUOTIENT(((1000)-(c_TMAP3IN)),2))+2147483648,4294967296)-2147483648,((1000)-(c_TMAP3IN))*(((K310)-(c_TMAP3IN))*((1000)-(c_TMAP3OUT))+IF(((1000)-(c_TMAP3OUT))&gt;=0,1,-1)*QUOTIENT(((1000)-(c_TMAP3IN)),2)))&lt;0,-1,0),IF(IF(o_WRAP=1,MOD(((1000)-(c_TMAP3IN))*(((K310)-(c_TMAP3IN))*((1000)-(c_TMAP3OUT))+IF(((1000)-(c_TMAP3OUT))&gt;=0,1,-1)*QUOTIENT(((1000)-(c_TMAP3IN)),2))+2147483648,4294967296)-2147483648,((1000)-(c_TMAP3IN))*(((K310)-(c_TMAP3IN))*((1000)-(c_TMAP3OUT))+IF(((1000)-(c_TMAP3OUT))&gt;=0,1,-1)*QUOTIENT(((1000)-(c_TMAP3IN)),2)))&gt;=0,1,0)))</f>
        <v>840</v>
      </c>
      <c r="Q310" s="7" t="str">
        <f aca="false">IF(K310&gt;=c_TFWD,IF(AND(K310&gt;=c_TMAP3IN,c_TMAP3IN&lt;1000),"Seg4 map3-100%",IF(AND(K310&gt;=c_TMAP2IN,c_TMAP3IN&gt;c_TMAP2IN),"Seg3 map2-map3",IF(AND(K310&gt;=c_TMAP1IN,c_TMAP2IN&gt;c_TMAP1IN),"Seg2 map1-map2","Seg1 TFWD-map1"))),IF(AND(K310=0,c_TCREEP&gt;0),"Creep",IF(AND(K310&lt;=c_TRNGMIN,K310&gt;=c_TRNGMAX,c_TRNGMIN-c_TRNGMAX&lt;&gt;0),"Regen ramp","Coast (0)")))</f>
        <v>Seg4 map3-100%</v>
      </c>
      <c r="R310" s="7" t="n">
        <f aca="false">IF(K310&gt;=c_TFWD,IF(AND(K310&gt;=c_TMAP3IN,c_TMAP3IN&lt;1000),P310,IF(AND(K310&gt;=c_TMAP2IN,c_TMAP3IN&gt;c_TMAP2IN),O310,IF(AND(K310&gt;=c_TMAP1IN,c_TMAP2IN&gt;c_TMAP1IN),N310,M310))),L310)</f>
        <v>840</v>
      </c>
      <c r="S310" s="7" t="str">
        <f aca="false">IF(R310&lt;-1090,"TOO LOW",IF(R310&gt;1090,"TOO HIGH",""))</f>
        <v/>
      </c>
      <c r="T310" s="15" t="n">
        <f aca="false">IF(H310&lt;&gt;"OK",0,IF(S310&lt;&gt;"",0,IF(R310&gt;979,1000,R310)))</f>
        <v>840</v>
      </c>
      <c r="U310" s="7" t="n">
        <f aca="false">T310/10</f>
        <v>84</v>
      </c>
    </row>
    <row r="311" customFormat="false" ht="15" hidden="false" customHeight="false" outlineLevel="0" collapsed="false">
      <c r="A311" s="7" t="n">
        <v>306</v>
      </c>
      <c r="B311" s="7" t="n">
        <f aca="false">ROUND(o_SWSTART+A311*(o_SWEND-o_SWSTART)/400,0)</f>
        <v>3133</v>
      </c>
      <c r="C311" s="7" t="n">
        <f aca="false">QUOTIENT((B311-c_OFF1)*c_GAIN1,1024)</f>
        <v>3133</v>
      </c>
      <c r="D311" s="7" t="n">
        <f aca="false">IF(((c_T1MX)-(c_T1MN))=0,(0)+QUOTIENT(((1000)-(0)),2),QUOTIENT((((C311)-(c_T1MN))*((1000)-(0))+IF(((1000)-(0))&gt;=0,1,-1)*QUOTIENT(((c_T1MX)-(c_T1MN)),2)),((c_T1MX)-(c_T1MN)))+(0)+IF(((1000)-(0))&gt;=0,IF(IF(o_WRAP=1,MOD(((c_T1MX)-(c_T1MN))*(((C311)-(c_T1MN))*((1000)-(0))+IF(((1000)-(0))&gt;=0,1,-1)*QUOTIENT(((c_T1MX)-(c_T1MN)),2))+2147483648,4294967296)-2147483648,((c_T1MX)-(c_T1MN))*(((C311)-(c_T1MN))*((1000)-(0))+IF(((1000)-(0))&gt;=0,1,-1)*QUOTIENT(((c_T1MX)-(c_T1MN)),2)))&lt;0,-1,0),IF(IF(o_WRAP=1,MOD(((c_T1MX)-(c_T1MN))*(((C311)-(c_T1MN))*((1000)-(0))+IF(((1000)-(0))&gt;=0,1,-1)*QUOTIENT(((c_T1MX)-(c_T1MN)),2))+2147483648,4294967296)-2147483648,((c_T1MX)-(c_T1MN))*(((C311)-(c_T1MN))*((1000)-(0))+IF(((1000)-(0))&gt;=0,1,-1)*QUOTIENT(((c_T1MX)-(c_T1MN)),2)))&gt;=0,1,0)))</f>
        <v>874</v>
      </c>
      <c r="E311" s="7" t="n">
        <f aca="false">IF(AND(c_TPOT=1,c_TTYPE=2),1000-D311,D311)</f>
        <v>874</v>
      </c>
      <c r="F311" s="7" t="str">
        <f aca="false">IF(c_TPOT&gt;1,ROUND(IF(c_TTYPE=2,c_T2MX-IF(c_T1MX=c_T1MN,0,(C311-c_T1MN)/(c_T1MX-c_T1MN))*(c_T2MX-c_T2MN),c_T2MN+IF(c_T1MX=c_T1MN,0,(C311-c_T1MN)/(c_T1MX-c_T1MN))*(c_T2MX-c_T2MN))+o_MISMATCH,0),"")</f>
        <v/>
      </c>
      <c r="G311" s="7" t="str">
        <f aca="false">IF(c_TPOT&gt;1,IF(((c_T2MX)-(c_T2MN))=0,(0)+QUOTIENT(((1000)-(0)),2),QUOTIENT((((F311)-(c_T2MN))*((1000)-(0))+IF(((1000)-(0))&gt;=0,1,-1)*QUOTIENT(((c_T2MX)-(c_T2MN)),2)),((c_T2MX)-(c_T2MN)))+(0)+IF(((1000)-(0))&gt;=0,IF(IF(o_WRAP=1,MOD(((c_T2MX)-(c_T2MN))*(((F311)-(c_T2MN))*((1000)-(0))+IF(((1000)-(0))&gt;=0,1,-1)*QUOTIENT(((c_T2MX)-(c_T2MN)),2))+2147483648,4294967296)-2147483648,((c_T2MX)-(c_T2MN))*(((F311)-(c_T2MN))*((1000)-(0))+IF(((1000)-(0))&gt;=0,1,-1)*QUOTIENT(((c_T2MX)-(c_T2MN)),2)))&lt;0,-1,0),IF(IF(o_WRAP=1,MOD(((c_T2MX)-(c_T2MN))*(((F311)-(c_T2MN))*((1000)-(0))+IF(((1000)-(0))&gt;=0,1,-1)*QUOTIENT(((c_T2MX)-(c_T2MN)),2))+2147483648,4294967296)-2147483648,((c_T2MX)-(c_T2MN))*(((F311)-(c_T2MN))*((1000)-(0))+IF(((1000)-(0))&gt;=0,1,-1)*QUOTIENT(((c_T2MX)-(c_T2MN)),2)))&gt;=0,1,0))),"")</f>
        <v/>
      </c>
      <c r="H311" s="7" t="str">
        <f aca="false">IF(E311&gt;1000+k_TOL,"T1 HIGH",IF(E311&lt;0-k_TOL,"T1 LOW",IF(c_TPOT&gt;1,IF(G311&gt;1000+k_TOL,"T2 HIGH",IF(G311&lt;0-k_TOL,"T2 LOW",IF(c_TTYPE=2,IF(ABS(1000-MAX(0,MIN(1000,E311))-MAX(0,MIN(1000,G311)))&gt;k_MAXERR,"MISMATCH","OK"),IF(OR(MAX(0,MIN(1000,E311))-k_MAXERR&gt;MAX(0,MIN(1000,G311)),MAX(0,MIN(1000,G311))-k_MAXERR&gt;MAX(0,MIN(1000,E311))),"MISMATCH","OK")))),"OK")))</f>
        <v>OK</v>
      </c>
      <c r="I311" s="7" t="n">
        <f aca="false">MAX(0,MIN(1000,D311))</f>
        <v>874</v>
      </c>
      <c r="J311" s="7" t="str">
        <f aca="false">IF(c_TPOT&gt;1,IF(c_TTYPE=2,1000-MAX(0,MIN(1000,G311)),MAX(0,MIN(1000,G311))),"")</f>
        <v/>
      </c>
      <c r="K311" s="7" t="n">
        <f aca="false">IF(c_TPOT&gt;1,QUOTIENT(I311+J311,2),I311)</f>
        <v>874</v>
      </c>
      <c r="L311" s="7" t="n">
        <f aca="false">IF(AND(K311=0,c_TCREEP&gt;0),10*c_TCREEP,IF(AND(K311&lt;=c_TRNGMIN,K311&gt;=c_TRNGMAX,c_TRNGMIN-c_TRNGMAX&lt;&gt;0),-10*c_TMINRN+QUOTIENT((c_TMAXRN-c_TMINRN)*(100-QUOTIENT((K311-c_TRNGMAX)*100,c_TRNGMIN-c_TRNGMAX)),-10),0))</f>
        <v>0</v>
      </c>
      <c r="M311" s="7" t="n">
        <f aca="false">IF(((c_TMAP1IN)-(c_TFWD))=0,(0)+QUOTIENT(((c_TMAP1OUT)-(0)),2),QUOTIENT((((K311)-(c_TFWD))*((c_TMAP1OUT)-(0))+IF(((c_TMAP1OUT)-(0))&gt;=0,1,-1)*QUOTIENT(((c_TMAP1IN)-(c_TFWD)),2)),((c_TMAP1IN)-(c_TFWD)))+(0)+IF(((c_TMAP1OUT)-(0))&gt;=0,IF(IF(o_WRAP=1,MOD(((c_TMAP1IN)-(c_TFWD))*(((K311)-(c_TFWD))*((c_TMAP1OUT)-(0))+IF(((c_TMAP1OUT)-(0))&gt;=0,1,-1)*QUOTIENT(((c_TMAP1IN)-(c_TFWD)),2))+2147483648,4294967296)-2147483648,((c_TMAP1IN)-(c_TFWD))*(((K311)-(c_TFWD))*((c_TMAP1OUT)-(0))+IF(((c_TMAP1OUT)-(0))&gt;=0,1,-1)*QUOTIENT(((c_TMAP1IN)-(c_TFWD)),2)))&lt;0,-1,0),IF(IF(o_WRAP=1,MOD(((c_TMAP1IN)-(c_TFWD))*(((K311)-(c_TFWD))*((c_TMAP1OUT)-(0))+IF(((c_TMAP1OUT)-(0))&gt;=0,1,-1)*QUOTIENT(((c_TMAP1IN)-(c_TFWD)),2))+2147483648,4294967296)-2147483648,((c_TMAP1IN)-(c_TFWD))*(((K311)-(c_TFWD))*((c_TMAP1OUT)-(0))+IF(((c_TMAP1OUT)-(0))&gt;=0,1,-1)*QUOTIENT(((c_TMAP1IN)-(c_TFWD)),2)))&gt;=0,1,0)))</f>
        <v>672</v>
      </c>
      <c r="N311" s="7" t="n">
        <f aca="false">IF(((c_TMAP2IN)-(c_TMAP1IN))=0,(c_TMAP1OUT)+QUOTIENT(((c_TMAP2OUT)-(c_TMAP1OUT)),2),QUOTIENT((((K311)-(c_TMAP1IN))*((c_TMAP2OUT)-(c_TMAP1OUT))+IF(((c_TMAP2OUT)-(c_TMAP1OUT))&gt;=0,1,-1)*QUOTIENT(((c_TMAP2IN)-(c_TMAP1IN)),2)),((c_TMAP2IN)-(c_TMAP1IN)))+(c_TMAP1OUT)+IF(((c_TMAP2OUT)-(c_TMAP1OUT))&gt;=0,IF(IF(o_WRAP=1,MOD(((c_TMAP2IN)-(c_TMAP1IN))*(((K311)-(c_TMAP1IN))*((c_TMAP2OUT)-(c_TMAP1OUT))+IF(((c_TMAP2OUT)-(c_TMAP1OUT))&gt;=0,1,-1)*QUOTIENT(((c_TMAP2IN)-(c_TMAP1IN)),2))+2147483648,4294967296)-2147483648,((c_TMAP2IN)-(c_TMAP1IN))*(((K311)-(c_TMAP1IN))*((c_TMAP2OUT)-(c_TMAP1OUT))+IF(((c_TMAP2OUT)-(c_TMAP1OUT))&gt;=0,1,-1)*QUOTIENT(((c_TMAP2IN)-(c_TMAP1IN)),2)))&lt;0,-1,0),IF(IF(o_WRAP=1,MOD(((c_TMAP2IN)-(c_TMAP1IN))*(((K311)-(c_TMAP1IN))*((c_TMAP2OUT)-(c_TMAP1OUT))+IF(((c_TMAP2OUT)-(c_TMAP1OUT))&gt;=0,1,-1)*QUOTIENT(((c_TMAP2IN)-(c_TMAP1IN)),2))+2147483648,4294967296)-2147483648,((c_TMAP2IN)-(c_TMAP1IN))*(((K311)-(c_TMAP1IN))*((c_TMAP2OUT)-(c_TMAP1OUT))+IF(((c_TMAP2OUT)-(c_TMAP1OUT))&gt;=0,1,-1)*QUOTIENT(((c_TMAP2IN)-(c_TMAP1IN)),2)))&gt;=0,1,0)))</f>
        <v>380</v>
      </c>
      <c r="O311" s="7" t="n">
        <f aca="false">IF(((c_TMAP3IN)-(c_TMAP2IN))=0,(c_TMAP2OUT)+QUOTIENT(((c_TMAP3OUT)-(c_TMAP2OUT)),2),QUOTIENT((((K311)-(c_TMAP2IN))*((c_TMAP3OUT)-(c_TMAP2OUT))+IF(((c_TMAP3OUT)-(c_TMAP2OUT))&gt;=0,1,-1)*QUOTIENT(((c_TMAP3IN)-(c_TMAP2IN)),2)),((c_TMAP3IN)-(c_TMAP2IN)))+(c_TMAP2OUT)+IF(((c_TMAP3OUT)-(c_TMAP2OUT))&gt;=0,IF(IF(o_WRAP=1,MOD(((c_TMAP3IN)-(c_TMAP2IN))*(((K311)-(c_TMAP2IN))*((c_TMAP3OUT)-(c_TMAP2OUT))+IF(((c_TMAP3OUT)-(c_TMAP2OUT))&gt;=0,1,-1)*QUOTIENT(((c_TMAP3IN)-(c_TMAP2IN)),2))+2147483648,4294967296)-2147483648,((c_TMAP3IN)-(c_TMAP2IN))*(((K311)-(c_TMAP2IN))*((c_TMAP3OUT)-(c_TMAP2OUT))+IF(((c_TMAP3OUT)-(c_TMAP2OUT))&gt;=0,1,-1)*QUOTIENT(((c_TMAP3IN)-(c_TMAP2IN)),2)))&lt;0,-1,0),IF(IF(o_WRAP=1,MOD(((c_TMAP3IN)-(c_TMAP2IN))*(((K311)-(c_TMAP2IN))*((c_TMAP3OUT)-(c_TMAP2OUT))+IF(((c_TMAP3OUT)-(c_TMAP2OUT))&gt;=0,1,-1)*QUOTIENT(((c_TMAP3IN)-(c_TMAP2IN)),2))+2147483648,4294967296)-2147483648,((c_TMAP3IN)-(c_TMAP2IN))*(((K311)-(c_TMAP2IN))*((c_TMAP3OUT)-(c_TMAP2OUT))+IF(((c_TMAP3OUT)-(c_TMAP2OUT))&gt;=0,1,-1)*QUOTIENT(((c_TMAP3IN)-(c_TMAP2IN)),2)))&gt;=0,1,0)))</f>
        <v>567</v>
      </c>
      <c r="P311" s="7" t="n">
        <f aca="false">IF(((1000)-(c_TMAP3IN))=0,(c_TMAP3OUT)+QUOTIENT(((1000)-(c_TMAP3OUT)),2),QUOTIENT((((K311)-(c_TMAP3IN))*((1000)-(c_TMAP3OUT))+IF(((1000)-(c_TMAP3OUT))&gt;=0,1,-1)*QUOTIENT(((1000)-(c_TMAP3IN)),2)),((1000)-(c_TMAP3IN)))+(c_TMAP3OUT)+IF(((1000)-(c_TMAP3OUT))&gt;=0,IF(IF(o_WRAP=1,MOD(((1000)-(c_TMAP3IN))*(((K311)-(c_TMAP3IN))*((1000)-(c_TMAP3OUT))+IF(((1000)-(c_TMAP3OUT))&gt;=0,1,-1)*QUOTIENT(((1000)-(c_TMAP3IN)),2))+2147483648,4294967296)-2147483648,((1000)-(c_TMAP3IN))*(((K311)-(c_TMAP3IN))*((1000)-(c_TMAP3OUT))+IF(((1000)-(c_TMAP3OUT))&gt;=0,1,-1)*QUOTIENT(((1000)-(c_TMAP3IN)),2)))&lt;0,-1,0),IF(IF(o_WRAP=1,MOD(((1000)-(c_TMAP3IN))*(((K311)-(c_TMAP3IN))*((1000)-(c_TMAP3OUT))+IF(((1000)-(c_TMAP3OUT))&gt;=0,1,-1)*QUOTIENT(((1000)-(c_TMAP3IN)),2))+2147483648,4294967296)-2147483648,((1000)-(c_TMAP3IN))*(((K311)-(c_TMAP3IN))*((1000)-(c_TMAP3OUT))+IF(((1000)-(c_TMAP3OUT))&gt;=0,1,-1)*QUOTIENT(((1000)-(c_TMAP3IN)),2)))&gt;=0,1,0)))</f>
        <v>845</v>
      </c>
      <c r="Q311" s="7" t="str">
        <f aca="false">IF(K311&gt;=c_TFWD,IF(AND(K311&gt;=c_TMAP3IN,c_TMAP3IN&lt;1000),"Seg4 map3-100%",IF(AND(K311&gt;=c_TMAP2IN,c_TMAP3IN&gt;c_TMAP2IN),"Seg3 map2-map3",IF(AND(K311&gt;=c_TMAP1IN,c_TMAP2IN&gt;c_TMAP1IN),"Seg2 map1-map2","Seg1 TFWD-map1"))),IF(AND(K311=0,c_TCREEP&gt;0),"Creep",IF(AND(K311&lt;=c_TRNGMIN,K311&gt;=c_TRNGMAX,c_TRNGMIN-c_TRNGMAX&lt;&gt;0),"Regen ramp","Coast (0)")))</f>
        <v>Seg4 map3-100%</v>
      </c>
      <c r="R311" s="7" t="n">
        <f aca="false">IF(K311&gt;=c_TFWD,IF(AND(K311&gt;=c_TMAP3IN,c_TMAP3IN&lt;1000),P311,IF(AND(K311&gt;=c_TMAP2IN,c_TMAP3IN&gt;c_TMAP2IN),O311,IF(AND(K311&gt;=c_TMAP1IN,c_TMAP2IN&gt;c_TMAP1IN),N311,M311))),L311)</f>
        <v>845</v>
      </c>
      <c r="S311" s="7" t="str">
        <f aca="false">IF(R311&lt;-1090,"TOO LOW",IF(R311&gt;1090,"TOO HIGH",""))</f>
        <v/>
      </c>
      <c r="T311" s="15" t="n">
        <f aca="false">IF(H311&lt;&gt;"OK",0,IF(S311&lt;&gt;"",0,IF(R311&gt;979,1000,R311)))</f>
        <v>845</v>
      </c>
      <c r="U311" s="7" t="n">
        <f aca="false">T311/10</f>
        <v>84.5</v>
      </c>
    </row>
    <row r="312" customFormat="false" ht="15" hidden="false" customHeight="false" outlineLevel="0" collapsed="false">
      <c r="A312" s="7" t="n">
        <v>307</v>
      </c>
      <c r="B312" s="7" t="n">
        <f aca="false">ROUND(o_SWSTART+A312*(o_SWEND-o_SWSTART)/400,0)</f>
        <v>3143</v>
      </c>
      <c r="C312" s="7" t="n">
        <f aca="false">QUOTIENT((B312-c_OFF1)*c_GAIN1,1024)</f>
        <v>3143</v>
      </c>
      <c r="D312" s="7" t="n">
        <f aca="false">IF(((c_T1MX)-(c_T1MN))=0,(0)+QUOTIENT(((1000)-(0)),2),QUOTIENT((((C312)-(c_T1MN))*((1000)-(0))+IF(((1000)-(0))&gt;=0,1,-1)*QUOTIENT(((c_T1MX)-(c_T1MN)),2)),((c_T1MX)-(c_T1MN)))+(0)+IF(((1000)-(0))&gt;=0,IF(IF(o_WRAP=1,MOD(((c_T1MX)-(c_T1MN))*(((C312)-(c_T1MN))*((1000)-(0))+IF(((1000)-(0))&gt;=0,1,-1)*QUOTIENT(((c_T1MX)-(c_T1MN)),2))+2147483648,4294967296)-2147483648,((c_T1MX)-(c_T1MN))*(((C312)-(c_T1MN))*((1000)-(0))+IF(((1000)-(0))&gt;=0,1,-1)*QUOTIENT(((c_T1MX)-(c_T1MN)),2)))&lt;0,-1,0),IF(IF(o_WRAP=1,MOD(((c_T1MX)-(c_T1MN))*(((C312)-(c_T1MN))*((1000)-(0))+IF(((1000)-(0))&gt;=0,1,-1)*QUOTIENT(((c_T1MX)-(c_T1MN)),2))+2147483648,4294967296)-2147483648,((c_T1MX)-(c_T1MN))*(((C312)-(c_T1MN))*((1000)-(0))+IF(((1000)-(0))&gt;=0,1,-1)*QUOTIENT(((c_T1MX)-(c_T1MN)),2)))&gt;=0,1,0)))</f>
        <v>878</v>
      </c>
      <c r="E312" s="7" t="n">
        <f aca="false">IF(AND(c_TPOT=1,c_TTYPE=2),1000-D312,D312)</f>
        <v>878</v>
      </c>
      <c r="F312" s="7" t="str">
        <f aca="false">IF(c_TPOT&gt;1,ROUND(IF(c_TTYPE=2,c_T2MX-IF(c_T1MX=c_T1MN,0,(C312-c_T1MN)/(c_T1MX-c_T1MN))*(c_T2MX-c_T2MN),c_T2MN+IF(c_T1MX=c_T1MN,0,(C312-c_T1MN)/(c_T1MX-c_T1MN))*(c_T2MX-c_T2MN))+o_MISMATCH,0),"")</f>
        <v/>
      </c>
      <c r="G312" s="7" t="str">
        <f aca="false">IF(c_TPOT&gt;1,IF(((c_T2MX)-(c_T2MN))=0,(0)+QUOTIENT(((1000)-(0)),2),QUOTIENT((((F312)-(c_T2MN))*((1000)-(0))+IF(((1000)-(0))&gt;=0,1,-1)*QUOTIENT(((c_T2MX)-(c_T2MN)),2)),((c_T2MX)-(c_T2MN)))+(0)+IF(((1000)-(0))&gt;=0,IF(IF(o_WRAP=1,MOD(((c_T2MX)-(c_T2MN))*(((F312)-(c_T2MN))*((1000)-(0))+IF(((1000)-(0))&gt;=0,1,-1)*QUOTIENT(((c_T2MX)-(c_T2MN)),2))+2147483648,4294967296)-2147483648,((c_T2MX)-(c_T2MN))*(((F312)-(c_T2MN))*((1000)-(0))+IF(((1000)-(0))&gt;=0,1,-1)*QUOTIENT(((c_T2MX)-(c_T2MN)),2)))&lt;0,-1,0),IF(IF(o_WRAP=1,MOD(((c_T2MX)-(c_T2MN))*(((F312)-(c_T2MN))*((1000)-(0))+IF(((1000)-(0))&gt;=0,1,-1)*QUOTIENT(((c_T2MX)-(c_T2MN)),2))+2147483648,4294967296)-2147483648,((c_T2MX)-(c_T2MN))*(((F312)-(c_T2MN))*((1000)-(0))+IF(((1000)-(0))&gt;=0,1,-1)*QUOTIENT(((c_T2MX)-(c_T2MN)),2)))&gt;=0,1,0))),"")</f>
        <v/>
      </c>
      <c r="H312" s="7" t="str">
        <f aca="false">IF(E312&gt;1000+k_TOL,"T1 HIGH",IF(E312&lt;0-k_TOL,"T1 LOW",IF(c_TPOT&gt;1,IF(G312&gt;1000+k_TOL,"T2 HIGH",IF(G312&lt;0-k_TOL,"T2 LOW",IF(c_TTYPE=2,IF(ABS(1000-MAX(0,MIN(1000,E312))-MAX(0,MIN(1000,G312)))&gt;k_MAXERR,"MISMATCH","OK"),IF(OR(MAX(0,MIN(1000,E312))-k_MAXERR&gt;MAX(0,MIN(1000,G312)),MAX(0,MIN(1000,G312))-k_MAXERR&gt;MAX(0,MIN(1000,E312))),"MISMATCH","OK")))),"OK")))</f>
        <v>OK</v>
      </c>
      <c r="I312" s="7" t="n">
        <f aca="false">MAX(0,MIN(1000,D312))</f>
        <v>878</v>
      </c>
      <c r="J312" s="7" t="str">
        <f aca="false">IF(c_TPOT&gt;1,IF(c_TTYPE=2,1000-MAX(0,MIN(1000,G312)),MAX(0,MIN(1000,G312))),"")</f>
        <v/>
      </c>
      <c r="K312" s="7" t="n">
        <f aca="false">IF(c_TPOT&gt;1,QUOTIENT(I312+J312,2),I312)</f>
        <v>878</v>
      </c>
      <c r="L312" s="7" t="n">
        <f aca="false">IF(AND(K312=0,c_TCREEP&gt;0),10*c_TCREEP,IF(AND(K312&lt;=c_TRNGMIN,K312&gt;=c_TRNGMAX,c_TRNGMIN-c_TRNGMAX&lt;&gt;0),-10*c_TMINRN+QUOTIENT((c_TMAXRN-c_TMINRN)*(100-QUOTIENT((K312-c_TRNGMAX)*100,c_TRNGMIN-c_TRNGMAX)),-10),0))</f>
        <v>0</v>
      </c>
      <c r="M312" s="7" t="n">
        <f aca="false">IF(((c_TMAP1IN)-(c_TFWD))=0,(0)+QUOTIENT(((c_TMAP1OUT)-(0)),2),QUOTIENT((((K312)-(c_TFWD))*((c_TMAP1OUT)-(0))+IF(((c_TMAP1OUT)-(0))&gt;=0,1,-1)*QUOTIENT(((c_TMAP1IN)-(c_TFWD)),2)),((c_TMAP1IN)-(c_TFWD)))+(0)+IF(((c_TMAP1OUT)-(0))&gt;=0,IF(IF(o_WRAP=1,MOD(((c_TMAP1IN)-(c_TFWD))*(((K312)-(c_TFWD))*((c_TMAP1OUT)-(0))+IF(((c_TMAP1OUT)-(0))&gt;=0,1,-1)*QUOTIENT(((c_TMAP1IN)-(c_TFWD)),2))+2147483648,4294967296)-2147483648,((c_TMAP1IN)-(c_TFWD))*(((K312)-(c_TFWD))*((c_TMAP1OUT)-(0))+IF(((c_TMAP1OUT)-(0))&gt;=0,1,-1)*QUOTIENT(((c_TMAP1IN)-(c_TFWD)),2)))&lt;0,-1,0),IF(IF(o_WRAP=1,MOD(((c_TMAP1IN)-(c_TFWD))*(((K312)-(c_TFWD))*((c_TMAP1OUT)-(0))+IF(((c_TMAP1OUT)-(0))&gt;=0,1,-1)*QUOTIENT(((c_TMAP1IN)-(c_TFWD)),2))+2147483648,4294967296)-2147483648,((c_TMAP1IN)-(c_TFWD))*(((K312)-(c_TFWD))*((c_TMAP1OUT)-(0))+IF(((c_TMAP1OUT)-(0))&gt;=0,1,-1)*QUOTIENT(((c_TMAP1IN)-(c_TFWD)),2)))&gt;=0,1,0)))</f>
        <v>675</v>
      </c>
      <c r="N312" s="7" t="n">
        <f aca="false">IF(((c_TMAP2IN)-(c_TMAP1IN))=0,(c_TMAP1OUT)+QUOTIENT(((c_TMAP2OUT)-(c_TMAP1OUT)),2),QUOTIENT((((K312)-(c_TMAP1IN))*((c_TMAP2OUT)-(c_TMAP1OUT))+IF(((c_TMAP2OUT)-(c_TMAP1OUT))&gt;=0,1,-1)*QUOTIENT(((c_TMAP2IN)-(c_TMAP1IN)),2)),((c_TMAP2IN)-(c_TMAP1IN)))+(c_TMAP1OUT)+IF(((c_TMAP2OUT)-(c_TMAP1OUT))&gt;=0,IF(IF(o_WRAP=1,MOD(((c_TMAP2IN)-(c_TMAP1IN))*(((K312)-(c_TMAP1IN))*((c_TMAP2OUT)-(c_TMAP1OUT))+IF(((c_TMAP2OUT)-(c_TMAP1OUT))&gt;=0,1,-1)*QUOTIENT(((c_TMAP2IN)-(c_TMAP1IN)),2))+2147483648,4294967296)-2147483648,((c_TMAP2IN)-(c_TMAP1IN))*(((K312)-(c_TMAP1IN))*((c_TMAP2OUT)-(c_TMAP1OUT))+IF(((c_TMAP2OUT)-(c_TMAP1OUT))&gt;=0,1,-1)*QUOTIENT(((c_TMAP2IN)-(c_TMAP1IN)),2)))&lt;0,-1,0),IF(IF(o_WRAP=1,MOD(((c_TMAP2IN)-(c_TMAP1IN))*(((K312)-(c_TMAP1IN))*((c_TMAP2OUT)-(c_TMAP1OUT))+IF(((c_TMAP2OUT)-(c_TMAP1OUT))&gt;=0,1,-1)*QUOTIENT(((c_TMAP2IN)-(c_TMAP1IN)),2))+2147483648,4294967296)-2147483648,((c_TMAP2IN)-(c_TMAP1IN))*(((K312)-(c_TMAP1IN))*((c_TMAP2OUT)-(c_TMAP1OUT))+IF(((c_TMAP2OUT)-(c_TMAP1OUT))&gt;=0,1,-1)*QUOTIENT(((c_TMAP2IN)-(c_TMAP1IN)),2)))&gt;=0,1,0)))</f>
        <v>381</v>
      </c>
      <c r="O312" s="7" t="n">
        <f aca="false">IF(((c_TMAP3IN)-(c_TMAP2IN))=0,(c_TMAP2OUT)+QUOTIENT(((c_TMAP3OUT)-(c_TMAP2OUT)),2),QUOTIENT((((K312)-(c_TMAP2IN))*((c_TMAP3OUT)-(c_TMAP2OUT))+IF(((c_TMAP3OUT)-(c_TMAP2OUT))&gt;=0,1,-1)*QUOTIENT(((c_TMAP3IN)-(c_TMAP2IN)),2)),((c_TMAP3IN)-(c_TMAP2IN)))+(c_TMAP2OUT)+IF(((c_TMAP3OUT)-(c_TMAP2OUT))&gt;=0,IF(IF(o_WRAP=1,MOD(((c_TMAP3IN)-(c_TMAP2IN))*(((K312)-(c_TMAP2IN))*((c_TMAP3OUT)-(c_TMAP2OUT))+IF(((c_TMAP3OUT)-(c_TMAP2OUT))&gt;=0,1,-1)*QUOTIENT(((c_TMAP3IN)-(c_TMAP2IN)),2))+2147483648,4294967296)-2147483648,((c_TMAP3IN)-(c_TMAP2IN))*(((K312)-(c_TMAP2IN))*((c_TMAP3OUT)-(c_TMAP2OUT))+IF(((c_TMAP3OUT)-(c_TMAP2OUT))&gt;=0,1,-1)*QUOTIENT(((c_TMAP3IN)-(c_TMAP2IN)),2)))&lt;0,-1,0),IF(IF(o_WRAP=1,MOD(((c_TMAP3IN)-(c_TMAP2IN))*(((K312)-(c_TMAP2IN))*((c_TMAP3OUT)-(c_TMAP2OUT))+IF(((c_TMAP3OUT)-(c_TMAP2OUT))&gt;=0,1,-1)*QUOTIENT(((c_TMAP3IN)-(c_TMAP2IN)),2))+2147483648,4294967296)-2147483648,((c_TMAP3IN)-(c_TMAP2IN))*(((K312)-(c_TMAP2IN))*((c_TMAP3OUT)-(c_TMAP2OUT))+IF(((c_TMAP3OUT)-(c_TMAP2OUT))&gt;=0,1,-1)*QUOTIENT(((c_TMAP3IN)-(c_TMAP2IN)),2)))&gt;=0,1,0)))</f>
        <v>570</v>
      </c>
      <c r="P312" s="7" t="n">
        <f aca="false">IF(((1000)-(c_TMAP3IN))=0,(c_TMAP3OUT)+QUOTIENT(((1000)-(c_TMAP3OUT)),2),QUOTIENT((((K312)-(c_TMAP3IN))*((1000)-(c_TMAP3OUT))+IF(((1000)-(c_TMAP3OUT))&gt;=0,1,-1)*QUOTIENT(((1000)-(c_TMAP3IN)),2)),((1000)-(c_TMAP3IN)))+(c_TMAP3OUT)+IF(((1000)-(c_TMAP3OUT))&gt;=0,IF(IF(o_WRAP=1,MOD(((1000)-(c_TMAP3IN))*(((K312)-(c_TMAP3IN))*((1000)-(c_TMAP3OUT))+IF(((1000)-(c_TMAP3OUT))&gt;=0,1,-1)*QUOTIENT(((1000)-(c_TMAP3IN)),2))+2147483648,4294967296)-2147483648,((1000)-(c_TMAP3IN))*(((K312)-(c_TMAP3IN))*((1000)-(c_TMAP3OUT))+IF(((1000)-(c_TMAP3OUT))&gt;=0,1,-1)*QUOTIENT(((1000)-(c_TMAP3IN)),2)))&lt;0,-1,0),IF(IF(o_WRAP=1,MOD(((1000)-(c_TMAP3IN))*(((K312)-(c_TMAP3IN))*((1000)-(c_TMAP3OUT))+IF(((1000)-(c_TMAP3OUT))&gt;=0,1,-1)*QUOTIENT(((1000)-(c_TMAP3IN)),2))+2147483648,4294967296)-2147483648,((1000)-(c_TMAP3IN))*(((K312)-(c_TMAP3IN))*((1000)-(c_TMAP3OUT))+IF(((1000)-(c_TMAP3OUT))&gt;=0,1,-1)*QUOTIENT(((1000)-(c_TMAP3IN)),2)))&gt;=0,1,0)))</f>
        <v>850</v>
      </c>
      <c r="Q312" s="7" t="str">
        <f aca="false">IF(K312&gt;=c_TFWD,IF(AND(K312&gt;=c_TMAP3IN,c_TMAP3IN&lt;1000),"Seg4 map3-100%",IF(AND(K312&gt;=c_TMAP2IN,c_TMAP3IN&gt;c_TMAP2IN),"Seg3 map2-map3",IF(AND(K312&gt;=c_TMAP1IN,c_TMAP2IN&gt;c_TMAP1IN),"Seg2 map1-map2","Seg1 TFWD-map1"))),IF(AND(K312=0,c_TCREEP&gt;0),"Creep",IF(AND(K312&lt;=c_TRNGMIN,K312&gt;=c_TRNGMAX,c_TRNGMIN-c_TRNGMAX&lt;&gt;0),"Regen ramp","Coast (0)")))</f>
        <v>Seg4 map3-100%</v>
      </c>
      <c r="R312" s="7" t="n">
        <f aca="false">IF(K312&gt;=c_TFWD,IF(AND(K312&gt;=c_TMAP3IN,c_TMAP3IN&lt;1000),P312,IF(AND(K312&gt;=c_TMAP2IN,c_TMAP3IN&gt;c_TMAP2IN),O312,IF(AND(K312&gt;=c_TMAP1IN,c_TMAP2IN&gt;c_TMAP1IN),N312,M312))),L312)</f>
        <v>850</v>
      </c>
      <c r="S312" s="7" t="str">
        <f aca="false">IF(R312&lt;-1090,"TOO LOW",IF(R312&gt;1090,"TOO HIGH",""))</f>
        <v/>
      </c>
      <c r="T312" s="15" t="n">
        <f aca="false">IF(H312&lt;&gt;"OK",0,IF(S312&lt;&gt;"",0,IF(R312&gt;979,1000,R312)))</f>
        <v>850</v>
      </c>
      <c r="U312" s="7" t="n">
        <f aca="false">T312/10</f>
        <v>85</v>
      </c>
    </row>
    <row r="313" customFormat="false" ht="15" hidden="false" customHeight="false" outlineLevel="0" collapsed="false">
      <c r="A313" s="7" t="n">
        <v>308</v>
      </c>
      <c r="B313" s="7" t="n">
        <f aca="false">ROUND(o_SWSTART+A313*(o_SWEND-o_SWSTART)/400,0)</f>
        <v>3153</v>
      </c>
      <c r="C313" s="7" t="n">
        <f aca="false">QUOTIENT((B313-c_OFF1)*c_GAIN1,1024)</f>
        <v>3153</v>
      </c>
      <c r="D313" s="7" t="n">
        <f aca="false">IF(((c_T1MX)-(c_T1MN))=0,(0)+QUOTIENT(((1000)-(0)),2),QUOTIENT((((C313)-(c_T1MN))*((1000)-(0))+IF(((1000)-(0))&gt;=0,1,-1)*QUOTIENT(((c_T1MX)-(c_T1MN)),2)),((c_T1MX)-(c_T1MN)))+(0)+IF(((1000)-(0))&gt;=0,IF(IF(o_WRAP=1,MOD(((c_T1MX)-(c_T1MN))*(((C313)-(c_T1MN))*((1000)-(0))+IF(((1000)-(0))&gt;=0,1,-1)*QUOTIENT(((c_T1MX)-(c_T1MN)),2))+2147483648,4294967296)-2147483648,((c_T1MX)-(c_T1MN))*(((C313)-(c_T1MN))*((1000)-(0))+IF(((1000)-(0))&gt;=0,1,-1)*QUOTIENT(((c_T1MX)-(c_T1MN)),2)))&lt;0,-1,0),IF(IF(o_WRAP=1,MOD(((c_T1MX)-(c_T1MN))*(((C313)-(c_T1MN))*((1000)-(0))+IF(((1000)-(0))&gt;=0,1,-1)*QUOTIENT(((c_T1MX)-(c_T1MN)),2))+2147483648,4294967296)-2147483648,((c_T1MX)-(c_T1MN))*(((C313)-(c_T1MN))*((1000)-(0))+IF(((1000)-(0))&gt;=0,1,-1)*QUOTIENT(((c_T1MX)-(c_T1MN)),2)))&gt;=0,1,0)))</f>
        <v>881</v>
      </c>
      <c r="E313" s="7" t="n">
        <f aca="false">IF(AND(c_TPOT=1,c_TTYPE=2),1000-D313,D313)</f>
        <v>881</v>
      </c>
      <c r="F313" s="7" t="str">
        <f aca="false">IF(c_TPOT&gt;1,ROUND(IF(c_TTYPE=2,c_T2MX-IF(c_T1MX=c_T1MN,0,(C313-c_T1MN)/(c_T1MX-c_T1MN))*(c_T2MX-c_T2MN),c_T2MN+IF(c_T1MX=c_T1MN,0,(C313-c_T1MN)/(c_T1MX-c_T1MN))*(c_T2MX-c_T2MN))+o_MISMATCH,0),"")</f>
        <v/>
      </c>
      <c r="G313" s="7" t="str">
        <f aca="false">IF(c_TPOT&gt;1,IF(((c_T2MX)-(c_T2MN))=0,(0)+QUOTIENT(((1000)-(0)),2),QUOTIENT((((F313)-(c_T2MN))*((1000)-(0))+IF(((1000)-(0))&gt;=0,1,-1)*QUOTIENT(((c_T2MX)-(c_T2MN)),2)),((c_T2MX)-(c_T2MN)))+(0)+IF(((1000)-(0))&gt;=0,IF(IF(o_WRAP=1,MOD(((c_T2MX)-(c_T2MN))*(((F313)-(c_T2MN))*((1000)-(0))+IF(((1000)-(0))&gt;=0,1,-1)*QUOTIENT(((c_T2MX)-(c_T2MN)),2))+2147483648,4294967296)-2147483648,((c_T2MX)-(c_T2MN))*(((F313)-(c_T2MN))*((1000)-(0))+IF(((1000)-(0))&gt;=0,1,-1)*QUOTIENT(((c_T2MX)-(c_T2MN)),2)))&lt;0,-1,0),IF(IF(o_WRAP=1,MOD(((c_T2MX)-(c_T2MN))*(((F313)-(c_T2MN))*((1000)-(0))+IF(((1000)-(0))&gt;=0,1,-1)*QUOTIENT(((c_T2MX)-(c_T2MN)),2))+2147483648,4294967296)-2147483648,((c_T2MX)-(c_T2MN))*(((F313)-(c_T2MN))*((1000)-(0))+IF(((1000)-(0))&gt;=0,1,-1)*QUOTIENT(((c_T2MX)-(c_T2MN)),2)))&gt;=0,1,0))),"")</f>
        <v/>
      </c>
      <c r="H313" s="7" t="str">
        <f aca="false">IF(E313&gt;1000+k_TOL,"T1 HIGH",IF(E313&lt;0-k_TOL,"T1 LOW",IF(c_TPOT&gt;1,IF(G313&gt;1000+k_TOL,"T2 HIGH",IF(G313&lt;0-k_TOL,"T2 LOW",IF(c_TTYPE=2,IF(ABS(1000-MAX(0,MIN(1000,E313))-MAX(0,MIN(1000,G313)))&gt;k_MAXERR,"MISMATCH","OK"),IF(OR(MAX(0,MIN(1000,E313))-k_MAXERR&gt;MAX(0,MIN(1000,G313)),MAX(0,MIN(1000,G313))-k_MAXERR&gt;MAX(0,MIN(1000,E313))),"MISMATCH","OK")))),"OK")))</f>
        <v>OK</v>
      </c>
      <c r="I313" s="7" t="n">
        <f aca="false">MAX(0,MIN(1000,D313))</f>
        <v>881</v>
      </c>
      <c r="J313" s="7" t="str">
        <f aca="false">IF(c_TPOT&gt;1,IF(c_TTYPE=2,1000-MAX(0,MIN(1000,G313)),MAX(0,MIN(1000,G313))),"")</f>
        <v/>
      </c>
      <c r="K313" s="7" t="n">
        <f aca="false">IF(c_TPOT&gt;1,QUOTIENT(I313+J313,2),I313)</f>
        <v>881</v>
      </c>
      <c r="L313" s="7" t="n">
        <f aca="false">IF(AND(K313=0,c_TCREEP&gt;0),10*c_TCREEP,IF(AND(K313&lt;=c_TRNGMIN,K313&gt;=c_TRNGMAX,c_TRNGMIN-c_TRNGMAX&lt;&gt;0),-10*c_TMINRN+QUOTIENT((c_TMAXRN-c_TMINRN)*(100-QUOTIENT((K313-c_TRNGMAX)*100,c_TRNGMIN-c_TRNGMAX)),-10),0))</f>
        <v>0</v>
      </c>
      <c r="M313" s="7" t="n">
        <f aca="false">IF(((c_TMAP1IN)-(c_TFWD))=0,(0)+QUOTIENT(((c_TMAP1OUT)-(0)),2),QUOTIENT((((K313)-(c_TFWD))*((c_TMAP1OUT)-(0))+IF(((c_TMAP1OUT)-(0))&gt;=0,1,-1)*QUOTIENT(((c_TMAP1IN)-(c_TFWD)),2)),((c_TMAP1IN)-(c_TFWD)))+(0)+IF(((c_TMAP1OUT)-(0))&gt;=0,IF(IF(o_WRAP=1,MOD(((c_TMAP1IN)-(c_TFWD))*(((K313)-(c_TFWD))*((c_TMAP1OUT)-(0))+IF(((c_TMAP1OUT)-(0))&gt;=0,1,-1)*QUOTIENT(((c_TMAP1IN)-(c_TFWD)),2))+2147483648,4294967296)-2147483648,((c_TMAP1IN)-(c_TFWD))*(((K313)-(c_TFWD))*((c_TMAP1OUT)-(0))+IF(((c_TMAP1OUT)-(0))&gt;=0,1,-1)*QUOTIENT(((c_TMAP1IN)-(c_TFWD)),2)))&lt;0,-1,0),IF(IF(o_WRAP=1,MOD(((c_TMAP1IN)-(c_TFWD))*(((K313)-(c_TFWD))*((c_TMAP1OUT)-(0))+IF(((c_TMAP1OUT)-(0))&gt;=0,1,-1)*QUOTIENT(((c_TMAP1IN)-(c_TFWD)),2))+2147483648,4294967296)-2147483648,((c_TMAP1IN)-(c_TFWD))*(((K313)-(c_TFWD))*((c_TMAP1OUT)-(0))+IF(((c_TMAP1OUT)-(0))&gt;=0,1,-1)*QUOTIENT(((c_TMAP1IN)-(c_TFWD)),2)))&gt;=0,1,0)))</f>
        <v>677</v>
      </c>
      <c r="N313" s="7" t="n">
        <f aca="false">IF(((c_TMAP2IN)-(c_TMAP1IN))=0,(c_TMAP1OUT)+QUOTIENT(((c_TMAP2OUT)-(c_TMAP1OUT)),2),QUOTIENT((((K313)-(c_TMAP1IN))*((c_TMAP2OUT)-(c_TMAP1OUT))+IF(((c_TMAP2OUT)-(c_TMAP1OUT))&gt;=0,1,-1)*QUOTIENT(((c_TMAP2IN)-(c_TMAP1IN)),2)),((c_TMAP2IN)-(c_TMAP1IN)))+(c_TMAP1OUT)+IF(((c_TMAP2OUT)-(c_TMAP1OUT))&gt;=0,IF(IF(o_WRAP=1,MOD(((c_TMAP2IN)-(c_TMAP1IN))*(((K313)-(c_TMAP1IN))*((c_TMAP2OUT)-(c_TMAP1OUT))+IF(((c_TMAP2OUT)-(c_TMAP1OUT))&gt;=0,1,-1)*QUOTIENT(((c_TMAP2IN)-(c_TMAP1IN)),2))+2147483648,4294967296)-2147483648,((c_TMAP2IN)-(c_TMAP1IN))*(((K313)-(c_TMAP1IN))*((c_TMAP2OUT)-(c_TMAP1OUT))+IF(((c_TMAP2OUT)-(c_TMAP1OUT))&gt;=0,1,-1)*QUOTIENT(((c_TMAP2IN)-(c_TMAP1IN)),2)))&lt;0,-1,0),IF(IF(o_WRAP=1,MOD(((c_TMAP2IN)-(c_TMAP1IN))*(((K313)-(c_TMAP1IN))*((c_TMAP2OUT)-(c_TMAP1OUT))+IF(((c_TMAP2OUT)-(c_TMAP1OUT))&gt;=0,1,-1)*QUOTIENT(((c_TMAP2IN)-(c_TMAP1IN)),2))+2147483648,4294967296)-2147483648,((c_TMAP2IN)-(c_TMAP1IN))*(((K313)-(c_TMAP1IN))*((c_TMAP2OUT)-(c_TMAP1OUT))+IF(((c_TMAP2OUT)-(c_TMAP1OUT))&gt;=0,1,-1)*QUOTIENT(((c_TMAP2IN)-(c_TMAP1IN)),2)))&gt;=0,1,0)))</f>
        <v>382</v>
      </c>
      <c r="O313" s="7" t="n">
        <f aca="false">IF(((c_TMAP3IN)-(c_TMAP2IN))=0,(c_TMAP2OUT)+QUOTIENT(((c_TMAP3OUT)-(c_TMAP2OUT)),2),QUOTIENT((((K313)-(c_TMAP2IN))*((c_TMAP3OUT)-(c_TMAP2OUT))+IF(((c_TMAP3OUT)-(c_TMAP2OUT))&gt;=0,1,-1)*QUOTIENT(((c_TMAP3IN)-(c_TMAP2IN)),2)),((c_TMAP3IN)-(c_TMAP2IN)))+(c_TMAP2OUT)+IF(((c_TMAP3OUT)-(c_TMAP2OUT))&gt;=0,IF(IF(o_WRAP=1,MOD(((c_TMAP3IN)-(c_TMAP2IN))*(((K313)-(c_TMAP2IN))*((c_TMAP3OUT)-(c_TMAP2OUT))+IF(((c_TMAP3OUT)-(c_TMAP2OUT))&gt;=0,1,-1)*QUOTIENT(((c_TMAP3IN)-(c_TMAP2IN)),2))+2147483648,4294967296)-2147483648,((c_TMAP3IN)-(c_TMAP2IN))*(((K313)-(c_TMAP2IN))*((c_TMAP3OUT)-(c_TMAP2OUT))+IF(((c_TMAP3OUT)-(c_TMAP2OUT))&gt;=0,1,-1)*QUOTIENT(((c_TMAP3IN)-(c_TMAP2IN)),2)))&lt;0,-1,0),IF(IF(o_WRAP=1,MOD(((c_TMAP3IN)-(c_TMAP2IN))*(((K313)-(c_TMAP2IN))*((c_TMAP3OUT)-(c_TMAP2OUT))+IF(((c_TMAP3OUT)-(c_TMAP2OUT))&gt;=0,1,-1)*QUOTIENT(((c_TMAP3IN)-(c_TMAP2IN)),2))+2147483648,4294967296)-2147483648,((c_TMAP3IN)-(c_TMAP2IN))*(((K313)-(c_TMAP2IN))*((c_TMAP3OUT)-(c_TMAP2OUT))+IF(((c_TMAP3OUT)-(c_TMAP2OUT))&gt;=0,1,-1)*QUOTIENT(((c_TMAP3IN)-(c_TMAP2IN)),2)))&gt;=0,1,0)))</f>
        <v>572</v>
      </c>
      <c r="P313" s="7" t="n">
        <f aca="false">IF(((1000)-(c_TMAP3IN))=0,(c_TMAP3OUT)+QUOTIENT(((1000)-(c_TMAP3OUT)),2),QUOTIENT((((K313)-(c_TMAP3IN))*((1000)-(c_TMAP3OUT))+IF(((1000)-(c_TMAP3OUT))&gt;=0,1,-1)*QUOTIENT(((1000)-(c_TMAP3IN)),2)),((1000)-(c_TMAP3IN)))+(c_TMAP3OUT)+IF(((1000)-(c_TMAP3OUT))&gt;=0,IF(IF(o_WRAP=1,MOD(((1000)-(c_TMAP3IN))*(((K313)-(c_TMAP3IN))*((1000)-(c_TMAP3OUT))+IF(((1000)-(c_TMAP3OUT))&gt;=0,1,-1)*QUOTIENT(((1000)-(c_TMAP3IN)),2))+2147483648,4294967296)-2147483648,((1000)-(c_TMAP3IN))*(((K313)-(c_TMAP3IN))*((1000)-(c_TMAP3OUT))+IF(((1000)-(c_TMAP3OUT))&gt;=0,1,-1)*QUOTIENT(((1000)-(c_TMAP3IN)),2)))&lt;0,-1,0),IF(IF(o_WRAP=1,MOD(((1000)-(c_TMAP3IN))*(((K313)-(c_TMAP3IN))*((1000)-(c_TMAP3OUT))+IF(((1000)-(c_TMAP3OUT))&gt;=0,1,-1)*QUOTIENT(((1000)-(c_TMAP3IN)),2))+2147483648,4294967296)-2147483648,((1000)-(c_TMAP3IN))*(((K313)-(c_TMAP3IN))*((1000)-(c_TMAP3OUT))+IF(((1000)-(c_TMAP3OUT))&gt;=0,1,-1)*QUOTIENT(((1000)-(c_TMAP3IN)),2)))&gt;=0,1,0)))</f>
        <v>854</v>
      </c>
      <c r="Q313" s="7" t="str">
        <f aca="false">IF(K313&gt;=c_TFWD,IF(AND(K313&gt;=c_TMAP3IN,c_TMAP3IN&lt;1000),"Seg4 map3-100%",IF(AND(K313&gt;=c_TMAP2IN,c_TMAP3IN&gt;c_TMAP2IN),"Seg3 map2-map3",IF(AND(K313&gt;=c_TMAP1IN,c_TMAP2IN&gt;c_TMAP1IN),"Seg2 map1-map2","Seg1 TFWD-map1"))),IF(AND(K313=0,c_TCREEP&gt;0),"Creep",IF(AND(K313&lt;=c_TRNGMIN,K313&gt;=c_TRNGMAX,c_TRNGMIN-c_TRNGMAX&lt;&gt;0),"Regen ramp","Coast (0)")))</f>
        <v>Seg4 map3-100%</v>
      </c>
      <c r="R313" s="7" t="n">
        <f aca="false">IF(K313&gt;=c_TFWD,IF(AND(K313&gt;=c_TMAP3IN,c_TMAP3IN&lt;1000),P313,IF(AND(K313&gt;=c_TMAP2IN,c_TMAP3IN&gt;c_TMAP2IN),O313,IF(AND(K313&gt;=c_TMAP1IN,c_TMAP2IN&gt;c_TMAP1IN),N313,M313))),L313)</f>
        <v>854</v>
      </c>
      <c r="S313" s="7" t="str">
        <f aca="false">IF(R313&lt;-1090,"TOO LOW",IF(R313&gt;1090,"TOO HIGH",""))</f>
        <v/>
      </c>
      <c r="T313" s="15" t="n">
        <f aca="false">IF(H313&lt;&gt;"OK",0,IF(S313&lt;&gt;"",0,IF(R313&gt;979,1000,R313)))</f>
        <v>854</v>
      </c>
      <c r="U313" s="7" t="n">
        <f aca="false">T313/10</f>
        <v>85.4</v>
      </c>
    </row>
    <row r="314" customFormat="false" ht="15" hidden="false" customHeight="false" outlineLevel="0" collapsed="false">
      <c r="A314" s="7" t="n">
        <v>309</v>
      </c>
      <c r="B314" s="7" t="n">
        <f aca="false">ROUND(o_SWSTART+A314*(o_SWEND-o_SWSTART)/400,0)</f>
        <v>3163</v>
      </c>
      <c r="C314" s="7" t="n">
        <f aca="false">QUOTIENT((B314-c_OFF1)*c_GAIN1,1024)</f>
        <v>3163</v>
      </c>
      <c r="D314" s="7" t="n">
        <f aca="false">IF(((c_T1MX)-(c_T1MN))=0,(0)+QUOTIENT(((1000)-(0)),2),QUOTIENT((((C314)-(c_T1MN))*((1000)-(0))+IF(((1000)-(0))&gt;=0,1,-1)*QUOTIENT(((c_T1MX)-(c_T1MN)),2)),((c_T1MX)-(c_T1MN)))+(0)+IF(((1000)-(0))&gt;=0,IF(IF(o_WRAP=1,MOD(((c_T1MX)-(c_T1MN))*(((C314)-(c_T1MN))*((1000)-(0))+IF(((1000)-(0))&gt;=0,1,-1)*QUOTIENT(((c_T1MX)-(c_T1MN)),2))+2147483648,4294967296)-2147483648,((c_T1MX)-(c_T1MN))*(((C314)-(c_T1MN))*((1000)-(0))+IF(((1000)-(0))&gt;=0,1,-1)*QUOTIENT(((c_T1MX)-(c_T1MN)),2)))&lt;0,-1,0),IF(IF(o_WRAP=1,MOD(((c_T1MX)-(c_T1MN))*(((C314)-(c_T1MN))*((1000)-(0))+IF(((1000)-(0))&gt;=0,1,-1)*QUOTIENT(((c_T1MX)-(c_T1MN)),2))+2147483648,4294967296)-2147483648,((c_T1MX)-(c_T1MN))*(((C314)-(c_T1MN))*((1000)-(0))+IF(((1000)-(0))&gt;=0,1,-1)*QUOTIENT(((c_T1MX)-(c_T1MN)),2)))&gt;=0,1,0)))</f>
        <v>885</v>
      </c>
      <c r="E314" s="7" t="n">
        <f aca="false">IF(AND(c_TPOT=1,c_TTYPE=2),1000-D314,D314)</f>
        <v>885</v>
      </c>
      <c r="F314" s="7" t="str">
        <f aca="false">IF(c_TPOT&gt;1,ROUND(IF(c_TTYPE=2,c_T2MX-IF(c_T1MX=c_T1MN,0,(C314-c_T1MN)/(c_T1MX-c_T1MN))*(c_T2MX-c_T2MN),c_T2MN+IF(c_T1MX=c_T1MN,0,(C314-c_T1MN)/(c_T1MX-c_T1MN))*(c_T2MX-c_T2MN))+o_MISMATCH,0),"")</f>
        <v/>
      </c>
      <c r="G314" s="7" t="str">
        <f aca="false">IF(c_TPOT&gt;1,IF(((c_T2MX)-(c_T2MN))=0,(0)+QUOTIENT(((1000)-(0)),2),QUOTIENT((((F314)-(c_T2MN))*((1000)-(0))+IF(((1000)-(0))&gt;=0,1,-1)*QUOTIENT(((c_T2MX)-(c_T2MN)),2)),((c_T2MX)-(c_T2MN)))+(0)+IF(((1000)-(0))&gt;=0,IF(IF(o_WRAP=1,MOD(((c_T2MX)-(c_T2MN))*(((F314)-(c_T2MN))*((1000)-(0))+IF(((1000)-(0))&gt;=0,1,-1)*QUOTIENT(((c_T2MX)-(c_T2MN)),2))+2147483648,4294967296)-2147483648,((c_T2MX)-(c_T2MN))*(((F314)-(c_T2MN))*((1000)-(0))+IF(((1000)-(0))&gt;=0,1,-1)*QUOTIENT(((c_T2MX)-(c_T2MN)),2)))&lt;0,-1,0),IF(IF(o_WRAP=1,MOD(((c_T2MX)-(c_T2MN))*(((F314)-(c_T2MN))*((1000)-(0))+IF(((1000)-(0))&gt;=0,1,-1)*QUOTIENT(((c_T2MX)-(c_T2MN)),2))+2147483648,4294967296)-2147483648,((c_T2MX)-(c_T2MN))*(((F314)-(c_T2MN))*((1000)-(0))+IF(((1000)-(0))&gt;=0,1,-1)*QUOTIENT(((c_T2MX)-(c_T2MN)),2)))&gt;=0,1,0))),"")</f>
        <v/>
      </c>
      <c r="H314" s="7" t="str">
        <f aca="false">IF(E314&gt;1000+k_TOL,"T1 HIGH",IF(E314&lt;0-k_TOL,"T1 LOW",IF(c_TPOT&gt;1,IF(G314&gt;1000+k_TOL,"T2 HIGH",IF(G314&lt;0-k_TOL,"T2 LOW",IF(c_TTYPE=2,IF(ABS(1000-MAX(0,MIN(1000,E314))-MAX(0,MIN(1000,G314)))&gt;k_MAXERR,"MISMATCH","OK"),IF(OR(MAX(0,MIN(1000,E314))-k_MAXERR&gt;MAX(0,MIN(1000,G314)),MAX(0,MIN(1000,G314))-k_MAXERR&gt;MAX(0,MIN(1000,E314))),"MISMATCH","OK")))),"OK")))</f>
        <v>OK</v>
      </c>
      <c r="I314" s="7" t="n">
        <f aca="false">MAX(0,MIN(1000,D314))</f>
        <v>885</v>
      </c>
      <c r="J314" s="7" t="str">
        <f aca="false">IF(c_TPOT&gt;1,IF(c_TTYPE=2,1000-MAX(0,MIN(1000,G314)),MAX(0,MIN(1000,G314))),"")</f>
        <v/>
      </c>
      <c r="K314" s="7" t="n">
        <f aca="false">IF(c_TPOT&gt;1,QUOTIENT(I314+J314,2),I314)</f>
        <v>885</v>
      </c>
      <c r="L314" s="7" t="n">
        <f aca="false">IF(AND(K314=0,c_TCREEP&gt;0),10*c_TCREEP,IF(AND(K314&lt;=c_TRNGMIN,K314&gt;=c_TRNGMAX,c_TRNGMIN-c_TRNGMAX&lt;&gt;0),-10*c_TMINRN+QUOTIENT((c_TMAXRN-c_TMINRN)*(100-QUOTIENT((K314-c_TRNGMAX)*100,c_TRNGMIN-c_TRNGMAX)),-10),0))</f>
        <v>0</v>
      </c>
      <c r="M314" s="7" t="n">
        <f aca="false">IF(((c_TMAP1IN)-(c_TFWD))=0,(0)+QUOTIENT(((c_TMAP1OUT)-(0)),2),QUOTIENT((((K314)-(c_TFWD))*((c_TMAP1OUT)-(0))+IF(((c_TMAP1OUT)-(0))&gt;=0,1,-1)*QUOTIENT(((c_TMAP1IN)-(c_TFWD)),2)),((c_TMAP1IN)-(c_TFWD)))+(0)+IF(((c_TMAP1OUT)-(0))&gt;=0,IF(IF(o_WRAP=1,MOD(((c_TMAP1IN)-(c_TFWD))*(((K314)-(c_TFWD))*((c_TMAP1OUT)-(0))+IF(((c_TMAP1OUT)-(0))&gt;=0,1,-1)*QUOTIENT(((c_TMAP1IN)-(c_TFWD)),2))+2147483648,4294967296)-2147483648,((c_TMAP1IN)-(c_TFWD))*(((K314)-(c_TFWD))*((c_TMAP1OUT)-(0))+IF(((c_TMAP1OUT)-(0))&gt;=0,1,-1)*QUOTIENT(((c_TMAP1IN)-(c_TFWD)),2)))&lt;0,-1,0),IF(IF(o_WRAP=1,MOD(((c_TMAP1IN)-(c_TFWD))*(((K314)-(c_TFWD))*((c_TMAP1OUT)-(0))+IF(((c_TMAP1OUT)-(0))&gt;=0,1,-1)*QUOTIENT(((c_TMAP1IN)-(c_TFWD)),2))+2147483648,4294967296)-2147483648,((c_TMAP1IN)-(c_TFWD))*(((K314)-(c_TFWD))*((c_TMAP1OUT)-(0))+IF(((c_TMAP1OUT)-(0))&gt;=0,1,-1)*QUOTIENT(((c_TMAP1IN)-(c_TFWD)),2)))&gt;=0,1,0)))</f>
        <v>681</v>
      </c>
      <c r="N314" s="7" t="n">
        <f aca="false">IF(((c_TMAP2IN)-(c_TMAP1IN))=0,(c_TMAP1OUT)+QUOTIENT(((c_TMAP2OUT)-(c_TMAP1OUT)),2),QUOTIENT((((K314)-(c_TMAP1IN))*((c_TMAP2OUT)-(c_TMAP1OUT))+IF(((c_TMAP2OUT)-(c_TMAP1OUT))&gt;=0,1,-1)*QUOTIENT(((c_TMAP2IN)-(c_TMAP1IN)),2)),((c_TMAP2IN)-(c_TMAP1IN)))+(c_TMAP1OUT)+IF(((c_TMAP2OUT)-(c_TMAP1OUT))&gt;=0,IF(IF(o_WRAP=1,MOD(((c_TMAP2IN)-(c_TMAP1IN))*(((K314)-(c_TMAP1IN))*((c_TMAP2OUT)-(c_TMAP1OUT))+IF(((c_TMAP2OUT)-(c_TMAP1OUT))&gt;=0,1,-1)*QUOTIENT(((c_TMAP2IN)-(c_TMAP1IN)),2))+2147483648,4294967296)-2147483648,((c_TMAP2IN)-(c_TMAP1IN))*(((K314)-(c_TMAP1IN))*((c_TMAP2OUT)-(c_TMAP1OUT))+IF(((c_TMAP2OUT)-(c_TMAP1OUT))&gt;=0,1,-1)*QUOTIENT(((c_TMAP2IN)-(c_TMAP1IN)),2)))&lt;0,-1,0),IF(IF(o_WRAP=1,MOD(((c_TMAP2IN)-(c_TMAP1IN))*(((K314)-(c_TMAP1IN))*((c_TMAP2OUT)-(c_TMAP1OUT))+IF(((c_TMAP2OUT)-(c_TMAP1OUT))&gt;=0,1,-1)*QUOTIENT(((c_TMAP2IN)-(c_TMAP1IN)),2))+2147483648,4294967296)-2147483648,((c_TMAP2IN)-(c_TMAP1IN))*(((K314)-(c_TMAP1IN))*((c_TMAP2OUT)-(c_TMAP1OUT))+IF(((c_TMAP2OUT)-(c_TMAP1OUT))&gt;=0,1,-1)*QUOTIENT(((c_TMAP2IN)-(c_TMAP1IN)),2)))&gt;=0,1,0)))</f>
        <v>384</v>
      </c>
      <c r="O314" s="7" t="n">
        <f aca="false">IF(((c_TMAP3IN)-(c_TMAP2IN))=0,(c_TMAP2OUT)+QUOTIENT(((c_TMAP3OUT)-(c_TMAP2OUT)),2),QUOTIENT((((K314)-(c_TMAP2IN))*((c_TMAP3OUT)-(c_TMAP2OUT))+IF(((c_TMAP3OUT)-(c_TMAP2OUT))&gt;=0,1,-1)*QUOTIENT(((c_TMAP3IN)-(c_TMAP2IN)),2)),((c_TMAP3IN)-(c_TMAP2IN)))+(c_TMAP2OUT)+IF(((c_TMAP3OUT)-(c_TMAP2OUT))&gt;=0,IF(IF(o_WRAP=1,MOD(((c_TMAP3IN)-(c_TMAP2IN))*(((K314)-(c_TMAP2IN))*((c_TMAP3OUT)-(c_TMAP2OUT))+IF(((c_TMAP3OUT)-(c_TMAP2OUT))&gt;=0,1,-1)*QUOTIENT(((c_TMAP3IN)-(c_TMAP2IN)),2))+2147483648,4294967296)-2147483648,((c_TMAP3IN)-(c_TMAP2IN))*(((K314)-(c_TMAP2IN))*((c_TMAP3OUT)-(c_TMAP2OUT))+IF(((c_TMAP3OUT)-(c_TMAP2OUT))&gt;=0,1,-1)*QUOTIENT(((c_TMAP3IN)-(c_TMAP2IN)),2)))&lt;0,-1,0),IF(IF(o_WRAP=1,MOD(((c_TMAP3IN)-(c_TMAP2IN))*(((K314)-(c_TMAP2IN))*((c_TMAP3OUT)-(c_TMAP2OUT))+IF(((c_TMAP3OUT)-(c_TMAP2OUT))&gt;=0,1,-1)*QUOTIENT(((c_TMAP3IN)-(c_TMAP2IN)),2))+2147483648,4294967296)-2147483648,((c_TMAP3IN)-(c_TMAP2IN))*(((K314)-(c_TMAP2IN))*((c_TMAP3OUT)-(c_TMAP2OUT))+IF(((c_TMAP3OUT)-(c_TMAP2OUT))&gt;=0,1,-1)*QUOTIENT(((c_TMAP3IN)-(c_TMAP2IN)),2)))&gt;=0,1,0)))</f>
        <v>575</v>
      </c>
      <c r="P314" s="7" t="n">
        <f aca="false">IF(((1000)-(c_TMAP3IN))=0,(c_TMAP3OUT)+QUOTIENT(((1000)-(c_TMAP3OUT)),2),QUOTIENT((((K314)-(c_TMAP3IN))*((1000)-(c_TMAP3OUT))+IF(((1000)-(c_TMAP3OUT))&gt;=0,1,-1)*QUOTIENT(((1000)-(c_TMAP3IN)),2)),((1000)-(c_TMAP3IN)))+(c_TMAP3OUT)+IF(((1000)-(c_TMAP3OUT))&gt;=0,IF(IF(o_WRAP=1,MOD(((1000)-(c_TMAP3IN))*(((K314)-(c_TMAP3IN))*((1000)-(c_TMAP3OUT))+IF(((1000)-(c_TMAP3OUT))&gt;=0,1,-1)*QUOTIENT(((1000)-(c_TMAP3IN)),2))+2147483648,4294967296)-2147483648,((1000)-(c_TMAP3IN))*(((K314)-(c_TMAP3IN))*((1000)-(c_TMAP3OUT))+IF(((1000)-(c_TMAP3OUT))&gt;=0,1,-1)*QUOTIENT(((1000)-(c_TMAP3IN)),2)))&lt;0,-1,0),IF(IF(o_WRAP=1,MOD(((1000)-(c_TMAP3IN))*(((K314)-(c_TMAP3IN))*((1000)-(c_TMAP3OUT))+IF(((1000)-(c_TMAP3OUT))&gt;=0,1,-1)*QUOTIENT(((1000)-(c_TMAP3IN)),2))+2147483648,4294967296)-2147483648,((1000)-(c_TMAP3IN))*(((K314)-(c_TMAP3IN))*((1000)-(c_TMAP3OUT))+IF(((1000)-(c_TMAP3OUT))&gt;=0,1,-1)*QUOTIENT(((1000)-(c_TMAP3IN)),2)))&gt;=0,1,0)))</f>
        <v>858</v>
      </c>
      <c r="Q314" s="7" t="str">
        <f aca="false">IF(K314&gt;=c_TFWD,IF(AND(K314&gt;=c_TMAP3IN,c_TMAP3IN&lt;1000),"Seg4 map3-100%",IF(AND(K314&gt;=c_TMAP2IN,c_TMAP3IN&gt;c_TMAP2IN),"Seg3 map2-map3",IF(AND(K314&gt;=c_TMAP1IN,c_TMAP2IN&gt;c_TMAP1IN),"Seg2 map1-map2","Seg1 TFWD-map1"))),IF(AND(K314=0,c_TCREEP&gt;0),"Creep",IF(AND(K314&lt;=c_TRNGMIN,K314&gt;=c_TRNGMAX,c_TRNGMIN-c_TRNGMAX&lt;&gt;0),"Regen ramp","Coast (0)")))</f>
        <v>Seg4 map3-100%</v>
      </c>
      <c r="R314" s="7" t="n">
        <f aca="false">IF(K314&gt;=c_TFWD,IF(AND(K314&gt;=c_TMAP3IN,c_TMAP3IN&lt;1000),P314,IF(AND(K314&gt;=c_TMAP2IN,c_TMAP3IN&gt;c_TMAP2IN),O314,IF(AND(K314&gt;=c_TMAP1IN,c_TMAP2IN&gt;c_TMAP1IN),N314,M314))),L314)</f>
        <v>858</v>
      </c>
      <c r="S314" s="7" t="str">
        <f aca="false">IF(R314&lt;-1090,"TOO LOW",IF(R314&gt;1090,"TOO HIGH",""))</f>
        <v/>
      </c>
      <c r="T314" s="15" t="n">
        <f aca="false">IF(H314&lt;&gt;"OK",0,IF(S314&lt;&gt;"",0,IF(R314&gt;979,1000,R314)))</f>
        <v>858</v>
      </c>
      <c r="U314" s="7" t="n">
        <f aca="false">T314/10</f>
        <v>85.8</v>
      </c>
    </row>
    <row r="315" customFormat="false" ht="15" hidden="false" customHeight="false" outlineLevel="0" collapsed="false">
      <c r="A315" s="7" t="n">
        <v>310</v>
      </c>
      <c r="B315" s="7" t="n">
        <f aca="false">ROUND(o_SWSTART+A315*(o_SWEND-o_SWSTART)/400,0)</f>
        <v>3174</v>
      </c>
      <c r="C315" s="7" t="n">
        <f aca="false">QUOTIENT((B315-c_OFF1)*c_GAIN1,1024)</f>
        <v>3174</v>
      </c>
      <c r="D315" s="7" t="n">
        <f aca="false">IF(((c_T1MX)-(c_T1MN))=0,(0)+QUOTIENT(((1000)-(0)),2),QUOTIENT((((C315)-(c_T1MN))*((1000)-(0))+IF(((1000)-(0))&gt;=0,1,-1)*QUOTIENT(((c_T1MX)-(c_T1MN)),2)),((c_T1MX)-(c_T1MN)))+(0)+IF(((1000)-(0))&gt;=0,IF(IF(o_WRAP=1,MOD(((c_T1MX)-(c_T1MN))*(((C315)-(c_T1MN))*((1000)-(0))+IF(((1000)-(0))&gt;=0,1,-1)*QUOTIENT(((c_T1MX)-(c_T1MN)),2))+2147483648,4294967296)-2147483648,((c_T1MX)-(c_T1MN))*(((C315)-(c_T1MN))*((1000)-(0))+IF(((1000)-(0))&gt;=0,1,-1)*QUOTIENT(((c_T1MX)-(c_T1MN)),2)))&lt;0,-1,0),IF(IF(o_WRAP=1,MOD(((c_T1MX)-(c_T1MN))*(((C315)-(c_T1MN))*((1000)-(0))+IF(((1000)-(0))&gt;=0,1,-1)*QUOTIENT(((c_T1MX)-(c_T1MN)),2))+2147483648,4294967296)-2147483648,((c_T1MX)-(c_T1MN))*(((C315)-(c_T1MN))*((1000)-(0))+IF(((1000)-(0))&gt;=0,1,-1)*QUOTIENT(((c_T1MX)-(c_T1MN)),2)))&gt;=0,1,0)))</f>
        <v>889</v>
      </c>
      <c r="E315" s="7" t="n">
        <f aca="false">IF(AND(c_TPOT=1,c_TTYPE=2),1000-D315,D315)</f>
        <v>889</v>
      </c>
      <c r="F315" s="7" t="str">
        <f aca="false">IF(c_TPOT&gt;1,ROUND(IF(c_TTYPE=2,c_T2MX-IF(c_T1MX=c_T1MN,0,(C315-c_T1MN)/(c_T1MX-c_T1MN))*(c_T2MX-c_T2MN),c_T2MN+IF(c_T1MX=c_T1MN,0,(C315-c_T1MN)/(c_T1MX-c_T1MN))*(c_T2MX-c_T2MN))+o_MISMATCH,0),"")</f>
        <v/>
      </c>
      <c r="G315" s="7" t="str">
        <f aca="false">IF(c_TPOT&gt;1,IF(((c_T2MX)-(c_T2MN))=0,(0)+QUOTIENT(((1000)-(0)),2),QUOTIENT((((F315)-(c_T2MN))*((1000)-(0))+IF(((1000)-(0))&gt;=0,1,-1)*QUOTIENT(((c_T2MX)-(c_T2MN)),2)),((c_T2MX)-(c_T2MN)))+(0)+IF(((1000)-(0))&gt;=0,IF(IF(o_WRAP=1,MOD(((c_T2MX)-(c_T2MN))*(((F315)-(c_T2MN))*((1000)-(0))+IF(((1000)-(0))&gt;=0,1,-1)*QUOTIENT(((c_T2MX)-(c_T2MN)),2))+2147483648,4294967296)-2147483648,((c_T2MX)-(c_T2MN))*(((F315)-(c_T2MN))*((1000)-(0))+IF(((1000)-(0))&gt;=0,1,-1)*QUOTIENT(((c_T2MX)-(c_T2MN)),2)))&lt;0,-1,0),IF(IF(o_WRAP=1,MOD(((c_T2MX)-(c_T2MN))*(((F315)-(c_T2MN))*((1000)-(0))+IF(((1000)-(0))&gt;=0,1,-1)*QUOTIENT(((c_T2MX)-(c_T2MN)),2))+2147483648,4294967296)-2147483648,((c_T2MX)-(c_T2MN))*(((F315)-(c_T2MN))*((1000)-(0))+IF(((1000)-(0))&gt;=0,1,-1)*QUOTIENT(((c_T2MX)-(c_T2MN)),2)))&gt;=0,1,0))),"")</f>
        <v/>
      </c>
      <c r="H315" s="7" t="str">
        <f aca="false">IF(E315&gt;1000+k_TOL,"T1 HIGH",IF(E315&lt;0-k_TOL,"T1 LOW",IF(c_TPOT&gt;1,IF(G315&gt;1000+k_TOL,"T2 HIGH",IF(G315&lt;0-k_TOL,"T2 LOW",IF(c_TTYPE=2,IF(ABS(1000-MAX(0,MIN(1000,E315))-MAX(0,MIN(1000,G315)))&gt;k_MAXERR,"MISMATCH","OK"),IF(OR(MAX(0,MIN(1000,E315))-k_MAXERR&gt;MAX(0,MIN(1000,G315)),MAX(0,MIN(1000,G315))-k_MAXERR&gt;MAX(0,MIN(1000,E315))),"MISMATCH","OK")))),"OK")))</f>
        <v>OK</v>
      </c>
      <c r="I315" s="7" t="n">
        <f aca="false">MAX(0,MIN(1000,D315))</f>
        <v>889</v>
      </c>
      <c r="J315" s="7" t="str">
        <f aca="false">IF(c_TPOT&gt;1,IF(c_TTYPE=2,1000-MAX(0,MIN(1000,G315)),MAX(0,MIN(1000,G315))),"")</f>
        <v/>
      </c>
      <c r="K315" s="7" t="n">
        <f aca="false">IF(c_TPOT&gt;1,QUOTIENT(I315+J315,2),I315)</f>
        <v>889</v>
      </c>
      <c r="L315" s="7" t="n">
        <f aca="false">IF(AND(K315=0,c_TCREEP&gt;0),10*c_TCREEP,IF(AND(K315&lt;=c_TRNGMIN,K315&gt;=c_TRNGMAX,c_TRNGMIN-c_TRNGMAX&lt;&gt;0),-10*c_TMINRN+QUOTIENT((c_TMAXRN-c_TMINRN)*(100-QUOTIENT((K315-c_TRNGMAX)*100,c_TRNGMIN-c_TRNGMAX)),-10),0))</f>
        <v>0</v>
      </c>
      <c r="M315" s="7" t="n">
        <f aca="false">IF(((c_TMAP1IN)-(c_TFWD))=0,(0)+QUOTIENT(((c_TMAP1OUT)-(0)),2),QUOTIENT((((K315)-(c_TFWD))*((c_TMAP1OUT)-(0))+IF(((c_TMAP1OUT)-(0))&gt;=0,1,-1)*QUOTIENT(((c_TMAP1IN)-(c_TFWD)),2)),((c_TMAP1IN)-(c_TFWD)))+(0)+IF(((c_TMAP1OUT)-(0))&gt;=0,IF(IF(o_WRAP=1,MOD(((c_TMAP1IN)-(c_TFWD))*(((K315)-(c_TFWD))*((c_TMAP1OUT)-(0))+IF(((c_TMAP1OUT)-(0))&gt;=0,1,-1)*QUOTIENT(((c_TMAP1IN)-(c_TFWD)),2))+2147483648,4294967296)-2147483648,((c_TMAP1IN)-(c_TFWD))*(((K315)-(c_TFWD))*((c_TMAP1OUT)-(0))+IF(((c_TMAP1OUT)-(0))&gt;=0,1,-1)*QUOTIENT(((c_TMAP1IN)-(c_TFWD)),2)))&lt;0,-1,0),IF(IF(o_WRAP=1,MOD(((c_TMAP1IN)-(c_TFWD))*(((K315)-(c_TFWD))*((c_TMAP1OUT)-(0))+IF(((c_TMAP1OUT)-(0))&gt;=0,1,-1)*QUOTIENT(((c_TMAP1IN)-(c_TFWD)),2))+2147483648,4294967296)-2147483648,((c_TMAP1IN)-(c_TFWD))*(((K315)-(c_TFWD))*((c_TMAP1OUT)-(0))+IF(((c_TMAP1OUT)-(0))&gt;=0,1,-1)*QUOTIENT(((c_TMAP1IN)-(c_TFWD)),2)))&gt;=0,1,0)))</f>
        <v>684</v>
      </c>
      <c r="N315" s="7" t="n">
        <f aca="false">IF(((c_TMAP2IN)-(c_TMAP1IN))=0,(c_TMAP1OUT)+QUOTIENT(((c_TMAP2OUT)-(c_TMAP1OUT)),2),QUOTIENT((((K315)-(c_TMAP1IN))*((c_TMAP2OUT)-(c_TMAP1OUT))+IF(((c_TMAP2OUT)-(c_TMAP1OUT))&gt;=0,1,-1)*QUOTIENT(((c_TMAP2IN)-(c_TMAP1IN)),2)),((c_TMAP2IN)-(c_TMAP1IN)))+(c_TMAP1OUT)+IF(((c_TMAP2OUT)-(c_TMAP1OUT))&gt;=0,IF(IF(o_WRAP=1,MOD(((c_TMAP2IN)-(c_TMAP1IN))*(((K315)-(c_TMAP1IN))*((c_TMAP2OUT)-(c_TMAP1OUT))+IF(((c_TMAP2OUT)-(c_TMAP1OUT))&gt;=0,1,-1)*QUOTIENT(((c_TMAP2IN)-(c_TMAP1IN)),2))+2147483648,4294967296)-2147483648,((c_TMAP2IN)-(c_TMAP1IN))*(((K315)-(c_TMAP1IN))*((c_TMAP2OUT)-(c_TMAP1OUT))+IF(((c_TMAP2OUT)-(c_TMAP1OUT))&gt;=0,1,-1)*QUOTIENT(((c_TMAP2IN)-(c_TMAP1IN)),2)))&lt;0,-1,0),IF(IF(o_WRAP=1,MOD(((c_TMAP2IN)-(c_TMAP1IN))*(((K315)-(c_TMAP1IN))*((c_TMAP2OUT)-(c_TMAP1OUT))+IF(((c_TMAP2OUT)-(c_TMAP1OUT))&gt;=0,1,-1)*QUOTIENT(((c_TMAP2IN)-(c_TMAP1IN)),2))+2147483648,4294967296)-2147483648,((c_TMAP2IN)-(c_TMAP1IN))*(((K315)-(c_TMAP1IN))*((c_TMAP2OUT)-(c_TMAP1OUT))+IF(((c_TMAP2OUT)-(c_TMAP1OUT))&gt;=0,1,-1)*QUOTIENT(((c_TMAP2IN)-(c_TMAP1IN)),2)))&gt;=0,1,0)))</f>
        <v>386</v>
      </c>
      <c r="O315" s="7" t="n">
        <f aca="false">IF(((c_TMAP3IN)-(c_TMAP2IN))=0,(c_TMAP2OUT)+QUOTIENT(((c_TMAP3OUT)-(c_TMAP2OUT)),2),QUOTIENT((((K315)-(c_TMAP2IN))*((c_TMAP3OUT)-(c_TMAP2OUT))+IF(((c_TMAP3OUT)-(c_TMAP2OUT))&gt;=0,1,-1)*QUOTIENT(((c_TMAP3IN)-(c_TMAP2IN)),2)),((c_TMAP3IN)-(c_TMAP2IN)))+(c_TMAP2OUT)+IF(((c_TMAP3OUT)-(c_TMAP2OUT))&gt;=0,IF(IF(o_WRAP=1,MOD(((c_TMAP3IN)-(c_TMAP2IN))*(((K315)-(c_TMAP2IN))*((c_TMAP3OUT)-(c_TMAP2OUT))+IF(((c_TMAP3OUT)-(c_TMAP2OUT))&gt;=0,1,-1)*QUOTIENT(((c_TMAP3IN)-(c_TMAP2IN)),2))+2147483648,4294967296)-2147483648,((c_TMAP3IN)-(c_TMAP2IN))*(((K315)-(c_TMAP2IN))*((c_TMAP3OUT)-(c_TMAP2OUT))+IF(((c_TMAP3OUT)-(c_TMAP2OUT))&gt;=0,1,-1)*QUOTIENT(((c_TMAP3IN)-(c_TMAP2IN)),2)))&lt;0,-1,0),IF(IF(o_WRAP=1,MOD(((c_TMAP3IN)-(c_TMAP2IN))*(((K315)-(c_TMAP2IN))*((c_TMAP3OUT)-(c_TMAP2OUT))+IF(((c_TMAP3OUT)-(c_TMAP2OUT))&gt;=0,1,-1)*QUOTIENT(((c_TMAP3IN)-(c_TMAP2IN)),2))+2147483648,4294967296)-2147483648,((c_TMAP3IN)-(c_TMAP2IN))*(((K315)-(c_TMAP2IN))*((c_TMAP3OUT)-(c_TMAP2OUT))+IF(((c_TMAP3OUT)-(c_TMAP2OUT))&gt;=0,1,-1)*QUOTIENT(((c_TMAP3IN)-(c_TMAP2IN)),2)))&gt;=0,1,0)))</f>
        <v>577</v>
      </c>
      <c r="P315" s="7" t="n">
        <f aca="false">IF(((1000)-(c_TMAP3IN))=0,(c_TMAP3OUT)+QUOTIENT(((1000)-(c_TMAP3OUT)),2),QUOTIENT((((K315)-(c_TMAP3IN))*((1000)-(c_TMAP3OUT))+IF(((1000)-(c_TMAP3OUT))&gt;=0,1,-1)*QUOTIENT(((1000)-(c_TMAP3IN)),2)),((1000)-(c_TMAP3IN)))+(c_TMAP3OUT)+IF(((1000)-(c_TMAP3OUT))&gt;=0,IF(IF(o_WRAP=1,MOD(((1000)-(c_TMAP3IN))*(((K315)-(c_TMAP3IN))*((1000)-(c_TMAP3OUT))+IF(((1000)-(c_TMAP3OUT))&gt;=0,1,-1)*QUOTIENT(((1000)-(c_TMAP3IN)),2))+2147483648,4294967296)-2147483648,((1000)-(c_TMAP3IN))*(((K315)-(c_TMAP3IN))*((1000)-(c_TMAP3OUT))+IF(((1000)-(c_TMAP3OUT))&gt;=0,1,-1)*QUOTIENT(((1000)-(c_TMAP3IN)),2)))&lt;0,-1,0),IF(IF(o_WRAP=1,MOD(((1000)-(c_TMAP3IN))*(((K315)-(c_TMAP3IN))*((1000)-(c_TMAP3OUT))+IF(((1000)-(c_TMAP3OUT))&gt;=0,1,-1)*QUOTIENT(((1000)-(c_TMAP3IN)),2))+2147483648,4294967296)-2147483648,((1000)-(c_TMAP3IN))*(((K315)-(c_TMAP3IN))*((1000)-(c_TMAP3OUT))+IF(((1000)-(c_TMAP3OUT))&gt;=0,1,-1)*QUOTIENT(((1000)-(c_TMAP3IN)),2)))&gt;=0,1,0)))</f>
        <v>863</v>
      </c>
      <c r="Q315" s="7" t="str">
        <f aca="false">IF(K315&gt;=c_TFWD,IF(AND(K315&gt;=c_TMAP3IN,c_TMAP3IN&lt;1000),"Seg4 map3-100%",IF(AND(K315&gt;=c_TMAP2IN,c_TMAP3IN&gt;c_TMAP2IN),"Seg3 map2-map3",IF(AND(K315&gt;=c_TMAP1IN,c_TMAP2IN&gt;c_TMAP1IN),"Seg2 map1-map2","Seg1 TFWD-map1"))),IF(AND(K315=0,c_TCREEP&gt;0),"Creep",IF(AND(K315&lt;=c_TRNGMIN,K315&gt;=c_TRNGMAX,c_TRNGMIN-c_TRNGMAX&lt;&gt;0),"Regen ramp","Coast (0)")))</f>
        <v>Seg4 map3-100%</v>
      </c>
      <c r="R315" s="7" t="n">
        <f aca="false">IF(K315&gt;=c_TFWD,IF(AND(K315&gt;=c_TMAP3IN,c_TMAP3IN&lt;1000),P315,IF(AND(K315&gt;=c_TMAP2IN,c_TMAP3IN&gt;c_TMAP2IN),O315,IF(AND(K315&gt;=c_TMAP1IN,c_TMAP2IN&gt;c_TMAP1IN),N315,M315))),L315)</f>
        <v>863</v>
      </c>
      <c r="S315" s="7" t="str">
        <f aca="false">IF(R315&lt;-1090,"TOO LOW",IF(R315&gt;1090,"TOO HIGH",""))</f>
        <v/>
      </c>
      <c r="T315" s="15" t="n">
        <f aca="false">IF(H315&lt;&gt;"OK",0,IF(S315&lt;&gt;"",0,IF(R315&gt;979,1000,R315)))</f>
        <v>863</v>
      </c>
      <c r="U315" s="7" t="n">
        <f aca="false">T315/10</f>
        <v>86.3</v>
      </c>
    </row>
    <row r="316" customFormat="false" ht="15" hidden="false" customHeight="false" outlineLevel="0" collapsed="false">
      <c r="A316" s="7" t="n">
        <v>311</v>
      </c>
      <c r="B316" s="7" t="n">
        <f aca="false">ROUND(o_SWSTART+A316*(o_SWEND-o_SWSTART)/400,0)</f>
        <v>3184</v>
      </c>
      <c r="C316" s="7" t="n">
        <f aca="false">QUOTIENT((B316-c_OFF1)*c_GAIN1,1024)</f>
        <v>3184</v>
      </c>
      <c r="D316" s="7" t="n">
        <f aca="false">IF(((c_T1MX)-(c_T1MN))=0,(0)+QUOTIENT(((1000)-(0)),2),QUOTIENT((((C316)-(c_T1MN))*((1000)-(0))+IF(((1000)-(0))&gt;=0,1,-1)*QUOTIENT(((c_T1MX)-(c_T1MN)),2)),((c_T1MX)-(c_T1MN)))+(0)+IF(((1000)-(0))&gt;=0,IF(IF(o_WRAP=1,MOD(((c_T1MX)-(c_T1MN))*(((C316)-(c_T1MN))*((1000)-(0))+IF(((1000)-(0))&gt;=0,1,-1)*QUOTIENT(((c_T1MX)-(c_T1MN)),2))+2147483648,4294967296)-2147483648,((c_T1MX)-(c_T1MN))*(((C316)-(c_T1MN))*((1000)-(0))+IF(((1000)-(0))&gt;=0,1,-1)*QUOTIENT(((c_T1MX)-(c_T1MN)),2)))&lt;0,-1,0),IF(IF(o_WRAP=1,MOD(((c_T1MX)-(c_T1MN))*(((C316)-(c_T1MN))*((1000)-(0))+IF(((1000)-(0))&gt;=0,1,-1)*QUOTIENT(((c_T1MX)-(c_T1MN)),2))+2147483648,4294967296)-2147483648,((c_T1MX)-(c_T1MN))*(((C316)-(c_T1MN))*((1000)-(0))+IF(((1000)-(0))&gt;=0,1,-1)*QUOTIENT(((c_T1MX)-(c_T1MN)),2)))&gt;=0,1,0)))</f>
        <v>893</v>
      </c>
      <c r="E316" s="7" t="n">
        <f aca="false">IF(AND(c_TPOT=1,c_TTYPE=2),1000-D316,D316)</f>
        <v>893</v>
      </c>
      <c r="F316" s="7" t="str">
        <f aca="false">IF(c_TPOT&gt;1,ROUND(IF(c_TTYPE=2,c_T2MX-IF(c_T1MX=c_T1MN,0,(C316-c_T1MN)/(c_T1MX-c_T1MN))*(c_T2MX-c_T2MN),c_T2MN+IF(c_T1MX=c_T1MN,0,(C316-c_T1MN)/(c_T1MX-c_T1MN))*(c_T2MX-c_T2MN))+o_MISMATCH,0),"")</f>
        <v/>
      </c>
      <c r="G316" s="7" t="str">
        <f aca="false">IF(c_TPOT&gt;1,IF(((c_T2MX)-(c_T2MN))=0,(0)+QUOTIENT(((1000)-(0)),2),QUOTIENT((((F316)-(c_T2MN))*((1000)-(0))+IF(((1000)-(0))&gt;=0,1,-1)*QUOTIENT(((c_T2MX)-(c_T2MN)),2)),((c_T2MX)-(c_T2MN)))+(0)+IF(((1000)-(0))&gt;=0,IF(IF(o_WRAP=1,MOD(((c_T2MX)-(c_T2MN))*(((F316)-(c_T2MN))*((1000)-(0))+IF(((1000)-(0))&gt;=0,1,-1)*QUOTIENT(((c_T2MX)-(c_T2MN)),2))+2147483648,4294967296)-2147483648,((c_T2MX)-(c_T2MN))*(((F316)-(c_T2MN))*((1000)-(0))+IF(((1000)-(0))&gt;=0,1,-1)*QUOTIENT(((c_T2MX)-(c_T2MN)),2)))&lt;0,-1,0),IF(IF(o_WRAP=1,MOD(((c_T2MX)-(c_T2MN))*(((F316)-(c_T2MN))*((1000)-(0))+IF(((1000)-(0))&gt;=0,1,-1)*QUOTIENT(((c_T2MX)-(c_T2MN)),2))+2147483648,4294967296)-2147483648,((c_T2MX)-(c_T2MN))*(((F316)-(c_T2MN))*((1000)-(0))+IF(((1000)-(0))&gt;=0,1,-1)*QUOTIENT(((c_T2MX)-(c_T2MN)),2)))&gt;=0,1,0))),"")</f>
        <v/>
      </c>
      <c r="H316" s="7" t="str">
        <f aca="false">IF(E316&gt;1000+k_TOL,"T1 HIGH",IF(E316&lt;0-k_TOL,"T1 LOW",IF(c_TPOT&gt;1,IF(G316&gt;1000+k_TOL,"T2 HIGH",IF(G316&lt;0-k_TOL,"T2 LOW",IF(c_TTYPE=2,IF(ABS(1000-MAX(0,MIN(1000,E316))-MAX(0,MIN(1000,G316)))&gt;k_MAXERR,"MISMATCH","OK"),IF(OR(MAX(0,MIN(1000,E316))-k_MAXERR&gt;MAX(0,MIN(1000,G316)),MAX(0,MIN(1000,G316))-k_MAXERR&gt;MAX(0,MIN(1000,E316))),"MISMATCH","OK")))),"OK")))</f>
        <v>OK</v>
      </c>
      <c r="I316" s="7" t="n">
        <f aca="false">MAX(0,MIN(1000,D316))</f>
        <v>893</v>
      </c>
      <c r="J316" s="7" t="str">
        <f aca="false">IF(c_TPOT&gt;1,IF(c_TTYPE=2,1000-MAX(0,MIN(1000,G316)),MAX(0,MIN(1000,G316))),"")</f>
        <v/>
      </c>
      <c r="K316" s="7" t="n">
        <f aca="false">IF(c_TPOT&gt;1,QUOTIENT(I316+J316,2),I316)</f>
        <v>893</v>
      </c>
      <c r="L316" s="7" t="n">
        <f aca="false">IF(AND(K316=0,c_TCREEP&gt;0),10*c_TCREEP,IF(AND(K316&lt;=c_TRNGMIN,K316&gt;=c_TRNGMAX,c_TRNGMIN-c_TRNGMAX&lt;&gt;0),-10*c_TMINRN+QUOTIENT((c_TMAXRN-c_TMINRN)*(100-QUOTIENT((K316-c_TRNGMAX)*100,c_TRNGMIN-c_TRNGMAX)),-10),0))</f>
        <v>0</v>
      </c>
      <c r="M316" s="7" t="n">
        <f aca="false">IF(((c_TMAP1IN)-(c_TFWD))=0,(0)+QUOTIENT(((c_TMAP1OUT)-(0)),2),QUOTIENT((((K316)-(c_TFWD))*((c_TMAP1OUT)-(0))+IF(((c_TMAP1OUT)-(0))&gt;=0,1,-1)*QUOTIENT(((c_TMAP1IN)-(c_TFWD)),2)),((c_TMAP1IN)-(c_TFWD)))+(0)+IF(((c_TMAP1OUT)-(0))&gt;=0,IF(IF(o_WRAP=1,MOD(((c_TMAP1IN)-(c_TFWD))*(((K316)-(c_TFWD))*((c_TMAP1OUT)-(0))+IF(((c_TMAP1OUT)-(0))&gt;=0,1,-1)*QUOTIENT(((c_TMAP1IN)-(c_TFWD)),2))+2147483648,4294967296)-2147483648,((c_TMAP1IN)-(c_TFWD))*(((K316)-(c_TFWD))*((c_TMAP1OUT)-(0))+IF(((c_TMAP1OUT)-(0))&gt;=0,1,-1)*QUOTIENT(((c_TMAP1IN)-(c_TFWD)),2)))&lt;0,-1,0),IF(IF(o_WRAP=1,MOD(((c_TMAP1IN)-(c_TFWD))*(((K316)-(c_TFWD))*((c_TMAP1OUT)-(0))+IF(((c_TMAP1OUT)-(0))&gt;=0,1,-1)*QUOTIENT(((c_TMAP1IN)-(c_TFWD)),2))+2147483648,4294967296)-2147483648,((c_TMAP1IN)-(c_TFWD))*(((K316)-(c_TFWD))*((c_TMAP1OUT)-(0))+IF(((c_TMAP1OUT)-(0))&gt;=0,1,-1)*QUOTIENT(((c_TMAP1IN)-(c_TFWD)),2)))&gt;=0,1,0)))</f>
        <v>687</v>
      </c>
      <c r="N316" s="7" t="n">
        <f aca="false">IF(((c_TMAP2IN)-(c_TMAP1IN))=0,(c_TMAP1OUT)+QUOTIENT(((c_TMAP2OUT)-(c_TMAP1OUT)),2),QUOTIENT((((K316)-(c_TMAP1IN))*((c_TMAP2OUT)-(c_TMAP1OUT))+IF(((c_TMAP2OUT)-(c_TMAP1OUT))&gt;=0,1,-1)*QUOTIENT(((c_TMAP2IN)-(c_TMAP1IN)),2)),((c_TMAP2IN)-(c_TMAP1IN)))+(c_TMAP1OUT)+IF(((c_TMAP2OUT)-(c_TMAP1OUT))&gt;=0,IF(IF(o_WRAP=1,MOD(((c_TMAP2IN)-(c_TMAP1IN))*(((K316)-(c_TMAP1IN))*((c_TMAP2OUT)-(c_TMAP1OUT))+IF(((c_TMAP2OUT)-(c_TMAP1OUT))&gt;=0,1,-1)*QUOTIENT(((c_TMAP2IN)-(c_TMAP1IN)),2))+2147483648,4294967296)-2147483648,((c_TMAP2IN)-(c_TMAP1IN))*(((K316)-(c_TMAP1IN))*((c_TMAP2OUT)-(c_TMAP1OUT))+IF(((c_TMAP2OUT)-(c_TMAP1OUT))&gt;=0,1,-1)*QUOTIENT(((c_TMAP2IN)-(c_TMAP1IN)),2)))&lt;0,-1,0),IF(IF(o_WRAP=1,MOD(((c_TMAP2IN)-(c_TMAP1IN))*(((K316)-(c_TMAP1IN))*((c_TMAP2OUT)-(c_TMAP1OUT))+IF(((c_TMAP2OUT)-(c_TMAP1OUT))&gt;=0,1,-1)*QUOTIENT(((c_TMAP2IN)-(c_TMAP1IN)),2))+2147483648,4294967296)-2147483648,((c_TMAP2IN)-(c_TMAP1IN))*(((K316)-(c_TMAP1IN))*((c_TMAP2OUT)-(c_TMAP1OUT))+IF(((c_TMAP2OUT)-(c_TMAP1OUT))&gt;=0,1,-1)*QUOTIENT(((c_TMAP2IN)-(c_TMAP1IN)),2)))&gt;=0,1,0)))</f>
        <v>387</v>
      </c>
      <c r="O316" s="7" t="n">
        <f aca="false">IF(((c_TMAP3IN)-(c_TMAP2IN))=0,(c_TMAP2OUT)+QUOTIENT(((c_TMAP3OUT)-(c_TMAP2OUT)),2),QUOTIENT((((K316)-(c_TMAP2IN))*((c_TMAP3OUT)-(c_TMAP2OUT))+IF(((c_TMAP3OUT)-(c_TMAP2OUT))&gt;=0,1,-1)*QUOTIENT(((c_TMAP3IN)-(c_TMAP2IN)),2)),((c_TMAP3IN)-(c_TMAP2IN)))+(c_TMAP2OUT)+IF(((c_TMAP3OUT)-(c_TMAP2OUT))&gt;=0,IF(IF(o_WRAP=1,MOD(((c_TMAP3IN)-(c_TMAP2IN))*(((K316)-(c_TMAP2IN))*((c_TMAP3OUT)-(c_TMAP2OUT))+IF(((c_TMAP3OUT)-(c_TMAP2OUT))&gt;=0,1,-1)*QUOTIENT(((c_TMAP3IN)-(c_TMAP2IN)),2))+2147483648,4294967296)-2147483648,((c_TMAP3IN)-(c_TMAP2IN))*(((K316)-(c_TMAP2IN))*((c_TMAP3OUT)-(c_TMAP2OUT))+IF(((c_TMAP3OUT)-(c_TMAP2OUT))&gt;=0,1,-1)*QUOTIENT(((c_TMAP3IN)-(c_TMAP2IN)),2)))&lt;0,-1,0),IF(IF(o_WRAP=1,MOD(((c_TMAP3IN)-(c_TMAP2IN))*(((K316)-(c_TMAP2IN))*((c_TMAP3OUT)-(c_TMAP2OUT))+IF(((c_TMAP3OUT)-(c_TMAP2OUT))&gt;=0,1,-1)*QUOTIENT(((c_TMAP3IN)-(c_TMAP2IN)),2))+2147483648,4294967296)-2147483648,((c_TMAP3IN)-(c_TMAP2IN))*(((K316)-(c_TMAP2IN))*((c_TMAP3OUT)-(c_TMAP2OUT))+IF(((c_TMAP3OUT)-(c_TMAP2OUT))&gt;=0,1,-1)*QUOTIENT(((c_TMAP3IN)-(c_TMAP2IN)),2)))&gt;=0,1,0)))</f>
        <v>580</v>
      </c>
      <c r="P316" s="7" t="n">
        <f aca="false">IF(((1000)-(c_TMAP3IN))=0,(c_TMAP3OUT)+QUOTIENT(((1000)-(c_TMAP3OUT)),2),QUOTIENT((((K316)-(c_TMAP3IN))*((1000)-(c_TMAP3OUT))+IF(((1000)-(c_TMAP3OUT))&gt;=0,1,-1)*QUOTIENT(((1000)-(c_TMAP3IN)),2)),((1000)-(c_TMAP3IN)))+(c_TMAP3OUT)+IF(((1000)-(c_TMAP3OUT))&gt;=0,IF(IF(o_WRAP=1,MOD(((1000)-(c_TMAP3IN))*(((K316)-(c_TMAP3IN))*((1000)-(c_TMAP3OUT))+IF(((1000)-(c_TMAP3OUT))&gt;=0,1,-1)*QUOTIENT(((1000)-(c_TMAP3IN)),2))+2147483648,4294967296)-2147483648,((1000)-(c_TMAP3IN))*(((K316)-(c_TMAP3IN))*((1000)-(c_TMAP3OUT))+IF(((1000)-(c_TMAP3OUT))&gt;=0,1,-1)*QUOTIENT(((1000)-(c_TMAP3IN)),2)))&lt;0,-1,0),IF(IF(o_WRAP=1,MOD(((1000)-(c_TMAP3IN))*(((K316)-(c_TMAP3IN))*((1000)-(c_TMAP3OUT))+IF(((1000)-(c_TMAP3OUT))&gt;=0,1,-1)*QUOTIENT(((1000)-(c_TMAP3IN)),2))+2147483648,4294967296)-2147483648,((1000)-(c_TMAP3IN))*(((K316)-(c_TMAP3IN))*((1000)-(c_TMAP3OUT))+IF(((1000)-(c_TMAP3OUT))&gt;=0,1,-1)*QUOTIENT(((1000)-(c_TMAP3IN)),2)))&gt;=0,1,0)))</f>
        <v>868</v>
      </c>
      <c r="Q316" s="7" t="str">
        <f aca="false">IF(K316&gt;=c_TFWD,IF(AND(K316&gt;=c_TMAP3IN,c_TMAP3IN&lt;1000),"Seg4 map3-100%",IF(AND(K316&gt;=c_TMAP2IN,c_TMAP3IN&gt;c_TMAP2IN),"Seg3 map2-map3",IF(AND(K316&gt;=c_TMAP1IN,c_TMAP2IN&gt;c_TMAP1IN),"Seg2 map1-map2","Seg1 TFWD-map1"))),IF(AND(K316=0,c_TCREEP&gt;0),"Creep",IF(AND(K316&lt;=c_TRNGMIN,K316&gt;=c_TRNGMAX,c_TRNGMIN-c_TRNGMAX&lt;&gt;0),"Regen ramp","Coast (0)")))</f>
        <v>Seg4 map3-100%</v>
      </c>
      <c r="R316" s="7" t="n">
        <f aca="false">IF(K316&gt;=c_TFWD,IF(AND(K316&gt;=c_TMAP3IN,c_TMAP3IN&lt;1000),P316,IF(AND(K316&gt;=c_TMAP2IN,c_TMAP3IN&gt;c_TMAP2IN),O316,IF(AND(K316&gt;=c_TMAP1IN,c_TMAP2IN&gt;c_TMAP1IN),N316,M316))),L316)</f>
        <v>868</v>
      </c>
      <c r="S316" s="7" t="str">
        <f aca="false">IF(R316&lt;-1090,"TOO LOW",IF(R316&gt;1090,"TOO HIGH",""))</f>
        <v/>
      </c>
      <c r="T316" s="15" t="n">
        <f aca="false">IF(H316&lt;&gt;"OK",0,IF(S316&lt;&gt;"",0,IF(R316&gt;979,1000,R316)))</f>
        <v>868</v>
      </c>
      <c r="U316" s="7" t="n">
        <f aca="false">T316/10</f>
        <v>86.8</v>
      </c>
    </row>
    <row r="317" customFormat="false" ht="15" hidden="false" customHeight="false" outlineLevel="0" collapsed="false">
      <c r="A317" s="7" t="n">
        <v>312</v>
      </c>
      <c r="B317" s="7" t="n">
        <f aca="false">ROUND(o_SWSTART+A317*(o_SWEND-o_SWSTART)/400,0)</f>
        <v>3194</v>
      </c>
      <c r="C317" s="7" t="n">
        <f aca="false">QUOTIENT((B317-c_OFF1)*c_GAIN1,1024)</f>
        <v>3194</v>
      </c>
      <c r="D317" s="7" t="n">
        <f aca="false">IF(((c_T1MX)-(c_T1MN))=0,(0)+QUOTIENT(((1000)-(0)),2),QUOTIENT((((C317)-(c_T1MN))*((1000)-(0))+IF(((1000)-(0))&gt;=0,1,-1)*QUOTIENT(((c_T1MX)-(c_T1MN)),2)),((c_T1MX)-(c_T1MN)))+(0)+IF(((1000)-(0))&gt;=0,IF(IF(o_WRAP=1,MOD(((c_T1MX)-(c_T1MN))*(((C317)-(c_T1MN))*((1000)-(0))+IF(((1000)-(0))&gt;=0,1,-1)*QUOTIENT(((c_T1MX)-(c_T1MN)),2))+2147483648,4294967296)-2147483648,((c_T1MX)-(c_T1MN))*(((C317)-(c_T1MN))*((1000)-(0))+IF(((1000)-(0))&gt;=0,1,-1)*QUOTIENT(((c_T1MX)-(c_T1MN)),2)))&lt;0,-1,0),IF(IF(o_WRAP=1,MOD(((c_T1MX)-(c_T1MN))*(((C317)-(c_T1MN))*((1000)-(0))+IF(((1000)-(0))&gt;=0,1,-1)*QUOTIENT(((c_T1MX)-(c_T1MN)),2))+2147483648,4294967296)-2147483648,((c_T1MX)-(c_T1MN))*(((C317)-(c_T1MN))*((1000)-(0))+IF(((1000)-(0))&gt;=0,1,-1)*QUOTIENT(((c_T1MX)-(c_T1MN)),2)))&gt;=0,1,0)))</f>
        <v>896</v>
      </c>
      <c r="E317" s="7" t="n">
        <f aca="false">IF(AND(c_TPOT=1,c_TTYPE=2),1000-D317,D317)</f>
        <v>896</v>
      </c>
      <c r="F317" s="7" t="str">
        <f aca="false">IF(c_TPOT&gt;1,ROUND(IF(c_TTYPE=2,c_T2MX-IF(c_T1MX=c_T1MN,0,(C317-c_T1MN)/(c_T1MX-c_T1MN))*(c_T2MX-c_T2MN),c_T2MN+IF(c_T1MX=c_T1MN,0,(C317-c_T1MN)/(c_T1MX-c_T1MN))*(c_T2MX-c_T2MN))+o_MISMATCH,0),"")</f>
        <v/>
      </c>
      <c r="G317" s="7" t="str">
        <f aca="false">IF(c_TPOT&gt;1,IF(((c_T2MX)-(c_T2MN))=0,(0)+QUOTIENT(((1000)-(0)),2),QUOTIENT((((F317)-(c_T2MN))*((1000)-(0))+IF(((1000)-(0))&gt;=0,1,-1)*QUOTIENT(((c_T2MX)-(c_T2MN)),2)),((c_T2MX)-(c_T2MN)))+(0)+IF(((1000)-(0))&gt;=0,IF(IF(o_WRAP=1,MOD(((c_T2MX)-(c_T2MN))*(((F317)-(c_T2MN))*((1000)-(0))+IF(((1000)-(0))&gt;=0,1,-1)*QUOTIENT(((c_T2MX)-(c_T2MN)),2))+2147483648,4294967296)-2147483648,((c_T2MX)-(c_T2MN))*(((F317)-(c_T2MN))*((1000)-(0))+IF(((1000)-(0))&gt;=0,1,-1)*QUOTIENT(((c_T2MX)-(c_T2MN)),2)))&lt;0,-1,0),IF(IF(o_WRAP=1,MOD(((c_T2MX)-(c_T2MN))*(((F317)-(c_T2MN))*((1000)-(0))+IF(((1000)-(0))&gt;=0,1,-1)*QUOTIENT(((c_T2MX)-(c_T2MN)),2))+2147483648,4294967296)-2147483648,((c_T2MX)-(c_T2MN))*(((F317)-(c_T2MN))*((1000)-(0))+IF(((1000)-(0))&gt;=0,1,-1)*QUOTIENT(((c_T2MX)-(c_T2MN)),2)))&gt;=0,1,0))),"")</f>
        <v/>
      </c>
      <c r="H317" s="7" t="str">
        <f aca="false">IF(E317&gt;1000+k_TOL,"T1 HIGH",IF(E317&lt;0-k_TOL,"T1 LOW",IF(c_TPOT&gt;1,IF(G317&gt;1000+k_TOL,"T2 HIGH",IF(G317&lt;0-k_TOL,"T2 LOW",IF(c_TTYPE=2,IF(ABS(1000-MAX(0,MIN(1000,E317))-MAX(0,MIN(1000,G317)))&gt;k_MAXERR,"MISMATCH","OK"),IF(OR(MAX(0,MIN(1000,E317))-k_MAXERR&gt;MAX(0,MIN(1000,G317)),MAX(0,MIN(1000,G317))-k_MAXERR&gt;MAX(0,MIN(1000,E317))),"MISMATCH","OK")))),"OK")))</f>
        <v>OK</v>
      </c>
      <c r="I317" s="7" t="n">
        <f aca="false">MAX(0,MIN(1000,D317))</f>
        <v>896</v>
      </c>
      <c r="J317" s="7" t="str">
        <f aca="false">IF(c_TPOT&gt;1,IF(c_TTYPE=2,1000-MAX(0,MIN(1000,G317)),MAX(0,MIN(1000,G317))),"")</f>
        <v/>
      </c>
      <c r="K317" s="7" t="n">
        <f aca="false">IF(c_TPOT&gt;1,QUOTIENT(I317+J317,2),I317)</f>
        <v>896</v>
      </c>
      <c r="L317" s="7" t="n">
        <f aca="false">IF(AND(K317=0,c_TCREEP&gt;0),10*c_TCREEP,IF(AND(K317&lt;=c_TRNGMIN,K317&gt;=c_TRNGMAX,c_TRNGMIN-c_TRNGMAX&lt;&gt;0),-10*c_TMINRN+QUOTIENT((c_TMAXRN-c_TMINRN)*(100-QUOTIENT((K317-c_TRNGMAX)*100,c_TRNGMIN-c_TRNGMAX)),-10),0))</f>
        <v>0</v>
      </c>
      <c r="M317" s="7" t="n">
        <f aca="false">IF(((c_TMAP1IN)-(c_TFWD))=0,(0)+QUOTIENT(((c_TMAP1OUT)-(0)),2),QUOTIENT((((K317)-(c_TFWD))*((c_TMAP1OUT)-(0))+IF(((c_TMAP1OUT)-(0))&gt;=0,1,-1)*QUOTIENT(((c_TMAP1IN)-(c_TFWD)),2)),((c_TMAP1IN)-(c_TFWD)))+(0)+IF(((c_TMAP1OUT)-(0))&gt;=0,IF(IF(o_WRAP=1,MOD(((c_TMAP1IN)-(c_TFWD))*(((K317)-(c_TFWD))*((c_TMAP1OUT)-(0))+IF(((c_TMAP1OUT)-(0))&gt;=0,1,-1)*QUOTIENT(((c_TMAP1IN)-(c_TFWD)),2))+2147483648,4294967296)-2147483648,((c_TMAP1IN)-(c_TFWD))*(((K317)-(c_TFWD))*((c_TMAP1OUT)-(0))+IF(((c_TMAP1OUT)-(0))&gt;=0,1,-1)*QUOTIENT(((c_TMAP1IN)-(c_TFWD)),2)))&lt;0,-1,0),IF(IF(o_WRAP=1,MOD(((c_TMAP1IN)-(c_TFWD))*(((K317)-(c_TFWD))*((c_TMAP1OUT)-(0))+IF(((c_TMAP1OUT)-(0))&gt;=0,1,-1)*QUOTIENT(((c_TMAP1IN)-(c_TFWD)),2))+2147483648,4294967296)-2147483648,((c_TMAP1IN)-(c_TFWD))*(((K317)-(c_TFWD))*((c_TMAP1OUT)-(0))+IF(((c_TMAP1OUT)-(0))&gt;=0,1,-1)*QUOTIENT(((c_TMAP1IN)-(c_TFWD)),2)))&gt;=0,1,0)))</f>
        <v>689</v>
      </c>
      <c r="N317" s="7" t="n">
        <f aca="false">IF(((c_TMAP2IN)-(c_TMAP1IN))=0,(c_TMAP1OUT)+QUOTIENT(((c_TMAP2OUT)-(c_TMAP1OUT)),2),QUOTIENT((((K317)-(c_TMAP1IN))*((c_TMAP2OUT)-(c_TMAP1OUT))+IF(((c_TMAP2OUT)-(c_TMAP1OUT))&gt;=0,1,-1)*QUOTIENT(((c_TMAP2IN)-(c_TMAP1IN)),2)),((c_TMAP2IN)-(c_TMAP1IN)))+(c_TMAP1OUT)+IF(((c_TMAP2OUT)-(c_TMAP1OUT))&gt;=0,IF(IF(o_WRAP=1,MOD(((c_TMAP2IN)-(c_TMAP1IN))*(((K317)-(c_TMAP1IN))*((c_TMAP2OUT)-(c_TMAP1OUT))+IF(((c_TMAP2OUT)-(c_TMAP1OUT))&gt;=0,1,-1)*QUOTIENT(((c_TMAP2IN)-(c_TMAP1IN)),2))+2147483648,4294967296)-2147483648,((c_TMAP2IN)-(c_TMAP1IN))*(((K317)-(c_TMAP1IN))*((c_TMAP2OUT)-(c_TMAP1OUT))+IF(((c_TMAP2OUT)-(c_TMAP1OUT))&gt;=0,1,-1)*QUOTIENT(((c_TMAP2IN)-(c_TMAP1IN)),2)))&lt;0,-1,0),IF(IF(o_WRAP=1,MOD(((c_TMAP2IN)-(c_TMAP1IN))*(((K317)-(c_TMAP1IN))*((c_TMAP2OUT)-(c_TMAP1OUT))+IF(((c_TMAP2OUT)-(c_TMAP1OUT))&gt;=0,1,-1)*QUOTIENT(((c_TMAP2IN)-(c_TMAP1IN)),2))+2147483648,4294967296)-2147483648,((c_TMAP2IN)-(c_TMAP1IN))*(((K317)-(c_TMAP1IN))*((c_TMAP2OUT)-(c_TMAP1OUT))+IF(((c_TMAP2OUT)-(c_TMAP1OUT))&gt;=0,1,-1)*QUOTIENT(((c_TMAP2IN)-(c_TMAP1IN)),2)))&gt;=0,1,0)))</f>
        <v>388</v>
      </c>
      <c r="O317" s="7" t="n">
        <f aca="false">IF(((c_TMAP3IN)-(c_TMAP2IN))=0,(c_TMAP2OUT)+QUOTIENT(((c_TMAP3OUT)-(c_TMAP2OUT)),2),QUOTIENT((((K317)-(c_TMAP2IN))*((c_TMAP3OUT)-(c_TMAP2OUT))+IF(((c_TMAP3OUT)-(c_TMAP2OUT))&gt;=0,1,-1)*QUOTIENT(((c_TMAP3IN)-(c_TMAP2IN)),2)),((c_TMAP3IN)-(c_TMAP2IN)))+(c_TMAP2OUT)+IF(((c_TMAP3OUT)-(c_TMAP2OUT))&gt;=0,IF(IF(o_WRAP=1,MOD(((c_TMAP3IN)-(c_TMAP2IN))*(((K317)-(c_TMAP2IN))*((c_TMAP3OUT)-(c_TMAP2OUT))+IF(((c_TMAP3OUT)-(c_TMAP2OUT))&gt;=0,1,-1)*QUOTIENT(((c_TMAP3IN)-(c_TMAP2IN)),2))+2147483648,4294967296)-2147483648,((c_TMAP3IN)-(c_TMAP2IN))*(((K317)-(c_TMAP2IN))*((c_TMAP3OUT)-(c_TMAP2OUT))+IF(((c_TMAP3OUT)-(c_TMAP2OUT))&gt;=0,1,-1)*QUOTIENT(((c_TMAP3IN)-(c_TMAP2IN)),2)))&lt;0,-1,0),IF(IF(o_WRAP=1,MOD(((c_TMAP3IN)-(c_TMAP2IN))*(((K317)-(c_TMAP2IN))*((c_TMAP3OUT)-(c_TMAP2OUT))+IF(((c_TMAP3OUT)-(c_TMAP2OUT))&gt;=0,1,-1)*QUOTIENT(((c_TMAP3IN)-(c_TMAP2IN)),2))+2147483648,4294967296)-2147483648,((c_TMAP3IN)-(c_TMAP2IN))*(((K317)-(c_TMAP2IN))*((c_TMAP3OUT)-(c_TMAP2OUT))+IF(((c_TMAP3OUT)-(c_TMAP2OUT))&gt;=0,1,-1)*QUOTIENT(((c_TMAP3IN)-(c_TMAP2IN)),2)))&gt;=0,1,0)))</f>
        <v>582</v>
      </c>
      <c r="P317" s="7" t="n">
        <f aca="false">IF(((1000)-(c_TMAP3IN))=0,(c_TMAP3OUT)+QUOTIENT(((1000)-(c_TMAP3OUT)),2),QUOTIENT((((K317)-(c_TMAP3IN))*((1000)-(c_TMAP3OUT))+IF(((1000)-(c_TMAP3OUT))&gt;=0,1,-1)*QUOTIENT(((1000)-(c_TMAP3IN)),2)),((1000)-(c_TMAP3IN)))+(c_TMAP3OUT)+IF(((1000)-(c_TMAP3OUT))&gt;=0,IF(IF(o_WRAP=1,MOD(((1000)-(c_TMAP3IN))*(((K317)-(c_TMAP3IN))*((1000)-(c_TMAP3OUT))+IF(((1000)-(c_TMAP3OUT))&gt;=0,1,-1)*QUOTIENT(((1000)-(c_TMAP3IN)),2))+2147483648,4294967296)-2147483648,((1000)-(c_TMAP3IN))*(((K317)-(c_TMAP3IN))*((1000)-(c_TMAP3OUT))+IF(((1000)-(c_TMAP3OUT))&gt;=0,1,-1)*QUOTIENT(((1000)-(c_TMAP3IN)),2)))&lt;0,-1,0),IF(IF(o_WRAP=1,MOD(((1000)-(c_TMAP3IN))*(((K317)-(c_TMAP3IN))*((1000)-(c_TMAP3OUT))+IF(((1000)-(c_TMAP3OUT))&gt;=0,1,-1)*QUOTIENT(((1000)-(c_TMAP3IN)),2))+2147483648,4294967296)-2147483648,((1000)-(c_TMAP3IN))*(((K317)-(c_TMAP3IN))*((1000)-(c_TMAP3OUT))+IF(((1000)-(c_TMAP3OUT))&gt;=0,1,-1)*QUOTIENT(((1000)-(c_TMAP3IN)),2)))&gt;=0,1,0)))</f>
        <v>872</v>
      </c>
      <c r="Q317" s="7" t="str">
        <f aca="false">IF(K317&gt;=c_TFWD,IF(AND(K317&gt;=c_TMAP3IN,c_TMAP3IN&lt;1000),"Seg4 map3-100%",IF(AND(K317&gt;=c_TMAP2IN,c_TMAP3IN&gt;c_TMAP2IN),"Seg3 map2-map3",IF(AND(K317&gt;=c_TMAP1IN,c_TMAP2IN&gt;c_TMAP1IN),"Seg2 map1-map2","Seg1 TFWD-map1"))),IF(AND(K317=0,c_TCREEP&gt;0),"Creep",IF(AND(K317&lt;=c_TRNGMIN,K317&gt;=c_TRNGMAX,c_TRNGMIN-c_TRNGMAX&lt;&gt;0),"Regen ramp","Coast (0)")))</f>
        <v>Seg4 map3-100%</v>
      </c>
      <c r="R317" s="7" t="n">
        <f aca="false">IF(K317&gt;=c_TFWD,IF(AND(K317&gt;=c_TMAP3IN,c_TMAP3IN&lt;1000),P317,IF(AND(K317&gt;=c_TMAP2IN,c_TMAP3IN&gt;c_TMAP2IN),O317,IF(AND(K317&gt;=c_TMAP1IN,c_TMAP2IN&gt;c_TMAP1IN),N317,M317))),L317)</f>
        <v>872</v>
      </c>
      <c r="S317" s="7" t="str">
        <f aca="false">IF(R317&lt;-1090,"TOO LOW",IF(R317&gt;1090,"TOO HIGH",""))</f>
        <v/>
      </c>
      <c r="T317" s="15" t="n">
        <f aca="false">IF(H317&lt;&gt;"OK",0,IF(S317&lt;&gt;"",0,IF(R317&gt;979,1000,R317)))</f>
        <v>872</v>
      </c>
      <c r="U317" s="7" t="n">
        <f aca="false">T317/10</f>
        <v>87.2</v>
      </c>
    </row>
    <row r="318" customFormat="false" ht="15" hidden="false" customHeight="false" outlineLevel="0" collapsed="false">
      <c r="A318" s="7" t="n">
        <v>313</v>
      </c>
      <c r="B318" s="7" t="n">
        <f aca="false">ROUND(o_SWSTART+A318*(o_SWEND-o_SWSTART)/400,0)</f>
        <v>3204</v>
      </c>
      <c r="C318" s="7" t="n">
        <f aca="false">QUOTIENT((B318-c_OFF1)*c_GAIN1,1024)</f>
        <v>3204</v>
      </c>
      <c r="D318" s="7" t="n">
        <f aca="false">IF(((c_T1MX)-(c_T1MN))=0,(0)+QUOTIENT(((1000)-(0)),2),QUOTIENT((((C318)-(c_T1MN))*((1000)-(0))+IF(((1000)-(0))&gt;=0,1,-1)*QUOTIENT(((c_T1MX)-(c_T1MN)),2)),((c_T1MX)-(c_T1MN)))+(0)+IF(((1000)-(0))&gt;=0,IF(IF(o_WRAP=1,MOD(((c_T1MX)-(c_T1MN))*(((C318)-(c_T1MN))*((1000)-(0))+IF(((1000)-(0))&gt;=0,1,-1)*QUOTIENT(((c_T1MX)-(c_T1MN)),2))+2147483648,4294967296)-2147483648,((c_T1MX)-(c_T1MN))*(((C318)-(c_T1MN))*((1000)-(0))+IF(((1000)-(0))&gt;=0,1,-1)*QUOTIENT(((c_T1MX)-(c_T1MN)),2)))&lt;0,-1,0),IF(IF(o_WRAP=1,MOD(((c_T1MX)-(c_T1MN))*(((C318)-(c_T1MN))*((1000)-(0))+IF(((1000)-(0))&gt;=0,1,-1)*QUOTIENT(((c_T1MX)-(c_T1MN)),2))+2147483648,4294967296)-2147483648,((c_T1MX)-(c_T1MN))*(((C318)-(c_T1MN))*((1000)-(0))+IF(((1000)-(0))&gt;=0,1,-1)*QUOTIENT(((c_T1MX)-(c_T1MN)),2)))&gt;=0,1,0)))</f>
        <v>900</v>
      </c>
      <c r="E318" s="7" t="n">
        <f aca="false">IF(AND(c_TPOT=1,c_TTYPE=2),1000-D318,D318)</f>
        <v>900</v>
      </c>
      <c r="F318" s="7" t="str">
        <f aca="false">IF(c_TPOT&gt;1,ROUND(IF(c_TTYPE=2,c_T2MX-IF(c_T1MX=c_T1MN,0,(C318-c_T1MN)/(c_T1MX-c_T1MN))*(c_T2MX-c_T2MN),c_T2MN+IF(c_T1MX=c_T1MN,0,(C318-c_T1MN)/(c_T1MX-c_T1MN))*(c_T2MX-c_T2MN))+o_MISMATCH,0),"")</f>
        <v/>
      </c>
      <c r="G318" s="7" t="str">
        <f aca="false">IF(c_TPOT&gt;1,IF(((c_T2MX)-(c_T2MN))=0,(0)+QUOTIENT(((1000)-(0)),2),QUOTIENT((((F318)-(c_T2MN))*((1000)-(0))+IF(((1000)-(0))&gt;=0,1,-1)*QUOTIENT(((c_T2MX)-(c_T2MN)),2)),((c_T2MX)-(c_T2MN)))+(0)+IF(((1000)-(0))&gt;=0,IF(IF(o_WRAP=1,MOD(((c_T2MX)-(c_T2MN))*(((F318)-(c_T2MN))*((1000)-(0))+IF(((1000)-(0))&gt;=0,1,-1)*QUOTIENT(((c_T2MX)-(c_T2MN)),2))+2147483648,4294967296)-2147483648,((c_T2MX)-(c_T2MN))*(((F318)-(c_T2MN))*((1000)-(0))+IF(((1000)-(0))&gt;=0,1,-1)*QUOTIENT(((c_T2MX)-(c_T2MN)),2)))&lt;0,-1,0),IF(IF(o_WRAP=1,MOD(((c_T2MX)-(c_T2MN))*(((F318)-(c_T2MN))*((1000)-(0))+IF(((1000)-(0))&gt;=0,1,-1)*QUOTIENT(((c_T2MX)-(c_T2MN)),2))+2147483648,4294967296)-2147483648,((c_T2MX)-(c_T2MN))*(((F318)-(c_T2MN))*((1000)-(0))+IF(((1000)-(0))&gt;=0,1,-1)*QUOTIENT(((c_T2MX)-(c_T2MN)),2)))&gt;=0,1,0))),"")</f>
        <v/>
      </c>
      <c r="H318" s="7" t="str">
        <f aca="false">IF(E318&gt;1000+k_TOL,"T1 HIGH",IF(E318&lt;0-k_TOL,"T1 LOW",IF(c_TPOT&gt;1,IF(G318&gt;1000+k_TOL,"T2 HIGH",IF(G318&lt;0-k_TOL,"T2 LOW",IF(c_TTYPE=2,IF(ABS(1000-MAX(0,MIN(1000,E318))-MAX(0,MIN(1000,G318)))&gt;k_MAXERR,"MISMATCH","OK"),IF(OR(MAX(0,MIN(1000,E318))-k_MAXERR&gt;MAX(0,MIN(1000,G318)),MAX(0,MIN(1000,G318))-k_MAXERR&gt;MAX(0,MIN(1000,E318))),"MISMATCH","OK")))),"OK")))</f>
        <v>OK</v>
      </c>
      <c r="I318" s="7" t="n">
        <f aca="false">MAX(0,MIN(1000,D318))</f>
        <v>900</v>
      </c>
      <c r="J318" s="7" t="str">
        <f aca="false">IF(c_TPOT&gt;1,IF(c_TTYPE=2,1000-MAX(0,MIN(1000,G318)),MAX(0,MIN(1000,G318))),"")</f>
        <v/>
      </c>
      <c r="K318" s="7" t="n">
        <f aca="false">IF(c_TPOT&gt;1,QUOTIENT(I318+J318,2),I318)</f>
        <v>900</v>
      </c>
      <c r="L318" s="7" t="n">
        <f aca="false">IF(AND(K318=0,c_TCREEP&gt;0),10*c_TCREEP,IF(AND(K318&lt;=c_TRNGMIN,K318&gt;=c_TRNGMAX,c_TRNGMIN-c_TRNGMAX&lt;&gt;0),-10*c_TMINRN+QUOTIENT((c_TMAXRN-c_TMINRN)*(100-QUOTIENT((K318-c_TRNGMAX)*100,c_TRNGMIN-c_TRNGMAX)),-10),0))</f>
        <v>0</v>
      </c>
      <c r="M318" s="7" t="n">
        <f aca="false">IF(((c_TMAP1IN)-(c_TFWD))=0,(0)+QUOTIENT(((c_TMAP1OUT)-(0)),2),QUOTIENT((((K318)-(c_TFWD))*((c_TMAP1OUT)-(0))+IF(((c_TMAP1OUT)-(0))&gt;=0,1,-1)*QUOTIENT(((c_TMAP1IN)-(c_TFWD)),2)),((c_TMAP1IN)-(c_TFWD)))+(0)+IF(((c_TMAP1OUT)-(0))&gt;=0,IF(IF(o_WRAP=1,MOD(((c_TMAP1IN)-(c_TFWD))*(((K318)-(c_TFWD))*((c_TMAP1OUT)-(0))+IF(((c_TMAP1OUT)-(0))&gt;=0,1,-1)*QUOTIENT(((c_TMAP1IN)-(c_TFWD)),2))+2147483648,4294967296)-2147483648,((c_TMAP1IN)-(c_TFWD))*(((K318)-(c_TFWD))*((c_TMAP1OUT)-(0))+IF(((c_TMAP1OUT)-(0))&gt;=0,1,-1)*QUOTIENT(((c_TMAP1IN)-(c_TFWD)),2)))&lt;0,-1,0),IF(IF(o_WRAP=1,MOD(((c_TMAP1IN)-(c_TFWD))*(((K318)-(c_TFWD))*((c_TMAP1OUT)-(0))+IF(((c_TMAP1OUT)-(0))&gt;=0,1,-1)*QUOTIENT(((c_TMAP1IN)-(c_TFWD)),2))+2147483648,4294967296)-2147483648,((c_TMAP1IN)-(c_TFWD))*(((K318)-(c_TFWD))*((c_TMAP1OUT)-(0))+IF(((c_TMAP1OUT)-(0))&gt;=0,1,-1)*QUOTIENT(((c_TMAP1IN)-(c_TFWD)),2)))&gt;=0,1,0)))</f>
        <v>692</v>
      </c>
      <c r="N318" s="7" t="n">
        <f aca="false">IF(((c_TMAP2IN)-(c_TMAP1IN))=0,(c_TMAP1OUT)+QUOTIENT(((c_TMAP2OUT)-(c_TMAP1OUT)),2),QUOTIENT((((K318)-(c_TMAP1IN))*((c_TMAP2OUT)-(c_TMAP1OUT))+IF(((c_TMAP2OUT)-(c_TMAP1OUT))&gt;=0,1,-1)*QUOTIENT(((c_TMAP2IN)-(c_TMAP1IN)),2)),((c_TMAP2IN)-(c_TMAP1IN)))+(c_TMAP1OUT)+IF(((c_TMAP2OUT)-(c_TMAP1OUT))&gt;=0,IF(IF(o_WRAP=1,MOD(((c_TMAP2IN)-(c_TMAP1IN))*(((K318)-(c_TMAP1IN))*((c_TMAP2OUT)-(c_TMAP1OUT))+IF(((c_TMAP2OUT)-(c_TMAP1OUT))&gt;=0,1,-1)*QUOTIENT(((c_TMAP2IN)-(c_TMAP1IN)),2))+2147483648,4294967296)-2147483648,((c_TMAP2IN)-(c_TMAP1IN))*(((K318)-(c_TMAP1IN))*((c_TMAP2OUT)-(c_TMAP1OUT))+IF(((c_TMAP2OUT)-(c_TMAP1OUT))&gt;=0,1,-1)*QUOTIENT(((c_TMAP2IN)-(c_TMAP1IN)),2)))&lt;0,-1,0),IF(IF(o_WRAP=1,MOD(((c_TMAP2IN)-(c_TMAP1IN))*(((K318)-(c_TMAP1IN))*((c_TMAP2OUT)-(c_TMAP1OUT))+IF(((c_TMAP2OUT)-(c_TMAP1OUT))&gt;=0,1,-1)*QUOTIENT(((c_TMAP2IN)-(c_TMAP1IN)),2))+2147483648,4294967296)-2147483648,((c_TMAP2IN)-(c_TMAP1IN))*(((K318)-(c_TMAP1IN))*((c_TMAP2OUT)-(c_TMAP1OUT))+IF(((c_TMAP2OUT)-(c_TMAP1OUT))&gt;=0,1,-1)*QUOTIENT(((c_TMAP2IN)-(c_TMAP1IN)),2)))&gt;=0,1,0)))</f>
        <v>390</v>
      </c>
      <c r="O318" s="7" t="n">
        <f aca="false">IF(((c_TMAP3IN)-(c_TMAP2IN))=0,(c_TMAP2OUT)+QUOTIENT(((c_TMAP3OUT)-(c_TMAP2OUT)),2),QUOTIENT((((K318)-(c_TMAP2IN))*((c_TMAP3OUT)-(c_TMAP2OUT))+IF(((c_TMAP3OUT)-(c_TMAP2OUT))&gt;=0,1,-1)*QUOTIENT(((c_TMAP3IN)-(c_TMAP2IN)),2)),((c_TMAP3IN)-(c_TMAP2IN)))+(c_TMAP2OUT)+IF(((c_TMAP3OUT)-(c_TMAP2OUT))&gt;=0,IF(IF(o_WRAP=1,MOD(((c_TMAP3IN)-(c_TMAP2IN))*(((K318)-(c_TMAP2IN))*((c_TMAP3OUT)-(c_TMAP2OUT))+IF(((c_TMAP3OUT)-(c_TMAP2OUT))&gt;=0,1,-1)*QUOTIENT(((c_TMAP3IN)-(c_TMAP2IN)),2))+2147483648,4294967296)-2147483648,((c_TMAP3IN)-(c_TMAP2IN))*(((K318)-(c_TMAP2IN))*((c_TMAP3OUT)-(c_TMAP2OUT))+IF(((c_TMAP3OUT)-(c_TMAP2OUT))&gt;=0,1,-1)*QUOTIENT(((c_TMAP3IN)-(c_TMAP2IN)),2)))&lt;0,-1,0),IF(IF(o_WRAP=1,MOD(((c_TMAP3IN)-(c_TMAP2IN))*(((K318)-(c_TMAP2IN))*((c_TMAP3OUT)-(c_TMAP2OUT))+IF(((c_TMAP3OUT)-(c_TMAP2OUT))&gt;=0,1,-1)*QUOTIENT(((c_TMAP3IN)-(c_TMAP2IN)),2))+2147483648,4294967296)-2147483648,((c_TMAP3IN)-(c_TMAP2IN))*(((K318)-(c_TMAP2IN))*((c_TMAP3OUT)-(c_TMAP2OUT))+IF(((c_TMAP3OUT)-(c_TMAP2OUT))&gt;=0,1,-1)*QUOTIENT(((c_TMAP3IN)-(c_TMAP2IN)),2)))&gt;=0,1,0)))</f>
        <v>585</v>
      </c>
      <c r="P318" s="7" t="n">
        <f aca="false">IF(((1000)-(c_TMAP3IN))=0,(c_TMAP3OUT)+QUOTIENT(((1000)-(c_TMAP3OUT)),2),QUOTIENT((((K318)-(c_TMAP3IN))*((1000)-(c_TMAP3OUT))+IF(((1000)-(c_TMAP3OUT))&gt;=0,1,-1)*QUOTIENT(((1000)-(c_TMAP3IN)),2)),((1000)-(c_TMAP3IN)))+(c_TMAP3OUT)+IF(((1000)-(c_TMAP3OUT))&gt;=0,IF(IF(o_WRAP=1,MOD(((1000)-(c_TMAP3IN))*(((K318)-(c_TMAP3IN))*((1000)-(c_TMAP3OUT))+IF(((1000)-(c_TMAP3OUT))&gt;=0,1,-1)*QUOTIENT(((1000)-(c_TMAP3IN)),2))+2147483648,4294967296)-2147483648,((1000)-(c_TMAP3IN))*(((K318)-(c_TMAP3IN))*((1000)-(c_TMAP3OUT))+IF(((1000)-(c_TMAP3OUT))&gt;=0,1,-1)*QUOTIENT(((1000)-(c_TMAP3IN)),2)))&lt;0,-1,0),IF(IF(o_WRAP=1,MOD(((1000)-(c_TMAP3IN))*(((K318)-(c_TMAP3IN))*((1000)-(c_TMAP3OUT))+IF(((1000)-(c_TMAP3OUT))&gt;=0,1,-1)*QUOTIENT(((1000)-(c_TMAP3IN)),2))+2147483648,4294967296)-2147483648,((1000)-(c_TMAP3IN))*(((K318)-(c_TMAP3IN))*((1000)-(c_TMAP3OUT))+IF(((1000)-(c_TMAP3OUT))&gt;=0,1,-1)*QUOTIENT(((1000)-(c_TMAP3IN)),2)))&gt;=0,1,0)))</f>
        <v>877</v>
      </c>
      <c r="Q318" s="7" t="str">
        <f aca="false">IF(K318&gt;=c_TFWD,IF(AND(K318&gt;=c_TMAP3IN,c_TMAP3IN&lt;1000),"Seg4 map3-100%",IF(AND(K318&gt;=c_TMAP2IN,c_TMAP3IN&gt;c_TMAP2IN),"Seg3 map2-map3",IF(AND(K318&gt;=c_TMAP1IN,c_TMAP2IN&gt;c_TMAP1IN),"Seg2 map1-map2","Seg1 TFWD-map1"))),IF(AND(K318=0,c_TCREEP&gt;0),"Creep",IF(AND(K318&lt;=c_TRNGMIN,K318&gt;=c_TRNGMAX,c_TRNGMIN-c_TRNGMAX&lt;&gt;0),"Regen ramp","Coast (0)")))</f>
        <v>Seg4 map3-100%</v>
      </c>
      <c r="R318" s="7" t="n">
        <f aca="false">IF(K318&gt;=c_TFWD,IF(AND(K318&gt;=c_TMAP3IN,c_TMAP3IN&lt;1000),P318,IF(AND(K318&gt;=c_TMAP2IN,c_TMAP3IN&gt;c_TMAP2IN),O318,IF(AND(K318&gt;=c_TMAP1IN,c_TMAP2IN&gt;c_TMAP1IN),N318,M318))),L318)</f>
        <v>877</v>
      </c>
      <c r="S318" s="7" t="str">
        <f aca="false">IF(R318&lt;-1090,"TOO LOW",IF(R318&gt;1090,"TOO HIGH",""))</f>
        <v/>
      </c>
      <c r="T318" s="15" t="n">
        <f aca="false">IF(H318&lt;&gt;"OK",0,IF(S318&lt;&gt;"",0,IF(R318&gt;979,1000,R318)))</f>
        <v>877</v>
      </c>
      <c r="U318" s="7" t="n">
        <f aca="false">T318/10</f>
        <v>87.7</v>
      </c>
    </row>
    <row r="319" customFormat="false" ht="15" hidden="false" customHeight="false" outlineLevel="0" collapsed="false">
      <c r="A319" s="7" t="n">
        <v>314</v>
      </c>
      <c r="B319" s="7" t="n">
        <f aca="false">ROUND(o_SWSTART+A319*(o_SWEND-o_SWSTART)/400,0)</f>
        <v>3215</v>
      </c>
      <c r="C319" s="7" t="n">
        <f aca="false">QUOTIENT((B319-c_OFF1)*c_GAIN1,1024)</f>
        <v>3215</v>
      </c>
      <c r="D319" s="7" t="n">
        <f aca="false">IF(((c_T1MX)-(c_T1MN))=0,(0)+QUOTIENT(((1000)-(0)),2),QUOTIENT((((C319)-(c_T1MN))*((1000)-(0))+IF(((1000)-(0))&gt;=0,1,-1)*QUOTIENT(((c_T1MX)-(c_T1MN)),2)),((c_T1MX)-(c_T1MN)))+(0)+IF(((1000)-(0))&gt;=0,IF(IF(o_WRAP=1,MOD(((c_T1MX)-(c_T1MN))*(((C319)-(c_T1MN))*((1000)-(0))+IF(((1000)-(0))&gt;=0,1,-1)*QUOTIENT(((c_T1MX)-(c_T1MN)),2))+2147483648,4294967296)-2147483648,((c_T1MX)-(c_T1MN))*(((C319)-(c_T1MN))*((1000)-(0))+IF(((1000)-(0))&gt;=0,1,-1)*QUOTIENT(((c_T1MX)-(c_T1MN)),2)))&lt;0,-1,0),IF(IF(o_WRAP=1,MOD(((c_T1MX)-(c_T1MN))*(((C319)-(c_T1MN))*((1000)-(0))+IF(((1000)-(0))&gt;=0,1,-1)*QUOTIENT(((c_T1MX)-(c_T1MN)),2))+2147483648,4294967296)-2147483648,((c_T1MX)-(c_T1MN))*(((C319)-(c_T1MN))*((1000)-(0))+IF(((1000)-(0))&gt;=0,1,-1)*QUOTIENT(((c_T1MX)-(c_T1MN)),2)))&gt;=0,1,0)))</f>
        <v>904</v>
      </c>
      <c r="E319" s="7" t="n">
        <f aca="false">IF(AND(c_TPOT=1,c_TTYPE=2),1000-D319,D319)</f>
        <v>904</v>
      </c>
      <c r="F319" s="7" t="str">
        <f aca="false">IF(c_TPOT&gt;1,ROUND(IF(c_TTYPE=2,c_T2MX-IF(c_T1MX=c_T1MN,0,(C319-c_T1MN)/(c_T1MX-c_T1MN))*(c_T2MX-c_T2MN),c_T2MN+IF(c_T1MX=c_T1MN,0,(C319-c_T1MN)/(c_T1MX-c_T1MN))*(c_T2MX-c_T2MN))+o_MISMATCH,0),"")</f>
        <v/>
      </c>
      <c r="G319" s="7" t="str">
        <f aca="false">IF(c_TPOT&gt;1,IF(((c_T2MX)-(c_T2MN))=0,(0)+QUOTIENT(((1000)-(0)),2),QUOTIENT((((F319)-(c_T2MN))*((1000)-(0))+IF(((1000)-(0))&gt;=0,1,-1)*QUOTIENT(((c_T2MX)-(c_T2MN)),2)),((c_T2MX)-(c_T2MN)))+(0)+IF(((1000)-(0))&gt;=0,IF(IF(o_WRAP=1,MOD(((c_T2MX)-(c_T2MN))*(((F319)-(c_T2MN))*((1000)-(0))+IF(((1000)-(0))&gt;=0,1,-1)*QUOTIENT(((c_T2MX)-(c_T2MN)),2))+2147483648,4294967296)-2147483648,((c_T2MX)-(c_T2MN))*(((F319)-(c_T2MN))*((1000)-(0))+IF(((1000)-(0))&gt;=0,1,-1)*QUOTIENT(((c_T2MX)-(c_T2MN)),2)))&lt;0,-1,0),IF(IF(o_WRAP=1,MOD(((c_T2MX)-(c_T2MN))*(((F319)-(c_T2MN))*((1000)-(0))+IF(((1000)-(0))&gt;=0,1,-1)*QUOTIENT(((c_T2MX)-(c_T2MN)),2))+2147483648,4294967296)-2147483648,((c_T2MX)-(c_T2MN))*(((F319)-(c_T2MN))*((1000)-(0))+IF(((1000)-(0))&gt;=0,1,-1)*QUOTIENT(((c_T2MX)-(c_T2MN)),2)))&gt;=0,1,0))),"")</f>
        <v/>
      </c>
      <c r="H319" s="7" t="str">
        <f aca="false">IF(E319&gt;1000+k_TOL,"T1 HIGH",IF(E319&lt;0-k_TOL,"T1 LOW",IF(c_TPOT&gt;1,IF(G319&gt;1000+k_TOL,"T2 HIGH",IF(G319&lt;0-k_TOL,"T2 LOW",IF(c_TTYPE=2,IF(ABS(1000-MAX(0,MIN(1000,E319))-MAX(0,MIN(1000,G319)))&gt;k_MAXERR,"MISMATCH","OK"),IF(OR(MAX(0,MIN(1000,E319))-k_MAXERR&gt;MAX(0,MIN(1000,G319)),MAX(0,MIN(1000,G319))-k_MAXERR&gt;MAX(0,MIN(1000,E319))),"MISMATCH","OK")))),"OK")))</f>
        <v>OK</v>
      </c>
      <c r="I319" s="7" t="n">
        <f aca="false">MAX(0,MIN(1000,D319))</f>
        <v>904</v>
      </c>
      <c r="J319" s="7" t="str">
        <f aca="false">IF(c_TPOT&gt;1,IF(c_TTYPE=2,1000-MAX(0,MIN(1000,G319)),MAX(0,MIN(1000,G319))),"")</f>
        <v/>
      </c>
      <c r="K319" s="7" t="n">
        <f aca="false">IF(c_TPOT&gt;1,QUOTIENT(I319+J319,2),I319)</f>
        <v>904</v>
      </c>
      <c r="L319" s="7" t="n">
        <f aca="false">IF(AND(K319=0,c_TCREEP&gt;0),10*c_TCREEP,IF(AND(K319&lt;=c_TRNGMIN,K319&gt;=c_TRNGMAX,c_TRNGMIN-c_TRNGMAX&lt;&gt;0),-10*c_TMINRN+QUOTIENT((c_TMAXRN-c_TMINRN)*(100-QUOTIENT((K319-c_TRNGMAX)*100,c_TRNGMIN-c_TRNGMAX)),-10),0))</f>
        <v>0</v>
      </c>
      <c r="M319" s="7" t="n">
        <f aca="false">IF(((c_TMAP1IN)-(c_TFWD))=0,(0)+QUOTIENT(((c_TMAP1OUT)-(0)),2),QUOTIENT((((K319)-(c_TFWD))*((c_TMAP1OUT)-(0))+IF(((c_TMAP1OUT)-(0))&gt;=0,1,-1)*QUOTIENT(((c_TMAP1IN)-(c_TFWD)),2)),((c_TMAP1IN)-(c_TFWD)))+(0)+IF(((c_TMAP1OUT)-(0))&gt;=0,IF(IF(o_WRAP=1,MOD(((c_TMAP1IN)-(c_TFWD))*(((K319)-(c_TFWD))*((c_TMAP1OUT)-(0))+IF(((c_TMAP1OUT)-(0))&gt;=0,1,-1)*QUOTIENT(((c_TMAP1IN)-(c_TFWD)),2))+2147483648,4294967296)-2147483648,((c_TMAP1IN)-(c_TFWD))*(((K319)-(c_TFWD))*((c_TMAP1OUT)-(0))+IF(((c_TMAP1OUT)-(0))&gt;=0,1,-1)*QUOTIENT(((c_TMAP1IN)-(c_TFWD)),2)))&lt;0,-1,0),IF(IF(o_WRAP=1,MOD(((c_TMAP1IN)-(c_TFWD))*(((K319)-(c_TFWD))*((c_TMAP1OUT)-(0))+IF(((c_TMAP1OUT)-(0))&gt;=0,1,-1)*QUOTIENT(((c_TMAP1IN)-(c_TFWD)),2))+2147483648,4294967296)-2147483648,((c_TMAP1IN)-(c_TFWD))*(((K319)-(c_TFWD))*((c_TMAP1OUT)-(0))+IF(((c_TMAP1OUT)-(0))&gt;=0,1,-1)*QUOTIENT(((c_TMAP1IN)-(c_TFWD)),2)))&gt;=0,1,0)))</f>
        <v>695</v>
      </c>
      <c r="N319" s="7" t="n">
        <f aca="false">IF(((c_TMAP2IN)-(c_TMAP1IN))=0,(c_TMAP1OUT)+QUOTIENT(((c_TMAP2OUT)-(c_TMAP1OUT)),2),QUOTIENT((((K319)-(c_TMAP1IN))*((c_TMAP2OUT)-(c_TMAP1OUT))+IF(((c_TMAP2OUT)-(c_TMAP1OUT))&gt;=0,1,-1)*QUOTIENT(((c_TMAP2IN)-(c_TMAP1IN)),2)),((c_TMAP2IN)-(c_TMAP1IN)))+(c_TMAP1OUT)+IF(((c_TMAP2OUT)-(c_TMAP1OUT))&gt;=0,IF(IF(o_WRAP=1,MOD(((c_TMAP2IN)-(c_TMAP1IN))*(((K319)-(c_TMAP1IN))*((c_TMAP2OUT)-(c_TMAP1OUT))+IF(((c_TMAP2OUT)-(c_TMAP1OUT))&gt;=0,1,-1)*QUOTIENT(((c_TMAP2IN)-(c_TMAP1IN)),2))+2147483648,4294967296)-2147483648,((c_TMAP2IN)-(c_TMAP1IN))*(((K319)-(c_TMAP1IN))*((c_TMAP2OUT)-(c_TMAP1OUT))+IF(((c_TMAP2OUT)-(c_TMAP1OUT))&gt;=0,1,-1)*QUOTIENT(((c_TMAP2IN)-(c_TMAP1IN)),2)))&lt;0,-1,0),IF(IF(o_WRAP=1,MOD(((c_TMAP2IN)-(c_TMAP1IN))*(((K319)-(c_TMAP1IN))*((c_TMAP2OUT)-(c_TMAP1OUT))+IF(((c_TMAP2OUT)-(c_TMAP1OUT))&gt;=0,1,-1)*QUOTIENT(((c_TMAP2IN)-(c_TMAP1IN)),2))+2147483648,4294967296)-2147483648,((c_TMAP2IN)-(c_TMAP1IN))*(((K319)-(c_TMAP1IN))*((c_TMAP2OUT)-(c_TMAP1OUT))+IF(((c_TMAP2OUT)-(c_TMAP1OUT))&gt;=0,1,-1)*QUOTIENT(((c_TMAP2IN)-(c_TMAP1IN)),2)))&gt;=0,1,0)))</f>
        <v>392</v>
      </c>
      <c r="O319" s="7" t="n">
        <f aca="false">IF(((c_TMAP3IN)-(c_TMAP2IN))=0,(c_TMAP2OUT)+QUOTIENT(((c_TMAP3OUT)-(c_TMAP2OUT)),2),QUOTIENT((((K319)-(c_TMAP2IN))*((c_TMAP3OUT)-(c_TMAP2OUT))+IF(((c_TMAP3OUT)-(c_TMAP2OUT))&gt;=0,1,-1)*QUOTIENT(((c_TMAP3IN)-(c_TMAP2IN)),2)),((c_TMAP3IN)-(c_TMAP2IN)))+(c_TMAP2OUT)+IF(((c_TMAP3OUT)-(c_TMAP2OUT))&gt;=0,IF(IF(o_WRAP=1,MOD(((c_TMAP3IN)-(c_TMAP2IN))*(((K319)-(c_TMAP2IN))*((c_TMAP3OUT)-(c_TMAP2OUT))+IF(((c_TMAP3OUT)-(c_TMAP2OUT))&gt;=0,1,-1)*QUOTIENT(((c_TMAP3IN)-(c_TMAP2IN)),2))+2147483648,4294967296)-2147483648,((c_TMAP3IN)-(c_TMAP2IN))*(((K319)-(c_TMAP2IN))*((c_TMAP3OUT)-(c_TMAP2OUT))+IF(((c_TMAP3OUT)-(c_TMAP2OUT))&gt;=0,1,-1)*QUOTIENT(((c_TMAP3IN)-(c_TMAP2IN)),2)))&lt;0,-1,0),IF(IF(o_WRAP=1,MOD(((c_TMAP3IN)-(c_TMAP2IN))*(((K319)-(c_TMAP2IN))*((c_TMAP3OUT)-(c_TMAP2OUT))+IF(((c_TMAP3OUT)-(c_TMAP2OUT))&gt;=0,1,-1)*QUOTIENT(((c_TMAP3IN)-(c_TMAP2IN)),2))+2147483648,4294967296)-2147483648,((c_TMAP3IN)-(c_TMAP2IN))*(((K319)-(c_TMAP2IN))*((c_TMAP3OUT)-(c_TMAP2OUT))+IF(((c_TMAP3OUT)-(c_TMAP2OUT))&gt;=0,1,-1)*QUOTIENT(((c_TMAP3IN)-(c_TMAP2IN)),2)))&gt;=0,1,0)))</f>
        <v>588</v>
      </c>
      <c r="P319" s="7" t="n">
        <f aca="false">IF(((1000)-(c_TMAP3IN))=0,(c_TMAP3OUT)+QUOTIENT(((1000)-(c_TMAP3OUT)),2),QUOTIENT((((K319)-(c_TMAP3IN))*((1000)-(c_TMAP3OUT))+IF(((1000)-(c_TMAP3OUT))&gt;=0,1,-1)*QUOTIENT(((1000)-(c_TMAP3IN)),2)),((1000)-(c_TMAP3IN)))+(c_TMAP3OUT)+IF(((1000)-(c_TMAP3OUT))&gt;=0,IF(IF(o_WRAP=1,MOD(((1000)-(c_TMAP3IN))*(((K319)-(c_TMAP3IN))*((1000)-(c_TMAP3OUT))+IF(((1000)-(c_TMAP3OUT))&gt;=0,1,-1)*QUOTIENT(((1000)-(c_TMAP3IN)),2))+2147483648,4294967296)-2147483648,((1000)-(c_TMAP3IN))*(((K319)-(c_TMAP3IN))*((1000)-(c_TMAP3OUT))+IF(((1000)-(c_TMAP3OUT))&gt;=0,1,-1)*QUOTIENT(((1000)-(c_TMAP3IN)),2)))&lt;0,-1,0),IF(IF(o_WRAP=1,MOD(((1000)-(c_TMAP3IN))*(((K319)-(c_TMAP3IN))*((1000)-(c_TMAP3OUT))+IF(((1000)-(c_TMAP3OUT))&gt;=0,1,-1)*QUOTIENT(((1000)-(c_TMAP3IN)),2))+2147483648,4294967296)-2147483648,((1000)-(c_TMAP3IN))*(((K319)-(c_TMAP3IN))*((1000)-(c_TMAP3OUT))+IF(((1000)-(c_TMAP3OUT))&gt;=0,1,-1)*QUOTIENT(((1000)-(c_TMAP3IN)),2)))&gt;=0,1,0)))</f>
        <v>882</v>
      </c>
      <c r="Q319" s="7" t="str">
        <f aca="false">IF(K319&gt;=c_TFWD,IF(AND(K319&gt;=c_TMAP3IN,c_TMAP3IN&lt;1000),"Seg4 map3-100%",IF(AND(K319&gt;=c_TMAP2IN,c_TMAP3IN&gt;c_TMAP2IN),"Seg3 map2-map3",IF(AND(K319&gt;=c_TMAP1IN,c_TMAP2IN&gt;c_TMAP1IN),"Seg2 map1-map2","Seg1 TFWD-map1"))),IF(AND(K319=0,c_TCREEP&gt;0),"Creep",IF(AND(K319&lt;=c_TRNGMIN,K319&gt;=c_TRNGMAX,c_TRNGMIN-c_TRNGMAX&lt;&gt;0),"Regen ramp","Coast (0)")))</f>
        <v>Seg4 map3-100%</v>
      </c>
      <c r="R319" s="7" t="n">
        <f aca="false">IF(K319&gt;=c_TFWD,IF(AND(K319&gt;=c_TMAP3IN,c_TMAP3IN&lt;1000),P319,IF(AND(K319&gt;=c_TMAP2IN,c_TMAP3IN&gt;c_TMAP2IN),O319,IF(AND(K319&gt;=c_TMAP1IN,c_TMAP2IN&gt;c_TMAP1IN),N319,M319))),L319)</f>
        <v>882</v>
      </c>
      <c r="S319" s="7" t="str">
        <f aca="false">IF(R319&lt;-1090,"TOO LOW",IF(R319&gt;1090,"TOO HIGH",""))</f>
        <v/>
      </c>
      <c r="T319" s="15" t="n">
        <f aca="false">IF(H319&lt;&gt;"OK",0,IF(S319&lt;&gt;"",0,IF(R319&gt;979,1000,R319)))</f>
        <v>882</v>
      </c>
      <c r="U319" s="7" t="n">
        <f aca="false">T319/10</f>
        <v>88.2</v>
      </c>
    </row>
    <row r="320" customFormat="false" ht="15" hidden="false" customHeight="false" outlineLevel="0" collapsed="false">
      <c r="A320" s="7" t="n">
        <v>315</v>
      </c>
      <c r="B320" s="7" t="n">
        <f aca="false">ROUND(o_SWSTART+A320*(o_SWEND-o_SWSTART)/400,0)</f>
        <v>3225</v>
      </c>
      <c r="C320" s="7" t="n">
        <f aca="false">QUOTIENT((B320-c_OFF1)*c_GAIN1,1024)</f>
        <v>3225</v>
      </c>
      <c r="D320" s="7" t="n">
        <f aca="false">IF(((c_T1MX)-(c_T1MN))=0,(0)+QUOTIENT(((1000)-(0)),2),QUOTIENT((((C320)-(c_T1MN))*((1000)-(0))+IF(((1000)-(0))&gt;=0,1,-1)*QUOTIENT(((c_T1MX)-(c_T1MN)),2)),((c_T1MX)-(c_T1MN)))+(0)+IF(((1000)-(0))&gt;=0,IF(IF(o_WRAP=1,MOD(((c_T1MX)-(c_T1MN))*(((C320)-(c_T1MN))*((1000)-(0))+IF(((1000)-(0))&gt;=0,1,-1)*QUOTIENT(((c_T1MX)-(c_T1MN)),2))+2147483648,4294967296)-2147483648,((c_T1MX)-(c_T1MN))*(((C320)-(c_T1MN))*((1000)-(0))+IF(((1000)-(0))&gt;=0,1,-1)*QUOTIENT(((c_T1MX)-(c_T1MN)),2)))&lt;0,-1,0),IF(IF(o_WRAP=1,MOD(((c_T1MX)-(c_T1MN))*(((C320)-(c_T1MN))*((1000)-(0))+IF(((1000)-(0))&gt;=0,1,-1)*QUOTIENT(((c_T1MX)-(c_T1MN)),2))+2147483648,4294967296)-2147483648,((c_T1MX)-(c_T1MN))*(((C320)-(c_T1MN))*((1000)-(0))+IF(((1000)-(0))&gt;=0,1,-1)*QUOTIENT(((c_T1MX)-(c_T1MN)),2)))&gt;=0,1,0)))</f>
        <v>907</v>
      </c>
      <c r="E320" s="7" t="n">
        <f aca="false">IF(AND(c_TPOT=1,c_TTYPE=2),1000-D320,D320)</f>
        <v>907</v>
      </c>
      <c r="F320" s="7" t="str">
        <f aca="false">IF(c_TPOT&gt;1,ROUND(IF(c_TTYPE=2,c_T2MX-IF(c_T1MX=c_T1MN,0,(C320-c_T1MN)/(c_T1MX-c_T1MN))*(c_T2MX-c_T2MN),c_T2MN+IF(c_T1MX=c_T1MN,0,(C320-c_T1MN)/(c_T1MX-c_T1MN))*(c_T2MX-c_T2MN))+o_MISMATCH,0),"")</f>
        <v/>
      </c>
      <c r="G320" s="7" t="str">
        <f aca="false">IF(c_TPOT&gt;1,IF(((c_T2MX)-(c_T2MN))=0,(0)+QUOTIENT(((1000)-(0)),2),QUOTIENT((((F320)-(c_T2MN))*((1000)-(0))+IF(((1000)-(0))&gt;=0,1,-1)*QUOTIENT(((c_T2MX)-(c_T2MN)),2)),((c_T2MX)-(c_T2MN)))+(0)+IF(((1000)-(0))&gt;=0,IF(IF(o_WRAP=1,MOD(((c_T2MX)-(c_T2MN))*(((F320)-(c_T2MN))*((1000)-(0))+IF(((1000)-(0))&gt;=0,1,-1)*QUOTIENT(((c_T2MX)-(c_T2MN)),2))+2147483648,4294967296)-2147483648,((c_T2MX)-(c_T2MN))*(((F320)-(c_T2MN))*((1000)-(0))+IF(((1000)-(0))&gt;=0,1,-1)*QUOTIENT(((c_T2MX)-(c_T2MN)),2)))&lt;0,-1,0),IF(IF(o_WRAP=1,MOD(((c_T2MX)-(c_T2MN))*(((F320)-(c_T2MN))*((1000)-(0))+IF(((1000)-(0))&gt;=0,1,-1)*QUOTIENT(((c_T2MX)-(c_T2MN)),2))+2147483648,4294967296)-2147483648,((c_T2MX)-(c_T2MN))*(((F320)-(c_T2MN))*((1000)-(0))+IF(((1000)-(0))&gt;=0,1,-1)*QUOTIENT(((c_T2MX)-(c_T2MN)),2)))&gt;=0,1,0))),"")</f>
        <v/>
      </c>
      <c r="H320" s="7" t="str">
        <f aca="false">IF(E320&gt;1000+k_TOL,"T1 HIGH",IF(E320&lt;0-k_TOL,"T1 LOW",IF(c_TPOT&gt;1,IF(G320&gt;1000+k_TOL,"T2 HIGH",IF(G320&lt;0-k_TOL,"T2 LOW",IF(c_TTYPE=2,IF(ABS(1000-MAX(0,MIN(1000,E320))-MAX(0,MIN(1000,G320)))&gt;k_MAXERR,"MISMATCH","OK"),IF(OR(MAX(0,MIN(1000,E320))-k_MAXERR&gt;MAX(0,MIN(1000,G320)),MAX(0,MIN(1000,G320))-k_MAXERR&gt;MAX(0,MIN(1000,E320))),"MISMATCH","OK")))),"OK")))</f>
        <v>OK</v>
      </c>
      <c r="I320" s="7" t="n">
        <f aca="false">MAX(0,MIN(1000,D320))</f>
        <v>907</v>
      </c>
      <c r="J320" s="7" t="str">
        <f aca="false">IF(c_TPOT&gt;1,IF(c_TTYPE=2,1000-MAX(0,MIN(1000,G320)),MAX(0,MIN(1000,G320))),"")</f>
        <v/>
      </c>
      <c r="K320" s="7" t="n">
        <f aca="false">IF(c_TPOT&gt;1,QUOTIENT(I320+J320,2),I320)</f>
        <v>907</v>
      </c>
      <c r="L320" s="7" t="n">
        <f aca="false">IF(AND(K320=0,c_TCREEP&gt;0),10*c_TCREEP,IF(AND(K320&lt;=c_TRNGMIN,K320&gt;=c_TRNGMAX,c_TRNGMIN-c_TRNGMAX&lt;&gt;0),-10*c_TMINRN+QUOTIENT((c_TMAXRN-c_TMINRN)*(100-QUOTIENT((K320-c_TRNGMAX)*100,c_TRNGMIN-c_TRNGMAX)),-10),0))</f>
        <v>0</v>
      </c>
      <c r="M320" s="7" t="n">
        <f aca="false">IF(((c_TMAP1IN)-(c_TFWD))=0,(0)+QUOTIENT(((c_TMAP1OUT)-(0)),2),QUOTIENT((((K320)-(c_TFWD))*((c_TMAP1OUT)-(0))+IF(((c_TMAP1OUT)-(0))&gt;=0,1,-1)*QUOTIENT(((c_TMAP1IN)-(c_TFWD)),2)),((c_TMAP1IN)-(c_TFWD)))+(0)+IF(((c_TMAP1OUT)-(0))&gt;=0,IF(IF(o_WRAP=1,MOD(((c_TMAP1IN)-(c_TFWD))*(((K320)-(c_TFWD))*((c_TMAP1OUT)-(0))+IF(((c_TMAP1OUT)-(0))&gt;=0,1,-1)*QUOTIENT(((c_TMAP1IN)-(c_TFWD)),2))+2147483648,4294967296)-2147483648,((c_TMAP1IN)-(c_TFWD))*(((K320)-(c_TFWD))*((c_TMAP1OUT)-(0))+IF(((c_TMAP1OUT)-(0))&gt;=0,1,-1)*QUOTIENT(((c_TMAP1IN)-(c_TFWD)),2)))&lt;0,-1,0),IF(IF(o_WRAP=1,MOD(((c_TMAP1IN)-(c_TFWD))*(((K320)-(c_TFWD))*((c_TMAP1OUT)-(0))+IF(((c_TMAP1OUT)-(0))&gt;=0,1,-1)*QUOTIENT(((c_TMAP1IN)-(c_TFWD)),2))+2147483648,4294967296)-2147483648,((c_TMAP1IN)-(c_TFWD))*(((K320)-(c_TFWD))*((c_TMAP1OUT)-(0))+IF(((c_TMAP1OUT)-(0))&gt;=0,1,-1)*QUOTIENT(((c_TMAP1IN)-(c_TFWD)),2)))&gt;=0,1,0)))</f>
        <v>698</v>
      </c>
      <c r="N320" s="7" t="n">
        <f aca="false">IF(((c_TMAP2IN)-(c_TMAP1IN))=0,(c_TMAP1OUT)+QUOTIENT(((c_TMAP2OUT)-(c_TMAP1OUT)),2),QUOTIENT((((K320)-(c_TMAP1IN))*((c_TMAP2OUT)-(c_TMAP1OUT))+IF(((c_TMAP2OUT)-(c_TMAP1OUT))&gt;=0,1,-1)*QUOTIENT(((c_TMAP2IN)-(c_TMAP1IN)),2)),((c_TMAP2IN)-(c_TMAP1IN)))+(c_TMAP1OUT)+IF(((c_TMAP2OUT)-(c_TMAP1OUT))&gt;=0,IF(IF(o_WRAP=1,MOD(((c_TMAP2IN)-(c_TMAP1IN))*(((K320)-(c_TMAP1IN))*((c_TMAP2OUT)-(c_TMAP1OUT))+IF(((c_TMAP2OUT)-(c_TMAP1OUT))&gt;=0,1,-1)*QUOTIENT(((c_TMAP2IN)-(c_TMAP1IN)),2))+2147483648,4294967296)-2147483648,((c_TMAP2IN)-(c_TMAP1IN))*(((K320)-(c_TMAP1IN))*((c_TMAP2OUT)-(c_TMAP1OUT))+IF(((c_TMAP2OUT)-(c_TMAP1OUT))&gt;=0,1,-1)*QUOTIENT(((c_TMAP2IN)-(c_TMAP1IN)),2)))&lt;0,-1,0),IF(IF(o_WRAP=1,MOD(((c_TMAP2IN)-(c_TMAP1IN))*(((K320)-(c_TMAP1IN))*((c_TMAP2OUT)-(c_TMAP1OUT))+IF(((c_TMAP2OUT)-(c_TMAP1OUT))&gt;=0,1,-1)*QUOTIENT(((c_TMAP2IN)-(c_TMAP1IN)),2))+2147483648,4294967296)-2147483648,((c_TMAP2IN)-(c_TMAP1IN))*(((K320)-(c_TMAP1IN))*((c_TMAP2OUT)-(c_TMAP1OUT))+IF(((c_TMAP2OUT)-(c_TMAP1OUT))&gt;=0,1,-1)*QUOTIENT(((c_TMAP2IN)-(c_TMAP1IN)),2)))&gt;=0,1,0)))</f>
        <v>393</v>
      </c>
      <c r="O320" s="7" t="n">
        <f aca="false">IF(((c_TMAP3IN)-(c_TMAP2IN))=0,(c_TMAP2OUT)+QUOTIENT(((c_TMAP3OUT)-(c_TMAP2OUT)),2),QUOTIENT((((K320)-(c_TMAP2IN))*((c_TMAP3OUT)-(c_TMAP2OUT))+IF(((c_TMAP3OUT)-(c_TMAP2OUT))&gt;=0,1,-1)*QUOTIENT(((c_TMAP3IN)-(c_TMAP2IN)),2)),((c_TMAP3IN)-(c_TMAP2IN)))+(c_TMAP2OUT)+IF(((c_TMAP3OUT)-(c_TMAP2OUT))&gt;=0,IF(IF(o_WRAP=1,MOD(((c_TMAP3IN)-(c_TMAP2IN))*(((K320)-(c_TMAP2IN))*((c_TMAP3OUT)-(c_TMAP2OUT))+IF(((c_TMAP3OUT)-(c_TMAP2OUT))&gt;=0,1,-1)*QUOTIENT(((c_TMAP3IN)-(c_TMAP2IN)),2))+2147483648,4294967296)-2147483648,((c_TMAP3IN)-(c_TMAP2IN))*(((K320)-(c_TMAP2IN))*((c_TMAP3OUT)-(c_TMAP2OUT))+IF(((c_TMAP3OUT)-(c_TMAP2OUT))&gt;=0,1,-1)*QUOTIENT(((c_TMAP3IN)-(c_TMAP2IN)),2)))&lt;0,-1,0),IF(IF(o_WRAP=1,MOD(((c_TMAP3IN)-(c_TMAP2IN))*(((K320)-(c_TMAP2IN))*((c_TMAP3OUT)-(c_TMAP2OUT))+IF(((c_TMAP3OUT)-(c_TMAP2OUT))&gt;=0,1,-1)*QUOTIENT(((c_TMAP3IN)-(c_TMAP2IN)),2))+2147483648,4294967296)-2147483648,((c_TMAP3IN)-(c_TMAP2IN))*(((K320)-(c_TMAP2IN))*((c_TMAP3OUT)-(c_TMAP2OUT))+IF(((c_TMAP3OUT)-(c_TMAP2OUT))&gt;=0,1,-1)*QUOTIENT(((c_TMAP3IN)-(c_TMAP2IN)),2)))&gt;=0,1,0)))</f>
        <v>590</v>
      </c>
      <c r="P320" s="7" t="n">
        <f aca="false">IF(((1000)-(c_TMAP3IN))=0,(c_TMAP3OUT)+QUOTIENT(((1000)-(c_TMAP3OUT)),2),QUOTIENT((((K320)-(c_TMAP3IN))*((1000)-(c_TMAP3OUT))+IF(((1000)-(c_TMAP3OUT))&gt;=0,1,-1)*QUOTIENT(((1000)-(c_TMAP3IN)),2)),((1000)-(c_TMAP3IN)))+(c_TMAP3OUT)+IF(((1000)-(c_TMAP3OUT))&gt;=0,IF(IF(o_WRAP=1,MOD(((1000)-(c_TMAP3IN))*(((K320)-(c_TMAP3IN))*((1000)-(c_TMAP3OUT))+IF(((1000)-(c_TMAP3OUT))&gt;=0,1,-1)*QUOTIENT(((1000)-(c_TMAP3IN)),2))+2147483648,4294967296)-2147483648,((1000)-(c_TMAP3IN))*(((K320)-(c_TMAP3IN))*((1000)-(c_TMAP3OUT))+IF(((1000)-(c_TMAP3OUT))&gt;=0,1,-1)*QUOTIENT(((1000)-(c_TMAP3IN)),2)))&lt;0,-1,0),IF(IF(o_WRAP=1,MOD(((1000)-(c_TMAP3IN))*(((K320)-(c_TMAP3IN))*((1000)-(c_TMAP3OUT))+IF(((1000)-(c_TMAP3OUT))&gt;=0,1,-1)*QUOTIENT(((1000)-(c_TMAP3IN)),2))+2147483648,4294967296)-2147483648,((1000)-(c_TMAP3IN))*(((K320)-(c_TMAP3IN))*((1000)-(c_TMAP3OUT))+IF(((1000)-(c_TMAP3OUT))&gt;=0,1,-1)*QUOTIENT(((1000)-(c_TMAP3IN)),2)))&gt;=0,1,0)))</f>
        <v>886</v>
      </c>
      <c r="Q320" s="7" t="str">
        <f aca="false">IF(K320&gt;=c_TFWD,IF(AND(K320&gt;=c_TMAP3IN,c_TMAP3IN&lt;1000),"Seg4 map3-100%",IF(AND(K320&gt;=c_TMAP2IN,c_TMAP3IN&gt;c_TMAP2IN),"Seg3 map2-map3",IF(AND(K320&gt;=c_TMAP1IN,c_TMAP2IN&gt;c_TMAP1IN),"Seg2 map1-map2","Seg1 TFWD-map1"))),IF(AND(K320=0,c_TCREEP&gt;0),"Creep",IF(AND(K320&lt;=c_TRNGMIN,K320&gt;=c_TRNGMAX,c_TRNGMIN-c_TRNGMAX&lt;&gt;0),"Regen ramp","Coast (0)")))</f>
        <v>Seg4 map3-100%</v>
      </c>
      <c r="R320" s="7" t="n">
        <f aca="false">IF(K320&gt;=c_TFWD,IF(AND(K320&gt;=c_TMAP3IN,c_TMAP3IN&lt;1000),P320,IF(AND(K320&gt;=c_TMAP2IN,c_TMAP3IN&gt;c_TMAP2IN),O320,IF(AND(K320&gt;=c_TMAP1IN,c_TMAP2IN&gt;c_TMAP1IN),N320,M320))),L320)</f>
        <v>886</v>
      </c>
      <c r="S320" s="7" t="str">
        <f aca="false">IF(R320&lt;-1090,"TOO LOW",IF(R320&gt;1090,"TOO HIGH",""))</f>
        <v/>
      </c>
      <c r="T320" s="15" t="n">
        <f aca="false">IF(H320&lt;&gt;"OK",0,IF(S320&lt;&gt;"",0,IF(R320&gt;979,1000,R320)))</f>
        <v>886</v>
      </c>
      <c r="U320" s="7" t="n">
        <f aca="false">T320/10</f>
        <v>88.6</v>
      </c>
    </row>
    <row r="321" customFormat="false" ht="15" hidden="false" customHeight="false" outlineLevel="0" collapsed="false">
      <c r="A321" s="7" t="n">
        <v>316</v>
      </c>
      <c r="B321" s="7" t="n">
        <f aca="false">ROUND(o_SWSTART+A321*(o_SWEND-o_SWSTART)/400,0)</f>
        <v>3235</v>
      </c>
      <c r="C321" s="7" t="n">
        <f aca="false">QUOTIENT((B321-c_OFF1)*c_GAIN1,1024)</f>
        <v>3235</v>
      </c>
      <c r="D321" s="7" t="n">
        <f aca="false">IF(((c_T1MX)-(c_T1MN))=0,(0)+QUOTIENT(((1000)-(0)),2),QUOTIENT((((C321)-(c_T1MN))*((1000)-(0))+IF(((1000)-(0))&gt;=0,1,-1)*QUOTIENT(((c_T1MX)-(c_T1MN)),2)),((c_T1MX)-(c_T1MN)))+(0)+IF(((1000)-(0))&gt;=0,IF(IF(o_WRAP=1,MOD(((c_T1MX)-(c_T1MN))*(((C321)-(c_T1MN))*((1000)-(0))+IF(((1000)-(0))&gt;=0,1,-1)*QUOTIENT(((c_T1MX)-(c_T1MN)),2))+2147483648,4294967296)-2147483648,((c_T1MX)-(c_T1MN))*(((C321)-(c_T1MN))*((1000)-(0))+IF(((1000)-(0))&gt;=0,1,-1)*QUOTIENT(((c_T1MX)-(c_T1MN)),2)))&lt;0,-1,0),IF(IF(o_WRAP=1,MOD(((c_T1MX)-(c_T1MN))*(((C321)-(c_T1MN))*((1000)-(0))+IF(((1000)-(0))&gt;=0,1,-1)*QUOTIENT(((c_T1MX)-(c_T1MN)),2))+2147483648,4294967296)-2147483648,((c_T1MX)-(c_T1MN))*(((C321)-(c_T1MN))*((1000)-(0))+IF(((1000)-(0))&gt;=0,1,-1)*QUOTIENT(((c_T1MX)-(c_T1MN)),2)))&gt;=0,1,0)))</f>
        <v>911</v>
      </c>
      <c r="E321" s="7" t="n">
        <f aca="false">IF(AND(c_TPOT=1,c_TTYPE=2),1000-D321,D321)</f>
        <v>911</v>
      </c>
      <c r="F321" s="7" t="str">
        <f aca="false">IF(c_TPOT&gt;1,ROUND(IF(c_TTYPE=2,c_T2MX-IF(c_T1MX=c_T1MN,0,(C321-c_T1MN)/(c_T1MX-c_T1MN))*(c_T2MX-c_T2MN),c_T2MN+IF(c_T1MX=c_T1MN,0,(C321-c_T1MN)/(c_T1MX-c_T1MN))*(c_T2MX-c_T2MN))+o_MISMATCH,0),"")</f>
        <v/>
      </c>
      <c r="G321" s="7" t="str">
        <f aca="false">IF(c_TPOT&gt;1,IF(((c_T2MX)-(c_T2MN))=0,(0)+QUOTIENT(((1000)-(0)),2),QUOTIENT((((F321)-(c_T2MN))*((1000)-(0))+IF(((1000)-(0))&gt;=0,1,-1)*QUOTIENT(((c_T2MX)-(c_T2MN)),2)),((c_T2MX)-(c_T2MN)))+(0)+IF(((1000)-(0))&gt;=0,IF(IF(o_WRAP=1,MOD(((c_T2MX)-(c_T2MN))*(((F321)-(c_T2MN))*((1000)-(0))+IF(((1000)-(0))&gt;=0,1,-1)*QUOTIENT(((c_T2MX)-(c_T2MN)),2))+2147483648,4294967296)-2147483648,((c_T2MX)-(c_T2MN))*(((F321)-(c_T2MN))*((1000)-(0))+IF(((1000)-(0))&gt;=0,1,-1)*QUOTIENT(((c_T2MX)-(c_T2MN)),2)))&lt;0,-1,0),IF(IF(o_WRAP=1,MOD(((c_T2MX)-(c_T2MN))*(((F321)-(c_T2MN))*((1000)-(0))+IF(((1000)-(0))&gt;=0,1,-1)*QUOTIENT(((c_T2MX)-(c_T2MN)),2))+2147483648,4294967296)-2147483648,((c_T2MX)-(c_T2MN))*(((F321)-(c_T2MN))*((1000)-(0))+IF(((1000)-(0))&gt;=0,1,-1)*QUOTIENT(((c_T2MX)-(c_T2MN)),2)))&gt;=0,1,0))),"")</f>
        <v/>
      </c>
      <c r="H321" s="7" t="str">
        <f aca="false">IF(E321&gt;1000+k_TOL,"T1 HIGH",IF(E321&lt;0-k_TOL,"T1 LOW",IF(c_TPOT&gt;1,IF(G321&gt;1000+k_TOL,"T2 HIGH",IF(G321&lt;0-k_TOL,"T2 LOW",IF(c_TTYPE=2,IF(ABS(1000-MAX(0,MIN(1000,E321))-MAX(0,MIN(1000,G321)))&gt;k_MAXERR,"MISMATCH","OK"),IF(OR(MAX(0,MIN(1000,E321))-k_MAXERR&gt;MAX(0,MIN(1000,G321)),MAX(0,MIN(1000,G321))-k_MAXERR&gt;MAX(0,MIN(1000,E321))),"MISMATCH","OK")))),"OK")))</f>
        <v>OK</v>
      </c>
      <c r="I321" s="7" t="n">
        <f aca="false">MAX(0,MIN(1000,D321))</f>
        <v>911</v>
      </c>
      <c r="J321" s="7" t="str">
        <f aca="false">IF(c_TPOT&gt;1,IF(c_TTYPE=2,1000-MAX(0,MIN(1000,G321)),MAX(0,MIN(1000,G321))),"")</f>
        <v/>
      </c>
      <c r="K321" s="7" t="n">
        <f aca="false">IF(c_TPOT&gt;1,QUOTIENT(I321+J321,2),I321)</f>
        <v>911</v>
      </c>
      <c r="L321" s="7" t="n">
        <f aca="false">IF(AND(K321=0,c_TCREEP&gt;0),10*c_TCREEP,IF(AND(K321&lt;=c_TRNGMIN,K321&gt;=c_TRNGMAX,c_TRNGMIN-c_TRNGMAX&lt;&gt;0),-10*c_TMINRN+QUOTIENT((c_TMAXRN-c_TMINRN)*(100-QUOTIENT((K321-c_TRNGMAX)*100,c_TRNGMIN-c_TRNGMAX)),-10),0))</f>
        <v>0</v>
      </c>
      <c r="M321" s="7" t="n">
        <f aca="false">IF(((c_TMAP1IN)-(c_TFWD))=0,(0)+QUOTIENT(((c_TMAP1OUT)-(0)),2),QUOTIENT((((K321)-(c_TFWD))*((c_TMAP1OUT)-(0))+IF(((c_TMAP1OUT)-(0))&gt;=0,1,-1)*QUOTIENT(((c_TMAP1IN)-(c_TFWD)),2)),((c_TMAP1IN)-(c_TFWD)))+(0)+IF(((c_TMAP1OUT)-(0))&gt;=0,IF(IF(o_WRAP=1,MOD(((c_TMAP1IN)-(c_TFWD))*(((K321)-(c_TFWD))*((c_TMAP1OUT)-(0))+IF(((c_TMAP1OUT)-(0))&gt;=0,1,-1)*QUOTIENT(((c_TMAP1IN)-(c_TFWD)),2))+2147483648,4294967296)-2147483648,((c_TMAP1IN)-(c_TFWD))*(((K321)-(c_TFWD))*((c_TMAP1OUT)-(0))+IF(((c_TMAP1OUT)-(0))&gt;=0,1,-1)*QUOTIENT(((c_TMAP1IN)-(c_TFWD)),2)))&lt;0,-1,0),IF(IF(o_WRAP=1,MOD(((c_TMAP1IN)-(c_TFWD))*(((K321)-(c_TFWD))*((c_TMAP1OUT)-(0))+IF(((c_TMAP1OUT)-(0))&gt;=0,1,-1)*QUOTIENT(((c_TMAP1IN)-(c_TFWD)),2))+2147483648,4294967296)-2147483648,((c_TMAP1IN)-(c_TFWD))*(((K321)-(c_TFWD))*((c_TMAP1OUT)-(0))+IF(((c_TMAP1OUT)-(0))&gt;=0,1,-1)*QUOTIENT(((c_TMAP1IN)-(c_TFWD)),2)))&gt;=0,1,0)))</f>
        <v>701</v>
      </c>
      <c r="N321" s="7" t="n">
        <f aca="false">IF(((c_TMAP2IN)-(c_TMAP1IN))=0,(c_TMAP1OUT)+QUOTIENT(((c_TMAP2OUT)-(c_TMAP1OUT)),2),QUOTIENT((((K321)-(c_TMAP1IN))*((c_TMAP2OUT)-(c_TMAP1OUT))+IF(((c_TMAP2OUT)-(c_TMAP1OUT))&gt;=0,1,-1)*QUOTIENT(((c_TMAP2IN)-(c_TMAP1IN)),2)),((c_TMAP2IN)-(c_TMAP1IN)))+(c_TMAP1OUT)+IF(((c_TMAP2OUT)-(c_TMAP1OUT))&gt;=0,IF(IF(o_WRAP=1,MOD(((c_TMAP2IN)-(c_TMAP1IN))*(((K321)-(c_TMAP1IN))*((c_TMAP2OUT)-(c_TMAP1OUT))+IF(((c_TMAP2OUT)-(c_TMAP1OUT))&gt;=0,1,-1)*QUOTIENT(((c_TMAP2IN)-(c_TMAP1IN)),2))+2147483648,4294967296)-2147483648,((c_TMAP2IN)-(c_TMAP1IN))*(((K321)-(c_TMAP1IN))*((c_TMAP2OUT)-(c_TMAP1OUT))+IF(((c_TMAP2OUT)-(c_TMAP1OUT))&gt;=0,1,-1)*QUOTIENT(((c_TMAP2IN)-(c_TMAP1IN)),2)))&lt;0,-1,0),IF(IF(o_WRAP=1,MOD(((c_TMAP2IN)-(c_TMAP1IN))*(((K321)-(c_TMAP1IN))*((c_TMAP2OUT)-(c_TMAP1OUT))+IF(((c_TMAP2OUT)-(c_TMAP1OUT))&gt;=0,1,-1)*QUOTIENT(((c_TMAP2IN)-(c_TMAP1IN)),2))+2147483648,4294967296)-2147483648,((c_TMAP2IN)-(c_TMAP1IN))*(((K321)-(c_TMAP1IN))*((c_TMAP2OUT)-(c_TMAP1OUT))+IF(((c_TMAP2OUT)-(c_TMAP1OUT))&gt;=0,1,-1)*QUOTIENT(((c_TMAP2IN)-(c_TMAP1IN)),2)))&gt;=0,1,0)))</f>
        <v>394</v>
      </c>
      <c r="O321" s="7" t="n">
        <f aca="false">IF(((c_TMAP3IN)-(c_TMAP2IN))=0,(c_TMAP2OUT)+QUOTIENT(((c_TMAP3OUT)-(c_TMAP2OUT)),2),QUOTIENT((((K321)-(c_TMAP2IN))*((c_TMAP3OUT)-(c_TMAP2OUT))+IF(((c_TMAP3OUT)-(c_TMAP2OUT))&gt;=0,1,-1)*QUOTIENT(((c_TMAP3IN)-(c_TMAP2IN)),2)),((c_TMAP3IN)-(c_TMAP2IN)))+(c_TMAP2OUT)+IF(((c_TMAP3OUT)-(c_TMAP2OUT))&gt;=0,IF(IF(o_WRAP=1,MOD(((c_TMAP3IN)-(c_TMAP2IN))*(((K321)-(c_TMAP2IN))*((c_TMAP3OUT)-(c_TMAP2OUT))+IF(((c_TMAP3OUT)-(c_TMAP2OUT))&gt;=0,1,-1)*QUOTIENT(((c_TMAP3IN)-(c_TMAP2IN)),2))+2147483648,4294967296)-2147483648,((c_TMAP3IN)-(c_TMAP2IN))*(((K321)-(c_TMAP2IN))*((c_TMAP3OUT)-(c_TMAP2OUT))+IF(((c_TMAP3OUT)-(c_TMAP2OUT))&gt;=0,1,-1)*QUOTIENT(((c_TMAP3IN)-(c_TMAP2IN)),2)))&lt;0,-1,0),IF(IF(o_WRAP=1,MOD(((c_TMAP3IN)-(c_TMAP2IN))*(((K321)-(c_TMAP2IN))*((c_TMAP3OUT)-(c_TMAP2OUT))+IF(((c_TMAP3OUT)-(c_TMAP2OUT))&gt;=0,1,-1)*QUOTIENT(((c_TMAP3IN)-(c_TMAP2IN)),2))+2147483648,4294967296)-2147483648,((c_TMAP3IN)-(c_TMAP2IN))*(((K321)-(c_TMAP2IN))*((c_TMAP3OUT)-(c_TMAP2OUT))+IF(((c_TMAP3OUT)-(c_TMAP2OUT))&gt;=0,1,-1)*QUOTIENT(((c_TMAP3IN)-(c_TMAP2IN)),2)))&gt;=0,1,0)))</f>
        <v>593</v>
      </c>
      <c r="P321" s="7" t="n">
        <f aca="false">IF(((1000)-(c_TMAP3IN))=0,(c_TMAP3OUT)+QUOTIENT(((1000)-(c_TMAP3OUT)),2),QUOTIENT((((K321)-(c_TMAP3IN))*((1000)-(c_TMAP3OUT))+IF(((1000)-(c_TMAP3OUT))&gt;=0,1,-1)*QUOTIENT(((1000)-(c_TMAP3IN)),2)),((1000)-(c_TMAP3IN)))+(c_TMAP3OUT)+IF(((1000)-(c_TMAP3OUT))&gt;=0,IF(IF(o_WRAP=1,MOD(((1000)-(c_TMAP3IN))*(((K321)-(c_TMAP3IN))*((1000)-(c_TMAP3OUT))+IF(((1000)-(c_TMAP3OUT))&gt;=0,1,-1)*QUOTIENT(((1000)-(c_TMAP3IN)),2))+2147483648,4294967296)-2147483648,((1000)-(c_TMAP3IN))*(((K321)-(c_TMAP3IN))*((1000)-(c_TMAP3OUT))+IF(((1000)-(c_TMAP3OUT))&gt;=0,1,-1)*QUOTIENT(((1000)-(c_TMAP3IN)),2)))&lt;0,-1,0),IF(IF(o_WRAP=1,MOD(((1000)-(c_TMAP3IN))*(((K321)-(c_TMAP3IN))*((1000)-(c_TMAP3OUT))+IF(((1000)-(c_TMAP3OUT))&gt;=0,1,-1)*QUOTIENT(((1000)-(c_TMAP3IN)),2))+2147483648,4294967296)-2147483648,((1000)-(c_TMAP3IN))*(((K321)-(c_TMAP3IN))*((1000)-(c_TMAP3OUT))+IF(((1000)-(c_TMAP3OUT))&gt;=0,1,-1)*QUOTIENT(((1000)-(c_TMAP3IN)),2)))&gt;=0,1,0)))</f>
        <v>890</v>
      </c>
      <c r="Q321" s="7" t="str">
        <f aca="false">IF(K321&gt;=c_TFWD,IF(AND(K321&gt;=c_TMAP3IN,c_TMAP3IN&lt;1000),"Seg4 map3-100%",IF(AND(K321&gt;=c_TMAP2IN,c_TMAP3IN&gt;c_TMAP2IN),"Seg3 map2-map3",IF(AND(K321&gt;=c_TMAP1IN,c_TMAP2IN&gt;c_TMAP1IN),"Seg2 map1-map2","Seg1 TFWD-map1"))),IF(AND(K321=0,c_TCREEP&gt;0),"Creep",IF(AND(K321&lt;=c_TRNGMIN,K321&gt;=c_TRNGMAX,c_TRNGMIN-c_TRNGMAX&lt;&gt;0),"Regen ramp","Coast (0)")))</f>
        <v>Seg4 map3-100%</v>
      </c>
      <c r="R321" s="7" t="n">
        <f aca="false">IF(K321&gt;=c_TFWD,IF(AND(K321&gt;=c_TMAP3IN,c_TMAP3IN&lt;1000),P321,IF(AND(K321&gt;=c_TMAP2IN,c_TMAP3IN&gt;c_TMAP2IN),O321,IF(AND(K321&gt;=c_TMAP1IN,c_TMAP2IN&gt;c_TMAP1IN),N321,M321))),L321)</f>
        <v>890</v>
      </c>
      <c r="S321" s="7" t="str">
        <f aca="false">IF(R321&lt;-1090,"TOO LOW",IF(R321&gt;1090,"TOO HIGH",""))</f>
        <v/>
      </c>
      <c r="T321" s="15" t="n">
        <f aca="false">IF(H321&lt;&gt;"OK",0,IF(S321&lt;&gt;"",0,IF(R321&gt;979,1000,R321)))</f>
        <v>890</v>
      </c>
      <c r="U321" s="7" t="n">
        <f aca="false">T321/10</f>
        <v>89</v>
      </c>
    </row>
    <row r="322" customFormat="false" ht="15" hidden="false" customHeight="false" outlineLevel="0" collapsed="false">
      <c r="A322" s="7" t="n">
        <v>317</v>
      </c>
      <c r="B322" s="7" t="n">
        <f aca="false">ROUND(o_SWSTART+A322*(o_SWEND-o_SWSTART)/400,0)</f>
        <v>3245</v>
      </c>
      <c r="C322" s="7" t="n">
        <f aca="false">QUOTIENT((B322-c_OFF1)*c_GAIN1,1024)</f>
        <v>3245</v>
      </c>
      <c r="D322" s="7" t="n">
        <f aca="false">IF(((c_T1MX)-(c_T1MN))=0,(0)+QUOTIENT(((1000)-(0)),2),QUOTIENT((((C322)-(c_T1MN))*((1000)-(0))+IF(((1000)-(0))&gt;=0,1,-1)*QUOTIENT(((c_T1MX)-(c_T1MN)),2)),((c_T1MX)-(c_T1MN)))+(0)+IF(((1000)-(0))&gt;=0,IF(IF(o_WRAP=1,MOD(((c_T1MX)-(c_T1MN))*(((C322)-(c_T1MN))*((1000)-(0))+IF(((1000)-(0))&gt;=0,1,-1)*QUOTIENT(((c_T1MX)-(c_T1MN)),2))+2147483648,4294967296)-2147483648,((c_T1MX)-(c_T1MN))*(((C322)-(c_T1MN))*((1000)-(0))+IF(((1000)-(0))&gt;=0,1,-1)*QUOTIENT(((c_T1MX)-(c_T1MN)),2)))&lt;0,-1,0),IF(IF(o_WRAP=1,MOD(((c_T1MX)-(c_T1MN))*(((C322)-(c_T1MN))*((1000)-(0))+IF(((1000)-(0))&gt;=0,1,-1)*QUOTIENT(((c_T1MX)-(c_T1MN)),2))+2147483648,4294967296)-2147483648,((c_T1MX)-(c_T1MN))*(((C322)-(c_T1MN))*((1000)-(0))+IF(((1000)-(0))&gt;=0,1,-1)*QUOTIENT(((c_T1MX)-(c_T1MN)),2)))&gt;=0,1,0)))</f>
        <v>915</v>
      </c>
      <c r="E322" s="7" t="n">
        <f aca="false">IF(AND(c_TPOT=1,c_TTYPE=2),1000-D322,D322)</f>
        <v>915</v>
      </c>
      <c r="F322" s="7" t="str">
        <f aca="false">IF(c_TPOT&gt;1,ROUND(IF(c_TTYPE=2,c_T2MX-IF(c_T1MX=c_T1MN,0,(C322-c_T1MN)/(c_T1MX-c_T1MN))*(c_T2MX-c_T2MN),c_T2MN+IF(c_T1MX=c_T1MN,0,(C322-c_T1MN)/(c_T1MX-c_T1MN))*(c_T2MX-c_T2MN))+o_MISMATCH,0),"")</f>
        <v/>
      </c>
      <c r="G322" s="7" t="str">
        <f aca="false">IF(c_TPOT&gt;1,IF(((c_T2MX)-(c_T2MN))=0,(0)+QUOTIENT(((1000)-(0)),2),QUOTIENT((((F322)-(c_T2MN))*((1000)-(0))+IF(((1000)-(0))&gt;=0,1,-1)*QUOTIENT(((c_T2MX)-(c_T2MN)),2)),((c_T2MX)-(c_T2MN)))+(0)+IF(((1000)-(0))&gt;=0,IF(IF(o_WRAP=1,MOD(((c_T2MX)-(c_T2MN))*(((F322)-(c_T2MN))*((1000)-(0))+IF(((1000)-(0))&gt;=0,1,-1)*QUOTIENT(((c_T2MX)-(c_T2MN)),2))+2147483648,4294967296)-2147483648,((c_T2MX)-(c_T2MN))*(((F322)-(c_T2MN))*((1000)-(0))+IF(((1000)-(0))&gt;=0,1,-1)*QUOTIENT(((c_T2MX)-(c_T2MN)),2)))&lt;0,-1,0),IF(IF(o_WRAP=1,MOD(((c_T2MX)-(c_T2MN))*(((F322)-(c_T2MN))*((1000)-(0))+IF(((1000)-(0))&gt;=0,1,-1)*QUOTIENT(((c_T2MX)-(c_T2MN)),2))+2147483648,4294967296)-2147483648,((c_T2MX)-(c_T2MN))*(((F322)-(c_T2MN))*((1000)-(0))+IF(((1000)-(0))&gt;=0,1,-1)*QUOTIENT(((c_T2MX)-(c_T2MN)),2)))&gt;=0,1,0))),"")</f>
        <v/>
      </c>
      <c r="H322" s="7" t="str">
        <f aca="false">IF(E322&gt;1000+k_TOL,"T1 HIGH",IF(E322&lt;0-k_TOL,"T1 LOW",IF(c_TPOT&gt;1,IF(G322&gt;1000+k_TOL,"T2 HIGH",IF(G322&lt;0-k_TOL,"T2 LOW",IF(c_TTYPE=2,IF(ABS(1000-MAX(0,MIN(1000,E322))-MAX(0,MIN(1000,G322)))&gt;k_MAXERR,"MISMATCH","OK"),IF(OR(MAX(0,MIN(1000,E322))-k_MAXERR&gt;MAX(0,MIN(1000,G322)),MAX(0,MIN(1000,G322))-k_MAXERR&gt;MAX(0,MIN(1000,E322))),"MISMATCH","OK")))),"OK")))</f>
        <v>OK</v>
      </c>
      <c r="I322" s="7" t="n">
        <f aca="false">MAX(0,MIN(1000,D322))</f>
        <v>915</v>
      </c>
      <c r="J322" s="7" t="str">
        <f aca="false">IF(c_TPOT&gt;1,IF(c_TTYPE=2,1000-MAX(0,MIN(1000,G322)),MAX(0,MIN(1000,G322))),"")</f>
        <v/>
      </c>
      <c r="K322" s="7" t="n">
        <f aca="false">IF(c_TPOT&gt;1,QUOTIENT(I322+J322,2),I322)</f>
        <v>915</v>
      </c>
      <c r="L322" s="7" t="n">
        <f aca="false">IF(AND(K322=0,c_TCREEP&gt;0),10*c_TCREEP,IF(AND(K322&lt;=c_TRNGMIN,K322&gt;=c_TRNGMAX,c_TRNGMIN-c_TRNGMAX&lt;&gt;0),-10*c_TMINRN+QUOTIENT((c_TMAXRN-c_TMINRN)*(100-QUOTIENT((K322-c_TRNGMAX)*100,c_TRNGMIN-c_TRNGMAX)),-10),0))</f>
        <v>0</v>
      </c>
      <c r="M322" s="7" t="n">
        <f aca="false">IF(((c_TMAP1IN)-(c_TFWD))=0,(0)+QUOTIENT(((c_TMAP1OUT)-(0)),2),QUOTIENT((((K322)-(c_TFWD))*((c_TMAP1OUT)-(0))+IF(((c_TMAP1OUT)-(0))&gt;=0,1,-1)*QUOTIENT(((c_TMAP1IN)-(c_TFWD)),2)),((c_TMAP1IN)-(c_TFWD)))+(0)+IF(((c_TMAP1OUT)-(0))&gt;=0,IF(IF(o_WRAP=1,MOD(((c_TMAP1IN)-(c_TFWD))*(((K322)-(c_TFWD))*((c_TMAP1OUT)-(0))+IF(((c_TMAP1OUT)-(0))&gt;=0,1,-1)*QUOTIENT(((c_TMAP1IN)-(c_TFWD)),2))+2147483648,4294967296)-2147483648,((c_TMAP1IN)-(c_TFWD))*(((K322)-(c_TFWD))*((c_TMAP1OUT)-(0))+IF(((c_TMAP1OUT)-(0))&gt;=0,1,-1)*QUOTIENT(((c_TMAP1IN)-(c_TFWD)),2)))&lt;0,-1,0),IF(IF(o_WRAP=1,MOD(((c_TMAP1IN)-(c_TFWD))*(((K322)-(c_TFWD))*((c_TMAP1OUT)-(0))+IF(((c_TMAP1OUT)-(0))&gt;=0,1,-1)*QUOTIENT(((c_TMAP1IN)-(c_TFWD)),2))+2147483648,4294967296)-2147483648,((c_TMAP1IN)-(c_TFWD))*(((K322)-(c_TFWD))*((c_TMAP1OUT)-(0))+IF(((c_TMAP1OUT)-(0))&gt;=0,1,-1)*QUOTIENT(((c_TMAP1IN)-(c_TFWD)),2)))&gt;=0,1,0)))</f>
        <v>704</v>
      </c>
      <c r="N322" s="7" t="n">
        <f aca="false">IF(((c_TMAP2IN)-(c_TMAP1IN))=0,(c_TMAP1OUT)+QUOTIENT(((c_TMAP2OUT)-(c_TMAP1OUT)),2),QUOTIENT((((K322)-(c_TMAP1IN))*((c_TMAP2OUT)-(c_TMAP1OUT))+IF(((c_TMAP2OUT)-(c_TMAP1OUT))&gt;=0,1,-1)*QUOTIENT(((c_TMAP2IN)-(c_TMAP1IN)),2)),((c_TMAP2IN)-(c_TMAP1IN)))+(c_TMAP1OUT)+IF(((c_TMAP2OUT)-(c_TMAP1OUT))&gt;=0,IF(IF(o_WRAP=1,MOD(((c_TMAP2IN)-(c_TMAP1IN))*(((K322)-(c_TMAP1IN))*((c_TMAP2OUT)-(c_TMAP1OUT))+IF(((c_TMAP2OUT)-(c_TMAP1OUT))&gt;=0,1,-1)*QUOTIENT(((c_TMAP2IN)-(c_TMAP1IN)),2))+2147483648,4294967296)-2147483648,((c_TMAP2IN)-(c_TMAP1IN))*(((K322)-(c_TMAP1IN))*((c_TMAP2OUT)-(c_TMAP1OUT))+IF(((c_TMAP2OUT)-(c_TMAP1OUT))&gt;=0,1,-1)*QUOTIENT(((c_TMAP2IN)-(c_TMAP1IN)),2)))&lt;0,-1,0),IF(IF(o_WRAP=1,MOD(((c_TMAP2IN)-(c_TMAP1IN))*(((K322)-(c_TMAP1IN))*((c_TMAP2OUT)-(c_TMAP1OUT))+IF(((c_TMAP2OUT)-(c_TMAP1OUT))&gt;=0,1,-1)*QUOTIENT(((c_TMAP2IN)-(c_TMAP1IN)),2))+2147483648,4294967296)-2147483648,((c_TMAP2IN)-(c_TMAP1IN))*(((K322)-(c_TMAP1IN))*((c_TMAP2OUT)-(c_TMAP1OUT))+IF(((c_TMAP2OUT)-(c_TMAP1OUT))&gt;=0,1,-1)*QUOTIENT(((c_TMAP2IN)-(c_TMAP1IN)),2)))&gt;=0,1,0)))</f>
        <v>396</v>
      </c>
      <c r="O322" s="7" t="n">
        <f aca="false">IF(((c_TMAP3IN)-(c_TMAP2IN))=0,(c_TMAP2OUT)+QUOTIENT(((c_TMAP3OUT)-(c_TMAP2OUT)),2),QUOTIENT((((K322)-(c_TMAP2IN))*((c_TMAP3OUT)-(c_TMAP2OUT))+IF(((c_TMAP3OUT)-(c_TMAP2OUT))&gt;=0,1,-1)*QUOTIENT(((c_TMAP3IN)-(c_TMAP2IN)),2)),((c_TMAP3IN)-(c_TMAP2IN)))+(c_TMAP2OUT)+IF(((c_TMAP3OUT)-(c_TMAP2OUT))&gt;=0,IF(IF(o_WRAP=1,MOD(((c_TMAP3IN)-(c_TMAP2IN))*(((K322)-(c_TMAP2IN))*((c_TMAP3OUT)-(c_TMAP2OUT))+IF(((c_TMAP3OUT)-(c_TMAP2OUT))&gt;=0,1,-1)*QUOTIENT(((c_TMAP3IN)-(c_TMAP2IN)),2))+2147483648,4294967296)-2147483648,((c_TMAP3IN)-(c_TMAP2IN))*(((K322)-(c_TMAP2IN))*((c_TMAP3OUT)-(c_TMAP2OUT))+IF(((c_TMAP3OUT)-(c_TMAP2OUT))&gt;=0,1,-1)*QUOTIENT(((c_TMAP3IN)-(c_TMAP2IN)),2)))&lt;0,-1,0),IF(IF(o_WRAP=1,MOD(((c_TMAP3IN)-(c_TMAP2IN))*(((K322)-(c_TMAP2IN))*((c_TMAP3OUT)-(c_TMAP2OUT))+IF(((c_TMAP3OUT)-(c_TMAP2OUT))&gt;=0,1,-1)*QUOTIENT(((c_TMAP3IN)-(c_TMAP2IN)),2))+2147483648,4294967296)-2147483648,((c_TMAP3IN)-(c_TMAP2IN))*(((K322)-(c_TMAP2IN))*((c_TMAP3OUT)-(c_TMAP2OUT))+IF(((c_TMAP3OUT)-(c_TMAP2OUT))&gt;=0,1,-1)*QUOTIENT(((c_TMAP3IN)-(c_TMAP2IN)),2)))&gt;=0,1,0)))</f>
        <v>596</v>
      </c>
      <c r="P322" s="7" t="n">
        <f aca="false">IF(((1000)-(c_TMAP3IN))=0,(c_TMAP3OUT)+QUOTIENT(((1000)-(c_TMAP3OUT)),2),QUOTIENT((((K322)-(c_TMAP3IN))*((1000)-(c_TMAP3OUT))+IF(((1000)-(c_TMAP3OUT))&gt;=0,1,-1)*QUOTIENT(((1000)-(c_TMAP3IN)),2)),((1000)-(c_TMAP3IN)))+(c_TMAP3OUT)+IF(((1000)-(c_TMAP3OUT))&gt;=0,IF(IF(o_WRAP=1,MOD(((1000)-(c_TMAP3IN))*(((K322)-(c_TMAP3IN))*((1000)-(c_TMAP3OUT))+IF(((1000)-(c_TMAP3OUT))&gt;=0,1,-1)*QUOTIENT(((1000)-(c_TMAP3IN)),2))+2147483648,4294967296)-2147483648,((1000)-(c_TMAP3IN))*(((K322)-(c_TMAP3IN))*((1000)-(c_TMAP3OUT))+IF(((1000)-(c_TMAP3OUT))&gt;=0,1,-1)*QUOTIENT(((1000)-(c_TMAP3IN)),2)))&lt;0,-1,0),IF(IF(o_WRAP=1,MOD(((1000)-(c_TMAP3IN))*(((K322)-(c_TMAP3IN))*((1000)-(c_TMAP3OUT))+IF(((1000)-(c_TMAP3OUT))&gt;=0,1,-1)*QUOTIENT(((1000)-(c_TMAP3IN)),2))+2147483648,4294967296)-2147483648,((1000)-(c_TMAP3IN))*(((K322)-(c_TMAP3IN))*((1000)-(c_TMAP3OUT))+IF(((1000)-(c_TMAP3OUT))&gt;=0,1,-1)*QUOTIENT(((1000)-(c_TMAP3IN)),2)))&gt;=0,1,0)))</f>
        <v>895</v>
      </c>
      <c r="Q322" s="7" t="str">
        <f aca="false">IF(K322&gt;=c_TFWD,IF(AND(K322&gt;=c_TMAP3IN,c_TMAP3IN&lt;1000),"Seg4 map3-100%",IF(AND(K322&gt;=c_TMAP2IN,c_TMAP3IN&gt;c_TMAP2IN),"Seg3 map2-map3",IF(AND(K322&gt;=c_TMAP1IN,c_TMAP2IN&gt;c_TMAP1IN),"Seg2 map1-map2","Seg1 TFWD-map1"))),IF(AND(K322=0,c_TCREEP&gt;0),"Creep",IF(AND(K322&lt;=c_TRNGMIN,K322&gt;=c_TRNGMAX,c_TRNGMIN-c_TRNGMAX&lt;&gt;0),"Regen ramp","Coast (0)")))</f>
        <v>Seg4 map3-100%</v>
      </c>
      <c r="R322" s="7" t="n">
        <f aca="false">IF(K322&gt;=c_TFWD,IF(AND(K322&gt;=c_TMAP3IN,c_TMAP3IN&lt;1000),P322,IF(AND(K322&gt;=c_TMAP2IN,c_TMAP3IN&gt;c_TMAP2IN),O322,IF(AND(K322&gt;=c_TMAP1IN,c_TMAP2IN&gt;c_TMAP1IN),N322,M322))),L322)</f>
        <v>895</v>
      </c>
      <c r="S322" s="7" t="str">
        <f aca="false">IF(R322&lt;-1090,"TOO LOW",IF(R322&gt;1090,"TOO HIGH",""))</f>
        <v/>
      </c>
      <c r="T322" s="15" t="n">
        <f aca="false">IF(H322&lt;&gt;"OK",0,IF(S322&lt;&gt;"",0,IF(R322&gt;979,1000,R322)))</f>
        <v>895</v>
      </c>
      <c r="U322" s="7" t="n">
        <f aca="false">T322/10</f>
        <v>89.5</v>
      </c>
    </row>
    <row r="323" customFormat="false" ht="15" hidden="false" customHeight="false" outlineLevel="0" collapsed="false">
      <c r="A323" s="7" t="n">
        <v>318</v>
      </c>
      <c r="B323" s="7" t="n">
        <f aca="false">ROUND(o_SWSTART+A323*(o_SWEND-o_SWSTART)/400,0)</f>
        <v>3256</v>
      </c>
      <c r="C323" s="7" t="n">
        <f aca="false">QUOTIENT((B323-c_OFF1)*c_GAIN1,1024)</f>
        <v>3256</v>
      </c>
      <c r="D323" s="7" t="n">
        <f aca="false">IF(((c_T1MX)-(c_T1MN))=0,(0)+QUOTIENT(((1000)-(0)),2),QUOTIENT((((C323)-(c_T1MN))*((1000)-(0))+IF(((1000)-(0))&gt;=0,1,-1)*QUOTIENT(((c_T1MX)-(c_T1MN)),2)),((c_T1MX)-(c_T1MN)))+(0)+IF(((1000)-(0))&gt;=0,IF(IF(o_WRAP=1,MOD(((c_T1MX)-(c_T1MN))*(((C323)-(c_T1MN))*((1000)-(0))+IF(((1000)-(0))&gt;=0,1,-1)*QUOTIENT(((c_T1MX)-(c_T1MN)),2))+2147483648,4294967296)-2147483648,((c_T1MX)-(c_T1MN))*(((C323)-(c_T1MN))*((1000)-(0))+IF(((1000)-(0))&gt;=0,1,-1)*QUOTIENT(((c_T1MX)-(c_T1MN)),2)))&lt;0,-1,0),IF(IF(o_WRAP=1,MOD(((c_T1MX)-(c_T1MN))*(((C323)-(c_T1MN))*((1000)-(0))+IF(((1000)-(0))&gt;=0,1,-1)*QUOTIENT(((c_T1MX)-(c_T1MN)),2))+2147483648,4294967296)-2147483648,((c_T1MX)-(c_T1MN))*(((C323)-(c_T1MN))*((1000)-(0))+IF(((1000)-(0))&gt;=0,1,-1)*QUOTIENT(((c_T1MX)-(c_T1MN)),2)))&gt;=0,1,0)))</f>
        <v>919</v>
      </c>
      <c r="E323" s="7" t="n">
        <f aca="false">IF(AND(c_TPOT=1,c_TTYPE=2),1000-D323,D323)</f>
        <v>919</v>
      </c>
      <c r="F323" s="7" t="str">
        <f aca="false">IF(c_TPOT&gt;1,ROUND(IF(c_TTYPE=2,c_T2MX-IF(c_T1MX=c_T1MN,0,(C323-c_T1MN)/(c_T1MX-c_T1MN))*(c_T2MX-c_T2MN),c_T2MN+IF(c_T1MX=c_T1MN,0,(C323-c_T1MN)/(c_T1MX-c_T1MN))*(c_T2MX-c_T2MN))+o_MISMATCH,0),"")</f>
        <v/>
      </c>
      <c r="G323" s="7" t="str">
        <f aca="false">IF(c_TPOT&gt;1,IF(((c_T2MX)-(c_T2MN))=0,(0)+QUOTIENT(((1000)-(0)),2),QUOTIENT((((F323)-(c_T2MN))*((1000)-(0))+IF(((1000)-(0))&gt;=0,1,-1)*QUOTIENT(((c_T2MX)-(c_T2MN)),2)),((c_T2MX)-(c_T2MN)))+(0)+IF(((1000)-(0))&gt;=0,IF(IF(o_WRAP=1,MOD(((c_T2MX)-(c_T2MN))*(((F323)-(c_T2MN))*((1000)-(0))+IF(((1000)-(0))&gt;=0,1,-1)*QUOTIENT(((c_T2MX)-(c_T2MN)),2))+2147483648,4294967296)-2147483648,((c_T2MX)-(c_T2MN))*(((F323)-(c_T2MN))*((1000)-(0))+IF(((1000)-(0))&gt;=0,1,-1)*QUOTIENT(((c_T2MX)-(c_T2MN)),2)))&lt;0,-1,0),IF(IF(o_WRAP=1,MOD(((c_T2MX)-(c_T2MN))*(((F323)-(c_T2MN))*((1000)-(0))+IF(((1000)-(0))&gt;=0,1,-1)*QUOTIENT(((c_T2MX)-(c_T2MN)),2))+2147483648,4294967296)-2147483648,((c_T2MX)-(c_T2MN))*(((F323)-(c_T2MN))*((1000)-(0))+IF(((1000)-(0))&gt;=0,1,-1)*QUOTIENT(((c_T2MX)-(c_T2MN)),2)))&gt;=0,1,0))),"")</f>
        <v/>
      </c>
      <c r="H323" s="7" t="str">
        <f aca="false">IF(E323&gt;1000+k_TOL,"T1 HIGH",IF(E323&lt;0-k_TOL,"T1 LOW",IF(c_TPOT&gt;1,IF(G323&gt;1000+k_TOL,"T2 HIGH",IF(G323&lt;0-k_TOL,"T2 LOW",IF(c_TTYPE=2,IF(ABS(1000-MAX(0,MIN(1000,E323))-MAX(0,MIN(1000,G323)))&gt;k_MAXERR,"MISMATCH","OK"),IF(OR(MAX(0,MIN(1000,E323))-k_MAXERR&gt;MAX(0,MIN(1000,G323)),MAX(0,MIN(1000,G323))-k_MAXERR&gt;MAX(0,MIN(1000,E323))),"MISMATCH","OK")))),"OK")))</f>
        <v>OK</v>
      </c>
      <c r="I323" s="7" t="n">
        <f aca="false">MAX(0,MIN(1000,D323))</f>
        <v>919</v>
      </c>
      <c r="J323" s="7" t="str">
        <f aca="false">IF(c_TPOT&gt;1,IF(c_TTYPE=2,1000-MAX(0,MIN(1000,G323)),MAX(0,MIN(1000,G323))),"")</f>
        <v/>
      </c>
      <c r="K323" s="7" t="n">
        <f aca="false">IF(c_TPOT&gt;1,QUOTIENT(I323+J323,2),I323)</f>
        <v>919</v>
      </c>
      <c r="L323" s="7" t="n">
        <f aca="false">IF(AND(K323=0,c_TCREEP&gt;0),10*c_TCREEP,IF(AND(K323&lt;=c_TRNGMIN,K323&gt;=c_TRNGMAX,c_TRNGMIN-c_TRNGMAX&lt;&gt;0),-10*c_TMINRN+QUOTIENT((c_TMAXRN-c_TMINRN)*(100-QUOTIENT((K323-c_TRNGMAX)*100,c_TRNGMIN-c_TRNGMAX)),-10),0))</f>
        <v>0</v>
      </c>
      <c r="M323" s="7" t="n">
        <f aca="false">IF(((c_TMAP1IN)-(c_TFWD))=0,(0)+QUOTIENT(((c_TMAP1OUT)-(0)),2),QUOTIENT((((K323)-(c_TFWD))*((c_TMAP1OUT)-(0))+IF(((c_TMAP1OUT)-(0))&gt;=0,1,-1)*QUOTIENT(((c_TMAP1IN)-(c_TFWD)),2)),((c_TMAP1IN)-(c_TFWD)))+(0)+IF(((c_TMAP1OUT)-(0))&gt;=0,IF(IF(o_WRAP=1,MOD(((c_TMAP1IN)-(c_TFWD))*(((K323)-(c_TFWD))*((c_TMAP1OUT)-(0))+IF(((c_TMAP1OUT)-(0))&gt;=0,1,-1)*QUOTIENT(((c_TMAP1IN)-(c_TFWD)),2))+2147483648,4294967296)-2147483648,((c_TMAP1IN)-(c_TFWD))*(((K323)-(c_TFWD))*((c_TMAP1OUT)-(0))+IF(((c_TMAP1OUT)-(0))&gt;=0,1,-1)*QUOTIENT(((c_TMAP1IN)-(c_TFWD)),2)))&lt;0,-1,0),IF(IF(o_WRAP=1,MOD(((c_TMAP1IN)-(c_TFWD))*(((K323)-(c_TFWD))*((c_TMAP1OUT)-(0))+IF(((c_TMAP1OUT)-(0))&gt;=0,1,-1)*QUOTIENT(((c_TMAP1IN)-(c_TFWD)),2))+2147483648,4294967296)-2147483648,((c_TMAP1IN)-(c_TFWD))*(((K323)-(c_TFWD))*((c_TMAP1OUT)-(0))+IF(((c_TMAP1OUT)-(0))&gt;=0,1,-1)*QUOTIENT(((c_TMAP1IN)-(c_TFWD)),2)))&gt;=0,1,0)))</f>
        <v>707</v>
      </c>
      <c r="N323" s="7" t="n">
        <f aca="false">IF(((c_TMAP2IN)-(c_TMAP1IN))=0,(c_TMAP1OUT)+QUOTIENT(((c_TMAP2OUT)-(c_TMAP1OUT)),2),QUOTIENT((((K323)-(c_TMAP1IN))*((c_TMAP2OUT)-(c_TMAP1OUT))+IF(((c_TMAP2OUT)-(c_TMAP1OUT))&gt;=0,1,-1)*QUOTIENT(((c_TMAP2IN)-(c_TMAP1IN)),2)),((c_TMAP2IN)-(c_TMAP1IN)))+(c_TMAP1OUT)+IF(((c_TMAP2OUT)-(c_TMAP1OUT))&gt;=0,IF(IF(o_WRAP=1,MOD(((c_TMAP2IN)-(c_TMAP1IN))*(((K323)-(c_TMAP1IN))*((c_TMAP2OUT)-(c_TMAP1OUT))+IF(((c_TMAP2OUT)-(c_TMAP1OUT))&gt;=0,1,-1)*QUOTIENT(((c_TMAP2IN)-(c_TMAP1IN)),2))+2147483648,4294967296)-2147483648,((c_TMAP2IN)-(c_TMAP1IN))*(((K323)-(c_TMAP1IN))*((c_TMAP2OUT)-(c_TMAP1OUT))+IF(((c_TMAP2OUT)-(c_TMAP1OUT))&gt;=0,1,-1)*QUOTIENT(((c_TMAP2IN)-(c_TMAP1IN)),2)))&lt;0,-1,0),IF(IF(o_WRAP=1,MOD(((c_TMAP2IN)-(c_TMAP1IN))*(((K323)-(c_TMAP1IN))*((c_TMAP2OUT)-(c_TMAP1OUT))+IF(((c_TMAP2OUT)-(c_TMAP1OUT))&gt;=0,1,-1)*QUOTIENT(((c_TMAP2IN)-(c_TMAP1IN)),2))+2147483648,4294967296)-2147483648,((c_TMAP2IN)-(c_TMAP1IN))*(((K323)-(c_TMAP1IN))*((c_TMAP2OUT)-(c_TMAP1OUT))+IF(((c_TMAP2OUT)-(c_TMAP1OUT))&gt;=0,1,-1)*QUOTIENT(((c_TMAP2IN)-(c_TMAP1IN)),2)))&gt;=0,1,0)))</f>
        <v>398</v>
      </c>
      <c r="O323" s="7" t="n">
        <f aca="false">IF(((c_TMAP3IN)-(c_TMAP2IN))=0,(c_TMAP2OUT)+QUOTIENT(((c_TMAP3OUT)-(c_TMAP2OUT)),2),QUOTIENT((((K323)-(c_TMAP2IN))*((c_TMAP3OUT)-(c_TMAP2OUT))+IF(((c_TMAP3OUT)-(c_TMAP2OUT))&gt;=0,1,-1)*QUOTIENT(((c_TMAP3IN)-(c_TMAP2IN)),2)),((c_TMAP3IN)-(c_TMAP2IN)))+(c_TMAP2OUT)+IF(((c_TMAP3OUT)-(c_TMAP2OUT))&gt;=0,IF(IF(o_WRAP=1,MOD(((c_TMAP3IN)-(c_TMAP2IN))*(((K323)-(c_TMAP2IN))*((c_TMAP3OUT)-(c_TMAP2OUT))+IF(((c_TMAP3OUT)-(c_TMAP2OUT))&gt;=0,1,-1)*QUOTIENT(((c_TMAP3IN)-(c_TMAP2IN)),2))+2147483648,4294967296)-2147483648,((c_TMAP3IN)-(c_TMAP2IN))*(((K323)-(c_TMAP2IN))*((c_TMAP3OUT)-(c_TMAP2OUT))+IF(((c_TMAP3OUT)-(c_TMAP2OUT))&gt;=0,1,-1)*QUOTIENT(((c_TMAP3IN)-(c_TMAP2IN)),2)))&lt;0,-1,0),IF(IF(o_WRAP=1,MOD(((c_TMAP3IN)-(c_TMAP2IN))*(((K323)-(c_TMAP2IN))*((c_TMAP3OUT)-(c_TMAP2OUT))+IF(((c_TMAP3OUT)-(c_TMAP2OUT))&gt;=0,1,-1)*QUOTIENT(((c_TMAP3IN)-(c_TMAP2IN)),2))+2147483648,4294967296)-2147483648,((c_TMAP3IN)-(c_TMAP2IN))*(((K323)-(c_TMAP2IN))*((c_TMAP3OUT)-(c_TMAP2OUT))+IF(((c_TMAP3OUT)-(c_TMAP2OUT))&gt;=0,1,-1)*QUOTIENT(((c_TMAP3IN)-(c_TMAP2IN)),2)))&gt;=0,1,0)))</f>
        <v>598</v>
      </c>
      <c r="P323" s="7" t="n">
        <f aca="false">IF(((1000)-(c_TMAP3IN))=0,(c_TMAP3OUT)+QUOTIENT(((1000)-(c_TMAP3OUT)),2),QUOTIENT((((K323)-(c_TMAP3IN))*((1000)-(c_TMAP3OUT))+IF(((1000)-(c_TMAP3OUT))&gt;=0,1,-1)*QUOTIENT(((1000)-(c_TMAP3IN)),2)),((1000)-(c_TMAP3IN)))+(c_TMAP3OUT)+IF(((1000)-(c_TMAP3OUT))&gt;=0,IF(IF(o_WRAP=1,MOD(((1000)-(c_TMAP3IN))*(((K323)-(c_TMAP3IN))*((1000)-(c_TMAP3OUT))+IF(((1000)-(c_TMAP3OUT))&gt;=0,1,-1)*QUOTIENT(((1000)-(c_TMAP3IN)),2))+2147483648,4294967296)-2147483648,((1000)-(c_TMAP3IN))*(((K323)-(c_TMAP3IN))*((1000)-(c_TMAP3OUT))+IF(((1000)-(c_TMAP3OUT))&gt;=0,1,-1)*QUOTIENT(((1000)-(c_TMAP3IN)),2)))&lt;0,-1,0),IF(IF(o_WRAP=1,MOD(((1000)-(c_TMAP3IN))*(((K323)-(c_TMAP3IN))*((1000)-(c_TMAP3OUT))+IF(((1000)-(c_TMAP3OUT))&gt;=0,1,-1)*QUOTIENT(((1000)-(c_TMAP3IN)),2))+2147483648,4294967296)-2147483648,((1000)-(c_TMAP3IN))*(((K323)-(c_TMAP3IN))*((1000)-(c_TMAP3OUT))+IF(((1000)-(c_TMAP3OUT))&gt;=0,1,-1)*QUOTIENT(((1000)-(c_TMAP3IN)),2)))&gt;=0,1,0)))</f>
        <v>900</v>
      </c>
      <c r="Q323" s="7" t="str">
        <f aca="false">IF(K323&gt;=c_TFWD,IF(AND(K323&gt;=c_TMAP3IN,c_TMAP3IN&lt;1000),"Seg4 map3-100%",IF(AND(K323&gt;=c_TMAP2IN,c_TMAP3IN&gt;c_TMAP2IN),"Seg3 map2-map3",IF(AND(K323&gt;=c_TMAP1IN,c_TMAP2IN&gt;c_TMAP1IN),"Seg2 map1-map2","Seg1 TFWD-map1"))),IF(AND(K323=0,c_TCREEP&gt;0),"Creep",IF(AND(K323&lt;=c_TRNGMIN,K323&gt;=c_TRNGMAX,c_TRNGMIN-c_TRNGMAX&lt;&gt;0),"Regen ramp","Coast (0)")))</f>
        <v>Seg4 map3-100%</v>
      </c>
      <c r="R323" s="7" t="n">
        <f aca="false">IF(K323&gt;=c_TFWD,IF(AND(K323&gt;=c_TMAP3IN,c_TMAP3IN&lt;1000),P323,IF(AND(K323&gt;=c_TMAP2IN,c_TMAP3IN&gt;c_TMAP2IN),O323,IF(AND(K323&gt;=c_TMAP1IN,c_TMAP2IN&gt;c_TMAP1IN),N323,M323))),L323)</f>
        <v>900</v>
      </c>
      <c r="S323" s="7" t="str">
        <f aca="false">IF(R323&lt;-1090,"TOO LOW",IF(R323&gt;1090,"TOO HIGH",""))</f>
        <v/>
      </c>
      <c r="T323" s="15" t="n">
        <f aca="false">IF(H323&lt;&gt;"OK",0,IF(S323&lt;&gt;"",0,IF(R323&gt;979,1000,R323)))</f>
        <v>900</v>
      </c>
      <c r="U323" s="7" t="n">
        <f aca="false">T323/10</f>
        <v>90</v>
      </c>
    </row>
    <row r="324" customFormat="false" ht="15" hidden="false" customHeight="false" outlineLevel="0" collapsed="false">
      <c r="A324" s="7" t="n">
        <v>319</v>
      </c>
      <c r="B324" s="7" t="n">
        <f aca="false">ROUND(o_SWSTART+A324*(o_SWEND-o_SWSTART)/400,0)</f>
        <v>3266</v>
      </c>
      <c r="C324" s="7" t="n">
        <f aca="false">QUOTIENT((B324-c_OFF1)*c_GAIN1,1024)</f>
        <v>3266</v>
      </c>
      <c r="D324" s="7" t="n">
        <f aca="false">IF(((c_T1MX)-(c_T1MN))=0,(0)+QUOTIENT(((1000)-(0)),2),QUOTIENT((((C324)-(c_T1MN))*((1000)-(0))+IF(((1000)-(0))&gt;=0,1,-1)*QUOTIENT(((c_T1MX)-(c_T1MN)),2)),((c_T1MX)-(c_T1MN)))+(0)+IF(((1000)-(0))&gt;=0,IF(IF(o_WRAP=1,MOD(((c_T1MX)-(c_T1MN))*(((C324)-(c_T1MN))*((1000)-(0))+IF(((1000)-(0))&gt;=0,1,-1)*QUOTIENT(((c_T1MX)-(c_T1MN)),2))+2147483648,4294967296)-2147483648,((c_T1MX)-(c_T1MN))*(((C324)-(c_T1MN))*((1000)-(0))+IF(((1000)-(0))&gt;=0,1,-1)*QUOTIENT(((c_T1MX)-(c_T1MN)),2)))&lt;0,-1,0),IF(IF(o_WRAP=1,MOD(((c_T1MX)-(c_T1MN))*(((C324)-(c_T1MN))*((1000)-(0))+IF(((1000)-(0))&gt;=0,1,-1)*QUOTIENT(((c_T1MX)-(c_T1MN)),2))+2147483648,4294967296)-2147483648,((c_T1MX)-(c_T1MN))*(((C324)-(c_T1MN))*((1000)-(0))+IF(((1000)-(0))&gt;=0,1,-1)*QUOTIENT(((c_T1MX)-(c_T1MN)),2)))&gt;=0,1,0)))</f>
        <v>922</v>
      </c>
      <c r="E324" s="7" t="n">
        <f aca="false">IF(AND(c_TPOT=1,c_TTYPE=2),1000-D324,D324)</f>
        <v>922</v>
      </c>
      <c r="F324" s="7" t="str">
        <f aca="false">IF(c_TPOT&gt;1,ROUND(IF(c_TTYPE=2,c_T2MX-IF(c_T1MX=c_T1MN,0,(C324-c_T1MN)/(c_T1MX-c_T1MN))*(c_T2MX-c_T2MN),c_T2MN+IF(c_T1MX=c_T1MN,0,(C324-c_T1MN)/(c_T1MX-c_T1MN))*(c_T2MX-c_T2MN))+o_MISMATCH,0),"")</f>
        <v/>
      </c>
      <c r="G324" s="7" t="str">
        <f aca="false">IF(c_TPOT&gt;1,IF(((c_T2MX)-(c_T2MN))=0,(0)+QUOTIENT(((1000)-(0)),2),QUOTIENT((((F324)-(c_T2MN))*((1000)-(0))+IF(((1000)-(0))&gt;=0,1,-1)*QUOTIENT(((c_T2MX)-(c_T2MN)),2)),((c_T2MX)-(c_T2MN)))+(0)+IF(((1000)-(0))&gt;=0,IF(IF(o_WRAP=1,MOD(((c_T2MX)-(c_T2MN))*(((F324)-(c_T2MN))*((1000)-(0))+IF(((1000)-(0))&gt;=0,1,-1)*QUOTIENT(((c_T2MX)-(c_T2MN)),2))+2147483648,4294967296)-2147483648,((c_T2MX)-(c_T2MN))*(((F324)-(c_T2MN))*((1000)-(0))+IF(((1000)-(0))&gt;=0,1,-1)*QUOTIENT(((c_T2MX)-(c_T2MN)),2)))&lt;0,-1,0),IF(IF(o_WRAP=1,MOD(((c_T2MX)-(c_T2MN))*(((F324)-(c_T2MN))*((1000)-(0))+IF(((1000)-(0))&gt;=0,1,-1)*QUOTIENT(((c_T2MX)-(c_T2MN)),2))+2147483648,4294967296)-2147483648,((c_T2MX)-(c_T2MN))*(((F324)-(c_T2MN))*((1000)-(0))+IF(((1000)-(0))&gt;=0,1,-1)*QUOTIENT(((c_T2MX)-(c_T2MN)),2)))&gt;=0,1,0))),"")</f>
        <v/>
      </c>
      <c r="H324" s="7" t="str">
        <f aca="false">IF(E324&gt;1000+k_TOL,"T1 HIGH",IF(E324&lt;0-k_TOL,"T1 LOW",IF(c_TPOT&gt;1,IF(G324&gt;1000+k_TOL,"T2 HIGH",IF(G324&lt;0-k_TOL,"T2 LOW",IF(c_TTYPE=2,IF(ABS(1000-MAX(0,MIN(1000,E324))-MAX(0,MIN(1000,G324)))&gt;k_MAXERR,"MISMATCH","OK"),IF(OR(MAX(0,MIN(1000,E324))-k_MAXERR&gt;MAX(0,MIN(1000,G324)),MAX(0,MIN(1000,G324))-k_MAXERR&gt;MAX(0,MIN(1000,E324))),"MISMATCH","OK")))),"OK")))</f>
        <v>OK</v>
      </c>
      <c r="I324" s="7" t="n">
        <f aca="false">MAX(0,MIN(1000,D324))</f>
        <v>922</v>
      </c>
      <c r="J324" s="7" t="str">
        <f aca="false">IF(c_TPOT&gt;1,IF(c_TTYPE=2,1000-MAX(0,MIN(1000,G324)),MAX(0,MIN(1000,G324))),"")</f>
        <v/>
      </c>
      <c r="K324" s="7" t="n">
        <f aca="false">IF(c_TPOT&gt;1,QUOTIENT(I324+J324,2),I324)</f>
        <v>922</v>
      </c>
      <c r="L324" s="7" t="n">
        <f aca="false">IF(AND(K324=0,c_TCREEP&gt;0),10*c_TCREEP,IF(AND(K324&lt;=c_TRNGMIN,K324&gt;=c_TRNGMAX,c_TRNGMIN-c_TRNGMAX&lt;&gt;0),-10*c_TMINRN+QUOTIENT((c_TMAXRN-c_TMINRN)*(100-QUOTIENT((K324-c_TRNGMAX)*100,c_TRNGMIN-c_TRNGMAX)),-10),0))</f>
        <v>0</v>
      </c>
      <c r="M324" s="7" t="n">
        <f aca="false">IF(((c_TMAP1IN)-(c_TFWD))=0,(0)+QUOTIENT(((c_TMAP1OUT)-(0)),2),QUOTIENT((((K324)-(c_TFWD))*((c_TMAP1OUT)-(0))+IF(((c_TMAP1OUT)-(0))&gt;=0,1,-1)*QUOTIENT(((c_TMAP1IN)-(c_TFWD)),2)),((c_TMAP1IN)-(c_TFWD)))+(0)+IF(((c_TMAP1OUT)-(0))&gt;=0,IF(IF(o_WRAP=1,MOD(((c_TMAP1IN)-(c_TFWD))*(((K324)-(c_TFWD))*((c_TMAP1OUT)-(0))+IF(((c_TMAP1OUT)-(0))&gt;=0,1,-1)*QUOTIENT(((c_TMAP1IN)-(c_TFWD)),2))+2147483648,4294967296)-2147483648,((c_TMAP1IN)-(c_TFWD))*(((K324)-(c_TFWD))*((c_TMAP1OUT)-(0))+IF(((c_TMAP1OUT)-(0))&gt;=0,1,-1)*QUOTIENT(((c_TMAP1IN)-(c_TFWD)),2)))&lt;0,-1,0),IF(IF(o_WRAP=1,MOD(((c_TMAP1IN)-(c_TFWD))*(((K324)-(c_TFWD))*((c_TMAP1OUT)-(0))+IF(((c_TMAP1OUT)-(0))&gt;=0,1,-1)*QUOTIENT(((c_TMAP1IN)-(c_TFWD)),2))+2147483648,4294967296)-2147483648,((c_TMAP1IN)-(c_TFWD))*(((K324)-(c_TFWD))*((c_TMAP1OUT)-(0))+IF(((c_TMAP1OUT)-(0))&gt;=0,1,-1)*QUOTIENT(((c_TMAP1IN)-(c_TFWD)),2)))&gt;=0,1,0)))</f>
        <v>709</v>
      </c>
      <c r="N324" s="7" t="n">
        <f aca="false">IF(((c_TMAP2IN)-(c_TMAP1IN))=0,(c_TMAP1OUT)+QUOTIENT(((c_TMAP2OUT)-(c_TMAP1OUT)),2),QUOTIENT((((K324)-(c_TMAP1IN))*((c_TMAP2OUT)-(c_TMAP1OUT))+IF(((c_TMAP2OUT)-(c_TMAP1OUT))&gt;=0,1,-1)*QUOTIENT(((c_TMAP2IN)-(c_TMAP1IN)),2)),((c_TMAP2IN)-(c_TMAP1IN)))+(c_TMAP1OUT)+IF(((c_TMAP2OUT)-(c_TMAP1OUT))&gt;=0,IF(IF(o_WRAP=1,MOD(((c_TMAP2IN)-(c_TMAP1IN))*(((K324)-(c_TMAP1IN))*((c_TMAP2OUT)-(c_TMAP1OUT))+IF(((c_TMAP2OUT)-(c_TMAP1OUT))&gt;=0,1,-1)*QUOTIENT(((c_TMAP2IN)-(c_TMAP1IN)),2))+2147483648,4294967296)-2147483648,((c_TMAP2IN)-(c_TMAP1IN))*(((K324)-(c_TMAP1IN))*((c_TMAP2OUT)-(c_TMAP1OUT))+IF(((c_TMAP2OUT)-(c_TMAP1OUT))&gt;=0,1,-1)*QUOTIENT(((c_TMAP2IN)-(c_TMAP1IN)),2)))&lt;0,-1,0),IF(IF(o_WRAP=1,MOD(((c_TMAP2IN)-(c_TMAP1IN))*(((K324)-(c_TMAP1IN))*((c_TMAP2OUT)-(c_TMAP1OUT))+IF(((c_TMAP2OUT)-(c_TMAP1OUT))&gt;=0,1,-1)*QUOTIENT(((c_TMAP2IN)-(c_TMAP1IN)),2))+2147483648,4294967296)-2147483648,((c_TMAP2IN)-(c_TMAP1IN))*(((K324)-(c_TMAP1IN))*((c_TMAP2OUT)-(c_TMAP1OUT))+IF(((c_TMAP2OUT)-(c_TMAP1OUT))&gt;=0,1,-1)*QUOTIENT(((c_TMAP2IN)-(c_TMAP1IN)),2)))&gt;=0,1,0)))</f>
        <v>399</v>
      </c>
      <c r="O324" s="7" t="n">
        <f aca="false">IF(((c_TMAP3IN)-(c_TMAP2IN))=0,(c_TMAP2OUT)+QUOTIENT(((c_TMAP3OUT)-(c_TMAP2OUT)),2),QUOTIENT((((K324)-(c_TMAP2IN))*((c_TMAP3OUT)-(c_TMAP2OUT))+IF(((c_TMAP3OUT)-(c_TMAP2OUT))&gt;=0,1,-1)*QUOTIENT(((c_TMAP3IN)-(c_TMAP2IN)),2)),((c_TMAP3IN)-(c_TMAP2IN)))+(c_TMAP2OUT)+IF(((c_TMAP3OUT)-(c_TMAP2OUT))&gt;=0,IF(IF(o_WRAP=1,MOD(((c_TMAP3IN)-(c_TMAP2IN))*(((K324)-(c_TMAP2IN))*((c_TMAP3OUT)-(c_TMAP2OUT))+IF(((c_TMAP3OUT)-(c_TMAP2OUT))&gt;=0,1,-1)*QUOTIENT(((c_TMAP3IN)-(c_TMAP2IN)),2))+2147483648,4294967296)-2147483648,((c_TMAP3IN)-(c_TMAP2IN))*(((K324)-(c_TMAP2IN))*((c_TMAP3OUT)-(c_TMAP2OUT))+IF(((c_TMAP3OUT)-(c_TMAP2OUT))&gt;=0,1,-1)*QUOTIENT(((c_TMAP3IN)-(c_TMAP2IN)),2)))&lt;0,-1,0),IF(IF(o_WRAP=1,MOD(((c_TMAP3IN)-(c_TMAP2IN))*(((K324)-(c_TMAP2IN))*((c_TMAP3OUT)-(c_TMAP2OUT))+IF(((c_TMAP3OUT)-(c_TMAP2OUT))&gt;=0,1,-1)*QUOTIENT(((c_TMAP3IN)-(c_TMAP2IN)),2))+2147483648,4294967296)-2147483648,((c_TMAP3IN)-(c_TMAP2IN))*(((K324)-(c_TMAP2IN))*((c_TMAP3OUT)-(c_TMAP2OUT))+IF(((c_TMAP3OUT)-(c_TMAP2OUT))&gt;=0,1,-1)*QUOTIENT(((c_TMAP3IN)-(c_TMAP2IN)),2)))&gt;=0,1,0)))</f>
        <v>600</v>
      </c>
      <c r="P324" s="7" t="n">
        <f aca="false">IF(((1000)-(c_TMAP3IN))=0,(c_TMAP3OUT)+QUOTIENT(((1000)-(c_TMAP3OUT)),2),QUOTIENT((((K324)-(c_TMAP3IN))*((1000)-(c_TMAP3OUT))+IF(((1000)-(c_TMAP3OUT))&gt;=0,1,-1)*QUOTIENT(((1000)-(c_TMAP3IN)),2)),((1000)-(c_TMAP3IN)))+(c_TMAP3OUT)+IF(((1000)-(c_TMAP3OUT))&gt;=0,IF(IF(o_WRAP=1,MOD(((1000)-(c_TMAP3IN))*(((K324)-(c_TMAP3IN))*((1000)-(c_TMAP3OUT))+IF(((1000)-(c_TMAP3OUT))&gt;=0,1,-1)*QUOTIENT(((1000)-(c_TMAP3IN)),2))+2147483648,4294967296)-2147483648,((1000)-(c_TMAP3IN))*(((K324)-(c_TMAP3IN))*((1000)-(c_TMAP3OUT))+IF(((1000)-(c_TMAP3OUT))&gt;=0,1,-1)*QUOTIENT(((1000)-(c_TMAP3IN)),2)))&lt;0,-1,0),IF(IF(o_WRAP=1,MOD(((1000)-(c_TMAP3IN))*(((K324)-(c_TMAP3IN))*((1000)-(c_TMAP3OUT))+IF(((1000)-(c_TMAP3OUT))&gt;=0,1,-1)*QUOTIENT(((1000)-(c_TMAP3IN)),2))+2147483648,4294967296)-2147483648,((1000)-(c_TMAP3IN))*(((K324)-(c_TMAP3IN))*((1000)-(c_TMAP3OUT))+IF(((1000)-(c_TMAP3OUT))&gt;=0,1,-1)*QUOTIENT(((1000)-(c_TMAP3IN)),2)))&gt;=0,1,0)))</f>
        <v>904</v>
      </c>
      <c r="Q324" s="7" t="str">
        <f aca="false">IF(K324&gt;=c_TFWD,IF(AND(K324&gt;=c_TMAP3IN,c_TMAP3IN&lt;1000),"Seg4 map3-100%",IF(AND(K324&gt;=c_TMAP2IN,c_TMAP3IN&gt;c_TMAP2IN),"Seg3 map2-map3",IF(AND(K324&gt;=c_TMAP1IN,c_TMAP2IN&gt;c_TMAP1IN),"Seg2 map1-map2","Seg1 TFWD-map1"))),IF(AND(K324=0,c_TCREEP&gt;0),"Creep",IF(AND(K324&lt;=c_TRNGMIN,K324&gt;=c_TRNGMAX,c_TRNGMIN-c_TRNGMAX&lt;&gt;0),"Regen ramp","Coast (0)")))</f>
        <v>Seg4 map3-100%</v>
      </c>
      <c r="R324" s="7" t="n">
        <f aca="false">IF(K324&gt;=c_TFWD,IF(AND(K324&gt;=c_TMAP3IN,c_TMAP3IN&lt;1000),P324,IF(AND(K324&gt;=c_TMAP2IN,c_TMAP3IN&gt;c_TMAP2IN),O324,IF(AND(K324&gt;=c_TMAP1IN,c_TMAP2IN&gt;c_TMAP1IN),N324,M324))),L324)</f>
        <v>904</v>
      </c>
      <c r="S324" s="7" t="str">
        <f aca="false">IF(R324&lt;-1090,"TOO LOW",IF(R324&gt;1090,"TOO HIGH",""))</f>
        <v/>
      </c>
      <c r="T324" s="15" t="n">
        <f aca="false">IF(H324&lt;&gt;"OK",0,IF(S324&lt;&gt;"",0,IF(R324&gt;979,1000,R324)))</f>
        <v>904</v>
      </c>
      <c r="U324" s="7" t="n">
        <f aca="false">T324/10</f>
        <v>90.4</v>
      </c>
    </row>
    <row r="325" customFormat="false" ht="15" hidden="false" customHeight="false" outlineLevel="0" collapsed="false">
      <c r="A325" s="7" t="n">
        <v>320</v>
      </c>
      <c r="B325" s="7" t="n">
        <f aca="false">ROUND(o_SWSTART+A325*(o_SWEND-o_SWSTART)/400,0)</f>
        <v>3276</v>
      </c>
      <c r="C325" s="7" t="n">
        <f aca="false">QUOTIENT((B325-c_OFF1)*c_GAIN1,1024)</f>
        <v>3276</v>
      </c>
      <c r="D325" s="7" t="n">
        <f aca="false">IF(((c_T1MX)-(c_T1MN))=0,(0)+QUOTIENT(((1000)-(0)),2),QUOTIENT((((C325)-(c_T1MN))*((1000)-(0))+IF(((1000)-(0))&gt;=0,1,-1)*QUOTIENT(((c_T1MX)-(c_T1MN)),2)),((c_T1MX)-(c_T1MN)))+(0)+IF(((1000)-(0))&gt;=0,IF(IF(o_WRAP=1,MOD(((c_T1MX)-(c_T1MN))*(((C325)-(c_T1MN))*((1000)-(0))+IF(((1000)-(0))&gt;=0,1,-1)*QUOTIENT(((c_T1MX)-(c_T1MN)),2))+2147483648,4294967296)-2147483648,((c_T1MX)-(c_T1MN))*(((C325)-(c_T1MN))*((1000)-(0))+IF(((1000)-(0))&gt;=0,1,-1)*QUOTIENT(((c_T1MX)-(c_T1MN)),2)))&lt;0,-1,0),IF(IF(o_WRAP=1,MOD(((c_T1MX)-(c_T1MN))*(((C325)-(c_T1MN))*((1000)-(0))+IF(((1000)-(0))&gt;=0,1,-1)*QUOTIENT(((c_T1MX)-(c_T1MN)),2))+2147483648,4294967296)-2147483648,((c_T1MX)-(c_T1MN))*(((C325)-(c_T1MN))*((1000)-(0))+IF(((1000)-(0))&gt;=0,1,-1)*QUOTIENT(((c_T1MX)-(c_T1MN)),2)))&gt;=0,1,0)))</f>
        <v>926</v>
      </c>
      <c r="E325" s="7" t="n">
        <f aca="false">IF(AND(c_TPOT=1,c_TTYPE=2),1000-D325,D325)</f>
        <v>926</v>
      </c>
      <c r="F325" s="7" t="str">
        <f aca="false">IF(c_TPOT&gt;1,ROUND(IF(c_TTYPE=2,c_T2MX-IF(c_T1MX=c_T1MN,0,(C325-c_T1MN)/(c_T1MX-c_T1MN))*(c_T2MX-c_T2MN),c_T2MN+IF(c_T1MX=c_T1MN,0,(C325-c_T1MN)/(c_T1MX-c_T1MN))*(c_T2MX-c_T2MN))+o_MISMATCH,0),"")</f>
        <v/>
      </c>
      <c r="G325" s="7" t="str">
        <f aca="false">IF(c_TPOT&gt;1,IF(((c_T2MX)-(c_T2MN))=0,(0)+QUOTIENT(((1000)-(0)),2),QUOTIENT((((F325)-(c_T2MN))*((1000)-(0))+IF(((1000)-(0))&gt;=0,1,-1)*QUOTIENT(((c_T2MX)-(c_T2MN)),2)),((c_T2MX)-(c_T2MN)))+(0)+IF(((1000)-(0))&gt;=0,IF(IF(o_WRAP=1,MOD(((c_T2MX)-(c_T2MN))*(((F325)-(c_T2MN))*((1000)-(0))+IF(((1000)-(0))&gt;=0,1,-1)*QUOTIENT(((c_T2MX)-(c_T2MN)),2))+2147483648,4294967296)-2147483648,((c_T2MX)-(c_T2MN))*(((F325)-(c_T2MN))*((1000)-(0))+IF(((1000)-(0))&gt;=0,1,-1)*QUOTIENT(((c_T2MX)-(c_T2MN)),2)))&lt;0,-1,0),IF(IF(o_WRAP=1,MOD(((c_T2MX)-(c_T2MN))*(((F325)-(c_T2MN))*((1000)-(0))+IF(((1000)-(0))&gt;=0,1,-1)*QUOTIENT(((c_T2MX)-(c_T2MN)),2))+2147483648,4294967296)-2147483648,((c_T2MX)-(c_T2MN))*(((F325)-(c_T2MN))*((1000)-(0))+IF(((1000)-(0))&gt;=0,1,-1)*QUOTIENT(((c_T2MX)-(c_T2MN)),2)))&gt;=0,1,0))),"")</f>
        <v/>
      </c>
      <c r="H325" s="7" t="str">
        <f aca="false">IF(E325&gt;1000+k_TOL,"T1 HIGH",IF(E325&lt;0-k_TOL,"T1 LOW",IF(c_TPOT&gt;1,IF(G325&gt;1000+k_TOL,"T2 HIGH",IF(G325&lt;0-k_TOL,"T2 LOW",IF(c_TTYPE=2,IF(ABS(1000-MAX(0,MIN(1000,E325))-MAX(0,MIN(1000,G325)))&gt;k_MAXERR,"MISMATCH","OK"),IF(OR(MAX(0,MIN(1000,E325))-k_MAXERR&gt;MAX(0,MIN(1000,G325)),MAX(0,MIN(1000,G325))-k_MAXERR&gt;MAX(0,MIN(1000,E325))),"MISMATCH","OK")))),"OK")))</f>
        <v>OK</v>
      </c>
      <c r="I325" s="7" t="n">
        <f aca="false">MAX(0,MIN(1000,D325))</f>
        <v>926</v>
      </c>
      <c r="J325" s="7" t="str">
        <f aca="false">IF(c_TPOT&gt;1,IF(c_TTYPE=2,1000-MAX(0,MIN(1000,G325)),MAX(0,MIN(1000,G325))),"")</f>
        <v/>
      </c>
      <c r="K325" s="7" t="n">
        <f aca="false">IF(c_TPOT&gt;1,QUOTIENT(I325+J325,2),I325)</f>
        <v>926</v>
      </c>
      <c r="L325" s="7" t="n">
        <f aca="false">IF(AND(K325=0,c_TCREEP&gt;0),10*c_TCREEP,IF(AND(K325&lt;=c_TRNGMIN,K325&gt;=c_TRNGMAX,c_TRNGMIN-c_TRNGMAX&lt;&gt;0),-10*c_TMINRN+QUOTIENT((c_TMAXRN-c_TMINRN)*(100-QUOTIENT((K325-c_TRNGMAX)*100,c_TRNGMIN-c_TRNGMAX)),-10),0))</f>
        <v>0</v>
      </c>
      <c r="M325" s="7" t="n">
        <f aca="false">IF(((c_TMAP1IN)-(c_TFWD))=0,(0)+QUOTIENT(((c_TMAP1OUT)-(0)),2),QUOTIENT((((K325)-(c_TFWD))*((c_TMAP1OUT)-(0))+IF(((c_TMAP1OUT)-(0))&gt;=0,1,-1)*QUOTIENT(((c_TMAP1IN)-(c_TFWD)),2)),((c_TMAP1IN)-(c_TFWD)))+(0)+IF(((c_TMAP1OUT)-(0))&gt;=0,IF(IF(o_WRAP=1,MOD(((c_TMAP1IN)-(c_TFWD))*(((K325)-(c_TFWD))*((c_TMAP1OUT)-(0))+IF(((c_TMAP1OUT)-(0))&gt;=0,1,-1)*QUOTIENT(((c_TMAP1IN)-(c_TFWD)),2))+2147483648,4294967296)-2147483648,((c_TMAP1IN)-(c_TFWD))*(((K325)-(c_TFWD))*((c_TMAP1OUT)-(0))+IF(((c_TMAP1OUT)-(0))&gt;=0,1,-1)*QUOTIENT(((c_TMAP1IN)-(c_TFWD)),2)))&lt;0,-1,0),IF(IF(o_WRAP=1,MOD(((c_TMAP1IN)-(c_TFWD))*(((K325)-(c_TFWD))*((c_TMAP1OUT)-(0))+IF(((c_TMAP1OUT)-(0))&gt;=0,1,-1)*QUOTIENT(((c_TMAP1IN)-(c_TFWD)),2))+2147483648,4294967296)-2147483648,((c_TMAP1IN)-(c_TFWD))*(((K325)-(c_TFWD))*((c_TMAP1OUT)-(0))+IF(((c_TMAP1OUT)-(0))&gt;=0,1,-1)*QUOTIENT(((c_TMAP1IN)-(c_TFWD)),2)))&gt;=0,1,0)))</f>
        <v>712</v>
      </c>
      <c r="N325" s="7" t="n">
        <f aca="false">IF(((c_TMAP2IN)-(c_TMAP1IN))=0,(c_TMAP1OUT)+QUOTIENT(((c_TMAP2OUT)-(c_TMAP1OUT)),2),QUOTIENT((((K325)-(c_TMAP1IN))*((c_TMAP2OUT)-(c_TMAP1OUT))+IF(((c_TMAP2OUT)-(c_TMAP1OUT))&gt;=0,1,-1)*QUOTIENT(((c_TMAP2IN)-(c_TMAP1IN)),2)),((c_TMAP2IN)-(c_TMAP1IN)))+(c_TMAP1OUT)+IF(((c_TMAP2OUT)-(c_TMAP1OUT))&gt;=0,IF(IF(o_WRAP=1,MOD(((c_TMAP2IN)-(c_TMAP1IN))*(((K325)-(c_TMAP1IN))*((c_TMAP2OUT)-(c_TMAP1OUT))+IF(((c_TMAP2OUT)-(c_TMAP1OUT))&gt;=0,1,-1)*QUOTIENT(((c_TMAP2IN)-(c_TMAP1IN)),2))+2147483648,4294967296)-2147483648,((c_TMAP2IN)-(c_TMAP1IN))*(((K325)-(c_TMAP1IN))*((c_TMAP2OUT)-(c_TMAP1OUT))+IF(((c_TMAP2OUT)-(c_TMAP1OUT))&gt;=0,1,-1)*QUOTIENT(((c_TMAP2IN)-(c_TMAP1IN)),2)))&lt;0,-1,0),IF(IF(o_WRAP=1,MOD(((c_TMAP2IN)-(c_TMAP1IN))*(((K325)-(c_TMAP1IN))*((c_TMAP2OUT)-(c_TMAP1OUT))+IF(((c_TMAP2OUT)-(c_TMAP1OUT))&gt;=0,1,-1)*QUOTIENT(((c_TMAP2IN)-(c_TMAP1IN)),2))+2147483648,4294967296)-2147483648,((c_TMAP2IN)-(c_TMAP1IN))*(((K325)-(c_TMAP1IN))*((c_TMAP2OUT)-(c_TMAP1OUT))+IF(((c_TMAP2OUT)-(c_TMAP1OUT))&gt;=0,1,-1)*QUOTIENT(((c_TMAP2IN)-(c_TMAP1IN)),2)))&gt;=0,1,0)))</f>
        <v>400</v>
      </c>
      <c r="O325" s="7" t="n">
        <f aca="false">IF(((c_TMAP3IN)-(c_TMAP2IN))=0,(c_TMAP2OUT)+QUOTIENT(((c_TMAP3OUT)-(c_TMAP2OUT)),2),QUOTIENT((((K325)-(c_TMAP2IN))*((c_TMAP3OUT)-(c_TMAP2OUT))+IF(((c_TMAP3OUT)-(c_TMAP2OUT))&gt;=0,1,-1)*QUOTIENT(((c_TMAP3IN)-(c_TMAP2IN)),2)),((c_TMAP3IN)-(c_TMAP2IN)))+(c_TMAP2OUT)+IF(((c_TMAP3OUT)-(c_TMAP2OUT))&gt;=0,IF(IF(o_WRAP=1,MOD(((c_TMAP3IN)-(c_TMAP2IN))*(((K325)-(c_TMAP2IN))*((c_TMAP3OUT)-(c_TMAP2OUT))+IF(((c_TMAP3OUT)-(c_TMAP2OUT))&gt;=0,1,-1)*QUOTIENT(((c_TMAP3IN)-(c_TMAP2IN)),2))+2147483648,4294967296)-2147483648,((c_TMAP3IN)-(c_TMAP2IN))*(((K325)-(c_TMAP2IN))*((c_TMAP3OUT)-(c_TMAP2OUT))+IF(((c_TMAP3OUT)-(c_TMAP2OUT))&gt;=0,1,-1)*QUOTIENT(((c_TMAP3IN)-(c_TMAP2IN)),2)))&lt;0,-1,0),IF(IF(o_WRAP=1,MOD(((c_TMAP3IN)-(c_TMAP2IN))*(((K325)-(c_TMAP2IN))*((c_TMAP3OUT)-(c_TMAP2OUT))+IF(((c_TMAP3OUT)-(c_TMAP2OUT))&gt;=0,1,-1)*QUOTIENT(((c_TMAP3IN)-(c_TMAP2IN)),2))+2147483648,4294967296)-2147483648,((c_TMAP3IN)-(c_TMAP2IN))*(((K325)-(c_TMAP2IN))*((c_TMAP3OUT)-(c_TMAP2OUT))+IF(((c_TMAP3OUT)-(c_TMAP2OUT))&gt;=0,1,-1)*QUOTIENT(((c_TMAP3IN)-(c_TMAP2IN)),2)))&gt;=0,1,0)))</f>
        <v>603</v>
      </c>
      <c r="P325" s="7" t="n">
        <f aca="false">IF(((1000)-(c_TMAP3IN))=0,(c_TMAP3OUT)+QUOTIENT(((1000)-(c_TMAP3OUT)),2),QUOTIENT((((K325)-(c_TMAP3IN))*((1000)-(c_TMAP3OUT))+IF(((1000)-(c_TMAP3OUT))&gt;=0,1,-1)*QUOTIENT(((1000)-(c_TMAP3IN)),2)),((1000)-(c_TMAP3IN)))+(c_TMAP3OUT)+IF(((1000)-(c_TMAP3OUT))&gt;=0,IF(IF(o_WRAP=1,MOD(((1000)-(c_TMAP3IN))*(((K325)-(c_TMAP3IN))*((1000)-(c_TMAP3OUT))+IF(((1000)-(c_TMAP3OUT))&gt;=0,1,-1)*QUOTIENT(((1000)-(c_TMAP3IN)),2))+2147483648,4294967296)-2147483648,((1000)-(c_TMAP3IN))*(((K325)-(c_TMAP3IN))*((1000)-(c_TMAP3OUT))+IF(((1000)-(c_TMAP3OUT))&gt;=0,1,-1)*QUOTIENT(((1000)-(c_TMAP3IN)),2)))&lt;0,-1,0),IF(IF(o_WRAP=1,MOD(((1000)-(c_TMAP3IN))*(((K325)-(c_TMAP3IN))*((1000)-(c_TMAP3OUT))+IF(((1000)-(c_TMAP3OUT))&gt;=0,1,-1)*QUOTIENT(((1000)-(c_TMAP3IN)),2))+2147483648,4294967296)-2147483648,((1000)-(c_TMAP3IN))*(((K325)-(c_TMAP3IN))*((1000)-(c_TMAP3OUT))+IF(((1000)-(c_TMAP3OUT))&gt;=0,1,-1)*QUOTIENT(((1000)-(c_TMAP3IN)),2)))&gt;=0,1,0)))</f>
        <v>909</v>
      </c>
      <c r="Q325" s="7" t="str">
        <f aca="false">IF(K325&gt;=c_TFWD,IF(AND(K325&gt;=c_TMAP3IN,c_TMAP3IN&lt;1000),"Seg4 map3-100%",IF(AND(K325&gt;=c_TMAP2IN,c_TMAP3IN&gt;c_TMAP2IN),"Seg3 map2-map3",IF(AND(K325&gt;=c_TMAP1IN,c_TMAP2IN&gt;c_TMAP1IN),"Seg2 map1-map2","Seg1 TFWD-map1"))),IF(AND(K325=0,c_TCREEP&gt;0),"Creep",IF(AND(K325&lt;=c_TRNGMIN,K325&gt;=c_TRNGMAX,c_TRNGMIN-c_TRNGMAX&lt;&gt;0),"Regen ramp","Coast (0)")))</f>
        <v>Seg4 map3-100%</v>
      </c>
      <c r="R325" s="7" t="n">
        <f aca="false">IF(K325&gt;=c_TFWD,IF(AND(K325&gt;=c_TMAP3IN,c_TMAP3IN&lt;1000),P325,IF(AND(K325&gt;=c_TMAP2IN,c_TMAP3IN&gt;c_TMAP2IN),O325,IF(AND(K325&gt;=c_TMAP1IN,c_TMAP2IN&gt;c_TMAP1IN),N325,M325))),L325)</f>
        <v>909</v>
      </c>
      <c r="S325" s="7" t="str">
        <f aca="false">IF(R325&lt;-1090,"TOO LOW",IF(R325&gt;1090,"TOO HIGH",""))</f>
        <v/>
      </c>
      <c r="T325" s="15" t="n">
        <f aca="false">IF(H325&lt;&gt;"OK",0,IF(S325&lt;&gt;"",0,IF(R325&gt;979,1000,R325)))</f>
        <v>909</v>
      </c>
      <c r="U325" s="7" t="n">
        <f aca="false">T325/10</f>
        <v>90.9</v>
      </c>
    </row>
    <row r="326" customFormat="false" ht="15" hidden="false" customHeight="false" outlineLevel="0" collapsed="false">
      <c r="A326" s="7" t="n">
        <v>321</v>
      </c>
      <c r="B326" s="7" t="n">
        <f aca="false">ROUND(o_SWSTART+A326*(o_SWEND-o_SWSTART)/400,0)</f>
        <v>3286</v>
      </c>
      <c r="C326" s="7" t="n">
        <f aca="false">QUOTIENT((B326-c_OFF1)*c_GAIN1,1024)</f>
        <v>3286</v>
      </c>
      <c r="D326" s="7" t="n">
        <f aca="false">IF(((c_T1MX)-(c_T1MN))=0,(0)+QUOTIENT(((1000)-(0)),2),QUOTIENT((((C326)-(c_T1MN))*((1000)-(0))+IF(((1000)-(0))&gt;=0,1,-1)*QUOTIENT(((c_T1MX)-(c_T1MN)),2)),((c_T1MX)-(c_T1MN)))+(0)+IF(((1000)-(0))&gt;=0,IF(IF(o_WRAP=1,MOD(((c_T1MX)-(c_T1MN))*(((C326)-(c_T1MN))*((1000)-(0))+IF(((1000)-(0))&gt;=0,1,-1)*QUOTIENT(((c_T1MX)-(c_T1MN)),2))+2147483648,4294967296)-2147483648,((c_T1MX)-(c_T1MN))*(((C326)-(c_T1MN))*((1000)-(0))+IF(((1000)-(0))&gt;=0,1,-1)*QUOTIENT(((c_T1MX)-(c_T1MN)),2)))&lt;0,-1,0),IF(IF(o_WRAP=1,MOD(((c_T1MX)-(c_T1MN))*(((C326)-(c_T1MN))*((1000)-(0))+IF(((1000)-(0))&gt;=0,1,-1)*QUOTIENT(((c_T1MX)-(c_T1MN)),2))+2147483648,4294967296)-2147483648,((c_T1MX)-(c_T1MN))*(((C326)-(c_T1MN))*((1000)-(0))+IF(((1000)-(0))&gt;=0,1,-1)*QUOTIENT(((c_T1MX)-(c_T1MN)),2)))&gt;=0,1,0)))</f>
        <v>930</v>
      </c>
      <c r="E326" s="7" t="n">
        <f aca="false">IF(AND(c_TPOT=1,c_TTYPE=2),1000-D326,D326)</f>
        <v>930</v>
      </c>
      <c r="F326" s="7" t="str">
        <f aca="false">IF(c_TPOT&gt;1,ROUND(IF(c_TTYPE=2,c_T2MX-IF(c_T1MX=c_T1MN,0,(C326-c_T1MN)/(c_T1MX-c_T1MN))*(c_T2MX-c_T2MN),c_T2MN+IF(c_T1MX=c_T1MN,0,(C326-c_T1MN)/(c_T1MX-c_T1MN))*(c_T2MX-c_T2MN))+o_MISMATCH,0),"")</f>
        <v/>
      </c>
      <c r="G326" s="7" t="str">
        <f aca="false">IF(c_TPOT&gt;1,IF(((c_T2MX)-(c_T2MN))=0,(0)+QUOTIENT(((1000)-(0)),2),QUOTIENT((((F326)-(c_T2MN))*((1000)-(0))+IF(((1000)-(0))&gt;=0,1,-1)*QUOTIENT(((c_T2MX)-(c_T2MN)),2)),((c_T2MX)-(c_T2MN)))+(0)+IF(((1000)-(0))&gt;=0,IF(IF(o_WRAP=1,MOD(((c_T2MX)-(c_T2MN))*(((F326)-(c_T2MN))*((1000)-(0))+IF(((1000)-(0))&gt;=0,1,-1)*QUOTIENT(((c_T2MX)-(c_T2MN)),2))+2147483648,4294967296)-2147483648,((c_T2MX)-(c_T2MN))*(((F326)-(c_T2MN))*((1000)-(0))+IF(((1000)-(0))&gt;=0,1,-1)*QUOTIENT(((c_T2MX)-(c_T2MN)),2)))&lt;0,-1,0),IF(IF(o_WRAP=1,MOD(((c_T2MX)-(c_T2MN))*(((F326)-(c_T2MN))*((1000)-(0))+IF(((1000)-(0))&gt;=0,1,-1)*QUOTIENT(((c_T2MX)-(c_T2MN)),2))+2147483648,4294967296)-2147483648,((c_T2MX)-(c_T2MN))*(((F326)-(c_T2MN))*((1000)-(0))+IF(((1000)-(0))&gt;=0,1,-1)*QUOTIENT(((c_T2MX)-(c_T2MN)),2)))&gt;=0,1,0))),"")</f>
        <v/>
      </c>
      <c r="H326" s="7" t="str">
        <f aca="false">IF(E326&gt;1000+k_TOL,"T1 HIGH",IF(E326&lt;0-k_TOL,"T1 LOW",IF(c_TPOT&gt;1,IF(G326&gt;1000+k_TOL,"T2 HIGH",IF(G326&lt;0-k_TOL,"T2 LOW",IF(c_TTYPE=2,IF(ABS(1000-MAX(0,MIN(1000,E326))-MAX(0,MIN(1000,G326)))&gt;k_MAXERR,"MISMATCH","OK"),IF(OR(MAX(0,MIN(1000,E326))-k_MAXERR&gt;MAX(0,MIN(1000,G326)),MAX(0,MIN(1000,G326))-k_MAXERR&gt;MAX(0,MIN(1000,E326))),"MISMATCH","OK")))),"OK")))</f>
        <v>OK</v>
      </c>
      <c r="I326" s="7" t="n">
        <f aca="false">MAX(0,MIN(1000,D326))</f>
        <v>930</v>
      </c>
      <c r="J326" s="7" t="str">
        <f aca="false">IF(c_TPOT&gt;1,IF(c_TTYPE=2,1000-MAX(0,MIN(1000,G326)),MAX(0,MIN(1000,G326))),"")</f>
        <v/>
      </c>
      <c r="K326" s="7" t="n">
        <f aca="false">IF(c_TPOT&gt;1,QUOTIENT(I326+J326,2),I326)</f>
        <v>930</v>
      </c>
      <c r="L326" s="7" t="n">
        <f aca="false">IF(AND(K326=0,c_TCREEP&gt;0),10*c_TCREEP,IF(AND(K326&lt;=c_TRNGMIN,K326&gt;=c_TRNGMAX,c_TRNGMIN-c_TRNGMAX&lt;&gt;0),-10*c_TMINRN+QUOTIENT((c_TMAXRN-c_TMINRN)*(100-QUOTIENT((K326-c_TRNGMAX)*100,c_TRNGMIN-c_TRNGMAX)),-10),0))</f>
        <v>0</v>
      </c>
      <c r="M326" s="7" t="n">
        <f aca="false">IF(((c_TMAP1IN)-(c_TFWD))=0,(0)+QUOTIENT(((c_TMAP1OUT)-(0)),2),QUOTIENT((((K326)-(c_TFWD))*((c_TMAP1OUT)-(0))+IF(((c_TMAP1OUT)-(0))&gt;=0,1,-1)*QUOTIENT(((c_TMAP1IN)-(c_TFWD)),2)),((c_TMAP1IN)-(c_TFWD)))+(0)+IF(((c_TMAP1OUT)-(0))&gt;=0,IF(IF(o_WRAP=1,MOD(((c_TMAP1IN)-(c_TFWD))*(((K326)-(c_TFWD))*((c_TMAP1OUT)-(0))+IF(((c_TMAP1OUT)-(0))&gt;=0,1,-1)*QUOTIENT(((c_TMAP1IN)-(c_TFWD)),2))+2147483648,4294967296)-2147483648,((c_TMAP1IN)-(c_TFWD))*(((K326)-(c_TFWD))*((c_TMAP1OUT)-(0))+IF(((c_TMAP1OUT)-(0))&gt;=0,1,-1)*QUOTIENT(((c_TMAP1IN)-(c_TFWD)),2)))&lt;0,-1,0),IF(IF(o_WRAP=1,MOD(((c_TMAP1IN)-(c_TFWD))*(((K326)-(c_TFWD))*((c_TMAP1OUT)-(0))+IF(((c_TMAP1OUT)-(0))&gt;=0,1,-1)*QUOTIENT(((c_TMAP1IN)-(c_TFWD)),2))+2147483648,4294967296)-2147483648,((c_TMAP1IN)-(c_TFWD))*(((K326)-(c_TFWD))*((c_TMAP1OUT)-(0))+IF(((c_TMAP1OUT)-(0))&gt;=0,1,-1)*QUOTIENT(((c_TMAP1IN)-(c_TFWD)),2)))&gt;=0,1,0)))</f>
        <v>716</v>
      </c>
      <c r="N326" s="7" t="n">
        <f aca="false">IF(((c_TMAP2IN)-(c_TMAP1IN))=0,(c_TMAP1OUT)+QUOTIENT(((c_TMAP2OUT)-(c_TMAP1OUT)),2),QUOTIENT((((K326)-(c_TMAP1IN))*((c_TMAP2OUT)-(c_TMAP1OUT))+IF(((c_TMAP2OUT)-(c_TMAP1OUT))&gt;=0,1,-1)*QUOTIENT(((c_TMAP2IN)-(c_TMAP1IN)),2)),((c_TMAP2IN)-(c_TMAP1IN)))+(c_TMAP1OUT)+IF(((c_TMAP2OUT)-(c_TMAP1OUT))&gt;=0,IF(IF(o_WRAP=1,MOD(((c_TMAP2IN)-(c_TMAP1IN))*(((K326)-(c_TMAP1IN))*((c_TMAP2OUT)-(c_TMAP1OUT))+IF(((c_TMAP2OUT)-(c_TMAP1OUT))&gt;=0,1,-1)*QUOTIENT(((c_TMAP2IN)-(c_TMAP1IN)),2))+2147483648,4294967296)-2147483648,((c_TMAP2IN)-(c_TMAP1IN))*(((K326)-(c_TMAP1IN))*((c_TMAP2OUT)-(c_TMAP1OUT))+IF(((c_TMAP2OUT)-(c_TMAP1OUT))&gt;=0,1,-1)*QUOTIENT(((c_TMAP2IN)-(c_TMAP1IN)),2)))&lt;0,-1,0),IF(IF(o_WRAP=1,MOD(((c_TMAP2IN)-(c_TMAP1IN))*(((K326)-(c_TMAP1IN))*((c_TMAP2OUT)-(c_TMAP1OUT))+IF(((c_TMAP2OUT)-(c_TMAP1OUT))&gt;=0,1,-1)*QUOTIENT(((c_TMAP2IN)-(c_TMAP1IN)),2))+2147483648,4294967296)-2147483648,((c_TMAP2IN)-(c_TMAP1IN))*(((K326)-(c_TMAP1IN))*((c_TMAP2OUT)-(c_TMAP1OUT))+IF(((c_TMAP2OUT)-(c_TMAP1OUT))&gt;=0,1,-1)*QUOTIENT(((c_TMAP2IN)-(c_TMAP1IN)),2)))&gt;=0,1,0)))</f>
        <v>402</v>
      </c>
      <c r="O326" s="7" t="n">
        <f aca="false">IF(((c_TMAP3IN)-(c_TMAP2IN))=0,(c_TMAP2OUT)+QUOTIENT(((c_TMAP3OUT)-(c_TMAP2OUT)),2),QUOTIENT((((K326)-(c_TMAP2IN))*((c_TMAP3OUT)-(c_TMAP2OUT))+IF(((c_TMAP3OUT)-(c_TMAP2OUT))&gt;=0,1,-1)*QUOTIENT(((c_TMAP3IN)-(c_TMAP2IN)),2)),((c_TMAP3IN)-(c_TMAP2IN)))+(c_TMAP2OUT)+IF(((c_TMAP3OUT)-(c_TMAP2OUT))&gt;=0,IF(IF(o_WRAP=1,MOD(((c_TMAP3IN)-(c_TMAP2IN))*(((K326)-(c_TMAP2IN))*((c_TMAP3OUT)-(c_TMAP2OUT))+IF(((c_TMAP3OUT)-(c_TMAP2OUT))&gt;=0,1,-1)*QUOTIENT(((c_TMAP3IN)-(c_TMAP2IN)),2))+2147483648,4294967296)-2147483648,((c_TMAP3IN)-(c_TMAP2IN))*(((K326)-(c_TMAP2IN))*((c_TMAP3OUT)-(c_TMAP2OUT))+IF(((c_TMAP3OUT)-(c_TMAP2OUT))&gt;=0,1,-1)*QUOTIENT(((c_TMAP3IN)-(c_TMAP2IN)),2)))&lt;0,-1,0),IF(IF(o_WRAP=1,MOD(((c_TMAP3IN)-(c_TMAP2IN))*(((K326)-(c_TMAP2IN))*((c_TMAP3OUT)-(c_TMAP2OUT))+IF(((c_TMAP3OUT)-(c_TMAP2OUT))&gt;=0,1,-1)*QUOTIENT(((c_TMAP3IN)-(c_TMAP2IN)),2))+2147483648,4294967296)-2147483648,((c_TMAP3IN)-(c_TMAP2IN))*(((K326)-(c_TMAP2IN))*((c_TMAP3OUT)-(c_TMAP2OUT))+IF(((c_TMAP3OUT)-(c_TMAP2OUT))&gt;=0,1,-1)*QUOTIENT(((c_TMAP3IN)-(c_TMAP2IN)),2)))&gt;=0,1,0)))</f>
        <v>606</v>
      </c>
      <c r="P326" s="7" t="n">
        <f aca="false">IF(((1000)-(c_TMAP3IN))=0,(c_TMAP3OUT)+QUOTIENT(((1000)-(c_TMAP3OUT)),2),QUOTIENT((((K326)-(c_TMAP3IN))*((1000)-(c_TMAP3OUT))+IF(((1000)-(c_TMAP3OUT))&gt;=0,1,-1)*QUOTIENT(((1000)-(c_TMAP3IN)),2)),((1000)-(c_TMAP3IN)))+(c_TMAP3OUT)+IF(((1000)-(c_TMAP3OUT))&gt;=0,IF(IF(o_WRAP=1,MOD(((1000)-(c_TMAP3IN))*(((K326)-(c_TMAP3IN))*((1000)-(c_TMAP3OUT))+IF(((1000)-(c_TMAP3OUT))&gt;=0,1,-1)*QUOTIENT(((1000)-(c_TMAP3IN)),2))+2147483648,4294967296)-2147483648,((1000)-(c_TMAP3IN))*(((K326)-(c_TMAP3IN))*((1000)-(c_TMAP3OUT))+IF(((1000)-(c_TMAP3OUT))&gt;=0,1,-1)*QUOTIENT(((1000)-(c_TMAP3IN)),2)))&lt;0,-1,0),IF(IF(o_WRAP=1,MOD(((1000)-(c_TMAP3IN))*(((K326)-(c_TMAP3IN))*((1000)-(c_TMAP3OUT))+IF(((1000)-(c_TMAP3OUT))&gt;=0,1,-1)*QUOTIENT(((1000)-(c_TMAP3IN)),2))+2147483648,4294967296)-2147483648,((1000)-(c_TMAP3IN))*(((K326)-(c_TMAP3IN))*((1000)-(c_TMAP3OUT))+IF(((1000)-(c_TMAP3OUT))&gt;=0,1,-1)*QUOTIENT(((1000)-(c_TMAP3IN)),2)))&gt;=0,1,0)))</f>
        <v>914</v>
      </c>
      <c r="Q326" s="7" t="str">
        <f aca="false">IF(K326&gt;=c_TFWD,IF(AND(K326&gt;=c_TMAP3IN,c_TMAP3IN&lt;1000),"Seg4 map3-100%",IF(AND(K326&gt;=c_TMAP2IN,c_TMAP3IN&gt;c_TMAP2IN),"Seg3 map2-map3",IF(AND(K326&gt;=c_TMAP1IN,c_TMAP2IN&gt;c_TMAP1IN),"Seg2 map1-map2","Seg1 TFWD-map1"))),IF(AND(K326=0,c_TCREEP&gt;0),"Creep",IF(AND(K326&lt;=c_TRNGMIN,K326&gt;=c_TRNGMAX,c_TRNGMIN-c_TRNGMAX&lt;&gt;0),"Regen ramp","Coast (0)")))</f>
        <v>Seg4 map3-100%</v>
      </c>
      <c r="R326" s="7" t="n">
        <f aca="false">IF(K326&gt;=c_TFWD,IF(AND(K326&gt;=c_TMAP3IN,c_TMAP3IN&lt;1000),P326,IF(AND(K326&gt;=c_TMAP2IN,c_TMAP3IN&gt;c_TMAP2IN),O326,IF(AND(K326&gt;=c_TMAP1IN,c_TMAP2IN&gt;c_TMAP1IN),N326,M326))),L326)</f>
        <v>914</v>
      </c>
      <c r="S326" s="7" t="str">
        <f aca="false">IF(R326&lt;-1090,"TOO LOW",IF(R326&gt;1090,"TOO HIGH",""))</f>
        <v/>
      </c>
      <c r="T326" s="15" t="n">
        <f aca="false">IF(H326&lt;&gt;"OK",0,IF(S326&lt;&gt;"",0,IF(R326&gt;979,1000,R326)))</f>
        <v>914</v>
      </c>
      <c r="U326" s="7" t="n">
        <f aca="false">T326/10</f>
        <v>91.4</v>
      </c>
    </row>
    <row r="327" customFormat="false" ht="15" hidden="false" customHeight="false" outlineLevel="0" collapsed="false">
      <c r="A327" s="7" t="n">
        <v>322</v>
      </c>
      <c r="B327" s="7" t="n">
        <f aca="false">ROUND(o_SWSTART+A327*(o_SWEND-o_SWSTART)/400,0)</f>
        <v>3296</v>
      </c>
      <c r="C327" s="7" t="n">
        <f aca="false">QUOTIENT((B327-c_OFF1)*c_GAIN1,1024)</f>
        <v>3296</v>
      </c>
      <c r="D327" s="7" t="n">
        <f aca="false">IF(((c_T1MX)-(c_T1MN))=0,(0)+QUOTIENT(((1000)-(0)),2),QUOTIENT((((C327)-(c_T1MN))*((1000)-(0))+IF(((1000)-(0))&gt;=0,1,-1)*QUOTIENT(((c_T1MX)-(c_T1MN)),2)),((c_T1MX)-(c_T1MN)))+(0)+IF(((1000)-(0))&gt;=0,IF(IF(o_WRAP=1,MOD(((c_T1MX)-(c_T1MN))*(((C327)-(c_T1MN))*((1000)-(0))+IF(((1000)-(0))&gt;=0,1,-1)*QUOTIENT(((c_T1MX)-(c_T1MN)),2))+2147483648,4294967296)-2147483648,((c_T1MX)-(c_T1MN))*(((C327)-(c_T1MN))*((1000)-(0))+IF(((1000)-(0))&gt;=0,1,-1)*QUOTIENT(((c_T1MX)-(c_T1MN)),2)))&lt;0,-1,0),IF(IF(o_WRAP=1,MOD(((c_T1MX)-(c_T1MN))*(((C327)-(c_T1MN))*((1000)-(0))+IF(((1000)-(0))&gt;=0,1,-1)*QUOTIENT(((c_T1MX)-(c_T1MN)),2))+2147483648,4294967296)-2147483648,((c_T1MX)-(c_T1MN))*(((C327)-(c_T1MN))*((1000)-(0))+IF(((1000)-(0))&gt;=0,1,-1)*QUOTIENT(((c_T1MX)-(c_T1MN)),2)))&gt;=0,1,0)))</f>
        <v>933</v>
      </c>
      <c r="E327" s="7" t="n">
        <f aca="false">IF(AND(c_TPOT=1,c_TTYPE=2),1000-D327,D327)</f>
        <v>933</v>
      </c>
      <c r="F327" s="7" t="str">
        <f aca="false">IF(c_TPOT&gt;1,ROUND(IF(c_TTYPE=2,c_T2MX-IF(c_T1MX=c_T1MN,0,(C327-c_T1MN)/(c_T1MX-c_T1MN))*(c_T2MX-c_T2MN),c_T2MN+IF(c_T1MX=c_T1MN,0,(C327-c_T1MN)/(c_T1MX-c_T1MN))*(c_T2MX-c_T2MN))+o_MISMATCH,0),"")</f>
        <v/>
      </c>
      <c r="G327" s="7" t="str">
        <f aca="false">IF(c_TPOT&gt;1,IF(((c_T2MX)-(c_T2MN))=0,(0)+QUOTIENT(((1000)-(0)),2),QUOTIENT((((F327)-(c_T2MN))*((1000)-(0))+IF(((1000)-(0))&gt;=0,1,-1)*QUOTIENT(((c_T2MX)-(c_T2MN)),2)),((c_T2MX)-(c_T2MN)))+(0)+IF(((1000)-(0))&gt;=0,IF(IF(o_WRAP=1,MOD(((c_T2MX)-(c_T2MN))*(((F327)-(c_T2MN))*((1000)-(0))+IF(((1000)-(0))&gt;=0,1,-1)*QUOTIENT(((c_T2MX)-(c_T2MN)),2))+2147483648,4294967296)-2147483648,((c_T2MX)-(c_T2MN))*(((F327)-(c_T2MN))*((1000)-(0))+IF(((1000)-(0))&gt;=0,1,-1)*QUOTIENT(((c_T2MX)-(c_T2MN)),2)))&lt;0,-1,0),IF(IF(o_WRAP=1,MOD(((c_T2MX)-(c_T2MN))*(((F327)-(c_T2MN))*((1000)-(0))+IF(((1000)-(0))&gt;=0,1,-1)*QUOTIENT(((c_T2MX)-(c_T2MN)),2))+2147483648,4294967296)-2147483648,((c_T2MX)-(c_T2MN))*(((F327)-(c_T2MN))*((1000)-(0))+IF(((1000)-(0))&gt;=0,1,-1)*QUOTIENT(((c_T2MX)-(c_T2MN)),2)))&gt;=0,1,0))),"")</f>
        <v/>
      </c>
      <c r="H327" s="7" t="str">
        <f aca="false">IF(E327&gt;1000+k_TOL,"T1 HIGH",IF(E327&lt;0-k_TOL,"T1 LOW",IF(c_TPOT&gt;1,IF(G327&gt;1000+k_TOL,"T2 HIGH",IF(G327&lt;0-k_TOL,"T2 LOW",IF(c_TTYPE=2,IF(ABS(1000-MAX(0,MIN(1000,E327))-MAX(0,MIN(1000,G327)))&gt;k_MAXERR,"MISMATCH","OK"),IF(OR(MAX(0,MIN(1000,E327))-k_MAXERR&gt;MAX(0,MIN(1000,G327)),MAX(0,MIN(1000,G327))-k_MAXERR&gt;MAX(0,MIN(1000,E327))),"MISMATCH","OK")))),"OK")))</f>
        <v>OK</v>
      </c>
      <c r="I327" s="7" t="n">
        <f aca="false">MAX(0,MIN(1000,D327))</f>
        <v>933</v>
      </c>
      <c r="J327" s="7" t="str">
        <f aca="false">IF(c_TPOT&gt;1,IF(c_TTYPE=2,1000-MAX(0,MIN(1000,G327)),MAX(0,MIN(1000,G327))),"")</f>
        <v/>
      </c>
      <c r="K327" s="7" t="n">
        <f aca="false">IF(c_TPOT&gt;1,QUOTIENT(I327+J327,2),I327)</f>
        <v>933</v>
      </c>
      <c r="L327" s="7" t="n">
        <f aca="false">IF(AND(K327=0,c_TCREEP&gt;0),10*c_TCREEP,IF(AND(K327&lt;=c_TRNGMIN,K327&gt;=c_TRNGMAX,c_TRNGMIN-c_TRNGMAX&lt;&gt;0),-10*c_TMINRN+QUOTIENT((c_TMAXRN-c_TMINRN)*(100-QUOTIENT((K327-c_TRNGMAX)*100,c_TRNGMIN-c_TRNGMAX)),-10),0))</f>
        <v>0</v>
      </c>
      <c r="M327" s="7" t="n">
        <f aca="false">IF(((c_TMAP1IN)-(c_TFWD))=0,(0)+QUOTIENT(((c_TMAP1OUT)-(0)),2),QUOTIENT((((K327)-(c_TFWD))*((c_TMAP1OUT)-(0))+IF(((c_TMAP1OUT)-(0))&gt;=0,1,-1)*QUOTIENT(((c_TMAP1IN)-(c_TFWD)),2)),((c_TMAP1IN)-(c_TFWD)))+(0)+IF(((c_TMAP1OUT)-(0))&gt;=0,IF(IF(o_WRAP=1,MOD(((c_TMAP1IN)-(c_TFWD))*(((K327)-(c_TFWD))*((c_TMAP1OUT)-(0))+IF(((c_TMAP1OUT)-(0))&gt;=0,1,-1)*QUOTIENT(((c_TMAP1IN)-(c_TFWD)),2))+2147483648,4294967296)-2147483648,((c_TMAP1IN)-(c_TFWD))*(((K327)-(c_TFWD))*((c_TMAP1OUT)-(0))+IF(((c_TMAP1OUT)-(0))&gt;=0,1,-1)*QUOTIENT(((c_TMAP1IN)-(c_TFWD)),2)))&lt;0,-1,0),IF(IF(o_WRAP=1,MOD(((c_TMAP1IN)-(c_TFWD))*(((K327)-(c_TFWD))*((c_TMAP1OUT)-(0))+IF(((c_TMAP1OUT)-(0))&gt;=0,1,-1)*QUOTIENT(((c_TMAP1IN)-(c_TFWD)),2))+2147483648,4294967296)-2147483648,((c_TMAP1IN)-(c_TFWD))*(((K327)-(c_TFWD))*((c_TMAP1OUT)-(0))+IF(((c_TMAP1OUT)-(0))&gt;=0,1,-1)*QUOTIENT(((c_TMAP1IN)-(c_TFWD)),2)))&gt;=0,1,0)))</f>
        <v>718</v>
      </c>
      <c r="N327" s="7" t="n">
        <f aca="false">IF(((c_TMAP2IN)-(c_TMAP1IN))=0,(c_TMAP1OUT)+QUOTIENT(((c_TMAP2OUT)-(c_TMAP1OUT)),2),QUOTIENT((((K327)-(c_TMAP1IN))*((c_TMAP2OUT)-(c_TMAP1OUT))+IF(((c_TMAP2OUT)-(c_TMAP1OUT))&gt;=0,1,-1)*QUOTIENT(((c_TMAP2IN)-(c_TMAP1IN)),2)),((c_TMAP2IN)-(c_TMAP1IN)))+(c_TMAP1OUT)+IF(((c_TMAP2OUT)-(c_TMAP1OUT))&gt;=0,IF(IF(o_WRAP=1,MOD(((c_TMAP2IN)-(c_TMAP1IN))*(((K327)-(c_TMAP1IN))*((c_TMAP2OUT)-(c_TMAP1OUT))+IF(((c_TMAP2OUT)-(c_TMAP1OUT))&gt;=0,1,-1)*QUOTIENT(((c_TMAP2IN)-(c_TMAP1IN)),2))+2147483648,4294967296)-2147483648,((c_TMAP2IN)-(c_TMAP1IN))*(((K327)-(c_TMAP1IN))*((c_TMAP2OUT)-(c_TMAP1OUT))+IF(((c_TMAP2OUT)-(c_TMAP1OUT))&gt;=0,1,-1)*QUOTIENT(((c_TMAP2IN)-(c_TMAP1IN)),2)))&lt;0,-1,0),IF(IF(o_WRAP=1,MOD(((c_TMAP2IN)-(c_TMAP1IN))*(((K327)-(c_TMAP1IN))*((c_TMAP2OUT)-(c_TMAP1OUT))+IF(((c_TMAP2OUT)-(c_TMAP1OUT))&gt;=0,1,-1)*QUOTIENT(((c_TMAP2IN)-(c_TMAP1IN)),2))+2147483648,4294967296)-2147483648,((c_TMAP2IN)-(c_TMAP1IN))*(((K327)-(c_TMAP1IN))*((c_TMAP2OUT)-(c_TMAP1OUT))+IF(((c_TMAP2OUT)-(c_TMAP1OUT))&gt;=0,1,-1)*QUOTIENT(((c_TMAP2IN)-(c_TMAP1IN)),2)))&gt;=0,1,0)))</f>
        <v>403</v>
      </c>
      <c r="O327" s="7" t="n">
        <f aca="false">IF(((c_TMAP3IN)-(c_TMAP2IN))=0,(c_TMAP2OUT)+QUOTIENT(((c_TMAP3OUT)-(c_TMAP2OUT)),2),QUOTIENT((((K327)-(c_TMAP2IN))*((c_TMAP3OUT)-(c_TMAP2OUT))+IF(((c_TMAP3OUT)-(c_TMAP2OUT))&gt;=0,1,-1)*QUOTIENT(((c_TMAP3IN)-(c_TMAP2IN)),2)),((c_TMAP3IN)-(c_TMAP2IN)))+(c_TMAP2OUT)+IF(((c_TMAP3OUT)-(c_TMAP2OUT))&gt;=0,IF(IF(o_WRAP=1,MOD(((c_TMAP3IN)-(c_TMAP2IN))*(((K327)-(c_TMAP2IN))*((c_TMAP3OUT)-(c_TMAP2OUT))+IF(((c_TMAP3OUT)-(c_TMAP2OUT))&gt;=0,1,-1)*QUOTIENT(((c_TMAP3IN)-(c_TMAP2IN)),2))+2147483648,4294967296)-2147483648,((c_TMAP3IN)-(c_TMAP2IN))*(((K327)-(c_TMAP2IN))*((c_TMAP3OUT)-(c_TMAP2OUT))+IF(((c_TMAP3OUT)-(c_TMAP2OUT))&gt;=0,1,-1)*QUOTIENT(((c_TMAP3IN)-(c_TMAP2IN)),2)))&lt;0,-1,0),IF(IF(o_WRAP=1,MOD(((c_TMAP3IN)-(c_TMAP2IN))*(((K327)-(c_TMAP2IN))*((c_TMAP3OUT)-(c_TMAP2OUT))+IF(((c_TMAP3OUT)-(c_TMAP2OUT))&gt;=0,1,-1)*QUOTIENT(((c_TMAP3IN)-(c_TMAP2IN)),2))+2147483648,4294967296)-2147483648,((c_TMAP3IN)-(c_TMAP2IN))*(((K327)-(c_TMAP2IN))*((c_TMAP3OUT)-(c_TMAP2OUT))+IF(((c_TMAP3OUT)-(c_TMAP2OUT))&gt;=0,1,-1)*QUOTIENT(((c_TMAP3IN)-(c_TMAP2IN)),2)))&gt;=0,1,0)))</f>
        <v>608</v>
      </c>
      <c r="P327" s="7" t="n">
        <f aca="false">IF(((1000)-(c_TMAP3IN))=0,(c_TMAP3OUT)+QUOTIENT(((1000)-(c_TMAP3OUT)),2),QUOTIENT((((K327)-(c_TMAP3IN))*((1000)-(c_TMAP3OUT))+IF(((1000)-(c_TMAP3OUT))&gt;=0,1,-1)*QUOTIENT(((1000)-(c_TMAP3IN)),2)),((1000)-(c_TMAP3IN)))+(c_TMAP3OUT)+IF(((1000)-(c_TMAP3OUT))&gt;=0,IF(IF(o_WRAP=1,MOD(((1000)-(c_TMAP3IN))*(((K327)-(c_TMAP3IN))*((1000)-(c_TMAP3OUT))+IF(((1000)-(c_TMAP3OUT))&gt;=0,1,-1)*QUOTIENT(((1000)-(c_TMAP3IN)),2))+2147483648,4294967296)-2147483648,((1000)-(c_TMAP3IN))*(((K327)-(c_TMAP3IN))*((1000)-(c_TMAP3OUT))+IF(((1000)-(c_TMAP3OUT))&gt;=0,1,-1)*QUOTIENT(((1000)-(c_TMAP3IN)),2)))&lt;0,-1,0),IF(IF(o_WRAP=1,MOD(((1000)-(c_TMAP3IN))*(((K327)-(c_TMAP3IN))*((1000)-(c_TMAP3OUT))+IF(((1000)-(c_TMAP3OUT))&gt;=0,1,-1)*QUOTIENT(((1000)-(c_TMAP3IN)),2))+2147483648,4294967296)-2147483648,((1000)-(c_TMAP3IN))*(((K327)-(c_TMAP3IN))*((1000)-(c_TMAP3OUT))+IF(((1000)-(c_TMAP3OUT))&gt;=0,1,-1)*QUOTIENT(((1000)-(c_TMAP3IN)),2)))&gt;=0,1,0)))</f>
        <v>918</v>
      </c>
      <c r="Q327" s="7" t="str">
        <f aca="false">IF(K327&gt;=c_TFWD,IF(AND(K327&gt;=c_TMAP3IN,c_TMAP3IN&lt;1000),"Seg4 map3-100%",IF(AND(K327&gt;=c_TMAP2IN,c_TMAP3IN&gt;c_TMAP2IN),"Seg3 map2-map3",IF(AND(K327&gt;=c_TMAP1IN,c_TMAP2IN&gt;c_TMAP1IN),"Seg2 map1-map2","Seg1 TFWD-map1"))),IF(AND(K327=0,c_TCREEP&gt;0),"Creep",IF(AND(K327&lt;=c_TRNGMIN,K327&gt;=c_TRNGMAX,c_TRNGMIN-c_TRNGMAX&lt;&gt;0),"Regen ramp","Coast (0)")))</f>
        <v>Seg4 map3-100%</v>
      </c>
      <c r="R327" s="7" t="n">
        <f aca="false">IF(K327&gt;=c_TFWD,IF(AND(K327&gt;=c_TMAP3IN,c_TMAP3IN&lt;1000),P327,IF(AND(K327&gt;=c_TMAP2IN,c_TMAP3IN&gt;c_TMAP2IN),O327,IF(AND(K327&gt;=c_TMAP1IN,c_TMAP2IN&gt;c_TMAP1IN),N327,M327))),L327)</f>
        <v>918</v>
      </c>
      <c r="S327" s="7" t="str">
        <f aca="false">IF(R327&lt;-1090,"TOO LOW",IF(R327&gt;1090,"TOO HIGH",""))</f>
        <v/>
      </c>
      <c r="T327" s="15" t="n">
        <f aca="false">IF(H327&lt;&gt;"OK",0,IF(S327&lt;&gt;"",0,IF(R327&gt;979,1000,R327)))</f>
        <v>918</v>
      </c>
      <c r="U327" s="7" t="n">
        <f aca="false">T327/10</f>
        <v>91.8</v>
      </c>
    </row>
    <row r="328" customFormat="false" ht="15" hidden="false" customHeight="false" outlineLevel="0" collapsed="false">
      <c r="A328" s="7" t="n">
        <v>323</v>
      </c>
      <c r="B328" s="7" t="n">
        <f aca="false">ROUND(o_SWSTART+A328*(o_SWEND-o_SWSTART)/400,0)</f>
        <v>3307</v>
      </c>
      <c r="C328" s="7" t="n">
        <f aca="false">QUOTIENT((B328-c_OFF1)*c_GAIN1,1024)</f>
        <v>3307</v>
      </c>
      <c r="D328" s="7" t="n">
        <f aca="false">IF(((c_T1MX)-(c_T1MN))=0,(0)+QUOTIENT(((1000)-(0)),2),QUOTIENT((((C328)-(c_T1MN))*((1000)-(0))+IF(((1000)-(0))&gt;=0,1,-1)*QUOTIENT(((c_T1MX)-(c_T1MN)),2)),((c_T1MX)-(c_T1MN)))+(0)+IF(((1000)-(0))&gt;=0,IF(IF(o_WRAP=1,MOD(((c_T1MX)-(c_T1MN))*(((C328)-(c_T1MN))*((1000)-(0))+IF(((1000)-(0))&gt;=0,1,-1)*QUOTIENT(((c_T1MX)-(c_T1MN)),2))+2147483648,4294967296)-2147483648,((c_T1MX)-(c_T1MN))*(((C328)-(c_T1MN))*((1000)-(0))+IF(((1000)-(0))&gt;=0,1,-1)*QUOTIENT(((c_T1MX)-(c_T1MN)),2)))&lt;0,-1,0),IF(IF(o_WRAP=1,MOD(((c_T1MX)-(c_T1MN))*(((C328)-(c_T1MN))*((1000)-(0))+IF(((1000)-(0))&gt;=0,1,-1)*QUOTIENT(((c_T1MX)-(c_T1MN)),2))+2147483648,4294967296)-2147483648,((c_T1MX)-(c_T1MN))*(((C328)-(c_T1MN))*((1000)-(0))+IF(((1000)-(0))&gt;=0,1,-1)*QUOTIENT(((c_T1MX)-(c_T1MN)),2)))&gt;=0,1,0)))</f>
        <v>937</v>
      </c>
      <c r="E328" s="7" t="n">
        <f aca="false">IF(AND(c_TPOT=1,c_TTYPE=2),1000-D328,D328)</f>
        <v>937</v>
      </c>
      <c r="F328" s="7" t="str">
        <f aca="false">IF(c_TPOT&gt;1,ROUND(IF(c_TTYPE=2,c_T2MX-IF(c_T1MX=c_T1MN,0,(C328-c_T1MN)/(c_T1MX-c_T1MN))*(c_T2MX-c_T2MN),c_T2MN+IF(c_T1MX=c_T1MN,0,(C328-c_T1MN)/(c_T1MX-c_T1MN))*(c_T2MX-c_T2MN))+o_MISMATCH,0),"")</f>
        <v/>
      </c>
      <c r="G328" s="7" t="str">
        <f aca="false">IF(c_TPOT&gt;1,IF(((c_T2MX)-(c_T2MN))=0,(0)+QUOTIENT(((1000)-(0)),2),QUOTIENT((((F328)-(c_T2MN))*((1000)-(0))+IF(((1000)-(0))&gt;=0,1,-1)*QUOTIENT(((c_T2MX)-(c_T2MN)),2)),((c_T2MX)-(c_T2MN)))+(0)+IF(((1000)-(0))&gt;=0,IF(IF(o_WRAP=1,MOD(((c_T2MX)-(c_T2MN))*(((F328)-(c_T2MN))*((1000)-(0))+IF(((1000)-(0))&gt;=0,1,-1)*QUOTIENT(((c_T2MX)-(c_T2MN)),2))+2147483648,4294967296)-2147483648,((c_T2MX)-(c_T2MN))*(((F328)-(c_T2MN))*((1000)-(0))+IF(((1000)-(0))&gt;=0,1,-1)*QUOTIENT(((c_T2MX)-(c_T2MN)),2)))&lt;0,-1,0),IF(IF(o_WRAP=1,MOD(((c_T2MX)-(c_T2MN))*(((F328)-(c_T2MN))*((1000)-(0))+IF(((1000)-(0))&gt;=0,1,-1)*QUOTIENT(((c_T2MX)-(c_T2MN)),2))+2147483648,4294967296)-2147483648,((c_T2MX)-(c_T2MN))*(((F328)-(c_T2MN))*((1000)-(0))+IF(((1000)-(0))&gt;=0,1,-1)*QUOTIENT(((c_T2MX)-(c_T2MN)),2)))&gt;=0,1,0))),"")</f>
        <v/>
      </c>
      <c r="H328" s="7" t="str">
        <f aca="false">IF(E328&gt;1000+k_TOL,"T1 HIGH",IF(E328&lt;0-k_TOL,"T1 LOW",IF(c_TPOT&gt;1,IF(G328&gt;1000+k_TOL,"T2 HIGH",IF(G328&lt;0-k_TOL,"T2 LOW",IF(c_TTYPE=2,IF(ABS(1000-MAX(0,MIN(1000,E328))-MAX(0,MIN(1000,G328)))&gt;k_MAXERR,"MISMATCH","OK"),IF(OR(MAX(0,MIN(1000,E328))-k_MAXERR&gt;MAX(0,MIN(1000,G328)),MAX(0,MIN(1000,G328))-k_MAXERR&gt;MAX(0,MIN(1000,E328))),"MISMATCH","OK")))),"OK")))</f>
        <v>OK</v>
      </c>
      <c r="I328" s="7" t="n">
        <f aca="false">MAX(0,MIN(1000,D328))</f>
        <v>937</v>
      </c>
      <c r="J328" s="7" t="str">
        <f aca="false">IF(c_TPOT&gt;1,IF(c_TTYPE=2,1000-MAX(0,MIN(1000,G328)),MAX(0,MIN(1000,G328))),"")</f>
        <v/>
      </c>
      <c r="K328" s="7" t="n">
        <f aca="false">IF(c_TPOT&gt;1,QUOTIENT(I328+J328,2),I328)</f>
        <v>937</v>
      </c>
      <c r="L328" s="7" t="n">
        <f aca="false">IF(AND(K328=0,c_TCREEP&gt;0),10*c_TCREEP,IF(AND(K328&lt;=c_TRNGMIN,K328&gt;=c_TRNGMAX,c_TRNGMIN-c_TRNGMAX&lt;&gt;0),-10*c_TMINRN+QUOTIENT((c_TMAXRN-c_TMINRN)*(100-QUOTIENT((K328-c_TRNGMAX)*100,c_TRNGMIN-c_TRNGMAX)),-10),0))</f>
        <v>0</v>
      </c>
      <c r="M328" s="7" t="n">
        <f aca="false">IF(((c_TMAP1IN)-(c_TFWD))=0,(0)+QUOTIENT(((c_TMAP1OUT)-(0)),2),QUOTIENT((((K328)-(c_TFWD))*((c_TMAP1OUT)-(0))+IF(((c_TMAP1OUT)-(0))&gt;=0,1,-1)*QUOTIENT(((c_TMAP1IN)-(c_TFWD)),2)),((c_TMAP1IN)-(c_TFWD)))+(0)+IF(((c_TMAP1OUT)-(0))&gt;=0,IF(IF(o_WRAP=1,MOD(((c_TMAP1IN)-(c_TFWD))*(((K328)-(c_TFWD))*((c_TMAP1OUT)-(0))+IF(((c_TMAP1OUT)-(0))&gt;=0,1,-1)*QUOTIENT(((c_TMAP1IN)-(c_TFWD)),2))+2147483648,4294967296)-2147483648,((c_TMAP1IN)-(c_TFWD))*(((K328)-(c_TFWD))*((c_TMAP1OUT)-(0))+IF(((c_TMAP1OUT)-(0))&gt;=0,1,-1)*QUOTIENT(((c_TMAP1IN)-(c_TFWD)),2)))&lt;0,-1,0),IF(IF(o_WRAP=1,MOD(((c_TMAP1IN)-(c_TFWD))*(((K328)-(c_TFWD))*((c_TMAP1OUT)-(0))+IF(((c_TMAP1OUT)-(0))&gt;=0,1,-1)*QUOTIENT(((c_TMAP1IN)-(c_TFWD)),2))+2147483648,4294967296)-2147483648,((c_TMAP1IN)-(c_TFWD))*(((K328)-(c_TFWD))*((c_TMAP1OUT)-(0))+IF(((c_TMAP1OUT)-(0))&gt;=0,1,-1)*QUOTIENT(((c_TMAP1IN)-(c_TFWD)),2)))&gt;=0,1,0)))</f>
        <v>721</v>
      </c>
      <c r="N328" s="7" t="n">
        <f aca="false">IF(((c_TMAP2IN)-(c_TMAP1IN))=0,(c_TMAP1OUT)+QUOTIENT(((c_TMAP2OUT)-(c_TMAP1OUT)),2),QUOTIENT((((K328)-(c_TMAP1IN))*((c_TMAP2OUT)-(c_TMAP1OUT))+IF(((c_TMAP2OUT)-(c_TMAP1OUT))&gt;=0,1,-1)*QUOTIENT(((c_TMAP2IN)-(c_TMAP1IN)),2)),((c_TMAP2IN)-(c_TMAP1IN)))+(c_TMAP1OUT)+IF(((c_TMAP2OUT)-(c_TMAP1OUT))&gt;=0,IF(IF(o_WRAP=1,MOD(((c_TMAP2IN)-(c_TMAP1IN))*(((K328)-(c_TMAP1IN))*((c_TMAP2OUT)-(c_TMAP1OUT))+IF(((c_TMAP2OUT)-(c_TMAP1OUT))&gt;=0,1,-1)*QUOTIENT(((c_TMAP2IN)-(c_TMAP1IN)),2))+2147483648,4294967296)-2147483648,((c_TMAP2IN)-(c_TMAP1IN))*(((K328)-(c_TMAP1IN))*((c_TMAP2OUT)-(c_TMAP1OUT))+IF(((c_TMAP2OUT)-(c_TMAP1OUT))&gt;=0,1,-1)*QUOTIENT(((c_TMAP2IN)-(c_TMAP1IN)),2)))&lt;0,-1,0),IF(IF(o_WRAP=1,MOD(((c_TMAP2IN)-(c_TMAP1IN))*(((K328)-(c_TMAP1IN))*((c_TMAP2OUT)-(c_TMAP1OUT))+IF(((c_TMAP2OUT)-(c_TMAP1OUT))&gt;=0,1,-1)*QUOTIENT(((c_TMAP2IN)-(c_TMAP1IN)),2))+2147483648,4294967296)-2147483648,((c_TMAP2IN)-(c_TMAP1IN))*(((K328)-(c_TMAP1IN))*((c_TMAP2OUT)-(c_TMAP1OUT))+IF(((c_TMAP2OUT)-(c_TMAP1OUT))&gt;=0,1,-1)*QUOTIENT(((c_TMAP2IN)-(c_TMAP1IN)),2)))&gt;=0,1,0)))</f>
        <v>405</v>
      </c>
      <c r="O328" s="7" t="n">
        <f aca="false">IF(((c_TMAP3IN)-(c_TMAP2IN))=0,(c_TMAP2OUT)+QUOTIENT(((c_TMAP3OUT)-(c_TMAP2OUT)),2),QUOTIENT((((K328)-(c_TMAP2IN))*((c_TMAP3OUT)-(c_TMAP2OUT))+IF(((c_TMAP3OUT)-(c_TMAP2OUT))&gt;=0,1,-1)*QUOTIENT(((c_TMAP3IN)-(c_TMAP2IN)),2)),((c_TMAP3IN)-(c_TMAP2IN)))+(c_TMAP2OUT)+IF(((c_TMAP3OUT)-(c_TMAP2OUT))&gt;=0,IF(IF(o_WRAP=1,MOD(((c_TMAP3IN)-(c_TMAP2IN))*(((K328)-(c_TMAP2IN))*((c_TMAP3OUT)-(c_TMAP2OUT))+IF(((c_TMAP3OUT)-(c_TMAP2OUT))&gt;=0,1,-1)*QUOTIENT(((c_TMAP3IN)-(c_TMAP2IN)),2))+2147483648,4294967296)-2147483648,((c_TMAP3IN)-(c_TMAP2IN))*(((K328)-(c_TMAP2IN))*((c_TMAP3OUT)-(c_TMAP2OUT))+IF(((c_TMAP3OUT)-(c_TMAP2OUT))&gt;=0,1,-1)*QUOTIENT(((c_TMAP3IN)-(c_TMAP2IN)),2)))&lt;0,-1,0),IF(IF(o_WRAP=1,MOD(((c_TMAP3IN)-(c_TMAP2IN))*(((K328)-(c_TMAP2IN))*((c_TMAP3OUT)-(c_TMAP2OUT))+IF(((c_TMAP3OUT)-(c_TMAP2OUT))&gt;=0,1,-1)*QUOTIENT(((c_TMAP3IN)-(c_TMAP2IN)),2))+2147483648,4294967296)-2147483648,((c_TMAP3IN)-(c_TMAP2IN))*(((K328)-(c_TMAP2IN))*((c_TMAP3OUT)-(c_TMAP2OUT))+IF(((c_TMAP3OUT)-(c_TMAP2OUT))&gt;=0,1,-1)*QUOTIENT(((c_TMAP3IN)-(c_TMAP2IN)),2)))&gt;=0,1,0)))</f>
        <v>611</v>
      </c>
      <c r="P328" s="7" t="n">
        <f aca="false">IF(((1000)-(c_TMAP3IN))=0,(c_TMAP3OUT)+QUOTIENT(((1000)-(c_TMAP3OUT)),2),QUOTIENT((((K328)-(c_TMAP3IN))*((1000)-(c_TMAP3OUT))+IF(((1000)-(c_TMAP3OUT))&gt;=0,1,-1)*QUOTIENT(((1000)-(c_TMAP3IN)),2)),((1000)-(c_TMAP3IN)))+(c_TMAP3OUT)+IF(((1000)-(c_TMAP3OUT))&gt;=0,IF(IF(o_WRAP=1,MOD(((1000)-(c_TMAP3IN))*(((K328)-(c_TMAP3IN))*((1000)-(c_TMAP3OUT))+IF(((1000)-(c_TMAP3OUT))&gt;=0,1,-1)*QUOTIENT(((1000)-(c_TMAP3IN)),2))+2147483648,4294967296)-2147483648,((1000)-(c_TMAP3IN))*(((K328)-(c_TMAP3IN))*((1000)-(c_TMAP3OUT))+IF(((1000)-(c_TMAP3OUT))&gt;=0,1,-1)*QUOTIENT(((1000)-(c_TMAP3IN)),2)))&lt;0,-1,0),IF(IF(o_WRAP=1,MOD(((1000)-(c_TMAP3IN))*(((K328)-(c_TMAP3IN))*((1000)-(c_TMAP3OUT))+IF(((1000)-(c_TMAP3OUT))&gt;=0,1,-1)*QUOTIENT(((1000)-(c_TMAP3IN)),2))+2147483648,4294967296)-2147483648,((1000)-(c_TMAP3IN))*(((K328)-(c_TMAP3IN))*((1000)-(c_TMAP3OUT))+IF(((1000)-(c_TMAP3OUT))&gt;=0,1,-1)*QUOTIENT(((1000)-(c_TMAP3IN)),2)))&gt;=0,1,0)))</f>
        <v>922</v>
      </c>
      <c r="Q328" s="7" t="str">
        <f aca="false">IF(K328&gt;=c_TFWD,IF(AND(K328&gt;=c_TMAP3IN,c_TMAP3IN&lt;1000),"Seg4 map3-100%",IF(AND(K328&gt;=c_TMAP2IN,c_TMAP3IN&gt;c_TMAP2IN),"Seg3 map2-map3",IF(AND(K328&gt;=c_TMAP1IN,c_TMAP2IN&gt;c_TMAP1IN),"Seg2 map1-map2","Seg1 TFWD-map1"))),IF(AND(K328=0,c_TCREEP&gt;0),"Creep",IF(AND(K328&lt;=c_TRNGMIN,K328&gt;=c_TRNGMAX,c_TRNGMIN-c_TRNGMAX&lt;&gt;0),"Regen ramp","Coast (0)")))</f>
        <v>Seg4 map3-100%</v>
      </c>
      <c r="R328" s="7" t="n">
        <f aca="false">IF(K328&gt;=c_TFWD,IF(AND(K328&gt;=c_TMAP3IN,c_TMAP3IN&lt;1000),P328,IF(AND(K328&gt;=c_TMAP2IN,c_TMAP3IN&gt;c_TMAP2IN),O328,IF(AND(K328&gt;=c_TMAP1IN,c_TMAP2IN&gt;c_TMAP1IN),N328,M328))),L328)</f>
        <v>922</v>
      </c>
      <c r="S328" s="7" t="str">
        <f aca="false">IF(R328&lt;-1090,"TOO LOW",IF(R328&gt;1090,"TOO HIGH",""))</f>
        <v/>
      </c>
      <c r="T328" s="15" t="n">
        <f aca="false">IF(H328&lt;&gt;"OK",0,IF(S328&lt;&gt;"",0,IF(R328&gt;979,1000,R328)))</f>
        <v>922</v>
      </c>
      <c r="U328" s="7" t="n">
        <f aca="false">T328/10</f>
        <v>92.2</v>
      </c>
    </row>
    <row r="329" customFormat="false" ht="15" hidden="false" customHeight="false" outlineLevel="0" collapsed="false">
      <c r="A329" s="7" t="n">
        <v>324</v>
      </c>
      <c r="B329" s="7" t="n">
        <f aca="false">ROUND(o_SWSTART+A329*(o_SWEND-o_SWSTART)/400,0)</f>
        <v>3317</v>
      </c>
      <c r="C329" s="7" t="n">
        <f aca="false">QUOTIENT((B329-c_OFF1)*c_GAIN1,1024)</f>
        <v>3317</v>
      </c>
      <c r="D329" s="7" t="n">
        <f aca="false">IF(((c_T1MX)-(c_T1MN))=0,(0)+QUOTIENT(((1000)-(0)),2),QUOTIENT((((C329)-(c_T1MN))*((1000)-(0))+IF(((1000)-(0))&gt;=0,1,-1)*QUOTIENT(((c_T1MX)-(c_T1MN)),2)),((c_T1MX)-(c_T1MN)))+(0)+IF(((1000)-(0))&gt;=0,IF(IF(o_WRAP=1,MOD(((c_T1MX)-(c_T1MN))*(((C329)-(c_T1MN))*((1000)-(0))+IF(((1000)-(0))&gt;=0,1,-1)*QUOTIENT(((c_T1MX)-(c_T1MN)),2))+2147483648,4294967296)-2147483648,((c_T1MX)-(c_T1MN))*(((C329)-(c_T1MN))*((1000)-(0))+IF(((1000)-(0))&gt;=0,1,-1)*QUOTIENT(((c_T1MX)-(c_T1MN)),2)))&lt;0,-1,0),IF(IF(o_WRAP=1,MOD(((c_T1MX)-(c_T1MN))*(((C329)-(c_T1MN))*((1000)-(0))+IF(((1000)-(0))&gt;=0,1,-1)*QUOTIENT(((c_T1MX)-(c_T1MN)),2))+2147483648,4294967296)-2147483648,((c_T1MX)-(c_T1MN))*(((C329)-(c_T1MN))*((1000)-(0))+IF(((1000)-(0))&gt;=0,1,-1)*QUOTIENT(((c_T1MX)-(c_T1MN)),2)))&gt;=0,1,0)))</f>
        <v>941</v>
      </c>
      <c r="E329" s="7" t="n">
        <f aca="false">IF(AND(c_TPOT=1,c_TTYPE=2),1000-D329,D329)</f>
        <v>941</v>
      </c>
      <c r="F329" s="7" t="str">
        <f aca="false">IF(c_TPOT&gt;1,ROUND(IF(c_TTYPE=2,c_T2MX-IF(c_T1MX=c_T1MN,0,(C329-c_T1MN)/(c_T1MX-c_T1MN))*(c_T2MX-c_T2MN),c_T2MN+IF(c_T1MX=c_T1MN,0,(C329-c_T1MN)/(c_T1MX-c_T1MN))*(c_T2MX-c_T2MN))+o_MISMATCH,0),"")</f>
        <v/>
      </c>
      <c r="G329" s="7" t="str">
        <f aca="false">IF(c_TPOT&gt;1,IF(((c_T2MX)-(c_T2MN))=0,(0)+QUOTIENT(((1000)-(0)),2),QUOTIENT((((F329)-(c_T2MN))*((1000)-(0))+IF(((1000)-(0))&gt;=0,1,-1)*QUOTIENT(((c_T2MX)-(c_T2MN)),2)),((c_T2MX)-(c_T2MN)))+(0)+IF(((1000)-(0))&gt;=0,IF(IF(o_WRAP=1,MOD(((c_T2MX)-(c_T2MN))*(((F329)-(c_T2MN))*((1000)-(0))+IF(((1000)-(0))&gt;=0,1,-1)*QUOTIENT(((c_T2MX)-(c_T2MN)),2))+2147483648,4294967296)-2147483648,((c_T2MX)-(c_T2MN))*(((F329)-(c_T2MN))*((1000)-(0))+IF(((1000)-(0))&gt;=0,1,-1)*QUOTIENT(((c_T2MX)-(c_T2MN)),2)))&lt;0,-1,0),IF(IF(o_WRAP=1,MOD(((c_T2MX)-(c_T2MN))*(((F329)-(c_T2MN))*((1000)-(0))+IF(((1000)-(0))&gt;=0,1,-1)*QUOTIENT(((c_T2MX)-(c_T2MN)),2))+2147483648,4294967296)-2147483648,((c_T2MX)-(c_T2MN))*(((F329)-(c_T2MN))*((1000)-(0))+IF(((1000)-(0))&gt;=0,1,-1)*QUOTIENT(((c_T2MX)-(c_T2MN)),2)))&gt;=0,1,0))),"")</f>
        <v/>
      </c>
      <c r="H329" s="7" t="str">
        <f aca="false">IF(E329&gt;1000+k_TOL,"T1 HIGH",IF(E329&lt;0-k_TOL,"T1 LOW",IF(c_TPOT&gt;1,IF(G329&gt;1000+k_TOL,"T2 HIGH",IF(G329&lt;0-k_TOL,"T2 LOW",IF(c_TTYPE=2,IF(ABS(1000-MAX(0,MIN(1000,E329))-MAX(0,MIN(1000,G329)))&gt;k_MAXERR,"MISMATCH","OK"),IF(OR(MAX(0,MIN(1000,E329))-k_MAXERR&gt;MAX(0,MIN(1000,G329)),MAX(0,MIN(1000,G329))-k_MAXERR&gt;MAX(0,MIN(1000,E329))),"MISMATCH","OK")))),"OK")))</f>
        <v>OK</v>
      </c>
      <c r="I329" s="7" t="n">
        <f aca="false">MAX(0,MIN(1000,D329))</f>
        <v>941</v>
      </c>
      <c r="J329" s="7" t="str">
        <f aca="false">IF(c_TPOT&gt;1,IF(c_TTYPE=2,1000-MAX(0,MIN(1000,G329)),MAX(0,MIN(1000,G329))),"")</f>
        <v/>
      </c>
      <c r="K329" s="7" t="n">
        <f aca="false">IF(c_TPOT&gt;1,QUOTIENT(I329+J329,2),I329)</f>
        <v>941</v>
      </c>
      <c r="L329" s="7" t="n">
        <f aca="false">IF(AND(K329=0,c_TCREEP&gt;0),10*c_TCREEP,IF(AND(K329&lt;=c_TRNGMIN,K329&gt;=c_TRNGMAX,c_TRNGMIN-c_TRNGMAX&lt;&gt;0),-10*c_TMINRN+QUOTIENT((c_TMAXRN-c_TMINRN)*(100-QUOTIENT((K329-c_TRNGMAX)*100,c_TRNGMIN-c_TRNGMAX)),-10),0))</f>
        <v>0</v>
      </c>
      <c r="M329" s="7" t="n">
        <f aca="false">IF(((c_TMAP1IN)-(c_TFWD))=0,(0)+QUOTIENT(((c_TMAP1OUT)-(0)),2),QUOTIENT((((K329)-(c_TFWD))*((c_TMAP1OUT)-(0))+IF(((c_TMAP1OUT)-(0))&gt;=0,1,-1)*QUOTIENT(((c_TMAP1IN)-(c_TFWD)),2)),((c_TMAP1IN)-(c_TFWD)))+(0)+IF(((c_TMAP1OUT)-(0))&gt;=0,IF(IF(o_WRAP=1,MOD(((c_TMAP1IN)-(c_TFWD))*(((K329)-(c_TFWD))*((c_TMAP1OUT)-(0))+IF(((c_TMAP1OUT)-(0))&gt;=0,1,-1)*QUOTIENT(((c_TMAP1IN)-(c_TFWD)),2))+2147483648,4294967296)-2147483648,((c_TMAP1IN)-(c_TFWD))*(((K329)-(c_TFWD))*((c_TMAP1OUT)-(0))+IF(((c_TMAP1OUT)-(0))&gt;=0,1,-1)*QUOTIENT(((c_TMAP1IN)-(c_TFWD)),2)))&lt;0,-1,0),IF(IF(o_WRAP=1,MOD(((c_TMAP1IN)-(c_TFWD))*(((K329)-(c_TFWD))*((c_TMAP1OUT)-(0))+IF(((c_TMAP1OUT)-(0))&gt;=0,1,-1)*QUOTIENT(((c_TMAP1IN)-(c_TFWD)),2))+2147483648,4294967296)-2147483648,((c_TMAP1IN)-(c_TFWD))*(((K329)-(c_TFWD))*((c_TMAP1OUT)-(0))+IF(((c_TMAP1OUT)-(0))&gt;=0,1,-1)*QUOTIENT(((c_TMAP1IN)-(c_TFWD)),2)))&gt;=0,1,0)))</f>
        <v>724</v>
      </c>
      <c r="N329" s="7" t="n">
        <f aca="false">IF(((c_TMAP2IN)-(c_TMAP1IN))=0,(c_TMAP1OUT)+QUOTIENT(((c_TMAP2OUT)-(c_TMAP1OUT)),2),QUOTIENT((((K329)-(c_TMAP1IN))*((c_TMAP2OUT)-(c_TMAP1OUT))+IF(((c_TMAP2OUT)-(c_TMAP1OUT))&gt;=0,1,-1)*QUOTIENT(((c_TMAP2IN)-(c_TMAP1IN)),2)),((c_TMAP2IN)-(c_TMAP1IN)))+(c_TMAP1OUT)+IF(((c_TMAP2OUT)-(c_TMAP1OUT))&gt;=0,IF(IF(o_WRAP=1,MOD(((c_TMAP2IN)-(c_TMAP1IN))*(((K329)-(c_TMAP1IN))*((c_TMAP2OUT)-(c_TMAP1OUT))+IF(((c_TMAP2OUT)-(c_TMAP1OUT))&gt;=0,1,-1)*QUOTIENT(((c_TMAP2IN)-(c_TMAP1IN)),2))+2147483648,4294967296)-2147483648,((c_TMAP2IN)-(c_TMAP1IN))*(((K329)-(c_TMAP1IN))*((c_TMAP2OUT)-(c_TMAP1OUT))+IF(((c_TMAP2OUT)-(c_TMAP1OUT))&gt;=0,1,-1)*QUOTIENT(((c_TMAP2IN)-(c_TMAP1IN)),2)))&lt;0,-1,0),IF(IF(o_WRAP=1,MOD(((c_TMAP2IN)-(c_TMAP1IN))*(((K329)-(c_TMAP1IN))*((c_TMAP2OUT)-(c_TMAP1OUT))+IF(((c_TMAP2OUT)-(c_TMAP1OUT))&gt;=0,1,-1)*QUOTIENT(((c_TMAP2IN)-(c_TMAP1IN)),2))+2147483648,4294967296)-2147483648,((c_TMAP2IN)-(c_TMAP1IN))*(((K329)-(c_TMAP1IN))*((c_TMAP2OUT)-(c_TMAP1OUT))+IF(((c_TMAP2OUT)-(c_TMAP1OUT))&gt;=0,1,-1)*QUOTIENT(((c_TMAP2IN)-(c_TMAP1IN)),2)))&gt;=0,1,0)))</f>
        <v>406</v>
      </c>
      <c r="O329" s="7" t="n">
        <f aca="false">IF(((c_TMAP3IN)-(c_TMAP2IN))=0,(c_TMAP2OUT)+QUOTIENT(((c_TMAP3OUT)-(c_TMAP2OUT)),2),QUOTIENT((((K329)-(c_TMAP2IN))*((c_TMAP3OUT)-(c_TMAP2OUT))+IF(((c_TMAP3OUT)-(c_TMAP2OUT))&gt;=0,1,-1)*QUOTIENT(((c_TMAP3IN)-(c_TMAP2IN)),2)),((c_TMAP3IN)-(c_TMAP2IN)))+(c_TMAP2OUT)+IF(((c_TMAP3OUT)-(c_TMAP2OUT))&gt;=0,IF(IF(o_WRAP=1,MOD(((c_TMAP3IN)-(c_TMAP2IN))*(((K329)-(c_TMAP2IN))*((c_TMAP3OUT)-(c_TMAP2OUT))+IF(((c_TMAP3OUT)-(c_TMAP2OUT))&gt;=0,1,-1)*QUOTIENT(((c_TMAP3IN)-(c_TMAP2IN)),2))+2147483648,4294967296)-2147483648,((c_TMAP3IN)-(c_TMAP2IN))*(((K329)-(c_TMAP2IN))*((c_TMAP3OUT)-(c_TMAP2OUT))+IF(((c_TMAP3OUT)-(c_TMAP2OUT))&gt;=0,1,-1)*QUOTIENT(((c_TMAP3IN)-(c_TMAP2IN)),2)))&lt;0,-1,0),IF(IF(o_WRAP=1,MOD(((c_TMAP3IN)-(c_TMAP2IN))*(((K329)-(c_TMAP2IN))*((c_TMAP3OUT)-(c_TMAP2OUT))+IF(((c_TMAP3OUT)-(c_TMAP2OUT))&gt;=0,1,-1)*QUOTIENT(((c_TMAP3IN)-(c_TMAP2IN)),2))+2147483648,4294967296)-2147483648,((c_TMAP3IN)-(c_TMAP2IN))*(((K329)-(c_TMAP2IN))*((c_TMAP3OUT)-(c_TMAP2OUT))+IF(((c_TMAP3OUT)-(c_TMAP2OUT))&gt;=0,1,-1)*QUOTIENT(((c_TMAP3IN)-(c_TMAP2IN)),2)))&gt;=0,1,0)))</f>
        <v>614</v>
      </c>
      <c r="P329" s="7" t="n">
        <f aca="false">IF(((1000)-(c_TMAP3IN))=0,(c_TMAP3OUT)+QUOTIENT(((1000)-(c_TMAP3OUT)),2),QUOTIENT((((K329)-(c_TMAP3IN))*((1000)-(c_TMAP3OUT))+IF(((1000)-(c_TMAP3OUT))&gt;=0,1,-1)*QUOTIENT(((1000)-(c_TMAP3IN)),2)),((1000)-(c_TMAP3IN)))+(c_TMAP3OUT)+IF(((1000)-(c_TMAP3OUT))&gt;=0,IF(IF(o_WRAP=1,MOD(((1000)-(c_TMAP3IN))*(((K329)-(c_TMAP3IN))*((1000)-(c_TMAP3OUT))+IF(((1000)-(c_TMAP3OUT))&gt;=0,1,-1)*QUOTIENT(((1000)-(c_TMAP3IN)),2))+2147483648,4294967296)-2147483648,((1000)-(c_TMAP3IN))*(((K329)-(c_TMAP3IN))*((1000)-(c_TMAP3OUT))+IF(((1000)-(c_TMAP3OUT))&gt;=0,1,-1)*QUOTIENT(((1000)-(c_TMAP3IN)),2)))&lt;0,-1,0),IF(IF(o_WRAP=1,MOD(((1000)-(c_TMAP3IN))*(((K329)-(c_TMAP3IN))*((1000)-(c_TMAP3OUT))+IF(((1000)-(c_TMAP3OUT))&gt;=0,1,-1)*QUOTIENT(((1000)-(c_TMAP3IN)),2))+2147483648,4294967296)-2147483648,((1000)-(c_TMAP3IN))*(((K329)-(c_TMAP3IN))*((1000)-(c_TMAP3OUT))+IF(((1000)-(c_TMAP3OUT))&gt;=0,1,-1)*QUOTIENT(((1000)-(c_TMAP3IN)),2)))&gt;=0,1,0)))</f>
        <v>927</v>
      </c>
      <c r="Q329" s="7" t="str">
        <f aca="false">IF(K329&gt;=c_TFWD,IF(AND(K329&gt;=c_TMAP3IN,c_TMAP3IN&lt;1000),"Seg4 map3-100%",IF(AND(K329&gt;=c_TMAP2IN,c_TMAP3IN&gt;c_TMAP2IN),"Seg3 map2-map3",IF(AND(K329&gt;=c_TMAP1IN,c_TMAP2IN&gt;c_TMAP1IN),"Seg2 map1-map2","Seg1 TFWD-map1"))),IF(AND(K329=0,c_TCREEP&gt;0),"Creep",IF(AND(K329&lt;=c_TRNGMIN,K329&gt;=c_TRNGMAX,c_TRNGMIN-c_TRNGMAX&lt;&gt;0),"Regen ramp","Coast (0)")))</f>
        <v>Seg4 map3-100%</v>
      </c>
      <c r="R329" s="7" t="n">
        <f aca="false">IF(K329&gt;=c_TFWD,IF(AND(K329&gt;=c_TMAP3IN,c_TMAP3IN&lt;1000),P329,IF(AND(K329&gt;=c_TMAP2IN,c_TMAP3IN&gt;c_TMAP2IN),O329,IF(AND(K329&gt;=c_TMAP1IN,c_TMAP2IN&gt;c_TMAP1IN),N329,M329))),L329)</f>
        <v>927</v>
      </c>
      <c r="S329" s="7" t="str">
        <f aca="false">IF(R329&lt;-1090,"TOO LOW",IF(R329&gt;1090,"TOO HIGH",""))</f>
        <v/>
      </c>
      <c r="T329" s="15" t="n">
        <f aca="false">IF(H329&lt;&gt;"OK",0,IF(S329&lt;&gt;"",0,IF(R329&gt;979,1000,R329)))</f>
        <v>927</v>
      </c>
      <c r="U329" s="7" t="n">
        <f aca="false">T329/10</f>
        <v>92.7</v>
      </c>
    </row>
    <row r="330" customFormat="false" ht="15" hidden="false" customHeight="false" outlineLevel="0" collapsed="false">
      <c r="A330" s="7" t="n">
        <v>325</v>
      </c>
      <c r="B330" s="7" t="n">
        <f aca="false">ROUND(o_SWSTART+A330*(o_SWEND-o_SWSTART)/400,0)</f>
        <v>3327</v>
      </c>
      <c r="C330" s="7" t="n">
        <f aca="false">QUOTIENT((B330-c_OFF1)*c_GAIN1,1024)</f>
        <v>3327</v>
      </c>
      <c r="D330" s="7" t="n">
        <f aca="false">IF(((c_T1MX)-(c_T1MN))=0,(0)+QUOTIENT(((1000)-(0)),2),QUOTIENT((((C330)-(c_T1MN))*((1000)-(0))+IF(((1000)-(0))&gt;=0,1,-1)*QUOTIENT(((c_T1MX)-(c_T1MN)),2)),((c_T1MX)-(c_T1MN)))+(0)+IF(((1000)-(0))&gt;=0,IF(IF(o_WRAP=1,MOD(((c_T1MX)-(c_T1MN))*(((C330)-(c_T1MN))*((1000)-(0))+IF(((1000)-(0))&gt;=0,1,-1)*QUOTIENT(((c_T1MX)-(c_T1MN)),2))+2147483648,4294967296)-2147483648,((c_T1MX)-(c_T1MN))*(((C330)-(c_T1MN))*((1000)-(0))+IF(((1000)-(0))&gt;=0,1,-1)*QUOTIENT(((c_T1MX)-(c_T1MN)),2)))&lt;0,-1,0),IF(IF(o_WRAP=1,MOD(((c_T1MX)-(c_T1MN))*(((C330)-(c_T1MN))*((1000)-(0))+IF(((1000)-(0))&gt;=0,1,-1)*QUOTIENT(((c_T1MX)-(c_T1MN)),2))+2147483648,4294967296)-2147483648,((c_T1MX)-(c_T1MN))*(((C330)-(c_T1MN))*((1000)-(0))+IF(((1000)-(0))&gt;=0,1,-1)*QUOTIENT(((c_T1MX)-(c_T1MN)),2)))&gt;=0,1,0)))</f>
        <v>944</v>
      </c>
      <c r="E330" s="7" t="n">
        <f aca="false">IF(AND(c_TPOT=1,c_TTYPE=2),1000-D330,D330)</f>
        <v>944</v>
      </c>
      <c r="F330" s="7" t="str">
        <f aca="false">IF(c_TPOT&gt;1,ROUND(IF(c_TTYPE=2,c_T2MX-IF(c_T1MX=c_T1MN,0,(C330-c_T1MN)/(c_T1MX-c_T1MN))*(c_T2MX-c_T2MN),c_T2MN+IF(c_T1MX=c_T1MN,0,(C330-c_T1MN)/(c_T1MX-c_T1MN))*(c_T2MX-c_T2MN))+o_MISMATCH,0),"")</f>
        <v/>
      </c>
      <c r="G330" s="7" t="str">
        <f aca="false">IF(c_TPOT&gt;1,IF(((c_T2MX)-(c_T2MN))=0,(0)+QUOTIENT(((1000)-(0)),2),QUOTIENT((((F330)-(c_T2MN))*((1000)-(0))+IF(((1000)-(0))&gt;=0,1,-1)*QUOTIENT(((c_T2MX)-(c_T2MN)),2)),((c_T2MX)-(c_T2MN)))+(0)+IF(((1000)-(0))&gt;=0,IF(IF(o_WRAP=1,MOD(((c_T2MX)-(c_T2MN))*(((F330)-(c_T2MN))*((1000)-(0))+IF(((1000)-(0))&gt;=0,1,-1)*QUOTIENT(((c_T2MX)-(c_T2MN)),2))+2147483648,4294967296)-2147483648,((c_T2MX)-(c_T2MN))*(((F330)-(c_T2MN))*((1000)-(0))+IF(((1000)-(0))&gt;=0,1,-1)*QUOTIENT(((c_T2MX)-(c_T2MN)),2)))&lt;0,-1,0),IF(IF(o_WRAP=1,MOD(((c_T2MX)-(c_T2MN))*(((F330)-(c_T2MN))*((1000)-(0))+IF(((1000)-(0))&gt;=0,1,-1)*QUOTIENT(((c_T2MX)-(c_T2MN)),2))+2147483648,4294967296)-2147483648,((c_T2MX)-(c_T2MN))*(((F330)-(c_T2MN))*((1000)-(0))+IF(((1000)-(0))&gt;=0,1,-1)*QUOTIENT(((c_T2MX)-(c_T2MN)),2)))&gt;=0,1,0))),"")</f>
        <v/>
      </c>
      <c r="H330" s="7" t="str">
        <f aca="false">IF(E330&gt;1000+k_TOL,"T1 HIGH",IF(E330&lt;0-k_TOL,"T1 LOW",IF(c_TPOT&gt;1,IF(G330&gt;1000+k_TOL,"T2 HIGH",IF(G330&lt;0-k_TOL,"T2 LOW",IF(c_TTYPE=2,IF(ABS(1000-MAX(0,MIN(1000,E330))-MAX(0,MIN(1000,G330)))&gt;k_MAXERR,"MISMATCH","OK"),IF(OR(MAX(0,MIN(1000,E330))-k_MAXERR&gt;MAX(0,MIN(1000,G330)),MAX(0,MIN(1000,G330))-k_MAXERR&gt;MAX(0,MIN(1000,E330))),"MISMATCH","OK")))),"OK")))</f>
        <v>OK</v>
      </c>
      <c r="I330" s="7" t="n">
        <f aca="false">MAX(0,MIN(1000,D330))</f>
        <v>944</v>
      </c>
      <c r="J330" s="7" t="str">
        <f aca="false">IF(c_TPOT&gt;1,IF(c_TTYPE=2,1000-MAX(0,MIN(1000,G330)),MAX(0,MIN(1000,G330))),"")</f>
        <v/>
      </c>
      <c r="K330" s="7" t="n">
        <f aca="false">IF(c_TPOT&gt;1,QUOTIENT(I330+J330,2),I330)</f>
        <v>944</v>
      </c>
      <c r="L330" s="7" t="n">
        <f aca="false">IF(AND(K330=0,c_TCREEP&gt;0),10*c_TCREEP,IF(AND(K330&lt;=c_TRNGMIN,K330&gt;=c_TRNGMAX,c_TRNGMIN-c_TRNGMAX&lt;&gt;0),-10*c_TMINRN+QUOTIENT((c_TMAXRN-c_TMINRN)*(100-QUOTIENT((K330-c_TRNGMAX)*100,c_TRNGMIN-c_TRNGMAX)),-10),0))</f>
        <v>0</v>
      </c>
      <c r="M330" s="7" t="n">
        <f aca="false">IF(((c_TMAP1IN)-(c_TFWD))=0,(0)+QUOTIENT(((c_TMAP1OUT)-(0)),2),QUOTIENT((((K330)-(c_TFWD))*((c_TMAP1OUT)-(0))+IF(((c_TMAP1OUT)-(0))&gt;=0,1,-1)*QUOTIENT(((c_TMAP1IN)-(c_TFWD)),2)),((c_TMAP1IN)-(c_TFWD)))+(0)+IF(((c_TMAP1OUT)-(0))&gt;=0,IF(IF(o_WRAP=1,MOD(((c_TMAP1IN)-(c_TFWD))*(((K330)-(c_TFWD))*((c_TMAP1OUT)-(0))+IF(((c_TMAP1OUT)-(0))&gt;=0,1,-1)*QUOTIENT(((c_TMAP1IN)-(c_TFWD)),2))+2147483648,4294967296)-2147483648,((c_TMAP1IN)-(c_TFWD))*(((K330)-(c_TFWD))*((c_TMAP1OUT)-(0))+IF(((c_TMAP1OUT)-(0))&gt;=0,1,-1)*QUOTIENT(((c_TMAP1IN)-(c_TFWD)),2)))&lt;0,-1,0),IF(IF(o_WRAP=1,MOD(((c_TMAP1IN)-(c_TFWD))*(((K330)-(c_TFWD))*((c_TMAP1OUT)-(0))+IF(((c_TMAP1OUT)-(0))&gt;=0,1,-1)*QUOTIENT(((c_TMAP1IN)-(c_TFWD)),2))+2147483648,4294967296)-2147483648,((c_TMAP1IN)-(c_TFWD))*(((K330)-(c_TFWD))*((c_TMAP1OUT)-(0))+IF(((c_TMAP1OUT)-(0))&gt;=0,1,-1)*QUOTIENT(((c_TMAP1IN)-(c_TFWD)),2)))&gt;=0,1,0)))</f>
        <v>726</v>
      </c>
      <c r="N330" s="7" t="n">
        <f aca="false">IF(((c_TMAP2IN)-(c_TMAP1IN))=0,(c_TMAP1OUT)+QUOTIENT(((c_TMAP2OUT)-(c_TMAP1OUT)),2),QUOTIENT((((K330)-(c_TMAP1IN))*((c_TMAP2OUT)-(c_TMAP1OUT))+IF(((c_TMAP2OUT)-(c_TMAP1OUT))&gt;=0,1,-1)*QUOTIENT(((c_TMAP2IN)-(c_TMAP1IN)),2)),((c_TMAP2IN)-(c_TMAP1IN)))+(c_TMAP1OUT)+IF(((c_TMAP2OUT)-(c_TMAP1OUT))&gt;=0,IF(IF(o_WRAP=1,MOD(((c_TMAP2IN)-(c_TMAP1IN))*(((K330)-(c_TMAP1IN))*((c_TMAP2OUT)-(c_TMAP1OUT))+IF(((c_TMAP2OUT)-(c_TMAP1OUT))&gt;=0,1,-1)*QUOTIENT(((c_TMAP2IN)-(c_TMAP1IN)),2))+2147483648,4294967296)-2147483648,((c_TMAP2IN)-(c_TMAP1IN))*(((K330)-(c_TMAP1IN))*((c_TMAP2OUT)-(c_TMAP1OUT))+IF(((c_TMAP2OUT)-(c_TMAP1OUT))&gt;=0,1,-1)*QUOTIENT(((c_TMAP2IN)-(c_TMAP1IN)),2)))&lt;0,-1,0),IF(IF(o_WRAP=1,MOD(((c_TMAP2IN)-(c_TMAP1IN))*(((K330)-(c_TMAP1IN))*((c_TMAP2OUT)-(c_TMAP1OUT))+IF(((c_TMAP2OUT)-(c_TMAP1OUT))&gt;=0,1,-1)*QUOTIENT(((c_TMAP2IN)-(c_TMAP1IN)),2))+2147483648,4294967296)-2147483648,((c_TMAP2IN)-(c_TMAP1IN))*(((K330)-(c_TMAP1IN))*((c_TMAP2OUT)-(c_TMAP1OUT))+IF(((c_TMAP2OUT)-(c_TMAP1OUT))&gt;=0,1,-1)*QUOTIENT(((c_TMAP2IN)-(c_TMAP1IN)),2)))&gt;=0,1,0)))</f>
        <v>408</v>
      </c>
      <c r="O330" s="7" t="n">
        <f aca="false">IF(((c_TMAP3IN)-(c_TMAP2IN))=0,(c_TMAP2OUT)+QUOTIENT(((c_TMAP3OUT)-(c_TMAP2OUT)),2),QUOTIENT((((K330)-(c_TMAP2IN))*((c_TMAP3OUT)-(c_TMAP2OUT))+IF(((c_TMAP3OUT)-(c_TMAP2OUT))&gt;=0,1,-1)*QUOTIENT(((c_TMAP3IN)-(c_TMAP2IN)),2)),((c_TMAP3IN)-(c_TMAP2IN)))+(c_TMAP2OUT)+IF(((c_TMAP3OUT)-(c_TMAP2OUT))&gt;=0,IF(IF(o_WRAP=1,MOD(((c_TMAP3IN)-(c_TMAP2IN))*(((K330)-(c_TMAP2IN))*((c_TMAP3OUT)-(c_TMAP2OUT))+IF(((c_TMAP3OUT)-(c_TMAP2OUT))&gt;=0,1,-1)*QUOTIENT(((c_TMAP3IN)-(c_TMAP2IN)),2))+2147483648,4294967296)-2147483648,((c_TMAP3IN)-(c_TMAP2IN))*(((K330)-(c_TMAP2IN))*((c_TMAP3OUT)-(c_TMAP2OUT))+IF(((c_TMAP3OUT)-(c_TMAP2OUT))&gt;=0,1,-1)*QUOTIENT(((c_TMAP3IN)-(c_TMAP2IN)),2)))&lt;0,-1,0),IF(IF(o_WRAP=1,MOD(((c_TMAP3IN)-(c_TMAP2IN))*(((K330)-(c_TMAP2IN))*((c_TMAP3OUT)-(c_TMAP2OUT))+IF(((c_TMAP3OUT)-(c_TMAP2OUT))&gt;=0,1,-1)*QUOTIENT(((c_TMAP3IN)-(c_TMAP2IN)),2))+2147483648,4294967296)-2147483648,((c_TMAP3IN)-(c_TMAP2IN))*(((K330)-(c_TMAP2IN))*((c_TMAP3OUT)-(c_TMAP2OUT))+IF(((c_TMAP3OUT)-(c_TMAP2OUT))&gt;=0,1,-1)*QUOTIENT(((c_TMAP3IN)-(c_TMAP2IN)),2)))&gt;=0,1,0)))</f>
        <v>616</v>
      </c>
      <c r="P330" s="7" t="n">
        <f aca="false">IF(((1000)-(c_TMAP3IN))=0,(c_TMAP3OUT)+QUOTIENT(((1000)-(c_TMAP3OUT)),2),QUOTIENT((((K330)-(c_TMAP3IN))*((1000)-(c_TMAP3OUT))+IF(((1000)-(c_TMAP3OUT))&gt;=0,1,-1)*QUOTIENT(((1000)-(c_TMAP3IN)),2)),((1000)-(c_TMAP3IN)))+(c_TMAP3OUT)+IF(((1000)-(c_TMAP3OUT))&gt;=0,IF(IF(o_WRAP=1,MOD(((1000)-(c_TMAP3IN))*(((K330)-(c_TMAP3IN))*((1000)-(c_TMAP3OUT))+IF(((1000)-(c_TMAP3OUT))&gt;=0,1,-1)*QUOTIENT(((1000)-(c_TMAP3IN)),2))+2147483648,4294967296)-2147483648,((1000)-(c_TMAP3IN))*(((K330)-(c_TMAP3IN))*((1000)-(c_TMAP3OUT))+IF(((1000)-(c_TMAP3OUT))&gt;=0,1,-1)*QUOTIENT(((1000)-(c_TMAP3IN)),2)))&lt;0,-1,0),IF(IF(o_WRAP=1,MOD(((1000)-(c_TMAP3IN))*(((K330)-(c_TMAP3IN))*((1000)-(c_TMAP3OUT))+IF(((1000)-(c_TMAP3OUT))&gt;=0,1,-1)*QUOTIENT(((1000)-(c_TMAP3IN)),2))+2147483648,4294967296)-2147483648,((1000)-(c_TMAP3IN))*(((K330)-(c_TMAP3IN))*((1000)-(c_TMAP3OUT))+IF(((1000)-(c_TMAP3OUT))&gt;=0,1,-1)*QUOTIENT(((1000)-(c_TMAP3IN)),2)))&gt;=0,1,0)))</f>
        <v>931</v>
      </c>
      <c r="Q330" s="7" t="str">
        <f aca="false">IF(K330&gt;=c_TFWD,IF(AND(K330&gt;=c_TMAP3IN,c_TMAP3IN&lt;1000),"Seg4 map3-100%",IF(AND(K330&gt;=c_TMAP2IN,c_TMAP3IN&gt;c_TMAP2IN),"Seg3 map2-map3",IF(AND(K330&gt;=c_TMAP1IN,c_TMAP2IN&gt;c_TMAP1IN),"Seg2 map1-map2","Seg1 TFWD-map1"))),IF(AND(K330=0,c_TCREEP&gt;0),"Creep",IF(AND(K330&lt;=c_TRNGMIN,K330&gt;=c_TRNGMAX,c_TRNGMIN-c_TRNGMAX&lt;&gt;0),"Regen ramp","Coast (0)")))</f>
        <v>Seg4 map3-100%</v>
      </c>
      <c r="R330" s="7" t="n">
        <f aca="false">IF(K330&gt;=c_TFWD,IF(AND(K330&gt;=c_TMAP3IN,c_TMAP3IN&lt;1000),P330,IF(AND(K330&gt;=c_TMAP2IN,c_TMAP3IN&gt;c_TMAP2IN),O330,IF(AND(K330&gt;=c_TMAP1IN,c_TMAP2IN&gt;c_TMAP1IN),N330,M330))),L330)</f>
        <v>931</v>
      </c>
      <c r="S330" s="7" t="str">
        <f aca="false">IF(R330&lt;-1090,"TOO LOW",IF(R330&gt;1090,"TOO HIGH",""))</f>
        <v/>
      </c>
      <c r="T330" s="15" t="n">
        <f aca="false">IF(H330&lt;&gt;"OK",0,IF(S330&lt;&gt;"",0,IF(R330&gt;979,1000,R330)))</f>
        <v>931</v>
      </c>
      <c r="U330" s="7" t="n">
        <f aca="false">T330/10</f>
        <v>93.1</v>
      </c>
    </row>
    <row r="331" customFormat="false" ht="15" hidden="false" customHeight="false" outlineLevel="0" collapsed="false">
      <c r="A331" s="7" t="n">
        <v>326</v>
      </c>
      <c r="B331" s="7" t="n">
        <f aca="false">ROUND(o_SWSTART+A331*(o_SWEND-o_SWSTART)/400,0)</f>
        <v>3337</v>
      </c>
      <c r="C331" s="7" t="n">
        <f aca="false">QUOTIENT((B331-c_OFF1)*c_GAIN1,1024)</f>
        <v>3337</v>
      </c>
      <c r="D331" s="7" t="n">
        <f aca="false">IF(((c_T1MX)-(c_T1MN))=0,(0)+QUOTIENT(((1000)-(0)),2),QUOTIENT((((C331)-(c_T1MN))*((1000)-(0))+IF(((1000)-(0))&gt;=0,1,-1)*QUOTIENT(((c_T1MX)-(c_T1MN)),2)),((c_T1MX)-(c_T1MN)))+(0)+IF(((1000)-(0))&gt;=0,IF(IF(o_WRAP=1,MOD(((c_T1MX)-(c_T1MN))*(((C331)-(c_T1MN))*((1000)-(0))+IF(((1000)-(0))&gt;=0,1,-1)*QUOTIENT(((c_T1MX)-(c_T1MN)),2))+2147483648,4294967296)-2147483648,((c_T1MX)-(c_T1MN))*(((C331)-(c_T1MN))*((1000)-(0))+IF(((1000)-(0))&gt;=0,1,-1)*QUOTIENT(((c_T1MX)-(c_T1MN)),2)))&lt;0,-1,0),IF(IF(o_WRAP=1,MOD(((c_T1MX)-(c_T1MN))*(((C331)-(c_T1MN))*((1000)-(0))+IF(((1000)-(0))&gt;=0,1,-1)*QUOTIENT(((c_T1MX)-(c_T1MN)),2))+2147483648,4294967296)-2147483648,((c_T1MX)-(c_T1MN))*(((C331)-(c_T1MN))*((1000)-(0))+IF(((1000)-(0))&gt;=0,1,-1)*QUOTIENT(((c_T1MX)-(c_T1MN)),2)))&gt;=0,1,0)))</f>
        <v>948</v>
      </c>
      <c r="E331" s="7" t="n">
        <f aca="false">IF(AND(c_TPOT=1,c_TTYPE=2),1000-D331,D331)</f>
        <v>948</v>
      </c>
      <c r="F331" s="7" t="str">
        <f aca="false">IF(c_TPOT&gt;1,ROUND(IF(c_TTYPE=2,c_T2MX-IF(c_T1MX=c_T1MN,0,(C331-c_T1MN)/(c_T1MX-c_T1MN))*(c_T2MX-c_T2MN),c_T2MN+IF(c_T1MX=c_T1MN,0,(C331-c_T1MN)/(c_T1MX-c_T1MN))*(c_T2MX-c_T2MN))+o_MISMATCH,0),"")</f>
        <v/>
      </c>
      <c r="G331" s="7" t="str">
        <f aca="false">IF(c_TPOT&gt;1,IF(((c_T2MX)-(c_T2MN))=0,(0)+QUOTIENT(((1000)-(0)),2),QUOTIENT((((F331)-(c_T2MN))*((1000)-(0))+IF(((1000)-(0))&gt;=0,1,-1)*QUOTIENT(((c_T2MX)-(c_T2MN)),2)),((c_T2MX)-(c_T2MN)))+(0)+IF(((1000)-(0))&gt;=0,IF(IF(o_WRAP=1,MOD(((c_T2MX)-(c_T2MN))*(((F331)-(c_T2MN))*((1000)-(0))+IF(((1000)-(0))&gt;=0,1,-1)*QUOTIENT(((c_T2MX)-(c_T2MN)),2))+2147483648,4294967296)-2147483648,((c_T2MX)-(c_T2MN))*(((F331)-(c_T2MN))*((1000)-(0))+IF(((1000)-(0))&gt;=0,1,-1)*QUOTIENT(((c_T2MX)-(c_T2MN)),2)))&lt;0,-1,0),IF(IF(o_WRAP=1,MOD(((c_T2MX)-(c_T2MN))*(((F331)-(c_T2MN))*((1000)-(0))+IF(((1000)-(0))&gt;=0,1,-1)*QUOTIENT(((c_T2MX)-(c_T2MN)),2))+2147483648,4294967296)-2147483648,((c_T2MX)-(c_T2MN))*(((F331)-(c_T2MN))*((1000)-(0))+IF(((1000)-(0))&gt;=0,1,-1)*QUOTIENT(((c_T2MX)-(c_T2MN)),2)))&gt;=0,1,0))),"")</f>
        <v/>
      </c>
      <c r="H331" s="7" t="str">
        <f aca="false">IF(E331&gt;1000+k_TOL,"T1 HIGH",IF(E331&lt;0-k_TOL,"T1 LOW",IF(c_TPOT&gt;1,IF(G331&gt;1000+k_TOL,"T2 HIGH",IF(G331&lt;0-k_TOL,"T2 LOW",IF(c_TTYPE=2,IF(ABS(1000-MAX(0,MIN(1000,E331))-MAX(0,MIN(1000,G331)))&gt;k_MAXERR,"MISMATCH","OK"),IF(OR(MAX(0,MIN(1000,E331))-k_MAXERR&gt;MAX(0,MIN(1000,G331)),MAX(0,MIN(1000,G331))-k_MAXERR&gt;MAX(0,MIN(1000,E331))),"MISMATCH","OK")))),"OK")))</f>
        <v>OK</v>
      </c>
      <c r="I331" s="7" t="n">
        <f aca="false">MAX(0,MIN(1000,D331))</f>
        <v>948</v>
      </c>
      <c r="J331" s="7" t="str">
        <f aca="false">IF(c_TPOT&gt;1,IF(c_TTYPE=2,1000-MAX(0,MIN(1000,G331)),MAX(0,MIN(1000,G331))),"")</f>
        <v/>
      </c>
      <c r="K331" s="7" t="n">
        <f aca="false">IF(c_TPOT&gt;1,QUOTIENT(I331+J331,2),I331)</f>
        <v>948</v>
      </c>
      <c r="L331" s="7" t="n">
        <f aca="false">IF(AND(K331=0,c_TCREEP&gt;0),10*c_TCREEP,IF(AND(K331&lt;=c_TRNGMIN,K331&gt;=c_TRNGMAX,c_TRNGMIN-c_TRNGMAX&lt;&gt;0),-10*c_TMINRN+QUOTIENT((c_TMAXRN-c_TMINRN)*(100-QUOTIENT((K331-c_TRNGMAX)*100,c_TRNGMIN-c_TRNGMAX)),-10),0))</f>
        <v>0</v>
      </c>
      <c r="M331" s="7" t="n">
        <f aca="false">IF(((c_TMAP1IN)-(c_TFWD))=0,(0)+QUOTIENT(((c_TMAP1OUT)-(0)),2),QUOTIENT((((K331)-(c_TFWD))*((c_TMAP1OUT)-(0))+IF(((c_TMAP1OUT)-(0))&gt;=0,1,-1)*QUOTIENT(((c_TMAP1IN)-(c_TFWD)),2)),((c_TMAP1IN)-(c_TFWD)))+(0)+IF(((c_TMAP1OUT)-(0))&gt;=0,IF(IF(o_WRAP=1,MOD(((c_TMAP1IN)-(c_TFWD))*(((K331)-(c_TFWD))*((c_TMAP1OUT)-(0))+IF(((c_TMAP1OUT)-(0))&gt;=0,1,-1)*QUOTIENT(((c_TMAP1IN)-(c_TFWD)),2))+2147483648,4294967296)-2147483648,((c_TMAP1IN)-(c_TFWD))*(((K331)-(c_TFWD))*((c_TMAP1OUT)-(0))+IF(((c_TMAP1OUT)-(0))&gt;=0,1,-1)*QUOTIENT(((c_TMAP1IN)-(c_TFWD)),2)))&lt;0,-1,0),IF(IF(o_WRAP=1,MOD(((c_TMAP1IN)-(c_TFWD))*(((K331)-(c_TFWD))*((c_TMAP1OUT)-(0))+IF(((c_TMAP1OUT)-(0))&gt;=0,1,-1)*QUOTIENT(((c_TMAP1IN)-(c_TFWD)),2))+2147483648,4294967296)-2147483648,((c_TMAP1IN)-(c_TFWD))*(((K331)-(c_TFWD))*((c_TMAP1OUT)-(0))+IF(((c_TMAP1OUT)-(0))&gt;=0,1,-1)*QUOTIENT(((c_TMAP1IN)-(c_TFWD)),2)))&gt;=0,1,0)))</f>
        <v>730</v>
      </c>
      <c r="N331" s="7" t="n">
        <f aca="false">IF(((c_TMAP2IN)-(c_TMAP1IN))=0,(c_TMAP1OUT)+QUOTIENT(((c_TMAP2OUT)-(c_TMAP1OUT)),2),QUOTIENT((((K331)-(c_TMAP1IN))*((c_TMAP2OUT)-(c_TMAP1OUT))+IF(((c_TMAP2OUT)-(c_TMAP1OUT))&gt;=0,1,-1)*QUOTIENT(((c_TMAP2IN)-(c_TMAP1IN)),2)),((c_TMAP2IN)-(c_TMAP1IN)))+(c_TMAP1OUT)+IF(((c_TMAP2OUT)-(c_TMAP1OUT))&gt;=0,IF(IF(o_WRAP=1,MOD(((c_TMAP2IN)-(c_TMAP1IN))*(((K331)-(c_TMAP1IN))*((c_TMAP2OUT)-(c_TMAP1OUT))+IF(((c_TMAP2OUT)-(c_TMAP1OUT))&gt;=0,1,-1)*QUOTIENT(((c_TMAP2IN)-(c_TMAP1IN)),2))+2147483648,4294967296)-2147483648,((c_TMAP2IN)-(c_TMAP1IN))*(((K331)-(c_TMAP1IN))*((c_TMAP2OUT)-(c_TMAP1OUT))+IF(((c_TMAP2OUT)-(c_TMAP1OUT))&gt;=0,1,-1)*QUOTIENT(((c_TMAP2IN)-(c_TMAP1IN)),2)))&lt;0,-1,0),IF(IF(o_WRAP=1,MOD(((c_TMAP2IN)-(c_TMAP1IN))*(((K331)-(c_TMAP1IN))*((c_TMAP2OUT)-(c_TMAP1OUT))+IF(((c_TMAP2OUT)-(c_TMAP1OUT))&gt;=0,1,-1)*QUOTIENT(((c_TMAP2IN)-(c_TMAP1IN)),2))+2147483648,4294967296)-2147483648,((c_TMAP2IN)-(c_TMAP1IN))*(((K331)-(c_TMAP1IN))*((c_TMAP2OUT)-(c_TMAP1OUT))+IF(((c_TMAP2OUT)-(c_TMAP1OUT))&gt;=0,1,-1)*QUOTIENT(((c_TMAP2IN)-(c_TMAP1IN)),2)))&gt;=0,1,0)))</f>
        <v>409</v>
      </c>
      <c r="O331" s="7" t="n">
        <f aca="false">IF(((c_TMAP3IN)-(c_TMAP2IN))=0,(c_TMAP2OUT)+QUOTIENT(((c_TMAP3OUT)-(c_TMAP2OUT)),2),QUOTIENT((((K331)-(c_TMAP2IN))*((c_TMAP3OUT)-(c_TMAP2OUT))+IF(((c_TMAP3OUT)-(c_TMAP2OUT))&gt;=0,1,-1)*QUOTIENT(((c_TMAP3IN)-(c_TMAP2IN)),2)),((c_TMAP3IN)-(c_TMAP2IN)))+(c_TMAP2OUT)+IF(((c_TMAP3OUT)-(c_TMAP2OUT))&gt;=0,IF(IF(o_WRAP=1,MOD(((c_TMAP3IN)-(c_TMAP2IN))*(((K331)-(c_TMAP2IN))*((c_TMAP3OUT)-(c_TMAP2OUT))+IF(((c_TMAP3OUT)-(c_TMAP2OUT))&gt;=0,1,-1)*QUOTIENT(((c_TMAP3IN)-(c_TMAP2IN)),2))+2147483648,4294967296)-2147483648,((c_TMAP3IN)-(c_TMAP2IN))*(((K331)-(c_TMAP2IN))*((c_TMAP3OUT)-(c_TMAP2OUT))+IF(((c_TMAP3OUT)-(c_TMAP2OUT))&gt;=0,1,-1)*QUOTIENT(((c_TMAP3IN)-(c_TMAP2IN)),2)))&lt;0,-1,0),IF(IF(o_WRAP=1,MOD(((c_TMAP3IN)-(c_TMAP2IN))*(((K331)-(c_TMAP2IN))*((c_TMAP3OUT)-(c_TMAP2OUT))+IF(((c_TMAP3OUT)-(c_TMAP2OUT))&gt;=0,1,-1)*QUOTIENT(((c_TMAP3IN)-(c_TMAP2IN)),2))+2147483648,4294967296)-2147483648,((c_TMAP3IN)-(c_TMAP2IN))*(((K331)-(c_TMAP2IN))*((c_TMAP3OUT)-(c_TMAP2OUT))+IF(((c_TMAP3OUT)-(c_TMAP2OUT))&gt;=0,1,-1)*QUOTIENT(((c_TMAP3IN)-(c_TMAP2IN)),2)))&gt;=0,1,0)))</f>
        <v>619</v>
      </c>
      <c r="P331" s="7" t="n">
        <f aca="false">IF(((1000)-(c_TMAP3IN))=0,(c_TMAP3OUT)+QUOTIENT(((1000)-(c_TMAP3OUT)),2),QUOTIENT((((K331)-(c_TMAP3IN))*((1000)-(c_TMAP3OUT))+IF(((1000)-(c_TMAP3OUT))&gt;=0,1,-1)*QUOTIENT(((1000)-(c_TMAP3IN)),2)),((1000)-(c_TMAP3IN)))+(c_TMAP3OUT)+IF(((1000)-(c_TMAP3OUT))&gt;=0,IF(IF(o_WRAP=1,MOD(((1000)-(c_TMAP3IN))*(((K331)-(c_TMAP3IN))*((1000)-(c_TMAP3OUT))+IF(((1000)-(c_TMAP3OUT))&gt;=0,1,-1)*QUOTIENT(((1000)-(c_TMAP3IN)),2))+2147483648,4294967296)-2147483648,((1000)-(c_TMAP3IN))*(((K331)-(c_TMAP3IN))*((1000)-(c_TMAP3OUT))+IF(((1000)-(c_TMAP3OUT))&gt;=0,1,-1)*QUOTIENT(((1000)-(c_TMAP3IN)),2)))&lt;0,-1,0),IF(IF(o_WRAP=1,MOD(((1000)-(c_TMAP3IN))*(((K331)-(c_TMAP3IN))*((1000)-(c_TMAP3OUT))+IF(((1000)-(c_TMAP3OUT))&gt;=0,1,-1)*QUOTIENT(((1000)-(c_TMAP3IN)),2))+2147483648,4294967296)-2147483648,((1000)-(c_TMAP3IN))*(((K331)-(c_TMAP3IN))*((1000)-(c_TMAP3OUT))+IF(((1000)-(c_TMAP3OUT))&gt;=0,1,-1)*QUOTIENT(((1000)-(c_TMAP3IN)),2)))&gt;=0,1,0)))</f>
        <v>936</v>
      </c>
      <c r="Q331" s="7" t="str">
        <f aca="false">IF(K331&gt;=c_TFWD,IF(AND(K331&gt;=c_TMAP3IN,c_TMAP3IN&lt;1000),"Seg4 map3-100%",IF(AND(K331&gt;=c_TMAP2IN,c_TMAP3IN&gt;c_TMAP2IN),"Seg3 map2-map3",IF(AND(K331&gt;=c_TMAP1IN,c_TMAP2IN&gt;c_TMAP1IN),"Seg2 map1-map2","Seg1 TFWD-map1"))),IF(AND(K331=0,c_TCREEP&gt;0),"Creep",IF(AND(K331&lt;=c_TRNGMIN,K331&gt;=c_TRNGMAX,c_TRNGMIN-c_TRNGMAX&lt;&gt;0),"Regen ramp","Coast (0)")))</f>
        <v>Seg4 map3-100%</v>
      </c>
      <c r="R331" s="7" t="n">
        <f aca="false">IF(K331&gt;=c_TFWD,IF(AND(K331&gt;=c_TMAP3IN,c_TMAP3IN&lt;1000),P331,IF(AND(K331&gt;=c_TMAP2IN,c_TMAP3IN&gt;c_TMAP2IN),O331,IF(AND(K331&gt;=c_TMAP1IN,c_TMAP2IN&gt;c_TMAP1IN),N331,M331))),L331)</f>
        <v>936</v>
      </c>
      <c r="S331" s="7" t="str">
        <f aca="false">IF(R331&lt;-1090,"TOO LOW",IF(R331&gt;1090,"TOO HIGH",""))</f>
        <v/>
      </c>
      <c r="T331" s="15" t="n">
        <f aca="false">IF(H331&lt;&gt;"OK",0,IF(S331&lt;&gt;"",0,IF(R331&gt;979,1000,R331)))</f>
        <v>936</v>
      </c>
      <c r="U331" s="7" t="n">
        <f aca="false">T331/10</f>
        <v>93.6</v>
      </c>
    </row>
    <row r="332" customFormat="false" ht="15" hidden="false" customHeight="false" outlineLevel="0" collapsed="false">
      <c r="A332" s="7" t="n">
        <v>327</v>
      </c>
      <c r="B332" s="7" t="n">
        <f aca="false">ROUND(o_SWSTART+A332*(o_SWEND-o_SWSTART)/400,0)</f>
        <v>3348</v>
      </c>
      <c r="C332" s="7" t="n">
        <f aca="false">QUOTIENT((B332-c_OFF1)*c_GAIN1,1024)</f>
        <v>3348</v>
      </c>
      <c r="D332" s="7" t="n">
        <f aca="false">IF(((c_T1MX)-(c_T1MN))=0,(0)+QUOTIENT(((1000)-(0)),2),QUOTIENT((((C332)-(c_T1MN))*((1000)-(0))+IF(((1000)-(0))&gt;=0,1,-1)*QUOTIENT(((c_T1MX)-(c_T1MN)),2)),((c_T1MX)-(c_T1MN)))+(0)+IF(((1000)-(0))&gt;=0,IF(IF(o_WRAP=1,MOD(((c_T1MX)-(c_T1MN))*(((C332)-(c_T1MN))*((1000)-(0))+IF(((1000)-(0))&gt;=0,1,-1)*QUOTIENT(((c_T1MX)-(c_T1MN)),2))+2147483648,4294967296)-2147483648,((c_T1MX)-(c_T1MN))*(((C332)-(c_T1MN))*((1000)-(0))+IF(((1000)-(0))&gt;=0,1,-1)*QUOTIENT(((c_T1MX)-(c_T1MN)),2)))&lt;0,-1,0),IF(IF(o_WRAP=1,MOD(((c_T1MX)-(c_T1MN))*(((C332)-(c_T1MN))*((1000)-(0))+IF(((1000)-(0))&gt;=0,1,-1)*QUOTIENT(((c_T1MX)-(c_T1MN)),2))+2147483648,4294967296)-2147483648,((c_T1MX)-(c_T1MN))*(((C332)-(c_T1MN))*((1000)-(0))+IF(((1000)-(0))&gt;=0,1,-1)*QUOTIENT(((c_T1MX)-(c_T1MN)),2)))&gt;=0,1,0)))</f>
        <v>952</v>
      </c>
      <c r="E332" s="7" t="n">
        <f aca="false">IF(AND(c_TPOT=1,c_TTYPE=2),1000-D332,D332)</f>
        <v>952</v>
      </c>
      <c r="F332" s="7" t="str">
        <f aca="false">IF(c_TPOT&gt;1,ROUND(IF(c_TTYPE=2,c_T2MX-IF(c_T1MX=c_T1MN,0,(C332-c_T1MN)/(c_T1MX-c_T1MN))*(c_T2MX-c_T2MN),c_T2MN+IF(c_T1MX=c_T1MN,0,(C332-c_T1MN)/(c_T1MX-c_T1MN))*(c_T2MX-c_T2MN))+o_MISMATCH,0),"")</f>
        <v/>
      </c>
      <c r="G332" s="7" t="str">
        <f aca="false">IF(c_TPOT&gt;1,IF(((c_T2MX)-(c_T2MN))=0,(0)+QUOTIENT(((1000)-(0)),2),QUOTIENT((((F332)-(c_T2MN))*((1000)-(0))+IF(((1000)-(0))&gt;=0,1,-1)*QUOTIENT(((c_T2MX)-(c_T2MN)),2)),((c_T2MX)-(c_T2MN)))+(0)+IF(((1000)-(0))&gt;=0,IF(IF(o_WRAP=1,MOD(((c_T2MX)-(c_T2MN))*(((F332)-(c_T2MN))*((1000)-(0))+IF(((1000)-(0))&gt;=0,1,-1)*QUOTIENT(((c_T2MX)-(c_T2MN)),2))+2147483648,4294967296)-2147483648,((c_T2MX)-(c_T2MN))*(((F332)-(c_T2MN))*((1000)-(0))+IF(((1000)-(0))&gt;=0,1,-1)*QUOTIENT(((c_T2MX)-(c_T2MN)),2)))&lt;0,-1,0),IF(IF(o_WRAP=1,MOD(((c_T2MX)-(c_T2MN))*(((F332)-(c_T2MN))*((1000)-(0))+IF(((1000)-(0))&gt;=0,1,-1)*QUOTIENT(((c_T2MX)-(c_T2MN)),2))+2147483648,4294967296)-2147483648,((c_T2MX)-(c_T2MN))*(((F332)-(c_T2MN))*((1000)-(0))+IF(((1000)-(0))&gt;=0,1,-1)*QUOTIENT(((c_T2MX)-(c_T2MN)),2)))&gt;=0,1,0))),"")</f>
        <v/>
      </c>
      <c r="H332" s="7" t="str">
        <f aca="false">IF(E332&gt;1000+k_TOL,"T1 HIGH",IF(E332&lt;0-k_TOL,"T1 LOW",IF(c_TPOT&gt;1,IF(G332&gt;1000+k_TOL,"T2 HIGH",IF(G332&lt;0-k_TOL,"T2 LOW",IF(c_TTYPE=2,IF(ABS(1000-MAX(0,MIN(1000,E332))-MAX(0,MIN(1000,G332)))&gt;k_MAXERR,"MISMATCH","OK"),IF(OR(MAX(0,MIN(1000,E332))-k_MAXERR&gt;MAX(0,MIN(1000,G332)),MAX(0,MIN(1000,G332))-k_MAXERR&gt;MAX(0,MIN(1000,E332))),"MISMATCH","OK")))),"OK")))</f>
        <v>OK</v>
      </c>
      <c r="I332" s="7" t="n">
        <f aca="false">MAX(0,MIN(1000,D332))</f>
        <v>952</v>
      </c>
      <c r="J332" s="7" t="str">
        <f aca="false">IF(c_TPOT&gt;1,IF(c_TTYPE=2,1000-MAX(0,MIN(1000,G332)),MAX(0,MIN(1000,G332))),"")</f>
        <v/>
      </c>
      <c r="K332" s="7" t="n">
        <f aca="false">IF(c_TPOT&gt;1,QUOTIENT(I332+J332,2),I332)</f>
        <v>952</v>
      </c>
      <c r="L332" s="7" t="n">
        <f aca="false">IF(AND(K332=0,c_TCREEP&gt;0),10*c_TCREEP,IF(AND(K332&lt;=c_TRNGMIN,K332&gt;=c_TRNGMAX,c_TRNGMIN-c_TRNGMAX&lt;&gt;0),-10*c_TMINRN+QUOTIENT((c_TMAXRN-c_TMINRN)*(100-QUOTIENT((K332-c_TRNGMAX)*100,c_TRNGMIN-c_TRNGMAX)),-10),0))</f>
        <v>0</v>
      </c>
      <c r="M332" s="7" t="n">
        <f aca="false">IF(((c_TMAP1IN)-(c_TFWD))=0,(0)+QUOTIENT(((c_TMAP1OUT)-(0)),2),QUOTIENT((((K332)-(c_TFWD))*((c_TMAP1OUT)-(0))+IF(((c_TMAP1OUT)-(0))&gt;=0,1,-1)*QUOTIENT(((c_TMAP1IN)-(c_TFWD)),2)),((c_TMAP1IN)-(c_TFWD)))+(0)+IF(((c_TMAP1OUT)-(0))&gt;=0,IF(IF(o_WRAP=1,MOD(((c_TMAP1IN)-(c_TFWD))*(((K332)-(c_TFWD))*((c_TMAP1OUT)-(0))+IF(((c_TMAP1OUT)-(0))&gt;=0,1,-1)*QUOTIENT(((c_TMAP1IN)-(c_TFWD)),2))+2147483648,4294967296)-2147483648,((c_TMAP1IN)-(c_TFWD))*(((K332)-(c_TFWD))*((c_TMAP1OUT)-(0))+IF(((c_TMAP1OUT)-(0))&gt;=0,1,-1)*QUOTIENT(((c_TMAP1IN)-(c_TFWD)),2)))&lt;0,-1,0),IF(IF(o_WRAP=1,MOD(((c_TMAP1IN)-(c_TFWD))*(((K332)-(c_TFWD))*((c_TMAP1OUT)-(0))+IF(((c_TMAP1OUT)-(0))&gt;=0,1,-1)*QUOTIENT(((c_TMAP1IN)-(c_TFWD)),2))+2147483648,4294967296)-2147483648,((c_TMAP1IN)-(c_TFWD))*(((K332)-(c_TFWD))*((c_TMAP1OUT)-(0))+IF(((c_TMAP1OUT)-(0))&gt;=0,1,-1)*QUOTIENT(((c_TMAP1IN)-(c_TFWD)),2)))&gt;=0,1,0)))</f>
        <v>733</v>
      </c>
      <c r="N332" s="7" t="n">
        <f aca="false">IF(((c_TMAP2IN)-(c_TMAP1IN))=0,(c_TMAP1OUT)+QUOTIENT(((c_TMAP2OUT)-(c_TMAP1OUT)),2),QUOTIENT((((K332)-(c_TMAP1IN))*((c_TMAP2OUT)-(c_TMAP1OUT))+IF(((c_TMAP2OUT)-(c_TMAP1OUT))&gt;=0,1,-1)*QUOTIENT(((c_TMAP2IN)-(c_TMAP1IN)),2)),((c_TMAP2IN)-(c_TMAP1IN)))+(c_TMAP1OUT)+IF(((c_TMAP2OUT)-(c_TMAP1OUT))&gt;=0,IF(IF(o_WRAP=1,MOD(((c_TMAP2IN)-(c_TMAP1IN))*(((K332)-(c_TMAP1IN))*((c_TMAP2OUT)-(c_TMAP1OUT))+IF(((c_TMAP2OUT)-(c_TMAP1OUT))&gt;=0,1,-1)*QUOTIENT(((c_TMAP2IN)-(c_TMAP1IN)),2))+2147483648,4294967296)-2147483648,((c_TMAP2IN)-(c_TMAP1IN))*(((K332)-(c_TMAP1IN))*((c_TMAP2OUT)-(c_TMAP1OUT))+IF(((c_TMAP2OUT)-(c_TMAP1OUT))&gt;=0,1,-1)*QUOTIENT(((c_TMAP2IN)-(c_TMAP1IN)),2)))&lt;0,-1,0),IF(IF(o_WRAP=1,MOD(((c_TMAP2IN)-(c_TMAP1IN))*(((K332)-(c_TMAP1IN))*((c_TMAP2OUT)-(c_TMAP1OUT))+IF(((c_TMAP2OUT)-(c_TMAP1OUT))&gt;=0,1,-1)*QUOTIENT(((c_TMAP2IN)-(c_TMAP1IN)),2))+2147483648,4294967296)-2147483648,((c_TMAP2IN)-(c_TMAP1IN))*(((K332)-(c_TMAP1IN))*((c_TMAP2OUT)-(c_TMAP1OUT))+IF(((c_TMAP2OUT)-(c_TMAP1OUT))&gt;=0,1,-1)*QUOTIENT(((c_TMAP2IN)-(c_TMAP1IN)),2)))&gt;=0,1,0)))</f>
        <v>411</v>
      </c>
      <c r="O332" s="7" t="n">
        <f aca="false">IF(((c_TMAP3IN)-(c_TMAP2IN))=0,(c_TMAP2OUT)+QUOTIENT(((c_TMAP3OUT)-(c_TMAP2OUT)),2),QUOTIENT((((K332)-(c_TMAP2IN))*((c_TMAP3OUT)-(c_TMAP2OUT))+IF(((c_TMAP3OUT)-(c_TMAP2OUT))&gt;=0,1,-1)*QUOTIENT(((c_TMAP3IN)-(c_TMAP2IN)),2)),((c_TMAP3IN)-(c_TMAP2IN)))+(c_TMAP2OUT)+IF(((c_TMAP3OUT)-(c_TMAP2OUT))&gt;=0,IF(IF(o_WRAP=1,MOD(((c_TMAP3IN)-(c_TMAP2IN))*(((K332)-(c_TMAP2IN))*((c_TMAP3OUT)-(c_TMAP2OUT))+IF(((c_TMAP3OUT)-(c_TMAP2OUT))&gt;=0,1,-1)*QUOTIENT(((c_TMAP3IN)-(c_TMAP2IN)),2))+2147483648,4294967296)-2147483648,((c_TMAP3IN)-(c_TMAP2IN))*(((K332)-(c_TMAP2IN))*((c_TMAP3OUT)-(c_TMAP2OUT))+IF(((c_TMAP3OUT)-(c_TMAP2OUT))&gt;=0,1,-1)*QUOTIENT(((c_TMAP3IN)-(c_TMAP2IN)),2)))&lt;0,-1,0),IF(IF(o_WRAP=1,MOD(((c_TMAP3IN)-(c_TMAP2IN))*(((K332)-(c_TMAP2IN))*((c_TMAP3OUT)-(c_TMAP2OUT))+IF(((c_TMAP3OUT)-(c_TMAP2OUT))&gt;=0,1,-1)*QUOTIENT(((c_TMAP3IN)-(c_TMAP2IN)),2))+2147483648,4294967296)-2147483648,((c_TMAP3IN)-(c_TMAP2IN))*(((K332)-(c_TMAP2IN))*((c_TMAP3OUT)-(c_TMAP2OUT))+IF(((c_TMAP3OUT)-(c_TMAP2OUT))&gt;=0,1,-1)*QUOTIENT(((c_TMAP3IN)-(c_TMAP2IN)),2)))&gt;=0,1,0)))</f>
        <v>621</v>
      </c>
      <c r="P332" s="7" t="n">
        <f aca="false">IF(((1000)-(c_TMAP3IN))=0,(c_TMAP3OUT)+QUOTIENT(((1000)-(c_TMAP3OUT)),2),QUOTIENT((((K332)-(c_TMAP3IN))*((1000)-(c_TMAP3OUT))+IF(((1000)-(c_TMAP3OUT))&gt;=0,1,-1)*QUOTIENT(((1000)-(c_TMAP3IN)),2)),((1000)-(c_TMAP3IN)))+(c_TMAP3OUT)+IF(((1000)-(c_TMAP3OUT))&gt;=0,IF(IF(o_WRAP=1,MOD(((1000)-(c_TMAP3IN))*(((K332)-(c_TMAP3IN))*((1000)-(c_TMAP3OUT))+IF(((1000)-(c_TMAP3OUT))&gt;=0,1,-1)*QUOTIENT(((1000)-(c_TMAP3IN)),2))+2147483648,4294967296)-2147483648,((1000)-(c_TMAP3IN))*(((K332)-(c_TMAP3IN))*((1000)-(c_TMAP3OUT))+IF(((1000)-(c_TMAP3OUT))&gt;=0,1,-1)*QUOTIENT(((1000)-(c_TMAP3IN)),2)))&lt;0,-1,0),IF(IF(o_WRAP=1,MOD(((1000)-(c_TMAP3IN))*(((K332)-(c_TMAP3IN))*((1000)-(c_TMAP3OUT))+IF(((1000)-(c_TMAP3OUT))&gt;=0,1,-1)*QUOTIENT(((1000)-(c_TMAP3IN)),2))+2147483648,4294967296)-2147483648,((1000)-(c_TMAP3IN))*(((K332)-(c_TMAP3IN))*((1000)-(c_TMAP3OUT))+IF(((1000)-(c_TMAP3OUT))&gt;=0,1,-1)*QUOTIENT(((1000)-(c_TMAP3IN)),2)))&gt;=0,1,0)))</f>
        <v>941</v>
      </c>
      <c r="Q332" s="7" t="str">
        <f aca="false">IF(K332&gt;=c_TFWD,IF(AND(K332&gt;=c_TMAP3IN,c_TMAP3IN&lt;1000),"Seg4 map3-100%",IF(AND(K332&gt;=c_TMAP2IN,c_TMAP3IN&gt;c_TMAP2IN),"Seg3 map2-map3",IF(AND(K332&gt;=c_TMAP1IN,c_TMAP2IN&gt;c_TMAP1IN),"Seg2 map1-map2","Seg1 TFWD-map1"))),IF(AND(K332=0,c_TCREEP&gt;0),"Creep",IF(AND(K332&lt;=c_TRNGMIN,K332&gt;=c_TRNGMAX,c_TRNGMIN-c_TRNGMAX&lt;&gt;0),"Regen ramp","Coast (0)")))</f>
        <v>Seg4 map3-100%</v>
      </c>
      <c r="R332" s="7" t="n">
        <f aca="false">IF(K332&gt;=c_TFWD,IF(AND(K332&gt;=c_TMAP3IN,c_TMAP3IN&lt;1000),P332,IF(AND(K332&gt;=c_TMAP2IN,c_TMAP3IN&gt;c_TMAP2IN),O332,IF(AND(K332&gt;=c_TMAP1IN,c_TMAP2IN&gt;c_TMAP1IN),N332,M332))),L332)</f>
        <v>941</v>
      </c>
      <c r="S332" s="7" t="str">
        <f aca="false">IF(R332&lt;-1090,"TOO LOW",IF(R332&gt;1090,"TOO HIGH",""))</f>
        <v/>
      </c>
      <c r="T332" s="15" t="n">
        <f aca="false">IF(H332&lt;&gt;"OK",0,IF(S332&lt;&gt;"",0,IF(R332&gt;979,1000,R332)))</f>
        <v>941</v>
      </c>
      <c r="U332" s="7" t="n">
        <f aca="false">T332/10</f>
        <v>94.1</v>
      </c>
    </row>
    <row r="333" customFormat="false" ht="15" hidden="false" customHeight="false" outlineLevel="0" collapsed="false">
      <c r="A333" s="7" t="n">
        <v>328</v>
      </c>
      <c r="B333" s="7" t="n">
        <f aca="false">ROUND(o_SWSTART+A333*(o_SWEND-o_SWSTART)/400,0)</f>
        <v>3358</v>
      </c>
      <c r="C333" s="7" t="n">
        <f aca="false">QUOTIENT((B333-c_OFF1)*c_GAIN1,1024)</f>
        <v>3358</v>
      </c>
      <c r="D333" s="7" t="n">
        <f aca="false">IF(((c_T1MX)-(c_T1MN))=0,(0)+QUOTIENT(((1000)-(0)),2),QUOTIENT((((C333)-(c_T1MN))*((1000)-(0))+IF(((1000)-(0))&gt;=0,1,-1)*QUOTIENT(((c_T1MX)-(c_T1MN)),2)),((c_T1MX)-(c_T1MN)))+(0)+IF(((1000)-(0))&gt;=0,IF(IF(o_WRAP=1,MOD(((c_T1MX)-(c_T1MN))*(((C333)-(c_T1MN))*((1000)-(0))+IF(((1000)-(0))&gt;=0,1,-1)*QUOTIENT(((c_T1MX)-(c_T1MN)),2))+2147483648,4294967296)-2147483648,((c_T1MX)-(c_T1MN))*(((C333)-(c_T1MN))*((1000)-(0))+IF(((1000)-(0))&gt;=0,1,-1)*QUOTIENT(((c_T1MX)-(c_T1MN)),2)))&lt;0,-1,0),IF(IF(o_WRAP=1,MOD(((c_T1MX)-(c_T1MN))*(((C333)-(c_T1MN))*((1000)-(0))+IF(((1000)-(0))&gt;=0,1,-1)*QUOTIENT(((c_T1MX)-(c_T1MN)),2))+2147483648,4294967296)-2147483648,((c_T1MX)-(c_T1MN))*(((C333)-(c_T1MN))*((1000)-(0))+IF(((1000)-(0))&gt;=0,1,-1)*QUOTIENT(((c_T1MX)-(c_T1MN)),2)))&gt;=0,1,0)))</f>
        <v>956</v>
      </c>
      <c r="E333" s="7" t="n">
        <f aca="false">IF(AND(c_TPOT=1,c_TTYPE=2),1000-D333,D333)</f>
        <v>956</v>
      </c>
      <c r="F333" s="7" t="str">
        <f aca="false">IF(c_TPOT&gt;1,ROUND(IF(c_TTYPE=2,c_T2MX-IF(c_T1MX=c_T1MN,0,(C333-c_T1MN)/(c_T1MX-c_T1MN))*(c_T2MX-c_T2MN),c_T2MN+IF(c_T1MX=c_T1MN,0,(C333-c_T1MN)/(c_T1MX-c_T1MN))*(c_T2MX-c_T2MN))+o_MISMATCH,0),"")</f>
        <v/>
      </c>
      <c r="G333" s="7" t="str">
        <f aca="false">IF(c_TPOT&gt;1,IF(((c_T2MX)-(c_T2MN))=0,(0)+QUOTIENT(((1000)-(0)),2),QUOTIENT((((F333)-(c_T2MN))*((1000)-(0))+IF(((1000)-(0))&gt;=0,1,-1)*QUOTIENT(((c_T2MX)-(c_T2MN)),2)),((c_T2MX)-(c_T2MN)))+(0)+IF(((1000)-(0))&gt;=0,IF(IF(o_WRAP=1,MOD(((c_T2MX)-(c_T2MN))*(((F333)-(c_T2MN))*((1000)-(0))+IF(((1000)-(0))&gt;=0,1,-1)*QUOTIENT(((c_T2MX)-(c_T2MN)),2))+2147483648,4294967296)-2147483648,((c_T2MX)-(c_T2MN))*(((F333)-(c_T2MN))*((1000)-(0))+IF(((1000)-(0))&gt;=0,1,-1)*QUOTIENT(((c_T2MX)-(c_T2MN)),2)))&lt;0,-1,0),IF(IF(o_WRAP=1,MOD(((c_T2MX)-(c_T2MN))*(((F333)-(c_T2MN))*((1000)-(0))+IF(((1000)-(0))&gt;=0,1,-1)*QUOTIENT(((c_T2MX)-(c_T2MN)),2))+2147483648,4294967296)-2147483648,((c_T2MX)-(c_T2MN))*(((F333)-(c_T2MN))*((1000)-(0))+IF(((1000)-(0))&gt;=0,1,-1)*QUOTIENT(((c_T2MX)-(c_T2MN)),2)))&gt;=0,1,0))),"")</f>
        <v/>
      </c>
      <c r="H333" s="7" t="str">
        <f aca="false">IF(E333&gt;1000+k_TOL,"T1 HIGH",IF(E333&lt;0-k_TOL,"T1 LOW",IF(c_TPOT&gt;1,IF(G333&gt;1000+k_TOL,"T2 HIGH",IF(G333&lt;0-k_TOL,"T2 LOW",IF(c_TTYPE=2,IF(ABS(1000-MAX(0,MIN(1000,E333))-MAX(0,MIN(1000,G333)))&gt;k_MAXERR,"MISMATCH","OK"),IF(OR(MAX(0,MIN(1000,E333))-k_MAXERR&gt;MAX(0,MIN(1000,G333)),MAX(0,MIN(1000,G333))-k_MAXERR&gt;MAX(0,MIN(1000,E333))),"MISMATCH","OK")))),"OK")))</f>
        <v>OK</v>
      </c>
      <c r="I333" s="7" t="n">
        <f aca="false">MAX(0,MIN(1000,D333))</f>
        <v>956</v>
      </c>
      <c r="J333" s="7" t="str">
        <f aca="false">IF(c_TPOT&gt;1,IF(c_TTYPE=2,1000-MAX(0,MIN(1000,G333)),MAX(0,MIN(1000,G333))),"")</f>
        <v/>
      </c>
      <c r="K333" s="7" t="n">
        <f aca="false">IF(c_TPOT&gt;1,QUOTIENT(I333+J333,2),I333)</f>
        <v>956</v>
      </c>
      <c r="L333" s="7" t="n">
        <f aca="false">IF(AND(K333=0,c_TCREEP&gt;0),10*c_TCREEP,IF(AND(K333&lt;=c_TRNGMIN,K333&gt;=c_TRNGMAX,c_TRNGMIN-c_TRNGMAX&lt;&gt;0),-10*c_TMINRN+QUOTIENT((c_TMAXRN-c_TMINRN)*(100-QUOTIENT((K333-c_TRNGMAX)*100,c_TRNGMIN-c_TRNGMAX)),-10),0))</f>
        <v>0</v>
      </c>
      <c r="M333" s="7" t="n">
        <f aca="false">IF(((c_TMAP1IN)-(c_TFWD))=0,(0)+QUOTIENT(((c_TMAP1OUT)-(0)),2),QUOTIENT((((K333)-(c_TFWD))*((c_TMAP1OUT)-(0))+IF(((c_TMAP1OUT)-(0))&gt;=0,1,-1)*QUOTIENT(((c_TMAP1IN)-(c_TFWD)),2)),((c_TMAP1IN)-(c_TFWD)))+(0)+IF(((c_TMAP1OUT)-(0))&gt;=0,IF(IF(o_WRAP=1,MOD(((c_TMAP1IN)-(c_TFWD))*(((K333)-(c_TFWD))*((c_TMAP1OUT)-(0))+IF(((c_TMAP1OUT)-(0))&gt;=0,1,-1)*QUOTIENT(((c_TMAP1IN)-(c_TFWD)),2))+2147483648,4294967296)-2147483648,((c_TMAP1IN)-(c_TFWD))*(((K333)-(c_TFWD))*((c_TMAP1OUT)-(0))+IF(((c_TMAP1OUT)-(0))&gt;=0,1,-1)*QUOTIENT(((c_TMAP1IN)-(c_TFWD)),2)))&lt;0,-1,0),IF(IF(o_WRAP=1,MOD(((c_TMAP1IN)-(c_TFWD))*(((K333)-(c_TFWD))*((c_TMAP1OUT)-(0))+IF(((c_TMAP1OUT)-(0))&gt;=0,1,-1)*QUOTIENT(((c_TMAP1IN)-(c_TFWD)),2))+2147483648,4294967296)-2147483648,((c_TMAP1IN)-(c_TFWD))*(((K333)-(c_TFWD))*((c_TMAP1OUT)-(0))+IF(((c_TMAP1OUT)-(0))&gt;=0,1,-1)*QUOTIENT(((c_TMAP1IN)-(c_TFWD)),2)))&gt;=0,1,0)))</f>
        <v>736</v>
      </c>
      <c r="N333" s="7" t="n">
        <f aca="false">IF(((c_TMAP2IN)-(c_TMAP1IN))=0,(c_TMAP1OUT)+QUOTIENT(((c_TMAP2OUT)-(c_TMAP1OUT)),2),QUOTIENT((((K333)-(c_TMAP1IN))*((c_TMAP2OUT)-(c_TMAP1OUT))+IF(((c_TMAP2OUT)-(c_TMAP1OUT))&gt;=0,1,-1)*QUOTIENT(((c_TMAP2IN)-(c_TMAP1IN)),2)),((c_TMAP2IN)-(c_TMAP1IN)))+(c_TMAP1OUT)+IF(((c_TMAP2OUT)-(c_TMAP1OUT))&gt;=0,IF(IF(o_WRAP=1,MOD(((c_TMAP2IN)-(c_TMAP1IN))*(((K333)-(c_TMAP1IN))*((c_TMAP2OUT)-(c_TMAP1OUT))+IF(((c_TMAP2OUT)-(c_TMAP1OUT))&gt;=0,1,-1)*QUOTIENT(((c_TMAP2IN)-(c_TMAP1IN)),2))+2147483648,4294967296)-2147483648,((c_TMAP2IN)-(c_TMAP1IN))*(((K333)-(c_TMAP1IN))*((c_TMAP2OUT)-(c_TMAP1OUT))+IF(((c_TMAP2OUT)-(c_TMAP1OUT))&gt;=0,1,-1)*QUOTIENT(((c_TMAP2IN)-(c_TMAP1IN)),2)))&lt;0,-1,0),IF(IF(o_WRAP=1,MOD(((c_TMAP2IN)-(c_TMAP1IN))*(((K333)-(c_TMAP1IN))*((c_TMAP2OUT)-(c_TMAP1OUT))+IF(((c_TMAP2OUT)-(c_TMAP1OUT))&gt;=0,1,-1)*QUOTIENT(((c_TMAP2IN)-(c_TMAP1IN)),2))+2147483648,4294967296)-2147483648,((c_TMAP2IN)-(c_TMAP1IN))*(((K333)-(c_TMAP1IN))*((c_TMAP2OUT)-(c_TMAP1OUT))+IF(((c_TMAP2OUT)-(c_TMAP1OUT))&gt;=0,1,-1)*QUOTIENT(((c_TMAP2IN)-(c_TMAP1IN)),2)))&gt;=0,1,0)))</f>
        <v>412</v>
      </c>
      <c r="O333" s="7" t="n">
        <f aca="false">IF(((c_TMAP3IN)-(c_TMAP2IN))=0,(c_TMAP2OUT)+QUOTIENT(((c_TMAP3OUT)-(c_TMAP2OUT)),2),QUOTIENT((((K333)-(c_TMAP2IN))*((c_TMAP3OUT)-(c_TMAP2OUT))+IF(((c_TMAP3OUT)-(c_TMAP2OUT))&gt;=0,1,-1)*QUOTIENT(((c_TMAP3IN)-(c_TMAP2IN)),2)),((c_TMAP3IN)-(c_TMAP2IN)))+(c_TMAP2OUT)+IF(((c_TMAP3OUT)-(c_TMAP2OUT))&gt;=0,IF(IF(o_WRAP=1,MOD(((c_TMAP3IN)-(c_TMAP2IN))*(((K333)-(c_TMAP2IN))*((c_TMAP3OUT)-(c_TMAP2OUT))+IF(((c_TMAP3OUT)-(c_TMAP2OUT))&gt;=0,1,-1)*QUOTIENT(((c_TMAP3IN)-(c_TMAP2IN)),2))+2147483648,4294967296)-2147483648,((c_TMAP3IN)-(c_TMAP2IN))*(((K333)-(c_TMAP2IN))*((c_TMAP3OUT)-(c_TMAP2OUT))+IF(((c_TMAP3OUT)-(c_TMAP2OUT))&gt;=0,1,-1)*QUOTIENT(((c_TMAP3IN)-(c_TMAP2IN)),2)))&lt;0,-1,0),IF(IF(o_WRAP=1,MOD(((c_TMAP3IN)-(c_TMAP2IN))*(((K333)-(c_TMAP2IN))*((c_TMAP3OUT)-(c_TMAP2OUT))+IF(((c_TMAP3OUT)-(c_TMAP2OUT))&gt;=0,1,-1)*QUOTIENT(((c_TMAP3IN)-(c_TMAP2IN)),2))+2147483648,4294967296)-2147483648,((c_TMAP3IN)-(c_TMAP2IN))*(((K333)-(c_TMAP2IN))*((c_TMAP3OUT)-(c_TMAP2OUT))+IF(((c_TMAP3OUT)-(c_TMAP2OUT))&gt;=0,1,-1)*QUOTIENT(((c_TMAP3IN)-(c_TMAP2IN)),2)))&gt;=0,1,0)))</f>
        <v>624</v>
      </c>
      <c r="P333" s="7" t="n">
        <f aca="false">IF(((1000)-(c_TMAP3IN))=0,(c_TMAP3OUT)+QUOTIENT(((1000)-(c_TMAP3OUT)),2),QUOTIENT((((K333)-(c_TMAP3IN))*((1000)-(c_TMAP3OUT))+IF(((1000)-(c_TMAP3OUT))&gt;=0,1,-1)*QUOTIENT(((1000)-(c_TMAP3IN)),2)),((1000)-(c_TMAP3IN)))+(c_TMAP3OUT)+IF(((1000)-(c_TMAP3OUT))&gt;=0,IF(IF(o_WRAP=1,MOD(((1000)-(c_TMAP3IN))*(((K333)-(c_TMAP3IN))*((1000)-(c_TMAP3OUT))+IF(((1000)-(c_TMAP3OUT))&gt;=0,1,-1)*QUOTIENT(((1000)-(c_TMAP3IN)),2))+2147483648,4294967296)-2147483648,((1000)-(c_TMAP3IN))*(((K333)-(c_TMAP3IN))*((1000)-(c_TMAP3OUT))+IF(((1000)-(c_TMAP3OUT))&gt;=0,1,-1)*QUOTIENT(((1000)-(c_TMAP3IN)),2)))&lt;0,-1,0),IF(IF(o_WRAP=1,MOD(((1000)-(c_TMAP3IN))*(((K333)-(c_TMAP3IN))*((1000)-(c_TMAP3OUT))+IF(((1000)-(c_TMAP3OUT))&gt;=0,1,-1)*QUOTIENT(((1000)-(c_TMAP3IN)),2))+2147483648,4294967296)-2147483648,((1000)-(c_TMAP3IN))*(((K333)-(c_TMAP3IN))*((1000)-(c_TMAP3OUT))+IF(((1000)-(c_TMAP3OUT))&gt;=0,1,-1)*QUOTIENT(((1000)-(c_TMAP3IN)),2)))&gt;=0,1,0)))</f>
        <v>946</v>
      </c>
      <c r="Q333" s="7" t="str">
        <f aca="false">IF(K333&gt;=c_TFWD,IF(AND(K333&gt;=c_TMAP3IN,c_TMAP3IN&lt;1000),"Seg4 map3-100%",IF(AND(K333&gt;=c_TMAP2IN,c_TMAP3IN&gt;c_TMAP2IN),"Seg3 map2-map3",IF(AND(K333&gt;=c_TMAP1IN,c_TMAP2IN&gt;c_TMAP1IN),"Seg2 map1-map2","Seg1 TFWD-map1"))),IF(AND(K333=0,c_TCREEP&gt;0),"Creep",IF(AND(K333&lt;=c_TRNGMIN,K333&gt;=c_TRNGMAX,c_TRNGMIN-c_TRNGMAX&lt;&gt;0),"Regen ramp","Coast (0)")))</f>
        <v>Seg4 map3-100%</v>
      </c>
      <c r="R333" s="7" t="n">
        <f aca="false">IF(K333&gt;=c_TFWD,IF(AND(K333&gt;=c_TMAP3IN,c_TMAP3IN&lt;1000),P333,IF(AND(K333&gt;=c_TMAP2IN,c_TMAP3IN&gt;c_TMAP2IN),O333,IF(AND(K333&gt;=c_TMAP1IN,c_TMAP2IN&gt;c_TMAP1IN),N333,M333))),L333)</f>
        <v>946</v>
      </c>
      <c r="S333" s="7" t="str">
        <f aca="false">IF(R333&lt;-1090,"TOO LOW",IF(R333&gt;1090,"TOO HIGH",""))</f>
        <v/>
      </c>
      <c r="T333" s="15" t="n">
        <f aca="false">IF(H333&lt;&gt;"OK",0,IF(S333&lt;&gt;"",0,IF(R333&gt;979,1000,R333)))</f>
        <v>946</v>
      </c>
      <c r="U333" s="7" t="n">
        <f aca="false">T333/10</f>
        <v>94.6</v>
      </c>
    </row>
    <row r="334" customFormat="false" ht="15" hidden="false" customHeight="false" outlineLevel="0" collapsed="false">
      <c r="A334" s="7" t="n">
        <v>329</v>
      </c>
      <c r="B334" s="7" t="n">
        <f aca="false">ROUND(o_SWSTART+A334*(o_SWEND-o_SWSTART)/400,0)</f>
        <v>3368</v>
      </c>
      <c r="C334" s="7" t="n">
        <f aca="false">QUOTIENT((B334-c_OFF1)*c_GAIN1,1024)</f>
        <v>3368</v>
      </c>
      <c r="D334" s="7" t="n">
        <f aca="false">IF(((c_T1MX)-(c_T1MN))=0,(0)+QUOTIENT(((1000)-(0)),2),QUOTIENT((((C334)-(c_T1MN))*((1000)-(0))+IF(((1000)-(0))&gt;=0,1,-1)*QUOTIENT(((c_T1MX)-(c_T1MN)),2)),((c_T1MX)-(c_T1MN)))+(0)+IF(((1000)-(0))&gt;=0,IF(IF(o_WRAP=1,MOD(((c_T1MX)-(c_T1MN))*(((C334)-(c_T1MN))*((1000)-(0))+IF(((1000)-(0))&gt;=0,1,-1)*QUOTIENT(((c_T1MX)-(c_T1MN)),2))+2147483648,4294967296)-2147483648,((c_T1MX)-(c_T1MN))*(((C334)-(c_T1MN))*((1000)-(0))+IF(((1000)-(0))&gt;=0,1,-1)*QUOTIENT(((c_T1MX)-(c_T1MN)),2)))&lt;0,-1,0),IF(IF(o_WRAP=1,MOD(((c_T1MX)-(c_T1MN))*(((C334)-(c_T1MN))*((1000)-(0))+IF(((1000)-(0))&gt;=0,1,-1)*QUOTIENT(((c_T1MX)-(c_T1MN)),2))+2147483648,4294967296)-2147483648,((c_T1MX)-(c_T1MN))*(((C334)-(c_T1MN))*((1000)-(0))+IF(((1000)-(0))&gt;=0,1,-1)*QUOTIENT(((c_T1MX)-(c_T1MN)),2)))&gt;=0,1,0)))</f>
        <v>959</v>
      </c>
      <c r="E334" s="7" t="n">
        <f aca="false">IF(AND(c_TPOT=1,c_TTYPE=2),1000-D334,D334)</f>
        <v>959</v>
      </c>
      <c r="F334" s="7" t="str">
        <f aca="false">IF(c_TPOT&gt;1,ROUND(IF(c_TTYPE=2,c_T2MX-IF(c_T1MX=c_T1MN,0,(C334-c_T1MN)/(c_T1MX-c_T1MN))*(c_T2MX-c_T2MN),c_T2MN+IF(c_T1MX=c_T1MN,0,(C334-c_T1MN)/(c_T1MX-c_T1MN))*(c_T2MX-c_T2MN))+o_MISMATCH,0),"")</f>
        <v/>
      </c>
      <c r="G334" s="7" t="str">
        <f aca="false">IF(c_TPOT&gt;1,IF(((c_T2MX)-(c_T2MN))=0,(0)+QUOTIENT(((1000)-(0)),2),QUOTIENT((((F334)-(c_T2MN))*((1000)-(0))+IF(((1000)-(0))&gt;=0,1,-1)*QUOTIENT(((c_T2MX)-(c_T2MN)),2)),((c_T2MX)-(c_T2MN)))+(0)+IF(((1000)-(0))&gt;=0,IF(IF(o_WRAP=1,MOD(((c_T2MX)-(c_T2MN))*(((F334)-(c_T2MN))*((1000)-(0))+IF(((1000)-(0))&gt;=0,1,-1)*QUOTIENT(((c_T2MX)-(c_T2MN)),2))+2147483648,4294967296)-2147483648,((c_T2MX)-(c_T2MN))*(((F334)-(c_T2MN))*((1000)-(0))+IF(((1000)-(0))&gt;=0,1,-1)*QUOTIENT(((c_T2MX)-(c_T2MN)),2)))&lt;0,-1,0),IF(IF(o_WRAP=1,MOD(((c_T2MX)-(c_T2MN))*(((F334)-(c_T2MN))*((1000)-(0))+IF(((1000)-(0))&gt;=0,1,-1)*QUOTIENT(((c_T2MX)-(c_T2MN)),2))+2147483648,4294967296)-2147483648,((c_T2MX)-(c_T2MN))*(((F334)-(c_T2MN))*((1000)-(0))+IF(((1000)-(0))&gt;=0,1,-1)*QUOTIENT(((c_T2MX)-(c_T2MN)),2)))&gt;=0,1,0))),"")</f>
        <v/>
      </c>
      <c r="H334" s="7" t="str">
        <f aca="false">IF(E334&gt;1000+k_TOL,"T1 HIGH",IF(E334&lt;0-k_TOL,"T1 LOW",IF(c_TPOT&gt;1,IF(G334&gt;1000+k_TOL,"T2 HIGH",IF(G334&lt;0-k_TOL,"T2 LOW",IF(c_TTYPE=2,IF(ABS(1000-MAX(0,MIN(1000,E334))-MAX(0,MIN(1000,G334)))&gt;k_MAXERR,"MISMATCH","OK"),IF(OR(MAX(0,MIN(1000,E334))-k_MAXERR&gt;MAX(0,MIN(1000,G334)),MAX(0,MIN(1000,G334))-k_MAXERR&gt;MAX(0,MIN(1000,E334))),"MISMATCH","OK")))),"OK")))</f>
        <v>OK</v>
      </c>
      <c r="I334" s="7" t="n">
        <f aca="false">MAX(0,MIN(1000,D334))</f>
        <v>959</v>
      </c>
      <c r="J334" s="7" t="str">
        <f aca="false">IF(c_TPOT&gt;1,IF(c_TTYPE=2,1000-MAX(0,MIN(1000,G334)),MAX(0,MIN(1000,G334))),"")</f>
        <v/>
      </c>
      <c r="K334" s="7" t="n">
        <f aca="false">IF(c_TPOT&gt;1,QUOTIENT(I334+J334,2),I334)</f>
        <v>959</v>
      </c>
      <c r="L334" s="7" t="n">
        <f aca="false">IF(AND(K334=0,c_TCREEP&gt;0),10*c_TCREEP,IF(AND(K334&lt;=c_TRNGMIN,K334&gt;=c_TRNGMAX,c_TRNGMIN-c_TRNGMAX&lt;&gt;0),-10*c_TMINRN+QUOTIENT((c_TMAXRN-c_TMINRN)*(100-QUOTIENT((K334-c_TRNGMAX)*100,c_TRNGMIN-c_TRNGMAX)),-10),0))</f>
        <v>0</v>
      </c>
      <c r="M334" s="7" t="n">
        <f aca="false">IF(((c_TMAP1IN)-(c_TFWD))=0,(0)+QUOTIENT(((c_TMAP1OUT)-(0)),2),QUOTIENT((((K334)-(c_TFWD))*((c_TMAP1OUT)-(0))+IF(((c_TMAP1OUT)-(0))&gt;=0,1,-1)*QUOTIENT(((c_TMAP1IN)-(c_TFWD)),2)),((c_TMAP1IN)-(c_TFWD)))+(0)+IF(((c_TMAP1OUT)-(0))&gt;=0,IF(IF(o_WRAP=1,MOD(((c_TMAP1IN)-(c_TFWD))*(((K334)-(c_TFWD))*((c_TMAP1OUT)-(0))+IF(((c_TMAP1OUT)-(0))&gt;=0,1,-1)*QUOTIENT(((c_TMAP1IN)-(c_TFWD)),2))+2147483648,4294967296)-2147483648,((c_TMAP1IN)-(c_TFWD))*(((K334)-(c_TFWD))*((c_TMAP1OUT)-(0))+IF(((c_TMAP1OUT)-(0))&gt;=0,1,-1)*QUOTIENT(((c_TMAP1IN)-(c_TFWD)),2)))&lt;0,-1,0),IF(IF(o_WRAP=1,MOD(((c_TMAP1IN)-(c_TFWD))*(((K334)-(c_TFWD))*((c_TMAP1OUT)-(0))+IF(((c_TMAP1OUT)-(0))&gt;=0,1,-1)*QUOTIENT(((c_TMAP1IN)-(c_TFWD)),2))+2147483648,4294967296)-2147483648,((c_TMAP1IN)-(c_TFWD))*(((K334)-(c_TFWD))*((c_TMAP1OUT)-(0))+IF(((c_TMAP1OUT)-(0))&gt;=0,1,-1)*QUOTIENT(((c_TMAP1IN)-(c_TFWD)),2)))&gt;=0,1,0)))</f>
        <v>738</v>
      </c>
      <c r="N334" s="7" t="n">
        <f aca="false">IF(((c_TMAP2IN)-(c_TMAP1IN))=0,(c_TMAP1OUT)+QUOTIENT(((c_TMAP2OUT)-(c_TMAP1OUT)),2),QUOTIENT((((K334)-(c_TMAP1IN))*((c_TMAP2OUT)-(c_TMAP1OUT))+IF(((c_TMAP2OUT)-(c_TMAP1OUT))&gt;=0,1,-1)*QUOTIENT(((c_TMAP2IN)-(c_TMAP1IN)),2)),((c_TMAP2IN)-(c_TMAP1IN)))+(c_TMAP1OUT)+IF(((c_TMAP2OUT)-(c_TMAP1OUT))&gt;=0,IF(IF(o_WRAP=1,MOD(((c_TMAP2IN)-(c_TMAP1IN))*(((K334)-(c_TMAP1IN))*((c_TMAP2OUT)-(c_TMAP1OUT))+IF(((c_TMAP2OUT)-(c_TMAP1OUT))&gt;=0,1,-1)*QUOTIENT(((c_TMAP2IN)-(c_TMAP1IN)),2))+2147483648,4294967296)-2147483648,((c_TMAP2IN)-(c_TMAP1IN))*(((K334)-(c_TMAP1IN))*((c_TMAP2OUT)-(c_TMAP1OUT))+IF(((c_TMAP2OUT)-(c_TMAP1OUT))&gt;=0,1,-1)*QUOTIENT(((c_TMAP2IN)-(c_TMAP1IN)),2)))&lt;0,-1,0),IF(IF(o_WRAP=1,MOD(((c_TMAP2IN)-(c_TMAP1IN))*(((K334)-(c_TMAP1IN))*((c_TMAP2OUT)-(c_TMAP1OUT))+IF(((c_TMAP2OUT)-(c_TMAP1OUT))&gt;=0,1,-1)*QUOTIENT(((c_TMAP2IN)-(c_TMAP1IN)),2))+2147483648,4294967296)-2147483648,((c_TMAP2IN)-(c_TMAP1IN))*(((K334)-(c_TMAP1IN))*((c_TMAP2OUT)-(c_TMAP1OUT))+IF(((c_TMAP2OUT)-(c_TMAP1OUT))&gt;=0,1,-1)*QUOTIENT(((c_TMAP2IN)-(c_TMAP1IN)),2)))&gt;=0,1,0)))</f>
        <v>414</v>
      </c>
      <c r="O334" s="7" t="n">
        <f aca="false">IF(((c_TMAP3IN)-(c_TMAP2IN))=0,(c_TMAP2OUT)+QUOTIENT(((c_TMAP3OUT)-(c_TMAP2OUT)),2),QUOTIENT((((K334)-(c_TMAP2IN))*((c_TMAP3OUT)-(c_TMAP2OUT))+IF(((c_TMAP3OUT)-(c_TMAP2OUT))&gt;=0,1,-1)*QUOTIENT(((c_TMAP3IN)-(c_TMAP2IN)),2)),((c_TMAP3IN)-(c_TMAP2IN)))+(c_TMAP2OUT)+IF(((c_TMAP3OUT)-(c_TMAP2OUT))&gt;=0,IF(IF(o_WRAP=1,MOD(((c_TMAP3IN)-(c_TMAP2IN))*(((K334)-(c_TMAP2IN))*((c_TMAP3OUT)-(c_TMAP2OUT))+IF(((c_TMAP3OUT)-(c_TMAP2OUT))&gt;=0,1,-1)*QUOTIENT(((c_TMAP3IN)-(c_TMAP2IN)),2))+2147483648,4294967296)-2147483648,((c_TMAP3IN)-(c_TMAP2IN))*(((K334)-(c_TMAP2IN))*((c_TMAP3OUT)-(c_TMAP2OUT))+IF(((c_TMAP3OUT)-(c_TMAP2OUT))&gt;=0,1,-1)*QUOTIENT(((c_TMAP3IN)-(c_TMAP2IN)),2)))&lt;0,-1,0),IF(IF(o_WRAP=1,MOD(((c_TMAP3IN)-(c_TMAP2IN))*(((K334)-(c_TMAP2IN))*((c_TMAP3OUT)-(c_TMAP2OUT))+IF(((c_TMAP3OUT)-(c_TMAP2OUT))&gt;=0,1,-1)*QUOTIENT(((c_TMAP3IN)-(c_TMAP2IN)),2))+2147483648,4294967296)-2147483648,((c_TMAP3IN)-(c_TMAP2IN))*(((K334)-(c_TMAP2IN))*((c_TMAP3OUT)-(c_TMAP2OUT))+IF(((c_TMAP3OUT)-(c_TMAP2OUT))&gt;=0,1,-1)*QUOTIENT(((c_TMAP3IN)-(c_TMAP2IN)),2)))&gt;=0,1,0)))</f>
        <v>626</v>
      </c>
      <c r="P334" s="7" t="n">
        <f aca="false">IF(((1000)-(c_TMAP3IN))=0,(c_TMAP3OUT)+QUOTIENT(((1000)-(c_TMAP3OUT)),2),QUOTIENT((((K334)-(c_TMAP3IN))*((1000)-(c_TMAP3OUT))+IF(((1000)-(c_TMAP3OUT))&gt;=0,1,-1)*QUOTIENT(((1000)-(c_TMAP3IN)),2)),((1000)-(c_TMAP3IN)))+(c_TMAP3OUT)+IF(((1000)-(c_TMAP3OUT))&gt;=0,IF(IF(o_WRAP=1,MOD(((1000)-(c_TMAP3IN))*(((K334)-(c_TMAP3IN))*((1000)-(c_TMAP3OUT))+IF(((1000)-(c_TMAP3OUT))&gt;=0,1,-1)*QUOTIENT(((1000)-(c_TMAP3IN)),2))+2147483648,4294967296)-2147483648,((1000)-(c_TMAP3IN))*(((K334)-(c_TMAP3IN))*((1000)-(c_TMAP3OUT))+IF(((1000)-(c_TMAP3OUT))&gt;=0,1,-1)*QUOTIENT(((1000)-(c_TMAP3IN)),2)))&lt;0,-1,0),IF(IF(o_WRAP=1,MOD(((1000)-(c_TMAP3IN))*(((K334)-(c_TMAP3IN))*((1000)-(c_TMAP3OUT))+IF(((1000)-(c_TMAP3OUT))&gt;=0,1,-1)*QUOTIENT(((1000)-(c_TMAP3IN)),2))+2147483648,4294967296)-2147483648,((1000)-(c_TMAP3IN))*(((K334)-(c_TMAP3IN))*((1000)-(c_TMAP3OUT))+IF(((1000)-(c_TMAP3OUT))&gt;=0,1,-1)*QUOTIENT(((1000)-(c_TMAP3IN)),2)))&gt;=0,1,0)))</f>
        <v>950</v>
      </c>
      <c r="Q334" s="7" t="str">
        <f aca="false">IF(K334&gt;=c_TFWD,IF(AND(K334&gt;=c_TMAP3IN,c_TMAP3IN&lt;1000),"Seg4 map3-100%",IF(AND(K334&gt;=c_TMAP2IN,c_TMAP3IN&gt;c_TMAP2IN),"Seg3 map2-map3",IF(AND(K334&gt;=c_TMAP1IN,c_TMAP2IN&gt;c_TMAP1IN),"Seg2 map1-map2","Seg1 TFWD-map1"))),IF(AND(K334=0,c_TCREEP&gt;0),"Creep",IF(AND(K334&lt;=c_TRNGMIN,K334&gt;=c_TRNGMAX,c_TRNGMIN-c_TRNGMAX&lt;&gt;0),"Regen ramp","Coast (0)")))</f>
        <v>Seg4 map3-100%</v>
      </c>
      <c r="R334" s="7" t="n">
        <f aca="false">IF(K334&gt;=c_TFWD,IF(AND(K334&gt;=c_TMAP3IN,c_TMAP3IN&lt;1000),P334,IF(AND(K334&gt;=c_TMAP2IN,c_TMAP3IN&gt;c_TMAP2IN),O334,IF(AND(K334&gt;=c_TMAP1IN,c_TMAP2IN&gt;c_TMAP1IN),N334,M334))),L334)</f>
        <v>950</v>
      </c>
      <c r="S334" s="7" t="str">
        <f aca="false">IF(R334&lt;-1090,"TOO LOW",IF(R334&gt;1090,"TOO HIGH",""))</f>
        <v/>
      </c>
      <c r="T334" s="15" t="n">
        <f aca="false">IF(H334&lt;&gt;"OK",0,IF(S334&lt;&gt;"",0,IF(R334&gt;979,1000,R334)))</f>
        <v>950</v>
      </c>
      <c r="U334" s="7" t="n">
        <f aca="false">T334/10</f>
        <v>95</v>
      </c>
    </row>
    <row r="335" customFormat="false" ht="15" hidden="false" customHeight="false" outlineLevel="0" collapsed="false">
      <c r="A335" s="7" t="n">
        <v>330</v>
      </c>
      <c r="B335" s="7" t="n">
        <f aca="false">ROUND(o_SWSTART+A335*(o_SWEND-o_SWSTART)/400,0)</f>
        <v>3378</v>
      </c>
      <c r="C335" s="7" t="n">
        <f aca="false">QUOTIENT((B335-c_OFF1)*c_GAIN1,1024)</f>
        <v>3378</v>
      </c>
      <c r="D335" s="7" t="n">
        <f aca="false">IF(((c_T1MX)-(c_T1MN))=0,(0)+QUOTIENT(((1000)-(0)),2),QUOTIENT((((C335)-(c_T1MN))*((1000)-(0))+IF(((1000)-(0))&gt;=0,1,-1)*QUOTIENT(((c_T1MX)-(c_T1MN)),2)),((c_T1MX)-(c_T1MN)))+(0)+IF(((1000)-(0))&gt;=0,IF(IF(o_WRAP=1,MOD(((c_T1MX)-(c_T1MN))*(((C335)-(c_T1MN))*((1000)-(0))+IF(((1000)-(0))&gt;=0,1,-1)*QUOTIENT(((c_T1MX)-(c_T1MN)),2))+2147483648,4294967296)-2147483648,((c_T1MX)-(c_T1MN))*(((C335)-(c_T1MN))*((1000)-(0))+IF(((1000)-(0))&gt;=0,1,-1)*QUOTIENT(((c_T1MX)-(c_T1MN)),2)))&lt;0,-1,0),IF(IF(o_WRAP=1,MOD(((c_T1MX)-(c_T1MN))*(((C335)-(c_T1MN))*((1000)-(0))+IF(((1000)-(0))&gt;=0,1,-1)*QUOTIENT(((c_T1MX)-(c_T1MN)),2))+2147483648,4294967296)-2147483648,((c_T1MX)-(c_T1MN))*(((C335)-(c_T1MN))*((1000)-(0))+IF(((1000)-(0))&gt;=0,1,-1)*QUOTIENT(((c_T1MX)-(c_T1MN)),2)))&gt;=0,1,0)))</f>
        <v>963</v>
      </c>
      <c r="E335" s="7" t="n">
        <f aca="false">IF(AND(c_TPOT=1,c_TTYPE=2),1000-D335,D335)</f>
        <v>963</v>
      </c>
      <c r="F335" s="7" t="str">
        <f aca="false">IF(c_TPOT&gt;1,ROUND(IF(c_TTYPE=2,c_T2MX-IF(c_T1MX=c_T1MN,0,(C335-c_T1MN)/(c_T1MX-c_T1MN))*(c_T2MX-c_T2MN),c_T2MN+IF(c_T1MX=c_T1MN,0,(C335-c_T1MN)/(c_T1MX-c_T1MN))*(c_T2MX-c_T2MN))+o_MISMATCH,0),"")</f>
        <v/>
      </c>
      <c r="G335" s="7" t="str">
        <f aca="false">IF(c_TPOT&gt;1,IF(((c_T2MX)-(c_T2MN))=0,(0)+QUOTIENT(((1000)-(0)),2),QUOTIENT((((F335)-(c_T2MN))*((1000)-(0))+IF(((1000)-(0))&gt;=0,1,-1)*QUOTIENT(((c_T2MX)-(c_T2MN)),2)),((c_T2MX)-(c_T2MN)))+(0)+IF(((1000)-(0))&gt;=0,IF(IF(o_WRAP=1,MOD(((c_T2MX)-(c_T2MN))*(((F335)-(c_T2MN))*((1000)-(0))+IF(((1000)-(0))&gt;=0,1,-1)*QUOTIENT(((c_T2MX)-(c_T2MN)),2))+2147483648,4294967296)-2147483648,((c_T2MX)-(c_T2MN))*(((F335)-(c_T2MN))*((1000)-(0))+IF(((1000)-(0))&gt;=0,1,-1)*QUOTIENT(((c_T2MX)-(c_T2MN)),2)))&lt;0,-1,0),IF(IF(o_WRAP=1,MOD(((c_T2MX)-(c_T2MN))*(((F335)-(c_T2MN))*((1000)-(0))+IF(((1000)-(0))&gt;=0,1,-1)*QUOTIENT(((c_T2MX)-(c_T2MN)),2))+2147483648,4294967296)-2147483648,((c_T2MX)-(c_T2MN))*(((F335)-(c_T2MN))*((1000)-(0))+IF(((1000)-(0))&gt;=0,1,-1)*QUOTIENT(((c_T2MX)-(c_T2MN)),2)))&gt;=0,1,0))),"")</f>
        <v/>
      </c>
      <c r="H335" s="7" t="str">
        <f aca="false">IF(E335&gt;1000+k_TOL,"T1 HIGH",IF(E335&lt;0-k_TOL,"T1 LOW",IF(c_TPOT&gt;1,IF(G335&gt;1000+k_TOL,"T2 HIGH",IF(G335&lt;0-k_TOL,"T2 LOW",IF(c_TTYPE=2,IF(ABS(1000-MAX(0,MIN(1000,E335))-MAX(0,MIN(1000,G335)))&gt;k_MAXERR,"MISMATCH","OK"),IF(OR(MAX(0,MIN(1000,E335))-k_MAXERR&gt;MAX(0,MIN(1000,G335)),MAX(0,MIN(1000,G335))-k_MAXERR&gt;MAX(0,MIN(1000,E335))),"MISMATCH","OK")))),"OK")))</f>
        <v>OK</v>
      </c>
      <c r="I335" s="7" t="n">
        <f aca="false">MAX(0,MIN(1000,D335))</f>
        <v>963</v>
      </c>
      <c r="J335" s="7" t="str">
        <f aca="false">IF(c_TPOT&gt;1,IF(c_TTYPE=2,1000-MAX(0,MIN(1000,G335)),MAX(0,MIN(1000,G335))),"")</f>
        <v/>
      </c>
      <c r="K335" s="7" t="n">
        <f aca="false">IF(c_TPOT&gt;1,QUOTIENT(I335+J335,2),I335)</f>
        <v>963</v>
      </c>
      <c r="L335" s="7" t="n">
        <f aca="false">IF(AND(K335=0,c_TCREEP&gt;0),10*c_TCREEP,IF(AND(K335&lt;=c_TRNGMIN,K335&gt;=c_TRNGMAX,c_TRNGMIN-c_TRNGMAX&lt;&gt;0),-10*c_TMINRN+QUOTIENT((c_TMAXRN-c_TMINRN)*(100-QUOTIENT((K335-c_TRNGMAX)*100,c_TRNGMIN-c_TRNGMAX)),-10),0))</f>
        <v>0</v>
      </c>
      <c r="M335" s="7" t="n">
        <f aca="false">IF(((c_TMAP1IN)-(c_TFWD))=0,(0)+QUOTIENT(((c_TMAP1OUT)-(0)),2),QUOTIENT((((K335)-(c_TFWD))*((c_TMAP1OUT)-(0))+IF(((c_TMAP1OUT)-(0))&gt;=0,1,-1)*QUOTIENT(((c_TMAP1IN)-(c_TFWD)),2)),((c_TMAP1IN)-(c_TFWD)))+(0)+IF(((c_TMAP1OUT)-(0))&gt;=0,IF(IF(o_WRAP=1,MOD(((c_TMAP1IN)-(c_TFWD))*(((K335)-(c_TFWD))*((c_TMAP1OUT)-(0))+IF(((c_TMAP1OUT)-(0))&gt;=0,1,-1)*QUOTIENT(((c_TMAP1IN)-(c_TFWD)),2))+2147483648,4294967296)-2147483648,((c_TMAP1IN)-(c_TFWD))*(((K335)-(c_TFWD))*((c_TMAP1OUT)-(0))+IF(((c_TMAP1OUT)-(0))&gt;=0,1,-1)*QUOTIENT(((c_TMAP1IN)-(c_TFWD)),2)))&lt;0,-1,0),IF(IF(o_WRAP=1,MOD(((c_TMAP1IN)-(c_TFWD))*(((K335)-(c_TFWD))*((c_TMAP1OUT)-(0))+IF(((c_TMAP1OUT)-(0))&gt;=0,1,-1)*QUOTIENT(((c_TMAP1IN)-(c_TFWD)),2))+2147483648,4294967296)-2147483648,((c_TMAP1IN)-(c_TFWD))*(((K335)-(c_TFWD))*((c_TMAP1OUT)-(0))+IF(((c_TMAP1OUT)-(0))&gt;=0,1,-1)*QUOTIENT(((c_TMAP1IN)-(c_TFWD)),2)))&gt;=0,1,0)))</f>
        <v>741</v>
      </c>
      <c r="N335" s="7" t="n">
        <f aca="false">IF(((c_TMAP2IN)-(c_TMAP1IN))=0,(c_TMAP1OUT)+QUOTIENT(((c_TMAP2OUT)-(c_TMAP1OUT)),2),QUOTIENT((((K335)-(c_TMAP1IN))*((c_TMAP2OUT)-(c_TMAP1OUT))+IF(((c_TMAP2OUT)-(c_TMAP1OUT))&gt;=0,1,-1)*QUOTIENT(((c_TMAP2IN)-(c_TMAP1IN)),2)),((c_TMAP2IN)-(c_TMAP1IN)))+(c_TMAP1OUT)+IF(((c_TMAP2OUT)-(c_TMAP1OUT))&gt;=0,IF(IF(o_WRAP=1,MOD(((c_TMAP2IN)-(c_TMAP1IN))*(((K335)-(c_TMAP1IN))*((c_TMAP2OUT)-(c_TMAP1OUT))+IF(((c_TMAP2OUT)-(c_TMAP1OUT))&gt;=0,1,-1)*QUOTIENT(((c_TMAP2IN)-(c_TMAP1IN)),2))+2147483648,4294967296)-2147483648,((c_TMAP2IN)-(c_TMAP1IN))*(((K335)-(c_TMAP1IN))*((c_TMAP2OUT)-(c_TMAP1OUT))+IF(((c_TMAP2OUT)-(c_TMAP1OUT))&gt;=0,1,-1)*QUOTIENT(((c_TMAP2IN)-(c_TMAP1IN)),2)))&lt;0,-1,0),IF(IF(o_WRAP=1,MOD(((c_TMAP2IN)-(c_TMAP1IN))*(((K335)-(c_TMAP1IN))*((c_TMAP2OUT)-(c_TMAP1OUT))+IF(((c_TMAP2OUT)-(c_TMAP1OUT))&gt;=0,1,-1)*QUOTIENT(((c_TMAP2IN)-(c_TMAP1IN)),2))+2147483648,4294967296)-2147483648,((c_TMAP2IN)-(c_TMAP1IN))*(((K335)-(c_TMAP1IN))*((c_TMAP2OUT)-(c_TMAP1OUT))+IF(((c_TMAP2OUT)-(c_TMAP1OUT))&gt;=0,1,-1)*QUOTIENT(((c_TMAP2IN)-(c_TMAP1IN)),2)))&gt;=0,1,0)))</f>
        <v>415</v>
      </c>
      <c r="O335" s="7" t="n">
        <f aca="false">IF(((c_TMAP3IN)-(c_TMAP2IN))=0,(c_TMAP2OUT)+QUOTIENT(((c_TMAP3OUT)-(c_TMAP2OUT)),2),QUOTIENT((((K335)-(c_TMAP2IN))*((c_TMAP3OUT)-(c_TMAP2OUT))+IF(((c_TMAP3OUT)-(c_TMAP2OUT))&gt;=0,1,-1)*QUOTIENT(((c_TMAP3IN)-(c_TMAP2IN)),2)),((c_TMAP3IN)-(c_TMAP2IN)))+(c_TMAP2OUT)+IF(((c_TMAP3OUT)-(c_TMAP2OUT))&gt;=0,IF(IF(o_WRAP=1,MOD(((c_TMAP3IN)-(c_TMAP2IN))*(((K335)-(c_TMAP2IN))*((c_TMAP3OUT)-(c_TMAP2OUT))+IF(((c_TMAP3OUT)-(c_TMAP2OUT))&gt;=0,1,-1)*QUOTIENT(((c_TMAP3IN)-(c_TMAP2IN)),2))+2147483648,4294967296)-2147483648,((c_TMAP3IN)-(c_TMAP2IN))*(((K335)-(c_TMAP2IN))*((c_TMAP3OUT)-(c_TMAP2OUT))+IF(((c_TMAP3OUT)-(c_TMAP2OUT))&gt;=0,1,-1)*QUOTIENT(((c_TMAP3IN)-(c_TMAP2IN)),2)))&lt;0,-1,0),IF(IF(o_WRAP=1,MOD(((c_TMAP3IN)-(c_TMAP2IN))*(((K335)-(c_TMAP2IN))*((c_TMAP3OUT)-(c_TMAP2OUT))+IF(((c_TMAP3OUT)-(c_TMAP2OUT))&gt;=0,1,-1)*QUOTIENT(((c_TMAP3IN)-(c_TMAP2IN)),2))+2147483648,4294967296)-2147483648,((c_TMAP3IN)-(c_TMAP2IN))*(((K335)-(c_TMAP2IN))*((c_TMAP3OUT)-(c_TMAP2OUT))+IF(((c_TMAP3OUT)-(c_TMAP2OUT))&gt;=0,1,-1)*QUOTIENT(((c_TMAP3IN)-(c_TMAP2IN)),2)))&gt;=0,1,0)))</f>
        <v>629</v>
      </c>
      <c r="P335" s="7" t="n">
        <f aca="false">IF(((1000)-(c_TMAP3IN))=0,(c_TMAP3OUT)+QUOTIENT(((1000)-(c_TMAP3OUT)),2),QUOTIENT((((K335)-(c_TMAP3IN))*((1000)-(c_TMAP3OUT))+IF(((1000)-(c_TMAP3OUT))&gt;=0,1,-1)*QUOTIENT(((1000)-(c_TMAP3IN)),2)),((1000)-(c_TMAP3IN)))+(c_TMAP3OUT)+IF(((1000)-(c_TMAP3OUT))&gt;=0,IF(IF(o_WRAP=1,MOD(((1000)-(c_TMAP3IN))*(((K335)-(c_TMAP3IN))*((1000)-(c_TMAP3OUT))+IF(((1000)-(c_TMAP3OUT))&gt;=0,1,-1)*QUOTIENT(((1000)-(c_TMAP3IN)),2))+2147483648,4294967296)-2147483648,((1000)-(c_TMAP3IN))*(((K335)-(c_TMAP3IN))*((1000)-(c_TMAP3OUT))+IF(((1000)-(c_TMAP3OUT))&gt;=0,1,-1)*QUOTIENT(((1000)-(c_TMAP3IN)),2)))&lt;0,-1,0),IF(IF(o_WRAP=1,MOD(((1000)-(c_TMAP3IN))*(((K335)-(c_TMAP3IN))*((1000)-(c_TMAP3OUT))+IF(((1000)-(c_TMAP3OUT))&gt;=0,1,-1)*QUOTIENT(((1000)-(c_TMAP3IN)),2))+2147483648,4294967296)-2147483648,((1000)-(c_TMAP3IN))*(((K335)-(c_TMAP3IN))*((1000)-(c_TMAP3OUT))+IF(((1000)-(c_TMAP3OUT))&gt;=0,1,-1)*QUOTIENT(((1000)-(c_TMAP3IN)),2)))&gt;=0,1,0)))</f>
        <v>954</v>
      </c>
      <c r="Q335" s="7" t="str">
        <f aca="false">IF(K335&gt;=c_TFWD,IF(AND(K335&gt;=c_TMAP3IN,c_TMAP3IN&lt;1000),"Seg4 map3-100%",IF(AND(K335&gt;=c_TMAP2IN,c_TMAP3IN&gt;c_TMAP2IN),"Seg3 map2-map3",IF(AND(K335&gt;=c_TMAP1IN,c_TMAP2IN&gt;c_TMAP1IN),"Seg2 map1-map2","Seg1 TFWD-map1"))),IF(AND(K335=0,c_TCREEP&gt;0),"Creep",IF(AND(K335&lt;=c_TRNGMIN,K335&gt;=c_TRNGMAX,c_TRNGMIN-c_TRNGMAX&lt;&gt;0),"Regen ramp","Coast (0)")))</f>
        <v>Seg4 map3-100%</v>
      </c>
      <c r="R335" s="7" t="n">
        <f aca="false">IF(K335&gt;=c_TFWD,IF(AND(K335&gt;=c_TMAP3IN,c_TMAP3IN&lt;1000),P335,IF(AND(K335&gt;=c_TMAP2IN,c_TMAP3IN&gt;c_TMAP2IN),O335,IF(AND(K335&gt;=c_TMAP1IN,c_TMAP2IN&gt;c_TMAP1IN),N335,M335))),L335)</f>
        <v>954</v>
      </c>
      <c r="S335" s="7" t="str">
        <f aca="false">IF(R335&lt;-1090,"TOO LOW",IF(R335&gt;1090,"TOO HIGH",""))</f>
        <v/>
      </c>
      <c r="T335" s="15" t="n">
        <f aca="false">IF(H335&lt;&gt;"OK",0,IF(S335&lt;&gt;"",0,IF(R335&gt;979,1000,R335)))</f>
        <v>954</v>
      </c>
      <c r="U335" s="7" t="n">
        <f aca="false">T335/10</f>
        <v>95.4</v>
      </c>
    </row>
    <row r="336" customFormat="false" ht="15" hidden="false" customHeight="false" outlineLevel="0" collapsed="false">
      <c r="A336" s="7" t="n">
        <v>331</v>
      </c>
      <c r="B336" s="7" t="n">
        <f aca="false">ROUND(o_SWSTART+A336*(o_SWEND-o_SWSTART)/400,0)</f>
        <v>3389</v>
      </c>
      <c r="C336" s="7" t="n">
        <f aca="false">QUOTIENT((B336-c_OFF1)*c_GAIN1,1024)</f>
        <v>3389</v>
      </c>
      <c r="D336" s="7" t="n">
        <f aca="false">IF(((c_T1MX)-(c_T1MN))=0,(0)+QUOTIENT(((1000)-(0)),2),QUOTIENT((((C336)-(c_T1MN))*((1000)-(0))+IF(((1000)-(0))&gt;=0,1,-1)*QUOTIENT(((c_T1MX)-(c_T1MN)),2)),((c_T1MX)-(c_T1MN)))+(0)+IF(((1000)-(0))&gt;=0,IF(IF(o_WRAP=1,MOD(((c_T1MX)-(c_T1MN))*(((C336)-(c_T1MN))*((1000)-(0))+IF(((1000)-(0))&gt;=0,1,-1)*QUOTIENT(((c_T1MX)-(c_T1MN)),2))+2147483648,4294967296)-2147483648,((c_T1MX)-(c_T1MN))*(((C336)-(c_T1MN))*((1000)-(0))+IF(((1000)-(0))&gt;=0,1,-1)*QUOTIENT(((c_T1MX)-(c_T1MN)),2)))&lt;0,-1,0),IF(IF(o_WRAP=1,MOD(((c_T1MX)-(c_T1MN))*(((C336)-(c_T1MN))*((1000)-(0))+IF(((1000)-(0))&gt;=0,1,-1)*QUOTIENT(((c_T1MX)-(c_T1MN)),2))+2147483648,4294967296)-2147483648,((c_T1MX)-(c_T1MN))*(((C336)-(c_T1MN))*((1000)-(0))+IF(((1000)-(0))&gt;=0,1,-1)*QUOTIENT(((c_T1MX)-(c_T1MN)),2)))&gt;=0,1,0)))</f>
        <v>967</v>
      </c>
      <c r="E336" s="7" t="n">
        <f aca="false">IF(AND(c_TPOT=1,c_TTYPE=2),1000-D336,D336)</f>
        <v>967</v>
      </c>
      <c r="F336" s="7" t="str">
        <f aca="false">IF(c_TPOT&gt;1,ROUND(IF(c_TTYPE=2,c_T2MX-IF(c_T1MX=c_T1MN,0,(C336-c_T1MN)/(c_T1MX-c_T1MN))*(c_T2MX-c_T2MN),c_T2MN+IF(c_T1MX=c_T1MN,0,(C336-c_T1MN)/(c_T1MX-c_T1MN))*(c_T2MX-c_T2MN))+o_MISMATCH,0),"")</f>
        <v/>
      </c>
      <c r="G336" s="7" t="str">
        <f aca="false">IF(c_TPOT&gt;1,IF(((c_T2MX)-(c_T2MN))=0,(0)+QUOTIENT(((1000)-(0)),2),QUOTIENT((((F336)-(c_T2MN))*((1000)-(0))+IF(((1000)-(0))&gt;=0,1,-1)*QUOTIENT(((c_T2MX)-(c_T2MN)),2)),((c_T2MX)-(c_T2MN)))+(0)+IF(((1000)-(0))&gt;=0,IF(IF(o_WRAP=1,MOD(((c_T2MX)-(c_T2MN))*(((F336)-(c_T2MN))*((1000)-(0))+IF(((1000)-(0))&gt;=0,1,-1)*QUOTIENT(((c_T2MX)-(c_T2MN)),2))+2147483648,4294967296)-2147483648,((c_T2MX)-(c_T2MN))*(((F336)-(c_T2MN))*((1000)-(0))+IF(((1000)-(0))&gt;=0,1,-1)*QUOTIENT(((c_T2MX)-(c_T2MN)),2)))&lt;0,-1,0),IF(IF(o_WRAP=1,MOD(((c_T2MX)-(c_T2MN))*(((F336)-(c_T2MN))*((1000)-(0))+IF(((1000)-(0))&gt;=0,1,-1)*QUOTIENT(((c_T2MX)-(c_T2MN)),2))+2147483648,4294967296)-2147483648,((c_T2MX)-(c_T2MN))*(((F336)-(c_T2MN))*((1000)-(0))+IF(((1000)-(0))&gt;=0,1,-1)*QUOTIENT(((c_T2MX)-(c_T2MN)),2)))&gt;=0,1,0))),"")</f>
        <v/>
      </c>
      <c r="H336" s="7" t="str">
        <f aca="false">IF(E336&gt;1000+k_TOL,"T1 HIGH",IF(E336&lt;0-k_TOL,"T1 LOW",IF(c_TPOT&gt;1,IF(G336&gt;1000+k_TOL,"T2 HIGH",IF(G336&lt;0-k_TOL,"T2 LOW",IF(c_TTYPE=2,IF(ABS(1000-MAX(0,MIN(1000,E336))-MAX(0,MIN(1000,G336)))&gt;k_MAXERR,"MISMATCH","OK"),IF(OR(MAX(0,MIN(1000,E336))-k_MAXERR&gt;MAX(0,MIN(1000,G336)),MAX(0,MIN(1000,G336))-k_MAXERR&gt;MAX(0,MIN(1000,E336))),"MISMATCH","OK")))),"OK")))</f>
        <v>OK</v>
      </c>
      <c r="I336" s="7" t="n">
        <f aca="false">MAX(0,MIN(1000,D336))</f>
        <v>967</v>
      </c>
      <c r="J336" s="7" t="str">
        <f aca="false">IF(c_TPOT&gt;1,IF(c_TTYPE=2,1000-MAX(0,MIN(1000,G336)),MAX(0,MIN(1000,G336))),"")</f>
        <v/>
      </c>
      <c r="K336" s="7" t="n">
        <f aca="false">IF(c_TPOT&gt;1,QUOTIENT(I336+J336,2),I336)</f>
        <v>967</v>
      </c>
      <c r="L336" s="7" t="n">
        <f aca="false">IF(AND(K336=0,c_TCREEP&gt;0),10*c_TCREEP,IF(AND(K336&lt;=c_TRNGMIN,K336&gt;=c_TRNGMAX,c_TRNGMIN-c_TRNGMAX&lt;&gt;0),-10*c_TMINRN+QUOTIENT((c_TMAXRN-c_TMINRN)*(100-QUOTIENT((K336-c_TRNGMAX)*100,c_TRNGMIN-c_TRNGMAX)),-10),0))</f>
        <v>0</v>
      </c>
      <c r="M336" s="7" t="n">
        <f aca="false">IF(((c_TMAP1IN)-(c_TFWD))=0,(0)+QUOTIENT(((c_TMAP1OUT)-(0)),2),QUOTIENT((((K336)-(c_TFWD))*((c_TMAP1OUT)-(0))+IF(((c_TMAP1OUT)-(0))&gt;=0,1,-1)*QUOTIENT(((c_TMAP1IN)-(c_TFWD)),2)),((c_TMAP1IN)-(c_TFWD)))+(0)+IF(((c_TMAP1OUT)-(0))&gt;=0,IF(IF(o_WRAP=1,MOD(((c_TMAP1IN)-(c_TFWD))*(((K336)-(c_TFWD))*((c_TMAP1OUT)-(0))+IF(((c_TMAP1OUT)-(0))&gt;=0,1,-1)*QUOTIENT(((c_TMAP1IN)-(c_TFWD)),2))+2147483648,4294967296)-2147483648,((c_TMAP1IN)-(c_TFWD))*(((K336)-(c_TFWD))*((c_TMAP1OUT)-(0))+IF(((c_TMAP1OUT)-(0))&gt;=0,1,-1)*QUOTIENT(((c_TMAP1IN)-(c_TFWD)),2)))&lt;0,-1,0),IF(IF(o_WRAP=1,MOD(((c_TMAP1IN)-(c_TFWD))*(((K336)-(c_TFWD))*((c_TMAP1OUT)-(0))+IF(((c_TMAP1OUT)-(0))&gt;=0,1,-1)*QUOTIENT(((c_TMAP1IN)-(c_TFWD)),2))+2147483648,4294967296)-2147483648,((c_TMAP1IN)-(c_TFWD))*(((K336)-(c_TFWD))*((c_TMAP1OUT)-(0))+IF(((c_TMAP1OUT)-(0))&gt;=0,1,-1)*QUOTIENT(((c_TMAP1IN)-(c_TFWD)),2)))&gt;=0,1,0)))</f>
        <v>744</v>
      </c>
      <c r="N336" s="7" t="n">
        <f aca="false">IF(((c_TMAP2IN)-(c_TMAP1IN))=0,(c_TMAP1OUT)+QUOTIENT(((c_TMAP2OUT)-(c_TMAP1OUT)),2),QUOTIENT((((K336)-(c_TMAP1IN))*((c_TMAP2OUT)-(c_TMAP1OUT))+IF(((c_TMAP2OUT)-(c_TMAP1OUT))&gt;=0,1,-1)*QUOTIENT(((c_TMAP2IN)-(c_TMAP1IN)),2)),((c_TMAP2IN)-(c_TMAP1IN)))+(c_TMAP1OUT)+IF(((c_TMAP2OUT)-(c_TMAP1OUT))&gt;=0,IF(IF(o_WRAP=1,MOD(((c_TMAP2IN)-(c_TMAP1IN))*(((K336)-(c_TMAP1IN))*((c_TMAP2OUT)-(c_TMAP1OUT))+IF(((c_TMAP2OUT)-(c_TMAP1OUT))&gt;=0,1,-1)*QUOTIENT(((c_TMAP2IN)-(c_TMAP1IN)),2))+2147483648,4294967296)-2147483648,((c_TMAP2IN)-(c_TMAP1IN))*(((K336)-(c_TMAP1IN))*((c_TMAP2OUT)-(c_TMAP1OUT))+IF(((c_TMAP2OUT)-(c_TMAP1OUT))&gt;=0,1,-1)*QUOTIENT(((c_TMAP2IN)-(c_TMAP1IN)),2)))&lt;0,-1,0),IF(IF(o_WRAP=1,MOD(((c_TMAP2IN)-(c_TMAP1IN))*(((K336)-(c_TMAP1IN))*((c_TMAP2OUT)-(c_TMAP1OUT))+IF(((c_TMAP2OUT)-(c_TMAP1OUT))&gt;=0,1,-1)*QUOTIENT(((c_TMAP2IN)-(c_TMAP1IN)),2))+2147483648,4294967296)-2147483648,((c_TMAP2IN)-(c_TMAP1IN))*(((K336)-(c_TMAP1IN))*((c_TMAP2OUT)-(c_TMAP1OUT))+IF(((c_TMAP2OUT)-(c_TMAP1OUT))&gt;=0,1,-1)*QUOTIENT(((c_TMAP2IN)-(c_TMAP1IN)),2)))&gt;=0,1,0)))</f>
        <v>417</v>
      </c>
      <c r="O336" s="7" t="n">
        <f aca="false">IF(((c_TMAP3IN)-(c_TMAP2IN))=0,(c_TMAP2OUT)+QUOTIENT(((c_TMAP3OUT)-(c_TMAP2OUT)),2),QUOTIENT((((K336)-(c_TMAP2IN))*((c_TMAP3OUT)-(c_TMAP2OUT))+IF(((c_TMAP3OUT)-(c_TMAP2OUT))&gt;=0,1,-1)*QUOTIENT(((c_TMAP3IN)-(c_TMAP2IN)),2)),((c_TMAP3IN)-(c_TMAP2IN)))+(c_TMAP2OUT)+IF(((c_TMAP3OUT)-(c_TMAP2OUT))&gt;=0,IF(IF(o_WRAP=1,MOD(((c_TMAP3IN)-(c_TMAP2IN))*(((K336)-(c_TMAP2IN))*((c_TMAP3OUT)-(c_TMAP2OUT))+IF(((c_TMAP3OUT)-(c_TMAP2OUT))&gt;=0,1,-1)*QUOTIENT(((c_TMAP3IN)-(c_TMAP2IN)),2))+2147483648,4294967296)-2147483648,((c_TMAP3IN)-(c_TMAP2IN))*(((K336)-(c_TMAP2IN))*((c_TMAP3OUT)-(c_TMAP2OUT))+IF(((c_TMAP3OUT)-(c_TMAP2OUT))&gt;=0,1,-1)*QUOTIENT(((c_TMAP3IN)-(c_TMAP2IN)),2)))&lt;0,-1,0),IF(IF(o_WRAP=1,MOD(((c_TMAP3IN)-(c_TMAP2IN))*(((K336)-(c_TMAP2IN))*((c_TMAP3OUT)-(c_TMAP2OUT))+IF(((c_TMAP3OUT)-(c_TMAP2OUT))&gt;=0,1,-1)*QUOTIENT(((c_TMAP3IN)-(c_TMAP2IN)),2))+2147483648,4294967296)-2147483648,((c_TMAP3IN)-(c_TMAP2IN))*(((K336)-(c_TMAP2IN))*((c_TMAP3OUT)-(c_TMAP2OUT))+IF(((c_TMAP3OUT)-(c_TMAP2OUT))&gt;=0,1,-1)*QUOTIENT(((c_TMAP3IN)-(c_TMAP2IN)),2)))&gt;=0,1,0)))</f>
        <v>632</v>
      </c>
      <c r="P336" s="7" t="n">
        <f aca="false">IF(((1000)-(c_TMAP3IN))=0,(c_TMAP3OUT)+QUOTIENT(((1000)-(c_TMAP3OUT)),2),QUOTIENT((((K336)-(c_TMAP3IN))*((1000)-(c_TMAP3OUT))+IF(((1000)-(c_TMAP3OUT))&gt;=0,1,-1)*QUOTIENT(((1000)-(c_TMAP3IN)),2)),((1000)-(c_TMAP3IN)))+(c_TMAP3OUT)+IF(((1000)-(c_TMAP3OUT))&gt;=0,IF(IF(o_WRAP=1,MOD(((1000)-(c_TMAP3IN))*(((K336)-(c_TMAP3IN))*((1000)-(c_TMAP3OUT))+IF(((1000)-(c_TMAP3OUT))&gt;=0,1,-1)*QUOTIENT(((1000)-(c_TMAP3IN)),2))+2147483648,4294967296)-2147483648,((1000)-(c_TMAP3IN))*(((K336)-(c_TMAP3IN))*((1000)-(c_TMAP3OUT))+IF(((1000)-(c_TMAP3OUT))&gt;=0,1,-1)*QUOTIENT(((1000)-(c_TMAP3IN)),2)))&lt;0,-1,0),IF(IF(o_WRAP=1,MOD(((1000)-(c_TMAP3IN))*(((K336)-(c_TMAP3IN))*((1000)-(c_TMAP3OUT))+IF(((1000)-(c_TMAP3OUT))&gt;=0,1,-1)*QUOTIENT(((1000)-(c_TMAP3IN)),2))+2147483648,4294967296)-2147483648,((1000)-(c_TMAP3IN))*(((K336)-(c_TMAP3IN))*((1000)-(c_TMAP3OUT))+IF(((1000)-(c_TMAP3OUT))&gt;=0,1,-1)*QUOTIENT(((1000)-(c_TMAP3IN)),2)))&gt;=0,1,0)))</f>
        <v>959</v>
      </c>
      <c r="Q336" s="7" t="str">
        <f aca="false">IF(K336&gt;=c_TFWD,IF(AND(K336&gt;=c_TMAP3IN,c_TMAP3IN&lt;1000),"Seg4 map3-100%",IF(AND(K336&gt;=c_TMAP2IN,c_TMAP3IN&gt;c_TMAP2IN),"Seg3 map2-map3",IF(AND(K336&gt;=c_TMAP1IN,c_TMAP2IN&gt;c_TMAP1IN),"Seg2 map1-map2","Seg1 TFWD-map1"))),IF(AND(K336=0,c_TCREEP&gt;0),"Creep",IF(AND(K336&lt;=c_TRNGMIN,K336&gt;=c_TRNGMAX,c_TRNGMIN-c_TRNGMAX&lt;&gt;0),"Regen ramp","Coast (0)")))</f>
        <v>Seg4 map3-100%</v>
      </c>
      <c r="R336" s="7" t="n">
        <f aca="false">IF(K336&gt;=c_TFWD,IF(AND(K336&gt;=c_TMAP3IN,c_TMAP3IN&lt;1000),P336,IF(AND(K336&gt;=c_TMAP2IN,c_TMAP3IN&gt;c_TMAP2IN),O336,IF(AND(K336&gt;=c_TMAP1IN,c_TMAP2IN&gt;c_TMAP1IN),N336,M336))),L336)</f>
        <v>959</v>
      </c>
      <c r="S336" s="7" t="str">
        <f aca="false">IF(R336&lt;-1090,"TOO LOW",IF(R336&gt;1090,"TOO HIGH",""))</f>
        <v/>
      </c>
      <c r="T336" s="15" t="n">
        <f aca="false">IF(H336&lt;&gt;"OK",0,IF(S336&lt;&gt;"",0,IF(R336&gt;979,1000,R336)))</f>
        <v>959</v>
      </c>
      <c r="U336" s="7" t="n">
        <f aca="false">T336/10</f>
        <v>95.9</v>
      </c>
    </row>
    <row r="337" customFormat="false" ht="15" hidden="false" customHeight="false" outlineLevel="0" collapsed="false">
      <c r="A337" s="7" t="n">
        <v>332</v>
      </c>
      <c r="B337" s="7" t="n">
        <f aca="false">ROUND(o_SWSTART+A337*(o_SWEND-o_SWSTART)/400,0)</f>
        <v>3399</v>
      </c>
      <c r="C337" s="7" t="n">
        <f aca="false">QUOTIENT((B337-c_OFF1)*c_GAIN1,1024)</f>
        <v>3399</v>
      </c>
      <c r="D337" s="7" t="n">
        <f aca="false">IF(((c_T1MX)-(c_T1MN))=0,(0)+QUOTIENT(((1000)-(0)),2),QUOTIENT((((C337)-(c_T1MN))*((1000)-(0))+IF(((1000)-(0))&gt;=0,1,-1)*QUOTIENT(((c_T1MX)-(c_T1MN)),2)),((c_T1MX)-(c_T1MN)))+(0)+IF(((1000)-(0))&gt;=0,IF(IF(o_WRAP=1,MOD(((c_T1MX)-(c_T1MN))*(((C337)-(c_T1MN))*((1000)-(0))+IF(((1000)-(0))&gt;=0,1,-1)*QUOTIENT(((c_T1MX)-(c_T1MN)),2))+2147483648,4294967296)-2147483648,((c_T1MX)-(c_T1MN))*(((C337)-(c_T1MN))*((1000)-(0))+IF(((1000)-(0))&gt;=0,1,-1)*QUOTIENT(((c_T1MX)-(c_T1MN)),2)))&lt;0,-1,0),IF(IF(o_WRAP=1,MOD(((c_T1MX)-(c_T1MN))*(((C337)-(c_T1MN))*((1000)-(0))+IF(((1000)-(0))&gt;=0,1,-1)*QUOTIENT(((c_T1MX)-(c_T1MN)),2))+2147483648,4294967296)-2147483648,((c_T1MX)-(c_T1MN))*(((C337)-(c_T1MN))*((1000)-(0))+IF(((1000)-(0))&gt;=0,1,-1)*QUOTIENT(((c_T1MX)-(c_T1MN)),2)))&gt;=0,1,0)))</f>
        <v>970</v>
      </c>
      <c r="E337" s="7" t="n">
        <f aca="false">IF(AND(c_TPOT=1,c_TTYPE=2),1000-D337,D337)</f>
        <v>970</v>
      </c>
      <c r="F337" s="7" t="str">
        <f aca="false">IF(c_TPOT&gt;1,ROUND(IF(c_TTYPE=2,c_T2MX-IF(c_T1MX=c_T1MN,0,(C337-c_T1MN)/(c_T1MX-c_T1MN))*(c_T2MX-c_T2MN),c_T2MN+IF(c_T1MX=c_T1MN,0,(C337-c_T1MN)/(c_T1MX-c_T1MN))*(c_T2MX-c_T2MN))+o_MISMATCH,0),"")</f>
        <v/>
      </c>
      <c r="G337" s="7" t="str">
        <f aca="false">IF(c_TPOT&gt;1,IF(((c_T2MX)-(c_T2MN))=0,(0)+QUOTIENT(((1000)-(0)),2),QUOTIENT((((F337)-(c_T2MN))*((1000)-(0))+IF(((1000)-(0))&gt;=0,1,-1)*QUOTIENT(((c_T2MX)-(c_T2MN)),2)),((c_T2MX)-(c_T2MN)))+(0)+IF(((1000)-(0))&gt;=0,IF(IF(o_WRAP=1,MOD(((c_T2MX)-(c_T2MN))*(((F337)-(c_T2MN))*((1000)-(0))+IF(((1000)-(0))&gt;=0,1,-1)*QUOTIENT(((c_T2MX)-(c_T2MN)),2))+2147483648,4294967296)-2147483648,((c_T2MX)-(c_T2MN))*(((F337)-(c_T2MN))*((1000)-(0))+IF(((1000)-(0))&gt;=0,1,-1)*QUOTIENT(((c_T2MX)-(c_T2MN)),2)))&lt;0,-1,0),IF(IF(o_WRAP=1,MOD(((c_T2MX)-(c_T2MN))*(((F337)-(c_T2MN))*((1000)-(0))+IF(((1000)-(0))&gt;=0,1,-1)*QUOTIENT(((c_T2MX)-(c_T2MN)),2))+2147483648,4294967296)-2147483648,((c_T2MX)-(c_T2MN))*(((F337)-(c_T2MN))*((1000)-(0))+IF(((1000)-(0))&gt;=0,1,-1)*QUOTIENT(((c_T2MX)-(c_T2MN)),2)))&gt;=0,1,0))),"")</f>
        <v/>
      </c>
      <c r="H337" s="7" t="str">
        <f aca="false">IF(E337&gt;1000+k_TOL,"T1 HIGH",IF(E337&lt;0-k_TOL,"T1 LOW",IF(c_TPOT&gt;1,IF(G337&gt;1000+k_TOL,"T2 HIGH",IF(G337&lt;0-k_TOL,"T2 LOW",IF(c_TTYPE=2,IF(ABS(1000-MAX(0,MIN(1000,E337))-MAX(0,MIN(1000,G337)))&gt;k_MAXERR,"MISMATCH","OK"),IF(OR(MAX(0,MIN(1000,E337))-k_MAXERR&gt;MAX(0,MIN(1000,G337)),MAX(0,MIN(1000,G337))-k_MAXERR&gt;MAX(0,MIN(1000,E337))),"MISMATCH","OK")))),"OK")))</f>
        <v>OK</v>
      </c>
      <c r="I337" s="7" t="n">
        <f aca="false">MAX(0,MIN(1000,D337))</f>
        <v>970</v>
      </c>
      <c r="J337" s="7" t="str">
        <f aca="false">IF(c_TPOT&gt;1,IF(c_TTYPE=2,1000-MAX(0,MIN(1000,G337)),MAX(0,MIN(1000,G337))),"")</f>
        <v/>
      </c>
      <c r="K337" s="7" t="n">
        <f aca="false">IF(c_TPOT&gt;1,QUOTIENT(I337+J337,2),I337)</f>
        <v>970</v>
      </c>
      <c r="L337" s="7" t="n">
        <f aca="false">IF(AND(K337=0,c_TCREEP&gt;0),10*c_TCREEP,IF(AND(K337&lt;=c_TRNGMIN,K337&gt;=c_TRNGMAX,c_TRNGMIN-c_TRNGMAX&lt;&gt;0),-10*c_TMINRN+QUOTIENT((c_TMAXRN-c_TMINRN)*(100-QUOTIENT((K337-c_TRNGMAX)*100,c_TRNGMIN-c_TRNGMAX)),-10),0))</f>
        <v>0</v>
      </c>
      <c r="M337" s="7" t="n">
        <f aca="false">IF(((c_TMAP1IN)-(c_TFWD))=0,(0)+QUOTIENT(((c_TMAP1OUT)-(0)),2),QUOTIENT((((K337)-(c_TFWD))*((c_TMAP1OUT)-(0))+IF(((c_TMAP1OUT)-(0))&gt;=0,1,-1)*QUOTIENT(((c_TMAP1IN)-(c_TFWD)),2)),((c_TMAP1IN)-(c_TFWD)))+(0)+IF(((c_TMAP1OUT)-(0))&gt;=0,IF(IF(o_WRAP=1,MOD(((c_TMAP1IN)-(c_TFWD))*(((K337)-(c_TFWD))*((c_TMAP1OUT)-(0))+IF(((c_TMAP1OUT)-(0))&gt;=0,1,-1)*QUOTIENT(((c_TMAP1IN)-(c_TFWD)),2))+2147483648,4294967296)-2147483648,((c_TMAP1IN)-(c_TFWD))*(((K337)-(c_TFWD))*((c_TMAP1OUT)-(0))+IF(((c_TMAP1OUT)-(0))&gt;=0,1,-1)*QUOTIENT(((c_TMAP1IN)-(c_TFWD)),2)))&lt;0,-1,0),IF(IF(o_WRAP=1,MOD(((c_TMAP1IN)-(c_TFWD))*(((K337)-(c_TFWD))*((c_TMAP1OUT)-(0))+IF(((c_TMAP1OUT)-(0))&gt;=0,1,-1)*QUOTIENT(((c_TMAP1IN)-(c_TFWD)),2))+2147483648,4294967296)-2147483648,((c_TMAP1IN)-(c_TFWD))*(((K337)-(c_TFWD))*((c_TMAP1OUT)-(0))+IF(((c_TMAP1OUT)-(0))&gt;=0,1,-1)*QUOTIENT(((c_TMAP1IN)-(c_TFWD)),2)))&gt;=0,1,0)))</f>
        <v>747</v>
      </c>
      <c r="N337" s="7" t="n">
        <f aca="false">IF(((c_TMAP2IN)-(c_TMAP1IN))=0,(c_TMAP1OUT)+QUOTIENT(((c_TMAP2OUT)-(c_TMAP1OUT)),2),QUOTIENT((((K337)-(c_TMAP1IN))*((c_TMAP2OUT)-(c_TMAP1OUT))+IF(((c_TMAP2OUT)-(c_TMAP1OUT))&gt;=0,1,-1)*QUOTIENT(((c_TMAP2IN)-(c_TMAP1IN)),2)),((c_TMAP2IN)-(c_TMAP1IN)))+(c_TMAP1OUT)+IF(((c_TMAP2OUT)-(c_TMAP1OUT))&gt;=0,IF(IF(o_WRAP=1,MOD(((c_TMAP2IN)-(c_TMAP1IN))*(((K337)-(c_TMAP1IN))*((c_TMAP2OUT)-(c_TMAP1OUT))+IF(((c_TMAP2OUT)-(c_TMAP1OUT))&gt;=0,1,-1)*QUOTIENT(((c_TMAP2IN)-(c_TMAP1IN)),2))+2147483648,4294967296)-2147483648,((c_TMAP2IN)-(c_TMAP1IN))*(((K337)-(c_TMAP1IN))*((c_TMAP2OUT)-(c_TMAP1OUT))+IF(((c_TMAP2OUT)-(c_TMAP1OUT))&gt;=0,1,-1)*QUOTIENT(((c_TMAP2IN)-(c_TMAP1IN)),2)))&lt;0,-1,0),IF(IF(o_WRAP=1,MOD(((c_TMAP2IN)-(c_TMAP1IN))*(((K337)-(c_TMAP1IN))*((c_TMAP2OUT)-(c_TMAP1OUT))+IF(((c_TMAP2OUT)-(c_TMAP1OUT))&gt;=0,1,-1)*QUOTIENT(((c_TMAP2IN)-(c_TMAP1IN)),2))+2147483648,4294967296)-2147483648,((c_TMAP2IN)-(c_TMAP1IN))*(((K337)-(c_TMAP1IN))*((c_TMAP2OUT)-(c_TMAP1OUT))+IF(((c_TMAP2OUT)-(c_TMAP1OUT))&gt;=0,1,-1)*QUOTIENT(((c_TMAP2IN)-(c_TMAP1IN)),2)))&gt;=0,1,0)))</f>
        <v>418</v>
      </c>
      <c r="O337" s="7" t="n">
        <f aca="false">IF(((c_TMAP3IN)-(c_TMAP2IN))=0,(c_TMAP2OUT)+QUOTIENT(((c_TMAP3OUT)-(c_TMAP2OUT)),2),QUOTIENT((((K337)-(c_TMAP2IN))*((c_TMAP3OUT)-(c_TMAP2OUT))+IF(((c_TMAP3OUT)-(c_TMAP2OUT))&gt;=0,1,-1)*QUOTIENT(((c_TMAP3IN)-(c_TMAP2IN)),2)),((c_TMAP3IN)-(c_TMAP2IN)))+(c_TMAP2OUT)+IF(((c_TMAP3OUT)-(c_TMAP2OUT))&gt;=0,IF(IF(o_WRAP=1,MOD(((c_TMAP3IN)-(c_TMAP2IN))*(((K337)-(c_TMAP2IN))*((c_TMAP3OUT)-(c_TMAP2OUT))+IF(((c_TMAP3OUT)-(c_TMAP2OUT))&gt;=0,1,-1)*QUOTIENT(((c_TMAP3IN)-(c_TMAP2IN)),2))+2147483648,4294967296)-2147483648,((c_TMAP3IN)-(c_TMAP2IN))*(((K337)-(c_TMAP2IN))*((c_TMAP3OUT)-(c_TMAP2OUT))+IF(((c_TMAP3OUT)-(c_TMAP2OUT))&gt;=0,1,-1)*QUOTIENT(((c_TMAP3IN)-(c_TMAP2IN)),2)))&lt;0,-1,0),IF(IF(o_WRAP=1,MOD(((c_TMAP3IN)-(c_TMAP2IN))*(((K337)-(c_TMAP2IN))*((c_TMAP3OUT)-(c_TMAP2OUT))+IF(((c_TMAP3OUT)-(c_TMAP2OUT))&gt;=0,1,-1)*QUOTIENT(((c_TMAP3IN)-(c_TMAP2IN)),2))+2147483648,4294967296)-2147483648,((c_TMAP3IN)-(c_TMAP2IN))*(((K337)-(c_TMAP2IN))*((c_TMAP3OUT)-(c_TMAP2OUT))+IF(((c_TMAP3OUT)-(c_TMAP2OUT))&gt;=0,1,-1)*QUOTIENT(((c_TMAP3IN)-(c_TMAP2IN)),2)))&gt;=0,1,0)))</f>
        <v>634</v>
      </c>
      <c r="P337" s="7" t="n">
        <f aca="false">IF(((1000)-(c_TMAP3IN))=0,(c_TMAP3OUT)+QUOTIENT(((1000)-(c_TMAP3OUT)),2),QUOTIENT((((K337)-(c_TMAP3IN))*((1000)-(c_TMAP3OUT))+IF(((1000)-(c_TMAP3OUT))&gt;=0,1,-1)*QUOTIENT(((1000)-(c_TMAP3IN)),2)),((1000)-(c_TMAP3IN)))+(c_TMAP3OUT)+IF(((1000)-(c_TMAP3OUT))&gt;=0,IF(IF(o_WRAP=1,MOD(((1000)-(c_TMAP3IN))*(((K337)-(c_TMAP3IN))*((1000)-(c_TMAP3OUT))+IF(((1000)-(c_TMAP3OUT))&gt;=0,1,-1)*QUOTIENT(((1000)-(c_TMAP3IN)),2))+2147483648,4294967296)-2147483648,((1000)-(c_TMAP3IN))*(((K337)-(c_TMAP3IN))*((1000)-(c_TMAP3OUT))+IF(((1000)-(c_TMAP3OUT))&gt;=0,1,-1)*QUOTIENT(((1000)-(c_TMAP3IN)),2)))&lt;0,-1,0),IF(IF(o_WRAP=1,MOD(((1000)-(c_TMAP3IN))*(((K337)-(c_TMAP3IN))*((1000)-(c_TMAP3OUT))+IF(((1000)-(c_TMAP3OUT))&gt;=0,1,-1)*QUOTIENT(((1000)-(c_TMAP3IN)),2))+2147483648,4294967296)-2147483648,((1000)-(c_TMAP3IN))*(((K337)-(c_TMAP3IN))*((1000)-(c_TMAP3OUT))+IF(((1000)-(c_TMAP3OUT))&gt;=0,1,-1)*QUOTIENT(((1000)-(c_TMAP3IN)),2)))&gt;=0,1,0)))</f>
        <v>963</v>
      </c>
      <c r="Q337" s="7" t="str">
        <f aca="false">IF(K337&gt;=c_TFWD,IF(AND(K337&gt;=c_TMAP3IN,c_TMAP3IN&lt;1000),"Seg4 map3-100%",IF(AND(K337&gt;=c_TMAP2IN,c_TMAP3IN&gt;c_TMAP2IN),"Seg3 map2-map3",IF(AND(K337&gt;=c_TMAP1IN,c_TMAP2IN&gt;c_TMAP1IN),"Seg2 map1-map2","Seg1 TFWD-map1"))),IF(AND(K337=0,c_TCREEP&gt;0),"Creep",IF(AND(K337&lt;=c_TRNGMIN,K337&gt;=c_TRNGMAX,c_TRNGMIN-c_TRNGMAX&lt;&gt;0),"Regen ramp","Coast (0)")))</f>
        <v>Seg4 map3-100%</v>
      </c>
      <c r="R337" s="7" t="n">
        <f aca="false">IF(K337&gt;=c_TFWD,IF(AND(K337&gt;=c_TMAP3IN,c_TMAP3IN&lt;1000),P337,IF(AND(K337&gt;=c_TMAP2IN,c_TMAP3IN&gt;c_TMAP2IN),O337,IF(AND(K337&gt;=c_TMAP1IN,c_TMAP2IN&gt;c_TMAP1IN),N337,M337))),L337)</f>
        <v>963</v>
      </c>
      <c r="S337" s="7" t="str">
        <f aca="false">IF(R337&lt;-1090,"TOO LOW",IF(R337&gt;1090,"TOO HIGH",""))</f>
        <v/>
      </c>
      <c r="T337" s="15" t="n">
        <f aca="false">IF(H337&lt;&gt;"OK",0,IF(S337&lt;&gt;"",0,IF(R337&gt;979,1000,R337)))</f>
        <v>963</v>
      </c>
      <c r="U337" s="7" t="n">
        <f aca="false">T337/10</f>
        <v>96.3</v>
      </c>
    </row>
    <row r="338" customFormat="false" ht="15" hidden="false" customHeight="false" outlineLevel="0" collapsed="false">
      <c r="A338" s="7" t="n">
        <v>333</v>
      </c>
      <c r="B338" s="7" t="n">
        <f aca="false">ROUND(o_SWSTART+A338*(o_SWEND-o_SWSTART)/400,0)</f>
        <v>3409</v>
      </c>
      <c r="C338" s="7" t="n">
        <f aca="false">QUOTIENT((B338-c_OFF1)*c_GAIN1,1024)</f>
        <v>3409</v>
      </c>
      <c r="D338" s="7" t="n">
        <f aca="false">IF(((c_T1MX)-(c_T1MN))=0,(0)+QUOTIENT(((1000)-(0)),2),QUOTIENT((((C338)-(c_T1MN))*((1000)-(0))+IF(((1000)-(0))&gt;=0,1,-1)*QUOTIENT(((c_T1MX)-(c_T1MN)),2)),((c_T1MX)-(c_T1MN)))+(0)+IF(((1000)-(0))&gt;=0,IF(IF(o_WRAP=1,MOD(((c_T1MX)-(c_T1MN))*(((C338)-(c_T1MN))*((1000)-(0))+IF(((1000)-(0))&gt;=0,1,-1)*QUOTIENT(((c_T1MX)-(c_T1MN)),2))+2147483648,4294967296)-2147483648,((c_T1MX)-(c_T1MN))*(((C338)-(c_T1MN))*((1000)-(0))+IF(((1000)-(0))&gt;=0,1,-1)*QUOTIENT(((c_T1MX)-(c_T1MN)),2)))&lt;0,-1,0),IF(IF(o_WRAP=1,MOD(((c_T1MX)-(c_T1MN))*(((C338)-(c_T1MN))*((1000)-(0))+IF(((1000)-(0))&gt;=0,1,-1)*QUOTIENT(((c_T1MX)-(c_T1MN)),2))+2147483648,4294967296)-2147483648,((c_T1MX)-(c_T1MN))*(((C338)-(c_T1MN))*((1000)-(0))+IF(((1000)-(0))&gt;=0,1,-1)*QUOTIENT(((c_T1MX)-(c_T1MN)),2)))&gt;=0,1,0)))</f>
        <v>974</v>
      </c>
      <c r="E338" s="7" t="n">
        <f aca="false">IF(AND(c_TPOT=1,c_TTYPE=2),1000-D338,D338)</f>
        <v>974</v>
      </c>
      <c r="F338" s="7" t="str">
        <f aca="false">IF(c_TPOT&gt;1,ROUND(IF(c_TTYPE=2,c_T2MX-IF(c_T1MX=c_T1MN,0,(C338-c_T1MN)/(c_T1MX-c_T1MN))*(c_T2MX-c_T2MN),c_T2MN+IF(c_T1MX=c_T1MN,0,(C338-c_T1MN)/(c_T1MX-c_T1MN))*(c_T2MX-c_T2MN))+o_MISMATCH,0),"")</f>
        <v/>
      </c>
      <c r="G338" s="7" t="str">
        <f aca="false">IF(c_TPOT&gt;1,IF(((c_T2MX)-(c_T2MN))=0,(0)+QUOTIENT(((1000)-(0)),2),QUOTIENT((((F338)-(c_T2MN))*((1000)-(0))+IF(((1000)-(0))&gt;=0,1,-1)*QUOTIENT(((c_T2MX)-(c_T2MN)),2)),((c_T2MX)-(c_T2MN)))+(0)+IF(((1000)-(0))&gt;=0,IF(IF(o_WRAP=1,MOD(((c_T2MX)-(c_T2MN))*(((F338)-(c_T2MN))*((1000)-(0))+IF(((1000)-(0))&gt;=0,1,-1)*QUOTIENT(((c_T2MX)-(c_T2MN)),2))+2147483648,4294967296)-2147483648,((c_T2MX)-(c_T2MN))*(((F338)-(c_T2MN))*((1000)-(0))+IF(((1000)-(0))&gt;=0,1,-1)*QUOTIENT(((c_T2MX)-(c_T2MN)),2)))&lt;0,-1,0),IF(IF(o_WRAP=1,MOD(((c_T2MX)-(c_T2MN))*(((F338)-(c_T2MN))*((1000)-(0))+IF(((1000)-(0))&gt;=0,1,-1)*QUOTIENT(((c_T2MX)-(c_T2MN)),2))+2147483648,4294967296)-2147483648,((c_T2MX)-(c_T2MN))*(((F338)-(c_T2MN))*((1000)-(0))+IF(((1000)-(0))&gt;=0,1,-1)*QUOTIENT(((c_T2MX)-(c_T2MN)),2)))&gt;=0,1,0))),"")</f>
        <v/>
      </c>
      <c r="H338" s="7" t="str">
        <f aca="false">IF(E338&gt;1000+k_TOL,"T1 HIGH",IF(E338&lt;0-k_TOL,"T1 LOW",IF(c_TPOT&gt;1,IF(G338&gt;1000+k_TOL,"T2 HIGH",IF(G338&lt;0-k_TOL,"T2 LOW",IF(c_TTYPE=2,IF(ABS(1000-MAX(0,MIN(1000,E338))-MAX(0,MIN(1000,G338)))&gt;k_MAXERR,"MISMATCH","OK"),IF(OR(MAX(0,MIN(1000,E338))-k_MAXERR&gt;MAX(0,MIN(1000,G338)),MAX(0,MIN(1000,G338))-k_MAXERR&gt;MAX(0,MIN(1000,E338))),"MISMATCH","OK")))),"OK")))</f>
        <v>OK</v>
      </c>
      <c r="I338" s="7" t="n">
        <f aca="false">MAX(0,MIN(1000,D338))</f>
        <v>974</v>
      </c>
      <c r="J338" s="7" t="str">
        <f aca="false">IF(c_TPOT&gt;1,IF(c_TTYPE=2,1000-MAX(0,MIN(1000,G338)),MAX(0,MIN(1000,G338))),"")</f>
        <v/>
      </c>
      <c r="K338" s="7" t="n">
        <f aca="false">IF(c_TPOT&gt;1,QUOTIENT(I338+J338,2),I338)</f>
        <v>974</v>
      </c>
      <c r="L338" s="7" t="n">
        <f aca="false">IF(AND(K338=0,c_TCREEP&gt;0),10*c_TCREEP,IF(AND(K338&lt;=c_TRNGMIN,K338&gt;=c_TRNGMAX,c_TRNGMIN-c_TRNGMAX&lt;&gt;0),-10*c_TMINRN+QUOTIENT((c_TMAXRN-c_TMINRN)*(100-QUOTIENT((K338-c_TRNGMAX)*100,c_TRNGMIN-c_TRNGMAX)),-10),0))</f>
        <v>0</v>
      </c>
      <c r="M338" s="7" t="n">
        <f aca="false">IF(((c_TMAP1IN)-(c_TFWD))=0,(0)+QUOTIENT(((c_TMAP1OUT)-(0)),2),QUOTIENT((((K338)-(c_TFWD))*((c_TMAP1OUT)-(0))+IF(((c_TMAP1OUT)-(0))&gt;=0,1,-1)*QUOTIENT(((c_TMAP1IN)-(c_TFWD)),2)),((c_TMAP1IN)-(c_TFWD)))+(0)+IF(((c_TMAP1OUT)-(0))&gt;=0,IF(IF(o_WRAP=1,MOD(((c_TMAP1IN)-(c_TFWD))*(((K338)-(c_TFWD))*((c_TMAP1OUT)-(0))+IF(((c_TMAP1OUT)-(0))&gt;=0,1,-1)*QUOTIENT(((c_TMAP1IN)-(c_TFWD)),2))+2147483648,4294967296)-2147483648,((c_TMAP1IN)-(c_TFWD))*(((K338)-(c_TFWD))*((c_TMAP1OUT)-(0))+IF(((c_TMAP1OUT)-(0))&gt;=0,1,-1)*QUOTIENT(((c_TMAP1IN)-(c_TFWD)),2)))&lt;0,-1,0),IF(IF(o_WRAP=1,MOD(((c_TMAP1IN)-(c_TFWD))*(((K338)-(c_TFWD))*((c_TMAP1OUT)-(0))+IF(((c_TMAP1OUT)-(0))&gt;=0,1,-1)*QUOTIENT(((c_TMAP1IN)-(c_TFWD)),2))+2147483648,4294967296)-2147483648,((c_TMAP1IN)-(c_TFWD))*(((K338)-(c_TFWD))*((c_TMAP1OUT)-(0))+IF(((c_TMAP1OUT)-(0))&gt;=0,1,-1)*QUOTIENT(((c_TMAP1IN)-(c_TFWD)),2)))&gt;=0,1,0)))</f>
        <v>750</v>
      </c>
      <c r="N338" s="7" t="n">
        <f aca="false">IF(((c_TMAP2IN)-(c_TMAP1IN))=0,(c_TMAP1OUT)+QUOTIENT(((c_TMAP2OUT)-(c_TMAP1OUT)),2),QUOTIENT((((K338)-(c_TMAP1IN))*((c_TMAP2OUT)-(c_TMAP1OUT))+IF(((c_TMAP2OUT)-(c_TMAP1OUT))&gt;=0,1,-1)*QUOTIENT(((c_TMAP2IN)-(c_TMAP1IN)),2)),((c_TMAP2IN)-(c_TMAP1IN)))+(c_TMAP1OUT)+IF(((c_TMAP2OUT)-(c_TMAP1OUT))&gt;=0,IF(IF(o_WRAP=1,MOD(((c_TMAP2IN)-(c_TMAP1IN))*(((K338)-(c_TMAP1IN))*((c_TMAP2OUT)-(c_TMAP1OUT))+IF(((c_TMAP2OUT)-(c_TMAP1OUT))&gt;=0,1,-1)*QUOTIENT(((c_TMAP2IN)-(c_TMAP1IN)),2))+2147483648,4294967296)-2147483648,((c_TMAP2IN)-(c_TMAP1IN))*(((K338)-(c_TMAP1IN))*((c_TMAP2OUT)-(c_TMAP1OUT))+IF(((c_TMAP2OUT)-(c_TMAP1OUT))&gt;=0,1,-1)*QUOTIENT(((c_TMAP2IN)-(c_TMAP1IN)),2)))&lt;0,-1,0),IF(IF(o_WRAP=1,MOD(((c_TMAP2IN)-(c_TMAP1IN))*(((K338)-(c_TMAP1IN))*((c_TMAP2OUT)-(c_TMAP1OUT))+IF(((c_TMAP2OUT)-(c_TMAP1OUT))&gt;=0,1,-1)*QUOTIENT(((c_TMAP2IN)-(c_TMAP1IN)),2))+2147483648,4294967296)-2147483648,((c_TMAP2IN)-(c_TMAP1IN))*(((K338)-(c_TMAP1IN))*((c_TMAP2OUT)-(c_TMAP1OUT))+IF(((c_TMAP2OUT)-(c_TMAP1OUT))&gt;=0,1,-1)*QUOTIENT(((c_TMAP2IN)-(c_TMAP1IN)),2)))&gt;=0,1,0)))</f>
        <v>420</v>
      </c>
      <c r="O338" s="7" t="n">
        <f aca="false">IF(((c_TMAP3IN)-(c_TMAP2IN))=0,(c_TMAP2OUT)+QUOTIENT(((c_TMAP3OUT)-(c_TMAP2OUT)),2),QUOTIENT((((K338)-(c_TMAP2IN))*((c_TMAP3OUT)-(c_TMAP2OUT))+IF(((c_TMAP3OUT)-(c_TMAP2OUT))&gt;=0,1,-1)*QUOTIENT(((c_TMAP3IN)-(c_TMAP2IN)),2)),((c_TMAP3IN)-(c_TMAP2IN)))+(c_TMAP2OUT)+IF(((c_TMAP3OUT)-(c_TMAP2OUT))&gt;=0,IF(IF(o_WRAP=1,MOD(((c_TMAP3IN)-(c_TMAP2IN))*(((K338)-(c_TMAP2IN))*((c_TMAP3OUT)-(c_TMAP2OUT))+IF(((c_TMAP3OUT)-(c_TMAP2OUT))&gt;=0,1,-1)*QUOTIENT(((c_TMAP3IN)-(c_TMAP2IN)),2))+2147483648,4294967296)-2147483648,((c_TMAP3IN)-(c_TMAP2IN))*(((K338)-(c_TMAP2IN))*((c_TMAP3OUT)-(c_TMAP2OUT))+IF(((c_TMAP3OUT)-(c_TMAP2OUT))&gt;=0,1,-1)*QUOTIENT(((c_TMAP3IN)-(c_TMAP2IN)),2)))&lt;0,-1,0),IF(IF(o_WRAP=1,MOD(((c_TMAP3IN)-(c_TMAP2IN))*(((K338)-(c_TMAP2IN))*((c_TMAP3OUT)-(c_TMAP2OUT))+IF(((c_TMAP3OUT)-(c_TMAP2OUT))&gt;=0,1,-1)*QUOTIENT(((c_TMAP3IN)-(c_TMAP2IN)),2))+2147483648,4294967296)-2147483648,((c_TMAP3IN)-(c_TMAP2IN))*(((K338)-(c_TMAP2IN))*((c_TMAP3OUT)-(c_TMAP2OUT))+IF(((c_TMAP3OUT)-(c_TMAP2OUT))&gt;=0,1,-1)*QUOTIENT(((c_TMAP3IN)-(c_TMAP2IN)),2)))&gt;=0,1,0)))</f>
        <v>637</v>
      </c>
      <c r="P338" s="7" t="n">
        <f aca="false">IF(((1000)-(c_TMAP3IN))=0,(c_TMAP3OUT)+QUOTIENT(((1000)-(c_TMAP3OUT)),2),QUOTIENT((((K338)-(c_TMAP3IN))*((1000)-(c_TMAP3OUT))+IF(((1000)-(c_TMAP3OUT))&gt;=0,1,-1)*QUOTIENT(((1000)-(c_TMAP3IN)),2)),((1000)-(c_TMAP3IN)))+(c_TMAP3OUT)+IF(((1000)-(c_TMAP3OUT))&gt;=0,IF(IF(o_WRAP=1,MOD(((1000)-(c_TMAP3IN))*(((K338)-(c_TMAP3IN))*((1000)-(c_TMAP3OUT))+IF(((1000)-(c_TMAP3OUT))&gt;=0,1,-1)*QUOTIENT(((1000)-(c_TMAP3IN)),2))+2147483648,4294967296)-2147483648,((1000)-(c_TMAP3IN))*(((K338)-(c_TMAP3IN))*((1000)-(c_TMAP3OUT))+IF(((1000)-(c_TMAP3OUT))&gt;=0,1,-1)*QUOTIENT(((1000)-(c_TMAP3IN)),2)))&lt;0,-1,0),IF(IF(o_WRAP=1,MOD(((1000)-(c_TMAP3IN))*(((K338)-(c_TMAP3IN))*((1000)-(c_TMAP3OUT))+IF(((1000)-(c_TMAP3OUT))&gt;=0,1,-1)*QUOTIENT(((1000)-(c_TMAP3IN)),2))+2147483648,4294967296)-2147483648,((1000)-(c_TMAP3IN))*(((K338)-(c_TMAP3IN))*((1000)-(c_TMAP3OUT))+IF(((1000)-(c_TMAP3OUT))&gt;=0,1,-1)*QUOTIENT(((1000)-(c_TMAP3IN)),2)))&gt;=0,1,0)))</f>
        <v>968</v>
      </c>
      <c r="Q338" s="7" t="str">
        <f aca="false">IF(K338&gt;=c_TFWD,IF(AND(K338&gt;=c_TMAP3IN,c_TMAP3IN&lt;1000),"Seg4 map3-100%",IF(AND(K338&gt;=c_TMAP2IN,c_TMAP3IN&gt;c_TMAP2IN),"Seg3 map2-map3",IF(AND(K338&gt;=c_TMAP1IN,c_TMAP2IN&gt;c_TMAP1IN),"Seg2 map1-map2","Seg1 TFWD-map1"))),IF(AND(K338=0,c_TCREEP&gt;0),"Creep",IF(AND(K338&lt;=c_TRNGMIN,K338&gt;=c_TRNGMAX,c_TRNGMIN-c_TRNGMAX&lt;&gt;0),"Regen ramp","Coast (0)")))</f>
        <v>Seg4 map3-100%</v>
      </c>
      <c r="R338" s="7" t="n">
        <f aca="false">IF(K338&gt;=c_TFWD,IF(AND(K338&gt;=c_TMAP3IN,c_TMAP3IN&lt;1000),P338,IF(AND(K338&gt;=c_TMAP2IN,c_TMAP3IN&gt;c_TMAP2IN),O338,IF(AND(K338&gt;=c_TMAP1IN,c_TMAP2IN&gt;c_TMAP1IN),N338,M338))),L338)</f>
        <v>968</v>
      </c>
      <c r="S338" s="7" t="str">
        <f aca="false">IF(R338&lt;-1090,"TOO LOW",IF(R338&gt;1090,"TOO HIGH",""))</f>
        <v/>
      </c>
      <c r="T338" s="15" t="n">
        <f aca="false">IF(H338&lt;&gt;"OK",0,IF(S338&lt;&gt;"",0,IF(R338&gt;979,1000,R338)))</f>
        <v>968</v>
      </c>
      <c r="U338" s="7" t="n">
        <f aca="false">T338/10</f>
        <v>96.8</v>
      </c>
    </row>
    <row r="339" customFormat="false" ht="15" hidden="false" customHeight="false" outlineLevel="0" collapsed="false">
      <c r="A339" s="7" t="n">
        <v>334</v>
      </c>
      <c r="B339" s="7" t="n">
        <f aca="false">ROUND(o_SWSTART+A339*(o_SWEND-o_SWSTART)/400,0)</f>
        <v>3419</v>
      </c>
      <c r="C339" s="7" t="n">
        <f aca="false">QUOTIENT((B339-c_OFF1)*c_GAIN1,1024)</f>
        <v>3419</v>
      </c>
      <c r="D339" s="7" t="n">
        <f aca="false">IF(((c_T1MX)-(c_T1MN))=0,(0)+QUOTIENT(((1000)-(0)),2),QUOTIENT((((C339)-(c_T1MN))*((1000)-(0))+IF(((1000)-(0))&gt;=0,1,-1)*QUOTIENT(((c_T1MX)-(c_T1MN)),2)),((c_T1MX)-(c_T1MN)))+(0)+IF(((1000)-(0))&gt;=0,IF(IF(o_WRAP=1,MOD(((c_T1MX)-(c_T1MN))*(((C339)-(c_T1MN))*((1000)-(0))+IF(((1000)-(0))&gt;=0,1,-1)*QUOTIENT(((c_T1MX)-(c_T1MN)),2))+2147483648,4294967296)-2147483648,((c_T1MX)-(c_T1MN))*(((C339)-(c_T1MN))*((1000)-(0))+IF(((1000)-(0))&gt;=0,1,-1)*QUOTIENT(((c_T1MX)-(c_T1MN)),2)))&lt;0,-1,0),IF(IF(o_WRAP=1,MOD(((c_T1MX)-(c_T1MN))*(((C339)-(c_T1MN))*((1000)-(0))+IF(((1000)-(0))&gt;=0,1,-1)*QUOTIENT(((c_T1MX)-(c_T1MN)),2))+2147483648,4294967296)-2147483648,((c_T1MX)-(c_T1MN))*(((C339)-(c_T1MN))*((1000)-(0))+IF(((1000)-(0))&gt;=0,1,-1)*QUOTIENT(((c_T1MX)-(c_T1MN)),2)))&gt;=0,1,0)))</f>
        <v>978</v>
      </c>
      <c r="E339" s="7" t="n">
        <f aca="false">IF(AND(c_TPOT=1,c_TTYPE=2),1000-D339,D339)</f>
        <v>978</v>
      </c>
      <c r="F339" s="7" t="str">
        <f aca="false">IF(c_TPOT&gt;1,ROUND(IF(c_TTYPE=2,c_T2MX-IF(c_T1MX=c_T1MN,0,(C339-c_T1MN)/(c_T1MX-c_T1MN))*(c_T2MX-c_T2MN),c_T2MN+IF(c_T1MX=c_T1MN,0,(C339-c_T1MN)/(c_T1MX-c_T1MN))*(c_T2MX-c_T2MN))+o_MISMATCH,0),"")</f>
        <v/>
      </c>
      <c r="G339" s="7" t="str">
        <f aca="false">IF(c_TPOT&gt;1,IF(((c_T2MX)-(c_T2MN))=0,(0)+QUOTIENT(((1000)-(0)),2),QUOTIENT((((F339)-(c_T2MN))*((1000)-(0))+IF(((1000)-(0))&gt;=0,1,-1)*QUOTIENT(((c_T2MX)-(c_T2MN)),2)),((c_T2MX)-(c_T2MN)))+(0)+IF(((1000)-(0))&gt;=0,IF(IF(o_WRAP=1,MOD(((c_T2MX)-(c_T2MN))*(((F339)-(c_T2MN))*((1000)-(0))+IF(((1000)-(0))&gt;=0,1,-1)*QUOTIENT(((c_T2MX)-(c_T2MN)),2))+2147483648,4294967296)-2147483648,((c_T2MX)-(c_T2MN))*(((F339)-(c_T2MN))*((1000)-(0))+IF(((1000)-(0))&gt;=0,1,-1)*QUOTIENT(((c_T2MX)-(c_T2MN)),2)))&lt;0,-1,0),IF(IF(o_WRAP=1,MOD(((c_T2MX)-(c_T2MN))*(((F339)-(c_T2MN))*((1000)-(0))+IF(((1000)-(0))&gt;=0,1,-1)*QUOTIENT(((c_T2MX)-(c_T2MN)),2))+2147483648,4294967296)-2147483648,((c_T2MX)-(c_T2MN))*(((F339)-(c_T2MN))*((1000)-(0))+IF(((1000)-(0))&gt;=0,1,-1)*QUOTIENT(((c_T2MX)-(c_T2MN)),2)))&gt;=0,1,0))),"")</f>
        <v/>
      </c>
      <c r="H339" s="7" t="str">
        <f aca="false">IF(E339&gt;1000+k_TOL,"T1 HIGH",IF(E339&lt;0-k_TOL,"T1 LOW",IF(c_TPOT&gt;1,IF(G339&gt;1000+k_TOL,"T2 HIGH",IF(G339&lt;0-k_TOL,"T2 LOW",IF(c_TTYPE=2,IF(ABS(1000-MAX(0,MIN(1000,E339))-MAX(0,MIN(1000,G339)))&gt;k_MAXERR,"MISMATCH","OK"),IF(OR(MAX(0,MIN(1000,E339))-k_MAXERR&gt;MAX(0,MIN(1000,G339)),MAX(0,MIN(1000,G339))-k_MAXERR&gt;MAX(0,MIN(1000,E339))),"MISMATCH","OK")))),"OK")))</f>
        <v>OK</v>
      </c>
      <c r="I339" s="7" t="n">
        <f aca="false">MAX(0,MIN(1000,D339))</f>
        <v>978</v>
      </c>
      <c r="J339" s="7" t="str">
        <f aca="false">IF(c_TPOT&gt;1,IF(c_TTYPE=2,1000-MAX(0,MIN(1000,G339)),MAX(0,MIN(1000,G339))),"")</f>
        <v/>
      </c>
      <c r="K339" s="7" t="n">
        <f aca="false">IF(c_TPOT&gt;1,QUOTIENT(I339+J339,2),I339)</f>
        <v>978</v>
      </c>
      <c r="L339" s="7" t="n">
        <f aca="false">IF(AND(K339=0,c_TCREEP&gt;0),10*c_TCREEP,IF(AND(K339&lt;=c_TRNGMIN,K339&gt;=c_TRNGMAX,c_TRNGMIN-c_TRNGMAX&lt;&gt;0),-10*c_TMINRN+QUOTIENT((c_TMAXRN-c_TMINRN)*(100-QUOTIENT((K339-c_TRNGMAX)*100,c_TRNGMIN-c_TRNGMAX)),-10),0))</f>
        <v>0</v>
      </c>
      <c r="M339" s="7" t="n">
        <f aca="false">IF(((c_TMAP1IN)-(c_TFWD))=0,(0)+QUOTIENT(((c_TMAP1OUT)-(0)),2),QUOTIENT((((K339)-(c_TFWD))*((c_TMAP1OUT)-(0))+IF(((c_TMAP1OUT)-(0))&gt;=0,1,-1)*QUOTIENT(((c_TMAP1IN)-(c_TFWD)),2)),((c_TMAP1IN)-(c_TFWD)))+(0)+IF(((c_TMAP1OUT)-(0))&gt;=0,IF(IF(o_WRAP=1,MOD(((c_TMAP1IN)-(c_TFWD))*(((K339)-(c_TFWD))*((c_TMAP1OUT)-(0))+IF(((c_TMAP1OUT)-(0))&gt;=0,1,-1)*QUOTIENT(((c_TMAP1IN)-(c_TFWD)),2))+2147483648,4294967296)-2147483648,((c_TMAP1IN)-(c_TFWD))*(((K339)-(c_TFWD))*((c_TMAP1OUT)-(0))+IF(((c_TMAP1OUT)-(0))&gt;=0,1,-1)*QUOTIENT(((c_TMAP1IN)-(c_TFWD)),2)))&lt;0,-1,0),IF(IF(o_WRAP=1,MOD(((c_TMAP1IN)-(c_TFWD))*(((K339)-(c_TFWD))*((c_TMAP1OUT)-(0))+IF(((c_TMAP1OUT)-(0))&gt;=0,1,-1)*QUOTIENT(((c_TMAP1IN)-(c_TFWD)),2))+2147483648,4294967296)-2147483648,((c_TMAP1IN)-(c_TFWD))*(((K339)-(c_TFWD))*((c_TMAP1OUT)-(0))+IF(((c_TMAP1OUT)-(0))&gt;=0,1,-1)*QUOTIENT(((c_TMAP1IN)-(c_TFWD)),2)))&gt;=0,1,0)))</f>
        <v>753</v>
      </c>
      <c r="N339" s="7" t="n">
        <f aca="false">IF(((c_TMAP2IN)-(c_TMAP1IN))=0,(c_TMAP1OUT)+QUOTIENT(((c_TMAP2OUT)-(c_TMAP1OUT)),2),QUOTIENT((((K339)-(c_TMAP1IN))*((c_TMAP2OUT)-(c_TMAP1OUT))+IF(((c_TMAP2OUT)-(c_TMAP1OUT))&gt;=0,1,-1)*QUOTIENT(((c_TMAP2IN)-(c_TMAP1IN)),2)),((c_TMAP2IN)-(c_TMAP1IN)))+(c_TMAP1OUT)+IF(((c_TMAP2OUT)-(c_TMAP1OUT))&gt;=0,IF(IF(o_WRAP=1,MOD(((c_TMAP2IN)-(c_TMAP1IN))*(((K339)-(c_TMAP1IN))*((c_TMAP2OUT)-(c_TMAP1OUT))+IF(((c_TMAP2OUT)-(c_TMAP1OUT))&gt;=0,1,-1)*QUOTIENT(((c_TMAP2IN)-(c_TMAP1IN)),2))+2147483648,4294967296)-2147483648,((c_TMAP2IN)-(c_TMAP1IN))*(((K339)-(c_TMAP1IN))*((c_TMAP2OUT)-(c_TMAP1OUT))+IF(((c_TMAP2OUT)-(c_TMAP1OUT))&gt;=0,1,-1)*QUOTIENT(((c_TMAP2IN)-(c_TMAP1IN)),2)))&lt;0,-1,0),IF(IF(o_WRAP=1,MOD(((c_TMAP2IN)-(c_TMAP1IN))*(((K339)-(c_TMAP1IN))*((c_TMAP2OUT)-(c_TMAP1OUT))+IF(((c_TMAP2OUT)-(c_TMAP1OUT))&gt;=0,1,-1)*QUOTIENT(((c_TMAP2IN)-(c_TMAP1IN)),2))+2147483648,4294967296)-2147483648,((c_TMAP2IN)-(c_TMAP1IN))*(((K339)-(c_TMAP1IN))*((c_TMAP2OUT)-(c_TMAP1OUT))+IF(((c_TMAP2OUT)-(c_TMAP1OUT))&gt;=0,1,-1)*QUOTIENT(((c_TMAP2IN)-(c_TMAP1IN)),2)))&gt;=0,1,0)))</f>
        <v>421</v>
      </c>
      <c r="O339" s="7" t="n">
        <f aca="false">IF(((c_TMAP3IN)-(c_TMAP2IN))=0,(c_TMAP2OUT)+QUOTIENT(((c_TMAP3OUT)-(c_TMAP2OUT)),2),QUOTIENT((((K339)-(c_TMAP2IN))*((c_TMAP3OUT)-(c_TMAP2OUT))+IF(((c_TMAP3OUT)-(c_TMAP2OUT))&gt;=0,1,-1)*QUOTIENT(((c_TMAP3IN)-(c_TMAP2IN)),2)),((c_TMAP3IN)-(c_TMAP2IN)))+(c_TMAP2OUT)+IF(((c_TMAP3OUT)-(c_TMAP2OUT))&gt;=0,IF(IF(o_WRAP=1,MOD(((c_TMAP3IN)-(c_TMAP2IN))*(((K339)-(c_TMAP2IN))*((c_TMAP3OUT)-(c_TMAP2OUT))+IF(((c_TMAP3OUT)-(c_TMAP2OUT))&gt;=0,1,-1)*QUOTIENT(((c_TMAP3IN)-(c_TMAP2IN)),2))+2147483648,4294967296)-2147483648,((c_TMAP3IN)-(c_TMAP2IN))*(((K339)-(c_TMAP2IN))*((c_TMAP3OUT)-(c_TMAP2OUT))+IF(((c_TMAP3OUT)-(c_TMAP2OUT))&gt;=0,1,-1)*QUOTIENT(((c_TMAP3IN)-(c_TMAP2IN)),2)))&lt;0,-1,0),IF(IF(o_WRAP=1,MOD(((c_TMAP3IN)-(c_TMAP2IN))*(((K339)-(c_TMAP2IN))*((c_TMAP3OUT)-(c_TMAP2OUT))+IF(((c_TMAP3OUT)-(c_TMAP2OUT))&gt;=0,1,-1)*QUOTIENT(((c_TMAP3IN)-(c_TMAP2IN)),2))+2147483648,4294967296)-2147483648,((c_TMAP3IN)-(c_TMAP2IN))*(((K339)-(c_TMAP2IN))*((c_TMAP3OUT)-(c_TMAP2OUT))+IF(((c_TMAP3OUT)-(c_TMAP2OUT))&gt;=0,1,-1)*QUOTIENT(((c_TMAP3IN)-(c_TMAP2IN)),2)))&gt;=0,1,0)))</f>
        <v>640</v>
      </c>
      <c r="P339" s="7" t="n">
        <f aca="false">IF(((1000)-(c_TMAP3IN))=0,(c_TMAP3OUT)+QUOTIENT(((1000)-(c_TMAP3OUT)),2),QUOTIENT((((K339)-(c_TMAP3IN))*((1000)-(c_TMAP3OUT))+IF(((1000)-(c_TMAP3OUT))&gt;=0,1,-1)*QUOTIENT(((1000)-(c_TMAP3IN)),2)),((1000)-(c_TMAP3IN)))+(c_TMAP3OUT)+IF(((1000)-(c_TMAP3OUT))&gt;=0,IF(IF(o_WRAP=1,MOD(((1000)-(c_TMAP3IN))*(((K339)-(c_TMAP3IN))*((1000)-(c_TMAP3OUT))+IF(((1000)-(c_TMAP3OUT))&gt;=0,1,-1)*QUOTIENT(((1000)-(c_TMAP3IN)),2))+2147483648,4294967296)-2147483648,((1000)-(c_TMAP3IN))*(((K339)-(c_TMAP3IN))*((1000)-(c_TMAP3OUT))+IF(((1000)-(c_TMAP3OUT))&gt;=0,1,-1)*QUOTIENT(((1000)-(c_TMAP3IN)),2)))&lt;0,-1,0),IF(IF(o_WRAP=1,MOD(((1000)-(c_TMAP3IN))*(((K339)-(c_TMAP3IN))*((1000)-(c_TMAP3OUT))+IF(((1000)-(c_TMAP3OUT))&gt;=0,1,-1)*QUOTIENT(((1000)-(c_TMAP3IN)),2))+2147483648,4294967296)-2147483648,((1000)-(c_TMAP3IN))*(((K339)-(c_TMAP3IN))*((1000)-(c_TMAP3OUT))+IF(((1000)-(c_TMAP3OUT))&gt;=0,1,-1)*QUOTIENT(((1000)-(c_TMAP3IN)),2)))&gt;=0,1,0)))</f>
        <v>973</v>
      </c>
      <c r="Q339" s="7" t="str">
        <f aca="false">IF(K339&gt;=c_TFWD,IF(AND(K339&gt;=c_TMAP3IN,c_TMAP3IN&lt;1000),"Seg4 map3-100%",IF(AND(K339&gt;=c_TMAP2IN,c_TMAP3IN&gt;c_TMAP2IN),"Seg3 map2-map3",IF(AND(K339&gt;=c_TMAP1IN,c_TMAP2IN&gt;c_TMAP1IN),"Seg2 map1-map2","Seg1 TFWD-map1"))),IF(AND(K339=0,c_TCREEP&gt;0),"Creep",IF(AND(K339&lt;=c_TRNGMIN,K339&gt;=c_TRNGMAX,c_TRNGMIN-c_TRNGMAX&lt;&gt;0),"Regen ramp","Coast (0)")))</f>
        <v>Seg4 map3-100%</v>
      </c>
      <c r="R339" s="7" t="n">
        <f aca="false">IF(K339&gt;=c_TFWD,IF(AND(K339&gt;=c_TMAP3IN,c_TMAP3IN&lt;1000),P339,IF(AND(K339&gt;=c_TMAP2IN,c_TMAP3IN&gt;c_TMAP2IN),O339,IF(AND(K339&gt;=c_TMAP1IN,c_TMAP2IN&gt;c_TMAP1IN),N339,M339))),L339)</f>
        <v>973</v>
      </c>
      <c r="S339" s="7" t="str">
        <f aca="false">IF(R339&lt;-1090,"TOO LOW",IF(R339&gt;1090,"TOO HIGH",""))</f>
        <v/>
      </c>
      <c r="T339" s="15" t="n">
        <f aca="false">IF(H339&lt;&gt;"OK",0,IF(S339&lt;&gt;"",0,IF(R339&gt;979,1000,R339)))</f>
        <v>973</v>
      </c>
      <c r="U339" s="7" t="n">
        <f aca="false">T339/10</f>
        <v>97.3</v>
      </c>
    </row>
    <row r="340" customFormat="false" ht="15" hidden="false" customHeight="false" outlineLevel="0" collapsed="false">
      <c r="A340" s="7" t="n">
        <v>335</v>
      </c>
      <c r="B340" s="7" t="n">
        <f aca="false">ROUND(o_SWSTART+A340*(o_SWEND-o_SWSTART)/400,0)</f>
        <v>3430</v>
      </c>
      <c r="C340" s="7" t="n">
        <f aca="false">QUOTIENT((B340-c_OFF1)*c_GAIN1,1024)</f>
        <v>3430</v>
      </c>
      <c r="D340" s="7" t="n">
        <f aca="false">IF(((c_T1MX)-(c_T1MN))=0,(0)+QUOTIENT(((1000)-(0)),2),QUOTIENT((((C340)-(c_T1MN))*((1000)-(0))+IF(((1000)-(0))&gt;=0,1,-1)*QUOTIENT(((c_T1MX)-(c_T1MN)),2)),((c_T1MX)-(c_T1MN)))+(0)+IF(((1000)-(0))&gt;=0,IF(IF(o_WRAP=1,MOD(((c_T1MX)-(c_T1MN))*(((C340)-(c_T1MN))*((1000)-(0))+IF(((1000)-(0))&gt;=0,1,-1)*QUOTIENT(((c_T1MX)-(c_T1MN)),2))+2147483648,4294967296)-2147483648,((c_T1MX)-(c_T1MN))*(((C340)-(c_T1MN))*((1000)-(0))+IF(((1000)-(0))&gt;=0,1,-1)*QUOTIENT(((c_T1MX)-(c_T1MN)),2)))&lt;0,-1,0),IF(IF(o_WRAP=1,MOD(((c_T1MX)-(c_T1MN))*(((C340)-(c_T1MN))*((1000)-(0))+IF(((1000)-(0))&gt;=0,1,-1)*QUOTIENT(((c_T1MX)-(c_T1MN)),2))+2147483648,4294967296)-2147483648,((c_T1MX)-(c_T1MN))*(((C340)-(c_T1MN))*((1000)-(0))+IF(((1000)-(0))&gt;=0,1,-1)*QUOTIENT(((c_T1MX)-(c_T1MN)),2)))&gt;=0,1,0)))</f>
        <v>982</v>
      </c>
      <c r="E340" s="7" t="n">
        <f aca="false">IF(AND(c_TPOT=1,c_TTYPE=2),1000-D340,D340)</f>
        <v>982</v>
      </c>
      <c r="F340" s="7" t="str">
        <f aca="false">IF(c_TPOT&gt;1,ROUND(IF(c_TTYPE=2,c_T2MX-IF(c_T1MX=c_T1MN,0,(C340-c_T1MN)/(c_T1MX-c_T1MN))*(c_T2MX-c_T2MN),c_T2MN+IF(c_T1MX=c_T1MN,0,(C340-c_T1MN)/(c_T1MX-c_T1MN))*(c_T2MX-c_T2MN))+o_MISMATCH,0),"")</f>
        <v/>
      </c>
      <c r="G340" s="7" t="str">
        <f aca="false">IF(c_TPOT&gt;1,IF(((c_T2MX)-(c_T2MN))=0,(0)+QUOTIENT(((1000)-(0)),2),QUOTIENT((((F340)-(c_T2MN))*((1000)-(0))+IF(((1000)-(0))&gt;=0,1,-1)*QUOTIENT(((c_T2MX)-(c_T2MN)),2)),((c_T2MX)-(c_T2MN)))+(0)+IF(((1000)-(0))&gt;=0,IF(IF(o_WRAP=1,MOD(((c_T2MX)-(c_T2MN))*(((F340)-(c_T2MN))*((1000)-(0))+IF(((1000)-(0))&gt;=0,1,-1)*QUOTIENT(((c_T2MX)-(c_T2MN)),2))+2147483648,4294967296)-2147483648,((c_T2MX)-(c_T2MN))*(((F340)-(c_T2MN))*((1000)-(0))+IF(((1000)-(0))&gt;=0,1,-1)*QUOTIENT(((c_T2MX)-(c_T2MN)),2)))&lt;0,-1,0),IF(IF(o_WRAP=1,MOD(((c_T2MX)-(c_T2MN))*(((F340)-(c_T2MN))*((1000)-(0))+IF(((1000)-(0))&gt;=0,1,-1)*QUOTIENT(((c_T2MX)-(c_T2MN)),2))+2147483648,4294967296)-2147483648,((c_T2MX)-(c_T2MN))*(((F340)-(c_T2MN))*((1000)-(0))+IF(((1000)-(0))&gt;=0,1,-1)*QUOTIENT(((c_T2MX)-(c_T2MN)),2)))&gt;=0,1,0))),"")</f>
        <v/>
      </c>
      <c r="H340" s="7" t="str">
        <f aca="false">IF(E340&gt;1000+k_TOL,"T1 HIGH",IF(E340&lt;0-k_TOL,"T1 LOW",IF(c_TPOT&gt;1,IF(G340&gt;1000+k_TOL,"T2 HIGH",IF(G340&lt;0-k_TOL,"T2 LOW",IF(c_TTYPE=2,IF(ABS(1000-MAX(0,MIN(1000,E340))-MAX(0,MIN(1000,G340)))&gt;k_MAXERR,"MISMATCH","OK"),IF(OR(MAX(0,MIN(1000,E340))-k_MAXERR&gt;MAX(0,MIN(1000,G340)),MAX(0,MIN(1000,G340))-k_MAXERR&gt;MAX(0,MIN(1000,E340))),"MISMATCH","OK")))),"OK")))</f>
        <v>OK</v>
      </c>
      <c r="I340" s="7" t="n">
        <f aca="false">MAX(0,MIN(1000,D340))</f>
        <v>982</v>
      </c>
      <c r="J340" s="7" t="str">
        <f aca="false">IF(c_TPOT&gt;1,IF(c_TTYPE=2,1000-MAX(0,MIN(1000,G340)),MAX(0,MIN(1000,G340))),"")</f>
        <v/>
      </c>
      <c r="K340" s="7" t="n">
        <f aca="false">IF(c_TPOT&gt;1,QUOTIENT(I340+J340,2),I340)</f>
        <v>982</v>
      </c>
      <c r="L340" s="7" t="n">
        <f aca="false">IF(AND(K340=0,c_TCREEP&gt;0),10*c_TCREEP,IF(AND(K340&lt;=c_TRNGMIN,K340&gt;=c_TRNGMAX,c_TRNGMIN-c_TRNGMAX&lt;&gt;0),-10*c_TMINRN+QUOTIENT((c_TMAXRN-c_TMINRN)*(100-QUOTIENT((K340-c_TRNGMAX)*100,c_TRNGMIN-c_TRNGMAX)),-10),0))</f>
        <v>0</v>
      </c>
      <c r="M340" s="7" t="n">
        <f aca="false">IF(((c_TMAP1IN)-(c_TFWD))=0,(0)+QUOTIENT(((c_TMAP1OUT)-(0)),2),QUOTIENT((((K340)-(c_TFWD))*((c_TMAP1OUT)-(0))+IF(((c_TMAP1OUT)-(0))&gt;=0,1,-1)*QUOTIENT(((c_TMAP1IN)-(c_TFWD)),2)),((c_TMAP1IN)-(c_TFWD)))+(0)+IF(((c_TMAP1OUT)-(0))&gt;=0,IF(IF(o_WRAP=1,MOD(((c_TMAP1IN)-(c_TFWD))*(((K340)-(c_TFWD))*((c_TMAP1OUT)-(0))+IF(((c_TMAP1OUT)-(0))&gt;=0,1,-1)*QUOTIENT(((c_TMAP1IN)-(c_TFWD)),2))+2147483648,4294967296)-2147483648,((c_TMAP1IN)-(c_TFWD))*(((K340)-(c_TFWD))*((c_TMAP1OUT)-(0))+IF(((c_TMAP1OUT)-(0))&gt;=0,1,-1)*QUOTIENT(((c_TMAP1IN)-(c_TFWD)),2)))&lt;0,-1,0),IF(IF(o_WRAP=1,MOD(((c_TMAP1IN)-(c_TFWD))*(((K340)-(c_TFWD))*((c_TMAP1OUT)-(0))+IF(((c_TMAP1OUT)-(0))&gt;=0,1,-1)*QUOTIENT(((c_TMAP1IN)-(c_TFWD)),2))+2147483648,4294967296)-2147483648,((c_TMAP1IN)-(c_TFWD))*(((K340)-(c_TFWD))*((c_TMAP1OUT)-(0))+IF(((c_TMAP1OUT)-(0))&gt;=0,1,-1)*QUOTIENT(((c_TMAP1IN)-(c_TFWD)),2)))&gt;=0,1,0)))</f>
        <v>756</v>
      </c>
      <c r="N340" s="7" t="n">
        <f aca="false">IF(((c_TMAP2IN)-(c_TMAP1IN))=0,(c_TMAP1OUT)+QUOTIENT(((c_TMAP2OUT)-(c_TMAP1OUT)),2),QUOTIENT((((K340)-(c_TMAP1IN))*((c_TMAP2OUT)-(c_TMAP1OUT))+IF(((c_TMAP2OUT)-(c_TMAP1OUT))&gt;=0,1,-1)*QUOTIENT(((c_TMAP2IN)-(c_TMAP1IN)),2)),((c_TMAP2IN)-(c_TMAP1IN)))+(c_TMAP1OUT)+IF(((c_TMAP2OUT)-(c_TMAP1OUT))&gt;=0,IF(IF(o_WRAP=1,MOD(((c_TMAP2IN)-(c_TMAP1IN))*(((K340)-(c_TMAP1IN))*((c_TMAP2OUT)-(c_TMAP1OUT))+IF(((c_TMAP2OUT)-(c_TMAP1OUT))&gt;=0,1,-1)*QUOTIENT(((c_TMAP2IN)-(c_TMAP1IN)),2))+2147483648,4294967296)-2147483648,((c_TMAP2IN)-(c_TMAP1IN))*(((K340)-(c_TMAP1IN))*((c_TMAP2OUT)-(c_TMAP1OUT))+IF(((c_TMAP2OUT)-(c_TMAP1OUT))&gt;=0,1,-1)*QUOTIENT(((c_TMAP2IN)-(c_TMAP1IN)),2)))&lt;0,-1,0),IF(IF(o_WRAP=1,MOD(((c_TMAP2IN)-(c_TMAP1IN))*(((K340)-(c_TMAP1IN))*((c_TMAP2OUT)-(c_TMAP1OUT))+IF(((c_TMAP2OUT)-(c_TMAP1OUT))&gt;=0,1,-1)*QUOTIENT(((c_TMAP2IN)-(c_TMAP1IN)),2))+2147483648,4294967296)-2147483648,((c_TMAP2IN)-(c_TMAP1IN))*(((K340)-(c_TMAP1IN))*((c_TMAP2OUT)-(c_TMAP1OUT))+IF(((c_TMAP2OUT)-(c_TMAP1OUT))&gt;=0,1,-1)*QUOTIENT(((c_TMAP2IN)-(c_TMAP1IN)),2)))&gt;=0,1,0)))</f>
        <v>423</v>
      </c>
      <c r="O340" s="7" t="n">
        <f aca="false">IF(((c_TMAP3IN)-(c_TMAP2IN))=0,(c_TMAP2OUT)+QUOTIENT(((c_TMAP3OUT)-(c_TMAP2OUT)),2),QUOTIENT((((K340)-(c_TMAP2IN))*((c_TMAP3OUT)-(c_TMAP2OUT))+IF(((c_TMAP3OUT)-(c_TMAP2OUT))&gt;=0,1,-1)*QUOTIENT(((c_TMAP3IN)-(c_TMAP2IN)),2)),((c_TMAP3IN)-(c_TMAP2IN)))+(c_TMAP2OUT)+IF(((c_TMAP3OUT)-(c_TMAP2OUT))&gt;=0,IF(IF(o_WRAP=1,MOD(((c_TMAP3IN)-(c_TMAP2IN))*(((K340)-(c_TMAP2IN))*((c_TMAP3OUT)-(c_TMAP2OUT))+IF(((c_TMAP3OUT)-(c_TMAP2OUT))&gt;=0,1,-1)*QUOTIENT(((c_TMAP3IN)-(c_TMAP2IN)),2))+2147483648,4294967296)-2147483648,((c_TMAP3IN)-(c_TMAP2IN))*(((K340)-(c_TMAP2IN))*((c_TMAP3OUT)-(c_TMAP2OUT))+IF(((c_TMAP3OUT)-(c_TMAP2OUT))&gt;=0,1,-1)*QUOTIENT(((c_TMAP3IN)-(c_TMAP2IN)),2)))&lt;0,-1,0),IF(IF(o_WRAP=1,MOD(((c_TMAP3IN)-(c_TMAP2IN))*(((K340)-(c_TMAP2IN))*((c_TMAP3OUT)-(c_TMAP2OUT))+IF(((c_TMAP3OUT)-(c_TMAP2OUT))&gt;=0,1,-1)*QUOTIENT(((c_TMAP3IN)-(c_TMAP2IN)),2))+2147483648,4294967296)-2147483648,((c_TMAP3IN)-(c_TMAP2IN))*(((K340)-(c_TMAP2IN))*((c_TMAP3OUT)-(c_TMAP2OUT))+IF(((c_TMAP3OUT)-(c_TMAP2OUT))&gt;=0,1,-1)*QUOTIENT(((c_TMAP3IN)-(c_TMAP2IN)),2)))&gt;=0,1,0)))</f>
        <v>642</v>
      </c>
      <c r="P340" s="7" t="n">
        <f aca="false">IF(((1000)-(c_TMAP3IN))=0,(c_TMAP3OUT)+QUOTIENT(((1000)-(c_TMAP3OUT)),2),QUOTIENT((((K340)-(c_TMAP3IN))*((1000)-(c_TMAP3OUT))+IF(((1000)-(c_TMAP3OUT))&gt;=0,1,-1)*QUOTIENT(((1000)-(c_TMAP3IN)),2)),((1000)-(c_TMAP3IN)))+(c_TMAP3OUT)+IF(((1000)-(c_TMAP3OUT))&gt;=0,IF(IF(o_WRAP=1,MOD(((1000)-(c_TMAP3IN))*(((K340)-(c_TMAP3IN))*((1000)-(c_TMAP3OUT))+IF(((1000)-(c_TMAP3OUT))&gt;=0,1,-1)*QUOTIENT(((1000)-(c_TMAP3IN)),2))+2147483648,4294967296)-2147483648,((1000)-(c_TMAP3IN))*(((K340)-(c_TMAP3IN))*((1000)-(c_TMAP3OUT))+IF(((1000)-(c_TMAP3OUT))&gt;=0,1,-1)*QUOTIENT(((1000)-(c_TMAP3IN)),2)))&lt;0,-1,0),IF(IF(o_WRAP=1,MOD(((1000)-(c_TMAP3IN))*(((K340)-(c_TMAP3IN))*((1000)-(c_TMAP3OUT))+IF(((1000)-(c_TMAP3OUT))&gt;=0,1,-1)*QUOTIENT(((1000)-(c_TMAP3IN)),2))+2147483648,4294967296)-2147483648,((1000)-(c_TMAP3IN))*(((K340)-(c_TMAP3IN))*((1000)-(c_TMAP3OUT))+IF(((1000)-(c_TMAP3OUT))&gt;=0,1,-1)*QUOTIENT(((1000)-(c_TMAP3IN)),2)))&gt;=0,1,0)))</f>
        <v>978</v>
      </c>
      <c r="Q340" s="7" t="str">
        <f aca="false">IF(K340&gt;=c_TFWD,IF(AND(K340&gt;=c_TMAP3IN,c_TMAP3IN&lt;1000),"Seg4 map3-100%",IF(AND(K340&gt;=c_TMAP2IN,c_TMAP3IN&gt;c_TMAP2IN),"Seg3 map2-map3",IF(AND(K340&gt;=c_TMAP1IN,c_TMAP2IN&gt;c_TMAP1IN),"Seg2 map1-map2","Seg1 TFWD-map1"))),IF(AND(K340=0,c_TCREEP&gt;0),"Creep",IF(AND(K340&lt;=c_TRNGMIN,K340&gt;=c_TRNGMAX,c_TRNGMIN-c_TRNGMAX&lt;&gt;0),"Regen ramp","Coast (0)")))</f>
        <v>Seg4 map3-100%</v>
      </c>
      <c r="R340" s="7" t="n">
        <f aca="false">IF(K340&gt;=c_TFWD,IF(AND(K340&gt;=c_TMAP3IN,c_TMAP3IN&lt;1000),P340,IF(AND(K340&gt;=c_TMAP2IN,c_TMAP3IN&gt;c_TMAP2IN),O340,IF(AND(K340&gt;=c_TMAP1IN,c_TMAP2IN&gt;c_TMAP1IN),N340,M340))),L340)</f>
        <v>978</v>
      </c>
      <c r="S340" s="7" t="str">
        <f aca="false">IF(R340&lt;-1090,"TOO LOW",IF(R340&gt;1090,"TOO HIGH",""))</f>
        <v/>
      </c>
      <c r="T340" s="15" t="n">
        <f aca="false">IF(H340&lt;&gt;"OK",0,IF(S340&lt;&gt;"",0,IF(R340&gt;979,1000,R340)))</f>
        <v>978</v>
      </c>
      <c r="U340" s="7" t="n">
        <f aca="false">T340/10</f>
        <v>97.8</v>
      </c>
    </row>
    <row r="341" customFormat="false" ht="15" hidden="false" customHeight="false" outlineLevel="0" collapsed="false">
      <c r="A341" s="7" t="n">
        <v>336</v>
      </c>
      <c r="B341" s="7" t="n">
        <f aca="false">ROUND(o_SWSTART+A341*(o_SWEND-o_SWSTART)/400,0)</f>
        <v>3440</v>
      </c>
      <c r="C341" s="7" t="n">
        <f aca="false">QUOTIENT((B341-c_OFF1)*c_GAIN1,1024)</f>
        <v>3440</v>
      </c>
      <c r="D341" s="7" t="n">
        <f aca="false">IF(((c_T1MX)-(c_T1MN))=0,(0)+QUOTIENT(((1000)-(0)),2),QUOTIENT((((C341)-(c_T1MN))*((1000)-(0))+IF(((1000)-(0))&gt;=0,1,-1)*QUOTIENT(((c_T1MX)-(c_T1MN)),2)),((c_T1MX)-(c_T1MN)))+(0)+IF(((1000)-(0))&gt;=0,IF(IF(o_WRAP=1,MOD(((c_T1MX)-(c_T1MN))*(((C341)-(c_T1MN))*((1000)-(0))+IF(((1000)-(0))&gt;=0,1,-1)*QUOTIENT(((c_T1MX)-(c_T1MN)),2))+2147483648,4294967296)-2147483648,((c_T1MX)-(c_T1MN))*(((C341)-(c_T1MN))*((1000)-(0))+IF(((1000)-(0))&gt;=0,1,-1)*QUOTIENT(((c_T1MX)-(c_T1MN)),2)))&lt;0,-1,0),IF(IF(o_WRAP=1,MOD(((c_T1MX)-(c_T1MN))*(((C341)-(c_T1MN))*((1000)-(0))+IF(((1000)-(0))&gt;=0,1,-1)*QUOTIENT(((c_T1MX)-(c_T1MN)),2))+2147483648,4294967296)-2147483648,((c_T1MX)-(c_T1MN))*(((C341)-(c_T1MN))*((1000)-(0))+IF(((1000)-(0))&gt;=0,1,-1)*QUOTIENT(((c_T1MX)-(c_T1MN)),2)))&gt;=0,1,0)))</f>
        <v>985</v>
      </c>
      <c r="E341" s="7" t="n">
        <f aca="false">IF(AND(c_TPOT=1,c_TTYPE=2),1000-D341,D341)</f>
        <v>985</v>
      </c>
      <c r="F341" s="7" t="str">
        <f aca="false">IF(c_TPOT&gt;1,ROUND(IF(c_TTYPE=2,c_T2MX-IF(c_T1MX=c_T1MN,0,(C341-c_T1MN)/(c_T1MX-c_T1MN))*(c_T2MX-c_T2MN),c_T2MN+IF(c_T1MX=c_T1MN,0,(C341-c_T1MN)/(c_T1MX-c_T1MN))*(c_T2MX-c_T2MN))+o_MISMATCH,0),"")</f>
        <v/>
      </c>
      <c r="G341" s="7" t="str">
        <f aca="false">IF(c_TPOT&gt;1,IF(((c_T2MX)-(c_T2MN))=0,(0)+QUOTIENT(((1000)-(0)),2),QUOTIENT((((F341)-(c_T2MN))*((1000)-(0))+IF(((1000)-(0))&gt;=0,1,-1)*QUOTIENT(((c_T2MX)-(c_T2MN)),2)),((c_T2MX)-(c_T2MN)))+(0)+IF(((1000)-(0))&gt;=0,IF(IF(o_WRAP=1,MOD(((c_T2MX)-(c_T2MN))*(((F341)-(c_T2MN))*((1000)-(0))+IF(((1000)-(0))&gt;=0,1,-1)*QUOTIENT(((c_T2MX)-(c_T2MN)),2))+2147483648,4294967296)-2147483648,((c_T2MX)-(c_T2MN))*(((F341)-(c_T2MN))*((1000)-(0))+IF(((1000)-(0))&gt;=0,1,-1)*QUOTIENT(((c_T2MX)-(c_T2MN)),2)))&lt;0,-1,0),IF(IF(o_WRAP=1,MOD(((c_T2MX)-(c_T2MN))*(((F341)-(c_T2MN))*((1000)-(0))+IF(((1000)-(0))&gt;=0,1,-1)*QUOTIENT(((c_T2MX)-(c_T2MN)),2))+2147483648,4294967296)-2147483648,((c_T2MX)-(c_T2MN))*(((F341)-(c_T2MN))*((1000)-(0))+IF(((1000)-(0))&gt;=0,1,-1)*QUOTIENT(((c_T2MX)-(c_T2MN)),2)))&gt;=0,1,0))),"")</f>
        <v/>
      </c>
      <c r="H341" s="7" t="str">
        <f aca="false">IF(E341&gt;1000+k_TOL,"T1 HIGH",IF(E341&lt;0-k_TOL,"T1 LOW",IF(c_TPOT&gt;1,IF(G341&gt;1000+k_TOL,"T2 HIGH",IF(G341&lt;0-k_TOL,"T2 LOW",IF(c_TTYPE=2,IF(ABS(1000-MAX(0,MIN(1000,E341))-MAX(0,MIN(1000,G341)))&gt;k_MAXERR,"MISMATCH","OK"),IF(OR(MAX(0,MIN(1000,E341))-k_MAXERR&gt;MAX(0,MIN(1000,G341)),MAX(0,MIN(1000,G341))-k_MAXERR&gt;MAX(0,MIN(1000,E341))),"MISMATCH","OK")))),"OK")))</f>
        <v>OK</v>
      </c>
      <c r="I341" s="7" t="n">
        <f aca="false">MAX(0,MIN(1000,D341))</f>
        <v>985</v>
      </c>
      <c r="J341" s="7" t="str">
        <f aca="false">IF(c_TPOT&gt;1,IF(c_TTYPE=2,1000-MAX(0,MIN(1000,G341)),MAX(0,MIN(1000,G341))),"")</f>
        <v/>
      </c>
      <c r="K341" s="7" t="n">
        <f aca="false">IF(c_TPOT&gt;1,QUOTIENT(I341+J341,2),I341)</f>
        <v>985</v>
      </c>
      <c r="L341" s="7" t="n">
        <f aca="false">IF(AND(K341=0,c_TCREEP&gt;0),10*c_TCREEP,IF(AND(K341&lt;=c_TRNGMIN,K341&gt;=c_TRNGMAX,c_TRNGMIN-c_TRNGMAX&lt;&gt;0),-10*c_TMINRN+QUOTIENT((c_TMAXRN-c_TMINRN)*(100-QUOTIENT((K341-c_TRNGMAX)*100,c_TRNGMIN-c_TRNGMAX)),-10),0))</f>
        <v>0</v>
      </c>
      <c r="M341" s="7" t="n">
        <f aca="false">IF(((c_TMAP1IN)-(c_TFWD))=0,(0)+QUOTIENT(((c_TMAP1OUT)-(0)),2),QUOTIENT((((K341)-(c_TFWD))*((c_TMAP1OUT)-(0))+IF(((c_TMAP1OUT)-(0))&gt;=0,1,-1)*QUOTIENT(((c_TMAP1IN)-(c_TFWD)),2)),((c_TMAP1IN)-(c_TFWD)))+(0)+IF(((c_TMAP1OUT)-(0))&gt;=0,IF(IF(o_WRAP=1,MOD(((c_TMAP1IN)-(c_TFWD))*(((K341)-(c_TFWD))*((c_TMAP1OUT)-(0))+IF(((c_TMAP1OUT)-(0))&gt;=0,1,-1)*QUOTIENT(((c_TMAP1IN)-(c_TFWD)),2))+2147483648,4294967296)-2147483648,((c_TMAP1IN)-(c_TFWD))*(((K341)-(c_TFWD))*((c_TMAP1OUT)-(0))+IF(((c_TMAP1OUT)-(0))&gt;=0,1,-1)*QUOTIENT(((c_TMAP1IN)-(c_TFWD)),2)))&lt;0,-1,0),IF(IF(o_WRAP=1,MOD(((c_TMAP1IN)-(c_TFWD))*(((K341)-(c_TFWD))*((c_TMAP1OUT)-(0))+IF(((c_TMAP1OUT)-(0))&gt;=0,1,-1)*QUOTIENT(((c_TMAP1IN)-(c_TFWD)),2))+2147483648,4294967296)-2147483648,((c_TMAP1IN)-(c_TFWD))*(((K341)-(c_TFWD))*((c_TMAP1OUT)-(0))+IF(((c_TMAP1OUT)-(0))&gt;=0,1,-1)*QUOTIENT(((c_TMAP1IN)-(c_TFWD)),2)))&gt;=0,1,0)))</f>
        <v>758</v>
      </c>
      <c r="N341" s="7" t="n">
        <f aca="false">IF(((c_TMAP2IN)-(c_TMAP1IN))=0,(c_TMAP1OUT)+QUOTIENT(((c_TMAP2OUT)-(c_TMAP1OUT)),2),QUOTIENT((((K341)-(c_TMAP1IN))*((c_TMAP2OUT)-(c_TMAP1OUT))+IF(((c_TMAP2OUT)-(c_TMAP1OUT))&gt;=0,1,-1)*QUOTIENT(((c_TMAP2IN)-(c_TMAP1IN)),2)),((c_TMAP2IN)-(c_TMAP1IN)))+(c_TMAP1OUT)+IF(((c_TMAP2OUT)-(c_TMAP1OUT))&gt;=0,IF(IF(o_WRAP=1,MOD(((c_TMAP2IN)-(c_TMAP1IN))*(((K341)-(c_TMAP1IN))*((c_TMAP2OUT)-(c_TMAP1OUT))+IF(((c_TMAP2OUT)-(c_TMAP1OUT))&gt;=0,1,-1)*QUOTIENT(((c_TMAP2IN)-(c_TMAP1IN)),2))+2147483648,4294967296)-2147483648,((c_TMAP2IN)-(c_TMAP1IN))*(((K341)-(c_TMAP1IN))*((c_TMAP2OUT)-(c_TMAP1OUT))+IF(((c_TMAP2OUT)-(c_TMAP1OUT))&gt;=0,1,-1)*QUOTIENT(((c_TMAP2IN)-(c_TMAP1IN)),2)))&lt;0,-1,0),IF(IF(o_WRAP=1,MOD(((c_TMAP2IN)-(c_TMAP1IN))*(((K341)-(c_TMAP1IN))*((c_TMAP2OUT)-(c_TMAP1OUT))+IF(((c_TMAP2OUT)-(c_TMAP1OUT))&gt;=0,1,-1)*QUOTIENT(((c_TMAP2IN)-(c_TMAP1IN)),2))+2147483648,4294967296)-2147483648,((c_TMAP2IN)-(c_TMAP1IN))*(((K341)-(c_TMAP1IN))*((c_TMAP2OUT)-(c_TMAP1OUT))+IF(((c_TMAP2OUT)-(c_TMAP1OUT))&gt;=0,1,-1)*QUOTIENT(((c_TMAP2IN)-(c_TMAP1IN)),2)))&gt;=0,1,0)))</f>
        <v>424</v>
      </c>
      <c r="O341" s="7" t="n">
        <f aca="false">IF(((c_TMAP3IN)-(c_TMAP2IN))=0,(c_TMAP2OUT)+QUOTIENT(((c_TMAP3OUT)-(c_TMAP2OUT)),2),QUOTIENT((((K341)-(c_TMAP2IN))*((c_TMAP3OUT)-(c_TMAP2OUT))+IF(((c_TMAP3OUT)-(c_TMAP2OUT))&gt;=0,1,-1)*QUOTIENT(((c_TMAP3IN)-(c_TMAP2IN)),2)),((c_TMAP3IN)-(c_TMAP2IN)))+(c_TMAP2OUT)+IF(((c_TMAP3OUT)-(c_TMAP2OUT))&gt;=0,IF(IF(o_WRAP=1,MOD(((c_TMAP3IN)-(c_TMAP2IN))*(((K341)-(c_TMAP2IN))*((c_TMAP3OUT)-(c_TMAP2OUT))+IF(((c_TMAP3OUT)-(c_TMAP2OUT))&gt;=0,1,-1)*QUOTIENT(((c_TMAP3IN)-(c_TMAP2IN)),2))+2147483648,4294967296)-2147483648,((c_TMAP3IN)-(c_TMAP2IN))*(((K341)-(c_TMAP2IN))*((c_TMAP3OUT)-(c_TMAP2OUT))+IF(((c_TMAP3OUT)-(c_TMAP2OUT))&gt;=0,1,-1)*QUOTIENT(((c_TMAP3IN)-(c_TMAP2IN)),2)))&lt;0,-1,0),IF(IF(o_WRAP=1,MOD(((c_TMAP3IN)-(c_TMAP2IN))*(((K341)-(c_TMAP2IN))*((c_TMAP3OUT)-(c_TMAP2OUT))+IF(((c_TMAP3OUT)-(c_TMAP2OUT))&gt;=0,1,-1)*QUOTIENT(((c_TMAP3IN)-(c_TMAP2IN)),2))+2147483648,4294967296)-2147483648,((c_TMAP3IN)-(c_TMAP2IN))*(((K341)-(c_TMAP2IN))*((c_TMAP3OUT)-(c_TMAP2OUT))+IF(((c_TMAP3OUT)-(c_TMAP2OUT))&gt;=0,1,-1)*QUOTIENT(((c_TMAP3IN)-(c_TMAP2IN)),2)))&gt;=0,1,0)))</f>
        <v>645</v>
      </c>
      <c r="P341" s="7" t="n">
        <f aca="false">IF(((1000)-(c_TMAP3IN))=0,(c_TMAP3OUT)+QUOTIENT(((1000)-(c_TMAP3OUT)),2),QUOTIENT((((K341)-(c_TMAP3IN))*((1000)-(c_TMAP3OUT))+IF(((1000)-(c_TMAP3OUT))&gt;=0,1,-1)*QUOTIENT(((1000)-(c_TMAP3IN)),2)),((1000)-(c_TMAP3IN)))+(c_TMAP3OUT)+IF(((1000)-(c_TMAP3OUT))&gt;=0,IF(IF(o_WRAP=1,MOD(((1000)-(c_TMAP3IN))*(((K341)-(c_TMAP3IN))*((1000)-(c_TMAP3OUT))+IF(((1000)-(c_TMAP3OUT))&gt;=0,1,-1)*QUOTIENT(((1000)-(c_TMAP3IN)),2))+2147483648,4294967296)-2147483648,((1000)-(c_TMAP3IN))*(((K341)-(c_TMAP3IN))*((1000)-(c_TMAP3OUT))+IF(((1000)-(c_TMAP3OUT))&gt;=0,1,-1)*QUOTIENT(((1000)-(c_TMAP3IN)),2)))&lt;0,-1,0),IF(IF(o_WRAP=1,MOD(((1000)-(c_TMAP3IN))*(((K341)-(c_TMAP3IN))*((1000)-(c_TMAP3OUT))+IF(((1000)-(c_TMAP3OUT))&gt;=0,1,-1)*QUOTIENT(((1000)-(c_TMAP3IN)),2))+2147483648,4294967296)-2147483648,((1000)-(c_TMAP3IN))*(((K341)-(c_TMAP3IN))*((1000)-(c_TMAP3OUT))+IF(((1000)-(c_TMAP3OUT))&gt;=0,1,-1)*QUOTIENT(((1000)-(c_TMAP3IN)),2)))&gt;=0,1,0)))</f>
        <v>982</v>
      </c>
      <c r="Q341" s="7" t="str">
        <f aca="false">IF(K341&gt;=c_TFWD,IF(AND(K341&gt;=c_TMAP3IN,c_TMAP3IN&lt;1000),"Seg4 map3-100%",IF(AND(K341&gt;=c_TMAP2IN,c_TMAP3IN&gt;c_TMAP2IN),"Seg3 map2-map3",IF(AND(K341&gt;=c_TMAP1IN,c_TMAP2IN&gt;c_TMAP1IN),"Seg2 map1-map2","Seg1 TFWD-map1"))),IF(AND(K341=0,c_TCREEP&gt;0),"Creep",IF(AND(K341&lt;=c_TRNGMIN,K341&gt;=c_TRNGMAX,c_TRNGMIN-c_TRNGMAX&lt;&gt;0),"Regen ramp","Coast (0)")))</f>
        <v>Seg4 map3-100%</v>
      </c>
      <c r="R341" s="7" t="n">
        <f aca="false">IF(K341&gt;=c_TFWD,IF(AND(K341&gt;=c_TMAP3IN,c_TMAP3IN&lt;1000),P341,IF(AND(K341&gt;=c_TMAP2IN,c_TMAP3IN&gt;c_TMAP2IN),O341,IF(AND(K341&gt;=c_TMAP1IN,c_TMAP2IN&gt;c_TMAP1IN),N341,M341))),L341)</f>
        <v>982</v>
      </c>
      <c r="S341" s="7" t="str">
        <f aca="false">IF(R341&lt;-1090,"TOO LOW",IF(R341&gt;1090,"TOO HIGH",""))</f>
        <v/>
      </c>
      <c r="T341" s="15" t="n">
        <f aca="false">IF(H341&lt;&gt;"OK",0,IF(S341&lt;&gt;"",0,IF(R341&gt;979,1000,R341)))</f>
        <v>1000</v>
      </c>
      <c r="U341" s="7" t="n">
        <f aca="false">T341/10</f>
        <v>100</v>
      </c>
    </row>
    <row r="342" customFormat="false" ht="15" hidden="false" customHeight="false" outlineLevel="0" collapsed="false">
      <c r="A342" s="7" t="n">
        <v>337</v>
      </c>
      <c r="B342" s="7" t="n">
        <f aca="false">ROUND(o_SWSTART+A342*(o_SWEND-o_SWSTART)/400,0)</f>
        <v>3450</v>
      </c>
      <c r="C342" s="7" t="n">
        <f aca="false">QUOTIENT((B342-c_OFF1)*c_GAIN1,1024)</f>
        <v>3450</v>
      </c>
      <c r="D342" s="7" t="n">
        <f aca="false">IF(((c_T1MX)-(c_T1MN))=0,(0)+QUOTIENT(((1000)-(0)),2),QUOTIENT((((C342)-(c_T1MN))*((1000)-(0))+IF(((1000)-(0))&gt;=0,1,-1)*QUOTIENT(((c_T1MX)-(c_T1MN)),2)),((c_T1MX)-(c_T1MN)))+(0)+IF(((1000)-(0))&gt;=0,IF(IF(o_WRAP=1,MOD(((c_T1MX)-(c_T1MN))*(((C342)-(c_T1MN))*((1000)-(0))+IF(((1000)-(0))&gt;=0,1,-1)*QUOTIENT(((c_T1MX)-(c_T1MN)),2))+2147483648,4294967296)-2147483648,((c_T1MX)-(c_T1MN))*(((C342)-(c_T1MN))*((1000)-(0))+IF(((1000)-(0))&gt;=0,1,-1)*QUOTIENT(((c_T1MX)-(c_T1MN)),2)))&lt;0,-1,0),IF(IF(o_WRAP=1,MOD(((c_T1MX)-(c_T1MN))*(((C342)-(c_T1MN))*((1000)-(0))+IF(((1000)-(0))&gt;=0,1,-1)*QUOTIENT(((c_T1MX)-(c_T1MN)),2))+2147483648,4294967296)-2147483648,((c_T1MX)-(c_T1MN))*(((C342)-(c_T1MN))*((1000)-(0))+IF(((1000)-(0))&gt;=0,1,-1)*QUOTIENT(((c_T1MX)-(c_T1MN)),2)))&gt;=0,1,0)))</f>
        <v>989</v>
      </c>
      <c r="E342" s="7" t="n">
        <f aca="false">IF(AND(c_TPOT=1,c_TTYPE=2),1000-D342,D342)</f>
        <v>989</v>
      </c>
      <c r="F342" s="7" t="str">
        <f aca="false">IF(c_TPOT&gt;1,ROUND(IF(c_TTYPE=2,c_T2MX-IF(c_T1MX=c_T1MN,0,(C342-c_T1MN)/(c_T1MX-c_T1MN))*(c_T2MX-c_T2MN),c_T2MN+IF(c_T1MX=c_T1MN,0,(C342-c_T1MN)/(c_T1MX-c_T1MN))*(c_T2MX-c_T2MN))+o_MISMATCH,0),"")</f>
        <v/>
      </c>
      <c r="G342" s="7" t="str">
        <f aca="false">IF(c_TPOT&gt;1,IF(((c_T2MX)-(c_T2MN))=0,(0)+QUOTIENT(((1000)-(0)),2),QUOTIENT((((F342)-(c_T2MN))*((1000)-(0))+IF(((1000)-(0))&gt;=0,1,-1)*QUOTIENT(((c_T2MX)-(c_T2MN)),2)),((c_T2MX)-(c_T2MN)))+(0)+IF(((1000)-(0))&gt;=0,IF(IF(o_WRAP=1,MOD(((c_T2MX)-(c_T2MN))*(((F342)-(c_T2MN))*((1000)-(0))+IF(((1000)-(0))&gt;=0,1,-1)*QUOTIENT(((c_T2MX)-(c_T2MN)),2))+2147483648,4294967296)-2147483648,((c_T2MX)-(c_T2MN))*(((F342)-(c_T2MN))*((1000)-(0))+IF(((1000)-(0))&gt;=0,1,-1)*QUOTIENT(((c_T2MX)-(c_T2MN)),2)))&lt;0,-1,0),IF(IF(o_WRAP=1,MOD(((c_T2MX)-(c_T2MN))*(((F342)-(c_T2MN))*((1000)-(0))+IF(((1000)-(0))&gt;=0,1,-1)*QUOTIENT(((c_T2MX)-(c_T2MN)),2))+2147483648,4294967296)-2147483648,((c_T2MX)-(c_T2MN))*(((F342)-(c_T2MN))*((1000)-(0))+IF(((1000)-(0))&gt;=0,1,-1)*QUOTIENT(((c_T2MX)-(c_T2MN)),2)))&gt;=0,1,0))),"")</f>
        <v/>
      </c>
      <c r="H342" s="7" t="str">
        <f aca="false">IF(E342&gt;1000+k_TOL,"T1 HIGH",IF(E342&lt;0-k_TOL,"T1 LOW",IF(c_TPOT&gt;1,IF(G342&gt;1000+k_TOL,"T2 HIGH",IF(G342&lt;0-k_TOL,"T2 LOW",IF(c_TTYPE=2,IF(ABS(1000-MAX(0,MIN(1000,E342))-MAX(0,MIN(1000,G342)))&gt;k_MAXERR,"MISMATCH","OK"),IF(OR(MAX(0,MIN(1000,E342))-k_MAXERR&gt;MAX(0,MIN(1000,G342)),MAX(0,MIN(1000,G342))-k_MAXERR&gt;MAX(0,MIN(1000,E342))),"MISMATCH","OK")))),"OK")))</f>
        <v>OK</v>
      </c>
      <c r="I342" s="7" t="n">
        <f aca="false">MAX(0,MIN(1000,D342))</f>
        <v>989</v>
      </c>
      <c r="J342" s="7" t="str">
        <f aca="false">IF(c_TPOT&gt;1,IF(c_TTYPE=2,1000-MAX(0,MIN(1000,G342)),MAX(0,MIN(1000,G342))),"")</f>
        <v/>
      </c>
      <c r="K342" s="7" t="n">
        <f aca="false">IF(c_TPOT&gt;1,QUOTIENT(I342+J342,2),I342)</f>
        <v>989</v>
      </c>
      <c r="L342" s="7" t="n">
        <f aca="false">IF(AND(K342=0,c_TCREEP&gt;0),10*c_TCREEP,IF(AND(K342&lt;=c_TRNGMIN,K342&gt;=c_TRNGMAX,c_TRNGMIN-c_TRNGMAX&lt;&gt;0),-10*c_TMINRN+QUOTIENT((c_TMAXRN-c_TMINRN)*(100-QUOTIENT((K342-c_TRNGMAX)*100,c_TRNGMIN-c_TRNGMAX)),-10),0))</f>
        <v>0</v>
      </c>
      <c r="M342" s="7" t="n">
        <f aca="false">IF(((c_TMAP1IN)-(c_TFWD))=0,(0)+QUOTIENT(((c_TMAP1OUT)-(0)),2),QUOTIENT((((K342)-(c_TFWD))*((c_TMAP1OUT)-(0))+IF(((c_TMAP1OUT)-(0))&gt;=0,1,-1)*QUOTIENT(((c_TMAP1IN)-(c_TFWD)),2)),((c_TMAP1IN)-(c_TFWD)))+(0)+IF(((c_TMAP1OUT)-(0))&gt;=0,IF(IF(o_WRAP=1,MOD(((c_TMAP1IN)-(c_TFWD))*(((K342)-(c_TFWD))*((c_TMAP1OUT)-(0))+IF(((c_TMAP1OUT)-(0))&gt;=0,1,-1)*QUOTIENT(((c_TMAP1IN)-(c_TFWD)),2))+2147483648,4294967296)-2147483648,((c_TMAP1IN)-(c_TFWD))*(((K342)-(c_TFWD))*((c_TMAP1OUT)-(0))+IF(((c_TMAP1OUT)-(0))&gt;=0,1,-1)*QUOTIENT(((c_TMAP1IN)-(c_TFWD)),2)))&lt;0,-1,0),IF(IF(o_WRAP=1,MOD(((c_TMAP1IN)-(c_TFWD))*(((K342)-(c_TFWD))*((c_TMAP1OUT)-(0))+IF(((c_TMAP1OUT)-(0))&gt;=0,1,-1)*QUOTIENT(((c_TMAP1IN)-(c_TFWD)),2))+2147483648,4294967296)-2147483648,((c_TMAP1IN)-(c_TFWD))*(((K342)-(c_TFWD))*((c_TMAP1OUT)-(0))+IF(((c_TMAP1OUT)-(0))&gt;=0,1,-1)*QUOTIENT(((c_TMAP1IN)-(c_TFWD)),2)))&gt;=0,1,0)))</f>
        <v>761</v>
      </c>
      <c r="N342" s="7" t="n">
        <f aca="false">IF(((c_TMAP2IN)-(c_TMAP1IN))=0,(c_TMAP1OUT)+QUOTIENT(((c_TMAP2OUT)-(c_TMAP1OUT)),2),QUOTIENT((((K342)-(c_TMAP1IN))*((c_TMAP2OUT)-(c_TMAP1OUT))+IF(((c_TMAP2OUT)-(c_TMAP1OUT))&gt;=0,1,-1)*QUOTIENT(((c_TMAP2IN)-(c_TMAP1IN)),2)),((c_TMAP2IN)-(c_TMAP1IN)))+(c_TMAP1OUT)+IF(((c_TMAP2OUT)-(c_TMAP1OUT))&gt;=0,IF(IF(o_WRAP=1,MOD(((c_TMAP2IN)-(c_TMAP1IN))*(((K342)-(c_TMAP1IN))*((c_TMAP2OUT)-(c_TMAP1OUT))+IF(((c_TMAP2OUT)-(c_TMAP1OUT))&gt;=0,1,-1)*QUOTIENT(((c_TMAP2IN)-(c_TMAP1IN)),2))+2147483648,4294967296)-2147483648,((c_TMAP2IN)-(c_TMAP1IN))*(((K342)-(c_TMAP1IN))*((c_TMAP2OUT)-(c_TMAP1OUT))+IF(((c_TMAP2OUT)-(c_TMAP1OUT))&gt;=0,1,-1)*QUOTIENT(((c_TMAP2IN)-(c_TMAP1IN)),2)))&lt;0,-1,0),IF(IF(o_WRAP=1,MOD(((c_TMAP2IN)-(c_TMAP1IN))*(((K342)-(c_TMAP1IN))*((c_TMAP2OUT)-(c_TMAP1OUT))+IF(((c_TMAP2OUT)-(c_TMAP1OUT))&gt;=0,1,-1)*QUOTIENT(((c_TMAP2IN)-(c_TMAP1IN)),2))+2147483648,4294967296)-2147483648,((c_TMAP2IN)-(c_TMAP1IN))*(((K342)-(c_TMAP1IN))*((c_TMAP2OUT)-(c_TMAP1OUT))+IF(((c_TMAP2OUT)-(c_TMAP1OUT))&gt;=0,1,-1)*QUOTIENT(((c_TMAP2IN)-(c_TMAP1IN)),2)))&gt;=0,1,0)))</f>
        <v>426</v>
      </c>
      <c r="O342" s="7" t="n">
        <f aca="false">IF(((c_TMAP3IN)-(c_TMAP2IN))=0,(c_TMAP2OUT)+QUOTIENT(((c_TMAP3OUT)-(c_TMAP2OUT)),2),QUOTIENT((((K342)-(c_TMAP2IN))*((c_TMAP3OUT)-(c_TMAP2OUT))+IF(((c_TMAP3OUT)-(c_TMAP2OUT))&gt;=0,1,-1)*QUOTIENT(((c_TMAP3IN)-(c_TMAP2IN)),2)),((c_TMAP3IN)-(c_TMAP2IN)))+(c_TMAP2OUT)+IF(((c_TMAP3OUT)-(c_TMAP2OUT))&gt;=0,IF(IF(o_WRAP=1,MOD(((c_TMAP3IN)-(c_TMAP2IN))*(((K342)-(c_TMAP2IN))*((c_TMAP3OUT)-(c_TMAP2OUT))+IF(((c_TMAP3OUT)-(c_TMAP2OUT))&gt;=0,1,-1)*QUOTIENT(((c_TMAP3IN)-(c_TMAP2IN)),2))+2147483648,4294967296)-2147483648,((c_TMAP3IN)-(c_TMAP2IN))*(((K342)-(c_TMAP2IN))*((c_TMAP3OUT)-(c_TMAP2OUT))+IF(((c_TMAP3OUT)-(c_TMAP2OUT))&gt;=0,1,-1)*QUOTIENT(((c_TMAP3IN)-(c_TMAP2IN)),2)))&lt;0,-1,0),IF(IF(o_WRAP=1,MOD(((c_TMAP3IN)-(c_TMAP2IN))*(((K342)-(c_TMAP2IN))*((c_TMAP3OUT)-(c_TMAP2OUT))+IF(((c_TMAP3OUT)-(c_TMAP2OUT))&gt;=0,1,-1)*QUOTIENT(((c_TMAP3IN)-(c_TMAP2IN)),2))+2147483648,4294967296)-2147483648,((c_TMAP3IN)-(c_TMAP2IN))*(((K342)-(c_TMAP2IN))*((c_TMAP3OUT)-(c_TMAP2OUT))+IF(((c_TMAP3OUT)-(c_TMAP2OUT))&gt;=0,1,-1)*QUOTIENT(((c_TMAP3IN)-(c_TMAP2IN)),2)))&gt;=0,1,0)))</f>
        <v>647</v>
      </c>
      <c r="P342" s="7" t="n">
        <f aca="false">IF(((1000)-(c_TMAP3IN))=0,(c_TMAP3OUT)+QUOTIENT(((1000)-(c_TMAP3OUT)),2),QUOTIENT((((K342)-(c_TMAP3IN))*((1000)-(c_TMAP3OUT))+IF(((1000)-(c_TMAP3OUT))&gt;=0,1,-1)*QUOTIENT(((1000)-(c_TMAP3IN)),2)),((1000)-(c_TMAP3IN)))+(c_TMAP3OUT)+IF(((1000)-(c_TMAP3OUT))&gt;=0,IF(IF(o_WRAP=1,MOD(((1000)-(c_TMAP3IN))*(((K342)-(c_TMAP3IN))*((1000)-(c_TMAP3OUT))+IF(((1000)-(c_TMAP3OUT))&gt;=0,1,-1)*QUOTIENT(((1000)-(c_TMAP3IN)),2))+2147483648,4294967296)-2147483648,((1000)-(c_TMAP3IN))*(((K342)-(c_TMAP3IN))*((1000)-(c_TMAP3OUT))+IF(((1000)-(c_TMAP3OUT))&gt;=0,1,-1)*QUOTIENT(((1000)-(c_TMAP3IN)),2)))&lt;0,-1,0),IF(IF(o_WRAP=1,MOD(((1000)-(c_TMAP3IN))*(((K342)-(c_TMAP3IN))*((1000)-(c_TMAP3OUT))+IF(((1000)-(c_TMAP3OUT))&gt;=0,1,-1)*QUOTIENT(((1000)-(c_TMAP3IN)),2))+2147483648,4294967296)-2147483648,((1000)-(c_TMAP3IN))*(((K342)-(c_TMAP3IN))*((1000)-(c_TMAP3OUT))+IF(((1000)-(c_TMAP3OUT))&gt;=0,1,-1)*QUOTIENT(((1000)-(c_TMAP3IN)),2)))&gt;=0,1,0)))</f>
        <v>986</v>
      </c>
      <c r="Q342" s="7" t="str">
        <f aca="false">IF(K342&gt;=c_TFWD,IF(AND(K342&gt;=c_TMAP3IN,c_TMAP3IN&lt;1000),"Seg4 map3-100%",IF(AND(K342&gt;=c_TMAP2IN,c_TMAP3IN&gt;c_TMAP2IN),"Seg3 map2-map3",IF(AND(K342&gt;=c_TMAP1IN,c_TMAP2IN&gt;c_TMAP1IN),"Seg2 map1-map2","Seg1 TFWD-map1"))),IF(AND(K342=0,c_TCREEP&gt;0),"Creep",IF(AND(K342&lt;=c_TRNGMIN,K342&gt;=c_TRNGMAX,c_TRNGMIN-c_TRNGMAX&lt;&gt;0),"Regen ramp","Coast (0)")))</f>
        <v>Seg4 map3-100%</v>
      </c>
      <c r="R342" s="7" t="n">
        <f aca="false">IF(K342&gt;=c_TFWD,IF(AND(K342&gt;=c_TMAP3IN,c_TMAP3IN&lt;1000),P342,IF(AND(K342&gt;=c_TMAP2IN,c_TMAP3IN&gt;c_TMAP2IN),O342,IF(AND(K342&gt;=c_TMAP1IN,c_TMAP2IN&gt;c_TMAP1IN),N342,M342))),L342)</f>
        <v>986</v>
      </c>
      <c r="S342" s="7" t="str">
        <f aca="false">IF(R342&lt;-1090,"TOO LOW",IF(R342&gt;1090,"TOO HIGH",""))</f>
        <v/>
      </c>
      <c r="T342" s="15" t="n">
        <f aca="false">IF(H342&lt;&gt;"OK",0,IF(S342&lt;&gt;"",0,IF(R342&gt;979,1000,R342)))</f>
        <v>1000</v>
      </c>
      <c r="U342" s="7" t="n">
        <f aca="false">T342/10</f>
        <v>100</v>
      </c>
    </row>
    <row r="343" customFormat="false" ht="15" hidden="false" customHeight="false" outlineLevel="0" collapsed="false">
      <c r="A343" s="7" t="n">
        <v>338</v>
      </c>
      <c r="B343" s="7" t="n">
        <f aca="false">ROUND(o_SWSTART+A343*(o_SWEND-o_SWSTART)/400,0)</f>
        <v>3460</v>
      </c>
      <c r="C343" s="7" t="n">
        <f aca="false">QUOTIENT((B343-c_OFF1)*c_GAIN1,1024)</f>
        <v>3460</v>
      </c>
      <c r="D343" s="7" t="n">
        <f aca="false">IF(((c_T1MX)-(c_T1MN))=0,(0)+QUOTIENT(((1000)-(0)),2),QUOTIENT((((C343)-(c_T1MN))*((1000)-(0))+IF(((1000)-(0))&gt;=0,1,-1)*QUOTIENT(((c_T1MX)-(c_T1MN)),2)),((c_T1MX)-(c_T1MN)))+(0)+IF(((1000)-(0))&gt;=0,IF(IF(o_WRAP=1,MOD(((c_T1MX)-(c_T1MN))*(((C343)-(c_T1MN))*((1000)-(0))+IF(((1000)-(0))&gt;=0,1,-1)*QUOTIENT(((c_T1MX)-(c_T1MN)),2))+2147483648,4294967296)-2147483648,((c_T1MX)-(c_T1MN))*(((C343)-(c_T1MN))*((1000)-(0))+IF(((1000)-(0))&gt;=0,1,-1)*QUOTIENT(((c_T1MX)-(c_T1MN)),2)))&lt;0,-1,0),IF(IF(o_WRAP=1,MOD(((c_T1MX)-(c_T1MN))*(((C343)-(c_T1MN))*((1000)-(0))+IF(((1000)-(0))&gt;=0,1,-1)*QUOTIENT(((c_T1MX)-(c_T1MN)),2))+2147483648,4294967296)-2147483648,((c_T1MX)-(c_T1MN))*(((C343)-(c_T1MN))*((1000)-(0))+IF(((1000)-(0))&gt;=0,1,-1)*QUOTIENT(((c_T1MX)-(c_T1MN)),2)))&gt;=0,1,0)))</f>
        <v>992</v>
      </c>
      <c r="E343" s="7" t="n">
        <f aca="false">IF(AND(c_TPOT=1,c_TTYPE=2),1000-D343,D343)</f>
        <v>992</v>
      </c>
      <c r="F343" s="7" t="str">
        <f aca="false">IF(c_TPOT&gt;1,ROUND(IF(c_TTYPE=2,c_T2MX-IF(c_T1MX=c_T1MN,0,(C343-c_T1MN)/(c_T1MX-c_T1MN))*(c_T2MX-c_T2MN),c_T2MN+IF(c_T1MX=c_T1MN,0,(C343-c_T1MN)/(c_T1MX-c_T1MN))*(c_T2MX-c_T2MN))+o_MISMATCH,0),"")</f>
        <v/>
      </c>
      <c r="G343" s="7" t="str">
        <f aca="false">IF(c_TPOT&gt;1,IF(((c_T2MX)-(c_T2MN))=0,(0)+QUOTIENT(((1000)-(0)),2),QUOTIENT((((F343)-(c_T2MN))*((1000)-(0))+IF(((1000)-(0))&gt;=0,1,-1)*QUOTIENT(((c_T2MX)-(c_T2MN)),2)),((c_T2MX)-(c_T2MN)))+(0)+IF(((1000)-(0))&gt;=0,IF(IF(o_WRAP=1,MOD(((c_T2MX)-(c_T2MN))*(((F343)-(c_T2MN))*((1000)-(0))+IF(((1000)-(0))&gt;=0,1,-1)*QUOTIENT(((c_T2MX)-(c_T2MN)),2))+2147483648,4294967296)-2147483648,((c_T2MX)-(c_T2MN))*(((F343)-(c_T2MN))*((1000)-(0))+IF(((1000)-(0))&gt;=0,1,-1)*QUOTIENT(((c_T2MX)-(c_T2MN)),2)))&lt;0,-1,0),IF(IF(o_WRAP=1,MOD(((c_T2MX)-(c_T2MN))*(((F343)-(c_T2MN))*((1000)-(0))+IF(((1000)-(0))&gt;=0,1,-1)*QUOTIENT(((c_T2MX)-(c_T2MN)),2))+2147483648,4294967296)-2147483648,((c_T2MX)-(c_T2MN))*(((F343)-(c_T2MN))*((1000)-(0))+IF(((1000)-(0))&gt;=0,1,-1)*QUOTIENT(((c_T2MX)-(c_T2MN)),2)))&gt;=0,1,0))),"")</f>
        <v/>
      </c>
      <c r="H343" s="7" t="str">
        <f aca="false">IF(E343&gt;1000+k_TOL,"T1 HIGH",IF(E343&lt;0-k_TOL,"T1 LOW",IF(c_TPOT&gt;1,IF(G343&gt;1000+k_TOL,"T2 HIGH",IF(G343&lt;0-k_TOL,"T2 LOW",IF(c_TTYPE=2,IF(ABS(1000-MAX(0,MIN(1000,E343))-MAX(0,MIN(1000,G343)))&gt;k_MAXERR,"MISMATCH","OK"),IF(OR(MAX(0,MIN(1000,E343))-k_MAXERR&gt;MAX(0,MIN(1000,G343)),MAX(0,MIN(1000,G343))-k_MAXERR&gt;MAX(0,MIN(1000,E343))),"MISMATCH","OK")))),"OK")))</f>
        <v>OK</v>
      </c>
      <c r="I343" s="7" t="n">
        <f aca="false">MAX(0,MIN(1000,D343))</f>
        <v>992</v>
      </c>
      <c r="J343" s="7" t="str">
        <f aca="false">IF(c_TPOT&gt;1,IF(c_TTYPE=2,1000-MAX(0,MIN(1000,G343)),MAX(0,MIN(1000,G343))),"")</f>
        <v/>
      </c>
      <c r="K343" s="7" t="n">
        <f aca="false">IF(c_TPOT&gt;1,QUOTIENT(I343+J343,2),I343)</f>
        <v>992</v>
      </c>
      <c r="L343" s="7" t="n">
        <f aca="false">IF(AND(K343=0,c_TCREEP&gt;0),10*c_TCREEP,IF(AND(K343&lt;=c_TRNGMIN,K343&gt;=c_TRNGMAX,c_TRNGMIN-c_TRNGMAX&lt;&gt;0),-10*c_TMINRN+QUOTIENT((c_TMAXRN-c_TMINRN)*(100-QUOTIENT((K343-c_TRNGMAX)*100,c_TRNGMIN-c_TRNGMAX)),-10),0))</f>
        <v>0</v>
      </c>
      <c r="M343" s="7" t="n">
        <f aca="false">IF(((c_TMAP1IN)-(c_TFWD))=0,(0)+QUOTIENT(((c_TMAP1OUT)-(0)),2),QUOTIENT((((K343)-(c_TFWD))*((c_TMAP1OUT)-(0))+IF(((c_TMAP1OUT)-(0))&gt;=0,1,-1)*QUOTIENT(((c_TMAP1IN)-(c_TFWD)),2)),((c_TMAP1IN)-(c_TFWD)))+(0)+IF(((c_TMAP1OUT)-(0))&gt;=0,IF(IF(o_WRAP=1,MOD(((c_TMAP1IN)-(c_TFWD))*(((K343)-(c_TFWD))*((c_TMAP1OUT)-(0))+IF(((c_TMAP1OUT)-(0))&gt;=0,1,-1)*QUOTIENT(((c_TMAP1IN)-(c_TFWD)),2))+2147483648,4294967296)-2147483648,((c_TMAP1IN)-(c_TFWD))*(((K343)-(c_TFWD))*((c_TMAP1OUT)-(0))+IF(((c_TMAP1OUT)-(0))&gt;=0,1,-1)*QUOTIENT(((c_TMAP1IN)-(c_TFWD)),2)))&lt;0,-1,0),IF(IF(o_WRAP=1,MOD(((c_TMAP1IN)-(c_TFWD))*(((K343)-(c_TFWD))*((c_TMAP1OUT)-(0))+IF(((c_TMAP1OUT)-(0))&gt;=0,1,-1)*QUOTIENT(((c_TMAP1IN)-(c_TFWD)),2))+2147483648,4294967296)-2147483648,((c_TMAP1IN)-(c_TFWD))*(((K343)-(c_TFWD))*((c_TMAP1OUT)-(0))+IF(((c_TMAP1OUT)-(0))&gt;=0,1,-1)*QUOTIENT(((c_TMAP1IN)-(c_TFWD)),2)))&gt;=0,1,0)))</f>
        <v>764</v>
      </c>
      <c r="N343" s="7" t="n">
        <f aca="false">IF(((c_TMAP2IN)-(c_TMAP1IN))=0,(c_TMAP1OUT)+QUOTIENT(((c_TMAP2OUT)-(c_TMAP1OUT)),2),QUOTIENT((((K343)-(c_TMAP1IN))*((c_TMAP2OUT)-(c_TMAP1OUT))+IF(((c_TMAP2OUT)-(c_TMAP1OUT))&gt;=0,1,-1)*QUOTIENT(((c_TMAP2IN)-(c_TMAP1IN)),2)),((c_TMAP2IN)-(c_TMAP1IN)))+(c_TMAP1OUT)+IF(((c_TMAP2OUT)-(c_TMAP1OUT))&gt;=0,IF(IF(o_WRAP=1,MOD(((c_TMAP2IN)-(c_TMAP1IN))*(((K343)-(c_TMAP1IN))*((c_TMAP2OUT)-(c_TMAP1OUT))+IF(((c_TMAP2OUT)-(c_TMAP1OUT))&gt;=0,1,-1)*QUOTIENT(((c_TMAP2IN)-(c_TMAP1IN)),2))+2147483648,4294967296)-2147483648,((c_TMAP2IN)-(c_TMAP1IN))*(((K343)-(c_TMAP1IN))*((c_TMAP2OUT)-(c_TMAP1OUT))+IF(((c_TMAP2OUT)-(c_TMAP1OUT))&gt;=0,1,-1)*QUOTIENT(((c_TMAP2IN)-(c_TMAP1IN)),2)))&lt;0,-1,0),IF(IF(o_WRAP=1,MOD(((c_TMAP2IN)-(c_TMAP1IN))*(((K343)-(c_TMAP1IN))*((c_TMAP2OUT)-(c_TMAP1OUT))+IF(((c_TMAP2OUT)-(c_TMAP1OUT))&gt;=0,1,-1)*QUOTIENT(((c_TMAP2IN)-(c_TMAP1IN)),2))+2147483648,4294967296)-2147483648,((c_TMAP2IN)-(c_TMAP1IN))*(((K343)-(c_TMAP1IN))*((c_TMAP2OUT)-(c_TMAP1OUT))+IF(((c_TMAP2OUT)-(c_TMAP1OUT))&gt;=0,1,-1)*QUOTIENT(((c_TMAP2IN)-(c_TMAP1IN)),2)))&gt;=0,1,0)))</f>
        <v>427</v>
      </c>
      <c r="O343" s="7" t="n">
        <f aca="false">IF(((c_TMAP3IN)-(c_TMAP2IN))=0,(c_TMAP2OUT)+QUOTIENT(((c_TMAP3OUT)-(c_TMAP2OUT)),2),QUOTIENT((((K343)-(c_TMAP2IN))*((c_TMAP3OUT)-(c_TMAP2OUT))+IF(((c_TMAP3OUT)-(c_TMAP2OUT))&gt;=0,1,-1)*QUOTIENT(((c_TMAP3IN)-(c_TMAP2IN)),2)),((c_TMAP3IN)-(c_TMAP2IN)))+(c_TMAP2OUT)+IF(((c_TMAP3OUT)-(c_TMAP2OUT))&gt;=0,IF(IF(o_WRAP=1,MOD(((c_TMAP3IN)-(c_TMAP2IN))*(((K343)-(c_TMAP2IN))*((c_TMAP3OUT)-(c_TMAP2OUT))+IF(((c_TMAP3OUT)-(c_TMAP2OUT))&gt;=0,1,-1)*QUOTIENT(((c_TMAP3IN)-(c_TMAP2IN)),2))+2147483648,4294967296)-2147483648,((c_TMAP3IN)-(c_TMAP2IN))*(((K343)-(c_TMAP2IN))*((c_TMAP3OUT)-(c_TMAP2OUT))+IF(((c_TMAP3OUT)-(c_TMAP2OUT))&gt;=0,1,-1)*QUOTIENT(((c_TMAP3IN)-(c_TMAP2IN)),2)))&lt;0,-1,0),IF(IF(o_WRAP=1,MOD(((c_TMAP3IN)-(c_TMAP2IN))*(((K343)-(c_TMAP2IN))*((c_TMAP3OUT)-(c_TMAP2OUT))+IF(((c_TMAP3OUT)-(c_TMAP2OUT))&gt;=0,1,-1)*QUOTIENT(((c_TMAP3IN)-(c_TMAP2IN)),2))+2147483648,4294967296)-2147483648,((c_TMAP3IN)-(c_TMAP2IN))*(((K343)-(c_TMAP2IN))*((c_TMAP3OUT)-(c_TMAP2OUT))+IF(((c_TMAP3OUT)-(c_TMAP2OUT))&gt;=0,1,-1)*QUOTIENT(((c_TMAP3IN)-(c_TMAP2IN)),2)))&gt;=0,1,0)))</f>
        <v>649</v>
      </c>
      <c r="P343" s="7" t="n">
        <f aca="false">IF(((1000)-(c_TMAP3IN))=0,(c_TMAP3OUT)+QUOTIENT(((1000)-(c_TMAP3OUT)),2),QUOTIENT((((K343)-(c_TMAP3IN))*((1000)-(c_TMAP3OUT))+IF(((1000)-(c_TMAP3OUT))&gt;=0,1,-1)*QUOTIENT(((1000)-(c_TMAP3IN)),2)),((1000)-(c_TMAP3IN)))+(c_TMAP3OUT)+IF(((1000)-(c_TMAP3OUT))&gt;=0,IF(IF(o_WRAP=1,MOD(((1000)-(c_TMAP3IN))*(((K343)-(c_TMAP3IN))*((1000)-(c_TMAP3OUT))+IF(((1000)-(c_TMAP3OUT))&gt;=0,1,-1)*QUOTIENT(((1000)-(c_TMAP3IN)),2))+2147483648,4294967296)-2147483648,((1000)-(c_TMAP3IN))*(((K343)-(c_TMAP3IN))*((1000)-(c_TMAP3OUT))+IF(((1000)-(c_TMAP3OUT))&gt;=0,1,-1)*QUOTIENT(((1000)-(c_TMAP3IN)),2)))&lt;0,-1,0),IF(IF(o_WRAP=1,MOD(((1000)-(c_TMAP3IN))*(((K343)-(c_TMAP3IN))*((1000)-(c_TMAP3OUT))+IF(((1000)-(c_TMAP3OUT))&gt;=0,1,-1)*QUOTIENT(((1000)-(c_TMAP3IN)),2))+2147483648,4294967296)-2147483648,((1000)-(c_TMAP3IN))*(((K343)-(c_TMAP3IN))*((1000)-(c_TMAP3OUT))+IF(((1000)-(c_TMAP3OUT))&gt;=0,1,-1)*QUOTIENT(((1000)-(c_TMAP3IN)),2)))&gt;=0,1,0)))</f>
        <v>990</v>
      </c>
      <c r="Q343" s="7" t="str">
        <f aca="false">IF(K343&gt;=c_TFWD,IF(AND(K343&gt;=c_TMAP3IN,c_TMAP3IN&lt;1000),"Seg4 map3-100%",IF(AND(K343&gt;=c_TMAP2IN,c_TMAP3IN&gt;c_TMAP2IN),"Seg3 map2-map3",IF(AND(K343&gt;=c_TMAP1IN,c_TMAP2IN&gt;c_TMAP1IN),"Seg2 map1-map2","Seg1 TFWD-map1"))),IF(AND(K343=0,c_TCREEP&gt;0),"Creep",IF(AND(K343&lt;=c_TRNGMIN,K343&gt;=c_TRNGMAX,c_TRNGMIN-c_TRNGMAX&lt;&gt;0),"Regen ramp","Coast (0)")))</f>
        <v>Seg4 map3-100%</v>
      </c>
      <c r="R343" s="7" t="n">
        <f aca="false">IF(K343&gt;=c_TFWD,IF(AND(K343&gt;=c_TMAP3IN,c_TMAP3IN&lt;1000),P343,IF(AND(K343&gt;=c_TMAP2IN,c_TMAP3IN&gt;c_TMAP2IN),O343,IF(AND(K343&gt;=c_TMAP1IN,c_TMAP2IN&gt;c_TMAP1IN),N343,M343))),L343)</f>
        <v>990</v>
      </c>
      <c r="S343" s="7" t="str">
        <f aca="false">IF(R343&lt;-1090,"TOO LOW",IF(R343&gt;1090,"TOO HIGH",""))</f>
        <v/>
      </c>
      <c r="T343" s="15" t="n">
        <f aca="false">IF(H343&lt;&gt;"OK",0,IF(S343&lt;&gt;"",0,IF(R343&gt;979,1000,R343)))</f>
        <v>1000</v>
      </c>
      <c r="U343" s="7" t="n">
        <f aca="false">T343/10</f>
        <v>100</v>
      </c>
    </row>
    <row r="344" customFormat="false" ht="15" hidden="false" customHeight="false" outlineLevel="0" collapsed="false">
      <c r="A344" s="7" t="n">
        <v>339</v>
      </c>
      <c r="B344" s="7" t="n">
        <f aca="false">ROUND(o_SWSTART+A344*(o_SWEND-o_SWSTART)/400,0)</f>
        <v>3471</v>
      </c>
      <c r="C344" s="7" t="n">
        <f aca="false">QUOTIENT((B344-c_OFF1)*c_GAIN1,1024)</f>
        <v>3471</v>
      </c>
      <c r="D344" s="7" t="n">
        <f aca="false">IF(((c_T1MX)-(c_T1MN))=0,(0)+QUOTIENT(((1000)-(0)),2),QUOTIENT((((C344)-(c_T1MN))*((1000)-(0))+IF(((1000)-(0))&gt;=0,1,-1)*QUOTIENT(((c_T1MX)-(c_T1MN)),2)),((c_T1MX)-(c_T1MN)))+(0)+IF(((1000)-(0))&gt;=0,IF(IF(o_WRAP=1,MOD(((c_T1MX)-(c_T1MN))*(((C344)-(c_T1MN))*((1000)-(0))+IF(((1000)-(0))&gt;=0,1,-1)*QUOTIENT(((c_T1MX)-(c_T1MN)),2))+2147483648,4294967296)-2147483648,((c_T1MX)-(c_T1MN))*(((C344)-(c_T1MN))*((1000)-(0))+IF(((1000)-(0))&gt;=0,1,-1)*QUOTIENT(((c_T1MX)-(c_T1MN)),2)))&lt;0,-1,0),IF(IF(o_WRAP=1,MOD(((c_T1MX)-(c_T1MN))*(((C344)-(c_T1MN))*((1000)-(0))+IF(((1000)-(0))&gt;=0,1,-1)*QUOTIENT(((c_T1MX)-(c_T1MN)),2))+2147483648,4294967296)-2147483648,((c_T1MX)-(c_T1MN))*(((C344)-(c_T1MN))*((1000)-(0))+IF(((1000)-(0))&gt;=0,1,-1)*QUOTIENT(((c_T1MX)-(c_T1MN)),2)))&gt;=0,1,0)))</f>
        <v>996</v>
      </c>
      <c r="E344" s="7" t="n">
        <f aca="false">IF(AND(c_TPOT=1,c_TTYPE=2),1000-D344,D344)</f>
        <v>996</v>
      </c>
      <c r="F344" s="7" t="str">
        <f aca="false">IF(c_TPOT&gt;1,ROUND(IF(c_TTYPE=2,c_T2MX-IF(c_T1MX=c_T1MN,0,(C344-c_T1MN)/(c_T1MX-c_T1MN))*(c_T2MX-c_T2MN),c_T2MN+IF(c_T1MX=c_T1MN,0,(C344-c_T1MN)/(c_T1MX-c_T1MN))*(c_T2MX-c_T2MN))+o_MISMATCH,0),"")</f>
        <v/>
      </c>
      <c r="G344" s="7" t="str">
        <f aca="false">IF(c_TPOT&gt;1,IF(((c_T2MX)-(c_T2MN))=0,(0)+QUOTIENT(((1000)-(0)),2),QUOTIENT((((F344)-(c_T2MN))*((1000)-(0))+IF(((1000)-(0))&gt;=0,1,-1)*QUOTIENT(((c_T2MX)-(c_T2MN)),2)),((c_T2MX)-(c_T2MN)))+(0)+IF(((1000)-(0))&gt;=0,IF(IF(o_WRAP=1,MOD(((c_T2MX)-(c_T2MN))*(((F344)-(c_T2MN))*((1000)-(0))+IF(((1000)-(0))&gt;=0,1,-1)*QUOTIENT(((c_T2MX)-(c_T2MN)),2))+2147483648,4294967296)-2147483648,((c_T2MX)-(c_T2MN))*(((F344)-(c_T2MN))*((1000)-(0))+IF(((1000)-(0))&gt;=0,1,-1)*QUOTIENT(((c_T2MX)-(c_T2MN)),2)))&lt;0,-1,0),IF(IF(o_WRAP=1,MOD(((c_T2MX)-(c_T2MN))*(((F344)-(c_T2MN))*((1000)-(0))+IF(((1000)-(0))&gt;=0,1,-1)*QUOTIENT(((c_T2MX)-(c_T2MN)),2))+2147483648,4294967296)-2147483648,((c_T2MX)-(c_T2MN))*(((F344)-(c_T2MN))*((1000)-(0))+IF(((1000)-(0))&gt;=0,1,-1)*QUOTIENT(((c_T2MX)-(c_T2MN)),2)))&gt;=0,1,0))),"")</f>
        <v/>
      </c>
      <c r="H344" s="7" t="str">
        <f aca="false">IF(E344&gt;1000+k_TOL,"T1 HIGH",IF(E344&lt;0-k_TOL,"T1 LOW",IF(c_TPOT&gt;1,IF(G344&gt;1000+k_TOL,"T2 HIGH",IF(G344&lt;0-k_TOL,"T2 LOW",IF(c_TTYPE=2,IF(ABS(1000-MAX(0,MIN(1000,E344))-MAX(0,MIN(1000,G344)))&gt;k_MAXERR,"MISMATCH","OK"),IF(OR(MAX(0,MIN(1000,E344))-k_MAXERR&gt;MAX(0,MIN(1000,G344)),MAX(0,MIN(1000,G344))-k_MAXERR&gt;MAX(0,MIN(1000,E344))),"MISMATCH","OK")))),"OK")))</f>
        <v>OK</v>
      </c>
      <c r="I344" s="7" t="n">
        <f aca="false">MAX(0,MIN(1000,D344))</f>
        <v>996</v>
      </c>
      <c r="J344" s="7" t="str">
        <f aca="false">IF(c_TPOT&gt;1,IF(c_TTYPE=2,1000-MAX(0,MIN(1000,G344)),MAX(0,MIN(1000,G344))),"")</f>
        <v/>
      </c>
      <c r="K344" s="7" t="n">
        <f aca="false">IF(c_TPOT&gt;1,QUOTIENT(I344+J344,2),I344)</f>
        <v>996</v>
      </c>
      <c r="L344" s="7" t="n">
        <f aca="false">IF(AND(K344=0,c_TCREEP&gt;0),10*c_TCREEP,IF(AND(K344&lt;=c_TRNGMIN,K344&gt;=c_TRNGMAX,c_TRNGMIN-c_TRNGMAX&lt;&gt;0),-10*c_TMINRN+QUOTIENT((c_TMAXRN-c_TMINRN)*(100-QUOTIENT((K344-c_TRNGMAX)*100,c_TRNGMIN-c_TRNGMAX)),-10),0))</f>
        <v>0</v>
      </c>
      <c r="M344" s="7" t="n">
        <f aca="false">IF(((c_TMAP1IN)-(c_TFWD))=0,(0)+QUOTIENT(((c_TMAP1OUT)-(0)),2),QUOTIENT((((K344)-(c_TFWD))*((c_TMAP1OUT)-(0))+IF(((c_TMAP1OUT)-(0))&gt;=0,1,-1)*QUOTIENT(((c_TMAP1IN)-(c_TFWD)),2)),((c_TMAP1IN)-(c_TFWD)))+(0)+IF(((c_TMAP1OUT)-(0))&gt;=0,IF(IF(o_WRAP=1,MOD(((c_TMAP1IN)-(c_TFWD))*(((K344)-(c_TFWD))*((c_TMAP1OUT)-(0))+IF(((c_TMAP1OUT)-(0))&gt;=0,1,-1)*QUOTIENT(((c_TMAP1IN)-(c_TFWD)),2))+2147483648,4294967296)-2147483648,((c_TMAP1IN)-(c_TFWD))*(((K344)-(c_TFWD))*((c_TMAP1OUT)-(0))+IF(((c_TMAP1OUT)-(0))&gt;=0,1,-1)*QUOTIENT(((c_TMAP1IN)-(c_TFWD)),2)))&lt;0,-1,0),IF(IF(o_WRAP=1,MOD(((c_TMAP1IN)-(c_TFWD))*(((K344)-(c_TFWD))*((c_TMAP1OUT)-(0))+IF(((c_TMAP1OUT)-(0))&gt;=0,1,-1)*QUOTIENT(((c_TMAP1IN)-(c_TFWD)),2))+2147483648,4294967296)-2147483648,((c_TMAP1IN)-(c_TFWD))*(((K344)-(c_TFWD))*((c_TMAP1OUT)-(0))+IF(((c_TMAP1OUT)-(0))&gt;=0,1,-1)*QUOTIENT(((c_TMAP1IN)-(c_TFWD)),2)))&gt;=0,1,0)))</f>
        <v>767</v>
      </c>
      <c r="N344" s="7" t="n">
        <f aca="false">IF(((c_TMAP2IN)-(c_TMAP1IN))=0,(c_TMAP1OUT)+QUOTIENT(((c_TMAP2OUT)-(c_TMAP1OUT)),2),QUOTIENT((((K344)-(c_TMAP1IN))*((c_TMAP2OUT)-(c_TMAP1OUT))+IF(((c_TMAP2OUT)-(c_TMAP1OUT))&gt;=0,1,-1)*QUOTIENT(((c_TMAP2IN)-(c_TMAP1IN)),2)),((c_TMAP2IN)-(c_TMAP1IN)))+(c_TMAP1OUT)+IF(((c_TMAP2OUT)-(c_TMAP1OUT))&gt;=0,IF(IF(o_WRAP=1,MOD(((c_TMAP2IN)-(c_TMAP1IN))*(((K344)-(c_TMAP1IN))*((c_TMAP2OUT)-(c_TMAP1OUT))+IF(((c_TMAP2OUT)-(c_TMAP1OUT))&gt;=0,1,-1)*QUOTIENT(((c_TMAP2IN)-(c_TMAP1IN)),2))+2147483648,4294967296)-2147483648,((c_TMAP2IN)-(c_TMAP1IN))*(((K344)-(c_TMAP1IN))*((c_TMAP2OUT)-(c_TMAP1OUT))+IF(((c_TMAP2OUT)-(c_TMAP1OUT))&gt;=0,1,-1)*QUOTIENT(((c_TMAP2IN)-(c_TMAP1IN)),2)))&lt;0,-1,0),IF(IF(o_WRAP=1,MOD(((c_TMAP2IN)-(c_TMAP1IN))*(((K344)-(c_TMAP1IN))*((c_TMAP2OUT)-(c_TMAP1OUT))+IF(((c_TMAP2OUT)-(c_TMAP1OUT))&gt;=0,1,-1)*QUOTIENT(((c_TMAP2IN)-(c_TMAP1IN)),2))+2147483648,4294967296)-2147483648,((c_TMAP2IN)-(c_TMAP1IN))*(((K344)-(c_TMAP1IN))*((c_TMAP2OUT)-(c_TMAP1OUT))+IF(((c_TMAP2OUT)-(c_TMAP1OUT))&gt;=0,1,-1)*QUOTIENT(((c_TMAP2IN)-(c_TMAP1IN)),2)))&gt;=0,1,0)))</f>
        <v>428</v>
      </c>
      <c r="O344" s="7" t="n">
        <f aca="false">IF(((c_TMAP3IN)-(c_TMAP2IN))=0,(c_TMAP2OUT)+QUOTIENT(((c_TMAP3OUT)-(c_TMAP2OUT)),2),QUOTIENT((((K344)-(c_TMAP2IN))*((c_TMAP3OUT)-(c_TMAP2OUT))+IF(((c_TMAP3OUT)-(c_TMAP2OUT))&gt;=0,1,-1)*QUOTIENT(((c_TMAP3IN)-(c_TMAP2IN)),2)),((c_TMAP3IN)-(c_TMAP2IN)))+(c_TMAP2OUT)+IF(((c_TMAP3OUT)-(c_TMAP2OUT))&gt;=0,IF(IF(o_WRAP=1,MOD(((c_TMAP3IN)-(c_TMAP2IN))*(((K344)-(c_TMAP2IN))*((c_TMAP3OUT)-(c_TMAP2OUT))+IF(((c_TMAP3OUT)-(c_TMAP2OUT))&gt;=0,1,-1)*QUOTIENT(((c_TMAP3IN)-(c_TMAP2IN)),2))+2147483648,4294967296)-2147483648,((c_TMAP3IN)-(c_TMAP2IN))*(((K344)-(c_TMAP2IN))*((c_TMAP3OUT)-(c_TMAP2OUT))+IF(((c_TMAP3OUT)-(c_TMAP2OUT))&gt;=0,1,-1)*QUOTIENT(((c_TMAP3IN)-(c_TMAP2IN)),2)))&lt;0,-1,0),IF(IF(o_WRAP=1,MOD(((c_TMAP3IN)-(c_TMAP2IN))*(((K344)-(c_TMAP2IN))*((c_TMAP3OUT)-(c_TMAP2OUT))+IF(((c_TMAP3OUT)-(c_TMAP2OUT))&gt;=0,1,-1)*QUOTIENT(((c_TMAP3IN)-(c_TMAP2IN)),2))+2147483648,4294967296)-2147483648,((c_TMAP3IN)-(c_TMAP2IN))*(((K344)-(c_TMAP2IN))*((c_TMAP3OUT)-(c_TMAP2OUT))+IF(((c_TMAP3OUT)-(c_TMAP2OUT))&gt;=0,1,-1)*QUOTIENT(((c_TMAP3IN)-(c_TMAP2IN)),2)))&gt;=0,1,0)))</f>
        <v>652</v>
      </c>
      <c r="P344" s="7" t="n">
        <f aca="false">IF(((1000)-(c_TMAP3IN))=0,(c_TMAP3OUT)+QUOTIENT(((1000)-(c_TMAP3OUT)),2),QUOTIENT((((K344)-(c_TMAP3IN))*((1000)-(c_TMAP3OUT))+IF(((1000)-(c_TMAP3OUT))&gt;=0,1,-1)*QUOTIENT(((1000)-(c_TMAP3IN)),2)),((1000)-(c_TMAP3IN)))+(c_TMAP3OUT)+IF(((1000)-(c_TMAP3OUT))&gt;=0,IF(IF(o_WRAP=1,MOD(((1000)-(c_TMAP3IN))*(((K344)-(c_TMAP3IN))*((1000)-(c_TMAP3OUT))+IF(((1000)-(c_TMAP3OUT))&gt;=0,1,-1)*QUOTIENT(((1000)-(c_TMAP3IN)),2))+2147483648,4294967296)-2147483648,((1000)-(c_TMAP3IN))*(((K344)-(c_TMAP3IN))*((1000)-(c_TMAP3OUT))+IF(((1000)-(c_TMAP3OUT))&gt;=0,1,-1)*QUOTIENT(((1000)-(c_TMAP3IN)),2)))&lt;0,-1,0),IF(IF(o_WRAP=1,MOD(((1000)-(c_TMAP3IN))*(((K344)-(c_TMAP3IN))*((1000)-(c_TMAP3OUT))+IF(((1000)-(c_TMAP3OUT))&gt;=0,1,-1)*QUOTIENT(((1000)-(c_TMAP3IN)),2))+2147483648,4294967296)-2147483648,((1000)-(c_TMAP3IN))*(((K344)-(c_TMAP3IN))*((1000)-(c_TMAP3OUT))+IF(((1000)-(c_TMAP3OUT))&gt;=0,1,-1)*QUOTIENT(((1000)-(c_TMAP3IN)),2)))&gt;=0,1,0)))</f>
        <v>995</v>
      </c>
      <c r="Q344" s="7" t="str">
        <f aca="false">IF(K344&gt;=c_TFWD,IF(AND(K344&gt;=c_TMAP3IN,c_TMAP3IN&lt;1000),"Seg4 map3-100%",IF(AND(K344&gt;=c_TMAP2IN,c_TMAP3IN&gt;c_TMAP2IN),"Seg3 map2-map3",IF(AND(K344&gt;=c_TMAP1IN,c_TMAP2IN&gt;c_TMAP1IN),"Seg2 map1-map2","Seg1 TFWD-map1"))),IF(AND(K344=0,c_TCREEP&gt;0),"Creep",IF(AND(K344&lt;=c_TRNGMIN,K344&gt;=c_TRNGMAX,c_TRNGMIN-c_TRNGMAX&lt;&gt;0),"Regen ramp","Coast (0)")))</f>
        <v>Seg4 map3-100%</v>
      </c>
      <c r="R344" s="7" t="n">
        <f aca="false">IF(K344&gt;=c_TFWD,IF(AND(K344&gt;=c_TMAP3IN,c_TMAP3IN&lt;1000),P344,IF(AND(K344&gt;=c_TMAP2IN,c_TMAP3IN&gt;c_TMAP2IN),O344,IF(AND(K344&gt;=c_TMAP1IN,c_TMAP2IN&gt;c_TMAP1IN),N344,M344))),L344)</f>
        <v>995</v>
      </c>
      <c r="S344" s="7" t="str">
        <f aca="false">IF(R344&lt;-1090,"TOO LOW",IF(R344&gt;1090,"TOO HIGH",""))</f>
        <v/>
      </c>
      <c r="T344" s="15" t="n">
        <f aca="false">IF(H344&lt;&gt;"OK",0,IF(S344&lt;&gt;"",0,IF(R344&gt;979,1000,R344)))</f>
        <v>1000</v>
      </c>
      <c r="U344" s="7" t="n">
        <f aca="false">T344/10</f>
        <v>100</v>
      </c>
    </row>
    <row r="345" customFormat="false" ht="15" hidden="false" customHeight="false" outlineLevel="0" collapsed="false">
      <c r="A345" s="7" t="n">
        <v>340</v>
      </c>
      <c r="B345" s="7" t="n">
        <f aca="false">ROUND(o_SWSTART+A345*(o_SWEND-o_SWSTART)/400,0)</f>
        <v>3481</v>
      </c>
      <c r="C345" s="7" t="n">
        <f aca="false">QUOTIENT((B345-c_OFF1)*c_GAIN1,1024)</f>
        <v>3481</v>
      </c>
      <c r="D345" s="7" t="n">
        <f aca="false">IF(((c_T1MX)-(c_T1MN))=0,(0)+QUOTIENT(((1000)-(0)),2),QUOTIENT((((C345)-(c_T1MN))*((1000)-(0))+IF(((1000)-(0))&gt;=0,1,-1)*QUOTIENT(((c_T1MX)-(c_T1MN)),2)),((c_T1MX)-(c_T1MN)))+(0)+IF(((1000)-(0))&gt;=0,IF(IF(o_WRAP=1,MOD(((c_T1MX)-(c_T1MN))*(((C345)-(c_T1MN))*((1000)-(0))+IF(((1000)-(0))&gt;=0,1,-1)*QUOTIENT(((c_T1MX)-(c_T1MN)),2))+2147483648,4294967296)-2147483648,((c_T1MX)-(c_T1MN))*(((C345)-(c_T1MN))*((1000)-(0))+IF(((1000)-(0))&gt;=0,1,-1)*QUOTIENT(((c_T1MX)-(c_T1MN)),2)))&lt;0,-1,0),IF(IF(o_WRAP=1,MOD(((c_T1MX)-(c_T1MN))*(((C345)-(c_T1MN))*((1000)-(0))+IF(((1000)-(0))&gt;=0,1,-1)*QUOTIENT(((c_T1MX)-(c_T1MN)),2))+2147483648,4294967296)-2147483648,((c_T1MX)-(c_T1MN))*(((C345)-(c_T1MN))*((1000)-(0))+IF(((1000)-(0))&gt;=0,1,-1)*QUOTIENT(((c_T1MX)-(c_T1MN)),2)))&gt;=0,1,0)))</f>
        <v>1000</v>
      </c>
      <c r="E345" s="7" t="n">
        <f aca="false">IF(AND(c_TPOT=1,c_TTYPE=2),1000-D345,D345)</f>
        <v>1000</v>
      </c>
      <c r="F345" s="7" t="str">
        <f aca="false">IF(c_TPOT&gt;1,ROUND(IF(c_TTYPE=2,c_T2MX-IF(c_T1MX=c_T1MN,0,(C345-c_T1MN)/(c_T1MX-c_T1MN))*(c_T2MX-c_T2MN),c_T2MN+IF(c_T1MX=c_T1MN,0,(C345-c_T1MN)/(c_T1MX-c_T1MN))*(c_T2MX-c_T2MN))+o_MISMATCH,0),"")</f>
        <v/>
      </c>
      <c r="G345" s="7" t="str">
        <f aca="false">IF(c_TPOT&gt;1,IF(((c_T2MX)-(c_T2MN))=0,(0)+QUOTIENT(((1000)-(0)),2),QUOTIENT((((F345)-(c_T2MN))*((1000)-(0))+IF(((1000)-(0))&gt;=0,1,-1)*QUOTIENT(((c_T2MX)-(c_T2MN)),2)),((c_T2MX)-(c_T2MN)))+(0)+IF(((1000)-(0))&gt;=0,IF(IF(o_WRAP=1,MOD(((c_T2MX)-(c_T2MN))*(((F345)-(c_T2MN))*((1000)-(0))+IF(((1000)-(0))&gt;=0,1,-1)*QUOTIENT(((c_T2MX)-(c_T2MN)),2))+2147483648,4294967296)-2147483648,((c_T2MX)-(c_T2MN))*(((F345)-(c_T2MN))*((1000)-(0))+IF(((1000)-(0))&gt;=0,1,-1)*QUOTIENT(((c_T2MX)-(c_T2MN)),2)))&lt;0,-1,0),IF(IF(o_WRAP=1,MOD(((c_T2MX)-(c_T2MN))*(((F345)-(c_T2MN))*((1000)-(0))+IF(((1000)-(0))&gt;=0,1,-1)*QUOTIENT(((c_T2MX)-(c_T2MN)),2))+2147483648,4294967296)-2147483648,((c_T2MX)-(c_T2MN))*(((F345)-(c_T2MN))*((1000)-(0))+IF(((1000)-(0))&gt;=0,1,-1)*QUOTIENT(((c_T2MX)-(c_T2MN)),2)))&gt;=0,1,0))),"")</f>
        <v/>
      </c>
      <c r="H345" s="7" t="str">
        <f aca="false">IF(E345&gt;1000+k_TOL,"T1 HIGH",IF(E345&lt;0-k_TOL,"T1 LOW",IF(c_TPOT&gt;1,IF(G345&gt;1000+k_TOL,"T2 HIGH",IF(G345&lt;0-k_TOL,"T2 LOW",IF(c_TTYPE=2,IF(ABS(1000-MAX(0,MIN(1000,E345))-MAX(0,MIN(1000,G345)))&gt;k_MAXERR,"MISMATCH","OK"),IF(OR(MAX(0,MIN(1000,E345))-k_MAXERR&gt;MAX(0,MIN(1000,G345)),MAX(0,MIN(1000,G345))-k_MAXERR&gt;MAX(0,MIN(1000,E345))),"MISMATCH","OK")))),"OK")))</f>
        <v>OK</v>
      </c>
      <c r="I345" s="7" t="n">
        <f aca="false">MAX(0,MIN(1000,D345))</f>
        <v>1000</v>
      </c>
      <c r="J345" s="7" t="str">
        <f aca="false">IF(c_TPOT&gt;1,IF(c_TTYPE=2,1000-MAX(0,MIN(1000,G345)),MAX(0,MIN(1000,G345))),"")</f>
        <v/>
      </c>
      <c r="K345" s="7" t="n">
        <f aca="false">IF(c_TPOT&gt;1,QUOTIENT(I345+J345,2),I345)</f>
        <v>1000</v>
      </c>
      <c r="L345" s="7" t="n">
        <f aca="false">IF(AND(K345=0,c_TCREEP&gt;0),10*c_TCREEP,IF(AND(K345&lt;=c_TRNGMIN,K345&gt;=c_TRNGMAX,c_TRNGMIN-c_TRNGMAX&lt;&gt;0),-10*c_TMINRN+QUOTIENT((c_TMAXRN-c_TMINRN)*(100-QUOTIENT((K345-c_TRNGMAX)*100,c_TRNGMIN-c_TRNGMAX)),-10),0))</f>
        <v>0</v>
      </c>
      <c r="M345" s="7" t="n">
        <f aca="false">IF(((c_TMAP1IN)-(c_TFWD))=0,(0)+QUOTIENT(((c_TMAP1OUT)-(0)),2),QUOTIENT((((K345)-(c_TFWD))*((c_TMAP1OUT)-(0))+IF(((c_TMAP1OUT)-(0))&gt;=0,1,-1)*QUOTIENT(((c_TMAP1IN)-(c_TFWD)),2)),((c_TMAP1IN)-(c_TFWD)))+(0)+IF(((c_TMAP1OUT)-(0))&gt;=0,IF(IF(o_WRAP=1,MOD(((c_TMAP1IN)-(c_TFWD))*(((K345)-(c_TFWD))*((c_TMAP1OUT)-(0))+IF(((c_TMAP1OUT)-(0))&gt;=0,1,-1)*QUOTIENT(((c_TMAP1IN)-(c_TFWD)),2))+2147483648,4294967296)-2147483648,((c_TMAP1IN)-(c_TFWD))*(((K345)-(c_TFWD))*((c_TMAP1OUT)-(0))+IF(((c_TMAP1OUT)-(0))&gt;=0,1,-1)*QUOTIENT(((c_TMAP1IN)-(c_TFWD)),2)))&lt;0,-1,0),IF(IF(o_WRAP=1,MOD(((c_TMAP1IN)-(c_TFWD))*(((K345)-(c_TFWD))*((c_TMAP1OUT)-(0))+IF(((c_TMAP1OUT)-(0))&gt;=0,1,-1)*QUOTIENT(((c_TMAP1IN)-(c_TFWD)),2))+2147483648,4294967296)-2147483648,((c_TMAP1IN)-(c_TFWD))*(((K345)-(c_TFWD))*((c_TMAP1OUT)-(0))+IF(((c_TMAP1OUT)-(0))&gt;=0,1,-1)*QUOTIENT(((c_TMAP1IN)-(c_TFWD)),2)))&gt;=0,1,0)))</f>
        <v>770</v>
      </c>
      <c r="N345" s="7" t="n">
        <f aca="false">IF(((c_TMAP2IN)-(c_TMAP1IN))=0,(c_TMAP1OUT)+QUOTIENT(((c_TMAP2OUT)-(c_TMAP1OUT)),2),QUOTIENT((((K345)-(c_TMAP1IN))*((c_TMAP2OUT)-(c_TMAP1OUT))+IF(((c_TMAP2OUT)-(c_TMAP1OUT))&gt;=0,1,-1)*QUOTIENT(((c_TMAP2IN)-(c_TMAP1IN)),2)),((c_TMAP2IN)-(c_TMAP1IN)))+(c_TMAP1OUT)+IF(((c_TMAP2OUT)-(c_TMAP1OUT))&gt;=0,IF(IF(o_WRAP=1,MOD(((c_TMAP2IN)-(c_TMAP1IN))*(((K345)-(c_TMAP1IN))*((c_TMAP2OUT)-(c_TMAP1OUT))+IF(((c_TMAP2OUT)-(c_TMAP1OUT))&gt;=0,1,-1)*QUOTIENT(((c_TMAP2IN)-(c_TMAP1IN)),2))+2147483648,4294967296)-2147483648,((c_TMAP2IN)-(c_TMAP1IN))*(((K345)-(c_TMAP1IN))*((c_TMAP2OUT)-(c_TMAP1OUT))+IF(((c_TMAP2OUT)-(c_TMAP1OUT))&gt;=0,1,-1)*QUOTIENT(((c_TMAP2IN)-(c_TMAP1IN)),2)))&lt;0,-1,0),IF(IF(o_WRAP=1,MOD(((c_TMAP2IN)-(c_TMAP1IN))*(((K345)-(c_TMAP1IN))*((c_TMAP2OUT)-(c_TMAP1OUT))+IF(((c_TMAP2OUT)-(c_TMAP1OUT))&gt;=0,1,-1)*QUOTIENT(((c_TMAP2IN)-(c_TMAP1IN)),2))+2147483648,4294967296)-2147483648,((c_TMAP2IN)-(c_TMAP1IN))*(((K345)-(c_TMAP1IN))*((c_TMAP2OUT)-(c_TMAP1OUT))+IF(((c_TMAP2OUT)-(c_TMAP1OUT))&gt;=0,1,-1)*QUOTIENT(((c_TMAP2IN)-(c_TMAP1IN)),2)))&gt;=0,1,0)))</f>
        <v>430</v>
      </c>
      <c r="O345" s="7" t="n">
        <f aca="false">IF(((c_TMAP3IN)-(c_TMAP2IN))=0,(c_TMAP2OUT)+QUOTIENT(((c_TMAP3OUT)-(c_TMAP2OUT)),2),QUOTIENT((((K345)-(c_TMAP2IN))*((c_TMAP3OUT)-(c_TMAP2OUT))+IF(((c_TMAP3OUT)-(c_TMAP2OUT))&gt;=0,1,-1)*QUOTIENT(((c_TMAP3IN)-(c_TMAP2IN)),2)),((c_TMAP3IN)-(c_TMAP2IN)))+(c_TMAP2OUT)+IF(((c_TMAP3OUT)-(c_TMAP2OUT))&gt;=0,IF(IF(o_WRAP=1,MOD(((c_TMAP3IN)-(c_TMAP2IN))*(((K345)-(c_TMAP2IN))*((c_TMAP3OUT)-(c_TMAP2OUT))+IF(((c_TMAP3OUT)-(c_TMAP2OUT))&gt;=0,1,-1)*QUOTIENT(((c_TMAP3IN)-(c_TMAP2IN)),2))+2147483648,4294967296)-2147483648,((c_TMAP3IN)-(c_TMAP2IN))*(((K345)-(c_TMAP2IN))*((c_TMAP3OUT)-(c_TMAP2OUT))+IF(((c_TMAP3OUT)-(c_TMAP2OUT))&gt;=0,1,-1)*QUOTIENT(((c_TMAP3IN)-(c_TMAP2IN)),2)))&lt;0,-1,0),IF(IF(o_WRAP=1,MOD(((c_TMAP3IN)-(c_TMAP2IN))*(((K345)-(c_TMAP2IN))*((c_TMAP3OUT)-(c_TMAP2OUT))+IF(((c_TMAP3OUT)-(c_TMAP2OUT))&gt;=0,1,-1)*QUOTIENT(((c_TMAP3IN)-(c_TMAP2IN)),2))+2147483648,4294967296)-2147483648,((c_TMAP3IN)-(c_TMAP2IN))*(((K345)-(c_TMAP2IN))*((c_TMAP3OUT)-(c_TMAP2OUT))+IF(((c_TMAP3OUT)-(c_TMAP2OUT))&gt;=0,1,-1)*QUOTIENT(((c_TMAP3IN)-(c_TMAP2IN)),2)))&gt;=0,1,0)))</f>
        <v>655</v>
      </c>
      <c r="P345" s="7" t="n">
        <f aca="false">IF(((1000)-(c_TMAP3IN))=0,(c_TMAP3OUT)+QUOTIENT(((1000)-(c_TMAP3OUT)),2),QUOTIENT((((K345)-(c_TMAP3IN))*((1000)-(c_TMAP3OUT))+IF(((1000)-(c_TMAP3OUT))&gt;=0,1,-1)*QUOTIENT(((1000)-(c_TMAP3IN)),2)),((1000)-(c_TMAP3IN)))+(c_TMAP3OUT)+IF(((1000)-(c_TMAP3OUT))&gt;=0,IF(IF(o_WRAP=1,MOD(((1000)-(c_TMAP3IN))*(((K345)-(c_TMAP3IN))*((1000)-(c_TMAP3OUT))+IF(((1000)-(c_TMAP3OUT))&gt;=0,1,-1)*QUOTIENT(((1000)-(c_TMAP3IN)),2))+2147483648,4294967296)-2147483648,((1000)-(c_TMAP3IN))*(((K345)-(c_TMAP3IN))*((1000)-(c_TMAP3OUT))+IF(((1000)-(c_TMAP3OUT))&gt;=0,1,-1)*QUOTIENT(((1000)-(c_TMAP3IN)),2)))&lt;0,-1,0),IF(IF(o_WRAP=1,MOD(((1000)-(c_TMAP3IN))*(((K345)-(c_TMAP3IN))*((1000)-(c_TMAP3OUT))+IF(((1000)-(c_TMAP3OUT))&gt;=0,1,-1)*QUOTIENT(((1000)-(c_TMAP3IN)),2))+2147483648,4294967296)-2147483648,((1000)-(c_TMAP3IN))*(((K345)-(c_TMAP3IN))*((1000)-(c_TMAP3OUT))+IF(((1000)-(c_TMAP3OUT))&gt;=0,1,-1)*QUOTIENT(((1000)-(c_TMAP3IN)),2)))&gt;=0,1,0)))</f>
        <v>1000</v>
      </c>
      <c r="Q345" s="7" t="str">
        <f aca="false">IF(K345&gt;=c_TFWD,IF(AND(K345&gt;=c_TMAP3IN,c_TMAP3IN&lt;1000),"Seg4 map3-100%",IF(AND(K345&gt;=c_TMAP2IN,c_TMAP3IN&gt;c_TMAP2IN),"Seg3 map2-map3",IF(AND(K345&gt;=c_TMAP1IN,c_TMAP2IN&gt;c_TMAP1IN),"Seg2 map1-map2","Seg1 TFWD-map1"))),IF(AND(K345=0,c_TCREEP&gt;0),"Creep",IF(AND(K345&lt;=c_TRNGMIN,K345&gt;=c_TRNGMAX,c_TRNGMIN-c_TRNGMAX&lt;&gt;0),"Regen ramp","Coast (0)")))</f>
        <v>Seg4 map3-100%</v>
      </c>
      <c r="R345" s="7" t="n">
        <f aca="false">IF(K345&gt;=c_TFWD,IF(AND(K345&gt;=c_TMAP3IN,c_TMAP3IN&lt;1000),P345,IF(AND(K345&gt;=c_TMAP2IN,c_TMAP3IN&gt;c_TMAP2IN),O345,IF(AND(K345&gt;=c_TMAP1IN,c_TMAP2IN&gt;c_TMAP1IN),N345,M345))),L345)</f>
        <v>1000</v>
      </c>
      <c r="S345" s="7" t="str">
        <f aca="false">IF(R345&lt;-1090,"TOO LOW",IF(R345&gt;1090,"TOO HIGH",""))</f>
        <v/>
      </c>
      <c r="T345" s="15" t="n">
        <f aca="false">IF(H345&lt;&gt;"OK",0,IF(S345&lt;&gt;"",0,IF(R345&gt;979,1000,R345)))</f>
        <v>1000</v>
      </c>
      <c r="U345" s="7" t="n">
        <f aca="false">T345/10</f>
        <v>100</v>
      </c>
    </row>
    <row r="346" customFormat="false" ht="15" hidden="false" customHeight="false" outlineLevel="0" collapsed="false">
      <c r="A346" s="7" t="n">
        <v>341</v>
      </c>
      <c r="B346" s="7" t="n">
        <f aca="false">ROUND(o_SWSTART+A346*(o_SWEND-o_SWSTART)/400,0)</f>
        <v>3491</v>
      </c>
      <c r="C346" s="7" t="n">
        <f aca="false">QUOTIENT((B346-c_OFF1)*c_GAIN1,1024)</f>
        <v>3491</v>
      </c>
      <c r="D346" s="7" t="n">
        <f aca="false">IF(((c_T1MX)-(c_T1MN))=0,(0)+QUOTIENT(((1000)-(0)),2),QUOTIENT((((C346)-(c_T1MN))*((1000)-(0))+IF(((1000)-(0))&gt;=0,1,-1)*QUOTIENT(((c_T1MX)-(c_T1MN)),2)),((c_T1MX)-(c_T1MN)))+(0)+IF(((1000)-(0))&gt;=0,IF(IF(o_WRAP=1,MOD(((c_T1MX)-(c_T1MN))*(((C346)-(c_T1MN))*((1000)-(0))+IF(((1000)-(0))&gt;=0,1,-1)*QUOTIENT(((c_T1MX)-(c_T1MN)),2))+2147483648,4294967296)-2147483648,((c_T1MX)-(c_T1MN))*(((C346)-(c_T1MN))*((1000)-(0))+IF(((1000)-(0))&gt;=0,1,-1)*QUOTIENT(((c_T1MX)-(c_T1MN)),2)))&lt;0,-1,0),IF(IF(o_WRAP=1,MOD(((c_T1MX)-(c_T1MN))*(((C346)-(c_T1MN))*((1000)-(0))+IF(((1000)-(0))&gt;=0,1,-1)*QUOTIENT(((c_T1MX)-(c_T1MN)),2))+2147483648,4294967296)-2147483648,((c_T1MX)-(c_T1MN))*(((C346)-(c_T1MN))*((1000)-(0))+IF(((1000)-(0))&gt;=0,1,-1)*QUOTIENT(((c_T1MX)-(c_T1MN)),2)))&gt;=0,1,0)))</f>
        <v>1004</v>
      </c>
      <c r="E346" s="7" t="n">
        <f aca="false">IF(AND(c_TPOT=1,c_TTYPE=2),1000-D346,D346)</f>
        <v>1004</v>
      </c>
      <c r="F346" s="7" t="str">
        <f aca="false">IF(c_TPOT&gt;1,ROUND(IF(c_TTYPE=2,c_T2MX-IF(c_T1MX=c_T1MN,0,(C346-c_T1MN)/(c_T1MX-c_T1MN))*(c_T2MX-c_T2MN),c_T2MN+IF(c_T1MX=c_T1MN,0,(C346-c_T1MN)/(c_T1MX-c_T1MN))*(c_T2MX-c_T2MN))+o_MISMATCH,0),"")</f>
        <v/>
      </c>
      <c r="G346" s="7" t="str">
        <f aca="false">IF(c_TPOT&gt;1,IF(((c_T2MX)-(c_T2MN))=0,(0)+QUOTIENT(((1000)-(0)),2),QUOTIENT((((F346)-(c_T2MN))*((1000)-(0))+IF(((1000)-(0))&gt;=0,1,-1)*QUOTIENT(((c_T2MX)-(c_T2MN)),2)),((c_T2MX)-(c_T2MN)))+(0)+IF(((1000)-(0))&gt;=0,IF(IF(o_WRAP=1,MOD(((c_T2MX)-(c_T2MN))*(((F346)-(c_T2MN))*((1000)-(0))+IF(((1000)-(0))&gt;=0,1,-1)*QUOTIENT(((c_T2MX)-(c_T2MN)),2))+2147483648,4294967296)-2147483648,((c_T2MX)-(c_T2MN))*(((F346)-(c_T2MN))*((1000)-(0))+IF(((1000)-(0))&gt;=0,1,-1)*QUOTIENT(((c_T2MX)-(c_T2MN)),2)))&lt;0,-1,0),IF(IF(o_WRAP=1,MOD(((c_T2MX)-(c_T2MN))*(((F346)-(c_T2MN))*((1000)-(0))+IF(((1000)-(0))&gt;=0,1,-1)*QUOTIENT(((c_T2MX)-(c_T2MN)),2))+2147483648,4294967296)-2147483648,((c_T2MX)-(c_T2MN))*(((F346)-(c_T2MN))*((1000)-(0))+IF(((1000)-(0))&gt;=0,1,-1)*QUOTIENT(((c_T2MX)-(c_T2MN)),2)))&gt;=0,1,0))),"")</f>
        <v/>
      </c>
      <c r="H346" s="7" t="str">
        <f aca="false">IF(E346&gt;1000+k_TOL,"T1 HIGH",IF(E346&lt;0-k_TOL,"T1 LOW",IF(c_TPOT&gt;1,IF(G346&gt;1000+k_TOL,"T2 HIGH",IF(G346&lt;0-k_TOL,"T2 LOW",IF(c_TTYPE=2,IF(ABS(1000-MAX(0,MIN(1000,E346))-MAX(0,MIN(1000,G346)))&gt;k_MAXERR,"MISMATCH","OK"),IF(OR(MAX(0,MIN(1000,E346))-k_MAXERR&gt;MAX(0,MIN(1000,G346)),MAX(0,MIN(1000,G346))-k_MAXERR&gt;MAX(0,MIN(1000,E346))),"MISMATCH","OK")))),"OK")))</f>
        <v>OK</v>
      </c>
      <c r="I346" s="7" t="n">
        <f aca="false">MAX(0,MIN(1000,D346))</f>
        <v>1000</v>
      </c>
      <c r="J346" s="7" t="str">
        <f aca="false">IF(c_TPOT&gt;1,IF(c_TTYPE=2,1000-MAX(0,MIN(1000,G346)),MAX(0,MIN(1000,G346))),"")</f>
        <v/>
      </c>
      <c r="K346" s="7" t="n">
        <f aca="false">IF(c_TPOT&gt;1,QUOTIENT(I346+J346,2),I346)</f>
        <v>1000</v>
      </c>
      <c r="L346" s="7" t="n">
        <f aca="false">IF(AND(K346=0,c_TCREEP&gt;0),10*c_TCREEP,IF(AND(K346&lt;=c_TRNGMIN,K346&gt;=c_TRNGMAX,c_TRNGMIN-c_TRNGMAX&lt;&gt;0),-10*c_TMINRN+QUOTIENT((c_TMAXRN-c_TMINRN)*(100-QUOTIENT((K346-c_TRNGMAX)*100,c_TRNGMIN-c_TRNGMAX)),-10),0))</f>
        <v>0</v>
      </c>
      <c r="M346" s="7" t="n">
        <f aca="false">IF(((c_TMAP1IN)-(c_TFWD))=0,(0)+QUOTIENT(((c_TMAP1OUT)-(0)),2),QUOTIENT((((K346)-(c_TFWD))*((c_TMAP1OUT)-(0))+IF(((c_TMAP1OUT)-(0))&gt;=0,1,-1)*QUOTIENT(((c_TMAP1IN)-(c_TFWD)),2)),((c_TMAP1IN)-(c_TFWD)))+(0)+IF(((c_TMAP1OUT)-(0))&gt;=0,IF(IF(o_WRAP=1,MOD(((c_TMAP1IN)-(c_TFWD))*(((K346)-(c_TFWD))*((c_TMAP1OUT)-(0))+IF(((c_TMAP1OUT)-(0))&gt;=0,1,-1)*QUOTIENT(((c_TMAP1IN)-(c_TFWD)),2))+2147483648,4294967296)-2147483648,((c_TMAP1IN)-(c_TFWD))*(((K346)-(c_TFWD))*((c_TMAP1OUT)-(0))+IF(((c_TMAP1OUT)-(0))&gt;=0,1,-1)*QUOTIENT(((c_TMAP1IN)-(c_TFWD)),2)))&lt;0,-1,0),IF(IF(o_WRAP=1,MOD(((c_TMAP1IN)-(c_TFWD))*(((K346)-(c_TFWD))*((c_TMAP1OUT)-(0))+IF(((c_TMAP1OUT)-(0))&gt;=0,1,-1)*QUOTIENT(((c_TMAP1IN)-(c_TFWD)),2))+2147483648,4294967296)-2147483648,((c_TMAP1IN)-(c_TFWD))*(((K346)-(c_TFWD))*((c_TMAP1OUT)-(0))+IF(((c_TMAP1OUT)-(0))&gt;=0,1,-1)*QUOTIENT(((c_TMAP1IN)-(c_TFWD)),2)))&gt;=0,1,0)))</f>
        <v>770</v>
      </c>
      <c r="N346" s="7" t="n">
        <f aca="false">IF(((c_TMAP2IN)-(c_TMAP1IN))=0,(c_TMAP1OUT)+QUOTIENT(((c_TMAP2OUT)-(c_TMAP1OUT)),2),QUOTIENT((((K346)-(c_TMAP1IN))*((c_TMAP2OUT)-(c_TMAP1OUT))+IF(((c_TMAP2OUT)-(c_TMAP1OUT))&gt;=0,1,-1)*QUOTIENT(((c_TMAP2IN)-(c_TMAP1IN)),2)),((c_TMAP2IN)-(c_TMAP1IN)))+(c_TMAP1OUT)+IF(((c_TMAP2OUT)-(c_TMAP1OUT))&gt;=0,IF(IF(o_WRAP=1,MOD(((c_TMAP2IN)-(c_TMAP1IN))*(((K346)-(c_TMAP1IN))*((c_TMAP2OUT)-(c_TMAP1OUT))+IF(((c_TMAP2OUT)-(c_TMAP1OUT))&gt;=0,1,-1)*QUOTIENT(((c_TMAP2IN)-(c_TMAP1IN)),2))+2147483648,4294967296)-2147483648,((c_TMAP2IN)-(c_TMAP1IN))*(((K346)-(c_TMAP1IN))*((c_TMAP2OUT)-(c_TMAP1OUT))+IF(((c_TMAP2OUT)-(c_TMAP1OUT))&gt;=0,1,-1)*QUOTIENT(((c_TMAP2IN)-(c_TMAP1IN)),2)))&lt;0,-1,0),IF(IF(o_WRAP=1,MOD(((c_TMAP2IN)-(c_TMAP1IN))*(((K346)-(c_TMAP1IN))*((c_TMAP2OUT)-(c_TMAP1OUT))+IF(((c_TMAP2OUT)-(c_TMAP1OUT))&gt;=0,1,-1)*QUOTIENT(((c_TMAP2IN)-(c_TMAP1IN)),2))+2147483648,4294967296)-2147483648,((c_TMAP2IN)-(c_TMAP1IN))*(((K346)-(c_TMAP1IN))*((c_TMAP2OUT)-(c_TMAP1OUT))+IF(((c_TMAP2OUT)-(c_TMAP1OUT))&gt;=0,1,-1)*QUOTIENT(((c_TMAP2IN)-(c_TMAP1IN)),2)))&gt;=0,1,0)))</f>
        <v>430</v>
      </c>
      <c r="O346" s="7" t="n">
        <f aca="false">IF(((c_TMAP3IN)-(c_TMAP2IN))=0,(c_TMAP2OUT)+QUOTIENT(((c_TMAP3OUT)-(c_TMAP2OUT)),2),QUOTIENT((((K346)-(c_TMAP2IN))*((c_TMAP3OUT)-(c_TMAP2OUT))+IF(((c_TMAP3OUT)-(c_TMAP2OUT))&gt;=0,1,-1)*QUOTIENT(((c_TMAP3IN)-(c_TMAP2IN)),2)),((c_TMAP3IN)-(c_TMAP2IN)))+(c_TMAP2OUT)+IF(((c_TMAP3OUT)-(c_TMAP2OUT))&gt;=0,IF(IF(o_WRAP=1,MOD(((c_TMAP3IN)-(c_TMAP2IN))*(((K346)-(c_TMAP2IN))*((c_TMAP3OUT)-(c_TMAP2OUT))+IF(((c_TMAP3OUT)-(c_TMAP2OUT))&gt;=0,1,-1)*QUOTIENT(((c_TMAP3IN)-(c_TMAP2IN)),2))+2147483648,4294967296)-2147483648,((c_TMAP3IN)-(c_TMAP2IN))*(((K346)-(c_TMAP2IN))*((c_TMAP3OUT)-(c_TMAP2OUT))+IF(((c_TMAP3OUT)-(c_TMAP2OUT))&gt;=0,1,-1)*QUOTIENT(((c_TMAP3IN)-(c_TMAP2IN)),2)))&lt;0,-1,0),IF(IF(o_WRAP=1,MOD(((c_TMAP3IN)-(c_TMAP2IN))*(((K346)-(c_TMAP2IN))*((c_TMAP3OUT)-(c_TMAP2OUT))+IF(((c_TMAP3OUT)-(c_TMAP2OUT))&gt;=0,1,-1)*QUOTIENT(((c_TMAP3IN)-(c_TMAP2IN)),2))+2147483648,4294967296)-2147483648,((c_TMAP3IN)-(c_TMAP2IN))*(((K346)-(c_TMAP2IN))*((c_TMAP3OUT)-(c_TMAP2OUT))+IF(((c_TMAP3OUT)-(c_TMAP2OUT))&gt;=0,1,-1)*QUOTIENT(((c_TMAP3IN)-(c_TMAP2IN)),2)))&gt;=0,1,0)))</f>
        <v>655</v>
      </c>
      <c r="P346" s="7" t="n">
        <f aca="false">IF(((1000)-(c_TMAP3IN))=0,(c_TMAP3OUT)+QUOTIENT(((1000)-(c_TMAP3OUT)),2),QUOTIENT((((K346)-(c_TMAP3IN))*((1000)-(c_TMAP3OUT))+IF(((1000)-(c_TMAP3OUT))&gt;=0,1,-1)*QUOTIENT(((1000)-(c_TMAP3IN)),2)),((1000)-(c_TMAP3IN)))+(c_TMAP3OUT)+IF(((1000)-(c_TMAP3OUT))&gt;=0,IF(IF(o_WRAP=1,MOD(((1000)-(c_TMAP3IN))*(((K346)-(c_TMAP3IN))*((1000)-(c_TMAP3OUT))+IF(((1000)-(c_TMAP3OUT))&gt;=0,1,-1)*QUOTIENT(((1000)-(c_TMAP3IN)),2))+2147483648,4294967296)-2147483648,((1000)-(c_TMAP3IN))*(((K346)-(c_TMAP3IN))*((1000)-(c_TMAP3OUT))+IF(((1000)-(c_TMAP3OUT))&gt;=0,1,-1)*QUOTIENT(((1000)-(c_TMAP3IN)),2)))&lt;0,-1,0),IF(IF(o_WRAP=1,MOD(((1000)-(c_TMAP3IN))*(((K346)-(c_TMAP3IN))*((1000)-(c_TMAP3OUT))+IF(((1000)-(c_TMAP3OUT))&gt;=0,1,-1)*QUOTIENT(((1000)-(c_TMAP3IN)),2))+2147483648,4294967296)-2147483648,((1000)-(c_TMAP3IN))*(((K346)-(c_TMAP3IN))*((1000)-(c_TMAP3OUT))+IF(((1000)-(c_TMAP3OUT))&gt;=0,1,-1)*QUOTIENT(((1000)-(c_TMAP3IN)),2)))&gt;=0,1,0)))</f>
        <v>1000</v>
      </c>
      <c r="Q346" s="7" t="str">
        <f aca="false">IF(K346&gt;=c_TFWD,IF(AND(K346&gt;=c_TMAP3IN,c_TMAP3IN&lt;1000),"Seg4 map3-100%",IF(AND(K346&gt;=c_TMAP2IN,c_TMAP3IN&gt;c_TMAP2IN),"Seg3 map2-map3",IF(AND(K346&gt;=c_TMAP1IN,c_TMAP2IN&gt;c_TMAP1IN),"Seg2 map1-map2","Seg1 TFWD-map1"))),IF(AND(K346=0,c_TCREEP&gt;0),"Creep",IF(AND(K346&lt;=c_TRNGMIN,K346&gt;=c_TRNGMAX,c_TRNGMIN-c_TRNGMAX&lt;&gt;0),"Regen ramp","Coast (0)")))</f>
        <v>Seg4 map3-100%</v>
      </c>
      <c r="R346" s="7" t="n">
        <f aca="false">IF(K346&gt;=c_TFWD,IF(AND(K346&gt;=c_TMAP3IN,c_TMAP3IN&lt;1000),P346,IF(AND(K346&gt;=c_TMAP2IN,c_TMAP3IN&gt;c_TMAP2IN),O346,IF(AND(K346&gt;=c_TMAP1IN,c_TMAP2IN&gt;c_TMAP1IN),N346,M346))),L346)</f>
        <v>1000</v>
      </c>
      <c r="S346" s="7" t="str">
        <f aca="false">IF(R346&lt;-1090,"TOO LOW",IF(R346&gt;1090,"TOO HIGH",""))</f>
        <v/>
      </c>
      <c r="T346" s="15" t="n">
        <f aca="false">IF(H346&lt;&gt;"OK",0,IF(S346&lt;&gt;"",0,IF(R346&gt;979,1000,R346)))</f>
        <v>1000</v>
      </c>
      <c r="U346" s="7" t="n">
        <f aca="false">T346/10</f>
        <v>100</v>
      </c>
    </row>
    <row r="347" customFormat="false" ht="15" hidden="false" customHeight="false" outlineLevel="0" collapsed="false">
      <c r="A347" s="7" t="n">
        <v>342</v>
      </c>
      <c r="B347" s="7" t="n">
        <f aca="false">ROUND(o_SWSTART+A347*(o_SWEND-o_SWSTART)/400,0)</f>
        <v>3501</v>
      </c>
      <c r="C347" s="7" t="n">
        <f aca="false">QUOTIENT((B347-c_OFF1)*c_GAIN1,1024)</f>
        <v>3501</v>
      </c>
      <c r="D347" s="7" t="n">
        <f aca="false">IF(((c_T1MX)-(c_T1MN))=0,(0)+QUOTIENT(((1000)-(0)),2),QUOTIENT((((C347)-(c_T1MN))*((1000)-(0))+IF(((1000)-(0))&gt;=0,1,-1)*QUOTIENT(((c_T1MX)-(c_T1MN)),2)),((c_T1MX)-(c_T1MN)))+(0)+IF(((1000)-(0))&gt;=0,IF(IF(o_WRAP=1,MOD(((c_T1MX)-(c_T1MN))*(((C347)-(c_T1MN))*((1000)-(0))+IF(((1000)-(0))&gt;=0,1,-1)*QUOTIENT(((c_T1MX)-(c_T1MN)),2))+2147483648,4294967296)-2147483648,((c_T1MX)-(c_T1MN))*(((C347)-(c_T1MN))*((1000)-(0))+IF(((1000)-(0))&gt;=0,1,-1)*QUOTIENT(((c_T1MX)-(c_T1MN)),2)))&lt;0,-1,0),IF(IF(o_WRAP=1,MOD(((c_T1MX)-(c_T1MN))*(((C347)-(c_T1MN))*((1000)-(0))+IF(((1000)-(0))&gt;=0,1,-1)*QUOTIENT(((c_T1MX)-(c_T1MN)),2))+2147483648,4294967296)-2147483648,((c_T1MX)-(c_T1MN))*(((C347)-(c_T1MN))*((1000)-(0))+IF(((1000)-(0))&gt;=0,1,-1)*QUOTIENT(((c_T1MX)-(c_T1MN)),2)))&gt;=0,1,0)))</f>
        <v>1007</v>
      </c>
      <c r="E347" s="7" t="n">
        <f aca="false">IF(AND(c_TPOT=1,c_TTYPE=2),1000-D347,D347)</f>
        <v>1007</v>
      </c>
      <c r="F347" s="7" t="str">
        <f aca="false">IF(c_TPOT&gt;1,ROUND(IF(c_TTYPE=2,c_T2MX-IF(c_T1MX=c_T1MN,0,(C347-c_T1MN)/(c_T1MX-c_T1MN))*(c_T2MX-c_T2MN),c_T2MN+IF(c_T1MX=c_T1MN,0,(C347-c_T1MN)/(c_T1MX-c_T1MN))*(c_T2MX-c_T2MN))+o_MISMATCH,0),"")</f>
        <v/>
      </c>
      <c r="G347" s="7" t="str">
        <f aca="false">IF(c_TPOT&gt;1,IF(((c_T2MX)-(c_T2MN))=0,(0)+QUOTIENT(((1000)-(0)),2),QUOTIENT((((F347)-(c_T2MN))*((1000)-(0))+IF(((1000)-(0))&gt;=0,1,-1)*QUOTIENT(((c_T2MX)-(c_T2MN)),2)),((c_T2MX)-(c_T2MN)))+(0)+IF(((1000)-(0))&gt;=0,IF(IF(o_WRAP=1,MOD(((c_T2MX)-(c_T2MN))*(((F347)-(c_T2MN))*((1000)-(0))+IF(((1000)-(0))&gt;=0,1,-1)*QUOTIENT(((c_T2MX)-(c_T2MN)),2))+2147483648,4294967296)-2147483648,((c_T2MX)-(c_T2MN))*(((F347)-(c_T2MN))*((1000)-(0))+IF(((1000)-(0))&gt;=0,1,-1)*QUOTIENT(((c_T2MX)-(c_T2MN)),2)))&lt;0,-1,0),IF(IF(o_WRAP=1,MOD(((c_T2MX)-(c_T2MN))*(((F347)-(c_T2MN))*((1000)-(0))+IF(((1000)-(0))&gt;=0,1,-1)*QUOTIENT(((c_T2MX)-(c_T2MN)),2))+2147483648,4294967296)-2147483648,((c_T2MX)-(c_T2MN))*(((F347)-(c_T2MN))*((1000)-(0))+IF(((1000)-(0))&gt;=0,1,-1)*QUOTIENT(((c_T2MX)-(c_T2MN)),2)))&gt;=0,1,0))),"")</f>
        <v/>
      </c>
      <c r="H347" s="7" t="str">
        <f aca="false">IF(E347&gt;1000+k_TOL,"T1 HIGH",IF(E347&lt;0-k_TOL,"T1 LOW",IF(c_TPOT&gt;1,IF(G347&gt;1000+k_TOL,"T2 HIGH",IF(G347&lt;0-k_TOL,"T2 LOW",IF(c_TTYPE=2,IF(ABS(1000-MAX(0,MIN(1000,E347))-MAX(0,MIN(1000,G347)))&gt;k_MAXERR,"MISMATCH","OK"),IF(OR(MAX(0,MIN(1000,E347))-k_MAXERR&gt;MAX(0,MIN(1000,G347)),MAX(0,MIN(1000,G347))-k_MAXERR&gt;MAX(0,MIN(1000,E347))),"MISMATCH","OK")))),"OK")))</f>
        <v>OK</v>
      </c>
      <c r="I347" s="7" t="n">
        <f aca="false">MAX(0,MIN(1000,D347))</f>
        <v>1000</v>
      </c>
      <c r="J347" s="7" t="str">
        <f aca="false">IF(c_TPOT&gt;1,IF(c_TTYPE=2,1000-MAX(0,MIN(1000,G347)),MAX(0,MIN(1000,G347))),"")</f>
        <v/>
      </c>
      <c r="K347" s="7" t="n">
        <f aca="false">IF(c_TPOT&gt;1,QUOTIENT(I347+J347,2),I347)</f>
        <v>1000</v>
      </c>
      <c r="L347" s="7" t="n">
        <f aca="false">IF(AND(K347=0,c_TCREEP&gt;0),10*c_TCREEP,IF(AND(K347&lt;=c_TRNGMIN,K347&gt;=c_TRNGMAX,c_TRNGMIN-c_TRNGMAX&lt;&gt;0),-10*c_TMINRN+QUOTIENT((c_TMAXRN-c_TMINRN)*(100-QUOTIENT((K347-c_TRNGMAX)*100,c_TRNGMIN-c_TRNGMAX)),-10),0))</f>
        <v>0</v>
      </c>
      <c r="M347" s="7" t="n">
        <f aca="false">IF(((c_TMAP1IN)-(c_TFWD))=0,(0)+QUOTIENT(((c_TMAP1OUT)-(0)),2),QUOTIENT((((K347)-(c_TFWD))*((c_TMAP1OUT)-(0))+IF(((c_TMAP1OUT)-(0))&gt;=0,1,-1)*QUOTIENT(((c_TMAP1IN)-(c_TFWD)),2)),((c_TMAP1IN)-(c_TFWD)))+(0)+IF(((c_TMAP1OUT)-(0))&gt;=0,IF(IF(o_WRAP=1,MOD(((c_TMAP1IN)-(c_TFWD))*(((K347)-(c_TFWD))*((c_TMAP1OUT)-(0))+IF(((c_TMAP1OUT)-(0))&gt;=0,1,-1)*QUOTIENT(((c_TMAP1IN)-(c_TFWD)),2))+2147483648,4294967296)-2147483648,((c_TMAP1IN)-(c_TFWD))*(((K347)-(c_TFWD))*((c_TMAP1OUT)-(0))+IF(((c_TMAP1OUT)-(0))&gt;=0,1,-1)*QUOTIENT(((c_TMAP1IN)-(c_TFWD)),2)))&lt;0,-1,0),IF(IF(o_WRAP=1,MOD(((c_TMAP1IN)-(c_TFWD))*(((K347)-(c_TFWD))*((c_TMAP1OUT)-(0))+IF(((c_TMAP1OUT)-(0))&gt;=0,1,-1)*QUOTIENT(((c_TMAP1IN)-(c_TFWD)),2))+2147483648,4294967296)-2147483648,((c_TMAP1IN)-(c_TFWD))*(((K347)-(c_TFWD))*((c_TMAP1OUT)-(0))+IF(((c_TMAP1OUT)-(0))&gt;=0,1,-1)*QUOTIENT(((c_TMAP1IN)-(c_TFWD)),2)))&gt;=0,1,0)))</f>
        <v>770</v>
      </c>
      <c r="N347" s="7" t="n">
        <f aca="false">IF(((c_TMAP2IN)-(c_TMAP1IN))=0,(c_TMAP1OUT)+QUOTIENT(((c_TMAP2OUT)-(c_TMAP1OUT)),2),QUOTIENT((((K347)-(c_TMAP1IN))*((c_TMAP2OUT)-(c_TMAP1OUT))+IF(((c_TMAP2OUT)-(c_TMAP1OUT))&gt;=0,1,-1)*QUOTIENT(((c_TMAP2IN)-(c_TMAP1IN)),2)),((c_TMAP2IN)-(c_TMAP1IN)))+(c_TMAP1OUT)+IF(((c_TMAP2OUT)-(c_TMAP1OUT))&gt;=0,IF(IF(o_WRAP=1,MOD(((c_TMAP2IN)-(c_TMAP1IN))*(((K347)-(c_TMAP1IN))*((c_TMAP2OUT)-(c_TMAP1OUT))+IF(((c_TMAP2OUT)-(c_TMAP1OUT))&gt;=0,1,-1)*QUOTIENT(((c_TMAP2IN)-(c_TMAP1IN)),2))+2147483648,4294967296)-2147483648,((c_TMAP2IN)-(c_TMAP1IN))*(((K347)-(c_TMAP1IN))*((c_TMAP2OUT)-(c_TMAP1OUT))+IF(((c_TMAP2OUT)-(c_TMAP1OUT))&gt;=0,1,-1)*QUOTIENT(((c_TMAP2IN)-(c_TMAP1IN)),2)))&lt;0,-1,0),IF(IF(o_WRAP=1,MOD(((c_TMAP2IN)-(c_TMAP1IN))*(((K347)-(c_TMAP1IN))*((c_TMAP2OUT)-(c_TMAP1OUT))+IF(((c_TMAP2OUT)-(c_TMAP1OUT))&gt;=0,1,-1)*QUOTIENT(((c_TMAP2IN)-(c_TMAP1IN)),2))+2147483648,4294967296)-2147483648,((c_TMAP2IN)-(c_TMAP1IN))*(((K347)-(c_TMAP1IN))*((c_TMAP2OUT)-(c_TMAP1OUT))+IF(((c_TMAP2OUT)-(c_TMAP1OUT))&gt;=0,1,-1)*QUOTIENT(((c_TMAP2IN)-(c_TMAP1IN)),2)))&gt;=0,1,0)))</f>
        <v>430</v>
      </c>
      <c r="O347" s="7" t="n">
        <f aca="false">IF(((c_TMAP3IN)-(c_TMAP2IN))=0,(c_TMAP2OUT)+QUOTIENT(((c_TMAP3OUT)-(c_TMAP2OUT)),2),QUOTIENT((((K347)-(c_TMAP2IN))*((c_TMAP3OUT)-(c_TMAP2OUT))+IF(((c_TMAP3OUT)-(c_TMAP2OUT))&gt;=0,1,-1)*QUOTIENT(((c_TMAP3IN)-(c_TMAP2IN)),2)),((c_TMAP3IN)-(c_TMAP2IN)))+(c_TMAP2OUT)+IF(((c_TMAP3OUT)-(c_TMAP2OUT))&gt;=0,IF(IF(o_WRAP=1,MOD(((c_TMAP3IN)-(c_TMAP2IN))*(((K347)-(c_TMAP2IN))*((c_TMAP3OUT)-(c_TMAP2OUT))+IF(((c_TMAP3OUT)-(c_TMAP2OUT))&gt;=0,1,-1)*QUOTIENT(((c_TMAP3IN)-(c_TMAP2IN)),2))+2147483648,4294967296)-2147483648,((c_TMAP3IN)-(c_TMAP2IN))*(((K347)-(c_TMAP2IN))*((c_TMAP3OUT)-(c_TMAP2OUT))+IF(((c_TMAP3OUT)-(c_TMAP2OUT))&gt;=0,1,-1)*QUOTIENT(((c_TMAP3IN)-(c_TMAP2IN)),2)))&lt;0,-1,0),IF(IF(o_WRAP=1,MOD(((c_TMAP3IN)-(c_TMAP2IN))*(((K347)-(c_TMAP2IN))*((c_TMAP3OUT)-(c_TMAP2OUT))+IF(((c_TMAP3OUT)-(c_TMAP2OUT))&gt;=0,1,-1)*QUOTIENT(((c_TMAP3IN)-(c_TMAP2IN)),2))+2147483648,4294967296)-2147483648,((c_TMAP3IN)-(c_TMAP2IN))*(((K347)-(c_TMAP2IN))*((c_TMAP3OUT)-(c_TMAP2OUT))+IF(((c_TMAP3OUT)-(c_TMAP2OUT))&gt;=0,1,-1)*QUOTIENT(((c_TMAP3IN)-(c_TMAP2IN)),2)))&gt;=0,1,0)))</f>
        <v>655</v>
      </c>
      <c r="P347" s="7" t="n">
        <f aca="false">IF(((1000)-(c_TMAP3IN))=0,(c_TMAP3OUT)+QUOTIENT(((1000)-(c_TMAP3OUT)),2),QUOTIENT((((K347)-(c_TMAP3IN))*((1000)-(c_TMAP3OUT))+IF(((1000)-(c_TMAP3OUT))&gt;=0,1,-1)*QUOTIENT(((1000)-(c_TMAP3IN)),2)),((1000)-(c_TMAP3IN)))+(c_TMAP3OUT)+IF(((1000)-(c_TMAP3OUT))&gt;=0,IF(IF(o_WRAP=1,MOD(((1000)-(c_TMAP3IN))*(((K347)-(c_TMAP3IN))*((1000)-(c_TMAP3OUT))+IF(((1000)-(c_TMAP3OUT))&gt;=0,1,-1)*QUOTIENT(((1000)-(c_TMAP3IN)),2))+2147483648,4294967296)-2147483648,((1000)-(c_TMAP3IN))*(((K347)-(c_TMAP3IN))*((1000)-(c_TMAP3OUT))+IF(((1000)-(c_TMAP3OUT))&gt;=0,1,-1)*QUOTIENT(((1000)-(c_TMAP3IN)),2)))&lt;0,-1,0),IF(IF(o_WRAP=1,MOD(((1000)-(c_TMAP3IN))*(((K347)-(c_TMAP3IN))*((1000)-(c_TMAP3OUT))+IF(((1000)-(c_TMAP3OUT))&gt;=0,1,-1)*QUOTIENT(((1000)-(c_TMAP3IN)),2))+2147483648,4294967296)-2147483648,((1000)-(c_TMAP3IN))*(((K347)-(c_TMAP3IN))*((1000)-(c_TMAP3OUT))+IF(((1000)-(c_TMAP3OUT))&gt;=0,1,-1)*QUOTIENT(((1000)-(c_TMAP3IN)),2)))&gt;=0,1,0)))</f>
        <v>1000</v>
      </c>
      <c r="Q347" s="7" t="str">
        <f aca="false">IF(K347&gt;=c_TFWD,IF(AND(K347&gt;=c_TMAP3IN,c_TMAP3IN&lt;1000),"Seg4 map3-100%",IF(AND(K347&gt;=c_TMAP2IN,c_TMAP3IN&gt;c_TMAP2IN),"Seg3 map2-map3",IF(AND(K347&gt;=c_TMAP1IN,c_TMAP2IN&gt;c_TMAP1IN),"Seg2 map1-map2","Seg1 TFWD-map1"))),IF(AND(K347=0,c_TCREEP&gt;0),"Creep",IF(AND(K347&lt;=c_TRNGMIN,K347&gt;=c_TRNGMAX,c_TRNGMIN-c_TRNGMAX&lt;&gt;0),"Regen ramp","Coast (0)")))</f>
        <v>Seg4 map3-100%</v>
      </c>
      <c r="R347" s="7" t="n">
        <f aca="false">IF(K347&gt;=c_TFWD,IF(AND(K347&gt;=c_TMAP3IN,c_TMAP3IN&lt;1000),P347,IF(AND(K347&gt;=c_TMAP2IN,c_TMAP3IN&gt;c_TMAP2IN),O347,IF(AND(K347&gt;=c_TMAP1IN,c_TMAP2IN&gt;c_TMAP1IN),N347,M347))),L347)</f>
        <v>1000</v>
      </c>
      <c r="S347" s="7" t="str">
        <f aca="false">IF(R347&lt;-1090,"TOO LOW",IF(R347&gt;1090,"TOO HIGH",""))</f>
        <v/>
      </c>
      <c r="T347" s="15" t="n">
        <f aca="false">IF(H347&lt;&gt;"OK",0,IF(S347&lt;&gt;"",0,IF(R347&gt;979,1000,R347)))</f>
        <v>1000</v>
      </c>
      <c r="U347" s="7" t="n">
        <f aca="false">T347/10</f>
        <v>100</v>
      </c>
    </row>
    <row r="348" customFormat="false" ht="15" hidden="false" customHeight="false" outlineLevel="0" collapsed="false">
      <c r="A348" s="7" t="n">
        <v>343</v>
      </c>
      <c r="B348" s="7" t="n">
        <f aca="false">ROUND(o_SWSTART+A348*(o_SWEND-o_SWSTART)/400,0)</f>
        <v>3511</v>
      </c>
      <c r="C348" s="7" t="n">
        <f aca="false">QUOTIENT((B348-c_OFF1)*c_GAIN1,1024)</f>
        <v>3511</v>
      </c>
      <c r="D348" s="7" t="n">
        <f aca="false">IF(((c_T1MX)-(c_T1MN))=0,(0)+QUOTIENT(((1000)-(0)),2),QUOTIENT((((C348)-(c_T1MN))*((1000)-(0))+IF(((1000)-(0))&gt;=0,1,-1)*QUOTIENT(((c_T1MX)-(c_T1MN)),2)),((c_T1MX)-(c_T1MN)))+(0)+IF(((1000)-(0))&gt;=0,IF(IF(o_WRAP=1,MOD(((c_T1MX)-(c_T1MN))*(((C348)-(c_T1MN))*((1000)-(0))+IF(((1000)-(0))&gt;=0,1,-1)*QUOTIENT(((c_T1MX)-(c_T1MN)),2))+2147483648,4294967296)-2147483648,((c_T1MX)-(c_T1MN))*(((C348)-(c_T1MN))*((1000)-(0))+IF(((1000)-(0))&gt;=0,1,-1)*QUOTIENT(((c_T1MX)-(c_T1MN)),2)))&lt;0,-1,0),IF(IF(o_WRAP=1,MOD(((c_T1MX)-(c_T1MN))*(((C348)-(c_T1MN))*((1000)-(0))+IF(((1000)-(0))&gt;=0,1,-1)*QUOTIENT(((c_T1MX)-(c_T1MN)),2))+2147483648,4294967296)-2147483648,((c_T1MX)-(c_T1MN))*(((C348)-(c_T1MN))*((1000)-(0))+IF(((1000)-(0))&gt;=0,1,-1)*QUOTIENT(((c_T1MX)-(c_T1MN)),2)))&gt;=0,1,0)))</f>
        <v>1011</v>
      </c>
      <c r="E348" s="7" t="n">
        <f aca="false">IF(AND(c_TPOT=1,c_TTYPE=2),1000-D348,D348)</f>
        <v>1011</v>
      </c>
      <c r="F348" s="7" t="str">
        <f aca="false">IF(c_TPOT&gt;1,ROUND(IF(c_TTYPE=2,c_T2MX-IF(c_T1MX=c_T1MN,0,(C348-c_T1MN)/(c_T1MX-c_T1MN))*(c_T2MX-c_T2MN),c_T2MN+IF(c_T1MX=c_T1MN,0,(C348-c_T1MN)/(c_T1MX-c_T1MN))*(c_T2MX-c_T2MN))+o_MISMATCH,0),"")</f>
        <v/>
      </c>
      <c r="G348" s="7" t="str">
        <f aca="false">IF(c_TPOT&gt;1,IF(((c_T2MX)-(c_T2MN))=0,(0)+QUOTIENT(((1000)-(0)),2),QUOTIENT((((F348)-(c_T2MN))*((1000)-(0))+IF(((1000)-(0))&gt;=0,1,-1)*QUOTIENT(((c_T2MX)-(c_T2MN)),2)),((c_T2MX)-(c_T2MN)))+(0)+IF(((1000)-(0))&gt;=0,IF(IF(o_WRAP=1,MOD(((c_T2MX)-(c_T2MN))*(((F348)-(c_T2MN))*((1000)-(0))+IF(((1000)-(0))&gt;=0,1,-1)*QUOTIENT(((c_T2MX)-(c_T2MN)),2))+2147483648,4294967296)-2147483648,((c_T2MX)-(c_T2MN))*(((F348)-(c_T2MN))*((1000)-(0))+IF(((1000)-(0))&gt;=0,1,-1)*QUOTIENT(((c_T2MX)-(c_T2MN)),2)))&lt;0,-1,0),IF(IF(o_WRAP=1,MOD(((c_T2MX)-(c_T2MN))*(((F348)-(c_T2MN))*((1000)-(0))+IF(((1000)-(0))&gt;=0,1,-1)*QUOTIENT(((c_T2MX)-(c_T2MN)),2))+2147483648,4294967296)-2147483648,((c_T2MX)-(c_T2MN))*(((F348)-(c_T2MN))*((1000)-(0))+IF(((1000)-(0))&gt;=0,1,-1)*QUOTIENT(((c_T2MX)-(c_T2MN)),2)))&gt;=0,1,0))),"")</f>
        <v/>
      </c>
      <c r="H348" s="7" t="str">
        <f aca="false">IF(E348&gt;1000+k_TOL,"T1 HIGH",IF(E348&lt;0-k_TOL,"T1 LOW",IF(c_TPOT&gt;1,IF(G348&gt;1000+k_TOL,"T2 HIGH",IF(G348&lt;0-k_TOL,"T2 LOW",IF(c_TTYPE=2,IF(ABS(1000-MAX(0,MIN(1000,E348))-MAX(0,MIN(1000,G348)))&gt;k_MAXERR,"MISMATCH","OK"),IF(OR(MAX(0,MIN(1000,E348))-k_MAXERR&gt;MAX(0,MIN(1000,G348)),MAX(0,MIN(1000,G348))-k_MAXERR&gt;MAX(0,MIN(1000,E348))),"MISMATCH","OK")))),"OK")))</f>
        <v>OK</v>
      </c>
      <c r="I348" s="7" t="n">
        <f aca="false">MAX(0,MIN(1000,D348))</f>
        <v>1000</v>
      </c>
      <c r="J348" s="7" t="str">
        <f aca="false">IF(c_TPOT&gt;1,IF(c_TTYPE=2,1000-MAX(0,MIN(1000,G348)),MAX(0,MIN(1000,G348))),"")</f>
        <v/>
      </c>
      <c r="K348" s="7" t="n">
        <f aca="false">IF(c_TPOT&gt;1,QUOTIENT(I348+J348,2),I348)</f>
        <v>1000</v>
      </c>
      <c r="L348" s="7" t="n">
        <f aca="false">IF(AND(K348=0,c_TCREEP&gt;0),10*c_TCREEP,IF(AND(K348&lt;=c_TRNGMIN,K348&gt;=c_TRNGMAX,c_TRNGMIN-c_TRNGMAX&lt;&gt;0),-10*c_TMINRN+QUOTIENT((c_TMAXRN-c_TMINRN)*(100-QUOTIENT((K348-c_TRNGMAX)*100,c_TRNGMIN-c_TRNGMAX)),-10),0))</f>
        <v>0</v>
      </c>
      <c r="M348" s="7" t="n">
        <f aca="false">IF(((c_TMAP1IN)-(c_TFWD))=0,(0)+QUOTIENT(((c_TMAP1OUT)-(0)),2),QUOTIENT((((K348)-(c_TFWD))*((c_TMAP1OUT)-(0))+IF(((c_TMAP1OUT)-(0))&gt;=0,1,-1)*QUOTIENT(((c_TMAP1IN)-(c_TFWD)),2)),((c_TMAP1IN)-(c_TFWD)))+(0)+IF(((c_TMAP1OUT)-(0))&gt;=0,IF(IF(o_WRAP=1,MOD(((c_TMAP1IN)-(c_TFWD))*(((K348)-(c_TFWD))*((c_TMAP1OUT)-(0))+IF(((c_TMAP1OUT)-(0))&gt;=0,1,-1)*QUOTIENT(((c_TMAP1IN)-(c_TFWD)),2))+2147483648,4294967296)-2147483648,((c_TMAP1IN)-(c_TFWD))*(((K348)-(c_TFWD))*((c_TMAP1OUT)-(0))+IF(((c_TMAP1OUT)-(0))&gt;=0,1,-1)*QUOTIENT(((c_TMAP1IN)-(c_TFWD)),2)))&lt;0,-1,0),IF(IF(o_WRAP=1,MOD(((c_TMAP1IN)-(c_TFWD))*(((K348)-(c_TFWD))*((c_TMAP1OUT)-(0))+IF(((c_TMAP1OUT)-(0))&gt;=0,1,-1)*QUOTIENT(((c_TMAP1IN)-(c_TFWD)),2))+2147483648,4294967296)-2147483648,((c_TMAP1IN)-(c_TFWD))*(((K348)-(c_TFWD))*((c_TMAP1OUT)-(0))+IF(((c_TMAP1OUT)-(0))&gt;=0,1,-1)*QUOTIENT(((c_TMAP1IN)-(c_TFWD)),2)))&gt;=0,1,0)))</f>
        <v>770</v>
      </c>
      <c r="N348" s="7" t="n">
        <f aca="false">IF(((c_TMAP2IN)-(c_TMAP1IN))=0,(c_TMAP1OUT)+QUOTIENT(((c_TMAP2OUT)-(c_TMAP1OUT)),2),QUOTIENT((((K348)-(c_TMAP1IN))*((c_TMAP2OUT)-(c_TMAP1OUT))+IF(((c_TMAP2OUT)-(c_TMAP1OUT))&gt;=0,1,-1)*QUOTIENT(((c_TMAP2IN)-(c_TMAP1IN)),2)),((c_TMAP2IN)-(c_TMAP1IN)))+(c_TMAP1OUT)+IF(((c_TMAP2OUT)-(c_TMAP1OUT))&gt;=0,IF(IF(o_WRAP=1,MOD(((c_TMAP2IN)-(c_TMAP1IN))*(((K348)-(c_TMAP1IN))*((c_TMAP2OUT)-(c_TMAP1OUT))+IF(((c_TMAP2OUT)-(c_TMAP1OUT))&gt;=0,1,-1)*QUOTIENT(((c_TMAP2IN)-(c_TMAP1IN)),2))+2147483648,4294967296)-2147483648,((c_TMAP2IN)-(c_TMAP1IN))*(((K348)-(c_TMAP1IN))*((c_TMAP2OUT)-(c_TMAP1OUT))+IF(((c_TMAP2OUT)-(c_TMAP1OUT))&gt;=0,1,-1)*QUOTIENT(((c_TMAP2IN)-(c_TMAP1IN)),2)))&lt;0,-1,0),IF(IF(o_WRAP=1,MOD(((c_TMAP2IN)-(c_TMAP1IN))*(((K348)-(c_TMAP1IN))*((c_TMAP2OUT)-(c_TMAP1OUT))+IF(((c_TMAP2OUT)-(c_TMAP1OUT))&gt;=0,1,-1)*QUOTIENT(((c_TMAP2IN)-(c_TMAP1IN)),2))+2147483648,4294967296)-2147483648,((c_TMAP2IN)-(c_TMAP1IN))*(((K348)-(c_TMAP1IN))*((c_TMAP2OUT)-(c_TMAP1OUT))+IF(((c_TMAP2OUT)-(c_TMAP1OUT))&gt;=0,1,-1)*QUOTIENT(((c_TMAP2IN)-(c_TMAP1IN)),2)))&gt;=0,1,0)))</f>
        <v>430</v>
      </c>
      <c r="O348" s="7" t="n">
        <f aca="false">IF(((c_TMAP3IN)-(c_TMAP2IN))=0,(c_TMAP2OUT)+QUOTIENT(((c_TMAP3OUT)-(c_TMAP2OUT)),2),QUOTIENT((((K348)-(c_TMAP2IN))*((c_TMAP3OUT)-(c_TMAP2OUT))+IF(((c_TMAP3OUT)-(c_TMAP2OUT))&gt;=0,1,-1)*QUOTIENT(((c_TMAP3IN)-(c_TMAP2IN)),2)),((c_TMAP3IN)-(c_TMAP2IN)))+(c_TMAP2OUT)+IF(((c_TMAP3OUT)-(c_TMAP2OUT))&gt;=0,IF(IF(o_WRAP=1,MOD(((c_TMAP3IN)-(c_TMAP2IN))*(((K348)-(c_TMAP2IN))*((c_TMAP3OUT)-(c_TMAP2OUT))+IF(((c_TMAP3OUT)-(c_TMAP2OUT))&gt;=0,1,-1)*QUOTIENT(((c_TMAP3IN)-(c_TMAP2IN)),2))+2147483648,4294967296)-2147483648,((c_TMAP3IN)-(c_TMAP2IN))*(((K348)-(c_TMAP2IN))*((c_TMAP3OUT)-(c_TMAP2OUT))+IF(((c_TMAP3OUT)-(c_TMAP2OUT))&gt;=0,1,-1)*QUOTIENT(((c_TMAP3IN)-(c_TMAP2IN)),2)))&lt;0,-1,0),IF(IF(o_WRAP=1,MOD(((c_TMAP3IN)-(c_TMAP2IN))*(((K348)-(c_TMAP2IN))*((c_TMAP3OUT)-(c_TMAP2OUT))+IF(((c_TMAP3OUT)-(c_TMAP2OUT))&gt;=0,1,-1)*QUOTIENT(((c_TMAP3IN)-(c_TMAP2IN)),2))+2147483648,4294967296)-2147483648,((c_TMAP3IN)-(c_TMAP2IN))*(((K348)-(c_TMAP2IN))*((c_TMAP3OUT)-(c_TMAP2OUT))+IF(((c_TMAP3OUT)-(c_TMAP2OUT))&gt;=0,1,-1)*QUOTIENT(((c_TMAP3IN)-(c_TMAP2IN)),2)))&gt;=0,1,0)))</f>
        <v>655</v>
      </c>
      <c r="P348" s="7" t="n">
        <f aca="false">IF(((1000)-(c_TMAP3IN))=0,(c_TMAP3OUT)+QUOTIENT(((1000)-(c_TMAP3OUT)),2),QUOTIENT((((K348)-(c_TMAP3IN))*((1000)-(c_TMAP3OUT))+IF(((1000)-(c_TMAP3OUT))&gt;=0,1,-1)*QUOTIENT(((1000)-(c_TMAP3IN)),2)),((1000)-(c_TMAP3IN)))+(c_TMAP3OUT)+IF(((1000)-(c_TMAP3OUT))&gt;=0,IF(IF(o_WRAP=1,MOD(((1000)-(c_TMAP3IN))*(((K348)-(c_TMAP3IN))*((1000)-(c_TMAP3OUT))+IF(((1000)-(c_TMAP3OUT))&gt;=0,1,-1)*QUOTIENT(((1000)-(c_TMAP3IN)),2))+2147483648,4294967296)-2147483648,((1000)-(c_TMAP3IN))*(((K348)-(c_TMAP3IN))*((1000)-(c_TMAP3OUT))+IF(((1000)-(c_TMAP3OUT))&gt;=0,1,-1)*QUOTIENT(((1000)-(c_TMAP3IN)),2)))&lt;0,-1,0),IF(IF(o_WRAP=1,MOD(((1000)-(c_TMAP3IN))*(((K348)-(c_TMAP3IN))*((1000)-(c_TMAP3OUT))+IF(((1000)-(c_TMAP3OUT))&gt;=0,1,-1)*QUOTIENT(((1000)-(c_TMAP3IN)),2))+2147483648,4294967296)-2147483648,((1000)-(c_TMAP3IN))*(((K348)-(c_TMAP3IN))*((1000)-(c_TMAP3OUT))+IF(((1000)-(c_TMAP3OUT))&gt;=0,1,-1)*QUOTIENT(((1000)-(c_TMAP3IN)),2)))&gt;=0,1,0)))</f>
        <v>1000</v>
      </c>
      <c r="Q348" s="7" t="str">
        <f aca="false">IF(K348&gt;=c_TFWD,IF(AND(K348&gt;=c_TMAP3IN,c_TMAP3IN&lt;1000),"Seg4 map3-100%",IF(AND(K348&gt;=c_TMAP2IN,c_TMAP3IN&gt;c_TMAP2IN),"Seg3 map2-map3",IF(AND(K348&gt;=c_TMAP1IN,c_TMAP2IN&gt;c_TMAP1IN),"Seg2 map1-map2","Seg1 TFWD-map1"))),IF(AND(K348=0,c_TCREEP&gt;0),"Creep",IF(AND(K348&lt;=c_TRNGMIN,K348&gt;=c_TRNGMAX,c_TRNGMIN-c_TRNGMAX&lt;&gt;0),"Regen ramp","Coast (0)")))</f>
        <v>Seg4 map3-100%</v>
      </c>
      <c r="R348" s="7" t="n">
        <f aca="false">IF(K348&gt;=c_TFWD,IF(AND(K348&gt;=c_TMAP3IN,c_TMAP3IN&lt;1000),P348,IF(AND(K348&gt;=c_TMAP2IN,c_TMAP3IN&gt;c_TMAP2IN),O348,IF(AND(K348&gt;=c_TMAP1IN,c_TMAP2IN&gt;c_TMAP1IN),N348,M348))),L348)</f>
        <v>1000</v>
      </c>
      <c r="S348" s="7" t="str">
        <f aca="false">IF(R348&lt;-1090,"TOO LOW",IF(R348&gt;1090,"TOO HIGH",""))</f>
        <v/>
      </c>
      <c r="T348" s="15" t="n">
        <f aca="false">IF(H348&lt;&gt;"OK",0,IF(S348&lt;&gt;"",0,IF(R348&gt;979,1000,R348)))</f>
        <v>1000</v>
      </c>
      <c r="U348" s="7" t="n">
        <f aca="false">T348/10</f>
        <v>100</v>
      </c>
    </row>
    <row r="349" customFormat="false" ht="15" hidden="false" customHeight="false" outlineLevel="0" collapsed="false">
      <c r="A349" s="7" t="n">
        <v>344</v>
      </c>
      <c r="B349" s="7" t="n">
        <f aca="false">ROUND(o_SWSTART+A349*(o_SWEND-o_SWSTART)/400,0)</f>
        <v>3522</v>
      </c>
      <c r="C349" s="7" t="n">
        <f aca="false">QUOTIENT((B349-c_OFF1)*c_GAIN1,1024)</f>
        <v>3522</v>
      </c>
      <c r="D349" s="7" t="n">
        <f aca="false">IF(((c_T1MX)-(c_T1MN))=0,(0)+QUOTIENT(((1000)-(0)),2),QUOTIENT((((C349)-(c_T1MN))*((1000)-(0))+IF(((1000)-(0))&gt;=0,1,-1)*QUOTIENT(((c_T1MX)-(c_T1MN)),2)),((c_T1MX)-(c_T1MN)))+(0)+IF(((1000)-(0))&gt;=0,IF(IF(o_WRAP=1,MOD(((c_T1MX)-(c_T1MN))*(((C349)-(c_T1MN))*((1000)-(0))+IF(((1000)-(0))&gt;=0,1,-1)*QUOTIENT(((c_T1MX)-(c_T1MN)),2))+2147483648,4294967296)-2147483648,((c_T1MX)-(c_T1MN))*(((C349)-(c_T1MN))*((1000)-(0))+IF(((1000)-(0))&gt;=0,1,-1)*QUOTIENT(((c_T1MX)-(c_T1MN)),2)))&lt;0,-1,0),IF(IF(o_WRAP=1,MOD(((c_T1MX)-(c_T1MN))*(((C349)-(c_T1MN))*((1000)-(0))+IF(((1000)-(0))&gt;=0,1,-1)*QUOTIENT(((c_T1MX)-(c_T1MN)),2))+2147483648,4294967296)-2147483648,((c_T1MX)-(c_T1MN))*(((C349)-(c_T1MN))*((1000)-(0))+IF(((1000)-(0))&gt;=0,1,-1)*QUOTIENT(((c_T1MX)-(c_T1MN)),2)))&gt;=0,1,0)))</f>
        <v>1015</v>
      </c>
      <c r="E349" s="7" t="n">
        <f aca="false">IF(AND(c_TPOT=1,c_TTYPE=2),1000-D349,D349)</f>
        <v>1015</v>
      </c>
      <c r="F349" s="7" t="str">
        <f aca="false">IF(c_TPOT&gt;1,ROUND(IF(c_TTYPE=2,c_T2MX-IF(c_T1MX=c_T1MN,0,(C349-c_T1MN)/(c_T1MX-c_T1MN))*(c_T2MX-c_T2MN),c_T2MN+IF(c_T1MX=c_T1MN,0,(C349-c_T1MN)/(c_T1MX-c_T1MN))*(c_T2MX-c_T2MN))+o_MISMATCH,0),"")</f>
        <v/>
      </c>
      <c r="G349" s="7" t="str">
        <f aca="false">IF(c_TPOT&gt;1,IF(((c_T2MX)-(c_T2MN))=0,(0)+QUOTIENT(((1000)-(0)),2),QUOTIENT((((F349)-(c_T2MN))*((1000)-(0))+IF(((1000)-(0))&gt;=0,1,-1)*QUOTIENT(((c_T2MX)-(c_T2MN)),2)),((c_T2MX)-(c_T2MN)))+(0)+IF(((1000)-(0))&gt;=0,IF(IF(o_WRAP=1,MOD(((c_T2MX)-(c_T2MN))*(((F349)-(c_T2MN))*((1000)-(0))+IF(((1000)-(0))&gt;=0,1,-1)*QUOTIENT(((c_T2MX)-(c_T2MN)),2))+2147483648,4294967296)-2147483648,((c_T2MX)-(c_T2MN))*(((F349)-(c_T2MN))*((1000)-(0))+IF(((1000)-(0))&gt;=0,1,-1)*QUOTIENT(((c_T2MX)-(c_T2MN)),2)))&lt;0,-1,0),IF(IF(o_WRAP=1,MOD(((c_T2MX)-(c_T2MN))*(((F349)-(c_T2MN))*((1000)-(0))+IF(((1000)-(0))&gt;=0,1,-1)*QUOTIENT(((c_T2MX)-(c_T2MN)),2))+2147483648,4294967296)-2147483648,((c_T2MX)-(c_T2MN))*(((F349)-(c_T2MN))*((1000)-(0))+IF(((1000)-(0))&gt;=0,1,-1)*QUOTIENT(((c_T2MX)-(c_T2MN)),2)))&gt;=0,1,0))),"")</f>
        <v/>
      </c>
      <c r="H349" s="7" t="str">
        <f aca="false">IF(E349&gt;1000+k_TOL,"T1 HIGH",IF(E349&lt;0-k_TOL,"T1 LOW",IF(c_TPOT&gt;1,IF(G349&gt;1000+k_TOL,"T2 HIGH",IF(G349&lt;0-k_TOL,"T2 LOW",IF(c_TTYPE=2,IF(ABS(1000-MAX(0,MIN(1000,E349))-MAX(0,MIN(1000,G349)))&gt;k_MAXERR,"MISMATCH","OK"),IF(OR(MAX(0,MIN(1000,E349))-k_MAXERR&gt;MAX(0,MIN(1000,G349)),MAX(0,MIN(1000,G349))-k_MAXERR&gt;MAX(0,MIN(1000,E349))),"MISMATCH","OK")))),"OK")))</f>
        <v>OK</v>
      </c>
      <c r="I349" s="7" t="n">
        <f aca="false">MAX(0,MIN(1000,D349))</f>
        <v>1000</v>
      </c>
      <c r="J349" s="7" t="str">
        <f aca="false">IF(c_TPOT&gt;1,IF(c_TTYPE=2,1000-MAX(0,MIN(1000,G349)),MAX(0,MIN(1000,G349))),"")</f>
        <v/>
      </c>
      <c r="K349" s="7" t="n">
        <f aca="false">IF(c_TPOT&gt;1,QUOTIENT(I349+J349,2),I349)</f>
        <v>1000</v>
      </c>
      <c r="L349" s="7" t="n">
        <f aca="false">IF(AND(K349=0,c_TCREEP&gt;0),10*c_TCREEP,IF(AND(K349&lt;=c_TRNGMIN,K349&gt;=c_TRNGMAX,c_TRNGMIN-c_TRNGMAX&lt;&gt;0),-10*c_TMINRN+QUOTIENT((c_TMAXRN-c_TMINRN)*(100-QUOTIENT((K349-c_TRNGMAX)*100,c_TRNGMIN-c_TRNGMAX)),-10),0))</f>
        <v>0</v>
      </c>
      <c r="M349" s="7" t="n">
        <f aca="false">IF(((c_TMAP1IN)-(c_TFWD))=0,(0)+QUOTIENT(((c_TMAP1OUT)-(0)),2),QUOTIENT((((K349)-(c_TFWD))*((c_TMAP1OUT)-(0))+IF(((c_TMAP1OUT)-(0))&gt;=0,1,-1)*QUOTIENT(((c_TMAP1IN)-(c_TFWD)),2)),((c_TMAP1IN)-(c_TFWD)))+(0)+IF(((c_TMAP1OUT)-(0))&gt;=0,IF(IF(o_WRAP=1,MOD(((c_TMAP1IN)-(c_TFWD))*(((K349)-(c_TFWD))*((c_TMAP1OUT)-(0))+IF(((c_TMAP1OUT)-(0))&gt;=0,1,-1)*QUOTIENT(((c_TMAP1IN)-(c_TFWD)),2))+2147483648,4294967296)-2147483648,((c_TMAP1IN)-(c_TFWD))*(((K349)-(c_TFWD))*((c_TMAP1OUT)-(0))+IF(((c_TMAP1OUT)-(0))&gt;=0,1,-1)*QUOTIENT(((c_TMAP1IN)-(c_TFWD)),2)))&lt;0,-1,0),IF(IF(o_WRAP=1,MOD(((c_TMAP1IN)-(c_TFWD))*(((K349)-(c_TFWD))*((c_TMAP1OUT)-(0))+IF(((c_TMAP1OUT)-(0))&gt;=0,1,-1)*QUOTIENT(((c_TMAP1IN)-(c_TFWD)),2))+2147483648,4294967296)-2147483648,((c_TMAP1IN)-(c_TFWD))*(((K349)-(c_TFWD))*((c_TMAP1OUT)-(0))+IF(((c_TMAP1OUT)-(0))&gt;=0,1,-1)*QUOTIENT(((c_TMAP1IN)-(c_TFWD)),2)))&gt;=0,1,0)))</f>
        <v>770</v>
      </c>
      <c r="N349" s="7" t="n">
        <f aca="false">IF(((c_TMAP2IN)-(c_TMAP1IN))=0,(c_TMAP1OUT)+QUOTIENT(((c_TMAP2OUT)-(c_TMAP1OUT)),2),QUOTIENT((((K349)-(c_TMAP1IN))*((c_TMAP2OUT)-(c_TMAP1OUT))+IF(((c_TMAP2OUT)-(c_TMAP1OUT))&gt;=0,1,-1)*QUOTIENT(((c_TMAP2IN)-(c_TMAP1IN)),2)),((c_TMAP2IN)-(c_TMAP1IN)))+(c_TMAP1OUT)+IF(((c_TMAP2OUT)-(c_TMAP1OUT))&gt;=0,IF(IF(o_WRAP=1,MOD(((c_TMAP2IN)-(c_TMAP1IN))*(((K349)-(c_TMAP1IN))*((c_TMAP2OUT)-(c_TMAP1OUT))+IF(((c_TMAP2OUT)-(c_TMAP1OUT))&gt;=0,1,-1)*QUOTIENT(((c_TMAP2IN)-(c_TMAP1IN)),2))+2147483648,4294967296)-2147483648,((c_TMAP2IN)-(c_TMAP1IN))*(((K349)-(c_TMAP1IN))*((c_TMAP2OUT)-(c_TMAP1OUT))+IF(((c_TMAP2OUT)-(c_TMAP1OUT))&gt;=0,1,-1)*QUOTIENT(((c_TMAP2IN)-(c_TMAP1IN)),2)))&lt;0,-1,0),IF(IF(o_WRAP=1,MOD(((c_TMAP2IN)-(c_TMAP1IN))*(((K349)-(c_TMAP1IN))*((c_TMAP2OUT)-(c_TMAP1OUT))+IF(((c_TMAP2OUT)-(c_TMAP1OUT))&gt;=0,1,-1)*QUOTIENT(((c_TMAP2IN)-(c_TMAP1IN)),2))+2147483648,4294967296)-2147483648,((c_TMAP2IN)-(c_TMAP1IN))*(((K349)-(c_TMAP1IN))*((c_TMAP2OUT)-(c_TMAP1OUT))+IF(((c_TMAP2OUT)-(c_TMAP1OUT))&gt;=0,1,-1)*QUOTIENT(((c_TMAP2IN)-(c_TMAP1IN)),2)))&gt;=0,1,0)))</f>
        <v>430</v>
      </c>
      <c r="O349" s="7" t="n">
        <f aca="false">IF(((c_TMAP3IN)-(c_TMAP2IN))=0,(c_TMAP2OUT)+QUOTIENT(((c_TMAP3OUT)-(c_TMAP2OUT)),2),QUOTIENT((((K349)-(c_TMAP2IN))*((c_TMAP3OUT)-(c_TMAP2OUT))+IF(((c_TMAP3OUT)-(c_TMAP2OUT))&gt;=0,1,-1)*QUOTIENT(((c_TMAP3IN)-(c_TMAP2IN)),2)),((c_TMAP3IN)-(c_TMAP2IN)))+(c_TMAP2OUT)+IF(((c_TMAP3OUT)-(c_TMAP2OUT))&gt;=0,IF(IF(o_WRAP=1,MOD(((c_TMAP3IN)-(c_TMAP2IN))*(((K349)-(c_TMAP2IN))*((c_TMAP3OUT)-(c_TMAP2OUT))+IF(((c_TMAP3OUT)-(c_TMAP2OUT))&gt;=0,1,-1)*QUOTIENT(((c_TMAP3IN)-(c_TMAP2IN)),2))+2147483648,4294967296)-2147483648,((c_TMAP3IN)-(c_TMAP2IN))*(((K349)-(c_TMAP2IN))*((c_TMAP3OUT)-(c_TMAP2OUT))+IF(((c_TMAP3OUT)-(c_TMAP2OUT))&gt;=0,1,-1)*QUOTIENT(((c_TMAP3IN)-(c_TMAP2IN)),2)))&lt;0,-1,0),IF(IF(o_WRAP=1,MOD(((c_TMAP3IN)-(c_TMAP2IN))*(((K349)-(c_TMAP2IN))*((c_TMAP3OUT)-(c_TMAP2OUT))+IF(((c_TMAP3OUT)-(c_TMAP2OUT))&gt;=0,1,-1)*QUOTIENT(((c_TMAP3IN)-(c_TMAP2IN)),2))+2147483648,4294967296)-2147483648,((c_TMAP3IN)-(c_TMAP2IN))*(((K349)-(c_TMAP2IN))*((c_TMAP3OUT)-(c_TMAP2OUT))+IF(((c_TMAP3OUT)-(c_TMAP2OUT))&gt;=0,1,-1)*QUOTIENT(((c_TMAP3IN)-(c_TMAP2IN)),2)))&gt;=0,1,0)))</f>
        <v>655</v>
      </c>
      <c r="P349" s="7" t="n">
        <f aca="false">IF(((1000)-(c_TMAP3IN))=0,(c_TMAP3OUT)+QUOTIENT(((1000)-(c_TMAP3OUT)),2),QUOTIENT((((K349)-(c_TMAP3IN))*((1000)-(c_TMAP3OUT))+IF(((1000)-(c_TMAP3OUT))&gt;=0,1,-1)*QUOTIENT(((1000)-(c_TMAP3IN)),2)),((1000)-(c_TMAP3IN)))+(c_TMAP3OUT)+IF(((1000)-(c_TMAP3OUT))&gt;=0,IF(IF(o_WRAP=1,MOD(((1000)-(c_TMAP3IN))*(((K349)-(c_TMAP3IN))*((1000)-(c_TMAP3OUT))+IF(((1000)-(c_TMAP3OUT))&gt;=0,1,-1)*QUOTIENT(((1000)-(c_TMAP3IN)),2))+2147483648,4294967296)-2147483648,((1000)-(c_TMAP3IN))*(((K349)-(c_TMAP3IN))*((1000)-(c_TMAP3OUT))+IF(((1000)-(c_TMAP3OUT))&gt;=0,1,-1)*QUOTIENT(((1000)-(c_TMAP3IN)),2)))&lt;0,-1,0),IF(IF(o_WRAP=1,MOD(((1000)-(c_TMAP3IN))*(((K349)-(c_TMAP3IN))*((1000)-(c_TMAP3OUT))+IF(((1000)-(c_TMAP3OUT))&gt;=0,1,-1)*QUOTIENT(((1000)-(c_TMAP3IN)),2))+2147483648,4294967296)-2147483648,((1000)-(c_TMAP3IN))*(((K349)-(c_TMAP3IN))*((1000)-(c_TMAP3OUT))+IF(((1000)-(c_TMAP3OUT))&gt;=0,1,-1)*QUOTIENT(((1000)-(c_TMAP3IN)),2)))&gt;=0,1,0)))</f>
        <v>1000</v>
      </c>
      <c r="Q349" s="7" t="str">
        <f aca="false">IF(K349&gt;=c_TFWD,IF(AND(K349&gt;=c_TMAP3IN,c_TMAP3IN&lt;1000),"Seg4 map3-100%",IF(AND(K349&gt;=c_TMAP2IN,c_TMAP3IN&gt;c_TMAP2IN),"Seg3 map2-map3",IF(AND(K349&gt;=c_TMAP1IN,c_TMAP2IN&gt;c_TMAP1IN),"Seg2 map1-map2","Seg1 TFWD-map1"))),IF(AND(K349=0,c_TCREEP&gt;0),"Creep",IF(AND(K349&lt;=c_TRNGMIN,K349&gt;=c_TRNGMAX,c_TRNGMIN-c_TRNGMAX&lt;&gt;0),"Regen ramp","Coast (0)")))</f>
        <v>Seg4 map3-100%</v>
      </c>
      <c r="R349" s="7" t="n">
        <f aca="false">IF(K349&gt;=c_TFWD,IF(AND(K349&gt;=c_TMAP3IN,c_TMAP3IN&lt;1000),P349,IF(AND(K349&gt;=c_TMAP2IN,c_TMAP3IN&gt;c_TMAP2IN),O349,IF(AND(K349&gt;=c_TMAP1IN,c_TMAP2IN&gt;c_TMAP1IN),N349,M349))),L349)</f>
        <v>1000</v>
      </c>
      <c r="S349" s="7" t="str">
        <f aca="false">IF(R349&lt;-1090,"TOO LOW",IF(R349&gt;1090,"TOO HIGH",""))</f>
        <v/>
      </c>
      <c r="T349" s="15" t="n">
        <f aca="false">IF(H349&lt;&gt;"OK",0,IF(S349&lt;&gt;"",0,IF(R349&gt;979,1000,R349)))</f>
        <v>1000</v>
      </c>
      <c r="U349" s="7" t="n">
        <f aca="false">T349/10</f>
        <v>100</v>
      </c>
    </row>
    <row r="350" customFormat="false" ht="15" hidden="false" customHeight="false" outlineLevel="0" collapsed="false">
      <c r="A350" s="7" t="n">
        <v>345</v>
      </c>
      <c r="B350" s="7" t="n">
        <f aca="false">ROUND(o_SWSTART+A350*(o_SWEND-o_SWSTART)/400,0)</f>
        <v>3532</v>
      </c>
      <c r="C350" s="7" t="n">
        <f aca="false">QUOTIENT((B350-c_OFF1)*c_GAIN1,1024)</f>
        <v>3532</v>
      </c>
      <c r="D350" s="7" t="n">
        <f aca="false">IF(((c_T1MX)-(c_T1MN))=0,(0)+QUOTIENT(((1000)-(0)),2),QUOTIENT((((C350)-(c_T1MN))*((1000)-(0))+IF(((1000)-(0))&gt;=0,1,-1)*QUOTIENT(((c_T1MX)-(c_T1MN)),2)),((c_T1MX)-(c_T1MN)))+(0)+IF(((1000)-(0))&gt;=0,IF(IF(o_WRAP=1,MOD(((c_T1MX)-(c_T1MN))*(((C350)-(c_T1MN))*((1000)-(0))+IF(((1000)-(0))&gt;=0,1,-1)*QUOTIENT(((c_T1MX)-(c_T1MN)),2))+2147483648,4294967296)-2147483648,((c_T1MX)-(c_T1MN))*(((C350)-(c_T1MN))*((1000)-(0))+IF(((1000)-(0))&gt;=0,1,-1)*QUOTIENT(((c_T1MX)-(c_T1MN)),2)))&lt;0,-1,0),IF(IF(o_WRAP=1,MOD(((c_T1MX)-(c_T1MN))*(((C350)-(c_T1MN))*((1000)-(0))+IF(((1000)-(0))&gt;=0,1,-1)*QUOTIENT(((c_T1MX)-(c_T1MN)),2))+2147483648,4294967296)-2147483648,((c_T1MX)-(c_T1MN))*(((C350)-(c_T1MN))*((1000)-(0))+IF(((1000)-(0))&gt;=0,1,-1)*QUOTIENT(((c_T1MX)-(c_T1MN)),2)))&gt;=0,1,0)))</f>
        <v>1019</v>
      </c>
      <c r="E350" s="7" t="n">
        <f aca="false">IF(AND(c_TPOT=1,c_TTYPE=2),1000-D350,D350)</f>
        <v>1019</v>
      </c>
      <c r="F350" s="7" t="str">
        <f aca="false">IF(c_TPOT&gt;1,ROUND(IF(c_TTYPE=2,c_T2MX-IF(c_T1MX=c_T1MN,0,(C350-c_T1MN)/(c_T1MX-c_T1MN))*(c_T2MX-c_T2MN),c_T2MN+IF(c_T1MX=c_T1MN,0,(C350-c_T1MN)/(c_T1MX-c_T1MN))*(c_T2MX-c_T2MN))+o_MISMATCH,0),"")</f>
        <v/>
      </c>
      <c r="G350" s="7" t="str">
        <f aca="false">IF(c_TPOT&gt;1,IF(((c_T2MX)-(c_T2MN))=0,(0)+QUOTIENT(((1000)-(0)),2),QUOTIENT((((F350)-(c_T2MN))*((1000)-(0))+IF(((1000)-(0))&gt;=0,1,-1)*QUOTIENT(((c_T2MX)-(c_T2MN)),2)),((c_T2MX)-(c_T2MN)))+(0)+IF(((1000)-(0))&gt;=0,IF(IF(o_WRAP=1,MOD(((c_T2MX)-(c_T2MN))*(((F350)-(c_T2MN))*((1000)-(0))+IF(((1000)-(0))&gt;=0,1,-1)*QUOTIENT(((c_T2MX)-(c_T2MN)),2))+2147483648,4294967296)-2147483648,((c_T2MX)-(c_T2MN))*(((F350)-(c_T2MN))*((1000)-(0))+IF(((1000)-(0))&gt;=0,1,-1)*QUOTIENT(((c_T2MX)-(c_T2MN)),2)))&lt;0,-1,0),IF(IF(o_WRAP=1,MOD(((c_T2MX)-(c_T2MN))*(((F350)-(c_T2MN))*((1000)-(0))+IF(((1000)-(0))&gt;=0,1,-1)*QUOTIENT(((c_T2MX)-(c_T2MN)),2))+2147483648,4294967296)-2147483648,((c_T2MX)-(c_T2MN))*(((F350)-(c_T2MN))*((1000)-(0))+IF(((1000)-(0))&gt;=0,1,-1)*QUOTIENT(((c_T2MX)-(c_T2MN)),2)))&gt;=0,1,0))),"")</f>
        <v/>
      </c>
      <c r="H350" s="7" t="str">
        <f aca="false">IF(E350&gt;1000+k_TOL,"T1 HIGH",IF(E350&lt;0-k_TOL,"T1 LOW",IF(c_TPOT&gt;1,IF(G350&gt;1000+k_TOL,"T2 HIGH",IF(G350&lt;0-k_TOL,"T2 LOW",IF(c_TTYPE=2,IF(ABS(1000-MAX(0,MIN(1000,E350))-MAX(0,MIN(1000,G350)))&gt;k_MAXERR,"MISMATCH","OK"),IF(OR(MAX(0,MIN(1000,E350))-k_MAXERR&gt;MAX(0,MIN(1000,G350)),MAX(0,MIN(1000,G350))-k_MAXERR&gt;MAX(0,MIN(1000,E350))),"MISMATCH","OK")))),"OK")))</f>
        <v>OK</v>
      </c>
      <c r="I350" s="7" t="n">
        <f aca="false">MAX(0,MIN(1000,D350))</f>
        <v>1000</v>
      </c>
      <c r="J350" s="7" t="str">
        <f aca="false">IF(c_TPOT&gt;1,IF(c_TTYPE=2,1000-MAX(0,MIN(1000,G350)),MAX(0,MIN(1000,G350))),"")</f>
        <v/>
      </c>
      <c r="K350" s="7" t="n">
        <f aca="false">IF(c_TPOT&gt;1,QUOTIENT(I350+J350,2),I350)</f>
        <v>1000</v>
      </c>
      <c r="L350" s="7" t="n">
        <f aca="false">IF(AND(K350=0,c_TCREEP&gt;0),10*c_TCREEP,IF(AND(K350&lt;=c_TRNGMIN,K350&gt;=c_TRNGMAX,c_TRNGMIN-c_TRNGMAX&lt;&gt;0),-10*c_TMINRN+QUOTIENT((c_TMAXRN-c_TMINRN)*(100-QUOTIENT((K350-c_TRNGMAX)*100,c_TRNGMIN-c_TRNGMAX)),-10),0))</f>
        <v>0</v>
      </c>
      <c r="M350" s="7" t="n">
        <f aca="false">IF(((c_TMAP1IN)-(c_TFWD))=0,(0)+QUOTIENT(((c_TMAP1OUT)-(0)),2),QUOTIENT((((K350)-(c_TFWD))*((c_TMAP1OUT)-(0))+IF(((c_TMAP1OUT)-(0))&gt;=0,1,-1)*QUOTIENT(((c_TMAP1IN)-(c_TFWD)),2)),((c_TMAP1IN)-(c_TFWD)))+(0)+IF(((c_TMAP1OUT)-(0))&gt;=0,IF(IF(o_WRAP=1,MOD(((c_TMAP1IN)-(c_TFWD))*(((K350)-(c_TFWD))*((c_TMAP1OUT)-(0))+IF(((c_TMAP1OUT)-(0))&gt;=0,1,-1)*QUOTIENT(((c_TMAP1IN)-(c_TFWD)),2))+2147483648,4294967296)-2147483648,((c_TMAP1IN)-(c_TFWD))*(((K350)-(c_TFWD))*((c_TMAP1OUT)-(0))+IF(((c_TMAP1OUT)-(0))&gt;=0,1,-1)*QUOTIENT(((c_TMAP1IN)-(c_TFWD)),2)))&lt;0,-1,0),IF(IF(o_WRAP=1,MOD(((c_TMAP1IN)-(c_TFWD))*(((K350)-(c_TFWD))*((c_TMAP1OUT)-(0))+IF(((c_TMAP1OUT)-(0))&gt;=0,1,-1)*QUOTIENT(((c_TMAP1IN)-(c_TFWD)),2))+2147483648,4294967296)-2147483648,((c_TMAP1IN)-(c_TFWD))*(((K350)-(c_TFWD))*((c_TMAP1OUT)-(0))+IF(((c_TMAP1OUT)-(0))&gt;=0,1,-1)*QUOTIENT(((c_TMAP1IN)-(c_TFWD)),2)))&gt;=0,1,0)))</f>
        <v>770</v>
      </c>
      <c r="N350" s="7" t="n">
        <f aca="false">IF(((c_TMAP2IN)-(c_TMAP1IN))=0,(c_TMAP1OUT)+QUOTIENT(((c_TMAP2OUT)-(c_TMAP1OUT)),2),QUOTIENT((((K350)-(c_TMAP1IN))*((c_TMAP2OUT)-(c_TMAP1OUT))+IF(((c_TMAP2OUT)-(c_TMAP1OUT))&gt;=0,1,-1)*QUOTIENT(((c_TMAP2IN)-(c_TMAP1IN)),2)),((c_TMAP2IN)-(c_TMAP1IN)))+(c_TMAP1OUT)+IF(((c_TMAP2OUT)-(c_TMAP1OUT))&gt;=0,IF(IF(o_WRAP=1,MOD(((c_TMAP2IN)-(c_TMAP1IN))*(((K350)-(c_TMAP1IN))*((c_TMAP2OUT)-(c_TMAP1OUT))+IF(((c_TMAP2OUT)-(c_TMAP1OUT))&gt;=0,1,-1)*QUOTIENT(((c_TMAP2IN)-(c_TMAP1IN)),2))+2147483648,4294967296)-2147483648,((c_TMAP2IN)-(c_TMAP1IN))*(((K350)-(c_TMAP1IN))*((c_TMAP2OUT)-(c_TMAP1OUT))+IF(((c_TMAP2OUT)-(c_TMAP1OUT))&gt;=0,1,-1)*QUOTIENT(((c_TMAP2IN)-(c_TMAP1IN)),2)))&lt;0,-1,0),IF(IF(o_WRAP=1,MOD(((c_TMAP2IN)-(c_TMAP1IN))*(((K350)-(c_TMAP1IN))*((c_TMAP2OUT)-(c_TMAP1OUT))+IF(((c_TMAP2OUT)-(c_TMAP1OUT))&gt;=0,1,-1)*QUOTIENT(((c_TMAP2IN)-(c_TMAP1IN)),2))+2147483648,4294967296)-2147483648,((c_TMAP2IN)-(c_TMAP1IN))*(((K350)-(c_TMAP1IN))*((c_TMAP2OUT)-(c_TMAP1OUT))+IF(((c_TMAP2OUT)-(c_TMAP1OUT))&gt;=0,1,-1)*QUOTIENT(((c_TMAP2IN)-(c_TMAP1IN)),2)))&gt;=0,1,0)))</f>
        <v>430</v>
      </c>
      <c r="O350" s="7" t="n">
        <f aca="false">IF(((c_TMAP3IN)-(c_TMAP2IN))=0,(c_TMAP2OUT)+QUOTIENT(((c_TMAP3OUT)-(c_TMAP2OUT)),2),QUOTIENT((((K350)-(c_TMAP2IN))*((c_TMAP3OUT)-(c_TMAP2OUT))+IF(((c_TMAP3OUT)-(c_TMAP2OUT))&gt;=0,1,-1)*QUOTIENT(((c_TMAP3IN)-(c_TMAP2IN)),2)),((c_TMAP3IN)-(c_TMAP2IN)))+(c_TMAP2OUT)+IF(((c_TMAP3OUT)-(c_TMAP2OUT))&gt;=0,IF(IF(o_WRAP=1,MOD(((c_TMAP3IN)-(c_TMAP2IN))*(((K350)-(c_TMAP2IN))*((c_TMAP3OUT)-(c_TMAP2OUT))+IF(((c_TMAP3OUT)-(c_TMAP2OUT))&gt;=0,1,-1)*QUOTIENT(((c_TMAP3IN)-(c_TMAP2IN)),2))+2147483648,4294967296)-2147483648,((c_TMAP3IN)-(c_TMAP2IN))*(((K350)-(c_TMAP2IN))*((c_TMAP3OUT)-(c_TMAP2OUT))+IF(((c_TMAP3OUT)-(c_TMAP2OUT))&gt;=0,1,-1)*QUOTIENT(((c_TMAP3IN)-(c_TMAP2IN)),2)))&lt;0,-1,0),IF(IF(o_WRAP=1,MOD(((c_TMAP3IN)-(c_TMAP2IN))*(((K350)-(c_TMAP2IN))*((c_TMAP3OUT)-(c_TMAP2OUT))+IF(((c_TMAP3OUT)-(c_TMAP2OUT))&gt;=0,1,-1)*QUOTIENT(((c_TMAP3IN)-(c_TMAP2IN)),2))+2147483648,4294967296)-2147483648,((c_TMAP3IN)-(c_TMAP2IN))*(((K350)-(c_TMAP2IN))*((c_TMAP3OUT)-(c_TMAP2OUT))+IF(((c_TMAP3OUT)-(c_TMAP2OUT))&gt;=0,1,-1)*QUOTIENT(((c_TMAP3IN)-(c_TMAP2IN)),2)))&gt;=0,1,0)))</f>
        <v>655</v>
      </c>
      <c r="P350" s="7" t="n">
        <f aca="false">IF(((1000)-(c_TMAP3IN))=0,(c_TMAP3OUT)+QUOTIENT(((1000)-(c_TMAP3OUT)),2),QUOTIENT((((K350)-(c_TMAP3IN))*((1000)-(c_TMAP3OUT))+IF(((1000)-(c_TMAP3OUT))&gt;=0,1,-1)*QUOTIENT(((1000)-(c_TMAP3IN)),2)),((1000)-(c_TMAP3IN)))+(c_TMAP3OUT)+IF(((1000)-(c_TMAP3OUT))&gt;=0,IF(IF(o_WRAP=1,MOD(((1000)-(c_TMAP3IN))*(((K350)-(c_TMAP3IN))*((1000)-(c_TMAP3OUT))+IF(((1000)-(c_TMAP3OUT))&gt;=0,1,-1)*QUOTIENT(((1000)-(c_TMAP3IN)),2))+2147483648,4294967296)-2147483648,((1000)-(c_TMAP3IN))*(((K350)-(c_TMAP3IN))*((1000)-(c_TMAP3OUT))+IF(((1000)-(c_TMAP3OUT))&gt;=0,1,-1)*QUOTIENT(((1000)-(c_TMAP3IN)),2)))&lt;0,-1,0),IF(IF(o_WRAP=1,MOD(((1000)-(c_TMAP3IN))*(((K350)-(c_TMAP3IN))*((1000)-(c_TMAP3OUT))+IF(((1000)-(c_TMAP3OUT))&gt;=0,1,-1)*QUOTIENT(((1000)-(c_TMAP3IN)),2))+2147483648,4294967296)-2147483648,((1000)-(c_TMAP3IN))*(((K350)-(c_TMAP3IN))*((1000)-(c_TMAP3OUT))+IF(((1000)-(c_TMAP3OUT))&gt;=0,1,-1)*QUOTIENT(((1000)-(c_TMAP3IN)),2)))&gt;=0,1,0)))</f>
        <v>1000</v>
      </c>
      <c r="Q350" s="7" t="str">
        <f aca="false">IF(K350&gt;=c_TFWD,IF(AND(K350&gt;=c_TMAP3IN,c_TMAP3IN&lt;1000),"Seg4 map3-100%",IF(AND(K350&gt;=c_TMAP2IN,c_TMAP3IN&gt;c_TMAP2IN),"Seg3 map2-map3",IF(AND(K350&gt;=c_TMAP1IN,c_TMAP2IN&gt;c_TMAP1IN),"Seg2 map1-map2","Seg1 TFWD-map1"))),IF(AND(K350=0,c_TCREEP&gt;0),"Creep",IF(AND(K350&lt;=c_TRNGMIN,K350&gt;=c_TRNGMAX,c_TRNGMIN-c_TRNGMAX&lt;&gt;0),"Regen ramp","Coast (0)")))</f>
        <v>Seg4 map3-100%</v>
      </c>
      <c r="R350" s="7" t="n">
        <f aca="false">IF(K350&gt;=c_TFWD,IF(AND(K350&gt;=c_TMAP3IN,c_TMAP3IN&lt;1000),P350,IF(AND(K350&gt;=c_TMAP2IN,c_TMAP3IN&gt;c_TMAP2IN),O350,IF(AND(K350&gt;=c_TMAP1IN,c_TMAP2IN&gt;c_TMAP1IN),N350,M350))),L350)</f>
        <v>1000</v>
      </c>
      <c r="S350" s="7" t="str">
        <f aca="false">IF(R350&lt;-1090,"TOO LOW",IF(R350&gt;1090,"TOO HIGH",""))</f>
        <v/>
      </c>
      <c r="T350" s="15" t="n">
        <f aca="false">IF(H350&lt;&gt;"OK",0,IF(S350&lt;&gt;"",0,IF(R350&gt;979,1000,R350)))</f>
        <v>1000</v>
      </c>
      <c r="U350" s="7" t="n">
        <f aca="false">T350/10</f>
        <v>100</v>
      </c>
    </row>
    <row r="351" customFormat="false" ht="15" hidden="false" customHeight="false" outlineLevel="0" collapsed="false">
      <c r="A351" s="7" t="n">
        <v>346</v>
      </c>
      <c r="B351" s="7" t="n">
        <f aca="false">ROUND(o_SWSTART+A351*(o_SWEND-o_SWSTART)/400,0)</f>
        <v>3542</v>
      </c>
      <c r="C351" s="7" t="n">
        <f aca="false">QUOTIENT((B351-c_OFF1)*c_GAIN1,1024)</f>
        <v>3542</v>
      </c>
      <c r="D351" s="7" t="n">
        <f aca="false">IF(((c_T1MX)-(c_T1MN))=0,(0)+QUOTIENT(((1000)-(0)),2),QUOTIENT((((C351)-(c_T1MN))*((1000)-(0))+IF(((1000)-(0))&gt;=0,1,-1)*QUOTIENT(((c_T1MX)-(c_T1MN)),2)),((c_T1MX)-(c_T1MN)))+(0)+IF(((1000)-(0))&gt;=0,IF(IF(o_WRAP=1,MOD(((c_T1MX)-(c_T1MN))*(((C351)-(c_T1MN))*((1000)-(0))+IF(((1000)-(0))&gt;=0,1,-1)*QUOTIENT(((c_T1MX)-(c_T1MN)),2))+2147483648,4294967296)-2147483648,((c_T1MX)-(c_T1MN))*(((C351)-(c_T1MN))*((1000)-(0))+IF(((1000)-(0))&gt;=0,1,-1)*QUOTIENT(((c_T1MX)-(c_T1MN)),2)))&lt;0,-1,0),IF(IF(o_WRAP=1,MOD(((c_T1MX)-(c_T1MN))*(((C351)-(c_T1MN))*((1000)-(0))+IF(((1000)-(0))&gt;=0,1,-1)*QUOTIENT(((c_T1MX)-(c_T1MN)),2))+2147483648,4294967296)-2147483648,((c_T1MX)-(c_T1MN))*(((C351)-(c_T1MN))*((1000)-(0))+IF(((1000)-(0))&gt;=0,1,-1)*QUOTIENT(((c_T1MX)-(c_T1MN)),2)))&gt;=0,1,0)))</f>
        <v>1022</v>
      </c>
      <c r="E351" s="7" t="n">
        <f aca="false">IF(AND(c_TPOT=1,c_TTYPE=2),1000-D351,D351)</f>
        <v>1022</v>
      </c>
      <c r="F351" s="7" t="str">
        <f aca="false">IF(c_TPOT&gt;1,ROUND(IF(c_TTYPE=2,c_T2MX-IF(c_T1MX=c_T1MN,0,(C351-c_T1MN)/(c_T1MX-c_T1MN))*(c_T2MX-c_T2MN),c_T2MN+IF(c_T1MX=c_T1MN,0,(C351-c_T1MN)/(c_T1MX-c_T1MN))*(c_T2MX-c_T2MN))+o_MISMATCH,0),"")</f>
        <v/>
      </c>
      <c r="G351" s="7" t="str">
        <f aca="false">IF(c_TPOT&gt;1,IF(((c_T2MX)-(c_T2MN))=0,(0)+QUOTIENT(((1000)-(0)),2),QUOTIENT((((F351)-(c_T2MN))*((1000)-(0))+IF(((1000)-(0))&gt;=0,1,-1)*QUOTIENT(((c_T2MX)-(c_T2MN)),2)),((c_T2MX)-(c_T2MN)))+(0)+IF(((1000)-(0))&gt;=0,IF(IF(o_WRAP=1,MOD(((c_T2MX)-(c_T2MN))*(((F351)-(c_T2MN))*((1000)-(0))+IF(((1000)-(0))&gt;=0,1,-1)*QUOTIENT(((c_T2MX)-(c_T2MN)),2))+2147483648,4294967296)-2147483648,((c_T2MX)-(c_T2MN))*(((F351)-(c_T2MN))*((1000)-(0))+IF(((1000)-(0))&gt;=0,1,-1)*QUOTIENT(((c_T2MX)-(c_T2MN)),2)))&lt;0,-1,0),IF(IF(o_WRAP=1,MOD(((c_T2MX)-(c_T2MN))*(((F351)-(c_T2MN))*((1000)-(0))+IF(((1000)-(0))&gt;=0,1,-1)*QUOTIENT(((c_T2MX)-(c_T2MN)),2))+2147483648,4294967296)-2147483648,((c_T2MX)-(c_T2MN))*(((F351)-(c_T2MN))*((1000)-(0))+IF(((1000)-(0))&gt;=0,1,-1)*QUOTIENT(((c_T2MX)-(c_T2MN)),2)))&gt;=0,1,0))),"")</f>
        <v/>
      </c>
      <c r="H351" s="7" t="str">
        <f aca="false">IF(E351&gt;1000+k_TOL,"T1 HIGH",IF(E351&lt;0-k_TOL,"T1 LOW",IF(c_TPOT&gt;1,IF(G351&gt;1000+k_TOL,"T2 HIGH",IF(G351&lt;0-k_TOL,"T2 LOW",IF(c_TTYPE=2,IF(ABS(1000-MAX(0,MIN(1000,E351))-MAX(0,MIN(1000,G351)))&gt;k_MAXERR,"MISMATCH","OK"),IF(OR(MAX(0,MIN(1000,E351))-k_MAXERR&gt;MAX(0,MIN(1000,G351)),MAX(0,MIN(1000,G351))-k_MAXERR&gt;MAX(0,MIN(1000,E351))),"MISMATCH","OK")))),"OK")))</f>
        <v>OK</v>
      </c>
      <c r="I351" s="7" t="n">
        <f aca="false">MAX(0,MIN(1000,D351))</f>
        <v>1000</v>
      </c>
      <c r="J351" s="7" t="str">
        <f aca="false">IF(c_TPOT&gt;1,IF(c_TTYPE=2,1000-MAX(0,MIN(1000,G351)),MAX(0,MIN(1000,G351))),"")</f>
        <v/>
      </c>
      <c r="K351" s="7" t="n">
        <f aca="false">IF(c_TPOT&gt;1,QUOTIENT(I351+J351,2),I351)</f>
        <v>1000</v>
      </c>
      <c r="L351" s="7" t="n">
        <f aca="false">IF(AND(K351=0,c_TCREEP&gt;0),10*c_TCREEP,IF(AND(K351&lt;=c_TRNGMIN,K351&gt;=c_TRNGMAX,c_TRNGMIN-c_TRNGMAX&lt;&gt;0),-10*c_TMINRN+QUOTIENT((c_TMAXRN-c_TMINRN)*(100-QUOTIENT((K351-c_TRNGMAX)*100,c_TRNGMIN-c_TRNGMAX)),-10),0))</f>
        <v>0</v>
      </c>
      <c r="M351" s="7" t="n">
        <f aca="false">IF(((c_TMAP1IN)-(c_TFWD))=0,(0)+QUOTIENT(((c_TMAP1OUT)-(0)),2),QUOTIENT((((K351)-(c_TFWD))*((c_TMAP1OUT)-(0))+IF(((c_TMAP1OUT)-(0))&gt;=0,1,-1)*QUOTIENT(((c_TMAP1IN)-(c_TFWD)),2)),((c_TMAP1IN)-(c_TFWD)))+(0)+IF(((c_TMAP1OUT)-(0))&gt;=0,IF(IF(o_WRAP=1,MOD(((c_TMAP1IN)-(c_TFWD))*(((K351)-(c_TFWD))*((c_TMAP1OUT)-(0))+IF(((c_TMAP1OUT)-(0))&gt;=0,1,-1)*QUOTIENT(((c_TMAP1IN)-(c_TFWD)),2))+2147483648,4294967296)-2147483648,((c_TMAP1IN)-(c_TFWD))*(((K351)-(c_TFWD))*((c_TMAP1OUT)-(0))+IF(((c_TMAP1OUT)-(0))&gt;=0,1,-1)*QUOTIENT(((c_TMAP1IN)-(c_TFWD)),2)))&lt;0,-1,0),IF(IF(o_WRAP=1,MOD(((c_TMAP1IN)-(c_TFWD))*(((K351)-(c_TFWD))*((c_TMAP1OUT)-(0))+IF(((c_TMAP1OUT)-(0))&gt;=0,1,-1)*QUOTIENT(((c_TMAP1IN)-(c_TFWD)),2))+2147483648,4294967296)-2147483648,((c_TMAP1IN)-(c_TFWD))*(((K351)-(c_TFWD))*((c_TMAP1OUT)-(0))+IF(((c_TMAP1OUT)-(0))&gt;=0,1,-1)*QUOTIENT(((c_TMAP1IN)-(c_TFWD)),2)))&gt;=0,1,0)))</f>
        <v>770</v>
      </c>
      <c r="N351" s="7" t="n">
        <f aca="false">IF(((c_TMAP2IN)-(c_TMAP1IN))=0,(c_TMAP1OUT)+QUOTIENT(((c_TMAP2OUT)-(c_TMAP1OUT)),2),QUOTIENT((((K351)-(c_TMAP1IN))*((c_TMAP2OUT)-(c_TMAP1OUT))+IF(((c_TMAP2OUT)-(c_TMAP1OUT))&gt;=0,1,-1)*QUOTIENT(((c_TMAP2IN)-(c_TMAP1IN)),2)),((c_TMAP2IN)-(c_TMAP1IN)))+(c_TMAP1OUT)+IF(((c_TMAP2OUT)-(c_TMAP1OUT))&gt;=0,IF(IF(o_WRAP=1,MOD(((c_TMAP2IN)-(c_TMAP1IN))*(((K351)-(c_TMAP1IN))*((c_TMAP2OUT)-(c_TMAP1OUT))+IF(((c_TMAP2OUT)-(c_TMAP1OUT))&gt;=0,1,-1)*QUOTIENT(((c_TMAP2IN)-(c_TMAP1IN)),2))+2147483648,4294967296)-2147483648,((c_TMAP2IN)-(c_TMAP1IN))*(((K351)-(c_TMAP1IN))*((c_TMAP2OUT)-(c_TMAP1OUT))+IF(((c_TMAP2OUT)-(c_TMAP1OUT))&gt;=0,1,-1)*QUOTIENT(((c_TMAP2IN)-(c_TMAP1IN)),2)))&lt;0,-1,0),IF(IF(o_WRAP=1,MOD(((c_TMAP2IN)-(c_TMAP1IN))*(((K351)-(c_TMAP1IN))*((c_TMAP2OUT)-(c_TMAP1OUT))+IF(((c_TMAP2OUT)-(c_TMAP1OUT))&gt;=0,1,-1)*QUOTIENT(((c_TMAP2IN)-(c_TMAP1IN)),2))+2147483648,4294967296)-2147483648,((c_TMAP2IN)-(c_TMAP1IN))*(((K351)-(c_TMAP1IN))*((c_TMAP2OUT)-(c_TMAP1OUT))+IF(((c_TMAP2OUT)-(c_TMAP1OUT))&gt;=0,1,-1)*QUOTIENT(((c_TMAP2IN)-(c_TMAP1IN)),2)))&gt;=0,1,0)))</f>
        <v>430</v>
      </c>
      <c r="O351" s="7" t="n">
        <f aca="false">IF(((c_TMAP3IN)-(c_TMAP2IN))=0,(c_TMAP2OUT)+QUOTIENT(((c_TMAP3OUT)-(c_TMAP2OUT)),2),QUOTIENT((((K351)-(c_TMAP2IN))*((c_TMAP3OUT)-(c_TMAP2OUT))+IF(((c_TMAP3OUT)-(c_TMAP2OUT))&gt;=0,1,-1)*QUOTIENT(((c_TMAP3IN)-(c_TMAP2IN)),2)),((c_TMAP3IN)-(c_TMAP2IN)))+(c_TMAP2OUT)+IF(((c_TMAP3OUT)-(c_TMAP2OUT))&gt;=0,IF(IF(o_WRAP=1,MOD(((c_TMAP3IN)-(c_TMAP2IN))*(((K351)-(c_TMAP2IN))*((c_TMAP3OUT)-(c_TMAP2OUT))+IF(((c_TMAP3OUT)-(c_TMAP2OUT))&gt;=0,1,-1)*QUOTIENT(((c_TMAP3IN)-(c_TMAP2IN)),2))+2147483648,4294967296)-2147483648,((c_TMAP3IN)-(c_TMAP2IN))*(((K351)-(c_TMAP2IN))*((c_TMAP3OUT)-(c_TMAP2OUT))+IF(((c_TMAP3OUT)-(c_TMAP2OUT))&gt;=0,1,-1)*QUOTIENT(((c_TMAP3IN)-(c_TMAP2IN)),2)))&lt;0,-1,0),IF(IF(o_WRAP=1,MOD(((c_TMAP3IN)-(c_TMAP2IN))*(((K351)-(c_TMAP2IN))*((c_TMAP3OUT)-(c_TMAP2OUT))+IF(((c_TMAP3OUT)-(c_TMAP2OUT))&gt;=0,1,-1)*QUOTIENT(((c_TMAP3IN)-(c_TMAP2IN)),2))+2147483648,4294967296)-2147483648,((c_TMAP3IN)-(c_TMAP2IN))*(((K351)-(c_TMAP2IN))*((c_TMAP3OUT)-(c_TMAP2OUT))+IF(((c_TMAP3OUT)-(c_TMAP2OUT))&gt;=0,1,-1)*QUOTIENT(((c_TMAP3IN)-(c_TMAP2IN)),2)))&gt;=0,1,0)))</f>
        <v>655</v>
      </c>
      <c r="P351" s="7" t="n">
        <f aca="false">IF(((1000)-(c_TMAP3IN))=0,(c_TMAP3OUT)+QUOTIENT(((1000)-(c_TMAP3OUT)),2),QUOTIENT((((K351)-(c_TMAP3IN))*((1000)-(c_TMAP3OUT))+IF(((1000)-(c_TMAP3OUT))&gt;=0,1,-1)*QUOTIENT(((1000)-(c_TMAP3IN)),2)),((1000)-(c_TMAP3IN)))+(c_TMAP3OUT)+IF(((1000)-(c_TMAP3OUT))&gt;=0,IF(IF(o_WRAP=1,MOD(((1000)-(c_TMAP3IN))*(((K351)-(c_TMAP3IN))*((1000)-(c_TMAP3OUT))+IF(((1000)-(c_TMAP3OUT))&gt;=0,1,-1)*QUOTIENT(((1000)-(c_TMAP3IN)),2))+2147483648,4294967296)-2147483648,((1000)-(c_TMAP3IN))*(((K351)-(c_TMAP3IN))*((1000)-(c_TMAP3OUT))+IF(((1000)-(c_TMAP3OUT))&gt;=0,1,-1)*QUOTIENT(((1000)-(c_TMAP3IN)),2)))&lt;0,-1,0),IF(IF(o_WRAP=1,MOD(((1000)-(c_TMAP3IN))*(((K351)-(c_TMAP3IN))*((1000)-(c_TMAP3OUT))+IF(((1000)-(c_TMAP3OUT))&gt;=0,1,-1)*QUOTIENT(((1000)-(c_TMAP3IN)),2))+2147483648,4294967296)-2147483648,((1000)-(c_TMAP3IN))*(((K351)-(c_TMAP3IN))*((1000)-(c_TMAP3OUT))+IF(((1000)-(c_TMAP3OUT))&gt;=0,1,-1)*QUOTIENT(((1000)-(c_TMAP3IN)),2)))&gt;=0,1,0)))</f>
        <v>1000</v>
      </c>
      <c r="Q351" s="7" t="str">
        <f aca="false">IF(K351&gt;=c_TFWD,IF(AND(K351&gt;=c_TMAP3IN,c_TMAP3IN&lt;1000),"Seg4 map3-100%",IF(AND(K351&gt;=c_TMAP2IN,c_TMAP3IN&gt;c_TMAP2IN),"Seg3 map2-map3",IF(AND(K351&gt;=c_TMAP1IN,c_TMAP2IN&gt;c_TMAP1IN),"Seg2 map1-map2","Seg1 TFWD-map1"))),IF(AND(K351=0,c_TCREEP&gt;0),"Creep",IF(AND(K351&lt;=c_TRNGMIN,K351&gt;=c_TRNGMAX,c_TRNGMIN-c_TRNGMAX&lt;&gt;0),"Regen ramp","Coast (0)")))</f>
        <v>Seg4 map3-100%</v>
      </c>
      <c r="R351" s="7" t="n">
        <f aca="false">IF(K351&gt;=c_TFWD,IF(AND(K351&gt;=c_TMAP3IN,c_TMAP3IN&lt;1000),P351,IF(AND(K351&gt;=c_TMAP2IN,c_TMAP3IN&gt;c_TMAP2IN),O351,IF(AND(K351&gt;=c_TMAP1IN,c_TMAP2IN&gt;c_TMAP1IN),N351,M351))),L351)</f>
        <v>1000</v>
      </c>
      <c r="S351" s="7" t="str">
        <f aca="false">IF(R351&lt;-1090,"TOO LOW",IF(R351&gt;1090,"TOO HIGH",""))</f>
        <v/>
      </c>
      <c r="T351" s="15" t="n">
        <f aca="false">IF(H351&lt;&gt;"OK",0,IF(S351&lt;&gt;"",0,IF(R351&gt;979,1000,R351)))</f>
        <v>1000</v>
      </c>
      <c r="U351" s="7" t="n">
        <f aca="false">T351/10</f>
        <v>100</v>
      </c>
    </row>
    <row r="352" customFormat="false" ht="15" hidden="false" customHeight="false" outlineLevel="0" collapsed="false">
      <c r="A352" s="7" t="n">
        <v>347</v>
      </c>
      <c r="B352" s="7" t="n">
        <f aca="false">ROUND(o_SWSTART+A352*(o_SWEND-o_SWSTART)/400,0)</f>
        <v>3552</v>
      </c>
      <c r="C352" s="7" t="n">
        <f aca="false">QUOTIENT((B352-c_OFF1)*c_GAIN1,1024)</f>
        <v>3552</v>
      </c>
      <c r="D352" s="7" t="n">
        <f aca="false">IF(((c_T1MX)-(c_T1MN))=0,(0)+QUOTIENT(((1000)-(0)),2),QUOTIENT((((C352)-(c_T1MN))*((1000)-(0))+IF(((1000)-(0))&gt;=0,1,-1)*QUOTIENT(((c_T1MX)-(c_T1MN)),2)),((c_T1MX)-(c_T1MN)))+(0)+IF(((1000)-(0))&gt;=0,IF(IF(o_WRAP=1,MOD(((c_T1MX)-(c_T1MN))*(((C352)-(c_T1MN))*((1000)-(0))+IF(((1000)-(0))&gt;=0,1,-1)*QUOTIENT(((c_T1MX)-(c_T1MN)),2))+2147483648,4294967296)-2147483648,((c_T1MX)-(c_T1MN))*(((C352)-(c_T1MN))*((1000)-(0))+IF(((1000)-(0))&gt;=0,1,-1)*QUOTIENT(((c_T1MX)-(c_T1MN)),2)))&lt;0,-1,0),IF(IF(o_WRAP=1,MOD(((c_T1MX)-(c_T1MN))*(((C352)-(c_T1MN))*((1000)-(0))+IF(((1000)-(0))&gt;=0,1,-1)*QUOTIENT(((c_T1MX)-(c_T1MN)),2))+2147483648,4294967296)-2147483648,((c_T1MX)-(c_T1MN))*(((C352)-(c_T1MN))*((1000)-(0))+IF(((1000)-(0))&gt;=0,1,-1)*QUOTIENT(((c_T1MX)-(c_T1MN)),2)))&gt;=0,1,0)))</f>
        <v>1026</v>
      </c>
      <c r="E352" s="7" t="n">
        <f aca="false">IF(AND(c_TPOT=1,c_TTYPE=2),1000-D352,D352)</f>
        <v>1026</v>
      </c>
      <c r="F352" s="7" t="str">
        <f aca="false">IF(c_TPOT&gt;1,ROUND(IF(c_TTYPE=2,c_T2MX-IF(c_T1MX=c_T1MN,0,(C352-c_T1MN)/(c_T1MX-c_T1MN))*(c_T2MX-c_T2MN),c_T2MN+IF(c_T1MX=c_T1MN,0,(C352-c_T1MN)/(c_T1MX-c_T1MN))*(c_T2MX-c_T2MN))+o_MISMATCH,0),"")</f>
        <v/>
      </c>
      <c r="G352" s="7" t="str">
        <f aca="false">IF(c_TPOT&gt;1,IF(((c_T2MX)-(c_T2MN))=0,(0)+QUOTIENT(((1000)-(0)),2),QUOTIENT((((F352)-(c_T2MN))*((1000)-(0))+IF(((1000)-(0))&gt;=0,1,-1)*QUOTIENT(((c_T2MX)-(c_T2MN)),2)),((c_T2MX)-(c_T2MN)))+(0)+IF(((1000)-(0))&gt;=0,IF(IF(o_WRAP=1,MOD(((c_T2MX)-(c_T2MN))*(((F352)-(c_T2MN))*((1000)-(0))+IF(((1000)-(0))&gt;=0,1,-1)*QUOTIENT(((c_T2MX)-(c_T2MN)),2))+2147483648,4294967296)-2147483648,((c_T2MX)-(c_T2MN))*(((F352)-(c_T2MN))*((1000)-(0))+IF(((1000)-(0))&gt;=0,1,-1)*QUOTIENT(((c_T2MX)-(c_T2MN)),2)))&lt;0,-1,0),IF(IF(o_WRAP=1,MOD(((c_T2MX)-(c_T2MN))*(((F352)-(c_T2MN))*((1000)-(0))+IF(((1000)-(0))&gt;=0,1,-1)*QUOTIENT(((c_T2MX)-(c_T2MN)),2))+2147483648,4294967296)-2147483648,((c_T2MX)-(c_T2MN))*(((F352)-(c_T2MN))*((1000)-(0))+IF(((1000)-(0))&gt;=0,1,-1)*QUOTIENT(((c_T2MX)-(c_T2MN)),2)))&gt;=0,1,0))),"")</f>
        <v/>
      </c>
      <c r="H352" s="7" t="str">
        <f aca="false">IF(E352&gt;1000+k_TOL,"T1 HIGH",IF(E352&lt;0-k_TOL,"T1 LOW",IF(c_TPOT&gt;1,IF(G352&gt;1000+k_TOL,"T2 HIGH",IF(G352&lt;0-k_TOL,"T2 LOW",IF(c_TTYPE=2,IF(ABS(1000-MAX(0,MIN(1000,E352))-MAX(0,MIN(1000,G352)))&gt;k_MAXERR,"MISMATCH","OK"),IF(OR(MAX(0,MIN(1000,E352))-k_MAXERR&gt;MAX(0,MIN(1000,G352)),MAX(0,MIN(1000,G352))-k_MAXERR&gt;MAX(0,MIN(1000,E352))),"MISMATCH","OK")))),"OK")))</f>
        <v>OK</v>
      </c>
      <c r="I352" s="7" t="n">
        <f aca="false">MAX(0,MIN(1000,D352))</f>
        <v>1000</v>
      </c>
      <c r="J352" s="7" t="str">
        <f aca="false">IF(c_TPOT&gt;1,IF(c_TTYPE=2,1000-MAX(0,MIN(1000,G352)),MAX(0,MIN(1000,G352))),"")</f>
        <v/>
      </c>
      <c r="K352" s="7" t="n">
        <f aca="false">IF(c_TPOT&gt;1,QUOTIENT(I352+J352,2),I352)</f>
        <v>1000</v>
      </c>
      <c r="L352" s="7" t="n">
        <f aca="false">IF(AND(K352=0,c_TCREEP&gt;0),10*c_TCREEP,IF(AND(K352&lt;=c_TRNGMIN,K352&gt;=c_TRNGMAX,c_TRNGMIN-c_TRNGMAX&lt;&gt;0),-10*c_TMINRN+QUOTIENT((c_TMAXRN-c_TMINRN)*(100-QUOTIENT((K352-c_TRNGMAX)*100,c_TRNGMIN-c_TRNGMAX)),-10),0))</f>
        <v>0</v>
      </c>
      <c r="M352" s="7" t="n">
        <f aca="false">IF(((c_TMAP1IN)-(c_TFWD))=0,(0)+QUOTIENT(((c_TMAP1OUT)-(0)),2),QUOTIENT((((K352)-(c_TFWD))*((c_TMAP1OUT)-(0))+IF(((c_TMAP1OUT)-(0))&gt;=0,1,-1)*QUOTIENT(((c_TMAP1IN)-(c_TFWD)),2)),((c_TMAP1IN)-(c_TFWD)))+(0)+IF(((c_TMAP1OUT)-(0))&gt;=0,IF(IF(o_WRAP=1,MOD(((c_TMAP1IN)-(c_TFWD))*(((K352)-(c_TFWD))*((c_TMAP1OUT)-(0))+IF(((c_TMAP1OUT)-(0))&gt;=0,1,-1)*QUOTIENT(((c_TMAP1IN)-(c_TFWD)),2))+2147483648,4294967296)-2147483648,((c_TMAP1IN)-(c_TFWD))*(((K352)-(c_TFWD))*((c_TMAP1OUT)-(0))+IF(((c_TMAP1OUT)-(0))&gt;=0,1,-1)*QUOTIENT(((c_TMAP1IN)-(c_TFWD)),2)))&lt;0,-1,0),IF(IF(o_WRAP=1,MOD(((c_TMAP1IN)-(c_TFWD))*(((K352)-(c_TFWD))*((c_TMAP1OUT)-(0))+IF(((c_TMAP1OUT)-(0))&gt;=0,1,-1)*QUOTIENT(((c_TMAP1IN)-(c_TFWD)),2))+2147483648,4294967296)-2147483648,((c_TMAP1IN)-(c_TFWD))*(((K352)-(c_TFWD))*((c_TMAP1OUT)-(0))+IF(((c_TMAP1OUT)-(0))&gt;=0,1,-1)*QUOTIENT(((c_TMAP1IN)-(c_TFWD)),2)))&gt;=0,1,0)))</f>
        <v>770</v>
      </c>
      <c r="N352" s="7" t="n">
        <f aca="false">IF(((c_TMAP2IN)-(c_TMAP1IN))=0,(c_TMAP1OUT)+QUOTIENT(((c_TMAP2OUT)-(c_TMAP1OUT)),2),QUOTIENT((((K352)-(c_TMAP1IN))*((c_TMAP2OUT)-(c_TMAP1OUT))+IF(((c_TMAP2OUT)-(c_TMAP1OUT))&gt;=0,1,-1)*QUOTIENT(((c_TMAP2IN)-(c_TMAP1IN)),2)),((c_TMAP2IN)-(c_TMAP1IN)))+(c_TMAP1OUT)+IF(((c_TMAP2OUT)-(c_TMAP1OUT))&gt;=0,IF(IF(o_WRAP=1,MOD(((c_TMAP2IN)-(c_TMAP1IN))*(((K352)-(c_TMAP1IN))*((c_TMAP2OUT)-(c_TMAP1OUT))+IF(((c_TMAP2OUT)-(c_TMAP1OUT))&gt;=0,1,-1)*QUOTIENT(((c_TMAP2IN)-(c_TMAP1IN)),2))+2147483648,4294967296)-2147483648,((c_TMAP2IN)-(c_TMAP1IN))*(((K352)-(c_TMAP1IN))*((c_TMAP2OUT)-(c_TMAP1OUT))+IF(((c_TMAP2OUT)-(c_TMAP1OUT))&gt;=0,1,-1)*QUOTIENT(((c_TMAP2IN)-(c_TMAP1IN)),2)))&lt;0,-1,0),IF(IF(o_WRAP=1,MOD(((c_TMAP2IN)-(c_TMAP1IN))*(((K352)-(c_TMAP1IN))*((c_TMAP2OUT)-(c_TMAP1OUT))+IF(((c_TMAP2OUT)-(c_TMAP1OUT))&gt;=0,1,-1)*QUOTIENT(((c_TMAP2IN)-(c_TMAP1IN)),2))+2147483648,4294967296)-2147483648,((c_TMAP2IN)-(c_TMAP1IN))*(((K352)-(c_TMAP1IN))*((c_TMAP2OUT)-(c_TMAP1OUT))+IF(((c_TMAP2OUT)-(c_TMAP1OUT))&gt;=0,1,-1)*QUOTIENT(((c_TMAP2IN)-(c_TMAP1IN)),2)))&gt;=0,1,0)))</f>
        <v>430</v>
      </c>
      <c r="O352" s="7" t="n">
        <f aca="false">IF(((c_TMAP3IN)-(c_TMAP2IN))=0,(c_TMAP2OUT)+QUOTIENT(((c_TMAP3OUT)-(c_TMAP2OUT)),2),QUOTIENT((((K352)-(c_TMAP2IN))*((c_TMAP3OUT)-(c_TMAP2OUT))+IF(((c_TMAP3OUT)-(c_TMAP2OUT))&gt;=0,1,-1)*QUOTIENT(((c_TMAP3IN)-(c_TMAP2IN)),2)),((c_TMAP3IN)-(c_TMAP2IN)))+(c_TMAP2OUT)+IF(((c_TMAP3OUT)-(c_TMAP2OUT))&gt;=0,IF(IF(o_WRAP=1,MOD(((c_TMAP3IN)-(c_TMAP2IN))*(((K352)-(c_TMAP2IN))*((c_TMAP3OUT)-(c_TMAP2OUT))+IF(((c_TMAP3OUT)-(c_TMAP2OUT))&gt;=0,1,-1)*QUOTIENT(((c_TMAP3IN)-(c_TMAP2IN)),2))+2147483648,4294967296)-2147483648,((c_TMAP3IN)-(c_TMAP2IN))*(((K352)-(c_TMAP2IN))*((c_TMAP3OUT)-(c_TMAP2OUT))+IF(((c_TMAP3OUT)-(c_TMAP2OUT))&gt;=0,1,-1)*QUOTIENT(((c_TMAP3IN)-(c_TMAP2IN)),2)))&lt;0,-1,0),IF(IF(o_WRAP=1,MOD(((c_TMAP3IN)-(c_TMAP2IN))*(((K352)-(c_TMAP2IN))*((c_TMAP3OUT)-(c_TMAP2OUT))+IF(((c_TMAP3OUT)-(c_TMAP2OUT))&gt;=0,1,-1)*QUOTIENT(((c_TMAP3IN)-(c_TMAP2IN)),2))+2147483648,4294967296)-2147483648,((c_TMAP3IN)-(c_TMAP2IN))*(((K352)-(c_TMAP2IN))*((c_TMAP3OUT)-(c_TMAP2OUT))+IF(((c_TMAP3OUT)-(c_TMAP2OUT))&gt;=0,1,-1)*QUOTIENT(((c_TMAP3IN)-(c_TMAP2IN)),2)))&gt;=0,1,0)))</f>
        <v>655</v>
      </c>
      <c r="P352" s="7" t="n">
        <f aca="false">IF(((1000)-(c_TMAP3IN))=0,(c_TMAP3OUT)+QUOTIENT(((1000)-(c_TMAP3OUT)),2),QUOTIENT((((K352)-(c_TMAP3IN))*((1000)-(c_TMAP3OUT))+IF(((1000)-(c_TMAP3OUT))&gt;=0,1,-1)*QUOTIENT(((1000)-(c_TMAP3IN)),2)),((1000)-(c_TMAP3IN)))+(c_TMAP3OUT)+IF(((1000)-(c_TMAP3OUT))&gt;=0,IF(IF(o_WRAP=1,MOD(((1000)-(c_TMAP3IN))*(((K352)-(c_TMAP3IN))*((1000)-(c_TMAP3OUT))+IF(((1000)-(c_TMAP3OUT))&gt;=0,1,-1)*QUOTIENT(((1000)-(c_TMAP3IN)),2))+2147483648,4294967296)-2147483648,((1000)-(c_TMAP3IN))*(((K352)-(c_TMAP3IN))*((1000)-(c_TMAP3OUT))+IF(((1000)-(c_TMAP3OUT))&gt;=0,1,-1)*QUOTIENT(((1000)-(c_TMAP3IN)),2)))&lt;0,-1,0),IF(IF(o_WRAP=1,MOD(((1000)-(c_TMAP3IN))*(((K352)-(c_TMAP3IN))*((1000)-(c_TMAP3OUT))+IF(((1000)-(c_TMAP3OUT))&gt;=0,1,-1)*QUOTIENT(((1000)-(c_TMAP3IN)),2))+2147483648,4294967296)-2147483648,((1000)-(c_TMAP3IN))*(((K352)-(c_TMAP3IN))*((1000)-(c_TMAP3OUT))+IF(((1000)-(c_TMAP3OUT))&gt;=0,1,-1)*QUOTIENT(((1000)-(c_TMAP3IN)),2)))&gt;=0,1,0)))</f>
        <v>1000</v>
      </c>
      <c r="Q352" s="7" t="str">
        <f aca="false">IF(K352&gt;=c_TFWD,IF(AND(K352&gt;=c_TMAP3IN,c_TMAP3IN&lt;1000),"Seg4 map3-100%",IF(AND(K352&gt;=c_TMAP2IN,c_TMAP3IN&gt;c_TMAP2IN),"Seg3 map2-map3",IF(AND(K352&gt;=c_TMAP1IN,c_TMAP2IN&gt;c_TMAP1IN),"Seg2 map1-map2","Seg1 TFWD-map1"))),IF(AND(K352=0,c_TCREEP&gt;0),"Creep",IF(AND(K352&lt;=c_TRNGMIN,K352&gt;=c_TRNGMAX,c_TRNGMIN-c_TRNGMAX&lt;&gt;0),"Regen ramp","Coast (0)")))</f>
        <v>Seg4 map3-100%</v>
      </c>
      <c r="R352" s="7" t="n">
        <f aca="false">IF(K352&gt;=c_TFWD,IF(AND(K352&gt;=c_TMAP3IN,c_TMAP3IN&lt;1000),P352,IF(AND(K352&gt;=c_TMAP2IN,c_TMAP3IN&gt;c_TMAP2IN),O352,IF(AND(K352&gt;=c_TMAP1IN,c_TMAP2IN&gt;c_TMAP1IN),N352,M352))),L352)</f>
        <v>1000</v>
      </c>
      <c r="S352" s="7" t="str">
        <f aca="false">IF(R352&lt;-1090,"TOO LOW",IF(R352&gt;1090,"TOO HIGH",""))</f>
        <v/>
      </c>
      <c r="T352" s="15" t="n">
        <f aca="false">IF(H352&lt;&gt;"OK",0,IF(S352&lt;&gt;"",0,IF(R352&gt;979,1000,R352)))</f>
        <v>1000</v>
      </c>
      <c r="U352" s="7" t="n">
        <f aca="false">T352/10</f>
        <v>100</v>
      </c>
    </row>
    <row r="353" customFormat="false" ht="15" hidden="false" customHeight="false" outlineLevel="0" collapsed="false">
      <c r="A353" s="7" t="n">
        <v>348</v>
      </c>
      <c r="B353" s="7" t="n">
        <f aca="false">ROUND(o_SWSTART+A353*(o_SWEND-o_SWSTART)/400,0)</f>
        <v>3563</v>
      </c>
      <c r="C353" s="7" t="n">
        <f aca="false">QUOTIENT((B353-c_OFF1)*c_GAIN1,1024)</f>
        <v>3563</v>
      </c>
      <c r="D353" s="7" t="n">
        <f aca="false">IF(((c_T1MX)-(c_T1MN))=0,(0)+QUOTIENT(((1000)-(0)),2),QUOTIENT((((C353)-(c_T1MN))*((1000)-(0))+IF(((1000)-(0))&gt;=0,1,-1)*QUOTIENT(((c_T1MX)-(c_T1MN)),2)),((c_T1MX)-(c_T1MN)))+(0)+IF(((1000)-(0))&gt;=0,IF(IF(o_WRAP=1,MOD(((c_T1MX)-(c_T1MN))*(((C353)-(c_T1MN))*((1000)-(0))+IF(((1000)-(0))&gt;=0,1,-1)*QUOTIENT(((c_T1MX)-(c_T1MN)),2))+2147483648,4294967296)-2147483648,((c_T1MX)-(c_T1MN))*(((C353)-(c_T1MN))*((1000)-(0))+IF(((1000)-(0))&gt;=0,1,-1)*QUOTIENT(((c_T1MX)-(c_T1MN)),2)))&lt;0,-1,0),IF(IF(o_WRAP=1,MOD(((c_T1MX)-(c_T1MN))*(((C353)-(c_T1MN))*((1000)-(0))+IF(((1000)-(0))&gt;=0,1,-1)*QUOTIENT(((c_T1MX)-(c_T1MN)),2))+2147483648,4294967296)-2147483648,((c_T1MX)-(c_T1MN))*(((C353)-(c_T1MN))*((1000)-(0))+IF(((1000)-(0))&gt;=0,1,-1)*QUOTIENT(((c_T1MX)-(c_T1MN)),2)))&gt;=0,1,0)))</f>
        <v>1030</v>
      </c>
      <c r="E353" s="7" t="n">
        <f aca="false">IF(AND(c_TPOT=1,c_TTYPE=2),1000-D353,D353)</f>
        <v>1030</v>
      </c>
      <c r="F353" s="7" t="str">
        <f aca="false">IF(c_TPOT&gt;1,ROUND(IF(c_TTYPE=2,c_T2MX-IF(c_T1MX=c_T1MN,0,(C353-c_T1MN)/(c_T1MX-c_T1MN))*(c_T2MX-c_T2MN),c_T2MN+IF(c_T1MX=c_T1MN,0,(C353-c_T1MN)/(c_T1MX-c_T1MN))*(c_T2MX-c_T2MN))+o_MISMATCH,0),"")</f>
        <v/>
      </c>
      <c r="G353" s="7" t="str">
        <f aca="false">IF(c_TPOT&gt;1,IF(((c_T2MX)-(c_T2MN))=0,(0)+QUOTIENT(((1000)-(0)),2),QUOTIENT((((F353)-(c_T2MN))*((1000)-(0))+IF(((1000)-(0))&gt;=0,1,-1)*QUOTIENT(((c_T2MX)-(c_T2MN)),2)),((c_T2MX)-(c_T2MN)))+(0)+IF(((1000)-(0))&gt;=0,IF(IF(o_WRAP=1,MOD(((c_T2MX)-(c_T2MN))*(((F353)-(c_T2MN))*((1000)-(0))+IF(((1000)-(0))&gt;=0,1,-1)*QUOTIENT(((c_T2MX)-(c_T2MN)),2))+2147483648,4294967296)-2147483648,((c_T2MX)-(c_T2MN))*(((F353)-(c_T2MN))*((1000)-(0))+IF(((1000)-(0))&gt;=0,1,-1)*QUOTIENT(((c_T2MX)-(c_T2MN)),2)))&lt;0,-1,0),IF(IF(o_WRAP=1,MOD(((c_T2MX)-(c_T2MN))*(((F353)-(c_T2MN))*((1000)-(0))+IF(((1000)-(0))&gt;=0,1,-1)*QUOTIENT(((c_T2MX)-(c_T2MN)),2))+2147483648,4294967296)-2147483648,((c_T2MX)-(c_T2MN))*(((F353)-(c_T2MN))*((1000)-(0))+IF(((1000)-(0))&gt;=0,1,-1)*QUOTIENT(((c_T2MX)-(c_T2MN)),2)))&gt;=0,1,0))),"")</f>
        <v/>
      </c>
      <c r="H353" s="7" t="str">
        <f aca="false">IF(E353&gt;1000+k_TOL,"T1 HIGH",IF(E353&lt;0-k_TOL,"T1 LOW",IF(c_TPOT&gt;1,IF(G353&gt;1000+k_TOL,"T2 HIGH",IF(G353&lt;0-k_TOL,"T2 LOW",IF(c_TTYPE=2,IF(ABS(1000-MAX(0,MIN(1000,E353))-MAX(0,MIN(1000,G353)))&gt;k_MAXERR,"MISMATCH","OK"),IF(OR(MAX(0,MIN(1000,E353))-k_MAXERR&gt;MAX(0,MIN(1000,G353)),MAX(0,MIN(1000,G353))-k_MAXERR&gt;MAX(0,MIN(1000,E353))),"MISMATCH","OK")))),"OK")))</f>
        <v>OK</v>
      </c>
      <c r="I353" s="7" t="n">
        <f aca="false">MAX(0,MIN(1000,D353))</f>
        <v>1000</v>
      </c>
      <c r="J353" s="7" t="str">
        <f aca="false">IF(c_TPOT&gt;1,IF(c_TTYPE=2,1000-MAX(0,MIN(1000,G353)),MAX(0,MIN(1000,G353))),"")</f>
        <v/>
      </c>
      <c r="K353" s="7" t="n">
        <f aca="false">IF(c_TPOT&gt;1,QUOTIENT(I353+J353,2),I353)</f>
        <v>1000</v>
      </c>
      <c r="L353" s="7" t="n">
        <f aca="false">IF(AND(K353=0,c_TCREEP&gt;0),10*c_TCREEP,IF(AND(K353&lt;=c_TRNGMIN,K353&gt;=c_TRNGMAX,c_TRNGMIN-c_TRNGMAX&lt;&gt;0),-10*c_TMINRN+QUOTIENT((c_TMAXRN-c_TMINRN)*(100-QUOTIENT((K353-c_TRNGMAX)*100,c_TRNGMIN-c_TRNGMAX)),-10),0))</f>
        <v>0</v>
      </c>
      <c r="M353" s="7" t="n">
        <f aca="false">IF(((c_TMAP1IN)-(c_TFWD))=0,(0)+QUOTIENT(((c_TMAP1OUT)-(0)),2),QUOTIENT((((K353)-(c_TFWD))*((c_TMAP1OUT)-(0))+IF(((c_TMAP1OUT)-(0))&gt;=0,1,-1)*QUOTIENT(((c_TMAP1IN)-(c_TFWD)),2)),((c_TMAP1IN)-(c_TFWD)))+(0)+IF(((c_TMAP1OUT)-(0))&gt;=0,IF(IF(o_WRAP=1,MOD(((c_TMAP1IN)-(c_TFWD))*(((K353)-(c_TFWD))*((c_TMAP1OUT)-(0))+IF(((c_TMAP1OUT)-(0))&gt;=0,1,-1)*QUOTIENT(((c_TMAP1IN)-(c_TFWD)),2))+2147483648,4294967296)-2147483648,((c_TMAP1IN)-(c_TFWD))*(((K353)-(c_TFWD))*((c_TMAP1OUT)-(0))+IF(((c_TMAP1OUT)-(0))&gt;=0,1,-1)*QUOTIENT(((c_TMAP1IN)-(c_TFWD)),2)))&lt;0,-1,0),IF(IF(o_WRAP=1,MOD(((c_TMAP1IN)-(c_TFWD))*(((K353)-(c_TFWD))*((c_TMAP1OUT)-(0))+IF(((c_TMAP1OUT)-(0))&gt;=0,1,-1)*QUOTIENT(((c_TMAP1IN)-(c_TFWD)),2))+2147483648,4294967296)-2147483648,((c_TMAP1IN)-(c_TFWD))*(((K353)-(c_TFWD))*((c_TMAP1OUT)-(0))+IF(((c_TMAP1OUT)-(0))&gt;=0,1,-1)*QUOTIENT(((c_TMAP1IN)-(c_TFWD)),2)))&gt;=0,1,0)))</f>
        <v>770</v>
      </c>
      <c r="N353" s="7" t="n">
        <f aca="false">IF(((c_TMAP2IN)-(c_TMAP1IN))=0,(c_TMAP1OUT)+QUOTIENT(((c_TMAP2OUT)-(c_TMAP1OUT)),2),QUOTIENT((((K353)-(c_TMAP1IN))*((c_TMAP2OUT)-(c_TMAP1OUT))+IF(((c_TMAP2OUT)-(c_TMAP1OUT))&gt;=0,1,-1)*QUOTIENT(((c_TMAP2IN)-(c_TMAP1IN)),2)),((c_TMAP2IN)-(c_TMAP1IN)))+(c_TMAP1OUT)+IF(((c_TMAP2OUT)-(c_TMAP1OUT))&gt;=0,IF(IF(o_WRAP=1,MOD(((c_TMAP2IN)-(c_TMAP1IN))*(((K353)-(c_TMAP1IN))*((c_TMAP2OUT)-(c_TMAP1OUT))+IF(((c_TMAP2OUT)-(c_TMAP1OUT))&gt;=0,1,-1)*QUOTIENT(((c_TMAP2IN)-(c_TMAP1IN)),2))+2147483648,4294967296)-2147483648,((c_TMAP2IN)-(c_TMAP1IN))*(((K353)-(c_TMAP1IN))*((c_TMAP2OUT)-(c_TMAP1OUT))+IF(((c_TMAP2OUT)-(c_TMAP1OUT))&gt;=0,1,-1)*QUOTIENT(((c_TMAP2IN)-(c_TMAP1IN)),2)))&lt;0,-1,0),IF(IF(o_WRAP=1,MOD(((c_TMAP2IN)-(c_TMAP1IN))*(((K353)-(c_TMAP1IN))*((c_TMAP2OUT)-(c_TMAP1OUT))+IF(((c_TMAP2OUT)-(c_TMAP1OUT))&gt;=0,1,-1)*QUOTIENT(((c_TMAP2IN)-(c_TMAP1IN)),2))+2147483648,4294967296)-2147483648,((c_TMAP2IN)-(c_TMAP1IN))*(((K353)-(c_TMAP1IN))*((c_TMAP2OUT)-(c_TMAP1OUT))+IF(((c_TMAP2OUT)-(c_TMAP1OUT))&gt;=0,1,-1)*QUOTIENT(((c_TMAP2IN)-(c_TMAP1IN)),2)))&gt;=0,1,0)))</f>
        <v>430</v>
      </c>
      <c r="O353" s="7" t="n">
        <f aca="false">IF(((c_TMAP3IN)-(c_TMAP2IN))=0,(c_TMAP2OUT)+QUOTIENT(((c_TMAP3OUT)-(c_TMAP2OUT)),2),QUOTIENT((((K353)-(c_TMAP2IN))*((c_TMAP3OUT)-(c_TMAP2OUT))+IF(((c_TMAP3OUT)-(c_TMAP2OUT))&gt;=0,1,-1)*QUOTIENT(((c_TMAP3IN)-(c_TMAP2IN)),2)),((c_TMAP3IN)-(c_TMAP2IN)))+(c_TMAP2OUT)+IF(((c_TMAP3OUT)-(c_TMAP2OUT))&gt;=0,IF(IF(o_WRAP=1,MOD(((c_TMAP3IN)-(c_TMAP2IN))*(((K353)-(c_TMAP2IN))*((c_TMAP3OUT)-(c_TMAP2OUT))+IF(((c_TMAP3OUT)-(c_TMAP2OUT))&gt;=0,1,-1)*QUOTIENT(((c_TMAP3IN)-(c_TMAP2IN)),2))+2147483648,4294967296)-2147483648,((c_TMAP3IN)-(c_TMAP2IN))*(((K353)-(c_TMAP2IN))*((c_TMAP3OUT)-(c_TMAP2OUT))+IF(((c_TMAP3OUT)-(c_TMAP2OUT))&gt;=0,1,-1)*QUOTIENT(((c_TMAP3IN)-(c_TMAP2IN)),2)))&lt;0,-1,0),IF(IF(o_WRAP=1,MOD(((c_TMAP3IN)-(c_TMAP2IN))*(((K353)-(c_TMAP2IN))*((c_TMAP3OUT)-(c_TMAP2OUT))+IF(((c_TMAP3OUT)-(c_TMAP2OUT))&gt;=0,1,-1)*QUOTIENT(((c_TMAP3IN)-(c_TMAP2IN)),2))+2147483648,4294967296)-2147483648,((c_TMAP3IN)-(c_TMAP2IN))*(((K353)-(c_TMAP2IN))*((c_TMAP3OUT)-(c_TMAP2OUT))+IF(((c_TMAP3OUT)-(c_TMAP2OUT))&gt;=0,1,-1)*QUOTIENT(((c_TMAP3IN)-(c_TMAP2IN)),2)))&gt;=0,1,0)))</f>
        <v>655</v>
      </c>
      <c r="P353" s="7" t="n">
        <f aca="false">IF(((1000)-(c_TMAP3IN))=0,(c_TMAP3OUT)+QUOTIENT(((1000)-(c_TMAP3OUT)),2),QUOTIENT((((K353)-(c_TMAP3IN))*((1000)-(c_TMAP3OUT))+IF(((1000)-(c_TMAP3OUT))&gt;=0,1,-1)*QUOTIENT(((1000)-(c_TMAP3IN)),2)),((1000)-(c_TMAP3IN)))+(c_TMAP3OUT)+IF(((1000)-(c_TMAP3OUT))&gt;=0,IF(IF(o_WRAP=1,MOD(((1000)-(c_TMAP3IN))*(((K353)-(c_TMAP3IN))*((1000)-(c_TMAP3OUT))+IF(((1000)-(c_TMAP3OUT))&gt;=0,1,-1)*QUOTIENT(((1000)-(c_TMAP3IN)),2))+2147483648,4294967296)-2147483648,((1000)-(c_TMAP3IN))*(((K353)-(c_TMAP3IN))*((1000)-(c_TMAP3OUT))+IF(((1000)-(c_TMAP3OUT))&gt;=0,1,-1)*QUOTIENT(((1000)-(c_TMAP3IN)),2)))&lt;0,-1,0),IF(IF(o_WRAP=1,MOD(((1000)-(c_TMAP3IN))*(((K353)-(c_TMAP3IN))*((1000)-(c_TMAP3OUT))+IF(((1000)-(c_TMAP3OUT))&gt;=0,1,-1)*QUOTIENT(((1000)-(c_TMAP3IN)),2))+2147483648,4294967296)-2147483648,((1000)-(c_TMAP3IN))*(((K353)-(c_TMAP3IN))*((1000)-(c_TMAP3OUT))+IF(((1000)-(c_TMAP3OUT))&gt;=0,1,-1)*QUOTIENT(((1000)-(c_TMAP3IN)),2)))&gt;=0,1,0)))</f>
        <v>1000</v>
      </c>
      <c r="Q353" s="7" t="str">
        <f aca="false">IF(K353&gt;=c_TFWD,IF(AND(K353&gt;=c_TMAP3IN,c_TMAP3IN&lt;1000),"Seg4 map3-100%",IF(AND(K353&gt;=c_TMAP2IN,c_TMAP3IN&gt;c_TMAP2IN),"Seg3 map2-map3",IF(AND(K353&gt;=c_TMAP1IN,c_TMAP2IN&gt;c_TMAP1IN),"Seg2 map1-map2","Seg1 TFWD-map1"))),IF(AND(K353=0,c_TCREEP&gt;0),"Creep",IF(AND(K353&lt;=c_TRNGMIN,K353&gt;=c_TRNGMAX,c_TRNGMIN-c_TRNGMAX&lt;&gt;0),"Regen ramp","Coast (0)")))</f>
        <v>Seg4 map3-100%</v>
      </c>
      <c r="R353" s="7" t="n">
        <f aca="false">IF(K353&gt;=c_TFWD,IF(AND(K353&gt;=c_TMAP3IN,c_TMAP3IN&lt;1000),P353,IF(AND(K353&gt;=c_TMAP2IN,c_TMAP3IN&gt;c_TMAP2IN),O353,IF(AND(K353&gt;=c_TMAP1IN,c_TMAP2IN&gt;c_TMAP1IN),N353,M353))),L353)</f>
        <v>1000</v>
      </c>
      <c r="S353" s="7" t="str">
        <f aca="false">IF(R353&lt;-1090,"TOO LOW",IF(R353&gt;1090,"TOO HIGH",""))</f>
        <v/>
      </c>
      <c r="T353" s="15" t="n">
        <f aca="false">IF(H353&lt;&gt;"OK",0,IF(S353&lt;&gt;"",0,IF(R353&gt;979,1000,R353)))</f>
        <v>1000</v>
      </c>
      <c r="U353" s="7" t="n">
        <f aca="false">T353/10</f>
        <v>100</v>
      </c>
    </row>
    <row r="354" customFormat="false" ht="15" hidden="false" customHeight="false" outlineLevel="0" collapsed="false">
      <c r="A354" s="7" t="n">
        <v>349</v>
      </c>
      <c r="B354" s="7" t="n">
        <f aca="false">ROUND(o_SWSTART+A354*(o_SWEND-o_SWSTART)/400,0)</f>
        <v>3573</v>
      </c>
      <c r="C354" s="7" t="n">
        <f aca="false">QUOTIENT((B354-c_OFF1)*c_GAIN1,1024)</f>
        <v>3573</v>
      </c>
      <c r="D354" s="7" t="n">
        <f aca="false">IF(((c_T1MX)-(c_T1MN))=0,(0)+QUOTIENT(((1000)-(0)),2),QUOTIENT((((C354)-(c_T1MN))*((1000)-(0))+IF(((1000)-(0))&gt;=0,1,-1)*QUOTIENT(((c_T1MX)-(c_T1MN)),2)),((c_T1MX)-(c_T1MN)))+(0)+IF(((1000)-(0))&gt;=0,IF(IF(o_WRAP=1,MOD(((c_T1MX)-(c_T1MN))*(((C354)-(c_T1MN))*((1000)-(0))+IF(((1000)-(0))&gt;=0,1,-1)*QUOTIENT(((c_T1MX)-(c_T1MN)),2))+2147483648,4294967296)-2147483648,((c_T1MX)-(c_T1MN))*(((C354)-(c_T1MN))*((1000)-(0))+IF(((1000)-(0))&gt;=0,1,-1)*QUOTIENT(((c_T1MX)-(c_T1MN)),2)))&lt;0,-1,0),IF(IF(o_WRAP=1,MOD(((c_T1MX)-(c_T1MN))*(((C354)-(c_T1MN))*((1000)-(0))+IF(((1000)-(0))&gt;=0,1,-1)*QUOTIENT(((c_T1MX)-(c_T1MN)),2))+2147483648,4294967296)-2147483648,((c_T1MX)-(c_T1MN))*(((C354)-(c_T1MN))*((1000)-(0))+IF(((1000)-(0))&gt;=0,1,-1)*QUOTIENT(((c_T1MX)-(c_T1MN)),2)))&gt;=0,1,0)))</f>
        <v>1033</v>
      </c>
      <c r="E354" s="7" t="n">
        <f aca="false">IF(AND(c_TPOT=1,c_TTYPE=2),1000-D354,D354)</f>
        <v>1033</v>
      </c>
      <c r="F354" s="7" t="str">
        <f aca="false">IF(c_TPOT&gt;1,ROUND(IF(c_TTYPE=2,c_T2MX-IF(c_T1MX=c_T1MN,0,(C354-c_T1MN)/(c_T1MX-c_T1MN))*(c_T2MX-c_T2MN),c_T2MN+IF(c_T1MX=c_T1MN,0,(C354-c_T1MN)/(c_T1MX-c_T1MN))*(c_T2MX-c_T2MN))+o_MISMATCH,0),"")</f>
        <v/>
      </c>
      <c r="G354" s="7" t="str">
        <f aca="false">IF(c_TPOT&gt;1,IF(((c_T2MX)-(c_T2MN))=0,(0)+QUOTIENT(((1000)-(0)),2),QUOTIENT((((F354)-(c_T2MN))*((1000)-(0))+IF(((1000)-(0))&gt;=0,1,-1)*QUOTIENT(((c_T2MX)-(c_T2MN)),2)),((c_T2MX)-(c_T2MN)))+(0)+IF(((1000)-(0))&gt;=0,IF(IF(o_WRAP=1,MOD(((c_T2MX)-(c_T2MN))*(((F354)-(c_T2MN))*((1000)-(0))+IF(((1000)-(0))&gt;=0,1,-1)*QUOTIENT(((c_T2MX)-(c_T2MN)),2))+2147483648,4294967296)-2147483648,((c_T2MX)-(c_T2MN))*(((F354)-(c_T2MN))*((1000)-(0))+IF(((1000)-(0))&gt;=0,1,-1)*QUOTIENT(((c_T2MX)-(c_T2MN)),2)))&lt;0,-1,0),IF(IF(o_WRAP=1,MOD(((c_T2MX)-(c_T2MN))*(((F354)-(c_T2MN))*((1000)-(0))+IF(((1000)-(0))&gt;=0,1,-1)*QUOTIENT(((c_T2MX)-(c_T2MN)),2))+2147483648,4294967296)-2147483648,((c_T2MX)-(c_T2MN))*(((F354)-(c_T2MN))*((1000)-(0))+IF(((1000)-(0))&gt;=0,1,-1)*QUOTIENT(((c_T2MX)-(c_T2MN)),2)))&gt;=0,1,0))),"")</f>
        <v/>
      </c>
      <c r="H354" s="7" t="str">
        <f aca="false">IF(E354&gt;1000+k_TOL,"T1 HIGH",IF(E354&lt;0-k_TOL,"T1 LOW",IF(c_TPOT&gt;1,IF(G354&gt;1000+k_TOL,"T2 HIGH",IF(G354&lt;0-k_TOL,"T2 LOW",IF(c_TTYPE=2,IF(ABS(1000-MAX(0,MIN(1000,E354))-MAX(0,MIN(1000,G354)))&gt;k_MAXERR,"MISMATCH","OK"),IF(OR(MAX(0,MIN(1000,E354))-k_MAXERR&gt;MAX(0,MIN(1000,G354)),MAX(0,MIN(1000,G354))-k_MAXERR&gt;MAX(0,MIN(1000,E354))),"MISMATCH","OK")))),"OK")))</f>
        <v>OK</v>
      </c>
      <c r="I354" s="7" t="n">
        <f aca="false">MAX(0,MIN(1000,D354))</f>
        <v>1000</v>
      </c>
      <c r="J354" s="7" t="str">
        <f aca="false">IF(c_TPOT&gt;1,IF(c_TTYPE=2,1000-MAX(0,MIN(1000,G354)),MAX(0,MIN(1000,G354))),"")</f>
        <v/>
      </c>
      <c r="K354" s="7" t="n">
        <f aca="false">IF(c_TPOT&gt;1,QUOTIENT(I354+J354,2),I354)</f>
        <v>1000</v>
      </c>
      <c r="L354" s="7" t="n">
        <f aca="false">IF(AND(K354=0,c_TCREEP&gt;0),10*c_TCREEP,IF(AND(K354&lt;=c_TRNGMIN,K354&gt;=c_TRNGMAX,c_TRNGMIN-c_TRNGMAX&lt;&gt;0),-10*c_TMINRN+QUOTIENT((c_TMAXRN-c_TMINRN)*(100-QUOTIENT((K354-c_TRNGMAX)*100,c_TRNGMIN-c_TRNGMAX)),-10),0))</f>
        <v>0</v>
      </c>
      <c r="M354" s="7" t="n">
        <f aca="false">IF(((c_TMAP1IN)-(c_TFWD))=0,(0)+QUOTIENT(((c_TMAP1OUT)-(0)),2),QUOTIENT((((K354)-(c_TFWD))*((c_TMAP1OUT)-(0))+IF(((c_TMAP1OUT)-(0))&gt;=0,1,-1)*QUOTIENT(((c_TMAP1IN)-(c_TFWD)),2)),((c_TMAP1IN)-(c_TFWD)))+(0)+IF(((c_TMAP1OUT)-(0))&gt;=0,IF(IF(o_WRAP=1,MOD(((c_TMAP1IN)-(c_TFWD))*(((K354)-(c_TFWD))*((c_TMAP1OUT)-(0))+IF(((c_TMAP1OUT)-(0))&gt;=0,1,-1)*QUOTIENT(((c_TMAP1IN)-(c_TFWD)),2))+2147483648,4294967296)-2147483648,((c_TMAP1IN)-(c_TFWD))*(((K354)-(c_TFWD))*((c_TMAP1OUT)-(0))+IF(((c_TMAP1OUT)-(0))&gt;=0,1,-1)*QUOTIENT(((c_TMAP1IN)-(c_TFWD)),2)))&lt;0,-1,0),IF(IF(o_WRAP=1,MOD(((c_TMAP1IN)-(c_TFWD))*(((K354)-(c_TFWD))*((c_TMAP1OUT)-(0))+IF(((c_TMAP1OUT)-(0))&gt;=0,1,-1)*QUOTIENT(((c_TMAP1IN)-(c_TFWD)),2))+2147483648,4294967296)-2147483648,((c_TMAP1IN)-(c_TFWD))*(((K354)-(c_TFWD))*((c_TMAP1OUT)-(0))+IF(((c_TMAP1OUT)-(0))&gt;=0,1,-1)*QUOTIENT(((c_TMAP1IN)-(c_TFWD)),2)))&gt;=0,1,0)))</f>
        <v>770</v>
      </c>
      <c r="N354" s="7" t="n">
        <f aca="false">IF(((c_TMAP2IN)-(c_TMAP1IN))=0,(c_TMAP1OUT)+QUOTIENT(((c_TMAP2OUT)-(c_TMAP1OUT)),2),QUOTIENT((((K354)-(c_TMAP1IN))*((c_TMAP2OUT)-(c_TMAP1OUT))+IF(((c_TMAP2OUT)-(c_TMAP1OUT))&gt;=0,1,-1)*QUOTIENT(((c_TMAP2IN)-(c_TMAP1IN)),2)),((c_TMAP2IN)-(c_TMAP1IN)))+(c_TMAP1OUT)+IF(((c_TMAP2OUT)-(c_TMAP1OUT))&gt;=0,IF(IF(o_WRAP=1,MOD(((c_TMAP2IN)-(c_TMAP1IN))*(((K354)-(c_TMAP1IN))*((c_TMAP2OUT)-(c_TMAP1OUT))+IF(((c_TMAP2OUT)-(c_TMAP1OUT))&gt;=0,1,-1)*QUOTIENT(((c_TMAP2IN)-(c_TMAP1IN)),2))+2147483648,4294967296)-2147483648,((c_TMAP2IN)-(c_TMAP1IN))*(((K354)-(c_TMAP1IN))*((c_TMAP2OUT)-(c_TMAP1OUT))+IF(((c_TMAP2OUT)-(c_TMAP1OUT))&gt;=0,1,-1)*QUOTIENT(((c_TMAP2IN)-(c_TMAP1IN)),2)))&lt;0,-1,0),IF(IF(o_WRAP=1,MOD(((c_TMAP2IN)-(c_TMAP1IN))*(((K354)-(c_TMAP1IN))*((c_TMAP2OUT)-(c_TMAP1OUT))+IF(((c_TMAP2OUT)-(c_TMAP1OUT))&gt;=0,1,-1)*QUOTIENT(((c_TMAP2IN)-(c_TMAP1IN)),2))+2147483648,4294967296)-2147483648,((c_TMAP2IN)-(c_TMAP1IN))*(((K354)-(c_TMAP1IN))*((c_TMAP2OUT)-(c_TMAP1OUT))+IF(((c_TMAP2OUT)-(c_TMAP1OUT))&gt;=0,1,-1)*QUOTIENT(((c_TMAP2IN)-(c_TMAP1IN)),2)))&gt;=0,1,0)))</f>
        <v>430</v>
      </c>
      <c r="O354" s="7" t="n">
        <f aca="false">IF(((c_TMAP3IN)-(c_TMAP2IN))=0,(c_TMAP2OUT)+QUOTIENT(((c_TMAP3OUT)-(c_TMAP2OUT)),2),QUOTIENT((((K354)-(c_TMAP2IN))*((c_TMAP3OUT)-(c_TMAP2OUT))+IF(((c_TMAP3OUT)-(c_TMAP2OUT))&gt;=0,1,-1)*QUOTIENT(((c_TMAP3IN)-(c_TMAP2IN)),2)),((c_TMAP3IN)-(c_TMAP2IN)))+(c_TMAP2OUT)+IF(((c_TMAP3OUT)-(c_TMAP2OUT))&gt;=0,IF(IF(o_WRAP=1,MOD(((c_TMAP3IN)-(c_TMAP2IN))*(((K354)-(c_TMAP2IN))*((c_TMAP3OUT)-(c_TMAP2OUT))+IF(((c_TMAP3OUT)-(c_TMAP2OUT))&gt;=0,1,-1)*QUOTIENT(((c_TMAP3IN)-(c_TMAP2IN)),2))+2147483648,4294967296)-2147483648,((c_TMAP3IN)-(c_TMAP2IN))*(((K354)-(c_TMAP2IN))*((c_TMAP3OUT)-(c_TMAP2OUT))+IF(((c_TMAP3OUT)-(c_TMAP2OUT))&gt;=0,1,-1)*QUOTIENT(((c_TMAP3IN)-(c_TMAP2IN)),2)))&lt;0,-1,0),IF(IF(o_WRAP=1,MOD(((c_TMAP3IN)-(c_TMAP2IN))*(((K354)-(c_TMAP2IN))*((c_TMAP3OUT)-(c_TMAP2OUT))+IF(((c_TMAP3OUT)-(c_TMAP2OUT))&gt;=0,1,-1)*QUOTIENT(((c_TMAP3IN)-(c_TMAP2IN)),2))+2147483648,4294967296)-2147483648,((c_TMAP3IN)-(c_TMAP2IN))*(((K354)-(c_TMAP2IN))*((c_TMAP3OUT)-(c_TMAP2OUT))+IF(((c_TMAP3OUT)-(c_TMAP2OUT))&gt;=0,1,-1)*QUOTIENT(((c_TMAP3IN)-(c_TMAP2IN)),2)))&gt;=0,1,0)))</f>
        <v>655</v>
      </c>
      <c r="P354" s="7" t="n">
        <f aca="false">IF(((1000)-(c_TMAP3IN))=0,(c_TMAP3OUT)+QUOTIENT(((1000)-(c_TMAP3OUT)),2),QUOTIENT((((K354)-(c_TMAP3IN))*((1000)-(c_TMAP3OUT))+IF(((1000)-(c_TMAP3OUT))&gt;=0,1,-1)*QUOTIENT(((1000)-(c_TMAP3IN)),2)),((1000)-(c_TMAP3IN)))+(c_TMAP3OUT)+IF(((1000)-(c_TMAP3OUT))&gt;=0,IF(IF(o_WRAP=1,MOD(((1000)-(c_TMAP3IN))*(((K354)-(c_TMAP3IN))*((1000)-(c_TMAP3OUT))+IF(((1000)-(c_TMAP3OUT))&gt;=0,1,-1)*QUOTIENT(((1000)-(c_TMAP3IN)),2))+2147483648,4294967296)-2147483648,((1000)-(c_TMAP3IN))*(((K354)-(c_TMAP3IN))*((1000)-(c_TMAP3OUT))+IF(((1000)-(c_TMAP3OUT))&gt;=0,1,-1)*QUOTIENT(((1000)-(c_TMAP3IN)),2)))&lt;0,-1,0),IF(IF(o_WRAP=1,MOD(((1000)-(c_TMAP3IN))*(((K354)-(c_TMAP3IN))*((1000)-(c_TMAP3OUT))+IF(((1000)-(c_TMAP3OUT))&gt;=0,1,-1)*QUOTIENT(((1000)-(c_TMAP3IN)),2))+2147483648,4294967296)-2147483648,((1000)-(c_TMAP3IN))*(((K354)-(c_TMAP3IN))*((1000)-(c_TMAP3OUT))+IF(((1000)-(c_TMAP3OUT))&gt;=0,1,-1)*QUOTIENT(((1000)-(c_TMAP3IN)),2)))&gt;=0,1,0)))</f>
        <v>1000</v>
      </c>
      <c r="Q354" s="7" t="str">
        <f aca="false">IF(K354&gt;=c_TFWD,IF(AND(K354&gt;=c_TMAP3IN,c_TMAP3IN&lt;1000),"Seg4 map3-100%",IF(AND(K354&gt;=c_TMAP2IN,c_TMAP3IN&gt;c_TMAP2IN),"Seg3 map2-map3",IF(AND(K354&gt;=c_TMAP1IN,c_TMAP2IN&gt;c_TMAP1IN),"Seg2 map1-map2","Seg1 TFWD-map1"))),IF(AND(K354=0,c_TCREEP&gt;0),"Creep",IF(AND(K354&lt;=c_TRNGMIN,K354&gt;=c_TRNGMAX,c_TRNGMIN-c_TRNGMAX&lt;&gt;0),"Regen ramp","Coast (0)")))</f>
        <v>Seg4 map3-100%</v>
      </c>
      <c r="R354" s="7" t="n">
        <f aca="false">IF(K354&gt;=c_TFWD,IF(AND(K354&gt;=c_TMAP3IN,c_TMAP3IN&lt;1000),P354,IF(AND(K354&gt;=c_TMAP2IN,c_TMAP3IN&gt;c_TMAP2IN),O354,IF(AND(K354&gt;=c_TMAP1IN,c_TMAP2IN&gt;c_TMAP1IN),N354,M354))),L354)</f>
        <v>1000</v>
      </c>
      <c r="S354" s="7" t="str">
        <f aca="false">IF(R354&lt;-1090,"TOO LOW",IF(R354&gt;1090,"TOO HIGH",""))</f>
        <v/>
      </c>
      <c r="T354" s="15" t="n">
        <f aca="false">IF(H354&lt;&gt;"OK",0,IF(S354&lt;&gt;"",0,IF(R354&gt;979,1000,R354)))</f>
        <v>1000</v>
      </c>
      <c r="U354" s="7" t="n">
        <f aca="false">T354/10</f>
        <v>100</v>
      </c>
    </row>
    <row r="355" customFormat="false" ht="15" hidden="false" customHeight="false" outlineLevel="0" collapsed="false">
      <c r="A355" s="7" t="n">
        <v>350</v>
      </c>
      <c r="B355" s="7" t="n">
        <f aca="false">ROUND(o_SWSTART+A355*(o_SWEND-o_SWSTART)/400,0)</f>
        <v>3583</v>
      </c>
      <c r="C355" s="7" t="n">
        <f aca="false">QUOTIENT((B355-c_OFF1)*c_GAIN1,1024)</f>
        <v>3583</v>
      </c>
      <c r="D355" s="7" t="n">
        <f aca="false">IF(((c_T1MX)-(c_T1MN))=0,(0)+QUOTIENT(((1000)-(0)),2),QUOTIENT((((C355)-(c_T1MN))*((1000)-(0))+IF(((1000)-(0))&gt;=0,1,-1)*QUOTIENT(((c_T1MX)-(c_T1MN)),2)),((c_T1MX)-(c_T1MN)))+(0)+IF(((1000)-(0))&gt;=0,IF(IF(o_WRAP=1,MOD(((c_T1MX)-(c_T1MN))*(((C355)-(c_T1MN))*((1000)-(0))+IF(((1000)-(0))&gt;=0,1,-1)*QUOTIENT(((c_T1MX)-(c_T1MN)),2))+2147483648,4294967296)-2147483648,((c_T1MX)-(c_T1MN))*(((C355)-(c_T1MN))*((1000)-(0))+IF(((1000)-(0))&gt;=0,1,-1)*QUOTIENT(((c_T1MX)-(c_T1MN)),2)))&lt;0,-1,0),IF(IF(o_WRAP=1,MOD(((c_T1MX)-(c_T1MN))*(((C355)-(c_T1MN))*((1000)-(0))+IF(((1000)-(0))&gt;=0,1,-1)*QUOTIENT(((c_T1MX)-(c_T1MN)),2))+2147483648,4294967296)-2147483648,((c_T1MX)-(c_T1MN))*(((C355)-(c_T1MN))*((1000)-(0))+IF(((1000)-(0))&gt;=0,1,-1)*QUOTIENT(((c_T1MX)-(c_T1MN)),2)))&gt;=0,1,0)))</f>
        <v>1037</v>
      </c>
      <c r="E355" s="7" t="n">
        <f aca="false">IF(AND(c_TPOT=1,c_TTYPE=2),1000-D355,D355)</f>
        <v>1037</v>
      </c>
      <c r="F355" s="7" t="str">
        <f aca="false">IF(c_TPOT&gt;1,ROUND(IF(c_TTYPE=2,c_T2MX-IF(c_T1MX=c_T1MN,0,(C355-c_T1MN)/(c_T1MX-c_T1MN))*(c_T2MX-c_T2MN),c_T2MN+IF(c_T1MX=c_T1MN,0,(C355-c_T1MN)/(c_T1MX-c_T1MN))*(c_T2MX-c_T2MN))+o_MISMATCH,0),"")</f>
        <v/>
      </c>
      <c r="G355" s="7" t="str">
        <f aca="false">IF(c_TPOT&gt;1,IF(((c_T2MX)-(c_T2MN))=0,(0)+QUOTIENT(((1000)-(0)),2),QUOTIENT((((F355)-(c_T2MN))*((1000)-(0))+IF(((1000)-(0))&gt;=0,1,-1)*QUOTIENT(((c_T2MX)-(c_T2MN)),2)),((c_T2MX)-(c_T2MN)))+(0)+IF(((1000)-(0))&gt;=0,IF(IF(o_WRAP=1,MOD(((c_T2MX)-(c_T2MN))*(((F355)-(c_T2MN))*((1000)-(0))+IF(((1000)-(0))&gt;=0,1,-1)*QUOTIENT(((c_T2MX)-(c_T2MN)),2))+2147483648,4294967296)-2147483648,((c_T2MX)-(c_T2MN))*(((F355)-(c_T2MN))*((1000)-(0))+IF(((1000)-(0))&gt;=0,1,-1)*QUOTIENT(((c_T2MX)-(c_T2MN)),2)))&lt;0,-1,0),IF(IF(o_WRAP=1,MOD(((c_T2MX)-(c_T2MN))*(((F355)-(c_T2MN))*((1000)-(0))+IF(((1000)-(0))&gt;=0,1,-1)*QUOTIENT(((c_T2MX)-(c_T2MN)),2))+2147483648,4294967296)-2147483648,((c_T2MX)-(c_T2MN))*(((F355)-(c_T2MN))*((1000)-(0))+IF(((1000)-(0))&gt;=0,1,-1)*QUOTIENT(((c_T2MX)-(c_T2MN)),2)))&gt;=0,1,0))),"")</f>
        <v/>
      </c>
      <c r="H355" s="7" t="str">
        <f aca="false">IF(E355&gt;1000+k_TOL,"T1 HIGH",IF(E355&lt;0-k_TOL,"T1 LOW",IF(c_TPOT&gt;1,IF(G355&gt;1000+k_TOL,"T2 HIGH",IF(G355&lt;0-k_TOL,"T2 LOW",IF(c_TTYPE=2,IF(ABS(1000-MAX(0,MIN(1000,E355))-MAX(0,MIN(1000,G355)))&gt;k_MAXERR,"MISMATCH","OK"),IF(OR(MAX(0,MIN(1000,E355))-k_MAXERR&gt;MAX(0,MIN(1000,G355)),MAX(0,MIN(1000,G355))-k_MAXERR&gt;MAX(0,MIN(1000,E355))),"MISMATCH","OK")))),"OK")))</f>
        <v>OK</v>
      </c>
      <c r="I355" s="7" t="n">
        <f aca="false">MAX(0,MIN(1000,D355))</f>
        <v>1000</v>
      </c>
      <c r="J355" s="7" t="str">
        <f aca="false">IF(c_TPOT&gt;1,IF(c_TTYPE=2,1000-MAX(0,MIN(1000,G355)),MAX(0,MIN(1000,G355))),"")</f>
        <v/>
      </c>
      <c r="K355" s="7" t="n">
        <f aca="false">IF(c_TPOT&gt;1,QUOTIENT(I355+J355,2),I355)</f>
        <v>1000</v>
      </c>
      <c r="L355" s="7" t="n">
        <f aca="false">IF(AND(K355=0,c_TCREEP&gt;0),10*c_TCREEP,IF(AND(K355&lt;=c_TRNGMIN,K355&gt;=c_TRNGMAX,c_TRNGMIN-c_TRNGMAX&lt;&gt;0),-10*c_TMINRN+QUOTIENT((c_TMAXRN-c_TMINRN)*(100-QUOTIENT((K355-c_TRNGMAX)*100,c_TRNGMIN-c_TRNGMAX)),-10),0))</f>
        <v>0</v>
      </c>
      <c r="M355" s="7" t="n">
        <f aca="false">IF(((c_TMAP1IN)-(c_TFWD))=0,(0)+QUOTIENT(((c_TMAP1OUT)-(0)),2),QUOTIENT((((K355)-(c_TFWD))*((c_TMAP1OUT)-(0))+IF(((c_TMAP1OUT)-(0))&gt;=0,1,-1)*QUOTIENT(((c_TMAP1IN)-(c_TFWD)),2)),((c_TMAP1IN)-(c_TFWD)))+(0)+IF(((c_TMAP1OUT)-(0))&gt;=0,IF(IF(o_WRAP=1,MOD(((c_TMAP1IN)-(c_TFWD))*(((K355)-(c_TFWD))*((c_TMAP1OUT)-(0))+IF(((c_TMAP1OUT)-(0))&gt;=0,1,-1)*QUOTIENT(((c_TMAP1IN)-(c_TFWD)),2))+2147483648,4294967296)-2147483648,((c_TMAP1IN)-(c_TFWD))*(((K355)-(c_TFWD))*((c_TMAP1OUT)-(0))+IF(((c_TMAP1OUT)-(0))&gt;=0,1,-1)*QUOTIENT(((c_TMAP1IN)-(c_TFWD)),2)))&lt;0,-1,0),IF(IF(o_WRAP=1,MOD(((c_TMAP1IN)-(c_TFWD))*(((K355)-(c_TFWD))*((c_TMAP1OUT)-(0))+IF(((c_TMAP1OUT)-(0))&gt;=0,1,-1)*QUOTIENT(((c_TMAP1IN)-(c_TFWD)),2))+2147483648,4294967296)-2147483648,((c_TMAP1IN)-(c_TFWD))*(((K355)-(c_TFWD))*((c_TMAP1OUT)-(0))+IF(((c_TMAP1OUT)-(0))&gt;=0,1,-1)*QUOTIENT(((c_TMAP1IN)-(c_TFWD)),2)))&gt;=0,1,0)))</f>
        <v>770</v>
      </c>
      <c r="N355" s="7" t="n">
        <f aca="false">IF(((c_TMAP2IN)-(c_TMAP1IN))=0,(c_TMAP1OUT)+QUOTIENT(((c_TMAP2OUT)-(c_TMAP1OUT)),2),QUOTIENT((((K355)-(c_TMAP1IN))*((c_TMAP2OUT)-(c_TMAP1OUT))+IF(((c_TMAP2OUT)-(c_TMAP1OUT))&gt;=0,1,-1)*QUOTIENT(((c_TMAP2IN)-(c_TMAP1IN)),2)),((c_TMAP2IN)-(c_TMAP1IN)))+(c_TMAP1OUT)+IF(((c_TMAP2OUT)-(c_TMAP1OUT))&gt;=0,IF(IF(o_WRAP=1,MOD(((c_TMAP2IN)-(c_TMAP1IN))*(((K355)-(c_TMAP1IN))*((c_TMAP2OUT)-(c_TMAP1OUT))+IF(((c_TMAP2OUT)-(c_TMAP1OUT))&gt;=0,1,-1)*QUOTIENT(((c_TMAP2IN)-(c_TMAP1IN)),2))+2147483648,4294967296)-2147483648,((c_TMAP2IN)-(c_TMAP1IN))*(((K355)-(c_TMAP1IN))*((c_TMAP2OUT)-(c_TMAP1OUT))+IF(((c_TMAP2OUT)-(c_TMAP1OUT))&gt;=0,1,-1)*QUOTIENT(((c_TMAP2IN)-(c_TMAP1IN)),2)))&lt;0,-1,0),IF(IF(o_WRAP=1,MOD(((c_TMAP2IN)-(c_TMAP1IN))*(((K355)-(c_TMAP1IN))*((c_TMAP2OUT)-(c_TMAP1OUT))+IF(((c_TMAP2OUT)-(c_TMAP1OUT))&gt;=0,1,-1)*QUOTIENT(((c_TMAP2IN)-(c_TMAP1IN)),2))+2147483648,4294967296)-2147483648,((c_TMAP2IN)-(c_TMAP1IN))*(((K355)-(c_TMAP1IN))*((c_TMAP2OUT)-(c_TMAP1OUT))+IF(((c_TMAP2OUT)-(c_TMAP1OUT))&gt;=0,1,-1)*QUOTIENT(((c_TMAP2IN)-(c_TMAP1IN)),2)))&gt;=0,1,0)))</f>
        <v>430</v>
      </c>
      <c r="O355" s="7" t="n">
        <f aca="false">IF(((c_TMAP3IN)-(c_TMAP2IN))=0,(c_TMAP2OUT)+QUOTIENT(((c_TMAP3OUT)-(c_TMAP2OUT)),2),QUOTIENT((((K355)-(c_TMAP2IN))*((c_TMAP3OUT)-(c_TMAP2OUT))+IF(((c_TMAP3OUT)-(c_TMAP2OUT))&gt;=0,1,-1)*QUOTIENT(((c_TMAP3IN)-(c_TMAP2IN)),2)),((c_TMAP3IN)-(c_TMAP2IN)))+(c_TMAP2OUT)+IF(((c_TMAP3OUT)-(c_TMAP2OUT))&gt;=0,IF(IF(o_WRAP=1,MOD(((c_TMAP3IN)-(c_TMAP2IN))*(((K355)-(c_TMAP2IN))*((c_TMAP3OUT)-(c_TMAP2OUT))+IF(((c_TMAP3OUT)-(c_TMAP2OUT))&gt;=0,1,-1)*QUOTIENT(((c_TMAP3IN)-(c_TMAP2IN)),2))+2147483648,4294967296)-2147483648,((c_TMAP3IN)-(c_TMAP2IN))*(((K355)-(c_TMAP2IN))*((c_TMAP3OUT)-(c_TMAP2OUT))+IF(((c_TMAP3OUT)-(c_TMAP2OUT))&gt;=0,1,-1)*QUOTIENT(((c_TMAP3IN)-(c_TMAP2IN)),2)))&lt;0,-1,0),IF(IF(o_WRAP=1,MOD(((c_TMAP3IN)-(c_TMAP2IN))*(((K355)-(c_TMAP2IN))*((c_TMAP3OUT)-(c_TMAP2OUT))+IF(((c_TMAP3OUT)-(c_TMAP2OUT))&gt;=0,1,-1)*QUOTIENT(((c_TMAP3IN)-(c_TMAP2IN)),2))+2147483648,4294967296)-2147483648,((c_TMAP3IN)-(c_TMAP2IN))*(((K355)-(c_TMAP2IN))*((c_TMAP3OUT)-(c_TMAP2OUT))+IF(((c_TMAP3OUT)-(c_TMAP2OUT))&gt;=0,1,-1)*QUOTIENT(((c_TMAP3IN)-(c_TMAP2IN)),2)))&gt;=0,1,0)))</f>
        <v>655</v>
      </c>
      <c r="P355" s="7" t="n">
        <f aca="false">IF(((1000)-(c_TMAP3IN))=0,(c_TMAP3OUT)+QUOTIENT(((1000)-(c_TMAP3OUT)),2),QUOTIENT((((K355)-(c_TMAP3IN))*((1000)-(c_TMAP3OUT))+IF(((1000)-(c_TMAP3OUT))&gt;=0,1,-1)*QUOTIENT(((1000)-(c_TMAP3IN)),2)),((1000)-(c_TMAP3IN)))+(c_TMAP3OUT)+IF(((1000)-(c_TMAP3OUT))&gt;=0,IF(IF(o_WRAP=1,MOD(((1000)-(c_TMAP3IN))*(((K355)-(c_TMAP3IN))*((1000)-(c_TMAP3OUT))+IF(((1000)-(c_TMAP3OUT))&gt;=0,1,-1)*QUOTIENT(((1000)-(c_TMAP3IN)),2))+2147483648,4294967296)-2147483648,((1000)-(c_TMAP3IN))*(((K355)-(c_TMAP3IN))*((1000)-(c_TMAP3OUT))+IF(((1000)-(c_TMAP3OUT))&gt;=0,1,-1)*QUOTIENT(((1000)-(c_TMAP3IN)),2)))&lt;0,-1,0),IF(IF(o_WRAP=1,MOD(((1000)-(c_TMAP3IN))*(((K355)-(c_TMAP3IN))*((1000)-(c_TMAP3OUT))+IF(((1000)-(c_TMAP3OUT))&gt;=0,1,-1)*QUOTIENT(((1000)-(c_TMAP3IN)),2))+2147483648,4294967296)-2147483648,((1000)-(c_TMAP3IN))*(((K355)-(c_TMAP3IN))*((1000)-(c_TMAP3OUT))+IF(((1000)-(c_TMAP3OUT))&gt;=0,1,-1)*QUOTIENT(((1000)-(c_TMAP3IN)),2)))&gt;=0,1,0)))</f>
        <v>1000</v>
      </c>
      <c r="Q355" s="7" t="str">
        <f aca="false">IF(K355&gt;=c_TFWD,IF(AND(K355&gt;=c_TMAP3IN,c_TMAP3IN&lt;1000),"Seg4 map3-100%",IF(AND(K355&gt;=c_TMAP2IN,c_TMAP3IN&gt;c_TMAP2IN),"Seg3 map2-map3",IF(AND(K355&gt;=c_TMAP1IN,c_TMAP2IN&gt;c_TMAP1IN),"Seg2 map1-map2","Seg1 TFWD-map1"))),IF(AND(K355=0,c_TCREEP&gt;0),"Creep",IF(AND(K355&lt;=c_TRNGMIN,K355&gt;=c_TRNGMAX,c_TRNGMIN-c_TRNGMAX&lt;&gt;0),"Regen ramp","Coast (0)")))</f>
        <v>Seg4 map3-100%</v>
      </c>
      <c r="R355" s="7" t="n">
        <f aca="false">IF(K355&gt;=c_TFWD,IF(AND(K355&gt;=c_TMAP3IN,c_TMAP3IN&lt;1000),P355,IF(AND(K355&gt;=c_TMAP2IN,c_TMAP3IN&gt;c_TMAP2IN),O355,IF(AND(K355&gt;=c_TMAP1IN,c_TMAP2IN&gt;c_TMAP1IN),N355,M355))),L355)</f>
        <v>1000</v>
      </c>
      <c r="S355" s="7" t="str">
        <f aca="false">IF(R355&lt;-1090,"TOO LOW",IF(R355&gt;1090,"TOO HIGH",""))</f>
        <v/>
      </c>
      <c r="T355" s="15" t="n">
        <f aca="false">IF(H355&lt;&gt;"OK",0,IF(S355&lt;&gt;"",0,IF(R355&gt;979,1000,R355)))</f>
        <v>1000</v>
      </c>
      <c r="U355" s="7" t="n">
        <f aca="false">T355/10</f>
        <v>100</v>
      </c>
    </row>
    <row r="356" customFormat="false" ht="15" hidden="false" customHeight="false" outlineLevel="0" collapsed="false">
      <c r="A356" s="7" t="n">
        <v>351</v>
      </c>
      <c r="B356" s="7" t="n">
        <f aca="false">ROUND(o_SWSTART+A356*(o_SWEND-o_SWSTART)/400,0)</f>
        <v>3593</v>
      </c>
      <c r="C356" s="7" t="n">
        <f aca="false">QUOTIENT((B356-c_OFF1)*c_GAIN1,1024)</f>
        <v>3593</v>
      </c>
      <c r="D356" s="7" t="n">
        <f aca="false">IF(((c_T1MX)-(c_T1MN))=0,(0)+QUOTIENT(((1000)-(0)),2),QUOTIENT((((C356)-(c_T1MN))*((1000)-(0))+IF(((1000)-(0))&gt;=0,1,-1)*QUOTIENT(((c_T1MX)-(c_T1MN)),2)),((c_T1MX)-(c_T1MN)))+(0)+IF(((1000)-(0))&gt;=0,IF(IF(o_WRAP=1,MOD(((c_T1MX)-(c_T1MN))*(((C356)-(c_T1MN))*((1000)-(0))+IF(((1000)-(0))&gt;=0,1,-1)*QUOTIENT(((c_T1MX)-(c_T1MN)),2))+2147483648,4294967296)-2147483648,((c_T1MX)-(c_T1MN))*(((C356)-(c_T1MN))*((1000)-(0))+IF(((1000)-(0))&gt;=0,1,-1)*QUOTIENT(((c_T1MX)-(c_T1MN)),2)))&lt;0,-1,0),IF(IF(o_WRAP=1,MOD(((c_T1MX)-(c_T1MN))*(((C356)-(c_T1MN))*((1000)-(0))+IF(((1000)-(0))&gt;=0,1,-1)*QUOTIENT(((c_T1MX)-(c_T1MN)),2))+2147483648,4294967296)-2147483648,((c_T1MX)-(c_T1MN))*(((C356)-(c_T1MN))*((1000)-(0))+IF(((1000)-(0))&gt;=0,1,-1)*QUOTIENT(((c_T1MX)-(c_T1MN)),2)))&gt;=0,1,0)))</f>
        <v>1041</v>
      </c>
      <c r="E356" s="7" t="n">
        <f aca="false">IF(AND(c_TPOT=1,c_TTYPE=2),1000-D356,D356)</f>
        <v>1041</v>
      </c>
      <c r="F356" s="7" t="str">
        <f aca="false">IF(c_TPOT&gt;1,ROUND(IF(c_TTYPE=2,c_T2MX-IF(c_T1MX=c_T1MN,0,(C356-c_T1MN)/(c_T1MX-c_T1MN))*(c_T2MX-c_T2MN),c_T2MN+IF(c_T1MX=c_T1MN,0,(C356-c_T1MN)/(c_T1MX-c_T1MN))*(c_T2MX-c_T2MN))+o_MISMATCH,0),"")</f>
        <v/>
      </c>
      <c r="G356" s="7" t="str">
        <f aca="false">IF(c_TPOT&gt;1,IF(((c_T2MX)-(c_T2MN))=0,(0)+QUOTIENT(((1000)-(0)),2),QUOTIENT((((F356)-(c_T2MN))*((1000)-(0))+IF(((1000)-(0))&gt;=0,1,-1)*QUOTIENT(((c_T2MX)-(c_T2MN)),2)),((c_T2MX)-(c_T2MN)))+(0)+IF(((1000)-(0))&gt;=0,IF(IF(o_WRAP=1,MOD(((c_T2MX)-(c_T2MN))*(((F356)-(c_T2MN))*((1000)-(0))+IF(((1000)-(0))&gt;=0,1,-1)*QUOTIENT(((c_T2MX)-(c_T2MN)),2))+2147483648,4294967296)-2147483648,((c_T2MX)-(c_T2MN))*(((F356)-(c_T2MN))*((1000)-(0))+IF(((1000)-(0))&gt;=0,1,-1)*QUOTIENT(((c_T2MX)-(c_T2MN)),2)))&lt;0,-1,0),IF(IF(o_WRAP=1,MOD(((c_T2MX)-(c_T2MN))*(((F356)-(c_T2MN))*((1000)-(0))+IF(((1000)-(0))&gt;=0,1,-1)*QUOTIENT(((c_T2MX)-(c_T2MN)),2))+2147483648,4294967296)-2147483648,((c_T2MX)-(c_T2MN))*(((F356)-(c_T2MN))*((1000)-(0))+IF(((1000)-(0))&gt;=0,1,-1)*QUOTIENT(((c_T2MX)-(c_T2MN)),2)))&gt;=0,1,0))),"")</f>
        <v/>
      </c>
      <c r="H356" s="7" t="str">
        <f aca="false">IF(E356&gt;1000+k_TOL,"T1 HIGH",IF(E356&lt;0-k_TOL,"T1 LOW",IF(c_TPOT&gt;1,IF(G356&gt;1000+k_TOL,"T2 HIGH",IF(G356&lt;0-k_TOL,"T2 LOW",IF(c_TTYPE=2,IF(ABS(1000-MAX(0,MIN(1000,E356))-MAX(0,MIN(1000,G356)))&gt;k_MAXERR,"MISMATCH","OK"),IF(OR(MAX(0,MIN(1000,E356))-k_MAXERR&gt;MAX(0,MIN(1000,G356)),MAX(0,MIN(1000,G356))-k_MAXERR&gt;MAX(0,MIN(1000,E356))),"MISMATCH","OK")))),"OK")))</f>
        <v>OK</v>
      </c>
      <c r="I356" s="7" t="n">
        <f aca="false">MAX(0,MIN(1000,D356))</f>
        <v>1000</v>
      </c>
      <c r="J356" s="7" t="str">
        <f aca="false">IF(c_TPOT&gt;1,IF(c_TTYPE=2,1000-MAX(0,MIN(1000,G356)),MAX(0,MIN(1000,G356))),"")</f>
        <v/>
      </c>
      <c r="K356" s="7" t="n">
        <f aca="false">IF(c_TPOT&gt;1,QUOTIENT(I356+J356,2),I356)</f>
        <v>1000</v>
      </c>
      <c r="L356" s="7" t="n">
        <f aca="false">IF(AND(K356=0,c_TCREEP&gt;0),10*c_TCREEP,IF(AND(K356&lt;=c_TRNGMIN,K356&gt;=c_TRNGMAX,c_TRNGMIN-c_TRNGMAX&lt;&gt;0),-10*c_TMINRN+QUOTIENT((c_TMAXRN-c_TMINRN)*(100-QUOTIENT((K356-c_TRNGMAX)*100,c_TRNGMIN-c_TRNGMAX)),-10),0))</f>
        <v>0</v>
      </c>
      <c r="M356" s="7" t="n">
        <f aca="false">IF(((c_TMAP1IN)-(c_TFWD))=0,(0)+QUOTIENT(((c_TMAP1OUT)-(0)),2),QUOTIENT((((K356)-(c_TFWD))*((c_TMAP1OUT)-(0))+IF(((c_TMAP1OUT)-(0))&gt;=0,1,-1)*QUOTIENT(((c_TMAP1IN)-(c_TFWD)),2)),((c_TMAP1IN)-(c_TFWD)))+(0)+IF(((c_TMAP1OUT)-(0))&gt;=0,IF(IF(o_WRAP=1,MOD(((c_TMAP1IN)-(c_TFWD))*(((K356)-(c_TFWD))*((c_TMAP1OUT)-(0))+IF(((c_TMAP1OUT)-(0))&gt;=0,1,-1)*QUOTIENT(((c_TMAP1IN)-(c_TFWD)),2))+2147483648,4294967296)-2147483648,((c_TMAP1IN)-(c_TFWD))*(((K356)-(c_TFWD))*((c_TMAP1OUT)-(0))+IF(((c_TMAP1OUT)-(0))&gt;=0,1,-1)*QUOTIENT(((c_TMAP1IN)-(c_TFWD)),2)))&lt;0,-1,0),IF(IF(o_WRAP=1,MOD(((c_TMAP1IN)-(c_TFWD))*(((K356)-(c_TFWD))*((c_TMAP1OUT)-(0))+IF(((c_TMAP1OUT)-(0))&gt;=0,1,-1)*QUOTIENT(((c_TMAP1IN)-(c_TFWD)),2))+2147483648,4294967296)-2147483648,((c_TMAP1IN)-(c_TFWD))*(((K356)-(c_TFWD))*((c_TMAP1OUT)-(0))+IF(((c_TMAP1OUT)-(0))&gt;=0,1,-1)*QUOTIENT(((c_TMAP1IN)-(c_TFWD)),2)))&gt;=0,1,0)))</f>
        <v>770</v>
      </c>
      <c r="N356" s="7" t="n">
        <f aca="false">IF(((c_TMAP2IN)-(c_TMAP1IN))=0,(c_TMAP1OUT)+QUOTIENT(((c_TMAP2OUT)-(c_TMAP1OUT)),2),QUOTIENT((((K356)-(c_TMAP1IN))*((c_TMAP2OUT)-(c_TMAP1OUT))+IF(((c_TMAP2OUT)-(c_TMAP1OUT))&gt;=0,1,-1)*QUOTIENT(((c_TMAP2IN)-(c_TMAP1IN)),2)),((c_TMAP2IN)-(c_TMAP1IN)))+(c_TMAP1OUT)+IF(((c_TMAP2OUT)-(c_TMAP1OUT))&gt;=0,IF(IF(o_WRAP=1,MOD(((c_TMAP2IN)-(c_TMAP1IN))*(((K356)-(c_TMAP1IN))*((c_TMAP2OUT)-(c_TMAP1OUT))+IF(((c_TMAP2OUT)-(c_TMAP1OUT))&gt;=0,1,-1)*QUOTIENT(((c_TMAP2IN)-(c_TMAP1IN)),2))+2147483648,4294967296)-2147483648,((c_TMAP2IN)-(c_TMAP1IN))*(((K356)-(c_TMAP1IN))*((c_TMAP2OUT)-(c_TMAP1OUT))+IF(((c_TMAP2OUT)-(c_TMAP1OUT))&gt;=0,1,-1)*QUOTIENT(((c_TMAP2IN)-(c_TMAP1IN)),2)))&lt;0,-1,0),IF(IF(o_WRAP=1,MOD(((c_TMAP2IN)-(c_TMAP1IN))*(((K356)-(c_TMAP1IN))*((c_TMAP2OUT)-(c_TMAP1OUT))+IF(((c_TMAP2OUT)-(c_TMAP1OUT))&gt;=0,1,-1)*QUOTIENT(((c_TMAP2IN)-(c_TMAP1IN)),2))+2147483648,4294967296)-2147483648,((c_TMAP2IN)-(c_TMAP1IN))*(((K356)-(c_TMAP1IN))*((c_TMAP2OUT)-(c_TMAP1OUT))+IF(((c_TMAP2OUT)-(c_TMAP1OUT))&gt;=0,1,-1)*QUOTIENT(((c_TMAP2IN)-(c_TMAP1IN)),2)))&gt;=0,1,0)))</f>
        <v>430</v>
      </c>
      <c r="O356" s="7" t="n">
        <f aca="false">IF(((c_TMAP3IN)-(c_TMAP2IN))=0,(c_TMAP2OUT)+QUOTIENT(((c_TMAP3OUT)-(c_TMAP2OUT)),2),QUOTIENT((((K356)-(c_TMAP2IN))*((c_TMAP3OUT)-(c_TMAP2OUT))+IF(((c_TMAP3OUT)-(c_TMAP2OUT))&gt;=0,1,-1)*QUOTIENT(((c_TMAP3IN)-(c_TMAP2IN)),2)),((c_TMAP3IN)-(c_TMAP2IN)))+(c_TMAP2OUT)+IF(((c_TMAP3OUT)-(c_TMAP2OUT))&gt;=0,IF(IF(o_WRAP=1,MOD(((c_TMAP3IN)-(c_TMAP2IN))*(((K356)-(c_TMAP2IN))*((c_TMAP3OUT)-(c_TMAP2OUT))+IF(((c_TMAP3OUT)-(c_TMAP2OUT))&gt;=0,1,-1)*QUOTIENT(((c_TMAP3IN)-(c_TMAP2IN)),2))+2147483648,4294967296)-2147483648,((c_TMAP3IN)-(c_TMAP2IN))*(((K356)-(c_TMAP2IN))*((c_TMAP3OUT)-(c_TMAP2OUT))+IF(((c_TMAP3OUT)-(c_TMAP2OUT))&gt;=0,1,-1)*QUOTIENT(((c_TMAP3IN)-(c_TMAP2IN)),2)))&lt;0,-1,0),IF(IF(o_WRAP=1,MOD(((c_TMAP3IN)-(c_TMAP2IN))*(((K356)-(c_TMAP2IN))*((c_TMAP3OUT)-(c_TMAP2OUT))+IF(((c_TMAP3OUT)-(c_TMAP2OUT))&gt;=0,1,-1)*QUOTIENT(((c_TMAP3IN)-(c_TMAP2IN)),2))+2147483648,4294967296)-2147483648,((c_TMAP3IN)-(c_TMAP2IN))*(((K356)-(c_TMAP2IN))*((c_TMAP3OUT)-(c_TMAP2OUT))+IF(((c_TMAP3OUT)-(c_TMAP2OUT))&gt;=0,1,-1)*QUOTIENT(((c_TMAP3IN)-(c_TMAP2IN)),2)))&gt;=0,1,0)))</f>
        <v>655</v>
      </c>
      <c r="P356" s="7" t="n">
        <f aca="false">IF(((1000)-(c_TMAP3IN))=0,(c_TMAP3OUT)+QUOTIENT(((1000)-(c_TMAP3OUT)),2),QUOTIENT((((K356)-(c_TMAP3IN))*((1000)-(c_TMAP3OUT))+IF(((1000)-(c_TMAP3OUT))&gt;=0,1,-1)*QUOTIENT(((1000)-(c_TMAP3IN)),2)),((1000)-(c_TMAP3IN)))+(c_TMAP3OUT)+IF(((1000)-(c_TMAP3OUT))&gt;=0,IF(IF(o_WRAP=1,MOD(((1000)-(c_TMAP3IN))*(((K356)-(c_TMAP3IN))*((1000)-(c_TMAP3OUT))+IF(((1000)-(c_TMAP3OUT))&gt;=0,1,-1)*QUOTIENT(((1000)-(c_TMAP3IN)),2))+2147483648,4294967296)-2147483648,((1000)-(c_TMAP3IN))*(((K356)-(c_TMAP3IN))*((1000)-(c_TMAP3OUT))+IF(((1000)-(c_TMAP3OUT))&gt;=0,1,-1)*QUOTIENT(((1000)-(c_TMAP3IN)),2)))&lt;0,-1,0),IF(IF(o_WRAP=1,MOD(((1000)-(c_TMAP3IN))*(((K356)-(c_TMAP3IN))*((1000)-(c_TMAP3OUT))+IF(((1000)-(c_TMAP3OUT))&gt;=0,1,-1)*QUOTIENT(((1000)-(c_TMAP3IN)),2))+2147483648,4294967296)-2147483648,((1000)-(c_TMAP3IN))*(((K356)-(c_TMAP3IN))*((1000)-(c_TMAP3OUT))+IF(((1000)-(c_TMAP3OUT))&gt;=0,1,-1)*QUOTIENT(((1000)-(c_TMAP3IN)),2)))&gt;=0,1,0)))</f>
        <v>1000</v>
      </c>
      <c r="Q356" s="7" t="str">
        <f aca="false">IF(K356&gt;=c_TFWD,IF(AND(K356&gt;=c_TMAP3IN,c_TMAP3IN&lt;1000),"Seg4 map3-100%",IF(AND(K356&gt;=c_TMAP2IN,c_TMAP3IN&gt;c_TMAP2IN),"Seg3 map2-map3",IF(AND(K356&gt;=c_TMAP1IN,c_TMAP2IN&gt;c_TMAP1IN),"Seg2 map1-map2","Seg1 TFWD-map1"))),IF(AND(K356=0,c_TCREEP&gt;0),"Creep",IF(AND(K356&lt;=c_TRNGMIN,K356&gt;=c_TRNGMAX,c_TRNGMIN-c_TRNGMAX&lt;&gt;0),"Regen ramp","Coast (0)")))</f>
        <v>Seg4 map3-100%</v>
      </c>
      <c r="R356" s="7" t="n">
        <f aca="false">IF(K356&gt;=c_TFWD,IF(AND(K356&gt;=c_TMAP3IN,c_TMAP3IN&lt;1000),P356,IF(AND(K356&gt;=c_TMAP2IN,c_TMAP3IN&gt;c_TMAP2IN),O356,IF(AND(K356&gt;=c_TMAP1IN,c_TMAP2IN&gt;c_TMAP1IN),N356,M356))),L356)</f>
        <v>1000</v>
      </c>
      <c r="S356" s="7" t="str">
        <f aca="false">IF(R356&lt;-1090,"TOO LOW",IF(R356&gt;1090,"TOO HIGH",""))</f>
        <v/>
      </c>
      <c r="T356" s="15" t="n">
        <f aca="false">IF(H356&lt;&gt;"OK",0,IF(S356&lt;&gt;"",0,IF(R356&gt;979,1000,R356)))</f>
        <v>1000</v>
      </c>
      <c r="U356" s="7" t="n">
        <f aca="false">T356/10</f>
        <v>100</v>
      </c>
    </row>
    <row r="357" customFormat="false" ht="15" hidden="false" customHeight="false" outlineLevel="0" collapsed="false">
      <c r="A357" s="7" t="n">
        <v>352</v>
      </c>
      <c r="B357" s="7" t="n">
        <f aca="false">ROUND(o_SWSTART+A357*(o_SWEND-o_SWSTART)/400,0)</f>
        <v>3604</v>
      </c>
      <c r="C357" s="7" t="n">
        <f aca="false">QUOTIENT((B357-c_OFF1)*c_GAIN1,1024)</f>
        <v>3604</v>
      </c>
      <c r="D357" s="7" t="n">
        <f aca="false">IF(((c_T1MX)-(c_T1MN))=0,(0)+QUOTIENT(((1000)-(0)),2),QUOTIENT((((C357)-(c_T1MN))*((1000)-(0))+IF(((1000)-(0))&gt;=0,1,-1)*QUOTIENT(((c_T1MX)-(c_T1MN)),2)),((c_T1MX)-(c_T1MN)))+(0)+IF(((1000)-(0))&gt;=0,IF(IF(o_WRAP=1,MOD(((c_T1MX)-(c_T1MN))*(((C357)-(c_T1MN))*((1000)-(0))+IF(((1000)-(0))&gt;=0,1,-1)*QUOTIENT(((c_T1MX)-(c_T1MN)),2))+2147483648,4294967296)-2147483648,((c_T1MX)-(c_T1MN))*(((C357)-(c_T1MN))*((1000)-(0))+IF(((1000)-(0))&gt;=0,1,-1)*QUOTIENT(((c_T1MX)-(c_T1MN)),2)))&lt;0,-1,0),IF(IF(o_WRAP=1,MOD(((c_T1MX)-(c_T1MN))*(((C357)-(c_T1MN))*((1000)-(0))+IF(((1000)-(0))&gt;=0,1,-1)*QUOTIENT(((c_T1MX)-(c_T1MN)),2))+2147483648,4294967296)-2147483648,((c_T1MX)-(c_T1MN))*(((C357)-(c_T1MN))*((1000)-(0))+IF(((1000)-(0))&gt;=0,1,-1)*QUOTIENT(((c_T1MX)-(c_T1MN)),2)))&gt;=0,1,0)))</f>
        <v>1045</v>
      </c>
      <c r="E357" s="7" t="n">
        <f aca="false">IF(AND(c_TPOT=1,c_TTYPE=2),1000-D357,D357)</f>
        <v>1045</v>
      </c>
      <c r="F357" s="7" t="str">
        <f aca="false">IF(c_TPOT&gt;1,ROUND(IF(c_TTYPE=2,c_T2MX-IF(c_T1MX=c_T1MN,0,(C357-c_T1MN)/(c_T1MX-c_T1MN))*(c_T2MX-c_T2MN),c_T2MN+IF(c_T1MX=c_T1MN,0,(C357-c_T1MN)/(c_T1MX-c_T1MN))*(c_T2MX-c_T2MN))+o_MISMATCH,0),"")</f>
        <v/>
      </c>
      <c r="G357" s="7" t="str">
        <f aca="false">IF(c_TPOT&gt;1,IF(((c_T2MX)-(c_T2MN))=0,(0)+QUOTIENT(((1000)-(0)),2),QUOTIENT((((F357)-(c_T2MN))*((1000)-(0))+IF(((1000)-(0))&gt;=0,1,-1)*QUOTIENT(((c_T2MX)-(c_T2MN)),2)),((c_T2MX)-(c_T2MN)))+(0)+IF(((1000)-(0))&gt;=0,IF(IF(o_WRAP=1,MOD(((c_T2MX)-(c_T2MN))*(((F357)-(c_T2MN))*((1000)-(0))+IF(((1000)-(0))&gt;=0,1,-1)*QUOTIENT(((c_T2MX)-(c_T2MN)),2))+2147483648,4294967296)-2147483648,((c_T2MX)-(c_T2MN))*(((F357)-(c_T2MN))*((1000)-(0))+IF(((1000)-(0))&gt;=0,1,-1)*QUOTIENT(((c_T2MX)-(c_T2MN)),2)))&lt;0,-1,0),IF(IF(o_WRAP=1,MOD(((c_T2MX)-(c_T2MN))*(((F357)-(c_T2MN))*((1000)-(0))+IF(((1000)-(0))&gt;=0,1,-1)*QUOTIENT(((c_T2MX)-(c_T2MN)),2))+2147483648,4294967296)-2147483648,((c_T2MX)-(c_T2MN))*(((F357)-(c_T2MN))*((1000)-(0))+IF(((1000)-(0))&gt;=0,1,-1)*QUOTIENT(((c_T2MX)-(c_T2MN)),2)))&gt;=0,1,0))),"")</f>
        <v/>
      </c>
      <c r="H357" s="7" t="str">
        <f aca="false">IF(E357&gt;1000+k_TOL,"T1 HIGH",IF(E357&lt;0-k_TOL,"T1 LOW",IF(c_TPOT&gt;1,IF(G357&gt;1000+k_TOL,"T2 HIGH",IF(G357&lt;0-k_TOL,"T2 LOW",IF(c_TTYPE=2,IF(ABS(1000-MAX(0,MIN(1000,E357))-MAX(0,MIN(1000,G357)))&gt;k_MAXERR,"MISMATCH","OK"),IF(OR(MAX(0,MIN(1000,E357))-k_MAXERR&gt;MAX(0,MIN(1000,G357)),MAX(0,MIN(1000,G357))-k_MAXERR&gt;MAX(0,MIN(1000,E357))),"MISMATCH","OK")))),"OK")))</f>
        <v>OK</v>
      </c>
      <c r="I357" s="7" t="n">
        <f aca="false">MAX(0,MIN(1000,D357))</f>
        <v>1000</v>
      </c>
      <c r="J357" s="7" t="str">
        <f aca="false">IF(c_TPOT&gt;1,IF(c_TTYPE=2,1000-MAX(0,MIN(1000,G357)),MAX(0,MIN(1000,G357))),"")</f>
        <v/>
      </c>
      <c r="K357" s="7" t="n">
        <f aca="false">IF(c_TPOT&gt;1,QUOTIENT(I357+J357,2),I357)</f>
        <v>1000</v>
      </c>
      <c r="L357" s="7" t="n">
        <f aca="false">IF(AND(K357=0,c_TCREEP&gt;0),10*c_TCREEP,IF(AND(K357&lt;=c_TRNGMIN,K357&gt;=c_TRNGMAX,c_TRNGMIN-c_TRNGMAX&lt;&gt;0),-10*c_TMINRN+QUOTIENT((c_TMAXRN-c_TMINRN)*(100-QUOTIENT((K357-c_TRNGMAX)*100,c_TRNGMIN-c_TRNGMAX)),-10),0))</f>
        <v>0</v>
      </c>
      <c r="M357" s="7" t="n">
        <f aca="false">IF(((c_TMAP1IN)-(c_TFWD))=0,(0)+QUOTIENT(((c_TMAP1OUT)-(0)),2),QUOTIENT((((K357)-(c_TFWD))*((c_TMAP1OUT)-(0))+IF(((c_TMAP1OUT)-(0))&gt;=0,1,-1)*QUOTIENT(((c_TMAP1IN)-(c_TFWD)),2)),((c_TMAP1IN)-(c_TFWD)))+(0)+IF(((c_TMAP1OUT)-(0))&gt;=0,IF(IF(o_WRAP=1,MOD(((c_TMAP1IN)-(c_TFWD))*(((K357)-(c_TFWD))*((c_TMAP1OUT)-(0))+IF(((c_TMAP1OUT)-(0))&gt;=0,1,-1)*QUOTIENT(((c_TMAP1IN)-(c_TFWD)),2))+2147483648,4294967296)-2147483648,((c_TMAP1IN)-(c_TFWD))*(((K357)-(c_TFWD))*((c_TMAP1OUT)-(0))+IF(((c_TMAP1OUT)-(0))&gt;=0,1,-1)*QUOTIENT(((c_TMAP1IN)-(c_TFWD)),2)))&lt;0,-1,0),IF(IF(o_WRAP=1,MOD(((c_TMAP1IN)-(c_TFWD))*(((K357)-(c_TFWD))*((c_TMAP1OUT)-(0))+IF(((c_TMAP1OUT)-(0))&gt;=0,1,-1)*QUOTIENT(((c_TMAP1IN)-(c_TFWD)),2))+2147483648,4294967296)-2147483648,((c_TMAP1IN)-(c_TFWD))*(((K357)-(c_TFWD))*((c_TMAP1OUT)-(0))+IF(((c_TMAP1OUT)-(0))&gt;=0,1,-1)*QUOTIENT(((c_TMAP1IN)-(c_TFWD)),2)))&gt;=0,1,0)))</f>
        <v>770</v>
      </c>
      <c r="N357" s="7" t="n">
        <f aca="false">IF(((c_TMAP2IN)-(c_TMAP1IN))=0,(c_TMAP1OUT)+QUOTIENT(((c_TMAP2OUT)-(c_TMAP1OUT)),2),QUOTIENT((((K357)-(c_TMAP1IN))*((c_TMAP2OUT)-(c_TMAP1OUT))+IF(((c_TMAP2OUT)-(c_TMAP1OUT))&gt;=0,1,-1)*QUOTIENT(((c_TMAP2IN)-(c_TMAP1IN)),2)),((c_TMAP2IN)-(c_TMAP1IN)))+(c_TMAP1OUT)+IF(((c_TMAP2OUT)-(c_TMAP1OUT))&gt;=0,IF(IF(o_WRAP=1,MOD(((c_TMAP2IN)-(c_TMAP1IN))*(((K357)-(c_TMAP1IN))*((c_TMAP2OUT)-(c_TMAP1OUT))+IF(((c_TMAP2OUT)-(c_TMAP1OUT))&gt;=0,1,-1)*QUOTIENT(((c_TMAP2IN)-(c_TMAP1IN)),2))+2147483648,4294967296)-2147483648,((c_TMAP2IN)-(c_TMAP1IN))*(((K357)-(c_TMAP1IN))*((c_TMAP2OUT)-(c_TMAP1OUT))+IF(((c_TMAP2OUT)-(c_TMAP1OUT))&gt;=0,1,-1)*QUOTIENT(((c_TMAP2IN)-(c_TMAP1IN)),2)))&lt;0,-1,0),IF(IF(o_WRAP=1,MOD(((c_TMAP2IN)-(c_TMAP1IN))*(((K357)-(c_TMAP1IN))*((c_TMAP2OUT)-(c_TMAP1OUT))+IF(((c_TMAP2OUT)-(c_TMAP1OUT))&gt;=0,1,-1)*QUOTIENT(((c_TMAP2IN)-(c_TMAP1IN)),2))+2147483648,4294967296)-2147483648,((c_TMAP2IN)-(c_TMAP1IN))*(((K357)-(c_TMAP1IN))*((c_TMAP2OUT)-(c_TMAP1OUT))+IF(((c_TMAP2OUT)-(c_TMAP1OUT))&gt;=0,1,-1)*QUOTIENT(((c_TMAP2IN)-(c_TMAP1IN)),2)))&gt;=0,1,0)))</f>
        <v>430</v>
      </c>
      <c r="O357" s="7" t="n">
        <f aca="false">IF(((c_TMAP3IN)-(c_TMAP2IN))=0,(c_TMAP2OUT)+QUOTIENT(((c_TMAP3OUT)-(c_TMAP2OUT)),2),QUOTIENT((((K357)-(c_TMAP2IN))*((c_TMAP3OUT)-(c_TMAP2OUT))+IF(((c_TMAP3OUT)-(c_TMAP2OUT))&gt;=0,1,-1)*QUOTIENT(((c_TMAP3IN)-(c_TMAP2IN)),2)),((c_TMAP3IN)-(c_TMAP2IN)))+(c_TMAP2OUT)+IF(((c_TMAP3OUT)-(c_TMAP2OUT))&gt;=0,IF(IF(o_WRAP=1,MOD(((c_TMAP3IN)-(c_TMAP2IN))*(((K357)-(c_TMAP2IN))*((c_TMAP3OUT)-(c_TMAP2OUT))+IF(((c_TMAP3OUT)-(c_TMAP2OUT))&gt;=0,1,-1)*QUOTIENT(((c_TMAP3IN)-(c_TMAP2IN)),2))+2147483648,4294967296)-2147483648,((c_TMAP3IN)-(c_TMAP2IN))*(((K357)-(c_TMAP2IN))*((c_TMAP3OUT)-(c_TMAP2OUT))+IF(((c_TMAP3OUT)-(c_TMAP2OUT))&gt;=0,1,-1)*QUOTIENT(((c_TMAP3IN)-(c_TMAP2IN)),2)))&lt;0,-1,0),IF(IF(o_WRAP=1,MOD(((c_TMAP3IN)-(c_TMAP2IN))*(((K357)-(c_TMAP2IN))*((c_TMAP3OUT)-(c_TMAP2OUT))+IF(((c_TMAP3OUT)-(c_TMAP2OUT))&gt;=0,1,-1)*QUOTIENT(((c_TMAP3IN)-(c_TMAP2IN)),2))+2147483648,4294967296)-2147483648,((c_TMAP3IN)-(c_TMAP2IN))*(((K357)-(c_TMAP2IN))*((c_TMAP3OUT)-(c_TMAP2OUT))+IF(((c_TMAP3OUT)-(c_TMAP2OUT))&gt;=0,1,-1)*QUOTIENT(((c_TMAP3IN)-(c_TMAP2IN)),2)))&gt;=0,1,0)))</f>
        <v>655</v>
      </c>
      <c r="P357" s="7" t="n">
        <f aca="false">IF(((1000)-(c_TMAP3IN))=0,(c_TMAP3OUT)+QUOTIENT(((1000)-(c_TMAP3OUT)),2),QUOTIENT((((K357)-(c_TMAP3IN))*((1000)-(c_TMAP3OUT))+IF(((1000)-(c_TMAP3OUT))&gt;=0,1,-1)*QUOTIENT(((1000)-(c_TMAP3IN)),2)),((1000)-(c_TMAP3IN)))+(c_TMAP3OUT)+IF(((1000)-(c_TMAP3OUT))&gt;=0,IF(IF(o_WRAP=1,MOD(((1000)-(c_TMAP3IN))*(((K357)-(c_TMAP3IN))*((1000)-(c_TMAP3OUT))+IF(((1000)-(c_TMAP3OUT))&gt;=0,1,-1)*QUOTIENT(((1000)-(c_TMAP3IN)),2))+2147483648,4294967296)-2147483648,((1000)-(c_TMAP3IN))*(((K357)-(c_TMAP3IN))*((1000)-(c_TMAP3OUT))+IF(((1000)-(c_TMAP3OUT))&gt;=0,1,-1)*QUOTIENT(((1000)-(c_TMAP3IN)),2)))&lt;0,-1,0),IF(IF(o_WRAP=1,MOD(((1000)-(c_TMAP3IN))*(((K357)-(c_TMAP3IN))*((1000)-(c_TMAP3OUT))+IF(((1000)-(c_TMAP3OUT))&gt;=0,1,-1)*QUOTIENT(((1000)-(c_TMAP3IN)),2))+2147483648,4294967296)-2147483648,((1000)-(c_TMAP3IN))*(((K357)-(c_TMAP3IN))*((1000)-(c_TMAP3OUT))+IF(((1000)-(c_TMAP3OUT))&gt;=0,1,-1)*QUOTIENT(((1000)-(c_TMAP3IN)),2)))&gt;=0,1,0)))</f>
        <v>1000</v>
      </c>
      <c r="Q357" s="7" t="str">
        <f aca="false">IF(K357&gt;=c_TFWD,IF(AND(K357&gt;=c_TMAP3IN,c_TMAP3IN&lt;1000),"Seg4 map3-100%",IF(AND(K357&gt;=c_TMAP2IN,c_TMAP3IN&gt;c_TMAP2IN),"Seg3 map2-map3",IF(AND(K357&gt;=c_TMAP1IN,c_TMAP2IN&gt;c_TMAP1IN),"Seg2 map1-map2","Seg1 TFWD-map1"))),IF(AND(K357=0,c_TCREEP&gt;0),"Creep",IF(AND(K357&lt;=c_TRNGMIN,K357&gt;=c_TRNGMAX,c_TRNGMIN-c_TRNGMAX&lt;&gt;0),"Regen ramp","Coast (0)")))</f>
        <v>Seg4 map3-100%</v>
      </c>
      <c r="R357" s="7" t="n">
        <f aca="false">IF(K357&gt;=c_TFWD,IF(AND(K357&gt;=c_TMAP3IN,c_TMAP3IN&lt;1000),P357,IF(AND(K357&gt;=c_TMAP2IN,c_TMAP3IN&gt;c_TMAP2IN),O357,IF(AND(K357&gt;=c_TMAP1IN,c_TMAP2IN&gt;c_TMAP1IN),N357,M357))),L357)</f>
        <v>1000</v>
      </c>
      <c r="S357" s="7" t="str">
        <f aca="false">IF(R357&lt;-1090,"TOO LOW",IF(R357&gt;1090,"TOO HIGH",""))</f>
        <v/>
      </c>
      <c r="T357" s="15" t="n">
        <f aca="false">IF(H357&lt;&gt;"OK",0,IF(S357&lt;&gt;"",0,IF(R357&gt;979,1000,R357)))</f>
        <v>1000</v>
      </c>
      <c r="U357" s="7" t="n">
        <f aca="false">T357/10</f>
        <v>100</v>
      </c>
    </row>
    <row r="358" customFormat="false" ht="15" hidden="false" customHeight="false" outlineLevel="0" collapsed="false">
      <c r="A358" s="7" t="n">
        <v>353</v>
      </c>
      <c r="B358" s="7" t="n">
        <f aca="false">ROUND(o_SWSTART+A358*(o_SWEND-o_SWSTART)/400,0)</f>
        <v>3614</v>
      </c>
      <c r="C358" s="7" t="n">
        <f aca="false">QUOTIENT((B358-c_OFF1)*c_GAIN1,1024)</f>
        <v>3614</v>
      </c>
      <c r="D358" s="7" t="n">
        <f aca="false">IF(((c_T1MX)-(c_T1MN))=0,(0)+QUOTIENT(((1000)-(0)),2),QUOTIENT((((C358)-(c_T1MN))*((1000)-(0))+IF(((1000)-(0))&gt;=0,1,-1)*QUOTIENT(((c_T1MX)-(c_T1MN)),2)),((c_T1MX)-(c_T1MN)))+(0)+IF(((1000)-(0))&gt;=0,IF(IF(o_WRAP=1,MOD(((c_T1MX)-(c_T1MN))*(((C358)-(c_T1MN))*((1000)-(0))+IF(((1000)-(0))&gt;=0,1,-1)*QUOTIENT(((c_T1MX)-(c_T1MN)),2))+2147483648,4294967296)-2147483648,((c_T1MX)-(c_T1MN))*(((C358)-(c_T1MN))*((1000)-(0))+IF(((1000)-(0))&gt;=0,1,-1)*QUOTIENT(((c_T1MX)-(c_T1MN)),2)))&lt;0,-1,0),IF(IF(o_WRAP=1,MOD(((c_T1MX)-(c_T1MN))*(((C358)-(c_T1MN))*((1000)-(0))+IF(((1000)-(0))&gt;=0,1,-1)*QUOTIENT(((c_T1MX)-(c_T1MN)),2))+2147483648,4294967296)-2147483648,((c_T1MX)-(c_T1MN))*(((C358)-(c_T1MN))*((1000)-(0))+IF(((1000)-(0))&gt;=0,1,-1)*QUOTIENT(((c_T1MX)-(c_T1MN)),2)))&gt;=0,1,0)))</f>
        <v>1048</v>
      </c>
      <c r="E358" s="7" t="n">
        <f aca="false">IF(AND(c_TPOT=1,c_TTYPE=2),1000-D358,D358)</f>
        <v>1048</v>
      </c>
      <c r="F358" s="7" t="str">
        <f aca="false">IF(c_TPOT&gt;1,ROUND(IF(c_TTYPE=2,c_T2MX-IF(c_T1MX=c_T1MN,0,(C358-c_T1MN)/(c_T1MX-c_T1MN))*(c_T2MX-c_T2MN),c_T2MN+IF(c_T1MX=c_T1MN,0,(C358-c_T1MN)/(c_T1MX-c_T1MN))*(c_T2MX-c_T2MN))+o_MISMATCH,0),"")</f>
        <v/>
      </c>
      <c r="G358" s="7" t="str">
        <f aca="false">IF(c_TPOT&gt;1,IF(((c_T2MX)-(c_T2MN))=0,(0)+QUOTIENT(((1000)-(0)),2),QUOTIENT((((F358)-(c_T2MN))*((1000)-(0))+IF(((1000)-(0))&gt;=0,1,-1)*QUOTIENT(((c_T2MX)-(c_T2MN)),2)),((c_T2MX)-(c_T2MN)))+(0)+IF(((1000)-(0))&gt;=0,IF(IF(o_WRAP=1,MOD(((c_T2MX)-(c_T2MN))*(((F358)-(c_T2MN))*((1000)-(0))+IF(((1000)-(0))&gt;=0,1,-1)*QUOTIENT(((c_T2MX)-(c_T2MN)),2))+2147483648,4294967296)-2147483648,((c_T2MX)-(c_T2MN))*(((F358)-(c_T2MN))*((1000)-(0))+IF(((1000)-(0))&gt;=0,1,-1)*QUOTIENT(((c_T2MX)-(c_T2MN)),2)))&lt;0,-1,0),IF(IF(o_WRAP=1,MOD(((c_T2MX)-(c_T2MN))*(((F358)-(c_T2MN))*((1000)-(0))+IF(((1000)-(0))&gt;=0,1,-1)*QUOTIENT(((c_T2MX)-(c_T2MN)),2))+2147483648,4294967296)-2147483648,((c_T2MX)-(c_T2MN))*(((F358)-(c_T2MN))*((1000)-(0))+IF(((1000)-(0))&gt;=0,1,-1)*QUOTIENT(((c_T2MX)-(c_T2MN)),2)))&gt;=0,1,0))),"")</f>
        <v/>
      </c>
      <c r="H358" s="7" t="str">
        <f aca="false">IF(E358&gt;1000+k_TOL,"T1 HIGH",IF(E358&lt;0-k_TOL,"T1 LOW",IF(c_TPOT&gt;1,IF(G358&gt;1000+k_TOL,"T2 HIGH",IF(G358&lt;0-k_TOL,"T2 LOW",IF(c_TTYPE=2,IF(ABS(1000-MAX(0,MIN(1000,E358))-MAX(0,MIN(1000,G358)))&gt;k_MAXERR,"MISMATCH","OK"),IF(OR(MAX(0,MIN(1000,E358))-k_MAXERR&gt;MAX(0,MIN(1000,G358)),MAX(0,MIN(1000,G358))-k_MAXERR&gt;MAX(0,MIN(1000,E358))),"MISMATCH","OK")))),"OK")))</f>
        <v>OK</v>
      </c>
      <c r="I358" s="7" t="n">
        <f aca="false">MAX(0,MIN(1000,D358))</f>
        <v>1000</v>
      </c>
      <c r="J358" s="7" t="str">
        <f aca="false">IF(c_TPOT&gt;1,IF(c_TTYPE=2,1000-MAX(0,MIN(1000,G358)),MAX(0,MIN(1000,G358))),"")</f>
        <v/>
      </c>
      <c r="K358" s="7" t="n">
        <f aca="false">IF(c_TPOT&gt;1,QUOTIENT(I358+J358,2),I358)</f>
        <v>1000</v>
      </c>
      <c r="L358" s="7" t="n">
        <f aca="false">IF(AND(K358=0,c_TCREEP&gt;0),10*c_TCREEP,IF(AND(K358&lt;=c_TRNGMIN,K358&gt;=c_TRNGMAX,c_TRNGMIN-c_TRNGMAX&lt;&gt;0),-10*c_TMINRN+QUOTIENT((c_TMAXRN-c_TMINRN)*(100-QUOTIENT((K358-c_TRNGMAX)*100,c_TRNGMIN-c_TRNGMAX)),-10),0))</f>
        <v>0</v>
      </c>
      <c r="M358" s="7" t="n">
        <f aca="false">IF(((c_TMAP1IN)-(c_TFWD))=0,(0)+QUOTIENT(((c_TMAP1OUT)-(0)),2),QUOTIENT((((K358)-(c_TFWD))*((c_TMAP1OUT)-(0))+IF(((c_TMAP1OUT)-(0))&gt;=0,1,-1)*QUOTIENT(((c_TMAP1IN)-(c_TFWD)),2)),((c_TMAP1IN)-(c_TFWD)))+(0)+IF(((c_TMAP1OUT)-(0))&gt;=0,IF(IF(o_WRAP=1,MOD(((c_TMAP1IN)-(c_TFWD))*(((K358)-(c_TFWD))*((c_TMAP1OUT)-(0))+IF(((c_TMAP1OUT)-(0))&gt;=0,1,-1)*QUOTIENT(((c_TMAP1IN)-(c_TFWD)),2))+2147483648,4294967296)-2147483648,((c_TMAP1IN)-(c_TFWD))*(((K358)-(c_TFWD))*((c_TMAP1OUT)-(0))+IF(((c_TMAP1OUT)-(0))&gt;=0,1,-1)*QUOTIENT(((c_TMAP1IN)-(c_TFWD)),2)))&lt;0,-1,0),IF(IF(o_WRAP=1,MOD(((c_TMAP1IN)-(c_TFWD))*(((K358)-(c_TFWD))*((c_TMAP1OUT)-(0))+IF(((c_TMAP1OUT)-(0))&gt;=0,1,-1)*QUOTIENT(((c_TMAP1IN)-(c_TFWD)),2))+2147483648,4294967296)-2147483648,((c_TMAP1IN)-(c_TFWD))*(((K358)-(c_TFWD))*((c_TMAP1OUT)-(0))+IF(((c_TMAP1OUT)-(0))&gt;=0,1,-1)*QUOTIENT(((c_TMAP1IN)-(c_TFWD)),2)))&gt;=0,1,0)))</f>
        <v>770</v>
      </c>
      <c r="N358" s="7" t="n">
        <f aca="false">IF(((c_TMAP2IN)-(c_TMAP1IN))=0,(c_TMAP1OUT)+QUOTIENT(((c_TMAP2OUT)-(c_TMAP1OUT)),2),QUOTIENT((((K358)-(c_TMAP1IN))*((c_TMAP2OUT)-(c_TMAP1OUT))+IF(((c_TMAP2OUT)-(c_TMAP1OUT))&gt;=0,1,-1)*QUOTIENT(((c_TMAP2IN)-(c_TMAP1IN)),2)),((c_TMAP2IN)-(c_TMAP1IN)))+(c_TMAP1OUT)+IF(((c_TMAP2OUT)-(c_TMAP1OUT))&gt;=0,IF(IF(o_WRAP=1,MOD(((c_TMAP2IN)-(c_TMAP1IN))*(((K358)-(c_TMAP1IN))*((c_TMAP2OUT)-(c_TMAP1OUT))+IF(((c_TMAP2OUT)-(c_TMAP1OUT))&gt;=0,1,-1)*QUOTIENT(((c_TMAP2IN)-(c_TMAP1IN)),2))+2147483648,4294967296)-2147483648,((c_TMAP2IN)-(c_TMAP1IN))*(((K358)-(c_TMAP1IN))*((c_TMAP2OUT)-(c_TMAP1OUT))+IF(((c_TMAP2OUT)-(c_TMAP1OUT))&gt;=0,1,-1)*QUOTIENT(((c_TMAP2IN)-(c_TMAP1IN)),2)))&lt;0,-1,0),IF(IF(o_WRAP=1,MOD(((c_TMAP2IN)-(c_TMAP1IN))*(((K358)-(c_TMAP1IN))*((c_TMAP2OUT)-(c_TMAP1OUT))+IF(((c_TMAP2OUT)-(c_TMAP1OUT))&gt;=0,1,-1)*QUOTIENT(((c_TMAP2IN)-(c_TMAP1IN)),2))+2147483648,4294967296)-2147483648,((c_TMAP2IN)-(c_TMAP1IN))*(((K358)-(c_TMAP1IN))*((c_TMAP2OUT)-(c_TMAP1OUT))+IF(((c_TMAP2OUT)-(c_TMAP1OUT))&gt;=0,1,-1)*QUOTIENT(((c_TMAP2IN)-(c_TMAP1IN)),2)))&gt;=0,1,0)))</f>
        <v>430</v>
      </c>
      <c r="O358" s="7" t="n">
        <f aca="false">IF(((c_TMAP3IN)-(c_TMAP2IN))=0,(c_TMAP2OUT)+QUOTIENT(((c_TMAP3OUT)-(c_TMAP2OUT)),2),QUOTIENT((((K358)-(c_TMAP2IN))*((c_TMAP3OUT)-(c_TMAP2OUT))+IF(((c_TMAP3OUT)-(c_TMAP2OUT))&gt;=0,1,-1)*QUOTIENT(((c_TMAP3IN)-(c_TMAP2IN)),2)),((c_TMAP3IN)-(c_TMAP2IN)))+(c_TMAP2OUT)+IF(((c_TMAP3OUT)-(c_TMAP2OUT))&gt;=0,IF(IF(o_WRAP=1,MOD(((c_TMAP3IN)-(c_TMAP2IN))*(((K358)-(c_TMAP2IN))*((c_TMAP3OUT)-(c_TMAP2OUT))+IF(((c_TMAP3OUT)-(c_TMAP2OUT))&gt;=0,1,-1)*QUOTIENT(((c_TMAP3IN)-(c_TMAP2IN)),2))+2147483648,4294967296)-2147483648,((c_TMAP3IN)-(c_TMAP2IN))*(((K358)-(c_TMAP2IN))*((c_TMAP3OUT)-(c_TMAP2OUT))+IF(((c_TMAP3OUT)-(c_TMAP2OUT))&gt;=0,1,-1)*QUOTIENT(((c_TMAP3IN)-(c_TMAP2IN)),2)))&lt;0,-1,0),IF(IF(o_WRAP=1,MOD(((c_TMAP3IN)-(c_TMAP2IN))*(((K358)-(c_TMAP2IN))*((c_TMAP3OUT)-(c_TMAP2OUT))+IF(((c_TMAP3OUT)-(c_TMAP2OUT))&gt;=0,1,-1)*QUOTIENT(((c_TMAP3IN)-(c_TMAP2IN)),2))+2147483648,4294967296)-2147483648,((c_TMAP3IN)-(c_TMAP2IN))*(((K358)-(c_TMAP2IN))*((c_TMAP3OUT)-(c_TMAP2OUT))+IF(((c_TMAP3OUT)-(c_TMAP2OUT))&gt;=0,1,-1)*QUOTIENT(((c_TMAP3IN)-(c_TMAP2IN)),2)))&gt;=0,1,0)))</f>
        <v>655</v>
      </c>
      <c r="P358" s="7" t="n">
        <f aca="false">IF(((1000)-(c_TMAP3IN))=0,(c_TMAP3OUT)+QUOTIENT(((1000)-(c_TMAP3OUT)),2),QUOTIENT((((K358)-(c_TMAP3IN))*((1000)-(c_TMAP3OUT))+IF(((1000)-(c_TMAP3OUT))&gt;=0,1,-1)*QUOTIENT(((1000)-(c_TMAP3IN)),2)),((1000)-(c_TMAP3IN)))+(c_TMAP3OUT)+IF(((1000)-(c_TMAP3OUT))&gt;=0,IF(IF(o_WRAP=1,MOD(((1000)-(c_TMAP3IN))*(((K358)-(c_TMAP3IN))*((1000)-(c_TMAP3OUT))+IF(((1000)-(c_TMAP3OUT))&gt;=0,1,-1)*QUOTIENT(((1000)-(c_TMAP3IN)),2))+2147483648,4294967296)-2147483648,((1000)-(c_TMAP3IN))*(((K358)-(c_TMAP3IN))*((1000)-(c_TMAP3OUT))+IF(((1000)-(c_TMAP3OUT))&gt;=0,1,-1)*QUOTIENT(((1000)-(c_TMAP3IN)),2)))&lt;0,-1,0),IF(IF(o_WRAP=1,MOD(((1000)-(c_TMAP3IN))*(((K358)-(c_TMAP3IN))*((1000)-(c_TMAP3OUT))+IF(((1000)-(c_TMAP3OUT))&gt;=0,1,-1)*QUOTIENT(((1000)-(c_TMAP3IN)),2))+2147483648,4294967296)-2147483648,((1000)-(c_TMAP3IN))*(((K358)-(c_TMAP3IN))*((1000)-(c_TMAP3OUT))+IF(((1000)-(c_TMAP3OUT))&gt;=0,1,-1)*QUOTIENT(((1000)-(c_TMAP3IN)),2)))&gt;=0,1,0)))</f>
        <v>1000</v>
      </c>
      <c r="Q358" s="7" t="str">
        <f aca="false">IF(K358&gt;=c_TFWD,IF(AND(K358&gt;=c_TMAP3IN,c_TMAP3IN&lt;1000),"Seg4 map3-100%",IF(AND(K358&gt;=c_TMAP2IN,c_TMAP3IN&gt;c_TMAP2IN),"Seg3 map2-map3",IF(AND(K358&gt;=c_TMAP1IN,c_TMAP2IN&gt;c_TMAP1IN),"Seg2 map1-map2","Seg1 TFWD-map1"))),IF(AND(K358=0,c_TCREEP&gt;0),"Creep",IF(AND(K358&lt;=c_TRNGMIN,K358&gt;=c_TRNGMAX,c_TRNGMIN-c_TRNGMAX&lt;&gt;0),"Regen ramp","Coast (0)")))</f>
        <v>Seg4 map3-100%</v>
      </c>
      <c r="R358" s="7" t="n">
        <f aca="false">IF(K358&gt;=c_TFWD,IF(AND(K358&gt;=c_TMAP3IN,c_TMAP3IN&lt;1000),P358,IF(AND(K358&gt;=c_TMAP2IN,c_TMAP3IN&gt;c_TMAP2IN),O358,IF(AND(K358&gt;=c_TMAP1IN,c_TMAP2IN&gt;c_TMAP1IN),N358,M358))),L358)</f>
        <v>1000</v>
      </c>
      <c r="S358" s="7" t="str">
        <f aca="false">IF(R358&lt;-1090,"TOO LOW",IF(R358&gt;1090,"TOO HIGH",""))</f>
        <v/>
      </c>
      <c r="T358" s="15" t="n">
        <f aca="false">IF(H358&lt;&gt;"OK",0,IF(S358&lt;&gt;"",0,IF(R358&gt;979,1000,R358)))</f>
        <v>1000</v>
      </c>
      <c r="U358" s="7" t="n">
        <f aca="false">T358/10</f>
        <v>100</v>
      </c>
    </row>
    <row r="359" customFormat="false" ht="15" hidden="false" customHeight="false" outlineLevel="0" collapsed="false">
      <c r="A359" s="7" t="n">
        <v>354</v>
      </c>
      <c r="B359" s="7" t="n">
        <f aca="false">ROUND(o_SWSTART+A359*(o_SWEND-o_SWSTART)/400,0)</f>
        <v>3624</v>
      </c>
      <c r="C359" s="7" t="n">
        <f aca="false">QUOTIENT((B359-c_OFF1)*c_GAIN1,1024)</f>
        <v>3624</v>
      </c>
      <c r="D359" s="7" t="n">
        <f aca="false">IF(((c_T1MX)-(c_T1MN))=0,(0)+QUOTIENT(((1000)-(0)),2),QUOTIENT((((C359)-(c_T1MN))*((1000)-(0))+IF(((1000)-(0))&gt;=0,1,-1)*QUOTIENT(((c_T1MX)-(c_T1MN)),2)),((c_T1MX)-(c_T1MN)))+(0)+IF(((1000)-(0))&gt;=0,IF(IF(o_WRAP=1,MOD(((c_T1MX)-(c_T1MN))*(((C359)-(c_T1MN))*((1000)-(0))+IF(((1000)-(0))&gt;=0,1,-1)*QUOTIENT(((c_T1MX)-(c_T1MN)),2))+2147483648,4294967296)-2147483648,((c_T1MX)-(c_T1MN))*(((C359)-(c_T1MN))*((1000)-(0))+IF(((1000)-(0))&gt;=0,1,-1)*QUOTIENT(((c_T1MX)-(c_T1MN)),2)))&lt;0,-1,0),IF(IF(o_WRAP=1,MOD(((c_T1MX)-(c_T1MN))*(((C359)-(c_T1MN))*((1000)-(0))+IF(((1000)-(0))&gt;=0,1,-1)*QUOTIENT(((c_T1MX)-(c_T1MN)),2))+2147483648,4294967296)-2147483648,((c_T1MX)-(c_T1MN))*(((C359)-(c_T1MN))*((1000)-(0))+IF(((1000)-(0))&gt;=0,1,-1)*QUOTIENT(((c_T1MX)-(c_T1MN)),2)))&gt;=0,1,0)))</f>
        <v>1052</v>
      </c>
      <c r="E359" s="7" t="n">
        <f aca="false">IF(AND(c_TPOT=1,c_TTYPE=2),1000-D359,D359)</f>
        <v>1052</v>
      </c>
      <c r="F359" s="7" t="str">
        <f aca="false">IF(c_TPOT&gt;1,ROUND(IF(c_TTYPE=2,c_T2MX-IF(c_T1MX=c_T1MN,0,(C359-c_T1MN)/(c_T1MX-c_T1MN))*(c_T2MX-c_T2MN),c_T2MN+IF(c_T1MX=c_T1MN,0,(C359-c_T1MN)/(c_T1MX-c_T1MN))*(c_T2MX-c_T2MN))+o_MISMATCH,0),"")</f>
        <v/>
      </c>
      <c r="G359" s="7" t="str">
        <f aca="false">IF(c_TPOT&gt;1,IF(((c_T2MX)-(c_T2MN))=0,(0)+QUOTIENT(((1000)-(0)),2),QUOTIENT((((F359)-(c_T2MN))*((1000)-(0))+IF(((1000)-(0))&gt;=0,1,-1)*QUOTIENT(((c_T2MX)-(c_T2MN)),2)),((c_T2MX)-(c_T2MN)))+(0)+IF(((1000)-(0))&gt;=0,IF(IF(o_WRAP=1,MOD(((c_T2MX)-(c_T2MN))*(((F359)-(c_T2MN))*((1000)-(0))+IF(((1000)-(0))&gt;=0,1,-1)*QUOTIENT(((c_T2MX)-(c_T2MN)),2))+2147483648,4294967296)-2147483648,((c_T2MX)-(c_T2MN))*(((F359)-(c_T2MN))*((1000)-(0))+IF(((1000)-(0))&gt;=0,1,-1)*QUOTIENT(((c_T2MX)-(c_T2MN)),2)))&lt;0,-1,0),IF(IF(o_WRAP=1,MOD(((c_T2MX)-(c_T2MN))*(((F359)-(c_T2MN))*((1000)-(0))+IF(((1000)-(0))&gt;=0,1,-1)*QUOTIENT(((c_T2MX)-(c_T2MN)),2))+2147483648,4294967296)-2147483648,((c_T2MX)-(c_T2MN))*(((F359)-(c_T2MN))*((1000)-(0))+IF(((1000)-(0))&gt;=0,1,-1)*QUOTIENT(((c_T2MX)-(c_T2MN)),2)))&gt;=0,1,0))),"")</f>
        <v/>
      </c>
      <c r="H359" s="7" t="str">
        <f aca="false">IF(E359&gt;1000+k_TOL,"T1 HIGH",IF(E359&lt;0-k_TOL,"T1 LOW",IF(c_TPOT&gt;1,IF(G359&gt;1000+k_TOL,"T2 HIGH",IF(G359&lt;0-k_TOL,"T2 LOW",IF(c_TTYPE=2,IF(ABS(1000-MAX(0,MIN(1000,E359))-MAX(0,MIN(1000,G359)))&gt;k_MAXERR,"MISMATCH","OK"),IF(OR(MAX(0,MIN(1000,E359))-k_MAXERR&gt;MAX(0,MIN(1000,G359)),MAX(0,MIN(1000,G359))-k_MAXERR&gt;MAX(0,MIN(1000,E359))),"MISMATCH","OK")))),"OK")))</f>
        <v>OK</v>
      </c>
      <c r="I359" s="7" t="n">
        <f aca="false">MAX(0,MIN(1000,D359))</f>
        <v>1000</v>
      </c>
      <c r="J359" s="7" t="str">
        <f aca="false">IF(c_TPOT&gt;1,IF(c_TTYPE=2,1000-MAX(0,MIN(1000,G359)),MAX(0,MIN(1000,G359))),"")</f>
        <v/>
      </c>
      <c r="K359" s="7" t="n">
        <f aca="false">IF(c_TPOT&gt;1,QUOTIENT(I359+J359,2),I359)</f>
        <v>1000</v>
      </c>
      <c r="L359" s="7" t="n">
        <f aca="false">IF(AND(K359=0,c_TCREEP&gt;0),10*c_TCREEP,IF(AND(K359&lt;=c_TRNGMIN,K359&gt;=c_TRNGMAX,c_TRNGMIN-c_TRNGMAX&lt;&gt;0),-10*c_TMINRN+QUOTIENT((c_TMAXRN-c_TMINRN)*(100-QUOTIENT((K359-c_TRNGMAX)*100,c_TRNGMIN-c_TRNGMAX)),-10),0))</f>
        <v>0</v>
      </c>
      <c r="M359" s="7" t="n">
        <f aca="false">IF(((c_TMAP1IN)-(c_TFWD))=0,(0)+QUOTIENT(((c_TMAP1OUT)-(0)),2),QUOTIENT((((K359)-(c_TFWD))*((c_TMAP1OUT)-(0))+IF(((c_TMAP1OUT)-(0))&gt;=0,1,-1)*QUOTIENT(((c_TMAP1IN)-(c_TFWD)),2)),((c_TMAP1IN)-(c_TFWD)))+(0)+IF(((c_TMAP1OUT)-(0))&gt;=0,IF(IF(o_WRAP=1,MOD(((c_TMAP1IN)-(c_TFWD))*(((K359)-(c_TFWD))*((c_TMAP1OUT)-(0))+IF(((c_TMAP1OUT)-(0))&gt;=0,1,-1)*QUOTIENT(((c_TMAP1IN)-(c_TFWD)),2))+2147483648,4294967296)-2147483648,((c_TMAP1IN)-(c_TFWD))*(((K359)-(c_TFWD))*((c_TMAP1OUT)-(0))+IF(((c_TMAP1OUT)-(0))&gt;=0,1,-1)*QUOTIENT(((c_TMAP1IN)-(c_TFWD)),2)))&lt;0,-1,0),IF(IF(o_WRAP=1,MOD(((c_TMAP1IN)-(c_TFWD))*(((K359)-(c_TFWD))*((c_TMAP1OUT)-(0))+IF(((c_TMAP1OUT)-(0))&gt;=0,1,-1)*QUOTIENT(((c_TMAP1IN)-(c_TFWD)),2))+2147483648,4294967296)-2147483648,((c_TMAP1IN)-(c_TFWD))*(((K359)-(c_TFWD))*((c_TMAP1OUT)-(0))+IF(((c_TMAP1OUT)-(0))&gt;=0,1,-1)*QUOTIENT(((c_TMAP1IN)-(c_TFWD)),2)))&gt;=0,1,0)))</f>
        <v>770</v>
      </c>
      <c r="N359" s="7" t="n">
        <f aca="false">IF(((c_TMAP2IN)-(c_TMAP1IN))=0,(c_TMAP1OUT)+QUOTIENT(((c_TMAP2OUT)-(c_TMAP1OUT)),2),QUOTIENT((((K359)-(c_TMAP1IN))*((c_TMAP2OUT)-(c_TMAP1OUT))+IF(((c_TMAP2OUT)-(c_TMAP1OUT))&gt;=0,1,-1)*QUOTIENT(((c_TMAP2IN)-(c_TMAP1IN)),2)),((c_TMAP2IN)-(c_TMAP1IN)))+(c_TMAP1OUT)+IF(((c_TMAP2OUT)-(c_TMAP1OUT))&gt;=0,IF(IF(o_WRAP=1,MOD(((c_TMAP2IN)-(c_TMAP1IN))*(((K359)-(c_TMAP1IN))*((c_TMAP2OUT)-(c_TMAP1OUT))+IF(((c_TMAP2OUT)-(c_TMAP1OUT))&gt;=0,1,-1)*QUOTIENT(((c_TMAP2IN)-(c_TMAP1IN)),2))+2147483648,4294967296)-2147483648,((c_TMAP2IN)-(c_TMAP1IN))*(((K359)-(c_TMAP1IN))*((c_TMAP2OUT)-(c_TMAP1OUT))+IF(((c_TMAP2OUT)-(c_TMAP1OUT))&gt;=0,1,-1)*QUOTIENT(((c_TMAP2IN)-(c_TMAP1IN)),2)))&lt;0,-1,0),IF(IF(o_WRAP=1,MOD(((c_TMAP2IN)-(c_TMAP1IN))*(((K359)-(c_TMAP1IN))*((c_TMAP2OUT)-(c_TMAP1OUT))+IF(((c_TMAP2OUT)-(c_TMAP1OUT))&gt;=0,1,-1)*QUOTIENT(((c_TMAP2IN)-(c_TMAP1IN)),2))+2147483648,4294967296)-2147483648,((c_TMAP2IN)-(c_TMAP1IN))*(((K359)-(c_TMAP1IN))*((c_TMAP2OUT)-(c_TMAP1OUT))+IF(((c_TMAP2OUT)-(c_TMAP1OUT))&gt;=0,1,-1)*QUOTIENT(((c_TMAP2IN)-(c_TMAP1IN)),2)))&gt;=0,1,0)))</f>
        <v>430</v>
      </c>
      <c r="O359" s="7" t="n">
        <f aca="false">IF(((c_TMAP3IN)-(c_TMAP2IN))=0,(c_TMAP2OUT)+QUOTIENT(((c_TMAP3OUT)-(c_TMAP2OUT)),2),QUOTIENT((((K359)-(c_TMAP2IN))*((c_TMAP3OUT)-(c_TMAP2OUT))+IF(((c_TMAP3OUT)-(c_TMAP2OUT))&gt;=0,1,-1)*QUOTIENT(((c_TMAP3IN)-(c_TMAP2IN)),2)),((c_TMAP3IN)-(c_TMAP2IN)))+(c_TMAP2OUT)+IF(((c_TMAP3OUT)-(c_TMAP2OUT))&gt;=0,IF(IF(o_WRAP=1,MOD(((c_TMAP3IN)-(c_TMAP2IN))*(((K359)-(c_TMAP2IN))*((c_TMAP3OUT)-(c_TMAP2OUT))+IF(((c_TMAP3OUT)-(c_TMAP2OUT))&gt;=0,1,-1)*QUOTIENT(((c_TMAP3IN)-(c_TMAP2IN)),2))+2147483648,4294967296)-2147483648,((c_TMAP3IN)-(c_TMAP2IN))*(((K359)-(c_TMAP2IN))*((c_TMAP3OUT)-(c_TMAP2OUT))+IF(((c_TMAP3OUT)-(c_TMAP2OUT))&gt;=0,1,-1)*QUOTIENT(((c_TMAP3IN)-(c_TMAP2IN)),2)))&lt;0,-1,0),IF(IF(o_WRAP=1,MOD(((c_TMAP3IN)-(c_TMAP2IN))*(((K359)-(c_TMAP2IN))*((c_TMAP3OUT)-(c_TMAP2OUT))+IF(((c_TMAP3OUT)-(c_TMAP2OUT))&gt;=0,1,-1)*QUOTIENT(((c_TMAP3IN)-(c_TMAP2IN)),2))+2147483648,4294967296)-2147483648,((c_TMAP3IN)-(c_TMAP2IN))*(((K359)-(c_TMAP2IN))*((c_TMAP3OUT)-(c_TMAP2OUT))+IF(((c_TMAP3OUT)-(c_TMAP2OUT))&gt;=0,1,-1)*QUOTIENT(((c_TMAP3IN)-(c_TMAP2IN)),2)))&gt;=0,1,0)))</f>
        <v>655</v>
      </c>
      <c r="P359" s="7" t="n">
        <f aca="false">IF(((1000)-(c_TMAP3IN))=0,(c_TMAP3OUT)+QUOTIENT(((1000)-(c_TMAP3OUT)),2),QUOTIENT((((K359)-(c_TMAP3IN))*((1000)-(c_TMAP3OUT))+IF(((1000)-(c_TMAP3OUT))&gt;=0,1,-1)*QUOTIENT(((1000)-(c_TMAP3IN)),2)),((1000)-(c_TMAP3IN)))+(c_TMAP3OUT)+IF(((1000)-(c_TMAP3OUT))&gt;=0,IF(IF(o_WRAP=1,MOD(((1000)-(c_TMAP3IN))*(((K359)-(c_TMAP3IN))*((1000)-(c_TMAP3OUT))+IF(((1000)-(c_TMAP3OUT))&gt;=0,1,-1)*QUOTIENT(((1000)-(c_TMAP3IN)),2))+2147483648,4294967296)-2147483648,((1000)-(c_TMAP3IN))*(((K359)-(c_TMAP3IN))*((1000)-(c_TMAP3OUT))+IF(((1000)-(c_TMAP3OUT))&gt;=0,1,-1)*QUOTIENT(((1000)-(c_TMAP3IN)),2)))&lt;0,-1,0),IF(IF(o_WRAP=1,MOD(((1000)-(c_TMAP3IN))*(((K359)-(c_TMAP3IN))*((1000)-(c_TMAP3OUT))+IF(((1000)-(c_TMAP3OUT))&gt;=0,1,-1)*QUOTIENT(((1000)-(c_TMAP3IN)),2))+2147483648,4294967296)-2147483648,((1000)-(c_TMAP3IN))*(((K359)-(c_TMAP3IN))*((1000)-(c_TMAP3OUT))+IF(((1000)-(c_TMAP3OUT))&gt;=0,1,-1)*QUOTIENT(((1000)-(c_TMAP3IN)),2)))&gt;=0,1,0)))</f>
        <v>1000</v>
      </c>
      <c r="Q359" s="7" t="str">
        <f aca="false">IF(K359&gt;=c_TFWD,IF(AND(K359&gt;=c_TMAP3IN,c_TMAP3IN&lt;1000),"Seg4 map3-100%",IF(AND(K359&gt;=c_TMAP2IN,c_TMAP3IN&gt;c_TMAP2IN),"Seg3 map2-map3",IF(AND(K359&gt;=c_TMAP1IN,c_TMAP2IN&gt;c_TMAP1IN),"Seg2 map1-map2","Seg1 TFWD-map1"))),IF(AND(K359=0,c_TCREEP&gt;0),"Creep",IF(AND(K359&lt;=c_TRNGMIN,K359&gt;=c_TRNGMAX,c_TRNGMIN-c_TRNGMAX&lt;&gt;0),"Regen ramp","Coast (0)")))</f>
        <v>Seg4 map3-100%</v>
      </c>
      <c r="R359" s="7" t="n">
        <f aca="false">IF(K359&gt;=c_TFWD,IF(AND(K359&gt;=c_TMAP3IN,c_TMAP3IN&lt;1000),P359,IF(AND(K359&gt;=c_TMAP2IN,c_TMAP3IN&gt;c_TMAP2IN),O359,IF(AND(K359&gt;=c_TMAP1IN,c_TMAP2IN&gt;c_TMAP1IN),N359,M359))),L359)</f>
        <v>1000</v>
      </c>
      <c r="S359" s="7" t="str">
        <f aca="false">IF(R359&lt;-1090,"TOO LOW",IF(R359&gt;1090,"TOO HIGH",""))</f>
        <v/>
      </c>
      <c r="T359" s="15" t="n">
        <f aca="false">IF(H359&lt;&gt;"OK",0,IF(S359&lt;&gt;"",0,IF(R359&gt;979,1000,R359)))</f>
        <v>1000</v>
      </c>
      <c r="U359" s="7" t="n">
        <f aca="false">T359/10</f>
        <v>100</v>
      </c>
    </row>
    <row r="360" customFormat="false" ht="15" hidden="false" customHeight="false" outlineLevel="0" collapsed="false">
      <c r="A360" s="7" t="n">
        <v>355</v>
      </c>
      <c r="B360" s="7" t="n">
        <f aca="false">ROUND(o_SWSTART+A360*(o_SWEND-o_SWSTART)/400,0)</f>
        <v>3634</v>
      </c>
      <c r="C360" s="7" t="n">
        <f aca="false">QUOTIENT((B360-c_OFF1)*c_GAIN1,1024)</f>
        <v>3634</v>
      </c>
      <c r="D360" s="7" t="n">
        <f aca="false">IF(((c_T1MX)-(c_T1MN))=0,(0)+QUOTIENT(((1000)-(0)),2),QUOTIENT((((C360)-(c_T1MN))*((1000)-(0))+IF(((1000)-(0))&gt;=0,1,-1)*QUOTIENT(((c_T1MX)-(c_T1MN)),2)),((c_T1MX)-(c_T1MN)))+(0)+IF(((1000)-(0))&gt;=0,IF(IF(o_WRAP=1,MOD(((c_T1MX)-(c_T1MN))*(((C360)-(c_T1MN))*((1000)-(0))+IF(((1000)-(0))&gt;=0,1,-1)*QUOTIENT(((c_T1MX)-(c_T1MN)),2))+2147483648,4294967296)-2147483648,((c_T1MX)-(c_T1MN))*(((C360)-(c_T1MN))*((1000)-(0))+IF(((1000)-(0))&gt;=0,1,-1)*QUOTIENT(((c_T1MX)-(c_T1MN)),2)))&lt;0,-1,0),IF(IF(o_WRAP=1,MOD(((c_T1MX)-(c_T1MN))*(((C360)-(c_T1MN))*((1000)-(0))+IF(((1000)-(0))&gt;=0,1,-1)*QUOTIENT(((c_T1MX)-(c_T1MN)),2))+2147483648,4294967296)-2147483648,((c_T1MX)-(c_T1MN))*(((C360)-(c_T1MN))*((1000)-(0))+IF(((1000)-(0))&gt;=0,1,-1)*QUOTIENT(((c_T1MX)-(c_T1MN)),2)))&gt;=0,1,0)))</f>
        <v>1055</v>
      </c>
      <c r="E360" s="7" t="n">
        <f aca="false">IF(AND(c_TPOT=1,c_TTYPE=2),1000-D360,D360)</f>
        <v>1055</v>
      </c>
      <c r="F360" s="7" t="str">
        <f aca="false">IF(c_TPOT&gt;1,ROUND(IF(c_TTYPE=2,c_T2MX-IF(c_T1MX=c_T1MN,0,(C360-c_T1MN)/(c_T1MX-c_T1MN))*(c_T2MX-c_T2MN),c_T2MN+IF(c_T1MX=c_T1MN,0,(C360-c_T1MN)/(c_T1MX-c_T1MN))*(c_T2MX-c_T2MN))+o_MISMATCH,0),"")</f>
        <v/>
      </c>
      <c r="G360" s="7" t="str">
        <f aca="false">IF(c_TPOT&gt;1,IF(((c_T2MX)-(c_T2MN))=0,(0)+QUOTIENT(((1000)-(0)),2),QUOTIENT((((F360)-(c_T2MN))*((1000)-(0))+IF(((1000)-(0))&gt;=0,1,-1)*QUOTIENT(((c_T2MX)-(c_T2MN)),2)),((c_T2MX)-(c_T2MN)))+(0)+IF(((1000)-(0))&gt;=0,IF(IF(o_WRAP=1,MOD(((c_T2MX)-(c_T2MN))*(((F360)-(c_T2MN))*((1000)-(0))+IF(((1000)-(0))&gt;=0,1,-1)*QUOTIENT(((c_T2MX)-(c_T2MN)),2))+2147483648,4294967296)-2147483648,((c_T2MX)-(c_T2MN))*(((F360)-(c_T2MN))*((1000)-(0))+IF(((1000)-(0))&gt;=0,1,-1)*QUOTIENT(((c_T2MX)-(c_T2MN)),2)))&lt;0,-1,0),IF(IF(o_WRAP=1,MOD(((c_T2MX)-(c_T2MN))*(((F360)-(c_T2MN))*((1000)-(0))+IF(((1000)-(0))&gt;=0,1,-1)*QUOTIENT(((c_T2MX)-(c_T2MN)),2))+2147483648,4294967296)-2147483648,((c_T2MX)-(c_T2MN))*(((F360)-(c_T2MN))*((1000)-(0))+IF(((1000)-(0))&gt;=0,1,-1)*QUOTIENT(((c_T2MX)-(c_T2MN)),2)))&gt;=0,1,0))),"")</f>
        <v/>
      </c>
      <c r="H360" s="7" t="str">
        <f aca="false">IF(E360&gt;1000+k_TOL,"T1 HIGH",IF(E360&lt;0-k_TOL,"T1 LOW",IF(c_TPOT&gt;1,IF(G360&gt;1000+k_TOL,"T2 HIGH",IF(G360&lt;0-k_TOL,"T2 LOW",IF(c_TTYPE=2,IF(ABS(1000-MAX(0,MIN(1000,E360))-MAX(0,MIN(1000,G360)))&gt;k_MAXERR,"MISMATCH","OK"),IF(OR(MAX(0,MIN(1000,E360))-k_MAXERR&gt;MAX(0,MIN(1000,G360)),MAX(0,MIN(1000,G360))-k_MAXERR&gt;MAX(0,MIN(1000,E360))),"MISMATCH","OK")))),"OK")))</f>
        <v>OK</v>
      </c>
      <c r="I360" s="7" t="n">
        <f aca="false">MAX(0,MIN(1000,D360))</f>
        <v>1000</v>
      </c>
      <c r="J360" s="7" t="str">
        <f aca="false">IF(c_TPOT&gt;1,IF(c_TTYPE=2,1000-MAX(0,MIN(1000,G360)),MAX(0,MIN(1000,G360))),"")</f>
        <v/>
      </c>
      <c r="K360" s="7" t="n">
        <f aca="false">IF(c_TPOT&gt;1,QUOTIENT(I360+J360,2),I360)</f>
        <v>1000</v>
      </c>
      <c r="L360" s="7" t="n">
        <f aca="false">IF(AND(K360=0,c_TCREEP&gt;0),10*c_TCREEP,IF(AND(K360&lt;=c_TRNGMIN,K360&gt;=c_TRNGMAX,c_TRNGMIN-c_TRNGMAX&lt;&gt;0),-10*c_TMINRN+QUOTIENT((c_TMAXRN-c_TMINRN)*(100-QUOTIENT((K360-c_TRNGMAX)*100,c_TRNGMIN-c_TRNGMAX)),-10),0))</f>
        <v>0</v>
      </c>
      <c r="M360" s="7" t="n">
        <f aca="false">IF(((c_TMAP1IN)-(c_TFWD))=0,(0)+QUOTIENT(((c_TMAP1OUT)-(0)),2),QUOTIENT((((K360)-(c_TFWD))*((c_TMAP1OUT)-(0))+IF(((c_TMAP1OUT)-(0))&gt;=0,1,-1)*QUOTIENT(((c_TMAP1IN)-(c_TFWD)),2)),((c_TMAP1IN)-(c_TFWD)))+(0)+IF(((c_TMAP1OUT)-(0))&gt;=0,IF(IF(o_WRAP=1,MOD(((c_TMAP1IN)-(c_TFWD))*(((K360)-(c_TFWD))*((c_TMAP1OUT)-(0))+IF(((c_TMAP1OUT)-(0))&gt;=0,1,-1)*QUOTIENT(((c_TMAP1IN)-(c_TFWD)),2))+2147483648,4294967296)-2147483648,((c_TMAP1IN)-(c_TFWD))*(((K360)-(c_TFWD))*((c_TMAP1OUT)-(0))+IF(((c_TMAP1OUT)-(0))&gt;=0,1,-1)*QUOTIENT(((c_TMAP1IN)-(c_TFWD)),2)))&lt;0,-1,0),IF(IF(o_WRAP=1,MOD(((c_TMAP1IN)-(c_TFWD))*(((K360)-(c_TFWD))*((c_TMAP1OUT)-(0))+IF(((c_TMAP1OUT)-(0))&gt;=0,1,-1)*QUOTIENT(((c_TMAP1IN)-(c_TFWD)),2))+2147483648,4294967296)-2147483648,((c_TMAP1IN)-(c_TFWD))*(((K360)-(c_TFWD))*((c_TMAP1OUT)-(0))+IF(((c_TMAP1OUT)-(0))&gt;=0,1,-1)*QUOTIENT(((c_TMAP1IN)-(c_TFWD)),2)))&gt;=0,1,0)))</f>
        <v>770</v>
      </c>
      <c r="N360" s="7" t="n">
        <f aca="false">IF(((c_TMAP2IN)-(c_TMAP1IN))=0,(c_TMAP1OUT)+QUOTIENT(((c_TMAP2OUT)-(c_TMAP1OUT)),2),QUOTIENT((((K360)-(c_TMAP1IN))*((c_TMAP2OUT)-(c_TMAP1OUT))+IF(((c_TMAP2OUT)-(c_TMAP1OUT))&gt;=0,1,-1)*QUOTIENT(((c_TMAP2IN)-(c_TMAP1IN)),2)),((c_TMAP2IN)-(c_TMAP1IN)))+(c_TMAP1OUT)+IF(((c_TMAP2OUT)-(c_TMAP1OUT))&gt;=0,IF(IF(o_WRAP=1,MOD(((c_TMAP2IN)-(c_TMAP1IN))*(((K360)-(c_TMAP1IN))*((c_TMAP2OUT)-(c_TMAP1OUT))+IF(((c_TMAP2OUT)-(c_TMAP1OUT))&gt;=0,1,-1)*QUOTIENT(((c_TMAP2IN)-(c_TMAP1IN)),2))+2147483648,4294967296)-2147483648,((c_TMAP2IN)-(c_TMAP1IN))*(((K360)-(c_TMAP1IN))*((c_TMAP2OUT)-(c_TMAP1OUT))+IF(((c_TMAP2OUT)-(c_TMAP1OUT))&gt;=0,1,-1)*QUOTIENT(((c_TMAP2IN)-(c_TMAP1IN)),2)))&lt;0,-1,0),IF(IF(o_WRAP=1,MOD(((c_TMAP2IN)-(c_TMAP1IN))*(((K360)-(c_TMAP1IN))*((c_TMAP2OUT)-(c_TMAP1OUT))+IF(((c_TMAP2OUT)-(c_TMAP1OUT))&gt;=0,1,-1)*QUOTIENT(((c_TMAP2IN)-(c_TMAP1IN)),2))+2147483648,4294967296)-2147483648,((c_TMAP2IN)-(c_TMAP1IN))*(((K360)-(c_TMAP1IN))*((c_TMAP2OUT)-(c_TMAP1OUT))+IF(((c_TMAP2OUT)-(c_TMAP1OUT))&gt;=0,1,-1)*QUOTIENT(((c_TMAP2IN)-(c_TMAP1IN)),2)))&gt;=0,1,0)))</f>
        <v>430</v>
      </c>
      <c r="O360" s="7" t="n">
        <f aca="false">IF(((c_TMAP3IN)-(c_TMAP2IN))=0,(c_TMAP2OUT)+QUOTIENT(((c_TMAP3OUT)-(c_TMAP2OUT)),2),QUOTIENT((((K360)-(c_TMAP2IN))*((c_TMAP3OUT)-(c_TMAP2OUT))+IF(((c_TMAP3OUT)-(c_TMAP2OUT))&gt;=0,1,-1)*QUOTIENT(((c_TMAP3IN)-(c_TMAP2IN)),2)),((c_TMAP3IN)-(c_TMAP2IN)))+(c_TMAP2OUT)+IF(((c_TMAP3OUT)-(c_TMAP2OUT))&gt;=0,IF(IF(o_WRAP=1,MOD(((c_TMAP3IN)-(c_TMAP2IN))*(((K360)-(c_TMAP2IN))*((c_TMAP3OUT)-(c_TMAP2OUT))+IF(((c_TMAP3OUT)-(c_TMAP2OUT))&gt;=0,1,-1)*QUOTIENT(((c_TMAP3IN)-(c_TMAP2IN)),2))+2147483648,4294967296)-2147483648,((c_TMAP3IN)-(c_TMAP2IN))*(((K360)-(c_TMAP2IN))*((c_TMAP3OUT)-(c_TMAP2OUT))+IF(((c_TMAP3OUT)-(c_TMAP2OUT))&gt;=0,1,-1)*QUOTIENT(((c_TMAP3IN)-(c_TMAP2IN)),2)))&lt;0,-1,0),IF(IF(o_WRAP=1,MOD(((c_TMAP3IN)-(c_TMAP2IN))*(((K360)-(c_TMAP2IN))*((c_TMAP3OUT)-(c_TMAP2OUT))+IF(((c_TMAP3OUT)-(c_TMAP2OUT))&gt;=0,1,-1)*QUOTIENT(((c_TMAP3IN)-(c_TMAP2IN)),2))+2147483648,4294967296)-2147483648,((c_TMAP3IN)-(c_TMAP2IN))*(((K360)-(c_TMAP2IN))*((c_TMAP3OUT)-(c_TMAP2OUT))+IF(((c_TMAP3OUT)-(c_TMAP2OUT))&gt;=0,1,-1)*QUOTIENT(((c_TMAP3IN)-(c_TMAP2IN)),2)))&gt;=0,1,0)))</f>
        <v>655</v>
      </c>
      <c r="P360" s="7" t="n">
        <f aca="false">IF(((1000)-(c_TMAP3IN))=0,(c_TMAP3OUT)+QUOTIENT(((1000)-(c_TMAP3OUT)),2),QUOTIENT((((K360)-(c_TMAP3IN))*((1000)-(c_TMAP3OUT))+IF(((1000)-(c_TMAP3OUT))&gt;=0,1,-1)*QUOTIENT(((1000)-(c_TMAP3IN)),2)),((1000)-(c_TMAP3IN)))+(c_TMAP3OUT)+IF(((1000)-(c_TMAP3OUT))&gt;=0,IF(IF(o_WRAP=1,MOD(((1000)-(c_TMAP3IN))*(((K360)-(c_TMAP3IN))*((1000)-(c_TMAP3OUT))+IF(((1000)-(c_TMAP3OUT))&gt;=0,1,-1)*QUOTIENT(((1000)-(c_TMAP3IN)),2))+2147483648,4294967296)-2147483648,((1000)-(c_TMAP3IN))*(((K360)-(c_TMAP3IN))*((1000)-(c_TMAP3OUT))+IF(((1000)-(c_TMAP3OUT))&gt;=0,1,-1)*QUOTIENT(((1000)-(c_TMAP3IN)),2)))&lt;0,-1,0),IF(IF(o_WRAP=1,MOD(((1000)-(c_TMAP3IN))*(((K360)-(c_TMAP3IN))*((1000)-(c_TMAP3OUT))+IF(((1000)-(c_TMAP3OUT))&gt;=0,1,-1)*QUOTIENT(((1000)-(c_TMAP3IN)),2))+2147483648,4294967296)-2147483648,((1000)-(c_TMAP3IN))*(((K360)-(c_TMAP3IN))*((1000)-(c_TMAP3OUT))+IF(((1000)-(c_TMAP3OUT))&gt;=0,1,-1)*QUOTIENT(((1000)-(c_TMAP3IN)),2)))&gt;=0,1,0)))</f>
        <v>1000</v>
      </c>
      <c r="Q360" s="7" t="str">
        <f aca="false">IF(K360&gt;=c_TFWD,IF(AND(K360&gt;=c_TMAP3IN,c_TMAP3IN&lt;1000),"Seg4 map3-100%",IF(AND(K360&gt;=c_TMAP2IN,c_TMAP3IN&gt;c_TMAP2IN),"Seg3 map2-map3",IF(AND(K360&gt;=c_TMAP1IN,c_TMAP2IN&gt;c_TMAP1IN),"Seg2 map1-map2","Seg1 TFWD-map1"))),IF(AND(K360=0,c_TCREEP&gt;0),"Creep",IF(AND(K360&lt;=c_TRNGMIN,K360&gt;=c_TRNGMAX,c_TRNGMIN-c_TRNGMAX&lt;&gt;0),"Regen ramp","Coast (0)")))</f>
        <v>Seg4 map3-100%</v>
      </c>
      <c r="R360" s="7" t="n">
        <f aca="false">IF(K360&gt;=c_TFWD,IF(AND(K360&gt;=c_TMAP3IN,c_TMAP3IN&lt;1000),P360,IF(AND(K360&gt;=c_TMAP2IN,c_TMAP3IN&gt;c_TMAP2IN),O360,IF(AND(K360&gt;=c_TMAP1IN,c_TMAP2IN&gt;c_TMAP1IN),N360,M360))),L360)</f>
        <v>1000</v>
      </c>
      <c r="S360" s="7" t="str">
        <f aca="false">IF(R360&lt;-1090,"TOO LOW",IF(R360&gt;1090,"TOO HIGH",""))</f>
        <v/>
      </c>
      <c r="T360" s="15" t="n">
        <f aca="false">IF(H360&lt;&gt;"OK",0,IF(S360&lt;&gt;"",0,IF(R360&gt;979,1000,R360)))</f>
        <v>1000</v>
      </c>
      <c r="U360" s="7" t="n">
        <f aca="false">T360/10</f>
        <v>100</v>
      </c>
    </row>
    <row r="361" customFormat="false" ht="15" hidden="false" customHeight="false" outlineLevel="0" collapsed="false">
      <c r="A361" s="7" t="n">
        <v>356</v>
      </c>
      <c r="B361" s="7" t="n">
        <f aca="false">ROUND(o_SWSTART+A361*(o_SWEND-o_SWSTART)/400,0)</f>
        <v>3645</v>
      </c>
      <c r="C361" s="7" t="n">
        <f aca="false">QUOTIENT((B361-c_OFF1)*c_GAIN1,1024)</f>
        <v>3645</v>
      </c>
      <c r="D361" s="7" t="n">
        <f aca="false">IF(((c_T1MX)-(c_T1MN))=0,(0)+QUOTIENT(((1000)-(0)),2),QUOTIENT((((C361)-(c_T1MN))*((1000)-(0))+IF(((1000)-(0))&gt;=0,1,-1)*QUOTIENT(((c_T1MX)-(c_T1MN)),2)),((c_T1MX)-(c_T1MN)))+(0)+IF(((1000)-(0))&gt;=0,IF(IF(o_WRAP=1,MOD(((c_T1MX)-(c_T1MN))*(((C361)-(c_T1MN))*((1000)-(0))+IF(((1000)-(0))&gt;=0,1,-1)*QUOTIENT(((c_T1MX)-(c_T1MN)),2))+2147483648,4294967296)-2147483648,((c_T1MX)-(c_T1MN))*(((C361)-(c_T1MN))*((1000)-(0))+IF(((1000)-(0))&gt;=0,1,-1)*QUOTIENT(((c_T1MX)-(c_T1MN)),2)))&lt;0,-1,0),IF(IF(o_WRAP=1,MOD(((c_T1MX)-(c_T1MN))*(((C361)-(c_T1MN))*((1000)-(0))+IF(((1000)-(0))&gt;=0,1,-1)*QUOTIENT(((c_T1MX)-(c_T1MN)),2))+2147483648,4294967296)-2147483648,((c_T1MX)-(c_T1MN))*(((C361)-(c_T1MN))*((1000)-(0))+IF(((1000)-(0))&gt;=0,1,-1)*QUOTIENT(((c_T1MX)-(c_T1MN)),2)))&gt;=0,1,0)))</f>
        <v>1059</v>
      </c>
      <c r="E361" s="7" t="n">
        <f aca="false">IF(AND(c_TPOT=1,c_TTYPE=2),1000-D361,D361)</f>
        <v>1059</v>
      </c>
      <c r="F361" s="7" t="str">
        <f aca="false">IF(c_TPOT&gt;1,ROUND(IF(c_TTYPE=2,c_T2MX-IF(c_T1MX=c_T1MN,0,(C361-c_T1MN)/(c_T1MX-c_T1MN))*(c_T2MX-c_T2MN),c_T2MN+IF(c_T1MX=c_T1MN,0,(C361-c_T1MN)/(c_T1MX-c_T1MN))*(c_T2MX-c_T2MN))+o_MISMATCH,0),"")</f>
        <v/>
      </c>
      <c r="G361" s="7" t="str">
        <f aca="false">IF(c_TPOT&gt;1,IF(((c_T2MX)-(c_T2MN))=0,(0)+QUOTIENT(((1000)-(0)),2),QUOTIENT((((F361)-(c_T2MN))*((1000)-(0))+IF(((1000)-(0))&gt;=0,1,-1)*QUOTIENT(((c_T2MX)-(c_T2MN)),2)),((c_T2MX)-(c_T2MN)))+(0)+IF(((1000)-(0))&gt;=0,IF(IF(o_WRAP=1,MOD(((c_T2MX)-(c_T2MN))*(((F361)-(c_T2MN))*((1000)-(0))+IF(((1000)-(0))&gt;=0,1,-1)*QUOTIENT(((c_T2MX)-(c_T2MN)),2))+2147483648,4294967296)-2147483648,((c_T2MX)-(c_T2MN))*(((F361)-(c_T2MN))*((1000)-(0))+IF(((1000)-(0))&gt;=0,1,-1)*QUOTIENT(((c_T2MX)-(c_T2MN)),2)))&lt;0,-1,0),IF(IF(o_WRAP=1,MOD(((c_T2MX)-(c_T2MN))*(((F361)-(c_T2MN))*((1000)-(0))+IF(((1000)-(0))&gt;=0,1,-1)*QUOTIENT(((c_T2MX)-(c_T2MN)),2))+2147483648,4294967296)-2147483648,((c_T2MX)-(c_T2MN))*(((F361)-(c_T2MN))*((1000)-(0))+IF(((1000)-(0))&gt;=0,1,-1)*QUOTIENT(((c_T2MX)-(c_T2MN)),2)))&gt;=0,1,0))),"")</f>
        <v/>
      </c>
      <c r="H361" s="7" t="str">
        <f aca="false">IF(E361&gt;1000+k_TOL,"T1 HIGH",IF(E361&lt;0-k_TOL,"T1 LOW",IF(c_TPOT&gt;1,IF(G361&gt;1000+k_TOL,"T2 HIGH",IF(G361&lt;0-k_TOL,"T2 LOW",IF(c_TTYPE=2,IF(ABS(1000-MAX(0,MIN(1000,E361))-MAX(0,MIN(1000,G361)))&gt;k_MAXERR,"MISMATCH","OK"),IF(OR(MAX(0,MIN(1000,E361))-k_MAXERR&gt;MAX(0,MIN(1000,G361)),MAX(0,MIN(1000,G361))-k_MAXERR&gt;MAX(0,MIN(1000,E361))),"MISMATCH","OK")))),"OK")))</f>
        <v>OK</v>
      </c>
      <c r="I361" s="7" t="n">
        <f aca="false">MAX(0,MIN(1000,D361))</f>
        <v>1000</v>
      </c>
      <c r="J361" s="7" t="str">
        <f aca="false">IF(c_TPOT&gt;1,IF(c_TTYPE=2,1000-MAX(0,MIN(1000,G361)),MAX(0,MIN(1000,G361))),"")</f>
        <v/>
      </c>
      <c r="K361" s="7" t="n">
        <f aca="false">IF(c_TPOT&gt;1,QUOTIENT(I361+J361,2),I361)</f>
        <v>1000</v>
      </c>
      <c r="L361" s="7" t="n">
        <f aca="false">IF(AND(K361=0,c_TCREEP&gt;0),10*c_TCREEP,IF(AND(K361&lt;=c_TRNGMIN,K361&gt;=c_TRNGMAX,c_TRNGMIN-c_TRNGMAX&lt;&gt;0),-10*c_TMINRN+QUOTIENT((c_TMAXRN-c_TMINRN)*(100-QUOTIENT((K361-c_TRNGMAX)*100,c_TRNGMIN-c_TRNGMAX)),-10),0))</f>
        <v>0</v>
      </c>
      <c r="M361" s="7" t="n">
        <f aca="false">IF(((c_TMAP1IN)-(c_TFWD))=0,(0)+QUOTIENT(((c_TMAP1OUT)-(0)),2),QUOTIENT((((K361)-(c_TFWD))*((c_TMAP1OUT)-(0))+IF(((c_TMAP1OUT)-(0))&gt;=0,1,-1)*QUOTIENT(((c_TMAP1IN)-(c_TFWD)),2)),((c_TMAP1IN)-(c_TFWD)))+(0)+IF(((c_TMAP1OUT)-(0))&gt;=0,IF(IF(o_WRAP=1,MOD(((c_TMAP1IN)-(c_TFWD))*(((K361)-(c_TFWD))*((c_TMAP1OUT)-(0))+IF(((c_TMAP1OUT)-(0))&gt;=0,1,-1)*QUOTIENT(((c_TMAP1IN)-(c_TFWD)),2))+2147483648,4294967296)-2147483648,((c_TMAP1IN)-(c_TFWD))*(((K361)-(c_TFWD))*((c_TMAP1OUT)-(0))+IF(((c_TMAP1OUT)-(0))&gt;=0,1,-1)*QUOTIENT(((c_TMAP1IN)-(c_TFWD)),2)))&lt;0,-1,0),IF(IF(o_WRAP=1,MOD(((c_TMAP1IN)-(c_TFWD))*(((K361)-(c_TFWD))*((c_TMAP1OUT)-(0))+IF(((c_TMAP1OUT)-(0))&gt;=0,1,-1)*QUOTIENT(((c_TMAP1IN)-(c_TFWD)),2))+2147483648,4294967296)-2147483648,((c_TMAP1IN)-(c_TFWD))*(((K361)-(c_TFWD))*((c_TMAP1OUT)-(0))+IF(((c_TMAP1OUT)-(0))&gt;=0,1,-1)*QUOTIENT(((c_TMAP1IN)-(c_TFWD)),2)))&gt;=0,1,0)))</f>
        <v>770</v>
      </c>
      <c r="N361" s="7" t="n">
        <f aca="false">IF(((c_TMAP2IN)-(c_TMAP1IN))=0,(c_TMAP1OUT)+QUOTIENT(((c_TMAP2OUT)-(c_TMAP1OUT)),2),QUOTIENT((((K361)-(c_TMAP1IN))*((c_TMAP2OUT)-(c_TMAP1OUT))+IF(((c_TMAP2OUT)-(c_TMAP1OUT))&gt;=0,1,-1)*QUOTIENT(((c_TMAP2IN)-(c_TMAP1IN)),2)),((c_TMAP2IN)-(c_TMAP1IN)))+(c_TMAP1OUT)+IF(((c_TMAP2OUT)-(c_TMAP1OUT))&gt;=0,IF(IF(o_WRAP=1,MOD(((c_TMAP2IN)-(c_TMAP1IN))*(((K361)-(c_TMAP1IN))*((c_TMAP2OUT)-(c_TMAP1OUT))+IF(((c_TMAP2OUT)-(c_TMAP1OUT))&gt;=0,1,-1)*QUOTIENT(((c_TMAP2IN)-(c_TMAP1IN)),2))+2147483648,4294967296)-2147483648,((c_TMAP2IN)-(c_TMAP1IN))*(((K361)-(c_TMAP1IN))*((c_TMAP2OUT)-(c_TMAP1OUT))+IF(((c_TMAP2OUT)-(c_TMAP1OUT))&gt;=0,1,-1)*QUOTIENT(((c_TMAP2IN)-(c_TMAP1IN)),2)))&lt;0,-1,0),IF(IF(o_WRAP=1,MOD(((c_TMAP2IN)-(c_TMAP1IN))*(((K361)-(c_TMAP1IN))*((c_TMAP2OUT)-(c_TMAP1OUT))+IF(((c_TMAP2OUT)-(c_TMAP1OUT))&gt;=0,1,-1)*QUOTIENT(((c_TMAP2IN)-(c_TMAP1IN)),2))+2147483648,4294967296)-2147483648,((c_TMAP2IN)-(c_TMAP1IN))*(((K361)-(c_TMAP1IN))*((c_TMAP2OUT)-(c_TMAP1OUT))+IF(((c_TMAP2OUT)-(c_TMAP1OUT))&gt;=0,1,-1)*QUOTIENT(((c_TMAP2IN)-(c_TMAP1IN)),2)))&gt;=0,1,0)))</f>
        <v>430</v>
      </c>
      <c r="O361" s="7" t="n">
        <f aca="false">IF(((c_TMAP3IN)-(c_TMAP2IN))=0,(c_TMAP2OUT)+QUOTIENT(((c_TMAP3OUT)-(c_TMAP2OUT)),2),QUOTIENT((((K361)-(c_TMAP2IN))*((c_TMAP3OUT)-(c_TMAP2OUT))+IF(((c_TMAP3OUT)-(c_TMAP2OUT))&gt;=0,1,-1)*QUOTIENT(((c_TMAP3IN)-(c_TMAP2IN)),2)),((c_TMAP3IN)-(c_TMAP2IN)))+(c_TMAP2OUT)+IF(((c_TMAP3OUT)-(c_TMAP2OUT))&gt;=0,IF(IF(o_WRAP=1,MOD(((c_TMAP3IN)-(c_TMAP2IN))*(((K361)-(c_TMAP2IN))*((c_TMAP3OUT)-(c_TMAP2OUT))+IF(((c_TMAP3OUT)-(c_TMAP2OUT))&gt;=0,1,-1)*QUOTIENT(((c_TMAP3IN)-(c_TMAP2IN)),2))+2147483648,4294967296)-2147483648,((c_TMAP3IN)-(c_TMAP2IN))*(((K361)-(c_TMAP2IN))*((c_TMAP3OUT)-(c_TMAP2OUT))+IF(((c_TMAP3OUT)-(c_TMAP2OUT))&gt;=0,1,-1)*QUOTIENT(((c_TMAP3IN)-(c_TMAP2IN)),2)))&lt;0,-1,0),IF(IF(o_WRAP=1,MOD(((c_TMAP3IN)-(c_TMAP2IN))*(((K361)-(c_TMAP2IN))*((c_TMAP3OUT)-(c_TMAP2OUT))+IF(((c_TMAP3OUT)-(c_TMAP2OUT))&gt;=0,1,-1)*QUOTIENT(((c_TMAP3IN)-(c_TMAP2IN)),2))+2147483648,4294967296)-2147483648,((c_TMAP3IN)-(c_TMAP2IN))*(((K361)-(c_TMAP2IN))*((c_TMAP3OUT)-(c_TMAP2OUT))+IF(((c_TMAP3OUT)-(c_TMAP2OUT))&gt;=0,1,-1)*QUOTIENT(((c_TMAP3IN)-(c_TMAP2IN)),2)))&gt;=0,1,0)))</f>
        <v>655</v>
      </c>
      <c r="P361" s="7" t="n">
        <f aca="false">IF(((1000)-(c_TMAP3IN))=0,(c_TMAP3OUT)+QUOTIENT(((1000)-(c_TMAP3OUT)),2),QUOTIENT((((K361)-(c_TMAP3IN))*((1000)-(c_TMAP3OUT))+IF(((1000)-(c_TMAP3OUT))&gt;=0,1,-1)*QUOTIENT(((1000)-(c_TMAP3IN)),2)),((1000)-(c_TMAP3IN)))+(c_TMAP3OUT)+IF(((1000)-(c_TMAP3OUT))&gt;=0,IF(IF(o_WRAP=1,MOD(((1000)-(c_TMAP3IN))*(((K361)-(c_TMAP3IN))*((1000)-(c_TMAP3OUT))+IF(((1000)-(c_TMAP3OUT))&gt;=0,1,-1)*QUOTIENT(((1000)-(c_TMAP3IN)),2))+2147483648,4294967296)-2147483648,((1000)-(c_TMAP3IN))*(((K361)-(c_TMAP3IN))*((1000)-(c_TMAP3OUT))+IF(((1000)-(c_TMAP3OUT))&gt;=0,1,-1)*QUOTIENT(((1000)-(c_TMAP3IN)),2)))&lt;0,-1,0),IF(IF(o_WRAP=1,MOD(((1000)-(c_TMAP3IN))*(((K361)-(c_TMAP3IN))*((1000)-(c_TMAP3OUT))+IF(((1000)-(c_TMAP3OUT))&gt;=0,1,-1)*QUOTIENT(((1000)-(c_TMAP3IN)),2))+2147483648,4294967296)-2147483648,((1000)-(c_TMAP3IN))*(((K361)-(c_TMAP3IN))*((1000)-(c_TMAP3OUT))+IF(((1000)-(c_TMAP3OUT))&gt;=0,1,-1)*QUOTIENT(((1000)-(c_TMAP3IN)),2)))&gt;=0,1,0)))</f>
        <v>1000</v>
      </c>
      <c r="Q361" s="7" t="str">
        <f aca="false">IF(K361&gt;=c_TFWD,IF(AND(K361&gt;=c_TMAP3IN,c_TMAP3IN&lt;1000),"Seg4 map3-100%",IF(AND(K361&gt;=c_TMAP2IN,c_TMAP3IN&gt;c_TMAP2IN),"Seg3 map2-map3",IF(AND(K361&gt;=c_TMAP1IN,c_TMAP2IN&gt;c_TMAP1IN),"Seg2 map1-map2","Seg1 TFWD-map1"))),IF(AND(K361=0,c_TCREEP&gt;0),"Creep",IF(AND(K361&lt;=c_TRNGMIN,K361&gt;=c_TRNGMAX,c_TRNGMIN-c_TRNGMAX&lt;&gt;0),"Regen ramp","Coast (0)")))</f>
        <v>Seg4 map3-100%</v>
      </c>
      <c r="R361" s="7" t="n">
        <f aca="false">IF(K361&gt;=c_TFWD,IF(AND(K361&gt;=c_TMAP3IN,c_TMAP3IN&lt;1000),P361,IF(AND(K361&gt;=c_TMAP2IN,c_TMAP3IN&gt;c_TMAP2IN),O361,IF(AND(K361&gt;=c_TMAP1IN,c_TMAP2IN&gt;c_TMAP1IN),N361,M361))),L361)</f>
        <v>1000</v>
      </c>
      <c r="S361" s="7" t="str">
        <f aca="false">IF(R361&lt;-1090,"TOO LOW",IF(R361&gt;1090,"TOO HIGH",""))</f>
        <v/>
      </c>
      <c r="T361" s="15" t="n">
        <f aca="false">IF(H361&lt;&gt;"OK",0,IF(S361&lt;&gt;"",0,IF(R361&gt;979,1000,R361)))</f>
        <v>1000</v>
      </c>
      <c r="U361" s="7" t="n">
        <f aca="false">T361/10</f>
        <v>100</v>
      </c>
    </row>
    <row r="362" customFormat="false" ht="15" hidden="false" customHeight="false" outlineLevel="0" collapsed="false">
      <c r="A362" s="7" t="n">
        <v>357</v>
      </c>
      <c r="B362" s="7" t="n">
        <f aca="false">ROUND(o_SWSTART+A362*(o_SWEND-o_SWSTART)/400,0)</f>
        <v>3655</v>
      </c>
      <c r="C362" s="7" t="n">
        <f aca="false">QUOTIENT((B362-c_OFF1)*c_GAIN1,1024)</f>
        <v>3655</v>
      </c>
      <c r="D362" s="7" t="n">
        <f aca="false">IF(((c_T1MX)-(c_T1MN))=0,(0)+QUOTIENT(((1000)-(0)),2),QUOTIENT((((C362)-(c_T1MN))*((1000)-(0))+IF(((1000)-(0))&gt;=0,1,-1)*QUOTIENT(((c_T1MX)-(c_T1MN)),2)),((c_T1MX)-(c_T1MN)))+(0)+IF(((1000)-(0))&gt;=0,IF(IF(o_WRAP=1,MOD(((c_T1MX)-(c_T1MN))*(((C362)-(c_T1MN))*((1000)-(0))+IF(((1000)-(0))&gt;=0,1,-1)*QUOTIENT(((c_T1MX)-(c_T1MN)),2))+2147483648,4294967296)-2147483648,((c_T1MX)-(c_T1MN))*(((C362)-(c_T1MN))*((1000)-(0))+IF(((1000)-(0))&gt;=0,1,-1)*QUOTIENT(((c_T1MX)-(c_T1MN)),2)))&lt;0,-1,0),IF(IF(o_WRAP=1,MOD(((c_T1MX)-(c_T1MN))*(((C362)-(c_T1MN))*((1000)-(0))+IF(((1000)-(0))&gt;=0,1,-1)*QUOTIENT(((c_T1MX)-(c_T1MN)),2))+2147483648,4294967296)-2147483648,((c_T1MX)-(c_T1MN))*(((C362)-(c_T1MN))*((1000)-(0))+IF(((1000)-(0))&gt;=0,1,-1)*QUOTIENT(((c_T1MX)-(c_T1MN)),2)))&gt;=0,1,0)))</f>
        <v>1063</v>
      </c>
      <c r="E362" s="7" t="n">
        <f aca="false">IF(AND(c_TPOT=1,c_TTYPE=2),1000-D362,D362)</f>
        <v>1063</v>
      </c>
      <c r="F362" s="7" t="str">
        <f aca="false">IF(c_TPOT&gt;1,ROUND(IF(c_TTYPE=2,c_T2MX-IF(c_T1MX=c_T1MN,0,(C362-c_T1MN)/(c_T1MX-c_T1MN))*(c_T2MX-c_T2MN),c_T2MN+IF(c_T1MX=c_T1MN,0,(C362-c_T1MN)/(c_T1MX-c_T1MN))*(c_T2MX-c_T2MN))+o_MISMATCH,0),"")</f>
        <v/>
      </c>
      <c r="G362" s="7" t="str">
        <f aca="false">IF(c_TPOT&gt;1,IF(((c_T2MX)-(c_T2MN))=0,(0)+QUOTIENT(((1000)-(0)),2),QUOTIENT((((F362)-(c_T2MN))*((1000)-(0))+IF(((1000)-(0))&gt;=0,1,-1)*QUOTIENT(((c_T2MX)-(c_T2MN)),2)),((c_T2MX)-(c_T2MN)))+(0)+IF(((1000)-(0))&gt;=0,IF(IF(o_WRAP=1,MOD(((c_T2MX)-(c_T2MN))*(((F362)-(c_T2MN))*((1000)-(0))+IF(((1000)-(0))&gt;=0,1,-1)*QUOTIENT(((c_T2MX)-(c_T2MN)),2))+2147483648,4294967296)-2147483648,((c_T2MX)-(c_T2MN))*(((F362)-(c_T2MN))*((1000)-(0))+IF(((1000)-(0))&gt;=0,1,-1)*QUOTIENT(((c_T2MX)-(c_T2MN)),2)))&lt;0,-1,0),IF(IF(o_WRAP=1,MOD(((c_T2MX)-(c_T2MN))*(((F362)-(c_T2MN))*((1000)-(0))+IF(((1000)-(0))&gt;=0,1,-1)*QUOTIENT(((c_T2MX)-(c_T2MN)),2))+2147483648,4294967296)-2147483648,((c_T2MX)-(c_T2MN))*(((F362)-(c_T2MN))*((1000)-(0))+IF(((1000)-(0))&gt;=0,1,-1)*QUOTIENT(((c_T2MX)-(c_T2MN)),2)))&gt;=0,1,0))),"")</f>
        <v/>
      </c>
      <c r="H362" s="7" t="str">
        <f aca="false">IF(E362&gt;1000+k_TOL,"T1 HIGH",IF(E362&lt;0-k_TOL,"T1 LOW",IF(c_TPOT&gt;1,IF(G362&gt;1000+k_TOL,"T2 HIGH",IF(G362&lt;0-k_TOL,"T2 LOW",IF(c_TTYPE=2,IF(ABS(1000-MAX(0,MIN(1000,E362))-MAX(0,MIN(1000,G362)))&gt;k_MAXERR,"MISMATCH","OK"),IF(OR(MAX(0,MIN(1000,E362))-k_MAXERR&gt;MAX(0,MIN(1000,G362)),MAX(0,MIN(1000,G362))-k_MAXERR&gt;MAX(0,MIN(1000,E362))),"MISMATCH","OK")))),"OK")))</f>
        <v>OK</v>
      </c>
      <c r="I362" s="7" t="n">
        <f aca="false">MAX(0,MIN(1000,D362))</f>
        <v>1000</v>
      </c>
      <c r="J362" s="7" t="str">
        <f aca="false">IF(c_TPOT&gt;1,IF(c_TTYPE=2,1000-MAX(0,MIN(1000,G362)),MAX(0,MIN(1000,G362))),"")</f>
        <v/>
      </c>
      <c r="K362" s="7" t="n">
        <f aca="false">IF(c_TPOT&gt;1,QUOTIENT(I362+J362,2),I362)</f>
        <v>1000</v>
      </c>
      <c r="L362" s="7" t="n">
        <f aca="false">IF(AND(K362=0,c_TCREEP&gt;0),10*c_TCREEP,IF(AND(K362&lt;=c_TRNGMIN,K362&gt;=c_TRNGMAX,c_TRNGMIN-c_TRNGMAX&lt;&gt;0),-10*c_TMINRN+QUOTIENT((c_TMAXRN-c_TMINRN)*(100-QUOTIENT((K362-c_TRNGMAX)*100,c_TRNGMIN-c_TRNGMAX)),-10),0))</f>
        <v>0</v>
      </c>
      <c r="M362" s="7" t="n">
        <f aca="false">IF(((c_TMAP1IN)-(c_TFWD))=0,(0)+QUOTIENT(((c_TMAP1OUT)-(0)),2),QUOTIENT((((K362)-(c_TFWD))*((c_TMAP1OUT)-(0))+IF(((c_TMAP1OUT)-(0))&gt;=0,1,-1)*QUOTIENT(((c_TMAP1IN)-(c_TFWD)),2)),((c_TMAP1IN)-(c_TFWD)))+(0)+IF(((c_TMAP1OUT)-(0))&gt;=0,IF(IF(o_WRAP=1,MOD(((c_TMAP1IN)-(c_TFWD))*(((K362)-(c_TFWD))*((c_TMAP1OUT)-(0))+IF(((c_TMAP1OUT)-(0))&gt;=0,1,-1)*QUOTIENT(((c_TMAP1IN)-(c_TFWD)),2))+2147483648,4294967296)-2147483648,((c_TMAP1IN)-(c_TFWD))*(((K362)-(c_TFWD))*((c_TMAP1OUT)-(0))+IF(((c_TMAP1OUT)-(0))&gt;=0,1,-1)*QUOTIENT(((c_TMAP1IN)-(c_TFWD)),2)))&lt;0,-1,0),IF(IF(o_WRAP=1,MOD(((c_TMAP1IN)-(c_TFWD))*(((K362)-(c_TFWD))*((c_TMAP1OUT)-(0))+IF(((c_TMAP1OUT)-(0))&gt;=0,1,-1)*QUOTIENT(((c_TMAP1IN)-(c_TFWD)),2))+2147483648,4294967296)-2147483648,((c_TMAP1IN)-(c_TFWD))*(((K362)-(c_TFWD))*((c_TMAP1OUT)-(0))+IF(((c_TMAP1OUT)-(0))&gt;=0,1,-1)*QUOTIENT(((c_TMAP1IN)-(c_TFWD)),2)))&gt;=0,1,0)))</f>
        <v>770</v>
      </c>
      <c r="N362" s="7" t="n">
        <f aca="false">IF(((c_TMAP2IN)-(c_TMAP1IN))=0,(c_TMAP1OUT)+QUOTIENT(((c_TMAP2OUT)-(c_TMAP1OUT)),2),QUOTIENT((((K362)-(c_TMAP1IN))*((c_TMAP2OUT)-(c_TMAP1OUT))+IF(((c_TMAP2OUT)-(c_TMAP1OUT))&gt;=0,1,-1)*QUOTIENT(((c_TMAP2IN)-(c_TMAP1IN)),2)),((c_TMAP2IN)-(c_TMAP1IN)))+(c_TMAP1OUT)+IF(((c_TMAP2OUT)-(c_TMAP1OUT))&gt;=0,IF(IF(o_WRAP=1,MOD(((c_TMAP2IN)-(c_TMAP1IN))*(((K362)-(c_TMAP1IN))*((c_TMAP2OUT)-(c_TMAP1OUT))+IF(((c_TMAP2OUT)-(c_TMAP1OUT))&gt;=0,1,-1)*QUOTIENT(((c_TMAP2IN)-(c_TMAP1IN)),2))+2147483648,4294967296)-2147483648,((c_TMAP2IN)-(c_TMAP1IN))*(((K362)-(c_TMAP1IN))*((c_TMAP2OUT)-(c_TMAP1OUT))+IF(((c_TMAP2OUT)-(c_TMAP1OUT))&gt;=0,1,-1)*QUOTIENT(((c_TMAP2IN)-(c_TMAP1IN)),2)))&lt;0,-1,0),IF(IF(o_WRAP=1,MOD(((c_TMAP2IN)-(c_TMAP1IN))*(((K362)-(c_TMAP1IN))*((c_TMAP2OUT)-(c_TMAP1OUT))+IF(((c_TMAP2OUT)-(c_TMAP1OUT))&gt;=0,1,-1)*QUOTIENT(((c_TMAP2IN)-(c_TMAP1IN)),2))+2147483648,4294967296)-2147483648,((c_TMAP2IN)-(c_TMAP1IN))*(((K362)-(c_TMAP1IN))*((c_TMAP2OUT)-(c_TMAP1OUT))+IF(((c_TMAP2OUT)-(c_TMAP1OUT))&gt;=0,1,-1)*QUOTIENT(((c_TMAP2IN)-(c_TMAP1IN)),2)))&gt;=0,1,0)))</f>
        <v>430</v>
      </c>
      <c r="O362" s="7" t="n">
        <f aca="false">IF(((c_TMAP3IN)-(c_TMAP2IN))=0,(c_TMAP2OUT)+QUOTIENT(((c_TMAP3OUT)-(c_TMAP2OUT)),2),QUOTIENT((((K362)-(c_TMAP2IN))*((c_TMAP3OUT)-(c_TMAP2OUT))+IF(((c_TMAP3OUT)-(c_TMAP2OUT))&gt;=0,1,-1)*QUOTIENT(((c_TMAP3IN)-(c_TMAP2IN)),2)),((c_TMAP3IN)-(c_TMAP2IN)))+(c_TMAP2OUT)+IF(((c_TMAP3OUT)-(c_TMAP2OUT))&gt;=0,IF(IF(o_WRAP=1,MOD(((c_TMAP3IN)-(c_TMAP2IN))*(((K362)-(c_TMAP2IN))*((c_TMAP3OUT)-(c_TMAP2OUT))+IF(((c_TMAP3OUT)-(c_TMAP2OUT))&gt;=0,1,-1)*QUOTIENT(((c_TMAP3IN)-(c_TMAP2IN)),2))+2147483648,4294967296)-2147483648,((c_TMAP3IN)-(c_TMAP2IN))*(((K362)-(c_TMAP2IN))*((c_TMAP3OUT)-(c_TMAP2OUT))+IF(((c_TMAP3OUT)-(c_TMAP2OUT))&gt;=0,1,-1)*QUOTIENT(((c_TMAP3IN)-(c_TMAP2IN)),2)))&lt;0,-1,0),IF(IF(o_WRAP=1,MOD(((c_TMAP3IN)-(c_TMAP2IN))*(((K362)-(c_TMAP2IN))*((c_TMAP3OUT)-(c_TMAP2OUT))+IF(((c_TMAP3OUT)-(c_TMAP2OUT))&gt;=0,1,-1)*QUOTIENT(((c_TMAP3IN)-(c_TMAP2IN)),2))+2147483648,4294967296)-2147483648,((c_TMAP3IN)-(c_TMAP2IN))*(((K362)-(c_TMAP2IN))*((c_TMAP3OUT)-(c_TMAP2OUT))+IF(((c_TMAP3OUT)-(c_TMAP2OUT))&gt;=0,1,-1)*QUOTIENT(((c_TMAP3IN)-(c_TMAP2IN)),2)))&gt;=0,1,0)))</f>
        <v>655</v>
      </c>
      <c r="P362" s="7" t="n">
        <f aca="false">IF(((1000)-(c_TMAP3IN))=0,(c_TMAP3OUT)+QUOTIENT(((1000)-(c_TMAP3OUT)),2),QUOTIENT((((K362)-(c_TMAP3IN))*((1000)-(c_TMAP3OUT))+IF(((1000)-(c_TMAP3OUT))&gt;=0,1,-1)*QUOTIENT(((1000)-(c_TMAP3IN)),2)),((1000)-(c_TMAP3IN)))+(c_TMAP3OUT)+IF(((1000)-(c_TMAP3OUT))&gt;=0,IF(IF(o_WRAP=1,MOD(((1000)-(c_TMAP3IN))*(((K362)-(c_TMAP3IN))*((1000)-(c_TMAP3OUT))+IF(((1000)-(c_TMAP3OUT))&gt;=0,1,-1)*QUOTIENT(((1000)-(c_TMAP3IN)),2))+2147483648,4294967296)-2147483648,((1000)-(c_TMAP3IN))*(((K362)-(c_TMAP3IN))*((1000)-(c_TMAP3OUT))+IF(((1000)-(c_TMAP3OUT))&gt;=0,1,-1)*QUOTIENT(((1000)-(c_TMAP3IN)),2)))&lt;0,-1,0),IF(IF(o_WRAP=1,MOD(((1000)-(c_TMAP3IN))*(((K362)-(c_TMAP3IN))*((1000)-(c_TMAP3OUT))+IF(((1000)-(c_TMAP3OUT))&gt;=0,1,-1)*QUOTIENT(((1000)-(c_TMAP3IN)),2))+2147483648,4294967296)-2147483648,((1000)-(c_TMAP3IN))*(((K362)-(c_TMAP3IN))*((1000)-(c_TMAP3OUT))+IF(((1000)-(c_TMAP3OUT))&gt;=0,1,-1)*QUOTIENT(((1000)-(c_TMAP3IN)),2)))&gt;=0,1,0)))</f>
        <v>1000</v>
      </c>
      <c r="Q362" s="7" t="str">
        <f aca="false">IF(K362&gt;=c_TFWD,IF(AND(K362&gt;=c_TMAP3IN,c_TMAP3IN&lt;1000),"Seg4 map3-100%",IF(AND(K362&gt;=c_TMAP2IN,c_TMAP3IN&gt;c_TMAP2IN),"Seg3 map2-map3",IF(AND(K362&gt;=c_TMAP1IN,c_TMAP2IN&gt;c_TMAP1IN),"Seg2 map1-map2","Seg1 TFWD-map1"))),IF(AND(K362=0,c_TCREEP&gt;0),"Creep",IF(AND(K362&lt;=c_TRNGMIN,K362&gt;=c_TRNGMAX,c_TRNGMIN-c_TRNGMAX&lt;&gt;0),"Regen ramp","Coast (0)")))</f>
        <v>Seg4 map3-100%</v>
      </c>
      <c r="R362" s="7" t="n">
        <f aca="false">IF(K362&gt;=c_TFWD,IF(AND(K362&gt;=c_TMAP3IN,c_TMAP3IN&lt;1000),P362,IF(AND(K362&gt;=c_TMAP2IN,c_TMAP3IN&gt;c_TMAP2IN),O362,IF(AND(K362&gt;=c_TMAP1IN,c_TMAP2IN&gt;c_TMAP1IN),N362,M362))),L362)</f>
        <v>1000</v>
      </c>
      <c r="S362" s="7" t="str">
        <f aca="false">IF(R362&lt;-1090,"TOO LOW",IF(R362&gt;1090,"TOO HIGH",""))</f>
        <v/>
      </c>
      <c r="T362" s="15" t="n">
        <f aca="false">IF(H362&lt;&gt;"OK",0,IF(S362&lt;&gt;"",0,IF(R362&gt;979,1000,R362)))</f>
        <v>1000</v>
      </c>
      <c r="U362" s="7" t="n">
        <f aca="false">T362/10</f>
        <v>100</v>
      </c>
    </row>
    <row r="363" customFormat="false" ht="15" hidden="false" customHeight="false" outlineLevel="0" collapsed="false">
      <c r="A363" s="7" t="n">
        <v>358</v>
      </c>
      <c r="B363" s="7" t="n">
        <f aca="false">ROUND(o_SWSTART+A363*(o_SWEND-o_SWSTART)/400,0)</f>
        <v>3665</v>
      </c>
      <c r="C363" s="7" t="n">
        <f aca="false">QUOTIENT((B363-c_OFF1)*c_GAIN1,1024)</f>
        <v>3665</v>
      </c>
      <c r="D363" s="7" t="n">
        <f aca="false">IF(((c_T1MX)-(c_T1MN))=0,(0)+QUOTIENT(((1000)-(0)),2),QUOTIENT((((C363)-(c_T1MN))*((1000)-(0))+IF(((1000)-(0))&gt;=0,1,-1)*QUOTIENT(((c_T1MX)-(c_T1MN)),2)),((c_T1MX)-(c_T1MN)))+(0)+IF(((1000)-(0))&gt;=0,IF(IF(o_WRAP=1,MOD(((c_T1MX)-(c_T1MN))*(((C363)-(c_T1MN))*((1000)-(0))+IF(((1000)-(0))&gt;=0,1,-1)*QUOTIENT(((c_T1MX)-(c_T1MN)),2))+2147483648,4294967296)-2147483648,((c_T1MX)-(c_T1MN))*(((C363)-(c_T1MN))*((1000)-(0))+IF(((1000)-(0))&gt;=0,1,-1)*QUOTIENT(((c_T1MX)-(c_T1MN)),2)))&lt;0,-1,0),IF(IF(o_WRAP=1,MOD(((c_T1MX)-(c_T1MN))*(((C363)-(c_T1MN))*((1000)-(0))+IF(((1000)-(0))&gt;=0,1,-1)*QUOTIENT(((c_T1MX)-(c_T1MN)),2))+2147483648,4294967296)-2147483648,((c_T1MX)-(c_T1MN))*(((C363)-(c_T1MN))*((1000)-(0))+IF(((1000)-(0))&gt;=0,1,-1)*QUOTIENT(((c_T1MX)-(c_T1MN)),2)))&gt;=0,1,0)))</f>
        <v>1067</v>
      </c>
      <c r="E363" s="7" t="n">
        <f aca="false">IF(AND(c_TPOT=1,c_TTYPE=2),1000-D363,D363)</f>
        <v>1067</v>
      </c>
      <c r="F363" s="7" t="str">
        <f aca="false">IF(c_TPOT&gt;1,ROUND(IF(c_TTYPE=2,c_T2MX-IF(c_T1MX=c_T1MN,0,(C363-c_T1MN)/(c_T1MX-c_T1MN))*(c_T2MX-c_T2MN),c_T2MN+IF(c_T1MX=c_T1MN,0,(C363-c_T1MN)/(c_T1MX-c_T1MN))*(c_T2MX-c_T2MN))+o_MISMATCH,0),"")</f>
        <v/>
      </c>
      <c r="G363" s="7" t="str">
        <f aca="false">IF(c_TPOT&gt;1,IF(((c_T2MX)-(c_T2MN))=0,(0)+QUOTIENT(((1000)-(0)),2),QUOTIENT((((F363)-(c_T2MN))*((1000)-(0))+IF(((1000)-(0))&gt;=0,1,-1)*QUOTIENT(((c_T2MX)-(c_T2MN)),2)),((c_T2MX)-(c_T2MN)))+(0)+IF(((1000)-(0))&gt;=0,IF(IF(o_WRAP=1,MOD(((c_T2MX)-(c_T2MN))*(((F363)-(c_T2MN))*((1000)-(0))+IF(((1000)-(0))&gt;=0,1,-1)*QUOTIENT(((c_T2MX)-(c_T2MN)),2))+2147483648,4294967296)-2147483648,((c_T2MX)-(c_T2MN))*(((F363)-(c_T2MN))*((1000)-(0))+IF(((1000)-(0))&gt;=0,1,-1)*QUOTIENT(((c_T2MX)-(c_T2MN)),2)))&lt;0,-1,0),IF(IF(o_WRAP=1,MOD(((c_T2MX)-(c_T2MN))*(((F363)-(c_T2MN))*((1000)-(0))+IF(((1000)-(0))&gt;=0,1,-1)*QUOTIENT(((c_T2MX)-(c_T2MN)),2))+2147483648,4294967296)-2147483648,((c_T2MX)-(c_T2MN))*(((F363)-(c_T2MN))*((1000)-(0))+IF(((1000)-(0))&gt;=0,1,-1)*QUOTIENT(((c_T2MX)-(c_T2MN)),2)))&gt;=0,1,0))),"")</f>
        <v/>
      </c>
      <c r="H363" s="7" t="str">
        <f aca="false">IF(E363&gt;1000+k_TOL,"T1 HIGH",IF(E363&lt;0-k_TOL,"T1 LOW",IF(c_TPOT&gt;1,IF(G363&gt;1000+k_TOL,"T2 HIGH",IF(G363&lt;0-k_TOL,"T2 LOW",IF(c_TTYPE=2,IF(ABS(1000-MAX(0,MIN(1000,E363))-MAX(0,MIN(1000,G363)))&gt;k_MAXERR,"MISMATCH","OK"),IF(OR(MAX(0,MIN(1000,E363))-k_MAXERR&gt;MAX(0,MIN(1000,G363)),MAX(0,MIN(1000,G363))-k_MAXERR&gt;MAX(0,MIN(1000,E363))),"MISMATCH","OK")))),"OK")))</f>
        <v>OK</v>
      </c>
      <c r="I363" s="7" t="n">
        <f aca="false">MAX(0,MIN(1000,D363))</f>
        <v>1000</v>
      </c>
      <c r="J363" s="7" t="str">
        <f aca="false">IF(c_TPOT&gt;1,IF(c_TTYPE=2,1000-MAX(0,MIN(1000,G363)),MAX(0,MIN(1000,G363))),"")</f>
        <v/>
      </c>
      <c r="K363" s="7" t="n">
        <f aca="false">IF(c_TPOT&gt;1,QUOTIENT(I363+J363,2),I363)</f>
        <v>1000</v>
      </c>
      <c r="L363" s="7" t="n">
        <f aca="false">IF(AND(K363=0,c_TCREEP&gt;0),10*c_TCREEP,IF(AND(K363&lt;=c_TRNGMIN,K363&gt;=c_TRNGMAX,c_TRNGMIN-c_TRNGMAX&lt;&gt;0),-10*c_TMINRN+QUOTIENT((c_TMAXRN-c_TMINRN)*(100-QUOTIENT((K363-c_TRNGMAX)*100,c_TRNGMIN-c_TRNGMAX)),-10),0))</f>
        <v>0</v>
      </c>
      <c r="M363" s="7" t="n">
        <f aca="false">IF(((c_TMAP1IN)-(c_TFWD))=0,(0)+QUOTIENT(((c_TMAP1OUT)-(0)),2),QUOTIENT((((K363)-(c_TFWD))*((c_TMAP1OUT)-(0))+IF(((c_TMAP1OUT)-(0))&gt;=0,1,-1)*QUOTIENT(((c_TMAP1IN)-(c_TFWD)),2)),((c_TMAP1IN)-(c_TFWD)))+(0)+IF(((c_TMAP1OUT)-(0))&gt;=0,IF(IF(o_WRAP=1,MOD(((c_TMAP1IN)-(c_TFWD))*(((K363)-(c_TFWD))*((c_TMAP1OUT)-(0))+IF(((c_TMAP1OUT)-(0))&gt;=0,1,-1)*QUOTIENT(((c_TMAP1IN)-(c_TFWD)),2))+2147483648,4294967296)-2147483648,((c_TMAP1IN)-(c_TFWD))*(((K363)-(c_TFWD))*((c_TMAP1OUT)-(0))+IF(((c_TMAP1OUT)-(0))&gt;=0,1,-1)*QUOTIENT(((c_TMAP1IN)-(c_TFWD)),2)))&lt;0,-1,0),IF(IF(o_WRAP=1,MOD(((c_TMAP1IN)-(c_TFWD))*(((K363)-(c_TFWD))*((c_TMAP1OUT)-(0))+IF(((c_TMAP1OUT)-(0))&gt;=0,1,-1)*QUOTIENT(((c_TMAP1IN)-(c_TFWD)),2))+2147483648,4294967296)-2147483648,((c_TMAP1IN)-(c_TFWD))*(((K363)-(c_TFWD))*((c_TMAP1OUT)-(0))+IF(((c_TMAP1OUT)-(0))&gt;=0,1,-1)*QUOTIENT(((c_TMAP1IN)-(c_TFWD)),2)))&gt;=0,1,0)))</f>
        <v>770</v>
      </c>
      <c r="N363" s="7" t="n">
        <f aca="false">IF(((c_TMAP2IN)-(c_TMAP1IN))=0,(c_TMAP1OUT)+QUOTIENT(((c_TMAP2OUT)-(c_TMAP1OUT)),2),QUOTIENT((((K363)-(c_TMAP1IN))*((c_TMAP2OUT)-(c_TMAP1OUT))+IF(((c_TMAP2OUT)-(c_TMAP1OUT))&gt;=0,1,-1)*QUOTIENT(((c_TMAP2IN)-(c_TMAP1IN)),2)),((c_TMAP2IN)-(c_TMAP1IN)))+(c_TMAP1OUT)+IF(((c_TMAP2OUT)-(c_TMAP1OUT))&gt;=0,IF(IF(o_WRAP=1,MOD(((c_TMAP2IN)-(c_TMAP1IN))*(((K363)-(c_TMAP1IN))*((c_TMAP2OUT)-(c_TMAP1OUT))+IF(((c_TMAP2OUT)-(c_TMAP1OUT))&gt;=0,1,-1)*QUOTIENT(((c_TMAP2IN)-(c_TMAP1IN)),2))+2147483648,4294967296)-2147483648,((c_TMAP2IN)-(c_TMAP1IN))*(((K363)-(c_TMAP1IN))*((c_TMAP2OUT)-(c_TMAP1OUT))+IF(((c_TMAP2OUT)-(c_TMAP1OUT))&gt;=0,1,-1)*QUOTIENT(((c_TMAP2IN)-(c_TMAP1IN)),2)))&lt;0,-1,0),IF(IF(o_WRAP=1,MOD(((c_TMAP2IN)-(c_TMAP1IN))*(((K363)-(c_TMAP1IN))*((c_TMAP2OUT)-(c_TMAP1OUT))+IF(((c_TMAP2OUT)-(c_TMAP1OUT))&gt;=0,1,-1)*QUOTIENT(((c_TMAP2IN)-(c_TMAP1IN)),2))+2147483648,4294967296)-2147483648,((c_TMAP2IN)-(c_TMAP1IN))*(((K363)-(c_TMAP1IN))*((c_TMAP2OUT)-(c_TMAP1OUT))+IF(((c_TMAP2OUT)-(c_TMAP1OUT))&gt;=0,1,-1)*QUOTIENT(((c_TMAP2IN)-(c_TMAP1IN)),2)))&gt;=0,1,0)))</f>
        <v>430</v>
      </c>
      <c r="O363" s="7" t="n">
        <f aca="false">IF(((c_TMAP3IN)-(c_TMAP2IN))=0,(c_TMAP2OUT)+QUOTIENT(((c_TMAP3OUT)-(c_TMAP2OUT)),2),QUOTIENT((((K363)-(c_TMAP2IN))*((c_TMAP3OUT)-(c_TMAP2OUT))+IF(((c_TMAP3OUT)-(c_TMAP2OUT))&gt;=0,1,-1)*QUOTIENT(((c_TMAP3IN)-(c_TMAP2IN)),2)),((c_TMAP3IN)-(c_TMAP2IN)))+(c_TMAP2OUT)+IF(((c_TMAP3OUT)-(c_TMAP2OUT))&gt;=0,IF(IF(o_WRAP=1,MOD(((c_TMAP3IN)-(c_TMAP2IN))*(((K363)-(c_TMAP2IN))*((c_TMAP3OUT)-(c_TMAP2OUT))+IF(((c_TMAP3OUT)-(c_TMAP2OUT))&gt;=0,1,-1)*QUOTIENT(((c_TMAP3IN)-(c_TMAP2IN)),2))+2147483648,4294967296)-2147483648,((c_TMAP3IN)-(c_TMAP2IN))*(((K363)-(c_TMAP2IN))*((c_TMAP3OUT)-(c_TMAP2OUT))+IF(((c_TMAP3OUT)-(c_TMAP2OUT))&gt;=0,1,-1)*QUOTIENT(((c_TMAP3IN)-(c_TMAP2IN)),2)))&lt;0,-1,0),IF(IF(o_WRAP=1,MOD(((c_TMAP3IN)-(c_TMAP2IN))*(((K363)-(c_TMAP2IN))*((c_TMAP3OUT)-(c_TMAP2OUT))+IF(((c_TMAP3OUT)-(c_TMAP2OUT))&gt;=0,1,-1)*QUOTIENT(((c_TMAP3IN)-(c_TMAP2IN)),2))+2147483648,4294967296)-2147483648,((c_TMAP3IN)-(c_TMAP2IN))*(((K363)-(c_TMAP2IN))*((c_TMAP3OUT)-(c_TMAP2OUT))+IF(((c_TMAP3OUT)-(c_TMAP2OUT))&gt;=0,1,-1)*QUOTIENT(((c_TMAP3IN)-(c_TMAP2IN)),2)))&gt;=0,1,0)))</f>
        <v>655</v>
      </c>
      <c r="P363" s="7" t="n">
        <f aca="false">IF(((1000)-(c_TMAP3IN))=0,(c_TMAP3OUT)+QUOTIENT(((1000)-(c_TMAP3OUT)),2),QUOTIENT((((K363)-(c_TMAP3IN))*((1000)-(c_TMAP3OUT))+IF(((1000)-(c_TMAP3OUT))&gt;=0,1,-1)*QUOTIENT(((1000)-(c_TMAP3IN)),2)),((1000)-(c_TMAP3IN)))+(c_TMAP3OUT)+IF(((1000)-(c_TMAP3OUT))&gt;=0,IF(IF(o_WRAP=1,MOD(((1000)-(c_TMAP3IN))*(((K363)-(c_TMAP3IN))*((1000)-(c_TMAP3OUT))+IF(((1000)-(c_TMAP3OUT))&gt;=0,1,-1)*QUOTIENT(((1000)-(c_TMAP3IN)),2))+2147483648,4294967296)-2147483648,((1000)-(c_TMAP3IN))*(((K363)-(c_TMAP3IN))*((1000)-(c_TMAP3OUT))+IF(((1000)-(c_TMAP3OUT))&gt;=0,1,-1)*QUOTIENT(((1000)-(c_TMAP3IN)),2)))&lt;0,-1,0),IF(IF(o_WRAP=1,MOD(((1000)-(c_TMAP3IN))*(((K363)-(c_TMAP3IN))*((1000)-(c_TMAP3OUT))+IF(((1000)-(c_TMAP3OUT))&gt;=0,1,-1)*QUOTIENT(((1000)-(c_TMAP3IN)),2))+2147483648,4294967296)-2147483648,((1000)-(c_TMAP3IN))*(((K363)-(c_TMAP3IN))*((1000)-(c_TMAP3OUT))+IF(((1000)-(c_TMAP3OUT))&gt;=0,1,-1)*QUOTIENT(((1000)-(c_TMAP3IN)),2)))&gt;=0,1,0)))</f>
        <v>1000</v>
      </c>
      <c r="Q363" s="7" t="str">
        <f aca="false">IF(K363&gt;=c_TFWD,IF(AND(K363&gt;=c_TMAP3IN,c_TMAP3IN&lt;1000),"Seg4 map3-100%",IF(AND(K363&gt;=c_TMAP2IN,c_TMAP3IN&gt;c_TMAP2IN),"Seg3 map2-map3",IF(AND(K363&gt;=c_TMAP1IN,c_TMAP2IN&gt;c_TMAP1IN),"Seg2 map1-map2","Seg1 TFWD-map1"))),IF(AND(K363=0,c_TCREEP&gt;0),"Creep",IF(AND(K363&lt;=c_TRNGMIN,K363&gt;=c_TRNGMAX,c_TRNGMIN-c_TRNGMAX&lt;&gt;0),"Regen ramp","Coast (0)")))</f>
        <v>Seg4 map3-100%</v>
      </c>
      <c r="R363" s="7" t="n">
        <f aca="false">IF(K363&gt;=c_TFWD,IF(AND(K363&gt;=c_TMAP3IN,c_TMAP3IN&lt;1000),P363,IF(AND(K363&gt;=c_TMAP2IN,c_TMAP3IN&gt;c_TMAP2IN),O363,IF(AND(K363&gt;=c_TMAP1IN,c_TMAP2IN&gt;c_TMAP1IN),N363,M363))),L363)</f>
        <v>1000</v>
      </c>
      <c r="S363" s="7" t="str">
        <f aca="false">IF(R363&lt;-1090,"TOO LOW",IF(R363&gt;1090,"TOO HIGH",""))</f>
        <v/>
      </c>
      <c r="T363" s="15" t="n">
        <f aca="false">IF(H363&lt;&gt;"OK",0,IF(S363&lt;&gt;"",0,IF(R363&gt;979,1000,R363)))</f>
        <v>1000</v>
      </c>
      <c r="U363" s="7" t="n">
        <f aca="false">T363/10</f>
        <v>100</v>
      </c>
    </row>
    <row r="364" customFormat="false" ht="15" hidden="false" customHeight="false" outlineLevel="0" collapsed="false">
      <c r="A364" s="7" t="n">
        <v>359</v>
      </c>
      <c r="B364" s="7" t="n">
        <f aca="false">ROUND(o_SWSTART+A364*(o_SWEND-o_SWSTART)/400,0)</f>
        <v>3675</v>
      </c>
      <c r="C364" s="7" t="n">
        <f aca="false">QUOTIENT((B364-c_OFF1)*c_GAIN1,1024)</f>
        <v>3675</v>
      </c>
      <c r="D364" s="7" t="n">
        <f aca="false">IF(((c_T1MX)-(c_T1MN))=0,(0)+QUOTIENT(((1000)-(0)),2),QUOTIENT((((C364)-(c_T1MN))*((1000)-(0))+IF(((1000)-(0))&gt;=0,1,-1)*QUOTIENT(((c_T1MX)-(c_T1MN)),2)),((c_T1MX)-(c_T1MN)))+(0)+IF(((1000)-(0))&gt;=0,IF(IF(o_WRAP=1,MOD(((c_T1MX)-(c_T1MN))*(((C364)-(c_T1MN))*((1000)-(0))+IF(((1000)-(0))&gt;=0,1,-1)*QUOTIENT(((c_T1MX)-(c_T1MN)),2))+2147483648,4294967296)-2147483648,((c_T1MX)-(c_T1MN))*(((C364)-(c_T1MN))*((1000)-(0))+IF(((1000)-(0))&gt;=0,1,-1)*QUOTIENT(((c_T1MX)-(c_T1MN)),2)))&lt;0,-1,0),IF(IF(o_WRAP=1,MOD(((c_T1MX)-(c_T1MN))*(((C364)-(c_T1MN))*((1000)-(0))+IF(((1000)-(0))&gt;=0,1,-1)*QUOTIENT(((c_T1MX)-(c_T1MN)),2))+2147483648,4294967296)-2147483648,((c_T1MX)-(c_T1MN))*(((C364)-(c_T1MN))*((1000)-(0))+IF(((1000)-(0))&gt;=0,1,-1)*QUOTIENT(((c_T1MX)-(c_T1MN)),2)))&gt;=0,1,0)))</f>
        <v>1070</v>
      </c>
      <c r="E364" s="7" t="n">
        <f aca="false">IF(AND(c_TPOT=1,c_TTYPE=2),1000-D364,D364)</f>
        <v>1070</v>
      </c>
      <c r="F364" s="7" t="str">
        <f aca="false">IF(c_TPOT&gt;1,ROUND(IF(c_TTYPE=2,c_T2MX-IF(c_T1MX=c_T1MN,0,(C364-c_T1MN)/(c_T1MX-c_T1MN))*(c_T2MX-c_T2MN),c_T2MN+IF(c_T1MX=c_T1MN,0,(C364-c_T1MN)/(c_T1MX-c_T1MN))*(c_T2MX-c_T2MN))+o_MISMATCH,0),"")</f>
        <v/>
      </c>
      <c r="G364" s="7" t="str">
        <f aca="false">IF(c_TPOT&gt;1,IF(((c_T2MX)-(c_T2MN))=0,(0)+QUOTIENT(((1000)-(0)),2),QUOTIENT((((F364)-(c_T2MN))*((1000)-(0))+IF(((1000)-(0))&gt;=0,1,-1)*QUOTIENT(((c_T2MX)-(c_T2MN)),2)),((c_T2MX)-(c_T2MN)))+(0)+IF(((1000)-(0))&gt;=0,IF(IF(o_WRAP=1,MOD(((c_T2MX)-(c_T2MN))*(((F364)-(c_T2MN))*((1000)-(0))+IF(((1000)-(0))&gt;=0,1,-1)*QUOTIENT(((c_T2MX)-(c_T2MN)),2))+2147483648,4294967296)-2147483648,((c_T2MX)-(c_T2MN))*(((F364)-(c_T2MN))*((1000)-(0))+IF(((1000)-(0))&gt;=0,1,-1)*QUOTIENT(((c_T2MX)-(c_T2MN)),2)))&lt;0,-1,0),IF(IF(o_WRAP=1,MOD(((c_T2MX)-(c_T2MN))*(((F364)-(c_T2MN))*((1000)-(0))+IF(((1000)-(0))&gt;=0,1,-1)*QUOTIENT(((c_T2MX)-(c_T2MN)),2))+2147483648,4294967296)-2147483648,((c_T2MX)-(c_T2MN))*(((F364)-(c_T2MN))*((1000)-(0))+IF(((1000)-(0))&gt;=0,1,-1)*QUOTIENT(((c_T2MX)-(c_T2MN)),2)))&gt;=0,1,0))),"")</f>
        <v/>
      </c>
      <c r="H364" s="7" t="str">
        <f aca="false">IF(E364&gt;1000+k_TOL,"T1 HIGH",IF(E364&lt;0-k_TOL,"T1 LOW",IF(c_TPOT&gt;1,IF(G364&gt;1000+k_TOL,"T2 HIGH",IF(G364&lt;0-k_TOL,"T2 LOW",IF(c_TTYPE=2,IF(ABS(1000-MAX(0,MIN(1000,E364))-MAX(0,MIN(1000,G364)))&gt;k_MAXERR,"MISMATCH","OK"),IF(OR(MAX(0,MIN(1000,E364))-k_MAXERR&gt;MAX(0,MIN(1000,G364)),MAX(0,MIN(1000,G364))-k_MAXERR&gt;MAX(0,MIN(1000,E364))),"MISMATCH","OK")))),"OK")))</f>
        <v>OK</v>
      </c>
      <c r="I364" s="7" t="n">
        <f aca="false">MAX(0,MIN(1000,D364))</f>
        <v>1000</v>
      </c>
      <c r="J364" s="7" t="str">
        <f aca="false">IF(c_TPOT&gt;1,IF(c_TTYPE=2,1000-MAX(0,MIN(1000,G364)),MAX(0,MIN(1000,G364))),"")</f>
        <v/>
      </c>
      <c r="K364" s="7" t="n">
        <f aca="false">IF(c_TPOT&gt;1,QUOTIENT(I364+J364,2),I364)</f>
        <v>1000</v>
      </c>
      <c r="L364" s="7" t="n">
        <f aca="false">IF(AND(K364=0,c_TCREEP&gt;0),10*c_TCREEP,IF(AND(K364&lt;=c_TRNGMIN,K364&gt;=c_TRNGMAX,c_TRNGMIN-c_TRNGMAX&lt;&gt;0),-10*c_TMINRN+QUOTIENT((c_TMAXRN-c_TMINRN)*(100-QUOTIENT((K364-c_TRNGMAX)*100,c_TRNGMIN-c_TRNGMAX)),-10),0))</f>
        <v>0</v>
      </c>
      <c r="M364" s="7" t="n">
        <f aca="false">IF(((c_TMAP1IN)-(c_TFWD))=0,(0)+QUOTIENT(((c_TMAP1OUT)-(0)),2),QUOTIENT((((K364)-(c_TFWD))*((c_TMAP1OUT)-(0))+IF(((c_TMAP1OUT)-(0))&gt;=0,1,-1)*QUOTIENT(((c_TMAP1IN)-(c_TFWD)),2)),((c_TMAP1IN)-(c_TFWD)))+(0)+IF(((c_TMAP1OUT)-(0))&gt;=0,IF(IF(o_WRAP=1,MOD(((c_TMAP1IN)-(c_TFWD))*(((K364)-(c_TFWD))*((c_TMAP1OUT)-(0))+IF(((c_TMAP1OUT)-(0))&gt;=0,1,-1)*QUOTIENT(((c_TMAP1IN)-(c_TFWD)),2))+2147483648,4294967296)-2147483648,((c_TMAP1IN)-(c_TFWD))*(((K364)-(c_TFWD))*((c_TMAP1OUT)-(0))+IF(((c_TMAP1OUT)-(0))&gt;=0,1,-1)*QUOTIENT(((c_TMAP1IN)-(c_TFWD)),2)))&lt;0,-1,0),IF(IF(o_WRAP=1,MOD(((c_TMAP1IN)-(c_TFWD))*(((K364)-(c_TFWD))*((c_TMAP1OUT)-(0))+IF(((c_TMAP1OUT)-(0))&gt;=0,1,-1)*QUOTIENT(((c_TMAP1IN)-(c_TFWD)),2))+2147483648,4294967296)-2147483648,((c_TMAP1IN)-(c_TFWD))*(((K364)-(c_TFWD))*((c_TMAP1OUT)-(0))+IF(((c_TMAP1OUT)-(0))&gt;=0,1,-1)*QUOTIENT(((c_TMAP1IN)-(c_TFWD)),2)))&gt;=0,1,0)))</f>
        <v>770</v>
      </c>
      <c r="N364" s="7" t="n">
        <f aca="false">IF(((c_TMAP2IN)-(c_TMAP1IN))=0,(c_TMAP1OUT)+QUOTIENT(((c_TMAP2OUT)-(c_TMAP1OUT)),2),QUOTIENT((((K364)-(c_TMAP1IN))*((c_TMAP2OUT)-(c_TMAP1OUT))+IF(((c_TMAP2OUT)-(c_TMAP1OUT))&gt;=0,1,-1)*QUOTIENT(((c_TMAP2IN)-(c_TMAP1IN)),2)),((c_TMAP2IN)-(c_TMAP1IN)))+(c_TMAP1OUT)+IF(((c_TMAP2OUT)-(c_TMAP1OUT))&gt;=0,IF(IF(o_WRAP=1,MOD(((c_TMAP2IN)-(c_TMAP1IN))*(((K364)-(c_TMAP1IN))*((c_TMAP2OUT)-(c_TMAP1OUT))+IF(((c_TMAP2OUT)-(c_TMAP1OUT))&gt;=0,1,-1)*QUOTIENT(((c_TMAP2IN)-(c_TMAP1IN)),2))+2147483648,4294967296)-2147483648,((c_TMAP2IN)-(c_TMAP1IN))*(((K364)-(c_TMAP1IN))*((c_TMAP2OUT)-(c_TMAP1OUT))+IF(((c_TMAP2OUT)-(c_TMAP1OUT))&gt;=0,1,-1)*QUOTIENT(((c_TMAP2IN)-(c_TMAP1IN)),2)))&lt;0,-1,0),IF(IF(o_WRAP=1,MOD(((c_TMAP2IN)-(c_TMAP1IN))*(((K364)-(c_TMAP1IN))*((c_TMAP2OUT)-(c_TMAP1OUT))+IF(((c_TMAP2OUT)-(c_TMAP1OUT))&gt;=0,1,-1)*QUOTIENT(((c_TMAP2IN)-(c_TMAP1IN)),2))+2147483648,4294967296)-2147483648,((c_TMAP2IN)-(c_TMAP1IN))*(((K364)-(c_TMAP1IN))*((c_TMAP2OUT)-(c_TMAP1OUT))+IF(((c_TMAP2OUT)-(c_TMAP1OUT))&gt;=0,1,-1)*QUOTIENT(((c_TMAP2IN)-(c_TMAP1IN)),2)))&gt;=0,1,0)))</f>
        <v>430</v>
      </c>
      <c r="O364" s="7" t="n">
        <f aca="false">IF(((c_TMAP3IN)-(c_TMAP2IN))=0,(c_TMAP2OUT)+QUOTIENT(((c_TMAP3OUT)-(c_TMAP2OUT)),2),QUOTIENT((((K364)-(c_TMAP2IN))*((c_TMAP3OUT)-(c_TMAP2OUT))+IF(((c_TMAP3OUT)-(c_TMAP2OUT))&gt;=0,1,-1)*QUOTIENT(((c_TMAP3IN)-(c_TMAP2IN)),2)),((c_TMAP3IN)-(c_TMAP2IN)))+(c_TMAP2OUT)+IF(((c_TMAP3OUT)-(c_TMAP2OUT))&gt;=0,IF(IF(o_WRAP=1,MOD(((c_TMAP3IN)-(c_TMAP2IN))*(((K364)-(c_TMAP2IN))*((c_TMAP3OUT)-(c_TMAP2OUT))+IF(((c_TMAP3OUT)-(c_TMAP2OUT))&gt;=0,1,-1)*QUOTIENT(((c_TMAP3IN)-(c_TMAP2IN)),2))+2147483648,4294967296)-2147483648,((c_TMAP3IN)-(c_TMAP2IN))*(((K364)-(c_TMAP2IN))*((c_TMAP3OUT)-(c_TMAP2OUT))+IF(((c_TMAP3OUT)-(c_TMAP2OUT))&gt;=0,1,-1)*QUOTIENT(((c_TMAP3IN)-(c_TMAP2IN)),2)))&lt;0,-1,0),IF(IF(o_WRAP=1,MOD(((c_TMAP3IN)-(c_TMAP2IN))*(((K364)-(c_TMAP2IN))*((c_TMAP3OUT)-(c_TMAP2OUT))+IF(((c_TMAP3OUT)-(c_TMAP2OUT))&gt;=0,1,-1)*QUOTIENT(((c_TMAP3IN)-(c_TMAP2IN)),2))+2147483648,4294967296)-2147483648,((c_TMAP3IN)-(c_TMAP2IN))*(((K364)-(c_TMAP2IN))*((c_TMAP3OUT)-(c_TMAP2OUT))+IF(((c_TMAP3OUT)-(c_TMAP2OUT))&gt;=0,1,-1)*QUOTIENT(((c_TMAP3IN)-(c_TMAP2IN)),2)))&gt;=0,1,0)))</f>
        <v>655</v>
      </c>
      <c r="P364" s="7" t="n">
        <f aca="false">IF(((1000)-(c_TMAP3IN))=0,(c_TMAP3OUT)+QUOTIENT(((1000)-(c_TMAP3OUT)),2),QUOTIENT((((K364)-(c_TMAP3IN))*((1000)-(c_TMAP3OUT))+IF(((1000)-(c_TMAP3OUT))&gt;=0,1,-1)*QUOTIENT(((1000)-(c_TMAP3IN)),2)),((1000)-(c_TMAP3IN)))+(c_TMAP3OUT)+IF(((1000)-(c_TMAP3OUT))&gt;=0,IF(IF(o_WRAP=1,MOD(((1000)-(c_TMAP3IN))*(((K364)-(c_TMAP3IN))*((1000)-(c_TMAP3OUT))+IF(((1000)-(c_TMAP3OUT))&gt;=0,1,-1)*QUOTIENT(((1000)-(c_TMAP3IN)),2))+2147483648,4294967296)-2147483648,((1000)-(c_TMAP3IN))*(((K364)-(c_TMAP3IN))*((1000)-(c_TMAP3OUT))+IF(((1000)-(c_TMAP3OUT))&gt;=0,1,-1)*QUOTIENT(((1000)-(c_TMAP3IN)),2)))&lt;0,-1,0),IF(IF(o_WRAP=1,MOD(((1000)-(c_TMAP3IN))*(((K364)-(c_TMAP3IN))*((1000)-(c_TMAP3OUT))+IF(((1000)-(c_TMAP3OUT))&gt;=0,1,-1)*QUOTIENT(((1000)-(c_TMAP3IN)),2))+2147483648,4294967296)-2147483648,((1000)-(c_TMAP3IN))*(((K364)-(c_TMAP3IN))*((1000)-(c_TMAP3OUT))+IF(((1000)-(c_TMAP3OUT))&gt;=0,1,-1)*QUOTIENT(((1000)-(c_TMAP3IN)),2)))&gt;=0,1,0)))</f>
        <v>1000</v>
      </c>
      <c r="Q364" s="7" t="str">
        <f aca="false">IF(K364&gt;=c_TFWD,IF(AND(K364&gt;=c_TMAP3IN,c_TMAP3IN&lt;1000),"Seg4 map3-100%",IF(AND(K364&gt;=c_TMAP2IN,c_TMAP3IN&gt;c_TMAP2IN),"Seg3 map2-map3",IF(AND(K364&gt;=c_TMAP1IN,c_TMAP2IN&gt;c_TMAP1IN),"Seg2 map1-map2","Seg1 TFWD-map1"))),IF(AND(K364=0,c_TCREEP&gt;0),"Creep",IF(AND(K364&lt;=c_TRNGMIN,K364&gt;=c_TRNGMAX,c_TRNGMIN-c_TRNGMAX&lt;&gt;0),"Regen ramp","Coast (0)")))</f>
        <v>Seg4 map3-100%</v>
      </c>
      <c r="R364" s="7" t="n">
        <f aca="false">IF(K364&gt;=c_TFWD,IF(AND(K364&gt;=c_TMAP3IN,c_TMAP3IN&lt;1000),P364,IF(AND(K364&gt;=c_TMAP2IN,c_TMAP3IN&gt;c_TMAP2IN),O364,IF(AND(K364&gt;=c_TMAP1IN,c_TMAP2IN&gt;c_TMAP1IN),N364,M364))),L364)</f>
        <v>1000</v>
      </c>
      <c r="S364" s="7" t="str">
        <f aca="false">IF(R364&lt;-1090,"TOO LOW",IF(R364&gt;1090,"TOO HIGH",""))</f>
        <v/>
      </c>
      <c r="T364" s="15" t="n">
        <f aca="false">IF(H364&lt;&gt;"OK",0,IF(S364&lt;&gt;"",0,IF(R364&gt;979,1000,R364)))</f>
        <v>1000</v>
      </c>
      <c r="U364" s="7" t="n">
        <f aca="false">T364/10</f>
        <v>100</v>
      </c>
    </row>
    <row r="365" customFormat="false" ht="15" hidden="false" customHeight="false" outlineLevel="0" collapsed="false">
      <c r="A365" s="7" t="n">
        <v>360</v>
      </c>
      <c r="B365" s="7" t="n">
        <f aca="false">ROUND(o_SWSTART+A365*(o_SWEND-o_SWSTART)/400,0)</f>
        <v>3686</v>
      </c>
      <c r="C365" s="7" t="n">
        <f aca="false">QUOTIENT((B365-c_OFF1)*c_GAIN1,1024)</f>
        <v>3686</v>
      </c>
      <c r="D365" s="7" t="n">
        <f aca="false">IF(((c_T1MX)-(c_T1MN))=0,(0)+QUOTIENT(((1000)-(0)),2),QUOTIENT((((C365)-(c_T1MN))*((1000)-(0))+IF(((1000)-(0))&gt;=0,1,-1)*QUOTIENT(((c_T1MX)-(c_T1MN)),2)),((c_T1MX)-(c_T1MN)))+(0)+IF(((1000)-(0))&gt;=0,IF(IF(o_WRAP=1,MOD(((c_T1MX)-(c_T1MN))*(((C365)-(c_T1MN))*((1000)-(0))+IF(((1000)-(0))&gt;=0,1,-1)*QUOTIENT(((c_T1MX)-(c_T1MN)),2))+2147483648,4294967296)-2147483648,((c_T1MX)-(c_T1MN))*(((C365)-(c_T1MN))*((1000)-(0))+IF(((1000)-(0))&gt;=0,1,-1)*QUOTIENT(((c_T1MX)-(c_T1MN)),2)))&lt;0,-1,0),IF(IF(o_WRAP=1,MOD(((c_T1MX)-(c_T1MN))*(((C365)-(c_T1MN))*((1000)-(0))+IF(((1000)-(0))&gt;=0,1,-1)*QUOTIENT(((c_T1MX)-(c_T1MN)),2))+2147483648,4294967296)-2147483648,((c_T1MX)-(c_T1MN))*(((C365)-(c_T1MN))*((1000)-(0))+IF(((1000)-(0))&gt;=0,1,-1)*QUOTIENT(((c_T1MX)-(c_T1MN)),2)))&gt;=0,1,0)))</f>
        <v>1074</v>
      </c>
      <c r="E365" s="7" t="n">
        <f aca="false">IF(AND(c_TPOT=1,c_TTYPE=2),1000-D365,D365)</f>
        <v>1074</v>
      </c>
      <c r="F365" s="7" t="str">
        <f aca="false">IF(c_TPOT&gt;1,ROUND(IF(c_TTYPE=2,c_T2MX-IF(c_T1MX=c_T1MN,0,(C365-c_T1MN)/(c_T1MX-c_T1MN))*(c_T2MX-c_T2MN),c_T2MN+IF(c_T1MX=c_T1MN,0,(C365-c_T1MN)/(c_T1MX-c_T1MN))*(c_T2MX-c_T2MN))+o_MISMATCH,0),"")</f>
        <v/>
      </c>
      <c r="G365" s="7" t="str">
        <f aca="false">IF(c_TPOT&gt;1,IF(((c_T2MX)-(c_T2MN))=0,(0)+QUOTIENT(((1000)-(0)),2),QUOTIENT((((F365)-(c_T2MN))*((1000)-(0))+IF(((1000)-(0))&gt;=0,1,-1)*QUOTIENT(((c_T2MX)-(c_T2MN)),2)),((c_T2MX)-(c_T2MN)))+(0)+IF(((1000)-(0))&gt;=0,IF(IF(o_WRAP=1,MOD(((c_T2MX)-(c_T2MN))*(((F365)-(c_T2MN))*((1000)-(0))+IF(((1000)-(0))&gt;=0,1,-1)*QUOTIENT(((c_T2MX)-(c_T2MN)),2))+2147483648,4294967296)-2147483648,((c_T2MX)-(c_T2MN))*(((F365)-(c_T2MN))*((1000)-(0))+IF(((1000)-(0))&gt;=0,1,-1)*QUOTIENT(((c_T2MX)-(c_T2MN)),2)))&lt;0,-1,0),IF(IF(o_WRAP=1,MOD(((c_T2MX)-(c_T2MN))*(((F365)-(c_T2MN))*((1000)-(0))+IF(((1000)-(0))&gt;=0,1,-1)*QUOTIENT(((c_T2MX)-(c_T2MN)),2))+2147483648,4294967296)-2147483648,((c_T2MX)-(c_T2MN))*(((F365)-(c_T2MN))*((1000)-(0))+IF(((1000)-(0))&gt;=0,1,-1)*QUOTIENT(((c_T2MX)-(c_T2MN)),2)))&gt;=0,1,0))),"")</f>
        <v/>
      </c>
      <c r="H365" s="7" t="str">
        <f aca="false">IF(E365&gt;1000+k_TOL,"T1 HIGH",IF(E365&lt;0-k_TOL,"T1 LOW",IF(c_TPOT&gt;1,IF(G365&gt;1000+k_TOL,"T2 HIGH",IF(G365&lt;0-k_TOL,"T2 LOW",IF(c_TTYPE=2,IF(ABS(1000-MAX(0,MIN(1000,E365))-MAX(0,MIN(1000,G365)))&gt;k_MAXERR,"MISMATCH","OK"),IF(OR(MAX(0,MIN(1000,E365))-k_MAXERR&gt;MAX(0,MIN(1000,G365)),MAX(0,MIN(1000,G365))-k_MAXERR&gt;MAX(0,MIN(1000,E365))),"MISMATCH","OK")))),"OK")))</f>
        <v>OK</v>
      </c>
      <c r="I365" s="7" t="n">
        <f aca="false">MAX(0,MIN(1000,D365))</f>
        <v>1000</v>
      </c>
      <c r="J365" s="7" t="str">
        <f aca="false">IF(c_TPOT&gt;1,IF(c_TTYPE=2,1000-MAX(0,MIN(1000,G365)),MAX(0,MIN(1000,G365))),"")</f>
        <v/>
      </c>
      <c r="K365" s="7" t="n">
        <f aca="false">IF(c_TPOT&gt;1,QUOTIENT(I365+J365,2),I365)</f>
        <v>1000</v>
      </c>
      <c r="L365" s="7" t="n">
        <f aca="false">IF(AND(K365=0,c_TCREEP&gt;0),10*c_TCREEP,IF(AND(K365&lt;=c_TRNGMIN,K365&gt;=c_TRNGMAX,c_TRNGMIN-c_TRNGMAX&lt;&gt;0),-10*c_TMINRN+QUOTIENT((c_TMAXRN-c_TMINRN)*(100-QUOTIENT((K365-c_TRNGMAX)*100,c_TRNGMIN-c_TRNGMAX)),-10),0))</f>
        <v>0</v>
      </c>
      <c r="M365" s="7" t="n">
        <f aca="false">IF(((c_TMAP1IN)-(c_TFWD))=0,(0)+QUOTIENT(((c_TMAP1OUT)-(0)),2),QUOTIENT((((K365)-(c_TFWD))*((c_TMAP1OUT)-(0))+IF(((c_TMAP1OUT)-(0))&gt;=0,1,-1)*QUOTIENT(((c_TMAP1IN)-(c_TFWD)),2)),((c_TMAP1IN)-(c_TFWD)))+(0)+IF(((c_TMAP1OUT)-(0))&gt;=0,IF(IF(o_WRAP=1,MOD(((c_TMAP1IN)-(c_TFWD))*(((K365)-(c_TFWD))*((c_TMAP1OUT)-(0))+IF(((c_TMAP1OUT)-(0))&gt;=0,1,-1)*QUOTIENT(((c_TMAP1IN)-(c_TFWD)),2))+2147483648,4294967296)-2147483648,((c_TMAP1IN)-(c_TFWD))*(((K365)-(c_TFWD))*((c_TMAP1OUT)-(0))+IF(((c_TMAP1OUT)-(0))&gt;=0,1,-1)*QUOTIENT(((c_TMAP1IN)-(c_TFWD)),2)))&lt;0,-1,0),IF(IF(o_WRAP=1,MOD(((c_TMAP1IN)-(c_TFWD))*(((K365)-(c_TFWD))*((c_TMAP1OUT)-(0))+IF(((c_TMAP1OUT)-(0))&gt;=0,1,-1)*QUOTIENT(((c_TMAP1IN)-(c_TFWD)),2))+2147483648,4294967296)-2147483648,((c_TMAP1IN)-(c_TFWD))*(((K365)-(c_TFWD))*((c_TMAP1OUT)-(0))+IF(((c_TMAP1OUT)-(0))&gt;=0,1,-1)*QUOTIENT(((c_TMAP1IN)-(c_TFWD)),2)))&gt;=0,1,0)))</f>
        <v>770</v>
      </c>
      <c r="N365" s="7" t="n">
        <f aca="false">IF(((c_TMAP2IN)-(c_TMAP1IN))=0,(c_TMAP1OUT)+QUOTIENT(((c_TMAP2OUT)-(c_TMAP1OUT)),2),QUOTIENT((((K365)-(c_TMAP1IN))*((c_TMAP2OUT)-(c_TMAP1OUT))+IF(((c_TMAP2OUT)-(c_TMAP1OUT))&gt;=0,1,-1)*QUOTIENT(((c_TMAP2IN)-(c_TMAP1IN)),2)),((c_TMAP2IN)-(c_TMAP1IN)))+(c_TMAP1OUT)+IF(((c_TMAP2OUT)-(c_TMAP1OUT))&gt;=0,IF(IF(o_WRAP=1,MOD(((c_TMAP2IN)-(c_TMAP1IN))*(((K365)-(c_TMAP1IN))*((c_TMAP2OUT)-(c_TMAP1OUT))+IF(((c_TMAP2OUT)-(c_TMAP1OUT))&gt;=0,1,-1)*QUOTIENT(((c_TMAP2IN)-(c_TMAP1IN)),2))+2147483648,4294967296)-2147483648,((c_TMAP2IN)-(c_TMAP1IN))*(((K365)-(c_TMAP1IN))*((c_TMAP2OUT)-(c_TMAP1OUT))+IF(((c_TMAP2OUT)-(c_TMAP1OUT))&gt;=0,1,-1)*QUOTIENT(((c_TMAP2IN)-(c_TMAP1IN)),2)))&lt;0,-1,0),IF(IF(o_WRAP=1,MOD(((c_TMAP2IN)-(c_TMAP1IN))*(((K365)-(c_TMAP1IN))*((c_TMAP2OUT)-(c_TMAP1OUT))+IF(((c_TMAP2OUT)-(c_TMAP1OUT))&gt;=0,1,-1)*QUOTIENT(((c_TMAP2IN)-(c_TMAP1IN)),2))+2147483648,4294967296)-2147483648,((c_TMAP2IN)-(c_TMAP1IN))*(((K365)-(c_TMAP1IN))*((c_TMAP2OUT)-(c_TMAP1OUT))+IF(((c_TMAP2OUT)-(c_TMAP1OUT))&gt;=0,1,-1)*QUOTIENT(((c_TMAP2IN)-(c_TMAP1IN)),2)))&gt;=0,1,0)))</f>
        <v>430</v>
      </c>
      <c r="O365" s="7" t="n">
        <f aca="false">IF(((c_TMAP3IN)-(c_TMAP2IN))=0,(c_TMAP2OUT)+QUOTIENT(((c_TMAP3OUT)-(c_TMAP2OUT)),2),QUOTIENT((((K365)-(c_TMAP2IN))*((c_TMAP3OUT)-(c_TMAP2OUT))+IF(((c_TMAP3OUT)-(c_TMAP2OUT))&gt;=0,1,-1)*QUOTIENT(((c_TMAP3IN)-(c_TMAP2IN)),2)),((c_TMAP3IN)-(c_TMAP2IN)))+(c_TMAP2OUT)+IF(((c_TMAP3OUT)-(c_TMAP2OUT))&gt;=0,IF(IF(o_WRAP=1,MOD(((c_TMAP3IN)-(c_TMAP2IN))*(((K365)-(c_TMAP2IN))*((c_TMAP3OUT)-(c_TMAP2OUT))+IF(((c_TMAP3OUT)-(c_TMAP2OUT))&gt;=0,1,-1)*QUOTIENT(((c_TMAP3IN)-(c_TMAP2IN)),2))+2147483648,4294967296)-2147483648,((c_TMAP3IN)-(c_TMAP2IN))*(((K365)-(c_TMAP2IN))*((c_TMAP3OUT)-(c_TMAP2OUT))+IF(((c_TMAP3OUT)-(c_TMAP2OUT))&gt;=0,1,-1)*QUOTIENT(((c_TMAP3IN)-(c_TMAP2IN)),2)))&lt;0,-1,0),IF(IF(o_WRAP=1,MOD(((c_TMAP3IN)-(c_TMAP2IN))*(((K365)-(c_TMAP2IN))*((c_TMAP3OUT)-(c_TMAP2OUT))+IF(((c_TMAP3OUT)-(c_TMAP2OUT))&gt;=0,1,-1)*QUOTIENT(((c_TMAP3IN)-(c_TMAP2IN)),2))+2147483648,4294967296)-2147483648,((c_TMAP3IN)-(c_TMAP2IN))*(((K365)-(c_TMAP2IN))*((c_TMAP3OUT)-(c_TMAP2OUT))+IF(((c_TMAP3OUT)-(c_TMAP2OUT))&gt;=0,1,-1)*QUOTIENT(((c_TMAP3IN)-(c_TMAP2IN)),2)))&gt;=0,1,0)))</f>
        <v>655</v>
      </c>
      <c r="P365" s="7" t="n">
        <f aca="false">IF(((1000)-(c_TMAP3IN))=0,(c_TMAP3OUT)+QUOTIENT(((1000)-(c_TMAP3OUT)),2),QUOTIENT((((K365)-(c_TMAP3IN))*((1000)-(c_TMAP3OUT))+IF(((1000)-(c_TMAP3OUT))&gt;=0,1,-1)*QUOTIENT(((1000)-(c_TMAP3IN)),2)),((1000)-(c_TMAP3IN)))+(c_TMAP3OUT)+IF(((1000)-(c_TMAP3OUT))&gt;=0,IF(IF(o_WRAP=1,MOD(((1000)-(c_TMAP3IN))*(((K365)-(c_TMAP3IN))*((1000)-(c_TMAP3OUT))+IF(((1000)-(c_TMAP3OUT))&gt;=0,1,-1)*QUOTIENT(((1000)-(c_TMAP3IN)),2))+2147483648,4294967296)-2147483648,((1000)-(c_TMAP3IN))*(((K365)-(c_TMAP3IN))*((1000)-(c_TMAP3OUT))+IF(((1000)-(c_TMAP3OUT))&gt;=0,1,-1)*QUOTIENT(((1000)-(c_TMAP3IN)),2)))&lt;0,-1,0),IF(IF(o_WRAP=1,MOD(((1000)-(c_TMAP3IN))*(((K365)-(c_TMAP3IN))*((1000)-(c_TMAP3OUT))+IF(((1000)-(c_TMAP3OUT))&gt;=0,1,-1)*QUOTIENT(((1000)-(c_TMAP3IN)),2))+2147483648,4294967296)-2147483648,((1000)-(c_TMAP3IN))*(((K365)-(c_TMAP3IN))*((1000)-(c_TMAP3OUT))+IF(((1000)-(c_TMAP3OUT))&gt;=0,1,-1)*QUOTIENT(((1000)-(c_TMAP3IN)),2)))&gt;=0,1,0)))</f>
        <v>1000</v>
      </c>
      <c r="Q365" s="7" t="str">
        <f aca="false">IF(K365&gt;=c_TFWD,IF(AND(K365&gt;=c_TMAP3IN,c_TMAP3IN&lt;1000),"Seg4 map3-100%",IF(AND(K365&gt;=c_TMAP2IN,c_TMAP3IN&gt;c_TMAP2IN),"Seg3 map2-map3",IF(AND(K365&gt;=c_TMAP1IN,c_TMAP2IN&gt;c_TMAP1IN),"Seg2 map1-map2","Seg1 TFWD-map1"))),IF(AND(K365=0,c_TCREEP&gt;0),"Creep",IF(AND(K365&lt;=c_TRNGMIN,K365&gt;=c_TRNGMAX,c_TRNGMIN-c_TRNGMAX&lt;&gt;0),"Regen ramp","Coast (0)")))</f>
        <v>Seg4 map3-100%</v>
      </c>
      <c r="R365" s="7" t="n">
        <f aca="false">IF(K365&gt;=c_TFWD,IF(AND(K365&gt;=c_TMAP3IN,c_TMAP3IN&lt;1000),P365,IF(AND(K365&gt;=c_TMAP2IN,c_TMAP3IN&gt;c_TMAP2IN),O365,IF(AND(K365&gt;=c_TMAP1IN,c_TMAP2IN&gt;c_TMAP1IN),N365,M365))),L365)</f>
        <v>1000</v>
      </c>
      <c r="S365" s="7" t="str">
        <f aca="false">IF(R365&lt;-1090,"TOO LOW",IF(R365&gt;1090,"TOO HIGH",""))</f>
        <v/>
      </c>
      <c r="T365" s="15" t="n">
        <f aca="false">IF(H365&lt;&gt;"OK",0,IF(S365&lt;&gt;"",0,IF(R365&gt;979,1000,R365)))</f>
        <v>1000</v>
      </c>
      <c r="U365" s="7" t="n">
        <f aca="false">T365/10</f>
        <v>100</v>
      </c>
    </row>
    <row r="366" customFormat="false" ht="15" hidden="false" customHeight="false" outlineLevel="0" collapsed="false">
      <c r="A366" s="7" t="n">
        <v>361</v>
      </c>
      <c r="B366" s="7" t="n">
        <f aca="false">ROUND(o_SWSTART+A366*(o_SWEND-o_SWSTART)/400,0)</f>
        <v>3696</v>
      </c>
      <c r="C366" s="7" t="n">
        <f aca="false">QUOTIENT((B366-c_OFF1)*c_GAIN1,1024)</f>
        <v>3696</v>
      </c>
      <c r="D366" s="7" t="n">
        <f aca="false">IF(((c_T1MX)-(c_T1MN))=0,(0)+QUOTIENT(((1000)-(0)),2),QUOTIENT((((C366)-(c_T1MN))*((1000)-(0))+IF(((1000)-(0))&gt;=0,1,-1)*QUOTIENT(((c_T1MX)-(c_T1MN)),2)),((c_T1MX)-(c_T1MN)))+(0)+IF(((1000)-(0))&gt;=0,IF(IF(o_WRAP=1,MOD(((c_T1MX)-(c_T1MN))*(((C366)-(c_T1MN))*((1000)-(0))+IF(((1000)-(0))&gt;=0,1,-1)*QUOTIENT(((c_T1MX)-(c_T1MN)),2))+2147483648,4294967296)-2147483648,((c_T1MX)-(c_T1MN))*(((C366)-(c_T1MN))*((1000)-(0))+IF(((1000)-(0))&gt;=0,1,-1)*QUOTIENT(((c_T1MX)-(c_T1MN)),2)))&lt;0,-1,0),IF(IF(o_WRAP=1,MOD(((c_T1MX)-(c_T1MN))*(((C366)-(c_T1MN))*((1000)-(0))+IF(((1000)-(0))&gt;=0,1,-1)*QUOTIENT(((c_T1MX)-(c_T1MN)),2))+2147483648,4294967296)-2147483648,((c_T1MX)-(c_T1MN))*(((C366)-(c_T1MN))*((1000)-(0))+IF(((1000)-(0))&gt;=0,1,-1)*QUOTIENT(((c_T1MX)-(c_T1MN)),2)))&gt;=0,1,0)))</f>
        <v>1078</v>
      </c>
      <c r="E366" s="7" t="n">
        <f aca="false">IF(AND(c_TPOT=1,c_TTYPE=2),1000-D366,D366)</f>
        <v>1078</v>
      </c>
      <c r="F366" s="7" t="str">
        <f aca="false">IF(c_TPOT&gt;1,ROUND(IF(c_TTYPE=2,c_T2MX-IF(c_T1MX=c_T1MN,0,(C366-c_T1MN)/(c_T1MX-c_T1MN))*(c_T2MX-c_T2MN),c_T2MN+IF(c_T1MX=c_T1MN,0,(C366-c_T1MN)/(c_T1MX-c_T1MN))*(c_T2MX-c_T2MN))+o_MISMATCH,0),"")</f>
        <v/>
      </c>
      <c r="G366" s="7" t="str">
        <f aca="false">IF(c_TPOT&gt;1,IF(((c_T2MX)-(c_T2MN))=0,(0)+QUOTIENT(((1000)-(0)),2),QUOTIENT((((F366)-(c_T2MN))*((1000)-(0))+IF(((1000)-(0))&gt;=0,1,-1)*QUOTIENT(((c_T2MX)-(c_T2MN)),2)),((c_T2MX)-(c_T2MN)))+(0)+IF(((1000)-(0))&gt;=0,IF(IF(o_WRAP=1,MOD(((c_T2MX)-(c_T2MN))*(((F366)-(c_T2MN))*((1000)-(0))+IF(((1000)-(0))&gt;=0,1,-1)*QUOTIENT(((c_T2MX)-(c_T2MN)),2))+2147483648,4294967296)-2147483648,((c_T2MX)-(c_T2MN))*(((F366)-(c_T2MN))*((1000)-(0))+IF(((1000)-(0))&gt;=0,1,-1)*QUOTIENT(((c_T2MX)-(c_T2MN)),2)))&lt;0,-1,0),IF(IF(o_WRAP=1,MOD(((c_T2MX)-(c_T2MN))*(((F366)-(c_T2MN))*((1000)-(0))+IF(((1000)-(0))&gt;=0,1,-1)*QUOTIENT(((c_T2MX)-(c_T2MN)),2))+2147483648,4294967296)-2147483648,((c_T2MX)-(c_T2MN))*(((F366)-(c_T2MN))*((1000)-(0))+IF(((1000)-(0))&gt;=0,1,-1)*QUOTIENT(((c_T2MX)-(c_T2MN)),2)))&gt;=0,1,0))),"")</f>
        <v/>
      </c>
      <c r="H366" s="7" t="str">
        <f aca="false">IF(E366&gt;1000+k_TOL,"T1 HIGH",IF(E366&lt;0-k_TOL,"T1 LOW",IF(c_TPOT&gt;1,IF(G366&gt;1000+k_TOL,"T2 HIGH",IF(G366&lt;0-k_TOL,"T2 LOW",IF(c_TTYPE=2,IF(ABS(1000-MAX(0,MIN(1000,E366))-MAX(0,MIN(1000,G366)))&gt;k_MAXERR,"MISMATCH","OK"),IF(OR(MAX(0,MIN(1000,E366))-k_MAXERR&gt;MAX(0,MIN(1000,G366)),MAX(0,MIN(1000,G366))-k_MAXERR&gt;MAX(0,MIN(1000,E366))),"MISMATCH","OK")))),"OK")))</f>
        <v>OK</v>
      </c>
      <c r="I366" s="7" t="n">
        <f aca="false">MAX(0,MIN(1000,D366))</f>
        <v>1000</v>
      </c>
      <c r="J366" s="7" t="str">
        <f aca="false">IF(c_TPOT&gt;1,IF(c_TTYPE=2,1000-MAX(0,MIN(1000,G366)),MAX(0,MIN(1000,G366))),"")</f>
        <v/>
      </c>
      <c r="K366" s="7" t="n">
        <f aca="false">IF(c_TPOT&gt;1,QUOTIENT(I366+J366,2),I366)</f>
        <v>1000</v>
      </c>
      <c r="L366" s="7" t="n">
        <f aca="false">IF(AND(K366=0,c_TCREEP&gt;0),10*c_TCREEP,IF(AND(K366&lt;=c_TRNGMIN,K366&gt;=c_TRNGMAX,c_TRNGMIN-c_TRNGMAX&lt;&gt;0),-10*c_TMINRN+QUOTIENT((c_TMAXRN-c_TMINRN)*(100-QUOTIENT((K366-c_TRNGMAX)*100,c_TRNGMIN-c_TRNGMAX)),-10),0))</f>
        <v>0</v>
      </c>
      <c r="M366" s="7" t="n">
        <f aca="false">IF(((c_TMAP1IN)-(c_TFWD))=0,(0)+QUOTIENT(((c_TMAP1OUT)-(0)),2),QUOTIENT((((K366)-(c_TFWD))*((c_TMAP1OUT)-(0))+IF(((c_TMAP1OUT)-(0))&gt;=0,1,-1)*QUOTIENT(((c_TMAP1IN)-(c_TFWD)),2)),((c_TMAP1IN)-(c_TFWD)))+(0)+IF(((c_TMAP1OUT)-(0))&gt;=0,IF(IF(o_WRAP=1,MOD(((c_TMAP1IN)-(c_TFWD))*(((K366)-(c_TFWD))*((c_TMAP1OUT)-(0))+IF(((c_TMAP1OUT)-(0))&gt;=0,1,-1)*QUOTIENT(((c_TMAP1IN)-(c_TFWD)),2))+2147483648,4294967296)-2147483648,((c_TMAP1IN)-(c_TFWD))*(((K366)-(c_TFWD))*((c_TMAP1OUT)-(0))+IF(((c_TMAP1OUT)-(0))&gt;=0,1,-1)*QUOTIENT(((c_TMAP1IN)-(c_TFWD)),2)))&lt;0,-1,0),IF(IF(o_WRAP=1,MOD(((c_TMAP1IN)-(c_TFWD))*(((K366)-(c_TFWD))*((c_TMAP1OUT)-(0))+IF(((c_TMAP1OUT)-(0))&gt;=0,1,-1)*QUOTIENT(((c_TMAP1IN)-(c_TFWD)),2))+2147483648,4294967296)-2147483648,((c_TMAP1IN)-(c_TFWD))*(((K366)-(c_TFWD))*((c_TMAP1OUT)-(0))+IF(((c_TMAP1OUT)-(0))&gt;=0,1,-1)*QUOTIENT(((c_TMAP1IN)-(c_TFWD)),2)))&gt;=0,1,0)))</f>
        <v>770</v>
      </c>
      <c r="N366" s="7" t="n">
        <f aca="false">IF(((c_TMAP2IN)-(c_TMAP1IN))=0,(c_TMAP1OUT)+QUOTIENT(((c_TMAP2OUT)-(c_TMAP1OUT)),2),QUOTIENT((((K366)-(c_TMAP1IN))*((c_TMAP2OUT)-(c_TMAP1OUT))+IF(((c_TMAP2OUT)-(c_TMAP1OUT))&gt;=0,1,-1)*QUOTIENT(((c_TMAP2IN)-(c_TMAP1IN)),2)),((c_TMAP2IN)-(c_TMAP1IN)))+(c_TMAP1OUT)+IF(((c_TMAP2OUT)-(c_TMAP1OUT))&gt;=0,IF(IF(o_WRAP=1,MOD(((c_TMAP2IN)-(c_TMAP1IN))*(((K366)-(c_TMAP1IN))*((c_TMAP2OUT)-(c_TMAP1OUT))+IF(((c_TMAP2OUT)-(c_TMAP1OUT))&gt;=0,1,-1)*QUOTIENT(((c_TMAP2IN)-(c_TMAP1IN)),2))+2147483648,4294967296)-2147483648,((c_TMAP2IN)-(c_TMAP1IN))*(((K366)-(c_TMAP1IN))*((c_TMAP2OUT)-(c_TMAP1OUT))+IF(((c_TMAP2OUT)-(c_TMAP1OUT))&gt;=0,1,-1)*QUOTIENT(((c_TMAP2IN)-(c_TMAP1IN)),2)))&lt;0,-1,0),IF(IF(o_WRAP=1,MOD(((c_TMAP2IN)-(c_TMAP1IN))*(((K366)-(c_TMAP1IN))*((c_TMAP2OUT)-(c_TMAP1OUT))+IF(((c_TMAP2OUT)-(c_TMAP1OUT))&gt;=0,1,-1)*QUOTIENT(((c_TMAP2IN)-(c_TMAP1IN)),2))+2147483648,4294967296)-2147483648,((c_TMAP2IN)-(c_TMAP1IN))*(((K366)-(c_TMAP1IN))*((c_TMAP2OUT)-(c_TMAP1OUT))+IF(((c_TMAP2OUT)-(c_TMAP1OUT))&gt;=0,1,-1)*QUOTIENT(((c_TMAP2IN)-(c_TMAP1IN)),2)))&gt;=0,1,0)))</f>
        <v>430</v>
      </c>
      <c r="O366" s="7" t="n">
        <f aca="false">IF(((c_TMAP3IN)-(c_TMAP2IN))=0,(c_TMAP2OUT)+QUOTIENT(((c_TMAP3OUT)-(c_TMAP2OUT)),2),QUOTIENT((((K366)-(c_TMAP2IN))*((c_TMAP3OUT)-(c_TMAP2OUT))+IF(((c_TMAP3OUT)-(c_TMAP2OUT))&gt;=0,1,-1)*QUOTIENT(((c_TMAP3IN)-(c_TMAP2IN)),2)),((c_TMAP3IN)-(c_TMAP2IN)))+(c_TMAP2OUT)+IF(((c_TMAP3OUT)-(c_TMAP2OUT))&gt;=0,IF(IF(o_WRAP=1,MOD(((c_TMAP3IN)-(c_TMAP2IN))*(((K366)-(c_TMAP2IN))*((c_TMAP3OUT)-(c_TMAP2OUT))+IF(((c_TMAP3OUT)-(c_TMAP2OUT))&gt;=0,1,-1)*QUOTIENT(((c_TMAP3IN)-(c_TMAP2IN)),2))+2147483648,4294967296)-2147483648,((c_TMAP3IN)-(c_TMAP2IN))*(((K366)-(c_TMAP2IN))*((c_TMAP3OUT)-(c_TMAP2OUT))+IF(((c_TMAP3OUT)-(c_TMAP2OUT))&gt;=0,1,-1)*QUOTIENT(((c_TMAP3IN)-(c_TMAP2IN)),2)))&lt;0,-1,0),IF(IF(o_WRAP=1,MOD(((c_TMAP3IN)-(c_TMAP2IN))*(((K366)-(c_TMAP2IN))*((c_TMAP3OUT)-(c_TMAP2OUT))+IF(((c_TMAP3OUT)-(c_TMAP2OUT))&gt;=0,1,-1)*QUOTIENT(((c_TMAP3IN)-(c_TMAP2IN)),2))+2147483648,4294967296)-2147483648,((c_TMAP3IN)-(c_TMAP2IN))*(((K366)-(c_TMAP2IN))*((c_TMAP3OUT)-(c_TMAP2OUT))+IF(((c_TMAP3OUT)-(c_TMAP2OUT))&gt;=0,1,-1)*QUOTIENT(((c_TMAP3IN)-(c_TMAP2IN)),2)))&gt;=0,1,0)))</f>
        <v>655</v>
      </c>
      <c r="P366" s="7" t="n">
        <f aca="false">IF(((1000)-(c_TMAP3IN))=0,(c_TMAP3OUT)+QUOTIENT(((1000)-(c_TMAP3OUT)),2),QUOTIENT((((K366)-(c_TMAP3IN))*((1000)-(c_TMAP3OUT))+IF(((1000)-(c_TMAP3OUT))&gt;=0,1,-1)*QUOTIENT(((1000)-(c_TMAP3IN)),2)),((1000)-(c_TMAP3IN)))+(c_TMAP3OUT)+IF(((1000)-(c_TMAP3OUT))&gt;=0,IF(IF(o_WRAP=1,MOD(((1000)-(c_TMAP3IN))*(((K366)-(c_TMAP3IN))*((1000)-(c_TMAP3OUT))+IF(((1000)-(c_TMAP3OUT))&gt;=0,1,-1)*QUOTIENT(((1000)-(c_TMAP3IN)),2))+2147483648,4294967296)-2147483648,((1000)-(c_TMAP3IN))*(((K366)-(c_TMAP3IN))*((1000)-(c_TMAP3OUT))+IF(((1000)-(c_TMAP3OUT))&gt;=0,1,-1)*QUOTIENT(((1000)-(c_TMAP3IN)),2)))&lt;0,-1,0),IF(IF(o_WRAP=1,MOD(((1000)-(c_TMAP3IN))*(((K366)-(c_TMAP3IN))*((1000)-(c_TMAP3OUT))+IF(((1000)-(c_TMAP3OUT))&gt;=0,1,-1)*QUOTIENT(((1000)-(c_TMAP3IN)),2))+2147483648,4294967296)-2147483648,((1000)-(c_TMAP3IN))*(((K366)-(c_TMAP3IN))*((1000)-(c_TMAP3OUT))+IF(((1000)-(c_TMAP3OUT))&gt;=0,1,-1)*QUOTIENT(((1000)-(c_TMAP3IN)),2)))&gt;=0,1,0)))</f>
        <v>1000</v>
      </c>
      <c r="Q366" s="7" t="str">
        <f aca="false">IF(K366&gt;=c_TFWD,IF(AND(K366&gt;=c_TMAP3IN,c_TMAP3IN&lt;1000),"Seg4 map3-100%",IF(AND(K366&gt;=c_TMAP2IN,c_TMAP3IN&gt;c_TMAP2IN),"Seg3 map2-map3",IF(AND(K366&gt;=c_TMAP1IN,c_TMAP2IN&gt;c_TMAP1IN),"Seg2 map1-map2","Seg1 TFWD-map1"))),IF(AND(K366=0,c_TCREEP&gt;0),"Creep",IF(AND(K366&lt;=c_TRNGMIN,K366&gt;=c_TRNGMAX,c_TRNGMIN-c_TRNGMAX&lt;&gt;0),"Regen ramp","Coast (0)")))</f>
        <v>Seg4 map3-100%</v>
      </c>
      <c r="R366" s="7" t="n">
        <f aca="false">IF(K366&gt;=c_TFWD,IF(AND(K366&gt;=c_TMAP3IN,c_TMAP3IN&lt;1000),P366,IF(AND(K366&gt;=c_TMAP2IN,c_TMAP3IN&gt;c_TMAP2IN),O366,IF(AND(K366&gt;=c_TMAP1IN,c_TMAP2IN&gt;c_TMAP1IN),N366,M366))),L366)</f>
        <v>1000</v>
      </c>
      <c r="S366" s="7" t="str">
        <f aca="false">IF(R366&lt;-1090,"TOO LOW",IF(R366&gt;1090,"TOO HIGH",""))</f>
        <v/>
      </c>
      <c r="T366" s="15" t="n">
        <f aca="false">IF(H366&lt;&gt;"OK",0,IF(S366&lt;&gt;"",0,IF(R366&gt;979,1000,R366)))</f>
        <v>1000</v>
      </c>
      <c r="U366" s="7" t="n">
        <f aca="false">T366/10</f>
        <v>100</v>
      </c>
    </row>
    <row r="367" customFormat="false" ht="15" hidden="false" customHeight="false" outlineLevel="0" collapsed="false">
      <c r="A367" s="7" t="n">
        <v>362</v>
      </c>
      <c r="B367" s="7" t="n">
        <f aca="false">ROUND(o_SWSTART+A367*(o_SWEND-o_SWSTART)/400,0)</f>
        <v>3706</v>
      </c>
      <c r="C367" s="7" t="n">
        <f aca="false">QUOTIENT((B367-c_OFF1)*c_GAIN1,1024)</f>
        <v>3706</v>
      </c>
      <c r="D367" s="7" t="n">
        <f aca="false">IF(((c_T1MX)-(c_T1MN))=0,(0)+QUOTIENT(((1000)-(0)),2),QUOTIENT((((C367)-(c_T1MN))*((1000)-(0))+IF(((1000)-(0))&gt;=0,1,-1)*QUOTIENT(((c_T1MX)-(c_T1MN)),2)),((c_T1MX)-(c_T1MN)))+(0)+IF(((1000)-(0))&gt;=0,IF(IF(o_WRAP=1,MOD(((c_T1MX)-(c_T1MN))*(((C367)-(c_T1MN))*((1000)-(0))+IF(((1000)-(0))&gt;=0,1,-1)*QUOTIENT(((c_T1MX)-(c_T1MN)),2))+2147483648,4294967296)-2147483648,((c_T1MX)-(c_T1MN))*(((C367)-(c_T1MN))*((1000)-(0))+IF(((1000)-(0))&gt;=0,1,-1)*QUOTIENT(((c_T1MX)-(c_T1MN)),2)))&lt;0,-1,0),IF(IF(o_WRAP=1,MOD(((c_T1MX)-(c_T1MN))*(((C367)-(c_T1MN))*((1000)-(0))+IF(((1000)-(0))&gt;=0,1,-1)*QUOTIENT(((c_T1MX)-(c_T1MN)),2))+2147483648,4294967296)-2147483648,((c_T1MX)-(c_T1MN))*(((C367)-(c_T1MN))*((1000)-(0))+IF(((1000)-(0))&gt;=0,1,-1)*QUOTIENT(((c_T1MX)-(c_T1MN)),2)))&gt;=0,1,0)))</f>
        <v>1082</v>
      </c>
      <c r="E367" s="7" t="n">
        <f aca="false">IF(AND(c_TPOT=1,c_TTYPE=2),1000-D367,D367)</f>
        <v>1082</v>
      </c>
      <c r="F367" s="7" t="str">
        <f aca="false">IF(c_TPOT&gt;1,ROUND(IF(c_TTYPE=2,c_T2MX-IF(c_T1MX=c_T1MN,0,(C367-c_T1MN)/(c_T1MX-c_T1MN))*(c_T2MX-c_T2MN),c_T2MN+IF(c_T1MX=c_T1MN,0,(C367-c_T1MN)/(c_T1MX-c_T1MN))*(c_T2MX-c_T2MN))+o_MISMATCH,0),"")</f>
        <v/>
      </c>
      <c r="G367" s="7" t="str">
        <f aca="false">IF(c_TPOT&gt;1,IF(((c_T2MX)-(c_T2MN))=0,(0)+QUOTIENT(((1000)-(0)),2),QUOTIENT((((F367)-(c_T2MN))*((1000)-(0))+IF(((1000)-(0))&gt;=0,1,-1)*QUOTIENT(((c_T2MX)-(c_T2MN)),2)),((c_T2MX)-(c_T2MN)))+(0)+IF(((1000)-(0))&gt;=0,IF(IF(o_WRAP=1,MOD(((c_T2MX)-(c_T2MN))*(((F367)-(c_T2MN))*((1000)-(0))+IF(((1000)-(0))&gt;=0,1,-1)*QUOTIENT(((c_T2MX)-(c_T2MN)),2))+2147483648,4294967296)-2147483648,((c_T2MX)-(c_T2MN))*(((F367)-(c_T2MN))*((1000)-(0))+IF(((1000)-(0))&gt;=0,1,-1)*QUOTIENT(((c_T2MX)-(c_T2MN)),2)))&lt;0,-1,0),IF(IF(o_WRAP=1,MOD(((c_T2MX)-(c_T2MN))*(((F367)-(c_T2MN))*((1000)-(0))+IF(((1000)-(0))&gt;=0,1,-1)*QUOTIENT(((c_T2MX)-(c_T2MN)),2))+2147483648,4294967296)-2147483648,((c_T2MX)-(c_T2MN))*(((F367)-(c_T2MN))*((1000)-(0))+IF(((1000)-(0))&gt;=0,1,-1)*QUOTIENT(((c_T2MX)-(c_T2MN)),2)))&gt;=0,1,0))),"")</f>
        <v/>
      </c>
      <c r="H367" s="7" t="str">
        <f aca="false">IF(E367&gt;1000+k_TOL,"T1 HIGH",IF(E367&lt;0-k_TOL,"T1 LOW",IF(c_TPOT&gt;1,IF(G367&gt;1000+k_TOL,"T2 HIGH",IF(G367&lt;0-k_TOL,"T2 LOW",IF(c_TTYPE=2,IF(ABS(1000-MAX(0,MIN(1000,E367))-MAX(0,MIN(1000,G367)))&gt;k_MAXERR,"MISMATCH","OK"),IF(OR(MAX(0,MIN(1000,E367))-k_MAXERR&gt;MAX(0,MIN(1000,G367)),MAX(0,MIN(1000,G367))-k_MAXERR&gt;MAX(0,MIN(1000,E367))),"MISMATCH","OK")))),"OK")))</f>
        <v>OK</v>
      </c>
      <c r="I367" s="7" t="n">
        <f aca="false">MAX(0,MIN(1000,D367))</f>
        <v>1000</v>
      </c>
      <c r="J367" s="7" t="str">
        <f aca="false">IF(c_TPOT&gt;1,IF(c_TTYPE=2,1000-MAX(0,MIN(1000,G367)),MAX(0,MIN(1000,G367))),"")</f>
        <v/>
      </c>
      <c r="K367" s="7" t="n">
        <f aca="false">IF(c_TPOT&gt;1,QUOTIENT(I367+J367,2),I367)</f>
        <v>1000</v>
      </c>
      <c r="L367" s="7" t="n">
        <f aca="false">IF(AND(K367=0,c_TCREEP&gt;0),10*c_TCREEP,IF(AND(K367&lt;=c_TRNGMIN,K367&gt;=c_TRNGMAX,c_TRNGMIN-c_TRNGMAX&lt;&gt;0),-10*c_TMINRN+QUOTIENT((c_TMAXRN-c_TMINRN)*(100-QUOTIENT((K367-c_TRNGMAX)*100,c_TRNGMIN-c_TRNGMAX)),-10),0))</f>
        <v>0</v>
      </c>
      <c r="M367" s="7" t="n">
        <f aca="false">IF(((c_TMAP1IN)-(c_TFWD))=0,(0)+QUOTIENT(((c_TMAP1OUT)-(0)),2),QUOTIENT((((K367)-(c_TFWD))*((c_TMAP1OUT)-(0))+IF(((c_TMAP1OUT)-(0))&gt;=0,1,-1)*QUOTIENT(((c_TMAP1IN)-(c_TFWD)),2)),((c_TMAP1IN)-(c_TFWD)))+(0)+IF(((c_TMAP1OUT)-(0))&gt;=0,IF(IF(o_WRAP=1,MOD(((c_TMAP1IN)-(c_TFWD))*(((K367)-(c_TFWD))*((c_TMAP1OUT)-(0))+IF(((c_TMAP1OUT)-(0))&gt;=0,1,-1)*QUOTIENT(((c_TMAP1IN)-(c_TFWD)),2))+2147483648,4294967296)-2147483648,((c_TMAP1IN)-(c_TFWD))*(((K367)-(c_TFWD))*((c_TMAP1OUT)-(0))+IF(((c_TMAP1OUT)-(0))&gt;=0,1,-1)*QUOTIENT(((c_TMAP1IN)-(c_TFWD)),2)))&lt;0,-1,0),IF(IF(o_WRAP=1,MOD(((c_TMAP1IN)-(c_TFWD))*(((K367)-(c_TFWD))*((c_TMAP1OUT)-(0))+IF(((c_TMAP1OUT)-(0))&gt;=0,1,-1)*QUOTIENT(((c_TMAP1IN)-(c_TFWD)),2))+2147483648,4294967296)-2147483648,((c_TMAP1IN)-(c_TFWD))*(((K367)-(c_TFWD))*((c_TMAP1OUT)-(0))+IF(((c_TMAP1OUT)-(0))&gt;=0,1,-1)*QUOTIENT(((c_TMAP1IN)-(c_TFWD)),2)))&gt;=0,1,0)))</f>
        <v>770</v>
      </c>
      <c r="N367" s="7" t="n">
        <f aca="false">IF(((c_TMAP2IN)-(c_TMAP1IN))=0,(c_TMAP1OUT)+QUOTIENT(((c_TMAP2OUT)-(c_TMAP1OUT)),2),QUOTIENT((((K367)-(c_TMAP1IN))*((c_TMAP2OUT)-(c_TMAP1OUT))+IF(((c_TMAP2OUT)-(c_TMAP1OUT))&gt;=0,1,-1)*QUOTIENT(((c_TMAP2IN)-(c_TMAP1IN)),2)),((c_TMAP2IN)-(c_TMAP1IN)))+(c_TMAP1OUT)+IF(((c_TMAP2OUT)-(c_TMAP1OUT))&gt;=0,IF(IF(o_WRAP=1,MOD(((c_TMAP2IN)-(c_TMAP1IN))*(((K367)-(c_TMAP1IN))*((c_TMAP2OUT)-(c_TMAP1OUT))+IF(((c_TMAP2OUT)-(c_TMAP1OUT))&gt;=0,1,-1)*QUOTIENT(((c_TMAP2IN)-(c_TMAP1IN)),2))+2147483648,4294967296)-2147483648,((c_TMAP2IN)-(c_TMAP1IN))*(((K367)-(c_TMAP1IN))*((c_TMAP2OUT)-(c_TMAP1OUT))+IF(((c_TMAP2OUT)-(c_TMAP1OUT))&gt;=0,1,-1)*QUOTIENT(((c_TMAP2IN)-(c_TMAP1IN)),2)))&lt;0,-1,0),IF(IF(o_WRAP=1,MOD(((c_TMAP2IN)-(c_TMAP1IN))*(((K367)-(c_TMAP1IN))*((c_TMAP2OUT)-(c_TMAP1OUT))+IF(((c_TMAP2OUT)-(c_TMAP1OUT))&gt;=0,1,-1)*QUOTIENT(((c_TMAP2IN)-(c_TMAP1IN)),2))+2147483648,4294967296)-2147483648,((c_TMAP2IN)-(c_TMAP1IN))*(((K367)-(c_TMAP1IN))*((c_TMAP2OUT)-(c_TMAP1OUT))+IF(((c_TMAP2OUT)-(c_TMAP1OUT))&gt;=0,1,-1)*QUOTIENT(((c_TMAP2IN)-(c_TMAP1IN)),2)))&gt;=0,1,0)))</f>
        <v>430</v>
      </c>
      <c r="O367" s="7" t="n">
        <f aca="false">IF(((c_TMAP3IN)-(c_TMAP2IN))=0,(c_TMAP2OUT)+QUOTIENT(((c_TMAP3OUT)-(c_TMAP2OUT)),2),QUOTIENT((((K367)-(c_TMAP2IN))*((c_TMAP3OUT)-(c_TMAP2OUT))+IF(((c_TMAP3OUT)-(c_TMAP2OUT))&gt;=0,1,-1)*QUOTIENT(((c_TMAP3IN)-(c_TMAP2IN)),2)),((c_TMAP3IN)-(c_TMAP2IN)))+(c_TMAP2OUT)+IF(((c_TMAP3OUT)-(c_TMAP2OUT))&gt;=0,IF(IF(o_WRAP=1,MOD(((c_TMAP3IN)-(c_TMAP2IN))*(((K367)-(c_TMAP2IN))*((c_TMAP3OUT)-(c_TMAP2OUT))+IF(((c_TMAP3OUT)-(c_TMAP2OUT))&gt;=0,1,-1)*QUOTIENT(((c_TMAP3IN)-(c_TMAP2IN)),2))+2147483648,4294967296)-2147483648,((c_TMAP3IN)-(c_TMAP2IN))*(((K367)-(c_TMAP2IN))*((c_TMAP3OUT)-(c_TMAP2OUT))+IF(((c_TMAP3OUT)-(c_TMAP2OUT))&gt;=0,1,-1)*QUOTIENT(((c_TMAP3IN)-(c_TMAP2IN)),2)))&lt;0,-1,0),IF(IF(o_WRAP=1,MOD(((c_TMAP3IN)-(c_TMAP2IN))*(((K367)-(c_TMAP2IN))*((c_TMAP3OUT)-(c_TMAP2OUT))+IF(((c_TMAP3OUT)-(c_TMAP2OUT))&gt;=0,1,-1)*QUOTIENT(((c_TMAP3IN)-(c_TMAP2IN)),2))+2147483648,4294967296)-2147483648,((c_TMAP3IN)-(c_TMAP2IN))*(((K367)-(c_TMAP2IN))*((c_TMAP3OUT)-(c_TMAP2OUT))+IF(((c_TMAP3OUT)-(c_TMAP2OUT))&gt;=0,1,-1)*QUOTIENT(((c_TMAP3IN)-(c_TMAP2IN)),2)))&gt;=0,1,0)))</f>
        <v>655</v>
      </c>
      <c r="P367" s="7" t="n">
        <f aca="false">IF(((1000)-(c_TMAP3IN))=0,(c_TMAP3OUT)+QUOTIENT(((1000)-(c_TMAP3OUT)),2),QUOTIENT((((K367)-(c_TMAP3IN))*((1000)-(c_TMAP3OUT))+IF(((1000)-(c_TMAP3OUT))&gt;=0,1,-1)*QUOTIENT(((1000)-(c_TMAP3IN)),2)),((1000)-(c_TMAP3IN)))+(c_TMAP3OUT)+IF(((1000)-(c_TMAP3OUT))&gt;=0,IF(IF(o_WRAP=1,MOD(((1000)-(c_TMAP3IN))*(((K367)-(c_TMAP3IN))*((1000)-(c_TMAP3OUT))+IF(((1000)-(c_TMAP3OUT))&gt;=0,1,-1)*QUOTIENT(((1000)-(c_TMAP3IN)),2))+2147483648,4294967296)-2147483648,((1000)-(c_TMAP3IN))*(((K367)-(c_TMAP3IN))*((1000)-(c_TMAP3OUT))+IF(((1000)-(c_TMAP3OUT))&gt;=0,1,-1)*QUOTIENT(((1000)-(c_TMAP3IN)),2)))&lt;0,-1,0),IF(IF(o_WRAP=1,MOD(((1000)-(c_TMAP3IN))*(((K367)-(c_TMAP3IN))*((1000)-(c_TMAP3OUT))+IF(((1000)-(c_TMAP3OUT))&gt;=0,1,-1)*QUOTIENT(((1000)-(c_TMAP3IN)),2))+2147483648,4294967296)-2147483648,((1000)-(c_TMAP3IN))*(((K367)-(c_TMAP3IN))*((1000)-(c_TMAP3OUT))+IF(((1000)-(c_TMAP3OUT))&gt;=0,1,-1)*QUOTIENT(((1000)-(c_TMAP3IN)),2)))&gt;=0,1,0)))</f>
        <v>1000</v>
      </c>
      <c r="Q367" s="7" t="str">
        <f aca="false">IF(K367&gt;=c_TFWD,IF(AND(K367&gt;=c_TMAP3IN,c_TMAP3IN&lt;1000),"Seg4 map3-100%",IF(AND(K367&gt;=c_TMAP2IN,c_TMAP3IN&gt;c_TMAP2IN),"Seg3 map2-map3",IF(AND(K367&gt;=c_TMAP1IN,c_TMAP2IN&gt;c_TMAP1IN),"Seg2 map1-map2","Seg1 TFWD-map1"))),IF(AND(K367=0,c_TCREEP&gt;0),"Creep",IF(AND(K367&lt;=c_TRNGMIN,K367&gt;=c_TRNGMAX,c_TRNGMIN-c_TRNGMAX&lt;&gt;0),"Regen ramp","Coast (0)")))</f>
        <v>Seg4 map3-100%</v>
      </c>
      <c r="R367" s="7" t="n">
        <f aca="false">IF(K367&gt;=c_TFWD,IF(AND(K367&gt;=c_TMAP3IN,c_TMAP3IN&lt;1000),P367,IF(AND(K367&gt;=c_TMAP2IN,c_TMAP3IN&gt;c_TMAP2IN),O367,IF(AND(K367&gt;=c_TMAP1IN,c_TMAP2IN&gt;c_TMAP1IN),N367,M367))),L367)</f>
        <v>1000</v>
      </c>
      <c r="S367" s="7" t="str">
        <f aca="false">IF(R367&lt;-1090,"TOO LOW",IF(R367&gt;1090,"TOO HIGH",""))</f>
        <v/>
      </c>
      <c r="T367" s="15" t="n">
        <f aca="false">IF(H367&lt;&gt;"OK",0,IF(S367&lt;&gt;"",0,IF(R367&gt;979,1000,R367)))</f>
        <v>1000</v>
      </c>
      <c r="U367" s="7" t="n">
        <f aca="false">T367/10</f>
        <v>100</v>
      </c>
    </row>
    <row r="368" customFormat="false" ht="15" hidden="false" customHeight="false" outlineLevel="0" collapsed="false">
      <c r="A368" s="7" t="n">
        <v>363</v>
      </c>
      <c r="B368" s="7" t="n">
        <f aca="false">ROUND(o_SWSTART+A368*(o_SWEND-o_SWSTART)/400,0)</f>
        <v>3716</v>
      </c>
      <c r="C368" s="7" t="n">
        <f aca="false">QUOTIENT((B368-c_OFF1)*c_GAIN1,1024)</f>
        <v>3716</v>
      </c>
      <c r="D368" s="7" t="n">
        <f aca="false">IF(((c_T1MX)-(c_T1MN))=0,(0)+QUOTIENT(((1000)-(0)),2),QUOTIENT((((C368)-(c_T1MN))*((1000)-(0))+IF(((1000)-(0))&gt;=0,1,-1)*QUOTIENT(((c_T1MX)-(c_T1MN)),2)),((c_T1MX)-(c_T1MN)))+(0)+IF(((1000)-(0))&gt;=0,IF(IF(o_WRAP=1,MOD(((c_T1MX)-(c_T1MN))*(((C368)-(c_T1MN))*((1000)-(0))+IF(((1000)-(0))&gt;=0,1,-1)*QUOTIENT(((c_T1MX)-(c_T1MN)),2))+2147483648,4294967296)-2147483648,((c_T1MX)-(c_T1MN))*(((C368)-(c_T1MN))*((1000)-(0))+IF(((1000)-(0))&gt;=0,1,-1)*QUOTIENT(((c_T1MX)-(c_T1MN)),2)))&lt;0,-1,0),IF(IF(o_WRAP=1,MOD(((c_T1MX)-(c_T1MN))*(((C368)-(c_T1MN))*((1000)-(0))+IF(((1000)-(0))&gt;=0,1,-1)*QUOTIENT(((c_T1MX)-(c_T1MN)),2))+2147483648,4294967296)-2147483648,((c_T1MX)-(c_T1MN))*(((C368)-(c_T1MN))*((1000)-(0))+IF(((1000)-(0))&gt;=0,1,-1)*QUOTIENT(((c_T1MX)-(c_T1MN)),2)))&gt;=0,1,0)))</f>
        <v>1085</v>
      </c>
      <c r="E368" s="7" t="n">
        <f aca="false">IF(AND(c_TPOT=1,c_TTYPE=2),1000-D368,D368)</f>
        <v>1085</v>
      </c>
      <c r="F368" s="7" t="str">
        <f aca="false">IF(c_TPOT&gt;1,ROUND(IF(c_TTYPE=2,c_T2MX-IF(c_T1MX=c_T1MN,0,(C368-c_T1MN)/(c_T1MX-c_T1MN))*(c_T2MX-c_T2MN),c_T2MN+IF(c_T1MX=c_T1MN,0,(C368-c_T1MN)/(c_T1MX-c_T1MN))*(c_T2MX-c_T2MN))+o_MISMATCH,0),"")</f>
        <v/>
      </c>
      <c r="G368" s="7" t="str">
        <f aca="false">IF(c_TPOT&gt;1,IF(((c_T2MX)-(c_T2MN))=0,(0)+QUOTIENT(((1000)-(0)),2),QUOTIENT((((F368)-(c_T2MN))*((1000)-(0))+IF(((1000)-(0))&gt;=0,1,-1)*QUOTIENT(((c_T2MX)-(c_T2MN)),2)),((c_T2MX)-(c_T2MN)))+(0)+IF(((1000)-(0))&gt;=0,IF(IF(o_WRAP=1,MOD(((c_T2MX)-(c_T2MN))*(((F368)-(c_T2MN))*((1000)-(0))+IF(((1000)-(0))&gt;=0,1,-1)*QUOTIENT(((c_T2MX)-(c_T2MN)),2))+2147483648,4294967296)-2147483648,((c_T2MX)-(c_T2MN))*(((F368)-(c_T2MN))*((1000)-(0))+IF(((1000)-(0))&gt;=0,1,-1)*QUOTIENT(((c_T2MX)-(c_T2MN)),2)))&lt;0,-1,0),IF(IF(o_WRAP=1,MOD(((c_T2MX)-(c_T2MN))*(((F368)-(c_T2MN))*((1000)-(0))+IF(((1000)-(0))&gt;=0,1,-1)*QUOTIENT(((c_T2MX)-(c_T2MN)),2))+2147483648,4294967296)-2147483648,((c_T2MX)-(c_T2MN))*(((F368)-(c_T2MN))*((1000)-(0))+IF(((1000)-(0))&gt;=0,1,-1)*QUOTIENT(((c_T2MX)-(c_T2MN)),2)))&gt;=0,1,0))),"")</f>
        <v/>
      </c>
      <c r="H368" s="7" t="str">
        <f aca="false">IF(E368&gt;1000+k_TOL,"T1 HIGH",IF(E368&lt;0-k_TOL,"T1 LOW",IF(c_TPOT&gt;1,IF(G368&gt;1000+k_TOL,"T2 HIGH",IF(G368&lt;0-k_TOL,"T2 LOW",IF(c_TTYPE=2,IF(ABS(1000-MAX(0,MIN(1000,E368))-MAX(0,MIN(1000,G368)))&gt;k_MAXERR,"MISMATCH","OK"),IF(OR(MAX(0,MIN(1000,E368))-k_MAXERR&gt;MAX(0,MIN(1000,G368)),MAX(0,MIN(1000,G368))-k_MAXERR&gt;MAX(0,MIN(1000,E368))),"MISMATCH","OK")))),"OK")))</f>
        <v>OK</v>
      </c>
      <c r="I368" s="7" t="n">
        <f aca="false">MAX(0,MIN(1000,D368))</f>
        <v>1000</v>
      </c>
      <c r="J368" s="7" t="str">
        <f aca="false">IF(c_TPOT&gt;1,IF(c_TTYPE=2,1000-MAX(0,MIN(1000,G368)),MAX(0,MIN(1000,G368))),"")</f>
        <v/>
      </c>
      <c r="K368" s="7" t="n">
        <f aca="false">IF(c_TPOT&gt;1,QUOTIENT(I368+J368,2),I368)</f>
        <v>1000</v>
      </c>
      <c r="L368" s="7" t="n">
        <f aca="false">IF(AND(K368=0,c_TCREEP&gt;0),10*c_TCREEP,IF(AND(K368&lt;=c_TRNGMIN,K368&gt;=c_TRNGMAX,c_TRNGMIN-c_TRNGMAX&lt;&gt;0),-10*c_TMINRN+QUOTIENT((c_TMAXRN-c_TMINRN)*(100-QUOTIENT((K368-c_TRNGMAX)*100,c_TRNGMIN-c_TRNGMAX)),-10),0))</f>
        <v>0</v>
      </c>
      <c r="M368" s="7" t="n">
        <f aca="false">IF(((c_TMAP1IN)-(c_TFWD))=0,(0)+QUOTIENT(((c_TMAP1OUT)-(0)),2),QUOTIENT((((K368)-(c_TFWD))*((c_TMAP1OUT)-(0))+IF(((c_TMAP1OUT)-(0))&gt;=0,1,-1)*QUOTIENT(((c_TMAP1IN)-(c_TFWD)),2)),((c_TMAP1IN)-(c_TFWD)))+(0)+IF(((c_TMAP1OUT)-(0))&gt;=0,IF(IF(o_WRAP=1,MOD(((c_TMAP1IN)-(c_TFWD))*(((K368)-(c_TFWD))*((c_TMAP1OUT)-(0))+IF(((c_TMAP1OUT)-(0))&gt;=0,1,-1)*QUOTIENT(((c_TMAP1IN)-(c_TFWD)),2))+2147483648,4294967296)-2147483648,((c_TMAP1IN)-(c_TFWD))*(((K368)-(c_TFWD))*((c_TMAP1OUT)-(0))+IF(((c_TMAP1OUT)-(0))&gt;=0,1,-1)*QUOTIENT(((c_TMAP1IN)-(c_TFWD)),2)))&lt;0,-1,0),IF(IF(o_WRAP=1,MOD(((c_TMAP1IN)-(c_TFWD))*(((K368)-(c_TFWD))*((c_TMAP1OUT)-(0))+IF(((c_TMAP1OUT)-(0))&gt;=0,1,-1)*QUOTIENT(((c_TMAP1IN)-(c_TFWD)),2))+2147483648,4294967296)-2147483648,((c_TMAP1IN)-(c_TFWD))*(((K368)-(c_TFWD))*((c_TMAP1OUT)-(0))+IF(((c_TMAP1OUT)-(0))&gt;=0,1,-1)*QUOTIENT(((c_TMAP1IN)-(c_TFWD)),2)))&gt;=0,1,0)))</f>
        <v>770</v>
      </c>
      <c r="N368" s="7" t="n">
        <f aca="false">IF(((c_TMAP2IN)-(c_TMAP1IN))=0,(c_TMAP1OUT)+QUOTIENT(((c_TMAP2OUT)-(c_TMAP1OUT)),2),QUOTIENT((((K368)-(c_TMAP1IN))*((c_TMAP2OUT)-(c_TMAP1OUT))+IF(((c_TMAP2OUT)-(c_TMAP1OUT))&gt;=0,1,-1)*QUOTIENT(((c_TMAP2IN)-(c_TMAP1IN)),2)),((c_TMAP2IN)-(c_TMAP1IN)))+(c_TMAP1OUT)+IF(((c_TMAP2OUT)-(c_TMAP1OUT))&gt;=0,IF(IF(o_WRAP=1,MOD(((c_TMAP2IN)-(c_TMAP1IN))*(((K368)-(c_TMAP1IN))*((c_TMAP2OUT)-(c_TMAP1OUT))+IF(((c_TMAP2OUT)-(c_TMAP1OUT))&gt;=0,1,-1)*QUOTIENT(((c_TMAP2IN)-(c_TMAP1IN)),2))+2147483648,4294967296)-2147483648,((c_TMAP2IN)-(c_TMAP1IN))*(((K368)-(c_TMAP1IN))*((c_TMAP2OUT)-(c_TMAP1OUT))+IF(((c_TMAP2OUT)-(c_TMAP1OUT))&gt;=0,1,-1)*QUOTIENT(((c_TMAP2IN)-(c_TMAP1IN)),2)))&lt;0,-1,0),IF(IF(o_WRAP=1,MOD(((c_TMAP2IN)-(c_TMAP1IN))*(((K368)-(c_TMAP1IN))*((c_TMAP2OUT)-(c_TMAP1OUT))+IF(((c_TMAP2OUT)-(c_TMAP1OUT))&gt;=0,1,-1)*QUOTIENT(((c_TMAP2IN)-(c_TMAP1IN)),2))+2147483648,4294967296)-2147483648,((c_TMAP2IN)-(c_TMAP1IN))*(((K368)-(c_TMAP1IN))*((c_TMAP2OUT)-(c_TMAP1OUT))+IF(((c_TMAP2OUT)-(c_TMAP1OUT))&gt;=0,1,-1)*QUOTIENT(((c_TMAP2IN)-(c_TMAP1IN)),2)))&gt;=0,1,0)))</f>
        <v>430</v>
      </c>
      <c r="O368" s="7" t="n">
        <f aca="false">IF(((c_TMAP3IN)-(c_TMAP2IN))=0,(c_TMAP2OUT)+QUOTIENT(((c_TMAP3OUT)-(c_TMAP2OUT)),2),QUOTIENT((((K368)-(c_TMAP2IN))*((c_TMAP3OUT)-(c_TMAP2OUT))+IF(((c_TMAP3OUT)-(c_TMAP2OUT))&gt;=0,1,-1)*QUOTIENT(((c_TMAP3IN)-(c_TMAP2IN)),2)),((c_TMAP3IN)-(c_TMAP2IN)))+(c_TMAP2OUT)+IF(((c_TMAP3OUT)-(c_TMAP2OUT))&gt;=0,IF(IF(o_WRAP=1,MOD(((c_TMAP3IN)-(c_TMAP2IN))*(((K368)-(c_TMAP2IN))*((c_TMAP3OUT)-(c_TMAP2OUT))+IF(((c_TMAP3OUT)-(c_TMAP2OUT))&gt;=0,1,-1)*QUOTIENT(((c_TMAP3IN)-(c_TMAP2IN)),2))+2147483648,4294967296)-2147483648,((c_TMAP3IN)-(c_TMAP2IN))*(((K368)-(c_TMAP2IN))*((c_TMAP3OUT)-(c_TMAP2OUT))+IF(((c_TMAP3OUT)-(c_TMAP2OUT))&gt;=0,1,-1)*QUOTIENT(((c_TMAP3IN)-(c_TMAP2IN)),2)))&lt;0,-1,0),IF(IF(o_WRAP=1,MOD(((c_TMAP3IN)-(c_TMAP2IN))*(((K368)-(c_TMAP2IN))*((c_TMAP3OUT)-(c_TMAP2OUT))+IF(((c_TMAP3OUT)-(c_TMAP2OUT))&gt;=0,1,-1)*QUOTIENT(((c_TMAP3IN)-(c_TMAP2IN)),2))+2147483648,4294967296)-2147483648,((c_TMAP3IN)-(c_TMAP2IN))*(((K368)-(c_TMAP2IN))*((c_TMAP3OUT)-(c_TMAP2OUT))+IF(((c_TMAP3OUT)-(c_TMAP2OUT))&gt;=0,1,-1)*QUOTIENT(((c_TMAP3IN)-(c_TMAP2IN)),2)))&gt;=0,1,0)))</f>
        <v>655</v>
      </c>
      <c r="P368" s="7" t="n">
        <f aca="false">IF(((1000)-(c_TMAP3IN))=0,(c_TMAP3OUT)+QUOTIENT(((1000)-(c_TMAP3OUT)),2),QUOTIENT((((K368)-(c_TMAP3IN))*((1000)-(c_TMAP3OUT))+IF(((1000)-(c_TMAP3OUT))&gt;=0,1,-1)*QUOTIENT(((1000)-(c_TMAP3IN)),2)),((1000)-(c_TMAP3IN)))+(c_TMAP3OUT)+IF(((1000)-(c_TMAP3OUT))&gt;=0,IF(IF(o_WRAP=1,MOD(((1000)-(c_TMAP3IN))*(((K368)-(c_TMAP3IN))*((1000)-(c_TMAP3OUT))+IF(((1000)-(c_TMAP3OUT))&gt;=0,1,-1)*QUOTIENT(((1000)-(c_TMAP3IN)),2))+2147483648,4294967296)-2147483648,((1000)-(c_TMAP3IN))*(((K368)-(c_TMAP3IN))*((1000)-(c_TMAP3OUT))+IF(((1000)-(c_TMAP3OUT))&gt;=0,1,-1)*QUOTIENT(((1000)-(c_TMAP3IN)),2)))&lt;0,-1,0),IF(IF(o_WRAP=1,MOD(((1000)-(c_TMAP3IN))*(((K368)-(c_TMAP3IN))*((1000)-(c_TMAP3OUT))+IF(((1000)-(c_TMAP3OUT))&gt;=0,1,-1)*QUOTIENT(((1000)-(c_TMAP3IN)),2))+2147483648,4294967296)-2147483648,((1000)-(c_TMAP3IN))*(((K368)-(c_TMAP3IN))*((1000)-(c_TMAP3OUT))+IF(((1000)-(c_TMAP3OUT))&gt;=0,1,-1)*QUOTIENT(((1000)-(c_TMAP3IN)),2)))&gt;=0,1,0)))</f>
        <v>1000</v>
      </c>
      <c r="Q368" s="7" t="str">
        <f aca="false">IF(K368&gt;=c_TFWD,IF(AND(K368&gt;=c_TMAP3IN,c_TMAP3IN&lt;1000),"Seg4 map3-100%",IF(AND(K368&gt;=c_TMAP2IN,c_TMAP3IN&gt;c_TMAP2IN),"Seg3 map2-map3",IF(AND(K368&gt;=c_TMAP1IN,c_TMAP2IN&gt;c_TMAP1IN),"Seg2 map1-map2","Seg1 TFWD-map1"))),IF(AND(K368=0,c_TCREEP&gt;0),"Creep",IF(AND(K368&lt;=c_TRNGMIN,K368&gt;=c_TRNGMAX,c_TRNGMIN-c_TRNGMAX&lt;&gt;0),"Regen ramp","Coast (0)")))</f>
        <v>Seg4 map3-100%</v>
      </c>
      <c r="R368" s="7" t="n">
        <f aca="false">IF(K368&gt;=c_TFWD,IF(AND(K368&gt;=c_TMAP3IN,c_TMAP3IN&lt;1000),P368,IF(AND(K368&gt;=c_TMAP2IN,c_TMAP3IN&gt;c_TMAP2IN),O368,IF(AND(K368&gt;=c_TMAP1IN,c_TMAP2IN&gt;c_TMAP1IN),N368,M368))),L368)</f>
        <v>1000</v>
      </c>
      <c r="S368" s="7" t="str">
        <f aca="false">IF(R368&lt;-1090,"TOO LOW",IF(R368&gt;1090,"TOO HIGH",""))</f>
        <v/>
      </c>
      <c r="T368" s="15" t="n">
        <f aca="false">IF(H368&lt;&gt;"OK",0,IF(S368&lt;&gt;"",0,IF(R368&gt;979,1000,R368)))</f>
        <v>1000</v>
      </c>
      <c r="U368" s="7" t="n">
        <f aca="false">T368/10</f>
        <v>100</v>
      </c>
    </row>
    <row r="369" customFormat="false" ht="15" hidden="false" customHeight="false" outlineLevel="0" collapsed="false">
      <c r="A369" s="7" t="n">
        <v>364</v>
      </c>
      <c r="B369" s="7" t="n">
        <f aca="false">ROUND(o_SWSTART+A369*(o_SWEND-o_SWSTART)/400,0)</f>
        <v>3726</v>
      </c>
      <c r="C369" s="7" t="n">
        <f aca="false">QUOTIENT((B369-c_OFF1)*c_GAIN1,1024)</f>
        <v>3726</v>
      </c>
      <c r="D369" s="7" t="n">
        <f aca="false">IF(((c_T1MX)-(c_T1MN))=0,(0)+QUOTIENT(((1000)-(0)),2),QUOTIENT((((C369)-(c_T1MN))*((1000)-(0))+IF(((1000)-(0))&gt;=0,1,-1)*QUOTIENT(((c_T1MX)-(c_T1MN)),2)),((c_T1MX)-(c_T1MN)))+(0)+IF(((1000)-(0))&gt;=0,IF(IF(o_WRAP=1,MOD(((c_T1MX)-(c_T1MN))*(((C369)-(c_T1MN))*((1000)-(0))+IF(((1000)-(0))&gt;=0,1,-1)*QUOTIENT(((c_T1MX)-(c_T1MN)),2))+2147483648,4294967296)-2147483648,((c_T1MX)-(c_T1MN))*(((C369)-(c_T1MN))*((1000)-(0))+IF(((1000)-(0))&gt;=0,1,-1)*QUOTIENT(((c_T1MX)-(c_T1MN)),2)))&lt;0,-1,0),IF(IF(o_WRAP=1,MOD(((c_T1MX)-(c_T1MN))*(((C369)-(c_T1MN))*((1000)-(0))+IF(((1000)-(0))&gt;=0,1,-1)*QUOTIENT(((c_T1MX)-(c_T1MN)),2))+2147483648,4294967296)-2147483648,((c_T1MX)-(c_T1MN))*(((C369)-(c_T1MN))*((1000)-(0))+IF(((1000)-(0))&gt;=0,1,-1)*QUOTIENT(((c_T1MX)-(c_T1MN)),2)))&gt;=0,1,0)))</f>
        <v>1089</v>
      </c>
      <c r="E369" s="7" t="n">
        <f aca="false">IF(AND(c_TPOT=1,c_TTYPE=2),1000-D369,D369)</f>
        <v>1089</v>
      </c>
      <c r="F369" s="7" t="str">
        <f aca="false">IF(c_TPOT&gt;1,ROUND(IF(c_TTYPE=2,c_T2MX-IF(c_T1MX=c_T1MN,0,(C369-c_T1MN)/(c_T1MX-c_T1MN))*(c_T2MX-c_T2MN),c_T2MN+IF(c_T1MX=c_T1MN,0,(C369-c_T1MN)/(c_T1MX-c_T1MN))*(c_T2MX-c_T2MN))+o_MISMATCH,0),"")</f>
        <v/>
      </c>
      <c r="G369" s="7" t="str">
        <f aca="false">IF(c_TPOT&gt;1,IF(((c_T2MX)-(c_T2MN))=0,(0)+QUOTIENT(((1000)-(0)),2),QUOTIENT((((F369)-(c_T2MN))*((1000)-(0))+IF(((1000)-(0))&gt;=0,1,-1)*QUOTIENT(((c_T2MX)-(c_T2MN)),2)),((c_T2MX)-(c_T2MN)))+(0)+IF(((1000)-(0))&gt;=0,IF(IF(o_WRAP=1,MOD(((c_T2MX)-(c_T2MN))*(((F369)-(c_T2MN))*((1000)-(0))+IF(((1000)-(0))&gt;=0,1,-1)*QUOTIENT(((c_T2MX)-(c_T2MN)),2))+2147483648,4294967296)-2147483648,((c_T2MX)-(c_T2MN))*(((F369)-(c_T2MN))*((1000)-(0))+IF(((1000)-(0))&gt;=0,1,-1)*QUOTIENT(((c_T2MX)-(c_T2MN)),2)))&lt;0,-1,0),IF(IF(o_WRAP=1,MOD(((c_T2MX)-(c_T2MN))*(((F369)-(c_T2MN))*((1000)-(0))+IF(((1000)-(0))&gt;=0,1,-1)*QUOTIENT(((c_T2MX)-(c_T2MN)),2))+2147483648,4294967296)-2147483648,((c_T2MX)-(c_T2MN))*(((F369)-(c_T2MN))*((1000)-(0))+IF(((1000)-(0))&gt;=0,1,-1)*QUOTIENT(((c_T2MX)-(c_T2MN)),2)))&gt;=0,1,0))),"")</f>
        <v/>
      </c>
      <c r="H369" s="7" t="str">
        <f aca="false">IF(E369&gt;1000+k_TOL,"T1 HIGH",IF(E369&lt;0-k_TOL,"T1 LOW",IF(c_TPOT&gt;1,IF(G369&gt;1000+k_TOL,"T2 HIGH",IF(G369&lt;0-k_TOL,"T2 LOW",IF(c_TTYPE=2,IF(ABS(1000-MAX(0,MIN(1000,E369))-MAX(0,MIN(1000,G369)))&gt;k_MAXERR,"MISMATCH","OK"),IF(OR(MAX(0,MIN(1000,E369))-k_MAXERR&gt;MAX(0,MIN(1000,G369)),MAX(0,MIN(1000,G369))-k_MAXERR&gt;MAX(0,MIN(1000,E369))),"MISMATCH","OK")))),"OK")))</f>
        <v>OK</v>
      </c>
      <c r="I369" s="7" t="n">
        <f aca="false">MAX(0,MIN(1000,D369))</f>
        <v>1000</v>
      </c>
      <c r="J369" s="7" t="str">
        <f aca="false">IF(c_TPOT&gt;1,IF(c_TTYPE=2,1000-MAX(0,MIN(1000,G369)),MAX(0,MIN(1000,G369))),"")</f>
        <v/>
      </c>
      <c r="K369" s="7" t="n">
        <f aca="false">IF(c_TPOT&gt;1,QUOTIENT(I369+J369,2),I369)</f>
        <v>1000</v>
      </c>
      <c r="L369" s="7" t="n">
        <f aca="false">IF(AND(K369=0,c_TCREEP&gt;0),10*c_TCREEP,IF(AND(K369&lt;=c_TRNGMIN,K369&gt;=c_TRNGMAX,c_TRNGMIN-c_TRNGMAX&lt;&gt;0),-10*c_TMINRN+QUOTIENT((c_TMAXRN-c_TMINRN)*(100-QUOTIENT((K369-c_TRNGMAX)*100,c_TRNGMIN-c_TRNGMAX)),-10),0))</f>
        <v>0</v>
      </c>
      <c r="M369" s="7" t="n">
        <f aca="false">IF(((c_TMAP1IN)-(c_TFWD))=0,(0)+QUOTIENT(((c_TMAP1OUT)-(0)),2),QUOTIENT((((K369)-(c_TFWD))*((c_TMAP1OUT)-(0))+IF(((c_TMAP1OUT)-(0))&gt;=0,1,-1)*QUOTIENT(((c_TMAP1IN)-(c_TFWD)),2)),((c_TMAP1IN)-(c_TFWD)))+(0)+IF(((c_TMAP1OUT)-(0))&gt;=0,IF(IF(o_WRAP=1,MOD(((c_TMAP1IN)-(c_TFWD))*(((K369)-(c_TFWD))*((c_TMAP1OUT)-(0))+IF(((c_TMAP1OUT)-(0))&gt;=0,1,-1)*QUOTIENT(((c_TMAP1IN)-(c_TFWD)),2))+2147483648,4294967296)-2147483648,((c_TMAP1IN)-(c_TFWD))*(((K369)-(c_TFWD))*((c_TMAP1OUT)-(0))+IF(((c_TMAP1OUT)-(0))&gt;=0,1,-1)*QUOTIENT(((c_TMAP1IN)-(c_TFWD)),2)))&lt;0,-1,0),IF(IF(o_WRAP=1,MOD(((c_TMAP1IN)-(c_TFWD))*(((K369)-(c_TFWD))*((c_TMAP1OUT)-(0))+IF(((c_TMAP1OUT)-(0))&gt;=0,1,-1)*QUOTIENT(((c_TMAP1IN)-(c_TFWD)),2))+2147483648,4294967296)-2147483648,((c_TMAP1IN)-(c_TFWD))*(((K369)-(c_TFWD))*((c_TMAP1OUT)-(0))+IF(((c_TMAP1OUT)-(0))&gt;=0,1,-1)*QUOTIENT(((c_TMAP1IN)-(c_TFWD)),2)))&gt;=0,1,0)))</f>
        <v>770</v>
      </c>
      <c r="N369" s="7" t="n">
        <f aca="false">IF(((c_TMAP2IN)-(c_TMAP1IN))=0,(c_TMAP1OUT)+QUOTIENT(((c_TMAP2OUT)-(c_TMAP1OUT)),2),QUOTIENT((((K369)-(c_TMAP1IN))*((c_TMAP2OUT)-(c_TMAP1OUT))+IF(((c_TMAP2OUT)-(c_TMAP1OUT))&gt;=0,1,-1)*QUOTIENT(((c_TMAP2IN)-(c_TMAP1IN)),2)),((c_TMAP2IN)-(c_TMAP1IN)))+(c_TMAP1OUT)+IF(((c_TMAP2OUT)-(c_TMAP1OUT))&gt;=0,IF(IF(o_WRAP=1,MOD(((c_TMAP2IN)-(c_TMAP1IN))*(((K369)-(c_TMAP1IN))*((c_TMAP2OUT)-(c_TMAP1OUT))+IF(((c_TMAP2OUT)-(c_TMAP1OUT))&gt;=0,1,-1)*QUOTIENT(((c_TMAP2IN)-(c_TMAP1IN)),2))+2147483648,4294967296)-2147483648,((c_TMAP2IN)-(c_TMAP1IN))*(((K369)-(c_TMAP1IN))*((c_TMAP2OUT)-(c_TMAP1OUT))+IF(((c_TMAP2OUT)-(c_TMAP1OUT))&gt;=0,1,-1)*QUOTIENT(((c_TMAP2IN)-(c_TMAP1IN)),2)))&lt;0,-1,0),IF(IF(o_WRAP=1,MOD(((c_TMAP2IN)-(c_TMAP1IN))*(((K369)-(c_TMAP1IN))*((c_TMAP2OUT)-(c_TMAP1OUT))+IF(((c_TMAP2OUT)-(c_TMAP1OUT))&gt;=0,1,-1)*QUOTIENT(((c_TMAP2IN)-(c_TMAP1IN)),2))+2147483648,4294967296)-2147483648,((c_TMAP2IN)-(c_TMAP1IN))*(((K369)-(c_TMAP1IN))*((c_TMAP2OUT)-(c_TMAP1OUT))+IF(((c_TMAP2OUT)-(c_TMAP1OUT))&gt;=0,1,-1)*QUOTIENT(((c_TMAP2IN)-(c_TMAP1IN)),2)))&gt;=0,1,0)))</f>
        <v>430</v>
      </c>
      <c r="O369" s="7" t="n">
        <f aca="false">IF(((c_TMAP3IN)-(c_TMAP2IN))=0,(c_TMAP2OUT)+QUOTIENT(((c_TMAP3OUT)-(c_TMAP2OUT)),2),QUOTIENT((((K369)-(c_TMAP2IN))*((c_TMAP3OUT)-(c_TMAP2OUT))+IF(((c_TMAP3OUT)-(c_TMAP2OUT))&gt;=0,1,-1)*QUOTIENT(((c_TMAP3IN)-(c_TMAP2IN)),2)),((c_TMAP3IN)-(c_TMAP2IN)))+(c_TMAP2OUT)+IF(((c_TMAP3OUT)-(c_TMAP2OUT))&gt;=0,IF(IF(o_WRAP=1,MOD(((c_TMAP3IN)-(c_TMAP2IN))*(((K369)-(c_TMAP2IN))*((c_TMAP3OUT)-(c_TMAP2OUT))+IF(((c_TMAP3OUT)-(c_TMAP2OUT))&gt;=0,1,-1)*QUOTIENT(((c_TMAP3IN)-(c_TMAP2IN)),2))+2147483648,4294967296)-2147483648,((c_TMAP3IN)-(c_TMAP2IN))*(((K369)-(c_TMAP2IN))*((c_TMAP3OUT)-(c_TMAP2OUT))+IF(((c_TMAP3OUT)-(c_TMAP2OUT))&gt;=0,1,-1)*QUOTIENT(((c_TMAP3IN)-(c_TMAP2IN)),2)))&lt;0,-1,0),IF(IF(o_WRAP=1,MOD(((c_TMAP3IN)-(c_TMAP2IN))*(((K369)-(c_TMAP2IN))*((c_TMAP3OUT)-(c_TMAP2OUT))+IF(((c_TMAP3OUT)-(c_TMAP2OUT))&gt;=0,1,-1)*QUOTIENT(((c_TMAP3IN)-(c_TMAP2IN)),2))+2147483648,4294967296)-2147483648,((c_TMAP3IN)-(c_TMAP2IN))*(((K369)-(c_TMAP2IN))*((c_TMAP3OUT)-(c_TMAP2OUT))+IF(((c_TMAP3OUT)-(c_TMAP2OUT))&gt;=0,1,-1)*QUOTIENT(((c_TMAP3IN)-(c_TMAP2IN)),2)))&gt;=0,1,0)))</f>
        <v>655</v>
      </c>
      <c r="P369" s="7" t="n">
        <f aca="false">IF(((1000)-(c_TMAP3IN))=0,(c_TMAP3OUT)+QUOTIENT(((1000)-(c_TMAP3OUT)),2),QUOTIENT((((K369)-(c_TMAP3IN))*((1000)-(c_TMAP3OUT))+IF(((1000)-(c_TMAP3OUT))&gt;=0,1,-1)*QUOTIENT(((1000)-(c_TMAP3IN)),2)),((1000)-(c_TMAP3IN)))+(c_TMAP3OUT)+IF(((1000)-(c_TMAP3OUT))&gt;=0,IF(IF(o_WRAP=1,MOD(((1000)-(c_TMAP3IN))*(((K369)-(c_TMAP3IN))*((1000)-(c_TMAP3OUT))+IF(((1000)-(c_TMAP3OUT))&gt;=0,1,-1)*QUOTIENT(((1000)-(c_TMAP3IN)),2))+2147483648,4294967296)-2147483648,((1000)-(c_TMAP3IN))*(((K369)-(c_TMAP3IN))*((1000)-(c_TMAP3OUT))+IF(((1000)-(c_TMAP3OUT))&gt;=0,1,-1)*QUOTIENT(((1000)-(c_TMAP3IN)),2)))&lt;0,-1,0),IF(IF(o_WRAP=1,MOD(((1000)-(c_TMAP3IN))*(((K369)-(c_TMAP3IN))*((1000)-(c_TMAP3OUT))+IF(((1000)-(c_TMAP3OUT))&gt;=0,1,-1)*QUOTIENT(((1000)-(c_TMAP3IN)),2))+2147483648,4294967296)-2147483648,((1000)-(c_TMAP3IN))*(((K369)-(c_TMAP3IN))*((1000)-(c_TMAP3OUT))+IF(((1000)-(c_TMAP3OUT))&gt;=0,1,-1)*QUOTIENT(((1000)-(c_TMAP3IN)),2)))&gt;=0,1,0)))</f>
        <v>1000</v>
      </c>
      <c r="Q369" s="7" t="str">
        <f aca="false">IF(K369&gt;=c_TFWD,IF(AND(K369&gt;=c_TMAP3IN,c_TMAP3IN&lt;1000),"Seg4 map3-100%",IF(AND(K369&gt;=c_TMAP2IN,c_TMAP3IN&gt;c_TMAP2IN),"Seg3 map2-map3",IF(AND(K369&gt;=c_TMAP1IN,c_TMAP2IN&gt;c_TMAP1IN),"Seg2 map1-map2","Seg1 TFWD-map1"))),IF(AND(K369=0,c_TCREEP&gt;0),"Creep",IF(AND(K369&lt;=c_TRNGMIN,K369&gt;=c_TRNGMAX,c_TRNGMIN-c_TRNGMAX&lt;&gt;0),"Regen ramp","Coast (0)")))</f>
        <v>Seg4 map3-100%</v>
      </c>
      <c r="R369" s="7" t="n">
        <f aca="false">IF(K369&gt;=c_TFWD,IF(AND(K369&gt;=c_TMAP3IN,c_TMAP3IN&lt;1000),P369,IF(AND(K369&gt;=c_TMAP2IN,c_TMAP3IN&gt;c_TMAP2IN),O369,IF(AND(K369&gt;=c_TMAP1IN,c_TMAP2IN&gt;c_TMAP1IN),N369,M369))),L369)</f>
        <v>1000</v>
      </c>
      <c r="S369" s="7" t="str">
        <f aca="false">IF(R369&lt;-1090,"TOO LOW",IF(R369&gt;1090,"TOO HIGH",""))</f>
        <v/>
      </c>
      <c r="T369" s="15" t="n">
        <f aca="false">IF(H369&lt;&gt;"OK",0,IF(S369&lt;&gt;"",0,IF(R369&gt;979,1000,R369)))</f>
        <v>1000</v>
      </c>
      <c r="U369" s="7" t="n">
        <f aca="false">T369/10</f>
        <v>100</v>
      </c>
    </row>
    <row r="370" customFormat="false" ht="15" hidden="false" customHeight="false" outlineLevel="0" collapsed="false">
      <c r="A370" s="7" t="n">
        <v>365</v>
      </c>
      <c r="B370" s="7" t="n">
        <f aca="false">ROUND(o_SWSTART+A370*(o_SWEND-o_SWSTART)/400,0)</f>
        <v>3737</v>
      </c>
      <c r="C370" s="7" t="n">
        <f aca="false">QUOTIENT((B370-c_OFF1)*c_GAIN1,1024)</f>
        <v>3737</v>
      </c>
      <c r="D370" s="7" t="n">
        <f aca="false">IF(((c_T1MX)-(c_T1MN))=0,(0)+QUOTIENT(((1000)-(0)),2),QUOTIENT((((C370)-(c_T1MN))*((1000)-(0))+IF(((1000)-(0))&gt;=0,1,-1)*QUOTIENT(((c_T1MX)-(c_T1MN)),2)),((c_T1MX)-(c_T1MN)))+(0)+IF(((1000)-(0))&gt;=0,IF(IF(o_WRAP=1,MOD(((c_T1MX)-(c_T1MN))*(((C370)-(c_T1MN))*((1000)-(0))+IF(((1000)-(0))&gt;=0,1,-1)*QUOTIENT(((c_T1MX)-(c_T1MN)),2))+2147483648,4294967296)-2147483648,((c_T1MX)-(c_T1MN))*(((C370)-(c_T1MN))*((1000)-(0))+IF(((1000)-(0))&gt;=0,1,-1)*QUOTIENT(((c_T1MX)-(c_T1MN)),2)))&lt;0,-1,0),IF(IF(o_WRAP=1,MOD(((c_T1MX)-(c_T1MN))*(((C370)-(c_T1MN))*((1000)-(0))+IF(((1000)-(0))&gt;=0,1,-1)*QUOTIENT(((c_T1MX)-(c_T1MN)),2))+2147483648,4294967296)-2147483648,((c_T1MX)-(c_T1MN))*(((C370)-(c_T1MN))*((1000)-(0))+IF(((1000)-(0))&gt;=0,1,-1)*QUOTIENT(((c_T1MX)-(c_T1MN)),2)))&gt;=0,1,0)))</f>
        <v>1093</v>
      </c>
      <c r="E370" s="7" t="n">
        <f aca="false">IF(AND(c_TPOT=1,c_TTYPE=2),1000-D370,D370)</f>
        <v>1093</v>
      </c>
      <c r="F370" s="7" t="str">
        <f aca="false">IF(c_TPOT&gt;1,ROUND(IF(c_TTYPE=2,c_T2MX-IF(c_T1MX=c_T1MN,0,(C370-c_T1MN)/(c_T1MX-c_T1MN))*(c_T2MX-c_T2MN),c_T2MN+IF(c_T1MX=c_T1MN,0,(C370-c_T1MN)/(c_T1MX-c_T1MN))*(c_T2MX-c_T2MN))+o_MISMATCH,0),"")</f>
        <v/>
      </c>
      <c r="G370" s="7" t="str">
        <f aca="false">IF(c_TPOT&gt;1,IF(((c_T2MX)-(c_T2MN))=0,(0)+QUOTIENT(((1000)-(0)),2),QUOTIENT((((F370)-(c_T2MN))*((1000)-(0))+IF(((1000)-(0))&gt;=0,1,-1)*QUOTIENT(((c_T2MX)-(c_T2MN)),2)),((c_T2MX)-(c_T2MN)))+(0)+IF(((1000)-(0))&gt;=0,IF(IF(o_WRAP=1,MOD(((c_T2MX)-(c_T2MN))*(((F370)-(c_T2MN))*((1000)-(0))+IF(((1000)-(0))&gt;=0,1,-1)*QUOTIENT(((c_T2MX)-(c_T2MN)),2))+2147483648,4294967296)-2147483648,((c_T2MX)-(c_T2MN))*(((F370)-(c_T2MN))*((1000)-(0))+IF(((1000)-(0))&gt;=0,1,-1)*QUOTIENT(((c_T2MX)-(c_T2MN)),2)))&lt;0,-1,0),IF(IF(o_WRAP=1,MOD(((c_T2MX)-(c_T2MN))*(((F370)-(c_T2MN))*((1000)-(0))+IF(((1000)-(0))&gt;=0,1,-1)*QUOTIENT(((c_T2MX)-(c_T2MN)),2))+2147483648,4294967296)-2147483648,((c_T2MX)-(c_T2MN))*(((F370)-(c_T2MN))*((1000)-(0))+IF(((1000)-(0))&gt;=0,1,-1)*QUOTIENT(((c_T2MX)-(c_T2MN)),2)))&gt;=0,1,0))),"")</f>
        <v/>
      </c>
      <c r="H370" s="7" t="str">
        <f aca="false">IF(E370&gt;1000+k_TOL,"T1 HIGH",IF(E370&lt;0-k_TOL,"T1 LOW",IF(c_TPOT&gt;1,IF(G370&gt;1000+k_TOL,"T2 HIGH",IF(G370&lt;0-k_TOL,"T2 LOW",IF(c_TTYPE=2,IF(ABS(1000-MAX(0,MIN(1000,E370))-MAX(0,MIN(1000,G370)))&gt;k_MAXERR,"MISMATCH","OK"),IF(OR(MAX(0,MIN(1000,E370))-k_MAXERR&gt;MAX(0,MIN(1000,G370)),MAX(0,MIN(1000,G370))-k_MAXERR&gt;MAX(0,MIN(1000,E370))),"MISMATCH","OK")))),"OK")))</f>
        <v>OK</v>
      </c>
      <c r="I370" s="7" t="n">
        <f aca="false">MAX(0,MIN(1000,D370))</f>
        <v>1000</v>
      </c>
      <c r="J370" s="7" t="str">
        <f aca="false">IF(c_TPOT&gt;1,IF(c_TTYPE=2,1000-MAX(0,MIN(1000,G370)),MAX(0,MIN(1000,G370))),"")</f>
        <v/>
      </c>
      <c r="K370" s="7" t="n">
        <f aca="false">IF(c_TPOT&gt;1,QUOTIENT(I370+J370,2),I370)</f>
        <v>1000</v>
      </c>
      <c r="L370" s="7" t="n">
        <f aca="false">IF(AND(K370=0,c_TCREEP&gt;0),10*c_TCREEP,IF(AND(K370&lt;=c_TRNGMIN,K370&gt;=c_TRNGMAX,c_TRNGMIN-c_TRNGMAX&lt;&gt;0),-10*c_TMINRN+QUOTIENT((c_TMAXRN-c_TMINRN)*(100-QUOTIENT((K370-c_TRNGMAX)*100,c_TRNGMIN-c_TRNGMAX)),-10),0))</f>
        <v>0</v>
      </c>
      <c r="M370" s="7" t="n">
        <f aca="false">IF(((c_TMAP1IN)-(c_TFWD))=0,(0)+QUOTIENT(((c_TMAP1OUT)-(0)),2),QUOTIENT((((K370)-(c_TFWD))*((c_TMAP1OUT)-(0))+IF(((c_TMAP1OUT)-(0))&gt;=0,1,-1)*QUOTIENT(((c_TMAP1IN)-(c_TFWD)),2)),((c_TMAP1IN)-(c_TFWD)))+(0)+IF(((c_TMAP1OUT)-(0))&gt;=0,IF(IF(o_WRAP=1,MOD(((c_TMAP1IN)-(c_TFWD))*(((K370)-(c_TFWD))*((c_TMAP1OUT)-(0))+IF(((c_TMAP1OUT)-(0))&gt;=0,1,-1)*QUOTIENT(((c_TMAP1IN)-(c_TFWD)),2))+2147483648,4294967296)-2147483648,((c_TMAP1IN)-(c_TFWD))*(((K370)-(c_TFWD))*((c_TMAP1OUT)-(0))+IF(((c_TMAP1OUT)-(0))&gt;=0,1,-1)*QUOTIENT(((c_TMAP1IN)-(c_TFWD)),2)))&lt;0,-1,0),IF(IF(o_WRAP=1,MOD(((c_TMAP1IN)-(c_TFWD))*(((K370)-(c_TFWD))*((c_TMAP1OUT)-(0))+IF(((c_TMAP1OUT)-(0))&gt;=0,1,-1)*QUOTIENT(((c_TMAP1IN)-(c_TFWD)),2))+2147483648,4294967296)-2147483648,((c_TMAP1IN)-(c_TFWD))*(((K370)-(c_TFWD))*((c_TMAP1OUT)-(0))+IF(((c_TMAP1OUT)-(0))&gt;=0,1,-1)*QUOTIENT(((c_TMAP1IN)-(c_TFWD)),2)))&gt;=0,1,0)))</f>
        <v>770</v>
      </c>
      <c r="N370" s="7" t="n">
        <f aca="false">IF(((c_TMAP2IN)-(c_TMAP1IN))=0,(c_TMAP1OUT)+QUOTIENT(((c_TMAP2OUT)-(c_TMAP1OUT)),2),QUOTIENT((((K370)-(c_TMAP1IN))*((c_TMAP2OUT)-(c_TMAP1OUT))+IF(((c_TMAP2OUT)-(c_TMAP1OUT))&gt;=0,1,-1)*QUOTIENT(((c_TMAP2IN)-(c_TMAP1IN)),2)),((c_TMAP2IN)-(c_TMAP1IN)))+(c_TMAP1OUT)+IF(((c_TMAP2OUT)-(c_TMAP1OUT))&gt;=0,IF(IF(o_WRAP=1,MOD(((c_TMAP2IN)-(c_TMAP1IN))*(((K370)-(c_TMAP1IN))*((c_TMAP2OUT)-(c_TMAP1OUT))+IF(((c_TMAP2OUT)-(c_TMAP1OUT))&gt;=0,1,-1)*QUOTIENT(((c_TMAP2IN)-(c_TMAP1IN)),2))+2147483648,4294967296)-2147483648,((c_TMAP2IN)-(c_TMAP1IN))*(((K370)-(c_TMAP1IN))*((c_TMAP2OUT)-(c_TMAP1OUT))+IF(((c_TMAP2OUT)-(c_TMAP1OUT))&gt;=0,1,-1)*QUOTIENT(((c_TMAP2IN)-(c_TMAP1IN)),2)))&lt;0,-1,0),IF(IF(o_WRAP=1,MOD(((c_TMAP2IN)-(c_TMAP1IN))*(((K370)-(c_TMAP1IN))*((c_TMAP2OUT)-(c_TMAP1OUT))+IF(((c_TMAP2OUT)-(c_TMAP1OUT))&gt;=0,1,-1)*QUOTIENT(((c_TMAP2IN)-(c_TMAP1IN)),2))+2147483648,4294967296)-2147483648,((c_TMAP2IN)-(c_TMAP1IN))*(((K370)-(c_TMAP1IN))*((c_TMAP2OUT)-(c_TMAP1OUT))+IF(((c_TMAP2OUT)-(c_TMAP1OUT))&gt;=0,1,-1)*QUOTIENT(((c_TMAP2IN)-(c_TMAP1IN)),2)))&gt;=0,1,0)))</f>
        <v>430</v>
      </c>
      <c r="O370" s="7" t="n">
        <f aca="false">IF(((c_TMAP3IN)-(c_TMAP2IN))=0,(c_TMAP2OUT)+QUOTIENT(((c_TMAP3OUT)-(c_TMAP2OUT)),2),QUOTIENT((((K370)-(c_TMAP2IN))*((c_TMAP3OUT)-(c_TMAP2OUT))+IF(((c_TMAP3OUT)-(c_TMAP2OUT))&gt;=0,1,-1)*QUOTIENT(((c_TMAP3IN)-(c_TMAP2IN)),2)),((c_TMAP3IN)-(c_TMAP2IN)))+(c_TMAP2OUT)+IF(((c_TMAP3OUT)-(c_TMAP2OUT))&gt;=0,IF(IF(o_WRAP=1,MOD(((c_TMAP3IN)-(c_TMAP2IN))*(((K370)-(c_TMAP2IN))*((c_TMAP3OUT)-(c_TMAP2OUT))+IF(((c_TMAP3OUT)-(c_TMAP2OUT))&gt;=0,1,-1)*QUOTIENT(((c_TMAP3IN)-(c_TMAP2IN)),2))+2147483648,4294967296)-2147483648,((c_TMAP3IN)-(c_TMAP2IN))*(((K370)-(c_TMAP2IN))*((c_TMAP3OUT)-(c_TMAP2OUT))+IF(((c_TMAP3OUT)-(c_TMAP2OUT))&gt;=0,1,-1)*QUOTIENT(((c_TMAP3IN)-(c_TMAP2IN)),2)))&lt;0,-1,0),IF(IF(o_WRAP=1,MOD(((c_TMAP3IN)-(c_TMAP2IN))*(((K370)-(c_TMAP2IN))*((c_TMAP3OUT)-(c_TMAP2OUT))+IF(((c_TMAP3OUT)-(c_TMAP2OUT))&gt;=0,1,-1)*QUOTIENT(((c_TMAP3IN)-(c_TMAP2IN)),2))+2147483648,4294967296)-2147483648,((c_TMAP3IN)-(c_TMAP2IN))*(((K370)-(c_TMAP2IN))*((c_TMAP3OUT)-(c_TMAP2OUT))+IF(((c_TMAP3OUT)-(c_TMAP2OUT))&gt;=0,1,-1)*QUOTIENT(((c_TMAP3IN)-(c_TMAP2IN)),2)))&gt;=0,1,0)))</f>
        <v>655</v>
      </c>
      <c r="P370" s="7" t="n">
        <f aca="false">IF(((1000)-(c_TMAP3IN))=0,(c_TMAP3OUT)+QUOTIENT(((1000)-(c_TMAP3OUT)),2),QUOTIENT((((K370)-(c_TMAP3IN))*((1000)-(c_TMAP3OUT))+IF(((1000)-(c_TMAP3OUT))&gt;=0,1,-1)*QUOTIENT(((1000)-(c_TMAP3IN)),2)),((1000)-(c_TMAP3IN)))+(c_TMAP3OUT)+IF(((1000)-(c_TMAP3OUT))&gt;=0,IF(IF(o_WRAP=1,MOD(((1000)-(c_TMAP3IN))*(((K370)-(c_TMAP3IN))*((1000)-(c_TMAP3OUT))+IF(((1000)-(c_TMAP3OUT))&gt;=0,1,-1)*QUOTIENT(((1000)-(c_TMAP3IN)),2))+2147483648,4294967296)-2147483648,((1000)-(c_TMAP3IN))*(((K370)-(c_TMAP3IN))*((1000)-(c_TMAP3OUT))+IF(((1000)-(c_TMAP3OUT))&gt;=0,1,-1)*QUOTIENT(((1000)-(c_TMAP3IN)),2)))&lt;0,-1,0),IF(IF(o_WRAP=1,MOD(((1000)-(c_TMAP3IN))*(((K370)-(c_TMAP3IN))*((1000)-(c_TMAP3OUT))+IF(((1000)-(c_TMAP3OUT))&gt;=0,1,-1)*QUOTIENT(((1000)-(c_TMAP3IN)),2))+2147483648,4294967296)-2147483648,((1000)-(c_TMAP3IN))*(((K370)-(c_TMAP3IN))*((1000)-(c_TMAP3OUT))+IF(((1000)-(c_TMAP3OUT))&gt;=0,1,-1)*QUOTIENT(((1000)-(c_TMAP3IN)),2)))&gt;=0,1,0)))</f>
        <v>1000</v>
      </c>
      <c r="Q370" s="7" t="str">
        <f aca="false">IF(K370&gt;=c_TFWD,IF(AND(K370&gt;=c_TMAP3IN,c_TMAP3IN&lt;1000),"Seg4 map3-100%",IF(AND(K370&gt;=c_TMAP2IN,c_TMAP3IN&gt;c_TMAP2IN),"Seg3 map2-map3",IF(AND(K370&gt;=c_TMAP1IN,c_TMAP2IN&gt;c_TMAP1IN),"Seg2 map1-map2","Seg1 TFWD-map1"))),IF(AND(K370=0,c_TCREEP&gt;0),"Creep",IF(AND(K370&lt;=c_TRNGMIN,K370&gt;=c_TRNGMAX,c_TRNGMIN-c_TRNGMAX&lt;&gt;0),"Regen ramp","Coast (0)")))</f>
        <v>Seg4 map3-100%</v>
      </c>
      <c r="R370" s="7" t="n">
        <f aca="false">IF(K370&gt;=c_TFWD,IF(AND(K370&gt;=c_TMAP3IN,c_TMAP3IN&lt;1000),P370,IF(AND(K370&gt;=c_TMAP2IN,c_TMAP3IN&gt;c_TMAP2IN),O370,IF(AND(K370&gt;=c_TMAP1IN,c_TMAP2IN&gt;c_TMAP1IN),N370,M370))),L370)</f>
        <v>1000</v>
      </c>
      <c r="S370" s="7" t="str">
        <f aca="false">IF(R370&lt;-1090,"TOO LOW",IF(R370&gt;1090,"TOO HIGH",""))</f>
        <v/>
      </c>
      <c r="T370" s="15" t="n">
        <f aca="false">IF(H370&lt;&gt;"OK",0,IF(S370&lt;&gt;"",0,IF(R370&gt;979,1000,R370)))</f>
        <v>1000</v>
      </c>
      <c r="U370" s="7" t="n">
        <f aca="false">T370/10</f>
        <v>100</v>
      </c>
    </row>
    <row r="371" customFormat="false" ht="15" hidden="false" customHeight="false" outlineLevel="0" collapsed="false">
      <c r="A371" s="7" t="n">
        <v>366</v>
      </c>
      <c r="B371" s="7" t="n">
        <f aca="false">ROUND(o_SWSTART+A371*(o_SWEND-o_SWSTART)/400,0)</f>
        <v>3747</v>
      </c>
      <c r="C371" s="7" t="n">
        <f aca="false">QUOTIENT((B371-c_OFF1)*c_GAIN1,1024)</f>
        <v>3747</v>
      </c>
      <c r="D371" s="7" t="n">
        <f aca="false">IF(((c_T1MX)-(c_T1MN))=0,(0)+QUOTIENT(((1000)-(0)),2),QUOTIENT((((C371)-(c_T1MN))*((1000)-(0))+IF(((1000)-(0))&gt;=0,1,-1)*QUOTIENT(((c_T1MX)-(c_T1MN)),2)),((c_T1MX)-(c_T1MN)))+(0)+IF(((1000)-(0))&gt;=0,IF(IF(o_WRAP=1,MOD(((c_T1MX)-(c_T1MN))*(((C371)-(c_T1MN))*((1000)-(0))+IF(((1000)-(0))&gt;=0,1,-1)*QUOTIENT(((c_T1MX)-(c_T1MN)),2))+2147483648,4294967296)-2147483648,((c_T1MX)-(c_T1MN))*(((C371)-(c_T1MN))*((1000)-(0))+IF(((1000)-(0))&gt;=0,1,-1)*QUOTIENT(((c_T1MX)-(c_T1MN)),2)))&lt;0,-1,0),IF(IF(o_WRAP=1,MOD(((c_T1MX)-(c_T1MN))*(((C371)-(c_T1MN))*((1000)-(0))+IF(((1000)-(0))&gt;=0,1,-1)*QUOTIENT(((c_T1MX)-(c_T1MN)),2))+2147483648,4294967296)-2147483648,((c_T1MX)-(c_T1MN))*(((C371)-(c_T1MN))*((1000)-(0))+IF(((1000)-(0))&gt;=0,1,-1)*QUOTIENT(((c_T1MX)-(c_T1MN)),2)))&gt;=0,1,0)))</f>
        <v>1096</v>
      </c>
      <c r="E371" s="7" t="n">
        <f aca="false">IF(AND(c_TPOT=1,c_TTYPE=2),1000-D371,D371)</f>
        <v>1096</v>
      </c>
      <c r="F371" s="7" t="str">
        <f aca="false">IF(c_TPOT&gt;1,ROUND(IF(c_TTYPE=2,c_T2MX-IF(c_T1MX=c_T1MN,0,(C371-c_T1MN)/(c_T1MX-c_T1MN))*(c_T2MX-c_T2MN),c_T2MN+IF(c_T1MX=c_T1MN,0,(C371-c_T1MN)/(c_T1MX-c_T1MN))*(c_T2MX-c_T2MN))+o_MISMATCH,0),"")</f>
        <v/>
      </c>
      <c r="G371" s="7" t="str">
        <f aca="false">IF(c_TPOT&gt;1,IF(((c_T2MX)-(c_T2MN))=0,(0)+QUOTIENT(((1000)-(0)),2),QUOTIENT((((F371)-(c_T2MN))*((1000)-(0))+IF(((1000)-(0))&gt;=0,1,-1)*QUOTIENT(((c_T2MX)-(c_T2MN)),2)),((c_T2MX)-(c_T2MN)))+(0)+IF(((1000)-(0))&gt;=0,IF(IF(o_WRAP=1,MOD(((c_T2MX)-(c_T2MN))*(((F371)-(c_T2MN))*((1000)-(0))+IF(((1000)-(0))&gt;=0,1,-1)*QUOTIENT(((c_T2MX)-(c_T2MN)),2))+2147483648,4294967296)-2147483648,((c_T2MX)-(c_T2MN))*(((F371)-(c_T2MN))*((1000)-(0))+IF(((1000)-(0))&gt;=0,1,-1)*QUOTIENT(((c_T2MX)-(c_T2MN)),2)))&lt;0,-1,0),IF(IF(o_WRAP=1,MOD(((c_T2MX)-(c_T2MN))*(((F371)-(c_T2MN))*((1000)-(0))+IF(((1000)-(0))&gt;=0,1,-1)*QUOTIENT(((c_T2MX)-(c_T2MN)),2))+2147483648,4294967296)-2147483648,((c_T2MX)-(c_T2MN))*(((F371)-(c_T2MN))*((1000)-(0))+IF(((1000)-(0))&gt;=0,1,-1)*QUOTIENT(((c_T2MX)-(c_T2MN)),2)))&gt;=0,1,0))),"")</f>
        <v/>
      </c>
      <c r="H371" s="7" t="str">
        <f aca="false">IF(E371&gt;1000+k_TOL,"T1 HIGH",IF(E371&lt;0-k_TOL,"T1 LOW",IF(c_TPOT&gt;1,IF(G371&gt;1000+k_TOL,"T2 HIGH",IF(G371&lt;0-k_TOL,"T2 LOW",IF(c_TTYPE=2,IF(ABS(1000-MAX(0,MIN(1000,E371))-MAX(0,MIN(1000,G371)))&gt;k_MAXERR,"MISMATCH","OK"),IF(OR(MAX(0,MIN(1000,E371))-k_MAXERR&gt;MAX(0,MIN(1000,G371)),MAX(0,MIN(1000,G371))-k_MAXERR&gt;MAX(0,MIN(1000,E371))),"MISMATCH","OK")))),"OK")))</f>
        <v>OK</v>
      </c>
      <c r="I371" s="7" t="n">
        <f aca="false">MAX(0,MIN(1000,D371))</f>
        <v>1000</v>
      </c>
      <c r="J371" s="7" t="str">
        <f aca="false">IF(c_TPOT&gt;1,IF(c_TTYPE=2,1000-MAX(0,MIN(1000,G371)),MAX(0,MIN(1000,G371))),"")</f>
        <v/>
      </c>
      <c r="K371" s="7" t="n">
        <f aca="false">IF(c_TPOT&gt;1,QUOTIENT(I371+J371,2),I371)</f>
        <v>1000</v>
      </c>
      <c r="L371" s="7" t="n">
        <f aca="false">IF(AND(K371=0,c_TCREEP&gt;0),10*c_TCREEP,IF(AND(K371&lt;=c_TRNGMIN,K371&gt;=c_TRNGMAX,c_TRNGMIN-c_TRNGMAX&lt;&gt;0),-10*c_TMINRN+QUOTIENT((c_TMAXRN-c_TMINRN)*(100-QUOTIENT((K371-c_TRNGMAX)*100,c_TRNGMIN-c_TRNGMAX)),-10),0))</f>
        <v>0</v>
      </c>
      <c r="M371" s="7" t="n">
        <f aca="false">IF(((c_TMAP1IN)-(c_TFWD))=0,(0)+QUOTIENT(((c_TMAP1OUT)-(0)),2),QUOTIENT((((K371)-(c_TFWD))*((c_TMAP1OUT)-(0))+IF(((c_TMAP1OUT)-(0))&gt;=0,1,-1)*QUOTIENT(((c_TMAP1IN)-(c_TFWD)),2)),((c_TMAP1IN)-(c_TFWD)))+(0)+IF(((c_TMAP1OUT)-(0))&gt;=0,IF(IF(o_WRAP=1,MOD(((c_TMAP1IN)-(c_TFWD))*(((K371)-(c_TFWD))*((c_TMAP1OUT)-(0))+IF(((c_TMAP1OUT)-(0))&gt;=0,1,-1)*QUOTIENT(((c_TMAP1IN)-(c_TFWD)),2))+2147483648,4294967296)-2147483648,((c_TMAP1IN)-(c_TFWD))*(((K371)-(c_TFWD))*((c_TMAP1OUT)-(0))+IF(((c_TMAP1OUT)-(0))&gt;=0,1,-1)*QUOTIENT(((c_TMAP1IN)-(c_TFWD)),2)))&lt;0,-1,0),IF(IF(o_WRAP=1,MOD(((c_TMAP1IN)-(c_TFWD))*(((K371)-(c_TFWD))*((c_TMAP1OUT)-(0))+IF(((c_TMAP1OUT)-(0))&gt;=0,1,-1)*QUOTIENT(((c_TMAP1IN)-(c_TFWD)),2))+2147483648,4294967296)-2147483648,((c_TMAP1IN)-(c_TFWD))*(((K371)-(c_TFWD))*((c_TMAP1OUT)-(0))+IF(((c_TMAP1OUT)-(0))&gt;=0,1,-1)*QUOTIENT(((c_TMAP1IN)-(c_TFWD)),2)))&gt;=0,1,0)))</f>
        <v>770</v>
      </c>
      <c r="N371" s="7" t="n">
        <f aca="false">IF(((c_TMAP2IN)-(c_TMAP1IN))=0,(c_TMAP1OUT)+QUOTIENT(((c_TMAP2OUT)-(c_TMAP1OUT)),2),QUOTIENT((((K371)-(c_TMAP1IN))*((c_TMAP2OUT)-(c_TMAP1OUT))+IF(((c_TMAP2OUT)-(c_TMAP1OUT))&gt;=0,1,-1)*QUOTIENT(((c_TMAP2IN)-(c_TMAP1IN)),2)),((c_TMAP2IN)-(c_TMAP1IN)))+(c_TMAP1OUT)+IF(((c_TMAP2OUT)-(c_TMAP1OUT))&gt;=0,IF(IF(o_WRAP=1,MOD(((c_TMAP2IN)-(c_TMAP1IN))*(((K371)-(c_TMAP1IN))*((c_TMAP2OUT)-(c_TMAP1OUT))+IF(((c_TMAP2OUT)-(c_TMAP1OUT))&gt;=0,1,-1)*QUOTIENT(((c_TMAP2IN)-(c_TMAP1IN)),2))+2147483648,4294967296)-2147483648,((c_TMAP2IN)-(c_TMAP1IN))*(((K371)-(c_TMAP1IN))*((c_TMAP2OUT)-(c_TMAP1OUT))+IF(((c_TMAP2OUT)-(c_TMAP1OUT))&gt;=0,1,-1)*QUOTIENT(((c_TMAP2IN)-(c_TMAP1IN)),2)))&lt;0,-1,0),IF(IF(o_WRAP=1,MOD(((c_TMAP2IN)-(c_TMAP1IN))*(((K371)-(c_TMAP1IN))*((c_TMAP2OUT)-(c_TMAP1OUT))+IF(((c_TMAP2OUT)-(c_TMAP1OUT))&gt;=0,1,-1)*QUOTIENT(((c_TMAP2IN)-(c_TMAP1IN)),2))+2147483648,4294967296)-2147483648,((c_TMAP2IN)-(c_TMAP1IN))*(((K371)-(c_TMAP1IN))*((c_TMAP2OUT)-(c_TMAP1OUT))+IF(((c_TMAP2OUT)-(c_TMAP1OUT))&gt;=0,1,-1)*QUOTIENT(((c_TMAP2IN)-(c_TMAP1IN)),2)))&gt;=0,1,0)))</f>
        <v>430</v>
      </c>
      <c r="O371" s="7" t="n">
        <f aca="false">IF(((c_TMAP3IN)-(c_TMAP2IN))=0,(c_TMAP2OUT)+QUOTIENT(((c_TMAP3OUT)-(c_TMAP2OUT)),2),QUOTIENT((((K371)-(c_TMAP2IN))*((c_TMAP3OUT)-(c_TMAP2OUT))+IF(((c_TMAP3OUT)-(c_TMAP2OUT))&gt;=0,1,-1)*QUOTIENT(((c_TMAP3IN)-(c_TMAP2IN)),2)),((c_TMAP3IN)-(c_TMAP2IN)))+(c_TMAP2OUT)+IF(((c_TMAP3OUT)-(c_TMAP2OUT))&gt;=0,IF(IF(o_WRAP=1,MOD(((c_TMAP3IN)-(c_TMAP2IN))*(((K371)-(c_TMAP2IN))*((c_TMAP3OUT)-(c_TMAP2OUT))+IF(((c_TMAP3OUT)-(c_TMAP2OUT))&gt;=0,1,-1)*QUOTIENT(((c_TMAP3IN)-(c_TMAP2IN)),2))+2147483648,4294967296)-2147483648,((c_TMAP3IN)-(c_TMAP2IN))*(((K371)-(c_TMAP2IN))*((c_TMAP3OUT)-(c_TMAP2OUT))+IF(((c_TMAP3OUT)-(c_TMAP2OUT))&gt;=0,1,-1)*QUOTIENT(((c_TMAP3IN)-(c_TMAP2IN)),2)))&lt;0,-1,0),IF(IF(o_WRAP=1,MOD(((c_TMAP3IN)-(c_TMAP2IN))*(((K371)-(c_TMAP2IN))*((c_TMAP3OUT)-(c_TMAP2OUT))+IF(((c_TMAP3OUT)-(c_TMAP2OUT))&gt;=0,1,-1)*QUOTIENT(((c_TMAP3IN)-(c_TMAP2IN)),2))+2147483648,4294967296)-2147483648,((c_TMAP3IN)-(c_TMAP2IN))*(((K371)-(c_TMAP2IN))*((c_TMAP3OUT)-(c_TMAP2OUT))+IF(((c_TMAP3OUT)-(c_TMAP2OUT))&gt;=0,1,-1)*QUOTIENT(((c_TMAP3IN)-(c_TMAP2IN)),2)))&gt;=0,1,0)))</f>
        <v>655</v>
      </c>
      <c r="P371" s="7" t="n">
        <f aca="false">IF(((1000)-(c_TMAP3IN))=0,(c_TMAP3OUT)+QUOTIENT(((1000)-(c_TMAP3OUT)),2),QUOTIENT((((K371)-(c_TMAP3IN))*((1000)-(c_TMAP3OUT))+IF(((1000)-(c_TMAP3OUT))&gt;=0,1,-1)*QUOTIENT(((1000)-(c_TMAP3IN)),2)),((1000)-(c_TMAP3IN)))+(c_TMAP3OUT)+IF(((1000)-(c_TMAP3OUT))&gt;=0,IF(IF(o_WRAP=1,MOD(((1000)-(c_TMAP3IN))*(((K371)-(c_TMAP3IN))*((1000)-(c_TMAP3OUT))+IF(((1000)-(c_TMAP3OUT))&gt;=0,1,-1)*QUOTIENT(((1000)-(c_TMAP3IN)),2))+2147483648,4294967296)-2147483648,((1000)-(c_TMAP3IN))*(((K371)-(c_TMAP3IN))*((1000)-(c_TMAP3OUT))+IF(((1000)-(c_TMAP3OUT))&gt;=0,1,-1)*QUOTIENT(((1000)-(c_TMAP3IN)),2)))&lt;0,-1,0),IF(IF(o_WRAP=1,MOD(((1000)-(c_TMAP3IN))*(((K371)-(c_TMAP3IN))*((1000)-(c_TMAP3OUT))+IF(((1000)-(c_TMAP3OUT))&gt;=0,1,-1)*QUOTIENT(((1000)-(c_TMAP3IN)),2))+2147483648,4294967296)-2147483648,((1000)-(c_TMAP3IN))*(((K371)-(c_TMAP3IN))*((1000)-(c_TMAP3OUT))+IF(((1000)-(c_TMAP3OUT))&gt;=0,1,-1)*QUOTIENT(((1000)-(c_TMAP3IN)),2)))&gt;=0,1,0)))</f>
        <v>1000</v>
      </c>
      <c r="Q371" s="7" t="str">
        <f aca="false">IF(K371&gt;=c_TFWD,IF(AND(K371&gt;=c_TMAP3IN,c_TMAP3IN&lt;1000),"Seg4 map3-100%",IF(AND(K371&gt;=c_TMAP2IN,c_TMAP3IN&gt;c_TMAP2IN),"Seg3 map2-map3",IF(AND(K371&gt;=c_TMAP1IN,c_TMAP2IN&gt;c_TMAP1IN),"Seg2 map1-map2","Seg1 TFWD-map1"))),IF(AND(K371=0,c_TCREEP&gt;0),"Creep",IF(AND(K371&lt;=c_TRNGMIN,K371&gt;=c_TRNGMAX,c_TRNGMIN-c_TRNGMAX&lt;&gt;0),"Regen ramp","Coast (0)")))</f>
        <v>Seg4 map3-100%</v>
      </c>
      <c r="R371" s="7" t="n">
        <f aca="false">IF(K371&gt;=c_TFWD,IF(AND(K371&gt;=c_TMAP3IN,c_TMAP3IN&lt;1000),P371,IF(AND(K371&gt;=c_TMAP2IN,c_TMAP3IN&gt;c_TMAP2IN),O371,IF(AND(K371&gt;=c_TMAP1IN,c_TMAP2IN&gt;c_TMAP1IN),N371,M371))),L371)</f>
        <v>1000</v>
      </c>
      <c r="S371" s="7" t="str">
        <f aca="false">IF(R371&lt;-1090,"TOO LOW",IF(R371&gt;1090,"TOO HIGH",""))</f>
        <v/>
      </c>
      <c r="T371" s="15" t="n">
        <f aca="false">IF(H371&lt;&gt;"OK",0,IF(S371&lt;&gt;"",0,IF(R371&gt;979,1000,R371)))</f>
        <v>1000</v>
      </c>
      <c r="U371" s="7" t="n">
        <f aca="false">T371/10</f>
        <v>100</v>
      </c>
    </row>
    <row r="372" customFormat="false" ht="15" hidden="false" customHeight="false" outlineLevel="0" collapsed="false">
      <c r="A372" s="7" t="n">
        <v>367</v>
      </c>
      <c r="B372" s="7" t="n">
        <f aca="false">ROUND(o_SWSTART+A372*(o_SWEND-o_SWSTART)/400,0)</f>
        <v>3757</v>
      </c>
      <c r="C372" s="7" t="n">
        <f aca="false">QUOTIENT((B372-c_OFF1)*c_GAIN1,1024)</f>
        <v>3757</v>
      </c>
      <c r="D372" s="7" t="n">
        <f aca="false">IF(((c_T1MX)-(c_T1MN))=0,(0)+QUOTIENT(((1000)-(0)),2),QUOTIENT((((C372)-(c_T1MN))*((1000)-(0))+IF(((1000)-(0))&gt;=0,1,-1)*QUOTIENT(((c_T1MX)-(c_T1MN)),2)),((c_T1MX)-(c_T1MN)))+(0)+IF(((1000)-(0))&gt;=0,IF(IF(o_WRAP=1,MOD(((c_T1MX)-(c_T1MN))*(((C372)-(c_T1MN))*((1000)-(0))+IF(((1000)-(0))&gt;=0,1,-1)*QUOTIENT(((c_T1MX)-(c_T1MN)),2))+2147483648,4294967296)-2147483648,((c_T1MX)-(c_T1MN))*(((C372)-(c_T1MN))*((1000)-(0))+IF(((1000)-(0))&gt;=0,1,-1)*QUOTIENT(((c_T1MX)-(c_T1MN)),2)))&lt;0,-1,0),IF(IF(o_WRAP=1,MOD(((c_T1MX)-(c_T1MN))*(((C372)-(c_T1MN))*((1000)-(0))+IF(((1000)-(0))&gt;=0,1,-1)*QUOTIENT(((c_T1MX)-(c_T1MN)),2))+2147483648,4294967296)-2147483648,((c_T1MX)-(c_T1MN))*(((C372)-(c_T1MN))*((1000)-(0))+IF(((1000)-(0))&gt;=0,1,-1)*QUOTIENT(((c_T1MX)-(c_T1MN)),2)))&gt;=0,1,0)))</f>
        <v>1100</v>
      </c>
      <c r="E372" s="7" t="n">
        <f aca="false">IF(AND(c_TPOT=1,c_TTYPE=2),1000-D372,D372)</f>
        <v>1100</v>
      </c>
      <c r="F372" s="7" t="str">
        <f aca="false">IF(c_TPOT&gt;1,ROUND(IF(c_TTYPE=2,c_T2MX-IF(c_T1MX=c_T1MN,0,(C372-c_T1MN)/(c_T1MX-c_T1MN))*(c_T2MX-c_T2MN),c_T2MN+IF(c_T1MX=c_T1MN,0,(C372-c_T1MN)/(c_T1MX-c_T1MN))*(c_T2MX-c_T2MN))+o_MISMATCH,0),"")</f>
        <v/>
      </c>
      <c r="G372" s="7" t="str">
        <f aca="false">IF(c_TPOT&gt;1,IF(((c_T2MX)-(c_T2MN))=0,(0)+QUOTIENT(((1000)-(0)),2),QUOTIENT((((F372)-(c_T2MN))*((1000)-(0))+IF(((1000)-(0))&gt;=0,1,-1)*QUOTIENT(((c_T2MX)-(c_T2MN)),2)),((c_T2MX)-(c_T2MN)))+(0)+IF(((1000)-(0))&gt;=0,IF(IF(o_WRAP=1,MOD(((c_T2MX)-(c_T2MN))*(((F372)-(c_T2MN))*((1000)-(0))+IF(((1000)-(0))&gt;=0,1,-1)*QUOTIENT(((c_T2MX)-(c_T2MN)),2))+2147483648,4294967296)-2147483648,((c_T2MX)-(c_T2MN))*(((F372)-(c_T2MN))*((1000)-(0))+IF(((1000)-(0))&gt;=0,1,-1)*QUOTIENT(((c_T2MX)-(c_T2MN)),2)))&lt;0,-1,0),IF(IF(o_WRAP=1,MOD(((c_T2MX)-(c_T2MN))*(((F372)-(c_T2MN))*((1000)-(0))+IF(((1000)-(0))&gt;=0,1,-1)*QUOTIENT(((c_T2MX)-(c_T2MN)),2))+2147483648,4294967296)-2147483648,((c_T2MX)-(c_T2MN))*(((F372)-(c_T2MN))*((1000)-(0))+IF(((1000)-(0))&gt;=0,1,-1)*QUOTIENT(((c_T2MX)-(c_T2MN)),2)))&gt;=0,1,0))),"")</f>
        <v/>
      </c>
      <c r="H372" s="7" t="str">
        <f aca="false">IF(E372&gt;1000+k_TOL,"T1 HIGH",IF(E372&lt;0-k_TOL,"T1 LOW",IF(c_TPOT&gt;1,IF(G372&gt;1000+k_TOL,"T2 HIGH",IF(G372&lt;0-k_TOL,"T2 LOW",IF(c_TTYPE=2,IF(ABS(1000-MAX(0,MIN(1000,E372))-MAX(0,MIN(1000,G372)))&gt;k_MAXERR,"MISMATCH","OK"),IF(OR(MAX(0,MIN(1000,E372))-k_MAXERR&gt;MAX(0,MIN(1000,G372)),MAX(0,MIN(1000,G372))-k_MAXERR&gt;MAX(0,MIN(1000,E372))),"MISMATCH","OK")))),"OK")))</f>
        <v>OK</v>
      </c>
      <c r="I372" s="7" t="n">
        <f aca="false">MAX(0,MIN(1000,D372))</f>
        <v>1000</v>
      </c>
      <c r="J372" s="7" t="str">
        <f aca="false">IF(c_TPOT&gt;1,IF(c_TTYPE=2,1000-MAX(0,MIN(1000,G372)),MAX(0,MIN(1000,G372))),"")</f>
        <v/>
      </c>
      <c r="K372" s="7" t="n">
        <f aca="false">IF(c_TPOT&gt;1,QUOTIENT(I372+J372,2),I372)</f>
        <v>1000</v>
      </c>
      <c r="L372" s="7" t="n">
        <f aca="false">IF(AND(K372=0,c_TCREEP&gt;0),10*c_TCREEP,IF(AND(K372&lt;=c_TRNGMIN,K372&gt;=c_TRNGMAX,c_TRNGMIN-c_TRNGMAX&lt;&gt;0),-10*c_TMINRN+QUOTIENT((c_TMAXRN-c_TMINRN)*(100-QUOTIENT((K372-c_TRNGMAX)*100,c_TRNGMIN-c_TRNGMAX)),-10),0))</f>
        <v>0</v>
      </c>
      <c r="M372" s="7" t="n">
        <f aca="false">IF(((c_TMAP1IN)-(c_TFWD))=0,(0)+QUOTIENT(((c_TMAP1OUT)-(0)),2),QUOTIENT((((K372)-(c_TFWD))*((c_TMAP1OUT)-(0))+IF(((c_TMAP1OUT)-(0))&gt;=0,1,-1)*QUOTIENT(((c_TMAP1IN)-(c_TFWD)),2)),((c_TMAP1IN)-(c_TFWD)))+(0)+IF(((c_TMAP1OUT)-(0))&gt;=0,IF(IF(o_WRAP=1,MOD(((c_TMAP1IN)-(c_TFWD))*(((K372)-(c_TFWD))*((c_TMAP1OUT)-(0))+IF(((c_TMAP1OUT)-(0))&gt;=0,1,-1)*QUOTIENT(((c_TMAP1IN)-(c_TFWD)),2))+2147483648,4294967296)-2147483648,((c_TMAP1IN)-(c_TFWD))*(((K372)-(c_TFWD))*((c_TMAP1OUT)-(0))+IF(((c_TMAP1OUT)-(0))&gt;=0,1,-1)*QUOTIENT(((c_TMAP1IN)-(c_TFWD)),2)))&lt;0,-1,0),IF(IF(o_WRAP=1,MOD(((c_TMAP1IN)-(c_TFWD))*(((K372)-(c_TFWD))*((c_TMAP1OUT)-(0))+IF(((c_TMAP1OUT)-(0))&gt;=0,1,-1)*QUOTIENT(((c_TMAP1IN)-(c_TFWD)),2))+2147483648,4294967296)-2147483648,((c_TMAP1IN)-(c_TFWD))*(((K372)-(c_TFWD))*((c_TMAP1OUT)-(0))+IF(((c_TMAP1OUT)-(0))&gt;=0,1,-1)*QUOTIENT(((c_TMAP1IN)-(c_TFWD)),2)))&gt;=0,1,0)))</f>
        <v>770</v>
      </c>
      <c r="N372" s="7" t="n">
        <f aca="false">IF(((c_TMAP2IN)-(c_TMAP1IN))=0,(c_TMAP1OUT)+QUOTIENT(((c_TMAP2OUT)-(c_TMAP1OUT)),2),QUOTIENT((((K372)-(c_TMAP1IN))*((c_TMAP2OUT)-(c_TMAP1OUT))+IF(((c_TMAP2OUT)-(c_TMAP1OUT))&gt;=0,1,-1)*QUOTIENT(((c_TMAP2IN)-(c_TMAP1IN)),2)),((c_TMAP2IN)-(c_TMAP1IN)))+(c_TMAP1OUT)+IF(((c_TMAP2OUT)-(c_TMAP1OUT))&gt;=0,IF(IF(o_WRAP=1,MOD(((c_TMAP2IN)-(c_TMAP1IN))*(((K372)-(c_TMAP1IN))*((c_TMAP2OUT)-(c_TMAP1OUT))+IF(((c_TMAP2OUT)-(c_TMAP1OUT))&gt;=0,1,-1)*QUOTIENT(((c_TMAP2IN)-(c_TMAP1IN)),2))+2147483648,4294967296)-2147483648,((c_TMAP2IN)-(c_TMAP1IN))*(((K372)-(c_TMAP1IN))*((c_TMAP2OUT)-(c_TMAP1OUT))+IF(((c_TMAP2OUT)-(c_TMAP1OUT))&gt;=0,1,-1)*QUOTIENT(((c_TMAP2IN)-(c_TMAP1IN)),2)))&lt;0,-1,0),IF(IF(o_WRAP=1,MOD(((c_TMAP2IN)-(c_TMAP1IN))*(((K372)-(c_TMAP1IN))*((c_TMAP2OUT)-(c_TMAP1OUT))+IF(((c_TMAP2OUT)-(c_TMAP1OUT))&gt;=0,1,-1)*QUOTIENT(((c_TMAP2IN)-(c_TMAP1IN)),2))+2147483648,4294967296)-2147483648,((c_TMAP2IN)-(c_TMAP1IN))*(((K372)-(c_TMAP1IN))*((c_TMAP2OUT)-(c_TMAP1OUT))+IF(((c_TMAP2OUT)-(c_TMAP1OUT))&gt;=0,1,-1)*QUOTIENT(((c_TMAP2IN)-(c_TMAP1IN)),2)))&gt;=0,1,0)))</f>
        <v>430</v>
      </c>
      <c r="O372" s="7" t="n">
        <f aca="false">IF(((c_TMAP3IN)-(c_TMAP2IN))=0,(c_TMAP2OUT)+QUOTIENT(((c_TMAP3OUT)-(c_TMAP2OUT)),2),QUOTIENT((((K372)-(c_TMAP2IN))*((c_TMAP3OUT)-(c_TMAP2OUT))+IF(((c_TMAP3OUT)-(c_TMAP2OUT))&gt;=0,1,-1)*QUOTIENT(((c_TMAP3IN)-(c_TMAP2IN)),2)),((c_TMAP3IN)-(c_TMAP2IN)))+(c_TMAP2OUT)+IF(((c_TMAP3OUT)-(c_TMAP2OUT))&gt;=0,IF(IF(o_WRAP=1,MOD(((c_TMAP3IN)-(c_TMAP2IN))*(((K372)-(c_TMAP2IN))*((c_TMAP3OUT)-(c_TMAP2OUT))+IF(((c_TMAP3OUT)-(c_TMAP2OUT))&gt;=0,1,-1)*QUOTIENT(((c_TMAP3IN)-(c_TMAP2IN)),2))+2147483648,4294967296)-2147483648,((c_TMAP3IN)-(c_TMAP2IN))*(((K372)-(c_TMAP2IN))*((c_TMAP3OUT)-(c_TMAP2OUT))+IF(((c_TMAP3OUT)-(c_TMAP2OUT))&gt;=0,1,-1)*QUOTIENT(((c_TMAP3IN)-(c_TMAP2IN)),2)))&lt;0,-1,0),IF(IF(o_WRAP=1,MOD(((c_TMAP3IN)-(c_TMAP2IN))*(((K372)-(c_TMAP2IN))*((c_TMAP3OUT)-(c_TMAP2OUT))+IF(((c_TMAP3OUT)-(c_TMAP2OUT))&gt;=0,1,-1)*QUOTIENT(((c_TMAP3IN)-(c_TMAP2IN)),2))+2147483648,4294967296)-2147483648,((c_TMAP3IN)-(c_TMAP2IN))*(((K372)-(c_TMAP2IN))*((c_TMAP3OUT)-(c_TMAP2OUT))+IF(((c_TMAP3OUT)-(c_TMAP2OUT))&gt;=0,1,-1)*QUOTIENT(((c_TMAP3IN)-(c_TMAP2IN)),2)))&gt;=0,1,0)))</f>
        <v>655</v>
      </c>
      <c r="P372" s="7" t="n">
        <f aca="false">IF(((1000)-(c_TMAP3IN))=0,(c_TMAP3OUT)+QUOTIENT(((1000)-(c_TMAP3OUT)),2),QUOTIENT((((K372)-(c_TMAP3IN))*((1000)-(c_TMAP3OUT))+IF(((1000)-(c_TMAP3OUT))&gt;=0,1,-1)*QUOTIENT(((1000)-(c_TMAP3IN)),2)),((1000)-(c_TMAP3IN)))+(c_TMAP3OUT)+IF(((1000)-(c_TMAP3OUT))&gt;=0,IF(IF(o_WRAP=1,MOD(((1000)-(c_TMAP3IN))*(((K372)-(c_TMAP3IN))*((1000)-(c_TMAP3OUT))+IF(((1000)-(c_TMAP3OUT))&gt;=0,1,-1)*QUOTIENT(((1000)-(c_TMAP3IN)),2))+2147483648,4294967296)-2147483648,((1000)-(c_TMAP3IN))*(((K372)-(c_TMAP3IN))*((1000)-(c_TMAP3OUT))+IF(((1000)-(c_TMAP3OUT))&gt;=0,1,-1)*QUOTIENT(((1000)-(c_TMAP3IN)),2)))&lt;0,-1,0),IF(IF(o_WRAP=1,MOD(((1000)-(c_TMAP3IN))*(((K372)-(c_TMAP3IN))*((1000)-(c_TMAP3OUT))+IF(((1000)-(c_TMAP3OUT))&gt;=0,1,-1)*QUOTIENT(((1000)-(c_TMAP3IN)),2))+2147483648,4294967296)-2147483648,((1000)-(c_TMAP3IN))*(((K372)-(c_TMAP3IN))*((1000)-(c_TMAP3OUT))+IF(((1000)-(c_TMAP3OUT))&gt;=0,1,-1)*QUOTIENT(((1000)-(c_TMAP3IN)),2)))&gt;=0,1,0)))</f>
        <v>1000</v>
      </c>
      <c r="Q372" s="7" t="str">
        <f aca="false">IF(K372&gt;=c_TFWD,IF(AND(K372&gt;=c_TMAP3IN,c_TMAP3IN&lt;1000),"Seg4 map3-100%",IF(AND(K372&gt;=c_TMAP2IN,c_TMAP3IN&gt;c_TMAP2IN),"Seg3 map2-map3",IF(AND(K372&gt;=c_TMAP1IN,c_TMAP2IN&gt;c_TMAP1IN),"Seg2 map1-map2","Seg1 TFWD-map1"))),IF(AND(K372=0,c_TCREEP&gt;0),"Creep",IF(AND(K372&lt;=c_TRNGMIN,K372&gt;=c_TRNGMAX,c_TRNGMIN-c_TRNGMAX&lt;&gt;0),"Regen ramp","Coast (0)")))</f>
        <v>Seg4 map3-100%</v>
      </c>
      <c r="R372" s="7" t="n">
        <f aca="false">IF(K372&gt;=c_TFWD,IF(AND(K372&gt;=c_TMAP3IN,c_TMAP3IN&lt;1000),P372,IF(AND(K372&gt;=c_TMAP2IN,c_TMAP3IN&gt;c_TMAP2IN),O372,IF(AND(K372&gt;=c_TMAP1IN,c_TMAP2IN&gt;c_TMAP1IN),N372,M372))),L372)</f>
        <v>1000</v>
      </c>
      <c r="S372" s="7" t="str">
        <f aca="false">IF(R372&lt;-1090,"TOO LOW",IF(R372&gt;1090,"TOO HIGH",""))</f>
        <v/>
      </c>
      <c r="T372" s="15" t="n">
        <f aca="false">IF(H372&lt;&gt;"OK",0,IF(S372&lt;&gt;"",0,IF(R372&gt;979,1000,R372)))</f>
        <v>1000</v>
      </c>
      <c r="U372" s="7" t="n">
        <f aca="false">T372/10</f>
        <v>100</v>
      </c>
    </row>
    <row r="373" customFormat="false" ht="15" hidden="false" customHeight="false" outlineLevel="0" collapsed="false">
      <c r="A373" s="7" t="n">
        <v>368</v>
      </c>
      <c r="B373" s="7" t="n">
        <f aca="false">ROUND(o_SWSTART+A373*(o_SWEND-o_SWSTART)/400,0)</f>
        <v>3767</v>
      </c>
      <c r="C373" s="7" t="n">
        <f aca="false">QUOTIENT((B373-c_OFF1)*c_GAIN1,1024)</f>
        <v>3767</v>
      </c>
      <c r="D373" s="7" t="n">
        <f aca="false">IF(((c_T1MX)-(c_T1MN))=0,(0)+QUOTIENT(((1000)-(0)),2),QUOTIENT((((C373)-(c_T1MN))*((1000)-(0))+IF(((1000)-(0))&gt;=0,1,-1)*QUOTIENT(((c_T1MX)-(c_T1MN)),2)),((c_T1MX)-(c_T1MN)))+(0)+IF(((1000)-(0))&gt;=0,IF(IF(o_WRAP=1,MOD(((c_T1MX)-(c_T1MN))*(((C373)-(c_T1MN))*((1000)-(0))+IF(((1000)-(0))&gt;=0,1,-1)*QUOTIENT(((c_T1MX)-(c_T1MN)),2))+2147483648,4294967296)-2147483648,((c_T1MX)-(c_T1MN))*(((C373)-(c_T1MN))*((1000)-(0))+IF(((1000)-(0))&gt;=0,1,-1)*QUOTIENT(((c_T1MX)-(c_T1MN)),2)))&lt;0,-1,0),IF(IF(o_WRAP=1,MOD(((c_T1MX)-(c_T1MN))*(((C373)-(c_T1MN))*((1000)-(0))+IF(((1000)-(0))&gt;=0,1,-1)*QUOTIENT(((c_T1MX)-(c_T1MN)),2))+2147483648,4294967296)-2147483648,((c_T1MX)-(c_T1MN))*(((C373)-(c_T1MN))*((1000)-(0))+IF(((1000)-(0))&gt;=0,1,-1)*QUOTIENT(((c_T1MX)-(c_T1MN)),2)))&gt;=0,1,0)))</f>
        <v>1104</v>
      </c>
      <c r="E373" s="7" t="n">
        <f aca="false">IF(AND(c_TPOT=1,c_TTYPE=2),1000-D373,D373)</f>
        <v>1104</v>
      </c>
      <c r="F373" s="7" t="str">
        <f aca="false">IF(c_TPOT&gt;1,ROUND(IF(c_TTYPE=2,c_T2MX-IF(c_T1MX=c_T1MN,0,(C373-c_T1MN)/(c_T1MX-c_T1MN))*(c_T2MX-c_T2MN),c_T2MN+IF(c_T1MX=c_T1MN,0,(C373-c_T1MN)/(c_T1MX-c_T1MN))*(c_T2MX-c_T2MN))+o_MISMATCH,0),"")</f>
        <v/>
      </c>
      <c r="G373" s="7" t="str">
        <f aca="false">IF(c_TPOT&gt;1,IF(((c_T2MX)-(c_T2MN))=0,(0)+QUOTIENT(((1000)-(0)),2),QUOTIENT((((F373)-(c_T2MN))*((1000)-(0))+IF(((1000)-(0))&gt;=0,1,-1)*QUOTIENT(((c_T2MX)-(c_T2MN)),2)),((c_T2MX)-(c_T2MN)))+(0)+IF(((1000)-(0))&gt;=0,IF(IF(o_WRAP=1,MOD(((c_T2MX)-(c_T2MN))*(((F373)-(c_T2MN))*((1000)-(0))+IF(((1000)-(0))&gt;=0,1,-1)*QUOTIENT(((c_T2MX)-(c_T2MN)),2))+2147483648,4294967296)-2147483648,((c_T2MX)-(c_T2MN))*(((F373)-(c_T2MN))*((1000)-(0))+IF(((1000)-(0))&gt;=0,1,-1)*QUOTIENT(((c_T2MX)-(c_T2MN)),2)))&lt;0,-1,0),IF(IF(o_WRAP=1,MOD(((c_T2MX)-(c_T2MN))*(((F373)-(c_T2MN))*((1000)-(0))+IF(((1000)-(0))&gt;=0,1,-1)*QUOTIENT(((c_T2MX)-(c_T2MN)),2))+2147483648,4294967296)-2147483648,((c_T2MX)-(c_T2MN))*(((F373)-(c_T2MN))*((1000)-(0))+IF(((1000)-(0))&gt;=0,1,-1)*QUOTIENT(((c_T2MX)-(c_T2MN)),2)))&gt;=0,1,0))),"")</f>
        <v/>
      </c>
      <c r="H373" s="7" t="str">
        <f aca="false">IF(E373&gt;1000+k_TOL,"T1 HIGH",IF(E373&lt;0-k_TOL,"T1 LOW",IF(c_TPOT&gt;1,IF(G373&gt;1000+k_TOL,"T2 HIGH",IF(G373&lt;0-k_TOL,"T2 LOW",IF(c_TTYPE=2,IF(ABS(1000-MAX(0,MIN(1000,E373))-MAX(0,MIN(1000,G373)))&gt;k_MAXERR,"MISMATCH","OK"),IF(OR(MAX(0,MIN(1000,E373))-k_MAXERR&gt;MAX(0,MIN(1000,G373)),MAX(0,MIN(1000,G373))-k_MAXERR&gt;MAX(0,MIN(1000,E373))),"MISMATCH","OK")))),"OK")))</f>
        <v>OK</v>
      </c>
      <c r="I373" s="7" t="n">
        <f aca="false">MAX(0,MIN(1000,D373))</f>
        <v>1000</v>
      </c>
      <c r="J373" s="7" t="str">
        <f aca="false">IF(c_TPOT&gt;1,IF(c_TTYPE=2,1000-MAX(0,MIN(1000,G373)),MAX(0,MIN(1000,G373))),"")</f>
        <v/>
      </c>
      <c r="K373" s="7" t="n">
        <f aca="false">IF(c_TPOT&gt;1,QUOTIENT(I373+J373,2),I373)</f>
        <v>1000</v>
      </c>
      <c r="L373" s="7" t="n">
        <f aca="false">IF(AND(K373=0,c_TCREEP&gt;0),10*c_TCREEP,IF(AND(K373&lt;=c_TRNGMIN,K373&gt;=c_TRNGMAX,c_TRNGMIN-c_TRNGMAX&lt;&gt;0),-10*c_TMINRN+QUOTIENT((c_TMAXRN-c_TMINRN)*(100-QUOTIENT((K373-c_TRNGMAX)*100,c_TRNGMIN-c_TRNGMAX)),-10),0))</f>
        <v>0</v>
      </c>
      <c r="M373" s="7" t="n">
        <f aca="false">IF(((c_TMAP1IN)-(c_TFWD))=0,(0)+QUOTIENT(((c_TMAP1OUT)-(0)),2),QUOTIENT((((K373)-(c_TFWD))*((c_TMAP1OUT)-(0))+IF(((c_TMAP1OUT)-(0))&gt;=0,1,-1)*QUOTIENT(((c_TMAP1IN)-(c_TFWD)),2)),((c_TMAP1IN)-(c_TFWD)))+(0)+IF(((c_TMAP1OUT)-(0))&gt;=0,IF(IF(o_WRAP=1,MOD(((c_TMAP1IN)-(c_TFWD))*(((K373)-(c_TFWD))*((c_TMAP1OUT)-(0))+IF(((c_TMAP1OUT)-(0))&gt;=0,1,-1)*QUOTIENT(((c_TMAP1IN)-(c_TFWD)),2))+2147483648,4294967296)-2147483648,((c_TMAP1IN)-(c_TFWD))*(((K373)-(c_TFWD))*((c_TMAP1OUT)-(0))+IF(((c_TMAP1OUT)-(0))&gt;=0,1,-1)*QUOTIENT(((c_TMAP1IN)-(c_TFWD)),2)))&lt;0,-1,0),IF(IF(o_WRAP=1,MOD(((c_TMAP1IN)-(c_TFWD))*(((K373)-(c_TFWD))*((c_TMAP1OUT)-(0))+IF(((c_TMAP1OUT)-(0))&gt;=0,1,-1)*QUOTIENT(((c_TMAP1IN)-(c_TFWD)),2))+2147483648,4294967296)-2147483648,((c_TMAP1IN)-(c_TFWD))*(((K373)-(c_TFWD))*((c_TMAP1OUT)-(0))+IF(((c_TMAP1OUT)-(0))&gt;=0,1,-1)*QUOTIENT(((c_TMAP1IN)-(c_TFWD)),2)))&gt;=0,1,0)))</f>
        <v>770</v>
      </c>
      <c r="N373" s="7" t="n">
        <f aca="false">IF(((c_TMAP2IN)-(c_TMAP1IN))=0,(c_TMAP1OUT)+QUOTIENT(((c_TMAP2OUT)-(c_TMAP1OUT)),2),QUOTIENT((((K373)-(c_TMAP1IN))*((c_TMAP2OUT)-(c_TMAP1OUT))+IF(((c_TMAP2OUT)-(c_TMAP1OUT))&gt;=0,1,-1)*QUOTIENT(((c_TMAP2IN)-(c_TMAP1IN)),2)),((c_TMAP2IN)-(c_TMAP1IN)))+(c_TMAP1OUT)+IF(((c_TMAP2OUT)-(c_TMAP1OUT))&gt;=0,IF(IF(o_WRAP=1,MOD(((c_TMAP2IN)-(c_TMAP1IN))*(((K373)-(c_TMAP1IN))*((c_TMAP2OUT)-(c_TMAP1OUT))+IF(((c_TMAP2OUT)-(c_TMAP1OUT))&gt;=0,1,-1)*QUOTIENT(((c_TMAP2IN)-(c_TMAP1IN)),2))+2147483648,4294967296)-2147483648,((c_TMAP2IN)-(c_TMAP1IN))*(((K373)-(c_TMAP1IN))*((c_TMAP2OUT)-(c_TMAP1OUT))+IF(((c_TMAP2OUT)-(c_TMAP1OUT))&gt;=0,1,-1)*QUOTIENT(((c_TMAP2IN)-(c_TMAP1IN)),2)))&lt;0,-1,0),IF(IF(o_WRAP=1,MOD(((c_TMAP2IN)-(c_TMAP1IN))*(((K373)-(c_TMAP1IN))*((c_TMAP2OUT)-(c_TMAP1OUT))+IF(((c_TMAP2OUT)-(c_TMAP1OUT))&gt;=0,1,-1)*QUOTIENT(((c_TMAP2IN)-(c_TMAP1IN)),2))+2147483648,4294967296)-2147483648,((c_TMAP2IN)-(c_TMAP1IN))*(((K373)-(c_TMAP1IN))*((c_TMAP2OUT)-(c_TMAP1OUT))+IF(((c_TMAP2OUT)-(c_TMAP1OUT))&gt;=0,1,-1)*QUOTIENT(((c_TMAP2IN)-(c_TMAP1IN)),2)))&gt;=0,1,0)))</f>
        <v>430</v>
      </c>
      <c r="O373" s="7" t="n">
        <f aca="false">IF(((c_TMAP3IN)-(c_TMAP2IN))=0,(c_TMAP2OUT)+QUOTIENT(((c_TMAP3OUT)-(c_TMAP2OUT)),2),QUOTIENT((((K373)-(c_TMAP2IN))*((c_TMAP3OUT)-(c_TMAP2OUT))+IF(((c_TMAP3OUT)-(c_TMAP2OUT))&gt;=0,1,-1)*QUOTIENT(((c_TMAP3IN)-(c_TMAP2IN)),2)),((c_TMAP3IN)-(c_TMAP2IN)))+(c_TMAP2OUT)+IF(((c_TMAP3OUT)-(c_TMAP2OUT))&gt;=0,IF(IF(o_WRAP=1,MOD(((c_TMAP3IN)-(c_TMAP2IN))*(((K373)-(c_TMAP2IN))*((c_TMAP3OUT)-(c_TMAP2OUT))+IF(((c_TMAP3OUT)-(c_TMAP2OUT))&gt;=0,1,-1)*QUOTIENT(((c_TMAP3IN)-(c_TMAP2IN)),2))+2147483648,4294967296)-2147483648,((c_TMAP3IN)-(c_TMAP2IN))*(((K373)-(c_TMAP2IN))*((c_TMAP3OUT)-(c_TMAP2OUT))+IF(((c_TMAP3OUT)-(c_TMAP2OUT))&gt;=0,1,-1)*QUOTIENT(((c_TMAP3IN)-(c_TMAP2IN)),2)))&lt;0,-1,0),IF(IF(o_WRAP=1,MOD(((c_TMAP3IN)-(c_TMAP2IN))*(((K373)-(c_TMAP2IN))*((c_TMAP3OUT)-(c_TMAP2OUT))+IF(((c_TMAP3OUT)-(c_TMAP2OUT))&gt;=0,1,-1)*QUOTIENT(((c_TMAP3IN)-(c_TMAP2IN)),2))+2147483648,4294967296)-2147483648,((c_TMAP3IN)-(c_TMAP2IN))*(((K373)-(c_TMAP2IN))*((c_TMAP3OUT)-(c_TMAP2OUT))+IF(((c_TMAP3OUT)-(c_TMAP2OUT))&gt;=0,1,-1)*QUOTIENT(((c_TMAP3IN)-(c_TMAP2IN)),2)))&gt;=0,1,0)))</f>
        <v>655</v>
      </c>
      <c r="P373" s="7" t="n">
        <f aca="false">IF(((1000)-(c_TMAP3IN))=0,(c_TMAP3OUT)+QUOTIENT(((1000)-(c_TMAP3OUT)),2),QUOTIENT((((K373)-(c_TMAP3IN))*((1000)-(c_TMAP3OUT))+IF(((1000)-(c_TMAP3OUT))&gt;=0,1,-1)*QUOTIENT(((1000)-(c_TMAP3IN)),2)),((1000)-(c_TMAP3IN)))+(c_TMAP3OUT)+IF(((1000)-(c_TMAP3OUT))&gt;=0,IF(IF(o_WRAP=1,MOD(((1000)-(c_TMAP3IN))*(((K373)-(c_TMAP3IN))*((1000)-(c_TMAP3OUT))+IF(((1000)-(c_TMAP3OUT))&gt;=0,1,-1)*QUOTIENT(((1000)-(c_TMAP3IN)),2))+2147483648,4294967296)-2147483648,((1000)-(c_TMAP3IN))*(((K373)-(c_TMAP3IN))*((1000)-(c_TMAP3OUT))+IF(((1000)-(c_TMAP3OUT))&gt;=0,1,-1)*QUOTIENT(((1000)-(c_TMAP3IN)),2)))&lt;0,-1,0),IF(IF(o_WRAP=1,MOD(((1000)-(c_TMAP3IN))*(((K373)-(c_TMAP3IN))*((1000)-(c_TMAP3OUT))+IF(((1000)-(c_TMAP3OUT))&gt;=0,1,-1)*QUOTIENT(((1000)-(c_TMAP3IN)),2))+2147483648,4294967296)-2147483648,((1000)-(c_TMAP3IN))*(((K373)-(c_TMAP3IN))*((1000)-(c_TMAP3OUT))+IF(((1000)-(c_TMAP3OUT))&gt;=0,1,-1)*QUOTIENT(((1000)-(c_TMAP3IN)),2)))&gt;=0,1,0)))</f>
        <v>1000</v>
      </c>
      <c r="Q373" s="7" t="str">
        <f aca="false">IF(K373&gt;=c_TFWD,IF(AND(K373&gt;=c_TMAP3IN,c_TMAP3IN&lt;1000),"Seg4 map3-100%",IF(AND(K373&gt;=c_TMAP2IN,c_TMAP3IN&gt;c_TMAP2IN),"Seg3 map2-map3",IF(AND(K373&gt;=c_TMAP1IN,c_TMAP2IN&gt;c_TMAP1IN),"Seg2 map1-map2","Seg1 TFWD-map1"))),IF(AND(K373=0,c_TCREEP&gt;0),"Creep",IF(AND(K373&lt;=c_TRNGMIN,K373&gt;=c_TRNGMAX,c_TRNGMIN-c_TRNGMAX&lt;&gt;0),"Regen ramp","Coast (0)")))</f>
        <v>Seg4 map3-100%</v>
      </c>
      <c r="R373" s="7" t="n">
        <f aca="false">IF(K373&gt;=c_TFWD,IF(AND(K373&gt;=c_TMAP3IN,c_TMAP3IN&lt;1000),P373,IF(AND(K373&gt;=c_TMAP2IN,c_TMAP3IN&gt;c_TMAP2IN),O373,IF(AND(K373&gt;=c_TMAP1IN,c_TMAP2IN&gt;c_TMAP1IN),N373,M373))),L373)</f>
        <v>1000</v>
      </c>
      <c r="S373" s="7" t="str">
        <f aca="false">IF(R373&lt;-1090,"TOO LOW",IF(R373&gt;1090,"TOO HIGH",""))</f>
        <v/>
      </c>
      <c r="T373" s="15" t="n">
        <f aca="false">IF(H373&lt;&gt;"OK",0,IF(S373&lt;&gt;"",0,IF(R373&gt;979,1000,R373)))</f>
        <v>1000</v>
      </c>
      <c r="U373" s="7" t="n">
        <f aca="false">T373/10</f>
        <v>100</v>
      </c>
    </row>
    <row r="374" customFormat="false" ht="15" hidden="false" customHeight="false" outlineLevel="0" collapsed="false">
      <c r="A374" s="7" t="n">
        <v>369</v>
      </c>
      <c r="B374" s="7" t="n">
        <f aca="false">ROUND(o_SWSTART+A374*(o_SWEND-o_SWSTART)/400,0)</f>
        <v>3778</v>
      </c>
      <c r="C374" s="7" t="n">
        <f aca="false">QUOTIENT((B374-c_OFF1)*c_GAIN1,1024)</f>
        <v>3778</v>
      </c>
      <c r="D374" s="7" t="n">
        <f aca="false">IF(((c_T1MX)-(c_T1MN))=0,(0)+QUOTIENT(((1000)-(0)),2),QUOTIENT((((C374)-(c_T1MN))*((1000)-(0))+IF(((1000)-(0))&gt;=0,1,-1)*QUOTIENT(((c_T1MX)-(c_T1MN)),2)),((c_T1MX)-(c_T1MN)))+(0)+IF(((1000)-(0))&gt;=0,IF(IF(o_WRAP=1,MOD(((c_T1MX)-(c_T1MN))*(((C374)-(c_T1MN))*((1000)-(0))+IF(((1000)-(0))&gt;=0,1,-1)*QUOTIENT(((c_T1MX)-(c_T1MN)),2))+2147483648,4294967296)-2147483648,((c_T1MX)-(c_T1MN))*(((C374)-(c_T1MN))*((1000)-(0))+IF(((1000)-(0))&gt;=0,1,-1)*QUOTIENT(((c_T1MX)-(c_T1MN)),2)))&lt;0,-1,0),IF(IF(o_WRAP=1,MOD(((c_T1MX)-(c_T1MN))*(((C374)-(c_T1MN))*((1000)-(0))+IF(((1000)-(0))&gt;=0,1,-1)*QUOTIENT(((c_T1MX)-(c_T1MN)),2))+2147483648,4294967296)-2147483648,((c_T1MX)-(c_T1MN))*(((C374)-(c_T1MN))*((1000)-(0))+IF(((1000)-(0))&gt;=0,1,-1)*QUOTIENT(((c_T1MX)-(c_T1MN)),2)))&gt;=0,1,0)))</f>
        <v>1108</v>
      </c>
      <c r="E374" s="7" t="n">
        <f aca="false">IF(AND(c_TPOT=1,c_TTYPE=2),1000-D374,D374)</f>
        <v>1108</v>
      </c>
      <c r="F374" s="7" t="str">
        <f aca="false">IF(c_TPOT&gt;1,ROUND(IF(c_TTYPE=2,c_T2MX-IF(c_T1MX=c_T1MN,0,(C374-c_T1MN)/(c_T1MX-c_T1MN))*(c_T2MX-c_T2MN),c_T2MN+IF(c_T1MX=c_T1MN,0,(C374-c_T1MN)/(c_T1MX-c_T1MN))*(c_T2MX-c_T2MN))+o_MISMATCH,0),"")</f>
        <v/>
      </c>
      <c r="G374" s="7" t="str">
        <f aca="false">IF(c_TPOT&gt;1,IF(((c_T2MX)-(c_T2MN))=0,(0)+QUOTIENT(((1000)-(0)),2),QUOTIENT((((F374)-(c_T2MN))*((1000)-(0))+IF(((1000)-(0))&gt;=0,1,-1)*QUOTIENT(((c_T2MX)-(c_T2MN)),2)),((c_T2MX)-(c_T2MN)))+(0)+IF(((1000)-(0))&gt;=0,IF(IF(o_WRAP=1,MOD(((c_T2MX)-(c_T2MN))*(((F374)-(c_T2MN))*((1000)-(0))+IF(((1000)-(0))&gt;=0,1,-1)*QUOTIENT(((c_T2MX)-(c_T2MN)),2))+2147483648,4294967296)-2147483648,((c_T2MX)-(c_T2MN))*(((F374)-(c_T2MN))*((1000)-(0))+IF(((1000)-(0))&gt;=0,1,-1)*QUOTIENT(((c_T2MX)-(c_T2MN)),2)))&lt;0,-1,0),IF(IF(o_WRAP=1,MOD(((c_T2MX)-(c_T2MN))*(((F374)-(c_T2MN))*((1000)-(0))+IF(((1000)-(0))&gt;=0,1,-1)*QUOTIENT(((c_T2MX)-(c_T2MN)),2))+2147483648,4294967296)-2147483648,((c_T2MX)-(c_T2MN))*(((F374)-(c_T2MN))*((1000)-(0))+IF(((1000)-(0))&gt;=0,1,-1)*QUOTIENT(((c_T2MX)-(c_T2MN)),2)))&gt;=0,1,0))),"")</f>
        <v/>
      </c>
      <c r="H374" s="7" t="str">
        <f aca="false">IF(E374&gt;1000+k_TOL,"T1 HIGH",IF(E374&lt;0-k_TOL,"T1 LOW",IF(c_TPOT&gt;1,IF(G374&gt;1000+k_TOL,"T2 HIGH",IF(G374&lt;0-k_TOL,"T2 LOW",IF(c_TTYPE=2,IF(ABS(1000-MAX(0,MIN(1000,E374))-MAX(0,MIN(1000,G374)))&gt;k_MAXERR,"MISMATCH","OK"),IF(OR(MAX(0,MIN(1000,E374))-k_MAXERR&gt;MAX(0,MIN(1000,G374)),MAX(0,MIN(1000,G374))-k_MAXERR&gt;MAX(0,MIN(1000,E374))),"MISMATCH","OK")))),"OK")))</f>
        <v>OK</v>
      </c>
      <c r="I374" s="7" t="n">
        <f aca="false">MAX(0,MIN(1000,D374))</f>
        <v>1000</v>
      </c>
      <c r="J374" s="7" t="str">
        <f aca="false">IF(c_TPOT&gt;1,IF(c_TTYPE=2,1000-MAX(0,MIN(1000,G374)),MAX(0,MIN(1000,G374))),"")</f>
        <v/>
      </c>
      <c r="K374" s="7" t="n">
        <f aca="false">IF(c_TPOT&gt;1,QUOTIENT(I374+J374,2),I374)</f>
        <v>1000</v>
      </c>
      <c r="L374" s="7" t="n">
        <f aca="false">IF(AND(K374=0,c_TCREEP&gt;0),10*c_TCREEP,IF(AND(K374&lt;=c_TRNGMIN,K374&gt;=c_TRNGMAX,c_TRNGMIN-c_TRNGMAX&lt;&gt;0),-10*c_TMINRN+QUOTIENT((c_TMAXRN-c_TMINRN)*(100-QUOTIENT((K374-c_TRNGMAX)*100,c_TRNGMIN-c_TRNGMAX)),-10),0))</f>
        <v>0</v>
      </c>
      <c r="M374" s="7" t="n">
        <f aca="false">IF(((c_TMAP1IN)-(c_TFWD))=0,(0)+QUOTIENT(((c_TMAP1OUT)-(0)),2),QUOTIENT((((K374)-(c_TFWD))*((c_TMAP1OUT)-(0))+IF(((c_TMAP1OUT)-(0))&gt;=0,1,-1)*QUOTIENT(((c_TMAP1IN)-(c_TFWD)),2)),((c_TMAP1IN)-(c_TFWD)))+(0)+IF(((c_TMAP1OUT)-(0))&gt;=0,IF(IF(o_WRAP=1,MOD(((c_TMAP1IN)-(c_TFWD))*(((K374)-(c_TFWD))*((c_TMAP1OUT)-(0))+IF(((c_TMAP1OUT)-(0))&gt;=0,1,-1)*QUOTIENT(((c_TMAP1IN)-(c_TFWD)),2))+2147483648,4294967296)-2147483648,((c_TMAP1IN)-(c_TFWD))*(((K374)-(c_TFWD))*((c_TMAP1OUT)-(0))+IF(((c_TMAP1OUT)-(0))&gt;=0,1,-1)*QUOTIENT(((c_TMAP1IN)-(c_TFWD)),2)))&lt;0,-1,0),IF(IF(o_WRAP=1,MOD(((c_TMAP1IN)-(c_TFWD))*(((K374)-(c_TFWD))*((c_TMAP1OUT)-(0))+IF(((c_TMAP1OUT)-(0))&gt;=0,1,-1)*QUOTIENT(((c_TMAP1IN)-(c_TFWD)),2))+2147483648,4294967296)-2147483648,((c_TMAP1IN)-(c_TFWD))*(((K374)-(c_TFWD))*((c_TMAP1OUT)-(0))+IF(((c_TMAP1OUT)-(0))&gt;=0,1,-1)*QUOTIENT(((c_TMAP1IN)-(c_TFWD)),2)))&gt;=0,1,0)))</f>
        <v>770</v>
      </c>
      <c r="N374" s="7" t="n">
        <f aca="false">IF(((c_TMAP2IN)-(c_TMAP1IN))=0,(c_TMAP1OUT)+QUOTIENT(((c_TMAP2OUT)-(c_TMAP1OUT)),2),QUOTIENT((((K374)-(c_TMAP1IN))*((c_TMAP2OUT)-(c_TMAP1OUT))+IF(((c_TMAP2OUT)-(c_TMAP1OUT))&gt;=0,1,-1)*QUOTIENT(((c_TMAP2IN)-(c_TMAP1IN)),2)),((c_TMAP2IN)-(c_TMAP1IN)))+(c_TMAP1OUT)+IF(((c_TMAP2OUT)-(c_TMAP1OUT))&gt;=0,IF(IF(o_WRAP=1,MOD(((c_TMAP2IN)-(c_TMAP1IN))*(((K374)-(c_TMAP1IN))*((c_TMAP2OUT)-(c_TMAP1OUT))+IF(((c_TMAP2OUT)-(c_TMAP1OUT))&gt;=0,1,-1)*QUOTIENT(((c_TMAP2IN)-(c_TMAP1IN)),2))+2147483648,4294967296)-2147483648,((c_TMAP2IN)-(c_TMAP1IN))*(((K374)-(c_TMAP1IN))*((c_TMAP2OUT)-(c_TMAP1OUT))+IF(((c_TMAP2OUT)-(c_TMAP1OUT))&gt;=0,1,-1)*QUOTIENT(((c_TMAP2IN)-(c_TMAP1IN)),2)))&lt;0,-1,0),IF(IF(o_WRAP=1,MOD(((c_TMAP2IN)-(c_TMAP1IN))*(((K374)-(c_TMAP1IN))*((c_TMAP2OUT)-(c_TMAP1OUT))+IF(((c_TMAP2OUT)-(c_TMAP1OUT))&gt;=0,1,-1)*QUOTIENT(((c_TMAP2IN)-(c_TMAP1IN)),2))+2147483648,4294967296)-2147483648,((c_TMAP2IN)-(c_TMAP1IN))*(((K374)-(c_TMAP1IN))*((c_TMAP2OUT)-(c_TMAP1OUT))+IF(((c_TMAP2OUT)-(c_TMAP1OUT))&gt;=0,1,-1)*QUOTIENT(((c_TMAP2IN)-(c_TMAP1IN)),2)))&gt;=0,1,0)))</f>
        <v>430</v>
      </c>
      <c r="O374" s="7" t="n">
        <f aca="false">IF(((c_TMAP3IN)-(c_TMAP2IN))=0,(c_TMAP2OUT)+QUOTIENT(((c_TMAP3OUT)-(c_TMAP2OUT)),2),QUOTIENT((((K374)-(c_TMAP2IN))*((c_TMAP3OUT)-(c_TMAP2OUT))+IF(((c_TMAP3OUT)-(c_TMAP2OUT))&gt;=0,1,-1)*QUOTIENT(((c_TMAP3IN)-(c_TMAP2IN)),2)),((c_TMAP3IN)-(c_TMAP2IN)))+(c_TMAP2OUT)+IF(((c_TMAP3OUT)-(c_TMAP2OUT))&gt;=0,IF(IF(o_WRAP=1,MOD(((c_TMAP3IN)-(c_TMAP2IN))*(((K374)-(c_TMAP2IN))*((c_TMAP3OUT)-(c_TMAP2OUT))+IF(((c_TMAP3OUT)-(c_TMAP2OUT))&gt;=0,1,-1)*QUOTIENT(((c_TMAP3IN)-(c_TMAP2IN)),2))+2147483648,4294967296)-2147483648,((c_TMAP3IN)-(c_TMAP2IN))*(((K374)-(c_TMAP2IN))*((c_TMAP3OUT)-(c_TMAP2OUT))+IF(((c_TMAP3OUT)-(c_TMAP2OUT))&gt;=0,1,-1)*QUOTIENT(((c_TMAP3IN)-(c_TMAP2IN)),2)))&lt;0,-1,0),IF(IF(o_WRAP=1,MOD(((c_TMAP3IN)-(c_TMAP2IN))*(((K374)-(c_TMAP2IN))*((c_TMAP3OUT)-(c_TMAP2OUT))+IF(((c_TMAP3OUT)-(c_TMAP2OUT))&gt;=0,1,-1)*QUOTIENT(((c_TMAP3IN)-(c_TMAP2IN)),2))+2147483648,4294967296)-2147483648,((c_TMAP3IN)-(c_TMAP2IN))*(((K374)-(c_TMAP2IN))*((c_TMAP3OUT)-(c_TMAP2OUT))+IF(((c_TMAP3OUT)-(c_TMAP2OUT))&gt;=0,1,-1)*QUOTIENT(((c_TMAP3IN)-(c_TMAP2IN)),2)))&gt;=0,1,0)))</f>
        <v>655</v>
      </c>
      <c r="P374" s="7" t="n">
        <f aca="false">IF(((1000)-(c_TMAP3IN))=0,(c_TMAP3OUT)+QUOTIENT(((1000)-(c_TMAP3OUT)),2),QUOTIENT((((K374)-(c_TMAP3IN))*((1000)-(c_TMAP3OUT))+IF(((1000)-(c_TMAP3OUT))&gt;=0,1,-1)*QUOTIENT(((1000)-(c_TMAP3IN)),2)),((1000)-(c_TMAP3IN)))+(c_TMAP3OUT)+IF(((1000)-(c_TMAP3OUT))&gt;=0,IF(IF(o_WRAP=1,MOD(((1000)-(c_TMAP3IN))*(((K374)-(c_TMAP3IN))*((1000)-(c_TMAP3OUT))+IF(((1000)-(c_TMAP3OUT))&gt;=0,1,-1)*QUOTIENT(((1000)-(c_TMAP3IN)),2))+2147483648,4294967296)-2147483648,((1000)-(c_TMAP3IN))*(((K374)-(c_TMAP3IN))*((1000)-(c_TMAP3OUT))+IF(((1000)-(c_TMAP3OUT))&gt;=0,1,-1)*QUOTIENT(((1000)-(c_TMAP3IN)),2)))&lt;0,-1,0),IF(IF(o_WRAP=1,MOD(((1000)-(c_TMAP3IN))*(((K374)-(c_TMAP3IN))*((1000)-(c_TMAP3OUT))+IF(((1000)-(c_TMAP3OUT))&gt;=0,1,-1)*QUOTIENT(((1000)-(c_TMAP3IN)),2))+2147483648,4294967296)-2147483648,((1000)-(c_TMAP3IN))*(((K374)-(c_TMAP3IN))*((1000)-(c_TMAP3OUT))+IF(((1000)-(c_TMAP3OUT))&gt;=0,1,-1)*QUOTIENT(((1000)-(c_TMAP3IN)),2)))&gt;=0,1,0)))</f>
        <v>1000</v>
      </c>
      <c r="Q374" s="7" t="str">
        <f aca="false">IF(K374&gt;=c_TFWD,IF(AND(K374&gt;=c_TMAP3IN,c_TMAP3IN&lt;1000),"Seg4 map3-100%",IF(AND(K374&gt;=c_TMAP2IN,c_TMAP3IN&gt;c_TMAP2IN),"Seg3 map2-map3",IF(AND(K374&gt;=c_TMAP1IN,c_TMAP2IN&gt;c_TMAP1IN),"Seg2 map1-map2","Seg1 TFWD-map1"))),IF(AND(K374=0,c_TCREEP&gt;0),"Creep",IF(AND(K374&lt;=c_TRNGMIN,K374&gt;=c_TRNGMAX,c_TRNGMIN-c_TRNGMAX&lt;&gt;0),"Regen ramp","Coast (0)")))</f>
        <v>Seg4 map3-100%</v>
      </c>
      <c r="R374" s="7" t="n">
        <f aca="false">IF(K374&gt;=c_TFWD,IF(AND(K374&gt;=c_TMAP3IN,c_TMAP3IN&lt;1000),P374,IF(AND(K374&gt;=c_TMAP2IN,c_TMAP3IN&gt;c_TMAP2IN),O374,IF(AND(K374&gt;=c_TMAP1IN,c_TMAP2IN&gt;c_TMAP1IN),N374,M374))),L374)</f>
        <v>1000</v>
      </c>
      <c r="S374" s="7" t="str">
        <f aca="false">IF(R374&lt;-1090,"TOO LOW",IF(R374&gt;1090,"TOO HIGH",""))</f>
        <v/>
      </c>
      <c r="T374" s="15" t="n">
        <f aca="false">IF(H374&lt;&gt;"OK",0,IF(S374&lt;&gt;"",0,IF(R374&gt;979,1000,R374)))</f>
        <v>1000</v>
      </c>
      <c r="U374" s="7" t="n">
        <f aca="false">T374/10</f>
        <v>100</v>
      </c>
    </row>
    <row r="375" customFormat="false" ht="15" hidden="false" customHeight="false" outlineLevel="0" collapsed="false">
      <c r="A375" s="7" t="n">
        <v>370</v>
      </c>
      <c r="B375" s="7" t="n">
        <f aca="false">ROUND(o_SWSTART+A375*(o_SWEND-o_SWSTART)/400,0)</f>
        <v>3788</v>
      </c>
      <c r="C375" s="7" t="n">
        <f aca="false">QUOTIENT((B375-c_OFF1)*c_GAIN1,1024)</f>
        <v>3788</v>
      </c>
      <c r="D375" s="7" t="n">
        <f aca="false">IF(((c_T1MX)-(c_T1MN))=0,(0)+QUOTIENT(((1000)-(0)),2),QUOTIENT((((C375)-(c_T1MN))*((1000)-(0))+IF(((1000)-(0))&gt;=0,1,-1)*QUOTIENT(((c_T1MX)-(c_T1MN)),2)),((c_T1MX)-(c_T1MN)))+(0)+IF(((1000)-(0))&gt;=0,IF(IF(o_WRAP=1,MOD(((c_T1MX)-(c_T1MN))*(((C375)-(c_T1MN))*((1000)-(0))+IF(((1000)-(0))&gt;=0,1,-1)*QUOTIENT(((c_T1MX)-(c_T1MN)),2))+2147483648,4294967296)-2147483648,((c_T1MX)-(c_T1MN))*(((C375)-(c_T1MN))*((1000)-(0))+IF(((1000)-(0))&gt;=0,1,-1)*QUOTIENT(((c_T1MX)-(c_T1MN)),2)))&lt;0,-1,0),IF(IF(o_WRAP=1,MOD(((c_T1MX)-(c_T1MN))*(((C375)-(c_T1MN))*((1000)-(0))+IF(((1000)-(0))&gt;=0,1,-1)*QUOTIENT(((c_T1MX)-(c_T1MN)),2))+2147483648,4294967296)-2147483648,((c_T1MX)-(c_T1MN))*(((C375)-(c_T1MN))*((1000)-(0))+IF(((1000)-(0))&gt;=0,1,-1)*QUOTIENT(((c_T1MX)-(c_T1MN)),2)))&gt;=0,1,0)))</f>
        <v>1111</v>
      </c>
      <c r="E375" s="7" t="n">
        <f aca="false">IF(AND(c_TPOT=1,c_TTYPE=2),1000-D375,D375)</f>
        <v>1111</v>
      </c>
      <c r="F375" s="7" t="str">
        <f aca="false">IF(c_TPOT&gt;1,ROUND(IF(c_TTYPE=2,c_T2MX-IF(c_T1MX=c_T1MN,0,(C375-c_T1MN)/(c_T1MX-c_T1MN))*(c_T2MX-c_T2MN),c_T2MN+IF(c_T1MX=c_T1MN,0,(C375-c_T1MN)/(c_T1MX-c_T1MN))*(c_T2MX-c_T2MN))+o_MISMATCH,0),"")</f>
        <v/>
      </c>
      <c r="G375" s="7" t="str">
        <f aca="false">IF(c_TPOT&gt;1,IF(((c_T2MX)-(c_T2MN))=0,(0)+QUOTIENT(((1000)-(0)),2),QUOTIENT((((F375)-(c_T2MN))*((1000)-(0))+IF(((1000)-(0))&gt;=0,1,-1)*QUOTIENT(((c_T2MX)-(c_T2MN)),2)),((c_T2MX)-(c_T2MN)))+(0)+IF(((1000)-(0))&gt;=0,IF(IF(o_WRAP=1,MOD(((c_T2MX)-(c_T2MN))*(((F375)-(c_T2MN))*((1000)-(0))+IF(((1000)-(0))&gt;=0,1,-1)*QUOTIENT(((c_T2MX)-(c_T2MN)),2))+2147483648,4294967296)-2147483648,((c_T2MX)-(c_T2MN))*(((F375)-(c_T2MN))*((1000)-(0))+IF(((1000)-(0))&gt;=0,1,-1)*QUOTIENT(((c_T2MX)-(c_T2MN)),2)))&lt;0,-1,0),IF(IF(o_WRAP=1,MOD(((c_T2MX)-(c_T2MN))*(((F375)-(c_T2MN))*((1000)-(0))+IF(((1000)-(0))&gt;=0,1,-1)*QUOTIENT(((c_T2MX)-(c_T2MN)),2))+2147483648,4294967296)-2147483648,((c_T2MX)-(c_T2MN))*(((F375)-(c_T2MN))*((1000)-(0))+IF(((1000)-(0))&gt;=0,1,-1)*QUOTIENT(((c_T2MX)-(c_T2MN)),2)))&gt;=0,1,0))),"")</f>
        <v/>
      </c>
      <c r="H375" s="7" t="str">
        <f aca="false">IF(E375&gt;1000+k_TOL,"T1 HIGH",IF(E375&lt;0-k_TOL,"T1 LOW",IF(c_TPOT&gt;1,IF(G375&gt;1000+k_TOL,"T2 HIGH",IF(G375&lt;0-k_TOL,"T2 LOW",IF(c_TTYPE=2,IF(ABS(1000-MAX(0,MIN(1000,E375))-MAX(0,MIN(1000,G375)))&gt;k_MAXERR,"MISMATCH","OK"),IF(OR(MAX(0,MIN(1000,E375))-k_MAXERR&gt;MAX(0,MIN(1000,G375)),MAX(0,MIN(1000,G375))-k_MAXERR&gt;MAX(0,MIN(1000,E375))),"MISMATCH","OK")))),"OK")))</f>
        <v>OK</v>
      </c>
      <c r="I375" s="7" t="n">
        <f aca="false">MAX(0,MIN(1000,D375))</f>
        <v>1000</v>
      </c>
      <c r="J375" s="7" t="str">
        <f aca="false">IF(c_TPOT&gt;1,IF(c_TTYPE=2,1000-MAX(0,MIN(1000,G375)),MAX(0,MIN(1000,G375))),"")</f>
        <v/>
      </c>
      <c r="K375" s="7" t="n">
        <f aca="false">IF(c_TPOT&gt;1,QUOTIENT(I375+J375,2),I375)</f>
        <v>1000</v>
      </c>
      <c r="L375" s="7" t="n">
        <f aca="false">IF(AND(K375=0,c_TCREEP&gt;0),10*c_TCREEP,IF(AND(K375&lt;=c_TRNGMIN,K375&gt;=c_TRNGMAX,c_TRNGMIN-c_TRNGMAX&lt;&gt;0),-10*c_TMINRN+QUOTIENT((c_TMAXRN-c_TMINRN)*(100-QUOTIENT((K375-c_TRNGMAX)*100,c_TRNGMIN-c_TRNGMAX)),-10),0))</f>
        <v>0</v>
      </c>
      <c r="M375" s="7" t="n">
        <f aca="false">IF(((c_TMAP1IN)-(c_TFWD))=0,(0)+QUOTIENT(((c_TMAP1OUT)-(0)),2),QUOTIENT((((K375)-(c_TFWD))*((c_TMAP1OUT)-(0))+IF(((c_TMAP1OUT)-(0))&gt;=0,1,-1)*QUOTIENT(((c_TMAP1IN)-(c_TFWD)),2)),((c_TMAP1IN)-(c_TFWD)))+(0)+IF(((c_TMAP1OUT)-(0))&gt;=0,IF(IF(o_WRAP=1,MOD(((c_TMAP1IN)-(c_TFWD))*(((K375)-(c_TFWD))*((c_TMAP1OUT)-(0))+IF(((c_TMAP1OUT)-(0))&gt;=0,1,-1)*QUOTIENT(((c_TMAP1IN)-(c_TFWD)),2))+2147483648,4294967296)-2147483648,((c_TMAP1IN)-(c_TFWD))*(((K375)-(c_TFWD))*((c_TMAP1OUT)-(0))+IF(((c_TMAP1OUT)-(0))&gt;=0,1,-1)*QUOTIENT(((c_TMAP1IN)-(c_TFWD)),2)))&lt;0,-1,0),IF(IF(o_WRAP=1,MOD(((c_TMAP1IN)-(c_TFWD))*(((K375)-(c_TFWD))*((c_TMAP1OUT)-(0))+IF(((c_TMAP1OUT)-(0))&gt;=0,1,-1)*QUOTIENT(((c_TMAP1IN)-(c_TFWD)),2))+2147483648,4294967296)-2147483648,((c_TMAP1IN)-(c_TFWD))*(((K375)-(c_TFWD))*((c_TMAP1OUT)-(0))+IF(((c_TMAP1OUT)-(0))&gt;=0,1,-1)*QUOTIENT(((c_TMAP1IN)-(c_TFWD)),2)))&gt;=0,1,0)))</f>
        <v>770</v>
      </c>
      <c r="N375" s="7" t="n">
        <f aca="false">IF(((c_TMAP2IN)-(c_TMAP1IN))=0,(c_TMAP1OUT)+QUOTIENT(((c_TMAP2OUT)-(c_TMAP1OUT)),2),QUOTIENT((((K375)-(c_TMAP1IN))*((c_TMAP2OUT)-(c_TMAP1OUT))+IF(((c_TMAP2OUT)-(c_TMAP1OUT))&gt;=0,1,-1)*QUOTIENT(((c_TMAP2IN)-(c_TMAP1IN)),2)),((c_TMAP2IN)-(c_TMAP1IN)))+(c_TMAP1OUT)+IF(((c_TMAP2OUT)-(c_TMAP1OUT))&gt;=0,IF(IF(o_WRAP=1,MOD(((c_TMAP2IN)-(c_TMAP1IN))*(((K375)-(c_TMAP1IN))*((c_TMAP2OUT)-(c_TMAP1OUT))+IF(((c_TMAP2OUT)-(c_TMAP1OUT))&gt;=0,1,-1)*QUOTIENT(((c_TMAP2IN)-(c_TMAP1IN)),2))+2147483648,4294967296)-2147483648,((c_TMAP2IN)-(c_TMAP1IN))*(((K375)-(c_TMAP1IN))*((c_TMAP2OUT)-(c_TMAP1OUT))+IF(((c_TMAP2OUT)-(c_TMAP1OUT))&gt;=0,1,-1)*QUOTIENT(((c_TMAP2IN)-(c_TMAP1IN)),2)))&lt;0,-1,0),IF(IF(o_WRAP=1,MOD(((c_TMAP2IN)-(c_TMAP1IN))*(((K375)-(c_TMAP1IN))*((c_TMAP2OUT)-(c_TMAP1OUT))+IF(((c_TMAP2OUT)-(c_TMAP1OUT))&gt;=0,1,-1)*QUOTIENT(((c_TMAP2IN)-(c_TMAP1IN)),2))+2147483648,4294967296)-2147483648,((c_TMAP2IN)-(c_TMAP1IN))*(((K375)-(c_TMAP1IN))*((c_TMAP2OUT)-(c_TMAP1OUT))+IF(((c_TMAP2OUT)-(c_TMAP1OUT))&gt;=0,1,-1)*QUOTIENT(((c_TMAP2IN)-(c_TMAP1IN)),2)))&gt;=0,1,0)))</f>
        <v>430</v>
      </c>
      <c r="O375" s="7" t="n">
        <f aca="false">IF(((c_TMAP3IN)-(c_TMAP2IN))=0,(c_TMAP2OUT)+QUOTIENT(((c_TMAP3OUT)-(c_TMAP2OUT)),2),QUOTIENT((((K375)-(c_TMAP2IN))*((c_TMAP3OUT)-(c_TMAP2OUT))+IF(((c_TMAP3OUT)-(c_TMAP2OUT))&gt;=0,1,-1)*QUOTIENT(((c_TMAP3IN)-(c_TMAP2IN)),2)),((c_TMAP3IN)-(c_TMAP2IN)))+(c_TMAP2OUT)+IF(((c_TMAP3OUT)-(c_TMAP2OUT))&gt;=0,IF(IF(o_WRAP=1,MOD(((c_TMAP3IN)-(c_TMAP2IN))*(((K375)-(c_TMAP2IN))*((c_TMAP3OUT)-(c_TMAP2OUT))+IF(((c_TMAP3OUT)-(c_TMAP2OUT))&gt;=0,1,-1)*QUOTIENT(((c_TMAP3IN)-(c_TMAP2IN)),2))+2147483648,4294967296)-2147483648,((c_TMAP3IN)-(c_TMAP2IN))*(((K375)-(c_TMAP2IN))*((c_TMAP3OUT)-(c_TMAP2OUT))+IF(((c_TMAP3OUT)-(c_TMAP2OUT))&gt;=0,1,-1)*QUOTIENT(((c_TMAP3IN)-(c_TMAP2IN)),2)))&lt;0,-1,0),IF(IF(o_WRAP=1,MOD(((c_TMAP3IN)-(c_TMAP2IN))*(((K375)-(c_TMAP2IN))*((c_TMAP3OUT)-(c_TMAP2OUT))+IF(((c_TMAP3OUT)-(c_TMAP2OUT))&gt;=0,1,-1)*QUOTIENT(((c_TMAP3IN)-(c_TMAP2IN)),2))+2147483648,4294967296)-2147483648,((c_TMAP3IN)-(c_TMAP2IN))*(((K375)-(c_TMAP2IN))*((c_TMAP3OUT)-(c_TMAP2OUT))+IF(((c_TMAP3OUT)-(c_TMAP2OUT))&gt;=0,1,-1)*QUOTIENT(((c_TMAP3IN)-(c_TMAP2IN)),2)))&gt;=0,1,0)))</f>
        <v>655</v>
      </c>
      <c r="P375" s="7" t="n">
        <f aca="false">IF(((1000)-(c_TMAP3IN))=0,(c_TMAP3OUT)+QUOTIENT(((1000)-(c_TMAP3OUT)),2),QUOTIENT((((K375)-(c_TMAP3IN))*((1000)-(c_TMAP3OUT))+IF(((1000)-(c_TMAP3OUT))&gt;=0,1,-1)*QUOTIENT(((1000)-(c_TMAP3IN)),2)),((1000)-(c_TMAP3IN)))+(c_TMAP3OUT)+IF(((1000)-(c_TMAP3OUT))&gt;=0,IF(IF(o_WRAP=1,MOD(((1000)-(c_TMAP3IN))*(((K375)-(c_TMAP3IN))*((1000)-(c_TMAP3OUT))+IF(((1000)-(c_TMAP3OUT))&gt;=0,1,-1)*QUOTIENT(((1000)-(c_TMAP3IN)),2))+2147483648,4294967296)-2147483648,((1000)-(c_TMAP3IN))*(((K375)-(c_TMAP3IN))*((1000)-(c_TMAP3OUT))+IF(((1000)-(c_TMAP3OUT))&gt;=0,1,-1)*QUOTIENT(((1000)-(c_TMAP3IN)),2)))&lt;0,-1,0),IF(IF(o_WRAP=1,MOD(((1000)-(c_TMAP3IN))*(((K375)-(c_TMAP3IN))*((1000)-(c_TMAP3OUT))+IF(((1000)-(c_TMAP3OUT))&gt;=0,1,-1)*QUOTIENT(((1000)-(c_TMAP3IN)),2))+2147483648,4294967296)-2147483648,((1000)-(c_TMAP3IN))*(((K375)-(c_TMAP3IN))*((1000)-(c_TMAP3OUT))+IF(((1000)-(c_TMAP3OUT))&gt;=0,1,-1)*QUOTIENT(((1000)-(c_TMAP3IN)),2)))&gt;=0,1,0)))</f>
        <v>1000</v>
      </c>
      <c r="Q375" s="7" t="str">
        <f aca="false">IF(K375&gt;=c_TFWD,IF(AND(K375&gt;=c_TMAP3IN,c_TMAP3IN&lt;1000),"Seg4 map3-100%",IF(AND(K375&gt;=c_TMAP2IN,c_TMAP3IN&gt;c_TMAP2IN),"Seg3 map2-map3",IF(AND(K375&gt;=c_TMAP1IN,c_TMAP2IN&gt;c_TMAP1IN),"Seg2 map1-map2","Seg1 TFWD-map1"))),IF(AND(K375=0,c_TCREEP&gt;0),"Creep",IF(AND(K375&lt;=c_TRNGMIN,K375&gt;=c_TRNGMAX,c_TRNGMIN-c_TRNGMAX&lt;&gt;0),"Regen ramp","Coast (0)")))</f>
        <v>Seg4 map3-100%</v>
      </c>
      <c r="R375" s="7" t="n">
        <f aca="false">IF(K375&gt;=c_TFWD,IF(AND(K375&gt;=c_TMAP3IN,c_TMAP3IN&lt;1000),P375,IF(AND(K375&gt;=c_TMAP2IN,c_TMAP3IN&gt;c_TMAP2IN),O375,IF(AND(K375&gt;=c_TMAP1IN,c_TMAP2IN&gt;c_TMAP1IN),N375,M375))),L375)</f>
        <v>1000</v>
      </c>
      <c r="S375" s="7" t="str">
        <f aca="false">IF(R375&lt;-1090,"TOO LOW",IF(R375&gt;1090,"TOO HIGH",""))</f>
        <v/>
      </c>
      <c r="T375" s="15" t="n">
        <f aca="false">IF(H375&lt;&gt;"OK",0,IF(S375&lt;&gt;"",0,IF(R375&gt;979,1000,R375)))</f>
        <v>1000</v>
      </c>
      <c r="U375" s="7" t="n">
        <f aca="false">T375/10</f>
        <v>100</v>
      </c>
    </row>
    <row r="376" customFormat="false" ht="15" hidden="false" customHeight="false" outlineLevel="0" collapsed="false">
      <c r="A376" s="7" t="n">
        <v>371</v>
      </c>
      <c r="B376" s="7" t="n">
        <f aca="false">ROUND(o_SWSTART+A376*(o_SWEND-o_SWSTART)/400,0)</f>
        <v>3798</v>
      </c>
      <c r="C376" s="7" t="n">
        <f aca="false">QUOTIENT((B376-c_OFF1)*c_GAIN1,1024)</f>
        <v>3798</v>
      </c>
      <c r="D376" s="7" t="n">
        <f aca="false">IF(((c_T1MX)-(c_T1MN))=0,(0)+QUOTIENT(((1000)-(0)),2),QUOTIENT((((C376)-(c_T1MN))*((1000)-(0))+IF(((1000)-(0))&gt;=0,1,-1)*QUOTIENT(((c_T1MX)-(c_T1MN)),2)),((c_T1MX)-(c_T1MN)))+(0)+IF(((1000)-(0))&gt;=0,IF(IF(o_WRAP=1,MOD(((c_T1MX)-(c_T1MN))*(((C376)-(c_T1MN))*((1000)-(0))+IF(((1000)-(0))&gt;=0,1,-1)*QUOTIENT(((c_T1MX)-(c_T1MN)),2))+2147483648,4294967296)-2147483648,((c_T1MX)-(c_T1MN))*(((C376)-(c_T1MN))*((1000)-(0))+IF(((1000)-(0))&gt;=0,1,-1)*QUOTIENT(((c_T1MX)-(c_T1MN)),2)))&lt;0,-1,0),IF(IF(o_WRAP=1,MOD(((c_T1MX)-(c_T1MN))*(((C376)-(c_T1MN))*((1000)-(0))+IF(((1000)-(0))&gt;=0,1,-1)*QUOTIENT(((c_T1MX)-(c_T1MN)),2))+2147483648,4294967296)-2147483648,((c_T1MX)-(c_T1MN))*(((C376)-(c_T1MN))*((1000)-(0))+IF(((1000)-(0))&gt;=0,1,-1)*QUOTIENT(((c_T1MX)-(c_T1MN)),2)))&gt;=0,1,0)))</f>
        <v>1115</v>
      </c>
      <c r="E376" s="7" t="n">
        <f aca="false">IF(AND(c_TPOT=1,c_TTYPE=2),1000-D376,D376)</f>
        <v>1115</v>
      </c>
      <c r="F376" s="7" t="str">
        <f aca="false">IF(c_TPOT&gt;1,ROUND(IF(c_TTYPE=2,c_T2MX-IF(c_T1MX=c_T1MN,0,(C376-c_T1MN)/(c_T1MX-c_T1MN))*(c_T2MX-c_T2MN),c_T2MN+IF(c_T1MX=c_T1MN,0,(C376-c_T1MN)/(c_T1MX-c_T1MN))*(c_T2MX-c_T2MN))+o_MISMATCH,0),"")</f>
        <v/>
      </c>
      <c r="G376" s="7" t="str">
        <f aca="false">IF(c_TPOT&gt;1,IF(((c_T2MX)-(c_T2MN))=0,(0)+QUOTIENT(((1000)-(0)),2),QUOTIENT((((F376)-(c_T2MN))*((1000)-(0))+IF(((1000)-(0))&gt;=0,1,-1)*QUOTIENT(((c_T2MX)-(c_T2MN)),2)),((c_T2MX)-(c_T2MN)))+(0)+IF(((1000)-(0))&gt;=0,IF(IF(o_WRAP=1,MOD(((c_T2MX)-(c_T2MN))*(((F376)-(c_T2MN))*((1000)-(0))+IF(((1000)-(0))&gt;=0,1,-1)*QUOTIENT(((c_T2MX)-(c_T2MN)),2))+2147483648,4294967296)-2147483648,((c_T2MX)-(c_T2MN))*(((F376)-(c_T2MN))*((1000)-(0))+IF(((1000)-(0))&gt;=0,1,-1)*QUOTIENT(((c_T2MX)-(c_T2MN)),2)))&lt;0,-1,0),IF(IF(o_WRAP=1,MOD(((c_T2MX)-(c_T2MN))*(((F376)-(c_T2MN))*((1000)-(0))+IF(((1000)-(0))&gt;=0,1,-1)*QUOTIENT(((c_T2MX)-(c_T2MN)),2))+2147483648,4294967296)-2147483648,((c_T2MX)-(c_T2MN))*(((F376)-(c_T2MN))*((1000)-(0))+IF(((1000)-(0))&gt;=0,1,-1)*QUOTIENT(((c_T2MX)-(c_T2MN)),2)))&gt;=0,1,0))),"")</f>
        <v/>
      </c>
      <c r="H376" s="7" t="str">
        <f aca="false">IF(E376&gt;1000+k_TOL,"T1 HIGH",IF(E376&lt;0-k_TOL,"T1 LOW",IF(c_TPOT&gt;1,IF(G376&gt;1000+k_TOL,"T2 HIGH",IF(G376&lt;0-k_TOL,"T2 LOW",IF(c_TTYPE=2,IF(ABS(1000-MAX(0,MIN(1000,E376))-MAX(0,MIN(1000,G376)))&gt;k_MAXERR,"MISMATCH","OK"),IF(OR(MAX(0,MIN(1000,E376))-k_MAXERR&gt;MAX(0,MIN(1000,G376)),MAX(0,MIN(1000,G376))-k_MAXERR&gt;MAX(0,MIN(1000,E376))),"MISMATCH","OK")))),"OK")))</f>
        <v>OK</v>
      </c>
      <c r="I376" s="7" t="n">
        <f aca="false">MAX(0,MIN(1000,D376))</f>
        <v>1000</v>
      </c>
      <c r="J376" s="7" t="str">
        <f aca="false">IF(c_TPOT&gt;1,IF(c_TTYPE=2,1000-MAX(0,MIN(1000,G376)),MAX(0,MIN(1000,G376))),"")</f>
        <v/>
      </c>
      <c r="K376" s="7" t="n">
        <f aca="false">IF(c_TPOT&gt;1,QUOTIENT(I376+J376,2),I376)</f>
        <v>1000</v>
      </c>
      <c r="L376" s="7" t="n">
        <f aca="false">IF(AND(K376=0,c_TCREEP&gt;0),10*c_TCREEP,IF(AND(K376&lt;=c_TRNGMIN,K376&gt;=c_TRNGMAX,c_TRNGMIN-c_TRNGMAX&lt;&gt;0),-10*c_TMINRN+QUOTIENT((c_TMAXRN-c_TMINRN)*(100-QUOTIENT((K376-c_TRNGMAX)*100,c_TRNGMIN-c_TRNGMAX)),-10),0))</f>
        <v>0</v>
      </c>
      <c r="M376" s="7" t="n">
        <f aca="false">IF(((c_TMAP1IN)-(c_TFWD))=0,(0)+QUOTIENT(((c_TMAP1OUT)-(0)),2),QUOTIENT((((K376)-(c_TFWD))*((c_TMAP1OUT)-(0))+IF(((c_TMAP1OUT)-(0))&gt;=0,1,-1)*QUOTIENT(((c_TMAP1IN)-(c_TFWD)),2)),((c_TMAP1IN)-(c_TFWD)))+(0)+IF(((c_TMAP1OUT)-(0))&gt;=0,IF(IF(o_WRAP=1,MOD(((c_TMAP1IN)-(c_TFWD))*(((K376)-(c_TFWD))*((c_TMAP1OUT)-(0))+IF(((c_TMAP1OUT)-(0))&gt;=0,1,-1)*QUOTIENT(((c_TMAP1IN)-(c_TFWD)),2))+2147483648,4294967296)-2147483648,((c_TMAP1IN)-(c_TFWD))*(((K376)-(c_TFWD))*((c_TMAP1OUT)-(0))+IF(((c_TMAP1OUT)-(0))&gt;=0,1,-1)*QUOTIENT(((c_TMAP1IN)-(c_TFWD)),2)))&lt;0,-1,0),IF(IF(o_WRAP=1,MOD(((c_TMAP1IN)-(c_TFWD))*(((K376)-(c_TFWD))*((c_TMAP1OUT)-(0))+IF(((c_TMAP1OUT)-(0))&gt;=0,1,-1)*QUOTIENT(((c_TMAP1IN)-(c_TFWD)),2))+2147483648,4294967296)-2147483648,((c_TMAP1IN)-(c_TFWD))*(((K376)-(c_TFWD))*((c_TMAP1OUT)-(0))+IF(((c_TMAP1OUT)-(0))&gt;=0,1,-1)*QUOTIENT(((c_TMAP1IN)-(c_TFWD)),2)))&gt;=0,1,0)))</f>
        <v>770</v>
      </c>
      <c r="N376" s="7" t="n">
        <f aca="false">IF(((c_TMAP2IN)-(c_TMAP1IN))=0,(c_TMAP1OUT)+QUOTIENT(((c_TMAP2OUT)-(c_TMAP1OUT)),2),QUOTIENT((((K376)-(c_TMAP1IN))*((c_TMAP2OUT)-(c_TMAP1OUT))+IF(((c_TMAP2OUT)-(c_TMAP1OUT))&gt;=0,1,-1)*QUOTIENT(((c_TMAP2IN)-(c_TMAP1IN)),2)),((c_TMAP2IN)-(c_TMAP1IN)))+(c_TMAP1OUT)+IF(((c_TMAP2OUT)-(c_TMAP1OUT))&gt;=0,IF(IF(o_WRAP=1,MOD(((c_TMAP2IN)-(c_TMAP1IN))*(((K376)-(c_TMAP1IN))*((c_TMAP2OUT)-(c_TMAP1OUT))+IF(((c_TMAP2OUT)-(c_TMAP1OUT))&gt;=0,1,-1)*QUOTIENT(((c_TMAP2IN)-(c_TMAP1IN)),2))+2147483648,4294967296)-2147483648,((c_TMAP2IN)-(c_TMAP1IN))*(((K376)-(c_TMAP1IN))*((c_TMAP2OUT)-(c_TMAP1OUT))+IF(((c_TMAP2OUT)-(c_TMAP1OUT))&gt;=0,1,-1)*QUOTIENT(((c_TMAP2IN)-(c_TMAP1IN)),2)))&lt;0,-1,0),IF(IF(o_WRAP=1,MOD(((c_TMAP2IN)-(c_TMAP1IN))*(((K376)-(c_TMAP1IN))*((c_TMAP2OUT)-(c_TMAP1OUT))+IF(((c_TMAP2OUT)-(c_TMAP1OUT))&gt;=0,1,-1)*QUOTIENT(((c_TMAP2IN)-(c_TMAP1IN)),2))+2147483648,4294967296)-2147483648,((c_TMAP2IN)-(c_TMAP1IN))*(((K376)-(c_TMAP1IN))*((c_TMAP2OUT)-(c_TMAP1OUT))+IF(((c_TMAP2OUT)-(c_TMAP1OUT))&gt;=0,1,-1)*QUOTIENT(((c_TMAP2IN)-(c_TMAP1IN)),2)))&gt;=0,1,0)))</f>
        <v>430</v>
      </c>
      <c r="O376" s="7" t="n">
        <f aca="false">IF(((c_TMAP3IN)-(c_TMAP2IN))=0,(c_TMAP2OUT)+QUOTIENT(((c_TMAP3OUT)-(c_TMAP2OUT)),2),QUOTIENT((((K376)-(c_TMAP2IN))*((c_TMAP3OUT)-(c_TMAP2OUT))+IF(((c_TMAP3OUT)-(c_TMAP2OUT))&gt;=0,1,-1)*QUOTIENT(((c_TMAP3IN)-(c_TMAP2IN)),2)),((c_TMAP3IN)-(c_TMAP2IN)))+(c_TMAP2OUT)+IF(((c_TMAP3OUT)-(c_TMAP2OUT))&gt;=0,IF(IF(o_WRAP=1,MOD(((c_TMAP3IN)-(c_TMAP2IN))*(((K376)-(c_TMAP2IN))*((c_TMAP3OUT)-(c_TMAP2OUT))+IF(((c_TMAP3OUT)-(c_TMAP2OUT))&gt;=0,1,-1)*QUOTIENT(((c_TMAP3IN)-(c_TMAP2IN)),2))+2147483648,4294967296)-2147483648,((c_TMAP3IN)-(c_TMAP2IN))*(((K376)-(c_TMAP2IN))*((c_TMAP3OUT)-(c_TMAP2OUT))+IF(((c_TMAP3OUT)-(c_TMAP2OUT))&gt;=0,1,-1)*QUOTIENT(((c_TMAP3IN)-(c_TMAP2IN)),2)))&lt;0,-1,0),IF(IF(o_WRAP=1,MOD(((c_TMAP3IN)-(c_TMAP2IN))*(((K376)-(c_TMAP2IN))*((c_TMAP3OUT)-(c_TMAP2OUT))+IF(((c_TMAP3OUT)-(c_TMAP2OUT))&gt;=0,1,-1)*QUOTIENT(((c_TMAP3IN)-(c_TMAP2IN)),2))+2147483648,4294967296)-2147483648,((c_TMAP3IN)-(c_TMAP2IN))*(((K376)-(c_TMAP2IN))*((c_TMAP3OUT)-(c_TMAP2OUT))+IF(((c_TMAP3OUT)-(c_TMAP2OUT))&gt;=0,1,-1)*QUOTIENT(((c_TMAP3IN)-(c_TMAP2IN)),2)))&gt;=0,1,0)))</f>
        <v>655</v>
      </c>
      <c r="P376" s="7" t="n">
        <f aca="false">IF(((1000)-(c_TMAP3IN))=0,(c_TMAP3OUT)+QUOTIENT(((1000)-(c_TMAP3OUT)),2),QUOTIENT((((K376)-(c_TMAP3IN))*((1000)-(c_TMAP3OUT))+IF(((1000)-(c_TMAP3OUT))&gt;=0,1,-1)*QUOTIENT(((1000)-(c_TMAP3IN)),2)),((1000)-(c_TMAP3IN)))+(c_TMAP3OUT)+IF(((1000)-(c_TMAP3OUT))&gt;=0,IF(IF(o_WRAP=1,MOD(((1000)-(c_TMAP3IN))*(((K376)-(c_TMAP3IN))*((1000)-(c_TMAP3OUT))+IF(((1000)-(c_TMAP3OUT))&gt;=0,1,-1)*QUOTIENT(((1000)-(c_TMAP3IN)),2))+2147483648,4294967296)-2147483648,((1000)-(c_TMAP3IN))*(((K376)-(c_TMAP3IN))*((1000)-(c_TMAP3OUT))+IF(((1000)-(c_TMAP3OUT))&gt;=0,1,-1)*QUOTIENT(((1000)-(c_TMAP3IN)),2)))&lt;0,-1,0),IF(IF(o_WRAP=1,MOD(((1000)-(c_TMAP3IN))*(((K376)-(c_TMAP3IN))*((1000)-(c_TMAP3OUT))+IF(((1000)-(c_TMAP3OUT))&gt;=0,1,-1)*QUOTIENT(((1000)-(c_TMAP3IN)),2))+2147483648,4294967296)-2147483648,((1000)-(c_TMAP3IN))*(((K376)-(c_TMAP3IN))*((1000)-(c_TMAP3OUT))+IF(((1000)-(c_TMAP3OUT))&gt;=0,1,-1)*QUOTIENT(((1000)-(c_TMAP3IN)),2)))&gt;=0,1,0)))</f>
        <v>1000</v>
      </c>
      <c r="Q376" s="7" t="str">
        <f aca="false">IF(K376&gt;=c_TFWD,IF(AND(K376&gt;=c_TMAP3IN,c_TMAP3IN&lt;1000),"Seg4 map3-100%",IF(AND(K376&gt;=c_TMAP2IN,c_TMAP3IN&gt;c_TMAP2IN),"Seg3 map2-map3",IF(AND(K376&gt;=c_TMAP1IN,c_TMAP2IN&gt;c_TMAP1IN),"Seg2 map1-map2","Seg1 TFWD-map1"))),IF(AND(K376=0,c_TCREEP&gt;0),"Creep",IF(AND(K376&lt;=c_TRNGMIN,K376&gt;=c_TRNGMAX,c_TRNGMIN-c_TRNGMAX&lt;&gt;0),"Regen ramp","Coast (0)")))</f>
        <v>Seg4 map3-100%</v>
      </c>
      <c r="R376" s="7" t="n">
        <f aca="false">IF(K376&gt;=c_TFWD,IF(AND(K376&gt;=c_TMAP3IN,c_TMAP3IN&lt;1000),P376,IF(AND(K376&gt;=c_TMAP2IN,c_TMAP3IN&gt;c_TMAP2IN),O376,IF(AND(K376&gt;=c_TMAP1IN,c_TMAP2IN&gt;c_TMAP1IN),N376,M376))),L376)</f>
        <v>1000</v>
      </c>
      <c r="S376" s="7" t="str">
        <f aca="false">IF(R376&lt;-1090,"TOO LOW",IF(R376&gt;1090,"TOO HIGH",""))</f>
        <v/>
      </c>
      <c r="T376" s="15" t="n">
        <f aca="false">IF(H376&lt;&gt;"OK",0,IF(S376&lt;&gt;"",0,IF(R376&gt;979,1000,R376)))</f>
        <v>1000</v>
      </c>
      <c r="U376" s="7" t="n">
        <f aca="false">T376/10</f>
        <v>100</v>
      </c>
    </row>
    <row r="377" customFormat="false" ht="15" hidden="false" customHeight="false" outlineLevel="0" collapsed="false">
      <c r="A377" s="7" t="n">
        <v>372</v>
      </c>
      <c r="B377" s="7" t="n">
        <f aca="false">ROUND(o_SWSTART+A377*(o_SWEND-o_SWSTART)/400,0)</f>
        <v>3808</v>
      </c>
      <c r="C377" s="7" t="n">
        <f aca="false">QUOTIENT((B377-c_OFF1)*c_GAIN1,1024)</f>
        <v>3808</v>
      </c>
      <c r="D377" s="7" t="n">
        <f aca="false">IF(((c_T1MX)-(c_T1MN))=0,(0)+QUOTIENT(((1000)-(0)),2),QUOTIENT((((C377)-(c_T1MN))*((1000)-(0))+IF(((1000)-(0))&gt;=0,1,-1)*QUOTIENT(((c_T1MX)-(c_T1MN)),2)),((c_T1MX)-(c_T1MN)))+(0)+IF(((1000)-(0))&gt;=0,IF(IF(o_WRAP=1,MOD(((c_T1MX)-(c_T1MN))*(((C377)-(c_T1MN))*((1000)-(0))+IF(((1000)-(0))&gt;=0,1,-1)*QUOTIENT(((c_T1MX)-(c_T1MN)),2))+2147483648,4294967296)-2147483648,((c_T1MX)-(c_T1MN))*(((C377)-(c_T1MN))*((1000)-(0))+IF(((1000)-(0))&gt;=0,1,-1)*QUOTIENT(((c_T1MX)-(c_T1MN)),2)))&lt;0,-1,0),IF(IF(o_WRAP=1,MOD(((c_T1MX)-(c_T1MN))*(((C377)-(c_T1MN))*((1000)-(0))+IF(((1000)-(0))&gt;=0,1,-1)*QUOTIENT(((c_T1MX)-(c_T1MN)),2))+2147483648,4294967296)-2147483648,((c_T1MX)-(c_T1MN))*(((C377)-(c_T1MN))*((1000)-(0))+IF(((1000)-(0))&gt;=0,1,-1)*QUOTIENT(((c_T1MX)-(c_T1MN)),2)))&gt;=0,1,0)))</f>
        <v>1118</v>
      </c>
      <c r="E377" s="7" t="n">
        <f aca="false">IF(AND(c_TPOT=1,c_TTYPE=2),1000-D377,D377)</f>
        <v>1118</v>
      </c>
      <c r="F377" s="7" t="str">
        <f aca="false">IF(c_TPOT&gt;1,ROUND(IF(c_TTYPE=2,c_T2MX-IF(c_T1MX=c_T1MN,0,(C377-c_T1MN)/(c_T1MX-c_T1MN))*(c_T2MX-c_T2MN),c_T2MN+IF(c_T1MX=c_T1MN,0,(C377-c_T1MN)/(c_T1MX-c_T1MN))*(c_T2MX-c_T2MN))+o_MISMATCH,0),"")</f>
        <v/>
      </c>
      <c r="G377" s="7" t="str">
        <f aca="false">IF(c_TPOT&gt;1,IF(((c_T2MX)-(c_T2MN))=0,(0)+QUOTIENT(((1000)-(0)),2),QUOTIENT((((F377)-(c_T2MN))*((1000)-(0))+IF(((1000)-(0))&gt;=0,1,-1)*QUOTIENT(((c_T2MX)-(c_T2MN)),2)),((c_T2MX)-(c_T2MN)))+(0)+IF(((1000)-(0))&gt;=0,IF(IF(o_WRAP=1,MOD(((c_T2MX)-(c_T2MN))*(((F377)-(c_T2MN))*((1000)-(0))+IF(((1000)-(0))&gt;=0,1,-1)*QUOTIENT(((c_T2MX)-(c_T2MN)),2))+2147483648,4294967296)-2147483648,((c_T2MX)-(c_T2MN))*(((F377)-(c_T2MN))*((1000)-(0))+IF(((1000)-(0))&gt;=0,1,-1)*QUOTIENT(((c_T2MX)-(c_T2MN)),2)))&lt;0,-1,0),IF(IF(o_WRAP=1,MOD(((c_T2MX)-(c_T2MN))*(((F377)-(c_T2MN))*((1000)-(0))+IF(((1000)-(0))&gt;=0,1,-1)*QUOTIENT(((c_T2MX)-(c_T2MN)),2))+2147483648,4294967296)-2147483648,((c_T2MX)-(c_T2MN))*(((F377)-(c_T2MN))*((1000)-(0))+IF(((1000)-(0))&gt;=0,1,-1)*QUOTIENT(((c_T2MX)-(c_T2MN)),2)))&gt;=0,1,0))),"")</f>
        <v/>
      </c>
      <c r="H377" s="7" t="str">
        <f aca="false">IF(E377&gt;1000+k_TOL,"T1 HIGH",IF(E377&lt;0-k_TOL,"T1 LOW",IF(c_TPOT&gt;1,IF(G377&gt;1000+k_TOL,"T2 HIGH",IF(G377&lt;0-k_TOL,"T2 LOW",IF(c_TTYPE=2,IF(ABS(1000-MAX(0,MIN(1000,E377))-MAX(0,MIN(1000,G377)))&gt;k_MAXERR,"MISMATCH","OK"),IF(OR(MAX(0,MIN(1000,E377))-k_MAXERR&gt;MAX(0,MIN(1000,G377)),MAX(0,MIN(1000,G377))-k_MAXERR&gt;MAX(0,MIN(1000,E377))),"MISMATCH","OK")))),"OK")))</f>
        <v>OK</v>
      </c>
      <c r="I377" s="7" t="n">
        <f aca="false">MAX(0,MIN(1000,D377))</f>
        <v>1000</v>
      </c>
      <c r="J377" s="7" t="str">
        <f aca="false">IF(c_TPOT&gt;1,IF(c_TTYPE=2,1000-MAX(0,MIN(1000,G377)),MAX(0,MIN(1000,G377))),"")</f>
        <v/>
      </c>
      <c r="K377" s="7" t="n">
        <f aca="false">IF(c_TPOT&gt;1,QUOTIENT(I377+J377,2),I377)</f>
        <v>1000</v>
      </c>
      <c r="L377" s="7" t="n">
        <f aca="false">IF(AND(K377=0,c_TCREEP&gt;0),10*c_TCREEP,IF(AND(K377&lt;=c_TRNGMIN,K377&gt;=c_TRNGMAX,c_TRNGMIN-c_TRNGMAX&lt;&gt;0),-10*c_TMINRN+QUOTIENT((c_TMAXRN-c_TMINRN)*(100-QUOTIENT((K377-c_TRNGMAX)*100,c_TRNGMIN-c_TRNGMAX)),-10),0))</f>
        <v>0</v>
      </c>
      <c r="M377" s="7" t="n">
        <f aca="false">IF(((c_TMAP1IN)-(c_TFWD))=0,(0)+QUOTIENT(((c_TMAP1OUT)-(0)),2),QUOTIENT((((K377)-(c_TFWD))*((c_TMAP1OUT)-(0))+IF(((c_TMAP1OUT)-(0))&gt;=0,1,-1)*QUOTIENT(((c_TMAP1IN)-(c_TFWD)),2)),((c_TMAP1IN)-(c_TFWD)))+(0)+IF(((c_TMAP1OUT)-(0))&gt;=0,IF(IF(o_WRAP=1,MOD(((c_TMAP1IN)-(c_TFWD))*(((K377)-(c_TFWD))*((c_TMAP1OUT)-(0))+IF(((c_TMAP1OUT)-(0))&gt;=0,1,-1)*QUOTIENT(((c_TMAP1IN)-(c_TFWD)),2))+2147483648,4294967296)-2147483648,((c_TMAP1IN)-(c_TFWD))*(((K377)-(c_TFWD))*((c_TMAP1OUT)-(0))+IF(((c_TMAP1OUT)-(0))&gt;=0,1,-1)*QUOTIENT(((c_TMAP1IN)-(c_TFWD)),2)))&lt;0,-1,0),IF(IF(o_WRAP=1,MOD(((c_TMAP1IN)-(c_TFWD))*(((K377)-(c_TFWD))*((c_TMAP1OUT)-(0))+IF(((c_TMAP1OUT)-(0))&gt;=0,1,-1)*QUOTIENT(((c_TMAP1IN)-(c_TFWD)),2))+2147483648,4294967296)-2147483648,((c_TMAP1IN)-(c_TFWD))*(((K377)-(c_TFWD))*((c_TMAP1OUT)-(0))+IF(((c_TMAP1OUT)-(0))&gt;=0,1,-1)*QUOTIENT(((c_TMAP1IN)-(c_TFWD)),2)))&gt;=0,1,0)))</f>
        <v>770</v>
      </c>
      <c r="N377" s="7" t="n">
        <f aca="false">IF(((c_TMAP2IN)-(c_TMAP1IN))=0,(c_TMAP1OUT)+QUOTIENT(((c_TMAP2OUT)-(c_TMAP1OUT)),2),QUOTIENT((((K377)-(c_TMAP1IN))*((c_TMAP2OUT)-(c_TMAP1OUT))+IF(((c_TMAP2OUT)-(c_TMAP1OUT))&gt;=0,1,-1)*QUOTIENT(((c_TMAP2IN)-(c_TMAP1IN)),2)),((c_TMAP2IN)-(c_TMAP1IN)))+(c_TMAP1OUT)+IF(((c_TMAP2OUT)-(c_TMAP1OUT))&gt;=0,IF(IF(o_WRAP=1,MOD(((c_TMAP2IN)-(c_TMAP1IN))*(((K377)-(c_TMAP1IN))*((c_TMAP2OUT)-(c_TMAP1OUT))+IF(((c_TMAP2OUT)-(c_TMAP1OUT))&gt;=0,1,-1)*QUOTIENT(((c_TMAP2IN)-(c_TMAP1IN)),2))+2147483648,4294967296)-2147483648,((c_TMAP2IN)-(c_TMAP1IN))*(((K377)-(c_TMAP1IN))*((c_TMAP2OUT)-(c_TMAP1OUT))+IF(((c_TMAP2OUT)-(c_TMAP1OUT))&gt;=0,1,-1)*QUOTIENT(((c_TMAP2IN)-(c_TMAP1IN)),2)))&lt;0,-1,0),IF(IF(o_WRAP=1,MOD(((c_TMAP2IN)-(c_TMAP1IN))*(((K377)-(c_TMAP1IN))*((c_TMAP2OUT)-(c_TMAP1OUT))+IF(((c_TMAP2OUT)-(c_TMAP1OUT))&gt;=0,1,-1)*QUOTIENT(((c_TMAP2IN)-(c_TMAP1IN)),2))+2147483648,4294967296)-2147483648,((c_TMAP2IN)-(c_TMAP1IN))*(((K377)-(c_TMAP1IN))*((c_TMAP2OUT)-(c_TMAP1OUT))+IF(((c_TMAP2OUT)-(c_TMAP1OUT))&gt;=0,1,-1)*QUOTIENT(((c_TMAP2IN)-(c_TMAP1IN)),2)))&gt;=0,1,0)))</f>
        <v>430</v>
      </c>
      <c r="O377" s="7" t="n">
        <f aca="false">IF(((c_TMAP3IN)-(c_TMAP2IN))=0,(c_TMAP2OUT)+QUOTIENT(((c_TMAP3OUT)-(c_TMAP2OUT)),2),QUOTIENT((((K377)-(c_TMAP2IN))*((c_TMAP3OUT)-(c_TMAP2OUT))+IF(((c_TMAP3OUT)-(c_TMAP2OUT))&gt;=0,1,-1)*QUOTIENT(((c_TMAP3IN)-(c_TMAP2IN)),2)),((c_TMAP3IN)-(c_TMAP2IN)))+(c_TMAP2OUT)+IF(((c_TMAP3OUT)-(c_TMAP2OUT))&gt;=0,IF(IF(o_WRAP=1,MOD(((c_TMAP3IN)-(c_TMAP2IN))*(((K377)-(c_TMAP2IN))*((c_TMAP3OUT)-(c_TMAP2OUT))+IF(((c_TMAP3OUT)-(c_TMAP2OUT))&gt;=0,1,-1)*QUOTIENT(((c_TMAP3IN)-(c_TMAP2IN)),2))+2147483648,4294967296)-2147483648,((c_TMAP3IN)-(c_TMAP2IN))*(((K377)-(c_TMAP2IN))*((c_TMAP3OUT)-(c_TMAP2OUT))+IF(((c_TMAP3OUT)-(c_TMAP2OUT))&gt;=0,1,-1)*QUOTIENT(((c_TMAP3IN)-(c_TMAP2IN)),2)))&lt;0,-1,0),IF(IF(o_WRAP=1,MOD(((c_TMAP3IN)-(c_TMAP2IN))*(((K377)-(c_TMAP2IN))*((c_TMAP3OUT)-(c_TMAP2OUT))+IF(((c_TMAP3OUT)-(c_TMAP2OUT))&gt;=0,1,-1)*QUOTIENT(((c_TMAP3IN)-(c_TMAP2IN)),2))+2147483648,4294967296)-2147483648,((c_TMAP3IN)-(c_TMAP2IN))*(((K377)-(c_TMAP2IN))*((c_TMAP3OUT)-(c_TMAP2OUT))+IF(((c_TMAP3OUT)-(c_TMAP2OUT))&gt;=0,1,-1)*QUOTIENT(((c_TMAP3IN)-(c_TMAP2IN)),2)))&gt;=0,1,0)))</f>
        <v>655</v>
      </c>
      <c r="P377" s="7" t="n">
        <f aca="false">IF(((1000)-(c_TMAP3IN))=0,(c_TMAP3OUT)+QUOTIENT(((1000)-(c_TMAP3OUT)),2),QUOTIENT((((K377)-(c_TMAP3IN))*((1000)-(c_TMAP3OUT))+IF(((1000)-(c_TMAP3OUT))&gt;=0,1,-1)*QUOTIENT(((1000)-(c_TMAP3IN)),2)),((1000)-(c_TMAP3IN)))+(c_TMAP3OUT)+IF(((1000)-(c_TMAP3OUT))&gt;=0,IF(IF(o_WRAP=1,MOD(((1000)-(c_TMAP3IN))*(((K377)-(c_TMAP3IN))*((1000)-(c_TMAP3OUT))+IF(((1000)-(c_TMAP3OUT))&gt;=0,1,-1)*QUOTIENT(((1000)-(c_TMAP3IN)),2))+2147483648,4294967296)-2147483648,((1000)-(c_TMAP3IN))*(((K377)-(c_TMAP3IN))*((1000)-(c_TMAP3OUT))+IF(((1000)-(c_TMAP3OUT))&gt;=0,1,-1)*QUOTIENT(((1000)-(c_TMAP3IN)),2)))&lt;0,-1,0),IF(IF(o_WRAP=1,MOD(((1000)-(c_TMAP3IN))*(((K377)-(c_TMAP3IN))*((1000)-(c_TMAP3OUT))+IF(((1000)-(c_TMAP3OUT))&gt;=0,1,-1)*QUOTIENT(((1000)-(c_TMAP3IN)),2))+2147483648,4294967296)-2147483648,((1000)-(c_TMAP3IN))*(((K377)-(c_TMAP3IN))*((1000)-(c_TMAP3OUT))+IF(((1000)-(c_TMAP3OUT))&gt;=0,1,-1)*QUOTIENT(((1000)-(c_TMAP3IN)),2)))&gt;=0,1,0)))</f>
        <v>1000</v>
      </c>
      <c r="Q377" s="7" t="str">
        <f aca="false">IF(K377&gt;=c_TFWD,IF(AND(K377&gt;=c_TMAP3IN,c_TMAP3IN&lt;1000),"Seg4 map3-100%",IF(AND(K377&gt;=c_TMAP2IN,c_TMAP3IN&gt;c_TMAP2IN),"Seg3 map2-map3",IF(AND(K377&gt;=c_TMAP1IN,c_TMAP2IN&gt;c_TMAP1IN),"Seg2 map1-map2","Seg1 TFWD-map1"))),IF(AND(K377=0,c_TCREEP&gt;0),"Creep",IF(AND(K377&lt;=c_TRNGMIN,K377&gt;=c_TRNGMAX,c_TRNGMIN-c_TRNGMAX&lt;&gt;0),"Regen ramp","Coast (0)")))</f>
        <v>Seg4 map3-100%</v>
      </c>
      <c r="R377" s="7" t="n">
        <f aca="false">IF(K377&gt;=c_TFWD,IF(AND(K377&gt;=c_TMAP3IN,c_TMAP3IN&lt;1000),P377,IF(AND(K377&gt;=c_TMAP2IN,c_TMAP3IN&gt;c_TMAP2IN),O377,IF(AND(K377&gt;=c_TMAP1IN,c_TMAP2IN&gt;c_TMAP1IN),N377,M377))),L377)</f>
        <v>1000</v>
      </c>
      <c r="S377" s="7" t="str">
        <f aca="false">IF(R377&lt;-1090,"TOO LOW",IF(R377&gt;1090,"TOO HIGH",""))</f>
        <v/>
      </c>
      <c r="T377" s="15" t="n">
        <f aca="false">IF(H377&lt;&gt;"OK",0,IF(S377&lt;&gt;"",0,IF(R377&gt;979,1000,R377)))</f>
        <v>1000</v>
      </c>
      <c r="U377" s="7" t="n">
        <f aca="false">T377/10</f>
        <v>100</v>
      </c>
    </row>
    <row r="378" customFormat="false" ht="15" hidden="false" customHeight="false" outlineLevel="0" collapsed="false">
      <c r="A378" s="7" t="n">
        <v>373</v>
      </c>
      <c r="B378" s="7" t="n">
        <f aca="false">ROUND(o_SWSTART+A378*(o_SWEND-o_SWSTART)/400,0)</f>
        <v>3819</v>
      </c>
      <c r="C378" s="7" t="n">
        <f aca="false">QUOTIENT((B378-c_OFF1)*c_GAIN1,1024)</f>
        <v>3819</v>
      </c>
      <c r="D378" s="7" t="n">
        <f aca="false">IF(((c_T1MX)-(c_T1MN))=0,(0)+QUOTIENT(((1000)-(0)),2),QUOTIENT((((C378)-(c_T1MN))*((1000)-(0))+IF(((1000)-(0))&gt;=0,1,-1)*QUOTIENT(((c_T1MX)-(c_T1MN)),2)),((c_T1MX)-(c_T1MN)))+(0)+IF(((1000)-(0))&gt;=0,IF(IF(o_WRAP=1,MOD(((c_T1MX)-(c_T1MN))*(((C378)-(c_T1MN))*((1000)-(0))+IF(((1000)-(0))&gt;=0,1,-1)*QUOTIENT(((c_T1MX)-(c_T1MN)),2))+2147483648,4294967296)-2147483648,((c_T1MX)-(c_T1MN))*(((C378)-(c_T1MN))*((1000)-(0))+IF(((1000)-(0))&gt;=0,1,-1)*QUOTIENT(((c_T1MX)-(c_T1MN)),2)))&lt;0,-1,0),IF(IF(o_WRAP=1,MOD(((c_T1MX)-(c_T1MN))*(((C378)-(c_T1MN))*((1000)-(0))+IF(((1000)-(0))&gt;=0,1,-1)*QUOTIENT(((c_T1MX)-(c_T1MN)),2))+2147483648,4294967296)-2147483648,((c_T1MX)-(c_T1MN))*(((C378)-(c_T1MN))*((1000)-(0))+IF(((1000)-(0))&gt;=0,1,-1)*QUOTIENT(((c_T1MX)-(c_T1MN)),2)))&gt;=0,1,0)))</f>
        <v>1122</v>
      </c>
      <c r="E378" s="7" t="n">
        <f aca="false">IF(AND(c_TPOT=1,c_TTYPE=2),1000-D378,D378)</f>
        <v>1122</v>
      </c>
      <c r="F378" s="7" t="str">
        <f aca="false">IF(c_TPOT&gt;1,ROUND(IF(c_TTYPE=2,c_T2MX-IF(c_T1MX=c_T1MN,0,(C378-c_T1MN)/(c_T1MX-c_T1MN))*(c_T2MX-c_T2MN),c_T2MN+IF(c_T1MX=c_T1MN,0,(C378-c_T1MN)/(c_T1MX-c_T1MN))*(c_T2MX-c_T2MN))+o_MISMATCH,0),"")</f>
        <v/>
      </c>
      <c r="G378" s="7" t="str">
        <f aca="false">IF(c_TPOT&gt;1,IF(((c_T2MX)-(c_T2MN))=0,(0)+QUOTIENT(((1000)-(0)),2),QUOTIENT((((F378)-(c_T2MN))*((1000)-(0))+IF(((1000)-(0))&gt;=0,1,-1)*QUOTIENT(((c_T2MX)-(c_T2MN)),2)),((c_T2MX)-(c_T2MN)))+(0)+IF(((1000)-(0))&gt;=0,IF(IF(o_WRAP=1,MOD(((c_T2MX)-(c_T2MN))*(((F378)-(c_T2MN))*((1000)-(0))+IF(((1000)-(0))&gt;=0,1,-1)*QUOTIENT(((c_T2MX)-(c_T2MN)),2))+2147483648,4294967296)-2147483648,((c_T2MX)-(c_T2MN))*(((F378)-(c_T2MN))*((1000)-(0))+IF(((1000)-(0))&gt;=0,1,-1)*QUOTIENT(((c_T2MX)-(c_T2MN)),2)))&lt;0,-1,0),IF(IF(o_WRAP=1,MOD(((c_T2MX)-(c_T2MN))*(((F378)-(c_T2MN))*((1000)-(0))+IF(((1000)-(0))&gt;=0,1,-1)*QUOTIENT(((c_T2MX)-(c_T2MN)),2))+2147483648,4294967296)-2147483648,((c_T2MX)-(c_T2MN))*(((F378)-(c_T2MN))*((1000)-(0))+IF(((1000)-(0))&gt;=0,1,-1)*QUOTIENT(((c_T2MX)-(c_T2MN)),2)))&gt;=0,1,0))),"")</f>
        <v/>
      </c>
      <c r="H378" s="7" t="str">
        <f aca="false">IF(E378&gt;1000+k_TOL,"T1 HIGH",IF(E378&lt;0-k_TOL,"T1 LOW",IF(c_TPOT&gt;1,IF(G378&gt;1000+k_TOL,"T2 HIGH",IF(G378&lt;0-k_TOL,"T2 LOW",IF(c_TTYPE=2,IF(ABS(1000-MAX(0,MIN(1000,E378))-MAX(0,MIN(1000,G378)))&gt;k_MAXERR,"MISMATCH","OK"),IF(OR(MAX(0,MIN(1000,E378))-k_MAXERR&gt;MAX(0,MIN(1000,G378)),MAX(0,MIN(1000,G378))-k_MAXERR&gt;MAX(0,MIN(1000,E378))),"MISMATCH","OK")))),"OK")))</f>
        <v>OK</v>
      </c>
      <c r="I378" s="7" t="n">
        <f aca="false">MAX(0,MIN(1000,D378))</f>
        <v>1000</v>
      </c>
      <c r="J378" s="7" t="str">
        <f aca="false">IF(c_TPOT&gt;1,IF(c_TTYPE=2,1000-MAX(0,MIN(1000,G378)),MAX(0,MIN(1000,G378))),"")</f>
        <v/>
      </c>
      <c r="K378" s="7" t="n">
        <f aca="false">IF(c_TPOT&gt;1,QUOTIENT(I378+J378,2),I378)</f>
        <v>1000</v>
      </c>
      <c r="L378" s="7" t="n">
        <f aca="false">IF(AND(K378=0,c_TCREEP&gt;0),10*c_TCREEP,IF(AND(K378&lt;=c_TRNGMIN,K378&gt;=c_TRNGMAX,c_TRNGMIN-c_TRNGMAX&lt;&gt;0),-10*c_TMINRN+QUOTIENT((c_TMAXRN-c_TMINRN)*(100-QUOTIENT((K378-c_TRNGMAX)*100,c_TRNGMIN-c_TRNGMAX)),-10),0))</f>
        <v>0</v>
      </c>
      <c r="M378" s="7" t="n">
        <f aca="false">IF(((c_TMAP1IN)-(c_TFWD))=0,(0)+QUOTIENT(((c_TMAP1OUT)-(0)),2),QUOTIENT((((K378)-(c_TFWD))*((c_TMAP1OUT)-(0))+IF(((c_TMAP1OUT)-(0))&gt;=0,1,-1)*QUOTIENT(((c_TMAP1IN)-(c_TFWD)),2)),((c_TMAP1IN)-(c_TFWD)))+(0)+IF(((c_TMAP1OUT)-(0))&gt;=0,IF(IF(o_WRAP=1,MOD(((c_TMAP1IN)-(c_TFWD))*(((K378)-(c_TFWD))*((c_TMAP1OUT)-(0))+IF(((c_TMAP1OUT)-(0))&gt;=0,1,-1)*QUOTIENT(((c_TMAP1IN)-(c_TFWD)),2))+2147483648,4294967296)-2147483648,((c_TMAP1IN)-(c_TFWD))*(((K378)-(c_TFWD))*((c_TMAP1OUT)-(0))+IF(((c_TMAP1OUT)-(0))&gt;=0,1,-1)*QUOTIENT(((c_TMAP1IN)-(c_TFWD)),2)))&lt;0,-1,0),IF(IF(o_WRAP=1,MOD(((c_TMAP1IN)-(c_TFWD))*(((K378)-(c_TFWD))*((c_TMAP1OUT)-(0))+IF(((c_TMAP1OUT)-(0))&gt;=0,1,-1)*QUOTIENT(((c_TMAP1IN)-(c_TFWD)),2))+2147483648,4294967296)-2147483648,((c_TMAP1IN)-(c_TFWD))*(((K378)-(c_TFWD))*((c_TMAP1OUT)-(0))+IF(((c_TMAP1OUT)-(0))&gt;=0,1,-1)*QUOTIENT(((c_TMAP1IN)-(c_TFWD)),2)))&gt;=0,1,0)))</f>
        <v>770</v>
      </c>
      <c r="N378" s="7" t="n">
        <f aca="false">IF(((c_TMAP2IN)-(c_TMAP1IN))=0,(c_TMAP1OUT)+QUOTIENT(((c_TMAP2OUT)-(c_TMAP1OUT)),2),QUOTIENT((((K378)-(c_TMAP1IN))*((c_TMAP2OUT)-(c_TMAP1OUT))+IF(((c_TMAP2OUT)-(c_TMAP1OUT))&gt;=0,1,-1)*QUOTIENT(((c_TMAP2IN)-(c_TMAP1IN)),2)),((c_TMAP2IN)-(c_TMAP1IN)))+(c_TMAP1OUT)+IF(((c_TMAP2OUT)-(c_TMAP1OUT))&gt;=0,IF(IF(o_WRAP=1,MOD(((c_TMAP2IN)-(c_TMAP1IN))*(((K378)-(c_TMAP1IN))*((c_TMAP2OUT)-(c_TMAP1OUT))+IF(((c_TMAP2OUT)-(c_TMAP1OUT))&gt;=0,1,-1)*QUOTIENT(((c_TMAP2IN)-(c_TMAP1IN)),2))+2147483648,4294967296)-2147483648,((c_TMAP2IN)-(c_TMAP1IN))*(((K378)-(c_TMAP1IN))*((c_TMAP2OUT)-(c_TMAP1OUT))+IF(((c_TMAP2OUT)-(c_TMAP1OUT))&gt;=0,1,-1)*QUOTIENT(((c_TMAP2IN)-(c_TMAP1IN)),2)))&lt;0,-1,0),IF(IF(o_WRAP=1,MOD(((c_TMAP2IN)-(c_TMAP1IN))*(((K378)-(c_TMAP1IN))*((c_TMAP2OUT)-(c_TMAP1OUT))+IF(((c_TMAP2OUT)-(c_TMAP1OUT))&gt;=0,1,-1)*QUOTIENT(((c_TMAP2IN)-(c_TMAP1IN)),2))+2147483648,4294967296)-2147483648,((c_TMAP2IN)-(c_TMAP1IN))*(((K378)-(c_TMAP1IN))*((c_TMAP2OUT)-(c_TMAP1OUT))+IF(((c_TMAP2OUT)-(c_TMAP1OUT))&gt;=0,1,-1)*QUOTIENT(((c_TMAP2IN)-(c_TMAP1IN)),2)))&gt;=0,1,0)))</f>
        <v>430</v>
      </c>
      <c r="O378" s="7" t="n">
        <f aca="false">IF(((c_TMAP3IN)-(c_TMAP2IN))=0,(c_TMAP2OUT)+QUOTIENT(((c_TMAP3OUT)-(c_TMAP2OUT)),2),QUOTIENT((((K378)-(c_TMAP2IN))*((c_TMAP3OUT)-(c_TMAP2OUT))+IF(((c_TMAP3OUT)-(c_TMAP2OUT))&gt;=0,1,-1)*QUOTIENT(((c_TMAP3IN)-(c_TMAP2IN)),2)),((c_TMAP3IN)-(c_TMAP2IN)))+(c_TMAP2OUT)+IF(((c_TMAP3OUT)-(c_TMAP2OUT))&gt;=0,IF(IF(o_WRAP=1,MOD(((c_TMAP3IN)-(c_TMAP2IN))*(((K378)-(c_TMAP2IN))*((c_TMAP3OUT)-(c_TMAP2OUT))+IF(((c_TMAP3OUT)-(c_TMAP2OUT))&gt;=0,1,-1)*QUOTIENT(((c_TMAP3IN)-(c_TMAP2IN)),2))+2147483648,4294967296)-2147483648,((c_TMAP3IN)-(c_TMAP2IN))*(((K378)-(c_TMAP2IN))*((c_TMAP3OUT)-(c_TMAP2OUT))+IF(((c_TMAP3OUT)-(c_TMAP2OUT))&gt;=0,1,-1)*QUOTIENT(((c_TMAP3IN)-(c_TMAP2IN)),2)))&lt;0,-1,0),IF(IF(o_WRAP=1,MOD(((c_TMAP3IN)-(c_TMAP2IN))*(((K378)-(c_TMAP2IN))*((c_TMAP3OUT)-(c_TMAP2OUT))+IF(((c_TMAP3OUT)-(c_TMAP2OUT))&gt;=0,1,-1)*QUOTIENT(((c_TMAP3IN)-(c_TMAP2IN)),2))+2147483648,4294967296)-2147483648,((c_TMAP3IN)-(c_TMAP2IN))*(((K378)-(c_TMAP2IN))*((c_TMAP3OUT)-(c_TMAP2OUT))+IF(((c_TMAP3OUT)-(c_TMAP2OUT))&gt;=0,1,-1)*QUOTIENT(((c_TMAP3IN)-(c_TMAP2IN)),2)))&gt;=0,1,0)))</f>
        <v>655</v>
      </c>
      <c r="P378" s="7" t="n">
        <f aca="false">IF(((1000)-(c_TMAP3IN))=0,(c_TMAP3OUT)+QUOTIENT(((1000)-(c_TMAP3OUT)),2),QUOTIENT((((K378)-(c_TMAP3IN))*((1000)-(c_TMAP3OUT))+IF(((1000)-(c_TMAP3OUT))&gt;=0,1,-1)*QUOTIENT(((1000)-(c_TMAP3IN)),2)),((1000)-(c_TMAP3IN)))+(c_TMAP3OUT)+IF(((1000)-(c_TMAP3OUT))&gt;=0,IF(IF(o_WRAP=1,MOD(((1000)-(c_TMAP3IN))*(((K378)-(c_TMAP3IN))*((1000)-(c_TMAP3OUT))+IF(((1000)-(c_TMAP3OUT))&gt;=0,1,-1)*QUOTIENT(((1000)-(c_TMAP3IN)),2))+2147483648,4294967296)-2147483648,((1000)-(c_TMAP3IN))*(((K378)-(c_TMAP3IN))*((1000)-(c_TMAP3OUT))+IF(((1000)-(c_TMAP3OUT))&gt;=0,1,-1)*QUOTIENT(((1000)-(c_TMAP3IN)),2)))&lt;0,-1,0),IF(IF(o_WRAP=1,MOD(((1000)-(c_TMAP3IN))*(((K378)-(c_TMAP3IN))*((1000)-(c_TMAP3OUT))+IF(((1000)-(c_TMAP3OUT))&gt;=0,1,-1)*QUOTIENT(((1000)-(c_TMAP3IN)),2))+2147483648,4294967296)-2147483648,((1000)-(c_TMAP3IN))*(((K378)-(c_TMAP3IN))*((1000)-(c_TMAP3OUT))+IF(((1000)-(c_TMAP3OUT))&gt;=0,1,-1)*QUOTIENT(((1000)-(c_TMAP3IN)),2)))&gt;=0,1,0)))</f>
        <v>1000</v>
      </c>
      <c r="Q378" s="7" t="str">
        <f aca="false">IF(K378&gt;=c_TFWD,IF(AND(K378&gt;=c_TMAP3IN,c_TMAP3IN&lt;1000),"Seg4 map3-100%",IF(AND(K378&gt;=c_TMAP2IN,c_TMAP3IN&gt;c_TMAP2IN),"Seg3 map2-map3",IF(AND(K378&gt;=c_TMAP1IN,c_TMAP2IN&gt;c_TMAP1IN),"Seg2 map1-map2","Seg1 TFWD-map1"))),IF(AND(K378=0,c_TCREEP&gt;0),"Creep",IF(AND(K378&lt;=c_TRNGMIN,K378&gt;=c_TRNGMAX,c_TRNGMIN-c_TRNGMAX&lt;&gt;0),"Regen ramp","Coast (0)")))</f>
        <v>Seg4 map3-100%</v>
      </c>
      <c r="R378" s="7" t="n">
        <f aca="false">IF(K378&gt;=c_TFWD,IF(AND(K378&gt;=c_TMAP3IN,c_TMAP3IN&lt;1000),P378,IF(AND(K378&gt;=c_TMAP2IN,c_TMAP3IN&gt;c_TMAP2IN),O378,IF(AND(K378&gt;=c_TMAP1IN,c_TMAP2IN&gt;c_TMAP1IN),N378,M378))),L378)</f>
        <v>1000</v>
      </c>
      <c r="S378" s="7" t="str">
        <f aca="false">IF(R378&lt;-1090,"TOO LOW",IF(R378&gt;1090,"TOO HIGH",""))</f>
        <v/>
      </c>
      <c r="T378" s="15" t="n">
        <f aca="false">IF(H378&lt;&gt;"OK",0,IF(S378&lt;&gt;"",0,IF(R378&gt;979,1000,R378)))</f>
        <v>1000</v>
      </c>
      <c r="U378" s="7" t="n">
        <f aca="false">T378/10</f>
        <v>100</v>
      </c>
    </row>
    <row r="379" customFormat="false" ht="15" hidden="false" customHeight="false" outlineLevel="0" collapsed="false">
      <c r="A379" s="7" t="n">
        <v>374</v>
      </c>
      <c r="B379" s="7" t="n">
        <f aca="false">ROUND(o_SWSTART+A379*(o_SWEND-o_SWSTART)/400,0)</f>
        <v>3829</v>
      </c>
      <c r="C379" s="7" t="n">
        <f aca="false">QUOTIENT((B379-c_OFF1)*c_GAIN1,1024)</f>
        <v>3829</v>
      </c>
      <c r="D379" s="7" t="n">
        <f aca="false">IF(((c_T1MX)-(c_T1MN))=0,(0)+QUOTIENT(((1000)-(0)),2),QUOTIENT((((C379)-(c_T1MN))*((1000)-(0))+IF(((1000)-(0))&gt;=0,1,-1)*QUOTIENT(((c_T1MX)-(c_T1MN)),2)),((c_T1MX)-(c_T1MN)))+(0)+IF(((1000)-(0))&gt;=0,IF(IF(o_WRAP=1,MOD(((c_T1MX)-(c_T1MN))*(((C379)-(c_T1MN))*((1000)-(0))+IF(((1000)-(0))&gt;=0,1,-1)*QUOTIENT(((c_T1MX)-(c_T1MN)),2))+2147483648,4294967296)-2147483648,((c_T1MX)-(c_T1MN))*(((C379)-(c_T1MN))*((1000)-(0))+IF(((1000)-(0))&gt;=0,1,-1)*QUOTIENT(((c_T1MX)-(c_T1MN)),2)))&lt;0,-1,0),IF(IF(o_WRAP=1,MOD(((c_T1MX)-(c_T1MN))*(((C379)-(c_T1MN))*((1000)-(0))+IF(((1000)-(0))&gt;=0,1,-1)*QUOTIENT(((c_T1MX)-(c_T1MN)),2))+2147483648,4294967296)-2147483648,((c_T1MX)-(c_T1MN))*(((C379)-(c_T1MN))*((1000)-(0))+IF(((1000)-(0))&gt;=0,1,-1)*QUOTIENT(((c_T1MX)-(c_T1MN)),2)))&gt;=0,1,0)))</f>
        <v>1127</v>
      </c>
      <c r="E379" s="7" t="n">
        <f aca="false">IF(AND(c_TPOT=1,c_TTYPE=2),1000-D379,D379)</f>
        <v>1127</v>
      </c>
      <c r="F379" s="7" t="str">
        <f aca="false">IF(c_TPOT&gt;1,ROUND(IF(c_TTYPE=2,c_T2MX-IF(c_T1MX=c_T1MN,0,(C379-c_T1MN)/(c_T1MX-c_T1MN))*(c_T2MX-c_T2MN),c_T2MN+IF(c_T1MX=c_T1MN,0,(C379-c_T1MN)/(c_T1MX-c_T1MN))*(c_T2MX-c_T2MN))+o_MISMATCH,0),"")</f>
        <v/>
      </c>
      <c r="G379" s="7" t="str">
        <f aca="false">IF(c_TPOT&gt;1,IF(((c_T2MX)-(c_T2MN))=0,(0)+QUOTIENT(((1000)-(0)),2),QUOTIENT((((F379)-(c_T2MN))*((1000)-(0))+IF(((1000)-(0))&gt;=0,1,-1)*QUOTIENT(((c_T2MX)-(c_T2MN)),2)),((c_T2MX)-(c_T2MN)))+(0)+IF(((1000)-(0))&gt;=0,IF(IF(o_WRAP=1,MOD(((c_T2MX)-(c_T2MN))*(((F379)-(c_T2MN))*((1000)-(0))+IF(((1000)-(0))&gt;=0,1,-1)*QUOTIENT(((c_T2MX)-(c_T2MN)),2))+2147483648,4294967296)-2147483648,((c_T2MX)-(c_T2MN))*(((F379)-(c_T2MN))*((1000)-(0))+IF(((1000)-(0))&gt;=0,1,-1)*QUOTIENT(((c_T2MX)-(c_T2MN)),2)))&lt;0,-1,0),IF(IF(o_WRAP=1,MOD(((c_T2MX)-(c_T2MN))*(((F379)-(c_T2MN))*((1000)-(0))+IF(((1000)-(0))&gt;=0,1,-1)*QUOTIENT(((c_T2MX)-(c_T2MN)),2))+2147483648,4294967296)-2147483648,((c_T2MX)-(c_T2MN))*(((F379)-(c_T2MN))*((1000)-(0))+IF(((1000)-(0))&gt;=0,1,-1)*QUOTIENT(((c_T2MX)-(c_T2MN)),2)))&gt;=0,1,0))),"")</f>
        <v/>
      </c>
      <c r="H379" s="7" t="str">
        <f aca="false">IF(E379&gt;1000+k_TOL,"T1 HIGH",IF(E379&lt;0-k_TOL,"T1 LOW",IF(c_TPOT&gt;1,IF(G379&gt;1000+k_TOL,"T2 HIGH",IF(G379&lt;0-k_TOL,"T2 LOW",IF(c_TTYPE=2,IF(ABS(1000-MAX(0,MIN(1000,E379))-MAX(0,MIN(1000,G379)))&gt;k_MAXERR,"MISMATCH","OK"),IF(OR(MAX(0,MIN(1000,E379))-k_MAXERR&gt;MAX(0,MIN(1000,G379)),MAX(0,MIN(1000,G379))-k_MAXERR&gt;MAX(0,MIN(1000,E379))),"MISMATCH","OK")))),"OK")))</f>
        <v>OK</v>
      </c>
      <c r="I379" s="7" t="n">
        <f aca="false">MAX(0,MIN(1000,D379))</f>
        <v>1000</v>
      </c>
      <c r="J379" s="7" t="str">
        <f aca="false">IF(c_TPOT&gt;1,IF(c_TTYPE=2,1000-MAX(0,MIN(1000,G379)),MAX(0,MIN(1000,G379))),"")</f>
        <v/>
      </c>
      <c r="K379" s="7" t="n">
        <f aca="false">IF(c_TPOT&gt;1,QUOTIENT(I379+J379,2),I379)</f>
        <v>1000</v>
      </c>
      <c r="L379" s="7" t="n">
        <f aca="false">IF(AND(K379=0,c_TCREEP&gt;0),10*c_TCREEP,IF(AND(K379&lt;=c_TRNGMIN,K379&gt;=c_TRNGMAX,c_TRNGMIN-c_TRNGMAX&lt;&gt;0),-10*c_TMINRN+QUOTIENT((c_TMAXRN-c_TMINRN)*(100-QUOTIENT((K379-c_TRNGMAX)*100,c_TRNGMIN-c_TRNGMAX)),-10),0))</f>
        <v>0</v>
      </c>
      <c r="M379" s="7" t="n">
        <f aca="false">IF(((c_TMAP1IN)-(c_TFWD))=0,(0)+QUOTIENT(((c_TMAP1OUT)-(0)),2),QUOTIENT((((K379)-(c_TFWD))*((c_TMAP1OUT)-(0))+IF(((c_TMAP1OUT)-(0))&gt;=0,1,-1)*QUOTIENT(((c_TMAP1IN)-(c_TFWD)),2)),((c_TMAP1IN)-(c_TFWD)))+(0)+IF(((c_TMAP1OUT)-(0))&gt;=0,IF(IF(o_WRAP=1,MOD(((c_TMAP1IN)-(c_TFWD))*(((K379)-(c_TFWD))*((c_TMAP1OUT)-(0))+IF(((c_TMAP1OUT)-(0))&gt;=0,1,-1)*QUOTIENT(((c_TMAP1IN)-(c_TFWD)),2))+2147483648,4294967296)-2147483648,((c_TMAP1IN)-(c_TFWD))*(((K379)-(c_TFWD))*((c_TMAP1OUT)-(0))+IF(((c_TMAP1OUT)-(0))&gt;=0,1,-1)*QUOTIENT(((c_TMAP1IN)-(c_TFWD)),2)))&lt;0,-1,0),IF(IF(o_WRAP=1,MOD(((c_TMAP1IN)-(c_TFWD))*(((K379)-(c_TFWD))*((c_TMAP1OUT)-(0))+IF(((c_TMAP1OUT)-(0))&gt;=0,1,-1)*QUOTIENT(((c_TMAP1IN)-(c_TFWD)),2))+2147483648,4294967296)-2147483648,((c_TMAP1IN)-(c_TFWD))*(((K379)-(c_TFWD))*((c_TMAP1OUT)-(0))+IF(((c_TMAP1OUT)-(0))&gt;=0,1,-1)*QUOTIENT(((c_TMAP1IN)-(c_TFWD)),2)))&gt;=0,1,0)))</f>
        <v>770</v>
      </c>
      <c r="N379" s="7" t="n">
        <f aca="false">IF(((c_TMAP2IN)-(c_TMAP1IN))=0,(c_TMAP1OUT)+QUOTIENT(((c_TMAP2OUT)-(c_TMAP1OUT)),2),QUOTIENT((((K379)-(c_TMAP1IN))*((c_TMAP2OUT)-(c_TMAP1OUT))+IF(((c_TMAP2OUT)-(c_TMAP1OUT))&gt;=0,1,-1)*QUOTIENT(((c_TMAP2IN)-(c_TMAP1IN)),2)),((c_TMAP2IN)-(c_TMAP1IN)))+(c_TMAP1OUT)+IF(((c_TMAP2OUT)-(c_TMAP1OUT))&gt;=0,IF(IF(o_WRAP=1,MOD(((c_TMAP2IN)-(c_TMAP1IN))*(((K379)-(c_TMAP1IN))*((c_TMAP2OUT)-(c_TMAP1OUT))+IF(((c_TMAP2OUT)-(c_TMAP1OUT))&gt;=0,1,-1)*QUOTIENT(((c_TMAP2IN)-(c_TMAP1IN)),2))+2147483648,4294967296)-2147483648,((c_TMAP2IN)-(c_TMAP1IN))*(((K379)-(c_TMAP1IN))*((c_TMAP2OUT)-(c_TMAP1OUT))+IF(((c_TMAP2OUT)-(c_TMAP1OUT))&gt;=0,1,-1)*QUOTIENT(((c_TMAP2IN)-(c_TMAP1IN)),2)))&lt;0,-1,0),IF(IF(o_WRAP=1,MOD(((c_TMAP2IN)-(c_TMAP1IN))*(((K379)-(c_TMAP1IN))*((c_TMAP2OUT)-(c_TMAP1OUT))+IF(((c_TMAP2OUT)-(c_TMAP1OUT))&gt;=0,1,-1)*QUOTIENT(((c_TMAP2IN)-(c_TMAP1IN)),2))+2147483648,4294967296)-2147483648,((c_TMAP2IN)-(c_TMAP1IN))*(((K379)-(c_TMAP1IN))*((c_TMAP2OUT)-(c_TMAP1OUT))+IF(((c_TMAP2OUT)-(c_TMAP1OUT))&gt;=0,1,-1)*QUOTIENT(((c_TMAP2IN)-(c_TMAP1IN)),2)))&gt;=0,1,0)))</f>
        <v>430</v>
      </c>
      <c r="O379" s="7" t="n">
        <f aca="false">IF(((c_TMAP3IN)-(c_TMAP2IN))=0,(c_TMAP2OUT)+QUOTIENT(((c_TMAP3OUT)-(c_TMAP2OUT)),2),QUOTIENT((((K379)-(c_TMAP2IN))*((c_TMAP3OUT)-(c_TMAP2OUT))+IF(((c_TMAP3OUT)-(c_TMAP2OUT))&gt;=0,1,-1)*QUOTIENT(((c_TMAP3IN)-(c_TMAP2IN)),2)),((c_TMAP3IN)-(c_TMAP2IN)))+(c_TMAP2OUT)+IF(((c_TMAP3OUT)-(c_TMAP2OUT))&gt;=0,IF(IF(o_WRAP=1,MOD(((c_TMAP3IN)-(c_TMAP2IN))*(((K379)-(c_TMAP2IN))*((c_TMAP3OUT)-(c_TMAP2OUT))+IF(((c_TMAP3OUT)-(c_TMAP2OUT))&gt;=0,1,-1)*QUOTIENT(((c_TMAP3IN)-(c_TMAP2IN)),2))+2147483648,4294967296)-2147483648,((c_TMAP3IN)-(c_TMAP2IN))*(((K379)-(c_TMAP2IN))*((c_TMAP3OUT)-(c_TMAP2OUT))+IF(((c_TMAP3OUT)-(c_TMAP2OUT))&gt;=0,1,-1)*QUOTIENT(((c_TMAP3IN)-(c_TMAP2IN)),2)))&lt;0,-1,0),IF(IF(o_WRAP=1,MOD(((c_TMAP3IN)-(c_TMAP2IN))*(((K379)-(c_TMAP2IN))*((c_TMAP3OUT)-(c_TMAP2OUT))+IF(((c_TMAP3OUT)-(c_TMAP2OUT))&gt;=0,1,-1)*QUOTIENT(((c_TMAP3IN)-(c_TMAP2IN)),2))+2147483648,4294967296)-2147483648,((c_TMAP3IN)-(c_TMAP2IN))*(((K379)-(c_TMAP2IN))*((c_TMAP3OUT)-(c_TMAP2OUT))+IF(((c_TMAP3OUT)-(c_TMAP2OUT))&gt;=0,1,-1)*QUOTIENT(((c_TMAP3IN)-(c_TMAP2IN)),2)))&gt;=0,1,0)))</f>
        <v>655</v>
      </c>
      <c r="P379" s="7" t="n">
        <f aca="false">IF(((1000)-(c_TMAP3IN))=0,(c_TMAP3OUT)+QUOTIENT(((1000)-(c_TMAP3OUT)),2),QUOTIENT((((K379)-(c_TMAP3IN))*((1000)-(c_TMAP3OUT))+IF(((1000)-(c_TMAP3OUT))&gt;=0,1,-1)*QUOTIENT(((1000)-(c_TMAP3IN)),2)),((1000)-(c_TMAP3IN)))+(c_TMAP3OUT)+IF(((1000)-(c_TMAP3OUT))&gt;=0,IF(IF(o_WRAP=1,MOD(((1000)-(c_TMAP3IN))*(((K379)-(c_TMAP3IN))*((1000)-(c_TMAP3OUT))+IF(((1000)-(c_TMAP3OUT))&gt;=0,1,-1)*QUOTIENT(((1000)-(c_TMAP3IN)),2))+2147483648,4294967296)-2147483648,((1000)-(c_TMAP3IN))*(((K379)-(c_TMAP3IN))*((1000)-(c_TMAP3OUT))+IF(((1000)-(c_TMAP3OUT))&gt;=0,1,-1)*QUOTIENT(((1000)-(c_TMAP3IN)),2)))&lt;0,-1,0),IF(IF(o_WRAP=1,MOD(((1000)-(c_TMAP3IN))*(((K379)-(c_TMAP3IN))*((1000)-(c_TMAP3OUT))+IF(((1000)-(c_TMAP3OUT))&gt;=0,1,-1)*QUOTIENT(((1000)-(c_TMAP3IN)),2))+2147483648,4294967296)-2147483648,((1000)-(c_TMAP3IN))*(((K379)-(c_TMAP3IN))*((1000)-(c_TMAP3OUT))+IF(((1000)-(c_TMAP3OUT))&gt;=0,1,-1)*QUOTIENT(((1000)-(c_TMAP3IN)),2)))&gt;=0,1,0)))</f>
        <v>1000</v>
      </c>
      <c r="Q379" s="7" t="str">
        <f aca="false">IF(K379&gt;=c_TFWD,IF(AND(K379&gt;=c_TMAP3IN,c_TMAP3IN&lt;1000),"Seg4 map3-100%",IF(AND(K379&gt;=c_TMAP2IN,c_TMAP3IN&gt;c_TMAP2IN),"Seg3 map2-map3",IF(AND(K379&gt;=c_TMAP1IN,c_TMAP2IN&gt;c_TMAP1IN),"Seg2 map1-map2","Seg1 TFWD-map1"))),IF(AND(K379=0,c_TCREEP&gt;0),"Creep",IF(AND(K379&lt;=c_TRNGMIN,K379&gt;=c_TRNGMAX,c_TRNGMIN-c_TRNGMAX&lt;&gt;0),"Regen ramp","Coast (0)")))</f>
        <v>Seg4 map3-100%</v>
      </c>
      <c r="R379" s="7" t="n">
        <f aca="false">IF(K379&gt;=c_TFWD,IF(AND(K379&gt;=c_TMAP3IN,c_TMAP3IN&lt;1000),P379,IF(AND(K379&gt;=c_TMAP2IN,c_TMAP3IN&gt;c_TMAP2IN),O379,IF(AND(K379&gt;=c_TMAP1IN,c_TMAP2IN&gt;c_TMAP1IN),N379,M379))),L379)</f>
        <v>1000</v>
      </c>
      <c r="S379" s="7" t="str">
        <f aca="false">IF(R379&lt;-1090,"TOO LOW",IF(R379&gt;1090,"TOO HIGH",""))</f>
        <v/>
      </c>
      <c r="T379" s="15" t="n">
        <f aca="false">IF(H379&lt;&gt;"OK",0,IF(S379&lt;&gt;"",0,IF(R379&gt;979,1000,R379)))</f>
        <v>1000</v>
      </c>
      <c r="U379" s="7" t="n">
        <f aca="false">T379/10</f>
        <v>100</v>
      </c>
    </row>
    <row r="380" customFormat="false" ht="15" hidden="false" customHeight="false" outlineLevel="0" collapsed="false">
      <c r="A380" s="7" t="n">
        <v>375</v>
      </c>
      <c r="B380" s="7" t="n">
        <f aca="false">ROUND(o_SWSTART+A380*(o_SWEND-o_SWSTART)/400,0)</f>
        <v>3839</v>
      </c>
      <c r="C380" s="7" t="n">
        <f aca="false">QUOTIENT((B380-c_OFF1)*c_GAIN1,1024)</f>
        <v>3839</v>
      </c>
      <c r="D380" s="7" t="n">
        <f aca="false">IF(((c_T1MX)-(c_T1MN))=0,(0)+QUOTIENT(((1000)-(0)),2),QUOTIENT((((C380)-(c_T1MN))*((1000)-(0))+IF(((1000)-(0))&gt;=0,1,-1)*QUOTIENT(((c_T1MX)-(c_T1MN)),2)),((c_T1MX)-(c_T1MN)))+(0)+IF(((1000)-(0))&gt;=0,IF(IF(o_WRAP=1,MOD(((c_T1MX)-(c_T1MN))*(((C380)-(c_T1MN))*((1000)-(0))+IF(((1000)-(0))&gt;=0,1,-1)*QUOTIENT(((c_T1MX)-(c_T1MN)),2))+2147483648,4294967296)-2147483648,((c_T1MX)-(c_T1MN))*(((C380)-(c_T1MN))*((1000)-(0))+IF(((1000)-(0))&gt;=0,1,-1)*QUOTIENT(((c_T1MX)-(c_T1MN)),2)))&lt;0,-1,0),IF(IF(o_WRAP=1,MOD(((c_T1MX)-(c_T1MN))*(((C380)-(c_T1MN))*((1000)-(0))+IF(((1000)-(0))&gt;=0,1,-1)*QUOTIENT(((c_T1MX)-(c_T1MN)),2))+2147483648,4294967296)-2147483648,((c_T1MX)-(c_T1MN))*(((C380)-(c_T1MN))*((1000)-(0))+IF(((1000)-(0))&gt;=0,1,-1)*QUOTIENT(((c_T1MX)-(c_T1MN)),2)))&gt;=0,1,0)))</f>
        <v>1131</v>
      </c>
      <c r="E380" s="7" t="n">
        <f aca="false">IF(AND(c_TPOT=1,c_TTYPE=2),1000-D380,D380)</f>
        <v>1131</v>
      </c>
      <c r="F380" s="7" t="str">
        <f aca="false">IF(c_TPOT&gt;1,ROUND(IF(c_TTYPE=2,c_T2MX-IF(c_T1MX=c_T1MN,0,(C380-c_T1MN)/(c_T1MX-c_T1MN))*(c_T2MX-c_T2MN),c_T2MN+IF(c_T1MX=c_T1MN,0,(C380-c_T1MN)/(c_T1MX-c_T1MN))*(c_T2MX-c_T2MN))+o_MISMATCH,0),"")</f>
        <v/>
      </c>
      <c r="G380" s="7" t="str">
        <f aca="false">IF(c_TPOT&gt;1,IF(((c_T2MX)-(c_T2MN))=0,(0)+QUOTIENT(((1000)-(0)),2),QUOTIENT((((F380)-(c_T2MN))*((1000)-(0))+IF(((1000)-(0))&gt;=0,1,-1)*QUOTIENT(((c_T2MX)-(c_T2MN)),2)),((c_T2MX)-(c_T2MN)))+(0)+IF(((1000)-(0))&gt;=0,IF(IF(o_WRAP=1,MOD(((c_T2MX)-(c_T2MN))*(((F380)-(c_T2MN))*((1000)-(0))+IF(((1000)-(0))&gt;=0,1,-1)*QUOTIENT(((c_T2MX)-(c_T2MN)),2))+2147483648,4294967296)-2147483648,((c_T2MX)-(c_T2MN))*(((F380)-(c_T2MN))*((1000)-(0))+IF(((1000)-(0))&gt;=0,1,-1)*QUOTIENT(((c_T2MX)-(c_T2MN)),2)))&lt;0,-1,0),IF(IF(o_WRAP=1,MOD(((c_T2MX)-(c_T2MN))*(((F380)-(c_T2MN))*((1000)-(0))+IF(((1000)-(0))&gt;=0,1,-1)*QUOTIENT(((c_T2MX)-(c_T2MN)),2))+2147483648,4294967296)-2147483648,((c_T2MX)-(c_T2MN))*(((F380)-(c_T2MN))*((1000)-(0))+IF(((1000)-(0))&gt;=0,1,-1)*QUOTIENT(((c_T2MX)-(c_T2MN)),2)))&gt;=0,1,0))),"")</f>
        <v/>
      </c>
      <c r="H380" s="7" t="str">
        <f aca="false">IF(E380&gt;1000+k_TOL,"T1 HIGH",IF(E380&lt;0-k_TOL,"T1 LOW",IF(c_TPOT&gt;1,IF(G380&gt;1000+k_TOL,"T2 HIGH",IF(G380&lt;0-k_TOL,"T2 LOW",IF(c_TTYPE=2,IF(ABS(1000-MAX(0,MIN(1000,E380))-MAX(0,MIN(1000,G380)))&gt;k_MAXERR,"MISMATCH","OK"),IF(OR(MAX(0,MIN(1000,E380))-k_MAXERR&gt;MAX(0,MIN(1000,G380)),MAX(0,MIN(1000,G380))-k_MAXERR&gt;MAX(0,MIN(1000,E380))),"MISMATCH","OK")))),"OK")))</f>
        <v>OK</v>
      </c>
      <c r="I380" s="7" t="n">
        <f aca="false">MAX(0,MIN(1000,D380))</f>
        <v>1000</v>
      </c>
      <c r="J380" s="7" t="str">
        <f aca="false">IF(c_TPOT&gt;1,IF(c_TTYPE=2,1000-MAX(0,MIN(1000,G380)),MAX(0,MIN(1000,G380))),"")</f>
        <v/>
      </c>
      <c r="K380" s="7" t="n">
        <f aca="false">IF(c_TPOT&gt;1,QUOTIENT(I380+J380,2),I380)</f>
        <v>1000</v>
      </c>
      <c r="L380" s="7" t="n">
        <f aca="false">IF(AND(K380=0,c_TCREEP&gt;0),10*c_TCREEP,IF(AND(K380&lt;=c_TRNGMIN,K380&gt;=c_TRNGMAX,c_TRNGMIN-c_TRNGMAX&lt;&gt;0),-10*c_TMINRN+QUOTIENT((c_TMAXRN-c_TMINRN)*(100-QUOTIENT((K380-c_TRNGMAX)*100,c_TRNGMIN-c_TRNGMAX)),-10),0))</f>
        <v>0</v>
      </c>
      <c r="M380" s="7" t="n">
        <f aca="false">IF(((c_TMAP1IN)-(c_TFWD))=0,(0)+QUOTIENT(((c_TMAP1OUT)-(0)),2),QUOTIENT((((K380)-(c_TFWD))*((c_TMAP1OUT)-(0))+IF(((c_TMAP1OUT)-(0))&gt;=0,1,-1)*QUOTIENT(((c_TMAP1IN)-(c_TFWD)),2)),((c_TMAP1IN)-(c_TFWD)))+(0)+IF(((c_TMAP1OUT)-(0))&gt;=0,IF(IF(o_WRAP=1,MOD(((c_TMAP1IN)-(c_TFWD))*(((K380)-(c_TFWD))*((c_TMAP1OUT)-(0))+IF(((c_TMAP1OUT)-(0))&gt;=0,1,-1)*QUOTIENT(((c_TMAP1IN)-(c_TFWD)),2))+2147483648,4294967296)-2147483648,((c_TMAP1IN)-(c_TFWD))*(((K380)-(c_TFWD))*((c_TMAP1OUT)-(0))+IF(((c_TMAP1OUT)-(0))&gt;=0,1,-1)*QUOTIENT(((c_TMAP1IN)-(c_TFWD)),2)))&lt;0,-1,0),IF(IF(o_WRAP=1,MOD(((c_TMAP1IN)-(c_TFWD))*(((K380)-(c_TFWD))*((c_TMAP1OUT)-(0))+IF(((c_TMAP1OUT)-(0))&gt;=0,1,-1)*QUOTIENT(((c_TMAP1IN)-(c_TFWD)),2))+2147483648,4294967296)-2147483648,((c_TMAP1IN)-(c_TFWD))*(((K380)-(c_TFWD))*((c_TMAP1OUT)-(0))+IF(((c_TMAP1OUT)-(0))&gt;=0,1,-1)*QUOTIENT(((c_TMAP1IN)-(c_TFWD)),2)))&gt;=0,1,0)))</f>
        <v>770</v>
      </c>
      <c r="N380" s="7" t="n">
        <f aca="false">IF(((c_TMAP2IN)-(c_TMAP1IN))=0,(c_TMAP1OUT)+QUOTIENT(((c_TMAP2OUT)-(c_TMAP1OUT)),2),QUOTIENT((((K380)-(c_TMAP1IN))*((c_TMAP2OUT)-(c_TMAP1OUT))+IF(((c_TMAP2OUT)-(c_TMAP1OUT))&gt;=0,1,-1)*QUOTIENT(((c_TMAP2IN)-(c_TMAP1IN)),2)),((c_TMAP2IN)-(c_TMAP1IN)))+(c_TMAP1OUT)+IF(((c_TMAP2OUT)-(c_TMAP1OUT))&gt;=0,IF(IF(o_WRAP=1,MOD(((c_TMAP2IN)-(c_TMAP1IN))*(((K380)-(c_TMAP1IN))*((c_TMAP2OUT)-(c_TMAP1OUT))+IF(((c_TMAP2OUT)-(c_TMAP1OUT))&gt;=0,1,-1)*QUOTIENT(((c_TMAP2IN)-(c_TMAP1IN)),2))+2147483648,4294967296)-2147483648,((c_TMAP2IN)-(c_TMAP1IN))*(((K380)-(c_TMAP1IN))*((c_TMAP2OUT)-(c_TMAP1OUT))+IF(((c_TMAP2OUT)-(c_TMAP1OUT))&gt;=0,1,-1)*QUOTIENT(((c_TMAP2IN)-(c_TMAP1IN)),2)))&lt;0,-1,0),IF(IF(o_WRAP=1,MOD(((c_TMAP2IN)-(c_TMAP1IN))*(((K380)-(c_TMAP1IN))*((c_TMAP2OUT)-(c_TMAP1OUT))+IF(((c_TMAP2OUT)-(c_TMAP1OUT))&gt;=0,1,-1)*QUOTIENT(((c_TMAP2IN)-(c_TMAP1IN)),2))+2147483648,4294967296)-2147483648,((c_TMAP2IN)-(c_TMAP1IN))*(((K380)-(c_TMAP1IN))*((c_TMAP2OUT)-(c_TMAP1OUT))+IF(((c_TMAP2OUT)-(c_TMAP1OUT))&gt;=0,1,-1)*QUOTIENT(((c_TMAP2IN)-(c_TMAP1IN)),2)))&gt;=0,1,0)))</f>
        <v>430</v>
      </c>
      <c r="O380" s="7" t="n">
        <f aca="false">IF(((c_TMAP3IN)-(c_TMAP2IN))=0,(c_TMAP2OUT)+QUOTIENT(((c_TMAP3OUT)-(c_TMAP2OUT)),2),QUOTIENT((((K380)-(c_TMAP2IN))*((c_TMAP3OUT)-(c_TMAP2OUT))+IF(((c_TMAP3OUT)-(c_TMAP2OUT))&gt;=0,1,-1)*QUOTIENT(((c_TMAP3IN)-(c_TMAP2IN)),2)),((c_TMAP3IN)-(c_TMAP2IN)))+(c_TMAP2OUT)+IF(((c_TMAP3OUT)-(c_TMAP2OUT))&gt;=0,IF(IF(o_WRAP=1,MOD(((c_TMAP3IN)-(c_TMAP2IN))*(((K380)-(c_TMAP2IN))*((c_TMAP3OUT)-(c_TMAP2OUT))+IF(((c_TMAP3OUT)-(c_TMAP2OUT))&gt;=0,1,-1)*QUOTIENT(((c_TMAP3IN)-(c_TMAP2IN)),2))+2147483648,4294967296)-2147483648,((c_TMAP3IN)-(c_TMAP2IN))*(((K380)-(c_TMAP2IN))*((c_TMAP3OUT)-(c_TMAP2OUT))+IF(((c_TMAP3OUT)-(c_TMAP2OUT))&gt;=0,1,-1)*QUOTIENT(((c_TMAP3IN)-(c_TMAP2IN)),2)))&lt;0,-1,0),IF(IF(o_WRAP=1,MOD(((c_TMAP3IN)-(c_TMAP2IN))*(((K380)-(c_TMAP2IN))*((c_TMAP3OUT)-(c_TMAP2OUT))+IF(((c_TMAP3OUT)-(c_TMAP2OUT))&gt;=0,1,-1)*QUOTIENT(((c_TMAP3IN)-(c_TMAP2IN)),2))+2147483648,4294967296)-2147483648,((c_TMAP3IN)-(c_TMAP2IN))*(((K380)-(c_TMAP2IN))*((c_TMAP3OUT)-(c_TMAP2OUT))+IF(((c_TMAP3OUT)-(c_TMAP2OUT))&gt;=0,1,-1)*QUOTIENT(((c_TMAP3IN)-(c_TMAP2IN)),2)))&gt;=0,1,0)))</f>
        <v>655</v>
      </c>
      <c r="P380" s="7" t="n">
        <f aca="false">IF(((1000)-(c_TMAP3IN))=0,(c_TMAP3OUT)+QUOTIENT(((1000)-(c_TMAP3OUT)),2),QUOTIENT((((K380)-(c_TMAP3IN))*((1000)-(c_TMAP3OUT))+IF(((1000)-(c_TMAP3OUT))&gt;=0,1,-1)*QUOTIENT(((1000)-(c_TMAP3IN)),2)),((1000)-(c_TMAP3IN)))+(c_TMAP3OUT)+IF(((1000)-(c_TMAP3OUT))&gt;=0,IF(IF(o_WRAP=1,MOD(((1000)-(c_TMAP3IN))*(((K380)-(c_TMAP3IN))*((1000)-(c_TMAP3OUT))+IF(((1000)-(c_TMAP3OUT))&gt;=0,1,-1)*QUOTIENT(((1000)-(c_TMAP3IN)),2))+2147483648,4294967296)-2147483648,((1000)-(c_TMAP3IN))*(((K380)-(c_TMAP3IN))*((1000)-(c_TMAP3OUT))+IF(((1000)-(c_TMAP3OUT))&gt;=0,1,-1)*QUOTIENT(((1000)-(c_TMAP3IN)),2)))&lt;0,-1,0),IF(IF(o_WRAP=1,MOD(((1000)-(c_TMAP3IN))*(((K380)-(c_TMAP3IN))*((1000)-(c_TMAP3OUT))+IF(((1000)-(c_TMAP3OUT))&gt;=0,1,-1)*QUOTIENT(((1000)-(c_TMAP3IN)),2))+2147483648,4294967296)-2147483648,((1000)-(c_TMAP3IN))*(((K380)-(c_TMAP3IN))*((1000)-(c_TMAP3OUT))+IF(((1000)-(c_TMAP3OUT))&gt;=0,1,-1)*QUOTIENT(((1000)-(c_TMAP3IN)),2)))&gt;=0,1,0)))</f>
        <v>1000</v>
      </c>
      <c r="Q380" s="7" t="str">
        <f aca="false">IF(K380&gt;=c_TFWD,IF(AND(K380&gt;=c_TMAP3IN,c_TMAP3IN&lt;1000),"Seg4 map3-100%",IF(AND(K380&gt;=c_TMAP2IN,c_TMAP3IN&gt;c_TMAP2IN),"Seg3 map2-map3",IF(AND(K380&gt;=c_TMAP1IN,c_TMAP2IN&gt;c_TMAP1IN),"Seg2 map1-map2","Seg1 TFWD-map1"))),IF(AND(K380=0,c_TCREEP&gt;0),"Creep",IF(AND(K380&lt;=c_TRNGMIN,K380&gt;=c_TRNGMAX,c_TRNGMIN-c_TRNGMAX&lt;&gt;0),"Regen ramp","Coast (0)")))</f>
        <v>Seg4 map3-100%</v>
      </c>
      <c r="R380" s="7" t="n">
        <f aca="false">IF(K380&gt;=c_TFWD,IF(AND(K380&gt;=c_TMAP3IN,c_TMAP3IN&lt;1000),P380,IF(AND(K380&gt;=c_TMAP2IN,c_TMAP3IN&gt;c_TMAP2IN),O380,IF(AND(K380&gt;=c_TMAP1IN,c_TMAP2IN&gt;c_TMAP1IN),N380,M380))),L380)</f>
        <v>1000</v>
      </c>
      <c r="S380" s="7" t="str">
        <f aca="false">IF(R380&lt;-1090,"TOO LOW",IF(R380&gt;1090,"TOO HIGH",""))</f>
        <v/>
      </c>
      <c r="T380" s="15" t="n">
        <f aca="false">IF(H380&lt;&gt;"OK",0,IF(S380&lt;&gt;"",0,IF(R380&gt;979,1000,R380)))</f>
        <v>1000</v>
      </c>
      <c r="U380" s="7" t="n">
        <f aca="false">T380/10</f>
        <v>100</v>
      </c>
    </row>
    <row r="381" customFormat="false" ht="15" hidden="false" customHeight="false" outlineLevel="0" collapsed="false">
      <c r="A381" s="7" t="n">
        <v>376</v>
      </c>
      <c r="B381" s="7" t="n">
        <f aca="false">ROUND(o_SWSTART+A381*(o_SWEND-o_SWSTART)/400,0)</f>
        <v>3849</v>
      </c>
      <c r="C381" s="7" t="n">
        <f aca="false">QUOTIENT((B381-c_OFF1)*c_GAIN1,1024)</f>
        <v>3849</v>
      </c>
      <c r="D381" s="7" t="n">
        <f aca="false">IF(((c_T1MX)-(c_T1MN))=0,(0)+QUOTIENT(((1000)-(0)),2),QUOTIENT((((C381)-(c_T1MN))*((1000)-(0))+IF(((1000)-(0))&gt;=0,1,-1)*QUOTIENT(((c_T1MX)-(c_T1MN)),2)),((c_T1MX)-(c_T1MN)))+(0)+IF(((1000)-(0))&gt;=0,IF(IF(o_WRAP=1,MOD(((c_T1MX)-(c_T1MN))*(((C381)-(c_T1MN))*((1000)-(0))+IF(((1000)-(0))&gt;=0,1,-1)*QUOTIENT(((c_T1MX)-(c_T1MN)),2))+2147483648,4294967296)-2147483648,((c_T1MX)-(c_T1MN))*(((C381)-(c_T1MN))*((1000)-(0))+IF(((1000)-(0))&gt;=0,1,-1)*QUOTIENT(((c_T1MX)-(c_T1MN)),2)))&lt;0,-1,0),IF(IF(o_WRAP=1,MOD(((c_T1MX)-(c_T1MN))*(((C381)-(c_T1MN))*((1000)-(0))+IF(((1000)-(0))&gt;=0,1,-1)*QUOTIENT(((c_T1MX)-(c_T1MN)),2))+2147483648,4294967296)-2147483648,((c_T1MX)-(c_T1MN))*(((C381)-(c_T1MN))*((1000)-(0))+IF(((1000)-(0))&gt;=0,1,-1)*QUOTIENT(((c_T1MX)-(c_T1MN)),2)))&gt;=0,1,0)))</f>
        <v>1134</v>
      </c>
      <c r="E381" s="7" t="n">
        <f aca="false">IF(AND(c_TPOT=1,c_TTYPE=2),1000-D381,D381)</f>
        <v>1134</v>
      </c>
      <c r="F381" s="7" t="str">
        <f aca="false">IF(c_TPOT&gt;1,ROUND(IF(c_TTYPE=2,c_T2MX-IF(c_T1MX=c_T1MN,0,(C381-c_T1MN)/(c_T1MX-c_T1MN))*(c_T2MX-c_T2MN),c_T2MN+IF(c_T1MX=c_T1MN,0,(C381-c_T1MN)/(c_T1MX-c_T1MN))*(c_T2MX-c_T2MN))+o_MISMATCH,0),"")</f>
        <v/>
      </c>
      <c r="G381" s="7" t="str">
        <f aca="false">IF(c_TPOT&gt;1,IF(((c_T2MX)-(c_T2MN))=0,(0)+QUOTIENT(((1000)-(0)),2),QUOTIENT((((F381)-(c_T2MN))*((1000)-(0))+IF(((1000)-(0))&gt;=0,1,-1)*QUOTIENT(((c_T2MX)-(c_T2MN)),2)),((c_T2MX)-(c_T2MN)))+(0)+IF(((1000)-(0))&gt;=0,IF(IF(o_WRAP=1,MOD(((c_T2MX)-(c_T2MN))*(((F381)-(c_T2MN))*((1000)-(0))+IF(((1000)-(0))&gt;=0,1,-1)*QUOTIENT(((c_T2MX)-(c_T2MN)),2))+2147483648,4294967296)-2147483648,((c_T2MX)-(c_T2MN))*(((F381)-(c_T2MN))*((1000)-(0))+IF(((1000)-(0))&gt;=0,1,-1)*QUOTIENT(((c_T2MX)-(c_T2MN)),2)))&lt;0,-1,0),IF(IF(o_WRAP=1,MOD(((c_T2MX)-(c_T2MN))*(((F381)-(c_T2MN))*((1000)-(0))+IF(((1000)-(0))&gt;=0,1,-1)*QUOTIENT(((c_T2MX)-(c_T2MN)),2))+2147483648,4294967296)-2147483648,((c_T2MX)-(c_T2MN))*(((F381)-(c_T2MN))*((1000)-(0))+IF(((1000)-(0))&gt;=0,1,-1)*QUOTIENT(((c_T2MX)-(c_T2MN)),2)))&gt;=0,1,0))),"")</f>
        <v/>
      </c>
      <c r="H381" s="7" t="str">
        <f aca="false">IF(E381&gt;1000+k_TOL,"T1 HIGH",IF(E381&lt;0-k_TOL,"T1 LOW",IF(c_TPOT&gt;1,IF(G381&gt;1000+k_TOL,"T2 HIGH",IF(G381&lt;0-k_TOL,"T2 LOW",IF(c_TTYPE=2,IF(ABS(1000-MAX(0,MIN(1000,E381))-MAX(0,MIN(1000,G381)))&gt;k_MAXERR,"MISMATCH","OK"),IF(OR(MAX(0,MIN(1000,E381))-k_MAXERR&gt;MAX(0,MIN(1000,G381)),MAX(0,MIN(1000,G381))-k_MAXERR&gt;MAX(0,MIN(1000,E381))),"MISMATCH","OK")))),"OK")))</f>
        <v>OK</v>
      </c>
      <c r="I381" s="7" t="n">
        <f aca="false">MAX(0,MIN(1000,D381))</f>
        <v>1000</v>
      </c>
      <c r="J381" s="7" t="str">
        <f aca="false">IF(c_TPOT&gt;1,IF(c_TTYPE=2,1000-MAX(0,MIN(1000,G381)),MAX(0,MIN(1000,G381))),"")</f>
        <v/>
      </c>
      <c r="K381" s="7" t="n">
        <f aca="false">IF(c_TPOT&gt;1,QUOTIENT(I381+J381,2),I381)</f>
        <v>1000</v>
      </c>
      <c r="L381" s="7" t="n">
        <f aca="false">IF(AND(K381=0,c_TCREEP&gt;0),10*c_TCREEP,IF(AND(K381&lt;=c_TRNGMIN,K381&gt;=c_TRNGMAX,c_TRNGMIN-c_TRNGMAX&lt;&gt;0),-10*c_TMINRN+QUOTIENT((c_TMAXRN-c_TMINRN)*(100-QUOTIENT((K381-c_TRNGMAX)*100,c_TRNGMIN-c_TRNGMAX)),-10),0))</f>
        <v>0</v>
      </c>
      <c r="M381" s="7" t="n">
        <f aca="false">IF(((c_TMAP1IN)-(c_TFWD))=0,(0)+QUOTIENT(((c_TMAP1OUT)-(0)),2),QUOTIENT((((K381)-(c_TFWD))*((c_TMAP1OUT)-(0))+IF(((c_TMAP1OUT)-(0))&gt;=0,1,-1)*QUOTIENT(((c_TMAP1IN)-(c_TFWD)),2)),((c_TMAP1IN)-(c_TFWD)))+(0)+IF(((c_TMAP1OUT)-(0))&gt;=0,IF(IF(o_WRAP=1,MOD(((c_TMAP1IN)-(c_TFWD))*(((K381)-(c_TFWD))*((c_TMAP1OUT)-(0))+IF(((c_TMAP1OUT)-(0))&gt;=0,1,-1)*QUOTIENT(((c_TMAP1IN)-(c_TFWD)),2))+2147483648,4294967296)-2147483648,((c_TMAP1IN)-(c_TFWD))*(((K381)-(c_TFWD))*((c_TMAP1OUT)-(0))+IF(((c_TMAP1OUT)-(0))&gt;=0,1,-1)*QUOTIENT(((c_TMAP1IN)-(c_TFWD)),2)))&lt;0,-1,0),IF(IF(o_WRAP=1,MOD(((c_TMAP1IN)-(c_TFWD))*(((K381)-(c_TFWD))*((c_TMAP1OUT)-(0))+IF(((c_TMAP1OUT)-(0))&gt;=0,1,-1)*QUOTIENT(((c_TMAP1IN)-(c_TFWD)),2))+2147483648,4294967296)-2147483648,((c_TMAP1IN)-(c_TFWD))*(((K381)-(c_TFWD))*((c_TMAP1OUT)-(0))+IF(((c_TMAP1OUT)-(0))&gt;=0,1,-1)*QUOTIENT(((c_TMAP1IN)-(c_TFWD)),2)))&gt;=0,1,0)))</f>
        <v>770</v>
      </c>
      <c r="N381" s="7" t="n">
        <f aca="false">IF(((c_TMAP2IN)-(c_TMAP1IN))=0,(c_TMAP1OUT)+QUOTIENT(((c_TMAP2OUT)-(c_TMAP1OUT)),2),QUOTIENT((((K381)-(c_TMAP1IN))*((c_TMAP2OUT)-(c_TMAP1OUT))+IF(((c_TMAP2OUT)-(c_TMAP1OUT))&gt;=0,1,-1)*QUOTIENT(((c_TMAP2IN)-(c_TMAP1IN)),2)),((c_TMAP2IN)-(c_TMAP1IN)))+(c_TMAP1OUT)+IF(((c_TMAP2OUT)-(c_TMAP1OUT))&gt;=0,IF(IF(o_WRAP=1,MOD(((c_TMAP2IN)-(c_TMAP1IN))*(((K381)-(c_TMAP1IN))*((c_TMAP2OUT)-(c_TMAP1OUT))+IF(((c_TMAP2OUT)-(c_TMAP1OUT))&gt;=0,1,-1)*QUOTIENT(((c_TMAP2IN)-(c_TMAP1IN)),2))+2147483648,4294967296)-2147483648,((c_TMAP2IN)-(c_TMAP1IN))*(((K381)-(c_TMAP1IN))*((c_TMAP2OUT)-(c_TMAP1OUT))+IF(((c_TMAP2OUT)-(c_TMAP1OUT))&gt;=0,1,-1)*QUOTIENT(((c_TMAP2IN)-(c_TMAP1IN)),2)))&lt;0,-1,0),IF(IF(o_WRAP=1,MOD(((c_TMAP2IN)-(c_TMAP1IN))*(((K381)-(c_TMAP1IN))*((c_TMAP2OUT)-(c_TMAP1OUT))+IF(((c_TMAP2OUT)-(c_TMAP1OUT))&gt;=0,1,-1)*QUOTIENT(((c_TMAP2IN)-(c_TMAP1IN)),2))+2147483648,4294967296)-2147483648,((c_TMAP2IN)-(c_TMAP1IN))*(((K381)-(c_TMAP1IN))*((c_TMAP2OUT)-(c_TMAP1OUT))+IF(((c_TMAP2OUT)-(c_TMAP1OUT))&gt;=0,1,-1)*QUOTIENT(((c_TMAP2IN)-(c_TMAP1IN)),2)))&gt;=0,1,0)))</f>
        <v>430</v>
      </c>
      <c r="O381" s="7" t="n">
        <f aca="false">IF(((c_TMAP3IN)-(c_TMAP2IN))=0,(c_TMAP2OUT)+QUOTIENT(((c_TMAP3OUT)-(c_TMAP2OUT)),2),QUOTIENT((((K381)-(c_TMAP2IN))*((c_TMAP3OUT)-(c_TMAP2OUT))+IF(((c_TMAP3OUT)-(c_TMAP2OUT))&gt;=0,1,-1)*QUOTIENT(((c_TMAP3IN)-(c_TMAP2IN)),2)),((c_TMAP3IN)-(c_TMAP2IN)))+(c_TMAP2OUT)+IF(((c_TMAP3OUT)-(c_TMAP2OUT))&gt;=0,IF(IF(o_WRAP=1,MOD(((c_TMAP3IN)-(c_TMAP2IN))*(((K381)-(c_TMAP2IN))*((c_TMAP3OUT)-(c_TMAP2OUT))+IF(((c_TMAP3OUT)-(c_TMAP2OUT))&gt;=0,1,-1)*QUOTIENT(((c_TMAP3IN)-(c_TMAP2IN)),2))+2147483648,4294967296)-2147483648,((c_TMAP3IN)-(c_TMAP2IN))*(((K381)-(c_TMAP2IN))*((c_TMAP3OUT)-(c_TMAP2OUT))+IF(((c_TMAP3OUT)-(c_TMAP2OUT))&gt;=0,1,-1)*QUOTIENT(((c_TMAP3IN)-(c_TMAP2IN)),2)))&lt;0,-1,0),IF(IF(o_WRAP=1,MOD(((c_TMAP3IN)-(c_TMAP2IN))*(((K381)-(c_TMAP2IN))*((c_TMAP3OUT)-(c_TMAP2OUT))+IF(((c_TMAP3OUT)-(c_TMAP2OUT))&gt;=0,1,-1)*QUOTIENT(((c_TMAP3IN)-(c_TMAP2IN)),2))+2147483648,4294967296)-2147483648,((c_TMAP3IN)-(c_TMAP2IN))*(((K381)-(c_TMAP2IN))*((c_TMAP3OUT)-(c_TMAP2OUT))+IF(((c_TMAP3OUT)-(c_TMAP2OUT))&gt;=0,1,-1)*QUOTIENT(((c_TMAP3IN)-(c_TMAP2IN)),2)))&gt;=0,1,0)))</f>
        <v>655</v>
      </c>
      <c r="P381" s="7" t="n">
        <f aca="false">IF(((1000)-(c_TMAP3IN))=0,(c_TMAP3OUT)+QUOTIENT(((1000)-(c_TMAP3OUT)),2),QUOTIENT((((K381)-(c_TMAP3IN))*((1000)-(c_TMAP3OUT))+IF(((1000)-(c_TMAP3OUT))&gt;=0,1,-1)*QUOTIENT(((1000)-(c_TMAP3IN)),2)),((1000)-(c_TMAP3IN)))+(c_TMAP3OUT)+IF(((1000)-(c_TMAP3OUT))&gt;=0,IF(IF(o_WRAP=1,MOD(((1000)-(c_TMAP3IN))*(((K381)-(c_TMAP3IN))*((1000)-(c_TMAP3OUT))+IF(((1000)-(c_TMAP3OUT))&gt;=0,1,-1)*QUOTIENT(((1000)-(c_TMAP3IN)),2))+2147483648,4294967296)-2147483648,((1000)-(c_TMAP3IN))*(((K381)-(c_TMAP3IN))*((1000)-(c_TMAP3OUT))+IF(((1000)-(c_TMAP3OUT))&gt;=0,1,-1)*QUOTIENT(((1000)-(c_TMAP3IN)),2)))&lt;0,-1,0),IF(IF(o_WRAP=1,MOD(((1000)-(c_TMAP3IN))*(((K381)-(c_TMAP3IN))*((1000)-(c_TMAP3OUT))+IF(((1000)-(c_TMAP3OUT))&gt;=0,1,-1)*QUOTIENT(((1000)-(c_TMAP3IN)),2))+2147483648,4294967296)-2147483648,((1000)-(c_TMAP3IN))*(((K381)-(c_TMAP3IN))*((1000)-(c_TMAP3OUT))+IF(((1000)-(c_TMAP3OUT))&gt;=0,1,-1)*QUOTIENT(((1000)-(c_TMAP3IN)),2)))&gt;=0,1,0)))</f>
        <v>1000</v>
      </c>
      <c r="Q381" s="7" t="str">
        <f aca="false">IF(K381&gt;=c_TFWD,IF(AND(K381&gt;=c_TMAP3IN,c_TMAP3IN&lt;1000),"Seg4 map3-100%",IF(AND(K381&gt;=c_TMAP2IN,c_TMAP3IN&gt;c_TMAP2IN),"Seg3 map2-map3",IF(AND(K381&gt;=c_TMAP1IN,c_TMAP2IN&gt;c_TMAP1IN),"Seg2 map1-map2","Seg1 TFWD-map1"))),IF(AND(K381=0,c_TCREEP&gt;0),"Creep",IF(AND(K381&lt;=c_TRNGMIN,K381&gt;=c_TRNGMAX,c_TRNGMIN-c_TRNGMAX&lt;&gt;0),"Regen ramp","Coast (0)")))</f>
        <v>Seg4 map3-100%</v>
      </c>
      <c r="R381" s="7" t="n">
        <f aca="false">IF(K381&gt;=c_TFWD,IF(AND(K381&gt;=c_TMAP3IN,c_TMAP3IN&lt;1000),P381,IF(AND(K381&gt;=c_TMAP2IN,c_TMAP3IN&gt;c_TMAP2IN),O381,IF(AND(K381&gt;=c_TMAP1IN,c_TMAP2IN&gt;c_TMAP1IN),N381,M381))),L381)</f>
        <v>1000</v>
      </c>
      <c r="S381" s="7" t="str">
        <f aca="false">IF(R381&lt;-1090,"TOO LOW",IF(R381&gt;1090,"TOO HIGH",""))</f>
        <v/>
      </c>
      <c r="T381" s="15" t="n">
        <f aca="false">IF(H381&lt;&gt;"OK",0,IF(S381&lt;&gt;"",0,IF(R381&gt;979,1000,R381)))</f>
        <v>1000</v>
      </c>
      <c r="U381" s="7" t="n">
        <f aca="false">T381/10</f>
        <v>100</v>
      </c>
    </row>
    <row r="382" customFormat="false" ht="15" hidden="false" customHeight="false" outlineLevel="0" collapsed="false">
      <c r="A382" s="7" t="n">
        <v>377</v>
      </c>
      <c r="B382" s="7" t="n">
        <f aca="false">ROUND(o_SWSTART+A382*(o_SWEND-o_SWSTART)/400,0)</f>
        <v>3860</v>
      </c>
      <c r="C382" s="7" t="n">
        <f aca="false">QUOTIENT((B382-c_OFF1)*c_GAIN1,1024)</f>
        <v>3860</v>
      </c>
      <c r="D382" s="7" t="n">
        <f aca="false">IF(((c_T1MX)-(c_T1MN))=0,(0)+QUOTIENT(((1000)-(0)),2),QUOTIENT((((C382)-(c_T1MN))*((1000)-(0))+IF(((1000)-(0))&gt;=0,1,-1)*QUOTIENT(((c_T1MX)-(c_T1MN)),2)),((c_T1MX)-(c_T1MN)))+(0)+IF(((1000)-(0))&gt;=0,IF(IF(o_WRAP=1,MOD(((c_T1MX)-(c_T1MN))*(((C382)-(c_T1MN))*((1000)-(0))+IF(((1000)-(0))&gt;=0,1,-1)*QUOTIENT(((c_T1MX)-(c_T1MN)),2))+2147483648,4294967296)-2147483648,((c_T1MX)-(c_T1MN))*(((C382)-(c_T1MN))*((1000)-(0))+IF(((1000)-(0))&gt;=0,1,-1)*QUOTIENT(((c_T1MX)-(c_T1MN)),2)))&lt;0,-1,0),IF(IF(o_WRAP=1,MOD(((c_T1MX)-(c_T1MN))*(((C382)-(c_T1MN))*((1000)-(0))+IF(((1000)-(0))&gt;=0,1,-1)*QUOTIENT(((c_T1MX)-(c_T1MN)),2))+2147483648,4294967296)-2147483648,((c_T1MX)-(c_T1MN))*(((C382)-(c_T1MN))*((1000)-(0))+IF(((1000)-(0))&gt;=0,1,-1)*QUOTIENT(((c_T1MX)-(c_T1MN)),2)))&gt;=0,1,0)))</f>
        <v>1138</v>
      </c>
      <c r="E382" s="7" t="n">
        <f aca="false">IF(AND(c_TPOT=1,c_TTYPE=2),1000-D382,D382)</f>
        <v>1138</v>
      </c>
      <c r="F382" s="7" t="str">
        <f aca="false">IF(c_TPOT&gt;1,ROUND(IF(c_TTYPE=2,c_T2MX-IF(c_T1MX=c_T1MN,0,(C382-c_T1MN)/(c_T1MX-c_T1MN))*(c_T2MX-c_T2MN),c_T2MN+IF(c_T1MX=c_T1MN,0,(C382-c_T1MN)/(c_T1MX-c_T1MN))*(c_T2MX-c_T2MN))+o_MISMATCH,0),"")</f>
        <v/>
      </c>
      <c r="G382" s="7" t="str">
        <f aca="false">IF(c_TPOT&gt;1,IF(((c_T2MX)-(c_T2MN))=0,(0)+QUOTIENT(((1000)-(0)),2),QUOTIENT((((F382)-(c_T2MN))*((1000)-(0))+IF(((1000)-(0))&gt;=0,1,-1)*QUOTIENT(((c_T2MX)-(c_T2MN)),2)),((c_T2MX)-(c_T2MN)))+(0)+IF(((1000)-(0))&gt;=0,IF(IF(o_WRAP=1,MOD(((c_T2MX)-(c_T2MN))*(((F382)-(c_T2MN))*((1000)-(0))+IF(((1000)-(0))&gt;=0,1,-1)*QUOTIENT(((c_T2MX)-(c_T2MN)),2))+2147483648,4294967296)-2147483648,((c_T2MX)-(c_T2MN))*(((F382)-(c_T2MN))*((1000)-(0))+IF(((1000)-(0))&gt;=0,1,-1)*QUOTIENT(((c_T2MX)-(c_T2MN)),2)))&lt;0,-1,0),IF(IF(o_WRAP=1,MOD(((c_T2MX)-(c_T2MN))*(((F382)-(c_T2MN))*((1000)-(0))+IF(((1000)-(0))&gt;=0,1,-1)*QUOTIENT(((c_T2MX)-(c_T2MN)),2))+2147483648,4294967296)-2147483648,((c_T2MX)-(c_T2MN))*(((F382)-(c_T2MN))*((1000)-(0))+IF(((1000)-(0))&gt;=0,1,-1)*QUOTIENT(((c_T2MX)-(c_T2MN)),2)))&gt;=0,1,0))),"")</f>
        <v/>
      </c>
      <c r="H382" s="7" t="str">
        <f aca="false">IF(E382&gt;1000+k_TOL,"T1 HIGH",IF(E382&lt;0-k_TOL,"T1 LOW",IF(c_TPOT&gt;1,IF(G382&gt;1000+k_TOL,"T2 HIGH",IF(G382&lt;0-k_TOL,"T2 LOW",IF(c_TTYPE=2,IF(ABS(1000-MAX(0,MIN(1000,E382))-MAX(0,MIN(1000,G382)))&gt;k_MAXERR,"MISMATCH","OK"),IF(OR(MAX(0,MIN(1000,E382))-k_MAXERR&gt;MAX(0,MIN(1000,G382)),MAX(0,MIN(1000,G382))-k_MAXERR&gt;MAX(0,MIN(1000,E382))),"MISMATCH","OK")))),"OK")))</f>
        <v>OK</v>
      </c>
      <c r="I382" s="7" t="n">
        <f aca="false">MAX(0,MIN(1000,D382))</f>
        <v>1000</v>
      </c>
      <c r="J382" s="7" t="str">
        <f aca="false">IF(c_TPOT&gt;1,IF(c_TTYPE=2,1000-MAX(0,MIN(1000,G382)),MAX(0,MIN(1000,G382))),"")</f>
        <v/>
      </c>
      <c r="K382" s="7" t="n">
        <f aca="false">IF(c_TPOT&gt;1,QUOTIENT(I382+J382,2),I382)</f>
        <v>1000</v>
      </c>
      <c r="L382" s="7" t="n">
        <f aca="false">IF(AND(K382=0,c_TCREEP&gt;0),10*c_TCREEP,IF(AND(K382&lt;=c_TRNGMIN,K382&gt;=c_TRNGMAX,c_TRNGMIN-c_TRNGMAX&lt;&gt;0),-10*c_TMINRN+QUOTIENT((c_TMAXRN-c_TMINRN)*(100-QUOTIENT((K382-c_TRNGMAX)*100,c_TRNGMIN-c_TRNGMAX)),-10),0))</f>
        <v>0</v>
      </c>
      <c r="M382" s="7" t="n">
        <f aca="false">IF(((c_TMAP1IN)-(c_TFWD))=0,(0)+QUOTIENT(((c_TMAP1OUT)-(0)),2),QUOTIENT((((K382)-(c_TFWD))*((c_TMAP1OUT)-(0))+IF(((c_TMAP1OUT)-(0))&gt;=0,1,-1)*QUOTIENT(((c_TMAP1IN)-(c_TFWD)),2)),((c_TMAP1IN)-(c_TFWD)))+(0)+IF(((c_TMAP1OUT)-(0))&gt;=0,IF(IF(o_WRAP=1,MOD(((c_TMAP1IN)-(c_TFWD))*(((K382)-(c_TFWD))*((c_TMAP1OUT)-(0))+IF(((c_TMAP1OUT)-(0))&gt;=0,1,-1)*QUOTIENT(((c_TMAP1IN)-(c_TFWD)),2))+2147483648,4294967296)-2147483648,((c_TMAP1IN)-(c_TFWD))*(((K382)-(c_TFWD))*((c_TMAP1OUT)-(0))+IF(((c_TMAP1OUT)-(0))&gt;=0,1,-1)*QUOTIENT(((c_TMAP1IN)-(c_TFWD)),2)))&lt;0,-1,0),IF(IF(o_WRAP=1,MOD(((c_TMAP1IN)-(c_TFWD))*(((K382)-(c_TFWD))*((c_TMAP1OUT)-(0))+IF(((c_TMAP1OUT)-(0))&gt;=0,1,-1)*QUOTIENT(((c_TMAP1IN)-(c_TFWD)),2))+2147483648,4294967296)-2147483648,((c_TMAP1IN)-(c_TFWD))*(((K382)-(c_TFWD))*((c_TMAP1OUT)-(0))+IF(((c_TMAP1OUT)-(0))&gt;=0,1,-1)*QUOTIENT(((c_TMAP1IN)-(c_TFWD)),2)))&gt;=0,1,0)))</f>
        <v>770</v>
      </c>
      <c r="N382" s="7" t="n">
        <f aca="false">IF(((c_TMAP2IN)-(c_TMAP1IN))=0,(c_TMAP1OUT)+QUOTIENT(((c_TMAP2OUT)-(c_TMAP1OUT)),2),QUOTIENT((((K382)-(c_TMAP1IN))*((c_TMAP2OUT)-(c_TMAP1OUT))+IF(((c_TMAP2OUT)-(c_TMAP1OUT))&gt;=0,1,-1)*QUOTIENT(((c_TMAP2IN)-(c_TMAP1IN)),2)),((c_TMAP2IN)-(c_TMAP1IN)))+(c_TMAP1OUT)+IF(((c_TMAP2OUT)-(c_TMAP1OUT))&gt;=0,IF(IF(o_WRAP=1,MOD(((c_TMAP2IN)-(c_TMAP1IN))*(((K382)-(c_TMAP1IN))*((c_TMAP2OUT)-(c_TMAP1OUT))+IF(((c_TMAP2OUT)-(c_TMAP1OUT))&gt;=0,1,-1)*QUOTIENT(((c_TMAP2IN)-(c_TMAP1IN)),2))+2147483648,4294967296)-2147483648,((c_TMAP2IN)-(c_TMAP1IN))*(((K382)-(c_TMAP1IN))*((c_TMAP2OUT)-(c_TMAP1OUT))+IF(((c_TMAP2OUT)-(c_TMAP1OUT))&gt;=0,1,-1)*QUOTIENT(((c_TMAP2IN)-(c_TMAP1IN)),2)))&lt;0,-1,0),IF(IF(o_WRAP=1,MOD(((c_TMAP2IN)-(c_TMAP1IN))*(((K382)-(c_TMAP1IN))*((c_TMAP2OUT)-(c_TMAP1OUT))+IF(((c_TMAP2OUT)-(c_TMAP1OUT))&gt;=0,1,-1)*QUOTIENT(((c_TMAP2IN)-(c_TMAP1IN)),2))+2147483648,4294967296)-2147483648,((c_TMAP2IN)-(c_TMAP1IN))*(((K382)-(c_TMAP1IN))*((c_TMAP2OUT)-(c_TMAP1OUT))+IF(((c_TMAP2OUT)-(c_TMAP1OUT))&gt;=0,1,-1)*QUOTIENT(((c_TMAP2IN)-(c_TMAP1IN)),2)))&gt;=0,1,0)))</f>
        <v>430</v>
      </c>
      <c r="O382" s="7" t="n">
        <f aca="false">IF(((c_TMAP3IN)-(c_TMAP2IN))=0,(c_TMAP2OUT)+QUOTIENT(((c_TMAP3OUT)-(c_TMAP2OUT)),2),QUOTIENT((((K382)-(c_TMAP2IN))*((c_TMAP3OUT)-(c_TMAP2OUT))+IF(((c_TMAP3OUT)-(c_TMAP2OUT))&gt;=0,1,-1)*QUOTIENT(((c_TMAP3IN)-(c_TMAP2IN)),2)),((c_TMAP3IN)-(c_TMAP2IN)))+(c_TMAP2OUT)+IF(((c_TMAP3OUT)-(c_TMAP2OUT))&gt;=0,IF(IF(o_WRAP=1,MOD(((c_TMAP3IN)-(c_TMAP2IN))*(((K382)-(c_TMAP2IN))*((c_TMAP3OUT)-(c_TMAP2OUT))+IF(((c_TMAP3OUT)-(c_TMAP2OUT))&gt;=0,1,-1)*QUOTIENT(((c_TMAP3IN)-(c_TMAP2IN)),2))+2147483648,4294967296)-2147483648,((c_TMAP3IN)-(c_TMAP2IN))*(((K382)-(c_TMAP2IN))*((c_TMAP3OUT)-(c_TMAP2OUT))+IF(((c_TMAP3OUT)-(c_TMAP2OUT))&gt;=0,1,-1)*QUOTIENT(((c_TMAP3IN)-(c_TMAP2IN)),2)))&lt;0,-1,0),IF(IF(o_WRAP=1,MOD(((c_TMAP3IN)-(c_TMAP2IN))*(((K382)-(c_TMAP2IN))*((c_TMAP3OUT)-(c_TMAP2OUT))+IF(((c_TMAP3OUT)-(c_TMAP2OUT))&gt;=0,1,-1)*QUOTIENT(((c_TMAP3IN)-(c_TMAP2IN)),2))+2147483648,4294967296)-2147483648,((c_TMAP3IN)-(c_TMAP2IN))*(((K382)-(c_TMAP2IN))*((c_TMAP3OUT)-(c_TMAP2OUT))+IF(((c_TMAP3OUT)-(c_TMAP2OUT))&gt;=0,1,-1)*QUOTIENT(((c_TMAP3IN)-(c_TMAP2IN)),2)))&gt;=0,1,0)))</f>
        <v>655</v>
      </c>
      <c r="P382" s="7" t="n">
        <f aca="false">IF(((1000)-(c_TMAP3IN))=0,(c_TMAP3OUT)+QUOTIENT(((1000)-(c_TMAP3OUT)),2),QUOTIENT((((K382)-(c_TMAP3IN))*((1000)-(c_TMAP3OUT))+IF(((1000)-(c_TMAP3OUT))&gt;=0,1,-1)*QUOTIENT(((1000)-(c_TMAP3IN)),2)),((1000)-(c_TMAP3IN)))+(c_TMAP3OUT)+IF(((1000)-(c_TMAP3OUT))&gt;=0,IF(IF(o_WRAP=1,MOD(((1000)-(c_TMAP3IN))*(((K382)-(c_TMAP3IN))*((1000)-(c_TMAP3OUT))+IF(((1000)-(c_TMAP3OUT))&gt;=0,1,-1)*QUOTIENT(((1000)-(c_TMAP3IN)),2))+2147483648,4294967296)-2147483648,((1000)-(c_TMAP3IN))*(((K382)-(c_TMAP3IN))*((1000)-(c_TMAP3OUT))+IF(((1000)-(c_TMAP3OUT))&gt;=0,1,-1)*QUOTIENT(((1000)-(c_TMAP3IN)),2)))&lt;0,-1,0),IF(IF(o_WRAP=1,MOD(((1000)-(c_TMAP3IN))*(((K382)-(c_TMAP3IN))*((1000)-(c_TMAP3OUT))+IF(((1000)-(c_TMAP3OUT))&gt;=0,1,-1)*QUOTIENT(((1000)-(c_TMAP3IN)),2))+2147483648,4294967296)-2147483648,((1000)-(c_TMAP3IN))*(((K382)-(c_TMAP3IN))*((1000)-(c_TMAP3OUT))+IF(((1000)-(c_TMAP3OUT))&gt;=0,1,-1)*QUOTIENT(((1000)-(c_TMAP3IN)),2)))&gt;=0,1,0)))</f>
        <v>1000</v>
      </c>
      <c r="Q382" s="7" t="str">
        <f aca="false">IF(K382&gt;=c_TFWD,IF(AND(K382&gt;=c_TMAP3IN,c_TMAP3IN&lt;1000),"Seg4 map3-100%",IF(AND(K382&gt;=c_TMAP2IN,c_TMAP3IN&gt;c_TMAP2IN),"Seg3 map2-map3",IF(AND(K382&gt;=c_TMAP1IN,c_TMAP2IN&gt;c_TMAP1IN),"Seg2 map1-map2","Seg1 TFWD-map1"))),IF(AND(K382=0,c_TCREEP&gt;0),"Creep",IF(AND(K382&lt;=c_TRNGMIN,K382&gt;=c_TRNGMAX,c_TRNGMIN-c_TRNGMAX&lt;&gt;0),"Regen ramp","Coast (0)")))</f>
        <v>Seg4 map3-100%</v>
      </c>
      <c r="R382" s="7" t="n">
        <f aca="false">IF(K382&gt;=c_TFWD,IF(AND(K382&gt;=c_TMAP3IN,c_TMAP3IN&lt;1000),P382,IF(AND(K382&gt;=c_TMAP2IN,c_TMAP3IN&gt;c_TMAP2IN),O382,IF(AND(K382&gt;=c_TMAP1IN,c_TMAP2IN&gt;c_TMAP1IN),N382,M382))),L382)</f>
        <v>1000</v>
      </c>
      <c r="S382" s="7" t="str">
        <f aca="false">IF(R382&lt;-1090,"TOO LOW",IF(R382&gt;1090,"TOO HIGH",""))</f>
        <v/>
      </c>
      <c r="T382" s="15" t="n">
        <f aca="false">IF(H382&lt;&gt;"OK",0,IF(S382&lt;&gt;"",0,IF(R382&gt;979,1000,R382)))</f>
        <v>1000</v>
      </c>
      <c r="U382" s="7" t="n">
        <f aca="false">T382/10</f>
        <v>100</v>
      </c>
    </row>
    <row r="383" customFormat="false" ht="15" hidden="false" customHeight="false" outlineLevel="0" collapsed="false">
      <c r="A383" s="7" t="n">
        <v>378</v>
      </c>
      <c r="B383" s="7" t="n">
        <f aca="false">ROUND(o_SWSTART+A383*(o_SWEND-o_SWSTART)/400,0)</f>
        <v>3870</v>
      </c>
      <c r="C383" s="7" t="n">
        <f aca="false">QUOTIENT((B383-c_OFF1)*c_GAIN1,1024)</f>
        <v>3870</v>
      </c>
      <c r="D383" s="7" t="n">
        <f aca="false">IF(((c_T1MX)-(c_T1MN))=0,(0)+QUOTIENT(((1000)-(0)),2),QUOTIENT((((C383)-(c_T1MN))*((1000)-(0))+IF(((1000)-(0))&gt;=0,1,-1)*QUOTIENT(((c_T1MX)-(c_T1MN)),2)),((c_T1MX)-(c_T1MN)))+(0)+IF(((1000)-(0))&gt;=0,IF(IF(o_WRAP=1,MOD(((c_T1MX)-(c_T1MN))*(((C383)-(c_T1MN))*((1000)-(0))+IF(((1000)-(0))&gt;=0,1,-1)*QUOTIENT(((c_T1MX)-(c_T1MN)),2))+2147483648,4294967296)-2147483648,((c_T1MX)-(c_T1MN))*(((C383)-(c_T1MN))*((1000)-(0))+IF(((1000)-(0))&gt;=0,1,-1)*QUOTIENT(((c_T1MX)-(c_T1MN)),2)))&lt;0,-1,0),IF(IF(o_WRAP=1,MOD(((c_T1MX)-(c_T1MN))*(((C383)-(c_T1MN))*((1000)-(0))+IF(((1000)-(0))&gt;=0,1,-1)*QUOTIENT(((c_T1MX)-(c_T1MN)),2))+2147483648,4294967296)-2147483648,((c_T1MX)-(c_T1MN))*(((C383)-(c_T1MN))*((1000)-(0))+IF(((1000)-(0))&gt;=0,1,-1)*QUOTIENT(((c_T1MX)-(c_T1MN)),2)))&gt;=0,1,0)))</f>
        <v>1142</v>
      </c>
      <c r="E383" s="7" t="n">
        <f aca="false">IF(AND(c_TPOT=1,c_TTYPE=2),1000-D383,D383)</f>
        <v>1142</v>
      </c>
      <c r="F383" s="7" t="str">
        <f aca="false">IF(c_TPOT&gt;1,ROUND(IF(c_TTYPE=2,c_T2MX-IF(c_T1MX=c_T1MN,0,(C383-c_T1MN)/(c_T1MX-c_T1MN))*(c_T2MX-c_T2MN),c_T2MN+IF(c_T1MX=c_T1MN,0,(C383-c_T1MN)/(c_T1MX-c_T1MN))*(c_T2MX-c_T2MN))+o_MISMATCH,0),"")</f>
        <v/>
      </c>
      <c r="G383" s="7" t="str">
        <f aca="false">IF(c_TPOT&gt;1,IF(((c_T2MX)-(c_T2MN))=0,(0)+QUOTIENT(((1000)-(0)),2),QUOTIENT((((F383)-(c_T2MN))*((1000)-(0))+IF(((1000)-(0))&gt;=0,1,-1)*QUOTIENT(((c_T2MX)-(c_T2MN)),2)),((c_T2MX)-(c_T2MN)))+(0)+IF(((1000)-(0))&gt;=0,IF(IF(o_WRAP=1,MOD(((c_T2MX)-(c_T2MN))*(((F383)-(c_T2MN))*((1000)-(0))+IF(((1000)-(0))&gt;=0,1,-1)*QUOTIENT(((c_T2MX)-(c_T2MN)),2))+2147483648,4294967296)-2147483648,((c_T2MX)-(c_T2MN))*(((F383)-(c_T2MN))*((1000)-(0))+IF(((1000)-(0))&gt;=0,1,-1)*QUOTIENT(((c_T2MX)-(c_T2MN)),2)))&lt;0,-1,0),IF(IF(o_WRAP=1,MOD(((c_T2MX)-(c_T2MN))*(((F383)-(c_T2MN))*((1000)-(0))+IF(((1000)-(0))&gt;=0,1,-1)*QUOTIENT(((c_T2MX)-(c_T2MN)),2))+2147483648,4294967296)-2147483648,((c_T2MX)-(c_T2MN))*(((F383)-(c_T2MN))*((1000)-(0))+IF(((1000)-(0))&gt;=0,1,-1)*QUOTIENT(((c_T2MX)-(c_T2MN)),2)))&gt;=0,1,0))),"")</f>
        <v/>
      </c>
      <c r="H383" s="7" t="str">
        <f aca="false">IF(E383&gt;1000+k_TOL,"T1 HIGH",IF(E383&lt;0-k_TOL,"T1 LOW",IF(c_TPOT&gt;1,IF(G383&gt;1000+k_TOL,"T2 HIGH",IF(G383&lt;0-k_TOL,"T2 LOW",IF(c_TTYPE=2,IF(ABS(1000-MAX(0,MIN(1000,E383))-MAX(0,MIN(1000,G383)))&gt;k_MAXERR,"MISMATCH","OK"),IF(OR(MAX(0,MIN(1000,E383))-k_MAXERR&gt;MAX(0,MIN(1000,G383)),MAX(0,MIN(1000,G383))-k_MAXERR&gt;MAX(0,MIN(1000,E383))),"MISMATCH","OK")))),"OK")))</f>
        <v>OK</v>
      </c>
      <c r="I383" s="7" t="n">
        <f aca="false">MAX(0,MIN(1000,D383))</f>
        <v>1000</v>
      </c>
      <c r="J383" s="7" t="str">
        <f aca="false">IF(c_TPOT&gt;1,IF(c_TTYPE=2,1000-MAX(0,MIN(1000,G383)),MAX(0,MIN(1000,G383))),"")</f>
        <v/>
      </c>
      <c r="K383" s="7" t="n">
        <f aca="false">IF(c_TPOT&gt;1,QUOTIENT(I383+J383,2),I383)</f>
        <v>1000</v>
      </c>
      <c r="L383" s="7" t="n">
        <f aca="false">IF(AND(K383=0,c_TCREEP&gt;0),10*c_TCREEP,IF(AND(K383&lt;=c_TRNGMIN,K383&gt;=c_TRNGMAX,c_TRNGMIN-c_TRNGMAX&lt;&gt;0),-10*c_TMINRN+QUOTIENT((c_TMAXRN-c_TMINRN)*(100-QUOTIENT((K383-c_TRNGMAX)*100,c_TRNGMIN-c_TRNGMAX)),-10),0))</f>
        <v>0</v>
      </c>
      <c r="M383" s="7" t="n">
        <f aca="false">IF(((c_TMAP1IN)-(c_TFWD))=0,(0)+QUOTIENT(((c_TMAP1OUT)-(0)),2),QUOTIENT((((K383)-(c_TFWD))*((c_TMAP1OUT)-(0))+IF(((c_TMAP1OUT)-(0))&gt;=0,1,-1)*QUOTIENT(((c_TMAP1IN)-(c_TFWD)),2)),((c_TMAP1IN)-(c_TFWD)))+(0)+IF(((c_TMAP1OUT)-(0))&gt;=0,IF(IF(o_WRAP=1,MOD(((c_TMAP1IN)-(c_TFWD))*(((K383)-(c_TFWD))*((c_TMAP1OUT)-(0))+IF(((c_TMAP1OUT)-(0))&gt;=0,1,-1)*QUOTIENT(((c_TMAP1IN)-(c_TFWD)),2))+2147483648,4294967296)-2147483648,((c_TMAP1IN)-(c_TFWD))*(((K383)-(c_TFWD))*((c_TMAP1OUT)-(0))+IF(((c_TMAP1OUT)-(0))&gt;=0,1,-1)*QUOTIENT(((c_TMAP1IN)-(c_TFWD)),2)))&lt;0,-1,0),IF(IF(o_WRAP=1,MOD(((c_TMAP1IN)-(c_TFWD))*(((K383)-(c_TFWD))*((c_TMAP1OUT)-(0))+IF(((c_TMAP1OUT)-(0))&gt;=0,1,-1)*QUOTIENT(((c_TMAP1IN)-(c_TFWD)),2))+2147483648,4294967296)-2147483648,((c_TMAP1IN)-(c_TFWD))*(((K383)-(c_TFWD))*((c_TMAP1OUT)-(0))+IF(((c_TMAP1OUT)-(0))&gt;=0,1,-1)*QUOTIENT(((c_TMAP1IN)-(c_TFWD)),2)))&gt;=0,1,0)))</f>
        <v>770</v>
      </c>
      <c r="N383" s="7" t="n">
        <f aca="false">IF(((c_TMAP2IN)-(c_TMAP1IN))=0,(c_TMAP1OUT)+QUOTIENT(((c_TMAP2OUT)-(c_TMAP1OUT)),2),QUOTIENT((((K383)-(c_TMAP1IN))*((c_TMAP2OUT)-(c_TMAP1OUT))+IF(((c_TMAP2OUT)-(c_TMAP1OUT))&gt;=0,1,-1)*QUOTIENT(((c_TMAP2IN)-(c_TMAP1IN)),2)),((c_TMAP2IN)-(c_TMAP1IN)))+(c_TMAP1OUT)+IF(((c_TMAP2OUT)-(c_TMAP1OUT))&gt;=0,IF(IF(o_WRAP=1,MOD(((c_TMAP2IN)-(c_TMAP1IN))*(((K383)-(c_TMAP1IN))*((c_TMAP2OUT)-(c_TMAP1OUT))+IF(((c_TMAP2OUT)-(c_TMAP1OUT))&gt;=0,1,-1)*QUOTIENT(((c_TMAP2IN)-(c_TMAP1IN)),2))+2147483648,4294967296)-2147483648,((c_TMAP2IN)-(c_TMAP1IN))*(((K383)-(c_TMAP1IN))*((c_TMAP2OUT)-(c_TMAP1OUT))+IF(((c_TMAP2OUT)-(c_TMAP1OUT))&gt;=0,1,-1)*QUOTIENT(((c_TMAP2IN)-(c_TMAP1IN)),2)))&lt;0,-1,0),IF(IF(o_WRAP=1,MOD(((c_TMAP2IN)-(c_TMAP1IN))*(((K383)-(c_TMAP1IN))*((c_TMAP2OUT)-(c_TMAP1OUT))+IF(((c_TMAP2OUT)-(c_TMAP1OUT))&gt;=0,1,-1)*QUOTIENT(((c_TMAP2IN)-(c_TMAP1IN)),2))+2147483648,4294967296)-2147483648,((c_TMAP2IN)-(c_TMAP1IN))*(((K383)-(c_TMAP1IN))*((c_TMAP2OUT)-(c_TMAP1OUT))+IF(((c_TMAP2OUT)-(c_TMAP1OUT))&gt;=0,1,-1)*QUOTIENT(((c_TMAP2IN)-(c_TMAP1IN)),2)))&gt;=0,1,0)))</f>
        <v>430</v>
      </c>
      <c r="O383" s="7" t="n">
        <f aca="false">IF(((c_TMAP3IN)-(c_TMAP2IN))=0,(c_TMAP2OUT)+QUOTIENT(((c_TMAP3OUT)-(c_TMAP2OUT)),2),QUOTIENT((((K383)-(c_TMAP2IN))*((c_TMAP3OUT)-(c_TMAP2OUT))+IF(((c_TMAP3OUT)-(c_TMAP2OUT))&gt;=0,1,-1)*QUOTIENT(((c_TMAP3IN)-(c_TMAP2IN)),2)),((c_TMAP3IN)-(c_TMAP2IN)))+(c_TMAP2OUT)+IF(((c_TMAP3OUT)-(c_TMAP2OUT))&gt;=0,IF(IF(o_WRAP=1,MOD(((c_TMAP3IN)-(c_TMAP2IN))*(((K383)-(c_TMAP2IN))*((c_TMAP3OUT)-(c_TMAP2OUT))+IF(((c_TMAP3OUT)-(c_TMAP2OUT))&gt;=0,1,-1)*QUOTIENT(((c_TMAP3IN)-(c_TMAP2IN)),2))+2147483648,4294967296)-2147483648,((c_TMAP3IN)-(c_TMAP2IN))*(((K383)-(c_TMAP2IN))*((c_TMAP3OUT)-(c_TMAP2OUT))+IF(((c_TMAP3OUT)-(c_TMAP2OUT))&gt;=0,1,-1)*QUOTIENT(((c_TMAP3IN)-(c_TMAP2IN)),2)))&lt;0,-1,0),IF(IF(o_WRAP=1,MOD(((c_TMAP3IN)-(c_TMAP2IN))*(((K383)-(c_TMAP2IN))*((c_TMAP3OUT)-(c_TMAP2OUT))+IF(((c_TMAP3OUT)-(c_TMAP2OUT))&gt;=0,1,-1)*QUOTIENT(((c_TMAP3IN)-(c_TMAP2IN)),2))+2147483648,4294967296)-2147483648,((c_TMAP3IN)-(c_TMAP2IN))*(((K383)-(c_TMAP2IN))*((c_TMAP3OUT)-(c_TMAP2OUT))+IF(((c_TMAP3OUT)-(c_TMAP2OUT))&gt;=0,1,-1)*QUOTIENT(((c_TMAP3IN)-(c_TMAP2IN)),2)))&gt;=0,1,0)))</f>
        <v>655</v>
      </c>
      <c r="P383" s="7" t="n">
        <f aca="false">IF(((1000)-(c_TMAP3IN))=0,(c_TMAP3OUT)+QUOTIENT(((1000)-(c_TMAP3OUT)),2),QUOTIENT((((K383)-(c_TMAP3IN))*((1000)-(c_TMAP3OUT))+IF(((1000)-(c_TMAP3OUT))&gt;=0,1,-1)*QUOTIENT(((1000)-(c_TMAP3IN)),2)),((1000)-(c_TMAP3IN)))+(c_TMAP3OUT)+IF(((1000)-(c_TMAP3OUT))&gt;=0,IF(IF(o_WRAP=1,MOD(((1000)-(c_TMAP3IN))*(((K383)-(c_TMAP3IN))*((1000)-(c_TMAP3OUT))+IF(((1000)-(c_TMAP3OUT))&gt;=0,1,-1)*QUOTIENT(((1000)-(c_TMAP3IN)),2))+2147483648,4294967296)-2147483648,((1000)-(c_TMAP3IN))*(((K383)-(c_TMAP3IN))*((1000)-(c_TMAP3OUT))+IF(((1000)-(c_TMAP3OUT))&gt;=0,1,-1)*QUOTIENT(((1000)-(c_TMAP3IN)),2)))&lt;0,-1,0),IF(IF(o_WRAP=1,MOD(((1000)-(c_TMAP3IN))*(((K383)-(c_TMAP3IN))*((1000)-(c_TMAP3OUT))+IF(((1000)-(c_TMAP3OUT))&gt;=0,1,-1)*QUOTIENT(((1000)-(c_TMAP3IN)),2))+2147483648,4294967296)-2147483648,((1000)-(c_TMAP3IN))*(((K383)-(c_TMAP3IN))*((1000)-(c_TMAP3OUT))+IF(((1000)-(c_TMAP3OUT))&gt;=0,1,-1)*QUOTIENT(((1000)-(c_TMAP3IN)),2)))&gt;=0,1,0)))</f>
        <v>1000</v>
      </c>
      <c r="Q383" s="7" t="str">
        <f aca="false">IF(K383&gt;=c_TFWD,IF(AND(K383&gt;=c_TMAP3IN,c_TMAP3IN&lt;1000),"Seg4 map3-100%",IF(AND(K383&gt;=c_TMAP2IN,c_TMAP3IN&gt;c_TMAP2IN),"Seg3 map2-map3",IF(AND(K383&gt;=c_TMAP1IN,c_TMAP2IN&gt;c_TMAP1IN),"Seg2 map1-map2","Seg1 TFWD-map1"))),IF(AND(K383=0,c_TCREEP&gt;0),"Creep",IF(AND(K383&lt;=c_TRNGMIN,K383&gt;=c_TRNGMAX,c_TRNGMIN-c_TRNGMAX&lt;&gt;0),"Regen ramp","Coast (0)")))</f>
        <v>Seg4 map3-100%</v>
      </c>
      <c r="R383" s="7" t="n">
        <f aca="false">IF(K383&gt;=c_TFWD,IF(AND(K383&gt;=c_TMAP3IN,c_TMAP3IN&lt;1000),P383,IF(AND(K383&gt;=c_TMAP2IN,c_TMAP3IN&gt;c_TMAP2IN),O383,IF(AND(K383&gt;=c_TMAP1IN,c_TMAP2IN&gt;c_TMAP1IN),N383,M383))),L383)</f>
        <v>1000</v>
      </c>
      <c r="S383" s="7" t="str">
        <f aca="false">IF(R383&lt;-1090,"TOO LOW",IF(R383&gt;1090,"TOO HIGH",""))</f>
        <v/>
      </c>
      <c r="T383" s="15" t="n">
        <f aca="false">IF(H383&lt;&gt;"OK",0,IF(S383&lt;&gt;"",0,IF(R383&gt;979,1000,R383)))</f>
        <v>1000</v>
      </c>
      <c r="U383" s="7" t="n">
        <f aca="false">T383/10</f>
        <v>100</v>
      </c>
    </row>
    <row r="384" customFormat="false" ht="15" hidden="false" customHeight="false" outlineLevel="0" collapsed="false">
      <c r="A384" s="7" t="n">
        <v>379</v>
      </c>
      <c r="B384" s="7" t="n">
        <f aca="false">ROUND(o_SWSTART+A384*(o_SWEND-o_SWSTART)/400,0)</f>
        <v>3880</v>
      </c>
      <c r="C384" s="7" t="n">
        <f aca="false">QUOTIENT((B384-c_OFF1)*c_GAIN1,1024)</f>
        <v>3880</v>
      </c>
      <c r="D384" s="7" t="n">
        <f aca="false">IF(((c_T1MX)-(c_T1MN))=0,(0)+QUOTIENT(((1000)-(0)),2),QUOTIENT((((C384)-(c_T1MN))*((1000)-(0))+IF(((1000)-(0))&gt;=0,1,-1)*QUOTIENT(((c_T1MX)-(c_T1MN)),2)),((c_T1MX)-(c_T1MN)))+(0)+IF(((1000)-(0))&gt;=0,IF(IF(o_WRAP=1,MOD(((c_T1MX)-(c_T1MN))*(((C384)-(c_T1MN))*((1000)-(0))+IF(((1000)-(0))&gt;=0,1,-1)*QUOTIENT(((c_T1MX)-(c_T1MN)),2))+2147483648,4294967296)-2147483648,((c_T1MX)-(c_T1MN))*(((C384)-(c_T1MN))*((1000)-(0))+IF(((1000)-(0))&gt;=0,1,-1)*QUOTIENT(((c_T1MX)-(c_T1MN)),2)))&lt;0,-1,0),IF(IF(o_WRAP=1,MOD(((c_T1MX)-(c_T1MN))*(((C384)-(c_T1MN))*((1000)-(0))+IF(((1000)-(0))&gt;=0,1,-1)*QUOTIENT(((c_T1MX)-(c_T1MN)),2))+2147483648,4294967296)-2147483648,((c_T1MX)-(c_T1MN))*(((C384)-(c_T1MN))*((1000)-(0))+IF(((1000)-(0))&gt;=0,1,-1)*QUOTIENT(((c_T1MX)-(c_T1MN)),2)))&gt;=0,1,0)))</f>
        <v>1145</v>
      </c>
      <c r="E384" s="7" t="n">
        <f aca="false">IF(AND(c_TPOT=1,c_TTYPE=2),1000-D384,D384)</f>
        <v>1145</v>
      </c>
      <c r="F384" s="7" t="str">
        <f aca="false">IF(c_TPOT&gt;1,ROUND(IF(c_TTYPE=2,c_T2MX-IF(c_T1MX=c_T1MN,0,(C384-c_T1MN)/(c_T1MX-c_T1MN))*(c_T2MX-c_T2MN),c_T2MN+IF(c_T1MX=c_T1MN,0,(C384-c_T1MN)/(c_T1MX-c_T1MN))*(c_T2MX-c_T2MN))+o_MISMATCH,0),"")</f>
        <v/>
      </c>
      <c r="G384" s="7" t="str">
        <f aca="false">IF(c_TPOT&gt;1,IF(((c_T2MX)-(c_T2MN))=0,(0)+QUOTIENT(((1000)-(0)),2),QUOTIENT((((F384)-(c_T2MN))*((1000)-(0))+IF(((1000)-(0))&gt;=0,1,-1)*QUOTIENT(((c_T2MX)-(c_T2MN)),2)),((c_T2MX)-(c_T2MN)))+(0)+IF(((1000)-(0))&gt;=0,IF(IF(o_WRAP=1,MOD(((c_T2MX)-(c_T2MN))*(((F384)-(c_T2MN))*((1000)-(0))+IF(((1000)-(0))&gt;=0,1,-1)*QUOTIENT(((c_T2MX)-(c_T2MN)),2))+2147483648,4294967296)-2147483648,((c_T2MX)-(c_T2MN))*(((F384)-(c_T2MN))*((1000)-(0))+IF(((1000)-(0))&gt;=0,1,-1)*QUOTIENT(((c_T2MX)-(c_T2MN)),2)))&lt;0,-1,0),IF(IF(o_WRAP=1,MOD(((c_T2MX)-(c_T2MN))*(((F384)-(c_T2MN))*((1000)-(0))+IF(((1000)-(0))&gt;=0,1,-1)*QUOTIENT(((c_T2MX)-(c_T2MN)),2))+2147483648,4294967296)-2147483648,((c_T2MX)-(c_T2MN))*(((F384)-(c_T2MN))*((1000)-(0))+IF(((1000)-(0))&gt;=0,1,-1)*QUOTIENT(((c_T2MX)-(c_T2MN)),2)))&gt;=0,1,0))),"")</f>
        <v/>
      </c>
      <c r="H384" s="7" t="str">
        <f aca="false">IF(E384&gt;1000+k_TOL,"T1 HIGH",IF(E384&lt;0-k_TOL,"T1 LOW",IF(c_TPOT&gt;1,IF(G384&gt;1000+k_TOL,"T2 HIGH",IF(G384&lt;0-k_TOL,"T2 LOW",IF(c_TTYPE=2,IF(ABS(1000-MAX(0,MIN(1000,E384))-MAX(0,MIN(1000,G384)))&gt;k_MAXERR,"MISMATCH","OK"),IF(OR(MAX(0,MIN(1000,E384))-k_MAXERR&gt;MAX(0,MIN(1000,G384)),MAX(0,MIN(1000,G384))-k_MAXERR&gt;MAX(0,MIN(1000,E384))),"MISMATCH","OK")))),"OK")))</f>
        <v>OK</v>
      </c>
      <c r="I384" s="7" t="n">
        <f aca="false">MAX(0,MIN(1000,D384))</f>
        <v>1000</v>
      </c>
      <c r="J384" s="7" t="str">
        <f aca="false">IF(c_TPOT&gt;1,IF(c_TTYPE=2,1000-MAX(0,MIN(1000,G384)),MAX(0,MIN(1000,G384))),"")</f>
        <v/>
      </c>
      <c r="K384" s="7" t="n">
        <f aca="false">IF(c_TPOT&gt;1,QUOTIENT(I384+J384,2),I384)</f>
        <v>1000</v>
      </c>
      <c r="L384" s="7" t="n">
        <f aca="false">IF(AND(K384=0,c_TCREEP&gt;0),10*c_TCREEP,IF(AND(K384&lt;=c_TRNGMIN,K384&gt;=c_TRNGMAX,c_TRNGMIN-c_TRNGMAX&lt;&gt;0),-10*c_TMINRN+QUOTIENT((c_TMAXRN-c_TMINRN)*(100-QUOTIENT((K384-c_TRNGMAX)*100,c_TRNGMIN-c_TRNGMAX)),-10),0))</f>
        <v>0</v>
      </c>
      <c r="M384" s="7" t="n">
        <f aca="false">IF(((c_TMAP1IN)-(c_TFWD))=0,(0)+QUOTIENT(((c_TMAP1OUT)-(0)),2),QUOTIENT((((K384)-(c_TFWD))*((c_TMAP1OUT)-(0))+IF(((c_TMAP1OUT)-(0))&gt;=0,1,-1)*QUOTIENT(((c_TMAP1IN)-(c_TFWD)),2)),((c_TMAP1IN)-(c_TFWD)))+(0)+IF(((c_TMAP1OUT)-(0))&gt;=0,IF(IF(o_WRAP=1,MOD(((c_TMAP1IN)-(c_TFWD))*(((K384)-(c_TFWD))*((c_TMAP1OUT)-(0))+IF(((c_TMAP1OUT)-(0))&gt;=0,1,-1)*QUOTIENT(((c_TMAP1IN)-(c_TFWD)),2))+2147483648,4294967296)-2147483648,((c_TMAP1IN)-(c_TFWD))*(((K384)-(c_TFWD))*((c_TMAP1OUT)-(0))+IF(((c_TMAP1OUT)-(0))&gt;=0,1,-1)*QUOTIENT(((c_TMAP1IN)-(c_TFWD)),2)))&lt;0,-1,0),IF(IF(o_WRAP=1,MOD(((c_TMAP1IN)-(c_TFWD))*(((K384)-(c_TFWD))*((c_TMAP1OUT)-(0))+IF(((c_TMAP1OUT)-(0))&gt;=0,1,-1)*QUOTIENT(((c_TMAP1IN)-(c_TFWD)),2))+2147483648,4294967296)-2147483648,((c_TMAP1IN)-(c_TFWD))*(((K384)-(c_TFWD))*((c_TMAP1OUT)-(0))+IF(((c_TMAP1OUT)-(0))&gt;=0,1,-1)*QUOTIENT(((c_TMAP1IN)-(c_TFWD)),2)))&gt;=0,1,0)))</f>
        <v>770</v>
      </c>
      <c r="N384" s="7" t="n">
        <f aca="false">IF(((c_TMAP2IN)-(c_TMAP1IN))=0,(c_TMAP1OUT)+QUOTIENT(((c_TMAP2OUT)-(c_TMAP1OUT)),2),QUOTIENT((((K384)-(c_TMAP1IN))*((c_TMAP2OUT)-(c_TMAP1OUT))+IF(((c_TMAP2OUT)-(c_TMAP1OUT))&gt;=0,1,-1)*QUOTIENT(((c_TMAP2IN)-(c_TMAP1IN)),2)),((c_TMAP2IN)-(c_TMAP1IN)))+(c_TMAP1OUT)+IF(((c_TMAP2OUT)-(c_TMAP1OUT))&gt;=0,IF(IF(o_WRAP=1,MOD(((c_TMAP2IN)-(c_TMAP1IN))*(((K384)-(c_TMAP1IN))*((c_TMAP2OUT)-(c_TMAP1OUT))+IF(((c_TMAP2OUT)-(c_TMAP1OUT))&gt;=0,1,-1)*QUOTIENT(((c_TMAP2IN)-(c_TMAP1IN)),2))+2147483648,4294967296)-2147483648,((c_TMAP2IN)-(c_TMAP1IN))*(((K384)-(c_TMAP1IN))*((c_TMAP2OUT)-(c_TMAP1OUT))+IF(((c_TMAP2OUT)-(c_TMAP1OUT))&gt;=0,1,-1)*QUOTIENT(((c_TMAP2IN)-(c_TMAP1IN)),2)))&lt;0,-1,0),IF(IF(o_WRAP=1,MOD(((c_TMAP2IN)-(c_TMAP1IN))*(((K384)-(c_TMAP1IN))*((c_TMAP2OUT)-(c_TMAP1OUT))+IF(((c_TMAP2OUT)-(c_TMAP1OUT))&gt;=0,1,-1)*QUOTIENT(((c_TMAP2IN)-(c_TMAP1IN)),2))+2147483648,4294967296)-2147483648,((c_TMAP2IN)-(c_TMAP1IN))*(((K384)-(c_TMAP1IN))*((c_TMAP2OUT)-(c_TMAP1OUT))+IF(((c_TMAP2OUT)-(c_TMAP1OUT))&gt;=0,1,-1)*QUOTIENT(((c_TMAP2IN)-(c_TMAP1IN)),2)))&gt;=0,1,0)))</f>
        <v>430</v>
      </c>
      <c r="O384" s="7" t="n">
        <f aca="false">IF(((c_TMAP3IN)-(c_TMAP2IN))=0,(c_TMAP2OUT)+QUOTIENT(((c_TMAP3OUT)-(c_TMAP2OUT)),2),QUOTIENT((((K384)-(c_TMAP2IN))*((c_TMAP3OUT)-(c_TMAP2OUT))+IF(((c_TMAP3OUT)-(c_TMAP2OUT))&gt;=0,1,-1)*QUOTIENT(((c_TMAP3IN)-(c_TMAP2IN)),2)),((c_TMAP3IN)-(c_TMAP2IN)))+(c_TMAP2OUT)+IF(((c_TMAP3OUT)-(c_TMAP2OUT))&gt;=0,IF(IF(o_WRAP=1,MOD(((c_TMAP3IN)-(c_TMAP2IN))*(((K384)-(c_TMAP2IN))*((c_TMAP3OUT)-(c_TMAP2OUT))+IF(((c_TMAP3OUT)-(c_TMAP2OUT))&gt;=0,1,-1)*QUOTIENT(((c_TMAP3IN)-(c_TMAP2IN)),2))+2147483648,4294967296)-2147483648,((c_TMAP3IN)-(c_TMAP2IN))*(((K384)-(c_TMAP2IN))*((c_TMAP3OUT)-(c_TMAP2OUT))+IF(((c_TMAP3OUT)-(c_TMAP2OUT))&gt;=0,1,-1)*QUOTIENT(((c_TMAP3IN)-(c_TMAP2IN)),2)))&lt;0,-1,0),IF(IF(o_WRAP=1,MOD(((c_TMAP3IN)-(c_TMAP2IN))*(((K384)-(c_TMAP2IN))*((c_TMAP3OUT)-(c_TMAP2OUT))+IF(((c_TMAP3OUT)-(c_TMAP2OUT))&gt;=0,1,-1)*QUOTIENT(((c_TMAP3IN)-(c_TMAP2IN)),2))+2147483648,4294967296)-2147483648,((c_TMAP3IN)-(c_TMAP2IN))*(((K384)-(c_TMAP2IN))*((c_TMAP3OUT)-(c_TMAP2OUT))+IF(((c_TMAP3OUT)-(c_TMAP2OUT))&gt;=0,1,-1)*QUOTIENT(((c_TMAP3IN)-(c_TMAP2IN)),2)))&gt;=0,1,0)))</f>
        <v>655</v>
      </c>
      <c r="P384" s="7" t="n">
        <f aca="false">IF(((1000)-(c_TMAP3IN))=0,(c_TMAP3OUT)+QUOTIENT(((1000)-(c_TMAP3OUT)),2),QUOTIENT((((K384)-(c_TMAP3IN))*((1000)-(c_TMAP3OUT))+IF(((1000)-(c_TMAP3OUT))&gt;=0,1,-1)*QUOTIENT(((1000)-(c_TMAP3IN)),2)),((1000)-(c_TMAP3IN)))+(c_TMAP3OUT)+IF(((1000)-(c_TMAP3OUT))&gt;=0,IF(IF(o_WRAP=1,MOD(((1000)-(c_TMAP3IN))*(((K384)-(c_TMAP3IN))*((1000)-(c_TMAP3OUT))+IF(((1000)-(c_TMAP3OUT))&gt;=0,1,-1)*QUOTIENT(((1000)-(c_TMAP3IN)),2))+2147483648,4294967296)-2147483648,((1000)-(c_TMAP3IN))*(((K384)-(c_TMAP3IN))*((1000)-(c_TMAP3OUT))+IF(((1000)-(c_TMAP3OUT))&gt;=0,1,-1)*QUOTIENT(((1000)-(c_TMAP3IN)),2)))&lt;0,-1,0),IF(IF(o_WRAP=1,MOD(((1000)-(c_TMAP3IN))*(((K384)-(c_TMAP3IN))*((1000)-(c_TMAP3OUT))+IF(((1000)-(c_TMAP3OUT))&gt;=0,1,-1)*QUOTIENT(((1000)-(c_TMAP3IN)),2))+2147483648,4294967296)-2147483648,((1000)-(c_TMAP3IN))*(((K384)-(c_TMAP3IN))*((1000)-(c_TMAP3OUT))+IF(((1000)-(c_TMAP3OUT))&gt;=0,1,-1)*QUOTIENT(((1000)-(c_TMAP3IN)),2)))&gt;=0,1,0)))</f>
        <v>1000</v>
      </c>
      <c r="Q384" s="7" t="str">
        <f aca="false">IF(K384&gt;=c_TFWD,IF(AND(K384&gt;=c_TMAP3IN,c_TMAP3IN&lt;1000),"Seg4 map3-100%",IF(AND(K384&gt;=c_TMAP2IN,c_TMAP3IN&gt;c_TMAP2IN),"Seg3 map2-map3",IF(AND(K384&gt;=c_TMAP1IN,c_TMAP2IN&gt;c_TMAP1IN),"Seg2 map1-map2","Seg1 TFWD-map1"))),IF(AND(K384=0,c_TCREEP&gt;0),"Creep",IF(AND(K384&lt;=c_TRNGMIN,K384&gt;=c_TRNGMAX,c_TRNGMIN-c_TRNGMAX&lt;&gt;0),"Regen ramp","Coast (0)")))</f>
        <v>Seg4 map3-100%</v>
      </c>
      <c r="R384" s="7" t="n">
        <f aca="false">IF(K384&gt;=c_TFWD,IF(AND(K384&gt;=c_TMAP3IN,c_TMAP3IN&lt;1000),P384,IF(AND(K384&gt;=c_TMAP2IN,c_TMAP3IN&gt;c_TMAP2IN),O384,IF(AND(K384&gt;=c_TMAP1IN,c_TMAP2IN&gt;c_TMAP1IN),N384,M384))),L384)</f>
        <v>1000</v>
      </c>
      <c r="S384" s="7" t="str">
        <f aca="false">IF(R384&lt;-1090,"TOO LOW",IF(R384&gt;1090,"TOO HIGH",""))</f>
        <v/>
      </c>
      <c r="T384" s="15" t="n">
        <f aca="false">IF(H384&lt;&gt;"OK",0,IF(S384&lt;&gt;"",0,IF(R384&gt;979,1000,R384)))</f>
        <v>1000</v>
      </c>
      <c r="U384" s="7" t="n">
        <f aca="false">T384/10</f>
        <v>100</v>
      </c>
    </row>
    <row r="385" customFormat="false" ht="15" hidden="false" customHeight="false" outlineLevel="0" collapsed="false">
      <c r="A385" s="7" t="n">
        <v>380</v>
      </c>
      <c r="B385" s="7" t="n">
        <f aca="false">ROUND(o_SWSTART+A385*(o_SWEND-o_SWSTART)/400,0)</f>
        <v>3890</v>
      </c>
      <c r="C385" s="7" t="n">
        <f aca="false">QUOTIENT((B385-c_OFF1)*c_GAIN1,1024)</f>
        <v>3890</v>
      </c>
      <c r="D385" s="7" t="n">
        <f aca="false">IF(((c_T1MX)-(c_T1MN))=0,(0)+QUOTIENT(((1000)-(0)),2),QUOTIENT((((C385)-(c_T1MN))*((1000)-(0))+IF(((1000)-(0))&gt;=0,1,-1)*QUOTIENT(((c_T1MX)-(c_T1MN)),2)),((c_T1MX)-(c_T1MN)))+(0)+IF(((1000)-(0))&gt;=0,IF(IF(o_WRAP=1,MOD(((c_T1MX)-(c_T1MN))*(((C385)-(c_T1MN))*((1000)-(0))+IF(((1000)-(0))&gt;=0,1,-1)*QUOTIENT(((c_T1MX)-(c_T1MN)),2))+2147483648,4294967296)-2147483648,((c_T1MX)-(c_T1MN))*(((C385)-(c_T1MN))*((1000)-(0))+IF(((1000)-(0))&gt;=0,1,-1)*QUOTIENT(((c_T1MX)-(c_T1MN)),2)))&lt;0,-1,0),IF(IF(o_WRAP=1,MOD(((c_T1MX)-(c_T1MN))*(((C385)-(c_T1MN))*((1000)-(0))+IF(((1000)-(0))&gt;=0,1,-1)*QUOTIENT(((c_T1MX)-(c_T1MN)),2))+2147483648,4294967296)-2147483648,((c_T1MX)-(c_T1MN))*(((C385)-(c_T1MN))*((1000)-(0))+IF(((1000)-(0))&gt;=0,1,-1)*QUOTIENT(((c_T1MX)-(c_T1MN)),2)))&gt;=0,1,0)))</f>
        <v>1149</v>
      </c>
      <c r="E385" s="7" t="n">
        <f aca="false">IF(AND(c_TPOT=1,c_TTYPE=2),1000-D385,D385)</f>
        <v>1149</v>
      </c>
      <c r="F385" s="7" t="str">
        <f aca="false">IF(c_TPOT&gt;1,ROUND(IF(c_TTYPE=2,c_T2MX-IF(c_T1MX=c_T1MN,0,(C385-c_T1MN)/(c_T1MX-c_T1MN))*(c_T2MX-c_T2MN),c_T2MN+IF(c_T1MX=c_T1MN,0,(C385-c_T1MN)/(c_T1MX-c_T1MN))*(c_T2MX-c_T2MN))+o_MISMATCH,0),"")</f>
        <v/>
      </c>
      <c r="G385" s="7" t="str">
        <f aca="false">IF(c_TPOT&gt;1,IF(((c_T2MX)-(c_T2MN))=0,(0)+QUOTIENT(((1000)-(0)),2),QUOTIENT((((F385)-(c_T2MN))*((1000)-(0))+IF(((1000)-(0))&gt;=0,1,-1)*QUOTIENT(((c_T2MX)-(c_T2MN)),2)),((c_T2MX)-(c_T2MN)))+(0)+IF(((1000)-(0))&gt;=0,IF(IF(o_WRAP=1,MOD(((c_T2MX)-(c_T2MN))*(((F385)-(c_T2MN))*((1000)-(0))+IF(((1000)-(0))&gt;=0,1,-1)*QUOTIENT(((c_T2MX)-(c_T2MN)),2))+2147483648,4294967296)-2147483648,((c_T2MX)-(c_T2MN))*(((F385)-(c_T2MN))*((1000)-(0))+IF(((1000)-(0))&gt;=0,1,-1)*QUOTIENT(((c_T2MX)-(c_T2MN)),2)))&lt;0,-1,0),IF(IF(o_WRAP=1,MOD(((c_T2MX)-(c_T2MN))*(((F385)-(c_T2MN))*((1000)-(0))+IF(((1000)-(0))&gt;=0,1,-1)*QUOTIENT(((c_T2MX)-(c_T2MN)),2))+2147483648,4294967296)-2147483648,((c_T2MX)-(c_T2MN))*(((F385)-(c_T2MN))*((1000)-(0))+IF(((1000)-(0))&gt;=0,1,-1)*QUOTIENT(((c_T2MX)-(c_T2MN)),2)))&gt;=0,1,0))),"")</f>
        <v/>
      </c>
      <c r="H385" s="7" t="str">
        <f aca="false">IF(E385&gt;1000+k_TOL,"T1 HIGH",IF(E385&lt;0-k_TOL,"T1 LOW",IF(c_TPOT&gt;1,IF(G385&gt;1000+k_TOL,"T2 HIGH",IF(G385&lt;0-k_TOL,"T2 LOW",IF(c_TTYPE=2,IF(ABS(1000-MAX(0,MIN(1000,E385))-MAX(0,MIN(1000,G385)))&gt;k_MAXERR,"MISMATCH","OK"),IF(OR(MAX(0,MIN(1000,E385))-k_MAXERR&gt;MAX(0,MIN(1000,G385)),MAX(0,MIN(1000,G385))-k_MAXERR&gt;MAX(0,MIN(1000,E385))),"MISMATCH","OK")))),"OK")))</f>
        <v>OK</v>
      </c>
      <c r="I385" s="7" t="n">
        <f aca="false">MAX(0,MIN(1000,D385))</f>
        <v>1000</v>
      </c>
      <c r="J385" s="7" t="str">
        <f aca="false">IF(c_TPOT&gt;1,IF(c_TTYPE=2,1000-MAX(0,MIN(1000,G385)),MAX(0,MIN(1000,G385))),"")</f>
        <v/>
      </c>
      <c r="K385" s="7" t="n">
        <f aca="false">IF(c_TPOT&gt;1,QUOTIENT(I385+J385,2),I385)</f>
        <v>1000</v>
      </c>
      <c r="L385" s="7" t="n">
        <f aca="false">IF(AND(K385=0,c_TCREEP&gt;0),10*c_TCREEP,IF(AND(K385&lt;=c_TRNGMIN,K385&gt;=c_TRNGMAX,c_TRNGMIN-c_TRNGMAX&lt;&gt;0),-10*c_TMINRN+QUOTIENT((c_TMAXRN-c_TMINRN)*(100-QUOTIENT((K385-c_TRNGMAX)*100,c_TRNGMIN-c_TRNGMAX)),-10),0))</f>
        <v>0</v>
      </c>
      <c r="M385" s="7" t="n">
        <f aca="false">IF(((c_TMAP1IN)-(c_TFWD))=0,(0)+QUOTIENT(((c_TMAP1OUT)-(0)),2),QUOTIENT((((K385)-(c_TFWD))*((c_TMAP1OUT)-(0))+IF(((c_TMAP1OUT)-(0))&gt;=0,1,-1)*QUOTIENT(((c_TMAP1IN)-(c_TFWD)),2)),((c_TMAP1IN)-(c_TFWD)))+(0)+IF(((c_TMAP1OUT)-(0))&gt;=0,IF(IF(o_WRAP=1,MOD(((c_TMAP1IN)-(c_TFWD))*(((K385)-(c_TFWD))*((c_TMAP1OUT)-(0))+IF(((c_TMAP1OUT)-(0))&gt;=0,1,-1)*QUOTIENT(((c_TMAP1IN)-(c_TFWD)),2))+2147483648,4294967296)-2147483648,((c_TMAP1IN)-(c_TFWD))*(((K385)-(c_TFWD))*((c_TMAP1OUT)-(0))+IF(((c_TMAP1OUT)-(0))&gt;=0,1,-1)*QUOTIENT(((c_TMAP1IN)-(c_TFWD)),2)))&lt;0,-1,0),IF(IF(o_WRAP=1,MOD(((c_TMAP1IN)-(c_TFWD))*(((K385)-(c_TFWD))*((c_TMAP1OUT)-(0))+IF(((c_TMAP1OUT)-(0))&gt;=0,1,-1)*QUOTIENT(((c_TMAP1IN)-(c_TFWD)),2))+2147483648,4294967296)-2147483648,((c_TMAP1IN)-(c_TFWD))*(((K385)-(c_TFWD))*((c_TMAP1OUT)-(0))+IF(((c_TMAP1OUT)-(0))&gt;=0,1,-1)*QUOTIENT(((c_TMAP1IN)-(c_TFWD)),2)))&gt;=0,1,0)))</f>
        <v>770</v>
      </c>
      <c r="N385" s="7" t="n">
        <f aca="false">IF(((c_TMAP2IN)-(c_TMAP1IN))=0,(c_TMAP1OUT)+QUOTIENT(((c_TMAP2OUT)-(c_TMAP1OUT)),2),QUOTIENT((((K385)-(c_TMAP1IN))*((c_TMAP2OUT)-(c_TMAP1OUT))+IF(((c_TMAP2OUT)-(c_TMAP1OUT))&gt;=0,1,-1)*QUOTIENT(((c_TMAP2IN)-(c_TMAP1IN)),2)),((c_TMAP2IN)-(c_TMAP1IN)))+(c_TMAP1OUT)+IF(((c_TMAP2OUT)-(c_TMAP1OUT))&gt;=0,IF(IF(o_WRAP=1,MOD(((c_TMAP2IN)-(c_TMAP1IN))*(((K385)-(c_TMAP1IN))*((c_TMAP2OUT)-(c_TMAP1OUT))+IF(((c_TMAP2OUT)-(c_TMAP1OUT))&gt;=0,1,-1)*QUOTIENT(((c_TMAP2IN)-(c_TMAP1IN)),2))+2147483648,4294967296)-2147483648,((c_TMAP2IN)-(c_TMAP1IN))*(((K385)-(c_TMAP1IN))*((c_TMAP2OUT)-(c_TMAP1OUT))+IF(((c_TMAP2OUT)-(c_TMAP1OUT))&gt;=0,1,-1)*QUOTIENT(((c_TMAP2IN)-(c_TMAP1IN)),2)))&lt;0,-1,0),IF(IF(o_WRAP=1,MOD(((c_TMAP2IN)-(c_TMAP1IN))*(((K385)-(c_TMAP1IN))*((c_TMAP2OUT)-(c_TMAP1OUT))+IF(((c_TMAP2OUT)-(c_TMAP1OUT))&gt;=0,1,-1)*QUOTIENT(((c_TMAP2IN)-(c_TMAP1IN)),2))+2147483648,4294967296)-2147483648,((c_TMAP2IN)-(c_TMAP1IN))*(((K385)-(c_TMAP1IN))*((c_TMAP2OUT)-(c_TMAP1OUT))+IF(((c_TMAP2OUT)-(c_TMAP1OUT))&gt;=0,1,-1)*QUOTIENT(((c_TMAP2IN)-(c_TMAP1IN)),2)))&gt;=0,1,0)))</f>
        <v>430</v>
      </c>
      <c r="O385" s="7" t="n">
        <f aca="false">IF(((c_TMAP3IN)-(c_TMAP2IN))=0,(c_TMAP2OUT)+QUOTIENT(((c_TMAP3OUT)-(c_TMAP2OUT)),2),QUOTIENT((((K385)-(c_TMAP2IN))*((c_TMAP3OUT)-(c_TMAP2OUT))+IF(((c_TMAP3OUT)-(c_TMAP2OUT))&gt;=0,1,-1)*QUOTIENT(((c_TMAP3IN)-(c_TMAP2IN)),2)),((c_TMAP3IN)-(c_TMAP2IN)))+(c_TMAP2OUT)+IF(((c_TMAP3OUT)-(c_TMAP2OUT))&gt;=0,IF(IF(o_WRAP=1,MOD(((c_TMAP3IN)-(c_TMAP2IN))*(((K385)-(c_TMAP2IN))*((c_TMAP3OUT)-(c_TMAP2OUT))+IF(((c_TMAP3OUT)-(c_TMAP2OUT))&gt;=0,1,-1)*QUOTIENT(((c_TMAP3IN)-(c_TMAP2IN)),2))+2147483648,4294967296)-2147483648,((c_TMAP3IN)-(c_TMAP2IN))*(((K385)-(c_TMAP2IN))*((c_TMAP3OUT)-(c_TMAP2OUT))+IF(((c_TMAP3OUT)-(c_TMAP2OUT))&gt;=0,1,-1)*QUOTIENT(((c_TMAP3IN)-(c_TMAP2IN)),2)))&lt;0,-1,0),IF(IF(o_WRAP=1,MOD(((c_TMAP3IN)-(c_TMAP2IN))*(((K385)-(c_TMAP2IN))*((c_TMAP3OUT)-(c_TMAP2OUT))+IF(((c_TMAP3OUT)-(c_TMAP2OUT))&gt;=0,1,-1)*QUOTIENT(((c_TMAP3IN)-(c_TMAP2IN)),2))+2147483648,4294967296)-2147483648,((c_TMAP3IN)-(c_TMAP2IN))*(((K385)-(c_TMAP2IN))*((c_TMAP3OUT)-(c_TMAP2OUT))+IF(((c_TMAP3OUT)-(c_TMAP2OUT))&gt;=0,1,-1)*QUOTIENT(((c_TMAP3IN)-(c_TMAP2IN)),2)))&gt;=0,1,0)))</f>
        <v>655</v>
      </c>
      <c r="P385" s="7" t="n">
        <f aca="false">IF(((1000)-(c_TMAP3IN))=0,(c_TMAP3OUT)+QUOTIENT(((1000)-(c_TMAP3OUT)),2),QUOTIENT((((K385)-(c_TMAP3IN))*((1000)-(c_TMAP3OUT))+IF(((1000)-(c_TMAP3OUT))&gt;=0,1,-1)*QUOTIENT(((1000)-(c_TMAP3IN)),2)),((1000)-(c_TMAP3IN)))+(c_TMAP3OUT)+IF(((1000)-(c_TMAP3OUT))&gt;=0,IF(IF(o_WRAP=1,MOD(((1000)-(c_TMAP3IN))*(((K385)-(c_TMAP3IN))*((1000)-(c_TMAP3OUT))+IF(((1000)-(c_TMAP3OUT))&gt;=0,1,-1)*QUOTIENT(((1000)-(c_TMAP3IN)),2))+2147483648,4294967296)-2147483648,((1000)-(c_TMAP3IN))*(((K385)-(c_TMAP3IN))*((1000)-(c_TMAP3OUT))+IF(((1000)-(c_TMAP3OUT))&gt;=0,1,-1)*QUOTIENT(((1000)-(c_TMAP3IN)),2)))&lt;0,-1,0),IF(IF(o_WRAP=1,MOD(((1000)-(c_TMAP3IN))*(((K385)-(c_TMAP3IN))*((1000)-(c_TMAP3OUT))+IF(((1000)-(c_TMAP3OUT))&gt;=0,1,-1)*QUOTIENT(((1000)-(c_TMAP3IN)),2))+2147483648,4294967296)-2147483648,((1000)-(c_TMAP3IN))*(((K385)-(c_TMAP3IN))*((1000)-(c_TMAP3OUT))+IF(((1000)-(c_TMAP3OUT))&gt;=0,1,-1)*QUOTIENT(((1000)-(c_TMAP3IN)),2)))&gt;=0,1,0)))</f>
        <v>1000</v>
      </c>
      <c r="Q385" s="7" t="str">
        <f aca="false">IF(K385&gt;=c_TFWD,IF(AND(K385&gt;=c_TMAP3IN,c_TMAP3IN&lt;1000),"Seg4 map3-100%",IF(AND(K385&gt;=c_TMAP2IN,c_TMAP3IN&gt;c_TMAP2IN),"Seg3 map2-map3",IF(AND(K385&gt;=c_TMAP1IN,c_TMAP2IN&gt;c_TMAP1IN),"Seg2 map1-map2","Seg1 TFWD-map1"))),IF(AND(K385=0,c_TCREEP&gt;0),"Creep",IF(AND(K385&lt;=c_TRNGMIN,K385&gt;=c_TRNGMAX,c_TRNGMIN-c_TRNGMAX&lt;&gt;0),"Regen ramp","Coast (0)")))</f>
        <v>Seg4 map3-100%</v>
      </c>
      <c r="R385" s="7" t="n">
        <f aca="false">IF(K385&gt;=c_TFWD,IF(AND(K385&gt;=c_TMAP3IN,c_TMAP3IN&lt;1000),P385,IF(AND(K385&gt;=c_TMAP2IN,c_TMAP3IN&gt;c_TMAP2IN),O385,IF(AND(K385&gt;=c_TMAP1IN,c_TMAP2IN&gt;c_TMAP1IN),N385,M385))),L385)</f>
        <v>1000</v>
      </c>
      <c r="S385" s="7" t="str">
        <f aca="false">IF(R385&lt;-1090,"TOO LOW",IF(R385&gt;1090,"TOO HIGH",""))</f>
        <v/>
      </c>
      <c r="T385" s="15" t="n">
        <f aca="false">IF(H385&lt;&gt;"OK",0,IF(S385&lt;&gt;"",0,IF(R385&gt;979,1000,R385)))</f>
        <v>1000</v>
      </c>
      <c r="U385" s="7" t="n">
        <f aca="false">T385/10</f>
        <v>100</v>
      </c>
    </row>
    <row r="386" customFormat="false" ht="15" hidden="false" customHeight="false" outlineLevel="0" collapsed="false">
      <c r="A386" s="7" t="n">
        <v>381</v>
      </c>
      <c r="B386" s="7" t="n">
        <f aca="false">ROUND(o_SWSTART+A386*(o_SWEND-o_SWSTART)/400,0)</f>
        <v>3900</v>
      </c>
      <c r="C386" s="7" t="n">
        <f aca="false">QUOTIENT((B386-c_OFF1)*c_GAIN1,1024)</f>
        <v>3900</v>
      </c>
      <c r="D386" s="7" t="n">
        <f aca="false">IF(((c_T1MX)-(c_T1MN))=0,(0)+QUOTIENT(((1000)-(0)),2),QUOTIENT((((C386)-(c_T1MN))*((1000)-(0))+IF(((1000)-(0))&gt;=0,1,-1)*QUOTIENT(((c_T1MX)-(c_T1MN)),2)),((c_T1MX)-(c_T1MN)))+(0)+IF(((1000)-(0))&gt;=0,IF(IF(o_WRAP=1,MOD(((c_T1MX)-(c_T1MN))*(((C386)-(c_T1MN))*((1000)-(0))+IF(((1000)-(0))&gt;=0,1,-1)*QUOTIENT(((c_T1MX)-(c_T1MN)),2))+2147483648,4294967296)-2147483648,((c_T1MX)-(c_T1MN))*(((C386)-(c_T1MN))*((1000)-(0))+IF(((1000)-(0))&gt;=0,1,-1)*QUOTIENT(((c_T1MX)-(c_T1MN)),2)))&lt;0,-1,0),IF(IF(o_WRAP=1,MOD(((c_T1MX)-(c_T1MN))*(((C386)-(c_T1MN))*((1000)-(0))+IF(((1000)-(0))&gt;=0,1,-1)*QUOTIENT(((c_T1MX)-(c_T1MN)),2))+2147483648,4294967296)-2147483648,((c_T1MX)-(c_T1MN))*(((C386)-(c_T1MN))*((1000)-(0))+IF(((1000)-(0))&gt;=0,1,-1)*QUOTIENT(((c_T1MX)-(c_T1MN)),2)))&gt;=0,1,0)))</f>
        <v>1153</v>
      </c>
      <c r="E386" s="7" t="n">
        <f aca="false">IF(AND(c_TPOT=1,c_TTYPE=2),1000-D386,D386)</f>
        <v>1153</v>
      </c>
      <c r="F386" s="7" t="str">
        <f aca="false">IF(c_TPOT&gt;1,ROUND(IF(c_TTYPE=2,c_T2MX-IF(c_T1MX=c_T1MN,0,(C386-c_T1MN)/(c_T1MX-c_T1MN))*(c_T2MX-c_T2MN),c_T2MN+IF(c_T1MX=c_T1MN,0,(C386-c_T1MN)/(c_T1MX-c_T1MN))*(c_T2MX-c_T2MN))+o_MISMATCH,0),"")</f>
        <v/>
      </c>
      <c r="G386" s="7" t="str">
        <f aca="false">IF(c_TPOT&gt;1,IF(((c_T2MX)-(c_T2MN))=0,(0)+QUOTIENT(((1000)-(0)),2),QUOTIENT((((F386)-(c_T2MN))*((1000)-(0))+IF(((1000)-(0))&gt;=0,1,-1)*QUOTIENT(((c_T2MX)-(c_T2MN)),2)),((c_T2MX)-(c_T2MN)))+(0)+IF(((1000)-(0))&gt;=0,IF(IF(o_WRAP=1,MOD(((c_T2MX)-(c_T2MN))*(((F386)-(c_T2MN))*((1000)-(0))+IF(((1000)-(0))&gt;=0,1,-1)*QUOTIENT(((c_T2MX)-(c_T2MN)),2))+2147483648,4294967296)-2147483648,((c_T2MX)-(c_T2MN))*(((F386)-(c_T2MN))*((1000)-(0))+IF(((1000)-(0))&gt;=0,1,-1)*QUOTIENT(((c_T2MX)-(c_T2MN)),2)))&lt;0,-1,0),IF(IF(o_WRAP=1,MOD(((c_T2MX)-(c_T2MN))*(((F386)-(c_T2MN))*((1000)-(0))+IF(((1000)-(0))&gt;=0,1,-1)*QUOTIENT(((c_T2MX)-(c_T2MN)),2))+2147483648,4294967296)-2147483648,((c_T2MX)-(c_T2MN))*(((F386)-(c_T2MN))*((1000)-(0))+IF(((1000)-(0))&gt;=0,1,-1)*QUOTIENT(((c_T2MX)-(c_T2MN)),2)))&gt;=0,1,0))),"")</f>
        <v/>
      </c>
      <c r="H386" s="7" t="str">
        <f aca="false">IF(E386&gt;1000+k_TOL,"T1 HIGH",IF(E386&lt;0-k_TOL,"T1 LOW",IF(c_TPOT&gt;1,IF(G386&gt;1000+k_TOL,"T2 HIGH",IF(G386&lt;0-k_TOL,"T2 LOW",IF(c_TTYPE=2,IF(ABS(1000-MAX(0,MIN(1000,E386))-MAX(0,MIN(1000,G386)))&gt;k_MAXERR,"MISMATCH","OK"),IF(OR(MAX(0,MIN(1000,E386))-k_MAXERR&gt;MAX(0,MIN(1000,G386)),MAX(0,MIN(1000,G386))-k_MAXERR&gt;MAX(0,MIN(1000,E386))),"MISMATCH","OK")))),"OK")))</f>
        <v>T1 HIGH</v>
      </c>
      <c r="I386" s="7" t="n">
        <f aca="false">MAX(0,MIN(1000,D386))</f>
        <v>1000</v>
      </c>
      <c r="J386" s="7" t="str">
        <f aca="false">IF(c_TPOT&gt;1,IF(c_TTYPE=2,1000-MAX(0,MIN(1000,G386)),MAX(0,MIN(1000,G386))),"")</f>
        <v/>
      </c>
      <c r="K386" s="7" t="n">
        <f aca="false">IF(c_TPOT&gt;1,QUOTIENT(I386+J386,2),I386)</f>
        <v>1000</v>
      </c>
      <c r="L386" s="7" t="n">
        <f aca="false">IF(AND(K386=0,c_TCREEP&gt;0),10*c_TCREEP,IF(AND(K386&lt;=c_TRNGMIN,K386&gt;=c_TRNGMAX,c_TRNGMIN-c_TRNGMAX&lt;&gt;0),-10*c_TMINRN+QUOTIENT((c_TMAXRN-c_TMINRN)*(100-QUOTIENT((K386-c_TRNGMAX)*100,c_TRNGMIN-c_TRNGMAX)),-10),0))</f>
        <v>0</v>
      </c>
      <c r="M386" s="7" t="n">
        <f aca="false">IF(((c_TMAP1IN)-(c_TFWD))=0,(0)+QUOTIENT(((c_TMAP1OUT)-(0)),2),QUOTIENT((((K386)-(c_TFWD))*((c_TMAP1OUT)-(0))+IF(((c_TMAP1OUT)-(0))&gt;=0,1,-1)*QUOTIENT(((c_TMAP1IN)-(c_TFWD)),2)),((c_TMAP1IN)-(c_TFWD)))+(0)+IF(((c_TMAP1OUT)-(0))&gt;=0,IF(IF(o_WRAP=1,MOD(((c_TMAP1IN)-(c_TFWD))*(((K386)-(c_TFWD))*((c_TMAP1OUT)-(0))+IF(((c_TMAP1OUT)-(0))&gt;=0,1,-1)*QUOTIENT(((c_TMAP1IN)-(c_TFWD)),2))+2147483648,4294967296)-2147483648,((c_TMAP1IN)-(c_TFWD))*(((K386)-(c_TFWD))*((c_TMAP1OUT)-(0))+IF(((c_TMAP1OUT)-(0))&gt;=0,1,-1)*QUOTIENT(((c_TMAP1IN)-(c_TFWD)),2)))&lt;0,-1,0),IF(IF(o_WRAP=1,MOD(((c_TMAP1IN)-(c_TFWD))*(((K386)-(c_TFWD))*((c_TMAP1OUT)-(0))+IF(((c_TMAP1OUT)-(0))&gt;=0,1,-1)*QUOTIENT(((c_TMAP1IN)-(c_TFWD)),2))+2147483648,4294967296)-2147483648,((c_TMAP1IN)-(c_TFWD))*(((K386)-(c_TFWD))*((c_TMAP1OUT)-(0))+IF(((c_TMAP1OUT)-(0))&gt;=0,1,-1)*QUOTIENT(((c_TMAP1IN)-(c_TFWD)),2)))&gt;=0,1,0)))</f>
        <v>770</v>
      </c>
      <c r="N386" s="7" t="n">
        <f aca="false">IF(((c_TMAP2IN)-(c_TMAP1IN))=0,(c_TMAP1OUT)+QUOTIENT(((c_TMAP2OUT)-(c_TMAP1OUT)),2),QUOTIENT((((K386)-(c_TMAP1IN))*((c_TMAP2OUT)-(c_TMAP1OUT))+IF(((c_TMAP2OUT)-(c_TMAP1OUT))&gt;=0,1,-1)*QUOTIENT(((c_TMAP2IN)-(c_TMAP1IN)),2)),((c_TMAP2IN)-(c_TMAP1IN)))+(c_TMAP1OUT)+IF(((c_TMAP2OUT)-(c_TMAP1OUT))&gt;=0,IF(IF(o_WRAP=1,MOD(((c_TMAP2IN)-(c_TMAP1IN))*(((K386)-(c_TMAP1IN))*((c_TMAP2OUT)-(c_TMAP1OUT))+IF(((c_TMAP2OUT)-(c_TMAP1OUT))&gt;=0,1,-1)*QUOTIENT(((c_TMAP2IN)-(c_TMAP1IN)),2))+2147483648,4294967296)-2147483648,((c_TMAP2IN)-(c_TMAP1IN))*(((K386)-(c_TMAP1IN))*((c_TMAP2OUT)-(c_TMAP1OUT))+IF(((c_TMAP2OUT)-(c_TMAP1OUT))&gt;=0,1,-1)*QUOTIENT(((c_TMAP2IN)-(c_TMAP1IN)),2)))&lt;0,-1,0),IF(IF(o_WRAP=1,MOD(((c_TMAP2IN)-(c_TMAP1IN))*(((K386)-(c_TMAP1IN))*((c_TMAP2OUT)-(c_TMAP1OUT))+IF(((c_TMAP2OUT)-(c_TMAP1OUT))&gt;=0,1,-1)*QUOTIENT(((c_TMAP2IN)-(c_TMAP1IN)),2))+2147483648,4294967296)-2147483648,((c_TMAP2IN)-(c_TMAP1IN))*(((K386)-(c_TMAP1IN))*((c_TMAP2OUT)-(c_TMAP1OUT))+IF(((c_TMAP2OUT)-(c_TMAP1OUT))&gt;=0,1,-1)*QUOTIENT(((c_TMAP2IN)-(c_TMAP1IN)),2)))&gt;=0,1,0)))</f>
        <v>430</v>
      </c>
      <c r="O386" s="7" t="n">
        <f aca="false">IF(((c_TMAP3IN)-(c_TMAP2IN))=0,(c_TMAP2OUT)+QUOTIENT(((c_TMAP3OUT)-(c_TMAP2OUT)),2),QUOTIENT((((K386)-(c_TMAP2IN))*((c_TMAP3OUT)-(c_TMAP2OUT))+IF(((c_TMAP3OUT)-(c_TMAP2OUT))&gt;=0,1,-1)*QUOTIENT(((c_TMAP3IN)-(c_TMAP2IN)),2)),((c_TMAP3IN)-(c_TMAP2IN)))+(c_TMAP2OUT)+IF(((c_TMAP3OUT)-(c_TMAP2OUT))&gt;=0,IF(IF(o_WRAP=1,MOD(((c_TMAP3IN)-(c_TMAP2IN))*(((K386)-(c_TMAP2IN))*((c_TMAP3OUT)-(c_TMAP2OUT))+IF(((c_TMAP3OUT)-(c_TMAP2OUT))&gt;=0,1,-1)*QUOTIENT(((c_TMAP3IN)-(c_TMAP2IN)),2))+2147483648,4294967296)-2147483648,((c_TMAP3IN)-(c_TMAP2IN))*(((K386)-(c_TMAP2IN))*((c_TMAP3OUT)-(c_TMAP2OUT))+IF(((c_TMAP3OUT)-(c_TMAP2OUT))&gt;=0,1,-1)*QUOTIENT(((c_TMAP3IN)-(c_TMAP2IN)),2)))&lt;0,-1,0),IF(IF(o_WRAP=1,MOD(((c_TMAP3IN)-(c_TMAP2IN))*(((K386)-(c_TMAP2IN))*((c_TMAP3OUT)-(c_TMAP2OUT))+IF(((c_TMAP3OUT)-(c_TMAP2OUT))&gt;=0,1,-1)*QUOTIENT(((c_TMAP3IN)-(c_TMAP2IN)),2))+2147483648,4294967296)-2147483648,((c_TMAP3IN)-(c_TMAP2IN))*(((K386)-(c_TMAP2IN))*((c_TMAP3OUT)-(c_TMAP2OUT))+IF(((c_TMAP3OUT)-(c_TMAP2OUT))&gt;=0,1,-1)*QUOTIENT(((c_TMAP3IN)-(c_TMAP2IN)),2)))&gt;=0,1,0)))</f>
        <v>655</v>
      </c>
      <c r="P386" s="7" t="n">
        <f aca="false">IF(((1000)-(c_TMAP3IN))=0,(c_TMAP3OUT)+QUOTIENT(((1000)-(c_TMAP3OUT)),2),QUOTIENT((((K386)-(c_TMAP3IN))*((1000)-(c_TMAP3OUT))+IF(((1000)-(c_TMAP3OUT))&gt;=0,1,-1)*QUOTIENT(((1000)-(c_TMAP3IN)),2)),((1000)-(c_TMAP3IN)))+(c_TMAP3OUT)+IF(((1000)-(c_TMAP3OUT))&gt;=0,IF(IF(o_WRAP=1,MOD(((1000)-(c_TMAP3IN))*(((K386)-(c_TMAP3IN))*((1000)-(c_TMAP3OUT))+IF(((1000)-(c_TMAP3OUT))&gt;=0,1,-1)*QUOTIENT(((1000)-(c_TMAP3IN)),2))+2147483648,4294967296)-2147483648,((1000)-(c_TMAP3IN))*(((K386)-(c_TMAP3IN))*((1000)-(c_TMAP3OUT))+IF(((1000)-(c_TMAP3OUT))&gt;=0,1,-1)*QUOTIENT(((1000)-(c_TMAP3IN)),2)))&lt;0,-1,0),IF(IF(o_WRAP=1,MOD(((1000)-(c_TMAP3IN))*(((K386)-(c_TMAP3IN))*((1000)-(c_TMAP3OUT))+IF(((1000)-(c_TMAP3OUT))&gt;=0,1,-1)*QUOTIENT(((1000)-(c_TMAP3IN)),2))+2147483648,4294967296)-2147483648,((1000)-(c_TMAP3IN))*(((K386)-(c_TMAP3IN))*((1000)-(c_TMAP3OUT))+IF(((1000)-(c_TMAP3OUT))&gt;=0,1,-1)*QUOTIENT(((1000)-(c_TMAP3IN)),2)))&gt;=0,1,0)))</f>
        <v>1000</v>
      </c>
      <c r="Q386" s="7" t="str">
        <f aca="false">IF(K386&gt;=c_TFWD,IF(AND(K386&gt;=c_TMAP3IN,c_TMAP3IN&lt;1000),"Seg4 map3-100%",IF(AND(K386&gt;=c_TMAP2IN,c_TMAP3IN&gt;c_TMAP2IN),"Seg3 map2-map3",IF(AND(K386&gt;=c_TMAP1IN,c_TMAP2IN&gt;c_TMAP1IN),"Seg2 map1-map2","Seg1 TFWD-map1"))),IF(AND(K386=0,c_TCREEP&gt;0),"Creep",IF(AND(K386&lt;=c_TRNGMIN,K386&gt;=c_TRNGMAX,c_TRNGMIN-c_TRNGMAX&lt;&gt;0),"Regen ramp","Coast (0)")))</f>
        <v>Seg4 map3-100%</v>
      </c>
      <c r="R386" s="7" t="n">
        <f aca="false">IF(K386&gt;=c_TFWD,IF(AND(K386&gt;=c_TMAP3IN,c_TMAP3IN&lt;1000),P386,IF(AND(K386&gt;=c_TMAP2IN,c_TMAP3IN&gt;c_TMAP2IN),O386,IF(AND(K386&gt;=c_TMAP1IN,c_TMAP2IN&gt;c_TMAP1IN),N386,M386))),L386)</f>
        <v>1000</v>
      </c>
      <c r="S386" s="7" t="str">
        <f aca="false">IF(R386&lt;-1090,"TOO LOW",IF(R386&gt;1090,"TOO HIGH",""))</f>
        <v/>
      </c>
      <c r="T386" s="15" t="n">
        <f aca="false">IF(H386&lt;&gt;"OK",0,IF(S386&lt;&gt;"",0,IF(R386&gt;979,1000,R386)))</f>
        <v>0</v>
      </c>
      <c r="U386" s="7" t="n">
        <f aca="false">T386/10</f>
        <v>0</v>
      </c>
    </row>
    <row r="387" customFormat="false" ht="15" hidden="false" customHeight="false" outlineLevel="0" collapsed="false">
      <c r="A387" s="7" t="n">
        <v>382</v>
      </c>
      <c r="B387" s="7" t="n">
        <f aca="false">ROUND(o_SWSTART+A387*(o_SWEND-o_SWSTART)/400,0)</f>
        <v>3911</v>
      </c>
      <c r="C387" s="7" t="n">
        <f aca="false">QUOTIENT((B387-c_OFF1)*c_GAIN1,1024)</f>
        <v>3911</v>
      </c>
      <c r="D387" s="7" t="n">
        <f aca="false">IF(((c_T1MX)-(c_T1MN))=0,(0)+QUOTIENT(((1000)-(0)),2),QUOTIENT((((C387)-(c_T1MN))*((1000)-(0))+IF(((1000)-(0))&gt;=0,1,-1)*QUOTIENT(((c_T1MX)-(c_T1MN)),2)),((c_T1MX)-(c_T1MN)))+(0)+IF(((1000)-(0))&gt;=0,IF(IF(o_WRAP=1,MOD(((c_T1MX)-(c_T1MN))*(((C387)-(c_T1MN))*((1000)-(0))+IF(((1000)-(0))&gt;=0,1,-1)*QUOTIENT(((c_T1MX)-(c_T1MN)),2))+2147483648,4294967296)-2147483648,((c_T1MX)-(c_T1MN))*(((C387)-(c_T1MN))*((1000)-(0))+IF(((1000)-(0))&gt;=0,1,-1)*QUOTIENT(((c_T1MX)-(c_T1MN)),2)))&lt;0,-1,0),IF(IF(o_WRAP=1,MOD(((c_T1MX)-(c_T1MN))*(((C387)-(c_T1MN))*((1000)-(0))+IF(((1000)-(0))&gt;=0,1,-1)*QUOTIENT(((c_T1MX)-(c_T1MN)),2))+2147483648,4294967296)-2147483648,((c_T1MX)-(c_T1MN))*(((C387)-(c_T1MN))*((1000)-(0))+IF(((1000)-(0))&gt;=0,1,-1)*QUOTIENT(((c_T1MX)-(c_T1MN)),2)))&gt;=0,1,0)))</f>
        <v>1157</v>
      </c>
      <c r="E387" s="7" t="n">
        <f aca="false">IF(AND(c_TPOT=1,c_TTYPE=2),1000-D387,D387)</f>
        <v>1157</v>
      </c>
      <c r="F387" s="7" t="str">
        <f aca="false">IF(c_TPOT&gt;1,ROUND(IF(c_TTYPE=2,c_T2MX-IF(c_T1MX=c_T1MN,0,(C387-c_T1MN)/(c_T1MX-c_T1MN))*(c_T2MX-c_T2MN),c_T2MN+IF(c_T1MX=c_T1MN,0,(C387-c_T1MN)/(c_T1MX-c_T1MN))*(c_T2MX-c_T2MN))+o_MISMATCH,0),"")</f>
        <v/>
      </c>
      <c r="G387" s="7" t="str">
        <f aca="false">IF(c_TPOT&gt;1,IF(((c_T2MX)-(c_T2MN))=0,(0)+QUOTIENT(((1000)-(0)),2),QUOTIENT((((F387)-(c_T2MN))*((1000)-(0))+IF(((1000)-(0))&gt;=0,1,-1)*QUOTIENT(((c_T2MX)-(c_T2MN)),2)),((c_T2MX)-(c_T2MN)))+(0)+IF(((1000)-(0))&gt;=0,IF(IF(o_WRAP=1,MOD(((c_T2MX)-(c_T2MN))*(((F387)-(c_T2MN))*((1000)-(0))+IF(((1000)-(0))&gt;=0,1,-1)*QUOTIENT(((c_T2MX)-(c_T2MN)),2))+2147483648,4294967296)-2147483648,((c_T2MX)-(c_T2MN))*(((F387)-(c_T2MN))*((1000)-(0))+IF(((1000)-(0))&gt;=0,1,-1)*QUOTIENT(((c_T2MX)-(c_T2MN)),2)))&lt;0,-1,0),IF(IF(o_WRAP=1,MOD(((c_T2MX)-(c_T2MN))*(((F387)-(c_T2MN))*((1000)-(0))+IF(((1000)-(0))&gt;=0,1,-1)*QUOTIENT(((c_T2MX)-(c_T2MN)),2))+2147483648,4294967296)-2147483648,((c_T2MX)-(c_T2MN))*(((F387)-(c_T2MN))*((1000)-(0))+IF(((1000)-(0))&gt;=0,1,-1)*QUOTIENT(((c_T2MX)-(c_T2MN)),2)))&gt;=0,1,0))),"")</f>
        <v/>
      </c>
      <c r="H387" s="7" t="str">
        <f aca="false">IF(E387&gt;1000+k_TOL,"T1 HIGH",IF(E387&lt;0-k_TOL,"T1 LOW",IF(c_TPOT&gt;1,IF(G387&gt;1000+k_TOL,"T2 HIGH",IF(G387&lt;0-k_TOL,"T2 LOW",IF(c_TTYPE=2,IF(ABS(1000-MAX(0,MIN(1000,E387))-MAX(0,MIN(1000,G387)))&gt;k_MAXERR,"MISMATCH","OK"),IF(OR(MAX(0,MIN(1000,E387))-k_MAXERR&gt;MAX(0,MIN(1000,G387)),MAX(0,MIN(1000,G387))-k_MAXERR&gt;MAX(0,MIN(1000,E387))),"MISMATCH","OK")))),"OK")))</f>
        <v>T1 HIGH</v>
      </c>
      <c r="I387" s="7" t="n">
        <f aca="false">MAX(0,MIN(1000,D387))</f>
        <v>1000</v>
      </c>
      <c r="J387" s="7" t="str">
        <f aca="false">IF(c_TPOT&gt;1,IF(c_TTYPE=2,1000-MAX(0,MIN(1000,G387)),MAX(0,MIN(1000,G387))),"")</f>
        <v/>
      </c>
      <c r="K387" s="7" t="n">
        <f aca="false">IF(c_TPOT&gt;1,QUOTIENT(I387+J387,2),I387)</f>
        <v>1000</v>
      </c>
      <c r="L387" s="7" t="n">
        <f aca="false">IF(AND(K387=0,c_TCREEP&gt;0),10*c_TCREEP,IF(AND(K387&lt;=c_TRNGMIN,K387&gt;=c_TRNGMAX,c_TRNGMIN-c_TRNGMAX&lt;&gt;0),-10*c_TMINRN+QUOTIENT((c_TMAXRN-c_TMINRN)*(100-QUOTIENT((K387-c_TRNGMAX)*100,c_TRNGMIN-c_TRNGMAX)),-10),0))</f>
        <v>0</v>
      </c>
      <c r="M387" s="7" t="n">
        <f aca="false">IF(((c_TMAP1IN)-(c_TFWD))=0,(0)+QUOTIENT(((c_TMAP1OUT)-(0)),2),QUOTIENT((((K387)-(c_TFWD))*((c_TMAP1OUT)-(0))+IF(((c_TMAP1OUT)-(0))&gt;=0,1,-1)*QUOTIENT(((c_TMAP1IN)-(c_TFWD)),2)),((c_TMAP1IN)-(c_TFWD)))+(0)+IF(((c_TMAP1OUT)-(0))&gt;=0,IF(IF(o_WRAP=1,MOD(((c_TMAP1IN)-(c_TFWD))*(((K387)-(c_TFWD))*((c_TMAP1OUT)-(0))+IF(((c_TMAP1OUT)-(0))&gt;=0,1,-1)*QUOTIENT(((c_TMAP1IN)-(c_TFWD)),2))+2147483648,4294967296)-2147483648,((c_TMAP1IN)-(c_TFWD))*(((K387)-(c_TFWD))*((c_TMAP1OUT)-(0))+IF(((c_TMAP1OUT)-(0))&gt;=0,1,-1)*QUOTIENT(((c_TMAP1IN)-(c_TFWD)),2)))&lt;0,-1,0),IF(IF(o_WRAP=1,MOD(((c_TMAP1IN)-(c_TFWD))*(((K387)-(c_TFWD))*((c_TMAP1OUT)-(0))+IF(((c_TMAP1OUT)-(0))&gt;=0,1,-1)*QUOTIENT(((c_TMAP1IN)-(c_TFWD)),2))+2147483648,4294967296)-2147483648,((c_TMAP1IN)-(c_TFWD))*(((K387)-(c_TFWD))*((c_TMAP1OUT)-(0))+IF(((c_TMAP1OUT)-(0))&gt;=0,1,-1)*QUOTIENT(((c_TMAP1IN)-(c_TFWD)),2)))&gt;=0,1,0)))</f>
        <v>770</v>
      </c>
      <c r="N387" s="7" t="n">
        <f aca="false">IF(((c_TMAP2IN)-(c_TMAP1IN))=0,(c_TMAP1OUT)+QUOTIENT(((c_TMAP2OUT)-(c_TMAP1OUT)),2),QUOTIENT((((K387)-(c_TMAP1IN))*((c_TMAP2OUT)-(c_TMAP1OUT))+IF(((c_TMAP2OUT)-(c_TMAP1OUT))&gt;=0,1,-1)*QUOTIENT(((c_TMAP2IN)-(c_TMAP1IN)),2)),((c_TMAP2IN)-(c_TMAP1IN)))+(c_TMAP1OUT)+IF(((c_TMAP2OUT)-(c_TMAP1OUT))&gt;=0,IF(IF(o_WRAP=1,MOD(((c_TMAP2IN)-(c_TMAP1IN))*(((K387)-(c_TMAP1IN))*((c_TMAP2OUT)-(c_TMAP1OUT))+IF(((c_TMAP2OUT)-(c_TMAP1OUT))&gt;=0,1,-1)*QUOTIENT(((c_TMAP2IN)-(c_TMAP1IN)),2))+2147483648,4294967296)-2147483648,((c_TMAP2IN)-(c_TMAP1IN))*(((K387)-(c_TMAP1IN))*((c_TMAP2OUT)-(c_TMAP1OUT))+IF(((c_TMAP2OUT)-(c_TMAP1OUT))&gt;=0,1,-1)*QUOTIENT(((c_TMAP2IN)-(c_TMAP1IN)),2)))&lt;0,-1,0),IF(IF(o_WRAP=1,MOD(((c_TMAP2IN)-(c_TMAP1IN))*(((K387)-(c_TMAP1IN))*((c_TMAP2OUT)-(c_TMAP1OUT))+IF(((c_TMAP2OUT)-(c_TMAP1OUT))&gt;=0,1,-1)*QUOTIENT(((c_TMAP2IN)-(c_TMAP1IN)),2))+2147483648,4294967296)-2147483648,((c_TMAP2IN)-(c_TMAP1IN))*(((K387)-(c_TMAP1IN))*((c_TMAP2OUT)-(c_TMAP1OUT))+IF(((c_TMAP2OUT)-(c_TMAP1OUT))&gt;=0,1,-1)*QUOTIENT(((c_TMAP2IN)-(c_TMAP1IN)),2)))&gt;=0,1,0)))</f>
        <v>430</v>
      </c>
      <c r="O387" s="7" t="n">
        <f aca="false">IF(((c_TMAP3IN)-(c_TMAP2IN))=0,(c_TMAP2OUT)+QUOTIENT(((c_TMAP3OUT)-(c_TMAP2OUT)),2),QUOTIENT((((K387)-(c_TMAP2IN))*((c_TMAP3OUT)-(c_TMAP2OUT))+IF(((c_TMAP3OUT)-(c_TMAP2OUT))&gt;=0,1,-1)*QUOTIENT(((c_TMAP3IN)-(c_TMAP2IN)),2)),((c_TMAP3IN)-(c_TMAP2IN)))+(c_TMAP2OUT)+IF(((c_TMAP3OUT)-(c_TMAP2OUT))&gt;=0,IF(IF(o_WRAP=1,MOD(((c_TMAP3IN)-(c_TMAP2IN))*(((K387)-(c_TMAP2IN))*((c_TMAP3OUT)-(c_TMAP2OUT))+IF(((c_TMAP3OUT)-(c_TMAP2OUT))&gt;=0,1,-1)*QUOTIENT(((c_TMAP3IN)-(c_TMAP2IN)),2))+2147483648,4294967296)-2147483648,((c_TMAP3IN)-(c_TMAP2IN))*(((K387)-(c_TMAP2IN))*((c_TMAP3OUT)-(c_TMAP2OUT))+IF(((c_TMAP3OUT)-(c_TMAP2OUT))&gt;=0,1,-1)*QUOTIENT(((c_TMAP3IN)-(c_TMAP2IN)),2)))&lt;0,-1,0),IF(IF(o_WRAP=1,MOD(((c_TMAP3IN)-(c_TMAP2IN))*(((K387)-(c_TMAP2IN))*((c_TMAP3OUT)-(c_TMAP2OUT))+IF(((c_TMAP3OUT)-(c_TMAP2OUT))&gt;=0,1,-1)*QUOTIENT(((c_TMAP3IN)-(c_TMAP2IN)),2))+2147483648,4294967296)-2147483648,((c_TMAP3IN)-(c_TMAP2IN))*(((K387)-(c_TMAP2IN))*((c_TMAP3OUT)-(c_TMAP2OUT))+IF(((c_TMAP3OUT)-(c_TMAP2OUT))&gt;=0,1,-1)*QUOTIENT(((c_TMAP3IN)-(c_TMAP2IN)),2)))&gt;=0,1,0)))</f>
        <v>655</v>
      </c>
      <c r="P387" s="7" t="n">
        <f aca="false">IF(((1000)-(c_TMAP3IN))=0,(c_TMAP3OUT)+QUOTIENT(((1000)-(c_TMAP3OUT)),2),QUOTIENT((((K387)-(c_TMAP3IN))*((1000)-(c_TMAP3OUT))+IF(((1000)-(c_TMAP3OUT))&gt;=0,1,-1)*QUOTIENT(((1000)-(c_TMAP3IN)),2)),((1000)-(c_TMAP3IN)))+(c_TMAP3OUT)+IF(((1000)-(c_TMAP3OUT))&gt;=0,IF(IF(o_WRAP=1,MOD(((1000)-(c_TMAP3IN))*(((K387)-(c_TMAP3IN))*((1000)-(c_TMAP3OUT))+IF(((1000)-(c_TMAP3OUT))&gt;=0,1,-1)*QUOTIENT(((1000)-(c_TMAP3IN)),2))+2147483648,4294967296)-2147483648,((1000)-(c_TMAP3IN))*(((K387)-(c_TMAP3IN))*((1000)-(c_TMAP3OUT))+IF(((1000)-(c_TMAP3OUT))&gt;=0,1,-1)*QUOTIENT(((1000)-(c_TMAP3IN)),2)))&lt;0,-1,0),IF(IF(o_WRAP=1,MOD(((1000)-(c_TMAP3IN))*(((K387)-(c_TMAP3IN))*((1000)-(c_TMAP3OUT))+IF(((1000)-(c_TMAP3OUT))&gt;=0,1,-1)*QUOTIENT(((1000)-(c_TMAP3IN)),2))+2147483648,4294967296)-2147483648,((1000)-(c_TMAP3IN))*(((K387)-(c_TMAP3IN))*((1000)-(c_TMAP3OUT))+IF(((1000)-(c_TMAP3OUT))&gt;=0,1,-1)*QUOTIENT(((1000)-(c_TMAP3IN)),2)))&gt;=0,1,0)))</f>
        <v>1000</v>
      </c>
      <c r="Q387" s="7" t="str">
        <f aca="false">IF(K387&gt;=c_TFWD,IF(AND(K387&gt;=c_TMAP3IN,c_TMAP3IN&lt;1000),"Seg4 map3-100%",IF(AND(K387&gt;=c_TMAP2IN,c_TMAP3IN&gt;c_TMAP2IN),"Seg3 map2-map3",IF(AND(K387&gt;=c_TMAP1IN,c_TMAP2IN&gt;c_TMAP1IN),"Seg2 map1-map2","Seg1 TFWD-map1"))),IF(AND(K387=0,c_TCREEP&gt;0),"Creep",IF(AND(K387&lt;=c_TRNGMIN,K387&gt;=c_TRNGMAX,c_TRNGMIN-c_TRNGMAX&lt;&gt;0),"Regen ramp","Coast (0)")))</f>
        <v>Seg4 map3-100%</v>
      </c>
      <c r="R387" s="7" t="n">
        <f aca="false">IF(K387&gt;=c_TFWD,IF(AND(K387&gt;=c_TMAP3IN,c_TMAP3IN&lt;1000),P387,IF(AND(K387&gt;=c_TMAP2IN,c_TMAP3IN&gt;c_TMAP2IN),O387,IF(AND(K387&gt;=c_TMAP1IN,c_TMAP2IN&gt;c_TMAP1IN),N387,M387))),L387)</f>
        <v>1000</v>
      </c>
      <c r="S387" s="7" t="str">
        <f aca="false">IF(R387&lt;-1090,"TOO LOW",IF(R387&gt;1090,"TOO HIGH",""))</f>
        <v/>
      </c>
      <c r="T387" s="15" t="n">
        <f aca="false">IF(H387&lt;&gt;"OK",0,IF(S387&lt;&gt;"",0,IF(R387&gt;979,1000,R387)))</f>
        <v>0</v>
      </c>
      <c r="U387" s="7" t="n">
        <f aca="false">T387/10</f>
        <v>0</v>
      </c>
    </row>
    <row r="388" customFormat="false" ht="15" hidden="false" customHeight="false" outlineLevel="0" collapsed="false">
      <c r="A388" s="7" t="n">
        <v>383</v>
      </c>
      <c r="B388" s="7" t="n">
        <f aca="false">ROUND(o_SWSTART+A388*(o_SWEND-o_SWSTART)/400,0)</f>
        <v>3921</v>
      </c>
      <c r="C388" s="7" t="n">
        <f aca="false">QUOTIENT((B388-c_OFF1)*c_GAIN1,1024)</f>
        <v>3921</v>
      </c>
      <c r="D388" s="7" t="n">
        <f aca="false">IF(((c_T1MX)-(c_T1MN))=0,(0)+QUOTIENT(((1000)-(0)),2),QUOTIENT((((C388)-(c_T1MN))*((1000)-(0))+IF(((1000)-(0))&gt;=0,1,-1)*QUOTIENT(((c_T1MX)-(c_T1MN)),2)),((c_T1MX)-(c_T1MN)))+(0)+IF(((1000)-(0))&gt;=0,IF(IF(o_WRAP=1,MOD(((c_T1MX)-(c_T1MN))*(((C388)-(c_T1MN))*((1000)-(0))+IF(((1000)-(0))&gt;=0,1,-1)*QUOTIENT(((c_T1MX)-(c_T1MN)),2))+2147483648,4294967296)-2147483648,((c_T1MX)-(c_T1MN))*(((C388)-(c_T1MN))*((1000)-(0))+IF(((1000)-(0))&gt;=0,1,-1)*QUOTIENT(((c_T1MX)-(c_T1MN)),2)))&lt;0,-1,0),IF(IF(o_WRAP=1,MOD(((c_T1MX)-(c_T1MN))*(((C388)-(c_T1MN))*((1000)-(0))+IF(((1000)-(0))&gt;=0,1,-1)*QUOTIENT(((c_T1MX)-(c_T1MN)),2))+2147483648,4294967296)-2147483648,((c_T1MX)-(c_T1MN))*(((C388)-(c_T1MN))*((1000)-(0))+IF(((1000)-(0))&gt;=0,1,-1)*QUOTIENT(((c_T1MX)-(c_T1MN)),2)))&gt;=0,1,0)))</f>
        <v>1160</v>
      </c>
      <c r="E388" s="7" t="n">
        <f aca="false">IF(AND(c_TPOT=1,c_TTYPE=2),1000-D388,D388)</f>
        <v>1160</v>
      </c>
      <c r="F388" s="7" t="str">
        <f aca="false">IF(c_TPOT&gt;1,ROUND(IF(c_TTYPE=2,c_T2MX-IF(c_T1MX=c_T1MN,0,(C388-c_T1MN)/(c_T1MX-c_T1MN))*(c_T2MX-c_T2MN),c_T2MN+IF(c_T1MX=c_T1MN,0,(C388-c_T1MN)/(c_T1MX-c_T1MN))*(c_T2MX-c_T2MN))+o_MISMATCH,0),"")</f>
        <v/>
      </c>
      <c r="G388" s="7" t="str">
        <f aca="false">IF(c_TPOT&gt;1,IF(((c_T2MX)-(c_T2MN))=0,(0)+QUOTIENT(((1000)-(0)),2),QUOTIENT((((F388)-(c_T2MN))*((1000)-(0))+IF(((1000)-(0))&gt;=0,1,-1)*QUOTIENT(((c_T2MX)-(c_T2MN)),2)),((c_T2MX)-(c_T2MN)))+(0)+IF(((1000)-(0))&gt;=0,IF(IF(o_WRAP=1,MOD(((c_T2MX)-(c_T2MN))*(((F388)-(c_T2MN))*((1000)-(0))+IF(((1000)-(0))&gt;=0,1,-1)*QUOTIENT(((c_T2MX)-(c_T2MN)),2))+2147483648,4294967296)-2147483648,((c_T2MX)-(c_T2MN))*(((F388)-(c_T2MN))*((1000)-(0))+IF(((1000)-(0))&gt;=0,1,-1)*QUOTIENT(((c_T2MX)-(c_T2MN)),2)))&lt;0,-1,0),IF(IF(o_WRAP=1,MOD(((c_T2MX)-(c_T2MN))*(((F388)-(c_T2MN))*((1000)-(0))+IF(((1000)-(0))&gt;=0,1,-1)*QUOTIENT(((c_T2MX)-(c_T2MN)),2))+2147483648,4294967296)-2147483648,((c_T2MX)-(c_T2MN))*(((F388)-(c_T2MN))*((1000)-(0))+IF(((1000)-(0))&gt;=0,1,-1)*QUOTIENT(((c_T2MX)-(c_T2MN)),2)))&gt;=0,1,0))),"")</f>
        <v/>
      </c>
      <c r="H388" s="7" t="str">
        <f aca="false">IF(E388&gt;1000+k_TOL,"T1 HIGH",IF(E388&lt;0-k_TOL,"T1 LOW",IF(c_TPOT&gt;1,IF(G388&gt;1000+k_TOL,"T2 HIGH",IF(G388&lt;0-k_TOL,"T2 LOW",IF(c_TTYPE=2,IF(ABS(1000-MAX(0,MIN(1000,E388))-MAX(0,MIN(1000,G388)))&gt;k_MAXERR,"MISMATCH","OK"),IF(OR(MAX(0,MIN(1000,E388))-k_MAXERR&gt;MAX(0,MIN(1000,G388)),MAX(0,MIN(1000,G388))-k_MAXERR&gt;MAX(0,MIN(1000,E388))),"MISMATCH","OK")))),"OK")))</f>
        <v>T1 HIGH</v>
      </c>
      <c r="I388" s="7" t="n">
        <f aca="false">MAX(0,MIN(1000,D388))</f>
        <v>1000</v>
      </c>
      <c r="J388" s="7" t="str">
        <f aca="false">IF(c_TPOT&gt;1,IF(c_TTYPE=2,1000-MAX(0,MIN(1000,G388)),MAX(0,MIN(1000,G388))),"")</f>
        <v/>
      </c>
      <c r="K388" s="7" t="n">
        <f aca="false">IF(c_TPOT&gt;1,QUOTIENT(I388+J388,2),I388)</f>
        <v>1000</v>
      </c>
      <c r="L388" s="7" t="n">
        <f aca="false">IF(AND(K388=0,c_TCREEP&gt;0),10*c_TCREEP,IF(AND(K388&lt;=c_TRNGMIN,K388&gt;=c_TRNGMAX,c_TRNGMIN-c_TRNGMAX&lt;&gt;0),-10*c_TMINRN+QUOTIENT((c_TMAXRN-c_TMINRN)*(100-QUOTIENT((K388-c_TRNGMAX)*100,c_TRNGMIN-c_TRNGMAX)),-10),0))</f>
        <v>0</v>
      </c>
      <c r="M388" s="7" t="n">
        <f aca="false">IF(((c_TMAP1IN)-(c_TFWD))=0,(0)+QUOTIENT(((c_TMAP1OUT)-(0)),2),QUOTIENT((((K388)-(c_TFWD))*((c_TMAP1OUT)-(0))+IF(((c_TMAP1OUT)-(0))&gt;=0,1,-1)*QUOTIENT(((c_TMAP1IN)-(c_TFWD)),2)),((c_TMAP1IN)-(c_TFWD)))+(0)+IF(((c_TMAP1OUT)-(0))&gt;=0,IF(IF(o_WRAP=1,MOD(((c_TMAP1IN)-(c_TFWD))*(((K388)-(c_TFWD))*((c_TMAP1OUT)-(0))+IF(((c_TMAP1OUT)-(0))&gt;=0,1,-1)*QUOTIENT(((c_TMAP1IN)-(c_TFWD)),2))+2147483648,4294967296)-2147483648,((c_TMAP1IN)-(c_TFWD))*(((K388)-(c_TFWD))*((c_TMAP1OUT)-(0))+IF(((c_TMAP1OUT)-(0))&gt;=0,1,-1)*QUOTIENT(((c_TMAP1IN)-(c_TFWD)),2)))&lt;0,-1,0),IF(IF(o_WRAP=1,MOD(((c_TMAP1IN)-(c_TFWD))*(((K388)-(c_TFWD))*((c_TMAP1OUT)-(0))+IF(((c_TMAP1OUT)-(0))&gt;=0,1,-1)*QUOTIENT(((c_TMAP1IN)-(c_TFWD)),2))+2147483648,4294967296)-2147483648,((c_TMAP1IN)-(c_TFWD))*(((K388)-(c_TFWD))*((c_TMAP1OUT)-(0))+IF(((c_TMAP1OUT)-(0))&gt;=0,1,-1)*QUOTIENT(((c_TMAP1IN)-(c_TFWD)),2)))&gt;=0,1,0)))</f>
        <v>770</v>
      </c>
      <c r="N388" s="7" t="n">
        <f aca="false">IF(((c_TMAP2IN)-(c_TMAP1IN))=0,(c_TMAP1OUT)+QUOTIENT(((c_TMAP2OUT)-(c_TMAP1OUT)),2),QUOTIENT((((K388)-(c_TMAP1IN))*((c_TMAP2OUT)-(c_TMAP1OUT))+IF(((c_TMAP2OUT)-(c_TMAP1OUT))&gt;=0,1,-1)*QUOTIENT(((c_TMAP2IN)-(c_TMAP1IN)),2)),((c_TMAP2IN)-(c_TMAP1IN)))+(c_TMAP1OUT)+IF(((c_TMAP2OUT)-(c_TMAP1OUT))&gt;=0,IF(IF(o_WRAP=1,MOD(((c_TMAP2IN)-(c_TMAP1IN))*(((K388)-(c_TMAP1IN))*((c_TMAP2OUT)-(c_TMAP1OUT))+IF(((c_TMAP2OUT)-(c_TMAP1OUT))&gt;=0,1,-1)*QUOTIENT(((c_TMAP2IN)-(c_TMAP1IN)),2))+2147483648,4294967296)-2147483648,((c_TMAP2IN)-(c_TMAP1IN))*(((K388)-(c_TMAP1IN))*((c_TMAP2OUT)-(c_TMAP1OUT))+IF(((c_TMAP2OUT)-(c_TMAP1OUT))&gt;=0,1,-1)*QUOTIENT(((c_TMAP2IN)-(c_TMAP1IN)),2)))&lt;0,-1,0),IF(IF(o_WRAP=1,MOD(((c_TMAP2IN)-(c_TMAP1IN))*(((K388)-(c_TMAP1IN))*((c_TMAP2OUT)-(c_TMAP1OUT))+IF(((c_TMAP2OUT)-(c_TMAP1OUT))&gt;=0,1,-1)*QUOTIENT(((c_TMAP2IN)-(c_TMAP1IN)),2))+2147483648,4294967296)-2147483648,((c_TMAP2IN)-(c_TMAP1IN))*(((K388)-(c_TMAP1IN))*((c_TMAP2OUT)-(c_TMAP1OUT))+IF(((c_TMAP2OUT)-(c_TMAP1OUT))&gt;=0,1,-1)*QUOTIENT(((c_TMAP2IN)-(c_TMAP1IN)),2)))&gt;=0,1,0)))</f>
        <v>430</v>
      </c>
      <c r="O388" s="7" t="n">
        <f aca="false">IF(((c_TMAP3IN)-(c_TMAP2IN))=0,(c_TMAP2OUT)+QUOTIENT(((c_TMAP3OUT)-(c_TMAP2OUT)),2),QUOTIENT((((K388)-(c_TMAP2IN))*((c_TMAP3OUT)-(c_TMAP2OUT))+IF(((c_TMAP3OUT)-(c_TMAP2OUT))&gt;=0,1,-1)*QUOTIENT(((c_TMAP3IN)-(c_TMAP2IN)),2)),((c_TMAP3IN)-(c_TMAP2IN)))+(c_TMAP2OUT)+IF(((c_TMAP3OUT)-(c_TMAP2OUT))&gt;=0,IF(IF(o_WRAP=1,MOD(((c_TMAP3IN)-(c_TMAP2IN))*(((K388)-(c_TMAP2IN))*((c_TMAP3OUT)-(c_TMAP2OUT))+IF(((c_TMAP3OUT)-(c_TMAP2OUT))&gt;=0,1,-1)*QUOTIENT(((c_TMAP3IN)-(c_TMAP2IN)),2))+2147483648,4294967296)-2147483648,((c_TMAP3IN)-(c_TMAP2IN))*(((K388)-(c_TMAP2IN))*((c_TMAP3OUT)-(c_TMAP2OUT))+IF(((c_TMAP3OUT)-(c_TMAP2OUT))&gt;=0,1,-1)*QUOTIENT(((c_TMAP3IN)-(c_TMAP2IN)),2)))&lt;0,-1,0),IF(IF(o_WRAP=1,MOD(((c_TMAP3IN)-(c_TMAP2IN))*(((K388)-(c_TMAP2IN))*((c_TMAP3OUT)-(c_TMAP2OUT))+IF(((c_TMAP3OUT)-(c_TMAP2OUT))&gt;=0,1,-1)*QUOTIENT(((c_TMAP3IN)-(c_TMAP2IN)),2))+2147483648,4294967296)-2147483648,((c_TMAP3IN)-(c_TMAP2IN))*(((K388)-(c_TMAP2IN))*((c_TMAP3OUT)-(c_TMAP2OUT))+IF(((c_TMAP3OUT)-(c_TMAP2OUT))&gt;=0,1,-1)*QUOTIENT(((c_TMAP3IN)-(c_TMAP2IN)),2)))&gt;=0,1,0)))</f>
        <v>655</v>
      </c>
      <c r="P388" s="7" t="n">
        <f aca="false">IF(((1000)-(c_TMAP3IN))=0,(c_TMAP3OUT)+QUOTIENT(((1000)-(c_TMAP3OUT)),2),QUOTIENT((((K388)-(c_TMAP3IN))*((1000)-(c_TMAP3OUT))+IF(((1000)-(c_TMAP3OUT))&gt;=0,1,-1)*QUOTIENT(((1000)-(c_TMAP3IN)),2)),((1000)-(c_TMAP3IN)))+(c_TMAP3OUT)+IF(((1000)-(c_TMAP3OUT))&gt;=0,IF(IF(o_WRAP=1,MOD(((1000)-(c_TMAP3IN))*(((K388)-(c_TMAP3IN))*((1000)-(c_TMAP3OUT))+IF(((1000)-(c_TMAP3OUT))&gt;=0,1,-1)*QUOTIENT(((1000)-(c_TMAP3IN)),2))+2147483648,4294967296)-2147483648,((1000)-(c_TMAP3IN))*(((K388)-(c_TMAP3IN))*((1000)-(c_TMAP3OUT))+IF(((1000)-(c_TMAP3OUT))&gt;=0,1,-1)*QUOTIENT(((1000)-(c_TMAP3IN)),2)))&lt;0,-1,0),IF(IF(o_WRAP=1,MOD(((1000)-(c_TMAP3IN))*(((K388)-(c_TMAP3IN))*((1000)-(c_TMAP3OUT))+IF(((1000)-(c_TMAP3OUT))&gt;=0,1,-1)*QUOTIENT(((1000)-(c_TMAP3IN)),2))+2147483648,4294967296)-2147483648,((1000)-(c_TMAP3IN))*(((K388)-(c_TMAP3IN))*((1000)-(c_TMAP3OUT))+IF(((1000)-(c_TMAP3OUT))&gt;=0,1,-1)*QUOTIENT(((1000)-(c_TMAP3IN)),2)))&gt;=0,1,0)))</f>
        <v>1000</v>
      </c>
      <c r="Q388" s="7" t="str">
        <f aca="false">IF(K388&gt;=c_TFWD,IF(AND(K388&gt;=c_TMAP3IN,c_TMAP3IN&lt;1000),"Seg4 map3-100%",IF(AND(K388&gt;=c_TMAP2IN,c_TMAP3IN&gt;c_TMAP2IN),"Seg3 map2-map3",IF(AND(K388&gt;=c_TMAP1IN,c_TMAP2IN&gt;c_TMAP1IN),"Seg2 map1-map2","Seg1 TFWD-map1"))),IF(AND(K388=0,c_TCREEP&gt;0),"Creep",IF(AND(K388&lt;=c_TRNGMIN,K388&gt;=c_TRNGMAX,c_TRNGMIN-c_TRNGMAX&lt;&gt;0),"Regen ramp","Coast (0)")))</f>
        <v>Seg4 map3-100%</v>
      </c>
      <c r="R388" s="7" t="n">
        <f aca="false">IF(K388&gt;=c_TFWD,IF(AND(K388&gt;=c_TMAP3IN,c_TMAP3IN&lt;1000),P388,IF(AND(K388&gt;=c_TMAP2IN,c_TMAP3IN&gt;c_TMAP2IN),O388,IF(AND(K388&gt;=c_TMAP1IN,c_TMAP2IN&gt;c_TMAP1IN),N388,M388))),L388)</f>
        <v>1000</v>
      </c>
      <c r="S388" s="7" t="str">
        <f aca="false">IF(R388&lt;-1090,"TOO LOW",IF(R388&gt;1090,"TOO HIGH",""))</f>
        <v/>
      </c>
      <c r="T388" s="15" t="n">
        <f aca="false">IF(H388&lt;&gt;"OK",0,IF(S388&lt;&gt;"",0,IF(R388&gt;979,1000,R388)))</f>
        <v>0</v>
      </c>
      <c r="U388" s="7" t="n">
        <f aca="false">T388/10</f>
        <v>0</v>
      </c>
    </row>
    <row r="389" customFormat="false" ht="15" hidden="false" customHeight="false" outlineLevel="0" collapsed="false">
      <c r="A389" s="7" t="n">
        <v>384</v>
      </c>
      <c r="B389" s="7" t="n">
        <f aca="false">ROUND(o_SWSTART+A389*(o_SWEND-o_SWSTART)/400,0)</f>
        <v>3931</v>
      </c>
      <c r="C389" s="7" t="n">
        <f aca="false">QUOTIENT((B389-c_OFF1)*c_GAIN1,1024)</f>
        <v>3931</v>
      </c>
      <c r="D389" s="7" t="n">
        <f aca="false">IF(((c_T1MX)-(c_T1MN))=0,(0)+QUOTIENT(((1000)-(0)),2),QUOTIENT((((C389)-(c_T1MN))*((1000)-(0))+IF(((1000)-(0))&gt;=0,1,-1)*QUOTIENT(((c_T1MX)-(c_T1MN)),2)),((c_T1MX)-(c_T1MN)))+(0)+IF(((1000)-(0))&gt;=0,IF(IF(o_WRAP=1,MOD(((c_T1MX)-(c_T1MN))*(((C389)-(c_T1MN))*((1000)-(0))+IF(((1000)-(0))&gt;=0,1,-1)*QUOTIENT(((c_T1MX)-(c_T1MN)),2))+2147483648,4294967296)-2147483648,((c_T1MX)-(c_T1MN))*(((C389)-(c_T1MN))*((1000)-(0))+IF(((1000)-(0))&gt;=0,1,-1)*QUOTIENT(((c_T1MX)-(c_T1MN)),2)))&lt;0,-1,0),IF(IF(o_WRAP=1,MOD(((c_T1MX)-(c_T1MN))*(((C389)-(c_T1MN))*((1000)-(0))+IF(((1000)-(0))&gt;=0,1,-1)*QUOTIENT(((c_T1MX)-(c_T1MN)),2))+2147483648,4294967296)-2147483648,((c_T1MX)-(c_T1MN))*(((C389)-(c_T1MN))*((1000)-(0))+IF(((1000)-(0))&gt;=0,1,-1)*QUOTIENT(((c_T1MX)-(c_T1MN)),2)))&gt;=0,1,0)))</f>
        <v>1164</v>
      </c>
      <c r="E389" s="7" t="n">
        <f aca="false">IF(AND(c_TPOT=1,c_TTYPE=2),1000-D389,D389)</f>
        <v>1164</v>
      </c>
      <c r="F389" s="7" t="str">
        <f aca="false">IF(c_TPOT&gt;1,ROUND(IF(c_TTYPE=2,c_T2MX-IF(c_T1MX=c_T1MN,0,(C389-c_T1MN)/(c_T1MX-c_T1MN))*(c_T2MX-c_T2MN),c_T2MN+IF(c_T1MX=c_T1MN,0,(C389-c_T1MN)/(c_T1MX-c_T1MN))*(c_T2MX-c_T2MN))+o_MISMATCH,0),"")</f>
        <v/>
      </c>
      <c r="G389" s="7" t="str">
        <f aca="false">IF(c_TPOT&gt;1,IF(((c_T2MX)-(c_T2MN))=0,(0)+QUOTIENT(((1000)-(0)),2),QUOTIENT((((F389)-(c_T2MN))*((1000)-(0))+IF(((1000)-(0))&gt;=0,1,-1)*QUOTIENT(((c_T2MX)-(c_T2MN)),2)),((c_T2MX)-(c_T2MN)))+(0)+IF(((1000)-(0))&gt;=0,IF(IF(o_WRAP=1,MOD(((c_T2MX)-(c_T2MN))*(((F389)-(c_T2MN))*((1000)-(0))+IF(((1000)-(0))&gt;=0,1,-1)*QUOTIENT(((c_T2MX)-(c_T2MN)),2))+2147483648,4294967296)-2147483648,((c_T2MX)-(c_T2MN))*(((F389)-(c_T2MN))*((1000)-(0))+IF(((1000)-(0))&gt;=0,1,-1)*QUOTIENT(((c_T2MX)-(c_T2MN)),2)))&lt;0,-1,0),IF(IF(o_WRAP=1,MOD(((c_T2MX)-(c_T2MN))*(((F389)-(c_T2MN))*((1000)-(0))+IF(((1000)-(0))&gt;=0,1,-1)*QUOTIENT(((c_T2MX)-(c_T2MN)),2))+2147483648,4294967296)-2147483648,((c_T2MX)-(c_T2MN))*(((F389)-(c_T2MN))*((1000)-(0))+IF(((1000)-(0))&gt;=0,1,-1)*QUOTIENT(((c_T2MX)-(c_T2MN)),2)))&gt;=0,1,0))),"")</f>
        <v/>
      </c>
      <c r="H389" s="7" t="str">
        <f aca="false">IF(E389&gt;1000+k_TOL,"T1 HIGH",IF(E389&lt;0-k_TOL,"T1 LOW",IF(c_TPOT&gt;1,IF(G389&gt;1000+k_TOL,"T2 HIGH",IF(G389&lt;0-k_TOL,"T2 LOW",IF(c_TTYPE=2,IF(ABS(1000-MAX(0,MIN(1000,E389))-MAX(0,MIN(1000,G389)))&gt;k_MAXERR,"MISMATCH","OK"),IF(OR(MAX(0,MIN(1000,E389))-k_MAXERR&gt;MAX(0,MIN(1000,G389)),MAX(0,MIN(1000,G389))-k_MAXERR&gt;MAX(0,MIN(1000,E389))),"MISMATCH","OK")))),"OK")))</f>
        <v>T1 HIGH</v>
      </c>
      <c r="I389" s="7" t="n">
        <f aca="false">MAX(0,MIN(1000,D389))</f>
        <v>1000</v>
      </c>
      <c r="J389" s="7" t="str">
        <f aca="false">IF(c_TPOT&gt;1,IF(c_TTYPE=2,1000-MAX(0,MIN(1000,G389)),MAX(0,MIN(1000,G389))),"")</f>
        <v/>
      </c>
      <c r="K389" s="7" t="n">
        <f aca="false">IF(c_TPOT&gt;1,QUOTIENT(I389+J389,2),I389)</f>
        <v>1000</v>
      </c>
      <c r="L389" s="7" t="n">
        <f aca="false">IF(AND(K389=0,c_TCREEP&gt;0),10*c_TCREEP,IF(AND(K389&lt;=c_TRNGMIN,K389&gt;=c_TRNGMAX,c_TRNGMIN-c_TRNGMAX&lt;&gt;0),-10*c_TMINRN+QUOTIENT((c_TMAXRN-c_TMINRN)*(100-QUOTIENT((K389-c_TRNGMAX)*100,c_TRNGMIN-c_TRNGMAX)),-10),0))</f>
        <v>0</v>
      </c>
      <c r="M389" s="7" t="n">
        <f aca="false">IF(((c_TMAP1IN)-(c_TFWD))=0,(0)+QUOTIENT(((c_TMAP1OUT)-(0)),2),QUOTIENT((((K389)-(c_TFWD))*((c_TMAP1OUT)-(0))+IF(((c_TMAP1OUT)-(0))&gt;=0,1,-1)*QUOTIENT(((c_TMAP1IN)-(c_TFWD)),2)),((c_TMAP1IN)-(c_TFWD)))+(0)+IF(((c_TMAP1OUT)-(0))&gt;=0,IF(IF(o_WRAP=1,MOD(((c_TMAP1IN)-(c_TFWD))*(((K389)-(c_TFWD))*((c_TMAP1OUT)-(0))+IF(((c_TMAP1OUT)-(0))&gt;=0,1,-1)*QUOTIENT(((c_TMAP1IN)-(c_TFWD)),2))+2147483648,4294967296)-2147483648,((c_TMAP1IN)-(c_TFWD))*(((K389)-(c_TFWD))*((c_TMAP1OUT)-(0))+IF(((c_TMAP1OUT)-(0))&gt;=0,1,-1)*QUOTIENT(((c_TMAP1IN)-(c_TFWD)),2)))&lt;0,-1,0),IF(IF(o_WRAP=1,MOD(((c_TMAP1IN)-(c_TFWD))*(((K389)-(c_TFWD))*((c_TMAP1OUT)-(0))+IF(((c_TMAP1OUT)-(0))&gt;=0,1,-1)*QUOTIENT(((c_TMAP1IN)-(c_TFWD)),2))+2147483648,4294967296)-2147483648,((c_TMAP1IN)-(c_TFWD))*(((K389)-(c_TFWD))*((c_TMAP1OUT)-(0))+IF(((c_TMAP1OUT)-(0))&gt;=0,1,-1)*QUOTIENT(((c_TMAP1IN)-(c_TFWD)),2)))&gt;=0,1,0)))</f>
        <v>770</v>
      </c>
      <c r="N389" s="7" t="n">
        <f aca="false">IF(((c_TMAP2IN)-(c_TMAP1IN))=0,(c_TMAP1OUT)+QUOTIENT(((c_TMAP2OUT)-(c_TMAP1OUT)),2),QUOTIENT((((K389)-(c_TMAP1IN))*((c_TMAP2OUT)-(c_TMAP1OUT))+IF(((c_TMAP2OUT)-(c_TMAP1OUT))&gt;=0,1,-1)*QUOTIENT(((c_TMAP2IN)-(c_TMAP1IN)),2)),((c_TMAP2IN)-(c_TMAP1IN)))+(c_TMAP1OUT)+IF(((c_TMAP2OUT)-(c_TMAP1OUT))&gt;=0,IF(IF(o_WRAP=1,MOD(((c_TMAP2IN)-(c_TMAP1IN))*(((K389)-(c_TMAP1IN))*((c_TMAP2OUT)-(c_TMAP1OUT))+IF(((c_TMAP2OUT)-(c_TMAP1OUT))&gt;=0,1,-1)*QUOTIENT(((c_TMAP2IN)-(c_TMAP1IN)),2))+2147483648,4294967296)-2147483648,((c_TMAP2IN)-(c_TMAP1IN))*(((K389)-(c_TMAP1IN))*((c_TMAP2OUT)-(c_TMAP1OUT))+IF(((c_TMAP2OUT)-(c_TMAP1OUT))&gt;=0,1,-1)*QUOTIENT(((c_TMAP2IN)-(c_TMAP1IN)),2)))&lt;0,-1,0),IF(IF(o_WRAP=1,MOD(((c_TMAP2IN)-(c_TMAP1IN))*(((K389)-(c_TMAP1IN))*((c_TMAP2OUT)-(c_TMAP1OUT))+IF(((c_TMAP2OUT)-(c_TMAP1OUT))&gt;=0,1,-1)*QUOTIENT(((c_TMAP2IN)-(c_TMAP1IN)),2))+2147483648,4294967296)-2147483648,((c_TMAP2IN)-(c_TMAP1IN))*(((K389)-(c_TMAP1IN))*((c_TMAP2OUT)-(c_TMAP1OUT))+IF(((c_TMAP2OUT)-(c_TMAP1OUT))&gt;=0,1,-1)*QUOTIENT(((c_TMAP2IN)-(c_TMAP1IN)),2)))&gt;=0,1,0)))</f>
        <v>430</v>
      </c>
      <c r="O389" s="7" t="n">
        <f aca="false">IF(((c_TMAP3IN)-(c_TMAP2IN))=0,(c_TMAP2OUT)+QUOTIENT(((c_TMAP3OUT)-(c_TMAP2OUT)),2),QUOTIENT((((K389)-(c_TMAP2IN))*((c_TMAP3OUT)-(c_TMAP2OUT))+IF(((c_TMAP3OUT)-(c_TMAP2OUT))&gt;=0,1,-1)*QUOTIENT(((c_TMAP3IN)-(c_TMAP2IN)),2)),((c_TMAP3IN)-(c_TMAP2IN)))+(c_TMAP2OUT)+IF(((c_TMAP3OUT)-(c_TMAP2OUT))&gt;=0,IF(IF(o_WRAP=1,MOD(((c_TMAP3IN)-(c_TMAP2IN))*(((K389)-(c_TMAP2IN))*((c_TMAP3OUT)-(c_TMAP2OUT))+IF(((c_TMAP3OUT)-(c_TMAP2OUT))&gt;=0,1,-1)*QUOTIENT(((c_TMAP3IN)-(c_TMAP2IN)),2))+2147483648,4294967296)-2147483648,((c_TMAP3IN)-(c_TMAP2IN))*(((K389)-(c_TMAP2IN))*((c_TMAP3OUT)-(c_TMAP2OUT))+IF(((c_TMAP3OUT)-(c_TMAP2OUT))&gt;=0,1,-1)*QUOTIENT(((c_TMAP3IN)-(c_TMAP2IN)),2)))&lt;0,-1,0),IF(IF(o_WRAP=1,MOD(((c_TMAP3IN)-(c_TMAP2IN))*(((K389)-(c_TMAP2IN))*((c_TMAP3OUT)-(c_TMAP2OUT))+IF(((c_TMAP3OUT)-(c_TMAP2OUT))&gt;=0,1,-1)*QUOTIENT(((c_TMAP3IN)-(c_TMAP2IN)),2))+2147483648,4294967296)-2147483648,((c_TMAP3IN)-(c_TMAP2IN))*(((K389)-(c_TMAP2IN))*((c_TMAP3OUT)-(c_TMAP2OUT))+IF(((c_TMAP3OUT)-(c_TMAP2OUT))&gt;=0,1,-1)*QUOTIENT(((c_TMAP3IN)-(c_TMAP2IN)),2)))&gt;=0,1,0)))</f>
        <v>655</v>
      </c>
      <c r="P389" s="7" t="n">
        <f aca="false">IF(((1000)-(c_TMAP3IN))=0,(c_TMAP3OUT)+QUOTIENT(((1000)-(c_TMAP3OUT)),2),QUOTIENT((((K389)-(c_TMAP3IN))*((1000)-(c_TMAP3OUT))+IF(((1000)-(c_TMAP3OUT))&gt;=0,1,-1)*QUOTIENT(((1000)-(c_TMAP3IN)),2)),((1000)-(c_TMAP3IN)))+(c_TMAP3OUT)+IF(((1000)-(c_TMAP3OUT))&gt;=0,IF(IF(o_WRAP=1,MOD(((1000)-(c_TMAP3IN))*(((K389)-(c_TMAP3IN))*((1000)-(c_TMAP3OUT))+IF(((1000)-(c_TMAP3OUT))&gt;=0,1,-1)*QUOTIENT(((1000)-(c_TMAP3IN)),2))+2147483648,4294967296)-2147483648,((1000)-(c_TMAP3IN))*(((K389)-(c_TMAP3IN))*((1000)-(c_TMAP3OUT))+IF(((1000)-(c_TMAP3OUT))&gt;=0,1,-1)*QUOTIENT(((1000)-(c_TMAP3IN)),2)))&lt;0,-1,0),IF(IF(o_WRAP=1,MOD(((1000)-(c_TMAP3IN))*(((K389)-(c_TMAP3IN))*((1000)-(c_TMAP3OUT))+IF(((1000)-(c_TMAP3OUT))&gt;=0,1,-1)*QUOTIENT(((1000)-(c_TMAP3IN)),2))+2147483648,4294967296)-2147483648,((1000)-(c_TMAP3IN))*(((K389)-(c_TMAP3IN))*((1000)-(c_TMAP3OUT))+IF(((1000)-(c_TMAP3OUT))&gt;=0,1,-1)*QUOTIENT(((1000)-(c_TMAP3IN)),2)))&gt;=0,1,0)))</f>
        <v>1000</v>
      </c>
      <c r="Q389" s="7" t="str">
        <f aca="false">IF(K389&gt;=c_TFWD,IF(AND(K389&gt;=c_TMAP3IN,c_TMAP3IN&lt;1000),"Seg4 map3-100%",IF(AND(K389&gt;=c_TMAP2IN,c_TMAP3IN&gt;c_TMAP2IN),"Seg3 map2-map3",IF(AND(K389&gt;=c_TMAP1IN,c_TMAP2IN&gt;c_TMAP1IN),"Seg2 map1-map2","Seg1 TFWD-map1"))),IF(AND(K389=0,c_TCREEP&gt;0),"Creep",IF(AND(K389&lt;=c_TRNGMIN,K389&gt;=c_TRNGMAX,c_TRNGMIN-c_TRNGMAX&lt;&gt;0),"Regen ramp","Coast (0)")))</f>
        <v>Seg4 map3-100%</v>
      </c>
      <c r="R389" s="7" t="n">
        <f aca="false">IF(K389&gt;=c_TFWD,IF(AND(K389&gt;=c_TMAP3IN,c_TMAP3IN&lt;1000),P389,IF(AND(K389&gt;=c_TMAP2IN,c_TMAP3IN&gt;c_TMAP2IN),O389,IF(AND(K389&gt;=c_TMAP1IN,c_TMAP2IN&gt;c_TMAP1IN),N389,M389))),L389)</f>
        <v>1000</v>
      </c>
      <c r="S389" s="7" t="str">
        <f aca="false">IF(R389&lt;-1090,"TOO LOW",IF(R389&gt;1090,"TOO HIGH",""))</f>
        <v/>
      </c>
      <c r="T389" s="15" t="n">
        <f aca="false">IF(H389&lt;&gt;"OK",0,IF(S389&lt;&gt;"",0,IF(R389&gt;979,1000,R389)))</f>
        <v>0</v>
      </c>
      <c r="U389" s="7" t="n">
        <f aca="false">T389/10</f>
        <v>0</v>
      </c>
    </row>
    <row r="390" customFormat="false" ht="15" hidden="false" customHeight="false" outlineLevel="0" collapsed="false">
      <c r="A390" s="7" t="n">
        <v>385</v>
      </c>
      <c r="B390" s="7" t="n">
        <f aca="false">ROUND(o_SWSTART+A390*(o_SWEND-o_SWSTART)/400,0)</f>
        <v>3941</v>
      </c>
      <c r="C390" s="7" t="n">
        <f aca="false">QUOTIENT((B390-c_OFF1)*c_GAIN1,1024)</f>
        <v>3941</v>
      </c>
      <c r="D390" s="7" t="n">
        <f aca="false">IF(((c_T1MX)-(c_T1MN))=0,(0)+QUOTIENT(((1000)-(0)),2),QUOTIENT((((C390)-(c_T1MN))*((1000)-(0))+IF(((1000)-(0))&gt;=0,1,-1)*QUOTIENT(((c_T1MX)-(c_T1MN)),2)),((c_T1MX)-(c_T1MN)))+(0)+IF(((1000)-(0))&gt;=0,IF(IF(o_WRAP=1,MOD(((c_T1MX)-(c_T1MN))*(((C390)-(c_T1MN))*((1000)-(0))+IF(((1000)-(0))&gt;=0,1,-1)*QUOTIENT(((c_T1MX)-(c_T1MN)),2))+2147483648,4294967296)-2147483648,((c_T1MX)-(c_T1MN))*(((C390)-(c_T1MN))*((1000)-(0))+IF(((1000)-(0))&gt;=0,1,-1)*QUOTIENT(((c_T1MX)-(c_T1MN)),2)))&lt;0,-1,0),IF(IF(o_WRAP=1,MOD(((c_T1MX)-(c_T1MN))*(((C390)-(c_T1MN))*((1000)-(0))+IF(((1000)-(0))&gt;=0,1,-1)*QUOTIENT(((c_T1MX)-(c_T1MN)),2))+2147483648,4294967296)-2147483648,((c_T1MX)-(c_T1MN))*(((C390)-(c_T1MN))*((1000)-(0))+IF(((1000)-(0))&gt;=0,1,-1)*QUOTIENT(((c_T1MX)-(c_T1MN)),2)))&gt;=0,1,0)))</f>
        <v>1168</v>
      </c>
      <c r="E390" s="7" t="n">
        <f aca="false">IF(AND(c_TPOT=1,c_TTYPE=2),1000-D390,D390)</f>
        <v>1168</v>
      </c>
      <c r="F390" s="7" t="str">
        <f aca="false">IF(c_TPOT&gt;1,ROUND(IF(c_TTYPE=2,c_T2MX-IF(c_T1MX=c_T1MN,0,(C390-c_T1MN)/(c_T1MX-c_T1MN))*(c_T2MX-c_T2MN),c_T2MN+IF(c_T1MX=c_T1MN,0,(C390-c_T1MN)/(c_T1MX-c_T1MN))*(c_T2MX-c_T2MN))+o_MISMATCH,0),"")</f>
        <v/>
      </c>
      <c r="G390" s="7" t="str">
        <f aca="false">IF(c_TPOT&gt;1,IF(((c_T2MX)-(c_T2MN))=0,(0)+QUOTIENT(((1000)-(0)),2),QUOTIENT((((F390)-(c_T2MN))*((1000)-(0))+IF(((1000)-(0))&gt;=0,1,-1)*QUOTIENT(((c_T2MX)-(c_T2MN)),2)),((c_T2MX)-(c_T2MN)))+(0)+IF(((1000)-(0))&gt;=0,IF(IF(o_WRAP=1,MOD(((c_T2MX)-(c_T2MN))*(((F390)-(c_T2MN))*((1000)-(0))+IF(((1000)-(0))&gt;=0,1,-1)*QUOTIENT(((c_T2MX)-(c_T2MN)),2))+2147483648,4294967296)-2147483648,((c_T2MX)-(c_T2MN))*(((F390)-(c_T2MN))*((1000)-(0))+IF(((1000)-(0))&gt;=0,1,-1)*QUOTIENT(((c_T2MX)-(c_T2MN)),2)))&lt;0,-1,0),IF(IF(o_WRAP=1,MOD(((c_T2MX)-(c_T2MN))*(((F390)-(c_T2MN))*((1000)-(0))+IF(((1000)-(0))&gt;=0,1,-1)*QUOTIENT(((c_T2MX)-(c_T2MN)),2))+2147483648,4294967296)-2147483648,((c_T2MX)-(c_T2MN))*(((F390)-(c_T2MN))*((1000)-(0))+IF(((1000)-(0))&gt;=0,1,-1)*QUOTIENT(((c_T2MX)-(c_T2MN)),2)))&gt;=0,1,0))),"")</f>
        <v/>
      </c>
      <c r="H390" s="7" t="str">
        <f aca="false">IF(E390&gt;1000+k_TOL,"T1 HIGH",IF(E390&lt;0-k_TOL,"T1 LOW",IF(c_TPOT&gt;1,IF(G390&gt;1000+k_TOL,"T2 HIGH",IF(G390&lt;0-k_TOL,"T2 LOW",IF(c_TTYPE=2,IF(ABS(1000-MAX(0,MIN(1000,E390))-MAX(0,MIN(1000,G390)))&gt;k_MAXERR,"MISMATCH","OK"),IF(OR(MAX(0,MIN(1000,E390))-k_MAXERR&gt;MAX(0,MIN(1000,G390)),MAX(0,MIN(1000,G390))-k_MAXERR&gt;MAX(0,MIN(1000,E390))),"MISMATCH","OK")))),"OK")))</f>
        <v>T1 HIGH</v>
      </c>
      <c r="I390" s="7" t="n">
        <f aca="false">MAX(0,MIN(1000,D390))</f>
        <v>1000</v>
      </c>
      <c r="J390" s="7" t="str">
        <f aca="false">IF(c_TPOT&gt;1,IF(c_TTYPE=2,1000-MAX(0,MIN(1000,G390)),MAX(0,MIN(1000,G390))),"")</f>
        <v/>
      </c>
      <c r="K390" s="7" t="n">
        <f aca="false">IF(c_TPOT&gt;1,QUOTIENT(I390+J390,2),I390)</f>
        <v>1000</v>
      </c>
      <c r="L390" s="7" t="n">
        <f aca="false">IF(AND(K390=0,c_TCREEP&gt;0),10*c_TCREEP,IF(AND(K390&lt;=c_TRNGMIN,K390&gt;=c_TRNGMAX,c_TRNGMIN-c_TRNGMAX&lt;&gt;0),-10*c_TMINRN+QUOTIENT((c_TMAXRN-c_TMINRN)*(100-QUOTIENT((K390-c_TRNGMAX)*100,c_TRNGMIN-c_TRNGMAX)),-10),0))</f>
        <v>0</v>
      </c>
      <c r="M390" s="7" t="n">
        <f aca="false">IF(((c_TMAP1IN)-(c_TFWD))=0,(0)+QUOTIENT(((c_TMAP1OUT)-(0)),2),QUOTIENT((((K390)-(c_TFWD))*((c_TMAP1OUT)-(0))+IF(((c_TMAP1OUT)-(0))&gt;=0,1,-1)*QUOTIENT(((c_TMAP1IN)-(c_TFWD)),2)),((c_TMAP1IN)-(c_TFWD)))+(0)+IF(((c_TMAP1OUT)-(0))&gt;=0,IF(IF(o_WRAP=1,MOD(((c_TMAP1IN)-(c_TFWD))*(((K390)-(c_TFWD))*((c_TMAP1OUT)-(0))+IF(((c_TMAP1OUT)-(0))&gt;=0,1,-1)*QUOTIENT(((c_TMAP1IN)-(c_TFWD)),2))+2147483648,4294967296)-2147483648,((c_TMAP1IN)-(c_TFWD))*(((K390)-(c_TFWD))*((c_TMAP1OUT)-(0))+IF(((c_TMAP1OUT)-(0))&gt;=0,1,-1)*QUOTIENT(((c_TMAP1IN)-(c_TFWD)),2)))&lt;0,-1,0),IF(IF(o_WRAP=1,MOD(((c_TMAP1IN)-(c_TFWD))*(((K390)-(c_TFWD))*((c_TMAP1OUT)-(0))+IF(((c_TMAP1OUT)-(0))&gt;=0,1,-1)*QUOTIENT(((c_TMAP1IN)-(c_TFWD)),2))+2147483648,4294967296)-2147483648,((c_TMAP1IN)-(c_TFWD))*(((K390)-(c_TFWD))*((c_TMAP1OUT)-(0))+IF(((c_TMAP1OUT)-(0))&gt;=0,1,-1)*QUOTIENT(((c_TMAP1IN)-(c_TFWD)),2)))&gt;=0,1,0)))</f>
        <v>770</v>
      </c>
      <c r="N390" s="7" t="n">
        <f aca="false">IF(((c_TMAP2IN)-(c_TMAP1IN))=0,(c_TMAP1OUT)+QUOTIENT(((c_TMAP2OUT)-(c_TMAP1OUT)),2),QUOTIENT((((K390)-(c_TMAP1IN))*((c_TMAP2OUT)-(c_TMAP1OUT))+IF(((c_TMAP2OUT)-(c_TMAP1OUT))&gt;=0,1,-1)*QUOTIENT(((c_TMAP2IN)-(c_TMAP1IN)),2)),((c_TMAP2IN)-(c_TMAP1IN)))+(c_TMAP1OUT)+IF(((c_TMAP2OUT)-(c_TMAP1OUT))&gt;=0,IF(IF(o_WRAP=1,MOD(((c_TMAP2IN)-(c_TMAP1IN))*(((K390)-(c_TMAP1IN))*((c_TMAP2OUT)-(c_TMAP1OUT))+IF(((c_TMAP2OUT)-(c_TMAP1OUT))&gt;=0,1,-1)*QUOTIENT(((c_TMAP2IN)-(c_TMAP1IN)),2))+2147483648,4294967296)-2147483648,((c_TMAP2IN)-(c_TMAP1IN))*(((K390)-(c_TMAP1IN))*((c_TMAP2OUT)-(c_TMAP1OUT))+IF(((c_TMAP2OUT)-(c_TMAP1OUT))&gt;=0,1,-1)*QUOTIENT(((c_TMAP2IN)-(c_TMAP1IN)),2)))&lt;0,-1,0),IF(IF(o_WRAP=1,MOD(((c_TMAP2IN)-(c_TMAP1IN))*(((K390)-(c_TMAP1IN))*((c_TMAP2OUT)-(c_TMAP1OUT))+IF(((c_TMAP2OUT)-(c_TMAP1OUT))&gt;=0,1,-1)*QUOTIENT(((c_TMAP2IN)-(c_TMAP1IN)),2))+2147483648,4294967296)-2147483648,((c_TMAP2IN)-(c_TMAP1IN))*(((K390)-(c_TMAP1IN))*((c_TMAP2OUT)-(c_TMAP1OUT))+IF(((c_TMAP2OUT)-(c_TMAP1OUT))&gt;=0,1,-1)*QUOTIENT(((c_TMAP2IN)-(c_TMAP1IN)),2)))&gt;=0,1,0)))</f>
        <v>430</v>
      </c>
      <c r="O390" s="7" t="n">
        <f aca="false">IF(((c_TMAP3IN)-(c_TMAP2IN))=0,(c_TMAP2OUT)+QUOTIENT(((c_TMAP3OUT)-(c_TMAP2OUT)),2),QUOTIENT((((K390)-(c_TMAP2IN))*((c_TMAP3OUT)-(c_TMAP2OUT))+IF(((c_TMAP3OUT)-(c_TMAP2OUT))&gt;=0,1,-1)*QUOTIENT(((c_TMAP3IN)-(c_TMAP2IN)),2)),((c_TMAP3IN)-(c_TMAP2IN)))+(c_TMAP2OUT)+IF(((c_TMAP3OUT)-(c_TMAP2OUT))&gt;=0,IF(IF(o_WRAP=1,MOD(((c_TMAP3IN)-(c_TMAP2IN))*(((K390)-(c_TMAP2IN))*((c_TMAP3OUT)-(c_TMAP2OUT))+IF(((c_TMAP3OUT)-(c_TMAP2OUT))&gt;=0,1,-1)*QUOTIENT(((c_TMAP3IN)-(c_TMAP2IN)),2))+2147483648,4294967296)-2147483648,((c_TMAP3IN)-(c_TMAP2IN))*(((K390)-(c_TMAP2IN))*((c_TMAP3OUT)-(c_TMAP2OUT))+IF(((c_TMAP3OUT)-(c_TMAP2OUT))&gt;=0,1,-1)*QUOTIENT(((c_TMAP3IN)-(c_TMAP2IN)),2)))&lt;0,-1,0),IF(IF(o_WRAP=1,MOD(((c_TMAP3IN)-(c_TMAP2IN))*(((K390)-(c_TMAP2IN))*((c_TMAP3OUT)-(c_TMAP2OUT))+IF(((c_TMAP3OUT)-(c_TMAP2OUT))&gt;=0,1,-1)*QUOTIENT(((c_TMAP3IN)-(c_TMAP2IN)),2))+2147483648,4294967296)-2147483648,((c_TMAP3IN)-(c_TMAP2IN))*(((K390)-(c_TMAP2IN))*((c_TMAP3OUT)-(c_TMAP2OUT))+IF(((c_TMAP3OUT)-(c_TMAP2OUT))&gt;=0,1,-1)*QUOTIENT(((c_TMAP3IN)-(c_TMAP2IN)),2)))&gt;=0,1,0)))</f>
        <v>655</v>
      </c>
      <c r="P390" s="7" t="n">
        <f aca="false">IF(((1000)-(c_TMAP3IN))=0,(c_TMAP3OUT)+QUOTIENT(((1000)-(c_TMAP3OUT)),2),QUOTIENT((((K390)-(c_TMAP3IN))*((1000)-(c_TMAP3OUT))+IF(((1000)-(c_TMAP3OUT))&gt;=0,1,-1)*QUOTIENT(((1000)-(c_TMAP3IN)),2)),((1000)-(c_TMAP3IN)))+(c_TMAP3OUT)+IF(((1000)-(c_TMAP3OUT))&gt;=0,IF(IF(o_WRAP=1,MOD(((1000)-(c_TMAP3IN))*(((K390)-(c_TMAP3IN))*((1000)-(c_TMAP3OUT))+IF(((1000)-(c_TMAP3OUT))&gt;=0,1,-1)*QUOTIENT(((1000)-(c_TMAP3IN)),2))+2147483648,4294967296)-2147483648,((1000)-(c_TMAP3IN))*(((K390)-(c_TMAP3IN))*((1000)-(c_TMAP3OUT))+IF(((1000)-(c_TMAP3OUT))&gt;=0,1,-1)*QUOTIENT(((1000)-(c_TMAP3IN)),2)))&lt;0,-1,0),IF(IF(o_WRAP=1,MOD(((1000)-(c_TMAP3IN))*(((K390)-(c_TMAP3IN))*((1000)-(c_TMAP3OUT))+IF(((1000)-(c_TMAP3OUT))&gt;=0,1,-1)*QUOTIENT(((1000)-(c_TMAP3IN)),2))+2147483648,4294967296)-2147483648,((1000)-(c_TMAP3IN))*(((K390)-(c_TMAP3IN))*((1000)-(c_TMAP3OUT))+IF(((1000)-(c_TMAP3OUT))&gt;=0,1,-1)*QUOTIENT(((1000)-(c_TMAP3IN)),2)))&gt;=0,1,0)))</f>
        <v>1000</v>
      </c>
      <c r="Q390" s="7" t="str">
        <f aca="false">IF(K390&gt;=c_TFWD,IF(AND(K390&gt;=c_TMAP3IN,c_TMAP3IN&lt;1000),"Seg4 map3-100%",IF(AND(K390&gt;=c_TMAP2IN,c_TMAP3IN&gt;c_TMAP2IN),"Seg3 map2-map3",IF(AND(K390&gt;=c_TMAP1IN,c_TMAP2IN&gt;c_TMAP1IN),"Seg2 map1-map2","Seg1 TFWD-map1"))),IF(AND(K390=0,c_TCREEP&gt;0),"Creep",IF(AND(K390&lt;=c_TRNGMIN,K390&gt;=c_TRNGMAX,c_TRNGMIN-c_TRNGMAX&lt;&gt;0),"Regen ramp","Coast (0)")))</f>
        <v>Seg4 map3-100%</v>
      </c>
      <c r="R390" s="7" t="n">
        <f aca="false">IF(K390&gt;=c_TFWD,IF(AND(K390&gt;=c_TMAP3IN,c_TMAP3IN&lt;1000),P390,IF(AND(K390&gt;=c_TMAP2IN,c_TMAP3IN&gt;c_TMAP2IN),O390,IF(AND(K390&gt;=c_TMAP1IN,c_TMAP2IN&gt;c_TMAP1IN),N390,M390))),L390)</f>
        <v>1000</v>
      </c>
      <c r="S390" s="7" t="str">
        <f aca="false">IF(R390&lt;-1090,"TOO LOW",IF(R390&gt;1090,"TOO HIGH",""))</f>
        <v/>
      </c>
      <c r="T390" s="15" t="n">
        <f aca="false">IF(H390&lt;&gt;"OK",0,IF(S390&lt;&gt;"",0,IF(R390&gt;979,1000,R390)))</f>
        <v>0</v>
      </c>
      <c r="U390" s="7" t="n">
        <f aca="false">T390/10</f>
        <v>0</v>
      </c>
    </row>
    <row r="391" customFormat="false" ht="15" hidden="false" customHeight="false" outlineLevel="0" collapsed="false">
      <c r="A391" s="7" t="n">
        <v>386</v>
      </c>
      <c r="B391" s="7" t="n">
        <f aca="false">ROUND(o_SWSTART+A391*(o_SWEND-o_SWSTART)/400,0)</f>
        <v>3952</v>
      </c>
      <c r="C391" s="7" t="n">
        <f aca="false">QUOTIENT((B391-c_OFF1)*c_GAIN1,1024)</f>
        <v>3952</v>
      </c>
      <c r="D391" s="7" t="n">
        <f aca="false">IF(((c_T1MX)-(c_T1MN))=0,(0)+QUOTIENT(((1000)-(0)),2),QUOTIENT((((C391)-(c_T1MN))*((1000)-(0))+IF(((1000)-(0))&gt;=0,1,-1)*QUOTIENT(((c_T1MX)-(c_T1MN)),2)),((c_T1MX)-(c_T1MN)))+(0)+IF(((1000)-(0))&gt;=0,IF(IF(o_WRAP=1,MOD(((c_T1MX)-(c_T1MN))*(((C391)-(c_T1MN))*((1000)-(0))+IF(((1000)-(0))&gt;=0,1,-1)*QUOTIENT(((c_T1MX)-(c_T1MN)),2))+2147483648,4294967296)-2147483648,((c_T1MX)-(c_T1MN))*(((C391)-(c_T1MN))*((1000)-(0))+IF(((1000)-(0))&gt;=0,1,-1)*QUOTIENT(((c_T1MX)-(c_T1MN)),2)))&lt;0,-1,0),IF(IF(o_WRAP=1,MOD(((c_T1MX)-(c_T1MN))*(((C391)-(c_T1MN))*((1000)-(0))+IF(((1000)-(0))&gt;=0,1,-1)*QUOTIENT(((c_T1MX)-(c_T1MN)),2))+2147483648,4294967296)-2147483648,((c_T1MX)-(c_T1MN))*(((C391)-(c_T1MN))*((1000)-(0))+IF(((1000)-(0))&gt;=0,1,-1)*QUOTIENT(((c_T1MX)-(c_T1MN)),2)))&gt;=0,1,0)))</f>
        <v>1172</v>
      </c>
      <c r="E391" s="7" t="n">
        <f aca="false">IF(AND(c_TPOT=1,c_TTYPE=2),1000-D391,D391)</f>
        <v>1172</v>
      </c>
      <c r="F391" s="7" t="str">
        <f aca="false">IF(c_TPOT&gt;1,ROUND(IF(c_TTYPE=2,c_T2MX-IF(c_T1MX=c_T1MN,0,(C391-c_T1MN)/(c_T1MX-c_T1MN))*(c_T2MX-c_T2MN),c_T2MN+IF(c_T1MX=c_T1MN,0,(C391-c_T1MN)/(c_T1MX-c_T1MN))*(c_T2MX-c_T2MN))+o_MISMATCH,0),"")</f>
        <v/>
      </c>
      <c r="G391" s="7" t="str">
        <f aca="false">IF(c_TPOT&gt;1,IF(((c_T2MX)-(c_T2MN))=0,(0)+QUOTIENT(((1000)-(0)),2),QUOTIENT((((F391)-(c_T2MN))*((1000)-(0))+IF(((1000)-(0))&gt;=0,1,-1)*QUOTIENT(((c_T2MX)-(c_T2MN)),2)),((c_T2MX)-(c_T2MN)))+(0)+IF(((1000)-(0))&gt;=0,IF(IF(o_WRAP=1,MOD(((c_T2MX)-(c_T2MN))*(((F391)-(c_T2MN))*((1000)-(0))+IF(((1000)-(0))&gt;=0,1,-1)*QUOTIENT(((c_T2MX)-(c_T2MN)),2))+2147483648,4294967296)-2147483648,((c_T2MX)-(c_T2MN))*(((F391)-(c_T2MN))*((1000)-(0))+IF(((1000)-(0))&gt;=0,1,-1)*QUOTIENT(((c_T2MX)-(c_T2MN)),2)))&lt;0,-1,0),IF(IF(o_WRAP=1,MOD(((c_T2MX)-(c_T2MN))*(((F391)-(c_T2MN))*((1000)-(0))+IF(((1000)-(0))&gt;=0,1,-1)*QUOTIENT(((c_T2MX)-(c_T2MN)),2))+2147483648,4294967296)-2147483648,((c_T2MX)-(c_T2MN))*(((F391)-(c_T2MN))*((1000)-(0))+IF(((1000)-(0))&gt;=0,1,-1)*QUOTIENT(((c_T2MX)-(c_T2MN)),2)))&gt;=0,1,0))),"")</f>
        <v/>
      </c>
      <c r="H391" s="7" t="str">
        <f aca="false">IF(E391&gt;1000+k_TOL,"T1 HIGH",IF(E391&lt;0-k_TOL,"T1 LOW",IF(c_TPOT&gt;1,IF(G391&gt;1000+k_TOL,"T2 HIGH",IF(G391&lt;0-k_TOL,"T2 LOW",IF(c_TTYPE=2,IF(ABS(1000-MAX(0,MIN(1000,E391))-MAX(0,MIN(1000,G391)))&gt;k_MAXERR,"MISMATCH","OK"),IF(OR(MAX(0,MIN(1000,E391))-k_MAXERR&gt;MAX(0,MIN(1000,G391)),MAX(0,MIN(1000,G391))-k_MAXERR&gt;MAX(0,MIN(1000,E391))),"MISMATCH","OK")))),"OK")))</f>
        <v>T1 HIGH</v>
      </c>
      <c r="I391" s="7" t="n">
        <f aca="false">MAX(0,MIN(1000,D391))</f>
        <v>1000</v>
      </c>
      <c r="J391" s="7" t="str">
        <f aca="false">IF(c_TPOT&gt;1,IF(c_TTYPE=2,1000-MAX(0,MIN(1000,G391)),MAX(0,MIN(1000,G391))),"")</f>
        <v/>
      </c>
      <c r="K391" s="7" t="n">
        <f aca="false">IF(c_TPOT&gt;1,QUOTIENT(I391+J391,2),I391)</f>
        <v>1000</v>
      </c>
      <c r="L391" s="7" t="n">
        <f aca="false">IF(AND(K391=0,c_TCREEP&gt;0),10*c_TCREEP,IF(AND(K391&lt;=c_TRNGMIN,K391&gt;=c_TRNGMAX,c_TRNGMIN-c_TRNGMAX&lt;&gt;0),-10*c_TMINRN+QUOTIENT((c_TMAXRN-c_TMINRN)*(100-QUOTIENT((K391-c_TRNGMAX)*100,c_TRNGMIN-c_TRNGMAX)),-10),0))</f>
        <v>0</v>
      </c>
      <c r="M391" s="7" t="n">
        <f aca="false">IF(((c_TMAP1IN)-(c_TFWD))=0,(0)+QUOTIENT(((c_TMAP1OUT)-(0)),2),QUOTIENT((((K391)-(c_TFWD))*((c_TMAP1OUT)-(0))+IF(((c_TMAP1OUT)-(0))&gt;=0,1,-1)*QUOTIENT(((c_TMAP1IN)-(c_TFWD)),2)),((c_TMAP1IN)-(c_TFWD)))+(0)+IF(((c_TMAP1OUT)-(0))&gt;=0,IF(IF(o_WRAP=1,MOD(((c_TMAP1IN)-(c_TFWD))*(((K391)-(c_TFWD))*((c_TMAP1OUT)-(0))+IF(((c_TMAP1OUT)-(0))&gt;=0,1,-1)*QUOTIENT(((c_TMAP1IN)-(c_TFWD)),2))+2147483648,4294967296)-2147483648,((c_TMAP1IN)-(c_TFWD))*(((K391)-(c_TFWD))*((c_TMAP1OUT)-(0))+IF(((c_TMAP1OUT)-(0))&gt;=0,1,-1)*QUOTIENT(((c_TMAP1IN)-(c_TFWD)),2)))&lt;0,-1,0),IF(IF(o_WRAP=1,MOD(((c_TMAP1IN)-(c_TFWD))*(((K391)-(c_TFWD))*((c_TMAP1OUT)-(0))+IF(((c_TMAP1OUT)-(0))&gt;=0,1,-1)*QUOTIENT(((c_TMAP1IN)-(c_TFWD)),2))+2147483648,4294967296)-2147483648,((c_TMAP1IN)-(c_TFWD))*(((K391)-(c_TFWD))*((c_TMAP1OUT)-(0))+IF(((c_TMAP1OUT)-(0))&gt;=0,1,-1)*QUOTIENT(((c_TMAP1IN)-(c_TFWD)),2)))&gt;=0,1,0)))</f>
        <v>770</v>
      </c>
      <c r="N391" s="7" t="n">
        <f aca="false">IF(((c_TMAP2IN)-(c_TMAP1IN))=0,(c_TMAP1OUT)+QUOTIENT(((c_TMAP2OUT)-(c_TMAP1OUT)),2),QUOTIENT((((K391)-(c_TMAP1IN))*((c_TMAP2OUT)-(c_TMAP1OUT))+IF(((c_TMAP2OUT)-(c_TMAP1OUT))&gt;=0,1,-1)*QUOTIENT(((c_TMAP2IN)-(c_TMAP1IN)),2)),((c_TMAP2IN)-(c_TMAP1IN)))+(c_TMAP1OUT)+IF(((c_TMAP2OUT)-(c_TMAP1OUT))&gt;=0,IF(IF(o_WRAP=1,MOD(((c_TMAP2IN)-(c_TMAP1IN))*(((K391)-(c_TMAP1IN))*((c_TMAP2OUT)-(c_TMAP1OUT))+IF(((c_TMAP2OUT)-(c_TMAP1OUT))&gt;=0,1,-1)*QUOTIENT(((c_TMAP2IN)-(c_TMAP1IN)),2))+2147483648,4294967296)-2147483648,((c_TMAP2IN)-(c_TMAP1IN))*(((K391)-(c_TMAP1IN))*((c_TMAP2OUT)-(c_TMAP1OUT))+IF(((c_TMAP2OUT)-(c_TMAP1OUT))&gt;=0,1,-1)*QUOTIENT(((c_TMAP2IN)-(c_TMAP1IN)),2)))&lt;0,-1,0),IF(IF(o_WRAP=1,MOD(((c_TMAP2IN)-(c_TMAP1IN))*(((K391)-(c_TMAP1IN))*((c_TMAP2OUT)-(c_TMAP1OUT))+IF(((c_TMAP2OUT)-(c_TMAP1OUT))&gt;=0,1,-1)*QUOTIENT(((c_TMAP2IN)-(c_TMAP1IN)),2))+2147483648,4294967296)-2147483648,((c_TMAP2IN)-(c_TMAP1IN))*(((K391)-(c_TMAP1IN))*((c_TMAP2OUT)-(c_TMAP1OUT))+IF(((c_TMAP2OUT)-(c_TMAP1OUT))&gt;=0,1,-1)*QUOTIENT(((c_TMAP2IN)-(c_TMAP1IN)),2)))&gt;=0,1,0)))</f>
        <v>430</v>
      </c>
      <c r="O391" s="7" t="n">
        <f aca="false">IF(((c_TMAP3IN)-(c_TMAP2IN))=0,(c_TMAP2OUT)+QUOTIENT(((c_TMAP3OUT)-(c_TMAP2OUT)),2),QUOTIENT((((K391)-(c_TMAP2IN))*((c_TMAP3OUT)-(c_TMAP2OUT))+IF(((c_TMAP3OUT)-(c_TMAP2OUT))&gt;=0,1,-1)*QUOTIENT(((c_TMAP3IN)-(c_TMAP2IN)),2)),((c_TMAP3IN)-(c_TMAP2IN)))+(c_TMAP2OUT)+IF(((c_TMAP3OUT)-(c_TMAP2OUT))&gt;=0,IF(IF(o_WRAP=1,MOD(((c_TMAP3IN)-(c_TMAP2IN))*(((K391)-(c_TMAP2IN))*((c_TMAP3OUT)-(c_TMAP2OUT))+IF(((c_TMAP3OUT)-(c_TMAP2OUT))&gt;=0,1,-1)*QUOTIENT(((c_TMAP3IN)-(c_TMAP2IN)),2))+2147483648,4294967296)-2147483648,((c_TMAP3IN)-(c_TMAP2IN))*(((K391)-(c_TMAP2IN))*((c_TMAP3OUT)-(c_TMAP2OUT))+IF(((c_TMAP3OUT)-(c_TMAP2OUT))&gt;=0,1,-1)*QUOTIENT(((c_TMAP3IN)-(c_TMAP2IN)),2)))&lt;0,-1,0),IF(IF(o_WRAP=1,MOD(((c_TMAP3IN)-(c_TMAP2IN))*(((K391)-(c_TMAP2IN))*((c_TMAP3OUT)-(c_TMAP2OUT))+IF(((c_TMAP3OUT)-(c_TMAP2OUT))&gt;=0,1,-1)*QUOTIENT(((c_TMAP3IN)-(c_TMAP2IN)),2))+2147483648,4294967296)-2147483648,((c_TMAP3IN)-(c_TMAP2IN))*(((K391)-(c_TMAP2IN))*((c_TMAP3OUT)-(c_TMAP2OUT))+IF(((c_TMAP3OUT)-(c_TMAP2OUT))&gt;=0,1,-1)*QUOTIENT(((c_TMAP3IN)-(c_TMAP2IN)),2)))&gt;=0,1,0)))</f>
        <v>655</v>
      </c>
      <c r="P391" s="7" t="n">
        <f aca="false">IF(((1000)-(c_TMAP3IN))=0,(c_TMAP3OUT)+QUOTIENT(((1000)-(c_TMAP3OUT)),2),QUOTIENT((((K391)-(c_TMAP3IN))*((1000)-(c_TMAP3OUT))+IF(((1000)-(c_TMAP3OUT))&gt;=0,1,-1)*QUOTIENT(((1000)-(c_TMAP3IN)),2)),((1000)-(c_TMAP3IN)))+(c_TMAP3OUT)+IF(((1000)-(c_TMAP3OUT))&gt;=0,IF(IF(o_WRAP=1,MOD(((1000)-(c_TMAP3IN))*(((K391)-(c_TMAP3IN))*((1000)-(c_TMAP3OUT))+IF(((1000)-(c_TMAP3OUT))&gt;=0,1,-1)*QUOTIENT(((1000)-(c_TMAP3IN)),2))+2147483648,4294967296)-2147483648,((1000)-(c_TMAP3IN))*(((K391)-(c_TMAP3IN))*((1000)-(c_TMAP3OUT))+IF(((1000)-(c_TMAP3OUT))&gt;=0,1,-1)*QUOTIENT(((1000)-(c_TMAP3IN)),2)))&lt;0,-1,0),IF(IF(o_WRAP=1,MOD(((1000)-(c_TMAP3IN))*(((K391)-(c_TMAP3IN))*((1000)-(c_TMAP3OUT))+IF(((1000)-(c_TMAP3OUT))&gt;=0,1,-1)*QUOTIENT(((1000)-(c_TMAP3IN)),2))+2147483648,4294967296)-2147483648,((1000)-(c_TMAP3IN))*(((K391)-(c_TMAP3IN))*((1000)-(c_TMAP3OUT))+IF(((1000)-(c_TMAP3OUT))&gt;=0,1,-1)*QUOTIENT(((1000)-(c_TMAP3IN)),2)))&gt;=0,1,0)))</f>
        <v>1000</v>
      </c>
      <c r="Q391" s="7" t="str">
        <f aca="false">IF(K391&gt;=c_TFWD,IF(AND(K391&gt;=c_TMAP3IN,c_TMAP3IN&lt;1000),"Seg4 map3-100%",IF(AND(K391&gt;=c_TMAP2IN,c_TMAP3IN&gt;c_TMAP2IN),"Seg3 map2-map3",IF(AND(K391&gt;=c_TMAP1IN,c_TMAP2IN&gt;c_TMAP1IN),"Seg2 map1-map2","Seg1 TFWD-map1"))),IF(AND(K391=0,c_TCREEP&gt;0),"Creep",IF(AND(K391&lt;=c_TRNGMIN,K391&gt;=c_TRNGMAX,c_TRNGMIN-c_TRNGMAX&lt;&gt;0),"Regen ramp","Coast (0)")))</f>
        <v>Seg4 map3-100%</v>
      </c>
      <c r="R391" s="7" t="n">
        <f aca="false">IF(K391&gt;=c_TFWD,IF(AND(K391&gt;=c_TMAP3IN,c_TMAP3IN&lt;1000),P391,IF(AND(K391&gt;=c_TMAP2IN,c_TMAP3IN&gt;c_TMAP2IN),O391,IF(AND(K391&gt;=c_TMAP1IN,c_TMAP2IN&gt;c_TMAP1IN),N391,M391))),L391)</f>
        <v>1000</v>
      </c>
      <c r="S391" s="7" t="str">
        <f aca="false">IF(R391&lt;-1090,"TOO LOW",IF(R391&gt;1090,"TOO HIGH",""))</f>
        <v/>
      </c>
      <c r="T391" s="15" t="n">
        <f aca="false">IF(H391&lt;&gt;"OK",0,IF(S391&lt;&gt;"",0,IF(R391&gt;979,1000,R391)))</f>
        <v>0</v>
      </c>
      <c r="U391" s="7" t="n">
        <f aca="false">T391/10</f>
        <v>0</v>
      </c>
    </row>
    <row r="392" customFormat="false" ht="15" hidden="false" customHeight="false" outlineLevel="0" collapsed="false">
      <c r="A392" s="7" t="n">
        <v>387</v>
      </c>
      <c r="B392" s="7" t="n">
        <f aca="false">ROUND(o_SWSTART+A392*(o_SWEND-o_SWSTART)/400,0)</f>
        <v>3962</v>
      </c>
      <c r="C392" s="7" t="n">
        <f aca="false">QUOTIENT((B392-c_OFF1)*c_GAIN1,1024)</f>
        <v>3962</v>
      </c>
      <c r="D392" s="7" t="n">
        <f aca="false">IF(((c_T1MX)-(c_T1MN))=0,(0)+QUOTIENT(((1000)-(0)),2),QUOTIENT((((C392)-(c_T1MN))*((1000)-(0))+IF(((1000)-(0))&gt;=0,1,-1)*QUOTIENT(((c_T1MX)-(c_T1MN)),2)),((c_T1MX)-(c_T1MN)))+(0)+IF(((1000)-(0))&gt;=0,IF(IF(o_WRAP=1,MOD(((c_T1MX)-(c_T1MN))*(((C392)-(c_T1MN))*((1000)-(0))+IF(((1000)-(0))&gt;=0,1,-1)*QUOTIENT(((c_T1MX)-(c_T1MN)),2))+2147483648,4294967296)-2147483648,((c_T1MX)-(c_T1MN))*(((C392)-(c_T1MN))*((1000)-(0))+IF(((1000)-(0))&gt;=0,1,-1)*QUOTIENT(((c_T1MX)-(c_T1MN)),2)))&lt;0,-1,0),IF(IF(o_WRAP=1,MOD(((c_T1MX)-(c_T1MN))*(((C392)-(c_T1MN))*((1000)-(0))+IF(((1000)-(0))&gt;=0,1,-1)*QUOTIENT(((c_T1MX)-(c_T1MN)),2))+2147483648,4294967296)-2147483648,((c_T1MX)-(c_T1MN))*(((C392)-(c_T1MN))*((1000)-(0))+IF(((1000)-(0))&gt;=0,1,-1)*QUOTIENT(((c_T1MX)-(c_T1MN)),2)))&gt;=0,1,0)))</f>
        <v>1175</v>
      </c>
      <c r="E392" s="7" t="n">
        <f aca="false">IF(AND(c_TPOT=1,c_TTYPE=2),1000-D392,D392)</f>
        <v>1175</v>
      </c>
      <c r="F392" s="7" t="str">
        <f aca="false">IF(c_TPOT&gt;1,ROUND(IF(c_TTYPE=2,c_T2MX-IF(c_T1MX=c_T1MN,0,(C392-c_T1MN)/(c_T1MX-c_T1MN))*(c_T2MX-c_T2MN),c_T2MN+IF(c_T1MX=c_T1MN,0,(C392-c_T1MN)/(c_T1MX-c_T1MN))*(c_T2MX-c_T2MN))+o_MISMATCH,0),"")</f>
        <v/>
      </c>
      <c r="G392" s="7" t="str">
        <f aca="false">IF(c_TPOT&gt;1,IF(((c_T2MX)-(c_T2MN))=0,(0)+QUOTIENT(((1000)-(0)),2),QUOTIENT((((F392)-(c_T2MN))*((1000)-(0))+IF(((1000)-(0))&gt;=0,1,-1)*QUOTIENT(((c_T2MX)-(c_T2MN)),2)),((c_T2MX)-(c_T2MN)))+(0)+IF(((1000)-(0))&gt;=0,IF(IF(o_WRAP=1,MOD(((c_T2MX)-(c_T2MN))*(((F392)-(c_T2MN))*((1000)-(0))+IF(((1000)-(0))&gt;=0,1,-1)*QUOTIENT(((c_T2MX)-(c_T2MN)),2))+2147483648,4294967296)-2147483648,((c_T2MX)-(c_T2MN))*(((F392)-(c_T2MN))*((1000)-(0))+IF(((1000)-(0))&gt;=0,1,-1)*QUOTIENT(((c_T2MX)-(c_T2MN)),2)))&lt;0,-1,0),IF(IF(o_WRAP=1,MOD(((c_T2MX)-(c_T2MN))*(((F392)-(c_T2MN))*((1000)-(0))+IF(((1000)-(0))&gt;=0,1,-1)*QUOTIENT(((c_T2MX)-(c_T2MN)),2))+2147483648,4294967296)-2147483648,((c_T2MX)-(c_T2MN))*(((F392)-(c_T2MN))*((1000)-(0))+IF(((1000)-(0))&gt;=0,1,-1)*QUOTIENT(((c_T2MX)-(c_T2MN)),2)))&gt;=0,1,0))),"")</f>
        <v/>
      </c>
      <c r="H392" s="7" t="str">
        <f aca="false">IF(E392&gt;1000+k_TOL,"T1 HIGH",IF(E392&lt;0-k_TOL,"T1 LOW",IF(c_TPOT&gt;1,IF(G392&gt;1000+k_TOL,"T2 HIGH",IF(G392&lt;0-k_TOL,"T2 LOW",IF(c_TTYPE=2,IF(ABS(1000-MAX(0,MIN(1000,E392))-MAX(0,MIN(1000,G392)))&gt;k_MAXERR,"MISMATCH","OK"),IF(OR(MAX(0,MIN(1000,E392))-k_MAXERR&gt;MAX(0,MIN(1000,G392)),MAX(0,MIN(1000,G392))-k_MAXERR&gt;MAX(0,MIN(1000,E392))),"MISMATCH","OK")))),"OK")))</f>
        <v>T1 HIGH</v>
      </c>
      <c r="I392" s="7" t="n">
        <f aca="false">MAX(0,MIN(1000,D392))</f>
        <v>1000</v>
      </c>
      <c r="J392" s="7" t="str">
        <f aca="false">IF(c_TPOT&gt;1,IF(c_TTYPE=2,1000-MAX(0,MIN(1000,G392)),MAX(0,MIN(1000,G392))),"")</f>
        <v/>
      </c>
      <c r="K392" s="7" t="n">
        <f aca="false">IF(c_TPOT&gt;1,QUOTIENT(I392+J392,2),I392)</f>
        <v>1000</v>
      </c>
      <c r="L392" s="7" t="n">
        <f aca="false">IF(AND(K392=0,c_TCREEP&gt;0),10*c_TCREEP,IF(AND(K392&lt;=c_TRNGMIN,K392&gt;=c_TRNGMAX,c_TRNGMIN-c_TRNGMAX&lt;&gt;0),-10*c_TMINRN+QUOTIENT((c_TMAXRN-c_TMINRN)*(100-QUOTIENT((K392-c_TRNGMAX)*100,c_TRNGMIN-c_TRNGMAX)),-10),0))</f>
        <v>0</v>
      </c>
      <c r="M392" s="7" t="n">
        <f aca="false">IF(((c_TMAP1IN)-(c_TFWD))=0,(0)+QUOTIENT(((c_TMAP1OUT)-(0)),2),QUOTIENT((((K392)-(c_TFWD))*((c_TMAP1OUT)-(0))+IF(((c_TMAP1OUT)-(0))&gt;=0,1,-1)*QUOTIENT(((c_TMAP1IN)-(c_TFWD)),2)),((c_TMAP1IN)-(c_TFWD)))+(0)+IF(((c_TMAP1OUT)-(0))&gt;=0,IF(IF(o_WRAP=1,MOD(((c_TMAP1IN)-(c_TFWD))*(((K392)-(c_TFWD))*((c_TMAP1OUT)-(0))+IF(((c_TMAP1OUT)-(0))&gt;=0,1,-1)*QUOTIENT(((c_TMAP1IN)-(c_TFWD)),2))+2147483648,4294967296)-2147483648,((c_TMAP1IN)-(c_TFWD))*(((K392)-(c_TFWD))*((c_TMAP1OUT)-(0))+IF(((c_TMAP1OUT)-(0))&gt;=0,1,-1)*QUOTIENT(((c_TMAP1IN)-(c_TFWD)),2)))&lt;0,-1,0),IF(IF(o_WRAP=1,MOD(((c_TMAP1IN)-(c_TFWD))*(((K392)-(c_TFWD))*((c_TMAP1OUT)-(0))+IF(((c_TMAP1OUT)-(0))&gt;=0,1,-1)*QUOTIENT(((c_TMAP1IN)-(c_TFWD)),2))+2147483648,4294967296)-2147483648,((c_TMAP1IN)-(c_TFWD))*(((K392)-(c_TFWD))*((c_TMAP1OUT)-(0))+IF(((c_TMAP1OUT)-(0))&gt;=0,1,-1)*QUOTIENT(((c_TMAP1IN)-(c_TFWD)),2)))&gt;=0,1,0)))</f>
        <v>770</v>
      </c>
      <c r="N392" s="7" t="n">
        <f aca="false">IF(((c_TMAP2IN)-(c_TMAP1IN))=0,(c_TMAP1OUT)+QUOTIENT(((c_TMAP2OUT)-(c_TMAP1OUT)),2),QUOTIENT((((K392)-(c_TMAP1IN))*((c_TMAP2OUT)-(c_TMAP1OUT))+IF(((c_TMAP2OUT)-(c_TMAP1OUT))&gt;=0,1,-1)*QUOTIENT(((c_TMAP2IN)-(c_TMAP1IN)),2)),((c_TMAP2IN)-(c_TMAP1IN)))+(c_TMAP1OUT)+IF(((c_TMAP2OUT)-(c_TMAP1OUT))&gt;=0,IF(IF(o_WRAP=1,MOD(((c_TMAP2IN)-(c_TMAP1IN))*(((K392)-(c_TMAP1IN))*((c_TMAP2OUT)-(c_TMAP1OUT))+IF(((c_TMAP2OUT)-(c_TMAP1OUT))&gt;=0,1,-1)*QUOTIENT(((c_TMAP2IN)-(c_TMAP1IN)),2))+2147483648,4294967296)-2147483648,((c_TMAP2IN)-(c_TMAP1IN))*(((K392)-(c_TMAP1IN))*((c_TMAP2OUT)-(c_TMAP1OUT))+IF(((c_TMAP2OUT)-(c_TMAP1OUT))&gt;=0,1,-1)*QUOTIENT(((c_TMAP2IN)-(c_TMAP1IN)),2)))&lt;0,-1,0),IF(IF(o_WRAP=1,MOD(((c_TMAP2IN)-(c_TMAP1IN))*(((K392)-(c_TMAP1IN))*((c_TMAP2OUT)-(c_TMAP1OUT))+IF(((c_TMAP2OUT)-(c_TMAP1OUT))&gt;=0,1,-1)*QUOTIENT(((c_TMAP2IN)-(c_TMAP1IN)),2))+2147483648,4294967296)-2147483648,((c_TMAP2IN)-(c_TMAP1IN))*(((K392)-(c_TMAP1IN))*((c_TMAP2OUT)-(c_TMAP1OUT))+IF(((c_TMAP2OUT)-(c_TMAP1OUT))&gt;=0,1,-1)*QUOTIENT(((c_TMAP2IN)-(c_TMAP1IN)),2)))&gt;=0,1,0)))</f>
        <v>430</v>
      </c>
      <c r="O392" s="7" t="n">
        <f aca="false">IF(((c_TMAP3IN)-(c_TMAP2IN))=0,(c_TMAP2OUT)+QUOTIENT(((c_TMAP3OUT)-(c_TMAP2OUT)),2),QUOTIENT((((K392)-(c_TMAP2IN))*((c_TMAP3OUT)-(c_TMAP2OUT))+IF(((c_TMAP3OUT)-(c_TMAP2OUT))&gt;=0,1,-1)*QUOTIENT(((c_TMAP3IN)-(c_TMAP2IN)),2)),((c_TMAP3IN)-(c_TMAP2IN)))+(c_TMAP2OUT)+IF(((c_TMAP3OUT)-(c_TMAP2OUT))&gt;=0,IF(IF(o_WRAP=1,MOD(((c_TMAP3IN)-(c_TMAP2IN))*(((K392)-(c_TMAP2IN))*((c_TMAP3OUT)-(c_TMAP2OUT))+IF(((c_TMAP3OUT)-(c_TMAP2OUT))&gt;=0,1,-1)*QUOTIENT(((c_TMAP3IN)-(c_TMAP2IN)),2))+2147483648,4294967296)-2147483648,((c_TMAP3IN)-(c_TMAP2IN))*(((K392)-(c_TMAP2IN))*((c_TMAP3OUT)-(c_TMAP2OUT))+IF(((c_TMAP3OUT)-(c_TMAP2OUT))&gt;=0,1,-1)*QUOTIENT(((c_TMAP3IN)-(c_TMAP2IN)),2)))&lt;0,-1,0),IF(IF(o_WRAP=1,MOD(((c_TMAP3IN)-(c_TMAP2IN))*(((K392)-(c_TMAP2IN))*((c_TMAP3OUT)-(c_TMAP2OUT))+IF(((c_TMAP3OUT)-(c_TMAP2OUT))&gt;=0,1,-1)*QUOTIENT(((c_TMAP3IN)-(c_TMAP2IN)),2))+2147483648,4294967296)-2147483648,((c_TMAP3IN)-(c_TMAP2IN))*(((K392)-(c_TMAP2IN))*((c_TMAP3OUT)-(c_TMAP2OUT))+IF(((c_TMAP3OUT)-(c_TMAP2OUT))&gt;=0,1,-1)*QUOTIENT(((c_TMAP3IN)-(c_TMAP2IN)),2)))&gt;=0,1,0)))</f>
        <v>655</v>
      </c>
      <c r="P392" s="7" t="n">
        <f aca="false">IF(((1000)-(c_TMAP3IN))=0,(c_TMAP3OUT)+QUOTIENT(((1000)-(c_TMAP3OUT)),2),QUOTIENT((((K392)-(c_TMAP3IN))*((1000)-(c_TMAP3OUT))+IF(((1000)-(c_TMAP3OUT))&gt;=0,1,-1)*QUOTIENT(((1000)-(c_TMAP3IN)),2)),((1000)-(c_TMAP3IN)))+(c_TMAP3OUT)+IF(((1000)-(c_TMAP3OUT))&gt;=0,IF(IF(o_WRAP=1,MOD(((1000)-(c_TMAP3IN))*(((K392)-(c_TMAP3IN))*((1000)-(c_TMAP3OUT))+IF(((1000)-(c_TMAP3OUT))&gt;=0,1,-1)*QUOTIENT(((1000)-(c_TMAP3IN)),2))+2147483648,4294967296)-2147483648,((1000)-(c_TMAP3IN))*(((K392)-(c_TMAP3IN))*((1000)-(c_TMAP3OUT))+IF(((1000)-(c_TMAP3OUT))&gt;=0,1,-1)*QUOTIENT(((1000)-(c_TMAP3IN)),2)))&lt;0,-1,0),IF(IF(o_WRAP=1,MOD(((1000)-(c_TMAP3IN))*(((K392)-(c_TMAP3IN))*((1000)-(c_TMAP3OUT))+IF(((1000)-(c_TMAP3OUT))&gt;=0,1,-1)*QUOTIENT(((1000)-(c_TMAP3IN)),2))+2147483648,4294967296)-2147483648,((1000)-(c_TMAP3IN))*(((K392)-(c_TMAP3IN))*((1000)-(c_TMAP3OUT))+IF(((1000)-(c_TMAP3OUT))&gt;=0,1,-1)*QUOTIENT(((1000)-(c_TMAP3IN)),2)))&gt;=0,1,0)))</f>
        <v>1000</v>
      </c>
      <c r="Q392" s="7" t="str">
        <f aca="false">IF(K392&gt;=c_TFWD,IF(AND(K392&gt;=c_TMAP3IN,c_TMAP3IN&lt;1000),"Seg4 map3-100%",IF(AND(K392&gt;=c_TMAP2IN,c_TMAP3IN&gt;c_TMAP2IN),"Seg3 map2-map3",IF(AND(K392&gt;=c_TMAP1IN,c_TMAP2IN&gt;c_TMAP1IN),"Seg2 map1-map2","Seg1 TFWD-map1"))),IF(AND(K392=0,c_TCREEP&gt;0),"Creep",IF(AND(K392&lt;=c_TRNGMIN,K392&gt;=c_TRNGMAX,c_TRNGMIN-c_TRNGMAX&lt;&gt;0),"Regen ramp","Coast (0)")))</f>
        <v>Seg4 map3-100%</v>
      </c>
      <c r="R392" s="7" t="n">
        <f aca="false">IF(K392&gt;=c_TFWD,IF(AND(K392&gt;=c_TMAP3IN,c_TMAP3IN&lt;1000),P392,IF(AND(K392&gt;=c_TMAP2IN,c_TMAP3IN&gt;c_TMAP2IN),O392,IF(AND(K392&gt;=c_TMAP1IN,c_TMAP2IN&gt;c_TMAP1IN),N392,M392))),L392)</f>
        <v>1000</v>
      </c>
      <c r="S392" s="7" t="str">
        <f aca="false">IF(R392&lt;-1090,"TOO LOW",IF(R392&gt;1090,"TOO HIGH",""))</f>
        <v/>
      </c>
      <c r="T392" s="15" t="n">
        <f aca="false">IF(H392&lt;&gt;"OK",0,IF(S392&lt;&gt;"",0,IF(R392&gt;979,1000,R392)))</f>
        <v>0</v>
      </c>
      <c r="U392" s="7" t="n">
        <f aca="false">T392/10</f>
        <v>0</v>
      </c>
    </row>
    <row r="393" customFormat="false" ht="15" hidden="false" customHeight="false" outlineLevel="0" collapsed="false">
      <c r="A393" s="7" t="n">
        <v>388</v>
      </c>
      <c r="B393" s="7" t="n">
        <f aca="false">ROUND(o_SWSTART+A393*(o_SWEND-o_SWSTART)/400,0)</f>
        <v>3972</v>
      </c>
      <c r="C393" s="7" t="n">
        <f aca="false">QUOTIENT((B393-c_OFF1)*c_GAIN1,1024)</f>
        <v>3972</v>
      </c>
      <c r="D393" s="7" t="n">
        <f aca="false">IF(((c_T1MX)-(c_T1MN))=0,(0)+QUOTIENT(((1000)-(0)),2),QUOTIENT((((C393)-(c_T1MN))*((1000)-(0))+IF(((1000)-(0))&gt;=0,1,-1)*QUOTIENT(((c_T1MX)-(c_T1MN)),2)),((c_T1MX)-(c_T1MN)))+(0)+IF(((1000)-(0))&gt;=0,IF(IF(o_WRAP=1,MOD(((c_T1MX)-(c_T1MN))*(((C393)-(c_T1MN))*((1000)-(0))+IF(((1000)-(0))&gt;=0,1,-1)*QUOTIENT(((c_T1MX)-(c_T1MN)),2))+2147483648,4294967296)-2147483648,((c_T1MX)-(c_T1MN))*(((C393)-(c_T1MN))*((1000)-(0))+IF(((1000)-(0))&gt;=0,1,-1)*QUOTIENT(((c_T1MX)-(c_T1MN)),2)))&lt;0,-1,0),IF(IF(o_WRAP=1,MOD(((c_T1MX)-(c_T1MN))*(((C393)-(c_T1MN))*((1000)-(0))+IF(((1000)-(0))&gt;=0,1,-1)*QUOTIENT(((c_T1MX)-(c_T1MN)),2))+2147483648,4294967296)-2147483648,((c_T1MX)-(c_T1MN))*(((C393)-(c_T1MN))*((1000)-(0))+IF(((1000)-(0))&gt;=0,1,-1)*QUOTIENT(((c_T1MX)-(c_T1MN)),2)))&gt;=0,1,0)))</f>
        <v>1179</v>
      </c>
      <c r="E393" s="7" t="n">
        <f aca="false">IF(AND(c_TPOT=1,c_TTYPE=2),1000-D393,D393)</f>
        <v>1179</v>
      </c>
      <c r="F393" s="7" t="str">
        <f aca="false">IF(c_TPOT&gt;1,ROUND(IF(c_TTYPE=2,c_T2MX-IF(c_T1MX=c_T1MN,0,(C393-c_T1MN)/(c_T1MX-c_T1MN))*(c_T2MX-c_T2MN),c_T2MN+IF(c_T1MX=c_T1MN,0,(C393-c_T1MN)/(c_T1MX-c_T1MN))*(c_T2MX-c_T2MN))+o_MISMATCH,0),"")</f>
        <v/>
      </c>
      <c r="G393" s="7" t="str">
        <f aca="false">IF(c_TPOT&gt;1,IF(((c_T2MX)-(c_T2MN))=0,(0)+QUOTIENT(((1000)-(0)),2),QUOTIENT((((F393)-(c_T2MN))*((1000)-(0))+IF(((1000)-(0))&gt;=0,1,-1)*QUOTIENT(((c_T2MX)-(c_T2MN)),2)),((c_T2MX)-(c_T2MN)))+(0)+IF(((1000)-(0))&gt;=0,IF(IF(o_WRAP=1,MOD(((c_T2MX)-(c_T2MN))*(((F393)-(c_T2MN))*((1000)-(0))+IF(((1000)-(0))&gt;=0,1,-1)*QUOTIENT(((c_T2MX)-(c_T2MN)),2))+2147483648,4294967296)-2147483648,((c_T2MX)-(c_T2MN))*(((F393)-(c_T2MN))*((1000)-(0))+IF(((1000)-(0))&gt;=0,1,-1)*QUOTIENT(((c_T2MX)-(c_T2MN)),2)))&lt;0,-1,0),IF(IF(o_WRAP=1,MOD(((c_T2MX)-(c_T2MN))*(((F393)-(c_T2MN))*((1000)-(0))+IF(((1000)-(0))&gt;=0,1,-1)*QUOTIENT(((c_T2MX)-(c_T2MN)),2))+2147483648,4294967296)-2147483648,((c_T2MX)-(c_T2MN))*(((F393)-(c_T2MN))*((1000)-(0))+IF(((1000)-(0))&gt;=0,1,-1)*QUOTIENT(((c_T2MX)-(c_T2MN)),2)))&gt;=0,1,0))),"")</f>
        <v/>
      </c>
      <c r="H393" s="7" t="str">
        <f aca="false">IF(E393&gt;1000+k_TOL,"T1 HIGH",IF(E393&lt;0-k_TOL,"T1 LOW",IF(c_TPOT&gt;1,IF(G393&gt;1000+k_TOL,"T2 HIGH",IF(G393&lt;0-k_TOL,"T2 LOW",IF(c_TTYPE=2,IF(ABS(1000-MAX(0,MIN(1000,E393))-MAX(0,MIN(1000,G393)))&gt;k_MAXERR,"MISMATCH","OK"),IF(OR(MAX(0,MIN(1000,E393))-k_MAXERR&gt;MAX(0,MIN(1000,G393)),MAX(0,MIN(1000,G393))-k_MAXERR&gt;MAX(0,MIN(1000,E393))),"MISMATCH","OK")))),"OK")))</f>
        <v>T1 HIGH</v>
      </c>
      <c r="I393" s="7" t="n">
        <f aca="false">MAX(0,MIN(1000,D393))</f>
        <v>1000</v>
      </c>
      <c r="J393" s="7" t="str">
        <f aca="false">IF(c_TPOT&gt;1,IF(c_TTYPE=2,1000-MAX(0,MIN(1000,G393)),MAX(0,MIN(1000,G393))),"")</f>
        <v/>
      </c>
      <c r="K393" s="7" t="n">
        <f aca="false">IF(c_TPOT&gt;1,QUOTIENT(I393+J393,2),I393)</f>
        <v>1000</v>
      </c>
      <c r="L393" s="7" t="n">
        <f aca="false">IF(AND(K393=0,c_TCREEP&gt;0),10*c_TCREEP,IF(AND(K393&lt;=c_TRNGMIN,K393&gt;=c_TRNGMAX,c_TRNGMIN-c_TRNGMAX&lt;&gt;0),-10*c_TMINRN+QUOTIENT((c_TMAXRN-c_TMINRN)*(100-QUOTIENT((K393-c_TRNGMAX)*100,c_TRNGMIN-c_TRNGMAX)),-10),0))</f>
        <v>0</v>
      </c>
      <c r="M393" s="7" t="n">
        <f aca="false">IF(((c_TMAP1IN)-(c_TFWD))=0,(0)+QUOTIENT(((c_TMAP1OUT)-(0)),2),QUOTIENT((((K393)-(c_TFWD))*((c_TMAP1OUT)-(0))+IF(((c_TMAP1OUT)-(0))&gt;=0,1,-1)*QUOTIENT(((c_TMAP1IN)-(c_TFWD)),2)),((c_TMAP1IN)-(c_TFWD)))+(0)+IF(((c_TMAP1OUT)-(0))&gt;=0,IF(IF(o_WRAP=1,MOD(((c_TMAP1IN)-(c_TFWD))*(((K393)-(c_TFWD))*((c_TMAP1OUT)-(0))+IF(((c_TMAP1OUT)-(0))&gt;=0,1,-1)*QUOTIENT(((c_TMAP1IN)-(c_TFWD)),2))+2147483648,4294967296)-2147483648,((c_TMAP1IN)-(c_TFWD))*(((K393)-(c_TFWD))*((c_TMAP1OUT)-(0))+IF(((c_TMAP1OUT)-(0))&gt;=0,1,-1)*QUOTIENT(((c_TMAP1IN)-(c_TFWD)),2)))&lt;0,-1,0),IF(IF(o_WRAP=1,MOD(((c_TMAP1IN)-(c_TFWD))*(((K393)-(c_TFWD))*((c_TMAP1OUT)-(0))+IF(((c_TMAP1OUT)-(0))&gt;=0,1,-1)*QUOTIENT(((c_TMAP1IN)-(c_TFWD)),2))+2147483648,4294967296)-2147483648,((c_TMAP1IN)-(c_TFWD))*(((K393)-(c_TFWD))*((c_TMAP1OUT)-(0))+IF(((c_TMAP1OUT)-(0))&gt;=0,1,-1)*QUOTIENT(((c_TMAP1IN)-(c_TFWD)),2)))&gt;=0,1,0)))</f>
        <v>770</v>
      </c>
      <c r="N393" s="7" t="n">
        <f aca="false">IF(((c_TMAP2IN)-(c_TMAP1IN))=0,(c_TMAP1OUT)+QUOTIENT(((c_TMAP2OUT)-(c_TMAP1OUT)),2),QUOTIENT((((K393)-(c_TMAP1IN))*((c_TMAP2OUT)-(c_TMAP1OUT))+IF(((c_TMAP2OUT)-(c_TMAP1OUT))&gt;=0,1,-1)*QUOTIENT(((c_TMAP2IN)-(c_TMAP1IN)),2)),((c_TMAP2IN)-(c_TMAP1IN)))+(c_TMAP1OUT)+IF(((c_TMAP2OUT)-(c_TMAP1OUT))&gt;=0,IF(IF(o_WRAP=1,MOD(((c_TMAP2IN)-(c_TMAP1IN))*(((K393)-(c_TMAP1IN))*((c_TMAP2OUT)-(c_TMAP1OUT))+IF(((c_TMAP2OUT)-(c_TMAP1OUT))&gt;=0,1,-1)*QUOTIENT(((c_TMAP2IN)-(c_TMAP1IN)),2))+2147483648,4294967296)-2147483648,((c_TMAP2IN)-(c_TMAP1IN))*(((K393)-(c_TMAP1IN))*((c_TMAP2OUT)-(c_TMAP1OUT))+IF(((c_TMAP2OUT)-(c_TMAP1OUT))&gt;=0,1,-1)*QUOTIENT(((c_TMAP2IN)-(c_TMAP1IN)),2)))&lt;0,-1,0),IF(IF(o_WRAP=1,MOD(((c_TMAP2IN)-(c_TMAP1IN))*(((K393)-(c_TMAP1IN))*((c_TMAP2OUT)-(c_TMAP1OUT))+IF(((c_TMAP2OUT)-(c_TMAP1OUT))&gt;=0,1,-1)*QUOTIENT(((c_TMAP2IN)-(c_TMAP1IN)),2))+2147483648,4294967296)-2147483648,((c_TMAP2IN)-(c_TMAP1IN))*(((K393)-(c_TMAP1IN))*((c_TMAP2OUT)-(c_TMAP1OUT))+IF(((c_TMAP2OUT)-(c_TMAP1OUT))&gt;=0,1,-1)*QUOTIENT(((c_TMAP2IN)-(c_TMAP1IN)),2)))&gt;=0,1,0)))</f>
        <v>430</v>
      </c>
      <c r="O393" s="7" t="n">
        <f aca="false">IF(((c_TMAP3IN)-(c_TMAP2IN))=0,(c_TMAP2OUT)+QUOTIENT(((c_TMAP3OUT)-(c_TMAP2OUT)),2),QUOTIENT((((K393)-(c_TMAP2IN))*((c_TMAP3OUT)-(c_TMAP2OUT))+IF(((c_TMAP3OUT)-(c_TMAP2OUT))&gt;=0,1,-1)*QUOTIENT(((c_TMAP3IN)-(c_TMAP2IN)),2)),((c_TMAP3IN)-(c_TMAP2IN)))+(c_TMAP2OUT)+IF(((c_TMAP3OUT)-(c_TMAP2OUT))&gt;=0,IF(IF(o_WRAP=1,MOD(((c_TMAP3IN)-(c_TMAP2IN))*(((K393)-(c_TMAP2IN))*((c_TMAP3OUT)-(c_TMAP2OUT))+IF(((c_TMAP3OUT)-(c_TMAP2OUT))&gt;=0,1,-1)*QUOTIENT(((c_TMAP3IN)-(c_TMAP2IN)),2))+2147483648,4294967296)-2147483648,((c_TMAP3IN)-(c_TMAP2IN))*(((K393)-(c_TMAP2IN))*((c_TMAP3OUT)-(c_TMAP2OUT))+IF(((c_TMAP3OUT)-(c_TMAP2OUT))&gt;=0,1,-1)*QUOTIENT(((c_TMAP3IN)-(c_TMAP2IN)),2)))&lt;0,-1,0),IF(IF(o_WRAP=1,MOD(((c_TMAP3IN)-(c_TMAP2IN))*(((K393)-(c_TMAP2IN))*((c_TMAP3OUT)-(c_TMAP2OUT))+IF(((c_TMAP3OUT)-(c_TMAP2OUT))&gt;=0,1,-1)*QUOTIENT(((c_TMAP3IN)-(c_TMAP2IN)),2))+2147483648,4294967296)-2147483648,((c_TMAP3IN)-(c_TMAP2IN))*(((K393)-(c_TMAP2IN))*((c_TMAP3OUT)-(c_TMAP2OUT))+IF(((c_TMAP3OUT)-(c_TMAP2OUT))&gt;=0,1,-1)*QUOTIENT(((c_TMAP3IN)-(c_TMAP2IN)),2)))&gt;=0,1,0)))</f>
        <v>655</v>
      </c>
      <c r="P393" s="7" t="n">
        <f aca="false">IF(((1000)-(c_TMAP3IN))=0,(c_TMAP3OUT)+QUOTIENT(((1000)-(c_TMAP3OUT)),2),QUOTIENT((((K393)-(c_TMAP3IN))*((1000)-(c_TMAP3OUT))+IF(((1000)-(c_TMAP3OUT))&gt;=0,1,-1)*QUOTIENT(((1000)-(c_TMAP3IN)),2)),((1000)-(c_TMAP3IN)))+(c_TMAP3OUT)+IF(((1000)-(c_TMAP3OUT))&gt;=0,IF(IF(o_WRAP=1,MOD(((1000)-(c_TMAP3IN))*(((K393)-(c_TMAP3IN))*((1000)-(c_TMAP3OUT))+IF(((1000)-(c_TMAP3OUT))&gt;=0,1,-1)*QUOTIENT(((1000)-(c_TMAP3IN)),2))+2147483648,4294967296)-2147483648,((1000)-(c_TMAP3IN))*(((K393)-(c_TMAP3IN))*((1000)-(c_TMAP3OUT))+IF(((1000)-(c_TMAP3OUT))&gt;=0,1,-1)*QUOTIENT(((1000)-(c_TMAP3IN)),2)))&lt;0,-1,0),IF(IF(o_WRAP=1,MOD(((1000)-(c_TMAP3IN))*(((K393)-(c_TMAP3IN))*((1000)-(c_TMAP3OUT))+IF(((1000)-(c_TMAP3OUT))&gt;=0,1,-1)*QUOTIENT(((1000)-(c_TMAP3IN)),2))+2147483648,4294967296)-2147483648,((1000)-(c_TMAP3IN))*(((K393)-(c_TMAP3IN))*((1000)-(c_TMAP3OUT))+IF(((1000)-(c_TMAP3OUT))&gt;=0,1,-1)*QUOTIENT(((1000)-(c_TMAP3IN)),2)))&gt;=0,1,0)))</f>
        <v>1000</v>
      </c>
      <c r="Q393" s="7" t="str">
        <f aca="false">IF(K393&gt;=c_TFWD,IF(AND(K393&gt;=c_TMAP3IN,c_TMAP3IN&lt;1000),"Seg4 map3-100%",IF(AND(K393&gt;=c_TMAP2IN,c_TMAP3IN&gt;c_TMAP2IN),"Seg3 map2-map3",IF(AND(K393&gt;=c_TMAP1IN,c_TMAP2IN&gt;c_TMAP1IN),"Seg2 map1-map2","Seg1 TFWD-map1"))),IF(AND(K393=0,c_TCREEP&gt;0),"Creep",IF(AND(K393&lt;=c_TRNGMIN,K393&gt;=c_TRNGMAX,c_TRNGMIN-c_TRNGMAX&lt;&gt;0),"Regen ramp","Coast (0)")))</f>
        <v>Seg4 map3-100%</v>
      </c>
      <c r="R393" s="7" t="n">
        <f aca="false">IF(K393&gt;=c_TFWD,IF(AND(K393&gt;=c_TMAP3IN,c_TMAP3IN&lt;1000),P393,IF(AND(K393&gt;=c_TMAP2IN,c_TMAP3IN&gt;c_TMAP2IN),O393,IF(AND(K393&gt;=c_TMAP1IN,c_TMAP2IN&gt;c_TMAP1IN),N393,M393))),L393)</f>
        <v>1000</v>
      </c>
      <c r="S393" s="7" t="str">
        <f aca="false">IF(R393&lt;-1090,"TOO LOW",IF(R393&gt;1090,"TOO HIGH",""))</f>
        <v/>
      </c>
      <c r="T393" s="15" t="n">
        <f aca="false">IF(H393&lt;&gt;"OK",0,IF(S393&lt;&gt;"",0,IF(R393&gt;979,1000,R393)))</f>
        <v>0</v>
      </c>
      <c r="U393" s="7" t="n">
        <f aca="false">T393/10</f>
        <v>0</v>
      </c>
    </row>
    <row r="394" customFormat="false" ht="15" hidden="false" customHeight="false" outlineLevel="0" collapsed="false">
      <c r="A394" s="7" t="n">
        <v>389</v>
      </c>
      <c r="B394" s="7" t="n">
        <f aca="false">ROUND(o_SWSTART+A394*(o_SWEND-o_SWSTART)/400,0)</f>
        <v>3982</v>
      </c>
      <c r="C394" s="7" t="n">
        <f aca="false">QUOTIENT((B394-c_OFF1)*c_GAIN1,1024)</f>
        <v>3982</v>
      </c>
      <c r="D394" s="7" t="n">
        <f aca="false">IF(((c_T1MX)-(c_T1MN))=0,(0)+QUOTIENT(((1000)-(0)),2),QUOTIENT((((C394)-(c_T1MN))*((1000)-(0))+IF(((1000)-(0))&gt;=0,1,-1)*QUOTIENT(((c_T1MX)-(c_T1MN)),2)),((c_T1MX)-(c_T1MN)))+(0)+IF(((1000)-(0))&gt;=0,IF(IF(o_WRAP=1,MOD(((c_T1MX)-(c_T1MN))*(((C394)-(c_T1MN))*((1000)-(0))+IF(((1000)-(0))&gt;=0,1,-1)*QUOTIENT(((c_T1MX)-(c_T1MN)),2))+2147483648,4294967296)-2147483648,((c_T1MX)-(c_T1MN))*(((C394)-(c_T1MN))*((1000)-(0))+IF(((1000)-(0))&gt;=0,1,-1)*QUOTIENT(((c_T1MX)-(c_T1MN)),2)))&lt;0,-1,0),IF(IF(o_WRAP=1,MOD(((c_T1MX)-(c_T1MN))*(((C394)-(c_T1MN))*((1000)-(0))+IF(((1000)-(0))&gt;=0,1,-1)*QUOTIENT(((c_T1MX)-(c_T1MN)),2))+2147483648,4294967296)-2147483648,((c_T1MX)-(c_T1MN))*(((C394)-(c_T1MN))*((1000)-(0))+IF(((1000)-(0))&gt;=0,1,-1)*QUOTIENT(((c_T1MX)-(c_T1MN)),2)))&gt;=0,1,0)))</f>
        <v>1182</v>
      </c>
      <c r="E394" s="7" t="n">
        <f aca="false">IF(AND(c_TPOT=1,c_TTYPE=2),1000-D394,D394)</f>
        <v>1182</v>
      </c>
      <c r="F394" s="7" t="str">
        <f aca="false">IF(c_TPOT&gt;1,ROUND(IF(c_TTYPE=2,c_T2MX-IF(c_T1MX=c_T1MN,0,(C394-c_T1MN)/(c_T1MX-c_T1MN))*(c_T2MX-c_T2MN),c_T2MN+IF(c_T1MX=c_T1MN,0,(C394-c_T1MN)/(c_T1MX-c_T1MN))*(c_T2MX-c_T2MN))+o_MISMATCH,0),"")</f>
        <v/>
      </c>
      <c r="G394" s="7" t="str">
        <f aca="false">IF(c_TPOT&gt;1,IF(((c_T2MX)-(c_T2MN))=0,(0)+QUOTIENT(((1000)-(0)),2),QUOTIENT((((F394)-(c_T2MN))*((1000)-(0))+IF(((1000)-(0))&gt;=0,1,-1)*QUOTIENT(((c_T2MX)-(c_T2MN)),2)),((c_T2MX)-(c_T2MN)))+(0)+IF(((1000)-(0))&gt;=0,IF(IF(o_WRAP=1,MOD(((c_T2MX)-(c_T2MN))*(((F394)-(c_T2MN))*((1000)-(0))+IF(((1000)-(0))&gt;=0,1,-1)*QUOTIENT(((c_T2MX)-(c_T2MN)),2))+2147483648,4294967296)-2147483648,((c_T2MX)-(c_T2MN))*(((F394)-(c_T2MN))*((1000)-(0))+IF(((1000)-(0))&gt;=0,1,-1)*QUOTIENT(((c_T2MX)-(c_T2MN)),2)))&lt;0,-1,0),IF(IF(o_WRAP=1,MOD(((c_T2MX)-(c_T2MN))*(((F394)-(c_T2MN))*((1000)-(0))+IF(((1000)-(0))&gt;=0,1,-1)*QUOTIENT(((c_T2MX)-(c_T2MN)),2))+2147483648,4294967296)-2147483648,((c_T2MX)-(c_T2MN))*(((F394)-(c_T2MN))*((1000)-(0))+IF(((1000)-(0))&gt;=0,1,-1)*QUOTIENT(((c_T2MX)-(c_T2MN)),2)))&gt;=0,1,0))),"")</f>
        <v/>
      </c>
      <c r="H394" s="7" t="str">
        <f aca="false">IF(E394&gt;1000+k_TOL,"T1 HIGH",IF(E394&lt;0-k_TOL,"T1 LOW",IF(c_TPOT&gt;1,IF(G394&gt;1000+k_TOL,"T2 HIGH",IF(G394&lt;0-k_TOL,"T2 LOW",IF(c_TTYPE=2,IF(ABS(1000-MAX(0,MIN(1000,E394))-MAX(0,MIN(1000,G394)))&gt;k_MAXERR,"MISMATCH","OK"),IF(OR(MAX(0,MIN(1000,E394))-k_MAXERR&gt;MAX(0,MIN(1000,G394)),MAX(0,MIN(1000,G394))-k_MAXERR&gt;MAX(0,MIN(1000,E394))),"MISMATCH","OK")))),"OK")))</f>
        <v>T1 HIGH</v>
      </c>
      <c r="I394" s="7" t="n">
        <f aca="false">MAX(0,MIN(1000,D394))</f>
        <v>1000</v>
      </c>
      <c r="J394" s="7" t="str">
        <f aca="false">IF(c_TPOT&gt;1,IF(c_TTYPE=2,1000-MAX(0,MIN(1000,G394)),MAX(0,MIN(1000,G394))),"")</f>
        <v/>
      </c>
      <c r="K394" s="7" t="n">
        <f aca="false">IF(c_TPOT&gt;1,QUOTIENT(I394+J394,2),I394)</f>
        <v>1000</v>
      </c>
      <c r="L394" s="7" t="n">
        <f aca="false">IF(AND(K394=0,c_TCREEP&gt;0),10*c_TCREEP,IF(AND(K394&lt;=c_TRNGMIN,K394&gt;=c_TRNGMAX,c_TRNGMIN-c_TRNGMAX&lt;&gt;0),-10*c_TMINRN+QUOTIENT((c_TMAXRN-c_TMINRN)*(100-QUOTIENT((K394-c_TRNGMAX)*100,c_TRNGMIN-c_TRNGMAX)),-10),0))</f>
        <v>0</v>
      </c>
      <c r="M394" s="7" t="n">
        <f aca="false">IF(((c_TMAP1IN)-(c_TFWD))=0,(0)+QUOTIENT(((c_TMAP1OUT)-(0)),2),QUOTIENT((((K394)-(c_TFWD))*((c_TMAP1OUT)-(0))+IF(((c_TMAP1OUT)-(0))&gt;=0,1,-1)*QUOTIENT(((c_TMAP1IN)-(c_TFWD)),2)),((c_TMAP1IN)-(c_TFWD)))+(0)+IF(((c_TMAP1OUT)-(0))&gt;=0,IF(IF(o_WRAP=1,MOD(((c_TMAP1IN)-(c_TFWD))*(((K394)-(c_TFWD))*((c_TMAP1OUT)-(0))+IF(((c_TMAP1OUT)-(0))&gt;=0,1,-1)*QUOTIENT(((c_TMAP1IN)-(c_TFWD)),2))+2147483648,4294967296)-2147483648,((c_TMAP1IN)-(c_TFWD))*(((K394)-(c_TFWD))*((c_TMAP1OUT)-(0))+IF(((c_TMAP1OUT)-(0))&gt;=0,1,-1)*QUOTIENT(((c_TMAP1IN)-(c_TFWD)),2)))&lt;0,-1,0),IF(IF(o_WRAP=1,MOD(((c_TMAP1IN)-(c_TFWD))*(((K394)-(c_TFWD))*((c_TMAP1OUT)-(0))+IF(((c_TMAP1OUT)-(0))&gt;=0,1,-1)*QUOTIENT(((c_TMAP1IN)-(c_TFWD)),2))+2147483648,4294967296)-2147483648,((c_TMAP1IN)-(c_TFWD))*(((K394)-(c_TFWD))*((c_TMAP1OUT)-(0))+IF(((c_TMAP1OUT)-(0))&gt;=0,1,-1)*QUOTIENT(((c_TMAP1IN)-(c_TFWD)),2)))&gt;=0,1,0)))</f>
        <v>770</v>
      </c>
      <c r="N394" s="7" t="n">
        <f aca="false">IF(((c_TMAP2IN)-(c_TMAP1IN))=0,(c_TMAP1OUT)+QUOTIENT(((c_TMAP2OUT)-(c_TMAP1OUT)),2),QUOTIENT((((K394)-(c_TMAP1IN))*((c_TMAP2OUT)-(c_TMAP1OUT))+IF(((c_TMAP2OUT)-(c_TMAP1OUT))&gt;=0,1,-1)*QUOTIENT(((c_TMAP2IN)-(c_TMAP1IN)),2)),((c_TMAP2IN)-(c_TMAP1IN)))+(c_TMAP1OUT)+IF(((c_TMAP2OUT)-(c_TMAP1OUT))&gt;=0,IF(IF(o_WRAP=1,MOD(((c_TMAP2IN)-(c_TMAP1IN))*(((K394)-(c_TMAP1IN))*((c_TMAP2OUT)-(c_TMAP1OUT))+IF(((c_TMAP2OUT)-(c_TMAP1OUT))&gt;=0,1,-1)*QUOTIENT(((c_TMAP2IN)-(c_TMAP1IN)),2))+2147483648,4294967296)-2147483648,((c_TMAP2IN)-(c_TMAP1IN))*(((K394)-(c_TMAP1IN))*((c_TMAP2OUT)-(c_TMAP1OUT))+IF(((c_TMAP2OUT)-(c_TMAP1OUT))&gt;=0,1,-1)*QUOTIENT(((c_TMAP2IN)-(c_TMAP1IN)),2)))&lt;0,-1,0),IF(IF(o_WRAP=1,MOD(((c_TMAP2IN)-(c_TMAP1IN))*(((K394)-(c_TMAP1IN))*((c_TMAP2OUT)-(c_TMAP1OUT))+IF(((c_TMAP2OUT)-(c_TMAP1OUT))&gt;=0,1,-1)*QUOTIENT(((c_TMAP2IN)-(c_TMAP1IN)),2))+2147483648,4294967296)-2147483648,((c_TMAP2IN)-(c_TMAP1IN))*(((K394)-(c_TMAP1IN))*((c_TMAP2OUT)-(c_TMAP1OUT))+IF(((c_TMAP2OUT)-(c_TMAP1OUT))&gt;=0,1,-1)*QUOTIENT(((c_TMAP2IN)-(c_TMAP1IN)),2)))&gt;=0,1,0)))</f>
        <v>430</v>
      </c>
      <c r="O394" s="7" t="n">
        <f aca="false">IF(((c_TMAP3IN)-(c_TMAP2IN))=0,(c_TMAP2OUT)+QUOTIENT(((c_TMAP3OUT)-(c_TMAP2OUT)),2),QUOTIENT((((K394)-(c_TMAP2IN))*((c_TMAP3OUT)-(c_TMAP2OUT))+IF(((c_TMAP3OUT)-(c_TMAP2OUT))&gt;=0,1,-1)*QUOTIENT(((c_TMAP3IN)-(c_TMAP2IN)),2)),((c_TMAP3IN)-(c_TMAP2IN)))+(c_TMAP2OUT)+IF(((c_TMAP3OUT)-(c_TMAP2OUT))&gt;=0,IF(IF(o_WRAP=1,MOD(((c_TMAP3IN)-(c_TMAP2IN))*(((K394)-(c_TMAP2IN))*((c_TMAP3OUT)-(c_TMAP2OUT))+IF(((c_TMAP3OUT)-(c_TMAP2OUT))&gt;=0,1,-1)*QUOTIENT(((c_TMAP3IN)-(c_TMAP2IN)),2))+2147483648,4294967296)-2147483648,((c_TMAP3IN)-(c_TMAP2IN))*(((K394)-(c_TMAP2IN))*((c_TMAP3OUT)-(c_TMAP2OUT))+IF(((c_TMAP3OUT)-(c_TMAP2OUT))&gt;=0,1,-1)*QUOTIENT(((c_TMAP3IN)-(c_TMAP2IN)),2)))&lt;0,-1,0),IF(IF(o_WRAP=1,MOD(((c_TMAP3IN)-(c_TMAP2IN))*(((K394)-(c_TMAP2IN))*((c_TMAP3OUT)-(c_TMAP2OUT))+IF(((c_TMAP3OUT)-(c_TMAP2OUT))&gt;=0,1,-1)*QUOTIENT(((c_TMAP3IN)-(c_TMAP2IN)),2))+2147483648,4294967296)-2147483648,((c_TMAP3IN)-(c_TMAP2IN))*(((K394)-(c_TMAP2IN))*((c_TMAP3OUT)-(c_TMAP2OUT))+IF(((c_TMAP3OUT)-(c_TMAP2OUT))&gt;=0,1,-1)*QUOTIENT(((c_TMAP3IN)-(c_TMAP2IN)),2)))&gt;=0,1,0)))</f>
        <v>655</v>
      </c>
      <c r="P394" s="7" t="n">
        <f aca="false">IF(((1000)-(c_TMAP3IN))=0,(c_TMAP3OUT)+QUOTIENT(((1000)-(c_TMAP3OUT)),2),QUOTIENT((((K394)-(c_TMAP3IN))*((1000)-(c_TMAP3OUT))+IF(((1000)-(c_TMAP3OUT))&gt;=0,1,-1)*QUOTIENT(((1000)-(c_TMAP3IN)),2)),((1000)-(c_TMAP3IN)))+(c_TMAP3OUT)+IF(((1000)-(c_TMAP3OUT))&gt;=0,IF(IF(o_WRAP=1,MOD(((1000)-(c_TMAP3IN))*(((K394)-(c_TMAP3IN))*((1000)-(c_TMAP3OUT))+IF(((1000)-(c_TMAP3OUT))&gt;=0,1,-1)*QUOTIENT(((1000)-(c_TMAP3IN)),2))+2147483648,4294967296)-2147483648,((1000)-(c_TMAP3IN))*(((K394)-(c_TMAP3IN))*((1000)-(c_TMAP3OUT))+IF(((1000)-(c_TMAP3OUT))&gt;=0,1,-1)*QUOTIENT(((1000)-(c_TMAP3IN)),2)))&lt;0,-1,0),IF(IF(o_WRAP=1,MOD(((1000)-(c_TMAP3IN))*(((K394)-(c_TMAP3IN))*((1000)-(c_TMAP3OUT))+IF(((1000)-(c_TMAP3OUT))&gt;=0,1,-1)*QUOTIENT(((1000)-(c_TMAP3IN)),2))+2147483648,4294967296)-2147483648,((1000)-(c_TMAP3IN))*(((K394)-(c_TMAP3IN))*((1000)-(c_TMAP3OUT))+IF(((1000)-(c_TMAP3OUT))&gt;=0,1,-1)*QUOTIENT(((1000)-(c_TMAP3IN)),2)))&gt;=0,1,0)))</f>
        <v>1000</v>
      </c>
      <c r="Q394" s="7" t="str">
        <f aca="false">IF(K394&gt;=c_TFWD,IF(AND(K394&gt;=c_TMAP3IN,c_TMAP3IN&lt;1000),"Seg4 map3-100%",IF(AND(K394&gt;=c_TMAP2IN,c_TMAP3IN&gt;c_TMAP2IN),"Seg3 map2-map3",IF(AND(K394&gt;=c_TMAP1IN,c_TMAP2IN&gt;c_TMAP1IN),"Seg2 map1-map2","Seg1 TFWD-map1"))),IF(AND(K394=0,c_TCREEP&gt;0),"Creep",IF(AND(K394&lt;=c_TRNGMIN,K394&gt;=c_TRNGMAX,c_TRNGMIN-c_TRNGMAX&lt;&gt;0),"Regen ramp","Coast (0)")))</f>
        <v>Seg4 map3-100%</v>
      </c>
      <c r="R394" s="7" t="n">
        <f aca="false">IF(K394&gt;=c_TFWD,IF(AND(K394&gt;=c_TMAP3IN,c_TMAP3IN&lt;1000),P394,IF(AND(K394&gt;=c_TMAP2IN,c_TMAP3IN&gt;c_TMAP2IN),O394,IF(AND(K394&gt;=c_TMAP1IN,c_TMAP2IN&gt;c_TMAP1IN),N394,M394))),L394)</f>
        <v>1000</v>
      </c>
      <c r="S394" s="7" t="str">
        <f aca="false">IF(R394&lt;-1090,"TOO LOW",IF(R394&gt;1090,"TOO HIGH",""))</f>
        <v/>
      </c>
      <c r="T394" s="15" t="n">
        <f aca="false">IF(H394&lt;&gt;"OK",0,IF(S394&lt;&gt;"",0,IF(R394&gt;979,1000,R394)))</f>
        <v>0</v>
      </c>
      <c r="U394" s="7" t="n">
        <f aca="false">T394/10</f>
        <v>0</v>
      </c>
    </row>
    <row r="395" customFormat="false" ht="15" hidden="false" customHeight="false" outlineLevel="0" collapsed="false">
      <c r="A395" s="7" t="n">
        <v>390</v>
      </c>
      <c r="B395" s="7" t="n">
        <f aca="false">ROUND(o_SWSTART+A395*(o_SWEND-o_SWSTART)/400,0)</f>
        <v>3993</v>
      </c>
      <c r="C395" s="7" t="n">
        <f aca="false">QUOTIENT((B395-c_OFF1)*c_GAIN1,1024)</f>
        <v>3993</v>
      </c>
      <c r="D395" s="7" t="n">
        <f aca="false">IF(((c_T1MX)-(c_T1MN))=0,(0)+QUOTIENT(((1000)-(0)),2),QUOTIENT((((C395)-(c_T1MN))*((1000)-(0))+IF(((1000)-(0))&gt;=0,1,-1)*QUOTIENT(((c_T1MX)-(c_T1MN)),2)),((c_T1MX)-(c_T1MN)))+(0)+IF(((1000)-(0))&gt;=0,IF(IF(o_WRAP=1,MOD(((c_T1MX)-(c_T1MN))*(((C395)-(c_T1MN))*((1000)-(0))+IF(((1000)-(0))&gt;=0,1,-1)*QUOTIENT(((c_T1MX)-(c_T1MN)),2))+2147483648,4294967296)-2147483648,((c_T1MX)-(c_T1MN))*(((C395)-(c_T1MN))*((1000)-(0))+IF(((1000)-(0))&gt;=0,1,-1)*QUOTIENT(((c_T1MX)-(c_T1MN)),2)))&lt;0,-1,0),IF(IF(o_WRAP=1,MOD(((c_T1MX)-(c_T1MN))*(((C395)-(c_T1MN))*((1000)-(0))+IF(((1000)-(0))&gt;=0,1,-1)*QUOTIENT(((c_T1MX)-(c_T1MN)),2))+2147483648,4294967296)-2147483648,((c_T1MX)-(c_T1MN))*(((C395)-(c_T1MN))*((1000)-(0))+IF(((1000)-(0))&gt;=0,1,-1)*QUOTIENT(((c_T1MX)-(c_T1MN)),2)))&gt;=0,1,0)))</f>
        <v>1186</v>
      </c>
      <c r="E395" s="7" t="n">
        <f aca="false">IF(AND(c_TPOT=1,c_TTYPE=2),1000-D395,D395)</f>
        <v>1186</v>
      </c>
      <c r="F395" s="7" t="str">
        <f aca="false">IF(c_TPOT&gt;1,ROUND(IF(c_TTYPE=2,c_T2MX-IF(c_T1MX=c_T1MN,0,(C395-c_T1MN)/(c_T1MX-c_T1MN))*(c_T2MX-c_T2MN),c_T2MN+IF(c_T1MX=c_T1MN,0,(C395-c_T1MN)/(c_T1MX-c_T1MN))*(c_T2MX-c_T2MN))+o_MISMATCH,0),"")</f>
        <v/>
      </c>
      <c r="G395" s="7" t="str">
        <f aca="false">IF(c_TPOT&gt;1,IF(((c_T2MX)-(c_T2MN))=0,(0)+QUOTIENT(((1000)-(0)),2),QUOTIENT((((F395)-(c_T2MN))*((1000)-(0))+IF(((1000)-(0))&gt;=0,1,-1)*QUOTIENT(((c_T2MX)-(c_T2MN)),2)),((c_T2MX)-(c_T2MN)))+(0)+IF(((1000)-(0))&gt;=0,IF(IF(o_WRAP=1,MOD(((c_T2MX)-(c_T2MN))*(((F395)-(c_T2MN))*((1000)-(0))+IF(((1000)-(0))&gt;=0,1,-1)*QUOTIENT(((c_T2MX)-(c_T2MN)),2))+2147483648,4294967296)-2147483648,((c_T2MX)-(c_T2MN))*(((F395)-(c_T2MN))*((1000)-(0))+IF(((1000)-(0))&gt;=0,1,-1)*QUOTIENT(((c_T2MX)-(c_T2MN)),2)))&lt;0,-1,0),IF(IF(o_WRAP=1,MOD(((c_T2MX)-(c_T2MN))*(((F395)-(c_T2MN))*((1000)-(0))+IF(((1000)-(0))&gt;=0,1,-1)*QUOTIENT(((c_T2MX)-(c_T2MN)),2))+2147483648,4294967296)-2147483648,((c_T2MX)-(c_T2MN))*(((F395)-(c_T2MN))*((1000)-(0))+IF(((1000)-(0))&gt;=0,1,-1)*QUOTIENT(((c_T2MX)-(c_T2MN)),2)))&gt;=0,1,0))),"")</f>
        <v/>
      </c>
      <c r="H395" s="7" t="str">
        <f aca="false">IF(E395&gt;1000+k_TOL,"T1 HIGH",IF(E395&lt;0-k_TOL,"T1 LOW",IF(c_TPOT&gt;1,IF(G395&gt;1000+k_TOL,"T2 HIGH",IF(G395&lt;0-k_TOL,"T2 LOW",IF(c_TTYPE=2,IF(ABS(1000-MAX(0,MIN(1000,E395))-MAX(0,MIN(1000,G395)))&gt;k_MAXERR,"MISMATCH","OK"),IF(OR(MAX(0,MIN(1000,E395))-k_MAXERR&gt;MAX(0,MIN(1000,G395)),MAX(0,MIN(1000,G395))-k_MAXERR&gt;MAX(0,MIN(1000,E395))),"MISMATCH","OK")))),"OK")))</f>
        <v>T1 HIGH</v>
      </c>
      <c r="I395" s="7" t="n">
        <f aca="false">MAX(0,MIN(1000,D395))</f>
        <v>1000</v>
      </c>
      <c r="J395" s="7" t="str">
        <f aca="false">IF(c_TPOT&gt;1,IF(c_TTYPE=2,1000-MAX(0,MIN(1000,G395)),MAX(0,MIN(1000,G395))),"")</f>
        <v/>
      </c>
      <c r="K395" s="7" t="n">
        <f aca="false">IF(c_TPOT&gt;1,QUOTIENT(I395+J395,2),I395)</f>
        <v>1000</v>
      </c>
      <c r="L395" s="7" t="n">
        <f aca="false">IF(AND(K395=0,c_TCREEP&gt;0),10*c_TCREEP,IF(AND(K395&lt;=c_TRNGMIN,K395&gt;=c_TRNGMAX,c_TRNGMIN-c_TRNGMAX&lt;&gt;0),-10*c_TMINRN+QUOTIENT((c_TMAXRN-c_TMINRN)*(100-QUOTIENT((K395-c_TRNGMAX)*100,c_TRNGMIN-c_TRNGMAX)),-10),0))</f>
        <v>0</v>
      </c>
      <c r="M395" s="7" t="n">
        <f aca="false">IF(((c_TMAP1IN)-(c_TFWD))=0,(0)+QUOTIENT(((c_TMAP1OUT)-(0)),2),QUOTIENT((((K395)-(c_TFWD))*((c_TMAP1OUT)-(0))+IF(((c_TMAP1OUT)-(0))&gt;=0,1,-1)*QUOTIENT(((c_TMAP1IN)-(c_TFWD)),2)),((c_TMAP1IN)-(c_TFWD)))+(0)+IF(((c_TMAP1OUT)-(0))&gt;=0,IF(IF(o_WRAP=1,MOD(((c_TMAP1IN)-(c_TFWD))*(((K395)-(c_TFWD))*((c_TMAP1OUT)-(0))+IF(((c_TMAP1OUT)-(0))&gt;=0,1,-1)*QUOTIENT(((c_TMAP1IN)-(c_TFWD)),2))+2147483648,4294967296)-2147483648,((c_TMAP1IN)-(c_TFWD))*(((K395)-(c_TFWD))*((c_TMAP1OUT)-(0))+IF(((c_TMAP1OUT)-(0))&gt;=0,1,-1)*QUOTIENT(((c_TMAP1IN)-(c_TFWD)),2)))&lt;0,-1,0),IF(IF(o_WRAP=1,MOD(((c_TMAP1IN)-(c_TFWD))*(((K395)-(c_TFWD))*((c_TMAP1OUT)-(0))+IF(((c_TMAP1OUT)-(0))&gt;=0,1,-1)*QUOTIENT(((c_TMAP1IN)-(c_TFWD)),2))+2147483648,4294967296)-2147483648,((c_TMAP1IN)-(c_TFWD))*(((K395)-(c_TFWD))*((c_TMAP1OUT)-(0))+IF(((c_TMAP1OUT)-(0))&gt;=0,1,-1)*QUOTIENT(((c_TMAP1IN)-(c_TFWD)),2)))&gt;=0,1,0)))</f>
        <v>770</v>
      </c>
      <c r="N395" s="7" t="n">
        <f aca="false">IF(((c_TMAP2IN)-(c_TMAP1IN))=0,(c_TMAP1OUT)+QUOTIENT(((c_TMAP2OUT)-(c_TMAP1OUT)),2),QUOTIENT((((K395)-(c_TMAP1IN))*((c_TMAP2OUT)-(c_TMAP1OUT))+IF(((c_TMAP2OUT)-(c_TMAP1OUT))&gt;=0,1,-1)*QUOTIENT(((c_TMAP2IN)-(c_TMAP1IN)),2)),((c_TMAP2IN)-(c_TMAP1IN)))+(c_TMAP1OUT)+IF(((c_TMAP2OUT)-(c_TMAP1OUT))&gt;=0,IF(IF(o_WRAP=1,MOD(((c_TMAP2IN)-(c_TMAP1IN))*(((K395)-(c_TMAP1IN))*((c_TMAP2OUT)-(c_TMAP1OUT))+IF(((c_TMAP2OUT)-(c_TMAP1OUT))&gt;=0,1,-1)*QUOTIENT(((c_TMAP2IN)-(c_TMAP1IN)),2))+2147483648,4294967296)-2147483648,((c_TMAP2IN)-(c_TMAP1IN))*(((K395)-(c_TMAP1IN))*((c_TMAP2OUT)-(c_TMAP1OUT))+IF(((c_TMAP2OUT)-(c_TMAP1OUT))&gt;=0,1,-1)*QUOTIENT(((c_TMAP2IN)-(c_TMAP1IN)),2)))&lt;0,-1,0),IF(IF(o_WRAP=1,MOD(((c_TMAP2IN)-(c_TMAP1IN))*(((K395)-(c_TMAP1IN))*((c_TMAP2OUT)-(c_TMAP1OUT))+IF(((c_TMAP2OUT)-(c_TMAP1OUT))&gt;=0,1,-1)*QUOTIENT(((c_TMAP2IN)-(c_TMAP1IN)),2))+2147483648,4294967296)-2147483648,((c_TMAP2IN)-(c_TMAP1IN))*(((K395)-(c_TMAP1IN))*((c_TMAP2OUT)-(c_TMAP1OUT))+IF(((c_TMAP2OUT)-(c_TMAP1OUT))&gt;=0,1,-1)*QUOTIENT(((c_TMAP2IN)-(c_TMAP1IN)),2)))&gt;=0,1,0)))</f>
        <v>430</v>
      </c>
      <c r="O395" s="7" t="n">
        <f aca="false">IF(((c_TMAP3IN)-(c_TMAP2IN))=0,(c_TMAP2OUT)+QUOTIENT(((c_TMAP3OUT)-(c_TMAP2OUT)),2),QUOTIENT((((K395)-(c_TMAP2IN))*((c_TMAP3OUT)-(c_TMAP2OUT))+IF(((c_TMAP3OUT)-(c_TMAP2OUT))&gt;=0,1,-1)*QUOTIENT(((c_TMAP3IN)-(c_TMAP2IN)),2)),((c_TMAP3IN)-(c_TMAP2IN)))+(c_TMAP2OUT)+IF(((c_TMAP3OUT)-(c_TMAP2OUT))&gt;=0,IF(IF(o_WRAP=1,MOD(((c_TMAP3IN)-(c_TMAP2IN))*(((K395)-(c_TMAP2IN))*((c_TMAP3OUT)-(c_TMAP2OUT))+IF(((c_TMAP3OUT)-(c_TMAP2OUT))&gt;=0,1,-1)*QUOTIENT(((c_TMAP3IN)-(c_TMAP2IN)),2))+2147483648,4294967296)-2147483648,((c_TMAP3IN)-(c_TMAP2IN))*(((K395)-(c_TMAP2IN))*((c_TMAP3OUT)-(c_TMAP2OUT))+IF(((c_TMAP3OUT)-(c_TMAP2OUT))&gt;=0,1,-1)*QUOTIENT(((c_TMAP3IN)-(c_TMAP2IN)),2)))&lt;0,-1,0),IF(IF(o_WRAP=1,MOD(((c_TMAP3IN)-(c_TMAP2IN))*(((K395)-(c_TMAP2IN))*((c_TMAP3OUT)-(c_TMAP2OUT))+IF(((c_TMAP3OUT)-(c_TMAP2OUT))&gt;=0,1,-1)*QUOTIENT(((c_TMAP3IN)-(c_TMAP2IN)),2))+2147483648,4294967296)-2147483648,((c_TMAP3IN)-(c_TMAP2IN))*(((K395)-(c_TMAP2IN))*((c_TMAP3OUT)-(c_TMAP2OUT))+IF(((c_TMAP3OUT)-(c_TMAP2OUT))&gt;=0,1,-1)*QUOTIENT(((c_TMAP3IN)-(c_TMAP2IN)),2)))&gt;=0,1,0)))</f>
        <v>655</v>
      </c>
      <c r="P395" s="7" t="n">
        <f aca="false">IF(((1000)-(c_TMAP3IN))=0,(c_TMAP3OUT)+QUOTIENT(((1000)-(c_TMAP3OUT)),2),QUOTIENT((((K395)-(c_TMAP3IN))*((1000)-(c_TMAP3OUT))+IF(((1000)-(c_TMAP3OUT))&gt;=0,1,-1)*QUOTIENT(((1000)-(c_TMAP3IN)),2)),((1000)-(c_TMAP3IN)))+(c_TMAP3OUT)+IF(((1000)-(c_TMAP3OUT))&gt;=0,IF(IF(o_WRAP=1,MOD(((1000)-(c_TMAP3IN))*(((K395)-(c_TMAP3IN))*((1000)-(c_TMAP3OUT))+IF(((1000)-(c_TMAP3OUT))&gt;=0,1,-1)*QUOTIENT(((1000)-(c_TMAP3IN)),2))+2147483648,4294967296)-2147483648,((1000)-(c_TMAP3IN))*(((K395)-(c_TMAP3IN))*((1000)-(c_TMAP3OUT))+IF(((1000)-(c_TMAP3OUT))&gt;=0,1,-1)*QUOTIENT(((1000)-(c_TMAP3IN)),2)))&lt;0,-1,0),IF(IF(o_WRAP=1,MOD(((1000)-(c_TMAP3IN))*(((K395)-(c_TMAP3IN))*((1000)-(c_TMAP3OUT))+IF(((1000)-(c_TMAP3OUT))&gt;=0,1,-1)*QUOTIENT(((1000)-(c_TMAP3IN)),2))+2147483648,4294967296)-2147483648,((1000)-(c_TMAP3IN))*(((K395)-(c_TMAP3IN))*((1000)-(c_TMAP3OUT))+IF(((1000)-(c_TMAP3OUT))&gt;=0,1,-1)*QUOTIENT(((1000)-(c_TMAP3IN)),2)))&gt;=0,1,0)))</f>
        <v>1000</v>
      </c>
      <c r="Q395" s="7" t="str">
        <f aca="false">IF(K395&gt;=c_TFWD,IF(AND(K395&gt;=c_TMAP3IN,c_TMAP3IN&lt;1000),"Seg4 map3-100%",IF(AND(K395&gt;=c_TMAP2IN,c_TMAP3IN&gt;c_TMAP2IN),"Seg3 map2-map3",IF(AND(K395&gt;=c_TMAP1IN,c_TMAP2IN&gt;c_TMAP1IN),"Seg2 map1-map2","Seg1 TFWD-map1"))),IF(AND(K395=0,c_TCREEP&gt;0),"Creep",IF(AND(K395&lt;=c_TRNGMIN,K395&gt;=c_TRNGMAX,c_TRNGMIN-c_TRNGMAX&lt;&gt;0),"Regen ramp","Coast (0)")))</f>
        <v>Seg4 map3-100%</v>
      </c>
      <c r="R395" s="7" t="n">
        <f aca="false">IF(K395&gt;=c_TFWD,IF(AND(K395&gt;=c_TMAP3IN,c_TMAP3IN&lt;1000),P395,IF(AND(K395&gt;=c_TMAP2IN,c_TMAP3IN&gt;c_TMAP2IN),O395,IF(AND(K395&gt;=c_TMAP1IN,c_TMAP2IN&gt;c_TMAP1IN),N395,M395))),L395)</f>
        <v>1000</v>
      </c>
      <c r="S395" s="7" t="str">
        <f aca="false">IF(R395&lt;-1090,"TOO LOW",IF(R395&gt;1090,"TOO HIGH",""))</f>
        <v/>
      </c>
      <c r="T395" s="15" t="n">
        <f aca="false">IF(H395&lt;&gt;"OK",0,IF(S395&lt;&gt;"",0,IF(R395&gt;979,1000,R395)))</f>
        <v>0</v>
      </c>
      <c r="U395" s="7" t="n">
        <f aca="false">T395/10</f>
        <v>0</v>
      </c>
    </row>
    <row r="396" customFormat="false" ht="15" hidden="false" customHeight="false" outlineLevel="0" collapsed="false">
      <c r="A396" s="7" t="n">
        <v>391</v>
      </c>
      <c r="B396" s="7" t="n">
        <f aca="false">ROUND(o_SWSTART+A396*(o_SWEND-o_SWSTART)/400,0)</f>
        <v>4003</v>
      </c>
      <c r="C396" s="7" t="n">
        <f aca="false">QUOTIENT((B396-c_OFF1)*c_GAIN1,1024)</f>
        <v>4003</v>
      </c>
      <c r="D396" s="7" t="n">
        <f aca="false">IF(((c_T1MX)-(c_T1MN))=0,(0)+QUOTIENT(((1000)-(0)),2),QUOTIENT((((C396)-(c_T1MN))*((1000)-(0))+IF(((1000)-(0))&gt;=0,1,-1)*QUOTIENT(((c_T1MX)-(c_T1MN)),2)),((c_T1MX)-(c_T1MN)))+(0)+IF(((1000)-(0))&gt;=0,IF(IF(o_WRAP=1,MOD(((c_T1MX)-(c_T1MN))*(((C396)-(c_T1MN))*((1000)-(0))+IF(((1000)-(0))&gt;=0,1,-1)*QUOTIENT(((c_T1MX)-(c_T1MN)),2))+2147483648,4294967296)-2147483648,((c_T1MX)-(c_T1MN))*(((C396)-(c_T1MN))*((1000)-(0))+IF(((1000)-(0))&gt;=0,1,-1)*QUOTIENT(((c_T1MX)-(c_T1MN)),2)))&lt;0,-1,0),IF(IF(o_WRAP=1,MOD(((c_T1MX)-(c_T1MN))*(((C396)-(c_T1MN))*((1000)-(0))+IF(((1000)-(0))&gt;=0,1,-1)*QUOTIENT(((c_T1MX)-(c_T1MN)),2))+2147483648,4294967296)-2147483648,((c_T1MX)-(c_T1MN))*(((C396)-(c_T1MN))*((1000)-(0))+IF(((1000)-(0))&gt;=0,1,-1)*QUOTIENT(((c_T1MX)-(c_T1MN)),2)))&gt;=0,1,0)))</f>
        <v>1190</v>
      </c>
      <c r="E396" s="7" t="n">
        <f aca="false">IF(AND(c_TPOT=1,c_TTYPE=2),1000-D396,D396)</f>
        <v>1190</v>
      </c>
      <c r="F396" s="7" t="str">
        <f aca="false">IF(c_TPOT&gt;1,ROUND(IF(c_TTYPE=2,c_T2MX-IF(c_T1MX=c_T1MN,0,(C396-c_T1MN)/(c_T1MX-c_T1MN))*(c_T2MX-c_T2MN),c_T2MN+IF(c_T1MX=c_T1MN,0,(C396-c_T1MN)/(c_T1MX-c_T1MN))*(c_T2MX-c_T2MN))+o_MISMATCH,0),"")</f>
        <v/>
      </c>
      <c r="G396" s="7" t="str">
        <f aca="false">IF(c_TPOT&gt;1,IF(((c_T2MX)-(c_T2MN))=0,(0)+QUOTIENT(((1000)-(0)),2),QUOTIENT((((F396)-(c_T2MN))*((1000)-(0))+IF(((1000)-(0))&gt;=0,1,-1)*QUOTIENT(((c_T2MX)-(c_T2MN)),2)),((c_T2MX)-(c_T2MN)))+(0)+IF(((1000)-(0))&gt;=0,IF(IF(o_WRAP=1,MOD(((c_T2MX)-(c_T2MN))*(((F396)-(c_T2MN))*((1000)-(0))+IF(((1000)-(0))&gt;=0,1,-1)*QUOTIENT(((c_T2MX)-(c_T2MN)),2))+2147483648,4294967296)-2147483648,((c_T2MX)-(c_T2MN))*(((F396)-(c_T2MN))*((1000)-(0))+IF(((1000)-(0))&gt;=0,1,-1)*QUOTIENT(((c_T2MX)-(c_T2MN)),2)))&lt;0,-1,0),IF(IF(o_WRAP=1,MOD(((c_T2MX)-(c_T2MN))*(((F396)-(c_T2MN))*((1000)-(0))+IF(((1000)-(0))&gt;=0,1,-1)*QUOTIENT(((c_T2MX)-(c_T2MN)),2))+2147483648,4294967296)-2147483648,((c_T2MX)-(c_T2MN))*(((F396)-(c_T2MN))*((1000)-(0))+IF(((1000)-(0))&gt;=0,1,-1)*QUOTIENT(((c_T2MX)-(c_T2MN)),2)))&gt;=0,1,0))),"")</f>
        <v/>
      </c>
      <c r="H396" s="7" t="str">
        <f aca="false">IF(E396&gt;1000+k_TOL,"T1 HIGH",IF(E396&lt;0-k_TOL,"T1 LOW",IF(c_TPOT&gt;1,IF(G396&gt;1000+k_TOL,"T2 HIGH",IF(G396&lt;0-k_TOL,"T2 LOW",IF(c_TTYPE=2,IF(ABS(1000-MAX(0,MIN(1000,E396))-MAX(0,MIN(1000,G396)))&gt;k_MAXERR,"MISMATCH","OK"),IF(OR(MAX(0,MIN(1000,E396))-k_MAXERR&gt;MAX(0,MIN(1000,G396)),MAX(0,MIN(1000,G396))-k_MAXERR&gt;MAX(0,MIN(1000,E396))),"MISMATCH","OK")))),"OK")))</f>
        <v>T1 HIGH</v>
      </c>
      <c r="I396" s="7" t="n">
        <f aca="false">MAX(0,MIN(1000,D396))</f>
        <v>1000</v>
      </c>
      <c r="J396" s="7" t="str">
        <f aca="false">IF(c_TPOT&gt;1,IF(c_TTYPE=2,1000-MAX(0,MIN(1000,G396)),MAX(0,MIN(1000,G396))),"")</f>
        <v/>
      </c>
      <c r="K396" s="7" t="n">
        <f aca="false">IF(c_TPOT&gt;1,QUOTIENT(I396+J396,2),I396)</f>
        <v>1000</v>
      </c>
      <c r="L396" s="7" t="n">
        <f aca="false">IF(AND(K396=0,c_TCREEP&gt;0),10*c_TCREEP,IF(AND(K396&lt;=c_TRNGMIN,K396&gt;=c_TRNGMAX,c_TRNGMIN-c_TRNGMAX&lt;&gt;0),-10*c_TMINRN+QUOTIENT((c_TMAXRN-c_TMINRN)*(100-QUOTIENT((K396-c_TRNGMAX)*100,c_TRNGMIN-c_TRNGMAX)),-10),0))</f>
        <v>0</v>
      </c>
      <c r="M396" s="7" t="n">
        <f aca="false">IF(((c_TMAP1IN)-(c_TFWD))=0,(0)+QUOTIENT(((c_TMAP1OUT)-(0)),2),QUOTIENT((((K396)-(c_TFWD))*((c_TMAP1OUT)-(0))+IF(((c_TMAP1OUT)-(0))&gt;=0,1,-1)*QUOTIENT(((c_TMAP1IN)-(c_TFWD)),2)),((c_TMAP1IN)-(c_TFWD)))+(0)+IF(((c_TMAP1OUT)-(0))&gt;=0,IF(IF(o_WRAP=1,MOD(((c_TMAP1IN)-(c_TFWD))*(((K396)-(c_TFWD))*((c_TMAP1OUT)-(0))+IF(((c_TMAP1OUT)-(0))&gt;=0,1,-1)*QUOTIENT(((c_TMAP1IN)-(c_TFWD)),2))+2147483648,4294967296)-2147483648,((c_TMAP1IN)-(c_TFWD))*(((K396)-(c_TFWD))*((c_TMAP1OUT)-(0))+IF(((c_TMAP1OUT)-(0))&gt;=0,1,-1)*QUOTIENT(((c_TMAP1IN)-(c_TFWD)),2)))&lt;0,-1,0),IF(IF(o_WRAP=1,MOD(((c_TMAP1IN)-(c_TFWD))*(((K396)-(c_TFWD))*((c_TMAP1OUT)-(0))+IF(((c_TMAP1OUT)-(0))&gt;=0,1,-1)*QUOTIENT(((c_TMAP1IN)-(c_TFWD)),2))+2147483648,4294967296)-2147483648,((c_TMAP1IN)-(c_TFWD))*(((K396)-(c_TFWD))*((c_TMAP1OUT)-(0))+IF(((c_TMAP1OUT)-(0))&gt;=0,1,-1)*QUOTIENT(((c_TMAP1IN)-(c_TFWD)),2)))&gt;=0,1,0)))</f>
        <v>770</v>
      </c>
      <c r="N396" s="7" t="n">
        <f aca="false">IF(((c_TMAP2IN)-(c_TMAP1IN))=0,(c_TMAP1OUT)+QUOTIENT(((c_TMAP2OUT)-(c_TMAP1OUT)),2),QUOTIENT((((K396)-(c_TMAP1IN))*((c_TMAP2OUT)-(c_TMAP1OUT))+IF(((c_TMAP2OUT)-(c_TMAP1OUT))&gt;=0,1,-1)*QUOTIENT(((c_TMAP2IN)-(c_TMAP1IN)),2)),((c_TMAP2IN)-(c_TMAP1IN)))+(c_TMAP1OUT)+IF(((c_TMAP2OUT)-(c_TMAP1OUT))&gt;=0,IF(IF(o_WRAP=1,MOD(((c_TMAP2IN)-(c_TMAP1IN))*(((K396)-(c_TMAP1IN))*((c_TMAP2OUT)-(c_TMAP1OUT))+IF(((c_TMAP2OUT)-(c_TMAP1OUT))&gt;=0,1,-1)*QUOTIENT(((c_TMAP2IN)-(c_TMAP1IN)),2))+2147483648,4294967296)-2147483648,((c_TMAP2IN)-(c_TMAP1IN))*(((K396)-(c_TMAP1IN))*((c_TMAP2OUT)-(c_TMAP1OUT))+IF(((c_TMAP2OUT)-(c_TMAP1OUT))&gt;=0,1,-1)*QUOTIENT(((c_TMAP2IN)-(c_TMAP1IN)),2)))&lt;0,-1,0),IF(IF(o_WRAP=1,MOD(((c_TMAP2IN)-(c_TMAP1IN))*(((K396)-(c_TMAP1IN))*((c_TMAP2OUT)-(c_TMAP1OUT))+IF(((c_TMAP2OUT)-(c_TMAP1OUT))&gt;=0,1,-1)*QUOTIENT(((c_TMAP2IN)-(c_TMAP1IN)),2))+2147483648,4294967296)-2147483648,((c_TMAP2IN)-(c_TMAP1IN))*(((K396)-(c_TMAP1IN))*((c_TMAP2OUT)-(c_TMAP1OUT))+IF(((c_TMAP2OUT)-(c_TMAP1OUT))&gt;=0,1,-1)*QUOTIENT(((c_TMAP2IN)-(c_TMAP1IN)),2)))&gt;=0,1,0)))</f>
        <v>430</v>
      </c>
      <c r="O396" s="7" t="n">
        <f aca="false">IF(((c_TMAP3IN)-(c_TMAP2IN))=0,(c_TMAP2OUT)+QUOTIENT(((c_TMAP3OUT)-(c_TMAP2OUT)),2),QUOTIENT((((K396)-(c_TMAP2IN))*((c_TMAP3OUT)-(c_TMAP2OUT))+IF(((c_TMAP3OUT)-(c_TMAP2OUT))&gt;=0,1,-1)*QUOTIENT(((c_TMAP3IN)-(c_TMAP2IN)),2)),((c_TMAP3IN)-(c_TMAP2IN)))+(c_TMAP2OUT)+IF(((c_TMAP3OUT)-(c_TMAP2OUT))&gt;=0,IF(IF(o_WRAP=1,MOD(((c_TMAP3IN)-(c_TMAP2IN))*(((K396)-(c_TMAP2IN))*((c_TMAP3OUT)-(c_TMAP2OUT))+IF(((c_TMAP3OUT)-(c_TMAP2OUT))&gt;=0,1,-1)*QUOTIENT(((c_TMAP3IN)-(c_TMAP2IN)),2))+2147483648,4294967296)-2147483648,((c_TMAP3IN)-(c_TMAP2IN))*(((K396)-(c_TMAP2IN))*((c_TMAP3OUT)-(c_TMAP2OUT))+IF(((c_TMAP3OUT)-(c_TMAP2OUT))&gt;=0,1,-1)*QUOTIENT(((c_TMAP3IN)-(c_TMAP2IN)),2)))&lt;0,-1,0),IF(IF(o_WRAP=1,MOD(((c_TMAP3IN)-(c_TMAP2IN))*(((K396)-(c_TMAP2IN))*((c_TMAP3OUT)-(c_TMAP2OUT))+IF(((c_TMAP3OUT)-(c_TMAP2OUT))&gt;=0,1,-1)*QUOTIENT(((c_TMAP3IN)-(c_TMAP2IN)),2))+2147483648,4294967296)-2147483648,((c_TMAP3IN)-(c_TMAP2IN))*(((K396)-(c_TMAP2IN))*((c_TMAP3OUT)-(c_TMAP2OUT))+IF(((c_TMAP3OUT)-(c_TMAP2OUT))&gt;=0,1,-1)*QUOTIENT(((c_TMAP3IN)-(c_TMAP2IN)),2)))&gt;=0,1,0)))</f>
        <v>655</v>
      </c>
      <c r="P396" s="7" t="n">
        <f aca="false">IF(((1000)-(c_TMAP3IN))=0,(c_TMAP3OUT)+QUOTIENT(((1000)-(c_TMAP3OUT)),2),QUOTIENT((((K396)-(c_TMAP3IN))*((1000)-(c_TMAP3OUT))+IF(((1000)-(c_TMAP3OUT))&gt;=0,1,-1)*QUOTIENT(((1000)-(c_TMAP3IN)),2)),((1000)-(c_TMAP3IN)))+(c_TMAP3OUT)+IF(((1000)-(c_TMAP3OUT))&gt;=0,IF(IF(o_WRAP=1,MOD(((1000)-(c_TMAP3IN))*(((K396)-(c_TMAP3IN))*((1000)-(c_TMAP3OUT))+IF(((1000)-(c_TMAP3OUT))&gt;=0,1,-1)*QUOTIENT(((1000)-(c_TMAP3IN)),2))+2147483648,4294967296)-2147483648,((1000)-(c_TMAP3IN))*(((K396)-(c_TMAP3IN))*((1000)-(c_TMAP3OUT))+IF(((1000)-(c_TMAP3OUT))&gt;=0,1,-1)*QUOTIENT(((1000)-(c_TMAP3IN)),2)))&lt;0,-1,0),IF(IF(o_WRAP=1,MOD(((1000)-(c_TMAP3IN))*(((K396)-(c_TMAP3IN))*((1000)-(c_TMAP3OUT))+IF(((1000)-(c_TMAP3OUT))&gt;=0,1,-1)*QUOTIENT(((1000)-(c_TMAP3IN)),2))+2147483648,4294967296)-2147483648,((1000)-(c_TMAP3IN))*(((K396)-(c_TMAP3IN))*((1000)-(c_TMAP3OUT))+IF(((1000)-(c_TMAP3OUT))&gt;=0,1,-1)*QUOTIENT(((1000)-(c_TMAP3IN)),2)))&gt;=0,1,0)))</f>
        <v>1000</v>
      </c>
      <c r="Q396" s="7" t="str">
        <f aca="false">IF(K396&gt;=c_TFWD,IF(AND(K396&gt;=c_TMAP3IN,c_TMAP3IN&lt;1000),"Seg4 map3-100%",IF(AND(K396&gt;=c_TMAP2IN,c_TMAP3IN&gt;c_TMAP2IN),"Seg3 map2-map3",IF(AND(K396&gt;=c_TMAP1IN,c_TMAP2IN&gt;c_TMAP1IN),"Seg2 map1-map2","Seg1 TFWD-map1"))),IF(AND(K396=0,c_TCREEP&gt;0),"Creep",IF(AND(K396&lt;=c_TRNGMIN,K396&gt;=c_TRNGMAX,c_TRNGMIN-c_TRNGMAX&lt;&gt;0),"Regen ramp","Coast (0)")))</f>
        <v>Seg4 map3-100%</v>
      </c>
      <c r="R396" s="7" t="n">
        <f aca="false">IF(K396&gt;=c_TFWD,IF(AND(K396&gt;=c_TMAP3IN,c_TMAP3IN&lt;1000),P396,IF(AND(K396&gt;=c_TMAP2IN,c_TMAP3IN&gt;c_TMAP2IN),O396,IF(AND(K396&gt;=c_TMAP1IN,c_TMAP2IN&gt;c_TMAP1IN),N396,M396))),L396)</f>
        <v>1000</v>
      </c>
      <c r="S396" s="7" t="str">
        <f aca="false">IF(R396&lt;-1090,"TOO LOW",IF(R396&gt;1090,"TOO HIGH",""))</f>
        <v/>
      </c>
      <c r="T396" s="15" t="n">
        <f aca="false">IF(H396&lt;&gt;"OK",0,IF(S396&lt;&gt;"",0,IF(R396&gt;979,1000,R396)))</f>
        <v>0</v>
      </c>
      <c r="U396" s="7" t="n">
        <f aca="false">T396/10</f>
        <v>0</v>
      </c>
    </row>
    <row r="397" customFormat="false" ht="15" hidden="false" customHeight="false" outlineLevel="0" collapsed="false">
      <c r="A397" s="7" t="n">
        <v>392</v>
      </c>
      <c r="B397" s="7" t="n">
        <f aca="false">ROUND(o_SWSTART+A397*(o_SWEND-o_SWSTART)/400,0)</f>
        <v>4013</v>
      </c>
      <c r="C397" s="7" t="n">
        <f aca="false">QUOTIENT((B397-c_OFF1)*c_GAIN1,1024)</f>
        <v>4013</v>
      </c>
      <c r="D397" s="7" t="n">
        <f aca="false">IF(((c_T1MX)-(c_T1MN))=0,(0)+QUOTIENT(((1000)-(0)),2),QUOTIENT((((C397)-(c_T1MN))*((1000)-(0))+IF(((1000)-(0))&gt;=0,1,-1)*QUOTIENT(((c_T1MX)-(c_T1MN)),2)),((c_T1MX)-(c_T1MN)))+(0)+IF(((1000)-(0))&gt;=0,IF(IF(o_WRAP=1,MOD(((c_T1MX)-(c_T1MN))*(((C397)-(c_T1MN))*((1000)-(0))+IF(((1000)-(0))&gt;=0,1,-1)*QUOTIENT(((c_T1MX)-(c_T1MN)),2))+2147483648,4294967296)-2147483648,((c_T1MX)-(c_T1MN))*(((C397)-(c_T1MN))*((1000)-(0))+IF(((1000)-(0))&gt;=0,1,-1)*QUOTIENT(((c_T1MX)-(c_T1MN)),2)))&lt;0,-1,0),IF(IF(o_WRAP=1,MOD(((c_T1MX)-(c_T1MN))*(((C397)-(c_T1MN))*((1000)-(0))+IF(((1000)-(0))&gt;=0,1,-1)*QUOTIENT(((c_T1MX)-(c_T1MN)),2))+2147483648,4294967296)-2147483648,((c_T1MX)-(c_T1MN))*(((C397)-(c_T1MN))*((1000)-(0))+IF(((1000)-(0))&gt;=0,1,-1)*QUOTIENT(((c_T1MX)-(c_T1MN)),2)))&gt;=0,1,0)))</f>
        <v>1194</v>
      </c>
      <c r="E397" s="7" t="n">
        <f aca="false">IF(AND(c_TPOT=1,c_TTYPE=2),1000-D397,D397)</f>
        <v>1194</v>
      </c>
      <c r="F397" s="7" t="str">
        <f aca="false">IF(c_TPOT&gt;1,ROUND(IF(c_TTYPE=2,c_T2MX-IF(c_T1MX=c_T1MN,0,(C397-c_T1MN)/(c_T1MX-c_T1MN))*(c_T2MX-c_T2MN),c_T2MN+IF(c_T1MX=c_T1MN,0,(C397-c_T1MN)/(c_T1MX-c_T1MN))*(c_T2MX-c_T2MN))+o_MISMATCH,0),"")</f>
        <v/>
      </c>
      <c r="G397" s="7" t="str">
        <f aca="false">IF(c_TPOT&gt;1,IF(((c_T2MX)-(c_T2MN))=0,(0)+QUOTIENT(((1000)-(0)),2),QUOTIENT((((F397)-(c_T2MN))*((1000)-(0))+IF(((1000)-(0))&gt;=0,1,-1)*QUOTIENT(((c_T2MX)-(c_T2MN)),2)),((c_T2MX)-(c_T2MN)))+(0)+IF(((1000)-(0))&gt;=0,IF(IF(o_WRAP=1,MOD(((c_T2MX)-(c_T2MN))*(((F397)-(c_T2MN))*((1000)-(0))+IF(((1000)-(0))&gt;=0,1,-1)*QUOTIENT(((c_T2MX)-(c_T2MN)),2))+2147483648,4294967296)-2147483648,((c_T2MX)-(c_T2MN))*(((F397)-(c_T2MN))*((1000)-(0))+IF(((1000)-(0))&gt;=0,1,-1)*QUOTIENT(((c_T2MX)-(c_T2MN)),2)))&lt;0,-1,0),IF(IF(o_WRAP=1,MOD(((c_T2MX)-(c_T2MN))*(((F397)-(c_T2MN))*((1000)-(0))+IF(((1000)-(0))&gt;=0,1,-1)*QUOTIENT(((c_T2MX)-(c_T2MN)),2))+2147483648,4294967296)-2147483648,((c_T2MX)-(c_T2MN))*(((F397)-(c_T2MN))*((1000)-(0))+IF(((1000)-(0))&gt;=0,1,-1)*QUOTIENT(((c_T2MX)-(c_T2MN)),2)))&gt;=0,1,0))),"")</f>
        <v/>
      </c>
      <c r="H397" s="7" t="str">
        <f aca="false">IF(E397&gt;1000+k_TOL,"T1 HIGH",IF(E397&lt;0-k_TOL,"T1 LOW",IF(c_TPOT&gt;1,IF(G397&gt;1000+k_TOL,"T2 HIGH",IF(G397&lt;0-k_TOL,"T2 LOW",IF(c_TTYPE=2,IF(ABS(1000-MAX(0,MIN(1000,E397))-MAX(0,MIN(1000,G397)))&gt;k_MAXERR,"MISMATCH","OK"),IF(OR(MAX(0,MIN(1000,E397))-k_MAXERR&gt;MAX(0,MIN(1000,G397)),MAX(0,MIN(1000,G397))-k_MAXERR&gt;MAX(0,MIN(1000,E397))),"MISMATCH","OK")))),"OK")))</f>
        <v>T1 HIGH</v>
      </c>
      <c r="I397" s="7" t="n">
        <f aca="false">MAX(0,MIN(1000,D397))</f>
        <v>1000</v>
      </c>
      <c r="J397" s="7" t="str">
        <f aca="false">IF(c_TPOT&gt;1,IF(c_TTYPE=2,1000-MAX(0,MIN(1000,G397)),MAX(0,MIN(1000,G397))),"")</f>
        <v/>
      </c>
      <c r="K397" s="7" t="n">
        <f aca="false">IF(c_TPOT&gt;1,QUOTIENT(I397+J397,2),I397)</f>
        <v>1000</v>
      </c>
      <c r="L397" s="7" t="n">
        <f aca="false">IF(AND(K397=0,c_TCREEP&gt;0),10*c_TCREEP,IF(AND(K397&lt;=c_TRNGMIN,K397&gt;=c_TRNGMAX,c_TRNGMIN-c_TRNGMAX&lt;&gt;0),-10*c_TMINRN+QUOTIENT((c_TMAXRN-c_TMINRN)*(100-QUOTIENT((K397-c_TRNGMAX)*100,c_TRNGMIN-c_TRNGMAX)),-10),0))</f>
        <v>0</v>
      </c>
      <c r="M397" s="7" t="n">
        <f aca="false">IF(((c_TMAP1IN)-(c_TFWD))=0,(0)+QUOTIENT(((c_TMAP1OUT)-(0)),2),QUOTIENT((((K397)-(c_TFWD))*((c_TMAP1OUT)-(0))+IF(((c_TMAP1OUT)-(0))&gt;=0,1,-1)*QUOTIENT(((c_TMAP1IN)-(c_TFWD)),2)),((c_TMAP1IN)-(c_TFWD)))+(0)+IF(((c_TMAP1OUT)-(0))&gt;=0,IF(IF(o_WRAP=1,MOD(((c_TMAP1IN)-(c_TFWD))*(((K397)-(c_TFWD))*((c_TMAP1OUT)-(0))+IF(((c_TMAP1OUT)-(0))&gt;=0,1,-1)*QUOTIENT(((c_TMAP1IN)-(c_TFWD)),2))+2147483648,4294967296)-2147483648,((c_TMAP1IN)-(c_TFWD))*(((K397)-(c_TFWD))*((c_TMAP1OUT)-(0))+IF(((c_TMAP1OUT)-(0))&gt;=0,1,-1)*QUOTIENT(((c_TMAP1IN)-(c_TFWD)),2)))&lt;0,-1,0),IF(IF(o_WRAP=1,MOD(((c_TMAP1IN)-(c_TFWD))*(((K397)-(c_TFWD))*((c_TMAP1OUT)-(0))+IF(((c_TMAP1OUT)-(0))&gt;=0,1,-1)*QUOTIENT(((c_TMAP1IN)-(c_TFWD)),2))+2147483648,4294967296)-2147483648,((c_TMAP1IN)-(c_TFWD))*(((K397)-(c_TFWD))*((c_TMAP1OUT)-(0))+IF(((c_TMAP1OUT)-(0))&gt;=0,1,-1)*QUOTIENT(((c_TMAP1IN)-(c_TFWD)),2)))&gt;=0,1,0)))</f>
        <v>770</v>
      </c>
      <c r="N397" s="7" t="n">
        <f aca="false">IF(((c_TMAP2IN)-(c_TMAP1IN))=0,(c_TMAP1OUT)+QUOTIENT(((c_TMAP2OUT)-(c_TMAP1OUT)),2),QUOTIENT((((K397)-(c_TMAP1IN))*((c_TMAP2OUT)-(c_TMAP1OUT))+IF(((c_TMAP2OUT)-(c_TMAP1OUT))&gt;=0,1,-1)*QUOTIENT(((c_TMAP2IN)-(c_TMAP1IN)),2)),((c_TMAP2IN)-(c_TMAP1IN)))+(c_TMAP1OUT)+IF(((c_TMAP2OUT)-(c_TMAP1OUT))&gt;=0,IF(IF(o_WRAP=1,MOD(((c_TMAP2IN)-(c_TMAP1IN))*(((K397)-(c_TMAP1IN))*((c_TMAP2OUT)-(c_TMAP1OUT))+IF(((c_TMAP2OUT)-(c_TMAP1OUT))&gt;=0,1,-1)*QUOTIENT(((c_TMAP2IN)-(c_TMAP1IN)),2))+2147483648,4294967296)-2147483648,((c_TMAP2IN)-(c_TMAP1IN))*(((K397)-(c_TMAP1IN))*((c_TMAP2OUT)-(c_TMAP1OUT))+IF(((c_TMAP2OUT)-(c_TMAP1OUT))&gt;=0,1,-1)*QUOTIENT(((c_TMAP2IN)-(c_TMAP1IN)),2)))&lt;0,-1,0),IF(IF(o_WRAP=1,MOD(((c_TMAP2IN)-(c_TMAP1IN))*(((K397)-(c_TMAP1IN))*((c_TMAP2OUT)-(c_TMAP1OUT))+IF(((c_TMAP2OUT)-(c_TMAP1OUT))&gt;=0,1,-1)*QUOTIENT(((c_TMAP2IN)-(c_TMAP1IN)),2))+2147483648,4294967296)-2147483648,((c_TMAP2IN)-(c_TMAP1IN))*(((K397)-(c_TMAP1IN))*((c_TMAP2OUT)-(c_TMAP1OUT))+IF(((c_TMAP2OUT)-(c_TMAP1OUT))&gt;=0,1,-1)*QUOTIENT(((c_TMAP2IN)-(c_TMAP1IN)),2)))&gt;=0,1,0)))</f>
        <v>430</v>
      </c>
      <c r="O397" s="7" t="n">
        <f aca="false">IF(((c_TMAP3IN)-(c_TMAP2IN))=0,(c_TMAP2OUT)+QUOTIENT(((c_TMAP3OUT)-(c_TMAP2OUT)),2),QUOTIENT((((K397)-(c_TMAP2IN))*((c_TMAP3OUT)-(c_TMAP2OUT))+IF(((c_TMAP3OUT)-(c_TMAP2OUT))&gt;=0,1,-1)*QUOTIENT(((c_TMAP3IN)-(c_TMAP2IN)),2)),((c_TMAP3IN)-(c_TMAP2IN)))+(c_TMAP2OUT)+IF(((c_TMAP3OUT)-(c_TMAP2OUT))&gt;=0,IF(IF(o_WRAP=1,MOD(((c_TMAP3IN)-(c_TMAP2IN))*(((K397)-(c_TMAP2IN))*((c_TMAP3OUT)-(c_TMAP2OUT))+IF(((c_TMAP3OUT)-(c_TMAP2OUT))&gt;=0,1,-1)*QUOTIENT(((c_TMAP3IN)-(c_TMAP2IN)),2))+2147483648,4294967296)-2147483648,((c_TMAP3IN)-(c_TMAP2IN))*(((K397)-(c_TMAP2IN))*((c_TMAP3OUT)-(c_TMAP2OUT))+IF(((c_TMAP3OUT)-(c_TMAP2OUT))&gt;=0,1,-1)*QUOTIENT(((c_TMAP3IN)-(c_TMAP2IN)),2)))&lt;0,-1,0),IF(IF(o_WRAP=1,MOD(((c_TMAP3IN)-(c_TMAP2IN))*(((K397)-(c_TMAP2IN))*((c_TMAP3OUT)-(c_TMAP2OUT))+IF(((c_TMAP3OUT)-(c_TMAP2OUT))&gt;=0,1,-1)*QUOTIENT(((c_TMAP3IN)-(c_TMAP2IN)),2))+2147483648,4294967296)-2147483648,((c_TMAP3IN)-(c_TMAP2IN))*(((K397)-(c_TMAP2IN))*((c_TMAP3OUT)-(c_TMAP2OUT))+IF(((c_TMAP3OUT)-(c_TMAP2OUT))&gt;=0,1,-1)*QUOTIENT(((c_TMAP3IN)-(c_TMAP2IN)),2)))&gt;=0,1,0)))</f>
        <v>655</v>
      </c>
      <c r="P397" s="7" t="n">
        <f aca="false">IF(((1000)-(c_TMAP3IN))=0,(c_TMAP3OUT)+QUOTIENT(((1000)-(c_TMAP3OUT)),2),QUOTIENT((((K397)-(c_TMAP3IN))*((1000)-(c_TMAP3OUT))+IF(((1000)-(c_TMAP3OUT))&gt;=0,1,-1)*QUOTIENT(((1000)-(c_TMAP3IN)),2)),((1000)-(c_TMAP3IN)))+(c_TMAP3OUT)+IF(((1000)-(c_TMAP3OUT))&gt;=0,IF(IF(o_WRAP=1,MOD(((1000)-(c_TMAP3IN))*(((K397)-(c_TMAP3IN))*((1000)-(c_TMAP3OUT))+IF(((1000)-(c_TMAP3OUT))&gt;=0,1,-1)*QUOTIENT(((1000)-(c_TMAP3IN)),2))+2147483648,4294967296)-2147483648,((1000)-(c_TMAP3IN))*(((K397)-(c_TMAP3IN))*((1000)-(c_TMAP3OUT))+IF(((1000)-(c_TMAP3OUT))&gt;=0,1,-1)*QUOTIENT(((1000)-(c_TMAP3IN)),2)))&lt;0,-1,0),IF(IF(o_WRAP=1,MOD(((1000)-(c_TMAP3IN))*(((K397)-(c_TMAP3IN))*((1000)-(c_TMAP3OUT))+IF(((1000)-(c_TMAP3OUT))&gt;=0,1,-1)*QUOTIENT(((1000)-(c_TMAP3IN)),2))+2147483648,4294967296)-2147483648,((1000)-(c_TMAP3IN))*(((K397)-(c_TMAP3IN))*((1000)-(c_TMAP3OUT))+IF(((1000)-(c_TMAP3OUT))&gt;=0,1,-1)*QUOTIENT(((1000)-(c_TMAP3IN)),2)))&gt;=0,1,0)))</f>
        <v>1000</v>
      </c>
      <c r="Q397" s="7" t="str">
        <f aca="false">IF(K397&gt;=c_TFWD,IF(AND(K397&gt;=c_TMAP3IN,c_TMAP3IN&lt;1000),"Seg4 map3-100%",IF(AND(K397&gt;=c_TMAP2IN,c_TMAP3IN&gt;c_TMAP2IN),"Seg3 map2-map3",IF(AND(K397&gt;=c_TMAP1IN,c_TMAP2IN&gt;c_TMAP1IN),"Seg2 map1-map2","Seg1 TFWD-map1"))),IF(AND(K397=0,c_TCREEP&gt;0),"Creep",IF(AND(K397&lt;=c_TRNGMIN,K397&gt;=c_TRNGMAX,c_TRNGMIN-c_TRNGMAX&lt;&gt;0),"Regen ramp","Coast (0)")))</f>
        <v>Seg4 map3-100%</v>
      </c>
      <c r="R397" s="7" t="n">
        <f aca="false">IF(K397&gt;=c_TFWD,IF(AND(K397&gt;=c_TMAP3IN,c_TMAP3IN&lt;1000),P397,IF(AND(K397&gt;=c_TMAP2IN,c_TMAP3IN&gt;c_TMAP2IN),O397,IF(AND(K397&gt;=c_TMAP1IN,c_TMAP2IN&gt;c_TMAP1IN),N397,M397))),L397)</f>
        <v>1000</v>
      </c>
      <c r="S397" s="7" t="str">
        <f aca="false">IF(R397&lt;-1090,"TOO LOW",IF(R397&gt;1090,"TOO HIGH",""))</f>
        <v/>
      </c>
      <c r="T397" s="15" t="n">
        <f aca="false">IF(H397&lt;&gt;"OK",0,IF(S397&lt;&gt;"",0,IF(R397&gt;979,1000,R397)))</f>
        <v>0</v>
      </c>
      <c r="U397" s="7" t="n">
        <f aca="false">T397/10</f>
        <v>0</v>
      </c>
    </row>
    <row r="398" customFormat="false" ht="15" hidden="false" customHeight="false" outlineLevel="0" collapsed="false">
      <c r="A398" s="7" t="n">
        <v>393</v>
      </c>
      <c r="B398" s="7" t="n">
        <f aca="false">ROUND(o_SWSTART+A398*(o_SWEND-o_SWSTART)/400,0)</f>
        <v>4023</v>
      </c>
      <c r="C398" s="7" t="n">
        <f aca="false">QUOTIENT((B398-c_OFF1)*c_GAIN1,1024)</f>
        <v>4023</v>
      </c>
      <c r="D398" s="7" t="n">
        <f aca="false">IF(((c_T1MX)-(c_T1MN))=0,(0)+QUOTIENT(((1000)-(0)),2),QUOTIENT((((C398)-(c_T1MN))*((1000)-(0))+IF(((1000)-(0))&gt;=0,1,-1)*QUOTIENT(((c_T1MX)-(c_T1MN)),2)),((c_T1MX)-(c_T1MN)))+(0)+IF(((1000)-(0))&gt;=0,IF(IF(o_WRAP=1,MOD(((c_T1MX)-(c_T1MN))*(((C398)-(c_T1MN))*((1000)-(0))+IF(((1000)-(0))&gt;=0,1,-1)*QUOTIENT(((c_T1MX)-(c_T1MN)),2))+2147483648,4294967296)-2147483648,((c_T1MX)-(c_T1MN))*(((C398)-(c_T1MN))*((1000)-(0))+IF(((1000)-(0))&gt;=0,1,-1)*QUOTIENT(((c_T1MX)-(c_T1MN)),2)))&lt;0,-1,0),IF(IF(o_WRAP=1,MOD(((c_T1MX)-(c_T1MN))*(((C398)-(c_T1MN))*((1000)-(0))+IF(((1000)-(0))&gt;=0,1,-1)*QUOTIENT(((c_T1MX)-(c_T1MN)),2))+2147483648,4294967296)-2147483648,((c_T1MX)-(c_T1MN))*(((C398)-(c_T1MN))*((1000)-(0))+IF(((1000)-(0))&gt;=0,1,-1)*QUOTIENT(((c_T1MX)-(c_T1MN)),2)))&gt;=0,1,0)))</f>
        <v>1197</v>
      </c>
      <c r="E398" s="7" t="n">
        <f aca="false">IF(AND(c_TPOT=1,c_TTYPE=2),1000-D398,D398)</f>
        <v>1197</v>
      </c>
      <c r="F398" s="7" t="str">
        <f aca="false">IF(c_TPOT&gt;1,ROUND(IF(c_TTYPE=2,c_T2MX-IF(c_T1MX=c_T1MN,0,(C398-c_T1MN)/(c_T1MX-c_T1MN))*(c_T2MX-c_T2MN),c_T2MN+IF(c_T1MX=c_T1MN,0,(C398-c_T1MN)/(c_T1MX-c_T1MN))*(c_T2MX-c_T2MN))+o_MISMATCH,0),"")</f>
        <v/>
      </c>
      <c r="G398" s="7" t="str">
        <f aca="false">IF(c_TPOT&gt;1,IF(((c_T2MX)-(c_T2MN))=0,(0)+QUOTIENT(((1000)-(0)),2),QUOTIENT((((F398)-(c_T2MN))*((1000)-(0))+IF(((1000)-(0))&gt;=0,1,-1)*QUOTIENT(((c_T2MX)-(c_T2MN)),2)),((c_T2MX)-(c_T2MN)))+(0)+IF(((1000)-(0))&gt;=0,IF(IF(o_WRAP=1,MOD(((c_T2MX)-(c_T2MN))*(((F398)-(c_T2MN))*((1000)-(0))+IF(((1000)-(0))&gt;=0,1,-1)*QUOTIENT(((c_T2MX)-(c_T2MN)),2))+2147483648,4294967296)-2147483648,((c_T2MX)-(c_T2MN))*(((F398)-(c_T2MN))*((1000)-(0))+IF(((1000)-(0))&gt;=0,1,-1)*QUOTIENT(((c_T2MX)-(c_T2MN)),2)))&lt;0,-1,0),IF(IF(o_WRAP=1,MOD(((c_T2MX)-(c_T2MN))*(((F398)-(c_T2MN))*((1000)-(0))+IF(((1000)-(0))&gt;=0,1,-1)*QUOTIENT(((c_T2MX)-(c_T2MN)),2))+2147483648,4294967296)-2147483648,((c_T2MX)-(c_T2MN))*(((F398)-(c_T2MN))*((1000)-(0))+IF(((1000)-(0))&gt;=0,1,-1)*QUOTIENT(((c_T2MX)-(c_T2MN)),2)))&gt;=0,1,0))),"")</f>
        <v/>
      </c>
      <c r="H398" s="7" t="str">
        <f aca="false">IF(E398&gt;1000+k_TOL,"T1 HIGH",IF(E398&lt;0-k_TOL,"T1 LOW",IF(c_TPOT&gt;1,IF(G398&gt;1000+k_TOL,"T2 HIGH",IF(G398&lt;0-k_TOL,"T2 LOW",IF(c_TTYPE=2,IF(ABS(1000-MAX(0,MIN(1000,E398))-MAX(0,MIN(1000,G398)))&gt;k_MAXERR,"MISMATCH","OK"),IF(OR(MAX(0,MIN(1000,E398))-k_MAXERR&gt;MAX(0,MIN(1000,G398)),MAX(0,MIN(1000,G398))-k_MAXERR&gt;MAX(0,MIN(1000,E398))),"MISMATCH","OK")))),"OK")))</f>
        <v>T1 HIGH</v>
      </c>
      <c r="I398" s="7" t="n">
        <f aca="false">MAX(0,MIN(1000,D398))</f>
        <v>1000</v>
      </c>
      <c r="J398" s="7" t="str">
        <f aca="false">IF(c_TPOT&gt;1,IF(c_TTYPE=2,1000-MAX(0,MIN(1000,G398)),MAX(0,MIN(1000,G398))),"")</f>
        <v/>
      </c>
      <c r="K398" s="7" t="n">
        <f aca="false">IF(c_TPOT&gt;1,QUOTIENT(I398+J398,2),I398)</f>
        <v>1000</v>
      </c>
      <c r="L398" s="7" t="n">
        <f aca="false">IF(AND(K398=0,c_TCREEP&gt;0),10*c_TCREEP,IF(AND(K398&lt;=c_TRNGMIN,K398&gt;=c_TRNGMAX,c_TRNGMIN-c_TRNGMAX&lt;&gt;0),-10*c_TMINRN+QUOTIENT((c_TMAXRN-c_TMINRN)*(100-QUOTIENT((K398-c_TRNGMAX)*100,c_TRNGMIN-c_TRNGMAX)),-10),0))</f>
        <v>0</v>
      </c>
      <c r="M398" s="7" t="n">
        <f aca="false">IF(((c_TMAP1IN)-(c_TFWD))=0,(0)+QUOTIENT(((c_TMAP1OUT)-(0)),2),QUOTIENT((((K398)-(c_TFWD))*((c_TMAP1OUT)-(0))+IF(((c_TMAP1OUT)-(0))&gt;=0,1,-1)*QUOTIENT(((c_TMAP1IN)-(c_TFWD)),2)),((c_TMAP1IN)-(c_TFWD)))+(0)+IF(((c_TMAP1OUT)-(0))&gt;=0,IF(IF(o_WRAP=1,MOD(((c_TMAP1IN)-(c_TFWD))*(((K398)-(c_TFWD))*((c_TMAP1OUT)-(0))+IF(((c_TMAP1OUT)-(0))&gt;=0,1,-1)*QUOTIENT(((c_TMAP1IN)-(c_TFWD)),2))+2147483648,4294967296)-2147483648,((c_TMAP1IN)-(c_TFWD))*(((K398)-(c_TFWD))*((c_TMAP1OUT)-(0))+IF(((c_TMAP1OUT)-(0))&gt;=0,1,-1)*QUOTIENT(((c_TMAP1IN)-(c_TFWD)),2)))&lt;0,-1,0),IF(IF(o_WRAP=1,MOD(((c_TMAP1IN)-(c_TFWD))*(((K398)-(c_TFWD))*((c_TMAP1OUT)-(0))+IF(((c_TMAP1OUT)-(0))&gt;=0,1,-1)*QUOTIENT(((c_TMAP1IN)-(c_TFWD)),2))+2147483648,4294967296)-2147483648,((c_TMAP1IN)-(c_TFWD))*(((K398)-(c_TFWD))*((c_TMAP1OUT)-(0))+IF(((c_TMAP1OUT)-(0))&gt;=0,1,-1)*QUOTIENT(((c_TMAP1IN)-(c_TFWD)),2)))&gt;=0,1,0)))</f>
        <v>770</v>
      </c>
      <c r="N398" s="7" t="n">
        <f aca="false">IF(((c_TMAP2IN)-(c_TMAP1IN))=0,(c_TMAP1OUT)+QUOTIENT(((c_TMAP2OUT)-(c_TMAP1OUT)),2),QUOTIENT((((K398)-(c_TMAP1IN))*((c_TMAP2OUT)-(c_TMAP1OUT))+IF(((c_TMAP2OUT)-(c_TMAP1OUT))&gt;=0,1,-1)*QUOTIENT(((c_TMAP2IN)-(c_TMAP1IN)),2)),((c_TMAP2IN)-(c_TMAP1IN)))+(c_TMAP1OUT)+IF(((c_TMAP2OUT)-(c_TMAP1OUT))&gt;=0,IF(IF(o_WRAP=1,MOD(((c_TMAP2IN)-(c_TMAP1IN))*(((K398)-(c_TMAP1IN))*((c_TMAP2OUT)-(c_TMAP1OUT))+IF(((c_TMAP2OUT)-(c_TMAP1OUT))&gt;=0,1,-1)*QUOTIENT(((c_TMAP2IN)-(c_TMAP1IN)),2))+2147483648,4294967296)-2147483648,((c_TMAP2IN)-(c_TMAP1IN))*(((K398)-(c_TMAP1IN))*((c_TMAP2OUT)-(c_TMAP1OUT))+IF(((c_TMAP2OUT)-(c_TMAP1OUT))&gt;=0,1,-1)*QUOTIENT(((c_TMAP2IN)-(c_TMAP1IN)),2)))&lt;0,-1,0),IF(IF(o_WRAP=1,MOD(((c_TMAP2IN)-(c_TMAP1IN))*(((K398)-(c_TMAP1IN))*((c_TMAP2OUT)-(c_TMAP1OUT))+IF(((c_TMAP2OUT)-(c_TMAP1OUT))&gt;=0,1,-1)*QUOTIENT(((c_TMAP2IN)-(c_TMAP1IN)),2))+2147483648,4294967296)-2147483648,((c_TMAP2IN)-(c_TMAP1IN))*(((K398)-(c_TMAP1IN))*((c_TMAP2OUT)-(c_TMAP1OUT))+IF(((c_TMAP2OUT)-(c_TMAP1OUT))&gt;=0,1,-1)*QUOTIENT(((c_TMAP2IN)-(c_TMAP1IN)),2)))&gt;=0,1,0)))</f>
        <v>430</v>
      </c>
      <c r="O398" s="7" t="n">
        <f aca="false">IF(((c_TMAP3IN)-(c_TMAP2IN))=0,(c_TMAP2OUT)+QUOTIENT(((c_TMAP3OUT)-(c_TMAP2OUT)),2),QUOTIENT((((K398)-(c_TMAP2IN))*((c_TMAP3OUT)-(c_TMAP2OUT))+IF(((c_TMAP3OUT)-(c_TMAP2OUT))&gt;=0,1,-1)*QUOTIENT(((c_TMAP3IN)-(c_TMAP2IN)),2)),((c_TMAP3IN)-(c_TMAP2IN)))+(c_TMAP2OUT)+IF(((c_TMAP3OUT)-(c_TMAP2OUT))&gt;=0,IF(IF(o_WRAP=1,MOD(((c_TMAP3IN)-(c_TMAP2IN))*(((K398)-(c_TMAP2IN))*((c_TMAP3OUT)-(c_TMAP2OUT))+IF(((c_TMAP3OUT)-(c_TMAP2OUT))&gt;=0,1,-1)*QUOTIENT(((c_TMAP3IN)-(c_TMAP2IN)),2))+2147483648,4294967296)-2147483648,((c_TMAP3IN)-(c_TMAP2IN))*(((K398)-(c_TMAP2IN))*((c_TMAP3OUT)-(c_TMAP2OUT))+IF(((c_TMAP3OUT)-(c_TMAP2OUT))&gt;=0,1,-1)*QUOTIENT(((c_TMAP3IN)-(c_TMAP2IN)),2)))&lt;0,-1,0),IF(IF(o_WRAP=1,MOD(((c_TMAP3IN)-(c_TMAP2IN))*(((K398)-(c_TMAP2IN))*((c_TMAP3OUT)-(c_TMAP2OUT))+IF(((c_TMAP3OUT)-(c_TMAP2OUT))&gt;=0,1,-1)*QUOTIENT(((c_TMAP3IN)-(c_TMAP2IN)),2))+2147483648,4294967296)-2147483648,((c_TMAP3IN)-(c_TMAP2IN))*(((K398)-(c_TMAP2IN))*((c_TMAP3OUT)-(c_TMAP2OUT))+IF(((c_TMAP3OUT)-(c_TMAP2OUT))&gt;=0,1,-1)*QUOTIENT(((c_TMAP3IN)-(c_TMAP2IN)),2)))&gt;=0,1,0)))</f>
        <v>655</v>
      </c>
      <c r="P398" s="7" t="n">
        <f aca="false">IF(((1000)-(c_TMAP3IN))=0,(c_TMAP3OUT)+QUOTIENT(((1000)-(c_TMAP3OUT)),2),QUOTIENT((((K398)-(c_TMAP3IN))*((1000)-(c_TMAP3OUT))+IF(((1000)-(c_TMAP3OUT))&gt;=0,1,-1)*QUOTIENT(((1000)-(c_TMAP3IN)),2)),((1000)-(c_TMAP3IN)))+(c_TMAP3OUT)+IF(((1000)-(c_TMAP3OUT))&gt;=0,IF(IF(o_WRAP=1,MOD(((1000)-(c_TMAP3IN))*(((K398)-(c_TMAP3IN))*((1000)-(c_TMAP3OUT))+IF(((1000)-(c_TMAP3OUT))&gt;=0,1,-1)*QUOTIENT(((1000)-(c_TMAP3IN)),2))+2147483648,4294967296)-2147483648,((1000)-(c_TMAP3IN))*(((K398)-(c_TMAP3IN))*((1000)-(c_TMAP3OUT))+IF(((1000)-(c_TMAP3OUT))&gt;=0,1,-1)*QUOTIENT(((1000)-(c_TMAP3IN)),2)))&lt;0,-1,0),IF(IF(o_WRAP=1,MOD(((1000)-(c_TMAP3IN))*(((K398)-(c_TMAP3IN))*((1000)-(c_TMAP3OUT))+IF(((1000)-(c_TMAP3OUT))&gt;=0,1,-1)*QUOTIENT(((1000)-(c_TMAP3IN)),2))+2147483648,4294967296)-2147483648,((1000)-(c_TMAP3IN))*(((K398)-(c_TMAP3IN))*((1000)-(c_TMAP3OUT))+IF(((1000)-(c_TMAP3OUT))&gt;=0,1,-1)*QUOTIENT(((1000)-(c_TMAP3IN)),2)))&gt;=0,1,0)))</f>
        <v>1000</v>
      </c>
      <c r="Q398" s="7" t="str">
        <f aca="false">IF(K398&gt;=c_TFWD,IF(AND(K398&gt;=c_TMAP3IN,c_TMAP3IN&lt;1000),"Seg4 map3-100%",IF(AND(K398&gt;=c_TMAP2IN,c_TMAP3IN&gt;c_TMAP2IN),"Seg3 map2-map3",IF(AND(K398&gt;=c_TMAP1IN,c_TMAP2IN&gt;c_TMAP1IN),"Seg2 map1-map2","Seg1 TFWD-map1"))),IF(AND(K398=0,c_TCREEP&gt;0),"Creep",IF(AND(K398&lt;=c_TRNGMIN,K398&gt;=c_TRNGMAX,c_TRNGMIN-c_TRNGMAX&lt;&gt;0),"Regen ramp","Coast (0)")))</f>
        <v>Seg4 map3-100%</v>
      </c>
      <c r="R398" s="7" t="n">
        <f aca="false">IF(K398&gt;=c_TFWD,IF(AND(K398&gt;=c_TMAP3IN,c_TMAP3IN&lt;1000),P398,IF(AND(K398&gt;=c_TMAP2IN,c_TMAP3IN&gt;c_TMAP2IN),O398,IF(AND(K398&gt;=c_TMAP1IN,c_TMAP2IN&gt;c_TMAP1IN),N398,M398))),L398)</f>
        <v>1000</v>
      </c>
      <c r="S398" s="7" t="str">
        <f aca="false">IF(R398&lt;-1090,"TOO LOW",IF(R398&gt;1090,"TOO HIGH",""))</f>
        <v/>
      </c>
      <c r="T398" s="15" t="n">
        <f aca="false">IF(H398&lt;&gt;"OK",0,IF(S398&lt;&gt;"",0,IF(R398&gt;979,1000,R398)))</f>
        <v>0</v>
      </c>
      <c r="U398" s="7" t="n">
        <f aca="false">T398/10</f>
        <v>0</v>
      </c>
    </row>
    <row r="399" customFormat="false" ht="15" hidden="false" customHeight="false" outlineLevel="0" collapsed="false">
      <c r="A399" s="7" t="n">
        <v>394</v>
      </c>
      <c r="B399" s="7" t="n">
        <f aca="false">ROUND(o_SWSTART+A399*(o_SWEND-o_SWSTART)/400,0)</f>
        <v>4034</v>
      </c>
      <c r="C399" s="7" t="n">
        <f aca="false">QUOTIENT((B399-c_OFF1)*c_GAIN1,1024)</f>
        <v>4034</v>
      </c>
      <c r="D399" s="7" t="n">
        <f aca="false">IF(((c_T1MX)-(c_T1MN))=0,(0)+QUOTIENT(((1000)-(0)),2),QUOTIENT((((C399)-(c_T1MN))*((1000)-(0))+IF(((1000)-(0))&gt;=0,1,-1)*QUOTIENT(((c_T1MX)-(c_T1MN)),2)),((c_T1MX)-(c_T1MN)))+(0)+IF(((1000)-(0))&gt;=0,IF(IF(o_WRAP=1,MOD(((c_T1MX)-(c_T1MN))*(((C399)-(c_T1MN))*((1000)-(0))+IF(((1000)-(0))&gt;=0,1,-1)*QUOTIENT(((c_T1MX)-(c_T1MN)),2))+2147483648,4294967296)-2147483648,((c_T1MX)-(c_T1MN))*(((C399)-(c_T1MN))*((1000)-(0))+IF(((1000)-(0))&gt;=0,1,-1)*QUOTIENT(((c_T1MX)-(c_T1MN)),2)))&lt;0,-1,0),IF(IF(o_WRAP=1,MOD(((c_T1MX)-(c_T1MN))*(((C399)-(c_T1MN))*((1000)-(0))+IF(((1000)-(0))&gt;=0,1,-1)*QUOTIENT(((c_T1MX)-(c_T1MN)),2))+2147483648,4294967296)-2147483648,((c_T1MX)-(c_T1MN))*(((C399)-(c_T1MN))*((1000)-(0))+IF(((1000)-(0))&gt;=0,1,-1)*QUOTIENT(((c_T1MX)-(c_T1MN)),2)))&gt;=0,1,0)))</f>
        <v>1201</v>
      </c>
      <c r="E399" s="7" t="n">
        <f aca="false">IF(AND(c_TPOT=1,c_TTYPE=2),1000-D399,D399)</f>
        <v>1201</v>
      </c>
      <c r="F399" s="7" t="str">
        <f aca="false">IF(c_TPOT&gt;1,ROUND(IF(c_TTYPE=2,c_T2MX-IF(c_T1MX=c_T1MN,0,(C399-c_T1MN)/(c_T1MX-c_T1MN))*(c_T2MX-c_T2MN),c_T2MN+IF(c_T1MX=c_T1MN,0,(C399-c_T1MN)/(c_T1MX-c_T1MN))*(c_T2MX-c_T2MN))+o_MISMATCH,0),"")</f>
        <v/>
      </c>
      <c r="G399" s="7" t="str">
        <f aca="false">IF(c_TPOT&gt;1,IF(((c_T2MX)-(c_T2MN))=0,(0)+QUOTIENT(((1000)-(0)),2),QUOTIENT((((F399)-(c_T2MN))*((1000)-(0))+IF(((1000)-(0))&gt;=0,1,-1)*QUOTIENT(((c_T2MX)-(c_T2MN)),2)),((c_T2MX)-(c_T2MN)))+(0)+IF(((1000)-(0))&gt;=0,IF(IF(o_WRAP=1,MOD(((c_T2MX)-(c_T2MN))*(((F399)-(c_T2MN))*((1000)-(0))+IF(((1000)-(0))&gt;=0,1,-1)*QUOTIENT(((c_T2MX)-(c_T2MN)),2))+2147483648,4294967296)-2147483648,((c_T2MX)-(c_T2MN))*(((F399)-(c_T2MN))*((1000)-(0))+IF(((1000)-(0))&gt;=0,1,-1)*QUOTIENT(((c_T2MX)-(c_T2MN)),2)))&lt;0,-1,0),IF(IF(o_WRAP=1,MOD(((c_T2MX)-(c_T2MN))*(((F399)-(c_T2MN))*((1000)-(0))+IF(((1000)-(0))&gt;=0,1,-1)*QUOTIENT(((c_T2MX)-(c_T2MN)),2))+2147483648,4294967296)-2147483648,((c_T2MX)-(c_T2MN))*(((F399)-(c_T2MN))*((1000)-(0))+IF(((1000)-(0))&gt;=0,1,-1)*QUOTIENT(((c_T2MX)-(c_T2MN)),2)))&gt;=0,1,0))),"")</f>
        <v/>
      </c>
      <c r="H399" s="7" t="str">
        <f aca="false">IF(E399&gt;1000+k_TOL,"T1 HIGH",IF(E399&lt;0-k_TOL,"T1 LOW",IF(c_TPOT&gt;1,IF(G399&gt;1000+k_TOL,"T2 HIGH",IF(G399&lt;0-k_TOL,"T2 LOW",IF(c_TTYPE=2,IF(ABS(1000-MAX(0,MIN(1000,E399))-MAX(0,MIN(1000,G399)))&gt;k_MAXERR,"MISMATCH","OK"),IF(OR(MAX(0,MIN(1000,E399))-k_MAXERR&gt;MAX(0,MIN(1000,G399)),MAX(0,MIN(1000,G399))-k_MAXERR&gt;MAX(0,MIN(1000,E399))),"MISMATCH","OK")))),"OK")))</f>
        <v>T1 HIGH</v>
      </c>
      <c r="I399" s="7" t="n">
        <f aca="false">MAX(0,MIN(1000,D399))</f>
        <v>1000</v>
      </c>
      <c r="J399" s="7" t="str">
        <f aca="false">IF(c_TPOT&gt;1,IF(c_TTYPE=2,1000-MAX(0,MIN(1000,G399)),MAX(0,MIN(1000,G399))),"")</f>
        <v/>
      </c>
      <c r="K399" s="7" t="n">
        <f aca="false">IF(c_TPOT&gt;1,QUOTIENT(I399+J399,2),I399)</f>
        <v>1000</v>
      </c>
      <c r="L399" s="7" t="n">
        <f aca="false">IF(AND(K399=0,c_TCREEP&gt;0),10*c_TCREEP,IF(AND(K399&lt;=c_TRNGMIN,K399&gt;=c_TRNGMAX,c_TRNGMIN-c_TRNGMAX&lt;&gt;0),-10*c_TMINRN+QUOTIENT((c_TMAXRN-c_TMINRN)*(100-QUOTIENT((K399-c_TRNGMAX)*100,c_TRNGMIN-c_TRNGMAX)),-10),0))</f>
        <v>0</v>
      </c>
      <c r="M399" s="7" t="n">
        <f aca="false">IF(((c_TMAP1IN)-(c_TFWD))=0,(0)+QUOTIENT(((c_TMAP1OUT)-(0)),2),QUOTIENT((((K399)-(c_TFWD))*((c_TMAP1OUT)-(0))+IF(((c_TMAP1OUT)-(0))&gt;=0,1,-1)*QUOTIENT(((c_TMAP1IN)-(c_TFWD)),2)),((c_TMAP1IN)-(c_TFWD)))+(0)+IF(((c_TMAP1OUT)-(0))&gt;=0,IF(IF(o_WRAP=1,MOD(((c_TMAP1IN)-(c_TFWD))*(((K399)-(c_TFWD))*((c_TMAP1OUT)-(0))+IF(((c_TMAP1OUT)-(0))&gt;=0,1,-1)*QUOTIENT(((c_TMAP1IN)-(c_TFWD)),2))+2147483648,4294967296)-2147483648,((c_TMAP1IN)-(c_TFWD))*(((K399)-(c_TFWD))*((c_TMAP1OUT)-(0))+IF(((c_TMAP1OUT)-(0))&gt;=0,1,-1)*QUOTIENT(((c_TMAP1IN)-(c_TFWD)),2)))&lt;0,-1,0),IF(IF(o_WRAP=1,MOD(((c_TMAP1IN)-(c_TFWD))*(((K399)-(c_TFWD))*((c_TMAP1OUT)-(0))+IF(((c_TMAP1OUT)-(0))&gt;=0,1,-1)*QUOTIENT(((c_TMAP1IN)-(c_TFWD)),2))+2147483648,4294967296)-2147483648,((c_TMAP1IN)-(c_TFWD))*(((K399)-(c_TFWD))*((c_TMAP1OUT)-(0))+IF(((c_TMAP1OUT)-(0))&gt;=0,1,-1)*QUOTIENT(((c_TMAP1IN)-(c_TFWD)),2)))&gt;=0,1,0)))</f>
        <v>770</v>
      </c>
      <c r="N399" s="7" t="n">
        <f aca="false">IF(((c_TMAP2IN)-(c_TMAP1IN))=0,(c_TMAP1OUT)+QUOTIENT(((c_TMAP2OUT)-(c_TMAP1OUT)),2),QUOTIENT((((K399)-(c_TMAP1IN))*((c_TMAP2OUT)-(c_TMAP1OUT))+IF(((c_TMAP2OUT)-(c_TMAP1OUT))&gt;=0,1,-1)*QUOTIENT(((c_TMAP2IN)-(c_TMAP1IN)),2)),((c_TMAP2IN)-(c_TMAP1IN)))+(c_TMAP1OUT)+IF(((c_TMAP2OUT)-(c_TMAP1OUT))&gt;=0,IF(IF(o_WRAP=1,MOD(((c_TMAP2IN)-(c_TMAP1IN))*(((K399)-(c_TMAP1IN))*((c_TMAP2OUT)-(c_TMAP1OUT))+IF(((c_TMAP2OUT)-(c_TMAP1OUT))&gt;=0,1,-1)*QUOTIENT(((c_TMAP2IN)-(c_TMAP1IN)),2))+2147483648,4294967296)-2147483648,((c_TMAP2IN)-(c_TMAP1IN))*(((K399)-(c_TMAP1IN))*((c_TMAP2OUT)-(c_TMAP1OUT))+IF(((c_TMAP2OUT)-(c_TMAP1OUT))&gt;=0,1,-1)*QUOTIENT(((c_TMAP2IN)-(c_TMAP1IN)),2)))&lt;0,-1,0),IF(IF(o_WRAP=1,MOD(((c_TMAP2IN)-(c_TMAP1IN))*(((K399)-(c_TMAP1IN))*((c_TMAP2OUT)-(c_TMAP1OUT))+IF(((c_TMAP2OUT)-(c_TMAP1OUT))&gt;=0,1,-1)*QUOTIENT(((c_TMAP2IN)-(c_TMAP1IN)),2))+2147483648,4294967296)-2147483648,((c_TMAP2IN)-(c_TMAP1IN))*(((K399)-(c_TMAP1IN))*((c_TMAP2OUT)-(c_TMAP1OUT))+IF(((c_TMAP2OUT)-(c_TMAP1OUT))&gt;=0,1,-1)*QUOTIENT(((c_TMAP2IN)-(c_TMAP1IN)),2)))&gt;=0,1,0)))</f>
        <v>430</v>
      </c>
      <c r="O399" s="7" t="n">
        <f aca="false">IF(((c_TMAP3IN)-(c_TMAP2IN))=0,(c_TMAP2OUT)+QUOTIENT(((c_TMAP3OUT)-(c_TMAP2OUT)),2),QUOTIENT((((K399)-(c_TMAP2IN))*((c_TMAP3OUT)-(c_TMAP2OUT))+IF(((c_TMAP3OUT)-(c_TMAP2OUT))&gt;=0,1,-1)*QUOTIENT(((c_TMAP3IN)-(c_TMAP2IN)),2)),((c_TMAP3IN)-(c_TMAP2IN)))+(c_TMAP2OUT)+IF(((c_TMAP3OUT)-(c_TMAP2OUT))&gt;=0,IF(IF(o_WRAP=1,MOD(((c_TMAP3IN)-(c_TMAP2IN))*(((K399)-(c_TMAP2IN))*((c_TMAP3OUT)-(c_TMAP2OUT))+IF(((c_TMAP3OUT)-(c_TMAP2OUT))&gt;=0,1,-1)*QUOTIENT(((c_TMAP3IN)-(c_TMAP2IN)),2))+2147483648,4294967296)-2147483648,((c_TMAP3IN)-(c_TMAP2IN))*(((K399)-(c_TMAP2IN))*((c_TMAP3OUT)-(c_TMAP2OUT))+IF(((c_TMAP3OUT)-(c_TMAP2OUT))&gt;=0,1,-1)*QUOTIENT(((c_TMAP3IN)-(c_TMAP2IN)),2)))&lt;0,-1,0),IF(IF(o_WRAP=1,MOD(((c_TMAP3IN)-(c_TMAP2IN))*(((K399)-(c_TMAP2IN))*((c_TMAP3OUT)-(c_TMAP2OUT))+IF(((c_TMAP3OUT)-(c_TMAP2OUT))&gt;=0,1,-1)*QUOTIENT(((c_TMAP3IN)-(c_TMAP2IN)),2))+2147483648,4294967296)-2147483648,((c_TMAP3IN)-(c_TMAP2IN))*(((K399)-(c_TMAP2IN))*((c_TMAP3OUT)-(c_TMAP2OUT))+IF(((c_TMAP3OUT)-(c_TMAP2OUT))&gt;=0,1,-1)*QUOTIENT(((c_TMAP3IN)-(c_TMAP2IN)),2)))&gt;=0,1,0)))</f>
        <v>655</v>
      </c>
      <c r="P399" s="7" t="n">
        <f aca="false">IF(((1000)-(c_TMAP3IN))=0,(c_TMAP3OUT)+QUOTIENT(((1000)-(c_TMAP3OUT)),2),QUOTIENT((((K399)-(c_TMAP3IN))*((1000)-(c_TMAP3OUT))+IF(((1000)-(c_TMAP3OUT))&gt;=0,1,-1)*QUOTIENT(((1000)-(c_TMAP3IN)),2)),((1000)-(c_TMAP3IN)))+(c_TMAP3OUT)+IF(((1000)-(c_TMAP3OUT))&gt;=0,IF(IF(o_WRAP=1,MOD(((1000)-(c_TMAP3IN))*(((K399)-(c_TMAP3IN))*((1000)-(c_TMAP3OUT))+IF(((1000)-(c_TMAP3OUT))&gt;=0,1,-1)*QUOTIENT(((1000)-(c_TMAP3IN)),2))+2147483648,4294967296)-2147483648,((1000)-(c_TMAP3IN))*(((K399)-(c_TMAP3IN))*((1000)-(c_TMAP3OUT))+IF(((1000)-(c_TMAP3OUT))&gt;=0,1,-1)*QUOTIENT(((1000)-(c_TMAP3IN)),2)))&lt;0,-1,0),IF(IF(o_WRAP=1,MOD(((1000)-(c_TMAP3IN))*(((K399)-(c_TMAP3IN))*((1000)-(c_TMAP3OUT))+IF(((1000)-(c_TMAP3OUT))&gt;=0,1,-1)*QUOTIENT(((1000)-(c_TMAP3IN)),2))+2147483648,4294967296)-2147483648,((1000)-(c_TMAP3IN))*(((K399)-(c_TMAP3IN))*((1000)-(c_TMAP3OUT))+IF(((1000)-(c_TMAP3OUT))&gt;=0,1,-1)*QUOTIENT(((1000)-(c_TMAP3IN)),2)))&gt;=0,1,0)))</f>
        <v>1000</v>
      </c>
      <c r="Q399" s="7" t="str">
        <f aca="false">IF(K399&gt;=c_TFWD,IF(AND(K399&gt;=c_TMAP3IN,c_TMAP3IN&lt;1000),"Seg4 map3-100%",IF(AND(K399&gt;=c_TMAP2IN,c_TMAP3IN&gt;c_TMAP2IN),"Seg3 map2-map3",IF(AND(K399&gt;=c_TMAP1IN,c_TMAP2IN&gt;c_TMAP1IN),"Seg2 map1-map2","Seg1 TFWD-map1"))),IF(AND(K399=0,c_TCREEP&gt;0),"Creep",IF(AND(K399&lt;=c_TRNGMIN,K399&gt;=c_TRNGMAX,c_TRNGMIN-c_TRNGMAX&lt;&gt;0),"Regen ramp","Coast (0)")))</f>
        <v>Seg4 map3-100%</v>
      </c>
      <c r="R399" s="7" t="n">
        <f aca="false">IF(K399&gt;=c_TFWD,IF(AND(K399&gt;=c_TMAP3IN,c_TMAP3IN&lt;1000),P399,IF(AND(K399&gt;=c_TMAP2IN,c_TMAP3IN&gt;c_TMAP2IN),O399,IF(AND(K399&gt;=c_TMAP1IN,c_TMAP2IN&gt;c_TMAP1IN),N399,M399))),L399)</f>
        <v>1000</v>
      </c>
      <c r="S399" s="7" t="str">
        <f aca="false">IF(R399&lt;-1090,"TOO LOW",IF(R399&gt;1090,"TOO HIGH",""))</f>
        <v/>
      </c>
      <c r="T399" s="15" t="n">
        <f aca="false">IF(H399&lt;&gt;"OK",0,IF(S399&lt;&gt;"",0,IF(R399&gt;979,1000,R399)))</f>
        <v>0</v>
      </c>
      <c r="U399" s="7" t="n">
        <f aca="false">T399/10</f>
        <v>0</v>
      </c>
    </row>
    <row r="400" customFormat="false" ht="15" hidden="false" customHeight="false" outlineLevel="0" collapsed="false">
      <c r="A400" s="7" t="n">
        <v>395</v>
      </c>
      <c r="B400" s="7" t="n">
        <f aca="false">ROUND(o_SWSTART+A400*(o_SWEND-o_SWSTART)/400,0)</f>
        <v>4044</v>
      </c>
      <c r="C400" s="7" t="n">
        <f aca="false">QUOTIENT((B400-c_OFF1)*c_GAIN1,1024)</f>
        <v>4044</v>
      </c>
      <c r="D400" s="7" t="n">
        <f aca="false">IF(((c_T1MX)-(c_T1MN))=0,(0)+QUOTIENT(((1000)-(0)),2),QUOTIENT((((C400)-(c_T1MN))*((1000)-(0))+IF(((1000)-(0))&gt;=0,1,-1)*QUOTIENT(((c_T1MX)-(c_T1MN)),2)),((c_T1MX)-(c_T1MN)))+(0)+IF(((1000)-(0))&gt;=0,IF(IF(o_WRAP=1,MOD(((c_T1MX)-(c_T1MN))*(((C400)-(c_T1MN))*((1000)-(0))+IF(((1000)-(0))&gt;=0,1,-1)*QUOTIENT(((c_T1MX)-(c_T1MN)),2))+2147483648,4294967296)-2147483648,((c_T1MX)-(c_T1MN))*(((C400)-(c_T1MN))*((1000)-(0))+IF(((1000)-(0))&gt;=0,1,-1)*QUOTIENT(((c_T1MX)-(c_T1MN)),2)))&lt;0,-1,0),IF(IF(o_WRAP=1,MOD(((c_T1MX)-(c_T1MN))*(((C400)-(c_T1MN))*((1000)-(0))+IF(((1000)-(0))&gt;=0,1,-1)*QUOTIENT(((c_T1MX)-(c_T1MN)),2))+2147483648,4294967296)-2147483648,((c_T1MX)-(c_T1MN))*(((C400)-(c_T1MN))*((1000)-(0))+IF(((1000)-(0))&gt;=0,1,-1)*QUOTIENT(((c_T1MX)-(c_T1MN)),2)))&gt;=0,1,0)))</f>
        <v>1205</v>
      </c>
      <c r="E400" s="7" t="n">
        <f aca="false">IF(AND(c_TPOT=1,c_TTYPE=2),1000-D400,D400)</f>
        <v>1205</v>
      </c>
      <c r="F400" s="7" t="str">
        <f aca="false">IF(c_TPOT&gt;1,ROUND(IF(c_TTYPE=2,c_T2MX-IF(c_T1MX=c_T1MN,0,(C400-c_T1MN)/(c_T1MX-c_T1MN))*(c_T2MX-c_T2MN),c_T2MN+IF(c_T1MX=c_T1MN,0,(C400-c_T1MN)/(c_T1MX-c_T1MN))*(c_T2MX-c_T2MN))+o_MISMATCH,0),"")</f>
        <v/>
      </c>
      <c r="G400" s="7" t="str">
        <f aca="false">IF(c_TPOT&gt;1,IF(((c_T2MX)-(c_T2MN))=0,(0)+QUOTIENT(((1000)-(0)),2),QUOTIENT((((F400)-(c_T2MN))*((1000)-(0))+IF(((1000)-(0))&gt;=0,1,-1)*QUOTIENT(((c_T2MX)-(c_T2MN)),2)),((c_T2MX)-(c_T2MN)))+(0)+IF(((1000)-(0))&gt;=0,IF(IF(o_WRAP=1,MOD(((c_T2MX)-(c_T2MN))*(((F400)-(c_T2MN))*((1000)-(0))+IF(((1000)-(0))&gt;=0,1,-1)*QUOTIENT(((c_T2MX)-(c_T2MN)),2))+2147483648,4294967296)-2147483648,((c_T2MX)-(c_T2MN))*(((F400)-(c_T2MN))*((1000)-(0))+IF(((1000)-(0))&gt;=0,1,-1)*QUOTIENT(((c_T2MX)-(c_T2MN)),2)))&lt;0,-1,0),IF(IF(o_WRAP=1,MOD(((c_T2MX)-(c_T2MN))*(((F400)-(c_T2MN))*((1000)-(0))+IF(((1000)-(0))&gt;=0,1,-1)*QUOTIENT(((c_T2MX)-(c_T2MN)),2))+2147483648,4294967296)-2147483648,((c_T2MX)-(c_T2MN))*(((F400)-(c_T2MN))*((1000)-(0))+IF(((1000)-(0))&gt;=0,1,-1)*QUOTIENT(((c_T2MX)-(c_T2MN)),2)))&gt;=0,1,0))),"")</f>
        <v/>
      </c>
      <c r="H400" s="7" t="str">
        <f aca="false">IF(E400&gt;1000+k_TOL,"T1 HIGH",IF(E400&lt;0-k_TOL,"T1 LOW",IF(c_TPOT&gt;1,IF(G400&gt;1000+k_TOL,"T2 HIGH",IF(G400&lt;0-k_TOL,"T2 LOW",IF(c_TTYPE=2,IF(ABS(1000-MAX(0,MIN(1000,E400))-MAX(0,MIN(1000,G400)))&gt;k_MAXERR,"MISMATCH","OK"),IF(OR(MAX(0,MIN(1000,E400))-k_MAXERR&gt;MAX(0,MIN(1000,G400)),MAX(0,MIN(1000,G400))-k_MAXERR&gt;MAX(0,MIN(1000,E400))),"MISMATCH","OK")))),"OK")))</f>
        <v>T1 HIGH</v>
      </c>
      <c r="I400" s="7" t="n">
        <f aca="false">MAX(0,MIN(1000,D400))</f>
        <v>1000</v>
      </c>
      <c r="J400" s="7" t="str">
        <f aca="false">IF(c_TPOT&gt;1,IF(c_TTYPE=2,1000-MAX(0,MIN(1000,G400)),MAX(0,MIN(1000,G400))),"")</f>
        <v/>
      </c>
      <c r="K400" s="7" t="n">
        <f aca="false">IF(c_TPOT&gt;1,QUOTIENT(I400+J400,2),I400)</f>
        <v>1000</v>
      </c>
      <c r="L400" s="7" t="n">
        <f aca="false">IF(AND(K400=0,c_TCREEP&gt;0),10*c_TCREEP,IF(AND(K400&lt;=c_TRNGMIN,K400&gt;=c_TRNGMAX,c_TRNGMIN-c_TRNGMAX&lt;&gt;0),-10*c_TMINRN+QUOTIENT((c_TMAXRN-c_TMINRN)*(100-QUOTIENT((K400-c_TRNGMAX)*100,c_TRNGMIN-c_TRNGMAX)),-10),0))</f>
        <v>0</v>
      </c>
      <c r="M400" s="7" t="n">
        <f aca="false">IF(((c_TMAP1IN)-(c_TFWD))=0,(0)+QUOTIENT(((c_TMAP1OUT)-(0)),2),QUOTIENT((((K400)-(c_TFWD))*((c_TMAP1OUT)-(0))+IF(((c_TMAP1OUT)-(0))&gt;=0,1,-1)*QUOTIENT(((c_TMAP1IN)-(c_TFWD)),2)),((c_TMAP1IN)-(c_TFWD)))+(0)+IF(((c_TMAP1OUT)-(0))&gt;=0,IF(IF(o_WRAP=1,MOD(((c_TMAP1IN)-(c_TFWD))*(((K400)-(c_TFWD))*((c_TMAP1OUT)-(0))+IF(((c_TMAP1OUT)-(0))&gt;=0,1,-1)*QUOTIENT(((c_TMAP1IN)-(c_TFWD)),2))+2147483648,4294967296)-2147483648,((c_TMAP1IN)-(c_TFWD))*(((K400)-(c_TFWD))*((c_TMAP1OUT)-(0))+IF(((c_TMAP1OUT)-(0))&gt;=0,1,-1)*QUOTIENT(((c_TMAP1IN)-(c_TFWD)),2)))&lt;0,-1,0),IF(IF(o_WRAP=1,MOD(((c_TMAP1IN)-(c_TFWD))*(((K400)-(c_TFWD))*((c_TMAP1OUT)-(0))+IF(((c_TMAP1OUT)-(0))&gt;=0,1,-1)*QUOTIENT(((c_TMAP1IN)-(c_TFWD)),2))+2147483648,4294967296)-2147483648,((c_TMAP1IN)-(c_TFWD))*(((K400)-(c_TFWD))*((c_TMAP1OUT)-(0))+IF(((c_TMAP1OUT)-(0))&gt;=0,1,-1)*QUOTIENT(((c_TMAP1IN)-(c_TFWD)),2)))&gt;=0,1,0)))</f>
        <v>770</v>
      </c>
      <c r="N400" s="7" t="n">
        <f aca="false">IF(((c_TMAP2IN)-(c_TMAP1IN))=0,(c_TMAP1OUT)+QUOTIENT(((c_TMAP2OUT)-(c_TMAP1OUT)),2),QUOTIENT((((K400)-(c_TMAP1IN))*((c_TMAP2OUT)-(c_TMAP1OUT))+IF(((c_TMAP2OUT)-(c_TMAP1OUT))&gt;=0,1,-1)*QUOTIENT(((c_TMAP2IN)-(c_TMAP1IN)),2)),((c_TMAP2IN)-(c_TMAP1IN)))+(c_TMAP1OUT)+IF(((c_TMAP2OUT)-(c_TMAP1OUT))&gt;=0,IF(IF(o_WRAP=1,MOD(((c_TMAP2IN)-(c_TMAP1IN))*(((K400)-(c_TMAP1IN))*((c_TMAP2OUT)-(c_TMAP1OUT))+IF(((c_TMAP2OUT)-(c_TMAP1OUT))&gt;=0,1,-1)*QUOTIENT(((c_TMAP2IN)-(c_TMAP1IN)),2))+2147483648,4294967296)-2147483648,((c_TMAP2IN)-(c_TMAP1IN))*(((K400)-(c_TMAP1IN))*((c_TMAP2OUT)-(c_TMAP1OUT))+IF(((c_TMAP2OUT)-(c_TMAP1OUT))&gt;=0,1,-1)*QUOTIENT(((c_TMAP2IN)-(c_TMAP1IN)),2)))&lt;0,-1,0),IF(IF(o_WRAP=1,MOD(((c_TMAP2IN)-(c_TMAP1IN))*(((K400)-(c_TMAP1IN))*((c_TMAP2OUT)-(c_TMAP1OUT))+IF(((c_TMAP2OUT)-(c_TMAP1OUT))&gt;=0,1,-1)*QUOTIENT(((c_TMAP2IN)-(c_TMAP1IN)),2))+2147483648,4294967296)-2147483648,((c_TMAP2IN)-(c_TMAP1IN))*(((K400)-(c_TMAP1IN))*((c_TMAP2OUT)-(c_TMAP1OUT))+IF(((c_TMAP2OUT)-(c_TMAP1OUT))&gt;=0,1,-1)*QUOTIENT(((c_TMAP2IN)-(c_TMAP1IN)),2)))&gt;=0,1,0)))</f>
        <v>430</v>
      </c>
      <c r="O400" s="7" t="n">
        <f aca="false">IF(((c_TMAP3IN)-(c_TMAP2IN))=0,(c_TMAP2OUT)+QUOTIENT(((c_TMAP3OUT)-(c_TMAP2OUT)),2),QUOTIENT((((K400)-(c_TMAP2IN))*((c_TMAP3OUT)-(c_TMAP2OUT))+IF(((c_TMAP3OUT)-(c_TMAP2OUT))&gt;=0,1,-1)*QUOTIENT(((c_TMAP3IN)-(c_TMAP2IN)),2)),((c_TMAP3IN)-(c_TMAP2IN)))+(c_TMAP2OUT)+IF(((c_TMAP3OUT)-(c_TMAP2OUT))&gt;=0,IF(IF(o_WRAP=1,MOD(((c_TMAP3IN)-(c_TMAP2IN))*(((K400)-(c_TMAP2IN))*((c_TMAP3OUT)-(c_TMAP2OUT))+IF(((c_TMAP3OUT)-(c_TMAP2OUT))&gt;=0,1,-1)*QUOTIENT(((c_TMAP3IN)-(c_TMAP2IN)),2))+2147483648,4294967296)-2147483648,((c_TMAP3IN)-(c_TMAP2IN))*(((K400)-(c_TMAP2IN))*((c_TMAP3OUT)-(c_TMAP2OUT))+IF(((c_TMAP3OUT)-(c_TMAP2OUT))&gt;=0,1,-1)*QUOTIENT(((c_TMAP3IN)-(c_TMAP2IN)),2)))&lt;0,-1,0),IF(IF(o_WRAP=1,MOD(((c_TMAP3IN)-(c_TMAP2IN))*(((K400)-(c_TMAP2IN))*((c_TMAP3OUT)-(c_TMAP2OUT))+IF(((c_TMAP3OUT)-(c_TMAP2OUT))&gt;=0,1,-1)*QUOTIENT(((c_TMAP3IN)-(c_TMAP2IN)),2))+2147483648,4294967296)-2147483648,((c_TMAP3IN)-(c_TMAP2IN))*(((K400)-(c_TMAP2IN))*((c_TMAP3OUT)-(c_TMAP2OUT))+IF(((c_TMAP3OUT)-(c_TMAP2OUT))&gt;=0,1,-1)*QUOTIENT(((c_TMAP3IN)-(c_TMAP2IN)),2)))&gt;=0,1,0)))</f>
        <v>655</v>
      </c>
      <c r="P400" s="7" t="n">
        <f aca="false">IF(((1000)-(c_TMAP3IN))=0,(c_TMAP3OUT)+QUOTIENT(((1000)-(c_TMAP3OUT)),2),QUOTIENT((((K400)-(c_TMAP3IN))*((1000)-(c_TMAP3OUT))+IF(((1000)-(c_TMAP3OUT))&gt;=0,1,-1)*QUOTIENT(((1000)-(c_TMAP3IN)),2)),((1000)-(c_TMAP3IN)))+(c_TMAP3OUT)+IF(((1000)-(c_TMAP3OUT))&gt;=0,IF(IF(o_WRAP=1,MOD(((1000)-(c_TMAP3IN))*(((K400)-(c_TMAP3IN))*((1000)-(c_TMAP3OUT))+IF(((1000)-(c_TMAP3OUT))&gt;=0,1,-1)*QUOTIENT(((1000)-(c_TMAP3IN)),2))+2147483648,4294967296)-2147483648,((1000)-(c_TMAP3IN))*(((K400)-(c_TMAP3IN))*((1000)-(c_TMAP3OUT))+IF(((1000)-(c_TMAP3OUT))&gt;=0,1,-1)*QUOTIENT(((1000)-(c_TMAP3IN)),2)))&lt;0,-1,0),IF(IF(o_WRAP=1,MOD(((1000)-(c_TMAP3IN))*(((K400)-(c_TMAP3IN))*((1000)-(c_TMAP3OUT))+IF(((1000)-(c_TMAP3OUT))&gt;=0,1,-1)*QUOTIENT(((1000)-(c_TMAP3IN)),2))+2147483648,4294967296)-2147483648,((1000)-(c_TMAP3IN))*(((K400)-(c_TMAP3IN))*((1000)-(c_TMAP3OUT))+IF(((1000)-(c_TMAP3OUT))&gt;=0,1,-1)*QUOTIENT(((1000)-(c_TMAP3IN)),2)))&gt;=0,1,0)))</f>
        <v>1000</v>
      </c>
      <c r="Q400" s="7" t="str">
        <f aca="false">IF(K400&gt;=c_TFWD,IF(AND(K400&gt;=c_TMAP3IN,c_TMAP3IN&lt;1000),"Seg4 map3-100%",IF(AND(K400&gt;=c_TMAP2IN,c_TMAP3IN&gt;c_TMAP2IN),"Seg3 map2-map3",IF(AND(K400&gt;=c_TMAP1IN,c_TMAP2IN&gt;c_TMAP1IN),"Seg2 map1-map2","Seg1 TFWD-map1"))),IF(AND(K400=0,c_TCREEP&gt;0),"Creep",IF(AND(K400&lt;=c_TRNGMIN,K400&gt;=c_TRNGMAX,c_TRNGMIN-c_TRNGMAX&lt;&gt;0),"Regen ramp","Coast (0)")))</f>
        <v>Seg4 map3-100%</v>
      </c>
      <c r="R400" s="7" t="n">
        <f aca="false">IF(K400&gt;=c_TFWD,IF(AND(K400&gt;=c_TMAP3IN,c_TMAP3IN&lt;1000),P400,IF(AND(K400&gt;=c_TMAP2IN,c_TMAP3IN&gt;c_TMAP2IN),O400,IF(AND(K400&gt;=c_TMAP1IN,c_TMAP2IN&gt;c_TMAP1IN),N400,M400))),L400)</f>
        <v>1000</v>
      </c>
      <c r="S400" s="7" t="str">
        <f aca="false">IF(R400&lt;-1090,"TOO LOW",IF(R400&gt;1090,"TOO HIGH",""))</f>
        <v/>
      </c>
      <c r="T400" s="15" t="n">
        <f aca="false">IF(H400&lt;&gt;"OK",0,IF(S400&lt;&gt;"",0,IF(R400&gt;979,1000,R400)))</f>
        <v>0</v>
      </c>
      <c r="U400" s="7" t="n">
        <f aca="false">T400/10</f>
        <v>0</v>
      </c>
    </row>
    <row r="401" customFormat="false" ht="15" hidden="false" customHeight="false" outlineLevel="0" collapsed="false">
      <c r="A401" s="7" t="n">
        <v>396</v>
      </c>
      <c r="B401" s="7" t="n">
        <f aca="false">ROUND(o_SWSTART+A401*(o_SWEND-o_SWSTART)/400,0)</f>
        <v>4054</v>
      </c>
      <c r="C401" s="7" t="n">
        <f aca="false">QUOTIENT((B401-c_OFF1)*c_GAIN1,1024)</f>
        <v>4054</v>
      </c>
      <c r="D401" s="7" t="n">
        <f aca="false">IF(((c_T1MX)-(c_T1MN))=0,(0)+QUOTIENT(((1000)-(0)),2),QUOTIENT((((C401)-(c_T1MN))*((1000)-(0))+IF(((1000)-(0))&gt;=0,1,-1)*QUOTIENT(((c_T1MX)-(c_T1MN)),2)),((c_T1MX)-(c_T1MN)))+(0)+IF(((1000)-(0))&gt;=0,IF(IF(o_WRAP=1,MOD(((c_T1MX)-(c_T1MN))*(((C401)-(c_T1MN))*((1000)-(0))+IF(((1000)-(0))&gt;=0,1,-1)*QUOTIENT(((c_T1MX)-(c_T1MN)),2))+2147483648,4294967296)-2147483648,((c_T1MX)-(c_T1MN))*(((C401)-(c_T1MN))*((1000)-(0))+IF(((1000)-(0))&gt;=0,1,-1)*QUOTIENT(((c_T1MX)-(c_T1MN)),2)))&lt;0,-1,0),IF(IF(o_WRAP=1,MOD(((c_T1MX)-(c_T1MN))*(((C401)-(c_T1MN))*((1000)-(0))+IF(((1000)-(0))&gt;=0,1,-1)*QUOTIENT(((c_T1MX)-(c_T1MN)),2))+2147483648,4294967296)-2147483648,((c_T1MX)-(c_T1MN))*(((C401)-(c_T1MN))*((1000)-(0))+IF(((1000)-(0))&gt;=0,1,-1)*QUOTIENT(((c_T1MX)-(c_T1MN)),2)))&gt;=0,1,0)))</f>
        <v>1208</v>
      </c>
      <c r="E401" s="7" t="n">
        <f aca="false">IF(AND(c_TPOT=1,c_TTYPE=2),1000-D401,D401)</f>
        <v>1208</v>
      </c>
      <c r="F401" s="7" t="str">
        <f aca="false">IF(c_TPOT&gt;1,ROUND(IF(c_TTYPE=2,c_T2MX-IF(c_T1MX=c_T1MN,0,(C401-c_T1MN)/(c_T1MX-c_T1MN))*(c_T2MX-c_T2MN),c_T2MN+IF(c_T1MX=c_T1MN,0,(C401-c_T1MN)/(c_T1MX-c_T1MN))*(c_T2MX-c_T2MN))+o_MISMATCH,0),"")</f>
        <v/>
      </c>
      <c r="G401" s="7" t="str">
        <f aca="false">IF(c_TPOT&gt;1,IF(((c_T2MX)-(c_T2MN))=0,(0)+QUOTIENT(((1000)-(0)),2),QUOTIENT((((F401)-(c_T2MN))*((1000)-(0))+IF(((1000)-(0))&gt;=0,1,-1)*QUOTIENT(((c_T2MX)-(c_T2MN)),2)),((c_T2MX)-(c_T2MN)))+(0)+IF(((1000)-(0))&gt;=0,IF(IF(o_WRAP=1,MOD(((c_T2MX)-(c_T2MN))*(((F401)-(c_T2MN))*((1000)-(0))+IF(((1000)-(0))&gt;=0,1,-1)*QUOTIENT(((c_T2MX)-(c_T2MN)),2))+2147483648,4294967296)-2147483648,((c_T2MX)-(c_T2MN))*(((F401)-(c_T2MN))*((1000)-(0))+IF(((1000)-(0))&gt;=0,1,-1)*QUOTIENT(((c_T2MX)-(c_T2MN)),2)))&lt;0,-1,0),IF(IF(o_WRAP=1,MOD(((c_T2MX)-(c_T2MN))*(((F401)-(c_T2MN))*((1000)-(0))+IF(((1000)-(0))&gt;=0,1,-1)*QUOTIENT(((c_T2MX)-(c_T2MN)),2))+2147483648,4294967296)-2147483648,((c_T2MX)-(c_T2MN))*(((F401)-(c_T2MN))*((1000)-(0))+IF(((1000)-(0))&gt;=0,1,-1)*QUOTIENT(((c_T2MX)-(c_T2MN)),2)))&gt;=0,1,0))),"")</f>
        <v/>
      </c>
      <c r="H401" s="7" t="str">
        <f aca="false">IF(E401&gt;1000+k_TOL,"T1 HIGH",IF(E401&lt;0-k_TOL,"T1 LOW",IF(c_TPOT&gt;1,IF(G401&gt;1000+k_TOL,"T2 HIGH",IF(G401&lt;0-k_TOL,"T2 LOW",IF(c_TTYPE=2,IF(ABS(1000-MAX(0,MIN(1000,E401))-MAX(0,MIN(1000,G401)))&gt;k_MAXERR,"MISMATCH","OK"),IF(OR(MAX(0,MIN(1000,E401))-k_MAXERR&gt;MAX(0,MIN(1000,G401)),MAX(0,MIN(1000,G401))-k_MAXERR&gt;MAX(0,MIN(1000,E401))),"MISMATCH","OK")))),"OK")))</f>
        <v>T1 HIGH</v>
      </c>
      <c r="I401" s="7" t="n">
        <f aca="false">MAX(0,MIN(1000,D401))</f>
        <v>1000</v>
      </c>
      <c r="J401" s="7" t="str">
        <f aca="false">IF(c_TPOT&gt;1,IF(c_TTYPE=2,1000-MAX(0,MIN(1000,G401)),MAX(0,MIN(1000,G401))),"")</f>
        <v/>
      </c>
      <c r="K401" s="7" t="n">
        <f aca="false">IF(c_TPOT&gt;1,QUOTIENT(I401+J401,2),I401)</f>
        <v>1000</v>
      </c>
      <c r="L401" s="7" t="n">
        <f aca="false">IF(AND(K401=0,c_TCREEP&gt;0),10*c_TCREEP,IF(AND(K401&lt;=c_TRNGMIN,K401&gt;=c_TRNGMAX,c_TRNGMIN-c_TRNGMAX&lt;&gt;0),-10*c_TMINRN+QUOTIENT((c_TMAXRN-c_TMINRN)*(100-QUOTIENT((K401-c_TRNGMAX)*100,c_TRNGMIN-c_TRNGMAX)),-10),0))</f>
        <v>0</v>
      </c>
      <c r="M401" s="7" t="n">
        <f aca="false">IF(((c_TMAP1IN)-(c_TFWD))=0,(0)+QUOTIENT(((c_TMAP1OUT)-(0)),2),QUOTIENT((((K401)-(c_TFWD))*((c_TMAP1OUT)-(0))+IF(((c_TMAP1OUT)-(0))&gt;=0,1,-1)*QUOTIENT(((c_TMAP1IN)-(c_TFWD)),2)),((c_TMAP1IN)-(c_TFWD)))+(0)+IF(((c_TMAP1OUT)-(0))&gt;=0,IF(IF(o_WRAP=1,MOD(((c_TMAP1IN)-(c_TFWD))*(((K401)-(c_TFWD))*((c_TMAP1OUT)-(0))+IF(((c_TMAP1OUT)-(0))&gt;=0,1,-1)*QUOTIENT(((c_TMAP1IN)-(c_TFWD)),2))+2147483648,4294967296)-2147483648,((c_TMAP1IN)-(c_TFWD))*(((K401)-(c_TFWD))*((c_TMAP1OUT)-(0))+IF(((c_TMAP1OUT)-(0))&gt;=0,1,-1)*QUOTIENT(((c_TMAP1IN)-(c_TFWD)),2)))&lt;0,-1,0),IF(IF(o_WRAP=1,MOD(((c_TMAP1IN)-(c_TFWD))*(((K401)-(c_TFWD))*((c_TMAP1OUT)-(0))+IF(((c_TMAP1OUT)-(0))&gt;=0,1,-1)*QUOTIENT(((c_TMAP1IN)-(c_TFWD)),2))+2147483648,4294967296)-2147483648,((c_TMAP1IN)-(c_TFWD))*(((K401)-(c_TFWD))*((c_TMAP1OUT)-(0))+IF(((c_TMAP1OUT)-(0))&gt;=0,1,-1)*QUOTIENT(((c_TMAP1IN)-(c_TFWD)),2)))&gt;=0,1,0)))</f>
        <v>770</v>
      </c>
      <c r="N401" s="7" t="n">
        <f aca="false">IF(((c_TMAP2IN)-(c_TMAP1IN))=0,(c_TMAP1OUT)+QUOTIENT(((c_TMAP2OUT)-(c_TMAP1OUT)),2),QUOTIENT((((K401)-(c_TMAP1IN))*((c_TMAP2OUT)-(c_TMAP1OUT))+IF(((c_TMAP2OUT)-(c_TMAP1OUT))&gt;=0,1,-1)*QUOTIENT(((c_TMAP2IN)-(c_TMAP1IN)),2)),((c_TMAP2IN)-(c_TMAP1IN)))+(c_TMAP1OUT)+IF(((c_TMAP2OUT)-(c_TMAP1OUT))&gt;=0,IF(IF(o_WRAP=1,MOD(((c_TMAP2IN)-(c_TMAP1IN))*(((K401)-(c_TMAP1IN))*((c_TMAP2OUT)-(c_TMAP1OUT))+IF(((c_TMAP2OUT)-(c_TMAP1OUT))&gt;=0,1,-1)*QUOTIENT(((c_TMAP2IN)-(c_TMAP1IN)),2))+2147483648,4294967296)-2147483648,((c_TMAP2IN)-(c_TMAP1IN))*(((K401)-(c_TMAP1IN))*((c_TMAP2OUT)-(c_TMAP1OUT))+IF(((c_TMAP2OUT)-(c_TMAP1OUT))&gt;=0,1,-1)*QUOTIENT(((c_TMAP2IN)-(c_TMAP1IN)),2)))&lt;0,-1,0),IF(IF(o_WRAP=1,MOD(((c_TMAP2IN)-(c_TMAP1IN))*(((K401)-(c_TMAP1IN))*((c_TMAP2OUT)-(c_TMAP1OUT))+IF(((c_TMAP2OUT)-(c_TMAP1OUT))&gt;=0,1,-1)*QUOTIENT(((c_TMAP2IN)-(c_TMAP1IN)),2))+2147483648,4294967296)-2147483648,((c_TMAP2IN)-(c_TMAP1IN))*(((K401)-(c_TMAP1IN))*((c_TMAP2OUT)-(c_TMAP1OUT))+IF(((c_TMAP2OUT)-(c_TMAP1OUT))&gt;=0,1,-1)*QUOTIENT(((c_TMAP2IN)-(c_TMAP1IN)),2)))&gt;=0,1,0)))</f>
        <v>430</v>
      </c>
      <c r="O401" s="7" t="n">
        <f aca="false">IF(((c_TMAP3IN)-(c_TMAP2IN))=0,(c_TMAP2OUT)+QUOTIENT(((c_TMAP3OUT)-(c_TMAP2OUT)),2),QUOTIENT((((K401)-(c_TMAP2IN))*((c_TMAP3OUT)-(c_TMAP2OUT))+IF(((c_TMAP3OUT)-(c_TMAP2OUT))&gt;=0,1,-1)*QUOTIENT(((c_TMAP3IN)-(c_TMAP2IN)),2)),((c_TMAP3IN)-(c_TMAP2IN)))+(c_TMAP2OUT)+IF(((c_TMAP3OUT)-(c_TMAP2OUT))&gt;=0,IF(IF(o_WRAP=1,MOD(((c_TMAP3IN)-(c_TMAP2IN))*(((K401)-(c_TMAP2IN))*((c_TMAP3OUT)-(c_TMAP2OUT))+IF(((c_TMAP3OUT)-(c_TMAP2OUT))&gt;=0,1,-1)*QUOTIENT(((c_TMAP3IN)-(c_TMAP2IN)),2))+2147483648,4294967296)-2147483648,((c_TMAP3IN)-(c_TMAP2IN))*(((K401)-(c_TMAP2IN))*((c_TMAP3OUT)-(c_TMAP2OUT))+IF(((c_TMAP3OUT)-(c_TMAP2OUT))&gt;=0,1,-1)*QUOTIENT(((c_TMAP3IN)-(c_TMAP2IN)),2)))&lt;0,-1,0),IF(IF(o_WRAP=1,MOD(((c_TMAP3IN)-(c_TMAP2IN))*(((K401)-(c_TMAP2IN))*((c_TMAP3OUT)-(c_TMAP2OUT))+IF(((c_TMAP3OUT)-(c_TMAP2OUT))&gt;=0,1,-1)*QUOTIENT(((c_TMAP3IN)-(c_TMAP2IN)),2))+2147483648,4294967296)-2147483648,((c_TMAP3IN)-(c_TMAP2IN))*(((K401)-(c_TMAP2IN))*((c_TMAP3OUT)-(c_TMAP2OUT))+IF(((c_TMAP3OUT)-(c_TMAP2OUT))&gt;=0,1,-1)*QUOTIENT(((c_TMAP3IN)-(c_TMAP2IN)),2)))&gt;=0,1,0)))</f>
        <v>655</v>
      </c>
      <c r="P401" s="7" t="n">
        <f aca="false">IF(((1000)-(c_TMAP3IN))=0,(c_TMAP3OUT)+QUOTIENT(((1000)-(c_TMAP3OUT)),2),QUOTIENT((((K401)-(c_TMAP3IN))*((1000)-(c_TMAP3OUT))+IF(((1000)-(c_TMAP3OUT))&gt;=0,1,-1)*QUOTIENT(((1000)-(c_TMAP3IN)),2)),((1000)-(c_TMAP3IN)))+(c_TMAP3OUT)+IF(((1000)-(c_TMAP3OUT))&gt;=0,IF(IF(o_WRAP=1,MOD(((1000)-(c_TMAP3IN))*(((K401)-(c_TMAP3IN))*((1000)-(c_TMAP3OUT))+IF(((1000)-(c_TMAP3OUT))&gt;=0,1,-1)*QUOTIENT(((1000)-(c_TMAP3IN)),2))+2147483648,4294967296)-2147483648,((1000)-(c_TMAP3IN))*(((K401)-(c_TMAP3IN))*((1000)-(c_TMAP3OUT))+IF(((1000)-(c_TMAP3OUT))&gt;=0,1,-1)*QUOTIENT(((1000)-(c_TMAP3IN)),2)))&lt;0,-1,0),IF(IF(o_WRAP=1,MOD(((1000)-(c_TMAP3IN))*(((K401)-(c_TMAP3IN))*((1000)-(c_TMAP3OUT))+IF(((1000)-(c_TMAP3OUT))&gt;=0,1,-1)*QUOTIENT(((1000)-(c_TMAP3IN)),2))+2147483648,4294967296)-2147483648,((1000)-(c_TMAP3IN))*(((K401)-(c_TMAP3IN))*((1000)-(c_TMAP3OUT))+IF(((1000)-(c_TMAP3OUT))&gt;=0,1,-1)*QUOTIENT(((1000)-(c_TMAP3IN)),2)))&gt;=0,1,0)))</f>
        <v>1000</v>
      </c>
      <c r="Q401" s="7" t="str">
        <f aca="false">IF(K401&gt;=c_TFWD,IF(AND(K401&gt;=c_TMAP3IN,c_TMAP3IN&lt;1000),"Seg4 map3-100%",IF(AND(K401&gt;=c_TMAP2IN,c_TMAP3IN&gt;c_TMAP2IN),"Seg3 map2-map3",IF(AND(K401&gt;=c_TMAP1IN,c_TMAP2IN&gt;c_TMAP1IN),"Seg2 map1-map2","Seg1 TFWD-map1"))),IF(AND(K401=0,c_TCREEP&gt;0),"Creep",IF(AND(K401&lt;=c_TRNGMIN,K401&gt;=c_TRNGMAX,c_TRNGMIN-c_TRNGMAX&lt;&gt;0),"Regen ramp","Coast (0)")))</f>
        <v>Seg4 map3-100%</v>
      </c>
      <c r="R401" s="7" t="n">
        <f aca="false">IF(K401&gt;=c_TFWD,IF(AND(K401&gt;=c_TMAP3IN,c_TMAP3IN&lt;1000),P401,IF(AND(K401&gt;=c_TMAP2IN,c_TMAP3IN&gt;c_TMAP2IN),O401,IF(AND(K401&gt;=c_TMAP1IN,c_TMAP2IN&gt;c_TMAP1IN),N401,M401))),L401)</f>
        <v>1000</v>
      </c>
      <c r="S401" s="7" t="str">
        <f aca="false">IF(R401&lt;-1090,"TOO LOW",IF(R401&gt;1090,"TOO HIGH",""))</f>
        <v/>
      </c>
      <c r="T401" s="15" t="n">
        <f aca="false">IF(H401&lt;&gt;"OK",0,IF(S401&lt;&gt;"",0,IF(R401&gt;979,1000,R401)))</f>
        <v>0</v>
      </c>
      <c r="U401" s="7" t="n">
        <f aca="false">T401/10</f>
        <v>0</v>
      </c>
    </row>
    <row r="402" customFormat="false" ht="15" hidden="false" customHeight="false" outlineLevel="0" collapsed="false">
      <c r="A402" s="7" t="n">
        <v>397</v>
      </c>
      <c r="B402" s="7" t="n">
        <f aca="false">ROUND(o_SWSTART+A402*(o_SWEND-o_SWSTART)/400,0)</f>
        <v>4064</v>
      </c>
      <c r="C402" s="7" t="n">
        <f aca="false">QUOTIENT((B402-c_OFF1)*c_GAIN1,1024)</f>
        <v>4064</v>
      </c>
      <c r="D402" s="7" t="n">
        <f aca="false">IF(((c_T1MX)-(c_T1MN))=0,(0)+QUOTIENT(((1000)-(0)),2),QUOTIENT((((C402)-(c_T1MN))*((1000)-(0))+IF(((1000)-(0))&gt;=0,1,-1)*QUOTIENT(((c_T1MX)-(c_T1MN)),2)),((c_T1MX)-(c_T1MN)))+(0)+IF(((1000)-(0))&gt;=0,IF(IF(o_WRAP=1,MOD(((c_T1MX)-(c_T1MN))*(((C402)-(c_T1MN))*((1000)-(0))+IF(((1000)-(0))&gt;=0,1,-1)*QUOTIENT(((c_T1MX)-(c_T1MN)),2))+2147483648,4294967296)-2147483648,((c_T1MX)-(c_T1MN))*(((C402)-(c_T1MN))*((1000)-(0))+IF(((1000)-(0))&gt;=0,1,-1)*QUOTIENT(((c_T1MX)-(c_T1MN)),2)))&lt;0,-1,0),IF(IF(o_WRAP=1,MOD(((c_T1MX)-(c_T1MN))*(((C402)-(c_T1MN))*((1000)-(0))+IF(((1000)-(0))&gt;=0,1,-1)*QUOTIENT(((c_T1MX)-(c_T1MN)),2))+2147483648,4294967296)-2147483648,((c_T1MX)-(c_T1MN))*(((C402)-(c_T1MN))*((1000)-(0))+IF(((1000)-(0))&gt;=0,1,-1)*QUOTIENT(((c_T1MX)-(c_T1MN)),2)))&gt;=0,1,0)))</f>
        <v>1212</v>
      </c>
      <c r="E402" s="7" t="n">
        <f aca="false">IF(AND(c_TPOT=1,c_TTYPE=2),1000-D402,D402)</f>
        <v>1212</v>
      </c>
      <c r="F402" s="7" t="str">
        <f aca="false">IF(c_TPOT&gt;1,ROUND(IF(c_TTYPE=2,c_T2MX-IF(c_T1MX=c_T1MN,0,(C402-c_T1MN)/(c_T1MX-c_T1MN))*(c_T2MX-c_T2MN),c_T2MN+IF(c_T1MX=c_T1MN,0,(C402-c_T1MN)/(c_T1MX-c_T1MN))*(c_T2MX-c_T2MN))+o_MISMATCH,0),"")</f>
        <v/>
      </c>
      <c r="G402" s="7" t="str">
        <f aca="false">IF(c_TPOT&gt;1,IF(((c_T2MX)-(c_T2MN))=0,(0)+QUOTIENT(((1000)-(0)),2),QUOTIENT((((F402)-(c_T2MN))*((1000)-(0))+IF(((1000)-(0))&gt;=0,1,-1)*QUOTIENT(((c_T2MX)-(c_T2MN)),2)),((c_T2MX)-(c_T2MN)))+(0)+IF(((1000)-(0))&gt;=0,IF(IF(o_WRAP=1,MOD(((c_T2MX)-(c_T2MN))*(((F402)-(c_T2MN))*((1000)-(0))+IF(((1000)-(0))&gt;=0,1,-1)*QUOTIENT(((c_T2MX)-(c_T2MN)),2))+2147483648,4294967296)-2147483648,((c_T2MX)-(c_T2MN))*(((F402)-(c_T2MN))*((1000)-(0))+IF(((1000)-(0))&gt;=0,1,-1)*QUOTIENT(((c_T2MX)-(c_T2MN)),2)))&lt;0,-1,0),IF(IF(o_WRAP=1,MOD(((c_T2MX)-(c_T2MN))*(((F402)-(c_T2MN))*((1000)-(0))+IF(((1000)-(0))&gt;=0,1,-1)*QUOTIENT(((c_T2MX)-(c_T2MN)),2))+2147483648,4294967296)-2147483648,((c_T2MX)-(c_T2MN))*(((F402)-(c_T2MN))*((1000)-(0))+IF(((1000)-(0))&gt;=0,1,-1)*QUOTIENT(((c_T2MX)-(c_T2MN)),2)))&gt;=0,1,0))),"")</f>
        <v/>
      </c>
      <c r="H402" s="7" t="str">
        <f aca="false">IF(E402&gt;1000+k_TOL,"T1 HIGH",IF(E402&lt;0-k_TOL,"T1 LOW",IF(c_TPOT&gt;1,IF(G402&gt;1000+k_TOL,"T2 HIGH",IF(G402&lt;0-k_TOL,"T2 LOW",IF(c_TTYPE=2,IF(ABS(1000-MAX(0,MIN(1000,E402))-MAX(0,MIN(1000,G402)))&gt;k_MAXERR,"MISMATCH","OK"),IF(OR(MAX(0,MIN(1000,E402))-k_MAXERR&gt;MAX(0,MIN(1000,G402)),MAX(0,MIN(1000,G402))-k_MAXERR&gt;MAX(0,MIN(1000,E402))),"MISMATCH","OK")))),"OK")))</f>
        <v>T1 HIGH</v>
      </c>
      <c r="I402" s="7" t="n">
        <f aca="false">MAX(0,MIN(1000,D402))</f>
        <v>1000</v>
      </c>
      <c r="J402" s="7" t="str">
        <f aca="false">IF(c_TPOT&gt;1,IF(c_TTYPE=2,1000-MAX(0,MIN(1000,G402)),MAX(0,MIN(1000,G402))),"")</f>
        <v/>
      </c>
      <c r="K402" s="7" t="n">
        <f aca="false">IF(c_TPOT&gt;1,QUOTIENT(I402+J402,2),I402)</f>
        <v>1000</v>
      </c>
      <c r="L402" s="7" t="n">
        <f aca="false">IF(AND(K402=0,c_TCREEP&gt;0),10*c_TCREEP,IF(AND(K402&lt;=c_TRNGMIN,K402&gt;=c_TRNGMAX,c_TRNGMIN-c_TRNGMAX&lt;&gt;0),-10*c_TMINRN+QUOTIENT((c_TMAXRN-c_TMINRN)*(100-QUOTIENT((K402-c_TRNGMAX)*100,c_TRNGMIN-c_TRNGMAX)),-10),0))</f>
        <v>0</v>
      </c>
      <c r="M402" s="7" t="n">
        <f aca="false">IF(((c_TMAP1IN)-(c_TFWD))=0,(0)+QUOTIENT(((c_TMAP1OUT)-(0)),2),QUOTIENT((((K402)-(c_TFWD))*((c_TMAP1OUT)-(0))+IF(((c_TMAP1OUT)-(0))&gt;=0,1,-1)*QUOTIENT(((c_TMAP1IN)-(c_TFWD)),2)),((c_TMAP1IN)-(c_TFWD)))+(0)+IF(((c_TMAP1OUT)-(0))&gt;=0,IF(IF(o_WRAP=1,MOD(((c_TMAP1IN)-(c_TFWD))*(((K402)-(c_TFWD))*((c_TMAP1OUT)-(0))+IF(((c_TMAP1OUT)-(0))&gt;=0,1,-1)*QUOTIENT(((c_TMAP1IN)-(c_TFWD)),2))+2147483648,4294967296)-2147483648,((c_TMAP1IN)-(c_TFWD))*(((K402)-(c_TFWD))*((c_TMAP1OUT)-(0))+IF(((c_TMAP1OUT)-(0))&gt;=0,1,-1)*QUOTIENT(((c_TMAP1IN)-(c_TFWD)),2)))&lt;0,-1,0),IF(IF(o_WRAP=1,MOD(((c_TMAP1IN)-(c_TFWD))*(((K402)-(c_TFWD))*((c_TMAP1OUT)-(0))+IF(((c_TMAP1OUT)-(0))&gt;=0,1,-1)*QUOTIENT(((c_TMAP1IN)-(c_TFWD)),2))+2147483648,4294967296)-2147483648,((c_TMAP1IN)-(c_TFWD))*(((K402)-(c_TFWD))*((c_TMAP1OUT)-(0))+IF(((c_TMAP1OUT)-(0))&gt;=0,1,-1)*QUOTIENT(((c_TMAP1IN)-(c_TFWD)),2)))&gt;=0,1,0)))</f>
        <v>770</v>
      </c>
      <c r="N402" s="7" t="n">
        <f aca="false">IF(((c_TMAP2IN)-(c_TMAP1IN))=0,(c_TMAP1OUT)+QUOTIENT(((c_TMAP2OUT)-(c_TMAP1OUT)),2),QUOTIENT((((K402)-(c_TMAP1IN))*((c_TMAP2OUT)-(c_TMAP1OUT))+IF(((c_TMAP2OUT)-(c_TMAP1OUT))&gt;=0,1,-1)*QUOTIENT(((c_TMAP2IN)-(c_TMAP1IN)),2)),((c_TMAP2IN)-(c_TMAP1IN)))+(c_TMAP1OUT)+IF(((c_TMAP2OUT)-(c_TMAP1OUT))&gt;=0,IF(IF(o_WRAP=1,MOD(((c_TMAP2IN)-(c_TMAP1IN))*(((K402)-(c_TMAP1IN))*((c_TMAP2OUT)-(c_TMAP1OUT))+IF(((c_TMAP2OUT)-(c_TMAP1OUT))&gt;=0,1,-1)*QUOTIENT(((c_TMAP2IN)-(c_TMAP1IN)),2))+2147483648,4294967296)-2147483648,((c_TMAP2IN)-(c_TMAP1IN))*(((K402)-(c_TMAP1IN))*((c_TMAP2OUT)-(c_TMAP1OUT))+IF(((c_TMAP2OUT)-(c_TMAP1OUT))&gt;=0,1,-1)*QUOTIENT(((c_TMAP2IN)-(c_TMAP1IN)),2)))&lt;0,-1,0),IF(IF(o_WRAP=1,MOD(((c_TMAP2IN)-(c_TMAP1IN))*(((K402)-(c_TMAP1IN))*((c_TMAP2OUT)-(c_TMAP1OUT))+IF(((c_TMAP2OUT)-(c_TMAP1OUT))&gt;=0,1,-1)*QUOTIENT(((c_TMAP2IN)-(c_TMAP1IN)),2))+2147483648,4294967296)-2147483648,((c_TMAP2IN)-(c_TMAP1IN))*(((K402)-(c_TMAP1IN))*((c_TMAP2OUT)-(c_TMAP1OUT))+IF(((c_TMAP2OUT)-(c_TMAP1OUT))&gt;=0,1,-1)*QUOTIENT(((c_TMAP2IN)-(c_TMAP1IN)),2)))&gt;=0,1,0)))</f>
        <v>430</v>
      </c>
      <c r="O402" s="7" t="n">
        <f aca="false">IF(((c_TMAP3IN)-(c_TMAP2IN))=0,(c_TMAP2OUT)+QUOTIENT(((c_TMAP3OUT)-(c_TMAP2OUT)),2),QUOTIENT((((K402)-(c_TMAP2IN))*((c_TMAP3OUT)-(c_TMAP2OUT))+IF(((c_TMAP3OUT)-(c_TMAP2OUT))&gt;=0,1,-1)*QUOTIENT(((c_TMAP3IN)-(c_TMAP2IN)),2)),((c_TMAP3IN)-(c_TMAP2IN)))+(c_TMAP2OUT)+IF(((c_TMAP3OUT)-(c_TMAP2OUT))&gt;=0,IF(IF(o_WRAP=1,MOD(((c_TMAP3IN)-(c_TMAP2IN))*(((K402)-(c_TMAP2IN))*((c_TMAP3OUT)-(c_TMAP2OUT))+IF(((c_TMAP3OUT)-(c_TMAP2OUT))&gt;=0,1,-1)*QUOTIENT(((c_TMAP3IN)-(c_TMAP2IN)),2))+2147483648,4294967296)-2147483648,((c_TMAP3IN)-(c_TMAP2IN))*(((K402)-(c_TMAP2IN))*((c_TMAP3OUT)-(c_TMAP2OUT))+IF(((c_TMAP3OUT)-(c_TMAP2OUT))&gt;=0,1,-1)*QUOTIENT(((c_TMAP3IN)-(c_TMAP2IN)),2)))&lt;0,-1,0),IF(IF(o_WRAP=1,MOD(((c_TMAP3IN)-(c_TMAP2IN))*(((K402)-(c_TMAP2IN))*((c_TMAP3OUT)-(c_TMAP2OUT))+IF(((c_TMAP3OUT)-(c_TMAP2OUT))&gt;=0,1,-1)*QUOTIENT(((c_TMAP3IN)-(c_TMAP2IN)),2))+2147483648,4294967296)-2147483648,((c_TMAP3IN)-(c_TMAP2IN))*(((K402)-(c_TMAP2IN))*((c_TMAP3OUT)-(c_TMAP2OUT))+IF(((c_TMAP3OUT)-(c_TMAP2OUT))&gt;=0,1,-1)*QUOTIENT(((c_TMAP3IN)-(c_TMAP2IN)),2)))&gt;=0,1,0)))</f>
        <v>655</v>
      </c>
      <c r="P402" s="7" t="n">
        <f aca="false">IF(((1000)-(c_TMAP3IN))=0,(c_TMAP3OUT)+QUOTIENT(((1000)-(c_TMAP3OUT)),2),QUOTIENT((((K402)-(c_TMAP3IN))*((1000)-(c_TMAP3OUT))+IF(((1000)-(c_TMAP3OUT))&gt;=0,1,-1)*QUOTIENT(((1000)-(c_TMAP3IN)),2)),((1000)-(c_TMAP3IN)))+(c_TMAP3OUT)+IF(((1000)-(c_TMAP3OUT))&gt;=0,IF(IF(o_WRAP=1,MOD(((1000)-(c_TMAP3IN))*(((K402)-(c_TMAP3IN))*((1000)-(c_TMAP3OUT))+IF(((1000)-(c_TMAP3OUT))&gt;=0,1,-1)*QUOTIENT(((1000)-(c_TMAP3IN)),2))+2147483648,4294967296)-2147483648,((1000)-(c_TMAP3IN))*(((K402)-(c_TMAP3IN))*((1000)-(c_TMAP3OUT))+IF(((1000)-(c_TMAP3OUT))&gt;=0,1,-1)*QUOTIENT(((1000)-(c_TMAP3IN)),2)))&lt;0,-1,0),IF(IF(o_WRAP=1,MOD(((1000)-(c_TMAP3IN))*(((K402)-(c_TMAP3IN))*((1000)-(c_TMAP3OUT))+IF(((1000)-(c_TMAP3OUT))&gt;=0,1,-1)*QUOTIENT(((1000)-(c_TMAP3IN)),2))+2147483648,4294967296)-2147483648,((1000)-(c_TMAP3IN))*(((K402)-(c_TMAP3IN))*((1000)-(c_TMAP3OUT))+IF(((1000)-(c_TMAP3OUT))&gt;=0,1,-1)*QUOTIENT(((1000)-(c_TMAP3IN)),2)))&gt;=0,1,0)))</f>
        <v>1000</v>
      </c>
      <c r="Q402" s="7" t="str">
        <f aca="false">IF(K402&gt;=c_TFWD,IF(AND(K402&gt;=c_TMAP3IN,c_TMAP3IN&lt;1000),"Seg4 map3-100%",IF(AND(K402&gt;=c_TMAP2IN,c_TMAP3IN&gt;c_TMAP2IN),"Seg3 map2-map3",IF(AND(K402&gt;=c_TMAP1IN,c_TMAP2IN&gt;c_TMAP1IN),"Seg2 map1-map2","Seg1 TFWD-map1"))),IF(AND(K402=0,c_TCREEP&gt;0),"Creep",IF(AND(K402&lt;=c_TRNGMIN,K402&gt;=c_TRNGMAX,c_TRNGMIN-c_TRNGMAX&lt;&gt;0),"Regen ramp","Coast (0)")))</f>
        <v>Seg4 map3-100%</v>
      </c>
      <c r="R402" s="7" t="n">
        <f aca="false">IF(K402&gt;=c_TFWD,IF(AND(K402&gt;=c_TMAP3IN,c_TMAP3IN&lt;1000),P402,IF(AND(K402&gt;=c_TMAP2IN,c_TMAP3IN&gt;c_TMAP2IN),O402,IF(AND(K402&gt;=c_TMAP1IN,c_TMAP2IN&gt;c_TMAP1IN),N402,M402))),L402)</f>
        <v>1000</v>
      </c>
      <c r="S402" s="7" t="str">
        <f aca="false">IF(R402&lt;-1090,"TOO LOW",IF(R402&gt;1090,"TOO HIGH",""))</f>
        <v/>
      </c>
      <c r="T402" s="15" t="n">
        <f aca="false">IF(H402&lt;&gt;"OK",0,IF(S402&lt;&gt;"",0,IF(R402&gt;979,1000,R402)))</f>
        <v>0</v>
      </c>
      <c r="U402" s="7" t="n">
        <f aca="false">T402/10</f>
        <v>0</v>
      </c>
    </row>
    <row r="403" customFormat="false" ht="15" hidden="false" customHeight="false" outlineLevel="0" collapsed="false">
      <c r="A403" s="7" t="n">
        <v>398</v>
      </c>
      <c r="B403" s="7" t="n">
        <f aca="false">ROUND(o_SWSTART+A403*(o_SWEND-o_SWSTART)/400,0)</f>
        <v>4075</v>
      </c>
      <c r="C403" s="7" t="n">
        <f aca="false">QUOTIENT((B403-c_OFF1)*c_GAIN1,1024)</f>
        <v>4075</v>
      </c>
      <c r="D403" s="7" t="n">
        <f aca="false">IF(((c_T1MX)-(c_T1MN))=0,(0)+QUOTIENT(((1000)-(0)),2),QUOTIENT((((C403)-(c_T1MN))*((1000)-(0))+IF(((1000)-(0))&gt;=0,1,-1)*QUOTIENT(((c_T1MX)-(c_T1MN)),2)),((c_T1MX)-(c_T1MN)))+(0)+IF(((1000)-(0))&gt;=0,IF(IF(o_WRAP=1,MOD(((c_T1MX)-(c_T1MN))*(((C403)-(c_T1MN))*((1000)-(0))+IF(((1000)-(0))&gt;=0,1,-1)*QUOTIENT(((c_T1MX)-(c_T1MN)),2))+2147483648,4294967296)-2147483648,((c_T1MX)-(c_T1MN))*(((C403)-(c_T1MN))*((1000)-(0))+IF(((1000)-(0))&gt;=0,1,-1)*QUOTIENT(((c_T1MX)-(c_T1MN)),2)))&lt;0,-1,0),IF(IF(o_WRAP=1,MOD(((c_T1MX)-(c_T1MN))*(((C403)-(c_T1MN))*((1000)-(0))+IF(((1000)-(0))&gt;=0,1,-1)*QUOTIENT(((c_T1MX)-(c_T1MN)),2))+2147483648,4294967296)-2147483648,((c_T1MX)-(c_T1MN))*(((C403)-(c_T1MN))*((1000)-(0))+IF(((1000)-(0))&gt;=0,1,-1)*QUOTIENT(((c_T1MX)-(c_T1MN)),2)))&gt;=0,1,0)))</f>
        <v>1216</v>
      </c>
      <c r="E403" s="7" t="n">
        <f aca="false">IF(AND(c_TPOT=1,c_TTYPE=2),1000-D403,D403)</f>
        <v>1216</v>
      </c>
      <c r="F403" s="7" t="str">
        <f aca="false">IF(c_TPOT&gt;1,ROUND(IF(c_TTYPE=2,c_T2MX-IF(c_T1MX=c_T1MN,0,(C403-c_T1MN)/(c_T1MX-c_T1MN))*(c_T2MX-c_T2MN),c_T2MN+IF(c_T1MX=c_T1MN,0,(C403-c_T1MN)/(c_T1MX-c_T1MN))*(c_T2MX-c_T2MN))+o_MISMATCH,0),"")</f>
        <v/>
      </c>
      <c r="G403" s="7" t="str">
        <f aca="false">IF(c_TPOT&gt;1,IF(((c_T2MX)-(c_T2MN))=0,(0)+QUOTIENT(((1000)-(0)),2),QUOTIENT((((F403)-(c_T2MN))*((1000)-(0))+IF(((1000)-(0))&gt;=0,1,-1)*QUOTIENT(((c_T2MX)-(c_T2MN)),2)),((c_T2MX)-(c_T2MN)))+(0)+IF(((1000)-(0))&gt;=0,IF(IF(o_WRAP=1,MOD(((c_T2MX)-(c_T2MN))*(((F403)-(c_T2MN))*((1000)-(0))+IF(((1000)-(0))&gt;=0,1,-1)*QUOTIENT(((c_T2MX)-(c_T2MN)),2))+2147483648,4294967296)-2147483648,((c_T2MX)-(c_T2MN))*(((F403)-(c_T2MN))*((1000)-(0))+IF(((1000)-(0))&gt;=0,1,-1)*QUOTIENT(((c_T2MX)-(c_T2MN)),2)))&lt;0,-1,0),IF(IF(o_WRAP=1,MOD(((c_T2MX)-(c_T2MN))*(((F403)-(c_T2MN))*((1000)-(0))+IF(((1000)-(0))&gt;=0,1,-1)*QUOTIENT(((c_T2MX)-(c_T2MN)),2))+2147483648,4294967296)-2147483648,((c_T2MX)-(c_T2MN))*(((F403)-(c_T2MN))*((1000)-(0))+IF(((1000)-(0))&gt;=0,1,-1)*QUOTIENT(((c_T2MX)-(c_T2MN)),2)))&gt;=0,1,0))),"")</f>
        <v/>
      </c>
      <c r="H403" s="7" t="str">
        <f aca="false">IF(E403&gt;1000+k_TOL,"T1 HIGH",IF(E403&lt;0-k_TOL,"T1 LOW",IF(c_TPOT&gt;1,IF(G403&gt;1000+k_TOL,"T2 HIGH",IF(G403&lt;0-k_TOL,"T2 LOW",IF(c_TTYPE=2,IF(ABS(1000-MAX(0,MIN(1000,E403))-MAX(0,MIN(1000,G403)))&gt;k_MAXERR,"MISMATCH","OK"),IF(OR(MAX(0,MIN(1000,E403))-k_MAXERR&gt;MAX(0,MIN(1000,G403)),MAX(0,MIN(1000,G403))-k_MAXERR&gt;MAX(0,MIN(1000,E403))),"MISMATCH","OK")))),"OK")))</f>
        <v>T1 HIGH</v>
      </c>
      <c r="I403" s="7" t="n">
        <f aca="false">MAX(0,MIN(1000,D403))</f>
        <v>1000</v>
      </c>
      <c r="J403" s="7" t="str">
        <f aca="false">IF(c_TPOT&gt;1,IF(c_TTYPE=2,1000-MAX(0,MIN(1000,G403)),MAX(0,MIN(1000,G403))),"")</f>
        <v/>
      </c>
      <c r="K403" s="7" t="n">
        <f aca="false">IF(c_TPOT&gt;1,QUOTIENT(I403+J403,2),I403)</f>
        <v>1000</v>
      </c>
      <c r="L403" s="7" t="n">
        <f aca="false">IF(AND(K403=0,c_TCREEP&gt;0),10*c_TCREEP,IF(AND(K403&lt;=c_TRNGMIN,K403&gt;=c_TRNGMAX,c_TRNGMIN-c_TRNGMAX&lt;&gt;0),-10*c_TMINRN+QUOTIENT((c_TMAXRN-c_TMINRN)*(100-QUOTIENT((K403-c_TRNGMAX)*100,c_TRNGMIN-c_TRNGMAX)),-10),0))</f>
        <v>0</v>
      </c>
      <c r="M403" s="7" t="n">
        <f aca="false">IF(((c_TMAP1IN)-(c_TFWD))=0,(0)+QUOTIENT(((c_TMAP1OUT)-(0)),2),QUOTIENT((((K403)-(c_TFWD))*((c_TMAP1OUT)-(0))+IF(((c_TMAP1OUT)-(0))&gt;=0,1,-1)*QUOTIENT(((c_TMAP1IN)-(c_TFWD)),2)),((c_TMAP1IN)-(c_TFWD)))+(0)+IF(((c_TMAP1OUT)-(0))&gt;=0,IF(IF(o_WRAP=1,MOD(((c_TMAP1IN)-(c_TFWD))*(((K403)-(c_TFWD))*((c_TMAP1OUT)-(0))+IF(((c_TMAP1OUT)-(0))&gt;=0,1,-1)*QUOTIENT(((c_TMAP1IN)-(c_TFWD)),2))+2147483648,4294967296)-2147483648,((c_TMAP1IN)-(c_TFWD))*(((K403)-(c_TFWD))*((c_TMAP1OUT)-(0))+IF(((c_TMAP1OUT)-(0))&gt;=0,1,-1)*QUOTIENT(((c_TMAP1IN)-(c_TFWD)),2)))&lt;0,-1,0),IF(IF(o_WRAP=1,MOD(((c_TMAP1IN)-(c_TFWD))*(((K403)-(c_TFWD))*((c_TMAP1OUT)-(0))+IF(((c_TMAP1OUT)-(0))&gt;=0,1,-1)*QUOTIENT(((c_TMAP1IN)-(c_TFWD)),2))+2147483648,4294967296)-2147483648,((c_TMAP1IN)-(c_TFWD))*(((K403)-(c_TFWD))*((c_TMAP1OUT)-(0))+IF(((c_TMAP1OUT)-(0))&gt;=0,1,-1)*QUOTIENT(((c_TMAP1IN)-(c_TFWD)),2)))&gt;=0,1,0)))</f>
        <v>770</v>
      </c>
      <c r="N403" s="7" t="n">
        <f aca="false">IF(((c_TMAP2IN)-(c_TMAP1IN))=0,(c_TMAP1OUT)+QUOTIENT(((c_TMAP2OUT)-(c_TMAP1OUT)),2),QUOTIENT((((K403)-(c_TMAP1IN))*((c_TMAP2OUT)-(c_TMAP1OUT))+IF(((c_TMAP2OUT)-(c_TMAP1OUT))&gt;=0,1,-1)*QUOTIENT(((c_TMAP2IN)-(c_TMAP1IN)),2)),((c_TMAP2IN)-(c_TMAP1IN)))+(c_TMAP1OUT)+IF(((c_TMAP2OUT)-(c_TMAP1OUT))&gt;=0,IF(IF(o_WRAP=1,MOD(((c_TMAP2IN)-(c_TMAP1IN))*(((K403)-(c_TMAP1IN))*((c_TMAP2OUT)-(c_TMAP1OUT))+IF(((c_TMAP2OUT)-(c_TMAP1OUT))&gt;=0,1,-1)*QUOTIENT(((c_TMAP2IN)-(c_TMAP1IN)),2))+2147483648,4294967296)-2147483648,((c_TMAP2IN)-(c_TMAP1IN))*(((K403)-(c_TMAP1IN))*((c_TMAP2OUT)-(c_TMAP1OUT))+IF(((c_TMAP2OUT)-(c_TMAP1OUT))&gt;=0,1,-1)*QUOTIENT(((c_TMAP2IN)-(c_TMAP1IN)),2)))&lt;0,-1,0),IF(IF(o_WRAP=1,MOD(((c_TMAP2IN)-(c_TMAP1IN))*(((K403)-(c_TMAP1IN))*((c_TMAP2OUT)-(c_TMAP1OUT))+IF(((c_TMAP2OUT)-(c_TMAP1OUT))&gt;=0,1,-1)*QUOTIENT(((c_TMAP2IN)-(c_TMAP1IN)),2))+2147483648,4294967296)-2147483648,((c_TMAP2IN)-(c_TMAP1IN))*(((K403)-(c_TMAP1IN))*((c_TMAP2OUT)-(c_TMAP1OUT))+IF(((c_TMAP2OUT)-(c_TMAP1OUT))&gt;=0,1,-1)*QUOTIENT(((c_TMAP2IN)-(c_TMAP1IN)),2)))&gt;=0,1,0)))</f>
        <v>430</v>
      </c>
      <c r="O403" s="7" t="n">
        <f aca="false">IF(((c_TMAP3IN)-(c_TMAP2IN))=0,(c_TMAP2OUT)+QUOTIENT(((c_TMAP3OUT)-(c_TMAP2OUT)),2),QUOTIENT((((K403)-(c_TMAP2IN))*((c_TMAP3OUT)-(c_TMAP2OUT))+IF(((c_TMAP3OUT)-(c_TMAP2OUT))&gt;=0,1,-1)*QUOTIENT(((c_TMAP3IN)-(c_TMAP2IN)),2)),((c_TMAP3IN)-(c_TMAP2IN)))+(c_TMAP2OUT)+IF(((c_TMAP3OUT)-(c_TMAP2OUT))&gt;=0,IF(IF(o_WRAP=1,MOD(((c_TMAP3IN)-(c_TMAP2IN))*(((K403)-(c_TMAP2IN))*((c_TMAP3OUT)-(c_TMAP2OUT))+IF(((c_TMAP3OUT)-(c_TMAP2OUT))&gt;=0,1,-1)*QUOTIENT(((c_TMAP3IN)-(c_TMAP2IN)),2))+2147483648,4294967296)-2147483648,((c_TMAP3IN)-(c_TMAP2IN))*(((K403)-(c_TMAP2IN))*((c_TMAP3OUT)-(c_TMAP2OUT))+IF(((c_TMAP3OUT)-(c_TMAP2OUT))&gt;=0,1,-1)*QUOTIENT(((c_TMAP3IN)-(c_TMAP2IN)),2)))&lt;0,-1,0),IF(IF(o_WRAP=1,MOD(((c_TMAP3IN)-(c_TMAP2IN))*(((K403)-(c_TMAP2IN))*((c_TMAP3OUT)-(c_TMAP2OUT))+IF(((c_TMAP3OUT)-(c_TMAP2OUT))&gt;=0,1,-1)*QUOTIENT(((c_TMAP3IN)-(c_TMAP2IN)),2))+2147483648,4294967296)-2147483648,((c_TMAP3IN)-(c_TMAP2IN))*(((K403)-(c_TMAP2IN))*((c_TMAP3OUT)-(c_TMAP2OUT))+IF(((c_TMAP3OUT)-(c_TMAP2OUT))&gt;=0,1,-1)*QUOTIENT(((c_TMAP3IN)-(c_TMAP2IN)),2)))&gt;=0,1,0)))</f>
        <v>655</v>
      </c>
      <c r="P403" s="7" t="n">
        <f aca="false">IF(((1000)-(c_TMAP3IN))=0,(c_TMAP3OUT)+QUOTIENT(((1000)-(c_TMAP3OUT)),2),QUOTIENT((((K403)-(c_TMAP3IN))*((1000)-(c_TMAP3OUT))+IF(((1000)-(c_TMAP3OUT))&gt;=0,1,-1)*QUOTIENT(((1000)-(c_TMAP3IN)),2)),((1000)-(c_TMAP3IN)))+(c_TMAP3OUT)+IF(((1000)-(c_TMAP3OUT))&gt;=0,IF(IF(o_WRAP=1,MOD(((1000)-(c_TMAP3IN))*(((K403)-(c_TMAP3IN))*((1000)-(c_TMAP3OUT))+IF(((1000)-(c_TMAP3OUT))&gt;=0,1,-1)*QUOTIENT(((1000)-(c_TMAP3IN)),2))+2147483648,4294967296)-2147483648,((1000)-(c_TMAP3IN))*(((K403)-(c_TMAP3IN))*((1000)-(c_TMAP3OUT))+IF(((1000)-(c_TMAP3OUT))&gt;=0,1,-1)*QUOTIENT(((1000)-(c_TMAP3IN)),2)))&lt;0,-1,0),IF(IF(o_WRAP=1,MOD(((1000)-(c_TMAP3IN))*(((K403)-(c_TMAP3IN))*((1000)-(c_TMAP3OUT))+IF(((1000)-(c_TMAP3OUT))&gt;=0,1,-1)*QUOTIENT(((1000)-(c_TMAP3IN)),2))+2147483648,4294967296)-2147483648,((1000)-(c_TMAP3IN))*(((K403)-(c_TMAP3IN))*((1000)-(c_TMAP3OUT))+IF(((1000)-(c_TMAP3OUT))&gt;=0,1,-1)*QUOTIENT(((1000)-(c_TMAP3IN)),2)))&gt;=0,1,0)))</f>
        <v>1000</v>
      </c>
      <c r="Q403" s="7" t="str">
        <f aca="false">IF(K403&gt;=c_TFWD,IF(AND(K403&gt;=c_TMAP3IN,c_TMAP3IN&lt;1000),"Seg4 map3-100%",IF(AND(K403&gt;=c_TMAP2IN,c_TMAP3IN&gt;c_TMAP2IN),"Seg3 map2-map3",IF(AND(K403&gt;=c_TMAP1IN,c_TMAP2IN&gt;c_TMAP1IN),"Seg2 map1-map2","Seg1 TFWD-map1"))),IF(AND(K403=0,c_TCREEP&gt;0),"Creep",IF(AND(K403&lt;=c_TRNGMIN,K403&gt;=c_TRNGMAX,c_TRNGMIN-c_TRNGMAX&lt;&gt;0),"Regen ramp","Coast (0)")))</f>
        <v>Seg4 map3-100%</v>
      </c>
      <c r="R403" s="7" t="n">
        <f aca="false">IF(K403&gt;=c_TFWD,IF(AND(K403&gt;=c_TMAP3IN,c_TMAP3IN&lt;1000),P403,IF(AND(K403&gt;=c_TMAP2IN,c_TMAP3IN&gt;c_TMAP2IN),O403,IF(AND(K403&gt;=c_TMAP1IN,c_TMAP2IN&gt;c_TMAP1IN),N403,M403))),L403)</f>
        <v>1000</v>
      </c>
      <c r="S403" s="7" t="str">
        <f aca="false">IF(R403&lt;-1090,"TOO LOW",IF(R403&gt;1090,"TOO HIGH",""))</f>
        <v/>
      </c>
      <c r="T403" s="15" t="n">
        <f aca="false">IF(H403&lt;&gt;"OK",0,IF(S403&lt;&gt;"",0,IF(R403&gt;979,1000,R403)))</f>
        <v>0</v>
      </c>
      <c r="U403" s="7" t="n">
        <f aca="false">T403/10</f>
        <v>0</v>
      </c>
    </row>
    <row r="404" customFormat="false" ht="15" hidden="false" customHeight="false" outlineLevel="0" collapsed="false">
      <c r="A404" s="7" t="n">
        <v>399</v>
      </c>
      <c r="B404" s="7" t="n">
        <f aca="false">ROUND(o_SWSTART+A404*(o_SWEND-o_SWSTART)/400,0)</f>
        <v>4085</v>
      </c>
      <c r="C404" s="7" t="n">
        <f aca="false">QUOTIENT((B404-c_OFF1)*c_GAIN1,1024)</f>
        <v>4085</v>
      </c>
      <c r="D404" s="7" t="n">
        <f aca="false">IF(((c_T1MX)-(c_T1MN))=0,(0)+QUOTIENT(((1000)-(0)),2),QUOTIENT((((C404)-(c_T1MN))*((1000)-(0))+IF(((1000)-(0))&gt;=0,1,-1)*QUOTIENT(((c_T1MX)-(c_T1MN)),2)),((c_T1MX)-(c_T1MN)))+(0)+IF(((1000)-(0))&gt;=0,IF(IF(o_WRAP=1,MOD(((c_T1MX)-(c_T1MN))*(((C404)-(c_T1MN))*((1000)-(0))+IF(((1000)-(0))&gt;=0,1,-1)*QUOTIENT(((c_T1MX)-(c_T1MN)),2))+2147483648,4294967296)-2147483648,((c_T1MX)-(c_T1MN))*(((C404)-(c_T1MN))*((1000)-(0))+IF(((1000)-(0))&gt;=0,1,-1)*QUOTIENT(((c_T1MX)-(c_T1MN)),2)))&lt;0,-1,0),IF(IF(o_WRAP=1,MOD(((c_T1MX)-(c_T1MN))*(((C404)-(c_T1MN))*((1000)-(0))+IF(((1000)-(0))&gt;=0,1,-1)*QUOTIENT(((c_T1MX)-(c_T1MN)),2))+2147483648,4294967296)-2147483648,((c_T1MX)-(c_T1MN))*(((C404)-(c_T1MN))*((1000)-(0))+IF(((1000)-(0))&gt;=0,1,-1)*QUOTIENT(((c_T1MX)-(c_T1MN)),2)))&gt;=0,1,0)))</f>
        <v>1220</v>
      </c>
      <c r="E404" s="7" t="n">
        <f aca="false">IF(AND(c_TPOT=1,c_TTYPE=2),1000-D404,D404)</f>
        <v>1220</v>
      </c>
      <c r="F404" s="7" t="str">
        <f aca="false">IF(c_TPOT&gt;1,ROUND(IF(c_TTYPE=2,c_T2MX-IF(c_T1MX=c_T1MN,0,(C404-c_T1MN)/(c_T1MX-c_T1MN))*(c_T2MX-c_T2MN),c_T2MN+IF(c_T1MX=c_T1MN,0,(C404-c_T1MN)/(c_T1MX-c_T1MN))*(c_T2MX-c_T2MN))+o_MISMATCH,0),"")</f>
        <v/>
      </c>
      <c r="G404" s="7" t="str">
        <f aca="false">IF(c_TPOT&gt;1,IF(((c_T2MX)-(c_T2MN))=0,(0)+QUOTIENT(((1000)-(0)),2),QUOTIENT((((F404)-(c_T2MN))*((1000)-(0))+IF(((1000)-(0))&gt;=0,1,-1)*QUOTIENT(((c_T2MX)-(c_T2MN)),2)),((c_T2MX)-(c_T2MN)))+(0)+IF(((1000)-(0))&gt;=0,IF(IF(o_WRAP=1,MOD(((c_T2MX)-(c_T2MN))*(((F404)-(c_T2MN))*((1000)-(0))+IF(((1000)-(0))&gt;=0,1,-1)*QUOTIENT(((c_T2MX)-(c_T2MN)),2))+2147483648,4294967296)-2147483648,((c_T2MX)-(c_T2MN))*(((F404)-(c_T2MN))*((1000)-(0))+IF(((1000)-(0))&gt;=0,1,-1)*QUOTIENT(((c_T2MX)-(c_T2MN)),2)))&lt;0,-1,0),IF(IF(o_WRAP=1,MOD(((c_T2MX)-(c_T2MN))*(((F404)-(c_T2MN))*((1000)-(0))+IF(((1000)-(0))&gt;=0,1,-1)*QUOTIENT(((c_T2MX)-(c_T2MN)),2))+2147483648,4294967296)-2147483648,((c_T2MX)-(c_T2MN))*(((F404)-(c_T2MN))*((1000)-(0))+IF(((1000)-(0))&gt;=0,1,-1)*QUOTIENT(((c_T2MX)-(c_T2MN)),2)))&gt;=0,1,0))),"")</f>
        <v/>
      </c>
      <c r="H404" s="7" t="str">
        <f aca="false">IF(E404&gt;1000+k_TOL,"T1 HIGH",IF(E404&lt;0-k_TOL,"T1 LOW",IF(c_TPOT&gt;1,IF(G404&gt;1000+k_TOL,"T2 HIGH",IF(G404&lt;0-k_TOL,"T2 LOW",IF(c_TTYPE=2,IF(ABS(1000-MAX(0,MIN(1000,E404))-MAX(0,MIN(1000,G404)))&gt;k_MAXERR,"MISMATCH","OK"),IF(OR(MAX(0,MIN(1000,E404))-k_MAXERR&gt;MAX(0,MIN(1000,G404)),MAX(0,MIN(1000,G404))-k_MAXERR&gt;MAX(0,MIN(1000,E404))),"MISMATCH","OK")))),"OK")))</f>
        <v>T1 HIGH</v>
      </c>
      <c r="I404" s="7" t="n">
        <f aca="false">MAX(0,MIN(1000,D404))</f>
        <v>1000</v>
      </c>
      <c r="J404" s="7" t="str">
        <f aca="false">IF(c_TPOT&gt;1,IF(c_TTYPE=2,1000-MAX(0,MIN(1000,G404)),MAX(0,MIN(1000,G404))),"")</f>
        <v/>
      </c>
      <c r="K404" s="7" t="n">
        <f aca="false">IF(c_TPOT&gt;1,QUOTIENT(I404+J404,2),I404)</f>
        <v>1000</v>
      </c>
      <c r="L404" s="7" t="n">
        <f aca="false">IF(AND(K404=0,c_TCREEP&gt;0),10*c_TCREEP,IF(AND(K404&lt;=c_TRNGMIN,K404&gt;=c_TRNGMAX,c_TRNGMIN-c_TRNGMAX&lt;&gt;0),-10*c_TMINRN+QUOTIENT((c_TMAXRN-c_TMINRN)*(100-QUOTIENT((K404-c_TRNGMAX)*100,c_TRNGMIN-c_TRNGMAX)),-10),0))</f>
        <v>0</v>
      </c>
      <c r="M404" s="7" t="n">
        <f aca="false">IF(((c_TMAP1IN)-(c_TFWD))=0,(0)+QUOTIENT(((c_TMAP1OUT)-(0)),2),QUOTIENT((((K404)-(c_TFWD))*((c_TMAP1OUT)-(0))+IF(((c_TMAP1OUT)-(0))&gt;=0,1,-1)*QUOTIENT(((c_TMAP1IN)-(c_TFWD)),2)),((c_TMAP1IN)-(c_TFWD)))+(0)+IF(((c_TMAP1OUT)-(0))&gt;=0,IF(IF(o_WRAP=1,MOD(((c_TMAP1IN)-(c_TFWD))*(((K404)-(c_TFWD))*((c_TMAP1OUT)-(0))+IF(((c_TMAP1OUT)-(0))&gt;=0,1,-1)*QUOTIENT(((c_TMAP1IN)-(c_TFWD)),2))+2147483648,4294967296)-2147483648,((c_TMAP1IN)-(c_TFWD))*(((K404)-(c_TFWD))*((c_TMAP1OUT)-(0))+IF(((c_TMAP1OUT)-(0))&gt;=0,1,-1)*QUOTIENT(((c_TMAP1IN)-(c_TFWD)),2)))&lt;0,-1,0),IF(IF(o_WRAP=1,MOD(((c_TMAP1IN)-(c_TFWD))*(((K404)-(c_TFWD))*((c_TMAP1OUT)-(0))+IF(((c_TMAP1OUT)-(0))&gt;=0,1,-1)*QUOTIENT(((c_TMAP1IN)-(c_TFWD)),2))+2147483648,4294967296)-2147483648,((c_TMAP1IN)-(c_TFWD))*(((K404)-(c_TFWD))*((c_TMAP1OUT)-(0))+IF(((c_TMAP1OUT)-(0))&gt;=0,1,-1)*QUOTIENT(((c_TMAP1IN)-(c_TFWD)),2)))&gt;=0,1,0)))</f>
        <v>770</v>
      </c>
      <c r="N404" s="7" t="n">
        <f aca="false">IF(((c_TMAP2IN)-(c_TMAP1IN))=0,(c_TMAP1OUT)+QUOTIENT(((c_TMAP2OUT)-(c_TMAP1OUT)),2),QUOTIENT((((K404)-(c_TMAP1IN))*((c_TMAP2OUT)-(c_TMAP1OUT))+IF(((c_TMAP2OUT)-(c_TMAP1OUT))&gt;=0,1,-1)*QUOTIENT(((c_TMAP2IN)-(c_TMAP1IN)),2)),((c_TMAP2IN)-(c_TMAP1IN)))+(c_TMAP1OUT)+IF(((c_TMAP2OUT)-(c_TMAP1OUT))&gt;=0,IF(IF(o_WRAP=1,MOD(((c_TMAP2IN)-(c_TMAP1IN))*(((K404)-(c_TMAP1IN))*((c_TMAP2OUT)-(c_TMAP1OUT))+IF(((c_TMAP2OUT)-(c_TMAP1OUT))&gt;=0,1,-1)*QUOTIENT(((c_TMAP2IN)-(c_TMAP1IN)),2))+2147483648,4294967296)-2147483648,((c_TMAP2IN)-(c_TMAP1IN))*(((K404)-(c_TMAP1IN))*((c_TMAP2OUT)-(c_TMAP1OUT))+IF(((c_TMAP2OUT)-(c_TMAP1OUT))&gt;=0,1,-1)*QUOTIENT(((c_TMAP2IN)-(c_TMAP1IN)),2)))&lt;0,-1,0),IF(IF(o_WRAP=1,MOD(((c_TMAP2IN)-(c_TMAP1IN))*(((K404)-(c_TMAP1IN))*((c_TMAP2OUT)-(c_TMAP1OUT))+IF(((c_TMAP2OUT)-(c_TMAP1OUT))&gt;=0,1,-1)*QUOTIENT(((c_TMAP2IN)-(c_TMAP1IN)),2))+2147483648,4294967296)-2147483648,((c_TMAP2IN)-(c_TMAP1IN))*(((K404)-(c_TMAP1IN))*((c_TMAP2OUT)-(c_TMAP1OUT))+IF(((c_TMAP2OUT)-(c_TMAP1OUT))&gt;=0,1,-1)*QUOTIENT(((c_TMAP2IN)-(c_TMAP1IN)),2)))&gt;=0,1,0)))</f>
        <v>430</v>
      </c>
      <c r="O404" s="7" t="n">
        <f aca="false">IF(((c_TMAP3IN)-(c_TMAP2IN))=0,(c_TMAP2OUT)+QUOTIENT(((c_TMAP3OUT)-(c_TMAP2OUT)),2),QUOTIENT((((K404)-(c_TMAP2IN))*((c_TMAP3OUT)-(c_TMAP2OUT))+IF(((c_TMAP3OUT)-(c_TMAP2OUT))&gt;=0,1,-1)*QUOTIENT(((c_TMAP3IN)-(c_TMAP2IN)),2)),((c_TMAP3IN)-(c_TMAP2IN)))+(c_TMAP2OUT)+IF(((c_TMAP3OUT)-(c_TMAP2OUT))&gt;=0,IF(IF(o_WRAP=1,MOD(((c_TMAP3IN)-(c_TMAP2IN))*(((K404)-(c_TMAP2IN))*((c_TMAP3OUT)-(c_TMAP2OUT))+IF(((c_TMAP3OUT)-(c_TMAP2OUT))&gt;=0,1,-1)*QUOTIENT(((c_TMAP3IN)-(c_TMAP2IN)),2))+2147483648,4294967296)-2147483648,((c_TMAP3IN)-(c_TMAP2IN))*(((K404)-(c_TMAP2IN))*((c_TMAP3OUT)-(c_TMAP2OUT))+IF(((c_TMAP3OUT)-(c_TMAP2OUT))&gt;=0,1,-1)*QUOTIENT(((c_TMAP3IN)-(c_TMAP2IN)),2)))&lt;0,-1,0),IF(IF(o_WRAP=1,MOD(((c_TMAP3IN)-(c_TMAP2IN))*(((K404)-(c_TMAP2IN))*((c_TMAP3OUT)-(c_TMAP2OUT))+IF(((c_TMAP3OUT)-(c_TMAP2OUT))&gt;=0,1,-1)*QUOTIENT(((c_TMAP3IN)-(c_TMAP2IN)),2))+2147483648,4294967296)-2147483648,((c_TMAP3IN)-(c_TMAP2IN))*(((K404)-(c_TMAP2IN))*((c_TMAP3OUT)-(c_TMAP2OUT))+IF(((c_TMAP3OUT)-(c_TMAP2OUT))&gt;=0,1,-1)*QUOTIENT(((c_TMAP3IN)-(c_TMAP2IN)),2)))&gt;=0,1,0)))</f>
        <v>655</v>
      </c>
      <c r="P404" s="7" t="n">
        <f aca="false">IF(((1000)-(c_TMAP3IN))=0,(c_TMAP3OUT)+QUOTIENT(((1000)-(c_TMAP3OUT)),2),QUOTIENT((((K404)-(c_TMAP3IN))*((1000)-(c_TMAP3OUT))+IF(((1000)-(c_TMAP3OUT))&gt;=0,1,-1)*QUOTIENT(((1000)-(c_TMAP3IN)),2)),((1000)-(c_TMAP3IN)))+(c_TMAP3OUT)+IF(((1000)-(c_TMAP3OUT))&gt;=0,IF(IF(o_WRAP=1,MOD(((1000)-(c_TMAP3IN))*(((K404)-(c_TMAP3IN))*((1000)-(c_TMAP3OUT))+IF(((1000)-(c_TMAP3OUT))&gt;=0,1,-1)*QUOTIENT(((1000)-(c_TMAP3IN)),2))+2147483648,4294967296)-2147483648,((1000)-(c_TMAP3IN))*(((K404)-(c_TMAP3IN))*((1000)-(c_TMAP3OUT))+IF(((1000)-(c_TMAP3OUT))&gt;=0,1,-1)*QUOTIENT(((1000)-(c_TMAP3IN)),2)))&lt;0,-1,0),IF(IF(o_WRAP=1,MOD(((1000)-(c_TMAP3IN))*(((K404)-(c_TMAP3IN))*((1000)-(c_TMAP3OUT))+IF(((1000)-(c_TMAP3OUT))&gt;=0,1,-1)*QUOTIENT(((1000)-(c_TMAP3IN)),2))+2147483648,4294967296)-2147483648,((1000)-(c_TMAP3IN))*(((K404)-(c_TMAP3IN))*((1000)-(c_TMAP3OUT))+IF(((1000)-(c_TMAP3OUT))&gt;=0,1,-1)*QUOTIENT(((1000)-(c_TMAP3IN)),2)))&gt;=0,1,0)))</f>
        <v>1000</v>
      </c>
      <c r="Q404" s="7" t="str">
        <f aca="false">IF(K404&gt;=c_TFWD,IF(AND(K404&gt;=c_TMAP3IN,c_TMAP3IN&lt;1000),"Seg4 map3-100%",IF(AND(K404&gt;=c_TMAP2IN,c_TMAP3IN&gt;c_TMAP2IN),"Seg3 map2-map3",IF(AND(K404&gt;=c_TMAP1IN,c_TMAP2IN&gt;c_TMAP1IN),"Seg2 map1-map2","Seg1 TFWD-map1"))),IF(AND(K404=0,c_TCREEP&gt;0),"Creep",IF(AND(K404&lt;=c_TRNGMIN,K404&gt;=c_TRNGMAX,c_TRNGMIN-c_TRNGMAX&lt;&gt;0),"Regen ramp","Coast (0)")))</f>
        <v>Seg4 map3-100%</v>
      </c>
      <c r="R404" s="7" t="n">
        <f aca="false">IF(K404&gt;=c_TFWD,IF(AND(K404&gt;=c_TMAP3IN,c_TMAP3IN&lt;1000),P404,IF(AND(K404&gt;=c_TMAP2IN,c_TMAP3IN&gt;c_TMAP2IN),O404,IF(AND(K404&gt;=c_TMAP1IN,c_TMAP2IN&gt;c_TMAP1IN),N404,M404))),L404)</f>
        <v>1000</v>
      </c>
      <c r="S404" s="7" t="str">
        <f aca="false">IF(R404&lt;-1090,"TOO LOW",IF(R404&gt;1090,"TOO HIGH",""))</f>
        <v/>
      </c>
      <c r="T404" s="15" t="n">
        <f aca="false">IF(H404&lt;&gt;"OK",0,IF(S404&lt;&gt;"",0,IF(R404&gt;979,1000,R404)))</f>
        <v>0</v>
      </c>
      <c r="U404" s="7" t="n">
        <f aca="false">T404/10</f>
        <v>0</v>
      </c>
    </row>
    <row r="405" customFormat="false" ht="15" hidden="false" customHeight="false" outlineLevel="0" collapsed="false">
      <c r="A405" s="7" t="n">
        <v>400</v>
      </c>
      <c r="B405" s="7" t="n">
        <f aca="false">ROUND(o_SWSTART+A405*(o_SWEND-o_SWSTART)/400,0)</f>
        <v>4095</v>
      </c>
      <c r="C405" s="7" t="n">
        <f aca="false">QUOTIENT((B405-c_OFF1)*c_GAIN1,1024)</f>
        <v>4095</v>
      </c>
      <c r="D405" s="7" t="n">
        <f aca="false">IF(((c_T1MX)-(c_T1MN))=0,(0)+QUOTIENT(((1000)-(0)),2),QUOTIENT((((C405)-(c_T1MN))*((1000)-(0))+IF(((1000)-(0))&gt;=0,1,-1)*QUOTIENT(((c_T1MX)-(c_T1MN)),2)),((c_T1MX)-(c_T1MN)))+(0)+IF(((1000)-(0))&gt;=0,IF(IF(o_WRAP=1,MOD(((c_T1MX)-(c_T1MN))*(((C405)-(c_T1MN))*((1000)-(0))+IF(((1000)-(0))&gt;=0,1,-1)*QUOTIENT(((c_T1MX)-(c_T1MN)),2))+2147483648,4294967296)-2147483648,((c_T1MX)-(c_T1MN))*(((C405)-(c_T1MN))*((1000)-(0))+IF(((1000)-(0))&gt;=0,1,-1)*QUOTIENT(((c_T1MX)-(c_T1MN)),2)))&lt;0,-1,0),IF(IF(o_WRAP=1,MOD(((c_T1MX)-(c_T1MN))*(((C405)-(c_T1MN))*((1000)-(0))+IF(((1000)-(0))&gt;=0,1,-1)*QUOTIENT(((c_T1MX)-(c_T1MN)),2))+2147483648,4294967296)-2147483648,((c_T1MX)-(c_T1MN))*(((C405)-(c_T1MN))*((1000)-(0))+IF(((1000)-(0))&gt;=0,1,-1)*QUOTIENT(((c_T1MX)-(c_T1MN)),2)))&gt;=0,1,0)))</f>
        <v>1223</v>
      </c>
      <c r="E405" s="7" t="n">
        <f aca="false">IF(AND(c_TPOT=1,c_TTYPE=2),1000-D405,D405)</f>
        <v>1223</v>
      </c>
      <c r="F405" s="7" t="str">
        <f aca="false">IF(c_TPOT&gt;1,ROUND(IF(c_TTYPE=2,c_T2MX-IF(c_T1MX=c_T1MN,0,(C405-c_T1MN)/(c_T1MX-c_T1MN))*(c_T2MX-c_T2MN),c_T2MN+IF(c_T1MX=c_T1MN,0,(C405-c_T1MN)/(c_T1MX-c_T1MN))*(c_T2MX-c_T2MN))+o_MISMATCH,0),"")</f>
        <v/>
      </c>
      <c r="G405" s="7" t="str">
        <f aca="false">IF(c_TPOT&gt;1,IF(((c_T2MX)-(c_T2MN))=0,(0)+QUOTIENT(((1000)-(0)),2),QUOTIENT((((F405)-(c_T2MN))*((1000)-(0))+IF(((1000)-(0))&gt;=0,1,-1)*QUOTIENT(((c_T2MX)-(c_T2MN)),2)),((c_T2MX)-(c_T2MN)))+(0)+IF(((1000)-(0))&gt;=0,IF(IF(o_WRAP=1,MOD(((c_T2MX)-(c_T2MN))*(((F405)-(c_T2MN))*((1000)-(0))+IF(((1000)-(0))&gt;=0,1,-1)*QUOTIENT(((c_T2MX)-(c_T2MN)),2))+2147483648,4294967296)-2147483648,((c_T2MX)-(c_T2MN))*(((F405)-(c_T2MN))*((1000)-(0))+IF(((1000)-(0))&gt;=0,1,-1)*QUOTIENT(((c_T2MX)-(c_T2MN)),2)))&lt;0,-1,0),IF(IF(o_WRAP=1,MOD(((c_T2MX)-(c_T2MN))*(((F405)-(c_T2MN))*((1000)-(0))+IF(((1000)-(0))&gt;=0,1,-1)*QUOTIENT(((c_T2MX)-(c_T2MN)),2))+2147483648,4294967296)-2147483648,((c_T2MX)-(c_T2MN))*(((F405)-(c_T2MN))*((1000)-(0))+IF(((1000)-(0))&gt;=0,1,-1)*QUOTIENT(((c_T2MX)-(c_T2MN)),2)))&gt;=0,1,0))),"")</f>
        <v/>
      </c>
      <c r="H405" s="7" t="str">
        <f aca="false">IF(E405&gt;1000+k_TOL,"T1 HIGH",IF(E405&lt;0-k_TOL,"T1 LOW",IF(c_TPOT&gt;1,IF(G405&gt;1000+k_TOL,"T2 HIGH",IF(G405&lt;0-k_TOL,"T2 LOW",IF(c_TTYPE=2,IF(ABS(1000-MAX(0,MIN(1000,E405))-MAX(0,MIN(1000,G405)))&gt;k_MAXERR,"MISMATCH","OK"),IF(OR(MAX(0,MIN(1000,E405))-k_MAXERR&gt;MAX(0,MIN(1000,G405)),MAX(0,MIN(1000,G405))-k_MAXERR&gt;MAX(0,MIN(1000,E405))),"MISMATCH","OK")))),"OK")))</f>
        <v>T1 HIGH</v>
      </c>
      <c r="I405" s="7" t="n">
        <f aca="false">MAX(0,MIN(1000,D405))</f>
        <v>1000</v>
      </c>
      <c r="J405" s="7" t="str">
        <f aca="false">IF(c_TPOT&gt;1,IF(c_TTYPE=2,1000-MAX(0,MIN(1000,G405)),MAX(0,MIN(1000,G405))),"")</f>
        <v/>
      </c>
      <c r="K405" s="7" t="n">
        <f aca="false">IF(c_TPOT&gt;1,QUOTIENT(I405+J405,2),I405)</f>
        <v>1000</v>
      </c>
      <c r="L405" s="7" t="n">
        <f aca="false">IF(AND(K405=0,c_TCREEP&gt;0),10*c_TCREEP,IF(AND(K405&lt;=c_TRNGMIN,K405&gt;=c_TRNGMAX,c_TRNGMIN-c_TRNGMAX&lt;&gt;0),-10*c_TMINRN+QUOTIENT((c_TMAXRN-c_TMINRN)*(100-QUOTIENT((K405-c_TRNGMAX)*100,c_TRNGMIN-c_TRNGMAX)),-10),0))</f>
        <v>0</v>
      </c>
      <c r="M405" s="7" t="n">
        <f aca="false">IF(((c_TMAP1IN)-(c_TFWD))=0,(0)+QUOTIENT(((c_TMAP1OUT)-(0)),2),QUOTIENT((((K405)-(c_TFWD))*((c_TMAP1OUT)-(0))+IF(((c_TMAP1OUT)-(0))&gt;=0,1,-1)*QUOTIENT(((c_TMAP1IN)-(c_TFWD)),2)),((c_TMAP1IN)-(c_TFWD)))+(0)+IF(((c_TMAP1OUT)-(0))&gt;=0,IF(IF(o_WRAP=1,MOD(((c_TMAP1IN)-(c_TFWD))*(((K405)-(c_TFWD))*((c_TMAP1OUT)-(0))+IF(((c_TMAP1OUT)-(0))&gt;=0,1,-1)*QUOTIENT(((c_TMAP1IN)-(c_TFWD)),2))+2147483648,4294967296)-2147483648,((c_TMAP1IN)-(c_TFWD))*(((K405)-(c_TFWD))*((c_TMAP1OUT)-(0))+IF(((c_TMAP1OUT)-(0))&gt;=0,1,-1)*QUOTIENT(((c_TMAP1IN)-(c_TFWD)),2)))&lt;0,-1,0),IF(IF(o_WRAP=1,MOD(((c_TMAP1IN)-(c_TFWD))*(((K405)-(c_TFWD))*((c_TMAP1OUT)-(0))+IF(((c_TMAP1OUT)-(0))&gt;=0,1,-1)*QUOTIENT(((c_TMAP1IN)-(c_TFWD)),2))+2147483648,4294967296)-2147483648,((c_TMAP1IN)-(c_TFWD))*(((K405)-(c_TFWD))*((c_TMAP1OUT)-(0))+IF(((c_TMAP1OUT)-(0))&gt;=0,1,-1)*QUOTIENT(((c_TMAP1IN)-(c_TFWD)),2)))&gt;=0,1,0)))</f>
        <v>770</v>
      </c>
      <c r="N405" s="7" t="n">
        <f aca="false">IF(((c_TMAP2IN)-(c_TMAP1IN))=0,(c_TMAP1OUT)+QUOTIENT(((c_TMAP2OUT)-(c_TMAP1OUT)),2),QUOTIENT((((K405)-(c_TMAP1IN))*((c_TMAP2OUT)-(c_TMAP1OUT))+IF(((c_TMAP2OUT)-(c_TMAP1OUT))&gt;=0,1,-1)*QUOTIENT(((c_TMAP2IN)-(c_TMAP1IN)),2)),((c_TMAP2IN)-(c_TMAP1IN)))+(c_TMAP1OUT)+IF(((c_TMAP2OUT)-(c_TMAP1OUT))&gt;=0,IF(IF(o_WRAP=1,MOD(((c_TMAP2IN)-(c_TMAP1IN))*(((K405)-(c_TMAP1IN))*((c_TMAP2OUT)-(c_TMAP1OUT))+IF(((c_TMAP2OUT)-(c_TMAP1OUT))&gt;=0,1,-1)*QUOTIENT(((c_TMAP2IN)-(c_TMAP1IN)),2))+2147483648,4294967296)-2147483648,((c_TMAP2IN)-(c_TMAP1IN))*(((K405)-(c_TMAP1IN))*((c_TMAP2OUT)-(c_TMAP1OUT))+IF(((c_TMAP2OUT)-(c_TMAP1OUT))&gt;=0,1,-1)*QUOTIENT(((c_TMAP2IN)-(c_TMAP1IN)),2)))&lt;0,-1,0),IF(IF(o_WRAP=1,MOD(((c_TMAP2IN)-(c_TMAP1IN))*(((K405)-(c_TMAP1IN))*((c_TMAP2OUT)-(c_TMAP1OUT))+IF(((c_TMAP2OUT)-(c_TMAP1OUT))&gt;=0,1,-1)*QUOTIENT(((c_TMAP2IN)-(c_TMAP1IN)),2))+2147483648,4294967296)-2147483648,((c_TMAP2IN)-(c_TMAP1IN))*(((K405)-(c_TMAP1IN))*((c_TMAP2OUT)-(c_TMAP1OUT))+IF(((c_TMAP2OUT)-(c_TMAP1OUT))&gt;=0,1,-1)*QUOTIENT(((c_TMAP2IN)-(c_TMAP1IN)),2)))&gt;=0,1,0)))</f>
        <v>430</v>
      </c>
      <c r="O405" s="7" t="n">
        <f aca="false">IF(((c_TMAP3IN)-(c_TMAP2IN))=0,(c_TMAP2OUT)+QUOTIENT(((c_TMAP3OUT)-(c_TMAP2OUT)),2),QUOTIENT((((K405)-(c_TMAP2IN))*((c_TMAP3OUT)-(c_TMAP2OUT))+IF(((c_TMAP3OUT)-(c_TMAP2OUT))&gt;=0,1,-1)*QUOTIENT(((c_TMAP3IN)-(c_TMAP2IN)),2)),((c_TMAP3IN)-(c_TMAP2IN)))+(c_TMAP2OUT)+IF(((c_TMAP3OUT)-(c_TMAP2OUT))&gt;=0,IF(IF(o_WRAP=1,MOD(((c_TMAP3IN)-(c_TMAP2IN))*(((K405)-(c_TMAP2IN))*((c_TMAP3OUT)-(c_TMAP2OUT))+IF(((c_TMAP3OUT)-(c_TMAP2OUT))&gt;=0,1,-1)*QUOTIENT(((c_TMAP3IN)-(c_TMAP2IN)),2))+2147483648,4294967296)-2147483648,((c_TMAP3IN)-(c_TMAP2IN))*(((K405)-(c_TMAP2IN))*((c_TMAP3OUT)-(c_TMAP2OUT))+IF(((c_TMAP3OUT)-(c_TMAP2OUT))&gt;=0,1,-1)*QUOTIENT(((c_TMAP3IN)-(c_TMAP2IN)),2)))&lt;0,-1,0),IF(IF(o_WRAP=1,MOD(((c_TMAP3IN)-(c_TMAP2IN))*(((K405)-(c_TMAP2IN))*((c_TMAP3OUT)-(c_TMAP2OUT))+IF(((c_TMAP3OUT)-(c_TMAP2OUT))&gt;=0,1,-1)*QUOTIENT(((c_TMAP3IN)-(c_TMAP2IN)),2))+2147483648,4294967296)-2147483648,((c_TMAP3IN)-(c_TMAP2IN))*(((K405)-(c_TMAP2IN))*((c_TMAP3OUT)-(c_TMAP2OUT))+IF(((c_TMAP3OUT)-(c_TMAP2OUT))&gt;=0,1,-1)*QUOTIENT(((c_TMAP3IN)-(c_TMAP2IN)),2)))&gt;=0,1,0)))</f>
        <v>655</v>
      </c>
      <c r="P405" s="7" t="n">
        <f aca="false">IF(((1000)-(c_TMAP3IN))=0,(c_TMAP3OUT)+QUOTIENT(((1000)-(c_TMAP3OUT)),2),QUOTIENT((((K405)-(c_TMAP3IN))*((1000)-(c_TMAP3OUT))+IF(((1000)-(c_TMAP3OUT))&gt;=0,1,-1)*QUOTIENT(((1000)-(c_TMAP3IN)),2)),((1000)-(c_TMAP3IN)))+(c_TMAP3OUT)+IF(((1000)-(c_TMAP3OUT))&gt;=0,IF(IF(o_WRAP=1,MOD(((1000)-(c_TMAP3IN))*(((K405)-(c_TMAP3IN))*((1000)-(c_TMAP3OUT))+IF(((1000)-(c_TMAP3OUT))&gt;=0,1,-1)*QUOTIENT(((1000)-(c_TMAP3IN)),2))+2147483648,4294967296)-2147483648,((1000)-(c_TMAP3IN))*(((K405)-(c_TMAP3IN))*((1000)-(c_TMAP3OUT))+IF(((1000)-(c_TMAP3OUT))&gt;=0,1,-1)*QUOTIENT(((1000)-(c_TMAP3IN)),2)))&lt;0,-1,0),IF(IF(o_WRAP=1,MOD(((1000)-(c_TMAP3IN))*(((K405)-(c_TMAP3IN))*((1000)-(c_TMAP3OUT))+IF(((1000)-(c_TMAP3OUT))&gt;=0,1,-1)*QUOTIENT(((1000)-(c_TMAP3IN)),2))+2147483648,4294967296)-2147483648,((1000)-(c_TMAP3IN))*(((K405)-(c_TMAP3IN))*((1000)-(c_TMAP3OUT))+IF(((1000)-(c_TMAP3OUT))&gt;=0,1,-1)*QUOTIENT(((1000)-(c_TMAP3IN)),2)))&gt;=0,1,0)))</f>
        <v>1000</v>
      </c>
      <c r="Q405" s="7" t="str">
        <f aca="false">IF(K405&gt;=c_TFWD,IF(AND(K405&gt;=c_TMAP3IN,c_TMAP3IN&lt;1000),"Seg4 map3-100%",IF(AND(K405&gt;=c_TMAP2IN,c_TMAP3IN&gt;c_TMAP2IN),"Seg3 map2-map3",IF(AND(K405&gt;=c_TMAP1IN,c_TMAP2IN&gt;c_TMAP1IN),"Seg2 map1-map2","Seg1 TFWD-map1"))),IF(AND(K405=0,c_TCREEP&gt;0),"Creep",IF(AND(K405&lt;=c_TRNGMIN,K405&gt;=c_TRNGMAX,c_TRNGMIN-c_TRNGMAX&lt;&gt;0),"Regen ramp","Coast (0)")))</f>
        <v>Seg4 map3-100%</v>
      </c>
      <c r="R405" s="7" t="n">
        <f aca="false">IF(K405&gt;=c_TFWD,IF(AND(K405&gt;=c_TMAP3IN,c_TMAP3IN&lt;1000),P405,IF(AND(K405&gt;=c_TMAP2IN,c_TMAP3IN&gt;c_TMAP2IN),O405,IF(AND(K405&gt;=c_TMAP1IN,c_TMAP2IN&gt;c_TMAP1IN),N405,M405))),L405)</f>
        <v>1000</v>
      </c>
      <c r="S405" s="7" t="str">
        <f aca="false">IF(R405&lt;-1090,"TOO LOW",IF(R405&gt;1090,"TOO HIGH",""))</f>
        <v/>
      </c>
      <c r="T405" s="15" t="n">
        <f aca="false">IF(H405&lt;&gt;"OK",0,IF(S405&lt;&gt;"",0,IF(R405&gt;979,1000,R405)))</f>
        <v>0</v>
      </c>
      <c r="U405" s="7" t="n">
        <f aca="false">T405/10</f>
        <v>0</v>
      </c>
    </row>
  </sheetData>
  <mergeCells count="1">
    <mergeCell ref="A2:T2"/>
  </mergeCells>
  <conditionalFormatting sqref="H5:H405">
    <cfRule type="expression" priority="2" aboveAverage="0" equalAverage="0" bottom="0" percent="0" rank="0" text="" dxfId="0">
      <formula>H5&lt;&gt;"OK"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6"/>
    <col collapsed="false" customWidth="true" hidden="false" outlineLevel="0" max="3" min="3" style="1" width="44"/>
    <col collapsed="false" customWidth="true" hidden="false" outlineLevel="0" max="4" min="4" style="1" width="80"/>
  </cols>
  <sheetData>
    <row r="1" customFormat="false" ht="17.35" hidden="false" customHeight="false" outlineLevel="0" collapsed="false">
      <c r="A1" s="2" t="s">
        <v>177</v>
      </c>
    </row>
    <row r="2" customFormat="false" ht="15" hidden="false" customHeight="false" outlineLevel="0" collapsed="false">
      <c r="A2" s="7" t="s">
        <v>178</v>
      </c>
    </row>
    <row r="4" customFormat="false" ht="42" hidden="false" customHeight="true" outlineLevel="0" collapsed="false">
      <c r="A4" s="4" t="s">
        <v>161</v>
      </c>
      <c r="B4" s="4" t="s">
        <v>179</v>
      </c>
      <c r="C4" s="4" t="s">
        <v>180</v>
      </c>
      <c r="D4" s="4" t="s">
        <v>181</v>
      </c>
    </row>
    <row r="5" customFormat="false" ht="15" hidden="false" customHeight="false" outlineLevel="0" collapsed="false">
      <c r="A5" s="7" t="s">
        <v>162</v>
      </c>
      <c r="B5" s="16" t="n">
        <f aca="false">o_TRACE1</f>
        <v>1500</v>
      </c>
      <c r="C5" s="7" t="s">
        <v>182</v>
      </c>
      <c r="D5" s="9" t="s">
        <v>183</v>
      </c>
    </row>
    <row r="6" customFormat="false" ht="23.85" hidden="false" customHeight="false" outlineLevel="0" collapsed="false">
      <c r="A6" s="7" t="s">
        <v>184</v>
      </c>
      <c r="B6" s="16" t="n">
        <f aca="false">QUOTIENT((B5-c_OFF1)*c_GAIN1,1024)</f>
        <v>1500</v>
      </c>
      <c r="C6" s="7" t="s">
        <v>185</v>
      </c>
      <c r="D6" s="9" t="s">
        <v>186</v>
      </c>
    </row>
    <row r="7" customFormat="false" ht="15" hidden="false" customHeight="false" outlineLevel="0" collapsed="false">
      <c r="A7" s="7" t="s">
        <v>187</v>
      </c>
      <c r="B7" s="16" t="n">
        <f aca="false">o_TRACE2</f>
        <v>0</v>
      </c>
      <c r="C7" s="7" t="s">
        <v>182</v>
      </c>
      <c r="D7" s="9"/>
    </row>
    <row r="8" customFormat="false" ht="15" hidden="false" customHeight="false" outlineLevel="0" collapsed="false">
      <c r="A8" s="7" t="s">
        <v>188</v>
      </c>
      <c r="B8" s="16" t="n">
        <f aca="false">QUOTIENT((B7-c_OFF2)*c_GAIN2,1024)</f>
        <v>0</v>
      </c>
      <c r="C8" s="7" t="s">
        <v>189</v>
      </c>
      <c r="D8" s="9"/>
    </row>
    <row r="9" customFormat="false" ht="15" hidden="false" customHeight="false" outlineLevel="0" collapsed="false">
      <c r="A9" s="7" t="s">
        <v>190</v>
      </c>
      <c r="B9" s="16" t="n">
        <f aca="false">IF(((c_T1MX)-(c_T1MN))=0,(0)+QUOTIENT(((1000)-(0)),2),QUOTIENT((((B6)-(c_T1MN))*((1000)-(0))+IF(((1000)-(0))&gt;=0,1,-1)*QUOTIENT(((c_T1MX)-(c_T1MN)),2)),((c_T1MX)-(c_T1MN)))+(0)+IF(((1000)-(0))&gt;=0,IF(IF(o_WRAP=1,MOD(((c_T1MX)-(c_T1MN))*(((B6)-(c_T1MN))*((1000)-(0))+IF(((1000)-(0))&gt;=0,1,-1)*QUOTIENT(((c_T1MX)-(c_T1MN)),2))+2147483648,4294967296)-2147483648,((c_T1MX)-(c_T1MN))*(((B6)-(c_T1MN))*((1000)-(0))+IF(((1000)-(0))&gt;=0,1,-1)*QUOTIENT(((c_T1MX)-(c_T1MN)),2)))&lt;0,-1,0),IF(IF(o_WRAP=1,MOD(((c_T1MX)-(c_T1MN))*(((B6)-(c_T1MN))*((1000)-(0))+IF(((1000)-(0))&gt;=0,1,-1)*QUOTIENT(((c_T1MX)-(c_T1MN)),2))+2147483648,4294967296)-2147483648,((c_T1MX)-(c_T1MN))*(((B6)-(c_T1MN))*((1000)-(0))+IF(((1000)-(0))&gt;=0,1,-1)*QUOTIENT(((c_T1MX)-(c_T1MN)),2)))&gt;=0,1,0)))</f>
        <v>283</v>
      </c>
      <c r="C9" s="7" t="s">
        <v>191</v>
      </c>
      <c r="D9" s="9" t="s">
        <v>192</v>
      </c>
    </row>
    <row r="10" customFormat="false" ht="15" hidden="false" customHeight="false" outlineLevel="0" collapsed="false">
      <c r="A10" s="7" t="s">
        <v>193</v>
      </c>
      <c r="B10" s="16" t="n">
        <f aca="false">IF(AND(c_TPOT=1,c_TTYPE=2),1000-B9,B9)</f>
        <v>283</v>
      </c>
      <c r="C10" s="7" t="s">
        <v>194</v>
      </c>
      <c r="D10" s="9" t="s">
        <v>195</v>
      </c>
    </row>
    <row r="11" customFormat="false" ht="15" hidden="false" customHeight="false" outlineLevel="0" collapsed="false">
      <c r="A11" s="7" t="s">
        <v>196</v>
      </c>
      <c r="B11" s="16" t="str">
        <f aca="false">IF(B10&gt;1000+k_TOL,"T1 HIGH",IF(B10&lt;0-k_TOL,"T1 LOW","OK"))</f>
        <v>OK</v>
      </c>
      <c r="C11" s="7" t="s">
        <v>197</v>
      </c>
      <c r="D11" s="9" t="s">
        <v>198</v>
      </c>
    </row>
    <row r="12" customFormat="false" ht="15" hidden="false" customHeight="false" outlineLevel="0" collapsed="false">
      <c r="A12" s="7" t="s">
        <v>199</v>
      </c>
      <c r="B12" s="16" t="str">
        <f aca="false">IF(c_TPOT&gt;1,IF(((c_T2MX)-(c_T2MN))=0,(0)+QUOTIENT(((1000)-(0)),2),QUOTIENT((((B8)-(c_T2MN))*((1000)-(0))+IF(((1000)-(0))&gt;=0,1,-1)*QUOTIENT(((c_T2MX)-(c_T2MN)),2)),((c_T2MX)-(c_T2MN)))+(0)+IF(((1000)-(0))&gt;=0,IF(IF(o_WRAP=1,MOD(((c_T2MX)-(c_T2MN))*(((B8)-(c_T2MN))*((1000)-(0))+IF(((1000)-(0))&gt;=0,1,-1)*QUOTIENT(((c_T2MX)-(c_T2MN)),2))+2147483648,4294967296)-2147483648,((c_T2MX)-(c_T2MN))*(((B8)-(c_T2MN))*((1000)-(0))+IF(((1000)-(0))&gt;=0,1,-1)*QUOTIENT(((c_T2MX)-(c_T2MN)),2)))&lt;0,-1,0),IF(IF(o_WRAP=1,MOD(((c_T2MX)-(c_T2MN))*(((B8)-(c_T2MN))*((1000)-(0))+IF(((1000)-(0))&gt;=0,1,-1)*QUOTIENT(((c_T2MX)-(c_T2MN)),2))+2147483648,4294967296)-2147483648,((c_T2MX)-(c_T2MN))*(((B8)-(c_T2MN))*((1000)-(0))+IF(((1000)-(0))&gt;=0,1,-1)*QUOTIENT(((c_T2MX)-(c_T2MN)),2)))&gt;=0,1,0))),"n/a")</f>
        <v>n/a</v>
      </c>
      <c r="C12" s="7" t="s">
        <v>200</v>
      </c>
      <c r="D12" s="9" t="s">
        <v>201</v>
      </c>
    </row>
    <row r="13" customFormat="false" ht="15" hidden="false" customHeight="false" outlineLevel="0" collapsed="false">
      <c r="A13" s="7" t="s">
        <v>202</v>
      </c>
      <c r="B13" s="16" t="str">
        <f aca="false">IF(c_TPOT&gt;1,IF(B12&gt;1000+k_TOL,"T2 HIGH",IF(B12&lt;0-k_TOL,"T2 LOW","OK")),"n/a")</f>
        <v>n/a</v>
      </c>
      <c r="C13" s="7" t="s">
        <v>197</v>
      </c>
      <c r="D13" s="9"/>
    </row>
    <row r="14" customFormat="false" ht="23.85" hidden="false" customHeight="false" outlineLevel="0" collapsed="false">
      <c r="A14" s="7" t="s">
        <v>203</v>
      </c>
      <c r="B14" s="16" t="str">
        <f aca="false">IF(c_TPOT&gt;1,IF(c_TTYPE=2,IF(ABS(1000-MAX(0,MIN(1000,B10))-MAX(0,MIN(1000,B12)))&gt;k_MAXERR,"MISMATCH","OK"),IF(OR(MAX(0,MIN(1000,B10))-k_MAXERR&gt;MAX(0,MIN(1000,B12)),MAX(0,MIN(1000,B12))-k_MAXERR&gt;MAX(0,MIN(1000,B10))),"MISMATCH","OK")),"n/a")</f>
        <v>n/a</v>
      </c>
      <c r="C14" s="7" t="s">
        <v>197</v>
      </c>
      <c r="D14" s="9" t="s">
        <v>204</v>
      </c>
    </row>
    <row r="15" customFormat="false" ht="15" hidden="false" customHeight="false" outlineLevel="0" collapsed="false">
      <c r="A15" s="7" t="s">
        <v>205</v>
      </c>
      <c r="B15" s="16" t="str">
        <f aca="false">IF(B11&lt;&gt;"OK",B11,IF(c_TPOT&gt;1,IF(B13&lt;&gt;"OK",B13,B14),"OK"))</f>
        <v>OK</v>
      </c>
      <c r="C15" s="7" t="s">
        <v>206</v>
      </c>
      <c r="D15" s="9" t="s">
        <v>207</v>
      </c>
    </row>
    <row r="16" customFormat="false" ht="15" hidden="false" customHeight="false" outlineLevel="0" collapsed="false">
      <c r="A16" s="7" t="s">
        <v>208</v>
      </c>
      <c r="B16" s="16" t="n">
        <f aca="false">MAX(0,MIN(1000,B9))</f>
        <v>283</v>
      </c>
      <c r="C16" s="7" t="s">
        <v>209</v>
      </c>
      <c r="D16" s="9"/>
    </row>
    <row r="17" customFormat="false" ht="15" hidden="false" customHeight="false" outlineLevel="0" collapsed="false">
      <c r="A17" s="7" t="s">
        <v>210</v>
      </c>
      <c r="B17" s="16" t="str">
        <f aca="false">IF(c_TPOT&gt;1,IF(c_TTYPE=2,1000-MAX(0,MIN(1000,B12)),MAX(0,MIN(1000,B12))),"n/a")</f>
        <v>n/a</v>
      </c>
      <c r="C17" s="7" t="s">
        <v>211</v>
      </c>
      <c r="D17" s="9" t="s">
        <v>212</v>
      </c>
    </row>
    <row r="18" customFormat="false" ht="15" hidden="false" customHeight="false" outlineLevel="0" collapsed="false">
      <c r="A18" s="7" t="s">
        <v>147</v>
      </c>
      <c r="B18" s="16" t="n">
        <f aca="false">IF(c_TPOT&gt;1,QUOTIENT(B16+B17,2),B16)</f>
        <v>283</v>
      </c>
      <c r="C18" s="7" t="s">
        <v>211</v>
      </c>
      <c r="D18" s="9" t="s">
        <v>213</v>
      </c>
    </row>
    <row r="19" customFormat="false" ht="15" hidden="false" customHeight="false" outlineLevel="0" collapsed="false">
      <c r="A19" s="7" t="s">
        <v>149</v>
      </c>
      <c r="B19" s="16" t="n">
        <f aca="false">IF(AND(B18=0,c_TCREEP&gt;0),10*c_TCREEP,IF(AND(B18&lt;=c_TRNGMIN,B18&gt;=c_TRNGMAX,c_TRNGMIN-c_TRNGMAX&lt;&gt;0),-10*c_TMINRN+QUOTIENT((c_TMAXRN-c_TMINRN)*(100-QUOTIENT((B18-c_TRNGMAX)*100,c_TRNGMIN-c_TRNGMAX)),-10),0))</f>
        <v>0</v>
      </c>
      <c r="C19" s="7" t="s">
        <v>214</v>
      </c>
      <c r="D19" s="9" t="s">
        <v>215</v>
      </c>
    </row>
    <row r="20" customFormat="false" ht="15" hidden="false" customHeight="false" outlineLevel="0" collapsed="false">
      <c r="A20" s="7" t="s">
        <v>216</v>
      </c>
      <c r="B20" s="16" t="n">
        <f aca="false">IF(((c_TMAP1IN)-(c_TFWD))=0,(0)+QUOTIENT(((c_TMAP1OUT)-(0)),2),QUOTIENT((((B18)-(c_TFWD))*((c_TMAP1OUT)-(0))+IF(((c_TMAP1OUT)-(0))&gt;=0,1,-1)*QUOTIENT(((c_TMAP1IN)-(c_TFWD)),2)),((c_TMAP1IN)-(c_TFWD)))+(0)+IF(((c_TMAP1OUT)-(0))&gt;=0,IF(IF(o_WRAP=1,MOD(((c_TMAP1IN)-(c_TFWD))*(((B18)-(c_TFWD))*((c_TMAP1OUT)-(0))+IF(((c_TMAP1OUT)-(0))&gt;=0,1,-1)*QUOTIENT(((c_TMAP1IN)-(c_TFWD)),2))+2147483648,4294967296)-2147483648,((c_TMAP1IN)-(c_TFWD))*(((B18)-(c_TFWD))*((c_TMAP1OUT)-(0))+IF(((c_TMAP1OUT)-(0))&gt;=0,1,-1)*QUOTIENT(((c_TMAP1IN)-(c_TFWD)),2)))&lt;0,-1,0),IF(IF(o_WRAP=1,MOD(((c_TMAP1IN)-(c_TFWD))*(((B18)-(c_TFWD))*((c_TMAP1OUT)-(0))+IF(((c_TMAP1OUT)-(0))&gt;=0,1,-1)*QUOTIENT(((c_TMAP1IN)-(c_TFWD)),2))+2147483648,4294967296)-2147483648,((c_TMAP1IN)-(c_TFWD))*(((B18)-(c_TFWD))*((c_TMAP1OUT)-(0))+IF(((c_TMAP1OUT)-(0))&gt;=0,1,-1)*QUOTIENT(((c_TMAP1IN)-(c_TFWD)),2)))&gt;=0,1,0)))</f>
        <v>212</v>
      </c>
      <c r="C20" s="7" t="s">
        <v>217</v>
      </c>
      <c r="D20" s="9" t="s">
        <v>218</v>
      </c>
    </row>
    <row r="21" customFormat="false" ht="15" hidden="false" customHeight="false" outlineLevel="0" collapsed="false">
      <c r="A21" s="7" t="s">
        <v>219</v>
      </c>
      <c r="B21" s="16" t="n">
        <f aca="false">IF(((c_TMAP2IN)-(c_TMAP1IN))=0,(c_TMAP1OUT)+QUOTIENT(((c_TMAP2OUT)-(c_TMAP1OUT)),2),QUOTIENT((((B18)-(c_TMAP1IN))*((c_TMAP2OUT)-(c_TMAP1OUT))+IF(((c_TMAP2OUT)-(c_TMAP1OUT))&gt;=0,1,-1)*QUOTIENT(((c_TMAP2IN)-(c_TMAP1IN)),2)),((c_TMAP2IN)-(c_TMAP1IN)))+(c_TMAP1OUT)+IF(((c_TMAP2OUT)-(c_TMAP1OUT))&gt;=0,IF(IF(o_WRAP=1,MOD(((c_TMAP2IN)-(c_TMAP1IN))*(((B18)-(c_TMAP1IN))*((c_TMAP2OUT)-(c_TMAP1OUT))+IF(((c_TMAP2OUT)-(c_TMAP1OUT))&gt;=0,1,-1)*QUOTIENT(((c_TMAP2IN)-(c_TMAP1IN)),2))+2147483648,4294967296)-2147483648,((c_TMAP2IN)-(c_TMAP1IN))*(((B18)-(c_TMAP1IN))*((c_TMAP2OUT)-(c_TMAP1OUT))+IF(((c_TMAP2OUT)-(c_TMAP1OUT))&gt;=0,1,-1)*QUOTIENT(((c_TMAP2IN)-(c_TMAP1IN)),2)))&lt;0,-1,0),IF(IF(o_WRAP=1,MOD(((c_TMAP2IN)-(c_TMAP1IN))*(((B18)-(c_TMAP1IN))*((c_TMAP2OUT)-(c_TMAP1OUT))+IF(((c_TMAP2OUT)-(c_TMAP1OUT))&gt;=0,1,-1)*QUOTIENT(((c_TMAP2IN)-(c_TMAP1IN)),2))+2147483648,4294967296)-2147483648,((c_TMAP2IN)-(c_TMAP1IN))*(((B18)-(c_TMAP1IN))*((c_TMAP2OUT)-(c_TMAP1OUT))+IF(((c_TMAP2OUT)-(c_TMAP1OUT))&gt;=0,1,-1)*QUOTIENT(((c_TMAP2IN)-(c_TMAP1IN)),2)))&gt;=0,1,0)))</f>
        <v>143</v>
      </c>
      <c r="C21" s="7" t="s">
        <v>220</v>
      </c>
      <c r="D21" s="9"/>
    </row>
    <row r="22" customFormat="false" ht="15" hidden="false" customHeight="false" outlineLevel="0" collapsed="false">
      <c r="A22" s="7" t="s">
        <v>221</v>
      </c>
      <c r="B22" s="16" t="n">
        <f aca="false">IF(((c_TMAP3IN)-(c_TMAP2IN))=0,(c_TMAP2OUT)+QUOTIENT(((c_TMAP3OUT)-(c_TMAP2OUT)),2),QUOTIENT((((B18)-(c_TMAP2IN))*((c_TMAP3OUT)-(c_TMAP2OUT))+IF(((c_TMAP3OUT)-(c_TMAP2OUT))&gt;=0,1,-1)*QUOTIENT(((c_TMAP3IN)-(c_TMAP2IN)),2)),((c_TMAP3IN)-(c_TMAP2IN)))+(c_TMAP2OUT)+IF(((c_TMAP3OUT)-(c_TMAP2OUT))&gt;=0,IF(IF(o_WRAP=1,MOD(((c_TMAP3IN)-(c_TMAP2IN))*(((B18)-(c_TMAP2IN))*((c_TMAP3OUT)-(c_TMAP2OUT))+IF(((c_TMAP3OUT)-(c_TMAP2OUT))&gt;=0,1,-1)*QUOTIENT(((c_TMAP3IN)-(c_TMAP2IN)),2))+2147483648,4294967296)-2147483648,((c_TMAP3IN)-(c_TMAP2IN))*(((B18)-(c_TMAP2IN))*((c_TMAP3OUT)-(c_TMAP2OUT))+IF(((c_TMAP3OUT)-(c_TMAP2OUT))&gt;=0,1,-1)*QUOTIENT(((c_TMAP3IN)-(c_TMAP2IN)),2)))&lt;0,-1,0),IF(IF(o_WRAP=1,MOD(((c_TMAP3IN)-(c_TMAP2IN))*(((B18)-(c_TMAP2IN))*((c_TMAP3OUT)-(c_TMAP2OUT))+IF(((c_TMAP3OUT)-(c_TMAP2OUT))&gt;=0,1,-1)*QUOTIENT(((c_TMAP3IN)-(c_TMAP2IN)),2))+2147483648,4294967296)-2147483648,((c_TMAP3IN)-(c_TMAP2IN))*(((B18)-(c_TMAP2IN))*((c_TMAP3OUT)-(c_TMAP2OUT))+IF(((c_TMAP3OUT)-(c_TMAP2OUT))&gt;=0,1,-1)*QUOTIENT(((c_TMAP3IN)-(c_TMAP2IN)),2)))&gt;=0,1,0)))</f>
        <v>153</v>
      </c>
      <c r="C22" s="7" t="s">
        <v>222</v>
      </c>
      <c r="D22" s="9"/>
    </row>
    <row r="23" customFormat="false" ht="15" hidden="false" customHeight="false" outlineLevel="0" collapsed="false">
      <c r="A23" s="7" t="s">
        <v>223</v>
      </c>
      <c r="B23" s="16" t="n">
        <f aca="false">IF(((1000)-(c_TMAP3IN))=0,(c_TMAP3OUT)+QUOTIENT(((1000)-(c_TMAP3OUT)),2),QUOTIENT((((B18)-(c_TMAP3IN))*((1000)-(c_TMAP3OUT))+IF(((1000)-(c_TMAP3OUT))&gt;=0,1,-1)*QUOTIENT(((1000)-(c_TMAP3IN)),2)),((1000)-(c_TMAP3IN)))+(c_TMAP3OUT)+IF(((1000)-(c_TMAP3OUT))&gt;=0,IF(IF(o_WRAP=1,MOD(((1000)-(c_TMAP3IN))*(((B18)-(c_TMAP3IN))*((1000)-(c_TMAP3OUT))+IF(((1000)-(c_TMAP3OUT))&gt;=0,1,-1)*QUOTIENT(((1000)-(c_TMAP3IN)),2))+2147483648,4294967296)-2147483648,((1000)-(c_TMAP3IN))*(((B18)-(c_TMAP3IN))*((1000)-(c_TMAP3OUT))+IF(((1000)-(c_TMAP3OUT))&gt;=0,1,-1)*QUOTIENT(((1000)-(c_TMAP3IN)),2)))&lt;0,-1,0),IF(IF(o_WRAP=1,MOD(((1000)-(c_TMAP3IN))*(((B18)-(c_TMAP3IN))*((1000)-(c_TMAP3OUT))+IF(((1000)-(c_TMAP3OUT))&gt;=0,1,-1)*QUOTIENT(((1000)-(c_TMAP3IN)),2))+2147483648,4294967296)-2147483648,((1000)-(c_TMAP3IN))*(((B18)-(c_TMAP3IN))*((1000)-(c_TMAP3OUT))+IF(((1000)-(c_TMAP3OUT))&gt;=0,1,-1)*QUOTIENT(((1000)-(c_TMAP3IN)),2)))&gt;=0,1,0)))</f>
        <v>118</v>
      </c>
      <c r="C23" s="7" t="s">
        <v>224</v>
      </c>
      <c r="D23" s="9"/>
    </row>
    <row r="24" customFormat="false" ht="15" hidden="false" customHeight="false" outlineLevel="0" collapsed="false">
      <c r="A24" s="7" t="s">
        <v>154</v>
      </c>
      <c r="B24" s="16" t="str">
        <f aca="false">IF(B18&gt;=c_TFWD,IF(AND(B18&gt;=c_TMAP3IN,c_TMAP3IN&lt;1000),"Seg4 map3-100%",IF(AND(B18&gt;=c_TMAP2IN,c_TMAP3IN&gt;c_TMAP2IN),"Seg3 map2-map3",IF(AND(B18&gt;=c_TMAP1IN,c_TMAP2IN&gt;c_TMAP1IN),"Seg2 map1-map2","Seg1 TFWD-map1"))),IF(AND(B18=0,c_TCREEP&gt;0),"Creep",IF(AND(B18&lt;=c_TRNGMIN,B18&gt;=c_TRNGMAX,c_TRNGMIN-c_TRNGMAX&lt;&gt;0),"Regen ramp","Coast (0)")))</f>
        <v>Seg3 map2-map3</v>
      </c>
      <c r="C24" s="7" t="s">
        <v>214</v>
      </c>
      <c r="D24" s="9" t="s">
        <v>225</v>
      </c>
    </row>
    <row r="25" customFormat="false" ht="15" hidden="false" customHeight="false" outlineLevel="0" collapsed="false">
      <c r="A25" s="7" t="s">
        <v>226</v>
      </c>
      <c r="B25" s="16" t="n">
        <f aca="false">IF(B18&gt;=c_TFWD,IF(AND(B18&gt;=c_TMAP3IN,c_TMAP3IN&lt;1000),B23,IF(AND(B18&gt;=c_TMAP2IN,c_TMAP3IN&gt;c_TMAP2IN),B22,IF(AND(B18&gt;=c_TMAP1IN,c_TMAP2IN&gt;c_TMAP1IN),B21,B20))),B19)</f>
        <v>153</v>
      </c>
      <c r="C25" s="7" t="s">
        <v>214</v>
      </c>
      <c r="D25" s="9"/>
    </row>
    <row r="26" customFormat="false" ht="15" hidden="false" customHeight="false" outlineLevel="0" collapsed="false">
      <c r="A26" s="7" t="s">
        <v>175</v>
      </c>
      <c r="B26" s="16" t="str">
        <f aca="false">IF(B25&lt;-1090,"TOO LOW",IF(B25&gt;1090,"TOO HIGH",""))</f>
        <v/>
      </c>
      <c r="C26" s="7" t="s">
        <v>214</v>
      </c>
      <c r="D26" s="9" t="s">
        <v>227</v>
      </c>
    </row>
    <row r="27" customFormat="false" ht="23.85" hidden="false" customHeight="false" outlineLevel="0" collapsed="false">
      <c r="A27" s="7" t="s">
        <v>157</v>
      </c>
      <c r="B27" s="17" t="n">
        <f aca="false">IF(B15&lt;&gt;"OK",0,IF(B26&lt;&gt;"",0,IF(B25&gt;979,1000,B25)))</f>
        <v>153</v>
      </c>
      <c r="C27" s="7" t="s">
        <v>228</v>
      </c>
      <c r="D27" s="9" t="s">
        <v>229</v>
      </c>
    </row>
    <row r="28" customFormat="false" ht="15" hidden="false" customHeight="false" outlineLevel="0" collapsed="false">
      <c r="A28" s="7" t="s">
        <v>158</v>
      </c>
      <c r="B28" s="16" t="n">
        <f aca="false">B27/10</f>
        <v>15.3</v>
      </c>
      <c r="C28" s="7"/>
      <c r="D28" s="9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127" activePane="bottomRight" state="frozen"/>
      <selection pane="topLeft" activeCell="A1" activeCellId="0" sqref="A1"/>
      <selection pane="topRight" activeCell="D1" activeCellId="0" sqref="D1"/>
      <selection pane="bottomLeft" activeCell="A127" activeCellId="0" sqref="A12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8" min="5" style="1" width="8"/>
    <col collapsed="false" customWidth="true" hidden="false" outlineLevel="0" max="10" min="9" style="1" width="9"/>
    <col collapsed="false" customWidth="true" hidden="false" outlineLevel="0" max="12" min="11" style="1" width="11"/>
    <col collapsed="false" customWidth="true" hidden="false" outlineLevel="0" max="15" min="13" style="1" width="10"/>
    <col collapsed="false" customWidth="true" hidden="false" outlineLevel="0" max="16" min="16" style="1" width="11"/>
    <col collapsed="false" customWidth="true" hidden="false" outlineLevel="0" max="18" min="17" style="1" width="10"/>
  </cols>
  <sheetData>
    <row r="1" customFormat="false" ht="17.35" hidden="false" customHeight="false" outlineLevel="0" collapsed="false">
      <c r="A1" s="2" t="s">
        <v>231</v>
      </c>
    </row>
    <row r="2" customFormat="false" ht="30" hidden="false" customHeight="true" outlineLevel="0" collapsed="false">
      <c r="A2" s="3" t="s">
        <v>232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customFormat="false" ht="42" hidden="false" customHeight="true" outlineLevel="0" collapsed="false">
      <c r="A4" s="4" t="s">
        <v>233</v>
      </c>
      <c r="B4" s="4" t="s">
        <v>234</v>
      </c>
      <c r="C4" s="4" t="s">
        <v>147</v>
      </c>
      <c r="D4" s="4" t="s">
        <v>235</v>
      </c>
      <c r="E4" s="4" t="s">
        <v>171</v>
      </c>
      <c r="F4" s="4" t="s">
        <v>172</v>
      </c>
      <c r="G4" s="4" t="s">
        <v>173</v>
      </c>
      <c r="H4" s="4" t="s">
        <v>174</v>
      </c>
      <c r="I4" s="4" t="s">
        <v>236</v>
      </c>
      <c r="J4" s="4" t="s">
        <v>175</v>
      </c>
      <c r="K4" s="4" t="s">
        <v>157</v>
      </c>
      <c r="L4" s="4" t="s">
        <v>237</v>
      </c>
      <c r="M4" s="4" t="s">
        <v>238</v>
      </c>
      <c r="N4" s="4" t="s">
        <v>239</v>
      </c>
      <c r="O4" s="4" t="s">
        <v>240</v>
      </c>
      <c r="P4" s="4" t="s">
        <v>241</v>
      </c>
      <c r="Q4" s="4" t="s">
        <v>242</v>
      </c>
      <c r="R4" s="4" t="s">
        <v>243</v>
      </c>
    </row>
    <row r="5" customFormat="false" ht="15" hidden="false" customHeight="false" outlineLevel="0" collapsed="false">
      <c r="A5" s="7" t="n">
        <v>0</v>
      </c>
      <c r="B5" s="7" t="n">
        <f aca="false">A5*0.04</f>
        <v>0</v>
      </c>
      <c r="C5" s="18" t="n">
        <v>0</v>
      </c>
      <c r="D5" s="7" t="n">
        <f aca="false">IF(AND(C5=0,c_TCREEP&gt;0),10*c_TCREEP,IF(AND(C5&lt;=c_TRNGMIN,C5&gt;=c_TRNGMAX,c_TRNGMIN-c_TRNGMAX&lt;&gt;0),-10*c_TMINRN+QUOTIENT((c_TMAXRN-c_TMINRN)*(100-QUOTIENT((C5-c_TRNGMAX)*100,c_TRNGMIN-c_TRNGMAX)),-10),0))</f>
        <v>-350</v>
      </c>
      <c r="E5" s="7" t="n">
        <f aca="false">IF(((c_TMAP1IN)-(c_TFWD))=0,(0)+QUOTIENT(((c_TMAP1OUT)-(0)),2),QUOTIENT((((C5)-(c_TFWD))*((c_TMAP1OUT)-(0))+IF(((c_TMAP1OUT)-(0))&gt;=0,1,-1)*QUOTIENT(((c_TMAP1IN)-(c_TFWD)),2)),((c_TMAP1IN)-(c_TFWD)))+(0)+IF(((c_TMAP1OUT)-(0))&gt;=0,IF(IF(o_WRAP=1,MOD(((c_TMAP1IN)-(c_TFWD))*(((C5)-(c_TFWD))*((c_TMAP1OUT)-(0))+IF(((c_TMAP1OUT)-(0))&gt;=0,1,-1)*QUOTIENT(((c_TMAP1IN)-(c_TFWD)),2))+2147483648,4294967296)-2147483648,((c_TMAP1IN)-(c_TFWD))*(((C5)-(c_TFWD))*((c_TMAP1OUT)-(0))+IF(((c_TMAP1OUT)-(0))&gt;=0,1,-1)*QUOTIENT(((c_TMAP1IN)-(c_TFWD)),2)))&lt;0,-1,0),IF(IF(o_WRAP=1,MOD(((c_TMAP1IN)-(c_TFWD))*(((C5)-(c_TFWD))*((c_TMAP1OUT)-(0))+IF(((c_TMAP1OUT)-(0))&gt;=0,1,-1)*QUOTIENT(((c_TMAP1IN)-(c_TFWD)),2))+2147483648,4294967296)-2147483648,((c_TMAP1IN)-(c_TFWD))*(((C5)-(c_TFWD))*((c_TMAP1OUT)-(0))+IF(((c_TMAP1OUT)-(0))&gt;=0,1,-1)*QUOTIENT(((c_TMAP1IN)-(c_TFWD)),2)))&gt;=0,1,0)))</f>
        <v>-8</v>
      </c>
      <c r="F5" s="7" t="n">
        <f aca="false">IF(((c_TMAP2IN)-(c_TMAP1IN))=0,(c_TMAP1OUT)+QUOTIENT(((c_TMAP2OUT)-(c_TMAP1OUT)),2),QUOTIENT((((C5)-(c_TMAP1IN))*((c_TMAP2OUT)-(c_TMAP1OUT))+IF(((c_TMAP2OUT)-(c_TMAP1OUT))&gt;=0,1,-1)*QUOTIENT(((c_TMAP2IN)-(c_TMAP1IN)),2)),((c_TMAP2IN)-(c_TMAP1IN)))+(c_TMAP1OUT)+IF(((c_TMAP2OUT)-(c_TMAP1OUT))&gt;=0,IF(IF(o_WRAP=1,MOD(((c_TMAP2IN)-(c_TMAP1IN))*(((C5)-(c_TMAP1IN))*((c_TMAP2OUT)-(c_TMAP1OUT))+IF(((c_TMAP2OUT)-(c_TMAP1OUT))&gt;=0,1,-1)*QUOTIENT(((c_TMAP2IN)-(c_TMAP1IN)),2))+2147483648,4294967296)-2147483648,((c_TMAP2IN)-(c_TMAP1IN))*(((C5)-(c_TMAP1IN))*((c_TMAP2OUT)-(c_TMAP1OUT))+IF(((c_TMAP2OUT)-(c_TMAP1OUT))&gt;=0,1,-1)*QUOTIENT(((c_TMAP2IN)-(c_TMAP1IN)),2)))&lt;0,-1,0),IF(IF(o_WRAP=1,MOD(((c_TMAP2IN)-(c_TMAP1IN))*(((C5)-(c_TMAP1IN))*((c_TMAP2OUT)-(c_TMAP1OUT))+IF(((c_TMAP2OUT)-(c_TMAP1OUT))&gt;=0,1,-1)*QUOTIENT(((c_TMAP2IN)-(c_TMAP1IN)),2))+2147483648,4294967296)-2147483648,((c_TMAP2IN)-(c_TMAP1IN))*(((C5)-(c_TMAP1IN))*((c_TMAP2OUT)-(c_TMAP1OUT))+IF(((c_TMAP2OUT)-(c_TMAP1OUT))&gt;=0,1,-1)*QUOTIENT(((c_TMAP2IN)-(c_TMAP1IN)),2)))&gt;=0,1,0)))</f>
        <v>30</v>
      </c>
      <c r="G5" s="7" t="n">
        <f aca="false">IF(((c_TMAP3IN)-(c_TMAP2IN))=0,(c_TMAP2OUT)+QUOTIENT(((c_TMAP3OUT)-(c_TMAP2OUT)),2),QUOTIENT((((C5)-(c_TMAP2IN))*((c_TMAP3OUT)-(c_TMAP2OUT))+IF(((c_TMAP3OUT)-(c_TMAP2OUT))&gt;=0,1,-1)*QUOTIENT(((c_TMAP3IN)-(c_TMAP2IN)),2)),((c_TMAP3IN)-(c_TMAP2IN)))+(c_TMAP2OUT)+IF(((c_TMAP3OUT)-(c_TMAP2OUT))&gt;=0,IF(IF(o_WRAP=1,MOD(((c_TMAP3IN)-(c_TMAP2IN))*(((C5)-(c_TMAP2IN))*((c_TMAP3OUT)-(c_TMAP2OUT))+IF(((c_TMAP3OUT)-(c_TMAP2OUT))&gt;=0,1,-1)*QUOTIENT(((c_TMAP3IN)-(c_TMAP2IN)),2))+2147483648,4294967296)-2147483648,((c_TMAP3IN)-(c_TMAP2IN))*(((C5)-(c_TMAP2IN))*((c_TMAP3OUT)-(c_TMAP2OUT))+IF(((c_TMAP3OUT)-(c_TMAP2OUT))&gt;=0,1,-1)*QUOTIENT(((c_TMAP3IN)-(c_TMAP2IN)),2)))&lt;0,-1,0),IF(IF(o_WRAP=1,MOD(((c_TMAP3IN)-(c_TMAP2IN))*(((C5)-(c_TMAP2IN))*((c_TMAP3OUT)-(c_TMAP2OUT))+IF(((c_TMAP3OUT)-(c_TMAP2OUT))&gt;=0,1,-1)*QUOTIENT(((c_TMAP3IN)-(c_TMAP2IN)),2))+2147483648,4294967296)-2147483648,((c_TMAP3IN)-(c_TMAP2IN))*(((C5)-(c_TMAP2IN))*((c_TMAP3OUT)-(c_TMAP2OUT))+IF(((c_TMAP3OUT)-(c_TMAP2OUT))&gt;=0,1,-1)*QUOTIENT(((c_TMAP3IN)-(c_TMAP2IN)),2)))&gt;=0,1,0)))</f>
        <v>-45</v>
      </c>
      <c r="H5" s="7" t="n">
        <f aca="false">IF(((1000)-(c_TMAP3IN))=0,(c_TMAP3OUT)+QUOTIENT(((1000)-(c_TMAP3OUT)),2),QUOTIENT((((C5)-(c_TMAP3IN))*((1000)-(c_TMAP3OUT))+IF(((1000)-(c_TMAP3OUT))&gt;=0,1,-1)*QUOTIENT(((1000)-(c_TMAP3IN)),2)),((1000)-(c_TMAP3IN)))+(c_TMAP3OUT)+IF(((1000)-(c_TMAP3OUT))&gt;=0,IF(IF(o_WRAP=1,MOD(((1000)-(c_TMAP3IN))*(((C5)-(c_TMAP3IN))*((1000)-(c_TMAP3OUT))+IF(((1000)-(c_TMAP3OUT))&gt;=0,1,-1)*QUOTIENT(((1000)-(c_TMAP3IN)),2))+2147483648,4294967296)-2147483648,((1000)-(c_TMAP3IN))*(((C5)-(c_TMAP3IN))*((1000)-(c_TMAP3OUT))+IF(((1000)-(c_TMAP3OUT))&gt;=0,1,-1)*QUOTIENT(((1000)-(c_TMAP3IN)),2)))&lt;0,-1,0),IF(IF(o_WRAP=1,MOD(((1000)-(c_TMAP3IN))*(((C5)-(c_TMAP3IN))*((1000)-(c_TMAP3OUT))+IF(((1000)-(c_TMAP3OUT))&gt;=0,1,-1)*QUOTIENT(((1000)-(c_TMAP3IN)),2))+2147483648,4294967296)-2147483648,((1000)-(c_TMAP3IN))*(((C5)-(c_TMAP3IN))*((1000)-(c_TMAP3OUT))+IF(((1000)-(c_TMAP3OUT))&gt;=0,1,-1)*QUOTIENT(((1000)-(c_TMAP3IN)),2)))&gt;=0,1,0)))</f>
        <v>-231</v>
      </c>
      <c r="I5" s="7" t="n">
        <f aca="false">IF(C5&gt;=c_TFWD,IF(AND(C5&gt;=c_TMAP3IN,c_TMAP3IN&lt;1000),H5,IF(AND(C5&gt;=c_TMAP2IN,c_TMAP3IN&gt;c_TMAP2IN),G5,IF(AND(C5&gt;=c_TMAP1IN,c_TMAP2IN&gt;c_TMAP1IN),F5,E5))),D5)</f>
        <v>-350</v>
      </c>
      <c r="J5" s="7" t="str">
        <f aca="false">IF(I5&lt;-1090,"TOO LOW",IF(I5&gt;1090,"TOO HIGH",""))</f>
        <v/>
      </c>
      <c r="K5" s="7" t="n">
        <f aca="false">IF(J5&lt;&gt;"",0,IF(I5&gt;979,1000,I5))</f>
        <v>-350</v>
      </c>
      <c r="L5" s="7" t="n">
        <f aca="false">IF(OR(c_TSMOOTH=0,K5&gt;=c_TSMOOTHCUT),1,0)</f>
        <v>0</v>
      </c>
      <c r="M5" s="7" t="n">
        <f aca="false">IF(L5=1,0,0+1)</f>
        <v>1</v>
      </c>
      <c r="N5" s="7" t="n">
        <f aca="false">IF(L5=1,0,MIN(M5,c_TSMOOTH))</f>
        <v>1</v>
      </c>
      <c r="O5" s="7" t="n">
        <f aca="false">IF(COUNTIF($L$5:L5,1)&gt;0,c_TSMOOTHCUT,0)</f>
        <v>0</v>
      </c>
      <c r="P5" s="15" t="n">
        <f aca="true">IF(L5=1,K5,QUOTIENT(SUM(OFFSET(K5,1-N5,0,N5,1))+(c_TSMOOTH-N5)*O5,c_TSMOOTH))</f>
        <v>-11</v>
      </c>
      <c r="Q5" s="7" t="n">
        <f aca="false">K5/10</f>
        <v>-35</v>
      </c>
      <c r="R5" s="7" t="n">
        <f aca="false">P5/10</f>
        <v>-1.1</v>
      </c>
    </row>
    <row r="6" customFormat="false" ht="15" hidden="false" customHeight="false" outlineLevel="0" collapsed="false">
      <c r="A6" s="7" t="n">
        <v>1</v>
      </c>
      <c r="B6" s="7" t="n">
        <f aca="false">A6*0.04</f>
        <v>0.04</v>
      </c>
      <c r="C6" s="18" t="n">
        <v>0</v>
      </c>
      <c r="D6" s="7" t="n">
        <f aca="false">IF(AND(C6=0,c_TCREEP&gt;0),10*c_TCREEP,IF(AND(C6&lt;=c_TRNGMIN,C6&gt;=c_TRNGMAX,c_TRNGMIN-c_TRNGMAX&lt;&gt;0),-10*c_TMINRN+QUOTIENT((c_TMAXRN-c_TMINRN)*(100-QUOTIENT((C6-c_TRNGMAX)*100,c_TRNGMIN-c_TRNGMAX)),-10),0))</f>
        <v>-350</v>
      </c>
      <c r="E6" s="7" t="n">
        <f aca="false">IF(((c_TMAP1IN)-(c_TFWD))=0,(0)+QUOTIENT(((c_TMAP1OUT)-(0)),2),QUOTIENT((((C6)-(c_TFWD))*((c_TMAP1OUT)-(0))+IF(((c_TMAP1OUT)-(0))&gt;=0,1,-1)*QUOTIENT(((c_TMAP1IN)-(c_TFWD)),2)),((c_TMAP1IN)-(c_TFWD)))+(0)+IF(((c_TMAP1OUT)-(0))&gt;=0,IF(IF(o_WRAP=1,MOD(((c_TMAP1IN)-(c_TFWD))*(((C6)-(c_TFWD))*((c_TMAP1OUT)-(0))+IF(((c_TMAP1OUT)-(0))&gt;=0,1,-1)*QUOTIENT(((c_TMAP1IN)-(c_TFWD)),2))+2147483648,4294967296)-2147483648,((c_TMAP1IN)-(c_TFWD))*(((C6)-(c_TFWD))*((c_TMAP1OUT)-(0))+IF(((c_TMAP1OUT)-(0))&gt;=0,1,-1)*QUOTIENT(((c_TMAP1IN)-(c_TFWD)),2)))&lt;0,-1,0),IF(IF(o_WRAP=1,MOD(((c_TMAP1IN)-(c_TFWD))*(((C6)-(c_TFWD))*((c_TMAP1OUT)-(0))+IF(((c_TMAP1OUT)-(0))&gt;=0,1,-1)*QUOTIENT(((c_TMAP1IN)-(c_TFWD)),2))+2147483648,4294967296)-2147483648,((c_TMAP1IN)-(c_TFWD))*(((C6)-(c_TFWD))*((c_TMAP1OUT)-(0))+IF(((c_TMAP1OUT)-(0))&gt;=0,1,-1)*QUOTIENT(((c_TMAP1IN)-(c_TFWD)),2)))&gt;=0,1,0)))</f>
        <v>-8</v>
      </c>
      <c r="F6" s="7" t="n">
        <f aca="false">IF(((c_TMAP2IN)-(c_TMAP1IN))=0,(c_TMAP1OUT)+QUOTIENT(((c_TMAP2OUT)-(c_TMAP1OUT)),2),QUOTIENT((((C6)-(c_TMAP1IN))*((c_TMAP2OUT)-(c_TMAP1OUT))+IF(((c_TMAP2OUT)-(c_TMAP1OUT))&gt;=0,1,-1)*QUOTIENT(((c_TMAP2IN)-(c_TMAP1IN)),2)),((c_TMAP2IN)-(c_TMAP1IN)))+(c_TMAP1OUT)+IF(((c_TMAP2OUT)-(c_TMAP1OUT))&gt;=0,IF(IF(o_WRAP=1,MOD(((c_TMAP2IN)-(c_TMAP1IN))*(((C6)-(c_TMAP1IN))*((c_TMAP2OUT)-(c_TMAP1OUT))+IF(((c_TMAP2OUT)-(c_TMAP1OUT))&gt;=0,1,-1)*QUOTIENT(((c_TMAP2IN)-(c_TMAP1IN)),2))+2147483648,4294967296)-2147483648,((c_TMAP2IN)-(c_TMAP1IN))*(((C6)-(c_TMAP1IN))*((c_TMAP2OUT)-(c_TMAP1OUT))+IF(((c_TMAP2OUT)-(c_TMAP1OUT))&gt;=0,1,-1)*QUOTIENT(((c_TMAP2IN)-(c_TMAP1IN)),2)))&lt;0,-1,0),IF(IF(o_WRAP=1,MOD(((c_TMAP2IN)-(c_TMAP1IN))*(((C6)-(c_TMAP1IN))*((c_TMAP2OUT)-(c_TMAP1OUT))+IF(((c_TMAP2OUT)-(c_TMAP1OUT))&gt;=0,1,-1)*QUOTIENT(((c_TMAP2IN)-(c_TMAP1IN)),2))+2147483648,4294967296)-2147483648,((c_TMAP2IN)-(c_TMAP1IN))*(((C6)-(c_TMAP1IN))*((c_TMAP2OUT)-(c_TMAP1OUT))+IF(((c_TMAP2OUT)-(c_TMAP1OUT))&gt;=0,1,-1)*QUOTIENT(((c_TMAP2IN)-(c_TMAP1IN)),2)))&gt;=0,1,0)))</f>
        <v>30</v>
      </c>
      <c r="G6" s="7" t="n">
        <f aca="false">IF(((c_TMAP3IN)-(c_TMAP2IN))=0,(c_TMAP2OUT)+QUOTIENT(((c_TMAP3OUT)-(c_TMAP2OUT)),2),QUOTIENT((((C6)-(c_TMAP2IN))*((c_TMAP3OUT)-(c_TMAP2OUT))+IF(((c_TMAP3OUT)-(c_TMAP2OUT))&gt;=0,1,-1)*QUOTIENT(((c_TMAP3IN)-(c_TMAP2IN)),2)),((c_TMAP3IN)-(c_TMAP2IN)))+(c_TMAP2OUT)+IF(((c_TMAP3OUT)-(c_TMAP2OUT))&gt;=0,IF(IF(o_WRAP=1,MOD(((c_TMAP3IN)-(c_TMAP2IN))*(((C6)-(c_TMAP2IN))*((c_TMAP3OUT)-(c_TMAP2OUT))+IF(((c_TMAP3OUT)-(c_TMAP2OUT))&gt;=0,1,-1)*QUOTIENT(((c_TMAP3IN)-(c_TMAP2IN)),2))+2147483648,4294967296)-2147483648,((c_TMAP3IN)-(c_TMAP2IN))*(((C6)-(c_TMAP2IN))*((c_TMAP3OUT)-(c_TMAP2OUT))+IF(((c_TMAP3OUT)-(c_TMAP2OUT))&gt;=0,1,-1)*QUOTIENT(((c_TMAP3IN)-(c_TMAP2IN)),2)))&lt;0,-1,0),IF(IF(o_WRAP=1,MOD(((c_TMAP3IN)-(c_TMAP2IN))*(((C6)-(c_TMAP2IN))*((c_TMAP3OUT)-(c_TMAP2OUT))+IF(((c_TMAP3OUT)-(c_TMAP2OUT))&gt;=0,1,-1)*QUOTIENT(((c_TMAP3IN)-(c_TMAP2IN)),2))+2147483648,4294967296)-2147483648,((c_TMAP3IN)-(c_TMAP2IN))*(((C6)-(c_TMAP2IN))*((c_TMAP3OUT)-(c_TMAP2OUT))+IF(((c_TMAP3OUT)-(c_TMAP2OUT))&gt;=0,1,-1)*QUOTIENT(((c_TMAP3IN)-(c_TMAP2IN)),2)))&gt;=0,1,0)))</f>
        <v>-45</v>
      </c>
      <c r="H6" s="7" t="n">
        <f aca="false">IF(((1000)-(c_TMAP3IN))=0,(c_TMAP3OUT)+QUOTIENT(((1000)-(c_TMAP3OUT)),2),QUOTIENT((((C6)-(c_TMAP3IN))*((1000)-(c_TMAP3OUT))+IF(((1000)-(c_TMAP3OUT))&gt;=0,1,-1)*QUOTIENT(((1000)-(c_TMAP3IN)),2)),((1000)-(c_TMAP3IN)))+(c_TMAP3OUT)+IF(((1000)-(c_TMAP3OUT))&gt;=0,IF(IF(o_WRAP=1,MOD(((1000)-(c_TMAP3IN))*(((C6)-(c_TMAP3IN))*((1000)-(c_TMAP3OUT))+IF(((1000)-(c_TMAP3OUT))&gt;=0,1,-1)*QUOTIENT(((1000)-(c_TMAP3IN)),2))+2147483648,4294967296)-2147483648,((1000)-(c_TMAP3IN))*(((C6)-(c_TMAP3IN))*((1000)-(c_TMAP3OUT))+IF(((1000)-(c_TMAP3OUT))&gt;=0,1,-1)*QUOTIENT(((1000)-(c_TMAP3IN)),2)))&lt;0,-1,0),IF(IF(o_WRAP=1,MOD(((1000)-(c_TMAP3IN))*(((C6)-(c_TMAP3IN))*((1000)-(c_TMAP3OUT))+IF(((1000)-(c_TMAP3OUT))&gt;=0,1,-1)*QUOTIENT(((1000)-(c_TMAP3IN)),2))+2147483648,4294967296)-2147483648,((1000)-(c_TMAP3IN))*(((C6)-(c_TMAP3IN))*((1000)-(c_TMAP3OUT))+IF(((1000)-(c_TMAP3OUT))&gt;=0,1,-1)*QUOTIENT(((1000)-(c_TMAP3IN)),2)))&gt;=0,1,0)))</f>
        <v>-231</v>
      </c>
      <c r="I6" s="7" t="n">
        <f aca="false">IF(C6&gt;=c_TFWD,IF(AND(C6&gt;=c_TMAP3IN,c_TMAP3IN&lt;1000),H6,IF(AND(C6&gt;=c_TMAP2IN,c_TMAP3IN&gt;c_TMAP2IN),G6,IF(AND(C6&gt;=c_TMAP1IN,c_TMAP2IN&gt;c_TMAP1IN),F6,E6))),D6)</f>
        <v>-350</v>
      </c>
      <c r="J6" s="7" t="str">
        <f aca="false">IF(I6&lt;-1090,"TOO LOW",IF(I6&gt;1090,"TOO HIGH",""))</f>
        <v/>
      </c>
      <c r="K6" s="7" t="n">
        <f aca="false">IF(J6&lt;&gt;"",0,IF(I6&gt;979,1000,I6))</f>
        <v>-350</v>
      </c>
      <c r="L6" s="7" t="n">
        <f aca="false">IF(OR(c_TSMOOTH=0,K6&gt;=c_TSMOOTHCUT),1,0)</f>
        <v>0</v>
      </c>
      <c r="M6" s="7" t="n">
        <f aca="false">IF(L6=1,0,M5+1)</f>
        <v>2</v>
      </c>
      <c r="N6" s="7" t="n">
        <f aca="false">IF(L6=1,0,MIN(M6,c_TSMOOTH))</f>
        <v>2</v>
      </c>
      <c r="O6" s="7" t="n">
        <f aca="false">IF(COUNTIF($L$5:L6,1)&gt;0,c_TSMOOTHCUT,0)</f>
        <v>0</v>
      </c>
      <c r="P6" s="15" t="n">
        <f aca="true">IF(L6=1,K6,QUOTIENT(SUM(OFFSET(K6,1-N6,0,N6,1))+(c_TSMOOTH-N6)*O6,c_TSMOOTH))</f>
        <v>-23</v>
      </c>
      <c r="Q6" s="7" t="n">
        <f aca="false">K6/10</f>
        <v>-35</v>
      </c>
      <c r="R6" s="7" t="n">
        <f aca="false">P6/10</f>
        <v>-2.3</v>
      </c>
    </row>
    <row r="7" customFormat="false" ht="15" hidden="false" customHeight="false" outlineLevel="0" collapsed="false">
      <c r="A7" s="7" t="n">
        <v>2</v>
      </c>
      <c r="B7" s="7" t="n">
        <f aca="false">A7*0.04</f>
        <v>0.08</v>
      </c>
      <c r="C7" s="18" t="n">
        <v>0</v>
      </c>
      <c r="D7" s="7" t="n">
        <f aca="false">IF(AND(C7=0,c_TCREEP&gt;0),10*c_TCREEP,IF(AND(C7&lt;=c_TRNGMIN,C7&gt;=c_TRNGMAX,c_TRNGMIN-c_TRNGMAX&lt;&gt;0),-10*c_TMINRN+QUOTIENT((c_TMAXRN-c_TMINRN)*(100-QUOTIENT((C7-c_TRNGMAX)*100,c_TRNGMIN-c_TRNGMAX)),-10),0))</f>
        <v>-350</v>
      </c>
      <c r="E7" s="7" t="n">
        <f aca="false">IF(((c_TMAP1IN)-(c_TFWD))=0,(0)+QUOTIENT(((c_TMAP1OUT)-(0)),2),QUOTIENT((((C7)-(c_TFWD))*((c_TMAP1OUT)-(0))+IF(((c_TMAP1OUT)-(0))&gt;=0,1,-1)*QUOTIENT(((c_TMAP1IN)-(c_TFWD)),2)),((c_TMAP1IN)-(c_TFWD)))+(0)+IF(((c_TMAP1OUT)-(0))&gt;=0,IF(IF(o_WRAP=1,MOD(((c_TMAP1IN)-(c_TFWD))*(((C7)-(c_TFWD))*((c_TMAP1OUT)-(0))+IF(((c_TMAP1OUT)-(0))&gt;=0,1,-1)*QUOTIENT(((c_TMAP1IN)-(c_TFWD)),2))+2147483648,4294967296)-2147483648,((c_TMAP1IN)-(c_TFWD))*(((C7)-(c_TFWD))*((c_TMAP1OUT)-(0))+IF(((c_TMAP1OUT)-(0))&gt;=0,1,-1)*QUOTIENT(((c_TMAP1IN)-(c_TFWD)),2)))&lt;0,-1,0),IF(IF(o_WRAP=1,MOD(((c_TMAP1IN)-(c_TFWD))*(((C7)-(c_TFWD))*((c_TMAP1OUT)-(0))+IF(((c_TMAP1OUT)-(0))&gt;=0,1,-1)*QUOTIENT(((c_TMAP1IN)-(c_TFWD)),2))+2147483648,4294967296)-2147483648,((c_TMAP1IN)-(c_TFWD))*(((C7)-(c_TFWD))*((c_TMAP1OUT)-(0))+IF(((c_TMAP1OUT)-(0))&gt;=0,1,-1)*QUOTIENT(((c_TMAP1IN)-(c_TFWD)),2)))&gt;=0,1,0)))</f>
        <v>-8</v>
      </c>
      <c r="F7" s="7" t="n">
        <f aca="false">IF(((c_TMAP2IN)-(c_TMAP1IN))=0,(c_TMAP1OUT)+QUOTIENT(((c_TMAP2OUT)-(c_TMAP1OUT)),2),QUOTIENT((((C7)-(c_TMAP1IN))*((c_TMAP2OUT)-(c_TMAP1OUT))+IF(((c_TMAP2OUT)-(c_TMAP1OUT))&gt;=0,1,-1)*QUOTIENT(((c_TMAP2IN)-(c_TMAP1IN)),2)),((c_TMAP2IN)-(c_TMAP1IN)))+(c_TMAP1OUT)+IF(((c_TMAP2OUT)-(c_TMAP1OUT))&gt;=0,IF(IF(o_WRAP=1,MOD(((c_TMAP2IN)-(c_TMAP1IN))*(((C7)-(c_TMAP1IN))*((c_TMAP2OUT)-(c_TMAP1OUT))+IF(((c_TMAP2OUT)-(c_TMAP1OUT))&gt;=0,1,-1)*QUOTIENT(((c_TMAP2IN)-(c_TMAP1IN)),2))+2147483648,4294967296)-2147483648,((c_TMAP2IN)-(c_TMAP1IN))*(((C7)-(c_TMAP1IN))*((c_TMAP2OUT)-(c_TMAP1OUT))+IF(((c_TMAP2OUT)-(c_TMAP1OUT))&gt;=0,1,-1)*QUOTIENT(((c_TMAP2IN)-(c_TMAP1IN)),2)))&lt;0,-1,0),IF(IF(o_WRAP=1,MOD(((c_TMAP2IN)-(c_TMAP1IN))*(((C7)-(c_TMAP1IN))*((c_TMAP2OUT)-(c_TMAP1OUT))+IF(((c_TMAP2OUT)-(c_TMAP1OUT))&gt;=0,1,-1)*QUOTIENT(((c_TMAP2IN)-(c_TMAP1IN)),2))+2147483648,4294967296)-2147483648,((c_TMAP2IN)-(c_TMAP1IN))*(((C7)-(c_TMAP1IN))*((c_TMAP2OUT)-(c_TMAP1OUT))+IF(((c_TMAP2OUT)-(c_TMAP1OUT))&gt;=0,1,-1)*QUOTIENT(((c_TMAP2IN)-(c_TMAP1IN)),2)))&gt;=0,1,0)))</f>
        <v>30</v>
      </c>
      <c r="G7" s="7" t="n">
        <f aca="false">IF(((c_TMAP3IN)-(c_TMAP2IN))=0,(c_TMAP2OUT)+QUOTIENT(((c_TMAP3OUT)-(c_TMAP2OUT)),2),QUOTIENT((((C7)-(c_TMAP2IN))*((c_TMAP3OUT)-(c_TMAP2OUT))+IF(((c_TMAP3OUT)-(c_TMAP2OUT))&gt;=0,1,-1)*QUOTIENT(((c_TMAP3IN)-(c_TMAP2IN)),2)),((c_TMAP3IN)-(c_TMAP2IN)))+(c_TMAP2OUT)+IF(((c_TMAP3OUT)-(c_TMAP2OUT))&gt;=0,IF(IF(o_WRAP=1,MOD(((c_TMAP3IN)-(c_TMAP2IN))*(((C7)-(c_TMAP2IN))*((c_TMAP3OUT)-(c_TMAP2OUT))+IF(((c_TMAP3OUT)-(c_TMAP2OUT))&gt;=0,1,-1)*QUOTIENT(((c_TMAP3IN)-(c_TMAP2IN)),2))+2147483648,4294967296)-2147483648,((c_TMAP3IN)-(c_TMAP2IN))*(((C7)-(c_TMAP2IN))*((c_TMAP3OUT)-(c_TMAP2OUT))+IF(((c_TMAP3OUT)-(c_TMAP2OUT))&gt;=0,1,-1)*QUOTIENT(((c_TMAP3IN)-(c_TMAP2IN)),2)))&lt;0,-1,0),IF(IF(o_WRAP=1,MOD(((c_TMAP3IN)-(c_TMAP2IN))*(((C7)-(c_TMAP2IN))*((c_TMAP3OUT)-(c_TMAP2OUT))+IF(((c_TMAP3OUT)-(c_TMAP2OUT))&gt;=0,1,-1)*QUOTIENT(((c_TMAP3IN)-(c_TMAP2IN)),2))+2147483648,4294967296)-2147483648,((c_TMAP3IN)-(c_TMAP2IN))*(((C7)-(c_TMAP2IN))*((c_TMAP3OUT)-(c_TMAP2OUT))+IF(((c_TMAP3OUT)-(c_TMAP2OUT))&gt;=0,1,-1)*QUOTIENT(((c_TMAP3IN)-(c_TMAP2IN)),2)))&gt;=0,1,0)))</f>
        <v>-45</v>
      </c>
      <c r="H7" s="7" t="n">
        <f aca="false">IF(((1000)-(c_TMAP3IN))=0,(c_TMAP3OUT)+QUOTIENT(((1000)-(c_TMAP3OUT)),2),QUOTIENT((((C7)-(c_TMAP3IN))*((1000)-(c_TMAP3OUT))+IF(((1000)-(c_TMAP3OUT))&gt;=0,1,-1)*QUOTIENT(((1000)-(c_TMAP3IN)),2)),((1000)-(c_TMAP3IN)))+(c_TMAP3OUT)+IF(((1000)-(c_TMAP3OUT))&gt;=0,IF(IF(o_WRAP=1,MOD(((1000)-(c_TMAP3IN))*(((C7)-(c_TMAP3IN))*((1000)-(c_TMAP3OUT))+IF(((1000)-(c_TMAP3OUT))&gt;=0,1,-1)*QUOTIENT(((1000)-(c_TMAP3IN)),2))+2147483648,4294967296)-2147483648,((1000)-(c_TMAP3IN))*(((C7)-(c_TMAP3IN))*((1000)-(c_TMAP3OUT))+IF(((1000)-(c_TMAP3OUT))&gt;=0,1,-1)*QUOTIENT(((1000)-(c_TMAP3IN)),2)))&lt;0,-1,0),IF(IF(o_WRAP=1,MOD(((1000)-(c_TMAP3IN))*(((C7)-(c_TMAP3IN))*((1000)-(c_TMAP3OUT))+IF(((1000)-(c_TMAP3OUT))&gt;=0,1,-1)*QUOTIENT(((1000)-(c_TMAP3IN)),2))+2147483648,4294967296)-2147483648,((1000)-(c_TMAP3IN))*(((C7)-(c_TMAP3IN))*((1000)-(c_TMAP3OUT))+IF(((1000)-(c_TMAP3OUT))&gt;=0,1,-1)*QUOTIENT(((1000)-(c_TMAP3IN)),2)))&gt;=0,1,0)))</f>
        <v>-231</v>
      </c>
      <c r="I7" s="7" t="n">
        <f aca="false">IF(C7&gt;=c_TFWD,IF(AND(C7&gt;=c_TMAP3IN,c_TMAP3IN&lt;1000),H7,IF(AND(C7&gt;=c_TMAP2IN,c_TMAP3IN&gt;c_TMAP2IN),G7,IF(AND(C7&gt;=c_TMAP1IN,c_TMAP2IN&gt;c_TMAP1IN),F7,E7))),D7)</f>
        <v>-350</v>
      </c>
      <c r="J7" s="7" t="str">
        <f aca="false">IF(I7&lt;-1090,"TOO LOW",IF(I7&gt;1090,"TOO HIGH",""))</f>
        <v/>
      </c>
      <c r="K7" s="7" t="n">
        <f aca="false">IF(J7&lt;&gt;"",0,IF(I7&gt;979,1000,I7))</f>
        <v>-350</v>
      </c>
      <c r="L7" s="7" t="n">
        <f aca="false">IF(OR(c_TSMOOTH=0,K7&gt;=c_TSMOOTHCUT),1,0)</f>
        <v>0</v>
      </c>
      <c r="M7" s="7" t="n">
        <f aca="false">IF(L7=1,0,M6+1)</f>
        <v>3</v>
      </c>
      <c r="N7" s="7" t="n">
        <f aca="false">IF(L7=1,0,MIN(M7,c_TSMOOTH))</f>
        <v>3</v>
      </c>
      <c r="O7" s="7" t="n">
        <f aca="false">IF(COUNTIF($L$5:L7,1)&gt;0,c_TSMOOTHCUT,0)</f>
        <v>0</v>
      </c>
      <c r="P7" s="15" t="n">
        <f aca="true">IF(L7=1,K7,QUOTIENT(SUM(OFFSET(K7,1-N7,0,N7,1))+(c_TSMOOTH-N7)*O7,c_TSMOOTH))</f>
        <v>-35</v>
      </c>
      <c r="Q7" s="7" t="n">
        <f aca="false">K7/10</f>
        <v>-35</v>
      </c>
      <c r="R7" s="7" t="n">
        <f aca="false">P7/10</f>
        <v>-3.5</v>
      </c>
    </row>
    <row r="8" customFormat="false" ht="15" hidden="false" customHeight="false" outlineLevel="0" collapsed="false">
      <c r="A8" s="7" t="n">
        <v>3</v>
      </c>
      <c r="B8" s="7" t="n">
        <f aca="false">A8*0.04</f>
        <v>0.12</v>
      </c>
      <c r="C8" s="18" t="n">
        <v>0</v>
      </c>
      <c r="D8" s="7" t="n">
        <f aca="false">IF(AND(C8=0,c_TCREEP&gt;0),10*c_TCREEP,IF(AND(C8&lt;=c_TRNGMIN,C8&gt;=c_TRNGMAX,c_TRNGMIN-c_TRNGMAX&lt;&gt;0),-10*c_TMINRN+QUOTIENT((c_TMAXRN-c_TMINRN)*(100-QUOTIENT((C8-c_TRNGMAX)*100,c_TRNGMIN-c_TRNGMAX)),-10),0))</f>
        <v>-350</v>
      </c>
      <c r="E8" s="7" t="n">
        <f aca="false">IF(((c_TMAP1IN)-(c_TFWD))=0,(0)+QUOTIENT(((c_TMAP1OUT)-(0)),2),QUOTIENT((((C8)-(c_TFWD))*((c_TMAP1OUT)-(0))+IF(((c_TMAP1OUT)-(0))&gt;=0,1,-1)*QUOTIENT(((c_TMAP1IN)-(c_TFWD)),2)),((c_TMAP1IN)-(c_TFWD)))+(0)+IF(((c_TMAP1OUT)-(0))&gt;=0,IF(IF(o_WRAP=1,MOD(((c_TMAP1IN)-(c_TFWD))*(((C8)-(c_TFWD))*((c_TMAP1OUT)-(0))+IF(((c_TMAP1OUT)-(0))&gt;=0,1,-1)*QUOTIENT(((c_TMAP1IN)-(c_TFWD)),2))+2147483648,4294967296)-2147483648,((c_TMAP1IN)-(c_TFWD))*(((C8)-(c_TFWD))*((c_TMAP1OUT)-(0))+IF(((c_TMAP1OUT)-(0))&gt;=0,1,-1)*QUOTIENT(((c_TMAP1IN)-(c_TFWD)),2)))&lt;0,-1,0),IF(IF(o_WRAP=1,MOD(((c_TMAP1IN)-(c_TFWD))*(((C8)-(c_TFWD))*((c_TMAP1OUT)-(0))+IF(((c_TMAP1OUT)-(0))&gt;=0,1,-1)*QUOTIENT(((c_TMAP1IN)-(c_TFWD)),2))+2147483648,4294967296)-2147483648,((c_TMAP1IN)-(c_TFWD))*(((C8)-(c_TFWD))*((c_TMAP1OUT)-(0))+IF(((c_TMAP1OUT)-(0))&gt;=0,1,-1)*QUOTIENT(((c_TMAP1IN)-(c_TFWD)),2)))&gt;=0,1,0)))</f>
        <v>-8</v>
      </c>
      <c r="F8" s="7" t="n">
        <f aca="false">IF(((c_TMAP2IN)-(c_TMAP1IN))=0,(c_TMAP1OUT)+QUOTIENT(((c_TMAP2OUT)-(c_TMAP1OUT)),2),QUOTIENT((((C8)-(c_TMAP1IN))*((c_TMAP2OUT)-(c_TMAP1OUT))+IF(((c_TMAP2OUT)-(c_TMAP1OUT))&gt;=0,1,-1)*QUOTIENT(((c_TMAP2IN)-(c_TMAP1IN)),2)),((c_TMAP2IN)-(c_TMAP1IN)))+(c_TMAP1OUT)+IF(((c_TMAP2OUT)-(c_TMAP1OUT))&gt;=0,IF(IF(o_WRAP=1,MOD(((c_TMAP2IN)-(c_TMAP1IN))*(((C8)-(c_TMAP1IN))*((c_TMAP2OUT)-(c_TMAP1OUT))+IF(((c_TMAP2OUT)-(c_TMAP1OUT))&gt;=0,1,-1)*QUOTIENT(((c_TMAP2IN)-(c_TMAP1IN)),2))+2147483648,4294967296)-2147483648,((c_TMAP2IN)-(c_TMAP1IN))*(((C8)-(c_TMAP1IN))*((c_TMAP2OUT)-(c_TMAP1OUT))+IF(((c_TMAP2OUT)-(c_TMAP1OUT))&gt;=0,1,-1)*QUOTIENT(((c_TMAP2IN)-(c_TMAP1IN)),2)))&lt;0,-1,0),IF(IF(o_WRAP=1,MOD(((c_TMAP2IN)-(c_TMAP1IN))*(((C8)-(c_TMAP1IN))*((c_TMAP2OUT)-(c_TMAP1OUT))+IF(((c_TMAP2OUT)-(c_TMAP1OUT))&gt;=0,1,-1)*QUOTIENT(((c_TMAP2IN)-(c_TMAP1IN)),2))+2147483648,4294967296)-2147483648,((c_TMAP2IN)-(c_TMAP1IN))*(((C8)-(c_TMAP1IN))*((c_TMAP2OUT)-(c_TMAP1OUT))+IF(((c_TMAP2OUT)-(c_TMAP1OUT))&gt;=0,1,-1)*QUOTIENT(((c_TMAP2IN)-(c_TMAP1IN)),2)))&gt;=0,1,0)))</f>
        <v>30</v>
      </c>
      <c r="G8" s="7" t="n">
        <f aca="false">IF(((c_TMAP3IN)-(c_TMAP2IN))=0,(c_TMAP2OUT)+QUOTIENT(((c_TMAP3OUT)-(c_TMAP2OUT)),2),QUOTIENT((((C8)-(c_TMAP2IN))*((c_TMAP3OUT)-(c_TMAP2OUT))+IF(((c_TMAP3OUT)-(c_TMAP2OUT))&gt;=0,1,-1)*QUOTIENT(((c_TMAP3IN)-(c_TMAP2IN)),2)),((c_TMAP3IN)-(c_TMAP2IN)))+(c_TMAP2OUT)+IF(((c_TMAP3OUT)-(c_TMAP2OUT))&gt;=0,IF(IF(o_WRAP=1,MOD(((c_TMAP3IN)-(c_TMAP2IN))*(((C8)-(c_TMAP2IN))*((c_TMAP3OUT)-(c_TMAP2OUT))+IF(((c_TMAP3OUT)-(c_TMAP2OUT))&gt;=0,1,-1)*QUOTIENT(((c_TMAP3IN)-(c_TMAP2IN)),2))+2147483648,4294967296)-2147483648,((c_TMAP3IN)-(c_TMAP2IN))*(((C8)-(c_TMAP2IN))*((c_TMAP3OUT)-(c_TMAP2OUT))+IF(((c_TMAP3OUT)-(c_TMAP2OUT))&gt;=0,1,-1)*QUOTIENT(((c_TMAP3IN)-(c_TMAP2IN)),2)))&lt;0,-1,0),IF(IF(o_WRAP=1,MOD(((c_TMAP3IN)-(c_TMAP2IN))*(((C8)-(c_TMAP2IN))*((c_TMAP3OUT)-(c_TMAP2OUT))+IF(((c_TMAP3OUT)-(c_TMAP2OUT))&gt;=0,1,-1)*QUOTIENT(((c_TMAP3IN)-(c_TMAP2IN)),2))+2147483648,4294967296)-2147483648,((c_TMAP3IN)-(c_TMAP2IN))*(((C8)-(c_TMAP2IN))*((c_TMAP3OUT)-(c_TMAP2OUT))+IF(((c_TMAP3OUT)-(c_TMAP2OUT))&gt;=0,1,-1)*QUOTIENT(((c_TMAP3IN)-(c_TMAP2IN)),2)))&gt;=0,1,0)))</f>
        <v>-45</v>
      </c>
      <c r="H8" s="7" t="n">
        <f aca="false">IF(((1000)-(c_TMAP3IN))=0,(c_TMAP3OUT)+QUOTIENT(((1000)-(c_TMAP3OUT)),2),QUOTIENT((((C8)-(c_TMAP3IN))*((1000)-(c_TMAP3OUT))+IF(((1000)-(c_TMAP3OUT))&gt;=0,1,-1)*QUOTIENT(((1000)-(c_TMAP3IN)),2)),((1000)-(c_TMAP3IN)))+(c_TMAP3OUT)+IF(((1000)-(c_TMAP3OUT))&gt;=0,IF(IF(o_WRAP=1,MOD(((1000)-(c_TMAP3IN))*(((C8)-(c_TMAP3IN))*((1000)-(c_TMAP3OUT))+IF(((1000)-(c_TMAP3OUT))&gt;=0,1,-1)*QUOTIENT(((1000)-(c_TMAP3IN)),2))+2147483648,4294967296)-2147483648,((1000)-(c_TMAP3IN))*(((C8)-(c_TMAP3IN))*((1000)-(c_TMAP3OUT))+IF(((1000)-(c_TMAP3OUT))&gt;=0,1,-1)*QUOTIENT(((1000)-(c_TMAP3IN)),2)))&lt;0,-1,0),IF(IF(o_WRAP=1,MOD(((1000)-(c_TMAP3IN))*(((C8)-(c_TMAP3IN))*((1000)-(c_TMAP3OUT))+IF(((1000)-(c_TMAP3OUT))&gt;=0,1,-1)*QUOTIENT(((1000)-(c_TMAP3IN)),2))+2147483648,4294967296)-2147483648,((1000)-(c_TMAP3IN))*(((C8)-(c_TMAP3IN))*((1000)-(c_TMAP3OUT))+IF(((1000)-(c_TMAP3OUT))&gt;=0,1,-1)*QUOTIENT(((1000)-(c_TMAP3IN)),2)))&gt;=0,1,0)))</f>
        <v>-231</v>
      </c>
      <c r="I8" s="7" t="n">
        <f aca="false">IF(C8&gt;=c_TFWD,IF(AND(C8&gt;=c_TMAP3IN,c_TMAP3IN&lt;1000),H8,IF(AND(C8&gt;=c_TMAP2IN,c_TMAP3IN&gt;c_TMAP2IN),G8,IF(AND(C8&gt;=c_TMAP1IN,c_TMAP2IN&gt;c_TMAP1IN),F8,E8))),D8)</f>
        <v>-350</v>
      </c>
      <c r="J8" s="7" t="str">
        <f aca="false">IF(I8&lt;-1090,"TOO LOW",IF(I8&gt;1090,"TOO HIGH",""))</f>
        <v/>
      </c>
      <c r="K8" s="7" t="n">
        <f aca="false">IF(J8&lt;&gt;"",0,IF(I8&gt;979,1000,I8))</f>
        <v>-350</v>
      </c>
      <c r="L8" s="7" t="n">
        <f aca="false">IF(OR(c_TSMOOTH=0,K8&gt;=c_TSMOOTHCUT),1,0)</f>
        <v>0</v>
      </c>
      <c r="M8" s="7" t="n">
        <f aca="false">IF(L8=1,0,M7+1)</f>
        <v>4</v>
      </c>
      <c r="N8" s="7" t="n">
        <f aca="false">IF(L8=1,0,MIN(M8,c_TSMOOTH))</f>
        <v>4</v>
      </c>
      <c r="O8" s="7" t="n">
        <f aca="false">IF(COUNTIF($L$5:L8,1)&gt;0,c_TSMOOTHCUT,0)</f>
        <v>0</v>
      </c>
      <c r="P8" s="15" t="n">
        <f aca="true">IF(L8=1,K8,QUOTIENT(SUM(OFFSET(K8,1-N8,0,N8,1))+(c_TSMOOTH-N8)*O8,c_TSMOOTH))</f>
        <v>-46</v>
      </c>
      <c r="Q8" s="7" t="n">
        <f aca="false">K8/10</f>
        <v>-35</v>
      </c>
      <c r="R8" s="7" t="n">
        <f aca="false">P8/10</f>
        <v>-4.6</v>
      </c>
    </row>
    <row r="9" customFormat="false" ht="15" hidden="false" customHeight="false" outlineLevel="0" collapsed="false">
      <c r="A9" s="7" t="n">
        <v>4</v>
      </c>
      <c r="B9" s="7" t="n">
        <f aca="false">A9*0.04</f>
        <v>0.16</v>
      </c>
      <c r="C9" s="18" t="n">
        <v>0</v>
      </c>
      <c r="D9" s="7" t="n">
        <f aca="false">IF(AND(C9=0,c_TCREEP&gt;0),10*c_TCREEP,IF(AND(C9&lt;=c_TRNGMIN,C9&gt;=c_TRNGMAX,c_TRNGMIN-c_TRNGMAX&lt;&gt;0),-10*c_TMINRN+QUOTIENT((c_TMAXRN-c_TMINRN)*(100-QUOTIENT((C9-c_TRNGMAX)*100,c_TRNGMIN-c_TRNGMAX)),-10),0))</f>
        <v>-350</v>
      </c>
      <c r="E9" s="7" t="n">
        <f aca="false">IF(((c_TMAP1IN)-(c_TFWD))=0,(0)+QUOTIENT(((c_TMAP1OUT)-(0)),2),QUOTIENT((((C9)-(c_TFWD))*((c_TMAP1OUT)-(0))+IF(((c_TMAP1OUT)-(0))&gt;=0,1,-1)*QUOTIENT(((c_TMAP1IN)-(c_TFWD)),2)),((c_TMAP1IN)-(c_TFWD)))+(0)+IF(((c_TMAP1OUT)-(0))&gt;=0,IF(IF(o_WRAP=1,MOD(((c_TMAP1IN)-(c_TFWD))*(((C9)-(c_TFWD))*((c_TMAP1OUT)-(0))+IF(((c_TMAP1OUT)-(0))&gt;=0,1,-1)*QUOTIENT(((c_TMAP1IN)-(c_TFWD)),2))+2147483648,4294967296)-2147483648,((c_TMAP1IN)-(c_TFWD))*(((C9)-(c_TFWD))*((c_TMAP1OUT)-(0))+IF(((c_TMAP1OUT)-(0))&gt;=0,1,-1)*QUOTIENT(((c_TMAP1IN)-(c_TFWD)),2)))&lt;0,-1,0),IF(IF(o_WRAP=1,MOD(((c_TMAP1IN)-(c_TFWD))*(((C9)-(c_TFWD))*((c_TMAP1OUT)-(0))+IF(((c_TMAP1OUT)-(0))&gt;=0,1,-1)*QUOTIENT(((c_TMAP1IN)-(c_TFWD)),2))+2147483648,4294967296)-2147483648,((c_TMAP1IN)-(c_TFWD))*(((C9)-(c_TFWD))*((c_TMAP1OUT)-(0))+IF(((c_TMAP1OUT)-(0))&gt;=0,1,-1)*QUOTIENT(((c_TMAP1IN)-(c_TFWD)),2)))&gt;=0,1,0)))</f>
        <v>-8</v>
      </c>
      <c r="F9" s="7" t="n">
        <f aca="false">IF(((c_TMAP2IN)-(c_TMAP1IN))=0,(c_TMAP1OUT)+QUOTIENT(((c_TMAP2OUT)-(c_TMAP1OUT)),2),QUOTIENT((((C9)-(c_TMAP1IN))*((c_TMAP2OUT)-(c_TMAP1OUT))+IF(((c_TMAP2OUT)-(c_TMAP1OUT))&gt;=0,1,-1)*QUOTIENT(((c_TMAP2IN)-(c_TMAP1IN)),2)),((c_TMAP2IN)-(c_TMAP1IN)))+(c_TMAP1OUT)+IF(((c_TMAP2OUT)-(c_TMAP1OUT))&gt;=0,IF(IF(o_WRAP=1,MOD(((c_TMAP2IN)-(c_TMAP1IN))*(((C9)-(c_TMAP1IN))*((c_TMAP2OUT)-(c_TMAP1OUT))+IF(((c_TMAP2OUT)-(c_TMAP1OUT))&gt;=0,1,-1)*QUOTIENT(((c_TMAP2IN)-(c_TMAP1IN)),2))+2147483648,4294967296)-2147483648,((c_TMAP2IN)-(c_TMAP1IN))*(((C9)-(c_TMAP1IN))*((c_TMAP2OUT)-(c_TMAP1OUT))+IF(((c_TMAP2OUT)-(c_TMAP1OUT))&gt;=0,1,-1)*QUOTIENT(((c_TMAP2IN)-(c_TMAP1IN)),2)))&lt;0,-1,0),IF(IF(o_WRAP=1,MOD(((c_TMAP2IN)-(c_TMAP1IN))*(((C9)-(c_TMAP1IN))*((c_TMAP2OUT)-(c_TMAP1OUT))+IF(((c_TMAP2OUT)-(c_TMAP1OUT))&gt;=0,1,-1)*QUOTIENT(((c_TMAP2IN)-(c_TMAP1IN)),2))+2147483648,4294967296)-2147483648,((c_TMAP2IN)-(c_TMAP1IN))*(((C9)-(c_TMAP1IN))*((c_TMAP2OUT)-(c_TMAP1OUT))+IF(((c_TMAP2OUT)-(c_TMAP1OUT))&gt;=0,1,-1)*QUOTIENT(((c_TMAP2IN)-(c_TMAP1IN)),2)))&gt;=0,1,0)))</f>
        <v>30</v>
      </c>
      <c r="G9" s="7" t="n">
        <f aca="false">IF(((c_TMAP3IN)-(c_TMAP2IN))=0,(c_TMAP2OUT)+QUOTIENT(((c_TMAP3OUT)-(c_TMAP2OUT)),2),QUOTIENT((((C9)-(c_TMAP2IN))*((c_TMAP3OUT)-(c_TMAP2OUT))+IF(((c_TMAP3OUT)-(c_TMAP2OUT))&gt;=0,1,-1)*QUOTIENT(((c_TMAP3IN)-(c_TMAP2IN)),2)),((c_TMAP3IN)-(c_TMAP2IN)))+(c_TMAP2OUT)+IF(((c_TMAP3OUT)-(c_TMAP2OUT))&gt;=0,IF(IF(o_WRAP=1,MOD(((c_TMAP3IN)-(c_TMAP2IN))*(((C9)-(c_TMAP2IN))*((c_TMAP3OUT)-(c_TMAP2OUT))+IF(((c_TMAP3OUT)-(c_TMAP2OUT))&gt;=0,1,-1)*QUOTIENT(((c_TMAP3IN)-(c_TMAP2IN)),2))+2147483648,4294967296)-2147483648,((c_TMAP3IN)-(c_TMAP2IN))*(((C9)-(c_TMAP2IN))*((c_TMAP3OUT)-(c_TMAP2OUT))+IF(((c_TMAP3OUT)-(c_TMAP2OUT))&gt;=0,1,-1)*QUOTIENT(((c_TMAP3IN)-(c_TMAP2IN)),2)))&lt;0,-1,0),IF(IF(o_WRAP=1,MOD(((c_TMAP3IN)-(c_TMAP2IN))*(((C9)-(c_TMAP2IN))*((c_TMAP3OUT)-(c_TMAP2OUT))+IF(((c_TMAP3OUT)-(c_TMAP2OUT))&gt;=0,1,-1)*QUOTIENT(((c_TMAP3IN)-(c_TMAP2IN)),2))+2147483648,4294967296)-2147483648,((c_TMAP3IN)-(c_TMAP2IN))*(((C9)-(c_TMAP2IN))*((c_TMAP3OUT)-(c_TMAP2OUT))+IF(((c_TMAP3OUT)-(c_TMAP2OUT))&gt;=0,1,-1)*QUOTIENT(((c_TMAP3IN)-(c_TMAP2IN)),2)))&gt;=0,1,0)))</f>
        <v>-45</v>
      </c>
      <c r="H9" s="7" t="n">
        <f aca="false">IF(((1000)-(c_TMAP3IN))=0,(c_TMAP3OUT)+QUOTIENT(((1000)-(c_TMAP3OUT)),2),QUOTIENT((((C9)-(c_TMAP3IN))*((1000)-(c_TMAP3OUT))+IF(((1000)-(c_TMAP3OUT))&gt;=0,1,-1)*QUOTIENT(((1000)-(c_TMAP3IN)),2)),((1000)-(c_TMAP3IN)))+(c_TMAP3OUT)+IF(((1000)-(c_TMAP3OUT))&gt;=0,IF(IF(o_WRAP=1,MOD(((1000)-(c_TMAP3IN))*(((C9)-(c_TMAP3IN))*((1000)-(c_TMAP3OUT))+IF(((1000)-(c_TMAP3OUT))&gt;=0,1,-1)*QUOTIENT(((1000)-(c_TMAP3IN)),2))+2147483648,4294967296)-2147483648,((1000)-(c_TMAP3IN))*(((C9)-(c_TMAP3IN))*((1000)-(c_TMAP3OUT))+IF(((1000)-(c_TMAP3OUT))&gt;=0,1,-1)*QUOTIENT(((1000)-(c_TMAP3IN)),2)))&lt;0,-1,0),IF(IF(o_WRAP=1,MOD(((1000)-(c_TMAP3IN))*(((C9)-(c_TMAP3IN))*((1000)-(c_TMAP3OUT))+IF(((1000)-(c_TMAP3OUT))&gt;=0,1,-1)*QUOTIENT(((1000)-(c_TMAP3IN)),2))+2147483648,4294967296)-2147483648,((1000)-(c_TMAP3IN))*(((C9)-(c_TMAP3IN))*((1000)-(c_TMAP3OUT))+IF(((1000)-(c_TMAP3OUT))&gt;=0,1,-1)*QUOTIENT(((1000)-(c_TMAP3IN)),2)))&gt;=0,1,0)))</f>
        <v>-231</v>
      </c>
      <c r="I9" s="7" t="n">
        <f aca="false">IF(C9&gt;=c_TFWD,IF(AND(C9&gt;=c_TMAP3IN,c_TMAP3IN&lt;1000),H9,IF(AND(C9&gt;=c_TMAP2IN,c_TMAP3IN&gt;c_TMAP2IN),G9,IF(AND(C9&gt;=c_TMAP1IN,c_TMAP2IN&gt;c_TMAP1IN),F9,E9))),D9)</f>
        <v>-350</v>
      </c>
      <c r="J9" s="7" t="str">
        <f aca="false">IF(I9&lt;-1090,"TOO LOW",IF(I9&gt;1090,"TOO HIGH",""))</f>
        <v/>
      </c>
      <c r="K9" s="7" t="n">
        <f aca="false">IF(J9&lt;&gt;"",0,IF(I9&gt;979,1000,I9))</f>
        <v>-350</v>
      </c>
      <c r="L9" s="7" t="n">
        <f aca="false">IF(OR(c_TSMOOTH=0,K9&gt;=c_TSMOOTHCUT),1,0)</f>
        <v>0</v>
      </c>
      <c r="M9" s="7" t="n">
        <f aca="false">IF(L9=1,0,M8+1)</f>
        <v>5</v>
      </c>
      <c r="N9" s="7" t="n">
        <f aca="false">IF(L9=1,0,MIN(M9,c_TSMOOTH))</f>
        <v>5</v>
      </c>
      <c r="O9" s="7" t="n">
        <f aca="false">IF(COUNTIF($L$5:L9,1)&gt;0,c_TSMOOTHCUT,0)</f>
        <v>0</v>
      </c>
      <c r="P9" s="15" t="n">
        <f aca="true">IF(L9=1,K9,QUOTIENT(SUM(OFFSET(K9,1-N9,0,N9,1))+(c_TSMOOTH-N9)*O9,c_TSMOOTH))</f>
        <v>-58</v>
      </c>
      <c r="Q9" s="7" t="n">
        <f aca="false">K9/10</f>
        <v>-35</v>
      </c>
      <c r="R9" s="7" t="n">
        <f aca="false">P9/10</f>
        <v>-5.8</v>
      </c>
    </row>
    <row r="10" customFormat="false" ht="15" hidden="false" customHeight="false" outlineLevel="0" collapsed="false">
      <c r="A10" s="7" t="n">
        <v>5</v>
      </c>
      <c r="B10" s="7" t="n">
        <f aca="false">A10*0.04</f>
        <v>0.2</v>
      </c>
      <c r="C10" s="18" t="n">
        <v>0</v>
      </c>
      <c r="D10" s="7" t="n">
        <f aca="false">IF(AND(C10=0,c_TCREEP&gt;0),10*c_TCREEP,IF(AND(C10&lt;=c_TRNGMIN,C10&gt;=c_TRNGMAX,c_TRNGMIN-c_TRNGMAX&lt;&gt;0),-10*c_TMINRN+QUOTIENT((c_TMAXRN-c_TMINRN)*(100-QUOTIENT((C10-c_TRNGMAX)*100,c_TRNGMIN-c_TRNGMAX)),-10),0))</f>
        <v>-350</v>
      </c>
      <c r="E10" s="7" t="n">
        <f aca="false">IF(((c_TMAP1IN)-(c_TFWD))=0,(0)+QUOTIENT(((c_TMAP1OUT)-(0)),2),QUOTIENT((((C10)-(c_TFWD))*((c_TMAP1OUT)-(0))+IF(((c_TMAP1OUT)-(0))&gt;=0,1,-1)*QUOTIENT(((c_TMAP1IN)-(c_TFWD)),2)),((c_TMAP1IN)-(c_TFWD)))+(0)+IF(((c_TMAP1OUT)-(0))&gt;=0,IF(IF(o_WRAP=1,MOD(((c_TMAP1IN)-(c_TFWD))*(((C10)-(c_TFWD))*((c_TMAP1OUT)-(0))+IF(((c_TMAP1OUT)-(0))&gt;=0,1,-1)*QUOTIENT(((c_TMAP1IN)-(c_TFWD)),2))+2147483648,4294967296)-2147483648,((c_TMAP1IN)-(c_TFWD))*(((C10)-(c_TFWD))*((c_TMAP1OUT)-(0))+IF(((c_TMAP1OUT)-(0))&gt;=0,1,-1)*QUOTIENT(((c_TMAP1IN)-(c_TFWD)),2)))&lt;0,-1,0),IF(IF(o_WRAP=1,MOD(((c_TMAP1IN)-(c_TFWD))*(((C10)-(c_TFWD))*((c_TMAP1OUT)-(0))+IF(((c_TMAP1OUT)-(0))&gt;=0,1,-1)*QUOTIENT(((c_TMAP1IN)-(c_TFWD)),2))+2147483648,4294967296)-2147483648,((c_TMAP1IN)-(c_TFWD))*(((C10)-(c_TFWD))*((c_TMAP1OUT)-(0))+IF(((c_TMAP1OUT)-(0))&gt;=0,1,-1)*QUOTIENT(((c_TMAP1IN)-(c_TFWD)),2)))&gt;=0,1,0)))</f>
        <v>-8</v>
      </c>
      <c r="F10" s="7" t="n">
        <f aca="false">IF(((c_TMAP2IN)-(c_TMAP1IN))=0,(c_TMAP1OUT)+QUOTIENT(((c_TMAP2OUT)-(c_TMAP1OUT)),2),QUOTIENT((((C10)-(c_TMAP1IN))*((c_TMAP2OUT)-(c_TMAP1OUT))+IF(((c_TMAP2OUT)-(c_TMAP1OUT))&gt;=0,1,-1)*QUOTIENT(((c_TMAP2IN)-(c_TMAP1IN)),2)),((c_TMAP2IN)-(c_TMAP1IN)))+(c_TMAP1OUT)+IF(((c_TMAP2OUT)-(c_TMAP1OUT))&gt;=0,IF(IF(o_WRAP=1,MOD(((c_TMAP2IN)-(c_TMAP1IN))*(((C10)-(c_TMAP1IN))*((c_TMAP2OUT)-(c_TMAP1OUT))+IF(((c_TMAP2OUT)-(c_TMAP1OUT))&gt;=0,1,-1)*QUOTIENT(((c_TMAP2IN)-(c_TMAP1IN)),2))+2147483648,4294967296)-2147483648,((c_TMAP2IN)-(c_TMAP1IN))*(((C10)-(c_TMAP1IN))*((c_TMAP2OUT)-(c_TMAP1OUT))+IF(((c_TMAP2OUT)-(c_TMAP1OUT))&gt;=0,1,-1)*QUOTIENT(((c_TMAP2IN)-(c_TMAP1IN)),2)))&lt;0,-1,0),IF(IF(o_WRAP=1,MOD(((c_TMAP2IN)-(c_TMAP1IN))*(((C10)-(c_TMAP1IN))*((c_TMAP2OUT)-(c_TMAP1OUT))+IF(((c_TMAP2OUT)-(c_TMAP1OUT))&gt;=0,1,-1)*QUOTIENT(((c_TMAP2IN)-(c_TMAP1IN)),2))+2147483648,4294967296)-2147483648,((c_TMAP2IN)-(c_TMAP1IN))*(((C10)-(c_TMAP1IN))*((c_TMAP2OUT)-(c_TMAP1OUT))+IF(((c_TMAP2OUT)-(c_TMAP1OUT))&gt;=0,1,-1)*QUOTIENT(((c_TMAP2IN)-(c_TMAP1IN)),2)))&gt;=0,1,0)))</f>
        <v>30</v>
      </c>
      <c r="G10" s="7" t="n">
        <f aca="false">IF(((c_TMAP3IN)-(c_TMAP2IN))=0,(c_TMAP2OUT)+QUOTIENT(((c_TMAP3OUT)-(c_TMAP2OUT)),2),QUOTIENT((((C10)-(c_TMAP2IN))*((c_TMAP3OUT)-(c_TMAP2OUT))+IF(((c_TMAP3OUT)-(c_TMAP2OUT))&gt;=0,1,-1)*QUOTIENT(((c_TMAP3IN)-(c_TMAP2IN)),2)),((c_TMAP3IN)-(c_TMAP2IN)))+(c_TMAP2OUT)+IF(((c_TMAP3OUT)-(c_TMAP2OUT))&gt;=0,IF(IF(o_WRAP=1,MOD(((c_TMAP3IN)-(c_TMAP2IN))*(((C10)-(c_TMAP2IN))*((c_TMAP3OUT)-(c_TMAP2OUT))+IF(((c_TMAP3OUT)-(c_TMAP2OUT))&gt;=0,1,-1)*QUOTIENT(((c_TMAP3IN)-(c_TMAP2IN)),2))+2147483648,4294967296)-2147483648,((c_TMAP3IN)-(c_TMAP2IN))*(((C10)-(c_TMAP2IN))*((c_TMAP3OUT)-(c_TMAP2OUT))+IF(((c_TMAP3OUT)-(c_TMAP2OUT))&gt;=0,1,-1)*QUOTIENT(((c_TMAP3IN)-(c_TMAP2IN)),2)))&lt;0,-1,0),IF(IF(o_WRAP=1,MOD(((c_TMAP3IN)-(c_TMAP2IN))*(((C10)-(c_TMAP2IN))*((c_TMAP3OUT)-(c_TMAP2OUT))+IF(((c_TMAP3OUT)-(c_TMAP2OUT))&gt;=0,1,-1)*QUOTIENT(((c_TMAP3IN)-(c_TMAP2IN)),2))+2147483648,4294967296)-2147483648,((c_TMAP3IN)-(c_TMAP2IN))*(((C10)-(c_TMAP2IN))*((c_TMAP3OUT)-(c_TMAP2OUT))+IF(((c_TMAP3OUT)-(c_TMAP2OUT))&gt;=0,1,-1)*QUOTIENT(((c_TMAP3IN)-(c_TMAP2IN)),2)))&gt;=0,1,0)))</f>
        <v>-45</v>
      </c>
      <c r="H10" s="7" t="n">
        <f aca="false">IF(((1000)-(c_TMAP3IN))=0,(c_TMAP3OUT)+QUOTIENT(((1000)-(c_TMAP3OUT)),2),QUOTIENT((((C10)-(c_TMAP3IN))*((1000)-(c_TMAP3OUT))+IF(((1000)-(c_TMAP3OUT))&gt;=0,1,-1)*QUOTIENT(((1000)-(c_TMAP3IN)),2)),((1000)-(c_TMAP3IN)))+(c_TMAP3OUT)+IF(((1000)-(c_TMAP3OUT))&gt;=0,IF(IF(o_WRAP=1,MOD(((1000)-(c_TMAP3IN))*(((C10)-(c_TMAP3IN))*((1000)-(c_TMAP3OUT))+IF(((1000)-(c_TMAP3OUT))&gt;=0,1,-1)*QUOTIENT(((1000)-(c_TMAP3IN)),2))+2147483648,4294967296)-2147483648,((1000)-(c_TMAP3IN))*(((C10)-(c_TMAP3IN))*((1000)-(c_TMAP3OUT))+IF(((1000)-(c_TMAP3OUT))&gt;=0,1,-1)*QUOTIENT(((1000)-(c_TMAP3IN)),2)))&lt;0,-1,0),IF(IF(o_WRAP=1,MOD(((1000)-(c_TMAP3IN))*(((C10)-(c_TMAP3IN))*((1000)-(c_TMAP3OUT))+IF(((1000)-(c_TMAP3OUT))&gt;=0,1,-1)*QUOTIENT(((1000)-(c_TMAP3IN)),2))+2147483648,4294967296)-2147483648,((1000)-(c_TMAP3IN))*(((C10)-(c_TMAP3IN))*((1000)-(c_TMAP3OUT))+IF(((1000)-(c_TMAP3OUT))&gt;=0,1,-1)*QUOTIENT(((1000)-(c_TMAP3IN)),2)))&gt;=0,1,0)))</f>
        <v>-231</v>
      </c>
      <c r="I10" s="7" t="n">
        <f aca="false">IF(C10&gt;=c_TFWD,IF(AND(C10&gt;=c_TMAP3IN,c_TMAP3IN&lt;1000),H10,IF(AND(C10&gt;=c_TMAP2IN,c_TMAP3IN&gt;c_TMAP2IN),G10,IF(AND(C10&gt;=c_TMAP1IN,c_TMAP2IN&gt;c_TMAP1IN),F10,E10))),D10)</f>
        <v>-350</v>
      </c>
      <c r="J10" s="7" t="str">
        <f aca="false">IF(I10&lt;-1090,"TOO LOW",IF(I10&gt;1090,"TOO HIGH",""))</f>
        <v/>
      </c>
      <c r="K10" s="7" t="n">
        <f aca="false">IF(J10&lt;&gt;"",0,IF(I10&gt;979,1000,I10))</f>
        <v>-350</v>
      </c>
      <c r="L10" s="7" t="n">
        <f aca="false">IF(OR(c_TSMOOTH=0,K10&gt;=c_TSMOOTHCUT),1,0)</f>
        <v>0</v>
      </c>
      <c r="M10" s="7" t="n">
        <f aca="false">IF(L10=1,0,M9+1)</f>
        <v>6</v>
      </c>
      <c r="N10" s="7" t="n">
        <f aca="false">IF(L10=1,0,MIN(M10,c_TSMOOTH))</f>
        <v>6</v>
      </c>
      <c r="O10" s="7" t="n">
        <f aca="false">IF(COUNTIF($L$5:L10,1)&gt;0,c_TSMOOTHCUT,0)</f>
        <v>0</v>
      </c>
      <c r="P10" s="15" t="n">
        <f aca="true">IF(L10=1,K10,QUOTIENT(SUM(OFFSET(K10,1-N10,0,N10,1))+(c_TSMOOTH-N10)*O10,c_TSMOOTH))</f>
        <v>-70</v>
      </c>
      <c r="Q10" s="7" t="n">
        <f aca="false">K10/10</f>
        <v>-35</v>
      </c>
      <c r="R10" s="7" t="n">
        <f aca="false">P10/10</f>
        <v>-7</v>
      </c>
    </row>
    <row r="11" customFormat="false" ht="15" hidden="false" customHeight="false" outlineLevel="0" collapsed="false">
      <c r="A11" s="7" t="n">
        <v>6</v>
      </c>
      <c r="B11" s="7" t="n">
        <f aca="false">A11*0.04</f>
        <v>0.24</v>
      </c>
      <c r="C11" s="18" t="n">
        <v>0</v>
      </c>
      <c r="D11" s="7" t="n">
        <f aca="false">IF(AND(C11=0,c_TCREEP&gt;0),10*c_TCREEP,IF(AND(C11&lt;=c_TRNGMIN,C11&gt;=c_TRNGMAX,c_TRNGMIN-c_TRNGMAX&lt;&gt;0),-10*c_TMINRN+QUOTIENT((c_TMAXRN-c_TMINRN)*(100-QUOTIENT((C11-c_TRNGMAX)*100,c_TRNGMIN-c_TRNGMAX)),-10),0))</f>
        <v>-350</v>
      </c>
      <c r="E11" s="7" t="n">
        <f aca="false">IF(((c_TMAP1IN)-(c_TFWD))=0,(0)+QUOTIENT(((c_TMAP1OUT)-(0)),2),QUOTIENT((((C11)-(c_TFWD))*((c_TMAP1OUT)-(0))+IF(((c_TMAP1OUT)-(0))&gt;=0,1,-1)*QUOTIENT(((c_TMAP1IN)-(c_TFWD)),2)),((c_TMAP1IN)-(c_TFWD)))+(0)+IF(((c_TMAP1OUT)-(0))&gt;=0,IF(IF(o_WRAP=1,MOD(((c_TMAP1IN)-(c_TFWD))*(((C11)-(c_TFWD))*((c_TMAP1OUT)-(0))+IF(((c_TMAP1OUT)-(0))&gt;=0,1,-1)*QUOTIENT(((c_TMAP1IN)-(c_TFWD)),2))+2147483648,4294967296)-2147483648,((c_TMAP1IN)-(c_TFWD))*(((C11)-(c_TFWD))*((c_TMAP1OUT)-(0))+IF(((c_TMAP1OUT)-(0))&gt;=0,1,-1)*QUOTIENT(((c_TMAP1IN)-(c_TFWD)),2)))&lt;0,-1,0),IF(IF(o_WRAP=1,MOD(((c_TMAP1IN)-(c_TFWD))*(((C11)-(c_TFWD))*((c_TMAP1OUT)-(0))+IF(((c_TMAP1OUT)-(0))&gt;=0,1,-1)*QUOTIENT(((c_TMAP1IN)-(c_TFWD)),2))+2147483648,4294967296)-2147483648,((c_TMAP1IN)-(c_TFWD))*(((C11)-(c_TFWD))*((c_TMAP1OUT)-(0))+IF(((c_TMAP1OUT)-(0))&gt;=0,1,-1)*QUOTIENT(((c_TMAP1IN)-(c_TFWD)),2)))&gt;=0,1,0)))</f>
        <v>-8</v>
      </c>
      <c r="F11" s="7" t="n">
        <f aca="false">IF(((c_TMAP2IN)-(c_TMAP1IN))=0,(c_TMAP1OUT)+QUOTIENT(((c_TMAP2OUT)-(c_TMAP1OUT)),2),QUOTIENT((((C11)-(c_TMAP1IN))*((c_TMAP2OUT)-(c_TMAP1OUT))+IF(((c_TMAP2OUT)-(c_TMAP1OUT))&gt;=0,1,-1)*QUOTIENT(((c_TMAP2IN)-(c_TMAP1IN)),2)),((c_TMAP2IN)-(c_TMAP1IN)))+(c_TMAP1OUT)+IF(((c_TMAP2OUT)-(c_TMAP1OUT))&gt;=0,IF(IF(o_WRAP=1,MOD(((c_TMAP2IN)-(c_TMAP1IN))*(((C11)-(c_TMAP1IN))*((c_TMAP2OUT)-(c_TMAP1OUT))+IF(((c_TMAP2OUT)-(c_TMAP1OUT))&gt;=0,1,-1)*QUOTIENT(((c_TMAP2IN)-(c_TMAP1IN)),2))+2147483648,4294967296)-2147483648,((c_TMAP2IN)-(c_TMAP1IN))*(((C11)-(c_TMAP1IN))*((c_TMAP2OUT)-(c_TMAP1OUT))+IF(((c_TMAP2OUT)-(c_TMAP1OUT))&gt;=0,1,-1)*QUOTIENT(((c_TMAP2IN)-(c_TMAP1IN)),2)))&lt;0,-1,0),IF(IF(o_WRAP=1,MOD(((c_TMAP2IN)-(c_TMAP1IN))*(((C11)-(c_TMAP1IN))*((c_TMAP2OUT)-(c_TMAP1OUT))+IF(((c_TMAP2OUT)-(c_TMAP1OUT))&gt;=0,1,-1)*QUOTIENT(((c_TMAP2IN)-(c_TMAP1IN)),2))+2147483648,4294967296)-2147483648,((c_TMAP2IN)-(c_TMAP1IN))*(((C11)-(c_TMAP1IN))*((c_TMAP2OUT)-(c_TMAP1OUT))+IF(((c_TMAP2OUT)-(c_TMAP1OUT))&gt;=0,1,-1)*QUOTIENT(((c_TMAP2IN)-(c_TMAP1IN)),2)))&gt;=0,1,0)))</f>
        <v>30</v>
      </c>
      <c r="G11" s="7" t="n">
        <f aca="false">IF(((c_TMAP3IN)-(c_TMAP2IN))=0,(c_TMAP2OUT)+QUOTIENT(((c_TMAP3OUT)-(c_TMAP2OUT)),2),QUOTIENT((((C11)-(c_TMAP2IN))*((c_TMAP3OUT)-(c_TMAP2OUT))+IF(((c_TMAP3OUT)-(c_TMAP2OUT))&gt;=0,1,-1)*QUOTIENT(((c_TMAP3IN)-(c_TMAP2IN)),2)),((c_TMAP3IN)-(c_TMAP2IN)))+(c_TMAP2OUT)+IF(((c_TMAP3OUT)-(c_TMAP2OUT))&gt;=0,IF(IF(o_WRAP=1,MOD(((c_TMAP3IN)-(c_TMAP2IN))*(((C11)-(c_TMAP2IN))*((c_TMAP3OUT)-(c_TMAP2OUT))+IF(((c_TMAP3OUT)-(c_TMAP2OUT))&gt;=0,1,-1)*QUOTIENT(((c_TMAP3IN)-(c_TMAP2IN)),2))+2147483648,4294967296)-2147483648,((c_TMAP3IN)-(c_TMAP2IN))*(((C11)-(c_TMAP2IN))*((c_TMAP3OUT)-(c_TMAP2OUT))+IF(((c_TMAP3OUT)-(c_TMAP2OUT))&gt;=0,1,-1)*QUOTIENT(((c_TMAP3IN)-(c_TMAP2IN)),2)))&lt;0,-1,0),IF(IF(o_WRAP=1,MOD(((c_TMAP3IN)-(c_TMAP2IN))*(((C11)-(c_TMAP2IN))*((c_TMAP3OUT)-(c_TMAP2OUT))+IF(((c_TMAP3OUT)-(c_TMAP2OUT))&gt;=0,1,-1)*QUOTIENT(((c_TMAP3IN)-(c_TMAP2IN)),2))+2147483648,4294967296)-2147483648,((c_TMAP3IN)-(c_TMAP2IN))*(((C11)-(c_TMAP2IN))*((c_TMAP3OUT)-(c_TMAP2OUT))+IF(((c_TMAP3OUT)-(c_TMAP2OUT))&gt;=0,1,-1)*QUOTIENT(((c_TMAP3IN)-(c_TMAP2IN)),2)))&gt;=0,1,0)))</f>
        <v>-45</v>
      </c>
      <c r="H11" s="7" t="n">
        <f aca="false">IF(((1000)-(c_TMAP3IN))=0,(c_TMAP3OUT)+QUOTIENT(((1000)-(c_TMAP3OUT)),2),QUOTIENT((((C11)-(c_TMAP3IN))*((1000)-(c_TMAP3OUT))+IF(((1000)-(c_TMAP3OUT))&gt;=0,1,-1)*QUOTIENT(((1000)-(c_TMAP3IN)),2)),((1000)-(c_TMAP3IN)))+(c_TMAP3OUT)+IF(((1000)-(c_TMAP3OUT))&gt;=0,IF(IF(o_WRAP=1,MOD(((1000)-(c_TMAP3IN))*(((C11)-(c_TMAP3IN))*((1000)-(c_TMAP3OUT))+IF(((1000)-(c_TMAP3OUT))&gt;=0,1,-1)*QUOTIENT(((1000)-(c_TMAP3IN)),2))+2147483648,4294967296)-2147483648,((1000)-(c_TMAP3IN))*(((C11)-(c_TMAP3IN))*((1000)-(c_TMAP3OUT))+IF(((1000)-(c_TMAP3OUT))&gt;=0,1,-1)*QUOTIENT(((1000)-(c_TMAP3IN)),2)))&lt;0,-1,0),IF(IF(o_WRAP=1,MOD(((1000)-(c_TMAP3IN))*(((C11)-(c_TMAP3IN))*((1000)-(c_TMAP3OUT))+IF(((1000)-(c_TMAP3OUT))&gt;=0,1,-1)*QUOTIENT(((1000)-(c_TMAP3IN)),2))+2147483648,4294967296)-2147483648,((1000)-(c_TMAP3IN))*(((C11)-(c_TMAP3IN))*((1000)-(c_TMAP3OUT))+IF(((1000)-(c_TMAP3OUT))&gt;=0,1,-1)*QUOTIENT(((1000)-(c_TMAP3IN)),2)))&gt;=0,1,0)))</f>
        <v>-231</v>
      </c>
      <c r="I11" s="7" t="n">
        <f aca="false">IF(C11&gt;=c_TFWD,IF(AND(C11&gt;=c_TMAP3IN,c_TMAP3IN&lt;1000),H11,IF(AND(C11&gt;=c_TMAP2IN,c_TMAP3IN&gt;c_TMAP2IN),G11,IF(AND(C11&gt;=c_TMAP1IN,c_TMAP2IN&gt;c_TMAP1IN),F11,E11))),D11)</f>
        <v>-350</v>
      </c>
      <c r="J11" s="7" t="str">
        <f aca="false">IF(I11&lt;-1090,"TOO LOW",IF(I11&gt;1090,"TOO HIGH",""))</f>
        <v/>
      </c>
      <c r="K11" s="7" t="n">
        <f aca="false">IF(J11&lt;&gt;"",0,IF(I11&gt;979,1000,I11))</f>
        <v>-350</v>
      </c>
      <c r="L11" s="7" t="n">
        <f aca="false">IF(OR(c_TSMOOTH=0,K11&gt;=c_TSMOOTHCUT),1,0)</f>
        <v>0</v>
      </c>
      <c r="M11" s="7" t="n">
        <f aca="false">IF(L11=1,0,M10+1)</f>
        <v>7</v>
      </c>
      <c r="N11" s="7" t="n">
        <f aca="false">IF(L11=1,0,MIN(M11,c_TSMOOTH))</f>
        <v>7</v>
      </c>
      <c r="O11" s="7" t="n">
        <f aca="false">IF(COUNTIF($L$5:L11,1)&gt;0,c_TSMOOTHCUT,0)</f>
        <v>0</v>
      </c>
      <c r="P11" s="15" t="n">
        <f aca="true">IF(L11=1,K11,QUOTIENT(SUM(OFFSET(K11,1-N11,0,N11,1))+(c_TSMOOTH-N11)*O11,c_TSMOOTH))</f>
        <v>-81</v>
      </c>
      <c r="Q11" s="7" t="n">
        <f aca="false">K11/10</f>
        <v>-35</v>
      </c>
      <c r="R11" s="7" t="n">
        <f aca="false">P11/10</f>
        <v>-8.1</v>
      </c>
    </row>
    <row r="12" customFormat="false" ht="15" hidden="false" customHeight="false" outlineLevel="0" collapsed="false">
      <c r="A12" s="7" t="n">
        <v>7</v>
      </c>
      <c r="B12" s="7" t="n">
        <f aca="false">A12*0.04</f>
        <v>0.28</v>
      </c>
      <c r="C12" s="18" t="n">
        <v>0</v>
      </c>
      <c r="D12" s="7" t="n">
        <f aca="false">IF(AND(C12=0,c_TCREEP&gt;0),10*c_TCREEP,IF(AND(C12&lt;=c_TRNGMIN,C12&gt;=c_TRNGMAX,c_TRNGMIN-c_TRNGMAX&lt;&gt;0),-10*c_TMINRN+QUOTIENT((c_TMAXRN-c_TMINRN)*(100-QUOTIENT((C12-c_TRNGMAX)*100,c_TRNGMIN-c_TRNGMAX)),-10),0))</f>
        <v>-350</v>
      </c>
      <c r="E12" s="7" t="n">
        <f aca="false">IF(((c_TMAP1IN)-(c_TFWD))=0,(0)+QUOTIENT(((c_TMAP1OUT)-(0)),2),QUOTIENT((((C12)-(c_TFWD))*((c_TMAP1OUT)-(0))+IF(((c_TMAP1OUT)-(0))&gt;=0,1,-1)*QUOTIENT(((c_TMAP1IN)-(c_TFWD)),2)),((c_TMAP1IN)-(c_TFWD)))+(0)+IF(((c_TMAP1OUT)-(0))&gt;=0,IF(IF(o_WRAP=1,MOD(((c_TMAP1IN)-(c_TFWD))*(((C12)-(c_TFWD))*((c_TMAP1OUT)-(0))+IF(((c_TMAP1OUT)-(0))&gt;=0,1,-1)*QUOTIENT(((c_TMAP1IN)-(c_TFWD)),2))+2147483648,4294967296)-2147483648,((c_TMAP1IN)-(c_TFWD))*(((C12)-(c_TFWD))*((c_TMAP1OUT)-(0))+IF(((c_TMAP1OUT)-(0))&gt;=0,1,-1)*QUOTIENT(((c_TMAP1IN)-(c_TFWD)),2)))&lt;0,-1,0),IF(IF(o_WRAP=1,MOD(((c_TMAP1IN)-(c_TFWD))*(((C12)-(c_TFWD))*((c_TMAP1OUT)-(0))+IF(((c_TMAP1OUT)-(0))&gt;=0,1,-1)*QUOTIENT(((c_TMAP1IN)-(c_TFWD)),2))+2147483648,4294967296)-2147483648,((c_TMAP1IN)-(c_TFWD))*(((C12)-(c_TFWD))*((c_TMAP1OUT)-(0))+IF(((c_TMAP1OUT)-(0))&gt;=0,1,-1)*QUOTIENT(((c_TMAP1IN)-(c_TFWD)),2)))&gt;=0,1,0)))</f>
        <v>-8</v>
      </c>
      <c r="F12" s="7" t="n">
        <f aca="false">IF(((c_TMAP2IN)-(c_TMAP1IN))=0,(c_TMAP1OUT)+QUOTIENT(((c_TMAP2OUT)-(c_TMAP1OUT)),2),QUOTIENT((((C12)-(c_TMAP1IN))*((c_TMAP2OUT)-(c_TMAP1OUT))+IF(((c_TMAP2OUT)-(c_TMAP1OUT))&gt;=0,1,-1)*QUOTIENT(((c_TMAP2IN)-(c_TMAP1IN)),2)),((c_TMAP2IN)-(c_TMAP1IN)))+(c_TMAP1OUT)+IF(((c_TMAP2OUT)-(c_TMAP1OUT))&gt;=0,IF(IF(o_WRAP=1,MOD(((c_TMAP2IN)-(c_TMAP1IN))*(((C12)-(c_TMAP1IN))*((c_TMAP2OUT)-(c_TMAP1OUT))+IF(((c_TMAP2OUT)-(c_TMAP1OUT))&gt;=0,1,-1)*QUOTIENT(((c_TMAP2IN)-(c_TMAP1IN)),2))+2147483648,4294967296)-2147483648,((c_TMAP2IN)-(c_TMAP1IN))*(((C12)-(c_TMAP1IN))*((c_TMAP2OUT)-(c_TMAP1OUT))+IF(((c_TMAP2OUT)-(c_TMAP1OUT))&gt;=0,1,-1)*QUOTIENT(((c_TMAP2IN)-(c_TMAP1IN)),2)))&lt;0,-1,0),IF(IF(o_WRAP=1,MOD(((c_TMAP2IN)-(c_TMAP1IN))*(((C12)-(c_TMAP1IN))*((c_TMAP2OUT)-(c_TMAP1OUT))+IF(((c_TMAP2OUT)-(c_TMAP1OUT))&gt;=0,1,-1)*QUOTIENT(((c_TMAP2IN)-(c_TMAP1IN)),2))+2147483648,4294967296)-2147483648,((c_TMAP2IN)-(c_TMAP1IN))*(((C12)-(c_TMAP1IN))*((c_TMAP2OUT)-(c_TMAP1OUT))+IF(((c_TMAP2OUT)-(c_TMAP1OUT))&gt;=0,1,-1)*QUOTIENT(((c_TMAP2IN)-(c_TMAP1IN)),2)))&gt;=0,1,0)))</f>
        <v>30</v>
      </c>
      <c r="G12" s="7" t="n">
        <f aca="false">IF(((c_TMAP3IN)-(c_TMAP2IN))=0,(c_TMAP2OUT)+QUOTIENT(((c_TMAP3OUT)-(c_TMAP2OUT)),2),QUOTIENT((((C12)-(c_TMAP2IN))*((c_TMAP3OUT)-(c_TMAP2OUT))+IF(((c_TMAP3OUT)-(c_TMAP2OUT))&gt;=0,1,-1)*QUOTIENT(((c_TMAP3IN)-(c_TMAP2IN)),2)),((c_TMAP3IN)-(c_TMAP2IN)))+(c_TMAP2OUT)+IF(((c_TMAP3OUT)-(c_TMAP2OUT))&gt;=0,IF(IF(o_WRAP=1,MOD(((c_TMAP3IN)-(c_TMAP2IN))*(((C12)-(c_TMAP2IN))*((c_TMAP3OUT)-(c_TMAP2OUT))+IF(((c_TMAP3OUT)-(c_TMAP2OUT))&gt;=0,1,-1)*QUOTIENT(((c_TMAP3IN)-(c_TMAP2IN)),2))+2147483648,4294967296)-2147483648,((c_TMAP3IN)-(c_TMAP2IN))*(((C12)-(c_TMAP2IN))*((c_TMAP3OUT)-(c_TMAP2OUT))+IF(((c_TMAP3OUT)-(c_TMAP2OUT))&gt;=0,1,-1)*QUOTIENT(((c_TMAP3IN)-(c_TMAP2IN)),2)))&lt;0,-1,0),IF(IF(o_WRAP=1,MOD(((c_TMAP3IN)-(c_TMAP2IN))*(((C12)-(c_TMAP2IN))*((c_TMAP3OUT)-(c_TMAP2OUT))+IF(((c_TMAP3OUT)-(c_TMAP2OUT))&gt;=0,1,-1)*QUOTIENT(((c_TMAP3IN)-(c_TMAP2IN)),2))+2147483648,4294967296)-2147483648,((c_TMAP3IN)-(c_TMAP2IN))*(((C12)-(c_TMAP2IN))*((c_TMAP3OUT)-(c_TMAP2OUT))+IF(((c_TMAP3OUT)-(c_TMAP2OUT))&gt;=0,1,-1)*QUOTIENT(((c_TMAP3IN)-(c_TMAP2IN)),2)))&gt;=0,1,0)))</f>
        <v>-45</v>
      </c>
      <c r="H12" s="7" t="n">
        <f aca="false">IF(((1000)-(c_TMAP3IN))=0,(c_TMAP3OUT)+QUOTIENT(((1000)-(c_TMAP3OUT)),2),QUOTIENT((((C12)-(c_TMAP3IN))*((1000)-(c_TMAP3OUT))+IF(((1000)-(c_TMAP3OUT))&gt;=0,1,-1)*QUOTIENT(((1000)-(c_TMAP3IN)),2)),((1000)-(c_TMAP3IN)))+(c_TMAP3OUT)+IF(((1000)-(c_TMAP3OUT))&gt;=0,IF(IF(o_WRAP=1,MOD(((1000)-(c_TMAP3IN))*(((C12)-(c_TMAP3IN))*((1000)-(c_TMAP3OUT))+IF(((1000)-(c_TMAP3OUT))&gt;=0,1,-1)*QUOTIENT(((1000)-(c_TMAP3IN)),2))+2147483648,4294967296)-2147483648,((1000)-(c_TMAP3IN))*(((C12)-(c_TMAP3IN))*((1000)-(c_TMAP3OUT))+IF(((1000)-(c_TMAP3OUT))&gt;=0,1,-1)*QUOTIENT(((1000)-(c_TMAP3IN)),2)))&lt;0,-1,0),IF(IF(o_WRAP=1,MOD(((1000)-(c_TMAP3IN))*(((C12)-(c_TMAP3IN))*((1000)-(c_TMAP3OUT))+IF(((1000)-(c_TMAP3OUT))&gt;=0,1,-1)*QUOTIENT(((1000)-(c_TMAP3IN)),2))+2147483648,4294967296)-2147483648,((1000)-(c_TMAP3IN))*(((C12)-(c_TMAP3IN))*((1000)-(c_TMAP3OUT))+IF(((1000)-(c_TMAP3OUT))&gt;=0,1,-1)*QUOTIENT(((1000)-(c_TMAP3IN)),2)))&gt;=0,1,0)))</f>
        <v>-231</v>
      </c>
      <c r="I12" s="7" t="n">
        <f aca="false">IF(C12&gt;=c_TFWD,IF(AND(C12&gt;=c_TMAP3IN,c_TMAP3IN&lt;1000),H12,IF(AND(C12&gt;=c_TMAP2IN,c_TMAP3IN&gt;c_TMAP2IN),G12,IF(AND(C12&gt;=c_TMAP1IN,c_TMAP2IN&gt;c_TMAP1IN),F12,E12))),D12)</f>
        <v>-350</v>
      </c>
      <c r="J12" s="7" t="str">
        <f aca="false">IF(I12&lt;-1090,"TOO LOW",IF(I12&gt;1090,"TOO HIGH",""))</f>
        <v/>
      </c>
      <c r="K12" s="7" t="n">
        <f aca="false">IF(J12&lt;&gt;"",0,IF(I12&gt;979,1000,I12))</f>
        <v>-350</v>
      </c>
      <c r="L12" s="7" t="n">
        <f aca="false">IF(OR(c_TSMOOTH=0,K12&gt;=c_TSMOOTHCUT),1,0)</f>
        <v>0</v>
      </c>
      <c r="M12" s="7" t="n">
        <f aca="false">IF(L12=1,0,M11+1)</f>
        <v>8</v>
      </c>
      <c r="N12" s="7" t="n">
        <f aca="false">IF(L12=1,0,MIN(M12,c_TSMOOTH))</f>
        <v>8</v>
      </c>
      <c r="O12" s="7" t="n">
        <f aca="false">IF(COUNTIF($L$5:L12,1)&gt;0,c_TSMOOTHCUT,0)</f>
        <v>0</v>
      </c>
      <c r="P12" s="15" t="n">
        <f aca="true">IF(L12=1,K12,QUOTIENT(SUM(OFFSET(K12,1-N12,0,N12,1))+(c_TSMOOTH-N12)*O12,c_TSMOOTH))</f>
        <v>-93</v>
      </c>
      <c r="Q12" s="7" t="n">
        <f aca="false">K12/10</f>
        <v>-35</v>
      </c>
      <c r="R12" s="7" t="n">
        <f aca="false">P12/10</f>
        <v>-9.3</v>
      </c>
    </row>
    <row r="13" customFormat="false" ht="15" hidden="false" customHeight="false" outlineLevel="0" collapsed="false">
      <c r="A13" s="7" t="n">
        <v>8</v>
      </c>
      <c r="B13" s="7" t="n">
        <f aca="false">A13*0.04</f>
        <v>0.32</v>
      </c>
      <c r="C13" s="18" t="n">
        <v>0</v>
      </c>
      <c r="D13" s="7" t="n">
        <f aca="false">IF(AND(C13=0,c_TCREEP&gt;0),10*c_TCREEP,IF(AND(C13&lt;=c_TRNGMIN,C13&gt;=c_TRNGMAX,c_TRNGMIN-c_TRNGMAX&lt;&gt;0),-10*c_TMINRN+QUOTIENT((c_TMAXRN-c_TMINRN)*(100-QUOTIENT((C13-c_TRNGMAX)*100,c_TRNGMIN-c_TRNGMAX)),-10),0))</f>
        <v>-350</v>
      </c>
      <c r="E13" s="7" t="n">
        <f aca="false">IF(((c_TMAP1IN)-(c_TFWD))=0,(0)+QUOTIENT(((c_TMAP1OUT)-(0)),2),QUOTIENT((((C13)-(c_TFWD))*((c_TMAP1OUT)-(0))+IF(((c_TMAP1OUT)-(0))&gt;=0,1,-1)*QUOTIENT(((c_TMAP1IN)-(c_TFWD)),2)),((c_TMAP1IN)-(c_TFWD)))+(0)+IF(((c_TMAP1OUT)-(0))&gt;=0,IF(IF(o_WRAP=1,MOD(((c_TMAP1IN)-(c_TFWD))*(((C13)-(c_TFWD))*((c_TMAP1OUT)-(0))+IF(((c_TMAP1OUT)-(0))&gt;=0,1,-1)*QUOTIENT(((c_TMAP1IN)-(c_TFWD)),2))+2147483648,4294967296)-2147483648,((c_TMAP1IN)-(c_TFWD))*(((C13)-(c_TFWD))*((c_TMAP1OUT)-(0))+IF(((c_TMAP1OUT)-(0))&gt;=0,1,-1)*QUOTIENT(((c_TMAP1IN)-(c_TFWD)),2)))&lt;0,-1,0),IF(IF(o_WRAP=1,MOD(((c_TMAP1IN)-(c_TFWD))*(((C13)-(c_TFWD))*((c_TMAP1OUT)-(0))+IF(((c_TMAP1OUT)-(0))&gt;=0,1,-1)*QUOTIENT(((c_TMAP1IN)-(c_TFWD)),2))+2147483648,4294967296)-2147483648,((c_TMAP1IN)-(c_TFWD))*(((C13)-(c_TFWD))*((c_TMAP1OUT)-(0))+IF(((c_TMAP1OUT)-(0))&gt;=0,1,-1)*QUOTIENT(((c_TMAP1IN)-(c_TFWD)),2)))&gt;=0,1,0)))</f>
        <v>-8</v>
      </c>
      <c r="F13" s="7" t="n">
        <f aca="false">IF(((c_TMAP2IN)-(c_TMAP1IN))=0,(c_TMAP1OUT)+QUOTIENT(((c_TMAP2OUT)-(c_TMAP1OUT)),2),QUOTIENT((((C13)-(c_TMAP1IN))*((c_TMAP2OUT)-(c_TMAP1OUT))+IF(((c_TMAP2OUT)-(c_TMAP1OUT))&gt;=0,1,-1)*QUOTIENT(((c_TMAP2IN)-(c_TMAP1IN)),2)),((c_TMAP2IN)-(c_TMAP1IN)))+(c_TMAP1OUT)+IF(((c_TMAP2OUT)-(c_TMAP1OUT))&gt;=0,IF(IF(o_WRAP=1,MOD(((c_TMAP2IN)-(c_TMAP1IN))*(((C13)-(c_TMAP1IN))*((c_TMAP2OUT)-(c_TMAP1OUT))+IF(((c_TMAP2OUT)-(c_TMAP1OUT))&gt;=0,1,-1)*QUOTIENT(((c_TMAP2IN)-(c_TMAP1IN)),2))+2147483648,4294967296)-2147483648,((c_TMAP2IN)-(c_TMAP1IN))*(((C13)-(c_TMAP1IN))*((c_TMAP2OUT)-(c_TMAP1OUT))+IF(((c_TMAP2OUT)-(c_TMAP1OUT))&gt;=0,1,-1)*QUOTIENT(((c_TMAP2IN)-(c_TMAP1IN)),2)))&lt;0,-1,0),IF(IF(o_WRAP=1,MOD(((c_TMAP2IN)-(c_TMAP1IN))*(((C13)-(c_TMAP1IN))*((c_TMAP2OUT)-(c_TMAP1OUT))+IF(((c_TMAP2OUT)-(c_TMAP1OUT))&gt;=0,1,-1)*QUOTIENT(((c_TMAP2IN)-(c_TMAP1IN)),2))+2147483648,4294967296)-2147483648,((c_TMAP2IN)-(c_TMAP1IN))*(((C13)-(c_TMAP1IN))*((c_TMAP2OUT)-(c_TMAP1OUT))+IF(((c_TMAP2OUT)-(c_TMAP1OUT))&gt;=0,1,-1)*QUOTIENT(((c_TMAP2IN)-(c_TMAP1IN)),2)))&gt;=0,1,0)))</f>
        <v>30</v>
      </c>
      <c r="G13" s="7" t="n">
        <f aca="false">IF(((c_TMAP3IN)-(c_TMAP2IN))=0,(c_TMAP2OUT)+QUOTIENT(((c_TMAP3OUT)-(c_TMAP2OUT)),2),QUOTIENT((((C13)-(c_TMAP2IN))*((c_TMAP3OUT)-(c_TMAP2OUT))+IF(((c_TMAP3OUT)-(c_TMAP2OUT))&gt;=0,1,-1)*QUOTIENT(((c_TMAP3IN)-(c_TMAP2IN)),2)),((c_TMAP3IN)-(c_TMAP2IN)))+(c_TMAP2OUT)+IF(((c_TMAP3OUT)-(c_TMAP2OUT))&gt;=0,IF(IF(o_WRAP=1,MOD(((c_TMAP3IN)-(c_TMAP2IN))*(((C13)-(c_TMAP2IN))*((c_TMAP3OUT)-(c_TMAP2OUT))+IF(((c_TMAP3OUT)-(c_TMAP2OUT))&gt;=0,1,-1)*QUOTIENT(((c_TMAP3IN)-(c_TMAP2IN)),2))+2147483648,4294967296)-2147483648,((c_TMAP3IN)-(c_TMAP2IN))*(((C13)-(c_TMAP2IN))*((c_TMAP3OUT)-(c_TMAP2OUT))+IF(((c_TMAP3OUT)-(c_TMAP2OUT))&gt;=0,1,-1)*QUOTIENT(((c_TMAP3IN)-(c_TMAP2IN)),2)))&lt;0,-1,0),IF(IF(o_WRAP=1,MOD(((c_TMAP3IN)-(c_TMAP2IN))*(((C13)-(c_TMAP2IN))*((c_TMAP3OUT)-(c_TMAP2OUT))+IF(((c_TMAP3OUT)-(c_TMAP2OUT))&gt;=0,1,-1)*QUOTIENT(((c_TMAP3IN)-(c_TMAP2IN)),2))+2147483648,4294967296)-2147483648,((c_TMAP3IN)-(c_TMAP2IN))*(((C13)-(c_TMAP2IN))*((c_TMAP3OUT)-(c_TMAP2OUT))+IF(((c_TMAP3OUT)-(c_TMAP2OUT))&gt;=0,1,-1)*QUOTIENT(((c_TMAP3IN)-(c_TMAP2IN)),2)))&gt;=0,1,0)))</f>
        <v>-45</v>
      </c>
      <c r="H13" s="7" t="n">
        <f aca="false">IF(((1000)-(c_TMAP3IN))=0,(c_TMAP3OUT)+QUOTIENT(((1000)-(c_TMAP3OUT)),2),QUOTIENT((((C13)-(c_TMAP3IN))*((1000)-(c_TMAP3OUT))+IF(((1000)-(c_TMAP3OUT))&gt;=0,1,-1)*QUOTIENT(((1000)-(c_TMAP3IN)),2)),((1000)-(c_TMAP3IN)))+(c_TMAP3OUT)+IF(((1000)-(c_TMAP3OUT))&gt;=0,IF(IF(o_WRAP=1,MOD(((1000)-(c_TMAP3IN))*(((C13)-(c_TMAP3IN))*((1000)-(c_TMAP3OUT))+IF(((1000)-(c_TMAP3OUT))&gt;=0,1,-1)*QUOTIENT(((1000)-(c_TMAP3IN)),2))+2147483648,4294967296)-2147483648,((1000)-(c_TMAP3IN))*(((C13)-(c_TMAP3IN))*((1000)-(c_TMAP3OUT))+IF(((1000)-(c_TMAP3OUT))&gt;=0,1,-1)*QUOTIENT(((1000)-(c_TMAP3IN)),2)))&lt;0,-1,0),IF(IF(o_WRAP=1,MOD(((1000)-(c_TMAP3IN))*(((C13)-(c_TMAP3IN))*((1000)-(c_TMAP3OUT))+IF(((1000)-(c_TMAP3OUT))&gt;=0,1,-1)*QUOTIENT(((1000)-(c_TMAP3IN)),2))+2147483648,4294967296)-2147483648,((1000)-(c_TMAP3IN))*(((C13)-(c_TMAP3IN))*((1000)-(c_TMAP3OUT))+IF(((1000)-(c_TMAP3OUT))&gt;=0,1,-1)*QUOTIENT(((1000)-(c_TMAP3IN)),2)))&gt;=0,1,0)))</f>
        <v>-231</v>
      </c>
      <c r="I13" s="7" t="n">
        <f aca="false">IF(C13&gt;=c_TFWD,IF(AND(C13&gt;=c_TMAP3IN,c_TMAP3IN&lt;1000),H13,IF(AND(C13&gt;=c_TMAP2IN,c_TMAP3IN&gt;c_TMAP2IN),G13,IF(AND(C13&gt;=c_TMAP1IN,c_TMAP2IN&gt;c_TMAP1IN),F13,E13))),D13)</f>
        <v>-350</v>
      </c>
      <c r="J13" s="7" t="str">
        <f aca="false">IF(I13&lt;-1090,"TOO LOW",IF(I13&gt;1090,"TOO HIGH",""))</f>
        <v/>
      </c>
      <c r="K13" s="7" t="n">
        <f aca="false">IF(J13&lt;&gt;"",0,IF(I13&gt;979,1000,I13))</f>
        <v>-350</v>
      </c>
      <c r="L13" s="7" t="n">
        <f aca="false">IF(OR(c_TSMOOTH=0,K13&gt;=c_TSMOOTHCUT),1,0)</f>
        <v>0</v>
      </c>
      <c r="M13" s="7" t="n">
        <f aca="false">IF(L13=1,0,M12+1)</f>
        <v>9</v>
      </c>
      <c r="N13" s="7" t="n">
        <f aca="false">IF(L13=1,0,MIN(M13,c_TSMOOTH))</f>
        <v>9</v>
      </c>
      <c r="O13" s="7" t="n">
        <f aca="false">IF(COUNTIF($L$5:L13,1)&gt;0,c_TSMOOTHCUT,0)</f>
        <v>0</v>
      </c>
      <c r="P13" s="15" t="n">
        <f aca="true">IF(L13=1,K13,QUOTIENT(SUM(OFFSET(K13,1-N13,0,N13,1))+(c_TSMOOTH-N13)*O13,c_TSMOOTH))</f>
        <v>-105</v>
      </c>
      <c r="Q13" s="7" t="n">
        <f aca="false">K13/10</f>
        <v>-35</v>
      </c>
      <c r="R13" s="7" t="n">
        <f aca="false">P13/10</f>
        <v>-10.5</v>
      </c>
    </row>
    <row r="14" customFormat="false" ht="15" hidden="false" customHeight="false" outlineLevel="0" collapsed="false">
      <c r="A14" s="7" t="n">
        <v>9</v>
      </c>
      <c r="B14" s="7" t="n">
        <f aca="false">A14*0.04</f>
        <v>0.36</v>
      </c>
      <c r="C14" s="18" t="n">
        <v>0</v>
      </c>
      <c r="D14" s="7" t="n">
        <f aca="false">IF(AND(C14=0,c_TCREEP&gt;0),10*c_TCREEP,IF(AND(C14&lt;=c_TRNGMIN,C14&gt;=c_TRNGMAX,c_TRNGMIN-c_TRNGMAX&lt;&gt;0),-10*c_TMINRN+QUOTIENT((c_TMAXRN-c_TMINRN)*(100-QUOTIENT((C14-c_TRNGMAX)*100,c_TRNGMIN-c_TRNGMAX)),-10),0))</f>
        <v>-350</v>
      </c>
      <c r="E14" s="7" t="n">
        <f aca="false">IF(((c_TMAP1IN)-(c_TFWD))=0,(0)+QUOTIENT(((c_TMAP1OUT)-(0)),2),QUOTIENT((((C14)-(c_TFWD))*((c_TMAP1OUT)-(0))+IF(((c_TMAP1OUT)-(0))&gt;=0,1,-1)*QUOTIENT(((c_TMAP1IN)-(c_TFWD)),2)),((c_TMAP1IN)-(c_TFWD)))+(0)+IF(((c_TMAP1OUT)-(0))&gt;=0,IF(IF(o_WRAP=1,MOD(((c_TMAP1IN)-(c_TFWD))*(((C14)-(c_TFWD))*((c_TMAP1OUT)-(0))+IF(((c_TMAP1OUT)-(0))&gt;=0,1,-1)*QUOTIENT(((c_TMAP1IN)-(c_TFWD)),2))+2147483648,4294967296)-2147483648,((c_TMAP1IN)-(c_TFWD))*(((C14)-(c_TFWD))*((c_TMAP1OUT)-(0))+IF(((c_TMAP1OUT)-(0))&gt;=0,1,-1)*QUOTIENT(((c_TMAP1IN)-(c_TFWD)),2)))&lt;0,-1,0),IF(IF(o_WRAP=1,MOD(((c_TMAP1IN)-(c_TFWD))*(((C14)-(c_TFWD))*((c_TMAP1OUT)-(0))+IF(((c_TMAP1OUT)-(0))&gt;=0,1,-1)*QUOTIENT(((c_TMAP1IN)-(c_TFWD)),2))+2147483648,4294967296)-2147483648,((c_TMAP1IN)-(c_TFWD))*(((C14)-(c_TFWD))*((c_TMAP1OUT)-(0))+IF(((c_TMAP1OUT)-(0))&gt;=0,1,-1)*QUOTIENT(((c_TMAP1IN)-(c_TFWD)),2)))&gt;=0,1,0)))</f>
        <v>-8</v>
      </c>
      <c r="F14" s="7" t="n">
        <f aca="false">IF(((c_TMAP2IN)-(c_TMAP1IN))=0,(c_TMAP1OUT)+QUOTIENT(((c_TMAP2OUT)-(c_TMAP1OUT)),2),QUOTIENT((((C14)-(c_TMAP1IN))*((c_TMAP2OUT)-(c_TMAP1OUT))+IF(((c_TMAP2OUT)-(c_TMAP1OUT))&gt;=0,1,-1)*QUOTIENT(((c_TMAP2IN)-(c_TMAP1IN)),2)),((c_TMAP2IN)-(c_TMAP1IN)))+(c_TMAP1OUT)+IF(((c_TMAP2OUT)-(c_TMAP1OUT))&gt;=0,IF(IF(o_WRAP=1,MOD(((c_TMAP2IN)-(c_TMAP1IN))*(((C14)-(c_TMAP1IN))*((c_TMAP2OUT)-(c_TMAP1OUT))+IF(((c_TMAP2OUT)-(c_TMAP1OUT))&gt;=0,1,-1)*QUOTIENT(((c_TMAP2IN)-(c_TMAP1IN)),2))+2147483648,4294967296)-2147483648,((c_TMAP2IN)-(c_TMAP1IN))*(((C14)-(c_TMAP1IN))*((c_TMAP2OUT)-(c_TMAP1OUT))+IF(((c_TMAP2OUT)-(c_TMAP1OUT))&gt;=0,1,-1)*QUOTIENT(((c_TMAP2IN)-(c_TMAP1IN)),2)))&lt;0,-1,0),IF(IF(o_WRAP=1,MOD(((c_TMAP2IN)-(c_TMAP1IN))*(((C14)-(c_TMAP1IN))*((c_TMAP2OUT)-(c_TMAP1OUT))+IF(((c_TMAP2OUT)-(c_TMAP1OUT))&gt;=0,1,-1)*QUOTIENT(((c_TMAP2IN)-(c_TMAP1IN)),2))+2147483648,4294967296)-2147483648,((c_TMAP2IN)-(c_TMAP1IN))*(((C14)-(c_TMAP1IN))*((c_TMAP2OUT)-(c_TMAP1OUT))+IF(((c_TMAP2OUT)-(c_TMAP1OUT))&gt;=0,1,-1)*QUOTIENT(((c_TMAP2IN)-(c_TMAP1IN)),2)))&gt;=0,1,0)))</f>
        <v>30</v>
      </c>
      <c r="G14" s="7" t="n">
        <f aca="false">IF(((c_TMAP3IN)-(c_TMAP2IN))=0,(c_TMAP2OUT)+QUOTIENT(((c_TMAP3OUT)-(c_TMAP2OUT)),2),QUOTIENT((((C14)-(c_TMAP2IN))*((c_TMAP3OUT)-(c_TMAP2OUT))+IF(((c_TMAP3OUT)-(c_TMAP2OUT))&gt;=0,1,-1)*QUOTIENT(((c_TMAP3IN)-(c_TMAP2IN)),2)),((c_TMAP3IN)-(c_TMAP2IN)))+(c_TMAP2OUT)+IF(((c_TMAP3OUT)-(c_TMAP2OUT))&gt;=0,IF(IF(o_WRAP=1,MOD(((c_TMAP3IN)-(c_TMAP2IN))*(((C14)-(c_TMAP2IN))*((c_TMAP3OUT)-(c_TMAP2OUT))+IF(((c_TMAP3OUT)-(c_TMAP2OUT))&gt;=0,1,-1)*QUOTIENT(((c_TMAP3IN)-(c_TMAP2IN)),2))+2147483648,4294967296)-2147483648,((c_TMAP3IN)-(c_TMAP2IN))*(((C14)-(c_TMAP2IN))*((c_TMAP3OUT)-(c_TMAP2OUT))+IF(((c_TMAP3OUT)-(c_TMAP2OUT))&gt;=0,1,-1)*QUOTIENT(((c_TMAP3IN)-(c_TMAP2IN)),2)))&lt;0,-1,0),IF(IF(o_WRAP=1,MOD(((c_TMAP3IN)-(c_TMAP2IN))*(((C14)-(c_TMAP2IN))*((c_TMAP3OUT)-(c_TMAP2OUT))+IF(((c_TMAP3OUT)-(c_TMAP2OUT))&gt;=0,1,-1)*QUOTIENT(((c_TMAP3IN)-(c_TMAP2IN)),2))+2147483648,4294967296)-2147483648,((c_TMAP3IN)-(c_TMAP2IN))*(((C14)-(c_TMAP2IN))*((c_TMAP3OUT)-(c_TMAP2OUT))+IF(((c_TMAP3OUT)-(c_TMAP2OUT))&gt;=0,1,-1)*QUOTIENT(((c_TMAP3IN)-(c_TMAP2IN)),2)))&gt;=0,1,0)))</f>
        <v>-45</v>
      </c>
      <c r="H14" s="7" t="n">
        <f aca="false">IF(((1000)-(c_TMAP3IN))=0,(c_TMAP3OUT)+QUOTIENT(((1000)-(c_TMAP3OUT)),2),QUOTIENT((((C14)-(c_TMAP3IN))*((1000)-(c_TMAP3OUT))+IF(((1000)-(c_TMAP3OUT))&gt;=0,1,-1)*QUOTIENT(((1000)-(c_TMAP3IN)),2)),((1000)-(c_TMAP3IN)))+(c_TMAP3OUT)+IF(((1000)-(c_TMAP3OUT))&gt;=0,IF(IF(o_WRAP=1,MOD(((1000)-(c_TMAP3IN))*(((C14)-(c_TMAP3IN))*((1000)-(c_TMAP3OUT))+IF(((1000)-(c_TMAP3OUT))&gt;=0,1,-1)*QUOTIENT(((1000)-(c_TMAP3IN)),2))+2147483648,4294967296)-2147483648,((1000)-(c_TMAP3IN))*(((C14)-(c_TMAP3IN))*((1000)-(c_TMAP3OUT))+IF(((1000)-(c_TMAP3OUT))&gt;=0,1,-1)*QUOTIENT(((1000)-(c_TMAP3IN)),2)))&lt;0,-1,0),IF(IF(o_WRAP=1,MOD(((1000)-(c_TMAP3IN))*(((C14)-(c_TMAP3IN))*((1000)-(c_TMAP3OUT))+IF(((1000)-(c_TMAP3OUT))&gt;=0,1,-1)*QUOTIENT(((1000)-(c_TMAP3IN)),2))+2147483648,4294967296)-2147483648,((1000)-(c_TMAP3IN))*(((C14)-(c_TMAP3IN))*((1000)-(c_TMAP3OUT))+IF(((1000)-(c_TMAP3OUT))&gt;=0,1,-1)*QUOTIENT(((1000)-(c_TMAP3IN)),2)))&gt;=0,1,0)))</f>
        <v>-231</v>
      </c>
      <c r="I14" s="7" t="n">
        <f aca="false">IF(C14&gt;=c_TFWD,IF(AND(C14&gt;=c_TMAP3IN,c_TMAP3IN&lt;1000),H14,IF(AND(C14&gt;=c_TMAP2IN,c_TMAP3IN&gt;c_TMAP2IN),G14,IF(AND(C14&gt;=c_TMAP1IN,c_TMAP2IN&gt;c_TMAP1IN),F14,E14))),D14)</f>
        <v>-350</v>
      </c>
      <c r="J14" s="7" t="str">
        <f aca="false">IF(I14&lt;-1090,"TOO LOW",IF(I14&gt;1090,"TOO HIGH",""))</f>
        <v/>
      </c>
      <c r="K14" s="7" t="n">
        <f aca="false">IF(J14&lt;&gt;"",0,IF(I14&gt;979,1000,I14))</f>
        <v>-350</v>
      </c>
      <c r="L14" s="7" t="n">
        <f aca="false">IF(OR(c_TSMOOTH=0,K14&gt;=c_TSMOOTHCUT),1,0)</f>
        <v>0</v>
      </c>
      <c r="M14" s="7" t="n">
        <f aca="false">IF(L14=1,0,M13+1)</f>
        <v>10</v>
      </c>
      <c r="N14" s="7" t="n">
        <f aca="false">IF(L14=1,0,MIN(M14,c_TSMOOTH))</f>
        <v>10</v>
      </c>
      <c r="O14" s="7" t="n">
        <f aca="false">IF(COUNTIF($L$5:L14,1)&gt;0,c_TSMOOTHCUT,0)</f>
        <v>0</v>
      </c>
      <c r="P14" s="15" t="n">
        <f aca="true">IF(L14=1,K14,QUOTIENT(SUM(OFFSET(K14,1-N14,0,N14,1))+(c_TSMOOTH-N14)*O14,c_TSMOOTH))</f>
        <v>-116</v>
      </c>
      <c r="Q14" s="7" t="n">
        <f aca="false">K14/10</f>
        <v>-35</v>
      </c>
      <c r="R14" s="7" t="n">
        <f aca="false">P14/10</f>
        <v>-11.6</v>
      </c>
    </row>
    <row r="15" customFormat="false" ht="15" hidden="false" customHeight="false" outlineLevel="0" collapsed="false">
      <c r="A15" s="7" t="n">
        <v>10</v>
      </c>
      <c r="B15" s="7" t="n">
        <f aca="false">A15*0.04</f>
        <v>0.4</v>
      </c>
      <c r="C15" s="18" t="n">
        <v>0</v>
      </c>
      <c r="D15" s="7" t="n">
        <f aca="false">IF(AND(C15=0,c_TCREEP&gt;0),10*c_TCREEP,IF(AND(C15&lt;=c_TRNGMIN,C15&gt;=c_TRNGMAX,c_TRNGMIN-c_TRNGMAX&lt;&gt;0),-10*c_TMINRN+QUOTIENT((c_TMAXRN-c_TMINRN)*(100-QUOTIENT((C15-c_TRNGMAX)*100,c_TRNGMIN-c_TRNGMAX)),-10),0))</f>
        <v>-350</v>
      </c>
      <c r="E15" s="7" t="n">
        <f aca="false">IF(((c_TMAP1IN)-(c_TFWD))=0,(0)+QUOTIENT(((c_TMAP1OUT)-(0)),2),QUOTIENT((((C15)-(c_TFWD))*((c_TMAP1OUT)-(0))+IF(((c_TMAP1OUT)-(0))&gt;=0,1,-1)*QUOTIENT(((c_TMAP1IN)-(c_TFWD)),2)),((c_TMAP1IN)-(c_TFWD)))+(0)+IF(((c_TMAP1OUT)-(0))&gt;=0,IF(IF(o_WRAP=1,MOD(((c_TMAP1IN)-(c_TFWD))*(((C15)-(c_TFWD))*((c_TMAP1OUT)-(0))+IF(((c_TMAP1OUT)-(0))&gt;=0,1,-1)*QUOTIENT(((c_TMAP1IN)-(c_TFWD)),2))+2147483648,4294967296)-2147483648,((c_TMAP1IN)-(c_TFWD))*(((C15)-(c_TFWD))*((c_TMAP1OUT)-(0))+IF(((c_TMAP1OUT)-(0))&gt;=0,1,-1)*QUOTIENT(((c_TMAP1IN)-(c_TFWD)),2)))&lt;0,-1,0),IF(IF(o_WRAP=1,MOD(((c_TMAP1IN)-(c_TFWD))*(((C15)-(c_TFWD))*((c_TMAP1OUT)-(0))+IF(((c_TMAP1OUT)-(0))&gt;=0,1,-1)*QUOTIENT(((c_TMAP1IN)-(c_TFWD)),2))+2147483648,4294967296)-2147483648,((c_TMAP1IN)-(c_TFWD))*(((C15)-(c_TFWD))*((c_TMAP1OUT)-(0))+IF(((c_TMAP1OUT)-(0))&gt;=0,1,-1)*QUOTIENT(((c_TMAP1IN)-(c_TFWD)),2)))&gt;=0,1,0)))</f>
        <v>-8</v>
      </c>
      <c r="F15" s="7" t="n">
        <f aca="false">IF(((c_TMAP2IN)-(c_TMAP1IN))=0,(c_TMAP1OUT)+QUOTIENT(((c_TMAP2OUT)-(c_TMAP1OUT)),2),QUOTIENT((((C15)-(c_TMAP1IN))*((c_TMAP2OUT)-(c_TMAP1OUT))+IF(((c_TMAP2OUT)-(c_TMAP1OUT))&gt;=0,1,-1)*QUOTIENT(((c_TMAP2IN)-(c_TMAP1IN)),2)),((c_TMAP2IN)-(c_TMAP1IN)))+(c_TMAP1OUT)+IF(((c_TMAP2OUT)-(c_TMAP1OUT))&gt;=0,IF(IF(o_WRAP=1,MOD(((c_TMAP2IN)-(c_TMAP1IN))*(((C15)-(c_TMAP1IN))*((c_TMAP2OUT)-(c_TMAP1OUT))+IF(((c_TMAP2OUT)-(c_TMAP1OUT))&gt;=0,1,-1)*QUOTIENT(((c_TMAP2IN)-(c_TMAP1IN)),2))+2147483648,4294967296)-2147483648,((c_TMAP2IN)-(c_TMAP1IN))*(((C15)-(c_TMAP1IN))*((c_TMAP2OUT)-(c_TMAP1OUT))+IF(((c_TMAP2OUT)-(c_TMAP1OUT))&gt;=0,1,-1)*QUOTIENT(((c_TMAP2IN)-(c_TMAP1IN)),2)))&lt;0,-1,0),IF(IF(o_WRAP=1,MOD(((c_TMAP2IN)-(c_TMAP1IN))*(((C15)-(c_TMAP1IN))*((c_TMAP2OUT)-(c_TMAP1OUT))+IF(((c_TMAP2OUT)-(c_TMAP1OUT))&gt;=0,1,-1)*QUOTIENT(((c_TMAP2IN)-(c_TMAP1IN)),2))+2147483648,4294967296)-2147483648,((c_TMAP2IN)-(c_TMAP1IN))*(((C15)-(c_TMAP1IN))*((c_TMAP2OUT)-(c_TMAP1OUT))+IF(((c_TMAP2OUT)-(c_TMAP1OUT))&gt;=0,1,-1)*QUOTIENT(((c_TMAP2IN)-(c_TMAP1IN)),2)))&gt;=0,1,0)))</f>
        <v>30</v>
      </c>
      <c r="G15" s="7" t="n">
        <f aca="false">IF(((c_TMAP3IN)-(c_TMAP2IN))=0,(c_TMAP2OUT)+QUOTIENT(((c_TMAP3OUT)-(c_TMAP2OUT)),2),QUOTIENT((((C15)-(c_TMAP2IN))*((c_TMAP3OUT)-(c_TMAP2OUT))+IF(((c_TMAP3OUT)-(c_TMAP2OUT))&gt;=0,1,-1)*QUOTIENT(((c_TMAP3IN)-(c_TMAP2IN)),2)),((c_TMAP3IN)-(c_TMAP2IN)))+(c_TMAP2OUT)+IF(((c_TMAP3OUT)-(c_TMAP2OUT))&gt;=0,IF(IF(o_WRAP=1,MOD(((c_TMAP3IN)-(c_TMAP2IN))*(((C15)-(c_TMAP2IN))*((c_TMAP3OUT)-(c_TMAP2OUT))+IF(((c_TMAP3OUT)-(c_TMAP2OUT))&gt;=0,1,-1)*QUOTIENT(((c_TMAP3IN)-(c_TMAP2IN)),2))+2147483648,4294967296)-2147483648,((c_TMAP3IN)-(c_TMAP2IN))*(((C15)-(c_TMAP2IN))*((c_TMAP3OUT)-(c_TMAP2OUT))+IF(((c_TMAP3OUT)-(c_TMAP2OUT))&gt;=0,1,-1)*QUOTIENT(((c_TMAP3IN)-(c_TMAP2IN)),2)))&lt;0,-1,0),IF(IF(o_WRAP=1,MOD(((c_TMAP3IN)-(c_TMAP2IN))*(((C15)-(c_TMAP2IN))*((c_TMAP3OUT)-(c_TMAP2OUT))+IF(((c_TMAP3OUT)-(c_TMAP2OUT))&gt;=0,1,-1)*QUOTIENT(((c_TMAP3IN)-(c_TMAP2IN)),2))+2147483648,4294967296)-2147483648,((c_TMAP3IN)-(c_TMAP2IN))*(((C15)-(c_TMAP2IN))*((c_TMAP3OUT)-(c_TMAP2OUT))+IF(((c_TMAP3OUT)-(c_TMAP2OUT))&gt;=0,1,-1)*QUOTIENT(((c_TMAP3IN)-(c_TMAP2IN)),2)))&gt;=0,1,0)))</f>
        <v>-45</v>
      </c>
      <c r="H15" s="7" t="n">
        <f aca="false">IF(((1000)-(c_TMAP3IN))=0,(c_TMAP3OUT)+QUOTIENT(((1000)-(c_TMAP3OUT)),2),QUOTIENT((((C15)-(c_TMAP3IN))*((1000)-(c_TMAP3OUT))+IF(((1000)-(c_TMAP3OUT))&gt;=0,1,-1)*QUOTIENT(((1000)-(c_TMAP3IN)),2)),((1000)-(c_TMAP3IN)))+(c_TMAP3OUT)+IF(((1000)-(c_TMAP3OUT))&gt;=0,IF(IF(o_WRAP=1,MOD(((1000)-(c_TMAP3IN))*(((C15)-(c_TMAP3IN))*((1000)-(c_TMAP3OUT))+IF(((1000)-(c_TMAP3OUT))&gt;=0,1,-1)*QUOTIENT(((1000)-(c_TMAP3IN)),2))+2147483648,4294967296)-2147483648,((1000)-(c_TMAP3IN))*(((C15)-(c_TMAP3IN))*((1000)-(c_TMAP3OUT))+IF(((1000)-(c_TMAP3OUT))&gt;=0,1,-1)*QUOTIENT(((1000)-(c_TMAP3IN)),2)))&lt;0,-1,0),IF(IF(o_WRAP=1,MOD(((1000)-(c_TMAP3IN))*(((C15)-(c_TMAP3IN))*((1000)-(c_TMAP3OUT))+IF(((1000)-(c_TMAP3OUT))&gt;=0,1,-1)*QUOTIENT(((1000)-(c_TMAP3IN)),2))+2147483648,4294967296)-2147483648,((1000)-(c_TMAP3IN))*(((C15)-(c_TMAP3IN))*((1000)-(c_TMAP3OUT))+IF(((1000)-(c_TMAP3OUT))&gt;=0,1,-1)*QUOTIENT(((1000)-(c_TMAP3IN)),2)))&gt;=0,1,0)))</f>
        <v>-231</v>
      </c>
      <c r="I15" s="7" t="n">
        <f aca="false">IF(C15&gt;=c_TFWD,IF(AND(C15&gt;=c_TMAP3IN,c_TMAP3IN&lt;1000),H15,IF(AND(C15&gt;=c_TMAP2IN,c_TMAP3IN&gt;c_TMAP2IN),G15,IF(AND(C15&gt;=c_TMAP1IN,c_TMAP2IN&gt;c_TMAP1IN),F15,E15))),D15)</f>
        <v>-350</v>
      </c>
      <c r="J15" s="7" t="str">
        <f aca="false">IF(I15&lt;-1090,"TOO LOW",IF(I15&gt;1090,"TOO HIGH",""))</f>
        <v/>
      </c>
      <c r="K15" s="7" t="n">
        <f aca="false">IF(J15&lt;&gt;"",0,IF(I15&gt;979,1000,I15))</f>
        <v>-350</v>
      </c>
      <c r="L15" s="7" t="n">
        <f aca="false">IF(OR(c_TSMOOTH=0,K15&gt;=c_TSMOOTHCUT),1,0)</f>
        <v>0</v>
      </c>
      <c r="M15" s="7" t="n">
        <f aca="false">IF(L15=1,0,M14+1)</f>
        <v>11</v>
      </c>
      <c r="N15" s="7" t="n">
        <f aca="false">IF(L15=1,0,MIN(M15,c_TSMOOTH))</f>
        <v>11</v>
      </c>
      <c r="O15" s="7" t="n">
        <f aca="false">IF(COUNTIF($L$5:L15,1)&gt;0,c_TSMOOTHCUT,0)</f>
        <v>0</v>
      </c>
      <c r="P15" s="15" t="n">
        <f aca="true">IF(L15=1,K15,QUOTIENT(SUM(OFFSET(K15,1-N15,0,N15,1))+(c_TSMOOTH-N15)*O15,c_TSMOOTH))</f>
        <v>-128</v>
      </c>
      <c r="Q15" s="7" t="n">
        <f aca="false">K15/10</f>
        <v>-35</v>
      </c>
      <c r="R15" s="7" t="n">
        <f aca="false">P15/10</f>
        <v>-12.8</v>
      </c>
    </row>
    <row r="16" customFormat="false" ht="15" hidden="false" customHeight="false" outlineLevel="0" collapsed="false">
      <c r="A16" s="7" t="n">
        <v>11</v>
      </c>
      <c r="B16" s="7" t="n">
        <f aca="false">A16*0.04</f>
        <v>0.44</v>
      </c>
      <c r="C16" s="18" t="n">
        <v>0</v>
      </c>
      <c r="D16" s="7" t="n">
        <f aca="false">IF(AND(C16=0,c_TCREEP&gt;0),10*c_TCREEP,IF(AND(C16&lt;=c_TRNGMIN,C16&gt;=c_TRNGMAX,c_TRNGMIN-c_TRNGMAX&lt;&gt;0),-10*c_TMINRN+QUOTIENT((c_TMAXRN-c_TMINRN)*(100-QUOTIENT((C16-c_TRNGMAX)*100,c_TRNGMIN-c_TRNGMAX)),-10),0))</f>
        <v>-350</v>
      </c>
      <c r="E16" s="7" t="n">
        <f aca="false">IF(((c_TMAP1IN)-(c_TFWD))=0,(0)+QUOTIENT(((c_TMAP1OUT)-(0)),2),QUOTIENT((((C16)-(c_TFWD))*((c_TMAP1OUT)-(0))+IF(((c_TMAP1OUT)-(0))&gt;=0,1,-1)*QUOTIENT(((c_TMAP1IN)-(c_TFWD)),2)),((c_TMAP1IN)-(c_TFWD)))+(0)+IF(((c_TMAP1OUT)-(0))&gt;=0,IF(IF(o_WRAP=1,MOD(((c_TMAP1IN)-(c_TFWD))*(((C16)-(c_TFWD))*((c_TMAP1OUT)-(0))+IF(((c_TMAP1OUT)-(0))&gt;=0,1,-1)*QUOTIENT(((c_TMAP1IN)-(c_TFWD)),2))+2147483648,4294967296)-2147483648,((c_TMAP1IN)-(c_TFWD))*(((C16)-(c_TFWD))*((c_TMAP1OUT)-(0))+IF(((c_TMAP1OUT)-(0))&gt;=0,1,-1)*QUOTIENT(((c_TMAP1IN)-(c_TFWD)),2)))&lt;0,-1,0),IF(IF(o_WRAP=1,MOD(((c_TMAP1IN)-(c_TFWD))*(((C16)-(c_TFWD))*((c_TMAP1OUT)-(0))+IF(((c_TMAP1OUT)-(0))&gt;=0,1,-1)*QUOTIENT(((c_TMAP1IN)-(c_TFWD)),2))+2147483648,4294967296)-2147483648,((c_TMAP1IN)-(c_TFWD))*(((C16)-(c_TFWD))*((c_TMAP1OUT)-(0))+IF(((c_TMAP1OUT)-(0))&gt;=0,1,-1)*QUOTIENT(((c_TMAP1IN)-(c_TFWD)),2)))&gt;=0,1,0)))</f>
        <v>-8</v>
      </c>
      <c r="F16" s="7" t="n">
        <f aca="false">IF(((c_TMAP2IN)-(c_TMAP1IN))=0,(c_TMAP1OUT)+QUOTIENT(((c_TMAP2OUT)-(c_TMAP1OUT)),2),QUOTIENT((((C16)-(c_TMAP1IN))*((c_TMAP2OUT)-(c_TMAP1OUT))+IF(((c_TMAP2OUT)-(c_TMAP1OUT))&gt;=0,1,-1)*QUOTIENT(((c_TMAP2IN)-(c_TMAP1IN)),2)),((c_TMAP2IN)-(c_TMAP1IN)))+(c_TMAP1OUT)+IF(((c_TMAP2OUT)-(c_TMAP1OUT))&gt;=0,IF(IF(o_WRAP=1,MOD(((c_TMAP2IN)-(c_TMAP1IN))*(((C16)-(c_TMAP1IN))*((c_TMAP2OUT)-(c_TMAP1OUT))+IF(((c_TMAP2OUT)-(c_TMAP1OUT))&gt;=0,1,-1)*QUOTIENT(((c_TMAP2IN)-(c_TMAP1IN)),2))+2147483648,4294967296)-2147483648,((c_TMAP2IN)-(c_TMAP1IN))*(((C16)-(c_TMAP1IN))*((c_TMAP2OUT)-(c_TMAP1OUT))+IF(((c_TMAP2OUT)-(c_TMAP1OUT))&gt;=0,1,-1)*QUOTIENT(((c_TMAP2IN)-(c_TMAP1IN)),2)))&lt;0,-1,0),IF(IF(o_WRAP=1,MOD(((c_TMAP2IN)-(c_TMAP1IN))*(((C16)-(c_TMAP1IN))*((c_TMAP2OUT)-(c_TMAP1OUT))+IF(((c_TMAP2OUT)-(c_TMAP1OUT))&gt;=0,1,-1)*QUOTIENT(((c_TMAP2IN)-(c_TMAP1IN)),2))+2147483648,4294967296)-2147483648,((c_TMAP2IN)-(c_TMAP1IN))*(((C16)-(c_TMAP1IN))*((c_TMAP2OUT)-(c_TMAP1OUT))+IF(((c_TMAP2OUT)-(c_TMAP1OUT))&gt;=0,1,-1)*QUOTIENT(((c_TMAP2IN)-(c_TMAP1IN)),2)))&gt;=0,1,0)))</f>
        <v>30</v>
      </c>
      <c r="G16" s="7" t="n">
        <f aca="false">IF(((c_TMAP3IN)-(c_TMAP2IN))=0,(c_TMAP2OUT)+QUOTIENT(((c_TMAP3OUT)-(c_TMAP2OUT)),2),QUOTIENT((((C16)-(c_TMAP2IN))*((c_TMAP3OUT)-(c_TMAP2OUT))+IF(((c_TMAP3OUT)-(c_TMAP2OUT))&gt;=0,1,-1)*QUOTIENT(((c_TMAP3IN)-(c_TMAP2IN)),2)),((c_TMAP3IN)-(c_TMAP2IN)))+(c_TMAP2OUT)+IF(((c_TMAP3OUT)-(c_TMAP2OUT))&gt;=0,IF(IF(o_WRAP=1,MOD(((c_TMAP3IN)-(c_TMAP2IN))*(((C16)-(c_TMAP2IN))*((c_TMAP3OUT)-(c_TMAP2OUT))+IF(((c_TMAP3OUT)-(c_TMAP2OUT))&gt;=0,1,-1)*QUOTIENT(((c_TMAP3IN)-(c_TMAP2IN)),2))+2147483648,4294967296)-2147483648,((c_TMAP3IN)-(c_TMAP2IN))*(((C16)-(c_TMAP2IN))*((c_TMAP3OUT)-(c_TMAP2OUT))+IF(((c_TMAP3OUT)-(c_TMAP2OUT))&gt;=0,1,-1)*QUOTIENT(((c_TMAP3IN)-(c_TMAP2IN)),2)))&lt;0,-1,0),IF(IF(o_WRAP=1,MOD(((c_TMAP3IN)-(c_TMAP2IN))*(((C16)-(c_TMAP2IN))*((c_TMAP3OUT)-(c_TMAP2OUT))+IF(((c_TMAP3OUT)-(c_TMAP2OUT))&gt;=0,1,-1)*QUOTIENT(((c_TMAP3IN)-(c_TMAP2IN)),2))+2147483648,4294967296)-2147483648,((c_TMAP3IN)-(c_TMAP2IN))*(((C16)-(c_TMAP2IN))*((c_TMAP3OUT)-(c_TMAP2OUT))+IF(((c_TMAP3OUT)-(c_TMAP2OUT))&gt;=0,1,-1)*QUOTIENT(((c_TMAP3IN)-(c_TMAP2IN)),2)))&gt;=0,1,0)))</f>
        <v>-45</v>
      </c>
      <c r="H16" s="7" t="n">
        <f aca="false">IF(((1000)-(c_TMAP3IN))=0,(c_TMAP3OUT)+QUOTIENT(((1000)-(c_TMAP3OUT)),2),QUOTIENT((((C16)-(c_TMAP3IN))*((1000)-(c_TMAP3OUT))+IF(((1000)-(c_TMAP3OUT))&gt;=0,1,-1)*QUOTIENT(((1000)-(c_TMAP3IN)),2)),((1000)-(c_TMAP3IN)))+(c_TMAP3OUT)+IF(((1000)-(c_TMAP3OUT))&gt;=0,IF(IF(o_WRAP=1,MOD(((1000)-(c_TMAP3IN))*(((C16)-(c_TMAP3IN))*((1000)-(c_TMAP3OUT))+IF(((1000)-(c_TMAP3OUT))&gt;=0,1,-1)*QUOTIENT(((1000)-(c_TMAP3IN)),2))+2147483648,4294967296)-2147483648,((1000)-(c_TMAP3IN))*(((C16)-(c_TMAP3IN))*((1000)-(c_TMAP3OUT))+IF(((1000)-(c_TMAP3OUT))&gt;=0,1,-1)*QUOTIENT(((1000)-(c_TMAP3IN)),2)))&lt;0,-1,0),IF(IF(o_WRAP=1,MOD(((1000)-(c_TMAP3IN))*(((C16)-(c_TMAP3IN))*((1000)-(c_TMAP3OUT))+IF(((1000)-(c_TMAP3OUT))&gt;=0,1,-1)*QUOTIENT(((1000)-(c_TMAP3IN)),2))+2147483648,4294967296)-2147483648,((1000)-(c_TMAP3IN))*(((C16)-(c_TMAP3IN))*((1000)-(c_TMAP3OUT))+IF(((1000)-(c_TMAP3OUT))&gt;=0,1,-1)*QUOTIENT(((1000)-(c_TMAP3IN)),2)))&gt;=0,1,0)))</f>
        <v>-231</v>
      </c>
      <c r="I16" s="7" t="n">
        <f aca="false">IF(C16&gt;=c_TFWD,IF(AND(C16&gt;=c_TMAP3IN,c_TMAP3IN&lt;1000),H16,IF(AND(C16&gt;=c_TMAP2IN,c_TMAP3IN&gt;c_TMAP2IN),G16,IF(AND(C16&gt;=c_TMAP1IN,c_TMAP2IN&gt;c_TMAP1IN),F16,E16))),D16)</f>
        <v>-350</v>
      </c>
      <c r="J16" s="7" t="str">
        <f aca="false">IF(I16&lt;-1090,"TOO LOW",IF(I16&gt;1090,"TOO HIGH",""))</f>
        <v/>
      </c>
      <c r="K16" s="7" t="n">
        <f aca="false">IF(J16&lt;&gt;"",0,IF(I16&gt;979,1000,I16))</f>
        <v>-350</v>
      </c>
      <c r="L16" s="7" t="n">
        <f aca="false">IF(OR(c_TSMOOTH=0,K16&gt;=c_TSMOOTHCUT),1,0)</f>
        <v>0</v>
      </c>
      <c r="M16" s="7" t="n">
        <f aca="false">IF(L16=1,0,M15+1)</f>
        <v>12</v>
      </c>
      <c r="N16" s="7" t="n">
        <f aca="false">IF(L16=1,0,MIN(M16,c_TSMOOTH))</f>
        <v>12</v>
      </c>
      <c r="O16" s="7" t="n">
        <f aca="false">IF(COUNTIF($L$5:L16,1)&gt;0,c_TSMOOTHCUT,0)</f>
        <v>0</v>
      </c>
      <c r="P16" s="15" t="n">
        <f aca="true">IF(L16=1,K16,QUOTIENT(SUM(OFFSET(K16,1-N16,0,N16,1))+(c_TSMOOTH-N16)*O16,c_TSMOOTH))</f>
        <v>-140</v>
      </c>
      <c r="Q16" s="7" t="n">
        <f aca="false">K16/10</f>
        <v>-35</v>
      </c>
      <c r="R16" s="7" t="n">
        <f aca="false">P16/10</f>
        <v>-14</v>
      </c>
    </row>
    <row r="17" customFormat="false" ht="15" hidden="false" customHeight="false" outlineLevel="0" collapsed="false">
      <c r="A17" s="7" t="n">
        <v>12</v>
      </c>
      <c r="B17" s="7" t="n">
        <f aca="false">A17*0.04</f>
        <v>0.48</v>
      </c>
      <c r="C17" s="18" t="n">
        <v>0</v>
      </c>
      <c r="D17" s="7" t="n">
        <f aca="false">IF(AND(C17=0,c_TCREEP&gt;0),10*c_TCREEP,IF(AND(C17&lt;=c_TRNGMIN,C17&gt;=c_TRNGMAX,c_TRNGMIN-c_TRNGMAX&lt;&gt;0),-10*c_TMINRN+QUOTIENT((c_TMAXRN-c_TMINRN)*(100-QUOTIENT((C17-c_TRNGMAX)*100,c_TRNGMIN-c_TRNGMAX)),-10),0))</f>
        <v>-350</v>
      </c>
      <c r="E17" s="7" t="n">
        <f aca="false">IF(((c_TMAP1IN)-(c_TFWD))=0,(0)+QUOTIENT(((c_TMAP1OUT)-(0)),2),QUOTIENT((((C17)-(c_TFWD))*((c_TMAP1OUT)-(0))+IF(((c_TMAP1OUT)-(0))&gt;=0,1,-1)*QUOTIENT(((c_TMAP1IN)-(c_TFWD)),2)),((c_TMAP1IN)-(c_TFWD)))+(0)+IF(((c_TMAP1OUT)-(0))&gt;=0,IF(IF(o_WRAP=1,MOD(((c_TMAP1IN)-(c_TFWD))*(((C17)-(c_TFWD))*((c_TMAP1OUT)-(0))+IF(((c_TMAP1OUT)-(0))&gt;=0,1,-1)*QUOTIENT(((c_TMAP1IN)-(c_TFWD)),2))+2147483648,4294967296)-2147483648,((c_TMAP1IN)-(c_TFWD))*(((C17)-(c_TFWD))*((c_TMAP1OUT)-(0))+IF(((c_TMAP1OUT)-(0))&gt;=0,1,-1)*QUOTIENT(((c_TMAP1IN)-(c_TFWD)),2)))&lt;0,-1,0),IF(IF(o_WRAP=1,MOD(((c_TMAP1IN)-(c_TFWD))*(((C17)-(c_TFWD))*((c_TMAP1OUT)-(0))+IF(((c_TMAP1OUT)-(0))&gt;=0,1,-1)*QUOTIENT(((c_TMAP1IN)-(c_TFWD)),2))+2147483648,4294967296)-2147483648,((c_TMAP1IN)-(c_TFWD))*(((C17)-(c_TFWD))*((c_TMAP1OUT)-(0))+IF(((c_TMAP1OUT)-(0))&gt;=0,1,-1)*QUOTIENT(((c_TMAP1IN)-(c_TFWD)),2)))&gt;=0,1,0)))</f>
        <v>-8</v>
      </c>
      <c r="F17" s="7" t="n">
        <f aca="false">IF(((c_TMAP2IN)-(c_TMAP1IN))=0,(c_TMAP1OUT)+QUOTIENT(((c_TMAP2OUT)-(c_TMAP1OUT)),2),QUOTIENT((((C17)-(c_TMAP1IN))*((c_TMAP2OUT)-(c_TMAP1OUT))+IF(((c_TMAP2OUT)-(c_TMAP1OUT))&gt;=0,1,-1)*QUOTIENT(((c_TMAP2IN)-(c_TMAP1IN)),2)),((c_TMAP2IN)-(c_TMAP1IN)))+(c_TMAP1OUT)+IF(((c_TMAP2OUT)-(c_TMAP1OUT))&gt;=0,IF(IF(o_WRAP=1,MOD(((c_TMAP2IN)-(c_TMAP1IN))*(((C17)-(c_TMAP1IN))*((c_TMAP2OUT)-(c_TMAP1OUT))+IF(((c_TMAP2OUT)-(c_TMAP1OUT))&gt;=0,1,-1)*QUOTIENT(((c_TMAP2IN)-(c_TMAP1IN)),2))+2147483648,4294967296)-2147483648,((c_TMAP2IN)-(c_TMAP1IN))*(((C17)-(c_TMAP1IN))*((c_TMAP2OUT)-(c_TMAP1OUT))+IF(((c_TMAP2OUT)-(c_TMAP1OUT))&gt;=0,1,-1)*QUOTIENT(((c_TMAP2IN)-(c_TMAP1IN)),2)))&lt;0,-1,0),IF(IF(o_WRAP=1,MOD(((c_TMAP2IN)-(c_TMAP1IN))*(((C17)-(c_TMAP1IN))*((c_TMAP2OUT)-(c_TMAP1OUT))+IF(((c_TMAP2OUT)-(c_TMAP1OUT))&gt;=0,1,-1)*QUOTIENT(((c_TMAP2IN)-(c_TMAP1IN)),2))+2147483648,4294967296)-2147483648,((c_TMAP2IN)-(c_TMAP1IN))*(((C17)-(c_TMAP1IN))*((c_TMAP2OUT)-(c_TMAP1OUT))+IF(((c_TMAP2OUT)-(c_TMAP1OUT))&gt;=0,1,-1)*QUOTIENT(((c_TMAP2IN)-(c_TMAP1IN)),2)))&gt;=0,1,0)))</f>
        <v>30</v>
      </c>
      <c r="G17" s="7" t="n">
        <f aca="false">IF(((c_TMAP3IN)-(c_TMAP2IN))=0,(c_TMAP2OUT)+QUOTIENT(((c_TMAP3OUT)-(c_TMAP2OUT)),2),QUOTIENT((((C17)-(c_TMAP2IN))*((c_TMAP3OUT)-(c_TMAP2OUT))+IF(((c_TMAP3OUT)-(c_TMAP2OUT))&gt;=0,1,-1)*QUOTIENT(((c_TMAP3IN)-(c_TMAP2IN)),2)),((c_TMAP3IN)-(c_TMAP2IN)))+(c_TMAP2OUT)+IF(((c_TMAP3OUT)-(c_TMAP2OUT))&gt;=0,IF(IF(o_WRAP=1,MOD(((c_TMAP3IN)-(c_TMAP2IN))*(((C17)-(c_TMAP2IN))*((c_TMAP3OUT)-(c_TMAP2OUT))+IF(((c_TMAP3OUT)-(c_TMAP2OUT))&gt;=0,1,-1)*QUOTIENT(((c_TMAP3IN)-(c_TMAP2IN)),2))+2147483648,4294967296)-2147483648,((c_TMAP3IN)-(c_TMAP2IN))*(((C17)-(c_TMAP2IN))*((c_TMAP3OUT)-(c_TMAP2OUT))+IF(((c_TMAP3OUT)-(c_TMAP2OUT))&gt;=0,1,-1)*QUOTIENT(((c_TMAP3IN)-(c_TMAP2IN)),2)))&lt;0,-1,0),IF(IF(o_WRAP=1,MOD(((c_TMAP3IN)-(c_TMAP2IN))*(((C17)-(c_TMAP2IN))*((c_TMAP3OUT)-(c_TMAP2OUT))+IF(((c_TMAP3OUT)-(c_TMAP2OUT))&gt;=0,1,-1)*QUOTIENT(((c_TMAP3IN)-(c_TMAP2IN)),2))+2147483648,4294967296)-2147483648,((c_TMAP3IN)-(c_TMAP2IN))*(((C17)-(c_TMAP2IN))*((c_TMAP3OUT)-(c_TMAP2OUT))+IF(((c_TMAP3OUT)-(c_TMAP2OUT))&gt;=0,1,-1)*QUOTIENT(((c_TMAP3IN)-(c_TMAP2IN)),2)))&gt;=0,1,0)))</f>
        <v>-45</v>
      </c>
      <c r="H17" s="7" t="n">
        <f aca="false">IF(((1000)-(c_TMAP3IN))=0,(c_TMAP3OUT)+QUOTIENT(((1000)-(c_TMAP3OUT)),2),QUOTIENT((((C17)-(c_TMAP3IN))*((1000)-(c_TMAP3OUT))+IF(((1000)-(c_TMAP3OUT))&gt;=0,1,-1)*QUOTIENT(((1000)-(c_TMAP3IN)),2)),((1000)-(c_TMAP3IN)))+(c_TMAP3OUT)+IF(((1000)-(c_TMAP3OUT))&gt;=0,IF(IF(o_WRAP=1,MOD(((1000)-(c_TMAP3IN))*(((C17)-(c_TMAP3IN))*((1000)-(c_TMAP3OUT))+IF(((1000)-(c_TMAP3OUT))&gt;=0,1,-1)*QUOTIENT(((1000)-(c_TMAP3IN)),2))+2147483648,4294967296)-2147483648,((1000)-(c_TMAP3IN))*(((C17)-(c_TMAP3IN))*((1000)-(c_TMAP3OUT))+IF(((1000)-(c_TMAP3OUT))&gt;=0,1,-1)*QUOTIENT(((1000)-(c_TMAP3IN)),2)))&lt;0,-1,0),IF(IF(o_WRAP=1,MOD(((1000)-(c_TMAP3IN))*(((C17)-(c_TMAP3IN))*((1000)-(c_TMAP3OUT))+IF(((1000)-(c_TMAP3OUT))&gt;=0,1,-1)*QUOTIENT(((1000)-(c_TMAP3IN)),2))+2147483648,4294967296)-2147483648,((1000)-(c_TMAP3IN))*(((C17)-(c_TMAP3IN))*((1000)-(c_TMAP3OUT))+IF(((1000)-(c_TMAP3OUT))&gt;=0,1,-1)*QUOTIENT(((1000)-(c_TMAP3IN)),2)))&gt;=0,1,0)))</f>
        <v>-231</v>
      </c>
      <c r="I17" s="7" t="n">
        <f aca="false">IF(C17&gt;=c_TFWD,IF(AND(C17&gt;=c_TMAP3IN,c_TMAP3IN&lt;1000),H17,IF(AND(C17&gt;=c_TMAP2IN,c_TMAP3IN&gt;c_TMAP2IN),G17,IF(AND(C17&gt;=c_TMAP1IN,c_TMAP2IN&gt;c_TMAP1IN),F17,E17))),D17)</f>
        <v>-350</v>
      </c>
      <c r="J17" s="7" t="str">
        <f aca="false">IF(I17&lt;-1090,"TOO LOW",IF(I17&gt;1090,"TOO HIGH",""))</f>
        <v/>
      </c>
      <c r="K17" s="7" t="n">
        <f aca="false">IF(J17&lt;&gt;"",0,IF(I17&gt;979,1000,I17))</f>
        <v>-350</v>
      </c>
      <c r="L17" s="7" t="n">
        <f aca="false">IF(OR(c_TSMOOTH=0,K17&gt;=c_TSMOOTHCUT),1,0)</f>
        <v>0</v>
      </c>
      <c r="M17" s="7" t="n">
        <f aca="false">IF(L17=1,0,M16+1)</f>
        <v>13</v>
      </c>
      <c r="N17" s="7" t="n">
        <f aca="false">IF(L17=1,0,MIN(M17,c_TSMOOTH))</f>
        <v>13</v>
      </c>
      <c r="O17" s="7" t="n">
        <f aca="false">IF(COUNTIF($L$5:L17,1)&gt;0,c_TSMOOTHCUT,0)</f>
        <v>0</v>
      </c>
      <c r="P17" s="15" t="n">
        <f aca="true">IF(L17=1,K17,QUOTIENT(SUM(OFFSET(K17,1-N17,0,N17,1))+(c_TSMOOTH-N17)*O17,c_TSMOOTH))</f>
        <v>-151</v>
      </c>
      <c r="Q17" s="7" t="n">
        <f aca="false">K17/10</f>
        <v>-35</v>
      </c>
      <c r="R17" s="7" t="n">
        <f aca="false">P17/10</f>
        <v>-15.1</v>
      </c>
    </row>
    <row r="18" customFormat="false" ht="15" hidden="false" customHeight="false" outlineLevel="0" collapsed="false">
      <c r="A18" s="7" t="n">
        <v>13</v>
      </c>
      <c r="B18" s="7" t="n">
        <f aca="false">A18*0.04</f>
        <v>0.52</v>
      </c>
      <c r="C18" s="18" t="n">
        <v>0</v>
      </c>
      <c r="D18" s="7" t="n">
        <f aca="false">IF(AND(C18=0,c_TCREEP&gt;0),10*c_TCREEP,IF(AND(C18&lt;=c_TRNGMIN,C18&gt;=c_TRNGMAX,c_TRNGMIN-c_TRNGMAX&lt;&gt;0),-10*c_TMINRN+QUOTIENT((c_TMAXRN-c_TMINRN)*(100-QUOTIENT((C18-c_TRNGMAX)*100,c_TRNGMIN-c_TRNGMAX)),-10),0))</f>
        <v>-350</v>
      </c>
      <c r="E18" s="7" t="n">
        <f aca="false">IF(((c_TMAP1IN)-(c_TFWD))=0,(0)+QUOTIENT(((c_TMAP1OUT)-(0)),2),QUOTIENT((((C18)-(c_TFWD))*((c_TMAP1OUT)-(0))+IF(((c_TMAP1OUT)-(0))&gt;=0,1,-1)*QUOTIENT(((c_TMAP1IN)-(c_TFWD)),2)),((c_TMAP1IN)-(c_TFWD)))+(0)+IF(((c_TMAP1OUT)-(0))&gt;=0,IF(IF(o_WRAP=1,MOD(((c_TMAP1IN)-(c_TFWD))*(((C18)-(c_TFWD))*((c_TMAP1OUT)-(0))+IF(((c_TMAP1OUT)-(0))&gt;=0,1,-1)*QUOTIENT(((c_TMAP1IN)-(c_TFWD)),2))+2147483648,4294967296)-2147483648,((c_TMAP1IN)-(c_TFWD))*(((C18)-(c_TFWD))*((c_TMAP1OUT)-(0))+IF(((c_TMAP1OUT)-(0))&gt;=0,1,-1)*QUOTIENT(((c_TMAP1IN)-(c_TFWD)),2)))&lt;0,-1,0),IF(IF(o_WRAP=1,MOD(((c_TMAP1IN)-(c_TFWD))*(((C18)-(c_TFWD))*((c_TMAP1OUT)-(0))+IF(((c_TMAP1OUT)-(0))&gt;=0,1,-1)*QUOTIENT(((c_TMAP1IN)-(c_TFWD)),2))+2147483648,4294967296)-2147483648,((c_TMAP1IN)-(c_TFWD))*(((C18)-(c_TFWD))*((c_TMAP1OUT)-(0))+IF(((c_TMAP1OUT)-(0))&gt;=0,1,-1)*QUOTIENT(((c_TMAP1IN)-(c_TFWD)),2)))&gt;=0,1,0)))</f>
        <v>-8</v>
      </c>
      <c r="F18" s="7" t="n">
        <f aca="false">IF(((c_TMAP2IN)-(c_TMAP1IN))=0,(c_TMAP1OUT)+QUOTIENT(((c_TMAP2OUT)-(c_TMAP1OUT)),2),QUOTIENT((((C18)-(c_TMAP1IN))*((c_TMAP2OUT)-(c_TMAP1OUT))+IF(((c_TMAP2OUT)-(c_TMAP1OUT))&gt;=0,1,-1)*QUOTIENT(((c_TMAP2IN)-(c_TMAP1IN)),2)),((c_TMAP2IN)-(c_TMAP1IN)))+(c_TMAP1OUT)+IF(((c_TMAP2OUT)-(c_TMAP1OUT))&gt;=0,IF(IF(o_WRAP=1,MOD(((c_TMAP2IN)-(c_TMAP1IN))*(((C18)-(c_TMAP1IN))*((c_TMAP2OUT)-(c_TMAP1OUT))+IF(((c_TMAP2OUT)-(c_TMAP1OUT))&gt;=0,1,-1)*QUOTIENT(((c_TMAP2IN)-(c_TMAP1IN)),2))+2147483648,4294967296)-2147483648,((c_TMAP2IN)-(c_TMAP1IN))*(((C18)-(c_TMAP1IN))*((c_TMAP2OUT)-(c_TMAP1OUT))+IF(((c_TMAP2OUT)-(c_TMAP1OUT))&gt;=0,1,-1)*QUOTIENT(((c_TMAP2IN)-(c_TMAP1IN)),2)))&lt;0,-1,0),IF(IF(o_WRAP=1,MOD(((c_TMAP2IN)-(c_TMAP1IN))*(((C18)-(c_TMAP1IN))*((c_TMAP2OUT)-(c_TMAP1OUT))+IF(((c_TMAP2OUT)-(c_TMAP1OUT))&gt;=0,1,-1)*QUOTIENT(((c_TMAP2IN)-(c_TMAP1IN)),2))+2147483648,4294967296)-2147483648,((c_TMAP2IN)-(c_TMAP1IN))*(((C18)-(c_TMAP1IN))*((c_TMAP2OUT)-(c_TMAP1OUT))+IF(((c_TMAP2OUT)-(c_TMAP1OUT))&gt;=0,1,-1)*QUOTIENT(((c_TMAP2IN)-(c_TMAP1IN)),2)))&gt;=0,1,0)))</f>
        <v>30</v>
      </c>
      <c r="G18" s="7" t="n">
        <f aca="false">IF(((c_TMAP3IN)-(c_TMAP2IN))=0,(c_TMAP2OUT)+QUOTIENT(((c_TMAP3OUT)-(c_TMAP2OUT)),2),QUOTIENT((((C18)-(c_TMAP2IN))*((c_TMAP3OUT)-(c_TMAP2OUT))+IF(((c_TMAP3OUT)-(c_TMAP2OUT))&gt;=0,1,-1)*QUOTIENT(((c_TMAP3IN)-(c_TMAP2IN)),2)),((c_TMAP3IN)-(c_TMAP2IN)))+(c_TMAP2OUT)+IF(((c_TMAP3OUT)-(c_TMAP2OUT))&gt;=0,IF(IF(o_WRAP=1,MOD(((c_TMAP3IN)-(c_TMAP2IN))*(((C18)-(c_TMAP2IN))*((c_TMAP3OUT)-(c_TMAP2OUT))+IF(((c_TMAP3OUT)-(c_TMAP2OUT))&gt;=0,1,-1)*QUOTIENT(((c_TMAP3IN)-(c_TMAP2IN)),2))+2147483648,4294967296)-2147483648,((c_TMAP3IN)-(c_TMAP2IN))*(((C18)-(c_TMAP2IN))*((c_TMAP3OUT)-(c_TMAP2OUT))+IF(((c_TMAP3OUT)-(c_TMAP2OUT))&gt;=0,1,-1)*QUOTIENT(((c_TMAP3IN)-(c_TMAP2IN)),2)))&lt;0,-1,0),IF(IF(o_WRAP=1,MOD(((c_TMAP3IN)-(c_TMAP2IN))*(((C18)-(c_TMAP2IN))*((c_TMAP3OUT)-(c_TMAP2OUT))+IF(((c_TMAP3OUT)-(c_TMAP2OUT))&gt;=0,1,-1)*QUOTIENT(((c_TMAP3IN)-(c_TMAP2IN)),2))+2147483648,4294967296)-2147483648,((c_TMAP3IN)-(c_TMAP2IN))*(((C18)-(c_TMAP2IN))*((c_TMAP3OUT)-(c_TMAP2OUT))+IF(((c_TMAP3OUT)-(c_TMAP2OUT))&gt;=0,1,-1)*QUOTIENT(((c_TMAP3IN)-(c_TMAP2IN)),2)))&gt;=0,1,0)))</f>
        <v>-45</v>
      </c>
      <c r="H18" s="7" t="n">
        <f aca="false">IF(((1000)-(c_TMAP3IN))=0,(c_TMAP3OUT)+QUOTIENT(((1000)-(c_TMAP3OUT)),2),QUOTIENT((((C18)-(c_TMAP3IN))*((1000)-(c_TMAP3OUT))+IF(((1000)-(c_TMAP3OUT))&gt;=0,1,-1)*QUOTIENT(((1000)-(c_TMAP3IN)),2)),((1000)-(c_TMAP3IN)))+(c_TMAP3OUT)+IF(((1000)-(c_TMAP3OUT))&gt;=0,IF(IF(o_WRAP=1,MOD(((1000)-(c_TMAP3IN))*(((C18)-(c_TMAP3IN))*((1000)-(c_TMAP3OUT))+IF(((1000)-(c_TMAP3OUT))&gt;=0,1,-1)*QUOTIENT(((1000)-(c_TMAP3IN)),2))+2147483648,4294967296)-2147483648,((1000)-(c_TMAP3IN))*(((C18)-(c_TMAP3IN))*((1000)-(c_TMAP3OUT))+IF(((1000)-(c_TMAP3OUT))&gt;=0,1,-1)*QUOTIENT(((1000)-(c_TMAP3IN)),2)))&lt;0,-1,0),IF(IF(o_WRAP=1,MOD(((1000)-(c_TMAP3IN))*(((C18)-(c_TMAP3IN))*((1000)-(c_TMAP3OUT))+IF(((1000)-(c_TMAP3OUT))&gt;=0,1,-1)*QUOTIENT(((1000)-(c_TMAP3IN)),2))+2147483648,4294967296)-2147483648,((1000)-(c_TMAP3IN))*(((C18)-(c_TMAP3IN))*((1000)-(c_TMAP3OUT))+IF(((1000)-(c_TMAP3OUT))&gt;=0,1,-1)*QUOTIENT(((1000)-(c_TMAP3IN)),2)))&gt;=0,1,0)))</f>
        <v>-231</v>
      </c>
      <c r="I18" s="7" t="n">
        <f aca="false">IF(C18&gt;=c_TFWD,IF(AND(C18&gt;=c_TMAP3IN,c_TMAP3IN&lt;1000),H18,IF(AND(C18&gt;=c_TMAP2IN,c_TMAP3IN&gt;c_TMAP2IN),G18,IF(AND(C18&gt;=c_TMAP1IN,c_TMAP2IN&gt;c_TMAP1IN),F18,E18))),D18)</f>
        <v>-350</v>
      </c>
      <c r="J18" s="7" t="str">
        <f aca="false">IF(I18&lt;-1090,"TOO LOW",IF(I18&gt;1090,"TOO HIGH",""))</f>
        <v/>
      </c>
      <c r="K18" s="7" t="n">
        <f aca="false">IF(J18&lt;&gt;"",0,IF(I18&gt;979,1000,I18))</f>
        <v>-350</v>
      </c>
      <c r="L18" s="7" t="n">
        <f aca="false">IF(OR(c_TSMOOTH=0,K18&gt;=c_TSMOOTHCUT),1,0)</f>
        <v>0</v>
      </c>
      <c r="M18" s="7" t="n">
        <f aca="false">IF(L18=1,0,M17+1)</f>
        <v>14</v>
      </c>
      <c r="N18" s="7" t="n">
        <f aca="false">IF(L18=1,0,MIN(M18,c_TSMOOTH))</f>
        <v>14</v>
      </c>
      <c r="O18" s="7" t="n">
        <f aca="false">IF(COUNTIF($L$5:L18,1)&gt;0,c_TSMOOTHCUT,0)</f>
        <v>0</v>
      </c>
      <c r="P18" s="15" t="n">
        <f aca="true">IF(L18=1,K18,QUOTIENT(SUM(OFFSET(K18,1-N18,0,N18,1))+(c_TSMOOTH-N18)*O18,c_TSMOOTH))</f>
        <v>-163</v>
      </c>
      <c r="Q18" s="7" t="n">
        <f aca="false">K18/10</f>
        <v>-35</v>
      </c>
      <c r="R18" s="7" t="n">
        <f aca="false">P18/10</f>
        <v>-16.3</v>
      </c>
    </row>
    <row r="19" customFormat="false" ht="15" hidden="false" customHeight="false" outlineLevel="0" collapsed="false">
      <c r="A19" s="7" t="n">
        <v>14</v>
      </c>
      <c r="B19" s="7" t="n">
        <f aca="false">A19*0.04</f>
        <v>0.56</v>
      </c>
      <c r="C19" s="18" t="n">
        <v>0</v>
      </c>
      <c r="D19" s="7" t="n">
        <f aca="false">IF(AND(C19=0,c_TCREEP&gt;0),10*c_TCREEP,IF(AND(C19&lt;=c_TRNGMIN,C19&gt;=c_TRNGMAX,c_TRNGMIN-c_TRNGMAX&lt;&gt;0),-10*c_TMINRN+QUOTIENT((c_TMAXRN-c_TMINRN)*(100-QUOTIENT((C19-c_TRNGMAX)*100,c_TRNGMIN-c_TRNGMAX)),-10),0))</f>
        <v>-350</v>
      </c>
      <c r="E19" s="7" t="n">
        <f aca="false">IF(((c_TMAP1IN)-(c_TFWD))=0,(0)+QUOTIENT(((c_TMAP1OUT)-(0)),2),QUOTIENT((((C19)-(c_TFWD))*((c_TMAP1OUT)-(0))+IF(((c_TMAP1OUT)-(0))&gt;=0,1,-1)*QUOTIENT(((c_TMAP1IN)-(c_TFWD)),2)),((c_TMAP1IN)-(c_TFWD)))+(0)+IF(((c_TMAP1OUT)-(0))&gt;=0,IF(IF(o_WRAP=1,MOD(((c_TMAP1IN)-(c_TFWD))*(((C19)-(c_TFWD))*((c_TMAP1OUT)-(0))+IF(((c_TMAP1OUT)-(0))&gt;=0,1,-1)*QUOTIENT(((c_TMAP1IN)-(c_TFWD)),2))+2147483648,4294967296)-2147483648,((c_TMAP1IN)-(c_TFWD))*(((C19)-(c_TFWD))*((c_TMAP1OUT)-(0))+IF(((c_TMAP1OUT)-(0))&gt;=0,1,-1)*QUOTIENT(((c_TMAP1IN)-(c_TFWD)),2)))&lt;0,-1,0),IF(IF(o_WRAP=1,MOD(((c_TMAP1IN)-(c_TFWD))*(((C19)-(c_TFWD))*((c_TMAP1OUT)-(0))+IF(((c_TMAP1OUT)-(0))&gt;=0,1,-1)*QUOTIENT(((c_TMAP1IN)-(c_TFWD)),2))+2147483648,4294967296)-2147483648,((c_TMAP1IN)-(c_TFWD))*(((C19)-(c_TFWD))*((c_TMAP1OUT)-(0))+IF(((c_TMAP1OUT)-(0))&gt;=0,1,-1)*QUOTIENT(((c_TMAP1IN)-(c_TFWD)),2)))&gt;=0,1,0)))</f>
        <v>-8</v>
      </c>
      <c r="F19" s="7" t="n">
        <f aca="false">IF(((c_TMAP2IN)-(c_TMAP1IN))=0,(c_TMAP1OUT)+QUOTIENT(((c_TMAP2OUT)-(c_TMAP1OUT)),2),QUOTIENT((((C19)-(c_TMAP1IN))*((c_TMAP2OUT)-(c_TMAP1OUT))+IF(((c_TMAP2OUT)-(c_TMAP1OUT))&gt;=0,1,-1)*QUOTIENT(((c_TMAP2IN)-(c_TMAP1IN)),2)),((c_TMAP2IN)-(c_TMAP1IN)))+(c_TMAP1OUT)+IF(((c_TMAP2OUT)-(c_TMAP1OUT))&gt;=0,IF(IF(o_WRAP=1,MOD(((c_TMAP2IN)-(c_TMAP1IN))*(((C19)-(c_TMAP1IN))*((c_TMAP2OUT)-(c_TMAP1OUT))+IF(((c_TMAP2OUT)-(c_TMAP1OUT))&gt;=0,1,-1)*QUOTIENT(((c_TMAP2IN)-(c_TMAP1IN)),2))+2147483648,4294967296)-2147483648,((c_TMAP2IN)-(c_TMAP1IN))*(((C19)-(c_TMAP1IN))*((c_TMAP2OUT)-(c_TMAP1OUT))+IF(((c_TMAP2OUT)-(c_TMAP1OUT))&gt;=0,1,-1)*QUOTIENT(((c_TMAP2IN)-(c_TMAP1IN)),2)))&lt;0,-1,0),IF(IF(o_WRAP=1,MOD(((c_TMAP2IN)-(c_TMAP1IN))*(((C19)-(c_TMAP1IN))*((c_TMAP2OUT)-(c_TMAP1OUT))+IF(((c_TMAP2OUT)-(c_TMAP1OUT))&gt;=0,1,-1)*QUOTIENT(((c_TMAP2IN)-(c_TMAP1IN)),2))+2147483648,4294967296)-2147483648,((c_TMAP2IN)-(c_TMAP1IN))*(((C19)-(c_TMAP1IN))*((c_TMAP2OUT)-(c_TMAP1OUT))+IF(((c_TMAP2OUT)-(c_TMAP1OUT))&gt;=0,1,-1)*QUOTIENT(((c_TMAP2IN)-(c_TMAP1IN)),2)))&gt;=0,1,0)))</f>
        <v>30</v>
      </c>
      <c r="G19" s="7" t="n">
        <f aca="false">IF(((c_TMAP3IN)-(c_TMAP2IN))=0,(c_TMAP2OUT)+QUOTIENT(((c_TMAP3OUT)-(c_TMAP2OUT)),2),QUOTIENT((((C19)-(c_TMAP2IN))*((c_TMAP3OUT)-(c_TMAP2OUT))+IF(((c_TMAP3OUT)-(c_TMAP2OUT))&gt;=0,1,-1)*QUOTIENT(((c_TMAP3IN)-(c_TMAP2IN)),2)),((c_TMAP3IN)-(c_TMAP2IN)))+(c_TMAP2OUT)+IF(((c_TMAP3OUT)-(c_TMAP2OUT))&gt;=0,IF(IF(o_WRAP=1,MOD(((c_TMAP3IN)-(c_TMAP2IN))*(((C19)-(c_TMAP2IN))*((c_TMAP3OUT)-(c_TMAP2OUT))+IF(((c_TMAP3OUT)-(c_TMAP2OUT))&gt;=0,1,-1)*QUOTIENT(((c_TMAP3IN)-(c_TMAP2IN)),2))+2147483648,4294967296)-2147483648,((c_TMAP3IN)-(c_TMAP2IN))*(((C19)-(c_TMAP2IN))*((c_TMAP3OUT)-(c_TMAP2OUT))+IF(((c_TMAP3OUT)-(c_TMAP2OUT))&gt;=0,1,-1)*QUOTIENT(((c_TMAP3IN)-(c_TMAP2IN)),2)))&lt;0,-1,0),IF(IF(o_WRAP=1,MOD(((c_TMAP3IN)-(c_TMAP2IN))*(((C19)-(c_TMAP2IN))*((c_TMAP3OUT)-(c_TMAP2OUT))+IF(((c_TMAP3OUT)-(c_TMAP2OUT))&gt;=0,1,-1)*QUOTIENT(((c_TMAP3IN)-(c_TMAP2IN)),2))+2147483648,4294967296)-2147483648,((c_TMAP3IN)-(c_TMAP2IN))*(((C19)-(c_TMAP2IN))*((c_TMAP3OUT)-(c_TMAP2OUT))+IF(((c_TMAP3OUT)-(c_TMAP2OUT))&gt;=0,1,-1)*QUOTIENT(((c_TMAP3IN)-(c_TMAP2IN)),2)))&gt;=0,1,0)))</f>
        <v>-45</v>
      </c>
      <c r="H19" s="7" t="n">
        <f aca="false">IF(((1000)-(c_TMAP3IN))=0,(c_TMAP3OUT)+QUOTIENT(((1000)-(c_TMAP3OUT)),2),QUOTIENT((((C19)-(c_TMAP3IN))*((1000)-(c_TMAP3OUT))+IF(((1000)-(c_TMAP3OUT))&gt;=0,1,-1)*QUOTIENT(((1000)-(c_TMAP3IN)),2)),((1000)-(c_TMAP3IN)))+(c_TMAP3OUT)+IF(((1000)-(c_TMAP3OUT))&gt;=0,IF(IF(o_WRAP=1,MOD(((1000)-(c_TMAP3IN))*(((C19)-(c_TMAP3IN))*((1000)-(c_TMAP3OUT))+IF(((1000)-(c_TMAP3OUT))&gt;=0,1,-1)*QUOTIENT(((1000)-(c_TMAP3IN)),2))+2147483648,4294967296)-2147483648,((1000)-(c_TMAP3IN))*(((C19)-(c_TMAP3IN))*((1000)-(c_TMAP3OUT))+IF(((1000)-(c_TMAP3OUT))&gt;=0,1,-1)*QUOTIENT(((1000)-(c_TMAP3IN)),2)))&lt;0,-1,0),IF(IF(o_WRAP=1,MOD(((1000)-(c_TMAP3IN))*(((C19)-(c_TMAP3IN))*((1000)-(c_TMAP3OUT))+IF(((1000)-(c_TMAP3OUT))&gt;=0,1,-1)*QUOTIENT(((1000)-(c_TMAP3IN)),2))+2147483648,4294967296)-2147483648,((1000)-(c_TMAP3IN))*(((C19)-(c_TMAP3IN))*((1000)-(c_TMAP3OUT))+IF(((1000)-(c_TMAP3OUT))&gt;=0,1,-1)*QUOTIENT(((1000)-(c_TMAP3IN)),2)))&gt;=0,1,0)))</f>
        <v>-231</v>
      </c>
      <c r="I19" s="7" t="n">
        <f aca="false">IF(C19&gt;=c_TFWD,IF(AND(C19&gt;=c_TMAP3IN,c_TMAP3IN&lt;1000),H19,IF(AND(C19&gt;=c_TMAP2IN,c_TMAP3IN&gt;c_TMAP2IN),G19,IF(AND(C19&gt;=c_TMAP1IN,c_TMAP2IN&gt;c_TMAP1IN),F19,E19))),D19)</f>
        <v>-350</v>
      </c>
      <c r="J19" s="7" t="str">
        <f aca="false">IF(I19&lt;-1090,"TOO LOW",IF(I19&gt;1090,"TOO HIGH",""))</f>
        <v/>
      </c>
      <c r="K19" s="7" t="n">
        <f aca="false">IF(J19&lt;&gt;"",0,IF(I19&gt;979,1000,I19))</f>
        <v>-350</v>
      </c>
      <c r="L19" s="7" t="n">
        <f aca="false">IF(OR(c_TSMOOTH=0,K19&gt;=c_TSMOOTHCUT),1,0)</f>
        <v>0</v>
      </c>
      <c r="M19" s="7" t="n">
        <f aca="false">IF(L19=1,0,M18+1)</f>
        <v>15</v>
      </c>
      <c r="N19" s="7" t="n">
        <f aca="false">IF(L19=1,0,MIN(M19,c_TSMOOTH))</f>
        <v>15</v>
      </c>
      <c r="O19" s="7" t="n">
        <f aca="false">IF(COUNTIF($L$5:L19,1)&gt;0,c_TSMOOTHCUT,0)</f>
        <v>0</v>
      </c>
      <c r="P19" s="15" t="n">
        <f aca="true">IF(L19=1,K19,QUOTIENT(SUM(OFFSET(K19,1-N19,0,N19,1))+(c_TSMOOTH-N19)*O19,c_TSMOOTH))</f>
        <v>-175</v>
      </c>
      <c r="Q19" s="7" t="n">
        <f aca="false">K19/10</f>
        <v>-35</v>
      </c>
      <c r="R19" s="7" t="n">
        <f aca="false">P19/10</f>
        <v>-17.5</v>
      </c>
    </row>
    <row r="20" customFormat="false" ht="15" hidden="false" customHeight="false" outlineLevel="0" collapsed="false">
      <c r="A20" s="7" t="n">
        <v>15</v>
      </c>
      <c r="B20" s="7" t="n">
        <f aca="false">A20*0.04</f>
        <v>0.6</v>
      </c>
      <c r="C20" s="18" t="n">
        <v>0</v>
      </c>
      <c r="D20" s="7" t="n">
        <f aca="false">IF(AND(C20=0,c_TCREEP&gt;0),10*c_TCREEP,IF(AND(C20&lt;=c_TRNGMIN,C20&gt;=c_TRNGMAX,c_TRNGMIN-c_TRNGMAX&lt;&gt;0),-10*c_TMINRN+QUOTIENT((c_TMAXRN-c_TMINRN)*(100-QUOTIENT((C20-c_TRNGMAX)*100,c_TRNGMIN-c_TRNGMAX)),-10),0))</f>
        <v>-350</v>
      </c>
      <c r="E20" s="7" t="n">
        <f aca="false">IF(((c_TMAP1IN)-(c_TFWD))=0,(0)+QUOTIENT(((c_TMAP1OUT)-(0)),2),QUOTIENT((((C20)-(c_TFWD))*((c_TMAP1OUT)-(0))+IF(((c_TMAP1OUT)-(0))&gt;=0,1,-1)*QUOTIENT(((c_TMAP1IN)-(c_TFWD)),2)),((c_TMAP1IN)-(c_TFWD)))+(0)+IF(((c_TMAP1OUT)-(0))&gt;=0,IF(IF(o_WRAP=1,MOD(((c_TMAP1IN)-(c_TFWD))*(((C20)-(c_TFWD))*((c_TMAP1OUT)-(0))+IF(((c_TMAP1OUT)-(0))&gt;=0,1,-1)*QUOTIENT(((c_TMAP1IN)-(c_TFWD)),2))+2147483648,4294967296)-2147483648,((c_TMAP1IN)-(c_TFWD))*(((C20)-(c_TFWD))*((c_TMAP1OUT)-(0))+IF(((c_TMAP1OUT)-(0))&gt;=0,1,-1)*QUOTIENT(((c_TMAP1IN)-(c_TFWD)),2)))&lt;0,-1,0),IF(IF(o_WRAP=1,MOD(((c_TMAP1IN)-(c_TFWD))*(((C20)-(c_TFWD))*((c_TMAP1OUT)-(0))+IF(((c_TMAP1OUT)-(0))&gt;=0,1,-1)*QUOTIENT(((c_TMAP1IN)-(c_TFWD)),2))+2147483648,4294967296)-2147483648,((c_TMAP1IN)-(c_TFWD))*(((C20)-(c_TFWD))*((c_TMAP1OUT)-(0))+IF(((c_TMAP1OUT)-(0))&gt;=0,1,-1)*QUOTIENT(((c_TMAP1IN)-(c_TFWD)),2)))&gt;=0,1,0)))</f>
        <v>-8</v>
      </c>
      <c r="F20" s="7" t="n">
        <f aca="false">IF(((c_TMAP2IN)-(c_TMAP1IN))=0,(c_TMAP1OUT)+QUOTIENT(((c_TMAP2OUT)-(c_TMAP1OUT)),2),QUOTIENT((((C20)-(c_TMAP1IN))*((c_TMAP2OUT)-(c_TMAP1OUT))+IF(((c_TMAP2OUT)-(c_TMAP1OUT))&gt;=0,1,-1)*QUOTIENT(((c_TMAP2IN)-(c_TMAP1IN)),2)),((c_TMAP2IN)-(c_TMAP1IN)))+(c_TMAP1OUT)+IF(((c_TMAP2OUT)-(c_TMAP1OUT))&gt;=0,IF(IF(o_WRAP=1,MOD(((c_TMAP2IN)-(c_TMAP1IN))*(((C20)-(c_TMAP1IN))*((c_TMAP2OUT)-(c_TMAP1OUT))+IF(((c_TMAP2OUT)-(c_TMAP1OUT))&gt;=0,1,-1)*QUOTIENT(((c_TMAP2IN)-(c_TMAP1IN)),2))+2147483648,4294967296)-2147483648,((c_TMAP2IN)-(c_TMAP1IN))*(((C20)-(c_TMAP1IN))*((c_TMAP2OUT)-(c_TMAP1OUT))+IF(((c_TMAP2OUT)-(c_TMAP1OUT))&gt;=0,1,-1)*QUOTIENT(((c_TMAP2IN)-(c_TMAP1IN)),2)))&lt;0,-1,0),IF(IF(o_WRAP=1,MOD(((c_TMAP2IN)-(c_TMAP1IN))*(((C20)-(c_TMAP1IN))*((c_TMAP2OUT)-(c_TMAP1OUT))+IF(((c_TMAP2OUT)-(c_TMAP1OUT))&gt;=0,1,-1)*QUOTIENT(((c_TMAP2IN)-(c_TMAP1IN)),2))+2147483648,4294967296)-2147483648,((c_TMAP2IN)-(c_TMAP1IN))*(((C20)-(c_TMAP1IN))*((c_TMAP2OUT)-(c_TMAP1OUT))+IF(((c_TMAP2OUT)-(c_TMAP1OUT))&gt;=0,1,-1)*QUOTIENT(((c_TMAP2IN)-(c_TMAP1IN)),2)))&gt;=0,1,0)))</f>
        <v>30</v>
      </c>
      <c r="G20" s="7" t="n">
        <f aca="false">IF(((c_TMAP3IN)-(c_TMAP2IN))=0,(c_TMAP2OUT)+QUOTIENT(((c_TMAP3OUT)-(c_TMAP2OUT)),2),QUOTIENT((((C20)-(c_TMAP2IN))*((c_TMAP3OUT)-(c_TMAP2OUT))+IF(((c_TMAP3OUT)-(c_TMAP2OUT))&gt;=0,1,-1)*QUOTIENT(((c_TMAP3IN)-(c_TMAP2IN)),2)),((c_TMAP3IN)-(c_TMAP2IN)))+(c_TMAP2OUT)+IF(((c_TMAP3OUT)-(c_TMAP2OUT))&gt;=0,IF(IF(o_WRAP=1,MOD(((c_TMAP3IN)-(c_TMAP2IN))*(((C20)-(c_TMAP2IN))*((c_TMAP3OUT)-(c_TMAP2OUT))+IF(((c_TMAP3OUT)-(c_TMAP2OUT))&gt;=0,1,-1)*QUOTIENT(((c_TMAP3IN)-(c_TMAP2IN)),2))+2147483648,4294967296)-2147483648,((c_TMAP3IN)-(c_TMAP2IN))*(((C20)-(c_TMAP2IN))*((c_TMAP3OUT)-(c_TMAP2OUT))+IF(((c_TMAP3OUT)-(c_TMAP2OUT))&gt;=0,1,-1)*QUOTIENT(((c_TMAP3IN)-(c_TMAP2IN)),2)))&lt;0,-1,0),IF(IF(o_WRAP=1,MOD(((c_TMAP3IN)-(c_TMAP2IN))*(((C20)-(c_TMAP2IN))*((c_TMAP3OUT)-(c_TMAP2OUT))+IF(((c_TMAP3OUT)-(c_TMAP2OUT))&gt;=0,1,-1)*QUOTIENT(((c_TMAP3IN)-(c_TMAP2IN)),2))+2147483648,4294967296)-2147483648,((c_TMAP3IN)-(c_TMAP2IN))*(((C20)-(c_TMAP2IN))*((c_TMAP3OUT)-(c_TMAP2OUT))+IF(((c_TMAP3OUT)-(c_TMAP2OUT))&gt;=0,1,-1)*QUOTIENT(((c_TMAP3IN)-(c_TMAP2IN)),2)))&gt;=0,1,0)))</f>
        <v>-45</v>
      </c>
      <c r="H20" s="7" t="n">
        <f aca="false">IF(((1000)-(c_TMAP3IN))=0,(c_TMAP3OUT)+QUOTIENT(((1000)-(c_TMAP3OUT)),2),QUOTIENT((((C20)-(c_TMAP3IN))*((1000)-(c_TMAP3OUT))+IF(((1000)-(c_TMAP3OUT))&gt;=0,1,-1)*QUOTIENT(((1000)-(c_TMAP3IN)),2)),((1000)-(c_TMAP3IN)))+(c_TMAP3OUT)+IF(((1000)-(c_TMAP3OUT))&gt;=0,IF(IF(o_WRAP=1,MOD(((1000)-(c_TMAP3IN))*(((C20)-(c_TMAP3IN))*((1000)-(c_TMAP3OUT))+IF(((1000)-(c_TMAP3OUT))&gt;=0,1,-1)*QUOTIENT(((1000)-(c_TMAP3IN)),2))+2147483648,4294967296)-2147483648,((1000)-(c_TMAP3IN))*(((C20)-(c_TMAP3IN))*((1000)-(c_TMAP3OUT))+IF(((1000)-(c_TMAP3OUT))&gt;=0,1,-1)*QUOTIENT(((1000)-(c_TMAP3IN)),2)))&lt;0,-1,0),IF(IF(o_WRAP=1,MOD(((1000)-(c_TMAP3IN))*(((C20)-(c_TMAP3IN))*((1000)-(c_TMAP3OUT))+IF(((1000)-(c_TMAP3OUT))&gt;=0,1,-1)*QUOTIENT(((1000)-(c_TMAP3IN)),2))+2147483648,4294967296)-2147483648,((1000)-(c_TMAP3IN))*(((C20)-(c_TMAP3IN))*((1000)-(c_TMAP3OUT))+IF(((1000)-(c_TMAP3OUT))&gt;=0,1,-1)*QUOTIENT(((1000)-(c_TMAP3IN)),2)))&gt;=0,1,0)))</f>
        <v>-231</v>
      </c>
      <c r="I20" s="7" t="n">
        <f aca="false">IF(C20&gt;=c_TFWD,IF(AND(C20&gt;=c_TMAP3IN,c_TMAP3IN&lt;1000),H20,IF(AND(C20&gt;=c_TMAP2IN,c_TMAP3IN&gt;c_TMAP2IN),G20,IF(AND(C20&gt;=c_TMAP1IN,c_TMAP2IN&gt;c_TMAP1IN),F20,E20))),D20)</f>
        <v>-350</v>
      </c>
      <c r="J20" s="7" t="str">
        <f aca="false">IF(I20&lt;-1090,"TOO LOW",IF(I20&gt;1090,"TOO HIGH",""))</f>
        <v/>
      </c>
      <c r="K20" s="7" t="n">
        <f aca="false">IF(J20&lt;&gt;"",0,IF(I20&gt;979,1000,I20))</f>
        <v>-350</v>
      </c>
      <c r="L20" s="7" t="n">
        <f aca="false">IF(OR(c_TSMOOTH=0,K20&gt;=c_TSMOOTHCUT),1,0)</f>
        <v>0</v>
      </c>
      <c r="M20" s="7" t="n">
        <f aca="false">IF(L20=1,0,M19+1)</f>
        <v>16</v>
      </c>
      <c r="N20" s="7" t="n">
        <f aca="false">IF(L20=1,0,MIN(M20,c_TSMOOTH))</f>
        <v>16</v>
      </c>
      <c r="O20" s="7" t="n">
        <f aca="false">IF(COUNTIF($L$5:L20,1)&gt;0,c_TSMOOTHCUT,0)</f>
        <v>0</v>
      </c>
      <c r="P20" s="15" t="n">
        <f aca="true">IF(L20=1,K20,QUOTIENT(SUM(OFFSET(K20,1-N20,0,N20,1))+(c_TSMOOTH-N20)*O20,c_TSMOOTH))</f>
        <v>-186</v>
      </c>
      <c r="Q20" s="7" t="n">
        <f aca="false">K20/10</f>
        <v>-35</v>
      </c>
      <c r="R20" s="7" t="n">
        <f aca="false">P20/10</f>
        <v>-18.6</v>
      </c>
    </row>
    <row r="21" customFormat="false" ht="15" hidden="false" customHeight="false" outlineLevel="0" collapsed="false">
      <c r="A21" s="7" t="n">
        <v>16</v>
      </c>
      <c r="B21" s="7" t="n">
        <f aca="false">A21*0.04</f>
        <v>0.64</v>
      </c>
      <c r="C21" s="18" t="n">
        <v>0</v>
      </c>
      <c r="D21" s="7" t="n">
        <f aca="false">IF(AND(C21=0,c_TCREEP&gt;0),10*c_TCREEP,IF(AND(C21&lt;=c_TRNGMIN,C21&gt;=c_TRNGMAX,c_TRNGMIN-c_TRNGMAX&lt;&gt;0),-10*c_TMINRN+QUOTIENT((c_TMAXRN-c_TMINRN)*(100-QUOTIENT((C21-c_TRNGMAX)*100,c_TRNGMIN-c_TRNGMAX)),-10),0))</f>
        <v>-350</v>
      </c>
      <c r="E21" s="7" t="n">
        <f aca="false">IF(((c_TMAP1IN)-(c_TFWD))=0,(0)+QUOTIENT(((c_TMAP1OUT)-(0)),2),QUOTIENT((((C21)-(c_TFWD))*((c_TMAP1OUT)-(0))+IF(((c_TMAP1OUT)-(0))&gt;=0,1,-1)*QUOTIENT(((c_TMAP1IN)-(c_TFWD)),2)),((c_TMAP1IN)-(c_TFWD)))+(0)+IF(((c_TMAP1OUT)-(0))&gt;=0,IF(IF(o_WRAP=1,MOD(((c_TMAP1IN)-(c_TFWD))*(((C21)-(c_TFWD))*((c_TMAP1OUT)-(0))+IF(((c_TMAP1OUT)-(0))&gt;=0,1,-1)*QUOTIENT(((c_TMAP1IN)-(c_TFWD)),2))+2147483648,4294967296)-2147483648,((c_TMAP1IN)-(c_TFWD))*(((C21)-(c_TFWD))*((c_TMAP1OUT)-(0))+IF(((c_TMAP1OUT)-(0))&gt;=0,1,-1)*QUOTIENT(((c_TMAP1IN)-(c_TFWD)),2)))&lt;0,-1,0),IF(IF(o_WRAP=1,MOD(((c_TMAP1IN)-(c_TFWD))*(((C21)-(c_TFWD))*((c_TMAP1OUT)-(0))+IF(((c_TMAP1OUT)-(0))&gt;=0,1,-1)*QUOTIENT(((c_TMAP1IN)-(c_TFWD)),2))+2147483648,4294967296)-2147483648,((c_TMAP1IN)-(c_TFWD))*(((C21)-(c_TFWD))*((c_TMAP1OUT)-(0))+IF(((c_TMAP1OUT)-(0))&gt;=0,1,-1)*QUOTIENT(((c_TMAP1IN)-(c_TFWD)),2)))&gt;=0,1,0)))</f>
        <v>-8</v>
      </c>
      <c r="F21" s="7" t="n">
        <f aca="false">IF(((c_TMAP2IN)-(c_TMAP1IN))=0,(c_TMAP1OUT)+QUOTIENT(((c_TMAP2OUT)-(c_TMAP1OUT)),2),QUOTIENT((((C21)-(c_TMAP1IN))*((c_TMAP2OUT)-(c_TMAP1OUT))+IF(((c_TMAP2OUT)-(c_TMAP1OUT))&gt;=0,1,-1)*QUOTIENT(((c_TMAP2IN)-(c_TMAP1IN)),2)),((c_TMAP2IN)-(c_TMAP1IN)))+(c_TMAP1OUT)+IF(((c_TMAP2OUT)-(c_TMAP1OUT))&gt;=0,IF(IF(o_WRAP=1,MOD(((c_TMAP2IN)-(c_TMAP1IN))*(((C21)-(c_TMAP1IN))*((c_TMAP2OUT)-(c_TMAP1OUT))+IF(((c_TMAP2OUT)-(c_TMAP1OUT))&gt;=0,1,-1)*QUOTIENT(((c_TMAP2IN)-(c_TMAP1IN)),2))+2147483648,4294967296)-2147483648,((c_TMAP2IN)-(c_TMAP1IN))*(((C21)-(c_TMAP1IN))*((c_TMAP2OUT)-(c_TMAP1OUT))+IF(((c_TMAP2OUT)-(c_TMAP1OUT))&gt;=0,1,-1)*QUOTIENT(((c_TMAP2IN)-(c_TMAP1IN)),2)))&lt;0,-1,0),IF(IF(o_WRAP=1,MOD(((c_TMAP2IN)-(c_TMAP1IN))*(((C21)-(c_TMAP1IN))*((c_TMAP2OUT)-(c_TMAP1OUT))+IF(((c_TMAP2OUT)-(c_TMAP1OUT))&gt;=0,1,-1)*QUOTIENT(((c_TMAP2IN)-(c_TMAP1IN)),2))+2147483648,4294967296)-2147483648,((c_TMAP2IN)-(c_TMAP1IN))*(((C21)-(c_TMAP1IN))*((c_TMAP2OUT)-(c_TMAP1OUT))+IF(((c_TMAP2OUT)-(c_TMAP1OUT))&gt;=0,1,-1)*QUOTIENT(((c_TMAP2IN)-(c_TMAP1IN)),2)))&gt;=0,1,0)))</f>
        <v>30</v>
      </c>
      <c r="G21" s="7" t="n">
        <f aca="false">IF(((c_TMAP3IN)-(c_TMAP2IN))=0,(c_TMAP2OUT)+QUOTIENT(((c_TMAP3OUT)-(c_TMAP2OUT)),2),QUOTIENT((((C21)-(c_TMAP2IN))*((c_TMAP3OUT)-(c_TMAP2OUT))+IF(((c_TMAP3OUT)-(c_TMAP2OUT))&gt;=0,1,-1)*QUOTIENT(((c_TMAP3IN)-(c_TMAP2IN)),2)),((c_TMAP3IN)-(c_TMAP2IN)))+(c_TMAP2OUT)+IF(((c_TMAP3OUT)-(c_TMAP2OUT))&gt;=0,IF(IF(o_WRAP=1,MOD(((c_TMAP3IN)-(c_TMAP2IN))*(((C21)-(c_TMAP2IN))*((c_TMAP3OUT)-(c_TMAP2OUT))+IF(((c_TMAP3OUT)-(c_TMAP2OUT))&gt;=0,1,-1)*QUOTIENT(((c_TMAP3IN)-(c_TMAP2IN)),2))+2147483648,4294967296)-2147483648,((c_TMAP3IN)-(c_TMAP2IN))*(((C21)-(c_TMAP2IN))*((c_TMAP3OUT)-(c_TMAP2OUT))+IF(((c_TMAP3OUT)-(c_TMAP2OUT))&gt;=0,1,-1)*QUOTIENT(((c_TMAP3IN)-(c_TMAP2IN)),2)))&lt;0,-1,0),IF(IF(o_WRAP=1,MOD(((c_TMAP3IN)-(c_TMAP2IN))*(((C21)-(c_TMAP2IN))*((c_TMAP3OUT)-(c_TMAP2OUT))+IF(((c_TMAP3OUT)-(c_TMAP2OUT))&gt;=0,1,-1)*QUOTIENT(((c_TMAP3IN)-(c_TMAP2IN)),2))+2147483648,4294967296)-2147483648,((c_TMAP3IN)-(c_TMAP2IN))*(((C21)-(c_TMAP2IN))*((c_TMAP3OUT)-(c_TMAP2OUT))+IF(((c_TMAP3OUT)-(c_TMAP2OUT))&gt;=0,1,-1)*QUOTIENT(((c_TMAP3IN)-(c_TMAP2IN)),2)))&gt;=0,1,0)))</f>
        <v>-45</v>
      </c>
      <c r="H21" s="7" t="n">
        <f aca="false">IF(((1000)-(c_TMAP3IN))=0,(c_TMAP3OUT)+QUOTIENT(((1000)-(c_TMAP3OUT)),2),QUOTIENT((((C21)-(c_TMAP3IN))*((1000)-(c_TMAP3OUT))+IF(((1000)-(c_TMAP3OUT))&gt;=0,1,-1)*QUOTIENT(((1000)-(c_TMAP3IN)),2)),((1000)-(c_TMAP3IN)))+(c_TMAP3OUT)+IF(((1000)-(c_TMAP3OUT))&gt;=0,IF(IF(o_WRAP=1,MOD(((1000)-(c_TMAP3IN))*(((C21)-(c_TMAP3IN))*((1000)-(c_TMAP3OUT))+IF(((1000)-(c_TMAP3OUT))&gt;=0,1,-1)*QUOTIENT(((1000)-(c_TMAP3IN)),2))+2147483648,4294967296)-2147483648,((1000)-(c_TMAP3IN))*(((C21)-(c_TMAP3IN))*((1000)-(c_TMAP3OUT))+IF(((1000)-(c_TMAP3OUT))&gt;=0,1,-1)*QUOTIENT(((1000)-(c_TMAP3IN)),2)))&lt;0,-1,0),IF(IF(o_WRAP=1,MOD(((1000)-(c_TMAP3IN))*(((C21)-(c_TMAP3IN))*((1000)-(c_TMAP3OUT))+IF(((1000)-(c_TMAP3OUT))&gt;=0,1,-1)*QUOTIENT(((1000)-(c_TMAP3IN)),2))+2147483648,4294967296)-2147483648,((1000)-(c_TMAP3IN))*(((C21)-(c_TMAP3IN))*((1000)-(c_TMAP3OUT))+IF(((1000)-(c_TMAP3OUT))&gt;=0,1,-1)*QUOTIENT(((1000)-(c_TMAP3IN)),2)))&gt;=0,1,0)))</f>
        <v>-231</v>
      </c>
      <c r="I21" s="7" t="n">
        <f aca="false">IF(C21&gt;=c_TFWD,IF(AND(C21&gt;=c_TMAP3IN,c_TMAP3IN&lt;1000),H21,IF(AND(C21&gt;=c_TMAP2IN,c_TMAP3IN&gt;c_TMAP2IN),G21,IF(AND(C21&gt;=c_TMAP1IN,c_TMAP2IN&gt;c_TMAP1IN),F21,E21))),D21)</f>
        <v>-350</v>
      </c>
      <c r="J21" s="7" t="str">
        <f aca="false">IF(I21&lt;-1090,"TOO LOW",IF(I21&gt;1090,"TOO HIGH",""))</f>
        <v/>
      </c>
      <c r="K21" s="7" t="n">
        <f aca="false">IF(J21&lt;&gt;"",0,IF(I21&gt;979,1000,I21))</f>
        <v>-350</v>
      </c>
      <c r="L21" s="7" t="n">
        <f aca="false">IF(OR(c_TSMOOTH=0,K21&gt;=c_TSMOOTHCUT),1,0)</f>
        <v>0</v>
      </c>
      <c r="M21" s="7" t="n">
        <f aca="false">IF(L21=1,0,M20+1)</f>
        <v>17</v>
      </c>
      <c r="N21" s="7" t="n">
        <f aca="false">IF(L21=1,0,MIN(M21,c_TSMOOTH))</f>
        <v>17</v>
      </c>
      <c r="O21" s="7" t="n">
        <f aca="false">IF(COUNTIF($L$5:L21,1)&gt;0,c_TSMOOTHCUT,0)</f>
        <v>0</v>
      </c>
      <c r="P21" s="15" t="n">
        <f aca="true">IF(L21=1,K21,QUOTIENT(SUM(OFFSET(K21,1-N21,0,N21,1))+(c_TSMOOTH-N21)*O21,c_TSMOOTH))</f>
        <v>-198</v>
      </c>
      <c r="Q21" s="7" t="n">
        <f aca="false">K21/10</f>
        <v>-35</v>
      </c>
      <c r="R21" s="7" t="n">
        <f aca="false">P21/10</f>
        <v>-19.8</v>
      </c>
    </row>
    <row r="22" customFormat="false" ht="15" hidden="false" customHeight="false" outlineLevel="0" collapsed="false">
      <c r="A22" s="7" t="n">
        <v>17</v>
      </c>
      <c r="B22" s="7" t="n">
        <f aca="false">A22*0.04</f>
        <v>0.68</v>
      </c>
      <c r="C22" s="18" t="n">
        <v>0</v>
      </c>
      <c r="D22" s="7" t="n">
        <f aca="false">IF(AND(C22=0,c_TCREEP&gt;0),10*c_TCREEP,IF(AND(C22&lt;=c_TRNGMIN,C22&gt;=c_TRNGMAX,c_TRNGMIN-c_TRNGMAX&lt;&gt;0),-10*c_TMINRN+QUOTIENT((c_TMAXRN-c_TMINRN)*(100-QUOTIENT((C22-c_TRNGMAX)*100,c_TRNGMIN-c_TRNGMAX)),-10),0))</f>
        <v>-350</v>
      </c>
      <c r="E22" s="7" t="n">
        <f aca="false">IF(((c_TMAP1IN)-(c_TFWD))=0,(0)+QUOTIENT(((c_TMAP1OUT)-(0)),2),QUOTIENT((((C22)-(c_TFWD))*((c_TMAP1OUT)-(0))+IF(((c_TMAP1OUT)-(0))&gt;=0,1,-1)*QUOTIENT(((c_TMAP1IN)-(c_TFWD)),2)),((c_TMAP1IN)-(c_TFWD)))+(0)+IF(((c_TMAP1OUT)-(0))&gt;=0,IF(IF(o_WRAP=1,MOD(((c_TMAP1IN)-(c_TFWD))*(((C22)-(c_TFWD))*((c_TMAP1OUT)-(0))+IF(((c_TMAP1OUT)-(0))&gt;=0,1,-1)*QUOTIENT(((c_TMAP1IN)-(c_TFWD)),2))+2147483648,4294967296)-2147483648,((c_TMAP1IN)-(c_TFWD))*(((C22)-(c_TFWD))*((c_TMAP1OUT)-(0))+IF(((c_TMAP1OUT)-(0))&gt;=0,1,-1)*QUOTIENT(((c_TMAP1IN)-(c_TFWD)),2)))&lt;0,-1,0),IF(IF(o_WRAP=1,MOD(((c_TMAP1IN)-(c_TFWD))*(((C22)-(c_TFWD))*((c_TMAP1OUT)-(0))+IF(((c_TMAP1OUT)-(0))&gt;=0,1,-1)*QUOTIENT(((c_TMAP1IN)-(c_TFWD)),2))+2147483648,4294967296)-2147483648,((c_TMAP1IN)-(c_TFWD))*(((C22)-(c_TFWD))*((c_TMAP1OUT)-(0))+IF(((c_TMAP1OUT)-(0))&gt;=0,1,-1)*QUOTIENT(((c_TMAP1IN)-(c_TFWD)),2)))&gt;=0,1,0)))</f>
        <v>-8</v>
      </c>
      <c r="F22" s="7" t="n">
        <f aca="false">IF(((c_TMAP2IN)-(c_TMAP1IN))=0,(c_TMAP1OUT)+QUOTIENT(((c_TMAP2OUT)-(c_TMAP1OUT)),2),QUOTIENT((((C22)-(c_TMAP1IN))*((c_TMAP2OUT)-(c_TMAP1OUT))+IF(((c_TMAP2OUT)-(c_TMAP1OUT))&gt;=0,1,-1)*QUOTIENT(((c_TMAP2IN)-(c_TMAP1IN)),2)),((c_TMAP2IN)-(c_TMAP1IN)))+(c_TMAP1OUT)+IF(((c_TMAP2OUT)-(c_TMAP1OUT))&gt;=0,IF(IF(o_WRAP=1,MOD(((c_TMAP2IN)-(c_TMAP1IN))*(((C22)-(c_TMAP1IN))*((c_TMAP2OUT)-(c_TMAP1OUT))+IF(((c_TMAP2OUT)-(c_TMAP1OUT))&gt;=0,1,-1)*QUOTIENT(((c_TMAP2IN)-(c_TMAP1IN)),2))+2147483648,4294967296)-2147483648,((c_TMAP2IN)-(c_TMAP1IN))*(((C22)-(c_TMAP1IN))*((c_TMAP2OUT)-(c_TMAP1OUT))+IF(((c_TMAP2OUT)-(c_TMAP1OUT))&gt;=0,1,-1)*QUOTIENT(((c_TMAP2IN)-(c_TMAP1IN)),2)))&lt;0,-1,0),IF(IF(o_WRAP=1,MOD(((c_TMAP2IN)-(c_TMAP1IN))*(((C22)-(c_TMAP1IN))*((c_TMAP2OUT)-(c_TMAP1OUT))+IF(((c_TMAP2OUT)-(c_TMAP1OUT))&gt;=0,1,-1)*QUOTIENT(((c_TMAP2IN)-(c_TMAP1IN)),2))+2147483648,4294967296)-2147483648,((c_TMAP2IN)-(c_TMAP1IN))*(((C22)-(c_TMAP1IN))*((c_TMAP2OUT)-(c_TMAP1OUT))+IF(((c_TMAP2OUT)-(c_TMAP1OUT))&gt;=0,1,-1)*QUOTIENT(((c_TMAP2IN)-(c_TMAP1IN)),2)))&gt;=0,1,0)))</f>
        <v>30</v>
      </c>
      <c r="G22" s="7" t="n">
        <f aca="false">IF(((c_TMAP3IN)-(c_TMAP2IN))=0,(c_TMAP2OUT)+QUOTIENT(((c_TMAP3OUT)-(c_TMAP2OUT)),2),QUOTIENT((((C22)-(c_TMAP2IN))*((c_TMAP3OUT)-(c_TMAP2OUT))+IF(((c_TMAP3OUT)-(c_TMAP2OUT))&gt;=0,1,-1)*QUOTIENT(((c_TMAP3IN)-(c_TMAP2IN)),2)),((c_TMAP3IN)-(c_TMAP2IN)))+(c_TMAP2OUT)+IF(((c_TMAP3OUT)-(c_TMAP2OUT))&gt;=0,IF(IF(o_WRAP=1,MOD(((c_TMAP3IN)-(c_TMAP2IN))*(((C22)-(c_TMAP2IN))*((c_TMAP3OUT)-(c_TMAP2OUT))+IF(((c_TMAP3OUT)-(c_TMAP2OUT))&gt;=0,1,-1)*QUOTIENT(((c_TMAP3IN)-(c_TMAP2IN)),2))+2147483648,4294967296)-2147483648,((c_TMAP3IN)-(c_TMAP2IN))*(((C22)-(c_TMAP2IN))*((c_TMAP3OUT)-(c_TMAP2OUT))+IF(((c_TMAP3OUT)-(c_TMAP2OUT))&gt;=0,1,-1)*QUOTIENT(((c_TMAP3IN)-(c_TMAP2IN)),2)))&lt;0,-1,0),IF(IF(o_WRAP=1,MOD(((c_TMAP3IN)-(c_TMAP2IN))*(((C22)-(c_TMAP2IN))*((c_TMAP3OUT)-(c_TMAP2OUT))+IF(((c_TMAP3OUT)-(c_TMAP2OUT))&gt;=0,1,-1)*QUOTIENT(((c_TMAP3IN)-(c_TMAP2IN)),2))+2147483648,4294967296)-2147483648,((c_TMAP3IN)-(c_TMAP2IN))*(((C22)-(c_TMAP2IN))*((c_TMAP3OUT)-(c_TMAP2OUT))+IF(((c_TMAP3OUT)-(c_TMAP2OUT))&gt;=0,1,-1)*QUOTIENT(((c_TMAP3IN)-(c_TMAP2IN)),2)))&gt;=0,1,0)))</f>
        <v>-45</v>
      </c>
      <c r="H22" s="7" t="n">
        <f aca="false">IF(((1000)-(c_TMAP3IN))=0,(c_TMAP3OUT)+QUOTIENT(((1000)-(c_TMAP3OUT)),2),QUOTIENT((((C22)-(c_TMAP3IN))*((1000)-(c_TMAP3OUT))+IF(((1000)-(c_TMAP3OUT))&gt;=0,1,-1)*QUOTIENT(((1000)-(c_TMAP3IN)),2)),((1000)-(c_TMAP3IN)))+(c_TMAP3OUT)+IF(((1000)-(c_TMAP3OUT))&gt;=0,IF(IF(o_WRAP=1,MOD(((1000)-(c_TMAP3IN))*(((C22)-(c_TMAP3IN))*((1000)-(c_TMAP3OUT))+IF(((1000)-(c_TMAP3OUT))&gt;=0,1,-1)*QUOTIENT(((1000)-(c_TMAP3IN)),2))+2147483648,4294967296)-2147483648,((1000)-(c_TMAP3IN))*(((C22)-(c_TMAP3IN))*((1000)-(c_TMAP3OUT))+IF(((1000)-(c_TMAP3OUT))&gt;=0,1,-1)*QUOTIENT(((1000)-(c_TMAP3IN)),2)))&lt;0,-1,0),IF(IF(o_WRAP=1,MOD(((1000)-(c_TMAP3IN))*(((C22)-(c_TMAP3IN))*((1000)-(c_TMAP3OUT))+IF(((1000)-(c_TMAP3OUT))&gt;=0,1,-1)*QUOTIENT(((1000)-(c_TMAP3IN)),2))+2147483648,4294967296)-2147483648,((1000)-(c_TMAP3IN))*(((C22)-(c_TMAP3IN))*((1000)-(c_TMAP3OUT))+IF(((1000)-(c_TMAP3OUT))&gt;=0,1,-1)*QUOTIENT(((1000)-(c_TMAP3IN)),2)))&gt;=0,1,0)))</f>
        <v>-231</v>
      </c>
      <c r="I22" s="7" t="n">
        <f aca="false">IF(C22&gt;=c_TFWD,IF(AND(C22&gt;=c_TMAP3IN,c_TMAP3IN&lt;1000),H22,IF(AND(C22&gt;=c_TMAP2IN,c_TMAP3IN&gt;c_TMAP2IN),G22,IF(AND(C22&gt;=c_TMAP1IN,c_TMAP2IN&gt;c_TMAP1IN),F22,E22))),D22)</f>
        <v>-350</v>
      </c>
      <c r="J22" s="7" t="str">
        <f aca="false">IF(I22&lt;-1090,"TOO LOW",IF(I22&gt;1090,"TOO HIGH",""))</f>
        <v/>
      </c>
      <c r="K22" s="7" t="n">
        <f aca="false">IF(J22&lt;&gt;"",0,IF(I22&gt;979,1000,I22))</f>
        <v>-350</v>
      </c>
      <c r="L22" s="7" t="n">
        <f aca="false">IF(OR(c_TSMOOTH=0,K22&gt;=c_TSMOOTHCUT),1,0)</f>
        <v>0</v>
      </c>
      <c r="M22" s="7" t="n">
        <f aca="false">IF(L22=1,0,M21+1)</f>
        <v>18</v>
      </c>
      <c r="N22" s="7" t="n">
        <f aca="false">IF(L22=1,0,MIN(M22,c_TSMOOTH))</f>
        <v>18</v>
      </c>
      <c r="O22" s="7" t="n">
        <f aca="false">IF(COUNTIF($L$5:L22,1)&gt;0,c_TSMOOTHCUT,0)</f>
        <v>0</v>
      </c>
      <c r="P22" s="15" t="n">
        <f aca="true">IF(L22=1,K22,QUOTIENT(SUM(OFFSET(K22,1-N22,0,N22,1))+(c_TSMOOTH-N22)*O22,c_TSMOOTH))</f>
        <v>-210</v>
      </c>
      <c r="Q22" s="7" t="n">
        <f aca="false">K22/10</f>
        <v>-35</v>
      </c>
      <c r="R22" s="7" t="n">
        <f aca="false">P22/10</f>
        <v>-21</v>
      </c>
    </row>
    <row r="23" customFormat="false" ht="15" hidden="false" customHeight="false" outlineLevel="0" collapsed="false">
      <c r="A23" s="7" t="n">
        <v>18</v>
      </c>
      <c r="B23" s="7" t="n">
        <f aca="false">A23*0.04</f>
        <v>0.72</v>
      </c>
      <c r="C23" s="18" t="n">
        <v>0</v>
      </c>
      <c r="D23" s="7" t="n">
        <f aca="false">IF(AND(C23=0,c_TCREEP&gt;0),10*c_TCREEP,IF(AND(C23&lt;=c_TRNGMIN,C23&gt;=c_TRNGMAX,c_TRNGMIN-c_TRNGMAX&lt;&gt;0),-10*c_TMINRN+QUOTIENT((c_TMAXRN-c_TMINRN)*(100-QUOTIENT((C23-c_TRNGMAX)*100,c_TRNGMIN-c_TRNGMAX)),-10),0))</f>
        <v>-350</v>
      </c>
      <c r="E23" s="7" t="n">
        <f aca="false">IF(((c_TMAP1IN)-(c_TFWD))=0,(0)+QUOTIENT(((c_TMAP1OUT)-(0)),2),QUOTIENT((((C23)-(c_TFWD))*((c_TMAP1OUT)-(0))+IF(((c_TMAP1OUT)-(0))&gt;=0,1,-1)*QUOTIENT(((c_TMAP1IN)-(c_TFWD)),2)),((c_TMAP1IN)-(c_TFWD)))+(0)+IF(((c_TMAP1OUT)-(0))&gt;=0,IF(IF(o_WRAP=1,MOD(((c_TMAP1IN)-(c_TFWD))*(((C23)-(c_TFWD))*((c_TMAP1OUT)-(0))+IF(((c_TMAP1OUT)-(0))&gt;=0,1,-1)*QUOTIENT(((c_TMAP1IN)-(c_TFWD)),2))+2147483648,4294967296)-2147483648,((c_TMAP1IN)-(c_TFWD))*(((C23)-(c_TFWD))*((c_TMAP1OUT)-(0))+IF(((c_TMAP1OUT)-(0))&gt;=0,1,-1)*QUOTIENT(((c_TMAP1IN)-(c_TFWD)),2)))&lt;0,-1,0),IF(IF(o_WRAP=1,MOD(((c_TMAP1IN)-(c_TFWD))*(((C23)-(c_TFWD))*((c_TMAP1OUT)-(0))+IF(((c_TMAP1OUT)-(0))&gt;=0,1,-1)*QUOTIENT(((c_TMAP1IN)-(c_TFWD)),2))+2147483648,4294967296)-2147483648,((c_TMAP1IN)-(c_TFWD))*(((C23)-(c_TFWD))*((c_TMAP1OUT)-(0))+IF(((c_TMAP1OUT)-(0))&gt;=0,1,-1)*QUOTIENT(((c_TMAP1IN)-(c_TFWD)),2)))&gt;=0,1,0)))</f>
        <v>-8</v>
      </c>
      <c r="F23" s="7" t="n">
        <f aca="false">IF(((c_TMAP2IN)-(c_TMAP1IN))=0,(c_TMAP1OUT)+QUOTIENT(((c_TMAP2OUT)-(c_TMAP1OUT)),2),QUOTIENT((((C23)-(c_TMAP1IN))*((c_TMAP2OUT)-(c_TMAP1OUT))+IF(((c_TMAP2OUT)-(c_TMAP1OUT))&gt;=0,1,-1)*QUOTIENT(((c_TMAP2IN)-(c_TMAP1IN)),2)),((c_TMAP2IN)-(c_TMAP1IN)))+(c_TMAP1OUT)+IF(((c_TMAP2OUT)-(c_TMAP1OUT))&gt;=0,IF(IF(o_WRAP=1,MOD(((c_TMAP2IN)-(c_TMAP1IN))*(((C23)-(c_TMAP1IN))*((c_TMAP2OUT)-(c_TMAP1OUT))+IF(((c_TMAP2OUT)-(c_TMAP1OUT))&gt;=0,1,-1)*QUOTIENT(((c_TMAP2IN)-(c_TMAP1IN)),2))+2147483648,4294967296)-2147483648,((c_TMAP2IN)-(c_TMAP1IN))*(((C23)-(c_TMAP1IN))*((c_TMAP2OUT)-(c_TMAP1OUT))+IF(((c_TMAP2OUT)-(c_TMAP1OUT))&gt;=0,1,-1)*QUOTIENT(((c_TMAP2IN)-(c_TMAP1IN)),2)))&lt;0,-1,0),IF(IF(o_WRAP=1,MOD(((c_TMAP2IN)-(c_TMAP1IN))*(((C23)-(c_TMAP1IN))*((c_TMAP2OUT)-(c_TMAP1OUT))+IF(((c_TMAP2OUT)-(c_TMAP1OUT))&gt;=0,1,-1)*QUOTIENT(((c_TMAP2IN)-(c_TMAP1IN)),2))+2147483648,4294967296)-2147483648,((c_TMAP2IN)-(c_TMAP1IN))*(((C23)-(c_TMAP1IN))*((c_TMAP2OUT)-(c_TMAP1OUT))+IF(((c_TMAP2OUT)-(c_TMAP1OUT))&gt;=0,1,-1)*QUOTIENT(((c_TMAP2IN)-(c_TMAP1IN)),2)))&gt;=0,1,0)))</f>
        <v>30</v>
      </c>
      <c r="G23" s="7" t="n">
        <f aca="false">IF(((c_TMAP3IN)-(c_TMAP2IN))=0,(c_TMAP2OUT)+QUOTIENT(((c_TMAP3OUT)-(c_TMAP2OUT)),2),QUOTIENT((((C23)-(c_TMAP2IN))*((c_TMAP3OUT)-(c_TMAP2OUT))+IF(((c_TMAP3OUT)-(c_TMAP2OUT))&gt;=0,1,-1)*QUOTIENT(((c_TMAP3IN)-(c_TMAP2IN)),2)),((c_TMAP3IN)-(c_TMAP2IN)))+(c_TMAP2OUT)+IF(((c_TMAP3OUT)-(c_TMAP2OUT))&gt;=0,IF(IF(o_WRAP=1,MOD(((c_TMAP3IN)-(c_TMAP2IN))*(((C23)-(c_TMAP2IN))*((c_TMAP3OUT)-(c_TMAP2OUT))+IF(((c_TMAP3OUT)-(c_TMAP2OUT))&gt;=0,1,-1)*QUOTIENT(((c_TMAP3IN)-(c_TMAP2IN)),2))+2147483648,4294967296)-2147483648,((c_TMAP3IN)-(c_TMAP2IN))*(((C23)-(c_TMAP2IN))*((c_TMAP3OUT)-(c_TMAP2OUT))+IF(((c_TMAP3OUT)-(c_TMAP2OUT))&gt;=0,1,-1)*QUOTIENT(((c_TMAP3IN)-(c_TMAP2IN)),2)))&lt;0,-1,0),IF(IF(o_WRAP=1,MOD(((c_TMAP3IN)-(c_TMAP2IN))*(((C23)-(c_TMAP2IN))*((c_TMAP3OUT)-(c_TMAP2OUT))+IF(((c_TMAP3OUT)-(c_TMAP2OUT))&gt;=0,1,-1)*QUOTIENT(((c_TMAP3IN)-(c_TMAP2IN)),2))+2147483648,4294967296)-2147483648,((c_TMAP3IN)-(c_TMAP2IN))*(((C23)-(c_TMAP2IN))*((c_TMAP3OUT)-(c_TMAP2OUT))+IF(((c_TMAP3OUT)-(c_TMAP2OUT))&gt;=0,1,-1)*QUOTIENT(((c_TMAP3IN)-(c_TMAP2IN)),2)))&gt;=0,1,0)))</f>
        <v>-45</v>
      </c>
      <c r="H23" s="7" t="n">
        <f aca="false">IF(((1000)-(c_TMAP3IN))=0,(c_TMAP3OUT)+QUOTIENT(((1000)-(c_TMAP3OUT)),2),QUOTIENT((((C23)-(c_TMAP3IN))*((1000)-(c_TMAP3OUT))+IF(((1000)-(c_TMAP3OUT))&gt;=0,1,-1)*QUOTIENT(((1000)-(c_TMAP3IN)),2)),((1000)-(c_TMAP3IN)))+(c_TMAP3OUT)+IF(((1000)-(c_TMAP3OUT))&gt;=0,IF(IF(o_WRAP=1,MOD(((1000)-(c_TMAP3IN))*(((C23)-(c_TMAP3IN))*((1000)-(c_TMAP3OUT))+IF(((1000)-(c_TMAP3OUT))&gt;=0,1,-1)*QUOTIENT(((1000)-(c_TMAP3IN)),2))+2147483648,4294967296)-2147483648,((1000)-(c_TMAP3IN))*(((C23)-(c_TMAP3IN))*((1000)-(c_TMAP3OUT))+IF(((1000)-(c_TMAP3OUT))&gt;=0,1,-1)*QUOTIENT(((1000)-(c_TMAP3IN)),2)))&lt;0,-1,0),IF(IF(o_WRAP=1,MOD(((1000)-(c_TMAP3IN))*(((C23)-(c_TMAP3IN))*((1000)-(c_TMAP3OUT))+IF(((1000)-(c_TMAP3OUT))&gt;=0,1,-1)*QUOTIENT(((1000)-(c_TMAP3IN)),2))+2147483648,4294967296)-2147483648,((1000)-(c_TMAP3IN))*(((C23)-(c_TMAP3IN))*((1000)-(c_TMAP3OUT))+IF(((1000)-(c_TMAP3OUT))&gt;=0,1,-1)*QUOTIENT(((1000)-(c_TMAP3IN)),2)))&gt;=0,1,0)))</f>
        <v>-231</v>
      </c>
      <c r="I23" s="7" t="n">
        <f aca="false">IF(C23&gt;=c_TFWD,IF(AND(C23&gt;=c_TMAP3IN,c_TMAP3IN&lt;1000),H23,IF(AND(C23&gt;=c_TMAP2IN,c_TMAP3IN&gt;c_TMAP2IN),G23,IF(AND(C23&gt;=c_TMAP1IN,c_TMAP2IN&gt;c_TMAP1IN),F23,E23))),D23)</f>
        <v>-350</v>
      </c>
      <c r="J23" s="7" t="str">
        <f aca="false">IF(I23&lt;-1090,"TOO LOW",IF(I23&gt;1090,"TOO HIGH",""))</f>
        <v/>
      </c>
      <c r="K23" s="7" t="n">
        <f aca="false">IF(J23&lt;&gt;"",0,IF(I23&gt;979,1000,I23))</f>
        <v>-350</v>
      </c>
      <c r="L23" s="7" t="n">
        <f aca="false">IF(OR(c_TSMOOTH=0,K23&gt;=c_TSMOOTHCUT),1,0)</f>
        <v>0</v>
      </c>
      <c r="M23" s="7" t="n">
        <f aca="false">IF(L23=1,0,M22+1)</f>
        <v>19</v>
      </c>
      <c r="N23" s="7" t="n">
        <f aca="false">IF(L23=1,0,MIN(M23,c_TSMOOTH))</f>
        <v>19</v>
      </c>
      <c r="O23" s="7" t="n">
        <f aca="false">IF(COUNTIF($L$5:L23,1)&gt;0,c_TSMOOTHCUT,0)</f>
        <v>0</v>
      </c>
      <c r="P23" s="15" t="n">
        <f aca="true">IF(L23=1,K23,QUOTIENT(SUM(OFFSET(K23,1-N23,0,N23,1))+(c_TSMOOTH-N23)*O23,c_TSMOOTH))</f>
        <v>-221</v>
      </c>
      <c r="Q23" s="7" t="n">
        <f aca="false">K23/10</f>
        <v>-35</v>
      </c>
      <c r="R23" s="7" t="n">
        <f aca="false">P23/10</f>
        <v>-22.1</v>
      </c>
    </row>
    <row r="24" customFormat="false" ht="15" hidden="false" customHeight="false" outlineLevel="0" collapsed="false">
      <c r="A24" s="7" t="n">
        <v>19</v>
      </c>
      <c r="B24" s="7" t="n">
        <f aca="false">A24*0.04</f>
        <v>0.76</v>
      </c>
      <c r="C24" s="18" t="n">
        <v>0</v>
      </c>
      <c r="D24" s="7" t="n">
        <f aca="false">IF(AND(C24=0,c_TCREEP&gt;0),10*c_TCREEP,IF(AND(C24&lt;=c_TRNGMIN,C24&gt;=c_TRNGMAX,c_TRNGMIN-c_TRNGMAX&lt;&gt;0),-10*c_TMINRN+QUOTIENT((c_TMAXRN-c_TMINRN)*(100-QUOTIENT((C24-c_TRNGMAX)*100,c_TRNGMIN-c_TRNGMAX)),-10),0))</f>
        <v>-350</v>
      </c>
      <c r="E24" s="7" t="n">
        <f aca="false">IF(((c_TMAP1IN)-(c_TFWD))=0,(0)+QUOTIENT(((c_TMAP1OUT)-(0)),2),QUOTIENT((((C24)-(c_TFWD))*((c_TMAP1OUT)-(0))+IF(((c_TMAP1OUT)-(0))&gt;=0,1,-1)*QUOTIENT(((c_TMAP1IN)-(c_TFWD)),2)),((c_TMAP1IN)-(c_TFWD)))+(0)+IF(((c_TMAP1OUT)-(0))&gt;=0,IF(IF(o_WRAP=1,MOD(((c_TMAP1IN)-(c_TFWD))*(((C24)-(c_TFWD))*((c_TMAP1OUT)-(0))+IF(((c_TMAP1OUT)-(0))&gt;=0,1,-1)*QUOTIENT(((c_TMAP1IN)-(c_TFWD)),2))+2147483648,4294967296)-2147483648,((c_TMAP1IN)-(c_TFWD))*(((C24)-(c_TFWD))*((c_TMAP1OUT)-(0))+IF(((c_TMAP1OUT)-(0))&gt;=0,1,-1)*QUOTIENT(((c_TMAP1IN)-(c_TFWD)),2)))&lt;0,-1,0),IF(IF(o_WRAP=1,MOD(((c_TMAP1IN)-(c_TFWD))*(((C24)-(c_TFWD))*((c_TMAP1OUT)-(0))+IF(((c_TMAP1OUT)-(0))&gt;=0,1,-1)*QUOTIENT(((c_TMAP1IN)-(c_TFWD)),2))+2147483648,4294967296)-2147483648,((c_TMAP1IN)-(c_TFWD))*(((C24)-(c_TFWD))*((c_TMAP1OUT)-(0))+IF(((c_TMAP1OUT)-(0))&gt;=0,1,-1)*QUOTIENT(((c_TMAP1IN)-(c_TFWD)),2)))&gt;=0,1,0)))</f>
        <v>-8</v>
      </c>
      <c r="F24" s="7" t="n">
        <f aca="false">IF(((c_TMAP2IN)-(c_TMAP1IN))=0,(c_TMAP1OUT)+QUOTIENT(((c_TMAP2OUT)-(c_TMAP1OUT)),2),QUOTIENT((((C24)-(c_TMAP1IN))*((c_TMAP2OUT)-(c_TMAP1OUT))+IF(((c_TMAP2OUT)-(c_TMAP1OUT))&gt;=0,1,-1)*QUOTIENT(((c_TMAP2IN)-(c_TMAP1IN)),2)),((c_TMAP2IN)-(c_TMAP1IN)))+(c_TMAP1OUT)+IF(((c_TMAP2OUT)-(c_TMAP1OUT))&gt;=0,IF(IF(o_WRAP=1,MOD(((c_TMAP2IN)-(c_TMAP1IN))*(((C24)-(c_TMAP1IN))*((c_TMAP2OUT)-(c_TMAP1OUT))+IF(((c_TMAP2OUT)-(c_TMAP1OUT))&gt;=0,1,-1)*QUOTIENT(((c_TMAP2IN)-(c_TMAP1IN)),2))+2147483648,4294967296)-2147483648,((c_TMAP2IN)-(c_TMAP1IN))*(((C24)-(c_TMAP1IN))*((c_TMAP2OUT)-(c_TMAP1OUT))+IF(((c_TMAP2OUT)-(c_TMAP1OUT))&gt;=0,1,-1)*QUOTIENT(((c_TMAP2IN)-(c_TMAP1IN)),2)))&lt;0,-1,0),IF(IF(o_WRAP=1,MOD(((c_TMAP2IN)-(c_TMAP1IN))*(((C24)-(c_TMAP1IN))*((c_TMAP2OUT)-(c_TMAP1OUT))+IF(((c_TMAP2OUT)-(c_TMAP1OUT))&gt;=0,1,-1)*QUOTIENT(((c_TMAP2IN)-(c_TMAP1IN)),2))+2147483648,4294967296)-2147483648,((c_TMAP2IN)-(c_TMAP1IN))*(((C24)-(c_TMAP1IN))*((c_TMAP2OUT)-(c_TMAP1OUT))+IF(((c_TMAP2OUT)-(c_TMAP1OUT))&gt;=0,1,-1)*QUOTIENT(((c_TMAP2IN)-(c_TMAP1IN)),2)))&gt;=0,1,0)))</f>
        <v>30</v>
      </c>
      <c r="G24" s="7" t="n">
        <f aca="false">IF(((c_TMAP3IN)-(c_TMAP2IN))=0,(c_TMAP2OUT)+QUOTIENT(((c_TMAP3OUT)-(c_TMAP2OUT)),2),QUOTIENT((((C24)-(c_TMAP2IN))*((c_TMAP3OUT)-(c_TMAP2OUT))+IF(((c_TMAP3OUT)-(c_TMAP2OUT))&gt;=0,1,-1)*QUOTIENT(((c_TMAP3IN)-(c_TMAP2IN)),2)),((c_TMAP3IN)-(c_TMAP2IN)))+(c_TMAP2OUT)+IF(((c_TMAP3OUT)-(c_TMAP2OUT))&gt;=0,IF(IF(o_WRAP=1,MOD(((c_TMAP3IN)-(c_TMAP2IN))*(((C24)-(c_TMAP2IN))*((c_TMAP3OUT)-(c_TMAP2OUT))+IF(((c_TMAP3OUT)-(c_TMAP2OUT))&gt;=0,1,-1)*QUOTIENT(((c_TMAP3IN)-(c_TMAP2IN)),2))+2147483648,4294967296)-2147483648,((c_TMAP3IN)-(c_TMAP2IN))*(((C24)-(c_TMAP2IN))*((c_TMAP3OUT)-(c_TMAP2OUT))+IF(((c_TMAP3OUT)-(c_TMAP2OUT))&gt;=0,1,-1)*QUOTIENT(((c_TMAP3IN)-(c_TMAP2IN)),2)))&lt;0,-1,0),IF(IF(o_WRAP=1,MOD(((c_TMAP3IN)-(c_TMAP2IN))*(((C24)-(c_TMAP2IN))*((c_TMAP3OUT)-(c_TMAP2OUT))+IF(((c_TMAP3OUT)-(c_TMAP2OUT))&gt;=0,1,-1)*QUOTIENT(((c_TMAP3IN)-(c_TMAP2IN)),2))+2147483648,4294967296)-2147483648,((c_TMAP3IN)-(c_TMAP2IN))*(((C24)-(c_TMAP2IN))*((c_TMAP3OUT)-(c_TMAP2OUT))+IF(((c_TMAP3OUT)-(c_TMAP2OUT))&gt;=0,1,-1)*QUOTIENT(((c_TMAP3IN)-(c_TMAP2IN)),2)))&gt;=0,1,0)))</f>
        <v>-45</v>
      </c>
      <c r="H24" s="7" t="n">
        <f aca="false">IF(((1000)-(c_TMAP3IN))=0,(c_TMAP3OUT)+QUOTIENT(((1000)-(c_TMAP3OUT)),2),QUOTIENT((((C24)-(c_TMAP3IN))*((1000)-(c_TMAP3OUT))+IF(((1000)-(c_TMAP3OUT))&gt;=0,1,-1)*QUOTIENT(((1000)-(c_TMAP3IN)),2)),((1000)-(c_TMAP3IN)))+(c_TMAP3OUT)+IF(((1000)-(c_TMAP3OUT))&gt;=0,IF(IF(o_WRAP=1,MOD(((1000)-(c_TMAP3IN))*(((C24)-(c_TMAP3IN))*((1000)-(c_TMAP3OUT))+IF(((1000)-(c_TMAP3OUT))&gt;=0,1,-1)*QUOTIENT(((1000)-(c_TMAP3IN)),2))+2147483648,4294967296)-2147483648,((1000)-(c_TMAP3IN))*(((C24)-(c_TMAP3IN))*((1000)-(c_TMAP3OUT))+IF(((1000)-(c_TMAP3OUT))&gt;=0,1,-1)*QUOTIENT(((1000)-(c_TMAP3IN)),2)))&lt;0,-1,0),IF(IF(o_WRAP=1,MOD(((1000)-(c_TMAP3IN))*(((C24)-(c_TMAP3IN))*((1000)-(c_TMAP3OUT))+IF(((1000)-(c_TMAP3OUT))&gt;=0,1,-1)*QUOTIENT(((1000)-(c_TMAP3IN)),2))+2147483648,4294967296)-2147483648,((1000)-(c_TMAP3IN))*(((C24)-(c_TMAP3IN))*((1000)-(c_TMAP3OUT))+IF(((1000)-(c_TMAP3OUT))&gt;=0,1,-1)*QUOTIENT(((1000)-(c_TMAP3IN)),2)))&gt;=0,1,0)))</f>
        <v>-231</v>
      </c>
      <c r="I24" s="7" t="n">
        <f aca="false">IF(C24&gt;=c_TFWD,IF(AND(C24&gt;=c_TMAP3IN,c_TMAP3IN&lt;1000),H24,IF(AND(C24&gt;=c_TMAP2IN,c_TMAP3IN&gt;c_TMAP2IN),G24,IF(AND(C24&gt;=c_TMAP1IN,c_TMAP2IN&gt;c_TMAP1IN),F24,E24))),D24)</f>
        <v>-350</v>
      </c>
      <c r="J24" s="7" t="str">
        <f aca="false">IF(I24&lt;-1090,"TOO LOW",IF(I24&gt;1090,"TOO HIGH",""))</f>
        <v/>
      </c>
      <c r="K24" s="7" t="n">
        <f aca="false">IF(J24&lt;&gt;"",0,IF(I24&gt;979,1000,I24))</f>
        <v>-350</v>
      </c>
      <c r="L24" s="7" t="n">
        <f aca="false">IF(OR(c_TSMOOTH=0,K24&gt;=c_TSMOOTHCUT),1,0)</f>
        <v>0</v>
      </c>
      <c r="M24" s="7" t="n">
        <f aca="false">IF(L24=1,0,M23+1)</f>
        <v>20</v>
      </c>
      <c r="N24" s="7" t="n">
        <f aca="false">IF(L24=1,0,MIN(M24,c_TSMOOTH))</f>
        <v>20</v>
      </c>
      <c r="O24" s="7" t="n">
        <f aca="false">IF(COUNTIF($L$5:L24,1)&gt;0,c_TSMOOTHCUT,0)</f>
        <v>0</v>
      </c>
      <c r="P24" s="15" t="n">
        <f aca="true">IF(L24=1,K24,QUOTIENT(SUM(OFFSET(K24,1-N24,0,N24,1))+(c_TSMOOTH-N24)*O24,c_TSMOOTH))</f>
        <v>-233</v>
      </c>
      <c r="Q24" s="7" t="n">
        <f aca="false">K24/10</f>
        <v>-35</v>
      </c>
      <c r="R24" s="7" t="n">
        <f aca="false">P24/10</f>
        <v>-23.3</v>
      </c>
    </row>
    <row r="25" customFormat="false" ht="15" hidden="false" customHeight="false" outlineLevel="0" collapsed="false">
      <c r="A25" s="7" t="n">
        <v>20</v>
      </c>
      <c r="B25" s="7" t="n">
        <f aca="false">A25*0.04</f>
        <v>0.8</v>
      </c>
      <c r="C25" s="18" t="n">
        <v>90</v>
      </c>
      <c r="D25" s="7" t="n">
        <f aca="false">IF(AND(C25=0,c_TCREEP&gt;0),10*c_TCREEP,IF(AND(C25&lt;=c_TRNGMIN,C25&gt;=c_TRNGMAX,c_TRNGMIN-c_TRNGMAX&lt;&gt;0),-10*c_TMINRN+QUOTIENT((c_TMAXRN-c_TMINRN)*(100-QUOTIENT((C25-c_TRNGMAX)*100,c_TRNGMIN-c_TRNGMAX)),-10),0))</f>
        <v>0</v>
      </c>
      <c r="E25" s="7" t="n">
        <f aca="false">IF(((c_TMAP1IN)-(c_TFWD))=0,(0)+QUOTIENT(((c_TMAP1OUT)-(0)),2),QUOTIENT((((C25)-(c_TFWD))*((c_TMAP1OUT)-(0))+IF(((c_TMAP1OUT)-(0))&gt;=0,1,-1)*QUOTIENT(((c_TMAP1IN)-(c_TFWD)),2)),((c_TMAP1IN)-(c_TFWD)))+(0)+IF(((c_TMAP1OUT)-(0))&gt;=0,IF(IF(o_WRAP=1,MOD(((c_TMAP1IN)-(c_TFWD))*(((C25)-(c_TFWD))*((c_TMAP1OUT)-(0))+IF(((c_TMAP1OUT)-(0))&gt;=0,1,-1)*QUOTIENT(((c_TMAP1IN)-(c_TFWD)),2))+2147483648,4294967296)-2147483648,((c_TMAP1IN)-(c_TFWD))*(((C25)-(c_TFWD))*((c_TMAP1OUT)-(0))+IF(((c_TMAP1OUT)-(0))&gt;=0,1,-1)*QUOTIENT(((c_TMAP1IN)-(c_TFWD)),2)))&lt;0,-1,0),IF(IF(o_WRAP=1,MOD(((c_TMAP1IN)-(c_TFWD))*(((C25)-(c_TFWD))*((c_TMAP1OUT)-(0))+IF(((c_TMAP1OUT)-(0))&gt;=0,1,-1)*QUOTIENT(((c_TMAP1IN)-(c_TFWD)),2))+2147483648,4294967296)-2147483648,((c_TMAP1IN)-(c_TFWD))*(((C25)-(c_TFWD))*((c_TMAP1OUT)-(0))+IF(((c_TMAP1OUT)-(0))&gt;=0,1,-1)*QUOTIENT(((c_TMAP1IN)-(c_TFWD)),2)))&gt;=0,1,0)))</f>
        <v>62</v>
      </c>
      <c r="F25" s="7" t="n">
        <f aca="false">IF(((c_TMAP2IN)-(c_TMAP1IN))=0,(c_TMAP1OUT)+QUOTIENT(((c_TMAP2OUT)-(c_TMAP1OUT)),2),QUOTIENT((((C25)-(c_TMAP1IN))*((c_TMAP2OUT)-(c_TMAP1OUT))+IF(((c_TMAP2OUT)-(c_TMAP1OUT))&gt;=0,1,-1)*QUOTIENT(((c_TMAP2IN)-(c_TMAP1IN)),2)),((c_TMAP2IN)-(c_TMAP1IN)))+(c_TMAP1OUT)+IF(((c_TMAP2OUT)-(c_TMAP1OUT))&gt;=0,IF(IF(o_WRAP=1,MOD(((c_TMAP2IN)-(c_TMAP1IN))*(((C25)-(c_TMAP1IN))*((c_TMAP2OUT)-(c_TMAP1OUT))+IF(((c_TMAP2OUT)-(c_TMAP1OUT))&gt;=0,1,-1)*QUOTIENT(((c_TMAP2IN)-(c_TMAP1IN)),2))+2147483648,4294967296)-2147483648,((c_TMAP2IN)-(c_TMAP1IN))*(((C25)-(c_TMAP1IN))*((c_TMAP2OUT)-(c_TMAP1OUT))+IF(((c_TMAP2OUT)-(c_TMAP1OUT))&gt;=0,1,-1)*QUOTIENT(((c_TMAP2IN)-(c_TMAP1IN)),2)))&lt;0,-1,0),IF(IF(o_WRAP=1,MOD(((c_TMAP2IN)-(c_TMAP1IN))*(((C25)-(c_TMAP1IN))*((c_TMAP2OUT)-(c_TMAP1OUT))+IF(((c_TMAP2OUT)-(c_TMAP1OUT))&gt;=0,1,-1)*QUOTIENT(((c_TMAP2IN)-(c_TMAP1IN)),2))+2147483648,4294967296)-2147483648,((c_TMAP2IN)-(c_TMAP1IN))*(((C25)-(c_TMAP1IN))*((c_TMAP2OUT)-(c_TMAP1OUT))+IF(((c_TMAP2OUT)-(c_TMAP1OUT))&gt;=0,1,-1)*QUOTIENT(((c_TMAP2IN)-(c_TMAP1IN)),2)))&gt;=0,1,0)))</f>
        <v>66</v>
      </c>
      <c r="G25" s="7" t="n">
        <f aca="false">IF(((c_TMAP3IN)-(c_TMAP2IN))=0,(c_TMAP2OUT)+QUOTIENT(((c_TMAP3OUT)-(c_TMAP2OUT)),2),QUOTIENT((((C25)-(c_TMAP2IN))*((c_TMAP3OUT)-(c_TMAP2OUT))+IF(((c_TMAP3OUT)-(c_TMAP2OUT))&gt;=0,1,-1)*QUOTIENT(((c_TMAP3IN)-(c_TMAP2IN)),2)),((c_TMAP3IN)-(c_TMAP2IN)))+(c_TMAP2OUT)+IF(((c_TMAP3OUT)-(c_TMAP2OUT))&gt;=0,IF(IF(o_WRAP=1,MOD(((c_TMAP3IN)-(c_TMAP2IN))*(((C25)-(c_TMAP2IN))*((c_TMAP3OUT)-(c_TMAP2OUT))+IF(((c_TMAP3OUT)-(c_TMAP2OUT))&gt;=0,1,-1)*QUOTIENT(((c_TMAP3IN)-(c_TMAP2IN)),2))+2147483648,4294967296)-2147483648,((c_TMAP3IN)-(c_TMAP2IN))*(((C25)-(c_TMAP2IN))*((c_TMAP3OUT)-(c_TMAP2OUT))+IF(((c_TMAP3OUT)-(c_TMAP2OUT))&gt;=0,1,-1)*QUOTIENT(((c_TMAP3IN)-(c_TMAP2IN)),2)))&lt;0,-1,0),IF(IF(o_WRAP=1,MOD(((c_TMAP3IN)-(c_TMAP2IN))*(((C25)-(c_TMAP2IN))*((c_TMAP3OUT)-(c_TMAP2OUT))+IF(((c_TMAP3OUT)-(c_TMAP2OUT))&gt;=0,1,-1)*QUOTIENT(((c_TMAP3IN)-(c_TMAP2IN)),2))+2147483648,4294967296)-2147483648,((c_TMAP3IN)-(c_TMAP2IN))*(((C25)-(c_TMAP2IN))*((c_TMAP3OUT)-(c_TMAP2OUT))+IF(((c_TMAP3OUT)-(c_TMAP2OUT))&gt;=0,1,-1)*QUOTIENT(((c_TMAP3IN)-(c_TMAP2IN)),2)))&gt;=0,1,0)))</f>
        <v>18</v>
      </c>
      <c r="H25" s="7" t="n">
        <f aca="false">IF(((1000)-(c_TMAP3IN))=0,(c_TMAP3OUT)+QUOTIENT(((1000)-(c_TMAP3OUT)),2),QUOTIENT((((C25)-(c_TMAP3IN))*((1000)-(c_TMAP3OUT))+IF(((1000)-(c_TMAP3OUT))&gt;=0,1,-1)*QUOTIENT(((1000)-(c_TMAP3IN)),2)),((1000)-(c_TMAP3IN)))+(c_TMAP3OUT)+IF(((1000)-(c_TMAP3OUT))&gt;=0,IF(IF(o_WRAP=1,MOD(((1000)-(c_TMAP3IN))*(((C25)-(c_TMAP3IN))*((1000)-(c_TMAP3OUT))+IF(((1000)-(c_TMAP3OUT))&gt;=0,1,-1)*QUOTIENT(((1000)-(c_TMAP3IN)),2))+2147483648,4294967296)-2147483648,((1000)-(c_TMAP3IN))*(((C25)-(c_TMAP3IN))*((1000)-(c_TMAP3OUT))+IF(((1000)-(c_TMAP3OUT))&gt;=0,1,-1)*QUOTIENT(((1000)-(c_TMAP3IN)),2)))&lt;0,-1,0),IF(IF(o_WRAP=1,MOD(((1000)-(c_TMAP3IN))*(((C25)-(c_TMAP3IN))*((1000)-(c_TMAP3OUT))+IF(((1000)-(c_TMAP3OUT))&gt;=0,1,-1)*QUOTIENT(((1000)-(c_TMAP3IN)),2))+2147483648,4294967296)-2147483648,((1000)-(c_TMAP3IN))*(((C25)-(c_TMAP3IN))*((1000)-(c_TMAP3OUT))+IF(((1000)-(c_TMAP3OUT))&gt;=0,1,-1)*QUOTIENT(((1000)-(c_TMAP3IN)),2)))&gt;=0,1,0)))</f>
        <v>-120</v>
      </c>
      <c r="I25" s="7" t="n">
        <f aca="false">IF(C25&gt;=c_TFWD,IF(AND(C25&gt;=c_TMAP3IN,c_TMAP3IN&lt;1000),H25,IF(AND(C25&gt;=c_TMAP2IN,c_TMAP3IN&gt;c_TMAP2IN),G25,IF(AND(C25&gt;=c_TMAP1IN,c_TMAP2IN&gt;c_TMAP1IN),F25,E25))),D25)</f>
        <v>62</v>
      </c>
      <c r="J25" s="7" t="str">
        <f aca="false">IF(I25&lt;-1090,"TOO LOW",IF(I25&gt;1090,"TOO HIGH",""))</f>
        <v/>
      </c>
      <c r="K25" s="7" t="n">
        <f aca="false">IF(J25&lt;&gt;"",0,IF(I25&gt;979,1000,I25))</f>
        <v>62</v>
      </c>
      <c r="L25" s="7" t="n">
        <f aca="false">IF(OR(c_TSMOOTH=0,K25&gt;=c_TSMOOTHCUT),1,0)</f>
        <v>0</v>
      </c>
      <c r="M25" s="7" t="n">
        <f aca="false">IF(L25=1,0,M24+1)</f>
        <v>21</v>
      </c>
      <c r="N25" s="7" t="n">
        <f aca="false">IF(L25=1,0,MIN(M25,c_TSMOOTH))</f>
        <v>21</v>
      </c>
      <c r="O25" s="7" t="n">
        <f aca="false">IF(COUNTIF($L$5:L25,1)&gt;0,c_TSMOOTHCUT,0)</f>
        <v>0</v>
      </c>
      <c r="P25" s="15" t="n">
        <f aca="true">IF(L25=1,K25,QUOTIENT(SUM(OFFSET(K25,1-N25,0,N25,1))+(c_TSMOOTH-N25)*O25,c_TSMOOTH))</f>
        <v>-231</v>
      </c>
      <c r="Q25" s="7" t="n">
        <f aca="false">K25/10</f>
        <v>6.2</v>
      </c>
      <c r="R25" s="7" t="n">
        <f aca="false">P25/10</f>
        <v>-23.1</v>
      </c>
    </row>
    <row r="26" customFormat="false" ht="15" hidden="false" customHeight="false" outlineLevel="0" collapsed="false">
      <c r="A26" s="7" t="n">
        <v>21</v>
      </c>
      <c r="B26" s="7" t="n">
        <f aca="false">A26*0.04</f>
        <v>0.84</v>
      </c>
      <c r="C26" s="18" t="n">
        <v>180</v>
      </c>
      <c r="D26" s="7" t="n">
        <f aca="false">IF(AND(C26=0,c_TCREEP&gt;0),10*c_TCREEP,IF(AND(C26&lt;=c_TRNGMIN,C26&gt;=c_TRNGMAX,c_TRNGMIN-c_TRNGMAX&lt;&gt;0),-10*c_TMINRN+QUOTIENT((c_TMAXRN-c_TMINRN)*(100-QUOTIENT((C26-c_TRNGMAX)*100,c_TRNGMIN-c_TRNGMAX)),-10),0))</f>
        <v>0</v>
      </c>
      <c r="E26" s="7" t="n">
        <f aca="false">IF(((c_TMAP1IN)-(c_TFWD))=0,(0)+QUOTIENT(((c_TMAP1OUT)-(0)),2),QUOTIENT((((C26)-(c_TFWD))*((c_TMAP1OUT)-(0))+IF(((c_TMAP1OUT)-(0))&gt;=0,1,-1)*QUOTIENT(((c_TMAP1IN)-(c_TFWD)),2)),((c_TMAP1IN)-(c_TFWD)))+(0)+IF(((c_TMAP1OUT)-(0))&gt;=0,IF(IF(o_WRAP=1,MOD(((c_TMAP1IN)-(c_TFWD))*(((C26)-(c_TFWD))*((c_TMAP1OUT)-(0))+IF(((c_TMAP1OUT)-(0))&gt;=0,1,-1)*QUOTIENT(((c_TMAP1IN)-(c_TFWD)),2))+2147483648,4294967296)-2147483648,((c_TMAP1IN)-(c_TFWD))*(((C26)-(c_TFWD))*((c_TMAP1OUT)-(0))+IF(((c_TMAP1OUT)-(0))&gt;=0,1,-1)*QUOTIENT(((c_TMAP1IN)-(c_TFWD)),2)))&lt;0,-1,0),IF(IF(o_WRAP=1,MOD(((c_TMAP1IN)-(c_TFWD))*(((C26)-(c_TFWD))*((c_TMAP1OUT)-(0))+IF(((c_TMAP1OUT)-(0))&gt;=0,1,-1)*QUOTIENT(((c_TMAP1IN)-(c_TFWD)),2))+2147483648,4294967296)-2147483648,((c_TMAP1IN)-(c_TFWD))*(((C26)-(c_TFWD))*((c_TMAP1OUT)-(0))+IF(((c_TMAP1OUT)-(0))&gt;=0,1,-1)*QUOTIENT(((c_TMAP1IN)-(c_TFWD)),2)))&gt;=0,1,0)))</f>
        <v>132</v>
      </c>
      <c r="F26" s="7" t="n">
        <f aca="false">IF(((c_TMAP2IN)-(c_TMAP1IN))=0,(c_TMAP1OUT)+QUOTIENT(((c_TMAP2OUT)-(c_TMAP1OUT)),2),QUOTIENT((((C26)-(c_TMAP1IN))*((c_TMAP2OUT)-(c_TMAP1OUT))+IF(((c_TMAP2OUT)-(c_TMAP1OUT))&gt;=0,1,-1)*QUOTIENT(((c_TMAP2IN)-(c_TMAP1IN)),2)),((c_TMAP2IN)-(c_TMAP1IN)))+(c_TMAP1OUT)+IF(((c_TMAP2OUT)-(c_TMAP1OUT))&gt;=0,IF(IF(o_WRAP=1,MOD(((c_TMAP2IN)-(c_TMAP1IN))*(((C26)-(c_TMAP1IN))*((c_TMAP2OUT)-(c_TMAP1OUT))+IF(((c_TMAP2OUT)-(c_TMAP1OUT))&gt;=0,1,-1)*QUOTIENT(((c_TMAP2IN)-(c_TMAP1IN)),2))+2147483648,4294967296)-2147483648,((c_TMAP2IN)-(c_TMAP1IN))*(((C26)-(c_TMAP1IN))*((c_TMAP2OUT)-(c_TMAP1OUT))+IF(((c_TMAP2OUT)-(c_TMAP1OUT))&gt;=0,1,-1)*QUOTIENT(((c_TMAP2IN)-(c_TMAP1IN)),2)))&lt;0,-1,0),IF(IF(o_WRAP=1,MOD(((c_TMAP2IN)-(c_TMAP1IN))*(((C26)-(c_TMAP1IN))*((c_TMAP2OUT)-(c_TMAP1OUT))+IF(((c_TMAP2OUT)-(c_TMAP1OUT))&gt;=0,1,-1)*QUOTIENT(((c_TMAP2IN)-(c_TMAP1IN)),2))+2147483648,4294967296)-2147483648,((c_TMAP2IN)-(c_TMAP1IN))*(((C26)-(c_TMAP1IN))*((c_TMAP2OUT)-(c_TMAP1OUT))+IF(((c_TMAP2OUT)-(c_TMAP1OUT))&gt;=0,1,-1)*QUOTIENT(((c_TMAP2IN)-(c_TMAP1IN)),2)))&gt;=0,1,0)))</f>
        <v>102</v>
      </c>
      <c r="G26" s="7" t="n">
        <f aca="false">IF(((c_TMAP3IN)-(c_TMAP2IN))=0,(c_TMAP2OUT)+QUOTIENT(((c_TMAP3OUT)-(c_TMAP2OUT)),2),QUOTIENT((((C26)-(c_TMAP2IN))*((c_TMAP3OUT)-(c_TMAP2OUT))+IF(((c_TMAP3OUT)-(c_TMAP2OUT))&gt;=0,1,-1)*QUOTIENT(((c_TMAP3IN)-(c_TMAP2IN)),2)),((c_TMAP3IN)-(c_TMAP2IN)))+(c_TMAP2OUT)+IF(((c_TMAP3OUT)-(c_TMAP2OUT))&gt;=0,IF(IF(o_WRAP=1,MOD(((c_TMAP3IN)-(c_TMAP2IN))*(((C26)-(c_TMAP2IN))*((c_TMAP3OUT)-(c_TMAP2OUT))+IF(((c_TMAP3OUT)-(c_TMAP2OUT))&gt;=0,1,-1)*QUOTIENT(((c_TMAP3IN)-(c_TMAP2IN)),2))+2147483648,4294967296)-2147483648,((c_TMAP3IN)-(c_TMAP2IN))*(((C26)-(c_TMAP2IN))*((c_TMAP3OUT)-(c_TMAP2OUT))+IF(((c_TMAP3OUT)-(c_TMAP2OUT))&gt;=0,1,-1)*QUOTIENT(((c_TMAP3IN)-(c_TMAP2IN)),2)))&lt;0,-1,0),IF(IF(o_WRAP=1,MOD(((c_TMAP3IN)-(c_TMAP2IN))*(((C26)-(c_TMAP2IN))*((c_TMAP3OUT)-(c_TMAP2OUT))+IF(((c_TMAP3OUT)-(c_TMAP2OUT))&gt;=0,1,-1)*QUOTIENT(((c_TMAP3IN)-(c_TMAP2IN)),2))+2147483648,4294967296)-2147483648,((c_TMAP3IN)-(c_TMAP2IN))*(((C26)-(c_TMAP2IN))*((c_TMAP3OUT)-(c_TMAP2OUT))+IF(((c_TMAP3OUT)-(c_TMAP2OUT))&gt;=0,1,-1)*QUOTIENT(((c_TMAP3IN)-(c_TMAP2IN)),2)))&gt;=0,1,0)))</f>
        <v>81</v>
      </c>
      <c r="H26" s="7" t="n">
        <f aca="false">IF(((1000)-(c_TMAP3IN))=0,(c_TMAP3OUT)+QUOTIENT(((1000)-(c_TMAP3OUT)),2),QUOTIENT((((C26)-(c_TMAP3IN))*((1000)-(c_TMAP3OUT))+IF(((1000)-(c_TMAP3OUT))&gt;=0,1,-1)*QUOTIENT(((1000)-(c_TMAP3IN)),2)),((1000)-(c_TMAP3IN)))+(c_TMAP3OUT)+IF(((1000)-(c_TMAP3OUT))&gt;=0,IF(IF(o_WRAP=1,MOD(((1000)-(c_TMAP3IN))*(((C26)-(c_TMAP3IN))*((1000)-(c_TMAP3OUT))+IF(((1000)-(c_TMAP3OUT))&gt;=0,1,-1)*QUOTIENT(((1000)-(c_TMAP3IN)),2))+2147483648,4294967296)-2147483648,((1000)-(c_TMAP3IN))*(((C26)-(c_TMAP3IN))*((1000)-(c_TMAP3OUT))+IF(((1000)-(c_TMAP3OUT))&gt;=0,1,-1)*QUOTIENT(((1000)-(c_TMAP3IN)),2)))&lt;0,-1,0),IF(IF(o_WRAP=1,MOD(((1000)-(c_TMAP3IN))*(((C26)-(c_TMAP3IN))*((1000)-(c_TMAP3OUT))+IF(((1000)-(c_TMAP3OUT))&gt;=0,1,-1)*QUOTIENT(((1000)-(c_TMAP3IN)),2))+2147483648,4294967296)-2147483648,((1000)-(c_TMAP3IN))*(((C26)-(c_TMAP3IN))*((1000)-(c_TMAP3OUT))+IF(((1000)-(c_TMAP3OUT))&gt;=0,1,-1)*QUOTIENT(((1000)-(c_TMAP3IN)),2)))&gt;=0,1,0)))</f>
        <v>-9</v>
      </c>
      <c r="I26" s="7" t="n">
        <f aca="false">IF(C26&gt;=c_TFWD,IF(AND(C26&gt;=c_TMAP3IN,c_TMAP3IN&lt;1000),H26,IF(AND(C26&gt;=c_TMAP2IN,c_TMAP3IN&gt;c_TMAP2IN),G26,IF(AND(C26&gt;=c_TMAP1IN,c_TMAP2IN&gt;c_TMAP1IN),F26,E26))),D26)</f>
        <v>102</v>
      </c>
      <c r="J26" s="7" t="str">
        <f aca="false">IF(I26&lt;-1090,"TOO LOW",IF(I26&gt;1090,"TOO HIGH",""))</f>
        <v/>
      </c>
      <c r="K26" s="7" t="n">
        <f aca="false">IF(J26&lt;&gt;"",0,IF(I26&gt;979,1000,I26))</f>
        <v>102</v>
      </c>
      <c r="L26" s="7" t="n">
        <f aca="false">IF(OR(c_TSMOOTH=0,K26&gt;=c_TSMOOTHCUT),1,0)</f>
        <v>0</v>
      </c>
      <c r="M26" s="7" t="n">
        <f aca="false">IF(L26=1,0,M25+1)</f>
        <v>22</v>
      </c>
      <c r="N26" s="7" t="n">
        <f aca="false">IF(L26=1,0,MIN(M26,c_TSMOOTH))</f>
        <v>22</v>
      </c>
      <c r="O26" s="7" t="n">
        <f aca="false">IF(COUNTIF($L$5:L26,1)&gt;0,c_TSMOOTHCUT,0)</f>
        <v>0</v>
      </c>
      <c r="P26" s="15" t="n">
        <f aca="true">IF(L26=1,K26,QUOTIENT(SUM(OFFSET(K26,1-N26,0,N26,1))+(c_TSMOOTH-N26)*O26,c_TSMOOTH))</f>
        <v>-227</v>
      </c>
      <c r="Q26" s="7" t="n">
        <f aca="false">K26/10</f>
        <v>10.2</v>
      </c>
      <c r="R26" s="7" t="n">
        <f aca="false">P26/10</f>
        <v>-22.7</v>
      </c>
    </row>
    <row r="27" customFormat="false" ht="15" hidden="false" customHeight="false" outlineLevel="0" collapsed="false">
      <c r="A27" s="7" t="n">
        <v>22</v>
      </c>
      <c r="B27" s="7" t="n">
        <f aca="false">A27*0.04</f>
        <v>0.88</v>
      </c>
      <c r="C27" s="18" t="n">
        <v>270</v>
      </c>
      <c r="D27" s="7" t="n">
        <f aca="false">IF(AND(C27=0,c_TCREEP&gt;0),10*c_TCREEP,IF(AND(C27&lt;=c_TRNGMIN,C27&gt;=c_TRNGMAX,c_TRNGMIN-c_TRNGMAX&lt;&gt;0),-10*c_TMINRN+QUOTIENT((c_TMAXRN-c_TMINRN)*(100-QUOTIENT((C27-c_TRNGMAX)*100,c_TRNGMIN-c_TRNGMAX)),-10),0))</f>
        <v>0</v>
      </c>
      <c r="E27" s="7" t="n">
        <f aca="false">IF(((c_TMAP1IN)-(c_TFWD))=0,(0)+QUOTIENT(((c_TMAP1OUT)-(0)),2),QUOTIENT((((C27)-(c_TFWD))*((c_TMAP1OUT)-(0))+IF(((c_TMAP1OUT)-(0))&gt;=0,1,-1)*QUOTIENT(((c_TMAP1IN)-(c_TFWD)),2)),((c_TMAP1IN)-(c_TFWD)))+(0)+IF(((c_TMAP1OUT)-(0))&gt;=0,IF(IF(o_WRAP=1,MOD(((c_TMAP1IN)-(c_TFWD))*(((C27)-(c_TFWD))*((c_TMAP1OUT)-(0))+IF(((c_TMAP1OUT)-(0))&gt;=0,1,-1)*QUOTIENT(((c_TMAP1IN)-(c_TFWD)),2))+2147483648,4294967296)-2147483648,((c_TMAP1IN)-(c_TFWD))*(((C27)-(c_TFWD))*((c_TMAP1OUT)-(0))+IF(((c_TMAP1OUT)-(0))&gt;=0,1,-1)*QUOTIENT(((c_TMAP1IN)-(c_TFWD)),2)))&lt;0,-1,0),IF(IF(o_WRAP=1,MOD(((c_TMAP1IN)-(c_TFWD))*(((C27)-(c_TFWD))*((c_TMAP1OUT)-(0))+IF(((c_TMAP1OUT)-(0))&gt;=0,1,-1)*QUOTIENT(((c_TMAP1IN)-(c_TFWD)),2))+2147483648,4294967296)-2147483648,((c_TMAP1IN)-(c_TFWD))*(((C27)-(c_TFWD))*((c_TMAP1OUT)-(0))+IF(((c_TMAP1OUT)-(0))&gt;=0,1,-1)*QUOTIENT(((c_TMAP1IN)-(c_TFWD)),2)))&gt;=0,1,0)))</f>
        <v>202</v>
      </c>
      <c r="F27" s="7" t="n">
        <f aca="false">IF(((c_TMAP2IN)-(c_TMAP1IN))=0,(c_TMAP1OUT)+QUOTIENT(((c_TMAP2OUT)-(c_TMAP1OUT)),2),QUOTIENT((((C27)-(c_TMAP1IN))*((c_TMAP2OUT)-(c_TMAP1OUT))+IF(((c_TMAP2OUT)-(c_TMAP1OUT))&gt;=0,1,-1)*QUOTIENT(((c_TMAP2IN)-(c_TMAP1IN)),2)),((c_TMAP2IN)-(c_TMAP1IN)))+(c_TMAP1OUT)+IF(((c_TMAP2OUT)-(c_TMAP1OUT))&gt;=0,IF(IF(o_WRAP=1,MOD(((c_TMAP2IN)-(c_TMAP1IN))*(((C27)-(c_TMAP1IN))*((c_TMAP2OUT)-(c_TMAP1OUT))+IF(((c_TMAP2OUT)-(c_TMAP1OUT))&gt;=0,1,-1)*QUOTIENT(((c_TMAP2IN)-(c_TMAP1IN)),2))+2147483648,4294967296)-2147483648,((c_TMAP2IN)-(c_TMAP1IN))*(((C27)-(c_TMAP1IN))*((c_TMAP2OUT)-(c_TMAP1OUT))+IF(((c_TMAP2OUT)-(c_TMAP1OUT))&gt;=0,1,-1)*QUOTIENT(((c_TMAP2IN)-(c_TMAP1IN)),2)))&lt;0,-1,0),IF(IF(o_WRAP=1,MOD(((c_TMAP2IN)-(c_TMAP1IN))*(((C27)-(c_TMAP1IN))*((c_TMAP2OUT)-(c_TMAP1OUT))+IF(((c_TMAP2OUT)-(c_TMAP1OUT))&gt;=0,1,-1)*QUOTIENT(((c_TMAP2IN)-(c_TMAP1IN)),2))+2147483648,4294967296)-2147483648,((c_TMAP2IN)-(c_TMAP1IN))*(((C27)-(c_TMAP1IN))*((c_TMAP2OUT)-(c_TMAP1OUT))+IF(((c_TMAP2OUT)-(c_TMAP1OUT))&gt;=0,1,-1)*QUOTIENT(((c_TMAP2IN)-(c_TMAP1IN)),2)))&gt;=0,1,0)))</f>
        <v>138</v>
      </c>
      <c r="G27" s="7" t="n">
        <f aca="false">IF(((c_TMAP3IN)-(c_TMAP2IN))=0,(c_TMAP2OUT)+QUOTIENT(((c_TMAP3OUT)-(c_TMAP2OUT)),2),QUOTIENT((((C27)-(c_TMAP2IN))*((c_TMAP3OUT)-(c_TMAP2OUT))+IF(((c_TMAP3OUT)-(c_TMAP2OUT))&gt;=0,1,-1)*QUOTIENT(((c_TMAP3IN)-(c_TMAP2IN)),2)),((c_TMAP3IN)-(c_TMAP2IN)))+(c_TMAP2OUT)+IF(((c_TMAP3OUT)-(c_TMAP2OUT))&gt;=0,IF(IF(o_WRAP=1,MOD(((c_TMAP3IN)-(c_TMAP2IN))*(((C27)-(c_TMAP2IN))*((c_TMAP3OUT)-(c_TMAP2OUT))+IF(((c_TMAP3OUT)-(c_TMAP2OUT))&gt;=0,1,-1)*QUOTIENT(((c_TMAP3IN)-(c_TMAP2IN)),2))+2147483648,4294967296)-2147483648,((c_TMAP3IN)-(c_TMAP2IN))*(((C27)-(c_TMAP2IN))*((c_TMAP3OUT)-(c_TMAP2OUT))+IF(((c_TMAP3OUT)-(c_TMAP2OUT))&gt;=0,1,-1)*QUOTIENT(((c_TMAP3IN)-(c_TMAP2IN)),2)))&lt;0,-1,0),IF(IF(o_WRAP=1,MOD(((c_TMAP3IN)-(c_TMAP2IN))*(((C27)-(c_TMAP2IN))*((c_TMAP3OUT)-(c_TMAP2OUT))+IF(((c_TMAP3OUT)-(c_TMAP2OUT))&gt;=0,1,-1)*QUOTIENT(((c_TMAP3IN)-(c_TMAP2IN)),2))+2147483648,4294967296)-2147483648,((c_TMAP3IN)-(c_TMAP2IN))*(((C27)-(c_TMAP2IN))*((c_TMAP3OUT)-(c_TMAP2OUT))+IF(((c_TMAP3OUT)-(c_TMAP2OUT))&gt;=0,1,-1)*QUOTIENT(((c_TMAP3IN)-(c_TMAP2IN)),2)))&gt;=0,1,0)))</f>
        <v>144</v>
      </c>
      <c r="H27" s="7" t="n">
        <f aca="false">IF(((1000)-(c_TMAP3IN))=0,(c_TMAP3OUT)+QUOTIENT(((1000)-(c_TMAP3OUT)),2),QUOTIENT((((C27)-(c_TMAP3IN))*((1000)-(c_TMAP3OUT))+IF(((1000)-(c_TMAP3OUT))&gt;=0,1,-1)*QUOTIENT(((1000)-(c_TMAP3IN)),2)),((1000)-(c_TMAP3IN)))+(c_TMAP3OUT)+IF(((1000)-(c_TMAP3OUT))&gt;=0,IF(IF(o_WRAP=1,MOD(((1000)-(c_TMAP3IN))*(((C27)-(c_TMAP3IN))*((1000)-(c_TMAP3OUT))+IF(((1000)-(c_TMAP3OUT))&gt;=0,1,-1)*QUOTIENT(((1000)-(c_TMAP3IN)),2))+2147483648,4294967296)-2147483648,((1000)-(c_TMAP3IN))*(((C27)-(c_TMAP3IN))*((1000)-(c_TMAP3OUT))+IF(((1000)-(c_TMAP3OUT))&gt;=0,1,-1)*QUOTIENT(((1000)-(c_TMAP3IN)),2)))&lt;0,-1,0),IF(IF(o_WRAP=1,MOD(((1000)-(c_TMAP3IN))*(((C27)-(c_TMAP3IN))*((1000)-(c_TMAP3OUT))+IF(((1000)-(c_TMAP3OUT))&gt;=0,1,-1)*QUOTIENT(((1000)-(c_TMAP3IN)),2))+2147483648,4294967296)-2147483648,((1000)-(c_TMAP3IN))*(((C27)-(c_TMAP3IN))*((1000)-(c_TMAP3OUT))+IF(((1000)-(c_TMAP3OUT))&gt;=0,1,-1)*QUOTIENT(((1000)-(c_TMAP3IN)),2)))&gt;=0,1,0)))</f>
        <v>102</v>
      </c>
      <c r="I27" s="7" t="n">
        <f aca="false">IF(C27&gt;=c_TFWD,IF(AND(C27&gt;=c_TMAP3IN,c_TMAP3IN&lt;1000),H27,IF(AND(C27&gt;=c_TMAP2IN,c_TMAP3IN&gt;c_TMAP2IN),G27,IF(AND(C27&gt;=c_TMAP1IN,c_TMAP2IN&gt;c_TMAP1IN),F27,E27))),D27)</f>
        <v>144</v>
      </c>
      <c r="J27" s="7" t="str">
        <f aca="false">IF(I27&lt;-1090,"TOO LOW",IF(I27&gt;1090,"TOO HIGH",""))</f>
        <v/>
      </c>
      <c r="K27" s="7" t="n">
        <f aca="false">IF(J27&lt;&gt;"",0,IF(I27&gt;979,1000,I27))</f>
        <v>144</v>
      </c>
      <c r="L27" s="7" t="n">
        <f aca="false">IF(OR(c_TSMOOTH=0,K27&gt;=c_TSMOOTHCUT),1,0)</f>
        <v>0</v>
      </c>
      <c r="M27" s="7" t="n">
        <f aca="false">IF(L27=1,0,M26+1)</f>
        <v>23</v>
      </c>
      <c r="N27" s="7" t="n">
        <f aca="false">IF(L27=1,0,MIN(M27,c_TSMOOTH))</f>
        <v>23</v>
      </c>
      <c r="O27" s="7" t="n">
        <f aca="false">IF(COUNTIF($L$5:L27,1)&gt;0,c_TSMOOTHCUT,0)</f>
        <v>0</v>
      </c>
      <c r="P27" s="15" t="n">
        <f aca="true">IF(L27=1,K27,QUOTIENT(SUM(OFFSET(K27,1-N27,0,N27,1))+(c_TSMOOTH-N27)*O27,c_TSMOOTH))</f>
        <v>-223</v>
      </c>
      <c r="Q27" s="7" t="n">
        <f aca="false">K27/10</f>
        <v>14.4</v>
      </c>
      <c r="R27" s="7" t="n">
        <f aca="false">P27/10</f>
        <v>-22.3</v>
      </c>
    </row>
    <row r="28" customFormat="false" ht="15" hidden="false" customHeight="false" outlineLevel="0" collapsed="false">
      <c r="A28" s="7" t="n">
        <v>23</v>
      </c>
      <c r="B28" s="7" t="n">
        <f aca="false">A28*0.04</f>
        <v>0.92</v>
      </c>
      <c r="C28" s="18" t="n">
        <v>360</v>
      </c>
      <c r="D28" s="7" t="n">
        <f aca="false">IF(AND(C28=0,c_TCREEP&gt;0),10*c_TCREEP,IF(AND(C28&lt;=c_TRNGMIN,C28&gt;=c_TRNGMAX,c_TRNGMIN-c_TRNGMAX&lt;&gt;0),-10*c_TMINRN+QUOTIENT((c_TMAXRN-c_TMINRN)*(100-QUOTIENT((C28-c_TRNGMAX)*100,c_TRNGMIN-c_TRNGMAX)),-10),0))</f>
        <v>0</v>
      </c>
      <c r="E28" s="7" t="n">
        <f aca="false">IF(((c_TMAP1IN)-(c_TFWD))=0,(0)+QUOTIENT(((c_TMAP1OUT)-(0)),2),QUOTIENT((((C28)-(c_TFWD))*((c_TMAP1OUT)-(0))+IF(((c_TMAP1OUT)-(0))&gt;=0,1,-1)*QUOTIENT(((c_TMAP1IN)-(c_TFWD)),2)),((c_TMAP1IN)-(c_TFWD)))+(0)+IF(((c_TMAP1OUT)-(0))&gt;=0,IF(IF(o_WRAP=1,MOD(((c_TMAP1IN)-(c_TFWD))*(((C28)-(c_TFWD))*((c_TMAP1OUT)-(0))+IF(((c_TMAP1OUT)-(0))&gt;=0,1,-1)*QUOTIENT(((c_TMAP1IN)-(c_TFWD)),2))+2147483648,4294967296)-2147483648,((c_TMAP1IN)-(c_TFWD))*(((C28)-(c_TFWD))*((c_TMAP1OUT)-(0))+IF(((c_TMAP1OUT)-(0))&gt;=0,1,-1)*QUOTIENT(((c_TMAP1IN)-(c_TFWD)),2)))&lt;0,-1,0),IF(IF(o_WRAP=1,MOD(((c_TMAP1IN)-(c_TFWD))*(((C28)-(c_TFWD))*((c_TMAP1OUT)-(0))+IF(((c_TMAP1OUT)-(0))&gt;=0,1,-1)*QUOTIENT(((c_TMAP1IN)-(c_TFWD)),2))+2147483648,4294967296)-2147483648,((c_TMAP1IN)-(c_TFWD))*(((C28)-(c_TFWD))*((c_TMAP1OUT)-(0))+IF(((c_TMAP1OUT)-(0))&gt;=0,1,-1)*QUOTIENT(((c_TMAP1IN)-(c_TFWD)),2)))&gt;=0,1,0)))</f>
        <v>272</v>
      </c>
      <c r="F28" s="7" t="n">
        <f aca="false">IF(((c_TMAP2IN)-(c_TMAP1IN))=0,(c_TMAP1OUT)+QUOTIENT(((c_TMAP2OUT)-(c_TMAP1OUT)),2),QUOTIENT((((C28)-(c_TMAP1IN))*((c_TMAP2OUT)-(c_TMAP1OUT))+IF(((c_TMAP2OUT)-(c_TMAP1OUT))&gt;=0,1,-1)*QUOTIENT(((c_TMAP2IN)-(c_TMAP1IN)),2)),((c_TMAP2IN)-(c_TMAP1IN)))+(c_TMAP1OUT)+IF(((c_TMAP2OUT)-(c_TMAP1OUT))&gt;=0,IF(IF(o_WRAP=1,MOD(((c_TMAP2IN)-(c_TMAP1IN))*(((C28)-(c_TMAP1IN))*((c_TMAP2OUT)-(c_TMAP1OUT))+IF(((c_TMAP2OUT)-(c_TMAP1OUT))&gt;=0,1,-1)*QUOTIENT(((c_TMAP2IN)-(c_TMAP1IN)),2))+2147483648,4294967296)-2147483648,((c_TMAP2IN)-(c_TMAP1IN))*(((C28)-(c_TMAP1IN))*((c_TMAP2OUT)-(c_TMAP1OUT))+IF(((c_TMAP2OUT)-(c_TMAP1OUT))&gt;=0,1,-1)*QUOTIENT(((c_TMAP2IN)-(c_TMAP1IN)),2)))&lt;0,-1,0),IF(IF(o_WRAP=1,MOD(((c_TMAP2IN)-(c_TMAP1IN))*(((C28)-(c_TMAP1IN))*((c_TMAP2OUT)-(c_TMAP1OUT))+IF(((c_TMAP2OUT)-(c_TMAP1OUT))&gt;=0,1,-1)*QUOTIENT(((c_TMAP2IN)-(c_TMAP1IN)),2))+2147483648,4294967296)-2147483648,((c_TMAP2IN)-(c_TMAP1IN))*(((C28)-(c_TMAP1IN))*((c_TMAP2OUT)-(c_TMAP1OUT))+IF(((c_TMAP2OUT)-(c_TMAP1OUT))&gt;=0,1,-1)*QUOTIENT(((c_TMAP2IN)-(c_TMAP1IN)),2)))&gt;=0,1,0)))</f>
        <v>174</v>
      </c>
      <c r="G28" s="7" t="n">
        <f aca="false">IF(((c_TMAP3IN)-(c_TMAP2IN))=0,(c_TMAP2OUT)+QUOTIENT(((c_TMAP3OUT)-(c_TMAP2OUT)),2),QUOTIENT((((C28)-(c_TMAP2IN))*((c_TMAP3OUT)-(c_TMAP2OUT))+IF(((c_TMAP3OUT)-(c_TMAP2OUT))&gt;=0,1,-1)*QUOTIENT(((c_TMAP3IN)-(c_TMAP2IN)),2)),((c_TMAP3IN)-(c_TMAP2IN)))+(c_TMAP2OUT)+IF(((c_TMAP3OUT)-(c_TMAP2OUT))&gt;=0,IF(IF(o_WRAP=1,MOD(((c_TMAP3IN)-(c_TMAP2IN))*(((C28)-(c_TMAP2IN))*((c_TMAP3OUT)-(c_TMAP2OUT))+IF(((c_TMAP3OUT)-(c_TMAP2OUT))&gt;=0,1,-1)*QUOTIENT(((c_TMAP3IN)-(c_TMAP2IN)),2))+2147483648,4294967296)-2147483648,((c_TMAP3IN)-(c_TMAP2IN))*(((C28)-(c_TMAP2IN))*((c_TMAP3OUT)-(c_TMAP2OUT))+IF(((c_TMAP3OUT)-(c_TMAP2OUT))&gt;=0,1,-1)*QUOTIENT(((c_TMAP3IN)-(c_TMAP2IN)),2)))&lt;0,-1,0),IF(IF(o_WRAP=1,MOD(((c_TMAP3IN)-(c_TMAP2IN))*(((C28)-(c_TMAP2IN))*((c_TMAP3OUT)-(c_TMAP2OUT))+IF(((c_TMAP3OUT)-(c_TMAP2OUT))&gt;=0,1,-1)*QUOTIENT(((c_TMAP3IN)-(c_TMAP2IN)),2))+2147483648,4294967296)-2147483648,((c_TMAP3IN)-(c_TMAP2IN))*(((C28)-(c_TMAP2IN))*((c_TMAP3OUT)-(c_TMAP2OUT))+IF(((c_TMAP3OUT)-(c_TMAP2OUT))&gt;=0,1,-1)*QUOTIENT(((c_TMAP3IN)-(c_TMAP2IN)),2)))&gt;=0,1,0)))</f>
        <v>207</v>
      </c>
      <c r="H28" s="7" t="n">
        <f aca="false">IF(((1000)-(c_TMAP3IN))=0,(c_TMAP3OUT)+QUOTIENT(((1000)-(c_TMAP3OUT)),2),QUOTIENT((((C28)-(c_TMAP3IN))*((1000)-(c_TMAP3OUT))+IF(((1000)-(c_TMAP3OUT))&gt;=0,1,-1)*QUOTIENT(((1000)-(c_TMAP3IN)),2)),((1000)-(c_TMAP3IN)))+(c_TMAP3OUT)+IF(((1000)-(c_TMAP3OUT))&gt;=0,IF(IF(o_WRAP=1,MOD(((1000)-(c_TMAP3IN))*(((C28)-(c_TMAP3IN))*((1000)-(c_TMAP3OUT))+IF(((1000)-(c_TMAP3OUT))&gt;=0,1,-1)*QUOTIENT(((1000)-(c_TMAP3IN)),2))+2147483648,4294967296)-2147483648,((1000)-(c_TMAP3IN))*(((C28)-(c_TMAP3IN))*((1000)-(c_TMAP3OUT))+IF(((1000)-(c_TMAP3OUT))&gt;=0,1,-1)*QUOTIENT(((1000)-(c_TMAP3IN)),2)))&lt;0,-1,0),IF(IF(o_WRAP=1,MOD(((1000)-(c_TMAP3IN))*(((C28)-(c_TMAP3IN))*((1000)-(c_TMAP3OUT))+IF(((1000)-(c_TMAP3OUT))&gt;=0,1,-1)*QUOTIENT(((1000)-(c_TMAP3IN)),2))+2147483648,4294967296)-2147483648,((1000)-(c_TMAP3IN))*(((C28)-(c_TMAP3IN))*((1000)-(c_TMAP3OUT))+IF(((1000)-(c_TMAP3OUT))&gt;=0,1,-1)*QUOTIENT(((1000)-(c_TMAP3IN)),2)))&gt;=0,1,0)))</f>
        <v>212</v>
      </c>
      <c r="I28" s="7" t="n">
        <f aca="false">IF(C28&gt;=c_TFWD,IF(AND(C28&gt;=c_TMAP3IN,c_TMAP3IN&lt;1000),H28,IF(AND(C28&gt;=c_TMAP2IN,c_TMAP3IN&gt;c_TMAP2IN),G28,IF(AND(C28&gt;=c_TMAP1IN,c_TMAP2IN&gt;c_TMAP1IN),F28,E28))),D28)</f>
        <v>212</v>
      </c>
      <c r="J28" s="7" t="str">
        <f aca="false">IF(I28&lt;-1090,"TOO LOW",IF(I28&gt;1090,"TOO HIGH",""))</f>
        <v/>
      </c>
      <c r="K28" s="7" t="n">
        <f aca="false">IF(J28&lt;&gt;"",0,IF(I28&gt;979,1000,I28))</f>
        <v>212</v>
      </c>
      <c r="L28" s="7" t="n">
        <f aca="false">IF(OR(c_TSMOOTH=0,K28&gt;=c_TSMOOTHCUT),1,0)</f>
        <v>0</v>
      </c>
      <c r="M28" s="7" t="n">
        <f aca="false">IF(L28=1,0,M27+1)</f>
        <v>24</v>
      </c>
      <c r="N28" s="7" t="n">
        <f aca="false">IF(L28=1,0,MIN(M28,c_TSMOOTH))</f>
        <v>24</v>
      </c>
      <c r="O28" s="7" t="n">
        <f aca="false">IF(COUNTIF($L$5:L28,1)&gt;0,c_TSMOOTHCUT,0)</f>
        <v>0</v>
      </c>
      <c r="P28" s="15" t="n">
        <f aca="true">IF(L28=1,K28,QUOTIENT(SUM(OFFSET(K28,1-N28,0,N28,1))+(c_TSMOOTH-N28)*O28,c_TSMOOTH))</f>
        <v>-216</v>
      </c>
      <c r="Q28" s="7" t="n">
        <f aca="false">K28/10</f>
        <v>21.2</v>
      </c>
      <c r="R28" s="7" t="n">
        <f aca="false">P28/10</f>
        <v>-21.6</v>
      </c>
    </row>
    <row r="29" customFormat="false" ht="15" hidden="false" customHeight="false" outlineLevel="0" collapsed="false">
      <c r="A29" s="7" t="n">
        <v>24</v>
      </c>
      <c r="B29" s="7" t="n">
        <f aca="false">A29*0.04</f>
        <v>0.96</v>
      </c>
      <c r="C29" s="18" t="n">
        <v>450</v>
      </c>
      <c r="D29" s="7" t="n">
        <f aca="false">IF(AND(C29=0,c_TCREEP&gt;0),10*c_TCREEP,IF(AND(C29&lt;=c_TRNGMIN,C29&gt;=c_TRNGMAX,c_TRNGMIN-c_TRNGMAX&lt;&gt;0),-10*c_TMINRN+QUOTIENT((c_TMAXRN-c_TMINRN)*(100-QUOTIENT((C29-c_TRNGMAX)*100,c_TRNGMIN-c_TRNGMAX)),-10),0))</f>
        <v>0</v>
      </c>
      <c r="E29" s="7" t="n">
        <f aca="false">IF(((c_TMAP1IN)-(c_TFWD))=0,(0)+QUOTIENT(((c_TMAP1OUT)-(0)),2),QUOTIENT((((C29)-(c_TFWD))*((c_TMAP1OUT)-(0))+IF(((c_TMAP1OUT)-(0))&gt;=0,1,-1)*QUOTIENT(((c_TMAP1IN)-(c_TFWD)),2)),((c_TMAP1IN)-(c_TFWD)))+(0)+IF(((c_TMAP1OUT)-(0))&gt;=0,IF(IF(o_WRAP=1,MOD(((c_TMAP1IN)-(c_TFWD))*(((C29)-(c_TFWD))*((c_TMAP1OUT)-(0))+IF(((c_TMAP1OUT)-(0))&gt;=0,1,-1)*QUOTIENT(((c_TMAP1IN)-(c_TFWD)),2))+2147483648,4294967296)-2147483648,((c_TMAP1IN)-(c_TFWD))*(((C29)-(c_TFWD))*((c_TMAP1OUT)-(0))+IF(((c_TMAP1OUT)-(0))&gt;=0,1,-1)*QUOTIENT(((c_TMAP1IN)-(c_TFWD)),2)))&lt;0,-1,0),IF(IF(o_WRAP=1,MOD(((c_TMAP1IN)-(c_TFWD))*(((C29)-(c_TFWD))*((c_TMAP1OUT)-(0))+IF(((c_TMAP1OUT)-(0))&gt;=0,1,-1)*QUOTIENT(((c_TMAP1IN)-(c_TFWD)),2))+2147483648,4294967296)-2147483648,((c_TMAP1IN)-(c_TFWD))*(((C29)-(c_TFWD))*((c_TMAP1OUT)-(0))+IF(((c_TMAP1OUT)-(0))&gt;=0,1,-1)*QUOTIENT(((c_TMAP1IN)-(c_TFWD)),2)))&gt;=0,1,0)))</f>
        <v>342</v>
      </c>
      <c r="F29" s="7" t="n">
        <f aca="false">IF(((c_TMAP2IN)-(c_TMAP1IN))=0,(c_TMAP1OUT)+QUOTIENT(((c_TMAP2OUT)-(c_TMAP1OUT)),2),QUOTIENT((((C29)-(c_TMAP1IN))*((c_TMAP2OUT)-(c_TMAP1OUT))+IF(((c_TMAP2OUT)-(c_TMAP1OUT))&gt;=0,1,-1)*QUOTIENT(((c_TMAP2IN)-(c_TMAP1IN)),2)),((c_TMAP2IN)-(c_TMAP1IN)))+(c_TMAP1OUT)+IF(((c_TMAP2OUT)-(c_TMAP1OUT))&gt;=0,IF(IF(o_WRAP=1,MOD(((c_TMAP2IN)-(c_TMAP1IN))*(((C29)-(c_TMAP1IN))*((c_TMAP2OUT)-(c_TMAP1OUT))+IF(((c_TMAP2OUT)-(c_TMAP1OUT))&gt;=0,1,-1)*QUOTIENT(((c_TMAP2IN)-(c_TMAP1IN)),2))+2147483648,4294967296)-2147483648,((c_TMAP2IN)-(c_TMAP1IN))*(((C29)-(c_TMAP1IN))*((c_TMAP2OUT)-(c_TMAP1OUT))+IF(((c_TMAP2OUT)-(c_TMAP1OUT))&gt;=0,1,-1)*QUOTIENT(((c_TMAP2IN)-(c_TMAP1IN)),2)))&lt;0,-1,0),IF(IF(o_WRAP=1,MOD(((c_TMAP2IN)-(c_TMAP1IN))*(((C29)-(c_TMAP1IN))*((c_TMAP2OUT)-(c_TMAP1OUT))+IF(((c_TMAP2OUT)-(c_TMAP1OUT))&gt;=0,1,-1)*QUOTIENT(((c_TMAP2IN)-(c_TMAP1IN)),2))+2147483648,4294967296)-2147483648,((c_TMAP2IN)-(c_TMAP1IN))*(((C29)-(c_TMAP1IN))*((c_TMAP2OUT)-(c_TMAP1OUT))+IF(((c_TMAP2OUT)-(c_TMAP1OUT))&gt;=0,1,-1)*QUOTIENT(((c_TMAP2IN)-(c_TMAP1IN)),2)))&gt;=0,1,0)))</f>
        <v>210</v>
      </c>
      <c r="G29" s="7" t="n">
        <f aca="false">IF(((c_TMAP3IN)-(c_TMAP2IN))=0,(c_TMAP2OUT)+QUOTIENT(((c_TMAP3OUT)-(c_TMAP2OUT)),2),QUOTIENT((((C29)-(c_TMAP2IN))*((c_TMAP3OUT)-(c_TMAP2OUT))+IF(((c_TMAP3OUT)-(c_TMAP2OUT))&gt;=0,1,-1)*QUOTIENT(((c_TMAP3IN)-(c_TMAP2IN)),2)),((c_TMAP3IN)-(c_TMAP2IN)))+(c_TMAP2OUT)+IF(((c_TMAP3OUT)-(c_TMAP2OUT))&gt;=0,IF(IF(o_WRAP=1,MOD(((c_TMAP3IN)-(c_TMAP2IN))*(((C29)-(c_TMAP2IN))*((c_TMAP3OUT)-(c_TMAP2OUT))+IF(((c_TMAP3OUT)-(c_TMAP2OUT))&gt;=0,1,-1)*QUOTIENT(((c_TMAP3IN)-(c_TMAP2IN)),2))+2147483648,4294967296)-2147483648,((c_TMAP3IN)-(c_TMAP2IN))*(((C29)-(c_TMAP2IN))*((c_TMAP3OUT)-(c_TMAP2OUT))+IF(((c_TMAP3OUT)-(c_TMAP2OUT))&gt;=0,1,-1)*QUOTIENT(((c_TMAP3IN)-(c_TMAP2IN)),2)))&lt;0,-1,0),IF(IF(o_WRAP=1,MOD(((c_TMAP3IN)-(c_TMAP2IN))*(((C29)-(c_TMAP2IN))*((c_TMAP3OUT)-(c_TMAP2OUT))+IF(((c_TMAP3OUT)-(c_TMAP2OUT))&gt;=0,1,-1)*QUOTIENT(((c_TMAP3IN)-(c_TMAP2IN)),2))+2147483648,4294967296)-2147483648,((c_TMAP3IN)-(c_TMAP2IN))*(((C29)-(c_TMAP2IN))*((c_TMAP3OUT)-(c_TMAP2OUT))+IF(((c_TMAP3OUT)-(c_TMAP2OUT))&gt;=0,1,-1)*QUOTIENT(((c_TMAP3IN)-(c_TMAP2IN)),2)))&gt;=0,1,0)))</f>
        <v>270</v>
      </c>
      <c r="H29" s="7" t="n">
        <f aca="false">IF(((1000)-(c_TMAP3IN))=0,(c_TMAP3OUT)+QUOTIENT(((1000)-(c_TMAP3OUT)),2),QUOTIENT((((C29)-(c_TMAP3IN))*((1000)-(c_TMAP3OUT))+IF(((1000)-(c_TMAP3OUT))&gt;=0,1,-1)*QUOTIENT(((1000)-(c_TMAP3IN)),2)),((1000)-(c_TMAP3IN)))+(c_TMAP3OUT)+IF(((1000)-(c_TMAP3OUT))&gt;=0,IF(IF(o_WRAP=1,MOD(((1000)-(c_TMAP3IN))*(((C29)-(c_TMAP3IN))*((1000)-(c_TMAP3OUT))+IF(((1000)-(c_TMAP3OUT))&gt;=0,1,-1)*QUOTIENT(((1000)-(c_TMAP3IN)),2))+2147483648,4294967296)-2147483648,((1000)-(c_TMAP3IN))*(((C29)-(c_TMAP3IN))*((1000)-(c_TMAP3OUT))+IF(((1000)-(c_TMAP3OUT))&gt;=0,1,-1)*QUOTIENT(((1000)-(c_TMAP3IN)),2)))&lt;0,-1,0),IF(IF(o_WRAP=1,MOD(((1000)-(c_TMAP3IN))*(((C29)-(c_TMAP3IN))*((1000)-(c_TMAP3OUT))+IF(((1000)-(c_TMAP3OUT))&gt;=0,1,-1)*QUOTIENT(((1000)-(c_TMAP3IN)),2))+2147483648,4294967296)-2147483648,((1000)-(c_TMAP3IN))*(((C29)-(c_TMAP3IN))*((1000)-(c_TMAP3OUT))+IF(((1000)-(c_TMAP3OUT))&gt;=0,1,-1)*QUOTIENT(((1000)-(c_TMAP3IN)),2)))&gt;=0,1,0)))</f>
        <v>323</v>
      </c>
      <c r="I29" s="7" t="n">
        <f aca="false">IF(C29&gt;=c_TFWD,IF(AND(C29&gt;=c_TMAP3IN,c_TMAP3IN&lt;1000),H29,IF(AND(C29&gt;=c_TMAP2IN,c_TMAP3IN&gt;c_TMAP2IN),G29,IF(AND(C29&gt;=c_TMAP1IN,c_TMAP2IN&gt;c_TMAP1IN),F29,E29))),D29)</f>
        <v>323</v>
      </c>
      <c r="J29" s="7" t="str">
        <f aca="false">IF(I29&lt;-1090,"TOO LOW",IF(I29&gt;1090,"TOO HIGH",""))</f>
        <v/>
      </c>
      <c r="K29" s="7" t="n">
        <f aca="false">IF(J29&lt;&gt;"",0,IF(I29&gt;979,1000,I29))</f>
        <v>323</v>
      </c>
      <c r="L29" s="7" t="n">
        <f aca="false">IF(OR(c_TSMOOTH=0,K29&gt;=c_TSMOOTHCUT),1,0)</f>
        <v>0</v>
      </c>
      <c r="M29" s="7" t="n">
        <f aca="false">IF(L29=1,0,M28+1)</f>
        <v>25</v>
      </c>
      <c r="N29" s="7" t="n">
        <f aca="false">IF(L29=1,0,MIN(M29,c_TSMOOTH))</f>
        <v>25</v>
      </c>
      <c r="O29" s="7" t="n">
        <f aca="false">IF(COUNTIF($L$5:L29,1)&gt;0,c_TSMOOTHCUT,0)</f>
        <v>0</v>
      </c>
      <c r="P29" s="15" t="n">
        <f aca="true">IF(L29=1,K29,QUOTIENT(SUM(OFFSET(K29,1-N29,0,N29,1))+(c_TSMOOTH-N29)*O29,c_TSMOOTH))</f>
        <v>-205</v>
      </c>
      <c r="Q29" s="7" t="n">
        <f aca="false">K29/10</f>
        <v>32.3</v>
      </c>
      <c r="R29" s="7" t="n">
        <f aca="false">P29/10</f>
        <v>-20.5</v>
      </c>
    </row>
    <row r="30" customFormat="false" ht="15" hidden="false" customHeight="false" outlineLevel="0" collapsed="false">
      <c r="A30" s="7" t="n">
        <v>25</v>
      </c>
      <c r="B30" s="7" t="n">
        <f aca="false">A30*0.04</f>
        <v>1</v>
      </c>
      <c r="C30" s="18" t="n">
        <v>540</v>
      </c>
      <c r="D30" s="7" t="n">
        <f aca="false">IF(AND(C30=0,c_TCREEP&gt;0),10*c_TCREEP,IF(AND(C30&lt;=c_TRNGMIN,C30&gt;=c_TRNGMAX,c_TRNGMIN-c_TRNGMAX&lt;&gt;0),-10*c_TMINRN+QUOTIENT((c_TMAXRN-c_TMINRN)*(100-QUOTIENT((C30-c_TRNGMAX)*100,c_TRNGMIN-c_TRNGMAX)),-10),0))</f>
        <v>0</v>
      </c>
      <c r="E30" s="7" t="n">
        <f aca="false">IF(((c_TMAP1IN)-(c_TFWD))=0,(0)+QUOTIENT(((c_TMAP1OUT)-(0)),2),QUOTIENT((((C30)-(c_TFWD))*((c_TMAP1OUT)-(0))+IF(((c_TMAP1OUT)-(0))&gt;=0,1,-1)*QUOTIENT(((c_TMAP1IN)-(c_TFWD)),2)),((c_TMAP1IN)-(c_TFWD)))+(0)+IF(((c_TMAP1OUT)-(0))&gt;=0,IF(IF(o_WRAP=1,MOD(((c_TMAP1IN)-(c_TFWD))*(((C30)-(c_TFWD))*((c_TMAP1OUT)-(0))+IF(((c_TMAP1OUT)-(0))&gt;=0,1,-1)*QUOTIENT(((c_TMAP1IN)-(c_TFWD)),2))+2147483648,4294967296)-2147483648,((c_TMAP1IN)-(c_TFWD))*(((C30)-(c_TFWD))*((c_TMAP1OUT)-(0))+IF(((c_TMAP1OUT)-(0))&gt;=0,1,-1)*QUOTIENT(((c_TMAP1IN)-(c_TFWD)),2)))&lt;0,-1,0),IF(IF(o_WRAP=1,MOD(((c_TMAP1IN)-(c_TFWD))*(((C30)-(c_TFWD))*((c_TMAP1OUT)-(0))+IF(((c_TMAP1OUT)-(0))&gt;=0,1,-1)*QUOTIENT(((c_TMAP1IN)-(c_TFWD)),2))+2147483648,4294967296)-2147483648,((c_TMAP1IN)-(c_TFWD))*(((C30)-(c_TFWD))*((c_TMAP1OUT)-(0))+IF(((c_TMAP1OUT)-(0))&gt;=0,1,-1)*QUOTIENT(((c_TMAP1IN)-(c_TFWD)),2)))&gt;=0,1,0)))</f>
        <v>412</v>
      </c>
      <c r="F30" s="7" t="n">
        <f aca="false">IF(((c_TMAP2IN)-(c_TMAP1IN))=0,(c_TMAP1OUT)+QUOTIENT(((c_TMAP2OUT)-(c_TMAP1OUT)),2),QUOTIENT((((C30)-(c_TMAP1IN))*((c_TMAP2OUT)-(c_TMAP1OUT))+IF(((c_TMAP2OUT)-(c_TMAP1OUT))&gt;=0,1,-1)*QUOTIENT(((c_TMAP2IN)-(c_TMAP1IN)),2)),((c_TMAP2IN)-(c_TMAP1IN)))+(c_TMAP1OUT)+IF(((c_TMAP2OUT)-(c_TMAP1OUT))&gt;=0,IF(IF(o_WRAP=1,MOD(((c_TMAP2IN)-(c_TMAP1IN))*(((C30)-(c_TMAP1IN))*((c_TMAP2OUT)-(c_TMAP1OUT))+IF(((c_TMAP2OUT)-(c_TMAP1OUT))&gt;=0,1,-1)*QUOTIENT(((c_TMAP2IN)-(c_TMAP1IN)),2))+2147483648,4294967296)-2147483648,((c_TMAP2IN)-(c_TMAP1IN))*(((C30)-(c_TMAP1IN))*((c_TMAP2OUT)-(c_TMAP1OUT))+IF(((c_TMAP2OUT)-(c_TMAP1OUT))&gt;=0,1,-1)*QUOTIENT(((c_TMAP2IN)-(c_TMAP1IN)),2)))&lt;0,-1,0),IF(IF(o_WRAP=1,MOD(((c_TMAP2IN)-(c_TMAP1IN))*(((C30)-(c_TMAP1IN))*((c_TMAP2OUT)-(c_TMAP1OUT))+IF(((c_TMAP2OUT)-(c_TMAP1OUT))&gt;=0,1,-1)*QUOTIENT(((c_TMAP2IN)-(c_TMAP1IN)),2))+2147483648,4294967296)-2147483648,((c_TMAP2IN)-(c_TMAP1IN))*(((C30)-(c_TMAP1IN))*((c_TMAP2OUT)-(c_TMAP1OUT))+IF(((c_TMAP2OUT)-(c_TMAP1OUT))&gt;=0,1,-1)*QUOTIENT(((c_TMAP2IN)-(c_TMAP1IN)),2)))&gt;=0,1,0)))</f>
        <v>246</v>
      </c>
      <c r="G30" s="7" t="n">
        <f aca="false">IF(((c_TMAP3IN)-(c_TMAP2IN))=0,(c_TMAP2OUT)+QUOTIENT(((c_TMAP3OUT)-(c_TMAP2OUT)),2),QUOTIENT((((C30)-(c_TMAP2IN))*((c_TMAP3OUT)-(c_TMAP2OUT))+IF(((c_TMAP3OUT)-(c_TMAP2OUT))&gt;=0,1,-1)*QUOTIENT(((c_TMAP3IN)-(c_TMAP2IN)),2)),((c_TMAP3IN)-(c_TMAP2IN)))+(c_TMAP2OUT)+IF(((c_TMAP3OUT)-(c_TMAP2OUT))&gt;=0,IF(IF(o_WRAP=1,MOD(((c_TMAP3IN)-(c_TMAP2IN))*(((C30)-(c_TMAP2IN))*((c_TMAP3OUT)-(c_TMAP2OUT))+IF(((c_TMAP3OUT)-(c_TMAP2OUT))&gt;=0,1,-1)*QUOTIENT(((c_TMAP3IN)-(c_TMAP2IN)),2))+2147483648,4294967296)-2147483648,((c_TMAP3IN)-(c_TMAP2IN))*(((C30)-(c_TMAP2IN))*((c_TMAP3OUT)-(c_TMAP2OUT))+IF(((c_TMAP3OUT)-(c_TMAP2OUT))&gt;=0,1,-1)*QUOTIENT(((c_TMAP3IN)-(c_TMAP2IN)),2)))&lt;0,-1,0),IF(IF(o_WRAP=1,MOD(((c_TMAP3IN)-(c_TMAP2IN))*(((C30)-(c_TMAP2IN))*((c_TMAP3OUT)-(c_TMAP2OUT))+IF(((c_TMAP3OUT)-(c_TMAP2OUT))&gt;=0,1,-1)*QUOTIENT(((c_TMAP3IN)-(c_TMAP2IN)),2))+2147483648,4294967296)-2147483648,((c_TMAP3IN)-(c_TMAP2IN))*(((C30)-(c_TMAP2IN))*((c_TMAP3OUT)-(c_TMAP2OUT))+IF(((c_TMAP3OUT)-(c_TMAP2OUT))&gt;=0,1,-1)*QUOTIENT(((c_TMAP3IN)-(c_TMAP2IN)),2)))&gt;=0,1,0)))</f>
        <v>333</v>
      </c>
      <c r="H30" s="7" t="n">
        <f aca="false">IF(((1000)-(c_TMAP3IN))=0,(c_TMAP3OUT)+QUOTIENT(((1000)-(c_TMAP3OUT)),2),QUOTIENT((((C30)-(c_TMAP3IN))*((1000)-(c_TMAP3OUT))+IF(((1000)-(c_TMAP3OUT))&gt;=0,1,-1)*QUOTIENT(((1000)-(c_TMAP3IN)),2)),((1000)-(c_TMAP3IN)))+(c_TMAP3OUT)+IF(((1000)-(c_TMAP3OUT))&gt;=0,IF(IF(o_WRAP=1,MOD(((1000)-(c_TMAP3IN))*(((C30)-(c_TMAP3IN))*((1000)-(c_TMAP3OUT))+IF(((1000)-(c_TMAP3OUT))&gt;=0,1,-1)*QUOTIENT(((1000)-(c_TMAP3IN)),2))+2147483648,4294967296)-2147483648,((1000)-(c_TMAP3IN))*(((C30)-(c_TMAP3IN))*((1000)-(c_TMAP3OUT))+IF(((1000)-(c_TMAP3OUT))&gt;=0,1,-1)*QUOTIENT(((1000)-(c_TMAP3IN)),2)))&lt;0,-1,0),IF(IF(o_WRAP=1,MOD(((1000)-(c_TMAP3IN))*(((C30)-(c_TMAP3IN))*((1000)-(c_TMAP3OUT))+IF(((1000)-(c_TMAP3OUT))&gt;=0,1,-1)*QUOTIENT(((1000)-(c_TMAP3IN)),2))+2147483648,4294967296)-2147483648,((1000)-(c_TMAP3IN))*(((C30)-(c_TMAP3IN))*((1000)-(c_TMAP3OUT))+IF(((1000)-(c_TMAP3OUT))&gt;=0,1,-1)*QUOTIENT(((1000)-(c_TMAP3IN)),2)))&gt;=0,1,0)))</f>
        <v>434</v>
      </c>
      <c r="I30" s="7" t="n">
        <f aca="false">IF(C30&gt;=c_TFWD,IF(AND(C30&gt;=c_TMAP3IN,c_TMAP3IN&lt;1000),H30,IF(AND(C30&gt;=c_TMAP2IN,c_TMAP3IN&gt;c_TMAP2IN),G30,IF(AND(C30&gt;=c_TMAP1IN,c_TMAP2IN&gt;c_TMAP1IN),F30,E30))),D30)</f>
        <v>434</v>
      </c>
      <c r="J30" s="7" t="str">
        <f aca="false">IF(I30&lt;-1090,"TOO LOW",IF(I30&gt;1090,"TOO HIGH",""))</f>
        <v/>
      </c>
      <c r="K30" s="7" t="n">
        <f aca="false">IF(J30&lt;&gt;"",0,IF(I30&gt;979,1000,I30))</f>
        <v>434</v>
      </c>
      <c r="L30" s="7" t="n">
        <f aca="false">IF(OR(c_TSMOOTH=0,K30&gt;=c_TSMOOTHCUT),1,0)</f>
        <v>1</v>
      </c>
      <c r="M30" s="7" t="n">
        <f aca="false">IF(L30=1,0,M29+1)</f>
        <v>0</v>
      </c>
      <c r="N30" s="7" t="n">
        <f aca="false">IF(L30=1,0,MIN(M30,c_TSMOOTH))</f>
        <v>0</v>
      </c>
      <c r="O30" s="7" t="n">
        <f aca="false">IF(COUNTIF($L$5:L30,1)&gt;0,c_TSMOOTHCUT,0)</f>
        <v>400</v>
      </c>
      <c r="P30" s="15" t="n">
        <f aca="true">IF(L30=1,K30,QUOTIENT(SUM(OFFSET(K30,1-N30,0,N30,1))+(c_TSMOOTH-N30)*O30,c_TSMOOTH))</f>
        <v>434</v>
      </c>
      <c r="Q30" s="7" t="n">
        <f aca="false">K30/10</f>
        <v>43.4</v>
      </c>
      <c r="R30" s="7" t="n">
        <f aca="false">P30/10</f>
        <v>43.4</v>
      </c>
    </row>
    <row r="31" customFormat="false" ht="15" hidden="false" customHeight="false" outlineLevel="0" collapsed="false">
      <c r="A31" s="7" t="n">
        <v>26</v>
      </c>
      <c r="B31" s="7" t="n">
        <f aca="false">A31*0.04</f>
        <v>1.04</v>
      </c>
      <c r="C31" s="18" t="n">
        <v>630</v>
      </c>
      <c r="D31" s="7" t="n">
        <f aca="false">IF(AND(C31=0,c_TCREEP&gt;0),10*c_TCREEP,IF(AND(C31&lt;=c_TRNGMIN,C31&gt;=c_TRNGMAX,c_TRNGMIN-c_TRNGMAX&lt;&gt;0),-10*c_TMINRN+QUOTIENT((c_TMAXRN-c_TMINRN)*(100-QUOTIENT((C31-c_TRNGMAX)*100,c_TRNGMIN-c_TRNGMAX)),-10),0))</f>
        <v>0</v>
      </c>
      <c r="E31" s="7" t="n">
        <f aca="false">IF(((c_TMAP1IN)-(c_TFWD))=0,(0)+QUOTIENT(((c_TMAP1OUT)-(0)),2),QUOTIENT((((C31)-(c_TFWD))*((c_TMAP1OUT)-(0))+IF(((c_TMAP1OUT)-(0))&gt;=0,1,-1)*QUOTIENT(((c_TMAP1IN)-(c_TFWD)),2)),((c_TMAP1IN)-(c_TFWD)))+(0)+IF(((c_TMAP1OUT)-(0))&gt;=0,IF(IF(o_WRAP=1,MOD(((c_TMAP1IN)-(c_TFWD))*(((C31)-(c_TFWD))*((c_TMAP1OUT)-(0))+IF(((c_TMAP1OUT)-(0))&gt;=0,1,-1)*QUOTIENT(((c_TMAP1IN)-(c_TFWD)),2))+2147483648,4294967296)-2147483648,((c_TMAP1IN)-(c_TFWD))*(((C31)-(c_TFWD))*((c_TMAP1OUT)-(0))+IF(((c_TMAP1OUT)-(0))&gt;=0,1,-1)*QUOTIENT(((c_TMAP1IN)-(c_TFWD)),2)))&lt;0,-1,0),IF(IF(o_WRAP=1,MOD(((c_TMAP1IN)-(c_TFWD))*(((C31)-(c_TFWD))*((c_TMAP1OUT)-(0))+IF(((c_TMAP1OUT)-(0))&gt;=0,1,-1)*QUOTIENT(((c_TMAP1IN)-(c_TFWD)),2))+2147483648,4294967296)-2147483648,((c_TMAP1IN)-(c_TFWD))*(((C31)-(c_TFWD))*((c_TMAP1OUT)-(0))+IF(((c_TMAP1OUT)-(0))&gt;=0,1,-1)*QUOTIENT(((c_TMAP1IN)-(c_TFWD)),2)))&gt;=0,1,0)))</f>
        <v>482</v>
      </c>
      <c r="F31" s="7" t="n">
        <f aca="false">IF(((c_TMAP2IN)-(c_TMAP1IN))=0,(c_TMAP1OUT)+QUOTIENT(((c_TMAP2OUT)-(c_TMAP1OUT)),2),QUOTIENT((((C31)-(c_TMAP1IN))*((c_TMAP2OUT)-(c_TMAP1OUT))+IF(((c_TMAP2OUT)-(c_TMAP1OUT))&gt;=0,1,-1)*QUOTIENT(((c_TMAP2IN)-(c_TMAP1IN)),2)),((c_TMAP2IN)-(c_TMAP1IN)))+(c_TMAP1OUT)+IF(((c_TMAP2OUT)-(c_TMAP1OUT))&gt;=0,IF(IF(o_WRAP=1,MOD(((c_TMAP2IN)-(c_TMAP1IN))*(((C31)-(c_TMAP1IN))*((c_TMAP2OUT)-(c_TMAP1OUT))+IF(((c_TMAP2OUT)-(c_TMAP1OUT))&gt;=0,1,-1)*QUOTIENT(((c_TMAP2IN)-(c_TMAP1IN)),2))+2147483648,4294967296)-2147483648,((c_TMAP2IN)-(c_TMAP1IN))*(((C31)-(c_TMAP1IN))*((c_TMAP2OUT)-(c_TMAP1OUT))+IF(((c_TMAP2OUT)-(c_TMAP1OUT))&gt;=0,1,-1)*QUOTIENT(((c_TMAP2IN)-(c_TMAP1IN)),2)))&lt;0,-1,0),IF(IF(o_WRAP=1,MOD(((c_TMAP2IN)-(c_TMAP1IN))*(((C31)-(c_TMAP1IN))*((c_TMAP2OUT)-(c_TMAP1OUT))+IF(((c_TMAP2OUT)-(c_TMAP1OUT))&gt;=0,1,-1)*QUOTIENT(((c_TMAP2IN)-(c_TMAP1IN)),2))+2147483648,4294967296)-2147483648,((c_TMAP2IN)-(c_TMAP1IN))*(((C31)-(c_TMAP1IN))*((c_TMAP2OUT)-(c_TMAP1OUT))+IF(((c_TMAP2OUT)-(c_TMAP1OUT))&gt;=0,1,-1)*QUOTIENT(((c_TMAP2IN)-(c_TMAP1IN)),2)))&gt;=0,1,0)))</f>
        <v>282</v>
      </c>
      <c r="G31" s="7" t="n">
        <f aca="false">IF(((c_TMAP3IN)-(c_TMAP2IN))=0,(c_TMAP2OUT)+QUOTIENT(((c_TMAP3OUT)-(c_TMAP2OUT)),2),QUOTIENT((((C31)-(c_TMAP2IN))*((c_TMAP3OUT)-(c_TMAP2OUT))+IF(((c_TMAP3OUT)-(c_TMAP2OUT))&gt;=0,1,-1)*QUOTIENT(((c_TMAP3IN)-(c_TMAP2IN)),2)),((c_TMAP3IN)-(c_TMAP2IN)))+(c_TMAP2OUT)+IF(((c_TMAP3OUT)-(c_TMAP2OUT))&gt;=0,IF(IF(o_WRAP=1,MOD(((c_TMAP3IN)-(c_TMAP2IN))*(((C31)-(c_TMAP2IN))*((c_TMAP3OUT)-(c_TMAP2OUT))+IF(((c_TMAP3OUT)-(c_TMAP2OUT))&gt;=0,1,-1)*QUOTIENT(((c_TMAP3IN)-(c_TMAP2IN)),2))+2147483648,4294967296)-2147483648,((c_TMAP3IN)-(c_TMAP2IN))*(((C31)-(c_TMAP2IN))*((c_TMAP3OUT)-(c_TMAP2OUT))+IF(((c_TMAP3OUT)-(c_TMAP2OUT))&gt;=0,1,-1)*QUOTIENT(((c_TMAP3IN)-(c_TMAP2IN)),2)))&lt;0,-1,0),IF(IF(o_WRAP=1,MOD(((c_TMAP3IN)-(c_TMAP2IN))*(((C31)-(c_TMAP2IN))*((c_TMAP3OUT)-(c_TMAP2OUT))+IF(((c_TMAP3OUT)-(c_TMAP2OUT))&gt;=0,1,-1)*QUOTIENT(((c_TMAP3IN)-(c_TMAP2IN)),2))+2147483648,4294967296)-2147483648,((c_TMAP3IN)-(c_TMAP2IN))*(((C31)-(c_TMAP2IN))*((c_TMAP3OUT)-(c_TMAP2OUT))+IF(((c_TMAP3OUT)-(c_TMAP2OUT))&gt;=0,1,-1)*QUOTIENT(((c_TMAP3IN)-(c_TMAP2IN)),2)))&gt;=0,1,0)))</f>
        <v>396</v>
      </c>
      <c r="H31" s="7" t="n">
        <f aca="false">IF(((1000)-(c_TMAP3IN))=0,(c_TMAP3OUT)+QUOTIENT(((1000)-(c_TMAP3OUT)),2),QUOTIENT((((C31)-(c_TMAP3IN))*((1000)-(c_TMAP3OUT))+IF(((1000)-(c_TMAP3OUT))&gt;=0,1,-1)*QUOTIENT(((1000)-(c_TMAP3IN)),2)),((1000)-(c_TMAP3IN)))+(c_TMAP3OUT)+IF(((1000)-(c_TMAP3OUT))&gt;=0,IF(IF(o_WRAP=1,MOD(((1000)-(c_TMAP3IN))*(((C31)-(c_TMAP3IN))*((1000)-(c_TMAP3OUT))+IF(((1000)-(c_TMAP3OUT))&gt;=0,1,-1)*QUOTIENT(((1000)-(c_TMAP3IN)),2))+2147483648,4294967296)-2147483648,((1000)-(c_TMAP3IN))*(((C31)-(c_TMAP3IN))*((1000)-(c_TMAP3OUT))+IF(((1000)-(c_TMAP3OUT))&gt;=0,1,-1)*QUOTIENT(((1000)-(c_TMAP3IN)),2)))&lt;0,-1,0),IF(IF(o_WRAP=1,MOD(((1000)-(c_TMAP3IN))*(((C31)-(c_TMAP3IN))*((1000)-(c_TMAP3OUT))+IF(((1000)-(c_TMAP3OUT))&gt;=0,1,-1)*QUOTIENT(((1000)-(c_TMAP3IN)),2))+2147483648,4294967296)-2147483648,((1000)-(c_TMAP3IN))*(((C31)-(c_TMAP3IN))*((1000)-(c_TMAP3OUT))+IF(((1000)-(c_TMAP3OUT))&gt;=0,1,-1)*QUOTIENT(((1000)-(c_TMAP3IN)),2)))&gt;=0,1,0)))</f>
        <v>545</v>
      </c>
      <c r="I31" s="7" t="n">
        <f aca="false">IF(C31&gt;=c_TFWD,IF(AND(C31&gt;=c_TMAP3IN,c_TMAP3IN&lt;1000),H31,IF(AND(C31&gt;=c_TMAP2IN,c_TMAP3IN&gt;c_TMAP2IN),G31,IF(AND(C31&gt;=c_TMAP1IN,c_TMAP2IN&gt;c_TMAP1IN),F31,E31))),D31)</f>
        <v>545</v>
      </c>
      <c r="J31" s="7" t="str">
        <f aca="false">IF(I31&lt;-1090,"TOO LOW",IF(I31&gt;1090,"TOO HIGH",""))</f>
        <v/>
      </c>
      <c r="K31" s="7" t="n">
        <f aca="false">IF(J31&lt;&gt;"",0,IF(I31&gt;979,1000,I31))</f>
        <v>545</v>
      </c>
      <c r="L31" s="7" t="n">
        <f aca="false">IF(OR(c_TSMOOTH=0,K31&gt;=c_TSMOOTHCUT),1,0)</f>
        <v>1</v>
      </c>
      <c r="M31" s="7" t="n">
        <f aca="false">IF(L31=1,0,M30+1)</f>
        <v>0</v>
      </c>
      <c r="N31" s="7" t="n">
        <f aca="false">IF(L31=1,0,MIN(M31,c_TSMOOTH))</f>
        <v>0</v>
      </c>
      <c r="O31" s="7" t="n">
        <f aca="false">IF(COUNTIF($L$5:L31,1)&gt;0,c_TSMOOTHCUT,0)</f>
        <v>400</v>
      </c>
      <c r="P31" s="15" t="n">
        <f aca="true">IF(L31=1,K31,QUOTIENT(SUM(OFFSET(K31,1-N31,0,N31,1))+(c_TSMOOTH-N31)*O31,c_TSMOOTH))</f>
        <v>545</v>
      </c>
      <c r="Q31" s="7" t="n">
        <f aca="false">K31/10</f>
        <v>54.5</v>
      </c>
      <c r="R31" s="7" t="n">
        <f aca="false">P31/10</f>
        <v>54.5</v>
      </c>
    </row>
    <row r="32" customFormat="false" ht="15" hidden="false" customHeight="false" outlineLevel="0" collapsed="false">
      <c r="A32" s="7" t="n">
        <v>27</v>
      </c>
      <c r="B32" s="7" t="n">
        <f aca="false">A32*0.04</f>
        <v>1.08</v>
      </c>
      <c r="C32" s="18" t="n">
        <v>720</v>
      </c>
      <c r="D32" s="7" t="n">
        <f aca="false">IF(AND(C32=0,c_TCREEP&gt;0),10*c_TCREEP,IF(AND(C32&lt;=c_TRNGMIN,C32&gt;=c_TRNGMAX,c_TRNGMIN-c_TRNGMAX&lt;&gt;0),-10*c_TMINRN+QUOTIENT((c_TMAXRN-c_TMINRN)*(100-QUOTIENT((C32-c_TRNGMAX)*100,c_TRNGMIN-c_TRNGMAX)),-10),0))</f>
        <v>0</v>
      </c>
      <c r="E32" s="7" t="n">
        <f aca="false">IF(((c_TMAP1IN)-(c_TFWD))=0,(0)+QUOTIENT(((c_TMAP1OUT)-(0)),2),QUOTIENT((((C32)-(c_TFWD))*((c_TMAP1OUT)-(0))+IF(((c_TMAP1OUT)-(0))&gt;=0,1,-1)*QUOTIENT(((c_TMAP1IN)-(c_TFWD)),2)),((c_TMAP1IN)-(c_TFWD)))+(0)+IF(((c_TMAP1OUT)-(0))&gt;=0,IF(IF(o_WRAP=1,MOD(((c_TMAP1IN)-(c_TFWD))*(((C32)-(c_TFWD))*((c_TMAP1OUT)-(0))+IF(((c_TMAP1OUT)-(0))&gt;=0,1,-1)*QUOTIENT(((c_TMAP1IN)-(c_TFWD)),2))+2147483648,4294967296)-2147483648,((c_TMAP1IN)-(c_TFWD))*(((C32)-(c_TFWD))*((c_TMAP1OUT)-(0))+IF(((c_TMAP1OUT)-(0))&gt;=0,1,-1)*QUOTIENT(((c_TMAP1IN)-(c_TFWD)),2)))&lt;0,-1,0),IF(IF(o_WRAP=1,MOD(((c_TMAP1IN)-(c_TFWD))*(((C32)-(c_TFWD))*((c_TMAP1OUT)-(0))+IF(((c_TMAP1OUT)-(0))&gt;=0,1,-1)*QUOTIENT(((c_TMAP1IN)-(c_TFWD)),2))+2147483648,4294967296)-2147483648,((c_TMAP1IN)-(c_TFWD))*(((C32)-(c_TFWD))*((c_TMAP1OUT)-(0))+IF(((c_TMAP1OUT)-(0))&gt;=0,1,-1)*QUOTIENT(((c_TMAP1IN)-(c_TFWD)),2)))&gt;=0,1,0)))</f>
        <v>552</v>
      </c>
      <c r="F32" s="7" t="n">
        <f aca="false">IF(((c_TMAP2IN)-(c_TMAP1IN))=0,(c_TMAP1OUT)+QUOTIENT(((c_TMAP2OUT)-(c_TMAP1OUT)),2),QUOTIENT((((C32)-(c_TMAP1IN))*((c_TMAP2OUT)-(c_TMAP1OUT))+IF(((c_TMAP2OUT)-(c_TMAP1OUT))&gt;=0,1,-1)*QUOTIENT(((c_TMAP2IN)-(c_TMAP1IN)),2)),((c_TMAP2IN)-(c_TMAP1IN)))+(c_TMAP1OUT)+IF(((c_TMAP2OUT)-(c_TMAP1OUT))&gt;=0,IF(IF(o_WRAP=1,MOD(((c_TMAP2IN)-(c_TMAP1IN))*(((C32)-(c_TMAP1IN))*((c_TMAP2OUT)-(c_TMAP1OUT))+IF(((c_TMAP2OUT)-(c_TMAP1OUT))&gt;=0,1,-1)*QUOTIENT(((c_TMAP2IN)-(c_TMAP1IN)),2))+2147483648,4294967296)-2147483648,((c_TMAP2IN)-(c_TMAP1IN))*(((C32)-(c_TMAP1IN))*((c_TMAP2OUT)-(c_TMAP1OUT))+IF(((c_TMAP2OUT)-(c_TMAP1OUT))&gt;=0,1,-1)*QUOTIENT(((c_TMAP2IN)-(c_TMAP1IN)),2)))&lt;0,-1,0),IF(IF(o_WRAP=1,MOD(((c_TMAP2IN)-(c_TMAP1IN))*(((C32)-(c_TMAP1IN))*((c_TMAP2OUT)-(c_TMAP1OUT))+IF(((c_TMAP2OUT)-(c_TMAP1OUT))&gt;=0,1,-1)*QUOTIENT(((c_TMAP2IN)-(c_TMAP1IN)),2))+2147483648,4294967296)-2147483648,((c_TMAP2IN)-(c_TMAP1IN))*(((C32)-(c_TMAP1IN))*((c_TMAP2OUT)-(c_TMAP1OUT))+IF(((c_TMAP2OUT)-(c_TMAP1OUT))&gt;=0,1,-1)*QUOTIENT(((c_TMAP2IN)-(c_TMAP1IN)),2)))&gt;=0,1,0)))</f>
        <v>318</v>
      </c>
      <c r="G32" s="7" t="n">
        <f aca="false">IF(((c_TMAP3IN)-(c_TMAP2IN))=0,(c_TMAP2OUT)+QUOTIENT(((c_TMAP3OUT)-(c_TMAP2OUT)),2),QUOTIENT((((C32)-(c_TMAP2IN))*((c_TMAP3OUT)-(c_TMAP2OUT))+IF(((c_TMAP3OUT)-(c_TMAP2OUT))&gt;=0,1,-1)*QUOTIENT(((c_TMAP3IN)-(c_TMAP2IN)),2)),((c_TMAP3IN)-(c_TMAP2IN)))+(c_TMAP2OUT)+IF(((c_TMAP3OUT)-(c_TMAP2OUT))&gt;=0,IF(IF(o_WRAP=1,MOD(((c_TMAP3IN)-(c_TMAP2IN))*(((C32)-(c_TMAP2IN))*((c_TMAP3OUT)-(c_TMAP2OUT))+IF(((c_TMAP3OUT)-(c_TMAP2OUT))&gt;=0,1,-1)*QUOTIENT(((c_TMAP3IN)-(c_TMAP2IN)),2))+2147483648,4294967296)-2147483648,((c_TMAP3IN)-(c_TMAP2IN))*(((C32)-(c_TMAP2IN))*((c_TMAP3OUT)-(c_TMAP2OUT))+IF(((c_TMAP3OUT)-(c_TMAP2OUT))&gt;=0,1,-1)*QUOTIENT(((c_TMAP3IN)-(c_TMAP2IN)),2)))&lt;0,-1,0),IF(IF(o_WRAP=1,MOD(((c_TMAP3IN)-(c_TMAP2IN))*(((C32)-(c_TMAP2IN))*((c_TMAP3OUT)-(c_TMAP2OUT))+IF(((c_TMAP3OUT)-(c_TMAP2OUT))&gt;=0,1,-1)*QUOTIENT(((c_TMAP3IN)-(c_TMAP2IN)),2))+2147483648,4294967296)-2147483648,((c_TMAP3IN)-(c_TMAP2IN))*(((C32)-(c_TMAP2IN))*((c_TMAP3OUT)-(c_TMAP2OUT))+IF(((c_TMAP3OUT)-(c_TMAP2OUT))&gt;=0,1,-1)*QUOTIENT(((c_TMAP3IN)-(c_TMAP2IN)),2)))&gt;=0,1,0)))</f>
        <v>459</v>
      </c>
      <c r="H32" s="7" t="n">
        <f aca="false">IF(((1000)-(c_TMAP3IN))=0,(c_TMAP3OUT)+QUOTIENT(((1000)-(c_TMAP3OUT)),2),QUOTIENT((((C32)-(c_TMAP3IN))*((1000)-(c_TMAP3OUT))+IF(((1000)-(c_TMAP3OUT))&gt;=0,1,-1)*QUOTIENT(((1000)-(c_TMAP3IN)),2)),((1000)-(c_TMAP3IN)))+(c_TMAP3OUT)+IF(((1000)-(c_TMAP3OUT))&gt;=0,IF(IF(o_WRAP=1,MOD(((1000)-(c_TMAP3IN))*(((C32)-(c_TMAP3IN))*((1000)-(c_TMAP3OUT))+IF(((1000)-(c_TMAP3OUT))&gt;=0,1,-1)*QUOTIENT(((1000)-(c_TMAP3IN)),2))+2147483648,4294967296)-2147483648,((1000)-(c_TMAP3IN))*(((C32)-(c_TMAP3IN))*((1000)-(c_TMAP3OUT))+IF(((1000)-(c_TMAP3OUT))&gt;=0,1,-1)*QUOTIENT(((1000)-(c_TMAP3IN)),2)))&lt;0,-1,0),IF(IF(o_WRAP=1,MOD(((1000)-(c_TMAP3IN))*(((C32)-(c_TMAP3IN))*((1000)-(c_TMAP3OUT))+IF(((1000)-(c_TMAP3OUT))&gt;=0,1,-1)*QUOTIENT(((1000)-(c_TMAP3IN)),2))+2147483648,4294967296)-2147483648,((1000)-(c_TMAP3IN))*(((C32)-(c_TMAP3IN))*((1000)-(c_TMAP3OUT))+IF(((1000)-(c_TMAP3OUT))&gt;=0,1,-1)*QUOTIENT(((1000)-(c_TMAP3IN)),2)))&gt;=0,1,0)))</f>
        <v>655</v>
      </c>
      <c r="I32" s="7" t="n">
        <f aca="false">IF(C32&gt;=c_TFWD,IF(AND(C32&gt;=c_TMAP3IN,c_TMAP3IN&lt;1000),H32,IF(AND(C32&gt;=c_TMAP2IN,c_TMAP3IN&gt;c_TMAP2IN),G32,IF(AND(C32&gt;=c_TMAP1IN,c_TMAP2IN&gt;c_TMAP1IN),F32,E32))),D32)</f>
        <v>655</v>
      </c>
      <c r="J32" s="7" t="str">
        <f aca="false">IF(I32&lt;-1090,"TOO LOW",IF(I32&gt;1090,"TOO HIGH",""))</f>
        <v/>
      </c>
      <c r="K32" s="7" t="n">
        <f aca="false">IF(J32&lt;&gt;"",0,IF(I32&gt;979,1000,I32))</f>
        <v>655</v>
      </c>
      <c r="L32" s="7" t="n">
        <f aca="false">IF(OR(c_TSMOOTH=0,K32&gt;=c_TSMOOTHCUT),1,0)</f>
        <v>1</v>
      </c>
      <c r="M32" s="7" t="n">
        <f aca="false">IF(L32=1,0,M31+1)</f>
        <v>0</v>
      </c>
      <c r="N32" s="7" t="n">
        <f aca="false">IF(L32=1,0,MIN(M32,c_TSMOOTH))</f>
        <v>0</v>
      </c>
      <c r="O32" s="7" t="n">
        <f aca="false">IF(COUNTIF($L$5:L32,1)&gt;0,c_TSMOOTHCUT,0)</f>
        <v>400</v>
      </c>
      <c r="P32" s="15" t="n">
        <f aca="true">IF(L32=1,K32,QUOTIENT(SUM(OFFSET(K32,1-N32,0,N32,1))+(c_TSMOOTH-N32)*O32,c_TSMOOTH))</f>
        <v>655</v>
      </c>
      <c r="Q32" s="7" t="n">
        <f aca="false">K32/10</f>
        <v>65.5</v>
      </c>
      <c r="R32" s="7" t="n">
        <f aca="false">P32/10</f>
        <v>65.5</v>
      </c>
    </row>
    <row r="33" customFormat="false" ht="15" hidden="false" customHeight="false" outlineLevel="0" collapsed="false">
      <c r="A33" s="7" t="n">
        <v>28</v>
      </c>
      <c r="B33" s="7" t="n">
        <f aca="false">A33*0.04</f>
        <v>1.12</v>
      </c>
      <c r="C33" s="18" t="n">
        <v>810</v>
      </c>
      <c r="D33" s="7" t="n">
        <f aca="false">IF(AND(C33=0,c_TCREEP&gt;0),10*c_TCREEP,IF(AND(C33&lt;=c_TRNGMIN,C33&gt;=c_TRNGMAX,c_TRNGMIN-c_TRNGMAX&lt;&gt;0),-10*c_TMINRN+QUOTIENT((c_TMAXRN-c_TMINRN)*(100-QUOTIENT((C33-c_TRNGMAX)*100,c_TRNGMIN-c_TRNGMAX)),-10),0))</f>
        <v>0</v>
      </c>
      <c r="E33" s="7" t="n">
        <f aca="false">IF(((c_TMAP1IN)-(c_TFWD))=0,(0)+QUOTIENT(((c_TMAP1OUT)-(0)),2),QUOTIENT((((C33)-(c_TFWD))*((c_TMAP1OUT)-(0))+IF(((c_TMAP1OUT)-(0))&gt;=0,1,-1)*QUOTIENT(((c_TMAP1IN)-(c_TFWD)),2)),((c_TMAP1IN)-(c_TFWD)))+(0)+IF(((c_TMAP1OUT)-(0))&gt;=0,IF(IF(o_WRAP=1,MOD(((c_TMAP1IN)-(c_TFWD))*(((C33)-(c_TFWD))*((c_TMAP1OUT)-(0))+IF(((c_TMAP1OUT)-(0))&gt;=0,1,-1)*QUOTIENT(((c_TMAP1IN)-(c_TFWD)),2))+2147483648,4294967296)-2147483648,((c_TMAP1IN)-(c_TFWD))*(((C33)-(c_TFWD))*((c_TMAP1OUT)-(0))+IF(((c_TMAP1OUT)-(0))&gt;=0,1,-1)*QUOTIENT(((c_TMAP1IN)-(c_TFWD)),2)))&lt;0,-1,0),IF(IF(o_WRAP=1,MOD(((c_TMAP1IN)-(c_TFWD))*(((C33)-(c_TFWD))*((c_TMAP1OUT)-(0))+IF(((c_TMAP1OUT)-(0))&gt;=0,1,-1)*QUOTIENT(((c_TMAP1IN)-(c_TFWD)),2))+2147483648,4294967296)-2147483648,((c_TMAP1IN)-(c_TFWD))*(((C33)-(c_TFWD))*((c_TMAP1OUT)-(0))+IF(((c_TMAP1OUT)-(0))&gt;=0,1,-1)*QUOTIENT(((c_TMAP1IN)-(c_TFWD)),2)))&gt;=0,1,0)))</f>
        <v>622</v>
      </c>
      <c r="F33" s="7" t="n">
        <f aca="false">IF(((c_TMAP2IN)-(c_TMAP1IN))=0,(c_TMAP1OUT)+QUOTIENT(((c_TMAP2OUT)-(c_TMAP1OUT)),2),QUOTIENT((((C33)-(c_TMAP1IN))*((c_TMAP2OUT)-(c_TMAP1OUT))+IF(((c_TMAP2OUT)-(c_TMAP1OUT))&gt;=0,1,-1)*QUOTIENT(((c_TMAP2IN)-(c_TMAP1IN)),2)),((c_TMAP2IN)-(c_TMAP1IN)))+(c_TMAP1OUT)+IF(((c_TMAP2OUT)-(c_TMAP1OUT))&gt;=0,IF(IF(o_WRAP=1,MOD(((c_TMAP2IN)-(c_TMAP1IN))*(((C33)-(c_TMAP1IN))*((c_TMAP2OUT)-(c_TMAP1OUT))+IF(((c_TMAP2OUT)-(c_TMAP1OUT))&gt;=0,1,-1)*QUOTIENT(((c_TMAP2IN)-(c_TMAP1IN)),2))+2147483648,4294967296)-2147483648,((c_TMAP2IN)-(c_TMAP1IN))*(((C33)-(c_TMAP1IN))*((c_TMAP2OUT)-(c_TMAP1OUT))+IF(((c_TMAP2OUT)-(c_TMAP1OUT))&gt;=0,1,-1)*QUOTIENT(((c_TMAP2IN)-(c_TMAP1IN)),2)))&lt;0,-1,0),IF(IF(o_WRAP=1,MOD(((c_TMAP2IN)-(c_TMAP1IN))*(((C33)-(c_TMAP1IN))*((c_TMAP2OUT)-(c_TMAP1OUT))+IF(((c_TMAP2OUT)-(c_TMAP1OUT))&gt;=0,1,-1)*QUOTIENT(((c_TMAP2IN)-(c_TMAP1IN)),2))+2147483648,4294967296)-2147483648,((c_TMAP2IN)-(c_TMAP1IN))*(((C33)-(c_TMAP1IN))*((c_TMAP2OUT)-(c_TMAP1OUT))+IF(((c_TMAP2OUT)-(c_TMAP1OUT))&gt;=0,1,-1)*QUOTIENT(((c_TMAP2IN)-(c_TMAP1IN)),2)))&gt;=0,1,0)))</f>
        <v>354</v>
      </c>
      <c r="G33" s="7" t="n">
        <f aca="false">IF(((c_TMAP3IN)-(c_TMAP2IN))=0,(c_TMAP2OUT)+QUOTIENT(((c_TMAP3OUT)-(c_TMAP2OUT)),2),QUOTIENT((((C33)-(c_TMAP2IN))*((c_TMAP3OUT)-(c_TMAP2OUT))+IF(((c_TMAP3OUT)-(c_TMAP2OUT))&gt;=0,1,-1)*QUOTIENT(((c_TMAP3IN)-(c_TMAP2IN)),2)),((c_TMAP3IN)-(c_TMAP2IN)))+(c_TMAP2OUT)+IF(((c_TMAP3OUT)-(c_TMAP2OUT))&gt;=0,IF(IF(o_WRAP=1,MOD(((c_TMAP3IN)-(c_TMAP2IN))*(((C33)-(c_TMAP2IN))*((c_TMAP3OUT)-(c_TMAP2OUT))+IF(((c_TMAP3OUT)-(c_TMAP2OUT))&gt;=0,1,-1)*QUOTIENT(((c_TMAP3IN)-(c_TMAP2IN)),2))+2147483648,4294967296)-2147483648,((c_TMAP3IN)-(c_TMAP2IN))*(((C33)-(c_TMAP2IN))*((c_TMAP3OUT)-(c_TMAP2OUT))+IF(((c_TMAP3OUT)-(c_TMAP2OUT))&gt;=0,1,-1)*QUOTIENT(((c_TMAP3IN)-(c_TMAP2IN)),2)))&lt;0,-1,0),IF(IF(o_WRAP=1,MOD(((c_TMAP3IN)-(c_TMAP2IN))*(((C33)-(c_TMAP2IN))*((c_TMAP3OUT)-(c_TMAP2OUT))+IF(((c_TMAP3OUT)-(c_TMAP2OUT))&gt;=0,1,-1)*QUOTIENT(((c_TMAP3IN)-(c_TMAP2IN)),2))+2147483648,4294967296)-2147483648,((c_TMAP3IN)-(c_TMAP2IN))*(((C33)-(c_TMAP2IN))*((c_TMAP3OUT)-(c_TMAP2OUT))+IF(((c_TMAP3OUT)-(c_TMAP2OUT))&gt;=0,1,-1)*QUOTIENT(((c_TMAP3IN)-(c_TMAP2IN)),2)))&gt;=0,1,0)))</f>
        <v>522</v>
      </c>
      <c r="H33" s="7" t="n">
        <f aca="false">IF(((1000)-(c_TMAP3IN))=0,(c_TMAP3OUT)+QUOTIENT(((1000)-(c_TMAP3OUT)),2),QUOTIENT((((C33)-(c_TMAP3IN))*((1000)-(c_TMAP3OUT))+IF(((1000)-(c_TMAP3OUT))&gt;=0,1,-1)*QUOTIENT(((1000)-(c_TMAP3IN)),2)),((1000)-(c_TMAP3IN)))+(c_TMAP3OUT)+IF(((1000)-(c_TMAP3OUT))&gt;=0,IF(IF(o_WRAP=1,MOD(((1000)-(c_TMAP3IN))*(((C33)-(c_TMAP3IN))*((1000)-(c_TMAP3OUT))+IF(((1000)-(c_TMAP3OUT))&gt;=0,1,-1)*QUOTIENT(((1000)-(c_TMAP3IN)),2))+2147483648,4294967296)-2147483648,((1000)-(c_TMAP3IN))*(((C33)-(c_TMAP3IN))*((1000)-(c_TMAP3OUT))+IF(((1000)-(c_TMAP3OUT))&gt;=0,1,-1)*QUOTIENT(((1000)-(c_TMAP3IN)),2)))&lt;0,-1,0),IF(IF(o_WRAP=1,MOD(((1000)-(c_TMAP3IN))*(((C33)-(c_TMAP3IN))*((1000)-(c_TMAP3OUT))+IF(((1000)-(c_TMAP3OUT))&gt;=0,1,-1)*QUOTIENT(((1000)-(c_TMAP3IN)),2))+2147483648,4294967296)-2147483648,((1000)-(c_TMAP3IN))*(((C33)-(c_TMAP3IN))*((1000)-(c_TMAP3OUT))+IF(((1000)-(c_TMAP3OUT))&gt;=0,1,-1)*QUOTIENT(((1000)-(c_TMAP3IN)),2)))&gt;=0,1,0)))</f>
        <v>766</v>
      </c>
      <c r="I33" s="7" t="n">
        <f aca="false">IF(C33&gt;=c_TFWD,IF(AND(C33&gt;=c_TMAP3IN,c_TMAP3IN&lt;1000),H33,IF(AND(C33&gt;=c_TMAP2IN,c_TMAP3IN&gt;c_TMAP2IN),G33,IF(AND(C33&gt;=c_TMAP1IN,c_TMAP2IN&gt;c_TMAP1IN),F33,E33))),D33)</f>
        <v>766</v>
      </c>
      <c r="J33" s="7" t="str">
        <f aca="false">IF(I33&lt;-1090,"TOO LOW",IF(I33&gt;1090,"TOO HIGH",""))</f>
        <v/>
      </c>
      <c r="K33" s="7" t="n">
        <f aca="false">IF(J33&lt;&gt;"",0,IF(I33&gt;979,1000,I33))</f>
        <v>766</v>
      </c>
      <c r="L33" s="7" t="n">
        <f aca="false">IF(OR(c_TSMOOTH=0,K33&gt;=c_TSMOOTHCUT),1,0)</f>
        <v>1</v>
      </c>
      <c r="M33" s="7" t="n">
        <f aca="false">IF(L33=1,0,M32+1)</f>
        <v>0</v>
      </c>
      <c r="N33" s="7" t="n">
        <f aca="false">IF(L33=1,0,MIN(M33,c_TSMOOTH))</f>
        <v>0</v>
      </c>
      <c r="O33" s="7" t="n">
        <f aca="false">IF(COUNTIF($L$5:L33,1)&gt;0,c_TSMOOTHCUT,0)</f>
        <v>400</v>
      </c>
      <c r="P33" s="15" t="n">
        <f aca="true">IF(L33=1,K33,QUOTIENT(SUM(OFFSET(K33,1-N33,0,N33,1))+(c_TSMOOTH-N33)*O33,c_TSMOOTH))</f>
        <v>766</v>
      </c>
      <c r="Q33" s="7" t="n">
        <f aca="false">K33/10</f>
        <v>76.6</v>
      </c>
      <c r="R33" s="7" t="n">
        <f aca="false">P33/10</f>
        <v>76.6</v>
      </c>
    </row>
    <row r="34" customFormat="false" ht="15" hidden="false" customHeight="false" outlineLevel="0" collapsed="false">
      <c r="A34" s="7" t="n">
        <v>29</v>
      </c>
      <c r="B34" s="7" t="n">
        <f aca="false">A34*0.04</f>
        <v>1.16</v>
      </c>
      <c r="C34" s="18" t="n">
        <v>900</v>
      </c>
      <c r="D34" s="7" t="n">
        <f aca="false">IF(AND(C34=0,c_TCREEP&gt;0),10*c_TCREEP,IF(AND(C34&lt;=c_TRNGMIN,C34&gt;=c_TRNGMAX,c_TRNGMIN-c_TRNGMAX&lt;&gt;0),-10*c_TMINRN+QUOTIENT((c_TMAXRN-c_TMINRN)*(100-QUOTIENT((C34-c_TRNGMAX)*100,c_TRNGMIN-c_TRNGMAX)),-10),0))</f>
        <v>0</v>
      </c>
      <c r="E34" s="7" t="n">
        <f aca="false">IF(((c_TMAP1IN)-(c_TFWD))=0,(0)+QUOTIENT(((c_TMAP1OUT)-(0)),2),QUOTIENT((((C34)-(c_TFWD))*((c_TMAP1OUT)-(0))+IF(((c_TMAP1OUT)-(0))&gt;=0,1,-1)*QUOTIENT(((c_TMAP1IN)-(c_TFWD)),2)),((c_TMAP1IN)-(c_TFWD)))+(0)+IF(((c_TMAP1OUT)-(0))&gt;=0,IF(IF(o_WRAP=1,MOD(((c_TMAP1IN)-(c_TFWD))*(((C34)-(c_TFWD))*((c_TMAP1OUT)-(0))+IF(((c_TMAP1OUT)-(0))&gt;=0,1,-1)*QUOTIENT(((c_TMAP1IN)-(c_TFWD)),2))+2147483648,4294967296)-2147483648,((c_TMAP1IN)-(c_TFWD))*(((C34)-(c_TFWD))*((c_TMAP1OUT)-(0))+IF(((c_TMAP1OUT)-(0))&gt;=0,1,-1)*QUOTIENT(((c_TMAP1IN)-(c_TFWD)),2)))&lt;0,-1,0),IF(IF(o_WRAP=1,MOD(((c_TMAP1IN)-(c_TFWD))*(((C34)-(c_TFWD))*((c_TMAP1OUT)-(0))+IF(((c_TMAP1OUT)-(0))&gt;=0,1,-1)*QUOTIENT(((c_TMAP1IN)-(c_TFWD)),2))+2147483648,4294967296)-2147483648,((c_TMAP1IN)-(c_TFWD))*(((C34)-(c_TFWD))*((c_TMAP1OUT)-(0))+IF(((c_TMAP1OUT)-(0))&gt;=0,1,-1)*QUOTIENT(((c_TMAP1IN)-(c_TFWD)),2)))&gt;=0,1,0)))</f>
        <v>692</v>
      </c>
      <c r="F34" s="7" t="n">
        <f aca="false">IF(((c_TMAP2IN)-(c_TMAP1IN))=0,(c_TMAP1OUT)+QUOTIENT(((c_TMAP2OUT)-(c_TMAP1OUT)),2),QUOTIENT((((C34)-(c_TMAP1IN))*((c_TMAP2OUT)-(c_TMAP1OUT))+IF(((c_TMAP2OUT)-(c_TMAP1OUT))&gt;=0,1,-1)*QUOTIENT(((c_TMAP2IN)-(c_TMAP1IN)),2)),((c_TMAP2IN)-(c_TMAP1IN)))+(c_TMAP1OUT)+IF(((c_TMAP2OUT)-(c_TMAP1OUT))&gt;=0,IF(IF(o_WRAP=1,MOD(((c_TMAP2IN)-(c_TMAP1IN))*(((C34)-(c_TMAP1IN))*((c_TMAP2OUT)-(c_TMAP1OUT))+IF(((c_TMAP2OUT)-(c_TMAP1OUT))&gt;=0,1,-1)*QUOTIENT(((c_TMAP2IN)-(c_TMAP1IN)),2))+2147483648,4294967296)-2147483648,((c_TMAP2IN)-(c_TMAP1IN))*(((C34)-(c_TMAP1IN))*((c_TMAP2OUT)-(c_TMAP1OUT))+IF(((c_TMAP2OUT)-(c_TMAP1OUT))&gt;=0,1,-1)*QUOTIENT(((c_TMAP2IN)-(c_TMAP1IN)),2)))&lt;0,-1,0),IF(IF(o_WRAP=1,MOD(((c_TMAP2IN)-(c_TMAP1IN))*(((C34)-(c_TMAP1IN))*((c_TMAP2OUT)-(c_TMAP1OUT))+IF(((c_TMAP2OUT)-(c_TMAP1OUT))&gt;=0,1,-1)*QUOTIENT(((c_TMAP2IN)-(c_TMAP1IN)),2))+2147483648,4294967296)-2147483648,((c_TMAP2IN)-(c_TMAP1IN))*(((C34)-(c_TMAP1IN))*((c_TMAP2OUT)-(c_TMAP1OUT))+IF(((c_TMAP2OUT)-(c_TMAP1OUT))&gt;=0,1,-1)*QUOTIENT(((c_TMAP2IN)-(c_TMAP1IN)),2)))&gt;=0,1,0)))</f>
        <v>390</v>
      </c>
      <c r="G34" s="7" t="n">
        <f aca="false">IF(((c_TMAP3IN)-(c_TMAP2IN))=0,(c_TMAP2OUT)+QUOTIENT(((c_TMAP3OUT)-(c_TMAP2OUT)),2),QUOTIENT((((C34)-(c_TMAP2IN))*((c_TMAP3OUT)-(c_TMAP2OUT))+IF(((c_TMAP3OUT)-(c_TMAP2OUT))&gt;=0,1,-1)*QUOTIENT(((c_TMAP3IN)-(c_TMAP2IN)),2)),((c_TMAP3IN)-(c_TMAP2IN)))+(c_TMAP2OUT)+IF(((c_TMAP3OUT)-(c_TMAP2OUT))&gt;=0,IF(IF(o_WRAP=1,MOD(((c_TMAP3IN)-(c_TMAP2IN))*(((C34)-(c_TMAP2IN))*((c_TMAP3OUT)-(c_TMAP2OUT))+IF(((c_TMAP3OUT)-(c_TMAP2OUT))&gt;=0,1,-1)*QUOTIENT(((c_TMAP3IN)-(c_TMAP2IN)),2))+2147483648,4294967296)-2147483648,((c_TMAP3IN)-(c_TMAP2IN))*(((C34)-(c_TMAP2IN))*((c_TMAP3OUT)-(c_TMAP2OUT))+IF(((c_TMAP3OUT)-(c_TMAP2OUT))&gt;=0,1,-1)*QUOTIENT(((c_TMAP3IN)-(c_TMAP2IN)),2)))&lt;0,-1,0),IF(IF(o_WRAP=1,MOD(((c_TMAP3IN)-(c_TMAP2IN))*(((C34)-(c_TMAP2IN))*((c_TMAP3OUT)-(c_TMAP2OUT))+IF(((c_TMAP3OUT)-(c_TMAP2OUT))&gt;=0,1,-1)*QUOTIENT(((c_TMAP3IN)-(c_TMAP2IN)),2))+2147483648,4294967296)-2147483648,((c_TMAP3IN)-(c_TMAP2IN))*(((C34)-(c_TMAP2IN))*((c_TMAP3OUT)-(c_TMAP2OUT))+IF(((c_TMAP3OUT)-(c_TMAP2OUT))&gt;=0,1,-1)*QUOTIENT(((c_TMAP3IN)-(c_TMAP2IN)),2)))&gt;=0,1,0)))</f>
        <v>585</v>
      </c>
      <c r="H34" s="7" t="n">
        <f aca="false">IF(((1000)-(c_TMAP3IN))=0,(c_TMAP3OUT)+QUOTIENT(((1000)-(c_TMAP3OUT)),2),QUOTIENT((((C34)-(c_TMAP3IN))*((1000)-(c_TMAP3OUT))+IF(((1000)-(c_TMAP3OUT))&gt;=0,1,-1)*QUOTIENT(((1000)-(c_TMAP3IN)),2)),((1000)-(c_TMAP3IN)))+(c_TMAP3OUT)+IF(((1000)-(c_TMAP3OUT))&gt;=0,IF(IF(o_WRAP=1,MOD(((1000)-(c_TMAP3IN))*(((C34)-(c_TMAP3IN))*((1000)-(c_TMAP3OUT))+IF(((1000)-(c_TMAP3OUT))&gt;=0,1,-1)*QUOTIENT(((1000)-(c_TMAP3IN)),2))+2147483648,4294967296)-2147483648,((1000)-(c_TMAP3IN))*(((C34)-(c_TMAP3IN))*((1000)-(c_TMAP3OUT))+IF(((1000)-(c_TMAP3OUT))&gt;=0,1,-1)*QUOTIENT(((1000)-(c_TMAP3IN)),2)))&lt;0,-1,0),IF(IF(o_WRAP=1,MOD(((1000)-(c_TMAP3IN))*(((C34)-(c_TMAP3IN))*((1000)-(c_TMAP3OUT))+IF(((1000)-(c_TMAP3OUT))&gt;=0,1,-1)*QUOTIENT(((1000)-(c_TMAP3IN)),2))+2147483648,4294967296)-2147483648,((1000)-(c_TMAP3IN))*(((C34)-(c_TMAP3IN))*((1000)-(c_TMAP3OUT))+IF(((1000)-(c_TMAP3OUT))&gt;=0,1,-1)*QUOTIENT(((1000)-(c_TMAP3IN)),2)))&gt;=0,1,0)))</f>
        <v>877</v>
      </c>
      <c r="I34" s="7" t="n">
        <f aca="false">IF(C34&gt;=c_TFWD,IF(AND(C34&gt;=c_TMAP3IN,c_TMAP3IN&lt;1000),H34,IF(AND(C34&gt;=c_TMAP2IN,c_TMAP3IN&gt;c_TMAP2IN),G34,IF(AND(C34&gt;=c_TMAP1IN,c_TMAP2IN&gt;c_TMAP1IN),F34,E34))),D34)</f>
        <v>877</v>
      </c>
      <c r="J34" s="7" t="str">
        <f aca="false">IF(I34&lt;-1090,"TOO LOW",IF(I34&gt;1090,"TOO HIGH",""))</f>
        <v/>
      </c>
      <c r="K34" s="7" t="n">
        <f aca="false">IF(J34&lt;&gt;"",0,IF(I34&gt;979,1000,I34))</f>
        <v>877</v>
      </c>
      <c r="L34" s="7" t="n">
        <f aca="false">IF(OR(c_TSMOOTH=0,K34&gt;=c_TSMOOTHCUT),1,0)</f>
        <v>1</v>
      </c>
      <c r="M34" s="7" t="n">
        <f aca="false">IF(L34=1,0,M33+1)</f>
        <v>0</v>
      </c>
      <c r="N34" s="7" t="n">
        <f aca="false">IF(L34=1,0,MIN(M34,c_TSMOOTH))</f>
        <v>0</v>
      </c>
      <c r="O34" s="7" t="n">
        <f aca="false">IF(COUNTIF($L$5:L34,1)&gt;0,c_TSMOOTHCUT,0)</f>
        <v>400</v>
      </c>
      <c r="P34" s="15" t="n">
        <f aca="true">IF(L34=1,K34,QUOTIENT(SUM(OFFSET(K34,1-N34,0,N34,1))+(c_TSMOOTH-N34)*O34,c_TSMOOTH))</f>
        <v>877</v>
      </c>
      <c r="Q34" s="7" t="n">
        <f aca="false">K34/10</f>
        <v>87.7</v>
      </c>
      <c r="R34" s="7" t="n">
        <f aca="false">P34/10</f>
        <v>87.7</v>
      </c>
    </row>
    <row r="35" customFormat="false" ht="15" hidden="false" customHeight="false" outlineLevel="0" collapsed="false">
      <c r="A35" s="7" t="n">
        <v>30</v>
      </c>
      <c r="B35" s="7" t="n">
        <f aca="false">A35*0.04</f>
        <v>1.2</v>
      </c>
      <c r="C35" s="18" t="n">
        <v>900</v>
      </c>
      <c r="D35" s="7" t="n">
        <f aca="false">IF(AND(C35=0,c_TCREEP&gt;0),10*c_TCREEP,IF(AND(C35&lt;=c_TRNGMIN,C35&gt;=c_TRNGMAX,c_TRNGMIN-c_TRNGMAX&lt;&gt;0),-10*c_TMINRN+QUOTIENT((c_TMAXRN-c_TMINRN)*(100-QUOTIENT((C35-c_TRNGMAX)*100,c_TRNGMIN-c_TRNGMAX)),-10),0))</f>
        <v>0</v>
      </c>
      <c r="E35" s="7" t="n">
        <f aca="false">IF(((c_TMAP1IN)-(c_TFWD))=0,(0)+QUOTIENT(((c_TMAP1OUT)-(0)),2),QUOTIENT((((C35)-(c_TFWD))*((c_TMAP1OUT)-(0))+IF(((c_TMAP1OUT)-(0))&gt;=0,1,-1)*QUOTIENT(((c_TMAP1IN)-(c_TFWD)),2)),((c_TMAP1IN)-(c_TFWD)))+(0)+IF(((c_TMAP1OUT)-(0))&gt;=0,IF(IF(o_WRAP=1,MOD(((c_TMAP1IN)-(c_TFWD))*(((C35)-(c_TFWD))*((c_TMAP1OUT)-(0))+IF(((c_TMAP1OUT)-(0))&gt;=0,1,-1)*QUOTIENT(((c_TMAP1IN)-(c_TFWD)),2))+2147483648,4294967296)-2147483648,((c_TMAP1IN)-(c_TFWD))*(((C35)-(c_TFWD))*((c_TMAP1OUT)-(0))+IF(((c_TMAP1OUT)-(0))&gt;=0,1,-1)*QUOTIENT(((c_TMAP1IN)-(c_TFWD)),2)))&lt;0,-1,0),IF(IF(o_WRAP=1,MOD(((c_TMAP1IN)-(c_TFWD))*(((C35)-(c_TFWD))*((c_TMAP1OUT)-(0))+IF(((c_TMAP1OUT)-(0))&gt;=0,1,-1)*QUOTIENT(((c_TMAP1IN)-(c_TFWD)),2))+2147483648,4294967296)-2147483648,((c_TMAP1IN)-(c_TFWD))*(((C35)-(c_TFWD))*((c_TMAP1OUT)-(0))+IF(((c_TMAP1OUT)-(0))&gt;=0,1,-1)*QUOTIENT(((c_TMAP1IN)-(c_TFWD)),2)))&gt;=0,1,0)))</f>
        <v>692</v>
      </c>
      <c r="F35" s="7" t="n">
        <f aca="false">IF(((c_TMAP2IN)-(c_TMAP1IN))=0,(c_TMAP1OUT)+QUOTIENT(((c_TMAP2OUT)-(c_TMAP1OUT)),2),QUOTIENT((((C35)-(c_TMAP1IN))*((c_TMAP2OUT)-(c_TMAP1OUT))+IF(((c_TMAP2OUT)-(c_TMAP1OUT))&gt;=0,1,-1)*QUOTIENT(((c_TMAP2IN)-(c_TMAP1IN)),2)),((c_TMAP2IN)-(c_TMAP1IN)))+(c_TMAP1OUT)+IF(((c_TMAP2OUT)-(c_TMAP1OUT))&gt;=0,IF(IF(o_WRAP=1,MOD(((c_TMAP2IN)-(c_TMAP1IN))*(((C35)-(c_TMAP1IN))*((c_TMAP2OUT)-(c_TMAP1OUT))+IF(((c_TMAP2OUT)-(c_TMAP1OUT))&gt;=0,1,-1)*QUOTIENT(((c_TMAP2IN)-(c_TMAP1IN)),2))+2147483648,4294967296)-2147483648,((c_TMAP2IN)-(c_TMAP1IN))*(((C35)-(c_TMAP1IN))*((c_TMAP2OUT)-(c_TMAP1OUT))+IF(((c_TMAP2OUT)-(c_TMAP1OUT))&gt;=0,1,-1)*QUOTIENT(((c_TMAP2IN)-(c_TMAP1IN)),2)))&lt;0,-1,0),IF(IF(o_WRAP=1,MOD(((c_TMAP2IN)-(c_TMAP1IN))*(((C35)-(c_TMAP1IN))*((c_TMAP2OUT)-(c_TMAP1OUT))+IF(((c_TMAP2OUT)-(c_TMAP1OUT))&gt;=0,1,-1)*QUOTIENT(((c_TMAP2IN)-(c_TMAP1IN)),2))+2147483648,4294967296)-2147483648,((c_TMAP2IN)-(c_TMAP1IN))*(((C35)-(c_TMAP1IN))*((c_TMAP2OUT)-(c_TMAP1OUT))+IF(((c_TMAP2OUT)-(c_TMAP1OUT))&gt;=0,1,-1)*QUOTIENT(((c_TMAP2IN)-(c_TMAP1IN)),2)))&gt;=0,1,0)))</f>
        <v>390</v>
      </c>
      <c r="G35" s="7" t="n">
        <f aca="false">IF(((c_TMAP3IN)-(c_TMAP2IN))=0,(c_TMAP2OUT)+QUOTIENT(((c_TMAP3OUT)-(c_TMAP2OUT)),2),QUOTIENT((((C35)-(c_TMAP2IN))*((c_TMAP3OUT)-(c_TMAP2OUT))+IF(((c_TMAP3OUT)-(c_TMAP2OUT))&gt;=0,1,-1)*QUOTIENT(((c_TMAP3IN)-(c_TMAP2IN)),2)),((c_TMAP3IN)-(c_TMAP2IN)))+(c_TMAP2OUT)+IF(((c_TMAP3OUT)-(c_TMAP2OUT))&gt;=0,IF(IF(o_WRAP=1,MOD(((c_TMAP3IN)-(c_TMAP2IN))*(((C35)-(c_TMAP2IN))*((c_TMAP3OUT)-(c_TMAP2OUT))+IF(((c_TMAP3OUT)-(c_TMAP2OUT))&gt;=0,1,-1)*QUOTIENT(((c_TMAP3IN)-(c_TMAP2IN)),2))+2147483648,4294967296)-2147483648,((c_TMAP3IN)-(c_TMAP2IN))*(((C35)-(c_TMAP2IN))*((c_TMAP3OUT)-(c_TMAP2OUT))+IF(((c_TMAP3OUT)-(c_TMAP2OUT))&gt;=0,1,-1)*QUOTIENT(((c_TMAP3IN)-(c_TMAP2IN)),2)))&lt;0,-1,0),IF(IF(o_WRAP=1,MOD(((c_TMAP3IN)-(c_TMAP2IN))*(((C35)-(c_TMAP2IN))*((c_TMAP3OUT)-(c_TMAP2OUT))+IF(((c_TMAP3OUT)-(c_TMAP2OUT))&gt;=0,1,-1)*QUOTIENT(((c_TMAP3IN)-(c_TMAP2IN)),2))+2147483648,4294967296)-2147483648,((c_TMAP3IN)-(c_TMAP2IN))*(((C35)-(c_TMAP2IN))*((c_TMAP3OUT)-(c_TMAP2OUT))+IF(((c_TMAP3OUT)-(c_TMAP2OUT))&gt;=0,1,-1)*QUOTIENT(((c_TMAP3IN)-(c_TMAP2IN)),2)))&gt;=0,1,0)))</f>
        <v>585</v>
      </c>
      <c r="H35" s="7" t="n">
        <f aca="false">IF(((1000)-(c_TMAP3IN))=0,(c_TMAP3OUT)+QUOTIENT(((1000)-(c_TMAP3OUT)),2),QUOTIENT((((C35)-(c_TMAP3IN))*((1000)-(c_TMAP3OUT))+IF(((1000)-(c_TMAP3OUT))&gt;=0,1,-1)*QUOTIENT(((1000)-(c_TMAP3IN)),2)),((1000)-(c_TMAP3IN)))+(c_TMAP3OUT)+IF(((1000)-(c_TMAP3OUT))&gt;=0,IF(IF(o_WRAP=1,MOD(((1000)-(c_TMAP3IN))*(((C35)-(c_TMAP3IN))*((1000)-(c_TMAP3OUT))+IF(((1000)-(c_TMAP3OUT))&gt;=0,1,-1)*QUOTIENT(((1000)-(c_TMAP3IN)),2))+2147483648,4294967296)-2147483648,((1000)-(c_TMAP3IN))*(((C35)-(c_TMAP3IN))*((1000)-(c_TMAP3OUT))+IF(((1000)-(c_TMAP3OUT))&gt;=0,1,-1)*QUOTIENT(((1000)-(c_TMAP3IN)),2)))&lt;0,-1,0),IF(IF(o_WRAP=1,MOD(((1000)-(c_TMAP3IN))*(((C35)-(c_TMAP3IN))*((1000)-(c_TMAP3OUT))+IF(((1000)-(c_TMAP3OUT))&gt;=0,1,-1)*QUOTIENT(((1000)-(c_TMAP3IN)),2))+2147483648,4294967296)-2147483648,((1000)-(c_TMAP3IN))*(((C35)-(c_TMAP3IN))*((1000)-(c_TMAP3OUT))+IF(((1000)-(c_TMAP3OUT))&gt;=0,1,-1)*QUOTIENT(((1000)-(c_TMAP3IN)),2)))&gt;=0,1,0)))</f>
        <v>877</v>
      </c>
      <c r="I35" s="7" t="n">
        <f aca="false">IF(C35&gt;=c_TFWD,IF(AND(C35&gt;=c_TMAP3IN,c_TMAP3IN&lt;1000),H35,IF(AND(C35&gt;=c_TMAP2IN,c_TMAP3IN&gt;c_TMAP2IN),G35,IF(AND(C35&gt;=c_TMAP1IN,c_TMAP2IN&gt;c_TMAP1IN),F35,E35))),D35)</f>
        <v>877</v>
      </c>
      <c r="J35" s="7" t="str">
        <f aca="false">IF(I35&lt;-1090,"TOO LOW",IF(I35&gt;1090,"TOO HIGH",""))</f>
        <v/>
      </c>
      <c r="K35" s="7" t="n">
        <f aca="false">IF(J35&lt;&gt;"",0,IF(I35&gt;979,1000,I35))</f>
        <v>877</v>
      </c>
      <c r="L35" s="7" t="n">
        <f aca="false">IF(OR(c_TSMOOTH=0,K35&gt;=c_TSMOOTHCUT),1,0)</f>
        <v>1</v>
      </c>
      <c r="M35" s="7" t="n">
        <f aca="false">IF(L35=1,0,M34+1)</f>
        <v>0</v>
      </c>
      <c r="N35" s="7" t="n">
        <f aca="false">IF(L35=1,0,MIN(M35,c_TSMOOTH))</f>
        <v>0</v>
      </c>
      <c r="O35" s="7" t="n">
        <f aca="false">IF(COUNTIF($L$5:L35,1)&gt;0,c_TSMOOTHCUT,0)</f>
        <v>400</v>
      </c>
      <c r="P35" s="15" t="n">
        <f aca="true">IF(L35=1,K35,QUOTIENT(SUM(OFFSET(K35,1-N35,0,N35,1))+(c_TSMOOTH-N35)*O35,c_TSMOOTH))</f>
        <v>877</v>
      </c>
      <c r="Q35" s="7" t="n">
        <f aca="false">K35/10</f>
        <v>87.7</v>
      </c>
      <c r="R35" s="7" t="n">
        <f aca="false">P35/10</f>
        <v>87.7</v>
      </c>
    </row>
    <row r="36" customFormat="false" ht="15" hidden="false" customHeight="false" outlineLevel="0" collapsed="false">
      <c r="A36" s="7" t="n">
        <v>31</v>
      </c>
      <c r="B36" s="7" t="n">
        <f aca="false">A36*0.04</f>
        <v>1.24</v>
      </c>
      <c r="C36" s="18" t="n">
        <v>900</v>
      </c>
      <c r="D36" s="7" t="n">
        <f aca="false">IF(AND(C36=0,c_TCREEP&gt;0),10*c_TCREEP,IF(AND(C36&lt;=c_TRNGMIN,C36&gt;=c_TRNGMAX,c_TRNGMIN-c_TRNGMAX&lt;&gt;0),-10*c_TMINRN+QUOTIENT((c_TMAXRN-c_TMINRN)*(100-QUOTIENT((C36-c_TRNGMAX)*100,c_TRNGMIN-c_TRNGMAX)),-10),0))</f>
        <v>0</v>
      </c>
      <c r="E36" s="7" t="n">
        <f aca="false">IF(((c_TMAP1IN)-(c_TFWD))=0,(0)+QUOTIENT(((c_TMAP1OUT)-(0)),2),QUOTIENT((((C36)-(c_TFWD))*((c_TMAP1OUT)-(0))+IF(((c_TMAP1OUT)-(0))&gt;=0,1,-1)*QUOTIENT(((c_TMAP1IN)-(c_TFWD)),2)),((c_TMAP1IN)-(c_TFWD)))+(0)+IF(((c_TMAP1OUT)-(0))&gt;=0,IF(IF(o_WRAP=1,MOD(((c_TMAP1IN)-(c_TFWD))*(((C36)-(c_TFWD))*((c_TMAP1OUT)-(0))+IF(((c_TMAP1OUT)-(0))&gt;=0,1,-1)*QUOTIENT(((c_TMAP1IN)-(c_TFWD)),2))+2147483648,4294967296)-2147483648,((c_TMAP1IN)-(c_TFWD))*(((C36)-(c_TFWD))*((c_TMAP1OUT)-(0))+IF(((c_TMAP1OUT)-(0))&gt;=0,1,-1)*QUOTIENT(((c_TMAP1IN)-(c_TFWD)),2)))&lt;0,-1,0),IF(IF(o_WRAP=1,MOD(((c_TMAP1IN)-(c_TFWD))*(((C36)-(c_TFWD))*((c_TMAP1OUT)-(0))+IF(((c_TMAP1OUT)-(0))&gt;=0,1,-1)*QUOTIENT(((c_TMAP1IN)-(c_TFWD)),2))+2147483648,4294967296)-2147483648,((c_TMAP1IN)-(c_TFWD))*(((C36)-(c_TFWD))*((c_TMAP1OUT)-(0))+IF(((c_TMAP1OUT)-(0))&gt;=0,1,-1)*QUOTIENT(((c_TMAP1IN)-(c_TFWD)),2)))&gt;=0,1,0)))</f>
        <v>692</v>
      </c>
      <c r="F36" s="7" t="n">
        <f aca="false">IF(((c_TMAP2IN)-(c_TMAP1IN))=0,(c_TMAP1OUT)+QUOTIENT(((c_TMAP2OUT)-(c_TMAP1OUT)),2),QUOTIENT((((C36)-(c_TMAP1IN))*((c_TMAP2OUT)-(c_TMAP1OUT))+IF(((c_TMAP2OUT)-(c_TMAP1OUT))&gt;=0,1,-1)*QUOTIENT(((c_TMAP2IN)-(c_TMAP1IN)),2)),((c_TMAP2IN)-(c_TMAP1IN)))+(c_TMAP1OUT)+IF(((c_TMAP2OUT)-(c_TMAP1OUT))&gt;=0,IF(IF(o_WRAP=1,MOD(((c_TMAP2IN)-(c_TMAP1IN))*(((C36)-(c_TMAP1IN))*((c_TMAP2OUT)-(c_TMAP1OUT))+IF(((c_TMAP2OUT)-(c_TMAP1OUT))&gt;=0,1,-1)*QUOTIENT(((c_TMAP2IN)-(c_TMAP1IN)),2))+2147483648,4294967296)-2147483648,((c_TMAP2IN)-(c_TMAP1IN))*(((C36)-(c_TMAP1IN))*((c_TMAP2OUT)-(c_TMAP1OUT))+IF(((c_TMAP2OUT)-(c_TMAP1OUT))&gt;=0,1,-1)*QUOTIENT(((c_TMAP2IN)-(c_TMAP1IN)),2)))&lt;0,-1,0),IF(IF(o_WRAP=1,MOD(((c_TMAP2IN)-(c_TMAP1IN))*(((C36)-(c_TMAP1IN))*((c_TMAP2OUT)-(c_TMAP1OUT))+IF(((c_TMAP2OUT)-(c_TMAP1OUT))&gt;=0,1,-1)*QUOTIENT(((c_TMAP2IN)-(c_TMAP1IN)),2))+2147483648,4294967296)-2147483648,((c_TMAP2IN)-(c_TMAP1IN))*(((C36)-(c_TMAP1IN))*((c_TMAP2OUT)-(c_TMAP1OUT))+IF(((c_TMAP2OUT)-(c_TMAP1OUT))&gt;=0,1,-1)*QUOTIENT(((c_TMAP2IN)-(c_TMAP1IN)),2)))&gt;=0,1,0)))</f>
        <v>390</v>
      </c>
      <c r="G36" s="7" t="n">
        <f aca="false">IF(((c_TMAP3IN)-(c_TMAP2IN))=0,(c_TMAP2OUT)+QUOTIENT(((c_TMAP3OUT)-(c_TMAP2OUT)),2),QUOTIENT((((C36)-(c_TMAP2IN))*((c_TMAP3OUT)-(c_TMAP2OUT))+IF(((c_TMAP3OUT)-(c_TMAP2OUT))&gt;=0,1,-1)*QUOTIENT(((c_TMAP3IN)-(c_TMAP2IN)),2)),((c_TMAP3IN)-(c_TMAP2IN)))+(c_TMAP2OUT)+IF(((c_TMAP3OUT)-(c_TMAP2OUT))&gt;=0,IF(IF(o_WRAP=1,MOD(((c_TMAP3IN)-(c_TMAP2IN))*(((C36)-(c_TMAP2IN))*((c_TMAP3OUT)-(c_TMAP2OUT))+IF(((c_TMAP3OUT)-(c_TMAP2OUT))&gt;=0,1,-1)*QUOTIENT(((c_TMAP3IN)-(c_TMAP2IN)),2))+2147483648,4294967296)-2147483648,((c_TMAP3IN)-(c_TMAP2IN))*(((C36)-(c_TMAP2IN))*((c_TMAP3OUT)-(c_TMAP2OUT))+IF(((c_TMAP3OUT)-(c_TMAP2OUT))&gt;=0,1,-1)*QUOTIENT(((c_TMAP3IN)-(c_TMAP2IN)),2)))&lt;0,-1,0),IF(IF(o_WRAP=1,MOD(((c_TMAP3IN)-(c_TMAP2IN))*(((C36)-(c_TMAP2IN))*((c_TMAP3OUT)-(c_TMAP2OUT))+IF(((c_TMAP3OUT)-(c_TMAP2OUT))&gt;=0,1,-1)*QUOTIENT(((c_TMAP3IN)-(c_TMAP2IN)),2))+2147483648,4294967296)-2147483648,((c_TMAP3IN)-(c_TMAP2IN))*(((C36)-(c_TMAP2IN))*((c_TMAP3OUT)-(c_TMAP2OUT))+IF(((c_TMAP3OUT)-(c_TMAP2OUT))&gt;=0,1,-1)*QUOTIENT(((c_TMAP3IN)-(c_TMAP2IN)),2)))&gt;=0,1,0)))</f>
        <v>585</v>
      </c>
      <c r="H36" s="7" t="n">
        <f aca="false">IF(((1000)-(c_TMAP3IN))=0,(c_TMAP3OUT)+QUOTIENT(((1000)-(c_TMAP3OUT)),2),QUOTIENT((((C36)-(c_TMAP3IN))*((1000)-(c_TMAP3OUT))+IF(((1000)-(c_TMAP3OUT))&gt;=0,1,-1)*QUOTIENT(((1000)-(c_TMAP3IN)),2)),((1000)-(c_TMAP3IN)))+(c_TMAP3OUT)+IF(((1000)-(c_TMAP3OUT))&gt;=0,IF(IF(o_WRAP=1,MOD(((1000)-(c_TMAP3IN))*(((C36)-(c_TMAP3IN))*((1000)-(c_TMAP3OUT))+IF(((1000)-(c_TMAP3OUT))&gt;=0,1,-1)*QUOTIENT(((1000)-(c_TMAP3IN)),2))+2147483648,4294967296)-2147483648,((1000)-(c_TMAP3IN))*(((C36)-(c_TMAP3IN))*((1000)-(c_TMAP3OUT))+IF(((1000)-(c_TMAP3OUT))&gt;=0,1,-1)*QUOTIENT(((1000)-(c_TMAP3IN)),2)))&lt;0,-1,0),IF(IF(o_WRAP=1,MOD(((1000)-(c_TMAP3IN))*(((C36)-(c_TMAP3IN))*((1000)-(c_TMAP3OUT))+IF(((1000)-(c_TMAP3OUT))&gt;=0,1,-1)*QUOTIENT(((1000)-(c_TMAP3IN)),2))+2147483648,4294967296)-2147483648,((1000)-(c_TMAP3IN))*(((C36)-(c_TMAP3IN))*((1000)-(c_TMAP3OUT))+IF(((1000)-(c_TMAP3OUT))&gt;=0,1,-1)*QUOTIENT(((1000)-(c_TMAP3IN)),2)))&gt;=0,1,0)))</f>
        <v>877</v>
      </c>
      <c r="I36" s="7" t="n">
        <f aca="false">IF(C36&gt;=c_TFWD,IF(AND(C36&gt;=c_TMAP3IN,c_TMAP3IN&lt;1000),H36,IF(AND(C36&gt;=c_TMAP2IN,c_TMAP3IN&gt;c_TMAP2IN),G36,IF(AND(C36&gt;=c_TMAP1IN,c_TMAP2IN&gt;c_TMAP1IN),F36,E36))),D36)</f>
        <v>877</v>
      </c>
      <c r="J36" s="7" t="str">
        <f aca="false">IF(I36&lt;-1090,"TOO LOW",IF(I36&gt;1090,"TOO HIGH",""))</f>
        <v/>
      </c>
      <c r="K36" s="7" t="n">
        <f aca="false">IF(J36&lt;&gt;"",0,IF(I36&gt;979,1000,I36))</f>
        <v>877</v>
      </c>
      <c r="L36" s="7" t="n">
        <f aca="false">IF(OR(c_TSMOOTH=0,K36&gt;=c_TSMOOTHCUT),1,0)</f>
        <v>1</v>
      </c>
      <c r="M36" s="7" t="n">
        <f aca="false">IF(L36=1,0,M35+1)</f>
        <v>0</v>
      </c>
      <c r="N36" s="7" t="n">
        <f aca="false">IF(L36=1,0,MIN(M36,c_TSMOOTH))</f>
        <v>0</v>
      </c>
      <c r="O36" s="7" t="n">
        <f aca="false">IF(COUNTIF($L$5:L36,1)&gt;0,c_TSMOOTHCUT,0)</f>
        <v>400</v>
      </c>
      <c r="P36" s="15" t="n">
        <f aca="true">IF(L36=1,K36,QUOTIENT(SUM(OFFSET(K36,1-N36,0,N36,1))+(c_TSMOOTH-N36)*O36,c_TSMOOTH))</f>
        <v>877</v>
      </c>
      <c r="Q36" s="7" t="n">
        <f aca="false">K36/10</f>
        <v>87.7</v>
      </c>
      <c r="R36" s="7" t="n">
        <f aca="false">P36/10</f>
        <v>87.7</v>
      </c>
    </row>
    <row r="37" customFormat="false" ht="15" hidden="false" customHeight="false" outlineLevel="0" collapsed="false">
      <c r="A37" s="7" t="n">
        <v>32</v>
      </c>
      <c r="B37" s="7" t="n">
        <f aca="false">A37*0.04</f>
        <v>1.28</v>
      </c>
      <c r="C37" s="18" t="n">
        <v>900</v>
      </c>
      <c r="D37" s="7" t="n">
        <f aca="false">IF(AND(C37=0,c_TCREEP&gt;0),10*c_TCREEP,IF(AND(C37&lt;=c_TRNGMIN,C37&gt;=c_TRNGMAX,c_TRNGMIN-c_TRNGMAX&lt;&gt;0),-10*c_TMINRN+QUOTIENT((c_TMAXRN-c_TMINRN)*(100-QUOTIENT((C37-c_TRNGMAX)*100,c_TRNGMIN-c_TRNGMAX)),-10),0))</f>
        <v>0</v>
      </c>
      <c r="E37" s="7" t="n">
        <f aca="false">IF(((c_TMAP1IN)-(c_TFWD))=0,(0)+QUOTIENT(((c_TMAP1OUT)-(0)),2),QUOTIENT((((C37)-(c_TFWD))*((c_TMAP1OUT)-(0))+IF(((c_TMAP1OUT)-(0))&gt;=0,1,-1)*QUOTIENT(((c_TMAP1IN)-(c_TFWD)),2)),((c_TMAP1IN)-(c_TFWD)))+(0)+IF(((c_TMAP1OUT)-(0))&gt;=0,IF(IF(o_WRAP=1,MOD(((c_TMAP1IN)-(c_TFWD))*(((C37)-(c_TFWD))*((c_TMAP1OUT)-(0))+IF(((c_TMAP1OUT)-(0))&gt;=0,1,-1)*QUOTIENT(((c_TMAP1IN)-(c_TFWD)),2))+2147483648,4294967296)-2147483648,((c_TMAP1IN)-(c_TFWD))*(((C37)-(c_TFWD))*((c_TMAP1OUT)-(0))+IF(((c_TMAP1OUT)-(0))&gt;=0,1,-1)*QUOTIENT(((c_TMAP1IN)-(c_TFWD)),2)))&lt;0,-1,0),IF(IF(o_WRAP=1,MOD(((c_TMAP1IN)-(c_TFWD))*(((C37)-(c_TFWD))*((c_TMAP1OUT)-(0))+IF(((c_TMAP1OUT)-(0))&gt;=0,1,-1)*QUOTIENT(((c_TMAP1IN)-(c_TFWD)),2))+2147483648,4294967296)-2147483648,((c_TMAP1IN)-(c_TFWD))*(((C37)-(c_TFWD))*((c_TMAP1OUT)-(0))+IF(((c_TMAP1OUT)-(0))&gt;=0,1,-1)*QUOTIENT(((c_TMAP1IN)-(c_TFWD)),2)))&gt;=0,1,0)))</f>
        <v>692</v>
      </c>
      <c r="F37" s="7" t="n">
        <f aca="false">IF(((c_TMAP2IN)-(c_TMAP1IN))=0,(c_TMAP1OUT)+QUOTIENT(((c_TMAP2OUT)-(c_TMAP1OUT)),2),QUOTIENT((((C37)-(c_TMAP1IN))*((c_TMAP2OUT)-(c_TMAP1OUT))+IF(((c_TMAP2OUT)-(c_TMAP1OUT))&gt;=0,1,-1)*QUOTIENT(((c_TMAP2IN)-(c_TMAP1IN)),2)),((c_TMAP2IN)-(c_TMAP1IN)))+(c_TMAP1OUT)+IF(((c_TMAP2OUT)-(c_TMAP1OUT))&gt;=0,IF(IF(o_WRAP=1,MOD(((c_TMAP2IN)-(c_TMAP1IN))*(((C37)-(c_TMAP1IN))*((c_TMAP2OUT)-(c_TMAP1OUT))+IF(((c_TMAP2OUT)-(c_TMAP1OUT))&gt;=0,1,-1)*QUOTIENT(((c_TMAP2IN)-(c_TMAP1IN)),2))+2147483648,4294967296)-2147483648,((c_TMAP2IN)-(c_TMAP1IN))*(((C37)-(c_TMAP1IN))*((c_TMAP2OUT)-(c_TMAP1OUT))+IF(((c_TMAP2OUT)-(c_TMAP1OUT))&gt;=0,1,-1)*QUOTIENT(((c_TMAP2IN)-(c_TMAP1IN)),2)))&lt;0,-1,0),IF(IF(o_WRAP=1,MOD(((c_TMAP2IN)-(c_TMAP1IN))*(((C37)-(c_TMAP1IN))*((c_TMAP2OUT)-(c_TMAP1OUT))+IF(((c_TMAP2OUT)-(c_TMAP1OUT))&gt;=0,1,-1)*QUOTIENT(((c_TMAP2IN)-(c_TMAP1IN)),2))+2147483648,4294967296)-2147483648,((c_TMAP2IN)-(c_TMAP1IN))*(((C37)-(c_TMAP1IN))*((c_TMAP2OUT)-(c_TMAP1OUT))+IF(((c_TMAP2OUT)-(c_TMAP1OUT))&gt;=0,1,-1)*QUOTIENT(((c_TMAP2IN)-(c_TMAP1IN)),2)))&gt;=0,1,0)))</f>
        <v>390</v>
      </c>
      <c r="G37" s="7" t="n">
        <f aca="false">IF(((c_TMAP3IN)-(c_TMAP2IN))=0,(c_TMAP2OUT)+QUOTIENT(((c_TMAP3OUT)-(c_TMAP2OUT)),2),QUOTIENT((((C37)-(c_TMAP2IN))*((c_TMAP3OUT)-(c_TMAP2OUT))+IF(((c_TMAP3OUT)-(c_TMAP2OUT))&gt;=0,1,-1)*QUOTIENT(((c_TMAP3IN)-(c_TMAP2IN)),2)),((c_TMAP3IN)-(c_TMAP2IN)))+(c_TMAP2OUT)+IF(((c_TMAP3OUT)-(c_TMAP2OUT))&gt;=0,IF(IF(o_WRAP=1,MOD(((c_TMAP3IN)-(c_TMAP2IN))*(((C37)-(c_TMAP2IN))*((c_TMAP3OUT)-(c_TMAP2OUT))+IF(((c_TMAP3OUT)-(c_TMAP2OUT))&gt;=0,1,-1)*QUOTIENT(((c_TMAP3IN)-(c_TMAP2IN)),2))+2147483648,4294967296)-2147483648,((c_TMAP3IN)-(c_TMAP2IN))*(((C37)-(c_TMAP2IN))*((c_TMAP3OUT)-(c_TMAP2OUT))+IF(((c_TMAP3OUT)-(c_TMAP2OUT))&gt;=0,1,-1)*QUOTIENT(((c_TMAP3IN)-(c_TMAP2IN)),2)))&lt;0,-1,0),IF(IF(o_WRAP=1,MOD(((c_TMAP3IN)-(c_TMAP2IN))*(((C37)-(c_TMAP2IN))*((c_TMAP3OUT)-(c_TMAP2OUT))+IF(((c_TMAP3OUT)-(c_TMAP2OUT))&gt;=0,1,-1)*QUOTIENT(((c_TMAP3IN)-(c_TMAP2IN)),2))+2147483648,4294967296)-2147483648,((c_TMAP3IN)-(c_TMAP2IN))*(((C37)-(c_TMAP2IN))*((c_TMAP3OUT)-(c_TMAP2OUT))+IF(((c_TMAP3OUT)-(c_TMAP2OUT))&gt;=0,1,-1)*QUOTIENT(((c_TMAP3IN)-(c_TMAP2IN)),2)))&gt;=0,1,0)))</f>
        <v>585</v>
      </c>
      <c r="H37" s="7" t="n">
        <f aca="false">IF(((1000)-(c_TMAP3IN))=0,(c_TMAP3OUT)+QUOTIENT(((1000)-(c_TMAP3OUT)),2),QUOTIENT((((C37)-(c_TMAP3IN))*((1000)-(c_TMAP3OUT))+IF(((1000)-(c_TMAP3OUT))&gt;=0,1,-1)*QUOTIENT(((1000)-(c_TMAP3IN)),2)),((1000)-(c_TMAP3IN)))+(c_TMAP3OUT)+IF(((1000)-(c_TMAP3OUT))&gt;=0,IF(IF(o_WRAP=1,MOD(((1000)-(c_TMAP3IN))*(((C37)-(c_TMAP3IN))*((1000)-(c_TMAP3OUT))+IF(((1000)-(c_TMAP3OUT))&gt;=0,1,-1)*QUOTIENT(((1000)-(c_TMAP3IN)),2))+2147483648,4294967296)-2147483648,((1000)-(c_TMAP3IN))*(((C37)-(c_TMAP3IN))*((1000)-(c_TMAP3OUT))+IF(((1000)-(c_TMAP3OUT))&gt;=0,1,-1)*QUOTIENT(((1000)-(c_TMAP3IN)),2)))&lt;0,-1,0),IF(IF(o_WRAP=1,MOD(((1000)-(c_TMAP3IN))*(((C37)-(c_TMAP3IN))*((1000)-(c_TMAP3OUT))+IF(((1000)-(c_TMAP3OUT))&gt;=0,1,-1)*QUOTIENT(((1000)-(c_TMAP3IN)),2))+2147483648,4294967296)-2147483648,((1000)-(c_TMAP3IN))*(((C37)-(c_TMAP3IN))*((1000)-(c_TMAP3OUT))+IF(((1000)-(c_TMAP3OUT))&gt;=0,1,-1)*QUOTIENT(((1000)-(c_TMAP3IN)),2)))&gt;=0,1,0)))</f>
        <v>877</v>
      </c>
      <c r="I37" s="7" t="n">
        <f aca="false">IF(C37&gt;=c_TFWD,IF(AND(C37&gt;=c_TMAP3IN,c_TMAP3IN&lt;1000),H37,IF(AND(C37&gt;=c_TMAP2IN,c_TMAP3IN&gt;c_TMAP2IN),G37,IF(AND(C37&gt;=c_TMAP1IN,c_TMAP2IN&gt;c_TMAP1IN),F37,E37))),D37)</f>
        <v>877</v>
      </c>
      <c r="J37" s="7" t="str">
        <f aca="false">IF(I37&lt;-1090,"TOO LOW",IF(I37&gt;1090,"TOO HIGH",""))</f>
        <v/>
      </c>
      <c r="K37" s="7" t="n">
        <f aca="false">IF(J37&lt;&gt;"",0,IF(I37&gt;979,1000,I37))</f>
        <v>877</v>
      </c>
      <c r="L37" s="7" t="n">
        <f aca="false">IF(OR(c_TSMOOTH=0,K37&gt;=c_TSMOOTHCUT),1,0)</f>
        <v>1</v>
      </c>
      <c r="M37" s="7" t="n">
        <f aca="false">IF(L37=1,0,M36+1)</f>
        <v>0</v>
      </c>
      <c r="N37" s="7" t="n">
        <f aca="false">IF(L37=1,0,MIN(M37,c_TSMOOTH))</f>
        <v>0</v>
      </c>
      <c r="O37" s="7" t="n">
        <f aca="false">IF(COUNTIF($L$5:L37,1)&gt;0,c_TSMOOTHCUT,0)</f>
        <v>400</v>
      </c>
      <c r="P37" s="15" t="n">
        <f aca="true">IF(L37=1,K37,QUOTIENT(SUM(OFFSET(K37,1-N37,0,N37,1))+(c_TSMOOTH-N37)*O37,c_TSMOOTH))</f>
        <v>877</v>
      </c>
      <c r="Q37" s="7" t="n">
        <f aca="false">K37/10</f>
        <v>87.7</v>
      </c>
      <c r="R37" s="7" t="n">
        <f aca="false">P37/10</f>
        <v>87.7</v>
      </c>
    </row>
    <row r="38" customFormat="false" ht="15" hidden="false" customHeight="false" outlineLevel="0" collapsed="false">
      <c r="A38" s="7" t="n">
        <v>33</v>
      </c>
      <c r="B38" s="7" t="n">
        <f aca="false">A38*0.04</f>
        <v>1.32</v>
      </c>
      <c r="C38" s="18" t="n">
        <v>900</v>
      </c>
      <c r="D38" s="7" t="n">
        <f aca="false">IF(AND(C38=0,c_TCREEP&gt;0),10*c_TCREEP,IF(AND(C38&lt;=c_TRNGMIN,C38&gt;=c_TRNGMAX,c_TRNGMIN-c_TRNGMAX&lt;&gt;0),-10*c_TMINRN+QUOTIENT((c_TMAXRN-c_TMINRN)*(100-QUOTIENT((C38-c_TRNGMAX)*100,c_TRNGMIN-c_TRNGMAX)),-10),0))</f>
        <v>0</v>
      </c>
      <c r="E38" s="7" t="n">
        <f aca="false">IF(((c_TMAP1IN)-(c_TFWD))=0,(0)+QUOTIENT(((c_TMAP1OUT)-(0)),2),QUOTIENT((((C38)-(c_TFWD))*((c_TMAP1OUT)-(0))+IF(((c_TMAP1OUT)-(0))&gt;=0,1,-1)*QUOTIENT(((c_TMAP1IN)-(c_TFWD)),2)),((c_TMAP1IN)-(c_TFWD)))+(0)+IF(((c_TMAP1OUT)-(0))&gt;=0,IF(IF(o_WRAP=1,MOD(((c_TMAP1IN)-(c_TFWD))*(((C38)-(c_TFWD))*((c_TMAP1OUT)-(0))+IF(((c_TMAP1OUT)-(0))&gt;=0,1,-1)*QUOTIENT(((c_TMAP1IN)-(c_TFWD)),2))+2147483648,4294967296)-2147483648,((c_TMAP1IN)-(c_TFWD))*(((C38)-(c_TFWD))*((c_TMAP1OUT)-(0))+IF(((c_TMAP1OUT)-(0))&gt;=0,1,-1)*QUOTIENT(((c_TMAP1IN)-(c_TFWD)),2)))&lt;0,-1,0),IF(IF(o_WRAP=1,MOD(((c_TMAP1IN)-(c_TFWD))*(((C38)-(c_TFWD))*((c_TMAP1OUT)-(0))+IF(((c_TMAP1OUT)-(0))&gt;=0,1,-1)*QUOTIENT(((c_TMAP1IN)-(c_TFWD)),2))+2147483648,4294967296)-2147483648,((c_TMAP1IN)-(c_TFWD))*(((C38)-(c_TFWD))*((c_TMAP1OUT)-(0))+IF(((c_TMAP1OUT)-(0))&gt;=0,1,-1)*QUOTIENT(((c_TMAP1IN)-(c_TFWD)),2)))&gt;=0,1,0)))</f>
        <v>692</v>
      </c>
      <c r="F38" s="7" t="n">
        <f aca="false">IF(((c_TMAP2IN)-(c_TMAP1IN))=0,(c_TMAP1OUT)+QUOTIENT(((c_TMAP2OUT)-(c_TMAP1OUT)),2),QUOTIENT((((C38)-(c_TMAP1IN))*((c_TMAP2OUT)-(c_TMAP1OUT))+IF(((c_TMAP2OUT)-(c_TMAP1OUT))&gt;=0,1,-1)*QUOTIENT(((c_TMAP2IN)-(c_TMAP1IN)),2)),((c_TMAP2IN)-(c_TMAP1IN)))+(c_TMAP1OUT)+IF(((c_TMAP2OUT)-(c_TMAP1OUT))&gt;=0,IF(IF(o_WRAP=1,MOD(((c_TMAP2IN)-(c_TMAP1IN))*(((C38)-(c_TMAP1IN))*((c_TMAP2OUT)-(c_TMAP1OUT))+IF(((c_TMAP2OUT)-(c_TMAP1OUT))&gt;=0,1,-1)*QUOTIENT(((c_TMAP2IN)-(c_TMAP1IN)),2))+2147483648,4294967296)-2147483648,((c_TMAP2IN)-(c_TMAP1IN))*(((C38)-(c_TMAP1IN))*((c_TMAP2OUT)-(c_TMAP1OUT))+IF(((c_TMAP2OUT)-(c_TMAP1OUT))&gt;=0,1,-1)*QUOTIENT(((c_TMAP2IN)-(c_TMAP1IN)),2)))&lt;0,-1,0),IF(IF(o_WRAP=1,MOD(((c_TMAP2IN)-(c_TMAP1IN))*(((C38)-(c_TMAP1IN))*((c_TMAP2OUT)-(c_TMAP1OUT))+IF(((c_TMAP2OUT)-(c_TMAP1OUT))&gt;=0,1,-1)*QUOTIENT(((c_TMAP2IN)-(c_TMAP1IN)),2))+2147483648,4294967296)-2147483648,((c_TMAP2IN)-(c_TMAP1IN))*(((C38)-(c_TMAP1IN))*((c_TMAP2OUT)-(c_TMAP1OUT))+IF(((c_TMAP2OUT)-(c_TMAP1OUT))&gt;=0,1,-1)*QUOTIENT(((c_TMAP2IN)-(c_TMAP1IN)),2)))&gt;=0,1,0)))</f>
        <v>390</v>
      </c>
      <c r="G38" s="7" t="n">
        <f aca="false">IF(((c_TMAP3IN)-(c_TMAP2IN))=0,(c_TMAP2OUT)+QUOTIENT(((c_TMAP3OUT)-(c_TMAP2OUT)),2),QUOTIENT((((C38)-(c_TMAP2IN))*((c_TMAP3OUT)-(c_TMAP2OUT))+IF(((c_TMAP3OUT)-(c_TMAP2OUT))&gt;=0,1,-1)*QUOTIENT(((c_TMAP3IN)-(c_TMAP2IN)),2)),((c_TMAP3IN)-(c_TMAP2IN)))+(c_TMAP2OUT)+IF(((c_TMAP3OUT)-(c_TMAP2OUT))&gt;=0,IF(IF(o_WRAP=1,MOD(((c_TMAP3IN)-(c_TMAP2IN))*(((C38)-(c_TMAP2IN))*((c_TMAP3OUT)-(c_TMAP2OUT))+IF(((c_TMAP3OUT)-(c_TMAP2OUT))&gt;=0,1,-1)*QUOTIENT(((c_TMAP3IN)-(c_TMAP2IN)),2))+2147483648,4294967296)-2147483648,((c_TMAP3IN)-(c_TMAP2IN))*(((C38)-(c_TMAP2IN))*((c_TMAP3OUT)-(c_TMAP2OUT))+IF(((c_TMAP3OUT)-(c_TMAP2OUT))&gt;=0,1,-1)*QUOTIENT(((c_TMAP3IN)-(c_TMAP2IN)),2)))&lt;0,-1,0),IF(IF(o_WRAP=1,MOD(((c_TMAP3IN)-(c_TMAP2IN))*(((C38)-(c_TMAP2IN))*((c_TMAP3OUT)-(c_TMAP2OUT))+IF(((c_TMAP3OUT)-(c_TMAP2OUT))&gt;=0,1,-1)*QUOTIENT(((c_TMAP3IN)-(c_TMAP2IN)),2))+2147483648,4294967296)-2147483648,((c_TMAP3IN)-(c_TMAP2IN))*(((C38)-(c_TMAP2IN))*((c_TMAP3OUT)-(c_TMAP2OUT))+IF(((c_TMAP3OUT)-(c_TMAP2OUT))&gt;=0,1,-1)*QUOTIENT(((c_TMAP3IN)-(c_TMAP2IN)),2)))&gt;=0,1,0)))</f>
        <v>585</v>
      </c>
      <c r="H38" s="7" t="n">
        <f aca="false">IF(((1000)-(c_TMAP3IN))=0,(c_TMAP3OUT)+QUOTIENT(((1000)-(c_TMAP3OUT)),2),QUOTIENT((((C38)-(c_TMAP3IN))*((1000)-(c_TMAP3OUT))+IF(((1000)-(c_TMAP3OUT))&gt;=0,1,-1)*QUOTIENT(((1000)-(c_TMAP3IN)),2)),((1000)-(c_TMAP3IN)))+(c_TMAP3OUT)+IF(((1000)-(c_TMAP3OUT))&gt;=0,IF(IF(o_WRAP=1,MOD(((1000)-(c_TMAP3IN))*(((C38)-(c_TMAP3IN))*((1000)-(c_TMAP3OUT))+IF(((1000)-(c_TMAP3OUT))&gt;=0,1,-1)*QUOTIENT(((1000)-(c_TMAP3IN)),2))+2147483648,4294967296)-2147483648,((1000)-(c_TMAP3IN))*(((C38)-(c_TMAP3IN))*((1000)-(c_TMAP3OUT))+IF(((1000)-(c_TMAP3OUT))&gt;=0,1,-1)*QUOTIENT(((1000)-(c_TMAP3IN)),2)))&lt;0,-1,0),IF(IF(o_WRAP=1,MOD(((1000)-(c_TMAP3IN))*(((C38)-(c_TMAP3IN))*((1000)-(c_TMAP3OUT))+IF(((1000)-(c_TMAP3OUT))&gt;=0,1,-1)*QUOTIENT(((1000)-(c_TMAP3IN)),2))+2147483648,4294967296)-2147483648,((1000)-(c_TMAP3IN))*(((C38)-(c_TMAP3IN))*((1000)-(c_TMAP3OUT))+IF(((1000)-(c_TMAP3OUT))&gt;=0,1,-1)*QUOTIENT(((1000)-(c_TMAP3IN)),2)))&gt;=0,1,0)))</f>
        <v>877</v>
      </c>
      <c r="I38" s="7" t="n">
        <f aca="false">IF(C38&gt;=c_TFWD,IF(AND(C38&gt;=c_TMAP3IN,c_TMAP3IN&lt;1000),H38,IF(AND(C38&gt;=c_TMAP2IN,c_TMAP3IN&gt;c_TMAP2IN),G38,IF(AND(C38&gt;=c_TMAP1IN,c_TMAP2IN&gt;c_TMAP1IN),F38,E38))),D38)</f>
        <v>877</v>
      </c>
      <c r="J38" s="7" t="str">
        <f aca="false">IF(I38&lt;-1090,"TOO LOW",IF(I38&gt;1090,"TOO HIGH",""))</f>
        <v/>
      </c>
      <c r="K38" s="7" t="n">
        <f aca="false">IF(J38&lt;&gt;"",0,IF(I38&gt;979,1000,I38))</f>
        <v>877</v>
      </c>
      <c r="L38" s="7" t="n">
        <f aca="false">IF(OR(c_TSMOOTH=0,K38&gt;=c_TSMOOTHCUT),1,0)</f>
        <v>1</v>
      </c>
      <c r="M38" s="7" t="n">
        <f aca="false">IF(L38=1,0,M37+1)</f>
        <v>0</v>
      </c>
      <c r="N38" s="7" t="n">
        <f aca="false">IF(L38=1,0,MIN(M38,c_TSMOOTH))</f>
        <v>0</v>
      </c>
      <c r="O38" s="7" t="n">
        <f aca="false">IF(COUNTIF($L$5:L38,1)&gt;0,c_TSMOOTHCUT,0)</f>
        <v>400</v>
      </c>
      <c r="P38" s="15" t="n">
        <f aca="true">IF(L38=1,K38,QUOTIENT(SUM(OFFSET(K38,1-N38,0,N38,1))+(c_TSMOOTH-N38)*O38,c_TSMOOTH))</f>
        <v>877</v>
      </c>
      <c r="Q38" s="7" t="n">
        <f aca="false">K38/10</f>
        <v>87.7</v>
      </c>
      <c r="R38" s="7" t="n">
        <f aca="false">P38/10</f>
        <v>87.7</v>
      </c>
    </row>
    <row r="39" customFormat="false" ht="15" hidden="false" customHeight="false" outlineLevel="0" collapsed="false">
      <c r="A39" s="7" t="n">
        <v>34</v>
      </c>
      <c r="B39" s="7" t="n">
        <f aca="false">A39*0.04</f>
        <v>1.36</v>
      </c>
      <c r="C39" s="18" t="n">
        <v>900</v>
      </c>
      <c r="D39" s="7" t="n">
        <f aca="false">IF(AND(C39=0,c_TCREEP&gt;0),10*c_TCREEP,IF(AND(C39&lt;=c_TRNGMIN,C39&gt;=c_TRNGMAX,c_TRNGMIN-c_TRNGMAX&lt;&gt;0),-10*c_TMINRN+QUOTIENT((c_TMAXRN-c_TMINRN)*(100-QUOTIENT((C39-c_TRNGMAX)*100,c_TRNGMIN-c_TRNGMAX)),-10),0))</f>
        <v>0</v>
      </c>
      <c r="E39" s="7" t="n">
        <f aca="false">IF(((c_TMAP1IN)-(c_TFWD))=0,(0)+QUOTIENT(((c_TMAP1OUT)-(0)),2),QUOTIENT((((C39)-(c_TFWD))*((c_TMAP1OUT)-(0))+IF(((c_TMAP1OUT)-(0))&gt;=0,1,-1)*QUOTIENT(((c_TMAP1IN)-(c_TFWD)),2)),((c_TMAP1IN)-(c_TFWD)))+(0)+IF(((c_TMAP1OUT)-(0))&gt;=0,IF(IF(o_WRAP=1,MOD(((c_TMAP1IN)-(c_TFWD))*(((C39)-(c_TFWD))*((c_TMAP1OUT)-(0))+IF(((c_TMAP1OUT)-(0))&gt;=0,1,-1)*QUOTIENT(((c_TMAP1IN)-(c_TFWD)),2))+2147483648,4294967296)-2147483648,((c_TMAP1IN)-(c_TFWD))*(((C39)-(c_TFWD))*((c_TMAP1OUT)-(0))+IF(((c_TMAP1OUT)-(0))&gt;=0,1,-1)*QUOTIENT(((c_TMAP1IN)-(c_TFWD)),2)))&lt;0,-1,0),IF(IF(o_WRAP=1,MOD(((c_TMAP1IN)-(c_TFWD))*(((C39)-(c_TFWD))*((c_TMAP1OUT)-(0))+IF(((c_TMAP1OUT)-(0))&gt;=0,1,-1)*QUOTIENT(((c_TMAP1IN)-(c_TFWD)),2))+2147483648,4294967296)-2147483648,((c_TMAP1IN)-(c_TFWD))*(((C39)-(c_TFWD))*((c_TMAP1OUT)-(0))+IF(((c_TMAP1OUT)-(0))&gt;=0,1,-1)*QUOTIENT(((c_TMAP1IN)-(c_TFWD)),2)))&gt;=0,1,0)))</f>
        <v>692</v>
      </c>
      <c r="F39" s="7" t="n">
        <f aca="false">IF(((c_TMAP2IN)-(c_TMAP1IN))=0,(c_TMAP1OUT)+QUOTIENT(((c_TMAP2OUT)-(c_TMAP1OUT)),2),QUOTIENT((((C39)-(c_TMAP1IN))*((c_TMAP2OUT)-(c_TMAP1OUT))+IF(((c_TMAP2OUT)-(c_TMAP1OUT))&gt;=0,1,-1)*QUOTIENT(((c_TMAP2IN)-(c_TMAP1IN)),2)),((c_TMAP2IN)-(c_TMAP1IN)))+(c_TMAP1OUT)+IF(((c_TMAP2OUT)-(c_TMAP1OUT))&gt;=0,IF(IF(o_WRAP=1,MOD(((c_TMAP2IN)-(c_TMAP1IN))*(((C39)-(c_TMAP1IN))*((c_TMAP2OUT)-(c_TMAP1OUT))+IF(((c_TMAP2OUT)-(c_TMAP1OUT))&gt;=0,1,-1)*QUOTIENT(((c_TMAP2IN)-(c_TMAP1IN)),2))+2147483648,4294967296)-2147483648,((c_TMAP2IN)-(c_TMAP1IN))*(((C39)-(c_TMAP1IN))*((c_TMAP2OUT)-(c_TMAP1OUT))+IF(((c_TMAP2OUT)-(c_TMAP1OUT))&gt;=0,1,-1)*QUOTIENT(((c_TMAP2IN)-(c_TMAP1IN)),2)))&lt;0,-1,0),IF(IF(o_WRAP=1,MOD(((c_TMAP2IN)-(c_TMAP1IN))*(((C39)-(c_TMAP1IN))*((c_TMAP2OUT)-(c_TMAP1OUT))+IF(((c_TMAP2OUT)-(c_TMAP1OUT))&gt;=0,1,-1)*QUOTIENT(((c_TMAP2IN)-(c_TMAP1IN)),2))+2147483648,4294967296)-2147483648,((c_TMAP2IN)-(c_TMAP1IN))*(((C39)-(c_TMAP1IN))*((c_TMAP2OUT)-(c_TMAP1OUT))+IF(((c_TMAP2OUT)-(c_TMAP1OUT))&gt;=0,1,-1)*QUOTIENT(((c_TMAP2IN)-(c_TMAP1IN)),2)))&gt;=0,1,0)))</f>
        <v>390</v>
      </c>
      <c r="G39" s="7" t="n">
        <f aca="false">IF(((c_TMAP3IN)-(c_TMAP2IN))=0,(c_TMAP2OUT)+QUOTIENT(((c_TMAP3OUT)-(c_TMAP2OUT)),2),QUOTIENT((((C39)-(c_TMAP2IN))*((c_TMAP3OUT)-(c_TMAP2OUT))+IF(((c_TMAP3OUT)-(c_TMAP2OUT))&gt;=0,1,-1)*QUOTIENT(((c_TMAP3IN)-(c_TMAP2IN)),2)),((c_TMAP3IN)-(c_TMAP2IN)))+(c_TMAP2OUT)+IF(((c_TMAP3OUT)-(c_TMAP2OUT))&gt;=0,IF(IF(o_WRAP=1,MOD(((c_TMAP3IN)-(c_TMAP2IN))*(((C39)-(c_TMAP2IN))*((c_TMAP3OUT)-(c_TMAP2OUT))+IF(((c_TMAP3OUT)-(c_TMAP2OUT))&gt;=0,1,-1)*QUOTIENT(((c_TMAP3IN)-(c_TMAP2IN)),2))+2147483648,4294967296)-2147483648,((c_TMAP3IN)-(c_TMAP2IN))*(((C39)-(c_TMAP2IN))*((c_TMAP3OUT)-(c_TMAP2OUT))+IF(((c_TMAP3OUT)-(c_TMAP2OUT))&gt;=0,1,-1)*QUOTIENT(((c_TMAP3IN)-(c_TMAP2IN)),2)))&lt;0,-1,0),IF(IF(o_WRAP=1,MOD(((c_TMAP3IN)-(c_TMAP2IN))*(((C39)-(c_TMAP2IN))*((c_TMAP3OUT)-(c_TMAP2OUT))+IF(((c_TMAP3OUT)-(c_TMAP2OUT))&gt;=0,1,-1)*QUOTIENT(((c_TMAP3IN)-(c_TMAP2IN)),2))+2147483648,4294967296)-2147483648,((c_TMAP3IN)-(c_TMAP2IN))*(((C39)-(c_TMAP2IN))*((c_TMAP3OUT)-(c_TMAP2OUT))+IF(((c_TMAP3OUT)-(c_TMAP2OUT))&gt;=0,1,-1)*QUOTIENT(((c_TMAP3IN)-(c_TMAP2IN)),2)))&gt;=0,1,0)))</f>
        <v>585</v>
      </c>
      <c r="H39" s="7" t="n">
        <f aca="false">IF(((1000)-(c_TMAP3IN))=0,(c_TMAP3OUT)+QUOTIENT(((1000)-(c_TMAP3OUT)),2),QUOTIENT((((C39)-(c_TMAP3IN))*((1000)-(c_TMAP3OUT))+IF(((1000)-(c_TMAP3OUT))&gt;=0,1,-1)*QUOTIENT(((1000)-(c_TMAP3IN)),2)),((1000)-(c_TMAP3IN)))+(c_TMAP3OUT)+IF(((1000)-(c_TMAP3OUT))&gt;=0,IF(IF(o_WRAP=1,MOD(((1000)-(c_TMAP3IN))*(((C39)-(c_TMAP3IN))*((1000)-(c_TMAP3OUT))+IF(((1000)-(c_TMAP3OUT))&gt;=0,1,-1)*QUOTIENT(((1000)-(c_TMAP3IN)),2))+2147483648,4294967296)-2147483648,((1000)-(c_TMAP3IN))*(((C39)-(c_TMAP3IN))*((1000)-(c_TMAP3OUT))+IF(((1000)-(c_TMAP3OUT))&gt;=0,1,-1)*QUOTIENT(((1000)-(c_TMAP3IN)),2)))&lt;0,-1,0),IF(IF(o_WRAP=1,MOD(((1000)-(c_TMAP3IN))*(((C39)-(c_TMAP3IN))*((1000)-(c_TMAP3OUT))+IF(((1000)-(c_TMAP3OUT))&gt;=0,1,-1)*QUOTIENT(((1000)-(c_TMAP3IN)),2))+2147483648,4294967296)-2147483648,((1000)-(c_TMAP3IN))*(((C39)-(c_TMAP3IN))*((1000)-(c_TMAP3OUT))+IF(((1000)-(c_TMAP3OUT))&gt;=0,1,-1)*QUOTIENT(((1000)-(c_TMAP3IN)),2)))&gt;=0,1,0)))</f>
        <v>877</v>
      </c>
      <c r="I39" s="7" t="n">
        <f aca="false">IF(C39&gt;=c_TFWD,IF(AND(C39&gt;=c_TMAP3IN,c_TMAP3IN&lt;1000),H39,IF(AND(C39&gt;=c_TMAP2IN,c_TMAP3IN&gt;c_TMAP2IN),G39,IF(AND(C39&gt;=c_TMAP1IN,c_TMAP2IN&gt;c_TMAP1IN),F39,E39))),D39)</f>
        <v>877</v>
      </c>
      <c r="J39" s="7" t="str">
        <f aca="false">IF(I39&lt;-1090,"TOO LOW",IF(I39&gt;1090,"TOO HIGH",""))</f>
        <v/>
      </c>
      <c r="K39" s="7" t="n">
        <f aca="false">IF(J39&lt;&gt;"",0,IF(I39&gt;979,1000,I39))</f>
        <v>877</v>
      </c>
      <c r="L39" s="7" t="n">
        <f aca="false">IF(OR(c_TSMOOTH=0,K39&gt;=c_TSMOOTHCUT),1,0)</f>
        <v>1</v>
      </c>
      <c r="M39" s="7" t="n">
        <f aca="false">IF(L39=1,0,M38+1)</f>
        <v>0</v>
      </c>
      <c r="N39" s="7" t="n">
        <f aca="false">IF(L39=1,0,MIN(M39,c_TSMOOTH))</f>
        <v>0</v>
      </c>
      <c r="O39" s="7" t="n">
        <f aca="false">IF(COUNTIF($L$5:L39,1)&gt;0,c_TSMOOTHCUT,0)</f>
        <v>400</v>
      </c>
      <c r="P39" s="15" t="n">
        <f aca="true">IF(L39=1,K39,QUOTIENT(SUM(OFFSET(K39,1-N39,0,N39,1))+(c_TSMOOTH-N39)*O39,c_TSMOOTH))</f>
        <v>877</v>
      </c>
      <c r="Q39" s="7" t="n">
        <f aca="false">K39/10</f>
        <v>87.7</v>
      </c>
      <c r="R39" s="7" t="n">
        <f aca="false">P39/10</f>
        <v>87.7</v>
      </c>
    </row>
    <row r="40" customFormat="false" ht="15" hidden="false" customHeight="false" outlineLevel="0" collapsed="false">
      <c r="A40" s="7" t="n">
        <v>35</v>
      </c>
      <c r="B40" s="7" t="n">
        <f aca="false">A40*0.04</f>
        <v>1.4</v>
      </c>
      <c r="C40" s="18" t="n">
        <v>900</v>
      </c>
      <c r="D40" s="7" t="n">
        <f aca="false">IF(AND(C40=0,c_TCREEP&gt;0),10*c_TCREEP,IF(AND(C40&lt;=c_TRNGMIN,C40&gt;=c_TRNGMAX,c_TRNGMIN-c_TRNGMAX&lt;&gt;0),-10*c_TMINRN+QUOTIENT((c_TMAXRN-c_TMINRN)*(100-QUOTIENT((C40-c_TRNGMAX)*100,c_TRNGMIN-c_TRNGMAX)),-10),0))</f>
        <v>0</v>
      </c>
      <c r="E40" s="7" t="n">
        <f aca="false">IF(((c_TMAP1IN)-(c_TFWD))=0,(0)+QUOTIENT(((c_TMAP1OUT)-(0)),2),QUOTIENT((((C40)-(c_TFWD))*((c_TMAP1OUT)-(0))+IF(((c_TMAP1OUT)-(0))&gt;=0,1,-1)*QUOTIENT(((c_TMAP1IN)-(c_TFWD)),2)),((c_TMAP1IN)-(c_TFWD)))+(0)+IF(((c_TMAP1OUT)-(0))&gt;=0,IF(IF(o_WRAP=1,MOD(((c_TMAP1IN)-(c_TFWD))*(((C40)-(c_TFWD))*((c_TMAP1OUT)-(0))+IF(((c_TMAP1OUT)-(0))&gt;=0,1,-1)*QUOTIENT(((c_TMAP1IN)-(c_TFWD)),2))+2147483648,4294967296)-2147483648,((c_TMAP1IN)-(c_TFWD))*(((C40)-(c_TFWD))*((c_TMAP1OUT)-(0))+IF(((c_TMAP1OUT)-(0))&gt;=0,1,-1)*QUOTIENT(((c_TMAP1IN)-(c_TFWD)),2)))&lt;0,-1,0),IF(IF(o_WRAP=1,MOD(((c_TMAP1IN)-(c_TFWD))*(((C40)-(c_TFWD))*((c_TMAP1OUT)-(0))+IF(((c_TMAP1OUT)-(0))&gt;=0,1,-1)*QUOTIENT(((c_TMAP1IN)-(c_TFWD)),2))+2147483648,4294967296)-2147483648,((c_TMAP1IN)-(c_TFWD))*(((C40)-(c_TFWD))*((c_TMAP1OUT)-(0))+IF(((c_TMAP1OUT)-(0))&gt;=0,1,-1)*QUOTIENT(((c_TMAP1IN)-(c_TFWD)),2)))&gt;=0,1,0)))</f>
        <v>692</v>
      </c>
      <c r="F40" s="7" t="n">
        <f aca="false">IF(((c_TMAP2IN)-(c_TMAP1IN))=0,(c_TMAP1OUT)+QUOTIENT(((c_TMAP2OUT)-(c_TMAP1OUT)),2),QUOTIENT((((C40)-(c_TMAP1IN))*((c_TMAP2OUT)-(c_TMAP1OUT))+IF(((c_TMAP2OUT)-(c_TMAP1OUT))&gt;=0,1,-1)*QUOTIENT(((c_TMAP2IN)-(c_TMAP1IN)),2)),((c_TMAP2IN)-(c_TMAP1IN)))+(c_TMAP1OUT)+IF(((c_TMAP2OUT)-(c_TMAP1OUT))&gt;=0,IF(IF(o_WRAP=1,MOD(((c_TMAP2IN)-(c_TMAP1IN))*(((C40)-(c_TMAP1IN))*((c_TMAP2OUT)-(c_TMAP1OUT))+IF(((c_TMAP2OUT)-(c_TMAP1OUT))&gt;=0,1,-1)*QUOTIENT(((c_TMAP2IN)-(c_TMAP1IN)),2))+2147483648,4294967296)-2147483648,((c_TMAP2IN)-(c_TMAP1IN))*(((C40)-(c_TMAP1IN))*((c_TMAP2OUT)-(c_TMAP1OUT))+IF(((c_TMAP2OUT)-(c_TMAP1OUT))&gt;=0,1,-1)*QUOTIENT(((c_TMAP2IN)-(c_TMAP1IN)),2)))&lt;0,-1,0),IF(IF(o_WRAP=1,MOD(((c_TMAP2IN)-(c_TMAP1IN))*(((C40)-(c_TMAP1IN))*((c_TMAP2OUT)-(c_TMAP1OUT))+IF(((c_TMAP2OUT)-(c_TMAP1OUT))&gt;=0,1,-1)*QUOTIENT(((c_TMAP2IN)-(c_TMAP1IN)),2))+2147483648,4294967296)-2147483648,((c_TMAP2IN)-(c_TMAP1IN))*(((C40)-(c_TMAP1IN))*((c_TMAP2OUT)-(c_TMAP1OUT))+IF(((c_TMAP2OUT)-(c_TMAP1OUT))&gt;=0,1,-1)*QUOTIENT(((c_TMAP2IN)-(c_TMAP1IN)),2)))&gt;=0,1,0)))</f>
        <v>390</v>
      </c>
      <c r="G40" s="7" t="n">
        <f aca="false">IF(((c_TMAP3IN)-(c_TMAP2IN))=0,(c_TMAP2OUT)+QUOTIENT(((c_TMAP3OUT)-(c_TMAP2OUT)),2),QUOTIENT((((C40)-(c_TMAP2IN))*((c_TMAP3OUT)-(c_TMAP2OUT))+IF(((c_TMAP3OUT)-(c_TMAP2OUT))&gt;=0,1,-1)*QUOTIENT(((c_TMAP3IN)-(c_TMAP2IN)),2)),((c_TMAP3IN)-(c_TMAP2IN)))+(c_TMAP2OUT)+IF(((c_TMAP3OUT)-(c_TMAP2OUT))&gt;=0,IF(IF(o_WRAP=1,MOD(((c_TMAP3IN)-(c_TMAP2IN))*(((C40)-(c_TMAP2IN))*((c_TMAP3OUT)-(c_TMAP2OUT))+IF(((c_TMAP3OUT)-(c_TMAP2OUT))&gt;=0,1,-1)*QUOTIENT(((c_TMAP3IN)-(c_TMAP2IN)),2))+2147483648,4294967296)-2147483648,((c_TMAP3IN)-(c_TMAP2IN))*(((C40)-(c_TMAP2IN))*((c_TMAP3OUT)-(c_TMAP2OUT))+IF(((c_TMAP3OUT)-(c_TMAP2OUT))&gt;=0,1,-1)*QUOTIENT(((c_TMAP3IN)-(c_TMAP2IN)),2)))&lt;0,-1,0),IF(IF(o_WRAP=1,MOD(((c_TMAP3IN)-(c_TMAP2IN))*(((C40)-(c_TMAP2IN))*((c_TMAP3OUT)-(c_TMAP2OUT))+IF(((c_TMAP3OUT)-(c_TMAP2OUT))&gt;=0,1,-1)*QUOTIENT(((c_TMAP3IN)-(c_TMAP2IN)),2))+2147483648,4294967296)-2147483648,((c_TMAP3IN)-(c_TMAP2IN))*(((C40)-(c_TMAP2IN))*((c_TMAP3OUT)-(c_TMAP2OUT))+IF(((c_TMAP3OUT)-(c_TMAP2OUT))&gt;=0,1,-1)*QUOTIENT(((c_TMAP3IN)-(c_TMAP2IN)),2)))&gt;=0,1,0)))</f>
        <v>585</v>
      </c>
      <c r="H40" s="7" t="n">
        <f aca="false">IF(((1000)-(c_TMAP3IN))=0,(c_TMAP3OUT)+QUOTIENT(((1000)-(c_TMAP3OUT)),2),QUOTIENT((((C40)-(c_TMAP3IN))*((1000)-(c_TMAP3OUT))+IF(((1000)-(c_TMAP3OUT))&gt;=0,1,-1)*QUOTIENT(((1000)-(c_TMAP3IN)),2)),((1000)-(c_TMAP3IN)))+(c_TMAP3OUT)+IF(((1000)-(c_TMAP3OUT))&gt;=0,IF(IF(o_WRAP=1,MOD(((1000)-(c_TMAP3IN))*(((C40)-(c_TMAP3IN))*((1000)-(c_TMAP3OUT))+IF(((1000)-(c_TMAP3OUT))&gt;=0,1,-1)*QUOTIENT(((1000)-(c_TMAP3IN)),2))+2147483648,4294967296)-2147483648,((1000)-(c_TMAP3IN))*(((C40)-(c_TMAP3IN))*((1000)-(c_TMAP3OUT))+IF(((1000)-(c_TMAP3OUT))&gt;=0,1,-1)*QUOTIENT(((1000)-(c_TMAP3IN)),2)))&lt;0,-1,0),IF(IF(o_WRAP=1,MOD(((1000)-(c_TMAP3IN))*(((C40)-(c_TMAP3IN))*((1000)-(c_TMAP3OUT))+IF(((1000)-(c_TMAP3OUT))&gt;=0,1,-1)*QUOTIENT(((1000)-(c_TMAP3IN)),2))+2147483648,4294967296)-2147483648,((1000)-(c_TMAP3IN))*(((C40)-(c_TMAP3IN))*((1000)-(c_TMAP3OUT))+IF(((1000)-(c_TMAP3OUT))&gt;=0,1,-1)*QUOTIENT(((1000)-(c_TMAP3IN)),2)))&gt;=0,1,0)))</f>
        <v>877</v>
      </c>
      <c r="I40" s="7" t="n">
        <f aca="false">IF(C40&gt;=c_TFWD,IF(AND(C40&gt;=c_TMAP3IN,c_TMAP3IN&lt;1000),H40,IF(AND(C40&gt;=c_TMAP2IN,c_TMAP3IN&gt;c_TMAP2IN),G40,IF(AND(C40&gt;=c_TMAP1IN,c_TMAP2IN&gt;c_TMAP1IN),F40,E40))),D40)</f>
        <v>877</v>
      </c>
      <c r="J40" s="7" t="str">
        <f aca="false">IF(I40&lt;-1090,"TOO LOW",IF(I40&gt;1090,"TOO HIGH",""))</f>
        <v/>
      </c>
      <c r="K40" s="7" t="n">
        <f aca="false">IF(J40&lt;&gt;"",0,IF(I40&gt;979,1000,I40))</f>
        <v>877</v>
      </c>
      <c r="L40" s="7" t="n">
        <f aca="false">IF(OR(c_TSMOOTH=0,K40&gt;=c_TSMOOTHCUT),1,0)</f>
        <v>1</v>
      </c>
      <c r="M40" s="7" t="n">
        <f aca="false">IF(L40=1,0,M39+1)</f>
        <v>0</v>
      </c>
      <c r="N40" s="7" t="n">
        <f aca="false">IF(L40=1,0,MIN(M40,c_TSMOOTH))</f>
        <v>0</v>
      </c>
      <c r="O40" s="7" t="n">
        <f aca="false">IF(COUNTIF($L$5:L40,1)&gt;0,c_TSMOOTHCUT,0)</f>
        <v>400</v>
      </c>
      <c r="P40" s="15" t="n">
        <f aca="true">IF(L40=1,K40,QUOTIENT(SUM(OFFSET(K40,1-N40,0,N40,1))+(c_TSMOOTH-N40)*O40,c_TSMOOTH))</f>
        <v>877</v>
      </c>
      <c r="Q40" s="7" t="n">
        <f aca="false">K40/10</f>
        <v>87.7</v>
      </c>
      <c r="R40" s="7" t="n">
        <f aca="false">P40/10</f>
        <v>87.7</v>
      </c>
    </row>
    <row r="41" customFormat="false" ht="15" hidden="false" customHeight="false" outlineLevel="0" collapsed="false">
      <c r="A41" s="7" t="n">
        <v>36</v>
      </c>
      <c r="B41" s="7" t="n">
        <f aca="false">A41*0.04</f>
        <v>1.44</v>
      </c>
      <c r="C41" s="18" t="n">
        <v>900</v>
      </c>
      <c r="D41" s="7" t="n">
        <f aca="false">IF(AND(C41=0,c_TCREEP&gt;0),10*c_TCREEP,IF(AND(C41&lt;=c_TRNGMIN,C41&gt;=c_TRNGMAX,c_TRNGMIN-c_TRNGMAX&lt;&gt;0),-10*c_TMINRN+QUOTIENT((c_TMAXRN-c_TMINRN)*(100-QUOTIENT((C41-c_TRNGMAX)*100,c_TRNGMIN-c_TRNGMAX)),-10),0))</f>
        <v>0</v>
      </c>
      <c r="E41" s="7" t="n">
        <f aca="false">IF(((c_TMAP1IN)-(c_TFWD))=0,(0)+QUOTIENT(((c_TMAP1OUT)-(0)),2),QUOTIENT((((C41)-(c_TFWD))*((c_TMAP1OUT)-(0))+IF(((c_TMAP1OUT)-(0))&gt;=0,1,-1)*QUOTIENT(((c_TMAP1IN)-(c_TFWD)),2)),((c_TMAP1IN)-(c_TFWD)))+(0)+IF(((c_TMAP1OUT)-(0))&gt;=0,IF(IF(o_WRAP=1,MOD(((c_TMAP1IN)-(c_TFWD))*(((C41)-(c_TFWD))*((c_TMAP1OUT)-(0))+IF(((c_TMAP1OUT)-(0))&gt;=0,1,-1)*QUOTIENT(((c_TMAP1IN)-(c_TFWD)),2))+2147483648,4294967296)-2147483648,((c_TMAP1IN)-(c_TFWD))*(((C41)-(c_TFWD))*((c_TMAP1OUT)-(0))+IF(((c_TMAP1OUT)-(0))&gt;=0,1,-1)*QUOTIENT(((c_TMAP1IN)-(c_TFWD)),2)))&lt;0,-1,0),IF(IF(o_WRAP=1,MOD(((c_TMAP1IN)-(c_TFWD))*(((C41)-(c_TFWD))*((c_TMAP1OUT)-(0))+IF(((c_TMAP1OUT)-(0))&gt;=0,1,-1)*QUOTIENT(((c_TMAP1IN)-(c_TFWD)),2))+2147483648,4294967296)-2147483648,((c_TMAP1IN)-(c_TFWD))*(((C41)-(c_TFWD))*((c_TMAP1OUT)-(0))+IF(((c_TMAP1OUT)-(0))&gt;=0,1,-1)*QUOTIENT(((c_TMAP1IN)-(c_TFWD)),2)))&gt;=0,1,0)))</f>
        <v>692</v>
      </c>
      <c r="F41" s="7" t="n">
        <f aca="false">IF(((c_TMAP2IN)-(c_TMAP1IN))=0,(c_TMAP1OUT)+QUOTIENT(((c_TMAP2OUT)-(c_TMAP1OUT)),2),QUOTIENT((((C41)-(c_TMAP1IN))*((c_TMAP2OUT)-(c_TMAP1OUT))+IF(((c_TMAP2OUT)-(c_TMAP1OUT))&gt;=0,1,-1)*QUOTIENT(((c_TMAP2IN)-(c_TMAP1IN)),2)),((c_TMAP2IN)-(c_TMAP1IN)))+(c_TMAP1OUT)+IF(((c_TMAP2OUT)-(c_TMAP1OUT))&gt;=0,IF(IF(o_WRAP=1,MOD(((c_TMAP2IN)-(c_TMAP1IN))*(((C41)-(c_TMAP1IN))*((c_TMAP2OUT)-(c_TMAP1OUT))+IF(((c_TMAP2OUT)-(c_TMAP1OUT))&gt;=0,1,-1)*QUOTIENT(((c_TMAP2IN)-(c_TMAP1IN)),2))+2147483648,4294967296)-2147483648,((c_TMAP2IN)-(c_TMAP1IN))*(((C41)-(c_TMAP1IN))*((c_TMAP2OUT)-(c_TMAP1OUT))+IF(((c_TMAP2OUT)-(c_TMAP1OUT))&gt;=0,1,-1)*QUOTIENT(((c_TMAP2IN)-(c_TMAP1IN)),2)))&lt;0,-1,0),IF(IF(o_WRAP=1,MOD(((c_TMAP2IN)-(c_TMAP1IN))*(((C41)-(c_TMAP1IN))*((c_TMAP2OUT)-(c_TMAP1OUT))+IF(((c_TMAP2OUT)-(c_TMAP1OUT))&gt;=0,1,-1)*QUOTIENT(((c_TMAP2IN)-(c_TMAP1IN)),2))+2147483648,4294967296)-2147483648,((c_TMAP2IN)-(c_TMAP1IN))*(((C41)-(c_TMAP1IN))*((c_TMAP2OUT)-(c_TMAP1OUT))+IF(((c_TMAP2OUT)-(c_TMAP1OUT))&gt;=0,1,-1)*QUOTIENT(((c_TMAP2IN)-(c_TMAP1IN)),2)))&gt;=0,1,0)))</f>
        <v>390</v>
      </c>
      <c r="G41" s="7" t="n">
        <f aca="false">IF(((c_TMAP3IN)-(c_TMAP2IN))=0,(c_TMAP2OUT)+QUOTIENT(((c_TMAP3OUT)-(c_TMAP2OUT)),2),QUOTIENT((((C41)-(c_TMAP2IN))*((c_TMAP3OUT)-(c_TMAP2OUT))+IF(((c_TMAP3OUT)-(c_TMAP2OUT))&gt;=0,1,-1)*QUOTIENT(((c_TMAP3IN)-(c_TMAP2IN)),2)),((c_TMAP3IN)-(c_TMAP2IN)))+(c_TMAP2OUT)+IF(((c_TMAP3OUT)-(c_TMAP2OUT))&gt;=0,IF(IF(o_WRAP=1,MOD(((c_TMAP3IN)-(c_TMAP2IN))*(((C41)-(c_TMAP2IN))*((c_TMAP3OUT)-(c_TMAP2OUT))+IF(((c_TMAP3OUT)-(c_TMAP2OUT))&gt;=0,1,-1)*QUOTIENT(((c_TMAP3IN)-(c_TMAP2IN)),2))+2147483648,4294967296)-2147483648,((c_TMAP3IN)-(c_TMAP2IN))*(((C41)-(c_TMAP2IN))*((c_TMAP3OUT)-(c_TMAP2OUT))+IF(((c_TMAP3OUT)-(c_TMAP2OUT))&gt;=0,1,-1)*QUOTIENT(((c_TMAP3IN)-(c_TMAP2IN)),2)))&lt;0,-1,0),IF(IF(o_WRAP=1,MOD(((c_TMAP3IN)-(c_TMAP2IN))*(((C41)-(c_TMAP2IN))*((c_TMAP3OUT)-(c_TMAP2OUT))+IF(((c_TMAP3OUT)-(c_TMAP2OUT))&gt;=0,1,-1)*QUOTIENT(((c_TMAP3IN)-(c_TMAP2IN)),2))+2147483648,4294967296)-2147483648,((c_TMAP3IN)-(c_TMAP2IN))*(((C41)-(c_TMAP2IN))*((c_TMAP3OUT)-(c_TMAP2OUT))+IF(((c_TMAP3OUT)-(c_TMAP2OUT))&gt;=0,1,-1)*QUOTIENT(((c_TMAP3IN)-(c_TMAP2IN)),2)))&gt;=0,1,0)))</f>
        <v>585</v>
      </c>
      <c r="H41" s="7" t="n">
        <f aca="false">IF(((1000)-(c_TMAP3IN))=0,(c_TMAP3OUT)+QUOTIENT(((1000)-(c_TMAP3OUT)),2),QUOTIENT((((C41)-(c_TMAP3IN))*((1000)-(c_TMAP3OUT))+IF(((1000)-(c_TMAP3OUT))&gt;=0,1,-1)*QUOTIENT(((1000)-(c_TMAP3IN)),2)),((1000)-(c_TMAP3IN)))+(c_TMAP3OUT)+IF(((1000)-(c_TMAP3OUT))&gt;=0,IF(IF(o_WRAP=1,MOD(((1000)-(c_TMAP3IN))*(((C41)-(c_TMAP3IN))*((1000)-(c_TMAP3OUT))+IF(((1000)-(c_TMAP3OUT))&gt;=0,1,-1)*QUOTIENT(((1000)-(c_TMAP3IN)),2))+2147483648,4294967296)-2147483648,((1000)-(c_TMAP3IN))*(((C41)-(c_TMAP3IN))*((1000)-(c_TMAP3OUT))+IF(((1000)-(c_TMAP3OUT))&gt;=0,1,-1)*QUOTIENT(((1000)-(c_TMAP3IN)),2)))&lt;0,-1,0),IF(IF(o_WRAP=1,MOD(((1000)-(c_TMAP3IN))*(((C41)-(c_TMAP3IN))*((1000)-(c_TMAP3OUT))+IF(((1000)-(c_TMAP3OUT))&gt;=0,1,-1)*QUOTIENT(((1000)-(c_TMAP3IN)),2))+2147483648,4294967296)-2147483648,((1000)-(c_TMAP3IN))*(((C41)-(c_TMAP3IN))*((1000)-(c_TMAP3OUT))+IF(((1000)-(c_TMAP3OUT))&gt;=0,1,-1)*QUOTIENT(((1000)-(c_TMAP3IN)),2)))&gt;=0,1,0)))</f>
        <v>877</v>
      </c>
      <c r="I41" s="7" t="n">
        <f aca="false">IF(C41&gt;=c_TFWD,IF(AND(C41&gt;=c_TMAP3IN,c_TMAP3IN&lt;1000),H41,IF(AND(C41&gt;=c_TMAP2IN,c_TMAP3IN&gt;c_TMAP2IN),G41,IF(AND(C41&gt;=c_TMAP1IN,c_TMAP2IN&gt;c_TMAP1IN),F41,E41))),D41)</f>
        <v>877</v>
      </c>
      <c r="J41" s="7" t="str">
        <f aca="false">IF(I41&lt;-1090,"TOO LOW",IF(I41&gt;1090,"TOO HIGH",""))</f>
        <v/>
      </c>
      <c r="K41" s="7" t="n">
        <f aca="false">IF(J41&lt;&gt;"",0,IF(I41&gt;979,1000,I41))</f>
        <v>877</v>
      </c>
      <c r="L41" s="7" t="n">
        <f aca="false">IF(OR(c_TSMOOTH=0,K41&gt;=c_TSMOOTHCUT),1,0)</f>
        <v>1</v>
      </c>
      <c r="M41" s="7" t="n">
        <f aca="false">IF(L41=1,0,M40+1)</f>
        <v>0</v>
      </c>
      <c r="N41" s="7" t="n">
        <f aca="false">IF(L41=1,0,MIN(M41,c_TSMOOTH))</f>
        <v>0</v>
      </c>
      <c r="O41" s="7" t="n">
        <f aca="false">IF(COUNTIF($L$5:L41,1)&gt;0,c_TSMOOTHCUT,0)</f>
        <v>400</v>
      </c>
      <c r="P41" s="15" t="n">
        <f aca="true">IF(L41=1,K41,QUOTIENT(SUM(OFFSET(K41,1-N41,0,N41,1))+(c_TSMOOTH-N41)*O41,c_TSMOOTH))</f>
        <v>877</v>
      </c>
      <c r="Q41" s="7" t="n">
        <f aca="false">K41/10</f>
        <v>87.7</v>
      </c>
      <c r="R41" s="7" t="n">
        <f aca="false">P41/10</f>
        <v>87.7</v>
      </c>
    </row>
    <row r="42" customFormat="false" ht="15" hidden="false" customHeight="false" outlineLevel="0" collapsed="false">
      <c r="A42" s="7" t="n">
        <v>37</v>
      </c>
      <c r="B42" s="7" t="n">
        <f aca="false">A42*0.04</f>
        <v>1.48</v>
      </c>
      <c r="C42" s="18" t="n">
        <v>900</v>
      </c>
      <c r="D42" s="7" t="n">
        <f aca="false">IF(AND(C42=0,c_TCREEP&gt;0),10*c_TCREEP,IF(AND(C42&lt;=c_TRNGMIN,C42&gt;=c_TRNGMAX,c_TRNGMIN-c_TRNGMAX&lt;&gt;0),-10*c_TMINRN+QUOTIENT((c_TMAXRN-c_TMINRN)*(100-QUOTIENT((C42-c_TRNGMAX)*100,c_TRNGMIN-c_TRNGMAX)),-10),0))</f>
        <v>0</v>
      </c>
      <c r="E42" s="7" t="n">
        <f aca="false">IF(((c_TMAP1IN)-(c_TFWD))=0,(0)+QUOTIENT(((c_TMAP1OUT)-(0)),2),QUOTIENT((((C42)-(c_TFWD))*((c_TMAP1OUT)-(0))+IF(((c_TMAP1OUT)-(0))&gt;=0,1,-1)*QUOTIENT(((c_TMAP1IN)-(c_TFWD)),2)),((c_TMAP1IN)-(c_TFWD)))+(0)+IF(((c_TMAP1OUT)-(0))&gt;=0,IF(IF(o_WRAP=1,MOD(((c_TMAP1IN)-(c_TFWD))*(((C42)-(c_TFWD))*((c_TMAP1OUT)-(0))+IF(((c_TMAP1OUT)-(0))&gt;=0,1,-1)*QUOTIENT(((c_TMAP1IN)-(c_TFWD)),2))+2147483648,4294967296)-2147483648,((c_TMAP1IN)-(c_TFWD))*(((C42)-(c_TFWD))*((c_TMAP1OUT)-(0))+IF(((c_TMAP1OUT)-(0))&gt;=0,1,-1)*QUOTIENT(((c_TMAP1IN)-(c_TFWD)),2)))&lt;0,-1,0),IF(IF(o_WRAP=1,MOD(((c_TMAP1IN)-(c_TFWD))*(((C42)-(c_TFWD))*((c_TMAP1OUT)-(0))+IF(((c_TMAP1OUT)-(0))&gt;=0,1,-1)*QUOTIENT(((c_TMAP1IN)-(c_TFWD)),2))+2147483648,4294967296)-2147483648,((c_TMAP1IN)-(c_TFWD))*(((C42)-(c_TFWD))*((c_TMAP1OUT)-(0))+IF(((c_TMAP1OUT)-(0))&gt;=0,1,-1)*QUOTIENT(((c_TMAP1IN)-(c_TFWD)),2)))&gt;=0,1,0)))</f>
        <v>692</v>
      </c>
      <c r="F42" s="7" t="n">
        <f aca="false">IF(((c_TMAP2IN)-(c_TMAP1IN))=0,(c_TMAP1OUT)+QUOTIENT(((c_TMAP2OUT)-(c_TMAP1OUT)),2),QUOTIENT((((C42)-(c_TMAP1IN))*((c_TMAP2OUT)-(c_TMAP1OUT))+IF(((c_TMAP2OUT)-(c_TMAP1OUT))&gt;=0,1,-1)*QUOTIENT(((c_TMAP2IN)-(c_TMAP1IN)),2)),((c_TMAP2IN)-(c_TMAP1IN)))+(c_TMAP1OUT)+IF(((c_TMAP2OUT)-(c_TMAP1OUT))&gt;=0,IF(IF(o_WRAP=1,MOD(((c_TMAP2IN)-(c_TMAP1IN))*(((C42)-(c_TMAP1IN))*((c_TMAP2OUT)-(c_TMAP1OUT))+IF(((c_TMAP2OUT)-(c_TMAP1OUT))&gt;=0,1,-1)*QUOTIENT(((c_TMAP2IN)-(c_TMAP1IN)),2))+2147483648,4294967296)-2147483648,((c_TMAP2IN)-(c_TMAP1IN))*(((C42)-(c_TMAP1IN))*((c_TMAP2OUT)-(c_TMAP1OUT))+IF(((c_TMAP2OUT)-(c_TMAP1OUT))&gt;=0,1,-1)*QUOTIENT(((c_TMAP2IN)-(c_TMAP1IN)),2)))&lt;0,-1,0),IF(IF(o_WRAP=1,MOD(((c_TMAP2IN)-(c_TMAP1IN))*(((C42)-(c_TMAP1IN))*((c_TMAP2OUT)-(c_TMAP1OUT))+IF(((c_TMAP2OUT)-(c_TMAP1OUT))&gt;=0,1,-1)*QUOTIENT(((c_TMAP2IN)-(c_TMAP1IN)),2))+2147483648,4294967296)-2147483648,((c_TMAP2IN)-(c_TMAP1IN))*(((C42)-(c_TMAP1IN))*((c_TMAP2OUT)-(c_TMAP1OUT))+IF(((c_TMAP2OUT)-(c_TMAP1OUT))&gt;=0,1,-1)*QUOTIENT(((c_TMAP2IN)-(c_TMAP1IN)),2)))&gt;=0,1,0)))</f>
        <v>390</v>
      </c>
      <c r="G42" s="7" t="n">
        <f aca="false">IF(((c_TMAP3IN)-(c_TMAP2IN))=0,(c_TMAP2OUT)+QUOTIENT(((c_TMAP3OUT)-(c_TMAP2OUT)),2),QUOTIENT((((C42)-(c_TMAP2IN))*((c_TMAP3OUT)-(c_TMAP2OUT))+IF(((c_TMAP3OUT)-(c_TMAP2OUT))&gt;=0,1,-1)*QUOTIENT(((c_TMAP3IN)-(c_TMAP2IN)),2)),((c_TMAP3IN)-(c_TMAP2IN)))+(c_TMAP2OUT)+IF(((c_TMAP3OUT)-(c_TMAP2OUT))&gt;=0,IF(IF(o_WRAP=1,MOD(((c_TMAP3IN)-(c_TMAP2IN))*(((C42)-(c_TMAP2IN))*((c_TMAP3OUT)-(c_TMAP2OUT))+IF(((c_TMAP3OUT)-(c_TMAP2OUT))&gt;=0,1,-1)*QUOTIENT(((c_TMAP3IN)-(c_TMAP2IN)),2))+2147483648,4294967296)-2147483648,((c_TMAP3IN)-(c_TMAP2IN))*(((C42)-(c_TMAP2IN))*((c_TMAP3OUT)-(c_TMAP2OUT))+IF(((c_TMAP3OUT)-(c_TMAP2OUT))&gt;=0,1,-1)*QUOTIENT(((c_TMAP3IN)-(c_TMAP2IN)),2)))&lt;0,-1,0),IF(IF(o_WRAP=1,MOD(((c_TMAP3IN)-(c_TMAP2IN))*(((C42)-(c_TMAP2IN))*((c_TMAP3OUT)-(c_TMAP2OUT))+IF(((c_TMAP3OUT)-(c_TMAP2OUT))&gt;=0,1,-1)*QUOTIENT(((c_TMAP3IN)-(c_TMAP2IN)),2))+2147483648,4294967296)-2147483648,((c_TMAP3IN)-(c_TMAP2IN))*(((C42)-(c_TMAP2IN))*((c_TMAP3OUT)-(c_TMAP2OUT))+IF(((c_TMAP3OUT)-(c_TMAP2OUT))&gt;=0,1,-1)*QUOTIENT(((c_TMAP3IN)-(c_TMAP2IN)),2)))&gt;=0,1,0)))</f>
        <v>585</v>
      </c>
      <c r="H42" s="7" t="n">
        <f aca="false">IF(((1000)-(c_TMAP3IN))=0,(c_TMAP3OUT)+QUOTIENT(((1000)-(c_TMAP3OUT)),2),QUOTIENT((((C42)-(c_TMAP3IN))*((1000)-(c_TMAP3OUT))+IF(((1000)-(c_TMAP3OUT))&gt;=0,1,-1)*QUOTIENT(((1000)-(c_TMAP3IN)),2)),((1000)-(c_TMAP3IN)))+(c_TMAP3OUT)+IF(((1000)-(c_TMAP3OUT))&gt;=0,IF(IF(o_WRAP=1,MOD(((1000)-(c_TMAP3IN))*(((C42)-(c_TMAP3IN))*((1000)-(c_TMAP3OUT))+IF(((1000)-(c_TMAP3OUT))&gt;=0,1,-1)*QUOTIENT(((1000)-(c_TMAP3IN)),2))+2147483648,4294967296)-2147483648,((1000)-(c_TMAP3IN))*(((C42)-(c_TMAP3IN))*((1000)-(c_TMAP3OUT))+IF(((1000)-(c_TMAP3OUT))&gt;=0,1,-1)*QUOTIENT(((1000)-(c_TMAP3IN)),2)))&lt;0,-1,0),IF(IF(o_WRAP=1,MOD(((1000)-(c_TMAP3IN))*(((C42)-(c_TMAP3IN))*((1000)-(c_TMAP3OUT))+IF(((1000)-(c_TMAP3OUT))&gt;=0,1,-1)*QUOTIENT(((1000)-(c_TMAP3IN)),2))+2147483648,4294967296)-2147483648,((1000)-(c_TMAP3IN))*(((C42)-(c_TMAP3IN))*((1000)-(c_TMAP3OUT))+IF(((1000)-(c_TMAP3OUT))&gt;=0,1,-1)*QUOTIENT(((1000)-(c_TMAP3IN)),2)))&gt;=0,1,0)))</f>
        <v>877</v>
      </c>
      <c r="I42" s="7" t="n">
        <f aca="false">IF(C42&gt;=c_TFWD,IF(AND(C42&gt;=c_TMAP3IN,c_TMAP3IN&lt;1000),H42,IF(AND(C42&gt;=c_TMAP2IN,c_TMAP3IN&gt;c_TMAP2IN),G42,IF(AND(C42&gt;=c_TMAP1IN,c_TMAP2IN&gt;c_TMAP1IN),F42,E42))),D42)</f>
        <v>877</v>
      </c>
      <c r="J42" s="7" t="str">
        <f aca="false">IF(I42&lt;-1090,"TOO LOW",IF(I42&gt;1090,"TOO HIGH",""))</f>
        <v/>
      </c>
      <c r="K42" s="7" t="n">
        <f aca="false">IF(J42&lt;&gt;"",0,IF(I42&gt;979,1000,I42))</f>
        <v>877</v>
      </c>
      <c r="L42" s="7" t="n">
        <f aca="false">IF(OR(c_TSMOOTH=0,K42&gt;=c_TSMOOTHCUT),1,0)</f>
        <v>1</v>
      </c>
      <c r="M42" s="7" t="n">
        <f aca="false">IF(L42=1,0,M41+1)</f>
        <v>0</v>
      </c>
      <c r="N42" s="7" t="n">
        <f aca="false">IF(L42=1,0,MIN(M42,c_TSMOOTH))</f>
        <v>0</v>
      </c>
      <c r="O42" s="7" t="n">
        <f aca="false">IF(COUNTIF($L$5:L42,1)&gt;0,c_TSMOOTHCUT,0)</f>
        <v>400</v>
      </c>
      <c r="P42" s="15" t="n">
        <f aca="true">IF(L42=1,K42,QUOTIENT(SUM(OFFSET(K42,1-N42,0,N42,1))+(c_TSMOOTH-N42)*O42,c_TSMOOTH))</f>
        <v>877</v>
      </c>
      <c r="Q42" s="7" t="n">
        <f aca="false">K42/10</f>
        <v>87.7</v>
      </c>
      <c r="R42" s="7" t="n">
        <f aca="false">P42/10</f>
        <v>87.7</v>
      </c>
    </row>
    <row r="43" customFormat="false" ht="15" hidden="false" customHeight="false" outlineLevel="0" collapsed="false">
      <c r="A43" s="7" t="n">
        <v>38</v>
      </c>
      <c r="B43" s="7" t="n">
        <f aca="false">A43*0.04</f>
        <v>1.52</v>
      </c>
      <c r="C43" s="18" t="n">
        <v>900</v>
      </c>
      <c r="D43" s="7" t="n">
        <f aca="false">IF(AND(C43=0,c_TCREEP&gt;0),10*c_TCREEP,IF(AND(C43&lt;=c_TRNGMIN,C43&gt;=c_TRNGMAX,c_TRNGMIN-c_TRNGMAX&lt;&gt;0),-10*c_TMINRN+QUOTIENT((c_TMAXRN-c_TMINRN)*(100-QUOTIENT((C43-c_TRNGMAX)*100,c_TRNGMIN-c_TRNGMAX)),-10),0))</f>
        <v>0</v>
      </c>
      <c r="E43" s="7" t="n">
        <f aca="false">IF(((c_TMAP1IN)-(c_TFWD))=0,(0)+QUOTIENT(((c_TMAP1OUT)-(0)),2),QUOTIENT((((C43)-(c_TFWD))*((c_TMAP1OUT)-(0))+IF(((c_TMAP1OUT)-(0))&gt;=0,1,-1)*QUOTIENT(((c_TMAP1IN)-(c_TFWD)),2)),((c_TMAP1IN)-(c_TFWD)))+(0)+IF(((c_TMAP1OUT)-(0))&gt;=0,IF(IF(o_WRAP=1,MOD(((c_TMAP1IN)-(c_TFWD))*(((C43)-(c_TFWD))*((c_TMAP1OUT)-(0))+IF(((c_TMAP1OUT)-(0))&gt;=0,1,-1)*QUOTIENT(((c_TMAP1IN)-(c_TFWD)),2))+2147483648,4294967296)-2147483648,((c_TMAP1IN)-(c_TFWD))*(((C43)-(c_TFWD))*((c_TMAP1OUT)-(0))+IF(((c_TMAP1OUT)-(0))&gt;=0,1,-1)*QUOTIENT(((c_TMAP1IN)-(c_TFWD)),2)))&lt;0,-1,0),IF(IF(o_WRAP=1,MOD(((c_TMAP1IN)-(c_TFWD))*(((C43)-(c_TFWD))*((c_TMAP1OUT)-(0))+IF(((c_TMAP1OUT)-(0))&gt;=0,1,-1)*QUOTIENT(((c_TMAP1IN)-(c_TFWD)),2))+2147483648,4294967296)-2147483648,((c_TMAP1IN)-(c_TFWD))*(((C43)-(c_TFWD))*((c_TMAP1OUT)-(0))+IF(((c_TMAP1OUT)-(0))&gt;=0,1,-1)*QUOTIENT(((c_TMAP1IN)-(c_TFWD)),2)))&gt;=0,1,0)))</f>
        <v>692</v>
      </c>
      <c r="F43" s="7" t="n">
        <f aca="false">IF(((c_TMAP2IN)-(c_TMAP1IN))=0,(c_TMAP1OUT)+QUOTIENT(((c_TMAP2OUT)-(c_TMAP1OUT)),2),QUOTIENT((((C43)-(c_TMAP1IN))*((c_TMAP2OUT)-(c_TMAP1OUT))+IF(((c_TMAP2OUT)-(c_TMAP1OUT))&gt;=0,1,-1)*QUOTIENT(((c_TMAP2IN)-(c_TMAP1IN)),2)),((c_TMAP2IN)-(c_TMAP1IN)))+(c_TMAP1OUT)+IF(((c_TMAP2OUT)-(c_TMAP1OUT))&gt;=0,IF(IF(o_WRAP=1,MOD(((c_TMAP2IN)-(c_TMAP1IN))*(((C43)-(c_TMAP1IN))*((c_TMAP2OUT)-(c_TMAP1OUT))+IF(((c_TMAP2OUT)-(c_TMAP1OUT))&gt;=0,1,-1)*QUOTIENT(((c_TMAP2IN)-(c_TMAP1IN)),2))+2147483648,4294967296)-2147483648,((c_TMAP2IN)-(c_TMAP1IN))*(((C43)-(c_TMAP1IN))*((c_TMAP2OUT)-(c_TMAP1OUT))+IF(((c_TMAP2OUT)-(c_TMAP1OUT))&gt;=0,1,-1)*QUOTIENT(((c_TMAP2IN)-(c_TMAP1IN)),2)))&lt;0,-1,0),IF(IF(o_WRAP=1,MOD(((c_TMAP2IN)-(c_TMAP1IN))*(((C43)-(c_TMAP1IN))*((c_TMAP2OUT)-(c_TMAP1OUT))+IF(((c_TMAP2OUT)-(c_TMAP1OUT))&gt;=0,1,-1)*QUOTIENT(((c_TMAP2IN)-(c_TMAP1IN)),2))+2147483648,4294967296)-2147483648,((c_TMAP2IN)-(c_TMAP1IN))*(((C43)-(c_TMAP1IN))*((c_TMAP2OUT)-(c_TMAP1OUT))+IF(((c_TMAP2OUT)-(c_TMAP1OUT))&gt;=0,1,-1)*QUOTIENT(((c_TMAP2IN)-(c_TMAP1IN)),2)))&gt;=0,1,0)))</f>
        <v>390</v>
      </c>
      <c r="G43" s="7" t="n">
        <f aca="false">IF(((c_TMAP3IN)-(c_TMAP2IN))=0,(c_TMAP2OUT)+QUOTIENT(((c_TMAP3OUT)-(c_TMAP2OUT)),2),QUOTIENT((((C43)-(c_TMAP2IN))*((c_TMAP3OUT)-(c_TMAP2OUT))+IF(((c_TMAP3OUT)-(c_TMAP2OUT))&gt;=0,1,-1)*QUOTIENT(((c_TMAP3IN)-(c_TMAP2IN)),2)),((c_TMAP3IN)-(c_TMAP2IN)))+(c_TMAP2OUT)+IF(((c_TMAP3OUT)-(c_TMAP2OUT))&gt;=0,IF(IF(o_WRAP=1,MOD(((c_TMAP3IN)-(c_TMAP2IN))*(((C43)-(c_TMAP2IN))*((c_TMAP3OUT)-(c_TMAP2OUT))+IF(((c_TMAP3OUT)-(c_TMAP2OUT))&gt;=0,1,-1)*QUOTIENT(((c_TMAP3IN)-(c_TMAP2IN)),2))+2147483648,4294967296)-2147483648,((c_TMAP3IN)-(c_TMAP2IN))*(((C43)-(c_TMAP2IN))*((c_TMAP3OUT)-(c_TMAP2OUT))+IF(((c_TMAP3OUT)-(c_TMAP2OUT))&gt;=0,1,-1)*QUOTIENT(((c_TMAP3IN)-(c_TMAP2IN)),2)))&lt;0,-1,0),IF(IF(o_WRAP=1,MOD(((c_TMAP3IN)-(c_TMAP2IN))*(((C43)-(c_TMAP2IN))*((c_TMAP3OUT)-(c_TMAP2OUT))+IF(((c_TMAP3OUT)-(c_TMAP2OUT))&gt;=0,1,-1)*QUOTIENT(((c_TMAP3IN)-(c_TMAP2IN)),2))+2147483648,4294967296)-2147483648,((c_TMAP3IN)-(c_TMAP2IN))*(((C43)-(c_TMAP2IN))*((c_TMAP3OUT)-(c_TMAP2OUT))+IF(((c_TMAP3OUT)-(c_TMAP2OUT))&gt;=0,1,-1)*QUOTIENT(((c_TMAP3IN)-(c_TMAP2IN)),2)))&gt;=0,1,0)))</f>
        <v>585</v>
      </c>
      <c r="H43" s="7" t="n">
        <f aca="false">IF(((1000)-(c_TMAP3IN))=0,(c_TMAP3OUT)+QUOTIENT(((1000)-(c_TMAP3OUT)),2),QUOTIENT((((C43)-(c_TMAP3IN))*((1000)-(c_TMAP3OUT))+IF(((1000)-(c_TMAP3OUT))&gt;=0,1,-1)*QUOTIENT(((1000)-(c_TMAP3IN)),2)),((1000)-(c_TMAP3IN)))+(c_TMAP3OUT)+IF(((1000)-(c_TMAP3OUT))&gt;=0,IF(IF(o_WRAP=1,MOD(((1000)-(c_TMAP3IN))*(((C43)-(c_TMAP3IN))*((1000)-(c_TMAP3OUT))+IF(((1000)-(c_TMAP3OUT))&gt;=0,1,-1)*QUOTIENT(((1000)-(c_TMAP3IN)),2))+2147483648,4294967296)-2147483648,((1000)-(c_TMAP3IN))*(((C43)-(c_TMAP3IN))*((1000)-(c_TMAP3OUT))+IF(((1000)-(c_TMAP3OUT))&gt;=0,1,-1)*QUOTIENT(((1000)-(c_TMAP3IN)),2)))&lt;0,-1,0),IF(IF(o_WRAP=1,MOD(((1000)-(c_TMAP3IN))*(((C43)-(c_TMAP3IN))*((1000)-(c_TMAP3OUT))+IF(((1000)-(c_TMAP3OUT))&gt;=0,1,-1)*QUOTIENT(((1000)-(c_TMAP3IN)),2))+2147483648,4294967296)-2147483648,((1000)-(c_TMAP3IN))*(((C43)-(c_TMAP3IN))*((1000)-(c_TMAP3OUT))+IF(((1000)-(c_TMAP3OUT))&gt;=0,1,-1)*QUOTIENT(((1000)-(c_TMAP3IN)),2)))&gt;=0,1,0)))</f>
        <v>877</v>
      </c>
      <c r="I43" s="7" t="n">
        <f aca="false">IF(C43&gt;=c_TFWD,IF(AND(C43&gt;=c_TMAP3IN,c_TMAP3IN&lt;1000),H43,IF(AND(C43&gt;=c_TMAP2IN,c_TMAP3IN&gt;c_TMAP2IN),G43,IF(AND(C43&gt;=c_TMAP1IN,c_TMAP2IN&gt;c_TMAP1IN),F43,E43))),D43)</f>
        <v>877</v>
      </c>
      <c r="J43" s="7" t="str">
        <f aca="false">IF(I43&lt;-1090,"TOO LOW",IF(I43&gt;1090,"TOO HIGH",""))</f>
        <v/>
      </c>
      <c r="K43" s="7" t="n">
        <f aca="false">IF(J43&lt;&gt;"",0,IF(I43&gt;979,1000,I43))</f>
        <v>877</v>
      </c>
      <c r="L43" s="7" t="n">
        <f aca="false">IF(OR(c_TSMOOTH=0,K43&gt;=c_TSMOOTHCUT),1,0)</f>
        <v>1</v>
      </c>
      <c r="M43" s="7" t="n">
        <f aca="false">IF(L43=1,0,M42+1)</f>
        <v>0</v>
      </c>
      <c r="N43" s="7" t="n">
        <f aca="false">IF(L43=1,0,MIN(M43,c_TSMOOTH))</f>
        <v>0</v>
      </c>
      <c r="O43" s="7" t="n">
        <f aca="false">IF(COUNTIF($L$5:L43,1)&gt;0,c_TSMOOTHCUT,0)</f>
        <v>400</v>
      </c>
      <c r="P43" s="15" t="n">
        <f aca="true">IF(L43=1,K43,QUOTIENT(SUM(OFFSET(K43,1-N43,0,N43,1))+(c_TSMOOTH-N43)*O43,c_TSMOOTH))</f>
        <v>877</v>
      </c>
      <c r="Q43" s="7" t="n">
        <f aca="false">K43/10</f>
        <v>87.7</v>
      </c>
      <c r="R43" s="7" t="n">
        <f aca="false">P43/10</f>
        <v>87.7</v>
      </c>
    </row>
    <row r="44" customFormat="false" ht="15" hidden="false" customHeight="false" outlineLevel="0" collapsed="false">
      <c r="A44" s="7" t="n">
        <v>39</v>
      </c>
      <c r="B44" s="7" t="n">
        <f aca="false">A44*0.04</f>
        <v>1.56</v>
      </c>
      <c r="C44" s="18" t="n">
        <v>900</v>
      </c>
      <c r="D44" s="7" t="n">
        <f aca="false">IF(AND(C44=0,c_TCREEP&gt;0),10*c_TCREEP,IF(AND(C44&lt;=c_TRNGMIN,C44&gt;=c_TRNGMAX,c_TRNGMIN-c_TRNGMAX&lt;&gt;0),-10*c_TMINRN+QUOTIENT((c_TMAXRN-c_TMINRN)*(100-QUOTIENT((C44-c_TRNGMAX)*100,c_TRNGMIN-c_TRNGMAX)),-10),0))</f>
        <v>0</v>
      </c>
      <c r="E44" s="7" t="n">
        <f aca="false">IF(((c_TMAP1IN)-(c_TFWD))=0,(0)+QUOTIENT(((c_TMAP1OUT)-(0)),2),QUOTIENT((((C44)-(c_TFWD))*((c_TMAP1OUT)-(0))+IF(((c_TMAP1OUT)-(0))&gt;=0,1,-1)*QUOTIENT(((c_TMAP1IN)-(c_TFWD)),2)),((c_TMAP1IN)-(c_TFWD)))+(0)+IF(((c_TMAP1OUT)-(0))&gt;=0,IF(IF(o_WRAP=1,MOD(((c_TMAP1IN)-(c_TFWD))*(((C44)-(c_TFWD))*((c_TMAP1OUT)-(0))+IF(((c_TMAP1OUT)-(0))&gt;=0,1,-1)*QUOTIENT(((c_TMAP1IN)-(c_TFWD)),2))+2147483648,4294967296)-2147483648,((c_TMAP1IN)-(c_TFWD))*(((C44)-(c_TFWD))*((c_TMAP1OUT)-(0))+IF(((c_TMAP1OUT)-(0))&gt;=0,1,-1)*QUOTIENT(((c_TMAP1IN)-(c_TFWD)),2)))&lt;0,-1,0),IF(IF(o_WRAP=1,MOD(((c_TMAP1IN)-(c_TFWD))*(((C44)-(c_TFWD))*((c_TMAP1OUT)-(0))+IF(((c_TMAP1OUT)-(0))&gt;=0,1,-1)*QUOTIENT(((c_TMAP1IN)-(c_TFWD)),2))+2147483648,4294967296)-2147483648,((c_TMAP1IN)-(c_TFWD))*(((C44)-(c_TFWD))*((c_TMAP1OUT)-(0))+IF(((c_TMAP1OUT)-(0))&gt;=0,1,-1)*QUOTIENT(((c_TMAP1IN)-(c_TFWD)),2)))&gt;=0,1,0)))</f>
        <v>692</v>
      </c>
      <c r="F44" s="7" t="n">
        <f aca="false">IF(((c_TMAP2IN)-(c_TMAP1IN))=0,(c_TMAP1OUT)+QUOTIENT(((c_TMAP2OUT)-(c_TMAP1OUT)),2),QUOTIENT((((C44)-(c_TMAP1IN))*((c_TMAP2OUT)-(c_TMAP1OUT))+IF(((c_TMAP2OUT)-(c_TMAP1OUT))&gt;=0,1,-1)*QUOTIENT(((c_TMAP2IN)-(c_TMAP1IN)),2)),((c_TMAP2IN)-(c_TMAP1IN)))+(c_TMAP1OUT)+IF(((c_TMAP2OUT)-(c_TMAP1OUT))&gt;=0,IF(IF(o_WRAP=1,MOD(((c_TMAP2IN)-(c_TMAP1IN))*(((C44)-(c_TMAP1IN))*((c_TMAP2OUT)-(c_TMAP1OUT))+IF(((c_TMAP2OUT)-(c_TMAP1OUT))&gt;=0,1,-1)*QUOTIENT(((c_TMAP2IN)-(c_TMAP1IN)),2))+2147483648,4294967296)-2147483648,((c_TMAP2IN)-(c_TMAP1IN))*(((C44)-(c_TMAP1IN))*((c_TMAP2OUT)-(c_TMAP1OUT))+IF(((c_TMAP2OUT)-(c_TMAP1OUT))&gt;=0,1,-1)*QUOTIENT(((c_TMAP2IN)-(c_TMAP1IN)),2)))&lt;0,-1,0),IF(IF(o_WRAP=1,MOD(((c_TMAP2IN)-(c_TMAP1IN))*(((C44)-(c_TMAP1IN))*((c_TMAP2OUT)-(c_TMAP1OUT))+IF(((c_TMAP2OUT)-(c_TMAP1OUT))&gt;=0,1,-1)*QUOTIENT(((c_TMAP2IN)-(c_TMAP1IN)),2))+2147483648,4294967296)-2147483648,((c_TMAP2IN)-(c_TMAP1IN))*(((C44)-(c_TMAP1IN))*((c_TMAP2OUT)-(c_TMAP1OUT))+IF(((c_TMAP2OUT)-(c_TMAP1OUT))&gt;=0,1,-1)*QUOTIENT(((c_TMAP2IN)-(c_TMAP1IN)),2)))&gt;=0,1,0)))</f>
        <v>390</v>
      </c>
      <c r="G44" s="7" t="n">
        <f aca="false">IF(((c_TMAP3IN)-(c_TMAP2IN))=0,(c_TMAP2OUT)+QUOTIENT(((c_TMAP3OUT)-(c_TMAP2OUT)),2),QUOTIENT((((C44)-(c_TMAP2IN))*((c_TMAP3OUT)-(c_TMAP2OUT))+IF(((c_TMAP3OUT)-(c_TMAP2OUT))&gt;=0,1,-1)*QUOTIENT(((c_TMAP3IN)-(c_TMAP2IN)),2)),((c_TMAP3IN)-(c_TMAP2IN)))+(c_TMAP2OUT)+IF(((c_TMAP3OUT)-(c_TMAP2OUT))&gt;=0,IF(IF(o_WRAP=1,MOD(((c_TMAP3IN)-(c_TMAP2IN))*(((C44)-(c_TMAP2IN))*((c_TMAP3OUT)-(c_TMAP2OUT))+IF(((c_TMAP3OUT)-(c_TMAP2OUT))&gt;=0,1,-1)*QUOTIENT(((c_TMAP3IN)-(c_TMAP2IN)),2))+2147483648,4294967296)-2147483648,((c_TMAP3IN)-(c_TMAP2IN))*(((C44)-(c_TMAP2IN))*((c_TMAP3OUT)-(c_TMAP2OUT))+IF(((c_TMAP3OUT)-(c_TMAP2OUT))&gt;=0,1,-1)*QUOTIENT(((c_TMAP3IN)-(c_TMAP2IN)),2)))&lt;0,-1,0),IF(IF(o_WRAP=1,MOD(((c_TMAP3IN)-(c_TMAP2IN))*(((C44)-(c_TMAP2IN))*((c_TMAP3OUT)-(c_TMAP2OUT))+IF(((c_TMAP3OUT)-(c_TMAP2OUT))&gt;=0,1,-1)*QUOTIENT(((c_TMAP3IN)-(c_TMAP2IN)),2))+2147483648,4294967296)-2147483648,((c_TMAP3IN)-(c_TMAP2IN))*(((C44)-(c_TMAP2IN))*((c_TMAP3OUT)-(c_TMAP2OUT))+IF(((c_TMAP3OUT)-(c_TMAP2OUT))&gt;=0,1,-1)*QUOTIENT(((c_TMAP3IN)-(c_TMAP2IN)),2)))&gt;=0,1,0)))</f>
        <v>585</v>
      </c>
      <c r="H44" s="7" t="n">
        <f aca="false">IF(((1000)-(c_TMAP3IN))=0,(c_TMAP3OUT)+QUOTIENT(((1000)-(c_TMAP3OUT)),2),QUOTIENT((((C44)-(c_TMAP3IN))*((1000)-(c_TMAP3OUT))+IF(((1000)-(c_TMAP3OUT))&gt;=0,1,-1)*QUOTIENT(((1000)-(c_TMAP3IN)),2)),((1000)-(c_TMAP3IN)))+(c_TMAP3OUT)+IF(((1000)-(c_TMAP3OUT))&gt;=0,IF(IF(o_WRAP=1,MOD(((1000)-(c_TMAP3IN))*(((C44)-(c_TMAP3IN))*((1000)-(c_TMAP3OUT))+IF(((1000)-(c_TMAP3OUT))&gt;=0,1,-1)*QUOTIENT(((1000)-(c_TMAP3IN)),2))+2147483648,4294967296)-2147483648,((1000)-(c_TMAP3IN))*(((C44)-(c_TMAP3IN))*((1000)-(c_TMAP3OUT))+IF(((1000)-(c_TMAP3OUT))&gt;=0,1,-1)*QUOTIENT(((1000)-(c_TMAP3IN)),2)))&lt;0,-1,0),IF(IF(o_WRAP=1,MOD(((1000)-(c_TMAP3IN))*(((C44)-(c_TMAP3IN))*((1000)-(c_TMAP3OUT))+IF(((1000)-(c_TMAP3OUT))&gt;=0,1,-1)*QUOTIENT(((1000)-(c_TMAP3IN)),2))+2147483648,4294967296)-2147483648,((1000)-(c_TMAP3IN))*(((C44)-(c_TMAP3IN))*((1000)-(c_TMAP3OUT))+IF(((1000)-(c_TMAP3OUT))&gt;=0,1,-1)*QUOTIENT(((1000)-(c_TMAP3IN)),2)))&gt;=0,1,0)))</f>
        <v>877</v>
      </c>
      <c r="I44" s="7" t="n">
        <f aca="false">IF(C44&gt;=c_TFWD,IF(AND(C44&gt;=c_TMAP3IN,c_TMAP3IN&lt;1000),H44,IF(AND(C44&gt;=c_TMAP2IN,c_TMAP3IN&gt;c_TMAP2IN),G44,IF(AND(C44&gt;=c_TMAP1IN,c_TMAP2IN&gt;c_TMAP1IN),F44,E44))),D44)</f>
        <v>877</v>
      </c>
      <c r="J44" s="7" t="str">
        <f aca="false">IF(I44&lt;-1090,"TOO LOW",IF(I44&gt;1090,"TOO HIGH",""))</f>
        <v/>
      </c>
      <c r="K44" s="7" t="n">
        <f aca="false">IF(J44&lt;&gt;"",0,IF(I44&gt;979,1000,I44))</f>
        <v>877</v>
      </c>
      <c r="L44" s="7" t="n">
        <f aca="false">IF(OR(c_TSMOOTH=0,K44&gt;=c_TSMOOTHCUT),1,0)</f>
        <v>1</v>
      </c>
      <c r="M44" s="7" t="n">
        <f aca="false">IF(L44=1,0,M43+1)</f>
        <v>0</v>
      </c>
      <c r="N44" s="7" t="n">
        <f aca="false">IF(L44=1,0,MIN(M44,c_TSMOOTH))</f>
        <v>0</v>
      </c>
      <c r="O44" s="7" t="n">
        <f aca="false">IF(COUNTIF($L$5:L44,1)&gt;0,c_TSMOOTHCUT,0)</f>
        <v>400</v>
      </c>
      <c r="P44" s="15" t="n">
        <f aca="true">IF(L44=1,K44,QUOTIENT(SUM(OFFSET(K44,1-N44,0,N44,1))+(c_TSMOOTH-N44)*O44,c_TSMOOTH))</f>
        <v>877</v>
      </c>
      <c r="Q44" s="7" t="n">
        <f aca="false">K44/10</f>
        <v>87.7</v>
      </c>
      <c r="R44" s="7" t="n">
        <f aca="false">P44/10</f>
        <v>87.7</v>
      </c>
    </row>
    <row r="45" customFormat="false" ht="15" hidden="false" customHeight="false" outlineLevel="0" collapsed="false">
      <c r="A45" s="7" t="n">
        <v>40</v>
      </c>
      <c r="B45" s="7" t="n">
        <f aca="false">A45*0.04</f>
        <v>1.6</v>
      </c>
      <c r="C45" s="18" t="n">
        <v>900</v>
      </c>
      <c r="D45" s="7" t="n">
        <f aca="false">IF(AND(C45=0,c_TCREEP&gt;0),10*c_TCREEP,IF(AND(C45&lt;=c_TRNGMIN,C45&gt;=c_TRNGMAX,c_TRNGMIN-c_TRNGMAX&lt;&gt;0),-10*c_TMINRN+QUOTIENT((c_TMAXRN-c_TMINRN)*(100-QUOTIENT((C45-c_TRNGMAX)*100,c_TRNGMIN-c_TRNGMAX)),-10),0))</f>
        <v>0</v>
      </c>
      <c r="E45" s="7" t="n">
        <f aca="false">IF(((c_TMAP1IN)-(c_TFWD))=0,(0)+QUOTIENT(((c_TMAP1OUT)-(0)),2),QUOTIENT((((C45)-(c_TFWD))*((c_TMAP1OUT)-(0))+IF(((c_TMAP1OUT)-(0))&gt;=0,1,-1)*QUOTIENT(((c_TMAP1IN)-(c_TFWD)),2)),((c_TMAP1IN)-(c_TFWD)))+(0)+IF(((c_TMAP1OUT)-(0))&gt;=0,IF(IF(o_WRAP=1,MOD(((c_TMAP1IN)-(c_TFWD))*(((C45)-(c_TFWD))*((c_TMAP1OUT)-(0))+IF(((c_TMAP1OUT)-(0))&gt;=0,1,-1)*QUOTIENT(((c_TMAP1IN)-(c_TFWD)),2))+2147483648,4294967296)-2147483648,((c_TMAP1IN)-(c_TFWD))*(((C45)-(c_TFWD))*((c_TMAP1OUT)-(0))+IF(((c_TMAP1OUT)-(0))&gt;=0,1,-1)*QUOTIENT(((c_TMAP1IN)-(c_TFWD)),2)))&lt;0,-1,0),IF(IF(o_WRAP=1,MOD(((c_TMAP1IN)-(c_TFWD))*(((C45)-(c_TFWD))*((c_TMAP1OUT)-(0))+IF(((c_TMAP1OUT)-(0))&gt;=0,1,-1)*QUOTIENT(((c_TMAP1IN)-(c_TFWD)),2))+2147483648,4294967296)-2147483648,((c_TMAP1IN)-(c_TFWD))*(((C45)-(c_TFWD))*((c_TMAP1OUT)-(0))+IF(((c_TMAP1OUT)-(0))&gt;=0,1,-1)*QUOTIENT(((c_TMAP1IN)-(c_TFWD)),2)))&gt;=0,1,0)))</f>
        <v>692</v>
      </c>
      <c r="F45" s="7" t="n">
        <f aca="false">IF(((c_TMAP2IN)-(c_TMAP1IN))=0,(c_TMAP1OUT)+QUOTIENT(((c_TMAP2OUT)-(c_TMAP1OUT)),2),QUOTIENT((((C45)-(c_TMAP1IN))*((c_TMAP2OUT)-(c_TMAP1OUT))+IF(((c_TMAP2OUT)-(c_TMAP1OUT))&gt;=0,1,-1)*QUOTIENT(((c_TMAP2IN)-(c_TMAP1IN)),2)),((c_TMAP2IN)-(c_TMAP1IN)))+(c_TMAP1OUT)+IF(((c_TMAP2OUT)-(c_TMAP1OUT))&gt;=0,IF(IF(o_WRAP=1,MOD(((c_TMAP2IN)-(c_TMAP1IN))*(((C45)-(c_TMAP1IN))*((c_TMAP2OUT)-(c_TMAP1OUT))+IF(((c_TMAP2OUT)-(c_TMAP1OUT))&gt;=0,1,-1)*QUOTIENT(((c_TMAP2IN)-(c_TMAP1IN)),2))+2147483648,4294967296)-2147483648,((c_TMAP2IN)-(c_TMAP1IN))*(((C45)-(c_TMAP1IN))*((c_TMAP2OUT)-(c_TMAP1OUT))+IF(((c_TMAP2OUT)-(c_TMAP1OUT))&gt;=0,1,-1)*QUOTIENT(((c_TMAP2IN)-(c_TMAP1IN)),2)))&lt;0,-1,0),IF(IF(o_WRAP=1,MOD(((c_TMAP2IN)-(c_TMAP1IN))*(((C45)-(c_TMAP1IN))*((c_TMAP2OUT)-(c_TMAP1OUT))+IF(((c_TMAP2OUT)-(c_TMAP1OUT))&gt;=0,1,-1)*QUOTIENT(((c_TMAP2IN)-(c_TMAP1IN)),2))+2147483648,4294967296)-2147483648,((c_TMAP2IN)-(c_TMAP1IN))*(((C45)-(c_TMAP1IN))*((c_TMAP2OUT)-(c_TMAP1OUT))+IF(((c_TMAP2OUT)-(c_TMAP1OUT))&gt;=0,1,-1)*QUOTIENT(((c_TMAP2IN)-(c_TMAP1IN)),2)))&gt;=0,1,0)))</f>
        <v>390</v>
      </c>
      <c r="G45" s="7" t="n">
        <f aca="false">IF(((c_TMAP3IN)-(c_TMAP2IN))=0,(c_TMAP2OUT)+QUOTIENT(((c_TMAP3OUT)-(c_TMAP2OUT)),2),QUOTIENT((((C45)-(c_TMAP2IN))*((c_TMAP3OUT)-(c_TMAP2OUT))+IF(((c_TMAP3OUT)-(c_TMAP2OUT))&gt;=0,1,-1)*QUOTIENT(((c_TMAP3IN)-(c_TMAP2IN)),2)),((c_TMAP3IN)-(c_TMAP2IN)))+(c_TMAP2OUT)+IF(((c_TMAP3OUT)-(c_TMAP2OUT))&gt;=0,IF(IF(o_WRAP=1,MOD(((c_TMAP3IN)-(c_TMAP2IN))*(((C45)-(c_TMAP2IN))*((c_TMAP3OUT)-(c_TMAP2OUT))+IF(((c_TMAP3OUT)-(c_TMAP2OUT))&gt;=0,1,-1)*QUOTIENT(((c_TMAP3IN)-(c_TMAP2IN)),2))+2147483648,4294967296)-2147483648,((c_TMAP3IN)-(c_TMAP2IN))*(((C45)-(c_TMAP2IN))*((c_TMAP3OUT)-(c_TMAP2OUT))+IF(((c_TMAP3OUT)-(c_TMAP2OUT))&gt;=0,1,-1)*QUOTIENT(((c_TMAP3IN)-(c_TMAP2IN)),2)))&lt;0,-1,0),IF(IF(o_WRAP=1,MOD(((c_TMAP3IN)-(c_TMAP2IN))*(((C45)-(c_TMAP2IN))*((c_TMAP3OUT)-(c_TMAP2OUT))+IF(((c_TMAP3OUT)-(c_TMAP2OUT))&gt;=0,1,-1)*QUOTIENT(((c_TMAP3IN)-(c_TMAP2IN)),2))+2147483648,4294967296)-2147483648,((c_TMAP3IN)-(c_TMAP2IN))*(((C45)-(c_TMAP2IN))*((c_TMAP3OUT)-(c_TMAP2OUT))+IF(((c_TMAP3OUT)-(c_TMAP2OUT))&gt;=0,1,-1)*QUOTIENT(((c_TMAP3IN)-(c_TMAP2IN)),2)))&gt;=0,1,0)))</f>
        <v>585</v>
      </c>
      <c r="H45" s="7" t="n">
        <f aca="false">IF(((1000)-(c_TMAP3IN))=0,(c_TMAP3OUT)+QUOTIENT(((1000)-(c_TMAP3OUT)),2),QUOTIENT((((C45)-(c_TMAP3IN))*((1000)-(c_TMAP3OUT))+IF(((1000)-(c_TMAP3OUT))&gt;=0,1,-1)*QUOTIENT(((1000)-(c_TMAP3IN)),2)),((1000)-(c_TMAP3IN)))+(c_TMAP3OUT)+IF(((1000)-(c_TMAP3OUT))&gt;=0,IF(IF(o_WRAP=1,MOD(((1000)-(c_TMAP3IN))*(((C45)-(c_TMAP3IN))*((1000)-(c_TMAP3OUT))+IF(((1000)-(c_TMAP3OUT))&gt;=0,1,-1)*QUOTIENT(((1000)-(c_TMAP3IN)),2))+2147483648,4294967296)-2147483648,((1000)-(c_TMAP3IN))*(((C45)-(c_TMAP3IN))*((1000)-(c_TMAP3OUT))+IF(((1000)-(c_TMAP3OUT))&gt;=0,1,-1)*QUOTIENT(((1000)-(c_TMAP3IN)),2)))&lt;0,-1,0),IF(IF(o_WRAP=1,MOD(((1000)-(c_TMAP3IN))*(((C45)-(c_TMAP3IN))*((1000)-(c_TMAP3OUT))+IF(((1000)-(c_TMAP3OUT))&gt;=0,1,-1)*QUOTIENT(((1000)-(c_TMAP3IN)),2))+2147483648,4294967296)-2147483648,((1000)-(c_TMAP3IN))*(((C45)-(c_TMAP3IN))*((1000)-(c_TMAP3OUT))+IF(((1000)-(c_TMAP3OUT))&gt;=0,1,-1)*QUOTIENT(((1000)-(c_TMAP3IN)),2)))&gt;=0,1,0)))</f>
        <v>877</v>
      </c>
      <c r="I45" s="7" t="n">
        <f aca="false">IF(C45&gt;=c_TFWD,IF(AND(C45&gt;=c_TMAP3IN,c_TMAP3IN&lt;1000),H45,IF(AND(C45&gt;=c_TMAP2IN,c_TMAP3IN&gt;c_TMAP2IN),G45,IF(AND(C45&gt;=c_TMAP1IN,c_TMAP2IN&gt;c_TMAP1IN),F45,E45))),D45)</f>
        <v>877</v>
      </c>
      <c r="J45" s="7" t="str">
        <f aca="false">IF(I45&lt;-1090,"TOO LOW",IF(I45&gt;1090,"TOO HIGH",""))</f>
        <v/>
      </c>
      <c r="K45" s="7" t="n">
        <f aca="false">IF(J45&lt;&gt;"",0,IF(I45&gt;979,1000,I45))</f>
        <v>877</v>
      </c>
      <c r="L45" s="7" t="n">
        <f aca="false">IF(OR(c_TSMOOTH=0,K45&gt;=c_TSMOOTHCUT),1,0)</f>
        <v>1</v>
      </c>
      <c r="M45" s="7" t="n">
        <f aca="false">IF(L45=1,0,M44+1)</f>
        <v>0</v>
      </c>
      <c r="N45" s="7" t="n">
        <f aca="false">IF(L45=1,0,MIN(M45,c_TSMOOTH))</f>
        <v>0</v>
      </c>
      <c r="O45" s="7" t="n">
        <f aca="false">IF(COUNTIF($L$5:L45,1)&gt;0,c_TSMOOTHCUT,0)</f>
        <v>400</v>
      </c>
      <c r="P45" s="15" t="n">
        <f aca="true">IF(L45=1,K45,QUOTIENT(SUM(OFFSET(K45,1-N45,0,N45,1))+(c_TSMOOTH-N45)*O45,c_TSMOOTH))</f>
        <v>877</v>
      </c>
      <c r="Q45" s="7" t="n">
        <f aca="false">K45/10</f>
        <v>87.7</v>
      </c>
      <c r="R45" s="7" t="n">
        <f aca="false">P45/10</f>
        <v>87.7</v>
      </c>
    </row>
    <row r="46" customFormat="false" ht="15" hidden="false" customHeight="false" outlineLevel="0" collapsed="false">
      <c r="A46" s="7" t="n">
        <v>41</v>
      </c>
      <c r="B46" s="7" t="n">
        <f aca="false">A46*0.04</f>
        <v>1.64</v>
      </c>
      <c r="C46" s="18" t="n">
        <v>900</v>
      </c>
      <c r="D46" s="7" t="n">
        <f aca="false">IF(AND(C46=0,c_TCREEP&gt;0),10*c_TCREEP,IF(AND(C46&lt;=c_TRNGMIN,C46&gt;=c_TRNGMAX,c_TRNGMIN-c_TRNGMAX&lt;&gt;0),-10*c_TMINRN+QUOTIENT((c_TMAXRN-c_TMINRN)*(100-QUOTIENT((C46-c_TRNGMAX)*100,c_TRNGMIN-c_TRNGMAX)),-10),0))</f>
        <v>0</v>
      </c>
      <c r="E46" s="7" t="n">
        <f aca="false">IF(((c_TMAP1IN)-(c_TFWD))=0,(0)+QUOTIENT(((c_TMAP1OUT)-(0)),2),QUOTIENT((((C46)-(c_TFWD))*((c_TMAP1OUT)-(0))+IF(((c_TMAP1OUT)-(0))&gt;=0,1,-1)*QUOTIENT(((c_TMAP1IN)-(c_TFWD)),2)),((c_TMAP1IN)-(c_TFWD)))+(0)+IF(((c_TMAP1OUT)-(0))&gt;=0,IF(IF(o_WRAP=1,MOD(((c_TMAP1IN)-(c_TFWD))*(((C46)-(c_TFWD))*((c_TMAP1OUT)-(0))+IF(((c_TMAP1OUT)-(0))&gt;=0,1,-1)*QUOTIENT(((c_TMAP1IN)-(c_TFWD)),2))+2147483648,4294967296)-2147483648,((c_TMAP1IN)-(c_TFWD))*(((C46)-(c_TFWD))*((c_TMAP1OUT)-(0))+IF(((c_TMAP1OUT)-(0))&gt;=0,1,-1)*QUOTIENT(((c_TMAP1IN)-(c_TFWD)),2)))&lt;0,-1,0),IF(IF(o_WRAP=1,MOD(((c_TMAP1IN)-(c_TFWD))*(((C46)-(c_TFWD))*((c_TMAP1OUT)-(0))+IF(((c_TMAP1OUT)-(0))&gt;=0,1,-1)*QUOTIENT(((c_TMAP1IN)-(c_TFWD)),2))+2147483648,4294967296)-2147483648,((c_TMAP1IN)-(c_TFWD))*(((C46)-(c_TFWD))*((c_TMAP1OUT)-(0))+IF(((c_TMAP1OUT)-(0))&gt;=0,1,-1)*QUOTIENT(((c_TMAP1IN)-(c_TFWD)),2)))&gt;=0,1,0)))</f>
        <v>692</v>
      </c>
      <c r="F46" s="7" t="n">
        <f aca="false">IF(((c_TMAP2IN)-(c_TMAP1IN))=0,(c_TMAP1OUT)+QUOTIENT(((c_TMAP2OUT)-(c_TMAP1OUT)),2),QUOTIENT((((C46)-(c_TMAP1IN))*((c_TMAP2OUT)-(c_TMAP1OUT))+IF(((c_TMAP2OUT)-(c_TMAP1OUT))&gt;=0,1,-1)*QUOTIENT(((c_TMAP2IN)-(c_TMAP1IN)),2)),((c_TMAP2IN)-(c_TMAP1IN)))+(c_TMAP1OUT)+IF(((c_TMAP2OUT)-(c_TMAP1OUT))&gt;=0,IF(IF(o_WRAP=1,MOD(((c_TMAP2IN)-(c_TMAP1IN))*(((C46)-(c_TMAP1IN))*((c_TMAP2OUT)-(c_TMAP1OUT))+IF(((c_TMAP2OUT)-(c_TMAP1OUT))&gt;=0,1,-1)*QUOTIENT(((c_TMAP2IN)-(c_TMAP1IN)),2))+2147483648,4294967296)-2147483648,((c_TMAP2IN)-(c_TMAP1IN))*(((C46)-(c_TMAP1IN))*((c_TMAP2OUT)-(c_TMAP1OUT))+IF(((c_TMAP2OUT)-(c_TMAP1OUT))&gt;=0,1,-1)*QUOTIENT(((c_TMAP2IN)-(c_TMAP1IN)),2)))&lt;0,-1,0),IF(IF(o_WRAP=1,MOD(((c_TMAP2IN)-(c_TMAP1IN))*(((C46)-(c_TMAP1IN))*((c_TMAP2OUT)-(c_TMAP1OUT))+IF(((c_TMAP2OUT)-(c_TMAP1OUT))&gt;=0,1,-1)*QUOTIENT(((c_TMAP2IN)-(c_TMAP1IN)),2))+2147483648,4294967296)-2147483648,((c_TMAP2IN)-(c_TMAP1IN))*(((C46)-(c_TMAP1IN))*((c_TMAP2OUT)-(c_TMAP1OUT))+IF(((c_TMAP2OUT)-(c_TMAP1OUT))&gt;=0,1,-1)*QUOTIENT(((c_TMAP2IN)-(c_TMAP1IN)),2)))&gt;=0,1,0)))</f>
        <v>390</v>
      </c>
      <c r="G46" s="7" t="n">
        <f aca="false">IF(((c_TMAP3IN)-(c_TMAP2IN))=0,(c_TMAP2OUT)+QUOTIENT(((c_TMAP3OUT)-(c_TMAP2OUT)),2),QUOTIENT((((C46)-(c_TMAP2IN))*((c_TMAP3OUT)-(c_TMAP2OUT))+IF(((c_TMAP3OUT)-(c_TMAP2OUT))&gt;=0,1,-1)*QUOTIENT(((c_TMAP3IN)-(c_TMAP2IN)),2)),((c_TMAP3IN)-(c_TMAP2IN)))+(c_TMAP2OUT)+IF(((c_TMAP3OUT)-(c_TMAP2OUT))&gt;=0,IF(IF(o_WRAP=1,MOD(((c_TMAP3IN)-(c_TMAP2IN))*(((C46)-(c_TMAP2IN))*((c_TMAP3OUT)-(c_TMAP2OUT))+IF(((c_TMAP3OUT)-(c_TMAP2OUT))&gt;=0,1,-1)*QUOTIENT(((c_TMAP3IN)-(c_TMAP2IN)),2))+2147483648,4294967296)-2147483648,((c_TMAP3IN)-(c_TMAP2IN))*(((C46)-(c_TMAP2IN))*((c_TMAP3OUT)-(c_TMAP2OUT))+IF(((c_TMAP3OUT)-(c_TMAP2OUT))&gt;=0,1,-1)*QUOTIENT(((c_TMAP3IN)-(c_TMAP2IN)),2)))&lt;0,-1,0),IF(IF(o_WRAP=1,MOD(((c_TMAP3IN)-(c_TMAP2IN))*(((C46)-(c_TMAP2IN))*((c_TMAP3OUT)-(c_TMAP2OUT))+IF(((c_TMAP3OUT)-(c_TMAP2OUT))&gt;=0,1,-1)*QUOTIENT(((c_TMAP3IN)-(c_TMAP2IN)),2))+2147483648,4294967296)-2147483648,((c_TMAP3IN)-(c_TMAP2IN))*(((C46)-(c_TMAP2IN))*((c_TMAP3OUT)-(c_TMAP2OUT))+IF(((c_TMAP3OUT)-(c_TMAP2OUT))&gt;=0,1,-1)*QUOTIENT(((c_TMAP3IN)-(c_TMAP2IN)),2)))&gt;=0,1,0)))</f>
        <v>585</v>
      </c>
      <c r="H46" s="7" t="n">
        <f aca="false">IF(((1000)-(c_TMAP3IN))=0,(c_TMAP3OUT)+QUOTIENT(((1000)-(c_TMAP3OUT)),2),QUOTIENT((((C46)-(c_TMAP3IN))*((1000)-(c_TMAP3OUT))+IF(((1000)-(c_TMAP3OUT))&gt;=0,1,-1)*QUOTIENT(((1000)-(c_TMAP3IN)),2)),((1000)-(c_TMAP3IN)))+(c_TMAP3OUT)+IF(((1000)-(c_TMAP3OUT))&gt;=0,IF(IF(o_WRAP=1,MOD(((1000)-(c_TMAP3IN))*(((C46)-(c_TMAP3IN))*((1000)-(c_TMAP3OUT))+IF(((1000)-(c_TMAP3OUT))&gt;=0,1,-1)*QUOTIENT(((1000)-(c_TMAP3IN)),2))+2147483648,4294967296)-2147483648,((1000)-(c_TMAP3IN))*(((C46)-(c_TMAP3IN))*((1000)-(c_TMAP3OUT))+IF(((1000)-(c_TMAP3OUT))&gt;=0,1,-1)*QUOTIENT(((1000)-(c_TMAP3IN)),2)))&lt;0,-1,0),IF(IF(o_WRAP=1,MOD(((1000)-(c_TMAP3IN))*(((C46)-(c_TMAP3IN))*((1000)-(c_TMAP3OUT))+IF(((1000)-(c_TMAP3OUT))&gt;=0,1,-1)*QUOTIENT(((1000)-(c_TMAP3IN)),2))+2147483648,4294967296)-2147483648,((1000)-(c_TMAP3IN))*(((C46)-(c_TMAP3IN))*((1000)-(c_TMAP3OUT))+IF(((1000)-(c_TMAP3OUT))&gt;=0,1,-1)*QUOTIENT(((1000)-(c_TMAP3IN)),2)))&gt;=0,1,0)))</f>
        <v>877</v>
      </c>
      <c r="I46" s="7" t="n">
        <f aca="false">IF(C46&gt;=c_TFWD,IF(AND(C46&gt;=c_TMAP3IN,c_TMAP3IN&lt;1000),H46,IF(AND(C46&gt;=c_TMAP2IN,c_TMAP3IN&gt;c_TMAP2IN),G46,IF(AND(C46&gt;=c_TMAP1IN,c_TMAP2IN&gt;c_TMAP1IN),F46,E46))),D46)</f>
        <v>877</v>
      </c>
      <c r="J46" s="7" t="str">
        <f aca="false">IF(I46&lt;-1090,"TOO LOW",IF(I46&gt;1090,"TOO HIGH",""))</f>
        <v/>
      </c>
      <c r="K46" s="7" t="n">
        <f aca="false">IF(J46&lt;&gt;"",0,IF(I46&gt;979,1000,I46))</f>
        <v>877</v>
      </c>
      <c r="L46" s="7" t="n">
        <f aca="false">IF(OR(c_TSMOOTH=0,K46&gt;=c_TSMOOTHCUT),1,0)</f>
        <v>1</v>
      </c>
      <c r="M46" s="7" t="n">
        <f aca="false">IF(L46=1,0,M45+1)</f>
        <v>0</v>
      </c>
      <c r="N46" s="7" t="n">
        <f aca="false">IF(L46=1,0,MIN(M46,c_TSMOOTH))</f>
        <v>0</v>
      </c>
      <c r="O46" s="7" t="n">
        <f aca="false">IF(COUNTIF($L$5:L46,1)&gt;0,c_TSMOOTHCUT,0)</f>
        <v>400</v>
      </c>
      <c r="P46" s="15" t="n">
        <f aca="true">IF(L46=1,K46,QUOTIENT(SUM(OFFSET(K46,1-N46,0,N46,1))+(c_TSMOOTH-N46)*O46,c_TSMOOTH))</f>
        <v>877</v>
      </c>
      <c r="Q46" s="7" t="n">
        <f aca="false">K46/10</f>
        <v>87.7</v>
      </c>
      <c r="R46" s="7" t="n">
        <f aca="false">P46/10</f>
        <v>87.7</v>
      </c>
    </row>
    <row r="47" customFormat="false" ht="15" hidden="false" customHeight="false" outlineLevel="0" collapsed="false">
      <c r="A47" s="7" t="n">
        <v>42</v>
      </c>
      <c r="B47" s="7" t="n">
        <f aca="false">A47*0.04</f>
        <v>1.68</v>
      </c>
      <c r="C47" s="18" t="n">
        <v>900</v>
      </c>
      <c r="D47" s="7" t="n">
        <f aca="false">IF(AND(C47=0,c_TCREEP&gt;0),10*c_TCREEP,IF(AND(C47&lt;=c_TRNGMIN,C47&gt;=c_TRNGMAX,c_TRNGMIN-c_TRNGMAX&lt;&gt;0),-10*c_TMINRN+QUOTIENT((c_TMAXRN-c_TMINRN)*(100-QUOTIENT((C47-c_TRNGMAX)*100,c_TRNGMIN-c_TRNGMAX)),-10),0))</f>
        <v>0</v>
      </c>
      <c r="E47" s="7" t="n">
        <f aca="false">IF(((c_TMAP1IN)-(c_TFWD))=0,(0)+QUOTIENT(((c_TMAP1OUT)-(0)),2),QUOTIENT((((C47)-(c_TFWD))*((c_TMAP1OUT)-(0))+IF(((c_TMAP1OUT)-(0))&gt;=0,1,-1)*QUOTIENT(((c_TMAP1IN)-(c_TFWD)),2)),((c_TMAP1IN)-(c_TFWD)))+(0)+IF(((c_TMAP1OUT)-(0))&gt;=0,IF(IF(o_WRAP=1,MOD(((c_TMAP1IN)-(c_TFWD))*(((C47)-(c_TFWD))*((c_TMAP1OUT)-(0))+IF(((c_TMAP1OUT)-(0))&gt;=0,1,-1)*QUOTIENT(((c_TMAP1IN)-(c_TFWD)),2))+2147483648,4294967296)-2147483648,((c_TMAP1IN)-(c_TFWD))*(((C47)-(c_TFWD))*((c_TMAP1OUT)-(0))+IF(((c_TMAP1OUT)-(0))&gt;=0,1,-1)*QUOTIENT(((c_TMAP1IN)-(c_TFWD)),2)))&lt;0,-1,0),IF(IF(o_WRAP=1,MOD(((c_TMAP1IN)-(c_TFWD))*(((C47)-(c_TFWD))*((c_TMAP1OUT)-(0))+IF(((c_TMAP1OUT)-(0))&gt;=0,1,-1)*QUOTIENT(((c_TMAP1IN)-(c_TFWD)),2))+2147483648,4294967296)-2147483648,((c_TMAP1IN)-(c_TFWD))*(((C47)-(c_TFWD))*((c_TMAP1OUT)-(0))+IF(((c_TMAP1OUT)-(0))&gt;=0,1,-1)*QUOTIENT(((c_TMAP1IN)-(c_TFWD)),2)))&gt;=0,1,0)))</f>
        <v>692</v>
      </c>
      <c r="F47" s="7" t="n">
        <f aca="false">IF(((c_TMAP2IN)-(c_TMAP1IN))=0,(c_TMAP1OUT)+QUOTIENT(((c_TMAP2OUT)-(c_TMAP1OUT)),2),QUOTIENT((((C47)-(c_TMAP1IN))*((c_TMAP2OUT)-(c_TMAP1OUT))+IF(((c_TMAP2OUT)-(c_TMAP1OUT))&gt;=0,1,-1)*QUOTIENT(((c_TMAP2IN)-(c_TMAP1IN)),2)),((c_TMAP2IN)-(c_TMAP1IN)))+(c_TMAP1OUT)+IF(((c_TMAP2OUT)-(c_TMAP1OUT))&gt;=0,IF(IF(o_WRAP=1,MOD(((c_TMAP2IN)-(c_TMAP1IN))*(((C47)-(c_TMAP1IN))*((c_TMAP2OUT)-(c_TMAP1OUT))+IF(((c_TMAP2OUT)-(c_TMAP1OUT))&gt;=0,1,-1)*QUOTIENT(((c_TMAP2IN)-(c_TMAP1IN)),2))+2147483648,4294967296)-2147483648,((c_TMAP2IN)-(c_TMAP1IN))*(((C47)-(c_TMAP1IN))*((c_TMAP2OUT)-(c_TMAP1OUT))+IF(((c_TMAP2OUT)-(c_TMAP1OUT))&gt;=0,1,-1)*QUOTIENT(((c_TMAP2IN)-(c_TMAP1IN)),2)))&lt;0,-1,0),IF(IF(o_WRAP=1,MOD(((c_TMAP2IN)-(c_TMAP1IN))*(((C47)-(c_TMAP1IN))*((c_TMAP2OUT)-(c_TMAP1OUT))+IF(((c_TMAP2OUT)-(c_TMAP1OUT))&gt;=0,1,-1)*QUOTIENT(((c_TMAP2IN)-(c_TMAP1IN)),2))+2147483648,4294967296)-2147483648,((c_TMAP2IN)-(c_TMAP1IN))*(((C47)-(c_TMAP1IN))*((c_TMAP2OUT)-(c_TMAP1OUT))+IF(((c_TMAP2OUT)-(c_TMAP1OUT))&gt;=0,1,-1)*QUOTIENT(((c_TMAP2IN)-(c_TMAP1IN)),2)))&gt;=0,1,0)))</f>
        <v>390</v>
      </c>
      <c r="G47" s="7" t="n">
        <f aca="false">IF(((c_TMAP3IN)-(c_TMAP2IN))=0,(c_TMAP2OUT)+QUOTIENT(((c_TMAP3OUT)-(c_TMAP2OUT)),2),QUOTIENT((((C47)-(c_TMAP2IN))*((c_TMAP3OUT)-(c_TMAP2OUT))+IF(((c_TMAP3OUT)-(c_TMAP2OUT))&gt;=0,1,-1)*QUOTIENT(((c_TMAP3IN)-(c_TMAP2IN)),2)),((c_TMAP3IN)-(c_TMAP2IN)))+(c_TMAP2OUT)+IF(((c_TMAP3OUT)-(c_TMAP2OUT))&gt;=0,IF(IF(o_WRAP=1,MOD(((c_TMAP3IN)-(c_TMAP2IN))*(((C47)-(c_TMAP2IN))*((c_TMAP3OUT)-(c_TMAP2OUT))+IF(((c_TMAP3OUT)-(c_TMAP2OUT))&gt;=0,1,-1)*QUOTIENT(((c_TMAP3IN)-(c_TMAP2IN)),2))+2147483648,4294967296)-2147483648,((c_TMAP3IN)-(c_TMAP2IN))*(((C47)-(c_TMAP2IN))*((c_TMAP3OUT)-(c_TMAP2OUT))+IF(((c_TMAP3OUT)-(c_TMAP2OUT))&gt;=0,1,-1)*QUOTIENT(((c_TMAP3IN)-(c_TMAP2IN)),2)))&lt;0,-1,0),IF(IF(o_WRAP=1,MOD(((c_TMAP3IN)-(c_TMAP2IN))*(((C47)-(c_TMAP2IN))*((c_TMAP3OUT)-(c_TMAP2OUT))+IF(((c_TMAP3OUT)-(c_TMAP2OUT))&gt;=0,1,-1)*QUOTIENT(((c_TMAP3IN)-(c_TMAP2IN)),2))+2147483648,4294967296)-2147483648,((c_TMAP3IN)-(c_TMAP2IN))*(((C47)-(c_TMAP2IN))*((c_TMAP3OUT)-(c_TMAP2OUT))+IF(((c_TMAP3OUT)-(c_TMAP2OUT))&gt;=0,1,-1)*QUOTIENT(((c_TMAP3IN)-(c_TMAP2IN)),2)))&gt;=0,1,0)))</f>
        <v>585</v>
      </c>
      <c r="H47" s="7" t="n">
        <f aca="false">IF(((1000)-(c_TMAP3IN))=0,(c_TMAP3OUT)+QUOTIENT(((1000)-(c_TMAP3OUT)),2),QUOTIENT((((C47)-(c_TMAP3IN))*((1000)-(c_TMAP3OUT))+IF(((1000)-(c_TMAP3OUT))&gt;=0,1,-1)*QUOTIENT(((1000)-(c_TMAP3IN)),2)),((1000)-(c_TMAP3IN)))+(c_TMAP3OUT)+IF(((1000)-(c_TMAP3OUT))&gt;=0,IF(IF(o_WRAP=1,MOD(((1000)-(c_TMAP3IN))*(((C47)-(c_TMAP3IN))*((1000)-(c_TMAP3OUT))+IF(((1000)-(c_TMAP3OUT))&gt;=0,1,-1)*QUOTIENT(((1000)-(c_TMAP3IN)),2))+2147483648,4294967296)-2147483648,((1000)-(c_TMAP3IN))*(((C47)-(c_TMAP3IN))*((1000)-(c_TMAP3OUT))+IF(((1000)-(c_TMAP3OUT))&gt;=0,1,-1)*QUOTIENT(((1000)-(c_TMAP3IN)),2)))&lt;0,-1,0),IF(IF(o_WRAP=1,MOD(((1000)-(c_TMAP3IN))*(((C47)-(c_TMAP3IN))*((1000)-(c_TMAP3OUT))+IF(((1000)-(c_TMAP3OUT))&gt;=0,1,-1)*QUOTIENT(((1000)-(c_TMAP3IN)),2))+2147483648,4294967296)-2147483648,((1000)-(c_TMAP3IN))*(((C47)-(c_TMAP3IN))*((1000)-(c_TMAP3OUT))+IF(((1000)-(c_TMAP3OUT))&gt;=0,1,-1)*QUOTIENT(((1000)-(c_TMAP3IN)),2)))&gt;=0,1,0)))</f>
        <v>877</v>
      </c>
      <c r="I47" s="7" t="n">
        <f aca="false">IF(C47&gt;=c_TFWD,IF(AND(C47&gt;=c_TMAP3IN,c_TMAP3IN&lt;1000),H47,IF(AND(C47&gt;=c_TMAP2IN,c_TMAP3IN&gt;c_TMAP2IN),G47,IF(AND(C47&gt;=c_TMAP1IN,c_TMAP2IN&gt;c_TMAP1IN),F47,E47))),D47)</f>
        <v>877</v>
      </c>
      <c r="J47" s="7" t="str">
        <f aca="false">IF(I47&lt;-1090,"TOO LOW",IF(I47&gt;1090,"TOO HIGH",""))</f>
        <v/>
      </c>
      <c r="K47" s="7" t="n">
        <f aca="false">IF(J47&lt;&gt;"",0,IF(I47&gt;979,1000,I47))</f>
        <v>877</v>
      </c>
      <c r="L47" s="7" t="n">
        <f aca="false">IF(OR(c_TSMOOTH=0,K47&gt;=c_TSMOOTHCUT),1,0)</f>
        <v>1</v>
      </c>
      <c r="M47" s="7" t="n">
        <f aca="false">IF(L47=1,0,M46+1)</f>
        <v>0</v>
      </c>
      <c r="N47" s="7" t="n">
        <f aca="false">IF(L47=1,0,MIN(M47,c_TSMOOTH))</f>
        <v>0</v>
      </c>
      <c r="O47" s="7" t="n">
        <f aca="false">IF(COUNTIF($L$5:L47,1)&gt;0,c_TSMOOTHCUT,0)</f>
        <v>400</v>
      </c>
      <c r="P47" s="15" t="n">
        <f aca="true">IF(L47=1,K47,QUOTIENT(SUM(OFFSET(K47,1-N47,0,N47,1))+(c_TSMOOTH-N47)*O47,c_TSMOOTH))</f>
        <v>877</v>
      </c>
      <c r="Q47" s="7" t="n">
        <f aca="false">K47/10</f>
        <v>87.7</v>
      </c>
      <c r="R47" s="7" t="n">
        <f aca="false">P47/10</f>
        <v>87.7</v>
      </c>
    </row>
    <row r="48" customFormat="false" ht="15" hidden="false" customHeight="false" outlineLevel="0" collapsed="false">
      <c r="A48" s="7" t="n">
        <v>43</v>
      </c>
      <c r="B48" s="7" t="n">
        <f aca="false">A48*0.04</f>
        <v>1.72</v>
      </c>
      <c r="C48" s="18" t="n">
        <v>900</v>
      </c>
      <c r="D48" s="7" t="n">
        <f aca="false">IF(AND(C48=0,c_TCREEP&gt;0),10*c_TCREEP,IF(AND(C48&lt;=c_TRNGMIN,C48&gt;=c_TRNGMAX,c_TRNGMIN-c_TRNGMAX&lt;&gt;0),-10*c_TMINRN+QUOTIENT((c_TMAXRN-c_TMINRN)*(100-QUOTIENT((C48-c_TRNGMAX)*100,c_TRNGMIN-c_TRNGMAX)),-10),0))</f>
        <v>0</v>
      </c>
      <c r="E48" s="7" t="n">
        <f aca="false">IF(((c_TMAP1IN)-(c_TFWD))=0,(0)+QUOTIENT(((c_TMAP1OUT)-(0)),2),QUOTIENT((((C48)-(c_TFWD))*((c_TMAP1OUT)-(0))+IF(((c_TMAP1OUT)-(0))&gt;=0,1,-1)*QUOTIENT(((c_TMAP1IN)-(c_TFWD)),2)),((c_TMAP1IN)-(c_TFWD)))+(0)+IF(((c_TMAP1OUT)-(0))&gt;=0,IF(IF(o_WRAP=1,MOD(((c_TMAP1IN)-(c_TFWD))*(((C48)-(c_TFWD))*((c_TMAP1OUT)-(0))+IF(((c_TMAP1OUT)-(0))&gt;=0,1,-1)*QUOTIENT(((c_TMAP1IN)-(c_TFWD)),2))+2147483648,4294967296)-2147483648,((c_TMAP1IN)-(c_TFWD))*(((C48)-(c_TFWD))*((c_TMAP1OUT)-(0))+IF(((c_TMAP1OUT)-(0))&gt;=0,1,-1)*QUOTIENT(((c_TMAP1IN)-(c_TFWD)),2)))&lt;0,-1,0),IF(IF(o_WRAP=1,MOD(((c_TMAP1IN)-(c_TFWD))*(((C48)-(c_TFWD))*((c_TMAP1OUT)-(0))+IF(((c_TMAP1OUT)-(0))&gt;=0,1,-1)*QUOTIENT(((c_TMAP1IN)-(c_TFWD)),2))+2147483648,4294967296)-2147483648,((c_TMAP1IN)-(c_TFWD))*(((C48)-(c_TFWD))*((c_TMAP1OUT)-(0))+IF(((c_TMAP1OUT)-(0))&gt;=0,1,-1)*QUOTIENT(((c_TMAP1IN)-(c_TFWD)),2)))&gt;=0,1,0)))</f>
        <v>692</v>
      </c>
      <c r="F48" s="7" t="n">
        <f aca="false">IF(((c_TMAP2IN)-(c_TMAP1IN))=0,(c_TMAP1OUT)+QUOTIENT(((c_TMAP2OUT)-(c_TMAP1OUT)),2),QUOTIENT((((C48)-(c_TMAP1IN))*((c_TMAP2OUT)-(c_TMAP1OUT))+IF(((c_TMAP2OUT)-(c_TMAP1OUT))&gt;=0,1,-1)*QUOTIENT(((c_TMAP2IN)-(c_TMAP1IN)),2)),((c_TMAP2IN)-(c_TMAP1IN)))+(c_TMAP1OUT)+IF(((c_TMAP2OUT)-(c_TMAP1OUT))&gt;=0,IF(IF(o_WRAP=1,MOD(((c_TMAP2IN)-(c_TMAP1IN))*(((C48)-(c_TMAP1IN))*((c_TMAP2OUT)-(c_TMAP1OUT))+IF(((c_TMAP2OUT)-(c_TMAP1OUT))&gt;=0,1,-1)*QUOTIENT(((c_TMAP2IN)-(c_TMAP1IN)),2))+2147483648,4294967296)-2147483648,((c_TMAP2IN)-(c_TMAP1IN))*(((C48)-(c_TMAP1IN))*((c_TMAP2OUT)-(c_TMAP1OUT))+IF(((c_TMAP2OUT)-(c_TMAP1OUT))&gt;=0,1,-1)*QUOTIENT(((c_TMAP2IN)-(c_TMAP1IN)),2)))&lt;0,-1,0),IF(IF(o_WRAP=1,MOD(((c_TMAP2IN)-(c_TMAP1IN))*(((C48)-(c_TMAP1IN))*((c_TMAP2OUT)-(c_TMAP1OUT))+IF(((c_TMAP2OUT)-(c_TMAP1OUT))&gt;=0,1,-1)*QUOTIENT(((c_TMAP2IN)-(c_TMAP1IN)),2))+2147483648,4294967296)-2147483648,((c_TMAP2IN)-(c_TMAP1IN))*(((C48)-(c_TMAP1IN))*((c_TMAP2OUT)-(c_TMAP1OUT))+IF(((c_TMAP2OUT)-(c_TMAP1OUT))&gt;=0,1,-1)*QUOTIENT(((c_TMAP2IN)-(c_TMAP1IN)),2)))&gt;=0,1,0)))</f>
        <v>390</v>
      </c>
      <c r="G48" s="7" t="n">
        <f aca="false">IF(((c_TMAP3IN)-(c_TMAP2IN))=0,(c_TMAP2OUT)+QUOTIENT(((c_TMAP3OUT)-(c_TMAP2OUT)),2),QUOTIENT((((C48)-(c_TMAP2IN))*((c_TMAP3OUT)-(c_TMAP2OUT))+IF(((c_TMAP3OUT)-(c_TMAP2OUT))&gt;=0,1,-1)*QUOTIENT(((c_TMAP3IN)-(c_TMAP2IN)),2)),((c_TMAP3IN)-(c_TMAP2IN)))+(c_TMAP2OUT)+IF(((c_TMAP3OUT)-(c_TMAP2OUT))&gt;=0,IF(IF(o_WRAP=1,MOD(((c_TMAP3IN)-(c_TMAP2IN))*(((C48)-(c_TMAP2IN))*((c_TMAP3OUT)-(c_TMAP2OUT))+IF(((c_TMAP3OUT)-(c_TMAP2OUT))&gt;=0,1,-1)*QUOTIENT(((c_TMAP3IN)-(c_TMAP2IN)),2))+2147483648,4294967296)-2147483648,((c_TMAP3IN)-(c_TMAP2IN))*(((C48)-(c_TMAP2IN))*((c_TMAP3OUT)-(c_TMAP2OUT))+IF(((c_TMAP3OUT)-(c_TMAP2OUT))&gt;=0,1,-1)*QUOTIENT(((c_TMAP3IN)-(c_TMAP2IN)),2)))&lt;0,-1,0),IF(IF(o_WRAP=1,MOD(((c_TMAP3IN)-(c_TMAP2IN))*(((C48)-(c_TMAP2IN))*((c_TMAP3OUT)-(c_TMAP2OUT))+IF(((c_TMAP3OUT)-(c_TMAP2OUT))&gt;=0,1,-1)*QUOTIENT(((c_TMAP3IN)-(c_TMAP2IN)),2))+2147483648,4294967296)-2147483648,((c_TMAP3IN)-(c_TMAP2IN))*(((C48)-(c_TMAP2IN))*((c_TMAP3OUT)-(c_TMAP2OUT))+IF(((c_TMAP3OUT)-(c_TMAP2OUT))&gt;=0,1,-1)*QUOTIENT(((c_TMAP3IN)-(c_TMAP2IN)),2)))&gt;=0,1,0)))</f>
        <v>585</v>
      </c>
      <c r="H48" s="7" t="n">
        <f aca="false">IF(((1000)-(c_TMAP3IN))=0,(c_TMAP3OUT)+QUOTIENT(((1000)-(c_TMAP3OUT)),2),QUOTIENT((((C48)-(c_TMAP3IN))*((1000)-(c_TMAP3OUT))+IF(((1000)-(c_TMAP3OUT))&gt;=0,1,-1)*QUOTIENT(((1000)-(c_TMAP3IN)),2)),((1000)-(c_TMAP3IN)))+(c_TMAP3OUT)+IF(((1000)-(c_TMAP3OUT))&gt;=0,IF(IF(o_WRAP=1,MOD(((1000)-(c_TMAP3IN))*(((C48)-(c_TMAP3IN))*((1000)-(c_TMAP3OUT))+IF(((1000)-(c_TMAP3OUT))&gt;=0,1,-1)*QUOTIENT(((1000)-(c_TMAP3IN)),2))+2147483648,4294967296)-2147483648,((1000)-(c_TMAP3IN))*(((C48)-(c_TMAP3IN))*((1000)-(c_TMAP3OUT))+IF(((1000)-(c_TMAP3OUT))&gt;=0,1,-1)*QUOTIENT(((1000)-(c_TMAP3IN)),2)))&lt;0,-1,0),IF(IF(o_WRAP=1,MOD(((1000)-(c_TMAP3IN))*(((C48)-(c_TMAP3IN))*((1000)-(c_TMAP3OUT))+IF(((1000)-(c_TMAP3OUT))&gt;=0,1,-1)*QUOTIENT(((1000)-(c_TMAP3IN)),2))+2147483648,4294967296)-2147483648,((1000)-(c_TMAP3IN))*(((C48)-(c_TMAP3IN))*((1000)-(c_TMAP3OUT))+IF(((1000)-(c_TMAP3OUT))&gt;=0,1,-1)*QUOTIENT(((1000)-(c_TMAP3IN)),2)))&gt;=0,1,0)))</f>
        <v>877</v>
      </c>
      <c r="I48" s="7" t="n">
        <f aca="false">IF(C48&gt;=c_TFWD,IF(AND(C48&gt;=c_TMAP3IN,c_TMAP3IN&lt;1000),H48,IF(AND(C48&gt;=c_TMAP2IN,c_TMAP3IN&gt;c_TMAP2IN),G48,IF(AND(C48&gt;=c_TMAP1IN,c_TMAP2IN&gt;c_TMAP1IN),F48,E48))),D48)</f>
        <v>877</v>
      </c>
      <c r="J48" s="7" t="str">
        <f aca="false">IF(I48&lt;-1090,"TOO LOW",IF(I48&gt;1090,"TOO HIGH",""))</f>
        <v/>
      </c>
      <c r="K48" s="7" t="n">
        <f aca="false">IF(J48&lt;&gt;"",0,IF(I48&gt;979,1000,I48))</f>
        <v>877</v>
      </c>
      <c r="L48" s="7" t="n">
        <f aca="false">IF(OR(c_TSMOOTH=0,K48&gt;=c_TSMOOTHCUT),1,0)</f>
        <v>1</v>
      </c>
      <c r="M48" s="7" t="n">
        <f aca="false">IF(L48=1,0,M47+1)</f>
        <v>0</v>
      </c>
      <c r="N48" s="7" t="n">
        <f aca="false">IF(L48=1,0,MIN(M48,c_TSMOOTH))</f>
        <v>0</v>
      </c>
      <c r="O48" s="7" t="n">
        <f aca="false">IF(COUNTIF($L$5:L48,1)&gt;0,c_TSMOOTHCUT,0)</f>
        <v>400</v>
      </c>
      <c r="P48" s="15" t="n">
        <f aca="true">IF(L48=1,K48,QUOTIENT(SUM(OFFSET(K48,1-N48,0,N48,1))+(c_TSMOOTH-N48)*O48,c_TSMOOTH))</f>
        <v>877</v>
      </c>
      <c r="Q48" s="7" t="n">
        <f aca="false">K48/10</f>
        <v>87.7</v>
      </c>
      <c r="R48" s="7" t="n">
        <f aca="false">P48/10</f>
        <v>87.7</v>
      </c>
    </row>
    <row r="49" customFormat="false" ht="15" hidden="false" customHeight="false" outlineLevel="0" collapsed="false">
      <c r="A49" s="7" t="n">
        <v>44</v>
      </c>
      <c r="B49" s="7" t="n">
        <f aca="false">A49*0.04</f>
        <v>1.76</v>
      </c>
      <c r="C49" s="18" t="n">
        <v>900</v>
      </c>
      <c r="D49" s="7" t="n">
        <f aca="false">IF(AND(C49=0,c_TCREEP&gt;0),10*c_TCREEP,IF(AND(C49&lt;=c_TRNGMIN,C49&gt;=c_TRNGMAX,c_TRNGMIN-c_TRNGMAX&lt;&gt;0),-10*c_TMINRN+QUOTIENT((c_TMAXRN-c_TMINRN)*(100-QUOTIENT((C49-c_TRNGMAX)*100,c_TRNGMIN-c_TRNGMAX)),-10),0))</f>
        <v>0</v>
      </c>
      <c r="E49" s="7" t="n">
        <f aca="false">IF(((c_TMAP1IN)-(c_TFWD))=0,(0)+QUOTIENT(((c_TMAP1OUT)-(0)),2),QUOTIENT((((C49)-(c_TFWD))*((c_TMAP1OUT)-(0))+IF(((c_TMAP1OUT)-(0))&gt;=0,1,-1)*QUOTIENT(((c_TMAP1IN)-(c_TFWD)),2)),((c_TMAP1IN)-(c_TFWD)))+(0)+IF(((c_TMAP1OUT)-(0))&gt;=0,IF(IF(o_WRAP=1,MOD(((c_TMAP1IN)-(c_TFWD))*(((C49)-(c_TFWD))*((c_TMAP1OUT)-(0))+IF(((c_TMAP1OUT)-(0))&gt;=0,1,-1)*QUOTIENT(((c_TMAP1IN)-(c_TFWD)),2))+2147483648,4294967296)-2147483648,((c_TMAP1IN)-(c_TFWD))*(((C49)-(c_TFWD))*((c_TMAP1OUT)-(0))+IF(((c_TMAP1OUT)-(0))&gt;=0,1,-1)*QUOTIENT(((c_TMAP1IN)-(c_TFWD)),2)))&lt;0,-1,0),IF(IF(o_WRAP=1,MOD(((c_TMAP1IN)-(c_TFWD))*(((C49)-(c_TFWD))*((c_TMAP1OUT)-(0))+IF(((c_TMAP1OUT)-(0))&gt;=0,1,-1)*QUOTIENT(((c_TMAP1IN)-(c_TFWD)),2))+2147483648,4294967296)-2147483648,((c_TMAP1IN)-(c_TFWD))*(((C49)-(c_TFWD))*((c_TMAP1OUT)-(0))+IF(((c_TMAP1OUT)-(0))&gt;=0,1,-1)*QUOTIENT(((c_TMAP1IN)-(c_TFWD)),2)))&gt;=0,1,0)))</f>
        <v>692</v>
      </c>
      <c r="F49" s="7" t="n">
        <f aca="false">IF(((c_TMAP2IN)-(c_TMAP1IN))=0,(c_TMAP1OUT)+QUOTIENT(((c_TMAP2OUT)-(c_TMAP1OUT)),2),QUOTIENT((((C49)-(c_TMAP1IN))*((c_TMAP2OUT)-(c_TMAP1OUT))+IF(((c_TMAP2OUT)-(c_TMAP1OUT))&gt;=0,1,-1)*QUOTIENT(((c_TMAP2IN)-(c_TMAP1IN)),2)),((c_TMAP2IN)-(c_TMAP1IN)))+(c_TMAP1OUT)+IF(((c_TMAP2OUT)-(c_TMAP1OUT))&gt;=0,IF(IF(o_WRAP=1,MOD(((c_TMAP2IN)-(c_TMAP1IN))*(((C49)-(c_TMAP1IN))*((c_TMAP2OUT)-(c_TMAP1OUT))+IF(((c_TMAP2OUT)-(c_TMAP1OUT))&gt;=0,1,-1)*QUOTIENT(((c_TMAP2IN)-(c_TMAP1IN)),2))+2147483648,4294967296)-2147483648,((c_TMAP2IN)-(c_TMAP1IN))*(((C49)-(c_TMAP1IN))*((c_TMAP2OUT)-(c_TMAP1OUT))+IF(((c_TMAP2OUT)-(c_TMAP1OUT))&gt;=0,1,-1)*QUOTIENT(((c_TMAP2IN)-(c_TMAP1IN)),2)))&lt;0,-1,0),IF(IF(o_WRAP=1,MOD(((c_TMAP2IN)-(c_TMAP1IN))*(((C49)-(c_TMAP1IN))*((c_TMAP2OUT)-(c_TMAP1OUT))+IF(((c_TMAP2OUT)-(c_TMAP1OUT))&gt;=0,1,-1)*QUOTIENT(((c_TMAP2IN)-(c_TMAP1IN)),2))+2147483648,4294967296)-2147483648,((c_TMAP2IN)-(c_TMAP1IN))*(((C49)-(c_TMAP1IN))*((c_TMAP2OUT)-(c_TMAP1OUT))+IF(((c_TMAP2OUT)-(c_TMAP1OUT))&gt;=0,1,-1)*QUOTIENT(((c_TMAP2IN)-(c_TMAP1IN)),2)))&gt;=0,1,0)))</f>
        <v>390</v>
      </c>
      <c r="G49" s="7" t="n">
        <f aca="false">IF(((c_TMAP3IN)-(c_TMAP2IN))=0,(c_TMAP2OUT)+QUOTIENT(((c_TMAP3OUT)-(c_TMAP2OUT)),2),QUOTIENT((((C49)-(c_TMAP2IN))*((c_TMAP3OUT)-(c_TMAP2OUT))+IF(((c_TMAP3OUT)-(c_TMAP2OUT))&gt;=0,1,-1)*QUOTIENT(((c_TMAP3IN)-(c_TMAP2IN)),2)),((c_TMAP3IN)-(c_TMAP2IN)))+(c_TMAP2OUT)+IF(((c_TMAP3OUT)-(c_TMAP2OUT))&gt;=0,IF(IF(o_WRAP=1,MOD(((c_TMAP3IN)-(c_TMAP2IN))*(((C49)-(c_TMAP2IN))*((c_TMAP3OUT)-(c_TMAP2OUT))+IF(((c_TMAP3OUT)-(c_TMAP2OUT))&gt;=0,1,-1)*QUOTIENT(((c_TMAP3IN)-(c_TMAP2IN)),2))+2147483648,4294967296)-2147483648,((c_TMAP3IN)-(c_TMAP2IN))*(((C49)-(c_TMAP2IN))*((c_TMAP3OUT)-(c_TMAP2OUT))+IF(((c_TMAP3OUT)-(c_TMAP2OUT))&gt;=0,1,-1)*QUOTIENT(((c_TMAP3IN)-(c_TMAP2IN)),2)))&lt;0,-1,0),IF(IF(o_WRAP=1,MOD(((c_TMAP3IN)-(c_TMAP2IN))*(((C49)-(c_TMAP2IN))*((c_TMAP3OUT)-(c_TMAP2OUT))+IF(((c_TMAP3OUT)-(c_TMAP2OUT))&gt;=0,1,-1)*QUOTIENT(((c_TMAP3IN)-(c_TMAP2IN)),2))+2147483648,4294967296)-2147483648,((c_TMAP3IN)-(c_TMAP2IN))*(((C49)-(c_TMAP2IN))*((c_TMAP3OUT)-(c_TMAP2OUT))+IF(((c_TMAP3OUT)-(c_TMAP2OUT))&gt;=0,1,-1)*QUOTIENT(((c_TMAP3IN)-(c_TMAP2IN)),2)))&gt;=0,1,0)))</f>
        <v>585</v>
      </c>
      <c r="H49" s="7" t="n">
        <f aca="false">IF(((1000)-(c_TMAP3IN))=0,(c_TMAP3OUT)+QUOTIENT(((1000)-(c_TMAP3OUT)),2),QUOTIENT((((C49)-(c_TMAP3IN))*((1000)-(c_TMAP3OUT))+IF(((1000)-(c_TMAP3OUT))&gt;=0,1,-1)*QUOTIENT(((1000)-(c_TMAP3IN)),2)),((1000)-(c_TMAP3IN)))+(c_TMAP3OUT)+IF(((1000)-(c_TMAP3OUT))&gt;=0,IF(IF(o_WRAP=1,MOD(((1000)-(c_TMAP3IN))*(((C49)-(c_TMAP3IN))*((1000)-(c_TMAP3OUT))+IF(((1000)-(c_TMAP3OUT))&gt;=0,1,-1)*QUOTIENT(((1000)-(c_TMAP3IN)),2))+2147483648,4294967296)-2147483648,((1000)-(c_TMAP3IN))*(((C49)-(c_TMAP3IN))*((1000)-(c_TMAP3OUT))+IF(((1000)-(c_TMAP3OUT))&gt;=0,1,-1)*QUOTIENT(((1000)-(c_TMAP3IN)),2)))&lt;0,-1,0),IF(IF(o_WRAP=1,MOD(((1000)-(c_TMAP3IN))*(((C49)-(c_TMAP3IN))*((1000)-(c_TMAP3OUT))+IF(((1000)-(c_TMAP3OUT))&gt;=0,1,-1)*QUOTIENT(((1000)-(c_TMAP3IN)),2))+2147483648,4294967296)-2147483648,((1000)-(c_TMAP3IN))*(((C49)-(c_TMAP3IN))*((1000)-(c_TMAP3OUT))+IF(((1000)-(c_TMAP3OUT))&gt;=0,1,-1)*QUOTIENT(((1000)-(c_TMAP3IN)),2)))&gt;=0,1,0)))</f>
        <v>877</v>
      </c>
      <c r="I49" s="7" t="n">
        <f aca="false">IF(C49&gt;=c_TFWD,IF(AND(C49&gt;=c_TMAP3IN,c_TMAP3IN&lt;1000),H49,IF(AND(C49&gt;=c_TMAP2IN,c_TMAP3IN&gt;c_TMAP2IN),G49,IF(AND(C49&gt;=c_TMAP1IN,c_TMAP2IN&gt;c_TMAP1IN),F49,E49))),D49)</f>
        <v>877</v>
      </c>
      <c r="J49" s="7" t="str">
        <f aca="false">IF(I49&lt;-1090,"TOO LOW",IF(I49&gt;1090,"TOO HIGH",""))</f>
        <v/>
      </c>
      <c r="K49" s="7" t="n">
        <f aca="false">IF(J49&lt;&gt;"",0,IF(I49&gt;979,1000,I49))</f>
        <v>877</v>
      </c>
      <c r="L49" s="7" t="n">
        <f aca="false">IF(OR(c_TSMOOTH=0,K49&gt;=c_TSMOOTHCUT),1,0)</f>
        <v>1</v>
      </c>
      <c r="M49" s="7" t="n">
        <f aca="false">IF(L49=1,0,M48+1)</f>
        <v>0</v>
      </c>
      <c r="N49" s="7" t="n">
        <f aca="false">IF(L49=1,0,MIN(M49,c_TSMOOTH))</f>
        <v>0</v>
      </c>
      <c r="O49" s="7" t="n">
        <f aca="false">IF(COUNTIF($L$5:L49,1)&gt;0,c_TSMOOTHCUT,0)</f>
        <v>400</v>
      </c>
      <c r="P49" s="15" t="n">
        <f aca="true">IF(L49=1,K49,QUOTIENT(SUM(OFFSET(K49,1-N49,0,N49,1))+(c_TSMOOTH-N49)*O49,c_TSMOOTH))</f>
        <v>877</v>
      </c>
      <c r="Q49" s="7" t="n">
        <f aca="false">K49/10</f>
        <v>87.7</v>
      </c>
      <c r="R49" s="7" t="n">
        <f aca="false">P49/10</f>
        <v>87.7</v>
      </c>
    </row>
    <row r="50" customFormat="false" ht="15" hidden="false" customHeight="false" outlineLevel="0" collapsed="false">
      <c r="A50" s="7" t="n">
        <v>45</v>
      </c>
      <c r="B50" s="7" t="n">
        <f aca="false">A50*0.04</f>
        <v>1.8</v>
      </c>
      <c r="C50" s="18" t="n">
        <v>900</v>
      </c>
      <c r="D50" s="7" t="n">
        <f aca="false">IF(AND(C50=0,c_TCREEP&gt;0),10*c_TCREEP,IF(AND(C50&lt;=c_TRNGMIN,C50&gt;=c_TRNGMAX,c_TRNGMIN-c_TRNGMAX&lt;&gt;0),-10*c_TMINRN+QUOTIENT((c_TMAXRN-c_TMINRN)*(100-QUOTIENT((C50-c_TRNGMAX)*100,c_TRNGMIN-c_TRNGMAX)),-10),0))</f>
        <v>0</v>
      </c>
      <c r="E50" s="7" t="n">
        <f aca="false">IF(((c_TMAP1IN)-(c_TFWD))=0,(0)+QUOTIENT(((c_TMAP1OUT)-(0)),2),QUOTIENT((((C50)-(c_TFWD))*((c_TMAP1OUT)-(0))+IF(((c_TMAP1OUT)-(0))&gt;=0,1,-1)*QUOTIENT(((c_TMAP1IN)-(c_TFWD)),2)),((c_TMAP1IN)-(c_TFWD)))+(0)+IF(((c_TMAP1OUT)-(0))&gt;=0,IF(IF(o_WRAP=1,MOD(((c_TMAP1IN)-(c_TFWD))*(((C50)-(c_TFWD))*((c_TMAP1OUT)-(0))+IF(((c_TMAP1OUT)-(0))&gt;=0,1,-1)*QUOTIENT(((c_TMAP1IN)-(c_TFWD)),2))+2147483648,4294967296)-2147483648,((c_TMAP1IN)-(c_TFWD))*(((C50)-(c_TFWD))*((c_TMAP1OUT)-(0))+IF(((c_TMAP1OUT)-(0))&gt;=0,1,-1)*QUOTIENT(((c_TMAP1IN)-(c_TFWD)),2)))&lt;0,-1,0),IF(IF(o_WRAP=1,MOD(((c_TMAP1IN)-(c_TFWD))*(((C50)-(c_TFWD))*((c_TMAP1OUT)-(0))+IF(((c_TMAP1OUT)-(0))&gt;=0,1,-1)*QUOTIENT(((c_TMAP1IN)-(c_TFWD)),2))+2147483648,4294967296)-2147483648,((c_TMAP1IN)-(c_TFWD))*(((C50)-(c_TFWD))*((c_TMAP1OUT)-(0))+IF(((c_TMAP1OUT)-(0))&gt;=0,1,-1)*QUOTIENT(((c_TMAP1IN)-(c_TFWD)),2)))&gt;=0,1,0)))</f>
        <v>692</v>
      </c>
      <c r="F50" s="7" t="n">
        <f aca="false">IF(((c_TMAP2IN)-(c_TMAP1IN))=0,(c_TMAP1OUT)+QUOTIENT(((c_TMAP2OUT)-(c_TMAP1OUT)),2),QUOTIENT((((C50)-(c_TMAP1IN))*((c_TMAP2OUT)-(c_TMAP1OUT))+IF(((c_TMAP2OUT)-(c_TMAP1OUT))&gt;=0,1,-1)*QUOTIENT(((c_TMAP2IN)-(c_TMAP1IN)),2)),((c_TMAP2IN)-(c_TMAP1IN)))+(c_TMAP1OUT)+IF(((c_TMAP2OUT)-(c_TMAP1OUT))&gt;=0,IF(IF(o_WRAP=1,MOD(((c_TMAP2IN)-(c_TMAP1IN))*(((C50)-(c_TMAP1IN))*((c_TMAP2OUT)-(c_TMAP1OUT))+IF(((c_TMAP2OUT)-(c_TMAP1OUT))&gt;=0,1,-1)*QUOTIENT(((c_TMAP2IN)-(c_TMAP1IN)),2))+2147483648,4294967296)-2147483648,((c_TMAP2IN)-(c_TMAP1IN))*(((C50)-(c_TMAP1IN))*((c_TMAP2OUT)-(c_TMAP1OUT))+IF(((c_TMAP2OUT)-(c_TMAP1OUT))&gt;=0,1,-1)*QUOTIENT(((c_TMAP2IN)-(c_TMAP1IN)),2)))&lt;0,-1,0),IF(IF(o_WRAP=1,MOD(((c_TMAP2IN)-(c_TMAP1IN))*(((C50)-(c_TMAP1IN))*((c_TMAP2OUT)-(c_TMAP1OUT))+IF(((c_TMAP2OUT)-(c_TMAP1OUT))&gt;=0,1,-1)*QUOTIENT(((c_TMAP2IN)-(c_TMAP1IN)),2))+2147483648,4294967296)-2147483648,((c_TMAP2IN)-(c_TMAP1IN))*(((C50)-(c_TMAP1IN))*((c_TMAP2OUT)-(c_TMAP1OUT))+IF(((c_TMAP2OUT)-(c_TMAP1OUT))&gt;=0,1,-1)*QUOTIENT(((c_TMAP2IN)-(c_TMAP1IN)),2)))&gt;=0,1,0)))</f>
        <v>390</v>
      </c>
      <c r="G50" s="7" t="n">
        <f aca="false">IF(((c_TMAP3IN)-(c_TMAP2IN))=0,(c_TMAP2OUT)+QUOTIENT(((c_TMAP3OUT)-(c_TMAP2OUT)),2),QUOTIENT((((C50)-(c_TMAP2IN))*((c_TMAP3OUT)-(c_TMAP2OUT))+IF(((c_TMAP3OUT)-(c_TMAP2OUT))&gt;=0,1,-1)*QUOTIENT(((c_TMAP3IN)-(c_TMAP2IN)),2)),((c_TMAP3IN)-(c_TMAP2IN)))+(c_TMAP2OUT)+IF(((c_TMAP3OUT)-(c_TMAP2OUT))&gt;=0,IF(IF(o_WRAP=1,MOD(((c_TMAP3IN)-(c_TMAP2IN))*(((C50)-(c_TMAP2IN))*((c_TMAP3OUT)-(c_TMAP2OUT))+IF(((c_TMAP3OUT)-(c_TMAP2OUT))&gt;=0,1,-1)*QUOTIENT(((c_TMAP3IN)-(c_TMAP2IN)),2))+2147483648,4294967296)-2147483648,((c_TMAP3IN)-(c_TMAP2IN))*(((C50)-(c_TMAP2IN))*((c_TMAP3OUT)-(c_TMAP2OUT))+IF(((c_TMAP3OUT)-(c_TMAP2OUT))&gt;=0,1,-1)*QUOTIENT(((c_TMAP3IN)-(c_TMAP2IN)),2)))&lt;0,-1,0),IF(IF(o_WRAP=1,MOD(((c_TMAP3IN)-(c_TMAP2IN))*(((C50)-(c_TMAP2IN))*((c_TMAP3OUT)-(c_TMAP2OUT))+IF(((c_TMAP3OUT)-(c_TMAP2OUT))&gt;=0,1,-1)*QUOTIENT(((c_TMAP3IN)-(c_TMAP2IN)),2))+2147483648,4294967296)-2147483648,((c_TMAP3IN)-(c_TMAP2IN))*(((C50)-(c_TMAP2IN))*((c_TMAP3OUT)-(c_TMAP2OUT))+IF(((c_TMAP3OUT)-(c_TMAP2OUT))&gt;=0,1,-1)*QUOTIENT(((c_TMAP3IN)-(c_TMAP2IN)),2)))&gt;=0,1,0)))</f>
        <v>585</v>
      </c>
      <c r="H50" s="7" t="n">
        <f aca="false">IF(((1000)-(c_TMAP3IN))=0,(c_TMAP3OUT)+QUOTIENT(((1000)-(c_TMAP3OUT)),2),QUOTIENT((((C50)-(c_TMAP3IN))*((1000)-(c_TMAP3OUT))+IF(((1000)-(c_TMAP3OUT))&gt;=0,1,-1)*QUOTIENT(((1000)-(c_TMAP3IN)),2)),((1000)-(c_TMAP3IN)))+(c_TMAP3OUT)+IF(((1000)-(c_TMAP3OUT))&gt;=0,IF(IF(o_WRAP=1,MOD(((1000)-(c_TMAP3IN))*(((C50)-(c_TMAP3IN))*((1000)-(c_TMAP3OUT))+IF(((1000)-(c_TMAP3OUT))&gt;=0,1,-1)*QUOTIENT(((1000)-(c_TMAP3IN)),2))+2147483648,4294967296)-2147483648,((1000)-(c_TMAP3IN))*(((C50)-(c_TMAP3IN))*((1000)-(c_TMAP3OUT))+IF(((1000)-(c_TMAP3OUT))&gt;=0,1,-1)*QUOTIENT(((1000)-(c_TMAP3IN)),2)))&lt;0,-1,0),IF(IF(o_WRAP=1,MOD(((1000)-(c_TMAP3IN))*(((C50)-(c_TMAP3IN))*((1000)-(c_TMAP3OUT))+IF(((1000)-(c_TMAP3OUT))&gt;=0,1,-1)*QUOTIENT(((1000)-(c_TMAP3IN)),2))+2147483648,4294967296)-2147483648,((1000)-(c_TMAP3IN))*(((C50)-(c_TMAP3IN))*((1000)-(c_TMAP3OUT))+IF(((1000)-(c_TMAP3OUT))&gt;=0,1,-1)*QUOTIENT(((1000)-(c_TMAP3IN)),2)))&gt;=0,1,0)))</f>
        <v>877</v>
      </c>
      <c r="I50" s="7" t="n">
        <f aca="false">IF(C50&gt;=c_TFWD,IF(AND(C50&gt;=c_TMAP3IN,c_TMAP3IN&lt;1000),H50,IF(AND(C50&gt;=c_TMAP2IN,c_TMAP3IN&gt;c_TMAP2IN),G50,IF(AND(C50&gt;=c_TMAP1IN,c_TMAP2IN&gt;c_TMAP1IN),F50,E50))),D50)</f>
        <v>877</v>
      </c>
      <c r="J50" s="7" t="str">
        <f aca="false">IF(I50&lt;-1090,"TOO LOW",IF(I50&gt;1090,"TOO HIGH",""))</f>
        <v/>
      </c>
      <c r="K50" s="7" t="n">
        <f aca="false">IF(J50&lt;&gt;"",0,IF(I50&gt;979,1000,I50))</f>
        <v>877</v>
      </c>
      <c r="L50" s="7" t="n">
        <f aca="false">IF(OR(c_TSMOOTH=0,K50&gt;=c_TSMOOTHCUT),1,0)</f>
        <v>1</v>
      </c>
      <c r="M50" s="7" t="n">
        <f aca="false">IF(L50=1,0,M49+1)</f>
        <v>0</v>
      </c>
      <c r="N50" s="7" t="n">
        <f aca="false">IF(L50=1,0,MIN(M50,c_TSMOOTH))</f>
        <v>0</v>
      </c>
      <c r="O50" s="7" t="n">
        <f aca="false">IF(COUNTIF($L$5:L50,1)&gt;0,c_TSMOOTHCUT,0)</f>
        <v>400</v>
      </c>
      <c r="P50" s="15" t="n">
        <f aca="true">IF(L50=1,K50,QUOTIENT(SUM(OFFSET(K50,1-N50,0,N50,1))+(c_TSMOOTH-N50)*O50,c_TSMOOTH))</f>
        <v>877</v>
      </c>
      <c r="Q50" s="7" t="n">
        <f aca="false">K50/10</f>
        <v>87.7</v>
      </c>
      <c r="R50" s="7" t="n">
        <f aca="false">P50/10</f>
        <v>87.7</v>
      </c>
    </row>
    <row r="51" customFormat="false" ht="15" hidden="false" customHeight="false" outlineLevel="0" collapsed="false">
      <c r="A51" s="7" t="n">
        <v>46</v>
      </c>
      <c r="B51" s="7" t="n">
        <f aca="false">A51*0.04</f>
        <v>1.84</v>
      </c>
      <c r="C51" s="18" t="n">
        <v>900</v>
      </c>
      <c r="D51" s="7" t="n">
        <f aca="false">IF(AND(C51=0,c_TCREEP&gt;0),10*c_TCREEP,IF(AND(C51&lt;=c_TRNGMIN,C51&gt;=c_TRNGMAX,c_TRNGMIN-c_TRNGMAX&lt;&gt;0),-10*c_TMINRN+QUOTIENT((c_TMAXRN-c_TMINRN)*(100-QUOTIENT((C51-c_TRNGMAX)*100,c_TRNGMIN-c_TRNGMAX)),-10),0))</f>
        <v>0</v>
      </c>
      <c r="E51" s="7" t="n">
        <f aca="false">IF(((c_TMAP1IN)-(c_TFWD))=0,(0)+QUOTIENT(((c_TMAP1OUT)-(0)),2),QUOTIENT((((C51)-(c_TFWD))*((c_TMAP1OUT)-(0))+IF(((c_TMAP1OUT)-(0))&gt;=0,1,-1)*QUOTIENT(((c_TMAP1IN)-(c_TFWD)),2)),((c_TMAP1IN)-(c_TFWD)))+(0)+IF(((c_TMAP1OUT)-(0))&gt;=0,IF(IF(o_WRAP=1,MOD(((c_TMAP1IN)-(c_TFWD))*(((C51)-(c_TFWD))*((c_TMAP1OUT)-(0))+IF(((c_TMAP1OUT)-(0))&gt;=0,1,-1)*QUOTIENT(((c_TMAP1IN)-(c_TFWD)),2))+2147483648,4294967296)-2147483648,((c_TMAP1IN)-(c_TFWD))*(((C51)-(c_TFWD))*((c_TMAP1OUT)-(0))+IF(((c_TMAP1OUT)-(0))&gt;=0,1,-1)*QUOTIENT(((c_TMAP1IN)-(c_TFWD)),2)))&lt;0,-1,0),IF(IF(o_WRAP=1,MOD(((c_TMAP1IN)-(c_TFWD))*(((C51)-(c_TFWD))*((c_TMAP1OUT)-(0))+IF(((c_TMAP1OUT)-(0))&gt;=0,1,-1)*QUOTIENT(((c_TMAP1IN)-(c_TFWD)),2))+2147483648,4294967296)-2147483648,((c_TMAP1IN)-(c_TFWD))*(((C51)-(c_TFWD))*((c_TMAP1OUT)-(0))+IF(((c_TMAP1OUT)-(0))&gt;=0,1,-1)*QUOTIENT(((c_TMAP1IN)-(c_TFWD)),2)))&gt;=0,1,0)))</f>
        <v>692</v>
      </c>
      <c r="F51" s="7" t="n">
        <f aca="false">IF(((c_TMAP2IN)-(c_TMAP1IN))=0,(c_TMAP1OUT)+QUOTIENT(((c_TMAP2OUT)-(c_TMAP1OUT)),2),QUOTIENT((((C51)-(c_TMAP1IN))*((c_TMAP2OUT)-(c_TMAP1OUT))+IF(((c_TMAP2OUT)-(c_TMAP1OUT))&gt;=0,1,-1)*QUOTIENT(((c_TMAP2IN)-(c_TMAP1IN)),2)),((c_TMAP2IN)-(c_TMAP1IN)))+(c_TMAP1OUT)+IF(((c_TMAP2OUT)-(c_TMAP1OUT))&gt;=0,IF(IF(o_WRAP=1,MOD(((c_TMAP2IN)-(c_TMAP1IN))*(((C51)-(c_TMAP1IN))*((c_TMAP2OUT)-(c_TMAP1OUT))+IF(((c_TMAP2OUT)-(c_TMAP1OUT))&gt;=0,1,-1)*QUOTIENT(((c_TMAP2IN)-(c_TMAP1IN)),2))+2147483648,4294967296)-2147483648,((c_TMAP2IN)-(c_TMAP1IN))*(((C51)-(c_TMAP1IN))*((c_TMAP2OUT)-(c_TMAP1OUT))+IF(((c_TMAP2OUT)-(c_TMAP1OUT))&gt;=0,1,-1)*QUOTIENT(((c_TMAP2IN)-(c_TMAP1IN)),2)))&lt;0,-1,0),IF(IF(o_WRAP=1,MOD(((c_TMAP2IN)-(c_TMAP1IN))*(((C51)-(c_TMAP1IN))*((c_TMAP2OUT)-(c_TMAP1OUT))+IF(((c_TMAP2OUT)-(c_TMAP1OUT))&gt;=0,1,-1)*QUOTIENT(((c_TMAP2IN)-(c_TMAP1IN)),2))+2147483648,4294967296)-2147483648,((c_TMAP2IN)-(c_TMAP1IN))*(((C51)-(c_TMAP1IN))*((c_TMAP2OUT)-(c_TMAP1OUT))+IF(((c_TMAP2OUT)-(c_TMAP1OUT))&gt;=0,1,-1)*QUOTIENT(((c_TMAP2IN)-(c_TMAP1IN)),2)))&gt;=0,1,0)))</f>
        <v>390</v>
      </c>
      <c r="G51" s="7" t="n">
        <f aca="false">IF(((c_TMAP3IN)-(c_TMAP2IN))=0,(c_TMAP2OUT)+QUOTIENT(((c_TMAP3OUT)-(c_TMAP2OUT)),2),QUOTIENT((((C51)-(c_TMAP2IN))*((c_TMAP3OUT)-(c_TMAP2OUT))+IF(((c_TMAP3OUT)-(c_TMAP2OUT))&gt;=0,1,-1)*QUOTIENT(((c_TMAP3IN)-(c_TMAP2IN)),2)),((c_TMAP3IN)-(c_TMAP2IN)))+(c_TMAP2OUT)+IF(((c_TMAP3OUT)-(c_TMAP2OUT))&gt;=0,IF(IF(o_WRAP=1,MOD(((c_TMAP3IN)-(c_TMAP2IN))*(((C51)-(c_TMAP2IN))*((c_TMAP3OUT)-(c_TMAP2OUT))+IF(((c_TMAP3OUT)-(c_TMAP2OUT))&gt;=0,1,-1)*QUOTIENT(((c_TMAP3IN)-(c_TMAP2IN)),2))+2147483648,4294967296)-2147483648,((c_TMAP3IN)-(c_TMAP2IN))*(((C51)-(c_TMAP2IN))*((c_TMAP3OUT)-(c_TMAP2OUT))+IF(((c_TMAP3OUT)-(c_TMAP2OUT))&gt;=0,1,-1)*QUOTIENT(((c_TMAP3IN)-(c_TMAP2IN)),2)))&lt;0,-1,0),IF(IF(o_WRAP=1,MOD(((c_TMAP3IN)-(c_TMAP2IN))*(((C51)-(c_TMAP2IN))*((c_TMAP3OUT)-(c_TMAP2OUT))+IF(((c_TMAP3OUT)-(c_TMAP2OUT))&gt;=0,1,-1)*QUOTIENT(((c_TMAP3IN)-(c_TMAP2IN)),2))+2147483648,4294967296)-2147483648,((c_TMAP3IN)-(c_TMAP2IN))*(((C51)-(c_TMAP2IN))*((c_TMAP3OUT)-(c_TMAP2OUT))+IF(((c_TMAP3OUT)-(c_TMAP2OUT))&gt;=0,1,-1)*QUOTIENT(((c_TMAP3IN)-(c_TMAP2IN)),2)))&gt;=0,1,0)))</f>
        <v>585</v>
      </c>
      <c r="H51" s="7" t="n">
        <f aca="false">IF(((1000)-(c_TMAP3IN))=0,(c_TMAP3OUT)+QUOTIENT(((1000)-(c_TMAP3OUT)),2),QUOTIENT((((C51)-(c_TMAP3IN))*((1000)-(c_TMAP3OUT))+IF(((1000)-(c_TMAP3OUT))&gt;=0,1,-1)*QUOTIENT(((1000)-(c_TMAP3IN)),2)),((1000)-(c_TMAP3IN)))+(c_TMAP3OUT)+IF(((1000)-(c_TMAP3OUT))&gt;=0,IF(IF(o_WRAP=1,MOD(((1000)-(c_TMAP3IN))*(((C51)-(c_TMAP3IN))*((1000)-(c_TMAP3OUT))+IF(((1000)-(c_TMAP3OUT))&gt;=0,1,-1)*QUOTIENT(((1000)-(c_TMAP3IN)),2))+2147483648,4294967296)-2147483648,((1000)-(c_TMAP3IN))*(((C51)-(c_TMAP3IN))*((1000)-(c_TMAP3OUT))+IF(((1000)-(c_TMAP3OUT))&gt;=0,1,-1)*QUOTIENT(((1000)-(c_TMAP3IN)),2)))&lt;0,-1,0),IF(IF(o_WRAP=1,MOD(((1000)-(c_TMAP3IN))*(((C51)-(c_TMAP3IN))*((1000)-(c_TMAP3OUT))+IF(((1000)-(c_TMAP3OUT))&gt;=0,1,-1)*QUOTIENT(((1000)-(c_TMAP3IN)),2))+2147483648,4294967296)-2147483648,((1000)-(c_TMAP3IN))*(((C51)-(c_TMAP3IN))*((1000)-(c_TMAP3OUT))+IF(((1000)-(c_TMAP3OUT))&gt;=0,1,-1)*QUOTIENT(((1000)-(c_TMAP3IN)),2)))&gt;=0,1,0)))</f>
        <v>877</v>
      </c>
      <c r="I51" s="7" t="n">
        <f aca="false">IF(C51&gt;=c_TFWD,IF(AND(C51&gt;=c_TMAP3IN,c_TMAP3IN&lt;1000),H51,IF(AND(C51&gt;=c_TMAP2IN,c_TMAP3IN&gt;c_TMAP2IN),G51,IF(AND(C51&gt;=c_TMAP1IN,c_TMAP2IN&gt;c_TMAP1IN),F51,E51))),D51)</f>
        <v>877</v>
      </c>
      <c r="J51" s="7" t="str">
        <f aca="false">IF(I51&lt;-1090,"TOO LOW",IF(I51&gt;1090,"TOO HIGH",""))</f>
        <v/>
      </c>
      <c r="K51" s="7" t="n">
        <f aca="false">IF(J51&lt;&gt;"",0,IF(I51&gt;979,1000,I51))</f>
        <v>877</v>
      </c>
      <c r="L51" s="7" t="n">
        <f aca="false">IF(OR(c_TSMOOTH=0,K51&gt;=c_TSMOOTHCUT),1,0)</f>
        <v>1</v>
      </c>
      <c r="M51" s="7" t="n">
        <f aca="false">IF(L51=1,0,M50+1)</f>
        <v>0</v>
      </c>
      <c r="N51" s="7" t="n">
        <f aca="false">IF(L51=1,0,MIN(M51,c_TSMOOTH))</f>
        <v>0</v>
      </c>
      <c r="O51" s="7" t="n">
        <f aca="false">IF(COUNTIF($L$5:L51,1)&gt;0,c_TSMOOTHCUT,0)</f>
        <v>400</v>
      </c>
      <c r="P51" s="15" t="n">
        <f aca="true">IF(L51=1,K51,QUOTIENT(SUM(OFFSET(K51,1-N51,0,N51,1))+(c_TSMOOTH-N51)*O51,c_TSMOOTH))</f>
        <v>877</v>
      </c>
      <c r="Q51" s="7" t="n">
        <f aca="false">K51/10</f>
        <v>87.7</v>
      </c>
      <c r="R51" s="7" t="n">
        <f aca="false">P51/10</f>
        <v>87.7</v>
      </c>
    </row>
    <row r="52" customFormat="false" ht="15" hidden="false" customHeight="false" outlineLevel="0" collapsed="false">
      <c r="A52" s="7" t="n">
        <v>47</v>
      </c>
      <c r="B52" s="7" t="n">
        <f aca="false">A52*0.04</f>
        <v>1.88</v>
      </c>
      <c r="C52" s="18" t="n">
        <v>900</v>
      </c>
      <c r="D52" s="7" t="n">
        <f aca="false">IF(AND(C52=0,c_TCREEP&gt;0),10*c_TCREEP,IF(AND(C52&lt;=c_TRNGMIN,C52&gt;=c_TRNGMAX,c_TRNGMIN-c_TRNGMAX&lt;&gt;0),-10*c_TMINRN+QUOTIENT((c_TMAXRN-c_TMINRN)*(100-QUOTIENT((C52-c_TRNGMAX)*100,c_TRNGMIN-c_TRNGMAX)),-10),0))</f>
        <v>0</v>
      </c>
      <c r="E52" s="7" t="n">
        <f aca="false">IF(((c_TMAP1IN)-(c_TFWD))=0,(0)+QUOTIENT(((c_TMAP1OUT)-(0)),2),QUOTIENT((((C52)-(c_TFWD))*((c_TMAP1OUT)-(0))+IF(((c_TMAP1OUT)-(0))&gt;=0,1,-1)*QUOTIENT(((c_TMAP1IN)-(c_TFWD)),2)),((c_TMAP1IN)-(c_TFWD)))+(0)+IF(((c_TMAP1OUT)-(0))&gt;=0,IF(IF(o_WRAP=1,MOD(((c_TMAP1IN)-(c_TFWD))*(((C52)-(c_TFWD))*((c_TMAP1OUT)-(0))+IF(((c_TMAP1OUT)-(0))&gt;=0,1,-1)*QUOTIENT(((c_TMAP1IN)-(c_TFWD)),2))+2147483648,4294967296)-2147483648,((c_TMAP1IN)-(c_TFWD))*(((C52)-(c_TFWD))*((c_TMAP1OUT)-(0))+IF(((c_TMAP1OUT)-(0))&gt;=0,1,-1)*QUOTIENT(((c_TMAP1IN)-(c_TFWD)),2)))&lt;0,-1,0),IF(IF(o_WRAP=1,MOD(((c_TMAP1IN)-(c_TFWD))*(((C52)-(c_TFWD))*((c_TMAP1OUT)-(0))+IF(((c_TMAP1OUT)-(0))&gt;=0,1,-1)*QUOTIENT(((c_TMAP1IN)-(c_TFWD)),2))+2147483648,4294967296)-2147483648,((c_TMAP1IN)-(c_TFWD))*(((C52)-(c_TFWD))*((c_TMAP1OUT)-(0))+IF(((c_TMAP1OUT)-(0))&gt;=0,1,-1)*QUOTIENT(((c_TMAP1IN)-(c_TFWD)),2)))&gt;=0,1,0)))</f>
        <v>692</v>
      </c>
      <c r="F52" s="7" t="n">
        <f aca="false">IF(((c_TMAP2IN)-(c_TMAP1IN))=0,(c_TMAP1OUT)+QUOTIENT(((c_TMAP2OUT)-(c_TMAP1OUT)),2),QUOTIENT((((C52)-(c_TMAP1IN))*((c_TMAP2OUT)-(c_TMAP1OUT))+IF(((c_TMAP2OUT)-(c_TMAP1OUT))&gt;=0,1,-1)*QUOTIENT(((c_TMAP2IN)-(c_TMAP1IN)),2)),((c_TMAP2IN)-(c_TMAP1IN)))+(c_TMAP1OUT)+IF(((c_TMAP2OUT)-(c_TMAP1OUT))&gt;=0,IF(IF(o_WRAP=1,MOD(((c_TMAP2IN)-(c_TMAP1IN))*(((C52)-(c_TMAP1IN))*((c_TMAP2OUT)-(c_TMAP1OUT))+IF(((c_TMAP2OUT)-(c_TMAP1OUT))&gt;=0,1,-1)*QUOTIENT(((c_TMAP2IN)-(c_TMAP1IN)),2))+2147483648,4294967296)-2147483648,((c_TMAP2IN)-(c_TMAP1IN))*(((C52)-(c_TMAP1IN))*((c_TMAP2OUT)-(c_TMAP1OUT))+IF(((c_TMAP2OUT)-(c_TMAP1OUT))&gt;=0,1,-1)*QUOTIENT(((c_TMAP2IN)-(c_TMAP1IN)),2)))&lt;0,-1,0),IF(IF(o_WRAP=1,MOD(((c_TMAP2IN)-(c_TMAP1IN))*(((C52)-(c_TMAP1IN))*((c_TMAP2OUT)-(c_TMAP1OUT))+IF(((c_TMAP2OUT)-(c_TMAP1OUT))&gt;=0,1,-1)*QUOTIENT(((c_TMAP2IN)-(c_TMAP1IN)),2))+2147483648,4294967296)-2147483648,((c_TMAP2IN)-(c_TMAP1IN))*(((C52)-(c_TMAP1IN))*((c_TMAP2OUT)-(c_TMAP1OUT))+IF(((c_TMAP2OUT)-(c_TMAP1OUT))&gt;=0,1,-1)*QUOTIENT(((c_TMAP2IN)-(c_TMAP1IN)),2)))&gt;=0,1,0)))</f>
        <v>390</v>
      </c>
      <c r="G52" s="7" t="n">
        <f aca="false">IF(((c_TMAP3IN)-(c_TMAP2IN))=0,(c_TMAP2OUT)+QUOTIENT(((c_TMAP3OUT)-(c_TMAP2OUT)),2),QUOTIENT((((C52)-(c_TMAP2IN))*((c_TMAP3OUT)-(c_TMAP2OUT))+IF(((c_TMAP3OUT)-(c_TMAP2OUT))&gt;=0,1,-1)*QUOTIENT(((c_TMAP3IN)-(c_TMAP2IN)),2)),((c_TMAP3IN)-(c_TMAP2IN)))+(c_TMAP2OUT)+IF(((c_TMAP3OUT)-(c_TMAP2OUT))&gt;=0,IF(IF(o_WRAP=1,MOD(((c_TMAP3IN)-(c_TMAP2IN))*(((C52)-(c_TMAP2IN))*((c_TMAP3OUT)-(c_TMAP2OUT))+IF(((c_TMAP3OUT)-(c_TMAP2OUT))&gt;=0,1,-1)*QUOTIENT(((c_TMAP3IN)-(c_TMAP2IN)),2))+2147483648,4294967296)-2147483648,((c_TMAP3IN)-(c_TMAP2IN))*(((C52)-(c_TMAP2IN))*((c_TMAP3OUT)-(c_TMAP2OUT))+IF(((c_TMAP3OUT)-(c_TMAP2OUT))&gt;=0,1,-1)*QUOTIENT(((c_TMAP3IN)-(c_TMAP2IN)),2)))&lt;0,-1,0),IF(IF(o_WRAP=1,MOD(((c_TMAP3IN)-(c_TMAP2IN))*(((C52)-(c_TMAP2IN))*((c_TMAP3OUT)-(c_TMAP2OUT))+IF(((c_TMAP3OUT)-(c_TMAP2OUT))&gt;=0,1,-1)*QUOTIENT(((c_TMAP3IN)-(c_TMAP2IN)),2))+2147483648,4294967296)-2147483648,((c_TMAP3IN)-(c_TMAP2IN))*(((C52)-(c_TMAP2IN))*((c_TMAP3OUT)-(c_TMAP2OUT))+IF(((c_TMAP3OUT)-(c_TMAP2OUT))&gt;=0,1,-1)*QUOTIENT(((c_TMAP3IN)-(c_TMAP2IN)),2)))&gt;=0,1,0)))</f>
        <v>585</v>
      </c>
      <c r="H52" s="7" t="n">
        <f aca="false">IF(((1000)-(c_TMAP3IN))=0,(c_TMAP3OUT)+QUOTIENT(((1000)-(c_TMAP3OUT)),2),QUOTIENT((((C52)-(c_TMAP3IN))*((1000)-(c_TMAP3OUT))+IF(((1000)-(c_TMAP3OUT))&gt;=0,1,-1)*QUOTIENT(((1000)-(c_TMAP3IN)),2)),((1000)-(c_TMAP3IN)))+(c_TMAP3OUT)+IF(((1000)-(c_TMAP3OUT))&gt;=0,IF(IF(o_WRAP=1,MOD(((1000)-(c_TMAP3IN))*(((C52)-(c_TMAP3IN))*((1000)-(c_TMAP3OUT))+IF(((1000)-(c_TMAP3OUT))&gt;=0,1,-1)*QUOTIENT(((1000)-(c_TMAP3IN)),2))+2147483648,4294967296)-2147483648,((1000)-(c_TMAP3IN))*(((C52)-(c_TMAP3IN))*((1000)-(c_TMAP3OUT))+IF(((1000)-(c_TMAP3OUT))&gt;=0,1,-1)*QUOTIENT(((1000)-(c_TMAP3IN)),2)))&lt;0,-1,0),IF(IF(o_WRAP=1,MOD(((1000)-(c_TMAP3IN))*(((C52)-(c_TMAP3IN))*((1000)-(c_TMAP3OUT))+IF(((1000)-(c_TMAP3OUT))&gt;=0,1,-1)*QUOTIENT(((1000)-(c_TMAP3IN)),2))+2147483648,4294967296)-2147483648,((1000)-(c_TMAP3IN))*(((C52)-(c_TMAP3IN))*((1000)-(c_TMAP3OUT))+IF(((1000)-(c_TMAP3OUT))&gt;=0,1,-1)*QUOTIENT(((1000)-(c_TMAP3IN)),2)))&gt;=0,1,0)))</f>
        <v>877</v>
      </c>
      <c r="I52" s="7" t="n">
        <f aca="false">IF(C52&gt;=c_TFWD,IF(AND(C52&gt;=c_TMAP3IN,c_TMAP3IN&lt;1000),H52,IF(AND(C52&gt;=c_TMAP2IN,c_TMAP3IN&gt;c_TMAP2IN),G52,IF(AND(C52&gt;=c_TMAP1IN,c_TMAP2IN&gt;c_TMAP1IN),F52,E52))),D52)</f>
        <v>877</v>
      </c>
      <c r="J52" s="7" t="str">
        <f aca="false">IF(I52&lt;-1090,"TOO LOW",IF(I52&gt;1090,"TOO HIGH",""))</f>
        <v/>
      </c>
      <c r="K52" s="7" t="n">
        <f aca="false">IF(J52&lt;&gt;"",0,IF(I52&gt;979,1000,I52))</f>
        <v>877</v>
      </c>
      <c r="L52" s="7" t="n">
        <f aca="false">IF(OR(c_TSMOOTH=0,K52&gt;=c_TSMOOTHCUT),1,0)</f>
        <v>1</v>
      </c>
      <c r="M52" s="7" t="n">
        <f aca="false">IF(L52=1,0,M51+1)</f>
        <v>0</v>
      </c>
      <c r="N52" s="7" t="n">
        <f aca="false">IF(L52=1,0,MIN(M52,c_TSMOOTH))</f>
        <v>0</v>
      </c>
      <c r="O52" s="7" t="n">
        <f aca="false">IF(COUNTIF($L$5:L52,1)&gt;0,c_TSMOOTHCUT,0)</f>
        <v>400</v>
      </c>
      <c r="P52" s="15" t="n">
        <f aca="true">IF(L52=1,K52,QUOTIENT(SUM(OFFSET(K52,1-N52,0,N52,1))+(c_TSMOOTH-N52)*O52,c_TSMOOTH))</f>
        <v>877</v>
      </c>
      <c r="Q52" s="7" t="n">
        <f aca="false">K52/10</f>
        <v>87.7</v>
      </c>
      <c r="R52" s="7" t="n">
        <f aca="false">P52/10</f>
        <v>87.7</v>
      </c>
    </row>
    <row r="53" customFormat="false" ht="15" hidden="false" customHeight="false" outlineLevel="0" collapsed="false">
      <c r="A53" s="7" t="n">
        <v>48</v>
      </c>
      <c r="B53" s="7" t="n">
        <f aca="false">A53*0.04</f>
        <v>1.92</v>
      </c>
      <c r="C53" s="18" t="n">
        <v>900</v>
      </c>
      <c r="D53" s="7" t="n">
        <f aca="false">IF(AND(C53=0,c_TCREEP&gt;0),10*c_TCREEP,IF(AND(C53&lt;=c_TRNGMIN,C53&gt;=c_TRNGMAX,c_TRNGMIN-c_TRNGMAX&lt;&gt;0),-10*c_TMINRN+QUOTIENT((c_TMAXRN-c_TMINRN)*(100-QUOTIENT((C53-c_TRNGMAX)*100,c_TRNGMIN-c_TRNGMAX)),-10),0))</f>
        <v>0</v>
      </c>
      <c r="E53" s="7" t="n">
        <f aca="false">IF(((c_TMAP1IN)-(c_TFWD))=0,(0)+QUOTIENT(((c_TMAP1OUT)-(0)),2),QUOTIENT((((C53)-(c_TFWD))*((c_TMAP1OUT)-(0))+IF(((c_TMAP1OUT)-(0))&gt;=0,1,-1)*QUOTIENT(((c_TMAP1IN)-(c_TFWD)),2)),((c_TMAP1IN)-(c_TFWD)))+(0)+IF(((c_TMAP1OUT)-(0))&gt;=0,IF(IF(o_WRAP=1,MOD(((c_TMAP1IN)-(c_TFWD))*(((C53)-(c_TFWD))*((c_TMAP1OUT)-(0))+IF(((c_TMAP1OUT)-(0))&gt;=0,1,-1)*QUOTIENT(((c_TMAP1IN)-(c_TFWD)),2))+2147483648,4294967296)-2147483648,((c_TMAP1IN)-(c_TFWD))*(((C53)-(c_TFWD))*((c_TMAP1OUT)-(0))+IF(((c_TMAP1OUT)-(0))&gt;=0,1,-1)*QUOTIENT(((c_TMAP1IN)-(c_TFWD)),2)))&lt;0,-1,0),IF(IF(o_WRAP=1,MOD(((c_TMAP1IN)-(c_TFWD))*(((C53)-(c_TFWD))*((c_TMAP1OUT)-(0))+IF(((c_TMAP1OUT)-(0))&gt;=0,1,-1)*QUOTIENT(((c_TMAP1IN)-(c_TFWD)),2))+2147483648,4294967296)-2147483648,((c_TMAP1IN)-(c_TFWD))*(((C53)-(c_TFWD))*((c_TMAP1OUT)-(0))+IF(((c_TMAP1OUT)-(0))&gt;=0,1,-1)*QUOTIENT(((c_TMAP1IN)-(c_TFWD)),2)))&gt;=0,1,0)))</f>
        <v>692</v>
      </c>
      <c r="F53" s="7" t="n">
        <f aca="false">IF(((c_TMAP2IN)-(c_TMAP1IN))=0,(c_TMAP1OUT)+QUOTIENT(((c_TMAP2OUT)-(c_TMAP1OUT)),2),QUOTIENT((((C53)-(c_TMAP1IN))*((c_TMAP2OUT)-(c_TMAP1OUT))+IF(((c_TMAP2OUT)-(c_TMAP1OUT))&gt;=0,1,-1)*QUOTIENT(((c_TMAP2IN)-(c_TMAP1IN)),2)),((c_TMAP2IN)-(c_TMAP1IN)))+(c_TMAP1OUT)+IF(((c_TMAP2OUT)-(c_TMAP1OUT))&gt;=0,IF(IF(o_WRAP=1,MOD(((c_TMAP2IN)-(c_TMAP1IN))*(((C53)-(c_TMAP1IN))*((c_TMAP2OUT)-(c_TMAP1OUT))+IF(((c_TMAP2OUT)-(c_TMAP1OUT))&gt;=0,1,-1)*QUOTIENT(((c_TMAP2IN)-(c_TMAP1IN)),2))+2147483648,4294967296)-2147483648,((c_TMAP2IN)-(c_TMAP1IN))*(((C53)-(c_TMAP1IN))*((c_TMAP2OUT)-(c_TMAP1OUT))+IF(((c_TMAP2OUT)-(c_TMAP1OUT))&gt;=0,1,-1)*QUOTIENT(((c_TMAP2IN)-(c_TMAP1IN)),2)))&lt;0,-1,0),IF(IF(o_WRAP=1,MOD(((c_TMAP2IN)-(c_TMAP1IN))*(((C53)-(c_TMAP1IN))*((c_TMAP2OUT)-(c_TMAP1OUT))+IF(((c_TMAP2OUT)-(c_TMAP1OUT))&gt;=0,1,-1)*QUOTIENT(((c_TMAP2IN)-(c_TMAP1IN)),2))+2147483648,4294967296)-2147483648,((c_TMAP2IN)-(c_TMAP1IN))*(((C53)-(c_TMAP1IN))*((c_TMAP2OUT)-(c_TMAP1OUT))+IF(((c_TMAP2OUT)-(c_TMAP1OUT))&gt;=0,1,-1)*QUOTIENT(((c_TMAP2IN)-(c_TMAP1IN)),2)))&gt;=0,1,0)))</f>
        <v>390</v>
      </c>
      <c r="G53" s="7" t="n">
        <f aca="false">IF(((c_TMAP3IN)-(c_TMAP2IN))=0,(c_TMAP2OUT)+QUOTIENT(((c_TMAP3OUT)-(c_TMAP2OUT)),2),QUOTIENT((((C53)-(c_TMAP2IN))*((c_TMAP3OUT)-(c_TMAP2OUT))+IF(((c_TMAP3OUT)-(c_TMAP2OUT))&gt;=0,1,-1)*QUOTIENT(((c_TMAP3IN)-(c_TMAP2IN)),2)),((c_TMAP3IN)-(c_TMAP2IN)))+(c_TMAP2OUT)+IF(((c_TMAP3OUT)-(c_TMAP2OUT))&gt;=0,IF(IF(o_WRAP=1,MOD(((c_TMAP3IN)-(c_TMAP2IN))*(((C53)-(c_TMAP2IN))*((c_TMAP3OUT)-(c_TMAP2OUT))+IF(((c_TMAP3OUT)-(c_TMAP2OUT))&gt;=0,1,-1)*QUOTIENT(((c_TMAP3IN)-(c_TMAP2IN)),2))+2147483648,4294967296)-2147483648,((c_TMAP3IN)-(c_TMAP2IN))*(((C53)-(c_TMAP2IN))*((c_TMAP3OUT)-(c_TMAP2OUT))+IF(((c_TMAP3OUT)-(c_TMAP2OUT))&gt;=0,1,-1)*QUOTIENT(((c_TMAP3IN)-(c_TMAP2IN)),2)))&lt;0,-1,0),IF(IF(o_WRAP=1,MOD(((c_TMAP3IN)-(c_TMAP2IN))*(((C53)-(c_TMAP2IN))*((c_TMAP3OUT)-(c_TMAP2OUT))+IF(((c_TMAP3OUT)-(c_TMAP2OUT))&gt;=0,1,-1)*QUOTIENT(((c_TMAP3IN)-(c_TMAP2IN)),2))+2147483648,4294967296)-2147483648,((c_TMAP3IN)-(c_TMAP2IN))*(((C53)-(c_TMAP2IN))*((c_TMAP3OUT)-(c_TMAP2OUT))+IF(((c_TMAP3OUT)-(c_TMAP2OUT))&gt;=0,1,-1)*QUOTIENT(((c_TMAP3IN)-(c_TMAP2IN)),2)))&gt;=0,1,0)))</f>
        <v>585</v>
      </c>
      <c r="H53" s="7" t="n">
        <f aca="false">IF(((1000)-(c_TMAP3IN))=0,(c_TMAP3OUT)+QUOTIENT(((1000)-(c_TMAP3OUT)),2),QUOTIENT((((C53)-(c_TMAP3IN))*((1000)-(c_TMAP3OUT))+IF(((1000)-(c_TMAP3OUT))&gt;=0,1,-1)*QUOTIENT(((1000)-(c_TMAP3IN)),2)),((1000)-(c_TMAP3IN)))+(c_TMAP3OUT)+IF(((1000)-(c_TMAP3OUT))&gt;=0,IF(IF(o_WRAP=1,MOD(((1000)-(c_TMAP3IN))*(((C53)-(c_TMAP3IN))*((1000)-(c_TMAP3OUT))+IF(((1000)-(c_TMAP3OUT))&gt;=0,1,-1)*QUOTIENT(((1000)-(c_TMAP3IN)),2))+2147483648,4294967296)-2147483648,((1000)-(c_TMAP3IN))*(((C53)-(c_TMAP3IN))*((1000)-(c_TMAP3OUT))+IF(((1000)-(c_TMAP3OUT))&gt;=0,1,-1)*QUOTIENT(((1000)-(c_TMAP3IN)),2)))&lt;0,-1,0),IF(IF(o_WRAP=1,MOD(((1000)-(c_TMAP3IN))*(((C53)-(c_TMAP3IN))*((1000)-(c_TMAP3OUT))+IF(((1000)-(c_TMAP3OUT))&gt;=0,1,-1)*QUOTIENT(((1000)-(c_TMAP3IN)),2))+2147483648,4294967296)-2147483648,((1000)-(c_TMAP3IN))*(((C53)-(c_TMAP3IN))*((1000)-(c_TMAP3OUT))+IF(((1000)-(c_TMAP3OUT))&gt;=0,1,-1)*QUOTIENT(((1000)-(c_TMAP3IN)),2)))&gt;=0,1,0)))</f>
        <v>877</v>
      </c>
      <c r="I53" s="7" t="n">
        <f aca="false">IF(C53&gt;=c_TFWD,IF(AND(C53&gt;=c_TMAP3IN,c_TMAP3IN&lt;1000),H53,IF(AND(C53&gt;=c_TMAP2IN,c_TMAP3IN&gt;c_TMAP2IN),G53,IF(AND(C53&gt;=c_TMAP1IN,c_TMAP2IN&gt;c_TMAP1IN),F53,E53))),D53)</f>
        <v>877</v>
      </c>
      <c r="J53" s="7" t="str">
        <f aca="false">IF(I53&lt;-1090,"TOO LOW",IF(I53&gt;1090,"TOO HIGH",""))</f>
        <v/>
      </c>
      <c r="K53" s="7" t="n">
        <f aca="false">IF(J53&lt;&gt;"",0,IF(I53&gt;979,1000,I53))</f>
        <v>877</v>
      </c>
      <c r="L53" s="7" t="n">
        <f aca="false">IF(OR(c_TSMOOTH=0,K53&gt;=c_TSMOOTHCUT),1,0)</f>
        <v>1</v>
      </c>
      <c r="M53" s="7" t="n">
        <f aca="false">IF(L53=1,0,M52+1)</f>
        <v>0</v>
      </c>
      <c r="N53" s="7" t="n">
        <f aca="false">IF(L53=1,0,MIN(M53,c_TSMOOTH))</f>
        <v>0</v>
      </c>
      <c r="O53" s="7" t="n">
        <f aca="false">IF(COUNTIF($L$5:L53,1)&gt;0,c_TSMOOTHCUT,0)</f>
        <v>400</v>
      </c>
      <c r="P53" s="15" t="n">
        <f aca="true">IF(L53=1,K53,QUOTIENT(SUM(OFFSET(K53,1-N53,0,N53,1))+(c_TSMOOTH-N53)*O53,c_TSMOOTH))</f>
        <v>877</v>
      </c>
      <c r="Q53" s="7" t="n">
        <f aca="false">K53/10</f>
        <v>87.7</v>
      </c>
      <c r="R53" s="7" t="n">
        <f aca="false">P53/10</f>
        <v>87.7</v>
      </c>
    </row>
    <row r="54" customFormat="false" ht="15" hidden="false" customHeight="false" outlineLevel="0" collapsed="false">
      <c r="A54" s="7" t="n">
        <v>49</v>
      </c>
      <c r="B54" s="7" t="n">
        <f aca="false">A54*0.04</f>
        <v>1.96</v>
      </c>
      <c r="C54" s="18" t="n">
        <v>900</v>
      </c>
      <c r="D54" s="7" t="n">
        <f aca="false">IF(AND(C54=0,c_TCREEP&gt;0),10*c_TCREEP,IF(AND(C54&lt;=c_TRNGMIN,C54&gt;=c_TRNGMAX,c_TRNGMIN-c_TRNGMAX&lt;&gt;0),-10*c_TMINRN+QUOTIENT((c_TMAXRN-c_TMINRN)*(100-QUOTIENT((C54-c_TRNGMAX)*100,c_TRNGMIN-c_TRNGMAX)),-10),0))</f>
        <v>0</v>
      </c>
      <c r="E54" s="7" t="n">
        <f aca="false">IF(((c_TMAP1IN)-(c_TFWD))=0,(0)+QUOTIENT(((c_TMAP1OUT)-(0)),2),QUOTIENT((((C54)-(c_TFWD))*((c_TMAP1OUT)-(0))+IF(((c_TMAP1OUT)-(0))&gt;=0,1,-1)*QUOTIENT(((c_TMAP1IN)-(c_TFWD)),2)),((c_TMAP1IN)-(c_TFWD)))+(0)+IF(((c_TMAP1OUT)-(0))&gt;=0,IF(IF(o_WRAP=1,MOD(((c_TMAP1IN)-(c_TFWD))*(((C54)-(c_TFWD))*((c_TMAP1OUT)-(0))+IF(((c_TMAP1OUT)-(0))&gt;=0,1,-1)*QUOTIENT(((c_TMAP1IN)-(c_TFWD)),2))+2147483648,4294967296)-2147483648,((c_TMAP1IN)-(c_TFWD))*(((C54)-(c_TFWD))*((c_TMAP1OUT)-(0))+IF(((c_TMAP1OUT)-(0))&gt;=0,1,-1)*QUOTIENT(((c_TMAP1IN)-(c_TFWD)),2)))&lt;0,-1,0),IF(IF(o_WRAP=1,MOD(((c_TMAP1IN)-(c_TFWD))*(((C54)-(c_TFWD))*((c_TMAP1OUT)-(0))+IF(((c_TMAP1OUT)-(0))&gt;=0,1,-1)*QUOTIENT(((c_TMAP1IN)-(c_TFWD)),2))+2147483648,4294967296)-2147483648,((c_TMAP1IN)-(c_TFWD))*(((C54)-(c_TFWD))*((c_TMAP1OUT)-(0))+IF(((c_TMAP1OUT)-(0))&gt;=0,1,-1)*QUOTIENT(((c_TMAP1IN)-(c_TFWD)),2)))&gt;=0,1,0)))</f>
        <v>692</v>
      </c>
      <c r="F54" s="7" t="n">
        <f aca="false">IF(((c_TMAP2IN)-(c_TMAP1IN))=0,(c_TMAP1OUT)+QUOTIENT(((c_TMAP2OUT)-(c_TMAP1OUT)),2),QUOTIENT((((C54)-(c_TMAP1IN))*((c_TMAP2OUT)-(c_TMAP1OUT))+IF(((c_TMAP2OUT)-(c_TMAP1OUT))&gt;=0,1,-1)*QUOTIENT(((c_TMAP2IN)-(c_TMAP1IN)),2)),((c_TMAP2IN)-(c_TMAP1IN)))+(c_TMAP1OUT)+IF(((c_TMAP2OUT)-(c_TMAP1OUT))&gt;=0,IF(IF(o_WRAP=1,MOD(((c_TMAP2IN)-(c_TMAP1IN))*(((C54)-(c_TMAP1IN))*((c_TMAP2OUT)-(c_TMAP1OUT))+IF(((c_TMAP2OUT)-(c_TMAP1OUT))&gt;=0,1,-1)*QUOTIENT(((c_TMAP2IN)-(c_TMAP1IN)),2))+2147483648,4294967296)-2147483648,((c_TMAP2IN)-(c_TMAP1IN))*(((C54)-(c_TMAP1IN))*((c_TMAP2OUT)-(c_TMAP1OUT))+IF(((c_TMAP2OUT)-(c_TMAP1OUT))&gt;=0,1,-1)*QUOTIENT(((c_TMAP2IN)-(c_TMAP1IN)),2)))&lt;0,-1,0),IF(IF(o_WRAP=1,MOD(((c_TMAP2IN)-(c_TMAP1IN))*(((C54)-(c_TMAP1IN))*((c_TMAP2OUT)-(c_TMAP1OUT))+IF(((c_TMAP2OUT)-(c_TMAP1OUT))&gt;=0,1,-1)*QUOTIENT(((c_TMAP2IN)-(c_TMAP1IN)),2))+2147483648,4294967296)-2147483648,((c_TMAP2IN)-(c_TMAP1IN))*(((C54)-(c_TMAP1IN))*((c_TMAP2OUT)-(c_TMAP1OUT))+IF(((c_TMAP2OUT)-(c_TMAP1OUT))&gt;=0,1,-1)*QUOTIENT(((c_TMAP2IN)-(c_TMAP1IN)),2)))&gt;=0,1,0)))</f>
        <v>390</v>
      </c>
      <c r="G54" s="7" t="n">
        <f aca="false">IF(((c_TMAP3IN)-(c_TMAP2IN))=0,(c_TMAP2OUT)+QUOTIENT(((c_TMAP3OUT)-(c_TMAP2OUT)),2),QUOTIENT((((C54)-(c_TMAP2IN))*((c_TMAP3OUT)-(c_TMAP2OUT))+IF(((c_TMAP3OUT)-(c_TMAP2OUT))&gt;=0,1,-1)*QUOTIENT(((c_TMAP3IN)-(c_TMAP2IN)),2)),((c_TMAP3IN)-(c_TMAP2IN)))+(c_TMAP2OUT)+IF(((c_TMAP3OUT)-(c_TMAP2OUT))&gt;=0,IF(IF(o_WRAP=1,MOD(((c_TMAP3IN)-(c_TMAP2IN))*(((C54)-(c_TMAP2IN))*((c_TMAP3OUT)-(c_TMAP2OUT))+IF(((c_TMAP3OUT)-(c_TMAP2OUT))&gt;=0,1,-1)*QUOTIENT(((c_TMAP3IN)-(c_TMAP2IN)),2))+2147483648,4294967296)-2147483648,((c_TMAP3IN)-(c_TMAP2IN))*(((C54)-(c_TMAP2IN))*((c_TMAP3OUT)-(c_TMAP2OUT))+IF(((c_TMAP3OUT)-(c_TMAP2OUT))&gt;=0,1,-1)*QUOTIENT(((c_TMAP3IN)-(c_TMAP2IN)),2)))&lt;0,-1,0),IF(IF(o_WRAP=1,MOD(((c_TMAP3IN)-(c_TMAP2IN))*(((C54)-(c_TMAP2IN))*((c_TMAP3OUT)-(c_TMAP2OUT))+IF(((c_TMAP3OUT)-(c_TMAP2OUT))&gt;=0,1,-1)*QUOTIENT(((c_TMAP3IN)-(c_TMAP2IN)),2))+2147483648,4294967296)-2147483648,((c_TMAP3IN)-(c_TMAP2IN))*(((C54)-(c_TMAP2IN))*((c_TMAP3OUT)-(c_TMAP2OUT))+IF(((c_TMAP3OUT)-(c_TMAP2OUT))&gt;=0,1,-1)*QUOTIENT(((c_TMAP3IN)-(c_TMAP2IN)),2)))&gt;=0,1,0)))</f>
        <v>585</v>
      </c>
      <c r="H54" s="7" t="n">
        <f aca="false">IF(((1000)-(c_TMAP3IN))=0,(c_TMAP3OUT)+QUOTIENT(((1000)-(c_TMAP3OUT)),2),QUOTIENT((((C54)-(c_TMAP3IN))*((1000)-(c_TMAP3OUT))+IF(((1000)-(c_TMAP3OUT))&gt;=0,1,-1)*QUOTIENT(((1000)-(c_TMAP3IN)),2)),((1000)-(c_TMAP3IN)))+(c_TMAP3OUT)+IF(((1000)-(c_TMAP3OUT))&gt;=0,IF(IF(o_WRAP=1,MOD(((1000)-(c_TMAP3IN))*(((C54)-(c_TMAP3IN))*((1000)-(c_TMAP3OUT))+IF(((1000)-(c_TMAP3OUT))&gt;=0,1,-1)*QUOTIENT(((1000)-(c_TMAP3IN)),2))+2147483648,4294967296)-2147483648,((1000)-(c_TMAP3IN))*(((C54)-(c_TMAP3IN))*((1000)-(c_TMAP3OUT))+IF(((1000)-(c_TMAP3OUT))&gt;=0,1,-1)*QUOTIENT(((1000)-(c_TMAP3IN)),2)))&lt;0,-1,0),IF(IF(o_WRAP=1,MOD(((1000)-(c_TMAP3IN))*(((C54)-(c_TMAP3IN))*((1000)-(c_TMAP3OUT))+IF(((1000)-(c_TMAP3OUT))&gt;=0,1,-1)*QUOTIENT(((1000)-(c_TMAP3IN)),2))+2147483648,4294967296)-2147483648,((1000)-(c_TMAP3IN))*(((C54)-(c_TMAP3IN))*((1000)-(c_TMAP3OUT))+IF(((1000)-(c_TMAP3OUT))&gt;=0,1,-1)*QUOTIENT(((1000)-(c_TMAP3IN)),2)))&gt;=0,1,0)))</f>
        <v>877</v>
      </c>
      <c r="I54" s="7" t="n">
        <f aca="false">IF(C54&gt;=c_TFWD,IF(AND(C54&gt;=c_TMAP3IN,c_TMAP3IN&lt;1000),H54,IF(AND(C54&gt;=c_TMAP2IN,c_TMAP3IN&gt;c_TMAP2IN),G54,IF(AND(C54&gt;=c_TMAP1IN,c_TMAP2IN&gt;c_TMAP1IN),F54,E54))),D54)</f>
        <v>877</v>
      </c>
      <c r="J54" s="7" t="str">
        <f aca="false">IF(I54&lt;-1090,"TOO LOW",IF(I54&gt;1090,"TOO HIGH",""))</f>
        <v/>
      </c>
      <c r="K54" s="7" t="n">
        <f aca="false">IF(J54&lt;&gt;"",0,IF(I54&gt;979,1000,I54))</f>
        <v>877</v>
      </c>
      <c r="L54" s="7" t="n">
        <f aca="false">IF(OR(c_TSMOOTH=0,K54&gt;=c_TSMOOTHCUT),1,0)</f>
        <v>1</v>
      </c>
      <c r="M54" s="7" t="n">
        <f aca="false">IF(L54=1,0,M53+1)</f>
        <v>0</v>
      </c>
      <c r="N54" s="7" t="n">
        <f aca="false">IF(L54=1,0,MIN(M54,c_TSMOOTH))</f>
        <v>0</v>
      </c>
      <c r="O54" s="7" t="n">
        <f aca="false">IF(COUNTIF($L$5:L54,1)&gt;0,c_TSMOOTHCUT,0)</f>
        <v>400</v>
      </c>
      <c r="P54" s="15" t="n">
        <f aca="true">IF(L54=1,K54,QUOTIENT(SUM(OFFSET(K54,1-N54,0,N54,1))+(c_TSMOOTH-N54)*O54,c_TSMOOTH))</f>
        <v>877</v>
      </c>
      <c r="Q54" s="7" t="n">
        <f aca="false">K54/10</f>
        <v>87.7</v>
      </c>
      <c r="R54" s="7" t="n">
        <f aca="false">P54/10</f>
        <v>87.7</v>
      </c>
    </row>
    <row r="55" customFormat="false" ht="15" hidden="false" customHeight="false" outlineLevel="0" collapsed="false">
      <c r="A55" s="7" t="n">
        <v>50</v>
      </c>
      <c r="B55" s="7" t="n">
        <f aca="false">A55*0.04</f>
        <v>2</v>
      </c>
      <c r="C55" s="18" t="n">
        <v>900</v>
      </c>
      <c r="D55" s="7" t="n">
        <f aca="false">IF(AND(C55=0,c_TCREEP&gt;0),10*c_TCREEP,IF(AND(C55&lt;=c_TRNGMIN,C55&gt;=c_TRNGMAX,c_TRNGMIN-c_TRNGMAX&lt;&gt;0),-10*c_TMINRN+QUOTIENT((c_TMAXRN-c_TMINRN)*(100-QUOTIENT((C55-c_TRNGMAX)*100,c_TRNGMIN-c_TRNGMAX)),-10),0))</f>
        <v>0</v>
      </c>
      <c r="E55" s="7" t="n">
        <f aca="false">IF(((c_TMAP1IN)-(c_TFWD))=0,(0)+QUOTIENT(((c_TMAP1OUT)-(0)),2),QUOTIENT((((C55)-(c_TFWD))*((c_TMAP1OUT)-(0))+IF(((c_TMAP1OUT)-(0))&gt;=0,1,-1)*QUOTIENT(((c_TMAP1IN)-(c_TFWD)),2)),((c_TMAP1IN)-(c_TFWD)))+(0)+IF(((c_TMAP1OUT)-(0))&gt;=0,IF(IF(o_WRAP=1,MOD(((c_TMAP1IN)-(c_TFWD))*(((C55)-(c_TFWD))*((c_TMAP1OUT)-(0))+IF(((c_TMAP1OUT)-(0))&gt;=0,1,-1)*QUOTIENT(((c_TMAP1IN)-(c_TFWD)),2))+2147483648,4294967296)-2147483648,((c_TMAP1IN)-(c_TFWD))*(((C55)-(c_TFWD))*((c_TMAP1OUT)-(0))+IF(((c_TMAP1OUT)-(0))&gt;=0,1,-1)*QUOTIENT(((c_TMAP1IN)-(c_TFWD)),2)))&lt;0,-1,0),IF(IF(o_WRAP=1,MOD(((c_TMAP1IN)-(c_TFWD))*(((C55)-(c_TFWD))*((c_TMAP1OUT)-(0))+IF(((c_TMAP1OUT)-(0))&gt;=0,1,-1)*QUOTIENT(((c_TMAP1IN)-(c_TFWD)),2))+2147483648,4294967296)-2147483648,((c_TMAP1IN)-(c_TFWD))*(((C55)-(c_TFWD))*((c_TMAP1OUT)-(0))+IF(((c_TMAP1OUT)-(0))&gt;=0,1,-1)*QUOTIENT(((c_TMAP1IN)-(c_TFWD)),2)))&gt;=0,1,0)))</f>
        <v>692</v>
      </c>
      <c r="F55" s="7" t="n">
        <f aca="false">IF(((c_TMAP2IN)-(c_TMAP1IN))=0,(c_TMAP1OUT)+QUOTIENT(((c_TMAP2OUT)-(c_TMAP1OUT)),2),QUOTIENT((((C55)-(c_TMAP1IN))*((c_TMAP2OUT)-(c_TMAP1OUT))+IF(((c_TMAP2OUT)-(c_TMAP1OUT))&gt;=0,1,-1)*QUOTIENT(((c_TMAP2IN)-(c_TMAP1IN)),2)),((c_TMAP2IN)-(c_TMAP1IN)))+(c_TMAP1OUT)+IF(((c_TMAP2OUT)-(c_TMAP1OUT))&gt;=0,IF(IF(o_WRAP=1,MOD(((c_TMAP2IN)-(c_TMAP1IN))*(((C55)-(c_TMAP1IN))*((c_TMAP2OUT)-(c_TMAP1OUT))+IF(((c_TMAP2OUT)-(c_TMAP1OUT))&gt;=0,1,-1)*QUOTIENT(((c_TMAP2IN)-(c_TMAP1IN)),2))+2147483648,4294967296)-2147483648,((c_TMAP2IN)-(c_TMAP1IN))*(((C55)-(c_TMAP1IN))*((c_TMAP2OUT)-(c_TMAP1OUT))+IF(((c_TMAP2OUT)-(c_TMAP1OUT))&gt;=0,1,-1)*QUOTIENT(((c_TMAP2IN)-(c_TMAP1IN)),2)))&lt;0,-1,0),IF(IF(o_WRAP=1,MOD(((c_TMAP2IN)-(c_TMAP1IN))*(((C55)-(c_TMAP1IN))*((c_TMAP2OUT)-(c_TMAP1OUT))+IF(((c_TMAP2OUT)-(c_TMAP1OUT))&gt;=0,1,-1)*QUOTIENT(((c_TMAP2IN)-(c_TMAP1IN)),2))+2147483648,4294967296)-2147483648,((c_TMAP2IN)-(c_TMAP1IN))*(((C55)-(c_TMAP1IN))*((c_TMAP2OUT)-(c_TMAP1OUT))+IF(((c_TMAP2OUT)-(c_TMAP1OUT))&gt;=0,1,-1)*QUOTIENT(((c_TMAP2IN)-(c_TMAP1IN)),2)))&gt;=0,1,0)))</f>
        <v>390</v>
      </c>
      <c r="G55" s="7" t="n">
        <f aca="false">IF(((c_TMAP3IN)-(c_TMAP2IN))=0,(c_TMAP2OUT)+QUOTIENT(((c_TMAP3OUT)-(c_TMAP2OUT)),2),QUOTIENT((((C55)-(c_TMAP2IN))*((c_TMAP3OUT)-(c_TMAP2OUT))+IF(((c_TMAP3OUT)-(c_TMAP2OUT))&gt;=0,1,-1)*QUOTIENT(((c_TMAP3IN)-(c_TMAP2IN)),2)),((c_TMAP3IN)-(c_TMAP2IN)))+(c_TMAP2OUT)+IF(((c_TMAP3OUT)-(c_TMAP2OUT))&gt;=0,IF(IF(o_WRAP=1,MOD(((c_TMAP3IN)-(c_TMAP2IN))*(((C55)-(c_TMAP2IN))*((c_TMAP3OUT)-(c_TMAP2OUT))+IF(((c_TMAP3OUT)-(c_TMAP2OUT))&gt;=0,1,-1)*QUOTIENT(((c_TMAP3IN)-(c_TMAP2IN)),2))+2147483648,4294967296)-2147483648,((c_TMAP3IN)-(c_TMAP2IN))*(((C55)-(c_TMAP2IN))*((c_TMAP3OUT)-(c_TMAP2OUT))+IF(((c_TMAP3OUT)-(c_TMAP2OUT))&gt;=0,1,-1)*QUOTIENT(((c_TMAP3IN)-(c_TMAP2IN)),2)))&lt;0,-1,0),IF(IF(o_WRAP=1,MOD(((c_TMAP3IN)-(c_TMAP2IN))*(((C55)-(c_TMAP2IN))*((c_TMAP3OUT)-(c_TMAP2OUT))+IF(((c_TMAP3OUT)-(c_TMAP2OUT))&gt;=0,1,-1)*QUOTIENT(((c_TMAP3IN)-(c_TMAP2IN)),2))+2147483648,4294967296)-2147483648,((c_TMAP3IN)-(c_TMAP2IN))*(((C55)-(c_TMAP2IN))*((c_TMAP3OUT)-(c_TMAP2OUT))+IF(((c_TMAP3OUT)-(c_TMAP2OUT))&gt;=0,1,-1)*QUOTIENT(((c_TMAP3IN)-(c_TMAP2IN)),2)))&gt;=0,1,0)))</f>
        <v>585</v>
      </c>
      <c r="H55" s="7" t="n">
        <f aca="false">IF(((1000)-(c_TMAP3IN))=0,(c_TMAP3OUT)+QUOTIENT(((1000)-(c_TMAP3OUT)),2),QUOTIENT((((C55)-(c_TMAP3IN))*((1000)-(c_TMAP3OUT))+IF(((1000)-(c_TMAP3OUT))&gt;=0,1,-1)*QUOTIENT(((1000)-(c_TMAP3IN)),2)),((1000)-(c_TMAP3IN)))+(c_TMAP3OUT)+IF(((1000)-(c_TMAP3OUT))&gt;=0,IF(IF(o_WRAP=1,MOD(((1000)-(c_TMAP3IN))*(((C55)-(c_TMAP3IN))*((1000)-(c_TMAP3OUT))+IF(((1000)-(c_TMAP3OUT))&gt;=0,1,-1)*QUOTIENT(((1000)-(c_TMAP3IN)),2))+2147483648,4294967296)-2147483648,((1000)-(c_TMAP3IN))*(((C55)-(c_TMAP3IN))*((1000)-(c_TMAP3OUT))+IF(((1000)-(c_TMAP3OUT))&gt;=0,1,-1)*QUOTIENT(((1000)-(c_TMAP3IN)),2)))&lt;0,-1,0),IF(IF(o_WRAP=1,MOD(((1000)-(c_TMAP3IN))*(((C55)-(c_TMAP3IN))*((1000)-(c_TMAP3OUT))+IF(((1000)-(c_TMAP3OUT))&gt;=0,1,-1)*QUOTIENT(((1000)-(c_TMAP3IN)),2))+2147483648,4294967296)-2147483648,((1000)-(c_TMAP3IN))*(((C55)-(c_TMAP3IN))*((1000)-(c_TMAP3OUT))+IF(((1000)-(c_TMAP3OUT))&gt;=0,1,-1)*QUOTIENT(((1000)-(c_TMAP3IN)),2)))&gt;=0,1,0)))</f>
        <v>877</v>
      </c>
      <c r="I55" s="7" t="n">
        <f aca="false">IF(C55&gt;=c_TFWD,IF(AND(C55&gt;=c_TMAP3IN,c_TMAP3IN&lt;1000),H55,IF(AND(C55&gt;=c_TMAP2IN,c_TMAP3IN&gt;c_TMAP2IN),G55,IF(AND(C55&gt;=c_TMAP1IN,c_TMAP2IN&gt;c_TMAP1IN),F55,E55))),D55)</f>
        <v>877</v>
      </c>
      <c r="J55" s="7" t="str">
        <f aca="false">IF(I55&lt;-1090,"TOO LOW",IF(I55&gt;1090,"TOO HIGH",""))</f>
        <v/>
      </c>
      <c r="K55" s="7" t="n">
        <f aca="false">IF(J55&lt;&gt;"",0,IF(I55&gt;979,1000,I55))</f>
        <v>877</v>
      </c>
      <c r="L55" s="7" t="n">
        <f aca="false">IF(OR(c_TSMOOTH=0,K55&gt;=c_TSMOOTHCUT),1,0)</f>
        <v>1</v>
      </c>
      <c r="M55" s="7" t="n">
        <f aca="false">IF(L55=1,0,M54+1)</f>
        <v>0</v>
      </c>
      <c r="N55" s="7" t="n">
        <f aca="false">IF(L55=1,0,MIN(M55,c_TSMOOTH))</f>
        <v>0</v>
      </c>
      <c r="O55" s="7" t="n">
        <f aca="false">IF(COUNTIF($L$5:L55,1)&gt;0,c_TSMOOTHCUT,0)</f>
        <v>400</v>
      </c>
      <c r="P55" s="15" t="n">
        <f aca="true">IF(L55=1,K55,QUOTIENT(SUM(OFFSET(K55,1-N55,0,N55,1))+(c_TSMOOTH-N55)*O55,c_TSMOOTH))</f>
        <v>877</v>
      </c>
      <c r="Q55" s="7" t="n">
        <f aca="false">K55/10</f>
        <v>87.7</v>
      </c>
      <c r="R55" s="7" t="n">
        <f aca="false">P55/10</f>
        <v>87.7</v>
      </c>
    </row>
    <row r="56" customFormat="false" ht="15" hidden="false" customHeight="false" outlineLevel="0" collapsed="false">
      <c r="A56" s="7" t="n">
        <v>51</v>
      </c>
      <c r="B56" s="7" t="n">
        <f aca="false">A56*0.04</f>
        <v>2.04</v>
      </c>
      <c r="C56" s="18" t="n">
        <v>900</v>
      </c>
      <c r="D56" s="7" t="n">
        <f aca="false">IF(AND(C56=0,c_TCREEP&gt;0),10*c_TCREEP,IF(AND(C56&lt;=c_TRNGMIN,C56&gt;=c_TRNGMAX,c_TRNGMIN-c_TRNGMAX&lt;&gt;0),-10*c_TMINRN+QUOTIENT((c_TMAXRN-c_TMINRN)*(100-QUOTIENT((C56-c_TRNGMAX)*100,c_TRNGMIN-c_TRNGMAX)),-10),0))</f>
        <v>0</v>
      </c>
      <c r="E56" s="7" t="n">
        <f aca="false">IF(((c_TMAP1IN)-(c_TFWD))=0,(0)+QUOTIENT(((c_TMAP1OUT)-(0)),2),QUOTIENT((((C56)-(c_TFWD))*((c_TMAP1OUT)-(0))+IF(((c_TMAP1OUT)-(0))&gt;=0,1,-1)*QUOTIENT(((c_TMAP1IN)-(c_TFWD)),2)),((c_TMAP1IN)-(c_TFWD)))+(0)+IF(((c_TMAP1OUT)-(0))&gt;=0,IF(IF(o_WRAP=1,MOD(((c_TMAP1IN)-(c_TFWD))*(((C56)-(c_TFWD))*((c_TMAP1OUT)-(0))+IF(((c_TMAP1OUT)-(0))&gt;=0,1,-1)*QUOTIENT(((c_TMAP1IN)-(c_TFWD)),2))+2147483648,4294967296)-2147483648,((c_TMAP1IN)-(c_TFWD))*(((C56)-(c_TFWD))*((c_TMAP1OUT)-(0))+IF(((c_TMAP1OUT)-(0))&gt;=0,1,-1)*QUOTIENT(((c_TMAP1IN)-(c_TFWD)),2)))&lt;0,-1,0),IF(IF(o_WRAP=1,MOD(((c_TMAP1IN)-(c_TFWD))*(((C56)-(c_TFWD))*((c_TMAP1OUT)-(0))+IF(((c_TMAP1OUT)-(0))&gt;=0,1,-1)*QUOTIENT(((c_TMAP1IN)-(c_TFWD)),2))+2147483648,4294967296)-2147483648,((c_TMAP1IN)-(c_TFWD))*(((C56)-(c_TFWD))*((c_TMAP1OUT)-(0))+IF(((c_TMAP1OUT)-(0))&gt;=0,1,-1)*QUOTIENT(((c_TMAP1IN)-(c_TFWD)),2)))&gt;=0,1,0)))</f>
        <v>692</v>
      </c>
      <c r="F56" s="7" t="n">
        <f aca="false">IF(((c_TMAP2IN)-(c_TMAP1IN))=0,(c_TMAP1OUT)+QUOTIENT(((c_TMAP2OUT)-(c_TMAP1OUT)),2),QUOTIENT((((C56)-(c_TMAP1IN))*((c_TMAP2OUT)-(c_TMAP1OUT))+IF(((c_TMAP2OUT)-(c_TMAP1OUT))&gt;=0,1,-1)*QUOTIENT(((c_TMAP2IN)-(c_TMAP1IN)),2)),((c_TMAP2IN)-(c_TMAP1IN)))+(c_TMAP1OUT)+IF(((c_TMAP2OUT)-(c_TMAP1OUT))&gt;=0,IF(IF(o_WRAP=1,MOD(((c_TMAP2IN)-(c_TMAP1IN))*(((C56)-(c_TMAP1IN))*((c_TMAP2OUT)-(c_TMAP1OUT))+IF(((c_TMAP2OUT)-(c_TMAP1OUT))&gt;=0,1,-1)*QUOTIENT(((c_TMAP2IN)-(c_TMAP1IN)),2))+2147483648,4294967296)-2147483648,((c_TMAP2IN)-(c_TMAP1IN))*(((C56)-(c_TMAP1IN))*((c_TMAP2OUT)-(c_TMAP1OUT))+IF(((c_TMAP2OUT)-(c_TMAP1OUT))&gt;=0,1,-1)*QUOTIENT(((c_TMAP2IN)-(c_TMAP1IN)),2)))&lt;0,-1,0),IF(IF(o_WRAP=1,MOD(((c_TMAP2IN)-(c_TMAP1IN))*(((C56)-(c_TMAP1IN))*((c_TMAP2OUT)-(c_TMAP1OUT))+IF(((c_TMAP2OUT)-(c_TMAP1OUT))&gt;=0,1,-1)*QUOTIENT(((c_TMAP2IN)-(c_TMAP1IN)),2))+2147483648,4294967296)-2147483648,((c_TMAP2IN)-(c_TMAP1IN))*(((C56)-(c_TMAP1IN))*((c_TMAP2OUT)-(c_TMAP1OUT))+IF(((c_TMAP2OUT)-(c_TMAP1OUT))&gt;=0,1,-1)*QUOTIENT(((c_TMAP2IN)-(c_TMAP1IN)),2)))&gt;=0,1,0)))</f>
        <v>390</v>
      </c>
      <c r="G56" s="7" t="n">
        <f aca="false">IF(((c_TMAP3IN)-(c_TMAP2IN))=0,(c_TMAP2OUT)+QUOTIENT(((c_TMAP3OUT)-(c_TMAP2OUT)),2),QUOTIENT((((C56)-(c_TMAP2IN))*((c_TMAP3OUT)-(c_TMAP2OUT))+IF(((c_TMAP3OUT)-(c_TMAP2OUT))&gt;=0,1,-1)*QUOTIENT(((c_TMAP3IN)-(c_TMAP2IN)),2)),((c_TMAP3IN)-(c_TMAP2IN)))+(c_TMAP2OUT)+IF(((c_TMAP3OUT)-(c_TMAP2OUT))&gt;=0,IF(IF(o_WRAP=1,MOD(((c_TMAP3IN)-(c_TMAP2IN))*(((C56)-(c_TMAP2IN))*((c_TMAP3OUT)-(c_TMAP2OUT))+IF(((c_TMAP3OUT)-(c_TMAP2OUT))&gt;=0,1,-1)*QUOTIENT(((c_TMAP3IN)-(c_TMAP2IN)),2))+2147483648,4294967296)-2147483648,((c_TMAP3IN)-(c_TMAP2IN))*(((C56)-(c_TMAP2IN))*((c_TMAP3OUT)-(c_TMAP2OUT))+IF(((c_TMAP3OUT)-(c_TMAP2OUT))&gt;=0,1,-1)*QUOTIENT(((c_TMAP3IN)-(c_TMAP2IN)),2)))&lt;0,-1,0),IF(IF(o_WRAP=1,MOD(((c_TMAP3IN)-(c_TMAP2IN))*(((C56)-(c_TMAP2IN))*((c_TMAP3OUT)-(c_TMAP2OUT))+IF(((c_TMAP3OUT)-(c_TMAP2OUT))&gt;=0,1,-1)*QUOTIENT(((c_TMAP3IN)-(c_TMAP2IN)),2))+2147483648,4294967296)-2147483648,((c_TMAP3IN)-(c_TMAP2IN))*(((C56)-(c_TMAP2IN))*((c_TMAP3OUT)-(c_TMAP2OUT))+IF(((c_TMAP3OUT)-(c_TMAP2OUT))&gt;=0,1,-1)*QUOTIENT(((c_TMAP3IN)-(c_TMAP2IN)),2)))&gt;=0,1,0)))</f>
        <v>585</v>
      </c>
      <c r="H56" s="7" t="n">
        <f aca="false">IF(((1000)-(c_TMAP3IN))=0,(c_TMAP3OUT)+QUOTIENT(((1000)-(c_TMAP3OUT)),2),QUOTIENT((((C56)-(c_TMAP3IN))*((1000)-(c_TMAP3OUT))+IF(((1000)-(c_TMAP3OUT))&gt;=0,1,-1)*QUOTIENT(((1000)-(c_TMAP3IN)),2)),((1000)-(c_TMAP3IN)))+(c_TMAP3OUT)+IF(((1000)-(c_TMAP3OUT))&gt;=0,IF(IF(o_WRAP=1,MOD(((1000)-(c_TMAP3IN))*(((C56)-(c_TMAP3IN))*((1000)-(c_TMAP3OUT))+IF(((1000)-(c_TMAP3OUT))&gt;=0,1,-1)*QUOTIENT(((1000)-(c_TMAP3IN)),2))+2147483648,4294967296)-2147483648,((1000)-(c_TMAP3IN))*(((C56)-(c_TMAP3IN))*((1000)-(c_TMAP3OUT))+IF(((1000)-(c_TMAP3OUT))&gt;=0,1,-1)*QUOTIENT(((1000)-(c_TMAP3IN)),2)))&lt;0,-1,0),IF(IF(o_WRAP=1,MOD(((1000)-(c_TMAP3IN))*(((C56)-(c_TMAP3IN))*((1000)-(c_TMAP3OUT))+IF(((1000)-(c_TMAP3OUT))&gt;=0,1,-1)*QUOTIENT(((1000)-(c_TMAP3IN)),2))+2147483648,4294967296)-2147483648,((1000)-(c_TMAP3IN))*(((C56)-(c_TMAP3IN))*((1000)-(c_TMAP3OUT))+IF(((1000)-(c_TMAP3OUT))&gt;=0,1,-1)*QUOTIENT(((1000)-(c_TMAP3IN)),2)))&gt;=0,1,0)))</f>
        <v>877</v>
      </c>
      <c r="I56" s="7" t="n">
        <f aca="false">IF(C56&gt;=c_TFWD,IF(AND(C56&gt;=c_TMAP3IN,c_TMAP3IN&lt;1000),H56,IF(AND(C56&gt;=c_TMAP2IN,c_TMAP3IN&gt;c_TMAP2IN),G56,IF(AND(C56&gt;=c_TMAP1IN,c_TMAP2IN&gt;c_TMAP1IN),F56,E56))),D56)</f>
        <v>877</v>
      </c>
      <c r="J56" s="7" t="str">
        <f aca="false">IF(I56&lt;-1090,"TOO LOW",IF(I56&gt;1090,"TOO HIGH",""))</f>
        <v/>
      </c>
      <c r="K56" s="7" t="n">
        <f aca="false">IF(J56&lt;&gt;"",0,IF(I56&gt;979,1000,I56))</f>
        <v>877</v>
      </c>
      <c r="L56" s="7" t="n">
        <f aca="false">IF(OR(c_TSMOOTH=0,K56&gt;=c_TSMOOTHCUT),1,0)</f>
        <v>1</v>
      </c>
      <c r="M56" s="7" t="n">
        <f aca="false">IF(L56=1,0,M55+1)</f>
        <v>0</v>
      </c>
      <c r="N56" s="7" t="n">
        <f aca="false">IF(L56=1,0,MIN(M56,c_TSMOOTH))</f>
        <v>0</v>
      </c>
      <c r="O56" s="7" t="n">
        <f aca="false">IF(COUNTIF($L$5:L56,1)&gt;0,c_TSMOOTHCUT,0)</f>
        <v>400</v>
      </c>
      <c r="P56" s="15" t="n">
        <f aca="true">IF(L56=1,K56,QUOTIENT(SUM(OFFSET(K56,1-N56,0,N56,1))+(c_TSMOOTH-N56)*O56,c_TSMOOTH))</f>
        <v>877</v>
      </c>
      <c r="Q56" s="7" t="n">
        <f aca="false">K56/10</f>
        <v>87.7</v>
      </c>
      <c r="R56" s="7" t="n">
        <f aca="false">P56/10</f>
        <v>87.7</v>
      </c>
    </row>
    <row r="57" customFormat="false" ht="15" hidden="false" customHeight="false" outlineLevel="0" collapsed="false">
      <c r="A57" s="7" t="n">
        <v>52</v>
      </c>
      <c r="B57" s="7" t="n">
        <f aca="false">A57*0.04</f>
        <v>2.08</v>
      </c>
      <c r="C57" s="18" t="n">
        <v>900</v>
      </c>
      <c r="D57" s="7" t="n">
        <f aca="false">IF(AND(C57=0,c_TCREEP&gt;0),10*c_TCREEP,IF(AND(C57&lt;=c_TRNGMIN,C57&gt;=c_TRNGMAX,c_TRNGMIN-c_TRNGMAX&lt;&gt;0),-10*c_TMINRN+QUOTIENT((c_TMAXRN-c_TMINRN)*(100-QUOTIENT((C57-c_TRNGMAX)*100,c_TRNGMIN-c_TRNGMAX)),-10),0))</f>
        <v>0</v>
      </c>
      <c r="E57" s="7" t="n">
        <f aca="false">IF(((c_TMAP1IN)-(c_TFWD))=0,(0)+QUOTIENT(((c_TMAP1OUT)-(0)),2),QUOTIENT((((C57)-(c_TFWD))*((c_TMAP1OUT)-(0))+IF(((c_TMAP1OUT)-(0))&gt;=0,1,-1)*QUOTIENT(((c_TMAP1IN)-(c_TFWD)),2)),((c_TMAP1IN)-(c_TFWD)))+(0)+IF(((c_TMAP1OUT)-(0))&gt;=0,IF(IF(o_WRAP=1,MOD(((c_TMAP1IN)-(c_TFWD))*(((C57)-(c_TFWD))*((c_TMAP1OUT)-(0))+IF(((c_TMAP1OUT)-(0))&gt;=0,1,-1)*QUOTIENT(((c_TMAP1IN)-(c_TFWD)),2))+2147483648,4294967296)-2147483648,((c_TMAP1IN)-(c_TFWD))*(((C57)-(c_TFWD))*((c_TMAP1OUT)-(0))+IF(((c_TMAP1OUT)-(0))&gt;=0,1,-1)*QUOTIENT(((c_TMAP1IN)-(c_TFWD)),2)))&lt;0,-1,0),IF(IF(o_WRAP=1,MOD(((c_TMAP1IN)-(c_TFWD))*(((C57)-(c_TFWD))*((c_TMAP1OUT)-(0))+IF(((c_TMAP1OUT)-(0))&gt;=0,1,-1)*QUOTIENT(((c_TMAP1IN)-(c_TFWD)),2))+2147483648,4294967296)-2147483648,((c_TMAP1IN)-(c_TFWD))*(((C57)-(c_TFWD))*((c_TMAP1OUT)-(0))+IF(((c_TMAP1OUT)-(0))&gt;=0,1,-1)*QUOTIENT(((c_TMAP1IN)-(c_TFWD)),2)))&gt;=0,1,0)))</f>
        <v>692</v>
      </c>
      <c r="F57" s="7" t="n">
        <f aca="false">IF(((c_TMAP2IN)-(c_TMAP1IN))=0,(c_TMAP1OUT)+QUOTIENT(((c_TMAP2OUT)-(c_TMAP1OUT)),2),QUOTIENT((((C57)-(c_TMAP1IN))*((c_TMAP2OUT)-(c_TMAP1OUT))+IF(((c_TMAP2OUT)-(c_TMAP1OUT))&gt;=0,1,-1)*QUOTIENT(((c_TMAP2IN)-(c_TMAP1IN)),2)),((c_TMAP2IN)-(c_TMAP1IN)))+(c_TMAP1OUT)+IF(((c_TMAP2OUT)-(c_TMAP1OUT))&gt;=0,IF(IF(o_WRAP=1,MOD(((c_TMAP2IN)-(c_TMAP1IN))*(((C57)-(c_TMAP1IN))*((c_TMAP2OUT)-(c_TMAP1OUT))+IF(((c_TMAP2OUT)-(c_TMAP1OUT))&gt;=0,1,-1)*QUOTIENT(((c_TMAP2IN)-(c_TMAP1IN)),2))+2147483648,4294967296)-2147483648,((c_TMAP2IN)-(c_TMAP1IN))*(((C57)-(c_TMAP1IN))*((c_TMAP2OUT)-(c_TMAP1OUT))+IF(((c_TMAP2OUT)-(c_TMAP1OUT))&gt;=0,1,-1)*QUOTIENT(((c_TMAP2IN)-(c_TMAP1IN)),2)))&lt;0,-1,0),IF(IF(o_WRAP=1,MOD(((c_TMAP2IN)-(c_TMAP1IN))*(((C57)-(c_TMAP1IN))*((c_TMAP2OUT)-(c_TMAP1OUT))+IF(((c_TMAP2OUT)-(c_TMAP1OUT))&gt;=0,1,-1)*QUOTIENT(((c_TMAP2IN)-(c_TMAP1IN)),2))+2147483648,4294967296)-2147483648,((c_TMAP2IN)-(c_TMAP1IN))*(((C57)-(c_TMAP1IN))*((c_TMAP2OUT)-(c_TMAP1OUT))+IF(((c_TMAP2OUT)-(c_TMAP1OUT))&gt;=0,1,-1)*QUOTIENT(((c_TMAP2IN)-(c_TMAP1IN)),2)))&gt;=0,1,0)))</f>
        <v>390</v>
      </c>
      <c r="G57" s="7" t="n">
        <f aca="false">IF(((c_TMAP3IN)-(c_TMAP2IN))=0,(c_TMAP2OUT)+QUOTIENT(((c_TMAP3OUT)-(c_TMAP2OUT)),2),QUOTIENT((((C57)-(c_TMAP2IN))*((c_TMAP3OUT)-(c_TMAP2OUT))+IF(((c_TMAP3OUT)-(c_TMAP2OUT))&gt;=0,1,-1)*QUOTIENT(((c_TMAP3IN)-(c_TMAP2IN)),2)),((c_TMAP3IN)-(c_TMAP2IN)))+(c_TMAP2OUT)+IF(((c_TMAP3OUT)-(c_TMAP2OUT))&gt;=0,IF(IF(o_WRAP=1,MOD(((c_TMAP3IN)-(c_TMAP2IN))*(((C57)-(c_TMAP2IN))*((c_TMAP3OUT)-(c_TMAP2OUT))+IF(((c_TMAP3OUT)-(c_TMAP2OUT))&gt;=0,1,-1)*QUOTIENT(((c_TMAP3IN)-(c_TMAP2IN)),2))+2147483648,4294967296)-2147483648,((c_TMAP3IN)-(c_TMAP2IN))*(((C57)-(c_TMAP2IN))*((c_TMAP3OUT)-(c_TMAP2OUT))+IF(((c_TMAP3OUT)-(c_TMAP2OUT))&gt;=0,1,-1)*QUOTIENT(((c_TMAP3IN)-(c_TMAP2IN)),2)))&lt;0,-1,0),IF(IF(o_WRAP=1,MOD(((c_TMAP3IN)-(c_TMAP2IN))*(((C57)-(c_TMAP2IN))*((c_TMAP3OUT)-(c_TMAP2OUT))+IF(((c_TMAP3OUT)-(c_TMAP2OUT))&gt;=0,1,-1)*QUOTIENT(((c_TMAP3IN)-(c_TMAP2IN)),2))+2147483648,4294967296)-2147483648,((c_TMAP3IN)-(c_TMAP2IN))*(((C57)-(c_TMAP2IN))*((c_TMAP3OUT)-(c_TMAP2OUT))+IF(((c_TMAP3OUT)-(c_TMAP2OUT))&gt;=0,1,-1)*QUOTIENT(((c_TMAP3IN)-(c_TMAP2IN)),2)))&gt;=0,1,0)))</f>
        <v>585</v>
      </c>
      <c r="H57" s="7" t="n">
        <f aca="false">IF(((1000)-(c_TMAP3IN))=0,(c_TMAP3OUT)+QUOTIENT(((1000)-(c_TMAP3OUT)),2),QUOTIENT((((C57)-(c_TMAP3IN))*((1000)-(c_TMAP3OUT))+IF(((1000)-(c_TMAP3OUT))&gt;=0,1,-1)*QUOTIENT(((1000)-(c_TMAP3IN)),2)),((1000)-(c_TMAP3IN)))+(c_TMAP3OUT)+IF(((1000)-(c_TMAP3OUT))&gt;=0,IF(IF(o_WRAP=1,MOD(((1000)-(c_TMAP3IN))*(((C57)-(c_TMAP3IN))*((1000)-(c_TMAP3OUT))+IF(((1000)-(c_TMAP3OUT))&gt;=0,1,-1)*QUOTIENT(((1000)-(c_TMAP3IN)),2))+2147483648,4294967296)-2147483648,((1000)-(c_TMAP3IN))*(((C57)-(c_TMAP3IN))*((1000)-(c_TMAP3OUT))+IF(((1000)-(c_TMAP3OUT))&gt;=0,1,-1)*QUOTIENT(((1000)-(c_TMAP3IN)),2)))&lt;0,-1,0),IF(IF(o_WRAP=1,MOD(((1000)-(c_TMAP3IN))*(((C57)-(c_TMAP3IN))*((1000)-(c_TMAP3OUT))+IF(((1000)-(c_TMAP3OUT))&gt;=0,1,-1)*QUOTIENT(((1000)-(c_TMAP3IN)),2))+2147483648,4294967296)-2147483648,((1000)-(c_TMAP3IN))*(((C57)-(c_TMAP3IN))*((1000)-(c_TMAP3OUT))+IF(((1000)-(c_TMAP3OUT))&gt;=0,1,-1)*QUOTIENT(((1000)-(c_TMAP3IN)),2)))&gt;=0,1,0)))</f>
        <v>877</v>
      </c>
      <c r="I57" s="7" t="n">
        <f aca="false">IF(C57&gt;=c_TFWD,IF(AND(C57&gt;=c_TMAP3IN,c_TMAP3IN&lt;1000),H57,IF(AND(C57&gt;=c_TMAP2IN,c_TMAP3IN&gt;c_TMAP2IN),G57,IF(AND(C57&gt;=c_TMAP1IN,c_TMAP2IN&gt;c_TMAP1IN),F57,E57))),D57)</f>
        <v>877</v>
      </c>
      <c r="J57" s="7" t="str">
        <f aca="false">IF(I57&lt;-1090,"TOO LOW",IF(I57&gt;1090,"TOO HIGH",""))</f>
        <v/>
      </c>
      <c r="K57" s="7" t="n">
        <f aca="false">IF(J57&lt;&gt;"",0,IF(I57&gt;979,1000,I57))</f>
        <v>877</v>
      </c>
      <c r="L57" s="7" t="n">
        <f aca="false">IF(OR(c_TSMOOTH=0,K57&gt;=c_TSMOOTHCUT),1,0)</f>
        <v>1</v>
      </c>
      <c r="M57" s="7" t="n">
        <f aca="false">IF(L57=1,0,M56+1)</f>
        <v>0</v>
      </c>
      <c r="N57" s="7" t="n">
        <f aca="false">IF(L57=1,0,MIN(M57,c_TSMOOTH))</f>
        <v>0</v>
      </c>
      <c r="O57" s="7" t="n">
        <f aca="false">IF(COUNTIF($L$5:L57,1)&gt;0,c_TSMOOTHCUT,0)</f>
        <v>400</v>
      </c>
      <c r="P57" s="15" t="n">
        <f aca="true">IF(L57=1,K57,QUOTIENT(SUM(OFFSET(K57,1-N57,0,N57,1))+(c_TSMOOTH-N57)*O57,c_TSMOOTH))</f>
        <v>877</v>
      </c>
      <c r="Q57" s="7" t="n">
        <f aca="false">K57/10</f>
        <v>87.7</v>
      </c>
      <c r="R57" s="7" t="n">
        <f aca="false">P57/10</f>
        <v>87.7</v>
      </c>
    </row>
    <row r="58" customFormat="false" ht="15" hidden="false" customHeight="false" outlineLevel="0" collapsed="false">
      <c r="A58" s="7" t="n">
        <v>53</v>
      </c>
      <c r="B58" s="7" t="n">
        <f aca="false">A58*0.04</f>
        <v>2.12</v>
      </c>
      <c r="C58" s="18" t="n">
        <v>900</v>
      </c>
      <c r="D58" s="7" t="n">
        <f aca="false">IF(AND(C58=0,c_TCREEP&gt;0),10*c_TCREEP,IF(AND(C58&lt;=c_TRNGMIN,C58&gt;=c_TRNGMAX,c_TRNGMIN-c_TRNGMAX&lt;&gt;0),-10*c_TMINRN+QUOTIENT((c_TMAXRN-c_TMINRN)*(100-QUOTIENT((C58-c_TRNGMAX)*100,c_TRNGMIN-c_TRNGMAX)),-10),0))</f>
        <v>0</v>
      </c>
      <c r="E58" s="7" t="n">
        <f aca="false">IF(((c_TMAP1IN)-(c_TFWD))=0,(0)+QUOTIENT(((c_TMAP1OUT)-(0)),2),QUOTIENT((((C58)-(c_TFWD))*((c_TMAP1OUT)-(0))+IF(((c_TMAP1OUT)-(0))&gt;=0,1,-1)*QUOTIENT(((c_TMAP1IN)-(c_TFWD)),2)),((c_TMAP1IN)-(c_TFWD)))+(0)+IF(((c_TMAP1OUT)-(0))&gt;=0,IF(IF(o_WRAP=1,MOD(((c_TMAP1IN)-(c_TFWD))*(((C58)-(c_TFWD))*((c_TMAP1OUT)-(0))+IF(((c_TMAP1OUT)-(0))&gt;=0,1,-1)*QUOTIENT(((c_TMAP1IN)-(c_TFWD)),2))+2147483648,4294967296)-2147483648,((c_TMAP1IN)-(c_TFWD))*(((C58)-(c_TFWD))*((c_TMAP1OUT)-(0))+IF(((c_TMAP1OUT)-(0))&gt;=0,1,-1)*QUOTIENT(((c_TMAP1IN)-(c_TFWD)),2)))&lt;0,-1,0),IF(IF(o_WRAP=1,MOD(((c_TMAP1IN)-(c_TFWD))*(((C58)-(c_TFWD))*((c_TMAP1OUT)-(0))+IF(((c_TMAP1OUT)-(0))&gt;=0,1,-1)*QUOTIENT(((c_TMAP1IN)-(c_TFWD)),2))+2147483648,4294967296)-2147483648,((c_TMAP1IN)-(c_TFWD))*(((C58)-(c_TFWD))*((c_TMAP1OUT)-(0))+IF(((c_TMAP1OUT)-(0))&gt;=0,1,-1)*QUOTIENT(((c_TMAP1IN)-(c_TFWD)),2)))&gt;=0,1,0)))</f>
        <v>692</v>
      </c>
      <c r="F58" s="7" t="n">
        <f aca="false">IF(((c_TMAP2IN)-(c_TMAP1IN))=0,(c_TMAP1OUT)+QUOTIENT(((c_TMAP2OUT)-(c_TMAP1OUT)),2),QUOTIENT((((C58)-(c_TMAP1IN))*((c_TMAP2OUT)-(c_TMAP1OUT))+IF(((c_TMAP2OUT)-(c_TMAP1OUT))&gt;=0,1,-1)*QUOTIENT(((c_TMAP2IN)-(c_TMAP1IN)),2)),((c_TMAP2IN)-(c_TMAP1IN)))+(c_TMAP1OUT)+IF(((c_TMAP2OUT)-(c_TMAP1OUT))&gt;=0,IF(IF(o_WRAP=1,MOD(((c_TMAP2IN)-(c_TMAP1IN))*(((C58)-(c_TMAP1IN))*((c_TMAP2OUT)-(c_TMAP1OUT))+IF(((c_TMAP2OUT)-(c_TMAP1OUT))&gt;=0,1,-1)*QUOTIENT(((c_TMAP2IN)-(c_TMAP1IN)),2))+2147483648,4294967296)-2147483648,((c_TMAP2IN)-(c_TMAP1IN))*(((C58)-(c_TMAP1IN))*((c_TMAP2OUT)-(c_TMAP1OUT))+IF(((c_TMAP2OUT)-(c_TMAP1OUT))&gt;=0,1,-1)*QUOTIENT(((c_TMAP2IN)-(c_TMAP1IN)),2)))&lt;0,-1,0),IF(IF(o_WRAP=1,MOD(((c_TMAP2IN)-(c_TMAP1IN))*(((C58)-(c_TMAP1IN))*((c_TMAP2OUT)-(c_TMAP1OUT))+IF(((c_TMAP2OUT)-(c_TMAP1OUT))&gt;=0,1,-1)*QUOTIENT(((c_TMAP2IN)-(c_TMAP1IN)),2))+2147483648,4294967296)-2147483648,((c_TMAP2IN)-(c_TMAP1IN))*(((C58)-(c_TMAP1IN))*((c_TMAP2OUT)-(c_TMAP1OUT))+IF(((c_TMAP2OUT)-(c_TMAP1OUT))&gt;=0,1,-1)*QUOTIENT(((c_TMAP2IN)-(c_TMAP1IN)),2)))&gt;=0,1,0)))</f>
        <v>390</v>
      </c>
      <c r="G58" s="7" t="n">
        <f aca="false">IF(((c_TMAP3IN)-(c_TMAP2IN))=0,(c_TMAP2OUT)+QUOTIENT(((c_TMAP3OUT)-(c_TMAP2OUT)),2),QUOTIENT((((C58)-(c_TMAP2IN))*((c_TMAP3OUT)-(c_TMAP2OUT))+IF(((c_TMAP3OUT)-(c_TMAP2OUT))&gt;=0,1,-1)*QUOTIENT(((c_TMAP3IN)-(c_TMAP2IN)),2)),((c_TMAP3IN)-(c_TMAP2IN)))+(c_TMAP2OUT)+IF(((c_TMAP3OUT)-(c_TMAP2OUT))&gt;=0,IF(IF(o_WRAP=1,MOD(((c_TMAP3IN)-(c_TMAP2IN))*(((C58)-(c_TMAP2IN))*((c_TMAP3OUT)-(c_TMAP2OUT))+IF(((c_TMAP3OUT)-(c_TMAP2OUT))&gt;=0,1,-1)*QUOTIENT(((c_TMAP3IN)-(c_TMAP2IN)),2))+2147483648,4294967296)-2147483648,((c_TMAP3IN)-(c_TMAP2IN))*(((C58)-(c_TMAP2IN))*((c_TMAP3OUT)-(c_TMAP2OUT))+IF(((c_TMAP3OUT)-(c_TMAP2OUT))&gt;=0,1,-1)*QUOTIENT(((c_TMAP3IN)-(c_TMAP2IN)),2)))&lt;0,-1,0),IF(IF(o_WRAP=1,MOD(((c_TMAP3IN)-(c_TMAP2IN))*(((C58)-(c_TMAP2IN))*((c_TMAP3OUT)-(c_TMAP2OUT))+IF(((c_TMAP3OUT)-(c_TMAP2OUT))&gt;=0,1,-1)*QUOTIENT(((c_TMAP3IN)-(c_TMAP2IN)),2))+2147483648,4294967296)-2147483648,((c_TMAP3IN)-(c_TMAP2IN))*(((C58)-(c_TMAP2IN))*((c_TMAP3OUT)-(c_TMAP2OUT))+IF(((c_TMAP3OUT)-(c_TMAP2OUT))&gt;=0,1,-1)*QUOTIENT(((c_TMAP3IN)-(c_TMAP2IN)),2)))&gt;=0,1,0)))</f>
        <v>585</v>
      </c>
      <c r="H58" s="7" t="n">
        <f aca="false">IF(((1000)-(c_TMAP3IN))=0,(c_TMAP3OUT)+QUOTIENT(((1000)-(c_TMAP3OUT)),2),QUOTIENT((((C58)-(c_TMAP3IN))*((1000)-(c_TMAP3OUT))+IF(((1000)-(c_TMAP3OUT))&gt;=0,1,-1)*QUOTIENT(((1000)-(c_TMAP3IN)),2)),((1000)-(c_TMAP3IN)))+(c_TMAP3OUT)+IF(((1000)-(c_TMAP3OUT))&gt;=0,IF(IF(o_WRAP=1,MOD(((1000)-(c_TMAP3IN))*(((C58)-(c_TMAP3IN))*((1000)-(c_TMAP3OUT))+IF(((1000)-(c_TMAP3OUT))&gt;=0,1,-1)*QUOTIENT(((1000)-(c_TMAP3IN)),2))+2147483648,4294967296)-2147483648,((1000)-(c_TMAP3IN))*(((C58)-(c_TMAP3IN))*((1000)-(c_TMAP3OUT))+IF(((1000)-(c_TMAP3OUT))&gt;=0,1,-1)*QUOTIENT(((1000)-(c_TMAP3IN)),2)))&lt;0,-1,0),IF(IF(o_WRAP=1,MOD(((1000)-(c_TMAP3IN))*(((C58)-(c_TMAP3IN))*((1000)-(c_TMAP3OUT))+IF(((1000)-(c_TMAP3OUT))&gt;=0,1,-1)*QUOTIENT(((1000)-(c_TMAP3IN)),2))+2147483648,4294967296)-2147483648,((1000)-(c_TMAP3IN))*(((C58)-(c_TMAP3IN))*((1000)-(c_TMAP3OUT))+IF(((1000)-(c_TMAP3OUT))&gt;=0,1,-1)*QUOTIENT(((1000)-(c_TMAP3IN)),2)))&gt;=0,1,0)))</f>
        <v>877</v>
      </c>
      <c r="I58" s="7" t="n">
        <f aca="false">IF(C58&gt;=c_TFWD,IF(AND(C58&gt;=c_TMAP3IN,c_TMAP3IN&lt;1000),H58,IF(AND(C58&gt;=c_TMAP2IN,c_TMAP3IN&gt;c_TMAP2IN),G58,IF(AND(C58&gt;=c_TMAP1IN,c_TMAP2IN&gt;c_TMAP1IN),F58,E58))),D58)</f>
        <v>877</v>
      </c>
      <c r="J58" s="7" t="str">
        <f aca="false">IF(I58&lt;-1090,"TOO LOW",IF(I58&gt;1090,"TOO HIGH",""))</f>
        <v/>
      </c>
      <c r="K58" s="7" t="n">
        <f aca="false">IF(J58&lt;&gt;"",0,IF(I58&gt;979,1000,I58))</f>
        <v>877</v>
      </c>
      <c r="L58" s="7" t="n">
        <f aca="false">IF(OR(c_TSMOOTH=0,K58&gt;=c_TSMOOTHCUT),1,0)</f>
        <v>1</v>
      </c>
      <c r="M58" s="7" t="n">
        <f aca="false">IF(L58=1,0,M57+1)</f>
        <v>0</v>
      </c>
      <c r="N58" s="7" t="n">
        <f aca="false">IF(L58=1,0,MIN(M58,c_TSMOOTH))</f>
        <v>0</v>
      </c>
      <c r="O58" s="7" t="n">
        <f aca="false">IF(COUNTIF($L$5:L58,1)&gt;0,c_TSMOOTHCUT,0)</f>
        <v>400</v>
      </c>
      <c r="P58" s="15" t="n">
        <f aca="true">IF(L58=1,K58,QUOTIENT(SUM(OFFSET(K58,1-N58,0,N58,1))+(c_TSMOOTH-N58)*O58,c_TSMOOTH))</f>
        <v>877</v>
      </c>
      <c r="Q58" s="7" t="n">
        <f aca="false">K58/10</f>
        <v>87.7</v>
      </c>
      <c r="R58" s="7" t="n">
        <f aca="false">P58/10</f>
        <v>87.7</v>
      </c>
    </row>
    <row r="59" customFormat="false" ht="15" hidden="false" customHeight="false" outlineLevel="0" collapsed="false">
      <c r="A59" s="7" t="n">
        <v>54</v>
      </c>
      <c r="B59" s="7" t="n">
        <f aca="false">A59*0.04</f>
        <v>2.16</v>
      </c>
      <c r="C59" s="18" t="n">
        <v>900</v>
      </c>
      <c r="D59" s="7" t="n">
        <f aca="false">IF(AND(C59=0,c_TCREEP&gt;0),10*c_TCREEP,IF(AND(C59&lt;=c_TRNGMIN,C59&gt;=c_TRNGMAX,c_TRNGMIN-c_TRNGMAX&lt;&gt;0),-10*c_TMINRN+QUOTIENT((c_TMAXRN-c_TMINRN)*(100-QUOTIENT((C59-c_TRNGMAX)*100,c_TRNGMIN-c_TRNGMAX)),-10),0))</f>
        <v>0</v>
      </c>
      <c r="E59" s="7" t="n">
        <f aca="false">IF(((c_TMAP1IN)-(c_TFWD))=0,(0)+QUOTIENT(((c_TMAP1OUT)-(0)),2),QUOTIENT((((C59)-(c_TFWD))*((c_TMAP1OUT)-(0))+IF(((c_TMAP1OUT)-(0))&gt;=0,1,-1)*QUOTIENT(((c_TMAP1IN)-(c_TFWD)),2)),((c_TMAP1IN)-(c_TFWD)))+(0)+IF(((c_TMAP1OUT)-(0))&gt;=0,IF(IF(o_WRAP=1,MOD(((c_TMAP1IN)-(c_TFWD))*(((C59)-(c_TFWD))*((c_TMAP1OUT)-(0))+IF(((c_TMAP1OUT)-(0))&gt;=0,1,-1)*QUOTIENT(((c_TMAP1IN)-(c_TFWD)),2))+2147483648,4294967296)-2147483648,((c_TMAP1IN)-(c_TFWD))*(((C59)-(c_TFWD))*((c_TMAP1OUT)-(0))+IF(((c_TMAP1OUT)-(0))&gt;=0,1,-1)*QUOTIENT(((c_TMAP1IN)-(c_TFWD)),2)))&lt;0,-1,0),IF(IF(o_WRAP=1,MOD(((c_TMAP1IN)-(c_TFWD))*(((C59)-(c_TFWD))*((c_TMAP1OUT)-(0))+IF(((c_TMAP1OUT)-(0))&gt;=0,1,-1)*QUOTIENT(((c_TMAP1IN)-(c_TFWD)),2))+2147483648,4294967296)-2147483648,((c_TMAP1IN)-(c_TFWD))*(((C59)-(c_TFWD))*((c_TMAP1OUT)-(0))+IF(((c_TMAP1OUT)-(0))&gt;=0,1,-1)*QUOTIENT(((c_TMAP1IN)-(c_TFWD)),2)))&gt;=0,1,0)))</f>
        <v>692</v>
      </c>
      <c r="F59" s="7" t="n">
        <f aca="false">IF(((c_TMAP2IN)-(c_TMAP1IN))=0,(c_TMAP1OUT)+QUOTIENT(((c_TMAP2OUT)-(c_TMAP1OUT)),2),QUOTIENT((((C59)-(c_TMAP1IN))*((c_TMAP2OUT)-(c_TMAP1OUT))+IF(((c_TMAP2OUT)-(c_TMAP1OUT))&gt;=0,1,-1)*QUOTIENT(((c_TMAP2IN)-(c_TMAP1IN)),2)),((c_TMAP2IN)-(c_TMAP1IN)))+(c_TMAP1OUT)+IF(((c_TMAP2OUT)-(c_TMAP1OUT))&gt;=0,IF(IF(o_WRAP=1,MOD(((c_TMAP2IN)-(c_TMAP1IN))*(((C59)-(c_TMAP1IN))*((c_TMAP2OUT)-(c_TMAP1OUT))+IF(((c_TMAP2OUT)-(c_TMAP1OUT))&gt;=0,1,-1)*QUOTIENT(((c_TMAP2IN)-(c_TMAP1IN)),2))+2147483648,4294967296)-2147483648,((c_TMAP2IN)-(c_TMAP1IN))*(((C59)-(c_TMAP1IN))*((c_TMAP2OUT)-(c_TMAP1OUT))+IF(((c_TMAP2OUT)-(c_TMAP1OUT))&gt;=0,1,-1)*QUOTIENT(((c_TMAP2IN)-(c_TMAP1IN)),2)))&lt;0,-1,0),IF(IF(o_WRAP=1,MOD(((c_TMAP2IN)-(c_TMAP1IN))*(((C59)-(c_TMAP1IN))*((c_TMAP2OUT)-(c_TMAP1OUT))+IF(((c_TMAP2OUT)-(c_TMAP1OUT))&gt;=0,1,-1)*QUOTIENT(((c_TMAP2IN)-(c_TMAP1IN)),2))+2147483648,4294967296)-2147483648,((c_TMAP2IN)-(c_TMAP1IN))*(((C59)-(c_TMAP1IN))*((c_TMAP2OUT)-(c_TMAP1OUT))+IF(((c_TMAP2OUT)-(c_TMAP1OUT))&gt;=0,1,-1)*QUOTIENT(((c_TMAP2IN)-(c_TMAP1IN)),2)))&gt;=0,1,0)))</f>
        <v>390</v>
      </c>
      <c r="G59" s="7" t="n">
        <f aca="false">IF(((c_TMAP3IN)-(c_TMAP2IN))=0,(c_TMAP2OUT)+QUOTIENT(((c_TMAP3OUT)-(c_TMAP2OUT)),2),QUOTIENT((((C59)-(c_TMAP2IN))*((c_TMAP3OUT)-(c_TMAP2OUT))+IF(((c_TMAP3OUT)-(c_TMAP2OUT))&gt;=0,1,-1)*QUOTIENT(((c_TMAP3IN)-(c_TMAP2IN)),2)),((c_TMAP3IN)-(c_TMAP2IN)))+(c_TMAP2OUT)+IF(((c_TMAP3OUT)-(c_TMAP2OUT))&gt;=0,IF(IF(o_WRAP=1,MOD(((c_TMAP3IN)-(c_TMAP2IN))*(((C59)-(c_TMAP2IN))*((c_TMAP3OUT)-(c_TMAP2OUT))+IF(((c_TMAP3OUT)-(c_TMAP2OUT))&gt;=0,1,-1)*QUOTIENT(((c_TMAP3IN)-(c_TMAP2IN)),2))+2147483648,4294967296)-2147483648,((c_TMAP3IN)-(c_TMAP2IN))*(((C59)-(c_TMAP2IN))*((c_TMAP3OUT)-(c_TMAP2OUT))+IF(((c_TMAP3OUT)-(c_TMAP2OUT))&gt;=0,1,-1)*QUOTIENT(((c_TMAP3IN)-(c_TMAP2IN)),2)))&lt;0,-1,0),IF(IF(o_WRAP=1,MOD(((c_TMAP3IN)-(c_TMAP2IN))*(((C59)-(c_TMAP2IN))*((c_TMAP3OUT)-(c_TMAP2OUT))+IF(((c_TMAP3OUT)-(c_TMAP2OUT))&gt;=0,1,-1)*QUOTIENT(((c_TMAP3IN)-(c_TMAP2IN)),2))+2147483648,4294967296)-2147483648,((c_TMAP3IN)-(c_TMAP2IN))*(((C59)-(c_TMAP2IN))*((c_TMAP3OUT)-(c_TMAP2OUT))+IF(((c_TMAP3OUT)-(c_TMAP2OUT))&gt;=0,1,-1)*QUOTIENT(((c_TMAP3IN)-(c_TMAP2IN)),2)))&gt;=0,1,0)))</f>
        <v>585</v>
      </c>
      <c r="H59" s="7" t="n">
        <f aca="false">IF(((1000)-(c_TMAP3IN))=0,(c_TMAP3OUT)+QUOTIENT(((1000)-(c_TMAP3OUT)),2),QUOTIENT((((C59)-(c_TMAP3IN))*((1000)-(c_TMAP3OUT))+IF(((1000)-(c_TMAP3OUT))&gt;=0,1,-1)*QUOTIENT(((1000)-(c_TMAP3IN)),2)),((1000)-(c_TMAP3IN)))+(c_TMAP3OUT)+IF(((1000)-(c_TMAP3OUT))&gt;=0,IF(IF(o_WRAP=1,MOD(((1000)-(c_TMAP3IN))*(((C59)-(c_TMAP3IN))*((1000)-(c_TMAP3OUT))+IF(((1000)-(c_TMAP3OUT))&gt;=0,1,-1)*QUOTIENT(((1000)-(c_TMAP3IN)),2))+2147483648,4294967296)-2147483648,((1000)-(c_TMAP3IN))*(((C59)-(c_TMAP3IN))*((1000)-(c_TMAP3OUT))+IF(((1000)-(c_TMAP3OUT))&gt;=0,1,-1)*QUOTIENT(((1000)-(c_TMAP3IN)),2)))&lt;0,-1,0),IF(IF(o_WRAP=1,MOD(((1000)-(c_TMAP3IN))*(((C59)-(c_TMAP3IN))*((1000)-(c_TMAP3OUT))+IF(((1000)-(c_TMAP3OUT))&gt;=0,1,-1)*QUOTIENT(((1000)-(c_TMAP3IN)),2))+2147483648,4294967296)-2147483648,((1000)-(c_TMAP3IN))*(((C59)-(c_TMAP3IN))*((1000)-(c_TMAP3OUT))+IF(((1000)-(c_TMAP3OUT))&gt;=0,1,-1)*QUOTIENT(((1000)-(c_TMAP3IN)),2)))&gt;=0,1,0)))</f>
        <v>877</v>
      </c>
      <c r="I59" s="7" t="n">
        <f aca="false">IF(C59&gt;=c_TFWD,IF(AND(C59&gt;=c_TMAP3IN,c_TMAP3IN&lt;1000),H59,IF(AND(C59&gt;=c_TMAP2IN,c_TMAP3IN&gt;c_TMAP2IN),G59,IF(AND(C59&gt;=c_TMAP1IN,c_TMAP2IN&gt;c_TMAP1IN),F59,E59))),D59)</f>
        <v>877</v>
      </c>
      <c r="J59" s="7" t="str">
        <f aca="false">IF(I59&lt;-1090,"TOO LOW",IF(I59&gt;1090,"TOO HIGH",""))</f>
        <v/>
      </c>
      <c r="K59" s="7" t="n">
        <f aca="false">IF(J59&lt;&gt;"",0,IF(I59&gt;979,1000,I59))</f>
        <v>877</v>
      </c>
      <c r="L59" s="7" t="n">
        <f aca="false">IF(OR(c_TSMOOTH=0,K59&gt;=c_TSMOOTHCUT),1,0)</f>
        <v>1</v>
      </c>
      <c r="M59" s="7" t="n">
        <f aca="false">IF(L59=1,0,M58+1)</f>
        <v>0</v>
      </c>
      <c r="N59" s="7" t="n">
        <f aca="false">IF(L59=1,0,MIN(M59,c_TSMOOTH))</f>
        <v>0</v>
      </c>
      <c r="O59" s="7" t="n">
        <f aca="false">IF(COUNTIF($L$5:L59,1)&gt;0,c_TSMOOTHCUT,0)</f>
        <v>400</v>
      </c>
      <c r="P59" s="15" t="n">
        <f aca="true">IF(L59=1,K59,QUOTIENT(SUM(OFFSET(K59,1-N59,0,N59,1))+(c_TSMOOTH-N59)*O59,c_TSMOOTH))</f>
        <v>877</v>
      </c>
      <c r="Q59" s="7" t="n">
        <f aca="false">K59/10</f>
        <v>87.7</v>
      </c>
      <c r="R59" s="7" t="n">
        <f aca="false">P59/10</f>
        <v>87.7</v>
      </c>
    </row>
    <row r="60" customFormat="false" ht="15" hidden="false" customHeight="false" outlineLevel="0" collapsed="false">
      <c r="A60" s="7" t="n">
        <v>55</v>
      </c>
      <c r="B60" s="7" t="n">
        <f aca="false">A60*0.04</f>
        <v>2.2</v>
      </c>
      <c r="C60" s="18" t="n">
        <v>900</v>
      </c>
      <c r="D60" s="7" t="n">
        <f aca="false">IF(AND(C60=0,c_TCREEP&gt;0),10*c_TCREEP,IF(AND(C60&lt;=c_TRNGMIN,C60&gt;=c_TRNGMAX,c_TRNGMIN-c_TRNGMAX&lt;&gt;0),-10*c_TMINRN+QUOTIENT((c_TMAXRN-c_TMINRN)*(100-QUOTIENT((C60-c_TRNGMAX)*100,c_TRNGMIN-c_TRNGMAX)),-10),0))</f>
        <v>0</v>
      </c>
      <c r="E60" s="7" t="n">
        <f aca="false">IF(((c_TMAP1IN)-(c_TFWD))=0,(0)+QUOTIENT(((c_TMAP1OUT)-(0)),2),QUOTIENT((((C60)-(c_TFWD))*((c_TMAP1OUT)-(0))+IF(((c_TMAP1OUT)-(0))&gt;=0,1,-1)*QUOTIENT(((c_TMAP1IN)-(c_TFWD)),2)),((c_TMAP1IN)-(c_TFWD)))+(0)+IF(((c_TMAP1OUT)-(0))&gt;=0,IF(IF(o_WRAP=1,MOD(((c_TMAP1IN)-(c_TFWD))*(((C60)-(c_TFWD))*((c_TMAP1OUT)-(0))+IF(((c_TMAP1OUT)-(0))&gt;=0,1,-1)*QUOTIENT(((c_TMAP1IN)-(c_TFWD)),2))+2147483648,4294967296)-2147483648,((c_TMAP1IN)-(c_TFWD))*(((C60)-(c_TFWD))*((c_TMAP1OUT)-(0))+IF(((c_TMAP1OUT)-(0))&gt;=0,1,-1)*QUOTIENT(((c_TMAP1IN)-(c_TFWD)),2)))&lt;0,-1,0),IF(IF(o_WRAP=1,MOD(((c_TMAP1IN)-(c_TFWD))*(((C60)-(c_TFWD))*((c_TMAP1OUT)-(0))+IF(((c_TMAP1OUT)-(0))&gt;=0,1,-1)*QUOTIENT(((c_TMAP1IN)-(c_TFWD)),2))+2147483648,4294967296)-2147483648,((c_TMAP1IN)-(c_TFWD))*(((C60)-(c_TFWD))*((c_TMAP1OUT)-(0))+IF(((c_TMAP1OUT)-(0))&gt;=0,1,-1)*QUOTIENT(((c_TMAP1IN)-(c_TFWD)),2)))&gt;=0,1,0)))</f>
        <v>692</v>
      </c>
      <c r="F60" s="7" t="n">
        <f aca="false">IF(((c_TMAP2IN)-(c_TMAP1IN))=0,(c_TMAP1OUT)+QUOTIENT(((c_TMAP2OUT)-(c_TMAP1OUT)),2),QUOTIENT((((C60)-(c_TMAP1IN))*((c_TMAP2OUT)-(c_TMAP1OUT))+IF(((c_TMAP2OUT)-(c_TMAP1OUT))&gt;=0,1,-1)*QUOTIENT(((c_TMAP2IN)-(c_TMAP1IN)),2)),((c_TMAP2IN)-(c_TMAP1IN)))+(c_TMAP1OUT)+IF(((c_TMAP2OUT)-(c_TMAP1OUT))&gt;=0,IF(IF(o_WRAP=1,MOD(((c_TMAP2IN)-(c_TMAP1IN))*(((C60)-(c_TMAP1IN))*((c_TMAP2OUT)-(c_TMAP1OUT))+IF(((c_TMAP2OUT)-(c_TMAP1OUT))&gt;=0,1,-1)*QUOTIENT(((c_TMAP2IN)-(c_TMAP1IN)),2))+2147483648,4294967296)-2147483648,((c_TMAP2IN)-(c_TMAP1IN))*(((C60)-(c_TMAP1IN))*((c_TMAP2OUT)-(c_TMAP1OUT))+IF(((c_TMAP2OUT)-(c_TMAP1OUT))&gt;=0,1,-1)*QUOTIENT(((c_TMAP2IN)-(c_TMAP1IN)),2)))&lt;0,-1,0),IF(IF(o_WRAP=1,MOD(((c_TMAP2IN)-(c_TMAP1IN))*(((C60)-(c_TMAP1IN))*((c_TMAP2OUT)-(c_TMAP1OUT))+IF(((c_TMAP2OUT)-(c_TMAP1OUT))&gt;=0,1,-1)*QUOTIENT(((c_TMAP2IN)-(c_TMAP1IN)),2))+2147483648,4294967296)-2147483648,((c_TMAP2IN)-(c_TMAP1IN))*(((C60)-(c_TMAP1IN))*((c_TMAP2OUT)-(c_TMAP1OUT))+IF(((c_TMAP2OUT)-(c_TMAP1OUT))&gt;=0,1,-1)*QUOTIENT(((c_TMAP2IN)-(c_TMAP1IN)),2)))&gt;=0,1,0)))</f>
        <v>390</v>
      </c>
      <c r="G60" s="7" t="n">
        <f aca="false">IF(((c_TMAP3IN)-(c_TMAP2IN))=0,(c_TMAP2OUT)+QUOTIENT(((c_TMAP3OUT)-(c_TMAP2OUT)),2),QUOTIENT((((C60)-(c_TMAP2IN))*((c_TMAP3OUT)-(c_TMAP2OUT))+IF(((c_TMAP3OUT)-(c_TMAP2OUT))&gt;=0,1,-1)*QUOTIENT(((c_TMAP3IN)-(c_TMAP2IN)),2)),((c_TMAP3IN)-(c_TMAP2IN)))+(c_TMAP2OUT)+IF(((c_TMAP3OUT)-(c_TMAP2OUT))&gt;=0,IF(IF(o_WRAP=1,MOD(((c_TMAP3IN)-(c_TMAP2IN))*(((C60)-(c_TMAP2IN))*((c_TMAP3OUT)-(c_TMAP2OUT))+IF(((c_TMAP3OUT)-(c_TMAP2OUT))&gt;=0,1,-1)*QUOTIENT(((c_TMAP3IN)-(c_TMAP2IN)),2))+2147483648,4294967296)-2147483648,((c_TMAP3IN)-(c_TMAP2IN))*(((C60)-(c_TMAP2IN))*((c_TMAP3OUT)-(c_TMAP2OUT))+IF(((c_TMAP3OUT)-(c_TMAP2OUT))&gt;=0,1,-1)*QUOTIENT(((c_TMAP3IN)-(c_TMAP2IN)),2)))&lt;0,-1,0),IF(IF(o_WRAP=1,MOD(((c_TMAP3IN)-(c_TMAP2IN))*(((C60)-(c_TMAP2IN))*((c_TMAP3OUT)-(c_TMAP2OUT))+IF(((c_TMAP3OUT)-(c_TMAP2OUT))&gt;=0,1,-1)*QUOTIENT(((c_TMAP3IN)-(c_TMAP2IN)),2))+2147483648,4294967296)-2147483648,((c_TMAP3IN)-(c_TMAP2IN))*(((C60)-(c_TMAP2IN))*((c_TMAP3OUT)-(c_TMAP2OUT))+IF(((c_TMAP3OUT)-(c_TMAP2OUT))&gt;=0,1,-1)*QUOTIENT(((c_TMAP3IN)-(c_TMAP2IN)),2)))&gt;=0,1,0)))</f>
        <v>585</v>
      </c>
      <c r="H60" s="7" t="n">
        <f aca="false">IF(((1000)-(c_TMAP3IN))=0,(c_TMAP3OUT)+QUOTIENT(((1000)-(c_TMAP3OUT)),2),QUOTIENT((((C60)-(c_TMAP3IN))*((1000)-(c_TMAP3OUT))+IF(((1000)-(c_TMAP3OUT))&gt;=0,1,-1)*QUOTIENT(((1000)-(c_TMAP3IN)),2)),((1000)-(c_TMAP3IN)))+(c_TMAP3OUT)+IF(((1000)-(c_TMAP3OUT))&gt;=0,IF(IF(o_WRAP=1,MOD(((1000)-(c_TMAP3IN))*(((C60)-(c_TMAP3IN))*((1000)-(c_TMAP3OUT))+IF(((1000)-(c_TMAP3OUT))&gt;=0,1,-1)*QUOTIENT(((1000)-(c_TMAP3IN)),2))+2147483648,4294967296)-2147483648,((1000)-(c_TMAP3IN))*(((C60)-(c_TMAP3IN))*((1000)-(c_TMAP3OUT))+IF(((1000)-(c_TMAP3OUT))&gt;=0,1,-1)*QUOTIENT(((1000)-(c_TMAP3IN)),2)))&lt;0,-1,0),IF(IF(o_WRAP=1,MOD(((1000)-(c_TMAP3IN))*(((C60)-(c_TMAP3IN))*((1000)-(c_TMAP3OUT))+IF(((1000)-(c_TMAP3OUT))&gt;=0,1,-1)*QUOTIENT(((1000)-(c_TMAP3IN)),2))+2147483648,4294967296)-2147483648,((1000)-(c_TMAP3IN))*(((C60)-(c_TMAP3IN))*((1000)-(c_TMAP3OUT))+IF(((1000)-(c_TMAP3OUT))&gt;=0,1,-1)*QUOTIENT(((1000)-(c_TMAP3IN)),2)))&gt;=0,1,0)))</f>
        <v>877</v>
      </c>
      <c r="I60" s="7" t="n">
        <f aca="false">IF(C60&gt;=c_TFWD,IF(AND(C60&gt;=c_TMAP3IN,c_TMAP3IN&lt;1000),H60,IF(AND(C60&gt;=c_TMAP2IN,c_TMAP3IN&gt;c_TMAP2IN),G60,IF(AND(C60&gt;=c_TMAP1IN,c_TMAP2IN&gt;c_TMAP1IN),F60,E60))),D60)</f>
        <v>877</v>
      </c>
      <c r="J60" s="7" t="str">
        <f aca="false">IF(I60&lt;-1090,"TOO LOW",IF(I60&gt;1090,"TOO HIGH",""))</f>
        <v/>
      </c>
      <c r="K60" s="7" t="n">
        <f aca="false">IF(J60&lt;&gt;"",0,IF(I60&gt;979,1000,I60))</f>
        <v>877</v>
      </c>
      <c r="L60" s="7" t="n">
        <f aca="false">IF(OR(c_TSMOOTH=0,K60&gt;=c_TSMOOTHCUT),1,0)</f>
        <v>1</v>
      </c>
      <c r="M60" s="7" t="n">
        <f aca="false">IF(L60=1,0,M59+1)</f>
        <v>0</v>
      </c>
      <c r="N60" s="7" t="n">
        <f aca="false">IF(L60=1,0,MIN(M60,c_TSMOOTH))</f>
        <v>0</v>
      </c>
      <c r="O60" s="7" t="n">
        <f aca="false">IF(COUNTIF($L$5:L60,1)&gt;0,c_TSMOOTHCUT,0)</f>
        <v>400</v>
      </c>
      <c r="P60" s="15" t="n">
        <f aca="true">IF(L60=1,K60,QUOTIENT(SUM(OFFSET(K60,1-N60,0,N60,1))+(c_TSMOOTH-N60)*O60,c_TSMOOTH))</f>
        <v>877</v>
      </c>
      <c r="Q60" s="7" t="n">
        <f aca="false">K60/10</f>
        <v>87.7</v>
      </c>
      <c r="R60" s="7" t="n">
        <f aca="false">P60/10</f>
        <v>87.7</v>
      </c>
    </row>
    <row r="61" customFormat="false" ht="15" hidden="false" customHeight="false" outlineLevel="0" collapsed="false">
      <c r="A61" s="7" t="n">
        <v>56</v>
      </c>
      <c r="B61" s="7" t="n">
        <f aca="false">A61*0.04</f>
        <v>2.24</v>
      </c>
      <c r="C61" s="18" t="n">
        <v>900</v>
      </c>
      <c r="D61" s="7" t="n">
        <f aca="false">IF(AND(C61=0,c_TCREEP&gt;0),10*c_TCREEP,IF(AND(C61&lt;=c_TRNGMIN,C61&gt;=c_TRNGMAX,c_TRNGMIN-c_TRNGMAX&lt;&gt;0),-10*c_TMINRN+QUOTIENT((c_TMAXRN-c_TMINRN)*(100-QUOTIENT((C61-c_TRNGMAX)*100,c_TRNGMIN-c_TRNGMAX)),-10),0))</f>
        <v>0</v>
      </c>
      <c r="E61" s="7" t="n">
        <f aca="false">IF(((c_TMAP1IN)-(c_TFWD))=0,(0)+QUOTIENT(((c_TMAP1OUT)-(0)),2),QUOTIENT((((C61)-(c_TFWD))*((c_TMAP1OUT)-(0))+IF(((c_TMAP1OUT)-(0))&gt;=0,1,-1)*QUOTIENT(((c_TMAP1IN)-(c_TFWD)),2)),((c_TMAP1IN)-(c_TFWD)))+(0)+IF(((c_TMAP1OUT)-(0))&gt;=0,IF(IF(o_WRAP=1,MOD(((c_TMAP1IN)-(c_TFWD))*(((C61)-(c_TFWD))*((c_TMAP1OUT)-(0))+IF(((c_TMAP1OUT)-(0))&gt;=0,1,-1)*QUOTIENT(((c_TMAP1IN)-(c_TFWD)),2))+2147483648,4294967296)-2147483648,((c_TMAP1IN)-(c_TFWD))*(((C61)-(c_TFWD))*((c_TMAP1OUT)-(0))+IF(((c_TMAP1OUT)-(0))&gt;=0,1,-1)*QUOTIENT(((c_TMAP1IN)-(c_TFWD)),2)))&lt;0,-1,0),IF(IF(o_WRAP=1,MOD(((c_TMAP1IN)-(c_TFWD))*(((C61)-(c_TFWD))*((c_TMAP1OUT)-(0))+IF(((c_TMAP1OUT)-(0))&gt;=0,1,-1)*QUOTIENT(((c_TMAP1IN)-(c_TFWD)),2))+2147483648,4294967296)-2147483648,((c_TMAP1IN)-(c_TFWD))*(((C61)-(c_TFWD))*((c_TMAP1OUT)-(0))+IF(((c_TMAP1OUT)-(0))&gt;=0,1,-1)*QUOTIENT(((c_TMAP1IN)-(c_TFWD)),2)))&gt;=0,1,0)))</f>
        <v>692</v>
      </c>
      <c r="F61" s="7" t="n">
        <f aca="false">IF(((c_TMAP2IN)-(c_TMAP1IN))=0,(c_TMAP1OUT)+QUOTIENT(((c_TMAP2OUT)-(c_TMAP1OUT)),2),QUOTIENT((((C61)-(c_TMAP1IN))*((c_TMAP2OUT)-(c_TMAP1OUT))+IF(((c_TMAP2OUT)-(c_TMAP1OUT))&gt;=0,1,-1)*QUOTIENT(((c_TMAP2IN)-(c_TMAP1IN)),2)),((c_TMAP2IN)-(c_TMAP1IN)))+(c_TMAP1OUT)+IF(((c_TMAP2OUT)-(c_TMAP1OUT))&gt;=0,IF(IF(o_WRAP=1,MOD(((c_TMAP2IN)-(c_TMAP1IN))*(((C61)-(c_TMAP1IN))*((c_TMAP2OUT)-(c_TMAP1OUT))+IF(((c_TMAP2OUT)-(c_TMAP1OUT))&gt;=0,1,-1)*QUOTIENT(((c_TMAP2IN)-(c_TMAP1IN)),2))+2147483648,4294967296)-2147483648,((c_TMAP2IN)-(c_TMAP1IN))*(((C61)-(c_TMAP1IN))*((c_TMAP2OUT)-(c_TMAP1OUT))+IF(((c_TMAP2OUT)-(c_TMAP1OUT))&gt;=0,1,-1)*QUOTIENT(((c_TMAP2IN)-(c_TMAP1IN)),2)))&lt;0,-1,0),IF(IF(o_WRAP=1,MOD(((c_TMAP2IN)-(c_TMAP1IN))*(((C61)-(c_TMAP1IN))*((c_TMAP2OUT)-(c_TMAP1OUT))+IF(((c_TMAP2OUT)-(c_TMAP1OUT))&gt;=0,1,-1)*QUOTIENT(((c_TMAP2IN)-(c_TMAP1IN)),2))+2147483648,4294967296)-2147483648,((c_TMAP2IN)-(c_TMAP1IN))*(((C61)-(c_TMAP1IN))*((c_TMAP2OUT)-(c_TMAP1OUT))+IF(((c_TMAP2OUT)-(c_TMAP1OUT))&gt;=0,1,-1)*QUOTIENT(((c_TMAP2IN)-(c_TMAP1IN)),2)))&gt;=0,1,0)))</f>
        <v>390</v>
      </c>
      <c r="G61" s="7" t="n">
        <f aca="false">IF(((c_TMAP3IN)-(c_TMAP2IN))=0,(c_TMAP2OUT)+QUOTIENT(((c_TMAP3OUT)-(c_TMAP2OUT)),2),QUOTIENT((((C61)-(c_TMAP2IN))*((c_TMAP3OUT)-(c_TMAP2OUT))+IF(((c_TMAP3OUT)-(c_TMAP2OUT))&gt;=0,1,-1)*QUOTIENT(((c_TMAP3IN)-(c_TMAP2IN)),2)),((c_TMAP3IN)-(c_TMAP2IN)))+(c_TMAP2OUT)+IF(((c_TMAP3OUT)-(c_TMAP2OUT))&gt;=0,IF(IF(o_WRAP=1,MOD(((c_TMAP3IN)-(c_TMAP2IN))*(((C61)-(c_TMAP2IN))*((c_TMAP3OUT)-(c_TMAP2OUT))+IF(((c_TMAP3OUT)-(c_TMAP2OUT))&gt;=0,1,-1)*QUOTIENT(((c_TMAP3IN)-(c_TMAP2IN)),2))+2147483648,4294967296)-2147483648,((c_TMAP3IN)-(c_TMAP2IN))*(((C61)-(c_TMAP2IN))*((c_TMAP3OUT)-(c_TMAP2OUT))+IF(((c_TMAP3OUT)-(c_TMAP2OUT))&gt;=0,1,-1)*QUOTIENT(((c_TMAP3IN)-(c_TMAP2IN)),2)))&lt;0,-1,0),IF(IF(o_WRAP=1,MOD(((c_TMAP3IN)-(c_TMAP2IN))*(((C61)-(c_TMAP2IN))*((c_TMAP3OUT)-(c_TMAP2OUT))+IF(((c_TMAP3OUT)-(c_TMAP2OUT))&gt;=0,1,-1)*QUOTIENT(((c_TMAP3IN)-(c_TMAP2IN)),2))+2147483648,4294967296)-2147483648,((c_TMAP3IN)-(c_TMAP2IN))*(((C61)-(c_TMAP2IN))*((c_TMAP3OUT)-(c_TMAP2OUT))+IF(((c_TMAP3OUT)-(c_TMAP2OUT))&gt;=0,1,-1)*QUOTIENT(((c_TMAP3IN)-(c_TMAP2IN)),2)))&gt;=0,1,0)))</f>
        <v>585</v>
      </c>
      <c r="H61" s="7" t="n">
        <f aca="false">IF(((1000)-(c_TMAP3IN))=0,(c_TMAP3OUT)+QUOTIENT(((1000)-(c_TMAP3OUT)),2),QUOTIENT((((C61)-(c_TMAP3IN))*((1000)-(c_TMAP3OUT))+IF(((1000)-(c_TMAP3OUT))&gt;=0,1,-1)*QUOTIENT(((1000)-(c_TMAP3IN)),2)),((1000)-(c_TMAP3IN)))+(c_TMAP3OUT)+IF(((1000)-(c_TMAP3OUT))&gt;=0,IF(IF(o_WRAP=1,MOD(((1000)-(c_TMAP3IN))*(((C61)-(c_TMAP3IN))*((1000)-(c_TMAP3OUT))+IF(((1000)-(c_TMAP3OUT))&gt;=0,1,-1)*QUOTIENT(((1000)-(c_TMAP3IN)),2))+2147483648,4294967296)-2147483648,((1000)-(c_TMAP3IN))*(((C61)-(c_TMAP3IN))*((1000)-(c_TMAP3OUT))+IF(((1000)-(c_TMAP3OUT))&gt;=0,1,-1)*QUOTIENT(((1000)-(c_TMAP3IN)),2)))&lt;0,-1,0),IF(IF(o_WRAP=1,MOD(((1000)-(c_TMAP3IN))*(((C61)-(c_TMAP3IN))*((1000)-(c_TMAP3OUT))+IF(((1000)-(c_TMAP3OUT))&gt;=0,1,-1)*QUOTIENT(((1000)-(c_TMAP3IN)),2))+2147483648,4294967296)-2147483648,((1000)-(c_TMAP3IN))*(((C61)-(c_TMAP3IN))*((1000)-(c_TMAP3OUT))+IF(((1000)-(c_TMAP3OUT))&gt;=0,1,-1)*QUOTIENT(((1000)-(c_TMAP3IN)),2)))&gt;=0,1,0)))</f>
        <v>877</v>
      </c>
      <c r="I61" s="7" t="n">
        <f aca="false">IF(C61&gt;=c_TFWD,IF(AND(C61&gt;=c_TMAP3IN,c_TMAP3IN&lt;1000),H61,IF(AND(C61&gt;=c_TMAP2IN,c_TMAP3IN&gt;c_TMAP2IN),G61,IF(AND(C61&gt;=c_TMAP1IN,c_TMAP2IN&gt;c_TMAP1IN),F61,E61))),D61)</f>
        <v>877</v>
      </c>
      <c r="J61" s="7" t="str">
        <f aca="false">IF(I61&lt;-1090,"TOO LOW",IF(I61&gt;1090,"TOO HIGH",""))</f>
        <v/>
      </c>
      <c r="K61" s="7" t="n">
        <f aca="false">IF(J61&lt;&gt;"",0,IF(I61&gt;979,1000,I61))</f>
        <v>877</v>
      </c>
      <c r="L61" s="7" t="n">
        <f aca="false">IF(OR(c_TSMOOTH=0,K61&gt;=c_TSMOOTHCUT),1,0)</f>
        <v>1</v>
      </c>
      <c r="M61" s="7" t="n">
        <f aca="false">IF(L61=1,0,M60+1)</f>
        <v>0</v>
      </c>
      <c r="N61" s="7" t="n">
        <f aca="false">IF(L61=1,0,MIN(M61,c_TSMOOTH))</f>
        <v>0</v>
      </c>
      <c r="O61" s="7" t="n">
        <f aca="false">IF(COUNTIF($L$5:L61,1)&gt;0,c_TSMOOTHCUT,0)</f>
        <v>400</v>
      </c>
      <c r="P61" s="15" t="n">
        <f aca="true">IF(L61=1,K61,QUOTIENT(SUM(OFFSET(K61,1-N61,0,N61,1))+(c_TSMOOTH-N61)*O61,c_TSMOOTH))</f>
        <v>877</v>
      </c>
      <c r="Q61" s="7" t="n">
        <f aca="false">K61/10</f>
        <v>87.7</v>
      </c>
      <c r="R61" s="7" t="n">
        <f aca="false">P61/10</f>
        <v>87.7</v>
      </c>
    </row>
    <row r="62" customFormat="false" ht="15" hidden="false" customHeight="false" outlineLevel="0" collapsed="false">
      <c r="A62" s="7" t="n">
        <v>57</v>
      </c>
      <c r="B62" s="7" t="n">
        <f aca="false">A62*0.04</f>
        <v>2.28</v>
      </c>
      <c r="C62" s="18" t="n">
        <v>900</v>
      </c>
      <c r="D62" s="7" t="n">
        <f aca="false">IF(AND(C62=0,c_TCREEP&gt;0),10*c_TCREEP,IF(AND(C62&lt;=c_TRNGMIN,C62&gt;=c_TRNGMAX,c_TRNGMIN-c_TRNGMAX&lt;&gt;0),-10*c_TMINRN+QUOTIENT((c_TMAXRN-c_TMINRN)*(100-QUOTIENT((C62-c_TRNGMAX)*100,c_TRNGMIN-c_TRNGMAX)),-10),0))</f>
        <v>0</v>
      </c>
      <c r="E62" s="7" t="n">
        <f aca="false">IF(((c_TMAP1IN)-(c_TFWD))=0,(0)+QUOTIENT(((c_TMAP1OUT)-(0)),2),QUOTIENT((((C62)-(c_TFWD))*((c_TMAP1OUT)-(0))+IF(((c_TMAP1OUT)-(0))&gt;=0,1,-1)*QUOTIENT(((c_TMAP1IN)-(c_TFWD)),2)),((c_TMAP1IN)-(c_TFWD)))+(0)+IF(((c_TMAP1OUT)-(0))&gt;=0,IF(IF(o_WRAP=1,MOD(((c_TMAP1IN)-(c_TFWD))*(((C62)-(c_TFWD))*((c_TMAP1OUT)-(0))+IF(((c_TMAP1OUT)-(0))&gt;=0,1,-1)*QUOTIENT(((c_TMAP1IN)-(c_TFWD)),2))+2147483648,4294967296)-2147483648,((c_TMAP1IN)-(c_TFWD))*(((C62)-(c_TFWD))*((c_TMAP1OUT)-(0))+IF(((c_TMAP1OUT)-(0))&gt;=0,1,-1)*QUOTIENT(((c_TMAP1IN)-(c_TFWD)),2)))&lt;0,-1,0),IF(IF(o_WRAP=1,MOD(((c_TMAP1IN)-(c_TFWD))*(((C62)-(c_TFWD))*((c_TMAP1OUT)-(0))+IF(((c_TMAP1OUT)-(0))&gt;=0,1,-1)*QUOTIENT(((c_TMAP1IN)-(c_TFWD)),2))+2147483648,4294967296)-2147483648,((c_TMAP1IN)-(c_TFWD))*(((C62)-(c_TFWD))*((c_TMAP1OUT)-(0))+IF(((c_TMAP1OUT)-(0))&gt;=0,1,-1)*QUOTIENT(((c_TMAP1IN)-(c_TFWD)),2)))&gt;=0,1,0)))</f>
        <v>692</v>
      </c>
      <c r="F62" s="7" t="n">
        <f aca="false">IF(((c_TMAP2IN)-(c_TMAP1IN))=0,(c_TMAP1OUT)+QUOTIENT(((c_TMAP2OUT)-(c_TMAP1OUT)),2),QUOTIENT((((C62)-(c_TMAP1IN))*((c_TMAP2OUT)-(c_TMAP1OUT))+IF(((c_TMAP2OUT)-(c_TMAP1OUT))&gt;=0,1,-1)*QUOTIENT(((c_TMAP2IN)-(c_TMAP1IN)),2)),((c_TMAP2IN)-(c_TMAP1IN)))+(c_TMAP1OUT)+IF(((c_TMAP2OUT)-(c_TMAP1OUT))&gt;=0,IF(IF(o_WRAP=1,MOD(((c_TMAP2IN)-(c_TMAP1IN))*(((C62)-(c_TMAP1IN))*((c_TMAP2OUT)-(c_TMAP1OUT))+IF(((c_TMAP2OUT)-(c_TMAP1OUT))&gt;=0,1,-1)*QUOTIENT(((c_TMAP2IN)-(c_TMAP1IN)),2))+2147483648,4294967296)-2147483648,((c_TMAP2IN)-(c_TMAP1IN))*(((C62)-(c_TMAP1IN))*((c_TMAP2OUT)-(c_TMAP1OUT))+IF(((c_TMAP2OUT)-(c_TMAP1OUT))&gt;=0,1,-1)*QUOTIENT(((c_TMAP2IN)-(c_TMAP1IN)),2)))&lt;0,-1,0),IF(IF(o_WRAP=1,MOD(((c_TMAP2IN)-(c_TMAP1IN))*(((C62)-(c_TMAP1IN))*((c_TMAP2OUT)-(c_TMAP1OUT))+IF(((c_TMAP2OUT)-(c_TMAP1OUT))&gt;=0,1,-1)*QUOTIENT(((c_TMAP2IN)-(c_TMAP1IN)),2))+2147483648,4294967296)-2147483648,((c_TMAP2IN)-(c_TMAP1IN))*(((C62)-(c_TMAP1IN))*((c_TMAP2OUT)-(c_TMAP1OUT))+IF(((c_TMAP2OUT)-(c_TMAP1OUT))&gt;=0,1,-1)*QUOTIENT(((c_TMAP2IN)-(c_TMAP1IN)),2)))&gt;=0,1,0)))</f>
        <v>390</v>
      </c>
      <c r="G62" s="7" t="n">
        <f aca="false">IF(((c_TMAP3IN)-(c_TMAP2IN))=0,(c_TMAP2OUT)+QUOTIENT(((c_TMAP3OUT)-(c_TMAP2OUT)),2),QUOTIENT((((C62)-(c_TMAP2IN))*((c_TMAP3OUT)-(c_TMAP2OUT))+IF(((c_TMAP3OUT)-(c_TMAP2OUT))&gt;=0,1,-1)*QUOTIENT(((c_TMAP3IN)-(c_TMAP2IN)),2)),((c_TMAP3IN)-(c_TMAP2IN)))+(c_TMAP2OUT)+IF(((c_TMAP3OUT)-(c_TMAP2OUT))&gt;=0,IF(IF(o_WRAP=1,MOD(((c_TMAP3IN)-(c_TMAP2IN))*(((C62)-(c_TMAP2IN))*((c_TMAP3OUT)-(c_TMAP2OUT))+IF(((c_TMAP3OUT)-(c_TMAP2OUT))&gt;=0,1,-1)*QUOTIENT(((c_TMAP3IN)-(c_TMAP2IN)),2))+2147483648,4294967296)-2147483648,((c_TMAP3IN)-(c_TMAP2IN))*(((C62)-(c_TMAP2IN))*((c_TMAP3OUT)-(c_TMAP2OUT))+IF(((c_TMAP3OUT)-(c_TMAP2OUT))&gt;=0,1,-1)*QUOTIENT(((c_TMAP3IN)-(c_TMAP2IN)),2)))&lt;0,-1,0),IF(IF(o_WRAP=1,MOD(((c_TMAP3IN)-(c_TMAP2IN))*(((C62)-(c_TMAP2IN))*((c_TMAP3OUT)-(c_TMAP2OUT))+IF(((c_TMAP3OUT)-(c_TMAP2OUT))&gt;=0,1,-1)*QUOTIENT(((c_TMAP3IN)-(c_TMAP2IN)),2))+2147483648,4294967296)-2147483648,((c_TMAP3IN)-(c_TMAP2IN))*(((C62)-(c_TMAP2IN))*((c_TMAP3OUT)-(c_TMAP2OUT))+IF(((c_TMAP3OUT)-(c_TMAP2OUT))&gt;=0,1,-1)*QUOTIENT(((c_TMAP3IN)-(c_TMAP2IN)),2)))&gt;=0,1,0)))</f>
        <v>585</v>
      </c>
      <c r="H62" s="7" t="n">
        <f aca="false">IF(((1000)-(c_TMAP3IN))=0,(c_TMAP3OUT)+QUOTIENT(((1000)-(c_TMAP3OUT)),2),QUOTIENT((((C62)-(c_TMAP3IN))*((1000)-(c_TMAP3OUT))+IF(((1000)-(c_TMAP3OUT))&gt;=0,1,-1)*QUOTIENT(((1000)-(c_TMAP3IN)),2)),((1000)-(c_TMAP3IN)))+(c_TMAP3OUT)+IF(((1000)-(c_TMAP3OUT))&gt;=0,IF(IF(o_WRAP=1,MOD(((1000)-(c_TMAP3IN))*(((C62)-(c_TMAP3IN))*((1000)-(c_TMAP3OUT))+IF(((1000)-(c_TMAP3OUT))&gt;=0,1,-1)*QUOTIENT(((1000)-(c_TMAP3IN)),2))+2147483648,4294967296)-2147483648,((1000)-(c_TMAP3IN))*(((C62)-(c_TMAP3IN))*((1000)-(c_TMAP3OUT))+IF(((1000)-(c_TMAP3OUT))&gt;=0,1,-1)*QUOTIENT(((1000)-(c_TMAP3IN)),2)))&lt;0,-1,0),IF(IF(o_WRAP=1,MOD(((1000)-(c_TMAP3IN))*(((C62)-(c_TMAP3IN))*((1000)-(c_TMAP3OUT))+IF(((1000)-(c_TMAP3OUT))&gt;=0,1,-1)*QUOTIENT(((1000)-(c_TMAP3IN)),2))+2147483648,4294967296)-2147483648,((1000)-(c_TMAP3IN))*(((C62)-(c_TMAP3IN))*((1000)-(c_TMAP3OUT))+IF(((1000)-(c_TMAP3OUT))&gt;=0,1,-1)*QUOTIENT(((1000)-(c_TMAP3IN)),2)))&gt;=0,1,0)))</f>
        <v>877</v>
      </c>
      <c r="I62" s="7" t="n">
        <f aca="false">IF(C62&gt;=c_TFWD,IF(AND(C62&gt;=c_TMAP3IN,c_TMAP3IN&lt;1000),H62,IF(AND(C62&gt;=c_TMAP2IN,c_TMAP3IN&gt;c_TMAP2IN),G62,IF(AND(C62&gt;=c_TMAP1IN,c_TMAP2IN&gt;c_TMAP1IN),F62,E62))),D62)</f>
        <v>877</v>
      </c>
      <c r="J62" s="7" t="str">
        <f aca="false">IF(I62&lt;-1090,"TOO LOW",IF(I62&gt;1090,"TOO HIGH",""))</f>
        <v/>
      </c>
      <c r="K62" s="7" t="n">
        <f aca="false">IF(J62&lt;&gt;"",0,IF(I62&gt;979,1000,I62))</f>
        <v>877</v>
      </c>
      <c r="L62" s="7" t="n">
        <f aca="false">IF(OR(c_TSMOOTH=0,K62&gt;=c_TSMOOTHCUT),1,0)</f>
        <v>1</v>
      </c>
      <c r="M62" s="7" t="n">
        <f aca="false">IF(L62=1,0,M61+1)</f>
        <v>0</v>
      </c>
      <c r="N62" s="7" t="n">
        <f aca="false">IF(L62=1,0,MIN(M62,c_TSMOOTH))</f>
        <v>0</v>
      </c>
      <c r="O62" s="7" t="n">
        <f aca="false">IF(COUNTIF($L$5:L62,1)&gt;0,c_TSMOOTHCUT,0)</f>
        <v>400</v>
      </c>
      <c r="P62" s="15" t="n">
        <f aca="true">IF(L62=1,K62,QUOTIENT(SUM(OFFSET(K62,1-N62,0,N62,1))+(c_TSMOOTH-N62)*O62,c_TSMOOTH))</f>
        <v>877</v>
      </c>
      <c r="Q62" s="7" t="n">
        <f aca="false">K62/10</f>
        <v>87.7</v>
      </c>
      <c r="R62" s="7" t="n">
        <f aca="false">P62/10</f>
        <v>87.7</v>
      </c>
    </row>
    <row r="63" customFormat="false" ht="15" hidden="false" customHeight="false" outlineLevel="0" collapsed="false">
      <c r="A63" s="7" t="n">
        <v>58</v>
      </c>
      <c r="B63" s="7" t="n">
        <f aca="false">A63*0.04</f>
        <v>2.32</v>
      </c>
      <c r="C63" s="18" t="n">
        <v>900</v>
      </c>
      <c r="D63" s="7" t="n">
        <f aca="false">IF(AND(C63=0,c_TCREEP&gt;0),10*c_TCREEP,IF(AND(C63&lt;=c_TRNGMIN,C63&gt;=c_TRNGMAX,c_TRNGMIN-c_TRNGMAX&lt;&gt;0),-10*c_TMINRN+QUOTIENT((c_TMAXRN-c_TMINRN)*(100-QUOTIENT((C63-c_TRNGMAX)*100,c_TRNGMIN-c_TRNGMAX)),-10),0))</f>
        <v>0</v>
      </c>
      <c r="E63" s="7" t="n">
        <f aca="false">IF(((c_TMAP1IN)-(c_TFWD))=0,(0)+QUOTIENT(((c_TMAP1OUT)-(0)),2),QUOTIENT((((C63)-(c_TFWD))*((c_TMAP1OUT)-(0))+IF(((c_TMAP1OUT)-(0))&gt;=0,1,-1)*QUOTIENT(((c_TMAP1IN)-(c_TFWD)),2)),((c_TMAP1IN)-(c_TFWD)))+(0)+IF(((c_TMAP1OUT)-(0))&gt;=0,IF(IF(o_WRAP=1,MOD(((c_TMAP1IN)-(c_TFWD))*(((C63)-(c_TFWD))*((c_TMAP1OUT)-(0))+IF(((c_TMAP1OUT)-(0))&gt;=0,1,-1)*QUOTIENT(((c_TMAP1IN)-(c_TFWD)),2))+2147483648,4294967296)-2147483648,((c_TMAP1IN)-(c_TFWD))*(((C63)-(c_TFWD))*((c_TMAP1OUT)-(0))+IF(((c_TMAP1OUT)-(0))&gt;=0,1,-1)*QUOTIENT(((c_TMAP1IN)-(c_TFWD)),2)))&lt;0,-1,0),IF(IF(o_WRAP=1,MOD(((c_TMAP1IN)-(c_TFWD))*(((C63)-(c_TFWD))*((c_TMAP1OUT)-(0))+IF(((c_TMAP1OUT)-(0))&gt;=0,1,-1)*QUOTIENT(((c_TMAP1IN)-(c_TFWD)),2))+2147483648,4294967296)-2147483648,((c_TMAP1IN)-(c_TFWD))*(((C63)-(c_TFWD))*((c_TMAP1OUT)-(0))+IF(((c_TMAP1OUT)-(0))&gt;=0,1,-1)*QUOTIENT(((c_TMAP1IN)-(c_TFWD)),2)))&gt;=0,1,0)))</f>
        <v>692</v>
      </c>
      <c r="F63" s="7" t="n">
        <f aca="false">IF(((c_TMAP2IN)-(c_TMAP1IN))=0,(c_TMAP1OUT)+QUOTIENT(((c_TMAP2OUT)-(c_TMAP1OUT)),2),QUOTIENT((((C63)-(c_TMAP1IN))*((c_TMAP2OUT)-(c_TMAP1OUT))+IF(((c_TMAP2OUT)-(c_TMAP1OUT))&gt;=0,1,-1)*QUOTIENT(((c_TMAP2IN)-(c_TMAP1IN)),2)),((c_TMAP2IN)-(c_TMAP1IN)))+(c_TMAP1OUT)+IF(((c_TMAP2OUT)-(c_TMAP1OUT))&gt;=0,IF(IF(o_WRAP=1,MOD(((c_TMAP2IN)-(c_TMAP1IN))*(((C63)-(c_TMAP1IN))*((c_TMAP2OUT)-(c_TMAP1OUT))+IF(((c_TMAP2OUT)-(c_TMAP1OUT))&gt;=0,1,-1)*QUOTIENT(((c_TMAP2IN)-(c_TMAP1IN)),2))+2147483648,4294967296)-2147483648,((c_TMAP2IN)-(c_TMAP1IN))*(((C63)-(c_TMAP1IN))*((c_TMAP2OUT)-(c_TMAP1OUT))+IF(((c_TMAP2OUT)-(c_TMAP1OUT))&gt;=0,1,-1)*QUOTIENT(((c_TMAP2IN)-(c_TMAP1IN)),2)))&lt;0,-1,0),IF(IF(o_WRAP=1,MOD(((c_TMAP2IN)-(c_TMAP1IN))*(((C63)-(c_TMAP1IN))*((c_TMAP2OUT)-(c_TMAP1OUT))+IF(((c_TMAP2OUT)-(c_TMAP1OUT))&gt;=0,1,-1)*QUOTIENT(((c_TMAP2IN)-(c_TMAP1IN)),2))+2147483648,4294967296)-2147483648,((c_TMAP2IN)-(c_TMAP1IN))*(((C63)-(c_TMAP1IN))*((c_TMAP2OUT)-(c_TMAP1OUT))+IF(((c_TMAP2OUT)-(c_TMAP1OUT))&gt;=0,1,-1)*QUOTIENT(((c_TMAP2IN)-(c_TMAP1IN)),2)))&gt;=0,1,0)))</f>
        <v>390</v>
      </c>
      <c r="G63" s="7" t="n">
        <f aca="false">IF(((c_TMAP3IN)-(c_TMAP2IN))=0,(c_TMAP2OUT)+QUOTIENT(((c_TMAP3OUT)-(c_TMAP2OUT)),2),QUOTIENT((((C63)-(c_TMAP2IN))*((c_TMAP3OUT)-(c_TMAP2OUT))+IF(((c_TMAP3OUT)-(c_TMAP2OUT))&gt;=0,1,-1)*QUOTIENT(((c_TMAP3IN)-(c_TMAP2IN)),2)),((c_TMAP3IN)-(c_TMAP2IN)))+(c_TMAP2OUT)+IF(((c_TMAP3OUT)-(c_TMAP2OUT))&gt;=0,IF(IF(o_WRAP=1,MOD(((c_TMAP3IN)-(c_TMAP2IN))*(((C63)-(c_TMAP2IN))*((c_TMAP3OUT)-(c_TMAP2OUT))+IF(((c_TMAP3OUT)-(c_TMAP2OUT))&gt;=0,1,-1)*QUOTIENT(((c_TMAP3IN)-(c_TMAP2IN)),2))+2147483648,4294967296)-2147483648,((c_TMAP3IN)-(c_TMAP2IN))*(((C63)-(c_TMAP2IN))*((c_TMAP3OUT)-(c_TMAP2OUT))+IF(((c_TMAP3OUT)-(c_TMAP2OUT))&gt;=0,1,-1)*QUOTIENT(((c_TMAP3IN)-(c_TMAP2IN)),2)))&lt;0,-1,0),IF(IF(o_WRAP=1,MOD(((c_TMAP3IN)-(c_TMAP2IN))*(((C63)-(c_TMAP2IN))*((c_TMAP3OUT)-(c_TMAP2OUT))+IF(((c_TMAP3OUT)-(c_TMAP2OUT))&gt;=0,1,-1)*QUOTIENT(((c_TMAP3IN)-(c_TMAP2IN)),2))+2147483648,4294967296)-2147483648,((c_TMAP3IN)-(c_TMAP2IN))*(((C63)-(c_TMAP2IN))*((c_TMAP3OUT)-(c_TMAP2OUT))+IF(((c_TMAP3OUT)-(c_TMAP2OUT))&gt;=0,1,-1)*QUOTIENT(((c_TMAP3IN)-(c_TMAP2IN)),2)))&gt;=0,1,0)))</f>
        <v>585</v>
      </c>
      <c r="H63" s="7" t="n">
        <f aca="false">IF(((1000)-(c_TMAP3IN))=0,(c_TMAP3OUT)+QUOTIENT(((1000)-(c_TMAP3OUT)),2),QUOTIENT((((C63)-(c_TMAP3IN))*((1000)-(c_TMAP3OUT))+IF(((1000)-(c_TMAP3OUT))&gt;=0,1,-1)*QUOTIENT(((1000)-(c_TMAP3IN)),2)),((1000)-(c_TMAP3IN)))+(c_TMAP3OUT)+IF(((1000)-(c_TMAP3OUT))&gt;=0,IF(IF(o_WRAP=1,MOD(((1000)-(c_TMAP3IN))*(((C63)-(c_TMAP3IN))*((1000)-(c_TMAP3OUT))+IF(((1000)-(c_TMAP3OUT))&gt;=0,1,-1)*QUOTIENT(((1000)-(c_TMAP3IN)),2))+2147483648,4294967296)-2147483648,((1000)-(c_TMAP3IN))*(((C63)-(c_TMAP3IN))*((1000)-(c_TMAP3OUT))+IF(((1000)-(c_TMAP3OUT))&gt;=0,1,-1)*QUOTIENT(((1000)-(c_TMAP3IN)),2)))&lt;0,-1,0),IF(IF(o_WRAP=1,MOD(((1000)-(c_TMAP3IN))*(((C63)-(c_TMAP3IN))*((1000)-(c_TMAP3OUT))+IF(((1000)-(c_TMAP3OUT))&gt;=0,1,-1)*QUOTIENT(((1000)-(c_TMAP3IN)),2))+2147483648,4294967296)-2147483648,((1000)-(c_TMAP3IN))*(((C63)-(c_TMAP3IN))*((1000)-(c_TMAP3OUT))+IF(((1000)-(c_TMAP3OUT))&gt;=0,1,-1)*QUOTIENT(((1000)-(c_TMAP3IN)),2)))&gt;=0,1,0)))</f>
        <v>877</v>
      </c>
      <c r="I63" s="7" t="n">
        <f aca="false">IF(C63&gt;=c_TFWD,IF(AND(C63&gt;=c_TMAP3IN,c_TMAP3IN&lt;1000),H63,IF(AND(C63&gt;=c_TMAP2IN,c_TMAP3IN&gt;c_TMAP2IN),G63,IF(AND(C63&gt;=c_TMAP1IN,c_TMAP2IN&gt;c_TMAP1IN),F63,E63))),D63)</f>
        <v>877</v>
      </c>
      <c r="J63" s="7" t="str">
        <f aca="false">IF(I63&lt;-1090,"TOO LOW",IF(I63&gt;1090,"TOO HIGH",""))</f>
        <v/>
      </c>
      <c r="K63" s="7" t="n">
        <f aca="false">IF(J63&lt;&gt;"",0,IF(I63&gt;979,1000,I63))</f>
        <v>877</v>
      </c>
      <c r="L63" s="7" t="n">
        <f aca="false">IF(OR(c_TSMOOTH=0,K63&gt;=c_TSMOOTHCUT),1,0)</f>
        <v>1</v>
      </c>
      <c r="M63" s="7" t="n">
        <f aca="false">IF(L63=1,0,M62+1)</f>
        <v>0</v>
      </c>
      <c r="N63" s="7" t="n">
        <f aca="false">IF(L63=1,0,MIN(M63,c_TSMOOTH))</f>
        <v>0</v>
      </c>
      <c r="O63" s="7" t="n">
        <f aca="false">IF(COUNTIF($L$5:L63,1)&gt;0,c_TSMOOTHCUT,0)</f>
        <v>400</v>
      </c>
      <c r="P63" s="15" t="n">
        <f aca="true">IF(L63=1,K63,QUOTIENT(SUM(OFFSET(K63,1-N63,0,N63,1))+(c_TSMOOTH-N63)*O63,c_TSMOOTH))</f>
        <v>877</v>
      </c>
      <c r="Q63" s="7" t="n">
        <f aca="false">K63/10</f>
        <v>87.7</v>
      </c>
      <c r="R63" s="7" t="n">
        <f aca="false">P63/10</f>
        <v>87.7</v>
      </c>
    </row>
    <row r="64" customFormat="false" ht="15" hidden="false" customHeight="false" outlineLevel="0" collapsed="false">
      <c r="A64" s="7" t="n">
        <v>59</v>
      </c>
      <c r="B64" s="7" t="n">
        <f aca="false">A64*0.04</f>
        <v>2.36</v>
      </c>
      <c r="C64" s="18" t="n">
        <v>900</v>
      </c>
      <c r="D64" s="7" t="n">
        <f aca="false">IF(AND(C64=0,c_TCREEP&gt;0),10*c_TCREEP,IF(AND(C64&lt;=c_TRNGMIN,C64&gt;=c_TRNGMAX,c_TRNGMIN-c_TRNGMAX&lt;&gt;0),-10*c_TMINRN+QUOTIENT((c_TMAXRN-c_TMINRN)*(100-QUOTIENT((C64-c_TRNGMAX)*100,c_TRNGMIN-c_TRNGMAX)),-10),0))</f>
        <v>0</v>
      </c>
      <c r="E64" s="7" t="n">
        <f aca="false">IF(((c_TMAP1IN)-(c_TFWD))=0,(0)+QUOTIENT(((c_TMAP1OUT)-(0)),2),QUOTIENT((((C64)-(c_TFWD))*((c_TMAP1OUT)-(0))+IF(((c_TMAP1OUT)-(0))&gt;=0,1,-1)*QUOTIENT(((c_TMAP1IN)-(c_TFWD)),2)),((c_TMAP1IN)-(c_TFWD)))+(0)+IF(((c_TMAP1OUT)-(0))&gt;=0,IF(IF(o_WRAP=1,MOD(((c_TMAP1IN)-(c_TFWD))*(((C64)-(c_TFWD))*((c_TMAP1OUT)-(0))+IF(((c_TMAP1OUT)-(0))&gt;=0,1,-1)*QUOTIENT(((c_TMAP1IN)-(c_TFWD)),2))+2147483648,4294967296)-2147483648,((c_TMAP1IN)-(c_TFWD))*(((C64)-(c_TFWD))*((c_TMAP1OUT)-(0))+IF(((c_TMAP1OUT)-(0))&gt;=0,1,-1)*QUOTIENT(((c_TMAP1IN)-(c_TFWD)),2)))&lt;0,-1,0),IF(IF(o_WRAP=1,MOD(((c_TMAP1IN)-(c_TFWD))*(((C64)-(c_TFWD))*((c_TMAP1OUT)-(0))+IF(((c_TMAP1OUT)-(0))&gt;=0,1,-1)*QUOTIENT(((c_TMAP1IN)-(c_TFWD)),2))+2147483648,4294967296)-2147483648,((c_TMAP1IN)-(c_TFWD))*(((C64)-(c_TFWD))*((c_TMAP1OUT)-(0))+IF(((c_TMAP1OUT)-(0))&gt;=0,1,-1)*QUOTIENT(((c_TMAP1IN)-(c_TFWD)),2)))&gt;=0,1,0)))</f>
        <v>692</v>
      </c>
      <c r="F64" s="7" t="n">
        <f aca="false">IF(((c_TMAP2IN)-(c_TMAP1IN))=0,(c_TMAP1OUT)+QUOTIENT(((c_TMAP2OUT)-(c_TMAP1OUT)),2),QUOTIENT((((C64)-(c_TMAP1IN))*((c_TMAP2OUT)-(c_TMAP1OUT))+IF(((c_TMAP2OUT)-(c_TMAP1OUT))&gt;=0,1,-1)*QUOTIENT(((c_TMAP2IN)-(c_TMAP1IN)),2)),((c_TMAP2IN)-(c_TMAP1IN)))+(c_TMAP1OUT)+IF(((c_TMAP2OUT)-(c_TMAP1OUT))&gt;=0,IF(IF(o_WRAP=1,MOD(((c_TMAP2IN)-(c_TMAP1IN))*(((C64)-(c_TMAP1IN))*((c_TMAP2OUT)-(c_TMAP1OUT))+IF(((c_TMAP2OUT)-(c_TMAP1OUT))&gt;=0,1,-1)*QUOTIENT(((c_TMAP2IN)-(c_TMAP1IN)),2))+2147483648,4294967296)-2147483648,((c_TMAP2IN)-(c_TMAP1IN))*(((C64)-(c_TMAP1IN))*((c_TMAP2OUT)-(c_TMAP1OUT))+IF(((c_TMAP2OUT)-(c_TMAP1OUT))&gt;=0,1,-1)*QUOTIENT(((c_TMAP2IN)-(c_TMAP1IN)),2)))&lt;0,-1,0),IF(IF(o_WRAP=1,MOD(((c_TMAP2IN)-(c_TMAP1IN))*(((C64)-(c_TMAP1IN))*((c_TMAP2OUT)-(c_TMAP1OUT))+IF(((c_TMAP2OUT)-(c_TMAP1OUT))&gt;=0,1,-1)*QUOTIENT(((c_TMAP2IN)-(c_TMAP1IN)),2))+2147483648,4294967296)-2147483648,((c_TMAP2IN)-(c_TMAP1IN))*(((C64)-(c_TMAP1IN))*((c_TMAP2OUT)-(c_TMAP1OUT))+IF(((c_TMAP2OUT)-(c_TMAP1OUT))&gt;=0,1,-1)*QUOTIENT(((c_TMAP2IN)-(c_TMAP1IN)),2)))&gt;=0,1,0)))</f>
        <v>390</v>
      </c>
      <c r="G64" s="7" t="n">
        <f aca="false">IF(((c_TMAP3IN)-(c_TMAP2IN))=0,(c_TMAP2OUT)+QUOTIENT(((c_TMAP3OUT)-(c_TMAP2OUT)),2),QUOTIENT((((C64)-(c_TMAP2IN))*((c_TMAP3OUT)-(c_TMAP2OUT))+IF(((c_TMAP3OUT)-(c_TMAP2OUT))&gt;=0,1,-1)*QUOTIENT(((c_TMAP3IN)-(c_TMAP2IN)),2)),((c_TMAP3IN)-(c_TMAP2IN)))+(c_TMAP2OUT)+IF(((c_TMAP3OUT)-(c_TMAP2OUT))&gt;=0,IF(IF(o_WRAP=1,MOD(((c_TMAP3IN)-(c_TMAP2IN))*(((C64)-(c_TMAP2IN))*((c_TMAP3OUT)-(c_TMAP2OUT))+IF(((c_TMAP3OUT)-(c_TMAP2OUT))&gt;=0,1,-1)*QUOTIENT(((c_TMAP3IN)-(c_TMAP2IN)),2))+2147483648,4294967296)-2147483648,((c_TMAP3IN)-(c_TMAP2IN))*(((C64)-(c_TMAP2IN))*((c_TMAP3OUT)-(c_TMAP2OUT))+IF(((c_TMAP3OUT)-(c_TMAP2OUT))&gt;=0,1,-1)*QUOTIENT(((c_TMAP3IN)-(c_TMAP2IN)),2)))&lt;0,-1,0),IF(IF(o_WRAP=1,MOD(((c_TMAP3IN)-(c_TMAP2IN))*(((C64)-(c_TMAP2IN))*((c_TMAP3OUT)-(c_TMAP2OUT))+IF(((c_TMAP3OUT)-(c_TMAP2OUT))&gt;=0,1,-1)*QUOTIENT(((c_TMAP3IN)-(c_TMAP2IN)),2))+2147483648,4294967296)-2147483648,((c_TMAP3IN)-(c_TMAP2IN))*(((C64)-(c_TMAP2IN))*((c_TMAP3OUT)-(c_TMAP2OUT))+IF(((c_TMAP3OUT)-(c_TMAP2OUT))&gt;=0,1,-1)*QUOTIENT(((c_TMAP3IN)-(c_TMAP2IN)),2)))&gt;=0,1,0)))</f>
        <v>585</v>
      </c>
      <c r="H64" s="7" t="n">
        <f aca="false">IF(((1000)-(c_TMAP3IN))=0,(c_TMAP3OUT)+QUOTIENT(((1000)-(c_TMAP3OUT)),2),QUOTIENT((((C64)-(c_TMAP3IN))*((1000)-(c_TMAP3OUT))+IF(((1000)-(c_TMAP3OUT))&gt;=0,1,-1)*QUOTIENT(((1000)-(c_TMAP3IN)),2)),((1000)-(c_TMAP3IN)))+(c_TMAP3OUT)+IF(((1000)-(c_TMAP3OUT))&gt;=0,IF(IF(o_WRAP=1,MOD(((1000)-(c_TMAP3IN))*(((C64)-(c_TMAP3IN))*((1000)-(c_TMAP3OUT))+IF(((1000)-(c_TMAP3OUT))&gt;=0,1,-1)*QUOTIENT(((1000)-(c_TMAP3IN)),2))+2147483648,4294967296)-2147483648,((1000)-(c_TMAP3IN))*(((C64)-(c_TMAP3IN))*((1000)-(c_TMAP3OUT))+IF(((1000)-(c_TMAP3OUT))&gt;=0,1,-1)*QUOTIENT(((1000)-(c_TMAP3IN)),2)))&lt;0,-1,0),IF(IF(o_WRAP=1,MOD(((1000)-(c_TMAP3IN))*(((C64)-(c_TMAP3IN))*((1000)-(c_TMAP3OUT))+IF(((1000)-(c_TMAP3OUT))&gt;=0,1,-1)*QUOTIENT(((1000)-(c_TMAP3IN)),2))+2147483648,4294967296)-2147483648,((1000)-(c_TMAP3IN))*(((C64)-(c_TMAP3IN))*((1000)-(c_TMAP3OUT))+IF(((1000)-(c_TMAP3OUT))&gt;=0,1,-1)*QUOTIENT(((1000)-(c_TMAP3IN)),2)))&gt;=0,1,0)))</f>
        <v>877</v>
      </c>
      <c r="I64" s="7" t="n">
        <f aca="false">IF(C64&gt;=c_TFWD,IF(AND(C64&gt;=c_TMAP3IN,c_TMAP3IN&lt;1000),H64,IF(AND(C64&gt;=c_TMAP2IN,c_TMAP3IN&gt;c_TMAP2IN),G64,IF(AND(C64&gt;=c_TMAP1IN,c_TMAP2IN&gt;c_TMAP1IN),F64,E64))),D64)</f>
        <v>877</v>
      </c>
      <c r="J64" s="7" t="str">
        <f aca="false">IF(I64&lt;-1090,"TOO LOW",IF(I64&gt;1090,"TOO HIGH",""))</f>
        <v/>
      </c>
      <c r="K64" s="7" t="n">
        <f aca="false">IF(J64&lt;&gt;"",0,IF(I64&gt;979,1000,I64))</f>
        <v>877</v>
      </c>
      <c r="L64" s="7" t="n">
        <f aca="false">IF(OR(c_TSMOOTH=0,K64&gt;=c_TSMOOTHCUT),1,0)</f>
        <v>1</v>
      </c>
      <c r="M64" s="7" t="n">
        <f aca="false">IF(L64=1,0,M63+1)</f>
        <v>0</v>
      </c>
      <c r="N64" s="7" t="n">
        <f aca="false">IF(L64=1,0,MIN(M64,c_TSMOOTH))</f>
        <v>0</v>
      </c>
      <c r="O64" s="7" t="n">
        <f aca="false">IF(COUNTIF($L$5:L64,1)&gt;0,c_TSMOOTHCUT,0)</f>
        <v>400</v>
      </c>
      <c r="P64" s="15" t="n">
        <f aca="true">IF(L64=1,K64,QUOTIENT(SUM(OFFSET(K64,1-N64,0,N64,1))+(c_TSMOOTH-N64)*O64,c_TSMOOTH))</f>
        <v>877</v>
      </c>
      <c r="Q64" s="7" t="n">
        <f aca="false">K64/10</f>
        <v>87.7</v>
      </c>
      <c r="R64" s="7" t="n">
        <f aca="false">P64/10</f>
        <v>87.7</v>
      </c>
    </row>
    <row r="65" customFormat="false" ht="15" hidden="false" customHeight="false" outlineLevel="0" collapsed="false">
      <c r="A65" s="7" t="n">
        <v>60</v>
      </c>
      <c r="B65" s="7" t="n">
        <f aca="false">A65*0.04</f>
        <v>2.4</v>
      </c>
      <c r="C65" s="18" t="n">
        <v>900</v>
      </c>
      <c r="D65" s="7" t="n">
        <f aca="false">IF(AND(C65=0,c_TCREEP&gt;0),10*c_TCREEP,IF(AND(C65&lt;=c_TRNGMIN,C65&gt;=c_TRNGMAX,c_TRNGMIN-c_TRNGMAX&lt;&gt;0),-10*c_TMINRN+QUOTIENT((c_TMAXRN-c_TMINRN)*(100-QUOTIENT((C65-c_TRNGMAX)*100,c_TRNGMIN-c_TRNGMAX)),-10),0))</f>
        <v>0</v>
      </c>
      <c r="E65" s="7" t="n">
        <f aca="false">IF(((c_TMAP1IN)-(c_TFWD))=0,(0)+QUOTIENT(((c_TMAP1OUT)-(0)),2),QUOTIENT((((C65)-(c_TFWD))*((c_TMAP1OUT)-(0))+IF(((c_TMAP1OUT)-(0))&gt;=0,1,-1)*QUOTIENT(((c_TMAP1IN)-(c_TFWD)),2)),((c_TMAP1IN)-(c_TFWD)))+(0)+IF(((c_TMAP1OUT)-(0))&gt;=0,IF(IF(o_WRAP=1,MOD(((c_TMAP1IN)-(c_TFWD))*(((C65)-(c_TFWD))*((c_TMAP1OUT)-(0))+IF(((c_TMAP1OUT)-(0))&gt;=0,1,-1)*QUOTIENT(((c_TMAP1IN)-(c_TFWD)),2))+2147483648,4294967296)-2147483648,((c_TMAP1IN)-(c_TFWD))*(((C65)-(c_TFWD))*((c_TMAP1OUT)-(0))+IF(((c_TMAP1OUT)-(0))&gt;=0,1,-1)*QUOTIENT(((c_TMAP1IN)-(c_TFWD)),2)))&lt;0,-1,0),IF(IF(o_WRAP=1,MOD(((c_TMAP1IN)-(c_TFWD))*(((C65)-(c_TFWD))*((c_TMAP1OUT)-(0))+IF(((c_TMAP1OUT)-(0))&gt;=0,1,-1)*QUOTIENT(((c_TMAP1IN)-(c_TFWD)),2))+2147483648,4294967296)-2147483648,((c_TMAP1IN)-(c_TFWD))*(((C65)-(c_TFWD))*((c_TMAP1OUT)-(0))+IF(((c_TMAP1OUT)-(0))&gt;=0,1,-1)*QUOTIENT(((c_TMAP1IN)-(c_TFWD)),2)))&gt;=0,1,0)))</f>
        <v>692</v>
      </c>
      <c r="F65" s="7" t="n">
        <f aca="false">IF(((c_TMAP2IN)-(c_TMAP1IN))=0,(c_TMAP1OUT)+QUOTIENT(((c_TMAP2OUT)-(c_TMAP1OUT)),2),QUOTIENT((((C65)-(c_TMAP1IN))*((c_TMAP2OUT)-(c_TMAP1OUT))+IF(((c_TMAP2OUT)-(c_TMAP1OUT))&gt;=0,1,-1)*QUOTIENT(((c_TMAP2IN)-(c_TMAP1IN)),2)),((c_TMAP2IN)-(c_TMAP1IN)))+(c_TMAP1OUT)+IF(((c_TMAP2OUT)-(c_TMAP1OUT))&gt;=0,IF(IF(o_WRAP=1,MOD(((c_TMAP2IN)-(c_TMAP1IN))*(((C65)-(c_TMAP1IN))*((c_TMAP2OUT)-(c_TMAP1OUT))+IF(((c_TMAP2OUT)-(c_TMAP1OUT))&gt;=0,1,-1)*QUOTIENT(((c_TMAP2IN)-(c_TMAP1IN)),2))+2147483648,4294967296)-2147483648,((c_TMAP2IN)-(c_TMAP1IN))*(((C65)-(c_TMAP1IN))*((c_TMAP2OUT)-(c_TMAP1OUT))+IF(((c_TMAP2OUT)-(c_TMAP1OUT))&gt;=0,1,-1)*QUOTIENT(((c_TMAP2IN)-(c_TMAP1IN)),2)))&lt;0,-1,0),IF(IF(o_WRAP=1,MOD(((c_TMAP2IN)-(c_TMAP1IN))*(((C65)-(c_TMAP1IN))*((c_TMAP2OUT)-(c_TMAP1OUT))+IF(((c_TMAP2OUT)-(c_TMAP1OUT))&gt;=0,1,-1)*QUOTIENT(((c_TMAP2IN)-(c_TMAP1IN)),2))+2147483648,4294967296)-2147483648,((c_TMAP2IN)-(c_TMAP1IN))*(((C65)-(c_TMAP1IN))*((c_TMAP2OUT)-(c_TMAP1OUT))+IF(((c_TMAP2OUT)-(c_TMAP1OUT))&gt;=0,1,-1)*QUOTIENT(((c_TMAP2IN)-(c_TMAP1IN)),2)))&gt;=0,1,0)))</f>
        <v>390</v>
      </c>
      <c r="G65" s="7" t="n">
        <f aca="false">IF(((c_TMAP3IN)-(c_TMAP2IN))=0,(c_TMAP2OUT)+QUOTIENT(((c_TMAP3OUT)-(c_TMAP2OUT)),2),QUOTIENT((((C65)-(c_TMAP2IN))*((c_TMAP3OUT)-(c_TMAP2OUT))+IF(((c_TMAP3OUT)-(c_TMAP2OUT))&gt;=0,1,-1)*QUOTIENT(((c_TMAP3IN)-(c_TMAP2IN)),2)),((c_TMAP3IN)-(c_TMAP2IN)))+(c_TMAP2OUT)+IF(((c_TMAP3OUT)-(c_TMAP2OUT))&gt;=0,IF(IF(o_WRAP=1,MOD(((c_TMAP3IN)-(c_TMAP2IN))*(((C65)-(c_TMAP2IN))*((c_TMAP3OUT)-(c_TMAP2OUT))+IF(((c_TMAP3OUT)-(c_TMAP2OUT))&gt;=0,1,-1)*QUOTIENT(((c_TMAP3IN)-(c_TMAP2IN)),2))+2147483648,4294967296)-2147483648,((c_TMAP3IN)-(c_TMAP2IN))*(((C65)-(c_TMAP2IN))*((c_TMAP3OUT)-(c_TMAP2OUT))+IF(((c_TMAP3OUT)-(c_TMAP2OUT))&gt;=0,1,-1)*QUOTIENT(((c_TMAP3IN)-(c_TMAP2IN)),2)))&lt;0,-1,0),IF(IF(o_WRAP=1,MOD(((c_TMAP3IN)-(c_TMAP2IN))*(((C65)-(c_TMAP2IN))*((c_TMAP3OUT)-(c_TMAP2OUT))+IF(((c_TMAP3OUT)-(c_TMAP2OUT))&gt;=0,1,-1)*QUOTIENT(((c_TMAP3IN)-(c_TMAP2IN)),2))+2147483648,4294967296)-2147483648,((c_TMAP3IN)-(c_TMAP2IN))*(((C65)-(c_TMAP2IN))*((c_TMAP3OUT)-(c_TMAP2OUT))+IF(((c_TMAP3OUT)-(c_TMAP2OUT))&gt;=0,1,-1)*QUOTIENT(((c_TMAP3IN)-(c_TMAP2IN)),2)))&gt;=0,1,0)))</f>
        <v>585</v>
      </c>
      <c r="H65" s="7" t="n">
        <f aca="false">IF(((1000)-(c_TMAP3IN))=0,(c_TMAP3OUT)+QUOTIENT(((1000)-(c_TMAP3OUT)),2),QUOTIENT((((C65)-(c_TMAP3IN))*((1000)-(c_TMAP3OUT))+IF(((1000)-(c_TMAP3OUT))&gt;=0,1,-1)*QUOTIENT(((1000)-(c_TMAP3IN)),2)),((1000)-(c_TMAP3IN)))+(c_TMAP3OUT)+IF(((1000)-(c_TMAP3OUT))&gt;=0,IF(IF(o_WRAP=1,MOD(((1000)-(c_TMAP3IN))*(((C65)-(c_TMAP3IN))*((1000)-(c_TMAP3OUT))+IF(((1000)-(c_TMAP3OUT))&gt;=0,1,-1)*QUOTIENT(((1000)-(c_TMAP3IN)),2))+2147483648,4294967296)-2147483648,((1000)-(c_TMAP3IN))*(((C65)-(c_TMAP3IN))*((1000)-(c_TMAP3OUT))+IF(((1000)-(c_TMAP3OUT))&gt;=0,1,-1)*QUOTIENT(((1000)-(c_TMAP3IN)),2)))&lt;0,-1,0),IF(IF(o_WRAP=1,MOD(((1000)-(c_TMAP3IN))*(((C65)-(c_TMAP3IN))*((1000)-(c_TMAP3OUT))+IF(((1000)-(c_TMAP3OUT))&gt;=0,1,-1)*QUOTIENT(((1000)-(c_TMAP3IN)),2))+2147483648,4294967296)-2147483648,((1000)-(c_TMAP3IN))*(((C65)-(c_TMAP3IN))*((1000)-(c_TMAP3OUT))+IF(((1000)-(c_TMAP3OUT))&gt;=0,1,-1)*QUOTIENT(((1000)-(c_TMAP3IN)),2)))&gt;=0,1,0)))</f>
        <v>877</v>
      </c>
      <c r="I65" s="7" t="n">
        <f aca="false">IF(C65&gt;=c_TFWD,IF(AND(C65&gt;=c_TMAP3IN,c_TMAP3IN&lt;1000),H65,IF(AND(C65&gt;=c_TMAP2IN,c_TMAP3IN&gt;c_TMAP2IN),G65,IF(AND(C65&gt;=c_TMAP1IN,c_TMAP2IN&gt;c_TMAP1IN),F65,E65))),D65)</f>
        <v>877</v>
      </c>
      <c r="J65" s="7" t="str">
        <f aca="false">IF(I65&lt;-1090,"TOO LOW",IF(I65&gt;1090,"TOO HIGH",""))</f>
        <v/>
      </c>
      <c r="K65" s="7" t="n">
        <f aca="false">IF(J65&lt;&gt;"",0,IF(I65&gt;979,1000,I65))</f>
        <v>877</v>
      </c>
      <c r="L65" s="7" t="n">
        <f aca="false">IF(OR(c_TSMOOTH=0,K65&gt;=c_TSMOOTHCUT),1,0)</f>
        <v>1</v>
      </c>
      <c r="M65" s="7" t="n">
        <f aca="false">IF(L65=1,0,M64+1)</f>
        <v>0</v>
      </c>
      <c r="N65" s="7" t="n">
        <f aca="false">IF(L65=1,0,MIN(M65,c_TSMOOTH))</f>
        <v>0</v>
      </c>
      <c r="O65" s="7" t="n">
        <f aca="false">IF(COUNTIF($L$5:L65,1)&gt;0,c_TSMOOTHCUT,0)</f>
        <v>400</v>
      </c>
      <c r="P65" s="15" t="n">
        <f aca="true">IF(L65=1,K65,QUOTIENT(SUM(OFFSET(K65,1-N65,0,N65,1))+(c_TSMOOTH-N65)*O65,c_TSMOOTH))</f>
        <v>877</v>
      </c>
      <c r="Q65" s="7" t="n">
        <f aca="false">K65/10</f>
        <v>87.7</v>
      </c>
      <c r="R65" s="7" t="n">
        <f aca="false">P65/10</f>
        <v>87.7</v>
      </c>
    </row>
    <row r="66" customFormat="false" ht="15" hidden="false" customHeight="false" outlineLevel="0" collapsed="false">
      <c r="A66" s="7" t="n">
        <v>61</v>
      </c>
      <c r="B66" s="7" t="n">
        <f aca="false">A66*0.04</f>
        <v>2.44</v>
      </c>
      <c r="C66" s="18" t="n">
        <v>900</v>
      </c>
      <c r="D66" s="7" t="n">
        <f aca="false">IF(AND(C66=0,c_TCREEP&gt;0),10*c_TCREEP,IF(AND(C66&lt;=c_TRNGMIN,C66&gt;=c_TRNGMAX,c_TRNGMIN-c_TRNGMAX&lt;&gt;0),-10*c_TMINRN+QUOTIENT((c_TMAXRN-c_TMINRN)*(100-QUOTIENT((C66-c_TRNGMAX)*100,c_TRNGMIN-c_TRNGMAX)),-10),0))</f>
        <v>0</v>
      </c>
      <c r="E66" s="7" t="n">
        <f aca="false">IF(((c_TMAP1IN)-(c_TFWD))=0,(0)+QUOTIENT(((c_TMAP1OUT)-(0)),2),QUOTIENT((((C66)-(c_TFWD))*((c_TMAP1OUT)-(0))+IF(((c_TMAP1OUT)-(0))&gt;=0,1,-1)*QUOTIENT(((c_TMAP1IN)-(c_TFWD)),2)),((c_TMAP1IN)-(c_TFWD)))+(0)+IF(((c_TMAP1OUT)-(0))&gt;=0,IF(IF(o_WRAP=1,MOD(((c_TMAP1IN)-(c_TFWD))*(((C66)-(c_TFWD))*((c_TMAP1OUT)-(0))+IF(((c_TMAP1OUT)-(0))&gt;=0,1,-1)*QUOTIENT(((c_TMAP1IN)-(c_TFWD)),2))+2147483648,4294967296)-2147483648,((c_TMAP1IN)-(c_TFWD))*(((C66)-(c_TFWD))*((c_TMAP1OUT)-(0))+IF(((c_TMAP1OUT)-(0))&gt;=0,1,-1)*QUOTIENT(((c_TMAP1IN)-(c_TFWD)),2)))&lt;0,-1,0),IF(IF(o_WRAP=1,MOD(((c_TMAP1IN)-(c_TFWD))*(((C66)-(c_TFWD))*((c_TMAP1OUT)-(0))+IF(((c_TMAP1OUT)-(0))&gt;=0,1,-1)*QUOTIENT(((c_TMAP1IN)-(c_TFWD)),2))+2147483648,4294967296)-2147483648,((c_TMAP1IN)-(c_TFWD))*(((C66)-(c_TFWD))*((c_TMAP1OUT)-(0))+IF(((c_TMAP1OUT)-(0))&gt;=0,1,-1)*QUOTIENT(((c_TMAP1IN)-(c_TFWD)),2)))&gt;=0,1,0)))</f>
        <v>692</v>
      </c>
      <c r="F66" s="7" t="n">
        <f aca="false">IF(((c_TMAP2IN)-(c_TMAP1IN))=0,(c_TMAP1OUT)+QUOTIENT(((c_TMAP2OUT)-(c_TMAP1OUT)),2),QUOTIENT((((C66)-(c_TMAP1IN))*((c_TMAP2OUT)-(c_TMAP1OUT))+IF(((c_TMAP2OUT)-(c_TMAP1OUT))&gt;=0,1,-1)*QUOTIENT(((c_TMAP2IN)-(c_TMAP1IN)),2)),((c_TMAP2IN)-(c_TMAP1IN)))+(c_TMAP1OUT)+IF(((c_TMAP2OUT)-(c_TMAP1OUT))&gt;=0,IF(IF(o_WRAP=1,MOD(((c_TMAP2IN)-(c_TMAP1IN))*(((C66)-(c_TMAP1IN))*((c_TMAP2OUT)-(c_TMAP1OUT))+IF(((c_TMAP2OUT)-(c_TMAP1OUT))&gt;=0,1,-1)*QUOTIENT(((c_TMAP2IN)-(c_TMAP1IN)),2))+2147483648,4294967296)-2147483648,((c_TMAP2IN)-(c_TMAP1IN))*(((C66)-(c_TMAP1IN))*((c_TMAP2OUT)-(c_TMAP1OUT))+IF(((c_TMAP2OUT)-(c_TMAP1OUT))&gt;=0,1,-1)*QUOTIENT(((c_TMAP2IN)-(c_TMAP1IN)),2)))&lt;0,-1,0),IF(IF(o_WRAP=1,MOD(((c_TMAP2IN)-(c_TMAP1IN))*(((C66)-(c_TMAP1IN))*((c_TMAP2OUT)-(c_TMAP1OUT))+IF(((c_TMAP2OUT)-(c_TMAP1OUT))&gt;=0,1,-1)*QUOTIENT(((c_TMAP2IN)-(c_TMAP1IN)),2))+2147483648,4294967296)-2147483648,((c_TMAP2IN)-(c_TMAP1IN))*(((C66)-(c_TMAP1IN))*((c_TMAP2OUT)-(c_TMAP1OUT))+IF(((c_TMAP2OUT)-(c_TMAP1OUT))&gt;=0,1,-1)*QUOTIENT(((c_TMAP2IN)-(c_TMAP1IN)),2)))&gt;=0,1,0)))</f>
        <v>390</v>
      </c>
      <c r="G66" s="7" t="n">
        <f aca="false">IF(((c_TMAP3IN)-(c_TMAP2IN))=0,(c_TMAP2OUT)+QUOTIENT(((c_TMAP3OUT)-(c_TMAP2OUT)),2),QUOTIENT((((C66)-(c_TMAP2IN))*((c_TMAP3OUT)-(c_TMAP2OUT))+IF(((c_TMAP3OUT)-(c_TMAP2OUT))&gt;=0,1,-1)*QUOTIENT(((c_TMAP3IN)-(c_TMAP2IN)),2)),((c_TMAP3IN)-(c_TMAP2IN)))+(c_TMAP2OUT)+IF(((c_TMAP3OUT)-(c_TMAP2OUT))&gt;=0,IF(IF(o_WRAP=1,MOD(((c_TMAP3IN)-(c_TMAP2IN))*(((C66)-(c_TMAP2IN))*((c_TMAP3OUT)-(c_TMAP2OUT))+IF(((c_TMAP3OUT)-(c_TMAP2OUT))&gt;=0,1,-1)*QUOTIENT(((c_TMAP3IN)-(c_TMAP2IN)),2))+2147483648,4294967296)-2147483648,((c_TMAP3IN)-(c_TMAP2IN))*(((C66)-(c_TMAP2IN))*((c_TMAP3OUT)-(c_TMAP2OUT))+IF(((c_TMAP3OUT)-(c_TMAP2OUT))&gt;=0,1,-1)*QUOTIENT(((c_TMAP3IN)-(c_TMAP2IN)),2)))&lt;0,-1,0),IF(IF(o_WRAP=1,MOD(((c_TMAP3IN)-(c_TMAP2IN))*(((C66)-(c_TMAP2IN))*((c_TMAP3OUT)-(c_TMAP2OUT))+IF(((c_TMAP3OUT)-(c_TMAP2OUT))&gt;=0,1,-1)*QUOTIENT(((c_TMAP3IN)-(c_TMAP2IN)),2))+2147483648,4294967296)-2147483648,((c_TMAP3IN)-(c_TMAP2IN))*(((C66)-(c_TMAP2IN))*((c_TMAP3OUT)-(c_TMAP2OUT))+IF(((c_TMAP3OUT)-(c_TMAP2OUT))&gt;=0,1,-1)*QUOTIENT(((c_TMAP3IN)-(c_TMAP2IN)),2)))&gt;=0,1,0)))</f>
        <v>585</v>
      </c>
      <c r="H66" s="7" t="n">
        <f aca="false">IF(((1000)-(c_TMAP3IN))=0,(c_TMAP3OUT)+QUOTIENT(((1000)-(c_TMAP3OUT)),2),QUOTIENT((((C66)-(c_TMAP3IN))*((1000)-(c_TMAP3OUT))+IF(((1000)-(c_TMAP3OUT))&gt;=0,1,-1)*QUOTIENT(((1000)-(c_TMAP3IN)),2)),((1000)-(c_TMAP3IN)))+(c_TMAP3OUT)+IF(((1000)-(c_TMAP3OUT))&gt;=0,IF(IF(o_WRAP=1,MOD(((1000)-(c_TMAP3IN))*(((C66)-(c_TMAP3IN))*((1000)-(c_TMAP3OUT))+IF(((1000)-(c_TMAP3OUT))&gt;=0,1,-1)*QUOTIENT(((1000)-(c_TMAP3IN)),2))+2147483648,4294967296)-2147483648,((1000)-(c_TMAP3IN))*(((C66)-(c_TMAP3IN))*((1000)-(c_TMAP3OUT))+IF(((1000)-(c_TMAP3OUT))&gt;=0,1,-1)*QUOTIENT(((1000)-(c_TMAP3IN)),2)))&lt;0,-1,0),IF(IF(o_WRAP=1,MOD(((1000)-(c_TMAP3IN))*(((C66)-(c_TMAP3IN))*((1000)-(c_TMAP3OUT))+IF(((1000)-(c_TMAP3OUT))&gt;=0,1,-1)*QUOTIENT(((1000)-(c_TMAP3IN)),2))+2147483648,4294967296)-2147483648,((1000)-(c_TMAP3IN))*(((C66)-(c_TMAP3IN))*((1000)-(c_TMAP3OUT))+IF(((1000)-(c_TMAP3OUT))&gt;=0,1,-1)*QUOTIENT(((1000)-(c_TMAP3IN)),2)))&gt;=0,1,0)))</f>
        <v>877</v>
      </c>
      <c r="I66" s="7" t="n">
        <f aca="false">IF(C66&gt;=c_TFWD,IF(AND(C66&gt;=c_TMAP3IN,c_TMAP3IN&lt;1000),H66,IF(AND(C66&gt;=c_TMAP2IN,c_TMAP3IN&gt;c_TMAP2IN),G66,IF(AND(C66&gt;=c_TMAP1IN,c_TMAP2IN&gt;c_TMAP1IN),F66,E66))),D66)</f>
        <v>877</v>
      </c>
      <c r="J66" s="7" t="str">
        <f aca="false">IF(I66&lt;-1090,"TOO LOW",IF(I66&gt;1090,"TOO HIGH",""))</f>
        <v/>
      </c>
      <c r="K66" s="7" t="n">
        <f aca="false">IF(J66&lt;&gt;"",0,IF(I66&gt;979,1000,I66))</f>
        <v>877</v>
      </c>
      <c r="L66" s="7" t="n">
        <f aca="false">IF(OR(c_TSMOOTH=0,K66&gt;=c_TSMOOTHCUT),1,0)</f>
        <v>1</v>
      </c>
      <c r="M66" s="7" t="n">
        <f aca="false">IF(L66=1,0,M65+1)</f>
        <v>0</v>
      </c>
      <c r="N66" s="7" t="n">
        <f aca="false">IF(L66=1,0,MIN(M66,c_TSMOOTH))</f>
        <v>0</v>
      </c>
      <c r="O66" s="7" t="n">
        <f aca="false">IF(COUNTIF($L$5:L66,1)&gt;0,c_TSMOOTHCUT,0)</f>
        <v>400</v>
      </c>
      <c r="P66" s="15" t="n">
        <f aca="true">IF(L66=1,K66,QUOTIENT(SUM(OFFSET(K66,1-N66,0,N66,1))+(c_TSMOOTH-N66)*O66,c_TSMOOTH))</f>
        <v>877</v>
      </c>
      <c r="Q66" s="7" t="n">
        <f aca="false">K66/10</f>
        <v>87.7</v>
      </c>
      <c r="R66" s="7" t="n">
        <f aca="false">P66/10</f>
        <v>87.7</v>
      </c>
    </row>
    <row r="67" customFormat="false" ht="15" hidden="false" customHeight="false" outlineLevel="0" collapsed="false">
      <c r="A67" s="7" t="n">
        <v>62</v>
      </c>
      <c r="B67" s="7" t="n">
        <f aca="false">A67*0.04</f>
        <v>2.48</v>
      </c>
      <c r="C67" s="18" t="n">
        <v>900</v>
      </c>
      <c r="D67" s="7" t="n">
        <f aca="false">IF(AND(C67=0,c_TCREEP&gt;0),10*c_TCREEP,IF(AND(C67&lt;=c_TRNGMIN,C67&gt;=c_TRNGMAX,c_TRNGMIN-c_TRNGMAX&lt;&gt;0),-10*c_TMINRN+QUOTIENT((c_TMAXRN-c_TMINRN)*(100-QUOTIENT((C67-c_TRNGMAX)*100,c_TRNGMIN-c_TRNGMAX)),-10),0))</f>
        <v>0</v>
      </c>
      <c r="E67" s="7" t="n">
        <f aca="false">IF(((c_TMAP1IN)-(c_TFWD))=0,(0)+QUOTIENT(((c_TMAP1OUT)-(0)),2),QUOTIENT((((C67)-(c_TFWD))*((c_TMAP1OUT)-(0))+IF(((c_TMAP1OUT)-(0))&gt;=0,1,-1)*QUOTIENT(((c_TMAP1IN)-(c_TFWD)),2)),((c_TMAP1IN)-(c_TFWD)))+(0)+IF(((c_TMAP1OUT)-(0))&gt;=0,IF(IF(o_WRAP=1,MOD(((c_TMAP1IN)-(c_TFWD))*(((C67)-(c_TFWD))*((c_TMAP1OUT)-(0))+IF(((c_TMAP1OUT)-(0))&gt;=0,1,-1)*QUOTIENT(((c_TMAP1IN)-(c_TFWD)),2))+2147483648,4294967296)-2147483648,((c_TMAP1IN)-(c_TFWD))*(((C67)-(c_TFWD))*((c_TMAP1OUT)-(0))+IF(((c_TMAP1OUT)-(0))&gt;=0,1,-1)*QUOTIENT(((c_TMAP1IN)-(c_TFWD)),2)))&lt;0,-1,0),IF(IF(o_WRAP=1,MOD(((c_TMAP1IN)-(c_TFWD))*(((C67)-(c_TFWD))*((c_TMAP1OUT)-(0))+IF(((c_TMAP1OUT)-(0))&gt;=0,1,-1)*QUOTIENT(((c_TMAP1IN)-(c_TFWD)),2))+2147483648,4294967296)-2147483648,((c_TMAP1IN)-(c_TFWD))*(((C67)-(c_TFWD))*((c_TMAP1OUT)-(0))+IF(((c_TMAP1OUT)-(0))&gt;=0,1,-1)*QUOTIENT(((c_TMAP1IN)-(c_TFWD)),2)))&gt;=0,1,0)))</f>
        <v>692</v>
      </c>
      <c r="F67" s="7" t="n">
        <f aca="false">IF(((c_TMAP2IN)-(c_TMAP1IN))=0,(c_TMAP1OUT)+QUOTIENT(((c_TMAP2OUT)-(c_TMAP1OUT)),2),QUOTIENT((((C67)-(c_TMAP1IN))*((c_TMAP2OUT)-(c_TMAP1OUT))+IF(((c_TMAP2OUT)-(c_TMAP1OUT))&gt;=0,1,-1)*QUOTIENT(((c_TMAP2IN)-(c_TMAP1IN)),2)),((c_TMAP2IN)-(c_TMAP1IN)))+(c_TMAP1OUT)+IF(((c_TMAP2OUT)-(c_TMAP1OUT))&gt;=0,IF(IF(o_WRAP=1,MOD(((c_TMAP2IN)-(c_TMAP1IN))*(((C67)-(c_TMAP1IN))*((c_TMAP2OUT)-(c_TMAP1OUT))+IF(((c_TMAP2OUT)-(c_TMAP1OUT))&gt;=0,1,-1)*QUOTIENT(((c_TMAP2IN)-(c_TMAP1IN)),2))+2147483648,4294967296)-2147483648,((c_TMAP2IN)-(c_TMAP1IN))*(((C67)-(c_TMAP1IN))*((c_TMAP2OUT)-(c_TMAP1OUT))+IF(((c_TMAP2OUT)-(c_TMAP1OUT))&gt;=0,1,-1)*QUOTIENT(((c_TMAP2IN)-(c_TMAP1IN)),2)))&lt;0,-1,0),IF(IF(o_WRAP=1,MOD(((c_TMAP2IN)-(c_TMAP1IN))*(((C67)-(c_TMAP1IN))*((c_TMAP2OUT)-(c_TMAP1OUT))+IF(((c_TMAP2OUT)-(c_TMAP1OUT))&gt;=0,1,-1)*QUOTIENT(((c_TMAP2IN)-(c_TMAP1IN)),2))+2147483648,4294967296)-2147483648,((c_TMAP2IN)-(c_TMAP1IN))*(((C67)-(c_TMAP1IN))*((c_TMAP2OUT)-(c_TMAP1OUT))+IF(((c_TMAP2OUT)-(c_TMAP1OUT))&gt;=0,1,-1)*QUOTIENT(((c_TMAP2IN)-(c_TMAP1IN)),2)))&gt;=0,1,0)))</f>
        <v>390</v>
      </c>
      <c r="G67" s="7" t="n">
        <f aca="false">IF(((c_TMAP3IN)-(c_TMAP2IN))=0,(c_TMAP2OUT)+QUOTIENT(((c_TMAP3OUT)-(c_TMAP2OUT)),2),QUOTIENT((((C67)-(c_TMAP2IN))*((c_TMAP3OUT)-(c_TMAP2OUT))+IF(((c_TMAP3OUT)-(c_TMAP2OUT))&gt;=0,1,-1)*QUOTIENT(((c_TMAP3IN)-(c_TMAP2IN)),2)),((c_TMAP3IN)-(c_TMAP2IN)))+(c_TMAP2OUT)+IF(((c_TMAP3OUT)-(c_TMAP2OUT))&gt;=0,IF(IF(o_WRAP=1,MOD(((c_TMAP3IN)-(c_TMAP2IN))*(((C67)-(c_TMAP2IN))*((c_TMAP3OUT)-(c_TMAP2OUT))+IF(((c_TMAP3OUT)-(c_TMAP2OUT))&gt;=0,1,-1)*QUOTIENT(((c_TMAP3IN)-(c_TMAP2IN)),2))+2147483648,4294967296)-2147483648,((c_TMAP3IN)-(c_TMAP2IN))*(((C67)-(c_TMAP2IN))*((c_TMAP3OUT)-(c_TMAP2OUT))+IF(((c_TMAP3OUT)-(c_TMAP2OUT))&gt;=0,1,-1)*QUOTIENT(((c_TMAP3IN)-(c_TMAP2IN)),2)))&lt;0,-1,0),IF(IF(o_WRAP=1,MOD(((c_TMAP3IN)-(c_TMAP2IN))*(((C67)-(c_TMAP2IN))*((c_TMAP3OUT)-(c_TMAP2OUT))+IF(((c_TMAP3OUT)-(c_TMAP2OUT))&gt;=0,1,-1)*QUOTIENT(((c_TMAP3IN)-(c_TMAP2IN)),2))+2147483648,4294967296)-2147483648,((c_TMAP3IN)-(c_TMAP2IN))*(((C67)-(c_TMAP2IN))*((c_TMAP3OUT)-(c_TMAP2OUT))+IF(((c_TMAP3OUT)-(c_TMAP2OUT))&gt;=0,1,-1)*QUOTIENT(((c_TMAP3IN)-(c_TMAP2IN)),2)))&gt;=0,1,0)))</f>
        <v>585</v>
      </c>
      <c r="H67" s="7" t="n">
        <f aca="false">IF(((1000)-(c_TMAP3IN))=0,(c_TMAP3OUT)+QUOTIENT(((1000)-(c_TMAP3OUT)),2),QUOTIENT((((C67)-(c_TMAP3IN))*((1000)-(c_TMAP3OUT))+IF(((1000)-(c_TMAP3OUT))&gt;=0,1,-1)*QUOTIENT(((1000)-(c_TMAP3IN)),2)),((1000)-(c_TMAP3IN)))+(c_TMAP3OUT)+IF(((1000)-(c_TMAP3OUT))&gt;=0,IF(IF(o_WRAP=1,MOD(((1000)-(c_TMAP3IN))*(((C67)-(c_TMAP3IN))*((1000)-(c_TMAP3OUT))+IF(((1000)-(c_TMAP3OUT))&gt;=0,1,-1)*QUOTIENT(((1000)-(c_TMAP3IN)),2))+2147483648,4294967296)-2147483648,((1000)-(c_TMAP3IN))*(((C67)-(c_TMAP3IN))*((1000)-(c_TMAP3OUT))+IF(((1000)-(c_TMAP3OUT))&gt;=0,1,-1)*QUOTIENT(((1000)-(c_TMAP3IN)),2)))&lt;0,-1,0),IF(IF(o_WRAP=1,MOD(((1000)-(c_TMAP3IN))*(((C67)-(c_TMAP3IN))*((1000)-(c_TMAP3OUT))+IF(((1000)-(c_TMAP3OUT))&gt;=0,1,-1)*QUOTIENT(((1000)-(c_TMAP3IN)),2))+2147483648,4294967296)-2147483648,((1000)-(c_TMAP3IN))*(((C67)-(c_TMAP3IN))*((1000)-(c_TMAP3OUT))+IF(((1000)-(c_TMAP3OUT))&gt;=0,1,-1)*QUOTIENT(((1000)-(c_TMAP3IN)),2)))&gt;=0,1,0)))</f>
        <v>877</v>
      </c>
      <c r="I67" s="7" t="n">
        <f aca="false">IF(C67&gt;=c_TFWD,IF(AND(C67&gt;=c_TMAP3IN,c_TMAP3IN&lt;1000),H67,IF(AND(C67&gt;=c_TMAP2IN,c_TMAP3IN&gt;c_TMAP2IN),G67,IF(AND(C67&gt;=c_TMAP1IN,c_TMAP2IN&gt;c_TMAP1IN),F67,E67))),D67)</f>
        <v>877</v>
      </c>
      <c r="J67" s="7" t="str">
        <f aca="false">IF(I67&lt;-1090,"TOO LOW",IF(I67&gt;1090,"TOO HIGH",""))</f>
        <v/>
      </c>
      <c r="K67" s="7" t="n">
        <f aca="false">IF(J67&lt;&gt;"",0,IF(I67&gt;979,1000,I67))</f>
        <v>877</v>
      </c>
      <c r="L67" s="7" t="n">
        <f aca="false">IF(OR(c_TSMOOTH=0,K67&gt;=c_TSMOOTHCUT),1,0)</f>
        <v>1</v>
      </c>
      <c r="M67" s="7" t="n">
        <f aca="false">IF(L67=1,0,M66+1)</f>
        <v>0</v>
      </c>
      <c r="N67" s="7" t="n">
        <f aca="false">IF(L67=1,0,MIN(M67,c_TSMOOTH))</f>
        <v>0</v>
      </c>
      <c r="O67" s="7" t="n">
        <f aca="false">IF(COUNTIF($L$5:L67,1)&gt;0,c_TSMOOTHCUT,0)</f>
        <v>400</v>
      </c>
      <c r="P67" s="15" t="n">
        <f aca="true">IF(L67=1,K67,QUOTIENT(SUM(OFFSET(K67,1-N67,0,N67,1))+(c_TSMOOTH-N67)*O67,c_TSMOOTH))</f>
        <v>877</v>
      </c>
      <c r="Q67" s="7" t="n">
        <f aca="false">K67/10</f>
        <v>87.7</v>
      </c>
      <c r="R67" s="7" t="n">
        <f aca="false">P67/10</f>
        <v>87.7</v>
      </c>
    </row>
    <row r="68" customFormat="false" ht="15" hidden="false" customHeight="false" outlineLevel="0" collapsed="false">
      <c r="A68" s="7" t="n">
        <v>63</v>
      </c>
      <c r="B68" s="7" t="n">
        <f aca="false">A68*0.04</f>
        <v>2.52</v>
      </c>
      <c r="C68" s="18" t="n">
        <v>900</v>
      </c>
      <c r="D68" s="7" t="n">
        <f aca="false">IF(AND(C68=0,c_TCREEP&gt;0),10*c_TCREEP,IF(AND(C68&lt;=c_TRNGMIN,C68&gt;=c_TRNGMAX,c_TRNGMIN-c_TRNGMAX&lt;&gt;0),-10*c_TMINRN+QUOTIENT((c_TMAXRN-c_TMINRN)*(100-QUOTIENT((C68-c_TRNGMAX)*100,c_TRNGMIN-c_TRNGMAX)),-10),0))</f>
        <v>0</v>
      </c>
      <c r="E68" s="7" t="n">
        <f aca="false">IF(((c_TMAP1IN)-(c_TFWD))=0,(0)+QUOTIENT(((c_TMAP1OUT)-(0)),2),QUOTIENT((((C68)-(c_TFWD))*((c_TMAP1OUT)-(0))+IF(((c_TMAP1OUT)-(0))&gt;=0,1,-1)*QUOTIENT(((c_TMAP1IN)-(c_TFWD)),2)),((c_TMAP1IN)-(c_TFWD)))+(0)+IF(((c_TMAP1OUT)-(0))&gt;=0,IF(IF(o_WRAP=1,MOD(((c_TMAP1IN)-(c_TFWD))*(((C68)-(c_TFWD))*((c_TMAP1OUT)-(0))+IF(((c_TMAP1OUT)-(0))&gt;=0,1,-1)*QUOTIENT(((c_TMAP1IN)-(c_TFWD)),2))+2147483648,4294967296)-2147483648,((c_TMAP1IN)-(c_TFWD))*(((C68)-(c_TFWD))*((c_TMAP1OUT)-(0))+IF(((c_TMAP1OUT)-(0))&gt;=0,1,-1)*QUOTIENT(((c_TMAP1IN)-(c_TFWD)),2)))&lt;0,-1,0),IF(IF(o_WRAP=1,MOD(((c_TMAP1IN)-(c_TFWD))*(((C68)-(c_TFWD))*((c_TMAP1OUT)-(0))+IF(((c_TMAP1OUT)-(0))&gt;=0,1,-1)*QUOTIENT(((c_TMAP1IN)-(c_TFWD)),2))+2147483648,4294967296)-2147483648,((c_TMAP1IN)-(c_TFWD))*(((C68)-(c_TFWD))*((c_TMAP1OUT)-(0))+IF(((c_TMAP1OUT)-(0))&gt;=0,1,-1)*QUOTIENT(((c_TMAP1IN)-(c_TFWD)),2)))&gt;=0,1,0)))</f>
        <v>692</v>
      </c>
      <c r="F68" s="7" t="n">
        <f aca="false">IF(((c_TMAP2IN)-(c_TMAP1IN))=0,(c_TMAP1OUT)+QUOTIENT(((c_TMAP2OUT)-(c_TMAP1OUT)),2),QUOTIENT((((C68)-(c_TMAP1IN))*((c_TMAP2OUT)-(c_TMAP1OUT))+IF(((c_TMAP2OUT)-(c_TMAP1OUT))&gt;=0,1,-1)*QUOTIENT(((c_TMAP2IN)-(c_TMAP1IN)),2)),((c_TMAP2IN)-(c_TMAP1IN)))+(c_TMAP1OUT)+IF(((c_TMAP2OUT)-(c_TMAP1OUT))&gt;=0,IF(IF(o_WRAP=1,MOD(((c_TMAP2IN)-(c_TMAP1IN))*(((C68)-(c_TMAP1IN))*((c_TMAP2OUT)-(c_TMAP1OUT))+IF(((c_TMAP2OUT)-(c_TMAP1OUT))&gt;=0,1,-1)*QUOTIENT(((c_TMAP2IN)-(c_TMAP1IN)),2))+2147483648,4294967296)-2147483648,((c_TMAP2IN)-(c_TMAP1IN))*(((C68)-(c_TMAP1IN))*((c_TMAP2OUT)-(c_TMAP1OUT))+IF(((c_TMAP2OUT)-(c_TMAP1OUT))&gt;=0,1,-1)*QUOTIENT(((c_TMAP2IN)-(c_TMAP1IN)),2)))&lt;0,-1,0),IF(IF(o_WRAP=1,MOD(((c_TMAP2IN)-(c_TMAP1IN))*(((C68)-(c_TMAP1IN))*((c_TMAP2OUT)-(c_TMAP1OUT))+IF(((c_TMAP2OUT)-(c_TMAP1OUT))&gt;=0,1,-1)*QUOTIENT(((c_TMAP2IN)-(c_TMAP1IN)),2))+2147483648,4294967296)-2147483648,((c_TMAP2IN)-(c_TMAP1IN))*(((C68)-(c_TMAP1IN))*((c_TMAP2OUT)-(c_TMAP1OUT))+IF(((c_TMAP2OUT)-(c_TMAP1OUT))&gt;=0,1,-1)*QUOTIENT(((c_TMAP2IN)-(c_TMAP1IN)),2)))&gt;=0,1,0)))</f>
        <v>390</v>
      </c>
      <c r="G68" s="7" t="n">
        <f aca="false">IF(((c_TMAP3IN)-(c_TMAP2IN))=0,(c_TMAP2OUT)+QUOTIENT(((c_TMAP3OUT)-(c_TMAP2OUT)),2),QUOTIENT((((C68)-(c_TMAP2IN))*((c_TMAP3OUT)-(c_TMAP2OUT))+IF(((c_TMAP3OUT)-(c_TMAP2OUT))&gt;=0,1,-1)*QUOTIENT(((c_TMAP3IN)-(c_TMAP2IN)),2)),((c_TMAP3IN)-(c_TMAP2IN)))+(c_TMAP2OUT)+IF(((c_TMAP3OUT)-(c_TMAP2OUT))&gt;=0,IF(IF(o_WRAP=1,MOD(((c_TMAP3IN)-(c_TMAP2IN))*(((C68)-(c_TMAP2IN))*((c_TMAP3OUT)-(c_TMAP2OUT))+IF(((c_TMAP3OUT)-(c_TMAP2OUT))&gt;=0,1,-1)*QUOTIENT(((c_TMAP3IN)-(c_TMAP2IN)),2))+2147483648,4294967296)-2147483648,((c_TMAP3IN)-(c_TMAP2IN))*(((C68)-(c_TMAP2IN))*((c_TMAP3OUT)-(c_TMAP2OUT))+IF(((c_TMAP3OUT)-(c_TMAP2OUT))&gt;=0,1,-1)*QUOTIENT(((c_TMAP3IN)-(c_TMAP2IN)),2)))&lt;0,-1,0),IF(IF(o_WRAP=1,MOD(((c_TMAP3IN)-(c_TMAP2IN))*(((C68)-(c_TMAP2IN))*((c_TMAP3OUT)-(c_TMAP2OUT))+IF(((c_TMAP3OUT)-(c_TMAP2OUT))&gt;=0,1,-1)*QUOTIENT(((c_TMAP3IN)-(c_TMAP2IN)),2))+2147483648,4294967296)-2147483648,((c_TMAP3IN)-(c_TMAP2IN))*(((C68)-(c_TMAP2IN))*((c_TMAP3OUT)-(c_TMAP2OUT))+IF(((c_TMAP3OUT)-(c_TMAP2OUT))&gt;=0,1,-1)*QUOTIENT(((c_TMAP3IN)-(c_TMAP2IN)),2)))&gt;=0,1,0)))</f>
        <v>585</v>
      </c>
      <c r="H68" s="7" t="n">
        <f aca="false">IF(((1000)-(c_TMAP3IN))=0,(c_TMAP3OUT)+QUOTIENT(((1000)-(c_TMAP3OUT)),2),QUOTIENT((((C68)-(c_TMAP3IN))*((1000)-(c_TMAP3OUT))+IF(((1000)-(c_TMAP3OUT))&gt;=0,1,-1)*QUOTIENT(((1000)-(c_TMAP3IN)),2)),((1000)-(c_TMAP3IN)))+(c_TMAP3OUT)+IF(((1000)-(c_TMAP3OUT))&gt;=0,IF(IF(o_WRAP=1,MOD(((1000)-(c_TMAP3IN))*(((C68)-(c_TMAP3IN))*((1000)-(c_TMAP3OUT))+IF(((1000)-(c_TMAP3OUT))&gt;=0,1,-1)*QUOTIENT(((1000)-(c_TMAP3IN)),2))+2147483648,4294967296)-2147483648,((1000)-(c_TMAP3IN))*(((C68)-(c_TMAP3IN))*((1000)-(c_TMAP3OUT))+IF(((1000)-(c_TMAP3OUT))&gt;=0,1,-1)*QUOTIENT(((1000)-(c_TMAP3IN)),2)))&lt;0,-1,0),IF(IF(o_WRAP=1,MOD(((1000)-(c_TMAP3IN))*(((C68)-(c_TMAP3IN))*((1000)-(c_TMAP3OUT))+IF(((1000)-(c_TMAP3OUT))&gt;=0,1,-1)*QUOTIENT(((1000)-(c_TMAP3IN)),2))+2147483648,4294967296)-2147483648,((1000)-(c_TMAP3IN))*(((C68)-(c_TMAP3IN))*((1000)-(c_TMAP3OUT))+IF(((1000)-(c_TMAP3OUT))&gt;=0,1,-1)*QUOTIENT(((1000)-(c_TMAP3IN)),2)))&gt;=0,1,0)))</f>
        <v>877</v>
      </c>
      <c r="I68" s="7" t="n">
        <f aca="false">IF(C68&gt;=c_TFWD,IF(AND(C68&gt;=c_TMAP3IN,c_TMAP3IN&lt;1000),H68,IF(AND(C68&gt;=c_TMAP2IN,c_TMAP3IN&gt;c_TMAP2IN),G68,IF(AND(C68&gt;=c_TMAP1IN,c_TMAP2IN&gt;c_TMAP1IN),F68,E68))),D68)</f>
        <v>877</v>
      </c>
      <c r="J68" s="7" t="str">
        <f aca="false">IF(I68&lt;-1090,"TOO LOW",IF(I68&gt;1090,"TOO HIGH",""))</f>
        <v/>
      </c>
      <c r="K68" s="7" t="n">
        <f aca="false">IF(J68&lt;&gt;"",0,IF(I68&gt;979,1000,I68))</f>
        <v>877</v>
      </c>
      <c r="L68" s="7" t="n">
        <f aca="false">IF(OR(c_TSMOOTH=0,K68&gt;=c_TSMOOTHCUT),1,0)</f>
        <v>1</v>
      </c>
      <c r="M68" s="7" t="n">
        <f aca="false">IF(L68=1,0,M67+1)</f>
        <v>0</v>
      </c>
      <c r="N68" s="7" t="n">
        <f aca="false">IF(L68=1,0,MIN(M68,c_TSMOOTH))</f>
        <v>0</v>
      </c>
      <c r="O68" s="7" t="n">
        <f aca="false">IF(COUNTIF($L$5:L68,1)&gt;0,c_TSMOOTHCUT,0)</f>
        <v>400</v>
      </c>
      <c r="P68" s="15" t="n">
        <f aca="true">IF(L68=1,K68,QUOTIENT(SUM(OFFSET(K68,1-N68,0,N68,1))+(c_TSMOOTH-N68)*O68,c_TSMOOTH))</f>
        <v>877</v>
      </c>
      <c r="Q68" s="7" t="n">
        <f aca="false">K68/10</f>
        <v>87.7</v>
      </c>
      <c r="R68" s="7" t="n">
        <f aca="false">P68/10</f>
        <v>87.7</v>
      </c>
    </row>
    <row r="69" customFormat="false" ht="15" hidden="false" customHeight="false" outlineLevel="0" collapsed="false">
      <c r="A69" s="7" t="n">
        <v>64</v>
      </c>
      <c r="B69" s="7" t="n">
        <f aca="false">A69*0.04</f>
        <v>2.56</v>
      </c>
      <c r="C69" s="18" t="n">
        <v>900</v>
      </c>
      <c r="D69" s="7" t="n">
        <f aca="false">IF(AND(C69=0,c_TCREEP&gt;0),10*c_TCREEP,IF(AND(C69&lt;=c_TRNGMIN,C69&gt;=c_TRNGMAX,c_TRNGMIN-c_TRNGMAX&lt;&gt;0),-10*c_TMINRN+QUOTIENT((c_TMAXRN-c_TMINRN)*(100-QUOTIENT((C69-c_TRNGMAX)*100,c_TRNGMIN-c_TRNGMAX)),-10),0))</f>
        <v>0</v>
      </c>
      <c r="E69" s="7" t="n">
        <f aca="false">IF(((c_TMAP1IN)-(c_TFWD))=0,(0)+QUOTIENT(((c_TMAP1OUT)-(0)),2),QUOTIENT((((C69)-(c_TFWD))*((c_TMAP1OUT)-(0))+IF(((c_TMAP1OUT)-(0))&gt;=0,1,-1)*QUOTIENT(((c_TMAP1IN)-(c_TFWD)),2)),((c_TMAP1IN)-(c_TFWD)))+(0)+IF(((c_TMAP1OUT)-(0))&gt;=0,IF(IF(o_WRAP=1,MOD(((c_TMAP1IN)-(c_TFWD))*(((C69)-(c_TFWD))*((c_TMAP1OUT)-(0))+IF(((c_TMAP1OUT)-(0))&gt;=0,1,-1)*QUOTIENT(((c_TMAP1IN)-(c_TFWD)),2))+2147483648,4294967296)-2147483648,((c_TMAP1IN)-(c_TFWD))*(((C69)-(c_TFWD))*((c_TMAP1OUT)-(0))+IF(((c_TMAP1OUT)-(0))&gt;=0,1,-1)*QUOTIENT(((c_TMAP1IN)-(c_TFWD)),2)))&lt;0,-1,0),IF(IF(o_WRAP=1,MOD(((c_TMAP1IN)-(c_TFWD))*(((C69)-(c_TFWD))*((c_TMAP1OUT)-(0))+IF(((c_TMAP1OUT)-(0))&gt;=0,1,-1)*QUOTIENT(((c_TMAP1IN)-(c_TFWD)),2))+2147483648,4294967296)-2147483648,((c_TMAP1IN)-(c_TFWD))*(((C69)-(c_TFWD))*((c_TMAP1OUT)-(0))+IF(((c_TMAP1OUT)-(0))&gt;=0,1,-1)*QUOTIENT(((c_TMAP1IN)-(c_TFWD)),2)))&gt;=0,1,0)))</f>
        <v>692</v>
      </c>
      <c r="F69" s="7" t="n">
        <f aca="false">IF(((c_TMAP2IN)-(c_TMAP1IN))=0,(c_TMAP1OUT)+QUOTIENT(((c_TMAP2OUT)-(c_TMAP1OUT)),2),QUOTIENT((((C69)-(c_TMAP1IN))*((c_TMAP2OUT)-(c_TMAP1OUT))+IF(((c_TMAP2OUT)-(c_TMAP1OUT))&gt;=0,1,-1)*QUOTIENT(((c_TMAP2IN)-(c_TMAP1IN)),2)),((c_TMAP2IN)-(c_TMAP1IN)))+(c_TMAP1OUT)+IF(((c_TMAP2OUT)-(c_TMAP1OUT))&gt;=0,IF(IF(o_WRAP=1,MOD(((c_TMAP2IN)-(c_TMAP1IN))*(((C69)-(c_TMAP1IN))*((c_TMAP2OUT)-(c_TMAP1OUT))+IF(((c_TMAP2OUT)-(c_TMAP1OUT))&gt;=0,1,-1)*QUOTIENT(((c_TMAP2IN)-(c_TMAP1IN)),2))+2147483648,4294967296)-2147483648,((c_TMAP2IN)-(c_TMAP1IN))*(((C69)-(c_TMAP1IN))*((c_TMAP2OUT)-(c_TMAP1OUT))+IF(((c_TMAP2OUT)-(c_TMAP1OUT))&gt;=0,1,-1)*QUOTIENT(((c_TMAP2IN)-(c_TMAP1IN)),2)))&lt;0,-1,0),IF(IF(o_WRAP=1,MOD(((c_TMAP2IN)-(c_TMAP1IN))*(((C69)-(c_TMAP1IN))*((c_TMAP2OUT)-(c_TMAP1OUT))+IF(((c_TMAP2OUT)-(c_TMAP1OUT))&gt;=0,1,-1)*QUOTIENT(((c_TMAP2IN)-(c_TMAP1IN)),2))+2147483648,4294967296)-2147483648,((c_TMAP2IN)-(c_TMAP1IN))*(((C69)-(c_TMAP1IN))*((c_TMAP2OUT)-(c_TMAP1OUT))+IF(((c_TMAP2OUT)-(c_TMAP1OUT))&gt;=0,1,-1)*QUOTIENT(((c_TMAP2IN)-(c_TMAP1IN)),2)))&gt;=0,1,0)))</f>
        <v>390</v>
      </c>
      <c r="G69" s="7" t="n">
        <f aca="false">IF(((c_TMAP3IN)-(c_TMAP2IN))=0,(c_TMAP2OUT)+QUOTIENT(((c_TMAP3OUT)-(c_TMAP2OUT)),2),QUOTIENT((((C69)-(c_TMAP2IN))*((c_TMAP3OUT)-(c_TMAP2OUT))+IF(((c_TMAP3OUT)-(c_TMAP2OUT))&gt;=0,1,-1)*QUOTIENT(((c_TMAP3IN)-(c_TMAP2IN)),2)),((c_TMAP3IN)-(c_TMAP2IN)))+(c_TMAP2OUT)+IF(((c_TMAP3OUT)-(c_TMAP2OUT))&gt;=0,IF(IF(o_WRAP=1,MOD(((c_TMAP3IN)-(c_TMAP2IN))*(((C69)-(c_TMAP2IN))*((c_TMAP3OUT)-(c_TMAP2OUT))+IF(((c_TMAP3OUT)-(c_TMAP2OUT))&gt;=0,1,-1)*QUOTIENT(((c_TMAP3IN)-(c_TMAP2IN)),2))+2147483648,4294967296)-2147483648,((c_TMAP3IN)-(c_TMAP2IN))*(((C69)-(c_TMAP2IN))*((c_TMAP3OUT)-(c_TMAP2OUT))+IF(((c_TMAP3OUT)-(c_TMAP2OUT))&gt;=0,1,-1)*QUOTIENT(((c_TMAP3IN)-(c_TMAP2IN)),2)))&lt;0,-1,0),IF(IF(o_WRAP=1,MOD(((c_TMAP3IN)-(c_TMAP2IN))*(((C69)-(c_TMAP2IN))*((c_TMAP3OUT)-(c_TMAP2OUT))+IF(((c_TMAP3OUT)-(c_TMAP2OUT))&gt;=0,1,-1)*QUOTIENT(((c_TMAP3IN)-(c_TMAP2IN)),2))+2147483648,4294967296)-2147483648,((c_TMAP3IN)-(c_TMAP2IN))*(((C69)-(c_TMAP2IN))*((c_TMAP3OUT)-(c_TMAP2OUT))+IF(((c_TMAP3OUT)-(c_TMAP2OUT))&gt;=0,1,-1)*QUOTIENT(((c_TMAP3IN)-(c_TMAP2IN)),2)))&gt;=0,1,0)))</f>
        <v>585</v>
      </c>
      <c r="H69" s="7" t="n">
        <f aca="false">IF(((1000)-(c_TMAP3IN))=0,(c_TMAP3OUT)+QUOTIENT(((1000)-(c_TMAP3OUT)),2),QUOTIENT((((C69)-(c_TMAP3IN))*((1000)-(c_TMAP3OUT))+IF(((1000)-(c_TMAP3OUT))&gt;=0,1,-1)*QUOTIENT(((1000)-(c_TMAP3IN)),2)),((1000)-(c_TMAP3IN)))+(c_TMAP3OUT)+IF(((1000)-(c_TMAP3OUT))&gt;=0,IF(IF(o_WRAP=1,MOD(((1000)-(c_TMAP3IN))*(((C69)-(c_TMAP3IN))*((1000)-(c_TMAP3OUT))+IF(((1000)-(c_TMAP3OUT))&gt;=0,1,-1)*QUOTIENT(((1000)-(c_TMAP3IN)),2))+2147483648,4294967296)-2147483648,((1000)-(c_TMAP3IN))*(((C69)-(c_TMAP3IN))*((1000)-(c_TMAP3OUT))+IF(((1000)-(c_TMAP3OUT))&gt;=0,1,-1)*QUOTIENT(((1000)-(c_TMAP3IN)),2)))&lt;0,-1,0),IF(IF(o_WRAP=1,MOD(((1000)-(c_TMAP3IN))*(((C69)-(c_TMAP3IN))*((1000)-(c_TMAP3OUT))+IF(((1000)-(c_TMAP3OUT))&gt;=0,1,-1)*QUOTIENT(((1000)-(c_TMAP3IN)),2))+2147483648,4294967296)-2147483648,((1000)-(c_TMAP3IN))*(((C69)-(c_TMAP3IN))*((1000)-(c_TMAP3OUT))+IF(((1000)-(c_TMAP3OUT))&gt;=0,1,-1)*QUOTIENT(((1000)-(c_TMAP3IN)),2)))&gt;=0,1,0)))</f>
        <v>877</v>
      </c>
      <c r="I69" s="7" t="n">
        <f aca="false">IF(C69&gt;=c_TFWD,IF(AND(C69&gt;=c_TMAP3IN,c_TMAP3IN&lt;1000),H69,IF(AND(C69&gt;=c_TMAP2IN,c_TMAP3IN&gt;c_TMAP2IN),G69,IF(AND(C69&gt;=c_TMAP1IN,c_TMAP2IN&gt;c_TMAP1IN),F69,E69))),D69)</f>
        <v>877</v>
      </c>
      <c r="J69" s="7" t="str">
        <f aca="false">IF(I69&lt;-1090,"TOO LOW",IF(I69&gt;1090,"TOO HIGH",""))</f>
        <v/>
      </c>
      <c r="K69" s="7" t="n">
        <f aca="false">IF(J69&lt;&gt;"",0,IF(I69&gt;979,1000,I69))</f>
        <v>877</v>
      </c>
      <c r="L69" s="7" t="n">
        <f aca="false">IF(OR(c_TSMOOTH=0,K69&gt;=c_TSMOOTHCUT),1,0)</f>
        <v>1</v>
      </c>
      <c r="M69" s="7" t="n">
        <f aca="false">IF(L69=1,0,M68+1)</f>
        <v>0</v>
      </c>
      <c r="N69" s="7" t="n">
        <f aca="false">IF(L69=1,0,MIN(M69,c_TSMOOTH))</f>
        <v>0</v>
      </c>
      <c r="O69" s="7" t="n">
        <f aca="false">IF(COUNTIF($L$5:L69,1)&gt;0,c_TSMOOTHCUT,0)</f>
        <v>400</v>
      </c>
      <c r="P69" s="15" t="n">
        <f aca="true">IF(L69=1,K69,QUOTIENT(SUM(OFFSET(K69,1-N69,0,N69,1))+(c_TSMOOTH-N69)*O69,c_TSMOOTH))</f>
        <v>877</v>
      </c>
      <c r="Q69" s="7" t="n">
        <f aca="false">K69/10</f>
        <v>87.7</v>
      </c>
      <c r="R69" s="7" t="n">
        <f aca="false">P69/10</f>
        <v>87.7</v>
      </c>
    </row>
    <row r="70" customFormat="false" ht="15" hidden="false" customHeight="false" outlineLevel="0" collapsed="false">
      <c r="A70" s="7" t="n">
        <v>65</v>
      </c>
      <c r="B70" s="7" t="n">
        <f aca="false">A70*0.04</f>
        <v>2.6</v>
      </c>
      <c r="C70" s="18" t="n">
        <v>900</v>
      </c>
      <c r="D70" s="7" t="n">
        <f aca="false">IF(AND(C70=0,c_TCREEP&gt;0),10*c_TCREEP,IF(AND(C70&lt;=c_TRNGMIN,C70&gt;=c_TRNGMAX,c_TRNGMIN-c_TRNGMAX&lt;&gt;0),-10*c_TMINRN+QUOTIENT((c_TMAXRN-c_TMINRN)*(100-QUOTIENT((C70-c_TRNGMAX)*100,c_TRNGMIN-c_TRNGMAX)),-10),0))</f>
        <v>0</v>
      </c>
      <c r="E70" s="7" t="n">
        <f aca="false">IF(((c_TMAP1IN)-(c_TFWD))=0,(0)+QUOTIENT(((c_TMAP1OUT)-(0)),2),QUOTIENT((((C70)-(c_TFWD))*((c_TMAP1OUT)-(0))+IF(((c_TMAP1OUT)-(0))&gt;=0,1,-1)*QUOTIENT(((c_TMAP1IN)-(c_TFWD)),2)),((c_TMAP1IN)-(c_TFWD)))+(0)+IF(((c_TMAP1OUT)-(0))&gt;=0,IF(IF(o_WRAP=1,MOD(((c_TMAP1IN)-(c_TFWD))*(((C70)-(c_TFWD))*((c_TMAP1OUT)-(0))+IF(((c_TMAP1OUT)-(0))&gt;=0,1,-1)*QUOTIENT(((c_TMAP1IN)-(c_TFWD)),2))+2147483648,4294967296)-2147483648,((c_TMAP1IN)-(c_TFWD))*(((C70)-(c_TFWD))*((c_TMAP1OUT)-(0))+IF(((c_TMAP1OUT)-(0))&gt;=0,1,-1)*QUOTIENT(((c_TMAP1IN)-(c_TFWD)),2)))&lt;0,-1,0),IF(IF(o_WRAP=1,MOD(((c_TMAP1IN)-(c_TFWD))*(((C70)-(c_TFWD))*((c_TMAP1OUT)-(0))+IF(((c_TMAP1OUT)-(0))&gt;=0,1,-1)*QUOTIENT(((c_TMAP1IN)-(c_TFWD)),2))+2147483648,4294967296)-2147483648,((c_TMAP1IN)-(c_TFWD))*(((C70)-(c_TFWD))*((c_TMAP1OUT)-(0))+IF(((c_TMAP1OUT)-(0))&gt;=0,1,-1)*QUOTIENT(((c_TMAP1IN)-(c_TFWD)),2)))&gt;=0,1,0)))</f>
        <v>692</v>
      </c>
      <c r="F70" s="7" t="n">
        <f aca="false">IF(((c_TMAP2IN)-(c_TMAP1IN))=0,(c_TMAP1OUT)+QUOTIENT(((c_TMAP2OUT)-(c_TMAP1OUT)),2),QUOTIENT((((C70)-(c_TMAP1IN))*((c_TMAP2OUT)-(c_TMAP1OUT))+IF(((c_TMAP2OUT)-(c_TMAP1OUT))&gt;=0,1,-1)*QUOTIENT(((c_TMAP2IN)-(c_TMAP1IN)),2)),((c_TMAP2IN)-(c_TMAP1IN)))+(c_TMAP1OUT)+IF(((c_TMAP2OUT)-(c_TMAP1OUT))&gt;=0,IF(IF(o_WRAP=1,MOD(((c_TMAP2IN)-(c_TMAP1IN))*(((C70)-(c_TMAP1IN))*((c_TMAP2OUT)-(c_TMAP1OUT))+IF(((c_TMAP2OUT)-(c_TMAP1OUT))&gt;=0,1,-1)*QUOTIENT(((c_TMAP2IN)-(c_TMAP1IN)),2))+2147483648,4294967296)-2147483648,((c_TMAP2IN)-(c_TMAP1IN))*(((C70)-(c_TMAP1IN))*((c_TMAP2OUT)-(c_TMAP1OUT))+IF(((c_TMAP2OUT)-(c_TMAP1OUT))&gt;=0,1,-1)*QUOTIENT(((c_TMAP2IN)-(c_TMAP1IN)),2)))&lt;0,-1,0),IF(IF(o_WRAP=1,MOD(((c_TMAP2IN)-(c_TMAP1IN))*(((C70)-(c_TMAP1IN))*((c_TMAP2OUT)-(c_TMAP1OUT))+IF(((c_TMAP2OUT)-(c_TMAP1OUT))&gt;=0,1,-1)*QUOTIENT(((c_TMAP2IN)-(c_TMAP1IN)),2))+2147483648,4294967296)-2147483648,((c_TMAP2IN)-(c_TMAP1IN))*(((C70)-(c_TMAP1IN))*((c_TMAP2OUT)-(c_TMAP1OUT))+IF(((c_TMAP2OUT)-(c_TMAP1OUT))&gt;=0,1,-1)*QUOTIENT(((c_TMAP2IN)-(c_TMAP1IN)),2)))&gt;=0,1,0)))</f>
        <v>390</v>
      </c>
      <c r="G70" s="7" t="n">
        <f aca="false">IF(((c_TMAP3IN)-(c_TMAP2IN))=0,(c_TMAP2OUT)+QUOTIENT(((c_TMAP3OUT)-(c_TMAP2OUT)),2),QUOTIENT((((C70)-(c_TMAP2IN))*((c_TMAP3OUT)-(c_TMAP2OUT))+IF(((c_TMAP3OUT)-(c_TMAP2OUT))&gt;=0,1,-1)*QUOTIENT(((c_TMAP3IN)-(c_TMAP2IN)),2)),((c_TMAP3IN)-(c_TMAP2IN)))+(c_TMAP2OUT)+IF(((c_TMAP3OUT)-(c_TMAP2OUT))&gt;=0,IF(IF(o_WRAP=1,MOD(((c_TMAP3IN)-(c_TMAP2IN))*(((C70)-(c_TMAP2IN))*((c_TMAP3OUT)-(c_TMAP2OUT))+IF(((c_TMAP3OUT)-(c_TMAP2OUT))&gt;=0,1,-1)*QUOTIENT(((c_TMAP3IN)-(c_TMAP2IN)),2))+2147483648,4294967296)-2147483648,((c_TMAP3IN)-(c_TMAP2IN))*(((C70)-(c_TMAP2IN))*((c_TMAP3OUT)-(c_TMAP2OUT))+IF(((c_TMAP3OUT)-(c_TMAP2OUT))&gt;=0,1,-1)*QUOTIENT(((c_TMAP3IN)-(c_TMAP2IN)),2)))&lt;0,-1,0),IF(IF(o_WRAP=1,MOD(((c_TMAP3IN)-(c_TMAP2IN))*(((C70)-(c_TMAP2IN))*((c_TMAP3OUT)-(c_TMAP2OUT))+IF(((c_TMAP3OUT)-(c_TMAP2OUT))&gt;=0,1,-1)*QUOTIENT(((c_TMAP3IN)-(c_TMAP2IN)),2))+2147483648,4294967296)-2147483648,((c_TMAP3IN)-(c_TMAP2IN))*(((C70)-(c_TMAP2IN))*((c_TMAP3OUT)-(c_TMAP2OUT))+IF(((c_TMAP3OUT)-(c_TMAP2OUT))&gt;=0,1,-1)*QUOTIENT(((c_TMAP3IN)-(c_TMAP2IN)),2)))&gt;=0,1,0)))</f>
        <v>585</v>
      </c>
      <c r="H70" s="7" t="n">
        <f aca="false">IF(((1000)-(c_TMAP3IN))=0,(c_TMAP3OUT)+QUOTIENT(((1000)-(c_TMAP3OUT)),2),QUOTIENT((((C70)-(c_TMAP3IN))*((1000)-(c_TMAP3OUT))+IF(((1000)-(c_TMAP3OUT))&gt;=0,1,-1)*QUOTIENT(((1000)-(c_TMAP3IN)),2)),((1000)-(c_TMAP3IN)))+(c_TMAP3OUT)+IF(((1000)-(c_TMAP3OUT))&gt;=0,IF(IF(o_WRAP=1,MOD(((1000)-(c_TMAP3IN))*(((C70)-(c_TMAP3IN))*((1000)-(c_TMAP3OUT))+IF(((1000)-(c_TMAP3OUT))&gt;=0,1,-1)*QUOTIENT(((1000)-(c_TMAP3IN)),2))+2147483648,4294967296)-2147483648,((1000)-(c_TMAP3IN))*(((C70)-(c_TMAP3IN))*((1000)-(c_TMAP3OUT))+IF(((1000)-(c_TMAP3OUT))&gt;=0,1,-1)*QUOTIENT(((1000)-(c_TMAP3IN)),2)))&lt;0,-1,0),IF(IF(o_WRAP=1,MOD(((1000)-(c_TMAP3IN))*(((C70)-(c_TMAP3IN))*((1000)-(c_TMAP3OUT))+IF(((1000)-(c_TMAP3OUT))&gt;=0,1,-1)*QUOTIENT(((1000)-(c_TMAP3IN)),2))+2147483648,4294967296)-2147483648,((1000)-(c_TMAP3IN))*(((C70)-(c_TMAP3IN))*((1000)-(c_TMAP3OUT))+IF(((1000)-(c_TMAP3OUT))&gt;=0,1,-1)*QUOTIENT(((1000)-(c_TMAP3IN)),2)))&gt;=0,1,0)))</f>
        <v>877</v>
      </c>
      <c r="I70" s="7" t="n">
        <f aca="false">IF(C70&gt;=c_TFWD,IF(AND(C70&gt;=c_TMAP3IN,c_TMAP3IN&lt;1000),H70,IF(AND(C70&gt;=c_TMAP2IN,c_TMAP3IN&gt;c_TMAP2IN),G70,IF(AND(C70&gt;=c_TMAP1IN,c_TMAP2IN&gt;c_TMAP1IN),F70,E70))),D70)</f>
        <v>877</v>
      </c>
      <c r="J70" s="7" t="str">
        <f aca="false">IF(I70&lt;-1090,"TOO LOW",IF(I70&gt;1090,"TOO HIGH",""))</f>
        <v/>
      </c>
      <c r="K70" s="7" t="n">
        <f aca="false">IF(J70&lt;&gt;"",0,IF(I70&gt;979,1000,I70))</f>
        <v>877</v>
      </c>
      <c r="L70" s="7" t="n">
        <f aca="false">IF(OR(c_TSMOOTH=0,K70&gt;=c_TSMOOTHCUT),1,0)</f>
        <v>1</v>
      </c>
      <c r="M70" s="7" t="n">
        <f aca="false">IF(L70=1,0,M69+1)</f>
        <v>0</v>
      </c>
      <c r="N70" s="7" t="n">
        <f aca="false">IF(L70=1,0,MIN(M70,c_TSMOOTH))</f>
        <v>0</v>
      </c>
      <c r="O70" s="7" t="n">
        <f aca="false">IF(COUNTIF($L$5:L70,1)&gt;0,c_TSMOOTHCUT,0)</f>
        <v>400</v>
      </c>
      <c r="P70" s="15" t="n">
        <f aca="true">IF(L70=1,K70,QUOTIENT(SUM(OFFSET(K70,1-N70,0,N70,1))+(c_TSMOOTH-N70)*O70,c_TSMOOTH))</f>
        <v>877</v>
      </c>
      <c r="Q70" s="7" t="n">
        <f aca="false">K70/10</f>
        <v>87.7</v>
      </c>
      <c r="R70" s="7" t="n">
        <f aca="false">P70/10</f>
        <v>87.7</v>
      </c>
    </row>
    <row r="71" customFormat="false" ht="15" hidden="false" customHeight="false" outlineLevel="0" collapsed="false">
      <c r="A71" s="7" t="n">
        <v>66</v>
      </c>
      <c r="B71" s="7" t="n">
        <f aca="false">A71*0.04</f>
        <v>2.64</v>
      </c>
      <c r="C71" s="18" t="n">
        <v>900</v>
      </c>
      <c r="D71" s="7" t="n">
        <f aca="false">IF(AND(C71=0,c_TCREEP&gt;0),10*c_TCREEP,IF(AND(C71&lt;=c_TRNGMIN,C71&gt;=c_TRNGMAX,c_TRNGMIN-c_TRNGMAX&lt;&gt;0),-10*c_TMINRN+QUOTIENT((c_TMAXRN-c_TMINRN)*(100-QUOTIENT((C71-c_TRNGMAX)*100,c_TRNGMIN-c_TRNGMAX)),-10),0))</f>
        <v>0</v>
      </c>
      <c r="E71" s="7" t="n">
        <f aca="false">IF(((c_TMAP1IN)-(c_TFWD))=0,(0)+QUOTIENT(((c_TMAP1OUT)-(0)),2),QUOTIENT((((C71)-(c_TFWD))*((c_TMAP1OUT)-(0))+IF(((c_TMAP1OUT)-(0))&gt;=0,1,-1)*QUOTIENT(((c_TMAP1IN)-(c_TFWD)),2)),((c_TMAP1IN)-(c_TFWD)))+(0)+IF(((c_TMAP1OUT)-(0))&gt;=0,IF(IF(o_WRAP=1,MOD(((c_TMAP1IN)-(c_TFWD))*(((C71)-(c_TFWD))*((c_TMAP1OUT)-(0))+IF(((c_TMAP1OUT)-(0))&gt;=0,1,-1)*QUOTIENT(((c_TMAP1IN)-(c_TFWD)),2))+2147483648,4294967296)-2147483648,((c_TMAP1IN)-(c_TFWD))*(((C71)-(c_TFWD))*((c_TMAP1OUT)-(0))+IF(((c_TMAP1OUT)-(0))&gt;=0,1,-1)*QUOTIENT(((c_TMAP1IN)-(c_TFWD)),2)))&lt;0,-1,0),IF(IF(o_WRAP=1,MOD(((c_TMAP1IN)-(c_TFWD))*(((C71)-(c_TFWD))*((c_TMAP1OUT)-(0))+IF(((c_TMAP1OUT)-(0))&gt;=0,1,-1)*QUOTIENT(((c_TMAP1IN)-(c_TFWD)),2))+2147483648,4294967296)-2147483648,((c_TMAP1IN)-(c_TFWD))*(((C71)-(c_TFWD))*((c_TMAP1OUT)-(0))+IF(((c_TMAP1OUT)-(0))&gt;=0,1,-1)*QUOTIENT(((c_TMAP1IN)-(c_TFWD)),2)))&gt;=0,1,0)))</f>
        <v>692</v>
      </c>
      <c r="F71" s="7" t="n">
        <f aca="false">IF(((c_TMAP2IN)-(c_TMAP1IN))=0,(c_TMAP1OUT)+QUOTIENT(((c_TMAP2OUT)-(c_TMAP1OUT)),2),QUOTIENT((((C71)-(c_TMAP1IN))*((c_TMAP2OUT)-(c_TMAP1OUT))+IF(((c_TMAP2OUT)-(c_TMAP1OUT))&gt;=0,1,-1)*QUOTIENT(((c_TMAP2IN)-(c_TMAP1IN)),2)),((c_TMAP2IN)-(c_TMAP1IN)))+(c_TMAP1OUT)+IF(((c_TMAP2OUT)-(c_TMAP1OUT))&gt;=0,IF(IF(o_WRAP=1,MOD(((c_TMAP2IN)-(c_TMAP1IN))*(((C71)-(c_TMAP1IN))*((c_TMAP2OUT)-(c_TMAP1OUT))+IF(((c_TMAP2OUT)-(c_TMAP1OUT))&gt;=0,1,-1)*QUOTIENT(((c_TMAP2IN)-(c_TMAP1IN)),2))+2147483648,4294967296)-2147483648,((c_TMAP2IN)-(c_TMAP1IN))*(((C71)-(c_TMAP1IN))*((c_TMAP2OUT)-(c_TMAP1OUT))+IF(((c_TMAP2OUT)-(c_TMAP1OUT))&gt;=0,1,-1)*QUOTIENT(((c_TMAP2IN)-(c_TMAP1IN)),2)))&lt;0,-1,0),IF(IF(o_WRAP=1,MOD(((c_TMAP2IN)-(c_TMAP1IN))*(((C71)-(c_TMAP1IN))*((c_TMAP2OUT)-(c_TMAP1OUT))+IF(((c_TMAP2OUT)-(c_TMAP1OUT))&gt;=0,1,-1)*QUOTIENT(((c_TMAP2IN)-(c_TMAP1IN)),2))+2147483648,4294967296)-2147483648,((c_TMAP2IN)-(c_TMAP1IN))*(((C71)-(c_TMAP1IN))*((c_TMAP2OUT)-(c_TMAP1OUT))+IF(((c_TMAP2OUT)-(c_TMAP1OUT))&gt;=0,1,-1)*QUOTIENT(((c_TMAP2IN)-(c_TMAP1IN)),2)))&gt;=0,1,0)))</f>
        <v>390</v>
      </c>
      <c r="G71" s="7" t="n">
        <f aca="false">IF(((c_TMAP3IN)-(c_TMAP2IN))=0,(c_TMAP2OUT)+QUOTIENT(((c_TMAP3OUT)-(c_TMAP2OUT)),2),QUOTIENT((((C71)-(c_TMAP2IN))*((c_TMAP3OUT)-(c_TMAP2OUT))+IF(((c_TMAP3OUT)-(c_TMAP2OUT))&gt;=0,1,-1)*QUOTIENT(((c_TMAP3IN)-(c_TMAP2IN)),2)),((c_TMAP3IN)-(c_TMAP2IN)))+(c_TMAP2OUT)+IF(((c_TMAP3OUT)-(c_TMAP2OUT))&gt;=0,IF(IF(o_WRAP=1,MOD(((c_TMAP3IN)-(c_TMAP2IN))*(((C71)-(c_TMAP2IN))*((c_TMAP3OUT)-(c_TMAP2OUT))+IF(((c_TMAP3OUT)-(c_TMAP2OUT))&gt;=0,1,-1)*QUOTIENT(((c_TMAP3IN)-(c_TMAP2IN)),2))+2147483648,4294967296)-2147483648,((c_TMAP3IN)-(c_TMAP2IN))*(((C71)-(c_TMAP2IN))*((c_TMAP3OUT)-(c_TMAP2OUT))+IF(((c_TMAP3OUT)-(c_TMAP2OUT))&gt;=0,1,-1)*QUOTIENT(((c_TMAP3IN)-(c_TMAP2IN)),2)))&lt;0,-1,0),IF(IF(o_WRAP=1,MOD(((c_TMAP3IN)-(c_TMAP2IN))*(((C71)-(c_TMAP2IN))*((c_TMAP3OUT)-(c_TMAP2OUT))+IF(((c_TMAP3OUT)-(c_TMAP2OUT))&gt;=0,1,-1)*QUOTIENT(((c_TMAP3IN)-(c_TMAP2IN)),2))+2147483648,4294967296)-2147483648,((c_TMAP3IN)-(c_TMAP2IN))*(((C71)-(c_TMAP2IN))*((c_TMAP3OUT)-(c_TMAP2OUT))+IF(((c_TMAP3OUT)-(c_TMAP2OUT))&gt;=0,1,-1)*QUOTIENT(((c_TMAP3IN)-(c_TMAP2IN)),2)))&gt;=0,1,0)))</f>
        <v>585</v>
      </c>
      <c r="H71" s="7" t="n">
        <f aca="false">IF(((1000)-(c_TMAP3IN))=0,(c_TMAP3OUT)+QUOTIENT(((1000)-(c_TMAP3OUT)),2),QUOTIENT((((C71)-(c_TMAP3IN))*((1000)-(c_TMAP3OUT))+IF(((1000)-(c_TMAP3OUT))&gt;=0,1,-1)*QUOTIENT(((1000)-(c_TMAP3IN)),2)),((1000)-(c_TMAP3IN)))+(c_TMAP3OUT)+IF(((1000)-(c_TMAP3OUT))&gt;=0,IF(IF(o_WRAP=1,MOD(((1000)-(c_TMAP3IN))*(((C71)-(c_TMAP3IN))*((1000)-(c_TMAP3OUT))+IF(((1000)-(c_TMAP3OUT))&gt;=0,1,-1)*QUOTIENT(((1000)-(c_TMAP3IN)),2))+2147483648,4294967296)-2147483648,((1000)-(c_TMAP3IN))*(((C71)-(c_TMAP3IN))*((1000)-(c_TMAP3OUT))+IF(((1000)-(c_TMAP3OUT))&gt;=0,1,-1)*QUOTIENT(((1000)-(c_TMAP3IN)),2)))&lt;0,-1,0),IF(IF(o_WRAP=1,MOD(((1000)-(c_TMAP3IN))*(((C71)-(c_TMAP3IN))*((1000)-(c_TMAP3OUT))+IF(((1000)-(c_TMAP3OUT))&gt;=0,1,-1)*QUOTIENT(((1000)-(c_TMAP3IN)),2))+2147483648,4294967296)-2147483648,((1000)-(c_TMAP3IN))*(((C71)-(c_TMAP3IN))*((1000)-(c_TMAP3OUT))+IF(((1000)-(c_TMAP3OUT))&gt;=0,1,-1)*QUOTIENT(((1000)-(c_TMAP3IN)),2)))&gt;=0,1,0)))</f>
        <v>877</v>
      </c>
      <c r="I71" s="7" t="n">
        <f aca="false">IF(C71&gt;=c_TFWD,IF(AND(C71&gt;=c_TMAP3IN,c_TMAP3IN&lt;1000),H71,IF(AND(C71&gt;=c_TMAP2IN,c_TMAP3IN&gt;c_TMAP2IN),G71,IF(AND(C71&gt;=c_TMAP1IN,c_TMAP2IN&gt;c_TMAP1IN),F71,E71))),D71)</f>
        <v>877</v>
      </c>
      <c r="J71" s="7" t="str">
        <f aca="false">IF(I71&lt;-1090,"TOO LOW",IF(I71&gt;1090,"TOO HIGH",""))</f>
        <v/>
      </c>
      <c r="K71" s="7" t="n">
        <f aca="false">IF(J71&lt;&gt;"",0,IF(I71&gt;979,1000,I71))</f>
        <v>877</v>
      </c>
      <c r="L71" s="7" t="n">
        <f aca="false">IF(OR(c_TSMOOTH=0,K71&gt;=c_TSMOOTHCUT),1,0)</f>
        <v>1</v>
      </c>
      <c r="M71" s="7" t="n">
        <f aca="false">IF(L71=1,0,M70+1)</f>
        <v>0</v>
      </c>
      <c r="N71" s="7" t="n">
        <f aca="false">IF(L71=1,0,MIN(M71,c_TSMOOTH))</f>
        <v>0</v>
      </c>
      <c r="O71" s="7" t="n">
        <f aca="false">IF(COUNTIF($L$5:L71,1)&gt;0,c_TSMOOTHCUT,0)</f>
        <v>400</v>
      </c>
      <c r="P71" s="15" t="n">
        <f aca="true">IF(L71=1,K71,QUOTIENT(SUM(OFFSET(K71,1-N71,0,N71,1))+(c_TSMOOTH-N71)*O71,c_TSMOOTH))</f>
        <v>877</v>
      </c>
      <c r="Q71" s="7" t="n">
        <f aca="false">K71/10</f>
        <v>87.7</v>
      </c>
      <c r="R71" s="7" t="n">
        <f aca="false">P71/10</f>
        <v>87.7</v>
      </c>
    </row>
    <row r="72" customFormat="false" ht="15" hidden="false" customHeight="false" outlineLevel="0" collapsed="false">
      <c r="A72" s="7" t="n">
        <v>67</v>
      </c>
      <c r="B72" s="7" t="n">
        <f aca="false">A72*0.04</f>
        <v>2.68</v>
      </c>
      <c r="C72" s="18" t="n">
        <v>900</v>
      </c>
      <c r="D72" s="7" t="n">
        <f aca="false">IF(AND(C72=0,c_TCREEP&gt;0),10*c_TCREEP,IF(AND(C72&lt;=c_TRNGMIN,C72&gt;=c_TRNGMAX,c_TRNGMIN-c_TRNGMAX&lt;&gt;0),-10*c_TMINRN+QUOTIENT((c_TMAXRN-c_TMINRN)*(100-QUOTIENT((C72-c_TRNGMAX)*100,c_TRNGMIN-c_TRNGMAX)),-10),0))</f>
        <v>0</v>
      </c>
      <c r="E72" s="7" t="n">
        <f aca="false">IF(((c_TMAP1IN)-(c_TFWD))=0,(0)+QUOTIENT(((c_TMAP1OUT)-(0)),2),QUOTIENT((((C72)-(c_TFWD))*((c_TMAP1OUT)-(0))+IF(((c_TMAP1OUT)-(0))&gt;=0,1,-1)*QUOTIENT(((c_TMAP1IN)-(c_TFWD)),2)),((c_TMAP1IN)-(c_TFWD)))+(0)+IF(((c_TMAP1OUT)-(0))&gt;=0,IF(IF(o_WRAP=1,MOD(((c_TMAP1IN)-(c_TFWD))*(((C72)-(c_TFWD))*((c_TMAP1OUT)-(0))+IF(((c_TMAP1OUT)-(0))&gt;=0,1,-1)*QUOTIENT(((c_TMAP1IN)-(c_TFWD)),2))+2147483648,4294967296)-2147483648,((c_TMAP1IN)-(c_TFWD))*(((C72)-(c_TFWD))*((c_TMAP1OUT)-(0))+IF(((c_TMAP1OUT)-(0))&gt;=0,1,-1)*QUOTIENT(((c_TMAP1IN)-(c_TFWD)),2)))&lt;0,-1,0),IF(IF(o_WRAP=1,MOD(((c_TMAP1IN)-(c_TFWD))*(((C72)-(c_TFWD))*((c_TMAP1OUT)-(0))+IF(((c_TMAP1OUT)-(0))&gt;=0,1,-1)*QUOTIENT(((c_TMAP1IN)-(c_TFWD)),2))+2147483648,4294967296)-2147483648,((c_TMAP1IN)-(c_TFWD))*(((C72)-(c_TFWD))*((c_TMAP1OUT)-(0))+IF(((c_TMAP1OUT)-(0))&gt;=0,1,-1)*QUOTIENT(((c_TMAP1IN)-(c_TFWD)),2)))&gt;=0,1,0)))</f>
        <v>692</v>
      </c>
      <c r="F72" s="7" t="n">
        <f aca="false">IF(((c_TMAP2IN)-(c_TMAP1IN))=0,(c_TMAP1OUT)+QUOTIENT(((c_TMAP2OUT)-(c_TMAP1OUT)),2),QUOTIENT((((C72)-(c_TMAP1IN))*((c_TMAP2OUT)-(c_TMAP1OUT))+IF(((c_TMAP2OUT)-(c_TMAP1OUT))&gt;=0,1,-1)*QUOTIENT(((c_TMAP2IN)-(c_TMAP1IN)),2)),((c_TMAP2IN)-(c_TMAP1IN)))+(c_TMAP1OUT)+IF(((c_TMAP2OUT)-(c_TMAP1OUT))&gt;=0,IF(IF(o_WRAP=1,MOD(((c_TMAP2IN)-(c_TMAP1IN))*(((C72)-(c_TMAP1IN))*((c_TMAP2OUT)-(c_TMAP1OUT))+IF(((c_TMAP2OUT)-(c_TMAP1OUT))&gt;=0,1,-1)*QUOTIENT(((c_TMAP2IN)-(c_TMAP1IN)),2))+2147483648,4294967296)-2147483648,((c_TMAP2IN)-(c_TMAP1IN))*(((C72)-(c_TMAP1IN))*((c_TMAP2OUT)-(c_TMAP1OUT))+IF(((c_TMAP2OUT)-(c_TMAP1OUT))&gt;=0,1,-1)*QUOTIENT(((c_TMAP2IN)-(c_TMAP1IN)),2)))&lt;0,-1,0),IF(IF(o_WRAP=1,MOD(((c_TMAP2IN)-(c_TMAP1IN))*(((C72)-(c_TMAP1IN))*((c_TMAP2OUT)-(c_TMAP1OUT))+IF(((c_TMAP2OUT)-(c_TMAP1OUT))&gt;=0,1,-1)*QUOTIENT(((c_TMAP2IN)-(c_TMAP1IN)),2))+2147483648,4294967296)-2147483648,((c_TMAP2IN)-(c_TMAP1IN))*(((C72)-(c_TMAP1IN))*((c_TMAP2OUT)-(c_TMAP1OUT))+IF(((c_TMAP2OUT)-(c_TMAP1OUT))&gt;=0,1,-1)*QUOTIENT(((c_TMAP2IN)-(c_TMAP1IN)),2)))&gt;=0,1,0)))</f>
        <v>390</v>
      </c>
      <c r="G72" s="7" t="n">
        <f aca="false">IF(((c_TMAP3IN)-(c_TMAP2IN))=0,(c_TMAP2OUT)+QUOTIENT(((c_TMAP3OUT)-(c_TMAP2OUT)),2),QUOTIENT((((C72)-(c_TMAP2IN))*((c_TMAP3OUT)-(c_TMAP2OUT))+IF(((c_TMAP3OUT)-(c_TMAP2OUT))&gt;=0,1,-1)*QUOTIENT(((c_TMAP3IN)-(c_TMAP2IN)),2)),((c_TMAP3IN)-(c_TMAP2IN)))+(c_TMAP2OUT)+IF(((c_TMAP3OUT)-(c_TMAP2OUT))&gt;=0,IF(IF(o_WRAP=1,MOD(((c_TMAP3IN)-(c_TMAP2IN))*(((C72)-(c_TMAP2IN))*((c_TMAP3OUT)-(c_TMAP2OUT))+IF(((c_TMAP3OUT)-(c_TMAP2OUT))&gt;=0,1,-1)*QUOTIENT(((c_TMAP3IN)-(c_TMAP2IN)),2))+2147483648,4294967296)-2147483648,((c_TMAP3IN)-(c_TMAP2IN))*(((C72)-(c_TMAP2IN))*((c_TMAP3OUT)-(c_TMAP2OUT))+IF(((c_TMAP3OUT)-(c_TMAP2OUT))&gt;=0,1,-1)*QUOTIENT(((c_TMAP3IN)-(c_TMAP2IN)),2)))&lt;0,-1,0),IF(IF(o_WRAP=1,MOD(((c_TMAP3IN)-(c_TMAP2IN))*(((C72)-(c_TMAP2IN))*((c_TMAP3OUT)-(c_TMAP2OUT))+IF(((c_TMAP3OUT)-(c_TMAP2OUT))&gt;=0,1,-1)*QUOTIENT(((c_TMAP3IN)-(c_TMAP2IN)),2))+2147483648,4294967296)-2147483648,((c_TMAP3IN)-(c_TMAP2IN))*(((C72)-(c_TMAP2IN))*((c_TMAP3OUT)-(c_TMAP2OUT))+IF(((c_TMAP3OUT)-(c_TMAP2OUT))&gt;=0,1,-1)*QUOTIENT(((c_TMAP3IN)-(c_TMAP2IN)),2)))&gt;=0,1,0)))</f>
        <v>585</v>
      </c>
      <c r="H72" s="7" t="n">
        <f aca="false">IF(((1000)-(c_TMAP3IN))=0,(c_TMAP3OUT)+QUOTIENT(((1000)-(c_TMAP3OUT)),2),QUOTIENT((((C72)-(c_TMAP3IN))*((1000)-(c_TMAP3OUT))+IF(((1000)-(c_TMAP3OUT))&gt;=0,1,-1)*QUOTIENT(((1000)-(c_TMAP3IN)),2)),((1000)-(c_TMAP3IN)))+(c_TMAP3OUT)+IF(((1000)-(c_TMAP3OUT))&gt;=0,IF(IF(o_WRAP=1,MOD(((1000)-(c_TMAP3IN))*(((C72)-(c_TMAP3IN))*((1000)-(c_TMAP3OUT))+IF(((1000)-(c_TMAP3OUT))&gt;=0,1,-1)*QUOTIENT(((1000)-(c_TMAP3IN)),2))+2147483648,4294967296)-2147483648,((1000)-(c_TMAP3IN))*(((C72)-(c_TMAP3IN))*((1000)-(c_TMAP3OUT))+IF(((1000)-(c_TMAP3OUT))&gt;=0,1,-1)*QUOTIENT(((1000)-(c_TMAP3IN)),2)))&lt;0,-1,0),IF(IF(o_WRAP=1,MOD(((1000)-(c_TMAP3IN))*(((C72)-(c_TMAP3IN))*((1000)-(c_TMAP3OUT))+IF(((1000)-(c_TMAP3OUT))&gt;=0,1,-1)*QUOTIENT(((1000)-(c_TMAP3IN)),2))+2147483648,4294967296)-2147483648,((1000)-(c_TMAP3IN))*(((C72)-(c_TMAP3IN))*((1000)-(c_TMAP3OUT))+IF(((1000)-(c_TMAP3OUT))&gt;=0,1,-1)*QUOTIENT(((1000)-(c_TMAP3IN)),2)))&gt;=0,1,0)))</f>
        <v>877</v>
      </c>
      <c r="I72" s="7" t="n">
        <f aca="false">IF(C72&gt;=c_TFWD,IF(AND(C72&gt;=c_TMAP3IN,c_TMAP3IN&lt;1000),H72,IF(AND(C72&gt;=c_TMAP2IN,c_TMAP3IN&gt;c_TMAP2IN),G72,IF(AND(C72&gt;=c_TMAP1IN,c_TMAP2IN&gt;c_TMAP1IN),F72,E72))),D72)</f>
        <v>877</v>
      </c>
      <c r="J72" s="7" t="str">
        <f aca="false">IF(I72&lt;-1090,"TOO LOW",IF(I72&gt;1090,"TOO HIGH",""))</f>
        <v/>
      </c>
      <c r="K72" s="7" t="n">
        <f aca="false">IF(J72&lt;&gt;"",0,IF(I72&gt;979,1000,I72))</f>
        <v>877</v>
      </c>
      <c r="L72" s="7" t="n">
        <f aca="false">IF(OR(c_TSMOOTH=0,K72&gt;=c_TSMOOTHCUT),1,0)</f>
        <v>1</v>
      </c>
      <c r="M72" s="7" t="n">
        <f aca="false">IF(L72=1,0,M71+1)</f>
        <v>0</v>
      </c>
      <c r="N72" s="7" t="n">
        <f aca="false">IF(L72=1,0,MIN(M72,c_TSMOOTH))</f>
        <v>0</v>
      </c>
      <c r="O72" s="7" t="n">
        <f aca="false">IF(COUNTIF($L$5:L72,1)&gt;0,c_TSMOOTHCUT,0)</f>
        <v>400</v>
      </c>
      <c r="P72" s="15" t="n">
        <f aca="true">IF(L72=1,K72,QUOTIENT(SUM(OFFSET(K72,1-N72,0,N72,1))+(c_TSMOOTH-N72)*O72,c_TSMOOTH))</f>
        <v>877</v>
      </c>
      <c r="Q72" s="7" t="n">
        <f aca="false">K72/10</f>
        <v>87.7</v>
      </c>
      <c r="R72" s="7" t="n">
        <f aca="false">P72/10</f>
        <v>87.7</v>
      </c>
    </row>
    <row r="73" customFormat="false" ht="15" hidden="false" customHeight="false" outlineLevel="0" collapsed="false">
      <c r="A73" s="7" t="n">
        <v>68</v>
      </c>
      <c r="B73" s="7" t="n">
        <f aca="false">A73*0.04</f>
        <v>2.72</v>
      </c>
      <c r="C73" s="18" t="n">
        <v>900</v>
      </c>
      <c r="D73" s="7" t="n">
        <f aca="false">IF(AND(C73=0,c_TCREEP&gt;0),10*c_TCREEP,IF(AND(C73&lt;=c_TRNGMIN,C73&gt;=c_TRNGMAX,c_TRNGMIN-c_TRNGMAX&lt;&gt;0),-10*c_TMINRN+QUOTIENT((c_TMAXRN-c_TMINRN)*(100-QUOTIENT((C73-c_TRNGMAX)*100,c_TRNGMIN-c_TRNGMAX)),-10),0))</f>
        <v>0</v>
      </c>
      <c r="E73" s="7" t="n">
        <f aca="false">IF(((c_TMAP1IN)-(c_TFWD))=0,(0)+QUOTIENT(((c_TMAP1OUT)-(0)),2),QUOTIENT((((C73)-(c_TFWD))*((c_TMAP1OUT)-(0))+IF(((c_TMAP1OUT)-(0))&gt;=0,1,-1)*QUOTIENT(((c_TMAP1IN)-(c_TFWD)),2)),((c_TMAP1IN)-(c_TFWD)))+(0)+IF(((c_TMAP1OUT)-(0))&gt;=0,IF(IF(o_WRAP=1,MOD(((c_TMAP1IN)-(c_TFWD))*(((C73)-(c_TFWD))*((c_TMAP1OUT)-(0))+IF(((c_TMAP1OUT)-(0))&gt;=0,1,-1)*QUOTIENT(((c_TMAP1IN)-(c_TFWD)),2))+2147483648,4294967296)-2147483648,((c_TMAP1IN)-(c_TFWD))*(((C73)-(c_TFWD))*((c_TMAP1OUT)-(0))+IF(((c_TMAP1OUT)-(0))&gt;=0,1,-1)*QUOTIENT(((c_TMAP1IN)-(c_TFWD)),2)))&lt;0,-1,0),IF(IF(o_WRAP=1,MOD(((c_TMAP1IN)-(c_TFWD))*(((C73)-(c_TFWD))*((c_TMAP1OUT)-(0))+IF(((c_TMAP1OUT)-(0))&gt;=0,1,-1)*QUOTIENT(((c_TMAP1IN)-(c_TFWD)),2))+2147483648,4294967296)-2147483648,((c_TMAP1IN)-(c_TFWD))*(((C73)-(c_TFWD))*((c_TMAP1OUT)-(0))+IF(((c_TMAP1OUT)-(0))&gt;=0,1,-1)*QUOTIENT(((c_TMAP1IN)-(c_TFWD)),2)))&gt;=0,1,0)))</f>
        <v>692</v>
      </c>
      <c r="F73" s="7" t="n">
        <f aca="false">IF(((c_TMAP2IN)-(c_TMAP1IN))=0,(c_TMAP1OUT)+QUOTIENT(((c_TMAP2OUT)-(c_TMAP1OUT)),2),QUOTIENT((((C73)-(c_TMAP1IN))*((c_TMAP2OUT)-(c_TMAP1OUT))+IF(((c_TMAP2OUT)-(c_TMAP1OUT))&gt;=0,1,-1)*QUOTIENT(((c_TMAP2IN)-(c_TMAP1IN)),2)),((c_TMAP2IN)-(c_TMAP1IN)))+(c_TMAP1OUT)+IF(((c_TMAP2OUT)-(c_TMAP1OUT))&gt;=0,IF(IF(o_WRAP=1,MOD(((c_TMAP2IN)-(c_TMAP1IN))*(((C73)-(c_TMAP1IN))*((c_TMAP2OUT)-(c_TMAP1OUT))+IF(((c_TMAP2OUT)-(c_TMAP1OUT))&gt;=0,1,-1)*QUOTIENT(((c_TMAP2IN)-(c_TMAP1IN)),2))+2147483648,4294967296)-2147483648,((c_TMAP2IN)-(c_TMAP1IN))*(((C73)-(c_TMAP1IN))*((c_TMAP2OUT)-(c_TMAP1OUT))+IF(((c_TMAP2OUT)-(c_TMAP1OUT))&gt;=0,1,-1)*QUOTIENT(((c_TMAP2IN)-(c_TMAP1IN)),2)))&lt;0,-1,0),IF(IF(o_WRAP=1,MOD(((c_TMAP2IN)-(c_TMAP1IN))*(((C73)-(c_TMAP1IN))*((c_TMAP2OUT)-(c_TMAP1OUT))+IF(((c_TMAP2OUT)-(c_TMAP1OUT))&gt;=0,1,-1)*QUOTIENT(((c_TMAP2IN)-(c_TMAP1IN)),2))+2147483648,4294967296)-2147483648,((c_TMAP2IN)-(c_TMAP1IN))*(((C73)-(c_TMAP1IN))*((c_TMAP2OUT)-(c_TMAP1OUT))+IF(((c_TMAP2OUT)-(c_TMAP1OUT))&gt;=0,1,-1)*QUOTIENT(((c_TMAP2IN)-(c_TMAP1IN)),2)))&gt;=0,1,0)))</f>
        <v>390</v>
      </c>
      <c r="G73" s="7" t="n">
        <f aca="false">IF(((c_TMAP3IN)-(c_TMAP2IN))=0,(c_TMAP2OUT)+QUOTIENT(((c_TMAP3OUT)-(c_TMAP2OUT)),2),QUOTIENT((((C73)-(c_TMAP2IN))*((c_TMAP3OUT)-(c_TMAP2OUT))+IF(((c_TMAP3OUT)-(c_TMAP2OUT))&gt;=0,1,-1)*QUOTIENT(((c_TMAP3IN)-(c_TMAP2IN)),2)),((c_TMAP3IN)-(c_TMAP2IN)))+(c_TMAP2OUT)+IF(((c_TMAP3OUT)-(c_TMAP2OUT))&gt;=0,IF(IF(o_WRAP=1,MOD(((c_TMAP3IN)-(c_TMAP2IN))*(((C73)-(c_TMAP2IN))*((c_TMAP3OUT)-(c_TMAP2OUT))+IF(((c_TMAP3OUT)-(c_TMAP2OUT))&gt;=0,1,-1)*QUOTIENT(((c_TMAP3IN)-(c_TMAP2IN)),2))+2147483648,4294967296)-2147483648,((c_TMAP3IN)-(c_TMAP2IN))*(((C73)-(c_TMAP2IN))*((c_TMAP3OUT)-(c_TMAP2OUT))+IF(((c_TMAP3OUT)-(c_TMAP2OUT))&gt;=0,1,-1)*QUOTIENT(((c_TMAP3IN)-(c_TMAP2IN)),2)))&lt;0,-1,0),IF(IF(o_WRAP=1,MOD(((c_TMAP3IN)-(c_TMAP2IN))*(((C73)-(c_TMAP2IN))*((c_TMAP3OUT)-(c_TMAP2OUT))+IF(((c_TMAP3OUT)-(c_TMAP2OUT))&gt;=0,1,-1)*QUOTIENT(((c_TMAP3IN)-(c_TMAP2IN)),2))+2147483648,4294967296)-2147483648,((c_TMAP3IN)-(c_TMAP2IN))*(((C73)-(c_TMAP2IN))*((c_TMAP3OUT)-(c_TMAP2OUT))+IF(((c_TMAP3OUT)-(c_TMAP2OUT))&gt;=0,1,-1)*QUOTIENT(((c_TMAP3IN)-(c_TMAP2IN)),2)))&gt;=0,1,0)))</f>
        <v>585</v>
      </c>
      <c r="H73" s="7" t="n">
        <f aca="false">IF(((1000)-(c_TMAP3IN))=0,(c_TMAP3OUT)+QUOTIENT(((1000)-(c_TMAP3OUT)),2),QUOTIENT((((C73)-(c_TMAP3IN))*((1000)-(c_TMAP3OUT))+IF(((1000)-(c_TMAP3OUT))&gt;=0,1,-1)*QUOTIENT(((1000)-(c_TMAP3IN)),2)),((1000)-(c_TMAP3IN)))+(c_TMAP3OUT)+IF(((1000)-(c_TMAP3OUT))&gt;=0,IF(IF(o_WRAP=1,MOD(((1000)-(c_TMAP3IN))*(((C73)-(c_TMAP3IN))*((1000)-(c_TMAP3OUT))+IF(((1000)-(c_TMAP3OUT))&gt;=0,1,-1)*QUOTIENT(((1000)-(c_TMAP3IN)),2))+2147483648,4294967296)-2147483648,((1000)-(c_TMAP3IN))*(((C73)-(c_TMAP3IN))*((1000)-(c_TMAP3OUT))+IF(((1000)-(c_TMAP3OUT))&gt;=0,1,-1)*QUOTIENT(((1000)-(c_TMAP3IN)),2)))&lt;0,-1,0),IF(IF(o_WRAP=1,MOD(((1000)-(c_TMAP3IN))*(((C73)-(c_TMAP3IN))*((1000)-(c_TMAP3OUT))+IF(((1000)-(c_TMAP3OUT))&gt;=0,1,-1)*QUOTIENT(((1000)-(c_TMAP3IN)),2))+2147483648,4294967296)-2147483648,((1000)-(c_TMAP3IN))*(((C73)-(c_TMAP3IN))*((1000)-(c_TMAP3OUT))+IF(((1000)-(c_TMAP3OUT))&gt;=0,1,-1)*QUOTIENT(((1000)-(c_TMAP3IN)),2)))&gt;=0,1,0)))</f>
        <v>877</v>
      </c>
      <c r="I73" s="7" t="n">
        <f aca="false">IF(C73&gt;=c_TFWD,IF(AND(C73&gt;=c_TMAP3IN,c_TMAP3IN&lt;1000),H73,IF(AND(C73&gt;=c_TMAP2IN,c_TMAP3IN&gt;c_TMAP2IN),G73,IF(AND(C73&gt;=c_TMAP1IN,c_TMAP2IN&gt;c_TMAP1IN),F73,E73))),D73)</f>
        <v>877</v>
      </c>
      <c r="J73" s="7" t="str">
        <f aca="false">IF(I73&lt;-1090,"TOO LOW",IF(I73&gt;1090,"TOO HIGH",""))</f>
        <v/>
      </c>
      <c r="K73" s="7" t="n">
        <f aca="false">IF(J73&lt;&gt;"",0,IF(I73&gt;979,1000,I73))</f>
        <v>877</v>
      </c>
      <c r="L73" s="7" t="n">
        <f aca="false">IF(OR(c_TSMOOTH=0,K73&gt;=c_TSMOOTHCUT),1,0)</f>
        <v>1</v>
      </c>
      <c r="M73" s="7" t="n">
        <f aca="false">IF(L73=1,0,M72+1)</f>
        <v>0</v>
      </c>
      <c r="N73" s="7" t="n">
        <f aca="false">IF(L73=1,0,MIN(M73,c_TSMOOTH))</f>
        <v>0</v>
      </c>
      <c r="O73" s="7" t="n">
        <f aca="false">IF(COUNTIF($L$5:L73,1)&gt;0,c_TSMOOTHCUT,0)</f>
        <v>400</v>
      </c>
      <c r="P73" s="15" t="n">
        <f aca="true">IF(L73=1,K73,QUOTIENT(SUM(OFFSET(K73,1-N73,0,N73,1))+(c_TSMOOTH-N73)*O73,c_TSMOOTH))</f>
        <v>877</v>
      </c>
      <c r="Q73" s="7" t="n">
        <f aca="false">K73/10</f>
        <v>87.7</v>
      </c>
      <c r="R73" s="7" t="n">
        <f aca="false">P73/10</f>
        <v>87.7</v>
      </c>
    </row>
    <row r="74" customFormat="false" ht="15" hidden="false" customHeight="false" outlineLevel="0" collapsed="false">
      <c r="A74" s="7" t="n">
        <v>69</v>
      </c>
      <c r="B74" s="7" t="n">
        <f aca="false">A74*0.04</f>
        <v>2.76</v>
      </c>
      <c r="C74" s="18" t="n">
        <v>900</v>
      </c>
      <c r="D74" s="7" t="n">
        <f aca="false">IF(AND(C74=0,c_TCREEP&gt;0),10*c_TCREEP,IF(AND(C74&lt;=c_TRNGMIN,C74&gt;=c_TRNGMAX,c_TRNGMIN-c_TRNGMAX&lt;&gt;0),-10*c_TMINRN+QUOTIENT((c_TMAXRN-c_TMINRN)*(100-QUOTIENT((C74-c_TRNGMAX)*100,c_TRNGMIN-c_TRNGMAX)),-10),0))</f>
        <v>0</v>
      </c>
      <c r="E74" s="7" t="n">
        <f aca="false">IF(((c_TMAP1IN)-(c_TFWD))=0,(0)+QUOTIENT(((c_TMAP1OUT)-(0)),2),QUOTIENT((((C74)-(c_TFWD))*((c_TMAP1OUT)-(0))+IF(((c_TMAP1OUT)-(0))&gt;=0,1,-1)*QUOTIENT(((c_TMAP1IN)-(c_TFWD)),2)),((c_TMAP1IN)-(c_TFWD)))+(0)+IF(((c_TMAP1OUT)-(0))&gt;=0,IF(IF(o_WRAP=1,MOD(((c_TMAP1IN)-(c_TFWD))*(((C74)-(c_TFWD))*((c_TMAP1OUT)-(0))+IF(((c_TMAP1OUT)-(0))&gt;=0,1,-1)*QUOTIENT(((c_TMAP1IN)-(c_TFWD)),2))+2147483648,4294967296)-2147483648,((c_TMAP1IN)-(c_TFWD))*(((C74)-(c_TFWD))*((c_TMAP1OUT)-(0))+IF(((c_TMAP1OUT)-(0))&gt;=0,1,-1)*QUOTIENT(((c_TMAP1IN)-(c_TFWD)),2)))&lt;0,-1,0),IF(IF(o_WRAP=1,MOD(((c_TMAP1IN)-(c_TFWD))*(((C74)-(c_TFWD))*((c_TMAP1OUT)-(0))+IF(((c_TMAP1OUT)-(0))&gt;=0,1,-1)*QUOTIENT(((c_TMAP1IN)-(c_TFWD)),2))+2147483648,4294967296)-2147483648,((c_TMAP1IN)-(c_TFWD))*(((C74)-(c_TFWD))*((c_TMAP1OUT)-(0))+IF(((c_TMAP1OUT)-(0))&gt;=0,1,-1)*QUOTIENT(((c_TMAP1IN)-(c_TFWD)),2)))&gt;=0,1,0)))</f>
        <v>692</v>
      </c>
      <c r="F74" s="7" t="n">
        <f aca="false">IF(((c_TMAP2IN)-(c_TMAP1IN))=0,(c_TMAP1OUT)+QUOTIENT(((c_TMAP2OUT)-(c_TMAP1OUT)),2),QUOTIENT((((C74)-(c_TMAP1IN))*((c_TMAP2OUT)-(c_TMAP1OUT))+IF(((c_TMAP2OUT)-(c_TMAP1OUT))&gt;=0,1,-1)*QUOTIENT(((c_TMAP2IN)-(c_TMAP1IN)),2)),((c_TMAP2IN)-(c_TMAP1IN)))+(c_TMAP1OUT)+IF(((c_TMAP2OUT)-(c_TMAP1OUT))&gt;=0,IF(IF(o_WRAP=1,MOD(((c_TMAP2IN)-(c_TMAP1IN))*(((C74)-(c_TMAP1IN))*((c_TMAP2OUT)-(c_TMAP1OUT))+IF(((c_TMAP2OUT)-(c_TMAP1OUT))&gt;=0,1,-1)*QUOTIENT(((c_TMAP2IN)-(c_TMAP1IN)),2))+2147483648,4294967296)-2147483648,((c_TMAP2IN)-(c_TMAP1IN))*(((C74)-(c_TMAP1IN))*((c_TMAP2OUT)-(c_TMAP1OUT))+IF(((c_TMAP2OUT)-(c_TMAP1OUT))&gt;=0,1,-1)*QUOTIENT(((c_TMAP2IN)-(c_TMAP1IN)),2)))&lt;0,-1,0),IF(IF(o_WRAP=1,MOD(((c_TMAP2IN)-(c_TMAP1IN))*(((C74)-(c_TMAP1IN))*((c_TMAP2OUT)-(c_TMAP1OUT))+IF(((c_TMAP2OUT)-(c_TMAP1OUT))&gt;=0,1,-1)*QUOTIENT(((c_TMAP2IN)-(c_TMAP1IN)),2))+2147483648,4294967296)-2147483648,((c_TMAP2IN)-(c_TMAP1IN))*(((C74)-(c_TMAP1IN))*((c_TMAP2OUT)-(c_TMAP1OUT))+IF(((c_TMAP2OUT)-(c_TMAP1OUT))&gt;=0,1,-1)*QUOTIENT(((c_TMAP2IN)-(c_TMAP1IN)),2)))&gt;=0,1,0)))</f>
        <v>390</v>
      </c>
      <c r="G74" s="7" t="n">
        <f aca="false">IF(((c_TMAP3IN)-(c_TMAP2IN))=0,(c_TMAP2OUT)+QUOTIENT(((c_TMAP3OUT)-(c_TMAP2OUT)),2),QUOTIENT((((C74)-(c_TMAP2IN))*((c_TMAP3OUT)-(c_TMAP2OUT))+IF(((c_TMAP3OUT)-(c_TMAP2OUT))&gt;=0,1,-1)*QUOTIENT(((c_TMAP3IN)-(c_TMAP2IN)),2)),((c_TMAP3IN)-(c_TMAP2IN)))+(c_TMAP2OUT)+IF(((c_TMAP3OUT)-(c_TMAP2OUT))&gt;=0,IF(IF(o_WRAP=1,MOD(((c_TMAP3IN)-(c_TMAP2IN))*(((C74)-(c_TMAP2IN))*((c_TMAP3OUT)-(c_TMAP2OUT))+IF(((c_TMAP3OUT)-(c_TMAP2OUT))&gt;=0,1,-1)*QUOTIENT(((c_TMAP3IN)-(c_TMAP2IN)),2))+2147483648,4294967296)-2147483648,((c_TMAP3IN)-(c_TMAP2IN))*(((C74)-(c_TMAP2IN))*((c_TMAP3OUT)-(c_TMAP2OUT))+IF(((c_TMAP3OUT)-(c_TMAP2OUT))&gt;=0,1,-1)*QUOTIENT(((c_TMAP3IN)-(c_TMAP2IN)),2)))&lt;0,-1,0),IF(IF(o_WRAP=1,MOD(((c_TMAP3IN)-(c_TMAP2IN))*(((C74)-(c_TMAP2IN))*((c_TMAP3OUT)-(c_TMAP2OUT))+IF(((c_TMAP3OUT)-(c_TMAP2OUT))&gt;=0,1,-1)*QUOTIENT(((c_TMAP3IN)-(c_TMAP2IN)),2))+2147483648,4294967296)-2147483648,((c_TMAP3IN)-(c_TMAP2IN))*(((C74)-(c_TMAP2IN))*((c_TMAP3OUT)-(c_TMAP2OUT))+IF(((c_TMAP3OUT)-(c_TMAP2OUT))&gt;=0,1,-1)*QUOTIENT(((c_TMAP3IN)-(c_TMAP2IN)),2)))&gt;=0,1,0)))</f>
        <v>585</v>
      </c>
      <c r="H74" s="7" t="n">
        <f aca="false">IF(((1000)-(c_TMAP3IN))=0,(c_TMAP3OUT)+QUOTIENT(((1000)-(c_TMAP3OUT)),2),QUOTIENT((((C74)-(c_TMAP3IN))*((1000)-(c_TMAP3OUT))+IF(((1000)-(c_TMAP3OUT))&gt;=0,1,-1)*QUOTIENT(((1000)-(c_TMAP3IN)),2)),((1000)-(c_TMAP3IN)))+(c_TMAP3OUT)+IF(((1000)-(c_TMAP3OUT))&gt;=0,IF(IF(o_WRAP=1,MOD(((1000)-(c_TMAP3IN))*(((C74)-(c_TMAP3IN))*((1000)-(c_TMAP3OUT))+IF(((1000)-(c_TMAP3OUT))&gt;=0,1,-1)*QUOTIENT(((1000)-(c_TMAP3IN)),2))+2147483648,4294967296)-2147483648,((1000)-(c_TMAP3IN))*(((C74)-(c_TMAP3IN))*((1000)-(c_TMAP3OUT))+IF(((1000)-(c_TMAP3OUT))&gt;=0,1,-1)*QUOTIENT(((1000)-(c_TMAP3IN)),2)))&lt;0,-1,0),IF(IF(o_WRAP=1,MOD(((1000)-(c_TMAP3IN))*(((C74)-(c_TMAP3IN))*((1000)-(c_TMAP3OUT))+IF(((1000)-(c_TMAP3OUT))&gt;=0,1,-1)*QUOTIENT(((1000)-(c_TMAP3IN)),2))+2147483648,4294967296)-2147483648,((1000)-(c_TMAP3IN))*(((C74)-(c_TMAP3IN))*((1000)-(c_TMAP3OUT))+IF(((1000)-(c_TMAP3OUT))&gt;=0,1,-1)*QUOTIENT(((1000)-(c_TMAP3IN)),2)))&gt;=0,1,0)))</f>
        <v>877</v>
      </c>
      <c r="I74" s="7" t="n">
        <f aca="false">IF(C74&gt;=c_TFWD,IF(AND(C74&gt;=c_TMAP3IN,c_TMAP3IN&lt;1000),H74,IF(AND(C74&gt;=c_TMAP2IN,c_TMAP3IN&gt;c_TMAP2IN),G74,IF(AND(C74&gt;=c_TMAP1IN,c_TMAP2IN&gt;c_TMAP1IN),F74,E74))),D74)</f>
        <v>877</v>
      </c>
      <c r="J74" s="7" t="str">
        <f aca="false">IF(I74&lt;-1090,"TOO LOW",IF(I74&gt;1090,"TOO HIGH",""))</f>
        <v/>
      </c>
      <c r="K74" s="7" t="n">
        <f aca="false">IF(J74&lt;&gt;"",0,IF(I74&gt;979,1000,I74))</f>
        <v>877</v>
      </c>
      <c r="L74" s="7" t="n">
        <f aca="false">IF(OR(c_TSMOOTH=0,K74&gt;=c_TSMOOTHCUT),1,0)</f>
        <v>1</v>
      </c>
      <c r="M74" s="7" t="n">
        <f aca="false">IF(L74=1,0,M73+1)</f>
        <v>0</v>
      </c>
      <c r="N74" s="7" t="n">
        <f aca="false">IF(L74=1,0,MIN(M74,c_TSMOOTH))</f>
        <v>0</v>
      </c>
      <c r="O74" s="7" t="n">
        <f aca="false">IF(COUNTIF($L$5:L74,1)&gt;0,c_TSMOOTHCUT,0)</f>
        <v>400</v>
      </c>
      <c r="P74" s="15" t="n">
        <f aca="true">IF(L74=1,K74,QUOTIENT(SUM(OFFSET(K74,1-N74,0,N74,1))+(c_TSMOOTH-N74)*O74,c_TSMOOTH))</f>
        <v>877</v>
      </c>
      <c r="Q74" s="7" t="n">
        <f aca="false">K74/10</f>
        <v>87.7</v>
      </c>
      <c r="R74" s="7" t="n">
        <f aca="false">P74/10</f>
        <v>87.7</v>
      </c>
    </row>
    <row r="75" customFormat="false" ht="15" hidden="false" customHeight="false" outlineLevel="0" collapsed="false">
      <c r="A75" s="7" t="n">
        <v>70</v>
      </c>
      <c r="B75" s="7" t="n">
        <f aca="false">A75*0.04</f>
        <v>2.8</v>
      </c>
      <c r="C75" s="18" t="n">
        <v>900</v>
      </c>
      <c r="D75" s="7" t="n">
        <f aca="false">IF(AND(C75=0,c_TCREEP&gt;0),10*c_TCREEP,IF(AND(C75&lt;=c_TRNGMIN,C75&gt;=c_TRNGMAX,c_TRNGMIN-c_TRNGMAX&lt;&gt;0),-10*c_TMINRN+QUOTIENT((c_TMAXRN-c_TMINRN)*(100-QUOTIENT((C75-c_TRNGMAX)*100,c_TRNGMIN-c_TRNGMAX)),-10),0))</f>
        <v>0</v>
      </c>
      <c r="E75" s="7" t="n">
        <f aca="false">IF(((c_TMAP1IN)-(c_TFWD))=0,(0)+QUOTIENT(((c_TMAP1OUT)-(0)),2),QUOTIENT((((C75)-(c_TFWD))*((c_TMAP1OUT)-(0))+IF(((c_TMAP1OUT)-(0))&gt;=0,1,-1)*QUOTIENT(((c_TMAP1IN)-(c_TFWD)),2)),((c_TMAP1IN)-(c_TFWD)))+(0)+IF(((c_TMAP1OUT)-(0))&gt;=0,IF(IF(o_WRAP=1,MOD(((c_TMAP1IN)-(c_TFWD))*(((C75)-(c_TFWD))*((c_TMAP1OUT)-(0))+IF(((c_TMAP1OUT)-(0))&gt;=0,1,-1)*QUOTIENT(((c_TMAP1IN)-(c_TFWD)),2))+2147483648,4294967296)-2147483648,((c_TMAP1IN)-(c_TFWD))*(((C75)-(c_TFWD))*((c_TMAP1OUT)-(0))+IF(((c_TMAP1OUT)-(0))&gt;=0,1,-1)*QUOTIENT(((c_TMAP1IN)-(c_TFWD)),2)))&lt;0,-1,0),IF(IF(o_WRAP=1,MOD(((c_TMAP1IN)-(c_TFWD))*(((C75)-(c_TFWD))*((c_TMAP1OUT)-(0))+IF(((c_TMAP1OUT)-(0))&gt;=0,1,-1)*QUOTIENT(((c_TMAP1IN)-(c_TFWD)),2))+2147483648,4294967296)-2147483648,((c_TMAP1IN)-(c_TFWD))*(((C75)-(c_TFWD))*((c_TMAP1OUT)-(0))+IF(((c_TMAP1OUT)-(0))&gt;=0,1,-1)*QUOTIENT(((c_TMAP1IN)-(c_TFWD)),2)))&gt;=0,1,0)))</f>
        <v>692</v>
      </c>
      <c r="F75" s="7" t="n">
        <f aca="false">IF(((c_TMAP2IN)-(c_TMAP1IN))=0,(c_TMAP1OUT)+QUOTIENT(((c_TMAP2OUT)-(c_TMAP1OUT)),2),QUOTIENT((((C75)-(c_TMAP1IN))*((c_TMAP2OUT)-(c_TMAP1OUT))+IF(((c_TMAP2OUT)-(c_TMAP1OUT))&gt;=0,1,-1)*QUOTIENT(((c_TMAP2IN)-(c_TMAP1IN)),2)),((c_TMAP2IN)-(c_TMAP1IN)))+(c_TMAP1OUT)+IF(((c_TMAP2OUT)-(c_TMAP1OUT))&gt;=0,IF(IF(o_WRAP=1,MOD(((c_TMAP2IN)-(c_TMAP1IN))*(((C75)-(c_TMAP1IN))*((c_TMAP2OUT)-(c_TMAP1OUT))+IF(((c_TMAP2OUT)-(c_TMAP1OUT))&gt;=0,1,-1)*QUOTIENT(((c_TMAP2IN)-(c_TMAP1IN)),2))+2147483648,4294967296)-2147483648,((c_TMAP2IN)-(c_TMAP1IN))*(((C75)-(c_TMAP1IN))*((c_TMAP2OUT)-(c_TMAP1OUT))+IF(((c_TMAP2OUT)-(c_TMAP1OUT))&gt;=0,1,-1)*QUOTIENT(((c_TMAP2IN)-(c_TMAP1IN)),2)))&lt;0,-1,0),IF(IF(o_WRAP=1,MOD(((c_TMAP2IN)-(c_TMAP1IN))*(((C75)-(c_TMAP1IN))*((c_TMAP2OUT)-(c_TMAP1OUT))+IF(((c_TMAP2OUT)-(c_TMAP1OUT))&gt;=0,1,-1)*QUOTIENT(((c_TMAP2IN)-(c_TMAP1IN)),2))+2147483648,4294967296)-2147483648,((c_TMAP2IN)-(c_TMAP1IN))*(((C75)-(c_TMAP1IN))*((c_TMAP2OUT)-(c_TMAP1OUT))+IF(((c_TMAP2OUT)-(c_TMAP1OUT))&gt;=0,1,-1)*QUOTIENT(((c_TMAP2IN)-(c_TMAP1IN)),2)))&gt;=0,1,0)))</f>
        <v>390</v>
      </c>
      <c r="G75" s="7" t="n">
        <f aca="false">IF(((c_TMAP3IN)-(c_TMAP2IN))=0,(c_TMAP2OUT)+QUOTIENT(((c_TMAP3OUT)-(c_TMAP2OUT)),2),QUOTIENT((((C75)-(c_TMAP2IN))*((c_TMAP3OUT)-(c_TMAP2OUT))+IF(((c_TMAP3OUT)-(c_TMAP2OUT))&gt;=0,1,-1)*QUOTIENT(((c_TMAP3IN)-(c_TMAP2IN)),2)),((c_TMAP3IN)-(c_TMAP2IN)))+(c_TMAP2OUT)+IF(((c_TMAP3OUT)-(c_TMAP2OUT))&gt;=0,IF(IF(o_WRAP=1,MOD(((c_TMAP3IN)-(c_TMAP2IN))*(((C75)-(c_TMAP2IN))*((c_TMAP3OUT)-(c_TMAP2OUT))+IF(((c_TMAP3OUT)-(c_TMAP2OUT))&gt;=0,1,-1)*QUOTIENT(((c_TMAP3IN)-(c_TMAP2IN)),2))+2147483648,4294967296)-2147483648,((c_TMAP3IN)-(c_TMAP2IN))*(((C75)-(c_TMAP2IN))*((c_TMAP3OUT)-(c_TMAP2OUT))+IF(((c_TMAP3OUT)-(c_TMAP2OUT))&gt;=0,1,-1)*QUOTIENT(((c_TMAP3IN)-(c_TMAP2IN)),2)))&lt;0,-1,0),IF(IF(o_WRAP=1,MOD(((c_TMAP3IN)-(c_TMAP2IN))*(((C75)-(c_TMAP2IN))*((c_TMAP3OUT)-(c_TMAP2OUT))+IF(((c_TMAP3OUT)-(c_TMAP2OUT))&gt;=0,1,-1)*QUOTIENT(((c_TMAP3IN)-(c_TMAP2IN)),2))+2147483648,4294967296)-2147483648,((c_TMAP3IN)-(c_TMAP2IN))*(((C75)-(c_TMAP2IN))*((c_TMAP3OUT)-(c_TMAP2OUT))+IF(((c_TMAP3OUT)-(c_TMAP2OUT))&gt;=0,1,-1)*QUOTIENT(((c_TMAP3IN)-(c_TMAP2IN)),2)))&gt;=0,1,0)))</f>
        <v>585</v>
      </c>
      <c r="H75" s="7" t="n">
        <f aca="false">IF(((1000)-(c_TMAP3IN))=0,(c_TMAP3OUT)+QUOTIENT(((1000)-(c_TMAP3OUT)),2),QUOTIENT((((C75)-(c_TMAP3IN))*((1000)-(c_TMAP3OUT))+IF(((1000)-(c_TMAP3OUT))&gt;=0,1,-1)*QUOTIENT(((1000)-(c_TMAP3IN)),2)),((1000)-(c_TMAP3IN)))+(c_TMAP3OUT)+IF(((1000)-(c_TMAP3OUT))&gt;=0,IF(IF(o_WRAP=1,MOD(((1000)-(c_TMAP3IN))*(((C75)-(c_TMAP3IN))*((1000)-(c_TMAP3OUT))+IF(((1000)-(c_TMAP3OUT))&gt;=0,1,-1)*QUOTIENT(((1000)-(c_TMAP3IN)),2))+2147483648,4294967296)-2147483648,((1000)-(c_TMAP3IN))*(((C75)-(c_TMAP3IN))*((1000)-(c_TMAP3OUT))+IF(((1000)-(c_TMAP3OUT))&gt;=0,1,-1)*QUOTIENT(((1000)-(c_TMAP3IN)),2)))&lt;0,-1,0),IF(IF(o_WRAP=1,MOD(((1000)-(c_TMAP3IN))*(((C75)-(c_TMAP3IN))*((1000)-(c_TMAP3OUT))+IF(((1000)-(c_TMAP3OUT))&gt;=0,1,-1)*QUOTIENT(((1000)-(c_TMAP3IN)),2))+2147483648,4294967296)-2147483648,((1000)-(c_TMAP3IN))*(((C75)-(c_TMAP3IN))*((1000)-(c_TMAP3OUT))+IF(((1000)-(c_TMAP3OUT))&gt;=0,1,-1)*QUOTIENT(((1000)-(c_TMAP3IN)),2)))&gt;=0,1,0)))</f>
        <v>877</v>
      </c>
      <c r="I75" s="7" t="n">
        <f aca="false">IF(C75&gt;=c_TFWD,IF(AND(C75&gt;=c_TMAP3IN,c_TMAP3IN&lt;1000),H75,IF(AND(C75&gt;=c_TMAP2IN,c_TMAP3IN&gt;c_TMAP2IN),G75,IF(AND(C75&gt;=c_TMAP1IN,c_TMAP2IN&gt;c_TMAP1IN),F75,E75))),D75)</f>
        <v>877</v>
      </c>
      <c r="J75" s="7" t="str">
        <f aca="false">IF(I75&lt;-1090,"TOO LOW",IF(I75&gt;1090,"TOO HIGH",""))</f>
        <v/>
      </c>
      <c r="K75" s="7" t="n">
        <f aca="false">IF(J75&lt;&gt;"",0,IF(I75&gt;979,1000,I75))</f>
        <v>877</v>
      </c>
      <c r="L75" s="7" t="n">
        <f aca="false">IF(OR(c_TSMOOTH=0,K75&gt;=c_TSMOOTHCUT),1,0)</f>
        <v>1</v>
      </c>
      <c r="M75" s="7" t="n">
        <f aca="false">IF(L75=1,0,M74+1)</f>
        <v>0</v>
      </c>
      <c r="N75" s="7" t="n">
        <f aca="false">IF(L75=1,0,MIN(M75,c_TSMOOTH))</f>
        <v>0</v>
      </c>
      <c r="O75" s="7" t="n">
        <f aca="false">IF(COUNTIF($L$5:L75,1)&gt;0,c_TSMOOTHCUT,0)</f>
        <v>400</v>
      </c>
      <c r="P75" s="15" t="n">
        <f aca="true">IF(L75=1,K75,QUOTIENT(SUM(OFFSET(K75,1-N75,0,N75,1))+(c_TSMOOTH-N75)*O75,c_TSMOOTH))</f>
        <v>877</v>
      </c>
      <c r="Q75" s="7" t="n">
        <f aca="false">K75/10</f>
        <v>87.7</v>
      </c>
      <c r="R75" s="7" t="n">
        <f aca="false">P75/10</f>
        <v>87.7</v>
      </c>
    </row>
    <row r="76" customFormat="false" ht="15" hidden="false" customHeight="false" outlineLevel="0" collapsed="false">
      <c r="A76" s="7" t="n">
        <v>71</v>
      </c>
      <c r="B76" s="7" t="n">
        <f aca="false">A76*0.04</f>
        <v>2.84</v>
      </c>
      <c r="C76" s="18" t="n">
        <v>900</v>
      </c>
      <c r="D76" s="7" t="n">
        <f aca="false">IF(AND(C76=0,c_TCREEP&gt;0),10*c_TCREEP,IF(AND(C76&lt;=c_TRNGMIN,C76&gt;=c_TRNGMAX,c_TRNGMIN-c_TRNGMAX&lt;&gt;0),-10*c_TMINRN+QUOTIENT((c_TMAXRN-c_TMINRN)*(100-QUOTIENT((C76-c_TRNGMAX)*100,c_TRNGMIN-c_TRNGMAX)),-10),0))</f>
        <v>0</v>
      </c>
      <c r="E76" s="7" t="n">
        <f aca="false">IF(((c_TMAP1IN)-(c_TFWD))=0,(0)+QUOTIENT(((c_TMAP1OUT)-(0)),2),QUOTIENT((((C76)-(c_TFWD))*((c_TMAP1OUT)-(0))+IF(((c_TMAP1OUT)-(0))&gt;=0,1,-1)*QUOTIENT(((c_TMAP1IN)-(c_TFWD)),2)),((c_TMAP1IN)-(c_TFWD)))+(0)+IF(((c_TMAP1OUT)-(0))&gt;=0,IF(IF(o_WRAP=1,MOD(((c_TMAP1IN)-(c_TFWD))*(((C76)-(c_TFWD))*((c_TMAP1OUT)-(0))+IF(((c_TMAP1OUT)-(0))&gt;=0,1,-1)*QUOTIENT(((c_TMAP1IN)-(c_TFWD)),2))+2147483648,4294967296)-2147483648,((c_TMAP1IN)-(c_TFWD))*(((C76)-(c_TFWD))*((c_TMAP1OUT)-(0))+IF(((c_TMAP1OUT)-(0))&gt;=0,1,-1)*QUOTIENT(((c_TMAP1IN)-(c_TFWD)),2)))&lt;0,-1,0),IF(IF(o_WRAP=1,MOD(((c_TMAP1IN)-(c_TFWD))*(((C76)-(c_TFWD))*((c_TMAP1OUT)-(0))+IF(((c_TMAP1OUT)-(0))&gt;=0,1,-1)*QUOTIENT(((c_TMAP1IN)-(c_TFWD)),2))+2147483648,4294967296)-2147483648,((c_TMAP1IN)-(c_TFWD))*(((C76)-(c_TFWD))*((c_TMAP1OUT)-(0))+IF(((c_TMAP1OUT)-(0))&gt;=0,1,-1)*QUOTIENT(((c_TMAP1IN)-(c_TFWD)),2)))&gt;=0,1,0)))</f>
        <v>692</v>
      </c>
      <c r="F76" s="7" t="n">
        <f aca="false">IF(((c_TMAP2IN)-(c_TMAP1IN))=0,(c_TMAP1OUT)+QUOTIENT(((c_TMAP2OUT)-(c_TMAP1OUT)),2),QUOTIENT((((C76)-(c_TMAP1IN))*((c_TMAP2OUT)-(c_TMAP1OUT))+IF(((c_TMAP2OUT)-(c_TMAP1OUT))&gt;=0,1,-1)*QUOTIENT(((c_TMAP2IN)-(c_TMAP1IN)),2)),((c_TMAP2IN)-(c_TMAP1IN)))+(c_TMAP1OUT)+IF(((c_TMAP2OUT)-(c_TMAP1OUT))&gt;=0,IF(IF(o_WRAP=1,MOD(((c_TMAP2IN)-(c_TMAP1IN))*(((C76)-(c_TMAP1IN))*((c_TMAP2OUT)-(c_TMAP1OUT))+IF(((c_TMAP2OUT)-(c_TMAP1OUT))&gt;=0,1,-1)*QUOTIENT(((c_TMAP2IN)-(c_TMAP1IN)),2))+2147483648,4294967296)-2147483648,((c_TMAP2IN)-(c_TMAP1IN))*(((C76)-(c_TMAP1IN))*((c_TMAP2OUT)-(c_TMAP1OUT))+IF(((c_TMAP2OUT)-(c_TMAP1OUT))&gt;=0,1,-1)*QUOTIENT(((c_TMAP2IN)-(c_TMAP1IN)),2)))&lt;0,-1,0),IF(IF(o_WRAP=1,MOD(((c_TMAP2IN)-(c_TMAP1IN))*(((C76)-(c_TMAP1IN))*((c_TMAP2OUT)-(c_TMAP1OUT))+IF(((c_TMAP2OUT)-(c_TMAP1OUT))&gt;=0,1,-1)*QUOTIENT(((c_TMAP2IN)-(c_TMAP1IN)),2))+2147483648,4294967296)-2147483648,((c_TMAP2IN)-(c_TMAP1IN))*(((C76)-(c_TMAP1IN))*((c_TMAP2OUT)-(c_TMAP1OUT))+IF(((c_TMAP2OUT)-(c_TMAP1OUT))&gt;=0,1,-1)*QUOTIENT(((c_TMAP2IN)-(c_TMAP1IN)),2)))&gt;=0,1,0)))</f>
        <v>390</v>
      </c>
      <c r="G76" s="7" t="n">
        <f aca="false">IF(((c_TMAP3IN)-(c_TMAP2IN))=0,(c_TMAP2OUT)+QUOTIENT(((c_TMAP3OUT)-(c_TMAP2OUT)),2),QUOTIENT((((C76)-(c_TMAP2IN))*((c_TMAP3OUT)-(c_TMAP2OUT))+IF(((c_TMAP3OUT)-(c_TMAP2OUT))&gt;=0,1,-1)*QUOTIENT(((c_TMAP3IN)-(c_TMAP2IN)),2)),((c_TMAP3IN)-(c_TMAP2IN)))+(c_TMAP2OUT)+IF(((c_TMAP3OUT)-(c_TMAP2OUT))&gt;=0,IF(IF(o_WRAP=1,MOD(((c_TMAP3IN)-(c_TMAP2IN))*(((C76)-(c_TMAP2IN))*((c_TMAP3OUT)-(c_TMAP2OUT))+IF(((c_TMAP3OUT)-(c_TMAP2OUT))&gt;=0,1,-1)*QUOTIENT(((c_TMAP3IN)-(c_TMAP2IN)),2))+2147483648,4294967296)-2147483648,((c_TMAP3IN)-(c_TMAP2IN))*(((C76)-(c_TMAP2IN))*((c_TMAP3OUT)-(c_TMAP2OUT))+IF(((c_TMAP3OUT)-(c_TMAP2OUT))&gt;=0,1,-1)*QUOTIENT(((c_TMAP3IN)-(c_TMAP2IN)),2)))&lt;0,-1,0),IF(IF(o_WRAP=1,MOD(((c_TMAP3IN)-(c_TMAP2IN))*(((C76)-(c_TMAP2IN))*((c_TMAP3OUT)-(c_TMAP2OUT))+IF(((c_TMAP3OUT)-(c_TMAP2OUT))&gt;=0,1,-1)*QUOTIENT(((c_TMAP3IN)-(c_TMAP2IN)),2))+2147483648,4294967296)-2147483648,((c_TMAP3IN)-(c_TMAP2IN))*(((C76)-(c_TMAP2IN))*((c_TMAP3OUT)-(c_TMAP2OUT))+IF(((c_TMAP3OUT)-(c_TMAP2OUT))&gt;=0,1,-1)*QUOTIENT(((c_TMAP3IN)-(c_TMAP2IN)),2)))&gt;=0,1,0)))</f>
        <v>585</v>
      </c>
      <c r="H76" s="7" t="n">
        <f aca="false">IF(((1000)-(c_TMAP3IN))=0,(c_TMAP3OUT)+QUOTIENT(((1000)-(c_TMAP3OUT)),2),QUOTIENT((((C76)-(c_TMAP3IN))*((1000)-(c_TMAP3OUT))+IF(((1000)-(c_TMAP3OUT))&gt;=0,1,-1)*QUOTIENT(((1000)-(c_TMAP3IN)),2)),((1000)-(c_TMAP3IN)))+(c_TMAP3OUT)+IF(((1000)-(c_TMAP3OUT))&gt;=0,IF(IF(o_WRAP=1,MOD(((1000)-(c_TMAP3IN))*(((C76)-(c_TMAP3IN))*((1000)-(c_TMAP3OUT))+IF(((1000)-(c_TMAP3OUT))&gt;=0,1,-1)*QUOTIENT(((1000)-(c_TMAP3IN)),2))+2147483648,4294967296)-2147483648,((1000)-(c_TMAP3IN))*(((C76)-(c_TMAP3IN))*((1000)-(c_TMAP3OUT))+IF(((1000)-(c_TMAP3OUT))&gt;=0,1,-1)*QUOTIENT(((1000)-(c_TMAP3IN)),2)))&lt;0,-1,0),IF(IF(o_WRAP=1,MOD(((1000)-(c_TMAP3IN))*(((C76)-(c_TMAP3IN))*((1000)-(c_TMAP3OUT))+IF(((1000)-(c_TMAP3OUT))&gt;=0,1,-1)*QUOTIENT(((1000)-(c_TMAP3IN)),2))+2147483648,4294967296)-2147483648,((1000)-(c_TMAP3IN))*(((C76)-(c_TMAP3IN))*((1000)-(c_TMAP3OUT))+IF(((1000)-(c_TMAP3OUT))&gt;=0,1,-1)*QUOTIENT(((1000)-(c_TMAP3IN)),2)))&gt;=0,1,0)))</f>
        <v>877</v>
      </c>
      <c r="I76" s="7" t="n">
        <f aca="false">IF(C76&gt;=c_TFWD,IF(AND(C76&gt;=c_TMAP3IN,c_TMAP3IN&lt;1000),H76,IF(AND(C76&gt;=c_TMAP2IN,c_TMAP3IN&gt;c_TMAP2IN),G76,IF(AND(C76&gt;=c_TMAP1IN,c_TMAP2IN&gt;c_TMAP1IN),F76,E76))),D76)</f>
        <v>877</v>
      </c>
      <c r="J76" s="7" t="str">
        <f aca="false">IF(I76&lt;-1090,"TOO LOW",IF(I76&gt;1090,"TOO HIGH",""))</f>
        <v/>
      </c>
      <c r="K76" s="7" t="n">
        <f aca="false">IF(J76&lt;&gt;"",0,IF(I76&gt;979,1000,I76))</f>
        <v>877</v>
      </c>
      <c r="L76" s="7" t="n">
        <f aca="false">IF(OR(c_TSMOOTH=0,K76&gt;=c_TSMOOTHCUT),1,0)</f>
        <v>1</v>
      </c>
      <c r="M76" s="7" t="n">
        <f aca="false">IF(L76=1,0,M75+1)</f>
        <v>0</v>
      </c>
      <c r="N76" s="7" t="n">
        <f aca="false">IF(L76=1,0,MIN(M76,c_TSMOOTH))</f>
        <v>0</v>
      </c>
      <c r="O76" s="7" t="n">
        <f aca="false">IF(COUNTIF($L$5:L76,1)&gt;0,c_TSMOOTHCUT,0)</f>
        <v>400</v>
      </c>
      <c r="P76" s="15" t="n">
        <f aca="true">IF(L76=1,K76,QUOTIENT(SUM(OFFSET(K76,1-N76,0,N76,1))+(c_TSMOOTH-N76)*O76,c_TSMOOTH))</f>
        <v>877</v>
      </c>
      <c r="Q76" s="7" t="n">
        <f aca="false">K76/10</f>
        <v>87.7</v>
      </c>
      <c r="R76" s="7" t="n">
        <f aca="false">P76/10</f>
        <v>87.7</v>
      </c>
    </row>
    <row r="77" customFormat="false" ht="15" hidden="false" customHeight="false" outlineLevel="0" collapsed="false">
      <c r="A77" s="7" t="n">
        <v>72</v>
      </c>
      <c r="B77" s="7" t="n">
        <f aca="false">A77*0.04</f>
        <v>2.88</v>
      </c>
      <c r="C77" s="18" t="n">
        <v>900</v>
      </c>
      <c r="D77" s="7" t="n">
        <f aca="false">IF(AND(C77=0,c_TCREEP&gt;0),10*c_TCREEP,IF(AND(C77&lt;=c_TRNGMIN,C77&gt;=c_TRNGMAX,c_TRNGMIN-c_TRNGMAX&lt;&gt;0),-10*c_TMINRN+QUOTIENT((c_TMAXRN-c_TMINRN)*(100-QUOTIENT((C77-c_TRNGMAX)*100,c_TRNGMIN-c_TRNGMAX)),-10),0))</f>
        <v>0</v>
      </c>
      <c r="E77" s="7" t="n">
        <f aca="false">IF(((c_TMAP1IN)-(c_TFWD))=0,(0)+QUOTIENT(((c_TMAP1OUT)-(0)),2),QUOTIENT((((C77)-(c_TFWD))*((c_TMAP1OUT)-(0))+IF(((c_TMAP1OUT)-(0))&gt;=0,1,-1)*QUOTIENT(((c_TMAP1IN)-(c_TFWD)),2)),((c_TMAP1IN)-(c_TFWD)))+(0)+IF(((c_TMAP1OUT)-(0))&gt;=0,IF(IF(o_WRAP=1,MOD(((c_TMAP1IN)-(c_TFWD))*(((C77)-(c_TFWD))*((c_TMAP1OUT)-(0))+IF(((c_TMAP1OUT)-(0))&gt;=0,1,-1)*QUOTIENT(((c_TMAP1IN)-(c_TFWD)),2))+2147483648,4294967296)-2147483648,((c_TMAP1IN)-(c_TFWD))*(((C77)-(c_TFWD))*((c_TMAP1OUT)-(0))+IF(((c_TMAP1OUT)-(0))&gt;=0,1,-1)*QUOTIENT(((c_TMAP1IN)-(c_TFWD)),2)))&lt;0,-1,0),IF(IF(o_WRAP=1,MOD(((c_TMAP1IN)-(c_TFWD))*(((C77)-(c_TFWD))*((c_TMAP1OUT)-(0))+IF(((c_TMAP1OUT)-(0))&gt;=0,1,-1)*QUOTIENT(((c_TMAP1IN)-(c_TFWD)),2))+2147483648,4294967296)-2147483648,((c_TMAP1IN)-(c_TFWD))*(((C77)-(c_TFWD))*((c_TMAP1OUT)-(0))+IF(((c_TMAP1OUT)-(0))&gt;=0,1,-1)*QUOTIENT(((c_TMAP1IN)-(c_TFWD)),2)))&gt;=0,1,0)))</f>
        <v>692</v>
      </c>
      <c r="F77" s="7" t="n">
        <f aca="false">IF(((c_TMAP2IN)-(c_TMAP1IN))=0,(c_TMAP1OUT)+QUOTIENT(((c_TMAP2OUT)-(c_TMAP1OUT)),2),QUOTIENT((((C77)-(c_TMAP1IN))*((c_TMAP2OUT)-(c_TMAP1OUT))+IF(((c_TMAP2OUT)-(c_TMAP1OUT))&gt;=0,1,-1)*QUOTIENT(((c_TMAP2IN)-(c_TMAP1IN)),2)),((c_TMAP2IN)-(c_TMAP1IN)))+(c_TMAP1OUT)+IF(((c_TMAP2OUT)-(c_TMAP1OUT))&gt;=0,IF(IF(o_WRAP=1,MOD(((c_TMAP2IN)-(c_TMAP1IN))*(((C77)-(c_TMAP1IN))*((c_TMAP2OUT)-(c_TMAP1OUT))+IF(((c_TMAP2OUT)-(c_TMAP1OUT))&gt;=0,1,-1)*QUOTIENT(((c_TMAP2IN)-(c_TMAP1IN)),2))+2147483648,4294967296)-2147483648,((c_TMAP2IN)-(c_TMAP1IN))*(((C77)-(c_TMAP1IN))*((c_TMAP2OUT)-(c_TMAP1OUT))+IF(((c_TMAP2OUT)-(c_TMAP1OUT))&gt;=0,1,-1)*QUOTIENT(((c_TMAP2IN)-(c_TMAP1IN)),2)))&lt;0,-1,0),IF(IF(o_WRAP=1,MOD(((c_TMAP2IN)-(c_TMAP1IN))*(((C77)-(c_TMAP1IN))*((c_TMAP2OUT)-(c_TMAP1OUT))+IF(((c_TMAP2OUT)-(c_TMAP1OUT))&gt;=0,1,-1)*QUOTIENT(((c_TMAP2IN)-(c_TMAP1IN)),2))+2147483648,4294967296)-2147483648,((c_TMAP2IN)-(c_TMAP1IN))*(((C77)-(c_TMAP1IN))*((c_TMAP2OUT)-(c_TMAP1OUT))+IF(((c_TMAP2OUT)-(c_TMAP1OUT))&gt;=0,1,-1)*QUOTIENT(((c_TMAP2IN)-(c_TMAP1IN)),2)))&gt;=0,1,0)))</f>
        <v>390</v>
      </c>
      <c r="G77" s="7" t="n">
        <f aca="false">IF(((c_TMAP3IN)-(c_TMAP2IN))=0,(c_TMAP2OUT)+QUOTIENT(((c_TMAP3OUT)-(c_TMAP2OUT)),2),QUOTIENT((((C77)-(c_TMAP2IN))*((c_TMAP3OUT)-(c_TMAP2OUT))+IF(((c_TMAP3OUT)-(c_TMAP2OUT))&gt;=0,1,-1)*QUOTIENT(((c_TMAP3IN)-(c_TMAP2IN)),2)),((c_TMAP3IN)-(c_TMAP2IN)))+(c_TMAP2OUT)+IF(((c_TMAP3OUT)-(c_TMAP2OUT))&gt;=0,IF(IF(o_WRAP=1,MOD(((c_TMAP3IN)-(c_TMAP2IN))*(((C77)-(c_TMAP2IN))*((c_TMAP3OUT)-(c_TMAP2OUT))+IF(((c_TMAP3OUT)-(c_TMAP2OUT))&gt;=0,1,-1)*QUOTIENT(((c_TMAP3IN)-(c_TMAP2IN)),2))+2147483648,4294967296)-2147483648,((c_TMAP3IN)-(c_TMAP2IN))*(((C77)-(c_TMAP2IN))*((c_TMAP3OUT)-(c_TMAP2OUT))+IF(((c_TMAP3OUT)-(c_TMAP2OUT))&gt;=0,1,-1)*QUOTIENT(((c_TMAP3IN)-(c_TMAP2IN)),2)))&lt;0,-1,0),IF(IF(o_WRAP=1,MOD(((c_TMAP3IN)-(c_TMAP2IN))*(((C77)-(c_TMAP2IN))*((c_TMAP3OUT)-(c_TMAP2OUT))+IF(((c_TMAP3OUT)-(c_TMAP2OUT))&gt;=0,1,-1)*QUOTIENT(((c_TMAP3IN)-(c_TMAP2IN)),2))+2147483648,4294967296)-2147483648,((c_TMAP3IN)-(c_TMAP2IN))*(((C77)-(c_TMAP2IN))*((c_TMAP3OUT)-(c_TMAP2OUT))+IF(((c_TMAP3OUT)-(c_TMAP2OUT))&gt;=0,1,-1)*QUOTIENT(((c_TMAP3IN)-(c_TMAP2IN)),2)))&gt;=0,1,0)))</f>
        <v>585</v>
      </c>
      <c r="H77" s="7" t="n">
        <f aca="false">IF(((1000)-(c_TMAP3IN))=0,(c_TMAP3OUT)+QUOTIENT(((1000)-(c_TMAP3OUT)),2),QUOTIENT((((C77)-(c_TMAP3IN))*((1000)-(c_TMAP3OUT))+IF(((1000)-(c_TMAP3OUT))&gt;=0,1,-1)*QUOTIENT(((1000)-(c_TMAP3IN)),2)),((1000)-(c_TMAP3IN)))+(c_TMAP3OUT)+IF(((1000)-(c_TMAP3OUT))&gt;=0,IF(IF(o_WRAP=1,MOD(((1000)-(c_TMAP3IN))*(((C77)-(c_TMAP3IN))*((1000)-(c_TMAP3OUT))+IF(((1000)-(c_TMAP3OUT))&gt;=0,1,-1)*QUOTIENT(((1000)-(c_TMAP3IN)),2))+2147483648,4294967296)-2147483648,((1000)-(c_TMAP3IN))*(((C77)-(c_TMAP3IN))*((1000)-(c_TMAP3OUT))+IF(((1000)-(c_TMAP3OUT))&gt;=0,1,-1)*QUOTIENT(((1000)-(c_TMAP3IN)),2)))&lt;0,-1,0),IF(IF(o_WRAP=1,MOD(((1000)-(c_TMAP3IN))*(((C77)-(c_TMAP3IN))*((1000)-(c_TMAP3OUT))+IF(((1000)-(c_TMAP3OUT))&gt;=0,1,-1)*QUOTIENT(((1000)-(c_TMAP3IN)),2))+2147483648,4294967296)-2147483648,((1000)-(c_TMAP3IN))*(((C77)-(c_TMAP3IN))*((1000)-(c_TMAP3OUT))+IF(((1000)-(c_TMAP3OUT))&gt;=0,1,-1)*QUOTIENT(((1000)-(c_TMAP3IN)),2)))&gt;=0,1,0)))</f>
        <v>877</v>
      </c>
      <c r="I77" s="7" t="n">
        <f aca="false">IF(C77&gt;=c_TFWD,IF(AND(C77&gt;=c_TMAP3IN,c_TMAP3IN&lt;1000),H77,IF(AND(C77&gt;=c_TMAP2IN,c_TMAP3IN&gt;c_TMAP2IN),G77,IF(AND(C77&gt;=c_TMAP1IN,c_TMAP2IN&gt;c_TMAP1IN),F77,E77))),D77)</f>
        <v>877</v>
      </c>
      <c r="J77" s="7" t="str">
        <f aca="false">IF(I77&lt;-1090,"TOO LOW",IF(I77&gt;1090,"TOO HIGH",""))</f>
        <v/>
      </c>
      <c r="K77" s="7" t="n">
        <f aca="false">IF(J77&lt;&gt;"",0,IF(I77&gt;979,1000,I77))</f>
        <v>877</v>
      </c>
      <c r="L77" s="7" t="n">
        <f aca="false">IF(OR(c_TSMOOTH=0,K77&gt;=c_TSMOOTHCUT),1,0)</f>
        <v>1</v>
      </c>
      <c r="M77" s="7" t="n">
        <f aca="false">IF(L77=1,0,M76+1)</f>
        <v>0</v>
      </c>
      <c r="N77" s="7" t="n">
        <f aca="false">IF(L77=1,0,MIN(M77,c_TSMOOTH))</f>
        <v>0</v>
      </c>
      <c r="O77" s="7" t="n">
        <f aca="false">IF(COUNTIF($L$5:L77,1)&gt;0,c_TSMOOTHCUT,0)</f>
        <v>400</v>
      </c>
      <c r="P77" s="15" t="n">
        <f aca="true">IF(L77=1,K77,QUOTIENT(SUM(OFFSET(K77,1-N77,0,N77,1))+(c_TSMOOTH-N77)*O77,c_TSMOOTH))</f>
        <v>877</v>
      </c>
      <c r="Q77" s="7" t="n">
        <f aca="false">K77/10</f>
        <v>87.7</v>
      </c>
      <c r="R77" s="7" t="n">
        <f aca="false">P77/10</f>
        <v>87.7</v>
      </c>
    </row>
    <row r="78" customFormat="false" ht="15" hidden="false" customHeight="false" outlineLevel="0" collapsed="false">
      <c r="A78" s="7" t="n">
        <v>73</v>
      </c>
      <c r="B78" s="7" t="n">
        <f aca="false">A78*0.04</f>
        <v>2.92</v>
      </c>
      <c r="C78" s="18" t="n">
        <v>900</v>
      </c>
      <c r="D78" s="7" t="n">
        <f aca="false">IF(AND(C78=0,c_TCREEP&gt;0),10*c_TCREEP,IF(AND(C78&lt;=c_TRNGMIN,C78&gt;=c_TRNGMAX,c_TRNGMIN-c_TRNGMAX&lt;&gt;0),-10*c_TMINRN+QUOTIENT((c_TMAXRN-c_TMINRN)*(100-QUOTIENT((C78-c_TRNGMAX)*100,c_TRNGMIN-c_TRNGMAX)),-10),0))</f>
        <v>0</v>
      </c>
      <c r="E78" s="7" t="n">
        <f aca="false">IF(((c_TMAP1IN)-(c_TFWD))=0,(0)+QUOTIENT(((c_TMAP1OUT)-(0)),2),QUOTIENT((((C78)-(c_TFWD))*((c_TMAP1OUT)-(0))+IF(((c_TMAP1OUT)-(0))&gt;=0,1,-1)*QUOTIENT(((c_TMAP1IN)-(c_TFWD)),2)),((c_TMAP1IN)-(c_TFWD)))+(0)+IF(((c_TMAP1OUT)-(0))&gt;=0,IF(IF(o_WRAP=1,MOD(((c_TMAP1IN)-(c_TFWD))*(((C78)-(c_TFWD))*((c_TMAP1OUT)-(0))+IF(((c_TMAP1OUT)-(0))&gt;=0,1,-1)*QUOTIENT(((c_TMAP1IN)-(c_TFWD)),2))+2147483648,4294967296)-2147483648,((c_TMAP1IN)-(c_TFWD))*(((C78)-(c_TFWD))*((c_TMAP1OUT)-(0))+IF(((c_TMAP1OUT)-(0))&gt;=0,1,-1)*QUOTIENT(((c_TMAP1IN)-(c_TFWD)),2)))&lt;0,-1,0),IF(IF(o_WRAP=1,MOD(((c_TMAP1IN)-(c_TFWD))*(((C78)-(c_TFWD))*((c_TMAP1OUT)-(0))+IF(((c_TMAP1OUT)-(0))&gt;=0,1,-1)*QUOTIENT(((c_TMAP1IN)-(c_TFWD)),2))+2147483648,4294967296)-2147483648,((c_TMAP1IN)-(c_TFWD))*(((C78)-(c_TFWD))*((c_TMAP1OUT)-(0))+IF(((c_TMAP1OUT)-(0))&gt;=0,1,-1)*QUOTIENT(((c_TMAP1IN)-(c_TFWD)),2)))&gt;=0,1,0)))</f>
        <v>692</v>
      </c>
      <c r="F78" s="7" t="n">
        <f aca="false">IF(((c_TMAP2IN)-(c_TMAP1IN))=0,(c_TMAP1OUT)+QUOTIENT(((c_TMAP2OUT)-(c_TMAP1OUT)),2),QUOTIENT((((C78)-(c_TMAP1IN))*((c_TMAP2OUT)-(c_TMAP1OUT))+IF(((c_TMAP2OUT)-(c_TMAP1OUT))&gt;=0,1,-1)*QUOTIENT(((c_TMAP2IN)-(c_TMAP1IN)),2)),((c_TMAP2IN)-(c_TMAP1IN)))+(c_TMAP1OUT)+IF(((c_TMAP2OUT)-(c_TMAP1OUT))&gt;=0,IF(IF(o_WRAP=1,MOD(((c_TMAP2IN)-(c_TMAP1IN))*(((C78)-(c_TMAP1IN))*((c_TMAP2OUT)-(c_TMAP1OUT))+IF(((c_TMAP2OUT)-(c_TMAP1OUT))&gt;=0,1,-1)*QUOTIENT(((c_TMAP2IN)-(c_TMAP1IN)),2))+2147483648,4294967296)-2147483648,((c_TMAP2IN)-(c_TMAP1IN))*(((C78)-(c_TMAP1IN))*((c_TMAP2OUT)-(c_TMAP1OUT))+IF(((c_TMAP2OUT)-(c_TMAP1OUT))&gt;=0,1,-1)*QUOTIENT(((c_TMAP2IN)-(c_TMAP1IN)),2)))&lt;0,-1,0),IF(IF(o_WRAP=1,MOD(((c_TMAP2IN)-(c_TMAP1IN))*(((C78)-(c_TMAP1IN))*((c_TMAP2OUT)-(c_TMAP1OUT))+IF(((c_TMAP2OUT)-(c_TMAP1OUT))&gt;=0,1,-1)*QUOTIENT(((c_TMAP2IN)-(c_TMAP1IN)),2))+2147483648,4294967296)-2147483648,((c_TMAP2IN)-(c_TMAP1IN))*(((C78)-(c_TMAP1IN))*((c_TMAP2OUT)-(c_TMAP1OUT))+IF(((c_TMAP2OUT)-(c_TMAP1OUT))&gt;=0,1,-1)*QUOTIENT(((c_TMAP2IN)-(c_TMAP1IN)),2)))&gt;=0,1,0)))</f>
        <v>390</v>
      </c>
      <c r="G78" s="7" t="n">
        <f aca="false">IF(((c_TMAP3IN)-(c_TMAP2IN))=0,(c_TMAP2OUT)+QUOTIENT(((c_TMAP3OUT)-(c_TMAP2OUT)),2),QUOTIENT((((C78)-(c_TMAP2IN))*((c_TMAP3OUT)-(c_TMAP2OUT))+IF(((c_TMAP3OUT)-(c_TMAP2OUT))&gt;=0,1,-1)*QUOTIENT(((c_TMAP3IN)-(c_TMAP2IN)),2)),((c_TMAP3IN)-(c_TMAP2IN)))+(c_TMAP2OUT)+IF(((c_TMAP3OUT)-(c_TMAP2OUT))&gt;=0,IF(IF(o_WRAP=1,MOD(((c_TMAP3IN)-(c_TMAP2IN))*(((C78)-(c_TMAP2IN))*((c_TMAP3OUT)-(c_TMAP2OUT))+IF(((c_TMAP3OUT)-(c_TMAP2OUT))&gt;=0,1,-1)*QUOTIENT(((c_TMAP3IN)-(c_TMAP2IN)),2))+2147483648,4294967296)-2147483648,((c_TMAP3IN)-(c_TMAP2IN))*(((C78)-(c_TMAP2IN))*((c_TMAP3OUT)-(c_TMAP2OUT))+IF(((c_TMAP3OUT)-(c_TMAP2OUT))&gt;=0,1,-1)*QUOTIENT(((c_TMAP3IN)-(c_TMAP2IN)),2)))&lt;0,-1,0),IF(IF(o_WRAP=1,MOD(((c_TMAP3IN)-(c_TMAP2IN))*(((C78)-(c_TMAP2IN))*((c_TMAP3OUT)-(c_TMAP2OUT))+IF(((c_TMAP3OUT)-(c_TMAP2OUT))&gt;=0,1,-1)*QUOTIENT(((c_TMAP3IN)-(c_TMAP2IN)),2))+2147483648,4294967296)-2147483648,((c_TMAP3IN)-(c_TMAP2IN))*(((C78)-(c_TMAP2IN))*((c_TMAP3OUT)-(c_TMAP2OUT))+IF(((c_TMAP3OUT)-(c_TMAP2OUT))&gt;=0,1,-1)*QUOTIENT(((c_TMAP3IN)-(c_TMAP2IN)),2)))&gt;=0,1,0)))</f>
        <v>585</v>
      </c>
      <c r="H78" s="7" t="n">
        <f aca="false">IF(((1000)-(c_TMAP3IN))=0,(c_TMAP3OUT)+QUOTIENT(((1000)-(c_TMAP3OUT)),2),QUOTIENT((((C78)-(c_TMAP3IN))*((1000)-(c_TMAP3OUT))+IF(((1000)-(c_TMAP3OUT))&gt;=0,1,-1)*QUOTIENT(((1000)-(c_TMAP3IN)),2)),((1000)-(c_TMAP3IN)))+(c_TMAP3OUT)+IF(((1000)-(c_TMAP3OUT))&gt;=0,IF(IF(o_WRAP=1,MOD(((1000)-(c_TMAP3IN))*(((C78)-(c_TMAP3IN))*((1000)-(c_TMAP3OUT))+IF(((1000)-(c_TMAP3OUT))&gt;=0,1,-1)*QUOTIENT(((1000)-(c_TMAP3IN)),2))+2147483648,4294967296)-2147483648,((1000)-(c_TMAP3IN))*(((C78)-(c_TMAP3IN))*((1000)-(c_TMAP3OUT))+IF(((1000)-(c_TMAP3OUT))&gt;=0,1,-1)*QUOTIENT(((1000)-(c_TMAP3IN)),2)))&lt;0,-1,0),IF(IF(o_WRAP=1,MOD(((1000)-(c_TMAP3IN))*(((C78)-(c_TMAP3IN))*((1000)-(c_TMAP3OUT))+IF(((1000)-(c_TMAP3OUT))&gt;=0,1,-1)*QUOTIENT(((1000)-(c_TMAP3IN)),2))+2147483648,4294967296)-2147483648,((1000)-(c_TMAP3IN))*(((C78)-(c_TMAP3IN))*((1000)-(c_TMAP3OUT))+IF(((1000)-(c_TMAP3OUT))&gt;=0,1,-1)*QUOTIENT(((1000)-(c_TMAP3IN)),2)))&gt;=0,1,0)))</f>
        <v>877</v>
      </c>
      <c r="I78" s="7" t="n">
        <f aca="false">IF(C78&gt;=c_TFWD,IF(AND(C78&gt;=c_TMAP3IN,c_TMAP3IN&lt;1000),H78,IF(AND(C78&gt;=c_TMAP2IN,c_TMAP3IN&gt;c_TMAP2IN),G78,IF(AND(C78&gt;=c_TMAP1IN,c_TMAP2IN&gt;c_TMAP1IN),F78,E78))),D78)</f>
        <v>877</v>
      </c>
      <c r="J78" s="7" t="str">
        <f aca="false">IF(I78&lt;-1090,"TOO LOW",IF(I78&gt;1090,"TOO HIGH",""))</f>
        <v/>
      </c>
      <c r="K78" s="7" t="n">
        <f aca="false">IF(J78&lt;&gt;"",0,IF(I78&gt;979,1000,I78))</f>
        <v>877</v>
      </c>
      <c r="L78" s="7" t="n">
        <f aca="false">IF(OR(c_TSMOOTH=0,K78&gt;=c_TSMOOTHCUT),1,0)</f>
        <v>1</v>
      </c>
      <c r="M78" s="7" t="n">
        <f aca="false">IF(L78=1,0,M77+1)</f>
        <v>0</v>
      </c>
      <c r="N78" s="7" t="n">
        <f aca="false">IF(L78=1,0,MIN(M78,c_TSMOOTH))</f>
        <v>0</v>
      </c>
      <c r="O78" s="7" t="n">
        <f aca="false">IF(COUNTIF($L$5:L78,1)&gt;0,c_TSMOOTHCUT,0)</f>
        <v>400</v>
      </c>
      <c r="P78" s="15" t="n">
        <f aca="true">IF(L78=1,K78,QUOTIENT(SUM(OFFSET(K78,1-N78,0,N78,1))+(c_TSMOOTH-N78)*O78,c_TSMOOTH))</f>
        <v>877</v>
      </c>
      <c r="Q78" s="7" t="n">
        <f aca="false">K78/10</f>
        <v>87.7</v>
      </c>
      <c r="R78" s="7" t="n">
        <f aca="false">P78/10</f>
        <v>87.7</v>
      </c>
    </row>
    <row r="79" customFormat="false" ht="15" hidden="false" customHeight="false" outlineLevel="0" collapsed="false">
      <c r="A79" s="7" t="n">
        <v>74</v>
      </c>
      <c r="B79" s="7" t="n">
        <f aca="false">A79*0.04</f>
        <v>2.96</v>
      </c>
      <c r="C79" s="18" t="n">
        <v>900</v>
      </c>
      <c r="D79" s="7" t="n">
        <f aca="false">IF(AND(C79=0,c_TCREEP&gt;0),10*c_TCREEP,IF(AND(C79&lt;=c_TRNGMIN,C79&gt;=c_TRNGMAX,c_TRNGMIN-c_TRNGMAX&lt;&gt;0),-10*c_TMINRN+QUOTIENT((c_TMAXRN-c_TMINRN)*(100-QUOTIENT((C79-c_TRNGMAX)*100,c_TRNGMIN-c_TRNGMAX)),-10),0))</f>
        <v>0</v>
      </c>
      <c r="E79" s="7" t="n">
        <f aca="false">IF(((c_TMAP1IN)-(c_TFWD))=0,(0)+QUOTIENT(((c_TMAP1OUT)-(0)),2),QUOTIENT((((C79)-(c_TFWD))*((c_TMAP1OUT)-(0))+IF(((c_TMAP1OUT)-(0))&gt;=0,1,-1)*QUOTIENT(((c_TMAP1IN)-(c_TFWD)),2)),((c_TMAP1IN)-(c_TFWD)))+(0)+IF(((c_TMAP1OUT)-(0))&gt;=0,IF(IF(o_WRAP=1,MOD(((c_TMAP1IN)-(c_TFWD))*(((C79)-(c_TFWD))*((c_TMAP1OUT)-(0))+IF(((c_TMAP1OUT)-(0))&gt;=0,1,-1)*QUOTIENT(((c_TMAP1IN)-(c_TFWD)),2))+2147483648,4294967296)-2147483648,((c_TMAP1IN)-(c_TFWD))*(((C79)-(c_TFWD))*((c_TMAP1OUT)-(0))+IF(((c_TMAP1OUT)-(0))&gt;=0,1,-1)*QUOTIENT(((c_TMAP1IN)-(c_TFWD)),2)))&lt;0,-1,0),IF(IF(o_WRAP=1,MOD(((c_TMAP1IN)-(c_TFWD))*(((C79)-(c_TFWD))*((c_TMAP1OUT)-(0))+IF(((c_TMAP1OUT)-(0))&gt;=0,1,-1)*QUOTIENT(((c_TMAP1IN)-(c_TFWD)),2))+2147483648,4294967296)-2147483648,((c_TMAP1IN)-(c_TFWD))*(((C79)-(c_TFWD))*((c_TMAP1OUT)-(0))+IF(((c_TMAP1OUT)-(0))&gt;=0,1,-1)*QUOTIENT(((c_TMAP1IN)-(c_TFWD)),2)))&gt;=0,1,0)))</f>
        <v>692</v>
      </c>
      <c r="F79" s="7" t="n">
        <f aca="false">IF(((c_TMAP2IN)-(c_TMAP1IN))=0,(c_TMAP1OUT)+QUOTIENT(((c_TMAP2OUT)-(c_TMAP1OUT)),2),QUOTIENT((((C79)-(c_TMAP1IN))*((c_TMAP2OUT)-(c_TMAP1OUT))+IF(((c_TMAP2OUT)-(c_TMAP1OUT))&gt;=0,1,-1)*QUOTIENT(((c_TMAP2IN)-(c_TMAP1IN)),2)),((c_TMAP2IN)-(c_TMAP1IN)))+(c_TMAP1OUT)+IF(((c_TMAP2OUT)-(c_TMAP1OUT))&gt;=0,IF(IF(o_WRAP=1,MOD(((c_TMAP2IN)-(c_TMAP1IN))*(((C79)-(c_TMAP1IN))*((c_TMAP2OUT)-(c_TMAP1OUT))+IF(((c_TMAP2OUT)-(c_TMAP1OUT))&gt;=0,1,-1)*QUOTIENT(((c_TMAP2IN)-(c_TMAP1IN)),2))+2147483648,4294967296)-2147483648,((c_TMAP2IN)-(c_TMAP1IN))*(((C79)-(c_TMAP1IN))*((c_TMAP2OUT)-(c_TMAP1OUT))+IF(((c_TMAP2OUT)-(c_TMAP1OUT))&gt;=0,1,-1)*QUOTIENT(((c_TMAP2IN)-(c_TMAP1IN)),2)))&lt;0,-1,0),IF(IF(o_WRAP=1,MOD(((c_TMAP2IN)-(c_TMAP1IN))*(((C79)-(c_TMAP1IN))*((c_TMAP2OUT)-(c_TMAP1OUT))+IF(((c_TMAP2OUT)-(c_TMAP1OUT))&gt;=0,1,-1)*QUOTIENT(((c_TMAP2IN)-(c_TMAP1IN)),2))+2147483648,4294967296)-2147483648,((c_TMAP2IN)-(c_TMAP1IN))*(((C79)-(c_TMAP1IN))*((c_TMAP2OUT)-(c_TMAP1OUT))+IF(((c_TMAP2OUT)-(c_TMAP1OUT))&gt;=0,1,-1)*QUOTIENT(((c_TMAP2IN)-(c_TMAP1IN)),2)))&gt;=0,1,0)))</f>
        <v>390</v>
      </c>
      <c r="G79" s="7" t="n">
        <f aca="false">IF(((c_TMAP3IN)-(c_TMAP2IN))=0,(c_TMAP2OUT)+QUOTIENT(((c_TMAP3OUT)-(c_TMAP2OUT)),2),QUOTIENT((((C79)-(c_TMAP2IN))*((c_TMAP3OUT)-(c_TMAP2OUT))+IF(((c_TMAP3OUT)-(c_TMAP2OUT))&gt;=0,1,-1)*QUOTIENT(((c_TMAP3IN)-(c_TMAP2IN)),2)),((c_TMAP3IN)-(c_TMAP2IN)))+(c_TMAP2OUT)+IF(((c_TMAP3OUT)-(c_TMAP2OUT))&gt;=0,IF(IF(o_WRAP=1,MOD(((c_TMAP3IN)-(c_TMAP2IN))*(((C79)-(c_TMAP2IN))*((c_TMAP3OUT)-(c_TMAP2OUT))+IF(((c_TMAP3OUT)-(c_TMAP2OUT))&gt;=0,1,-1)*QUOTIENT(((c_TMAP3IN)-(c_TMAP2IN)),2))+2147483648,4294967296)-2147483648,((c_TMAP3IN)-(c_TMAP2IN))*(((C79)-(c_TMAP2IN))*((c_TMAP3OUT)-(c_TMAP2OUT))+IF(((c_TMAP3OUT)-(c_TMAP2OUT))&gt;=0,1,-1)*QUOTIENT(((c_TMAP3IN)-(c_TMAP2IN)),2)))&lt;0,-1,0),IF(IF(o_WRAP=1,MOD(((c_TMAP3IN)-(c_TMAP2IN))*(((C79)-(c_TMAP2IN))*((c_TMAP3OUT)-(c_TMAP2OUT))+IF(((c_TMAP3OUT)-(c_TMAP2OUT))&gt;=0,1,-1)*QUOTIENT(((c_TMAP3IN)-(c_TMAP2IN)),2))+2147483648,4294967296)-2147483648,((c_TMAP3IN)-(c_TMAP2IN))*(((C79)-(c_TMAP2IN))*((c_TMAP3OUT)-(c_TMAP2OUT))+IF(((c_TMAP3OUT)-(c_TMAP2OUT))&gt;=0,1,-1)*QUOTIENT(((c_TMAP3IN)-(c_TMAP2IN)),2)))&gt;=0,1,0)))</f>
        <v>585</v>
      </c>
      <c r="H79" s="7" t="n">
        <f aca="false">IF(((1000)-(c_TMAP3IN))=0,(c_TMAP3OUT)+QUOTIENT(((1000)-(c_TMAP3OUT)),2),QUOTIENT((((C79)-(c_TMAP3IN))*((1000)-(c_TMAP3OUT))+IF(((1000)-(c_TMAP3OUT))&gt;=0,1,-1)*QUOTIENT(((1000)-(c_TMAP3IN)),2)),((1000)-(c_TMAP3IN)))+(c_TMAP3OUT)+IF(((1000)-(c_TMAP3OUT))&gt;=0,IF(IF(o_WRAP=1,MOD(((1000)-(c_TMAP3IN))*(((C79)-(c_TMAP3IN))*((1000)-(c_TMAP3OUT))+IF(((1000)-(c_TMAP3OUT))&gt;=0,1,-1)*QUOTIENT(((1000)-(c_TMAP3IN)),2))+2147483648,4294967296)-2147483648,((1000)-(c_TMAP3IN))*(((C79)-(c_TMAP3IN))*((1000)-(c_TMAP3OUT))+IF(((1000)-(c_TMAP3OUT))&gt;=0,1,-1)*QUOTIENT(((1000)-(c_TMAP3IN)),2)))&lt;0,-1,0),IF(IF(o_WRAP=1,MOD(((1000)-(c_TMAP3IN))*(((C79)-(c_TMAP3IN))*((1000)-(c_TMAP3OUT))+IF(((1000)-(c_TMAP3OUT))&gt;=0,1,-1)*QUOTIENT(((1000)-(c_TMAP3IN)),2))+2147483648,4294967296)-2147483648,((1000)-(c_TMAP3IN))*(((C79)-(c_TMAP3IN))*((1000)-(c_TMAP3OUT))+IF(((1000)-(c_TMAP3OUT))&gt;=0,1,-1)*QUOTIENT(((1000)-(c_TMAP3IN)),2)))&gt;=0,1,0)))</f>
        <v>877</v>
      </c>
      <c r="I79" s="7" t="n">
        <f aca="false">IF(C79&gt;=c_TFWD,IF(AND(C79&gt;=c_TMAP3IN,c_TMAP3IN&lt;1000),H79,IF(AND(C79&gt;=c_TMAP2IN,c_TMAP3IN&gt;c_TMAP2IN),G79,IF(AND(C79&gt;=c_TMAP1IN,c_TMAP2IN&gt;c_TMAP1IN),F79,E79))),D79)</f>
        <v>877</v>
      </c>
      <c r="J79" s="7" t="str">
        <f aca="false">IF(I79&lt;-1090,"TOO LOW",IF(I79&gt;1090,"TOO HIGH",""))</f>
        <v/>
      </c>
      <c r="K79" s="7" t="n">
        <f aca="false">IF(J79&lt;&gt;"",0,IF(I79&gt;979,1000,I79))</f>
        <v>877</v>
      </c>
      <c r="L79" s="7" t="n">
        <f aca="false">IF(OR(c_TSMOOTH=0,K79&gt;=c_TSMOOTHCUT),1,0)</f>
        <v>1</v>
      </c>
      <c r="M79" s="7" t="n">
        <f aca="false">IF(L79=1,0,M78+1)</f>
        <v>0</v>
      </c>
      <c r="N79" s="7" t="n">
        <f aca="false">IF(L79=1,0,MIN(M79,c_TSMOOTH))</f>
        <v>0</v>
      </c>
      <c r="O79" s="7" t="n">
        <f aca="false">IF(COUNTIF($L$5:L79,1)&gt;0,c_TSMOOTHCUT,0)</f>
        <v>400</v>
      </c>
      <c r="P79" s="15" t="n">
        <f aca="true">IF(L79=1,K79,QUOTIENT(SUM(OFFSET(K79,1-N79,0,N79,1))+(c_TSMOOTH-N79)*O79,c_TSMOOTH))</f>
        <v>877</v>
      </c>
      <c r="Q79" s="7" t="n">
        <f aca="false">K79/10</f>
        <v>87.7</v>
      </c>
      <c r="R79" s="7" t="n">
        <f aca="false">P79/10</f>
        <v>87.7</v>
      </c>
    </row>
    <row r="80" customFormat="false" ht="15" hidden="false" customHeight="false" outlineLevel="0" collapsed="false">
      <c r="A80" s="7" t="n">
        <v>75</v>
      </c>
      <c r="B80" s="7" t="n">
        <f aca="false">A80*0.04</f>
        <v>3</v>
      </c>
      <c r="C80" s="18" t="n">
        <v>900</v>
      </c>
      <c r="D80" s="7" t="n">
        <f aca="false">IF(AND(C80=0,c_TCREEP&gt;0),10*c_TCREEP,IF(AND(C80&lt;=c_TRNGMIN,C80&gt;=c_TRNGMAX,c_TRNGMIN-c_TRNGMAX&lt;&gt;0),-10*c_TMINRN+QUOTIENT((c_TMAXRN-c_TMINRN)*(100-QUOTIENT((C80-c_TRNGMAX)*100,c_TRNGMIN-c_TRNGMAX)),-10),0))</f>
        <v>0</v>
      </c>
      <c r="E80" s="7" t="n">
        <f aca="false">IF(((c_TMAP1IN)-(c_TFWD))=0,(0)+QUOTIENT(((c_TMAP1OUT)-(0)),2),QUOTIENT((((C80)-(c_TFWD))*((c_TMAP1OUT)-(0))+IF(((c_TMAP1OUT)-(0))&gt;=0,1,-1)*QUOTIENT(((c_TMAP1IN)-(c_TFWD)),2)),((c_TMAP1IN)-(c_TFWD)))+(0)+IF(((c_TMAP1OUT)-(0))&gt;=0,IF(IF(o_WRAP=1,MOD(((c_TMAP1IN)-(c_TFWD))*(((C80)-(c_TFWD))*((c_TMAP1OUT)-(0))+IF(((c_TMAP1OUT)-(0))&gt;=0,1,-1)*QUOTIENT(((c_TMAP1IN)-(c_TFWD)),2))+2147483648,4294967296)-2147483648,((c_TMAP1IN)-(c_TFWD))*(((C80)-(c_TFWD))*((c_TMAP1OUT)-(0))+IF(((c_TMAP1OUT)-(0))&gt;=0,1,-1)*QUOTIENT(((c_TMAP1IN)-(c_TFWD)),2)))&lt;0,-1,0),IF(IF(o_WRAP=1,MOD(((c_TMAP1IN)-(c_TFWD))*(((C80)-(c_TFWD))*((c_TMAP1OUT)-(0))+IF(((c_TMAP1OUT)-(0))&gt;=0,1,-1)*QUOTIENT(((c_TMAP1IN)-(c_TFWD)),2))+2147483648,4294967296)-2147483648,((c_TMAP1IN)-(c_TFWD))*(((C80)-(c_TFWD))*((c_TMAP1OUT)-(0))+IF(((c_TMAP1OUT)-(0))&gt;=0,1,-1)*QUOTIENT(((c_TMAP1IN)-(c_TFWD)),2)))&gt;=0,1,0)))</f>
        <v>692</v>
      </c>
      <c r="F80" s="7" t="n">
        <f aca="false">IF(((c_TMAP2IN)-(c_TMAP1IN))=0,(c_TMAP1OUT)+QUOTIENT(((c_TMAP2OUT)-(c_TMAP1OUT)),2),QUOTIENT((((C80)-(c_TMAP1IN))*((c_TMAP2OUT)-(c_TMAP1OUT))+IF(((c_TMAP2OUT)-(c_TMAP1OUT))&gt;=0,1,-1)*QUOTIENT(((c_TMAP2IN)-(c_TMAP1IN)),2)),((c_TMAP2IN)-(c_TMAP1IN)))+(c_TMAP1OUT)+IF(((c_TMAP2OUT)-(c_TMAP1OUT))&gt;=0,IF(IF(o_WRAP=1,MOD(((c_TMAP2IN)-(c_TMAP1IN))*(((C80)-(c_TMAP1IN))*((c_TMAP2OUT)-(c_TMAP1OUT))+IF(((c_TMAP2OUT)-(c_TMAP1OUT))&gt;=0,1,-1)*QUOTIENT(((c_TMAP2IN)-(c_TMAP1IN)),2))+2147483648,4294967296)-2147483648,((c_TMAP2IN)-(c_TMAP1IN))*(((C80)-(c_TMAP1IN))*((c_TMAP2OUT)-(c_TMAP1OUT))+IF(((c_TMAP2OUT)-(c_TMAP1OUT))&gt;=0,1,-1)*QUOTIENT(((c_TMAP2IN)-(c_TMAP1IN)),2)))&lt;0,-1,0),IF(IF(o_WRAP=1,MOD(((c_TMAP2IN)-(c_TMAP1IN))*(((C80)-(c_TMAP1IN))*((c_TMAP2OUT)-(c_TMAP1OUT))+IF(((c_TMAP2OUT)-(c_TMAP1OUT))&gt;=0,1,-1)*QUOTIENT(((c_TMAP2IN)-(c_TMAP1IN)),2))+2147483648,4294967296)-2147483648,((c_TMAP2IN)-(c_TMAP1IN))*(((C80)-(c_TMAP1IN))*((c_TMAP2OUT)-(c_TMAP1OUT))+IF(((c_TMAP2OUT)-(c_TMAP1OUT))&gt;=0,1,-1)*QUOTIENT(((c_TMAP2IN)-(c_TMAP1IN)),2)))&gt;=0,1,0)))</f>
        <v>390</v>
      </c>
      <c r="G80" s="7" t="n">
        <f aca="false">IF(((c_TMAP3IN)-(c_TMAP2IN))=0,(c_TMAP2OUT)+QUOTIENT(((c_TMAP3OUT)-(c_TMAP2OUT)),2),QUOTIENT((((C80)-(c_TMAP2IN))*((c_TMAP3OUT)-(c_TMAP2OUT))+IF(((c_TMAP3OUT)-(c_TMAP2OUT))&gt;=0,1,-1)*QUOTIENT(((c_TMAP3IN)-(c_TMAP2IN)),2)),((c_TMAP3IN)-(c_TMAP2IN)))+(c_TMAP2OUT)+IF(((c_TMAP3OUT)-(c_TMAP2OUT))&gt;=0,IF(IF(o_WRAP=1,MOD(((c_TMAP3IN)-(c_TMAP2IN))*(((C80)-(c_TMAP2IN))*((c_TMAP3OUT)-(c_TMAP2OUT))+IF(((c_TMAP3OUT)-(c_TMAP2OUT))&gt;=0,1,-1)*QUOTIENT(((c_TMAP3IN)-(c_TMAP2IN)),2))+2147483648,4294967296)-2147483648,((c_TMAP3IN)-(c_TMAP2IN))*(((C80)-(c_TMAP2IN))*((c_TMAP3OUT)-(c_TMAP2OUT))+IF(((c_TMAP3OUT)-(c_TMAP2OUT))&gt;=0,1,-1)*QUOTIENT(((c_TMAP3IN)-(c_TMAP2IN)),2)))&lt;0,-1,0),IF(IF(o_WRAP=1,MOD(((c_TMAP3IN)-(c_TMAP2IN))*(((C80)-(c_TMAP2IN))*((c_TMAP3OUT)-(c_TMAP2OUT))+IF(((c_TMAP3OUT)-(c_TMAP2OUT))&gt;=0,1,-1)*QUOTIENT(((c_TMAP3IN)-(c_TMAP2IN)),2))+2147483648,4294967296)-2147483648,((c_TMAP3IN)-(c_TMAP2IN))*(((C80)-(c_TMAP2IN))*((c_TMAP3OUT)-(c_TMAP2OUT))+IF(((c_TMAP3OUT)-(c_TMAP2OUT))&gt;=0,1,-1)*QUOTIENT(((c_TMAP3IN)-(c_TMAP2IN)),2)))&gt;=0,1,0)))</f>
        <v>585</v>
      </c>
      <c r="H80" s="7" t="n">
        <f aca="false">IF(((1000)-(c_TMAP3IN))=0,(c_TMAP3OUT)+QUOTIENT(((1000)-(c_TMAP3OUT)),2),QUOTIENT((((C80)-(c_TMAP3IN))*((1000)-(c_TMAP3OUT))+IF(((1000)-(c_TMAP3OUT))&gt;=0,1,-1)*QUOTIENT(((1000)-(c_TMAP3IN)),2)),((1000)-(c_TMAP3IN)))+(c_TMAP3OUT)+IF(((1000)-(c_TMAP3OUT))&gt;=0,IF(IF(o_WRAP=1,MOD(((1000)-(c_TMAP3IN))*(((C80)-(c_TMAP3IN))*((1000)-(c_TMAP3OUT))+IF(((1000)-(c_TMAP3OUT))&gt;=0,1,-1)*QUOTIENT(((1000)-(c_TMAP3IN)),2))+2147483648,4294967296)-2147483648,((1000)-(c_TMAP3IN))*(((C80)-(c_TMAP3IN))*((1000)-(c_TMAP3OUT))+IF(((1000)-(c_TMAP3OUT))&gt;=0,1,-1)*QUOTIENT(((1000)-(c_TMAP3IN)),2)))&lt;0,-1,0),IF(IF(o_WRAP=1,MOD(((1000)-(c_TMAP3IN))*(((C80)-(c_TMAP3IN))*((1000)-(c_TMAP3OUT))+IF(((1000)-(c_TMAP3OUT))&gt;=0,1,-1)*QUOTIENT(((1000)-(c_TMAP3IN)),2))+2147483648,4294967296)-2147483648,((1000)-(c_TMAP3IN))*(((C80)-(c_TMAP3IN))*((1000)-(c_TMAP3OUT))+IF(((1000)-(c_TMAP3OUT))&gt;=0,1,-1)*QUOTIENT(((1000)-(c_TMAP3IN)),2)))&gt;=0,1,0)))</f>
        <v>877</v>
      </c>
      <c r="I80" s="7" t="n">
        <f aca="false">IF(C80&gt;=c_TFWD,IF(AND(C80&gt;=c_TMAP3IN,c_TMAP3IN&lt;1000),H80,IF(AND(C80&gt;=c_TMAP2IN,c_TMAP3IN&gt;c_TMAP2IN),G80,IF(AND(C80&gt;=c_TMAP1IN,c_TMAP2IN&gt;c_TMAP1IN),F80,E80))),D80)</f>
        <v>877</v>
      </c>
      <c r="J80" s="7" t="str">
        <f aca="false">IF(I80&lt;-1090,"TOO LOW",IF(I80&gt;1090,"TOO HIGH",""))</f>
        <v/>
      </c>
      <c r="K80" s="7" t="n">
        <f aca="false">IF(J80&lt;&gt;"",0,IF(I80&gt;979,1000,I80))</f>
        <v>877</v>
      </c>
      <c r="L80" s="7" t="n">
        <f aca="false">IF(OR(c_TSMOOTH=0,K80&gt;=c_TSMOOTHCUT),1,0)</f>
        <v>1</v>
      </c>
      <c r="M80" s="7" t="n">
        <f aca="false">IF(L80=1,0,M79+1)</f>
        <v>0</v>
      </c>
      <c r="N80" s="7" t="n">
        <f aca="false">IF(L80=1,0,MIN(M80,c_TSMOOTH))</f>
        <v>0</v>
      </c>
      <c r="O80" s="7" t="n">
        <f aca="false">IF(COUNTIF($L$5:L80,1)&gt;0,c_TSMOOTHCUT,0)</f>
        <v>400</v>
      </c>
      <c r="P80" s="15" t="n">
        <f aca="true">IF(L80=1,K80,QUOTIENT(SUM(OFFSET(K80,1-N80,0,N80,1))+(c_TSMOOTH-N80)*O80,c_TSMOOTH))</f>
        <v>877</v>
      </c>
      <c r="Q80" s="7" t="n">
        <f aca="false">K80/10</f>
        <v>87.7</v>
      </c>
      <c r="R80" s="7" t="n">
        <f aca="false">P80/10</f>
        <v>87.7</v>
      </c>
    </row>
    <row r="81" customFormat="false" ht="15" hidden="false" customHeight="false" outlineLevel="0" collapsed="false">
      <c r="A81" s="7" t="n">
        <v>76</v>
      </c>
      <c r="B81" s="7" t="n">
        <f aca="false">A81*0.04</f>
        <v>3.04</v>
      </c>
      <c r="C81" s="18" t="n">
        <v>900</v>
      </c>
      <c r="D81" s="7" t="n">
        <f aca="false">IF(AND(C81=0,c_TCREEP&gt;0),10*c_TCREEP,IF(AND(C81&lt;=c_TRNGMIN,C81&gt;=c_TRNGMAX,c_TRNGMIN-c_TRNGMAX&lt;&gt;0),-10*c_TMINRN+QUOTIENT((c_TMAXRN-c_TMINRN)*(100-QUOTIENT((C81-c_TRNGMAX)*100,c_TRNGMIN-c_TRNGMAX)),-10),0))</f>
        <v>0</v>
      </c>
      <c r="E81" s="7" t="n">
        <f aca="false">IF(((c_TMAP1IN)-(c_TFWD))=0,(0)+QUOTIENT(((c_TMAP1OUT)-(0)),2),QUOTIENT((((C81)-(c_TFWD))*((c_TMAP1OUT)-(0))+IF(((c_TMAP1OUT)-(0))&gt;=0,1,-1)*QUOTIENT(((c_TMAP1IN)-(c_TFWD)),2)),((c_TMAP1IN)-(c_TFWD)))+(0)+IF(((c_TMAP1OUT)-(0))&gt;=0,IF(IF(o_WRAP=1,MOD(((c_TMAP1IN)-(c_TFWD))*(((C81)-(c_TFWD))*((c_TMAP1OUT)-(0))+IF(((c_TMAP1OUT)-(0))&gt;=0,1,-1)*QUOTIENT(((c_TMAP1IN)-(c_TFWD)),2))+2147483648,4294967296)-2147483648,((c_TMAP1IN)-(c_TFWD))*(((C81)-(c_TFWD))*((c_TMAP1OUT)-(0))+IF(((c_TMAP1OUT)-(0))&gt;=0,1,-1)*QUOTIENT(((c_TMAP1IN)-(c_TFWD)),2)))&lt;0,-1,0),IF(IF(o_WRAP=1,MOD(((c_TMAP1IN)-(c_TFWD))*(((C81)-(c_TFWD))*((c_TMAP1OUT)-(0))+IF(((c_TMAP1OUT)-(0))&gt;=0,1,-1)*QUOTIENT(((c_TMAP1IN)-(c_TFWD)),2))+2147483648,4294967296)-2147483648,((c_TMAP1IN)-(c_TFWD))*(((C81)-(c_TFWD))*((c_TMAP1OUT)-(0))+IF(((c_TMAP1OUT)-(0))&gt;=0,1,-1)*QUOTIENT(((c_TMAP1IN)-(c_TFWD)),2)))&gt;=0,1,0)))</f>
        <v>692</v>
      </c>
      <c r="F81" s="7" t="n">
        <f aca="false">IF(((c_TMAP2IN)-(c_TMAP1IN))=0,(c_TMAP1OUT)+QUOTIENT(((c_TMAP2OUT)-(c_TMAP1OUT)),2),QUOTIENT((((C81)-(c_TMAP1IN))*((c_TMAP2OUT)-(c_TMAP1OUT))+IF(((c_TMAP2OUT)-(c_TMAP1OUT))&gt;=0,1,-1)*QUOTIENT(((c_TMAP2IN)-(c_TMAP1IN)),2)),((c_TMAP2IN)-(c_TMAP1IN)))+(c_TMAP1OUT)+IF(((c_TMAP2OUT)-(c_TMAP1OUT))&gt;=0,IF(IF(o_WRAP=1,MOD(((c_TMAP2IN)-(c_TMAP1IN))*(((C81)-(c_TMAP1IN))*((c_TMAP2OUT)-(c_TMAP1OUT))+IF(((c_TMAP2OUT)-(c_TMAP1OUT))&gt;=0,1,-1)*QUOTIENT(((c_TMAP2IN)-(c_TMAP1IN)),2))+2147483648,4294967296)-2147483648,((c_TMAP2IN)-(c_TMAP1IN))*(((C81)-(c_TMAP1IN))*((c_TMAP2OUT)-(c_TMAP1OUT))+IF(((c_TMAP2OUT)-(c_TMAP1OUT))&gt;=0,1,-1)*QUOTIENT(((c_TMAP2IN)-(c_TMAP1IN)),2)))&lt;0,-1,0),IF(IF(o_WRAP=1,MOD(((c_TMAP2IN)-(c_TMAP1IN))*(((C81)-(c_TMAP1IN))*((c_TMAP2OUT)-(c_TMAP1OUT))+IF(((c_TMAP2OUT)-(c_TMAP1OUT))&gt;=0,1,-1)*QUOTIENT(((c_TMAP2IN)-(c_TMAP1IN)),2))+2147483648,4294967296)-2147483648,((c_TMAP2IN)-(c_TMAP1IN))*(((C81)-(c_TMAP1IN))*((c_TMAP2OUT)-(c_TMAP1OUT))+IF(((c_TMAP2OUT)-(c_TMAP1OUT))&gt;=0,1,-1)*QUOTIENT(((c_TMAP2IN)-(c_TMAP1IN)),2)))&gt;=0,1,0)))</f>
        <v>390</v>
      </c>
      <c r="G81" s="7" t="n">
        <f aca="false">IF(((c_TMAP3IN)-(c_TMAP2IN))=0,(c_TMAP2OUT)+QUOTIENT(((c_TMAP3OUT)-(c_TMAP2OUT)),2),QUOTIENT((((C81)-(c_TMAP2IN))*((c_TMAP3OUT)-(c_TMAP2OUT))+IF(((c_TMAP3OUT)-(c_TMAP2OUT))&gt;=0,1,-1)*QUOTIENT(((c_TMAP3IN)-(c_TMAP2IN)),2)),((c_TMAP3IN)-(c_TMAP2IN)))+(c_TMAP2OUT)+IF(((c_TMAP3OUT)-(c_TMAP2OUT))&gt;=0,IF(IF(o_WRAP=1,MOD(((c_TMAP3IN)-(c_TMAP2IN))*(((C81)-(c_TMAP2IN))*((c_TMAP3OUT)-(c_TMAP2OUT))+IF(((c_TMAP3OUT)-(c_TMAP2OUT))&gt;=0,1,-1)*QUOTIENT(((c_TMAP3IN)-(c_TMAP2IN)),2))+2147483648,4294967296)-2147483648,((c_TMAP3IN)-(c_TMAP2IN))*(((C81)-(c_TMAP2IN))*((c_TMAP3OUT)-(c_TMAP2OUT))+IF(((c_TMAP3OUT)-(c_TMAP2OUT))&gt;=0,1,-1)*QUOTIENT(((c_TMAP3IN)-(c_TMAP2IN)),2)))&lt;0,-1,0),IF(IF(o_WRAP=1,MOD(((c_TMAP3IN)-(c_TMAP2IN))*(((C81)-(c_TMAP2IN))*((c_TMAP3OUT)-(c_TMAP2OUT))+IF(((c_TMAP3OUT)-(c_TMAP2OUT))&gt;=0,1,-1)*QUOTIENT(((c_TMAP3IN)-(c_TMAP2IN)),2))+2147483648,4294967296)-2147483648,((c_TMAP3IN)-(c_TMAP2IN))*(((C81)-(c_TMAP2IN))*((c_TMAP3OUT)-(c_TMAP2OUT))+IF(((c_TMAP3OUT)-(c_TMAP2OUT))&gt;=0,1,-1)*QUOTIENT(((c_TMAP3IN)-(c_TMAP2IN)),2)))&gt;=0,1,0)))</f>
        <v>585</v>
      </c>
      <c r="H81" s="7" t="n">
        <f aca="false">IF(((1000)-(c_TMAP3IN))=0,(c_TMAP3OUT)+QUOTIENT(((1000)-(c_TMAP3OUT)),2),QUOTIENT((((C81)-(c_TMAP3IN))*((1000)-(c_TMAP3OUT))+IF(((1000)-(c_TMAP3OUT))&gt;=0,1,-1)*QUOTIENT(((1000)-(c_TMAP3IN)),2)),((1000)-(c_TMAP3IN)))+(c_TMAP3OUT)+IF(((1000)-(c_TMAP3OUT))&gt;=0,IF(IF(o_WRAP=1,MOD(((1000)-(c_TMAP3IN))*(((C81)-(c_TMAP3IN))*((1000)-(c_TMAP3OUT))+IF(((1000)-(c_TMAP3OUT))&gt;=0,1,-1)*QUOTIENT(((1000)-(c_TMAP3IN)),2))+2147483648,4294967296)-2147483648,((1000)-(c_TMAP3IN))*(((C81)-(c_TMAP3IN))*((1000)-(c_TMAP3OUT))+IF(((1000)-(c_TMAP3OUT))&gt;=0,1,-1)*QUOTIENT(((1000)-(c_TMAP3IN)),2)))&lt;0,-1,0),IF(IF(o_WRAP=1,MOD(((1000)-(c_TMAP3IN))*(((C81)-(c_TMAP3IN))*((1000)-(c_TMAP3OUT))+IF(((1000)-(c_TMAP3OUT))&gt;=0,1,-1)*QUOTIENT(((1000)-(c_TMAP3IN)),2))+2147483648,4294967296)-2147483648,((1000)-(c_TMAP3IN))*(((C81)-(c_TMAP3IN))*((1000)-(c_TMAP3OUT))+IF(((1000)-(c_TMAP3OUT))&gt;=0,1,-1)*QUOTIENT(((1000)-(c_TMAP3IN)),2)))&gt;=0,1,0)))</f>
        <v>877</v>
      </c>
      <c r="I81" s="7" t="n">
        <f aca="false">IF(C81&gt;=c_TFWD,IF(AND(C81&gt;=c_TMAP3IN,c_TMAP3IN&lt;1000),H81,IF(AND(C81&gt;=c_TMAP2IN,c_TMAP3IN&gt;c_TMAP2IN),G81,IF(AND(C81&gt;=c_TMAP1IN,c_TMAP2IN&gt;c_TMAP1IN),F81,E81))),D81)</f>
        <v>877</v>
      </c>
      <c r="J81" s="7" t="str">
        <f aca="false">IF(I81&lt;-1090,"TOO LOW",IF(I81&gt;1090,"TOO HIGH",""))</f>
        <v/>
      </c>
      <c r="K81" s="7" t="n">
        <f aca="false">IF(J81&lt;&gt;"",0,IF(I81&gt;979,1000,I81))</f>
        <v>877</v>
      </c>
      <c r="L81" s="7" t="n">
        <f aca="false">IF(OR(c_TSMOOTH=0,K81&gt;=c_TSMOOTHCUT),1,0)</f>
        <v>1</v>
      </c>
      <c r="M81" s="7" t="n">
        <f aca="false">IF(L81=1,0,M80+1)</f>
        <v>0</v>
      </c>
      <c r="N81" s="7" t="n">
        <f aca="false">IF(L81=1,0,MIN(M81,c_TSMOOTH))</f>
        <v>0</v>
      </c>
      <c r="O81" s="7" t="n">
        <f aca="false">IF(COUNTIF($L$5:L81,1)&gt;0,c_TSMOOTHCUT,0)</f>
        <v>400</v>
      </c>
      <c r="P81" s="15" t="n">
        <f aca="true">IF(L81=1,K81,QUOTIENT(SUM(OFFSET(K81,1-N81,0,N81,1))+(c_TSMOOTH-N81)*O81,c_TSMOOTH))</f>
        <v>877</v>
      </c>
      <c r="Q81" s="7" t="n">
        <f aca="false">K81/10</f>
        <v>87.7</v>
      </c>
      <c r="R81" s="7" t="n">
        <f aca="false">P81/10</f>
        <v>87.7</v>
      </c>
    </row>
    <row r="82" customFormat="false" ht="15" hidden="false" customHeight="false" outlineLevel="0" collapsed="false">
      <c r="A82" s="7" t="n">
        <v>77</v>
      </c>
      <c r="B82" s="7" t="n">
        <f aca="false">A82*0.04</f>
        <v>3.08</v>
      </c>
      <c r="C82" s="18" t="n">
        <v>900</v>
      </c>
      <c r="D82" s="7" t="n">
        <f aca="false">IF(AND(C82=0,c_TCREEP&gt;0),10*c_TCREEP,IF(AND(C82&lt;=c_TRNGMIN,C82&gt;=c_TRNGMAX,c_TRNGMIN-c_TRNGMAX&lt;&gt;0),-10*c_TMINRN+QUOTIENT((c_TMAXRN-c_TMINRN)*(100-QUOTIENT((C82-c_TRNGMAX)*100,c_TRNGMIN-c_TRNGMAX)),-10),0))</f>
        <v>0</v>
      </c>
      <c r="E82" s="7" t="n">
        <f aca="false">IF(((c_TMAP1IN)-(c_TFWD))=0,(0)+QUOTIENT(((c_TMAP1OUT)-(0)),2),QUOTIENT((((C82)-(c_TFWD))*((c_TMAP1OUT)-(0))+IF(((c_TMAP1OUT)-(0))&gt;=0,1,-1)*QUOTIENT(((c_TMAP1IN)-(c_TFWD)),2)),((c_TMAP1IN)-(c_TFWD)))+(0)+IF(((c_TMAP1OUT)-(0))&gt;=0,IF(IF(o_WRAP=1,MOD(((c_TMAP1IN)-(c_TFWD))*(((C82)-(c_TFWD))*((c_TMAP1OUT)-(0))+IF(((c_TMAP1OUT)-(0))&gt;=0,1,-1)*QUOTIENT(((c_TMAP1IN)-(c_TFWD)),2))+2147483648,4294967296)-2147483648,((c_TMAP1IN)-(c_TFWD))*(((C82)-(c_TFWD))*((c_TMAP1OUT)-(0))+IF(((c_TMAP1OUT)-(0))&gt;=0,1,-1)*QUOTIENT(((c_TMAP1IN)-(c_TFWD)),2)))&lt;0,-1,0),IF(IF(o_WRAP=1,MOD(((c_TMAP1IN)-(c_TFWD))*(((C82)-(c_TFWD))*((c_TMAP1OUT)-(0))+IF(((c_TMAP1OUT)-(0))&gt;=0,1,-1)*QUOTIENT(((c_TMAP1IN)-(c_TFWD)),2))+2147483648,4294967296)-2147483648,((c_TMAP1IN)-(c_TFWD))*(((C82)-(c_TFWD))*((c_TMAP1OUT)-(0))+IF(((c_TMAP1OUT)-(0))&gt;=0,1,-1)*QUOTIENT(((c_TMAP1IN)-(c_TFWD)),2)))&gt;=0,1,0)))</f>
        <v>692</v>
      </c>
      <c r="F82" s="7" t="n">
        <f aca="false">IF(((c_TMAP2IN)-(c_TMAP1IN))=0,(c_TMAP1OUT)+QUOTIENT(((c_TMAP2OUT)-(c_TMAP1OUT)),2),QUOTIENT((((C82)-(c_TMAP1IN))*((c_TMAP2OUT)-(c_TMAP1OUT))+IF(((c_TMAP2OUT)-(c_TMAP1OUT))&gt;=0,1,-1)*QUOTIENT(((c_TMAP2IN)-(c_TMAP1IN)),2)),((c_TMAP2IN)-(c_TMAP1IN)))+(c_TMAP1OUT)+IF(((c_TMAP2OUT)-(c_TMAP1OUT))&gt;=0,IF(IF(o_WRAP=1,MOD(((c_TMAP2IN)-(c_TMAP1IN))*(((C82)-(c_TMAP1IN))*((c_TMAP2OUT)-(c_TMAP1OUT))+IF(((c_TMAP2OUT)-(c_TMAP1OUT))&gt;=0,1,-1)*QUOTIENT(((c_TMAP2IN)-(c_TMAP1IN)),2))+2147483648,4294967296)-2147483648,((c_TMAP2IN)-(c_TMAP1IN))*(((C82)-(c_TMAP1IN))*((c_TMAP2OUT)-(c_TMAP1OUT))+IF(((c_TMAP2OUT)-(c_TMAP1OUT))&gt;=0,1,-1)*QUOTIENT(((c_TMAP2IN)-(c_TMAP1IN)),2)))&lt;0,-1,0),IF(IF(o_WRAP=1,MOD(((c_TMAP2IN)-(c_TMAP1IN))*(((C82)-(c_TMAP1IN))*((c_TMAP2OUT)-(c_TMAP1OUT))+IF(((c_TMAP2OUT)-(c_TMAP1OUT))&gt;=0,1,-1)*QUOTIENT(((c_TMAP2IN)-(c_TMAP1IN)),2))+2147483648,4294967296)-2147483648,((c_TMAP2IN)-(c_TMAP1IN))*(((C82)-(c_TMAP1IN))*((c_TMAP2OUT)-(c_TMAP1OUT))+IF(((c_TMAP2OUT)-(c_TMAP1OUT))&gt;=0,1,-1)*QUOTIENT(((c_TMAP2IN)-(c_TMAP1IN)),2)))&gt;=0,1,0)))</f>
        <v>390</v>
      </c>
      <c r="G82" s="7" t="n">
        <f aca="false">IF(((c_TMAP3IN)-(c_TMAP2IN))=0,(c_TMAP2OUT)+QUOTIENT(((c_TMAP3OUT)-(c_TMAP2OUT)),2),QUOTIENT((((C82)-(c_TMAP2IN))*((c_TMAP3OUT)-(c_TMAP2OUT))+IF(((c_TMAP3OUT)-(c_TMAP2OUT))&gt;=0,1,-1)*QUOTIENT(((c_TMAP3IN)-(c_TMAP2IN)),2)),((c_TMAP3IN)-(c_TMAP2IN)))+(c_TMAP2OUT)+IF(((c_TMAP3OUT)-(c_TMAP2OUT))&gt;=0,IF(IF(o_WRAP=1,MOD(((c_TMAP3IN)-(c_TMAP2IN))*(((C82)-(c_TMAP2IN))*((c_TMAP3OUT)-(c_TMAP2OUT))+IF(((c_TMAP3OUT)-(c_TMAP2OUT))&gt;=0,1,-1)*QUOTIENT(((c_TMAP3IN)-(c_TMAP2IN)),2))+2147483648,4294967296)-2147483648,((c_TMAP3IN)-(c_TMAP2IN))*(((C82)-(c_TMAP2IN))*((c_TMAP3OUT)-(c_TMAP2OUT))+IF(((c_TMAP3OUT)-(c_TMAP2OUT))&gt;=0,1,-1)*QUOTIENT(((c_TMAP3IN)-(c_TMAP2IN)),2)))&lt;0,-1,0),IF(IF(o_WRAP=1,MOD(((c_TMAP3IN)-(c_TMAP2IN))*(((C82)-(c_TMAP2IN))*((c_TMAP3OUT)-(c_TMAP2OUT))+IF(((c_TMAP3OUT)-(c_TMAP2OUT))&gt;=0,1,-1)*QUOTIENT(((c_TMAP3IN)-(c_TMAP2IN)),2))+2147483648,4294967296)-2147483648,((c_TMAP3IN)-(c_TMAP2IN))*(((C82)-(c_TMAP2IN))*((c_TMAP3OUT)-(c_TMAP2OUT))+IF(((c_TMAP3OUT)-(c_TMAP2OUT))&gt;=0,1,-1)*QUOTIENT(((c_TMAP3IN)-(c_TMAP2IN)),2)))&gt;=0,1,0)))</f>
        <v>585</v>
      </c>
      <c r="H82" s="7" t="n">
        <f aca="false">IF(((1000)-(c_TMAP3IN))=0,(c_TMAP3OUT)+QUOTIENT(((1000)-(c_TMAP3OUT)),2),QUOTIENT((((C82)-(c_TMAP3IN))*((1000)-(c_TMAP3OUT))+IF(((1000)-(c_TMAP3OUT))&gt;=0,1,-1)*QUOTIENT(((1000)-(c_TMAP3IN)),2)),((1000)-(c_TMAP3IN)))+(c_TMAP3OUT)+IF(((1000)-(c_TMAP3OUT))&gt;=0,IF(IF(o_WRAP=1,MOD(((1000)-(c_TMAP3IN))*(((C82)-(c_TMAP3IN))*((1000)-(c_TMAP3OUT))+IF(((1000)-(c_TMAP3OUT))&gt;=0,1,-1)*QUOTIENT(((1000)-(c_TMAP3IN)),2))+2147483648,4294967296)-2147483648,((1000)-(c_TMAP3IN))*(((C82)-(c_TMAP3IN))*((1000)-(c_TMAP3OUT))+IF(((1000)-(c_TMAP3OUT))&gt;=0,1,-1)*QUOTIENT(((1000)-(c_TMAP3IN)),2)))&lt;0,-1,0),IF(IF(o_WRAP=1,MOD(((1000)-(c_TMAP3IN))*(((C82)-(c_TMAP3IN))*((1000)-(c_TMAP3OUT))+IF(((1000)-(c_TMAP3OUT))&gt;=0,1,-1)*QUOTIENT(((1000)-(c_TMAP3IN)),2))+2147483648,4294967296)-2147483648,((1000)-(c_TMAP3IN))*(((C82)-(c_TMAP3IN))*((1000)-(c_TMAP3OUT))+IF(((1000)-(c_TMAP3OUT))&gt;=0,1,-1)*QUOTIENT(((1000)-(c_TMAP3IN)),2)))&gt;=0,1,0)))</f>
        <v>877</v>
      </c>
      <c r="I82" s="7" t="n">
        <f aca="false">IF(C82&gt;=c_TFWD,IF(AND(C82&gt;=c_TMAP3IN,c_TMAP3IN&lt;1000),H82,IF(AND(C82&gt;=c_TMAP2IN,c_TMAP3IN&gt;c_TMAP2IN),G82,IF(AND(C82&gt;=c_TMAP1IN,c_TMAP2IN&gt;c_TMAP1IN),F82,E82))),D82)</f>
        <v>877</v>
      </c>
      <c r="J82" s="7" t="str">
        <f aca="false">IF(I82&lt;-1090,"TOO LOW",IF(I82&gt;1090,"TOO HIGH",""))</f>
        <v/>
      </c>
      <c r="K82" s="7" t="n">
        <f aca="false">IF(J82&lt;&gt;"",0,IF(I82&gt;979,1000,I82))</f>
        <v>877</v>
      </c>
      <c r="L82" s="7" t="n">
        <f aca="false">IF(OR(c_TSMOOTH=0,K82&gt;=c_TSMOOTHCUT),1,0)</f>
        <v>1</v>
      </c>
      <c r="M82" s="7" t="n">
        <f aca="false">IF(L82=1,0,M81+1)</f>
        <v>0</v>
      </c>
      <c r="N82" s="7" t="n">
        <f aca="false">IF(L82=1,0,MIN(M82,c_TSMOOTH))</f>
        <v>0</v>
      </c>
      <c r="O82" s="7" t="n">
        <f aca="false">IF(COUNTIF($L$5:L82,1)&gt;0,c_TSMOOTHCUT,0)</f>
        <v>400</v>
      </c>
      <c r="P82" s="15" t="n">
        <f aca="true">IF(L82=1,K82,QUOTIENT(SUM(OFFSET(K82,1-N82,0,N82,1))+(c_TSMOOTH-N82)*O82,c_TSMOOTH))</f>
        <v>877</v>
      </c>
      <c r="Q82" s="7" t="n">
        <f aca="false">K82/10</f>
        <v>87.7</v>
      </c>
      <c r="R82" s="7" t="n">
        <f aca="false">P82/10</f>
        <v>87.7</v>
      </c>
    </row>
    <row r="83" customFormat="false" ht="15" hidden="false" customHeight="false" outlineLevel="0" collapsed="false">
      <c r="A83" s="7" t="n">
        <v>78</v>
      </c>
      <c r="B83" s="7" t="n">
        <f aca="false">A83*0.04</f>
        <v>3.12</v>
      </c>
      <c r="C83" s="18" t="n">
        <v>900</v>
      </c>
      <c r="D83" s="7" t="n">
        <f aca="false">IF(AND(C83=0,c_TCREEP&gt;0),10*c_TCREEP,IF(AND(C83&lt;=c_TRNGMIN,C83&gt;=c_TRNGMAX,c_TRNGMIN-c_TRNGMAX&lt;&gt;0),-10*c_TMINRN+QUOTIENT((c_TMAXRN-c_TMINRN)*(100-QUOTIENT((C83-c_TRNGMAX)*100,c_TRNGMIN-c_TRNGMAX)),-10),0))</f>
        <v>0</v>
      </c>
      <c r="E83" s="7" t="n">
        <f aca="false">IF(((c_TMAP1IN)-(c_TFWD))=0,(0)+QUOTIENT(((c_TMAP1OUT)-(0)),2),QUOTIENT((((C83)-(c_TFWD))*((c_TMAP1OUT)-(0))+IF(((c_TMAP1OUT)-(0))&gt;=0,1,-1)*QUOTIENT(((c_TMAP1IN)-(c_TFWD)),2)),((c_TMAP1IN)-(c_TFWD)))+(0)+IF(((c_TMAP1OUT)-(0))&gt;=0,IF(IF(o_WRAP=1,MOD(((c_TMAP1IN)-(c_TFWD))*(((C83)-(c_TFWD))*((c_TMAP1OUT)-(0))+IF(((c_TMAP1OUT)-(0))&gt;=0,1,-1)*QUOTIENT(((c_TMAP1IN)-(c_TFWD)),2))+2147483648,4294967296)-2147483648,((c_TMAP1IN)-(c_TFWD))*(((C83)-(c_TFWD))*((c_TMAP1OUT)-(0))+IF(((c_TMAP1OUT)-(0))&gt;=0,1,-1)*QUOTIENT(((c_TMAP1IN)-(c_TFWD)),2)))&lt;0,-1,0),IF(IF(o_WRAP=1,MOD(((c_TMAP1IN)-(c_TFWD))*(((C83)-(c_TFWD))*((c_TMAP1OUT)-(0))+IF(((c_TMAP1OUT)-(0))&gt;=0,1,-1)*QUOTIENT(((c_TMAP1IN)-(c_TFWD)),2))+2147483648,4294967296)-2147483648,((c_TMAP1IN)-(c_TFWD))*(((C83)-(c_TFWD))*((c_TMAP1OUT)-(0))+IF(((c_TMAP1OUT)-(0))&gt;=0,1,-1)*QUOTIENT(((c_TMAP1IN)-(c_TFWD)),2)))&gt;=0,1,0)))</f>
        <v>692</v>
      </c>
      <c r="F83" s="7" t="n">
        <f aca="false">IF(((c_TMAP2IN)-(c_TMAP1IN))=0,(c_TMAP1OUT)+QUOTIENT(((c_TMAP2OUT)-(c_TMAP1OUT)),2),QUOTIENT((((C83)-(c_TMAP1IN))*((c_TMAP2OUT)-(c_TMAP1OUT))+IF(((c_TMAP2OUT)-(c_TMAP1OUT))&gt;=0,1,-1)*QUOTIENT(((c_TMAP2IN)-(c_TMAP1IN)),2)),((c_TMAP2IN)-(c_TMAP1IN)))+(c_TMAP1OUT)+IF(((c_TMAP2OUT)-(c_TMAP1OUT))&gt;=0,IF(IF(o_WRAP=1,MOD(((c_TMAP2IN)-(c_TMAP1IN))*(((C83)-(c_TMAP1IN))*((c_TMAP2OUT)-(c_TMAP1OUT))+IF(((c_TMAP2OUT)-(c_TMAP1OUT))&gt;=0,1,-1)*QUOTIENT(((c_TMAP2IN)-(c_TMAP1IN)),2))+2147483648,4294967296)-2147483648,((c_TMAP2IN)-(c_TMAP1IN))*(((C83)-(c_TMAP1IN))*((c_TMAP2OUT)-(c_TMAP1OUT))+IF(((c_TMAP2OUT)-(c_TMAP1OUT))&gt;=0,1,-1)*QUOTIENT(((c_TMAP2IN)-(c_TMAP1IN)),2)))&lt;0,-1,0),IF(IF(o_WRAP=1,MOD(((c_TMAP2IN)-(c_TMAP1IN))*(((C83)-(c_TMAP1IN))*((c_TMAP2OUT)-(c_TMAP1OUT))+IF(((c_TMAP2OUT)-(c_TMAP1OUT))&gt;=0,1,-1)*QUOTIENT(((c_TMAP2IN)-(c_TMAP1IN)),2))+2147483648,4294967296)-2147483648,((c_TMAP2IN)-(c_TMAP1IN))*(((C83)-(c_TMAP1IN))*((c_TMAP2OUT)-(c_TMAP1OUT))+IF(((c_TMAP2OUT)-(c_TMAP1OUT))&gt;=0,1,-1)*QUOTIENT(((c_TMAP2IN)-(c_TMAP1IN)),2)))&gt;=0,1,0)))</f>
        <v>390</v>
      </c>
      <c r="G83" s="7" t="n">
        <f aca="false">IF(((c_TMAP3IN)-(c_TMAP2IN))=0,(c_TMAP2OUT)+QUOTIENT(((c_TMAP3OUT)-(c_TMAP2OUT)),2),QUOTIENT((((C83)-(c_TMAP2IN))*((c_TMAP3OUT)-(c_TMAP2OUT))+IF(((c_TMAP3OUT)-(c_TMAP2OUT))&gt;=0,1,-1)*QUOTIENT(((c_TMAP3IN)-(c_TMAP2IN)),2)),((c_TMAP3IN)-(c_TMAP2IN)))+(c_TMAP2OUT)+IF(((c_TMAP3OUT)-(c_TMAP2OUT))&gt;=0,IF(IF(o_WRAP=1,MOD(((c_TMAP3IN)-(c_TMAP2IN))*(((C83)-(c_TMAP2IN))*((c_TMAP3OUT)-(c_TMAP2OUT))+IF(((c_TMAP3OUT)-(c_TMAP2OUT))&gt;=0,1,-1)*QUOTIENT(((c_TMAP3IN)-(c_TMAP2IN)),2))+2147483648,4294967296)-2147483648,((c_TMAP3IN)-(c_TMAP2IN))*(((C83)-(c_TMAP2IN))*((c_TMAP3OUT)-(c_TMAP2OUT))+IF(((c_TMAP3OUT)-(c_TMAP2OUT))&gt;=0,1,-1)*QUOTIENT(((c_TMAP3IN)-(c_TMAP2IN)),2)))&lt;0,-1,0),IF(IF(o_WRAP=1,MOD(((c_TMAP3IN)-(c_TMAP2IN))*(((C83)-(c_TMAP2IN))*((c_TMAP3OUT)-(c_TMAP2OUT))+IF(((c_TMAP3OUT)-(c_TMAP2OUT))&gt;=0,1,-1)*QUOTIENT(((c_TMAP3IN)-(c_TMAP2IN)),2))+2147483648,4294967296)-2147483648,((c_TMAP3IN)-(c_TMAP2IN))*(((C83)-(c_TMAP2IN))*((c_TMAP3OUT)-(c_TMAP2OUT))+IF(((c_TMAP3OUT)-(c_TMAP2OUT))&gt;=0,1,-1)*QUOTIENT(((c_TMAP3IN)-(c_TMAP2IN)),2)))&gt;=0,1,0)))</f>
        <v>585</v>
      </c>
      <c r="H83" s="7" t="n">
        <f aca="false">IF(((1000)-(c_TMAP3IN))=0,(c_TMAP3OUT)+QUOTIENT(((1000)-(c_TMAP3OUT)),2),QUOTIENT((((C83)-(c_TMAP3IN))*((1000)-(c_TMAP3OUT))+IF(((1000)-(c_TMAP3OUT))&gt;=0,1,-1)*QUOTIENT(((1000)-(c_TMAP3IN)),2)),((1000)-(c_TMAP3IN)))+(c_TMAP3OUT)+IF(((1000)-(c_TMAP3OUT))&gt;=0,IF(IF(o_WRAP=1,MOD(((1000)-(c_TMAP3IN))*(((C83)-(c_TMAP3IN))*((1000)-(c_TMAP3OUT))+IF(((1000)-(c_TMAP3OUT))&gt;=0,1,-1)*QUOTIENT(((1000)-(c_TMAP3IN)),2))+2147483648,4294967296)-2147483648,((1000)-(c_TMAP3IN))*(((C83)-(c_TMAP3IN))*((1000)-(c_TMAP3OUT))+IF(((1000)-(c_TMAP3OUT))&gt;=0,1,-1)*QUOTIENT(((1000)-(c_TMAP3IN)),2)))&lt;0,-1,0),IF(IF(o_WRAP=1,MOD(((1000)-(c_TMAP3IN))*(((C83)-(c_TMAP3IN))*((1000)-(c_TMAP3OUT))+IF(((1000)-(c_TMAP3OUT))&gt;=0,1,-1)*QUOTIENT(((1000)-(c_TMAP3IN)),2))+2147483648,4294967296)-2147483648,((1000)-(c_TMAP3IN))*(((C83)-(c_TMAP3IN))*((1000)-(c_TMAP3OUT))+IF(((1000)-(c_TMAP3OUT))&gt;=0,1,-1)*QUOTIENT(((1000)-(c_TMAP3IN)),2)))&gt;=0,1,0)))</f>
        <v>877</v>
      </c>
      <c r="I83" s="7" t="n">
        <f aca="false">IF(C83&gt;=c_TFWD,IF(AND(C83&gt;=c_TMAP3IN,c_TMAP3IN&lt;1000),H83,IF(AND(C83&gt;=c_TMAP2IN,c_TMAP3IN&gt;c_TMAP2IN),G83,IF(AND(C83&gt;=c_TMAP1IN,c_TMAP2IN&gt;c_TMAP1IN),F83,E83))),D83)</f>
        <v>877</v>
      </c>
      <c r="J83" s="7" t="str">
        <f aca="false">IF(I83&lt;-1090,"TOO LOW",IF(I83&gt;1090,"TOO HIGH",""))</f>
        <v/>
      </c>
      <c r="K83" s="7" t="n">
        <f aca="false">IF(J83&lt;&gt;"",0,IF(I83&gt;979,1000,I83))</f>
        <v>877</v>
      </c>
      <c r="L83" s="7" t="n">
        <f aca="false">IF(OR(c_TSMOOTH=0,K83&gt;=c_TSMOOTHCUT),1,0)</f>
        <v>1</v>
      </c>
      <c r="M83" s="7" t="n">
        <f aca="false">IF(L83=1,0,M82+1)</f>
        <v>0</v>
      </c>
      <c r="N83" s="7" t="n">
        <f aca="false">IF(L83=1,0,MIN(M83,c_TSMOOTH))</f>
        <v>0</v>
      </c>
      <c r="O83" s="7" t="n">
        <f aca="false">IF(COUNTIF($L$5:L83,1)&gt;0,c_TSMOOTHCUT,0)</f>
        <v>400</v>
      </c>
      <c r="P83" s="15" t="n">
        <f aca="true">IF(L83=1,K83,QUOTIENT(SUM(OFFSET(K83,1-N83,0,N83,1))+(c_TSMOOTH-N83)*O83,c_TSMOOTH))</f>
        <v>877</v>
      </c>
      <c r="Q83" s="7" t="n">
        <f aca="false">K83/10</f>
        <v>87.7</v>
      </c>
      <c r="R83" s="7" t="n">
        <f aca="false">P83/10</f>
        <v>87.7</v>
      </c>
    </row>
    <row r="84" customFormat="false" ht="15" hidden="false" customHeight="false" outlineLevel="0" collapsed="false">
      <c r="A84" s="7" t="n">
        <v>79</v>
      </c>
      <c r="B84" s="7" t="n">
        <f aca="false">A84*0.04</f>
        <v>3.16</v>
      </c>
      <c r="C84" s="18" t="n">
        <v>900</v>
      </c>
      <c r="D84" s="7" t="n">
        <f aca="false">IF(AND(C84=0,c_TCREEP&gt;0),10*c_TCREEP,IF(AND(C84&lt;=c_TRNGMIN,C84&gt;=c_TRNGMAX,c_TRNGMIN-c_TRNGMAX&lt;&gt;0),-10*c_TMINRN+QUOTIENT((c_TMAXRN-c_TMINRN)*(100-QUOTIENT((C84-c_TRNGMAX)*100,c_TRNGMIN-c_TRNGMAX)),-10),0))</f>
        <v>0</v>
      </c>
      <c r="E84" s="7" t="n">
        <f aca="false">IF(((c_TMAP1IN)-(c_TFWD))=0,(0)+QUOTIENT(((c_TMAP1OUT)-(0)),2),QUOTIENT((((C84)-(c_TFWD))*((c_TMAP1OUT)-(0))+IF(((c_TMAP1OUT)-(0))&gt;=0,1,-1)*QUOTIENT(((c_TMAP1IN)-(c_TFWD)),2)),((c_TMAP1IN)-(c_TFWD)))+(0)+IF(((c_TMAP1OUT)-(0))&gt;=0,IF(IF(o_WRAP=1,MOD(((c_TMAP1IN)-(c_TFWD))*(((C84)-(c_TFWD))*((c_TMAP1OUT)-(0))+IF(((c_TMAP1OUT)-(0))&gt;=0,1,-1)*QUOTIENT(((c_TMAP1IN)-(c_TFWD)),2))+2147483648,4294967296)-2147483648,((c_TMAP1IN)-(c_TFWD))*(((C84)-(c_TFWD))*((c_TMAP1OUT)-(0))+IF(((c_TMAP1OUT)-(0))&gt;=0,1,-1)*QUOTIENT(((c_TMAP1IN)-(c_TFWD)),2)))&lt;0,-1,0),IF(IF(o_WRAP=1,MOD(((c_TMAP1IN)-(c_TFWD))*(((C84)-(c_TFWD))*((c_TMAP1OUT)-(0))+IF(((c_TMAP1OUT)-(0))&gt;=0,1,-1)*QUOTIENT(((c_TMAP1IN)-(c_TFWD)),2))+2147483648,4294967296)-2147483648,((c_TMAP1IN)-(c_TFWD))*(((C84)-(c_TFWD))*((c_TMAP1OUT)-(0))+IF(((c_TMAP1OUT)-(0))&gt;=0,1,-1)*QUOTIENT(((c_TMAP1IN)-(c_TFWD)),2)))&gt;=0,1,0)))</f>
        <v>692</v>
      </c>
      <c r="F84" s="7" t="n">
        <f aca="false">IF(((c_TMAP2IN)-(c_TMAP1IN))=0,(c_TMAP1OUT)+QUOTIENT(((c_TMAP2OUT)-(c_TMAP1OUT)),2),QUOTIENT((((C84)-(c_TMAP1IN))*((c_TMAP2OUT)-(c_TMAP1OUT))+IF(((c_TMAP2OUT)-(c_TMAP1OUT))&gt;=0,1,-1)*QUOTIENT(((c_TMAP2IN)-(c_TMAP1IN)),2)),((c_TMAP2IN)-(c_TMAP1IN)))+(c_TMAP1OUT)+IF(((c_TMAP2OUT)-(c_TMAP1OUT))&gt;=0,IF(IF(o_WRAP=1,MOD(((c_TMAP2IN)-(c_TMAP1IN))*(((C84)-(c_TMAP1IN))*((c_TMAP2OUT)-(c_TMAP1OUT))+IF(((c_TMAP2OUT)-(c_TMAP1OUT))&gt;=0,1,-1)*QUOTIENT(((c_TMAP2IN)-(c_TMAP1IN)),2))+2147483648,4294967296)-2147483648,((c_TMAP2IN)-(c_TMAP1IN))*(((C84)-(c_TMAP1IN))*((c_TMAP2OUT)-(c_TMAP1OUT))+IF(((c_TMAP2OUT)-(c_TMAP1OUT))&gt;=0,1,-1)*QUOTIENT(((c_TMAP2IN)-(c_TMAP1IN)),2)))&lt;0,-1,0),IF(IF(o_WRAP=1,MOD(((c_TMAP2IN)-(c_TMAP1IN))*(((C84)-(c_TMAP1IN))*((c_TMAP2OUT)-(c_TMAP1OUT))+IF(((c_TMAP2OUT)-(c_TMAP1OUT))&gt;=0,1,-1)*QUOTIENT(((c_TMAP2IN)-(c_TMAP1IN)),2))+2147483648,4294967296)-2147483648,((c_TMAP2IN)-(c_TMAP1IN))*(((C84)-(c_TMAP1IN))*((c_TMAP2OUT)-(c_TMAP1OUT))+IF(((c_TMAP2OUT)-(c_TMAP1OUT))&gt;=0,1,-1)*QUOTIENT(((c_TMAP2IN)-(c_TMAP1IN)),2)))&gt;=0,1,0)))</f>
        <v>390</v>
      </c>
      <c r="G84" s="7" t="n">
        <f aca="false">IF(((c_TMAP3IN)-(c_TMAP2IN))=0,(c_TMAP2OUT)+QUOTIENT(((c_TMAP3OUT)-(c_TMAP2OUT)),2),QUOTIENT((((C84)-(c_TMAP2IN))*((c_TMAP3OUT)-(c_TMAP2OUT))+IF(((c_TMAP3OUT)-(c_TMAP2OUT))&gt;=0,1,-1)*QUOTIENT(((c_TMAP3IN)-(c_TMAP2IN)),2)),((c_TMAP3IN)-(c_TMAP2IN)))+(c_TMAP2OUT)+IF(((c_TMAP3OUT)-(c_TMAP2OUT))&gt;=0,IF(IF(o_WRAP=1,MOD(((c_TMAP3IN)-(c_TMAP2IN))*(((C84)-(c_TMAP2IN))*((c_TMAP3OUT)-(c_TMAP2OUT))+IF(((c_TMAP3OUT)-(c_TMAP2OUT))&gt;=0,1,-1)*QUOTIENT(((c_TMAP3IN)-(c_TMAP2IN)),2))+2147483648,4294967296)-2147483648,((c_TMAP3IN)-(c_TMAP2IN))*(((C84)-(c_TMAP2IN))*((c_TMAP3OUT)-(c_TMAP2OUT))+IF(((c_TMAP3OUT)-(c_TMAP2OUT))&gt;=0,1,-1)*QUOTIENT(((c_TMAP3IN)-(c_TMAP2IN)),2)))&lt;0,-1,0),IF(IF(o_WRAP=1,MOD(((c_TMAP3IN)-(c_TMAP2IN))*(((C84)-(c_TMAP2IN))*((c_TMAP3OUT)-(c_TMAP2OUT))+IF(((c_TMAP3OUT)-(c_TMAP2OUT))&gt;=0,1,-1)*QUOTIENT(((c_TMAP3IN)-(c_TMAP2IN)),2))+2147483648,4294967296)-2147483648,((c_TMAP3IN)-(c_TMAP2IN))*(((C84)-(c_TMAP2IN))*((c_TMAP3OUT)-(c_TMAP2OUT))+IF(((c_TMAP3OUT)-(c_TMAP2OUT))&gt;=0,1,-1)*QUOTIENT(((c_TMAP3IN)-(c_TMAP2IN)),2)))&gt;=0,1,0)))</f>
        <v>585</v>
      </c>
      <c r="H84" s="7" t="n">
        <f aca="false">IF(((1000)-(c_TMAP3IN))=0,(c_TMAP3OUT)+QUOTIENT(((1000)-(c_TMAP3OUT)),2),QUOTIENT((((C84)-(c_TMAP3IN))*((1000)-(c_TMAP3OUT))+IF(((1000)-(c_TMAP3OUT))&gt;=0,1,-1)*QUOTIENT(((1000)-(c_TMAP3IN)),2)),((1000)-(c_TMAP3IN)))+(c_TMAP3OUT)+IF(((1000)-(c_TMAP3OUT))&gt;=0,IF(IF(o_WRAP=1,MOD(((1000)-(c_TMAP3IN))*(((C84)-(c_TMAP3IN))*((1000)-(c_TMAP3OUT))+IF(((1000)-(c_TMAP3OUT))&gt;=0,1,-1)*QUOTIENT(((1000)-(c_TMAP3IN)),2))+2147483648,4294967296)-2147483648,((1000)-(c_TMAP3IN))*(((C84)-(c_TMAP3IN))*((1000)-(c_TMAP3OUT))+IF(((1000)-(c_TMAP3OUT))&gt;=0,1,-1)*QUOTIENT(((1000)-(c_TMAP3IN)),2)))&lt;0,-1,0),IF(IF(o_WRAP=1,MOD(((1000)-(c_TMAP3IN))*(((C84)-(c_TMAP3IN))*((1000)-(c_TMAP3OUT))+IF(((1000)-(c_TMAP3OUT))&gt;=0,1,-1)*QUOTIENT(((1000)-(c_TMAP3IN)),2))+2147483648,4294967296)-2147483648,((1000)-(c_TMAP3IN))*(((C84)-(c_TMAP3IN))*((1000)-(c_TMAP3OUT))+IF(((1000)-(c_TMAP3OUT))&gt;=0,1,-1)*QUOTIENT(((1000)-(c_TMAP3IN)),2)))&gt;=0,1,0)))</f>
        <v>877</v>
      </c>
      <c r="I84" s="7" t="n">
        <f aca="false">IF(C84&gt;=c_TFWD,IF(AND(C84&gt;=c_TMAP3IN,c_TMAP3IN&lt;1000),H84,IF(AND(C84&gt;=c_TMAP2IN,c_TMAP3IN&gt;c_TMAP2IN),G84,IF(AND(C84&gt;=c_TMAP1IN,c_TMAP2IN&gt;c_TMAP1IN),F84,E84))),D84)</f>
        <v>877</v>
      </c>
      <c r="J84" s="7" t="str">
        <f aca="false">IF(I84&lt;-1090,"TOO LOW",IF(I84&gt;1090,"TOO HIGH",""))</f>
        <v/>
      </c>
      <c r="K84" s="7" t="n">
        <f aca="false">IF(J84&lt;&gt;"",0,IF(I84&gt;979,1000,I84))</f>
        <v>877</v>
      </c>
      <c r="L84" s="7" t="n">
        <f aca="false">IF(OR(c_TSMOOTH=0,K84&gt;=c_TSMOOTHCUT),1,0)</f>
        <v>1</v>
      </c>
      <c r="M84" s="7" t="n">
        <f aca="false">IF(L84=1,0,M83+1)</f>
        <v>0</v>
      </c>
      <c r="N84" s="7" t="n">
        <f aca="false">IF(L84=1,0,MIN(M84,c_TSMOOTH))</f>
        <v>0</v>
      </c>
      <c r="O84" s="7" t="n">
        <f aca="false">IF(COUNTIF($L$5:L84,1)&gt;0,c_TSMOOTHCUT,0)</f>
        <v>400</v>
      </c>
      <c r="P84" s="15" t="n">
        <f aca="true">IF(L84=1,K84,QUOTIENT(SUM(OFFSET(K84,1-N84,0,N84,1))+(c_TSMOOTH-N84)*O84,c_TSMOOTH))</f>
        <v>877</v>
      </c>
      <c r="Q84" s="7" t="n">
        <f aca="false">K84/10</f>
        <v>87.7</v>
      </c>
      <c r="R84" s="7" t="n">
        <f aca="false">P84/10</f>
        <v>87.7</v>
      </c>
    </row>
    <row r="85" customFormat="false" ht="15" hidden="false" customHeight="false" outlineLevel="0" collapsed="false">
      <c r="A85" s="7" t="n">
        <v>80</v>
      </c>
      <c r="B85" s="7" t="n">
        <f aca="false">A85*0.04</f>
        <v>3.2</v>
      </c>
      <c r="C85" s="18" t="n">
        <v>720</v>
      </c>
      <c r="D85" s="7" t="n">
        <f aca="false">IF(AND(C85=0,c_TCREEP&gt;0),10*c_TCREEP,IF(AND(C85&lt;=c_TRNGMIN,C85&gt;=c_TRNGMAX,c_TRNGMIN-c_TRNGMAX&lt;&gt;0),-10*c_TMINRN+QUOTIENT((c_TMAXRN-c_TMINRN)*(100-QUOTIENT((C85-c_TRNGMAX)*100,c_TRNGMIN-c_TRNGMAX)),-10),0))</f>
        <v>0</v>
      </c>
      <c r="E85" s="7" t="n">
        <f aca="false">IF(((c_TMAP1IN)-(c_TFWD))=0,(0)+QUOTIENT(((c_TMAP1OUT)-(0)),2),QUOTIENT((((C85)-(c_TFWD))*((c_TMAP1OUT)-(0))+IF(((c_TMAP1OUT)-(0))&gt;=0,1,-1)*QUOTIENT(((c_TMAP1IN)-(c_TFWD)),2)),((c_TMAP1IN)-(c_TFWD)))+(0)+IF(((c_TMAP1OUT)-(0))&gt;=0,IF(IF(o_WRAP=1,MOD(((c_TMAP1IN)-(c_TFWD))*(((C85)-(c_TFWD))*((c_TMAP1OUT)-(0))+IF(((c_TMAP1OUT)-(0))&gt;=0,1,-1)*QUOTIENT(((c_TMAP1IN)-(c_TFWD)),2))+2147483648,4294967296)-2147483648,((c_TMAP1IN)-(c_TFWD))*(((C85)-(c_TFWD))*((c_TMAP1OUT)-(0))+IF(((c_TMAP1OUT)-(0))&gt;=0,1,-1)*QUOTIENT(((c_TMAP1IN)-(c_TFWD)),2)))&lt;0,-1,0),IF(IF(o_WRAP=1,MOD(((c_TMAP1IN)-(c_TFWD))*(((C85)-(c_TFWD))*((c_TMAP1OUT)-(0))+IF(((c_TMAP1OUT)-(0))&gt;=0,1,-1)*QUOTIENT(((c_TMAP1IN)-(c_TFWD)),2))+2147483648,4294967296)-2147483648,((c_TMAP1IN)-(c_TFWD))*(((C85)-(c_TFWD))*((c_TMAP1OUT)-(0))+IF(((c_TMAP1OUT)-(0))&gt;=0,1,-1)*QUOTIENT(((c_TMAP1IN)-(c_TFWD)),2)))&gt;=0,1,0)))</f>
        <v>552</v>
      </c>
      <c r="F85" s="7" t="n">
        <f aca="false">IF(((c_TMAP2IN)-(c_TMAP1IN))=0,(c_TMAP1OUT)+QUOTIENT(((c_TMAP2OUT)-(c_TMAP1OUT)),2),QUOTIENT((((C85)-(c_TMAP1IN))*((c_TMAP2OUT)-(c_TMAP1OUT))+IF(((c_TMAP2OUT)-(c_TMAP1OUT))&gt;=0,1,-1)*QUOTIENT(((c_TMAP2IN)-(c_TMAP1IN)),2)),((c_TMAP2IN)-(c_TMAP1IN)))+(c_TMAP1OUT)+IF(((c_TMAP2OUT)-(c_TMAP1OUT))&gt;=0,IF(IF(o_WRAP=1,MOD(((c_TMAP2IN)-(c_TMAP1IN))*(((C85)-(c_TMAP1IN))*((c_TMAP2OUT)-(c_TMAP1OUT))+IF(((c_TMAP2OUT)-(c_TMAP1OUT))&gt;=0,1,-1)*QUOTIENT(((c_TMAP2IN)-(c_TMAP1IN)),2))+2147483648,4294967296)-2147483648,((c_TMAP2IN)-(c_TMAP1IN))*(((C85)-(c_TMAP1IN))*((c_TMAP2OUT)-(c_TMAP1OUT))+IF(((c_TMAP2OUT)-(c_TMAP1OUT))&gt;=0,1,-1)*QUOTIENT(((c_TMAP2IN)-(c_TMAP1IN)),2)))&lt;0,-1,0),IF(IF(o_WRAP=1,MOD(((c_TMAP2IN)-(c_TMAP1IN))*(((C85)-(c_TMAP1IN))*((c_TMAP2OUT)-(c_TMAP1OUT))+IF(((c_TMAP2OUT)-(c_TMAP1OUT))&gt;=0,1,-1)*QUOTIENT(((c_TMAP2IN)-(c_TMAP1IN)),2))+2147483648,4294967296)-2147483648,((c_TMAP2IN)-(c_TMAP1IN))*(((C85)-(c_TMAP1IN))*((c_TMAP2OUT)-(c_TMAP1OUT))+IF(((c_TMAP2OUT)-(c_TMAP1OUT))&gt;=0,1,-1)*QUOTIENT(((c_TMAP2IN)-(c_TMAP1IN)),2)))&gt;=0,1,0)))</f>
        <v>318</v>
      </c>
      <c r="G85" s="7" t="n">
        <f aca="false">IF(((c_TMAP3IN)-(c_TMAP2IN))=0,(c_TMAP2OUT)+QUOTIENT(((c_TMAP3OUT)-(c_TMAP2OUT)),2),QUOTIENT((((C85)-(c_TMAP2IN))*((c_TMAP3OUT)-(c_TMAP2OUT))+IF(((c_TMAP3OUT)-(c_TMAP2OUT))&gt;=0,1,-1)*QUOTIENT(((c_TMAP3IN)-(c_TMAP2IN)),2)),((c_TMAP3IN)-(c_TMAP2IN)))+(c_TMAP2OUT)+IF(((c_TMAP3OUT)-(c_TMAP2OUT))&gt;=0,IF(IF(o_WRAP=1,MOD(((c_TMAP3IN)-(c_TMAP2IN))*(((C85)-(c_TMAP2IN))*((c_TMAP3OUT)-(c_TMAP2OUT))+IF(((c_TMAP3OUT)-(c_TMAP2OUT))&gt;=0,1,-1)*QUOTIENT(((c_TMAP3IN)-(c_TMAP2IN)),2))+2147483648,4294967296)-2147483648,((c_TMAP3IN)-(c_TMAP2IN))*(((C85)-(c_TMAP2IN))*((c_TMAP3OUT)-(c_TMAP2OUT))+IF(((c_TMAP3OUT)-(c_TMAP2OUT))&gt;=0,1,-1)*QUOTIENT(((c_TMAP3IN)-(c_TMAP2IN)),2)))&lt;0,-1,0),IF(IF(o_WRAP=1,MOD(((c_TMAP3IN)-(c_TMAP2IN))*(((C85)-(c_TMAP2IN))*((c_TMAP3OUT)-(c_TMAP2OUT))+IF(((c_TMAP3OUT)-(c_TMAP2OUT))&gt;=0,1,-1)*QUOTIENT(((c_TMAP3IN)-(c_TMAP2IN)),2))+2147483648,4294967296)-2147483648,((c_TMAP3IN)-(c_TMAP2IN))*(((C85)-(c_TMAP2IN))*((c_TMAP3OUT)-(c_TMAP2OUT))+IF(((c_TMAP3OUT)-(c_TMAP2OUT))&gt;=0,1,-1)*QUOTIENT(((c_TMAP3IN)-(c_TMAP2IN)),2)))&gt;=0,1,0)))</f>
        <v>459</v>
      </c>
      <c r="H85" s="7" t="n">
        <f aca="false">IF(((1000)-(c_TMAP3IN))=0,(c_TMAP3OUT)+QUOTIENT(((1000)-(c_TMAP3OUT)),2),QUOTIENT((((C85)-(c_TMAP3IN))*((1000)-(c_TMAP3OUT))+IF(((1000)-(c_TMAP3OUT))&gt;=0,1,-1)*QUOTIENT(((1000)-(c_TMAP3IN)),2)),((1000)-(c_TMAP3IN)))+(c_TMAP3OUT)+IF(((1000)-(c_TMAP3OUT))&gt;=0,IF(IF(o_WRAP=1,MOD(((1000)-(c_TMAP3IN))*(((C85)-(c_TMAP3IN))*((1000)-(c_TMAP3OUT))+IF(((1000)-(c_TMAP3OUT))&gt;=0,1,-1)*QUOTIENT(((1000)-(c_TMAP3IN)),2))+2147483648,4294967296)-2147483648,((1000)-(c_TMAP3IN))*(((C85)-(c_TMAP3IN))*((1000)-(c_TMAP3OUT))+IF(((1000)-(c_TMAP3OUT))&gt;=0,1,-1)*QUOTIENT(((1000)-(c_TMAP3IN)),2)))&lt;0,-1,0),IF(IF(o_WRAP=1,MOD(((1000)-(c_TMAP3IN))*(((C85)-(c_TMAP3IN))*((1000)-(c_TMAP3OUT))+IF(((1000)-(c_TMAP3OUT))&gt;=0,1,-1)*QUOTIENT(((1000)-(c_TMAP3IN)),2))+2147483648,4294967296)-2147483648,((1000)-(c_TMAP3IN))*(((C85)-(c_TMAP3IN))*((1000)-(c_TMAP3OUT))+IF(((1000)-(c_TMAP3OUT))&gt;=0,1,-1)*QUOTIENT(((1000)-(c_TMAP3IN)),2)))&gt;=0,1,0)))</f>
        <v>655</v>
      </c>
      <c r="I85" s="7" t="n">
        <f aca="false">IF(C85&gt;=c_TFWD,IF(AND(C85&gt;=c_TMAP3IN,c_TMAP3IN&lt;1000),H85,IF(AND(C85&gt;=c_TMAP2IN,c_TMAP3IN&gt;c_TMAP2IN),G85,IF(AND(C85&gt;=c_TMAP1IN,c_TMAP2IN&gt;c_TMAP1IN),F85,E85))),D85)</f>
        <v>655</v>
      </c>
      <c r="J85" s="7" t="str">
        <f aca="false">IF(I85&lt;-1090,"TOO LOW",IF(I85&gt;1090,"TOO HIGH",""))</f>
        <v/>
      </c>
      <c r="K85" s="7" t="n">
        <f aca="false">IF(J85&lt;&gt;"",0,IF(I85&gt;979,1000,I85))</f>
        <v>655</v>
      </c>
      <c r="L85" s="7" t="n">
        <f aca="false">IF(OR(c_TSMOOTH=0,K85&gt;=c_TSMOOTHCUT),1,0)</f>
        <v>1</v>
      </c>
      <c r="M85" s="7" t="n">
        <f aca="false">IF(L85=1,0,M84+1)</f>
        <v>0</v>
      </c>
      <c r="N85" s="7" t="n">
        <f aca="false">IF(L85=1,0,MIN(M85,c_TSMOOTH))</f>
        <v>0</v>
      </c>
      <c r="O85" s="7" t="n">
        <f aca="false">IF(COUNTIF($L$5:L85,1)&gt;0,c_TSMOOTHCUT,0)</f>
        <v>400</v>
      </c>
      <c r="P85" s="15" t="n">
        <f aca="true">IF(L85=1,K85,QUOTIENT(SUM(OFFSET(K85,1-N85,0,N85,1))+(c_TSMOOTH-N85)*O85,c_TSMOOTH))</f>
        <v>655</v>
      </c>
      <c r="Q85" s="7" t="n">
        <f aca="false">K85/10</f>
        <v>65.5</v>
      </c>
      <c r="R85" s="7" t="n">
        <f aca="false">P85/10</f>
        <v>65.5</v>
      </c>
    </row>
    <row r="86" customFormat="false" ht="15" hidden="false" customHeight="false" outlineLevel="0" collapsed="false">
      <c r="A86" s="7" t="n">
        <v>81</v>
      </c>
      <c r="B86" s="7" t="n">
        <f aca="false">A86*0.04</f>
        <v>3.24</v>
      </c>
      <c r="C86" s="18" t="n">
        <v>540</v>
      </c>
      <c r="D86" s="7" t="n">
        <f aca="false">IF(AND(C86=0,c_TCREEP&gt;0),10*c_TCREEP,IF(AND(C86&lt;=c_TRNGMIN,C86&gt;=c_TRNGMAX,c_TRNGMIN-c_TRNGMAX&lt;&gt;0),-10*c_TMINRN+QUOTIENT((c_TMAXRN-c_TMINRN)*(100-QUOTIENT((C86-c_TRNGMAX)*100,c_TRNGMIN-c_TRNGMAX)),-10),0))</f>
        <v>0</v>
      </c>
      <c r="E86" s="7" t="n">
        <f aca="false">IF(((c_TMAP1IN)-(c_TFWD))=0,(0)+QUOTIENT(((c_TMAP1OUT)-(0)),2),QUOTIENT((((C86)-(c_TFWD))*((c_TMAP1OUT)-(0))+IF(((c_TMAP1OUT)-(0))&gt;=0,1,-1)*QUOTIENT(((c_TMAP1IN)-(c_TFWD)),2)),((c_TMAP1IN)-(c_TFWD)))+(0)+IF(((c_TMAP1OUT)-(0))&gt;=0,IF(IF(o_WRAP=1,MOD(((c_TMAP1IN)-(c_TFWD))*(((C86)-(c_TFWD))*((c_TMAP1OUT)-(0))+IF(((c_TMAP1OUT)-(0))&gt;=0,1,-1)*QUOTIENT(((c_TMAP1IN)-(c_TFWD)),2))+2147483648,4294967296)-2147483648,((c_TMAP1IN)-(c_TFWD))*(((C86)-(c_TFWD))*((c_TMAP1OUT)-(0))+IF(((c_TMAP1OUT)-(0))&gt;=0,1,-1)*QUOTIENT(((c_TMAP1IN)-(c_TFWD)),2)))&lt;0,-1,0),IF(IF(o_WRAP=1,MOD(((c_TMAP1IN)-(c_TFWD))*(((C86)-(c_TFWD))*((c_TMAP1OUT)-(0))+IF(((c_TMAP1OUT)-(0))&gt;=0,1,-1)*QUOTIENT(((c_TMAP1IN)-(c_TFWD)),2))+2147483648,4294967296)-2147483648,((c_TMAP1IN)-(c_TFWD))*(((C86)-(c_TFWD))*((c_TMAP1OUT)-(0))+IF(((c_TMAP1OUT)-(0))&gt;=0,1,-1)*QUOTIENT(((c_TMAP1IN)-(c_TFWD)),2)))&gt;=0,1,0)))</f>
        <v>412</v>
      </c>
      <c r="F86" s="7" t="n">
        <f aca="false">IF(((c_TMAP2IN)-(c_TMAP1IN))=0,(c_TMAP1OUT)+QUOTIENT(((c_TMAP2OUT)-(c_TMAP1OUT)),2),QUOTIENT((((C86)-(c_TMAP1IN))*((c_TMAP2OUT)-(c_TMAP1OUT))+IF(((c_TMAP2OUT)-(c_TMAP1OUT))&gt;=0,1,-1)*QUOTIENT(((c_TMAP2IN)-(c_TMAP1IN)),2)),((c_TMAP2IN)-(c_TMAP1IN)))+(c_TMAP1OUT)+IF(((c_TMAP2OUT)-(c_TMAP1OUT))&gt;=0,IF(IF(o_WRAP=1,MOD(((c_TMAP2IN)-(c_TMAP1IN))*(((C86)-(c_TMAP1IN))*((c_TMAP2OUT)-(c_TMAP1OUT))+IF(((c_TMAP2OUT)-(c_TMAP1OUT))&gt;=0,1,-1)*QUOTIENT(((c_TMAP2IN)-(c_TMAP1IN)),2))+2147483648,4294967296)-2147483648,((c_TMAP2IN)-(c_TMAP1IN))*(((C86)-(c_TMAP1IN))*((c_TMAP2OUT)-(c_TMAP1OUT))+IF(((c_TMAP2OUT)-(c_TMAP1OUT))&gt;=0,1,-1)*QUOTIENT(((c_TMAP2IN)-(c_TMAP1IN)),2)))&lt;0,-1,0),IF(IF(o_WRAP=1,MOD(((c_TMAP2IN)-(c_TMAP1IN))*(((C86)-(c_TMAP1IN))*((c_TMAP2OUT)-(c_TMAP1OUT))+IF(((c_TMAP2OUT)-(c_TMAP1OUT))&gt;=0,1,-1)*QUOTIENT(((c_TMAP2IN)-(c_TMAP1IN)),2))+2147483648,4294967296)-2147483648,((c_TMAP2IN)-(c_TMAP1IN))*(((C86)-(c_TMAP1IN))*((c_TMAP2OUT)-(c_TMAP1OUT))+IF(((c_TMAP2OUT)-(c_TMAP1OUT))&gt;=0,1,-1)*QUOTIENT(((c_TMAP2IN)-(c_TMAP1IN)),2)))&gt;=0,1,0)))</f>
        <v>246</v>
      </c>
      <c r="G86" s="7" t="n">
        <f aca="false">IF(((c_TMAP3IN)-(c_TMAP2IN))=0,(c_TMAP2OUT)+QUOTIENT(((c_TMAP3OUT)-(c_TMAP2OUT)),2),QUOTIENT((((C86)-(c_TMAP2IN))*((c_TMAP3OUT)-(c_TMAP2OUT))+IF(((c_TMAP3OUT)-(c_TMAP2OUT))&gt;=0,1,-1)*QUOTIENT(((c_TMAP3IN)-(c_TMAP2IN)),2)),((c_TMAP3IN)-(c_TMAP2IN)))+(c_TMAP2OUT)+IF(((c_TMAP3OUT)-(c_TMAP2OUT))&gt;=0,IF(IF(o_WRAP=1,MOD(((c_TMAP3IN)-(c_TMAP2IN))*(((C86)-(c_TMAP2IN))*((c_TMAP3OUT)-(c_TMAP2OUT))+IF(((c_TMAP3OUT)-(c_TMAP2OUT))&gt;=0,1,-1)*QUOTIENT(((c_TMAP3IN)-(c_TMAP2IN)),2))+2147483648,4294967296)-2147483648,((c_TMAP3IN)-(c_TMAP2IN))*(((C86)-(c_TMAP2IN))*((c_TMAP3OUT)-(c_TMAP2OUT))+IF(((c_TMAP3OUT)-(c_TMAP2OUT))&gt;=0,1,-1)*QUOTIENT(((c_TMAP3IN)-(c_TMAP2IN)),2)))&lt;0,-1,0),IF(IF(o_WRAP=1,MOD(((c_TMAP3IN)-(c_TMAP2IN))*(((C86)-(c_TMAP2IN))*((c_TMAP3OUT)-(c_TMAP2OUT))+IF(((c_TMAP3OUT)-(c_TMAP2OUT))&gt;=0,1,-1)*QUOTIENT(((c_TMAP3IN)-(c_TMAP2IN)),2))+2147483648,4294967296)-2147483648,((c_TMAP3IN)-(c_TMAP2IN))*(((C86)-(c_TMAP2IN))*((c_TMAP3OUT)-(c_TMAP2OUT))+IF(((c_TMAP3OUT)-(c_TMAP2OUT))&gt;=0,1,-1)*QUOTIENT(((c_TMAP3IN)-(c_TMAP2IN)),2)))&gt;=0,1,0)))</f>
        <v>333</v>
      </c>
      <c r="H86" s="7" t="n">
        <f aca="false">IF(((1000)-(c_TMAP3IN))=0,(c_TMAP3OUT)+QUOTIENT(((1000)-(c_TMAP3OUT)),2),QUOTIENT((((C86)-(c_TMAP3IN))*((1000)-(c_TMAP3OUT))+IF(((1000)-(c_TMAP3OUT))&gt;=0,1,-1)*QUOTIENT(((1000)-(c_TMAP3IN)),2)),((1000)-(c_TMAP3IN)))+(c_TMAP3OUT)+IF(((1000)-(c_TMAP3OUT))&gt;=0,IF(IF(o_WRAP=1,MOD(((1000)-(c_TMAP3IN))*(((C86)-(c_TMAP3IN))*((1000)-(c_TMAP3OUT))+IF(((1000)-(c_TMAP3OUT))&gt;=0,1,-1)*QUOTIENT(((1000)-(c_TMAP3IN)),2))+2147483648,4294967296)-2147483648,((1000)-(c_TMAP3IN))*(((C86)-(c_TMAP3IN))*((1000)-(c_TMAP3OUT))+IF(((1000)-(c_TMAP3OUT))&gt;=0,1,-1)*QUOTIENT(((1000)-(c_TMAP3IN)),2)))&lt;0,-1,0),IF(IF(o_WRAP=1,MOD(((1000)-(c_TMAP3IN))*(((C86)-(c_TMAP3IN))*((1000)-(c_TMAP3OUT))+IF(((1000)-(c_TMAP3OUT))&gt;=0,1,-1)*QUOTIENT(((1000)-(c_TMAP3IN)),2))+2147483648,4294967296)-2147483648,((1000)-(c_TMAP3IN))*(((C86)-(c_TMAP3IN))*((1000)-(c_TMAP3OUT))+IF(((1000)-(c_TMAP3OUT))&gt;=0,1,-1)*QUOTIENT(((1000)-(c_TMAP3IN)),2)))&gt;=0,1,0)))</f>
        <v>434</v>
      </c>
      <c r="I86" s="7" t="n">
        <f aca="false">IF(C86&gt;=c_TFWD,IF(AND(C86&gt;=c_TMAP3IN,c_TMAP3IN&lt;1000),H86,IF(AND(C86&gt;=c_TMAP2IN,c_TMAP3IN&gt;c_TMAP2IN),G86,IF(AND(C86&gt;=c_TMAP1IN,c_TMAP2IN&gt;c_TMAP1IN),F86,E86))),D86)</f>
        <v>434</v>
      </c>
      <c r="J86" s="7" t="str">
        <f aca="false">IF(I86&lt;-1090,"TOO LOW",IF(I86&gt;1090,"TOO HIGH",""))</f>
        <v/>
      </c>
      <c r="K86" s="7" t="n">
        <f aca="false">IF(J86&lt;&gt;"",0,IF(I86&gt;979,1000,I86))</f>
        <v>434</v>
      </c>
      <c r="L86" s="7" t="n">
        <f aca="false">IF(OR(c_TSMOOTH=0,K86&gt;=c_TSMOOTHCUT),1,0)</f>
        <v>1</v>
      </c>
      <c r="M86" s="7" t="n">
        <f aca="false">IF(L86=1,0,M85+1)</f>
        <v>0</v>
      </c>
      <c r="N86" s="7" t="n">
        <f aca="false">IF(L86=1,0,MIN(M86,c_TSMOOTH))</f>
        <v>0</v>
      </c>
      <c r="O86" s="7" t="n">
        <f aca="false">IF(COUNTIF($L$5:L86,1)&gt;0,c_TSMOOTHCUT,0)</f>
        <v>400</v>
      </c>
      <c r="P86" s="15" t="n">
        <f aca="true">IF(L86=1,K86,QUOTIENT(SUM(OFFSET(K86,1-N86,0,N86,1))+(c_TSMOOTH-N86)*O86,c_TSMOOTH))</f>
        <v>434</v>
      </c>
      <c r="Q86" s="7" t="n">
        <f aca="false">K86/10</f>
        <v>43.4</v>
      </c>
      <c r="R86" s="7" t="n">
        <f aca="false">P86/10</f>
        <v>43.4</v>
      </c>
    </row>
    <row r="87" customFormat="false" ht="15" hidden="false" customHeight="false" outlineLevel="0" collapsed="false">
      <c r="A87" s="7" t="n">
        <v>82</v>
      </c>
      <c r="B87" s="7" t="n">
        <f aca="false">A87*0.04</f>
        <v>3.28</v>
      </c>
      <c r="C87" s="18" t="n">
        <v>360</v>
      </c>
      <c r="D87" s="7" t="n">
        <f aca="false">IF(AND(C87=0,c_TCREEP&gt;0),10*c_TCREEP,IF(AND(C87&lt;=c_TRNGMIN,C87&gt;=c_TRNGMAX,c_TRNGMIN-c_TRNGMAX&lt;&gt;0),-10*c_TMINRN+QUOTIENT((c_TMAXRN-c_TMINRN)*(100-QUOTIENT((C87-c_TRNGMAX)*100,c_TRNGMIN-c_TRNGMAX)),-10),0))</f>
        <v>0</v>
      </c>
      <c r="E87" s="7" t="n">
        <f aca="false">IF(((c_TMAP1IN)-(c_TFWD))=0,(0)+QUOTIENT(((c_TMAP1OUT)-(0)),2),QUOTIENT((((C87)-(c_TFWD))*((c_TMAP1OUT)-(0))+IF(((c_TMAP1OUT)-(0))&gt;=0,1,-1)*QUOTIENT(((c_TMAP1IN)-(c_TFWD)),2)),((c_TMAP1IN)-(c_TFWD)))+(0)+IF(((c_TMAP1OUT)-(0))&gt;=0,IF(IF(o_WRAP=1,MOD(((c_TMAP1IN)-(c_TFWD))*(((C87)-(c_TFWD))*((c_TMAP1OUT)-(0))+IF(((c_TMAP1OUT)-(0))&gt;=0,1,-1)*QUOTIENT(((c_TMAP1IN)-(c_TFWD)),2))+2147483648,4294967296)-2147483648,((c_TMAP1IN)-(c_TFWD))*(((C87)-(c_TFWD))*((c_TMAP1OUT)-(0))+IF(((c_TMAP1OUT)-(0))&gt;=0,1,-1)*QUOTIENT(((c_TMAP1IN)-(c_TFWD)),2)))&lt;0,-1,0),IF(IF(o_WRAP=1,MOD(((c_TMAP1IN)-(c_TFWD))*(((C87)-(c_TFWD))*((c_TMAP1OUT)-(0))+IF(((c_TMAP1OUT)-(0))&gt;=0,1,-1)*QUOTIENT(((c_TMAP1IN)-(c_TFWD)),2))+2147483648,4294967296)-2147483648,((c_TMAP1IN)-(c_TFWD))*(((C87)-(c_TFWD))*((c_TMAP1OUT)-(0))+IF(((c_TMAP1OUT)-(0))&gt;=0,1,-1)*QUOTIENT(((c_TMAP1IN)-(c_TFWD)),2)))&gt;=0,1,0)))</f>
        <v>272</v>
      </c>
      <c r="F87" s="7" t="n">
        <f aca="false">IF(((c_TMAP2IN)-(c_TMAP1IN))=0,(c_TMAP1OUT)+QUOTIENT(((c_TMAP2OUT)-(c_TMAP1OUT)),2),QUOTIENT((((C87)-(c_TMAP1IN))*((c_TMAP2OUT)-(c_TMAP1OUT))+IF(((c_TMAP2OUT)-(c_TMAP1OUT))&gt;=0,1,-1)*QUOTIENT(((c_TMAP2IN)-(c_TMAP1IN)),2)),((c_TMAP2IN)-(c_TMAP1IN)))+(c_TMAP1OUT)+IF(((c_TMAP2OUT)-(c_TMAP1OUT))&gt;=0,IF(IF(o_WRAP=1,MOD(((c_TMAP2IN)-(c_TMAP1IN))*(((C87)-(c_TMAP1IN))*((c_TMAP2OUT)-(c_TMAP1OUT))+IF(((c_TMAP2OUT)-(c_TMAP1OUT))&gt;=0,1,-1)*QUOTIENT(((c_TMAP2IN)-(c_TMAP1IN)),2))+2147483648,4294967296)-2147483648,((c_TMAP2IN)-(c_TMAP1IN))*(((C87)-(c_TMAP1IN))*((c_TMAP2OUT)-(c_TMAP1OUT))+IF(((c_TMAP2OUT)-(c_TMAP1OUT))&gt;=0,1,-1)*QUOTIENT(((c_TMAP2IN)-(c_TMAP1IN)),2)))&lt;0,-1,0),IF(IF(o_WRAP=1,MOD(((c_TMAP2IN)-(c_TMAP1IN))*(((C87)-(c_TMAP1IN))*((c_TMAP2OUT)-(c_TMAP1OUT))+IF(((c_TMAP2OUT)-(c_TMAP1OUT))&gt;=0,1,-1)*QUOTIENT(((c_TMAP2IN)-(c_TMAP1IN)),2))+2147483648,4294967296)-2147483648,((c_TMAP2IN)-(c_TMAP1IN))*(((C87)-(c_TMAP1IN))*((c_TMAP2OUT)-(c_TMAP1OUT))+IF(((c_TMAP2OUT)-(c_TMAP1OUT))&gt;=0,1,-1)*QUOTIENT(((c_TMAP2IN)-(c_TMAP1IN)),2)))&gt;=0,1,0)))</f>
        <v>174</v>
      </c>
      <c r="G87" s="7" t="n">
        <f aca="false">IF(((c_TMAP3IN)-(c_TMAP2IN))=0,(c_TMAP2OUT)+QUOTIENT(((c_TMAP3OUT)-(c_TMAP2OUT)),2),QUOTIENT((((C87)-(c_TMAP2IN))*((c_TMAP3OUT)-(c_TMAP2OUT))+IF(((c_TMAP3OUT)-(c_TMAP2OUT))&gt;=0,1,-1)*QUOTIENT(((c_TMAP3IN)-(c_TMAP2IN)),2)),((c_TMAP3IN)-(c_TMAP2IN)))+(c_TMAP2OUT)+IF(((c_TMAP3OUT)-(c_TMAP2OUT))&gt;=0,IF(IF(o_WRAP=1,MOD(((c_TMAP3IN)-(c_TMAP2IN))*(((C87)-(c_TMAP2IN))*((c_TMAP3OUT)-(c_TMAP2OUT))+IF(((c_TMAP3OUT)-(c_TMAP2OUT))&gt;=0,1,-1)*QUOTIENT(((c_TMAP3IN)-(c_TMAP2IN)),2))+2147483648,4294967296)-2147483648,((c_TMAP3IN)-(c_TMAP2IN))*(((C87)-(c_TMAP2IN))*((c_TMAP3OUT)-(c_TMAP2OUT))+IF(((c_TMAP3OUT)-(c_TMAP2OUT))&gt;=0,1,-1)*QUOTIENT(((c_TMAP3IN)-(c_TMAP2IN)),2)))&lt;0,-1,0),IF(IF(o_WRAP=1,MOD(((c_TMAP3IN)-(c_TMAP2IN))*(((C87)-(c_TMAP2IN))*((c_TMAP3OUT)-(c_TMAP2OUT))+IF(((c_TMAP3OUT)-(c_TMAP2OUT))&gt;=0,1,-1)*QUOTIENT(((c_TMAP3IN)-(c_TMAP2IN)),2))+2147483648,4294967296)-2147483648,((c_TMAP3IN)-(c_TMAP2IN))*(((C87)-(c_TMAP2IN))*((c_TMAP3OUT)-(c_TMAP2OUT))+IF(((c_TMAP3OUT)-(c_TMAP2OUT))&gt;=0,1,-1)*QUOTIENT(((c_TMAP3IN)-(c_TMAP2IN)),2)))&gt;=0,1,0)))</f>
        <v>207</v>
      </c>
      <c r="H87" s="7" t="n">
        <f aca="false">IF(((1000)-(c_TMAP3IN))=0,(c_TMAP3OUT)+QUOTIENT(((1000)-(c_TMAP3OUT)),2),QUOTIENT((((C87)-(c_TMAP3IN))*((1000)-(c_TMAP3OUT))+IF(((1000)-(c_TMAP3OUT))&gt;=0,1,-1)*QUOTIENT(((1000)-(c_TMAP3IN)),2)),((1000)-(c_TMAP3IN)))+(c_TMAP3OUT)+IF(((1000)-(c_TMAP3OUT))&gt;=0,IF(IF(o_WRAP=1,MOD(((1000)-(c_TMAP3IN))*(((C87)-(c_TMAP3IN))*((1000)-(c_TMAP3OUT))+IF(((1000)-(c_TMAP3OUT))&gt;=0,1,-1)*QUOTIENT(((1000)-(c_TMAP3IN)),2))+2147483648,4294967296)-2147483648,((1000)-(c_TMAP3IN))*(((C87)-(c_TMAP3IN))*((1000)-(c_TMAP3OUT))+IF(((1000)-(c_TMAP3OUT))&gt;=0,1,-1)*QUOTIENT(((1000)-(c_TMAP3IN)),2)))&lt;0,-1,0),IF(IF(o_WRAP=1,MOD(((1000)-(c_TMAP3IN))*(((C87)-(c_TMAP3IN))*((1000)-(c_TMAP3OUT))+IF(((1000)-(c_TMAP3OUT))&gt;=0,1,-1)*QUOTIENT(((1000)-(c_TMAP3IN)),2))+2147483648,4294967296)-2147483648,((1000)-(c_TMAP3IN))*(((C87)-(c_TMAP3IN))*((1000)-(c_TMAP3OUT))+IF(((1000)-(c_TMAP3OUT))&gt;=0,1,-1)*QUOTIENT(((1000)-(c_TMAP3IN)),2)))&gt;=0,1,0)))</f>
        <v>212</v>
      </c>
      <c r="I87" s="7" t="n">
        <f aca="false">IF(C87&gt;=c_TFWD,IF(AND(C87&gt;=c_TMAP3IN,c_TMAP3IN&lt;1000),H87,IF(AND(C87&gt;=c_TMAP2IN,c_TMAP3IN&gt;c_TMAP2IN),G87,IF(AND(C87&gt;=c_TMAP1IN,c_TMAP2IN&gt;c_TMAP1IN),F87,E87))),D87)</f>
        <v>212</v>
      </c>
      <c r="J87" s="7" t="str">
        <f aca="false">IF(I87&lt;-1090,"TOO LOW",IF(I87&gt;1090,"TOO HIGH",""))</f>
        <v/>
      </c>
      <c r="K87" s="7" t="n">
        <f aca="false">IF(J87&lt;&gt;"",0,IF(I87&gt;979,1000,I87))</f>
        <v>212</v>
      </c>
      <c r="L87" s="7" t="n">
        <f aca="false">IF(OR(c_TSMOOTH=0,K87&gt;=c_TSMOOTHCUT),1,0)</f>
        <v>0</v>
      </c>
      <c r="M87" s="7" t="n">
        <f aca="false">IF(L87=1,0,M86+1)</f>
        <v>1</v>
      </c>
      <c r="N87" s="7" t="n">
        <f aca="false">IF(L87=1,0,MIN(M87,c_TSMOOTH))</f>
        <v>1</v>
      </c>
      <c r="O87" s="7" t="n">
        <f aca="false">IF(COUNTIF($L$5:L87,1)&gt;0,c_TSMOOTHCUT,0)</f>
        <v>400</v>
      </c>
      <c r="P87" s="15" t="n">
        <f aca="true">IF(L87=1,K87,QUOTIENT(SUM(OFFSET(K87,1-N87,0,N87,1))+(c_TSMOOTH-N87)*O87,c_TSMOOTH))</f>
        <v>393</v>
      </c>
      <c r="Q87" s="7" t="n">
        <f aca="false">K87/10</f>
        <v>21.2</v>
      </c>
      <c r="R87" s="7" t="n">
        <f aca="false">P87/10</f>
        <v>39.3</v>
      </c>
    </row>
    <row r="88" customFormat="false" ht="15" hidden="false" customHeight="false" outlineLevel="0" collapsed="false">
      <c r="A88" s="7" t="n">
        <v>83</v>
      </c>
      <c r="B88" s="7" t="n">
        <f aca="false">A88*0.04</f>
        <v>3.32</v>
      </c>
      <c r="C88" s="18" t="n">
        <v>180</v>
      </c>
      <c r="D88" s="7" t="n">
        <f aca="false">IF(AND(C88=0,c_TCREEP&gt;0),10*c_TCREEP,IF(AND(C88&lt;=c_TRNGMIN,C88&gt;=c_TRNGMAX,c_TRNGMIN-c_TRNGMAX&lt;&gt;0),-10*c_TMINRN+QUOTIENT((c_TMAXRN-c_TMINRN)*(100-QUOTIENT((C88-c_TRNGMAX)*100,c_TRNGMIN-c_TRNGMAX)),-10),0))</f>
        <v>0</v>
      </c>
      <c r="E88" s="7" t="n">
        <f aca="false">IF(((c_TMAP1IN)-(c_TFWD))=0,(0)+QUOTIENT(((c_TMAP1OUT)-(0)),2),QUOTIENT((((C88)-(c_TFWD))*((c_TMAP1OUT)-(0))+IF(((c_TMAP1OUT)-(0))&gt;=0,1,-1)*QUOTIENT(((c_TMAP1IN)-(c_TFWD)),2)),((c_TMAP1IN)-(c_TFWD)))+(0)+IF(((c_TMAP1OUT)-(0))&gt;=0,IF(IF(o_WRAP=1,MOD(((c_TMAP1IN)-(c_TFWD))*(((C88)-(c_TFWD))*((c_TMAP1OUT)-(0))+IF(((c_TMAP1OUT)-(0))&gt;=0,1,-1)*QUOTIENT(((c_TMAP1IN)-(c_TFWD)),2))+2147483648,4294967296)-2147483648,((c_TMAP1IN)-(c_TFWD))*(((C88)-(c_TFWD))*((c_TMAP1OUT)-(0))+IF(((c_TMAP1OUT)-(0))&gt;=0,1,-1)*QUOTIENT(((c_TMAP1IN)-(c_TFWD)),2)))&lt;0,-1,0),IF(IF(o_WRAP=1,MOD(((c_TMAP1IN)-(c_TFWD))*(((C88)-(c_TFWD))*((c_TMAP1OUT)-(0))+IF(((c_TMAP1OUT)-(0))&gt;=0,1,-1)*QUOTIENT(((c_TMAP1IN)-(c_TFWD)),2))+2147483648,4294967296)-2147483648,((c_TMAP1IN)-(c_TFWD))*(((C88)-(c_TFWD))*((c_TMAP1OUT)-(0))+IF(((c_TMAP1OUT)-(0))&gt;=0,1,-1)*QUOTIENT(((c_TMAP1IN)-(c_TFWD)),2)))&gt;=0,1,0)))</f>
        <v>132</v>
      </c>
      <c r="F88" s="7" t="n">
        <f aca="false">IF(((c_TMAP2IN)-(c_TMAP1IN))=0,(c_TMAP1OUT)+QUOTIENT(((c_TMAP2OUT)-(c_TMAP1OUT)),2),QUOTIENT((((C88)-(c_TMAP1IN))*((c_TMAP2OUT)-(c_TMAP1OUT))+IF(((c_TMAP2OUT)-(c_TMAP1OUT))&gt;=0,1,-1)*QUOTIENT(((c_TMAP2IN)-(c_TMAP1IN)),2)),((c_TMAP2IN)-(c_TMAP1IN)))+(c_TMAP1OUT)+IF(((c_TMAP2OUT)-(c_TMAP1OUT))&gt;=0,IF(IF(o_WRAP=1,MOD(((c_TMAP2IN)-(c_TMAP1IN))*(((C88)-(c_TMAP1IN))*((c_TMAP2OUT)-(c_TMAP1OUT))+IF(((c_TMAP2OUT)-(c_TMAP1OUT))&gt;=0,1,-1)*QUOTIENT(((c_TMAP2IN)-(c_TMAP1IN)),2))+2147483648,4294967296)-2147483648,((c_TMAP2IN)-(c_TMAP1IN))*(((C88)-(c_TMAP1IN))*((c_TMAP2OUT)-(c_TMAP1OUT))+IF(((c_TMAP2OUT)-(c_TMAP1OUT))&gt;=0,1,-1)*QUOTIENT(((c_TMAP2IN)-(c_TMAP1IN)),2)))&lt;0,-1,0),IF(IF(o_WRAP=1,MOD(((c_TMAP2IN)-(c_TMAP1IN))*(((C88)-(c_TMAP1IN))*((c_TMAP2OUT)-(c_TMAP1OUT))+IF(((c_TMAP2OUT)-(c_TMAP1OUT))&gt;=0,1,-1)*QUOTIENT(((c_TMAP2IN)-(c_TMAP1IN)),2))+2147483648,4294967296)-2147483648,((c_TMAP2IN)-(c_TMAP1IN))*(((C88)-(c_TMAP1IN))*((c_TMAP2OUT)-(c_TMAP1OUT))+IF(((c_TMAP2OUT)-(c_TMAP1OUT))&gt;=0,1,-1)*QUOTIENT(((c_TMAP2IN)-(c_TMAP1IN)),2)))&gt;=0,1,0)))</f>
        <v>102</v>
      </c>
      <c r="G88" s="7" t="n">
        <f aca="false">IF(((c_TMAP3IN)-(c_TMAP2IN))=0,(c_TMAP2OUT)+QUOTIENT(((c_TMAP3OUT)-(c_TMAP2OUT)),2),QUOTIENT((((C88)-(c_TMAP2IN))*((c_TMAP3OUT)-(c_TMAP2OUT))+IF(((c_TMAP3OUT)-(c_TMAP2OUT))&gt;=0,1,-1)*QUOTIENT(((c_TMAP3IN)-(c_TMAP2IN)),2)),((c_TMAP3IN)-(c_TMAP2IN)))+(c_TMAP2OUT)+IF(((c_TMAP3OUT)-(c_TMAP2OUT))&gt;=0,IF(IF(o_WRAP=1,MOD(((c_TMAP3IN)-(c_TMAP2IN))*(((C88)-(c_TMAP2IN))*((c_TMAP3OUT)-(c_TMAP2OUT))+IF(((c_TMAP3OUT)-(c_TMAP2OUT))&gt;=0,1,-1)*QUOTIENT(((c_TMAP3IN)-(c_TMAP2IN)),2))+2147483648,4294967296)-2147483648,((c_TMAP3IN)-(c_TMAP2IN))*(((C88)-(c_TMAP2IN))*((c_TMAP3OUT)-(c_TMAP2OUT))+IF(((c_TMAP3OUT)-(c_TMAP2OUT))&gt;=0,1,-1)*QUOTIENT(((c_TMAP3IN)-(c_TMAP2IN)),2)))&lt;0,-1,0),IF(IF(o_WRAP=1,MOD(((c_TMAP3IN)-(c_TMAP2IN))*(((C88)-(c_TMAP2IN))*((c_TMAP3OUT)-(c_TMAP2OUT))+IF(((c_TMAP3OUT)-(c_TMAP2OUT))&gt;=0,1,-1)*QUOTIENT(((c_TMAP3IN)-(c_TMAP2IN)),2))+2147483648,4294967296)-2147483648,((c_TMAP3IN)-(c_TMAP2IN))*(((C88)-(c_TMAP2IN))*((c_TMAP3OUT)-(c_TMAP2OUT))+IF(((c_TMAP3OUT)-(c_TMAP2OUT))&gt;=0,1,-1)*QUOTIENT(((c_TMAP3IN)-(c_TMAP2IN)),2)))&gt;=0,1,0)))</f>
        <v>81</v>
      </c>
      <c r="H88" s="7" t="n">
        <f aca="false">IF(((1000)-(c_TMAP3IN))=0,(c_TMAP3OUT)+QUOTIENT(((1000)-(c_TMAP3OUT)),2),QUOTIENT((((C88)-(c_TMAP3IN))*((1000)-(c_TMAP3OUT))+IF(((1000)-(c_TMAP3OUT))&gt;=0,1,-1)*QUOTIENT(((1000)-(c_TMAP3IN)),2)),((1000)-(c_TMAP3IN)))+(c_TMAP3OUT)+IF(((1000)-(c_TMAP3OUT))&gt;=0,IF(IF(o_WRAP=1,MOD(((1000)-(c_TMAP3IN))*(((C88)-(c_TMAP3IN))*((1000)-(c_TMAP3OUT))+IF(((1000)-(c_TMAP3OUT))&gt;=0,1,-1)*QUOTIENT(((1000)-(c_TMAP3IN)),2))+2147483648,4294967296)-2147483648,((1000)-(c_TMAP3IN))*(((C88)-(c_TMAP3IN))*((1000)-(c_TMAP3OUT))+IF(((1000)-(c_TMAP3OUT))&gt;=0,1,-1)*QUOTIENT(((1000)-(c_TMAP3IN)),2)))&lt;0,-1,0),IF(IF(o_WRAP=1,MOD(((1000)-(c_TMAP3IN))*(((C88)-(c_TMAP3IN))*((1000)-(c_TMAP3OUT))+IF(((1000)-(c_TMAP3OUT))&gt;=0,1,-1)*QUOTIENT(((1000)-(c_TMAP3IN)),2))+2147483648,4294967296)-2147483648,((1000)-(c_TMAP3IN))*(((C88)-(c_TMAP3IN))*((1000)-(c_TMAP3OUT))+IF(((1000)-(c_TMAP3OUT))&gt;=0,1,-1)*QUOTIENT(((1000)-(c_TMAP3IN)),2)))&gt;=0,1,0)))</f>
        <v>-9</v>
      </c>
      <c r="I88" s="7" t="n">
        <f aca="false">IF(C88&gt;=c_TFWD,IF(AND(C88&gt;=c_TMAP3IN,c_TMAP3IN&lt;1000),H88,IF(AND(C88&gt;=c_TMAP2IN,c_TMAP3IN&gt;c_TMAP2IN),G88,IF(AND(C88&gt;=c_TMAP1IN,c_TMAP2IN&gt;c_TMAP1IN),F88,E88))),D88)</f>
        <v>102</v>
      </c>
      <c r="J88" s="7" t="str">
        <f aca="false">IF(I88&lt;-1090,"TOO LOW",IF(I88&gt;1090,"TOO HIGH",""))</f>
        <v/>
      </c>
      <c r="K88" s="7" t="n">
        <f aca="false">IF(J88&lt;&gt;"",0,IF(I88&gt;979,1000,I88))</f>
        <v>102</v>
      </c>
      <c r="L88" s="7" t="n">
        <f aca="false">IF(OR(c_TSMOOTH=0,K88&gt;=c_TSMOOTHCUT),1,0)</f>
        <v>0</v>
      </c>
      <c r="M88" s="7" t="n">
        <f aca="false">IF(L88=1,0,M87+1)</f>
        <v>2</v>
      </c>
      <c r="N88" s="7" t="n">
        <f aca="false">IF(L88=1,0,MIN(M88,c_TSMOOTH))</f>
        <v>2</v>
      </c>
      <c r="O88" s="7" t="n">
        <f aca="false">IF(COUNTIF($L$5:L88,1)&gt;0,c_TSMOOTHCUT,0)</f>
        <v>400</v>
      </c>
      <c r="P88" s="15" t="n">
        <f aca="true">IF(L88=1,K88,QUOTIENT(SUM(OFFSET(K88,1-N88,0,N88,1))+(c_TSMOOTH-N88)*O88,c_TSMOOTH))</f>
        <v>383</v>
      </c>
      <c r="Q88" s="7" t="n">
        <f aca="false">K88/10</f>
        <v>10.2</v>
      </c>
      <c r="R88" s="7" t="n">
        <f aca="false">P88/10</f>
        <v>38.3</v>
      </c>
    </row>
    <row r="89" customFormat="false" ht="15" hidden="false" customHeight="false" outlineLevel="0" collapsed="false">
      <c r="A89" s="7" t="n">
        <v>84</v>
      </c>
      <c r="B89" s="7" t="n">
        <f aca="false">A89*0.04</f>
        <v>3.36</v>
      </c>
      <c r="C89" s="18" t="n">
        <v>0</v>
      </c>
      <c r="D89" s="7" t="n">
        <f aca="false">IF(AND(C89=0,c_TCREEP&gt;0),10*c_TCREEP,IF(AND(C89&lt;=c_TRNGMIN,C89&gt;=c_TRNGMAX,c_TRNGMIN-c_TRNGMAX&lt;&gt;0),-10*c_TMINRN+QUOTIENT((c_TMAXRN-c_TMINRN)*(100-QUOTIENT((C89-c_TRNGMAX)*100,c_TRNGMIN-c_TRNGMAX)),-10),0))</f>
        <v>-350</v>
      </c>
      <c r="E89" s="7" t="n">
        <f aca="false">IF(((c_TMAP1IN)-(c_TFWD))=0,(0)+QUOTIENT(((c_TMAP1OUT)-(0)),2),QUOTIENT((((C89)-(c_TFWD))*((c_TMAP1OUT)-(0))+IF(((c_TMAP1OUT)-(0))&gt;=0,1,-1)*QUOTIENT(((c_TMAP1IN)-(c_TFWD)),2)),((c_TMAP1IN)-(c_TFWD)))+(0)+IF(((c_TMAP1OUT)-(0))&gt;=0,IF(IF(o_WRAP=1,MOD(((c_TMAP1IN)-(c_TFWD))*(((C89)-(c_TFWD))*((c_TMAP1OUT)-(0))+IF(((c_TMAP1OUT)-(0))&gt;=0,1,-1)*QUOTIENT(((c_TMAP1IN)-(c_TFWD)),2))+2147483648,4294967296)-2147483648,((c_TMAP1IN)-(c_TFWD))*(((C89)-(c_TFWD))*((c_TMAP1OUT)-(0))+IF(((c_TMAP1OUT)-(0))&gt;=0,1,-1)*QUOTIENT(((c_TMAP1IN)-(c_TFWD)),2)))&lt;0,-1,0),IF(IF(o_WRAP=1,MOD(((c_TMAP1IN)-(c_TFWD))*(((C89)-(c_TFWD))*((c_TMAP1OUT)-(0))+IF(((c_TMAP1OUT)-(0))&gt;=0,1,-1)*QUOTIENT(((c_TMAP1IN)-(c_TFWD)),2))+2147483648,4294967296)-2147483648,((c_TMAP1IN)-(c_TFWD))*(((C89)-(c_TFWD))*((c_TMAP1OUT)-(0))+IF(((c_TMAP1OUT)-(0))&gt;=0,1,-1)*QUOTIENT(((c_TMAP1IN)-(c_TFWD)),2)))&gt;=0,1,0)))</f>
        <v>-8</v>
      </c>
      <c r="F89" s="7" t="n">
        <f aca="false">IF(((c_TMAP2IN)-(c_TMAP1IN))=0,(c_TMAP1OUT)+QUOTIENT(((c_TMAP2OUT)-(c_TMAP1OUT)),2),QUOTIENT((((C89)-(c_TMAP1IN))*((c_TMAP2OUT)-(c_TMAP1OUT))+IF(((c_TMAP2OUT)-(c_TMAP1OUT))&gt;=0,1,-1)*QUOTIENT(((c_TMAP2IN)-(c_TMAP1IN)),2)),((c_TMAP2IN)-(c_TMAP1IN)))+(c_TMAP1OUT)+IF(((c_TMAP2OUT)-(c_TMAP1OUT))&gt;=0,IF(IF(o_WRAP=1,MOD(((c_TMAP2IN)-(c_TMAP1IN))*(((C89)-(c_TMAP1IN))*((c_TMAP2OUT)-(c_TMAP1OUT))+IF(((c_TMAP2OUT)-(c_TMAP1OUT))&gt;=0,1,-1)*QUOTIENT(((c_TMAP2IN)-(c_TMAP1IN)),2))+2147483648,4294967296)-2147483648,((c_TMAP2IN)-(c_TMAP1IN))*(((C89)-(c_TMAP1IN))*((c_TMAP2OUT)-(c_TMAP1OUT))+IF(((c_TMAP2OUT)-(c_TMAP1OUT))&gt;=0,1,-1)*QUOTIENT(((c_TMAP2IN)-(c_TMAP1IN)),2)))&lt;0,-1,0),IF(IF(o_WRAP=1,MOD(((c_TMAP2IN)-(c_TMAP1IN))*(((C89)-(c_TMAP1IN))*((c_TMAP2OUT)-(c_TMAP1OUT))+IF(((c_TMAP2OUT)-(c_TMAP1OUT))&gt;=0,1,-1)*QUOTIENT(((c_TMAP2IN)-(c_TMAP1IN)),2))+2147483648,4294967296)-2147483648,((c_TMAP2IN)-(c_TMAP1IN))*(((C89)-(c_TMAP1IN))*((c_TMAP2OUT)-(c_TMAP1OUT))+IF(((c_TMAP2OUT)-(c_TMAP1OUT))&gt;=0,1,-1)*QUOTIENT(((c_TMAP2IN)-(c_TMAP1IN)),2)))&gt;=0,1,0)))</f>
        <v>30</v>
      </c>
      <c r="G89" s="7" t="n">
        <f aca="false">IF(((c_TMAP3IN)-(c_TMAP2IN))=0,(c_TMAP2OUT)+QUOTIENT(((c_TMAP3OUT)-(c_TMAP2OUT)),2),QUOTIENT((((C89)-(c_TMAP2IN))*((c_TMAP3OUT)-(c_TMAP2OUT))+IF(((c_TMAP3OUT)-(c_TMAP2OUT))&gt;=0,1,-1)*QUOTIENT(((c_TMAP3IN)-(c_TMAP2IN)),2)),((c_TMAP3IN)-(c_TMAP2IN)))+(c_TMAP2OUT)+IF(((c_TMAP3OUT)-(c_TMAP2OUT))&gt;=0,IF(IF(o_WRAP=1,MOD(((c_TMAP3IN)-(c_TMAP2IN))*(((C89)-(c_TMAP2IN))*((c_TMAP3OUT)-(c_TMAP2OUT))+IF(((c_TMAP3OUT)-(c_TMAP2OUT))&gt;=0,1,-1)*QUOTIENT(((c_TMAP3IN)-(c_TMAP2IN)),2))+2147483648,4294967296)-2147483648,((c_TMAP3IN)-(c_TMAP2IN))*(((C89)-(c_TMAP2IN))*((c_TMAP3OUT)-(c_TMAP2OUT))+IF(((c_TMAP3OUT)-(c_TMAP2OUT))&gt;=0,1,-1)*QUOTIENT(((c_TMAP3IN)-(c_TMAP2IN)),2)))&lt;0,-1,0),IF(IF(o_WRAP=1,MOD(((c_TMAP3IN)-(c_TMAP2IN))*(((C89)-(c_TMAP2IN))*((c_TMAP3OUT)-(c_TMAP2OUT))+IF(((c_TMAP3OUT)-(c_TMAP2OUT))&gt;=0,1,-1)*QUOTIENT(((c_TMAP3IN)-(c_TMAP2IN)),2))+2147483648,4294967296)-2147483648,((c_TMAP3IN)-(c_TMAP2IN))*(((C89)-(c_TMAP2IN))*((c_TMAP3OUT)-(c_TMAP2OUT))+IF(((c_TMAP3OUT)-(c_TMAP2OUT))&gt;=0,1,-1)*QUOTIENT(((c_TMAP3IN)-(c_TMAP2IN)),2)))&gt;=0,1,0)))</f>
        <v>-45</v>
      </c>
      <c r="H89" s="7" t="n">
        <f aca="false">IF(((1000)-(c_TMAP3IN))=0,(c_TMAP3OUT)+QUOTIENT(((1000)-(c_TMAP3OUT)),2),QUOTIENT((((C89)-(c_TMAP3IN))*((1000)-(c_TMAP3OUT))+IF(((1000)-(c_TMAP3OUT))&gt;=0,1,-1)*QUOTIENT(((1000)-(c_TMAP3IN)),2)),((1000)-(c_TMAP3IN)))+(c_TMAP3OUT)+IF(((1000)-(c_TMAP3OUT))&gt;=0,IF(IF(o_WRAP=1,MOD(((1000)-(c_TMAP3IN))*(((C89)-(c_TMAP3IN))*((1000)-(c_TMAP3OUT))+IF(((1000)-(c_TMAP3OUT))&gt;=0,1,-1)*QUOTIENT(((1000)-(c_TMAP3IN)),2))+2147483648,4294967296)-2147483648,((1000)-(c_TMAP3IN))*(((C89)-(c_TMAP3IN))*((1000)-(c_TMAP3OUT))+IF(((1000)-(c_TMAP3OUT))&gt;=0,1,-1)*QUOTIENT(((1000)-(c_TMAP3IN)),2)))&lt;0,-1,0),IF(IF(o_WRAP=1,MOD(((1000)-(c_TMAP3IN))*(((C89)-(c_TMAP3IN))*((1000)-(c_TMAP3OUT))+IF(((1000)-(c_TMAP3OUT))&gt;=0,1,-1)*QUOTIENT(((1000)-(c_TMAP3IN)),2))+2147483648,4294967296)-2147483648,((1000)-(c_TMAP3IN))*(((C89)-(c_TMAP3IN))*((1000)-(c_TMAP3OUT))+IF(((1000)-(c_TMAP3OUT))&gt;=0,1,-1)*QUOTIENT(((1000)-(c_TMAP3IN)),2)))&gt;=0,1,0)))</f>
        <v>-231</v>
      </c>
      <c r="I89" s="7" t="n">
        <f aca="false">IF(C89&gt;=c_TFWD,IF(AND(C89&gt;=c_TMAP3IN,c_TMAP3IN&lt;1000),H89,IF(AND(C89&gt;=c_TMAP2IN,c_TMAP3IN&gt;c_TMAP2IN),G89,IF(AND(C89&gt;=c_TMAP1IN,c_TMAP2IN&gt;c_TMAP1IN),F89,E89))),D89)</f>
        <v>-350</v>
      </c>
      <c r="J89" s="7" t="str">
        <f aca="false">IF(I89&lt;-1090,"TOO LOW",IF(I89&gt;1090,"TOO HIGH",""))</f>
        <v/>
      </c>
      <c r="K89" s="7" t="n">
        <f aca="false">IF(J89&lt;&gt;"",0,IF(I89&gt;979,1000,I89))</f>
        <v>-350</v>
      </c>
      <c r="L89" s="7" t="n">
        <f aca="false">IF(OR(c_TSMOOTH=0,K89&gt;=c_TSMOOTHCUT),1,0)</f>
        <v>0</v>
      </c>
      <c r="M89" s="7" t="n">
        <f aca="false">IF(L89=1,0,M88+1)</f>
        <v>3</v>
      </c>
      <c r="N89" s="7" t="n">
        <f aca="false">IF(L89=1,0,MIN(M89,c_TSMOOTH))</f>
        <v>3</v>
      </c>
      <c r="O89" s="7" t="n">
        <f aca="false">IF(COUNTIF($L$5:L89,1)&gt;0,c_TSMOOTHCUT,0)</f>
        <v>400</v>
      </c>
      <c r="P89" s="15" t="n">
        <f aca="true">IF(L89=1,K89,QUOTIENT(SUM(OFFSET(K89,1-N89,0,N89,1))+(c_TSMOOTH-N89)*O89,c_TSMOOTH))</f>
        <v>358</v>
      </c>
      <c r="Q89" s="7" t="n">
        <f aca="false">K89/10</f>
        <v>-35</v>
      </c>
      <c r="R89" s="7" t="n">
        <f aca="false">P89/10</f>
        <v>35.8</v>
      </c>
    </row>
    <row r="90" customFormat="false" ht="15" hidden="false" customHeight="false" outlineLevel="0" collapsed="false">
      <c r="A90" s="7" t="n">
        <v>85</v>
      </c>
      <c r="B90" s="7" t="n">
        <f aca="false">A90*0.04</f>
        <v>3.4</v>
      </c>
      <c r="C90" s="18" t="n">
        <v>0</v>
      </c>
      <c r="D90" s="7" t="n">
        <f aca="false">IF(AND(C90=0,c_TCREEP&gt;0),10*c_TCREEP,IF(AND(C90&lt;=c_TRNGMIN,C90&gt;=c_TRNGMAX,c_TRNGMIN-c_TRNGMAX&lt;&gt;0),-10*c_TMINRN+QUOTIENT((c_TMAXRN-c_TMINRN)*(100-QUOTIENT((C90-c_TRNGMAX)*100,c_TRNGMIN-c_TRNGMAX)),-10),0))</f>
        <v>-350</v>
      </c>
      <c r="E90" s="7" t="n">
        <f aca="false">IF(((c_TMAP1IN)-(c_TFWD))=0,(0)+QUOTIENT(((c_TMAP1OUT)-(0)),2),QUOTIENT((((C90)-(c_TFWD))*((c_TMAP1OUT)-(0))+IF(((c_TMAP1OUT)-(0))&gt;=0,1,-1)*QUOTIENT(((c_TMAP1IN)-(c_TFWD)),2)),((c_TMAP1IN)-(c_TFWD)))+(0)+IF(((c_TMAP1OUT)-(0))&gt;=0,IF(IF(o_WRAP=1,MOD(((c_TMAP1IN)-(c_TFWD))*(((C90)-(c_TFWD))*((c_TMAP1OUT)-(0))+IF(((c_TMAP1OUT)-(0))&gt;=0,1,-1)*QUOTIENT(((c_TMAP1IN)-(c_TFWD)),2))+2147483648,4294967296)-2147483648,((c_TMAP1IN)-(c_TFWD))*(((C90)-(c_TFWD))*((c_TMAP1OUT)-(0))+IF(((c_TMAP1OUT)-(0))&gt;=0,1,-1)*QUOTIENT(((c_TMAP1IN)-(c_TFWD)),2)))&lt;0,-1,0),IF(IF(o_WRAP=1,MOD(((c_TMAP1IN)-(c_TFWD))*(((C90)-(c_TFWD))*((c_TMAP1OUT)-(0))+IF(((c_TMAP1OUT)-(0))&gt;=0,1,-1)*QUOTIENT(((c_TMAP1IN)-(c_TFWD)),2))+2147483648,4294967296)-2147483648,((c_TMAP1IN)-(c_TFWD))*(((C90)-(c_TFWD))*((c_TMAP1OUT)-(0))+IF(((c_TMAP1OUT)-(0))&gt;=0,1,-1)*QUOTIENT(((c_TMAP1IN)-(c_TFWD)),2)))&gt;=0,1,0)))</f>
        <v>-8</v>
      </c>
      <c r="F90" s="7" t="n">
        <f aca="false">IF(((c_TMAP2IN)-(c_TMAP1IN))=0,(c_TMAP1OUT)+QUOTIENT(((c_TMAP2OUT)-(c_TMAP1OUT)),2),QUOTIENT((((C90)-(c_TMAP1IN))*((c_TMAP2OUT)-(c_TMAP1OUT))+IF(((c_TMAP2OUT)-(c_TMAP1OUT))&gt;=0,1,-1)*QUOTIENT(((c_TMAP2IN)-(c_TMAP1IN)),2)),((c_TMAP2IN)-(c_TMAP1IN)))+(c_TMAP1OUT)+IF(((c_TMAP2OUT)-(c_TMAP1OUT))&gt;=0,IF(IF(o_WRAP=1,MOD(((c_TMAP2IN)-(c_TMAP1IN))*(((C90)-(c_TMAP1IN))*((c_TMAP2OUT)-(c_TMAP1OUT))+IF(((c_TMAP2OUT)-(c_TMAP1OUT))&gt;=0,1,-1)*QUOTIENT(((c_TMAP2IN)-(c_TMAP1IN)),2))+2147483648,4294967296)-2147483648,((c_TMAP2IN)-(c_TMAP1IN))*(((C90)-(c_TMAP1IN))*((c_TMAP2OUT)-(c_TMAP1OUT))+IF(((c_TMAP2OUT)-(c_TMAP1OUT))&gt;=0,1,-1)*QUOTIENT(((c_TMAP2IN)-(c_TMAP1IN)),2)))&lt;0,-1,0),IF(IF(o_WRAP=1,MOD(((c_TMAP2IN)-(c_TMAP1IN))*(((C90)-(c_TMAP1IN))*((c_TMAP2OUT)-(c_TMAP1OUT))+IF(((c_TMAP2OUT)-(c_TMAP1OUT))&gt;=0,1,-1)*QUOTIENT(((c_TMAP2IN)-(c_TMAP1IN)),2))+2147483648,4294967296)-2147483648,((c_TMAP2IN)-(c_TMAP1IN))*(((C90)-(c_TMAP1IN))*((c_TMAP2OUT)-(c_TMAP1OUT))+IF(((c_TMAP2OUT)-(c_TMAP1OUT))&gt;=0,1,-1)*QUOTIENT(((c_TMAP2IN)-(c_TMAP1IN)),2)))&gt;=0,1,0)))</f>
        <v>30</v>
      </c>
      <c r="G90" s="7" t="n">
        <f aca="false">IF(((c_TMAP3IN)-(c_TMAP2IN))=0,(c_TMAP2OUT)+QUOTIENT(((c_TMAP3OUT)-(c_TMAP2OUT)),2),QUOTIENT((((C90)-(c_TMAP2IN))*((c_TMAP3OUT)-(c_TMAP2OUT))+IF(((c_TMAP3OUT)-(c_TMAP2OUT))&gt;=0,1,-1)*QUOTIENT(((c_TMAP3IN)-(c_TMAP2IN)),2)),((c_TMAP3IN)-(c_TMAP2IN)))+(c_TMAP2OUT)+IF(((c_TMAP3OUT)-(c_TMAP2OUT))&gt;=0,IF(IF(o_WRAP=1,MOD(((c_TMAP3IN)-(c_TMAP2IN))*(((C90)-(c_TMAP2IN))*((c_TMAP3OUT)-(c_TMAP2OUT))+IF(((c_TMAP3OUT)-(c_TMAP2OUT))&gt;=0,1,-1)*QUOTIENT(((c_TMAP3IN)-(c_TMAP2IN)),2))+2147483648,4294967296)-2147483648,((c_TMAP3IN)-(c_TMAP2IN))*(((C90)-(c_TMAP2IN))*((c_TMAP3OUT)-(c_TMAP2OUT))+IF(((c_TMAP3OUT)-(c_TMAP2OUT))&gt;=0,1,-1)*QUOTIENT(((c_TMAP3IN)-(c_TMAP2IN)),2)))&lt;0,-1,0),IF(IF(o_WRAP=1,MOD(((c_TMAP3IN)-(c_TMAP2IN))*(((C90)-(c_TMAP2IN))*((c_TMAP3OUT)-(c_TMAP2OUT))+IF(((c_TMAP3OUT)-(c_TMAP2OUT))&gt;=0,1,-1)*QUOTIENT(((c_TMAP3IN)-(c_TMAP2IN)),2))+2147483648,4294967296)-2147483648,((c_TMAP3IN)-(c_TMAP2IN))*(((C90)-(c_TMAP2IN))*((c_TMAP3OUT)-(c_TMAP2OUT))+IF(((c_TMAP3OUT)-(c_TMAP2OUT))&gt;=0,1,-1)*QUOTIENT(((c_TMAP3IN)-(c_TMAP2IN)),2)))&gt;=0,1,0)))</f>
        <v>-45</v>
      </c>
      <c r="H90" s="7" t="n">
        <f aca="false">IF(((1000)-(c_TMAP3IN))=0,(c_TMAP3OUT)+QUOTIENT(((1000)-(c_TMAP3OUT)),2),QUOTIENT((((C90)-(c_TMAP3IN))*((1000)-(c_TMAP3OUT))+IF(((1000)-(c_TMAP3OUT))&gt;=0,1,-1)*QUOTIENT(((1000)-(c_TMAP3IN)),2)),((1000)-(c_TMAP3IN)))+(c_TMAP3OUT)+IF(((1000)-(c_TMAP3OUT))&gt;=0,IF(IF(o_WRAP=1,MOD(((1000)-(c_TMAP3IN))*(((C90)-(c_TMAP3IN))*((1000)-(c_TMAP3OUT))+IF(((1000)-(c_TMAP3OUT))&gt;=0,1,-1)*QUOTIENT(((1000)-(c_TMAP3IN)),2))+2147483648,4294967296)-2147483648,((1000)-(c_TMAP3IN))*(((C90)-(c_TMAP3IN))*((1000)-(c_TMAP3OUT))+IF(((1000)-(c_TMAP3OUT))&gt;=0,1,-1)*QUOTIENT(((1000)-(c_TMAP3IN)),2)))&lt;0,-1,0),IF(IF(o_WRAP=1,MOD(((1000)-(c_TMAP3IN))*(((C90)-(c_TMAP3IN))*((1000)-(c_TMAP3OUT))+IF(((1000)-(c_TMAP3OUT))&gt;=0,1,-1)*QUOTIENT(((1000)-(c_TMAP3IN)),2))+2147483648,4294967296)-2147483648,((1000)-(c_TMAP3IN))*(((C90)-(c_TMAP3IN))*((1000)-(c_TMAP3OUT))+IF(((1000)-(c_TMAP3OUT))&gt;=0,1,-1)*QUOTIENT(((1000)-(c_TMAP3IN)),2)))&gt;=0,1,0)))</f>
        <v>-231</v>
      </c>
      <c r="I90" s="7" t="n">
        <f aca="false">IF(C90&gt;=c_TFWD,IF(AND(C90&gt;=c_TMAP3IN,c_TMAP3IN&lt;1000),H90,IF(AND(C90&gt;=c_TMAP2IN,c_TMAP3IN&gt;c_TMAP2IN),G90,IF(AND(C90&gt;=c_TMAP1IN,c_TMAP2IN&gt;c_TMAP1IN),F90,E90))),D90)</f>
        <v>-350</v>
      </c>
      <c r="J90" s="7" t="str">
        <f aca="false">IF(I90&lt;-1090,"TOO LOW",IF(I90&gt;1090,"TOO HIGH",""))</f>
        <v/>
      </c>
      <c r="K90" s="7" t="n">
        <f aca="false">IF(J90&lt;&gt;"",0,IF(I90&gt;979,1000,I90))</f>
        <v>-350</v>
      </c>
      <c r="L90" s="7" t="n">
        <f aca="false">IF(OR(c_TSMOOTH=0,K90&gt;=c_TSMOOTHCUT),1,0)</f>
        <v>0</v>
      </c>
      <c r="M90" s="7" t="n">
        <f aca="false">IF(L90=1,0,M89+1)</f>
        <v>4</v>
      </c>
      <c r="N90" s="7" t="n">
        <f aca="false">IF(L90=1,0,MIN(M90,c_TSMOOTH))</f>
        <v>4</v>
      </c>
      <c r="O90" s="7" t="n">
        <f aca="false">IF(COUNTIF($L$5:L90,1)&gt;0,c_TSMOOTHCUT,0)</f>
        <v>400</v>
      </c>
      <c r="P90" s="15" t="n">
        <f aca="true">IF(L90=1,K90,QUOTIENT(SUM(OFFSET(K90,1-N90,0,N90,1))+(c_TSMOOTH-N90)*O90,c_TSMOOTH))</f>
        <v>333</v>
      </c>
      <c r="Q90" s="7" t="n">
        <f aca="false">K90/10</f>
        <v>-35</v>
      </c>
      <c r="R90" s="7" t="n">
        <f aca="false">P90/10</f>
        <v>33.3</v>
      </c>
    </row>
    <row r="91" customFormat="false" ht="15" hidden="false" customHeight="false" outlineLevel="0" collapsed="false">
      <c r="A91" s="7" t="n">
        <v>86</v>
      </c>
      <c r="B91" s="7" t="n">
        <f aca="false">A91*0.04</f>
        <v>3.44</v>
      </c>
      <c r="C91" s="18" t="n">
        <v>0</v>
      </c>
      <c r="D91" s="7" t="n">
        <f aca="false">IF(AND(C91=0,c_TCREEP&gt;0),10*c_TCREEP,IF(AND(C91&lt;=c_TRNGMIN,C91&gt;=c_TRNGMAX,c_TRNGMIN-c_TRNGMAX&lt;&gt;0),-10*c_TMINRN+QUOTIENT((c_TMAXRN-c_TMINRN)*(100-QUOTIENT((C91-c_TRNGMAX)*100,c_TRNGMIN-c_TRNGMAX)),-10),0))</f>
        <v>-350</v>
      </c>
      <c r="E91" s="7" t="n">
        <f aca="false">IF(((c_TMAP1IN)-(c_TFWD))=0,(0)+QUOTIENT(((c_TMAP1OUT)-(0)),2),QUOTIENT((((C91)-(c_TFWD))*((c_TMAP1OUT)-(0))+IF(((c_TMAP1OUT)-(0))&gt;=0,1,-1)*QUOTIENT(((c_TMAP1IN)-(c_TFWD)),2)),((c_TMAP1IN)-(c_TFWD)))+(0)+IF(((c_TMAP1OUT)-(0))&gt;=0,IF(IF(o_WRAP=1,MOD(((c_TMAP1IN)-(c_TFWD))*(((C91)-(c_TFWD))*((c_TMAP1OUT)-(0))+IF(((c_TMAP1OUT)-(0))&gt;=0,1,-1)*QUOTIENT(((c_TMAP1IN)-(c_TFWD)),2))+2147483648,4294967296)-2147483648,((c_TMAP1IN)-(c_TFWD))*(((C91)-(c_TFWD))*((c_TMAP1OUT)-(0))+IF(((c_TMAP1OUT)-(0))&gt;=0,1,-1)*QUOTIENT(((c_TMAP1IN)-(c_TFWD)),2)))&lt;0,-1,0),IF(IF(o_WRAP=1,MOD(((c_TMAP1IN)-(c_TFWD))*(((C91)-(c_TFWD))*((c_TMAP1OUT)-(0))+IF(((c_TMAP1OUT)-(0))&gt;=0,1,-1)*QUOTIENT(((c_TMAP1IN)-(c_TFWD)),2))+2147483648,4294967296)-2147483648,((c_TMAP1IN)-(c_TFWD))*(((C91)-(c_TFWD))*((c_TMAP1OUT)-(0))+IF(((c_TMAP1OUT)-(0))&gt;=0,1,-1)*QUOTIENT(((c_TMAP1IN)-(c_TFWD)),2)))&gt;=0,1,0)))</f>
        <v>-8</v>
      </c>
      <c r="F91" s="7" t="n">
        <f aca="false">IF(((c_TMAP2IN)-(c_TMAP1IN))=0,(c_TMAP1OUT)+QUOTIENT(((c_TMAP2OUT)-(c_TMAP1OUT)),2),QUOTIENT((((C91)-(c_TMAP1IN))*((c_TMAP2OUT)-(c_TMAP1OUT))+IF(((c_TMAP2OUT)-(c_TMAP1OUT))&gt;=0,1,-1)*QUOTIENT(((c_TMAP2IN)-(c_TMAP1IN)),2)),((c_TMAP2IN)-(c_TMAP1IN)))+(c_TMAP1OUT)+IF(((c_TMAP2OUT)-(c_TMAP1OUT))&gt;=0,IF(IF(o_WRAP=1,MOD(((c_TMAP2IN)-(c_TMAP1IN))*(((C91)-(c_TMAP1IN))*((c_TMAP2OUT)-(c_TMAP1OUT))+IF(((c_TMAP2OUT)-(c_TMAP1OUT))&gt;=0,1,-1)*QUOTIENT(((c_TMAP2IN)-(c_TMAP1IN)),2))+2147483648,4294967296)-2147483648,((c_TMAP2IN)-(c_TMAP1IN))*(((C91)-(c_TMAP1IN))*((c_TMAP2OUT)-(c_TMAP1OUT))+IF(((c_TMAP2OUT)-(c_TMAP1OUT))&gt;=0,1,-1)*QUOTIENT(((c_TMAP2IN)-(c_TMAP1IN)),2)))&lt;0,-1,0),IF(IF(o_WRAP=1,MOD(((c_TMAP2IN)-(c_TMAP1IN))*(((C91)-(c_TMAP1IN))*((c_TMAP2OUT)-(c_TMAP1OUT))+IF(((c_TMAP2OUT)-(c_TMAP1OUT))&gt;=0,1,-1)*QUOTIENT(((c_TMAP2IN)-(c_TMAP1IN)),2))+2147483648,4294967296)-2147483648,((c_TMAP2IN)-(c_TMAP1IN))*(((C91)-(c_TMAP1IN))*((c_TMAP2OUT)-(c_TMAP1OUT))+IF(((c_TMAP2OUT)-(c_TMAP1OUT))&gt;=0,1,-1)*QUOTIENT(((c_TMAP2IN)-(c_TMAP1IN)),2)))&gt;=0,1,0)))</f>
        <v>30</v>
      </c>
      <c r="G91" s="7" t="n">
        <f aca="false">IF(((c_TMAP3IN)-(c_TMAP2IN))=0,(c_TMAP2OUT)+QUOTIENT(((c_TMAP3OUT)-(c_TMAP2OUT)),2),QUOTIENT((((C91)-(c_TMAP2IN))*((c_TMAP3OUT)-(c_TMAP2OUT))+IF(((c_TMAP3OUT)-(c_TMAP2OUT))&gt;=0,1,-1)*QUOTIENT(((c_TMAP3IN)-(c_TMAP2IN)),2)),((c_TMAP3IN)-(c_TMAP2IN)))+(c_TMAP2OUT)+IF(((c_TMAP3OUT)-(c_TMAP2OUT))&gt;=0,IF(IF(o_WRAP=1,MOD(((c_TMAP3IN)-(c_TMAP2IN))*(((C91)-(c_TMAP2IN))*((c_TMAP3OUT)-(c_TMAP2OUT))+IF(((c_TMAP3OUT)-(c_TMAP2OUT))&gt;=0,1,-1)*QUOTIENT(((c_TMAP3IN)-(c_TMAP2IN)),2))+2147483648,4294967296)-2147483648,((c_TMAP3IN)-(c_TMAP2IN))*(((C91)-(c_TMAP2IN))*((c_TMAP3OUT)-(c_TMAP2OUT))+IF(((c_TMAP3OUT)-(c_TMAP2OUT))&gt;=0,1,-1)*QUOTIENT(((c_TMAP3IN)-(c_TMAP2IN)),2)))&lt;0,-1,0),IF(IF(o_WRAP=1,MOD(((c_TMAP3IN)-(c_TMAP2IN))*(((C91)-(c_TMAP2IN))*((c_TMAP3OUT)-(c_TMAP2OUT))+IF(((c_TMAP3OUT)-(c_TMAP2OUT))&gt;=0,1,-1)*QUOTIENT(((c_TMAP3IN)-(c_TMAP2IN)),2))+2147483648,4294967296)-2147483648,((c_TMAP3IN)-(c_TMAP2IN))*(((C91)-(c_TMAP2IN))*((c_TMAP3OUT)-(c_TMAP2OUT))+IF(((c_TMAP3OUT)-(c_TMAP2OUT))&gt;=0,1,-1)*QUOTIENT(((c_TMAP3IN)-(c_TMAP2IN)),2)))&gt;=0,1,0)))</f>
        <v>-45</v>
      </c>
      <c r="H91" s="7" t="n">
        <f aca="false">IF(((1000)-(c_TMAP3IN))=0,(c_TMAP3OUT)+QUOTIENT(((1000)-(c_TMAP3OUT)),2),QUOTIENT((((C91)-(c_TMAP3IN))*((1000)-(c_TMAP3OUT))+IF(((1000)-(c_TMAP3OUT))&gt;=0,1,-1)*QUOTIENT(((1000)-(c_TMAP3IN)),2)),((1000)-(c_TMAP3IN)))+(c_TMAP3OUT)+IF(((1000)-(c_TMAP3OUT))&gt;=0,IF(IF(o_WRAP=1,MOD(((1000)-(c_TMAP3IN))*(((C91)-(c_TMAP3IN))*((1000)-(c_TMAP3OUT))+IF(((1000)-(c_TMAP3OUT))&gt;=0,1,-1)*QUOTIENT(((1000)-(c_TMAP3IN)),2))+2147483648,4294967296)-2147483648,((1000)-(c_TMAP3IN))*(((C91)-(c_TMAP3IN))*((1000)-(c_TMAP3OUT))+IF(((1000)-(c_TMAP3OUT))&gt;=0,1,-1)*QUOTIENT(((1000)-(c_TMAP3IN)),2)))&lt;0,-1,0),IF(IF(o_WRAP=1,MOD(((1000)-(c_TMAP3IN))*(((C91)-(c_TMAP3IN))*((1000)-(c_TMAP3OUT))+IF(((1000)-(c_TMAP3OUT))&gt;=0,1,-1)*QUOTIENT(((1000)-(c_TMAP3IN)),2))+2147483648,4294967296)-2147483648,((1000)-(c_TMAP3IN))*(((C91)-(c_TMAP3IN))*((1000)-(c_TMAP3OUT))+IF(((1000)-(c_TMAP3OUT))&gt;=0,1,-1)*QUOTIENT(((1000)-(c_TMAP3IN)),2)))&gt;=0,1,0)))</f>
        <v>-231</v>
      </c>
      <c r="I91" s="7" t="n">
        <f aca="false">IF(C91&gt;=c_TFWD,IF(AND(C91&gt;=c_TMAP3IN,c_TMAP3IN&lt;1000),H91,IF(AND(C91&gt;=c_TMAP2IN,c_TMAP3IN&gt;c_TMAP2IN),G91,IF(AND(C91&gt;=c_TMAP1IN,c_TMAP2IN&gt;c_TMAP1IN),F91,E91))),D91)</f>
        <v>-350</v>
      </c>
      <c r="J91" s="7" t="str">
        <f aca="false">IF(I91&lt;-1090,"TOO LOW",IF(I91&gt;1090,"TOO HIGH",""))</f>
        <v/>
      </c>
      <c r="K91" s="7" t="n">
        <f aca="false">IF(J91&lt;&gt;"",0,IF(I91&gt;979,1000,I91))</f>
        <v>-350</v>
      </c>
      <c r="L91" s="7" t="n">
        <f aca="false">IF(OR(c_TSMOOTH=0,K91&gt;=c_TSMOOTHCUT),1,0)</f>
        <v>0</v>
      </c>
      <c r="M91" s="7" t="n">
        <f aca="false">IF(L91=1,0,M90+1)</f>
        <v>5</v>
      </c>
      <c r="N91" s="7" t="n">
        <f aca="false">IF(L91=1,0,MIN(M91,c_TSMOOTH))</f>
        <v>5</v>
      </c>
      <c r="O91" s="7" t="n">
        <f aca="false">IF(COUNTIF($L$5:L91,1)&gt;0,c_TSMOOTHCUT,0)</f>
        <v>400</v>
      </c>
      <c r="P91" s="15" t="n">
        <f aca="true">IF(L91=1,K91,QUOTIENT(SUM(OFFSET(K91,1-N91,0,N91,1))+(c_TSMOOTH-N91)*O91,c_TSMOOTH))</f>
        <v>308</v>
      </c>
      <c r="Q91" s="7" t="n">
        <f aca="false">K91/10</f>
        <v>-35</v>
      </c>
      <c r="R91" s="7" t="n">
        <f aca="false">P91/10</f>
        <v>30.8</v>
      </c>
    </row>
    <row r="92" customFormat="false" ht="15" hidden="false" customHeight="false" outlineLevel="0" collapsed="false">
      <c r="A92" s="7" t="n">
        <v>87</v>
      </c>
      <c r="B92" s="7" t="n">
        <f aca="false">A92*0.04</f>
        <v>3.48</v>
      </c>
      <c r="C92" s="18" t="n">
        <v>0</v>
      </c>
      <c r="D92" s="7" t="n">
        <f aca="false">IF(AND(C92=0,c_TCREEP&gt;0),10*c_TCREEP,IF(AND(C92&lt;=c_TRNGMIN,C92&gt;=c_TRNGMAX,c_TRNGMIN-c_TRNGMAX&lt;&gt;0),-10*c_TMINRN+QUOTIENT((c_TMAXRN-c_TMINRN)*(100-QUOTIENT((C92-c_TRNGMAX)*100,c_TRNGMIN-c_TRNGMAX)),-10),0))</f>
        <v>-350</v>
      </c>
      <c r="E92" s="7" t="n">
        <f aca="false">IF(((c_TMAP1IN)-(c_TFWD))=0,(0)+QUOTIENT(((c_TMAP1OUT)-(0)),2),QUOTIENT((((C92)-(c_TFWD))*((c_TMAP1OUT)-(0))+IF(((c_TMAP1OUT)-(0))&gt;=0,1,-1)*QUOTIENT(((c_TMAP1IN)-(c_TFWD)),2)),((c_TMAP1IN)-(c_TFWD)))+(0)+IF(((c_TMAP1OUT)-(0))&gt;=0,IF(IF(o_WRAP=1,MOD(((c_TMAP1IN)-(c_TFWD))*(((C92)-(c_TFWD))*((c_TMAP1OUT)-(0))+IF(((c_TMAP1OUT)-(0))&gt;=0,1,-1)*QUOTIENT(((c_TMAP1IN)-(c_TFWD)),2))+2147483648,4294967296)-2147483648,((c_TMAP1IN)-(c_TFWD))*(((C92)-(c_TFWD))*((c_TMAP1OUT)-(0))+IF(((c_TMAP1OUT)-(0))&gt;=0,1,-1)*QUOTIENT(((c_TMAP1IN)-(c_TFWD)),2)))&lt;0,-1,0),IF(IF(o_WRAP=1,MOD(((c_TMAP1IN)-(c_TFWD))*(((C92)-(c_TFWD))*((c_TMAP1OUT)-(0))+IF(((c_TMAP1OUT)-(0))&gt;=0,1,-1)*QUOTIENT(((c_TMAP1IN)-(c_TFWD)),2))+2147483648,4294967296)-2147483648,((c_TMAP1IN)-(c_TFWD))*(((C92)-(c_TFWD))*((c_TMAP1OUT)-(0))+IF(((c_TMAP1OUT)-(0))&gt;=0,1,-1)*QUOTIENT(((c_TMAP1IN)-(c_TFWD)),2)))&gt;=0,1,0)))</f>
        <v>-8</v>
      </c>
      <c r="F92" s="7" t="n">
        <f aca="false">IF(((c_TMAP2IN)-(c_TMAP1IN))=0,(c_TMAP1OUT)+QUOTIENT(((c_TMAP2OUT)-(c_TMAP1OUT)),2),QUOTIENT((((C92)-(c_TMAP1IN))*((c_TMAP2OUT)-(c_TMAP1OUT))+IF(((c_TMAP2OUT)-(c_TMAP1OUT))&gt;=0,1,-1)*QUOTIENT(((c_TMAP2IN)-(c_TMAP1IN)),2)),((c_TMAP2IN)-(c_TMAP1IN)))+(c_TMAP1OUT)+IF(((c_TMAP2OUT)-(c_TMAP1OUT))&gt;=0,IF(IF(o_WRAP=1,MOD(((c_TMAP2IN)-(c_TMAP1IN))*(((C92)-(c_TMAP1IN))*((c_TMAP2OUT)-(c_TMAP1OUT))+IF(((c_TMAP2OUT)-(c_TMAP1OUT))&gt;=0,1,-1)*QUOTIENT(((c_TMAP2IN)-(c_TMAP1IN)),2))+2147483648,4294967296)-2147483648,((c_TMAP2IN)-(c_TMAP1IN))*(((C92)-(c_TMAP1IN))*((c_TMAP2OUT)-(c_TMAP1OUT))+IF(((c_TMAP2OUT)-(c_TMAP1OUT))&gt;=0,1,-1)*QUOTIENT(((c_TMAP2IN)-(c_TMAP1IN)),2)))&lt;0,-1,0),IF(IF(o_WRAP=1,MOD(((c_TMAP2IN)-(c_TMAP1IN))*(((C92)-(c_TMAP1IN))*((c_TMAP2OUT)-(c_TMAP1OUT))+IF(((c_TMAP2OUT)-(c_TMAP1OUT))&gt;=0,1,-1)*QUOTIENT(((c_TMAP2IN)-(c_TMAP1IN)),2))+2147483648,4294967296)-2147483648,((c_TMAP2IN)-(c_TMAP1IN))*(((C92)-(c_TMAP1IN))*((c_TMAP2OUT)-(c_TMAP1OUT))+IF(((c_TMAP2OUT)-(c_TMAP1OUT))&gt;=0,1,-1)*QUOTIENT(((c_TMAP2IN)-(c_TMAP1IN)),2)))&gt;=0,1,0)))</f>
        <v>30</v>
      </c>
      <c r="G92" s="7" t="n">
        <f aca="false">IF(((c_TMAP3IN)-(c_TMAP2IN))=0,(c_TMAP2OUT)+QUOTIENT(((c_TMAP3OUT)-(c_TMAP2OUT)),2),QUOTIENT((((C92)-(c_TMAP2IN))*((c_TMAP3OUT)-(c_TMAP2OUT))+IF(((c_TMAP3OUT)-(c_TMAP2OUT))&gt;=0,1,-1)*QUOTIENT(((c_TMAP3IN)-(c_TMAP2IN)),2)),((c_TMAP3IN)-(c_TMAP2IN)))+(c_TMAP2OUT)+IF(((c_TMAP3OUT)-(c_TMAP2OUT))&gt;=0,IF(IF(o_WRAP=1,MOD(((c_TMAP3IN)-(c_TMAP2IN))*(((C92)-(c_TMAP2IN))*((c_TMAP3OUT)-(c_TMAP2OUT))+IF(((c_TMAP3OUT)-(c_TMAP2OUT))&gt;=0,1,-1)*QUOTIENT(((c_TMAP3IN)-(c_TMAP2IN)),2))+2147483648,4294967296)-2147483648,((c_TMAP3IN)-(c_TMAP2IN))*(((C92)-(c_TMAP2IN))*((c_TMAP3OUT)-(c_TMAP2OUT))+IF(((c_TMAP3OUT)-(c_TMAP2OUT))&gt;=0,1,-1)*QUOTIENT(((c_TMAP3IN)-(c_TMAP2IN)),2)))&lt;0,-1,0),IF(IF(o_WRAP=1,MOD(((c_TMAP3IN)-(c_TMAP2IN))*(((C92)-(c_TMAP2IN))*((c_TMAP3OUT)-(c_TMAP2OUT))+IF(((c_TMAP3OUT)-(c_TMAP2OUT))&gt;=0,1,-1)*QUOTIENT(((c_TMAP3IN)-(c_TMAP2IN)),2))+2147483648,4294967296)-2147483648,((c_TMAP3IN)-(c_TMAP2IN))*(((C92)-(c_TMAP2IN))*((c_TMAP3OUT)-(c_TMAP2OUT))+IF(((c_TMAP3OUT)-(c_TMAP2OUT))&gt;=0,1,-1)*QUOTIENT(((c_TMAP3IN)-(c_TMAP2IN)),2)))&gt;=0,1,0)))</f>
        <v>-45</v>
      </c>
      <c r="H92" s="7" t="n">
        <f aca="false">IF(((1000)-(c_TMAP3IN))=0,(c_TMAP3OUT)+QUOTIENT(((1000)-(c_TMAP3OUT)),2),QUOTIENT((((C92)-(c_TMAP3IN))*((1000)-(c_TMAP3OUT))+IF(((1000)-(c_TMAP3OUT))&gt;=0,1,-1)*QUOTIENT(((1000)-(c_TMAP3IN)),2)),((1000)-(c_TMAP3IN)))+(c_TMAP3OUT)+IF(((1000)-(c_TMAP3OUT))&gt;=0,IF(IF(o_WRAP=1,MOD(((1000)-(c_TMAP3IN))*(((C92)-(c_TMAP3IN))*((1000)-(c_TMAP3OUT))+IF(((1000)-(c_TMAP3OUT))&gt;=0,1,-1)*QUOTIENT(((1000)-(c_TMAP3IN)),2))+2147483648,4294967296)-2147483648,((1000)-(c_TMAP3IN))*(((C92)-(c_TMAP3IN))*((1000)-(c_TMAP3OUT))+IF(((1000)-(c_TMAP3OUT))&gt;=0,1,-1)*QUOTIENT(((1000)-(c_TMAP3IN)),2)))&lt;0,-1,0),IF(IF(o_WRAP=1,MOD(((1000)-(c_TMAP3IN))*(((C92)-(c_TMAP3IN))*((1000)-(c_TMAP3OUT))+IF(((1000)-(c_TMAP3OUT))&gt;=0,1,-1)*QUOTIENT(((1000)-(c_TMAP3IN)),2))+2147483648,4294967296)-2147483648,((1000)-(c_TMAP3IN))*(((C92)-(c_TMAP3IN))*((1000)-(c_TMAP3OUT))+IF(((1000)-(c_TMAP3OUT))&gt;=0,1,-1)*QUOTIENT(((1000)-(c_TMAP3IN)),2)))&gt;=0,1,0)))</f>
        <v>-231</v>
      </c>
      <c r="I92" s="7" t="n">
        <f aca="false">IF(C92&gt;=c_TFWD,IF(AND(C92&gt;=c_TMAP3IN,c_TMAP3IN&lt;1000),H92,IF(AND(C92&gt;=c_TMAP2IN,c_TMAP3IN&gt;c_TMAP2IN),G92,IF(AND(C92&gt;=c_TMAP1IN,c_TMAP2IN&gt;c_TMAP1IN),F92,E92))),D92)</f>
        <v>-350</v>
      </c>
      <c r="J92" s="7" t="str">
        <f aca="false">IF(I92&lt;-1090,"TOO LOW",IF(I92&gt;1090,"TOO HIGH",""))</f>
        <v/>
      </c>
      <c r="K92" s="7" t="n">
        <f aca="false">IF(J92&lt;&gt;"",0,IF(I92&gt;979,1000,I92))</f>
        <v>-350</v>
      </c>
      <c r="L92" s="7" t="n">
        <f aca="false">IF(OR(c_TSMOOTH=0,K92&gt;=c_TSMOOTHCUT),1,0)</f>
        <v>0</v>
      </c>
      <c r="M92" s="7" t="n">
        <f aca="false">IF(L92=1,0,M91+1)</f>
        <v>6</v>
      </c>
      <c r="N92" s="7" t="n">
        <f aca="false">IF(L92=1,0,MIN(M92,c_TSMOOTH))</f>
        <v>6</v>
      </c>
      <c r="O92" s="7" t="n">
        <f aca="false">IF(COUNTIF($L$5:L92,1)&gt;0,c_TSMOOTHCUT,0)</f>
        <v>400</v>
      </c>
      <c r="P92" s="15" t="n">
        <f aca="true">IF(L92=1,K92,QUOTIENT(SUM(OFFSET(K92,1-N92,0,N92,1))+(c_TSMOOTH-N92)*O92,c_TSMOOTH))</f>
        <v>283</v>
      </c>
      <c r="Q92" s="7" t="n">
        <f aca="false">K92/10</f>
        <v>-35</v>
      </c>
      <c r="R92" s="7" t="n">
        <f aca="false">P92/10</f>
        <v>28.3</v>
      </c>
    </row>
    <row r="93" customFormat="false" ht="15" hidden="false" customHeight="false" outlineLevel="0" collapsed="false">
      <c r="A93" s="7" t="n">
        <v>88</v>
      </c>
      <c r="B93" s="7" t="n">
        <f aca="false">A93*0.04</f>
        <v>3.52</v>
      </c>
      <c r="C93" s="18" t="n">
        <v>0</v>
      </c>
      <c r="D93" s="7" t="n">
        <f aca="false">IF(AND(C93=0,c_TCREEP&gt;0),10*c_TCREEP,IF(AND(C93&lt;=c_TRNGMIN,C93&gt;=c_TRNGMAX,c_TRNGMIN-c_TRNGMAX&lt;&gt;0),-10*c_TMINRN+QUOTIENT((c_TMAXRN-c_TMINRN)*(100-QUOTIENT((C93-c_TRNGMAX)*100,c_TRNGMIN-c_TRNGMAX)),-10),0))</f>
        <v>-350</v>
      </c>
      <c r="E93" s="7" t="n">
        <f aca="false">IF(((c_TMAP1IN)-(c_TFWD))=0,(0)+QUOTIENT(((c_TMAP1OUT)-(0)),2),QUOTIENT((((C93)-(c_TFWD))*((c_TMAP1OUT)-(0))+IF(((c_TMAP1OUT)-(0))&gt;=0,1,-1)*QUOTIENT(((c_TMAP1IN)-(c_TFWD)),2)),((c_TMAP1IN)-(c_TFWD)))+(0)+IF(((c_TMAP1OUT)-(0))&gt;=0,IF(IF(o_WRAP=1,MOD(((c_TMAP1IN)-(c_TFWD))*(((C93)-(c_TFWD))*((c_TMAP1OUT)-(0))+IF(((c_TMAP1OUT)-(0))&gt;=0,1,-1)*QUOTIENT(((c_TMAP1IN)-(c_TFWD)),2))+2147483648,4294967296)-2147483648,((c_TMAP1IN)-(c_TFWD))*(((C93)-(c_TFWD))*((c_TMAP1OUT)-(0))+IF(((c_TMAP1OUT)-(0))&gt;=0,1,-1)*QUOTIENT(((c_TMAP1IN)-(c_TFWD)),2)))&lt;0,-1,0),IF(IF(o_WRAP=1,MOD(((c_TMAP1IN)-(c_TFWD))*(((C93)-(c_TFWD))*((c_TMAP1OUT)-(0))+IF(((c_TMAP1OUT)-(0))&gt;=0,1,-1)*QUOTIENT(((c_TMAP1IN)-(c_TFWD)),2))+2147483648,4294967296)-2147483648,((c_TMAP1IN)-(c_TFWD))*(((C93)-(c_TFWD))*((c_TMAP1OUT)-(0))+IF(((c_TMAP1OUT)-(0))&gt;=0,1,-1)*QUOTIENT(((c_TMAP1IN)-(c_TFWD)),2)))&gt;=0,1,0)))</f>
        <v>-8</v>
      </c>
      <c r="F93" s="7" t="n">
        <f aca="false">IF(((c_TMAP2IN)-(c_TMAP1IN))=0,(c_TMAP1OUT)+QUOTIENT(((c_TMAP2OUT)-(c_TMAP1OUT)),2),QUOTIENT((((C93)-(c_TMAP1IN))*((c_TMAP2OUT)-(c_TMAP1OUT))+IF(((c_TMAP2OUT)-(c_TMAP1OUT))&gt;=0,1,-1)*QUOTIENT(((c_TMAP2IN)-(c_TMAP1IN)),2)),((c_TMAP2IN)-(c_TMAP1IN)))+(c_TMAP1OUT)+IF(((c_TMAP2OUT)-(c_TMAP1OUT))&gt;=0,IF(IF(o_WRAP=1,MOD(((c_TMAP2IN)-(c_TMAP1IN))*(((C93)-(c_TMAP1IN))*((c_TMAP2OUT)-(c_TMAP1OUT))+IF(((c_TMAP2OUT)-(c_TMAP1OUT))&gt;=0,1,-1)*QUOTIENT(((c_TMAP2IN)-(c_TMAP1IN)),2))+2147483648,4294967296)-2147483648,((c_TMAP2IN)-(c_TMAP1IN))*(((C93)-(c_TMAP1IN))*((c_TMAP2OUT)-(c_TMAP1OUT))+IF(((c_TMAP2OUT)-(c_TMAP1OUT))&gt;=0,1,-1)*QUOTIENT(((c_TMAP2IN)-(c_TMAP1IN)),2)))&lt;0,-1,0),IF(IF(o_WRAP=1,MOD(((c_TMAP2IN)-(c_TMAP1IN))*(((C93)-(c_TMAP1IN))*((c_TMAP2OUT)-(c_TMAP1OUT))+IF(((c_TMAP2OUT)-(c_TMAP1OUT))&gt;=0,1,-1)*QUOTIENT(((c_TMAP2IN)-(c_TMAP1IN)),2))+2147483648,4294967296)-2147483648,((c_TMAP2IN)-(c_TMAP1IN))*(((C93)-(c_TMAP1IN))*((c_TMAP2OUT)-(c_TMAP1OUT))+IF(((c_TMAP2OUT)-(c_TMAP1OUT))&gt;=0,1,-1)*QUOTIENT(((c_TMAP2IN)-(c_TMAP1IN)),2)))&gt;=0,1,0)))</f>
        <v>30</v>
      </c>
      <c r="G93" s="7" t="n">
        <f aca="false">IF(((c_TMAP3IN)-(c_TMAP2IN))=0,(c_TMAP2OUT)+QUOTIENT(((c_TMAP3OUT)-(c_TMAP2OUT)),2),QUOTIENT((((C93)-(c_TMAP2IN))*((c_TMAP3OUT)-(c_TMAP2OUT))+IF(((c_TMAP3OUT)-(c_TMAP2OUT))&gt;=0,1,-1)*QUOTIENT(((c_TMAP3IN)-(c_TMAP2IN)),2)),((c_TMAP3IN)-(c_TMAP2IN)))+(c_TMAP2OUT)+IF(((c_TMAP3OUT)-(c_TMAP2OUT))&gt;=0,IF(IF(o_WRAP=1,MOD(((c_TMAP3IN)-(c_TMAP2IN))*(((C93)-(c_TMAP2IN))*((c_TMAP3OUT)-(c_TMAP2OUT))+IF(((c_TMAP3OUT)-(c_TMAP2OUT))&gt;=0,1,-1)*QUOTIENT(((c_TMAP3IN)-(c_TMAP2IN)),2))+2147483648,4294967296)-2147483648,((c_TMAP3IN)-(c_TMAP2IN))*(((C93)-(c_TMAP2IN))*((c_TMAP3OUT)-(c_TMAP2OUT))+IF(((c_TMAP3OUT)-(c_TMAP2OUT))&gt;=0,1,-1)*QUOTIENT(((c_TMAP3IN)-(c_TMAP2IN)),2)))&lt;0,-1,0),IF(IF(o_WRAP=1,MOD(((c_TMAP3IN)-(c_TMAP2IN))*(((C93)-(c_TMAP2IN))*((c_TMAP3OUT)-(c_TMAP2OUT))+IF(((c_TMAP3OUT)-(c_TMAP2OUT))&gt;=0,1,-1)*QUOTIENT(((c_TMAP3IN)-(c_TMAP2IN)),2))+2147483648,4294967296)-2147483648,((c_TMAP3IN)-(c_TMAP2IN))*(((C93)-(c_TMAP2IN))*((c_TMAP3OUT)-(c_TMAP2OUT))+IF(((c_TMAP3OUT)-(c_TMAP2OUT))&gt;=0,1,-1)*QUOTIENT(((c_TMAP3IN)-(c_TMAP2IN)),2)))&gt;=0,1,0)))</f>
        <v>-45</v>
      </c>
      <c r="H93" s="7" t="n">
        <f aca="false">IF(((1000)-(c_TMAP3IN))=0,(c_TMAP3OUT)+QUOTIENT(((1000)-(c_TMAP3OUT)),2),QUOTIENT((((C93)-(c_TMAP3IN))*((1000)-(c_TMAP3OUT))+IF(((1000)-(c_TMAP3OUT))&gt;=0,1,-1)*QUOTIENT(((1000)-(c_TMAP3IN)),2)),((1000)-(c_TMAP3IN)))+(c_TMAP3OUT)+IF(((1000)-(c_TMAP3OUT))&gt;=0,IF(IF(o_WRAP=1,MOD(((1000)-(c_TMAP3IN))*(((C93)-(c_TMAP3IN))*((1000)-(c_TMAP3OUT))+IF(((1000)-(c_TMAP3OUT))&gt;=0,1,-1)*QUOTIENT(((1000)-(c_TMAP3IN)),2))+2147483648,4294967296)-2147483648,((1000)-(c_TMAP3IN))*(((C93)-(c_TMAP3IN))*((1000)-(c_TMAP3OUT))+IF(((1000)-(c_TMAP3OUT))&gt;=0,1,-1)*QUOTIENT(((1000)-(c_TMAP3IN)),2)))&lt;0,-1,0),IF(IF(o_WRAP=1,MOD(((1000)-(c_TMAP3IN))*(((C93)-(c_TMAP3IN))*((1000)-(c_TMAP3OUT))+IF(((1000)-(c_TMAP3OUT))&gt;=0,1,-1)*QUOTIENT(((1000)-(c_TMAP3IN)),2))+2147483648,4294967296)-2147483648,((1000)-(c_TMAP3IN))*(((C93)-(c_TMAP3IN))*((1000)-(c_TMAP3OUT))+IF(((1000)-(c_TMAP3OUT))&gt;=0,1,-1)*QUOTIENT(((1000)-(c_TMAP3IN)),2)))&gt;=0,1,0)))</f>
        <v>-231</v>
      </c>
      <c r="I93" s="7" t="n">
        <f aca="false">IF(C93&gt;=c_TFWD,IF(AND(C93&gt;=c_TMAP3IN,c_TMAP3IN&lt;1000),H93,IF(AND(C93&gt;=c_TMAP2IN,c_TMAP3IN&gt;c_TMAP2IN),G93,IF(AND(C93&gt;=c_TMAP1IN,c_TMAP2IN&gt;c_TMAP1IN),F93,E93))),D93)</f>
        <v>-350</v>
      </c>
      <c r="J93" s="7" t="str">
        <f aca="false">IF(I93&lt;-1090,"TOO LOW",IF(I93&gt;1090,"TOO HIGH",""))</f>
        <v/>
      </c>
      <c r="K93" s="7" t="n">
        <f aca="false">IF(J93&lt;&gt;"",0,IF(I93&gt;979,1000,I93))</f>
        <v>-350</v>
      </c>
      <c r="L93" s="7" t="n">
        <f aca="false">IF(OR(c_TSMOOTH=0,K93&gt;=c_TSMOOTHCUT),1,0)</f>
        <v>0</v>
      </c>
      <c r="M93" s="7" t="n">
        <f aca="false">IF(L93=1,0,M92+1)</f>
        <v>7</v>
      </c>
      <c r="N93" s="7" t="n">
        <f aca="false">IF(L93=1,0,MIN(M93,c_TSMOOTH))</f>
        <v>7</v>
      </c>
      <c r="O93" s="7" t="n">
        <f aca="false">IF(COUNTIF($L$5:L93,1)&gt;0,c_TSMOOTHCUT,0)</f>
        <v>400</v>
      </c>
      <c r="P93" s="15" t="n">
        <f aca="true">IF(L93=1,K93,QUOTIENT(SUM(OFFSET(K93,1-N93,0,N93,1))+(c_TSMOOTH-N93)*O93,c_TSMOOTH))</f>
        <v>258</v>
      </c>
      <c r="Q93" s="7" t="n">
        <f aca="false">K93/10</f>
        <v>-35</v>
      </c>
      <c r="R93" s="7" t="n">
        <f aca="false">P93/10</f>
        <v>25.8</v>
      </c>
    </row>
    <row r="94" customFormat="false" ht="15" hidden="false" customHeight="false" outlineLevel="0" collapsed="false">
      <c r="A94" s="7" t="n">
        <v>89</v>
      </c>
      <c r="B94" s="7" t="n">
        <f aca="false">A94*0.04</f>
        <v>3.56</v>
      </c>
      <c r="C94" s="18" t="n">
        <v>0</v>
      </c>
      <c r="D94" s="7" t="n">
        <f aca="false">IF(AND(C94=0,c_TCREEP&gt;0),10*c_TCREEP,IF(AND(C94&lt;=c_TRNGMIN,C94&gt;=c_TRNGMAX,c_TRNGMIN-c_TRNGMAX&lt;&gt;0),-10*c_TMINRN+QUOTIENT((c_TMAXRN-c_TMINRN)*(100-QUOTIENT((C94-c_TRNGMAX)*100,c_TRNGMIN-c_TRNGMAX)),-10),0))</f>
        <v>-350</v>
      </c>
      <c r="E94" s="7" t="n">
        <f aca="false">IF(((c_TMAP1IN)-(c_TFWD))=0,(0)+QUOTIENT(((c_TMAP1OUT)-(0)),2),QUOTIENT((((C94)-(c_TFWD))*((c_TMAP1OUT)-(0))+IF(((c_TMAP1OUT)-(0))&gt;=0,1,-1)*QUOTIENT(((c_TMAP1IN)-(c_TFWD)),2)),((c_TMAP1IN)-(c_TFWD)))+(0)+IF(((c_TMAP1OUT)-(0))&gt;=0,IF(IF(o_WRAP=1,MOD(((c_TMAP1IN)-(c_TFWD))*(((C94)-(c_TFWD))*((c_TMAP1OUT)-(0))+IF(((c_TMAP1OUT)-(0))&gt;=0,1,-1)*QUOTIENT(((c_TMAP1IN)-(c_TFWD)),2))+2147483648,4294967296)-2147483648,((c_TMAP1IN)-(c_TFWD))*(((C94)-(c_TFWD))*((c_TMAP1OUT)-(0))+IF(((c_TMAP1OUT)-(0))&gt;=0,1,-1)*QUOTIENT(((c_TMAP1IN)-(c_TFWD)),2)))&lt;0,-1,0),IF(IF(o_WRAP=1,MOD(((c_TMAP1IN)-(c_TFWD))*(((C94)-(c_TFWD))*((c_TMAP1OUT)-(0))+IF(((c_TMAP1OUT)-(0))&gt;=0,1,-1)*QUOTIENT(((c_TMAP1IN)-(c_TFWD)),2))+2147483648,4294967296)-2147483648,((c_TMAP1IN)-(c_TFWD))*(((C94)-(c_TFWD))*((c_TMAP1OUT)-(0))+IF(((c_TMAP1OUT)-(0))&gt;=0,1,-1)*QUOTIENT(((c_TMAP1IN)-(c_TFWD)),2)))&gt;=0,1,0)))</f>
        <v>-8</v>
      </c>
      <c r="F94" s="7" t="n">
        <f aca="false">IF(((c_TMAP2IN)-(c_TMAP1IN))=0,(c_TMAP1OUT)+QUOTIENT(((c_TMAP2OUT)-(c_TMAP1OUT)),2),QUOTIENT((((C94)-(c_TMAP1IN))*((c_TMAP2OUT)-(c_TMAP1OUT))+IF(((c_TMAP2OUT)-(c_TMAP1OUT))&gt;=0,1,-1)*QUOTIENT(((c_TMAP2IN)-(c_TMAP1IN)),2)),((c_TMAP2IN)-(c_TMAP1IN)))+(c_TMAP1OUT)+IF(((c_TMAP2OUT)-(c_TMAP1OUT))&gt;=0,IF(IF(o_WRAP=1,MOD(((c_TMAP2IN)-(c_TMAP1IN))*(((C94)-(c_TMAP1IN))*((c_TMAP2OUT)-(c_TMAP1OUT))+IF(((c_TMAP2OUT)-(c_TMAP1OUT))&gt;=0,1,-1)*QUOTIENT(((c_TMAP2IN)-(c_TMAP1IN)),2))+2147483648,4294967296)-2147483648,((c_TMAP2IN)-(c_TMAP1IN))*(((C94)-(c_TMAP1IN))*((c_TMAP2OUT)-(c_TMAP1OUT))+IF(((c_TMAP2OUT)-(c_TMAP1OUT))&gt;=0,1,-1)*QUOTIENT(((c_TMAP2IN)-(c_TMAP1IN)),2)))&lt;0,-1,0),IF(IF(o_WRAP=1,MOD(((c_TMAP2IN)-(c_TMAP1IN))*(((C94)-(c_TMAP1IN))*((c_TMAP2OUT)-(c_TMAP1OUT))+IF(((c_TMAP2OUT)-(c_TMAP1OUT))&gt;=0,1,-1)*QUOTIENT(((c_TMAP2IN)-(c_TMAP1IN)),2))+2147483648,4294967296)-2147483648,((c_TMAP2IN)-(c_TMAP1IN))*(((C94)-(c_TMAP1IN))*((c_TMAP2OUT)-(c_TMAP1OUT))+IF(((c_TMAP2OUT)-(c_TMAP1OUT))&gt;=0,1,-1)*QUOTIENT(((c_TMAP2IN)-(c_TMAP1IN)),2)))&gt;=0,1,0)))</f>
        <v>30</v>
      </c>
      <c r="G94" s="7" t="n">
        <f aca="false">IF(((c_TMAP3IN)-(c_TMAP2IN))=0,(c_TMAP2OUT)+QUOTIENT(((c_TMAP3OUT)-(c_TMAP2OUT)),2),QUOTIENT((((C94)-(c_TMAP2IN))*((c_TMAP3OUT)-(c_TMAP2OUT))+IF(((c_TMAP3OUT)-(c_TMAP2OUT))&gt;=0,1,-1)*QUOTIENT(((c_TMAP3IN)-(c_TMAP2IN)),2)),((c_TMAP3IN)-(c_TMAP2IN)))+(c_TMAP2OUT)+IF(((c_TMAP3OUT)-(c_TMAP2OUT))&gt;=0,IF(IF(o_WRAP=1,MOD(((c_TMAP3IN)-(c_TMAP2IN))*(((C94)-(c_TMAP2IN))*((c_TMAP3OUT)-(c_TMAP2OUT))+IF(((c_TMAP3OUT)-(c_TMAP2OUT))&gt;=0,1,-1)*QUOTIENT(((c_TMAP3IN)-(c_TMAP2IN)),2))+2147483648,4294967296)-2147483648,((c_TMAP3IN)-(c_TMAP2IN))*(((C94)-(c_TMAP2IN))*((c_TMAP3OUT)-(c_TMAP2OUT))+IF(((c_TMAP3OUT)-(c_TMAP2OUT))&gt;=0,1,-1)*QUOTIENT(((c_TMAP3IN)-(c_TMAP2IN)),2)))&lt;0,-1,0),IF(IF(o_WRAP=1,MOD(((c_TMAP3IN)-(c_TMAP2IN))*(((C94)-(c_TMAP2IN))*((c_TMAP3OUT)-(c_TMAP2OUT))+IF(((c_TMAP3OUT)-(c_TMAP2OUT))&gt;=0,1,-1)*QUOTIENT(((c_TMAP3IN)-(c_TMAP2IN)),2))+2147483648,4294967296)-2147483648,((c_TMAP3IN)-(c_TMAP2IN))*(((C94)-(c_TMAP2IN))*((c_TMAP3OUT)-(c_TMAP2OUT))+IF(((c_TMAP3OUT)-(c_TMAP2OUT))&gt;=0,1,-1)*QUOTIENT(((c_TMAP3IN)-(c_TMAP2IN)),2)))&gt;=0,1,0)))</f>
        <v>-45</v>
      </c>
      <c r="H94" s="7" t="n">
        <f aca="false">IF(((1000)-(c_TMAP3IN))=0,(c_TMAP3OUT)+QUOTIENT(((1000)-(c_TMAP3OUT)),2),QUOTIENT((((C94)-(c_TMAP3IN))*((1000)-(c_TMAP3OUT))+IF(((1000)-(c_TMAP3OUT))&gt;=0,1,-1)*QUOTIENT(((1000)-(c_TMAP3IN)),2)),((1000)-(c_TMAP3IN)))+(c_TMAP3OUT)+IF(((1000)-(c_TMAP3OUT))&gt;=0,IF(IF(o_WRAP=1,MOD(((1000)-(c_TMAP3IN))*(((C94)-(c_TMAP3IN))*((1000)-(c_TMAP3OUT))+IF(((1000)-(c_TMAP3OUT))&gt;=0,1,-1)*QUOTIENT(((1000)-(c_TMAP3IN)),2))+2147483648,4294967296)-2147483648,((1000)-(c_TMAP3IN))*(((C94)-(c_TMAP3IN))*((1000)-(c_TMAP3OUT))+IF(((1000)-(c_TMAP3OUT))&gt;=0,1,-1)*QUOTIENT(((1000)-(c_TMAP3IN)),2)))&lt;0,-1,0),IF(IF(o_WRAP=1,MOD(((1000)-(c_TMAP3IN))*(((C94)-(c_TMAP3IN))*((1000)-(c_TMAP3OUT))+IF(((1000)-(c_TMAP3OUT))&gt;=0,1,-1)*QUOTIENT(((1000)-(c_TMAP3IN)),2))+2147483648,4294967296)-2147483648,((1000)-(c_TMAP3IN))*(((C94)-(c_TMAP3IN))*((1000)-(c_TMAP3OUT))+IF(((1000)-(c_TMAP3OUT))&gt;=0,1,-1)*QUOTIENT(((1000)-(c_TMAP3IN)),2)))&gt;=0,1,0)))</f>
        <v>-231</v>
      </c>
      <c r="I94" s="7" t="n">
        <f aca="false">IF(C94&gt;=c_TFWD,IF(AND(C94&gt;=c_TMAP3IN,c_TMAP3IN&lt;1000),H94,IF(AND(C94&gt;=c_TMAP2IN,c_TMAP3IN&gt;c_TMAP2IN),G94,IF(AND(C94&gt;=c_TMAP1IN,c_TMAP2IN&gt;c_TMAP1IN),F94,E94))),D94)</f>
        <v>-350</v>
      </c>
      <c r="J94" s="7" t="str">
        <f aca="false">IF(I94&lt;-1090,"TOO LOW",IF(I94&gt;1090,"TOO HIGH",""))</f>
        <v/>
      </c>
      <c r="K94" s="7" t="n">
        <f aca="false">IF(J94&lt;&gt;"",0,IF(I94&gt;979,1000,I94))</f>
        <v>-350</v>
      </c>
      <c r="L94" s="7" t="n">
        <f aca="false">IF(OR(c_TSMOOTH=0,K94&gt;=c_TSMOOTHCUT),1,0)</f>
        <v>0</v>
      </c>
      <c r="M94" s="7" t="n">
        <f aca="false">IF(L94=1,0,M93+1)</f>
        <v>8</v>
      </c>
      <c r="N94" s="7" t="n">
        <f aca="false">IF(L94=1,0,MIN(M94,c_TSMOOTH))</f>
        <v>8</v>
      </c>
      <c r="O94" s="7" t="n">
        <f aca="false">IF(COUNTIF($L$5:L94,1)&gt;0,c_TSMOOTHCUT,0)</f>
        <v>400</v>
      </c>
      <c r="P94" s="15" t="n">
        <f aca="true">IF(L94=1,K94,QUOTIENT(SUM(OFFSET(K94,1-N94,0,N94,1))+(c_TSMOOTH-N94)*O94,c_TSMOOTH))</f>
        <v>233</v>
      </c>
      <c r="Q94" s="7" t="n">
        <f aca="false">K94/10</f>
        <v>-35</v>
      </c>
      <c r="R94" s="7" t="n">
        <f aca="false">P94/10</f>
        <v>23.3</v>
      </c>
    </row>
    <row r="95" customFormat="false" ht="15" hidden="false" customHeight="false" outlineLevel="0" collapsed="false">
      <c r="A95" s="7" t="n">
        <v>90</v>
      </c>
      <c r="B95" s="7" t="n">
        <f aca="false">A95*0.04</f>
        <v>3.6</v>
      </c>
      <c r="C95" s="18" t="n">
        <v>0</v>
      </c>
      <c r="D95" s="7" t="n">
        <f aca="false">IF(AND(C95=0,c_TCREEP&gt;0),10*c_TCREEP,IF(AND(C95&lt;=c_TRNGMIN,C95&gt;=c_TRNGMAX,c_TRNGMIN-c_TRNGMAX&lt;&gt;0),-10*c_TMINRN+QUOTIENT((c_TMAXRN-c_TMINRN)*(100-QUOTIENT((C95-c_TRNGMAX)*100,c_TRNGMIN-c_TRNGMAX)),-10),0))</f>
        <v>-350</v>
      </c>
      <c r="E95" s="7" t="n">
        <f aca="false">IF(((c_TMAP1IN)-(c_TFWD))=0,(0)+QUOTIENT(((c_TMAP1OUT)-(0)),2),QUOTIENT((((C95)-(c_TFWD))*((c_TMAP1OUT)-(0))+IF(((c_TMAP1OUT)-(0))&gt;=0,1,-1)*QUOTIENT(((c_TMAP1IN)-(c_TFWD)),2)),((c_TMAP1IN)-(c_TFWD)))+(0)+IF(((c_TMAP1OUT)-(0))&gt;=0,IF(IF(o_WRAP=1,MOD(((c_TMAP1IN)-(c_TFWD))*(((C95)-(c_TFWD))*((c_TMAP1OUT)-(0))+IF(((c_TMAP1OUT)-(0))&gt;=0,1,-1)*QUOTIENT(((c_TMAP1IN)-(c_TFWD)),2))+2147483648,4294967296)-2147483648,((c_TMAP1IN)-(c_TFWD))*(((C95)-(c_TFWD))*((c_TMAP1OUT)-(0))+IF(((c_TMAP1OUT)-(0))&gt;=0,1,-1)*QUOTIENT(((c_TMAP1IN)-(c_TFWD)),2)))&lt;0,-1,0),IF(IF(o_WRAP=1,MOD(((c_TMAP1IN)-(c_TFWD))*(((C95)-(c_TFWD))*((c_TMAP1OUT)-(0))+IF(((c_TMAP1OUT)-(0))&gt;=0,1,-1)*QUOTIENT(((c_TMAP1IN)-(c_TFWD)),2))+2147483648,4294967296)-2147483648,((c_TMAP1IN)-(c_TFWD))*(((C95)-(c_TFWD))*((c_TMAP1OUT)-(0))+IF(((c_TMAP1OUT)-(0))&gt;=0,1,-1)*QUOTIENT(((c_TMAP1IN)-(c_TFWD)),2)))&gt;=0,1,0)))</f>
        <v>-8</v>
      </c>
      <c r="F95" s="7" t="n">
        <f aca="false">IF(((c_TMAP2IN)-(c_TMAP1IN))=0,(c_TMAP1OUT)+QUOTIENT(((c_TMAP2OUT)-(c_TMAP1OUT)),2),QUOTIENT((((C95)-(c_TMAP1IN))*((c_TMAP2OUT)-(c_TMAP1OUT))+IF(((c_TMAP2OUT)-(c_TMAP1OUT))&gt;=0,1,-1)*QUOTIENT(((c_TMAP2IN)-(c_TMAP1IN)),2)),((c_TMAP2IN)-(c_TMAP1IN)))+(c_TMAP1OUT)+IF(((c_TMAP2OUT)-(c_TMAP1OUT))&gt;=0,IF(IF(o_WRAP=1,MOD(((c_TMAP2IN)-(c_TMAP1IN))*(((C95)-(c_TMAP1IN))*((c_TMAP2OUT)-(c_TMAP1OUT))+IF(((c_TMAP2OUT)-(c_TMAP1OUT))&gt;=0,1,-1)*QUOTIENT(((c_TMAP2IN)-(c_TMAP1IN)),2))+2147483648,4294967296)-2147483648,((c_TMAP2IN)-(c_TMAP1IN))*(((C95)-(c_TMAP1IN))*((c_TMAP2OUT)-(c_TMAP1OUT))+IF(((c_TMAP2OUT)-(c_TMAP1OUT))&gt;=0,1,-1)*QUOTIENT(((c_TMAP2IN)-(c_TMAP1IN)),2)))&lt;0,-1,0),IF(IF(o_WRAP=1,MOD(((c_TMAP2IN)-(c_TMAP1IN))*(((C95)-(c_TMAP1IN))*((c_TMAP2OUT)-(c_TMAP1OUT))+IF(((c_TMAP2OUT)-(c_TMAP1OUT))&gt;=0,1,-1)*QUOTIENT(((c_TMAP2IN)-(c_TMAP1IN)),2))+2147483648,4294967296)-2147483648,((c_TMAP2IN)-(c_TMAP1IN))*(((C95)-(c_TMAP1IN))*((c_TMAP2OUT)-(c_TMAP1OUT))+IF(((c_TMAP2OUT)-(c_TMAP1OUT))&gt;=0,1,-1)*QUOTIENT(((c_TMAP2IN)-(c_TMAP1IN)),2)))&gt;=0,1,0)))</f>
        <v>30</v>
      </c>
      <c r="G95" s="7" t="n">
        <f aca="false">IF(((c_TMAP3IN)-(c_TMAP2IN))=0,(c_TMAP2OUT)+QUOTIENT(((c_TMAP3OUT)-(c_TMAP2OUT)),2),QUOTIENT((((C95)-(c_TMAP2IN))*((c_TMAP3OUT)-(c_TMAP2OUT))+IF(((c_TMAP3OUT)-(c_TMAP2OUT))&gt;=0,1,-1)*QUOTIENT(((c_TMAP3IN)-(c_TMAP2IN)),2)),((c_TMAP3IN)-(c_TMAP2IN)))+(c_TMAP2OUT)+IF(((c_TMAP3OUT)-(c_TMAP2OUT))&gt;=0,IF(IF(o_WRAP=1,MOD(((c_TMAP3IN)-(c_TMAP2IN))*(((C95)-(c_TMAP2IN))*((c_TMAP3OUT)-(c_TMAP2OUT))+IF(((c_TMAP3OUT)-(c_TMAP2OUT))&gt;=0,1,-1)*QUOTIENT(((c_TMAP3IN)-(c_TMAP2IN)),2))+2147483648,4294967296)-2147483648,((c_TMAP3IN)-(c_TMAP2IN))*(((C95)-(c_TMAP2IN))*((c_TMAP3OUT)-(c_TMAP2OUT))+IF(((c_TMAP3OUT)-(c_TMAP2OUT))&gt;=0,1,-1)*QUOTIENT(((c_TMAP3IN)-(c_TMAP2IN)),2)))&lt;0,-1,0),IF(IF(o_WRAP=1,MOD(((c_TMAP3IN)-(c_TMAP2IN))*(((C95)-(c_TMAP2IN))*((c_TMAP3OUT)-(c_TMAP2OUT))+IF(((c_TMAP3OUT)-(c_TMAP2OUT))&gt;=0,1,-1)*QUOTIENT(((c_TMAP3IN)-(c_TMAP2IN)),2))+2147483648,4294967296)-2147483648,((c_TMAP3IN)-(c_TMAP2IN))*(((C95)-(c_TMAP2IN))*((c_TMAP3OUT)-(c_TMAP2OUT))+IF(((c_TMAP3OUT)-(c_TMAP2OUT))&gt;=0,1,-1)*QUOTIENT(((c_TMAP3IN)-(c_TMAP2IN)),2)))&gt;=0,1,0)))</f>
        <v>-45</v>
      </c>
      <c r="H95" s="7" t="n">
        <f aca="false">IF(((1000)-(c_TMAP3IN))=0,(c_TMAP3OUT)+QUOTIENT(((1000)-(c_TMAP3OUT)),2),QUOTIENT((((C95)-(c_TMAP3IN))*((1000)-(c_TMAP3OUT))+IF(((1000)-(c_TMAP3OUT))&gt;=0,1,-1)*QUOTIENT(((1000)-(c_TMAP3IN)),2)),((1000)-(c_TMAP3IN)))+(c_TMAP3OUT)+IF(((1000)-(c_TMAP3OUT))&gt;=0,IF(IF(o_WRAP=1,MOD(((1000)-(c_TMAP3IN))*(((C95)-(c_TMAP3IN))*((1000)-(c_TMAP3OUT))+IF(((1000)-(c_TMAP3OUT))&gt;=0,1,-1)*QUOTIENT(((1000)-(c_TMAP3IN)),2))+2147483648,4294967296)-2147483648,((1000)-(c_TMAP3IN))*(((C95)-(c_TMAP3IN))*((1000)-(c_TMAP3OUT))+IF(((1000)-(c_TMAP3OUT))&gt;=0,1,-1)*QUOTIENT(((1000)-(c_TMAP3IN)),2)))&lt;0,-1,0),IF(IF(o_WRAP=1,MOD(((1000)-(c_TMAP3IN))*(((C95)-(c_TMAP3IN))*((1000)-(c_TMAP3OUT))+IF(((1000)-(c_TMAP3OUT))&gt;=0,1,-1)*QUOTIENT(((1000)-(c_TMAP3IN)),2))+2147483648,4294967296)-2147483648,((1000)-(c_TMAP3IN))*(((C95)-(c_TMAP3IN))*((1000)-(c_TMAP3OUT))+IF(((1000)-(c_TMAP3OUT))&gt;=0,1,-1)*QUOTIENT(((1000)-(c_TMAP3IN)),2)))&gt;=0,1,0)))</f>
        <v>-231</v>
      </c>
      <c r="I95" s="7" t="n">
        <f aca="false">IF(C95&gt;=c_TFWD,IF(AND(C95&gt;=c_TMAP3IN,c_TMAP3IN&lt;1000),H95,IF(AND(C95&gt;=c_TMAP2IN,c_TMAP3IN&gt;c_TMAP2IN),G95,IF(AND(C95&gt;=c_TMAP1IN,c_TMAP2IN&gt;c_TMAP1IN),F95,E95))),D95)</f>
        <v>-350</v>
      </c>
      <c r="J95" s="7" t="str">
        <f aca="false">IF(I95&lt;-1090,"TOO LOW",IF(I95&gt;1090,"TOO HIGH",""))</f>
        <v/>
      </c>
      <c r="K95" s="7" t="n">
        <f aca="false">IF(J95&lt;&gt;"",0,IF(I95&gt;979,1000,I95))</f>
        <v>-350</v>
      </c>
      <c r="L95" s="7" t="n">
        <f aca="false">IF(OR(c_TSMOOTH=0,K95&gt;=c_TSMOOTHCUT),1,0)</f>
        <v>0</v>
      </c>
      <c r="M95" s="7" t="n">
        <f aca="false">IF(L95=1,0,M94+1)</f>
        <v>9</v>
      </c>
      <c r="N95" s="7" t="n">
        <f aca="false">IF(L95=1,0,MIN(M95,c_TSMOOTH))</f>
        <v>9</v>
      </c>
      <c r="O95" s="7" t="n">
        <f aca="false">IF(COUNTIF($L$5:L95,1)&gt;0,c_TSMOOTHCUT,0)</f>
        <v>400</v>
      </c>
      <c r="P95" s="15" t="n">
        <f aca="true">IF(L95=1,K95,QUOTIENT(SUM(OFFSET(K95,1-N95,0,N95,1))+(c_TSMOOTH-N95)*O95,c_TSMOOTH))</f>
        <v>208</v>
      </c>
      <c r="Q95" s="7" t="n">
        <f aca="false">K95/10</f>
        <v>-35</v>
      </c>
      <c r="R95" s="7" t="n">
        <f aca="false">P95/10</f>
        <v>20.8</v>
      </c>
    </row>
    <row r="96" customFormat="false" ht="15" hidden="false" customHeight="false" outlineLevel="0" collapsed="false">
      <c r="A96" s="7" t="n">
        <v>91</v>
      </c>
      <c r="B96" s="7" t="n">
        <f aca="false">A96*0.04</f>
        <v>3.64</v>
      </c>
      <c r="C96" s="18" t="n">
        <v>0</v>
      </c>
      <c r="D96" s="7" t="n">
        <f aca="false">IF(AND(C96=0,c_TCREEP&gt;0),10*c_TCREEP,IF(AND(C96&lt;=c_TRNGMIN,C96&gt;=c_TRNGMAX,c_TRNGMIN-c_TRNGMAX&lt;&gt;0),-10*c_TMINRN+QUOTIENT((c_TMAXRN-c_TMINRN)*(100-QUOTIENT((C96-c_TRNGMAX)*100,c_TRNGMIN-c_TRNGMAX)),-10),0))</f>
        <v>-350</v>
      </c>
      <c r="E96" s="7" t="n">
        <f aca="false">IF(((c_TMAP1IN)-(c_TFWD))=0,(0)+QUOTIENT(((c_TMAP1OUT)-(0)),2),QUOTIENT((((C96)-(c_TFWD))*((c_TMAP1OUT)-(0))+IF(((c_TMAP1OUT)-(0))&gt;=0,1,-1)*QUOTIENT(((c_TMAP1IN)-(c_TFWD)),2)),((c_TMAP1IN)-(c_TFWD)))+(0)+IF(((c_TMAP1OUT)-(0))&gt;=0,IF(IF(o_WRAP=1,MOD(((c_TMAP1IN)-(c_TFWD))*(((C96)-(c_TFWD))*((c_TMAP1OUT)-(0))+IF(((c_TMAP1OUT)-(0))&gt;=0,1,-1)*QUOTIENT(((c_TMAP1IN)-(c_TFWD)),2))+2147483648,4294967296)-2147483648,((c_TMAP1IN)-(c_TFWD))*(((C96)-(c_TFWD))*((c_TMAP1OUT)-(0))+IF(((c_TMAP1OUT)-(0))&gt;=0,1,-1)*QUOTIENT(((c_TMAP1IN)-(c_TFWD)),2)))&lt;0,-1,0),IF(IF(o_WRAP=1,MOD(((c_TMAP1IN)-(c_TFWD))*(((C96)-(c_TFWD))*((c_TMAP1OUT)-(0))+IF(((c_TMAP1OUT)-(0))&gt;=0,1,-1)*QUOTIENT(((c_TMAP1IN)-(c_TFWD)),2))+2147483648,4294967296)-2147483648,((c_TMAP1IN)-(c_TFWD))*(((C96)-(c_TFWD))*((c_TMAP1OUT)-(0))+IF(((c_TMAP1OUT)-(0))&gt;=0,1,-1)*QUOTIENT(((c_TMAP1IN)-(c_TFWD)),2)))&gt;=0,1,0)))</f>
        <v>-8</v>
      </c>
      <c r="F96" s="7" t="n">
        <f aca="false">IF(((c_TMAP2IN)-(c_TMAP1IN))=0,(c_TMAP1OUT)+QUOTIENT(((c_TMAP2OUT)-(c_TMAP1OUT)),2),QUOTIENT((((C96)-(c_TMAP1IN))*((c_TMAP2OUT)-(c_TMAP1OUT))+IF(((c_TMAP2OUT)-(c_TMAP1OUT))&gt;=0,1,-1)*QUOTIENT(((c_TMAP2IN)-(c_TMAP1IN)),2)),((c_TMAP2IN)-(c_TMAP1IN)))+(c_TMAP1OUT)+IF(((c_TMAP2OUT)-(c_TMAP1OUT))&gt;=0,IF(IF(o_WRAP=1,MOD(((c_TMAP2IN)-(c_TMAP1IN))*(((C96)-(c_TMAP1IN))*((c_TMAP2OUT)-(c_TMAP1OUT))+IF(((c_TMAP2OUT)-(c_TMAP1OUT))&gt;=0,1,-1)*QUOTIENT(((c_TMAP2IN)-(c_TMAP1IN)),2))+2147483648,4294967296)-2147483648,((c_TMAP2IN)-(c_TMAP1IN))*(((C96)-(c_TMAP1IN))*((c_TMAP2OUT)-(c_TMAP1OUT))+IF(((c_TMAP2OUT)-(c_TMAP1OUT))&gt;=0,1,-1)*QUOTIENT(((c_TMAP2IN)-(c_TMAP1IN)),2)))&lt;0,-1,0),IF(IF(o_WRAP=1,MOD(((c_TMAP2IN)-(c_TMAP1IN))*(((C96)-(c_TMAP1IN))*((c_TMAP2OUT)-(c_TMAP1OUT))+IF(((c_TMAP2OUT)-(c_TMAP1OUT))&gt;=0,1,-1)*QUOTIENT(((c_TMAP2IN)-(c_TMAP1IN)),2))+2147483648,4294967296)-2147483648,((c_TMAP2IN)-(c_TMAP1IN))*(((C96)-(c_TMAP1IN))*((c_TMAP2OUT)-(c_TMAP1OUT))+IF(((c_TMAP2OUT)-(c_TMAP1OUT))&gt;=0,1,-1)*QUOTIENT(((c_TMAP2IN)-(c_TMAP1IN)),2)))&gt;=0,1,0)))</f>
        <v>30</v>
      </c>
      <c r="G96" s="7" t="n">
        <f aca="false">IF(((c_TMAP3IN)-(c_TMAP2IN))=0,(c_TMAP2OUT)+QUOTIENT(((c_TMAP3OUT)-(c_TMAP2OUT)),2),QUOTIENT((((C96)-(c_TMAP2IN))*((c_TMAP3OUT)-(c_TMAP2OUT))+IF(((c_TMAP3OUT)-(c_TMAP2OUT))&gt;=0,1,-1)*QUOTIENT(((c_TMAP3IN)-(c_TMAP2IN)),2)),((c_TMAP3IN)-(c_TMAP2IN)))+(c_TMAP2OUT)+IF(((c_TMAP3OUT)-(c_TMAP2OUT))&gt;=0,IF(IF(o_WRAP=1,MOD(((c_TMAP3IN)-(c_TMAP2IN))*(((C96)-(c_TMAP2IN))*((c_TMAP3OUT)-(c_TMAP2OUT))+IF(((c_TMAP3OUT)-(c_TMAP2OUT))&gt;=0,1,-1)*QUOTIENT(((c_TMAP3IN)-(c_TMAP2IN)),2))+2147483648,4294967296)-2147483648,((c_TMAP3IN)-(c_TMAP2IN))*(((C96)-(c_TMAP2IN))*((c_TMAP3OUT)-(c_TMAP2OUT))+IF(((c_TMAP3OUT)-(c_TMAP2OUT))&gt;=0,1,-1)*QUOTIENT(((c_TMAP3IN)-(c_TMAP2IN)),2)))&lt;0,-1,0),IF(IF(o_WRAP=1,MOD(((c_TMAP3IN)-(c_TMAP2IN))*(((C96)-(c_TMAP2IN))*((c_TMAP3OUT)-(c_TMAP2OUT))+IF(((c_TMAP3OUT)-(c_TMAP2OUT))&gt;=0,1,-1)*QUOTIENT(((c_TMAP3IN)-(c_TMAP2IN)),2))+2147483648,4294967296)-2147483648,((c_TMAP3IN)-(c_TMAP2IN))*(((C96)-(c_TMAP2IN))*((c_TMAP3OUT)-(c_TMAP2OUT))+IF(((c_TMAP3OUT)-(c_TMAP2OUT))&gt;=0,1,-1)*QUOTIENT(((c_TMAP3IN)-(c_TMAP2IN)),2)))&gt;=0,1,0)))</f>
        <v>-45</v>
      </c>
      <c r="H96" s="7" t="n">
        <f aca="false">IF(((1000)-(c_TMAP3IN))=0,(c_TMAP3OUT)+QUOTIENT(((1000)-(c_TMAP3OUT)),2),QUOTIENT((((C96)-(c_TMAP3IN))*((1000)-(c_TMAP3OUT))+IF(((1000)-(c_TMAP3OUT))&gt;=0,1,-1)*QUOTIENT(((1000)-(c_TMAP3IN)),2)),((1000)-(c_TMAP3IN)))+(c_TMAP3OUT)+IF(((1000)-(c_TMAP3OUT))&gt;=0,IF(IF(o_WRAP=1,MOD(((1000)-(c_TMAP3IN))*(((C96)-(c_TMAP3IN))*((1000)-(c_TMAP3OUT))+IF(((1000)-(c_TMAP3OUT))&gt;=0,1,-1)*QUOTIENT(((1000)-(c_TMAP3IN)),2))+2147483648,4294967296)-2147483648,((1000)-(c_TMAP3IN))*(((C96)-(c_TMAP3IN))*((1000)-(c_TMAP3OUT))+IF(((1000)-(c_TMAP3OUT))&gt;=0,1,-1)*QUOTIENT(((1000)-(c_TMAP3IN)),2)))&lt;0,-1,0),IF(IF(o_WRAP=1,MOD(((1000)-(c_TMAP3IN))*(((C96)-(c_TMAP3IN))*((1000)-(c_TMAP3OUT))+IF(((1000)-(c_TMAP3OUT))&gt;=0,1,-1)*QUOTIENT(((1000)-(c_TMAP3IN)),2))+2147483648,4294967296)-2147483648,((1000)-(c_TMAP3IN))*(((C96)-(c_TMAP3IN))*((1000)-(c_TMAP3OUT))+IF(((1000)-(c_TMAP3OUT))&gt;=0,1,-1)*QUOTIENT(((1000)-(c_TMAP3IN)),2)))&gt;=0,1,0)))</f>
        <v>-231</v>
      </c>
      <c r="I96" s="7" t="n">
        <f aca="false">IF(C96&gt;=c_TFWD,IF(AND(C96&gt;=c_TMAP3IN,c_TMAP3IN&lt;1000),H96,IF(AND(C96&gt;=c_TMAP2IN,c_TMAP3IN&gt;c_TMAP2IN),G96,IF(AND(C96&gt;=c_TMAP1IN,c_TMAP2IN&gt;c_TMAP1IN),F96,E96))),D96)</f>
        <v>-350</v>
      </c>
      <c r="J96" s="7" t="str">
        <f aca="false">IF(I96&lt;-1090,"TOO LOW",IF(I96&gt;1090,"TOO HIGH",""))</f>
        <v/>
      </c>
      <c r="K96" s="7" t="n">
        <f aca="false">IF(J96&lt;&gt;"",0,IF(I96&gt;979,1000,I96))</f>
        <v>-350</v>
      </c>
      <c r="L96" s="7" t="n">
        <f aca="false">IF(OR(c_TSMOOTH=0,K96&gt;=c_TSMOOTHCUT),1,0)</f>
        <v>0</v>
      </c>
      <c r="M96" s="7" t="n">
        <f aca="false">IF(L96=1,0,M95+1)</f>
        <v>10</v>
      </c>
      <c r="N96" s="7" t="n">
        <f aca="false">IF(L96=1,0,MIN(M96,c_TSMOOTH))</f>
        <v>10</v>
      </c>
      <c r="O96" s="7" t="n">
        <f aca="false">IF(COUNTIF($L$5:L96,1)&gt;0,c_TSMOOTHCUT,0)</f>
        <v>400</v>
      </c>
      <c r="P96" s="15" t="n">
        <f aca="true">IF(L96=1,K96,QUOTIENT(SUM(OFFSET(K96,1-N96,0,N96,1))+(c_TSMOOTH-N96)*O96,c_TSMOOTH))</f>
        <v>183</v>
      </c>
      <c r="Q96" s="7" t="n">
        <f aca="false">K96/10</f>
        <v>-35</v>
      </c>
      <c r="R96" s="7" t="n">
        <f aca="false">P96/10</f>
        <v>18.3</v>
      </c>
    </row>
    <row r="97" customFormat="false" ht="15" hidden="false" customHeight="false" outlineLevel="0" collapsed="false">
      <c r="A97" s="7" t="n">
        <v>92</v>
      </c>
      <c r="B97" s="7" t="n">
        <f aca="false">A97*0.04</f>
        <v>3.68</v>
      </c>
      <c r="C97" s="18" t="n">
        <v>0</v>
      </c>
      <c r="D97" s="7" t="n">
        <f aca="false">IF(AND(C97=0,c_TCREEP&gt;0),10*c_TCREEP,IF(AND(C97&lt;=c_TRNGMIN,C97&gt;=c_TRNGMAX,c_TRNGMIN-c_TRNGMAX&lt;&gt;0),-10*c_TMINRN+QUOTIENT((c_TMAXRN-c_TMINRN)*(100-QUOTIENT((C97-c_TRNGMAX)*100,c_TRNGMIN-c_TRNGMAX)),-10),0))</f>
        <v>-350</v>
      </c>
      <c r="E97" s="7" t="n">
        <f aca="false">IF(((c_TMAP1IN)-(c_TFWD))=0,(0)+QUOTIENT(((c_TMAP1OUT)-(0)),2),QUOTIENT((((C97)-(c_TFWD))*((c_TMAP1OUT)-(0))+IF(((c_TMAP1OUT)-(0))&gt;=0,1,-1)*QUOTIENT(((c_TMAP1IN)-(c_TFWD)),2)),((c_TMAP1IN)-(c_TFWD)))+(0)+IF(((c_TMAP1OUT)-(0))&gt;=0,IF(IF(o_WRAP=1,MOD(((c_TMAP1IN)-(c_TFWD))*(((C97)-(c_TFWD))*((c_TMAP1OUT)-(0))+IF(((c_TMAP1OUT)-(0))&gt;=0,1,-1)*QUOTIENT(((c_TMAP1IN)-(c_TFWD)),2))+2147483648,4294967296)-2147483648,((c_TMAP1IN)-(c_TFWD))*(((C97)-(c_TFWD))*((c_TMAP1OUT)-(0))+IF(((c_TMAP1OUT)-(0))&gt;=0,1,-1)*QUOTIENT(((c_TMAP1IN)-(c_TFWD)),2)))&lt;0,-1,0),IF(IF(o_WRAP=1,MOD(((c_TMAP1IN)-(c_TFWD))*(((C97)-(c_TFWD))*((c_TMAP1OUT)-(0))+IF(((c_TMAP1OUT)-(0))&gt;=0,1,-1)*QUOTIENT(((c_TMAP1IN)-(c_TFWD)),2))+2147483648,4294967296)-2147483648,((c_TMAP1IN)-(c_TFWD))*(((C97)-(c_TFWD))*((c_TMAP1OUT)-(0))+IF(((c_TMAP1OUT)-(0))&gt;=0,1,-1)*QUOTIENT(((c_TMAP1IN)-(c_TFWD)),2)))&gt;=0,1,0)))</f>
        <v>-8</v>
      </c>
      <c r="F97" s="7" t="n">
        <f aca="false">IF(((c_TMAP2IN)-(c_TMAP1IN))=0,(c_TMAP1OUT)+QUOTIENT(((c_TMAP2OUT)-(c_TMAP1OUT)),2),QUOTIENT((((C97)-(c_TMAP1IN))*((c_TMAP2OUT)-(c_TMAP1OUT))+IF(((c_TMAP2OUT)-(c_TMAP1OUT))&gt;=0,1,-1)*QUOTIENT(((c_TMAP2IN)-(c_TMAP1IN)),2)),((c_TMAP2IN)-(c_TMAP1IN)))+(c_TMAP1OUT)+IF(((c_TMAP2OUT)-(c_TMAP1OUT))&gt;=0,IF(IF(o_WRAP=1,MOD(((c_TMAP2IN)-(c_TMAP1IN))*(((C97)-(c_TMAP1IN))*((c_TMAP2OUT)-(c_TMAP1OUT))+IF(((c_TMAP2OUT)-(c_TMAP1OUT))&gt;=0,1,-1)*QUOTIENT(((c_TMAP2IN)-(c_TMAP1IN)),2))+2147483648,4294967296)-2147483648,((c_TMAP2IN)-(c_TMAP1IN))*(((C97)-(c_TMAP1IN))*((c_TMAP2OUT)-(c_TMAP1OUT))+IF(((c_TMAP2OUT)-(c_TMAP1OUT))&gt;=0,1,-1)*QUOTIENT(((c_TMAP2IN)-(c_TMAP1IN)),2)))&lt;0,-1,0),IF(IF(o_WRAP=1,MOD(((c_TMAP2IN)-(c_TMAP1IN))*(((C97)-(c_TMAP1IN))*((c_TMAP2OUT)-(c_TMAP1OUT))+IF(((c_TMAP2OUT)-(c_TMAP1OUT))&gt;=0,1,-1)*QUOTIENT(((c_TMAP2IN)-(c_TMAP1IN)),2))+2147483648,4294967296)-2147483648,((c_TMAP2IN)-(c_TMAP1IN))*(((C97)-(c_TMAP1IN))*((c_TMAP2OUT)-(c_TMAP1OUT))+IF(((c_TMAP2OUT)-(c_TMAP1OUT))&gt;=0,1,-1)*QUOTIENT(((c_TMAP2IN)-(c_TMAP1IN)),2)))&gt;=0,1,0)))</f>
        <v>30</v>
      </c>
      <c r="G97" s="7" t="n">
        <f aca="false">IF(((c_TMAP3IN)-(c_TMAP2IN))=0,(c_TMAP2OUT)+QUOTIENT(((c_TMAP3OUT)-(c_TMAP2OUT)),2),QUOTIENT((((C97)-(c_TMAP2IN))*((c_TMAP3OUT)-(c_TMAP2OUT))+IF(((c_TMAP3OUT)-(c_TMAP2OUT))&gt;=0,1,-1)*QUOTIENT(((c_TMAP3IN)-(c_TMAP2IN)),2)),((c_TMAP3IN)-(c_TMAP2IN)))+(c_TMAP2OUT)+IF(((c_TMAP3OUT)-(c_TMAP2OUT))&gt;=0,IF(IF(o_WRAP=1,MOD(((c_TMAP3IN)-(c_TMAP2IN))*(((C97)-(c_TMAP2IN))*((c_TMAP3OUT)-(c_TMAP2OUT))+IF(((c_TMAP3OUT)-(c_TMAP2OUT))&gt;=0,1,-1)*QUOTIENT(((c_TMAP3IN)-(c_TMAP2IN)),2))+2147483648,4294967296)-2147483648,((c_TMAP3IN)-(c_TMAP2IN))*(((C97)-(c_TMAP2IN))*((c_TMAP3OUT)-(c_TMAP2OUT))+IF(((c_TMAP3OUT)-(c_TMAP2OUT))&gt;=0,1,-1)*QUOTIENT(((c_TMAP3IN)-(c_TMAP2IN)),2)))&lt;0,-1,0),IF(IF(o_WRAP=1,MOD(((c_TMAP3IN)-(c_TMAP2IN))*(((C97)-(c_TMAP2IN))*((c_TMAP3OUT)-(c_TMAP2OUT))+IF(((c_TMAP3OUT)-(c_TMAP2OUT))&gt;=0,1,-1)*QUOTIENT(((c_TMAP3IN)-(c_TMAP2IN)),2))+2147483648,4294967296)-2147483648,((c_TMAP3IN)-(c_TMAP2IN))*(((C97)-(c_TMAP2IN))*((c_TMAP3OUT)-(c_TMAP2OUT))+IF(((c_TMAP3OUT)-(c_TMAP2OUT))&gt;=0,1,-1)*QUOTIENT(((c_TMAP3IN)-(c_TMAP2IN)),2)))&gt;=0,1,0)))</f>
        <v>-45</v>
      </c>
      <c r="H97" s="7" t="n">
        <f aca="false">IF(((1000)-(c_TMAP3IN))=0,(c_TMAP3OUT)+QUOTIENT(((1000)-(c_TMAP3OUT)),2),QUOTIENT((((C97)-(c_TMAP3IN))*((1000)-(c_TMAP3OUT))+IF(((1000)-(c_TMAP3OUT))&gt;=0,1,-1)*QUOTIENT(((1000)-(c_TMAP3IN)),2)),((1000)-(c_TMAP3IN)))+(c_TMAP3OUT)+IF(((1000)-(c_TMAP3OUT))&gt;=0,IF(IF(o_WRAP=1,MOD(((1000)-(c_TMAP3IN))*(((C97)-(c_TMAP3IN))*((1000)-(c_TMAP3OUT))+IF(((1000)-(c_TMAP3OUT))&gt;=0,1,-1)*QUOTIENT(((1000)-(c_TMAP3IN)),2))+2147483648,4294967296)-2147483648,((1000)-(c_TMAP3IN))*(((C97)-(c_TMAP3IN))*((1000)-(c_TMAP3OUT))+IF(((1000)-(c_TMAP3OUT))&gt;=0,1,-1)*QUOTIENT(((1000)-(c_TMAP3IN)),2)))&lt;0,-1,0),IF(IF(o_WRAP=1,MOD(((1000)-(c_TMAP3IN))*(((C97)-(c_TMAP3IN))*((1000)-(c_TMAP3OUT))+IF(((1000)-(c_TMAP3OUT))&gt;=0,1,-1)*QUOTIENT(((1000)-(c_TMAP3IN)),2))+2147483648,4294967296)-2147483648,((1000)-(c_TMAP3IN))*(((C97)-(c_TMAP3IN))*((1000)-(c_TMAP3OUT))+IF(((1000)-(c_TMAP3OUT))&gt;=0,1,-1)*QUOTIENT(((1000)-(c_TMAP3IN)),2)))&gt;=0,1,0)))</f>
        <v>-231</v>
      </c>
      <c r="I97" s="7" t="n">
        <f aca="false">IF(C97&gt;=c_TFWD,IF(AND(C97&gt;=c_TMAP3IN,c_TMAP3IN&lt;1000),H97,IF(AND(C97&gt;=c_TMAP2IN,c_TMAP3IN&gt;c_TMAP2IN),G97,IF(AND(C97&gt;=c_TMAP1IN,c_TMAP2IN&gt;c_TMAP1IN),F97,E97))),D97)</f>
        <v>-350</v>
      </c>
      <c r="J97" s="7" t="str">
        <f aca="false">IF(I97&lt;-1090,"TOO LOW",IF(I97&gt;1090,"TOO HIGH",""))</f>
        <v/>
      </c>
      <c r="K97" s="7" t="n">
        <f aca="false">IF(J97&lt;&gt;"",0,IF(I97&gt;979,1000,I97))</f>
        <v>-350</v>
      </c>
      <c r="L97" s="7" t="n">
        <f aca="false">IF(OR(c_TSMOOTH=0,K97&gt;=c_TSMOOTHCUT),1,0)</f>
        <v>0</v>
      </c>
      <c r="M97" s="7" t="n">
        <f aca="false">IF(L97=1,0,M96+1)</f>
        <v>11</v>
      </c>
      <c r="N97" s="7" t="n">
        <f aca="false">IF(L97=1,0,MIN(M97,c_TSMOOTH))</f>
        <v>11</v>
      </c>
      <c r="O97" s="7" t="n">
        <f aca="false">IF(COUNTIF($L$5:L97,1)&gt;0,c_TSMOOTHCUT,0)</f>
        <v>400</v>
      </c>
      <c r="P97" s="15" t="n">
        <f aca="true">IF(L97=1,K97,QUOTIENT(SUM(OFFSET(K97,1-N97,0,N97,1))+(c_TSMOOTH-N97)*O97,c_TSMOOTH))</f>
        <v>158</v>
      </c>
      <c r="Q97" s="7" t="n">
        <f aca="false">K97/10</f>
        <v>-35</v>
      </c>
      <c r="R97" s="7" t="n">
        <f aca="false">P97/10</f>
        <v>15.8</v>
      </c>
    </row>
    <row r="98" customFormat="false" ht="15" hidden="false" customHeight="false" outlineLevel="0" collapsed="false">
      <c r="A98" s="7" t="n">
        <v>93</v>
      </c>
      <c r="B98" s="7" t="n">
        <f aca="false">A98*0.04</f>
        <v>3.72</v>
      </c>
      <c r="C98" s="18" t="n">
        <v>0</v>
      </c>
      <c r="D98" s="7" t="n">
        <f aca="false">IF(AND(C98=0,c_TCREEP&gt;0),10*c_TCREEP,IF(AND(C98&lt;=c_TRNGMIN,C98&gt;=c_TRNGMAX,c_TRNGMIN-c_TRNGMAX&lt;&gt;0),-10*c_TMINRN+QUOTIENT((c_TMAXRN-c_TMINRN)*(100-QUOTIENT((C98-c_TRNGMAX)*100,c_TRNGMIN-c_TRNGMAX)),-10),0))</f>
        <v>-350</v>
      </c>
      <c r="E98" s="7" t="n">
        <f aca="false">IF(((c_TMAP1IN)-(c_TFWD))=0,(0)+QUOTIENT(((c_TMAP1OUT)-(0)),2),QUOTIENT((((C98)-(c_TFWD))*((c_TMAP1OUT)-(0))+IF(((c_TMAP1OUT)-(0))&gt;=0,1,-1)*QUOTIENT(((c_TMAP1IN)-(c_TFWD)),2)),((c_TMAP1IN)-(c_TFWD)))+(0)+IF(((c_TMAP1OUT)-(0))&gt;=0,IF(IF(o_WRAP=1,MOD(((c_TMAP1IN)-(c_TFWD))*(((C98)-(c_TFWD))*((c_TMAP1OUT)-(0))+IF(((c_TMAP1OUT)-(0))&gt;=0,1,-1)*QUOTIENT(((c_TMAP1IN)-(c_TFWD)),2))+2147483648,4294967296)-2147483648,((c_TMAP1IN)-(c_TFWD))*(((C98)-(c_TFWD))*((c_TMAP1OUT)-(0))+IF(((c_TMAP1OUT)-(0))&gt;=0,1,-1)*QUOTIENT(((c_TMAP1IN)-(c_TFWD)),2)))&lt;0,-1,0),IF(IF(o_WRAP=1,MOD(((c_TMAP1IN)-(c_TFWD))*(((C98)-(c_TFWD))*((c_TMAP1OUT)-(0))+IF(((c_TMAP1OUT)-(0))&gt;=0,1,-1)*QUOTIENT(((c_TMAP1IN)-(c_TFWD)),2))+2147483648,4294967296)-2147483648,((c_TMAP1IN)-(c_TFWD))*(((C98)-(c_TFWD))*((c_TMAP1OUT)-(0))+IF(((c_TMAP1OUT)-(0))&gt;=0,1,-1)*QUOTIENT(((c_TMAP1IN)-(c_TFWD)),2)))&gt;=0,1,0)))</f>
        <v>-8</v>
      </c>
      <c r="F98" s="7" t="n">
        <f aca="false">IF(((c_TMAP2IN)-(c_TMAP1IN))=0,(c_TMAP1OUT)+QUOTIENT(((c_TMAP2OUT)-(c_TMAP1OUT)),2),QUOTIENT((((C98)-(c_TMAP1IN))*((c_TMAP2OUT)-(c_TMAP1OUT))+IF(((c_TMAP2OUT)-(c_TMAP1OUT))&gt;=0,1,-1)*QUOTIENT(((c_TMAP2IN)-(c_TMAP1IN)),2)),((c_TMAP2IN)-(c_TMAP1IN)))+(c_TMAP1OUT)+IF(((c_TMAP2OUT)-(c_TMAP1OUT))&gt;=0,IF(IF(o_WRAP=1,MOD(((c_TMAP2IN)-(c_TMAP1IN))*(((C98)-(c_TMAP1IN))*((c_TMAP2OUT)-(c_TMAP1OUT))+IF(((c_TMAP2OUT)-(c_TMAP1OUT))&gt;=0,1,-1)*QUOTIENT(((c_TMAP2IN)-(c_TMAP1IN)),2))+2147483648,4294967296)-2147483648,((c_TMAP2IN)-(c_TMAP1IN))*(((C98)-(c_TMAP1IN))*((c_TMAP2OUT)-(c_TMAP1OUT))+IF(((c_TMAP2OUT)-(c_TMAP1OUT))&gt;=0,1,-1)*QUOTIENT(((c_TMAP2IN)-(c_TMAP1IN)),2)))&lt;0,-1,0),IF(IF(o_WRAP=1,MOD(((c_TMAP2IN)-(c_TMAP1IN))*(((C98)-(c_TMAP1IN))*((c_TMAP2OUT)-(c_TMAP1OUT))+IF(((c_TMAP2OUT)-(c_TMAP1OUT))&gt;=0,1,-1)*QUOTIENT(((c_TMAP2IN)-(c_TMAP1IN)),2))+2147483648,4294967296)-2147483648,((c_TMAP2IN)-(c_TMAP1IN))*(((C98)-(c_TMAP1IN))*((c_TMAP2OUT)-(c_TMAP1OUT))+IF(((c_TMAP2OUT)-(c_TMAP1OUT))&gt;=0,1,-1)*QUOTIENT(((c_TMAP2IN)-(c_TMAP1IN)),2)))&gt;=0,1,0)))</f>
        <v>30</v>
      </c>
      <c r="G98" s="7" t="n">
        <f aca="false">IF(((c_TMAP3IN)-(c_TMAP2IN))=0,(c_TMAP2OUT)+QUOTIENT(((c_TMAP3OUT)-(c_TMAP2OUT)),2),QUOTIENT((((C98)-(c_TMAP2IN))*((c_TMAP3OUT)-(c_TMAP2OUT))+IF(((c_TMAP3OUT)-(c_TMAP2OUT))&gt;=0,1,-1)*QUOTIENT(((c_TMAP3IN)-(c_TMAP2IN)),2)),((c_TMAP3IN)-(c_TMAP2IN)))+(c_TMAP2OUT)+IF(((c_TMAP3OUT)-(c_TMAP2OUT))&gt;=0,IF(IF(o_WRAP=1,MOD(((c_TMAP3IN)-(c_TMAP2IN))*(((C98)-(c_TMAP2IN))*((c_TMAP3OUT)-(c_TMAP2OUT))+IF(((c_TMAP3OUT)-(c_TMAP2OUT))&gt;=0,1,-1)*QUOTIENT(((c_TMAP3IN)-(c_TMAP2IN)),2))+2147483648,4294967296)-2147483648,((c_TMAP3IN)-(c_TMAP2IN))*(((C98)-(c_TMAP2IN))*((c_TMAP3OUT)-(c_TMAP2OUT))+IF(((c_TMAP3OUT)-(c_TMAP2OUT))&gt;=0,1,-1)*QUOTIENT(((c_TMAP3IN)-(c_TMAP2IN)),2)))&lt;0,-1,0),IF(IF(o_WRAP=1,MOD(((c_TMAP3IN)-(c_TMAP2IN))*(((C98)-(c_TMAP2IN))*((c_TMAP3OUT)-(c_TMAP2OUT))+IF(((c_TMAP3OUT)-(c_TMAP2OUT))&gt;=0,1,-1)*QUOTIENT(((c_TMAP3IN)-(c_TMAP2IN)),2))+2147483648,4294967296)-2147483648,((c_TMAP3IN)-(c_TMAP2IN))*(((C98)-(c_TMAP2IN))*((c_TMAP3OUT)-(c_TMAP2OUT))+IF(((c_TMAP3OUT)-(c_TMAP2OUT))&gt;=0,1,-1)*QUOTIENT(((c_TMAP3IN)-(c_TMAP2IN)),2)))&gt;=0,1,0)))</f>
        <v>-45</v>
      </c>
      <c r="H98" s="7" t="n">
        <f aca="false">IF(((1000)-(c_TMAP3IN))=0,(c_TMAP3OUT)+QUOTIENT(((1000)-(c_TMAP3OUT)),2),QUOTIENT((((C98)-(c_TMAP3IN))*((1000)-(c_TMAP3OUT))+IF(((1000)-(c_TMAP3OUT))&gt;=0,1,-1)*QUOTIENT(((1000)-(c_TMAP3IN)),2)),((1000)-(c_TMAP3IN)))+(c_TMAP3OUT)+IF(((1000)-(c_TMAP3OUT))&gt;=0,IF(IF(o_WRAP=1,MOD(((1000)-(c_TMAP3IN))*(((C98)-(c_TMAP3IN))*((1000)-(c_TMAP3OUT))+IF(((1000)-(c_TMAP3OUT))&gt;=0,1,-1)*QUOTIENT(((1000)-(c_TMAP3IN)),2))+2147483648,4294967296)-2147483648,((1000)-(c_TMAP3IN))*(((C98)-(c_TMAP3IN))*((1000)-(c_TMAP3OUT))+IF(((1000)-(c_TMAP3OUT))&gt;=0,1,-1)*QUOTIENT(((1000)-(c_TMAP3IN)),2)))&lt;0,-1,0),IF(IF(o_WRAP=1,MOD(((1000)-(c_TMAP3IN))*(((C98)-(c_TMAP3IN))*((1000)-(c_TMAP3OUT))+IF(((1000)-(c_TMAP3OUT))&gt;=0,1,-1)*QUOTIENT(((1000)-(c_TMAP3IN)),2))+2147483648,4294967296)-2147483648,((1000)-(c_TMAP3IN))*(((C98)-(c_TMAP3IN))*((1000)-(c_TMAP3OUT))+IF(((1000)-(c_TMAP3OUT))&gt;=0,1,-1)*QUOTIENT(((1000)-(c_TMAP3IN)),2)))&gt;=0,1,0)))</f>
        <v>-231</v>
      </c>
      <c r="I98" s="7" t="n">
        <f aca="false">IF(C98&gt;=c_TFWD,IF(AND(C98&gt;=c_TMAP3IN,c_TMAP3IN&lt;1000),H98,IF(AND(C98&gt;=c_TMAP2IN,c_TMAP3IN&gt;c_TMAP2IN),G98,IF(AND(C98&gt;=c_TMAP1IN,c_TMAP2IN&gt;c_TMAP1IN),F98,E98))),D98)</f>
        <v>-350</v>
      </c>
      <c r="J98" s="7" t="str">
        <f aca="false">IF(I98&lt;-1090,"TOO LOW",IF(I98&gt;1090,"TOO HIGH",""))</f>
        <v/>
      </c>
      <c r="K98" s="7" t="n">
        <f aca="false">IF(J98&lt;&gt;"",0,IF(I98&gt;979,1000,I98))</f>
        <v>-350</v>
      </c>
      <c r="L98" s="7" t="n">
        <f aca="false">IF(OR(c_TSMOOTH=0,K98&gt;=c_TSMOOTHCUT),1,0)</f>
        <v>0</v>
      </c>
      <c r="M98" s="7" t="n">
        <f aca="false">IF(L98=1,0,M97+1)</f>
        <v>12</v>
      </c>
      <c r="N98" s="7" t="n">
        <f aca="false">IF(L98=1,0,MIN(M98,c_TSMOOTH))</f>
        <v>12</v>
      </c>
      <c r="O98" s="7" t="n">
        <f aca="false">IF(COUNTIF($L$5:L98,1)&gt;0,c_TSMOOTHCUT,0)</f>
        <v>400</v>
      </c>
      <c r="P98" s="15" t="n">
        <f aca="true">IF(L98=1,K98,QUOTIENT(SUM(OFFSET(K98,1-N98,0,N98,1))+(c_TSMOOTH-N98)*O98,c_TSMOOTH))</f>
        <v>133</v>
      </c>
      <c r="Q98" s="7" t="n">
        <f aca="false">K98/10</f>
        <v>-35</v>
      </c>
      <c r="R98" s="7" t="n">
        <f aca="false">P98/10</f>
        <v>13.3</v>
      </c>
    </row>
    <row r="99" customFormat="false" ht="15" hidden="false" customHeight="false" outlineLevel="0" collapsed="false">
      <c r="A99" s="7" t="n">
        <v>94</v>
      </c>
      <c r="B99" s="7" t="n">
        <f aca="false">A99*0.04</f>
        <v>3.76</v>
      </c>
      <c r="C99" s="18" t="n">
        <v>0</v>
      </c>
      <c r="D99" s="7" t="n">
        <f aca="false">IF(AND(C99=0,c_TCREEP&gt;0),10*c_TCREEP,IF(AND(C99&lt;=c_TRNGMIN,C99&gt;=c_TRNGMAX,c_TRNGMIN-c_TRNGMAX&lt;&gt;0),-10*c_TMINRN+QUOTIENT((c_TMAXRN-c_TMINRN)*(100-QUOTIENT((C99-c_TRNGMAX)*100,c_TRNGMIN-c_TRNGMAX)),-10),0))</f>
        <v>-350</v>
      </c>
      <c r="E99" s="7" t="n">
        <f aca="false">IF(((c_TMAP1IN)-(c_TFWD))=0,(0)+QUOTIENT(((c_TMAP1OUT)-(0)),2),QUOTIENT((((C99)-(c_TFWD))*((c_TMAP1OUT)-(0))+IF(((c_TMAP1OUT)-(0))&gt;=0,1,-1)*QUOTIENT(((c_TMAP1IN)-(c_TFWD)),2)),((c_TMAP1IN)-(c_TFWD)))+(0)+IF(((c_TMAP1OUT)-(0))&gt;=0,IF(IF(o_WRAP=1,MOD(((c_TMAP1IN)-(c_TFWD))*(((C99)-(c_TFWD))*((c_TMAP1OUT)-(0))+IF(((c_TMAP1OUT)-(0))&gt;=0,1,-1)*QUOTIENT(((c_TMAP1IN)-(c_TFWD)),2))+2147483648,4294967296)-2147483648,((c_TMAP1IN)-(c_TFWD))*(((C99)-(c_TFWD))*((c_TMAP1OUT)-(0))+IF(((c_TMAP1OUT)-(0))&gt;=0,1,-1)*QUOTIENT(((c_TMAP1IN)-(c_TFWD)),2)))&lt;0,-1,0),IF(IF(o_WRAP=1,MOD(((c_TMAP1IN)-(c_TFWD))*(((C99)-(c_TFWD))*((c_TMAP1OUT)-(0))+IF(((c_TMAP1OUT)-(0))&gt;=0,1,-1)*QUOTIENT(((c_TMAP1IN)-(c_TFWD)),2))+2147483648,4294967296)-2147483648,((c_TMAP1IN)-(c_TFWD))*(((C99)-(c_TFWD))*((c_TMAP1OUT)-(0))+IF(((c_TMAP1OUT)-(0))&gt;=0,1,-1)*QUOTIENT(((c_TMAP1IN)-(c_TFWD)),2)))&gt;=0,1,0)))</f>
        <v>-8</v>
      </c>
      <c r="F99" s="7" t="n">
        <f aca="false">IF(((c_TMAP2IN)-(c_TMAP1IN))=0,(c_TMAP1OUT)+QUOTIENT(((c_TMAP2OUT)-(c_TMAP1OUT)),2),QUOTIENT((((C99)-(c_TMAP1IN))*((c_TMAP2OUT)-(c_TMAP1OUT))+IF(((c_TMAP2OUT)-(c_TMAP1OUT))&gt;=0,1,-1)*QUOTIENT(((c_TMAP2IN)-(c_TMAP1IN)),2)),((c_TMAP2IN)-(c_TMAP1IN)))+(c_TMAP1OUT)+IF(((c_TMAP2OUT)-(c_TMAP1OUT))&gt;=0,IF(IF(o_WRAP=1,MOD(((c_TMAP2IN)-(c_TMAP1IN))*(((C99)-(c_TMAP1IN))*((c_TMAP2OUT)-(c_TMAP1OUT))+IF(((c_TMAP2OUT)-(c_TMAP1OUT))&gt;=0,1,-1)*QUOTIENT(((c_TMAP2IN)-(c_TMAP1IN)),2))+2147483648,4294967296)-2147483648,((c_TMAP2IN)-(c_TMAP1IN))*(((C99)-(c_TMAP1IN))*((c_TMAP2OUT)-(c_TMAP1OUT))+IF(((c_TMAP2OUT)-(c_TMAP1OUT))&gt;=0,1,-1)*QUOTIENT(((c_TMAP2IN)-(c_TMAP1IN)),2)))&lt;0,-1,0),IF(IF(o_WRAP=1,MOD(((c_TMAP2IN)-(c_TMAP1IN))*(((C99)-(c_TMAP1IN))*((c_TMAP2OUT)-(c_TMAP1OUT))+IF(((c_TMAP2OUT)-(c_TMAP1OUT))&gt;=0,1,-1)*QUOTIENT(((c_TMAP2IN)-(c_TMAP1IN)),2))+2147483648,4294967296)-2147483648,((c_TMAP2IN)-(c_TMAP1IN))*(((C99)-(c_TMAP1IN))*((c_TMAP2OUT)-(c_TMAP1OUT))+IF(((c_TMAP2OUT)-(c_TMAP1OUT))&gt;=0,1,-1)*QUOTIENT(((c_TMAP2IN)-(c_TMAP1IN)),2)))&gt;=0,1,0)))</f>
        <v>30</v>
      </c>
      <c r="G99" s="7" t="n">
        <f aca="false">IF(((c_TMAP3IN)-(c_TMAP2IN))=0,(c_TMAP2OUT)+QUOTIENT(((c_TMAP3OUT)-(c_TMAP2OUT)),2),QUOTIENT((((C99)-(c_TMAP2IN))*((c_TMAP3OUT)-(c_TMAP2OUT))+IF(((c_TMAP3OUT)-(c_TMAP2OUT))&gt;=0,1,-1)*QUOTIENT(((c_TMAP3IN)-(c_TMAP2IN)),2)),((c_TMAP3IN)-(c_TMAP2IN)))+(c_TMAP2OUT)+IF(((c_TMAP3OUT)-(c_TMAP2OUT))&gt;=0,IF(IF(o_WRAP=1,MOD(((c_TMAP3IN)-(c_TMAP2IN))*(((C99)-(c_TMAP2IN))*((c_TMAP3OUT)-(c_TMAP2OUT))+IF(((c_TMAP3OUT)-(c_TMAP2OUT))&gt;=0,1,-1)*QUOTIENT(((c_TMAP3IN)-(c_TMAP2IN)),2))+2147483648,4294967296)-2147483648,((c_TMAP3IN)-(c_TMAP2IN))*(((C99)-(c_TMAP2IN))*((c_TMAP3OUT)-(c_TMAP2OUT))+IF(((c_TMAP3OUT)-(c_TMAP2OUT))&gt;=0,1,-1)*QUOTIENT(((c_TMAP3IN)-(c_TMAP2IN)),2)))&lt;0,-1,0),IF(IF(o_WRAP=1,MOD(((c_TMAP3IN)-(c_TMAP2IN))*(((C99)-(c_TMAP2IN))*((c_TMAP3OUT)-(c_TMAP2OUT))+IF(((c_TMAP3OUT)-(c_TMAP2OUT))&gt;=0,1,-1)*QUOTIENT(((c_TMAP3IN)-(c_TMAP2IN)),2))+2147483648,4294967296)-2147483648,((c_TMAP3IN)-(c_TMAP2IN))*(((C99)-(c_TMAP2IN))*((c_TMAP3OUT)-(c_TMAP2OUT))+IF(((c_TMAP3OUT)-(c_TMAP2OUT))&gt;=0,1,-1)*QUOTIENT(((c_TMAP3IN)-(c_TMAP2IN)),2)))&gt;=0,1,0)))</f>
        <v>-45</v>
      </c>
      <c r="H99" s="7" t="n">
        <f aca="false">IF(((1000)-(c_TMAP3IN))=0,(c_TMAP3OUT)+QUOTIENT(((1000)-(c_TMAP3OUT)),2),QUOTIENT((((C99)-(c_TMAP3IN))*((1000)-(c_TMAP3OUT))+IF(((1000)-(c_TMAP3OUT))&gt;=0,1,-1)*QUOTIENT(((1000)-(c_TMAP3IN)),2)),((1000)-(c_TMAP3IN)))+(c_TMAP3OUT)+IF(((1000)-(c_TMAP3OUT))&gt;=0,IF(IF(o_WRAP=1,MOD(((1000)-(c_TMAP3IN))*(((C99)-(c_TMAP3IN))*((1000)-(c_TMAP3OUT))+IF(((1000)-(c_TMAP3OUT))&gt;=0,1,-1)*QUOTIENT(((1000)-(c_TMAP3IN)),2))+2147483648,4294967296)-2147483648,((1000)-(c_TMAP3IN))*(((C99)-(c_TMAP3IN))*((1000)-(c_TMAP3OUT))+IF(((1000)-(c_TMAP3OUT))&gt;=0,1,-1)*QUOTIENT(((1000)-(c_TMAP3IN)),2)))&lt;0,-1,0),IF(IF(o_WRAP=1,MOD(((1000)-(c_TMAP3IN))*(((C99)-(c_TMAP3IN))*((1000)-(c_TMAP3OUT))+IF(((1000)-(c_TMAP3OUT))&gt;=0,1,-1)*QUOTIENT(((1000)-(c_TMAP3IN)),2))+2147483648,4294967296)-2147483648,((1000)-(c_TMAP3IN))*(((C99)-(c_TMAP3IN))*((1000)-(c_TMAP3OUT))+IF(((1000)-(c_TMAP3OUT))&gt;=0,1,-1)*QUOTIENT(((1000)-(c_TMAP3IN)),2)))&gt;=0,1,0)))</f>
        <v>-231</v>
      </c>
      <c r="I99" s="7" t="n">
        <f aca="false">IF(C99&gt;=c_TFWD,IF(AND(C99&gt;=c_TMAP3IN,c_TMAP3IN&lt;1000),H99,IF(AND(C99&gt;=c_TMAP2IN,c_TMAP3IN&gt;c_TMAP2IN),G99,IF(AND(C99&gt;=c_TMAP1IN,c_TMAP2IN&gt;c_TMAP1IN),F99,E99))),D99)</f>
        <v>-350</v>
      </c>
      <c r="J99" s="7" t="str">
        <f aca="false">IF(I99&lt;-1090,"TOO LOW",IF(I99&gt;1090,"TOO HIGH",""))</f>
        <v/>
      </c>
      <c r="K99" s="7" t="n">
        <f aca="false">IF(J99&lt;&gt;"",0,IF(I99&gt;979,1000,I99))</f>
        <v>-350</v>
      </c>
      <c r="L99" s="7" t="n">
        <f aca="false">IF(OR(c_TSMOOTH=0,K99&gt;=c_TSMOOTHCUT),1,0)</f>
        <v>0</v>
      </c>
      <c r="M99" s="7" t="n">
        <f aca="false">IF(L99=1,0,M98+1)</f>
        <v>13</v>
      </c>
      <c r="N99" s="7" t="n">
        <f aca="false">IF(L99=1,0,MIN(M99,c_TSMOOTH))</f>
        <v>13</v>
      </c>
      <c r="O99" s="7" t="n">
        <f aca="false">IF(COUNTIF($L$5:L99,1)&gt;0,c_TSMOOTHCUT,0)</f>
        <v>400</v>
      </c>
      <c r="P99" s="15" t="n">
        <f aca="true">IF(L99=1,K99,QUOTIENT(SUM(OFFSET(K99,1-N99,0,N99,1))+(c_TSMOOTH-N99)*O99,c_TSMOOTH))</f>
        <v>108</v>
      </c>
      <c r="Q99" s="7" t="n">
        <f aca="false">K99/10</f>
        <v>-35</v>
      </c>
      <c r="R99" s="7" t="n">
        <f aca="false">P99/10</f>
        <v>10.8</v>
      </c>
    </row>
    <row r="100" customFormat="false" ht="15" hidden="false" customHeight="false" outlineLevel="0" collapsed="false">
      <c r="A100" s="7" t="n">
        <v>95</v>
      </c>
      <c r="B100" s="7" t="n">
        <f aca="false">A100*0.04</f>
        <v>3.8</v>
      </c>
      <c r="C100" s="18" t="n">
        <v>0</v>
      </c>
      <c r="D100" s="7" t="n">
        <f aca="false">IF(AND(C100=0,c_TCREEP&gt;0),10*c_TCREEP,IF(AND(C100&lt;=c_TRNGMIN,C100&gt;=c_TRNGMAX,c_TRNGMIN-c_TRNGMAX&lt;&gt;0),-10*c_TMINRN+QUOTIENT((c_TMAXRN-c_TMINRN)*(100-QUOTIENT((C100-c_TRNGMAX)*100,c_TRNGMIN-c_TRNGMAX)),-10),0))</f>
        <v>-350</v>
      </c>
      <c r="E100" s="7" t="n">
        <f aca="false">IF(((c_TMAP1IN)-(c_TFWD))=0,(0)+QUOTIENT(((c_TMAP1OUT)-(0)),2),QUOTIENT((((C100)-(c_TFWD))*((c_TMAP1OUT)-(0))+IF(((c_TMAP1OUT)-(0))&gt;=0,1,-1)*QUOTIENT(((c_TMAP1IN)-(c_TFWD)),2)),((c_TMAP1IN)-(c_TFWD)))+(0)+IF(((c_TMAP1OUT)-(0))&gt;=0,IF(IF(o_WRAP=1,MOD(((c_TMAP1IN)-(c_TFWD))*(((C100)-(c_TFWD))*((c_TMAP1OUT)-(0))+IF(((c_TMAP1OUT)-(0))&gt;=0,1,-1)*QUOTIENT(((c_TMAP1IN)-(c_TFWD)),2))+2147483648,4294967296)-2147483648,((c_TMAP1IN)-(c_TFWD))*(((C100)-(c_TFWD))*((c_TMAP1OUT)-(0))+IF(((c_TMAP1OUT)-(0))&gt;=0,1,-1)*QUOTIENT(((c_TMAP1IN)-(c_TFWD)),2)))&lt;0,-1,0),IF(IF(o_WRAP=1,MOD(((c_TMAP1IN)-(c_TFWD))*(((C100)-(c_TFWD))*((c_TMAP1OUT)-(0))+IF(((c_TMAP1OUT)-(0))&gt;=0,1,-1)*QUOTIENT(((c_TMAP1IN)-(c_TFWD)),2))+2147483648,4294967296)-2147483648,((c_TMAP1IN)-(c_TFWD))*(((C100)-(c_TFWD))*((c_TMAP1OUT)-(0))+IF(((c_TMAP1OUT)-(0))&gt;=0,1,-1)*QUOTIENT(((c_TMAP1IN)-(c_TFWD)),2)))&gt;=0,1,0)))</f>
        <v>-8</v>
      </c>
      <c r="F100" s="7" t="n">
        <f aca="false">IF(((c_TMAP2IN)-(c_TMAP1IN))=0,(c_TMAP1OUT)+QUOTIENT(((c_TMAP2OUT)-(c_TMAP1OUT)),2),QUOTIENT((((C100)-(c_TMAP1IN))*((c_TMAP2OUT)-(c_TMAP1OUT))+IF(((c_TMAP2OUT)-(c_TMAP1OUT))&gt;=0,1,-1)*QUOTIENT(((c_TMAP2IN)-(c_TMAP1IN)),2)),((c_TMAP2IN)-(c_TMAP1IN)))+(c_TMAP1OUT)+IF(((c_TMAP2OUT)-(c_TMAP1OUT))&gt;=0,IF(IF(o_WRAP=1,MOD(((c_TMAP2IN)-(c_TMAP1IN))*(((C100)-(c_TMAP1IN))*((c_TMAP2OUT)-(c_TMAP1OUT))+IF(((c_TMAP2OUT)-(c_TMAP1OUT))&gt;=0,1,-1)*QUOTIENT(((c_TMAP2IN)-(c_TMAP1IN)),2))+2147483648,4294967296)-2147483648,((c_TMAP2IN)-(c_TMAP1IN))*(((C100)-(c_TMAP1IN))*((c_TMAP2OUT)-(c_TMAP1OUT))+IF(((c_TMAP2OUT)-(c_TMAP1OUT))&gt;=0,1,-1)*QUOTIENT(((c_TMAP2IN)-(c_TMAP1IN)),2)))&lt;0,-1,0),IF(IF(o_WRAP=1,MOD(((c_TMAP2IN)-(c_TMAP1IN))*(((C100)-(c_TMAP1IN))*((c_TMAP2OUT)-(c_TMAP1OUT))+IF(((c_TMAP2OUT)-(c_TMAP1OUT))&gt;=0,1,-1)*QUOTIENT(((c_TMAP2IN)-(c_TMAP1IN)),2))+2147483648,4294967296)-2147483648,((c_TMAP2IN)-(c_TMAP1IN))*(((C100)-(c_TMAP1IN))*((c_TMAP2OUT)-(c_TMAP1OUT))+IF(((c_TMAP2OUT)-(c_TMAP1OUT))&gt;=0,1,-1)*QUOTIENT(((c_TMAP2IN)-(c_TMAP1IN)),2)))&gt;=0,1,0)))</f>
        <v>30</v>
      </c>
      <c r="G100" s="7" t="n">
        <f aca="false">IF(((c_TMAP3IN)-(c_TMAP2IN))=0,(c_TMAP2OUT)+QUOTIENT(((c_TMAP3OUT)-(c_TMAP2OUT)),2),QUOTIENT((((C100)-(c_TMAP2IN))*((c_TMAP3OUT)-(c_TMAP2OUT))+IF(((c_TMAP3OUT)-(c_TMAP2OUT))&gt;=0,1,-1)*QUOTIENT(((c_TMAP3IN)-(c_TMAP2IN)),2)),((c_TMAP3IN)-(c_TMAP2IN)))+(c_TMAP2OUT)+IF(((c_TMAP3OUT)-(c_TMAP2OUT))&gt;=0,IF(IF(o_WRAP=1,MOD(((c_TMAP3IN)-(c_TMAP2IN))*(((C100)-(c_TMAP2IN))*((c_TMAP3OUT)-(c_TMAP2OUT))+IF(((c_TMAP3OUT)-(c_TMAP2OUT))&gt;=0,1,-1)*QUOTIENT(((c_TMAP3IN)-(c_TMAP2IN)),2))+2147483648,4294967296)-2147483648,((c_TMAP3IN)-(c_TMAP2IN))*(((C100)-(c_TMAP2IN))*((c_TMAP3OUT)-(c_TMAP2OUT))+IF(((c_TMAP3OUT)-(c_TMAP2OUT))&gt;=0,1,-1)*QUOTIENT(((c_TMAP3IN)-(c_TMAP2IN)),2)))&lt;0,-1,0),IF(IF(o_WRAP=1,MOD(((c_TMAP3IN)-(c_TMAP2IN))*(((C100)-(c_TMAP2IN))*((c_TMAP3OUT)-(c_TMAP2OUT))+IF(((c_TMAP3OUT)-(c_TMAP2OUT))&gt;=0,1,-1)*QUOTIENT(((c_TMAP3IN)-(c_TMAP2IN)),2))+2147483648,4294967296)-2147483648,((c_TMAP3IN)-(c_TMAP2IN))*(((C100)-(c_TMAP2IN))*((c_TMAP3OUT)-(c_TMAP2OUT))+IF(((c_TMAP3OUT)-(c_TMAP2OUT))&gt;=0,1,-1)*QUOTIENT(((c_TMAP3IN)-(c_TMAP2IN)),2)))&gt;=0,1,0)))</f>
        <v>-45</v>
      </c>
      <c r="H100" s="7" t="n">
        <f aca="false">IF(((1000)-(c_TMAP3IN))=0,(c_TMAP3OUT)+QUOTIENT(((1000)-(c_TMAP3OUT)),2),QUOTIENT((((C100)-(c_TMAP3IN))*((1000)-(c_TMAP3OUT))+IF(((1000)-(c_TMAP3OUT))&gt;=0,1,-1)*QUOTIENT(((1000)-(c_TMAP3IN)),2)),((1000)-(c_TMAP3IN)))+(c_TMAP3OUT)+IF(((1000)-(c_TMAP3OUT))&gt;=0,IF(IF(o_WRAP=1,MOD(((1000)-(c_TMAP3IN))*(((C100)-(c_TMAP3IN))*((1000)-(c_TMAP3OUT))+IF(((1000)-(c_TMAP3OUT))&gt;=0,1,-1)*QUOTIENT(((1000)-(c_TMAP3IN)),2))+2147483648,4294967296)-2147483648,((1000)-(c_TMAP3IN))*(((C100)-(c_TMAP3IN))*((1000)-(c_TMAP3OUT))+IF(((1000)-(c_TMAP3OUT))&gt;=0,1,-1)*QUOTIENT(((1000)-(c_TMAP3IN)),2)))&lt;0,-1,0),IF(IF(o_WRAP=1,MOD(((1000)-(c_TMAP3IN))*(((C100)-(c_TMAP3IN))*((1000)-(c_TMAP3OUT))+IF(((1000)-(c_TMAP3OUT))&gt;=0,1,-1)*QUOTIENT(((1000)-(c_TMAP3IN)),2))+2147483648,4294967296)-2147483648,((1000)-(c_TMAP3IN))*(((C100)-(c_TMAP3IN))*((1000)-(c_TMAP3OUT))+IF(((1000)-(c_TMAP3OUT))&gt;=0,1,-1)*QUOTIENT(((1000)-(c_TMAP3IN)),2)))&gt;=0,1,0)))</f>
        <v>-231</v>
      </c>
      <c r="I100" s="7" t="n">
        <f aca="false">IF(C100&gt;=c_TFWD,IF(AND(C100&gt;=c_TMAP3IN,c_TMAP3IN&lt;1000),H100,IF(AND(C100&gt;=c_TMAP2IN,c_TMAP3IN&gt;c_TMAP2IN),G100,IF(AND(C100&gt;=c_TMAP1IN,c_TMAP2IN&gt;c_TMAP1IN),F100,E100))),D100)</f>
        <v>-350</v>
      </c>
      <c r="J100" s="7" t="str">
        <f aca="false">IF(I100&lt;-1090,"TOO LOW",IF(I100&gt;1090,"TOO HIGH",""))</f>
        <v/>
      </c>
      <c r="K100" s="7" t="n">
        <f aca="false">IF(J100&lt;&gt;"",0,IF(I100&gt;979,1000,I100))</f>
        <v>-350</v>
      </c>
      <c r="L100" s="7" t="n">
        <f aca="false">IF(OR(c_TSMOOTH=0,K100&gt;=c_TSMOOTHCUT),1,0)</f>
        <v>0</v>
      </c>
      <c r="M100" s="7" t="n">
        <f aca="false">IF(L100=1,0,M99+1)</f>
        <v>14</v>
      </c>
      <c r="N100" s="7" t="n">
        <f aca="false">IF(L100=1,0,MIN(M100,c_TSMOOTH))</f>
        <v>14</v>
      </c>
      <c r="O100" s="7" t="n">
        <f aca="false">IF(COUNTIF($L$5:L100,1)&gt;0,c_TSMOOTHCUT,0)</f>
        <v>400</v>
      </c>
      <c r="P100" s="15" t="n">
        <f aca="true">IF(L100=1,K100,QUOTIENT(SUM(OFFSET(K100,1-N100,0,N100,1))+(c_TSMOOTH-N100)*O100,c_TSMOOTH))</f>
        <v>83</v>
      </c>
      <c r="Q100" s="7" t="n">
        <f aca="false">K100/10</f>
        <v>-35</v>
      </c>
      <c r="R100" s="7" t="n">
        <f aca="false">P100/10</f>
        <v>8.3</v>
      </c>
    </row>
    <row r="101" customFormat="false" ht="15" hidden="false" customHeight="false" outlineLevel="0" collapsed="false">
      <c r="A101" s="7" t="n">
        <v>96</v>
      </c>
      <c r="B101" s="7" t="n">
        <f aca="false">A101*0.04</f>
        <v>3.84</v>
      </c>
      <c r="C101" s="18" t="n">
        <v>0</v>
      </c>
      <c r="D101" s="7" t="n">
        <f aca="false">IF(AND(C101=0,c_TCREEP&gt;0),10*c_TCREEP,IF(AND(C101&lt;=c_TRNGMIN,C101&gt;=c_TRNGMAX,c_TRNGMIN-c_TRNGMAX&lt;&gt;0),-10*c_TMINRN+QUOTIENT((c_TMAXRN-c_TMINRN)*(100-QUOTIENT((C101-c_TRNGMAX)*100,c_TRNGMIN-c_TRNGMAX)),-10),0))</f>
        <v>-350</v>
      </c>
      <c r="E101" s="7" t="n">
        <f aca="false">IF(((c_TMAP1IN)-(c_TFWD))=0,(0)+QUOTIENT(((c_TMAP1OUT)-(0)),2),QUOTIENT((((C101)-(c_TFWD))*((c_TMAP1OUT)-(0))+IF(((c_TMAP1OUT)-(0))&gt;=0,1,-1)*QUOTIENT(((c_TMAP1IN)-(c_TFWD)),2)),((c_TMAP1IN)-(c_TFWD)))+(0)+IF(((c_TMAP1OUT)-(0))&gt;=0,IF(IF(o_WRAP=1,MOD(((c_TMAP1IN)-(c_TFWD))*(((C101)-(c_TFWD))*((c_TMAP1OUT)-(0))+IF(((c_TMAP1OUT)-(0))&gt;=0,1,-1)*QUOTIENT(((c_TMAP1IN)-(c_TFWD)),2))+2147483648,4294967296)-2147483648,((c_TMAP1IN)-(c_TFWD))*(((C101)-(c_TFWD))*((c_TMAP1OUT)-(0))+IF(((c_TMAP1OUT)-(0))&gt;=0,1,-1)*QUOTIENT(((c_TMAP1IN)-(c_TFWD)),2)))&lt;0,-1,0),IF(IF(o_WRAP=1,MOD(((c_TMAP1IN)-(c_TFWD))*(((C101)-(c_TFWD))*((c_TMAP1OUT)-(0))+IF(((c_TMAP1OUT)-(0))&gt;=0,1,-1)*QUOTIENT(((c_TMAP1IN)-(c_TFWD)),2))+2147483648,4294967296)-2147483648,((c_TMAP1IN)-(c_TFWD))*(((C101)-(c_TFWD))*((c_TMAP1OUT)-(0))+IF(((c_TMAP1OUT)-(0))&gt;=0,1,-1)*QUOTIENT(((c_TMAP1IN)-(c_TFWD)),2)))&gt;=0,1,0)))</f>
        <v>-8</v>
      </c>
      <c r="F101" s="7" t="n">
        <f aca="false">IF(((c_TMAP2IN)-(c_TMAP1IN))=0,(c_TMAP1OUT)+QUOTIENT(((c_TMAP2OUT)-(c_TMAP1OUT)),2),QUOTIENT((((C101)-(c_TMAP1IN))*((c_TMAP2OUT)-(c_TMAP1OUT))+IF(((c_TMAP2OUT)-(c_TMAP1OUT))&gt;=0,1,-1)*QUOTIENT(((c_TMAP2IN)-(c_TMAP1IN)),2)),((c_TMAP2IN)-(c_TMAP1IN)))+(c_TMAP1OUT)+IF(((c_TMAP2OUT)-(c_TMAP1OUT))&gt;=0,IF(IF(o_WRAP=1,MOD(((c_TMAP2IN)-(c_TMAP1IN))*(((C101)-(c_TMAP1IN))*((c_TMAP2OUT)-(c_TMAP1OUT))+IF(((c_TMAP2OUT)-(c_TMAP1OUT))&gt;=0,1,-1)*QUOTIENT(((c_TMAP2IN)-(c_TMAP1IN)),2))+2147483648,4294967296)-2147483648,((c_TMAP2IN)-(c_TMAP1IN))*(((C101)-(c_TMAP1IN))*((c_TMAP2OUT)-(c_TMAP1OUT))+IF(((c_TMAP2OUT)-(c_TMAP1OUT))&gt;=0,1,-1)*QUOTIENT(((c_TMAP2IN)-(c_TMAP1IN)),2)))&lt;0,-1,0),IF(IF(o_WRAP=1,MOD(((c_TMAP2IN)-(c_TMAP1IN))*(((C101)-(c_TMAP1IN))*((c_TMAP2OUT)-(c_TMAP1OUT))+IF(((c_TMAP2OUT)-(c_TMAP1OUT))&gt;=0,1,-1)*QUOTIENT(((c_TMAP2IN)-(c_TMAP1IN)),2))+2147483648,4294967296)-2147483648,((c_TMAP2IN)-(c_TMAP1IN))*(((C101)-(c_TMAP1IN))*((c_TMAP2OUT)-(c_TMAP1OUT))+IF(((c_TMAP2OUT)-(c_TMAP1OUT))&gt;=0,1,-1)*QUOTIENT(((c_TMAP2IN)-(c_TMAP1IN)),2)))&gt;=0,1,0)))</f>
        <v>30</v>
      </c>
      <c r="G101" s="7" t="n">
        <f aca="false">IF(((c_TMAP3IN)-(c_TMAP2IN))=0,(c_TMAP2OUT)+QUOTIENT(((c_TMAP3OUT)-(c_TMAP2OUT)),2),QUOTIENT((((C101)-(c_TMAP2IN))*((c_TMAP3OUT)-(c_TMAP2OUT))+IF(((c_TMAP3OUT)-(c_TMAP2OUT))&gt;=0,1,-1)*QUOTIENT(((c_TMAP3IN)-(c_TMAP2IN)),2)),((c_TMAP3IN)-(c_TMAP2IN)))+(c_TMAP2OUT)+IF(((c_TMAP3OUT)-(c_TMAP2OUT))&gt;=0,IF(IF(o_WRAP=1,MOD(((c_TMAP3IN)-(c_TMAP2IN))*(((C101)-(c_TMAP2IN))*((c_TMAP3OUT)-(c_TMAP2OUT))+IF(((c_TMAP3OUT)-(c_TMAP2OUT))&gt;=0,1,-1)*QUOTIENT(((c_TMAP3IN)-(c_TMAP2IN)),2))+2147483648,4294967296)-2147483648,((c_TMAP3IN)-(c_TMAP2IN))*(((C101)-(c_TMAP2IN))*((c_TMAP3OUT)-(c_TMAP2OUT))+IF(((c_TMAP3OUT)-(c_TMAP2OUT))&gt;=0,1,-1)*QUOTIENT(((c_TMAP3IN)-(c_TMAP2IN)),2)))&lt;0,-1,0),IF(IF(o_WRAP=1,MOD(((c_TMAP3IN)-(c_TMAP2IN))*(((C101)-(c_TMAP2IN))*((c_TMAP3OUT)-(c_TMAP2OUT))+IF(((c_TMAP3OUT)-(c_TMAP2OUT))&gt;=0,1,-1)*QUOTIENT(((c_TMAP3IN)-(c_TMAP2IN)),2))+2147483648,4294967296)-2147483648,((c_TMAP3IN)-(c_TMAP2IN))*(((C101)-(c_TMAP2IN))*((c_TMAP3OUT)-(c_TMAP2OUT))+IF(((c_TMAP3OUT)-(c_TMAP2OUT))&gt;=0,1,-1)*QUOTIENT(((c_TMAP3IN)-(c_TMAP2IN)),2)))&gt;=0,1,0)))</f>
        <v>-45</v>
      </c>
      <c r="H101" s="7" t="n">
        <f aca="false">IF(((1000)-(c_TMAP3IN))=0,(c_TMAP3OUT)+QUOTIENT(((1000)-(c_TMAP3OUT)),2),QUOTIENT((((C101)-(c_TMAP3IN))*((1000)-(c_TMAP3OUT))+IF(((1000)-(c_TMAP3OUT))&gt;=0,1,-1)*QUOTIENT(((1000)-(c_TMAP3IN)),2)),((1000)-(c_TMAP3IN)))+(c_TMAP3OUT)+IF(((1000)-(c_TMAP3OUT))&gt;=0,IF(IF(o_WRAP=1,MOD(((1000)-(c_TMAP3IN))*(((C101)-(c_TMAP3IN))*((1000)-(c_TMAP3OUT))+IF(((1000)-(c_TMAP3OUT))&gt;=0,1,-1)*QUOTIENT(((1000)-(c_TMAP3IN)),2))+2147483648,4294967296)-2147483648,((1000)-(c_TMAP3IN))*(((C101)-(c_TMAP3IN))*((1000)-(c_TMAP3OUT))+IF(((1000)-(c_TMAP3OUT))&gt;=0,1,-1)*QUOTIENT(((1000)-(c_TMAP3IN)),2)))&lt;0,-1,0),IF(IF(o_WRAP=1,MOD(((1000)-(c_TMAP3IN))*(((C101)-(c_TMAP3IN))*((1000)-(c_TMAP3OUT))+IF(((1000)-(c_TMAP3OUT))&gt;=0,1,-1)*QUOTIENT(((1000)-(c_TMAP3IN)),2))+2147483648,4294967296)-2147483648,((1000)-(c_TMAP3IN))*(((C101)-(c_TMAP3IN))*((1000)-(c_TMAP3OUT))+IF(((1000)-(c_TMAP3OUT))&gt;=0,1,-1)*QUOTIENT(((1000)-(c_TMAP3IN)),2)))&gt;=0,1,0)))</f>
        <v>-231</v>
      </c>
      <c r="I101" s="7" t="n">
        <f aca="false">IF(C101&gt;=c_TFWD,IF(AND(C101&gt;=c_TMAP3IN,c_TMAP3IN&lt;1000),H101,IF(AND(C101&gt;=c_TMAP2IN,c_TMAP3IN&gt;c_TMAP2IN),G101,IF(AND(C101&gt;=c_TMAP1IN,c_TMAP2IN&gt;c_TMAP1IN),F101,E101))),D101)</f>
        <v>-350</v>
      </c>
      <c r="J101" s="7" t="str">
        <f aca="false">IF(I101&lt;-1090,"TOO LOW",IF(I101&gt;1090,"TOO HIGH",""))</f>
        <v/>
      </c>
      <c r="K101" s="7" t="n">
        <f aca="false">IF(J101&lt;&gt;"",0,IF(I101&gt;979,1000,I101))</f>
        <v>-350</v>
      </c>
      <c r="L101" s="7" t="n">
        <f aca="false">IF(OR(c_TSMOOTH=0,K101&gt;=c_TSMOOTHCUT),1,0)</f>
        <v>0</v>
      </c>
      <c r="M101" s="7" t="n">
        <f aca="false">IF(L101=1,0,M100+1)</f>
        <v>15</v>
      </c>
      <c r="N101" s="7" t="n">
        <f aca="false">IF(L101=1,0,MIN(M101,c_TSMOOTH))</f>
        <v>15</v>
      </c>
      <c r="O101" s="7" t="n">
        <f aca="false">IF(COUNTIF($L$5:L101,1)&gt;0,c_TSMOOTHCUT,0)</f>
        <v>400</v>
      </c>
      <c r="P101" s="15" t="n">
        <f aca="true">IF(L101=1,K101,QUOTIENT(SUM(OFFSET(K101,1-N101,0,N101,1))+(c_TSMOOTH-N101)*O101,c_TSMOOTH))</f>
        <v>58</v>
      </c>
      <c r="Q101" s="7" t="n">
        <f aca="false">K101/10</f>
        <v>-35</v>
      </c>
      <c r="R101" s="7" t="n">
        <f aca="false">P101/10</f>
        <v>5.8</v>
      </c>
    </row>
    <row r="102" customFormat="false" ht="15" hidden="false" customHeight="false" outlineLevel="0" collapsed="false">
      <c r="A102" s="7" t="n">
        <v>97</v>
      </c>
      <c r="B102" s="7" t="n">
        <f aca="false">A102*0.04</f>
        <v>3.88</v>
      </c>
      <c r="C102" s="18" t="n">
        <v>0</v>
      </c>
      <c r="D102" s="7" t="n">
        <f aca="false">IF(AND(C102=0,c_TCREEP&gt;0),10*c_TCREEP,IF(AND(C102&lt;=c_TRNGMIN,C102&gt;=c_TRNGMAX,c_TRNGMIN-c_TRNGMAX&lt;&gt;0),-10*c_TMINRN+QUOTIENT((c_TMAXRN-c_TMINRN)*(100-QUOTIENT((C102-c_TRNGMAX)*100,c_TRNGMIN-c_TRNGMAX)),-10),0))</f>
        <v>-350</v>
      </c>
      <c r="E102" s="7" t="n">
        <f aca="false">IF(((c_TMAP1IN)-(c_TFWD))=0,(0)+QUOTIENT(((c_TMAP1OUT)-(0)),2),QUOTIENT((((C102)-(c_TFWD))*((c_TMAP1OUT)-(0))+IF(((c_TMAP1OUT)-(0))&gt;=0,1,-1)*QUOTIENT(((c_TMAP1IN)-(c_TFWD)),2)),((c_TMAP1IN)-(c_TFWD)))+(0)+IF(((c_TMAP1OUT)-(0))&gt;=0,IF(IF(o_WRAP=1,MOD(((c_TMAP1IN)-(c_TFWD))*(((C102)-(c_TFWD))*((c_TMAP1OUT)-(0))+IF(((c_TMAP1OUT)-(0))&gt;=0,1,-1)*QUOTIENT(((c_TMAP1IN)-(c_TFWD)),2))+2147483648,4294967296)-2147483648,((c_TMAP1IN)-(c_TFWD))*(((C102)-(c_TFWD))*((c_TMAP1OUT)-(0))+IF(((c_TMAP1OUT)-(0))&gt;=0,1,-1)*QUOTIENT(((c_TMAP1IN)-(c_TFWD)),2)))&lt;0,-1,0),IF(IF(o_WRAP=1,MOD(((c_TMAP1IN)-(c_TFWD))*(((C102)-(c_TFWD))*((c_TMAP1OUT)-(0))+IF(((c_TMAP1OUT)-(0))&gt;=0,1,-1)*QUOTIENT(((c_TMAP1IN)-(c_TFWD)),2))+2147483648,4294967296)-2147483648,((c_TMAP1IN)-(c_TFWD))*(((C102)-(c_TFWD))*((c_TMAP1OUT)-(0))+IF(((c_TMAP1OUT)-(0))&gt;=0,1,-1)*QUOTIENT(((c_TMAP1IN)-(c_TFWD)),2)))&gt;=0,1,0)))</f>
        <v>-8</v>
      </c>
      <c r="F102" s="7" t="n">
        <f aca="false">IF(((c_TMAP2IN)-(c_TMAP1IN))=0,(c_TMAP1OUT)+QUOTIENT(((c_TMAP2OUT)-(c_TMAP1OUT)),2),QUOTIENT((((C102)-(c_TMAP1IN))*((c_TMAP2OUT)-(c_TMAP1OUT))+IF(((c_TMAP2OUT)-(c_TMAP1OUT))&gt;=0,1,-1)*QUOTIENT(((c_TMAP2IN)-(c_TMAP1IN)),2)),((c_TMAP2IN)-(c_TMAP1IN)))+(c_TMAP1OUT)+IF(((c_TMAP2OUT)-(c_TMAP1OUT))&gt;=0,IF(IF(o_WRAP=1,MOD(((c_TMAP2IN)-(c_TMAP1IN))*(((C102)-(c_TMAP1IN))*((c_TMAP2OUT)-(c_TMAP1OUT))+IF(((c_TMAP2OUT)-(c_TMAP1OUT))&gt;=0,1,-1)*QUOTIENT(((c_TMAP2IN)-(c_TMAP1IN)),2))+2147483648,4294967296)-2147483648,((c_TMAP2IN)-(c_TMAP1IN))*(((C102)-(c_TMAP1IN))*((c_TMAP2OUT)-(c_TMAP1OUT))+IF(((c_TMAP2OUT)-(c_TMAP1OUT))&gt;=0,1,-1)*QUOTIENT(((c_TMAP2IN)-(c_TMAP1IN)),2)))&lt;0,-1,0),IF(IF(o_WRAP=1,MOD(((c_TMAP2IN)-(c_TMAP1IN))*(((C102)-(c_TMAP1IN))*((c_TMAP2OUT)-(c_TMAP1OUT))+IF(((c_TMAP2OUT)-(c_TMAP1OUT))&gt;=0,1,-1)*QUOTIENT(((c_TMAP2IN)-(c_TMAP1IN)),2))+2147483648,4294967296)-2147483648,((c_TMAP2IN)-(c_TMAP1IN))*(((C102)-(c_TMAP1IN))*((c_TMAP2OUT)-(c_TMAP1OUT))+IF(((c_TMAP2OUT)-(c_TMAP1OUT))&gt;=0,1,-1)*QUOTIENT(((c_TMAP2IN)-(c_TMAP1IN)),2)))&gt;=0,1,0)))</f>
        <v>30</v>
      </c>
      <c r="G102" s="7" t="n">
        <f aca="false">IF(((c_TMAP3IN)-(c_TMAP2IN))=0,(c_TMAP2OUT)+QUOTIENT(((c_TMAP3OUT)-(c_TMAP2OUT)),2),QUOTIENT((((C102)-(c_TMAP2IN))*((c_TMAP3OUT)-(c_TMAP2OUT))+IF(((c_TMAP3OUT)-(c_TMAP2OUT))&gt;=0,1,-1)*QUOTIENT(((c_TMAP3IN)-(c_TMAP2IN)),2)),((c_TMAP3IN)-(c_TMAP2IN)))+(c_TMAP2OUT)+IF(((c_TMAP3OUT)-(c_TMAP2OUT))&gt;=0,IF(IF(o_WRAP=1,MOD(((c_TMAP3IN)-(c_TMAP2IN))*(((C102)-(c_TMAP2IN))*((c_TMAP3OUT)-(c_TMAP2OUT))+IF(((c_TMAP3OUT)-(c_TMAP2OUT))&gt;=0,1,-1)*QUOTIENT(((c_TMAP3IN)-(c_TMAP2IN)),2))+2147483648,4294967296)-2147483648,((c_TMAP3IN)-(c_TMAP2IN))*(((C102)-(c_TMAP2IN))*((c_TMAP3OUT)-(c_TMAP2OUT))+IF(((c_TMAP3OUT)-(c_TMAP2OUT))&gt;=0,1,-1)*QUOTIENT(((c_TMAP3IN)-(c_TMAP2IN)),2)))&lt;0,-1,0),IF(IF(o_WRAP=1,MOD(((c_TMAP3IN)-(c_TMAP2IN))*(((C102)-(c_TMAP2IN))*((c_TMAP3OUT)-(c_TMAP2OUT))+IF(((c_TMAP3OUT)-(c_TMAP2OUT))&gt;=0,1,-1)*QUOTIENT(((c_TMAP3IN)-(c_TMAP2IN)),2))+2147483648,4294967296)-2147483648,((c_TMAP3IN)-(c_TMAP2IN))*(((C102)-(c_TMAP2IN))*((c_TMAP3OUT)-(c_TMAP2OUT))+IF(((c_TMAP3OUT)-(c_TMAP2OUT))&gt;=0,1,-1)*QUOTIENT(((c_TMAP3IN)-(c_TMAP2IN)),2)))&gt;=0,1,0)))</f>
        <v>-45</v>
      </c>
      <c r="H102" s="7" t="n">
        <f aca="false">IF(((1000)-(c_TMAP3IN))=0,(c_TMAP3OUT)+QUOTIENT(((1000)-(c_TMAP3OUT)),2),QUOTIENT((((C102)-(c_TMAP3IN))*((1000)-(c_TMAP3OUT))+IF(((1000)-(c_TMAP3OUT))&gt;=0,1,-1)*QUOTIENT(((1000)-(c_TMAP3IN)),2)),((1000)-(c_TMAP3IN)))+(c_TMAP3OUT)+IF(((1000)-(c_TMAP3OUT))&gt;=0,IF(IF(o_WRAP=1,MOD(((1000)-(c_TMAP3IN))*(((C102)-(c_TMAP3IN))*((1000)-(c_TMAP3OUT))+IF(((1000)-(c_TMAP3OUT))&gt;=0,1,-1)*QUOTIENT(((1000)-(c_TMAP3IN)),2))+2147483648,4294967296)-2147483648,((1000)-(c_TMAP3IN))*(((C102)-(c_TMAP3IN))*((1000)-(c_TMAP3OUT))+IF(((1000)-(c_TMAP3OUT))&gt;=0,1,-1)*QUOTIENT(((1000)-(c_TMAP3IN)),2)))&lt;0,-1,0),IF(IF(o_WRAP=1,MOD(((1000)-(c_TMAP3IN))*(((C102)-(c_TMAP3IN))*((1000)-(c_TMAP3OUT))+IF(((1000)-(c_TMAP3OUT))&gt;=0,1,-1)*QUOTIENT(((1000)-(c_TMAP3IN)),2))+2147483648,4294967296)-2147483648,((1000)-(c_TMAP3IN))*(((C102)-(c_TMAP3IN))*((1000)-(c_TMAP3OUT))+IF(((1000)-(c_TMAP3OUT))&gt;=0,1,-1)*QUOTIENT(((1000)-(c_TMAP3IN)),2)))&gt;=0,1,0)))</f>
        <v>-231</v>
      </c>
      <c r="I102" s="7" t="n">
        <f aca="false">IF(C102&gt;=c_TFWD,IF(AND(C102&gt;=c_TMAP3IN,c_TMAP3IN&lt;1000),H102,IF(AND(C102&gt;=c_TMAP2IN,c_TMAP3IN&gt;c_TMAP2IN),G102,IF(AND(C102&gt;=c_TMAP1IN,c_TMAP2IN&gt;c_TMAP1IN),F102,E102))),D102)</f>
        <v>-350</v>
      </c>
      <c r="J102" s="7" t="str">
        <f aca="false">IF(I102&lt;-1090,"TOO LOW",IF(I102&gt;1090,"TOO HIGH",""))</f>
        <v/>
      </c>
      <c r="K102" s="7" t="n">
        <f aca="false">IF(J102&lt;&gt;"",0,IF(I102&gt;979,1000,I102))</f>
        <v>-350</v>
      </c>
      <c r="L102" s="7" t="n">
        <f aca="false">IF(OR(c_TSMOOTH=0,K102&gt;=c_TSMOOTHCUT),1,0)</f>
        <v>0</v>
      </c>
      <c r="M102" s="7" t="n">
        <f aca="false">IF(L102=1,0,M101+1)</f>
        <v>16</v>
      </c>
      <c r="N102" s="7" t="n">
        <f aca="false">IF(L102=1,0,MIN(M102,c_TSMOOTH))</f>
        <v>16</v>
      </c>
      <c r="O102" s="7" t="n">
        <f aca="false">IF(COUNTIF($L$5:L102,1)&gt;0,c_TSMOOTHCUT,0)</f>
        <v>400</v>
      </c>
      <c r="P102" s="15" t="n">
        <f aca="true">IF(L102=1,K102,QUOTIENT(SUM(OFFSET(K102,1-N102,0,N102,1))+(c_TSMOOTH-N102)*O102,c_TSMOOTH))</f>
        <v>33</v>
      </c>
      <c r="Q102" s="7" t="n">
        <f aca="false">K102/10</f>
        <v>-35</v>
      </c>
      <c r="R102" s="7" t="n">
        <f aca="false">P102/10</f>
        <v>3.3</v>
      </c>
    </row>
    <row r="103" customFormat="false" ht="15" hidden="false" customHeight="false" outlineLevel="0" collapsed="false">
      <c r="A103" s="7" t="n">
        <v>98</v>
      </c>
      <c r="B103" s="7" t="n">
        <f aca="false">A103*0.04</f>
        <v>3.92</v>
      </c>
      <c r="C103" s="18" t="n">
        <v>0</v>
      </c>
      <c r="D103" s="7" t="n">
        <f aca="false">IF(AND(C103=0,c_TCREEP&gt;0),10*c_TCREEP,IF(AND(C103&lt;=c_TRNGMIN,C103&gt;=c_TRNGMAX,c_TRNGMIN-c_TRNGMAX&lt;&gt;0),-10*c_TMINRN+QUOTIENT((c_TMAXRN-c_TMINRN)*(100-QUOTIENT((C103-c_TRNGMAX)*100,c_TRNGMIN-c_TRNGMAX)),-10),0))</f>
        <v>-350</v>
      </c>
      <c r="E103" s="7" t="n">
        <f aca="false">IF(((c_TMAP1IN)-(c_TFWD))=0,(0)+QUOTIENT(((c_TMAP1OUT)-(0)),2),QUOTIENT((((C103)-(c_TFWD))*((c_TMAP1OUT)-(0))+IF(((c_TMAP1OUT)-(0))&gt;=0,1,-1)*QUOTIENT(((c_TMAP1IN)-(c_TFWD)),2)),((c_TMAP1IN)-(c_TFWD)))+(0)+IF(((c_TMAP1OUT)-(0))&gt;=0,IF(IF(o_WRAP=1,MOD(((c_TMAP1IN)-(c_TFWD))*(((C103)-(c_TFWD))*((c_TMAP1OUT)-(0))+IF(((c_TMAP1OUT)-(0))&gt;=0,1,-1)*QUOTIENT(((c_TMAP1IN)-(c_TFWD)),2))+2147483648,4294967296)-2147483648,((c_TMAP1IN)-(c_TFWD))*(((C103)-(c_TFWD))*((c_TMAP1OUT)-(0))+IF(((c_TMAP1OUT)-(0))&gt;=0,1,-1)*QUOTIENT(((c_TMAP1IN)-(c_TFWD)),2)))&lt;0,-1,0),IF(IF(o_WRAP=1,MOD(((c_TMAP1IN)-(c_TFWD))*(((C103)-(c_TFWD))*((c_TMAP1OUT)-(0))+IF(((c_TMAP1OUT)-(0))&gt;=0,1,-1)*QUOTIENT(((c_TMAP1IN)-(c_TFWD)),2))+2147483648,4294967296)-2147483648,((c_TMAP1IN)-(c_TFWD))*(((C103)-(c_TFWD))*((c_TMAP1OUT)-(0))+IF(((c_TMAP1OUT)-(0))&gt;=0,1,-1)*QUOTIENT(((c_TMAP1IN)-(c_TFWD)),2)))&gt;=0,1,0)))</f>
        <v>-8</v>
      </c>
      <c r="F103" s="7" t="n">
        <f aca="false">IF(((c_TMAP2IN)-(c_TMAP1IN))=0,(c_TMAP1OUT)+QUOTIENT(((c_TMAP2OUT)-(c_TMAP1OUT)),2),QUOTIENT((((C103)-(c_TMAP1IN))*((c_TMAP2OUT)-(c_TMAP1OUT))+IF(((c_TMAP2OUT)-(c_TMAP1OUT))&gt;=0,1,-1)*QUOTIENT(((c_TMAP2IN)-(c_TMAP1IN)),2)),((c_TMAP2IN)-(c_TMAP1IN)))+(c_TMAP1OUT)+IF(((c_TMAP2OUT)-(c_TMAP1OUT))&gt;=0,IF(IF(o_WRAP=1,MOD(((c_TMAP2IN)-(c_TMAP1IN))*(((C103)-(c_TMAP1IN))*((c_TMAP2OUT)-(c_TMAP1OUT))+IF(((c_TMAP2OUT)-(c_TMAP1OUT))&gt;=0,1,-1)*QUOTIENT(((c_TMAP2IN)-(c_TMAP1IN)),2))+2147483648,4294967296)-2147483648,((c_TMAP2IN)-(c_TMAP1IN))*(((C103)-(c_TMAP1IN))*((c_TMAP2OUT)-(c_TMAP1OUT))+IF(((c_TMAP2OUT)-(c_TMAP1OUT))&gt;=0,1,-1)*QUOTIENT(((c_TMAP2IN)-(c_TMAP1IN)),2)))&lt;0,-1,0),IF(IF(o_WRAP=1,MOD(((c_TMAP2IN)-(c_TMAP1IN))*(((C103)-(c_TMAP1IN))*((c_TMAP2OUT)-(c_TMAP1OUT))+IF(((c_TMAP2OUT)-(c_TMAP1OUT))&gt;=0,1,-1)*QUOTIENT(((c_TMAP2IN)-(c_TMAP1IN)),2))+2147483648,4294967296)-2147483648,((c_TMAP2IN)-(c_TMAP1IN))*(((C103)-(c_TMAP1IN))*((c_TMAP2OUT)-(c_TMAP1OUT))+IF(((c_TMAP2OUT)-(c_TMAP1OUT))&gt;=0,1,-1)*QUOTIENT(((c_TMAP2IN)-(c_TMAP1IN)),2)))&gt;=0,1,0)))</f>
        <v>30</v>
      </c>
      <c r="G103" s="7" t="n">
        <f aca="false">IF(((c_TMAP3IN)-(c_TMAP2IN))=0,(c_TMAP2OUT)+QUOTIENT(((c_TMAP3OUT)-(c_TMAP2OUT)),2),QUOTIENT((((C103)-(c_TMAP2IN))*((c_TMAP3OUT)-(c_TMAP2OUT))+IF(((c_TMAP3OUT)-(c_TMAP2OUT))&gt;=0,1,-1)*QUOTIENT(((c_TMAP3IN)-(c_TMAP2IN)),2)),((c_TMAP3IN)-(c_TMAP2IN)))+(c_TMAP2OUT)+IF(((c_TMAP3OUT)-(c_TMAP2OUT))&gt;=0,IF(IF(o_WRAP=1,MOD(((c_TMAP3IN)-(c_TMAP2IN))*(((C103)-(c_TMAP2IN))*((c_TMAP3OUT)-(c_TMAP2OUT))+IF(((c_TMAP3OUT)-(c_TMAP2OUT))&gt;=0,1,-1)*QUOTIENT(((c_TMAP3IN)-(c_TMAP2IN)),2))+2147483648,4294967296)-2147483648,((c_TMAP3IN)-(c_TMAP2IN))*(((C103)-(c_TMAP2IN))*((c_TMAP3OUT)-(c_TMAP2OUT))+IF(((c_TMAP3OUT)-(c_TMAP2OUT))&gt;=0,1,-1)*QUOTIENT(((c_TMAP3IN)-(c_TMAP2IN)),2)))&lt;0,-1,0),IF(IF(o_WRAP=1,MOD(((c_TMAP3IN)-(c_TMAP2IN))*(((C103)-(c_TMAP2IN))*((c_TMAP3OUT)-(c_TMAP2OUT))+IF(((c_TMAP3OUT)-(c_TMAP2OUT))&gt;=0,1,-1)*QUOTIENT(((c_TMAP3IN)-(c_TMAP2IN)),2))+2147483648,4294967296)-2147483648,((c_TMAP3IN)-(c_TMAP2IN))*(((C103)-(c_TMAP2IN))*((c_TMAP3OUT)-(c_TMAP2OUT))+IF(((c_TMAP3OUT)-(c_TMAP2OUT))&gt;=0,1,-1)*QUOTIENT(((c_TMAP3IN)-(c_TMAP2IN)),2)))&gt;=0,1,0)))</f>
        <v>-45</v>
      </c>
      <c r="H103" s="7" t="n">
        <f aca="false">IF(((1000)-(c_TMAP3IN))=0,(c_TMAP3OUT)+QUOTIENT(((1000)-(c_TMAP3OUT)),2),QUOTIENT((((C103)-(c_TMAP3IN))*((1000)-(c_TMAP3OUT))+IF(((1000)-(c_TMAP3OUT))&gt;=0,1,-1)*QUOTIENT(((1000)-(c_TMAP3IN)),2)),((1000)-(c_TMAP3IN)))+(c_TMAP3OUT)+IF(((1000)-(c_TMAP3OUT))&gt;=0,IF(IF(o_WRAP=1,MOD(((1000)-(c_TMAP3IN))*(((C103)-(c_TMAP3IN))*((1000)-(c_TMAP3OUT))+IF(((1000)-(c_TMAP3OUT))&gt;=0,1,-1)*QUOTIENT(((1000)-(c_TMAP3IN)),2))+2147483648,4294967296)-2147483648,((1000)-(c_TMAP3IN))*(((C103)-(c_TMAP3IN))*((1000)-(c_TMAP3OUT))+IF(((1000)-(c_TMAP3OUT))&gt;=0,1,-1)*QUOTIENT(((1000)-(c_TMAP3IN)),2)))&lt;0,-1,0),IF(IF(o_WRAP=1,MOD(((1000)-(c_TMAP3IN))*(((C103)-(c_TMAP3IN))*((1000)-(c_TMAP3OUT))+IF(((1000)-(c_TMAP3OUT))&gt;=0,1,-1)*QUOTIENT(((1000)-(c_TMAP3IN)),2))+2147483648,4294967296)-2147483648,((1000)-(c_TMAP3IN))*(((C103)-(c_TMAP3IN))*((1000)-(c_TMAP3OUT))+IF(((1000)-(c_TMAP3OUT))&gt;=0,1,-1)*QUOTIENT(((1000)-(c_TMAP3IN)),2)))&gt;=0,1,0)))</f>
        <v>-231</v>
      </c>
      <c r="I103" s="7" t="n">
        <f aca="false">IF(C103&gt;=c_TFWD,IF(AND(C103&gt;=c_TMAP3IN,c_TMAP3IN&lt;1000),H103,IF(AND(C103&gt;=c_TMAP2IN,c_TMAP3IN&gt;c_TMAP2IN),G103,IF(AND(C103&gt;=c_TMAP1IN,c_TMAP2IN&gt;c_TMAP1IN),F103,E103))),D103)</f>
        <v>-350</v>
      </c>
      <c r="J103" s="7" t="str">
        <f aca="false">IF(I103&lt;-1090,"TOO LOW",IF(I103&gt;1090,"TOO HIGH",""))</f>
        <v/>
      </c>
      <c r="K103" s="7" t="n">
        <f aca="false">IF(J103&lt;&gt;"",0,IF(I103&gt;979,1000,I103))</f>
        <v>-350</v>
      </c>
      <c r="L103" s="7" t="n">
        <f aca="false">IF(OR(c_TSMOOTH=0,K103&gt;=c_TSMOOTHCUT),1,0)</f>
        <v>0</v>
      </c>
      <c r="M103" s="7" t="n">
        <f aca="false">IF(L103=1,0,M102+1)</f>
        <v>17</v>
      </c>
      <c r="N103" s="7" t="n">
        <f aca="false">IF(L103=1,0,MIN(M103,c_TSMOOTH))</f>
        <v>17</v>
      </c>
      <c r="O103" s="7" t="n">
        <f aca="false">IF(COUNTIF($L$5:L103,1)&gt;0,c_TSMOOTHCUT,0)</f>
        <v>400</v>
      </c>
      <c r="P103" s="15" t="n">
        <f aca="true">IF(L103=1,K103,QUOTIENT(SUM(OFFSET(K103,1-N103,0,N103,1))+(c_TSMOOTH-N103)*O103,c_TSMOOTH))</f>
        <v>8</v>
      </c>
      <c r="Q103" s="7" t="n">
        <f aca="false">K103/10</f>
        <v>-35</v>
      </c>
      <c r="R103" s="7" t="n">
        <f aca="false">P103/10</f>
        <v>0.8</v>
      </c>
    </row>
    <row r="104" customFormat="false" ht="15" hidden="false" customHeight="false" outlineLevel="0" collapsed="false">
      <c r="A104" s="7" t="n">
        <v>99</v>
      </c>
      <c r="B104" s="7" t="n">
        <f aca="false">A104*0.04</f>
        <v>3.96</v>
      </c>
      <c r="C104" s="18" t="n">
        <v>0</v>
      </c>
      <c r="D104" s="7" t="n">
        <f aca="false">IF(AND(C104=0,c_TCREEP&gt;0),10*c_TCREEP,IF(AND(C104&lt;=c_TRNGMIN,C104&gt;=c_TRNGMAX,c_TRNGMIN-c_TRNGMAX&lt;&gt;0),-10*c_TMINRN+QUOTIENT((c_TMAXRN-c_TMINRN)*(100-QUOTIENT((C104-c_TRNGMAX)*100,c_TRNGMIN-c_TRNGMAX)),-10),0))</f>
        <v>-350</v>
      </c>
      <c r="E104" s="7" t="n">
        <f aca="false">IF(((c_TMAP1IN)-(c_TFWD))=0,(0)+QUOTIENT(((c_TMAP1OUT)-(0)),2),QUOTIENT((((C104)-(c_TFWD))*((c_TMAP1OUT)-(0))+IF(((c_TMAP1OUT)-(0))&gt;=0,1,-1)*QUOTIENT(((c_TMAP1IN)-(c_TFWD)),2)),((c_TMAP1IN)-(c_TFWD)))+(0)+IF(((c_TMAP1OUT)-(0))&gt;=0,IF(IF(o_WRAP=1,MOD(((c_TMAP1IN)-(c_TFWD))*(((C104)-(c_TFWD))*((c_TMAP1OUT)-(0))+IF(((c_TMAP1OUT)-(0))&gt;=0,1,-1)*QUOTIENT(((c_TMAP1IN)-(c_TFWD)),2))+2147483648,4294967296)-2147483648,((c_TMAP1IN)-(c_TFWD))*(((C104)-(c_TFWD))*((c_TMAP1OUT)-(0))+IF(((c_TMAP1OUT)-(0))&gt;=0,1,-1)*QUOTIENT(((c_TMAP1IN)-(c_TFWD)),2)))&lt;0,-1,0),IF(IF(o_WRAP=1,MOD(((c_TMAP1IN)-(c_TFWD))*(((C104)-(c_TFWD))*((c_TMAP1OUT)-(0))+IF(((c_TMAP1OUT)-(0))&gt;=0,1,-1)*QUOTIENT(((c_TMAP1IN)-(c_TFWD)),2))+2147483648,4294967296)-2147483648,((c_TMAP1IN)-(c_TFWD))*(((C104)-(c_TFWD))*((c_TMAP1OUT)-(0))+IF(((c_TMAP1OUT)-(0))&gt;=0,1,-1)*QUOTIENT(((c_TMAP1IN)-(c_TFWD)),2)))&gt;=0,1,0)))</f>
        <v>-8</v>
      </c>
      <c r="F104" s="7" t="n">
        <f aca="false">IF(((c_TMAP2IN)-(c_TMAP1IN))=0,(c_TMAP1OUT)+QUOTIENT(((c_TMAP2OUT)-(c_TMAP1OUT)),2),QUOTIENT((((C104)-(c_TMAP1IN))*((c_TMAP2OUT)-(c_TMAP1OUT))+IF(((c_TMAP2OUT)-(c_TMAP1OUT))&gt;=0,1,-1)*QUOTIENT(((c_TMAP2IN)-(c_TMAP1IN)),2)),((c_TMAP2IN)-(c_TMAP1IN)))+(c_TMAP1OUT)+IF(((c_TMAP2OUT)-(c_TMAP1OUT))&gt;=0,IF(IF(o_WRAP=1,MOD(((c_TMAP2IN)-(c_TMAP1IN))*(((C104)-(c_TMAP1IN))*((c_TMAP2OUT)-(c_TMAP1OUT))+IF(((c_TMAP2OUT)-(c_TMAP1OUT))&gt;=0,1,-1)*QUOTIENT(((c_TMAP2IN)-(c_TMAP1IN)),2))+2147483648,4294967296)-2147483648,((c_TMAP2IN)-(c_TMAP1IN))*(((C104)-(c_TMAP1IN))*((c_TMAP2OUT)-(c_TMAP1OUT))+IF(((c_TMAP2OUT)-(c_TMAP1OUT))&gt;=0,1,-1)*QUOTIENT(((c_TMAP2IN)-(c_TMAP1IN)),2)))&lt;0,-1,0),IF(IF(o_WRAP=1,MOD(((c_TMAP2IN)-(c_TMAP1IN))*(((C104)-(c_TMAP1IN))*((c_TMAP2OUT)-(c_TMAP1OUT))+IF(((c_TMAP2OUT)-(c_TMAP1OUT))&gt;=0,1,-1)*QUOTIENT(((c_TMAP2IN)-(c_TMAP1IN)),2))+2147483648,4294967296)-2147483648,((c_TMAP2IN)-(c_TMAP1IN))*(((C104)-(c_TMAP1IN))*((c_TMAP2OUT)-(c_TMAP1OUT))+IF(((c_TMAP2OUT)-(c_TMAP1OUT))&gt;=0,1,-1)*QUOTIENT(((c_TMAP2IN)-(c_TMAP1IN)),2)))&gt;=0,1,0)))</f>
        <v>30</v>
      </c>
      <c r="G104" s="7" t="n">
        <f aca="false">IF(((c_TMAP3IN)-(c_TMAP2IN))=0,(c_TMAP2OUT)+QUOTIENT(((c_TMAP3OUT)-(c_TMAP2OUT)),2),QUOTIENT((((C104)-(c_TMAP2IN))*((c_TMAP3OUT)-(c_TMAP2OUT))+IF(((c_TMAP3OUT)-(c_TMAP2OUT))&gt;=0,1,-1)*QUOTIENT(((c_TMAP3IN)-(c_TMAP2IN)),2)),((c_TMAP3IN)-(c_TMAP2IN)))+(c_TMAP2OUT)+IF(((c_TMAP3OUT)-(c_TMAP2OUT))&gt;=0,IF(IF(o_WRAP=1,MOD(((c_TMAP3IN)-(c_TMAP2IN))*(((C104)-(c_TMAP2IN))*((c_TMAP3OUT)-(c_TMAP2OUT))+IF(((c_TMAP3OUT)-(c_TMAP2OUT))&gt;=0,1,-1)*QUOTIENT(((c_TMAP3IN)-(c_TMAP2IN)),2))+2147483648,4294967296)-2147483648,((c_TMAP3IN)-(c_TMAP2IN))*(((C104)-(c_TMAP2IN))*((c_TMAP3OUT)-(c_TMAP2OUT))+IF(((c_TMAP3OUT)-(c_TMAP2OUT))&gt;=0,1,-1)*QUOTIENT(((c_TMAP3IN)-(c_TMAP2IN)),2)))&lt;0,-1,0),IF(IF(o_WRAP=1,MOD(((c_TMAP3IN)-(c_TMAP2IN))*(((C104)-(c_TMAP2IN))*((c_TMAP3OUT)-(c_TMAP2OUT))+IF(((c_TMAP3OUT)-(c_TMAP2OUT))&gt;=0,1,-1)*QUOTIENT(((c_TMAP3IN)-(c_TMAP2IN)),2))+2147483648,4294967296)-2147483648,((c_TMAP3IN)-(c_TMAP2IN))*(((C104)-(c_TMAP2IN))*((c_TMAP3OUT)-(c_TMAP2OUT))+IF(((c_TMAP3OUT)-(c_TMAP2OUT))&gt;=0,1,-1)*QUOTIENT(((c_TMAP3IN)-(c_TMAP2IN)),2)))&gt;=0,1,0)))</f>
        <v>-45</v>
      </c>
      <c r="H104" s="7" t="n">
        <f aca="false">IF(((1000)-(c_TMAP3IN))=0,(c_TMAP3OUT)+QUOTIENT(((1000)-(c_TMAP3OUT)),2),QUOTIENT((((C104)-(c_TMAP3IN))*((1000)-(c_TMAP3OUT))+IF(((1000)-(c_TMAP3OUT))&gt;=0,1,-1)*QUOTIENT(((1000)-(c_TMAP3IN)),2)),((1000)-(c_TMAP3IN)))+(c_TMAP3OUT)+IF(((1000)-(c_TMAP3OUT))&gt;=0,IF(IF(o_WRAP=1,MOD(((1000)-(c_TMAP3IN))*(((C104)-(c_TMAP3IN))*((1000)-(c_TMAP3OUT))+IF(((1000)-(c_TMAP3OUT))&gt;=0,1,-1)*QUOTIENT(((1000)-(c_TMAP3IN)),2))+2147483648,4294967296)-2147483648,((1000)-(c_TMAP3IN))*(((C104)-(c_TMAP3IN))*((1000)-(c_TMAP3OUT))+IF(((1000)-(c_TMAP3OUT))&gt;=0,1,-1)*QUOTIENT(((1000)-(c_TMAP3IN)),2)))&lt;0,-1,0),IF(IF(o_WRAP=1,MOD(((1000)-(c_TMAP3IN))*(((C104)-(c_TMAP3IN))*((1000)-(c_TMAP3OUT))+IF(((1000)-(c_TMAP3OUT))&gt;=0,1,-1)*QUOTIENT(((1000)-(c_TMAP3IN)),2))+2147483648,4294967296)-2147483648,((1000)-(c_TMAP3IN))*(((C104)-(c_TMAP3IN))*((1000)-(c_TMAP3OUT))+IF(((1000)-(c_TMAP3OUT))&gt;=0,1,-1)*QUOTIENT(((1000)-(c_TMAP3IN)),2)))&gt;=0,1,0)))</f>
        <v>-231</v>
      </c>
      <c r="I104" s="7" t="n">
        <f aca="false">IF(C104&gt;=c_TFWD,IF(AND(C104&gt;=c_TMAP3IN,c_TMAP3IN&lt;1000),H104,IF(AND(C104&gt;=c_TMAP2IN,c_TMAP3IN&gt;c_TMAP2IN),G104,IF(AND(C104&gt;=c_TMAP1IN,c_TMAP2IN&gt;c_TMAP1IN),F104,E104))),D104)</f>
        <v>-350</v>
      </c>
      <c r="J104" s="7" t="str">
        <f aca="false">IF(I104&lt;-1090,"TOO LOW",IF(I104&gt;1090,"TOO HIGH",""))</f>
        <v/>
      </c>
      <c r="K104" s="7" t="n">
        <f aca="false">IF(J104&lt;&gt;"",0,IF(I104&gt;979,1000,I104))</f>
        <v>-350</v>
      </c>
      <c r="L104" s="7" t="n">
        <f aca="false">IF(OR(c_TSMOOTH=0,K104&gt;=c_TSMOOTHCUT),1,0)</f>
        <v>0</v>
      </c>
      <c r="M104" s="7" t="n">
        <f aca="false">IF(L104=1,0,M103+1)</f>
        <v>18</v>
      </c>
      <c r="N104" s="7" t="n">
        <f aca="false">IF(L104=1,0,MIN(M104,c_TSMOOTH))</f>
        <v>18</v>
      </c>
      <c r="O104" s="7" t="n">
        <f aca="false">IF(COUNTIF($L$5:L104,1)&gt;0,c_TSMOOTHCUT,0)</f>
        <v>400</v>
      </c>
      <c r="P104" s="15" t="n">
        <f aca="true">IF(L104=1,K104,QUOTIENT(SUM(OFFSET(K104,1-N104,0,N104,1))+(c_TSMOOTH-N104)*O104,c_TSMOOTH))</f>
        <v>-16</v>
      </c>
      <c r="Q104" s="7" t="n">
        <f aca="false">K104/10</f>
        <v>-35</v>
      </c>
      <c r="R104" s="7" t="n">
        <f aca="false">P104/10</f>
        <v>-1.6</v>
      </c>
    </row>
    <row r="105" customFormat="false" ht="15" hidden="false" customHeight="false" outlineLevel="0" collapsed="false">
      <c r="A105" s="7" t="n">
        <v>100</v>
      </c>
      <c r="B105" s="7" t="n">
        <f aca="false">A105*0.04</f>
        <v>4</v>
      </c>
      <c r="C105" s="18" t="n">
        <v>0</v>
      </c>
      <c r="D105" s="7" t="n">
        <f aca="false">IF(AND(C105=0,c_TCREEP&gt;0),10*c_TCREEP,IF(AND(C105&lt;=c_TRNGMIN,C105&gt;=c_TRNGMAX,c_TRNGMIN-c_TRNGMAX&lt;&gt;0),-10*c_TMINRN+QUOTIENT((c_TMAXRN-c_TMINRN)*(100-QUOTIENT((C105-c_TRNGMAX)*100,c_TRNGMIN-c_TRNGMAX)),-10),0))</f>
        <v>-350</v>
      </c>
      <c r="E105" s="7" t="n">
        <f aca="false">IF(((c_TMAP1IN)-(c_TFWD))=0,(0)+QUOTIENT(((c_TMAP1OUT)-(0)),2),QUOTIENT((((C105)-(c_TFWD))*((c_TMAP1OUT)-(0))+IF(((c_TMAP1OUT)-(0))&gt;=0,1,-1)*QUOTIENT(((c_TMAP1IN)-(c_TFWD)),2)),((c_TMAP1IN)-(c_TFWD)))+(0)+IF(((c_TMAP1OUT)-(0))&gt;=0,IF(IF(o_WRAP=1,MOD(((c_TMAP1IN)-(c_TFWD))*(((C105)-(c_TFWD))*((c_TMAP1OUT)-(0))+IF(((c_TMAP1OUT)-(0))&gt;=0,1,-1)*QUOTIENT(((c_TMAP1IN)-(c_TFWD)),2))+2147483648,4294967296)-2147483648,((c_TMAP1IN)-(c_TFWD))*(((C105)-(c_TFWD))*((c_TMAP1OUT)-(0))+IF(((c_TMAP1OUT)-(0))&gt;=0,1,-1)*QUOTIENT(((c_TMAP1IN)-(c_TFWD)),2)))&lt;0,-1,0),IF(IF(o_WRAP=1,MOD(((c_TMAP1IN)-(c_TFWD))*(((C105)-(c_TFWD))*((c_TMAP1OUT)-(0))+IF(((c_TMAP1OUT)-(0))&gt;=0,1,-1)*QUOTIENT(((c_TMAP1IN)-(c_TFWD)),2))+2147483648,4294967296)-2147483648,((c_TMAP1IN)-(c_TFWD))*(((C105)-(c_TFWD))*((c_TMAP1OUT)-(0))+IF(((c_TMAP1OUT)-(0))&gt;=0,1,-1)*QUOTIENT(((c_TMAP1IN)-(c_TFWD)),2)))&gt;=0,1,0)))</f>
        <v>-8</v>
      </c>
      <c r="F105" s="7" t="n">
        <f aca="false">IF(((c_TMAP2IN)-(c_TMAP1IN))=0,(c_TMAP1OUT)+QUOTIENT(((c_TMAP2OUT)-(c_TMAP1OUT)),2),QUOTIENT((((C105)-(c_TMAP1IN))*((c_TMAP2OUT)-(c_TMAP1OUT))+IF(((c_TMAP2OUT)-(c_TMAP1OUT))&gt;=0,1,-1)*QUOTIENT(((c_TMAP2IN)-(c_TMAP1IN)),2)),((c_TMAP2IN)-(c_TMAP1IN)))+(c_TMAP1OUT)+IF(((c_TMAP2OUT)-(c_TMAP1OUT))&gt;=0,IF(IF(o_WRAP=1,MOD(((c_TMAP2IN)-(c_TMAP1IN))*(((C105)-(c_TMAP1IN))*((c_TMAP2OUT)-(c_TMAP1OUT))+IF(((c_TMAP2OUT)-(c_TMAP1OUT))&gt;=0,1,-1)*QUOTIENT(((c_TMAP2IN)-(c_TMAP1IN)),2))+2147483648,4294967296)-2147483648,((c_TMAP2IN)-(c_TMAP1IN))*(((C105)-(c_TMAP1IN))*((c_TMAP2OUT)-(c_TMAP1OUT))+IF(((c_TMAP2OUT)-(c_TMAP1OUT))&gt;=0,1,-1)*QUOTIENT(((c_TMAP2IN)-(c_TMAP1IN)),2)))&lt;0,-1,0),IF(IF(o_WRAP=1,MOD(((c_TMAP2IN)-(c_TMAP1IN))*(((C105)-(c_TMAP1IN))*((c_TMAP2OUT)-(c_TMAP1OUT))+IF(((c_TMAP2OUT)-(c_TMAP1OUT))&gt;=0,1,-1)*QUOTIENT(((c_TMAP2IN)-(c_TMAP1IN)),2))+2147483648,4294967296)-2147483648,((c_TMAP2IN)-(c_TMAP1IN))*(((C105)-(c_TMAP1IN))*((c_TMAP2OUT)-(c_TMAP1OUT))+IF(((c_TMAP2OUT)-(c_TMAP1OUT))&gt;=0,1,-1)*QUOTIENT(((c_TMAP2IN)-(c_TMAP1IN)),2)))&gt;=0,1,0)))</f>
        <v>30</v>
      </c>
      <c r="G105" s="7" t="n">
        <f aca="false">IF(((c_TMAP3IN)-(c_TMAP2IN))=0,(c_TMAP2OUT)+QUOTIENT(((c_TMAP3OUT)-(c_TMAP2OUT)),2),QUOTIENT((((C105)-(c_TMAP2IN))*((c_TMAP3OUT)-(c_TMAP2OUT))+IF(((c_TMAP3OUT)-(c_TMAP2OUT))&gt;=0,1,-1)*QUOTIENT(((c_TMAP3IN)-(c_TMAP2IN)),2)),((c_TMAP3IN)-(c_TMAP2IN)))+(c_TMAP2OUT)+IF(((c_TMAP3OUT)-(c_TMAP2OUT))&gt;=0,IF(IF(o_WRAP=1,MOD(((c_TMAP3IN)-(c_TMAP2IN))*(((C105)-(c_TMAP2IN))*((c_TMAP3OUT)-(c_TMAP2OUT))+IF(((c_TMAP3OUT)-(c_TMAP2OUT))&gt;=0,1,-1)*QUOTIENT(((c_TMAP3IN)-(c_TMAP2IN)),2))+2147483648,4294967296)-2147483648,((c_TMAP3IN)-(c_TMAP2IN))*(((C105)-(c_TMAP2IN))*((c_TMAP3OUT)-(c_TMAP2OUT))+IF(((c_TMAP3OUT)-(c_TMAP2OUT))&gt;=0,1,-1)*QUOTIENT(((c_TMAP3IN)-(c_TMAP2IN)),2)))&lt;0,-1,0),IF(IF(o_WRAP=1,MOD(((c_TMAP3IN)-(c_TMAP2IN))*(((C105)-(c_TMAP2IN))*((c_TMAP3OUT)-(c_TMAP2OUT))+IF(((c_TMAP3OUT)-(c_TMAP2OUT))&gt;=0,1,-1)*QUOTIENT(((c_TMAP3IN)-(c_TMAP2IN)),2))+2147483648,4294967296)-2147483648,((c_TMAP3IN)-(c_TMAP2IN))*(((C105)-(c_TMAP2IN))*((c_TMAP3OUT)-(c_TMAP2OUT))+IF(((c_TMAP3OUT)-(c_TMAP2OUT))&gt;=0,1,-1)*QUOTIENT(((c_TMAP3IN)-(c_TMAP2IN)),2)))&gt;=0,1,0)))</f>
        <v>-45</v>
      </c>
      <c r="H105" s="7" t="n">
        <f aca="false">IF(((1000)-(c_TMAP3IN))=0,(c_TMAP3OUT)+QUOTIENT(((1000)-(c_TMAP3OUT)),2),QUOTIENT((((C105)-(c_TMAP3IN))*((1000)-(c_TMAP3OUT))+IF(((1000)-(c_TMAP3OUT))&gt;=0,1,-1)*QUOTIENT(((1000)-(c_TMAP3IN)),2)),((1000)-(c_TMAP3IN)))+(c_TMAP3OUT)+IF(((1000)-(c_TMAP3OUT))&gt;=0,IF(IF(o_WRAP=1,MOD(((1000)-(c_TMAP3IN))*(((C105)-(c_TMAP3IN))*((1000)-(c_TMAP3OUT))+IF(((1000)-(c_TMAP3OUT))&gt;=0,1,-1)*QUOTIENT(((1000)-(c_TMAP3IN)),2))+2147483648,4294967296)-2147483648,((1000)-(c_TMAP3IN))*(((C105)-(c_TMAP3IN))*((1000)-(c_TMAP3OUT))+IF(((1000)-(c_TMAP3OUT))&gt;=0,1,-1)*QUOTIENT(((1000)-(c_TMAP3IN)),2)))&lt;0,-1,0),IF(IF(o_WRAP=1,MOD(((1000)-(c_TMAP3IN))*(((C105)-(c_TMAP3IN))*((1000)-(c_TMAP3OUT))+IF(((1000)-(c_TMAP3OUT))&gt;=0,1,-1)*QUOTIENT(((1000)-(c_TMAP3IN)),2))+2147483648,4294967296)-2147483648,((1000)-(c_TMAP3IN))*(((C105)-(c_TMAP3IN))*((1000)-(c_TMAP3OUT))+IF(((1000)-(c_TMAP3OUT))&gt;=0,1,-1)*QUOTIENT(((1000)-(c_TMAP3IN)),2)))&gt;=0,1,0)))</f>
        <v>-231</v>
      </c>
      <c r="I105" s="7" t="n">
        <f aca="false">IF(C105&gt;=c_TFWD,IF(AND(C105&gt;=c_TMAP3IN,c_TMAP3IN&lt;1000),H105,IF(AND(C105&gt;=c_TMAP2IN,c_TMAP3IN&gt;c_TMAP2IN),G105,IF(AND(C105&gt;=c_TMAP1IN,c_TMAP2IN&gt;c_TMAP1IN),F105,E105))),D105)</f>
        <v>-350</v>
      </c>
      <c r="J105" s="7" t="str">
        <f aca="false">IF(I105&lt;-1090,"TOO LOW",IF(I105&gt;1090,"TOO HIGH",""))</f>
        <v/>
      </c>
      <c r="K105" s="7" t="n">
        <f aca="false">IF(J105&lt;&gt;"",0,IF(I105&gt;979,1000,I105))</f>
        <v>-350</v>
      </c>
      <c r="L105" s="7" t="n">
        <f aca="false">IF(OR(c_TSMOOTH=0,K105&gt;=c_TSMOOTHCUT),1,0)</f>
        <v>0</v>
      </c>
      <c r="M105" s="7" t="n">
        <f aca="false">IF(L105=1,0,M104+1)</f>
        <v>19</v>
      </c>
      <c r="N105" s="7" t="n">
        <f aca="false">IF(L105=1,0,MIN(M105,c_TSMOOTH))</f>
        <v>19</v>
      </c>
      <c r="O105" s="7" t="n">
        <f aca="false">IF(COUNTIF($L$5:L105,1)&gt;0,c_TSMOOTHCUT,0)</f>
        <v>400</v>
      </c>
      <c r="P105" s="15" t="n">
        <f aca="true">IF(L105=1,K105,QUOTIENT(SUM(OFFSET(K105,1-N105,0,N105,1))+(c_TSMOOTH-N105)*O105,c_TSMOOTH))</f>
        <v>-41</v>
      </c>
      <c r="Q105" s="7" t="n">
        <f aca="false">K105/10</f>
        <v>-35</v>
      </c>
      <c r="R105" s="7" t="n">
        <f aca="false">P105/10</f>
        <v>-4.1</v>
      </c>
    </row>
    <row r="106" customFormat="false" ht="15" hidden="false" customHeight="false" outlineLevel="0" collapsed="false">
      <c r="A106" s="7" t="n">
        <v>101</v>
      </c>
      <c r="B106" s="7" t="n">
        <f aca="false">A106*0.04</f>
        <v>4.04</v>
      </c>
      <c r="C106" s="18" t="n">
        <v>0</v>
      </c>
      <c r="D106" s="7" t="n">
        <f aca="false">IF(AND(C106=0,c_TCREEP&gt;0),10*c_TCREEP,IF(AND(C106&lt;=c_TRNGMIN,C106&gt;=c_TRNGMAX,c_TRNGMIN-c_TRNGMAX&lt;&gt;0),-10*c_TMINRN+QUOTIENT((c_TMAXRN-c_TMINRN)*(100-QUOTIENT((C106-c_TRNGMAX)*100,c_TRNGMIN-c_TRNGMAX)),-10),0))</f>
        <v>-350</v>
      </c>
      <c r="E106" s="7" t="n">
        <f aca="false">IF(((c_TMAP1IN)-(c_TFWD))=0,(0)+QUOTIENT(((c_TMAP1OUT)-(0)),2),QUOTIENT((((C106)-(c_TFWD))*((c_TMAP1OUT)-(0))+IF(((c_TMAP1OUT)-(0))&gt;=0,1,-1)*QUOTIENT(((c_TMAP1IN)-(c_TFWD)),2)),((c_TMAP1IN)-(c_TFWD)))+(0)+IF(((c_TMAP1OUT)-(0))&gt;=0,IF(IF(o_WRAP=1,MOD(((c_TMAP1IN)-(c_TFWD))*(((C106)-(c_TFWD))*((c_TMAP1OUT)-(0))+IF(((c_TMAP1OUT)-(0))&gt;=0,1,-1)*QUOTIENT(((c_TMAP1IN)-(c_TFWD)),2))+2147483648,4294967296)-2147483648,((c_TMAP1IN)-(c_TFWD))*(((C106)-(c_TFWD))*((c_TMAP1OUT)-(0))+IF(((c_TMAP1OUT)-(0))&gt;=0,1,-1)*QUOTIENT(((c_TMAP1IN)-(c_TFWD)),2)))&lt;0,-1,0),IF(IF(o_WRAP=1,MOD(((c_TMAP1IN)-(c_TFWD))*(((C106)-(c_TFWD))*((c_TMAP1OUT)-(0))+IF(((c_TMAP1OUT)-(0))&gt;=0,1,-1)*QUOTIENT(((c_TMAP1IN)-(c_TFWD)),2))+2147483648,4294967296)-2147483648,((c_TMAP1IN)-(c_TFWD))*(((C106)-(c_TFWD))*((c_TMAP1OUT)-(0))+IF(((c_TMAP1OUT)-(0))&gt;=0,1,-1)*QUOTIENT(((c_TMAP1IN)-(c_TFWD)),2)))&gt;=0,1,0)))</f>
        <v>-8</v>
      </c>
      <c r="F106" s="7" t="n">
        <f aca="false">IF(((c_TMAP2IN)-(c_TMAP1IN))=0,(c_TMAP1OUT)+QUOTIENT(((c_TMAP2OUT)-(c_TMAP1OUT)),2),QUOTIENT((((C106)-(c_TMAP1IN))*((c_TMAP2OUT)-(c_TMAP1OUT))+IF(((c_TMAP2OUT)-(c_TMAP1OUT))&gt;=0,1,-1)*QUOTIENT(((c_TMAP2IN)-(c_TMAP1IN)),2)),((c_TMAP2IN)-(c_TMAP1IN)))+(c_TMAP1OUT)+IF(((c_TMAP2OUT)-(c_TMAP1OUT))&gt;=0,IF(IF(o_WRAP=1,MOD(((c_TMAP2IN)-(c_TMAP1IN))*(((C106)-(c_TMAP1IN))*((c_TMAP2OUT)-(c_TMAP1OUT))+IF(((c_TMAP2OUT)-(c_TMAP1OUT))&gt;=0,1,-1)*QUOTIENT(((c_TMAP2IN)-(c_TMAP1IN)),2))+2147483648,4294967296)-2147483648,((c_TMAP2IN)-(c_TMAP1IN))*(((C106)-(c_TMAP1IN))*((c_TMAP2OUT)-(c_TMAP1OUT))+IF(((c_TMAP2OUT)-(c_TMAP1OUT))&gt;=0,1,-1)*QUOTIENT(((c_TMAP2IN)-(c_TMAP1IN)),2)))&lt;0,-1,0),IF(IF(o_WRAP=1,MOD(((c_TMAP2IN)-(c_TMAP1IN))*(((C106)-(c_TMAP1IN))*((c_TMAP2OUT)-(c_TMAP1OUT))+IF(((c_TMAP2OUT)-(c_TMAP1OUT))&gt;=0,1,-1)*QUOTIENT(((c_TMAP2IN)-(c_TMAP1IN)),2))+2147483648,4294967296)-2147483648,((c_TMAP2IN)-(c_TMAP1IN))*(((C106)-(c_TMAP1IN))*((c_TMAP2OUT)-(c_TMAP1OUT))+IF(((c_TMAP2OUT)-(c_TMAP1OUT))&gt;=0,1,-1)*QUOTIENT(((c_TMAP2IN)-(c_TMAP1IN)),2)))&gt;=0,1,0)))</f>
        <v>30</v>
      </c>
      <c r="G106" s="7" t="n">
        <f aca="false">IF(((c_TMAP3IN)-(c_TMAP2IN))=0,(c_TMAP2OUT)+QUOTIENT(((c_TMAP3OUT)-(c_TMAP2OUT)),2),QUOTIENT((((C106)-(c_TMAP2IN))*((c_TMAP3OUT)-(c_TMAP2OUT))+IF(((c_TMAP3OUT)-(c_TMAP2OUT))&gt;=0,1,-1)*QUOTIENT(((c_TMAP3IN)-(c_TMAP2IN)),2)),((c_TMAP3IN)-(c_TMAP2IN)))+(c_TMAP2OUT)+IF(((c_TMAP3OUT)-(c_TMAP2OUT))&gt;=0,IF(IF(o_WRAP=1,MOD(((c_TMAP3IN)-(c_TMAP2IN))*(((C106)-(c_TMAP2IN))*((c_TMAP3OUT)-(c_TMAP2OUT))+IF(((c_TMAP3OUT)-(c_TMAP2OUT))&gt;=0,1,-1)*QUOTIENT(((c_TMAP3IN)-(c_TMAP2IN)),2))+2147483648,4294967296)-2147483648,((c_TMAP3IN)-(c_TMAP2IN))*(((C106)-(c_TMAP2IN))*((c_TMAP3OUT)-(c_TMAP2OUT))+IF(((c_TMAP3OUT)-(c_TMAP2OUT))&gt;=0,1,-1)*QUOTIENT(((c_TMAP3IN)-(c_TMAP2IN)),2)))&lt;0,-1,0),IF(IF(o_WRAP=1,MOD(((c_TMAP3IN)-(c_TMAP2IN))*(((C106)-(c_TMAP2IN))*((c_TMAP3OUT)-(c_TMAP2OUT))+IF(((c_TMAP3OUT)-(c_TMAP2OUT))&gt;=0,1,-1)*QUOTIENT(((c_TMAP3IN)-(c_TMAP2IN)),2))+2147483648,4294967296)-2147483648,((c_TMAP3IN)-(c_TMAP2IN))*(((C106)-(c_TMAP2IN))*((c_TMAP3OUT)-(c_TMAP2OUT))+IF(((c_TMAP3OUT)-(c_TMAP2OUT))&gt;=0,1,-1)*QUOTIENT(((c_TMAP3IN)-(c_TMAP2IN)),2)))&gt;=0,1,0)))</f>
        <v>-45</v>
      </c>
      <c r="H106" s="7" t="n">
        <f aca="false">IF(((1000)-(c_TMAP3IN))=0,(c_TMAP3OUT)+QUOTIENT(((1000)-(c_TMAP3OUT)),2),QUOTIENT((((C106)-(c_TMAP3IN))*((1000)-(c_TMAP3OUT))+IF(((1000)-(c_TMAP3OUT))&gt;=0,1,-1)*QUOTIENT(((1000)-(c_TMAP3IN)),2)),((1000)-(c_TMAP3IN)))+(c_TMAP3OUT)+IF(((1000)-(c_TMAP3OUT))&gt;=0,IF(IF(o_WRAP=1,MOD(((1000)-(c_TMAP3IN))*(((C106)-(c_TMAP3IN))*((1000)-(c_TMAP3OUT))+IF(((1000)-(c_TMAP3OUT))&gt;=0,1,-1)*QUOTIENT(((1000)-(c_TMAP3IN)),2))+2147483648,4294967296)-2147483648,((1000)-(c_TMAP3IN))*(((C106)-(c_TMAP3IN))*((1000)-(c_TMAP3OUT))+IF(((1000)-(c_TMAP3OUT))&gt;=0,1,-1)*QUOTIENT(((1000)-(c_TMAP3IN)),2)))&lt;0,-1,0),IF(IF(o_WRAP=1,MOD(((1000)-(c_TMAP3IN))*(((C106)-(c_TMAP3IN))*((1000)-(c_TMAP3OUT))+IF(((1000)-(c_TMAP3OUT))&gt;=0,1,-1)*QUOTIENT(((1000)-(c_TMAP3IN)),2))+2147483648,4294967296)-2147483648,((1000)-(c_TMAP3IN))*(((C106)-(c_TMAP3IN))*((1000)-(c_TMAP3OUT))+IF(((1000)-(c_TMAP3OUT))&gt;=0,1,-1)*QUOTIENT(((1000)-(c_TMAP3IN)),2)))&gt;=0,1,0)))</f>
        <v>-231</v>
      </c>
      <c r="I106" s="7" t="n">
        <f aca="false">IF(C106&gt;=c_TFWD,IF(AND(C106&gt;=c_TMAP3IN,c_TMAP3IN&lt;1000),H106,IF(AND(C106&gt;=c_TMAP2IN,c_TMAP3IN&gt;c_TMAP2IN),G106,IF(AND(C106&gt;=c_TMAP1IN,c_TMAP2IN&gt;c_TMAP1IN),F106,E106))),D106)</f>
        <v>-350</v>
      </c>
      <c r="J106" s="7" t="str">
        <f aca="false">IF(I106&lt;-1090,"TOO LOW",IF(I106&gt;1090,"TOO HIGH",""))</f>
        <v/>
      </c>
      <c r="K106" s="7" t="n">
        <f aca="false">IF(J106&lt;&gt;"",0,IF(I106&gt;979,1000,I106))</f>
        <v>-350</v>
      </c>
      <c r="L106" s="7" t="n">
        <f aca="false">IF(OR(c_TSMOOTH=0,K106&gt;=c_TSMOOTHCUT),1,0)</f>
        <v>0</v>
      </c>
      <c r="M106" s="7" t="n">
        <f aca="false">IF(L106=1,0,M105+1)</f>
        <v>20</v>
      </c>
      <c r="N106" s="7" t="n">
        <f aca="false">IF(L106=1,0,MIN(M106,c_TSMOOTH))</f>
        <v>20</v>
      </c>
      <c r="O106" s="7" t="n">
        <f aca="false">IF(COUNTIF($L$5:L106,1)&gt;0,c_TSMOOTHCUT,0)</f>
        <v>400</v>
      </c>
      <c r="P106" s="15" t="n">
        <f aca="true">IF(L106=1,K106,QUOTIENT(SUM(OFFSET(K106,1-N106,0,N106,1))+(c_TSMOOTH-N106)*O106,c_TSMOOTH))</f>
        <v>-66</v>
      </c>
      <c r="Q106" s="7" t="n">
        <f aca="false">K106/10</f>
        <v>-35</v>
      </c>
      <c r="R106" s="7" t="n">
        <f aca="false">P106/10</f>
        <v>-6.6</v>
      </c>
    </row>
    <row r="107" customFormat="false" ht="15" hidden="false" customHeight="false" outlineLevel="0" collapsed="false">
      <c r="A107" s="7" t="n">
        <v>102</v>
      </c>
      <c r="B107" s="7" t="n">
        <f aca="false">A107*0.04</f>
        <v>4.08</v>
      </c>
      <c r="C107" s="18" t="n">
        <v>0</v>
      </c>
      <c r="D107" s="7" t="n">
        <f aca="false">IF(AND(C107=0,c_TCREEP&gt;0),10*c_TCREEP,IF(AND(C107&lt;=c_TRNGMIN,C107&gt;=c_TRNGMAX,c_TRNGMIN-c_TRNGMAX&lt;&gt;0),-10*c_TMINRN+QUOTIENT((c_TMAXRN-c_TMINRN)*(100-QUOTIENT((C107-c_TRNGMAX)*100,c_TRNGMIN-c_TRNGMAX)),-10),0))</f>
        <v>-350</v>
      </c>
      <c r="E107" s="7" t="n">
        <f aca="false">IF(((c_TMAP1IN)-(c_TFWD))=0,(0)+QUOTIENT(((c_TMAP1OUT)-(0)),2),QUOTIENT((((C107)-(c_TFWD))*((c_TMAP1OUT)-(0))+IF(((c_TMAP1OUT)-(0))&gt;=0,1,-1)*QUOTIENT(((c_TMAP1IN)-(c_TFWD)),2)),((c_TMAP1IN)-(c_TFWD)))+(0)+IF(((c_TMAP1OUT)-(0))&gt;=0,IF(IF(o_WRAP=1,MOD(((c_TMAP1IN)-(c_TFWD))*(((C107)-(c_TFWD))*((c_TMAP1OUT)-(0))+IF(((c_TMAP1OUT)-(0))&gt;=0,1,-1)*QUOTIENT(((c_TMAP1IN)-(c_TFWD)),2))+2147483648,4294967296)-2147483648,((c_TMAP1IN)-(c_TFWD))*(((C107)-(c_TFWD))*((c_TMAP1OUT)-(0))+IF(((c_TMAP1OUT)-(0))&gt;=0,1,-1)*QUOTIENT(((c_TMAP1IN)-(c_TFWD)),2)))&lt;0,-1,0),IF(IF(o_WRAP=1,MOD(((c_TMAP1IN)-(c_TFWD))*(((C107)-(c_TFWD))*((c_TMAP1OUT)-(0))+IF(((c_TMAP1OUT)-(0))&gt;=0,1,-1)*QUOTIENT(((c_TMAP1IN)-(c_TFWD)),2))+2147483648,4294967296)-2147483648,((c_TMAP1IN)-(c_TFWD))*(((C107)-(c_TFWD))*((c_TMAP1OUT)-(0))+IF(((c_TMAP1OUT)-(0))&gt;=0,1,-1)*QUOTIENT(((c_TMAP1IN)-(c_TFWD)),2)))&gt;=0,1,0)))</f>
        <v>-8</v>
      </c>
      <c r="F107" s="7" t="n">
        <f aca="false">IF(((c_TMAP2IN)-(c_TMAP1IN))=0,(c_TMAP1OUT)+QUOTIENT(((c_TMAP2OUT)-(c_TMAP1OUT)),2),QUOTIENT((((C107)-(c_TMAP1IN))*((c_TMAP2OUT)-(c_TMAP1OUT))+IF(((c_TMAP2OUT)-(c_TMAP1OUT))&gt;=0,1,-1)*QUOTIENT(((c_TMAP2IN)-(c_TMAP1IN)),2)),((c_TMAP2IN)-(c_TMAP1IN)))+(c_TMAP1OUT)+IF(((c_TMAP2OUT)-(c_TMAP1OUT))&gt;=0,IF(IF(o_WRAP=1,MOD(((c_TMAP2IN)-(c_TMAP1IN))*(((C107)-(c_TMAP1IN))*((c_TMAP2OUT)-(c_TMAP1OUT))+IF(((c_TMAP2OUT)-(c_TMAP1OUT))&gt;=0,1,-1)*QUOTIENT(((c_TMAP2IN)-(c_TMAP1IN)),2))+2147483648,4294967296)-2147483648,((c_TMAP2IN)-(c_TMAP1IN))*(((C107)-(c_TMAP1IN))*((c_TMAP2OUT)-(c_TMAP1OUT))+IF(((c_TMAP2OUT)-(c_TMAP1OUT))&gt;=0,1,-1)*QUOTIENT(((c_TMAP2IN)-(c_TMAP1IN)),2)))&lt;0,-1,0),IF(IF(o_WRAP=1,MOD(((c_TMAP2IN)-(c_TMAP1IN))*(((C107)-(c_TMAP1IN))*((c_TMAP2OUT)-(c_TMAP1OUT))+IF(((c_TMAP2OUT)-(c_TMAP1OUT))&gt;=0,1,-1)*QUOTIENT(((c_TMAP2IN)-(c_TMAP1IN)),2))+2147483648,4294967296)-2147483648,((c_TMAP2IN)-(c_TMAP1IN))*(((C107)-(c_TMAP1IN))*((c_TMAP2OUT)-(c_TMAP1OUT))+IF(((c_TMAP2OUT)-(c_TMAP1OUT))&gt;=0,1,-1)*QUOTIENT(((c_TMAP2IN)-(c_TMAP1IN)),2)))&gt;=0,1,0)))</f>
        <v>30</v>
      </c>
      <c r="G107" s="7" t="n">
        <f aca="false">IF(((c_TMAP3IN)-(c_TMAP2IN))=0,(c_TMAP2OUT)+QUOTIENT(((c_TMAP3OUT)-(c_TMAP2OUT)),2),QUOTIENT((((C107)-(c_TMAP2IN))*((c_TMAP3OUT)-(c_TMAP2OUT))+IF(((c_TMAP3OUT)-(c_TMAP2OUT))&gt;=0,1,-1)*QUOTIENT(((c_TMAP3IN)-(c_TMAP2IN)),2)),((c_TMAP3IN)-(c_TMAP2IN)))+(c_TMAP2OUT)+IF(((c_TMAP3OUT)-(c_TMAP2OUT))&gt;=0,IF(IF(o_WRAP=1,MOD(((c_TMAP3IN)-(c_TMAP2IN))*(((C107)-(c_TMAP2IN))*((c_TMAP3OUT)-(c_TMAP2OUT))+IF(((c_TMAP3OUT)-(c_TMAP2OUT))&gt;=0,1,-1)*QUOTIENT(((c_TMAP3IN)-(c_TMAP2IN)),2))+2147483648,4294967296)-2147483648,((c_TMAP3IN)-(c_TMAP2IN))*(((C107)-(c_TMAP2IN))*((c_TMAP3OUT)-(c_TMAP2OUT))+IF(((c_TMAP3OUT)-(c_TMAP2OUT))&gt;=0,1,-1)*QUOTIENT(((c_TMAP3IN)-(c_TMAP2IN)),2)))&lt;0,-1,0),IF(IF(o_WRAP=1,MOD(((c_TMAP3IN)-(c_TMAP2IN))*(((C107)-(c_TMAP2IN))*((c_TMAP3OUT)-(c_TMAP2OUT))+IF(((c_TMAP3OUT)-(c_TMAP2OUT))&gt;=0,1,-1)*QUOTIENT(((c_TMAP3IN)-(c_TMAP2IN)),2))+2147483648,4294967296)-2147483648,((c_TMAP3IN)-(c_TMAP2IN))*(((C107)-(c_TMAP2IN))*((c_TMAP3OUT)-(c_TMAP2OUT))+IF(((c_TMAP3OUT)-(c_TMAP2OUT))&gt;=0,1,-1)*QUOTIENT(((c_TMAP3IN)-(c_TMAP2IN)),2)))&gt;=0,1,0)))</f>
        <v>-45</v>
      </c>
      <c r="H107" s="7" t="n">
        <f aca="false">IF(((1000)-(c_TMAP3IN))=0,(c_TMAP3OUT)+QUOTIENT(((1000)-(c_TMAP3OUT)),2),QUOTIENT((((C107)-(c_TMAP3IN))*((1000)-(c_TMAP3OUT))+IF(((1000)-(c_TMAP3OUT))&gt;=0,1,-1)*QUOTIENT(((1000)-(c_TMAP3IN)),2)),((1000)-(c_TMAP3IN)))+(c_TMAP3OUT)+IF(((1000)-(c_TMAP3OUT))&gt;=0,IF(IF(o_WRAP=1,MOD(((1000)-(c_TMAP3IN))*(((C107)-(c_TMAP3IN))*((1000)-(c_TMAP3OUT))+IF(((1000)-(c_TMAP3OUT))&gt;=0,1,-1)*QUOTIENT(((1000)-(c_TMAP3IN)),2))+2147483648,4294967296)-2147483648,((1000)-(c_TMAP3IN))*(((C107)-(c_TMAP3IN))*((1000)-(c_TMAP3OUT))+IF(((1000)-(c_TMAP3OUT))&gt;=0,1,-1)*QUOTIENT(((1000)-(c_TMAP3IN)),2)))&lt;0,-1,0),IF(IF(o_WRAP=1,MOD(((1000)-(c_TMAP3IN))*(((C107)-(c_TMAP3IN))*((1000)-(c_TMAP3OUT))+IF(((1000)-(c_TMAP3OUT))&gt;=0,1,-1)*QUOTIENT(((1000)-(c_TMAP3IN)),2))+2147483648,4294967296)-2147483648,((1000)-(c_TMAP3IN))*(((C107)-(c_TMAP3IN))*((1000)-(c_TMAP3OUT))+IF(((1000)-(c_TMAP3OUT))&gt;=0,1,-1)*QUOTIENT(((1000)-(c_TMAP3IN)),2)))&gt;=0,1,0)))</f>
        <v>-231</v>
      </c>
      <c r="I107" s="7" t="n">
        <f aca="false">IF(C107&gt;=c_TFWD,IF(AND(C107&gt;=c_TMAP3IN,c_TMAP3IN&lt;1000),H107,IF(AND(C107&gt;=c_TMAP2IN,c_TMAP3IN&gt;c_TMAP2IN),G107,IF(AND(C107&gt;=c_TMAP1IN,c_TMAP2IN&gt;c_TMAP1IN),F107,E107))),D107)</f>
        <v>-350</v>
      </c>
      <c r="J107" s="7" t="str">
        <f aca="false">IF(I107&lt;-1090,"TOO LOW",IF(I107&gt;1090,"TOO HIGH",""))</f>
        <v/>
      </c>
      <c r="K107" s="7" t="n">
        <f aca="false">IF(J107&lt;&gt;"",0,IF(I107&gt;979,1000,I107))</f>
        <v>-350</v>
      </c>
      <c r="L107" s="7" t="n">
        <f aca="false">IF(OR(c_TSMOOTH=0,K107&gt;=c_TSMOOTHCUT),1,0)</f>
        <v>0</v>
      </c>
      <c r="M107" s="7" t="n">
        <f aca="false">IF(L107=1,0,M106+1)</f>
        <v>21</v>
      </c>
      <c r="N107" s="7" t="n">
        <f aca="false">IF(L107=1,0,MIN(M107,c_TSMOOTH))</f>
        <v>21</v>
      </c>
      <c r="O107" s="7" t="n">
        <f aca="false">IF(COUNTIF($L$5:L107,1)&gt;0,c_TSMOOTHCUT,0)</f>
        <v>400</v>
      </c>
      <c r="P107" s="15" t="n">
        <f aca="true">IF(L107=1,K107,QUOTIENT(SUM(OFFSET(K107,1-N107,0,N107,1))+(c_TSMOOTH-N107)*O107,c_TSMOOTH))</f>
        <v>-91</v>
      </c>
      <c r="Q107" s="7" t="n">
        <f aca="false">K107/10</f>
        <v>-35</v>
      </c>
      <c r="R107" s="7" t="n">
        <f aca="false">P107/10</f>
        <v>-9.1</v>
      </c>
    </row>
    <row r="108" customFormat="false" ht="15" hidden="false" customHeight="false" outlineLevel="0" collapsed="false">
      <c r="A108" s="7" t="n">
        <v>103</v>
      </c>
      <c r="B108" s="7" t="n">
        <f aca="false">A108*0.04</f>
        <v>4.12</v>
      </c>
      <c r="C108" s="18" t="n">
        <v>0</v>
      </c>
      <c r="D108" s="7" t="n">
        <f aca="false">IF(AND(C108=0,c_TCREEP&gt;0),10*c_TCREEP,IF(AND(C108&lt;=c_TRNGMIN,C108&gt;=c_TRNGMAX,c_TRNGMIN-c_TRNGMAX&lt;&gt;0),-10*c_TMINRN+QUOTIENT((c_TMAXRN-c_TMINRN)*(100-QUOTIENT((C108-c_TRNGMAX)*100,c_TRNGMIN-c_TRNGMAX)),-10),0))</f>
        <v>-350</v>
      </c>
      <c r="E108" s="7" t="n">
        <f aca="false">IF(((c_TMAP1IN)-(c_TFWD))=0,(0)+QUOTIENT(((c_TMAP1OUT)-(0)),2),QUOTIENT((((C108)-(c_TFWD))*((c_TMAP1OUT)-(0))+IF(((c_TMAP1OUT)-(0))&gt;=0,1,-1)*QUOTIENT(((c_TMAP1IN)-(c_TFWD)),2)),((c_TMAP1IN)-(c_TFWD)))+(0)+IF(((c_TMAP1OUT)-(0))&gt;=0,IF(IF(o_WRAP=1,MOD(((c_TMAP1IN)-(c_TFWD))*(((C108)-(c_TFWD))*((c_TMAP1OUT)-(0))+IF(((c_TMAP1OUT)-(0))&gt;=0,1,-1)*QUOTIENT(((c_TMAP1IN)-(c_TFWD)),2))+2147483648,4294967296)-2147483648,((c_TMAP1IN)-(c_TFWD))*(((C108)-(c_TFWD))*((c_TMAP1OUT)-(0))+IF(((c_TMAP1OUT)-(0))&gt;=0,1,-1)*QUOTIENT(((c_TMAP1IN)-(c_TFWD)),2)))&lt;0,-1,0),IF(IF(o_WRAP=1,MOD(((c_TMAP1IN)-(c_TFWD))*(((C108)-(c_TFWD))*((c_TMAP1OUT)-(0))+IF(((c_TMAP1OUT)-(0))&gt;=0,1,-1)*QUOTIENT(((c_TMAP1IN)-(c_TFWD)),2))+2147483648,4294967296)-2147483648,((c_TMAP1IN)-(c_TFWD))*(((C108)-(c_TFWD))*((c_TMAP1OUT)-(0))+IF(((c_TMAP1OUT)-(0))&gt;=0,1,-1)*QUOTIENT(((c_TMAP1IN)-(c_TFWD)),2)))&gt;=0,1,0)))</f>
        <v>-8</v>
      </c>
      <c r="F108" s="7" t="n">
        <f aca="false">IF(((c_TMAP2IN)-(c_TMAP1IN))=0,(c_TMAP1OUT)+QUOTIENT(((c_TMAP2OUT)-(c_TMAP1OUT)),2),QUOTIENT((((C108)-(c_TMAP1IN))*((c_TMAP2OUT)-(c_TMAP1OUT))+IF(((c_TMAP2OUT)-(c_TMAP1OUT))&gt;=0,1,-1)*QUOTIENT(((c_TMAP2IN)-(c_TMAP1IN)),2)),((c_TMAP2IN)-(c_TMAP1IN)))+(c_TMAP1OUT)+IF(((c_TMAP2OUT)-(c_TMAP1OUT))&gt;=0,IF(IF(o_WRAP=1,MOD(((c_TMAP2IN)-(c_TMAP1IN))*(((C108)-(c_TMAP1IN))*((c_TMAP2OUT)-(c_TMAP1OUT))+IF(((c_TMAP2OUT)-(c_TMAP1OUT))&gt;=0,1,-1)*QUOTIENT(((c_TMAP2IN)-(c_TMAP1IN)),2))+2147483648,4294967296)-2147483648,((c_TMAP2IN)-(c_TMAP1IN))*(((C108)-(c_TMAP1IN))*((c_TMAP2OUT)-(c_TMAP1OUT))+IF(((c_TMAP2OUT)-(c_TMAP1OUT))&gt;=0,1,-1)*QUOTIENT(((c_TMAP2IN)-(c_TMAP1IN)),2)))&lt;0,-1,0),IF(IF(o_WRAP=1,MOD(((c_TMAP2IN)-(c_TMAP1IN))*(((C108)-(c_TMAP1IN))*((c_TMAP2OUT)-(c_TMAP1OUT))+IF(((c_TMAP2OUT)-(c_TMAP1OUT))&gt;=0,1,-1)*QUOTIENT(((c_TMAP2IN)-(c_TMAP1IN)),2))+2147483648,4294967296)-2147483648,((c_TMAP2IN)-(c_TMAP1IN))*(((C108)-(c_TMAP1IN))*((c_TMAP2OUT)-(c_TMAP1OUT))+IF(((c_TMAP2OUT)-(c_TMAP1OUT))&gt;=0,1,-1)*QUOTIENT(((c_TMAP2IN)-(c_TMAP1IN)),2)))&gt;=0,1,0)))</f>
        <v>30</v>
      </c>
      <c r="G108" s="7" t="n">
        <f aca="false">IF(((c_TMAP3IN)-(c_TMAP2IN))=0,(c_TMAP2OUT)+QUOTIENT(((c_TMAP3OUT)-(c_TMAP2OUT)),2),QUOTIENT((((C108)-(c_TMAP2IN))*((c_TMAP3OUT)-(c_TMAP2OUT))+IF(((c_TMAP3OUT)-(c_TMAP2OUT))&gt;=0,1,-1)*QUOTIENT(((c_TMAP3IN)-(c_TMAP2IN)),2)),((c_TMAP3IN)-(c_TMAP2IN)))+(c_TMAP2OUT)+IF(((c_TMAP3OUT)-(c_TMAP2OUT))&gt;=0,IF(IF(o_WRAP=1,MOD(((c_TMAP3IN)-(c_TMAP2IN))*(((C108)-(c_TMAP2IN))*((c_TMAP3OUT)-(c_TMAP2OUT))+IF(((c_TMAP3OUT)-(c_TMAP2OUT))&gt;=0,1,-1)*QUOTIENT(((c_TMAP3IN)-(c_TMAP2IN)),2))+2147483648,4294967296)-2147483648,((c_TMAP3IN)-(c_TMAP2IN))*(((C108)-(c_TMAP2IN))*((c_TMAP3OUT)-(c_TMAP2OUT))+IF(((c_TMAP3OUT)-(c_TMAP2OUT))&gt;=0,1,-1)*QUOTIENT(((c_TMAP3IN)-(c_TMAP2IN)),2)))&lt;0,-1,0),IF(IF(o_WRAP=1,MOD(((c_TMAP3IN)-(c_TMAP2IN))*(((C108)-(c_TMAP2IN))*((c_TMAP3OUT)-(c_TMAP2OUT))+IF(((c_TMAP3OUT)-(c_TMAP2OUT))&gt;=0,1,-1)*QUOTIENT(((c_TMAP3IN)-(c_TMAP2IN)),2))+2147483648,4294967296)-2147483648,((c_TMAP3IN)-(c_TMAP2IN))*(((C108)-(c_TMAP2IN))*((c_TMAP3OUT)-(c_TMAP2OUT))+IF(((c_TMAP3OUT)-(c_TMAP2OUT))&gt;=0,1,-1)*QUOTIENT(((c_TMAP3IN)-(c_TMAP2IN)),2)))&gt;=0,1,0)))</f>
        <v>-45</v>
      </c>
      <c r="H108" s="7" t="n">
        <f aca="false">IF(((1000)-(c_TMAP3IN))=0,(c_TMAP3OUT)+QUOTIENT(((1000)-(c_TMAP3OUT)),2),QUOTIENT((((C108)-(c_TMAP3IN))*((1000)-(c_TMAP3OUT))+IF(((1000)-(c_TMAP3OUT))&gt;=0,1,-1)*QUOTIENT(((1000)-(c_TMAP3IN)),2)),((1000)-(c_TMAP3IN)))+(c_TMAP3OUT)+IF(((1000)-(c_TMAP3OUT))&gt;=0,IF(IF(o_WRAP=1,MOD(((1000)-(c_TMAP3IN))*(((C108)-(c_TMAP3IN))*((1000)-(c_TMAP3OUT))+IF(((1000)-(c_TMAP3OUT))&gt;=0,1,-1)*QUOTIENT(((1000)-(c_TMAP3IN)),2))+2147483648,4294967296)-2147483648,((1000)-(c_TMAP3IN))*(((C108)-(c_TMAP3IN))*((1000)-(c_TMAP3OUT))+IF(((1000)-(c_TMAP3OUT))&gt;=0,1,-1)*QUOTIENT(((1000)-(c_TMAP3IN)),2)))&lt;0,-1,0),IF(IF(o_WRAP=1,MOD(((1000)-(c_TMAP3IN))*(((C108)-(c_TMAP3IN))*((1000)-(c_TMAP3OUT))+IF(((1000)-(c_TMAP3OUT))&gt;=0,1,-1)*QUOTIENT(((1000)-(c_TMAP3IN)),2))+2147483648,4294967296)-2147483648,((1000)-(c_TMAP3IN))*(((C108)-(c_TMAP3IN))*((1000)-(c_TMAP3OUT))+IF(((1000)-(c_TMAP3OUT))&gt;=0,1,-1)*QUOTIENT(((1000)-(c_TMAP3IN)),2)))&gt;=0,1,0)))</f>
        <v>-231</v>
      </c>
      <c r="I108" s="7" t="n">
        <f aca="false">IF(C108&gt;=c_TFWD,IF(AND(C108&gt;=c_TMAP3IN,c_TMAP3IN&lt;1000),H108,IF(AND(C108&gt;=c_TMAP2IN,c_TMAP3IN&gt;c_TMAP2IN),G108,IF(AND(C108&gt;=c_TMAP1IN,c_TMAP2IN&gt;c_TMAP1IN),F108,E108))),D108)</f>
        <v>-350</v>
      </c>
      <c r="J108" s="7" t="str">
        <f aca="false">IF(I108&lt;-1090,"TOO LOW",IF(I108&gt;1090,"TOO HIGH",""))</f>
        <v/>
      </c>
      <c r="K108" s="7" t="n">
        <f aca="false">IF(J108&lt;&gt;"",0,IF(I108&gt;979,1000,I108))</f>
        <v>-350</v>
      </c>
      <c r="L108" s="7" t="n">
        <f aca="false">IF(OR(c_TSMOOTH=0,K108&gt;=c_TSMOOTHCUT),1,0)</f>
        <v>0</v>
      </c>
      <c r="M108" s="7" t="n">
        <f aca="false">IF(L108=1,0,M107+1)</f>
        <v>22</v>
      </c>
      <c r="N108" s="7" t="n">
        <f aca="false">IF(L108=1,0,MIN(M108,c_TSMOOTH))</f>
        <v>22</v>
      </c>
      <c r="O108" s="7" t="n">
        <f aca="false">IF(COUNTIF($L$5:L108,1)&gt;0,c_TSMOOTHCUT,0)</f>
        <v>400</v>
      </c>
      <c r="P108" s="15" t="n">
        <f aca="true">IF(L108=1,K108,QUOTIENT(SUM(OFFSET(K108,1-N108,0,N108,1))+(c_TSMOOTH-N108)*O108,c_TSMOOTH))</f>
        <v>-116</v>
      </c>
      <c r="Q108" s="7" t="n">
        <f aca="false">K108/10</f>
        <v>-35</v>
      </c>
      <c r="R108" s="7" t="n">
        <f aca="false">P108/10</f>
        <v>-11.6</v>
      </c>
    </row>
    <row r="109" customFormat="false" ht="15" hidden="false" customHeight="false" outlineLevel="0" collapsed="false">
      <c r="A109" s="7" t="n">
        <v>104</v>
      </c>
      <c r="B109" s="7" t="n">
        <f aca="false">A109*0.04</f>
        <v>4.16</v>
      </c>
      <c r="C109" s="18" t="n">
        <v>0</v>
      </c>
      <c r="D109" s="7" t="n">
        <f aca="false">IF(AND(C109=0,c_TCREEP&gt;0),10*c_TCREEP,IF(AND(C109&lt;=c_TRNGMIN,C109&gt;=c_TRNGMAX,c_TRNGMIN-c_TRNGMAX&lt;&gt;0),-10*c_TMINRN+QUOTIENT((c_TMAXRN-c_TMINRN)*(100-QUOTIENT((C109-c_TRNGMAX)*100,c_TRNGMIN-c_TRNGMAX)),-10),0))</f>
        <v>-350</v>
      </c>
      <c r="E109" s="7" t="n">
        <f aca="false">IF(((c_TMAP1IN)-(c_TFWD))=0,(0)+QUOTIENT(((c_TMAP1OUT)-(0)),2),QUOTIENT((((C109)-(c_TFWD))*((c_TMAP1OUT)-(0))+IF(((c_TMAP1OUT)-(0))&gt;=0,1,-1)*QUOTIENT(((c_TMAP1IN)-(c_TFWD)),2)),((c_TMAP1IN)-(c_TFWD)))+(0)+IF(((c_TMAP1OUT)-(0))&gt;=0,IF(IF(o_WRAP=1,MOD(((c_TMAP1IN)-(c_TFWD))*(((C109)-(c_TFWD))*((c_TMAP1OUT)-(0))+IF(((c_TMAP1OUT)-(0))&gt;=0,1,-1)*QUOTIENT(((c_TMAP1IN)-(c_TFWD)),2))+2147483648,4294967296)-2147483648,((c_TMAP1IN)-(c_TFWD))*(((C109)-(c_TFWD))*((c_TMAP1OUT)-(0))+IF(((c_TMAP1OUT)-(0))&gt;=0,1,-1)*QUOTIENT(((c_TMAP1IN)-(c_TFWD)),2)))&lt;0,-1,0),IF(IF(o_WRAP=1,MOD(((c_TMAP1IN)-(c_TFWD))*(((C109)-(c_TFWD))*((c_TMAP1OUT)-(0))+IF(((c_TMAP1OUT)-(0))&gt;=0,1,-1)*QUOTIENT(((c_TMAP1IN)-(c_TFWD)),2))+2147483648,4294967296)-2147483648,((c_TMAP1IN)-(c_TFWD))*(((C109)-(c_TFWD))*((c_TMAP1OUT)-(0))+IF(((c_TMAP1OUT)-(0))&gt;=0,1,-1)*QUOTIENT(((c_TMAP1IN)-(c_TFWD)),2)))&gt;=0,1,0)))</f>
        <v>-8</v>
      </c>
      <c r="F109" s="7" t="n">
        <f aca="false">IF(((c_TMAP2IN)-(c_TMAP1IN))=0,(c_TMAP1OUT)+QUOTIENT(((c_TMAP2OUT)-(c_TMAP1OUT)),2),QUOTIENT((((C109)-(c_TMAP1IN))*((c_TMAP2OUT)-(c_TMAP1OUT))+IF(((c_TMAP2OUT)-(c_TMAP1OUT))&gt;=0,1,-1)*QUOTIENT(((c_TMAP2IN)-(c_TMAP1IN)),2)),((c_TMAP2IN)-(c_TMAP1IN)))+(c_TMAP1OUT)+IF(((c_TMAP2OUT)-(c_TMAP1OUT))&gt;=0,IF(IF(o_WRAP=1,MOD(((c_TMAP2IN)-(c_TMAP1IN))*(((C109)-(c_TMAP1IN))*((c_TMAP2OUT)-(c_TMAP1OUT))+IF(((c_TMAP2OUT)-(c_TMAP1OUT))&gt;=0,1,-1)*QUOTIENT(((c_TMAP2IN)-(c_TMAP1IN)),2))+2147483648,4294967296)-2147483648,((c_TMAP2IN)-(c_TMAP1IN))*(((C109)-(c_TMAP1IN))*((c_TMAP2OUT)-(c_TMAP1OUT))+IF(((c_TMAP2OUT)-(c_TMAP1OUT))&gt;=0,1,-1)*QUOTIENT(((c_TMAP2IN)-(c_TMAP1IN)),2)))&lt;0,-1,0),IF(IF(o_WRAP=1,MOD(((c_TMAP2IN)-(c_TMAP1IN))*(((C109)-(c_TMAP1IN))*((c_TMAP2OUT)-(c_TMAP1OUT))+IF(((c_TMAP2OUT)-(c_TMAP1OUT))&gt;=0,1,-1)*QUOTIENT(((c_TMAP2IN)-(c_TMAP1IN)),2))+2147483648,4294967296)-2147483648,((c_TMAP2IN)-(c_TMAP1IN))*(((C109)-(c_TMAP1IN))*((c_TMAP2OUT)-(c_TMAP1OUT))+IF(((c_TMAP2OUT)-(c_TMAP1OUT))&gt;=0,1,-1)*QUOTIENT(((c_TMAP2IN)-(c_TMAP1IN)),2)))&gt;=0,1,0)))</f>
        <v>30</v>
      </c>
      <c r="G109" s="7" t="n">
        <f aca="false">IF(((c_TMAP3IN)-(c_TMAP2IN))=0,(c_TMAP2OUT)+QUOTIENT(((c_TMAP3OUT)-(c_TMAP2OUT)),2),QUOTIENT((((C109)-(c_TMAP2IN))*((c_TMAP3OUT)-(c_TMAP2OUT))+IF(((c_TMAP3OUT)-(c_TMAP2OUT))&gt;=0,1,-1)*QUOTIENT(((c_TMAP3IN)-(c_TMAP2IN)),2)),((c_TMAP3IN)-(c_TMAP2IN)))+(c_TMAP2OUT)+IF(((c_TMAP3OUT)-(c_TMAP2OUT))&gt;=0,IF(IF(o_WRAP=1,MOD(((c_TMAP3IN)-(c_TMAP2IN))*(((C109)-(c_TMAP2IN))*((c_TMAP3OUT)-(c_TMAP2OUT))+IF(((c_TMAP3OUT)-(c_TMAP2OUT))&gt;=0,1,-1)*QUOTIENT(((c_TMAP3IN)-(c_TMAP2IN)),2))+2147483648,4294967296)-2147483648,((c_TMAP3IN)-(c_TMAP2IN))*(((C109)-(c_TMAP2IN))*((c_TMAP3OUT)-(c_TMAP2OUT))+IF(((c_TMAP3OUT)-(c_TMAP2OUT))&gt;=0,1,-1)*QUOTIENT(((c_TMAP3IN)-(c_TMAP2IN)),2)))&lt;0,-1,0),IF(IF(o_WRAP=1,MOD(((c_TMAP3IN)-(c_TMAP2IN))*(((C109)-(c_TMAP2IN))*((c_TMAP3OUT)-(c_TMAP2OUT))+IF(((c_TMAP3OUT)-(c_TMAP2OUT))&gt;=0,1,-1)*QUOTIENT(((c_TMAP3IN)-(c_TMAP2IN)),2))+2147483648,4294967296)-2147483648,((c_TMAP3IN)-(c_TMAP2IN))*(((C109)-(c_TMAP2IN))*((c_TMAP3OUT)-(c_TMAP2OUT))+IF(((c_TMAP3OUT)-(c_TMAP2OUT))&gt;=0,1,-1)*QUOTIENT(((c_TMAP3IN)-(c_TMAP2IN)),2)))&gt;=0,1,0)))</f>
        <v>-45</v>
      </c>
      <c r="H109" s="7" t="n">
        <f aca="false">IF(((1000)-(c_TMAP3IN))=0,(c_TMAP3OUT)+QUOTIENT(((1000)-(c_TMAP3OUT)),2),QUOTIENT((((C109)-(c_TMAP3IN))*((1000)-(c_TMAP3OUT))+IF(((1000)-(c_TMAP3OUT))&gt;=0,1,-1)*QUOTIENT(((1000)-(c_TMAP3IN)),2)),((1000)-(c_TMAP3IN)))+(c_TMAP3OUT)+IF(((1000)-(c_TMAP3OUT))&gt;=0,IF(IF(o_WRAP=1,MOD(((1000)-(c_TMAP3IN))*(((C109)-(c_TMAP3IN))*((1000)-(c_TMAP3OUT))+IF(((1000)-(c_TMAP3OUT))&gt;=0,1,-1)*QUOTIENT(((1000)-(c_TMAP3IN)),2))+2147483648,4294967296)-2147483648,((1000)-(c_TMAP3IN))*(((C109)-(c_TMAP3IN))*((1000)-(c_TMAP3OUT))+IF(((1000)-(c_TMAP3OUT))&gt;=0,1,-1)*QUOTIENT(((1000)-(c_TMAP3IN)),2)))&lt;0,-1,0),IF(IF(o_WRAP=1,MOD(((1000)-(c_TMAP3IN))*(((C109)-(c_TMAP3IN))*((1000)-(c_TMAP3OUT))+IF(((1000)-(c_TMAP3OUT))&gt;=0,1,-1)*QUOTIENT(((1000)-(c_TMAP3IN)),2))+2147483648,4294967296)-2147483648,((1000)-(c_TMAP3IN))*(((C109)-(c_TMAP3IN))*((1000)-(c_TMAP3OUT))+IF(((1000)-(c_TMAP3OUT))&gt;=0,1,-1)*QUOTIENT(((1000)-(c_TMAP3IN)),2)))&gt;=0,1,0)))</f>
        <v>-231</v>
      </c>
      <c r="I109" s="7" t="n">
        <f aca="false">IF(C109&gt;=c_TFWD,IF(AND(C109&gt;=c_TMAP3IN,c_TMAP3IN&lt;1000),H109,IF(AND(C109&gt;=c_TMAP2IN,c_TMAP3IN&gt;c_TMAP2IN),G109,IF(AND(C109&gt;=c_TMAP1IN,c_TMAP2IN&gt;c_TMAP1IN),F109,E109))),D109)</f>
        <v>-350</v>
      </c>
      <c r="J109" s="7" t="str">
        <f aca="false">IF(I109&lt;-1090,"TOO LOW",IF(I109&gt;1090,"TOO HIGH",""))</f>
        <v/>
      </c>
      <c r="K109" s="7" t="n">
        <f aca="false">IF(J109&lt;&gt;"",0,IF(I109&gt;979,1000,I109))</f>
        <v>-350</v>
      </c>
      <c r="L109" s="7" t="n">
        <f aca="false">IF(OR(c_TSMOOTH=0,K109&gt;=c_TSMOOTHCUT),1,0)</f>
        <v>0</v>
      </c>
      <c r="M109" s="7" t="n">
        <f aca="false">IF(L109=1,0,M108+1)</f>
        <v>23</v>
      </c>
      <c r="N109" s="7" t="n">
        <f aca="false">IF(L109=1,0,MIN(M109,c_TSMOOTH))</f>
        <v>23</v>
      </c>
      <c r="O109" s="7" t="n">
        <f aca="false">IF(COUNTIF($L$5:L109,1)&gt;0,c_TSMOOTHCUT,0)</f>
        <v>400</v>
      </c>
      <c r="P109" s="15" t="n">
        <f aca="true">IF(L109=1,K109,QUOTIENT(SUM(OFFSET(K109,1-N109,0,N109,1))+(c_TSMOOTH-N109)*O109,c_TSMOOTH))</f>
        <v>-141</v>
      </c>
      <c r="Q109" s="7" t="n">
        <f aca="false">K109/10</f>
        <v>-35</v>
      </c>
      <c r="R109" s="7" t="n">
        <f aca="false">P109/10</f>
        <v>-14.1</v>
      </c>
    </row>
    <row r="110" customFormat="false" ht="15" hidden="false" customHeight="false" outlineLevel="0" collapsed="false">
      <c r="A110" s="7" t="n">
        <v>105</v>
      </c>
      <c r="B110" s="7" t="n">
        <f aca="false">A110*0.04</f>
        <v>4.2</v>
      </c>
      <c r="C110" s="18" t="n">
        <v>0</v>
      </c>
      <c r="D110" s="7" t="n">
        <f aca="false">IF(AND(C110=0,c_TCREEP&gt;0),10*c_TCREEP,IF(AND(C110&lt;=c_TRNGMIN,C110&gt;=c_TRNGMAX,c_TRNGMIN-c_TRNGMAX&lt;&gt;0),-10*c_TMINRN+QUOTIENT((c_TMAXRN-c_TMINRN)*(100-QUOTIENT((C110-c_TRNGMAX)*100,c_TRNGMIN-c_TRNGMAX)),-10),0))</f>
        <v>-350</v>
      </c>
      <c r="E110" s="7" t="n">
        <f aca="false">IF(((c_TMAP1IN)-(c_TFWD))=0,(0)+QUOTIENT(((c_TMAP1OUT)-(0)),2),QUOTIENT((((C110)-(c_TFWD))*((c_TMAP1OUT)-(0))+IF(((c_TMAP1OUT)-(0))&gt;=0,1,-1)*QUOTIENT(((c_TMAP1IN)-(c_TFWD)),2)),((c_TMAP1IN)-(c_TFWD)))+(0)+IF(((c_TMAP1OUT)-(0))&gt;=0,IF(IF(o_WRAP=1,MOD(((c_TMAP1IN)-(c_TFWD))*(((C110)-(c_TFWD))*((c_TMAP1OUT)-(0))+IF(((c_TMAP1OUT)-(0))&gt;=0,1,-1)*QUOTIENT(((c_TMAP1IN)-(c_TFWD)),2))+2147483648,4294967296)-2147483648,((c_TMAP1IN)-(c_TFWD))*(((C110)-(c_TFWD))*((c_TMAP1OUT)-(0))+IF(((c_TMAP1OUT)-(0))&gt;=0,1,-1)*QUOTIENT(((c_TMAP1IN)-(c_TFWD)),2)))&lt;0,-1,0),IF(IF(o_WRAP=1,MOD(((c_TMAP1IN)-(c_TFWD))*(((C110)-(c_TFWD))*((c_TMAP1OUT)-(0))+IF(((c_TMAP1OUT)-(0))&gt;=0,1,-1)*QUOTIENT(((c_TMAP1IN)-(c_TFWD)),2))+2147483648,4294967296)-2147483648,((c_TMAP1IN)-(c_TFWD))*(((C110)-(c_TFWD))*((c_TMAP1OUT)-(0))+IF(((c_TMAP1OUT)-(0))&gt;=0,1,-1)*QUOTIENT(((c_TMAP1IN)-(c_TFWD)),2)))&gt;=0,1,0)))</f>
        <v>-8</v>
      </c>
      <c r="F110" s="7" t="n">
        <f aca="false">IF(((c_TMAP2IN)-(c_TMAP1IN))=0,(c_TMAP1OUT)+QUOTIENT(((c_TMAP2OUT)-(c_TMAP1OUT)),2),QUOTIENT((((C110)-(c_TMAP1IN))*((c_TMAP2OUT)-(c_TMAP1OUT))+IF(((c_TMAP2OUT)-(c_TMAP1OUT))&gt;=0,1,-1)*QUOTIENT(((c_TMAP2IN)-(c_TMAP1IN)),2)),((c_TMAP2IN)-(c_TMAP1IN)))+(c_TMAP1OUT)+IF(((c_TMAP2OUT)-(c_TMAP1OUT))&gt;=0,IF(IF(o_WRAP=1,MOD(((c_TMAP2IN)-(c_TMAP1IN))*(((C110)-(c_TMAP1IN))*((c_TMAP2OUT)-(c_TMAP1OUT))+IF(((c_TMAP2OUT)-(c_TMAP1OUT))&gt;=0,1,-1)*QUOTIENT(((c_TMAP2IN)-(c_TMAP1IN)),2))+2147483648,4294967296)-2147483648,((c_TMAP2IN)-(c_TMAP1IN))*(((C110)-(c_TMAP1IN))*((c_TMAP2OUT)-(c_TMAP1OUT))+IF(((c_TMAP2OUT)-(c_TMAP1OUT))&gt;=0,1,-1)*QUOTIENT(((c_TMAP2IN)-(c_TMAP1IN)),2)))&lt;0,-1,0),IF(IF(o_WRAP=1,MOD(((c_TMAP2IN)-(c_TMAP1IN))*(((C110)-(c_TMAP1IN))*((c_TMAP2OUT)-(c_TMAP1OUT))+IF(((c_TMAP2OUT)-(c_TMAP1OUT))&gt;=0,1,-1)*QUOTIENT(((c_TMAP2IN)-(c_TMAP1IN)),2))+2147483648,4294967296)-2147483648,((c_TMAP2IN)-(c_TMAP1IN))*(((C110)-(c_TMAP1IN))*((c_TMAP2OUT)-(c_TMAP1OUT))+IF(((c_TMAP2OUT)-(c_TMAP1OUT))&gt;=0,1,-1)*QUOTIENT(((c_TMAP2IN)-(c_TMAP1IN)),2)))&gt;=0,1,0)))</f>
        <v>30</v>
      </c>
      <c r="G110" s="7" t="n">
        <f aca="false">IF(((c_TMAP3IN)-(c_TMAP2IN))=0,(c_TMAP2OUT)+QUOTIENT(((c_TMAP3OUT)-(c_TMAP2OUT)),2),QUOTIENT((((C110)-(c_TMAP2IN))*((c_TMAP3OUT)-(c_TMAP2OUT))+IF(((c_TMAP3OUT)-(c_TMAP2OUT))&gt;=0,1,-1)*QUOTIENT(((c_TMAP3IN)-(c_TMAP2IN)),2)),((c_TMAP3IN)-(c_TMAP2IN)))+(c_TMAP2OUT)+IF(((c_TMAP3OUT)-(c_TMAP2OUT))&gt;=0,IF(IF(o_WRAP=1,MOD(((c_TMAP3IN)-(c_TMAP2IN))*(((C110)-(c_TMAP2IN))*((c_TMAP3OUT)-(c_TMAP2OUT))+IF(((c_TMAP3OUT)-(c_TMAP2OUT))&gt;=0,1,-1)*QUOTIENT(((c_TMAP3IN)-(c_TMAP2IN)),2))+2147483648,4294967296)-2147483648,((c_TMAP3IN)-(c_TMAP2IN))*(((C110)-(c_TMAP2IN))*((c_TMAP3OUT)-(c_TMAP2OUT))+IF(((c_TMAP3OUT)-(c_TMAP2OUT))&gt;=0,1,-1)*QUOTIENT(((c_TMAP3IN)-(c_TMAP2IN)),2)))&lt;0,-1,0),IF(IF(o_WRAP=1,MOD(((c_TMAP3IN)-(c_TMAP2IN))*(((C110)-(c_TMAP2IN))*((c_TMAP3OUT)-(c_TMAP2OUT))+IF(((c_TMAP3OUT)-(c_TMAP2OUT))&gt;=0,1,-1)*QUOTIENT(((c_TMAP3IN)-(c_TMAP2IN)),2))+2147483648,4294967296)-2147483648,((c_TMAP3IN)-(c_TMAP2IN))*(((C110)-(c_TMAP2IN))*((c_TMAP3OUT)-(c_TMAP2OUT))+IF(((c_TMAP3OUT)-(c_TMAP2OUT))&gt;=0,1,-1)*QUOTIENT(((c_TMAP3IN)-(c_TMAP2IN)),2)))&gt;=0,1,0)))</f>
        <v>-45</v>
      </c>
      <c r="H110" s="7" t="n">
        <f aca="false">IF(((1000)-(c_TMAP3IN))=0,(c_TMAP3OUT)+QUOTIENT(((1000)-(c_TMAP3OUT)),2),QUOTIENT((((C110)-(c_TMAP3IN))*((1000)-(c_TMAP3OUT))+IF(((1000)-(c_TMAP3OUT))&gt;=0,1,-1)*QUOTIENT(((1000)-(c_TMAP3IN)),2)),((1000)-(c_TMAP3IN)))+(c_TMAP3OUT)+IF(((1000)-(c_TMAP3OUT))&gt;=0,IF(IF(o_WRAP=1,MOD(((1000)-(c_TMAP3IN))*(((C110)-(c_TMAP3IN))*((1000)-(c_TMAP3OUT))+IF(((1000)-(c_TMAP3OUT))&gt;=0,1,-1)*QUOTIENT(((1000)-(c_TMAP3IN)),2))+2147483648,4294967296)-2147483648,((1000)-(c_TMAP3IN))*(((C110)-(c_TMAP3IN))*((1000)-(c_TMAP3OUT))+IF(((1000)-(c_TMAP3OUT))&gt;=0,1,-1)*QUOTIENT(((1000)-(c_TMAP3IN)),2)))&lt;0,-1,0),IF(IF(o_WRAP=1,MOD(((1000)-(c_TMAP3IN))*(((C110)-(c_TMAP3IN))*((1000)-(c_TMAP3OUT))+IF(((1000)-(c_TMAP3OUT))&gt;=0,1,-1)*QUOTIENT(((1000)-(c_TMAP3IN)),2))+2147483648,4294967296)-2147483648,((1000)-(c_TMAP3IN))*(((C110)-(c_TMAP3IN))*((1000)-(c_TMAP3OUT))+IF(((1000)-(c_TMAP3OUT))&gt;=0,1,-1)*QUOTIENT(((1000)-(c_TMAP3IN)),2)))&gt;=0,1,0)))</f>
        <v>-231</v>
      </c>
      <c r="I110" s="7" t="n">
        <f aca="false">IF(C110&gt;=c_TFWD,IF(AND(C110&gt;=c_TMAP3IN,c_TMAP3IN&lt;1000),H110,IF(AND(C110&gt;=c_TMAP2IN,c_TMAP3IN&gt;c_TMAP2IN),G110,IF(AND(C110&gt;=c_TMAP1IN,c_TMAP2IN&gt;c_TMAP1IN),F110,E110))),D110)</f>
        <v>-350</v>
      </c>
      <c r="J110" s="7" t="str">
        <f aca="false">IF(I110&lt;-1090,"TOO LOW",IF(I110&gt;1090,"TOO HIGH",""))</f>
        <v/>
      </c>
      <c r="K110" s="7" t="n">
        <f aca="false">IF(J110&lt;&gt;"",0,IF(I110&gt;979,1000,I110))</f>
        <v>-350</v>
      </c>
      <c r="L110" s="7" t="n">
        <f aca="false">IF(OR(c_TSMOOTH=0,K110&gt;=c_TSMOOTHCUT),1,0)</f>
        <v>0</v>
      </c>
      <c r="M110" s="7" t="n">
        <f aca="false">IF(L110=1,0,M109+1)</f>
        <v>24</v>
      </c>
      <c r="N110" s="7" t="n">
        <f aca="false">IF(L110=1,0,MIN(M110,c_TSMOOTH))</f>
        <v>24</v>
      </c>
      <c r="O110" s="7" t="n">
        <f aca="false">IF(COUNTIF($L$5:L110,1)&gt;0,c_TSMOOTHCUT,0)</f>
        <v>400</v>
      </c>
      <c r="P110" s="15" t="n">
        <f aca="true">IF(L110=1,K110,QUOTIENT(SUM(OFFSET(K110,1-N110,0,N110,1))+(c_TSMOOTH-N110)*O110,c_TSMOOTH))</f>
        <v>-166</v>
      </c>
      <c r="Q110" s="7" t="n">
        <f aca="false">K110/10</f>
        <v>-35</v>
      </c>
      <c r="R110" s="7" t="n">
        <f aca="false">P110/10</f>
        <v>-16.6</v>
      </c>
    </row>
    <row r="111" customFormat="false" ht="15" hidden="false" customHeight="false" outlineLevel="0" collapsed="false">
      <c r="A111" s="7" t="n">
        <v>106</v>
      </c>
      <c r="B111" s="7" t="n">
        <f aca="false">A111*0.04</f>
        <v>4.24</v>
      </c>
      <c r="C111" s="18" t="n">
        <v>0</v>
      </c>
      <c r="D111" s="7" t="n">
        <f aca="false">IF(AND(C111=0,c_TCREEP&gt;0),10*c_TCREEP,IF(AND(C111&lt;=c_TRNGMIN,C111&gt;=c_TRNGMAX,c_TRNGMIN-c_TRNGMAX&lt;&gt;0),-10*c_TMINRN+QUOTIENT((c_TMAXRN-c_TMINRN)*(100-QUOTIENT((C111-c_TRNGMAX)*100,c_TRNGMIN-c_TRNGMAX)),-10),0))</f>
        <v>-350</v>
      </c>
      <c r="E111" s="7" t="n">
        <f aca="false">IF(((c_TMAP1IN)-(c_TFWD))=0,(0)+QUOTIENT(((c_TMAP1OUT)-(0)),2),QUOTIENT((((C111)-(c_TFWD))*((c_TMAP1OUT)-(0))+IF(((c_TMAP1OUT)-(0))&gt;=0,1,-1)*QUOTIENT(((c_TMAP1IN)-(c_TFWD)),2)),((c_TMAP1IN)-(c_TFWD)))+(0)+IF(((c_TMAP1OUT)-(0))&gt;=0,IF(IF(o_WRAP=1,MOD(((c_TMAP1IN)-(c_TFWD))*(((C111)-(c_TFWD))*((c_TMAP1OUT)-(0))+IF(((c_TMAP1OUT)-(0))&gt;=0,1,-1)*QUOTIENT(((c_TMAP1IN)-(c_TFWD)),2))+2147483648,4294967296)-2147483648,((c_TMAP1IN)-(c_TFWD))*(((C111)-(c_TFWD))*((c_TMAP1OUT)-(0))+IF(((c_TMAP1OUT)-(0))&gt;=0,1,-1)*QUOTIENT(((c_TMAP1IN)-(c_TFWD)),2)))&lt;0,-1,0),IF(IF(o_WRAP=1,MOD(((c_TMAP1IN)-(c_TFWD))*(((C111)-(c_TFWD))*((c_TMAP1OUT)-(0))+IF(((c_TMAP1OUT)-(0))&gt;=0,1,-1)*QUOTIENT(((c_TMAP1IN)-(c_TFWD)),2))+2147483648,4294967296)-2147483648,((c_TMAP1IN)-(c_TFWD))*(((C111)-(c_TFWD))*((c_TMAP1OUT)-(0))+IF(((c_TMAP1OUT)-(0))&gt;=0,1,-1)*QUOTIENT(((c_TMAP1IN)-(c_TFWD)),2)))&gt;=0,1,0)))</f>
        <v>-8</v>
      </c>
      <c r="F111" s="7" t="n">
        <f aca="false">IF(((c_TMAP2IN)-(c_TMAP1IN))=0,(c_TMAP1OUT)+QUOTIENT(((c_TMAP2OUT)-(c_TMAP1OUT)),2),QUOTIENT((((C111)-(c_TMAP1IN))*((c_TMAP2OUT)-(c_TMAP1OUT))+IF(((c_TMAP2OUT)-(c_TMAP1OUT))&gt;=0,1,-1)*QUOTIENT(((c_TMAP2IN)-(c_TMAP1IN)),2)),((c_TMAP2IN)-(c_TMAP1IN)))+(c_TMAP1OUT)+IF(((c_TMAP2OUT)-(c_TMAP1OUT))&gt;=0,IF(IF(o_WRAP=1,MOD(((c_TMAP2IN)-(c_TMAP1IN))*(((C111)-(c_TMAP1IN))*((c_TMAP2OUT)-(c_TMAP1OUT))+IF(((c_TMAP2OUT)-(c_TMAP1OUT))&gt;=0,1,-1)*QUOTIENT(((c_TMAP2IN)-(c_TMAP1IN)),2))+2147483648,4294967296)-2147483648,((c_TMAP2IN)-(c_TMAP1IN))*(((C111)-(c_TMAP1IN))*((c_TMAP2OUT)-(c_TMAP1OUT))+IF(((c_TMAP2OUT)-(c_TMAP1OUT))&gt;=0,1,-1)*QUOTIENT(((c_TMAP2IN)-(c_TMAP1IN)),2)))&lt;0,-1,0),IF(IF(o_WRAP=1,MOD(((c_TMAP2IN)-(c_TMAP1IN))*(((C111)-(c_TMAP1IN))*((c_TMAP2OUT)-(c_TMAP1OUT))+IF(((c_TMAP2OUT)-(c_TMAP1OUT))&gt;=0,1,-1)*QUOTIENT(((c_TMAP2IN)-(c_TMAP1IN)),2))+2147483648,4294967296)-2147483648,((c_TMAP2IN)-(c_TMAP1IN))*(((C111)-(c_TMAP1IN))*((c_TMAP2OUT)-(c_TMAP1OUT))+IF(((c_TMAP2OUT)-(c_TMAP1OUT))&gt;=0,1,-1)*QUOTIENT(((c_TMAP2IN)-(c_TMAP1IN)),2)))&gt;=0,1,0)))</f>
        <v>30</v>
      </c>
      <c r="G111" s="7" t="n">
        <f aca="false">IF(((c_TMAP3IN)-(c_TMAP2IN))=0,(c_TMAP2OUT)+QUOTIENT(((c_TMAP3OUT)-(c_TMAP2OUT)),2),QUOTIENT((((C111)-(c_TMAP2IN))*((c_TMAP3OUT)-(c_TMAP2OUT))+IF(((c_TMAP3OUT)-(c_TMAP2OUT))&gt;=0,1,-1)*QUOTIENT(((c_TMAP3IN)-(c_TMAP2IN)),2)),((c_TMAP3IN)-(c_TMAP2IN)))+(c_TMAP2OUT)+IF(((c_TMAP3OUT)-(c_TMAP2OUT))&gt;=0,IF(IF(o_WRAP=1,MOD(((c_TMAP3IN)-(c_TMAP2IN))*(((C111)-(c_TMAP2IN))*((c_TMAP3OUT)-(c_TMAP2OUT))+IF(((c_TMAP3OUT)-(c_TMAP2OUT))&gt;=0,1,-1)*QUOTIENT(((c_TMAP3IN)-(c_TMAP2IN)),2))+2147483648,4294967296)-2147483648,((c_TMAP3IN)-(c_TMAP2IN))*(((C111)-(c_TMAP2IN))*((c_TMAP3OUT)-(c_TMAP2OUT))+IF(((c_TMAP3OUT)-(c_TMAP2OUT))&gt;=0,1,-1)*QUOTIENT(((c_TMAP3IN)-(c_TMAP2IN)),2)))&lt;0,-1,0),IF(IF(o_WRAP=1,MOD(((c_TMAP3IN)-(c_TMAP2IN))*(((C111)-(c_TMAP2IN))*((c_TMAP3OUT)-(c_TMAP2OUT))+IF(((c_TMAP3OUT)-(c_TMAP2OUT))&gt;=0,1,-1)*QUOTIENT(((c_TMAP3IN)-(c_TMAP2IN)),2))+2147483648,4294967296)-2147483648,((c_TMAP3IN)-(c_TMAP2IN))*(((C111)-(c_TMAP2IN))*((c_TMAP3OUT)-(c_TMAP2OUT))+IF(((c_TMAP3OUT)-(c_TMAP2OUT))&gt;=0,1,-1)*QUOTIENT(((c_TMAP3IN)-(c_TMAP2IN)),2)))&gt;=0,1,0)))</f>
        <v>-45</v>
      </c>
      <c r="H111" s="7" t="n">
        <f aca="false">IF(((1000)-(c_TMAP3IN))=0,(c_TMAP3OUT)+QUOTIENT(((1000)-(c_TMAP3OUT)),2),QUOTIENT((((C111)-(c_TMAP3IN))*((1000)-(c_TMAP3OUT))+IF(((1000)-(c_TMAP3OUT))&gt;=0,1,-1)*QUOTIENT(((1000)-(c_TMAP3IN)),2)),((1000)-(c_TMAP3IN)))+(c_TMAP3OUT)+IF(((1000)-(c_TMAP3OUT))&gt;=0,IF(IF(o_WRAP=1,MOD(((1000)-(c_TMAP3IN))*(((C111)-(c_TMAP3IN))*((1000)-(c_TMAP3OUT))+IF(((1000)-(c_TMAP3OUT))&gt;=0,1,-1)*QUOTIENT(((1000)-(c_TMAP3IN)),2))+2147483648,4294967296)-2147483648,((1000)-(c_TMAP3IN))*(((C111)-(c_TMAP3IN))*((1000)-(c_TMAP3OUT))+IF(((1000)-(c_TMAP3OUT))&gt;=0,1,-1)*QUOTIENT(((1000)-(c_TMAP3IN)),2)))&lt;0,-1,0),IF(IF(o_WRAP=1,MOD(((1000)-(c_TMAP3IN))*(((C111)-(c_TMAP3IN))*((1000)-(c_TMAP3OUT))+IF(((1000)-(c_TMAP3OUT))&gt;=0,1,-1)*QUOTIENT(((1000)-(c_TMAP3IN)),2))+2147483648,4294967296)-2147483648,((1000)-(c_TMAP3IN))*(((C111)-(c_TMAP3IN))*((1000)-(c_TMAP3OUT))+IF(((1000)-(c_TMAP3OUT))&gt;=0,1,-1)*QUOTIENT(((1000)-(c_TMAP3IN)),2)))&gt;=0,1,0)))</f>
        <v>-231</v>
      </c>
      <c r="I111" s="7" t="n">
        <f aca="false">IF(C111&gt;=c_TFWD,IF(AND(C111&gt;=c_TMAP3IN,c_TMAP3IN&lt;1000),H111,IF(AND(C111&gt;=c_TMAP2IN,c_TMAP3IN&gt;c_TMAP2IN),G111,IF(AND(C111&gt;=c_TMAP1IN,c_TMAP2IN&gt;c_TMAP1IN),F111,E111))),D111)</f>
        <v>-350</v>
      </c>
      <c r="J111" s="7" t="str">
        <f aca="false">IF(I111&lt;-1090,"TOO LOW",IF(I111&gt;1090,"TOO HIGH",""))</f>
        <v/>
      </c>
      <c r="K111" s="7" t="n">
        <f aca="false">IF(J111&lt;&gt;"",0,IF(I111&gt;979,1000,I111))</f>
        <v>-350</v>
      </c>
      <c r="L111" s="7" t="n">
        <f aca="false">IF(OR(c_TSMOOTH=0,K111&gt;=c_TSMOOTHCUT),1,0)</f>
        <v>0</v>
      </c>
      <c r="M111" s="7" t="n">
        <f aca="false">IF(L111=1,0,M110+1)</f>
        <v>25</v>
      </c>
      <c r="N111" s="7" t="n">
        <f aca="false">IF(L111=1,0,MIN(M111,c_TSMOOTH))</f>
        <v>25</v>
      </c>
      <c r="O111" s="7" t="n">
        <f aca="false">IF(COUNTIF($L$5:L111,1)&gt;0,c_TSMOOTHCUT,0)</f>
        <v>400</v>
      </c>
      <c r="P111" s="15" t="n">
        <f aca="true">IF(L111=1,K111,QUOTIENT(SUM(OFFSET(K111,1-N111,0,N111,1))+(c_TSMOOTH-N111)*O111,c_TSMOOTH))</f>
        <v>-191</v>
      </c>
      <c r="Q111" s="7" t="n">
        <f aca="false">K111/10</f>
        <v>-35</v>
      </c>
      <c r="R111" s="7" t="n">
        <f aca="false">P111/10</f>
        <v>-19.1</v>
      </c>
    </row>
    <row r="112" customFormat="false" ht="15" hidden="false" customHeight="false" outlineLevel="0" collapsed="false">
      <c r="A112" s="7" t="n">
        <v>107</v>
      </c>
      <c r="B112" s="7" t="n">
        <f aca="false">A112*0.04</f>
        <v>4.28</v>
      </c>
      <c r="C112" s="18" t="n">
        <v>0</v>
      </c>
      <c r="D112" s="7" t="n">
        <f aca="false">IF(AND(C112=0,c_TCREEP&gt;0),10*c_TCREEP,IF(AND(C112&lt;=c_TRNGMIN,C112&gt;=c_TRNGMAX,c_TRNGMIN-c_TRNGMAX&lt;&gt;0),-10*c_TMINRN+QUOTIENT((c_TMAXRN-c_TMINRN)*(100-QUOTIENT((C112-c_TRNGMAX)*100,c_TRNGMIN-c_TRNGMAX)),-10),0))</f>
        <v>-350</v>
      </c>
      <c r="E112" s="7" t="n">
        <f aca="false">IF(((c_TMAP1IN)-(c_TFWD))=0,(0)+QUOTIENT(((c_TMAP1OUT)-(0)),2),QUOTIENT((((C112)-(c_TFWD))*((c_TMAP1OUT)-(0))+IF(((c_TMAP1OUT)-(0))&gt;=0,1,-1)*QUOTIENT(((c_TMAP1IN)-(c_TFWD)),2)),((c_TMAP1IN)-(c_TFWD)))+(0)+IF(((c_TMAP1OUT)-(0))&gt;=0,IF(IF(o_WRAP=1,MOD(((c_TMAP1IN)-(c_TFWD))*(((C112)-(c_TFWD))*((c_TMAP1OUT)-(0))+IF(((c_TMAP1OUT)-(0))&gt;=0,1,-1)*QUOTIENT(((c_TMAP1IN)-(c_TFWD)),2))+2147483648,4294967296)-2147483648,((c_TMAP1IN)-(c_TFWD))*(((C112)-(c_TFWD))*((c_TMAP1OUT)-(0))+IF(((c_TMAP1OUT)-(0))&gt;=0,1,-1)*QUOTIENT(((c_TMAP1IN)-(c_TFWD)),2)))&lt;0,-1,0),IF(IF(o_WRAP=1,MOD(((c_TMAP1IN)-(c_TFWD))*(((C112)-(c_TFWD))*((c_TMAP1OUT)-(0))+IF(((c_TMAP1OUT)-(0))&gt;=0,1,-1)*QUOTIENT(((c_TMAP1IN)-(c_TFWD)),2))+2147483648,4294967296)-2147483648,((c_TMAP1IN)-(c_TFWD))*(((C112)-(c_TFWD))*((c_TMAP1OUT)-(0))+IF(((c_TMAP1OUT)-(0))&gt;=0,1,-1)*QUOTIENT(((c_TMAP1IN)-(c_TFWD)),2)))&gt;=0,1,0)))</f>
        <v>-8</v>
      </c>
      <c r="F112" s="7" t="n">
        <f aca="false">IF(((c_TMAP2IN)-(c_TMAP1IN))=0,(c_TMAP1OUT)+QUOTIENT(((c_TMAP2OUT)-(c_TMAP1OUT)),2),QUOTIENT((((C112)-(c_TMAP1IN))*((c_TMAP2OUT)-(c_TMAP1OUT))+IF(((c_TMAP2OUT)-(c_TMAP1OUT))&gt;=0,1,-1)*QUOTIENT(((c_TMAP2IN)-(c_TMAP1IN)),2)),((c_TMAP2IN)-(c_TMAP1IN)))+(c_TMAP1OUT)+IF(((c_TMAP2OUT)-(c_TMAP1OUT))&gt;=0,IF(IF(o_WRAP=1,MOD(((c_TMAP2IN)-(c_TMAP1IN))*(((C112)-(c_TMAP1IN))*((c_TMAP2OUT)-(c_TMAP1OUT))+IF(((c_TMAP2OUT)-(c_TMAP1OUT))&gt;=0,1,-1)*QUOTIENT(((c_TMAP2IN)-(c_TMAP1IN)),2))+2147483648,4294967296)-2147483648,((c_TMAP2IN)-(c_TMAP1IN))*(((C112)-(c_TMAP1IN))*((c_TMAP2OUT)-(c_TMAP1OUT))+IF(((c_TMAP2OUT)-(c_TMAP1OUT))&gt;=0,1,-1)*QUOTIENT(((c_TMAP2IN)-(c_TMAP1IN)),2)))&lt;0,-1,0),IF(IF(o_WRAP=1,MOD(((c_TMAP2IN)-(c_TMAP1IN))*(((C112)-(c_TMAP1IN))*((c_TMAP2OUT)-(c_TMAP1OUT))+IF(((c_TMAP2OUT)-(c_TMAP1OUT))&gt;=0,1,-1)*QUOTIENT(((c_TMAP2IN)-(c_TMAP1IN)),2))+2147483648,4294967296)-2147483648,((c_TMAP2IN)-(c_TMAP1IN))*(((C112)-(c_TMAP1IN))*((c_TMAP2OUT)-(c_TMAP1OUT))+IF(((c_TMAP2OUT)-(c_TMAP1OUT))&gt;=0,1,-1)*QUOTIENT(((c_TMAP2IN)-(c_TMAP1IN)),2)))&gt;=0,1,0)))</f>
        <v>30</v>
      </c>
      <c r="G112" s="7" t="n">
        <f aca="false">IF(((c_TMAP3IN)-(c_TMAP2IN))=0,(c_TMAP2OUT)+QUOTIENT(((c_TMAP3OUT)-(c_TMAP2OUT)),2),QUOTIENT((((C112)-(c_TMAP2IN))*((c_TMAP3OUT)-(c_TMAP2OUT))+IF(((c_TMAP3OUT)-(c_TMAP2OUT))&gt;=0,1,-1)*QUOTIENT(((c_TMAP3IN)-(c_TMAP2IN)),2)),((c_TMAP3IN)-(c_TMAP2IN)))+(c_TMAP2OUT)+IF(((c_TMAP3OUT)-(c_TMAP2OUT))&gt;=0,IF(IF(o_WRAP=1,MOD(((c_TMAP3IN)-(c_TMAP2IN))*(((C112)-(c_TMAP2IN))*((c_TMAP3OUT)-(c_TMAP2OUT))+IF(((c_TMAP3OUT)-(c_TMAP2OUT))&gt;=0,1,-1)*QUOTIENT(((c_TMAP3IN)-(c_TMAP2IN)),2))+2147483648,4294967296)-2147483648,((c_TMAP3IN)-(c_TMAP2IN))*(((C112)-(c_TMAP2IN))*((c_TMAP3OUT)-(c_TMAP2OUT))+IF(((c_TMAP3OUT)-(c_TMAP2OUT))&gt;=0,1,-1)*QUOTIENT(((c_TMAP3IN)-(c_TMAP2IN)),2)))&lt;0,-1,0),IF(IF(o_WRAP=1,MOD(((c_TMAP3IN)-(c_TMAP2IN))*(((C112)-(c_TMAP2IN))*((c_TMAP3OUT)-(c_TMAP2OUT))+IF(((c_TMAP3OUT)-(c_TMAP2OUT))&gt;=0,1,-1)*QUOTIENT(((c_TMAP3IN)-(c_TMAP2IN)),2))+2147483648,4294967296)-2147483648,((c_TMAP3IN)-(c_TMAP2IN))*(((C112)-(c_TMAP2IN))*((c_TMAP3OUT)-(c_TMAP2OUT))+IF(((c_TMAP3OUT)-(c_TMAP2OUT))&gt;=0,1,-1)*QUOTIENT(((c_TMAP3IN)-(c_TMAP2IN)),2)))&gt;=0,1,0)))</f>
        <v>-45</v>
      </c>
      <c r="H112" s="7" t="n">
        <f aca="false">IF(((1000)-(c_TMAP3IN))=0,(c_TMAP3OUT)+QUOTIENT(((1000)-(c_TMAP3OUT)),2),QUOTIENT((((C112)-(c_TMAP3IN))*((1000)-(c_TMAP3OUT))+IF(((1000)-(c_TMAP3OUT))&gt;=0,1,-1)*QUOTIENT(((1000)-(c_TMAP3IN)),2)),((1000)-(c_TMAP3IN)))+(c_TMAP3OUT)+IF(((1000)-(c_TMAP3OUT))&gt;=0,IF(IF(o_WRAP=1,MOD(((1000)-(c_TMAP3IN))*(((C112)-(c_TMAP3IN))*((1000)-(c_TMAP3OUT))+IF(((1000)-(c_TMAP3OUT))&gt;=0,1,-1)*QUOTIENT(((1000)-(c_TMAP3IN)),2))+2147483648,4294967296)-2147483648,((1000)-(c_TMAP3IN))*(((C112)-(c_TMAP3IN))*((1000)-(c_TMAP3OUT))+IF(((1000)-(c_TMAP3OUT))&gt;=0,1,-1)*QUOTIENT(((1000)-(c_TMAP3IN)),2)))&lt;0,-1,0),IF(IF(o_WRAP=1,MOD(((1000)-(c_TMAP3IN))*(((C112)-(c_TMAP3IN))*((1000)-(c_TMAP3OUT))+IF(((1000)-(c_TMAP3OUT))&gt;=0,1,-1)*QUOTIENT(((1000)-(c_TMAP3IN)),2))+2147483648,4294967296)-2147483648,((1000)-(c_TMAP3IN))*(((C112)-(c_TMAP3IN))*((1000)-(c_TMAP3OUT))+IF(((1000)-(c_TMAP3OUT))&gt;=0,1,-1)*QUOTIENT(((1000)-(c_TMAP3IN)),2)))&gt;=0,1,0)))</f>
        <v>-231</v>
      </c>
      <c r="I112" s="7" t="n">
        <f aca="false">IF(C112&gt;=c_TFWD,IF(AND(C112&gt;=c_TMAP3IN,c_TMAP3IN&lt;1000),H112,IF(AND(C112&gt;=c_TMAP2IN,c_TMAP3IN&gt;c_TMAP2IN),G112,IF(AND(C112&gt;=c_TMAP1IN,c_TMAP2IN&gt;c_TMAP1IN),F112,E112))),D112)</f>
        <v>-350</v>
      </c>
      <c r="J112" s="7" t="str">
        <f aca="false">IF(I112&lt;-1090,"TOO LOW",IF(I112&gt;1090,"TOO HIGH",""))</f>
        <v/>
      </c>
      <c r="K112" s="7" t="n">
        <f aca="false">IF(J112&lt;&gt;"",0,IF(I112&gt;979,1000,I112))</f>
        <v>-350</v>
      </c>
      <c r="L112" s="7" t="n">
        <f aca="false">IF(OR(c_TSMOOTH=0,K112&gt;=c_TSMOOTHCUT),1,0)</f>
        <v>0</v>
      </c>
      <c r="M112" s="7" t="n">
        <f aca="false">IF(L112=1,0,M111+1)</f>
        <v>26</v>
      </c>
      <c r="N112" s="7" t="n">
        <f aca="false">IF(L112=1,0,MIN(M112,c_TSMOOTH))</f>
        <v>26</v>
      </c>
      <c r="O112" s="7" t="n">
        <f aca="false">IF(COUNTIF($L$5:L112,1)&gt;0,c_TSMOOTHCUT,0)</f>
        <v>400</v>
      </c>
      <c r="P112" s="15" t="n">
        <f aca="true">IF(L112=1,K112,QUOTIENT(SUM(OFFSET(K112,1-N112,0,N112,1))+(c_TSMOOTH-N112)*O112,c_TSMOOTH))</f>
        <v>-216</v>
      </c>
      <c r="Q112" s="7" t="n">
        <f aca="false">K112/10</f>
        <v>-35</v>
      </c>
      <c r="R112" s="7" t="n">
        <f aca="false">P112/10</f>
        <v>-21.6</v>
      </c>
    </row>
    <row r="113" customFormat="false" ht="15" hidden="false" customHeight="false" outlineLevel="0" collapsed="false">
      <c r="A113" s="7" t="n">
        <v>108</v>
      </c>
      <c r="B113" s="7" t="n">
        <f aca="false">A113*0.04</f>
        <v>4.32</v>
      </c>
      <c r="C113" s="18" t="n">
        <v>0</v>
      </c>
      <c r="D113" s="7" t="n">
        <f aca="false">IF(AND(C113=0,c_TCREEP&gt;0),10*c_TCREEP,IF(AND(C113&lt;=c_TRNGMIN,C113&gt;=c_TRNGMAX,c_TRNGMIN-c_TRNGMAX&lt;&gt;0),-10*c_TMINRN+QUOTIENT((c_TMAXRN-c_TMINRN)*(100-QUOTIENT((C113-c_TRNGMAX)*100,c_TRNGMIN-c_TRNGMAX)),-10),0))</f>
        <v>-350</v>
      </c>
      <c r="E113" s="7" t="n">
        <f aca="false">IF(((c_TMAP1IN)-(c_TFWD))=0,(0)+QUOTIENT(((c_TMAP1OUT)-(0)),2),QUOTIENT((((C113)-(c_TFWD))*((c_TMAP1OUT)-(0))+IF(((c_TMAP1OUT)-(0))&gt;=0,1,-1)*QUOTIENT(((c_TMAP1IN)-(c_TFWD)),2)),((c_TMAP1IN)-(c_TFWD)))+(0)+IF(((c_TMAP1OUT)-(0))&gt;=0,IF(IF(o_WRAP=1,MOD(((c_TMAP1IN)-(c_TFWD))*(((C113)-(c_TFWD))*((c_TMAP1OUT)-(0))+IF(((c_TMAP1OUT)-(0))&gt;=0,1,-1)*QUOTIENT(((c_TMAP1IN)-(c_TFWD)),2))+2147483648,4294967296)-2147483648,((c_TMAP1IN)-(c_TFWD))*(((C113)-(c_TFWD))*((c_TMAP1OUT)-(0))+IF(((c_TMAP1OUT)-(0))&gt;=0,1,-1)*QUOTIENT(((c_TMAP1IN)-(c_TFWD)),2)))&lt;0,-1,0),IF(IF(o_WRAP=1,MOD(((c_TMAP1IN)-(c_TFWD))*(((C113)-(c_TFWD))*((c_TMAP1OUT)-(0))+IF(((c_TMAP1OUT)-(0))&gt;=0,1,-1)*QUOTIENT(((c_TMAP1IN)-(c_TFWD)),2))+2147483648,4294967296)-2147483648,((c_TMAP1IN)-(c_TFWD))*(((C113)-(c_TFWD))*((c_TMAP1OUT)-(0))+IF(((c_TMAP1OUT)-(0))&gt;=0,1,-1)*QUOTIENT(((c_TMAP1IN)-(c_TFWD)),2)))&gt;=0,1,0)))</f>
        <v>-8</v>
      </c>
      <c r="F113" s="7" t="n">
        <f aca="false">IF(((c_TMAP2IN)-(c_TMAP1IN))=0,(c_TMAP1OUT)+QUOTIENT(((c_TMAP2OUT)-(c_TMAP1OUT)),2),QUOTIENT((((C113)-(c_TMAP1IN))*((c_TMAP2OUT)-(c_TMAP1OUT))+IF(((c_TMAP2OUT)-(c_TMAP1OUT))&gt;=0,1,-1)*QUOTIENT(((c_TMAP2IN)-(c_TMAP1IN)),2)),((c_TMAP2IN)-(c_TMAP1IN)))+(c_TMAP1OUT)+IF(((c_TMAP2OUT)-(c_TMAP1OUT))&gt;=0,IF(IF(o_WRAP=1,MOD(((c_TMAP2IN)-(c_TMAP1IN))*(((C113)-(c_TMAP1IN))*((c_TMAP2OUT)-(c_TMAP1OUT))+IF(((c_TMAP2OUT)-(c_TMAP1OUT))&gt;=0,1,-1)*QUOTIENT(((c_TMAP2IN)-(c_TMAP1IN)),2))+2147483648,4294967296)-2147483648,((c_TMAP2IN)-(c_TMAP1IN))*(((C113)-(c_TMAP1IN))*((c_TMAP2OUT)-(c_TMAP1OUT))+IF(((c_TMAP2OUT)-(c_TMAP1OUT))&gt;=0,1,-1)*QUOTIENT(((c_TMAP2IN)-(c_TMAP1IN)),2)))&lt;0,-1,0),IF(IF(o_WRAP=1,MOD(((c_TMAP2IN)-(c_TMAP1IN))*(((C113)-(c_TMAP1IN))*((c_TMAP2OUT)-(c_TMAP1OUT))+IF(((c_TMAP2OUT)-(c_TMAP1OUT))&gt;=0,1,-1)*QUOTIENT(((c_TMAP2IN)-(c_TMAP1IN)),2))+2147483648,4294967296)-2147483648,((c_TMAP2IN)-(c_TMAP1IN))*(((C113)-(c_TMAP1IN))*((c_TMAP2OUT)-(c_TMAP1OUT))+IF(((c_TMAP2OUT)-(c_TMAP1OUT))&gt;=0,1,-1)*QUOTIENT(((c_TMAP2IN)-(c_TMAP1IN)),2)))&gt;=0,1,0)))</f>
        <v>30</v>
      </c>
      <c r="G113" s="7" t="n">
        <f aca="false">IF(((c_TMAP3IN)-(c_TMAP2IN))=0,(c_TMAP2OUT)+QUOTIENT(((c_TMAP3OUT)-(c_TMAP2OUT)),2),QUOTIENT((((C113)-(c_TMAP2IN))*((c_TMAP3OUT)-(c_TMAP2OUT))+IF(((c_TMAP3OUT)-(c_TMAP2OUT))&gt;=0,1,-1)*QUOTIENT(((c_TMAP3IN)-(c_TMAP2IN)),2)),((c_TMAP3IN)-(c_TMAP2IN)))+(c_TMAP2OUT)+IF(((c_TMAP3OUT)-(c_TMAP2OUT))&gt;=0,IF(IF(o_WRAP=1,MOD(((c_TMAP3IN)-(c_TMAP2IN))*(((C113)-(c_TMAP2IN))*((c_TMAP3OUT)-(c_TMAP2OUT))+IF(((c_TMAP3OUT)-(c_TMAP2OUT))&gt;=0,1,-1)*QUOTIENT(((c_TMAP3IN)-(c_TMAP2IN)),2))+2147483648,4294967296)-2147483648,((c_TMAP3IN)-(c_TMAP2IN))*(((C113)-(c_TMAP2IN))*((c_TMAP3OUT)-(c_TMAP2OUT))+IF(((c_TMAP3OUT)-(c_TMAP2OUT))&gt;=0,1,-1)*QUOTIENT(((c_TMAP3IN)-(c_TMAP2IN)),2)))&lt;0,-1,0),IF(IF(o_WRAP=1,MOD(((c_TMAP3IN)-(c_TMAP2IN))*(((C113)-(c_TMAP2IN))*((c_TMAP3OUT)-(c_TMAP2OUT))+IF(((c_TMAP3OUT)-(c_TMAP2OUT))&gt;=0,1,-1)*QUOTIENT(((c_TMAP3IN)-(c_TMAP2IN)),2))+2147483648,4294967296)-2147483648,((c_TMAP3IN)-(c_TMAP2IN))*(((C113)-(c_TMAP2IN))*((c_TMAP3OUT)-(c_TMAP2OUT))+IF(((c_TMAP3OUT)-(c_TMAP2OUT))&gt;=0,1,-1)*QUOTIENT(((c_TMAP3IN)-(c_TMAP2IN)),2)))&gt;=0,1,0)))</f>
        <v>-45</v>
      </c>
      <c r="H113" s="7" t="n">
        <f aca="false">IF(((1000)-(c_TMAP3IN))=0,(c_TMAP3OUT)+QUOTIENT(((1000)-(c_TMAP3OUT)),2),QUOTIENT((((C113)-(c_TMAP3IN))*((1000)-(c_TMAP3OUT))+IF(((1000)-(c_TMAP3OUT))&gt;=0,1,-1)*QUOTIENT(((1000)-(c_TMAP3IN)),2)),((1000)-(c_TMAP3IN)))+(c_TMAP3OUT)+IF(((1000)-(c_TMAP3OUT))&gt;=0,IF(IF(o_WRAP=1,MOD(((1000)-(c_TMAP3IN))*(((C113)-(c_TMAP3IN))*((1000)-(c_TMAP3OUT))+IF(((1000)-(c_TMAP3OUT))&gt;=0,1,-1)*QUOTIENT(((1000)-(c_TMAP3IN)),2))+2147483648,4294967296)-2147483648,((1000)-(c_TMAP3IN))*(((C113)-(c_TMAP3IN))*((1000)-(c_TMAP3OUT))+IF(((1000)-(c_TMAP3OUT))&gt;=0,1,-1)*QUOTIENT(((1000)-(c_TMAP3IN)),2)))&lt;0,-1,0),IF(IF(o_WRAP=1,MOD(((1000)-(c_TMAP3IN))*(((C113)-(c_TMAP3IN))*((1000)-(c_TMAP3OUT))+IF(((1000)-(c_TMAP3OUT))&gt;=0,1,-1)*QUOTIENT(((1000)-(c_TMAP3IN)),2))+2147483648,4294967296)-2147483648,((1000)-(c_TMAP3IN))*(((C113)-(c_TMAP3IN))*((1000)-(c_TMAP3OUT))+IF(((1000)-(c_TMAP3OUT))&gt;=0,1,-1)*QUOTIENT(((1000)-(c_TMAP3IN)),2)))&gt;=0,1,0)))</f>
        <v>-231</v>
      </c>
      <c r="I113" s="7" t="n">
        <f aca="false">IF(C113&gt;=c_TFWD,IF(AND(C113&gt;=c_TMAP3IN,c_TMAP3IN&lt;1000),H113,IF(AND(C113&gt;=c_TMAP2IN,c_TMAP3IN&gt;c_TMAP2IN),G113,IF(AND(C113&gt;=c_TMAP1IN,c_TMAP2IN&gt;c_TMAP1IN),F113,E113))),D113)</f>
        <v>-350</v>
      </c>
      <c r="J113" s="7" t="str">
        <f aca="false">IF(I113&lt;-1090,"TOO LOW",IF(I113&gt;1090,"TOO HIGH",""))</f>
        <v/>
      </c>
      <c r="K113" s="7" t="n">
        <f aca="false">IF(J113&lt;&gt;"",0,IF(I113&gt;979,1000,I113))</f>
        <v>-350</v>
      </c>
      <c r="L113" s="7" t="n">
        <f aca="false">IF(OR(c_TSMOOTH=0,K113&gt;=c_TSMOOTHCUT),1,0)</f>
        <v>0</v>
      </c>
      <c r="M113" s="7" t="n">
        <f aca="false">IF(L113=1,0,M112+1)</f>
        <v>27</v>
      </c>
      <c r="N113" s="7" t="n">
        <f aca="false">IF(L113=1,0,MIN(M113,c_TSMOOTH))</f>
        <v>27</v>
      </c>
      <c r="O113" s="7" t="n">
        <f aca="false">IF(COUNTIF($L$5:L113,1)&gt;0,c_TSMOOTHCUT,0)</f>
        <v>400</v>
      </c>
      <c r="P113" s="15" t="n">
        <f aca="true">IF(L113=1,K113,QUOTIENT(SUM(OFFSET(K113,1-N113,0,N113,1))+(c_TSMOOTH-N113)*O113,c_TSMOOTH))</f>
        <v>-241</v>
      </c>
      <c r="Q113" s="7" t="n">
        <f aca="false">K113/10</f>
        <v>-35</v>
      </c>
      <c r="R113" s="7" t="n">
        <f aca="false">P113/10</f>
        <v>-24.1</v>
      </c>
    </row>
    <row r="114" customFormat="false" ht="15" hidden="false" customHeight="false" outlineLevel="0" collapsed="false">
      <c r="A114" s="7" t="n">
        <v>109</v>
      </c>
      <c r="B114" s="7" t="n">
        <f aca="false">A114*0.04</f>
        <v>4.36</v>
      </c>
      <c r="C114" s="18" t="n">
        <v>0</v>
      </c>
      <c r="D114" s="7" t="n">
        <f aca="false">IF(AND(C114=0,c_TCREEP&gt;0),10*c_TCREEP,IF(AND(C114&lt;=c_TRNGMIN,C114&gt;=c_TRNGMAX,c_TRNGMIN-c_TRNGMAX&lt;&gt;0),-10*c_TMINRN+QUOTIENT((c_TMAXRN-c_TMINRN)*(100-QUOTIENT((C114-c_TRNGMAX)*100,c_TRNGMIN-c_TRNGMAX)),-10),0))</f>
        <v>-350</v>
      </c>
      <c r="E114" s="7" t="n">
        <f aca="false">IF(((c_TMAP1IN)-(c_TFWD))=0,(0)+QUOTIENT(((c_TMAP1OUT)-(0)),2),QUOTIENT((((C114)-(c_TFWD))*((c_TMAP1OUT)-(0))+IF(((c_TMAP1OUT)-(0))&gt;=0,1,-1)*QUOTIENT(((c_TMAP1IN)-(c_TFWD)),2)),((c_TMAP1IN)-(c_TFWD)))+(0)+IF(((c_TMAP1OUT)-(0))&gt;=0,IF(IF(o_WRAP=1,MOD(((c_TMAP1IN)-(c_TFWD))*(((C114)-(c_TFWD))*((c_TMAP1OUT)-(0))+IF(((c_TMAP1OUT)-(0))&gt;=0,1,-1)*QUOTIENT(((c_TMAP1IN)-(c_TFWD)),2))+2147483648,4294967296)-2147483648,((c_TMAP1IN)-(c_TFWD))*(((C114)-(c_TFWD))*((c_TMAP1OUT)-(0))+IF(((c_TMAP1OUT)-(0))&gt;=0,1,-1)*QUOTIENT(((c_TMAP1IN)-(c_TFWD)),2)))&lt;0,-1,0),IF(IF(o_WRAP=1,MOD(((c_TMAP1IN)-(c_TFWD))*(((C114)-(c_TFWD))*((c_TMAP1OUT)-(0))+IF(((c_TMAP1OUT)-(0))&gt;=0,1,-1)*QUOTIENT(((c_TMAP1IN)-(c_TFWD)),2))+2147483648,4294967296)-2147483648,((c_TMAP1IN)-(c_TFWD))*(((C114)-(c_TFWD))*((c_TMAP1OUT)-(0))+IF(((c_TMAP1OUT)-(0))&gt;=0,1,-1)*QUOTIENT(((c_TMAP1IN)-(c_TFWD)),2)))&gt;=0,1,0)))</f>
        <v>-8</v>
      </c>
      <c r="F114" s="7" t="n">
        <f aca="false">IF(((c_TMAP2IN)-(c_TMAP1IN))=0,(c_TMAP1OUT)+QUOTIENT(((c_TMAP2OUT)-(c_TMAP1OUT)),2),QUOTIENT((((C114)-(c_TMAP1IN))*((c_TMAP2OUT)-(c_TMAP1OUT))+IF(((c_TMAP2OUT)-(c_TMAP1OUT))&gt;=0,1,-1)*QUOTIENT(((c_TMAP2IN)-(c_TMAP1IN)),2)),((c_TMAP2IN)-(c_TMAP1IN)))+(c_TMAP1OUT)+IF(((c_TMAP2OUT)-(c_TMAP1OUT))&gt;=0,IF(IF(o_WRAP=1,MOD(((c_TMAP2IN)-(c_TMAP1IN))*(((C114)-(c_TMAP1IN))*((c_TMAP2OUT)-(c_TMAP1OUT))+IF(((c_TMAP2OUT)-(c_TMAP1OUT))&gt;=0,1,-1)*QUOTIENT(((c_TMAP2IN)-(c_TMAP1IN)),2))+2147483648,4294967296)-2147483648,((c_TMAP2IN)-(c_TMAP1IN))*(((C114)-(c_TMAP1IN))*((c_TMAP2OUT)-(c_TMAP1OUT))+IF(((c_TMAP2OUT)-(c_TMAP1OUT))&gt;=0,1,-1)*QUOTIENT(((c_TMAP2IN)-(c_TMAP1IN)),2)))&lt;0,-1,0),IF(IF(o_WRAP=1,MOD(((c_TMAP2IN)-(c_TMAP1IN))*(((C114)-(c_TMAP1IN))*((c_TMAP2OUT)-(c_TMAP1OUT))+IF(((c_TMAP2OUT)-(c_TMAP1OUT))&gt;=0,1,-1)*QUOTIENT(((c_TMAP2IN)-(c_TMAP1IN)),2))+2147483648,4294967296)-2147483648,((c_TMAP2IN)-(c_TMAP1IN))*(((C114)-(c_TMAP1IN))*((c_TMAP2OUT)-(c_TMAP1OUT))+IF(((c_TMAP2OUT)-(c_TMAP1OUT))&gt;=0,1,-1)*QUOTIENT(((c_TMAP2IN)-(c_TMAP1IN)),2)))&gt;=0,1,0)))</f>
        <v>30</v>
      </c>
      <c r="G114" s="7" t="n">
        <f aca="false">IF(((c_TMAP3IN)-(c_TMAP2IN))=0,(c_TMAP2OUT)+QUOTIENT(((c_TMAP3OUT)-(c_TMAP2OUT)),2),QUOTIENT((((C114)-(c_TMAP2IN))*((c_TMAP3OUT)-(c_TMAP2OUT))+IF(((c_TMAP3OUT)-(c_TMAP2OUT))&gt;=0,1,-1)*QUOTIENT(((c_TMAP3IN)-(c_TMAP2IN)),2)),((c_TMAP3IN)-(c_TMAP2IN)))+(c_TMAP2OUT)+IF(((c_TMAP3OUT)-(c_TMAP2OUT))&gt;=0,IF(IF(o_WRAP=1,MOD(((c_TMAP3IN)-(c_TMAP2IN))*(((C114)-(c_TMAP2IN))*((c_TMAP3OUT)-(c_TMAP2OUT))+IF(((c_TMAP3OUT)-(c_TMAP2OUT))&gt;=0,1,-1)*QUOTIENT(((c_TMAP3IN)-(c_TMAP2IN)),2))+2147483648,4294967296)-2147483648,((c_TMAP3IN)-(c_TMAP2IN))*(((C114)-(c_TMAP2IN))*((c_TMAP3OUT)-(c_TMAP2OUT))+IF(((c_TMAP3OUT)-(c_TMAP2OUT))&gt;=0,1,-1)*QUOTIENT(((c_TMAP3IN)-(c_TMAP2IN)),2)))&lt;0,-1,0),IF(IF(o_WRAP=1,MOD(((c_TMAP3IN)-(c_TMAP2IN))*(((C114)-(c_TMAP2IN))*((c_TMAP3OUT)-(c_TMAP2OUT))+IF(((c_TMAP3OUT)-(c_TMAP2OUT))&gt;=0,1,-1)*QUOTIENT(((c_TMAP3IN)-(c_TMAP2IN)),2))+2147483648,4294967296)-2147483648,((c_TMAP3IN)-(c_TMAP2IN))*(((C114)-(c_TMAP2IN))*((c_TMAP3OUT)-(c_TMAP2OUT))+IF(((c_TMAP3OUT)-(c_TMAP2OUT))&gt;=0,1,-1)*QUOTIENT(((c_TMAP3IN)-(c_TMAP2IN)),2)))&gt;=0,1,0)))</f>
        <v>-45</v>
      </c>
      <c r="H114" s="7" t="n">
        <f aca="false">IF(((1000)-(c_TMAP3IN))=0,(c_TMAP3OUT)+QUOTIENT(((1000)-(c_TMAP3OUT)),2),QUOTIENT((((C114)-(c_TMAP3IN))*((1000)-(c_TMAP3OUT))+IF(((1000)-(c_TMAP3OUT))&gt;=0,1,-1)*QUOTIENT(((1000)-(c_TMAP3IN)),2)),((1000)-(c_TMAP3IN)))+(c_TMAP3OUT)+IF(((1000)-(c_TMAP3OUT))&gt;=0,IF(IF(o_WRAP=1,MOD(((1000)-(c_TMAP3IN))*(((C114)-(c_TMAP3IN))*((1000)-(c_TMAP3OUT))+IF(((1000)-(c_TMAP3OUT))&gt;=0,1,-1)*QUOTIENT(((1000)-(c_TMAP3IN)),2))+2147483648,4294967296)-2147483648,((1000)-(c_TMAP3IN))*(((C114)-(c_TMAP3IN))*((1000)-(c_TMAP3OUT))+IF(((1000)-(c_TMAP3OUT))&gt;=0,1,-1)*QUOTIENT(((1000)-(c_TMAP3IN)),2)))&lt;0,-1,0),IF(IF(o_WRAP=1,MOD(((1000)-(c_TMAP3IN))*(((C114)-(c_TMAP3IN))*((1000)-(c_TMAP3OUT))+IF(((1000)-(c_TMAP3OUT))&gt;=0,1,-1)*QUOTIENT(((1000)-(c_TMAP3IN)),2))+2147483648,4294967296)-2147483648,((1000)-(c_TMAP3IN))*(((C114)-(c_TMAP3IN))*((1000)-(c_TMAP3OUT))+IF(((1000)-(c_TMAP3OUT))&gt;=0,1,-1)*QUOTIENT(((1000)-(c_TMAP3IN)),2)))&gt;=0,1,0)))</f>
        <v>-231</v>
      </c>
      <c r="I114" s="7" t="n">
        <f aca="false">IF(C114&gt;=c_TFWD,IF(AND(C114&gt;=c_TMAP3IN,c_TMAP3IN&lt;1000),H114,IF(AND(C114&gt;=c_TMAP2IN,c_TMAP3IN&gt;c_TMAP2IN),G114,IF(AND(C114&gt;=c_TMAP1IN,c_TMAP2IN&gt;c_TMAP1IN),F114,E114))),D114)</f>
        <v>-350</v>
      </c>
      <c r="J114" s="7" t="str">
        <f aca="false">IF(I114&lt;-1090,"TOO LOW",IF(I114&gt;1090,"TOO HIGH",""))</f>
        <v/>
      </c>
      <c r="K114" s="7" t="n">
        <f aca="false">IF(J114&lt;&gt;"",0,IF(I114&gt;979,1000,I114))</f>
        <v>-350</v>
      </c>
      <c r="L114" s="7" t="n">
        <f aca="false">IF(OR(c_TSMOOTH=0,K114&gt;=c_TSMOOTHCUT),1,0)</f>
        <v>0</v>
      </c>
      <c r="M114" s="7" t="n">
        <f aca="false">IF(L114=1,0,M113+1)</f>
        <v>28</v>
      </c>
      <c r="N114" s="7" t="n">
        <f aca="false">IF(L114=1,0,MIN(M114,c_TSMOOTH))</f>
        <v>28</v>
      </c>
      <c r="O114" s="7" t="n">
        <f aca="false">IF(COUNTIF($L$5:L114,1)&gt;0,c_TSMOOTHCUT,0)</f>
        <v>400</v>
      </c>
      <c r="P114" s="15" t="n">
        <f aca="true">IF(L114=1,K114,QUOTIENT(SUM(OFFSET(K114,1-N114,0,N114,1))+(c_TSMOOTH-N114)*O114,c_TSMOOTH))</f>
        <v>-266</v>
      </c>
      <c r="Q114" s="7" t="n">
        <f aca="false">K114/10</f>
        <v>-35</v>
      </c>
      <c r="R114" s="7" t="n">
        <f aca="false">P114/10</f>
        <v>-26.6</v>
      </c>
    </row>
    <row r="115" customFormat="false" ht="15" hidden="false" customHeight="false" outlineLevel="0" collapsed="false">
      <c r="A115" s="7" t="n">
        <v>110</v>
      </c>
      <c r="B115" s="7" t="n">
        <f aca="false">A115*0.04</f>
        <v>4.4</v>
      </c>
      <c r="C115" s="18" t="n">
        <v>0</v>
      </c>
      <c r="D115" s="7" t="n">
        <f aca="false">IF(AND(C115=0,c_TCREEP&gt;0),10*c_TCREEP,IF(AND(C115&lt;=c_TRNGMIN,C115&gt;=c_TRNGMAX,c_TRNGMIN-c_TRNGMAX&lt;&gt;0),-10*c_TMINRN+QUOTIENT((c_TMAXRN-c_TMINRN)*(100-QUOTIENT((C115-c_TRNGMAX)*100,c_TRNGMIN-c_TRNGMAX)),-10),0))</f>
        <v>-350</v>
      </c>
      <c r="E115" s="7" t="n">
        <f aca="false">IF(((c_TMAP1IN)-(c_TFWD))=0,(0)+QUOTIENT(((c_TMAP1OUT)-(0)),2),QUOTIENT((((C115)-(c_TFWD))*((c_TMAP1OUT)-(0))+IF(((c_TMAP1OUT)-(0))&gt;=0,1,-1)*QUOTIENT(((c_TMAP1IN)-(c_TFWD)),2)),((c_TMAP1IN)-(c_TFWD)))+(0)+IF(((c_TMAP1OUT)-(0))&gt;=0,IF(IF(o_WRAP=1,MOD(((c_TMAP1IN)-(c_TFWD))*(((C115)-(c_TFWD))*((c_TMAP1OUT)-(0))+IF(((c_TMAP1OUT)-(0))&gt;=0,1,-1)*QUOTIENT(((c_TMAP1IN)-(c_TFWD)),2))+2147483648,4294967296)-2147483648,((c_TMAP1IN)-(c_TFWD))*(((C115)-(c_TFWD))*((c_TMAP1OUT)-(0))+IF(((c_TMAP1OUT)-(0))&gt;=0,1,-1)*QUOTIENT(((c_TMAP1IN)-(c_TFWD)),2)))&lt;0,-1,0),IF(IF(o_WRAP=1,MOD(((c_TMAP1IN)-(c_TFWD))*(((C115)-(c_TFWD))*((c_TMAP1OUT)-(0))+IF(((c_TMAP1OUT)-(0))&gt;=0,1,-1)*QUOTIENT(((c_TMAP1IN)-(c_TFWD)),2))+2147483648,4294967296)-2147483648,((c_TMAP1IN)-(c_TFWD))*(((C115)-(c_TFWD))*((c_TMAP1OUT)-(0))+IF(((c_TMAP1OUT)-(0))&gt;=0,1,-1)*QUOTIENT(((c_TMAP1IN)-(c_TFWD)),2)))&gt;=0,1,0)))</f>
        <v>-8</v>
      </c>
      <c r="F115" s="7" t="n">
        <f aca="false">IF(((c_TMAP2IN)-(c_TMAP1IN))=0,(c_TMAP1OUT)+QUOTIENT(((c_TMAP2OUT)-(c_TMAP1OUT)),2),QUOTIENT((((C115)-(c_TMAP1IN))*((c_TMAP2OUT)-(c_TMAP1OUT))+IF(((c_TMAP2OUT)-(c_TMAP1OUT))&gt;=0,1,-1)*QUOTIENT(((c_TMAP2IN)-(c_TMAP1IN)),2)),((c_TMAP2IN)-(c_TMAP1IN)))+(c_TMAP1OUT)+IF(((c_TMAP2OUT)-(c_TMAP1OUT))&gt;=0,IF(IF(o_WRAP=1,MOD(((c_TMAP2IN)-(c_TMAP1IN))*(((C115)-(c_TMAP1IN))*((c_TMAP2OUT)-(c_TMAP1OUT))+IF(((c_TMAP2OUT)-(c_TMAP1OUT))&gt;=0,1,-1)*QUOTIENT(((c_TMAP2IN)-(c_TMAP1IN)),2))+2147483648,4294967296)-2147483648,((c_TMAP2IN)-(c_TMAP1IN))*(((C115)-(c_TMAP1IN))*((c_TMAP2OUT)-(c_TMAP1OUT))+IF(((c_TMAP2OUT)-(c_TMAP1OUT))&gt;=0,1,-1)*QUOTIENT(((c_TMAP2IN)-(c_TMAP1IN)),2)))&lt;0,-1,0),IF(IF(o_WRAP=1,MOD(((c_TMAP2IN)-(c_TMAP1IN))*(((C115)-(c_TMAP1IN))*((c_TMAP2OUT)-(c_TMAP1OUT))+IF(((c_TMAP2OUT)-(c_TMAP1OUT))&gt;=0,1,-1)*QUOTIENT(((c_TMAP2IN)-(c_TMAP1IN)),2))+2147483648,4294967296)-2147483648,((c_TMAP2IN)-(c_TMAP1IN))*(((C115)-(c_TMAP1IN))*((c_TMAP2OUT)-(c_TMAP1OUT))+IF(((c_TMAP2OUT)-(c_TMAP1OUT))&gt;=0,1,-1)*QUOTIENT(((c_TMAP2IN)-(c_TMAP1IN)),2)))&gt;=0,1,0)))</f>
        <v>30</v>
      </c>
      <c r="G115" s="7" t="n">
        <f aca="false">IF(((c_TMAP3IN)-(c_TMAP2IN))=0,(c_TMAP2OUT)+QUOTIENT(((c_TMAP3OUT)-(c_TMAP2OUT)),2),QUOTIENT((((C115)-(c_TMAP2IN))*((c_TMAP3OUT)-(c_TMAP2OUT))+IF(((c_TMAP3OUT)-(c_TMAP2OUT))&gt;=0,1,-1)*QUOTIENT(((c_TMAP3IN)-(c_TMAP2IN)),2)),((c_TMAP3IN)-(c_TMAP2IN)))+(c_TMAP2OUT)+IF(((c_TMAP3OUT)-(c_TMAP2OUT))&gt;=0,IF(IF(o_WRAP=1,MOD(((c_TMAP3IN)-(c_TMAP2IN))*(((C115)-(c_TMAP2IN))*((c_TMAP3OUT)-(c_TMAP2OUT))+IF(((c_TMAP3OUT)-(c_TMAP2OUT))&gt;=0,1,-1)*QUOTIENT(((c_TMAP3IN)-(c_TMAP2IN)),2))+2147483648,4294967296)-2147483648,((c_TMAP3IN)-(c_TMAP2IN))*(((C115)-(c_TMAP2IN))*((c_TMAP3OUT)-(c_TMAP2OUT))+IF(((c_TMAP3OUT)-(c_TMAP2OUT))&gt;=0,1,-1)*QUOTIENT(((c_TMAP3IN)-(c_TMAP2IN)),2)))&lt;0,-1,0),IF(IF(o_WRAP=1,MOD(((c_TMAP3IN)-(c_TMAP2IN))*(((C115)-(c_TMAP2IN))*((c_TMAP3OUT)-(c_TMAP2OUT))+IF(((c_TMAP3OUT)-(c_TMAP2OUT))&gt;=0,1,-1)*QUOTIENT(((c_TMAP3IN)-(c_TMAP2IN)),2))+2147483648,4294967296)-2147483648,((c_TMAP3IN)-(c_TMAP2IN))*(((C115)-(c_TMAP2IN))*((c_TMAP3OUT)-(c_TMAP2OUT))+IF(((c_TMAP3OUT)-(c_TMAP2OUT))&gt;=0,1,-1)*QUOTIENT(((c_TMAP3IN)-(c_TMAP2IN)),2)))&gt;=0,1,0)))</f>
        <v>-45</v>
      </c>
      <c r="H115" s="7" t="n">
        <f aca="false">IF(((1000)-(c_TMAP3IN))=0,(c_TMAP3OUT)+QUOTIENT(((1000)-(c_TMAP3OUT)),2),QUOTIENT((((C115)-(c_TMAP3IN))*((1000)-(c_TMAP3OUT))+IF(((1000)-(c_TMAP3OUT))&gt;=0,1,-1)*QUOTIENT(((1000)-(c_TMAP3IN)),2)),((1000)-(c_TMAP3IN)))+(c_TMAP3OUT)+IF(((1000)-(c_TMAP3OUT))&gt;=0,IF(IF(o_WRAP=1,MOD(((1000)-(c_TMAP3IN))*(((C115)-(c_TMAP3IN))*((1000)-(c_TMAP3OUT))+IF(((1000)-(c_TMAP3OUT))&gt;=0,1,-1)*QUOTIENT(((1000)-(c_TMAP3IN)),2))+2147483648,4294967296)-2147483648,((1000)-(c_TMAP3IN))*(((C115)-(c_TMAP3IN))*((1000)-(c_TMAP3OUT))+IF(((1000)-(c_TMAP3OUT))&gt;=0,1,-1)*QUOTIENT(((1000)-(c_TMAP3IN)),2)))&lt;0,-1,0),IF(IF(o_WRAP=1,MOD(((1000)-(c_TMAP3IN))*(((C115)-(c_TMAP3IN))*((1000)-(c_TMAP3OUT))+IF(((1000)-(c_TMAP3OUT))&gt;=0,1,-1)*QUOTIENT(((1000)-(c_TMAP3IN)),2))+2147483648,4294967296)-2147483648,((1000)-(c_TMAP3IN))*(((C115)-(c_TMAP3IN))*((1000)-(c_TMAP3OUT))+IF(((1000)-(c_TMAP3OUT))&gt;=0,1,-1)*QUOTIENT(((1000)-(c_TMAP3IN)),2)))&gt;=0,1,0)))</f>
        <v>-231</v>
      </c>
      <c r="I115" s="7" t="n">
        <f aca="false">IF(C115&gt;=c_TFWD,IF(AND(C115&gt;=c_TMAP3IN,c_TMAP3IN&lt;1000),H115,IF(AND(C115&gt;=c_TMAP2IN,c_TMAP3IN&gt;c_TMAP2IN),G115,IF(AND(C115&gt;=c_TMAP1IN,c_TMAP2IN&gt;c_TMAP1IN),F115,E115))),D115)</f>
        <v>-350</v>
      </c>
      <c r="J115" s="7" t="str">
        <f aca="false">IF(I115&lt;-1090,"TOO LOW",IF(I115&gt;1090,"TOO HIGH",""))</f>
        <v/>
      </c>
      <c r="K115" s="7" t="n">
        <f aca="false">IF(J115&lt;&gt;"",0,IF(I115&gt;979,1000,I115))</f>
        <v>-350</v>
      </c>
      <c r="L115" s="7" t="n">
        <f aca="false">IF(OR(c_TSMOOTH=0,K115&gt;=c_TSMOOTHCUT),1,0)</f>
        <v>0</v>
      </c>
      <c r="M115" s="7" t="n">
        <f aca="false">IF(L115=1,0,M114+1)</f>
        <v>29</v>
      </c>
      <c r="N115" s="7" t="n">
        <f aca="false">IF(L115=1,0,MIN(M115,c_TSMOOTH))</f>
        <v>29</v>
      </c>
      <c r="O115" s="7" t="n">
        <f aca="false">IF(COUNTIF($L$5:L115,1)&gt;0,c_TSMOOTHCUT,0)</f>
        <v>400</v>
      </c>
      <c r="P115" s="15" t="n">
        <f aca="true">IF(L115=1,K115,QUOTIENT(SUM(OFFSET(K115,1-N115,0,N115,1))+(c_TSMOOTH-N115)*O115,c_TSMOOTH))</f>
        <v>-291</v>
      </c>
      <c r="Q115" s="7" t="n">
        <f aca="false">K115/10</f>
        <v>-35</v>
      </c>
      <c r="R115" s="7" t="n">
        <f aca="false">P115/10</f>
        <v>-29.1</v>
      </c>
    </row>
    <row r="116" customFormat="false" ht="15" hidden="false" customHeight="false" outlineLevel="0" collapsed="false">
      <c r="A116" s="7" t="n">
        <v>111</v>
      </c>
      <c r="B116" s="7" t="n">
        <f aca="false">A116*0.04</f>
        <v>4.44</v>
      </c>
      <c r="C116" s="18" t="n">
        <v>0</v>
      </c>
      <c r="D116" s="7" t="n">
        <f aca="false">IF(AND(C116=0,c_TCREEP&gt;0),10*c_TCREEP,IF(AND(C116&lt;=c_TRNGMIN,C116&gt;=c_TRNGMAX,c_TRNGMIN-c_TRNGMAX&lt;&gt;0),-10*c_TMINRN+QUOTIENT((c_TMAXRN-c_TMINRN)*(100-QUOTIENT((C116-c_TRNGMAX)*100,c_TRNGMIN-c_TRNGMAX)),-10),0))</f>
        <v>-350</v>
      </c>
      <c r="E116" s="7" t="n">
        <f aca="false">IF(((c_TMAP1IN)-(c_TFWD))=0,(0)+QUOTIENT(((c_TMAP1OUT)-(0)),2),QUOTIENT((((C116)-(c_TFWD))*((c_TMAP1OUT)-(0))+IF(((c_TMAP1OUT)-(0))&gt;=0,1,-1)*QUOTIENT(((c_TMAP1IN)-(c_TFWD)),2)),((c_TMAP1IN)-(c_TFWD)))+(0)+IF(((c_TMAP1OUT)-(0))&gt;=0,IF(IF(o_WRAP=1,MOD(((c_TMAP1IN)-(c_TFWD))*(((C116)-(c_TFWD))*((c_TMAP1OUT)-(0))+IF(((c_TMAP1OUT)-(0))&gt;=0,1,-1)*QUOTIENT(((c_TMAP1IN)-(c_TFWD)),2))+2147483648,4294967296)-2147483648,((c_TMAP1IN)-(c_TFWD))*(((C116)-(c_TFWD))*((c_TMAP1OUT)-(0))+IF(((c_TMAP1OUT)-(0))&gt;=0,1,-1)*QUOTIENT(((c_TMAP1IN)-(c_TFWD)),2)))&lt;0,-1,0),IF(IF(o_WRAP=1,MOD(((c_TMAP1IN)-(c_TFWD))*(((C116)-(c_TFWD))*((c_TMAP1OUT)-(0))+IF(((c_TMAP1OUT)-(0))&gt;=0,1,-1)*QUOTIENT(((c_TMAP1IN)-(c_TFWD)),2))+2147483648,4294967296)-2147483648,((c_TMAP1IN)-(c_TFWD))*(((C116)-(c_TFWD))*((c_TMAP1OUT)-(0))+IF(((c_TMAP1OUT)-(0))&gt;=0,1,-1)*QUOTIENT(((c_TMAP1IN)-(c_TFWD)),2)))&gt;=0,1,0)))</f>
        <v>-8</v>
      </c>
      <c r="F116" s="7" t="n">
        <f aca="false">IF(((c_TMAP2IN)-(c_TMAP1IN))=0,(c_TMAP1OUT)+QUOTIENT(((c_TMAP2OUT)-(c_TMAP1OUT)),2),QUOTIENT((((C116)-(c_TMAP1IN))*((c_TMAP2OUT)-(c_TMAP1OUT))+IF(((c_TMAP2OUT)-(c_TMAP1OUT))&gt;=0,1,-1)*QUOTIENT(((c_TMAP2IN)-(c_TMAP1IN)),2)),((c_TMAP2IN)-(c_TMAP1IN)))+(c_TMAP1OUT)+IF(((c_TMAP2OUT)-(c_TMAP1OUT))&gt;=0,IF(IF(o_WRAP=1,MOD(((c_TMAP2IN)-(c_TMAP1IN))*(((C116)-(c_TMAP1IN))*((c_TMAP2OUT)-(c_TMAP1OUT))+IF(((c_TMAP2OUT)-(c_TMAP1OUT))&gt;=0,1,-1)*QUOTIENT(((c_TMAP2IN)-(c_TMAP1IN)),2))+2147483648,4294967296)-2147483648,((c_TMAP2IN)-(c_TMAP1IN))*(((C116)-(c_TMAP1IN))*((c_TMAP2OUT)-(c_TMAP1OUT))+IF(((c_TMAP2OUT)-(c_TMAP1OUT))&gt;=0,1,-1)*QUOTIENT(((c_TMAP2IN)-(c_TMAP1IN)),2)))&lt;0,-1,0),IF(IF(o_WRAP=1,MOD(((c_TMAP2IN)-(c_TMAP1IN))*(((C116)-(c_TMAP1IN))*((c_TMAP2OUT)-(c_TMAP1OUT))+IF(((c_TMAP2OUT)-(c_TMAP1OUT))&gt;=0,1,-1)*QUOTIENT(((c_TMAP2IN)-(c_TMAP1IN)),2))+2147483648,4294967296)-2147483648,((c_TMAP2IN)-(c_TMAP1IN))*(((C116)-(c_TMAP1IN))*((c_TMAP2OUT)-(c_TMAP1OUT))+IF(((c_TMAP2OUT)-(c_TMAP1OUT))&gt;=0,1,-1)*QUOTIENT(((c_TMAP2IN)-(c_TMAP1IN)),2)))&gt;=0,1,0)))</f>
        <v>30</v>
      </c>
      <c r="G116" s="7" t="n">
        <f aca="false">IF(((c_TMAP3IN)-(c_TMAP2IN))=0,(c_TMAP2OUT)+QUOTIENT(((c_TMAP3OUT)-(c_TMAP2OUT)),2),QUOTIENT((((C116)-(c_TMAP2IN))*((c_TMAP3OUT)-(c_TMAP2OUT))+IF(((c_TMAP3OUT)-(c_TMAP2OUT))&gt;=0,1,-1)*QUOTIENT(((c_TMAP3IN)-(c_TMAP2IN)),2)),((c_TMAP3IN)-(c_TMAP2IN)))+(c_TMAP2OUT)+IF(((c_TMAP3OUT)-(c_TMAP2OUT))&gt;=0,IF(IF(o_WRAP=1,MOD(((c_TMAP3IN)-(c_TMAP2IN))*(((C116)-(c_TMAP2IN))*((c_TMAP3OUT)-(c_TMAP2OUT))+IF(((c_TMAP3OUT)-(c_TMAP2OUT))&gt;=0,1,-1)*QUOTIENT(((c_TMAP3IN)-(c_TMAP2IN)),2))+2147483648,4294967296)-2147483648,((c_TMAP3IN)-(c_TMAP2IN))*(((C116)-(c_TMAP2IN))*((c_TMAP3OUT)-(c_TMAP2OUT))+IF(((c_TMAP3OUT)-(c_TMAP2OUT))&gt;=0,1,-1)*QUOTIENT(((c_TMAP3IN)-(c_TMAP2IN)),2)))&lt;0,-1,0),IF(IF(o_WRAP=1,MOD(((c_TMAP3IN)-(c_TMAP2IN))*(((C116)-(c_TMAP2IN))*((c_TMAP3OUT)-(c_TMAP2OUT))+IF(((c_TMAP3OUT)-(c_TMAP2OUT))&gt;=0,1,-1)*QUOTIENT(((c_TMAP3IN)-(c_TMAP2IN)),2))+2147483648,4294967296)-2147483648,((c_TMAP3IN)-(c_TMAP2IN))*(((C116)-(c_TMAP2IN))*((c_TMAP3OUT)-(c_TMAP2OUT))+IF(((c_TMAP3OUT)-(c_TMAP2OUT))&gt;=0,1,-1)*QUOTIENT(((c_TMAP3IN)-(c_TMAP2IN)),2)))&gt;=0,1,0)))</f>
        <v>-45</v>
      </c>
      <c r="H116" s="7" t="n">
        <f aca="false">IF(((1000)-(c_TMAP3IN))=0,(c_TMAP3OUT)+QUOTIENT(((1000)-(c_TMAP3OUT)),2),QUOTIENT((((C116)-(c_TMAP3IN))*((1000)-(c_TMAP3OUT))+IF(((1000)-(c_TMAP3OUT))&gt;=0,1,-1)*QUOTIENT(((1000)-(c_TMAP3IN)),2)),((1000)-(c_TMAP3IN)))+(c_TMAP3OUT)+IF(((1000)-(c_TMAP3OUT))&gt;=0,IF(IF(o_WRAP=1,MOD(((1000)-(c_TMAP3IN))*(((C116)-(c_TMAP3IN))*((1000)-(c_TMAP3OUT))+IF(((1000)-(c_TMAP3OUT))&gt;=0,1,-1)*QUOTIENT(((1000)-(c_TMAP3IN)),2))+2147483648,4294967296)-2147483648,((1000)-(c_TMAP3IN))*(((C116)-(c_TMAP3IN))*((1000)-(c_TMAP3OUT))+IF(((1000)-(c_TMAP3OUT))&gt;=0,1,-1)*QUOTIENT(((1000)-(c_TMAP3IN)),2)))&lt;0,-1,0),IF(IF(o_WRAP=1,MOD(((1000)-(c_TMAP3IN))*(((C116)-(c_TMAP3IN))*((1000)-(c_TMAP3OUT))+IF(((1000)-(c_TMAP3OUT))&gt;=0,1,-1)*QUOTIENT(((1000)-(c_TMAP3IN)),2))+2147483648,4294967296)-2147483648,((1000)-(c_TMAP3IN))*(((C116)-(c_TMAP3IN))*((1000)-(c_TMAP3OUT))+IF(((1000)-(c_TMAP3OUT))&gt;=0,1,-1)*QUOTIENT(((1000)-(c_TMAP3IN)),2)))&gt;=0,1,0)))</f>
        <v>-231</v>
      </c>
      <c r="I116" s="7" t="n">
        <f aca="false">IF(C116&gt;=c_TFWD,IF(AND(C116&gt;=c_TMAP3IN,c_TMAP3IN&lt;1000),H116,IF(AND(C116&gt;=c_TMAP2IN,c_TMAP3IN&gt;c_TMAP2IN),G116,IF(AND(C116&gt;=c_TMAP1IN,c_TMAP2IN&gt;c_TMAP1IN),F116,E116))),D116)</f>
        <v>-350</v>
      </c>
      <c r="J116" s="7" t="str">
        <f aca="false">IF(I116&lt;-1090,"TOO LOW",IF(I116&gt;1090,"TOO HIGH",""))</f>
        <v/>
      </c>
      <c r="K116" s="7" t="n">
        <f aca="false">IF(J116&lt;&gt;"",0,IF(I116&gt;979,1000,I116))</f>
        <v>-350</v>
      </c>
      <c r="L116" s="7" t="n">
        <f aca="false">IF(OR(c_TSMOOTH=0,K116&gt;=c_TSMOOTHCUT),1,0)</f>
        <v>0</v>
      </c>
      <c r="M116" s="7" t="n">
        <f aca="false">IF(L116=1,0,M115+1)</f>
        <v>30</v>
      </c>
      <c r="N116" s="7" t="n">
        <f aca="false">IF(L116=1,0,MIN(M116,c_TSMOOTH))</f>
        <v>30</v>
      </c>
      <c r="O116" s="7" t="n">
        <f aca="false">IF(COUNTIF($L$5:L116,1)&gt;0,c_TSMOOTHCUT,0)</f>
        <v>400</v>
      </c>
      <c r="P116" s="15" t="n">
        <f aca="true">IF(L116=1,K116,QUOTIENT(SUM(OFFSET(K116,1-N116,0,N116,1))+(c_TSMOOTH-N116)*O116,c_TSMOOTH))</f>
        <v>-316</v>
      </c>
      <c r="Q116" s="7" t="n">
        <f aca="false">K116/10</f>
        <v>-35</v>
      </c>
      <c r="R116" s="7" t="n">
        <f aca="false">P116/10</f>
        <v>-31.6</v>
      </c>
    </row>
    <row r="117" customFormat="false" ht="15" hidden="false" customHeight="false" outlineLevel="0" collapsed="false">
      <c r="A117" s="7" t="n">
        <v>112</v>
      </c>
      <c r="B117" s="7" t="n">
        <f aca="false">A117*0.04</f>
        <v>4.48</v>
      </c>
      <c r="C117" s="18" t="n">
        <v>0</v>
      </c>
      <c r="D117" s="7" t="n">
        <f aca="false">IF(AND(C117=0,c_TCREEP&gt;0),10*c_TCREEP,IF(AND(C117&lt;=c_TRNGMIN,C117&gt;=c_TRNGMAX,c_TRNGMIN-c_TRNGMAX&lt;&gt;0),-10*c_TMINRN+QUOTIENT((c_TMAXRN-c_TMINRN)*(100-QUOTIENT((C117-c_TRNGMAX)*100,c_TRNGMIN-c_TRNGMAX)),-10),0))</f>
        <v>-350</v>
      </c>
      <c r="E117" s="7" t="n">
        <f aca="false">IF(((c_TMAP1IN)-(c_TFWD))=0,(0)+QUOTIENT(((c_TMAP1OUT)-(0)),2),QUOTIENT((((C117)-(c_TFWD))*((c_TMAP1OUT)-(0))+IF(((c_TMAP1OUT)-(0))&gt;=0,1,-1)*QUOTIENT(((c_TMAP1IN)-(c_TFWD)),2)),((c_TMAP1IN)-(c_TFWD)))+(0)+IF(((c_TMAP1OUT)-(0))&gt;=0,IF(IF(o_WRAP=1,MOD(((c_TMAP1IN)-(c_TFWD))*(((C117)-(c_TFWD))*((c_TMAP1OUT)-(0))+IF(((c_TMAP1OUT)-(0))&gt;=0,1,-1)*QUOTIENT(((c_TMAP1IN)-(c_TFWD)),2))+2147483648,4294967296)-2147483648,((c_TMAP1IN)-(c_TFWD))*(((C117)-(c_TFWD))*((c_TMAP1OUT)-(0))+IF(((c_TMAP1OUT)-(0))&gt;=0,1,-1)*QUOTIENT(((c_TMAP1IN)-(c_TFWD)),2)))&lt;0,-1,0),IF(IF(o_WRAP=1,MOD(((c_TMAP1IN)-(c_TFWD))*(((C117)-(c_TFWD))*((c_TMAP1OUT)-(0))+IF(((c_TMAP1OUT)-(0))&gt;=0,1,-1)*QUOTIENT(((c_TMAP1IN)-(c_TFWD)),2))+2147483648,4294967296)-2147483648,((c_TMAP1IN)-(c_TFWD))*(((C117)-(c_TFWD))*((c_TMAP1OUT)-(0))+IF(((c_TMAP1OUT)-(0))&gt;=0,1,-1)*QUOTIENT(((c_TMAP1IN)-(c_TFWD)),2)))&gt;=0,1,0)))</f>
        <v>-8</v>
      </c>
      <c r="F117" s="7" t="n">
        <f aca="false">IF(((c_TMAP2IN)-(c_TMAP1IN))=0,(c_TMAP1OUT)+QUOTIENT(((c_TMAP2OUT)-(c_TMAP1OUT)),2),QUOTIENT((((C117)-(c_TMAP1IN))*((c_TMAP2OUT)-(c_TMAP1OUT))+IF(((c_TMAP2OUT)-(c_TMAP1OUT))&gt;=0,1,-1)*QUOTIENT(((c_TMAP2IN)-(c_TMAP1IN)),2)),((c_TMAP2IN)-(c_TMAP1IN)))+(c_TMAP1OUT)+IF(((c_TMAP2OUT)-(c_TMAP1OUT))&gt;=0,IF(IF(o_WRAP=1,MOD(((c_TMAP2IN)-(c_TMAP1IN))*(((C117)-(c_TMAP1IN))*((c_TMAP2OUT)-(c_TMAP1OUT))+IF(((c_TMAP2OUT)-(c_TMAP1OUT))&gt;=0,1,-1)*QUOTIENT(((c_TMAP2IN)-(c_TMAP1IN)),2))+2147483648,4294967296)-2147483648,((c_TMAP2IN)-(c_TMAP1IN))*(((C117)-(c_TMAP1IN))*((c_TMAP2OUT)-(c_TMAP1OUT))+IF(((c_TMAP2OUT)-(c_TMAP1OUT))&gt;=0,1,-1)*QUOTIENT(((c_TMAP2IN)-(c_TMAP1IN)),2)))&lt;0,-1,0),IF(IF(o_WRAP=1,MOD(((c_TMAP2IN)-(c_TMAP1IN))*(((C117)-(c_TMAP1IN))*((c_TMAP2OUT)-(c_TMAP1OUT))+IF(((c_TMAP2OUT)-(c_TMAP1OUT))&gt;=0,1,-1)*QUOTIENT(((c_TMAP2IN)-(c_TMAP1IN)),2))+2147483648,4294967296)-2147483648,((c_TMAP2IN)-(c_TMAP1IN))*(((C117)-(c_TMAP1IN))*((c_TMAP2OUT)-(c_TMAP1OUT))+IF(((c_TMAP2OUT)-(c_TMAP1OUT))&gt;=0,1,-1)*QUOTIENT(((c_TMAP2IN)-(c_TMAP1IN)),2)))&gt;=0,1,0)))</f>
        <v>30</v>
      </c>
      <c r="G117" s="7" t="n">
        <f aca="false">IF(((c_TMAP3IN)-(c_TMAP2IN))=0,(c_TMAP2OUT)+QUOTIENT(((c_TMAP3OUT)-(c_TMAP2OUT)),2),QUOTIENT((((C117)-(c_TMAP2IN))*((c_TMAP3OUT)-(c_TMAP2OUT))+IF(((c_TMAP3OUT)-(c_TMAP2OUT))&gt;=0,1,-1)*QUOTIENT(((c_TMAP3IN)-(c_TMAP2IN)),2)),((c_TMAP3IN)-(c_TMAP2IN)))+(c_TMAP2OUT)+IF(((c_TMAP3OUT)-(c_TMAP2OUT))&gt;=0,IF(IF(o_WRAP=1,MOD(((c_TMAP3IN)-(c_TMAP2IN))*(((C117)-(c_TMAP2IN))*((c_TMAP3OUT)-(c_TMAP2OUT))+IF(((c_TMAP3OUT)-(c_TMAP2OUT))&gt;=0,1,-1)*QUOTIENT(((c_TMAP3IN)-(c_TMAP2IN)),2))+2147483648,4294967296)-2147483648,((c_TMAP3IN)-(c_TMAP2IN))*(((C117)-(c_TMAP2IN))*((c_TMAP3OUT)-(c_TMAP2OUT))+IF(((c_TMAP3OUT)-(c_TMAP2OUT))&gt;=0,1,-1)*QUOTIENT(((c_TMAP3IN)-(c_TMAP2IN)),2)))&lt;0,-1,0),IF(IF(o_WRAP=1,MOD(((c_TMAP3IN)-(c_TMAP2IN))*(((C117)-(c_TMAP2IN))*((c_TMAP3OUT)-(c_TMAP2OUT))+IF(((c_TMAP3OUT)-(c_TMAP2OUT))&gt;=0,1,-1)*QUOTIENT(((c_TMAP3IN)-(c_TMAP2IN)),2))+2147483648,4294967296)-2147483648,((c_TMAP3IN)-(c_TMAP2IN))*(((C117)-(c_TMAP2IN))*((c_TMAP3OUT)-(c_TMAP2OUT))+IF(((c_TMAP3OUT)-(c_TMAP2OUT))&gt;=0,1,-1)*QUOTIENT(((c_TMAP3IN)-(c_TMAP2IN)),2)))&gt;=0,1,0)))</f>
        <v>-45</v>
      </c>
      <c r="H117" s="7" t="n">
        <f aca="false">IF(((1000)-(c_TMAP3IN))=0,(c_TMAP3OUT)+QUOTIENT(((1000)-(c_TMAP3OUT)),2),QUOTIENT((((C117)-(c_TMAP3IN))*((1000)-(c_TMAP3OUT))+IF(((1000)-(c_TMAP3OUT))&gt;=0,1,-1)*QUOTIENT(((1000)-(c_TMAP3IN)),2)),((1000)-(c_TMAP3IN)))+(c_TMAP3OUT)+IF(((1000)-(c_TMAP3OUT))&gt;=0,IF(IF(o_WRAP=1,MOD(((1000)-(c_TMAP3IN))*(((C117)-(c_TMAP3IN))*((1000)-(c_TMAP3OUT))+IF(((1000)-(c_TMAP3OUT))&gt;=0,1,-1)*QUOTIENT(((1000)-(c_TMAP3IN)),2))+2147483648,4294967296)-2147483648,((1000)-(c_TMAP3IN))*(((C117)-(c_TMAP3IN))*((1000)-(c_TMAP3OUT))+IF(((1000)-(c_TMAP3OUT))&gt;=0,1,-1)*QUOTIENT(((1000)-(c_TMAP3IN)),2)))&lt;0,-1,0),IF(IF(o_WRAP=1,MOD(((1000)-(c_TMAP3IN))*(((C117)-(c_TMAP3IN))*((1000)-(c_TMAP3OUT))+IF(((1000)-(c_TMAP3OUT))&gt;=0,1,-1)*QUOTIENT(((1000)-(c_TMAP3IN)),2))+2147483648,4294967296)-2147483648,((1000)-(c_TMAP3IN))*(((C117)-(c_TMAP3IN))*((1000)-(c_TMAP3OUT))+IF(((1000)-(c_TMAP3OUT))&gt;=0,1,-1)*QUOTIENT(((1000)-(c_TMAP3IN)),2)))&gt;=0,1,0)))</f>
        <v>-231</v>
      </c>
      <c r="I117" s="7" t="n">
        <f aca="false">IF(C117&gt;=c_TFWD,IF(AND(C117&gt;=c_TMAP3IN,c_TMAP3IN&lt;1000),H117,IF(AND(C117&gt;=c_TMAP2IN,c_TMAP3IN&gt;c_TMAP2IN),G117,IF(AND(C117&gt;=c_TMAP1IN,c_TMAP2IN&gt;c_TMAP1IN),F117,E117))),D117)</f>
        <v>-350</v>
      </c>
      <c r="J117" s="7" t="str">
        <f aca="false">IF(I117&lt;-1090,"TOO LOW",IF(I117&gt;1090,"TOO HIGH",""))</f>
        <v/>
      </c>
      <c r="K117" s="7" t="n">
        <f aca="false">IF(J117&lt;&gt;"",0,IF(I117&gt;979,1000,I117))</f>
        <v>-350</v>
      </c>
      <c r="L117" s="7" t="n">
        <f aca="false">IF(OR(c_TSMOOTH=0,K117&gt;=c_TSMOOTHCUT),1,0)</f>
        <v>0</v>
      </c>
      <c r="M117" s="7" t="n">
        <f aca="false">IF(L117=1,0,M116+1)</f>
        <v>31</v>
      </c>
      <c r="N117" s="7" t="n">
        <f aca="false">IF(L117=1,0,MIN(M117,c_TSMOOTH))</f>
        <v>30</v>
      </c>
      <c r="O117" s="7" t="n">
        <f aca="false">IF(COUNTIF($L$5:L117,1)&gt;0,c_TSMOOTHCUT,0)</f>
        <v>400</v>
      </c>
      <c r="P117" s="15" t="n">
        <f aca="true">IF(L117=1,K117,QUOTIENT(SUM(OFFSET(K117,1-N117,0,N117,1))+(c_TSMOOTH-N117)*O117,c_TSMOOTH))</f>
        <v>-334</v>
      </c>
      <c r="Q117" s="7" t="n">
        <f aca="false">K117/10</f>
        <v>-35</v>
      </c>
      <c r="R117" s="7" t="n">
        <f aca="false">P117/10</f>
        <v>-33.4</v>
      </c>
    </row>
    <row r="118" customFormat="false" ht="15" hidden="false" customHeight="false" outlineLevel="0" collapsed="false">
      <c r="A118" s="7" t="n">
        <v>113</v>
      </c>
      <c r="B118" s="7" t="n">
        <f aca="false">A118*0.04</f>
        <v>4.52</v>
      </c>
      <c r="C118" s="18" t="n">
        <v>0</v>
      </c>
      <c r="D118" s="7" t="n">
        <f aca="false">IF(AND(C118=0,c_TCREEP&gt;0),10*c_TCREEP,IF(AND(C118&lt;=c_TRNGMIN,C118&gt;=c_TRNGMAX,c_TRNGMIN-c_TRNGMAX&lt;&gt;0),-10*c_TMINRN+QUOTIENT((c_TMAXRN-c_TMINRN)*(100-QUOTIENT((C118-c_TRNGMAX)*100,c_TRNGMIN-c_TRNGMAX)),-10),0))</f>
        <v>-350</v>
      </c>
      <c r="E118" s="7" t="n">
        <f aca="false">IF(((c_TMAP1IN)-(c_TFWD))=0,(0)+QUOTIENT(((c_TMAP1OUT)-(0)),2),QUOTIENT((((C118)-(c_TFWD))*((c_TMAP1OUT)-(0))+IF(((c_TMAP1OUT)-(0))&gt;=0,1,-1)*QUOTIENT(((c_TMAP1IN)-(c_TFWD)),2)),((c_TMAP1IN)-(c_TFWD)))+(0)+IF(((c_TMAP1OUT)-(0))&gt;=0,IF(IF(o_WRAP=1,MOD(((c_TMAP1IN)-(c_TFWD))*(((C118)-(c_TFWD))*((c_TMAP1OUT)-(0))+IF(((c_TMAP1OUT)-(0))&gt;=0,1,-1)*QUOTIENT(((c_TMAP1IN)-(c_TFWD)),2))+2147483648,4294967296)-2147483648,((c_TMAP1IN)-(c_TFWD))*(((C118)-(c_TFWD))*((c_TMAP1OUT)-(0))+IF(((c_TMAP1OUT)-(0))&gt;=0,1,-1)*QUOTIENT(((c_TMAP1IN)-(c_TFWD)),2)))&lt;0,-1,0),IF(IF(o_WRAP=1,MOD(((c_TMAP1IN)-(c_TFWD))*(((C118)-(c_TFWD))*((c_TMAP1OUT)-(0))+IF(((c_TMAP1OUT)-(0))&gt;=0,1,-1)*QUOTIENT(((c_TMAP1IN)-(c_TFWD)),2))+2147483648,4294967296)-2147483648,((c_TMAP1IN)-(c_TFWD))*(((C118)-(c_TFWD))*((c_TMAP1OUT)-(0))+IF(((c_TMAP1OUT)-(0))&gt;=0,1,-1)*QUOTIENT(((c_TMAP1IN)-(c_TFWD)),2)))&gt;=0,1,0)))</f>
        <v>-8</v>
      </c>
      <c r="F118" s="7" t="n">
        <f aca="false">IF(((c_TMAP2IN)-(c_TMAP1IN))=0,(c_TMAP1OUT)+QUOTIENT(((c_TMAP2OUT)-(c_TMAP1OUT)),2),QUOTIENT((((C118)-(c_TMAP1IN))*((c_TMAP2OUT)-(c_TMAP1OUT))+IF(((c_TMAP2OUT)-(c_TMAP1OUT))&gt;=0,1,-1)*QUOTIENT(((c_TMAP2IN)-(c_TMAP1IN)),2)),((c_TMAP2IN)-(c_TMAP1IN)))+(c_TMAP1OUT)+IF(((c_TMAP2OUT)-(c_TMAP1OUT))&gt;=0,IF(IF(o_WRAP=1,MOD(((c_TMAP2IN)-(c_TMAP1IN))*(((C118)-(c_TMAP1IN))*((c_TMAP2OUT)-(c_TMAP1OUT))+IF(((c_TMAP2OUT)-(c_TMAP1OUT))&gt;=0,1,-1)*QUOTIENT(((c_TMAP2IN)-(c_TMAP1IN)),2))+2147483648,4294967296)-2147483648,((c_TMAP2IN)-(c_TMAP1IN))*(((C118)-(c_TMAP1IN))*((c_TMAP2OUT)-(c_TMAP1OUT))+IF(((c_TMAP2OUT)-(c_TMAP1OUT))&gt;=0,1,-1)*QUOTIENT(((c_TMAP2IN)-(c_TMAP1IN)),2)))&lt;0,-1,0),IF(IF(o_WRAP=1,MOD(((c_TMAP2IN)-(c_TMAP1IN))*(((C118)-(c_TMAP1IN))*((c_TMAP2OUT)-(c_TMAP1OUT))+IF(((c_TMAP2OUT)-(c_TMAP1OUT))&gt;=0,1,-1)*QUOTIENT(((c_TMAP2IN)-(c_TMAP1IN)),2))+2147483648,4294967296)-2147483648,((c_TMAP2IN)-(c_TMAP1IN))*(((C118)-(c_TMAP1IN))*((c_TMAP2OUT)-(c_TMAP1OUT))+IF(((c_TMAP2OUT)-(c_TMAP1OUT))&gt;=0,1,-1)*QUOTIENT(((c_TMAP2IN)-(c_TMAP1IN)),2)))&gt;=0,1,0)))</f>
        <v>30</v>
      </c>
      <c r="G118" s="7" t="n">
        <f aca="false">IF(((c_TMAP3IN)-(c_TMAP2IN))=0,(c_TMAP2OUT)+QUOTIENT(((c_TMAP3OUT)-(c_TMAP2OUT)),2),QUOTIENT((((C118)-(c_TMAP2IN))*((c_TMAP3OUT)-(c_TMAP2OUT))+IF(((c_TMAP3OUT)-(c_TMAP2OUT))&gt;=0,1,-1)*QUOTIENT(((c_TMAP3IN)-(c_TMAP2IN)),2)),((c_TMAP3IN)-(c_TMAP2IN)))+(c_TMAP2OUT)+IF(((c_TMAP3OUT)-(c_TMAP2OUT))&gt;=0,IF(IF(o_WRAP=1,MOD(((c_TMAP3IN)-(c_TMAP2IN))*(((C118)-(c_TMAP2IN))*((c_TMAP3OUT)-(c_TMAP2OUT))+IF(((c_TMAP3OUT)-(c_TMAP2OUT))&gt;=0,1,-1)*QUOTIENT(((c_TMAP3IN)-(c_TMAP2IN)),2))+2147483648,4294967296)-2147483648,((c_TMAP3IN)-(c_TMAP2IN))*(((C118)-(c_TMAP2IN))*((c_TMAP3OUT)-(c_TMAP2OUT))+IF(((c_TMAP3OUT)-(c_TMAP2OUT))&gt;=0,1,-1)*QUOTIENT(((c_TMAP3IN)-(c_TMAP2IN)),2)))&lt;0,-1,0),IF(IF(o_WRAP=1,MOD(((c_TMAP3IN)-(c_TMAP2IN))*(((C118)-(c_TMAP2IN))*((c_TMAP3OUT)-(c_TMAP2OUT))+IF(((c_TMAP3OUT)-(c_TMAP2OUT))&gt;=0,1,-1)*QUOTIENT(((c_TMAP3IN)-(c_TMAP2IN)),2))+2147483648,4294967296)-2147483648,((c_TMAP3IN)-(c_TMAP2IN))*(((C118)-(c_TMAP2IN))*((c_TMAP3OUT)-(c_TMAP2OUT))+IF(((c_TMAP3OUT)-(c_TMAP2OUT))&gt;=0,1,-1)*QUOTIENT(((c_TMAP3IN)-(c_TMAP2IN)),2)))&gt;=0,1,0)))</f>
        <v>-45</v>
      </c>
      <c r="H118" s="7" t="n">
        <f aca="false">IF(((1000)-(c_TMAP3IN))=0,(c_TMAP3OUT)+QUOTIENT(((1000)-(c_TMAP3OUT)),2),QUOTIENT((((C118)-(c_TMAP3IN))*((1000)-(c_TMAP3OUT))+IF(((1000)-(c_TMAP3OUT))&gt;=0,1,-1)*QUOTIENT(((1000)-(c_TMAP3IN)),2)),((1000)-(c_TMAP3IN)))+(c_TMAP3OUT)+IF(((1000)-(c_TMAP3OUT))&gt;=0,IF(IF(o_WRAP=1,MOD(((1000)-(c_TMAP3IN))*(((C118)-(c_TMAP3IN))*((1000)-(c_TMAP3OUT))+IF(((1000)-(c_TMAP3OUT))&gt;=0,1,-1)*QUOTIENT(((1000)-(c_TMAP3IN)),2))+2147483648,4294967296)-2147483648,((1000)-(c_TMAP3IN))*(((C118)-(c_TMAP3IN))*((1000)-(c_TMAP3OUT))+IF(((1000)-(c_TMAP3OUT))&gt;=0,1,-1)*QUOTIENT(((1000)-(c_TMAP3IN)),2)))&lt;0,-1,0),IF(IF(o_WRAP=1,MOD(((1000)-(c_TMAP3IN))*(((C118)-(c_TMAP3IN))*((1000)-(c_TMAP3OUT))+IF(((1000)-(c_TMAP3OUT))&gt;=0,1,-1)*QUOTIENT(((1000)-(c_TMAP3IN)),2))+2147483648,4294967296)-2147483648,((1000)-(c_TMAP3IN))*(((C118)-(c_TMAP3IN))*((1000)-(c_TMAP3OUT))+IF(((1000)-(c_TMAP3OUT))&gt;=0,1,-1)*QUOTIENT(((1000)-(c_TMAP3IN)),2)))&gt;=0,1,0)))</f>
        <v>-231</v>
      </c>
      <c r="I118" s="7" t="n">
        <f aca="false">IF(C118&gt;=c_TFWD,IF(AND(C118&gt;=c_TMAP3IN,c_TMAP3IN&lt;1000),H118,IF(AND(C118&gt;=c_TMAP2IN,c_TMAP3IN&gt;c_TMAP2IN),G118,IF(AND(C118&gt;=c_TMAP1IN,c_TMAP2IN&gt;c_TMAP1IN),F118,E118))),D118)</f>
        <v>-350</v>
      </c>
      <c r="J118" s="7" t="str">
        <f aca="false">IF(I118&lt;-1090,"TOO LOW",IF(I118&gt;1090,"TOO HIGH",""))</f>
        <v/>
      </c>
      <c r="K118" s="7" t="n">
        <f aca="false">IF(J118&lt;&gt;"",0,IF(I118&gt;979,1000,I118))</f>
        <v>-350</v>
      </c>
      <c r="L118" s="7" t="n">
        <f aca="false">IF(OR(c_TSMOOTH=0,K118&gt;=c_TSMOOTHCUT),1,0)</f>
        <v>0</v>
      </c>
      <c r="M118" s="7" t="n">
        <f aca="false">IF(L118=1,0,M117+1)</f>
        <v>32</v>
      </c>
      <c r="N118" s="7" t="n">
        <f aca="false">IF(L118=1,0,MIN(M118,c_TSMOOTH))</f>
        <v>30</v>
      </c>
      <c r="O118" s="7" t="n">
        <f aca="false">IF(COUNTIF($L$5:L118,1)&gt;0,c_TSMOOTHCUT,0)</f>
        <v>400</v>
      </c>
      <c r="P118" s="15" t="n">
        <f aca="true">IF(L118=1,K118,QUOTIENT(SUM(OFFSET(K118,1-N118,0,N118,1))+(c_TSMOOTH-N118)*O118,c_TSMOOTH))</f>
        <v>-350</v>
      </c>
      <c r="Q118" s="7" t="n">
        <f aca="false">K118/10</f>
        <v>-35</v>
      </c>
      <c r="R118" s="7" t="n">
        <f aca="false">P118/10</f>
        <v>-35</v>
      </c>
    </row>
    <row r="119" customFormat="false" ht="15" hidden="false" customHeight="false" outlineLevel="0" collapsed="false">
      <c r="A119" s="7" t="n">
        <v>114</v>
      </c>
      <c r="B119" s="7" t="n">
        <f aca="false">A119*0.04</f>
        <v>4.56</v>
      </c>
      <c r="C119" s="18" t="n">
        <v>0</v>
      </c>
      <c r="D119" s="7" t="n">
        <f aca="false">IF(AND(C119=0,c_TCREEP&gt;0),10*c_TCREEP,IF(AND(C119&lt;=c_TRNGMIN,C119&gt;=c_TRNGMAX,c_TRNGMIN-c_TRNGMAX&lt;&gt;0),-10*c_TMINRN+QUOTIENT((c_TMAXRN-c_TMINRN)*(100-QUOTIENT((C119-c_TRNGMAX)*100,c_TRNGMIN-c_TRNGMAX)),-10),0))</f>
        <v>-350</v>
      </c>
      <c r="E119" s="7" t="n">
        <f aca="false">IF(((c_TMAP1IN)-(c_TFWD))=0,(0)+QUOTIENT(((c_TMAP1OUT)-(0)),2),QUOTIENT((((C119)-(c_TFWD))*((c_TMAP1OUT)-(0))+IF(((c_TMAP1OUT)-(0))&gt;=0,1,-1)*QUOTIENT(((c_TMAP1IN)-(c_TFWD)),2)),((c_TMAP1IN)-(c_TFWD)))+(0)+IF(((c_TMAP1OUT)-(0))&gt;=0,IF(IF(o_WRAP=1,MOD(((c_TMAP1IN)-(c_TFWD))*(((C119)-(c_TFWD))*((c_TMAP1OUT)-(0))+IF(((c_TMAP1OUT)-(0))&gt;=0,1,-1)*QUOTIENT(((c_TMAP1IN)-(c_TFWD)),2))+2147483648,4294967296)-2147483648,((c_TMAP1IN)-(c_TFWD))*(((C119)-(c_TFWD))*((c_TMAP1OUT)-(0))+IF(((c_TMAP1OUT)-(0))&gt;=0,1,-1)*QUOTIENT(((c_TMAP1IN)-(c_TFWD)),2)))&lt;0,-1,0),IF(IF(o_WRAP=1,MOD(((c_TMAP1IN)-(c_TFWD))*(((C119)-(c_TFWD))*((c_TMAP1OUT)-(0))+IF(((c_TMAP1OUT)-(0))&gt;=0,1,-1)*QUOTIENT(((c_TMAP1IN)-(c_TFWD)),2))+2147483648,4294967296)-2147483648,((c_TMAP1IN)-(c_TFWD))*(((C119)-(c_TFWD))*((c_TMAP1OUT)-(0))+IF(((c_TMAP1OUT)-(0))&gt;=0,1,-1)*QUOTIENT(((c_TMAP1IN)-(c_TFWD)),2)))&gt;=0,1,0)))</f>
        <v>-8</v>
      </c>
      <c r="F119" s="7" t="n">
        <f aca="false">IF(((c_TMAP2IN)-(c_TMAP1IN))=0,(c_TMAP1OUT)+QUOTIENT(((c_TMAP2OUT)-(c_TMAP1OUT)),2),QUOTIENT((((C119)-(c_TMAP1IN))*((c_TMAP2OUT)-(c_TMAP1OUT))+IF(((c_TMAP2OUT)-(c_TMAP1OUT))&gt;=0,1,-1)*QUOTIENT(((c_TMAP2IN)-(c_TMAP1IN)),2)),((c_TMAP2IN)-(c_TMAP1IN)))+(c_TMAP1OUT)+IF(((c_TMAP2OUT)-(c_TMAP1OUT))&gt;=0,IF(IF(o_WRAP=1,MOD(((c_TMAP2IN)-(c_TMAP1IN))*(((C119)-(c_TMAP1IN))*((c_TMAP2OUT)-(c_TMAP1OUT))+IF(((c_TMAP2OUT)-(c_TMAP1OUT))&gt;=0,1,-1)*QUOTIENT(((c_TMAP2IN)-(c_TMAP1IN)),2))+2147483648,4294967296)-2147483648,((c_TMAP2IN)-(c_TMAP1IN))*(((C119)-(c_TMAP1IN))*((c_TMAP2OUT)-(c_TMAP1OUT))+IF(((c_TMAP2OUT)-(c_TMAP1OUT))&gt;=0,1,-1)*QUOTIENT(((c_TMAP2IN)-(c_TMAP1IN)),2)))&lt;0,-1,0),IF(IF(o_WRAP=1,MOD(((c_TMAP2IN)-(c_TMAP1IN))*(((C119)-(c_TMAP1IN))*((c_TMAP2OUT)-(c_TMAP1OUT))+IF(((c_TMAP2OUT)-(c_TMAP1OUT))&gt;=0,1,-1)*QUOTIENT(((c_TMAP2IN)-(c_TMAP1IN)),2))+2147483648,4294967296)-2147483648,((c_TMAP2IN)-(c_TMAP1IN))*(((C119)-(c_TMAP1IN))*((c_TMAP2OUT)-(c_TMAP1OUT))+IF(((c_TMAP2OUT)-(c_TMAP1OUT))&gt;=0,1,-1)*QUOTIENT(((c_TMAP2IN)-(c_TMAP1IN)),2)))&gt;=0,1,0)))</f>
        <v>30</v>
      </c>
      <c r="G119" s="7" t="n">
        <f aca="false">IF(((c_TMAP3IN)-(c_TMAP2IN))=0,(c_TMAP2OUT)+QUOTIENT(((c_TMAP3OUT)-(c_TMAP2OUT)),2),QUOTIENT((((C119)-(c_TMAP2IN))*((c_TMAP3OUT)-(c_TMAP2OUT))+IF(((c_TMAP3OUT)-(c_TMAP2OUT))&gt;=0,1,-1)*QUOTIENT(((c_TMAP3IN)-(c_TMAP2IN)),2)),((c_TMAP3IN)-(c_TMAP2IN)))+(c_TMAP2OUT)+IF(((c_TMAP3OUT)-(c_TMAP2OUT))&gt;=0,IF(IF(o_WRAP=1,MOD(((c_TMAP3IN)-(c_TMAP2IN))*(((C119)-(c_TMAP2IN))*((c_TMAP3OUT)-(c_TMAP2OUT))+IF(((c_TMAP3OUT)-(c_TMAP2OUT))&gt;=0,1,-1)*QUOTIENT(((c_TMAP3IN)-(c_TMAP2IN)),2))+2147483648,4294967296)-2147483648,((c_TMAP3IN)-(c_TMAP2IN))*(((C119)-(c_TMAP2IN))*((c_TMAP3OUT)-(c_TMAP2OUT))+IF(((c_TMAP3OUT)-(c_TMAP2OUT))&gt;=0,1,-1)*QUOTIENT(((c_TMAP3IN)-(c_TMAP2IN)),2)))&lt;0,-1,0),IF(IF(o_WRAP=1,MOD(((c_TMAP3IN)-(c_TMAP2IN))*(((C119)-(c_TMAP2IN))*((c_TMAP3OUT)-(c_TMAP2OUT))+IF(((c_TMAP3OUT)-(c_TMAP2OUT))&gt;=0,1,-1)*QUOTIENT(((c_TMAP3IN)-(c_TMAP2IN)),2))+2147483648,4294967296)-2147483648,((c_TMAP3IN)-(c_TMAP2IN))*(((C119)-(c_TMAP2IN))*((c_TMAP3OUT)-(c_TMAP2OUT))+IF(((c_TMAP3OUT)-(c_TMAP2OUT))&gt;=0,1,-1)*QUOTIENT(((c_TMAP3IN)-(c_TMAP2IN)),2)))&gt;=0,1,0)))</f>
        <v>-45</v>
      </c>
      <c r="H119" s="7" t="n">
        <f aca="false">IF(((1000)-(c_TMAP3IN))=0,(c_TMAP3OUT)+QUOTIENT(((1000)-(c_TMAP3OUT)),2),QUOTIENT((((C119)-(c_TMAP3IN))*((1000)-(c_TMAP3OUT))+IF(((1000)-(c_TMAP3OUT))&gt;=0,1,-1)*QUOTIENT(((1000)-(c_TMAP3IN)),2)),((1000)-(c_TMAP3IN)))+(c_TMAP3OUT)+IF(((1000)-(c_TMAP3OUT))&gt;=0,IF(IF(o_WRAP=1,MOD(((1000)-(c_TMAP3IN))*(((C119)-(c_TMAP3IN))*((1000)-(c_TMAP3OUT))+IF(((1000)-(c_TMAP3OUT))&gt;=0,1,-1)*QUOTIENT(((1000)-(c_TMAP3IN)),2))+2147483648,4294967296)-2147483648,((1000)-(c_TMAP3IN))*(((C119)-(c_TMAP3IN))*((1000)-(c_TMAP3OUT))+IF(((1000)-(c_TMAP3OUT))&gt;=0,1,-1)*QUOTIENT(((1000)-(c_TMAP3IN)),2)))&lt;0,-1,0),IF(IF(o_WRAP=1,MOD(((1000)-(c_TMAP3IN))*(((C119)-(c_TMAP3IN))*((1000)-(c_TMAP3OUT))+IF(((1000)-(c_TMAP3OUT))&gt;=0,1,-1)*QUOTIENT(((1000)-(c_TMAP3IN)),2))+2147483648,4294967296)-2147483648,((1000)-(c_TMAP3IN))*(((C119)-(c_TMAP3IN))*((1000)-(c_TMAP3OUT))+IF(((1000)-(c_TMAP3OUT))&gt;=0,1,-1)*QUOTIENT(((1000)-(c_TMAP3IN)),2)))&gt;=0,1,0)))</f>
        <v>-231</v>
      </c>
      <c r="I119" s="7" t="n">
        <f aca="false">IF(C119&gt;=c_TFWD,IF(AND(C119&gt;=c_TMAP3IN,c_TMAP3IN&lt;1000),H119,IF(AND(C119&gt;=c_TMAP2IN,c_TMAP3IN&gt;c_TMAP2IN),G119,IF(AND(C119&gt;=c_TMAP1IN,c_TMAP2IN&gt;c_TMAP1IN),F119,E119))),D119)</f>
        <v>-350</v>
      </c>
      <c r="J119" s="7" t="str">
        <f aca="false">IF(I119&lt;-1090,"TOO LOW",IF(I119&gt;1090,"TOO HIGH",""))</f>
        <v/>
      </c>
      <c r="K119" s="7" t="n">
        <f aca="false">IF(J119&lt;&gt;"",0,IF(I119&gt;979,1000,I119))</f>
        <v>-350</v>
      </c>
      <c r="L119" s="7" t="n">
        <f aca="false">IF(OR(c_TSMOOTH=0,K119&gt;=c_TSMOOTHCUT),1,0)</f>
        <v>0</v>
      </c>
      <c r="M119" s="7" t="n">
        <f aca="false">IF(L119=1,0,M118+1)</f>
        <v>33</v>
      </c>
      <c r="N119" s="7" t="n">
        <f aca="false">IF(L119=1,0,MIN(M119,c_TSMOOTH))</f>
        <v>30</v>
      </c>
      <c r="O119" s="7" t="n">
        <f aca="false">IF(COUNTIF($L$5:L119,1)&gt;0,c_TSMOOTHCUT,0)</f>
        <v>400</v>
      </c>
      <c r="P119" s="15" t="n">
        <f aca="true">IF(L119=1,K119,QUOTIENT(SUM(OFFSET(K119,1-N119,0,N119,1))+(c_TSMOOTH-N119)*O119,c_TSMOOTH))</f>
        <v>-350</v>
      </c>
      <c r="Q119" s="7" t="n">
        <f aca="false">K119/10</f>
        <v>-35</v>
      </c>
      <c r="R119" s="7" t="n">
        <f aca="false">P119/10</f>
        <v>-35</v>
      </c>
    </row>
    <row r="120" customFormat="false" ht="15" hidden="false" customHeight="false" outlineLevel="0" collapsed="false">
      <c r="A120" s="7" t="n">
        <v>115</v>
      </c>
      <c r="B120" s="7" t="n">
        <f aca="false">A120*0.04</f>
        <v>4.6</v>
      </c>
      <c r="C120" s="18" t="n">
        <v>0</v>
      </c>
      <c r="D120" s="7" t="n">
        <f aca="false">IF(AND(C120=0,c_TCREEP&gt;0),10*c_TCREEP,IF(AND(C120&lt;=c_TRNGMIN,C120&gt;=c_TRNGMAX,c_TRNGMIN-c_TRNGMAX&lt;&gt;0),-10*c_TMINRN+QUOTIENT((c_TMAXRN-c_TMINRN)*(100-QUOTIENT((C120-c_TRNGMAX)*100,c_TRNGMIN-c_TRNGMAX)),-10),0))</f>
        <v>-350</v>
      </c>
      <c r="E120" s="7" t="n">
        <f aca="false">IF(((c_TMAP1IN)-(c_TFWD))=0,(0)+QUOTIENT(((c_TMAP1OUT)-(0)),2),QUOTIENT((((C120)-(c_TFWD))*((c_TMAP1OUT)-(0))+IF(((c_TMAP1OUT)-(0))&gt;=0,1,-1)*QUOTIENT(((c_TMAP1IN)-(c_TFWD)),2)),((c_TMAP1IN)-(c_TFWD)))+(0)+IF(((c_TMAP1OUT)-(0))&gt;=0,IF(IF(o_WRAP=1,MOD(((c_TMAP1IN)-(c_TFWD))*(((C120)-(c_TFWD))*((c_TMAP1OUT)-(0))+IF(((c_TMAP1OUT)-(0))&gt;=0,1,-1)*QUOTIENT(((c_TMAP1IN)-(c_TFWD)),2))+2147483648,4294967296)-2147483648,((c_TMAP1IN)-(c_TFWD))*(((C120)-(c_TFWD))*((c_TMAP1OUT)-(0))+IF(((c_TMAP1OUT)-(0))&gt;=0,1,-1)*QUOTIENT(((c_TMAP1IN)-(c_TFWD)),2)))&lt;0,-1,0),IF(IF(o_WRAP=1,MOD(((c_TMAP1IN)-(c_TFWD))*(((C120)-(c_TFWD))*((c_TMAP1OUT)-(0))+IF(((c_TMAP1OUT)-(0))&gt;=0,1,-1)*QUOTIENT(((c_TMAP1IN)-(c_TFWD)),2))+2147483648,4294967296)-2147483648,((c_TMAP1IN)-(c_TFWD))*(((C120)-(c_TFWD))*((c_TMAP1OUT)-(0))+IF(((c_TMAP1OUT)-(0))&gt;=0,1,-1)*QUOTIENT(((c_TMAP1IN)-(c_TFWD)),2)))&gt;=0,1,0)))</f>
        <v>-8</v>
      </c>
      <c r="F120" s="7" t="n">
        <f aca="false">IF(((c_TMAP2IN)-(c_TMAP1IN))=0,(c_TMAP1OUT)+QUOTIENT(((c_TMAP2OUT)-(c_TMAP1OUT)),2),QUOTIENT((((C120)-(c_TMAP1IN))*((c_TMAP2OUT)-(c_TMAP1OUT))+IF(((c_TMAP2OUT)-(c_TMAP1OUT))&gt;=0,1,-1)*QUOTIENT(((c_TMAP2IN)-(c_TMAP1IN)),2)),((c_TMAP2IN)-(c_TMAP1IN)))+(c_TMAP1OUT)+IF(((c_TMAP2OUT)-(c_TMAP1OUT))&gt;=0,IF(IF(o_WRAP=1,MOD(((c_TMAP2IN)-(c_TMAP1IN))*(((C120)-(c_TMAP1IN))*((c_TMAP2OUT)-(c_TMAP1OUT))+IF(((c_TMAP2OUT)-(c_TMAP1OUT))&gt;=0,1,-1)*QUOTIENT(((c_TMAP2IN)-(c_TMAP1IN)),2))+2147483648,4294967296)-2147483648,((c_TMAP2IN)-(c_TMAP1IN))*(((C120)-(c_TMAP1IN))*((c_TMAP2OUT)-(c_TMAP1OUT))+IF(((c_TMAP2OUT)-(c_TMAP1OUT))&gt;=0,1,-1)*QUOTIENT(((c_TMAP2IN)-(c_TMAP1IN)),2)))&lt;0,-1,0),IF(IF(o_WRAP=1,MOD(((c_TMAP2IN)-(c_TMAP1IN))*(((C120)-(c_TMAP1IN))*((c_TMAP2OUT)-(c_TMAP1OUT))+IF(((c_TMAP2OUT)-(c_TMAP1OUT))&gt;=0,1,-1)*QUOTIENT(((c_TMAP2IN)-(c_TMAP1IN)),2))+2147483648,4294967296)-2147483648,((c_TMAP2IN)-(c_TMAP1IN))*(((C120)-(c_TMAP1IN))*((c_TMAP2OUT)-(c_TMAP1OUT))+IF(((c_TMAP2OUT)-(c_TMAP1OUT))&gt;=0,1,-1)*QUOTIENT(((c_TMAP2IN)-(c_TMAP1IN)),2)))&gt;=0,1,0)))</f>
        <v>30</v>
      </c>
      <c r="G120" s="7" t="n">
        <f aca="false">IF(((c_TMAP3IN)-(c_TMAP2IN))=0,(c_TMAP2OUT)+QUOTIENT(((c_TMAP3OUT)-(c_TMAP2OUT)),2),QUOTIENT((((C120)-(c_TMAP2IN))*((c_TMAP3OUT)-(c_TMAP2OUT))+IF(((c_TMAP3OUT)-(c_TMAP2OUT))&gt;=0,1,-1)*QUOTIENT(((c_TMAP3IN)-(c_TMAP2IN)),2)),((c_TMAP3IN)-(c_TMAP2IN)))+(c_TMAP2OUT)+IF(((c_TMAP3OUT)-(c_TMAP2OUT))&gt;=0,IF(IF(o_WRAP=1,MOD(((c_TMAP3IN)-(c_TMAP2IN))*(((C120)-(c_TMAP2IN))*((c_TMAP3OUT)-(c_TMAP2OUT))+IF(((c_TMAP3OUT)-(c_TMAP2OUT))&gt;=0,1,-1)*QUOTIENT(((c_TMAP3IN)-(c_TMAP2IN)),2))+2147483648,4294967296)-2147483648,((c_TMAP3IN)-(c_TMAP2IN))*(((C120)-(c_TMAP2IN))*((c_TMAP3OUT)-(c_TMAP2OUT))+IF(((c_TMAP3OUT)-(c_TMAP2OUT))&gt;=0,1,-1)*QUOTIENT(((c_TMAP3IN)-(c_TMAP2IN)),2)))&lt;0,-1,0),IF(IF(o_WRAP=1,MOD(((c_TMAP3IN)-(c_TMAP2IN))*(((C120)-(c_TMAP2IN))*((c_TMAP3OUT)-(c_TMAP2OUT))+IF(((c_TMAP3OUT)-(c_TMAP2OUT))&gt;=0,1,-1)*QUOTIENT(((c_TMAP3IN)-(c_TMAP2IN)),2))+2147483648,4294967296)-2147483648,((c_TMAP3IN)-(c_TMAP2IN))*(((C120)-(c_TMAP2IN))*((c_TMAP3OUT)-(c_TMAP2OUT))+IF(((c_TMAP3OUT)-(c_TMAP2OUT))&gt;=0,1,-1)*QUOTIENT(((c_TMAP3IN)-(c_TMAP2IN)),2)))&gt;=0,1,0)))</f>
        <v>-45</v>
      </c>
      <c r="H120" s="7" t="n">
        <f aca="false">IF(((1000)-(c_TMAP3IN))=0,(c_TMAP3OUT)+QUOTIENT(((1000)-(c_TMAP3OUT)),2),QUOTIENT((((C120)-(c_TMAP3IN))*((1000)-(c_TMAP3OUT))+IF(((1000)-(c_TMAP3OUT))&gt;=0,1,-1)*QUOTIENT(((1000)-(c_TMAP3IN)),2)),((1000)-(c_TMAP3IN)))+(c_TMAP3OUT)+IF(((1000)-(c_TMAP3OUT))&gt;=0,IF(IF(o_WRAP=1,MOD(((1000)-(c_TMAP3IN))*(((C120)-(c_TMAP3IN))*((1000)-(c_TMAP3OUT))+IF(((1000)-(c_TMAP3OUT))&gt;=0,1,-1)*QUOTIENT(((1000)-(c_TMAP3IN)),2))+2147483648,4294967296)-2147483648,((1000)-(c_TMAP3IN))*(((C120)-(c_TMAP3IN))*((1000)-(c_TMAP3OUT))+IF(((1000)-(c_TMAP3OUT))&gt;=0,1,-1)*QUOTIENT(((1000)-(c_TMAP3IN)),2)))&lt;0,-1,0),IF(IF(o_WRAP=1,MOD(((1000)-(c_TMAP3IN))*(((C120)-(c_TMAP3IN))*((1000)-(c_TMAP3OUT))+IF(((1000)-(c_TMAP3OUT))&gt;=0,1,-1)*QUOTIENT(((1000)-(c_TMAP3IN)),2))+2147483648,4294967296)-2147483648,((1000)-(c_TMAP3IN))*(((C120)-(c_TMAP3IN))*((1000)-(c_TMAP3OUT))+IF(((1000)-(c_TMAP3OUT))&gt;=0,1,-1)*QUOTIENT(((1000)-(c_TMAP3IN)),2)))&gt;=0,1,0)))</f>
        <v>-231</v>
      </c>
      <c r="I120" s="7" t="n">
        <f aca="false">IF(C120&gt;=c_TFWD,IF(AND(C120&gt;=c_TMAP3IN,c_TMAP3IN&lt;1000),H120,IF(AND(C120&gt;=c_TMAP2IN,c_TMAP3IN&gt;c_TMAP2IN),G120,IF(AND(C120&gt;=c_TMAP1IN,c_TMAP2IN&gt;c_TMAP1IN),F120,E120))),D120)</f>
        <v>-350</v>
      </c>
      <c r="J120" s="7" t="str">
        <f aca="false">IF(I120&lt;-1090,"TOO LOW",IF(I120&gt;1090,"TOO HIGH",""))</f>
        <v/>
      </c>
      <c r="K120" s="7" t="n">
        <f aca="false">IF(J120&lt;&gt;"",0,IF(I120&gt;979,1000,I120))</f>
        <v>-350</v>
      </c>
      <c r="L120" s="7" t="n">
        <f aca="false">IF(OR(c_TSMOOTH=0,K120&gt;=c_TSMOOTHCUT),1,0)</f>
        <v>0</v>
      </c>
      <c r="M120" s="7" t="n">
        <f aca="false">IF(L120=1,0,M119+1)</f>
        <v>34</v>
      </c>
      <c r="N120" s="7" t="n">
        <f aca="false">IF(L120=1,0,MIN(M120,c_TSMOOTH))</f>
        <v>30</v>
      </c>
      <c r="O120" s="7" t="n">
        <f aca="false">IF(COUNTIF($L$5:L120,1)&gt;0,c_TSMOOTHCUT,0)</f>
        <v>400</v>
      </c>
      <c r="P120" s="15" t="n">
        <f aca="true">IF(L120=1,K120,QUOTIENT(SUM(OFFSET(K120,1-N120,0,N120,1))+(c_TSMOOTH-N120)*O120,c_TSMOOTH))</f>
        <v>-350</v>
      </c>
      <c r="Q120" s="7" t="n">
        <f aca="false">K120/10</f>
        <v>-35</v>
      </c>
      <c r="R120" s="7" t="n">
        <f aca="false">P120/10</f>
        <v>-35</v>
      </c>
    </row>
    <row r="121" customFormat="false" ht="15" hidden="false" customHeight="false" outlineLevel="0" collapsed="false">
      <c r="A121" s="7" t="n">
        <v>116</v>
      </c>
      <c r="B121" s="7" t="n">
        <f aca="false">A121*0.04</f>
        <v>4.64</v>
      </c>
      <c r="C121" s="18" t="n">
        <v>0</v>
      </c>
      <c r="D121" s="7" t="n">
        <f aca="false">IF(AND(C121=0,c_TCREEP&gt;0),10*c_TCREEP,IF(AND(C121&lt;=c_TRNGMIN,C121&gt;=c_TRNGMAX,c_TRNGMIN-c_TRNGMAX&lt;&gt;0),-10*c_TMINRN+QUOTIENT((c_TMAXRN-c_TMINRN)*(100-QUOTIENT((C121-c_TRNGMAX)*100,c_TRNGMIN-c_TRNGMAX)),-10),0))</f>
        <v>-350</v>
      </c>
      <c r="E121" s="7" t="n">
        <f aca="false">IF(((c_TMAP1IN)-(c_TFWD))=0,(0)+QUOTIENT(((c_TMAP1OUT)-(0)),2),QUOTIENT((((C121)-(c_TFWD))*((c_TMAP1OUT)-(0))+IF(((c_TMAP1OUT)-(0))&gt;=0,1,-1)*QUOTIENT(((c_TMAP1IN)-(c_TFWD)),2)),((c_TMAP1IN)-(c_TFWD)))+(0)+IF(((c_TMAP1OUT)-(0))&gt;=0,IF(IF(o_WRAP=1,MOD(((c_TMAP1IN)-(c_TFWD))*(((C121)-(c_TFWD))*((c_TMAP1OUT)-(0))+IF(((c_TMAP1OUT)-(0))&gt;=0,1,-1)*QUOTIENT(((c_TMAP1IN)-(c_TFWD)),2))+2147483648,4294967296)-2147483648,((c_TMAP1IN)-(c_TFWD))*(((C121)-(c_TFWD))*((c_TMAP1OUT)-(0))+IF(((c_TMAP1OUT)-(0))&gt;=0,1,-1)*QUOTIENT(((c_TMAP1IN)-(c_TFWD)),2)))&lt;0,-1,0),IF(IF(o_WRAP=1,MOD(((c_TMAP1IN)-(c_TFWD))*(((C121)-(c_TFWD))*((c_TMAP1OUT)-(0))+IF(((c_TMAP1OUT)-(0))&gt;=0,1,-1)*QUOTIENT(((c_TMAP1IN)-(c_TFWD)),2))+2147483648,4294967296)-2147483648,((c_TMAP1IN)-(c_TFWD))*(((C121)-(c_TFWD))*((c_TMAP1OUT)-(0))+IF(((c_TMAP1OUT)-(0))&gt;=0,1,-1)*QUOTIENT(((c_TMAP1IN)-(c_TFWD)),2)))&gt;=0,1,0)))</f>
        <v>-8</v>
      </c>
      <c r="F121" s="7" t="n">
        <f aca="false">IF(((c_TMAP2IN)-(c_TMAP1IN))=0,(c_TMAP1OUT)+QUOTIENT(((c_TMAP2OUT)-(c_TMAP1OUT)),2),QUOTIENT((((C121)-(c_TMAP1IN))*((c_TMAP2OUT)-(c_TMAP1OUT))+IF(((c_TMAP2OUT)-(c_TMAP1OUT))&gt;=0,1,-1)*QUOTIENT(((c_TMAP2IN)-(c_TMAP1IN)),2)),((c_TMAP2IN)-(c_TMAP1IN)))+(c_TMAP1OUT)+IF(((c_TMAP2OUT)-(c_TMAP1OUT))&gt;=0,IF(IF(o_WRAP=1,MOD(((c_TMAP2IN)-(c_TMAP1IN))*(((C121)-(c_TMAP1IN))*((c_TMAP2OUT)-(c_TMAP1OUT))+IF(((c_TMAP2OUT)-(c_TMAP1OUT))&gt;=0,1,-1)*QUOTIENT(((c_TMAP2IN)-(c_TMAP1IN)),2))+2147483648,4294967296)-2147483648,((c_TMAP2IN)-(c_TMAP1IN))*(((C121)-(c_TMAP1IN))*((c_TMAP2OUT)-(c_TMAP1OUT))+IF(((c_TMAP2OUT)-(c_TMAP1OUT))&gt;=0,1,-1)*QUOTIENT(((c_TMAP2IN)-(c_TMAP1IN)),2)))&lt;0,-1,0),IF(IF(o_WRAP=1,MOD(((c_TMAP2IN)-(c_TMAP1IN))*(((C121)-(c_TMAP1IN))*((c_TMAP2OUT)-(c_TMAP1OUT))+IF(((c_TMAP2OUT)-(c_TMAP1OUT))&gt;=0,1,-1)*QUOTIENT(((c_TMAP2IN)-(c_TMAP1IN)),2))+2147483648,4294967296)-2147483648,((c_TMAP2IN)-(c_TMAP1IN))*(((C121)-(c_TMAP1IN))*((c_TMAP2OUT)-(c_TMAP1OUT))+IF(((c_TMAP2OUT)-(c_TMAP1OUT))&gt;=0,1,-1)*QUOTIENT(((c_TMAP2IN)-(c_TMAP1IN)),2)))&gt;=0,1,0)))</f>
        <v>30</v>
      </c>
      <c r="G121" s="7" t="n">
        <f aca="false">IF(((c_TMAP3IN)-(c_TMAP2IN))=0,(c_TMAP2OUT)+QUOTIENT(((c_TMAP3OUT)-(c_TMAP2OUT)),2),QUOTIENT((((C121)-(c_TMAP2IN))*((c_TMAP3OUT)-(c_TMAP2OUT))+IF(((c_TMAP3OUT)-(c_TMAP2OUT))&gt;=0,1,-1)*QUOTIENT(((c_TMAP3IN)-(c_TMAP2IN)),2)),((c_TMAP3IN)-(c_TMAP2IN)))+(c_TMAP2OUT)+IF(((c_TMAP3OUT)-(c_TMAP2OUT))&gt;=0,IF(IF(o_WRAP=1,MOD(((c_TMAP3IN)-(c_TMAP2IN))*(((C121)-(c_TMAP2IN))*((c_TMAP3OUT)-(c_TMAP2OUT))+IF(((c_TMAP3OUT)-(c_TMAP2OUT))&gt;=0,1,-1)*QUOTIENT(((c_TMAP3IN)-(c_TMAP2IN)),2))+2147483648,4294967296)-2147483648,((c_TMAP3IN)-(c_TMAP2IN))*(((C121)-(c_TMAP2IN))*((c_TMAP3OUT)-(c_TMAP2OUT))+IF(((c_TMAP3OUT)-(c_TMAP2OUT))&gt;=0,1,-1)*QUOTIENT(((c_TMAP3IN)-(c_TMAP2IN)),2)))&lt;0,-1,0),IF(IF(o_WRAP=1,MOD(((c_TMAP3IN)-(c_TMAP2IN))*(((C121)-(c_TMAP2IN))*((c_TMAP3OUT)-(c_TMAP2OUT))+IF(((c_TMAP3OUT)-(c_TMAP2OUT))&gt;=0,1,-1)*QUOTIENT(((c_TMAP3IN)-(c_TMAP2IN)),2))+2147483648,4294967296)-2147483648,((c_TMAP3IN)-(c_TMAP2IN))*(((C121)-(c_TMAP2IN))*((c_TMAP3OUT)-(c_TMAP2OUT))+IF(((c_TMAP3OUT)-(c_TMAP2OUT))&gt;=0,1,-1)*QUOTIENT(((c_TMAP3IN)-(c_TMAP2IN)),2)))&gt;=0,1,0)))</f>
        <v>-45</v>
      </c>
      <c r="H121" s="7" t="n">
        <f aca="false">IF(((1000)-(c_TMAP3IN))=0,(c_TMAP3OUT)+QUOTIENT(((1000)-(c_TMAP3OUT)),2),QUOTIENT((((C121)-(c_TMAP3IN))*((1000)-(c_TMAP3OUT))+IF(((1000)-(c_TMAP3OUT))&gt;=0,1,-1)*QUOTIENT(((1000)-(c_TMAP3IN)),2)),((1000)-(c_TMAP3IN)))+(c_TMAP3OUT)+IF(((1000)-(c_TMAP3OUT))&gt;=0,IF(IF(o_WRAP=1,MOD(((1000)-(c_TMAP3IN))*(((C121)-(c_TMAP3IN))*((1000)-(c_TMAP3OUT))+IF(((1000)-(c_TMAP3OUT))&gt;=0,1,-1)*QUOTIENT(((1000)-(c_TMAP3IN)),2))+2147483648,4294967296)-2147483648,((1000)-(c_TMAP3IN))*(((C121)-(c_TMAP3IN))*((1000)-(c_TMAP3OUT))+IF(((1000)-(c_TMAP3OUT))&gt;=0,1,-1)*QUOTIENT(((1000)-(c_TMAP3IN)),2)))&lt;0,-1,0),IF(IF(o_WRAP=1,MOD(((1000)-(c_TMAP3IN))*(((C121)-(c_TMAP3IN))*((1000)-(c_TMAP3OUT))+IF(((1000)-(c_TMAP3OUT))&gt;=0,1,-1)*QUOTIENT(((1000)-(c_TMAP3IN)),2))+2147483648,4294967296)-2147483648,((1000)-(c_TMAP3IN))*(((C121)-(c_TMAP3IN))*((1000)-(c_TMAP3OUT))+IF(((1000)-(c_TMAP3OUT))&gt;=0,1,-1)*QUOTIENT(((1000)-(c_TMAP3IN)),2)))&gt;=0,1,0)))</f>
        <v>-231</v>
      </c>
      <c r="I121" s="7" t="n">
        <f aca="false">IF(C121&gt;=c_TFWD,IF(AND(C121&gt;=c_TMAP3IN,c_TMAP3IN&lt;1000),H121,IF(AND(C121&gt;=c_TMAP2IN,c_TMAP3IN&gt;c_TMAP2IN),G121,IF(AND(C121&gt;=c_TMAP1IN,c_TMAP2IN&gt;c_TMAP1IN),F121,E121))),D121)</f>
        <v>-350</v>
      </c>
      <c r="J121" s="7" t="str">
        <f aca="false">IF(I121&lt;-1090,"TOO LOW",IF(I121&gt;1090,"TOO HIGH",""))</f>
        <v/>
      </c>
      <c r="K121" s="7" t="n">
        <f aca="false">IF(J121&lt;&gt;"",0,IF(I121&gt;979,1000,I121))</f>
        <v>-350</v>
      </c>
      <c r="L121" s="7" t="n">
        <f aca="false">IF(OR(c_TSMOOTH=0,K121&gt;=c_TSMOOTHCUT),1,0)</f>
        <v>0</v>
      </c>
      <c r="M121" s="7" t="n">
        <f aca="false">IF(L121=1,0,M120+1)</f>
        <v>35</v>
      </c>
      <c r="N121" s="7" t="n">
        <f aca="false">IF(L121=1,0,MIN(M121,c_TSMOOTH))</f>
        <v>30</v>
      </c>
      <c r="O121" s="7" t="n">
        <f aca="false">IF(COUNTIF($L$5:L121,1)&gt;0,c_TSMOOTHCUT,0)</f>
        <v>400</v>
      </c>
      <c r="P121" s="15" t="n">
        <f aca="true">IF(L121=1,K121,QUOTIENT(SUM(OFFSET(K121,1-N121,0,N121,1))+(c_TSMOOTH-N121)*O121,c_TSMOOTH))</f>
        <v>-350</v>
      </c>
      <c r="Q121" s="7" t="n">
        <f aca="false">K121/10</f>
        <v>-35</v>
      </c>
      <c r="R121" s="7" t="n">
        <f aca="false">P121/10</f>
        <v>-35</v>
      </c>
    </row>
    <row r="122" customFormat="false" ht="15" hidden="false" customHeight="false" outlineLevel="0" collapsed="false">
      <c r="A122" s="7" t="n">
        <v>117</v>
      </c>
      <c r="B122" s="7" t="n">
        <f aca="false">A122*0.04</f>
        <v>4.68</v>
      </c>
      <c r="C122" s="18" t="n">
        <v>0</v>
      </c>
      <c r="D122" s="7" t="n">
        <f aca="false">IF(AND(C122=0,c_TCREEP&gt;0),10*c_TCREEP,IF(AND(C122&lt;=c_TRNGMIN,C122&gt;=c_TRNGMAX,c_TRNGMIN-c_TRNGMAX&lt;&gt;0),-10*c_TMINRN+QUOTIENT((c_TMAXRN-c_TMINRN)*(100-QUOTIENT((C122-c_TRNGMAX)*100,c_TRNGMIN-c_TRNGMAX)),-10),0))</f>
        <v>-350</v>
      </c>
      <c r="E122" s="7" t="n">
        <f aca="false">IF(((c_TMAP1IN)-(c_TFWD))=0,(0)+QUOTIENT(((c_TMAP1OUT)-(0)),2),QUOTIENT((((C122)-(c_TFWD))*((c_TMAP1OUT)-(0))+IF(((c_TMAP1OUT)-(0))&gt;=0,1,-1)*QUOTIENT(((c_TMAP1IN)-(c_TFWD)),2)),((c_TMAP1IN)-(c_TFWD)))+(0)+IF(((c_TMAP1OUT)-(0))&gt;=0,IF(IF(o_WRAP=1,MOD(((c_TMAP1IN)-(c_TFWD))*(((C122)-(c_TFWD))*((c_TMAP1OUT)-(0))+IF(((c_TMAP1OUT)-(0))&gt;=0,1,-1)*QUOTIENT(((c_TMAP1IN)-(c_TFWD)),2))+2147483648,4294967296)-2147483648,((c_TMAP1IN)-(c_TFWD))*(((C122)-(c_TFWD))*((c_TMAP1OUT)-(0))+IF(((c_TMAP1OUT)-(0))&gt;=0,1,-1)*QUOTIENT(((c_TMAP1IN)-(c_TFWD)),2)))&lt;0,-1,0),IF(IF(o_WRAP=1,MOD(((c_TMAP1IN)-(c_TFWD))*(((C122)-(c_TFWD))*((c_TMAP1OUT)-(0))+IF(((c_TMAP1OUT)-(0))&gt;=0,1,-1)*QUOTIENT(((c_TMAP1IN)-(c_TFWD)),2))+2147483648,4294967296)-2147483648,((c_TMAP1IN)-(c_TFWD))*(((C122)-(c_TFWD))*((c_TMAP1OUT)-(0))+IF(((c_TMAP1OUT)-(0))&gt;=0,1,-1)*QUOTIENT(((c_TMAP1IN)-(c_TFWD)),2)))&gt;=0,1,0)))</f>
        <v>-8</v>
      </c>
      <c r="F122" s="7" t="n">
        <f aca="false">IF(((c_TMAP2IN)-(c_TMAP1IN))=0,(c_TMAP1OUT)+QUOTIENT(((c_TMAP2OUT)-(c_TMAP1OUT)),2),QUOTIENT((((C122)-(c_TMAP1IN))*((c_TMAP2OUT)-(c_TMAP1OUT))+IF(((c_TMAP2OUT)-(c_TMAP1OUT))&gt;=0,1,-1)*QUOTIENT(((c_TMAP2IN)-(c_TMAP1IN)),2)),((c_TMAP2IN)-(c_TMAP1IN)))+(c_TMAP1OUT)+IF(((c_TMAP2OUT)-(c_TMAP1OUT))&gt;=0,IF(IF(o_WRAP=1,MOD(((c_TMAP2IN)-(c_TMAP1IN))*(((C122)-(c_TMAP1IN))*((c_TMAP2OUT)-(c_TMAP1OUT))+IF(((c_TMAP2OUT)-(c_TMAP1OUT))&gt;=0,1,-1)*QUOTIENT(((c_TMAP2IN)-(c_TMAP1IN)),2))+2147483648,4294967296)-2147483648,((c_TMAP2IN)-(c_TMAP1IN))*(((C122)-(c_TMAP1IN))*((c_TMAP2OUT)-(c_TMAP1OUT))+IF(((c_TMAP2OUT)-(c_TMAP1OUT))&gt;=0,1,-1)*QUOTIENT(((c_TMAP2IN)-(c_TMAP1IN)),2)))&lt;0,-1,0),IF(IF(o_WRAP=1,MOD(((c_TMAP2IN)-(c_TMAP1IN))*(((C122)-(c_TMAP1IN))*((c_TMAP2OUT)-(c_TMAP1OUT))+IF(((c_TMAP2OUT)-(c_TMAP1OUT))&gt;=0,1,-1)*QUOTIENT(((c_TMAP2IN)-(c_TMAP1IN)),2))+2147483648,4294967296)-2147483648,((c_TMAP2IN)-(c_TMAP1IN))*(((C122)-(c_TMAP1IN))*((c_TMAP2OUT)-(c_TMAP1OUT))+IF(((c_TMAP2OUT)-(c_TMAP1OUT))&gt;=0,1,-1)*QUOTIENT(((c_TMAP2IN)-(c_TMAP1IN)),2)))&gt;=0,1,0)))</f>
        <v>30</v>
      </c>
      <c r="G122" s="7" t="n">
        <f aca="false">IF(((c_TMAP3IN)-(c_TMAP2IN))=0,(c_TMAP2OUT)+QUOTIENT(((c_TMAP3OUT)-(c_TMAP2OUT)),2),QUOTIENT((((C122)-(c_TMAP2IN))*((c_TMAP3OUT)-(c_TMAP2OUT))+IF(((c_TMAP3OUT)-(c_TMAP2OUT))&gt;=0,1,-1)*QUOTIENT(((c_TMAP3IN)-(c_TMAP2IN)),2)),((c_TMAP3IN)-(c_TMAP2IN)))+(c_TMAP2OUT)+IF(((c_TMAP3OUT)-(c_TMAP2OUT))&gt;=0,IF(IF(o_WRAP=1,MOD(((c_TMAP3IN)-(c_TMAP2IN))*(((C122)-(c_TMAP2IN))*((c_TMAP3OUT)-(c_TMAP2OUT))+IF(((c_TMAP3OUT)-(c_TMAP2OUT))&gt;=0,1,-1)*QUOTIENT(((c_TMAP3IN)-(c_TMAP2IN)),2))+2147483648,4294967296)-2147483648,((c_TMAP3IN)-(c_TMAP2IN))*(((C122)-(c_TMAP2IN))*((c_TMAP3OUT)-(c_TMAP2OUT))+IF(((c_TMAP3OUT)-(c_TMAP2OUT))&gt;=0,1,-1)*QUOTIENT(((c_TMAP3IN)-(c_TMAP2IN)),2)))&lt;0,-1,0),IF(IF(o_WRAP=1,MOD(((c_TMAP3IN)-(c_TMAP2IN))*(((C122)-(c_TMAP2IN))*((c_TMAP3OUT)-(c_TMAP2OUT))+IF(((c_TMAP3OUT)-(c_TMAP2OUT))&gt;=0,1,-1)*QUOTIENT(((c_TMAP3IN)-(c_TMAP2IN)),2))+2147483648,4294967296)-2147483648,((c_TMAP3IN)-(c_TMAP2IN))*(((C122)-(c_TMAP2IN))*((c_TMAP3OUT)-(c_TMAP2OUT))+IF(((c_TMAP3OUT)-(c_TMAP2OUT))&gt;=0,1,-1)*QUOTIENT(((c_TMAP3IN)-(c_TMAP2IN)),2)))&gt;=0,1,0)))</f>
        <v>-45</v>
      </c>
      <c r="H122" s="7" t="n">
        <f aca="false">IF(((1000)-(c_TMAP3IN))=0,(c_TMAP3OUT)+QUOTIENT(((1000)-(c_TMAP3OUT)),2),QUOTIENT((((C122)-(c_TMAP3IN))*((1000)-(c_TMAP3OUT))+IF(((1000)-(c_TMAP3OUT))&gt;=0,1,-1)*QUOTIENT(((1000)-(c_TMAP3IN)),2)),((1000)-(c_TMAP3IN)))+(c_TMAP3OUT)+IF(((1000)-(c_TMAP3OUT))&gt;=0,IF(IF(o_WRAP=1,MOD(((1000)-(c_TMAP3IN))*(((C122)-(c_TMAP3IN))*((1000)-(c_TMAP3OUT))+IF(((1000)-(c_TMAP3OUT))&gt;=0,1,-1)*QUOTIENT(((1000)-(c_TMAP3IN)),2))+2147483648,4294967296)-2147483648,((1000)-(c_TMAP3IN))*(((C122)-(c_TMAP3IN))*((1000)-(c_TMAP3OUT))+IF(((1000)-(c_TMAP3OUT))&gt;=0,1,-1)*QUOTIENT(((1000)-(c_TMAP3IN)),2)))&lt;0,-1,0),IF(IF(o_WRAP=1,MOD(((1000)-(c_TMAP3IN))*(((C122)-(c_TMAP3IN))*((1000)-(c_TMAP3OUT))+IF(((1000)-(c_TMAP3OUT))&gt;=0,1,-1)*QUOTIENT(((1000)-(c_TMAP3IN)),2))+2147483648,4294967296)-2147483648,((1000)-(c_TMAP3IN))*(((C122)-(c_TMAP3IN))*((1000)-(c_TMAP3OUT))+IF(((1000)-(c_TMAP3OUT))&gt;=0,1,-1)*QUOTIENT(((1000)-(c_TMAP3IN)),2)))&gt;=0,1,0)))</f>
        <v>-231</v>
      </c>
      <c r="I122" s="7" t="n">
        <f aca="false">IF(C122&gt;=c_TFWD,IF(AND(C122&gt;=c_TMAP3IN,c_TMAP3IN&lt;1000),H122,IF(AND(C122&gt;=c_TMAP2IN,c_TMAP3IN&gt;c_TMAP2IN),G122,IF(AND(C122&gt;=c_TMAP1IN,c_TMAP2IN&gt;c_TMAP1IN),F122,E122))),D122)</f>
        <v>-350</v>
      </c>
      <c r="J122" s="7" t="str">
        <f aca="false">IF(I122&lt;-1090,"TOO LOW",IF(I122&gt;1090,"TOO HIGH",""))</f>
        <v/>
      </c>
      <c r="K122" s="7" t="n">
        <f aca="false">IF(J122&lt;&gt;"",0,IF(I122&gt;979,1000,I122))</f>
        <v>-350</v>
      </c>
      <c r="L122" s="7" t="n">
        <f aca="false">IF(OR(c_TSMOOTH=0,K122&gt;=c_TSMOOTHCUT),1,0)</f>
        <v>0</v>
      </c>
      <c r="M122" s="7" t="n">
        <f aca="false">IF(L122=1,0,M121+1)</f>
        <v>36</v>
      </c>
      <c r="N122" s="7" t="n">
        <f aca="false">IF(L122=1,0,MIN(M122,c_TSMOOTH))</f>
        <v>30</v>
      </c>
      <c r="O122" s="7" t="n">
        <f aca="false">IF(COUNTIF($L$5:L122,1)&gt;0,c_TSMOOTHCUT,0)</f>
        <v>400</v>
      </c>
      <c r="P122" s="15" t="n">
        <f aca="true">IF(L122=1,K122,QUOTIENT(SUM(OFFSET(K122,1-N122,0,N122,1))+(c_TSMOOTH-N122)*O122,c_TSMOOTH))</f>
        <v>-350</v>
      </c>
      <c r="Q122" s="7" t="n">
        <f aca="false">K122/10</f>
        <v>-35</v>
      </c>
      <c r="R122" s="7" t="n">
        <f aca="false">P122/10</f>
        <v>-35</v>
      </c>
    </row>
    <row r="123" customFormat="false" ht="15" hidden="false" customHeight="false" outlineLevel="0" collapsed="false">
      <c r="A123" s="7" t="n">
        <v>118</v>
      </c>
      <c r="B123" s="7" t="n">
        <f aca="false">A123*0.04</f>
        <v>4.72</v>
      </c>
      <c r="C123" s="18" t="n">
        <v>0</v>
      </c>
      <c r="D123" s="7" t="n">
        <f aca="false">IF(AND(C123=0,c_TCREEP&gt;0),10*c_TCREEP,IF(AND(C123&lt;=c_TRNGMIN,C123&gt;=c_TRNGMAX,c_TRNGMIN-c_TRNGMAX&lt;&gt;0),-10*c_TMINRN+QUOTIENT((c_TMAXRN-c_TMINRN)*(100-QUOTIENT((C123-c_TRNGMAX)*100,c_TRNGMIN-c_TRNGMAX)),-10),0))</f>
        <v>-350</v>
      </c>
      <c r="E123" s="7" t="n">
        <f aca="false">IF(((c_TMAP1IN)-(c_TFWD))=0,(0)+QUOTIENT(((c_TMAP1OUT)-(0)),2),QUOTIENT((((C123)-(c_TFWD))*((c_TMAP1OUT)-(0))+IF(((c_TMAP1OUT)-(0))&gt;=0,1,-1)*QUOTIENT(((c_TMAP1IN)-(c_TFWD)),2)),((c_TMAP1IN)-(c_TFWD)))+(0)+IF(((c_TMAP1OUT)-(0))&gt;=0,IF(IF(o_WRAP=1,MOD(((c_TMAP1IN)-(c_TFWD))*(((C123)-(c_TFWD))*((c_TMAP1OUT)-(0))+IF(((c_TMAP1OUT)-(0))&gt;=0,1,-1)*QUOTIENT(((c_TMAP1IN)-(c_TFWD)),2))+2147483648,4294967296)-2147483648,((c_TMAP1IN)-(c_TFWD))*(((C123)-(c_TFWD))*((c_TMAP1OUT)-(0))+IF(((c_TMAP1OUT)-(0))&gt;=0,1,-1)*QUOTIENT(((c_TMAP1IN)-(c_TFWD)),2)))&lt;0,-1,0),IF(IF(o_WRAP=1,MOD(((c_TMAP1IN)-(c_TFWD))*(((C123)-(c_TFWD))*((c_TMAP1OUT)-(0))+IF(((c_TMAP1OUT)-(0))&gt;=0,1,-1)*QUOTIENT(((c_TMAP1IN)-(c_TFWD)),2))+2147483648,4294967296)-2147483648,((c_TMAP1IN)-(c_TFWD))*(((C123)-(c_TFWD))*((c_TMAP1OUT)-(0))+IF(((c_TMAP1OUT)-(0))&gt;=0,1,-1)*QUOTIENT(((c_TMAP1IN)-(c_TFWD)),2)))&gt;=0,1,0)))</f>
        <v>-8</v>
      </c>
      <c r="F123" s="7" t="n">
        <f aca="false">IF(((c_TMAP2IN)-(c_TMAP1IN))=0,(c_TMAP1OUT)+QUOTIENT(((c_TMAP2OUT)-(c_TMAP1OUT)),2),QUOTIENT((((C123)-(c_TMAP1IN))*((c_TMAP2OUT)-(c_TMAP1OUT))+IF(((c_TMAP2OUT)-(c_TMAP1OUT))&gt;=0,1,-1)*QUOTIENT(((c_TMAP2IN)-(c_TMAP1IN)),2)),((c_TMAP2IN)-(c_TMAP1IN)))+(c_TMAP1OUT)+IF(((c_TMAP2OUT)-(c_TMAP1OUT))&gt;=0,IF(IF(o_WRAP=1,MOD(((c_TMAP2IN)-(c_TMAP1IN))*(((C123)-(c_TMAP1IN))*((c_TMAP2OUT)-(c_TMAP1OUT))+IF(((c_TMAP2OUT)-(c_TMAP1OUT))&gt;=0,1,-1)*QUOTIENT(((c_TMAP2IN)-(c_TMAP1IN)),2))+2147483648,4294967296)-2147483648,((c_TMAP2IN)-(c_TMAP1IN))*(((C123)-(c_TMAP1IN))*((c_TMAP2OUT)-(c_TMAP1OUT))+IF(((c_TMAP2OUT)-(c_TMAP1OUT))&gt;=0,1,-1)*QUOTIENT(((c_TMAP2IN)-(c_TMAP1IN)),2)))&lt;0,-1,0),IF(IF(o_WRAP=1,MOD(((c_TMAP2IN)-(c_TMAP1IN))*(((C123)-(c_TMAP1IN))*((c_TMAP2OUT)-(c_TMAP1OUT))+IF(((c_TMAP2OUT)-(c_TMAP1OUT))&gt;=0,1,-1)*QUOTIENT(((c_TMAP2IN)-(c_TMAP1IN)),2))+2147483648,4294967296)-2147483648,((c_TMAP2IN)-(c_TMAP1IN))*(((C123)-(c_TMAP1IN))*((c_TMAP2OUT)-(c_TMAP1OUT))+IF(((c_TMAP2OUT)-(c_TMAP1OUT))&gt;=0,1,-1)*QUOTIENT(((c_TMAP2IN)-(c_TMAP1IN)),2)))&gt;=0,1,0)))</f>
        <v>30</v>
      </c>
      <c r="G123" s="7" t="n">
        <f aca="false">IF(((c_TMAP3IN)-(c_TMAP2IN))=0,(c_TMAP2OUT)+QUOTIENT(((c_TMAP3OUT)-(c_TMAP2OUT)),2),QUOTIENT((((C123)-(c_TMAP2IN))*((c_TMAP3OUT)-(c_TMAP2OUT))+IF(((c_TMAP3OUT)-(c_TMAP2OUT))&gt;=0,1,-1)*QUOTIENT(((c_TMAP3IN)-(c_TMAP2IN)),2)),((c_TMAP3IN)-(c_TMAP2IN)))+(c_TMAP2OUT)+IF(((c_TMAP3OUT)-(c_TMAP2OUT))&gt;=0,IF(IF(o_WRAP=1,MOD(((c_TMAP3IN)-(c_TMAP2IN))*(((C123)-(c_TMAP2IN))*((c_TMAP3OUT)-(c_TMAP2OUT))+IF(((c_TMAP3OUT)-(c_TMAP2OUT))&gt;=0,1,-1)*QUOTIENT(((c_TMAP3IN)-(c_TMAP2IN)),2))+2147483648,4294967296)-2147483648,((c_TMAP3IN)-(c_TMAP2IN))*(((C123)-(c_TMAP2IN))*((c_TMAP3OUT)-(c_TMAP2OUT))+IF(((c_TMAP3OUT)-(c_TMAP2OUT))&gt;=0,1,-1)*QUOTIENT(((c_TMAP3IN)-(c_TMAP2IN)),2)))&lt;0,-1,0),IF(IF(o_WRAP=1,MOD(((c_TMAP3IN)-(c_TMAP2IN))*(((C123)-(c_TMAP2IN))*((c_TMAP3OUT)-(c_TMAP2OUT))+IF(((c_TMAP3OUT)-(c_TMAP2OUT))&gt;=0,1,-1)*QUOTIENT(((c_TMAP3IN)-(c_TMAP2IN)),2))+2147483648,4294967296)-2147483648,((c_TMAP3IN)-(c_TMAP2IN))*(((C123)-(c_TMAP2IN))*((c_TMAP3OUT)-(c_TMAP2OUT))+IF(((c_TMAP3OUT)-(c_TMAP2OUT))&gt;=0,1,-1)*QUOTIENT(((c_TMAP3IN)-(c_TMAP2IN)),2)))&gt;=0,1,0)))</f>
        <v>-45</v>
      </c>
      <c r="H123" s="7" t="n">
        <f aca="false">IF(((1000)-(c_TMAP3IN))=0,(c_TMAP3OUT)+QUOTIENT(((1000)-(c_TMAP3OUT)),2),QUOTIENT((((C123)-(c_TMAP3IN))*((1000)-(c_TMAP3OUT))+IF(((1000)-(c_TMAP3OUT))&gt;=0,1,-1)*QUOTIENT(((1000)-(c_TMAP3IN)),2)),((1000)-(c_TMAP3IN)))+(c_TMAP3OUT)+IF(((1000)-(c_TMAP3OUT))&gt;=0,IF(IF(o_WRAP=1,MOD(((1000)-(c_TMAP3IN))*(((C123)-(c_TMAP3IN))*((1000)-(c_TMAP3OUT))+IF(((1000)-(c_TMAP3OUT))&gt;=0,1,-1)*QUOTIENT(((1000)-(c_TMAP3IN)),2))+2147483648,4294967296)-2147483648,((1000)-(c_TMAP3IN))*(((C123)-(c_TMAP3IN))*((1000)-(c_TMAP3OUT))+IF(((1000)-(c_TMAP3OUT))&gt;=0,1,-1)*QUOTIENT(((1000)-(c_TMAP3IN)),2)))&lt;0,-1,0),IF(IF(o_WRAP=1,MOD(((1000)-(c_TMAP3IN))*(((C123)-(c_TMAP3IN))*((1000)-(c_TMAP3OUT))+IF(((1000)-(c_TMAP3OUT))&gt;=0,1,-1)*QUOTIENT(((1000)-(c_TMAP3IN)),2))+2147483648,4294967296)-2147483648,((1000)-(c_TMAP3IN))*(((C123)-(c_TMAP3IN))*((1000)-(c_TMAP3OUT))+IF(((1000)-(c_TMAP3OUT))&gt;=0,1,-1)*QUOTIENT(((1000)-(c_TMAP3IN)),2)))&gt;=0,1,0)))</f>
        <v>-231</v>
      </c>
      <c r="I123" s="7" t="n">
        <f aca="false">IF(C123&gt;=c_TFWD,IF(AND(C123&gt;=c_TMAP3IN,c_TMAP3IN&lt;1000),H123,IF(AND(C123&gt;=c_TMAP2IN,c_TMAP3IN&gt;c_TMAP2IN),G123,IF(AND(C123&gt;=c_TMAP1IN,c_TMAP2IN&gt;c_TMAP1IN),F123,E123))),D123)</f>
        <v>-350</v>
      </c>
      <c r="J123" s="7" t="str">
        <f aca="false">IF(I123&lt;-1090,"TOO LOW",IF(I123&gt;1090,"TOO HIGH",""))</f>
        <v/>
      </c>
      <c r="K123" s="7" t="n">
        <f aca="false">IF(J123&lt;&gt;"",0,IF(I123&gt;979,1000,I123))</f>
        <v>-350</v>
      </c>
      <c r="L123" s="7" t="n">
        <f aca="false">IF(OR(c_TSMOOTH=0,K123&gt;=c_TSMOOTHCUT),1,0)</f>
        <v>0</v>
      </c>
      <c r="M123" s="7" t="n">
        <f aca="false">IF(L123=1,0,M122+1)</f>
        <v>37</v>
      </c>
      <c r="N123" s="7" t="n">
        <f aca="false">IF(L123=1,0,MIN(M123,c_TSMOOTH))</f>
        <v>30</v>
      </c>
      <c r="O123" s="7" t="n">
        <f aca="false">IF(COUNTIF($L$5:L123,1)&gt;0,c_TSMOOTHCUT,0)</f>
        <v>400</v>
      </c>
      <c r="P123" s="15" t="n">
        <f aca="true">IF(L123=1,K123,QUOTIENT(SUM(OFFSET(K123,1-N123,0,N123,1))+(c_TSMOOTH-N123)*O123,c_TSMOOTH))</f>
        <v>-350</v>
      </c>
      <c r="Q123" s="7" t="n">
        <f aca="false">K123/10</f>
        <v>-35</v>
      </c>
      <c r="R123" s="7" t="n">
        <f aca="false">P123/10</f>
        <v>-35</v>
      </c>
    </row>
    <row r="124" customFormat="false" ht="15" hidden="false" customHeight="false" outlineLevel="0" collapsed="false">
      <c r="A124" s="7" t="n">
        <v>119</v>
      </c>
      <c r="B124" s="7" t="n">
        <f aca="false">A124*0.04</f>
        <v>4.76</v>
      </c>
      <c r="C124" s="18" t="n">
        <v>0</v>
      </c>
      <c r="D124" s="7" t="n">
        <f aca="false">IF(AND(C124=0,c_TCREEP&gt;0),10*c_TCREEP,IF(AND(C124&lt;=c_TRNGMIN,C124&gt;=c_TRNGMAX,c_TRNGMIN-c_TRNGMAX&lt;&gt;0),-10*c_TMINRN+QUOTIENT((c_TMAXRN-c_TMINRN)*(100-QUOTIENT((C124-c_TRNGMAX)*100,c_TRNGMIN-c_TRNGMAX)),-10),0))</f>
        <v>-350</v>
      </c>
      <c r="E124" s="7" t="n">
        <f aca="false">IF(((c_TMAP1IN)-(c_TFWD))=0,(0)+QUOTIENT(((c_TMAP1OUT)-(0)),2),QUOTIENT((((C124)-(c_TFWD))*((c_TMAP1OUT)-(0))+IF(((c_TMAP1OUT)-(0))&gt;=0,1,-1)*QUOTIENT(((c_TMAP1IN)-(c_TFWD)),2)),((c_TMAP1IN)-(c_TFWD)))+(0)+IF(((c_TMAP1OUT)-(0))&gt;=0,IF(IF(o_WRAP=1,MOD(((c_TMAP1IN)-(c_TFWD))*(((C124)-(c_TFWD))*((c_TMAP1OUT)-(0))+IF(((c_TMAP1OUT)-(0))&gt;=0,1,-1)*QUOTIENT(((c_TMAP1IN)-(c_TFWD)),2))+2147483648,4294967296)-2147483648,((c_TMAP1IN)-(c_TFWD))*(((C124)-(c_TFWD))*((c_TMAP1OUT)-(0))+IF(((c_TMAP1OUT)-(0))&gt;=0,1,-1)*QUOTIENT(((c_TMAP1IN)-(c_TFWD)),2)))&lt;0,-1,0),IF(IF(o_WRAP=1,MOD(((c_TMAP1IN)-(c_TFWD))*(((C124)-(c_TFWD))*((c_TMAP1OUT)-(0))+IF(((c_TMAP1OUT)-(0))&gt;=0,1,-1)*QUOTIENT(((c_TMAP1IN)-(c_TFWD)),2))+2147483648,4294967296)-2147483648,((c_TMAP1IN)-(c_TFWD))*(((C124)-(c_TFWD))*((c_TMAP1OUT)-(0))+IF(((c_TMAP1OUT)-(0))&gt;=0,1,-1)*QUOTIENT(((c_TMAP1IN)-(c_TFWD)),2)))&gt;=0,1,0)))</f>
        <v>-8</v>
      </c>
      <c r="F124" s="7" t="n">
        <f aca="false">IF(((c_TMAP2IN)-(c_TMAP1IN))=0,(c_TMAP1OUT)+QUOTIENT(((c_TMAP2OUT)-(c_TMAP1OUT)),2),QUOTIENT((((C124)-(c_TMAP1IN))*((c_TMAP2OUT)-(c_TMAP1OUT))+IF(((c_TMAP2OUT)-(c_TMAP1OUT))&gt;=0,1,-1)*QUOTIENT(((c_TMAP2IN)-(c_TMAP1IN)),2)),((c_TMAP2IN)-(c_TMAP1IN)))+(c_TMAP1OUT)+IF(((c_TMAP2OUT)-(c_TMAP1OUT))&gt;=0,IF(IF(o_WRAP=1,MOD(((c_TMAP2IN)-(c_TMAP1IN))*(((C124)-(c_TMAP1IN))*((c_TMAP2OUT)-(c_TMAP1OUT))+IF(((c_TMAP2OUT)-(c_TMAP1OUT))&gt;=0,1,-1)*QUOTIENT(((c_TMAP2IN)-(c_TMAP1IN)),2))+2147483648,4294967296)-2147483648,((c_TMAP2IN)-(c_TMAP1IN))*(((C124)-(c_TMAP1IN))*((c_TMAP2OUT)-(c_TMAP1OUT))+IF(((c_TMAP2OUT)-(c_TMAP1OUT))&gt;=0,1,-1)*QUOTIENT(((c_TMAP2IN)-(c_TMAP1IN)),2)))&lt;0,-1,0),IF(IF(o_WRAP=1,MOD(((c_TMAP2IN)-(c_TMAP1IN))*(((C124)-(c_TMAP1IN))*((c_TMAP2OUT)-(c_TMAP1OUT))+IF(((c_TMAP2OUT)-(c_TMAP1OUT))&gt;=0,1,-1)*QUOTIENT(((c_TMAP2IN)-(c_TMAP1IN)),2))+2147483648,4294967296)-2147483648,((c_TMAP2IN)-(c_TMAP1IN))*(((C124)-(c_TMAP1IN))*((c_TMAP2OUT)-(c_TMAP1OUT))+IF(((c_TMAP2OUT)-(c_TMAP1OUT))&gt;=0,1,-1)*QUOTIENT(((c_TMAP2IN)-(c_TMAP1IN)),2)))&gt;=0,1,0)))</f>
        <v>30</v>
      </c>
      <c r="G124" s="7" t="n">
        <f aca="false">IF(((c_TMAP3IN)-(c_TMAP2IN))=0,(c_TMAP2OUT)+QUOTIENT(((c_TMAP3OUT)-(c_TMAP2OUT)),2),QUOTIENT((((C124)-(c_TMAP2IN))*((c_TMAP3OUT)-(c_TMAP2OUT))+IF(((c_TMAP3OUT)-(c_TMAP2OUT))&gt;=0,1,-1)*QUOTIENT(((c_TMAP3IN)-(c_TMAP2IN)),2)),((c_TMAP3IN)-(c_TMAP2IN)))+(c_TMAP2OUT)+IF(((c_TMAP3OUT)-(c_TMAP2OUT))&gt;=0,IF(IF(o_WRAP=1,MOD(((c_TMAP3IN)-(c_TMAP2IN))*(((C124)-(c_TMAP2IN))*((c_TMAP3OUT)-(c_TMAP2OUT))+IF(((c_TMAP3OUT)-(c_TMAP2OUT))&gt;=0,1,-1)*QUOTIENT(((c_TMAP3IN)-(c_TMAP2IN)),2))+2147483648,4294967296)-2147483648,((c_TMAP3IN)-(c_TMAP2IN))*(((C124)-(c_TMAP2IN))*((c_TMAP3OUT)-(c_TMAP2OUT))+IF(((c_TMAP3OUT)-(c_TMAP2OUT))&gt;=0,1,-1)*QUOTIENT(((c_TMAP3IN)-(c_TMAP2IN)),2)))&lt;0,-1,0),IF(IF(o_WRAP=1,MOD(((c_TMAP3IN)-(c_TMAP2IN))*(((C124)-(c_TMAP2IN))*((c_TMAP3OUT)-(c_TMAP2OUT))+IF(((c_TMAP3OUT)-(c_TMAP2OUT))&gt;=0,1,-1)*QUOTIENT(((c_TMAP3IN)-(c_TMAP2IN)),2))+2147483648,4294967296)-2147483648,((c_TMAP3IN)-(c_TMAP2IN))*(((C124)-(c_TMAP2IN))*((c_TMAP3OUT)-(c_TMAP2OUT))+IF(((c_TMAP3OUT)-(c_TMAP2OUT))&gt;=0,1,-1)*QUOTIENT(((c_TMAP3IN)-(c_TMAP2IN)),2)))&gt;=0,1,0)))</f>
        <v>-45</v>
      </c>
      <c r="H124" s="7" t="n">
        <f aca="false">IF(((1000)-(c_TMAP3IN))=0,(c_TMAP3OUT)+QUOTIENT(((1000)-(c_TMAP3OUT)),2),QUOTIENT((((C124)-(c_TMAP3IN))*((1000)-(c_TMAP3OUT))+IF(((1000)-(c_TMAP3OUT))&gt;=0,1,-1)*QUOTIENT(((1000)-(c_TMAP3IN)),2)),((1000)-(c_TMAP3IN)))+(c_TMAP3OUT)+IF(((1000)-(c_TMAP3OUT))&gt;=0,IF(IF(o_WRAP=1,MOD(((1000)-(c_TMAP3IN))*(((C124)-(c_TMAP3IN))*((1000)-(c_TMAP3OUT))+IF(((1000)-(c_TMAP3OUT))&gt;=0,1,-1)*QUOTIENT(((1000)-(c_TMAP3IN)),2))+2147483648,4294967296)-2147483648,((1000)-(c_TMAP3IN))*(((C124)-(c_TMAP3IN))*((1000)-(c_TMAP3OUT))+IF(((1000)-(c_TMAP3OUT))&gt;=0,1,-1)*QUOTIENT(((1000)-(c_TMAP3IN)),2)))&lt;0,-1,0),IF(IF(o_WRAP=1,MOD(((1000)-(c_TMAP3IN))*(((C124)-(c_TMAP3IN))*((1000)-(c_TMAP3OUT))+IF(((1000)-(c_TMAP3OUT))&gt;=0,1,-1)*QUOTIENT(((1000)-(c_TMAP3IN)),2))+2147483648,4294967296)-2147483648,((1000)-(c_TMAP3IN))*(((C124)-(c_TMAP3IN))*((1000)-(c_TMAP3OUT))+IF(((1000)-(c_TMAP3OUT))&gt;=0,1,-1)*QUOTIENT(((1000)-(c_TMAP3IN)),2)))&gt;=0,1,0)))</f>
        <v>-231</v>
      </c>
      <c r="I124" s="7" t="n">
        <f aca="false">IF(C124&gt;=c_TFWD,IF(AND(C124&gt;=c_TMAP3IN,c_TMAP3IN&lt;1000),H124,IF(AND(C124&gt;=c_TMAP2IN,c_TMAP3IN&gt;c_TMAP2IN),G124,IF(AND(C124&gt;=c_TMAP1IN,c_TMAP2IN&gt;c_TMAP1IN),F124,E124))),D124)</f>
        <v>-350</v>
      </c>
      <c r="J124" s="7" t="str">
        <f aca="false">IF(I124&lt;-1090,"TOO LOW",IF(I124&gt;1090,"TOO HIGH",""))</f>
        <v/>
      </c>
      <c r="K124" s="7" t="n">
        <f aca="false">IF(J124&lt;&gt;"",0,IF(I124&gt;979,1000,I124))</f>
        <v>-350</v>
      </c>
      <c r="L124" s="7" t="n">
        <f aca="false">IF(OR(c_TSMOOTH=0,K124&gt;=c_TSMOOTHCUT),1,0)</f>
        <v>0</v>
      </c>
      <c r="M124" s="7" t="n">
        <f aca="false">IF(L124=1,0,M123+1)</f>
        <v>38</v>
      </c>
      <c r="N124" s="7" t="n">
        <f aca="false">IF(L124=1,0,MIN(M124,c_TSMOOTH))</f>
        <v>30</v>
      </c>
      <c r="O124" s="7" t="n">
        <f aca="false">IF(COUNTIF($L$5:L124,1)&gt;0,c_TSMOOTHCUT,0)</f>
        <v>400</v>
      </c>
      <c r="P124" s="15" t="n">
        <f aca="true">IF(L124=1,K124,QUOTIENT(SUM(OFFSET(K124,1-N124,0,N124,1))+(c_TSMOOTH-N124)*O124,c_TSMOOTH))</f>
        <v>-350</v>
      </c>
      <c r="Q124" s="7" t="n">
        <f aca="false">K124/10</f>
        <v>-35</v>
      </c>
      <c r="R124" s="7" t="n">
        <f aca="false">P124/10</f>
        <v>-35</v>
      </c>
    </row>
    <row r="125" customFormat="false" ht="15" hidden="false" customHeight="false" outlineLevel="0" collapsed="false">
      <c r="A125" s="7" t="n">
        <v>120</v>
      </c>
      <c r="B125" s="7" t="n">
        <f aca="false">A125*0.04</f>
        <v>4.8</v>
      </c>
      <c r="C125" s="18" t="n">
        <v>0</v>
      </c>
      <c r="D125" s="7" t="n">
        <f aca="false">IF(AND(C125=0,c_TCREEP&gt;0),10*c_TCREEP,IF(AND(C125&lt;=c_TRNGMIN,C125&gt;=c_TRNGMAX,c_TRNGMIN-c_TRNGMAX&lt;&gt;0),-10*c_TMINRN+QUOTIENT((c_TMAXRN-c_TMINRN)*(100-QUOTIENT((C125-c_TRNGMAX)*100,c_TRNGMIN-c_TRNGMAX)),-10),0))</f>
        <v>-350</v>
      </c>
      <c r="E125" s="7" t="n">
        <f aca="false">IF(((c_TMAP1IN)-(c_TFWD))=0,(0)+QUOTIENT(((c_TMAP1OUT)-(0)),2),QUOTIENT((((C125)-(c_TFWD))*((c_TMAP1OUT)-(0))+IF(((c_TMAP1OUT)-(0))&gt;=0,1,-1)*QUOTIENT(((c_TMAP1IN)-(c_TFWD)),2)),((c_TMAP1IN)-(c_TFWD)))+(0)+IF(((c_TMAP1OUT)-(0))&gt;=0,IF(IF(o_WRAP=1,MOD(((c_TMAP1IN)-(c_TFWD))*(((C125)-(c_TFWD))*((c_TMAP1OUT)-(0))+IF(((c_TMAP1OUT)-(0))&gt;=0,1,-1)*QUOTIENT(((c_TMAP1IN)-(c_TFWD)),2))+2147483648,4294967296)-2147483648,((c_TMAP1IN)-(c_TFWD))*(((C125)-(c_TFWD))*((c_TMAP1OUT)-(0))+IF(((c_TMAP1OUT)-(0))&gt;=0,1,-1)*QUOTIENT(((c_TMAP1IN)-(c_TFWD)),2)))&lt;0,-1,0),IF(IF(o_WRAP=1,MOD(((c_TMAP1IN)-(c_TFWD))*(((C125)-(c_TFWD))*((c_TMAP1OUT)-(0))+IF(((c_TMAP1OUT)-(0))&gt;=0,1,-1)*QUOTIENT(((c_TMAP1IN)-(c_TFWD)),2))+2147483648,4294967296)-2147483648,((c_TMAP1IN)-(c_TFWD))*(((C125)-(c_TFWD))*((c_TMAP1OUT)-(0))+IF(((c_TMAP1OUT)-(0))&gt;=0,1,-1)*QUOTIENT(((c_TMAP1IN)-(c_TFWD)),2)))&gt;=0,1,0)))</f>
        <v>-8</v>
      </c>
      <c r="F125" s="7" t="n">
        <f aca="false">IF(((c_TMAP2IN)-(c_TMAP1IN))=0,(c_TMAP1OUT)+QUOTIENT(((c_TMAP2OUT)-(c_TMAP1OUT)),2),QUOTIENT((((C125)-(c_TMAP1IN))*((c_TMAP2OUT)-(c_TMAP1OUT))+IF(((c_TMAP2OUT)-(c_TMAP1OUT))&gt;=0,1,-1)*QUOTIENT(((c_TMAP2IN)-(c_TMAP1IN)),2)),((c_TMAP2IN)-(c_TMAP1IN)))+(c_TMAP1OUT)+IF(((c_TMAP2OUT)-(c_TMAP1OUT))&gt;=0,IF(IF(o_WRAP=1,MOD(((c_TMAP2IN)-(c_TMAP1IN))*(((C125)-(c_TMAP1IN))*((c_TMAP2OUT)-(c_TMAP1OUT))+IF(((c_TMAP2OUT)-(c_TMAP1OUT))&gt;=0,1,-1)*QUOTIENT(((c_TMAP2IN)-(c_TMAP1IN)),2))+2147483648,4294967296)-2147483648,((c_TMAP2IN)-(c_TMAP1IN))*(((C125)-(c_TMAP1IN))*((c_TMAP2OUT)-(c_TMAP1OUT))+IF(((c_TMAP2OUT)-(c_TMAP1OUT))&gt;=0,1,-1)*QUOTIENT(((c_TMAP2IN)-(c_TMAP1IN)),2)))&lt;0,-1,0),IF(IF(o_WRAP=1,MOD(((c_TMAP2IN)-(c_TMAP1IN))*(((C125)-(c_TMAP1IN))*((c_TMAP2OUT)-(c_TMAP1OUT))+IF(((c_TMAP2OUT)-(c_TMAP1OUT))&gt;=0,1,-1)*QUOTIENT(((c_TMAP2IN)-(c_TMAP1IN)),2))+2147483648,4294967296)-2147483648,((c_TMAP2IN)-(c_TMAP1IN))*(((C125)-(c_TMAP1IN))*((c_TMAP2OUT)-(c_TMAP1OUT))+IF(((c_TMAP2OUT)-(c_TMAP1OUT))&gt;=0,1,-1)*QUOTIENT(((c_TMAP2IN)-(c_TMAP1IN)),2)))&gt;=0,1,0)))</f>
        <v>30</v>
      </c>
      <c r="G125" s="7" t="n">
        <f aca="false">IF(((c_TMAP3IN)-(c_TMAP2IN))=0,(c_TMAP2OUT)+QUOTIENT(((c_TMAP3OUT)-(c_TMAP2OUT)),2),QUOTIENT((((C125)-(c_TMAP2IN))*((c_TMAP3OUT)-(c_TMAP2OUT))+IF(((c_TMAP3OUT)-(c_TMAP2OUT))&gt;=0,1,-1)*QUOTIENT(((c_TMAP3IN)-(c_TMAP2IN)),2)),((c_TMAP3IN)-(c_TMAP2IN)))+(c_TMAP2OUT)+IF(((c_TMAP3OUT)-(c_TMAP2OUT))&gt;=0,IF(IF(o_WRAP=1,MOD(((c_TMAP3IN)-(c_TMAP2IN))*(((C125)-(c_TMAP2IN))*((c_TMAP3OUT)-(c_TMAP2OUT))+IF(((c_TMAP3OUT)-(c_TMAP2OUT))&gt;=0,1,-1)*QUOTIENT(((c_TMAP3IN)-(c_TMAP2IN)),2))+2147483648,4294967296)-2147483648,((c_TMAP3IN)-(c_TMAP2IN))*(((C125)-(c_TMAP2IN))*((c_TMAP3OUT)-(c_TMAP2OUT))+IF(((c_TMAP3OUT)-(c_TMAP2OUT))&gt;=0,1,-1)*QUOTIENT(((c_TMAP3IN)-(c_TMAP2IN)),2)))&lt;0,-1,0),IF(IF(o_WRAP=1,MOD(((c_TMAP3IN)-(c_TMAP2IN))*(((C125)-(c_TMAP2IN))*((c_TMAP3OUT)-(c_TMAP2OUT))+IF(((c_TMAP3OUT)-(c_TMAP2OUT))&gt;=0,1,-1)*QUOTIENT(((c_TMAP3IN)-(c_TMAP2IN)),2))+2147483648,4294967296)-2147483648,((c_TMAP3IN)-(c_TMAP2IN))*(((C125)-(c_TMAP2IN))*((c_TMAP3OUT)-(c_TMAP2OUT))+IF(((c_TMAP3OUT)-(c_TMAP2OUT))&gt;=0,1,-1)*QUOTIENT(((c_TMAP3IN)-(c_TMAP2IN)),2)))&gt;=0,1,0)))</f>
        <v>-45</v>
      </c>
      <c r="H125" s="7" t="n">
        <f aca="false">IF(((1000)-(c_TMAP3IN))=0,(c_TMAP3OUT)+QUOTIENT(((1000)-(c_TMAP3OUT)),2),QUOTIENT((((C125)-(c_TMAP3IN))*((1000)-(c_TMAP3OUT))+IF(((1000)-(c_TMAP3OUT))&gt;=0,1,-1)*QUOTIENT(((1000)-(c_TMAP3IN)),2)),((1000)-(c_TMAP3IN)))+(c_TMAP3OUT)+IF(((1000)-(c_TMAP3OUT))&gt;=0,IF(IF(o_WRAP=1,MOD(((1000)-(c_TMAP3IN))*(((C125)-(c_TMAP3IN))*((1000)-(c_TMAP3OUT))+IF(((1000)-(c_TMAP3OUT))&gt;=0,1,-1)*QUOTIENT(((1000)-(c_TMAP3IN)),2))+2147483648,4294967296)-2147483648,((1000)-(c_TMAP3IN))*(((C125)-(c_TMAP3IN))*((1000)-(c_TMAP3OUT))+IF(((1000)-(c_TMAP3OUT))&gt;=0,1,-1)*QUOTIENT(((1000)-(c_TMAP3IN)),2)))&lt;0,-1,0),IF(IF(o_WRAP=1,MOD(((1000)-(c_TMAP3IN))*(((C125)-(c_TMAP3IN))*((1000)-(c_TMAP3OUT))+IF(((1000)-(c_TMAP3OUT))&gt;=0,1,-1)*QUOTIENT(((1000)-(c_TMAP3IN)),2))+2147483648,4294967296)-2147483648,((1000)-(c_TMAP3IN))*(((C125)-(c_TMAP3IN))*((1000)-(c_TMAP3OUT))+IF(((1000)-(c_TMAP3OUT))&gt;=0,1,-1)*QUOTIENT(((1000)-(c_TMAP3IN)),2)))&gt;=0,1,0)))</f>
        <v>-231</v>
      </c>
      <c r="I125" s="7" t="n">
        <f aca="false">IF(C125&gt;=c_TFWD,IF(AND(C125&gt;=c_TMAP3IN,c_TMAP3IN&lt;1000),H125,IF(AND(C125&gt;=c_TMAP2IN,c_TMAP3IN&gt;c_TMAP2IN),G125,IF(AND(C125&gt;=c_TMAP1IN,c_TMAP2IN&gt;c_TMAP1IN),F125,E125))),D125)</f>
        <v>-350</v>
      </c>
      <c r="J125" s="7" t="str">
        <f aca="false">IF(I125&lt;-1090,"TOO LOW",IF(I125&gt;1090,"TOO HIGH",""))</f>
        <v/>
      </c>
      <c r="K125" s="7" t="n">
        <f aca="false">IF(J125&lt;&gt;"",0,IF(I125&gt;979,1000,I125))</f>
        <v>-350</v>
      </c>
      <c r="L125" s="7" t="n">
        <f aca="false">IF(OR(c_TSMOOTH=0,K125&gt;=c_TSMOOTHCUT),1,0)</f>
        <v>0</v>
      </c>
      <c r="M125" s="7" t="n">
        <f aca="false">IF(L125=1,0,M124+1)</f>
        <v>39</v>
      </c>
      <c r="N125" s="7" t="n">
        <f aca="false">IF(L125=1,0,MIN(M125,c_TSMOOTH))</f>
        <v>30</v>
      </c>
      <c r="O125" s="7" t="n">
        <f aca="false">IF(COUNTIF($L$5:L125,1)&gt;0,c_TSMOOTHCUT,0)</f>
        <v>400</v>
      </c>
      <c r="P125" s="15" t="n">
        <f aca="true">IF(L125=1,K125,QUOTIENT(SUM(OFFSET(K125,1-N125,0,N125,1))+(c_TSMOOTH-N125)*O125,c_TSMOOTH))</f>
        <v>-350</v>
      </c>
      <c r="Q125" s="7" t="n">
        <f aca="false">K125/10</f>
        <v>-35</v>
      </c>
      <c r="R125" s="7" t="n">
        <f aca="false">P125/10</f>
        <v>-35</v>
      </c>
    </row>
    <row r="126" customFormat="false" ht="15" hidden="false" customHeight="false" outlineLevel="0" collapsed="false">
      <c r="A126" s="7" t="n">
        <v>121</v>
      </c>
      <c r="B126" s="7" t="n">
        <f aca="false">A126*0.04</f>
        <v>4.84</v>
      </c>
      <c r="C126" s="18" t="n">
        <v>0</v>
      </c>
      <c r="D126" s="7" t="n">
        <f aca="false">IF(AND(C126=0,c_TCREEP&gt;0),10*c_TCREEP,IF(AND(C126&lt;=c_TRNGMIN,C126&gt;=c_TRNGMAX,c_TRNGMIN-c_TRNGMAX&lt;&gt;0),-10*c_TMINRN+QUOTIENT((c_TMAXRN-c_TMINRN)*(100-QUOTIENT((C126-c_TRNGMAX)*100,c_TRNGMIN-c_TRNGMAX)),-10),0))</f>
        <v>-350</v>
      </c>
      <c r="E126" s="7" t="n">
        <f aca="false">IF(((c_TMAP1IN)-(c_TFWD))=0,(0)+QUOTIENT(((c_TMAP1OUT)-(0)),2),QUOTIENT((((C126)-(c_TFWD))*((c_TMAP1OUT)-(0))+IF(((c_TMAP1OUT)-(0))&gt;=0,1,-1)*QUOTIENT(((c_TMAP1IN)-(c_TFWD)),2)),((c_TMAP1IN)-(c_TFWD)))+(0)+IF(((c_TMAP1OUT)-(0))&gt;=0,IF(IF(o_WRAP=1,MOD(((c_TMAP1IN)-(c_TFWD))*(((C126)-(c_TFWD))*((c_TMAP1OUT)-(0))+IF(((c_TMAP1OUT)-(0))&gt;=0,1,-1)*QUOTIENT(((c_TMAP1IN)-(c_TFWD)),2))+2147483648,4294967296)-2147483648,((c_TMAP1IN)-(c_TFWD))*(((C126)-(c_TFWD))*((c_TMAP1OUT)-(0))+IF(((c_TMAP1OUT)-(0))&gt;=0,1,-1)*QUOTIENT(((c_TMAP1IN)-(c_TFWD)),2)))&lt;0,-1,0),IF(IF(o_WRAP=1,MOD(((c_TMAP1IN)-(c_TFWD))*(((C126)-(c_TFWD))*((c_TMAP1OUT)-(0))+IF(((c_TMAP1OUT)-(0))&gt;=0,1,-1)*QUOTIENT(((c_TMAP1IN)-(c_TFWD)),2))+2147483648,4294967296)-2147483648,((c_TMAP1IN)-(c_TFWD))*(((C126)-(c_TFWD))*((c_TMAP1OUT)-(0))+IF(((c_TMAP1OUT)-(0))&gt;=0,1,-1)*QUOTIENT(((c_TMAP1IN)-(c_TFWD)),2)))&gt;=0,1,0)))</f>
        <v>-8</v>
      </c>
      <c r="F126" s="7" t="n">
        <f aca="false">IF(((c_TMAP2IN)-(c_TMAP1IN))=0,(c_TMAP1OUT)+QUOTIENT(((c_TMAP2OUT)-(c_TMAP1OUT)),2),QUOTIENT((((C126)-(c_TMAP1IN))*((c_TMAP2OUT)-(c_TMAP1OUT))+IF(((c_TMAP2OUT)-(c_TMAP1OUT))&gt;=0,1,-1)*QUOTIENT(((c_TMAP2IN)-(c_TMAP1IN)),2)),((c_TMAP2IN)-(c_TMAP1IN)))+(c_TMAP1OUT)+IF(((c_TMAP2OUT)-(c_TMAP1OUT))&gt;=0,IF(IF(o_WRAP=1,MOD(((c_TMAP2IN)-(c_TMAP1IN))*(((C126)-(c_TMAP1IN))*((c_TMAP2OUT)-(c_TMAP1OUT))+IF(((c_TMAP2OUT)-(c_TMAP1OUT))&gt;=0,1,-1)*QUOTIENT(((c_TMAP2IN)-(c_TMAP1IN)),2))+2147483648,4294967296)-2147483648,((c_TMAP2IN)-(c_TMAP1IN))*(((C126)-(c_TMAP1IN))*((c_TMAP2OUT)-(c_TMAP1OUT))+IF(((c_TMAP2OUT)-(c_TMAP1OUT))&gt;=0,1,-1)*QUOTIENT(((c_TMAP2IN)-(c_TMAP1IN)),2)))&lt;0,-1,0),IF(IF(o_WRAP=1,MOD(((c_TMAP2IN)-(c_TMAP1IN))*(((C126)-(c_TMAP1IN))*((c_TMAP2OUT)-(c_TMAP1OUT))+IF(((c_TMAP2OUT)-(c_TMAP1OUT))&gt;=0,1,-1)*QUOTIENT(((c_TMAP2IN)-(c_TMAP1IN)),2))+2147483648,4294967296)-2147483648,((c_TMAP2IN)-(c_TMAP1IN))*(((C126)-(c_TMAP1IN))*((c_TMAP2OUT)-(c_TMAP1OUT))+IF(((c_TMAP2OUT)-(c_TMAP1OUT))&gt;=0,1,-1)*QUOTIENT(((c_TMAP2IN)-(c_TMAP1IN)),2)))&gt;=0,1,0)))</f>
        <v>30</v>
      </c>
      <c r="G126" s="7" t="n">
        <f aca="false">IF(((c_TMAP3IN)-(c_TMAP2IN))=0,(c_TMAP2OUT)+QUOTIENT(((c_TMAP3OUT)-(c_TMAP2OUT)),2),QUOTIENT((((C126)-(c_TMAP2IN))*((c_TMAP3OUT)-(c_TMAP2OUT))+IF(((c_TMAP3OUT)-(c_TMAP2OUT))&gt;=0,1,-1)*QUOTIENT(((c_TMAP3IN)-(c_TMAP2IN)),2)),((c_TMAP3IN)-(c_TMAP2IN)))+(c_TMAP2OUT)+IF(((c_TMAP3OUT)-(c_TMAP2OUT))&gt;=0,IF(IF(o_WRAP=1,MOD(((c_TMAP3IN)-(c_TMAP2IN))*(((C126)-(c_TMAP2IN))*((c_TMAP3OUT)-(c_TMAP2OUT))+IF(((c_TMAP3OUT)-(c_TMAP2OUT))&gt;=0,1,-1)*QUOTIENT(((c_TMAP3IN)-(c_TMAP2IN)),2))+2147483648,4294967296)-2147483648,((c_TMAP3IN)-(c_TMAP2IN))*(((C126)-(c_TMAP2IN))*((c_TMAP3OUT)-(c_TMAP2OUT))+IF(((c_TMAP3OUT)-(c_TMAP2OUT))&gt;=0,1,-1)*QUOTIENT(((c_TMAP3IN)-(c_TMAP2IN)),2)))&lt;0,-1,0),IF(IF(o_WRAP=1,MOD(((c_TMAP3IN)-(c_TMAP2IN))*(((C126)-(c_TMAP2IN))*((c_TMAP3OUT)-(c_TMAP2OUT))+IF(((c_TMAP3OUT)-(c_TMAP2OUT))&gt;=0,1,-1)*QUOTIENT(((c_TMAP3IN)-(c_TMAP2IN)),2))+2147483648,4294967296)-2147483648,((c_TMAP3IN)-(c_TMAP2IN))*(((C126)-(c_TMAP2IN))*((c_TMAP3OUT)-(c_TMAP2OUT))+IF(((c_TMAP3OUT)-(c_TMAP2OUT))&gt;=0,1,-1)*QUOTIENT(((c_TMAP3IN)-(c_TMAP2IN)),2)))&gt;=0,1,0)))</f>
        <v>-45</v>
      </c>
      <c r="H126" s="7" t="n">
        <f aca="false">IF(((1000)-(c_TMAP3IN))=0,(c_TMAP3OUT)+QUOTIENT(((1000)-(c_TMAP3OUT)),2),QUOTIENT((((C126)-(c_TMAP3IN))*((1000)-(c_TMAP3OUT))+IF(((1000)-(c_TMAP3OUT))&gt;=0,1,-1)*QUOTIENT(((1000)-(c_TMAP3IN)),2)),((1000)-(c_TMAP3IN)))+(c_TMAP3OUT)+IF(((1000)-(c_TMAP3OUT))&gt;=0,IF(IF(o_WRAP=1,MOD(((1000)-(c_TMAP3IN))*(((C126)-(c_TMAP3IN))*((1000)-(c_TMAP3OUT))+IF(((1000)-(c_TMAP3OUT))&gt;=0,1,-1)*QUOTIENT(((1000)-(c_TMAP3IN)),2))+2147483648,4294967296)-2147483648,((1000)-(c_TMAP3IN))*(((C126)-(c_TMAP3IN))*((1000)-(c_TMAP3OUT))+IF(((1000)-(c_TMAP3OUT))&gt;=0,1,-1)*QUOTIENT(((1000)-(c_TMAP3IN)),2)))&lt;0,-1,0),IF(IF(o_WRAP=1,MOD(((1000)-(c_TMAP3IN))*(((C126)-(c_TMAP3IN))*((1000)-(c_TMAP3OUT))+IF(((1000)-(c_TMAP3OUT))&gt;=0,1,-1)*QUOTIENT(((1000)-(c_TMAP3IN)),2))+2147483648,4294967296)-2147483648,((1000)-(c_TMAP3IN))*(((C126)-(c_TMAP3IN))*((1000)-(c_TMAP3OUT))+IF(((1000)-(c_TMAP3OUT))&gt;=0,1,-1)*QUOTIENT(((1000)-(c_TMAP3IN)),2)))&gt;=0,1,0)))</f>
        <v>-231</v>
      </c>
      <c r="I126" s="7" t="n">
        <f aca="false">IF(C126&gt;=c_TFWD,IF(AND(C126&gt;=c_TMAP3IN,c_TMAP3IN&lt;1000),H126,IF(AND(C126&gt;=c_TMAP2IN,c_TMAP3IN&gt;c_TMAP2IN),G126,IF(AND(C126&gt;=c_TMAP1IN,c_TMAP2IN&gt;c_TMAP1IN),F126,E126))),D126)</f>
        <v>-350</v>
      </c>
      <c r="J126" s="7" t="str">
        <f aca="false">IF(I126&lt;-1090,"TOO LOW",IF(I126&gt;1090,"TOO HIGH",""))</f>
        <v/>
      </c>
      <c r="K126" s="7" t="n">
        <f aca="false">IF(J126&lt;&gt;"",0,IF(I126&gt;979,1000,I126))</f>
        <v>-350</v>
      </c>
      <c r="L126" s="7" t="n">
        <f aca="false">IF(OR(c_TSMOOTH=0,K126&gt;=c_TSMOOTHCUT),1,0)</f>
        <v>0</v>
      </c>
      <c r="M126" s="7" t="n">
        <f aca="false">IF(L126=1,0,M125+1)</f>
        <v>40</v>
      </c>
      <c r="N126" s="7" t="n">
        <f aca="false">IF(L126=1,0,MIN(M126,c_TSMOOTH))</f>
        <v>30</v>
      </c>
      <c r="O126" s="7" t="n">
        <f aca="false">IF(COUNTIF($L$5:L126,1)&gt;0,c_TSMOOTHCUT,0)</f>
        <v>400</v>
      </c>
      <c r="P126" s="15" t="n">
        <f aca="true">IF(L126=1,K126,QUOTIENT(SUM(OFFSET(K126,1-N126,0,N126,1))+(c_TSMOOTH-N126)*O126,c_TSMOOTH))</f>
        <v>-350</v>
      </c>
      <c r="Q126" s="7" t="n">
        <f aca="false">K126/10</f>
        <v>-35</v>
      </c>
      <c r="R126" s="7" t="n">
        <f aca="false">P126/10</f>
        <v>-35</v>
      </c>
    </row>
    <row r="127" customFormat="false" ht="15" hidden="false" customHeight="false" outlineLevel="0" collapsed="false">
      <c r="A127" s="7" t="n">
        <v>122</v>
      </c>
      <c r="B127" s="7" t="n">
        <f aca="false">A127*0.04</f>
        <v>4.88</v>
      </c>
      <c r="C127" s="18" t="n">
        <v>0</v>
      </c>
      <c r="D127" s="7" t="n">
        <f aca="false">IF(AND(C127=0,c_TCREEP&gt;0),10*c_TCREEP,IF(AND(C127&lt;=c_TRNGMIN,C127&gt;=c_TRNGMAX,c_TRNGMIN-c_TRNGMAX&lt;&gt;0),-10*c_TMINRN+QUOTIENT((c_TMAXRN-c_TMINRN)*(100-QUOTIENT((C127-c_TRNGMAX)*100,c_TRNGMIN-c_TRNGMAX)),-10),0))</f>
        <v>-350</v>
      </c>
      <c r="E127" s="7" t="n">
        <f aca="false">IF(((c_TMAP1IN)-(c_TFWD))=0,(0)+QUOTIENT(((c_TMAP1OUT)-(0)),2),QUOTIENT((((C127)-(c_TFWD))*((c_TMAP1OUT)-(0))+IF(((c_TMAP1OUT)-(0))&gt;=0,1,-1)*QUOTIENT(((c_TMAP1IN)-(c_TFWD)),2)),((c_TMAP1IN)-(c_TFWD)))+(0)+IF(((c_TMAP1OUT)-(0))&gt;=0,IF(IF(o_WRAP=1,MOD(((c_TMAP1IN)-(c_TFWD))*(((C127)-(c_TFWD))*((c_TMAP1OUT)-(0))+IF(((c_TMAP1OUT)-(0))&gt;=0,1,-1)*QUOTIENT(((c_TMAP1IN)-(c_TFWD)),2))+2147483648,4294967296)-2147483648,((c_TMAP1IN)-(c_TFWD))*(((C127)-(c_TFWD))*((c_TMAP1OUT)-(0))+IF(((c_TMAP1OUT)-(0))&gt;=0,1,-1)*QUOTIENT(((c_TMAP1IN)-(c_TFWD)),2)))&lt;0,-1,0),IF(IF(o_WRAP=1,MOD(((c_TMAP1IN)-(c_TFWD))*(((C127)-(c_TFWD))*((c_TMAP1OUT)-(0))+IF(((c_TMAP1OUT)-(0))&gt;=0,1,-1)*QUOTIENT(((c_TMAP1IN)-(c_TFWD)),2))+2147483648,4294967296)-2147483648,((c_TMAP1IN)-(c_TFWD))*(((C127)-(c_TFWD))*((c_TMAP1OUT)-(0))+IF(((c_TMAP1OUT)-(0))&gt;=0,1,-1)*QUOTIENT(((c_TMAP1IN)-(c_TFWD)),2)))&gt;=0,1,0)))</f>
        <v>-8</v>
      </c>
      <c r="F127" s="7" t="n">
        <f aca="false">IF(((c_TMAP2IN)-(c_TMAP1IN))=0,(c_TMAP1OUT)+QUOTIENT(((c_TMAP2OUT)-(c_TMAP1OUT)),2),QUOTIENT((((C127)-(c_TMAP1IN))*((c_TMAP2OUT)-(c_TMAP1OUT))+IF(((c_TMAP2OUT)-(c_TMAP1OUT))&gt;=0,1,-1)*QUOTIENT(((c_TMAP2IN)-(c_TMAP1IN)),2)),((c_TMAP2IN)-(c_TMAP1IN)))+(c_TMAP1OUT)+IF(((c_TMAP2OUT)-(c_TMAP1OUT))&gt;=0,IF(IF(o_WRAP=1,MOD(((c_TMAP2IN)-(c_TMAP1IN))*(((C127)-(c_TMAP1IN))*((c_TMAP2OUT)-(c_TMAP1OUT))+IF(((c_TMAP2OUT)-(c_TMAP1OUT))&gt;=0,1,-1)*QUOTIENT(((c_TMAP2IN)-(c_TMAP1IN)),2))+2147483648,4294967296)-2147483648,((c_TMAP2IN)-(c_TMAP1IN))*(((C127)-(c_TMAP1IN))*((c_TMAP2OUT)-(c_TMAP1OUT))+IF(((c_TMAP2OUT)-(c_TMAP1OUT))&gt;=0,1,-1)*QUOTIENT(((c_TMAP2IN)-(c_TMAP1IN)),2)))&lt;0,-1,0),IF(IF(o_WRAP=1,MOD(((c_TMAP2IN)-(c_TMAP1IN))*(((C127)-(c_TMAP1IN))*((c_TMAP2OUT)-(c_TMAP1OUT))+IF(((c_TMAP2OUT)-(c_TMAP1OUT))&gt;=0,1,-1)*QUOTIENT(((c_TMAP2IN)-(c_TMAP1IN)),2))+2147483648,4294967296)-2147483648,((c_TMAP2IN)-(c_TMAP1IN))*(((C127)-(c_TMAP1IN))*((c_TMAP2OUT)-(c_TMAP1OUT))+IF(((c_TMAP2OUT)-(c_TMAP1OUT))&gt;=0,1,-1)*QUOTIENT(((c_TMAP2IN)-(c_TMAP1IN)),2)))&gt;=0,1,0)))</f>
        <v>30</v>
      </c>
      <c r="G127" s="7" t="n">
        <f aca="false">IF(((c_TMAP3IN)-(c_TMAP2IN))=0,(c_TMAP2OUT)+QUOTIENT(((c_TMAP3OUT)-(c_TMAP2OUT)),2),QUOTIENT((((C127)-(c_TMAP2IN))*((c_TMAP3OUT)-(c_TMAP2OUT))+IF(((c_TMAP3OUT)-(c_TMAP2OUT))&gt;=0,1,-1)*QUOTIENT(((c_TMAP3IN)-(c_TMAP2IN)),2)),((c_TMAP3IN)-(c_TMAP2IN)))+(c_TMAP2OUT)+IF(((c_TMAP3OUT)-(c_TMAP2OUT))&gt;=0,IF(IF(o_WRAP=1,MOD(((c_TMAP3IN)-(c_TMAP2IN))*(((C127)-(c_TMAP2IN))*((c_TMAP3OUT)-(c_TMAP2OUT))+IF(((c_TMAP3OUT)-(c_TMAP2OUT))&gt;=0,1,-1)*QUOTIENT(((c_TMAP3IN)-(c_TMAP2IN)),2))+2147483648,4294967296)-2147483648,((c_TMAP3IN)-(c_TMAP2IN))*(((C127)-(c_TMAP2IN))*((c_TMAP3OUT)-(c_TMAP2OUT))+IF(((c_TMAP3OUT)-(c_TMAP2OUT))&gt;=0,1,-1)*QUOTIENT(((c_TMAP3IN)-(c_TMAP2IN)),2)))&lt;0,-1,0),IF(IF(o_WRAP=1,MOD(((c_TMAP3IN)-(c_TMAP2IN))*(((C127)-(c_TMAP2IN))*((c_TMAP3OUT)-(c_TMAP2OUT))+IF(((c_TMAP3OUT)-(c_TMAP2OUT))&gt;=0,1,-1)*QUOTIENT(((c_TMAP3IN)-(c_TMAP2IN)),2))+2147483648,4294967296)-2147483648,((c_TMAP3IN)-(c_TMAP2IN))*(((C127)-(c_TMAP2IN))*((c_TMAP3OUT)-(c_TMAP2OUT))+IF(((c_TMAP3OUT)-(c_TMAP2OUT))&gt;=0,1,-1)*QUOTIENT(((c_TMAP3IN)-(c_TMAP2IN)),2)))&gt;=0,1,0)))</f>
        <v>-45</v>
      </c>
      <c r="H127" s="7" t="n">
        <f aca="false">IF(((1000)-(c_TMAP3IN))=0,(c_TMAP3OUT)+QUOTIENT(((1000)-(c_TMAP3OUT)),2),QUOTIENT((((C127)-(c_TMAP3IN))*((1000)-(c_TMAP3OUT))+IF(((1000)-(c_TMAP3OUT))&gt;=0,1,-1)*QUOTIENT(((1000)-(c_TMAP3IN)),2)),((1000)-(c_TMAP3IN)))+(c_TMAP3OUT)+IF(((1000)-(c_TMAP3OUT))&gt;=0,IF(IF(o_WRAP=1,MOD(((1000)-(c_TMAP3IN))*(((C127)-(c_TMAP3IN))*((1000)-(c_TMAP3OUT))+IF(((1000)-(c_TMAP3OUT))&gt;=0,1,-1)*QUOTIENT(((1000)-(c_TMAP3IN)),2))+2147483648,4294967296)-2147483648,((1000)-(c_TMAP3IN))*(((C127)-(c_TMAP3IN))*((1000)-(c_TMAP3OUT))+IF(((1000)-(c_TMAP3OUT))&gt;=0,1,-1)*QUOTIENT(((1000)-(c_TMAP3IN)),2)))&lt;0,-1,0),IF(IF(o_WRAP=1,MOD(((1000)-(c_TMAP3IN))*(((C127)-(c_TMAP3IN))*((1000)-(c_TMAP3OUT))+IF(((1000)-(c_TMAP3OUT))&gt;=0,1,-1)*QUOTIENT(((1000)-(c_TMAP3IN)),2))+2147483648,4294967296)-2147483648,((1000)-(c_TMAP3IN))*(((C127)-(c_TMAP3IN))*((1000)-(c_TMAP3OUT))+IF(((1000)-(c_TMAP3OUT))&gt;=0,1,-1)*QUOTIENT(((1000)-(c_TMAP3IN)),2)))&gt;=0,1,0)))</f>
        <v>-231</v>
      </c>
      <c r="I127" s="7" t="n">
        <f aca="false">IF(C127&gt;=c_TFWD,IF(AND(C127&gt;=c_TMAP3IN,c_TMAP3IN&lt;1000),H127,IF(AND(C127&gt;=c_TMAP2IN,c_TMAP3IN&gt;c_TMAP2IN),G127,IF(AND(C127&gt;=c_TMAP1IN,c_TMAP2IN&gt;c_TMAP1IN),F127,E127))),D127)</f>
        <v>-350</v>
      </c>
      <c r="J127" s="7" t="str">
        <f aca="false">IF(I127&lt;-1090,"TOO LOW",IF(I127&gt;1090,"TOO HIGH",""))</f>
        <v/>
      </c>
      <c r="K127" s="7" t="n">
        <f aca="false">IF(J127&lt;&gt;"",0,IF(I127&gt;979,1000,I127))</f>
        <v>-350</v>
      </c>
      <c r="L127" s="7" t="n">
        <f aca="false">IF(OR(c_TSMOOTH=0,K127&gt;=c_TSMOOTHCUT),1,0)</f>
        <v>0</v>
      </c>
      <c r="M127" s="7" t="n">
        <f aca="false">IF(L127=1,0,M126+1)</f>
        <v>41</v>
      </c>
      <c r="N127" s="7" t="n">
        <f aca="false">IF(L127=1,0,MIN(M127,c_TSMOOTH))</f>
        <v>30</v>
      </c>
      <c r="O127" s="7" t="n">
        <f aca="false">IF(COUNTIF($L$5:L127,1)&gt;0,c_TSMOOTHCUT,0)</f>
        <v>400</v>
      </c>
      <c r="P127" s="15" t="n">
        <f aca="true">IF(L127=1,K127,QUOTIENT(SUM(OFFSET(K127,1-N127,0,N127,1))+(c_TSMOOTH-N127)*O127,c_TSMOOTH))</f>
        <v>-350</v>
      </c>
      <c r="Q127" s="7" t="n">
        <f aca="false">K127/10</f>
        <v>-35</v>
      </c>
      <c r="R127" s="7" t="n">
        <f aca="false">P127/10</f>
        <v>-35</v>
      </c>
    </row>
    <row r="128" customFormat="false" ht="15" hidden="false" customHeight="false" outlineLevel="0" collapsed="false">
      <c r="A128" s="7" t="n">
        <v>123</v>
      </c>
      <c r="B128" s="7" t="n">
        <f aca="false">A128*0.04</f>
        <v>4.92</v>
      </c>
      <c r="C128" s="18" t="n">
        <v>0</v>
      </c>
      <c r="D128" s="7" t="n">
        <f aca="false">IF(AND(C128=0,c_TCREEP&gt;0),10*c_TCREEP,IF(AND(C128&lt;=c_TRNGMIN,C128&gt;=c_TRNGMAX,c_TRNGMIN-c_TRNGMAX&lt;&gt;0),-10*c_TMINRN+QUOTIENT((c_TMAXRN-c_TMINRN)*(100-QUOTIENT((C128-c_TRNGMAX)*100,c_TRNGMIN-c_TRNGMAX)),-10),0))</f>
        <v>-350</v>
      </c>
      <c r="E128" s="7" t="n">
        <f aca="false">IF(((c_TMAP1IN)-(c_TFWD))=0,(0)+QUOTIENT(((c_TMAP1OUT)-(0)),2),QUOTIENT((((C128)-(c_TFWD))*((c_TMAP1OUT)-(0))+IF(((c_TMAP1OUT)-(0))&gt;=0,1,-1)*QUOTIENT(((c_TMAP1IN)-(c_TFWD)),2)),((c_TMAP1IN)-(c_TFWD)))+(0)+IF(((c_TMAP1OUT)-(0))&gt;=0,IF(IF(o_WRAP=1,MOD(((c_TMAP1IN)-(c_TFWD))*(((C128)-(c_TFWD))*((c_TMAP1OUT)-(0))+IF(((c_TMAP1OUT)-(0))&gt;=0,1,-1)*QUOTIENT(((c_TMAP1IN)-(c_TFWD)),2))+2147483648,4294967296)-2147483648,((c_TMAP1IN)-(c_TFWD))*(((C128)-(c_TFWD))*((c_TMAP1OUT)-(0))+IF(((c_TMAP1OUT)-(0))&gt;=0,1,-1)*QUOTIENT(((c_TMAP1IN)-(c_TFWD)),2)))&lt;0,-1,0),IF(IF(o_WRAP=1,MOD(((c_TMAP1IN)-(c_TFWD))*(((C128)-(c_TFWD))*((c_TMAP1OUT)-(0))+IF(((c_TMAP1OUT)-(0))&gt;=0,1,-1)*QUOTIENT(((c_TMAP1IN)-(c_TFWD)),2))+2147483648,4294967296)-2147483648,((c_TMAP1IN)-(c_TFWD))*(((C128)-(c_TFWD))*((c_TMAP1OUT)-(0))+IF(((c_TMAP1OUT)-(0))&gt;=0,1,-1)*QUOTIENT(((c_TMAP1IN)-(c_TFWD)),2)))&gt;=0,1,0)))</f>
        <v>-8</v>
      </c>
      <c r="F128" s="7" t="n">
        <f aca="false">IF(((c_TMAP2IN)-(c_TMAP1IN))=0,(c_TMAP1OUT)+QUOTIENT(((c_TMAP2OUT)-(c_TMAP1OUT)),2),QUOTIENT((((C128)-(c_TMAP1IN))*((c_TMAP2OUT)-(c_TMAP1OUT))+IF(((c_TMAP2OUT)-(c_TMAP1OUT))&gt;=0,1,-1)*QUOTIENT(((c_TMAP2IN)-(c_TMAP1IN)),2)),((c_TMAP2IN)-(c_TMAP1IN)))+(c_TMAP1OUT)+IF(((c_TMAP2OUT)-(c_TMAP1OUT))&gt;=0,IF(IF(o_WRAP=1,MOD(((c_TMAP2IN)-(c_TMAP1IN))*(((C128)-(c_TMAP1IN))*((c_TMAP2OUT)-(c_TMAP1OUT))+IF(((c_TMAP2OUT)-(c_TMAP1OUT))&gt;=0,1,-1)*QUOTIENT(((c_TMAP2IN)-(c_TMAP1IN)),2))+2147483648,4294967296)-2147483648,((c_TMAP2IN)-(c_TMAP1IN))*(((C128)-(c_TMAP1IN))*((c_TMAP2OUT)-(c_TMAP1OUT))+IF(((c_TMAP2OUT)-(c_TMAP1OUT))&gt;=0,1,-1)*QUOTIENT(((c_TMAP2IN)-(c_TMAP1IN)),2)))&lt;0,-1,0),IF(IF(o_WRAP=1,MOD(((c_TMAP2IN)-(c_TMAP1IN))*(((C128)-(c_TMAP1IN))*((c_TMAP2OUT)-(c_TMAP1OUT))+IF(((c_TMAP2OUT)-(c_TMAP1OUT))&gt;=0,1,-1)*QUOTIENT(((c_TMAP2IN)-(c_TMAP1IN)),2))+2147483648,4294967296)-2147483648,((c_TMAP2IN)-(c_TMAP1IN))*(((C128)-(c_TMAP1IN))*((c_TMAP2OUT)-(c_TMAP1OUT))+IF(((c_TMAP2OUT)-(c_TMAP1OUT))&gt;=0,1,-1)*QUOTIENT(((c_TMAP2IN)-(c_TMAP1IN)),2)))&gt;=0,1,0)))</f>
        <v>30</v>
      </c>
      <c r="G128" s="7" t="n">
        <f aca="false">IF(((c_TMAP3IN)-(c_TMAP2IN))=0,(c_TMAP2OUT)+QUOTIENT(((c_TMAP3OUT)-(c_TMAP2OUT)),2),QUOTIENT((((C128)-(c_TMAP2IN))*((c_TMAP3OUT)-(c_TMAP2OUT))+IF(((c_TMAP3OUT)-(c_TMAP2OUT))&gt;=0,1,-1)*QUOTIENT(((c_TMAP3IN)-(c_TMAP2IN)),2)),((c_TMAP3IN)-(c_TMAP2IN)))+(c_TMAP2OUT)+IF(((c_TMAP3OUT)-(c_TMAP2OUT))&gt;=0,IF(IF(o_WRAP=1,MOD(((c_TMAP3IN)-(c_TMAP2IN))*(((C128)-(c_TMAP2IN))*((c_TMAP3OUT)-(c_TMAP2OUT))+IF(((c_TMAP3OUT)-(c_TMAP2OUT))&gt;=0,1,-1)*QUOTIENT(((c_TMAP3IN)-(c_TMAP2IN)),2))+2147483648,4294967296)-2147483648,((c_TMAP3IN)-(c_TMAP2IN))*(((C128)-(c_TMAP2IN))*((c_TMAP3OUT)-(c_TMAP2OUT))+IF(((c_TMAP3OUT)-(c_TMAP2OUT))&gt;=0,1,-1)*QUOTIENT(((c_TMAP3IN)-(c_TMAP2IN)),2)))&lt;0,-1,0),IF(IF(o_WRAP=1,MOD(((c_TMAP3IN)-(c_TMAP2IN))*(((C128)-(c_TMAP2IN))*((c_TMAP3OUT)-(c_TMAP2OUT))+IF(((c_TMAP3OUT)-(c_TMAP2OUT))&gt;=0,1,-1)*QUOTIENT(((c_TMAP3IN)-(c_TMAP2IN)),2))+2147483648,4294967296)-2147483648,((c_TMAP3IN)-(c_TMAP2IN))*(((C128)-(c_TMAP2IN))*((c_TMAP3OUT)-(c_TMAP2OUT))+IF(((c_TMAP3OUT)-(c_TMAP2OUT))&gt;=0,1,-1)*QUOTIENT(((c_TMAP3IN)-(c_TMAP2IN)),2)))&gt;=0,1,0)))</f>
        <v>-45</v>
      </c>
      <c r="H128" s="7" t="n">
        <f aca="false">IF(((1000)-(c_TMAP3IN))=0,(c_TMAP3OUT)+QUOTIENT(((1000)-(c_TMAP3OUT)),2),QUOTIENT((((C128)-(c_TMAP3IN))*((1000)-(c_TMAP3OUT))+IF(((1000)-(c_TMAP3OUT))&gt;=0,1,-1)*QUOTIENT(((1000)-(c_TMAP3IN)),2)),((1000)-(c_TMAP3IN)))+(c_TMAP3OUT)+IF(((1000)-(c_TMAP3OUT))&gt;=0,IF(IF(o_WRAP=1,MOD(((1000)-(c_TMAP3IN))*(((C128)-(c_TMAP3IN))*((1000)-(c_TMAP3OUT))+IF(((1000)-(c_TMAP3OUT))&gt;=0,1,-1)*QUOTIENT(((1000)-(c_TMAP3IN)),2))+2147483648,4294967296)-2147483648,((1000)-(c_TMAP3IN))*(((C128)-(c_TMAP3IN))*((1000)-(c_TMAP3OUT))+IF(((1000)-(c_TMAP3OUT))&gt;=0,1,-1)*QUOTIENT(((1000)-(c_TMAP3IN)),2)))&lt;0,-1,0),IF(IF(o_WRAP=1,MOD(((1000)-(c_TMAP3IN))*(((C128)-(c_TMAP3IN))*((1000)-(c_TMAP3OUT))+IF(((1000)-(c_TMAP3OUT))&gt;=0,1,-1)*QUOTIENT(((1000)-(c_TMAP3IN)),2))+2147483648,4294967296)-2147483648,((1000)-(c_TMAP3IN))*(((C128)-(c_TMAP3IN))*((1000)-(c_TMAP3OUT))+IF(((1000)-(c_TMAP3OUT))&gt;=0,1,-1)*QUOTIENT(((1000)-(c_TMAP3IN)),2)))&gt;=0,1,0)))</f>
        <v>-231</v>
      </c>
      <c r="I128" s="7" t="n">
        <f aca="false">IF(C128&gt;=c_TFWD,IF(AND(C128&gt;=c_TMAP3IN,c_TMAP3IN&lt;1000),H128,IF(AND(C128&gt;=c_TMAP2IN,c_TMAP3IN&gt;c_TMAP2IN),G128,IF(AND(C128&gt;=c_TMAP1IN,c_TMAP2IN&gt;c_TMAP1IN),F128,E128))),D128)</f>
        <v>-350</v>
      </c>
      <c r="J128" s="7" t="str">
        <f aca="false">IF(I128&lt;-1090,"TOO LOW",IF(I128&gt;1090,"TOO HIGH",""))</f>
        <v/>
      </c>
      <c r="K128" s="7" t="n">
        <f aca="false">IF(J128&lt;&gt;"",0,IF(I128&gt;979,1000,I128))</f>
        <v>-350</v>
      </c>
      <c r="L128" s="7" t="n">
        <f aca="false">IF(OR(c_TSMOOTH=0,K128&gt;=c_TSMOOTHCUT),1,0)</f>
        <v>0</v>
      </c>
      <c r="M128" s="7" t="n">
        <f aca="false">IF(L128=1,0,M127+1)</f>
        <v>42</v>
      </c>
      <c r="N128" s="7" t="n">
        <f aca="false">IF(L128=1,0,MIN(M128,c_TSMOOTH))</f>
        <v>30</v>
      </c>
      <c r="O128" s="7" t="n">
        <f aca="false">IF(COUNTIF($L$5:L128,1)&gt;0,c_TSMOOTHCUT,0)</f>
        <v>400</v>
      </c>
      <c r="P128" s="15" t="n">
        <f aca="true">IF(L128=1,K128,QUOTIENT(SUM(OFFSET(K128,1-N128,0,N128,1))+(c_TSMOOTH-N128)*O128,c_TSMOOTH))</f>
        <v>-350</v>
      </c>
      <c r="Q128" s="7" t="n">
        <f aca="false">K128/10</f>
        <v>-35</v>
      </c>
      <c r="R128" s="7" t="n">
        <f aca="false">P128/10</f>
        <v>-35</v>
      </c>
    </row>
    <row r="129" customFormat="false" ht="15" hidden="false" customHeight="false" outlineLevel="0" collapsed="false">
      <c r="A129" s="7" t="n">
        <v>124</v>
      </c>
      <c r="B129" s="7" t="n">
        <f aca="false">A129*0.04</f>
        <v>4.96</v>
      </c>
      <c r="C129" s="18" t="n">
        <v>0</v>
      </c>
      <c r="D129" s="7" t="n">
        <f aca="false">IF(AND(C129=0,c_TCREEP&gt;0),10*c_TCREEP,IF(AND(C129&lt;=c_TRNGMIN,C129&gt;=c_TRNGMAX,c_TRNGMIN-c_TRNGMAX&lt;&gt;0),-10*c_TMINRN+QUOTIENT((c_TMAXRN-c_TMINRN)*(100-QUOTIENT((C129-c_TRNGMAX)*100,c_TRNGMIN-c_TRNGMAX)),-10),0))</f>
        <v>-350</v>
      </c>
      <c r="E129" s="7" t="n">
        <f aca="false">IF(((c_TMAP1IN)-(c_TFWD))=0,(0)+QUOTIENT(((c_TMAP1OUT)-(0)),2),QUOTIENT((((C129)-(c_TFWD))*((c_TMAP1OUT)-(0))+IF(((c_TMAP1OUT)-(0))&gt;=0,1,-1)*QUOTIENT(((c_TMAP1IN)-(c_TFWD)),2)),((c_TMAP1IN)-(c_TFWD)))+(0)+IF(((c_TMAP1OUT)-(0))&gt;=0,IF(IF(o_WRAP=1,MOD(((c_TMAP1IN)-(c_TFWD))*(((C129)-(c_TFWD))*((c_TMAP1OUT)-(0))+IF(((c_TMAP1OUT)-(0))&gt;=0,1,-1)*QUOTIENT(((c_TMAP1IN)-(c_TFWD)),2))+2147483648,4294967296)-2147483648,((c_TMAP1IN)-(c_TFWD))*(((C129)-(c_TFWD))*((c_TMAP1OUT)-(0))+IF(((c_TMAP1OUT)-(0))&gt;=0,1,-1)*QUOTIENT(((c_TMAP1IN)-(c_TFWD)),2)))&lt;0,-1,0),IF(IF(o_WRAP=1,MOD(((c_TMAP1IN)-(c_TFWD))*(((C129)-(c_TFWD))*((c_TMAP1OUT)-(0))+IF(((c_TMAP1OUT)-(0))&gt;=0,1,-1)*QUOTIENT(((c_TMAP1IN)-(c_TFWD)),2))+2147483648,4294967296)-2147483648,((c_TMAP1IN)-(c_TFWD))*(((C129)-(c_TFWD))*((c_TMAP1OUT)-(0))+IF(((c_TMAP1OUT)-(0))&gt;=0,1,-1)*QUOTIENT(((c_TMAP1IN)-(c_TFWD)),2)))&gt;=0,1,0)))</f>
        <v>-8</v>
      </c>
      <c r="F129" s="7" t="n">
        <f aca="false">IF(((c_TMAP2IN)-(c_TMAP1IN))=0,(c_TMAP1OUT)+QUOTIENT(((c_TMAP2OUT)-(c_TMAP1OUT)),2),QUOTIENT((((C129)-(c_TMAP1IN))*((c_TMAP2OUT)-(c_TMAP1OUT))+IF(((c_TMAP2OUT)-(c_TMAP1OUT))&gt;=0,1,-1)*QUOTIENT(((c_TMAP2IN)-(c_TMAP1IN)),2)),((c_TMAP2IN)-(c_TMAP1IN)))+(c_TMAP1OUT)+IF(((c_TMAP2OUT)-(c_TMAP1OUT))&gt;=0,IF(IF(o_WRAP=1,MOD(((c_TMAP2IN)-(c_TMAP1IN))*(((C129)-(c_TMAP1IN))*((c_TMAP2OUT)-(c_TMAP1OUT))+IF(((c_TMAP2OUT)-(c_TMAP1OUT))&gt;=0,1,-1)*QUOTIENT(((c_TMAP2IN)-(c_TMAP1IN)),2))+2147483648,4294967296)-2147483648,((c_TMAP2IN)-(c_TMAP1IN))*(((C129)-(c_TMAP1IN))*((c_TMAP2OUT)-(c_TMAP1OUT))+IF(((c_TMAP2OUT)-(c_TMAP1OUT))&gt;=0,1,-1)*QUOTIENT(((c_TMAP2IN)-(c_TMAP1IN)),2)))&lt;0,-1,0),IF(IF(o_WRAP=1,MOD(((c_TMAP2IN)-(c_TMAP1IN))*(((C129)-(c_TMAP1IN))*((c_TMAP2OUT)-(c_TMAP1OUT))+IF(((c_TMAP2OUT)-(c_TMAP1OUT))&gt;=0,1,-1)*QUOTIENT(((c_TMAP2IN)-(c_TMAP1IN)),2))+2147483648,4294967296)-2147483648,((c_TMAP2IN)-(c_TMAP1IN))*(((C129)-(c_TMAP1IN))*((c_TMAP2OUT)-(c_TMAP1OUT))+IF(((c_TMAP2OUT)-(c_TMAP1OUT))&gt;=0,1,-1)*QUOTIENT(((c_TMAP2IN)-(c_TMAP1IN)),2)))&gt;=0,1,0)))</f>
        <v>30</v>
      </c>
      <c r="G129" s="7" t="n">
        <f aca="false">IF(((c_TMAP3IN)-(c_TMAP2IN))=0,(c_TMAP2OUT)+QUOTIENT(((c_TMAP3OUT)-(c_TMAP2OUT)),2),QUOTIENT((((C129)-(c_TMAP2IN))*((c_TMAP3OUT)-(c_TMAP2OUT))+IF(((c_TMAP3OUT)-(c_TMAP2OUT))&gt;=0,1,-1)*QUOTIENT(((c_TMAP3IN)-(c_TMAP2IN)),2)),((c_TMAP3IN)-(c_TMAP2IN)))+(c_TMAP2OUT)+IF(((c_TMAP3OUT)-(c_TMAP2OUT))&gt;=0,IF(IF(o_WRAP=1,MOD(((c_TMAP3IN)-(c_TMAP2IN))*(((C129)-(c_TMAP2IN))*((c_TMAP3OUT)-(c_TMAP2OUT))+IF(((c_TMAP3OUT)-(c_TMAP2OUT))&gt;=0,1,-1)*QUOTIENT(((c_TMAP3IN)-(c_TMAP2IN)),2))+2147483648,4294967296)-2147483648,((c_TMAP3IN)-(c_TMAP2IN))*(((C129)-(c_TMAP2IN))*((c_TMAP3OUT)-(c_TMAP2OUT))+IF(((c_TMAP3OUT)-(c_TMAP2OUT))&gt;=0,1,-1)*QUOTIENT(((c_TMAP3IN)-(c_TMAP2IN)),2)))&lt;0,-1,0),IF(IF(o_WRAP=1,MOD(((c_TMAP3IN)-(c_TMAP2IN))*(((C129)-(c_TMAP2IN))*((c_TMAP3OUT)-(c_TMAP2OUT))+IF(((c_TMAP3OUT)-(c_TMAP2OUT))&gt;=0,1,-1)*QUOTIENT(((c_TMAP3IN)-(c_TMAP2IN)),2))+2147483648,4294967296)-2147483648,((c_TMAP3IN)-(c_TMAP2IN))*(((C129)-(c_TMAP2IN))*((c_TMAP3OUT)-(c_TMAP2OUT))+IF(((c_TMAP3OUT)-(c_TMAP2OUT))&gt;=0,1,-1)*QUOTIENT(((c_TMAP3IN)-(c_TMAP2IN)),2)))&gt;=0,1,0)))</f>
        <v>-45</v>
      </c>
      <c r="H129" s="7" t="n">
        <f aca="false">IF(((1000)-(c_TMAP3IN))=0,(c_TMAP3OUT)+QUOTIENT(((1000)-(c_TMAP3OUT)),2),QUOTIENT((((C129)-(c_TMAP3IN))*((1000)-(c_TMAP3OUT))+IF(((1000)-(c_TMAP3OUT))&gt;=0,1,-1)*QUOTIENT(((1000)-(c_TMAP3IN)),2)),((1000)-(c_TMAP3IN)))+(c_TMAP3OUT)+IF(((1000)-(c_TMAP3OUT))&gt;=0,IF(IF(o_WRAP=1,MOD(((1000)-(c_TMAP3IN))*(((C129)-(c_TMAP3IN))*((1000)-(c_TMAP3OUT))+IF(((1000)-(c_TMAP3OUT))&gt;=0,1,-1)*QUOTIENT(((1000)-(c_TMAP3IN)),2))+2147483648,4294967296)-2147483648,((1000)-(c_TMAP3IN))*(((C129)-(c_TMAP3IN))*((1000)-(c_TMAP3OUT))+IF(((1000)-(c_TMAP3OUT))&gt;=0,1,-1)*QUOTIENT(((1000)-(c_TMAP3IN)),2)))&lt;0,-1,0),IF(IF(o_WRAP=1,MOD(((1000)-(c_TMAP3IN))*(((C129)-(c_TMAP3IN))*((1000)-(c_TMAP3OUT))+IF(((1000)-(c_TMAP3OUT))&gt;=0,1,-1)*QUOTIENT(((1000)-(c_TMAP3IN)),2))+2147483648,4294967296)-2147483648,((1000)-(c_TMAP3IN))*(((C129)-(c_TMAP3IN))*((1000)-(c_TMAP3OUT))+IF(((1000)-(c_TMAP3OUT))&gt;=0,1,-1)*QUOTIENT(((1000)-(c_TMAP3IN)),2)))&gt;=0,1,0)))</f>
        <v>-231</v>
      </c>
      <c r="I129" s="7" t="n">
        <f aca="false">IF(C129&gt;=c_TFWD,IF(AND(C129&gt;=c_TMAP3IN,c_TMAP3IN&lt;1000),H129,IF(AND(C129&gt;=c_TMAP2IN,c_TMAP3IN&gt;c_TMAP2IN),G129,IF(AND(C129&gt;=c_TMAP1IN,c_TMAP2IN&gt;c_TMAP1IN),F129,E129))),D129)</f>
        <v>-350</v>
      </c>
      <c r="J129" s="7" t="str">
        <f aca="false">IF(I129&lt;-1090,"TOO LOW",IF(I129&gt;1090,"TOO HIGH",""))</f>
        <v/>
      </c>
      <c r="K129" s="7" t="n">
        <f aca="false">IF(J129&lt;&gt;"",0,IF(I129&gt;979,1000,I129))</f>
        <v>-350</v>
      </c>
      <c r="L129" s="7" t="n">
        <f aca="false">IF(OR(c_TSMOOTH=0,K129&gt;=c_TSMOOTHCUT),1,0)</f>
        <v>0</v>
      </c>
      <c r="M129" s="7" t="n">
        <f aca="false">IF(L129=1,0,M128+1)</f>
        <v>43</v>
      </c>
      <c r="N129" s="7" t="n">
        <f aca="false">IF(L129=1,0,MIN(M129,c_TSMOOTH))</f>
        <v>30</v>
      </c>
      <c r="O129" s="7" t="n">
        <f aca="false">IF(COUNTIF($L$5:L129,1)&gt;0,c_TSMOOTHCUT,0)</f>
        <v>400</v>
      </c>
      <c r="P129" s="15" t="n">
        <f aca="true">IF(L129=1,K129,QUOTIENT(SUM(OFFSET(K129,1-N129,0,N129,1))+(c_TSMOOTH-N129)*O129,c_TSMOOTH))</f>
        <v>-350</v>
      </c>
      <c r="Q129" s="7" t="n">
        <f aca="false">K129/10</f>
        <v>-35</v>
      </c>
      <c r="R129" s="7" t="n">
        <f aca="false">P129/10</f>
        <v>-35</v>
      </c>
    </row>
    <row r="130" customFormat="false" ht="15" hidden="false" customHeight="false" outlineLevel="0" collapsed="false">
      <c r="A130" s="7" t="n">
        <v>125</v>
      </c>
      <c r="B130" s="7" t="n">
        <f aca="false">A130*0.04</f>
        <v>5</v>
      </c>
      <c r="C130" s="18" t="n">
        <v>0</v>
      </c>
      <c r="D130" s="7" t="n">
        <f aca="false">IF(AND(C130=0,c_TCREEP&gt;0),10*c_TCREEP,IF(AND(C130&lt;=c_TRNGMIN,C130&gt;=c_TRNGMAX,c_TRNGMIN-c_TRNGMAX&lt;&gt;0),-10*c_TMINRN+QUOTIENT((c_TMAXRN-c_TMINRN)*(100-QUOTIENT((C130-c_TRNGMAX)*100,c_TRNGMIN-c_TRNGMAX)),-10),0))</f>
        <v>-350</v>
      </c>
      <c r="E130" s="7" t="n">
        <f aca="false">IF(((c_TMAP1IN)-(c_TFWD))=0,(0)+QUOTIENT(((c_TMAP1OUT)-(0)),2),QUOTIENT((((C130)-(c_TFWD))*((c_TMAP1OUT)-(0))+IF(((c_TMAP1OUT)-(0))&gt;=0,1,-1)*QUOTIENT(((c_TMAP1IN)-(c_TFWD)),2)),((c_TMAP1IN)-(c_TFWD)))+(0)+IF(((c_TMAP1OUT)-(0))&gt;=0,IF(IF(o_WRAP=1,MOD(((c_TMAP1IN)-(c_TFWD))*(((C130)-(c_TFWD))*((c_TMAP1OUT)-(0))+IF(((c_TMAP1OUT)-(0))&gt;=0,1,-1)*QUOTIENT(((c_TMAP1IN)-(c_TFWD)),2))+2147483648,4294967296)-2147483648,((c_TMAP1IN)-(c_TFWD))*(((C130)-(c_TFWD))*((c_TMAP1OUT)-(0))+IF(((c_TMAP1OUT)-(0))&gt;=0,1,-1)*QUOTIENT(((c_TMAP1IN)-(c_TFWD)),2)))&lt;0,-1,0),IF(IF(o_WRAP=1,MOD(((c_TMAP1IN)-(c_TFWD))*(((C130)-(c_TFWD))*((c_TMAP1OUT)-(0))+IF(((c_TMAP1OUT)-(0))&gt;=0,1,-1)*QUOTIENT(((c_TMAP1IN)-(c_TFWD)),2))+2147483648,4294967296)-2147483648,((c_TMAP1IN)-(c_TFWD))*(((C130)-(c_TFWD))*((c_TMAP1OUT)-(0))+IF(((c_TMAP1OUT)-(0))&gt;=0,1,-1)*QUOTIENT(((c_TMAP1IN)-(c_TFWD)),2)))&gt;=0,1,0)))</f>
        <v>-8</v>
      </c>
      <c r="F130" s="7" t="n">
        <f aca="false">IF(((c_TMAP2IN)-(c_TMAP1IN))=0,(c_TMAP1OUT)+QUOTIENT(((c_TMAP2OUT)-(c_TMAP1OUT)),2),QUOTIENT((((C130)-(c_TMAP1IN))*((c_TMAP2OUT)-(c_TMAP1OUT))+IF(((c_TMAP2OUT)-(c_TMAP1OUT))&gt;=0,1,-1)*QUOTIENT(((c_TMAP2IN)-(c_TMAP1IN)),2)),((c_TMAP2IN)-(c_TMAP1IN)))+(c_TMAP1OUT)+IF(((c_TMAP2OUT)-(c_TMAP1OUT))&gt;=0,IF(IF(o_WRAP=1,MOD(((c_TMAP2IN)-(c_TMAP1IN))*(((C130)-(c_TMAP1IN))*((c_TMAP2OUT)-(c_TMAP1OUT))+IF(((c_TMAP2OUT)-(c_TMAP1OUT))&gt;=0,1,-1)*QUOTIENT(((c_TMAP2IN)-(c_TMAP1IN)),2))+2147483648,4294967296)-2147483648,((c_TMAP2IN)-(c_TMAP1IN))*(((C130)-(c_TMAP1IN))*((c_TMAP2OUT)-(c_TMAP1OUT))+IF(((c_TMAP2OUT)-(c_TMAP1OUT))&gt;=0,1,-1)*QUOTIENT(((c_TMAP2IN)-(c_TMAP1IN)),2)))&lt;0,-1,0),IF(IF(o_WRAP=1,MOD(((c_TMAP2IN)-(c_TMAP1IN))*(((C130)-(c_TMAP1IN))*((c_TMAP2OUT)-(c_TMAP1OUT))+IF(((c_TMAP2OUT)-(c_TMAP1OUT))&gt;=0,1,-1)*QUOTIENT(((c_TMAP2IN)-(c_TMAP1IN)),2))+2147483648,4294967296)-2147483648,((c_TMAP2IN)-(c_TMAP1IN))*(((C130)-(c_TMAP1IN))*((c_TMAP2OUT)-(c_TMAP1OUT))+IF(((c_TMAP2OUT)-(c_TMAP1OUT))&gt;=0,1,-1)*QUOTIENT(((c_TMAP2IN)-(c_TMAP1IN)),2)))&gt;=0,1,0)))</f>
        <v>30</v>
      </c>
      <c r="G130" s="7" t="n">
        <f aca="false">IF(((c_TMAP3IN)-(c_TMAP2IN))=0,(c_TMAP2OUT)+QUOTIENT(((c_TMAP3OUT)-(c_TMAP2OUT)),2),QUOTIENT((((C130)-(c_TMAP2IN))*((c_TMAP3OUT)-(c_TMAP2OUT))+IF(((c_TMAP3OUT)-(c_TMAP2OUT))&gt;=0,1,-1)*QUOTIENT(((c_TMAP3IN)-(c_TMAP2IN)),2)),((c_TMAP3IN)-(c_TMAP2IN)))+(c_TMAP2OUT)+IF(((c_TMAP3OUT)-(c_TMAP2OUT))&gt;=0,IF(IF(o_WRAP=1,MOD(((c_TMAP3IN)-(c_TMAP2IN))*(((C130)-(c_TMAP2IN))*((c_TMAP3OUT)-(c_TMAP2OUT))+IF(((c_TMAP3OUT)-(c_TMAP2OUT))&gt;=0,1,-1)*QUOTIENT(((c_TMAP3IN)-(c_TMAP2IN)),2))+2147483648,4294967296)-2147483648,((c_TMAP3IN)-(c_TMAP2IN))*(((C130)-(c_TMAP2IN))*((c_TMAP3OUT)-(c_TMAP2OUT))+IF(((c_TMAP3OUT)-(c_TMAP2OUT))&gt;=0,1,-1)*QUOTIENT(((c_TMAP3IN)-(c_TMAP2IN)),2)))&lt;0,-1,0),IF(IF(o_WRAP=1,MOD(((c_TMAP3IN)-(c_TMAP2IN))*(((C130)-(c_TMAP2IN))*((c_TMAP3OUT)-(c_TMAP2OUT))+IF(((c_TMAP3OUT)-(c_TMAP2OUT))&gt;=0,1,-1)*QUOTIENT(((c_TMAP3IN)-(c_TMAP2IN)),2))+2147483648,4294967296)-2147483648,((c_TMAP3IN)-(c_TMAP2IN))*(((C130)-(c_TMAP2IN))*((c_TMAP3OUT)-(c_TMAP2OUT))+IF(((c_TMAP3OUT)-(c_TMAP2OUT))&gt;=0,1,-1)*QUOTIENT(((c_TMAP3IN)-(c_TMAP2IN)),2)))&gt;=0,1,0)))</f>
        <v>-45</v>
      </c>
      <c r="H130" s="7" t="n">
        <f aca="false">IF(((1000)-(c_TMAP3IN))=0,(c_TMAP3OUT)+QUOTIENT(((1000)-(c_TMAP3OUT)),2),QUOTIENT((((C130)-(c_TMAP3IN))*((1000)-(c_TMAP3OUT))+IF(((1000)-(c_TMAP3OUT))&gt;=0,1,-1)*QUOTIENT(((1000)-(c_TMAP3IN)),2)),((1000)-(c_TMAP3IN)))+(c_TMAP3OUT)+IF(((1000)-(c_TMAP3OUT))&gt;=0,IF(IF(o_WRAP=1,MOD(((1000)-(c_TMAP3IN))*(((C130)-(c_TMAP3IN))*((1000)-(c_TMAP3OUT))+IF(((1000)-(c_TMAP3OUT))&gt;=0,1,-1)*QUOTIENT(((1000)-(c_TMAP3IN)),2))+2147483648,4294967296)-2147483648,((1000)-(c_TMAP3IN))*(((C130)-(c_TMAP3IN))*((1000)-(c_TMAP3OUT))+IF(((1000)-(c_TMAP3OUT))&gt;=0,1,-1)*QUOTIENT(((1000)-(c_TMAP3IN)),2)))&lt;0,-1,0),IF(IF(o_WRAP=1,MOD(((1000)-(c_TMAP3IN))*(((C130)-(c_TMAP3IN))*((1000)-(c_TMAP3OUT))+IF(((1000)-(c_TMAP3OUT))&gt;=0,1,-1)*QUOTIENT(((1000)-(c_TMAP3IN)),2))+2147483648,4294967296)-2147483648,((1000)-(c_TMAP3IN))*(((C130)-(c_TMAP3IN))*((1000)-(c_TMAP3OUT))+IF(((1000)-(c_TMAP3OUT))&gt;=0,1,-1)*QUOTIENT(((1000)-(c_TMAP3IN)),2)))&gt;=0,1,0)))</f>
        <v>-231</v>
      </c>
      <c r="I130" s="7" t="n">
        <f aca="false">IF(C130&gt;=c_TFWD,IF(AND(C130&gt;=c_TMAP3IN,c_TMAP3IN&lt;1000),H130,IF(AND(C130&gt;=c_TMAP2IN,c_TMAP3IN&gt;c_TMAP2IN),G130,IF(AND(C130&gt;=c_TMAP1IN,c_TMAP2IN&gt;c_TMAP1IN),F130,E130))),D130)</f>
        <v>-350</v>
      </c>
      <c r="J130" s="7" t="str">
        <f aca="false">IF(I130&lt;-1090,"TOO LOW",IF(I130&gt;1090,"TOO HIGH",""))</f>
        <v/>
      </c>
      <c r="K130" s="7" t="n">
        <f aca="false">IF(J130&lt;&gt;"",0,IF(I130&gt;979,1000,I130))</f>
        <v>-350</v>
      </c>
      <c r="L130" s="7" t="n">
        <f aca="false">IF(OR(c_TSMOOTH=0,K130&gt;=c_TSMOOTHCUT),1,0)</f>
        <v>0</v>
      </c>
      <c r="M130" s="7" t="n">
        <f aca="false">IF(L130=1,0,M129+1)</f>
        <v>44</v>
      </c>
      <c r="N130" s="7" t="n">
        <f aca="false">IF(L130=1,0,MIN(M130,c_TSMOOTH))</f>
        <v>30</v>
      </c>
      <c r="O130" s="7" t="n">
        <f aca="false">IF(COUNTIF($L$5:L130,1)&gt;0,c_TSMOOTHCUT,0)</f>
        <v>400</v>
      </c>
      <c r="P130" s="15" t="n">
        <f aca="true">IF(L130=1,K130,QUOTIENT(SUM(OFFSET(K130,1-N130,0,N130,1))+(c_TSMOOTH-N130)*O130,c_TSMOOTH))</f>
        <v>-350</v>
      </c>
      <c r="Q130" s="7" t="n">
        <f aca="false">K130/10</f>
        <v>-35</v>
      </c>
      <c r="R130" s="7" t="n">
        <f aca="false">P130/10</f>
        <v>-35</v>
      </c>
    </row>
    <row r="131" customFormat="false" ht="15" hidden="false" customHeight="false" outlineLevel="0" collapsed="false">
      <c r="A131" s="7" t="n">
        <v>126</v>
      </c>
      <c r="B131" s="7" t="n">
        <f aca="false">A131*0.04</f>
        <v>5.04</v>
      </c>
      <c r="C131" s="18" t="n">
        <v>0</v>
      </c>
      <c r="D131" s="7" t="n">
        <f aca="false">IF(AND(C131=0,c_TCREEP&gt;0),10*c_TCREEP,IF(AND(C131&lt;=c_TRNGMIN,C131&gt;=c_TRNGMAX,c_TRNGMIN-c_TRNGMAX&lt;&gt;0),-10*c_TMINRN+QUOTIENT((c_TMAXRN-c_TMINRN)*(100-QUOTIENT((C131-c_TRNGMAX)*100,c_TRNGMIN-c_TRNGMAX)),-10),0))</f>
        <v>-350</v>
      </c>
      <c r="E131" s="7" t="n">
        <f aca="false">IF(((c_TMAP1IN)-(c_TFWD))=0,(0)+QUOTIENT(((c_TMAP1OUT)-(0)),2),QUOTIENT((((C131)-(c_TFWD))*((c_TMAP1OUT)-(0))+IF(((c_TMAP1OUT)-(0))&gt;=0,1,-1)*QUOTIENT(((c_TMAP1IN)-(c_TFWD)),2)),((c_TMAP1IN)-(c_TFWD)))+(0)+IF(((c_TMAP1OUT)-(0))&gt;=0,IF(IF(o_WRAP=1,MOD(((c_TMAP1IN)-(c_TFWD))*(((C131)-(c_TFWD))*((c_TMAP1OUT)-(0))+IF(((c_TMAP1OUT)-(0))&gt;=0,1,-1)*QUOTIENT(((c_TMAP1IN)-(c_TFWD)),2))+2147483648,4294967296)-2147483648,((c_TMAP1IN)-(c_TFWD))*(((C131)-(c_TFWD))*((c_TMAP1OUT)-(0))+IF(((c_TMAP1OUT)-(0))&gt;=0,1,-1)*QUOTIENT(((c_TMAP1IN)-(c_TFWD)),2)))&lt;0,-1,0),IF(IF(o_WRAP=1,MOD(((c_TMAP1IN)-(c_TFWD))*(((C131)-(c_TFWD))*((c_TMAP1OUT)-(0))+IF(((c_TMAP1OUT)-(0))&gt;=0,1,-1)*QUOTIENT(((c_TMAP1IN)-(c_TFWD)),2))+2147483648,4294967296)-2147483648,((c_TMAP1IN)-(c_TFWD))*(((C131)-(c_TFWD))*((c_TMAP1OUT)-(0))+IF(((c_TMAP1OUT)-(0))&gt;=0,1,-1)*QUOTIENT(((c_TMAP1IN)-(c_TFWD)),2)))&gt;=0,1,0)))</f>
        <v>-8</v>
      </c>
      <c r="F131" s="7" t="n">
        <f aca="false">IF(((c_TMAP2IN)-(c_TMAP1IN))=0,(c_TMAP1OUT)+QUOTIENT(((c_TMAP2OUT)-(c_TMAP1OUT)),2),QUOTIENT((((C131)-(c_TMAP1IN))*((c_TMAP2OUT)-(c_TMAP1OUT))+IF(((c_TMAP2OUT)-(c_TMAP1OUT))&gt;=0,1,-1)*QUOTIENT(((c_TMAP2IN)-(c_TMAP1IN)),2)),((c_TMAP2IN)-(c_TMAP1IN)))+(c_TMAP1OUT)+IF(((c_TMAP2OUT)-(c_TMAP1OUT))&gt;=0,IF(IF(o_WRAP=1,MOD(((c_TMAP2IN)-(c_TMAP1IN))*(((C131)-(c_TMAP1IN))*((c_TMAP2OUT)-(c_TMAP1OUT))+IF(((c_TMAP2OUT)-(c_TMAP1OUT))&gt;=0,1,-1)*QUOTIENT(((c_TMAP2IN)-(c_TMAP1IN)),2))+2147483648,4294967296)-2147483648,((c_TMAP2IN)-(c_TMAP1IN))*(((C131)-(c_TMAP1IN))*((c_TMAP2OUT)-(c_TMAP1OUT))+IF(((c_TMAP2OUT)-(c_TMAP1OUT))&gt;=0,1,-1)*QUOTIENT(((c_TMAP2IN)-(c_TMAP1IN)),2)))&lt;0,-1,0),IF(IF(o_WRAP=1,MOD(((c_TMAP2IN)-(c_TMAP1IN))*(((C131)-(c_TMAP1IN))*((c_TMAP2OUT)-(c_TMAP1OUT))+IF(((c_TMAP2OUT)-(c_TMAP1OUT))&gt;=0,1,-1)*QUOTIENT(((c_TMAP2IN)-(c_TMAP1IN)),2))+2147483648,4294967296)-2147483648,((c_TMAP2IN)-(c_TMAP1IN))*(((C131)-(c_TMAP1IN))*((c_TMAP2OUT)-(c_TMAP1OUT))+IF(((c_TMAP2OUT)-(c_TMAP1OUT))&gt;=0,1,-1)*QUOTIENT(((c_TMAP2IN)-(c_TMAP1IN)),2)))&gt;=0,1,0)))</f>
        <v>30</v>
      </c>
      <c r="G131" s="7" t="n">
        <f aca="false">IF(((c_TMAP3IN)-(c_TMAP2IN))=0,(c_TMAP2OUT)+QUOTIENT(((c_TMAP3OUT)-(c_TMAP2OUT)),2),QUOTIENT((((C131)-(c_TMAP2IN))*((c_TMAP3OUT)-(c_TMAP2OUT))+IF(((c_TMAP3OUT)-(c_TMAP2OUT))&gt;=0,1,-1)*QUOTIENT(((c_TMAP3IN)-(c_TMAP2IN)),2)),((c_TMAP3IN)-(c_TMAP2IN)))+(c_TMAP2OUT)+IF(((c_TMAP3OUT)-(c_TMAP2OUT))&gt;=0,IF(IF(o_WRAP=1,MOD(((c_TMAP3IN)-(c_TMAP2IN))*(((C131)-(c_TMAP2IN))*((c_TMAP3OUT)-(c_TMAP2OUT))+IF(((c_TMAP3OUT)-(c_TMAP2OUT))&gt;=0,1,-1)*QUOTIENT(((c_TMAP3IN)-(c_TMAP2IN)),2))+2147483648,4294967296)-2147483648,((c_TMAP3IN)-(c_TMAP2IN))*(((C131)-(c_TMAP2IN))*((c_TMAP3OUT)-(c_TMAP2OUT))+IF(((c_TMAP3OUT)-(c_TMAP2OUT))&gt;=0,1,-1)*QUOTIENT(((c_TMAP3IN)-(c_TMAP2IN)),2)))&lt;0,-1,0),IF(IF(o_WRAP=1,MOD(((c_TMAP3IN)-(c_TMAP2IN))*(((C131)-(c_TMAP2IN))*((c_TMAP3OUT)-(c_TMAP2OUT))+IF(((c_TMAP3OUT)-(c_TMAP2OUT))&gt;=0,1,-1)*QUOTIENT(((c_TMAP3IN)-(c_TMAP2IN)),2))+2147483648,4294967296)-2147483648,((c_TMAP3IN)-(c_TMAP2IN))*(((C131)-(c_TMAP2IN))*((c_TMAP3OUT)-(c_TMAP2OUT))+IF(((c_TMAP3OUT)-(c_TMAP2OUT))&gt;=0,1,-1)*QUOTIENT(((c_TMAP3IN)-(c_TMAP2IN)),2)))&gt;=0,1,0)))</f>
        <v>-45</v>
      </c>
      <c r="H131" s="7" t="n">
        <f aca="false">IF(((1000)-(c_TMAP3IN))=0,(c_TMAP3OUT)+QUOTIENT(((1000)-(c_TMAP3OUT)),2),QUOTIENT((((C131)-(c_TMAP3IN))*((1000)-(c_TMAP3OUT))+IF(((1000)-(c_TMAP3OUT))&gt;=0,1,-1)*QUOTIENT(((1000)-(c_TMAP3IN)),2)),((1000)-(c_TMAP3IN)))+(c_TMAP3OUT)+IF(((1000)-(c_TMAP3OUT))&gt;=0,IF(IF(o_WRAP=1,MOD(((1000)-(c_TMAP3IN))*(((C131)-(c_TMAP3IN))*((1000)-(c_TMAP3OUT))+IF(((1000)-(c_TMAP3OUT))&gt;=0,1,-1)*QUOTIENT(((1000)-(c_TMAP3IN)),2))+2147483648,4294967296)-2147483648,((1000)-(c_TMAP3IN))*(((C131)-(c_TMAP3IN))*((1000)-(c_TMAP3OUT))+IF(((1000)-(c_TMAP3OUT))&gt;=0,1,-1)*QUOTIENT(((1000)-(c_TMAP3IN)),2)))&lt;0,-1,0),IF(IF(o_WRAP=1,MOD(((1000)-(c_TMAP3IN))*(((C131)-(c_TMAP3IN))*((1000)-(c_TMAP3OUT))+IF(((1000)-(c_TMAP3OUT))&gt;=0,1,-1)*QUOTIENT(((1000)-(c_TMAP3IN)),2))+2147483648,4294967296)-2147483648,((1000)-(c_TMAP3IN))*(((C131)-(c_TMAP3IN))*((1000)-(c_TMAP3OUT))+IF(((1000)-(c_TMAP3OUT))&gt;=0,1,-1)*QUOTIENT(((1000)-(c_TMAP3IN)),2)))&gt;=0,1,0)))</f>
        <v>-231</v>
      </c>
      <c r="I131" s="7" t="n">
        <f aca="false">IF(C131&gt;=c_TFWD,IF(AND(C131&gt;=c_TMAP3IN,c_TMAP3IN&lt;1000),H131,IF(AND(C131&gt;=c_TMAP2IN,c_TMAP3IN&gt;c_TMAP2IN),G131,IF(AND(C131&gt;=c_TMAP1IN,c_TMAP2IN&gt;c_TMAP1IN),F131,E131))),D131)</f>
        <v>-350</v>
      </c>
      <c r="J131" s="7" t="str">
        <f aca="false">IF(I131&lt;-1090,"TOO LOW",IF(I131&gt;1090,"TOO HIGH",""))</f>
        <v/>
      </c>
      <c r="K131" s="7" t="n">
        <f aca="false">IF(J131&lt;&gt;"",0,IF(I131&gt;979,1000,I131))</f>
        <v>-350</v>
      </c>
      <c r="L131" s="7" t="n">
        <f aca="false">IF(OR(c_TSMOOTH=0,K131&gt;=c_TSMOOTHCUT),1,0)</f>
        <v>0</v>
      </c>
      <c r="M131" s="7" t="n">
        <f aca="false">IF(L131=1,0,M130+1)</f>
        <v>45</v>
      </c>
      <c r="N131" s="7" t="n">
        <f aca="false">IF(L131=1,0,MIN(M131,c_TSMOOTH))</f>
        <v>30</v>
      </c>
      <c r="O131" s="7" t="n">
        <f aca="false">IF(COUNTIF($L$5:L131,1)&gt;0,c_TSMOOTHCUT,0)</f>
        <v>400</v>
      </c>
      <c r="P131" s="15" t="n">
        <f aca="true">IF(L131=1,K131,QUOTIENT(SUM(OFFSET(K131,1-N131,0,N131,1))+(c_TSMOOTH-N131)*O131,c_TSMOOTH))</f>
        <v>-350</v>
      </c>
      <c r="Q131" s="7" t="n">
        <f aca="false">K131/10</f>
        <v>-35</v>
      </c>
      <c r="R131" s="7" t="n">
        <f aca="false">P131/10</f>
        <v>-35</v>
      </c>
    </row>
    <row r="132" customFormat="false" ht="15" hidden="false" customHeight="false" outlineLevel="0" collapsed="false">
      <c r="A132" s="7" t="n">
        <v>127</v>
      </c>
      <c r="B132" s="7" t="n">
        <f aca="false">A132*0.04</f>
        <v>5.08</v>
      </c>
      <c r="C132" s="18" t="n">
        <v>0</v>
      </c>
      <c r="D132" s="7" t="n">
        <f aca="false">IF(AND(C132=0,c_TCREEP&gt;0),10*c_TCREEP,IF(AND(C132&lt;=c_TRNGMIN,C132&gt;=c_TRNGMAX,c_TRNGMIN-c_TRNGMAX&lt;&gt;0),-10*c_TMINRN+QUOTIENT((c_TMAXRN-c_TMINRN)*(100-QUOTIENT((C132-c_TRNGMAX)*100,c_TRNGMIN-c_TRNGMAX)),-10),0))</f>
        <v>-350</v>
      </c>
      <c r="E132" s="7" t="n">
        <f aca="false">IF(((c_TMAP1IN)-(c_TFWD))=0,(0)+QUOTIENT(((c_TMAP1OUT)-(0)),2),QUOTIENT((((C132)-(c_TFWD))*((c_TMAP1OUT)-(0))+IF(((c_TMAP1OUT)-(0))&gt;=0,1,-1)*QUOTIENT(((c_TMAP1IN)-(c_TFWD)),2)),((c_TMAP1IN)-(c_TFWD)))+(0)+IF(((c_TMAP1OUT)-(0))&gt;=0,IF(IF(o_WRAP=1,MOD(((c_TMAP1IN)-(c_TFWD))*(((C132)-(c_TFWD))*((c_TMAP1OUT)-(0))+IF(((c_TMAP1OUT)-(0))&gt;=0,1,-1)*QUOTIENT(((c_TMAP1IN)-(c_TFWD)),2))+2147483648,4294967296)-2147483648,((c_TMAP1IN)-(c_TFWD))*(((C132)-(c_TFWD))*((c_TMAP1OUT)-(0))+IF(((c_TMAP1OUT)-(0))&gt;=0,1,-1)*QUOTIENT(((c_TMAP1IN)-(c_TFWD)),2)))&lt;0,-1,0),IF(IF(o_WRAP=1,MOD(((c_TMAP1IN)-(c_TFWD))*(((C132)-(c_TFWD))*((c_TMAP1OUT)-(0))+IF(((c_TMAP1OUT)-(0))&gt;=0,1,-1)*QUOTIENT(((c_TMAP1IN)-(c_TFWD)),2))+2147483648,4294967296)-2147483648,((c_TMAP1IN)-(c_TFWD))*(((C132)-(c_TFWD))*((c_TMAP1OUT)-(0))+IF(((c_TMAP1OUT)-(0))&gt;=0,1,-1)*QUOTIENT(((c_TMAP1IN)-(c_TFWD)),2)))&gt;=0,1,0)))</f>
        <v>-8</v>
      </c>
      <c r="F132" s="7" t="n">
        <f aca="false">IF(((c_TMAP2IN)-(c_TMAP1IN))=0,(c_TMAP1OUT)+QUOTIENT(((c_TMAP2OUT)-(c_TMAP1OUT)),2),QUOTIENT((((C132)-(c_TMAP1IN))*((c_TMAP2OUT)-(c_TMAP1OUT))+IF(((c_TMAP2OUT)-(c_TMAP1OUT))&gt;=0,1,-1)*QUOTIENT(((c_TMAP2IN)-(c_TMAP1IN)),2)),((c_TMAP2IN)-(c_TMAP1IN)))+(c_TMAP1OUT)+IF(((c_TMAP2OUT)-(c_TMAP1OUT))&gt;=0,IF(IF(o_WRAP=1,MOD(((c_TMAP2IN)-(c_TMAP1IN))*(((C132)-(c_TMAP1IN))*((c_TMAP2OUT)-(c_TMAP1OUT))+IF(((c_TMAP2OUT)-(c_TMAP1OUT))&gt;=0,1,-1)*QUOTIENT(((c_TMAP2IN)-(c_TMAP1IN)),2))+2147483648,4294967296)-2147483648,((c_TMAP2IN)-(c_TMAP1IN))*(((C132)-(c_TMAP1IN))*((c_TMAP2OUT)-(c_TMAP1OUT))+IF(((c_TMAP2OUT)-(c_TMAP1OUT))&gt;=0,1,-1)*QUOTIENT(((c_TMAP2IN)-(c_TMAP1IN)),2)))&lt;0,-1,0),IF(IF(o_WRAP=1,MOD(((c_TMAP2IN)-(c_TMAP1IN))*(((C132)-(c_TMAP1IN))*((c_TMAP2OUT)-(c_TMAP1OUT))+IF(((c_TMAP2OUT)-(c_TMAP1OUT))&gt;=0,1,-1)*QUOTIENT(((c_TMAP2IN)-(c_TMAP1IN)),2))+2147483648,4294967296)-2147483648,((c_TMAP2IN)-(c_TMAP1IN))*(((C132)-(c_TMAP1IN))*((c_TMAP2OUT)-(c_TMAP1OUT))+IF(((c_TMAP2OUT)-(c_TMAP1OUT))&gt;=0,1,-1)*QUOTIENT(((c_TMAP2IN)-(c_TMAP1IN)),2)))&gt;=0,1,0)))</f>
        <v>30</v>
      </c>
      <c r="G132" s="7" t="n">
        <f aca="false">IF(((c_TMAP3IN)-(c_TMAP2IN))=0,(c_TMAP2OUT)+QUOTIENT(((c_TMAP3OUT)-(c_TMAP2OUT)),2),QUOTIENT((((C132)-(c_TMAP2IN))*((c_TMAP3OUT)-(c_TMAP2OUT))+IF(((c_TMAP3OUT)-(c_TMAP2OUT))&gt;=0,1,-1)*QUOTIENT(((c_TMAP3IN)-(c_TMAP2IN)),2)),((c_TMAP3IN)-(c_TMAP2IN)))+(c_TMAP2OUT)+IF(((c_TMAP3OUT)-(c_TMAP2OUT))&gt;=0,IF(IF(o_WRAP=1,MOD(((c_TMAP3IN)-(c_TMAP2IN))*(((C132)-(c_TMAP2IN))*((c_TMAP3OUT)-(c_TMAP2OUT))+IF(((c_TMAP3OUT)-(c_TMAP2OUT))&gt;=0,1,-1)*QUOTIENT(((c_TMAP3IN)-(c_TMAP2IN)),2))+2147483648,4294967296)-2147483648,((c_TMAP3IN)-(c_TMAP2IN))*(((C132)-(c_TMAP2IN))*((c_TMAP3OUT)-(c_TMAP2OUT))+IF(((c_TMAP3OUT)-(c_TMAP2OUT))&gt;=0,1,-1)*QUOTIENT(((c_TMAP3IN)-(c_TMAP2IN)),2)))&lt;0,-1,0),IF(IF(o_WRAP=1,MOD(((c_TMAP3IN)-(c_TMAP2IN))*(((C132)-(c_TMAP2IN))*((c_TMAP3OUT)-(c_TMAP2OUT))+IF(((c_TMAP3OUT)-(c_TMAP2OUT))&gt;=0,1,-1)*QUOTIENT(((c_TMAP3IN)-(c_TMAP2IN)),2))+2147483648,4294967296)-2147483648,((c_TMAP3IN)-(c_TMAP2IN))*(((C132)-(c_TMAP2IN))*((c_TMAP3OUT)-(c_TMAP2OUT))+IF(((c_TMAP3OUT)-(c_TMAP2OUT))&gt;=0,1,-1)*QUOTIENT(((c_TMAP3IN)-(c_TMAP2IN)),2)))&gt;=0,1,0)))</f>
        <v>-45</v>
      </c>
      <c r="H132" s="7" t="n">
        <f aca="false">IF(((1000)-(c_TMAP3IN))=0,(c_TMAP3OUT)+QUOTIENT(((1000)-(c_TMAP3OUT)),2),QUOTIENT((((C132)-(c_TMAP3IN))*((1000)-(c_TMAP3OUT))+IF(((1000)-(c_TMAP3OUT))&gt;=0,1,-1)*QUOTIENT(((1000)-(c_TMAP3IN)),2)),((1000)-(c_TMAP3IN)))+(c_TMAP3OUT)+IF(((1000)-(c_TMAP3OUT))&gt;=0,IF(IF(o_WRAP=1,MOD(((1000)-(c_TMAP3IN))*(((C132)-(c_TMAP3IN))*((1000)-(c_TMAP3OUT))+IF(((1000)-(c_TMAP3OUT))&gt;=0,1,-1)*QUOTIENT(((1000)-(c_TMAP3IN)),2))+2147483648,4294967296)-2147483648,((1000)-(c_TMAP3IN))*(((C132)-(c_TMAP3IN))*((1000)-(c_TMAP3OUT))+IF(((1000)-(c_TMAP3OUT))&gt;=0,1,-1)*QUOTIENT(((1000)-(c_TMAP3IN)),2)))&lt;0,-1,0),IF(IF(o_WRAP=1,MOD(((1000)-(c_TMAP3IN))*(((C132)-(c_TMAP3IN))*((1000)-(c_TMAP3OUT))+IF(((1000)-(c_TMAP3OUT))&gt;=0,1,-1)*QUOTIENT(((1000)-(c_TMAP3IN)),2))+2147483648,4294967296)-2147483648,((1000)-(c_TMAP3IN))*(((C132)-(c_TMAP3IN))*((1000)-(c_TMAP3OUT))+IF(((1000)-(c_TMAP3OUT))&gt;=0,1,-1)*QUOTIENT(((1000)-(c_TMAP3IN)),2)))&gt;=0,1,0)))</f>
        <v>-231</v>
      </c>
      <c r="I132" s="7" t="n">
        <f aca="false">IF(C132&gt;=c_TFWD,IF(AND(C132&gt;=c_TMAP3IN,c_TMAP3IN&lt;1000),H132,IF(AND(C132&gt;=c_TMAP2IN,c_TMAP3IN&gt;c_TMAP2IN),G132,IF(AND(C132&gt;=c_TMAP1IN,c_TMAP2IN&gt;c_TMAP1IN),F132,E132))),D132)</f>
        <v>-350</v>
      </c>
      <c r="J132" s="7" t="str">
        <f aca="false">IF(I132&lt;-1090,"TOO LOW",IF(I132&gt;1090,"TOO HIGH",""))</f>
        <v/>
      </c>
      <c r="K132" s="7" t="n">
        <f aca="false">IF(J132&lt;&gt;"",0,IF(I132&gt;979,1000,I132))</f>
        <v>-350</v>
      </c>
      <c r="L132" s="7" t="n">
        <f aca="false">IF(OR(c_TSMOOTH=0,K132&gt;=c_TSMOOTHCUT),1,0)</f>
        <v>0</v>
      </c>
      <c r="M132" s="7" t="n">
        <f aca="false">IF(L132=1,0,M131+1)</f>
        <v>46</v>
      </c>
      <c r="N132" s="7" t="n">
        <f aca="false">IF(L132=1,0,MIN(M132,c_TSMOOTH))</f>
        <v>30</v>
      </c>
      <c r="O132" s="7" t="n">
        <f aca="false">IF(COUNTIF($L$5:L132,1)&gt;0,c_TSMOOTHCUT,0)</f>
        <v>400</v>
      </c>
      <c r="P132" s="15" t="n">
        <f aca="true">IF(L132=1,K132,QUOTIENT(SUM(OFFSET(K132,1-N132,0,N132,1))+(c_TSMOOTH-N132)*O132,c_TSMOOTH))</f>
        <v>-350</v>
      </c>
      <c r="Q132" s="7" t="n">
        <f aca="false">K132/10</f>
        <v>-35</v>
      </c>
      <c r="R132" s="7" t="n">
        <f aca="false">P132/10</f>
        <v>-35</v>
      </c>
    </row>
    <row r="133" customFormat="false" ht="15" hidden="false" customHeight="false" outlineLevel="0" collapsed="false">
      <c r="A133" s="7" t="n">
        <v>128</v>
      </c>
      <c r="B133" s="7" t="n">
        <f aca="false">A133*0.04</f>
        <v>5.12</v>
      </c>
      <c r="C133" s="18" t="n">
        <v>0</v>
      </c>
      <c r="D133" s="7" t="n">
        <f aca="false">IF(AND(C133=0,c_TCREEP&gt;0),10*c_TCREEP,IF(AND(C133&lt;=c_TRNGMIN,C133&gt;=c_TRNGMAX,c_TRNGMIN-c_TRNGMAX&lt;&gt;0),-10*c_TMINRN+QUOTIENT((c_TMAXRN-c_TMINRN)*(100-QUOTIENT((C133-c_TRNGMAX)*100,c_TRNGMIN-c_TRNGMAX)),-10),0))</f>
        <v>-350</v>
      </c>
      <c r="E133" s="7" t="n">
        <f aca="false">IF(((c_TMAP1IN)-(c_TFWD))=0,(0)+QUOTIENT(((c_TMAP1OUT)-(0)),2),QUOTIENT((((C133)-(c_TFWD))*((c_TMAP1OUT)-(0))+IF(((c_TMAP1OUT)-(0))&gt;=0,1,-1)*QUOTIENT(((c_TMAP1IN)-(c_TFWD)),2)),((c_TMAP1IN)-(c_TFWD)))+(0)+IF(((c_TMAP1OUT)-(0))&gt;=0,IF(IF(o_WRAP=1,MOD(((c_TMAP1IN)-(c_TFWD))*(((C133)-(c_TFWD))*((c_TMAP1OUT)-(0))+IF(((c_TMAP1OUT)-(0))&gt;=0,1,-1)*QUOTIENT(((c_TMAP1IN)-(c_TFWD)),2))+2147483648,4294967296)-2147483648,((c_TMAP1IN)-(c_TFWD))*(((C133)-(c_TFWD))*((c_TMAP1OUT)-(0))+IF(((c_TMAP1OUT)-(0))&gt;=0,1,-1)*QUOTIENT(((c_TMAP1IN)-(c_TFWD)),2)))&lt;0,-1,0),IF(IF(o_WRAP=1,MOD(((c_TMAP1IN)-(c_TFWD))*(((C133)-(c_TFWD))*((c_TMAP1OUT)-(0))+IF(((c_TMAP1OUT)-(0))&gt;=0,1,-1)*QUOTIENT(((c_TMAP1IN)-(c_TFWD)),2))+2147483648,4294967296)-2147483648,((c_TMAP1IN)-(c_TFWD))*(((C133)-(c_TFWD))*((c_TMAP1OUT)-(0))+IF(((c_TMAP1OUT)-(0))&gt;=0,1,-1)*QUOTIENT(((c_TMAP1IN)-(c_TFWD)),2)))&gt;=0,1,0)))</f>
        <v>-8</v>
      </c>
      <c r="F133" s="7" t="n">
        <f aca="false">IF(((c_TMAP2IN)-(c_TMAP1IN))=0,(c_TMAP1OUT)+QUOTIENT(((c_TMAP2OUT)-(c_TMAP1OUT)),2),QUOTIENT((((C133)-(c_TMAP1IN))*((c_TMAP2OUT)-(c_TMAP1OUT))+IF(((c_TMAP2OUT)-(c_TMAP1OUT))&gt;=0,1,-1)*QUOTIENT(((c_TMAP2IN)-(c_TMAP1IN)),2)),((c_TMAP2IN)-(c_TMAP1IN)))+(c_TMAP1OUT)+IF(((c_TMAP2OUT)-(c_TMAP1OUT))&gt;=0,IF(IF(o_WRAP=1,MOD(((c_TMAP2IN)-(c_TMAP1IN))*(((C133)-(c_TMAP1IN))*((c_TMAP2OUT)-(c_TMAP1OUT))+IF(((c_TMAP2OUT)-(c_TMAP1OUT))&gt;=0,1,-1)*QUOTIENT(((c_TMAP2IN)-(c_TMAP1IN)),2))+2147483648,4294967296)-2147483648,((c_TMAP2IN)-(c_TMAP1IN))*(((C133)-(c_TMAP1IN))*((c_TMAP2OUT)-(c_TMAP1OUT))+IF(((c_TMAP2OUT)-(c_TMAP1OUT))&gt;=0,1,-1)*QUOTIENT(((c_TMAP2IN)-(c_TMAP1IN)),2)))&lt;0,-1,0),IF(IF(o_WRAP=1,MOD(((c_TMAP2IN)-(c_TMAP1IN))*(((C133)-(c_TMAP1IN))*((c_TMAP2OUT)-(c_TMAP1OUT))+IF(((c_TMAP2OUT)-(c_TMAP1OUT))&gt;=0,1,-1)*QUOTIENT(((c_TMAP2IN)-(c_TMAP1IN)),2))+2147483648,4294967296)-2147483648,((c_TMAP2IN)-(c_TMAP1IN))*(((C133)-(c_TMAP1IN))*((c_TMAP2OUT)-(c_TMAP1OUT))+IF(((c_TMAP2OUT)-(c_TMAP1OUT))&gt;=0,1,-1)*QUOTIENT(((c_TMAP2IN)-(c_TMAP1IN)),2)))&gt;=0,1,0)))</f>
        <v>30</v>
      </c>
      <c r="G133" s="7" t="n">
        <f aca="false">IF(((c_TMAP3IN)-(c_TMAP2IN))=0,(c_TMAP2OUT)+QUOTIENT(((c_TMAP3OUT)-(c_TMAP2OUT)),2),QUOTIENT((((C133)-(c_TMAP2IN))*((c_TMAP3OUT)-(c_TMAP2OUT))+IF(((c_TMAP3OUT)-(c_TMAP2OUT))&gt;=0,1,-1)*QUOTIENT(((c_TMAP3IN)-(c_TMAP2IN)),2)),((c_TMAP3IN)-(c_TMAP2IN)))+(c_TMAP2OUT)+IF(((c_TMAP3OUT)-(c_TMAP2OUT))&gt;=0,IF(IF(o_WRAP=1,MOD(((c_TMAP3IN)-(c_TMAP2IN))*(((C133)-(c_TMAP2IN))*((c_TMAP3OUT)-(c_TMAP2OUT))+IF(((c_TMAP3OUT)-(c_TMAP2OUT))&gt;=0,1,-1)*QUOTIENT(((c_TMAP3IN)-(c_TMAP2IN)),2))+2147483648,4294967296)-2147483648,((c_TMAP3IN)-(c_TMAP2IN))*(((C133)-(c_TMAP2IN))*((c_TMAP3OUT)-(c_TMAP2OUT))+IF(((c_TMAP3OUT)-(c_TMAP2OUT))&gt;=0,1,-1)*QUOTIENT(((c_TMAP3IN)-(c_TMAP2IN)),2)))&lt;0,-1,0),IF(IF(o_WRAP=1,MOD(((c_TMAP3IN)-(c_TMAP2IN))*(((C133)-(c_TMAP2IN))*((c_TMAP3OUT)-(c_TMAP2OUT))+IF(((c_TMAP3OUT)-(c_TMAP2OUT))&gt;=0,1,-1)*QUOTIENT(((c_TMAP3IN)-(c_TMAP2IN)),2))+2147483648,4294967296)-2147483648,((c_TMAP3IN)-(c_TMAP2IN))*(((C133)-(c_TMAP2IN))*((c_TMAP3OUT)-(c_TMAP2OUT))+IF(((c_TMAP3OUT)-(c_TMAP2OUT))&gt;=0,1,-1)*QUOTIENT(((c_TMAP3IN)-(c_TMAP2IN)),2)))&gt;=0,1,0)))</f>
        <v>-45</v>
      </c>
      <c r="H133" s="7" t="n">
        <f aca="false">IF(((1000)-(c_TMAP3IN))=0,(c_TMAP3OUT)+QUOTIENT(((1000)-(c_TMAP3OUT)),2),QUOTIENT((((C133)-(c_TMAP3IN))*((1000)-(c_TMAP3OUT))+IF(((1000)-(c_TMAP3OUT))&gt;=0,1,-1)*QUOTIENT(((1000)-(c_TMAP3IN)),2)),((1000)-(c_TMAP3IN)))+(c_TMAP3OUT)+IF(((1000)-(c_TMAP3OUT))&gt;=0,IF(IF(o_WRAP=1,MOD(((1000)-(c_TMAP3IN))*(((C133)-(c_TMAP3IN))*((1000)-(c_TMAP3OUT))+IF(((1000)-(c_TMAP3OUT))&gt;=0,1,-1)*QUOTIENT(((1000)-(c_TMAP3IN)),2))+2147483648,4294967296)-2147483648,((1000)-(c_TMAP3IN))*(((C133)-(c_TMAP3IN))*((1000)-(c_TMAP3OUT))+IF(((1000)-(c_TMAP3OUT))&gt;=0,1,-1)*QUOTIENT(((1000)-(c_TMAP3IN)),2)))&lt;0,-1,0),IF(IF(o_WRAP=1,MOD(((1000)-(c_TMAP3IN))*(((C133)-(c_TMAP3IN))*((1000)-(c_TMAP3OUT))+IF(((1000)-(c_TMAP3OUT))&gt;=0,1,-1)*QUOTIENT(((1000)-(c_TMAP3IN)),2))+2147483648,4294967296)-2147483648,((1000)-(c_TMAP3IN))*(((C133)-(c_TMAP3IN))*((1000)-(c_TMAP3OUT))+IF(((1000)-(c_TMAP3OUT))&gt;=0,1,-1)*QUOTIENT(((1000)-(c_TMAP3IN)),2)))&gt;=0,1,0)))</f>
        <v>-231</v>
      </c>
      <c r="I133" s="7" t="n">
        <f aca="false">IF(C133&gt;=c_TFWD,IF(AND(C133&gt;=c_TMAP3IN,c_TMAP3IN&lt;1000),H133,IF(AND(C133&gt;=c_TMAP2IN,c_TMAP3IN&gt;c_TMAP2IN),G133,IF(AND(C133&gt;=c_TMAP1IN,c_TMAP2IN&gt;c_TMAP1IN),F133,E133))),D133)</f>
        <v>-350</v>
      </c>
      <c r="J133" s="7" t="str">
        <f aca="false">IF(I133&lt;-1090,"TOO LOW",IF(I133&gt;1090,"TOO HIGH",""))</f>
        <v/>
      </c>
      <c r="K133" s="7" t="n">
        <f aca="false">IF(J133&lt;&gt;"",0,IF(I133&gt;979,1000,I133))</f>
        <v>-350</v>
      </c>
      <c r="L133" s="7" t="n">
        <f aca="false">IF(OR(c_TSMOOTH=0,K133&gt;=c_TSMOOTHCUT),1,0)</f>
        <v>0</v>
      </c>
      <c r="M133" s="7" t="n">
        <f aca="false">IF(L133=1,0,M132+1)</f>
        <v>47</v>
      </c>
      <c r="N133" s="7" t="n">
        <f aca="false">IF(L133=1,0,MIN(M133,c_TSMOOTH))</f>
        <v>30</v>
      </c>
      <c r="O133" s="7" t="n">
        <f aca="false">IF(COUNTIF($L$5:L133,1)&gt;0,c_TSMOOTHCUT,0)</f>
        <v>400</v>
      </c>
      <c r="P133" s="15" t="n">
        <f aca="true">IF(L133=1,K133,QUOTIENT(SUM(OFFSET(K133,1-N133,0,N133,1))+(c_TSMOOTH-N133)*O133,c_TSMOOTH))</f>
        <v>-350</v>
      </c>
      <c r="Q133" s="7" t="n">
        <f aca="false">K133/10</f>
        <v>-35</v>
      </c>
      <c r="R133" s="7" t="n">
        <f aca="false">P133/10</f>
        <v>-35</v>
      </c>
    </row>
    <row r="134" customFormat="false" ht="15" hidden="false" customHeight="false" outlineLevel="0" collapsed="false">
      <c r="A134" s="7" t="n">
        <v>129</v>
      </c>
      <c r="B134" s="7" t="n">
        <f aca="false">A134*0.04</f>
        <v>5.16</v>
      </c>
      <c r="C134" s="18" t="n">
        <v>0</v>
      </c>
      <c r="D134" s="7" t="n">
        <f aca="false">IF(AND(C134=0,c_TCREEP&gt;0),10*c_TCREEP,IF(AND(C134&lt;=c_TRNGMIN,C134&gt;=c_TRNGMAX,c_TRNGMIN-c_TRNGMAX&lt;&gt;0),-10*c_TMINRN+QUOTIENT((c_TMAXRN-c_TMINRN)*(100-QUOTIENT((C134-c_TRNGMAX)*100,c_TRNGMIN-c_TRNGMAX)),-10),0))</f>
        <v>-350</v>
      </c>
      <c r="E134" s="7" t="n">
        <f aca="false">IF(((c_TMAP1IN)-(c_TFWD))=0,(0)+QUOTIENT(((c_TMAP1OUT)-(0)),2),QUOTIENT((((C134)-(c_TFWD))*((c_TMAP1OUT)-(0))+IF(((c_TMAP1OUT)-(0))&gt;=0,1,-1)*QUOTIENT(((c_TMAP1IN)-(c_TFWD)),2)),((c_TMAP1IN)-(c_TFWD)))+(0)+IF(((c_TMAP1OUT)-(0))&gt;=0,IF(IF(o_WRAP=1,MOD(((c_TMAP1IN)-(c_TFWD))*(((C134)-(c_TFWD))*((c_TMAP1OUT)-(0))+IF(((c_TMAP1OUT)-(0))&gt;=0,1,-1)*QUOTIENT(((c_TMAP1IN)-(c_TFWD)),2))+2147483648,4294967296)-2147483648,((c_TMAP1IN)-(c_TFWD))*(((C134)-(c_TFWD))*((c_TMAP1OUT)-(0))+IF(((c_TMAP1OUT)-(0))&gt;=0,1,-1)*QUOTIENT(((c_TMAP1IN)-(c_TFWD)),2)))&lt;0,-1,0),IF(IF(o_WRAP=1,MOD(((c_TMAP1IN)-(c_TFWD))*(((C134)-(c_TFWD))*((c_TMAP1OUT)-(0))+IF(((c_TMAP1OUT)-(0))&gt;=0,1,-1)*QUOTIENT(((c_TMAP1IN)-(c_TFWD)),2))+2147483648,4294967296)-2147483648,((c_TMAP1IN)-(c_TFWD))*(((C134)-(c_TFWD))*((c_TMAP1OUT)-(0))+IF(((c_TMAP1OUT)-(0))&gt;=0,1,-1)*QUOTIENT(((c_TMAP1IN)-(c_TFWD)),2)))&gt;=0,1,0)))</f>
        <v>-8</v>
      </c>
      <c r="F134" s="7" t="n">
        <f aca="false">IF(((c_TMAP2IN)-(c_TMAP1IN))=0,(c_TMAP1OUT)+QUOTIENT(((c_TMAP2OUT)-(c_TMAP1OUT)),2),QUOTIENT((((C134)-(c_TMAP1IN))*((c_TMAP2OUT)-(c_TMAP1OUT))+IF(((c_TMAP2OUT)-(c_TMAP1OUT))&gt;=0,1,-1)*QUOTIENT(((c_TMAP2IN)-(c_TMAP1IN)),2)),((c_TMAP2IN)-(c_TMAP1IN)))+(c_TMAP1OUT)+IF(((c_TMAP2OUT)-(c_TMAP1OUT))&gt;=0,IF(IF(o_WRAP=1,MOD(((c_TMAP2IN)-(c_TMAP1IN))*(((C134)-(c_TMAP1IN))*((c_TMAP2OUT)-(c_TMAP1OUT))+IF(((c_TMAP2OUT)-(c_TMAP1OUT))&gt;=0,1,-1)*QUOTIENT(((c_TMAP2IN)-(c_TMAP1IN)),2))+2147483648,4294967296)-2147483648,((c_TMAP2IN)-(c_TMAP1IN))*(((C134)-(c_TMAP1IN))*((c_TMAP2OUT)-(c_TMAP1OUT))+IF(((c_TMAP2OUT)-(c_TMAP1OUT))&gt;=0,1,-1)*QUOTIENT(((c_TMAP2IN)-(c_TMAP1IN)),2)))&lt;0,-1,0),IF(IF(o_WRAP=1,MOD(((c_TMAP2IN)-(c_TMAP1IN))*(((C134)-(c_TMAP1IN))*((c_TMAP2OUT)-(c_TMAP1OUT))+IF(((c_TMAP2OUT)-(c_TMAP1OUT))&gt;=0,1,-1)*QUOTIENT(((c_TMAP2IN)-(c_TMAP1IN)),2))+2147483648,4294967296)-2147483648,((c_TMAP2IN)-(c_TMAP1IN))*(((C134)-(c_TMAP1IN))*((c_TMAP2OUT)-(c_TMAP1OUT))+IF(((c_TMAP2OUT)-(c_TMAP1OUT))&gt;=0,1,-1)*QUOTIENT(((c_TMAP2IN)-(c_TMAP1IN)),2)))&gt;=0,1,0)))</f>
        <v>30</v>
      </c>
      <c r="G134" s="7" t="n">
        <f aca="false">IF(((c_TMAP3IN)-(c_TMAP2IN))=0,(c_TMAP2OUT)+QUOTIENT(((c_TMAP3OUT)-(c_TMAP2OUT)),2),QUOTIENT((((C134)-(c_TMAP2IN))*((c_TMAP3OUT)-(c_TMAP2OUT))+IF(((c_TMAP3OUT)-(c_TMAP2OUT))&gt;=0,1,-1)*QUOTIENT(((c_TMAP3IN)-(c_TMAP2IN)),2)),((c_TMAP3IN)-(c_TMAP2IN)))+(c_TMAP2OUT)+IF(((c_TMAP3OUT)-(c_TMAP2OUT))&gt;=0,IF(IF(o_WRAP=1,MOD(((c_TMAP3IN)-(c_TMAP2IN))*(((C134)-(c_TMAP2IN))*((c_TMAP3OUT)-(c_TMAP2OUT))+IF(((c_TMAP3OUT)-(c_TMAP2OUT))&gt;=0,1,-1)*QUOTIENT(((c_TMAP3IN)-(c_TMAP2IN)),2))+2147483648,4294967296)-2147483648,((c_TMAP3IN)-(c_TMAP2IN))*(((C134)-(c_TMAP2IN))*((c_TMAP3OUT)-(c_TMAP2OUT))+IF(((c_TMAP3OUT)-(c_TMAP2OUT))&gt;=0,1,-1)*QUOTIENT(((c_TMAP3IN)-(c_TMAP2IN)),2)))&lt;0,-1,0),IF(IF(o_WRAP=1,MOD(((c_TMAP3IN)-(c_TMAP2IN))*(((C134)-(c_TMAP2IN))*((c_TMAP3OUT)-(c_TMAP2OUT))+IF(((c_TMAP3OUT)-(c_TMAP2OUT))&gt;=0,1,-1)*QUOTIENT(((c_TMAP3IN)-(c_TMAP2IN)),2))+2147483648,4294967296)-2147483648,((c_TMAP3IN)-(c_TMAP2IN))*(((C134)-(c_TMAP2IN))*((c_TMAP3OUT)-(c_TMAP2OUT))+IF(((c_TMAP3OUT)-(c_TMAP2OUT))&gt;=0,1,-1)*QUOTIENT(((c_TMAP3IN)-(c_TMAP2IN)),2)))&gt;=0,1,0)))</f>
        <v>-45</v>
      </c>
      <c r="H134" s="7" t="n">
        <f aca="false">IF(((1000)-(c_TMAP3IN))=0,(c_TMAP3OUT)+QUOTIENT(((1000)-(c_TMAP3OUT)),2),QUOTIENT((((C134)-(c_TMAP3IN))*((1000)-(c_TMAP3OUT))+IF(((1000)-(c_TMAP3OUT))&gt;=0,1,-1)*QUOTIENT(((1000)-(c_TMAP3IN)),2)),((1000)-(c_TMAP3IN)))+(c_TMAP3OUT)+IF(((1000)-(c_TMAP3OUT))&gt;=0,IF(IF(o_WRAP=1,MOD(((1000)-(c_TMAP3IN))*(((C134)-(c_TMAP3IN))*((1000)-(c_TMAP3OUT))+IF(((1000)-(c_TMAP3OUT))&gt;=0,1,-1)*QUOTIENT(((1000)-(c_TMAP3IN)),2))+2147483648,4294967296)-2147483648,((1000)-(c_TMAP3IN))*(((C134)-(c_TMAP3IN))*((1000)-(c_TMAP3OUT))+IF(((1000)-(c_TMAP3OUT))&gt;=0,1,-1)*QUOTIENT(((1000)-(c_TMAP3IN)),2)))&lt;0,-1,0),IF(IF(o_WRAP=1,MOD(((1000)-(c_TMAP3IN))*(((C134)-(c_TMAP3IN))*((1000)-(c_TMAP3OUT))+IF(((1000)-(c_TMAP3OUT))&gt;=0,1,-1)*QUOTIENT(((1000)-(c_TMAP3IN)),2))+2147483648,4294967296)-2147483648,((1000)-(c_TMAP3IN))*(((C134)-(c_TMAP3IN))*((1000)-(c_TMAP3OUT))+IF(((1000)-(c_TMAP3OUT))&gt;=0,1,-1)*QUOTIENT(((1000)-(c_TMAP3IN)),2)))&gt;=0,1,0)))</f>
        <v>-231</v>
      </c>
      <c r="I134" s="7" t="n">
        <f aca="false">IF(C134&gt;=c_TFWD,IF(AND(C134&gt;=c_TMAP3IN,c_TMAP3IN&lt;1000),H134,IF(AND(C134&gt;=c_TMAP2IN,c_TMAP3IN&gt;c_TMAP2IN),G134,IF(AND(C134&gt;=c_TMAP1IN,c_TMAP2IN&gt;c_TMAP1IN),F134,E134))),D134)</f>
        <v>-350</v>
      </c>
      <c r="J134" s="7" t="str">
        <f aca="false">IF(I134&lt;-1090,"TOO LOW",IF(I134&gt;1090,"TOO HIGH",""))</f>
        <v/>
      </c>
      <c r="K134" s="7" t="n">
        <f aca="false">IF(J134&lt;&gt;"",0,IF(I134&gt;979,1000,I134))</f>
        <v>-350</v>
      </c>
      <c r="L134" s="7" t="n">
        <f aca="false">IF(OR(c_TSMOOTH=0,K134&gt;=c_TSMOOTHCUT),1,0)</f>
        <v>0</v>
      </c>
      <c r="M134" s="7" t="n">
        <f aca="false">IF(L134=1,0,M133+1)</f>
        <v>48</v>
      </c>
      <c r="N134" s="7" t="n">
        <f aca="false">IF(L134=1,0,MIN(M134,c_TSMOOTH))</f>
        <v>30</v>
      </c>
      <c r="O134" s="7" t="n">
        <f aca="false">IF(COUNTIF($L$5:L134,1)&gt;0,c_TSMOOTHCUT,0)</f>
        <v>400</v>
      </c>
      <c r="P134" s="15" t="n">
        <f aca="true">IF(L134=1,K134,QUOTIENT(SUM(OFFSET(K134,1-N134,0,N134,1))+(c_TSMOOTH-N134)*O134,c_TSMOOTH))</f>
        <v>-350</v>
      </c>
      <c r="Q134" s="7" t="n">
        <f aca="false">K134/10</f>
        <v>-35</v>
      </c>
      <c r="R134" s="7" t="n">
        <f aca="false">P134/10</f>
        <v>-35</v>
      </c>
    </row>
    <row r="135" customFormat="false" ht="15" hidden="false" customHeight="false" outlineLevel="0" collapsed="false">
      <c r="A135" s="7" t="n">
        <v>130</v>
      </c>
      <c r="B135" s="7" t="n">
        <f aca="false">A135*0.04</f>
        <v>5.2</v>
      </c>
      <c r="C135" s="18" t="n">
        <v>0</v>
      </c>
      <c r="D135" s="7" t="n">
        <f aca="false">IF(AND(C135=0,c_TCREEP&gt;0),10*c_TCREEP,IF(AND(C135&lt;=c_TRNGMIN,C135&gt;=c_TRNGMAX,c_TRNGMIN-c_TRNGMAX&lt;&gt;0),-10*c_TMINRN+QUOTIENT((c_TMAXRN-c_TMINRN)*(100-QUOTIENT((C135-c_TRNGMAX)*100,c_TRNGMIN-c_TRNGMAX)),-10),0))</f>
        <v>-350</v>
      </c>
      <c r="E135" s="7" t="n">
        <f aca="false">IF(((c_TMAP1IN)-(c_TFWD))=0,(0)+QUOTIENT(((c_TMAP1OUT)-(0)),2),QUOTIENT((((C135)-(c_TFWD))*((c_TMAP1OUT)-(0))+IF(((c_TMAP1OUT)-(0))&gt;=0,1,-1)*QUOTIENT(((c_TMAP1IN)-(c_TFWD)),2)),((c_TMAP1IN)-(c_TFWD)))+(0)+IF(((c_TMAP1OUT)-(0))&gt;=0,IF(IF(o_WRAP=1,MOD(((c_TMAP1IN)-(c_TFWD))*(((C135)-(c_TFWD))*((c_TMAP1OUT)-(0))+IF(((c_TMAP1OUT)-(0))&gt;=0,1,-1)*QUOTIENT(((c_TMAP1IN)-(c_TFWD)),2))+2147483648,4294967296)-2147483648,((c_TMAP1IN)-(c_TFWD))*(((C135)-(c_TFWD))*((c_TMAP1OUT)-(0))+IF(((c_TMAP1OUT)-(0))&gt;=0,1,-1)*QUOTIENT(((c_TMAP1IN)-(c_TFWD)),2)))&lt;0,-1,0),IF(IF(o_WRAP=1,MOD(((c_TMAP1IN)-(c_TFWD))*(((C135)-(c_TFWD))*((c_TMAP1OUT)-(0))+IF(((c_TMAP1OUT)-(0))&gt;=0,1,-1)*QUOTIENT(((c_TMAP1IN)-(c_TFWD)),2))+2147483648,4294967296)-2147483648,((c_TMAP1IN)-(c_TFWD))*(((C135)-(c_TFWD))*((c_TMAP1OUT)-(0))+IF(((c_TMAP1OUT)-(0))&gt;=0,1,-1)*QUOTIENT(((c_TMAP1IN)-(c_TFWD)),2)))&gt;=0,1,0)))</f>
        <v>-8</v>
      </c>
      <c r="F135" s="7" t="n">
        <f aca="false">IF(((c_TMAP2IN)-(c_TMAP1IN))=0,(c_TMAP1OUT)+QUOTIENT(((c_TMAP2OUT)-(c_TMAP1OUT)),2),QUOTIENT((((C135)-(c_TMAP1IN))*((c_TMAP2OUT)-(c_TMAP1OUT))+IF(((c_TMAP2OUT)-(c_TMAP1OUT))&gt;=0,1,-1)*QUOTIENT(((c_TMAP2IN)-(c_TMAP1IN)),2)),((c_TMAP2IN)-(c_TMAP1IN)))+(c_TMAP1OUT)+IF(((c_TMAP2OUT)-(c_TMAP1OUT))&gt;=0,IF(IF(o_WRAP=1,MOD(((c_TMAP2IN)-(c_TMAP1IN))*(((C135)-(c_TMAP1IN))*((c_TMAP2OUT)-(c_TMAP1OUT))+IF(((c_TMAP2OUT)-(c_TMAP1OUT))&gt;=0,1,-1)*QUOTIENT(((c_TMAP2IN)-(c_TMAP1IN)),2))+2147483648,4294967296)-2147483648,((c_TMAP2IN)-(c_TMAP1IN))*(((C135)-(c_TMAP1IN))*((c_TMAP2OUT)-(c_TMAP1OUT))+IF(((c_TMAP2OUT)-(c_TMAP1OUT))&gt;=0,1,-1)*QUOTIENT(((c_TMAP2IN)-(c_TMAP1IN)),2)))&lt;0,-1,0),IF(IF(o_WRAP=1,MOD(((c_TMAP2IN)-(c_TMAP1IN))*(((C135)-(c_TMAP1IN))*((c_TMAP2OUT)-(c_TMAP1OUT))+IF(((c_TMAP2OUT)-(c_TMAP1OUT))&gt;=0,1,-1)*QUOTIENT(((c_TMAP2IN)-(c_TMAP1IN)),2))+2147483648,4294967296)-2147483648,((c_TMAP2IN)-(c_TMAP1IN))*(((C135)-(c_TMAP1IN))*((c_TMAP2OUT)-(c_TMAP1OUT))+IF(((c_TMAP2OUT)-(c_TMAP1OUT))&gt;=0,1,-1)*QUOTIENT(((c_TMAP2IN)-(c_TMAP1IN)),2)))&gt;=0,1,0)))</f>
        <v>30</v>
      </c>
      <c r="G135" s="7" t="n">
        <f aca="false">IF(((c_TMAP3IN)-(c_TMAP2IN))=0,(c_TMAP2OUT)+QUOTIENT(((c_TMAP3OUT)-(c_TMAP2OUT)),2),QUOTIENT((((C135)-(c_TMAP2IN))*((c_TMAP3OUT)-(c_TMAP2OUT))+IF(((c_TMAP3OUT)-(c_TMAP2OUT))&gt;=0,1,-1)*QUOTIENT(((c_TMAP3IN)-(c_TMAP2IN)),2)),((c_TMAP3IN)-(c_TMAP2IN)))+(c_TMAP2OUT)+IF(((c_TMAP3OUT)-(c_TMAP2OUT))&gt;=0,IF(IF(o_WRAP=1,MOD(((c_TMAP3IN)-(c_TMAP2IN))*(((C135)-(c_TMAP2IN))*((c_TMAP3OUT)-(c_TMAP2OUT))+IF(((c_TMAP3OUT)-(c_TMAP2OUT))&gt;=0,1,-1)*QUOTIENT(((c_TMAP3IN)-(c_TMAP2IN)),2))+2147483648,4294967296)-2147483648,((c_TMAP3IN)-(c_TMAP2IN))*(((C135)-(c_TMAP2IN))*((c_TMAP3OUT)-(c_TMAP2OUT))+IF(((c_TMAP3OUT)-(c_TMAP2OUT))&gt;=0,1,-1)*QUOTIENT(((c_TMAP3IN)-(c_TMAP2IN)),2)))&lt;0,-1,0),IF(IF(o_WRAP=1,MOD(((c_TMAP3IN)-(c_TMAP2IN))*(((C135)-(c_TMAP2IN))*((c_TMAP3OUT)-(c_TMAP2OUT))+IF(((c_TMAP3OUT)-(c_TMAP2OUT))&gt;=0,1,-1)*QUOTIENT(((c_TMAP3IN)-(c_TMAP2IN)),2))+2147483648,4294967296)-2147483648,((c_TMAP3IN)-(c_TMAP2IN))*(((C135)-(c_TMAP2IN))*((c_TMAP3OUT)-(c_TMAP2OUT))+IF(((c_TMAP3OUT)-(c_TMAP2OUT))&gt;=0,1,-1)*QUOTIENT(((c_TMAP3IN)-(c_TMAP2IN)),2)))&gt;=0,1,0)))</f>
        <v>-45</v>
      </c>
      <c r="H135" s="7" t="n">
        <f aca="false">IF(((1000)-(c_TMAP3IN))=0,(c_TMAP3OUT)+QUOTIENT(((1000)-(c_TMAP3OUT)),2),QUOTIENT((((C135)-(c_TMAP3IN))*((1000)-(c_TMAP3OUT))+IF(((1000)-(c_TMAP3OUT))&gt;=0,1,-1)*QUOTIENT(((1000)-(c_TMAP3IN)),2)),((1000)-(c_TMAP3IN)))+(c_TMAP3OUT)+IF(((1000)-(c_TMAP3OUT))&gt;=0,IF(IF(o_WRAP=1,MOD(((1000)-(c_TMAP3IN))*(((C135)-(c_TMAP3IN))*((1000)-(c_TMAP3OUT))+IF(((1000)-(c_TMAP3OUT))&gt;=0,1,-1)*QUOTIENT(((1000)-(c_TMAP3IN)),2))+2147483648,4294967296)-2147483648,((1000)-(c_TMAP3IN))*(((C135)-(c_TMAP3IN))*((1000)-(c_TMAP3OUT))+IF(((1000)-(c_TMAP3OUT))&gt;=0,1,-1)*QUOTIENT(((1000)-(c_TMAP3IN)),2)))&lt;0,-1,0),IF(IF(o_WRAP=1,MOD(((1000)-(c_TMAP3IN))*(((C135)-(c_TMAP3IN))*((1000)-(c_TMAP3OUT))+IF(((1000)-(c_TMAP3OUT))&gt;=0,1,-1)*QUOTIENT(((1000)-(c_TMAP3IN)),2))+2147483648,4294967296)-2147483648,((1000)-(c_TMAP3IN))*(((C135)-(c_TMAP3IN))*((1000)-(c_TMAP3OUT))+IF(((1000)-(c_TMAP3OUT))&gt;=0,1,-1)*QUOTIENT(((1000)-(c_TMAP3IN)),2)))&gt;=0,1,0)))</f>
        <v>-231</v>
      </c>
      <c r="I135" s="7" t="n">
        <f aca="false">IF(C135&gt;=c_TFWD,IF(AND(C135&gt;=c_TMAP3IN,c_TMAP3IN&lt;1000),H135,IF(AND(C135&gt;=c_TMAP2IN,c_TMAP3IN&gt;c_TMAP2IN),G135,IF(AND(C135&gt;=c_TMAP1IN,c_TMAP2IN&gt;c_TMAP1IN),F135,E135))),D135)</f>
        <v>-350</v>
      </c>
      <c r="J135" s="7" t="str">
        <f aca="false">IF(I135&lt;-1090,"TOO LOW",IF(I135&gt;1090,"TOO HIGH",""))</f>
        <v/>
      </c>
      <c r="K135" s="7" t="n">
        <f aca="false">IF(J135&lt;&gt;"",0,IF(I135&gt;979,1000,I135))</f>
        <v>-350</v>
      </c>
      <c r="L135" s="7" t="n">
        <f aca="false">IF(OR(c_TSMOOTH=0,K135&gt;=c_TSMOOTHCUT),1,0)</f>
        <v>0</v>
      </c>
      <c r="M135" s="7" t="n">
        <f aca="false">IF(L135=1,0,M134+1)</f>
        <v>49</v>
      </c>
      <c r="N135" s="7" t="n">
        <f aca="false">IF(L135=1,0,MIN(M135,c_TSMOOTH))</f>
        <v>30</v>
      </c>
      <c r="O135" s="7" t="n">
        <f aca="false">IF(COUNTIF($L$5:L135,1)&gt;0,c_TSMOOTHCUT,0)</f>
        <v>400</v>
      </c>
      <c r="P135" s="15" t="n">
        <f aca="true">IF(L135=1,K135,QUOTIENT(SUM(OFFSET(K135,1-N135,0,N135,1))+(c_TSMOOTH-N135)*O135,c_TSMOOTH))</f>
        <v>-350</v>
      </c>
      <c r="Q135" s="7" t="n">
        <f aca="false">K135/10</f>
        <v>-35</v>
      </c>
      <c r="R135" s="7" t="n">
        <f aca="false">P135/10</f>
        <v>-35</v>
      </c>
    </row>
    <row r="136" customFormat="false" ht="15" hidden="false" customHeight="false" outlineLevel="0" collapsed="false">
      <c r="A136" s="7" t="n">
        <v>131</v>
      </c>
      <c r="B136" s="7" t="n">
        <f aca="false">A136*0.04</f>
        <v>5.24</v>
      </c>
      <c r="C136" s="18" t="n">
        <v>0</v>
      </c>
      <c r="D136" s="7" t="n">
        <f aca="false">IF(AND(C136=0,c_TCREEP&gt;0),10*c_TCREEP,IF(AND(C136&lt;=c_TRNGMIN,C136&gt;=c_TRNGMAX,c_TRNGMIN-c_TRNGMAX&lt;&gt;0),-10*c_TMINRN+QUOTIENT((c_TMAXRN-c_TMINRN)*(100-QUOTIENT((C136-c_TRNGMAX)*100,c_TRNGMIN-c_TRNGMAX)),-10),0))</f>
        <v>-350</v>
      </c>
      <c r="E136" s="7" t="n">
        <f aca="false">IF(((c_TMAP1IN)-(c_TFWD))=0,(0)+QUOTIENT(((c_TMAP1OUT)-(0)),2),QUOTIENT((((C136)-(c_TFWD))*((c_TMAP1OUT)-(0))+IF(((c_TMAP1OUT)-(0))&gt;=0,1,-1)*QUOTIENT(((c_TMAP1IN)-(c_TFWD)),2)),((c_TMAP1IN)-(c_TFWD)))+(0)+IF(((c_TMAP1OUT)-(0))&gt;=0,IF(IF(o_WRAP=1,MOD(((c_TMAP1IN)-(c_TFWD))*(((C136)-(c_TFWD))*((c_TMAP1OUT)-(0))+IF(((c_TMAP1OUT)-(0))&gt;=0,1,-1)*QUOTIENT(((c_TMAP1IN)-(c_TFWD)),2))+2147483648,4294967296)-2147483648,((c_TMAP1IN)-(c_TFWD))*(((C136)-(c_TFWD))*((c_TMAP1OUT)-(0))+IF(((c_TMAP1OUT)-(0))&gt;=0,1,-1)*QUOTIENT(((c_TMAP1IN)-(c_TFWD)),2)))&lt;0,-1,0),IF(IF(o_WRAP=1,MOD(((c_TMAP1IN)-(c_TFWD))*(((C136)-(c_TFWD))*((c_TMAP1OUT)-(0))+IF(((c_TMAP1OUT)-(0))&gt;=0,1,-1)*QUOTIENT(((c_TMAP1IN)-(c_TFWD)),2))+2147483648,4294967296)-2147483648,((c_TMAP1IN)-(c_TFWD))*(((C136)-(c_TFWD))*((c_TMAP1OUT)-(0))+IF(((c_TMAP1OUT)-(0))&gt;=0,1,-1)*QUOTIENT(((c_TMAP1IN)-(c_TFWD)),2)))&gt;=0,1,0)))</f>
        <v>-8</v>
      </c>
      <c r="F136" s="7" t="n">
        <f aca="false">IF(((c_TMAP2IN)-(c_TMAP1IN))=0,(c_TMAP1OUT)+QUOTIENT(((c_TMAP2OUT)-(c_TMAP1OUT)),2),QUOTIENT((((C136)-(c_TMAP1IN))*((c_TMAP2OUT)-(c_TMAP1OUT))+IF(((c_TMAP2OUT)-(c_TMAP1OUT))&gt;=0,1,-1)*QUOTIENT(((c_TMAP2IN)-(c_TMAP1IN)),2)),((c_TMAP2IN)-(c_TMAP1IN)))+(c_TMAP1OUT)+IF(((c_TMAP2OUT)-(c_TMAP1OUT))&gt;=0,IF(IF(o_WRAP=1,MOD(((c_TMAP2IN)-(c_TMAP1IN))*(((C136)-(c_TMAP1IN))*((c_TMAP2OUT)-(c_TMAP1OUT))+IF(((c_TMAP2OUT)-(c_TMAP1OUT))&gt;=0,1,-1)*QUOTIENT(((c_TMAP2IN)-(c_TMAP1IN)),2))+2147483648,4294967296)-2147483648,((c_TMAP2IN)-(c_TMAP1IN))*(((C136)-(c_TMAP1IN))*((c_TMAP2OUT)-(c_TMAP1OUT))+IF(((c_TMAP2OUT)-(c_TMAP1OUT))&gt;=0,1,-1)*QUOTIENT(((c_TMAP2IN)-(c_TMAP1IN)),2)))&lt;0,-1,0),IF(IF(o_WRAP=1,MOD(((c_TMAP2IN)-(c_TMAP1IN))*(((C136)-(c_TMAP1IN))*((c_TMAP2OUT)-(c_TMAP1OUT))+IF(((c_TMAP2OUT)-(c_TMAP1OUT))&gt;=0,1,-1)*QUOTIENT(((c_TMAP2IN)-(c_TMAP1IN)),2))+2147483648,4294967296)-2147483648,((c_TMAP2IN)-(c_TMAP1IN))*(((C136)-(c_TMAP1IN))*((c_TMAP2OUT)-(c_TMAP1OUT))+IF(((c_TMAP2OUT)-(c_TMAP1OUT))&gt;=0,1,-1)*QUOTIENT(((c_TMAP2IN)-(c_TMAP1IN)),2)))&gt;=0,1,0)))</f>
        <v>30</v>
      </c>
      <c r="G136" s="7" t="n">
        <f aca="false">IF(((c_TMAP3IN)-(c_TMAP2IN))=0,(c_TMAP2OUT)+QUOTIENT(((c_TMAP3OUT)-(c_TMAP2OUT)),2),QUOTIENT((((C136)-(c_TMAP2IN))*((c_TMAP3OUT)-(c_TMAP2OUT))+IF(((c_TMAP3OUT)-(c_TMAP2OUT))&gt;=0,1,-1)*QUOTIENT(((c_TMAP3IN)-(c_TMAP2IN)),2)),((c_TMAP3IN)-(c_TMAP2IN)))+(c_TMAP2OUT)+IF(((c_TMAP3OUT)-(c_TMAP2OUT))&gt;=0,IF(IF(o_WRAP=1,MOD(((c_TMAP3IN)-(c_TMAP2IN))*(((C136)-(c_TMAP2IN))*((c_TMAP3OUT)-(c_TMAP2OUT))+IF(((c_TMAP3OUT)-(c_TMAP2OUT))&gt;=0,1,-1)*QUOTIENT(((c_TMAP3IN)-(c_TMAP2IN)),2))+2147483648,4294967296)-2147483648,((c_TMAP3IN)-(c_TMAP2IN))*(((C136)-(c_TMAP2IN))*((c_TMAP3OUT)-(c_TMAP2OUT))+IF(((c_TMAP3OUT)-(c_TMAP2OUT))&gt;=0,1,-1)*QUOTIENT(((c_TMAP3IN)-(c_TMAP2IN)),2)))&lt;0,-1,0),IF(IF(o_WRAP=1,MOD(((c_TMAP3IN)-(c_TMAP2IN))*(((C136)-(c_TMAP2IN))*((c_TMAP3OUT)-(c_TMAP2OUT))+IF(((c_TMAP3OUT)-(c_TMAP2OUT))&gt;=0,1,-1)*QUOTIENT(((c_TMAP3IN)-(c_TMAP2IN)),2))+2147483648,4294967296)-2147483648,((c_TMAP3IN)-(c_TMAP2IN))*(((C136)-(c_TMAP2IN))*((c_TMAP3OUT)-(c_TMAP2OUT))+IF(((c_TMAP3OUT)-(c_TMAP2OUT))&gt;=0,1,-1)*QUOTIENT(((c_TMAP3IN)-(c_TMAP2IN)),2)))&gt;=0,1,0)))</f>
        <v>-45</v>
      </c>
      <c r="H136" s="7" t="n">
        <f aca="false">IF(((1000)-(c_TMAP3IN))=0,(c_TMAP3OUT)+QUOTIENT(((1000)-(c_TMAP3OUT)),2),QUOTIENT((((C136)-(c_TMAP3IN))*((1000)-(c_TMAP3OUT))+IF(((1000)-(c_TMAP3OUT))&gt;=0,1,-1)*QUOTIENT(((1000)-(c_TMAP3IN)),2)),((1000)-(c_TMAP3IN)))+(c_TMAP3OUT)+IF(((1000)-(c_TMAP3OUT))&gt;=0,IF(IF(o_WRAP=1,MOD(((1000)-(c_TMAP3IN))*(((C136)-(c_TMAP3IN))*((1000)-(c_TMAP3OUT))+IF(((1000)-(c_TMAP3OUT))&gt;=0,1,-1)*QUOTIENT(((1000)-(c_TMAP3IN)),2))+2147483648,4294967296)-2147483648,((1000)-(c_TMAP3IN))*(((C136)-(c_TMAP3IN))*((1000)-(c_TMAP3OUT))+IF(((1000)-(c_TMAP3OUT))&gt;=0,1,-1)*QUOTIENT(((1000)-(c_TMAP3IN)),2)))&lt;0,-1,0),IF(IF(o_WRAP=1,MOD(((1000)-(c_TMAP3IN))*(((C136)-(c_TMAP3IN))*((1000)-(c_TMAP3OUT))+IF(((1000)-(c_TMAP3OUT))&gt;=0,1,-1)*QUOTIENT(((1000)-(c_TMAP3IN)),2))+2147483648,4294967296)-2147483648,((1000)-(c_TMAP3IN))*(((C136)-(c_TMAP3IN))*((1000)-(c_TMAP3OUT))+IF(((1000)-(c_TMAP3OUT))&gt;=0,1,-1)*QUOTIENT(((1000)-(c_TMAP3IN)),2)))&gt;=0,1,0)))</f>
        <v>-231</v>
      </c>
      <c r="I136" s="7" t="n">
        <f aca="false">IF(C136&gt;=c_TFWD,IF(AND(C136&gt;=c_TMAP3IN,c_TMAP3IN&lt;1000),H136,IF(AND(C136&gt;=c_TMAP2IN,c_TMAP3IN&gt;c_TMAP2IN),G136,IF(AND(C136&gt;=c_TMAP1IN,c_TMAP2IN&gt;c_TMAP1IN),F136,E136))),D136)</f>
        <v>-350</v>
      </c>
      <c r="J136" s="7" t="str">
        <f aca="false">IF(I136&lt;-1090,"TOO LOW",IF(I136&gt;1090,"TOO HIGH",""))</f>
        <v/>
      </c>
      <c r="K136" s="7" t="n">
        <f aca="false">IF(J136&lt;&gt;"",0,IF(I136&gt;979,1000,I136))</f>
        <v>-350</v>
      </c>
      <c r="L136" s="7" t="n">
        <f aca="false">IF(OR(c_TSMOOTH=0,K136&gt;=c_TSMOOTHCUT),1,0)</f>
        <v>0</v>
      </c>
      <c r="M136" s="7" t="n">
        <f aca="false">IF(L136=1,0,M135+1)</f>
        <v>50</v>
      </c>
      <c r="N136" s="7" t="n">
        <f aca="false">IF(L136=1,0,MIN(M136,c_TSMOOTH))</f>
        <v>30</v>
      </c>
      <c r="O136" s="7" t="n">
        <f aca="false">IF(COUNTIF($L$5:L136,1)&gt;0,c_TSMOOTHCUT,0)</f>
        <v>400</v>
      </c>
      <c r="P136" s="15" t="n">
        <f aca="true">IF(L136=1,K136,QUOTIENT(SUM(OFFSET(K136,1-N136,0,N136,1))+(c_TSMOOTH-N136)*O136,c_TSMOOTH))</f>
        <v>-350</v>
      </c>
      <c r="Q136" s="7" t="n">
        <f aca="false">K136/10</f>
        <v>-35</v>
      </c>
      <c r="R136" s="7" t="n">
        <f aca="false">P136/10</f>
        <v>-35</v>
      </c>
    </row>
    <row r="137" customFormat="false" ht="15" hidden="false" customHeight="false" outlineLevel="0" collapsed="false">
      <c r="A137" s="7" t="n">
        <v>132</v>
      </c>
      <c r="B137" s="7" t="n">
        <f aca="false">A137*0.04</f>
        <v>5.28</v>
      </c>
      <c r="C137" s="18" t="n">
        <v>0</v>
      </c>
      <c r="D137" s="7" t="n">
        <f aca="false">IF(AND(C137=0,c_TCREEP&gt;0),10*c_TCREEP,IF(AND(C137&lt;=c_TRNGMIN,C137&gt;=c_TRNGMAX,c_TRNGMIN-c_TRNGMAX&lt;&gt;0),-10*c_TMINRN+QUOTIENT((c_TMAXRN-c_TMINRN)*(100-QUOTIENT((C137-c_TRNGMAX)*100,c_TRNGMIN-c_TRNGMAX)),-10),0))</f>
        <v>-350</v>
      </c>
      <c r="E137" s="7" t="n">
        <f aca="false">IF(((c_TMAP1IN)-(c_TFWD))=0,(0)+QUOTIENT(((c_TMAP1OUT)-(0)),2),QUOTIENT((((C137)-(c_TFWD))*((c_TMAP1OUT)-(0))+IF(((c_TMAP1OUT)-(0))&gt;=0,1,-1)*QUOTIENT(((c_TMAP1IN)-(c_TFWD)),2)),((c_TMAP1IN)-(c_TFWD)))+(0)+IF(((c_TMAP1OUT)-(0))&gt;=0,IF(IF(o_WRAP=1,MOD(((c_TMAP1IN)-(c_TFWD))*(((C137)-(c_TFWD))*((c_TMAP1OUT)-(0))+IF(((c_TMAP1OUT)-(0))&gt;=0,1,-1)*QUOTIENT(((c_TMAP1IN)-(c_TFWD)),2))+2147483648,4294967296)-2147483648,((c_TMAP1IN)-(c_TFWD))*(((C137)-(c_TFWD))*((c_TMAP1OUT)-(0))+IF(((c_TMAP1OUT)-(0))&gt;=0,1,-1)*QUOTIENT(((c_TMAP1IN)-(c_TFWD)),2)))&lt;0,-1,0),IF(IF(o_WRAP=1,MOD(((c_TMAP1IN)-(c_TFWD))*(((C137)-(c_TFWD))*((c_TMAP1OUT)-(0))+IF(((c_TMAP1OUT)-(0))&gt;=0,1,-1)*QUOTIENT(((c_TMAP1IN)-(c_TFWD)),2))+2147483648,4294967296)-2147483648,((c_TMAP1IN)-(c_TFWD))*(((C137)-(c_TFWD))*((c_TMAP1OUT)-(0))+IF(((c_TMAP1OUT)-(0))&gt;=0,1,-1)*QUOTIENT(((c_TMAP1IN)-(c_TFWD)),2)))&gt;=0,1,0)))</f>
        <v>-8</v>
      </c>
      <c r="F137" s="7" t="n">
        <f aca="false">IF(((c_TMAP2IN)-(c_TMAP1IN))=0,(c_TMAP1OUT)+QUOTIENT(((c_TMAP2OUT)-(c_TMAP1OUT)),2),QUOTIENT((((C137)-(c_TMAP1IN))*((c_TMAP2OUT)-(c_TMAP1OUT))+IF(((c_TMAP2OUT)-(c_TMAP1OUT))&gt;=0,1,-1)*QUOTIENT(((c_TMAP2IN)-(c_TMAP1IN)),2)),((c_TMAP2IN)-(c_TMAP1IN)))+(c_TMAP1OUT)+IF(((c_TMAP2OUT)-(c_TMAP1OUT))&gt;=0,IF(IF(o_WRAP=1,MOD(((c_TMAP2IN)-(c_TMAP1IN))*(((C137)-(c_TMAP1IN))*((c_TMAP2OUT)-(c_TMAP1OUT))+IF(((c_TMAP2OUT)-(c_TMAP1OUT))&gt;=0,1,-1)*QUOTIENT(((c_TMAP2IN)-(c_TMAP1IN)),2))+2147483648,4294967296)-2147483648,((c_TMAP2IN)-(c_TMAP1IN))*(((C137)-(c_TMAP1IN))*((c_TMAP2OUT)-(c_TMAP1OUT))+IF(((c_TMAP2OUT)-(c_TMAP1OUT))&gt;=0,1,-1)*QUOTIENT(((c_TMAP2IN)-(c_TMAP1IN)),2)))&lt;0,-1,0),IF(IF(o_WRAP=1,MOD(((c_TMAP2IN)-(c_TMAP1IN))*(((C137)-(c_TMAP1IN))*((c_TMAP2OUT)-(c_TMAP1OUT))+IF(((c_TMAP2OUT)-(c_TMAP1OUT))&gt;=0,1,-1)*QUOTIENT(((c_TMAP2IN)-(c_TMAP1IN)),2))+2147483648,4294967296)-2147483648,((c_TMAP2IN)-(c_TMAP1IN))*(((C137)-(c_TMAP1IN))*((c_TMAP2OUT)-(c_TMAP1OUT))+IF(((c_TMAP2OUT)-(c_TMAP1OUT))&gt;=0,1,-1)*QUOTIENT(((c_TMAP2IN)-(c_TMAP1IN)),2)))&gt;=0,1,0)))</f>
        <v>30</v>
      </c>
      <c r="G137" s="7" t="n">
        <f aca="false">IF(((c_TMAP3IN)-(c_TMAP2IN))=0,(c_TMAP2OUT)+QUOTIENT(((c_TMAP3OUT)-(c_TMAP2OUT)),2),QUOTIENT((((C137)-(c_TMAP2IN))*((c_TMAP3OUT)-(c_TMAP2OUT))+IF(((c_TMAP3OUT)-(c_TMAP2OUT))&gt;=0,1,-1)*QUOTIENT(((c_TMAP3IN)-(c_TMAP2IN)),2)),((c_TMAP3IN)-(c_TMAP2IN)))+(c_TMAP2OUT)+IF(((c_TMAP3OUT)-(c_TMAP2OUT))&gt;=0,IF(IF(o_WRAP=1,MOD(((c_TMAP3IN)-(c_TMAP2IN))*(((C137)-(c_TMAP2IN))*((c_TMAP3OUT)-(c_TMAP2OUT))+IF(((c_TMAP3OUT)-(c_TMAP2OUT))&gt;=0,1,-1)*QUOTIENT(((c_TMAP3IN)-(c_TMAP2IN)),2))+2147483648,4294967296)-2147483648,((c_TMAP3IN)-(c_TMAP2IN))*(((C137)-(c_TMAP2IN))*((c_TMAP3OUT)-(c_TMAP2OUT))+IF(((c_TMAP3OUT)-(c_TMAP2OUT))&gt;=0,1,-1)*QUOTIENT(((c_TMAP3IN)-(c_TMAP2IN)),2)))&lt;0,-1,0),IF(IF(o_WRAP=1,MOD(((c_TMAP3IN)-(c_TMAP2IN))*(((C137)-(c_TMAP2IN))*((c_TMAP3OUT)-(c_TMAP2OUT))+IF(((c_TMAP3OUT)-(c_TMAP2OUT))&gt;=0,1,-1)*QUOTIENT(((c_TMAP3IN)-(c_TMAP2IN)),2))+2147483648,4294967296)-2147483648,((c_TMAP3IN)-(c_TMAP2IN))*(((C137)-(c_TMAP2IN))*((c_TMAP3OUT)-(c_TMAP2OUT))+IF(((c_TMAP3OUT)-(c_TMAP2OUT))&gt;=0,1,-1)*QUOTIENT(((c_TMAP3IN)-(c_TMAP2IN)),2)))&gt;=0,1,0)))</f>
        <v>-45</v>
      </c>
      <c r="H137" s="7" t="n">
        <f aca="false">IF(((1000)-(c_TMAP3IN))=0,(c_TMAP3OUT)+QUOTIENT(((1000)-(c_TMAP3OUT)),2),QUOTIENT((((C137)-(c_TMAP3IN))*((1000)-(c_TMAP3OUT))+IF(((1000)-(c_TMAP3OUT))&gt;=0,1,-1)*QUOTIENT(((1000)-(c_TMAP3IN)),2)),((1000)-(c_TMAP3IN)))+(c_TMAP3OUT)+IF(((1000)-(c_TMAP3OUT))&gt;=0,IF(IF(o_WRAP=1,MOD(((1000)-(c_TMAP3IN))*(((C137)-(c_TMAP3IN))*((1000)-(c_TMAP3OUT))+IF(((1000)-(c_TMAP3OUT))&gt;=0,1,-1)*QUOTIENT(((1000)-(c_TMAP3IN)),2))+2147483648,4294967296)-2147483648,((1000)-(c_TMAP3IN))*(((C137)-(c_TMAP3IN))*((1000)-(c_TMAP3OUT))+IF(((1000)-(c_TMAP3OUT))&gt;=0,1,-1)*QUOTIENT(((1000)-(c_TMAP3IN)),2)))&lt;0,-1,0),IF(IF(o_WRAP=1,MOD(((1000)-(c_TMAP3IN))*(((C137)-(c_TMAP3IN))*((1000)-(c_TMAP3OUT))+IF(((1000)-(c_TMAP3OUT))&gt;=0,1,-1)*QUOTIENT(((1000)-(c_TMAP3IN)),2))+2147483648,4294967296)-2147483648,((1000)-(c_TMAP3IN))*(((C137)-(c_TMAP3IN))*((1000)-(c_TMAP3OUT))+IF(((1000)-(c_TMAP3OUT))&gt;=0,1,-1)*QUOTIENT(((1000)-(c_TMAP3IN)),2)))&gt;=0,1,0)))</f>
        <v>-231</v>
      </c>
      <c r="I137" s="7" t="n">
        <f aca="false">IF(C137&gt;=c_TFWD,IF(AND(C137&gt;=c_TMAP3IN,c_TMAP3IN&lt;1000),H137,IF(AND(C137&gt;=c_TMAP2IN,c_TMAP3IN&gt;c_TMAP2IN),G137,IF(AND(C137&gt;=c_TMAP1IN,c_TMAP2IN&gt;c_TMAP1IN),F137,E137))),D137)</f>
        <v>-350</v>
      </c>
      <c r="J137" s="7" t="str">
        <f aca="false">IF(I137&lt;-1090,"TOO LOW",IF(I137&gt;1090,"TOO HIGH",""))</f>
        <v/>
      </c>
      <c r="K137" s="7" t="n">
        <f aca="false">IF(J137&lt;&gt;"",0,IF(I137&gt;979,1000,I137))</f>
        <v>-350</v>
      </c>
      <c r="L137" s="7" t="n">
        <f aca="false">IF(OR(c_TSMOOTH=0,K137&gt;=c_TSMOOTHCUT),1,0)</f>
        <v>0</v>
      </c>
      <c r="M137" s="7" t="n">
        <f aca="false">IF(L137=1,0,M136+1)</f>
        <v>51</v>
      </c>
      <c r="N137" s="7" t="n">
        <f aca="false">IF(L137=1,0,MIN(M137,c_TSMOOTH))</f>
        <v>30</v>
      </c>
      <c r="O137" s="7" t="n">
        <f aca="false">IF(COUNTIF($L$5:L137,1)&gt;0,c_TSMOOTHCUT,0)</f>
        <v>400</v>
      </c>
      <c r="P137" s="15" t="n">
        <f aca="true">IF(L137=1,K137,QUOTIENT(SUM(OFFSET(K137,1-N137,0,N137,1))+(c_TSMOOTH-N137)*O137,c_TSMOOTH))</f>
        <v>-350</v>
      </c>
      <c r="Q137" s="7" t="n">
        <f aca="false">K137/10</f>
        <v>-35</v>
      </c>
      <c r="R137" s="7" t="n">
        <f aca="false">P137/10</f>
        <v>-35</v>
      </c>
    </row>
    <row r="138" customFormat="false" ht="15" hidden="false" customHeight="false" outlineLevel="0" collapsed="false">
      <c r="A138" s="7" t="n">
        <v>133</v>
      </c>
      <c r="B138" s="7" t="n">
        <f aca="false">A138*0.04</f>
        <v>5.32</v>
      </c>
      <c r="C138" s="18" t="n">
        <v>0</v>
      </c>
      <c r="D138" s="7" t="n">
        <f aca="false">IF(AND(C138=0,c_TCREEP&gt;0),10*c_TCREEP,IF(AND(C138&lt;=c_TRNGMIN,C138&gt;=c_TRNGMAX,c_TRNGMIN-c_TRNGMAX&lt;&gt;0),-10*c_TMINRN+QUOTIENT((c_TMAXRN-c_TMINRN)*(100-QUOTIENT((C138-c_TRNGMAX)*100,c_TRNGMIN-c_TRNGMAX)),-10),0))</f>
        <v>-350</v>
      </c>
      <c r="E138" s="7" t="n">
        <f aca="false">IF(((c_TMAP1IN)-(c_TFWD))=0,(0)+QUOTIENT(((c_TMAP1OUT)-(0)),2),QUOTIENT((((C138)-(c_TFWD))*((c_TMAP1OUT)-(0))+IF(((c_TMAP1OUT)-(0))&gt;=0,1,-1)*QUOTIENT(((c_TMAP1IN)-(c_TFWD)),2)),((c_TMAP1IN)-(c_TFWD)))+(0)+IF(((c_TMAP1OUT)-(0))&gt;=0,IF(IF(o_WRAP=1,MOD(((c_TMAP1IN)-(c_TFWD))*(((C138)-(c_TFWD))*((c_TMAP1OUT)-(0))+IF(((c_TMAP1OUT)-(0))&gt;=0,1,-1)*QUOTIENT(((c_TMAP1IN)-(c_TFWD)),2))+2147483648,4294967296)-2147483648,((c_TMAP1IN)-(c_TFWD))*(((C138)-(c_TFWD))*((c_TMAP1OUT)-(0))+IF(((c_TMAP1OUT)-(0))&gt;=0,1,-1)*QUOTIENT(((c_TMAP1IN)-(c_TFWD)),2)))&lt;0,-1,0),IF(IF(o_WRAP=1,MOD(((c_TMAP1IN)-(c_TFWD))*(((C138)-(c_TFWD))*((c_TMAP1OUT)-(0))+IF(((c_TMAP1OUT)-(0))&gt;=0,1,-1)*QUOTIENT(((c_TMAP1IN)-(c_TFWD)),2))+2147483648,4294967296)-2147483648,((c_TMAP1IN)-(c_TFWD))*(((C138)-(c_TFWD))*((c_TMAP1OUT)-(0))+IF(((c_TMAP1OUT)-(0))&gt;=0,1,-1)*QUOTIENT(((c_TMAP1IN)-(c_TFWD)),2)))&gt;=0,1,0)))</f>
        <v>-8</v>
      </c>
      <c r="F138" s="7" t="n">
        <f aca="false">IF(((c_TMAP2IN)-(c_TMAP1IN))=0,(c_TMAP1OUT)+QUOTIENT(((c_TMAP2OUT)-(c_TMAP1OUT)),2),QUOTIENT((((C138)-(c_TMAP1IN))*((c_TMAP2OUT)-(c_TMAP1OUT))+IF(((c_TMAP2OUT)-(c_TMAP1OUT))&gt;=0,1,-1)*QUOTIENT(((c_TMAP2IN)-(c_TMAP1IN)),2)),((c_TMAP2IN)-(c_TMAP1IN)))+(c_TMAP1OUT)+IF(((c_TMAP2OUT)-(c_TMAP1OUT))&gt;=0,IF(IF(o_WRAP=1,MOD(((c_TMAP2IN)-(c_TMAP1IN))*(((C138)-(c_TMAP1IN))*((c_TMAP2OUT)-(c_TMAP1OUT))+IF(((c_TMAP2OUT)-(c_TMAP1OUT))&gt;=0,1,-1)*QUOTIENT(((c_TMAP2IN)-(c_TMAP1IN)),2))+2147483648,4294967296)-2147483648,((c_TMAP2IN)-(c_TMAP1IN))*(((C138)-(c_TMAP1IN))*((c_TMAP2OUT)-(c_TMAP1OUT))+IF(((c_TMAP2OUT)-(c_TMAP1OUT))&gt;=0,1,-1)*QUOTIENT(((c_TMAP2IN)-(c_TMAP1IN)),2)))&lt;0,-1,0),IF(IF(o_WRAP=1,MOD(((c_TMAP2IN)-(c_TMAP1IN))*(((C138)-(c_TMAP1IN))*((c_TMAP2OUT)-(c_TMAP1OUT))+IF(((c_TMAP2OUT)-(c_TMAP1OUT))&gt;=0,1,-1)*QUOTIENT(((c_TMAP2IN)-(c_TMAP1IN)),2))+2147483648,4294967296)-2147483648,((c_TMAP2IN)-(c_TMAP1IN))*(((C138)-(c_TMAP1IN))*((c_TMAP2OUT)-(c_TMAP1OUT))+IF(((c_TMAP2OUT)-(c_TMAP1OUT))&gt;=0,1,-1)*QUOTIENT(((c_TMAP2IN)-(c_TMAP1IN)),2)))&gt;=0,1,0)))</f>
        <v>30</v>
      </c>
      <c r="G138" s="7" t="n">
        <f aca="false">IF(((c_TMAP3IN)-(c_TMAP2IN))=0,(c_TMAP2OUT)+QUOTIENT(((c_TMAP3OUT)-(c_TMAP2OUT)),2),QUOTIENT((((C138)-(c_TMAP2IN))*((c_TMAP3OUT)-(c_TMAP2OUT))+IF(((c_TMAP3OUT)-(c_TMAP2OUT))&gt;=0,1,-1)*QUOTIENT(((c_TMAP3IN)-(c_TMAP2IN)),2)),((c_TMAP3IN)-(c_TMAP2IN)))+(c_TMAP2OUT)+IF(((c_TMAP3OUT)-(c_TMAP2OUT))&gt;=0,IF(IF(o_WRAP=1,MOD(((c_TMAP3IN)-(c_TMAP2IN))*(((C138)-(c_TMAP2IN))*((c_TMAP3OUT)-(c_TMAP2OUT))+IF(((c_TMAP3OUT)-(c_TMAP2OUT))&gt;=0,1,-1)*QUOTIENT(((c_TMAP3IN)-(c_TMAP2IN)),2))+2147483648,4294967296)-2147483648,((c_TMAP3IN)-(c_TMAP2IN))*(((C138)-(c_TMAP2IN))*((c_TMAP3OUT)-(c_TMAP2OUT))+IF(((c_TMAP3OUT)-(c_TMAP2OUT))&gt;=0,1,-1)*QUOTIENT(((c_TMAP3IN)-(c_TMAP2IN)),2)))&lt;0,-1,0),IF(IF(o_WRAP=1,MOD(((c_TMAP3IN)-(c_TMAP2IN))*(((C138)-(c_TMAP2IN))*((c_TMAP3OUT)-(c_TMAP2OUT))+IF(((c_TMAP3OUT)-(c_TMAP2OUT))&gt;=0,1,-1)*QUOTIENT(((c_TMAP3IN)-(c_TMAP2IN)),2))+2147483648,4294967296)-2147483648,((c_TMAP3IN)-(c_TMAP2IN))*(((C138)-(c_TMAP2IN))*((c_TMAP3OUT)-(c_TMAP2OUT))+IF(((c_TMAP3OUT)-(c_TMAP2OUT))&gt;=0,1,-1)*QUOTIENT(((c_TMAP3IN)-(c_TMAP2IN)),2)))&gt;=0,1,0)))</f>
        <v>-45</v>
      </c>
      <c r="H138" s="7" t="n">
        <f aca="false">IF(((1000)-(c_TMAP3IN))=0,(c_TMAP3OUT)+QUOTIENT(((1000)-(c_TMAP3OUT)),2),QUOTIENT((((C138)-(c_TMAP3IN))*((1000)-(c_TMAP3OUT))+IF(((1000)-(c_TMAP3OUT))&gt;=0,1,-1)*QUOTIENT(((1000)-(c_TMAP3IN)),2)),((1000)-(c_TMAP3IN)))+(c_TMAP3OUT)+IF(((1000)-(c_TMAP3OUT))&gt;=0,IF(IF(o_WRAP=1,MOD(((1000)-(c_TMAP3IN))*(((C138)-(c_TMAP3IN))*((1000)-(c_TMAP3OUT))+IF(((1000)-(c_TMAP3OUT))&gt;=0,1,-1)*QUOTIENT(((1000)-(c_TMAP3IN)),2))+2147483648,4294967296)-2147483648,((1000)-(c_TMAP3IN))*(((C138)-(c_TMAP3IN))*((1000)-(c_TMAP3OUT))+IF(((1000)-(c_TMAP3OUT))&gt;=0,1,-1)*QUOTIENT(((1000)-(c_TMAP3IN)),2)))&lt;0,-1,0),IF(IF(o_WRAP=1,MOD(((1000)-(c_TMAP3IN))*(((C138)-(c_TMAP3IN))*((1000)-(c_TMAP3OUT))+IF(((1000)-(c_TMAP3OUT))&gt;=0,1,-1)*QUOTIENT(((1000)-(c_TMAP3IN)),2))+2147483648,4294967296)-2147483648,((1000)-(c_TMAP3IN))*(((C138)-(c_TMAP3IN))*((1000)-(c_TMAP3OUT))+IF(((1000)-(c_TMAP3OUT))&gt;=0,1,-1)*QUOTIENT(((1000)-(c_TMAP3IN)),2)))&gt;=0,1,0)))</f>
        <v>-231</v>
      </c>
      <c r="I138" s="7" t="n">
        <f aca="false">IF(C138&gt;=c_TFWD,IF(AND(C138&gt;=c_TMAP3IN,c_TMAP3IN&lt;1000),H138,IF(AND(C138&gt;=c_TMAP2IN,c_TMAP3IN&gt;c_TMAP2IN),G138,IF(AND(C138&gt;=c_TMAP1IN,c_TMAP2IN&gt;c_TMAP1IN),F138,E138))),D138)</f>
        <v>-350</v>
      </c>
      <c r="J138" s="7" t="str">
        <f aca="false">IF(I138&lt;-1090,"TOO LOW",IF(I138&gt;1090,"TOO HIGH",""))</f>
        <v/>
      </c>
      <c r="K138" s="7" t="n">
        <f aca="false">IF(J138&lt;&gt;"",0,IF(I138&gt;979,1000,I138))</f>
        <v>-350</v>
      </c>
      <c r="L138" s="7" t="n">
        <f aca="false">IF(OR(c_TSMOOTH=0,K138&gt;=c_TSMOOTHCUT),1,0)</f>
        <v>0</v>
      </c>
      <c r="M138" s="7" t="n">
        <f aca="false">IF(L138=1,0,M137+1)</f>
        <v>52</v>
      </c>
      <c r="N138" s="7" t="n">
        <f aca="false">IF(L138=1,0,MIN(M138,c_TSMOOTH))</f>
        <v>30</v>
      </c>
      <c r="O138" s="7" t="n">
        <f aca="false">IF(COUNTIF($L$5:L138,1)&gt;0,c_TSMOOTHCUT,0)</f>
        <v>400</v>
      </c>
      <c r="P138" s="15" t="n">
        <f aca="true">IF(L138=1,K138,QUOTIENT(SUM(OFFSET(K138,1-N138,0,N138,1))+(c_TSMOOTH-N138)*O138,c_TSMOOTH))</f>
        <v>-350</v>
      </c>
      <c r="Q138" s="7" t="n">
        <f aca="false">K138/10</f>
        <v>-35</v>
      </c>
      <c r="R138" s="7" t="n">
        <f aca="false">P138/10</f>
        <v>-35</v>
      </c>
    </row>
    <row r="139" customFormat="false" ht="15" hidden="false" customHeight="false" outlineLevel="0" collapsed="false">
      <c r="A139" s="7" t="n">
        <v>134</v>
      </c>
      <c r="B139" s="7" t="n">
        <f aca="false">A139*0.04</f>
        <v>5.36</v>
      </c>
      <c r="C139" s="18" t="n">
        <v>0</v>
      </c>
      <c r="D139" s="7" t="n">
        <f aca="false">IF(AND(C139=0,c_TCREEP&gt;0),10*c_TCREEP,IF(AND(C139&lt;=c_TRNGMIN,C139&gt;=c_TRNGMAX,c_TRNGMIN-c_TRNGMAX&lt;&gt;0),-10*c_TMINRN+QUOTIENT((c_TMAXRN-c_TMINRN)*(100-QUOTIENT((C139-c_TRNGMAX)*100,c_TRNGMIN-c_TRNGMAX)),-10),0))</f>
        <v>-350</v>
      </c>
      <c r="E139" s="7" t="n">
        <f aca="false">IF(((c_TMAP1IN)-(c_TFWD))=0,(0)+QUOTIENT(((c_TMAP1OUT)-(0)),2),QUOTIENT((((C139)-(c_TFWD))*((c_TMAP1OUT)-(0))+IF(((c_TMAP1OUT)-(0))&gt;=0,1,-1)*QUOTIENT(((c_TMAP1IN)-(c_TFWD)),2)),((c_TMAP1IN)-(c_TFWD)))+(0)+IF(((c_TMAP1OUT)-(0))&gt;=0,IF(IF(o_WRAP=1,MOD(((c_TMAP1IN)-(c_TFWD))*(((C139)-(c_TFWD))*((c_TMAP1OUT)-(0))+IF(((c_TMAP1OUT)-(0))&gt;=0,1,-1)*QUOTIENT(((c_TMAP1IN)-(c_TFWD)),2))+2147483648,4294967296)-2147483648,((c_TMAP1IN)-(c_TFWD))*(((C139)-(c_TFWD))*((c_TMAP1OUT)-(0))+IF(((c_TMAP1OUT)-(0))&gt;=0,1,-1)*QUOTIENT(((c_TMAP1IN)-(c_TFWD)),2)))&lt;0,-1,0),IF(IF(o_WRAP=1,MOD(((c_TMAP1IN)-(c_TFWD))*(((C139)-(c_TFWD))*((c_TMAP1OUT)-(0))+IF(((c_TMAP1OUT)-(0))&gt;=0,1,-1)*QUOTIENT(((c_TMAP1IN)-(c_TFWD)),2))+2147483648,4294967296)-2147483648,((c_TMAP1IN)-(c_TFWD))*(((C139)-(c_TFWD))*((c_TMAP1OUT)-(0))+IF(((c_TMAP1OUT)-(0))&gt;=0,1,-1)*QUOTIENT(((c_TMAP1IN)-(c_TFWD)),2)))&gt;=0,1,0)))</f>
        <v>-8</v>
      </c>
      <c r="F139" s="7" t="n">
        <f aca="false">IF(((c_TMAP2IN)-(c_TMAP1IN))=0,(c_TMAP1OUT)+QUOTIENT(((c_TMAP2OUT)-(c_TMAP1OUT)),2),QUOTIENT((((C139)-(c_TMAP1IN))*((c_TMAP2OUT)-(c_TMAP1OUT))+IF(((c_TMAP2OUT)-(c_TMAP1OUT))&gt;=0,1,-1)*QUOTIENT(((c_TMAP2IN)-(c_TMAP1IN)),2)),((c_TMAP2IN)-(c_TMAP1IN)))+(c_TMAP1OUT)+IF(((c_TMAP2OUT)-(c_TMAP1OUT))&gt;=0,IF(IF(o_WRAP=1,MOD(((c_TMAP2IN)-(c_TMAP1IN))*(((C139)-(c_TMAP1IN))*((c_TMAP2OUT)-(c_TMAP1OUT))+IF(((c_TMAP2OUT)-(c_TMAP1OUT))&gt;=0,1,-1)*QUOTIENT(((c_TMAP2IN)-(c_TMAP1IN)),2))+2147483648,4294967296)-2147483648,((c_TMAP2IN)-(c_TMAP1IN))*(((C139)-(c_TMAP1IN))*((c_TMAP2OUT)-(c_TMAP1OUT))+IF(((c_TMAP2OUT)-(c_TMAP1OUT))&gt;=0,1,-1)*QUOTIENT(((c_TMAP2IN)-(c_TMAP1IN)),2)))&lt;0,-1,0),IF(IF(o_WRAP=1,MOD(((c_TMAP2IN)-(c_TMAP1IN))*(((C139)-(c_TMAP1IN))*((c_TMAP2OUT)-(c_TMAP1OUT))+IF(((c_TMAP2OUT)-(c_TMAP1OUT))&gt;=0,1,-1)*QUOTIENT(((c_TMAP2IN)-(c_TMAP1IN)),2))+2147483648,4294967296)-2147483648,((c_TMAP2IN)-(c_TMAP1IN))*(((C139)-(c_TMAP1IN))*((c_TMAP2OUT)-(c_TMAP1OUT))+IF(((c_TMAP2OUT)-(c_TMAP1OUT))&gt;=0,1,-1)*QUOTIENT(((c_TMAP2IN)-(c_TMAP1IN)),2)))&gt;=0,1,0)))</f>
        <v>30</v>
      </c>
      <c r="G139" s="7" t="n">
        <f aca="false">IF(((c_TMAP3IN)-(c_TMAP2IN))=0,(c_TMAP2OUT)+QUOTIENT(((c_TMAP3OUT)-(c_TMAP2OUT)),2),QUOTIENT((((C139)-(c_TMAP2IN))*((c_TMAP3OUT)-(c_TMAP2OUT))+IF(((c_TMAP3OUT)-(c_TMAP2OUT))&gt;=0,1,-1)*QUOTIENT(((c_TMAP3IN)-(c_TMAP2IN)),2)),((c_TMAP3IN)-(c_TMAP2IN)))+(c_TMAP2OUT)+IF(((c_TMAP3OUT)-(c_TMAP2OUT))&gt;=0,IF(IF(o_WRAP=1,MOD(((c_TMAP3IN)-(c_TMAP2IN))*(((C139)-(c_TMAP2IN))*((c_TMAP3OUT)-(c_TMAP2OUT))+IF(((c_TMAP3OUT)-(c_TMAP2OUT))&gt;=0,1,-1)*QUOTIENT(((c_TMAP3IN)-(c_TMAP2IN)),2))+2147483648,4294967296)-2147483648,((c_TMAP3IN)-(c_TMAP2IN))*(((C139)-(c_TMAP2IN))*((c_TMAP3OUT)-(c_TMAP2OUT))+IF(((c_TMAP3OUT)-(c_TMAP2OUT))&gt;=0,1,-1)*QUOTIENT(((c_TMAP3IN)-(c_TMAP2IN)),2)))&lt;0,-1,0),IF(IF(o_WRAP=1,MOD(((c_TMAP3IN)-(c_TMAP2IN))*(((C139)-(c_TMAP2IN))*((c_TMAP3OUT)-(c_TMAP2OUT))+IF(((c_TMAP3OUT)-(c_TMAP2OUT))&gt;=0,1,-1)*QUOTIENT(((c_TMAP3IN)-(c_TMAP2IN)),2))+2147483648,4294967296)-2147483648,((c_TMAP3IN)-(c_TMAP2IN))*(((C139)-(c_TMAP2IN))*((c_TMAP3OUT)-(c_TMAP2OUT))+IF(((c_TMAP3OUT)-(c_TMAP2OUT))&gt;=0,1,-1)*QUOTIENT(((c_TMAP3IN)-(c_TMAP2IN)),2)))&gt;=0,1,0)))</f>
        <v>-45</v>
      </c>
      <c r="H139" s="7" t="n">
        <f aca="false">IF(((1000)-(c_TMAP3IN))=0,(c_TMAP3OUT)+QUOTIENT(((1000)-(c_TMAP3OUT)),2),QUOTIENT((((C139)-(c_TMAP3IN))*((1000)-(c_TMAP3OUT))+IF(((1000)-(c_TMAP3OUT))&gt;=0,1,-1)*QUOTIENT(((1000)-(c_TMAP3IN)),2)),((1000)-(c_TMAP3IN)))+(c_TMAP3OUT)+IF(((1000)-(c_TMAP3OUT))&gt;=0,IF(IF(o_WRAP=1,MOD(((1000)-(c_TMAP3IN))*(((C139)-(c_TMAP3IN))*((1000)-(c_TMAP3OUT))+IF(((1000)-(c_TMAP3OUT))&gt;=0,1,-1)*QUOTIENT(((1000)-(c_TMAP3IN)),2))+2147483648,4294967296)-2147483648,((1000)-(c_TMAP3IN))*(((C139)-(c_TMAP3IN))*((1000)-(c_TMAP3OUT))+IF(((1000)-(c_TMAP3OUT))&gt;=0,1,-1)*QUOTIENT(((1000)-(c_TMAP3IN)),2)))&lt;0,-1,0),IF(IF(o_WRAP=1,MOD(((1000)-(c_TMAP3IN))*(((C139)-(c_TMAP3IN))*((1000)-(c_TMAP3OUT))+IF(((1000)-(c_TMAP3OUT))&gt;=0,1,-1)*QUOTIENT(((1000)-(c_TMAP3IN)),2))+2147483648,4294967296)-2147483648,((1000)-(c_TMAP3IN))*(((C139)-(c_TMAP3IN))*((1000)-(c_TMAP3OUT))+IF(((1000)-(c_TMAP3OUT))&gt;=0,1,-1)*QUOTIENT(((1000)-(c_TMAP3IN)),2)))&gt;=0,1,0)))</f>
        <v>-231</v>
      </c>
      <c r="I139" s="7" t="n">
        <f aca="false">IF(C139&gt;=c_TFWD,IF(AND(C139&gt;=c_TMAP3IN,c_TMAP3IN&lt;1000),H139,IF(AND(C139&gt;=c_TMAP2IN,c_TMAP3IN&gt;c_TMAP2IN),G139,IF(AND(C139&gt;=c_TMAP1IN,c_TMAP2IN&gt;c_TMAP1IN),F139,E139))),D139)</f>
        <v>-350</v>
      </c>
      <c r="J139" s="7" t="str">
        <f aca="false">IF(I139&lt;-1090,"TOO LOW",IF(I139&gt;1090,"TOO HIGH",""))</f>
        <v/>
      </c>
      <c r="K139" s="7" t="n">
        <f aca="false">IF(J139&lt;&gt;"",0,IF(I139&gt;979,1000,I139))</f>
        <v>-350</v>
      </c>
      <c r="L139" s="7" t="n">
        <f aca="false">IF(OR(c_TSMOOTH=0,K139&gt;=c_TSMOOTHCUT),1,0)</f>
        <v>0</v>
      </c>
      <c r="M139" s="7" t="n">
        <f aca="false">IF(L139=1,0,M138+1)</f>
        <v>53</v>
      </c>
      <c r="N139" s="7" t="n">
        <f aca="false">IF(L139=1,0,MIN(M139,c_TSMOOTH))</f>
        <v>30</v>
      </c>
      <c r="O139" s="7" t="n">
        <f aca="false">IF(COUNTIF($L$5:L139,1)&gt;0,c_TSMOOTHCUT,0)</f>
        <v>400</v>
      </c>
      <c r="P139" s="15" t="n">
        <f aca="true">IF(L139=1,K139,QUOTIENT(SUM(OFFSET(K139,1-N139,0,N139,1))+(c_TSMOOTH-N139)*O139,c_TSMOOTH))</f>
        <v>-350</v>
      </c>
      <c r="Q139" s="7" t="n">
        <f aca="false">K139/10</f>
        <v>-35</v>
      </c>
      <c r="R139" s="7" t="n">
        <f aca="false">P139/10</f>
        <v>-35</v>
      </c>
    </row>
    <row r="140" customFormat="false" ht="15" hidden="false" customHeight="false" outlineLevel="0" collapsed="false">
      <c r="A140" s="7" t="n">
        <v>135</v>
      </c>
      <c r="B140" s="7" t="n">
        <f aca="false">A140*0.04</f>
        <v>5.4</v>
      </c>
      <c r="C140" s="18" t="n">
        <v>0</v>
      </c>
      <c r="D140" s="7" t="n">
        <f aca="false">IF(AND(C140=0,c_TCREEP&gt;0),10*c_TCREEP,IF(AND(C140&lt;=c_TRNGMIN,C140&gt;=c_TRNGMAX,c_TRNGMIN-c_TRNGMAX&lt;&gt;0),-10*c_TMINRN+QUOTIENT((c_TMAXRN-c_TMINRN)*(100-QUOTIENT((C140-c_TRNGMAX)*100,c_TRNGMIN-c_TRNGMAX)),-10),0))</f>
        <v>-350</v>
      </c>
      <c r="E140" s="7" t="n">
        <f aca="false">IF(((c_TMAP1IN)-(c_TFWD))=0,(0)+QUOTIENT(((c_TMAP1OUT)-(0)),2),QUOTIENT((((C140)-(c_TFWD))*((c_TMAP1OUT)-(0))+IF(((c_TMAP1OUT)-(0))&gt;=0,1,-1)*QUOTIENT(((c_TMAP1IN)-(c_TFWD)),2)),((c_TMAP1IN)-(c_TFWD)))+(0)+IF(((c_TMAP1OUT)-(0))&gt;=0,IF(IF(o_WRAP=1,MOD(((c_TMAP1IN)-(c_TFWD))*(((C140)-(c_TFWD))*((c_TMAP1OUT)-(0))+IF(((c_TMAP1OUT)-(0))&gt;=0,1,-1)*QUOTIENT(((c_TMAP1IN)-(c_TFWD)),2))+2147483648,4294967296)-2147483648,((c_TMAP1IN)-(c_TFWD))*(((C140)-(c_TFWD))*((c_TMAP1OUT)-(0))+IF(((c_TMAP1OUT)-(0))&gt;=0,1,-1)*QUOTIENT(((c_TMAP1IN)-(c_TFWD)),2)))&lt;0,-1,0),IF(IF(o_WRAP=1,MOD(((c_TMAP1IN)-(c_TFWD))*(((C140)-(c_TFWD))*((c_TMAP1OUT)-(0))+IF(((c_TMAP1OUT)-(0))&gt;=0,1,-1)*QUOTIENT(((c_TMAP1IN)-(c_TFWD)),2))+2147483648,4294967296)-2147483648,((c_TMAP1IN)-(c_TFWD))*(((C140)-(c_TFWD))*((c_TMAP1OUT)-(0))+IF(((c_TMAP1OUT)-(0))&gt;=0,1,-1)*QUOTIENT(((c_TMAP1IN)-(c_TFWD)),2)))&gt;=0,1,0)))</f>
        <v>-8</v>
      </c>
      <c r="F140" s="7" t="n">
        <f aca="false">IF(((c_TMAP2IN)-(c_TMAP1IN))=0,(c_TMAP1OUT)+QUOTIENT(((c_TMAP2OUT)-(c_TMAP1OUT)),2),QUOTIENT((((C140)-(c_TMAP1IN))*((c_TMAP2OUT)-(c_TMAP1OUT))+IF(((c_TMAP2OUT)-(c_TMAP1OUT))&gt;=0,1,-1)*QUOTIENT(((c_TMAP2IN)-(c_TMAP1IN)),2)),((c_TMAP2IN)-(c_TMAP1IN)))+(c_TMAP1OUT)+IF(((c_TMAP2OUT)-(c_TMAP1OUT))&gt;=0,IF(IF(o_WRAP=1,MOD(((c_TMAP2IN)-(c_TMAP1IN))*(((C140)-(c_TMAP1IN))*((c_TMAP2OUT)-(c_TMAP1OUT))+IF(((c_TMAP2OUT)-(c_TMAP1OUT))&gt;=0,1,-1)*QUOTIENT(((c_TMAP2IN)-(c_TMAP1IN)),2))+2147483648,4294967296)-2147483648,((c_TMAP2IN)-(c_TMAP1IN))*(((C140)-(c_TMAP1IN))*((c_TMAP2OUT)-(c_TMAP1OUT))+IF(((c_TMAP2OUT)-(c_TMAP1OUT))&gt;=0,1,-1)*QUOTIENT(((c_TMAP2IN)-(c_TMAP1IN)),2)))&lt;0,-1,0),IF(IF(o_WRAP=1,MOD(((c_TMAP2IN)-(c_TMAP1IN))*(((C140)-(c_TMAP1IN))*((c_TMAP2OUT)-(c_TMAP1OUT))+IF(((c_TMAP2OUT)-(c_TMAP1OUT))&gt;=0,1,-1)*QUOTIENT(((c_TMAP2IN)-(c_TMAP1IN)),2))+2147483648,4294967296)-2147483648,((c_TMAP2IN)-(c_TMAP1IN))*(((C140)-(c_TMAP1IN))*((c_TMAP2OUT)-(c_TMAP1OUT))+IF(((c_TMAP2OUT)-(c_TMAP1OUT))&gt;=0,1,-1)*QUOTIENT(((c_TMAP2IN)-(c_TMAP1IN)),2)))&gt;=0,1,0)))</f>
        <v>30</v>
      </c>
      <c r="G140" s="7" t="n">
        <f aca="false">IF(((c_TMAP3IN)-(c_TMAP2IN))=0,(c_TMAP2OUT)+QUOTIENT(((c_TMAP3OUT)-(c_TMAP2OUT)),2),QUOTIENT((((C140)-(c_TMAP2IN))*((c_TMAP3OUT)-(c_TMAP2OUT))+IF(((c_TMAP3OUT)-(c_TMAP2OUT))&gt;=0,1,-1)*QUOTIENT(((c_TMAP3IN)-(c_TMAP2IN)),2)),((c_TMAP3IN)-(c_TMAP2IN)))+(c_TMAP2OUT)+IF(((c_TMAP3OUT)-(c_TMAP2OUT))&gt;=0,IF(IF(o_WRAP=1,MOD(((c_TMAP3IN)-(c_TMAP2IN))*(((C140)-(c_TMAP2IN))*((c_TMAP3OUT)-(c_TMAP2OUT))+IF(((c_TMAP3OUT)-(c_TMAP2OUT))&gt;=0,1,-1)*QUOTIENT(((c_TMAP3IN)-(c_TMAP2IN)),2))+2147483648,4294967296)-2147483648,((c_TMAP3IN)-(c_TMAP2IN))*(((C140)-(c_TMAP2IN))*((c_TMAP3OUT)-(c_TMAP2OUT))+IF(((c_TMAP3OUT)-(c_TMAP2OUT))&gt;=0,1,-1)*QUOTIENT(((c_TMAP3IN)-(c_TMAP2IN)),2)))&lt;0,-1,0),IF(IF(o_WRAP=1,MOD(((c_TMAP3IN)-(c_TMAP2IN))*(((C140)-(c_TMAP2IN))*((c_TMAP3OUT)-(c_TMAP2OUT))+IF(((c_TMAP3OUT)-(c_TMAP2OUT))&gt;=0,1,-1)*QUOTIENT(((c_TMAP3IN)-(c_TMAP2IN)),2))+2147483648,4294967296)-2147483648,((c_TMAP3IN)-(c_TMAP2IN))*(((C140)-(c_TMAP2IN))*((c_TMAP3OUT)-(c_TMAP2OUT))+IF(((c_TMAP3OUT)-(c_TMAP2OUT))&gt;=0,1,-1)*QUOTIENT(((c_TMAP3IN)-(c_TMAP2IN)),2)))&gt;=0,1,0)))</f>
        <v>-45</v>
      </c>
      <c r="H140" s="7" t="n">
        <f aca="false">IF(((1000)-(c_TMAP3IN))=0,(c_TMAP3OUT)+QUOTIENT(((1000)-(c_TMAP3OUT)),2),QUOTIENT((((C140)-(c_TMAP3IN))*((1000)-(c_TMAP3OUT))+IF(((1000)-(c_TMAP3OUT))&gt;=0,1,-1)*QUOTIENT(((1000)-(c_TMAP3IN)),2)),((1000)-(c_TMAP3IN)))+(c_TMAP3OUT)+IF(((1000)-(c_TMAP3OUT))&gt;=0,IF(IF(o_WRAP=1,MOD(((1000)-(c_TMAP3IN))*(((C140)-(c_TMAP3IN))*((1000)-(c_TMAP3OUT))+IF(((1000)-(c_TMAP3OUT))&gt;=0,1,-1)*QUOTIENT(((1000)-(c_TMAP3IN)),2))+2147483648,4294967296)-2147483648,((1000)-(c_TMAP3IN))*(((C140)-(c_TMAP3IN))*((1000)-(c_TMAP3OUT))+IF(((1000)-(c_TMAP3OUT))&gt;=0,1,-1)*QUOTIENT(((1000)-(c_TMAP3IN)),2)))&lt;0,-1,0),IF(IF(o_WRAP=1,MOD(((1000)-(c_TMAP3IN))*(((C140)-(c_TMAP3IN))*((1000)-(c_TMAP3OUT))+IF(((1000)-(c_TMAP3OUT))&gt;=0,1,-1)*QUOTIENT(((1000)-(c_TMAP3IN)),2))+2147483648,4294967296)-2147483648,((1000)-(c_TMAP3IN))*(((C140)-(c_TMAP3IN))*((1000)-(c_TMAP3OUT))+IF(((1000)-(c_TMAP3OUT))&gt;=0,1,-1)*QUOTIENT(((1000)-(c_TMAP3IN)),2)))&gt;=0,1,0)))</f>
        <v>-231</v>
      </c>
      <c r="I140" s="7" t="n">
        <f aca="false">IF(C140&gt;=c_TFWD,IF(AND(C140&gt;=c_TMAP3IN,c_TMAP3IN&lt;1000),H140,IF(AND(C140&gt;=c_TMAP2IN,c_TMAP3IN&gt;c_TMAP2IN),G140,IF(AND(C140&gt;=c_TMAP1IN,c_TMAP2IN&gt;c_TMAP1IN),F140,E140))),D140)</f>
        <v>-350</v>
      </c>
      <c r="J140" s="7" t="str">
        <f aca="false">IF(I140&lt;-1090,"TOO LOW",IF(I140&gt;1090,"TOO HIGH",""))</f>
        <v/>
      </c>
      <c r="K140" s="7" t="n">
        <f aca="false">IF(J140&lt;&gt;"",0,IF(I140&gt;979,1000,I140))</f>
        <v>-350</v>
      </c>
      <c r="L140" s="7" t="n">
        <f aca="false">IF(OR(c_TSMOOTH=0,K140&gt;=c_TSMOOTHCUT),1,0)</f>
        <v>0</v>
      </c>
      <c r="M140" s="7" t="n">
        <f aca="false">IF(L140=1,0,M139+1)</f>
        <v>54</v>
      </c>
      <c r="N140" s="7" t="n">
        <f aca="false">IF(L140=1,0,MIN(M140,c_TSMOOTH))</f>
        <v>30</v>
      </c>
      <c r="O140" s="7" t="n">
        <f aca="false">IF(COUNTIF($L$5:L140,1)&gt;0,c_TSMOOTHCUT,0)</f>
        <v>400</v>
      </c>
      <c r="P140" s="15" t="n">
        <f aca="true">IF(L140=1,K140,QUOTIENT(SUM(OFFSET(K140,1-N140,0,N140,1))+(c_TSMOOTH-N140)*O140,c_TSMOOTH))</f>
        <v>-350</v>
      </c>
      <c r="Q140" s="7" t="n">
        <f aca="false">K140/10</f>
        <v>-35</v>
      </c>
      <c r="R140" s="7" t="n">
        <f aca="false">P140/10</f>
        <v>-35</v>
      </c>
    </row>
    <row r="141" customFormat="false" ht="15" hidden="false" customHeight="false" outlineLevel="0" collapsed="false">
      <c r="A141" s="7" t="n">
        <v>136</v>
      </c>
      <c r="B141" s="7" t="n">
        <f aca="false">A141*0.04</f>
        <v>5.44</v>
      </c>
      <c r="C141" s="18" t="n">
        <v>0</v>
      </c>
      <c r="D141" s="7" t="n">
        <f aca="false">IF(AND(C141=0,c_TCREEP&gt;0),10*c_TCREEP,IF(AND(C141&lt;=c_TRNGMIN,C141&gt;=c_TRNGMAX,c_TRNGMIN-c_TRNGMAX&lt;&gt;0),-10*c_TMINRN+QUOTIENT((c_TMAXRN-c_TMINRN)*(100-QUOTIENT((C141-c_TRNGMAX)*100,c_TRNGMIN-c_TRNGMAX)),-10),0))</f>
        <v>-350</v>
      </c>
      <c r="E141" s="7" t="n">
        <f aca="false">IF(((c_TMAP1IN)-(c_TFWD))=0,(0)+QUOTIENT(((c_TMAP1OUT)-(0)),2),QUOTIENT((((C141)-(c_TFWD))*((c_TMAP1OUT)-(0))+IF(((c_TMAP1OUT)-(0))&gt;=0,1,-1)*QUOTIENT(((c_TMAP1IN)-(c_TFWD)),2)),((c_TMAP1IN)-(c_TFWD)))+(0)+IF(((c_TMAP1OUT)-(0))&gt;=0,IF(IF(o_WRAP=1,MOD(((c_TMAP1IN)-(c_TFWD))*(((C141)-(c_TFWD))*((c_TMAP1OUT)-(0))+IF(((c_TMAP1OUT)-(0))&gt;=0,1,-1)*QUOTIENT(((c_TMAP1IN)-(c_TFWD)),2))+2147483648,4294967296)-2147483648,((c_TMAP1IN)-(c_TFWD))*(((C141)-(c_TFWD))*((c_TMAP1OUT)-(0))+IF(((c_TMAP1OUT)-(0))&gt;=0,1,-1)*QUOTIENT(((c_TMAP1IN)-(c_TFWD)),2)))&lt;0,-1,0),IF(IF(o_WRAP=1,MOD(((c_TMAP1IN)-(c_TFWD))*(((C141)-(c_TFWD))*((c_TMAP1OUT)-(0))+IF(((c_TMAP1OUT)-(0))&gt;=0,1,-1)*QUOTIENT(((c_TMAP1IN)-(c_TFWD)),2))+2147483648,4294967296)-2147483648,((c_TMAP1IN)-(c_TFWD))*(((C141)-(c_TFWD))*((c_TMAP1OUT)-(0))+IF(((c_TMAP1OUT)-(0))&gt;=0,1,-1)*QUOTIENT(((c_TMAP1IN)-(c_TFWD)),2)))&gt;=0,1,0)))</f>
        <v>-8</v>
      </c>
      <c r="F141" s="7" t="n">
        <f aca="false">IF(((c_TMAP2IN)-(c_TMAP1IN))=0,(c_TMAP1OUT)+QUOTIENT(((c_TMAP2OUT)-(c_TMAP1OUT)),2),QUOTIENT((((C141)-(c_TMAP1IN))*((c_TMAP2OUT)-(c_TMAP1OUT))+IF(((c_TMAP2OUT)-(c_TMAP1OUT))&gt;=0,1,-1)*QUOTIENT(((c_TMAP2IN)-(c_TMAP1IN)),2)),((c_TMAP2IN)-(c_TMAP1IN)))+(c_TMAP1OUT)+IF(((c_TMAP2OUT)-(c_TMAP1OUT))&gt;=0,IF(IF(o_WRAP=1,MOD(((c_TMAP2IN)-(c_TMAP1IN))*(((C141)-(c_TMAP1IN))*((c_TMAP2OUT)-(c_TMAP1OUT))+IF(((c_TMAP2OUT)-(c_TMAP1OUT))&gt;=0,1,-1)*QUOTIENT(((c_TMAP2IN)-(c_TMAP1IN)),2))+2147483648,4294967296)-2147483648,((c_TMAP2IN)-(c_TMAP1IN))*(((C141)-(c_TMAP1IN))*((c_TMAP2OUT)-(c_TMAP1OUT))+IF(((c_TMAP2OUT)-(c_TMAP1OUT))&gt;=0,1,-1)*QUOTIENT(((c_TMAP2IN)-(c_TMAP1IN)),2)))&lt;0,-1,0),IF(IF(o_WRAP=1,MOD(((c_TMAP2IN)-(c_TMAP1IN))*(((C141)-(c_TMAP1IN))*((c_TMAP2OUT)-(c_TMAP1OUT))+IF(((c_TMAP2OUT)-(c_TMAP1OUT))&gt;=0,1,-1)*QUOTIENT(((c_TMAP2IN)-(c_TMAP1IN)),2))+2147483648,4294967296)-2147483648,((c_TMAP2IN)-(c_TMAP1IN))*(((C141)-(c_TMAP1IN))*((c_TMAP2OUT)-(c_TMAP1OUT))+IF(((c_TMAP2OUT)-(c_TMAP1OUT))&gt;=0,1,-1)*QUOTIENT(((c_TMAP2IN)-(c_TMAP1IN)),2)))&gt;=0,1,0)))</f>
        <v>30</v>
      </c>
      <c r="G141" s="7" t="n">
        <f aca="false">IF(((c_TMAP3IN)-(c_TMAP2IN))=0,(c_TMAP2OUT)+QUOTIENT(((c_TMAP3OUT)-(c_TMAP2OUT)),2),QUOTIENT((((C141)-(c_TMAP2IN))*((c_TMAP3OUT)-(c_TMAP2OUT))+IF(((c_TMAP3OUT)-(c_TMAP2OUT))&gt;=0,1,-1)*QUOTIENT(((c_TMAP3IN)-(c_TMAP2IN)),2)),((c_TMAP3IN)-(c_TMAP2IN)))+(c_TMAP2OUT)+IF(((c_TMAP3OUT)-(c_TMAP2OUT))&gt;=0,IF(IF(o_WRAP=1,MOD(((c_TMAP3IN)-(c_TMAP2IN))*(((C141)-(c_TMAP2IN))*((c_TMAP3OUT)-(c_TMAP2OUT))+IF(((c_TMAP3OUT)-(c_TMAP2OUT))&gt;=0,1,-1)*QUOTIENT(((c_TMAP3IN)-(c_TMAP2IN)),2))+2147483648,4294967296)-2147483648,((c_TMAP3IN)-(c_TMAP2IN))*(((C141)-(c_TMAP2IN))*((c_TMAP3OUT)-(c_TMAP2OUT))+IF(((c_TMAP3OUT)-(c_TMAP2OUT))&gt;=0,1,-1)*QUOTIENT(((c_TMAP3IN)-(c_TMAP2IN)),2)))&lt;0,-1,0),IF(IF(o_WRAP=1,MOD(((c_TMAP3IN)-(c_TMAP2IN))*(((C141)-(c_TMAP2IN))*((c_TMAP3OUT)-(c_TMAP2OUT))+IF(((c_TMAP3OUT)-(c_TMAP2OUT))&gt;=0,1,-1)*QUOTIENT(((c_TMAP3IN)-(c_TMAP2IN)),2))+2147483648,4294967296)-2147483648,((c_TMAP3IN)-(c_TMAP2IN))*(((C141)-(c_TMAP2IN))*((c_TMAP3OUT)-(c_TMAP2OUT))+IF(((c_TMAP3OUT)-(c_TMAP2OUT))&gt;=0,1,-1)*QUOTIENT(((c_TMAP3IN)-(c_TMAP2IN)),2)))&gt;=0,1,0)))</f>
        <v>-45</v>
      </c>
      <c r="H141" s="7" t="n">
        <f aca="false">IF(((1000)-(c_TMAP3IN))=0,(c_TMAP3OUT)+QUOTIENT(((1000)-(c_TMAP3OUT)),2),QUOTIENT((((C141)-(c_TMAP3IN))*((1000)-(c_TMAP3OUT))+IF(((1000)-(c_TMAP3OUT))&gt;=0,1,-1)*QUOTIENT(((1000)-(c_TMAP3IN)),2)),((1000)-(c_TMAP3IN)))+(c_TMAP3OUT)+IF(((1000)-(c_TMAP3OUT))&gt;=0,IF(IF(o_WRAP=1,MOD(((1000)-(c_TMAP3IN))*(((C141)-(c_TMAP3IN))*((1000)-(c_TMAP3OUT))+IF(((1000)-(c_TMAP3OUT))&gt;=0,1,-1)*QUOTIENT(((1000)-(c_TMAP3IN)),2))+2147483648,4294967296)-2147483648,((1000)-(c_TMAP3IN))*(((C141)-(c_TMAP3IN))*((1000)-(c_TMAP3OUT))+IF(((1000)-(c_TMAP3OUT))&gt;=0,1,-1)*QUOTIENT(((1000)-(c_TMAP3IN)),2)))&lt;0,-1,0),IF(IF(o_WRAP=1,MOD(((1000)-(c_TMAP3IN))*(((C141)-(c_TMAP3IN))*((1000)-(c_TMAP3OUT))+IF(((1000)-(c_TMAP3OUT))&gt;=0,1,-1)*QUOTIENT(((1000)-(c_TMAP3IN)),2))+2147483648,4294967296)-2147483648,((1000)-(c_TMAP3IN))*(((C141)-(c_TMAP3IN))*((1000)-(c_TMAP3OUT))+IF(((1000)-(c_TMAP3OUT))&gt;=0,1,-1)*QUOTIENT(((1000)-(c_TMAP3IN)),2)))&gt;=0,1,0)))</f>
        <v>-231</v>
      </c>
      <c r="I141" s="7" t="n">
        <f aca="false">IF(C141&gt;=c_TFWD,IF(AND(C141&gt;=c_TMAP3IN,c_TMAP3IN&lt;1000),H141,IF(AND(C141&gt;=c_TMAP2IN,c_TMAP3IN&gt;c_TMAP2IN),G141,IF(AND(C141&gt;=c_TMAP1IN,c_TMAP2IN&gt;c_TMAP1IN),F141,E141))),D141)</f>
        <v>-350</v>
      </c>
      <c r="J141" s="7" t="str">
        <f aca="false">IF(I141&lt;-1090,"TOO LOW",IF(I141&gt;1090,"TOO HIGH",""))</f>
        <v/>
      </c>
      <c r="K141" s="7" t="n">
        <f aca="false">IF(J141&lt;&gt;"",0,IF(I141&gt;979,1000,I141))</f>
        <v>-350</v>
      </c>
      <c r="L141" s="7" t="n">
        <f aca="false">IF(OR(c_TSMOOTH=0,K141&gt;=c_TSMOOTHCUT),1,0)</f>
        <v>0</v>
      </c>
      <c r="M141" s="7" t="n">
        <f aca="false">IF(L141=1,0,M140+1)</f>
        <v>55</v>
      </c>
      <c r="N141" s="7" t="n">
        <f aca="false">IF(L141=1,0,MIN(M141,c_TSMOOTH))</f>
        <v>30</v>
      </c>
      <c r="O141" s="7" t="n">
        <f aca="false">IF(COUNTIF($L$5:L141,1)&gt;0,c_TSMOOTHCUT,0)</f>
        <v>400</v>
      </c>
      <c r="P141" s="15" t="n">
        <f aca="true">IF(L141=1,K141,QUOTIENT(SUM(OFFSET(K141,1-N141,0,N141,1))+(c_TSMOOTH-N141)*O141,c_TSMOOTH))</f>
        <v>-350</v>
      </c>
      <c r="Q141" s="7" t="n">
        <f aca="false">K141/10</f>
        <v>-35</v>
      </c>
      <c r="R141" s="7" t="n">
        <f aca="false">P141/10</f>
        <v>-35</v>
      </c>
    </row>
    <row r="142" customFormat="false" ht="15" hidden="false" customHeight="false" outlineLevel="0" collapsed="false">
      <c r="A142" s="7" t="n">
        <v>137</v>
      </c>
      <c r="B142" s="7" t="n">
        <f aca="false">A142*0.04</f>
        <v>5.48</v>
      </c>
      <c r="C142" s="18" t="n">
        <v>0</v>
      </c>
      <c r="D142" s="7" t="n">
        <f aca="false">IF(AND(C142=0,c_TCREEP&gt;0),10*c_TCREEP,IF(AND(C142&lt;=c_TRNGMIN,C142&gt;=c_TRNGMAX,c_TRNGMIN-c_TRNGMAX&lt;&gt;0),-10*c_TMINRN+QUOTIENT((c_TMAXRN-c_TMINRN)*(100-QUOTIENT((C142-c_TRNGMAX)*100,c_TRNGMIN-c_TRNGMAX)),-10),0))</f>
        <v>-350</v>
      </c>
      <c r="E142" s="7" t="n">
        <f aca="false">IF(((c_TMAP1IN)-(c_TFWD))=0,(0)+QUOTIENT(((c_TMAP1OUT)-(0)),2),QUOTIENT((((C142)-(c_TFWD))*((c_TMAP1OUT)-(0))+IF(((c_TMAP1OUT)-(0))&gt;=0,1,-1)*QUOTIENT(((c_TMAP1IN)-(c_TFWD)),2)),((c_TMAP1IN)-(c_TFWD)))+(0)+IF(((c_TMAP1OUT)-(0))&gt;=0,IF(IF(o_WRAP=1,MOD(((c_TMAP1IN)-(c_TFWD))*(((C142)-(c_TFWD))*((c_TMAP1OUT)-(0))+IF(((c_TMAP1OUT)-(0))&gt;=0,1,-1)*QUOTIENT(((c_TMAP1IN)-(c_TFWD)),2))+2147483648,4294967296)-2147483648,((c_TMAP1IN)-(c_TFWD))*(((C142)-(c_TFWD))*((c_TMAP1OUT)-(0))+IF(((c_TMAP1OUT)-(0))&gt;=0,1,-1)*QUOTIENT(((c_TMAP1IN)-(c_TFWD)),2)))&lt;0,-1,0),IF(IF(o_WRAP=1,MOD(((c_TMAP1IN)-(c_TFWD))*(((C142)-(c_TFWD))*((c_TMAP1OUT)-(0))+IF(((c_TMAP1OUT)-(0))&gt;=0,1,-1)*QUOTIENT(((c_TMAP1IN)-(c_TFWD)),2))+2147483648,4294967296)-2147483648,((c_TMAP1IN)-(c_TFWD))*(((C142)-(c_TFWD))*((c_TMAP1OUT)-(0))+IF(((c_TMAP1OUT)-(0))&gt;=0,1,-1)*QUOTIENT(((c_TMAP1IN)-(c_TFWD)),2)))&gt;=0,1,0)))</f>
        <v>-8</v>
      </c>
      <c r="F142" s="7" t="n">
        <f aca="false">IF(((c_TMAP2IN)-(c_TMAP1IN))=0,(c_TMAP1OUT)+QUOTIENT(((c_TMAP2OUT)-(c_TMAP1OUT)),2),QUOTIENT((((C142)-(c_TMAP1IN))*((c_TMAP2OUT)-(c_TMAP1OUT))+IF(((c_TMAP2OUT)-(c_TMAP1OUT))&gt;=0,1,-1)*QUOTIENT(((c_TMAP2IN)-(c_TMAP1IN)),2)),((c_TMAP2IN)-(c_TMAP1IN)))+(c_TMAP1OUT)+IF(((c_TMAP2OUT)-(c_TMAP1OUT))&gt;=0,IF(IF(o_WRAP=1,MOD(((c_TMAP2IN)-(c_TMAP1IN))*(((C142)-(c_TMAP1IN))*((c_TMAP2OUT)-(c_TMAP1OUT))+IF(((c_TMAP2OUT)-(c_TMAP1OUT))&gt;=0,1,-1)*QUOTIENT(((c_TMAP2IN)-(c_TMAP1IN)),2))+2147483648,4294967296)-2147483648,((c_TMAP2IN)-(c_TMAP1IN))*(((C142)-(c_TMAP1IN))*((c_TMAP2OUT)-(c_TMAP1OUT))+IF(((c_TMAP2OUT)-(c_TMAP1OUT))&gt;=0,1,-1)*QUOTIENT(((c_TMAP2IN)-(c_TMAP1IN)),2)))&lt;0,-1,0),IF(IF(o_WRAP=1,MOD(((c_TMAP2IN)-(c_TMAP1IN))*(((C142)-(c_TMAP1IN))*((c_TMAP2OUT)-(c_TMAP1OUT))+IF(((c_TMAP2OUT)-(c_TMAP1OUT))&gt;=0,1,-1)*QUOTIENT(((c_TMAP2IN)-(c_TMAP1IN)),2))+2147483648,4294967296)-2147483648,((c_TMAP2IN)-(c_TMAP1IN))*(((C142)-(c_TMAP1IN))*((c_TMAP2OUT)-(c_TMAP1OUT))+IF(((c_TMAP2OUT)-(c_TMAP1OUT))&gt;=0,1,-1)*QUOTIENT(((c_TMAP2IN)-(c_TMAP1IN)),2)))&gt;=0,1,0)))</f>
        <v>30</v>
      </c>
      <c r="G142" s="7" t="n">
        <f aca="false">IF(((c_TMAP3IN)-(c_TMAP2IN))=0,(c_TMAP2OUT)+QUOTIENT(((c_TMAP3OUT)-(c_TMAP2OUT)),2),QUOTIENT((((C142)-(c_TMAP2IN))*((c_TMAP3OUT)-(c_TMAP2OUT))+IF(((c_TMAP3OUT)-(c_TMAP2OUT))&gt;=0,1,-1)*QUOTIENT(((c_TMAP3IN)-(c_TMAP2IN)),2)),((c_TMAP3IN)-(c_TMAP2IN)))+(c_TMAP2OUT)+IF(((c_TMAP3OUT)-(c_TMAP2OUT))&gt;=0,IF(IF(o_WRAP=1,MOD(((c_TMAP3IN)-(c_TMAP2IN))*(((C142)-(c_TMAP2IN))*((c_TMAP3OUT)-(c_TMAP2OUT))+IF(((c_TMAP3OUT)-(c_TMAP2OUT))&gt;=0,1,-1)*QUOTIENT(((c_TMAP3IN)-(c_TMAP2IN)),2))+2147483648,4294967296)-2147483648,((c_TMAP3IN)-(c_TMAP2IN))*(((C142)-(c_TMAP2IN))*((c_TMAP3OUT)-(c_TMAP2OUT))+IF(((c_TMAP3OUT)-(c_TMAP2OUT))&gt;=0,1,-1)*QUOTIENT(((c_TMAP3IN)-(c_TMAP2IN)),2)))&lt;0,-1,0),IF(IF(o_WRAP=1,MOD(((c_TMAP3IN)-(c_TMAP2IN))*(((C142)-(c_TMAP2IN))*((c_TMAP3OUT)-(c_TMAP2OUT))+IF(((c_TMAP3OUT)-(c_TMAP2OUT))&gt;=0,1,-1)*QUOTIENT(((c_TMAP3IN)-(c_TMAP2IN)),2))+2147483648,4294967296)-2147483648,((c_TMAP3IN)-(c_TMAP2IN))*(((C142)-(c_TMAP2IN))*((c_TMAP3OUT)-(c_TMAP2OUT))+IF(((c_TMAP3OUT)-(c_TMAP2OUT))&gt;=0,1,-1)*QUOTIENT(((c_TMAP3IN)-(c_TMAP2IN)),2)))&gt;=0,1,0)))</f>
        <v>-45</v>
      </c>
      <c r="H142" s="7" t="n">
        <f aca="false">IF(((1000)-(c_TMAP3IN))=0,(c_TMAP3OUT)+QUOTIENT(((1000)-(c_TMAP3OUT)),2),QUOTIENT((((C142)-(c_TMAP3IN))*((1000)-(c_TMAP3OUT))+IF(((1000)-(c_TMAP3OUT))&gt;=0,1,-1)*QUOTIENT(((1000)-(c_TMAP3IN)),2)),((1000)-(c_TMAP3IN)))+(c_TMAP3OUT)+IF(((1000)-(c_TMAP3OUT))&gt;=0,IF(IF(o_WRAP=1,MOD(((1000)-(c_TMAP3IN))*(((C142)-(c_TMAP3IN))*((1000)-(c_TMAP3OUT))+IF(((1000)-(c_TMAP3OUT))&gt;=0,1,-1)*QUOTIENT(((1000)-(c_TMAP3IN)),2))+2147483648,4294967296)-2147483648,((1000)-(c_TMAP3IN))*(((C142)-(c_TMAP3IN))*((1000)-(c_TMAP3OUT))+IF(((1000)-(c_TMAP3OUT))&gt;=0,1,-1)*QUOTIENT(((1000)-(c_TMAP3IN)),2)))&lt;0,-1,0),IF(IF(o_WRAP=1,MOD(((1000)-(c_TMAP3IN))*(((C142)-(c_TMAP3IN))*((1000)-(c_TMAP3OUT))+IF(((1000)-(c_TMAP3OUT))&gt;=0,1,-1)*QUOTIENT(((1000)-(c_TMAP3IN)),2))+2147483648,4294967296)-2147483648,((1000)-(c_TMAP3IN))*(((C142)-(c_TMAP3IN))*((1000)-(c_TMAP3OUT))+IF(((1000)-(c_TMAP3OUT))&gt;=0,1,-1)*QUOTIENT(((1000)-(c_TMAP3IN)),2)))&gt;=0,1,0)))</f>
        <v>-231</v>
      </c>
      <c r="I142" s="7" t="n">
        <f aca="false">IF(C142&gt;=c_TFWD,IF(AND(C142&gt;=c_TMAP3IN,c_TMAP3IN&lt;1000),H142,IF(AND(C142&gt;=c_TMAP2IN,c_TMAP3IN&gt;c_TMAP2IN),G142,IF(AND(C142&gt;=c_TMAP1IN,c_TMAP2IN&gt;c_TMAP1IN),F142,E142))),D142)</f>
        <v>-350</v>
      </c>
      <c r="J142" s="7" t="str">
        <f aca="false">IF(I142&lt;-1090,"TOO LOW",IF(I142&gt;1090,"TOO HIGH",""))</f>
        <v/>
      </c>
      <c r="K142" s="7" t="n">
        <f aca="false">IF(J142&lt;&gt;"",0,IF(I142&gt;979,1000,I142))</f>
        <v>-350</v>
      </c>
      <c r="L142" s="7" t="n">
        <f aca="false">IF(OR(c_TSMOOTH=0,K142&gt;=c_TSMOOTHCUT),1,0)</f>
        <v>0</v>
      </c>
      <c r="M142" s="7" t="n">
        <f aca="false">IF(L142=1,0,M141+1)</f>
        <v>56</v>
      </c>
      <c r="N142" s="7" t="n">
        <f aca="false">IF(L142=1,0,MIN(M142,c_TSMOOTH))</f>
        <v>30</v>
      </c>
      <c r="O142" s="7" t="n">
        <f aca="false">IF(COUNTIF($L$5:L142,1)&gt;0,c_TSMOOTHCUT,0)</f>
        <v>400</v>
      </c>
      <c r="P142" s="15" t="n">
        <f aca="true">IF(L142=1,K142,QUOTIENT(SUM(OFFSET(K142,1-N142,0,N142,1))+(c_TSMOOTH-N142)*O142,c_TSMOOTH))</f>
        <v>-350</v>
      </c>
      <c r="Q142" s="7" t="n">
        <f aca="false">K142/10</f>
        <v>-35</v>
      </c>
      <c r="R142" s="7" t="n">
        <f aca="false">P142/10</f>
        <v>-35</v>
      </c>
    </row>
    <row r="143" customFormat="false" ht="15" hidden="false" customHeight="false" outlineLevel="0" collapsed="false">
      <c r="A143" s="7" t="n">
        <v>138</v>
      </c>
      <c r="B143" s="7" t="n">
        <f aca="false">A143*0.04</f>
        <v>5.52</v>
      </c>
      <c r="C143" s="18" t="n">
        <v>0</v>
      </c>
      <c r="D143" s="7" t="n">
        <f aca="false">IF(AND(C143=0,c_TCREEP&gt;0),10*c_TCREEP,IF(AND(C143&lt;=c_TRNGMIN,C143&gt;=c_TRNGMAX,c_TRNGMIN-c_TRNGMAX&lt;&gt;0),-10*c_TMINRN+QUOTIENT((c_TMAXRN-c_TMINRN)*(100-QUOTIENT((C143-c_TRNGMAX)*100,c_TRNGMIN-c_TRNGMAX)),-10),0))</f>
        <v>-350</v>
      </c>
      <c r="E143" s="7" t="n">
        <f aca="false">IF(((c_TMAP1IN)-(c_TFWD))=0,(0)+QUOTIENT(((c_TMAP1OUT)-(0)),2),QUOTIENT((((C143)-(c_TFWD))*((c_TMAP1OUT)-(0))+IF(((c_TMAP1OUT)-(0))&gt;=0,1,-1)*QUOTIENT(((c_TMAP1IN)-(c_TFWD)),2)),((c_TMAP1IN)-(c_TFWD)))+(0)+IF(((c_TMAP1OUT)-(0))&gt;=0,IF(IF(o_WRAP=1,MOD(((c_TMAP1IN)-(c_TFWD))*(((C143)-(c_TFWD))*((c_TMAP1OUT)-(0))+IF(((c_TMAP1OUT)-(0))&gt;=0,1,-1)*QUOTIENT(((c_TMAP1IN)-(c_TFWD)),2))+2147483648,4294967296)-2147483648,((c_TMAP1IN)-(c_TFWD))*(((C143)-(c_TFWD))*((c_TMAP1OUT)-(0))+IF(((c_TMAP1OUT)-(0))&gt;=0,1,-1)*QUOTIENT(((c_TMAP1IN)-(c_TFWD)),2)))&lt;0,-1,0),IF(IF(o_WRAP=1,MOD(((c_TMAP1IN)-(c_TFWD))*(((C143)-(c_TFWD))*((c_TMAP1OUT)-(0))+IF(((c_TMAP1OUT)-(0))&gt;=0,1,-1)*QUOTIENT(((c_TMAP1IN)-(c_TFWD)),2))+2147483648,4294967296)-2147483648,((c_TMAP1IN)-(c_TFWD))*(((C143)-(c_TFWD))*((c_TMAP1OUT)-(0))+IF(((c_TMAP1OUT)-(0))&gt;=0,1,-1)*QUOTIENT(((c_TMAP1IN)-(c_TFWD)),2)))&gt;=0,1,0)))</f>
        <v>-8</v>
      </c>
      <c r="F143" s="7" t="n">
        <f aca="false">IF(((c_TMAP2IN)-(c_TMAP1IN))=0,(c_TMAP1OUT)+QUOTIENT(((c_TMAP2OUT)-(c_TMAP1OUT)),2),QUOTIENT((((C143)-(c_TMAP1IN))*((c_TMAP2OUT)-(c_TMAP1OUT))+IF(((c_TMAP2OUT)-(c_TMAP1OUT))&gt;=0,1,-1)*QUOTIENT(((c_TMAP2IN)-(c_TMAP1IN)),2)),((c_TMAP2IN)-(c_TMAP1IN)))+(c_TMAP1OUT)+IF(((c_TMAP2OUT)-(c_TMAP1OUT))&gt;=0,IF(IF(o_WRAP=1,MOD(((c_TMAP2IN)-(c_TMAP1IN))*(((C143)-(c_TMAP1IN))*((c_TMAP2OUT)-(c_TMAP1OUT))+IF(((c_TMAP2OUT)-(c_TMAP1OUT))&gt;=0,1,-1)*QUOTIENT(((c_TMAP2IN)-(c_TMAP1IN)),2))+2147483648,4294967296)-2147483648,((c_TMAP2IN)-(c_TMAP1IN))*(((C143)-(c_TMAP1IN))*((c_TMAP2OUT)-(c_TMAP1OUT))+IF(((c_TMAP2OUT)-(c_TMAP1OUT))&gt;=0,1,-1)*QUOTIENT(((c_TMAP2IN)-(c_TMAP1IN)),2)))&lt;0,-1,0),IF(IF(o_WRAP=1,MOD(((c_TMAP2IN)-(c_TMAP1IN))*(((C143)-(c_TMAP1IN))*((c_TMAP2OUT)-(c_TMAP1OUT))+IF(((c_TMAP2OUT)-(c_TMAP1OUT))&gt;=0,1,-1)*QUOTIENT(((c_TMAP2IN)-(c_TMAP1IN)),2))+2147483648,4294967296)-2147483648,((c_TMAP2IN)-(c_TMAP1IN))*(((C143)-(c_TMAP1IN))*((c_TMAP2OUT)-(c_TMAP1OUT))+IF(((c_TMAP2OUT)-(c_TMAP1OUT))&gt;=0,1,-1)*QUOTIENT(((c_TMAP2IN)-(c_TMAP1IN)),2)))&gt;=0,1,0)))</f>
        <v>30</v>
      </c>
      <c r="G143" s="7" t="n">
        <f aca="false">IF(((c_TMAP3IN)-(c_TMAP2IN))=0,(c_TMAP2OUT)+QUOTIENT(((c_TMAP3OUT)-(c_TMAP2OUT)),2),QUOTIENT((((C143)-(c_TMAP2IN))*((c_TMAP3OUT)-(c_TMAP2OUT))+IF(((c_TMAP3OUT)-(c_TMAP2OUT))&gt;=0,1,-1)*QUOTIENT(((c_TMAP3IN)-(c_TMAP2IN)),2)),((c_TMAP3IN)-(c_TMAP2IN)))+(c_TMAP2OUT)+IF(((c_TMAP3OUT)-(c_TMAP2OUT))&gt;=0,IF(IF(o_WRAP=1,MOD(((c_TMAP3IN)-(c_TMAP2IN))*(((C143)-(c_TMAP2IN))*((c_TMAP3OUT)-(c_TMAP2OUT))+IF(((c_TMAP3OUT)-(c_TMAP2OUT))&gt;=0,1,-1)*QUOTIENT(((c_TMAP3IN)-(c_TMAP2IN)),2))+2147483648,4294967296)-2147483648,((c_TMAP3IN)-(c_TMAP2IN))*(((C143)-(c_TMAP2IN))*((c_TMAP3OUT)-(c_TMAP2OUT))+IF(((c_TMAP3OUT)-(c_TMAP2OUT))&gt;=0,1,-1)*QUOTIENT(((c_TMAP3IN)-(c_TMAP2IN)),2)))&lt;0,-1,0),IF(IF(o_WRAP=1,MOD(((c_TMAP3IN)-(c_TMAP2IN))*(((C143)-(c_TMAP2IN))*((c_TMAP3OUT)-(c_TMAP2OUT))+IF(((c_TMAP3OUT)-(c_TMAP2OUT))&gt;=0,1,-1)*QUOTIENT(((c_TMAP3IN)-(c_TMAP2IN)),2))+2147483648,4294967296)-2147483648,((c_TMAP3IN)-(c_TMAP2IN))*(((C143)-(c_TMAP2IN))*((c_TMAP3OUT)-(c_TMAP2OUT))+IF(((c_TMAP3OUT)-(c_TMAP2OUT))&gt;=0,1,-1)*QUOTIENT(((c_TMAP3IN)-(c_TMAP2IN)),2)))&gt;=0,1,0)))</f>
        <v>-45</v>
      </c>
      <c r="H143" s="7" t="n">
        <f aca="false">IF(((1000)-(c_TMAP3IN))=0,(c_TMAP3OUT)+QUOTIENT(((1000)-(c_TMAP3OUT)),2),QUOTIENT((((C143)-(c_TMAP3IN))*((1000)-(c_TMAP3OUT))+IF(((1000)-(c_TMAP3OUT))&gt;=0,1,-1)*QUOTIENT(((1000)-(c_TMAP3IN)),2)),((1000)-(c_TMAP3IN)))+(c_TMAP3OUT)+IF(((1000)-(c_TMAP3OUT))&gt;=0,IF(IF(o_WRAP=1,MOD(((1000)-(c_TMAP3IN))*(((C143)-(c_TMAP3IN))*((1000)-(c_TMAP3OUT))+IF(((1000)-(c_TMAP3OUT))&gt;=0,1,-1)*QUOTIENT(((1000)-(c_TMAP3IN)),2))+2147483648,4294967296)-2147483648,((1000)-(c_TMAP3IN))*(((C143)-(c_TMAP3IN))*((1000)-(c_TMAP3OUT))+IF(((1000)-(c_TMAP3OUT))&gt;=0,1,-1)*QUOTIENT(((1000)-(c_TMAP3IN)),2)))&lt;0,-1,0),IF(IF(o_WRAP=1,MOD(((1000)-(c_TMAP3IN))*(((C143)-(c_TMAP3IN))*((1000)-(c_TMAP3OUT))+IF(((1000)-(c_TMAP3OUT))&gt;=0,1,-1)*QUOTIENT(((1000)-(c_TMAP3IN)),2))+2147483648,4294967296)-2147483648,((1000)-(c_TMAP3IN))*(((C143)-(c_TMAP3IN))*((1000)-(c_TMAP3OUT))+IF(((1000)-(c_TMAP3OUT))&gt;=0,1,-1)*QUOTIENT(((1000)-(c_TMAP3IN)),2)))&gt;=0,1,0)))</f>
        <v>-231</v>
      </c>
      <c r="I143" s="7" t="n">
        <f aca="false">IF(C143&gt;=c_TFWD,IF(AND(C143&gt;=c_TMAP3IN,c_TMAP3IN&lt;1000),H143,IF(AND(C143&gt;=c_TMAP2IN,c_TMAP3IN&gt;c_TMAP2IN),G143,IF(AND(C143&gt;=c_TMAP1IN,c_TMAP2IN&gt;c_TMAP1IN),F143,E143))),D143)</f>
        <v>-350</v>
      </c>
      <c r="J143" s="7" t="str">
        <f aca="false">IF(I143&lt;-1090,"TOO LOW",IF(I143&gt;1090,"TOO HIGH",""))</f>
        <v/>
      </c>
      <c r="K143" s="7" t="n">
        <f aca="false">IF(J143&lt;&gt;"",0,IF(I143&gt;979,1000,I143))</f>
        <v>-350</v>
      </c>
      <c r="L143" s="7" t="n">
        <f aca="false">IF(OR(c_TSMOOTH=0,K143&gt;=c_TSMOOTHCUT),1,0)</f>
        <v>0</v>
      </c>
      <c r="M143" s="7" t="n">
        <f aca="false">IF(L143=1,0,M142+1)</f>
        <v>57</v>
      </c>
      <c r="N143" s="7" t="n">
        <f aca="false">IF(L143=1,0,MIN(M143,c_TSMOOTH))</f>
        <v>30</v>
      </c>
      <c r="O143" s="7" t="n">
        <f aca="false">IF(COUNTIF($L$5:L143,1)&gt;0,c_TSMOOTHCUT,0)</f>
        <v>400</v>
      </c>
      <c r="P143" s="15" t="n">
        <f aca="true">IF(L143=1,K143,QUOTIENT(SUM(OFFSET(K143,1-N143,0,N143,1))+(c_TSMOOTH-N143)*O143,c_TSMOOTH))</f>
        <v>-350</v>
      </c>
      <c r="Q143" s="7" t="n">
        <f aca="false">K143/10</f>
        <v>-35</v>
      </c>
      <c r="R143" s="7" t="n">
        <f aca="false">P143/10</f>
        <v>-35</v>
      </c>
    </row>
    <row r="144" customFormat="false" ht="15" hidden="false" customHeight="false" outlineLevel="0" collapsed="false">
      <c r="A144" s="7" t="n">
        <v>139</v>
      </c>
      <c r="B144" s="7" t="n">
        <f aca="false">A144*0.04</f>
        <v>5.56</v>
      </c>
      <c r="C144" s="18" t="n">
        <v>0</v>
      </c>
      <c r="D144" s="7" t="n">
        <f aca="false">IF(AND(C144=0,c_TCREEP&gt;0),10*c_TCREEP,IF(AND(C144&lt;=c_TRNGMIN,C144&gt;=c_TRNGMAX,c_TRNGMIN-c_TRNGMAX&lt;&gt;0),-10*c_TMINRN+QUOTIENT((c_TMAXRN-c_TMINRN)*(100-QUOTIENT((C144-c_TRNGMAX)*100,c_TRNGMIN-c_TRNGMAX)),-10),0))</f>
        <v>-350</v>
      </c>
      <c r="E144" s="7" t="n">
        <f aca="false">IF(((c_TMAP1IN)-(c_TFWD))=0,(0)+QUOTIENT(((c_TMAP1OUT)-(0)),2),QUOTIENT((((C144)-(c_TFWD))*((c_TMAP1OUT)-(0))+IF(((c_TMAP1OUT)-(0))&gt;=0,1,-1)*QUOTIENT(((c_TMAP1IN)-(c_TFWD)),2)),((c_TMAP1IN)-(c_TFWD)))+(0)+IF(((c_TMAP1OUT)-(0))&gt;=0,IF(IF(o_WRAP=1,MOD(((c_TMAP1IN)-(c_TFWD))*(((C144)-(c_TFWD))*((c_TMAP1OUT)-(0))+IF(((c_TMAP1OUT)-(0))&gt;=0,1,-1)*QUOTIENT(((c_TMAP1IN)-(c_TFWD)),2))+2147483648,4294967296)-2147483648,((c_TMAP1IN)-(c_TFWD))*(((C144)-(c_TFWD))*((c_TMAP1OUT)-(0))+IF(((c_TMAP1OUT)-(0))&gt;=0,1,-1)*QUOTIENT(((c_TMAP1IN)-(c_TFWD)),2)))&lt;0,-1,0),IF(IF(o_WRAP=1,MOD(((c_TMAP1IN)-(c_TFWD))*(((C144)-(c_TFWD))*((c_TMAP1OUT)-(0))+IF(((c_TMAP1OUT)-(0))&gt;=0,1,-1)*QUOTIENT(((c_TMAP1IN)-(c_TFWD)),2))+2147483648,4294967296)-2147483648,((c_TMAP1IN)-(c_TFWD))*(((C144)-(c_TFWD))*((c_TMAP1OUT)-(0))+IF(((c_TMAP1OUT)-(0))&gt;=0,1,-1)*QUOTIENT(((c_TMAP1IN)-(c_TFWD)),2)))&gt;=0,1,0)))</f>
        <v>-8</v>
      </c>
      <c r="F144" s="7" t="n">
        <f aca="false">IF(((c_TMAP2IN)-(c_TMAP1IN))=0,(c_TMAP1OUT)+QUOTIENT(((c_TMAP2OUT)-(c_TMAP1OUT)),2),QUOTIENT((((C144)-(c_TMAP1IN))*((c_TMAP2OUT)-(c_TMAP1OUT))+IF(((c_TMAP2OUT)-(c_TMAP1OUT))&gt;=0,1,-1)*QUOTIENT(((c_TMAP2IN)-(c_TMAP1IN)),2)),((c_TMAP2IN)-(c_TMAP1IN)))+(c_TMAP1OUT)+IF(((c_TMAP2OUT)-(c_TMAP1OUT))&gt;=0,IF(IF(o_WRAP=1,MOD(((c_TMAP2IN)-(c_TMAP1IN))*(((C144)-(c_TMAP1IN))*((c_TMAP2OUT)-(c_TMAP1OUT))+IF(((c_TMAP2OUT)-(c_TMAP1OUT))&gt;=0,1,-1)*QUOTIENT(((c_TMAP2IN)-(c_TMAP1IN)),2))+2147483648,4294967296)-2147483648,((c_TMAP2IN)-(c_TMAP1IN))*(((C144)-(c_TMAP1IN))*((c_TMAP2OUT)-(c_TMAP1OUT))+IF(((c_TMAP2OUT)-(c_TMAP1OUT))&gt;=0,1,-1)*QUOTIENT(((c_TMAP2IN)-(c_TMAP1IN)),2)))&lt;0,-1,0),IF(IF(o_WRAP=1,MOD(((c_TMAP2IN)-(c_TMAP1IN))*(((C144)-(c_TMAP1IN))*((c_TMAP2OUT)-(c_TMAP1OUT))+IF(((c_TMAP2OUT)-(c_TMAP1OUT))&gt;=0,1,-1)*QUOTIENT(((c_TMAP2IN)-(c_TMAP1IN)),2))+2147483648,4294967296)-2147483648,((c_TMAP2IN)-(c_TMAP1IN))*(((C144)-(c_TMAP1IN))*((c_TMAP2OUT)-(c_TMAP1OUT))+IF(((c_TMAP2OUT)-(c_TMAP1OUT))&gt;=0,1,-1)*QUOTIENT(((c_TMAP2IN)-(c_TMAP1IN)),2)))&gt;=0,1,0)))</f>
        <v>30</v>
      </c>
      <c r="G144" s="7" t="n">
        <f aca="false">IF(((c_TMAP3IN)-(c_TMAP2IN))=0,(c_TMAP2OUT)+QUOTIENT(((c_TMAP3OUT)-(c_TMAP2OUT)),2),QUOTIENT((((C144)-(c_TMAP2IN))*((c_TMAP3OUT)-(c_TMAP2OUT))+IF(((c_TMAP3OUT)-(c_TMAP2OUT))&gt;=0,1,-1)*QUOTIENT(((c_TMAP3IN)-(c_TMAP2IN)),2)),((c_TMAP3IN)-(c_TMAP2IN)))+(c_TMAP2OUT)+IF(((c_TMAP3OUT)-(c_TMAP2OUT))&gt;=0,IF(IF(o_WRAP=1,MOD(((c_TMAP3IN)-(c_TMAP2IN))*(((C144)-(c_TMAP2IN))*((c_TMAP3OUT)-(c_TMAP2OUT))+IF(((c_TMAP3OUT)-(c_TMAP2OUT))&gt;=0,1,-1)*QUOTIENT(((c_TMAP3IN)-(c_TMAP2IN)),2))+2147483648,4294967296)-2147483648,((c_TMAP3IN)-(c_TMAP2IN))*(((C144)-(c_TMAP2IN))*((c_TMAP3OUT)-(c_TMAP2OUT))+IF(((c_TMAP3OUT)-(c_TMAP2OUT))&gt;=0,1,-1)*QUOTIENT(((c_TMAP3IN)-(c_TMAP2IN)),2)))&lt;0,-1,0),IF(IF(o_WRAP=1,MOD(((c_TMAP3IN)-(c_TMAP2IN))*(((C144)-(c_TMAP2IN))*((c_TMAP3OUT)-(c_TMAP2OUT))+IF(((c_TMAP3OUT)-(c_TMAP2OUT))&gt;=0,1,-1)*QUOTIENT(((c_TMAP3IN)-(c_TMAP2IN)),2))+2147483648,4294967296)-2147483648,((c_TMAP3IN)-(c_TMAP2IN))*(((C144)-(c_TMAP2IN))*((c_TMAP3OUT)-(c_TMAP2OUT))+IF(((c_TMAP3OUT)-(c_TMAP2OUT))&gt;=0,1,-1)*QUOTIENT(((c_TMAP3IN)-(c_TMAP2IN)),2)))&gt;=0,1,0)))</f>
        <v>-45</v>
      </c>
      <c r="H144" s="7" t="n">
        <f aca="false">IF(((1000)-(c_TMAP3IN))=0,(c_TMAP3OUT)+QUOTIENT(((1000)-(c_TMAP3OUT)),2),QUOTIENT((((C144)-(c_TMAP3IN))*((1000)-(c_TMAP3OUT))+IF(((1000)-(c_TMAP3OUT))&gt;=0,1,-1)*QUOTIENT(((1000)-(c_TMAP3IN)),2)),((1000)-(c_TMAP3IN)))+(c_TMAP3OUT)+IF(((1000)-(c_TMAP3OUT))&gt;=0,IF(IF(o_WRAP=1,MOD(((1000)-(c_TMAP3IN))*(((C144)-(c_TMAP3IN))*((1000)-(c_TMAP3OUT))+IF(((1000)-(c_TMAP3OUT))&gt;=0,1,-1)*QUOTIENT(((1000)-(c_TMAP3IN)),2))+2147483648,4294967296)-2147483648,((1000)-(c_TMAP3IN))*(((C144)-(c_TMAP3IN))*((1000)-(c_TMAP3OUT))+IF(((1000)-(c_TMAP3OUT))&gt;=0,1,-1)*QUOTIENT(((1000)-(c_TMAP3IN)),2)))&lt;0,-1,0),IF(IF(o_WRAP=1,MOD(((1000)-(c_TMAP3IN))*(((C144)-(c_TMAP3IN))*((1000)-(c_TMAP3OUT))+IF(((1000)-(c_TMAP3OUT))&gt;=0,1,-1)*QUOTIENT(((1000)-(c_TMAP3IN)),2))+2147483648,4294967296)-2147483648,((1000)-(c_TMAP3IN))*(((C144)-(c_TMAP3IN))*((1000)-(c_TMAP3OUT))+IF(((1000)-(c_TMAP3OUT))&gt;=0,1,-1)*QUOTIENT(((1000)-(c_TMAP3IN)),2)))&gt;=0,1,0)))</f>
        <v>-231</v>
      </c>
      <c r="I144" s="7" t="n">
        <f aca="false">IF(C144&gt;=c_TFWD,IF(AND(C144&gt;=c_TMAP3IN,c_TMAP3IN&lt;1000),H144,IF(AND(C144&gt;=c_TMAP2IN,c_TMAP3IN&gt;c_TMAP2IN),G144,IF(AND(C144&gt;=c_TMAP1IN,c_TMAP2IN&gt;c_TMAP1IN),F144,E144))),D144)</f>
        <v>-350</v>
      </c>
      <c r="J144" s="7" t="str">
        <f aca="false">IF(I144&lt;-1090,"TOO LOW",IF(I144&gt;1090,"TOO HIGH",""))</f>
        <v/>
      </c>
      <c r="K144" s="7" t="n">
        <f aca="false">IF(J144&lt;&gt;"",0,IF(I144&gt;979,1000,I144))</f>
        <v>-350</v>
      </c>
      <c r="L144" s="7" t="n">
        <f aca="false">IF(OR(c_TSMOOTH=0,K144&gt;=c_TSMOOTHCUT),1,0)</f>
        <v>0</v>
      </c>
      <c r="M144" s="7" t="n">
        <f aca="false">IF(L144=1,0,M143+1)</f>
        <v>58</v>
      </c>
      <c r="N144" s="7" t="n">
        <f aca="false">IF(L144=1,0,MIN(M144,c_TSMOOTH))</f>
        <v>30</v>
      </c>
      <c r="O144" s="7" t="n">
        <f aca="false">IF(COUNTIF($L$5:L144,1)&gt;0,c_TSMOOTHCUT,0)</f>
        <v>400</v>
      </c>
      <c r="P144" s="15" t="n">
        <f aca="true">IF(L144=1,K144,QUOTIENT(SUM(OFFSET(K144,1-N144,0,N144,1))+(c_TSMOOTH-N144)*O144,c_TSMOOTH))</f>
        <v>-350</v>
      </c>
      <c r="Q144" s="7" t="n">
        <f aca="false">K144/10</f>
        <v>-35</v>
      </c>
      <c r="R144" s="7" t="n">
        <f aca="false">P144/10</f>
        <v>-35</v>
      </c>
    </row>
    <row r="145" customFormat="false" ht="15" hidden="false" customHeight="false" outlineLevel="0" collapsed="false">
      <c r="A145" s="7" t="n">
        <v>140</v>
      </c>
      <c r="B145" s="7" t="n">
        <f aca="false">A145*0.04</f>
        <v>5.6</v>
      </c>
      <c r="C145" s="18" t="n">
        <v>0</v>
      </c>
      <c r="D145" s="7" t="n">
        <f aca="false">IF(AND(C145=0,c_TCREEP&gt;0),10*c_TCREEP,IF(AND(C145&lt;=c_TRNGMIN,C145&gt;=c_TRNGMAX,c_TRNGMIN-c_TRNGMAX&lt;&gt;0),-10*c_TMINRN+QUOTIENT((c_TMAXRN-c_TMINRN)*(100-QUOTIENT((C145-c_TRNGMAX)*100,c_TRNGMIN-c_TRNGMAX)),-10),0))</f>
        <v>-350</v>
      </c>
      <c r="E145" s="7" t="n">
        <f aca="false">IF(((c_TMAP1IN)-(c_TFWD))=0,(0)+QUOTIENT(((c_TMAP1OUT)-(0)),2),QUOTIENT((((C145)-(c_TFWD))*((c_TMAP1OUT)-(0))+IF(((c_TMAP1OUT)-(0))&gt;=0,1,-1)*QUOTIENT(((c_TMAP1IN)-(c_TFWD)),2)),((c_TMAP1IN)-(c_TFWD)))+(0)+IF(((c_TMAP1OUT)-(0))&gt;=0,IF(IF(o_WRAP=1,MOD(((c_TMAP1IN)-(c_TFWD))*(((C145)-(c_TFWD))*((c_TMAP1OUT)-(0))+IF(((c_TMAP1OUT)-(0))&gt;=0,1,-1)*QUOTIENT(((c_TMAP1IN)-(c_TFWD)),2))+2147483648,4294967296)-2147483648,((c_TMAP1IN)-(c_TFWD))*(((C145)-(c_TFWD))*((c_TMAP1OUT)-(0))+IF(((c_TMAP1OUT)-(0))&gt;=0,1,-1)*QUOTIENT(((c_TMAP1IN)-(c_TFWD)),2)))&lt;0,-1,0),IF(IF(o_WRAP=1,MOD(((c_TMAP1IN)-(c_TFWD))*(((C145)-(c_TFWD))*((c_TMAP1OUT)-(0))+IF(((c_TMAP1OUT)-(0))&gt;=0,1,-1)*QUOTIENT(((c_TMAP1IN)-(c_TFWD)),2))+2147483648,4294967296)-2147483648,((c_TMAP1IN)-(c_TFWD))*(((C145)-(c_TFWD))*((c_TMAP1OUT)-(0))+IF(((c_TMAP1OUT)-(0))&gt;=0,1,-1)*QUOTIENT(((c_TMAP1IN)-(c_TFWD)),2)))&gt;=0,1,0)))</f>
        <v>-8</v>
      </c>
      <c r="F145" s="7" t="n">
        <f aca="false">IF(((c_TMAP2IN)-(c_TMAP1IN))=0,(c_TMAP1OUT)+QUOTIENT(((c_TMAP2OUT)-(c_TMAP1OUT)),2),QUOTIENT((((C145)-(c_TMAP1IN))*((c_TMAP2OUT)-(c_TMAP1OUT))+IF(((c_TMAP2OUT)-(c_TMAP1OUT))&gt;=0,1,-1)*QUOTIENT(((c_TMAP2IN)-(c_TMAP1IN)),2)),((c_TMAP2IN)-(c_TMAP1IN)))+(c_TMAP1OUT)+IF(((c_TMAP2OUT)-(c_TMAP1OUT))&gt;=0,IF(IF(o_WRAP=1,MOD(((c_TMAP2IN)-(c_TMAP1IN))*(((C145)-(c_TMAP1IN))*((c_TMAP2OUT)-(c_TMAP1OUT))+IF(((c_TMAP2OUT)-(c_TMAP1OUT))&gt;=0,1,-1)*QUOTIENT(((c_TMAP2IN)-(c_TMAP1IN)),2))+2147483648,4294967296)-2147483648,((c_TMAP2IN)-(c_TMAP1IN))*(((C145)-(c_TMAP1IN))*((c_TMAP2OUT)-(c_TMAP1OUT))+IF(((c_TMAP2OUT)-(c_TMAP1OUT))&gt;=0,1,-1)*QUOTIENT(((c_TMAP2IN)-(c_TMAP1IN)),2)))&lt;0,-1,0),IF(IF(o_WRAP=1,MOD(((c_TMAP2IN)-(c_TMAP1IN))*(((C145)-(c_TMAP1IN))*((c_TMAP2OUT)-(c_TMAP1OUT))+IF(((c_TMAP2OUT)-(c_TMAP1OUT))&gt;=0,1,-1)*QUOTIENT(((c_TMAP2IN)-(c_TMAP1IN)),2))+2147483648,4294967296)-2147483648,((c_TMAP2IN)-(c_TMAP1IN))*(((C145)-(c_TMAP1IN))*((c_TMAP2OUT)-(c_TMAP1OUT))+IF(((c_TMAP2OUT)-(c_TMAP1OUT))&gt;=0,1,-1)*QUOTIENT(((c_TMAP2IN)-(c_TMAP1IN)),2)))&gt;=0,1,0)))</f>
        <v>30</v>
      </c>
      <c r="G145" s="7" t="n">
        <f aca="false">IF(((c_TMAP3IN)-(c_TMAP2IN))=0,(c_TMAP2OUT)+QUOTIENT(((c_TMAP3OUT)-(c_TMAP2OUT)),2),QUOTIENT((((C145)-(c_TMAP2IN))*((c_TMAP3OUT)-(c_TMAP2OUT))+IF(((c_TMAP3OUT)-(c_TMAP2OUT))&gt;=0,1,-1)*QUOTIENT(((c_TMAP3IN)-(c_TMAP2IN)),2)),((c_TMAP3IN)-(c_TMAP2IN)))+(c_TMAP2OUT)+IF(((c_TMAP3OUT)-(c_TMAP2OUT))&gt;=0,IF(IF(o_WRAP=1,MOD(((c_TMAP3IN)-(c_TMAP2IN))*(((C145)-(c_TMAP2IN))*((c_TMAP3OUT)-(c_TMAP2OUT))+IF(((c_TMAP3OUT)-(c_TMAP2OUT))&gt;=0,1,-1)*QUOTIENT(((c_TMAP3IN)-(c_TMAP2IN)),2))+2147483648,4294967296)-2147483648,((c_TMAP3IN)-(c_TMAP2IN))*(((C145)-(c_TMAP2IN))*((c_TMAP3OUT)-(c_TMAP2OUT))+IF(((c_TMAP3OUT)-(c_TMAP2OUT))&gt;=0,1,-1)*QUOTIENT(((c_TMAP3IN)-(c_TMAP2IN)),2)))&lt;0,-1,0),IF(IF(o_WRAP=1,MOD(((c_TMAP3IN)-(c_TMAP2IN))*(((C145)-(c_TMAP2IN))*((c_TMAP3OUT)-(c_TMAP2OUT))+IF(((c_TMAP3OUT)-(c_TMAP2OUT))&gt;=0,1,-1)*QUOTIENT(((c_TMAP3IN)-(c_TMAP2IN)),2))+2147483648,4294967296)-2147483648,((c_TMAP3IN)-(c_TMAP2IN))*(((C145)-(c_TMAP2IN))*((c_TMAP3OUT)-(c_TMAP2OUT))+IF(((c_TMAP3OUT)-(c_TMAP2OUT))&gt;=0,1,-1)*QUOTIENT(((c_TMAP3IN)-(c_TMAP2IN)),2)))&gt;=0,1,0)))</f>
        <v>-45</v>
      </c>
      <c r="H145" s="7" t="n">
        <f aca="false">IF(((1000)-(c_TMAP3IN))=0,(c_TMAP3OUT)+QUOTIENT(((1000)-(c_TMAP3OUT)),2),QUOTIENT((((C145)-(c_TMAP3IN))*((1000)-(c_TMAP3OUT))+IF(((1000)-(c_TMAP3OUT))&gt;=0,1,-1)*QUOTIENT(((1000)-(c_TMAP3IN)),2)),((1000)-(c_TMAP3IN)))+(c_TMAP3OUT)+IF(((1000)-(c_TMAP3OUT))&gt;=0,IF(IF(o_WRAP=1,MOD(((1000)-(c_TMAP3IN))*(((C145)-(c_TMAP3IN))*((1000)-(c_TMAP3OUT))+IF(((1000)-(c_TMAP3OUT))&gt;=0,1,-1)*QUOTIENT(((1000)-(c_TMAP3IN)),2))+2147483648,4294967296)-2147483648,((1000)-(c_TMAP3IN))*(((C145)-(c_TMAP3IN))*((1000)-(c_TMAP3OUT))+IF(((1000)-(c_TMAP3OUT))&gt;=0,1,-1)*QUOTIENT(((1000)-(c_TMAP3IN)),2)))&lt;0,-1,0),IF(IF(o_WRAP=1,MOD(((1000)-(c_TMAP3IN))*(((C145)-(c_TMAP3IN))*((1000)-(c_TMAP3OUT))+IF(((1000)-(c_TMAP3OUT))&gt;=0,1,-1)*QUOTIENT(((1000)-(c_TMAP3IN)),2))+2147483648,4294967296)-2147483648,((1000)-(c_TMAP3IN))*(((C145)-(c_TMAP3IN))*((1000)-(c_TMAP3OUT))+IF(((1000)-(c_TMAP3OUT))&gt;=0,1,-1)*QUOTIENT(((1000)-(c_TMAP3IN)),2)))&gt;=0,1,0)))</f>
        <v>-231</v>
      </c>
      <c r="I145" s="7" t="n">
        <f aca="false">IF(C145&gt;=c_TFWD,IF(AND(C145&gt;=c_TMAP3IN,c_TMAP3IN&lt;1000),H145,IF(AND(C145&gt;=c_TMAP2IN,c_TMAP3IN&gt;c_TMAP2IN),G145,IF(AND(C145&gt;=c_TMAP1IN,c_TMAP2IN&gt;c_TMAP1IN),F145,E145))),D145)</f>
        <v>-350</v>
      </c>
      <c r="J145" s="7" t="str">
        <f aca="false">IF(I145&lt;-1090,"TOO LOW",IF(I145&gt;1090,"TOO HIGH",""))</f>
        <v/>
      </c>
      <c r="K145" s="7" t="n">
        <f aca="false">IF(J145&lt;&gt;"",0,IF(I145&gt;979,1000,I145))</f>
        <v>-350</v>
      </c>
      <c r="L145" s="7" t="n">
        <f aca="false">IF(OR(c_TSMOOTH=0,K145&gt;=c_TSMOOTHCUT),1,0)</f>
        <v>0</v>
      </c>
      <c r="M145" s="7" t="n">
        <f aca="false">IF(L145=1,0,M144+1)</f>
        <v>59</v>
      </c>
      <c r="N145" s="7" t="n">
        <f aca="false">IF(L145=1,0,MIN(M145,c_TSMOOTH))</f>
        <v>30</v>
      </c>
      <c r="O145" s="7" t="n">
        <f aca="false">IF(COUNTIF($L$5:L145,1)&gt;0,c_TSMOOTHCUT,0)</f>
        <v>400</v>
      </c>
      <c r="P145" s="15" t="n">
        <f aca="true">IF(L145=1,K145,QUOTIENT(SUM(OFFSET(K145,1-N145,0,N145,1))+(c_TSMOOTH-N145)*O145,c_TSMOOTH))</f>
        <v>-350</v>
      </c>
      <c r="Q145" s="7" t="n">
        <f aca="false">K145/10</f>
        <v>-35</v>
      </c>
      <c r="R145" s="7" t="n">
        <f aca="false">P145/10</f>
        <v>-35</v>
      </c>
    </row>
    <row r="146" customFormat="false" ht="15" hidden="false" customHeight="false" outlineLevel="0" collapsed="false">
      <c r="A146" s="7" t="n">
        <v>141</v>
      </c>
      <c r="B146" s="7" t="n">
        <f aca="false">A146*0.04</f>
        <v>5.64</v>
      </c>
      <c r="C146" s="18" t="n">
        <v>0</v>
      </c>
      <c r="D146" s="7" t="n">
        <f aca="false">IF(AND(C146=0,c_TCREEP&gt;0),10*c_TCREEP,IF(AND(C146&lt;=c_TRNGMIN,C146&gt;=c_TRNGMAX,c_TRNGMIN-c_TRNGMAX&lt;&gt;0),-10*c_TMINRN+QUOTIENT((c_TMAXRN-c_TMINRN)*(100-QUOTIENT((C146-c_TRNGMAX)*100,c_TRNGMIN-c_TRNGMAX)),-10),0))</f>
        <v>-350</v>
      </c>
      <c r="E146" s="7" t="n">
        <f aca="false">IF(((c_TMAP1IN)-(c_TFWD))=0,(0)+QUOTIENT(((c_TMAP1OUT)-(0)),2),QUOTIENT((((C146)-(c_TFWD))*((c_TMAP1OUT)-(0))+IF(((c_TMAP1OUT)-(0))&gt;=0,1,-1)*QUOTIENT(((c_TMAP1IN)-(c_TFWD)),2)),((c_TMAP1IN)-(c_TFWD)))+(0)+IF(((c_TMAP1OUT)-(0))&gt;=0,IF(IF(o_WRAP=1,MOD(((c_TMAP1IN)-(c_TFWD))*(((C146)-(c_TFWD))*((c_TMAP1OUT)-(0))+IF(((c_TMAP1OUT)-(0))&gt;=0,1,-1)*QUOTIENT(((c_TMAP1IN)-(c_TFWD)),2))+2147483648,4294967296)-2147483648,((c_TMAP1IN)-(c_TFWD))*(((C146)-(c_TFWD))*((c_TMAP1OUT)-(0))+IF(((c_TMAP1OUT)-(0))&gt;=0,1,-1)*QUOTIENT(((c_TMAP1IN)-(c_TFWD)),2)))&lt;0,-1,0),IF(IF(o_WRAP=1,MOD(((c_TMAP1IN)-(c_TFWD))*(((C146)-(c_TFWD))*((c_TMAP1OUT)-(0))+IF(((c_TMAP1OUT)-(0))&gt;=0,1,-1)*QUOTIENT(((c_TMAP1IN)-(c_TFWD)),2))+2147483648,4294967296)-2147483648,((c_TMAP1IN)-(c_TFWD))*(((C146)-(c_TFWD))*((c_TMAP1OUT)-(0))+IF(((c_TMAP1OUT)-(0))&gt;=0,1,-1)*QUOTIENT(((c_TMAP1IN)-(c_TFWD)),2)))&gt;=0,1,0)))</f>
        <v>-8</v>
      </c>
      <c r="F146" s="7" t="n">
        <f aca="false">IF(((c_TMAP2IN)-(c_TMAP1IN))=0,(c_TMAP1OUT)+QUOTIENT(((c_TMAP2OUT)-(c_TMAP1OUT)),2),QUOTIENT((((C146)-(c_TMAP1IN))*((c_TMAP2OUT)-(c_TMAP1OUT))+IF(((c_TMAP2OUT)-(c_TMAP1OUT))&gt;=0,1,-1)*QUOTIENT(((c_TMAP2IN)-(c_TMAP1IN)),2)),((c_TMAP2IN)-(c_TMAP1IN)))+(c_TMAP1OUT)+IF(((c_TMAP2OUT)-(c_TMAP1OUT))&gt;=0,IF(IF(o_WRAP=1,MOD(((c_TMAP2IN)-(c_TMAP1IN))*(((C146)-(c_TMAP1IN))*((c_TMAP2OUT)-(c_TMAP1OUT))+IF(((c_TMAP2OUT)-(c_TMAP1OUT))&gt;=0,1,-1)*QUOTIENT(((c_TMAP2IN)-(c_TMAP1IN)),2))+2147483648,4294967296)-2147483648,((c_TMAP2IN)-(c_TMAP1IN))*(((C146)-(c_TMAP1IN))*((c_TMAP2OUT)-(c_TMAP1OUT))+IF(((c_TMAP2OUT)-(c_TMAP1OUT))&gt;=0,1,-1)*QUOTIENT(((c_TMAP2IN)-(c_TMAP1IN)),2)))&lt;0,-1,0),IF(IF(o_WRAP=1,MOD(((c_TMAP2IN)-(c_TMAP1IN))*(((C146)-(c_TMAP1IN))*((c_TMAP2OUT)-(c_TMAP1OUT))+IF(((c_TMAP2OUT)-(c_TMAP1OUT))&gt;=0,1,-1)*QUOTIENT(((c_TMAP2IN)-(c_TMAP1IN)),2))+2147483648,4294967296)-2147483648,((c_TMAP2IN)-(c_TMAP1IN))*(((C146)-(c_TMAP1IN))*((c_TMAP2OUT)-(c_TMAP1OUT))+IF(((c_TMAP2OUT)-(c_TMAP1OUT))&gt;=0,1,-1)*QUOTIENT(((c_TMAP2IN)-(c_TMAP1IN)),2)))&gt;=0,1,0)))</f>
        <v>30</v>
      </c>
      <c r="G146" s="7" t="n">
        <f aca="false">IF(((c_TMAP3IN)-(c_TMAP2IN))=0,(c_TMAP2OUT)+QUOTIENT(((c_TMAP3OUT)-(c_TMAP2OUT)),2),QUOTIENT((((C146)-(c_TMAP2IN))*((c_TMAP3OUT)-(c_TMAP2OUT))+IF(((c_TMAP3OUT)-(c_TMAP2OUT))&gt;=0,1,-1)*QUOTIENT(((c_TMAP3IN)-(c_TMAP2IN)),2)),((c_TMAP3IN)-(c_TMAP2IN)))+(c_TMAP2OUT)+IF(((c_TMAP3OUT)-(c_TMAP2OUT))&gt;=0,IF(IF(o_WRAP=1,MOD(((c_TMAP3IN)-(c_TMAP2IN))*(((C146)-(c_TMAP2IN))*((c_TMAP3OUT)-(c_TMAP2OUT))+IF(((c_TMAP3OUT)-(c_TMAP2OUT))&gt;=0,1,-1)*QUOTIENT(((c_TMAP3IN)-(c_TMAP2IN)),2))+2147483648,4294967296)-2147483648,((c_TMAP3IN)-(c_TMAP2IN))*(((C146)-(c_TMAP2IN))*((c_TMAP3OUT)-(c_TMAP2OUT))+IF(((c_TMAP3OUT)-(c_TMAP2OUT))&gt;=0,1,-1)*QUOTIENT(((c_TMAP3IN)-(c_TMAP2IN)),2)))&lt;0,-1,0),IF(IF(o_WRAP=1,MOD(((c_TMAP3IN)-(c_TMAP2IN))*(((C146)-(c_TMAP2IN))*((c_TMAP3OUT)-(c_TMAP2OUT))+IF(((c_TMAP3OUT)-(c_TMAP2OUT))&gt;=0,1,-1)*QUOTIENT(((c_TMAP3IN)-(c_TMAP2IN)),2))+2147483648,4294967296)-2147483648,((c_TMAP3IN)-(c_TMAP2IN))*(((C146)-(c_TMAP2IN))*((c_TMAP3OUT)-(c_TMAP2OUT))+IF(((c_TMAP3OUT)-(c_TMAP2OUT))&gt;=0,1,-1)*QUOTIENT(((c_TMAP3IN)-(c_TMAP2IN)),2)))&gt;=0,1,0)))</f>
        <v>-45</v>
      </c>
      <c r="H146" s="7" t="n">
        <f aca="false">IF(((1000)-(c_TMAP3IN))=0,(c_TMAP3OUT)+QUOTIENT(((1000)-(c_TMAP3OUT)),2),QUOTIENT((((C146)-(c_TMAP3IN))*((1000)-(c_TMAP3OUT))+IF(((1000)-(c_TMAP3OUT))&gt;=0,1,-1)*QUOTIENT(((1000)-(c_TMAP3IN)),2)),((1000)-(c_TMAP3IN)))+(c_TMAP3OUT)+IF(((1000)-(c_TMAP3OUT))&gt;=0,IF(IF(o_WRAP=1,MOD(((1000)-(c_TMAP3IN))*(((C146)-(c_TMAP3IN))*((1000)-(c_TMAP3OUT))+IF(((1000)-(c_TMAP3OUT))&gt;=0,1,-1)*QUOTIENT(((1000)-(c_TMAP3IN)),2))+2147483648,4294967296)-2147483648,((1000)-(c_TMAP3IN))*(((C146)-(c_TMAP3IN))*((1000)-(c_TMAP3OUT))+IF(((1000)-(c_TMAP3OUT))&gt;=0,1,-1)*QUOTIENT(((1000)-(c_TMAP3IN)),2)))&lt;0,-1,0),IF(IF(o_WRAP=1,MOD(((1000)-(c_TMAP3IN))*(((C146)-(c_TMAP3IN))*((1000)-(c_TMAP3OUT))+IF(((1000)-(c_TMAP3OUT))&gt;=0,1,-1)*QUOTIENT(((1000)-(c_TMAP3IN)),2))+2147483648,4294967296)-2147483648,((1000)-(c_TMAP3IN))*(((C146)-(c_TMAP3IN))*((1000)-(c_TMAP3OUT))+IF(((1000)-(c_TMAP3OUT))&gt;=0,1,-1)*QUOTIENT(((1000)-(c_TMAP3IN)),2)))&gt;=0,1,0)))</f>
        <v>-231</v>
      </c>
      <c r="I146" s="7" t="n">
        <f aca="false">IF(C146&gt;=c_TFWD,IF(AND(C146&gt;=c_TMAP3IN,c_TMAP3IN&lt;1000),H146,IF(AND(C146&gt;=c_TMAP2IN,c_TMAP3IN&gt;c_TMAP2IN),G146,IF(AND(C146&gt;=c_TMAP1IN,c_TMAP2IN&gt;c_TMAP1IN),F146,E146))),D146)</f>
        <v>-350</v>
      </c>
      <c r="J146" s="7" t="str">
        <f aca="false">IF(I146&lt;-1090,"TOO LOW",IF(I146&gt;1090,"TOO HIGH",""))</f>
        <v/>
      </c>
      <c r="K146" s="7" t="n">
        <f aca="false">IF(J146&lt;&gt;"",0,IF(I146&gt;979,1000,I146))</f>
        <v>-350</v>
      </c>
      <c r="L146" s="7" t="n">
        <f aca="false">IF(OR(c_TSMOOTH=0,K146&gt;=c_TSMOOTHCUT),1,0)</f>
        <v>0</v>
      </c>
      <c r="M146" s="7" t="n">
        <f aca="false">IF(L146=1,0,M145+1)</f>
        <v>60</v>
      </c>
      <c r="N146" s="7" t="n">
        <f aca="false">IF(L146=1,0,MIN(M146,c_TSMOOTH))</f>
        <v>30</v>
      </c>
      <c r="O146" s="7" t="n">
        <f aca="false">IF(COUNTIF($L$5:L146,1)&gt;0,c_TSMOOTHCUT,0)</f>
        <v>400</v>
      </c>
      <c r="P146" s="15" t="n">
        <f aca="true">IF(L146=1,K146,QUOTIENT(SUM(OFFSET(K146,1-N146,0,N146,1))+(c_TSMOOTH-N146)*O146,c_TSMOOTH))</f>
        <v>-350</v>
      </c>
      <c r="Q146" s="7" t="n">
        <f aca="false">K146/10</f>
        <v>-35</v>
      </c>
      <c r="R146" s="7" t="n">
        <f aca="false">P146/10</f>
        <v>-35</v>
      </c>
    </row>
    <row r="147" customFormat="false" ht="15" hidden="false" customHeight="false" outlineLevel="0" collapsed="false">
      <c r="A147" s="7" t="n">
        <v>142</v>
      </c>
      <c r="B147" s="7" t="n">
        <f aca="false">A147*0.04</f>
        <v>5.68</v>
      </c>
      <c r="C147" s="18" t="n">
        <v>0</v>
      </c>
      <c r="D147" s="7" t="n">
        <f aca="false">IF(AND(C147=0,c_TCREEP&gt;0),10*c_TCREEP,IF(AND(C147&lt;=c_TRNGMIN,C147&gt;=c_TRNGMAX,c_TRNGMIN-c_TRNGMAX&lt;&gt;0),-10*c_TMINRN+QUOTIENT((c_TMAXRN-c_TMINRN)*(100-QUOTIENT((C147-c_TRNGMAX)*100,c_TRNGMIN-c_TRNGMAX)),-10),0))</f>
        <v>-350</v>
      </c>
      <c r="E147" s="7" t="n">
        <f aca="false">IF(((c_TMAP1IN)-(c_TFWD))=0,(0)+QUOTIENT(((c_TMAP1OUT)-(0)),2),QUOTIENT((((C147)-(c_TFWD))*((c_TMAP1OUT)-(0))+IF(((c_TMAP1OUT)-(0))&gt;=0,1,-1)*QUOTIENT(((c_TMAP1IN)-(c_TFWD)),2)),((c_TMAP1IN)-(c_TFWD)))+(0)+IF(((c_TMAP1OUT)-(0))&gt;=0,IF(IF(o_WRAP=1,MOD(((c_TMAP1IN)-(c_TFWD))*(((C147)-(c_TFWD))*((c_TMAP1OUT)-(0))+IF(((c_TMAP1OUT)-(0))&gt;=0,1,-1)*QUOTIENT(((c_TMAP1IN)-(c_TFWD)),2))+2147483648,4294967296)-2147483648,((c_TMAP1IN)-(c_TFWD))*(((C147)-(c_TFWD))*((c_TMAP1OUT)-(0))+IF(((c_TMAP1OUT)-(0))&gt;=0,1,-1)*QUOTIENT(((c_TMAP1IN)-(c_TFWD)),2)))&lt;0,-1,0),IF(IF(o_WRAP=1,MOD(((c_TMAP1IN)-(c_TFWD))*(((C147)-(c_TFWD))*((c_TMAP1OUT)-(0))+IF(((c_TMAP1OUT)-(0))&gt;=0,1,-1)*QUOTIENT(((c_TMAP1IN)-(c_TFWD)),2))+2147483648,4294967296)-2147483648,((c_TMAP1IN)-(c_TFWD))*(((C147)-(c_TFWD))*((c_TMAP1OUT)-(0))+IF(((c_TMAP1OUT)-(0))&gt;=0,1,-1)*QUOTIENT(((c_TMAP1IN)-(c_TFWD)),2)))&gt;=0,1,0)))</f>
        <v>-8</v>
      </c>
      <c r="F147" s="7" t="n">
        <f aca="false">IF(((c_TMAP2IN)-(c_TMAP1IN))=0,(c_TMAP1OUT)+QUOTIENT(((c_TMAP2OUT)-(c_TMAP1OUT)),2),QUOTIENT((((C147)-(c_TMAP1IN))*((c_TMAP2OUT)-(c_TMAP1OUT))+IF(((c_TMAP2OUT)-(c_TMAP1OUT))&gt;=0,1,-1)*QUOTIENT(((c_TMAP2IN)-(c_TMAP1IN)),2)),((c_TMAP2IN)-(c_TMAP1IN)))+(c_TMAP1OUT)+IF(((c_TMAP2OUT)-(c_TMAP1OUT))&gt;=0,IF(IF(o_WRAP=1,MOD(((c_TMAP2IN)-(c_TMAP1IN))*(((C147)-(c_TMAP1IN))*((c_TMAP2OUT)-(c_TMAP1OUT))+IF(((c_TMAP2OUT)-(c_TMAP1OUT))&gt;=0,1,-1)*QUOTIENT(((c_TMAP2IN)-(c_TMAP1IN)),2))+2147483648,4294967296)-2147483648,((c_TMAP2IN)-(c_TMAP1IN))*(((C147)-(c_TMAP1IN))*((c_TMAP2OUT)-(c_TMAP1OUT))+IF(((c_TMAP2OUT)-(c_TMAP1OUT))&gt;=0,1,-1)*QUOTIENT(((c_TMAP2IN)-(c_TMAP1IN)),2)))&lt;0,-1,0),IF(IF(o_WRAP=1,MOD(((c_TMAP2IN)-(c_TMAP1IN))*(((C147)-(c_TMAP1IN))*((c_TMAP2OUT)-(c_TMAP1OUT))+IF(((c_TMAP2OUT)-(c_TMAP1OUT))&gt;=0,1,-1)*QUOTIENT(((c_TMAP2IN)-(c_TMAP1IN)),2))+2147483648,4294967296)-2147483648,((c_TMAP2IN)-(c_TMAP1IN))*(((C147)-(c_TMAP1IN))*((c_TMAP2OUT)-(c_TMAP1OUT))+IF(((c_TMAP2OUT)-(c_TMAP1OUT))&gt;=0,1,-1)*QUOTIENT(((c_TMAP2IN)-(c_TMAP1IN)),2)))&gt;=0,1,0)))</f>
        <v>30</v>
      </c>
      <c r="G147" s="7" t="n">
        <f aca="false">IF(((c_TMAP3IN)-(c_TMAP2IN))=0,(c_TMAP2OUT)+QUOTIENT(((c_TMAP3OUT)-(c_TMAP2OUT)),2),QUOTIENT((((C147)-(c_TMAP2IN))*((c_TMAP3OUT)-(c_TMAP2OUT))+IF(((c_TMAP3OUT)-(c_TMAP2OUT))&gt;=0,1,-1)*QUOTIENT(((c_TMAP3IN)-(c_TMAP2IN)),2)),((c_TMAP3IN)-(c_TMAP2IN)))+(c_TMAP2OUT)+IF(((c_TMAP3OUT)-(c_TMAP2OUT))&gt;=0,IF(IF(o_WRAP=1,MOD(((c_TMAP3IN)-(c_TMAP2IN))*(((C147)-(c_TMAP2IN))*((c_TMAP3OUT)-(c_TMAP2OUT))+IF(((c_TMAP3OUT)-(c_TMAP2OUT))&gt;=0,1,-1)*QUOTIENT(((c_TMAP3IN)-(c_TMAP2IN)),2))+2147483648,4294967296)-2147483648,((c_TMAP3IN)-(c_TMAP2IN))*(((C147)-(c_TMAP2IN))*((c_TMAP3OUT)-(c_TMAP2OUT))+IF(((c_TMAP3OUT)-(c_TMAP2OUT))&gt;=0,1,-1)*QUOTIENT(((c_TMAP3IN)-(c_TMAP2IN)),2)))&lt;0,-1,0),IF(IF(o_WRAP=1,MOD(((c_TMAP3IN)-(c_TMAP2IN))*(((C147)-(c_TMAP2IN))*((c_TMAP3OUT)-(c_TMAP2OUT))+IF(((c_TMAP3OUT)-(c_TMAP2OUT))&gt;=0,1,-1)*QUOTIENT(((c_TMAP3IN)-(c_TMAP2IN)),2))+2147483648,4294967296)-2147483648,((c_TMAP3IN)-(c_TMAP2IN))*(((C147)-(c_TMAP2IN))*((c_TMAP3OUT)-(c_TMAP2OUT))+IF(((c_TMAP3OUT)-(c_TMAP2OUT))&gt;=0,1,-1)*QUOTIENT(((c_TMAP3IN)-(c_TMAP2IN)),2)))&gt;=0,1,0)))</f>
        <v>-45</v>
      </c>
      <c r="H147" s="7" t="n">
        <f aca="false">IF(((1000)-(c_TMAP3IN))=0,(c_TMAP3OUT)+QUOTIENT(((1000)-(c_TMAP3OUT)),2),QUOTIENT((((C147)-(c_TMAP3IN))*((1000)-(c_TMAP3OUT))+IF(((1000)-(c_TMAP3OUT))&gt;=0,1,-1)*QUOTIENT(((1000)-(c_TMAP3IN)),2)),((1000)-(c_TMAP3IN)))+(c_TMAP3OUT)+IF(((1000)-(c_TMAP3OUT))&gt;=0,IF(IF(o_WRAP=1,MOD(((1000)-(c_TMAP3IN))*(((C147)-(c_TMAP3IN))*((1000)-(c_TMAP3OUT))+IF(((1000)-(c_TMAP3OUT))&gt;=0,1,-1)*QUOTIENT(((1000)-(c_TMAP3IN)),2))+2147483648,4294967296)-2147483648,((1000)-(c_TMAP3IN))*(((C147)-(c_TMAP3IN))*((1000)-(c_TMAP3OUT))+IF(((1000)-(c_TMAP3OUT))&gt;=0,1,-1)*QUOTIENT(((1000)-(c_TMAP3IN)),2)))&lt;0,-1,0),IF(IF(o_WRAP=1,MOD(((1000)-(c_TMAP3IN))*(((C147)-(c_TMAP3IN))*((1000)-(c_TMAP3OUT))+IF(((1000)-(c_TMAP3OUT))&gt;=0,1,-1)*QUOTIENT(((1000)-(c_TMAP3IN)),2))+2147483648,4294967296)-2147483648,((1000)-(c_TMAP3IN))*(((C147)-(c_TMAP3IN))*((1000)-(c_TMAP3OUT))+IF(((1000)-(c_TMAP3OUT))&gt;=0,1,-1)*QUOTIENT(((1000)-(c_TMAP3IN)),2)))&gt;=0,1,0)))</f>
        <v>-231</v>
      </c>
      <c r="I147" s="7" t="n">
        <f aca="false">IF(C147&gt;=c_TFWD,IF(AND(C147&gt;=c_TMAP3IN,c_TMAP3IN&lt;1000),H147,IF(AND(C147&gt;=c_TMAP2IN,c_TMAP3IN&gt;c_TMAP2IN),G147,IF(AND(C147&gt;=c_TMAP1IN,c_TMAP2IN&gt;c_TMAP1IN),F147,E147))),D147)</f>
        <v>-350</v>
      </c>
      <c r="J147" s="7" t="str">
        <f aca="false">IF(I147&lt;-1090,"TOO LOW",IF(I147&gt;1090,"TOO HIGH",""))</f>
        <v/>
      </c>
      <c r="K147" s="7" t="n">
        <f aca="false">IF(J147&lt;&gt;"",0,IF(I147&gt;979,1000,I147))</f>
        <v>-350</v>
      </c>
      <c r="L147" s="7" t="n">
        <f aca="false">IF(OR(c_TSMOOTH=0,K147&gt;=c_TSMOOTHCUT),1,0)</f>
        <v>0</v>
      </c>
      <c r="M147" s="7" t="n">
        <f aca="false">IF(L147=1,0,M146+1)</f>
        <v>61</v>
      </c>
      <c r="N147" s="7" t="n">
        <f aca="false">IF(L147=1,0,MIN(M147,c_TSMOOTH))</f>
        <v>30</v>
      </c>
      <c r="O147" s="7" t="n">
        <f aca="false">IF(COUNTIF($L$5:L147,1)&gt;0,c_TSMOOTHCUT,0)</f>
        <v>400</v>
      </c>
      <c r="P147" s="15" t="n">
        <f aca="true">IF(L147=1,K147,QUOTIENT(SUM(OFFSET(K147,1-N147,0,N147,1))+(c_TSMOOTH-N147)*O147,c_TSMOOTH))</f>
        <v>-350</v>
      </c>
      <c r="Q147" s="7" t="n">
        <f aca="false">K147/10</f>
        <v>-35</v>
      </c>
      <c r="R147" s="7" t="n">
        <f aca="false">P147/10</f>
        <v>-35</v>
      </c>
    </row>
    <row r="148" customFormat="false" ht="15" hidden="false" customHeight="false" outlineLevel="0" collapsed="false">
      <c r="A148" s="7" t="n">
        <v>143</v>
      </c>
      <c r="B148" s="7" t="n">
        <f aca="false">A148*0.04</f>
        <v>5.72</v>
      </c>
      <c r="C148" s="18" t="n">
        <v>0</v>
      </c>
      <c r="D148" s="7" t="n">
        <f aca="false">IF(AND(C148=0,c_TCREEP&gt;0),10*c_TCREEP,IF(AND(C148&lt;=c_TRNGMIN,C148&gt;=c_TRNGMAX,c_TRNGMIN-c_TRNGMAX&lt;&gt;0),-10*c_TMINRN+QUOTIENT((c_TMAXRN-c_TMINRN)*(100-QUOTIENT((C148-c_TRNGMAX)*100,c_TRNGMIN-c_TRNGMAX)),-10),0))</f>
        <v>-350</v>
      </c>
      <c r="E148" s="7" t="n">
        <f aca="false">IF(((c_TMAP1IN)-(c_TFWD))=0,(0)+QUOTIENT(((c_TMAP1OUT)-(0)),2),QUOTIENT((((C148)-(c_TFWD))*((c_TMAP1OUT)-(0))+IF(((c_TMAP1OUT)-(0))&gt;=0,1,-1)*QUOTIENT(((c_TMAP1IN)-(c_TFWD)),2)),((c_TMAP1IN)-(c_TFWD)))+(0)+IF(((c_TMAP1OUT)-(0))&gt;=0,IF(IF(o_WRAP=1,MOD(((c_TMAP1IN)-(c_TFWD))*(((C148)-(c_TFWD))*((c_TMAP1OUT)-(0))+IF(((c_TMAP1OUT)-(0))&gt;=0,1,-1)*QUOTIENT(((c_TMAP1IN)-(c_TFWD)),2))+2147483648,4294967296)-2147483648,((c_TMAP1IN)-(c_TFWD))*(((C148)-(c_TFWD))*((c_TMAP1OUT)-(0))+IF(((c_TMAP1OUT)-(0))&gt;=0,1,-1)*QUOTIENT(((c_TMAP1IN)-(c_TFWD)),2)))&lt;0,-1,0),IF(IF(o_WRAP=1,MOD(((c_TMAP1IN)-(c_TFWD))*(((C148)-(c_TFWD))*((c_TMAP1OUT)-(0))+IF(((c_TMAP1OUT)-(0))&gt;=0,1,-1)*QUOTIENT(((c_TMAP1IN)-(c_TFWD)),2))+2147483648,4294967296)-2147483648,((c_TMAP1IN)-(c_TFWD))*(((C148)-(c_TFWD))*((c_TMAP1OUT)-(0))+IF(((c_TMAP1OUT)-(0))&gt;=0,1,-1)*QUOTIENT(((c_TMAP1IN)-(c_TFWD)),2)))&gt;=0,1,0)))</f>
        <v>-8</v>
      </c>
      <c r="F148" s="7" t="n">
        <f aca="false">IF(((c_TMAP2IN)-(c_TMAP1IN))=0,(c_TMAP1OUT)+QUOTIENT(((c_TMAP2OUT)-(c_TMAP1OUT)),2),QUOTIENT((((C148)-(c_TMAP1IN))*((c_TMAP2OUT)-(c_TMAP1OUT))+IF(((c_TMAP2OUT)-(c_TMAP1OUT))&gt;=0,1,-1)*QUOTIENT(((c_TMAP2IN)-(c_TMAP1IN)),2)),((c_TMAP2IN)-(c_TMAP1IN)))+(c_TMAP1OUT)+IF(((c_TMAP2OUT)-(c_TMAP1OUT))&gt;=0,IF(IF(o_WRAP=1,MOD(((c_TMAP2IN)-(c_TMAP1IN))*(((C148)-(c_TMAP1IN))*((c_TMAP2OUT)-(c_TMAP1OUT))+IF(((c_TMAP2OUT)-(c_TMAP1OUT))&gt;=0,1,-1)*QUOTIENT(((c_TMAP2IN)-(c_TMAP1IN)),2))+2147483648,4294967296)-2147483648,((c_TMAP2IN)-(c_TMAP1IN))*(((C148)-(c_TMAP1IN))*((c_TMAP2OUT)-(c_TMAP1OUT))+IF(((c_TMAP2OUT)-(c_TMAP1OUT))&gt;=0,1,-1)*QUOTIENT(((c_TMAP2IN)-(c_TMAP1IN)),2)))&lt;0,-1,0),IF(IF(o_WRAP=1,MOD(((c_TMAP2IN)-(c_TMAP1IN))*(((C148)-(c_TMAP1IN))*((c_TMAP2OUT)-(c_TMAP1OUT))+IF(((c_TMAP2OUT)-(c_TMAP1OUT))&gt;=0,1,-1)*QUOTIENT(((c_TMAP2IN)-(c_TMAP1IN)),2))+2147483648,4294967296)-2147483648,((c_TMAP2IN)-(c_TMAP1IN))*(((C148)-(c_TMAP1IN))*((c_TMAP2OUT)-(c_TMAP1OUT))+IF(((c_TMAP2OUT)-(c_TMAP1OUT))&gt;=0,1,-1)*QUOTIENT(((c_TMAP2IN)-(c_TMAP1IN)),2)))&gt;=0,1,0)))</f>
        <v>30</v>
      </c>
      <c r="G148" s="7" t="n">
        <f aca="false">IF(((c_TMAP3IN)-(c_TMAP2IN))=0,(c_TMAP2OUT)+QUOTIENT(((c_TMAP3OUT)-(c_TMAP2OUT)),2),QUOTIENT((((C148)-(c_TMAP2IN))*((c_TMAP3OUT)-(c_TMAP2OUT))+IF(((c_TMAP3OUT)-(c_TMAP2OUT))&gt;=0,1,-1)*QUOTIENT(((c_TMAP3IN)-(c_TMAP2IN)),2)),((c_TMAP3IN)-(c_TMAP2IN)))+(c_TMAP2OUT)+IF(((c_TMAP3OUT)-(c_TMAP2OUT))&gt;=0,IF(IF(o_WRAP=1,MOD(((c_TMAP3IN)-(c_TMAP2IN))*(((C148)-(c_TMAP2IN))*((c_TMAP3OUT)-(c_TMAP2OUT))+IF(((c_TMAP3OUT)-(c_TMAP2OUT))&gt;=0,1,-1)*QUOTIENT(((c_TMAP3IN)-(c_TMAP2IN)),2))+2147483648,4294967296)-2147483648,((c_TMAP3IN)-(c_TMAP2IN))*(((C148)-(c_TMAP2IN))*((c_TMAP3OUT)-(c_TMAP2OUT))+IF(((c_TMAP3OUT)-(c_TMAP2OUT))&gt;=0,1,-1)*QUOTIENT(((c_TMAP3IN)-(c_TMAP2IN)),2)))&lt;0,-1,0),IF(IF(o_WRAP=1,MOD(((c_TMAP3IN)-(c_TMAP2IN))*(((C148)-(c_TMAP2IN))*((c_TMAP3OUT)-(c_TMAP2OUT))+IF(((c_TMAP3OUT)-(c_TMAP2OUT))&gt;=0,1,-1)*QUOTIENT(((c_TMAP3IN)-(c_TMAP2IN)),2))+2147483648,4294967296)-2147483648,((c_TMAP3IN)-(c_TMAP2IN))*(((C148)-(c_TMAP2IN))*((c_TMAP3OUT)-(c_TMAP2OUT))+IF(((c_TMAP3OUT)-(c_TMAP2OUT))&gt;=0,1,-1)*QUOTIENT(((c_TMAP3IN)-(c_TMAP2IN)),2)))&gt;=0,1,0)))</f>
        <v>-45</v>
      </c>
      <c r="H148" s="7" t="n">
        <f aca="false">IF(((1000)-(c_TMAP3IN))=0,(c_TMAP3OUT)+QUOTIENT(((1000)-(c_TMAP3OUT)),2),QUOTIENT((((C148)-(c_TMAP3IN))*((1000)-(c_TMAP3OUT))+IF(((1000)-(c_TMAP3OUT))&gt;=0,1,-1)*QUOTIENT(((1000)-(c_TMAP3IN)),2)),((1000)-(c_TMAP3IN)))+(c_TMAP3OUT)+IF(((1000)-(c_TMAP3OUT))&gt;=0,IF(IF(o_WRAP=1,MOD(((1000)-(c_TMAP3IN))*(((C148)-(c_TMAP3IN))*((1000)-(c_TMAP3OUT))+IF(((1000)-(c_TMAP3OUT))&gt;=0,1,-1)*QUOTIENT(((1000)-(c_TMAP3IN)),2))+2147483648,4294967296)-2147483648,((1000)-(c_TMAP3IN))*(((C148)-(c_TMAP3IN))*((1000)-(c_TMAP3OUT))+IF(((1000)-(c_TMAP3OUT))&gt;=0,1,-1)*QUOTIENT(((1000)-(c_TMAP3IN)),2)))&lt;0,-1,0),IF(IF(o_WRAP=1,MOD(((1000)-(c_TMAP3IN))*(((C148)-(c_TMAP3IN))*((1000)-(c_TMAP3OUT))+IF(((1000)-(c_TMAP3OUT))&gt;=0,1,-1)*QUOTIENT(((1000)-(c_TMAP3IN)),2))+2147483648,4294967296)-2147483648,((1000)-(c_TMAP3IN))*(((C148)-(c_TMAP3IN))*((1000)-(c_TMAP3OUT))+IF(((1000)-(c_TMAP3OUT))&gt;=0,1,-1)*QUOTIENT(((1000)-(c_TMAP3IN)),2)))&gt;=0,1,0)))</f>
        <v>-231</v>
      </c>
      <c r="I148" s="7" t="n">
        <f aca="false">IF(C148&gt;=c_TFWD,IF(AND(C148&gt;=c_TMAP3IN,c_TMAP3IN&lt;1000),H148,IF(AND(C148&gt;=c_TMAP2IN,c_TMAP3IN&gt;c_TMAP2IN),G148,IF(AND(C148&gt;=c_TMAP1IN,c_TMAP2IN&gt;c_TMAP1IN),F148,E148))),D148)</f>
        <v>-350</v>
      </c>
      <c r="J148" s="7" t="str">
        <f aca="false">IF(I148&lt;-1090,"TOO LOW",IF(I148&gt;1090,"TOO HIGH",""))</f>
        <v/>
      </c>
      <c r="K148" s="7" t="n">
        <f aca="false">IF(J148&lt;&gt;"",0,IF(I148&gt;979,1000,I148))</f>
        <v>-350</v>
      </c>
      <c r="L148" s="7" t="n">
        <f aca="false">IF(OR(c_TSMOOTH=0,K148&gt;=c_TSMOOTHCUT),1,0)</f>
        <v>0</v>
      </c>
      <c r="M148" s="7" t="n">
        <f aca="false">IF(L148=1,0,M147+1)</f>
        <v>62</v>
      </c>
      <c r="N148" s="7" t="n">
        <f aca="false">IF(L148=1,0,MIN(M148,c_TSMOOTH))</f>
        <v>30</v>
      </c>
      <c r="O148" s="7" t="n">
        <f aca="false">IF(COUNTIF($L$5:L148,1)&gt;0,c_TSMOOTHCUT,0)</f>
        <v>400</v>
      </c>
      <c r="P148" s="15" t="n">
        <f aca="true">IF(L148=1,K148,QUOTIENT(SUM(OFFSET(K148,1-N148,0,N148,1))+(c_TSMOOTH-N148)*O148,c_TSMOOTH))</f>
        <v>-350</v>
      </c>
      <c r="Q148" s="7" t="n">
        <f aca="false">K148/10</f>
        <v>-35</v>
      </c>
      <c r="R148" s="7" t="n">
        <f aca="false">P148/10</f>
        <v>-35</v>
      </c>
    </row>
    <row r="149" customFormat="false" ht="15" hidden="false" customHeight="false" outlineLevel="0" collapsed="false">
      <c r="A149" s="7" t="n">
        <v>144</v>
      </c>
      <c r="B149" s="7" t="n">
        <f aca="false">A149*0.04</f>
        <v>5.76</v>
      </c>
      <c r="C149" s="18" t="n">
        <v>0</v>
      </c>
      <c r="D149" s="7" t="n">
        <f aca="false">IF(AND(C149=0,c_TCREEP&gt;0),10*c_TCREEP,IF(AND(C149&lt;=c_TRNGMIN,C149&gt;=c_TRNGMAX,c_TRNGMIN-c_TRNGMAX&lt;&gt;0),-10*c_TMINRN+QUOTIENT((c_TMAXRN-c_TMINRN)*(100-QUOTIENT((C149-c_TRNGMAX)*100,c_TRNGMIN-c_TRNGMAX)),-10),0))</f>
        <v>-350</v>
      </c>
      <c r="E149" s="7" t="n">
        <f aca="false">IF(((c_TMAP1IN)-(c_TFWD))=0,(0)+QUOTIENT(((c_TMAP1OUT)-(0)),2),QUOTIENT((((C149)-(c_TFWD))*((c_TMAP1OUT)-(0))+IF(((c_TMAP1OUT)-(0))&gt;=0,1,-1)*QUOTIENT(((c_TMAP1IN)-(c_TFWD)),2)),((c_TMAP1IN)-(c_TFWD)))+(0)+IF(((c_TMAP1OUT)-(0))&gt;=0,IF(IF(o_WRAP=1,MOD(((c_TMAP1IN)-(c_TFWD))*(((C149)-(c_TFWD))*((c_TMAP1OUT)-(0))+IF(((c_TMAP1OUT)-(0))&gt;=0,1,-1)*QUOTIENT(((c_TMAP1IN)-(c_TFWD)),2))+2147483648,4294967296)-2147483648,((c_TMAP1IN)-(c_TFWD))*(((C149)-(c_TFWD))*((c_TMAP1OUT)-(0))+IF(((c_TMAP1OUT)-(0))&gt;=0,1,-1)*QUOTIENT(((c_TMAP1IN)-(c_TFWD)),2)))&lt;0,-1,0),IF(IF(o_WRAP=1,MOD(((c_TMAP1IN)-(c_TFWD))*(((C149)-(c_TFWD))*((c_TMAP1OUT)-(0))+IF(((c_TMAP1OUT)-(0))&gt;=0,1,-1)*QUOTIENT(((c_TMAP1IN)-(c_TFWD)),2))+2147483648,4294967296)-2147483648,((c_TMAP1IN)-(c_TFWD))*(((C149)-(c_TFWD))*((c_TMAP1OUT)-(0))+IF(((c_TMAP1OUT)-(0))&gt;=0,1,-1)*QUOTIENT(((c_TMAP1IN)-(c_TFWD)),2)))&gt;=0,1,0)))</f>
        <v>-8</v>
      </c>
      <c r="F149" s="7" t="n">
        <f aca="false">IF(((c_TMAP2IN)-(c_TMAP1IN))=0,(c_TMAP1OUT)+QUOTIENT(((c_TMAP2OUT)-(c_TMAP1OUT)),2),QUOTIENT((((C149)-(c_TMAP1IN))*((c_TMAP2OUT)-(c_TMAP1OUT))+IF(((c_TMAP2OUT)-(c_TMAP1OUT))&gt;=0,1,-1)*QUOTIENT(((c_TMAP2IN)-(c_TMAP1IN)),2)),((c_TMAP2IN)-(c_TMAP1IN)))+(c_TMAP1OUT)+IF(((c_TMAP2OUT)-(c_TMAP1OUT))&gt;=0,IF(IF(o_WRAP=1,MOD(((c_TMAP2IN)-(c_TMAP1IN))*(((C149)-(c_TMAP1IN))*((c_TMAP2OUT)-(c_TMAP1OUT))+IF(((c_TMAP2OUT)-(c_TMAP1OUT))&gt;=0,1,-1)*QUOTIENT(((c_TMAP2IN)-(c_TMAP1IN)),2))+2147483648,4294967296)-2147483648,((c_TMAP2IN)-(c_TMAP1IN))*(((C149)-(c_TMAP1IN))*((c_TMAP2OUT)-(c_TMAP1OUT))+IF(((c_TMAP2OUT)-(c_TMAP1OUT))&gt;=0,1,-1)*QUOTIENT(((c_TMAP2IN)-(c_TMAP1IN)),2)))&lt;0,-1,0),IF(IF(o_WRAP=1,MOD(((c_TMAP2IN)-(c_TMAP1IN))*(((C149)-(c_TMAP1IN))*((c_TMAP2OUT)-(c_TMAP1OUT))+IF(((c_TMAP2OUT)-(c_TMAP1OUT))&gt;=0,1,-1)*QUOTIENT(((c_TMAP2IN)-(c_TMAP1IN)),2))+2147483648,4294967296)-2147483648,((c_TMAP2IN)-(c_TMAP1IN))*(((C149)-(c_TMAP1IN))*((c_TMAP2OUT)-(c_TMAP1OUT))+IF(((c_TMAP2OUT)-(c_TMAP1OUT))&gt;=0,1,-1)*QUOTIENT(((c_TMAP2IN)-(c_TMAP1IN)),2)))&gt;=0,1,0)))</f>
        <v>30</v>
      </c>
      <c r="G149" s="7" t="n">
        <f aca="false">IF(((c_TMAP3IN)-(c_TMAP2IN))=0,(c_TMAP2OUT)+QUOTIENT(((c_TMAP3OUT)-(c_TMAP2OUT)),2),QUOTIENT((((C149)-(c_TMAP2IN))*((c_TMAP3OUT)-(c_TMAP2OUT))+IF(((c_TMAP3OUT)-(c_TMAP2OUT))&gt;=0,1,-1)*QUOTIENT(((c_TMAP3IN)-(c_TMAP2IN)),2)),((c_TMAP3IN)-(c_TMAP2IN)))+(c_TMAP2OUT)+IF(((c_TMAP3OUT)-(c_TMAP2OUT))&gt;=0,IF(IF(o_WRAP=1,MOD(((c_TMAP3IN)-(c_TMAP2IN))*(((C149)-(c_TMAP2IN))*((c_TMAP3OUT)-(c_TMAP2OUT))+IF(((c_TMAP3OUT)-(c_TMAP2OUT))&gt;=0,1,-1)*QUOTIENT(((c_TMAP3IN)-(c_TMAP2IN)),2))+2147483648,4294967296)-2147483648,((c_TMAP3IN)-(c_TMAP2IN))*(((C149)-(c_TMAP2IN))*((c_TMAP3OUT)-(c_TMAP2OUT))+IF(((c_TMAP3OUT)-(c_TMAP2OUT))&gt;=0,1,-1)*QUOTIENT(((c_TMAP3IN)-(c_TMAP2IN)),2)))&lt;0,-1,0),IF(IF(o_WRAP=1,MOD(((c_TMAP3IN)-(c_TMAP2IN))*(((C149)-(c_TMAP2IN))*((c_TMAP3OUT)-(c_TMAP2OUT))+IF(((c_TMAP3OUT)-(c_TMAP2OUT))&gt;=0,1,-1)*QUOTIENT(((c_TMAP3IN)-(c_TMAP2IN)),2))+2147483648,4294967296)-2147483648,((c_TMAP3IN)-(c_TMAP2IN))*(((C149)-(c_TMAP2IN))*((c_TMAP3OUT)-(c_TMAP2OUT))+IF(((c_TMAP3OUT)-(c_TMAP2OUT))&gt;=0,1,-1)*QUOTIENT(((c_TMAP3IN)-(c_TMAP2IN)),2)))&gt;=0,1,0)))</f>
        <v>-45</v>
      </c>
      <c r="H149" s="7" t="n">
        <f aca="false">IF(((1000)-(c_TMAP3IN))=0,(c_TMAP3OUT)+QUOTIENT(((1000)-(c_TMAP3OUT)),2),QUOTIENT((((C149)-(c_TMAP3IN))*((1000)-(c_TMAP3OUT))+IF(((1000)-(c_TMAP3OUT))&gt;=0,1,-1)*QUOTIENT(((1000)-(c_TMAP3IN)),2)),((1000)-(c_TMAP3IN)))+(c_TMAP3OUT)+IF(((1000)-(c_TMAP3OUT))&gt;=0,IF(IF(o_WRAP=1,MOD(((1000)-(c_TMAP3IN))*(((C149)-(c_TMAP3IN))*((1000)-(c_TMAP3OUT))+IF(((1000)-(c_TMAP3OUT))&gt;=0,1,-1)*QUOTIENT(((1000)-(c_TMAP3IN)),2))+2147483648,4294967296)-2147483648,((1000)-(c_TMAP3IN))*(((C149)-(c_TMAP3IN))*((1000)-(c_TMAP3OUT))+IF(((1000)-(c_TMAP3OUT))&gt;=0,1,-1)*QUOTIENT(((1000)-(c_TMAP3IN)),2)))&lt;0,-1,0),IF(IF(o_WRAP=1,MOD(((1000)-(c_TMAP3IN))*(((C149)-(c_TMAP3IN))*((1000)-(c_TMAP3OUT))+IF(((1000)-(c_TMAP3OUT))&gt;=0,1,-1)*QUOTIENT(((1000)-(c_TMAP3IN)),2))+2147483648,4294967296)-2147483648,((1000)-(c_TMAP3IN))*(((C149)-(c_TMAP3IN))*((1000)-(c_TMAP3OUT))+IF(((1000)-(c_TMAP3OUT))&gt;=0,1,-1)*QUOTIENT(((1000)-(c_TMAP3IN)),2)))&gt;=0,1,0)))</f>
        <v>-231</v>
      </c>
      <c r="I149" s="7" t="n">
        <f aca="false">IF(C149&gt;=c_TFWD,IF(AND(C149&gt;=c_TMAP3IN,c_TMAP3IN&lt;1000),H149,IF(AND(C149&gt;=c_TMAP2IN,c_TMAP3IN&gt;c_TMAP2IN),G149,IF(AND(C149&gt;=c_TMAP1IN,c_TMAP2IN&gt;c_TMAP1IN),F149,E149))),D149)</f>
        <v>-350</v>
      </c>
      <c r="J149" s="7" t="str">
        <f aca="false">IF(I149&lt;-1090,"TOO LOW",IF(I149&gt;1090,"TOO HIGH",""))</f>
        <v/>
      </c>
      <c r="K149" s="7" t="n">
        <f aca="false">IF(J149&lt;&gt;"",0,IF(I149&gt;979,1000,I149))</f>
        <v>-350</v>
      </c>
      <c r="L149" s="7" t="n">
        <f aca="false">IF(OR(c_TSMOOTH=0,K149&gt;=c_TSMOOTHCUT),1,0)</f>
        <v>0</v>
      </c>
      <c r="M149" s="7" t="n">
        <f aca="false">IF(L149=1,0,M148+1)</f>
        <v>63</v>
      </c>
      <c r="N149" s="7" t="n">
        <f aca="false">IF(L149=1,0,MIN(M149,c_TSMOOTH))</f>
        <v>30</v>
      </c>
      <c r="O149" s="7" t="n">
        <f aca="false">IF(COUNTIF($L$5:L149,1)&gt;0,c_TSMOOTHCUT,0)</f>
        <v>400</v>
      </c>
      <c r="P149" s="15" t="n">
        <f aca="true">IF(L149=1,K149,QUOTIENT(SUM(OFFSET(K149,1-N149,0,N149,1))+(c_TSMOOTH-N149)*O149,c_TSMOOTH))</f>
        <v>-350</v>
      </c>
      <c r="Q149" s="7" t="n">
        <f aca="false">K149/10</f>
        <v>-35</v>
      </c>
      <c r="R149" s="7" t="n">
        <f aca="false">P149/10</f>
        <v>-35</v>
      </c>
    </row>
    <row r="150" customFormat="false" ht="15" hidden="false" customHeight="false" outlineLevel="0" collapsed="false">
      <c r="A150" s="7" t="n">
        <v>145</v>
      </c>
      <c r="B150" s="7" t="n">
        <f aca="false">A150*0.04</f>
        <v>5.8</v>
      </c>
      <c r="C150" s="18" t="n">
        <v>0</v>
      </c>
      <c r="D150" s="7" t="n">
        <f aca="false">IF(AND(C150=0,c_TCREEP&gt;0),10*c_TCREEP,IF(AND(C150&lt;=c_TRNGMIN,C150&gt;=c_TRNGMAX,c_TRNGMIN-c_TRNGMAX&lt;&gt;0),-10*c_TMINRN+QUOTIENT((c_TMAXRN-c_TMINRN)*(100-QUOTIENT((C150-c_TRNGMAX)*100,c_TRNGMIN-c_TRNGMAX)),-10),0))</f>
        <v>-350</v>
      </c>
      <c r="E150" s="7" t="n">
        <f aca="false">IF(((c_TMAP1IN)-(c_TFWD))=0,(0)+QUOTIENT(((c_TMAP1OUT)-(0)),2),QUOTIENT((((C150)-(c_TFWD))*((c_TMAP1OUT)-(0))+IF(((c_TMAP1OUT)-(0))&gt;=0,1,-1)*QUOTIENT(((c_TMAP1IN)-(c_TFWD)),2)),((c_TMAP1IN)-(c_TFWD)))+(0)+IF(((c_TMAP1OUT)-(0))&gt;=0,IF(IF(o_WRAP=1,MOD(((c_TMAP1IN)-(c_TFWD))*(((C150)-(c_TFWD))*((c_TMAP1OUT)-(0))+IF(((c_TMAP1OUT)-(0))&gt;=0,1,-1)*QUOTIENT(((c_TMAP1IN)-(c_TFWD)),2))+2147483648,4294967296)-2147483648,((c_TMAP1IN)-(c_TFWD))*(((C150)-(c_TFWD))*((c_TMAP1OUT)-(0))+IF(((c_TMAP1OUT)-(0))&gt;=0,1,-1)*QUOTIENT(((c_TMAP1IN)-(c_TFWD)),2)))&lt;0,-1,0),IF(IF(o_WRAP=1,MOD(((c_TMAP1IN)-(c_TFWD))*(((C150)-(c_TFWD))*((c_TMAP1OUT)-(0))+IF(((c_TMAP1OUT)-(0))&gt;=0,1,-1)*QUOTIENT(((c_TMAP1IN)-(c_TFWD)),2))+2147483648,4294967296)-2147483648,((c_TMAP1IN)-(c_TFWD))*(((C150)-(c_TFWD))*((c_TMAP1OUT)-(0))+IF(((c_TMAP1OUT)-(0))&gt;=0,1,-1)*QUOTIENT(((c_TMAP1IN)-(c_TFWD)),2)))&gt;=0,1,0)))</f>
        <v>-8</v>
      </c>
      <c r="F150" s="7" t="n">
        <f aca="false">IF(((c_TMAP2IN)-(c_TMAP1IN))=0,(c_TMAP1OUT)+QUOTIENT(((c_TMAP2OUT)-(c_TMAP1OUT)),2),QUOTIENT((((C150)-(c_TMAP1IN))*((c_TMAP2OUT)-(c_TMAP1OUT))+IF(((c_TMAP2OUT)-(c_TMAP1OUT))&gt;=0,1,-1)*QUOTIENT(((c_TMAP2IN)-(c_TMAP1IN)),2)),((c_TMAP2IN)-(c_TMAP1IN)))+(c_TMAP1OUT)+IF(((c_TMAP2OUT)-(c_TMAP1OUT))&gt;=0,IF(IF(o_WRAP=1,MOD(((c_TMAP2IN)-(c_TMAP1IN))*(((C150)-(c_TMAP1IN))*((c_TMAP2OUT)-(c_TMAP1OUT))+IF(((c_TMAP2OUT)-(c_TMAP1OUT))&gt;=0,1,-1)*QUOTIENT(((c_TMAP2IN)-(c_TMAP1IN)),2))+2147483648,4294967296)-2147483648,((c_TMAP2IN)-(c_TMAP1IN))*(((C150)-(c_TMAP1IN))*((c_TMAP2OUT)-(c_TMAP1OUT))+IF(((c_TMAP2OUT)-(c_TMAP1OUT))&gt;=0,1,-1)*QUOTIENT(((c_TMAP2IN)-(c_TMAP1IN)),2)))&lt;0,-1,0),IF(IF(o_WRAP=1,MOD(((c_TMAP2IN)-(c_TMAP1IN))*(((C150)-(c_TMAP1IN))*((c_TMAP2OUT)-(c_TMAP1OUT))+IF(((c_TMAP2OUT)-(c_TMAP1OUT))&gt;=0,1,-1)*QUOTIENT(((c_TMAP2IN)-(c_TMAP1IN)),2))+2147483648,4294967296)-2147483648,((c_TMAP2IN)-(c_TMAP1IN))*(((C150)-(c_TMAP1IN))*((c_TMAP2OUT)-(c_TMAP1OUT))+IF(((c_TMAP2OUT)-(c_TMAP1OUT))&gt;=0,1,-1)*QUOTIENT(((c_TMAP2IN)-(c_TMAP1IN)),2)))&gt;=0,1,0)))</f>
        <v>30</v>
      </c>
      <c r="G150" s="7" t="n">
        <f aca="false">IF(((c_TMAP3IN)-(c_TMAP2IN))=0,(c_TMAP2OUT)+QUOTIENT(((c_TMAP3OUT)-(c_TMAP2OUT)),2),QUOTIENT((((C150)-(c_TMAP2IN))*((c_TMAP3OUT)-(c_TMAP2OUT))+IF(((c_TMAP3OUT)-(c_TMAP2OUT))&gt;=0,1,-1)*QUOTIENT(((c_TMAP3IN)-(c_TMAP2IN)),2)),((c_TMAP3IN)-(c_TMAP2IN)))+(c_TMAP2OUT)+IF(((c_TMAP3OUT)-(c_TMAP2OUT))&gt;=0,IF(IF(o_WRAP=1,MOD(((c_TMAP3IN)-(c_TMAP2IN))*(((C150)-(c_TMAP2IN))*((c_TMAP3OUT)-(c_TMAP2OUT))+IF(((c_TMAP3OUT)-(c_TMAP2OUT))&gt;=0,1,-1)*QUOTIENT(((c_TMAP3IN)-(c_TMAP2IN)),2))+2147483648,4294967296)-2147483648,((c_TMAP3IN)-(c_TMAP2IN))*(((C150)-(c_TMAP2IN))*((c_TMAP3OUT)-(c_TMAP2OUT))+IF(((c_TMAP3OUT)-(c_TMAP2OUT))&gt;=0,1,-1)*QUOTIENT(((c_TMAP3IN)-(c_TMAP2IN)),2)))&lt;0,-1,0),IF(IF(o_WRAP=1,MOD(((c_TMAP3IN)-(c_TMAP2IN))*(((C150)-(c_TMAP2IN))*((c_TMAP3OUT)-(c_TMAP2OUT))+IF(((c_TMAP3OUT)-(c_TMAP2OUT))&gt;=0,1,-1)*QUOTIENT(((c_TMAP3IN)-(c_TMAP2IN)),2))+2147483648,4294967296)-2147483648,((c_TMAP3IN)-(c_TMAP2IN))*(((C150)-(c_TMAP2IN))*((c_TMAP3OUT)-(c_TMAP2OUT))+IF(((c_TMAP3OUT)-(c_TMAP2OUT))&gt;=0,1,-1)*QUOTIENT(((c_TMAP3IN)-(c_TMAP2IN)),2)))&gt;=0,1,0)))</f>
        <v>-45</v>
      </c>
      <c r="H150" s="7" t="n">
        <f aca="false">IF(((1000)-(c_TMAP3IN))=0,(c_TMAP3OUT)+QUOTIENT(((1000)-(c_TMAP3OUT)),2),QUOTIENT((((C150)-(c_TMAP3IN))*((1000)-(c_TMAP3OUT))+IF(((1000)-(c_TMAP3OUT))&gt;=0,1,-1)*QUOTIENT(((1000)-(c_TMAP3IN)),2)),((1000)-(c_TMAP3IN)))+(c_TMAP3OUT)+IF(((1000)-(c_TMAP3OUT))&gt;=0,IF(IF(o_WRAP=1,MOD(((1000)-(c_TMAP3IN))*(((C150)-(c_TMAP3IN))*((1000)-(c_TMAP3OUT))+IF(((1000)-(c_TMAP3OUT))&gt;=0,1,-1)*QUOTIENT(((1000)-(c_TMAP3IN)),2))+2147483648,4294967296)-2147483648,((1000)-(c_TMAP3IN))*(((C150)-(c_TMAP3IN))*((1000)-(c_TMAP3OUT))+IF(((1000)-(c_TMAP3OUT))&gt;=0,1,-1)*QUOTIENT(((1000)-(c_TMAP3IN)),2)))&lt;0,-1,0),IF(IF(o_WRAP=1,MOD(((1000)-(c_TMAP3IN))*(((C150)-(c_TMAP3IN))*((1000)-(c_TMAP3OUT))+IF(((1000)-(c_TMAP3OUT))&gt;=0,1,-1)*QUOTIENT(((1000)-(c_TMAP3IN)),2))+2147483648,4294967296)-2147483648,((1000)-(c_TMAP3IN))*(((C150)-(c_TMAP3IN))*((1000)-(c_TMAP3OUT))+IF(((1000)-(c_TMAP3OUT))&gt;=0,1,-1)*QUOTIENT(((1000)-(c_TMAP3IN)),2)))&gt;=0,1,0)))</f>
        <v>-231</v>
      </c>
      <c r="I150" s="7" t="n">
        <f aca="false">IF(C150&gt;=c_TFWD,IF(AND(C150&gt;=c_TMAP3IN,c_TMAP3IN&lt;1000),H150,IF(AND(C150&gt;=c_TMAP2IN,c_TMAP3IN&gt;c_TMAP2IN),G150,IF(AND(C150&gt;=c_TMAP1IN,c_TMAP2IN&gt;c_TMAP1IN),F150,E150))),D150)</f>
        <v>-350</v>
      </c>
      <c r="J150" s="7" t="str">
        <f aca="false">IF(I150&lt;-1090,"TOO LOW",IF(I150&gt;1090,"TOO HIGH",""))</f>
        <v/>
      </c>
      <c r="K150" s="7" t="n">
        <f aca="false">IF(J150&lt;&gt;"",0,IF(I150&gt;979,1000,I150))</f>
        <v>-350</v>
      </c>
      <c r="L150" s="7" t="n">
        <f aca="false">IF(OR(c_TSMOOTH=0,K150&gt;=c_TSMOOTHCUT),1,0)</f>
        <v>0</v>
      </c>
      <c r="M150" s="7" t="n">
        <f aca="false">IF(L150=1,0,M149+1)</f>
        <v>64</v>
      </c>
      <c r="N150" s="7" t="n">
        <f aca="false">IF(L150=1,0,MIN(M150,c_TSMOOTH))</f>
        <v>30</v>
      </c>
      <c r="O150" s="7" t="n">
        <f aca="false">IF(COUNTIF($L$5:L150,1)&gt;0,c_TSMOOTHCUT,0)</f>
        <v>400</v>
      </c>
      <c r="P150" s="15" t="n">
        <f aca="true">IF(L150=1,K150,QUOTIENT(SUM(OFFSET(K150,1-N150,0,N150,1))+(c_TSMOOTH-N150)*O150,c_TSMOOTH))</f>
        <v>-350</v>
      </c>
      <c r="Q150" s="7" t="n">
        <f aca="false">K150/10</f>
        <v>-35</v>
      </c>
      <c r="R150" s="7" t="n">
        <f aca="false">P150/10</f>
        <v>-35</v>
      </c>
    </row>
    <row r="151" customFormat="false" ht="15" hidden="false" customHeight="false" outlineLevel="0" collapsed="false">
      <c r="A151" s="7" t="n">
        <v>146</v>
      </c>
      <c r="B151" s="7" t="n">
        <f aca="false">A151*0.04</f>
        <v>5.84</v>
      </c>
      <c r="C151" s="18" t="n">
        <v>0</v>
      </c>
      <c r="D151" s="7" t="n">
        <f aca="false">IF(AND(C151=0,c_TCREEP&gt;0),10*c_TCREEP,IF(AND(C151&lt;=c_TRNGMIN,C151&gt;=c_TRNGMAX,c_TRNGMIN-c_TRNGMAX&lt;&gt;0),-10*c_TMINRN+QUOTIENT((c_TMAXRN-c_TMINRN)*(100-QUOTIENT((C151-c_TRNGMAX)*100,c_TRNGMIN-c_TRNGMAX)),-10),0))</f>
        <v>-350</v>
      </c>
      <c r="E151" s="7" t="n">
        <f aca="false">IF(((c_TMAP1IN)-(c_TFWD))=0,(0)+QUOTIENT(((c_TMAP1OUT)-(0)),2),QUOTIENT((((C151)-(c_TFWD))*((c_TMAP1OUT)-(0))+IF(((c_TMAP1OUT)-(0))&gt;=0,1,-1)*QUOTIENT(((c_TMAP1IN)-(c_TFWD)),2)),((c_TMAP1IN)-(c_TFWD)))+(0)+IF(((c_TMAP1OUT)-(0))&gt;=0,IF(IF(o_WRAP=1,MOD(((c_TMAP1IN)-(c_TFWD))*(((C151)-(c_TFWD))*((c_TMAP1OUT)-(0))+IF(((c_TMAP1OUT)-(0))&gt;=0,1,-1)*QUOTIENT(((c_TMAP1IN)-(c_TFWD)),2))+2147483648,4294967296)-2147483648,((c_TMAP1IN)-(c_TFWD))*(((C151)-(c_TFWD))*((c_TMAP1OUT)-(0))+IF(((c_TMAP1OUT)-(0))&gt;=0,1,-1)*QUOTIENT(((c_TMAP1IN)-(c_TFWD)),2)))&lt;0,-1,0),IF(IF(o_WRAP=1,MOD(((c_TMAP1IN)-(c_TFWD))*(((C151)-(c_TFWD))*((c_TMAP1OUT)-(0))+IF(((c_TMAP1OUT)-(0))&gt;=0,1,-1)*QUOTIENT(((c_TMAP1IN)-(c_TFWD)),2))+2147483648,4294967296)-2147483648,((c_TMAP1IN)-(c_TFWD))*(((C151)-(c_TFWD))*((c_TMAP1OUT)-(0))+IF(((c_TMAP1OUT)-(0))&gt;=0,1,-1)*QUOTIENT(((c_TMAP1IN)-(c_TFWD)),2)))&gt;=0,1,0)))</f>
        <v>-8</v>
      </c>
      <c r="F151" s="7" t="n">
        <f aca="false">IF(((c_TMAP2IN)-(c_TMAP1IN))=0,(c_TMAP1OUT)+QUOTIENT(((c_TMAP2OUT)-(c_TMAP1OUT)),2),QUOTIENT((((C151)-(c_TMAP1IN))*((c_TMAP2OUT)-(c_TMAP1OUT))+IF(((c_TMAP2OUT)-(c_TMAP1OUT))&gt;=0,1,-1)*QUOTIENT(((c_TMAP2IN)-(c_TMAP1IN)),2)),((c_TMAP2IN)-(c_TMAP1IN)))+(c_TMAP1OUT)+IF(((c_TMAP2OUT)-(c_TMAP1OUT))&gt;=0,IF(IF(o_WRAP=1,MOD(((c_TMAP2IN)-(c_TMAP1IN))*(((C151)-(c_TMAP1IN))*((c_TMAP2OUT)-(c_TMAP1OUT))+IF(((c_TMAP2OUT)-(c_TMAP1OUT))&gt;=0,1,-1)*QUOTIENT(((c_TMAP2IN)-(c_TMAP1IN)),2))+2147483648,4294967296)-2147483648,((c_TMAP2IN)-(c_TMAP1IN))*(((C151)-(c_TMAP1IN))*((c_TMAP2OUT)-(c_TMAP1OUT))+IF(((c_TMAP2OUT)-(c_TMAP1OUT))&gt;=0,1,-1)*QUOTIENT(((c_TMAP2IN)-(c_TMAP1IN)),2)))&lt;0,-1,0),IF(IF(o_WRAP=1,MOD(((c_TMAP2IN)-(c_TMAP1IN))*(((C151)-(c_TMAP1IN))*((c_TMAP2OUT)-(c_TMAP1OUT))+IF(((c_TMAP2OUT)-(c_TMAP1OUT))&gt;=0,1,-1)*QUOTIENT(((c_TMAP2IN)-(c_TMAP1IN)),2))+2147483648,4294967296)-2147483648,((c_TMAP2IN)-(c_TMAP1IN))*(((C151)-(c_TMAP1IN))*((c_TMAP2OUT)-(c_TMAP1OUT))+IF(((c_TMAP2OUT)-(c_TMAP1OUT))&gt;=0,1,-1)*QUOTIENT(((c_TMAP2IN)-(c_TMAP1IN)),2)))&gt;=0,1,0)))</f>
        <v>30</v>
      </c>
      <c r="G151" s="7" t="n">
        <f aca="false">IF(((c_TMAP3IN)-(c_TMAP2IN))=0,(c_TMAP2OUT)+QUOTIENT(((c_TMAP3OUT)-(c_TMAP2OUT)),2),QUOTIENT((((C151)-(c_TMAP2IN))*((c_TMAP3OUT)-(c_TMAP2OUT))+IF(((c_TMAP3OUT)-(c_TMAP2OUT))&gt;=0,1,-1)*QUOTIENT(((c_TMAP3IN)-(c_TMAP2IN)),2)),((c_TMAP3IN)-(c_TMAP2IN)))+(c_TMAP2OUT)+IF(((c_TMAP3OUT)-(c_TMAP2OUT))&gt;=0,IF(IF(o_WRAP=1,MOD(((c_TMAP3IN)-(c_TMAP2IN))*(((C151)-(c_TMAP2IN))*((c_TMAP3OUT)-(c_TMAP2OUT))+IF(((c_TMAP3OUT)-(c_TMAP2OUT))&gt;=0,1,-1)*QUOTIENT(((c_TMAP3IN)-(c_TMAP2IN)),2))+2147483648,4294967296)-2147483648,((c_TMAP3IN)-(c_TMAP2IN))*(((C151)-(c_TMAP2IN))*((c_TMAP3OUT)-(c_TMAP2OUT))+IF(((c_TMAP3OUT)-(c_TMAP2OUT))&gt;=0,1,-1)*QUOTIENT(((c_TMAP3IN)-(c_TMAP2IN)),2)))&lt;0,-1,0),IF(IF(o_WRAP=1,MOD(((c_TMAP3IN)-(c_TMAP2IN))*(((C151)-(c_TMAP2IN))*((c_TMAP3OUT)-(c_TMAP2OUT))+IF(((c_TMAP3OUT)-(c_TMAP2OUT))&gt;=0,1,-1)*QUOTIENT(((c_TMAP3IN)-(c_TMAP2IN)),2))+2147483648,4294967296)-2147483648,((c_TMAP3IN)-(c_TMAP2IN))*(((C151)-(c_TMAP2IN))*((c_TMAP3OUT)-(c_TMAP2OUT))+IF(((c_TMAP3OUT)-(c_TMAP2OUT))&gt;=0,1,-1)*QUOTIENT(((c_TMAP3IN)-(c_TMAP2IN)),2)))&gt;=0,1,0)))</f>
        <v>-45</v>
      </c>
      <c r="H151" s="7" t="n">
        <f aca="false">IF(((1000)-(c_TMAP3IN))=0,(c_TMAP3OUT)+QUOTIENT(((1000)-(c_TMAP3OUT)),2),QUOTIENT((((C151)-(c_TMAP3IN))*((1000)-(c_TMAP3OUT))+IF(((1000)-(c_TMAP3OUT))&gt;=0,1,-1)*QUOTIENT(((1000)-(c_TMAP3IN)),2)),((1000)-(c_TMAP3IN)))+(c_TMAP3OUT)+IF(((1000)-(c_TMAP3OUT))&gt;=0,IF(IF(o_WRAP=1,MOD(((1000)-(c_TMAP3IN))*(((C151)-(c_TMAP3IN))*((1000)-(c_TMAP3OUT))+IF(((1000)-(c_TMAP3OUT))&gt;=0,1,-1)*QUOTIENT(((1000)-(c_TMAP3IN)),2))+2147483648,4294967296)-2147483648,((1000)-(c_TMAP3IN))*(((C151)-(c_TMAP3IN))*((1000)-(c_TMAP3OUT))+IF(((1000)-(c_TMAP3OUT))&gt;=0,1,-1)*QUOTIENT(((1000)-(c_TMAP3IN)),2)))&lt;0,-1,0),IF(IF(o_WRAP=1,MOD(((1000)-(c_TMAP3IN))*(((C151)-(c_TMAP3IN))*((1000)-(c_TMAP3OUT))+IF(((1000)-(c_TMAP3OUT))&gt;=0,1,-1)*QUOTIENT(((1000)-(c_TMAP3IN)),2))+2147483648,4294967296)-2147483648,((1000)-(c_TMAP3IN))*(((C151)-(c_TMAP3IN))*((1000)-(c_TMAP3OUT))+IF(((1000)-(c_TMAP3OUT))&gt;=0,1,-1)*QUOTIENT(((1000)-(c_TMAP3IN)),2)))&gt;=0,1,0)))</f>
        <v>-231</v>
      </c>
      <c r="I151" s="7" t="n">
        <f aca="false">IF(C151&gt;=c_TFWD,IF(AND(C151&gt;=c_TMAP3IN,c_TMAP3IN&lt;1000),H151,IF(AND(C151&gt;=c_TMAP2IN,c_TMAP3IN&gt;c_TMAP2IN),G151,IF(AND(C151&gt;=c_TMAP1IN,c_TMAP2IN&gt;c_TMAP1IN),F151,E151))),D151)</f>
        <v>-350</v>
      </c>
      <c r="J151" s="7" t="str">
        <f aca="false">IF(I151&lt;-1090,"TOO LOW",IF(I151&gt;1090,"TOO HIGH",""))</f>
        <v/>
      </c>
      <c r="K151" s="7" t="n">
        <f aca="false">IF(J151&lt;&gt;"",0,IF(I151&gt;979,1000,I151))</f>
        <v>-350</v>
      </c>
      <c r="L151" s="7" t="n">
        <f aca="false">IF(OR(c_TSMOOTH=0,K151&gt;=c_TSMOOTHCUT),1,0)</f>
        <v>0</v>
      </c>
      <c r="M151" s="7" t="n">
        <f aca="false">IF(L151=1,0,M150+1)</f>
        <v>65</v>
      </c>
      <c r="N151" s="7" t="n">
        <f aca="false">IF(L151=1,0,MIN(M151,c_TSMOOTH))</f>
        <v>30</v>
      </c>
      <c r="O151" s="7" t="n">
        <f aca="false">IF(COUNTIF($L$5:L151,1)&gt;0,c_TSMOOTHCUT,0)</f>
        <v>400</v>
      </c>
      <c r="P151" s="15" t="n">
        <f aca="true">IF(L151=1,K151,QUOTIENT(SUM(OFFSET(K151,1-N151,0,N151,1))+(c_TSMOOTH-N151)*O151,c_TSMOOTH))</f>
        <v>-350</v>
      </c>
      <c r="Q151" s="7" t="n">
        <f aca="false">K151/10</f>
        <v>-35</v>
      </c>
      <c r="R151" s="7" t="n">
        <f aca="false">P151/10</f>
        <v>-35</v>
      </c>
    </row>
    <row r="152" customFormat="false" ht="15" hidden="false" customHeight="false" outlineLevel="0" collapsed="false">
      <c r="A152" s="7" t="n">
        <v>147</v>
      </c>
      <c r="B152" s="7" t="n">
        <f aca="false">A152*0.04</f>
        <v>5.88</v>
      </c>
      <c r="C152" s="18" t="n">
        <v>0</v>
      </c>
      <c r="D152" s="7" t="n">
        <f aca="false">IF(AND(C152=0,c_TCREEP&gt;0),10*c_TCREEP,IF(AND(C152&lt;=c_TRNGMIN,C152&gt;=c_TRNGMAX,c_TRNGMIN-c_TRNGMAX&lt;&gt;0),-10*c_TMINRN+QUOTIENT((c_TMAXRN-c_TMINRN)*(100-QUOTIENT((C152-c_TRNGMAX)*100,c_TRNGMIN-c_TRNGMAX)),-10),0))</f>
        <v>-350</v>
      </c>
      <c r="E152" s="7" t="n">
        <f aca="false">IF(((c_TMAP1IN)-(c_TFWD))=0,(0)+QUOTIENT(((c_TMAP1OUT)-(0)),2),QUOTIENT((((C152)-(c_TFWD))*((c_TMAP1OUT)-(0))+IF(((c_TMAP1OUT)-(0))&gt;=0,1,-1)*QUOTIENT(((c_TMAP1IN)-(c_TFWD)),2)),((c_TMAP1IN)-(c_TFWD)))+(0)+IF(((c_TMAP1OUT)-(0))&gt;=0,IF(IF(o_WRAP=1,MOD(((c_TMAP1IN)-(c_TFWD))*(((C152)-(c_TFWD))*((c_TMAP1OUT)-(0))+IF(((c_TMAP1OUT)-(0))&gt;=0,1,-1)*QUOTIENT(((c_TMAP1IN)-(c_TFWD)),2))+2147483648,4294967296)-2147483648,((c_TMAP1IN)-(c_TFWD))*(((C152)-(c_TFWD))*((c_TMAP1OUT)-(0))+IF(((c_TMAP1OUT)-(0))&gt;=0,1,-1)*QUOTIENT(((c_TMAP1IN)-(c_TFWD)),2)))&lt;0,-1,0),IF(IF(o_WRAP=1,MOD(((c_TMAP1IN)-(c_TFWD))*(((C152)-(c_TFWD))*((c_TMAP1OUT)-(0))+IF(((c_TMAP1OUT)-(0))&gt;=0,1,-1)*QUOTIENT(((c_TMAP1IN)-(c_TFWD)),2))+2147483648,4294967296)-2147483648,((c_TMAP1IN)-(c_TFWD))*(((C152)-(c_TFWD))*((c_TMAP1OUT)-(0))+IF(((c_TMAP1OUT)-(0))&gt;=0,1,-1)*QUOTIENT(((c_TMAP1IN)-(c_TFWD)),2)))&gt;=0,1,0)))</f>
        <v>-8</v>
      </c>
      <c r="F152" s="7" t="n">
        <f aca="false">IF(((c_TMAP2IN)-(c_TMAP1IN))=0,(c_TMAP1OUT)+QUOTIENT(((c_TMAP2OUT)-(c_TMAP1OUT)),2),QUOTIENT((((C152)-(c_TMAP1IN))*((c_TMAP2OUT)-(c_TMAP1OUT))+IF(((c_TMAP2OUT)-(c_TMAP1OUT))&gt;=0,1,-1)*QUOTIENT(((c_TMAP2IN)-(c_TMAP1IN)),2)),((c_TMAP2IN)-(c_TMAP1IN)))+(c_TMAP1OUT)+IF(((c_TMAP2OUT)-(c_TMAP1OUT))&gt;=0,IF(IF(o_WRAP=1,MOD(((c_TMAP2IN)-(c_TMAP1IN))*(((C152)-(c_TMAP1IN))*((c_TMAP2OUT)-(c_TMAP1OUT))+IF(((c_TMAP2OUT)-(c_TMAP1OUT))&gt;=0,1,-1)*QUOTIENT(((c_TMAP2IN)-(c_TMAP1IN)),2))+2147483648,4294967296)-2147483648,((c_TMAP2IN)-(c_TMAP1IN))*(((C152)-(c_TMAP1IN))*((c_TMAP2OUT)-(c_TMAP1OUT))+IF(((c_TMAP2OUT)-(c_TMAP1OUT))&gt;=0,1,-1)*QUOTIENT(((c_TMAP2IN)-(c_TMAP1IN)),2)))&lt;0,-1,0),IF(IF(o_WRAP=1,MOD(((c_TMAP2IN)-(c_TMAP1IN))*(((C152)-(c_TMAP1IN))*((c_TMAP2OUT)-(c_TMAP1OUT))+IF(((c_TMAP2OUT)-(c_TMAP1OUT))&gt;=0,1,-1)*QUOTIENT(((c_TMAP2IN)-(c_TMAP1IN)),2))+2147483648,4294967296)-2147483648,((c_TMAP2IN)-(c_TMAP1IN))*(((C152)-(c_TMAP1IN))*((c_TMAP2OUT)-(c_TMAP1OUT))+IF(((c_TMAP2OUT)-(c_TMAP1OUT))&gt;=0,1,-1)*QUOTIENT(((c_TMAP2IN)-(c_TMAP1IN)),2)))&gt;=0,1,0)))</f>
        <v>30</v>
      </c>
      <c r="G152" s="7" t="n">
        <f aca="false">IF(((c_TMAP3IN)-(c_TMAP2IN))=0,(c_TMAP2OUT)+QUOTIENT(((c_TMAP3OUT)-(c_TMAP2OUT)),2),QUOTIENT((((C152)-(c_TMAP2IN))*((c_TMAP3OUT)-(c_TMAP2OUT))+IF(((c_TMAP3OUT)-(c_TMAP2OUT))&gt;=0,1,-1)*QUOTIENT(((c_TMAP3IN)-(c_TMAP2IN)),2)),((c_TMAP3IN)-(c_TMAP2IN)))+(c_TMAP2OUT)+IF(((c_TMAP3OUT)-(c_TMAP2OUT))&gt;=0,IF(IF(o_WRAP=1,MOD(((c_TMAP3IN)-(c_TMAP2IN))*(((C152)-(c_TMAP2IN))*((c_TMAP3OUT)-(c_TMAP2OUT))+IF(((c_TMAP3OUT)-(c_TMAP2OUT))&gt;=0,1,-1)*QUOTIENT(((c_TMAP3IN)-(c_TMAP2IN)),2))+2147483648,4294967296)-2147483648,((c_TMAP3IN)-(c_TMAP2IN))*(((C152)-(c_TMAP2IN))*((c_TMAP3OUT)-(c_TMAP2OUT))+IF(((c_TMAP3OUT)-(c_TMAP2OUT))&gt;=0,1,-1)*QUOTIENT(((c_TMAP3IN)-(c_TMAP2IN)),2)))&lt;0,-1,0),IF(IF(o_WRAP=1,MOD(((c_TMAP3IN)-(c_TMAP2IN))*(((C152)-(c_TMAP2IN))*((c_TMAP3OUT)-(c_TMAP2OUT))+IF(((c_TMAP3OUT)-(c_TMAP2OUT))&gt;=0,1,-1)*QUOTIENT(((c_TMAP3IN)-(c_TMAP2IN)),2))+2147483648,4294967296)-2147483648,((c_TMAP3IN)-(c_TMAP2IN))*(((C152)-(c_TMAP2IN))*((c_TMAP3OUT)-(c_TMAP2OUT))+IF(((c_TMAP3OUT)-(c_TMAP2OUT))&gt;=0,1,-1)*QUOTIENT(((c_TMAP3IN)-(c_TMAP2IN)),2)))&gt;=0,1,0)))</f>
        <v>-45</v>
      </c>
      <c r="H152" s="7" t="n">
        <f aca="false">IF(((1000)-(c_TMAP3IN))=0,(c_TMAP3OUT)+QUOTIENT(((1000)-(c_TMAP3OUT)),2),QUOTIENT((((C152)-(c_TMAP3IN))*((1000)-(c_TMAP3OUT))+IF(((1000)-(c_TMAP3OUT))&gt;=0,1,-1)*QUOTIENT(((1000)-(c_TMAP3IN)),2)),((1000)-(c_TMAP3IN)))+(c_TMAP3OUT)+IF(((1000)-(c_TMAP3OUT))&gt;=0,IF(IF(o_WRAP=1,MOD(((1000)-(c_TMAP3IN))*(((C152)-(c_TMAP3IN))*((1000)-(c_TMAP3OUT))+IF(((1000)-(c_TMAP3OUT))&gt;=0,1,-1)*QUOTIENT(((1000)-(c_TMAP3IN)),2))+2147483648,4294967296)-2147483648,((1000)-(c_TMAP3IN))*(((C152)-(c_TMAP3IN))*((1000)-(c_TMAP3OUT))+IF(((1000)-(c_TMAP3OUT))&gt;=0,1,-1)*QUOTIENT(((1000)-(c_TMAP3IN)),2)))&lt;0,-1,0),IF(IF(o_WRAP=1,MOD(((1000)-(c_TMAP3IN))*(((C152)-(c_TMAP3IN))*((1000)-(c_TMAP3OUT))+IF(((1000)-(c_TMAP3OUT))&gt;=0,1,-1)*QUOTIENT(((1000)-(c_TMAP3IN)),2))+2147483648,4294967296)-2147483648,((1000)-(c_TMAP3IN))*(((C152)-(c_TMAP3IN))*((1000)-(c_TMAP3OUT))+IF(((1000)-(c_TMAP3OUT))&gt;=0,1,-1)*QUOTIENT(((1000)-(c_TMAP3IN)),2)))&gt;=0,1,0)))</f>
        <v>-231</v>
      </c>
      <c r="I152" s="7" t="n">
        <f aca="false">IF(C152&gt;=c_TFWD,IF(AND(C152&gt;=c_TMAP3IN,c_TMAP3IN&lt;1000),H152,IF(AND(C152&gt;=c_TMAP2IN,c_TMAP3IN&gt;c_TMAP2IN),G152,IF(AND(C152&gt;=c_TMAP1IN,c_TMAP2IN&gt;c_TMAP1IN),F152,E152))),D152)</f>
        <v>-350</v>
      </c>
      <c r="J152" s="7" t="str">
        <f aca="false">IF(I152&lt;-1090,"TOO LOW",IF(I152&gt;1090,"TOO HIGH",""))</f>
        <v/>
      </c>
      <c r="K152" s="7" t="n">
        <f aca="false">IF(J152&lt;&gt;"",0,IF(I152&gt;979,1000,I152))</f>
        <v>-350</v>
      </c>
      <c r="L152" s="7" t="n">
        <f aca="false">IF(OR(c_TSMOOTH=0,K152&gt;=c_TSMOOTHCUT),1,0)</f>
        <v>0</v>
      </c>
      <c r="M152" s="7" t="n">
        <f aca="false">IF(L152=1,0,M151+1)</f>
        <v>66</v>
      </c>
      <c r="N152" s="7" t="n">
        <f aca="false">IF(L152=1,0,MIN(M152,c_TSMOOTH))</f>
        <v>30</v>
      </c>
      <c r="O152" s="7" t="n">
        <f aca="false">IF(COUNTIF($L$5:L152,1)&gt;0,c_TSMOOTHCUT,0)</f>
        <v>400</v>
      </c>
      <c r="P152" s="15" t="n">
        <f aca="true">IF(L152=1,K152,QUOTIENT(SUM(OFFSET(K152,1-N152,0,N152,1))+(c_TSMOOTH-N152)*O152,c_TSMOOTH))</f>
        <v>-350</v>
      </c>
      <c r="Q152" s="7" t="n">
        <f aca="false">K152/10</f>
        <v>-35</v>
      </c>
      <c r="R152" s="7" t="n">
        <f aca="false">P152/10</f>
        <v>-35</v>
      </c>
    </row>
    <row r="153" customFormat="false" ht="15" hidden="false" customHeight="false" outlineLevel="0" collapsed="false">
      <c r="A153" s="7" t="n">
        <v>148</v>
      </c>
      <c r="B153" s="7" t="n">
        <f aca="false">A153*0.04</f>
        <v>5.92</v>
      </c>
      <c r="C153" s="18" t="n">
        <v>0</v>
      </c>
      <c r="D153" s="7" t="n">
        <f aca="false">IF(AND(C153=0,c_TCREEP&gt;0),10*c_TCREEP,IF(AND(C153&lt;=c_TRNGMIN,C153&gt;=c_TRNGMAX,c_TRNGMIN-c_TRNGMAX&lt;&gt;0),-10*c_TMINRN+QUOTIENT((c_TMAXRN-c_TMINRN)*(100-QUOTIENT((C153-c_TRNGMAX)*100,c_TRNGMIN-c_TRNGMAX)),-10),0))</f>
        <v>-350</v>
      </c>
      <c r="E153" s="7" t="n">
        <f aca="false">IF(((c_TMAP1IN)-(c_TFWD))=0,(0)+QUOTIENT(((c_TMAP1OUT)-(0)),2),QUOTIENT((((C153)-(c_TFWD))*((c_TMAP1OUT)-(0))+IF(((c_TMAP1OUT)-(0))&gt;=0,1,-1)*QUOTIENT(((c_TMAP1IN)-(c_TFWD)),2)),((c_TMAP1IN)-(c_TFWD)))+(0)+IF(((c_TMAP1OUT)-(0))&gt;=0,IF(IF(o_WRAP=1,MOD(((c_TMAP1IN)-(c_TFWD))*(((C153)-(c_TFWD))*((c_TMAP1OUT)-(0))+IF(((c_TMAP1OUT)-(0))&gt;=0,1,-1)*QUOTIENT(((c_TMAP1IN)-(c_TFWD)),2))+2147483648,4294967296)-2147483648,((c_TMAP1IN)-(c_TFWD))*(((C153)-(c_TFWD))*((c_TMAP1OUT)-(0))+IF(((c_TMAP1OUT)-(0))&gt;=0,1,-1)*QUOTIENT(((c_TMAP1IN)-(c_TFWD)),2)))&lt;0,-1,0),IF(IF(o_WRAP=1,MOD(((c_TMAP1IN)-(c_TFWD))*(((C153)-(c_TFWD))*((c_TMAP1OUT)-(0))+IF(((c_TMAP1OUT)-(0))&gt;=0,1,-1)*QUOTIENT(((c_TMAP1IN)-(c_TFWD)),2))+2147483648,4294967296)-2147483648,((c_TMAP1IN)-(c_TFWD))*(((C153)-(c_TFWD))*((c_TMAP1OUT)-(0))+IF(((c_TMAP1OUT)-(0))&gt;=0,1,-1)*QUOTIENT(((c_TMAP1IN)-(c_TFWD)),2)))&gt;=0,1,0)))</f>
        <v>-8</v>
      </c>
      <c r="F153" s="7" t="n">
        <f aca="false">IF(((c_TMAP2IN)-(c_TMAP1IN))=0,(c_TMAP1OUT)+QUOTIENT(((c_TMAP2OUT)-(c_TMAP1OUT)),2),QUOTIENT((((C153)-(c_TMAP1IN))*((c_TMAP2OUT)-(c_TMAP1OUT))+IF(((c_TMAP2OUT)-(c_TMAP1OUT))&gt;=0,1,-1)*QUOTIENT(((c_TMAP2IN)-(c_TMAP1IN)),2)),((c_TMAP2IN)-(c_TMAP1IN)))+(c_TMAP1OUT)+IF(((c_TMAP2OUT)-(c_TMAP1OUT))&gt;=0,IF(IF(o_WRAP=1,MOD(((c_TMAP2IN)-(c_TMAP1IN))*(((C153)-(c_TMAP1IN))*((c_TMAP2OUT)-(c_TMAP1OUT))+IF(((c_TMAP2OUT)-(c_TMAP1OUT))&gt;=0,1,-1)*QUOTIENT(((c_TMAP2IN)-(c_TMAP1IN)),2))+2147483648,4294967296)-2147483648,((c_TMAP2IN)-(c_TMAP1IN))*(((C153)-(c_TMAP1IN))*((c_TMAP2OUT)-(c_TMAP1OUT))+IF(((c_TMAP2OUT)-(c_TMAP1OUT))&gt;=0,1,-1)*QUOTIENT(((c_TMAP2IN)-(c_TMAP1IN)),2)))&lt;0,-1,0),IF(IF(o_WRAP=1,MOD(((c_TMAP2IN)-(c_TMAP1IN))*(((C153)-(c_TMAP1IN))*((c_TMAP2OUT)-(c_TMAP1OUT))+IF(((c_TMAP2OUT)-(c_TMAP1OUT))&gt;=0,1,-1)*QUOTIENT(((c_TMAP2IN)-(c_TMAP1IN)),2))+2147483648,4294967296)-2147483648,((c_TMAP2IN)-(c_TMAP1IN))*(((C153)-(c_TMAP1IN))*((c_TMAP2OUT)-(c_TMAP1OUT))+IF(((c_TMAP2OUT)-(c_TMAP1OUT))&gt;=0,1,-1)*QUOTIENT(((c_TMAP2IN)-(c_TMAP1IN)),2)))&gt;=0,1,0)))</f>
        <v>30</v>
      </c>
      <c r="G153" s="7" t="n">
        <f aca="false">IF(((c_TMAP3IN)-(c_TMAP2IN))=0,(c_TMAP2OUT)+QUOTIENT(((c_TMAP3OUT)-(c_TMAP2OUT)),2),QUOTIENT((((C153)-(c_TMAP2IN))*((c_TMAP3OUT)-(c_TMAP2OUT))+IF(((c_TMAP3OUT)-(c_TMAP2OUT))&gt;=0,1,-1)*QUOTIENT(((c_TMAP3IN)-(c_TMAP2IN)),2)),((c_TMAP3IN)-(c_TMAP2IN)))+(c_TMAP2OUT)+IF(((c_TMAP3OUT)-(c_TMAP2OUT))&gt;=0,IF(IF(o_WRAP=1,MOD(((c_TMAP3IN)-(c_TMAP2IN))*(((C153)-(c_TMAP2IN))*((c_TMAP3OUT)-(c_TMAP2OUT))+IF(((c_TMAP3OUT)-(c_TMAP2OUT))&gt;=0,1,-1)*QUOTIENT(((c_TMAP3IN)-(c_TMAP2IN)),2))+2147483648,4294967296)-2147483648,((c_TMAP3IN)-(c_TMAP2IN))*(((C153)-(c_TMAP2IN))*((c_TMAP3OUT)-(c_TMAP2OUT))+IF(((c_TMAP3OUT)-(c_TMAP2OUT))&gt;=0,1,-1)*QUOTIENT(((c_TMAP3IN)-(c_TMAP2IN)),2)))&lt;0,-1,0),IF(IF(o_WRAP=1,MOD(((c_TMAP3IN)-(c_TMAP2IN))*(((C153)-(c_TMAP2IN))*((c_TMAP3OUT)-(c_TMAP2OUT))+IF(((c_TMAP3OUT)-(c_TMAP2OUT))&gt;=0,1,-1)*QUOTIENT(((c_TMAP3IN)-(c_TMAP2IN)),2))+2147483648,4294967296)-2147483648,((c_TMAP3IN)-(c_TMAP2IN))*(((C153)-(c_TMAP2IN))*((c_TMAP3OUT)-(c_TMAP2OUT))+IF(((c_TMAP3OUT)-(c_TMAP2OUT))&gt;=0,1,-1)*QUOTIENT(((c_TMAP3IN)-(c_TMAP2IN)),2)))&gt;=0,1,0)))</f>
        <v>-45</v>
      </c>
      <c r="H153" s="7" t="n">
        <f aca="false">IF(((1000)-(c_TMAP3IN))=0,(c_TMAP3OUT)+QUOTIENT(((1000)-(c_TMAP3OUT)),2),QUOTIENT((((C153)-(c_TMAP3IN))*((1000)-(c_TMAP3OUT))+IF(((1000)-(c_TMAP3OUT))&gt;=0,1,-1)*QUOTIENT(((1000)-(c_TMAP3IN)),2)),((1000)-(c_TMAP3IN)))+(c_TMAP3OUT)+IF(((1000)-(c_TMAP3OUT))&gt;=0,IF(IF(o_WRAP=1,MOD(((1000)-(c_TMAP3IN))*(((C153)-(c_TMAP3IN))*((1000)-(c_TMAP3OUT))+IF(((1000)-(c_TMAP3OUT))&gt;=0,1,-1)*QUOTIENT(((1000)-(c_TMAP3IN)),2))+2147483648,4294967296)-2147483648,((1000)-(c_TMAP3IN))*(((C153)-(c_TMAP3IN))*((1000)-(c_TMAP3OUT))+IF(((1000)-(c_TMAP3OUT))&gt;=0,1,-1)*QUOTIENT(((1000)-(c_TMAP3IN)),2)))&lt;0,-1,0),IF(IF(o_WRAP=1,MOD(((1000)-(c_TMAP3IN))*(((C153)-(c_TMAP3IN))*((1000)-(c_TMAP3OUT))+IF(((1000)-(c_TMAP3OUT))&gt;=0,1,-1)*QUOTIENT(((1000)-(c_TMAP3IN)),2))+2147483648,4294967296)-2147483648,((1000)-(c_TMAP3IN))*(((C153)-(c_TMAP3IN))*((1000)-(c_TMAP3OUT))+IF(((1000)-(c_TMAP3OUT))&gt;=0,1,-1)*QUOTIENT(((1000)-(c_TMAP3IN)),2)))&gt;=0,1,0)))</f>
        <v>-231</v>
      </c>
      <c r="I153" s="7" t="n">
        <f aca="false">IF(C153&gt;=c_TFWD,IF(AND(C153&gt;=c_TMAP3IN,c_TMAP3IN&lt;1000),H153,IF(AND(C153&gt;=c_TMAP2IN,c_TMAP3IN&gt;c_TMAP2IN),G153,IF(AND(C153&gt;=c_TMAP1IN,c_TMAP2IN&gt;c_TMAP1IN),F153,E153))),D153)</f>
        <v>-350</v>
      </c>
      <c r="J153" s="7" t="str">
        <f aca="false">IF(I153&lt;-1090,"TOO LOW",IF(I153&gt;1090,"TOO HIGH",""))</f>
        <v/>
      </c>
      <c r="K153" s="7" t="n">
        <f aca="false">IF(J153&lt;&gt;"",0,IF(I153&gt;979,1000,I153))</f>
        <v>-350</v>
      </c>
      <c r="L153" s="7" t="n">
        <f aca="false">IF(OR(c_TSMOOTH=0,K153&gt;=c_TSMOOTHCUT),1,0)</f>
        <v>0</v>
      </c>
      <c r="M153" s="7" t="n">
        <f aca="false">IF(L153=1,0,M152+1)</f>
        <v>67</v>
      </c>
      <c r="N153" s="7" t="n">
        <f aca="false">IF(L153=1,0,MIN(M153,c_TSMOOTH))</f>
        <v>30</v>
      </c>
      <c r="O153" s="7" t="n">
        <f aca="false">IF(COUNTIF($L$5:L153,1)&gt;0,c_TSMOOTHCUT,0)</f>
        <v>400</v>
      </c>
      <c r="P153" s="15" t="n">
        <f aca="true">IF(L153=1,K153,QUOTIENT(SUM(OFFSET(K153,1-N153,0,N153,1))+(c_TSMOOTH-N153)*O153,c_TSMOOTH))</f>
        <v>-350</v>
      </c>
      <c r="Q153" s="7" t="n">
        <f aca="false">K153/10</f>
        <v>-35</v>
      </c>
      <c r="R153" s="7" t="n">
        <f aca="false">P153/10</f>
        <v>-35</v>
      </c>
    </row>
    <row r="154" customFormat="false" ht="15" hidden="false" customHeight="false" outlineLevel="0" collapsed="false">
      <c r="A154" s="7" t="n">
        <v>149</v>
      </c>
      <c r="B154" s="7" t="n">
        <f aca="false">A154*0.04</f>
        <v>5.96</v>
      </c>
      <c r="C154" s="18" t="n">
        <v>0</v>
      </c>
      <c r="D154" s="7" t="n">
        <f aca="false">IF(AND(C154=0,c_TCREEP&gt;0),10*c_TCREEP,IF(AND(C154&lt;=c_TRNGMIN,C154&gt;=c_TRNGMAX,c_TRNGMIN-c_TRNGMAX&lt;&gt;0),-10*c_TMINRN+QUOTIENT((c_TMAXRN-c_TMINRN)*(100-QUOTIENT((C154-c_TRNGMAX)*100,c_TRNGMIN-c_TRNGMAX)),-10),0))</f>
        <v>-350</v>
      </c>
      <c r="E154" s="7" t="n">
        <f aca="false">IF(((c_TMAP1IN)-(c_TFWD))=0,(0)+QUOTIENT(((c_TMAP1OUT)-(0)),2),QUOTIENT((((C154)-(c_TFWD))*((c_TMAP1OUT)-(0))+IF(((c_TMAP1OUT)-(0))&gt;=0,1,-1)*QUOTIENT(((c_TMAP1IN)-(c_TFWD)),2)),((c_TMAP1IN)-(c_TFWD)))+(0)+IF(((c_TMAP1OUT)-(0))&gt;=0,IF(IF(o_WRAP=1,MOD(((c_TMAP1IN)-(c_TFWD))*(((C154)-(c_TFWD))*((c_TMAP1OUT)-(0))+IF(((c_TMAP1OUT)-(0))&gt;=0,1,-1)*QUOTIENT(((c_TMAP1IN)-(c_TFWD)),2))+2147483648,4294967296)-2147483648,((c_TMAP1IN)-(c_TFWD))*(((C154)-(c_TFWD))*((c_TMAP1OUT)-(0))+IF(((c_TMAP1OUT)-(0))&gt;=0,1,-1)*QUOTIENT(((c_TMAP1IN)-(c_TFWD)),2)))&lt;0,-1,0),IF(IF(o_WRAP=1,MOD(((c_TMAP1IN)-(c_TFWD))*(((C154)-(c_TFWD))*((c_TMAP1OUT)-(0))+IF(((c_TMAP1OUT)-(0))&gt;=0,1,-1)*QUOTIENT(((c_TMAP1IN)-(c_TFWD)),2))+2147483648,4294967296)-2147483648,((c_TMAP1IN)-(c_TFWD))*(((C154)-(c_TFWD))*((c_TMAP1OUT)-(0))+IF(((c_TMAP1OUT)-(0))&gt;=0,1,-1)*QUOTIENT(((c_TMAP1IN)-(c_TFWD)),2)))&gt;=0,1,0)))</f>
        <v>-8</v>
      </c>
      <c r="F154" s="7" t="n">
        <f aca="false">IF(((c_TMAP2IN)-(c_TMAP1IN))=0,(c_TMAP1OUT)+QUOTIENT(((c_TMAP2OUT)-(c_TMAP1OUT)),2),QUOTIENT((((C154)-(c_TMAP1IN))*((c_TMAP2OUT)-(c_TMAP1OUT))+IF(((c_TMAP2OUT)-(c_TMAP1OUT))&gt;=0,1,-1)*QUOTIENT(((c_TMAP2IN)-(c_TMAP1IN)),2)),((c_TMAP2IN)-(c_TMAP1IN)))+(c_TMAP1OUT)+IF(((c_TMAP2OUT)-(c_TMAP1OUT))&gt;=0,IF(IF(o_WRAP=1,MOD(((c_TMAP2IN)-(c_TMAP1IN))*(((C154)-(c_TMAP1IN))*((c_TMAP2OUT)-(c_TMAP1OUT))+IF(((c_TMAP2OUT)-(c_TMAP1OUT))&gt;=0,1,-1)*QUOTIENT(((c_TMAP2IN)-(c_TMAP1IN)),2))+2147483648,4294967296)-2147483648,((c_TMAP2IN)-(c_TMAP1IN))*(((C154)-(c_TMAP1IN))*((c_TMAP2OUT)-(c_TMAP1OUT))+IF(((c_TMAP2OUT)-(c_TMAP1OUT))&gt;=0,1,-1)*QUOTIENT(((c_TMAP2IN)-(c_TMAP1IN)),2)))&lt;0,-1,0),IF(IF(o_WRAP=1,MOD(((c_TMAP2IN)-(c_TMAP1IN))*(((C154)-(c_TMAP1IN))*((c_TMAP2OUT)-(c_TMAP1OUT))+IF(((c_TMAP2OUT)-(c_TMAP1OUT))&gt;=0,1,-1)*QUOTIENT(((c_TMAP2IN)-(c_TMAP1IN)),2))+2147483648,4294967296)-2147483648,((c_TMAP2IN)-(c_TMAP1IN))*(((C154)-(c_TMAP1IN))*((c_TMAP2OUT)-(c_TMAP1OUT))+IF(((c_TMAP2OUT)-(c_TMAP1OUT))&gt;=0,1,-1)*QUOTIENT(((c_TMAP2IN)-(c_TMAP1IN)),2)))&gt;=0,1,0)))</f>
        <v>30</v>
      </c>
      <c r="G154" s="7" t="n">
        <f aca="false">IF(((c_TMAP3IN)-(c_TMAP2IN))=0,(c_TMAP2OUT)+QUOTIENT(((c_TMAP3OUT)-(c_TMAP2OUT)),2),QUOTIENT((((C154)-(c_TMAP2IN))*((c_TMAP3OUT)-(c_TMAP2OUT))+IF(((c_TMAP3OUT)-(c_TMAP2OUT))&gt;=0,1,-1)*QUOTIENT(((c_TMAP3IN)-(c_TMAP2IN)),2)),((c_TMAP3IN)-(c_TMAP2IN)))+(c_TMAP2OUT)+IF(((c_TMAP3OUT)-(c_TMAP2OUT))&gt;=0,IF(IF(o_WRAP=1,MOD(((c_TMAP3IN)-(c_TMAP2IN))*(((C154)-(c_TMAP2IN))*((c_TMAP3OUT)-(c_TMAP2OUT))+IF(((c_TMAP3OUT)-(c_TMAP2OUT))&gt;=0,1,-1)*QUOTIENT(((c_TMAP3IN)-(c_TMAP2IN)),2))+2147483648,4294967296)-2147483648,((c_TMAP3IN)-(c_TMAP2IN))*(((C154)-(c_TMAP2IN))*((c_TMAP3OUT)-(c_TMAP2OUT))+IF(((c_TMAP3OUT)-(c_TMAP2OUT))&gt;=0,1,-1)*QUOTIENT(((c_TMAP3IN)-(c_TMAP2IN)),2)))&lt;0,-1,0),IF(IF(o_WRAP=1,MOD(((c_TMAP3IN)-(c_TMAP2IN))*(((C154)-(c_TMAP2IN))*((c_TMAP3OUT)-(c_TMAP2OUT))+IF(((c_TMAP3OUT)-(c_TMAP2OUT))&gt;=0,1,-1)*QUOTIENT(((c_TMAP3IN)-(c_TMAP2IN)),2))+2147483648,4294967296)-2147483648,((c_TMAP3IN)-(c_TMAP2IN))*(((C154)-(c_TMAP2IN))*((c_TMAP3OUT)-(c_TMAP2OUT))+IF(((c_TMAP3OUT)-(c_TMAP2OUT))&gt;=0,1,-1)*QUOTIENT(((c_TMAP3IN)-(c_TMAP2IN)),2)))&gt;=0,1,0)))</f>
        <v>-45</v>
      </c>
      <c r="H154" s="7" t="n">
        <f aca="false">IF(((1000)-(c_TMAP3IN))=0,(c_TMAP3OUT)+QUOTIENT(((1000)-(c_TMAP3OUT)),2),QUOTIENT((((C154)-(c_TMAP3IN))*((1000)-(c_TMAP3OUT))+IF(((1000)-(c_TMAP3OUT))&gt;=0,1,-1)*QUOTIENT(((1000)-(c_TMAP3IN)),2)),((1000)-(c_TMAP3IN)))+(c_TMAP3OUT)+IF(((1000)-(c_TMAP3OUT))&gt;=0,IF(IF(o_WRAP=1,MOD(((1000)-(c_TMAP3IN))*(((C154)-(c_TMAP3IN))*((1000)-(c_TMAP3OUT))+IF(((1000)-(c_TMAP3OUT))&gt;=0,1,-1)*QUOTIENT(((1000)-(c_TMAP3IN)),2))+2147483648,4294967296)-2147483648,((1000)-(c_TMAP3IN))*(((C154)-(c_TMAP3IN))*((1000)-(c_TMAP3OUT))+IF(((1000)-(c_TMAP3OUT))&gt;=0,1,-1)*QUOTIENT(((1000)-(c_TMAP3IN)),2)))&lt;0,-1,0),IF(IF(o_WRAP=1,MOD(((1000)-(c_TMAP3IN))*(((C154)-(c_TMAP3IN))*((1000)-(c_TMAP3OUT))+IF(((1000)-(c_TMAP3OUT))&gt;=0,1,-1)*QUOTIENT(((1000)-(c_TMAP3IN)),2))+2147483648,4294967296)-2147483648,((1000)-(c_TMAP3IN))*(((C154)-(c_TMAP3IN))*((1000)-(c_TMAP3OUT))+IF(((1000)-(c_TMAP3OUT))&gt;=0,1,-1)*QUOTIENT(((1000)-(c_TMAP3IN)),2)))&gt;=0,1,0)))</f>
        <v>-231</v>
      </c>
      <c r="I154" s="7" t="n">
        <f aca="false">IF(C154&gt;=c_TFWD,IF(AND(C154&gt;=c_TMAP3IN,c_TMAP3IN&lt;1000),H154,IF(AND(C154&gt;=c_TMAP2IN,c_TMAP3IN&gt;c_TMAP2IN),G154,IF(AND(C154&gt;=c_TMAP1IN,c_TMAP2IN&gt;c_TMAP1IN),F154,E154))),D154)</f>
        <v>-350</v>
      </c>
      <c r="J154" s="7" t="str">
        <f aca="false">IF(I154&lt;-1090,"TOO LOW",IF(I154&gt;1090,"TOO HIGH",""))</f>
        <v/>
      </c>
      <c r="K154" s="7" t="n">
        <f aca="false">IF(J154&lt;&gt;"",0,IF(I154&gt;979,1000,I154))</f>
        <v>-350</v>
      </c>
      <c r="L154" s="7" t="n">
        <f aca="false">IF(OR(c_TSMOOTH=0,K154&gt;=c_TSMOOTHCUT),1,0)</f>
        <v>0</v>
      </c>
      <c r="M154" s="7" t="n">
        <f aca="false">IF(L154=1,0,M153+1)</f>
        <v>68</v>
      </c>
      <c r="N154" s="7" t="n">
        <f aca="false">IF(L154=1,0,MIN(M154,c_TSMOOTH))</f>
        <v>30</v>
      </c>
      <c r="O154" s="7" t="n">
        <f aca="false">IF(COUNTIF($L$5:L154,1)&gt;0,c_TSMOOTHCUT,0)</f>
        <v>400</v>
      </c>
      <c r="P154" s="15" t="n">
        <f aca="true">IF(L154=1,K154,QUOTIENT(SUM(OFFSET(K154,1-N154,0,N154,1))+(c_TSMOOTH-N154)*O154,c_TSMOOTH))</f>
        <v>-350</v>
      </c>
      <c r="Q154" s="7" t="n">
        <f aca="false">K154/10</f>
        <v>-35</v>
      </c>
      <c r="R154" s="7" t="n">
        <f aca="false">P154/10</f>
        <v>-35</v>
      </c>
    </row>
    <row r="155" customFormat="false" ht="15" hidden="false" customHeight="false" outlineLevel="0" collapsed="false">
      <c r="A155" s="7" t="n">
        <v>150</v>
      </c>
      <c r="B155" s="7" t="n">
        <f aca="false">A155*0.04</f>
        <v>6</v>
      </c>
      <c r="C155" s="18" t="n">
        <v>22</v>
      </c>
      <c r="D155" s="7" t="n">
        <f aca="false">IF(AND(C155=0,c_TCREEP&gt;0),10*c_TCREEP,IF(AND(C155&lt;=c_TRNGMIN,C155&gt;=c_TRNGMAX,c_TRNGMIN-c_TRNGMAX&lt;&gt;0),-10*c_TMINRN+QUOTIENT((c_TMAXRN-c_TMINRN)*(100-QUOTIENT((C155-c_TRNGMAX)*100,c_TRNGMIN-c_TRNGMAX)),-10),0))</f>
        <v>0</v>
      </c>
      <c r="E155" s="7" t="n">
        <f aca="false">IF(((c_TMAP1IN)-(c_TFWD))=0,(0)+QUOTIENT(((c_TMAP1OUT)-(0)),2),QUOTIENT((((C155)-(c_TFWD))*((c_TMAP1OUT)-(0))+IF(((c_TMAP1OUT)-(0))&gt;=0,1,-1)*QUOTIENT(((c_TMAP1IN)-(c_TFWD)),2)),((c_TMAP1IN)-(c_TFWD)))+(0)+IF(((c_TMAP1OUT)-(0))&gt;=0,IF(IF(o_WRAP=1,MOD(((c_TMAP1IN)-(c_TFWD))*(((C155)-(c_TFWD))*((c_TMAP1OUT)-(0))+IF(((c_TMAP1OUT)-(0))&gt;=0,1,-1)*QUOTIENT(((c_TMAP1IN)-(c_TFWD)),2))+2147483648,4294967296)-2147483648,((c_TMAP1IN)-(c_TFWD))*(((C155)-(c_TFWD))*((c_TMAP1OUT)-(0))+IF(((c_TMAP1OUT)-(0))&gt;=0,1,-1)*QUOTIENT(((c_TMAP1IN)-(c_TFWD)),2)))&lt;0,-1,0),IF(IF(o_WRAP=1,MOD(((c_TMAP1IN)-(c_TFWD))*(((C155)-(c_TFWD))*((c_TMAP1OUT)-(0))+IF(((c_TMAP1OUT)-(0))&gt;=0,1,-1)*QUOTIENT(((c_TMAP1IN)-(c_TFWD)),2))+2147483648,4294967296)-2147483648,((c_TMAP1IN)-(c_TFWD))*(((C155)-(c_TFWD))*((c_TMAP1OUT)-(0))+IF(((c_TMAP1OUT)-(0))&gt;=0,1,-1)*QUOTIENT(((c_TMAP1IN)-(c_TFWD)),2)))&gt;=0,1,0)))</f>
        <v>9</v>
      </c>
      <c r="F155" s="7" t="n">
        <f aca="false">IF(((c_TMAP2IN)-(c_TMAP1IN))=0,(c_TMAP1OUT)+QUOTIENT(((c_TMAP2OUT)-(c_TMAP1OUT)),2),QUOTIENT((((C155)-(c_TMAP1IN))*((c_TMAP2OUT)-(c_TMAP1OUT))+IF(((c_TMAP2OUT)-(c_TMAP1OUT))&gt;=0,1,-1)*QUOTIENT(((c_TMAP2IN)-(c_TMAP1IN)),2)),((c_TMAP2IN)-(c_TMAP1IN)))+(c_TMAP1OUT)+IF(((c_TMAP2OUT)-(c_TMAP1OUT))&gt;=0,IF(IF(o_WRAP=1,MOD(((c_TMAP2IN)-(c_TMAP1IN))*(((C155)-(c_TMAP1IN))*((c_TMAP2OUT)-(c_TMAP1OUT))+IF(((c_TMAP2OUT)-(c_TMAP1OUT))&gt;=0,1,-1)*QUOTIENT(((c_TMAP2IN)-(c_TMAP1IN)),2))+2147483648,4294967296)-2147483648,((c_TMAP2IN)-(c_TMAP1IN))*(((C155)-(c_TMAP1IN))*((c_TMAP2OUT)-(c_TMAP1OUT))+IF(((c_TMAP2OUT)-(c_TMAP1OUT))&gt;=0,1,-1)*QUOTIENT(((c_TMAP2IN)-(c_TMAP1IN)),2)))&lt;0,-1,0),IF(IF(o_WRAP=1,MOD(((c_TMAP2IN)-(c_TMAP1IN))*(((C155)-(c_TMAP1IN))*((c_TMAP2OUT)-(c_TMAP1OUT))+IF(((c_TMAP2OUT)-(c_TMAP1OUT))&gt;=0,1,-1)*QUOTIENT(((c_TMAP2IN)-(c_TMAP1IN)),2))+2147483648,4294967296)-2147483648,((c_TMAP2IN)-(c_TMAP1IN))*(((C155)-(c_TMAP1IN))*((c_TMAP2OUT)-(c_TMAP1OUT))+IF(((c_TMAP2OUT)-(c_TMAP1OUT))&gt;=0,1,-1)*QUOTIENT(((c_TMAP2IN)-(c_TMAP1IN)),2)))&gt;=0,1,0)))</f>
        <v>39</v>
      </c>
      <c r="G155" s="7" t="n">
        <f aca="false">IF(((c_TMAP3IN)-(c_TMAP2IN))=0,(c_TMAP2OUT)+QUOTIENT(((c_TMAP3OUT)-(c_TMAP2OUT)),2),QUOTIENT((((C155)-(c_TMAP2IN))*((c_TMAP3OUT)-(c_TMAP2OUT))+IF(((c_TMAP3OUT)-(c_TMAP2OUT))&gt;=0,1,-1)*QUOTIENT(((c_TMAP3IN)-(c_TMAP2IN)),2)),((c_TMAP3IN)-(c_TMAP2IN)))+(c_TMAP2OUT)+IF(((c_TMAP3OUT)-(c_TMAP2OUT))&gt;=0,IF(IF(o_WRAP=1,MOD(((c_TMAP3IN)-(c_TMAP2IN))*(((C155)-(c_TMAP2IN))*((c_TMAP3OUT)-(c_TMAP2OUT))+IF(((c_TMAP3OUT)-(c_TMAP2OUT))&gt;=0,1,-1)*QUOTIENT(((c_TMAP3IN)-(c_TMAP2IN)),2))+2147483648,4294967296)-2147483648,((c_TMAP3IN)-(c_TMAP2IN))*(((C155)-(c_TMAP2IN))*((c_TMAP3OUT)-(c_TMAP2OUT))+IF(((c_TMAP3OUT)-(c_TMAP2OUT))&gt;=0,1,-1)*QUOTIENT(((c_TMAP3IN)-(c_TMAP2IN)),2)))&lt;0,-1,0),IF(IF(o_WRAP=1,MOD(((c_TMAP3IN)-(c_TMAP2IN))*(((C155)-(c_TMAP2IN))*((c_TMAP3OUT)-(c_TMAP2OUT))+IF(((c_TMAP3OUT)-(c_TMAP2OUT))&gt;=0,1,-1)*QUOTIENT(((c_TMAP3IN)-(c_TMAP2IN)),2))+2147483648,4294967296)-2147483648,((c_TMAP3IN)-(c_TMAP2IN))*(((C155)-(c_TMAP2IN))*((c_TMAP3OUT)-(c_TMAP2OUT))+IF(((c_TMAP3OUT)-(c_TMAP2OUT))&gt;=0,1,-1)*QUOTIENT(((c_TMAP3IN)-(c_TMAP2IN)),2)))&gt;=0,1,0)))</f>
        <v>-30</v>
      </c>
      <c r="H155" s="7" t="n">
        <f aca="false">IF(((1000)-(c_TMAP3IN))=0,(c_TMAP3OUT)+QUOTIENT(((1000)-(c_TMAP3OUT)),2),QUOTIENT((((C155)-(c_TMAP3IN))*((1000)-(c_TMAP3OUT))+IF(((1000)-(c_TMAP3OUT))&gt;=0,1,-1)*QUOTIENT(((1000)-(c_TMAP3IN)),2)),((1000)-(c_TMAP3IN)))+(c_TMAP3OUT)+IF(((1000)-(c_TMAP3OUT))&gt;=0,IF(IF(o_WRAP=1,MOD(((1000)-(c_TMAP3IN))*(((C155)-(c_TMAP3IN))*((1000)-(c_TMAP3OUT))+IF(((1000)-(c_TMAP3OUT))&gt;=0,1,-1)*QUOTIENT(((1000)-(c_TMAP3IN)),2))+2147483648,4294967296)-2147483648,((1000)-(c_TMAP3IN))*(((C155)-(c_TMAP3IN))*((1000)-(c_TMAP3OUT))+IF(((1000)-(c_TMAP3OUT))&gt;=0,1,-1)*QUOTIENT(((1000)-(c_TMAP3IN)),2)))&lt;0,-1,0),IF(IF(o_WRAP=1,MOD(((1000)-(c_TMAP3IN))*(((C155)-(c_TMAP3IN))*((1000)-(c_TMAP3OUT))+IF(((1000)-(c_TMAP3OUT))&gt;=0,1,-1)*QUOTIENT(((1000)-(c_TMAP3IN)),2))+2147483648,4294967296)-2147483648,((1000)-(c_TMAP3IN))*(((C155)-(c_TMAP3IN))*((1000)-(c_TMAP3OUT))+IF(((1000)-(c_TMAP3OUT))&gt;=0,1,-1)*QUOTIENT(((1000)-(c_TMAP3IN)),2)))&gt;=0,1,0)))</f>
        <v>-204</v>
      </c>
      <c r="I155" s="7" t="n">
        <f aca="false">IF(C155&gt;=c_TFWD,IF(AND(C155&gt;=c_TMAP3IN,c_TMAP3IN&lt;1000),H155,IF(AND(C155&gt;=c_TMAP2IN,c_TMAP3IN&gt;c_TMAP2IN),G155,IF(AND(C155&gt;=c_TMAP1IN,c_TMAP2IN&gt;c_TMAP1IN),F155,E155))),D155)</f>
        <v>9</v>
      </c>
      <c r="J155" s="7" t="str">
        <f aca="false">IF(I155&lt;-1090,"TOO LOW",IF(I155&gt;1090,"TOO HIGH",""))</f>
        <v/>
      </c>
      <c r="K155" s="7" t="n">
        <f aca="false">IF(J155&lt;&gt;"",0,IF(I155&gt;979,1000,I155))</f>
        <v>9</v>
      </c>
      <c r="L155" s="7" t="n">
        <f aca="false">IF(OR(c_TSMOOTH=0,K155&gt;=c_TSMOOTHCUT),1,0)</f>
        <v>0</v>
      </c>
      <c r="M155" s="7" t="n">
        <f aca="false">IF(L155=1,0,M154+1)</f>
        <v>69</v>
      </c>
      <c r="N155" s="7" t="n">
        <f aca="false">IF(L155=1,0,MIN(M155,c_TSMOOTH))</f>
        <v>30</v>
      </c>
      <c r="O155" s="7" t="n">
        <f aca="false">IF(COUNTIF($L$5:L155,1)&gt;0,c_TSMOOTHCUT,0)</f>
        <v>400</v>
      </c>
      <c r="P155" s="15" t="n">
        <f aca="true">IF(L155=1,K155,QUOTIENT(SUM(OFFSET(K155,1-N155,0,N155,1))+(c_TSMOOTH-N155)*O155,c_TSMOOTH))</f>
        <v>-338</v>
      </c>
      <c r="Q155" s="7" t="n">
        <f aca="false">K155/10</f>
        <v>0.9</v>
      </c>
      <c r="R155" s="7" t="n">
        <f aca="false">P155/10</f>
        <v>-33.8</v>
      </c>
    </row>
    <row r="156" customFormat="false" ht="15" hidden="false" customHeight="false" outlineLevel="0" collapsed="false">
      <c r="A156" s="7" t="n">
        <v>151</v>
      </c>
      <c r="B156" s="7" t="n">
        <f aca="false">A156*0.04</f>
        <v>6.04</v>
      </c>
      <c r="C156" s="18" t="n">
        <v>45</v>
      </c>
      <c r="D156" s="7" t="n">
        <f aca="false">IF(AND(C156=0,c_TCREEP&gt;0),10*c_TCREEP,IF(AND(C156&lt;=c_TRNGMIN,C156&gt;=c_TRNGMAX,c_TRNGMIN-c_TRNGMAX&lt;&gt;0),-10*c_TMINRN+QUOTIENT((c_TMAXRN-c_TMINRN)*(100-QUOTIENT((C156-c_TRNGMAX)*100,c_TRNGMIN-c_TRNGMAX)),-10),0))</f>
        <v>0</v>
      </c>
      <c r="E156" s="7" t="n">
        <f aca="false">IF(((c_TMAP1IN)-(c_TFWD))=0,(0)+QUOTIENT(((c_TMAP1OUT)-(0)),2),QUOTIENT((((C156)-(c_TFWD))*((c_TMAP1OUT)-(0))+IF(((c_TMAP1OUT)-(0))&gt;=0,1,-1)*QUOTIENT(((c_TMAP1IN)-(c_TFWD)),2)),((c_TMAP1IN)-(c_TFWD)))+(0)+IF(((c_TMAP1OUT)-(0))&gt;=0,IF(IF(o_WRAP=1,MOD(((c_TMAP1IN)-(c_TFWD))*(((C156)-(c_TFWD))*((c_TMAP1OUT)-(0))+IF(((c_TMAP1OUT)-(0))&gt;=0,1,-1)*QUOTIENT(((c_TMAP1IN)-(c_TFWD)),2))+2147483648,4294967296)-2147483648,((c_TMAP1IN)-(c_TFWD))*(((C156)-(c_TFWD))*((c_TMAP1OUT)-(0))+IF(((c_TMAP1OUT)-(0))&gt;=0,1,-1)*QUOTIENT(((c_TMAP1IN)-(c_TFWD)),2)))&lt;0,-1,0),IF(IF(o_WRAP=1,MOD(((c_TMAP1IN)-(c_TFWD))*(((C156)-(c_TFWD))*((c_TMAP1OUT)-(0))+IF(((c_TMAP1OUT)-(0))&gt;=0,1,-1)*QUOTIENT(((c_TMAP1IN)-(c_TFWD)),2))+2147483648,4294967296)-2147483648,((c_TMAP1IN)-(c_TFWD))*(((C156)-(c_TFWD))*((c_TMAP1OUT)-(0))+IF(((c_TMAP1OUT)-(0))&gt;=0,1,-1)*QUOTIENT(((c_TMAP1IN)-(c_TFWD)),2)))&gt;=0,1,0)))</f>
        <v>27</v>
      </c>
      <c r="F156" s="7" t="n">
        <f aca="false">IF(((c_TMAP2IN)-(c_TMAP1IN))=0,(c_TMAP1OUT)+QUOTIENT(((c_TMAP2OUT)-(c_TMAP1OUT)),2),QUOTIENT((((C156)-(c_TMAP1IN))*((c_TMAP2OUT)-(c_TMAP1OUT))+IF(((c_TMAP2OUT)-(c_TMAP1OUT))&gt;=0,1,-1)*QUOTIENT(((c_TMAP2IN)-(c_TMAP1IN)),2)),((c_TMAP2IN)-(c_TMAP1IN)))+(c_TMAP1OUT)+IF(((c_TMAP2OUT)-(c_TMAP1OUT))&gt;=0,IF(IF(o_WRAP=1,MOD(((c_TMAP2IN)-(c_TMAP1IN))*(((C156)-(c_TMAP1IN))*((c_TMAP2OUT)-(c_TMAP1OUT))+IF(((c_TMAP2OUT)-(c_TMAP1OUT))&gt;=0,1,-1)*QUOTIENT(((c_TMAP2IN)-(c_TMAP1IN)),2))+2147483648,4294967296)-2147483648,((c_TMAP2IN)-(c_TMAP1IN))*(((C156)-(c_TMAP1IN))*((c_TMAP2OUT)-(c_TMAP1OUT))+IF(((c_TMAP2OUT)-(c_TMAP1OUT))&gt;=0,1,-1)*QUOTIENT(((c_TMAP2IN)-(c_TMAP1IN)),2)))&lt;0,-1,0),IF(IF(o_WRAP=1,MOD(((c_TMAP2IN)-(c_TMAP1IN))*(((C156)-(c_TMAP1IN))*((c_TMAP2OUT)-(c_TMAP1OUT))+IF(((c_TMAP2OUT)-(c_TMAP1OUT))&gt;=0,1,-1)*QUOTIENT(((c_TMAP2IN)-(c_TMAP1IN)),2))+2147483648,4294967296)-2147483648,((c_TMAP2IN)-(c_TMAP1IN))*(((C156)-(c_TMAP1IN))*((c_TMAP2OUT)-(c_TMAP1OUT))+IF(((c_TMAP2OUT)-(c_TMAP1OUT))&gt;=0,1,-1)*QUOTIENT(((c_TMAP2IN)-(c_TMAP1IN)),2)))&gt;=0,1,0)))</f>
        <v>48</v>
      </c>
      <c r="G156" s="7" t="n">
        <f aca="false">IF(((c_TMAP3IN)-(c_TMAP2IN))=0,(c_TMAP2OUT)+QUOTIENT(((c_TMAP3OUT)-(c_TMAP2OUT)),2),QUOTIENT((((C156)-(c_TMAP2IN))*((c_TMAP3OUT)-(c_TMAP2OUT))+IF(((c_TMAP3OUT)-(c_TMAP2OUT))&gt;=0,1,-1)*QUOTIENT(((c_TMAP3IN)-(c_TMAP2IN)),2)),((c_TMAP3IN)-(c_TMAP2IN)))+(c_TMAP2OUT)+IF(((c_TMAP3OUT)-(c_TMAP2OUT))&gt;=0,IF(IF(o_WRAP=1,MOD(((c_TMAP3IN)-(c_TMAP2IN))*(((C156)-(c_TMAP2IN))*((c_TMAP3OUT)-(c_TMAP2OUT))+IF(((c_TMAP3OUT)-(c_TMAP2OUT))&gt;=0,1,-1)*QUOTIENT(((c_TMAP3IN)-(c_TMAP2IN)),2))+2147483648,4294967296)-2147483648,((c_TMAP3IN)-(c_TMAP2IN))*(((C156)-(c_TMAP2IN))*((c_TMAP3OUT)-(c_TMAP2OUT))+IF(((c_TMAP3OUT)-(c_TMAP2OUT))&gt;=0,1,-1)*QUOTIENT(((c_TMAP3IN)-(c_TMAP2IN)),2)))&lt;0,-1,0),IF(IF(o_WRAP=1,MOD(((c_TMAP3IN)-(c_TMAP2IN))*(((C156)-(c_TMAP2IN))*((c_TMAP3OUT)-(c_TMAP2OUT))+IF(((c_TMAP3OUT)-(c_TMAP2OUT))&gt;=0,1,-1)*QUOTIENT(((c_TMAP3IN)-(c_TMAP2IN)),2))+2147483648,4294967296)-2147483648,((c_TMAP3IN)-(c_TMAP2IN))*(((C156)-(c_TMAP2IN))*((c_TMAP3OUT)-(c_TMAP2OUT))+IF(((c_TMAP3OUT)-(c_TMAP2OUT))&gt;=0,1,-1)*QUOTIENT(((c_TMAP3IN)-(c_TMAP2IN)),2)))&gt;=0,1,0)))</f>
        <v>-14</v>
      </c>
      <c r="H156" s="7" t="n">
        <f aca="false">IF(((1000)-(c_TMAP3IN))=0,(c_TMAP3OUT)+QUOTIENT(((1000)-(c_TMAP3OUT)),2),QUOTIENT((((C156)-(c_TMAP3IN))*((1000)-(c_TMAP3OUT))+IF(((1000)-(c_TMAP3OUT))&gt;=0,1,-1)*QUOTIENT(((1000)-(c_TMAP3IN)),2)),((1000)-(c_TMAP3IN)))+(c_TMAP3OUT)+IF(((1000)-(c_TMAP3OUT))&gt;=0,IF(IF(o_WRAP=1,MOD(((1000)-(c_TMAP3IN))*(((C156)-(c_TMAP3IN))*((1000)-(c_TMAP3OUT))+IF(((1000)-(c_TMAP3OUT))&gt;=0,1,-1)*QUOTIENT(((1000)-(c_TMAP3IN)),2))+2147483648,4294967296)-2147483648,((1000)-(c_TMAP3IN))*(((C156)-(c_TMAP3IN))*((1000)-(c_TMAP3OUT))+IF(((1000)-(c_TMAP3OUT))&gt;=0,1,-1)*QUOTIENT(((1000)-(c_TMAP3IN)),2)))&lt;0,-1,0),IF(IF(o_WRAP=1,MOD(((1000)-(c_TMAP3IN))*(((C156)-(c_TMAP3IN))*((1000)-(c_TMAP3OUT))+IF(((1000)-(c_TMAP3OUT))&gt;=0,1,-1)*QUOTIENT(((1000)-(c_TMAP3IN)),2))+2147483648,4294967296)-2147483648,((1000)-(c_TMAP3IN))*(((C156)-(c_TMAP3IN))*((1000)-(c_TMAP3OUT))+IF(((1000)-(c_TMAP3OUT))&gt;=0,1,-1)*QUOTIENT(((1000)-(c_TMAP3IN)),2)))&gt;=0,1,0)))</f>
        <v>-175</v>
      </c>
      <c r="I156" s="7" t="n">
        <f aca="false">IF(C156&gt;=c_TFWD,IF(AND(C156&gt;=c_TMAP3IN,c_TMAP3IN&lt;1000),H156,IF(AND(C156&gt;=c_TMAP2IN,c_TMAP3IN&gt;c_TMAP2IN),G156,IF(AND(C156&gt;=c_TMAP1IN,c_TMAP2IN&gt;c_TMAP1IN),F156,E156))),D156)</f>
        <v>27</v>
      </c>
      <c r="J156" s="7" t="str">
        <f aca="false">IF(I156&lt;-1090,"TOO LOW",IF(I156&gt;1090,"TOO HIGH",""))</f>
        <v/>
      </c>
      <c r="K156" s="7" t="n">
        <f aca="false">IF(J156&lt;&gt;"",0,IF(I156&gt;979,1000,I156))</f>
        <v>27</v>
      </c>
      <c r="L156" s="7" t="n">
        <f aca="false">IF(OR(c_TSMOOTH=0,K156&gt;=c_TSMOOTHCUT),1,0)</f>
        <v>0</v>
      </c>
      <c r="M156" s="7" t="n">
        <f aca="false">IF(L156=1,0,M155+1)</f>
        <v>70</v>
      </c>
      <c r="N156" s="7" t="n">
        <f aca="false">IF(L156=1,0,MIN(M156,c_TSMOOTH))</f>
        <v>30</v>
      </c>
      <c r="O156" s="7" t="n">
        <f aca="false">IF(COUNTIF($L$5:L156,1)&gt;0,c_TSMOOTHCUT,0)</f>
        <v>400</v>
      </c>
      <c r="P156" s="15" t="n">
        <f aca="true">IF(L156=1,K156,QUOTIENT(SUM(OFFSET(K156,1-N156,0,N156,1))+(c_TSMOOTH-N156)*O156,c_TSMOOTH))</f>
        <v>-325</v>
      </c>
      <c r="Q156" s="7" t="n">
        <f aca="false">K156/10</f>
        <v>2.7</v>
      </c>
      <c r="R156" s="7" t="n">
        <f aca="false">P156/10</f>
        <v>-32.5</v>
      </c>
    </row>
    <row r="157" customFormat="false" ht="15" hidden="false" customHeight="false" outlineLevel="0" collapsed="false">
      <c r="A157" s="7" t="n">
        <v>152</v>
      </c>
      <c r="B157" s="7" t="n">
        <f aca="false">A157*0.04</f>
        <v>6.08</v>
      </c>
      <c r="C157" s="18" t="n">
        <v>68</v>
      </c>
      <c r="D157" s="7" t="n">
        <f aca="false">IF(AND(C157=0,c_TCREEP&gt;0),10*c_TCREEP,IF(AND(C157&lt;=c_TRNGMIN,C157&gt;=c_TRNGMAX,c_TRNGMIN-c_TRNGMAX&lt;&gt;0),-10*c_TMINRN+QUOTIENT((c_TMAXRN-c_TMINRN)*(100-QUOTIENT((C157-c_TRNGMAX)*100,c_TRNGMIN-c_TRNGMAX)),-10),0))</f>
        <v>0</v>
      </c>
      <c r="E157" s="7" t="n">
        <f aca="false">IF(((c_TMAP1IN)-(c_TFWD))=0,(0)+QUOTIENT(((c_TMAP1OUT)-(0)),2),QUOTIENT((((C157)-(c_TFWD))*((c_TMAP1OUT)-(0))+IF(((c_TMAP1OUT)-(0))&gt;=0,1,-1)*QUOTIENT(((c_TMAP1IN)-(c_TFWD)),2)),((c_TMAP1IN)-(c_TFWD)))+(0)+IF(((c_TMAP1OUT)-(0))&gt;=0,IF(IF(o_WRAP=1,MOD(((c_TMAP1IN)-(c_TFWD))*(((C157)-(c_TFWD))*((c_TMAP1OUT)-(0))+IF(((c_TMAP1OUT)-(0))&gt;=0,1,-1)*QUOTIENT(((c_TMAP1IN)-(c_TFWD)),2))+2147483648,4294967296)-2147483648,((c_TMAP1IN)-(c_TFWD))*(((C157)-(c_TFWD))*((c_TMAP1OUT)-(0))+IF(((c_TMAP1OUT)-(0))&gt;=0,1,-1)*QUOTIENT(((c_TMAP1IN)-(c_TFWD)),2)))&lt;0,-1,0),IF(IF(o_WRAP=1,MOD(((c_TMAP1IN)-(c_TFWD))*(((C157)-(c_TFWD))*((c_TMAP1OUT)-(0))+IF(((c_TMAP1OUT)-(0))&gt;=0,1,-1)*QUOTIENT(((c_TMAP1IN)-(c_TFWD)),2))+2147483648,4294967296)-2147483648,((c_TMAP1IN)-(c_TFWD))*(((C157)-(c_TFWD))*((c_TMAP1OUT)-(0))+IF(((c_TMAP1OUT)-(0))&gt;=0,1,-1)*QUOTIENT(((c_TMAP1IN)-(c_TFWD)),2)))&gt;=0,1,0)))</f>
        <v>45</v>
      </c>
      <c r="F157" s="7" t="n">
        <f aca="false">IF(((c_TMAP2IN)-(c_TMAP1IN))=0,(c_TMAP1OUT)+QUOTIENT(((c_TMAP2OUT)-(c_TMAP1OUT)),2),QUOTIENT((((C157)-(c_TMAP1IN))*((c_TMAP2OUT)-(c_TMAP1OUT))+IF(((c_TMAP2OUT)-(c_TMAP1OUT))&gt;=0,1,-1)*QUOTIENT(((c_TMAP2IN)-(c_TMAP1IN)),2)),((c_TMAP2IN)-(c_TMAP1IN)))+(c_TMAP1OUT)+IF(((c_TMAP2OUT)-(c_TMAP1OUT))&gt;=0,IF(IF(o_WRAP=1,MOD(((c_TMAP2IN)-(c_TMAP1IN))*(((C157)-(c_TMAP1IN))*((c_TMAP2OUT)-(c_TMAP1OUT))+IF(((c_TMAP2OUT)-(c_TMAP1OUT))&gt;=0,1,-1)*QUOTIENT(((c_TMAP2IN)-(c_TMAP1IN)),2))+2147483648,4294967296)-2147483648,((c_TMAP2IN)-(c_TMAP1IN))*(((C157)-(c_TMAP1IN))*((c_TMAP2OUT)-(c_TMAP1OUT))+IF(((c_TMAP2OUT)-(c_TMAP1OUT))&gt;=0,1,-1)*QUOTIENT(((c_TMAP2IN)-(c_TMAP1IN)),2)))&lt;0,-1,0),IF(IF(o_WRAP=1,MOD(((c_TMAP2IN)-(c_TMAP1IN))*(((C157)-(c_TMAP1IN))*((c_TMAP2OUT)-(c_TMAP1OUT))+IF(((c_TMAP2OUT)-(c_TMAP1OUT))&gt;=0,1,-1)*QUOTIENT(((c_TMAP2IN)-(c_TMAP1IN)),2))+2147483648,4294967296)-2147483648,((c_TMAP2IN)-(c_TMAP1IN))*(((C157)-(c_TMAP1IN))*((c_TMAP2OUT)-(c_TMAP1OUT))+IF(((c_TMAP2OUT)-(c_TMAP1OUT))&gt;=0,1,-1)*QUOTIENT(((c_TMAP2IN)-(c_TMAP1IN)),2)))&gt;=0,1,0)))</f>
        <v>57</v>
      </c>
      <c r="G157" s="7" t="n">
        <f aca="false">IF(((c_TMAP3IN)-(c_TMAP2IN))=0,(c_TMAP2OUT)+QUOTIENT(((c_TMAP3OUT)-(c_TMAP2OUT)),2),QUOTIENT((((C157)-(c_TMAP2IN))*((c_TMAP3OUT)-(c_TMAP2OUT))+IF(((c_TMAP3OUT)-(c_TMAP2OUT))&gt;=0,1,-1)*QUOTIENT(((c_TMAP3IN)-(c_TMAP2IN)),2)),((c_TMAP3IN)-(c_TMAP2IN)))+(c_TMAP2OUT)+IF(((c_TMAP3OUT)-(c_TMAP2OUT))&gt;=0,IF(IF(o_WRAP=1,MOD(((c_TMAP3IN)-(c_TMAP2IN))*(((C157)-(c_TMAP2IN))*((c_TMAP3OUT)-(c_TMAP2OUT))+IF(((c_TMAP3OUT)-(c_TMAP2OUT))&gt;=0,1,-1)*QUOTIENT(((c_TMAP3IN)-(c_TMAP2IN)),2))+2147483648,4294967296)-2147483648,((c_TMAP3IN)-(c_TMAP2IN))*(((C157)-(c_TMAP2IN))*((c_TMAP3OUT)-(c_TMAP2OUT))+IF(((c_TMAP3OUT)-(c_TMAP2OUT))&gt;=0,1,-1)*QUOTIENT(((c_TMAP3IN)-(c_TMAP2IN)),2)))&lt;0,-1,0),IF(IF(o_WRAP=1,MOD(((c_TMAP3IN)-(c_TMAP2IN))*(((C157)-(c_TMAP2IN))*((c_TMAP3OUT)-(c_TMAP2OUT))+IF(((c_TMAP3OUT)-(c_TMAP2OUT))&gt;=0,1,-1)*QUOTIENT(((c_TMAP3IN)-(c_TMAP2IN)),2))+2147483648,4294967296)-2147483648,((c_TMAP3IN)-(c_TMAP2IN))*(((C157)-(c_TMAP2IN))*((c_TMAP3OUT)-(c_TMAP2OUT))+IF(((c_TMAP3OUT)-(c_TMAP2OUT))&gt;=0,1,-1)*QUOTIENT(((c_TMAP3IN)-(c_TMAP2IN)),2)))&gt;=0,1,0)))</f>
        <v>3</v>
      </c>
      <c r="H157" s="7" t="n">
        <f aca="false">IF(((1000)-(c_TMAP3IN))=0,(c_TMAP3OUT)+QUOTIENT(((1000)-(c_TMAP3OUT)),2),QUOTIENT((((C157)-(c_TMAP3IN))*((1000)-(c_TMAP3OUT))+IF(((1000)-(c_TMAP3OUT))&gt;=0,1,-1)*QUOTIENT(((1000)-(c_TMAP3IN)),2)),((1000)-(c_TMAP3IN)))+(c_TMAP3OUT)+IF(((1000)-(c_TMAP3OUT))&gt;=0,IF(IF(o_WRAP=1,MOD(((1000)-(c_TMAP3IN))*(((C157)-(c_TMAP3IN))*((1000)-(c_TMAP3OUT))+IF(((1000)-(c_TMAP3OUT))&gt;=0,1,-1)*QUOTIENT(((1000)-(c_TMAP3IN)),2))+2147483648,4294967296)-2147483648,((1000)-(c_TMAP3IN))*(((C157)-(c_TMAP3IN))*((1000)-(c_TMAP3OUT))+IF(((1000)-(c_TMAP3OUT))&gt;=0,1,-1)*QUOTIENT(((1000)-(c_TMAP3IN)),2)))&lt;0,-1,0),IF(IF(o_WRAP=1,MOD(((1000)-(c_TMAP3IN))*(((C157)-(c_TMAP3IN))*((1000)-(c_TMAP3OUT))+IF(((1000)-(c_TMAP3OUT))&gt;=0,1,-1)*QUOTIENT(((1000)-(c_TMAP3IN)),2))+2147483648,4294967296)-2147483648,((1000)-(c_TMAP3IN))*(((C157)-(c_TMAP3IN))*((1000)-(c_TMAP3OUT))+IF(((1000)-(c_TMAP3OUT))&gt;=0,1,-1)*QUOTIENT(((1000)-(c_TMAP3IN)),2)))&gt;=0,1,0)))</f>
        <v>-147</v>
      </c>
      <c r="I157" s="7" t="n">
        <f aca="false">IF(C157&gt;=c_TFWD,IF(AND(C157&gt;=c_TMAP3IN,c_TMAP3IN&lt;1000),H157,IF(AND(C157&gt;=c_TMAP2IN,c_TMAP3IN&gt;c_TMAP2IN),G157,IF(AND(C157&gt;=c_TMAP1IN,c_TMAP2IN&gt;c_TMAP1IN),F157,E157))),D157)</f>
        <v>45</v>
      </c>
      <c r="J157" s="7" t="str">
        <f aca="false">IF(I157&lt;-1090,"TOO LOW",IF(I157&gt;1090,"TOO HIGH",""))</f>
        <v/>
      </c>
      <c r="K157" s="7" t="n">
        <f aca="false">IF(J157&lt;&gt;"",0,IF(I157&gt;979,1000,I157))</f>
        <v>45</v>
      </c>
      <c r="L157" s="7" t="n">
        <f aca="false">IF(OR(c_TSMOOTH=0,K157&gt;=c_TSMOOTHCUT),1,0)</f>
        <v>0</v>
      </c>
      <c r="M157" s="7" t="n">
        <f aca="false">IF(L157=1,0,M156+1)</f>
        <v>71</v>
      </c>
      <c r="N157" s="7" t="n">
        <f aca="false">IF(L157=1,0,MIN(M157,c_TSMOOTH))</f>
        <v>30</v>
      </c>
      <c r="O157" s="7" t="n">
        <f aca="false">IF(COUNTIF($L$5:L157,1)&gt;0,c_TSMOOTHCUT,0)</f>
        <v>400</v>
      </c>
      <c r="P157" s="15" t="n">
        <f aca="true">IF(L157=1,K157,QUOTIENT(SUM(OFFSET(K157,1-N157,0,N157,1))+(c_TSMOOTH-N157)*O157,c_TSMOOTH))</f>
        <v>-312</v>
      </c>
      <c r="Q157" s="7" t="n">
        <f aca="false">K157/10</f>
        <v>4.5</v>
      </c>
      <c r="R157" s="7" t="n">
        <f aca="false">P157/10</f>
        <v>-31.2</v>
      </c>
    </row>
    <row r="158" customFormat="false" ht="15" hidden="false" customHeight="false" outlineLevel="0" collapsed="false">
      <c r="A158" s="7" t="n">
        <v>153</v>
      </c>
      <c r="B158" s="7" t="n">
        <f aca="false">A158*0.04</f>
        <v>6.12</v>
      </c>
      <c r="C158" s="18" t="n">
        <v>90</v>
      </c>
      <c r="D158" s="7" t="n">
        <f aca="false">IF(AND(C158=0,c_TCREEP&gt;0),10*c_TCREEP,IF(AND(C158&lt;=c_TRNGMIN,C158&gt;=c_TRNGMAX,c_TRNGMIN-c_TRNGMAX&lt;&gt;0),-10*c_TMINRN+QUOTIENT((c_TMAXRN-c_TMINRN)*(100-QUOTIENT((C158-c_TRNGMAX)*100,c_TRNGMIN-c_TRNGMAX)),-10),0))</f>
        <v>0</v>
      </c>
      <c r="E158" s="7" t="n">
        <f aca="false">IF(((c_TMAP1IN)-(c_TFWD))=0,(0)+QUOTIENT(((c_TMAP1OUT)-(0)),2),QUOTIENT((((C158)-(c_TFWD))*((c_TMAP1OUT)-(0))+IF(((c_TMAP1OUT)-(0))&gt;=0,1,-1)*QUOTIENT(((c_TMAP1IN)-(c_TFWD)),2)),((c_TMAP1IN)-(c_TFWD)))+(0)+IF(((c_TMAP1OUT)-(0))&gt;=0,IF(IF(o_WRAP=1,MOD(((c_TMAP1IN)-(c_TFWD))*(((C158)-(c_TFWD))*((c_TMAP1OUT)-(0))+IF(((c_TMAP1OUT)-(0))&gt;=0,1,-1)*QUOTIENT(((c_TMAP1IN)-(c_TFWD)),2))+2147483648,4294967296)-2147483648,((c_TMAP1IN)-(c_TFWD))*(((C158)-(c_TFWD))*((c_TMAP1OUT)-(0))+IF(((c_TMAP1OUT)-(0))&gt;=0,1,-1)*QUOTIENT(((c_TMAP1IN)-(c_TFWD)),2)))&lt;0,-1,0),IF(IF(o_WRAP=1,MOD(((c_TMAP1IN)-(c_TFWD))*(((C158)-(c_TFWD))*((c_TMAP1OUT)-(0))+IF(((c_TMAP1OUT)-(0))&gt;=0,1,-1)*QUOTIENT(((c_TMAP1IN)-(c_TFWD)),2))+2147483648,4294967296)-2147483648,((c_TMAP1IN)-(c_TFWD))*(((C158)-(c_TFWD))*((c_TMAP1OUT)-(0))+IF(((c_TMAP1OUT)-(0))&gt;=0,1,-1)*QUOTIENT(((c_TMAP1IN)-(c_TFWD)),2)))&gt;=0,1,0)))</f>
        <v>62</v>
      </c>
      <c r="F158" s="7" t="n">
        <f aca="false">IF(((c_TMAP2IN)-(c_TMAP1IN))=0,(c_TMAP1OUT)+QUOTIENT(((c_TMAP2OUT)-(c_TMAP1OUT)),2),QUOTIENT((((C158)-(c_TMAP1IN))*((c_TMAP2OUT)-(c_TMAP1OUT))+IF(((c_TMAP2OUT)-(c_TMAP1OUT))&gt;=0,1,-1)*QUOTIENT(((c_TMAP2IN)-(c_TMAP1IN)),2)),((c_TMAP2IN)-(c_TMAP1IN)))+(c_TMAP1OUT)+IF(((c_TMAP2OUT)-(c_TMAP1OUT))&gt;=0,IF(IF(o_WRAP=1,MOD(((c_TMAP2IN)-(c_TMAP1IN))*(((C158)-(c_TMAP1IN))*((c_TMAP2OUT)-(c_TMAP1OUT))+IF(((c_TMAP2OUT)-(c_TMAP1OUT))&gt;=0,1,-1)*QUOTIENT(((c_TMAP2IN)-(c_TMAP1IN)),2))+2147483648,4294967296)-2147483648,((c_TMAP2IN)-(c_TMAP1IN))*(((C158)-(c_TMAP1IN))*((c_TMAP2OUT)-(c_TMAP1OUT))+IF(((c_TMAP2OUT)-(c_TMAP1OUT))&gt;=0,1,-1)*QUOTIENT(((c_TMAP2IN)-(c_TMAP1IN)),2)))&lt;0,-1,0),IF(IF(o_WRAP=1,MOD(((c_TMAP2IN)-(c_TMAP1IN))*(((C158)-(c_TMAP1IN))*((c_TMAP2OUT)-(c_TMAP1OUT))+IF(((c_TMAP2OUT)-(c_TMAP1OUT))&gt;=0,1,-1)*QUOTIENT(((c_TMAP2IN)-(c_TMAP1IN)),2))+2147483648,4294967296)-2147483648,((c_TMAP2IN)-(c_TMAP1IN))*(((C158)-(c_TMAP1IN))*((c_TMAP2OUT)-(c_TMAP1OUT))+IF(((c_TMAP2OUT)-(c_TMAP1OUT))&gt;=0,1,-1)*QUOTIENT(((c_TMAP2IN)-(c_TMAP1IN)),2)))&gt;=0,1,0)))</f>
        <v>66</v>
      </c>
      <c r="G158" s="7" t="n">
        <f aca="false">IF(((c_TMAP3IN)-(c_TMAP2IN))=0,(c_TMAP2OUT)+QUOTIENT(((c_TMAP3OUT)-(c_TMAP2OUT)),2),QUOTIENT((((C158)-(c_TMAP2IN))*((c_TMAP3OUT)-(c_TMAP2OUT))+IF(((c_TMAP3OUT)-(c_TMAP2OUT))&gt;=0,1,-1)*QUOTIENT(((c_TMAP3IN)-(c_TMAP2IN)),2)),((c_TMAP3IN)-(c_TMAP2IN)))+(c_TMAP2OUT)+IF(((c_TMAP3OUT)-(c_TMAP2OUT))&gt;=0,IF(IF(o_WRAP=1,MOD(((c_TMAP3IN)-(c_TMAP2IN))*(((C158)-(c_TMAP2IN))*((c_TMAP3OUT)-(c_TMAP2OUT))+IF(((c_TMAP3OUT)-(c_TMAP2OUT))&gt;=0,1,-1)*QUOTIENT(((c_TMAP3IN)-(c_TMAP2IN)),2))+2147483648,4294967296)-2147483648,((c_TMAP3IN)-(c_TMAP2IN))*(((C158)-(c_TMAP2IN))*((c_TMAP3OUT)-(c_TMAP2OUT))+IF(((c_TMAP3OUT)-(c_TMAP2OUT))&gt;=0,1,-1)*QUOTIENT(((c_TMAP3IN)-(c_TMAP2IN)),2)))&lt;0,-1,0),IF(IF(o_WRAP=1,MOD(((c_TMAP3IN)-(c_TMAP2IN))*(((C158)-(c_TMAP2IN))*((c_TMAP3OUT)-(c_TMAP2OUT))+IF(((c_TMAP3OUT)-(c_TMAP2OUT))&gt;=0,1,-1)*QUOTIENT(((c_TMAP3IN)-(c_TMAP2IN)),2))+2147483648,4294967296)-2147483648,((c_TMAP3IN)-(c_TMAP2IN))*(((C158)-(c_TMAP2IN))*((c_TMAP3OUT)-(c_TMAP2OUT))+IF(((c_TMAP3OUT)-(c_TMAP2OUT))&gt;=0,1,-1)*QUOTIENT(((c_TMAP3IN)-(c_TMAP2IN)),2)))&gt;=0,1,0)))</f>
        <v>18</v>
      </c>
      <c r="H158" s="7" t="n">
        <f aca="false">IF(((1000)-(c_TMAP3IN))=0,(c_TMAP3OUT)+QUOTIENT(((1000)-(c_TMAP3OUT)),2),QUOTIENT((((C158)-(c_TMAP3IN))*((1000)-(c_TMAP3OUT))+IF(((1000)-(c_TMAP3OUT))&gt;=0,1,-1)*QUOTIENT(((1000)-(c_TMAP3IN)),2)),((1000)-(c_TMAP3IN)))+(c_TMAP3OUT)+IF(((1000)-(c_TMAP3OUT))&gt;=0,IF(IF(o_WRAP=1,MOD(((1000)-(c_TMAP3IN))*(((C158)-(c_TMAP3IN))*((1000)-(c_TMAP3OUT))+IF(((1000)-(c_TMAP3OUT))&gt;=0,1,-1)*QUOTIENT(((1000)-(c_TMAP3IN)),2))+2147483648,4294967296)-2147483648,((1000)-(c_TMAP3IN))*(((C158)-(c_TMAP3IN))*((1000)-(c_TMAP3OUT))+IF(((1000)-(c_TMAP3OUT))&gt;=0,1,-1)*QUOTIENT(((1000)-(c_TMAP3IN)),2)))&lt;0,-1,0),IF(IF(o_WRAP=1,MOD(((1000)-(c_TMAP3IN))*(((C158)-(c_TMAP3IN))*((1000)-(c_TMAP3OUT))+IF(((1000)-(c_TMAP3OUT))&gt;=0,1,-1)*QUOTIENT(((1000)-(c_TMAP3IN)),2))+2147483648,4294967296)-2147483648,((1000)-(c_TMAP3IN))*(((C158)-(c_TMAP3IN))*((1000)-(c_TMAP3OUT))+IF(((1000)-(c_TMAP3OUT))&gt;=0,1,-1)*QUOTIENT(((1000)-(c_TMAP3IN)),2)))&gt;=0,1,0)))</f>
        <v>-120</v>
      </c>
      <c r="I158" s="7" t="n">
        <f aca="false">IF(C158&gt;=c_TFWD,IF(AND(C158&gt;=c_TMAP3IN,c_TMAP3IN&lt;1000),H158,IF(AND(C158&gt;=c_TMAP2IN,c_TMAP3IN&gt;c_TMAP2IN),G158,IF(AND(C158&gt;=c_TMAP1IN,c_TMAP2IN&gt;c_TMAP1IN),F158,E158))),D158)</f>
        <v>62</v>
      </c>
      <c r="J158" s="7" t="str">
        <f aca="false">IF(I158&lt;-1090,"TOO LOW",IF(I158&gt;1090,"TOO HIGH",""))</f>
        <v/>
      </c>
      <c r="K158" s="7" t="n">
        <f aca="false">IF(J158&lt;&gt;"",0,IF(I158&gt;979,1000,I158))</f>
        <v>62</v>
      </c>
      <c r="L158" s="7" t="n">
        <f aca="false">IF(OR(c_TSMOOTH=0,K158&gt;=c_TSMOOTHCUT),1,0)</f>
        <v>0</v>
      </c>
      <c r="M158" s="7" t="n">
        <f aca="false">IF(L158=1,0,M157+1)</f>
        <v>72</v>
      </c>
      <c r="N158" s="7" t="n">
        <f aca="false">IF(L158=1,0,MIN(M158,c_TSMOOTH))</f>
        <v>30</v>
      </c>
      <c r="O158" s="7" t="n">
        <f aca="false">IF(COUNTIF($L$5:L158,1)&gt;0,c_TSMOOTHCUT,0)</f>
        <v>400</v>
      </c>
      <c r="P158" s="15" t="n">
        <f aca="true">IF(L158=1,K158,QUOTIENT(SUM(OFFSET(K158,1-N158,0,N158,1))+(c_TSMOOTH-N158)*O158,c_TSMOOTH))</f>
        <v>-298</v>
      </c>
      <c r="Q158" s="7" t="n">
        <f aca="false">K158/10</f>
        <v>6.2</v>
      </c>
      <c r="R158" s="7" t="n">
        <f aca="false">P158/10</f>
        <v>-29.8</v>
      </c>
    </row>
    <row r="159" customFormat="false" ht="15" hidden="false" customHeight="false" outlineLevel="0" collapsed="false">
      <c r="A159" s="7" t="n">
        <v>154</v>
      </c>
      <c r="B159" s="7" t="n">
        <f aca="false">A159*0.04</f>
        <v>6.16</v>
      </c>
      <c r="C159" s="18" t="n">
        <v>112</v>
      </c>
      <c r="D159" s="7" t="n">
        <f aca="false">IF(AND(C159=0,c_TCREEP&gt;0),10*c_TCREEP,IF(AND(C159&lt;=c_TRNGMIN,C159&gt;=c_TRNGMAX,c_TRNGMIN-c_TRNGMAX&lt;&gt;0),-10*c_TMINRN+QUOTIENT((c_TMAXRN-c_TMINRN)*(100-QUOTIENT((C159-c_TRNGMAX)*100,c_TRNGMIN-c_TRNGMAX)),-10),0))</f>
        <v>0</v>
      </c>
      <c r="E159" s="7" t="n">
        <f aca="false">IF(((c_TMAP1IN)-(c_TFWD))=0,(0)+QUOTIENT(((c_TMAP1OUT)-(0)),2),QUOTIENT((((C159)-(c_TFWD))*((c_TMAP1OUT)-(0))+IF(((c_TMAP1OUT)-(0))&gt;=0,1,-1)*QUOTIENT(((c_TMAP1IN)-(c_TFWD)),2)),((c_TMAP1IN)-(c_TFWD)))+(0)+IF(((c_TMAP1OUT)-(0))&gt;=0,IF(IF(o_WRAP=1,MOD(((c_TMAP1IN)-(c_TFWD))*(((C159)-(c_TFWD))*((c_TMAP1OUT)-(0))+IF(((c_TMAP1OUT)-(0))&gt;=0,1,-1)*QUOTIENT(((c_TMAP1IN)-(c_TFWD)),2))+2147483648,4294967296)-2147483648,((c_TMAP1IN)-(c_TFWD))*(((C159)-(c_TFWD))*((c_TMAP1OUT)-(0))+IF(((c_TMAP1OUT)-(0))&gt;=0,1,-1)*QUOTIENT(((c_TMAP1IN)-(c_TFWD)),2)))&lt;0,-1,0),IF(IF(o_WRAP=1,MOD(((c_TMAP1IN)-(c_TFWD))*(((C159)-(c_TFWD))*((c_TMAP1OUT)-(0))+IF(((c_TMAP1OUT)-(0))&gt;=0,1,-1)*QUOTIENT(((c_TMAP1IN)-(c_TFWD)),2))+2147483648,4294967296)-2147483648,((c_TMAP1IN)-(c_TFWD))*(((C159)-(c_TFWD))*((c_TMAP1OUT)-(0))+IF(((c_TMAP1OUT)-(0))&gt;=0,1,-1)*QUOTIENT(((c_TMAP1IN)-(c_TFWD)),2)))&gt;=0,1,0)))</f>
        <v>79</v>
      </c>
      <c r="F159" s="7" t="n">
        <f aca="false">IF(((c_TMAP2IN)-(c_TMAP1IN))=0,(c_TMAP1OUT)+QUOTIENT(((c_TMAP2OUT)-(c_TMAP1OUT)),2),QUOTIENT((((C159)-(c_TMAP1IN))*((c_TMAP2OUT)-(c_TMAP1OUT))+IF(((c_TMAP2OUT)-(c_TMAP1OUT))&gt;=0,1,-1)*QUOTIENT(((c_TMAP2IN)-(c_TMAP1IN)),2)),((c_TMAP2IN)-(c_TMAP1IN)))+(c_TMAP1OUT)+IF(((c_TMAP2OUT)-(c_TMAP1OUT))&gt;=0,IF(IF(o_WRAP=1,MOD(((c_TMAP2IN)-(c_TMAP1IN))*(((C159)-(c_TMAP1IN))*((c_TMAP2OUT)-(c_TMAP1OUT))+IF(((c_TMAP2OUT)-(c_TMAP1OUT))&gt;=0,1,-1)*QUOTIENT(((c_TMAP2IN)-(c_TMAP1IN)),2))+2147483648,4294967296)-2147483648,((c_TMAP2IN)-(c_TMAP1IN))*(((C159)-(c_TMAP1IN))*((c_TMAP2OUT)-(c_TMAP1OUT))+IF(((c_TMAP2OUT)-(c_TMAP1OUT))&gt;=0,1,-1)*QUOTIENT(((c_TMAP2IN)-(c_TMAP1IN)),2)))&lt;0,-1,0),IF(IF(o_WRAP=1,MOD(((c_TMAP2IN)-(c_TMAP1IN))*(((C159)-(c_TMAP1IN))*((c_TMAP2OUT)-(c_TMAP1OUT))+IF(((c_TMAP2OUT)-(c_TMAP1OUT))&gt;=0,1,-1)*QUOTIENT(((c_TMAP2IN)-(c_TMAP1IN)),2))+2147483648,4294967296)-2147483648,((c_TMAP2IN)-(c_TMAP1IN))*(((C159)-(c_TMAP1IN))*((c_TMAP2OUT)-(c_TMAP1OUT))+IF(((c_TMAP2OUT)-(c_TMAP1OUT))&gt;=0,1,-1)*QUOTIENT(((c_TMAP2IN)-(c_TMAP1IN)),2)))&gt;=0,1,0)))</f>
        <v>75</v>
      </c>
      <c r="G159" s="7" t="n">
        <f aca="false">IF(((c_TMAP3IN)-(c_TMAP2IN))=0,(c_TMAP2OUT)+QUOTIENT(((c_TMAP3OUT)-(c_TMAP2OUT)),2),QUOTIENT((((C159)-(c_TMAP2IN))*((c_TMAP3OUT)-(c_TMAP2OUT))+IF(((c_TMAP3OUT)-(c_TMAP2OUT))&gt;=0,1,-1)*QUOTIENT(((c_TMAP3IN)-(c_TMAP2IN)),2)),((c_TMAP3IN)-(c_TMAP2IN)))+(c_TMAP2OUT)+IF(((c_TMAP3OUT)-(c_TMAP2OUT))&gt;=0,IF(IF(o_WRAP=1,MOD(((c_TMAP3IN)-(c_TMAP2IN))*(((C159)-(c_TMAP2IN))*((c_TMAP3OUT)-(c_TMAP2OUT))+IF(((c_TMAP3OUT)-(c_TMAP2OUT))&gt;=0,1,-1)*QUOTIENT(((c_TMAP3IN)-(c_TMAP2IN)),2))+2147483648,4294967296)-2147483648,((c_TMAP3IN)-(c_TMAP2IN))*(((C159)-(c_TMAP2IN))*((c_TMAP3OUT)-(c_TMAP2OUT))+IF(((c_TMAP3OUT)-(c_TMAP2OUT))&gt;=0,1,-1)*QUOTIENT(((c_TMAP3IN)-(c_TMAP2IN)),2)))&lt;0,-1,0),IF(IF(o_WRAP=1,MOD(((c_TMAP3IN)-(c_TMAP2IN))*(((C159)-(c_TMAP2IN))*((c_TMAP3OUT)-(c_TMAP2OUT))+IF(((c_TMAP3OUT)-(c_TMAP2OUT))&gt;=0,1,-1)*QUOTIENT(((c_TMAP3IN)-(c_TMAP2IN)),2))+2147483648,4294967296)-2147483648,((c_TMAP3IN)-(c_TMAP2IN))*(((C159)-(c_TMAP2IN))*((c_TMAP3OUT)-(c_TMAP2OUT))+IF(((c_TMAP3OUT)-(c_TMAP2OUT))&gt;=0,1,-1)*QUOTIENT(((c_TMAP3IN)-(c_TMAP2IN)),2)))&gt;=0,1,0)))</f>
        <v>33</v>
      </c>
      <c r="H159" s="7" t="n">
        <f aca="false">IF(((1000)-(c_TMAP3IN))=0,(c_TMAP3OUT)+QUOTIENT(((1000)-(c_TMAP3OUT)),2),QUOTIENT((((C159)-(c_TMAP3IN))*((1000)-(c_TMAP3OUT))+IF(((1000)-(c_TMAP3OUT))&gt;=0,1,-1)*QUOTIENT(((1000)-(c_TMAP3IN)),2)),((1000)-(c_TMAP3IN)))+(c_TMAP3OUT)+IF(((1000)-(c_TMAP3OUT))&gt;=0,IF(IF(o_WRAP=1,MOD(((1000)-(c_TMAP3IN))*(((C159)-(c_TMAP3IN))*((1000)-(c_TMAP3OUT))+IF(((1000)-(c_TMAP3OUT))&gt;=0,1,-1)*QUOTIENT(((1000)-(c_TMAP3IN)),2))+2147483648,4294967296)-2147483648,((1000)-(c_TMAP3IN))*(((C159)-(c_TMAP3IN))*((1000)-(c_TMAP3OUT))+IF(((1000)-(c_TMAP3OUT))&gt;=0,1,-1)*QUOTIENT(((1000)-(c_TMAP3IN)),2)))&lt;0,-1,0),IF(IF(o_WRAP=1,MOD(((1000)-(c_TMAP3IN))*(((C159)-(c_TMAP3IN))*((1000)-(c_TMAP3OUT))+IF(((1000)-(c_TMAP3OUT))&gt;=0,1,-1)*QUOTIENT(((1000)-(c_TMAP3IN)),2))+2147483648,4294967296)-2147483648,((1000)-(c_TMAP3IN))*(((C159)-(c_TMAP3IN))*((1000)-(c_TMAP3OUT))+IF(((1000)-(c_TMAP3OUT))&gt;=0,1,-1)*QUOTIENT(((1000)-(c_TMAP3IN)),2)))&gt;=0,1,0)))</f>
        <v>-93</v>
      </c>
      <c r="I159" s="7" t="n">
        <f aca="false">IF(C159&gt;=c_TFWD,IF(AND(C159&gt;=c_TMAP3IN,c_TMAP3IN&lt;1000),H159,IF(AND(C159&gt;=c_TMAP2IN,c_TMAP3IN&gt;c_TMAP2IN),G159,IF(AND(C159&gt;=c_TMAP1IN,c_TMAP2IN&gt;c_TMAP1IN),F159,E159))),D159)</f>
        <v>75</v>
      </c>
      <c r="J159" s="7" t="str">
        <f aca="false">IF(I159&lt;-1090,"TOO LOW",IF(I159&gt;1090,"TOO HIGH",""))</f>
        <v/>
      </c>
      <c r="K159" s="7" t="n">
        <f aca="false">IF(J159&lt;&gt;"",0,IF(I159&gt;979,1000,I159))</f>
        <v>75</v>
      </c>
      <c r="L159" s="7" t="n">
        <f aca="false">IF(OR(c_TSMOOTH=0,K159&gt;=c_TSMOOTHCUT),1,0)</f>
        <v>0</v>
      </c>
      <c r="M159" s="7" t="n">
        <f aca="false">IF(L159=1,0,M158+1)</f>
        <v>73</v>
      </c>
      <c r="N159" s="7" t="n">
        <f aca="false">IF(L159=1,0,MIN(M159,c_TSMOOTH))</f>
        <v>30</v>
      </c>
      <c r="O159" s="7" t="n">
        <f aca="false">IF(COUNTIF($L$5:L159,1)&gt;0,c_TSMOOTHCUT,0)</f>
        <v>400</v>
      </c>
      <c r="P159" s="15" t="n">
        <f aca="true">IF(L159=1,K159,QUOTIENT(SUM(OFFSET(K159,1-N159,0,N159,1))+(c_TSMOOTH-N159)*O159,c_TSMOOTH))</f>
        <v>-284</v>
      </c>
      <c r="Q159" s="7" t="n">
        <f aca="false">K159/10</f>
        <v>7.5</v>
      </c>
      <c r="R159" s="7" t="n">
        <f aca="false">P159/10</f>
        <v>-28.4</v>
      </c>
    </row>
    <row r="160" customFormat="false" ht="15" hidden="false" customHeight="false" outlineLevel="0" collapsed="false">
      <c r="A160" s="7" t="n">
        <v>155</v>
      </c>
      <c r="B160" s="7" t="n">
        <f aca="false">A160*0.04</f>
        <v>6.2</v>
      </c>
      <c r="C160" s="18" t="n">
        <v>135</v>
      </c>
      <c r="D160" s="7" t="n">
        <f aca="false">IF(AND(C160=0,c_TCREEP&gt;0),10*c_TCREEP,IF(AND(C160&lt;=c_TRNGMIN,C160&gt;=c_TRNGMAX,c_TRNGMIN-c_TRNGMAX&lt;&gt;0),-10*c_TMINRN+QUOTIENT((c_TMAXRN-c_TMINRN)*(100-QUOTIENT((C160-c_TRNGMAX)*100,c_TRNGMIN-c_TRNGMAX)),-10),0))</f>
        <v>0</v>
      </c>
      <c r="E160" s="7" t="n">
        <f aca="false">IF(((c_TMAP1IN)-(c_TFWD))=0,(0)+QUOTIENT(((c_TMAP1OUT)-(0)),2),QUOTIENT((((C160)-(c_TFWD))*((c_TMAP1OUT)-(0))+IF(((c_TMAP1OUT)-(0))&gt;=0,1,-1)*QUOTIENT(((c_TMAP1IN)-(c_TFWD)),2)),((c_TMAP1IN)-(c_TFWD)))+(0)+IF(((c_TMAP1OUT)-(0))&gt;=0,IF(IF(o_WRAP=1,MOD(((c_TMAP1IN)-(c_TFWD))*(((C160)-(c_TFWD))*((c_TMAP1OUT)-(0))+IF(((c_TMAP1OUT)-(0))&gt;=0,1,-1)*QUOTIENT(((c_TMAP1IN)-(c_TFWD)),2))+2147483648,4294967296)-2147483648,((c_TMAP1IN)-(c_TFWD))*(((C160)-(c_TFWD))*((c_TMAP1OUT)-(0))+IF(((c_TMAP1OUT)-(0))&gt;=0,1,-1)*QUOTIENT(((c_TMAP1IN)-(c_TFWD)),2)))&lt;0,-1,0),IF(IF(o_WRAP=1,MOD(((c_TMAP1IN)-(c_TFWD))*(((C160)-(c_TFWD))*((c_TMAP1OUT)-(0))+IF(((c_TMAP1OUT)-(0))&gt;=0,1,-1)*QUOTIENT(((c_TMAP1IN)-(c_TFWD)),2))+2147483648,4294967296)-2147483648,((c_TMAP1IN)-(c_TFWD))*(((C160)-(c_TFWD))*((c_TMAP1OUT)-(0))+IF(((c_TMAP1OUT)-(0))&gt;=0,1,-1)*QUOTIENT(((c_TMAP1IN)-(c_TFWD)),2)))&gt;=0,1,0)))</f>
        <v>97</v>
      </c>
      <c r="F160" s="7" t="n">
        <f aca="false">IF(((c_TMAP2IN)-(c_TMAP1IN))=0,(c_TMAP1OUT)+QUOTIENT(((c_TMAP2OUT)-(c_TMAP1OUT)),2),QUOTIENT((((C160)-(c_TMAP1IN))*((c_TMAP2OUT)-(c_TMAP1OUT))+IF(((c_TMAP2OUT)-(c_TMAP1OUT))&gt;=0,1,-1)*QUOTIENT(((c_TMAP2IN)-(c_TMAP1IN)),2)),((c_TMAP2IN)-(c_TMAP1IN)))+(c_TMAP1OUT)+IF(((c_TMAP2OUT)-(c_TMAP1OUT))&gt;=0,IF(IF(o_WRAP=1,MOD(((c_TMAP2IN)-(c_TMAP1IN))*(((C160)-(c_TMAP1IN))*((c_TMAP2OUT)-(c_TMAP1OUT))+IF(((c_TMAP2OUT)-(c_TMAP1OUT))&gt;=0,1,-1)*QUOTIENT(((c_TMAP2IN)-(c_TMAP1IN)),2))+2147483648,4294967296)-2147483648,((c_TMAP2IN)-(c_TMAP1IN))*(((C160)-(c_TMAP1IN))*((c_TMAP2OUT)-(c_TMAP1OUT))+IF(((c_TMAP2OUT)-(c_TMAP1OUT))&gt;=0,1,-1)*QUOTIENT(((c_TMAP2IN)-(c_TMAP1IN)),2)))&lt;0,-1,0),IF(IF(o_WRAP=1,MOD(((c_TMAP2IN)-(c_TMAP1IN))*(((C160)-(c_TMAP1IN))*((c_TMAP2OUT)-(c_TMAP1OUT))+IF(((c_TMAP2OUT)-(c_TMAP1OUT))&gt;=0,1,-1)*QUOTIENT(((c_TMAP2IN)-(c_TMAP1IN)),2))+2147483648,4294967296)-2147483648,((c_TMAP2IN)-(c_TMAP1IN))*(((C160)-(c_TMAP1IN))*((c_TMAP2OUT)-(c_TMAP1OUT))+IF(((c_TMAP2OUT)-(c_TMAP1OUT))&gt;=0,1,-1)*QUOTIENT(((c_TMAP2IN)-(c_TMAP1IN)),2)))&gt;=0,1,0)))</f>
        <v>84</v>
      </c>
      <c r="G160" s="7" t="n">
        <f aca="false">IF(((c_TMAP3IN)-(c_TMAP2IN))=0,(c_TMAP2OUT)+QUOTIENT(((c_TMAP3OUT)-(c_TMAP2OUT)),2),QUOTIENT((((C160)-(c_TMAP2IN))*((c_TMAP3OUT)-(c_TMAP2OUT))+IF(((c_TMAP3OUT)-(c_TMAP2OUT))&gt;=0,1,-1)*QUOTIENT(((c_TMAP3IN)-(c_TMAP2IN)),2)),((c_TMAP3IN)-(c_TMAP2IN)))+(c_TMAP2OUT)+IF(((c_TMAP3OUT)-(c_TMAP2OUT))&gt;=0,IF(IF(o_WRAP=1,MOD(((c_TMAP3IN)-(c_TMAP2IN))*(((C160)-(c_TMAP2IN))*((c_TMAP3OUT)-(c_TMAP2OUT))+IF(((c_TMAP3OUT)-(c_TMAP2OUT))&gt;=0,1,-1)*QUOTIENT(((c_TMAP3IN)-(c_TMAP2IN)),2))+2147483648,4294967296)-2147483648,((c_TMAP3IN)-(c_TMAP2IN))*(((C160)-(c_TMAP2IN))*((c_TMAP3OUT)-(c_TMAP2OUT))+IF(((c_TMAP3OUT)-(c_TMAP2OUT))&gt;=0,1,-1)*QUOTIENT(((c_TMAP3IN)-(c_TMAP2IN)),2)))&lt;0,-1,0),IF(IF(o_WRAP=1,MOD(((c_TMAP3IN)-(c_TMAP2IN))*(((C160)-(c_TMAP2IN))*((c_TMAP3OUT)-(c_TMAP2OUT))+IF(((c_TMAP3OUT)-(c_TMAP2OUT))&gt;=0,1,-1)*QUOTIENT(((c_TMAP3IN)-(c_TMAP2IN)),2))+2147483648,4294967296)-2147483648,((c_TMAP3IN)-(c_TMAP2IN))*(((C160)-(c_TMAP2IN))*((c_TMAP3OUT)-(c_TMAP2OUT))+IF(((c_TMAP3OUT)-(c_TMAP2OUT))&gt;=0,1,-1)*QUOTIENT(((c_TMAP3IN)-(c_TMAP2IN)),2)))&gt;=0,1,0)))</f>
        <v>49</v>
      </c>
      <c r="H160" s="7" t="n">
        <f aca="false">IF(((1000)-(c_TMAP3IN))=0,(c_TMAP3OUT)+QUOTIENT(((1000)-(c_TMAP3OUT)),2),QUOTIENT((((C160)-(c_TMAP3IN))*((1000)-(c_TMAP3OUT))+IF(((1000)-(c_TMAP3OUT))&gt;=0,1,-1)*QUOTIENT(((1000)-(c_TMAP3IN)),2)),((1000)-(c_TMAP3IN)))+(c_TMAP3OUT)+IF(((1000)-(c_TMAP3OUT))&gt;=0,IF(IF(o_WRAP=1,MOD(((1000)-(c_TMAP3IN))*(((C160)-(c_TMAP3IN))*((1000)-(c_TMAP3OUT))+IF(((1000)-(c_TMAP3OUT))&gt;=0,1,-1)*QUOTIENT(((1000)-(c_TMAP3IN)),2))+2147483648,4294967296)-2147483648,((1000)-(c_TMAP3IN))*(((C160)-(c_TMAP3IN))*((1000)-(c_TMAP3OUT))+IF(((1000)-(c_TMAP3OUT))&gt;=0,1,-1)*QUOTIENT(((1000)-(c_TMAP3IN)),2)))&lt;0,-1,0),IF(IF(o_WRAP=1,MOD(((1000)-(c_TMAP3IN))*(((C160)-(c_TMAP3IN))*((1000)-(c_TMAP3OUT))+IF(((1000)-(c_TMAP3OUT))&gt;=0,1,-1)*QUOTIENT(((1000)-(c_TMAP3IN)),2))+2147483648,4294967296)-2147483648,((1000)-(c_TMAP3IN))*(((C160)-(c_TMAP3IN))*((1000)-(c_TMAP3OUT))+IF(((1000)-(c_TMAP3OUT))&gt;=0,1,-1)*QUOTIENT(((1000)-(c_TMAP3IN)),2)))&gt;=0,1,0)))</f>
        <v>-65</v>
      </c>
      <c r="I160" s="7" t="n">
        <f aca="false">IF(C160&gt;=c_TFWD,IF(AND(C160&gt;=c_TMAP3IN,c_TMAP3IN&lt;1000),H160,IF(AND(C160&gt;=c_TMAP2IN,c_TMAP3IN&gt;c_TMAP2IN),G160,IF(AND(C160&gt;=c_TMAP1IN,c_TMAP2IN&gt;c_TMAP1IN),F160,E160))),D160)</f>
        <v>84</v>
      </c>
      <c r="J160" s="7" t="str">
        <f aca="false">IF(I160&lt;-1090,"TOO LOW",IF(I160&gt;1090,"TOO HIGH",""))</f>
        <v/>
      </c>
      <c r="K160" s="7" t="n">
        <f aca="false">IF(J160&lt;&gt;"",0,IF(I160&gt;979,1000,I160))</f>
        <v>84</v>
      </c>
      <c r="L160" s="7" t="n">
        <f aca="false">IF(OR(c_TSMOOTH=0,K160&gt;=c_TSMOOTHCUT),1,0)</f>
        <v>0</v>
      </c>
      <c r="M160" s="7" t="n">
        <f aca="false">IF(L160=1,0,M159+1)</f>
        <v>74</v>
      </c>
      <c r="N160" s="7" t="n">
        <f aca="false">IF(L160=1,0,MIN(M160,c_TSMOOTH))</f>
        <v>30</v>
      </c>
      <c r="O160" s="7" t="n">
        <f aca="false">IF(COUNTIF($L$5:L160,1)&gt;0,c_TSMOOTHCUT,0)</f>
        <v>400</v>
      </c>
      <c r="P160" s="15" t="n">
        <f aca="true">IF(L160=1,K160,QUOTIENT(SUM(OFFSET(K160,1-N160,0,N160,1))+(c_TSMOOTH-N160)*O160,c_TSMOOTH))</f>
        <v>-269</v>
      </c>
      <c r="Q160" s="7" t="n">
        <f aca="false">K160/10</f>
        <v>8.4</v>
      </c>
      <c r="R160" s="7" t="n">
        <f aca="false">P160/10</f>
        <v>-26.9</v>
      </c>
    </row>
    <row r="161" customFormat="false" ht="15" hidden="false" customHeight="false" outlineLevel="0" collapsed="false">
      <c r="A161" s="7" t="n">
        <v>156</v>
      </c>
      <c r="B161" s="7" t="n">
        <f aca="false">A161*0.04</f>
        <v>6.24</v>
      </c>
      <c r="C161" s="18" t="n">
        <v>158</v>
      </c>
      <c r="D161" s="7" t="n">
        <f aca="false">IF(AND(C161=0,c_TCREEP&gt;0),10*c_TCREEP,IF(AND(C161&lt;=c_TRNGMIN,C161&gt;=c_TRNGMAX,c_TRNGMIN-c_TRNGMAX&lt;&gt;0),-10*c_TMINRN+QUOTIENT((c_TMAXRN-c_TMINRN)*(100-QUOTIENT((C161-c_TRNGMAX)*100,c_TRNGMIN-c_TRNGMAX)),-10),0))</f>
        <v>0</v>
      </c>
      <c r="E161" s="7" t="n">
        <f aca="false">IF(((c_TMAP1IN)-(c_TFWD))=0,(0)+QUOTIENT(((c_TMAP1OUT)-(0)),2),QUOTIENT((((C161)-(c_TFWD))*((c_TMAP1OUT)-(0))+IF(((c_TMAP1OUT)-(0))&gt;=0,1,-1)*QUOTIENT(((c_TMAP1IN)-(c_TFWD)),2)),((c_TMAP1IN)-(c_TFWD)))+(0)+IF(((c_TMAP1OUT)-(0))&gt;=0,IF(IF(o_WRAP=1,MOD(((c_TMAP1IN)-(c_TFWD))*(((C161)-(c_TFWD))*((c_TMAP1OUT)-(0))+IF(((c_TMAP1OUT)-(0))&gt;=0,1,-1)*QUOTIENT(((c_TMAP1IN)-(c_TFWD)),2))+2147483648,4294967296)-2147483648,((c_TMAP1IN)-(c_TFWD))*(((C161)-(c_TFWD))*((c_TMAP1OUT)-(0))+IF(((c_TMAP1OUT)-(0))&gt;=0,1,-1)*QUOTIENT(((c_TMAP1IN)-(c_TFWD)),2)))&lt;0,-1,0),IF(IF(o_WRAP=1,MOD(((c_TMAP1IN)-(c_TFWD))*(((C161)-(c_TFWD))*((c_TMAP1OUT)-(0))+IF(((c_TMAP1OUT)-(0))&gt;=0,1,-1)*QUOTIENT(((c_TMAP1IN)-(c_TFWD)),2))+2147483648,4294967296)-2147483648,((c_TMAP1IN)-(c_TFWD))*(((C161)-(c_TFWD))*((c_TMAP1OUT)-(0))+IF(((c_TMAP1OUT)-(0))&gt;=0,1,-1)*QUOTIENT(((c_TMAP1IN)-(c_TFWD)),2)))&gt;=0,1,0)))</f>
        <v>115</v>
      </c>
      <c r="F161" s="7" t="n">
        <f aca="false">IF(((c_TMAP2IN)-(c_TMAP1IN))=0,(c_TMAP1OUT)+QUOTIENT(((c_TMAP2OUT)-(c_TMAP1OUT)),2),QUOTIENT((((C161)-(c_TMAP1IN))*((c_TMAP2OUT)-(c_TMAP1OUT))+IF(((c_TMAP2OUT)-(c_TMAP1OUT))&gt;=0,1,-1)*QUOTIENT(((c_TMAP2IN)-(c_TMAP1IN)),2)),((c_TMAP2IN)-(c_TMAP1IN)))+(c_TMAP1OUT)+IF(((c_TMAP2OUT)-(c_TMAP1OUT))&gt;=0,IF(IF(o_WRAP=1,MOD(((c_TMAP2IN)-(c_TMAP1IN))*(((C161)-(c_TMAP1IN))*((c_TMAP2OUT)-(c_TMAP1OUT))+IF(((c_TMAP2OUT)-(c_TMAP1OUT))&gt;=0,1,-1)*QUOTIENT(((c_TMAP2IN)-(c_TMAP1IN)),2))+2147483648,4294967296)-2147483648,((c_TMAP2IN)-(c_TMAP1IN))*(((C161)-(c_TMAP1IN))*((c_TMAP2OUT)-(c_TMAP1OUT))+IF(((c_TMAP2OUT)-(c_TMAP1OUT))&gt;=0,1,-1)*QUOTIENT(((c_TMAP2IN)-(c_TMAP1IN)),2)))&lt;0,-1,0),IF(IF(o_WRAP=1,MOD(((c_TMAP2IN)-(c_TMAP1IN))*(((C161)-(c_TMAP1IN))*((c_TMAP2OUT)-(c_TMAP1OUT))+IF(((c_TMAP2OUT)-(c_TMAP1OUT))&gt;=0,1,-1)*QUOTIENT(((c_TMAP2IN)-(c_TMAP1IN)),2))+2147483648,4294967296)-2147483648,((c_TMAP2IN)-(c_TMAP1IN))*(((C161)-(c_TMAP1IN))*((c_TMAP2OUT)-(c_TMAP1OUT))+IF(((c_TMAP2OUT)-(c_TMAP1OUT))&gt;=0,1,-1)*QUOTIENT(((c_TMAP2IN)-(c_TMAP1IN)),2)))&gt;=0,1,0)))</f>
        <v>93</v>
      </c>
      <c r="G161" s="7" t="n">
        <f aca="false">IF(((c_TMAP3IN)-(c_TMAP2IN))=0,(c_TMAP2OUT)+QUOTIENT(((c_TMAP3OUT)-(c_TMAP2OUT)),2),QUOTIENT((((C161)-(c_TMAP2IN))*((c_TMAP3OUT)-(c_TMAP2OUT))+IF(((c_TMAP3OUT)-(c_TMAP2OUT))&gt;=0,1,-1)*QUOTIENT(((c_TMAP3IN)-(c_TMAP2IN)),2)),((c_TMAP3IN)-(c_TMAP2IN)))+(c_TMAP2OUT)+IF(((c_TMAP3OUT)-(c_TMAP2OUT))&gt;=0,IF(IF(o_WRAP=1,MOD(((c_TMAP3IN)-(c_TMAP2IN))*(((C161)-(c_TMAP2IN))*((c_TMAP3OUT)-(c_TMAP2OUT))+IF(((c_TMAP3OUT)-(c_TMAP2OUT))&gt;=0,1,-1)*QUOTIENT(((c_TMAP3IN)-(c_TMAP2IN)),2))+2147483648,4294967296)-2147483648,((c_TMAP3IN)-(c_TMAP2IN))*(((C161)-(c_TMAP2IN))*((c_TMAP3OUT)-(c_TMAP2OUT))+IF(((c_TMAP3OUT)-(c_TMAP2OUT))&gt;=0,1,-1)*QUOTIENT(((c_TMAP3IN)-(c_TMAP2IN)),2)))&lt;0,-1,0),IF(IF(o_WRAP=1,MOD(((c_TMAP3IN)-(c_TMAP2IN))*(((C161)-(c_TMAP2IN))*((c_TMAP3OUT)-(c_TMAP2OUT))+IF(((c_TMAP3OUT)-(c_TMAP2OUT))&gt;=0,1,-1)*QUOTIENT(((c_TMAP3IN)-(c_TMAP2IN)),2))+2147483648,4294967296)-2147483648,((c_TMAP3IN)-(c_TMAP2IN))*(((C161)-(c_TMAP2IN))*((c_TMAP3OUT)-(c_TMAP2OUT))+IF(((c_TMAP3OUT)-(c_TMAP2OUT))&gt;=0,1,-1)*QUOTIENT(((c_TMAP3IN)-(c_TMAP2IN)),2)))&gt;=0,1,0)))</f>
        <v>66</v>
      </c>
      <c r="H161" s="7" t="n">
        <f aca="false">IF(((1000)-(c_TMAP3IN))=0,(c_TMAP3OUT)+QUOTIENT(((1000)-(c_TMAP3OUT)),2),QUOTIENT((((C161)-(c_TMAP3IN))*((1000)-(c_TMAP3OUT))+IF(((1000)-(c_TMAP3OUT))&gt;=0,1,-1)*QUOTIENT(((1000)-(c_TMAP3IN)),2)),((1000)-(c_TMAP3IN)))+(c_TMAP3OUT)+IF(((1000)-(c_TMAP3OUT))&gt;=0,IF(IF(o_WRAP=1,MOD(((1000)-(c_TMAP3IN))*(((C161)-(c_TMAP3IN))*((1000)-(c_TMAP3OUT))+IF(((1000)-(c_TMAP3OUT))&gt;=0,1,-1)*QUOTIENT(((1000)-(c_TMAP3IN)),2))+2147483648,4294967296)-2147483648,((1000)-(c_TMAP3IN))*(((C161)-(c_TMAP3IN))*((1000)-(c_TMAP3OUT))+IF(((1000)-(c_TMAP3OUT))&gt;=0,1,-1)*QUOTIENT(((1000)-(c_TMAP3IN)),2)))&lt;0,-1,0),IF(IF(o_WRAP=1,MOD(((1000)-(c_TMAP3IN))*(((C161)-(c_TMAP3IN))*((1000)-(c_TMAP3OUT))+IF(((1000)-(c_TMAP3OUT))&gt;=0,1,-1)*QUOTIENT(((1000)-(c_TMAP3IN)),2))+2147483648,4294967296)-2147483648,((1000)-(c_TMAP3IN))*(((C161)-(c_TMAP3IN))*((1000)-(c_TMAP3OUT))+IF(((1000)-(c_TMAP3OUT))&gt;=0,1,-1)*QUOTIENT(((1000)-(c_TMAP3IN)),2)))&gt;=0,1,0)))</f>
        <v>-36</v>
      </c>
      <c r="I161" s="7" t="n">
        <f aca="false">IF(C161&gt;=c_TFWD,IF(AND(C161&gt;=c_TMAP3IN,c_TMAP3IN&lt;1000),H161,IF(AND(C161&gt;=c_TMAP2IN,c_TMAP3IN&gt;c_TMAP2IN),G161,IF(AND(C161&gt;=c_TMAP1IN,c_TMAP2IN&gt;c_TMAP1IN),F161,E161))),D161)</f>
        <v>93</v>
      </c>
      <c r="J161" s="7" t="str">
        <f aca="false">IF(I161&lt;-1090,"TOO LOW",IF(I161&gt;1090,"TOO HIGH",""))</f>
        <v/>
      </c>
      <c r="K161" s="7" t="n">
        <f aca="false">IF(J161&lt;&gt;"",0,IF(I161&gt;979,1000,I161))</f>
        <v>93</v>
      </c>
      <c r="L161" s="7" t="n">
        <f aca="false">IF(OR(c_TSMOOTH=0,K161&gt;=c_TSMOOTHCUT),1,0)</f>
        <v>0</v>
      </c>
      <c r="M161" s="7" t="n">
        <f aca="false">IF(L161=1,0,M160+1)</f>
        <v>75</v>
      </c>
      <c r="N161" s="7" t="n">
        <f aca="false">IF(L161=1,0,MIN(M161,c_TSMOOTH))</f>
        <v>30</v>
      </c>
      <c r="O161" s="7" t="n">
        <f aca="false">IF(COUNTIF($L$5:L161,1)&gt;0,c_TSMOOTHCUT,0)</f>
        <v>400</v>
      </c>
      <c r="P161" s="15" t="n">
        <f aca="true">IF(L161=1,K161,QUOTIENT(SUM(OFFSET(K161,1-N161,0,N161,1))+(c_TSMOOTH-N161)*O161,c_TSMOOTH))</f>
        <v>-255</v>
      </c>
      <c r="Q161" s="7" t="n">
        <f aca="false">K161/10</f>
        <v>9.3</v>
      </c>
      <c r="R161" s="7" t="n">
        <f aca="false">P161/10</f>
        <v>-25.5</v>
      </c>
    </row>
    <row r="162" customFormat="false" ht="15" hidden="false" customHeight="false" outlineLevel="0" collapsed="false">
      <c r="A162" s="7" t="n">
        <v>157</v>
      </c>
      <c r="B162" s="7" t="n">
        <f aca="false">A162*0.04</f>
        <v>6.28</v>
      </c>
      <c r="C162" s="18" t="n">
        <v>180</v>
      </c>
      <c r="D162" s="7" t="n">
        <f aca="false">IF(AND(C162=0,c_TCREEP&gt;0),10*c_TCREEP,IF(AND(C162&lt;=c_TRNGMIN,C162&gt;=c_TRNGMAX,c_TRNGMIN-c_TRNGMAX&lt;&gt;0),-10*c_TMINRN+QUOTIENT((c_TMAXRN-c_TMINRN)*(100-QUOTIENT((C162-c_TRNGMAX)*100,c_TRNGMIN-c_TRNGMAX)),-10),0))</f>
        <v>0</v>
      </c>
      <c r="E162" s="7" t="n">
        <f aca="false">IF(((c_TMAP1IN)-(c_TFWD))=0,(0)+QUOTIENT(((c_TMAP1OUT)-(0)),2),QUOTIENT((((C162)-(c_TFWD))*((c_TMAP1OUT)-(0))+IF(((c_TMAP1OUT)-(0))&gt;=0,1,-1)*QUOTIENT(((c_TMAP1IN)-(c_TFWD)),2)),((c_TMAP1IN)-(c_TFWD)))+(0)+IF(((c_TMAP1OUT)-(0))&gt;=0,IF(IF(o_WRAP=1,MOD(((c_TMAP1IN)-(c_TFWD))*(((C162)-(c_TFWD))*((c_TMAP1OUT)-(0))+IF(((c_TMAP1OUT)-(0))&gt;=0,1,-1)*QUOTIENT(((c_TMAP1IN)-(c_TFWD)),2))+2147483648,4294967296)-2147483648,((c_TMAP1IN)-(c_TFWD))*(((C162)-(c_TFWD))*((c_TMAP1OUT)-(0))+IF(((c_TMAP1OUT)-(0))&gt;=0,1,-1)*QUOTIENT(((c_TMAP1IN)-(c_TFWD)),2)))&lt;0,-1,0),IF(IF(o_WRAP=1,MOD(((c_TMAP1IN)-(c_TFWD))*(((C162)-(c_TFWD))*((c_TMAP1OUT)-(0))+IF(((c_TMAP1OUT)-(0))&gt;=0,1,-1)*QUOTIENT(((c_TMAP1IN)-(c_TFWD)),2))+2147483648,4294967296)-2147483648,((c_TMAP1IN)-(c_TFWD))*(((C162)-(c_TFWD))*((c_TMAP1OUT)-(0))+IF(((c_TMAP1OUT)-(0))&gt;=0,1,-1)*QUOTIENT(((c_TMAP1IN)-(c_TFWD)),2)))&gt;=0,1,0)))</f>
        <v>132</v>
      </c>
      <c r="F162" s="7" t="n">
        <f aca="false">IF(((c_TMAP2IN)-(c_TMAP1IN))=0,(c_TMAP1OUT)+QUOTIENT(((c_TMAP2OUT)-(c_TMAP1OUT)),2),QUOTIENT((((C162)-(c_TMAP1IN))*((c_TMAP2OUT)-(c_TMAP1OUT))+IF(((c_TMAP2OUT)-(c_TMAP1OUT))&gt;=0,1,-1)*QUOTIENT(((c_TMAP2IN)-(c_TMAP1IN)),2)),((c_TMAP2IN)-(c_TMAP1IN)))+(c_TMAP1OUT)+IF(((c_TMAP2OUT)-(c_TMAP1OUT))&gt;=0,IF(IF(o_WRAP=1,MOD(((c_TMAP2IN)-(c_TMAP1IN))*(((C162)-(c_TMAP1IN))*((c_TMAP2OUT)-(c_TMAP1OUT))+IF(((c_TMAP2OUT)-(c_TMAP1OUT))&gt;=0,1,-1)*QUOTIENT(((c_TMAP2IN)-(c_TMAP1IN)),2))+2147483648,4294967296)-2147483648,((c_TMAP2IN)-(c_TMAP1IN))*(((C162)-(c_TMAP1IN))*((c_TMAP2OUT)-(c_TMAP1OUT))+IF(((c_TMAP2OUT)-(c_TMAP1OUT))&gt;=0,1,-1)*QUOTIENT(((c_TMAP2IN)-(c_TMAP1IN)),2)))&lt;0,-1,0),IF(IF(o_WRAP=1,MOD(((c_TMAP2IN)-(c_TMAP1IN))*(((C162)-(c_TMAP1IN))*((c_TMAP2OUT)-(c_TMAP1OUT))+IF(((c_TMAP2OUT)-(c_TMAP1OUT))&gt;=0,1,-1)*QUOTIENT(((c_TMAP2IN)-(c_TMAP1IN)),2))+2147483648,4294967296)-2147483648,((c_TMAP2IN)-(c_TMAP1IN))*(((C162)-(c_TMAP1IN))*((c_TMAP2OUT)-(c_TMAP1OUT))+IF(((c_TMAP2OUT)-(c_TMAP1OUT))&gt;=0,1,-1)*QUOTIENT(((c_TMAP2IN)-(c_TMAP1IN)),2)))&gt;=0,1,0)))</f>
        <v>102</v>
      </c>
      <c r="G162" s="7" t="n">
        <f aca="false">IF(((c_TMAP3IN)-(c_TMAP2IN))=0,(c_TMAP2OUT)+QUOTIENT(((c_TMAP3OUT)-(c_TMAP2OUT)),2),QUOTIENT((((C162)-(c_TMAP2IN))*((c_TMAP3OUT)-(c_TMAP2OUT))+IF(((c_TMAP3OUT)-(c_TMAP2OUT))&gt;=0,1,-1)*QUOTIENT(((c_TMAP3IN)-(c_TMAP2IN)),2)),((c_TMAP3IN)-(c_TMAP2IN)))+(c_TMAP2OUT)+IF(((c_TMAP3OUT)-(c_TMAP2OUT))&gt;=0,IF(IF(o_WRAP=1,MOD(((c_TMAP3IN)-(c_TMAP2IN))*(((C162)-(c_TMAP2IN))*((c_TMAP3OUT)-(c_TMAP2OUT))+IF(((c_TMAP3OUT)-(c_TMAP2OUT))&gt;=0,1,-1)*QUOTIENT(((c_TMAP3IN)-(c_TMAP2IN)),2))+2147483648,4294967296)-2147483648,((c_TMAP3IN)-(c_TMAP2IN))*(((C162)-(c_TMAP2IN))*((c_TMAP3OUT)-(c_TMAP2OUT))+IF(((c_TMAP3OUT)-(c_TMAP2OUT))&gt;=0,1,-1)*QUOTIENT(((c_TMAP3IN)-(c_TMAP2IN)),2)))&lt;0,-1,0),IF(IF(o_WRAP=1,MOD(((c_TMAP3IN)-(c_TMAP2IN))*(((C162)-(c_TMAP2IN))*((c_TMAP3OUT)-(c_TMAP2OUT))+IF(((c_TMAP3OUT)-(c_TMAP2OUT))&gt;=0,1,-1)*QUOTIENT(((c_TMAP3IN)-(c_TMAP2IN)),2))+2147483648,4294967296)-2147483648,((c_TMAP3IN)-(c_TMAP2IN))*(((C162)-(c_TMAP2IN))*((c_TMAP3OUT)-(c_TMAP2OUT))+IF(((c_TMAP3OUT)-(c_TMAP2OUT))&gt;=0,1,-1)*QUOTIENT(((c_TMAP3IN)-(c_TMAP2IN)),2)))&gt;=0,1,0)))</f>
        <v>81</v>
      </c>
      <c r="H162" s="7" t="n">
        <f aca="false">IF(((1000)-(c_TMAP3IN))=0,(c_TMAP3OUT)+QUOTIENT(((1000)-(c_TMAP3OUT)),2),QUOTIENT((((C162)-(c_TMAP3IN))*((1000)-(c_TMAP3OUT))+IF(((1000)-(c_TMAP3OUT))&gt;=0,1,-1)*QUOTIENT(((1000)-(c_TMAP3IN)),2)),((1000)-(c_TMAP3IN)))+(c_TMAP3OUT)+IF(((1000)-(c_TMAP3OUT))&gt;=0,IF(IF(o_WRAP=1,MOD(((1000)-(c_TMAP3IN))*(((C162)-(c_TMAP3IN))*((1000)-(c_TMAP3OUT))+IF(((1000)-(c_TMAP3OUT))&gt;=0,1,-1)*QUOTIENT(((1000)-(c_TMAP3IN)),2))+2147483648,4294967296)-2147483648,((1000)-(c_TMAP3IN))*(((C162)-(c_TMAP3IN))*((1000)-(c_TMAP3OUT))+IF(((1000)-(c_TMAP3OUT))&gt;=0,1,-1)*QUOTIENT(((1000)-(c_TMAP3IN)),2)))&lt;0,-1,0),IF(IF(o_WRAP=1,MOD(((1000)-(c_TMAP3IN))*(((C162)-(c_TMAP3IN))*((1000)-(c_TMAP3OUT))+IF(((1000)-(c_TMAP3OUT))&gt;=0,1,-1)*QUOTIENT(((1000)-(c_TMAP3IN)),2))+2147483648,4294967296)-2147483648,((1000)-(c_TMAP3IN))*(((C162)-(c_TMAP3IN))*((1000)-(c_TMAP3OUT))+IF(((1000)-(c_TMAP3OUT))&gt;=0,1,-1)*QUOTIENT(((1000)-(c_TMAP3IN)),2)))&gt;=0,1,0)))</f>
        <v>-9</v>
      </c>
      <c r="I162" s="7" t="n">
        <f aca="false">IF(C162&gt;=c_TFWD,IF(AND(C162&gt;=c_TMAP3IN,c_TMAP3IN&lt;1000),H162,IF(AND(C162&gt;=c_TMAP2IN,c_TMAP3IN&gt;c_TMAP2IN),G162,IF(AND(C162&gt;=c_TMAP1IN,c_TMAP2IN&gt;c_TMAP1IN),F162,E162))),D162)</f>
        <v>102</v>
      </c>
      <c r="J162" s="7" t="str">
        <f aca="false">IF(I162&lt;-1090,"TOO LOW",IF(I162&gt;1090,"TOO HIGH",""))</f>
        <v/>
      </c>
      <c r="K162" s="7" t="n">
        <f aca="false">IF(J162&lt;&gt;"",0,IF(I162&gt;979,1000,I162))</f>
        <v>102</v>
      </c>
      <c r="L162" s="7" t="n">
        <f aca="false">IF(OR(c_TSMOOTH=0,K162&gt;=c_TSMOOTHCUT),1,0)</f>
        <v>0</v>
      </c>
      <c r="M162" s="7" t="n">
        <f aca="false">IF(L162=1,0,M161+1)</f>
        <v>76</v>
      </c>
      <c r="N162" s="7" t="n">
        <f aca="false">IF(L162=1,0,MIN(M162,c_TSMOOTH))</f>
        <v>30</v>
      </c>
      <c r="O162" s="7" t="n">
        <f aca="false">IF(COUNTIF($L$5:L162,1)&gt;0,c_TSMOOTHCUT,0)</f>
        <v>400</v>
      </c>
      <c r="P162" s="15" t="n">
        <f aca="true">IF(L162=1,K162,QUOTIENT(SUM(OFFSET(K162,1-N162,0,N162,1))+(c_TSMOOTH-N162)*O162,c_TSMOOTH))</f>
        <v>-240</v>
      </c>
      <c r="Q162" s="7" t="n">
        <f aca="false">K162/10</f>
        <v>10.2</v>
      </c>
      <c r="R162" s="7" t="n">
        <f aca="false">P162/10</f>
        <v>-24</v>
      </c>
    </row>
    <row r="163" customFormat="false" ht="15" hidden="false" customHeight="false" outlineLevel="0" collapsed="false">
      <c r="A163" s="7" t="n">
        <v>158</v>
      </c>
      <c r="B163" s="7" t="n">
        <f aca="false">A163*0.04</f>
        <v>6.32</v>
      </c>
      <c r="C163" s="18" t="n">
        <v>202</v>
      </c>
      <c r="D163" s="7" t="n">
        <f aca="false">IF(AND(C163=0,c_TCREEP&gt;0),10*c_TCREEP,IF(AND(C163&lt;=c_TRNGMIN,C163&gt;=c_TRNGMAX,c_TRNGMIN-c_TRNGMAX&lt;&gt;0),-10*c_TMINRN+QUOTIENT((c_TMAXRN-c_TMINRN)*(100-QUOTIENT((C163-c_TRNGMAX)*100,c_TRNGMIN-c_TRNGMAX)),-10),0))</f>
        <v>0</v>
      </c>
      <c r="E163" s="7" t="n">
        <f aca="false">IF(((c_TMAP1IN)-(c_TFWD))=0,(0)+QUOTIENT(((c_TMAP1OUT)-(0)),2),QUOTIENT((((C163)-(c_TFWD))*((c_TMAP1OUT)-(0))+IF(((c_TMAP1OUT)-(0))&gt;=0,1,-1)*QUOTIENT(((c_TMAP1IN)-(c_TFWD)),2)),((c_TMAP1IN)-(c_TFWD)))+(0)+IF(((c_TMAP1OUT)-(0))&gt;=0,IF(IF(o_WRAP=1,MOD(((c_TMAP1IN)-(c_TFWD))*(((C163)-(c_TFWD))*((c_TMAP1OUT)-(0))+IF(((c_TMAP1OUT)-(0))&gt;=0,1,-1)*QUOTIENT(((c_TMAP1IN)-(c_TFWD)),2))+2147483648,4294967296)-2147483648,((c_TMAP1IN)-(c_TFWD))*(((C163)-(c_TFWD))*((c_TMAP1OUT)-(0))+IF(((c_TMAP1OUT)-(0))&gt;=0,1,-1)*QUOTIENT(((c_TMAP1IN)-(c_TFWD)),2)))&lt;0,-1,0),IF(IF(o_WRAP=1,MOD(((c_TMAP1IN)-(c_TFWD))*(((C163)-(c_TFWD))*((c_TMAP1OUT)-(0))+IF(((c_TMAP1OUT)-(0))&gt;=0,1,-1)*QUOTIENT(((c_TMAP1IN)-(c_TFWD)),2))+2147483648,4294967296)-2147483648,((c_TMAP1IN)-(c_TFWD))*(((C163)-(c_TFWD))*((c_TMAP1OUT)-(0))+IF(((c_TMAP1OUT)-(0))&gt;=0,1,-1)*QUOTIENT(((c_TMAP1IN)-(c_TFWD)),2)))&gt;=0,1,0)))</f>
        <v>149</v>
      </c>
      <c r="F163" s="7" t="n">
        <f aca="false">IF(((c_TMAP2IN)-(c_TMAP1IN))=0,(c_TMAP1OUT)+QUOTIENT(((c_TMAP2OUT)-(c_TMAP1OUT)),2),QUOTIENT((((C163)-(c_TMAP1IN))*((c_TMAP2OUT)-(c_TMAP1OUT))+IF(((c_TMAP2OUT)-(c_TMAP1OUT))&gt;=0,1,-1)*QUOTIENT(((c_TMAP2IN)-(c_TMAP1IN)),2)),((c_TMAP2IN)-(c_TMAP1IN)))+(c_TMAP1OUT)+IF(((c_TMAP2OUT)-(c_TMAP1OUT))&gt;=0,IF(IF(o_WRAP=1,MOD(((c_TMAP2IN)-(c_TMAP1IN))*(((C163)-(c_TMAP1IN))*((c_TMAP2OUT)-(c_TMAP1OUT))+IF(((c_TMAP2OUT)-(c_TMAP1OUT))&gt;=0,1,-1)*QUOTIENT(((c_TMAP2IN)-(c_TMAP1IN)),2))+2147483648,4294967296)-2147483648,((c_TMAP2IN)-(c_TMAP1IN))*(((C163)-(c_TMAP1IN))*((c_TMAP2OUT)-(c_TMAP1OUT))+IF(((c_TMAP2OUT)-(c_TMAP1OUT))&gt;=0,1,-1)*QUOTIENT(((c_TMAP2IN)-(c_TMAP1IN)),2)))&lt;0,-1,0),IF(IF(o_WRAP=1,MOD(((c_TMAP2IN)-(c_TMAP1IN))*(((C163)-(c_TMAP1IN))*((c_TMAP2OUT)-(c_TMAP1OUT))+IF(((c_TMAP2OUT)-(c_TMAP1OUT))&gt;=0,1,-1)*QUOTIENT(((c_TMAP2IN)-(c_TMAP1IN)),2))+2147483648,4294967296)-2147483648,((c_TMAP2IN)-(c_TMAP1IN))*(((C163)-(c_TMAP1IN))*((c_TMAP2OUT)-(c_TMAP1OUT))+IF(((c_TMAP2OUT)-(c_TMAP1OUT))&gt;=0,1,-1)*QUOTIENT(((c_TMAP2IN)-(c_TMAP1IN)),2)))&gt;=0,1,0)))</f>
        <v>111</v>
      </c>
      <c r="G163" s="7" t="n">
        <f aca="false">IF(((c_TMAP3IN)-(c_TMAP2IN))=0,(c_TMAP2OUT)+QUOTIENT(((c_TMAP3OUT)-(c_TMAP2OUT)),2),QUOTIENT((((C163)-(c_TMAP2IN))*((c_TMAP3OUT)-(c_TMAP2OUT))+IF(((c_TMAP3OUT)-(c_TMAP2OUT))&gt;=0,1,-1)*QUOTIENT(((c_TMAP3IN)-(c_TMAP2IN)),2)),((c_TMAP3IN)-(c_TMAP2IN)))+(c_TMAP2OUT)+IF(((c_TMAP3OUT)-(c_TMAP2OUT))&gt;=0,IF(IF(o_WRAP=1,MOD(((c_TMAP3IN)-(c_TMAP2IN))*(((C163)-(c_TMAP2IN))*((c_TMAP3OUT)-(c_TMAP2OUT))+IF(((c_TMAP3OUT)-(c_TMAP2OUT))&gt;=0,1,-1)*QUOTIENT(((c_TMAP3IN)-(c_TMAP2IN)),2))+2147483648,4294967296)-2147483648,((c_TMAP3IN)-(c_TMAP2IN))*(((C163)-(c_TMAP2IN))*((c_TMAP3OUT)-(c_TMAP2OUT))+IF(((c_TMAP3OUT)-(c_TMAP2OUT))&gt;=0,1,-1)*QUOTIENT(((c_TMAP3IN)-(c_TMAP2IN)),2)))&lt;0,-1,0),IF(IF(o_WRAP=1,MOD(((c_TMAP3IN)-(c_TMAP2IN))*(((C163)-(c_TMAP2IN))*((c_TMAP3OUT)-(c_TMAP2OUT))+IF(((c_TMAP3OUT)-(c_TMAP2OUT))&gt;=0,1,-1)*QUOTIENT(((c_TMAP3IN)-(c_TMAP2IN)),2))+2147483648,4294967296)-2147483648,((c_TMAP3IN)-(c_TMAP2IN))*(((C163)-(c_TMAP2IN))*((c_TMAP3OUT)-(c_TMAP2OUT))+IF(((c_TMAP3OUT)-(c_TMAP2OUT))&gt;=0,1,-1)*QUOTIENT(((c_TMAP3IN)-(c_TMAP2IN)),2)))&gt;=0,1,0)))</f>
        <v>96</v>
      </c>
      <c r="H163" s="7" t="n">
        <f aca="false">IF(((1000)-(c_TMAP3IN))=0,(c_TMAP3OUT)+QUOTIENT(((1000)-(c_TMAP3OUT)),2),QUOTIENT((((C163)-(c_TMAP3IN))*((1000)-(c_TMAP3OUT))+IF(((1000)-(c_TMAP3OUT))&gt;=0,1,-1)*QUOTIENT(((1000)-(c_TMAP3IN)),2)),((1000)-(c_TMAP3IN)))+(c_TMAP3OUT)+IF(((1000)-(c_TMAP3OUT))&gt;=0,IF(IF(o_WRAP=1,MOD(((1000)-(c_TMAP3IN))*(((C163)-(c_TMAP3IN))*((1000)-(c_TMAP3OUT))+IF(((1000)-(c_TMAP3OUT))&gt;=0,1,-1)*QUOTIENT(((1000)-(c_TMAP3IN)),2))+2147483648,4294967296)-2147483648,((1000)-(c_TMAP3IN))*(((C163)-(c_TMAP3IN))*((1000)-(c_TMAP3OUT))+IF(((1000)-(c_TMAP3OUT))&gt;=0,1,-1)*QUOTIENT(((1000)-(c_TMAP3IN)),2)))&lt;0,-1,0),IF(IF(o_WRAP=1,MOD(((1000)-(c_TMAP3IN))*(((C163)-(c_TMAP3IN))*((1000)-(c_TMAP3OUT))+IF(((1000)-(c_TMAP3OUT))&gt;=0,1,-1)*QUOTIENT(((1000)-(c_TMAP3IN)),2))+2147483648,4294967296)-2147483648,((1000)-(c_TMAP3IN))*(((C163)-(c_TMAP3IN))*((1000)-(c_TMAP3OUT))+IF(((1000)-(c_TMAP3OUT))&gt;=0,1,-1)*QUOTIENT(((1000)-(c_TMAP3IN)),2)))&gt;=0,1,0)))</f>
        <v>18</v>
      </c>
      <c r="I163" s="7" t="n">
        <f aca="false">IF(C163&gt;=c_TFWD,IF(AND(C163&gt;=c_TMAP3IN,c_TMAP3IN&lt;1000),H163,IF(AND(C163&gt;=c_TMAP2IN,c_TMAP3IN&gt;c_TMAP2IN),G163,IF(AND(C163&gt;=c_TMAP1IN,c_TMAP2IN&gt;c_TMAP1IN),F163,E163))),D163)</f>
        <v>111</v>
      </c>
      <c r="J163" s="7" t="str">
        <f aca="false">IF(I163&lt;-1090,"TOO LOW",IF(I163&gt;1090,"TOO HIGH",""))</f>
        <v/>
      </c>
      <c r="K163" s="7" t="n">
        <f aca="false">IF(J163&lt;&gt;"",0,IF(I163&gt;979,1000,I163))</f>
        <v>111</v>
      </c>
      <c r="L163" s="7" t="n">
        <f aca="false">IF(OR(c_TSMOOTH=0,K163&gt;=c_TSMOOTHCUT),1,0)</f>
        <v>0</v>
      </c>
      <c r="M163" s="7" t="n">
        <f aca="false">IF(L163=1,0,M162+1)</f>
        <v>77</v>
      </c>
      <c r="N163" s="7" t="n">
        <f aca="false">IF(L163=1,0,MIN(M163,c_TSMOOTH))</f>
        <v>30</v>
      </c>
      <c r="O163" s="7" t="n">
        <f aca="false">IF(COUNTIF($L$5:L163,1)&gt;0,c_TSMOOTHCUT,0)</f>
        <v>400</v>
      </c>
      <c r="P163" s="15" t="n">
        <f aca="true">IF(L163=1,K163,QUOTIENT(SUM(OFFSET(K163,1-N163,0,N163,1))+(c_TSMOOTH-N163)*O163,c_TSMOOTH))</f>
        <v>-224</v>
      </c>
      <c r="Q163" s="7" t="n">
        <f aca="false">K163/10</f>
        <v>11.1</v>
      </c>
      <c r="R163" s="7" t="n">
        <f aca="false">P163/10</f>
        <v>-22.4</v>
      </c>
    </row>
    <row r="164" customFormat="false" ht="15" hidden="false" customHeight="false" outlineLevel="0" collapsed="false">
      <c r="A164" s="7" t="n">
        <v>159</v>
      </c>
      <c r="B164" s="7" t="n">
        <f aca="false">A164*0.04</f>
        <v>6.36</v>
      </c>
      <c r="C164" s="18" t="n">
        <v>225</v>
      </c>
      <c r="D164" s="7" t="n">
        <f aca="false">IF(AND(C164=0,c_TCREEP&gt;0),10*c_TCREEP,IF(AND(C164&lt;=c_TRNGMIN,C164&gt;=c_TRNGMAX,c_TRNGMIN-c_TRNGMAX&lt;&gt;0),-10*c_TMINRN+QUOTIENT((c_TMAXRN-c_TMINRN)*(100-QUOTIENT((C164-c_TRNGMAX)*100,c_TRNGMIN-c_TRNGMAX)),-10),0))</f>
        <v>0</v>
      </c>
      <c r="E164" s="7" t="n">
        <f aca="false">IF(((c_TMAP1IN)-(c_TFWD))=0,(0)+QUOTIENT(((c_TMAP1OUT)-(0)),2),QUOTIENT((((C164)-(c_TFWD))*((c_TMAP1OUT)-(0))+IF(((c_TMAP1OUT)-(0))&gt;=0,1,-1)*QUOTIENT(((c_TMAP1IN)-(c_TFWD)),2)),((c_TMAP1IN)-(c_TFWD)))+(0)+IF(((c_TMAP1OUT)-(0))&gt;=0,IF(IF(o_WRAP=1,MOD(((c_TMAP1IN)-(c_TFWD))*(((C164)-(c_TFWD))*((c_TMAP1OUT)-(0))+IF(((c_TMAP1OUT)-(0))&gt;=0,1,-1)*QUOTIENT(((c_TMAP1IN)-(c_TFWD)),2))+2147483648,4294967296)-2147483648,((c_TMAP1IN)-(c_TFWD))*(((C164)-(c_TFWD))*((c_TMAP1OUT)-(0))+IF(((c_TMAP1OUT)-(0))&gt;=0,1,-1)*QUOTIENT(((c_TMAP1IN)-(c_TFWD)),2)))&lt;0,-1,0),IF(IF(o_WRAP=1,MOD(((c_TMAP1IN)-(c_TFWD))*(((C164)-(c_TFWD))*((c_TMAP1OUT)-(0))+IF(((c_TMAP1OUT)-(0))&gt;=0,1,-1)*QUOTIENT(((c_TMAP1IN)-(c_TFWD)),2))+2147483648,4294967296)-2147483648,((c_TMAP1IN)-(c_TFWD))*(((C164)-(c_TFWD))*((c_TMAP1OUT)-(0))+IF(((c_TMAP1OUT)-(0))&gt;=0,1,-1)*QUOTIENT(((c_TMAP1IN)-(c_TFWD)),2)))&gt;=0,1,0)))</f>
        <v>167</v>
      </c>
      <c r="F164" s="7" t="n">
        <f aca="false">IF(((c_TMAP2IN)-(c_TMAP1IN))=0,(c_TMAP1OUT)+QUOTIENT(((c_TMAP2OUT)-(c_TMAP1OUT)),2),QUOTIENT((((C164)-(c_TMAP1IN))*((c_TMAP2OUT)-(c_TMAP1OUT))+IF(((c_TMAP2OUT)-(c_TMAP1OUT))&gt;=0,1,-1)*QUOTIENT(((c_TMAP2IN)-(c_TMAP1IN)),2)),((c_TMAP2IN)-(c_TMAP1IN)))+(c_TMAP1OUT)+IF(((c_TMAP2OUT)-(c_TMAP1OUT))&gt;=0,IF(IF(o_WRAP=1,MOD(((c_TMAP2IN)-(c_TMAP1IN))*(((C164)-(c_TMAP1IN))*((c_TMAP2OUT)-(c_TMAP1OUT))+IF(((c_TMAP2OUT)-(c_TMAP1OUT))&gt;=0,1,-1)*QUOTIENT(((c_TMAP2IN)-(c_TMAP1IN)),2))+2147483648,4294967296)-2147483648,((c_TMAP2IN)-(c_TMAP1IN))*(((C164)-(c_TMAP1IN))*((c_TMAP2OUT)-(c_TMAP1OUT))+IF(((c_TMAP2OUT)-(c_TMAP1OUT))&gt;=0,1,-1)*QUOTIENT(((c_TMAP2IN)-(c_TMAP1IN)),2)))&lt;0,-1,0),IF(IF(o_WRAP=1,MOD(((c_TMAP2IN)-(c_TMAP1IN))*(((C164)-(c_TMAP1IN))*((c_TMAP2OUT)-(c_TMAP1OUT))+IF(((c_TMAP2OUT)-(c_TMAP1OUT))&gt;=0,1,-1)*QUOTIENT(((c_TMAP2IN)-(c_TMAP1IN)),2))+2147483648,4294967296)-2147483648,((c_TMAP2IN)-(c_TMAP1IN))*(((C164)-(c_TMAP1IN))*((c_TMAP2OUT)-(c_TMAP1OUT))+IF(((c_TMAP2OUT)-(c_TMAP1OUT))&gt;=0,1,-1)*QUOTIENT(((c_TMAP2IN)-(c_TMAP1IN)),2)))&gt;=0,1,0)))</f>
        <v>120</v>
      </c>
      <c r="G164" s="7" t="n">
        <f aca="false">IF(((c_TMAP3IN)-(c_TMAP2IN))=0,(c_TMAP2OUT)+QUOTIENT(((c_TMAP3OUT)-(c_TMAP2OUT)),2),QUOTIENT((((C164)-(c_TMAP2IN))*((c_TMAP3OUT)-(c_TMAP2OUT))+IF(((c_TMAP3OUT)-(c_TMAP2OUT))&gt;=0,1,-1)*QUOTIENT(((c_TMAP3IN)-(c_TMAP2IN)),2)),((c_TMAP3IN)-(c_TMAP2IN)))+(c_TMAP2OUT)+IF(((c_TMAP3OUT)-(c_TMAP2OUT))&gt;=0,IF(IF(o_WRAP=1,MOD(((c_TMAP3IN)-(c_TMAP2IN))*(((C164)-(c_TMAP2IN))*((c_TMAP3OUT)-(c_TMAP2OUT))+IF(((c_TMAP3OUT)-(c_TMAP2OUT))&gt;=0,1,-1)*QUOTIENT(((c_TMAP3IN)-(c_TMAP2IN)),2))+2147483648,4294967296)-2147483648,((c_TMAP3IN)-(c_TMAP2IN))*(((C164)-(c_TMAP2IN))*((c_TMAP3OUT)-(c_TMAP2OUT))+IF(((c_TMAP3OUT)-(c_TMAP2OUT))&gt;=0,1,-1)*QUOTIENT(((c_TMAP3IN)-(c_TMAP2IN)),2)))&lt;0,-1,0),IF(IF(o_WRAP=1,MOD(((c_TMAP3IN)-(c_TMAP2IN))*(((C164)-(c_TMAP2IN))*((c_TMAP3OUT)-(c_TMAP2OUT))+IF(((c_TMAP3OUT)-(c_TMAP2OUT))&gt;=0,1,-1)*QUOTIENT(((c_TMAP3IN)-(c_TMAP2IN)),2))+2147483648,4294967296)-2147483648,((c_TMAP3IN)-(c_TMAP2IN))*(((C164)-(c_TMAP2IN))*((c_TMAP3OUT)-(c_TMAP2OUT))+IF(((c_TMAP3OUT)-(c_TMAP2OUT))&gt;=0,1,-1)*QUOTIENT(((c_TMAP3IN)-(c_TMAP2IN)),2)))&gt;=0,1,0)))</f>
        <v>112</v>
      </c>
      <c r="H164" s="7" t="n">
        <f aca="false">IF(((1000)-(c_TMAP3IN))=0,(c_TMAP3OUT)+QUOTIENT(((1000)-(c_TMAP3OUT)),2),QUOTIENT((((C164)-(c_TMAP3IN))*((1000)-(c_TMAP3OUT))+IF(((1000)-(c_TMAP3OUT))&gt;=0,1,-1)*QUOTIENT(((1000)-(c_TMAP3IN)),2)),((1000)-(c_TMAP3IN)))+(c_TMAP3OUT)+IF(((1000)-(c_TMAP3OUT))&gt;=0,IF(IF(o_WRAP=1,MOD(((1000)-(c_TMAP3IN))*(((C164)-(c_TMAP3IN))*((1000)-(c_TMAP3OUT))+IF(((1000)-(c_TMAP3OUT))&gt;=0,1,-1)*QUOTIENT(((1000)-(c_TMAP3IN)),2))+2147483648,4294967296)-2147483648,((1000)-(c_TMAP3IN))*(((C164)-(c_TMAP3IN))*((1000)-(c_TMAP3OUT))+IF(((1000)-(c_TMAP3OUT))&gt;=0,1,-1)*QUOTIENT(((1000)-(c_TMAP3IN)),2)))&lt;0,-1,0),IF(IF(o_WRAP=1,MOD(((1000)-(c_TMAP3IN))*(((C164)-(c_TMAP3IN))*((1000)-(c_TMAP3OUT))+IF(((1000)-(c_TMAP3OUT))&gt;=0,1,-1)*QUOTIENT(((1000)-(c_TMAP3IN)),2))+2147483648,4294967296)-2147483648,((1000)-(c_TMAP3IN))*(((C164)-(c_TMAP3IN))*((1000)-(c_TMAP3OUT))+IF(((1000)-(c_TMAP3OUT))&gt;=0,1,-1)*QUOTIENT(((1000)-(c_TMAP3IN)),2)))&gt;=0,1,0)))</f>
        <v>46</v>
      </c>
      <c r="I164" s="7" t="n">
        <f aca="false">IF(C164&gt;=c_TFWD,IF(AND(C164&gt;=c_TMAP3IN,c_TMAP3IN&lt;1000),H164,IF(AND(C164&gt;=c_TMAP2IN,c_TMAP3IN&gt;c_TMAP2IN),G164,IF(AND(C164&gt;=c_TMAP1IN,c_TMAP2IN&gt;c_TMAP1IN),F164,E164))),D164)</f>
        <v>120</v>
      </c>
      <c r="J164" s="7" t="str">
        <f aca="false">IF(I164&lt;-1090,"TOO LOW",IF(I164&gt;1090,"TOO HIGH",""))</f>
        <v/>
      </c>
      <c r="K164" s="7" t="n">
        <f aca="false">IF(J164&lt;&gt;"",0,IF(I164&gt;979,1000,I164))</f>
        <v>120</v>
      </c>
      <c r="L164" s="7" t="n">
        <f aca="false">IF(OR(c_TSMOOTH=0,K164&gt;=c_TSMOOTHCUT),1,0)</f>
        <v>0</v>
      </c>
      <c r="M164" s="7" t="n">
        <f aca="false">IF(L164=1,0,M163+1)</f>
        <v>78</v>
      </c>
      <c r="N164" s="7" t="n">
        <f aca="false">IF(L164=1,0,MIN(M164,c_TSMOOTH))</f>
        <v>30</v>
      </c>
      <c r="O164" s="7" t="n">
        <f aca="false">IF(COUNTIF($L$5:L164,1)&gt;0,c_TSMOOTHCUT,0)</f>
        <v>400</v>
      </c>
      <c r="P164" s="15" t="n">
        <f aca="true">IF(L164=1,K164,QUOTIENT(SUM(OFFSET(K164,1-N164,0,N164,1))+(c_TSMOOTH-N164)*O164,c_TSMOOTH))</f>
        <v>-209</v>
      </c>
      <c r="Q164" s="7" t="n">
        <f aca="false">K164/10</f>
        <v>12</v>
      </c>
      <c r="R164" s="7" t="n">
        <f aca="false">P164/10</f>
        <v>-20.9</v>
      </c>
    </row>
    <row r="165" customFormat="false" ht="15" hidden="false" customHeight="false" outlineLevel="0" collapsed="false">
      <c r="A165" s="7" t="n">
        <v>160</v>
      </c>
      <c r="B165" s="7" t="n">
        <f aca="false">A165*0.04</f>
        <v>6.4</v>
      </c>
      <c r="C165" s="18" t="n">
        <v>248</v>
      </c>
      <c r="D165" s="7" t="n">
        <f aca="false">IF(AND(C165=0,c_TCREEP&gt;0),10*c_TCREEP,IF(AND(C165&lt;=c_TRNGMIN,C165&gt;=c_TRNGMAX,c_TRNGMIN-c_TRNGMAX&lt;&gt;0),-10*c_TMINRN+QUOTIENT((c_TMAXRN-c_TMINRN)*(100-QUOTIENT((C165-c_TRNGMAX)*100,c_TRNGMIN-c_TRNGMAX)),-10),0))</f>
        <v>0</v>
      </c>
      <c r="E165" s="7" t="n">
        <f aca="false">IF(((c_TMAP1IN)-(c_TFWD))=0,(0)+QUOTIENT(((c_TMAP1OUT)-(0)),2),QUOTIENT((((C165)-(c_TFWD))*((c_TMAP1OUT)-(0))+IF(((c_TMAP1OUT)-(0))&gt;=0,1,-1)*QUOTIENT(((c_TMAP1IN)-(c_TFWD)),2)),((c_TMAP1IN)-(c_TFWD)))+(0)+IF(((c_TMAP1OUT)-(0))&gt;=0,IF(IF(o_WRAP=1,MOD(((c_TMAP1IN)-(c_TFWD))*(((C165)-(c_TFWD))*((c_TMAP1OUT)-(0))+IF(((c_TMAP1OUT)-(0))&gt;=0,1,-1)*QUOTIENT(((c_TMAP1IN)-(c_TFWD)),2))+2147483648,4294967296)-2147483648,((c_TMAP1IN)-(c_TFWD))*(((C165)-(c_TFWD))*((c_TMAP1OUT)-(0))+IF(((c_TMAP1OUT)-(0))&gt;=0,1,-1)*QUOTIENT(((c_TMAP1IN)-(c_TFWD)),2)))&lt;0,-1,0),IF(IF(o_WRAP=1,MOD(((c_TMAP1IN)-(c_TFWD))*(((C165)-(c_TFWD))*((c_TMAP1OUT)-(0))+IF(((c_TMAP1OUT)-(0))&gt;=0,1,-1)*QUOTIENT(((c_TMAP1IN)-(c_TFWD)),2))+2147483648,4294967296)-2147483648,((c_TMAP1IN)-(c_TFWD))*(((C165)-(c_TFWD))*((c_TMAP1OUT)-(0))+IF(((c_TMAP1OUT)-(0))&gt;=0,1,-1)*QUOTIENT(((c_TMAP1IN)-(c_TFWD)),2)))&gt;=0,1,0)))</f>
        <v>185</v>
      </c>
      <c r="F165" s="7" t="n">
        <f aca="false">IF(((c_TMAP2IN)-(c_TMAP1IN))=0,(c_TMAP1OUT)+QUOTIENT(((c_TMAP2OUT)-(c_TMAP1OUT)),2),QUOTIENT((((C165)-(c_TMAP1IN))*((c_TMAP2OUT)-(c_TMAP1OUT))+IF(((c_TMAP2OUT)-(c_TMAP1OUT))&gt;=0,1,-1)*QUOTIENT(((c_TMAP2IN)-(c_TMAP1IN)),2)),((c_TMAP2IN)-(c_TMAP1IN)))+(c_TMAP1OUT)+IF(((c_TMAP2OUT)-(c_TMAP1OUT))&gt;=0,IF(IF(o_WRAP=1,MOD(((c_TMAP2IN)-(c_TMAP1IN))*(((C165)-(c_TMAP1IN))*((c_TMAP2OUT)-(c_TMAP1OUT))+IF(((c_TMAP2OUT)-(c_TMAP1OUT))&gt;=0,1,-1)*QUOTIENT(((c_TMAP2IN)-(c_TMAP1IN)),2))+2147483648,4294967296)-2147483648,((c_TMAP2IN)-(c_TMAP1IN))*(((C165)-(c_TMAP1IN))*((c_TMAP2OUT)-(c_TMAP1OUT))+IF(((c_TMAP2OUT)-(c_TMAP1OUT))&gt;=0,1,-1)*QUOTIENT(((c_TMAP2IN)-(c_TMAP1IN)),2)))&lt;0,-1,0),IF(IF(o_WRAP=1,MOD(((c_TMAP2IN)-(c_TMAP1IN))*(((C165)-(c_TMAP1IN))*((c_TMAP2OUT)-(c_TMAP1OUT))+IF(((c_TMAP2OUT)-(c_TMAP1OUT))&gt;=0,1,-1)*QUOTIENT(((c_TMAP2IN)-(c_TMAP1IN)),2))+2147483648,4294967296)-2147483648,((c_TMAP2IN)-(c_TMAP1IN))*(((C165)-(c_TMAP1IN))*((c_TMAP2OUT)-(c_TMAP1OUT))+IF(((c_TMAP2OUT)-(c_TMAP1OUT))&gt;=0,1,-1)*QUOTIENT(((c_TMAP2IN)-(c_TMAP1IN)),2)))&gt;=0,1,0)))</f>
        <v>129</v>
      </c>
      <c r="G165" s="7" t="n">
        <f aca="false">IF(((c_TMAP3IN)-(c_TMAP2IN))=0,(c_TMAP2OUT)+QUOTIENT(((c_TMAP3OUT)-(c_TMAP2OUT)),2),QUOTIENT((((C165)-(c_TMAP2IN))*((c_TMAP3OUT)-(c_TMAP2OUT))+IF(((c_TMAP3OUT)-(c_TMAP2OUT))&gt;=0,1,-1)*QUOTIENT(((c_TMAP3IN)-(c_TMAP2IN)),2)),((c_TMAP3IN)-(c_TMAP2IN)))+(c_TMAP2OUT)+IF(((c_TMAP3OUT)-(c_TMAP2OUT))&gt;=0,IF(IF(o_WRAP=1,MOD(((c_TMAP3IN)-(c_TMAP2IN))*(((C165)-(c_TMAP2IN))*((c_TMAP3OUT)-(c_TMAP2OUT))+IF(((c_TMAP3OUT)-(c_TMAP2OUT))&gt;=0,1,-1)*QUOTIENT(((c_TMAP3IN)-(c_TMAP2IN)),2))+2147483648,4294967296)-2147483648,((c_TMAP3IN)-(c_TMAP2IN))*(((C165)-(c_TMAP2IN))*((c_TMAP3OUT)-(c_TMAP2OUT))+IF(((c_TMAP3OUT)-(c_TMAP2OUT))&gt;=0,1,-1)*QUOTIENT(((c_TMAP3IN)-(c_TMAP2IN)),2)))&lt;0,-1,0),IF(IF(o_WRAP=1,MOD(((c_TMAP3IN)-(c_TMAP2IN))*(((C165)-(c_TMAP2IN))*((c_TMAP3OUT)-(c_TMAP2OUT))+IF(((c_TMAP3OUT)-(c_TMAP2OUT))&gt;=0,1,-1)*QUOTIENT(((c_TMAP3IN)-(c_TMAP2IN)),2))+2147483648,4294967296)-2147483648,((c_TMAP3IN)-(c_TMAP2IN))*(((C165)-(c_TMAP2IN))*((c_TMAP3OUT)-(c_TMAP2OUT))+IF(((c_TMAP3OUT)-(c_TMAP2OUT))&gt;=0,1,-1)*QUOTIENT(((c_TMAP3IN)-(c_TMAP2IN)),2)))&gt;=0,1,0)))</f>
        <v>129</v>
      </c>
      <c r="H165" s="7" t="n">
        <f aca="false">IF(((1000)-(c_TMAP3IN))=0,(c_TMAP3OUT)+QUOTIENT(((1000)-(c_TMAP3OUT)),2),QUOTIENT((((C165)-(c_TMAP3IN))*((1000)-(c_TMAP3OUT))+IF(((1000)-(c_TMAP3OUT))&gt;=0,1,-1)*QUOTIENT(((1000)-(c_TMAP3IN)),2)),((1000)-(c_TMAP3IN)))+(c_TMAP3OUT)+IF(((1000)-(c_TMAP3OUT))&gt;=0,IF(IF(o_WRAP=1,MOD(((1000)-(c_TMAP3IN))*(((C165)-(c_TMAP3IN))*((1000)-(c_TMAP3OUT))+IF(((1000)-(c_TMAP3OUT))&gt;=0,1,-1)*QUOTIENT(((1000)-(c_TMAP3IN)),2))+2147483648,4294967296)-2147483648,((1000)-(c_TMAP3IN))*(((C165)-(c_TMAP3IN))*((1000)-(c_TMAP3OUT))+IF(((1000)-(c_TMAP3OUT))&gt;=0,1,-1)*QUOTIENT(((1000)-(c_TMAP3IN)),2)))&lt;0,-1,0),IF(IF(o_WRAP=1,MOD(((1000)-(c_TMAP3IN))*(((C165)-(c_TMAP3IN))*((1000)-(c_TMAP3OUT))+IF(((1000)-(c_TMAP3OUT))&gt;=0,1,-1)*QUOTIENT(((1000)-(c_TMAP3IN)),2))+2147483648,4294967296)-2147483648,((1000)-(c_TMAP3IN))*(((C165)-(c_TMAP3IN))*((1000)-(c_TMAP3OUT))+IF(((1000)-(c_TMAP3OUT))&gt;=0,1,-1)*QUOTIENT(((1000)-(c_TMAP3IN)),2)))&gt;=0,1,0)))</f>
        <v>74</v>
      </c>
      <c r="I165" s="7" t="n">
        <f aca="false">IF(C165&gt;=c_TFWD,IF(AND(C165&gt;=c_TMAP3IN,c_TMAP3IN&lt;1000),H165,IF(AND(C165&gt;=c_TMAP2IN,c_TMAP3IN&gt;c_TMAP2IN),G165,IF(AND(C165&gt;=c_TMAP1IN,c_TMAP2IN&gt;c_TMAP1IN),F165,E165))),D165)</f>
        <v>129</v>
      </c>
      <c r="J165" s="7" t="str">
        <f aca="false">IF(I165&lt;-1090,"TOO LOW",IF(I165&gt;1090,"TOO HIGH",""))</f>
        <v/>
      </c>
      <c r="K165" s="7" t="n">
        <f aca="false">IF(J165&lt;&gt;"",0,IF(I165&gt;979,1000,I165))</f>
        <v>129</v>
      </c>
      <c r="L165" s="7" t="n">
        <f aca="false">IF(OR(c_TSMOOTH=0,K165&gt;=c_TSMOOTHCUT),1,0)</f>
        <v>0</v>
      </c>
      <c r="M165" s="7" t="n">
        <f aca="false">IF(L165=1,0,M164+1)</f>
        <v>79</v>
      </c>
      <c r="N165" s="7" t="n">
        <f aca="false">IF(L165=1,0,MIN(M165,c_TSMOOTH))</f>
        <v>30</v>
      </c>
      <c r="O165" s="7" t="n">
        <f aca="false">IF(COUNTIF($L$5:L165,1)&gt;0,c_TSMOOTHCUT,0)</f>
        <v>400</v>
      </c>
      <c r="P165" s="15" t="n">
        <f aca="true">IF(L165=1,K165,QUOTIENT(SUM(OFFSET(K165,1-N165,0,N165,1))+(c_TSMOOTH-N165)*O165,c_TSMOOTH))</f>
        <v>-193</v>
      </c>
      <c r="Q165" s="7" t="n">
        <f aca="false">K165/10</f>
        <v>12.9</v>
      </c>
      <c r="R165" s="7" t="n">
        <f aca="false">P165/10</f>
        <v>-19.3</v>
      </c>
    </row>
    <row r="166" customFormat="false" ht="15" hidden="false" customHeight="false" outlineLevel="0" collapsed="false">
      <c r="A166" s="7" t="n">
        <v>161</v>
      </c>
      <c r="B166" s="7" t="n">
        <f aca="false">A166*0.04</f>
        <v>6.44</v>
      </c>
      <c r="C166" s="18" t="n">
        <v>270</v>
      </c>
      <c r="D166" s="7" t="n">
        <f aca="false">IF(AND(C166=0,c_TCREEP&gt;0),10*c_TCREEP,IF(AND(C166&lt;=c_TRNGMIN,C166&gt;=c_TRNGMAX,c_TRNGMIN-c_TRNGMAX&lt;&gt;0),-10*c_TMINRN+QUOTIENT((c_TMAXRN-c_TMINRN)*(100-QUOTIENT((C166-c_TRNGMAX)*100,c_TRNGMIN-c_TRNGMAX)),-10),0))</f>
        <v>0</v>
      </c>
      <c r="E166" s="7" t="n">
        <f aca="false">IF(((c_TMAP1IN)-(c_TFWD))=0,(0)+QUOTIENT(((c_TMAP1OUT)-(0)),2),QUOTIENT((((C166)-(c_TFWD))*((c_TMAP1OUT)-(0))+IF(((c_TMAP1OUT)-(0))&gt;=0,1,-1)*QUOTIENT(((c_TMAP1IN)-(c_TFWD)),2)),((c_TMAP1IN)-(c_TFWD)))+(0)+IF(((c_TMAP1OUT)-(0))&gt;=0,IF(IF(o_WRAP=1,MOD(((c_TMAP1IN)-(c_TFWD))*(((C166)-(c_TFWD))*((c_TMAP1OUT)-(0))+IF(((c_TMAP1OUT)-(0))&gt;=0,1,-1)*QUOTIENT(((c_TMAP1IN)-(c_TFWD)),2))+2147483648,4294967296)-2147483648,((c_TMAP1IN)-(c_TFWD))*(((C166)-(c_TFWD))*((c_TMAP1OUT)-(0))+IF(((c_TMAP1OUT)-(0))&gt;=0,1,-1)*QUOTIENT(((c_TMAP1IN)-(c_TFWD)),2)))&lt;0,-1,0),IF(IF(o_WRAP=1,MOD(((c_TMAP1IN)-(c_TFWD))*(((C166)-(c_TFWD))*((c_TMAP1OUT)-(0))+IF(((c_TMAP1OUT)-(0))&gt;=0,1,-1)*QUOTIENT(((c_TMAP1IN)-(c_TFWD)),2))+2147483648,4294967296)-2147483648,((c_TMAP1IN)-(c_TFWD))*(((C166)-(c_TFWD))*((c_TMAP1OUT)-(0))+IF(((c_TMAP1OUT)-(0))&gt;=0,1,-1)*QUOTIENT(((c_TMAP1IN)-(c_TFWD)),2)))&gt;=0,1,0)))</f>
        <v>202</v>
      </c>
      <c r="F166" s="7" t="n">
        <f aca="false">IF(((c_TMAP2IN)-(c_TMAP1IN))=0,(c_TMAP1OUT)+QUOTIENT(((c_TMAP2OUT)-(c_TMAP1OUT)),2),QUOTIENT((((C166)-(c_TMAP1IN))*((c_TMAP2OUT)-(c_TMAP1OUT))+IF(((c_TMAP2OUT)-(c_TMAP1OUT))&gt;=0,1,-1)*QUOTIENT(((c_TMAP2IN)-(c_TMAP1IN)),2)),((c_TMAP2IN)-(c_TMAP1IN)))+(c_TMAP1OUT)+IF(((c_TMAP2OUT)-(c_TMAP1OUT))&gt;=0,IF(IF(o_WRAP=1,MOD(((c_TMAP2IN)-(c_TMAP1IN))*(((C166)-(c_TMAP1IN))*((c_TMAP2OUT)-(c_TMAP1OUT))+IF(((c_TMAP2OUT)-(c_TMAP1OUT))&gt;=0,1,-1)*QUOTIENT(((c_TMAP2IN)-(c_TMAP1IN)),2))+2147483648,4294967296)-2147483648,((c_TMAP2IN)-(c_TMAP1IN))*(((C166)-(c_TMAP1IN))*((c_TMAP2OUT)-(c_TMAP1OUT))+IF(((c_TMAP2OUT)-(c_TMAP1OUT))&gt;=0,1,-1)*QUOTIENT(((c_TMAP2IN)-(c_TMAP1IN)),2)))&lt;0,-1,0),IF(IF(o_WRAP=1,MOD(((c_TMAP2IN)-(c_TMAP1IN))*(((C166)-(c_TMAP1IN))*((c_TMAP2OUT)-(c_TMAP1OUT))+IF(((c_TMAP2OUT)-(c_TMAP1OUT))&gt;=0,1,-1)*QUOTIENT(((c_TMAP2IN)-(c_TMAP1IN)),2))+2147483648,4294967296)-2147483648,((c_TMAP2IN)-(c_TMAP1IN))*(((C166)-(c_TMAP1IN))*((c_TMAP2OUT)-(c_TMAP1OUT))+IF(((c_TMAP2OUT)-(c_TMAP1OUT))&gt;=0,1,-1)*QUOTIENT(((c_TMAP2IN)-(c_TMAP1IN)),2)))&gt;=0,1,0)))</f>
        <v>138</v>
      </c>
      <c r="G166" s="7" t="n">
        <f aca="false">IF(((c_TMAP3IN)-(c_TMAP2IN))=0,(c_TMAP2OUT)+QUOTIENT(((c_TMAP3OUT)-(c_TMAP2OUT)),2),QUOTIENT((((C166)-(c_TMAP2IN))*((c_TMAP3OUT)-(c_TMAP2OUT))+IF(((c_TMAP3OUT)-(c_TMAP2OUT))&gt;=0,1,-1)*QUOTIENT(((c_TMAP3IN)-(c_TMAP2IN)),2)),((c_TMAP3IN)-(c_TMAP2IN)))+(c_TMAP2OUT)+IF(((c_TMAP3OUT)-(c_TMAP2OUT))&gt;=0,IF(IF(o_WRAP=1,MOD(((c_TMAP3IN)-(c_TMAP2IN))*(((C166)-(c_TMAP2IN))*((c_TMAP3OUT)-(c_TMAP2OUT))+IF(((c_TMAP3OUT)-(c_TMAP2OUT))&gt;=0,1,-1)*QUOTIENT(((c_TMAP3IN)-(c_TMAP2IN)),2))+2147483648,4294967296)-2147483648,((c_TMAP3IN)-(c_TMAP2IN))*(((C166)-(c_TMAP2IN))*((c_TMAP3OUT)-(c_TMAP2OUT))+IF(((c_TMAP3OUT)-(c_TMAP2OUT))&gt;=0,1,-1)*QUOTIENT(((c_TMAP3IN)-(c_TMAP2IN)),2)))&lt;0,-1,0),IF(IF(o_WRAP=1,MOD(((c_TMAP3IN)-(c_TMAP2IN))*(((C166)-(c_TMAP2IN))*((c_TMAP3OUT)-(c_TMAP2OUT))+IF(((c_TMAP3OUT)-(c_TMAP2OUT))&gt;=0,1,-1)*QUOTIENT(((c_TMAP3IN)-(c_TMAP2IN)),2))+2147483648,4294967296)-2147483648,((c_TMAP3IN)-(c_TMAP2IN))*(((C166)-(c_TMAP2IN))*((c_TMAP3OUT)-(c_TMAP2OUT))+IF(((c_TMAP3OUT)-(c_TMAP2OUT))&gt;=0,1,-1)*QUOTIENT(((c_TMAP3IN)-(c_TMAP2IN)),2)))&gt;=0,1,0)))</f>
        <v>144</v>
      </c>
      <c r="H166" s="7" t="n">
        <f aca="false">IF(((1000)-(c_TMAP3IN))=0,(c_TMAP3OUT)+QUOTIENT(((1000)-(c_TMAP3OUT)),2),QUOTIENT((((C166)-(c_TMAP3IN))*((1000)-(c_TMAP3OUT))+IF(((1000)-(c_TMAP3OUT))&gt;=0,1,-1)*QUOTIENT(((1000)-(c_TMAP3IN)),2)),((1000)-(c_TMAP3IN)))+(c_TMAP3OUT)+IF(((1000)-(c_TMAP3OUT))&gt;=0,IF(IF(o_WRAP=1,MOD(((1000)-(c_TMAP3IN))*(((C166)-(c_TMAP3IN))*((1000)-(c_TMAP3OUT))+IF(((1000)-(c_TMAP3OUT))&gt;=0,1,-1)*QUOTIENT(((1000)-(c_TMAP3IN)),2))+2147483648,4294967296)-2147483648,((1000)-(c_TMAP3IN))*(((C166)-(c_TMAP3IN))*((1000)-(c_TMAP3OUT))+IF(((1000)-(c_TMAP3OUT))&gt;=0,1,-1)*QUOTIENT(((1000)-(c_TMAP3IN)),2)))&lt;0,-1,0),IF(IF(o_WRAP=1,MOD(((1000)-(c_TMAP3IN))*(((C166)-(c_TMAP3IN))*((1000)-(c_TMAP3OUT))+IF(((1000)-(c_TMAP3OUT))&gt;=0,1,-1)*QUOTIENT(((1000)-(c_TMAP3IN)),2))+2147483648,4294967296)-2147483648,((1000)-(c_TMAP3IN))*(((C166)-(c_TMAP3IN))*((1000)-(c_TMAP3OUT))+IF(((1000)-(c_TMAP3OUT))&gt;=0,1,-1)*QUOTIENT(((1000)-(c_TMAP3IN)),2)))&gt;=0,1,0)))</f>
        <v>102</v>
      </c>
      <c r="I166" s="7" t="n">
        <f aca="false">IF(C166&gt;=c_TFWD,IF(AND(C166&gt;=c_TMAP3IN,c_TMAP3IN&lt;1000),H166,IF(AND(C166&gt;=c_TMAP2IN,c_TMAP3IN&gt;c_TMAP2IN),G166,IF(AND(C166&gt;=c_TMAP1IN,c_TMAP2IN&gt;c_TMAP1IN),F166,E166))),D166)</f>
        <v>144</v>
      </c>
      <c r="J166" s="7" t="str">
        <f aca="false">IF(I166&lt;-1090,"TOO LOW",IF(I166&gt;1090,"TOO HIGH",""))</f>
        <v/>
      </c>
      <c r="K166" s="7" t="n">
        <f aca="false">IF(J166&lt;&gt;"",0,IF(I166&gt;979,1000,I166))</f>
        <v>144</v>
      </c>
      <c r="L166" s="7" t="n">
        <f aca="false">IF(OR(c_TSMOOTH=0,K166&gt;=c_TSMOOTHCUT),1,0)</f>
        <v>0</v>
      </c>
      <c r="M166" s="7" t="n">
        <f aca="false">IF(L166=1,0,M165+1)</f>
        <v>80</v>
      </c>
      <c r="N166" s="7" t="n">
        <f aca="false">IF(L166=1,0,MIN(M166,c_TSMOOTH))</f>
        <v>30</v>
      </c>
      <c r="O166" s="7" t="n">
        <f aca="false">IF(COUNTIF($L$5:L166,1)&gt;0,c_TSMOOTHCUT,0)</f>
        <v>400</v>
      </c>
      <c r="P166" s="15" t="n">
        <f aca="true">IF(L166=1,K166,QUOTIENT(SUM(OFFSET(K166,1-N166,0,N166,1))+(c_TSMOOTH-N166)*O166,c_TSMOOTH))</f>
        <v>-176</v>
      </c>
      <c r="Q166" s="7" t="n">
        <f aca="false">K166/10</f>
        <v>14.4</v>
      </c>
      <c r="R166" s="7" t="n">
        <f aca="false">P166/10</f>
        <v>-17.6</v>
      </c>
    </row>
    <row r="167" customFormat="false" ht="15" hidden="false" customHeight="false" outlineLevel="0" collapsed="false">
      <c r="A167" s="7" t="n">
        <v>162</v>
      </c>
      <c r="B167" s="7" t="n">
        <f aca="false">A167*0.04</f>
        <v>6.48</v>
      </c>
      <c r="C167" s="18" t="n">
        <v>292</v>
      </c>
      <c r="D167" s="7" t="n">
        <f aca="false">IF(AND(C167=0,c_TCREEP&gt;0),10*c_TCREEP,IF(AND(C167&lt;=c_TRNGMIN,C167&gt;=c_TRNGMAX,c_TRNGMIN-c_TRNGMAX&lt;&gt;0),-10*c_TMINRN+QUOTIENT((c_TMAXRN-c_TMINRN)*(100-QUOTIENT((C167-c_TRNGMAX)*100,c_TRNGMIN-c_TRNGMAX)),-10),0))</f>
        <v>0</v>
      </c>
      <c r="E167" s="7" t="n">
        <f aca="false">IF(((c_TMAP1IN)-(c_TFWD))=0,(0)+QUOTIENT(((c_TMAP1OUT)-(0)),2),QUOTIENT((((C167)-(c_TFWD))*((c_TMAP1OUT)-(0))+IF(((c_TMAP1OUT)-(0))&gt;=0,1,-1)*QUOTIENT(((c_TMAP1IN)-(c_TFWD)),2)),((c_TMAP1IN)-(c_TFWD)))+(0)+IF(((c_TMAP1OUT)-(0))&gt;=0,IF(IF(o_WRAP=1,MOD(((c_TMAP1IN)-(c_TFWD))*(((C167)-(c_TFWD))*((c_TMAP1OUT)-(0))+IF(((c_TMAP1OUT)-(0))&gt;=0,1,-1)*QUOTIENT(((c_TMAP1IN)-(c_TFWD)),2))+2147483648,4294967296)-2147483648,((c_TMAP1IN)-(c_TFWD))*(((C167)-(c_TFWD))*((c_TMAP1OUT)-(0))+IF(((c_TMAP1OUT)-(0))&gt;=0,1,-1)*QUOTIENT(((c_TMAP1IN)-(c_TFWD)),2)))&lt;0,-1,0),IF(IF(o_WRAP=1,MOD(((c_TMAP1IN)-(c_TFWD))*(((C167)-(c_TFWD))*((c_TMAP1OUT)-(0))+IF(((c_TMAP1OUT)-(0))&gt;=0,1,-1)*QUOTIENT(((c_TMAP1IN)-(c_TFWD)),2))+2147483648,4294967296)-2147483648,((c_TMAP1IN)-(c_TFWD))*(((C167)-(c_TFWD))*((c_TMAP1OUT)-(0))+IF(((c_TMAP1OUT)-(0))&gt;=0,1,-1)*QUOTIENT(((c_TMAP1IN)-(c_TFWD)),2)))&gt;=0,1,0)))</f>
        <v>219</v>
      </c>
      <c r="F167" s="7" t="n">
        <f aca="false">IF(((c_TMAP2IN)-(c_TMAP1IN))=0,(c_TMAP1OUT)+QUOTIENT(((c_TMAP2OUT)-(c_TMAP1OUT)),2),QUOTIENT((((C167)-(c_TMAP1IN))*((c_TMAP2OUT)-(c_TMAP1OUT))+IF(((c_TMAP2OUT)-(c_TMAP1OUT))&gt;=0,1,-1)*QUOTIENT(((c_TMAP2IN)-(c_TMAP1IN)),2)),((c_TMAP2IN)-(c_TMAP1IN)))+(c_TMAP1OUT)+IF(((c_TMAP2OUT)-(c_TMAP1OUT))&gt;=0,IF(IF(o_WRAP=1,MOD(((c_TMAP2IN)-(c_TMAP1IN))*(((C167)-(c_TMAP1IN))*((c_TMAP2OUT)-(c_TMAP1OUT))+IF(((c_TMAP2OUT)-(c_TMAP1OUT))&gt;=0,1,-1)*QUOTIENT(((c_TMAP2IN)-(c_TMAP1IN)),2))+2147483648,4294967296)-2147483648,((c_TMAP2IN)-(c_TMAP1IN))*(((C167)-(c_TMAP1IN))*((c_TMAP2OUT)-(c_TMAP1OUT))+IF(((c_TMAP2OUT)-(c_TMAP1OUT))&gt;=0,1,-1)*QUOTIENT(((c_TMAP2IN)-(c_TMAP1IN)),2)))&lt;0,-1,0),IF(IF(o_WRAP=1,MOD(((c_TMAP2IN)-(c_TMAP1IN))*(((C167)-(c_TMAP1IN))*((c_TMAP2OUT)-(c_TMAP1OUT))+IF(((c_TMAP2OUT)-(c_TMAP1OUT))&gt;=0,1,-1)*QUOTIENT(((c_TMAP2IN)-(c_TMAP1IN)),2))+2147483648,4294967296)-2147483648,((c_TMAP2IN)-(c_TMAP1IN))*(((C167)-(c_TMAP1IN))*((c_TMAP2OUT)-(c_TMAP1OUT))+IF(((c_TMAP2OUT)-(c_TMAP1OUT))&gt;=0,1,-1)*QUOTIENT(((c_TMAP2IN)-(c_TMAP1IN)),2)))&gt;=0,1,0)))</f>
        <v>147</v>
      </c>
      <c r="G167" s="7" t="n">
        <f aca="false">IF(((c_TMAP3IN)-(c_TMAP2IN))=0,(c_TMAP2OUT)+QUOTIENT(((c_TMAP3OUT)-(c_TMAP2OUT)),2),QUOTIENT((((C167)-(c_TMAP2IN))*((c_TMAP3OUT)-(c_TMAP2OUT))+IF(((c_TMAP3OUT)-(c_TMAP2OUT))&gt;=0,1,-1)*QUOTIENT(((c_TMAP3IN)-(c_TMAP2IN)),2)),((c_TMAP3IN)-(c_TMAP2IN)))+(c_TMAP2OUT)+IF(((c_TMAP3OUT)-(c_TMAP2OUT))&gt;=0,IF(IF(o_WRAP=1,MOD(((c_TMAP3IN)-(c_TMAP2IN))*(((C167)-(c_TMAP2IN))*((c_TMAP3OUT)-(c_TMAP2OUT))+IF(((c_TMAP3OUT)-(c_TMAP2OUT))&gt;=0,1,-1)*QUOTIENT(((c_TMAP3IN)-(c_TMAP2IN)),2))+2147483648,4294967296)-2147483648,((c_TMAP3IN)-(c_TMAP2IN))*(((C167)-(c_TMAP2IN))*((c_TMAP3OUT)-(c_TMAP2OUT))+IF(((c_TMAP3OUT)-(c_TMAP2OUT))&gt;=0,1,-1)*QUOTIENT(((c_TMAP3IN)-(c_TMAP2IN)),2)))&lt;0,-1,0),IF(IF(o_WRAP=1,MOD(((c_TMAP3IN)-(c_TMAP2IN))*(((C167)-(c_TMAP2IN))*((c_TMAP3OUT)-(c_TMAP2OUT))+IF(((c_TMAP3OUT)-(c_TMAP2OUT))&gt;=0,1,-1)*QUOTIENT(((c_TMAP3IN)-(c_TMAP2IN)),2))+2147483648,4294967296)-2147483648,((c_TMAP3IN)-(c_TMAP2IN))*(((C167)-(c_TMAP2IN))*((c_TMAP3OUT)-(c_TMAP2OUT))+IF(((c_TMAP3OUT)-(c_TMAP2OUT))&gt;=0,1,-1)*QUOTIENT(((c_TMAP3IN)-(c_TMAP2IN)),2)))&gt;=0,1,0)))</f>
        <v>159</v>
      </c>
      <c r="H167" s="7" t="n">
        <f aca="false">IF(((1000)-(c_TMAP3IN))=0,(c_TMAP3OUT)+QUOTIENT(((1000)-(c_TMAP3OUT)),2),QUOTIENT((((C167)-(c_TMAP3IN))*((1000)-(c_TMAP3OUT))+IF(((1000)-(c_TMAP3OUT))&gt;=0,1,-1)*QUOTIENT(((1000)-(c_TMAP3IN)),2)),((1000)-(c_TMAP3IN)))+(c_TMAP3OUT)+IF(((1000)-(c_TMAP3OUT))&gt;=0,IF(IF(o_WRAP=1,MOD(((1000)-(c_TMAP3IN))*(((C167)-(c_TMAP3IN))*((1000)-(c_TMAP3OUT))+IF(((1000)-(c_TMAP3OUT))&gt;=0,1,-1)*QUOTIENT(((1000)-(c_TMAP3IN)),2))+2147483648,4294967296)-2147483648,((1000)-(c_TMAP3IN))*(((C167)-(c_TMAP3IN))*((1000)-(c_TMAP3OUT))+IF(((1000)-(c_TMAP3OUT))&gt;=0,1,-1)*QUOTIENT(((1000)-(c_TMAP3IN)),2)))&lt;0,-1,0),IF(IF(o_WRAP=1,MOD(((1000)-(c_TMAP3IN))*(((C167)-(c_TMAP3IN))*((1000)-(c_TMAP3OUT))+IF(((1000)-(c_TMAP3OUT))&gt;=0,1,-1)*QUOTIENT(((1000)-(c_TMAP3IN)),2))+2147483648,4294967296)-2147483648,((1000)-(c_TMAP3IN))*(((C167)-(c_TMAP3IN))*((1000)-(c_TMAP3OUT))+IF(((1000)-(c_TMAP3OUT))&gt;=0,1,-1)*QUOTIENT(((1000)-(c_TMAP3IN)),2)))&gt;=0,1,0)))</f>
        <v>129</v>
      </c>
      <c r="I167" s="7" t="n">
        <f aca="false">IF(C167&gt;=c_TFWD,IF(AND(C167&gt;=c_TMAP3IN,c_TMAP3IN&lt;1000),H167,IF(AND(C167&gt;=c_TMAP2IN,c_TMAP3IN&gt;c_TMAP2IN),G167,IF(AND(C167&gt;=c_TMAP1IN,c_TMAP2IN&gt;c_TMAP1IN),F167,E167))),D167)</f>
        <v>159</v>
      </c>
      <c r="J167" s="7" t="str">
        <f aca="false">IF(I167&lt;-1090,"TOO LOW",IF(I167&gt;1090,"TOO HIGH",""))</f>
        <v/>
      </c>
      <c r="K167" s="7" t="n">
        <f aca="false">IF(J167&lt;&gt;"",0,IF(I167&gt;979,1000,I167))</f>
        <v>159</v>
      </c>
      <c r="L167" s="7" t="n">
        <f aca="false">IF(OR(c_TSMOOTH=0,K167&gt;=c_TSMOOTHCUT),1,0)</f>
        <v>0</v>
      </c>
      <c r="M167" s="7" t="n">
        <f aca="false">IF(L167=1,0,M166+1)</f>
        <v>81</v>
      </c>
      <c r="N167" s="7" t="n">
        <f aca="false">IF(L167=1,0,MIN(M167,c_TSMOOTH))</f>
        <v>30</v>
      </c>
      <c r="O167" s="7" t="n">
        <f aca="false">IF(COUNTIF($L$5:L167,1)&gt;0,c_TSMOOTHCUT,0)</f>
        <v>400</v>
      </c>
      <c r="P167" s="15" t="n">
        <f aca="true">IF(L167=1,K167,QUOTIENT(SUM(OFFSET(K167,1-N167,0,N167,1))+(c_TSMOOTH-N167)*O167,c_TSMOOTH))</f>
        <v>-159</v>
      </c>
      <c r="Q167" s="7" t="n">
        <f aca="false">K167/10</f>
        <v>15.9</v>
      </c>
      <c r="R167" s="7" t="n">
        <f aca="false">P167/10</f>
        <v>-15.9</v>
      </c>
    </row>
    <row r="168" customFormat="false" ht="15" hidden="false" customHeight="false" outlineLevel="0" collapsed="false">
      <c r="A168" s="7" t="n">
        <v>163</v>
      </c>
      <c r="B168" s="7" t="n">
        <f aca="false">A168*0.04</f>
        <v>6.52</v>
      </c>
      <c r="C168" s="18" t="n">
        <v>315</v>
      </c>
      <c r="D168" s="7" t="n">
        <f aca="false">IF(AND(C168=0,c_TCREEP&gt;0),10*c_TCREEP,IF(AND(C168&lt;=c_TRNGMIN,C168&gt;=c_TRNGMAX,c_TRNGMIN-c_TRNGMAX&lt;&gt;0),-10*c_TMINRN+QUOTIENT((c_TMAXRN-c_TMINRN)*(100-QUOTIENT((C168-c_TRNGMAX)*100,c_TRNGMIN-c_TRNGMAX)),-10),0))</f>
        <v>0</v>
      </c>
      <c r="E168" s="7" t="n">
        <f aca="false">IF(((c_TMAP1IN)-(c_TFWD))=0,(0)+QUOTIENT(((c_TMAP1OUT)-(0)),2),QUOTIENT((((C168)-(c_TFWD))*((c_TMAP1OUT)-(0))+IF(((c_TMAP1OUT)-(0))&gt;=0,1,-1)*QUOTIENT(((c_TMAP1IN)-(c_TFWD)),2)),((c_TMAP1IN)-(c_TFWD)))+(0)+IF(((c_TMAP1OUT)-(0))&gt;=0,IF(IF(o_WRAP=1,MOD(((c_TMAP1IN)-(c_TFWD))*(((C168)-(c_TFWD))*((c_TMAP1OUT)-(0))+IF(((c_TMAP1OUT)-(0))&gt;=0,1,-1)*QUOTIENT(((c_TMAP1IN)-(c_TFWD)),2))+2147483648,4294967296)-2147483648,((c_TMAP1IN)-(c_TFWD))*(((C168)-(c_TFWD))*((c_TMAP1OUT)-(0))+IF(((c_TMAP1OUT)-(0))&gt;=0,1,-1)*QUOTIENT(((c_TMAP1IN)-(c_TFWD)),2)))&lt;0,-1,0),IF(IF(o_WRAP=1,MOD(((c_TMAP1IN)-(c_TFWD))*(((C168)-(c_TFWD))*((c_TMAP1OUT)-(0))+IF(((c_TMAP1OUT)-(0))&gt;=0,1,-1)*QUOTIENT(((c_TMAP1IN)-(c_TFWD)),2))+2147483648,4294967296)-2147483648,((c_TMAP1IN)-(c_TFWD))*(((C168)-(c_TFWD))*((c_TMAP1OUT)-(0))+IF(((c_TMAP1OUT)-(0))&gt;=0,1,-1)*QUOTIENT(((c_TMAP1IN)-(c_TFWD)),2)))&gt;=0,1,0)))</f>
        <v>237</v>
      </c>
      <c r="F168" s="7" t="n">
        <f aca="false">IF(((c_TMAP2IN)-(c_TMAP1IN))=0,(c_TMAP1OUT)+QUOTIENT(((c_TMAP2OUT)-(c_TMAP1OUT)),2),QUOTIENT((((C168)-(c_TMAP1IN))*((c_TMAP2OUT)-(c_TMAP1OUT))+IF(((c_TMAP2OUT)-(c_TMAP1OUT))&gt;=0,1,-1)*QUOTIENT(((c_TMAP2IN)-(c_TMAP1IN)),2)),((c_TMAP2IN)-(c_TMAP1IN)))+(c_TMAP1OUT)+IF(((c_TMAP2OUT)-(c_TMAP1OUT))&gt;=0,IF(IF(o_WRAP=1,MOD(((c_TMAP2IN)-(c_TMAP1IN))*(((C168)-(c_TMAP1IN))*((c_TMAP2OUT)-(c_TMAP1OUT))+IF(((c_TMAP2OUT)-(c_TMAP1OUT))&gt;=0,1,-1)*QUOTIENT(((c_TMAP2IN)-(c_TMAP1IN)),2))+2147483648,4294967296)-2147483648,((c_TMAP2IN)-(c_TMAP1IN))*(((C168)-(c_TMAP1IN))*((c_TMAP2OUT)-(c_TMAP1OUT))+IF(((c_TMAP2OUT)-(c_TMAP1OUT))&gt;=0,1,-1)*QUOTIENT(((c_TMAP2IN)-(c_TMAP1IN)),2)))&lt;0,-1,0),IF(IF(o_WRAP=1,MOD(((c_TMAP2IN)-(c_TMAP1IN))*(((C168)-(c_TMAP1IN))*((c_TMAP2OUT)-(c_TMAP1OUT))+IF(((c_TMAP2OUT)-(c_TMAP1OUT))&gt;=0,1,-1)*QUOTIENT(((c_TMAP2IN)-(c_TMAP1IN)),2))+2147483648,4294967296)-2147483648,((c_TMAP2IN)-(c_TMAP1IN))*(((C168)-(c_TMAP1IN))*((c_TMAP2OUT)-(c_TMAP1OUT))+IF(((c_TMAP2OUT)-(c_TMAP1OUT))&gt;=0,1,-1)*QUOTIENT(((c_TMAP2IN)-(c_TMAP1IN)),2)))&gt;=0,1,0)))</f>
        <v>156</v>
      </c>
      <c r="G168" s="7" t="n">
        <f aca="false">IF(((c_TMAP3IN)-(c_TMAP2IN))=0,(c_TMAP2OUT)+QUOTIENT(((c_TMAP3OUT)-(c_TMAP2OUT)),2),QUOTIENT((((C168)-(c_TMAP2IN))*((c_TMAP3OUT)-(c_TMAP2OUT))+IF(((c_TMAP3OUT)-(c_TMAP2OUT))&gt;=0,1,-1)*QUOTIENT(((c_TMAP3IN)-(c_TMAP2IN)),2)),((c_TMAP3IN)-(c_TMAP2IN)))+(c_TMAP2OUT)+IF(((c_TMAP3OUT)-(c_TMAP2OUT))&gt;=0,IF(IF(o_WRAP=1,MOD(((c_TMAP3IN)-(c_TMAP2IN))*(((C168)-(c_TMAP2IN))*((c_TMAP3OUT)-(c_TMAP2OUT))+IF(((c_TMAP3OUT)-(c_TMAP2OUT))&gt;=0,1,-1)*QUOTIENT(((c_TMAP3IN)-(c_TMAP2IN)),2))+2147483648,4294967296)-2147483648,((c_TMAP3IN)-(c_TMAP2IN))*(((C168)-(c_TMAP2IN))*((c_TMAP3OUT)-(c_TMAP2OUT))+IF(((c_TMAP3OUT)-(c_TMAP2OUT))&gt;=0,1,-1)*QUOTIENT(((c_TMAP3IN)-(c_TMAP2IN)),2)))&lt;0,-1,0),IF(IF(o_WRAP=1,MOD(((c_TMAP3IN)-(c_TMAP2IN))*(((C168)-(c_TMAP2IN))*((c_TMAP3OUT)-(c_TMAP2OUT))+IF(((c_TMAP3OUT)-(c_TMAP2OUT))&gt;=0,1,-1)*QUOTIENT(((c_TMAP3IN)-(c_TMAP2IN)),2))+2147483648,4294967296)-2147483648,((c_TMAP3IN)-(c_TMAP2IN))*(((C168)-(c_TMAP2IN))*((c_TMAP3OUT)-(c_TMAP2OUT))+IF(((c_TMAP3OUT)-(c_TMAP2OUT))&gt;=0,1,-1)*QUOTIENT(((c_TMAP3IN)-(c_TMAP2IN)),2)))&gt;=0,1,0)))</f>
        <v>176</v>
      </c>
      <c r="H168" s="7" t="n">
        <f aca="false">IF(((1000)-(c_TMAP3IN))=0,(c_TMAP3OUT)+QUOTIENT(((1000)-(c_TMAP3OUT)),2),QUOTIENT((((C168)-(c_TMAP3IN))*((1000)-(c_TMAP3OUT))+IF(((1000)-(c_TMAP3OUT))&gt;=0,1,-1)*QUOTIENT(((1000)-(c_TMAP3IN)),2)),((1000)-(c_TMAP3IN)))+(c_TMAP3OUT)+IF(((1000)-(c_TMAP3OUT))&gt;=0,IF(IF(o_WRAP=1,MOD(((1000)-(c_TMAP3IN))*(((C168)-(c_TMAP3IN))*((1000)-(c_TMAP3OUT))+IF(((1000)-(c_TMAP3OUT))&gt;=0,1,-1)*QUOTIENT(((1000)-(c_TMAP3IN)),2))+2147483648,4294967296)-2147483648,((1000)-(c_TMAP3IN))*(((C168)-(c_TMAP3IN))*((1000)-(c_TMAP3OUT))+IF(((1000)-(c_TMAP3OUT))&gt;=0,1,-1)*QUOTIENT(((1000)-(c_TMAP3IN)),2)))&lt;0,-1,0),IF(IF(o_WRAP=1,MOD(((1000)-(c_TMAP3IN))*(((C168)-(c_TMAP3IN))*((1000)-(c_TMAP3OUT))+IF(((1000)-(c_TMAP3OUT))&gt;=0,1,-1)*QUOTIENT(((1000)-(c_TMAP3IN)),2))+2147483648,4294967296)-2147483648,((1000)-(c_TMAP3IN))*(((C168)-(c_TMAP3IN))*((1000)-(c_TMAP3OUT))+IF(((1000)-(c_TMAP3OUT))&gt;=0,1,-1)*QUOTIENT(((1000)-(c_TMAP3IN)),2)))&gt;=0,1,0)))</f>
        <v>157</v>
      </c>
      <c r="I168" s="7" t="n">
        <f aca="false">IF(C168&gt;=c_TFWD,IF(AND(C168&gt;=c_TMAP3IN,c_TMAP3IN&lt;1000),H168,IF(AND(C168&gt;=c_TMAP2IN,c_TMAP3IN&gt;c_TMAP2IN),G168,IF(AND(C168&gt;=c_TMAP1IN,c_TMAP2IN&gt;c_TMAP1IN),F168,E168))),D168)</f>
        <v>176</v>
      </c>
      <c r="J168" s="7" t="str">
        <f aca="false">IF(I168&lt;-1090,"TOO LOW",IF(I168&gt;1090,"TOO HIGH",""))</f>
        <v/>
      </c>
      <c r="K168" s="7" t="n">
        <f aca="false">IF(J168&lt;&gt;"",0,IF(I168&gt;979,1000,I168))</f>
        <v>176</v>
      </c>
      <c r="L168" s="7" t="n">
        <f aca="false">IF(OR(c_TSMOOTH=0,K168&gt;=c_TSMOOTHCUT),1,0)</f>
        <v>0</v>
      </c>
      <c r="M168" s="7" t="n">
        <f aca="false">IF(L168=1,0,M167+1)</f>
        <v>82</v>
      </c>
      <c r="N168" s="7" t="n">
        <f aca="false">IF(L168=1,0,MIN(M168,c_TSMOOTH))</f>
        <v>30</v>
      </c>
      <c r="O168" s="7" t="n">
        <f aca="false">IF(COUNTIF($L$5:L168,1)&gt;0,c_TSMOOTHCUT,0)</f>
        <v>400</v>
      </c>
      <c r="P168" s="15" t="n">
        <f aca="true">IF(L168=1,K168,QUOTIENT(SUM(OFFSET(K168,1-N168,0,N168,1))+(c_TSMOOTH-N168)*O168,c_TSMOOTH))</f>
        <v>-142</v>
      </c>
      <c r="Q168" s="7" t="n">
        <f aca="false">K168/10</f>
        <v>17.6</v>
      </c>
      <c r="R168" s="7" t="n">
        <f aca="false">P168/10</f>
        <v>-14.2</v>
      </c>
    </row>
    <row r="169" customFormat="false" ht="15" hidden="false" customHeight="false" outlineLevel="0" collapsed="false">
      <c r="A169" s="7" t="n">
        <v>164</v>
      </c>
      <c r="B169" s="7" t="n">
        <f aca="false">A169*0.04</f>
        <v>6.56</v>
      </c>
      <c r="C169" s="18" t="n">
        <v>338</v>
      </c>
      <c r="D169" s="7" t="n">
        <f aca="false">IF(AND(C169=0,c_TCREEP&gt;0),10*c_TCREEP,IF(AND(C169&lt;=c_TRNGMIN,C169&gt;=c_TRNGMAX,c_TRNGMIN-c_TRNGMAX&lt;&gt;0),-10*c_TMINRN+QUOTIENT((c_TMAXRN-c_TMINRN)*(100-QUOTIENT((C169-c_TRNGMAX)*100,c_TRNGMIN-c_TRNGMAX)),-10),0))</f>
        <v>0</v>
      </c>
      <c r="E169" s="7" t="n">
        <f aca="false">IF(((c_TMAP1IN)-(c_TFWD))=0,(0)+QUOTIENT(((c_TMAP1OUT)-(0)),2),QUOTIENT((((C169)-(c_TFWD))*((c_TMAP1OUT)-(0))+IF(((c_TMAP1OUT)-(0))&gt;=0,1,-1)*QUOTIENT(((c_TMAP1IN)-(c_TFWD)),2)),((c_TMAP1IN)-(c_TFWD)))+(0)+IF(((c_TMAP1OUT)-(0))&gt;=0,IF(IF(o_WRAP=1,MOD(((c_TMAP1IN)-(c_TFWD))*(((C169)-(c_TFWD))*((c_TMAP1OUT)-(0))+IF(((c_TMAP1OUT)-(0))&gt;=0,1,-1)*QUOTIENT(((c_TMAP1IN)-(c_TFWD)),2))+2147483648,4294967296)-2147483648,((c_TMAP1IN)-(c_TFWD))*(((C169)-(c_TFWD))*((c_TMAP1OUT)-(0))+IF(((c_TMAP1OUT)-(0))&gt;=0,1,-1)*QUOTIENT(((c_TMAP1IN)-(c_TFWD)),2)))&lt;0,-1,0),IF(IF(o_WRAP=1,MOD(((c_TMAP1IN)-(c_TFWD))*(((C169)-(c_TFWD))*((c_TMAP1OUT)-(0))+IF(((c_TMAP1OUT)-(0))&gt;=0,1,-1)*QUOTIENT(((c_TMAP1IN)-(c_TFWD)),2))+2147483648,4294967296)-2147483648,((c_TMAP1IN)-(c_TFWD))*(((C169)-(c_TFWD))*((c_TMAP1OUT)-(0))+IF(((c_TMAP1OUT)-(0))&gt;=0,1,-1)*QUOTIENT(((c_TMAP1IN)-(c_TFWD)),2)))&gt;=0,1,0)))</f>
        <v>255</v>
      </c>
      <c r="F169" s="7" t="n">
        <f aca="false">IF(((c_TMAP2IN)-(c_TMAP1IN))=0,(c_TMAP1OUT)+QUOTIENT(((c_TMAP2OUT)-(c_TMAP1OUT)),2),QUOTIENT((((C169)-(c_TMAP1IN))*((c_TMAP2OUT)-(c_TMAP1OUT))+IF(((c_TMAP2OUT)-(c_TMAP1OUT))&gt;=0,1,-1)*QUOTIENT(((c_TMAP2IN)-(c_TMAP1IN)),2)),((c_TMAP2IN)-(c_TMAP1IN)))+(c_TMAP1OUT)+IF(((c_TMAP2OUT)-(c_TMAP1OUT))&gt;=0,IF(IF(o_WRAP=1,MOD(((c_TMAP2IN)-(c_TMAP1IN))*(((C169)-(c_TMAP1IN))*((c_TMAP2OUT)-(c_TMAP1OUT))+IF(((c_TMAP2OUT)-(c_TMAP1OUT))&gt;=0,1,-1)*QUOTIENT(((c_TMAP2IN)-(c_TMAP1IN)),2))+2147483648,4294967296)-2147483648,((c_TMAP2IN)-(c_TMAP1IN))*(((C169)-(c_TMAP1IN))*((c_TMAP2OUT)-(c_TMAP1OUT))+IF(((c_TMAP2OUT)-(c_TMAP1OUT))&gt;=0,1,-1)*QUOTIENT(((c_TMAP2IN)-(c_TMAP1IN)),2)))&lt;0,-1,0),IF(IF(o_WRAP=1,MOD(((c_TMAP2IN)-(c_TMAP1IN))*(((C169)-(c_TMAP1IN))*((c_TMAP2OUT)-(c_TMAP1OUT))+IF(((c_TMAP2OUT)-(c_TMAP1OUT))&gt;=0,1,-1)*QUOTIENT(((c_TMAP2IN)-(c_TMAP1IN)),2))+2147483648,4294967296)-2147483648,((c_TMAP2IN)-(c_TMAP1IN))*(((C169)-(c_TMAP1IN))*((c_TMAP2OUT)-(c_TMAP1OUT))+IF(((c_TMAP2OUT)-(c_TMAP1OUT))&gt;=0,1,-1)*QUOTIENT(((c_TMAP2IN)-(c_TMAP1IN)),2)))&gt;=0,1,0)))</f>
        <v>165</v>
      </c>
      <c r="G169" s="7" t="n">
        <f aca="false">IF(((c_TMAP3IN)-(c_TMAP2IN))=0,(c_TMAP2OUT)+QUOTIENT(((c_TMAP3OUT)-(c_TMAP2OUT)),2),QUOTIENT((((C169)-(c_TMAP2IN))*((c_TMAP3OUT)-(c_TMAP2OUT))+IF(((c_TMAP3OUT)-(c_TMAP2OUT))&gt;=0,1,-1)*QUOTIENT(((c_TMAP3IN)-(c_TMAP2IN)),2)),((c_TMAP3IN)-(c_TMAP2IN)))+(c_TMAP2OUT)+IF(((c_TMAP3OUT)-(c_TMAP2OUT))&gt;=0,IF(IF(o_WRAP=1,MOD(((c_TMAP3IN)-(c_TMAP2IN))*(((C169)-(c_TMAP2IN))*((c_TMAP3OUT)-(c_TMAP2OUT))+IF(((c_TMAP3OUT)-(c_TMAP2OUT))&gt;=0,1,-1)*QUOTIENT(((c_TMAP3IN)-(c_TMAP2IN)),2))+2147483648,4294967296)-2147483648,((c_TMAP3IN)-(c_TMAP2IN))*(((C169)-(c_TMAP2IN))*((c_TMAP3OUT)-(c_TMAP2OUT))+IF(((c_TMAP3OUT)-(c_TMAP2OUT))&gt;=0,1,-1)*QUOTIENT(((c_TMAP3IN)-(c_TMAP2IN)),2)))&lt;0,-1,0),IF(IF(o_WRAP=1,MOD(((c_TMAP3IN)-(c_TMAP2IN))*(((C169)-(c_TMAP2IN))*((c_TMAP3OUT)-(c_TMAP2OUT))+IF(((c_TMAP3OUT)-(c_TMAP2OUT))&gt;=0,1,-1)*QUOTIENT(((c_TMAP3IN)-(c_TMAP2IN)),2))+2147483648,4294967296)-2147483648,((c_TMAP3IN)-(c_TMAP2IN))*(((C169)-(c_TMAP2IN))*((c_TMAP3OUT)-(c_TMAP2OUT))+IF(((c_TMAP3OUT)-(c_TMAP2OUT))&gt;=0,1,-1)*QUOTIENT(((c_TMAP3IN)-(c_TMAP2IN)),2)))&gt;=0,1,0)))</f>
        <v>192</v>
      </c>
      <c r="H169" s="7" t="n">
        <f aca="false">IF(((1000)-(c_TMAP3IN))=0,(c_TMAP3OUT)+QUOTIENT(((1000)-(c_TMAP3OUT)),2),QUOTIENT((((C169)-(c_TMAP3IN))*((1000)-(c_TMAP3OUT))+IF(((1000)-(c_TMAP3OUT))&gt;=0,1,-1)*QUOTIENT(((1000)-(c_TMAP3IN)),2)),((1000)-(c_TMAP3IN)))+(c_TMAP3OUT)+IF(((1000)-(c_TMAP3OUT))&gt;=0,IF(IF(o_WRAP=1,MOD(((1000)-(c_TMAP3IN))*(((C169)-(c_TMAP3IN))*((1000)-(c_TMAP3OUT))+IF(((1000)-(c_TMAP3OUT))&gt;=0,1,-1)*QUOTIENT(((1000)-(c_TMAP3IN)),2))+2147483648,4294967296)-2147483648,((1000)-(c_TMAP3IN))*(((C169)-(c_TMAP3IN))*((1000)-(c_TMAP3OUT))+IF(((1000)-(c_TMAP3OUT))&gt;=0,1,-1)*QUOTIENT(((1000)-(c_TMAP3IN)),2)))&lt;0,-1,0),IF(IF(o_WRAP=1,MOD(((1000)-(c_TMAP3IN))*(((C169)-(c_TMAP3IN))*((1000)-(c_TMAP3OUT))+IF(((1000)-(c_TMAP3OUT))&gt;=0,1,-1)*QUOTIENT(((1000)-(c_TMAP3IN)),2))+2147483648,4294967296)-2147483648,((1000)-(c_TMAP3IN))*(((C169)-(c_TMAP3IN))*((1000)-(c_TMAP3OUT))+IF(((1000)-(c_TMAP3OUT))&gt;=0,1,-1)*QUOTIENT(((1000)-(c_TMAP3IN)),2)))&gt;=0,1,0)))</f>
        <v>185</v>
      </c>
      <c r="I169" s="7" t="n">
        <f aca="false">IF(C169&gt;=c_TFWD,IF(AND(C169&gt;=c_TMAP3IN,c_TMAP3IN&lt;1000),H169,IF(AND(C169&gt;=c_TMAP2IN,c_TMAP3IN&gt;c_TMAP2IN),G169,IF(AND(C169&gt;=c_TMAP1IN,c_TMAP2IN&gt;c_TMAP1IN),F169,E169))),D169)</f>
        <v>192</v>
      </c>
      <c r="J169" s="7" t="str">
        <f aca="false">IF(I169&lt;-1090,"TOO LOW",IF(I169&gt;1090,"TOO HIGH",""))</f>
        <v/>
      </c>
      <c r="K169" s="7" t="n">
        <f aca="false">IF(J169&lt;&gt;"",0,IF(I169&gt;979,1000,I169))</f>
        <v>192</v>
      </c>
      <c r="L169" s="7" t="n">
        <f aca="false">IF(OR(c_TSMOOTH=0,K169&gt;=c_TSMOOTHCUT),1,0)</f>
        <v>0</v>
      </c>
      <c r="M169" s="7" t="n">
        <f aca="false">IF(L169=1,0,M168+1)</f>
        <v>83</v>
      </c>
      <c r="N169" s="7" t="n">
        <f aca="false">IF(L169=1,0,MIN(M169,c_TSMOOTH))</f>
        <v>30</v>
      </c>
      <c r="O169" s="7" t="n">
        <f aca="false">IF(COUNTIF($L$5:L169,1)&gt;0,c_TSMOOTHCUT,0)</f>
        <v>400</v>
      </c>
      <c r="P169" s="15" t="n">
        <f aca="true">IF(L169=1,K169,QUOTIENT(SUM(OFFSET(K169,1-N169,0,N169,1))+(c_TSMOOTH-N169)*O169,c_TSMOOTH))</f>
        <v>-124</v>
      </c>
      <c r="Q169" s="7" t="n">
        <f aca="false">K169/10</f>
        <v>19.2</v>
      </c>
      <c r="R169" s="7" t="n">
        <f aca="false">P169/10</f>
        <v>-12.4</v>
      </c>
    </row>
    <row r="170" customFormat="false" ht="15" hidden="false" customHeight="false" outlineLevel="0" collapsed="false">
      <c r="A170" s="7" t="n">
        <v>165</v>
      </c>
      <c r="B170" s="7" t="n">
        <f aca="false">A170*0.04</f>
        <v>6.6</v>
      </c>
      <c r="C170" s="18" t="n">
        <v>360</v>
      </c>
      <c r="D170" s="7" t="n">
        <f aca="false">IF(AND(C170=0,c_TCREEP&gt;0),10*c_TCREEP,IF(AND(C170&lt;=c_TRNGMIN,C170&gt;=c_TRNGMAX,c_TRNGMIN-c_TRNGMAX&lt;&gt;0),-10*c_TMINRN+QUOTIENT((c_TMAXRN-c_TMINRN)*(100-QUOTIENT((C170-c_TRNGMAX)*100,c_TRNGMIN-c_TRNGMAX)),-10),0))</f>
        <v>0</v>
      </c>
      <c r="E170" s="7" t="n">
        <f aca="false">IF(((c_TMAP1IN)-(c_TFWD))=0,(0)+QUOTIENT(((c_TMAP1OUT)-(0)),2),QUOTIENT((((C170)-(c_TFWD))*((c_TMAP1OUT)-(0))+IF(((c_TMAP1OUT)-(0))&gt;=0,1,-1)*QUOTIENT(((c_TMAP1IN)-(c_TFWD)),2)),((c_TMAP1IN)-(c_TFWD)))+(0)+IF(((c_TMAP1OUT)-(0))&gt;=0,IF(IF(o_WRAP=1,MOD(((c_TMAP1IN)-(c_TFWD))*(((C170)-(c_TFWD))*((c_TMAP1OUT)-(0))+IF(((c_TMAP1OUT)-(0))&gt;=0,1,-1)*QUOTIENT(((c_TMAP1IN)-(c_TFWD)),2))+2147483648,4294967296)-2147483648,((c_TMAP1IN)-(c_TFWD))*(((C170)-(c_TFWD))*((c_TMAP1OUT)-(0))+IF(((c_TMAP1OUT)-(0))&gt;=0,1,-1)*QUOTIENT(((c_TMAP1IN)-(c_TFWD)),2)))&lt;0,-1,0),IF(IF(o_WRAP=1,MOD(((c_TMAP1IN)-(c_TFWD))*(((C170)-(c_TFWD))*((c_TMAP1OUT)-(0))+IF(((c_TMAP1OUT)-(0))&gt;=0,1,-1)*QUOTIENT(((c_TMAP1IN)-(c_TFWD)),2))+2147483648,4294967296)-2147483648,((c_TMAP1IN)-(c_TFWD))*(((C170)-(c_TFWD))*((c_TMAP1OUT)-(0))+IF(((c_TMAP1OUT)-(0))&gt;=0,1,-1)*QUOTIENT(((c_TMAP1IN)-(c_TFWD)),2)))&gt;=0,1,0)))</f>
        <v>272</v>
      </c>
      <c r="F170" s="7" t="n">
        <f aca="false">IF(((c_TMAP2IN)-(c_TMAP1IN))=0,(c_TMAP1OUT)+QUOTIENT(((c_TMAP2OUT)-(c_TMAP1OUT)),2),QUOTIENT((((C170)-(c_TMAP1IN))*((c_TMAP2OUT)-(c_TMAP1OUT))+IF(((c_TMAP2OUT)-(c_TMAP1OUT))&gt;=0,1,-1)*QUOTIENT(((c_TMAP2IN)-(c_TMAP1IN)),2)),((c_TMAP2IN)-(c_TMAP1IN)))+(c_TMAP1OUT)+IF(((c_TMAP2OUT)-(c_TMAP1OUT))&gt;=0,IF(IF(o_WRAP=1,MOD(((c_TMAP2IN)-(c_TMAP1IN))*(((C170)-(c_TMAP1IN))*((c_TMAP2OUT)-(c_TMAP1OUT))+IF(((c_TMAP2OUT)-(c_TMAP1OUT))&gt;=0,1,-1)*QUOTIENT(((c_TMAP2IN)-(c_TMAP1IN)),2))+2147483648,4294967296)-2147483648,((c_TMAP2IN)-(c_TMAP1IN))*(((C170)-(c_TMAP1IN))*((c_TMAP2OUT)-(c_TMAP1OUT))+IF(((c_TMAP2OUT)-(c_TMAP1OUT))&gt;=0,1,-1)*QUOTIENT(((c_TMAP2IN)-(c_TMAP1IN)),2)))&lt;0,-1,0),IF(IF(o_WRAP=1,MOD(((c_TMAP2IN)-(c_TMAP1IN))*(((C170)-(c_TMAP1IN))*((c_TMAP2OUT)-(c_TMAP1OUT))+IF(((c_TMAP2OUT)-(c_TMAP1OUT))&gt;=0,1,-1)*QUOTIENT(((c_TMAP2IN)-(c_TMAP1IN)),2))+2147483648,4294967296)-2147483648,((c_TMAP2IN)-(c_TMAP1IN))*(((C170)-(c_TMAP1IN))*((c_TMAP2OUT)-(c_TMAP1OUT))+IF(((c_TMAP2OUT)-(c_TMAP1OUT))&gt;=0,1,-1)*QUOTIENT(((c_TMAP2IN)-(c_TMAP1IN)),2)))&gt;=0,1,0)))</f>
        <v>174</v>
      </c>
      <c r="G170" s="7" t="n">
        <f aca="false">IF(((c_TMAP3IN)-(c_TMAP2IN))=0,(c_TMAP2OUT)+QUOTIENT(((c_TMAP3OUT)-(c_TMAP2OUT)),2),QUOTIENT((((C170)-(c_TMAP2IN))*((c_TMAP3OUT)-(c_TMAP2OUT))+IF(((c_TMAP3OUT)-(c_TMAP2OUT))&gt;=0,1,-1)*QUOTIENT(((c_TMAP3IN)-(c_TMAP2IN)),2)),((c_TMAP3IN)-(c_TMAP2IN)))+(c_TMAP2OUT)+IF(((c_TMAP3OUT)-(c_TMAP2OUT))&gt;=0,IF(IF(o_WRAP=1,MOD(((c_TMAP3IN)-(c_TMAP2IN))*(((C170)-(c_TMAP2IN))*((c_TMAP3OUT)-(c_TMAP2OUT))+IF(((c_TMAP3OUT)-(c_TMAP2OUT))&gt;=0,1,-1)*QUOTIENT(((c_TMAP3IN)-(c_TMAP2IN)),2))+2147483648,4294967296)-2147483648,((c_TMAP3IN)-(c_TMAP2IN))*(((C170)-(c_TMAP2IN))*((c_TMAP3OUT)-(c_TMAP2OUT))+IF(((c_TMAP3OUT)-(c_TMAP2OUT))&gt;=0,1,-1)*QUOTIENT(((c_TMAP3IN)-(c_TMAP2IN)),2)))&lt;0,-1,0),IF(IF(o_WRAP=1,MOD(((c_TMAP3IN)-(c_TMAP2IN))*(((C170)-(c_TMAP2IN))*((c_TMAP3OUT)-(c_TMAP2OUT))+IF(((c_TMAP3OUT)-(c_TMAP2OUT))&gt;=0,1,-1)*QUOTIENT(((c_TMAP3IN)-(c_TMAP2IN)),2))+2147483648,4294967296)-2147483648,((c_TMAP3IN)-(c_TMAP2IN))*(((C170)-(c_TMAP2IN))*((c_TMAP3OUT)-(c_TMAP2OUT))+IF(((c_TMAP3OUT)-(c_TMAP2OUT))&gt;=0,1,-1)*QUOTIENT(((c_TMAP3IN)-(c_TMAP2IN)),2)))&gt;=0,1,0)))</f>
        <v>207</v>
      </c>
      <c r="H170" s="7" t="n">
        <f aca="false">IF(((1000)-(c_TMAP3IN))=0,(c_TMAP3OUT)+QUOTIENT(((1000)-(c_TMAP3OUT)),2),QUOTIENT((((C170)-(c_TMAP3IN))*((1000)-(c_TMAP3OUT))+IF(((1000)-(c_TMAP3OUT))&gt;=0,1,-1)*QUOTIENT(((1000)-(c_TMAP3IN)),2)),((1000)-(c_TMAP3IN)))+(c_TMAP3OUT)+IF(((1000)-(c_TMAP3OUT))&gt;=0,IF(IF(o_WRAP=1,MOD(((1000)-(c_TMAP3IN))*(((C170)-(c_TMAP3IN))*((1000)-(c_TMAP3OUT))+IF(((1000)-(c_TMAP3OUT))&gt;=0,1,-1)*QUOTIENT(((1000)-(c_TMAP3IN)),2))+2147483648,4294967296)-2147483648,((1000)-(c_TMAP3IN))*(((C170)-(c_TMAP3IN))*((1000)-(c_TMAP3OUT))+IF(((1000)-(c_TMAP3OUT))&gt;=0,1,-1)*QUOTIENT(((1000)-(c_TMAP3IN)),2)))&lt;0,-1,0),IF(IF(o_WRAP=1,MOD(((1000)-(c_TMAP3IN))*(((C170)-(c_TMAP3IN))*((1000)-(c_TMAP3OUT))+IF(((1000)-(c_TMAP3OUT))&gt;=0,1,-1)*QUOTIENT(((1000)-(c_TMAP3IN)),2))+2147483648,4294967296)-2147483648,((1000)-(c_TMAP3IN))*(((C170)-(c_TMAP3IN))*((1000)-(c_TMAP3OUT))+IF(((1000)-(c_TMAP3OUT))&gt;=0,1,-1)*QUOTIENT(((1000)-(c_TMAP3IN)),2)))&gt;=0,1,0)))</f>
        <v>212</v>
      </c>
      <c r="I170" s="7" t="n">
        <f aca="false">IF(C170&gt;=c_TFWD,IF(AND(C170&gt;=c_TMAP3IN,c_TMAP3IN&lt;1000),H170,IF(AND(C170&gt;=c_TMAP2IN,c_TMAP3IN&gt;c_TMAP2IN),G170,IF(AND(C170&gt;=c_TMAP1IN,c_TMAP2IN&gt;c_TMAP1IN),F170,E170))),D170)</f>
        <v>212</v>
      </c>
      <c r="J170" s="7" t="str">
        <f aca="false">IF(I170&lt;-1090,"TOO LOW",IF(I170&gt;1090,"TOO HIGH",""))</f>
        <v/>
      </c>
      <c r="K170" s="7" t="n">
        <f aca="false">IF(J170&lt;&gt;"",0,IF(I170&gt;979,1000,I170))</f>
        <v>212</v>
      </c>
      <c r="L170" s="7" t="n">
        <f aca="false">IF(OR(c_TSMOOTH=0,K170&gt;=c_TSMOOTHCUT),1,0)</f>
        <v>0</v>
      </c>
      <c r="M170" s="7" t="n">
        <f aca="false">IF(L170=1,0,M169+1)</f>
        <v>84</v>
      </c>
      <c r="N170" s="7" t="n">
        <f aca="false">IF(L170=1,0,MIN(M170,c_TSMOOTH))</f>
        <v>30</v>
      </c>
      <c r="O170" s="7" t="n">
        <f aca="false">IF(COUNTIF($L$5:L170,1)&gt;0,c_TSMOOTHCUT,0)</f>
        <v>400</v>
      </c>
      <c r="P170" s="15" t="n">
        <f aca="true">IF(L170=1,K170,QUOTIENT(SUM(OFFSET(K170,1-N170,0,N170,1))+(c_TSMOOTH-N170)*O170,c_TSMOOTH))</f>
        <v>-105</v>
      </c>
      <c r="Q170" s="7" t="n">
        <f aca="false">K170/10</f>
        <v>21.2</v>
      </c>
      <c r="R170" s="7" t="n">
        <f aca="false">P170/10</f>
        <v>-10.5</v>
      </c>
    </row>
    <row r="171" customFormat="false" ht="15" hidden="false" customHeight="false" outlineLevel="0" collapsed="false">
      <c r="A171" s="7" t="n">
        <v>166</v>
      </c>
      <c r="B171" s="7" t="n">
        <f aca="false">A171*0.04</f>
        <v>6.64</v>
      </c>
      <c r="C171" s="18" t="n">
        <v>382</v>
      </c>
      <c r="D171" s="7" t="n">
        <f aca="false">IF(AND(C171=0,c_TCREEP&gt;0),10*c_TCREEP,IF(AND(C171&lt;=c_TRNGMIN,C171&gt;=c_TRNGMAX,c_TRNGMIN-c_TRNGMAX&lt;&gt;0),-10*c_TMINRN+QUOTIENT((c_TMAXRN-c_TMINRN)*(100-QUOTIENT((C171-c_TRNGMAX)*100,c_TRNGMIN-c_TRNGMAX)),-10),0))</f>
        <v>0</v>
      </c>
      <c r="E171" s="7" t="n">
        <f aca="false">IF(((c_TMAP1IN)-(c_TFWD))=0,(0)+QUOTIENT(((c_TMAP1OUT)-(0)),2),QUOTIENT((((C171)-(c_TFWD))*((c_TMAP1OUT)-(0))+IF(((c_TMAP1OUT)-(0))&gt;=0,1,-1)*QUOTIENT(((c_TMAP1IN)-(c_TFWD)),2)),((c_TMAP1IN)-(c_TFWD)))+(0)+IF(((c_TMAP1OUT)-(0))&gt;=0,IF(IF(o_WRAP=1,MOD(((c_TMAP1IN)-(c_TFWD))*(((C171)-(c_TFWD))*((c_TMAP1OUT)-(0))+IF(((c_TMAP1OUT)-(0))&gt;=0,1,-1)*QUOTIENT(((c_TMAP1IN)-(c_TFWD)),2))+2147483648,4294967296)-2147483648,((c_TMAP1IN)-(c_TFWD))*(((C171)-(c_TFWD))*((c_TMAP1OUT)-(0))+IF(((c_TMAP1OUT)-(0))&gt;=0,1,-1)*QUOTIENT(((c_TMAP1IN)-(c_TFWD)),2)))&lt;0,-1,0),IF(IF(o_WRAP=1,MOD(((c_TMAP1IN)-(c_TFWD))*(((C171)-(c_TFWD))*((c_TMAP1OUT)-(0))+IF(((c_TMAP1OUT)-(0))&gt;=0,1,-1)*QUOTIENT(((c_TMAP1IN)-(c_TFWD)),2))+2147483648,4294967296)-2147483648,((c_TMAP1IN)-(c_TFWD))*(((C171)-(c_TFWD))*((c_TMAP1OUT)-(0))+IF(((c_TMAP1OUT)-(0))&gt;=0,1,-1)*QUOTIENT(((c_TMAP1IN)-(c_TFWD)),2)))&gt;=0,1,0)))</f>
        <v>289</v>
      </c>
      <c r="F171" s="7" t="n">
        <f aca="false">IF(((c_TMAP2IN)-(c_TMAP1IN))=0,(c_TMAP1OUT)+QUOTIENT(((c_TMAP2OUT)-(c_TMAP1OUT)),2),QUOTIENT((((C171)-(c_TMAP1IN))*((c_TMAP2OUT)-(c_TMAP1OUT))+IF(((c_TMAP2OUT)-(c_TMAP1OUT))&gt;=0,1,-1)*QUOTIENT(((c_TMAP2IN)-(c_TMAP1IN)),2)),((c_TMAP2IN)-(c_TMAP1IN)))+(c_TMAP1OUT)+IF(((c_TMAP2OUT)-(c_TMAP1OUT))&gt;=0,IF(IF(o_WRAP=1,MOD(((c_TMAP2IN)-(c_TMAP1IN))*(((C171)-(c_TMAP1IN))*((c_TMAP2OUT)-(c_TMAP1OUT))+IF(((c_TMAP2OUT)-(c_TMAP1OUT))&gt;=0,1,-1)*QUOTIENT(((c_TMAP2IN)-(c_TMAP1IN)),2))+2147483648,4294967296)-2147483648,((c_TMAP2IN)-(c_TMAP1IN))*(((C171)-(c_TMAP1IN))*((c_TMAP2OUT)-(c_TMAP1OUT))+IF(((c_TMAP2OUT)-(c_TMAP1OUT))&gt;=0,1,-1)*QUOTIENT(((c_TMAP2IN)-(c_TMAP1IN)),2)))&lt;0,-1,0),IF(IF(o_WRAP=1,MOD(((c_TMAP2IN)-(c_TMAP1IN))*(((C171)-(c_TMAP1IN))*((c_TMAP2OUT)-(c_TMAP1OUT))+IF(((c_TMAP2OUT)-(c_TMAP1OUT))&gt;=0,1,-1)*QUOTIENT(((c_TMAP2IN)-(c_TMAP1IN)),2))+2147483648,4294967296)-2147483648,((c_TMAP2IN)-(c_TMAP1IN))*(((C171)-(c_TMAP1IN))*((c_TMAP2OUT)-(c_TMAP1OUT))+IF(((c_TMAP2OUT)-(c_TMAP1OUT))&gt;=0,1,-1)*QUOTIENT(((c_TMAP2IN)-(c_TMAP1IN)),2)))&gt;=0,1,0)))</f>
        <v>183</v>
      </c>
      <c r="G171" s="7" t="n">
        <f aca="false">IF(((c_TMAP3IN)-(c_TMAP2IN))=0,(c_TMAP2OUT)+QUOTIENT(((c_TMAP3OUT)-(c_TMAP2OUT)),2),QUOTIENT((((C171)-(c_TMAP2IN))*((c_TMAP3OUT)-(c_TMAP2OUT))+IF(((c_TMAP3OUT)-(c_TMAP2OUT))&gt;=0,1,-1)*QUOTIENT(((c_TMAP3IN)-(c_TMAP2IN)),2)),((c_TMAP3IN)-(c_TMAP2IN)))+(c_TMAP2OUT)+IF(((c_TMAP3OUT)-(c_TMAP2OUT))&gt;=0,IF(IF(o_WRAP=1,MOD(((c_TMAP3IN)-(c_TMAP2IN))*(((C171)-(c_TMAP2IN))*((c_TMAP3OUT)-(c_TMAP2OUT))+IF(((c_TMAP3OUT)-(c_TMAP2OUT))&gt;=0,1,-1)*QUOTIENT(((c_TMAP3IN)-(c_TMAP2IN)),2))+2147483648,4294967296)-2147483648,((c_TMAP3IN)-(c_TMAP2IN))*(((C171)-(c_TMAP2IN))*((c_TMAP3OUT)-(c_TMAP2OUT))+IF(((c_TMAP3OUT)-(c_TMAP2OUT))&gt;=0,1,-1)*QUOTIENT(((c_TMAP3IN)-(c_TMAP2IN)),2)))&lt;0,-1,0),IF(IF(o_WRAP=1,MOD(((c_TMAP3IN)-(c_TMAP2IN))*(((C171)-(c_TMAP2IN))*((c_TMAP3OUT)-(c_TMAP2OUT))+IF(((c_TMAP3OUT)-(c_TMAP2OUT))&gt;=0,1,-1)*QUOTIENT(((c_TMAP3IN)-(c_TMAP2IN)),2))+2147483648,4294967296)-2147483648,((c_TMAP3IN)-(c_TMAP2IN))*(((C171)-(c_TMAP2IN))*((c_TMAP3OUT)-(c_TMAP2OUT))+IF(((c_TMAP3OUT)-(c_TMAP2OUT))&gt;=0,1,-1)*QUOTIENT(((c_TMAP3IN)-(c_TMAP2IN)),2)))&gt;=0,1,0)))</f>
        <v>222</v>
      </c>
      <c r="H171" s="7" t="n">
        <f aca="false">IF(((1000)-(c_TMAP3IN))=0,(c_TMAP3OUT)+QUOTIENT(((1000)-(c_TMAP3OUT)),2),QUOTIENT((((C171)-(c_TMAP3IN))*((1000)-(c_TMAP3OUT))+IF(((1000)-(c_TMAP3OUT))&gt;=0,1,-1)*QUOTIENT(((1000)-(c_TMAP3IN)),2)),((1000)-(c_TMAP3IN)))+(c_TMAP3OUT)+IF(((1000)-(c_TMAP3OUT))&gt;=0,IF(IF(o_WRAP=1,MOD(((1000)-(c_TMAP3IN))*(((C171)-(c_TMAP3IN))*((1000)-(c_TMAP3OUT))+IF(((1000)-(c_TMAP3OUT))&gt;=0,1,-1)*QUOTIENT(((1000)-(c_TMAP3IN)),2))+2147483648,4294967296)-2147483648,((1000)-(c_TMAP3IN))*(((C171)-(c_TMAP3IN))*((1000)-(c_TMAP3OUT))+IF(((1000)-(c_TMAP3OUT))&gt;=0,1,-1)*QUOTIENT(((1000)-(c_TMAP3IN)),2)))&lt;0,-1,0),IF(IF(o_WRAP=1,MOD(((1000)-(c_TMAP3IN))*(((C171)-(c_TMAP3IN))*((1000)-(c_TMAP3OUT))+IF(((1000)-(c_TMAP3OUT))&gt;=0,1,-1)*QUOTIENT(((1000)-(c_TMAP3IN)),2))+2147483648,4294967296)-2147483648,((1000)-(c_TMAP3IN))*(((C171)-(c_TMAP3IN))*((1000)-(c_TMAP3OUT))+IF(((1000)-(c_TMAP3OUT))&gt;=0,1,-1)*QUOTIENT(((1000)-(c_TMAP3IN)),2)))&gt;=0,1,0)))</f>
        <v>239</v>
      </c>
      <c r="I171" s="7" t="n">
        <f aca="false">IF(C171&gt;=c_TFWD,IF(AND(C171&gt;=c_TMAP3IN,c_TMAP3IN&lt;1000),H171,IF(AND(C171&gt;=c_TMAP2IN,c_TMAP3IN&gt;c_TMAP2IN),G171,IF(AND(C171&gt;=c_TMAP1IN,c_TMAP2IN&gt;c_TMAP1IN),F171,E171))),D171)</f>
        <v>239</v>
      </c>
      <c r="J171" s="7" t="str">
        <f aca="false">IF(I171&lt;-1090,"TOO LOW",IF(I171&gt;1090,"TOO HIGH",""))</f>
        <v/>
      </c>
      <c r="K171" s="7" t="n">
        <f aca="false">IF(J171&lt;&gt;"",0,IF(I171&gt;979,1000,I171))</f>
        <v>239</v>
      </c>
      <c r="L171" s="7" t="n">
        <f aca="false">IF(OR(c_TSMOOTH=0,K171&gt;=c_TSMOOTHCUT),1,0)</f>
        <v>0</v>
      </c>
      <c r="M171" s="7" t="n">
        <f aca="false">IF(L171=1,0,M170+1)</f>
        <v>85</v>
      </c>
      <c r="N171" s="7" t="n">
        <f aca="false">IF(L171=1,0,MIN(M171,c_TSMOOTH))</f>
        <v>30</v>
      </c>
      <c r="O171" s="7" t="n">
        <f aca="false">IF(COUNTIF($L$5:L171,1)&gt;0,c_TSMOOTHCUT,0)</f>
        <v>400</v>
      </c>
      <c r="P171" s="15" t="n">
        <f aca="true">IF(L171=1,K171,QUOTIENT(SUM(OFFSET(K171,1-N171,0,N171,1))+(c_TSMOOTH-N171)*O171,c_TSMOOTH))</f>
        <v>-85</v>
      </c>
      <c r="Q171" s="7" t="n">
        <f aca="false">K171/10</f>
        <v>23.9</v>
      </c>
      <c r="R171" s="7" t="n">
        <f aca="false">P171/10</f>
        <v>-8.5</v>
      </c>
    </row>
    <row r="172" customFormat="false" ht="15" hidden="false" customHeight="false" outlineLevel="0" collapsed="false">
      <c r="A172" s="7" t="n">
        <v>167</v>
      </c>
      <c r="B172" s="7" t="n">
        <f aca="false">A172*0.04</f>
        <v>6.68</v>
      </c>
      <c r="C172" s="18" t="n">
        <v>405</v>
      </c>
      <c r="D172" s="7" t="n">
        <f aca="false">IF(AND(C172=0,c_TCREEP&gt;0),10*c_TCREEP,IF(AND(C172&lt;=c_TRNGMIN,C172&gt;=c_TRNGMAX,c_TRNGMIN-c_TRNGMAX&lt;&gt;0),-10*c_TMINRN+QUOTIENT((c_TMAXRN-c_TMINRN)*(100-QUOTIENT((C172-c_TRNGMAX)*100,c_TRNGMIN-c_TRNGMAX)),-10),0))</f>
        <v>0</v>
      </c>
      <c r="E172" s="7" t="n">
        <f aca="false">IF(((c_TMAP1IN)-(c_TFWD))=0,(0)+QUOTIENT(((c_TMAP1OUT)-(0)),2),QUOTIENT((((C172)-(c_TFWD))*((c_TMAP1OUT)-(0))+IF(((c_TMAP1OUT)-(0))&gt;=0,1,-1)*QUOTIENT(((c_TMAP1IN)-(c_TFWD)),2)),((c_TMAP1IN)-(c_TFWD)))+(0)+IF(((c_TMAP1OUT)-(0))&gt;=0,IF(IF(o_WRAP=1,MOD(((c_TMAP1IN)-(c_TFWD))*(((C172)-(c_TFWD))*((c_TMAP1OUT)-(0))+IF(((c_TMAP1OUT)-(0))&gt;=0,1,-1)*QUOTIENT(((c_TMAP1IN)-(c_TFWD)),2))+2147483648,4294967296)-2147483648,((c_TMAP1IN)-(c_TFWD))*(((C172)-(c_TFWD))*((c_TMAP1OUT)-(0))+IF(((c_TMAP1OUT)-(0))&gt;=0,1,-1)*QUOTIENT(((c_TMAP1IN)-(c_TFWD)),2)))&lt;0,-1,0),IF(IF(o_WRAP=1,MOD(((c_TMAP1IN)-(c_TFWD))*(((C172)-(c_TFWD))*((c_TMAP1OUT)-(0))+IF(((c_TMAP1OUT)-(0))&gt;=0,1,-1)*QUOTIENT(((c_TMAP1IN)-(c_TFWD)),2))+2147483648,4294967296)-2147483648,((c_TMAP1IN)-(c_TFWD))*(((C172)-(c_TFWD))*((c_TMAP1OUT)-(0))+IF(((c_TMAP1OUT)-(0))&gt;=0,1,-1)*QUOTIENT(((c_TMAP1IN)-(c_TFWD)),2)))&gt;=0,1,0)))</f>
        <v>307</v>
      </c>
      <c r="F172" s="7" t="n">
        <f aca="false">IF(((c_TMAP2IN)-(c_TMAP1IN))=0,(c_TMAP1OUT)+QUOTIENT(((c_TMAP2OUT)-(c_TMAP1OUT)),2),QUOTIENT((((C172)-(c_TMAP1IN))*((c_TMAP2OUT)-(c_TMAP1OUT))+IF(((c_TMAP2OUT)-(c_TMAP1OUT))&gt;=0,1,-1)*QUOTIENT(((c_TMAP2IN)-(c_TMAP1IN)),2)),((c_TMAP2IN)-(c_TMAP1IN)))+(c_TMAP1OUT)+IF(((c_TMAP2OUT)-(c_TMAP1OUT))&gt;=0,IF(IF(o_WRAP=1,MOD(((c_TMAP2IN)-(c_TMAP1IN))*(((C172)-(c_TMAP1IN))*((c_TMAP2OUT)-(c_TMAP1OUT))+IF(((c_TMAP2OUT)-(c_TMAP1OUT))&gt;=0,1,-1)*QUOTIENT(((c_TMAP2IN)-(c_TMAP1IN)),2))+2147483648,4294967296)-2147483648,((c_TMAP2IN)-(c_TMAP1IN))*(((C172)-(c_TMAP1IN))*((c_TMAP2OUT)-(c_TMAP1OUT))+IF(((c_TMAP2OUT)-(c_TMAP1OUT))&gt;=0,1,-1)*QUOTIENT(((c_TMAP2IN)-(c_TMAP1IN)),2)))&lt;0,-1,0),IF(IF(o_WRAP=1,MOD(((c_TMAP2IN)-(c_TMAP1IN))*(((C172)-(c_TMAP1IN))*((c_TMAP2OUT)-(c_TMAP1OUT))+IF(((c_TMAP2OUT)-(c_TMAP1OUT))&gt;=0,1,-1)*QUOTIENT(((c_TMAP2IN)-(c_TMAP1IN)),2))+2147483648,4294967296)-2147483648,((c_TMAP2IN)-(c_TMAP1IN))*(((C172)-(c_TMAP1IN))*((c_TMAP2OUT)-(c_TMAP1OUT))+IF(((c_TMAP2OUT)-(c_TMAP1OUT))&gt;=0,1,-1)*QUOTIENT(((c_TMAP2IN)-(c_TMAP1IN)),2)))&gt;=0,1,0)))</f>
        <v>192</v>
      </c>
      <c r="G172" s="7" t="n">
        <f aca="false">IF(((c_TMAP3IN)-(c_TMAP2IN))=0,(c_TMAP2OUT)+QUOTIENT(((c_TMAP3OUT)-(c_TMAP2OUT)),2),QUOTIENT((((C172)-(c_TMAP2IN))*((c_TMAP3OUT)-(c_TMAP2OUT))+IF(((c_TMAP3OUT)-(c_TMAP2OUT))&gt;=0,1,-1)*QUOTIENT(((c_TMAP3IN)-(c_TMAP2IN)),2)),((c_TMAP3IN)-(c_TMAP2IN)))+(c_TMAP2OUT)+IF(((c_TMAP3OUT)-(c_TMAP2OUT))&gt;=0,IF(IF(o_WRAP=1,MOD(((c_TMAP3IN)-(c_TMAP2IN))*(((C172)-(c_TMAP2IN))*((c_TMAP3OUT)-(c_TMAP2OUT))+IF(((c_TMAP3OUT)-(c_TMAP2OUT))&gt;=0,1,-1)*QUOTIENT(((c_TMAP3IN)-(c_TMAP2IN)),2))+2147483648,4294967296)-2147483648,((c_TMAP3IN)-(c_TMAP2IN))*(((C172)-(c_TMAP2IN))*((c_TMAP3OUT)-(c_TMAP2OUT))+IF(((c_TMAP3OUT)-(c_TMAP2OUT))&gt;=0,1,-1)*QUOTIENT(((c_TMAP3IN)-(c_TMAP2IN)),2)))&lt;0,-1,0),IF(IF(o_WRAP=1,MOD(((c_TMAP3IN)-(c_TMAP2IN))*(((C172)-(c_TMAP2IN))*((c_TMAP3OUT)-(c_TMAP2OUT))+IF(((c_TMAP3OUT)-(c_TMAP2OUT))&gt;=0,1,-1)*QUOTIENT(((c_TMAP3IN)-(c_TMAP2IN)),2))+2147483648,4294967296)-2147483648,((c_TMAP3IN)-(c_TMAP2IN))*(((C172)-(c_TMAP2IN))*((c_TMAP3OUT)-(c_TMAP2OUT))+IF(((c_TMAP3OUT)-(c_TMAP2OUT))&gt;=0,1,-1)*QUOTIENT(((c_TMAP3IN)-(c_TMAP2IN)),2)))&gt;=0,1,0)))</f>
        <v>239</v>
      </c>
      <c r="H172" s="7" t="n">
        <f aca="false">IF(((1000)-(c_TMAP3IN))=0,(c_TMAP3OUT)+QUOTIENT(((1000)-(c_TMAP3OUT)),2),QUOTIENT((((C172)-(c_TMAP3IN))*((1000)-(c_TMAP3OUT))+IF(((1000)-(c_TMAP3OUT))&gt;=0,1,-1)*QUOTIENT(((1000)-(c_TMAP3IN)),2)),((1000)-(c_TMAP3IN)))+(c_TMAP3OUT)+IF(((1000)-(c_TMAP3OUT))&gt;=0,IF(IF(o_WRAP=1,MOD(((1000)-(c_TMAP3IN))*(((C172)-(c_TMAP3IN))*((1000)-(c_TMAP3OUT))+IF(((1000)-(c_TMAP3OUT))&gt;=0,1,-1)*QUOTIENT(((1000)-(c_TMAP3IN)),2))+2147483648,4294967296)-2147483648,((1000)-(c_TMAP3IN))*(((C172)-(c_TMAP3IN))*((1000)-(c_TMAP3OUT))+IF(((1000)-(c_TMAP3OUT))&gt;=0,1,-1)*QUOTIENT(((1000)-(c_TMAP3IN)),2)))&lt;0,-1,0),IF(IF(o_WRAP=1,MOD(((1000)-(c_TMAP3IN))*(((C172)-(c_TMAP3IN))*((1000)-(c_TMAP3OUT))+IF(((1000)-(c_TMAP3OUT))&gt;=0,1,-1)*QUOTIENT(((1000)-(c_TMAP3IN)),2))+2147483648,4294967296)-2147483648,((1000)-(c_TMAP3IN))*(((C172)-(c_TMAP3IN))*((1000)-(c_TMAP3OUT))+IF(((1000)-(c_TMAP3OUT))&gt;=0,1,-1)*QUOTIENT(((1000)-(c_TMAP3IN)),2)))&gt;=0,1,0)))</f>
        <v>268</v>
      </c>
      <c r="I172" s="7" t="n">
        <f aca="false">IF(C172&gt;=c_TFWD,IF(AND(C172&gt;=c_TMAP3IN,c_TMAP3IN&lt;1000),H172,IF(AND(C172&gt;=c_TMAP2IN,c_TMAP3IN&gt;c_TMAP2IN),G172,IF(AND(C172&gt;=c_TMAP1IN,c_TMAP2IN&gt;c_TMAP1IN),F172,E172))),D172)</f>
        <v>268</v>
      </c>
      <c r="J172" s="7" t="str">
        <f aca="false">IF(I172&lt;-1090,"TOO LOW",IF(I172&gt;1090,"TOO HIGH",""))</f>
        <v/>
      </c>
      <c r="K172" s="7" t="n">
        <f aca="false">IF(J172&lt;&gt;"",0,IF(I172&gt;979,1000,I172))</f>
        <v>268</v>
      </c>
      <c r="L172" s="7" t="n">
        <f aca="false">IF(OR(c_TSMOOTH=0,K172&gt;=c_TSMOOTHCUT),1,0)</f>
        <v>0</v>
      </c>
      <c r="M172" s="7" t="n">
        <f aca="false">IF(L172=1,0,M171+1)</f>
        <v>86</v>
      </c>
      <c r="N172" s="7" t="n">
        <f aca="false">IF(L172=1,0,MIN(M172,c_TSMOOTH))</f>
        <v>30</v>
      </c>
      <c r="O172" s="7" t="n">
        <f aca="false">IF(COUNTIF($L$5:L172,1)&gt;0,c_TSMOOTHCUT,0)</f>
        <v>400</v>
      </c>
      <c r="P172" s="15" t="n">
        <f aca="true">IF(L172=1,K172,QUOTIENT(SUM(OFFSET(K172,1-N172,0,N172,1))+(c_TSMOOTH-N172)*O172,c_TSMOOTH))</f>
        <v>-65</v>
      </c>
      <c r="Q172" s="7" t="n">
        <f aca="false">K172/10</f>
        <v>26.8</v>
      </c>
      <c r="R172" s="7" t="n">
        <f aca="false">P172/10</f>
        <v>-6.5</v>
      </c>
    </row>
    <row r="173" customFormat="false" ht="15" hidden="false" customHeight="false" outlineLevel="0" collapsed="false">
      <c r="A173" s="7" t="n">
        <v>168</v>
      </c>
      <c r="B173" s="7" t="n">
        <f aca="false">A173*0.04</f>
        <v>6.72</v>
      </c>
      <c r="C173" s="18" t="n">
        <v>428</v>
      </c>
      <c r="D173" s="7" t="n">
        <f aca="false">IF(AND(C173=0,c_TCREEP&gt;0),10*c_TCREEP,IF(AND(C173&lt;=c_TRNGMIN,C173&gt;=c_TRNGMAX,c_TRNGMIN-c_TRNGMAX&lt;&gt;0),-10*c_TMINRN+QUOTIENT((c_TMAXRN-c_TMINRN)*(100-QUOTIENT((C173-c_TRNGMAX)*100,c_TRNGMIN-c_TRNGMAX)),-10),0))</f>
        <v>0</v>
      </c>
      <c r="E173" s="7" t="n">
        <f aca="false">IF(((c_TMAP1IN)-(c_TFWD))=0,(0)+QUOTIENT(((c_TMAP1OUT)-(0)),2),QUOTIENT((((C173)-(c_TFWD))*((c_TMAP1OUT)-(0))+IF(((c_TMAP1OUT)-(0))&gt;=0,1,-1)*QUOTIENT(((c_TMAP1IN)-(c_TFWD)),2)),((c_TMAP1IN)-(c_TFWD)))+(0)+IF(((c_TMAP1OUT)-(0))&gt;=0,IF(IF(o_WRAP=1,MOD(((c_TMAP1IN)-(c_TFWD))*(((C173)-(c_TFWD))*((c_TMAP1OUT)-(0))+IF(((c_TMAP1OUT)-(0))&gt;=0,1,-1)*QUOTIENT(((c_TMAP1IN)-(c_TFWD)),2))+2147483648,4294967296)-2147483648,((c_TMAP1IN)-(c_TFWD))*(((C173)-(c_TFWD))*((c_TMAP1OUT)-(0))+IF(((c_TMAP1OUT)-(0))&gt;=0,1,-1)*QUOTIENT(((c_TMAP1IN)-(c_TFWD)),2)))&lt;0,-1,0),IF(IF(o_WRAP=1,MOD(((c_TMAP1IN)-(c_TFWD))*(((C173)-(c_TFWD))*((c_TMAP1OUT)-(0))+IF(((c_TMAP1OUT)-(0))&gt;=0,1,-1)*QUOTIENT(((c_TMAP1IN)-(c_TFWD)),2))+2147483648,4294967296)-2147483648,((c_TMAP1IN)-(c_TFWD))*(((C173)-(c_TFWD))*((c_TMAP1OUT)-(0))+IF(((c_TMAP1OUT)-(0))&gt;=0,1,-1)*QUOTIENT(((c_TMAP1IN)-(c_TFWD)),2)))&gt;=0,1,0)))</f>
        <v>325</v>
      </c>
      <c r="F173" s="7" t="n">
        <f aca="false">IF(((c_TMAP2IN)-(c_TMAP1IN))=0,(c_TMAP1OUT)+QUOTIENT(((c_TMAP2OUT)-(c_TMAP1OUT)),2),QUOTIENT((((C173)-(c_TMAP1IN))*((c_TMAP2OUT)-(c_TMAP1OUT))+IF(((c_TMAP2OUT)-(c_TMAP1OUT))&gt;=0,1,-1)*QUOTIENT(((c_TMAP2IN)-(c_TMAP1IN)),2)),((c_TMAP2IN)-(c_TMAP1IN)))+(c_TMAP1OUT)+IF(((c_TMAP2OUT)-(c_TMAP1OUT))&gt;=0,IF(IF(o_WRAP=1,MOD(((c_TMAP2IN)-(c_TMAP1IN))*(((C173)-(c_TMAP1IN))*((c_TMAP2OUT)-(c_TMAP1OUT))+IF(((c_TMAP2OUT)-(c_TMAP1OUT))&gt;=0,1,-1)*QUOTIENT(((c_TMAP2IN)-(c_TMAP1IN)),2))+2147483648,4294967296)-2147483648,((c_TMAP2IN)-(c_TMAP1IN))*(((C173)-(c_TMAP1IN))*((c_TMAP2OUT)-(c_TMAP1OUT))+IF(((c_TMAP2OUT)-(c_TMAP1OUT))&gt;=0,1,-1)*QUOTIENT(((c_TMAP2IN)-(c_TMAP1IN)),2)))&lt;0,-1,0),IF(IF(o_WRAP=1,MOD(((c_TMAP2IN)-(c_TMAP1IN))*(((C173)-(c_TMAP1IN))*((c_TMAP2OUT)-(c_TMAP1OUT))+IF(((c_TMAP2OUT)-(c_TMAP1OUT))&gt;=0,1,-1)*QUOTIENT(((c_TMAP2IN)-(c_TMAP1IN)),2))+2147483648,4294967296)-2147483648,((c_TMAP2IN)-(c_TMAP1IN))*(((C173)-(c_TMAP1IN))*((c_TMAP2OUT)-(c_TMAP1OUT))+IF(((c_TMAP2OUT)-(c_TMAP1OUT))&gt;=0,1,-1)*QUOTIENT(((c_TMAP2IN)-(c_TMAP1IN)),2)))&gt;=0,1,0)))</f>
        <v>201</v>
      </c>
      <c r="G173" s="7" t="n">
        <f aca="false">IF(((c_TMAP3IN)-(c_TMAP2IN))=0,(c_TMAP2OUT)+QUOTIENT(((c_TMAP3OUT)-(c_TMAP2OUT)),2),QUOTIENT((((C173)-(c_TMAP2IN))*((c_TMAP3OUT)-(c_TMAP2OUT))+IF(((c_TMAP3OUT)-(c_TMAP2OUT))&gt;=0,1,-1)*QUOTIENT(((c_TMAP3IN)-(c_TMAP2IN)),2)),((c_TMAP3IN)-(c_TMAP2IN)))+(c_TMAP2OUT)+IF(((c_TMAP3OUT)-(c_TMAP2OUT))&gt;=0,IF(IF(o_WRAP=1,MOD(((c_TMAP3IN)-(c_TMAP2IN))*(((C173)-(c_TMAP2IN))*((c_TMAP3OUT)-(c_TMAP2OUT))+IF(((c_TMAP3OUT)-(c_TMAP2OUT))&gt;=0,1,-1)*QUOTIENT(((c_TMAP3IN)-(c_TMAP2IN)),2))+2147483648,4294967296)-2147483648,((c_TMAP3IN)-(c_TMAP2IN))*(((C173)-(c_TMAP2IN))*((c_TMAP3OUT)-(c_TMAP2OUT))+IF(((c_TMAP3OUT)-(c_TMAP2OUT))&gt;=0,1,-1)*QUOTIENT(((c_TMAP3IN)-(c_TMAP2IN)),2)))&lt;0,-1,0),IF(IF(o_WRAP=1,MOD(((c_TMAP3IN)-(c_TMAP2IN))*(((C173)-(c_TMAP2IN))*((c_TMAP3OUT)-(c_TMAP2OUT))+IF(((c_TMAP3OUT)-(c_TMAP2OUT))&gt;=0,1,-1)*QUOTIENT(((c_TMAP3IN)-(c_TMAP2IN)),2))+2147483648,4294967296)-2147483648,((c_TMAP3IN)-(c_TMAP2IN))*(((C173)-(c_TMAP2IN))*((c_TMAP3OUT)-(c_TMAP2OUT))+IF(((c_TMAP3OUT)-(c_TMAP2OUT))&gt;=0,1,-1)*QUOTIENT(((c_TMAP3IN)-(c_TMAP2IN)),2)))&gt;=0,1,0)))</f>
        <v>255</v>
      </c>
      <c r="H173" s="7" t="n">
        <f aca="false">IF(((1000)-(c_TMAP3IN))=0,(c_TMAP3OUT)+QUOTIENT(((1000)-(c_TMAP3OUT)),2),QUOTIENT((((C173)-(c_TMAP3IN))*((1000)-(c_TMAP3OUT))+IF(((1000)-(c_TMAP3OUT))&gt;=0,1,-1)*QUOTIENT(((1000)-(c_TMAP3IN)),2)),((1000)-(c_TMAP3IN)))+(c_TMAP3OUT)+IF(((1000)-(c_TMAP3OUT))&gt;=0,IF(IF(o_WRAP=1,MOD(((1000)-(c_TMAP3IN))*(((C173)-(c_TMAP3IN))*((1000)-(c_TMAP3OUT))+IF(((1000)-(c_TMAP3OUT))&gt;=0,1,-1)*QUOTIENT(((1000)-(c_TMAP3IN)),2))+2147483648,4294967296)-2147483648,((1000)-(c_TMAP3IN))*(((C173)-(c_TMAP3IN))*((1000)-(c_TMAP3OUT))+IF(((1000)-(c_TMAP3OUT))&gt;=0,1,-1)*QUOTIENT(((1000)-(c_TMAP3IN)),2)))&lt;0,-1,0),IF(IF(o_WRAP=1,MOD(((1000)-(c_TMAP3IN))*(((C173)-(c_TMAP3IN))*((1000)-(c_TMAP3OUT))+IF(((1000)-(c_TMAP3OUT))&gt;=0,1,-1)*QUOTIENT(((1000)-(c_TMAP3IN)),2))+2147483648,4294967296)-2147483648,((1000)-(c_TMAP3IN))*(((C173)-(c_TMAP3IN))*((1000)-(c_TMAP3OUT))+IF(((1000)-(c_TMAP3OUT))&gt;=0,1,-1)*QUOTIENT(((1000)-(c_TMAP3IN)),2)))&gt;=0,1,0)))</f>
        <v>296</v>
      </c>
      <c r="I173" s="7" t="n">
        <f aca="false">IF(C173&gt;=c_TFWD,IF(AND(C173&gt;=c_TMAP3IN,c_TMAP3IN&lt;1000),H173,IF(AND(C173&gt;=c_TMAP2IN,c_TMAP3IN&gt;c_TMAP2IN),G173,IF(AND(C173&gt;=c_TMAP1IN,c_TMAP2IN&gt;c_TMAP1IN),F173,E173))),D173)</f>
        <v>296</v>
      </c>
      <c r="J173" s="7" t="str">
        <f aca="false">IF(I173&lt;-1090,"TOO LOW",IF(I173&gt;1090,"TOO HIGH",""))</f>
        <v/>
      </c>
      <c r="K173" s="7" t="n">
        <f aca="false">IF(J173&lt;&gt;"",0,IF(I173&gt;979,1000,I173))</f>
        <v>296</v>
      </c>
      <c r="L173" s="7" t="n">
        <f aca="false">IF(OR(c_TSMOOTH=0,K173&gt;=c_TSMOOTHCUT),1,0)</f>
        <v>0</v>
      </c>
      <c r="M173" s="7" t="n">
        <f aca="false">IF(L173=1,0,M172+1)</f>
        <v>87</v>
      </c>
      <c r="N173" s="7" t="n">
        <f aca="false">IF(L173=1,0,MIN(M173,c_TSMOOTH))</f>
        <v>30</v>
      </c>
      <c r="O173" s="7" t="n">
        <f aca="false">IF(COUNTIF($L$5:L173,1)&gt;0,c_TSMOOTHCUT,0)</f>
        <v>400</v>
      </c>
      <c r="P173" s="15" t="n">
        <f aca="true">IF(L173=1,K173,QUOTIENT(SUM(OFFSET(K173,1-N173,0,N173,1))+(c_TSMOOTH-N173)*O173,c_TSMOOTH))</f>
        <v>-43</v>
      </c>
      <c r="Q173" s="7" t="n">
        <f aca="false">K173/10</f>
        <v>29.6</v>
      </c>
      <c r="R173" s="7" t="n">
        <f aca="false">P173/10</f>
        <v>-4.3</v>
      </c>
    </row>
    <row r="174" customFormat="false" ht="15" hidden="false" customHeight="false" outlineLevel="0" collapsed="false">
      <c r="A174" s="7" t="n">
        <v>169</v>
      </c>
      <c r="B174" s="7" t="n">
        <f aca="false">A174*0.04</f>
        <v>6.76</v>
      </c>
      <c r="C174" s="18" t="n">
        <v>450</v>
      </c>
      <c r="D174" s="7" t="n">
        <f aca="false">IF(AND(C174=0,c_TCREEP&gt;0),10*c_TCREEP,IF(AND(C174&lt;=c_TRNGMIN,C174&gt;=c_TRNGMAX,c_TRNGMIN-c_TRNGMAX&lt;&gt;0),-10*c_TMINRN+QUOTIENT((c_TMAXRN-c_TMINRN)*(100-QUOTIENT((C174-c_TRNGMAX)*100,c_TRNGMIN-c_TRNGMAX)),-10),0))</f>
        <v>0</v>
      </c>
      <c r="E174" s="7" t="n">
        <f aca="false">IF(((c_TMAP1IN)-(c_TFWD))=0,(0)+QUOTIENT(((c_TMAP1OUT)-(0)),2),QUOTIENT((((C174)-(c_TFWD))*((c_TMAP1OUT)-(0))+IF(((c_TMAP1OUT)-(0))&gt;=0,1,-1)*QUOTIENT(((c_TMAP1IN)-(c_TFWD)),2)),((c_TMAP1IN)-(c_TFWD)))+(0)+IF(((c_TMAP1OUT)-(0))&gt;=0,IF(IF(o_WRAP=1,MOD(((c_TMAP1IN)-(c_TFWD))*(((C174)-(c_TFWD))*((c_TMAP1OUT)-(0))+IF(((c_TMAP1OUT)-(0))&gt;=0,1,-1)*QUOTIENT(((c_TMAP1IN)-(c_TFWD)),2))+2147483648,4294967296)-2147483648,((c_TMAP1IN)-(c_TFWD))*(((C174)-(c_TFWD))*((c_TMAP1OUT)-(0))+IF(((c_TMAP1OUT)-(0))&gt;=0,1,-1)*QUOTIENT(((c_TMAP1IN)-(c_TFWD)),2)))&lt;0,-1,0),IF(IF(o_WRAP=1,MOD(((c_TMAP1IN)-(c_TFWD))*(((C174)-(c_TFWD))*((c_TMAP1OUT)-(0))+IF(((c_TMAP1OUT)-(0))&gt;=0,1,-1)*QUOTIENT(((c_TMAP1IN)-(c_TFWD)),2))+2147483648,4294967296)-2147483648,((c_TMAP1IN)-(c_TFWD))*(((C174)-(c_TFWD))*((c_TMAP1OUT)-(0))+IF(((c_TMAP1OUT)-(0))&gt;=0,1,-1)*QUOTIENT(((c_TMAP1IN)-(c_TFWD)),2)))&gt;=0,1,0)))</f>
        <v>342</v>
      </c>
      <c r="F174" s="7" t="n">
        <f aca="false">IF(((c_TMAP2IN)-(c_TMAP1IN))=0,(c_TMAP1OUT)+QUOTIENT(((c_TMAP2OUT)-(c_TMAP1OUT)),2),QUOTIENT((((C174)-(c_TMAP1IN))*((c_TMAP2OUT)-(c_TMAP1OUT))+IF(((c_TMAP2OUT)-(c_TMAP1OUT))&gt;=0,1,-1)*QUOTIENT(((c_TMAP2IN)-(c_TMAP1IN)),2)),((c_TMAP2IN)-(c_TMAP1IN)))+(c_TMAP1OUT)+IF(((c_TMAP2OUT)-(c_TMAP1OUT))&gt;=0,IF(IF(o_WRAP=1,MOD(((c_TMAP2IN)-(c_TMAP1IN))*(((C174)-(c_TMAP1IN))*((c_TMAP2OUT)-(c_TMAP1OUT))+IF(((c_TMAP2OUT)-(c_TMAP1OUT))&gt;=0,1,-1)*QUOTIENT(((c_TMAP2IN)-(c_TMAP1IN)),2))+2147483648,4294967296)-2147483648,((c_TMAP2IN)-(c_TMAP1IN))*(((C174)-(c_TMAP1IN))*((c_TMAP2OUT)-(c_TMAP1OUT))+IF(((c_TMAP2OUT)-(c_TMAP1OUT))&gt;=0,1,-1)*QUOTIENT(((c_TMAP2IN)-(c_TMAP1IN)),2)))&lt;0,-1,0),IF(IF(o_WRAP=1,MOD(((c_TMAP2IN)-(c_TMAP1IN))*(((C174)-(c_TMAP1IN))*((c_TMAP2OUT)-(c_TMAP1OUT))+IF(((c_TMAP2OUT)-(c_TMAP1OUT))&gt;=0,1,-1)*QUOTIENT(((c_TMAP2IN)-(c_TMAP1IN)),2))+2147483648,4294967296)-2147483648,((c_TMAP2IN)-(c_TMAP1IN))*(((C174)-(c_TMAP1IN))*((c_TMAP2OUT)-(c_TMAP1OUT))+IF(((c_TMAP2OUT)-(c_TMAP1OUT))&gt;=0,1,-1)*QUOTIENT(((c_TMAP2IN)-(c_TMAP1IN)),2)))&gt;=0,1,0)))</f>
        <v>210</v>
      </c>
      <c r="G174" s="7" t="n">
        <f aca="false">IF(((c_TMAP3IN)-(c_TMAP2IN))=0,(c_TMAP2OUT)+QUOTIENT(((c_TMAP3OUT)-(c_TMAP2OUT)),2),QUOTIENT((((C174)-(c_TMAP2IN))*((c_TMAP3OUT)-(c_TMAP2OUT))+IF(((c_TMAP3OUT)-(c_TMAP2OUT))&gt;=0,1,-1)*QUOTIENT(((c_TMAP3IN)-(c_TMAP2IN)),2)),((c_TMAP3IN)-(c_TMAP2IN)))+(c_TMAP2OUT)+IF(((c_TMAP3OUT)-(c_TMAP2OUT))&gt;=0,IF(IF(o_WRAP=1,MOD(((c_TMAP3IN)-(c_TMAP2IN))*(((C174)-(c_TMAP2IN))*((c_TMAP3OUT)-(c_TMAP2OUT))+IF(((c_TMAP3OUT)-(c_TMAP2OUT))&gt;=0,1,-1)*QUOTIENT(((c_TMAP3IN)-(c_TMAP2IN)),2))+2147483648,4294967296)-2147483648,((c_TMAP3IN)-(c_TMAP2IN))*(((C174)-(c_TMAP2IN))*((c_TMAP3OUT)-(c_TMAP2OUT))+IF(((c_TMAP3OUT)-(c_TMAP2OUT))&gt;=0,1,-1)*QUOTIENT(((c_TMAP3IN)-(c_TMAP2IN)),2)))&lt;0,-1,0),IF(IF(o_WRAP=1,MOD(((c_TMAP3IN)-(c_TMAP2IN))*(((C174)-(c_TMAP2IN))*((c_TMAP3OUT)-(c_TMAP2OUT))+IF(((c_TMAP3OUT)-(c_TMAP2OUT))&gt;=0,1,-1)*QUOTIENT(((c_TMAP3IN)-(c_TMAP2IN)),2))+2147483648,4294967296)-2147483648,((c_TMAP3IN)-(c_TMAP2IN))*(((C174)-(c_TMAP2IN))*((c_TMAP3OUT)-(c_TMAP2OUT))+IF(((c_TMAP3OUT)-(c_TMAP2OUT))&gt;=0,1,-1)*QUOTIENT(((c_TMAP3IN)-(c_TMAP2IN)),2)))&gt;=0,1,0)))</f>
        <v>270</v>
      </c>
      <c r="H174" s="7" t="n">
        <f aca="false">IF(((1000)-(c_TMAP3IN))=0,(c_TMAP3OUT)+QUOTIENT(((1000)-(c_TMAP3OUT)),2),QUOTIENT((((C174)-(c_TMAP3IN))*((1000)-(c_TMAP3OUT))+IF(((1000)-(c_TMAP3OUT))&gt;=0,1,-1)*QUOTIENT(((1000)-(c_TMAP3IN)),2)),((1000)-(c_TMAP3IN)))+(c_TMAP3OUT)+IF(((1000)-(c_TMAP3OUT))&gt;=0,IF(IF(o_WRAP=1,MOD(((1000)-(c_TMAP3IN))*(((C174)-(c_TMAP3IN))*((1000)-(c_TMAP3OUT))+IF(((1000)-(c_TMAP3OUT))&gt;=0,1,-1)*QUOTIENT(((1000)-(c_TMAP3IN)),2))+2147483648,4294967296)-2147483648,((1000)-(c_TMAP3IN))*(((C174)-(c_TMAP3IN))*((1000)-(c_TMAP3OUT))+IF(((1000)-(c_TMAP3OUT))&gt;=0,1,-1)*QUOTIENT(((1000)-(c_TMAP3IN)),2)))&lt;0,-1,0),IF(IF(o_WRAP=1,MOD(((1000)-(c_TMAP3IN))*(((C174)-(c_TMAP3IN))*((1000)-(c_TMAP3OUT))+IF(((1000)-(c_TMAP3OUT))&gt;=0,1,-1)*QUOTIENT(((1000)-(c_TMAP3IN)),2))+2147483648,4294967296)-2147483648,((1000)-(c_TMAP3IN))*(((C174)-(c_TMAP3IN))*((1000)-(c_TMAP3OUT))+IF(((1000)-(c_TMAP3OUT))&gt;=0,1,-1)*QUOTIENT(((1000)-(c_TMAP3IN)),2)))&gt;=0,1,0)))</f>
        <v>323</v>
      </c>
      <c r="I174" s="7" t="n">
        <f aca="false">IF(C174&gt;=c_TFWD,IF(AND(C174&gt;=c_TMAP3IN,c_TMAP3IN&lt;1000),H174,IF(AND(C174&gt;=c_TMAP2IN,c_TMAP3IN&gt;c_TMAP2IN),G174,IF(AND(C174&gt;=c_TMAP1IN,c_TMAP2IN&gt;c_TMAP1IN),F174,E174))),D174)</f>
        <v>323</v>
      </c>
      <c r="J174" s="7" t="str">
        <f aca="false">IF(I174&lt;-1090,"TOO LOW",IF(I174&gt;1090,"TOO HIGH",""))</f>
        <v/>
      </c>
      <c r="K174" s="7" t="n">
        <f aca="false">IF(J174&lt;&gt;"",0,IF(I174&gt;979,1000,I174))</f>
        <v>323</v>
      </c>
      <c r="L174" s="7" t="n">
        <f aca="false">IF(OR(c_TSMOOTH=0,K174&gt;=c_TSMOOTHCUT),1,0)</f>
        <v>0</v>
      </c>
      <c r="M174" s="7" t="n">
        <f aca="false">IF(L174=1,0,M173+1)</f>
        <v>88</v>
      </c>
      <c r="N174" s="7" t="n">
        <f aca="false">IF(L174=1,0,MIN(M174,c_TSMOOTH))</f>
        <v>30</v>
      </c>
      <c r="O174" s="7" t="n">
        <f aca="false">IF(COUNTIF($L$5:L174,1)&gt;0,c_TSMOOTHCUT,0)</f>
        <v>400</v>
      </c>
      <c r="P174" s="15" t="n">
        <f aca="true">IF(L174=1,K174,QUOTIENT(SUM(OFFSET(K174,1-N174,0,N174,1))+(c_TSMOOTH-N174)*O174,c_TSMOOTH))</f>
        <v>-21</v>
      </c>
      <c r="Q174" s="7" t="n">
        <f aca="false">K174/10</f>
        <v>32.3</v>
      </c>
      <c r="R174" s="7" t="n">
        <f aca="false">P174/10</f>
        <v>-2.1</v>
      </c>
    </row>
    <row r="175" customFormat="false" ht="15" hidden="false" customHeight="false" outlineLevel="0" collapsed="false">
      <c r="A175" s="7" t="n">
        <v>170</v>
      </c>
      <c r="B175" s="7" t="n">
        <f aca="false">A175*0.04</f>
        <v>6.8</v>
      </c>
      <c r="C175" s="18" t="n">
        <v>450</v>
      </c>
      <c r="D175" s="7" t="n">
        <f aca="false">IF(AND(C175=0,c_TCREEP&gt;0),10*c_TCREEP,IF(AND(C175&lt;=c_TRNGMIN,C175&gt;=c_TRNGMAX,c_TRNGMIN-c_TRNGMAX&lt;&gt;0),-10*c_TMINRN+QUOTIENT((c_TMAXRN-c_TMINRN)*(100-QUOTIENT((C175-c_TRNGMAX)*100,c_TRNGMIN-c_TRNGMAX)),-10),0))</f>
        <v>0</v>
      </c>
      <c r="E175" s="7" t="n">
        <f aca="false">IF(((c_TMAP1IN)-(c_TFWD))=0,(0)+QUOTIENT(((c_TMAP1OUT)-(0)),2),QUOTIENT((((C175)-(c_TFWD))*((c_TMAP1OUT)-(0))+IF(((c_TMAP1OUT)-(0))&gt;=0,1,-1)*QUOTIENT(((c_TMAP1IN)-(c_TFWD)),2)),((c_TMAP1IN)-(c_TFWD)))+(0)+IF(((c_TMAP1OUT)-(0))&gt;=0,IF(IF(o_WRAP=1,MOD(((c_TMAP1IN)-(c_TFWD))*(((C175)-(c_TFWD))*((c_TMAP1OUT)-(0))+IF(((c_TMAP1OUT)-(0))&gt;=0,1,-1)*QUOTIENT(((c_TMAP1IN)-(c_TFWD)),2))+2147483648,4294967296)-2147483648,((c_TMAP1IN)-(c_TFWD))*(((C175)-(c_TFWD))*((c_TMAP1OUT)-(0))+IF(((c_TMAP1OUT)-(0))&gt;=0,1,-1)*QUOTIENT(((c_TMAP1IN)-(c_TFWD)),2)))&lt;0,-1,0),IF(IF(o_WRAP=1,MOD(((c_TMAP1IN)-(c_TFWD))*(((C175)-(c_TFWD))*((c_TMAP1OUT)-(0))+IF(((c_TMAP1OUT)-(0))&gt;=0,1,-1)*QUOTIENT(((c_TMAP1IN)-(c_TFWD)),2))+2147483648,4294967296)-2147483648,((c_TMAP1IN)-(c_TFWD))*(((C175)-(c_TFWD))*((c_TMAP1OUT)-(0))+IF(((c_TMAP1OUT)-(0))&gt;=0,1,-1)*QUOTIENT(((c_TMAP1IN)-(c_TFWD)),2)))&gt;=0,1,0)))</f>
        <v>342</v>
      </c>
      <c r="F175" s="7" t="n">
        <f aca="false">IF(((c_TMAP2IN)-(c_TMAP1IN))=0,(c_TMAP1OUT)+QUOTIENT(((c_TMAP2OUT)-(c_TMAP1OUT)),2),QUOTIENT((((C175)-(c_TMAP1IN))*((c_TMAP2OUT)-(c_TMAP1OUT))+IF(((c_TMAP2OUT)-(c_TMAP1OUT))&gt;=0,1,-1)*QUOTIENT(((c_TMAP2IN)-(c_TMAP1IN)),2)),((c_TMAP2IN)-(c_TMAP1IN)))+(c_TMAP1OUT)+IF(((c_TMAP2OUT)-(c_TMAP1OUT))&gt;=0,IF(IF(o_WRAP=1,MOD(((c_TMAP2IN)-(c_TMAP1IN))*(((C175)-(c_TMAP1IN))*((c_TMAP2OUT)-(c_TMAP1OUT))+IF(((c_TMAP2OUT)-(c_TMAP1OUT))&gt;=0,1,-1)*QUOTIENT(((c_TMAP2IN)-(c_TMAP1IN)),2))+2147483648,4294967296)-2147483648,((c_TMAP2IN)-(c_TMAP1IN))*(((C175)-(c_TMAP1IN))*((c_TMAP2OUT)-(c_TMAP1OUT))+IF(((c_TMAP2OUT)-(c_TMAP1OUT))&gt;=0,1,-1)*QUOTIENT(((c_TMAP2IN)-(c_TMAP1IN)),2)))&lt;0,-1,0),IF(IF(o_WRAP=1,MOD(((c_TMAP2IN)-(c_TMAP1IN))*(((C175)-(c_TMAP1IN))*((c_TMAP2OUT)-(c_TMAP1OUT))+IF(((c_TMAP2OUT)-(c_TMAP1OUT))&gt;=0,1,-1)*QUOTIENT(((c_TMAP2IN)-(c_TMAP1IN)),2))+2147483648,4294967296)-2147483648,((c_TMAP2IN)-(c_TMAP1IN))*(((C175)-(c_TMAP1IN))*((c_TMAP2OUT)-(c_TMAP1OUT))+IF(((c_TMAP2OUT)-(c_TMAP1OUT))&gt;=0,1,-1)*QUOTIENT(((c_TMAP2IN)-(c_TMAP1IN)),2)))&gt;=0,1,0)))</f>
        <v>210</v>
      </c>
      <c r="G175" s="7" t="n">
        <f aca="false">IF(((c_TMAP3IN)-(c_TMAP2IN))=0,(c_TMAP2OUT)+QUOTIENT(((c_TMAP3OUT)-(c_TMAP2OUT)),2),QUOTIENT((((C175)-(c_TMAP2IN))*((c_TMAP3OUT)-(c_TMAP2OUT))+IF(((c_TMAP3OUT)-(c_TMAP2OUT))&gt;=0,1,-1)*QUOTIENT(((c_TMAP3IN)-(c_TMAP2IN)),2)),((c_TMAP3IN)-(c_TMAP2IN)))+(c_TMAP2OUT)+IF(((c_TMAP3OUT)-(c_TMAP2OUT))&gt;=0,IF(IF(o_WRAP=1,MOD(((c_TMAP3IN)-(c_TMAP2IN))*(((C175)-(c_TMAP2IN))*((c_TMAP3OUT)-(c_TMAP2OUT))+IF(((c_TMAP3OUT)-(c_TMAP2OUT))&gt;=0,1,-1)*QUOTIENT(((c_TMAP3IN)-(c_TMAP2IN)),2))+2147483648,4294967296)-2147483648,((c_TMAP3IN)-(c_TMAP2IN))*(((C175)-(c_TMAP2IN))*((c_TMAP3OUT)-(c_TMAP2OUT))+IF(((c_TMAP3OUT)-(c_TMAP2OUT))&gt;=0,1,-1)*QUOTIENT(((c_TMAP3IN)-(c_TMAP2IN)),2)))&lt;0,-1,0),IF(IF(o_WRAP=1,MOD(((c_TMAP3IN)-(c_TMAP2IN))*(((C175)-(c_TMAP2IN))*((c_TMAP3OUT)-(c_TMAP2OUT))+IF(((c_TMAP3OUT)-(c_TMAP2OUT))&gt;=0,1,-1)*QUOTIENT(((c_TMAP3IN)-(c_TMAP2IN)),2))+2147483648,4294967296)-2147483648,((c_TMAP3IN)-(c_TMAP2IN))*(((C175)-(c_TMAP2IN))*((c_TMAP3OUT)-(c_TMAP2OUT))+IF(((c_TMAP3OUT)-(c_TMAP2OUT))&gt;=0,1,-1)*QUOTIENT(((c_TMAP3IN)-(c_TMAP2IN)),2)))&gt;=0,1,0)))</f>
        <v>270</v>
      </c>
      <c r="H175" s="7" t="n">
        <f aca="false">IF(((1000)-(c_TMAP3IN))=0,(c_TMAP3OUT)+QUOTIENT(((1000)-(c_TMAP3OUT)),2),QUOTIENT((((C175)-(c_TMAP3IN))*((1000)-(c_TMAP3OUT))+IF(((1000)-(c_TMAP3OUT))&gt;=0,1,-1)*QUOTIENT(((1000)-(c_TMAP3IN)),2)),((1000)-(c_TMAP3IN)))+(c_TMAP3OUT)+IF(((1000)-(c_TMAP3OUT))&gt;=0,IF(IF(o_WRAP=1,MOD(((1000)-(c_TMAP3IN))*(((C175)-(c_TMAP3IN))*((1000)-(c_TMAP3OUT))+IF(((1000)-(c_TMAP3OUT))&gt;=0,1,-1)*QUOTIENT(((1000)-(c_TMAP3IN)),2))+2147483648,4294967296)-2147483648,((1000)-(c_TMAP3IN))*(((C175)-(c_TMAP3IN))*((1000)-(c_TMAP3OUT))+IF(((1000)-(c_TMAP3OUT))&gt;=0,1,-1)*QUOTIENT(((1000)-(c_TMAP3IN)),2)))&lt;0,-1,0),IF(IF(o_WRAP=1,MOD(((1000)-(c_TMAP3IN))*(((C175)-(c_TMAP3IN))*((1000)-(c_TMAP3OUT))+IF(((1000)-(c_TMAP3OUT))&gt;=0,1,-1)*QUOTIENT(((1000)-(c_TMAP3IN)),2))+2147483648,4294967296)-2147483648,((1000)-(c_TMAP3IN))*(((C175)-(c_TMAP3IN))*((1000)-(c_TMAP3OUT))+IF(((1000)-(c_TMAP3OUT))&gt;=0,1,-1)*QUOTIENT(((1000)-(c_TMAP3IN)),2)))&gt;=0,1,0)))</f>
        <v>323</v>
      </c>
      <c r="I175" s="7" t="n">
        <f aca="false">IF(C175&gt;=c_TFWD,IF(AND(C175&gt;=c_TMAP3IN,c_TMAP3IN&lt;1000),H175,IF(AND(C175&gt;=c_TMAP2IN,c_TMAP3IN&gt;c_TMAP2IN),G175,IF(AND(C175&gt;=c_TMAP1IN,c_TMAP2IN&gt;c_TMAP1IN),F175,E175))),D175)</f>
        <v>323</v>
      </c>
      <c r="J175" s="7" t="str">
        <f aca="false">IF(I175&lt;-1090,"TOO LOW",IF(I175&gt;1090,"TOO HIGH",""))</f>
        <v/>
      </c>
      <c r="K175" s="7" t="n">
        <f aca="false">IF(J175&lt;&gt;"",0,IF(I175&gt;979,1000,I175))</f>
        <v>323</v>
      </c>
      <c r="L175" s="7" t="n">
        <f aca="false">IF(OR(c_TSMOOTH=0,K175&gt;=c_TSMOOTHCUT),1,0)</f>
        <v>0</v>
      </c>
      <c r="M175" s="7" t="n">
        <f aca="false">IF(L175=1,0,M174+1)</f>
        <v>89</v>
      </c>
      <c r="N175" s="7" t="n">
        <f aca="false">IF(L175=1,0,MIN(M175,c_TSMOOTH))</f>
        <v>30</v>
      </c>
      <c r="O175" s="7" t="n">
        <f aca="false">IF(COUNTIF($L$5:L175,1)&gt;0,c_TSMOOTHCUT,0)</f>
        <v>400</v>
      </c>
      <c r="P175" s="15" t="n">
        <f aca="true">IF(L175=1,K175,QUOTIENT(SUM(OFFSET(K175,1-N175,0,N175,1))+(c_TSMOOTH-N175)*O175,c_TSMOOTH))</f>
        <v>1</v>
      </c>
      <c r="Q175" s="7" t="n">
        <f aca="false">K175/10</f>
        <v>32.3</v>
      </c>
      <c r="R175" s="7" t="n">
        <f aca="false">P175/10</f>
        <v>0.1</v>
      </c>
    </row>
    <row r="176" customFormat="false" ht="15" hidden="false" customHeight="false" outlineLevel="0" collapsed="false">
      <c r="A176" s="7" t="n">
        <v>171</v>
      </c>
      <c r="B176" s="7" t="n">
        <f aca="false">A176*0.04</f>
        <v>6.84</v>
      </c>
      <c r="C176" s="18" t="n">
        <v>450</v>
      </c>
      <c r="D176" s="7" t="n">
        <f aca="false">IF(AND(C176=0,c_TCREEP&gt;0),10*c_TCREEP,IF(AND(C176&lt;=c_TRNGMIN,C176&gt;=c_TRNGMAX,c_TRNGMIN-c_TRNGMAX&lt;&gt;0),-10*c_TMINRN+QUOTIENT((c_TMAXRN-c_TMINRN)*(100-QUOTIENT((C176-c_TRNGMAX)*100,c_TRNGMIN-c_TRNGMAX)),-10),0))</f>
        <v>0</v>
      </c>
      <c r="E176" s="7" t="n">
        <f aca="false">IF(((c_TMAP1IN)-(c_TFWD))=0,(0)+QUOTIENT(((c_TMAP1OUT)-(0)),2),QUOTIENT((((C176)-(c_TFWD))*((c_TMAP1OUT)-(0))+IF(((c_TMAP1OUT)-(0))&gt;=0,1,-1)*QUOTIENT(((c_TMAP1IN)-(c_TFWD)),2)),((c_TMAP1IN)-(c_TFWD)))+(0)+IF(((c_TMAP1OUT)-(0))&gt;=0,IF(IF(o_WRAP=1,MOD(((c_TMAP1IN)-(c_TFWD))*(((C176)-(c_TFWD))*((c_TMAP1OUT)-(0))+IF(((c_TMAP1OUT)-(0))&gt;=0,1,-1)*QUOTIENT(((c_TMAP1IN)-(c_TFWD)),2))+2147483648,4294967296)-2147483648,((c_TMAP1IN)-(c_TFWD))*(((C176)-(c_TFWD))*((c_TMAP1OUT)-(0))+IF(((c_TMAP1OUT)-(0))&gt;=0,1,-1)*QUOTIENT(((c_TMAP1IN)-(c_TFWD)),2)))&lt;0,-1,0),IF(IF(o_WRAP=1,MOD(((c_TMAP1IN)-(c_TFWD))*(((C176)-(c_TFWD))*((c_TMAP1OUT)-(0))+IF(((c_TMAP1OUT)-(0))&gt;=0,1,-1)*QUOTIENT(((c_TMAP1IN)-(c_TFWD)),2))+2147483648,4294967296)-2147483648,((c_TMAP1IN)-(c_TFWD))*(((C176)-(c_TFWD))*((c_TMAP1OUT)-(0))+IF(((c_TMAP1OUT)-(0))&gt;=0,1,-1)*QUOTIENT(((c_TMAP1IN)-(c_TFWD)),2)))&gt;=0,1,0)))</f>
        <v>342</v>
      </c>
      <c r="F176" s="7" t="n">
        <f aca="false">IF(((c_TMAP2IN)-(c_TMAP1IN))=0,(c_TMAP1OUT)+QUOTIENT(((c_TMAP2OUT)-(c_TMAP1OUT)),2),QUOTIENT((((C176)-(c_TMAP1IN))*((c_TMAP2OUT)-(c_TMAP1OUT))+IF(((c_TMAP2OUT)-(c_TMAP1OUT))&gt;=0,1,-1)*QUOTIENT(((c_TMAP2IN)-(c_TMAP1IN)),2)),((c_TMAP2IN)-(c_TMAP1IN)))+(c_TMAP1OUT)+IF(((c_TMAP2OUT)-(c_TMAP1OUT))&gt;=0,IF(IF(o_WRAP=1,MOD(((c_TMAP2IN)-(c_TMAP1IN))*(((C176)-(c_TMAP1IN))*((c_TMAP2OUT)-(c_TMAP1OUT))+IF(((c_TMAP2OUT)-(c_TMAP1OUT))&gt;=0,1,-1)*QUOTIENT(((c_TMAP2IN)-(c_TMAP1IN)),2))+2147483648,4294967296)-2147483648,((c_TMAP2IN)-(c_TMAP1IN))*(((C176)-(c_TMAP1IN))*((c_TMAP2OUT)-(c_TMAP1OUT))+IF(((c_TMAP2OUT)-(c_TMAP1OUT))&gt;=0,1,-1)*QUOTIENT(((c_TMAP2IN)-(c_TMAP1IN)),2)))&lt;0,-1,0),IF(IF(o_WRAP=1,MOD(((c_TMAP2IN)-(c_TMAP1IN))*(((C176)-(c_TMAP1IN))*((c_TMAP2OUT)-(c_TMAP1OUT))+IF(((c_TMAP2OUT)-(c_TMAP1OUT))&gt;=0,1,-1)*QUOTIENT(((c_TMAP2IN)-(c_TMAP1IN)),2))+2147483648,4294967296)-2147483648,((c_TMAP2IN)-(c_TMAP1IN))*(((C176)-(c_TMAP1IN))*((c_TMAP2OUT)-(c_TMAP1OUT))+IF(((c_TMAP2OUT)-(c_TMAP1OUT))&gt;=0,1,-1)*QUOTIENT(((c_TMAP2IN)-(c_TMAP1IN)),2)))&gt;=0,1,0)))</f>
        <v>210</v>
      </c>
      <c r="G176" s="7" t="n">
        <f aca="false">IF(((c_TMAP3IN)-(c_TMAP2IN))=0,(c_TMAP2OUT)+QUOTIENT(((c_TMAP3OUT)-(c_TMAP2OUT)),2),QUOTIENT((((C176)-(c_TMAP2IN))*((c_TMAP3OUT)-(c_TMAP2OUT))+IF(((c_TMAP3OUT)-(c_TMAP2OUT))&gt;=0,1,-1)*QUOTIENT(((c_TMAP3IN)-(c_TMAP2IN)),2)),((c_TMAP3IN)-(c_TMAP2IN)))+(c_TMAP2OUT)+IF(((c_TMAP3OUT)-(c_TMAP2OUT))&gt;=0,IF(IF(o_WRAP=1,MOD(((c_TMAP3IN)-(c_TMAP2IN))*(((C176)-(c_TMAP2IN))*((c_TMAP3OUT)-(c_TMAP2OUT))+IF(((c_TMAP3OUT)-(c_TMAP2OUT))&gt;=0,1,-1)*QUOTIENT(((c_TMAP3IN)-(c_TMAP2IN)),2))+2147483648,4294967296)-2147483648,((c_TMAP3IN)-(c_TMAP2IN))*(((C176)-(c_TMAP2IN))*((c_TMAP3OUT)-(c_TMAP2OUT))+IF(((c_TMAP3OUT)-(c_TMAP2OUT))&gt;=0,1,-1)*QUOTIENT(((c_TMAP3IN)-(c_TMAP2IN)),2)))&lt;0,-1,0),IF(IF(o_WRAP=1,MOD(((c_TMAP3IN)-(c_TMAP2IN))*(((C176)-(c_TMAP2IN))*((c_TMAP3OUT)-(c_TMAP2OUT))+IF(((c_TMAP3OUT)-(c_TMAP2OUT))&gt;=0,1,-1)*QUOTIENT(((c_TMAP3IN)-(c_TMAP2IN)),2))+2147483648,4294967296)-2147483648,((c_TMAP3IN)-(c_TMAP2IN))*(((C176)-(c_TMAP2IN))*((c_TMAP3OUT)-(c_TMAP2OUT))+IF(((c_TMAP3OUT)-(c_TMAP2OUT))&gt;=0,1,-1)*QUOTIENT(((c_TMAP3IN)-(c_TMAP2IN)),2)))&gt;=0,1,0)))</f>
        <v>270</v>
      </c>
      <c r="H176" s="7" t="n">
        <f aca="false">IF(((1000)-(c_TMAP3IN))=0,(c_TMAP3OUT)+QUOTIENT(((1000)-(c_TMAP3OUT)),2),QUOTIENT((((C176)-(c_TMAP3IN))*((1000)-(c_TMAP3OUT))+IF(((1000)-(c_TMAP3OUT))&gt;=0,1,-1)*QUOTIENT(((1000)-(c_TMAP3IN)),2)),((1000)-(c_TMAP3IN)))+(c_TMAP3OUT)+IF(((1000)-(c_TMAP3OUT))&gt;=0,IF(IF(o_WRAP=1,MOD(((1000)-(c_TMAP3IN))*(((C176)-(c_TMAP3IN))*((1000)-(c_TMAP3OUT))+IF(((1000)-(c_TMAP3OUT))&gt;=0,1,-1)*QUOTIENT(((1000)-(c_TMAP3IN)),2))+2147483648,4294967296)-2147483648,((1000)-(c_TMAP3IN))*(((C176)-(c_TMAP3IN))*((1000)-(c_TMAP3OUT))+IF(((1000)-(c_TMAP3OUT))&gt;=0,1,-1)*QUOTIENT(((1000)-(c_TMAP3IN)),2)))&lt;0,-1,0),IF(IF(o_WRAP=1,MOD(((1000)-(c_TMAP3IN))*(((C176)-(c_TMAP3IN))*((1000)-(c_TMAP3OUT))+IF(((1000)-(c_TMAP3OUT))&gt;=0,1,-1)*QUOTIENT(((1000)-(c_TMAP3IN)),2))+2147483648,4294967296)-2147483648,((1000)-(c_TMAP3IN))*(((C176)-(c_TMAP3IN))*((1000)-(c_TMAP3OUT))+IF(((1000)-(c_TMAP3OUT))&gt;=0,1,-1)*QUOTIENT(((1000)-(c_TMAP3IN)),2)))&gt;=0,1,0)))</f>
        <v>323</v>
      </c>
      <c r="I176" s="7" t="n">
        <f aca="false">IF(C176&gt;=c_TFWD,IF(AND(C176&gt;=c_TMAP3IN,c_TMAP3IN&lt;1000),H176,IF(AND(C176&gt;=c_TMAP2IN,c_TMAP3IN&gt;c_TMAP2IN),G176,IF(AND(C176&gt;=c_TMAP1IN,c_TMAP2IN&gt;c_TMAP1IN),F176,E176))),D176)</f>
        <v>323</v>
      </c>
      <c r="J176" s="7" t="str">
        <f aca="false">IF(I176&lt;-1090,"TOO LOW",IF(I176&gt;1090,"TOO HIGH",""))</f>
        <v/>
      </c>
      <c r="K176" s="7" t="n">
        <f aca="false">IF(J176&lt;&gt;"",0,IF(I176&gt;979,1000,I176))</f>
        <v>323</v>
      </c>
      <c r="L176" s="7" t="n">
        <f aca="false">IF(OR(c_TSMOOTH=0,K176&gt;=c_TSMOOTHCUT),1,0)</f>
        <v>0</v>
      </c>
      <c r="M176" s="7" t="n">
        <f aca="false">IF(L176=1,0,M175+1)</f>
        <v>90</v>
      </c>
      <c r="N176" s="7" t="n">
        <f aca="false">IF(L176=1,0,MIN(M176,c_TSMOOTH))</f>
        <v>30</v>
      </c>
      <c r="O176" s="7" t="n">
        <f aca="false">IF(COUNTIF($L$5:L176,1)&gt;0,c_TSMOOTHCUT,0)</f>
        <v>400</v>
      </c>
      <c r="P176" s="15" t="n">
        <f aca="true">IF(L176=1,K176,QUOTIENT(SUM(OFFSET(K176,1-N176,0,N176,1))+(c_TSMOOTH-N176)*O176,c_TSMOOTH))</f>
        <v>23</v>
      </c>
      <c r="Q176" s="7" t="n">
        <f aca="false">K176/10</f>
        <v>32.3</v>
      </c>
      <c r="R176" s="7" t="n">
        <f aca="false">P176/10</f>
        <v>2.3</v>
      </c>
    </row>
    <row r="177" customFormat="false" ht="15" hidden="false" customHeight="false" outlineLevel="0" collapsed="false">
      <c r="A177" s="7" t="n">
        <v>172</v>
      </c>
      <c r="B177" s="7" t="n">
        <f aca="false">A177*0.04</f>
        <v>6.88</v>
      </c>
      <c r="C177" s="18" t="n">
        <v>450</v>
      </c>
      <c r="D177" s="7" t="n">
        <f aca="false">IF(AND(C177=0,c_TCREEP&gt;0),10*c_TCREEP,IF(AND(C177&lt;=c_TRNGMIN,C177&gt;=c_TRNGMAX,c_TRNGMIN-c_TRNGMAX&lt;&gt;0),-10*c_TMINRN+QUOTIENT((c_TMAXRN-c_TMINRN)*(100-QUOTIENT((C177-c_TRNGMAX)*100,c_TRNGMIN-c_TRNGMAX)),-10),0))</f>
        <v>0</v>
      </c>
      <c r="E177" s="7" t="n">
        <f aca="false">IF(((c_TMAP1IN)-(c_TFWD))=0,(0)+QUOTIENT(((c_TMAP1OUT)-(0)),2),QUOTIENT((((C177)-(c_TFWD))*((c_TMAP1OUT)-(0))+IF(((c_TMAP1OUT)-(0))&gt;=0,1,-1)*QUOTIENT(((c_TMAP1IN)-(c_TFWD)),2)),((c_TMAP1IN)-(c_TFWD)))+(0)+IF(((c_TMAP1OUT)-(0))&gt;=0,IF(IF(o_WRAP=1,MOD(((c_TMAP1IN)-(c_TFWD))*(((C177)-(c_TFWD))*((c_TMAP1OUT)-(0))+IF(((c_TMAP1OUT)-(0))&gt;=0,1,-1)*QUOTIENT(((c_TMAP1IN)-(c_TFWD)),2))+2147483648,4294967296)-2147483648,((c_TMAP1IN)-(c_TFWD))*(((C177)-(c_TFWD))*((c_TMAP1OUT)-(0))+IF(((c_TMAP1OUT)-(0))&gt;=0,1,-1)*QUOTIENT(((c_TMAP1IN)-(c_TFWD)),2)))&lt;0,-1,0),IF(IF(o_WRAP=1,MOD(((c_TMAP1IN)-(c_TFWD))*(((C177)-(c_TFWD))*((c_TMAP1OUT)-(0))+IF(((c_TMAP1OUT)-(0))&gt;=0,1,-1)*QUOTIENT(((c_TMAP1IN)-(c_TFWD)),2))+2147483648,4294967296)-2147483648,((c_TMAP1IN)-(c_TFWD))*(((C177)-(c_TFWD))*((c_TMAP1OUT)-(0))+IF(((c_TMAP1OUT)-(0))&gt;=0,1,-1)*QUOTIENT(((c_TMAP1IN)-(c_TFWD)),2)))&gt;=0,1,0)))</f>
        <v>342</v>
      </c>
      <c r="F177" s="7" t="n">
        <f aca="false">IF(((c_TMAP2IN)-(c_TMAP1IN))=0,(c_TMAP1OUT)+QUOTIENT(((c_TMAP2OUT)-(c_TMAP1OUT)),2),QUOTIENT((((C177)-(c_TMAP1IN))*((c_TMAP2OUT)-(c_TMAP1OUT))+IF(((c_TMAP2OUT)-(c_TMAP1OUT))&gt;=0,1,-1)*QUOTIENT(((c_TMAP2IN)-(c_TMAP1IN)),2)),((c_TMAP2IN)-(c_TMAP1IN)))+(c_TMAP1OUT)+IF(((c_TMAP2OUT)-(c_TMAP1OUT))&gt;=0,IF(IF(o_WRAP=1,MOD(((c_TMAP2IN)-(c_TMAP1IN))*(((C177)-(c_TMAP1IN))*((c_TMAP2OUT)-(c_TMAP1OUT))+IF(((c_TMAP2OUT)-(c_TMAP1OUT))&gt;=0,1,-1)*QUOTIENT(((c_TMAP2IN)-(c_TMAP1IN)),2))+2147483648,4294967296)-2147483648,((c_TMAP2IN)-(c_TMAP1IN))*(((C177)-(c_TMAP1IN))*((c_TMAP2OUT)-(c_TMAP1OUT))+IF(((c_TMAP2OUT)-(c_TMAP1OUT))&gt;=0,1,-1)*QUOTIENT(((c_TMAP2IN)-(c_TMAP1IN)),2)))&lt;0,-1,0),IF(IF(o_WRAP=1,MOD(((c_TMAP2IN)-(c_TMAP1IN))*(((C177)-(c_TMAP1IN))*((c_TMAP2OUT)-(c_TMAP1OUT))+IF(((c_TMAP2OUT)-(c_TMAP1OUT))&gt;=0,1,-1)*QUOTIENT(((c_TMAP2IN)-(c_TMAP1IN)),2))+2147483648,4294967296)-2147483648,((c_TMAP2IN)-(c_TMAP1IN))*(((C177)-(c_TMAP1IN))*((c_TMAP2OUT)-(c_TMAP1OUT))+IF(((c_TMAP2OUT)-(c_TMAP1OUT))&gt;=0,1,-1)*QUOTIENT(((c_TMAP2IN)-(c_TMAP1IN)),2)))&gt;=0,1,0)))</f>
        <v>210</v>
      </c>
      <c r="G177" s="7" t="n">
        <f aca="false">IF(((c_TMAP3IN)-(c_TMAP2IN))=0,(c_TMAP2OUT)+QUOTIENT(((c_TMAP3OUT)-(c_TMAP2OUT)),2),QUOTIENT((((C177)-(c_TMAP2IN))*((c_TMAP3OUT)-(c_TMAP2OUT))+IF(((c_TMAP3OUT)-(c_TMAP2OUT))&gt;=0,1,-1)*QUOTIENT(((c_TMAP3IN)-(c_TMAP2IN)),2)),((c_TMAP3IN)-(c_TMAP2IN)))+(c_TMAP2OUT)+IF(((c_TMAP3OUT)-(c_TMAP2OUT))&gt;=0,IF(IF(o_WRAP=1,MOD(((c_TMAP3IN)-(c_TMAP2IN))*(((C177)-(c_TMAP2IN))*((c_TMAP3OUT)-(c_TMAP2OUT))+IF(((c_TMAP3OUT)-(c_TMAP2OUT))&gt;=0,1,-1)*QUOTIENT(((c_TMAP3IN)-(c_TMAP2IN)),2))+2147483648,4294967296)-2147483648,((c_TMAP3IN)-(c_TMAP2IN))*(((C177)-(c_TMAP2IN))*((c_TMAP3OUT)-(c_TMAP2OUT))+IF(((c_TMAP3OUT)-(c_TMAP2OUT))&gt;=0,1,-1)*QUOTIENT(((c_TMAP3IN)-(c_TMAP2IN)),2)))&lt;0,-1,0),IF(IF(o_WRAP=1,MOD(((c_TMAP3IN)-(c_TMAP2IN))*(((C177)-(c_TMAP2IN))*((c_TMAP3OUT)-(c_TMAP2OUT))+IF(((c_TMAP3OUT)-(c_TMAP2OUT))&gt;=0,1,-1)*QUOTIENT(((c_TMAP3IN)-(c_TMAP2IN)),2))+2147483648,4294967296)-2147483648,((c_TMAP3IN)-(c_TMAP2IN))*(((C177)-(c_TMAP2IN))*((c_TMAP3OUT)-(c_TMAP2OUT))+IF(((c_TMAP3OUT)-(c_TMAP2OUT))&gt;=0,1,-1)*QUOTIENT(((c_TMAP3IN)-(c_TMAP2IN)),2)))&gt;=0,1,0)))</f>
        <v>270</v>
      </c>
      <c r="H177" s="7" t="n">
        <f aca="false">IF(((1000)-(c_TMAP3IN))=0,(c_TMAP3OUT)+QUOTIENT(((1000)-(c_TMAP3OUT)),2),QUOTIENT((((C177)-(c_TMAP3IN))*((1000)-(c_TMAP3OUT))+IF(((1000)-(c_TMAP3OUT))&gt;=0,1,-1)*QUOTIENT(((1000)-(c_TMAP3IN)),2)),((1000)-(c_TMAP3IN)))+(c_TMAP3OUT)+IF(((1000)-(c_TMAP3OUT))&gt;=0,IF(IF(o_WRAP=1,MOD(((1000)-(c_TMAP3IN))*(((C177)-(c_TMAP3IN))*((1000)-(c_TMAP3OUT))+IF(((1000)-(c_TMAP3OUT))&gt;=0,1,-1)*QUOTIENT(((1000)-(c_TMAP3IN)),2))+2147483648,4294967296)-2147483648,((1000)-(c_TMAP3IN))*(((C177)-(c_TMAP3IN))*((1000)-(c_TMAP3OUT))+IF(((1000)-(c_TMAP3OUT))&gt;=0,1,-1)*QUOTIENT(((1000)-(c_TMAP3IN)),2)))&lt;0,-1,0),IF(IF(o_WRAP=1,MOD(((1000)-(c_TMAP3IN))*(((C177)-(c_TMAP3IN))*((1000)-(c_TMAP3OUT))+IF(((1000)-(c_TMAP3OUT))&gt;=0,1,-1)*QUOTIENT(((1000)-(c_TMAP3IN)),2))+2147483648,4294967296)-2147483648,((1000)-(c_TMAP3IN))*(((C177)-(c_TMAP3IN))*((1000)-(c_TMAP3OUT))+IF(((1000)-(c_TMAP3OUT))&gt;=0,1,-1)*QUOTIENT(((1000)-(c_TMAP3IN)),2)))&gt;=0,1,0)))</f>
        <v>323</v>
      </c>
      <c r="I177" s="7" t="n">
        <f aca="false">IF(C177&gt;=c_TFWD,IF(AND(C177&gt;=c_TMAP3IN,c_TMAP3IN&lt;1000),H177,IF(AND(C177&gt;=c_TMAP2IN,c_TMAP3IN&gt;c_TMAP2IN),G177,IF(AND(C177&gt;=c_TMAP1IN,c_TMAP2IN&gt;c_TMAP1IN),F177,E177))),D177)</f>
        <v>323</v>
      </c>
      <c r="J177" s="7" t="str">
        <f aca="false">IF(I177&lt;-1090,"TOO LOW",IF(I177&gt;1090,"TOO HIGH",""))</f>
        <v/>
      </c>
      <c r="K177" s="7" t="n">
        <f aca="false">IF(J177&lt;&gt;"",0,IF(I177&gt;979,1000,I177))</f>
        <v>323</v>
      </c>
      <c r="L177" s="7" t="n">
        <f aca="false">IF(OR(c_TSMOOTH=0,K177&gt;=c_TSMOOTHCUT),1,0)</f>
        <v>0</v>
      </c>
      <c r="M177" s="7" t="n">
        <f aca="false">IF(L177=1,0,M176+1)</f>
        <v>91</v>
      </c>
      <c r="N177" s="7" t="n">
        <f aca="false">IF(L177=1,0,MIN(M177,c_TSMOOTH))</f>
        <v>30</v>
      </c>
      <c r="O177" s="7" t="n">
        <f aca="false">IF(COUNTIF($L$5:L177,1)&gt;0,c_TSMOOTHCUT,0)</f>
        <v>400</v>
      </c>
      <c r="P177" s="15" t="n">
        <f aca="true">IF(L177=1,K177,QUOTIENT(SUM(OFFSET(K177,1-N177,0,N177,1))+(c_TSMOOTH-N177)*O177,c_TSMOOTH))</f>
        <v>46</v>
      </c>
      <c r="Q177" s="7" t="n">
        <f aca="false">K177/10</f>
        <v>32.3</v>
      </c>
      <c r="R177" s="7" t="n">
        <f aca="false">P177/10</f>
        <v>4.6</v>
      </c>
    </row>
    <row r="178" customFormat="false" ht="15" hidden="false" customHeight="false" outlineLevel="0" collapsed="false">
      <c r="A178" s="7" t="n">
        <v>173</v>
      </c>
      <c r="B178" s="7" t="n">
        <f aca="false">A178*0.04</f>
        <v>6.92</v>
      </c>
      <c r="C178" s="18" t="n">
        <v>450</v>
      </c>
      <c r="D178" s="7" t="n">
        <f aca="false">IF(AND(C178=0,c_TCREEP&gt;0),10*c_TCREEP,IF(AND(C178&lt;=c_TRNGMIN,C178&gt;=c_TRNGMAX,c_TRNGMIN-c_TRNGMAX&lt;&gt;0),-10*c_TMINRN+QUOTIENT((c_TMAXRN-c_TMINRN)*(100-QUOTIENT((C178-c_TRNGMAX)*100,c_TRNGMIN-c_TRNGMAX)),-10),0))</f>
        <v>0</v>
      </c>
      <c r="E178" s="7" t="n">
        <f aca="false">IF(((c_TMAP1IN)-(c_TFWD))=0,(0)+QUOTIENT(((c_TMAP1OUT)-(0)),2),QUOTIENT((((C178)-(c_TFWD))*((c_TMAP1OUT)-(0))+IF(((c_TMAP1OUT)-(0))&gt;=0,1,-1)*QUOTIENT(((c_TMAP1IN)-(c_TFWD)),2)),((c_TMAP1IN)-(c_TFWD)))+(0)+IF(((c_TMAP1OUT)-(0))&gt;=0,IF(IF(o_WRAP=1,MOD(((c_TMAP1IN)-(c_TFWD))*(((C178)-(c_TFWD))*((c_TMAP1OUT)-(0))+IF(((c_TMAP1OUT)-(0))&gt;=0,1,-1)*QUOTIENT(((c_TMAP1IN)-(c_TFWD)),2))+2147483648,4294967296)-2147483648,((c_TMAP1IN)-(c_TFWD))*(((C178)-(c_TFWD))*((c_TMAP1OUT)-(0))+IF(((c_TMAP1OUT)-(0))&gt;=0,1,-1)*QUOTIENT(((c_TMAP1IN)-(c_TFWD)),2)))&lt;0,-1,0),IF(IF(o_WRAP=1,MOD(((c_TMAP1IN)-(c_TFWD))*(((C178)-(c_TFWD))*((c_TMAP1OUT)-(0))+IF(((c_TMAP1OUT)-(0))&gt;=0,1,-1)*QUOTIENT(((c_TMAP1IN)-(c_TFWD)),2))+2147483648,4294967296)-2147483648,((c_TMAP1IN)-(c_TFWD))*(((C178)-(c_TFWD))*((c_TMAP1OUT)-(0))+IF(((c_TMAP1OUT)-(0))&gt;=0,1,-1)*QUOTIENT(((c_TMAP1IN)-(c_TFWD)),2)))&gt;=0,1,0)))</f>
        <v>342</v>
      </c>
      <c r="F178" s="7" t="n">
        <f aca="false">IF(((c_TMAP2IN)-(c_TMAP1IN))=0,(c_TMAP1OUT)+QUOTIENT(((c_TMAP2OUT)-(c_TMAP1OUT)),2),QUOTIENT((((C178)-(c_TMAP1IN))*((c_TMAP2OUT)-(c_TMAP1OUT))+IF(((c_TMAP2OUT)-(c_TMAP1OUT))&gt;=0,1,-1)*QUOTIENT(((c_TMAP2IN)-(c_TMAP1IN)),2)),((c_TMAP2IN)-(c_TMAP1IN)))+(c_TMAP1OUT)+IF(((c_TMAP2OUT)-(c_TMAP1OUT))&gt;=0,IF(IF(o_WRAP=1,MOD(((c_TMAP2IN)-(c_TMAP1IN))*(((C178)-(c_TMAP1IN))*((c_TMAP2OUT)-(c_TMAP1OUT))+IF(((c_TMAP2OUT)-(c_TMAP1OUT))&gt;=0,1,-1)*QUOTIENT(((c_TMAP2IN)-(c_TMAP1IN)),2))+2147483648,4294967296)-2147483648,((c_TMAP2IN)-(c_TMAP1IN))*(((C178)-(c_TMAP1IN))*((c_TMAP2OUT)-(c_TMAP1OUT))+IF(((c_TMAP2OUT)-(c_TMAP1OUT))&gt;=0,1,-1)*QUOTIENT(((c_TMAP2IN)-(c_TMAP1IN)),2)))&lt;0,-1,0),IF(IF(o_WRAP=1,MOD(((c_TMAP2IN)-(c_TMAP1IN))*(((C178)-(c_TMAP1IN))*((c_TMAP2OUT)-(c_TMAP1OUT))+IF(((c_TMAP2OUT)-(c_TMAP1OUT))&gt;=0,1,-1)*QUOTIENT(((c_TMAP2IN)-(c_TMAP1IN)),2))+2147483648,4294967296)-2147483648,((c_TMAP2IN)-(c_TMAP1IN))*(((C178)-(c_TMAP1IN))*((c_TMAP2OUT)-(c_TMAP1OUT))+IF(((c_TMAP2OUT)-(c_TMAP1OUT))&gt;=0,1,-1)*QUOTIENT(((c_TMAP2IN)-(c_TMAP1IN)),2)))&gt;=0,1,0)))</f>
        <v>210</v>
      </c>
      <c r="G178" s="7" t="n">
        <f aca="false">IF(((c_TMAP3IN)-(c_TMAP2IN))=0,(c_TMAP2OUT)+QUOTIENT(((c_TMAP3OUT)-(c_TMAP2OUT)),2),QUOTIENT((((C178)-(c_TMAP2IN))*((c_TMAP3OUT)-(c_TMAP2OUT))+IF(((c_TMAP3OUT)-(c_TMAP2OUT))&gt;=0,1,-1)*QUOTIENT(((c_TMAP3IN)-(c_TMAP2IN)),2)),((c_TMAP3IN)-(c_TMAP2IN)))+(c_TMAP2OUT)+IF(((c_TMAP3OUT)-(c_TMAP2OUT))&gt;=0,IF(IF(o_WRAP=1,MOD(((c_TMAP3IN)-(c_TMAP2IN))*(((C178)-(c_TMAP2IN))*((c_TMAP3OUT)-(c_TMAP2OUT))+IF(((c_TMAP3OUT)-(c_TMAP2OUT))&gt;=0,1,-1)*QUOTIENT(((c_TMAP3IN)-(c_TMAP2IN)),2))+2147483648,4294967296)-2147483648,((c_TMAP3IN)-(c_TMAP2IN))*(((C178)-(c_TMAP2IN))*((c_TMAP3OUT)-(c_TMAP2OUT))+IF(((c_TMAP3OUT)-(c_TMAP2OUT))&gt;=0,1,-1)*QUOTIENT(((c_TMAP3IN)-(c_TMAP2IN)),2)))&lt;0,-1,0),IF(IF(o_WRAP=1,MOD(((c_TMAP3IN)-(c_TMAP2IN))*(((C178)-(c_TMAP2IN))*((c_TMAP3OUT)-(c_TMAP2OUT))+IF(((c_TMAP3OUT)-(c_TMAP2OUT))&gt;=0,1,-1)*QUOTIENT(((c_TMAP3IN)-(c_TMAP2IN)),2))+2147483648,4294967296)-2147483648,((c_TMAP3IN)-(c_TMAP2IN))*(((C178)-(c_TMAP2IN))*((c_TMAP3OUT)-(c_TMAP2OUT))+IF(((c_TMAP3OUT)-(c_TMAP2OUT))&gt;=0,1,-1)*QUOTIENT(((c_TMAP3IN)-(c_TMAP2IN)),2)))&gt;=0,1,0)))</f>
        <v>270</v>
      </c>
      <c r="H178" s="7" t="n">
        <f aca="false">IF(((1000)-(c_TMAP3IN))=0,(c_TMAP3OUT)+QUOTIENT(((1000)-(c_TMAP3OUT)),2),QUOTIENT((((C178)-(c_TMAP3IN))*((1000)-(c_TMAP3OUT))+IF(((1000)-(c_TMAP3OUT))&gt;=0,1,-1)*QUOTIENT(((1000)-(c_TMAP3IN)),2)),((1000)-(c_TMAP3IN)))+(c_TMAP3OUT)+IF(((1000)-(c_TMAP3OUT))&gt;=0,IF(IF(o_WRAP=1,MOD(((1000)-(c_TMAP3IN))*(((C178)-(c_TMAP3IN))*((1000)-(c_TMAP3OUT))+IF(((1000)-(c_TMAP3OUT))&gt;=0,1,-1)*QUOTIENT(((1000)-(c_TMAP3IN)),2))+2147483648,4294967296)-2147483648,((1000)-(c_TMAP3IN))*(((C178)-(c_TMAP3IN))*((1000)-(c_TMAP3OUT))+IF(((1000)-(c_TMAP3OUT))&gt;=0,1,-1)*QUOTIENT(((1000)-(c_TMAP3IN)),2)))&lt;0,-1,0),IF(IF(o_WRAP=1,MOD(((1000)-(c_TMAP3IN))*(((C178)-(c_TMAP3IN))*((1000)-(c_TMAP3OUT))+IF(((1000)-(c_TMAP3OUT))&gt;=0,1,-1)*QUOTIENT(((1000)-(c_TMAP3IN)),2))+2147483648,4294967296)-2147483648,((1000)-(c_TMAP3IN))*(((C178)-(c_TMAP3IN))*((1000)-(c_TMAP3OUT))+IF(((1000)-(c_TMAP3OUT))&gt;=0,1,-1)*QUOTIENT(((1000)-(c_TMAP3IN)),2)))&gt;=0,1,0)))</f>
        <v>323</v>
      </c>
      <c r="I178" s="7" t="n">
        <f aca="false">IF(C178&gt;=c_TFWD,IF(AND(C178&gt;=c_TMAP3IN,c_TMAP3IN&lt;1000),H178,IF(AND(C178&gt;=c_TMAP2IN,c_TMAP3IN&gt;c_TMAP2IN),G178,IF(AND(C178&gt;=c_TMAP1IN,c_TMAP2IN&gt;c_TMAP1IN),F178,E178))),D178)</f>
        <v>323</v>
      </c>
      <c r="J178" s="7" t="str">
        <f aca="false">IF(I178&lt;-1090,"TOO LOW",IF(I178&gt;1090,"TOO HIGH",""))</f>
        <v/>
      </c>
      <c r="K178" s="7" t="n">
        <f aca="false">IF(J178&lt;&gt;"",0,IF(I178&gt;979,1000,I178))</f>
        <v>323</v>
      </c>
      <c r="L178" s="7" t="n">
        <f aca="false">IF(OR(c_TSMOOTH=0,K178&gt;=c_TSMOOTHCUT),1,0)</f>
        <v>0</v>
      </c>
      <c r="M178" s="7" t="n">
        <f aca="false">IF(L178=1,0,M177+1)</f>
        <v>92</v>
      </c>
      <c r="N178" s="7" t="n">
        <f aca="false">IF(L178=1,0,MIN(M178,c_TSMOOTH))</f>
        <v>30</v>
      </c>
      <c r="O178" s="7" t="n">
        <f aca="false">IF(COUNTIF($L$5:L178,1)&gt;0,c_TSMOOTHCUT,0)</f>
        <v>400</v>
      </c>
      <c r="P178" s="15" t="n">
        <f aca="true">IF(L178=1,K178,QUOTIENT(SUM(OFFSET(K178,1-N178,0,N178,1))+(c_TSMOOTH-N178)*O178,c_TSMOOTH))</f>
        <v>68</v>
      </c>
      <c r="Q178" s="7" t="n">
        <f aca="false">K178/10</f>
        <v>32.3</v>
      </c>
      <c r="R178" s="7" t="n">
        <f aca="false">P178/10</f>
        <v>6.8</v>
      </c>
    </row>
    <row r="179" customFormat="false" ht="15" hidden="false" customHeight="false" outlineLevel="0" collapsed="false">
      <c r="A179" s="7" t="n">
        <v>174</v>
      </c>
      <c r="B179" s="7" t="n">
        <f aca="false">A179*0.04</f>
        <v>6.96</v>
      </c>
      <c r="C179" s="18" t="n">
        <v>450</v>
      </c>
      <c r="D179" s="7" t="n">
        <f aca="false">IF(AND(C179=0,c_TCREEP&gt;0),10*c_TCREEP,IF(AND(C179&lt;=c_TRNGMIN,C179&gt;=c_TRNGMAX,c_TRNGMIN-c_TRNGMAX&lt;&gt;0),-10*c_TMINRN+QUOTIENT((c_TMAXRN-c_TMINRN)*(100-QUOTIENT((C179-c_TRNGMAX)*100,c_TRNGMIN-c_TRNGMAX)),-10),0))</f>
        <v>0</v>
      </c>
      <c r="E179" s="7" t="n">
        <f aca="false">IF(((c_TMAP1IN)-(c_TFWD))=0,(0)+QUOTIENT(((c_TMAP1OUT)-(0)),2),QUOTIENT((((C179)-(c_TFWD))*((c_TMAP1OUT)-(0))+IF(((c_TMAP1OUT)-(0))&gt;=0,1,-1)*QUOTIENT(((c_TMAP1IN)-(c_TFWD)),2)),((c_TMAP1IN)-(c_TFWD)))+(0)+IF(((c_TMAP1OUT)-(0))&gt;=0,IF(IF(o_WRAP=1,MOD(((c_TMAP1IN)-(c_TFWD))*(((C179)-(c_TFWD))*((c_TMAP1OUT)-(0))+IF(((c_TMAP1OUT)-(0))&gt;=0,1,-1)*QUOTIENT(((c_TMAP1IN)-(c_TFWD)),2))+2147483648,4294967296)-2147483648,((c_TMAP1IN)-(c_TFWD))*(((C179)-(c_TFWD))*((c_TMAP1OUT)-(0))+IF(((c_TMAP1OUT)-(0))&gt;=0,1,-1)*QUOTIENT(((c_TMAP1IN)-(c_TFWD)),2)))&lt;0,-1,0),IF(IF(o_WRAP=1,MOD(((c_TMAP1IN)-(c_TFWD))*(((C179)-(c_TFWD))*((c_TMAP1OUT)-(0))+IF(((c_TMAP1OUT)-(0))&gt;=0,1,-1)*QUOTIENT(((c_TMAP1IN)-(c_TFWD)),2))+2147483648,4294967296)-2147483648,((c_TMAP1IN)-(c_TFWD))*(((C179)-(c_TFWD))*((c_TMAP1OUT)-(0))+IF(((c_TMAP1OUT)-(0))&gt;=0,1,-1)*QUOTIENT(((c_TMAP1IN)-(c_TFWD)),2)))&gt;=0,1,0)))</f>
        <v>342</v>
      </c>
      <c r="F179" s="7" t="n">
        <f aca="false">IF(((c_TMAP2IN)-(c_TMAP1IN))=0,(c_TMAP1OUT)+QUOTIENT(((c_TMAP2OUT)-(c_TMAP1OUT)),2),QUOTIENT((((C179)-(c_TMAP1IN))*((c_TMAP2OUT)-(c_TMAP1OUT))+IF(((c_TMAP2OUT)-(c_TMAP1OUT))&gt;=0,1,-1)*QUOTIENT(((c_TMAP2IN)-(c_TMAP1IN)),2)),((c_TMAP2IN)-(c_TMAP1IN)))+(c_TMAP1OUT)+IF(((c_TMAP2OUT)-(c_TMAP1OUT))&gt;=0,IF(IF(o_WRAP=1,MOD(((c_TMAP2IN)-(c_TMAP1IN))*(((C179)-(c_TMAP1IN))*((c_TMAP2OUT)-(c_TMAP1OUT))+IF(((c_TMAP2OUT)-(c_TMAP1OUT))&gt;=0,1,-1)*QUOTIENT(((c_TMAP2IN)-(c_TMAP1IN)),2))+2147483648,4294967296)-2147483648,((c_TMAP2IN)-(c_TMAP1IN))*(((C179)-(c_TMAP1IN))*((c_TMAP2OUT)-(c_TMAP1OUT))+IF(((c_TMAP2OUT)-(c_TMAP1OUT))&gt;=0,1,-1)*QUOTIENT(((c_TMAP2IN)-(c_TMAP1IN)),2)))&lt;0,-1,0),IF(IF(o_WRAP=1,MOD(((c_TMAP2IN)-(c_TMAP1IN))*(((C179)-(c_TMAP1IN))*((c_TMAP2OUT)-(c_TMAP1OUT))+IF(((c_TMAP2OUT)-(c_TMAP1OUT))&gt;=0,1,-1)*QUOTIENT(((c_TMAP2IN)-(c_TMAP1IN)),2))+2147483648,4294967296)-2147483648,((c_TMAP2IN)-(c_TMAP1IN))*(((C179)-(c_TMAP1IN))*((c_TMAP2OUT)-(c_TMAP1OUT))+IF(((c_TMAP2OUT)-(c_TMAP1OUT))&gt;=0,1,-1)*QUOTIENT(((c_TMAP2IN)-(c_TMAP1IN)),2)))&gt;=0,1,0)))</f>
        <v>210</v>
      </c>
      <c r="G179" s="7" t="n">
        <f aca="false">IF(((c_TMAP3IN)-(c_TMAP2IN))=0,(c_TMAP2OUT)+QUOTIENT(((c_TMAP3OUT)-(c_TMAP2OUT)),2),QUOTIENT((((C179)-(c_TMAP2IN))*((c_TMAP3OUT)-(c_TMAP2OUT))+IF(((c_TMAP3OUT)-(c_TMAP2OUT))&gt;=0,1,-1)*QUOTIENT(((c_TMAP3IN)-(c_TMAP2IN)),2)),((c_TMAP3IN)-(c_TMAP2IN)))+(c_TMAP2OUT)+IF(((c_TMAP3OUT)-(c_TMAP2OUT))&gt;=0,IF(IF(o_WRAP=1,MOD(((c_TMAP3IN)-(c_TMAP2IN))*(((C179)-(c_TMAP2IN))*((c_TMAP3OUT)-(c_TMAP2OUT))+IF(((c_TMAP3OUT)-(c_TMAP2OUT))&gt;=0,1,-1)*QUOTIENT(((c_TMAP3IN)-(c_TMAP2IN)),2))+2147483648,4294967296)-2147483648,((c_TMAP3IN)-(c_TMAP2IN))*(((C179)-(c_TMAP2IN))*((c_TMAP3OUT)-(c_TMAP2OUT))+IF(((c_TMAP3OUT)-(c_TMAP2OUT))&gt;=0,1,-1)*QUOTIENT(((c_TMAP3IN)-(c_TMAP2IN)),2)))&lt;0,-1,0),IF(IF(o_WRAP=1,MOD(((c_TMAP3IN)-(c_TMAP2IN))*(((C179)-(c_TMAP2IN))*((c_TMAP3OUT)-(c_TMAP2OUT))+IF(((c_TMAP3OUT)-(c_TMAP2OUT))&gt;=0,1,-1)*QUOTIENT(((c_TMAP3IN)-(c_TMAP2IN)),2))+2147483648,4294967296)-2147483648,((c_TMAP3IN)-(c_TMAP2IN))*(((C179)-(c_TMAP2IN))*((c_TMAP3OUT)-(c_TMAP2OUT))+IF(((c_TMAP3OUT)-(c_TMAP2OUT))&gt;=0,1,-1)*QUOTIENT(((c_TMAP3IN)-(c_TMAP2IN)),2)))&gt;=0,1,0)))</f>
        <v>270</v>
      </c>
      <c r="H179" s="7" t="n">
        <f aca="false">IF(((1000)-(c_TMAP3IN))=0,(c_TMAP3OUT)+QUOTIENT(((1000)-(c_TMAP3OUT)),2),QUOTIENT((((C179)-(c_TMAP3IN))*((1000)-(c_TMAP3OUT))+IF(((1000)-(c_TMAP3OUT))&gt;=0,1,-1)*QUOTIENT(((1000)-(c_TMAP3IN)),2)),((1000)-(c_TMAP3IN)))+(c_TMAP3OUT)+IF(((1000)-(c_TMAP3OUT))&gt;=0,IF(IF(o_WRAP=1,MOD(((1000)-(c_TMAP3IN))*(((C179)-(c_TMAP3IN))*((1000)-(c_TMAP3OUT))+IF(((1000)-(c_TMAP3OUT))&gt;=0,1,-1)*QUOTIENT(((1000)-(c_TMAP3IN)),2))+2147483648,4294967296)-2147483648,((1000)-(c_TMAP3IN))*(((C179)-(c_TMAP3IN))*((1000)-(c_TMAP3OUT))+IF(((1000)-(c_TMAP3OUT))&gt;=0,1,-1)*QUOTIENT(((1000)-(c_TMAP3IN)),2)))&lt;0,-1,0),IF(IF(o_WRAP=1,MOD(((1000)-(c_TMAP3IN))*(((C179)-(c_TMAP3IN))*((1000)-(c_TMAP3OUT))+IF(((1000)-(c_TMAP3OUT))&gt;=0,1,-1)*QUOTIENT(((1000)-(c_TMAP3IN)),2))+2147483648,4294967296)-2147483648,((1000)-(c_TMAP3IN))*(((C179)-(c_TMAP3IN))*((1000)-(c_TMAP3OUT))+IF(((1000)-(c_TMAP3OUT))&gt;=0,1,-1)*QUOTIENT(((1000)-(c_TMAP3IN)),2)))&gt;=0,1,0)))</f>
        <v>323</v>
      </c>
      <c r="I179" s="7" t="n">
        <f aca="false">IF(C179&gt;=c_TFWD,IF(AND(C179&gt;=c_TMAP3IN,c_TMAP3IN&lt;1000),H179,IF(AND(C179&gt;=c_TMAP2IN,c_TMAP3IN&gt;c_TMAP2IN),G179,IF(AND(C179&gt;=c_TMAP1IN,c_TMAP2IN&gt;c_TMAP1IN),F179,E179))),D179)</f>
        <v>323</v>
      </c>
      <c r="J179" s="7" t="str">
        <f aca="false">IF(I179&lt;-1090,"TOO LOW",IF(I179&gt;1090,"TOO HIGH",""))</f>
        <v/>
      </c>
      <c r="K179" s="7" t="n">
        <f aca="false">IF(J179&lt;&gt;"",0,IF(I179&gt;979,1000,I179))</f>
        <v>323</v>
      </c>
      <c r="L179" s="7" t="n">
        <f aca="false">IF(OR(c_TSMOOTH=0,K179&gt;=c_TSMOOTHCUT),1,0)</f>
        <v>0</v>
      </c>
      <c r="M179" s="7" t="n">
        <f aca="false">IF(L179=1,0,M178+1)</f>
        <v>93</v>
      </c>
      <c r="N179" s="7" t="n">
        <f aca="false">IF(L179=1,0,MIN(M179,c_TSMOOTH))</f>
        <v>30</v>
      </c>
      <c r="O179" s="7" t="n">
        <f aca="false">IF(COUNTIF($L$5:L179,1)&gt;0,c_TSMOOTHCUT,0)</f>
        <v>400</v>
      </c>
      <c r="P179" s="15" t="n">
        <f aca="true">IF(L179=1,K179,QUOTIENT(SUM(OFFSET(K179,1-N179,0,N179,1))+(c_TSMOOTH-N179)*O179,c_TSMOOTH))</f>
        <v>91</v>
      </c>
      <c r="Q179" s="7" t="n">
        <f aca="false">K179/10</f>
        <v>32.3</v>
      </c>
      <c r="R179" s="7" t="n">
        <f aca="false">P179/10</f>
        <v>9.1</v>
      </c>
    </row>
    <row r="180" customFormat="false" ht="15" hidden="false" customHeight="false" outlineLevel="0" collapsed="false">
      <c r="A180" s="7" t="n">
        <v>175</v>
      </c>
      <c r="B180" s="7" t="n">
        <f aca="false">A180*0.04</f>
        <v>7</v>
      </c>
      <c r="C180" s="18" t="n">
        <v>450</v>
      </c>
      <c r="D180" s="7" t="n">
        <f aca="false">IF(AND(C180=0,c_TCREEP&gt;0),10*c_TCREEP,IF(AND(C180&lt;=c_TRNGMIN,C180&gt;=c_TRNGMAX,c_TRNGMIN-c_TRNGMAX&lt;&gt;0),-10*c_TMINRN+QUOTIENT((c_TMAXRN-c_TMINRN)*(100-QUOTIENT((C180-c_TRNGMAX)*100,c_TRNGMIN-c_TRNGMAX)),-10),0))</f>
        <v>0</v>
      </c>
      <c r="E180" s="7" t="n">
        <f aca="false">IF(((c_TMAP1IN)-(c_TFWD))=0,(0)+QUOTIENT(((c_TMAP1OUT)-(0)),2),QUOTIENT((((C180)-(c_TFWD))*((c_TMAP1OUT)-(0))+IF(((c_TMAP1OUT)-(0))&gt;=0,1,-1)*QUOTIENT(((c_TMAP1IN)-(c_TFWD)),2)),((c_TMAP1IN)-(c_TFWD)))+(0)+IF(((c_TMAP1OUT)-(0))&gt;=0,IF(IF(o_WRAP=1,MOD(((c_TMAP1IN)-(c_TFWD))*(((C180)-(c_TFWD))*((c_TMAP1OUT)-(0))+IF(((c_TMAP1OUT)-(0))&gt;=0,1,-1)*QUOTIENT(((c_TMAP1IN)-(c_TFWD)),2))+2147483648,4294967296)-2147483648,((c_TMAP1IN)-(c_TFWD))*(((C180)-(c_TFWD))*((c_TMAP1OUT)-(0))+IF(((c_TMAP1OUT)-(0))&gt;=0,1,-1)*QUOTIENT(((c_TMAP1IN)-(c_TFWD)),2)))&lt;0,-1,0),IF(IF(o_WRAP=1,MOD(((c_TMAP1IN)-(c_TFWD))*(((C180)-(c_TFWD))*((c_TMAP1OUT)-(0))+IF(((c_TMAP1OUT)-(0))&gt;=0,1,-1)*QUOTIENT(((c_TMAP1IN)-(c_TFWD)),2))+2147483648,4294967296)-2147483648,((c_TMAP1IN)-(c_TFWD))*(((C180)-(c_TFWD))*((c_TMAP1OUT)-(0))+IF(((c_TMAP1OUT)-(0))&gt;=0,1,-1)*QUOTIENT(((c_TMAP1IN)-(c_TFWD)),2)))&gt;=0,1,0)))</f>
        <v>342</v>
      </c>
      <c r="F180" s="7" t="n">
        <f aca="false">IF(((c_TMAP2IN)-(c_TMAP1IN))=0,(c_TMAP1OUT)+QUOTIENT(((c_TMAP2OUT)-(c_TMAP1OUT)),2),QUOTIENT((((C180)-(c_TMAP1IN))*((c_TMAP2OUT)-(c_TMAP1OUT))+IF(((c_TMAP2OUT)-(c_TMAP1OUT))&gt;=0,1,-1)*QUOTIENT(((c_TMAP2IN)-(c_TMAP1IN)),2)),((c_TMAP2IN)-(c_TMAP1IN)))+(c_TMAP1OUT)+IF(((c_TMAP2OUT)-(c_TMAP1OUT))&gt;=0,IF(IF(o_WRAP=1,MOD(((c_TMAP2IN)-(c_TMAP1IN))*(((C180)-(c_TMAP1IN))*((c_TMAP2OUT)-(c_TMAP1OUT))+IF(((c_TMAP2OUT)-(c_TMAP1OUT))&gt;=0,1,-1)*QUOTIENT(((c_TMAP2IN)-(c_TMAP1IN)),2))+2147483648,4294967296)-2147483648,((c_TMAP2IN)-(c_TMAP1IN))*(((C180)-(c_TMAP1IN))*((c_TMAP2OUT)-(c_TMAP1OUT))+IF(((c_TMAP2OUT)-(c_TMAP1OUT))&gt;=0,1,-1)*QUOTIENT(((c_TMAP2IN)-(c_TMAP1IN)),2)))&lt;0,-1,0),IF(IF(o_WRAP=1,MOD(((c_TMAP2IN)-(c_TMAP1IN))*(((C180)-(c_TMAP1IN))*((c_TMAP2OUT)-(c_TMAP1OUT))+IF(((c_TMAP2OUT)-(c_TMAP1OUT))&gt;=0,1,-1)*QUOTIENT(((c_TMAP2IN)-(c_TMAP1IN)),2))+2147483648,4294967296)-2147483648,((c_TMAP2IN)-(c_TMAP1IN))*(((C180)-(c_TMAP1IN))*((c_TMAP2OUT)-(c_TMAP1OUT))+IF(((c_TMAP2OUT)-(c_TMAP1OUT))&gt;=0,1,-1)*QUOTIENT(((c_TMAP2IN)-(c_TMAP1IN)),2)))&gt;=0,1,0)))</f>
        <v>210</v>
      </c>
      <c r="G180" s="7" t="n">
        <f aca="false">IF(((c_TMAP3IN)-(c_TMAP2IN))=0,(c_TMAP2OUT)+QUOTIENT(((c_TMAP3OUT)-(c_TMAP2OUT)),2),QUOTIENT((((C180)-(c_TMAP2IN))*((c_TMAP3OUT)-(c_TMAP2OUT))+IF(((c_TMAP3OUT)-(c_TMAP2OUT))&gt;=0,1,-1)*QUOTIENT(((c_TMAP3IN)-(c_TMAP2IN)),2)),((c_TMAP3IN)-(c_TMAP2IN)))+(c_TMAP2OUT)+IF(((c_TMAP3OUT)-(c_TMAP2OUT))&gt;=0,IF(IF(o_WRAP=1,MOD(((c_TMAP3IN)-(c_TMAP2IN))*(((C180)-(c_TMAP2IN))*((c_TMAP3OUT)-(c_TMAP2OUT))+IF(((c_TMAP3OUT)-(c_TMAP2OUT))&gt;=0,1,-1)*QUOTIENT(((c_TMAP3IN)-(c_TMAP2IN)),2))+2147483648,4294967296)-2147483648,((c_TMAP3IN)-(c_TMAP2IN))*(((C180)-(c_TMAP2IN))*((c_TMAP3OUT)-(c_TMAP2OUT))+IF(((c_TMAP3OUT)-(c_TMAP2OUT))&gt;=0,1,-1)*QUOTIENT(((c_TMAP3IN)-(c_TMAP2IN)),2)))&lt;0,-1,0),IF(IF(o_WRAP=1,MOD(((c_TMAP3IN)-(c_TMAP2IN))*(((C180)-(c_TMAP2IN))*((c_TMAP3OUT)-(c_TMAP2OUT))+IF(((c_TMAP3OUT)-(c_TMAP2OUT))&gt;=0,1,-1)*QUOTIENT(((c_TMAP3IN)-(c_TMAP2IN)),2))+2147483648,4294967296)-2147483648,((c_TMAP3IN)-(c_TMAP2IN))*(((C180)-(c_TMAP2IN))*((c_TMAP3OUT)-(c_TMAP2OUT))+IF(((c_TMAP3OUT)-(c_TMAP2OUT))&gt;=0,1,-1)*QUOTIENT(((c_TMAP3IN)-(c_TMAP2IN)),2)))&gt;=0,1,0)))</f>
        <v>270</v>
      </c>
      <c r="H180" s="7" t="n">
        <f aca="false">IF(((1000)-(c_TMAP3IN))=0,(c_TMAP3OUT)+QUOTIENT(((1000)-(c_TMAP3OUT)),2),QUOTIENT((((C180)-(c_TMAP3IN))*((1000)-(c_TMAP3OUT))+IF(((1000)-(c_TMAP3OUT))&gt;=0,1,-1)*QUOTIENT(((1000)-(c_TMAP3IN)),2)),((1000)-(c_TMAP3IN)))+(c_TMAP3OUT)+IF(((1000)-(c_TMAP3OUT))&gt;=0,IF(IF(o_WRAP=1,MOD(((1000)-(c_TMAP3IN))*(((C180)-(c_TMAP3IN))*((1000)-(c_TMAP3OUT))+IF(((1000)-(c_TMAP3OUT))&gt;=0,1,-1)*QUOTIENT(((1000)-(c_TMAP3IN)),2))+2147483648,4294967296)-2147483648,((1000)-(c_TMAP3IN))*(((C180)-(c_TMAP3IN))*((1000)-(c_TMAP3OUT))+IF(((1000)-(c_TMAP3OUT))&gt;=0,1,-1)*QUOTIENT(((1000)-(c_TMAP3IN)),2)))&lt;0,-1,0),IF(IF(o_WRAP=1,MOD(((1000)-(c_TMAP3IN))*(((C180)-(c_TMAP3IN))*((1000)-(c_TMAP3OUT))+IF(((1000)-(c_TMAP3OUT))&gt;=0,1,-1)*QUOTIENT(((1000)-(c_TMAP3IN)),2))+2147483648,4294967296)-2147483648,((1000)-(c_TMAP3IN))*(((C180)-(c_TMAP3IN))*((1000)-(c_TMAP3OUT))+IF(((1000)-(c_TMAP3OUT))&gt;=0,1,-1)*QUOTIENT(((1000)-(c_TMAP3IN)),2)))&gt;=0,1,0)))</f>
        <v>323</v>
      </c>
      <c r="I180" s="7" t="n">
        <f aca="false">IF(C180&gt;=c_TFWD,IF(AND(C180&gt;=c_TMAP3IN,c_TMAP3IN&lt;1000),H180,IF(AND(C180&gt;=c_TMAP2IN,c_TMAP3IN&gt;c_TMAP2IN),G180,IF(AND(C180&gt;=c_TMAP1IN,c_TMAP2IN&gt;c_TMAP1IN),F180,E180))),D180)</f>
        <v>323</v>
      </c>
      <c r="J180" s="7" t="str">
        <f aca="false">IF(I180&lt;-1090,"TOO LOW",IF(I180&gt;1090,"TOO HIGH",""))</f>
        <v/>
      </c>
      <c r="K180" s="7" t="n">
        <f aca="false">IF(J180&lt;&gt;"",0,IF(I180&gt;979,1000,I180))</f>
        <v>323</v>
      </c>
      <c r="L180" s="7" t="n">
        <f aca="false">IF(OR(c_TSMOOTH=0,K180&gt;=c_TSMOOTHCUT),1,0)</f>
        <v>0</v>
      </c>
      <c r="M180" s="7" t="n">
        <f aca="false">IF(L180=1,0,M179+1)</f>
        <v>94</v>
      </c>
      <c r="N180" s="7" t="n">
        <f aca="false">IF(L180=1,0,MIN(M180,c_TSMOOTH))</f>
        <v>30</v>
      </c>
      <c r="O180" s="7" t="n">
        <f aca="false">IF(COUNTIF($L$5:L180,1)&gt;0,c_TSMOOTHCUT,0)</f>
        <v>400</v>
      </c>
      <c r="P180" s="15" t="n">
        <f aca="true">IF(L180=1,K180,QUOTIENT(SUM(OFFSET(K180,1-N180,0,N180,1))+(c_TSMOOTH-N180)*O180,c_TSMOOTH))</f>
        <v>113</v>
      </c>
      <c r="Q180" s="7" t="n">
        <f aca="false">K180/10</f>
        <v>32.3</v>
      </c>
      <c r="R180" s="7" t="n">
        <f aca="false">P180/10</f>
        <v>11.3</v>
      </c>
    </row>
    <row r="181" customFormat="false" ht="15" hidden="false" customHeight="false" outlineLevel="0" collapsed="false">
      <c r="A181" s="7" t="n">
        <v>176</v>
      </c>
      <c r="B181" s="7" t="n">
        <f aca="false">A181*0.04</f>
        <v>7.04</v>
      </c>
      <c r="C181" s="18" t="n">
        <v>450</v>
      </c>
      <c r="D181" s="7" t="n">
        <f aca="false">IF(AND(C181=0,c_TCREEP&gt;0),10*c_TCREEP,IF(AND(C181&lt;=c_TRNGMIN,C181&gt;=c_TRNGMAX,c_TRNGMIN-c_TRNGMAX&lt;&gt;0),-10*c_TMINRN+QUOTIENT((c_TMAXRN-c_TMINRN)*(100-QUOTIENT((C181-c_TRNGMAX)*100,c_TRNGMIN-c_TRNGMAX)),-10),0))</f>
        <v>0</v>
      </c>
      <c r="E181" s="7" t="n">
        <f aca="false">IF(((c_TMAP1IN)-(c_TFWD))=0,(0)+QUOTIENT(((c_TMAP1OUT)-(0)),2),QUOTIENT((((C181)-(c_TFWD))*((c_TMAP1OUT)-(0))+IF(((c_TMAP1OUT)-(0))&gt;=0,1,-1)*QUOTIENT(((c_TMAP1IN)-(c_TFWD)),2)),((c_TMAP1IN)-(c_TFWD)))+(0)+IF(((c_TMAP1OUT)-(0))&gt;=0,IF(IF(o_WRAP=1,MOD(((c_TMAP1IN)-(c_TFWD))*(((C181)-(c_TFWD))*((c_TMAP1OUT)-(0))+IF(((c_TMAP1OUT)-(0))&gt;=0,1,-1)*QUOTIENT(((c_TMAP1IN)-(c_TFWD)),2))+2147483648,4294967296)-2147483648,((c_TMAP1IN)-(c_TFWD))*(((C181)-(c_TFWD))*((c_TMAP1OUT)-(0))+IF(((c_TMAP1OUT)-(0))&gt;=0,1,-1)*QUOTIENT(((c_TMAP1IN)-(c_TFWD)),2)))&lt;0,-1,0),IF(IF(o_WRAP=1,MOD(((c_TMAP1IN)-(c_TFWD))*(((C181)-(c_TFWD))*((c_TMAP1OUT)-(0))+IF(((c_TMAP1OUT)-(0))&gt;=0,1,-1)*QUOTIENT(((c_TMAP1IN)-(c_TFWD)),2))+2147483648,4294967296)-2147483648,((c_TMAP1IN)-(c_TFWD))*(((C181)-(c_TFWD))*((c_TMAP1OUT)-(0))+IF(((c_TMAP1OUT)-(0))&gt;=0,1,-1)*QUOTIENT(((c_TMAP1IN)-(c_TFWD)),2)))&gt;=0,1,0)))</f>
        <v>342</v>
      </c>
      <c r="F181" s="7" t="n">
        <f aca="false">IF(((c_TMAP2IN)-(c_TMAP1IN))=0,(c_TMAP1OUT)+QUOTIENT(((c_TMAP2OUT)-(c_TMAP1OUT)),2),QUOTIENT((((C181)-(c_TMAP1IN))*((c_TMAP2OUT)-(c_TMAP1OUT))+IF(((c_TMAP2OUT)-(c_TMAP1OUT))&gt;=0,1,-1)*QUOTIENT(((c_TMAP2IN)-(c_TMAP1IN)),2)),((c_TMAP2IN)-(c_TMAP1IN)))+(c_TMAP1OUT)+IF(((c_TMAP2OUT)-(c_TMAP1OUT))&gt;=0,IF(IF(o_WRAP=1,MOD(((c_TMAP2IN)-(c_TMAP1IN))*(((C181)-(c_TMAP1IN))*((c_TMAP2OUT)-(c_TMAP1OUT))+IF(((c_TMAP2OUT)-(c_TMAP1OUT))&gt;=0,1,-1)*QUOTIENT(((c_TMAP2IN)-(c_TMAP1IN)),2))+2147483648,4294967296)-2147483648,((c_TMAP2IN)-(c_TMAP1IN))*(((C181)-(c_TMAP1IN))*((c_TMAP2OUT)-(c_TMAP1OUT))+IF(((c_TMAP2OUT)-(c_TMAP1OUT))&gt;=0,1,-1)*QUOTIENT(((c_TMAP2IN)-(c_TMAP1IN)),2)))&lt;0,-1,0),IF(IF(o_WRAP=1,MOD(((c_TMAP2IN)-(c_TMAP1IN))*(((C181)-(c_TMAP1IN))*((c_TMAP2OUT)-(c_TMAP1OUT))+IF(((c_TMAP2OUT)-(c_TMAP1OUT))&gt;=0,1,-1)*QUOTIENT(((c_TMAP2IN)-(c_TMAP1IN)),2))+2147483648,4294967296)-2147483648,((c_TMAP2IN)-(c_TMAP1IN))*(((C181)-(c_TMAP1IN))*((c_TMAP2OUT)-(c_TMAP1OUT))+IF(((c_TMAP2OUT)-(c_TMAP1OUT))&gt;=0,1,-1)*QUOTIENT(((c_TMAP2IN)-(c_TMAP1IN)),2)))&gt;=0,1,0)))</f>
        <v>210</v>
      </c>
      <c r="G181" s="7" t="n">
        <f aca="false">IF(((c_TMAP3IN)-(c_TMAP2IN))=0,(c_TMAP2OUT)+QUOTIENT(((c_TMAP3OUT)-(c_TMAP2OUT)),2),QUOTIENT((((C181)-(c_TMAP2IN))*((c_TMAP3OUT)-(c_TMAP2OUT))+IF(((c_TMAP3OUT)-(c_TMAP2OUT))&gt;=0,1,-1)*QUOTIENT(((c_TMAP3IN)-(c_TMAP2IN)),2)),((c_TMAP3IN)-(c_TMAP2IN)))+(c_TMAP2OUT)+IF(((c_TMAP3OUT)-(c_TMAP2OUT))&gt;=0,IF(IF(o_WRAP=1,MOD(((c_TMAP3IN)-(c_TMAP2IN))*(((C181)-(c_TMAP2IN))*((c_TMAP3OUT)-(c_TMAP2OUT))+IF(((c_TMAP3OUT)-(c_TMAP2OUT))&gt;=0,1,-1)*QUOTIENT(((c_TMAP3IN)-(c_TMAP2IN)),2))+2147483648,4294967296)-2147483648,((c_TMAP3IN)-(c_TMAP2IN))*(((C181)-(c_TMAP2IN))*((c_TMAP3OUT)-(c_TMAP2OUT))+IF(((c_TMAP3OUT)-(c_TMAP2OUT))&gt;=0,1,-1)*QUOTIENT(((c_TMAP3IN)-(c_TMAP2IN)),2)))&lt;0,-1,0),IF(IF(o_WRAP=1,MOD(((c_TMAP3IN)-(c_TMAP2IN))*(((C181)-(c_TMAP2IN))*((c_TMAP3OUT)-(c_TMAP2OUT))+IF(((c_TMAP3OUT)-(c_TMAP2OUT))&gt;=0,1,-1)*QUOTIENT(((c_TMAP3IN)-(c_TMAP2IN)),2))+2147483648,4294967296)-2147483648,((c_TMAP3IN)-(c_TMAP2IN))*(((C181)-(c_TMAP2IN))*((c_TMAP3OUT)-(c_TMAP2OUT))+IF(((c_TMAP3OUT)-(c_TMAP2OUT))&gt;=0,1,-1)*QUOTIENT(((c_TMAP3IN)-(c_TMAP2IN)),2)))&gt;=0,1,0)))</f>
        <v>270</v>
      </c>
      <c r="H181" s="7" t="n">
        <f aca="false">IF(((1000)-(c_TMAP3IN))=0,(c_TMAP3OUT)+QUOTIENT(((1000)-(c_TMAP3OUT)),2),QUOTIENT((((C181)-(c_TMAP3IN))*((1000)-(c_TMAP3OUT))+IF(((1000)-(c_TMAP3OUT))&gt;=0,1,-1)*QUOTIENT(((1000)-(c_TMAP3IN)),2)),((1000)-(c_TMAP3IN)))+(c_TMAP3OUT)+IF(((1000)-(c_TMAP3OUT))&gt;=0,IF(IF(o_WRAP=1,MOD(((1000)-(c_TMAP3IN))*(((C181)-(c_TMAP3IN))*((1000)-(c_TMAP3OUT))+IF(((1000)-(c_TMAP3OUT))&gt;=0,1,-1)*QUOTIENT(((1000)-(c_TMAP3IN)),2))+2147483648,4294967296)-2147483648,((1000)-(c_TMAP3IN))*(((C181)-(c_TMAP3IN))*((1000)-(c_TMAP3OUT))+IF(((1000)-(c_TMAP3OUT))&gt;=0,1,-1)*QUOTIENT(((1000)-(c_TMAP3IN)),2)))&lt;0,-1,0),IF(IF(o_WRAP=1,MOD(((1000)-(c_TMAP3IN))*(((C181)-(c_TMAP3IN))*((1000)-(c_TMAP3OUT))+IF(((1000)-(c_TMAP3OUT))&gt;=0,1,-1)*QUOTIENT(((1000)-(c_TMAP3IN)),2))+2147483648,4294967296)-2147483648,((1000)-(c_TMAP3IN))*(((C181)-(c_TMAP3IN))*((1000)-(c_TMAP3OUT))+IF(((1000)-(c_TMAP3OUT))&gt;=0,1,-1)*QUOTIENT(((1000)-(c_TMAP3IN)),2)))&gt;=0,1,0)))</f>
        <v>323</v>
      </c>
      <c r="I181" s="7" t="n">
        <f aca="false">IF(C181&gt;=c_TFWD,IF(AND(C181&gt;=c_TMAP3IN,c_TMAP3IN&lt;1000),H181,IF(AND(C181&gt;=c_TMAP2IN,c_TMAP3IN&gt;c_TMAP2IN),G181,IF(AND(C181&gt;=c_TMAP1IN,c_TMAP2IN&gt;c_TMAP1IN),F181,E181))),D181)</f>
        <v>323</v>
      </c>
      <c r="J181" s="7" t="str">
        <f aca="false">IF(I181&lt;-1090,"TOO LOW",IF(I181&gt;1090,"TOO HIGH",""))</f>
        <v/>
      </c>
      <c r="K181" s="7" t="n">
        <f aca="false">IF(J181&lt;&gt;"",0,IF(I181&gt;979,1000,I181))</f>
        <v>323</v>
      </c>
      <c r="L181" s="7" t="n">
        <f aca="false">IF(OR(c_TSMOOTH=0,K181&gt;=c_TSMOOTHCUT),1,0)</f>
        <v>0</v>
      </c>
      <c r="M181" s="7" t="n">
        <f aca="false">IF(L181=1,0,M180+1)</f>
        <v>95</v>
      </c>
      <c r="N181" s="7" t="n">
        <f aca="false">IF(L181=1,0,MIN(M181,c_TSMOOTH))</f>
        <v>30</v>
      </c>
      <c r="O181" s="7" t="n">
        <f aca="false">IF(COUNTIF($L$5:L181,1)&gt;0,c_TSMOOTHCUT,0)</f>
        <v>400</v>
      </c>
      <c r="P181" s="15" t="n">
        <f aca="true">IF(L181=1,K181,QUOTIENT(SUM(OFFSET(K181,1-N181,0,N181,1))+(c_TSMOOTH-N181)*O181,c_TSMOOTH))</f>
        <v>135</v>
      </c>
      <c r="Q181" s="7" t="n">
        <f aca="false">K181/10</f>
        <v>32.3</v>
      </c>
      <c r="R181" s="7" t="n">
        <f aca="false">P181/10</f>
        <v>13.5</v>
      </c>
    </row>
    <row r="182" customFormat="false" ht="15" hidden="false" customHeight="false" outlineLevel="0" collapsed="false">
      <c r="A182" s="7" t="n">
        <v>177</v>
      </c>
      <c r="B182" s="7" t="n">
        <f aca="false">A182*0.04</f>
        <v>7.08</v>
      </c>
      <c r="C182" s="18" t="n">
        <v>450</v>
      </c>
      <c r="D182" s="7" t="n">
        <f aca="false">IF(AND(C182=0,c_TCREEP&gt;0),10*c_TCREEP,IF(AND(C182&lt;=c_TRNGMIN,C182&gt;=c_TRNGMAX,c_TRNGMIN-c_TRNGMAX&lt;&gt;0),-10*c_TMINRN+QUOTIENT((c_TMAXRN-c_TMINRN)*(100-QUOTIENT((C182-c_TRNGMAX)*100,c_TRNGMIN-c_TRNGMAX)),-10),0))</f>
        <v>0</v>
      </c>
      <c r="E182" s="7" t="n">
        <f aca="false">IF(((c_TMAP1IN)-(c_TFWD))=0,(0)+QUOTIENT(((c_TMAP1OUT)-(0)),2),QUOTIENT((((C182)-(c_TFWD))*((c_TMAP1OUT)-(0))+IF(((c_TMAP1OUT)-(0))&gt;=0,1,-1)*QUOTIENT(((c_TMAP1IN)-(c_TFWD)),2)),((c_TMAP1IN)-(c_TFWD)))+(0)+IF(((c_TMAP1OUT)-(0))&gt;=0,IF(IF(o_WRAP=1,MOD(((c_TMAP1IN)-(c_TFWD))*(((C182)-(c_TFWD))*((c_TMAP1OUT)-(0))+IF(((c_TMAP1OUT)-(0))&gt;=0,1,-1)*QUOTIENT(((c_TMAP1IN)-(c_TFWD)),2))+2147483648,4294967296)-2147483648,((c_TMAP1IN)-(c_TFWD))*(((C182)-(c_TFWD))*((c_TMAP1OUT)-(0))+IF(((c_TMAP1OUT)-(0))&gt;=0,1,-1)*QUOTIENT(((c_TMAP1IN)-(c_TFWD)),2)))&lt;0,-1,0),IF(IF(o_WRAP=1,MOD(((c_TMAP1IN)-(c_TFWD))*(((C182)-(c_TFWD))*((c_TMAP1OUT)-(0))+IF(((c_TMAP1OUT)-(0))&gt;=0,1,-1)*QUOTIENT(((c_TMAP1IN)-(c_TFWD)),2))+2147483648,4294967296)-2147483648,((c_TMAP1IN)-(c_TFWD))*(((C182)-(c_TFWD))*((c_TMAP1OUT)-(0))+IF(((c_TMAP1OUT)-(0))&gt;=0,1,-1)*QUOTIENT(((c_TMAP1IN)-(c_TFWD)),2)))&gt;=0,1,0)))</f>
        <v>342</v>
      </c>
      <c r="F182" s="7" t="n">
        <f aca="false">IF(((c_TMAP2IN)-(c_TMAP1IN))=0,(c_TMAP1OUT)+QUOTIENT(((c_TMAP2OUT)-(c_TMAP1OUT)),2),QUOTIENT((((C182)-(c_TMAP1IN))*((c_TMAP2OUT)-(c_TMAP1OUT))+IF(((c_TMAP2OUT)-(c_TMAP1OUT))&gt;=0,1,-1)*QUOTIENT(((c_TMAP2IN)-(c_TMAP1IN)),2)),((c_TMAP2IN)-(c_TMAP1IN)))+(c_TMAP1OUT)+IF(((c_TMAP2OUT)-(c_TMAP1OUT))&gt;=0,IF(IF(o_WRAP=1,MOD(((c_TMAP2IN)-(c_TMAP1IN))*(((C182)-(c_TMAP1IN))*((c_TMAP2OUT)-(c_TMAP1OUT))+IF(((c_TMAP2OUT)-(c_TMAP1OUT))&gt;=0,1,-1)*QUOTIENT(((c_TMAP2IN)-(c_TMAP1IN)),2))+2147483648,4294967296)-2147483648,((c_TMAP2IN)-(c_TMAP1IN))*(((C182)-(c_TMAP1IN))*((c_TMAP2OUT)-(c_TMAP1OUT))+IF(((c_TMAP2OUT)-(c_TMAP1OUT))&gt;=0,1,-1)*QUOTIENT(((c_TMAP2IN)-(c_TMAP1IN)),2)))&lt;0,-1,0),IF(IF(o_WRAP=1,MOD(((c_TMAP2IN)-(c_TMAP1IN))*(((C182)-(c_TMAP1IN))*((c_TMAP2OUT)-(c_TMAP1OUT))+IF(((c_TMAP2OUT)-(c_TMAP1OUT))&gt;=0,1,-1)*QUOTIENT(((c_TMAP2IN)-(c_TMAP1IN)),2))+2147483648,4294967296)-2147483648,((c_TMAP2IN)-(c_TMAP1IN))*(((C182)-(c_TMAP1IN))*((c_TMAP2OUT)-(c_TMAP1OUT))+IF(((c_TMAP2OUT)-(c_TMAP1OUT))&gt;=0,1,-1)*QUOTIENT(((c_TMAP2IN)-(c_TMAP1IN)),2)))&gt;=0,1,0)))</f>
        <v>210</v>
      </c>
      <c r="G182" s="7" t="n">
        <f aca="false">IF(((c_TMAP3IN)-(c_TMAP2IN))=0,(c_TMAP2OUT)+QUOTIENT(((c_TMAP3OUT)-(c_TMAP2OUT)),2),QUOTIENT((((C182)-(c_TMAP2IN))*((c_TMAP3OUT)-(c_TMAP2OUT))+IF(((c_TMAP3OUT)-(c_TMAP2OUT))&gt;=0,1,-1)*QUOTIENT(((c_TMAP3IN)-(c_TMAP2IN)),2)),((c_TMAP3IN)-(c_TMAP2IN)))+(c_TMAP2OUT)+IF(((c_TMAP3OUT)-(c_TMAP2OUT))&gt;=0,IF(IF(o_WRAP=1,MOD(((c_TMAP3IN)-(c_TMAP2IN))*(((C182)-(c_TMAP2IN))*((c_TMAP3OUT)-(c_TMAP2OUT))+IF(((c_TMAP3OUT)-(c_TMAP2OUT))&gt;=0,1,-1)*QUOTIENT(((c_TMAP3IN)-(c_TMAP2IN)),2))+2147483648,4294967296)-2147483648,((c_TMAP3IN)-(c_TMAP2IN))*(((C182)-(c_TMAP2IN))*((c_TMAP3OUT)-(c_TMAP2OUT))+IF(((c_TMAP3OUT)-(c_TMAP2OUT))&gt;=0,1,-1)*QUOTIENT(((c_TMAP3IN)-(c_TMAP2IN)),2)))&lt;0,-1,0),IF(IF(o_WRAP=1,MOD(((c_TMAP3IN)-(c_TMAP2IN))*(((C182)-(c_TMAP2IN))*((c_TMAP3OUT)-(c_TMAP2OUT))+IF(((c_TMAP3OUT)-(c_TMAP2OUT))&gt;=0,1,-1)*QUOTIENT(((c_TMAP3IN)-(c_TMAP2IN)),2))+2147483648,4294967296)-2147483648,((c_TMAP3IN)-(c_TMAP2IN))*(((C182)-(c_TMAP2IN))*((c_TMAP3OUT)-(c_TMAP2OUT))+IF(((c_TMAP3OUT)-(c_TMAP2OUT))&gt;=0,1,-1)*QUOTIENT(((c_TMAP3IN)-(c_TMAP2IN)),2)))&gt;=0,1,0)))</f>
        <v>270</v>
      </c>
      <c r="H182" s="7" t="n">
        <f aca="false">IF(((1000)-(c_TMAP3IN))=0,(c_TMAP3OUT)+QUOTIENT(((1000)-(c_TMAP3OUT)),2),QUOTIENT((((C182)-(c_TMAP3IN))*((1000)-(c_TMAP3OUT))+IF(((1000)-(c_TMAP3OUT))&gt;=0,1,-1)*QUOTIENT(((1000)-(c_TMAP3IN)),2)),((1000)-(c_TMAP3IN)))+(c_TMAP3OUT)+IF(((1000)-(c_TMAP3OUT))&gt;=0,IF(IF(o_WRAP=1,MOD(((1000)-(c_TMAP3IN))*(((C182)-(c_TMAP3IN))*((1000)-(c_TMAP3OUT))+IF(((1000)-(c_TMAP3OUT))&gt;=0,1,-1)*QUOTIENT(((1000)-(c_TMAP3IN)),2))+2147483648,4294967296)-2147483648,((1000)-(c_TMAP3IN))*(((C182)-(c_TMAP3IN))*((1000)-(c_TMAP3OUT))+IF(((1000)-(c_TMAP3OUT))&gt;=0,1,-1)*QUOTIENT(((1000)-(c_TMAP3IN)),2)))&lt;0,-1,0),IF(IF(o_WRAP=1,MOD(((1000)-(c_TMAP3IN))*(((C182)-(c_TMAP3IN))*((1000)-(c_TMAP3OUT))+IF(((1000)-(c_TMAP3OUT))&gt;=0,1,-1)*QUOTIENT(((1000)-(c_TMAP3IN)),2))+2147483648,4294967296)-2147483648,((1000)-(c_TMAP3IN))*(((C182)-(c_TMAP3IN))*((1000)-(c_TMAP3OUT))+IF(((1000)-(c_TMAP3OUT))&gt;=0,1,-1)*QUOTIENT(((1000)-(c_TMAP3IN)),2)))&gt;=0,1,0)))</f>
        <v>323</v>
      </c>
      <c r="I182" s="7" t="n">
        <f aca="false">IF(C182&gt;=c_TFWD,IF(AND(C182&gt;=c_TMAP3IN,c_TMAP3IN&lt;1000),H182,IF(AND(C182&gt;=c_TMAP2IN,c_TMAP3IN&gt;c_TMAP2IN),G182,IF(AND(C182&gt;=c_TMAP1IN,c_TMAP2IN&gt;c_TMAP1IN),F182,E182))),D182)</f>
        <v>323</v>
      </c>
      <c r="J182" s="7" t="str">
        <f aca="false">IF(I182&lt;-1090,"TOO LOW",IF(I182&gt;1090,"TOO HIGH",""))</f>
        <v/>
      </c>
      <c r="K182" s="7" t="n">
        <f aca="false">IF(J182&lt;&gt;"",0,IF(I182&gt;979,1000,I182))</f>
        <v>323</v>
      </c>
      <c r="L182" s="7" t="n">
        <f aca="false">IF(OR(c_TSMOOTH=0,K182&gt;=c_TSMOOTHCUT),1,0)</f>
        <v>0</v>
      </c>
      <c r="M182" s="7" t="n">
        <f aca="false">IF(L182=1,0,M181+1)</f>
        <v>96</v>
      </c>
      <c r="N182" s="7" t="n">
        <f aca="false">IF(L182=1,0,MIN(M182,c_TSMOOTH))</f>
        <v>30</v>
      </c>
      <c r="O182" s="7" t="n">
        <f aca="false">IF(COUNTIF($L$5:L182,1)&gt;0,c_TSMOOTHCUT,0)</f>
        <v>400</v>
      </c>
      <c r="P182" s="15" t="n">
        <f aca="true">IF(L182=1,K182,QUOTIENT(SUM(OFFSET(K182,1-N182,0,N182,1))+(c_TSMOOTH-N182)*O182,c_TSMOOTH))</f>
        <v>158</v>
      </c>
      <c r="Q182" s="7" t="n">
        <f aca="false">K182/10</f>
        <v>32.3</v>
      </c>
      <c r="R182" s="7" t="n">
        <f aca="false">P182/10</f>
        <v>15.8</v>
      </c>
    </row>
    <row r="183" customFormat="false" ht="15" hidden="false" customHeight="false" outlineLevel="0" collapsed="false">
      <c r="A183" s="7" t="n">
        <v>178</v>
      </c>
      <c r="B183" s="7" t="n">
        <f aca="false">A183*0.04</f>
        <v>7.12</v>
      </c>
      <c r="C183" s="18" t="n">
        <v>450</v>
      </c>
      <c r="D183" s="7" t="n">
        <f aca="false">IF(AND(C183=0,c_TCREEP&gt;0),10*c_TCREEP,IF(AND(C183&lt;=c_TRNGMIN,C183&gt;=c_TRNGMAX,c_TRNGMIN-c_TRNGMAX&lt;&gt;0),-10*c_TMINRN+QUOTIENT((c_TMAXRN-c_TMINRN)*(100-QUOTIENT((C183-c_TRNGMAX)*100,c_TRNGMIN-c_TRNGMAX)),-10),0))</f>
        <v>0</v>
      </c>
      <c r="E183" s="7" t="n">
        <f aca="false">IF(((c_TMAP1IN)-(c_TFWD))=0,(0)+QUOTIENT(((c_TMAP1OUT)-(0)),2),QUOTIENT((((C183)-(c_TFWD))*((c_TMAP1OUT)-(0))+IF(((c_TMAP1OUT)-(0))&gt;=0,1,-1)*QUOTIENT(((c_TMAP1IN)-(c_TFWD)),2)),((c_TMAP1IN)-(c_TFWD)))+(0)+IF(((c_TMAP1OUT)-(0))&gt;=0,IF(IF(o_WRAP=1,MOD(((c_TMAP1IN)-(c_TFWD))*(((C183)-(c_TFWD))*((c_TMAP1OUT)-(0))+IF(((c_TMAP1OUT)-(0))&gt;=0,1,-1)*QUOTIENT(((c_TMAP1IN)-(c_TFWD)),2))+2147483648,4294967296)-2147483648,((c_TMAP1IN)-(c_TFWD))*(((C183)-(c_TFWD))*((c_TMAP1OUT)-(0))+IF(((c_TMAP1OUT)-(0))&gt;=0,1,-1)*QUOTIENT(((c_TMAP1IN)-(c_TFWD)),2)))&lt;0,-1,0),IF(IF(o_WRAP=1,MOD(((c_TMAP1IN)-(c_TFWD))*(((C183)-(c_TFWD))*((c_TMAP1OUT)-(0))+IF(((c_TMAP1OUT)-(0))&gt;=0,1,-1)*QUOTIENT(((c_TMAP1IN)-(c_TFWD)),2))+2147483648,4294967296)-2147483648,((c_TMAP1IN)-(c_TFWD))*(((C183)-(c_TFWD))*((c_TMAP1OUT)-(0))+IF(((c_TMAP1OUT)-(0))&gt;=0,1,-1)*QUOTIENT(((c_TMAP1IN)-(c_TFWD)),2)))&gt;=0,1,0)))</f>
        <v>342</v>
      </c>
      <c r="F183" s="7" t="n">
        <f aca="false">IF(((c_TMAP2IN)-(c_TMAP1IN))=0,(c_TMAP1OUT)+QUOTIENT(((c_TMAP2OUT)-(c_TMAP1OUT)),2),QUOTIENT((((C183)-(c_TMAP1IN))*((c_TMAP2OUT)-(c_TMAP1OUT))+IF(((c_TMAP2OUT)-(c_TMAP1OUT))&gt;=0,1,-1)*QUOTIENT(((c_TMAP2IN)-(c_TMAP1IN)),2)),((c_TMAP2IN)-(c_TMAP1IN)))+(c_TMAP1OUT)+IF(((c_TMAP2OUT)-(c_TMAP1OUT))&gt;=0,IF(IF(o_WRAP=1,MOD(((c_TMAP2IN)-(c_TMAP1IN))*(((C183)-(c_TMAP1IN))*((c_TMAP2OUT)-(c_TMAP1OUT))+IF(((c_TMAP2OUT)-(c_TMAP1OUT))&gt;=0,1,-1)*QUOTIENT(((c_TMAP2IN)-(c_TMAP1IN)),2))+2147483648,4294967296)-2147483648,((c_TMAP2IN)-(c_TMAP1IN))*(((C183)-(c_TMAP1IN))*((c_TMAP2OUT)-(c_TMAP1OUT))+IF(((c_TMAP2OUT)-(c_TMAP1OUT))&gt;=0,1,-1)*QUOTIENT(((c_TMAP2IN)-(c_TMAP1IN)),2)))&lt;0,-1,0),IF(IF(o_WRAP=1,MOD(((c_TMAP2IN)-(c_TMAP1IN))*(((C183)-(c_TMAP1IN))*((c_TMAP2OUT)-(c_TMAP1OUT))+IF(((c_TMAP2OUT)-(c_TMAP1OUT))&gt;=0,1,-1)*QUOTIENT(((c_TMAP2IN)-(c_TMAP1IN)),2))+2147483648,4294967296)-2147483648,((c_TMAP2IN)-(c_TMAP1IN))*(((C183)-(c_TMAP1IN))*((c_TMAP2OUT)-(c_TMAP1OUT))+IF(((c_TMAP2OUT)-(c_TMAP1OUT))&gt;=0,1,-1)*QUOTIENT(((c_TMAP2IN)-(c_TMAP1IN)),2)))&gt;=0,1,0)))</f>
        <v>210</v>
      </c>
      <c r="G183" s="7" t="n">
        <f aca="false">IF(((c_TMAP3IN)-(c_TMAP2IN))=0,(c_TMAP2OUT)+QUOTIENT(((c_TMAP3OUT)-(c_TMAP2OUT)),2),QUOTIENT((((C183)-(c_TMAP2IN))*((c_TMAP3OUT)-(c_TMAP2OUT))+IF(((c_TMAP3OUT)-(c_TMAP2OUT))&gt;=0,1,-1)*QUOTIENT(((c_TMAP3IN)-(c_TMAP2IN)),2)),((c_TMAP3IN)-(c_TMAP2IN)))+(c_TMAP2OUT)+IF(((c_TMAP3OUT)-(c_TMAP2OUT))&gt;=0,IF(IF(o_WRAP=1,MOD(((c_TMAP3IN)-(c_TMAP2IN))*(((C183)-(c_TMAP2IN))*((c_TMAP3OUT)-(c_TMAP2OUT))+IF(((c_TMAP3OUT)-(c_TMAP2OUT))&gt;=0,1,-1)*QUOTIENT(((c_TMAP3IN)-(c_TMAP2IN)),2))+2147483648,4294967296)-2147483648,((c_TMAP3IN)-(c_TMAP2IN))*(((C183)-(c_TMAP2IN))*((c_TMAP3OUT)-(c_TMAP2OUT))+IF(((c_TMAP3OUT)-(c_TMAP2OUT))&gt;=0,1,-1)*QUOTIENT(((c_TMAP3IN)-(c_TMAP2IN)),2)))&lt;0,-1,0),IF(IF(o_WRAP=1,MOD(((c_TMAP3IN)-(c_TMAP2IN))*(((C183)-(c_TMAP2IN))*((c_TMAP3OUT)-(c_TMAP2OUT))+IF(((c_TMAP3OUT)-(c_TMAP2OUT))&gt;=0,1,-1)*QUOTIENT(((c_TMAP3IN)-(c_TMAP2IN)),2))+2147483648,4294967296)-2147483648,((c_TMAP3IN)-(c_TMAP2IN))*(((C183)-(c_TMAP2IN))*((c_TMAP3OUT)-(c_TMAP2OUT))+IF(((c_TMAP3OUT)-(c_TMAP2OUT))&gt;=0,1,-1)*QUOTIENT(((c_TMAP3IN)-(c_TMAP2IN)),2)))&gt;=0,1,0)))</f>
        <v>270</v>
      </c>
      <c r="H183" s="7" t="n">
        <f aca="false">IF(((1000)-(c_TMAP3IN))=0,(c_TMAP3OUT)+QUOTIENT(((1000)-(c_TMAP3OUT)),2),QUOTIENT((((C183)-(c_TMAP3IN))*((1000)-(c_TMAP3OUT))+IF(((1000)-(c_TMAP3OUT))&gt;=0,1,-1)*QUOTIENT(((1000)-(c_TMAP3IN)),2)),((1000)-(c_TMAP3IN)))+(c_TMAP3OUT)+IF(((1000)-(c_TMAP3OUT))&gt;=0,IF(IF(o_WRAP=1,MOD(((1000)-(c_TMAP3IN))*(((C183)-(c_TMAP3IN))*((1000)-(c_TMAP3OUT))+IF(((1000)-(c_TMAP3OUT))&gt;=0,1,-1)*QUOTIENT(((1000)-(c_TMAP3IN)),2))+2147483648,4294967296)-2147483648,((1000)-(c_TMAP3IN))*(((C183)-(c_TMAP3IN))*((1000)-(c_TMAP3OUT))+IF(((1000)-(c_TMAP3OUT))&gt;=0,1,-1)*QUOTIENT(((1000)-(c_TMAP3IN)),2)))&lt;0,-1,0),IF(IF(o_WRAP=1,MOD(((1000)-(c_TMAP3IN))*(((C183)-(c_TMAP3IN))*((1000)-(c_TMAP3OUT))+IF(((1000)-(c_TMAP3OUT))&gt;=0,1,-1)*QUOTIENT(((1000)-(c_TMAP3IN)),2))+2147483648,4294967296)-2147483648,((1000)-(c_TMAP3IN))*(((C183)-(c_TMAP3IN))*((1000)-(c_TMAP3OUT))+IF(((1000)-(c_TMAP3OUT))&gt;=0,1,-1)*QUOTIENT(((1000)-(c_TMAP3IN)),2)))&gt;=0,1,0)))</f>
        <v>323</v>
      </c>
      <c r="I183" s="7" t="n">
        <f aca="false">IF(C183&gt;=c_TFWD,IF(AND(C183&gt;=c_TMAP3IN,c_TMAP3IN&lt;1000),H183,IF(AND(C183&gt;=c_TMAP2IN,c_TMAP3IN&gt;c_TMAP2IN),G183,IF(AND(C183&gt;=c_TMAP1IN,c_TMAP2IN&gt;c_TMAP1IN),F183,E183))),D183)</f>
        <v>323</v>
      </c>
      <c r="J183" s="7" t="str">
        <f aca="false">IF(I183&lt;-1090,"TOO LOW",IF(I183&gt;1090,"TOO HIGH",""))</f>
        <v/>
      </c>
      <c r="K183" s="7" t="n">
        <f aca="false">IF(J183&lt;&gt;"",0,IF(I183&gt;979,1000,I183))</f>
        <v>323</v>
      </c>
      <c r="L183" s="7" t="n">
        <f aca="false">IF(OR(c_TSMOOTH=0,K183&gt;=c_TSMOOTHCUT),1,0)</f>
        <v>0</v>
      </c>
      <c r="M183" s="7" t="n">
        <f aca="false">IF(L183=1,0,M182+1)</f>
        <v>97</v>
      </c>
      <c r="N183" s="7" t="n">
        <f aca="false">IF(L183=1,0,MIN(M183,c_TSMOOTH))</f>
        <v>30</v>
      </c>
      <c r="O183" s="7" t="n">
        <f aca="false">IF(COUNTIF($L$5:L183,1)&gt;0,c_TSMOOTHCUT,0)</f>
        <v>400</v>
      </c>
      <c r="P183" s="15" t="n">
        <f aca="true">IF(L183=1,K183,QUOTIENT(SUM(OFFSET(K183,1-N183,0,N183,1))+(c_TSMOOTH-N183)*O183,c_TSMOOTH))</f>
        <v>180</v>
      </c>
      <c r="Q183" s="7" t="n">
        <f aca="false">K183/10</f>
        <v>32.3</v>
      </c>
      <c r="R183" s="7" t="n">
        <f aca="false">P183/10</f>
        <v>18</v>
      </c>
    </row>
    <row r="184" customFormat="false" ht="15" hidden="false" customHeight="false" outlineLevel="0" collapsed="false">
      <c r="A184" s="7" t="n">
        <v>179</v>
      </c>
      <c r="B184" s="7" t="n">
        <f aca="false">A184*0.04</f>
        <v>7.16</v>
      </c>
      <c r="C184" s="18" t="n">
        <v>450</v>
      </c>
      <c r="D184" s="7" t="n">
        <f aca="false">IF(AND(C184=0,c_TCREEP&gt;0),10*c_TCREEP,IF(AND(C184&lt;=c_TRNGMIN,C184&gt;=c_TRNGMAX,c_TRNGMIN-c_TRNGMAX&lt;&gt;0),-10*c_TMINRN+QUOTIENT((c_TMAXRN-c_TMINRN)*(100-QUOTIENT((C184-c_TRNGMAX)*100,c_TRNGMIN-c_TRNGMAX)),-10),0))</f>
        <v>0</v>
      </c>
      <c r="E184" s="7" t="n">
        <f aca="false">IF(((c_TMAP1IN)-(c_TFWD))=0,(0)+QUOTIENT(((c_TMAP1OUT)-(0)),2),QUOTIENT((((C184)-(c_TFWD))*((c_TMAP1OUT)-(0))+IF(((c_TMAP1OUT)-(0))&gt;=0,1,-1)*QUOTIENT(((c_TMAP1IN)-(c_TFWD)),2)),((c_TMAP1IN)-(c_TFWD)))+(0)+IF(((c_TMAP1OUT)-(0))&gt;=0,IF(IF(o_WRAP=1,MOD(((c_TMAP1IN)-(c_TFWD))*(((C184)-(c_TFWD))*((c_TMAP1OUT)-(0))+IF(((c_TMAP1OUT)-(0))&gt;=0,1,-1)*QUOTIENT(((c_TMAP1IN)-(c_TFWD)),2))+2147483648,4294967296)-2147483648,((c_TMAP1IN)-(c_TFWD))*(((C184)-(c_TFWD))*((c_TMAP1OUT)-(0))+IF(((c_TMAP1OUT)-(0))&gt;=0,1,-1)*QUOTIENT(((c_TMAP1IN)-(c_TFWD)),2)))&lt;0,-1,0),IF(IF(o_WRAP=1,MOD(((c_TMAP1IN)-(c_TFWD))*(((C184)-(c_TFWD))*((c_TMAP1OUT)-(0))+IF(((c_TMAP1OUT)-(0))&gt;=0,1,-1)*QUOTIENT(((c_TMAP1IN)-(c_TFWD)),2))+2147483648,4294967296)-2147483648,((c_TMAP1IN)-(c_TFWD))*(((C184)-(c_TFWD))*((c_TMAP1OUT)-(0))+IF(((c_TMAP1OUT)-(0))&gt;=0,1,-1)*QUOTIENT(((c_TMAP1IN)-(c_TFWD)),2)))&gt;=0,1,0)))</f>
        <v>342</v>
      </c>
      <c r="F184" s="7" t="n">
        <f aca="false">IF(((c_TMAP2IN)-(c_TMAP1IN))=0,(c_TMAP1OUT)+QUOTIENT(((c_TMAP2OUT)-(c_TMAP1OUT)),2),QUOTIENT((((C184)-(c_TMAP1IN))*((c_TMAP2OUT)-(c_TMAP1OUT))+IF(((c_TMAP2OUT)-(c_TMAP1OUT))&gt;=0,1,-1)*QUOTIENT(((c_TMAP2IN)-(c_TMAP1IN)),2)),((c_TMAP2IN)-(c_TMAP1IN)))+(c_TMAP1OUT)+IF(((c_TMAP2OUT)-(c_TMAP1OUT))&gt;=0,IF(IF(o_WRAP=1,MOD(((c_TMAP2IN)-(c_TMAP1IN))*(((C184)-(c_TMAP1IN))*((c_TMAP2OUT)-(c_TMAP1OUT))+IF(((c_TMAP2OUT)-(c_TMAP1OUT))&gt;=0,1,-1)*QUOTIENT(((c_TMAP2IN)-(c_TMAP1IN)),2))+2147483648,4294967296)-2147483648,((c_TMAP2IN)-(c_TMAP1IN))*(((C184)-(c_TMAP1IN))*((c_TMAP2OUT)-(c_TMAP1OUT))+IF(((c_TMAP2OUT)-(c_TMAP1OUT))&gt;=0,1,-1)*QUOTIENT(((c_TMAP2IN)-(c_TMAP1IN)),2)))&lt;0,-1,0),IF(IF(o_WRAP=1,MOD(((c_TMAP2IN)-(c_TMAP1IN))*(((C184)-(c_TMAP1IN))*((c_TMAP2OUT)-(c_TMAP1OUT))+IF(((c_TMAP2OUT)-(c_TMAP1OUT))&gt;=0,1,-1)*QUOTIENT(((c_TMAP2IN)-(c_TMAP1IN)),2))+2147483648,4294967296)-2147483648,((c_TMAP2IN)-(c_TMAP1IN))*(((C184)-(c_TMAP1IN))*((c_TMAP2OUT)-(c_TMAP1OUT))+IF(((c_TMAP2OUT)-(c_TMAP1OUT))&gt;=0,1,-1)*QUOTIENT(((c_TMAP2IN)-(c_TMAP1IN)),2)))&gt;=0,1,0)))</f>
        <v>210</v>
      </c>
      <c r="G184" s="7" t="n">
        <f aca="false">IF(((c_TMAP3IN)-(c_TMAP2IN))=0,(c_TMAP2OUT)+QUOTIENT(((c_TMAP3OUT)-(c_TMAP2OUT)),2),QUOTIENT((((C184)-(c_TMAP2IN))*((c_TMAP3OUT)-(c_TMAP2OUT))+IF(((c_TMAP3OUT)-(c_TMAP2OUT))&gt;=0,1,-1)*QUOTIENT(((c_TMAP3IN)-(c_TMAP2IN)),2)),((c_TMAP3IN)-(c_TMAP2IN)))+(c_TMAP2OUT)+IF(((c_TMAP3OUT)-(c_TMAP2OUT))&gt;=0,IF(IF(o_WRAP=1,MOD(((c_TMAP3IN)-(c_TMAP2IN))*(((C184)-(c_TMAP2IN))*((c_TMAP3OUT)-(c_TMAP2OUT))+IF(((c_TMAP3OUT)-(c_TMAP2OUT))&gt;=0,1,-1)*QUOTIENT(((c_TMAP3IN)-(c_TMAP2IN)),2))+2147483648,4294967296)-2147483648,((c_TMAP3IN)-(c_TMAP2IN))*(((C184)-(c_TMAP2IN))*((c_TMAP3OUT)-(c_TMAP2OUT))+IF(((c_TMAP3OUT)-(c_TMAP2OUT))&gt;=0,1,-1)*QUOTIENT(((c_TMAP3IN)-(c_TMAP2IN)),2)))&lt;0,-1,0),IF(IF(o_WRAP=1,MOD(((c_TMAP3IN)-(c_TMAP2IN))*(((C184)-(c_TMAP2IN))*((c_TMAP3OUT)-(c_TMAP2OUT))+IF(((c_TMAP3OUT)-(c_TMAP2OUT))&gt;=0,1,-1)*QUOTIENT(((c_TMAP3IN)-(c_TMAP2IN)),2))+2147483648,4294967296)-2147483648,((c_TMAP3IN)-(c_TMAP2IN))*(((C184)-(c_TMAP2IN))*((c_TMAP3OUT)-(c_TMAP2OUT))+IF(((c_TMAP3OUT)-(c_TMAP2OUT))&gt;=0,1,-1)*QUOTIENT(((c_TMAP3IN)-(c_TMAP2IN)),2)))&gt;=0,1,0)))</f>
        <v>270</v>
      </c>
      <c r="H184" s="7" t="n">
        <f aca="false">IF(((1000)-(c_TMAP3IN))=0,(c_TMAP3OUT)+QUOTIENT(((1000)-(c_TMAP3OUT)),2),QUOTIENT((((C184)-(c_TMAP3IN))*((1000)-(c_TMAP3OUT))+IF(((1000)-(c_TMAP3OUT))&gt;=0,1,-1)*QUOTIENT(((1000)-(c_TMAP3IN)),2)),((1000)-(c_TMAP3IN)))+(c_TMAP3OUT)+IF(((1000)-(c_TMAP3OUT))&gt;=0,IF(IF(o_WRAP=1,MOD(((1000)-(c_TMAP3IN))*(((C184)-(c_TMAP3IN))*((1000)-(c_TMAP3OUT))+IF(((1000)-(c_TMAP3OUT))&gt;=0,1,-1)*QUOTIENT(((1000)-(c_TMAP3IN)),2))+2147483648,4294967296)-2147483648,((1000)-(c_TMAP3IN))*(((C184)-(c_TMAP3IN))*((1000)-(c_TMAP3OUT))+IF(((1000)-(c_TMAP3OUT))&gt;=0,1,-1)*QUOTIENT(((1000)-(c_TMAP3IN)),2)))&lt;0,-1,0),IF(IF(o_WRAP=1,MOD(((1000)-(c_TMAP3IN))*(((C184)-(c_TMAP3IN))*((1000)-(c_TMAP3OUT))+IF(((1000)-(c_TMAP3OUT))&gt;=0,1,-1)*QUOTIENT(((1000)-(c_TMAP3IN)),2))+2147483648,4294967296)-2147483648,((1000)-(c_TMAP3IN))*(((C184)-(c_TMAP3IN))*((1000)-(c_TMAP3OUT))+IF(((1000)-(c_TMAP3OUT))&gt;=0,1,-1)*QUOTIENT(((1000)-(c_TMAP3IN)),2)))&gt;=0,1,0)))</f>
        <v>323</v>
      </c>
      <c r="I184" s="7" t="n">
        <f aca="false">IF(C184&gt;=c_TFWD,IF(AND(C184&gt;=c_TMAP3IN,c_TMAP3IN&lt;1000),H184,IF(AND(C184&gt;=c_TMAP2IN,c_TMAP3IN&gt;c_TMAP2IN),G184,IF(AND(C184&gt;=c_TMAP1IN,c_TMAP2IN&gt;c_TMAP1IN),F184,E184))),D184)</f>
        <v>323</v>
      </c>
      <c r="J184" s="7" t="str">
        <f aca="false">IF(I184&lt;-1090,"TOO LOW",IF(I184&gt;1090,"TOO HIGH",""))</f>
        <v/>
      </c>
      <c r="K184" s="7" t="n">
        <f aca="false">IF(J184&lt;&gt;"",0,IF(I184&gt;979,1000,I184))</f>
        <v>323</v>
      </c>
      <c r="L184" s="7" t="n">
        <f aca="false">IF(OR(c_TSMOOTH=0,K184&gt;=c_TSMOOTHCUT),1,0)</f>
        <v>0</v>
      </c>
      <c r="M184" s="7" t="n">
        <f aca="false">IF(L184=1,0,M183+1)</f>
        <v>98</v>
      </c>
      <c r="N184" s="7" t="n">
        <f aca="false">IF(L184=1,0,MIN(M184,c_TSMOOTH))</f>
        <v>30</v>
      </c>
      <c r="O184" s="7" t="n">
        <f aca="false">IF(COUNTIF($L$5:L184,1)&gt;0,c_TSMOOTHCUT,0)</f>
        <v>400</v>
      </c>
      <c r="P184" s="15" t="n">
        <f aca="true">IF(L184=1,K184,QUOTIENT(SUM(OFFSET(K184,1-N184,0,N184,1))+(c_TSMOOTH-N184)*O184,c_TSMOOTH))</f>
        <v>203</v>
      </c>
      <c r="Q184" s="7" t="n">
        <f aca="false">K184/10</f>
        <v>32.3</v>
      </c>
      <c r="R184" s="7" t="n">
        <f aca="false">P184/10</f>
        <v>20.3</v>
      </c>
    </row>
    <row r="185" customFormat="false" ht="15" hidden="false" customHeight="false" outlineLevel="0" collapsed="false">
      <c r="A185" s="7" t="n">
        <v>180</v>
      </c>
      <c r="B185" s="7" t="n">
        <f aca="false">A185*0.04</f>
        <v>7.2</v>
      </c>
      <c r="C185" s="18" t="n">
        <v>450</v>
      </c>
      <c r="D185" s="7" t="n">
        <f aca="false">IF(AND(C185=0,c_TCREEP&gt;0),10*c_TCREEP,IF(AND(C185&lt;=c_TRNGMIN,C185&gt;=c_TRNGMAX,c_TRNGMIN-c_TRNGMAX&lt;&gt;0),-10*c_TMINRN+QUOTIENT((c_TMAXRN-c_TMINRN)*(100-QUOTIENT((C185-c_TRNGMAX)*100,c_TRNGMIN-c_TRNGMAX)),-10),0))</f>
        <v>0</v>
      </c>
      <c r="E185" s="7" t="n">
        <f aca="false">IF(((c_TMAP1IN)-(c_TFWD))=0,(0)+QUOTIENT(((c_TMAP1OUT)-(0)),2),QUOTIENT((((C185)-(c_TFWD))*((c_TMAP1OUT)-(0))+IF(((c_TMAP1OUT)-(0))&gt;=0,1,-1)*QUOTIENT(((c_TMAP1IN)-(c_TFWD)),2)),((c_TMAP1IN)-(c_TFWD)))+(0)+IF(((c_TMAP1OUT)-(0))&gt;=0,IF(IF(o_WRAP=1,MOD(((c_TMAP1IN)-(c_TFWD))*(((C185)-(c_TFWD))*((c_TMAP1OUT)-(0))+IF(((c_TMAP1OUT)-(0))&gt;=0,1,-1)*QUOTIENT(((c_TMAP1IN)-(c_TFWD)),2))+2147483648,4294967296)-2147483648,((c_TMAP1IN)-(c_TFWD))*(((C185)-(c_TFWD))*((c_TMAP1OUT)-(0))+IF(((c_TMAP1OUT)-(0))&gt;=0,1,-1)*QUOTIENT(((c_TMAP1IN)-(c_TFWD)),2)))&lt;0,-1,0),IF(IF(o_WRAP=1,MOD(((c_TMAP1IN)-(c_TFWD))*(((C185)-(c_TFWD))*((c_TMAP1OUT)-(0))+IF(((c_TMAP1OUT)-(0))&gt;=0,1,-1)*QUOTIENT(((c_TMAP1IN)-(c_TFWD)),2))+2147483648,4294967296)-2147483648,((c_TMAP1IN)-(c_TFWD))*(((C185)-(c_TFWD))*((c_TMAP1OUT)-(0))+IF(((c_TMAP1OUT)-(0))&gt;=0,1,-1)*QUOTIENT(((c_TMAP1IN)-(c_TFWD)),2)))&gt;=0,1,0)))</f>
        <v>342</v>
      </c>
      <c r="F185" s="7" t="n">
        <f aca="false">IF(((c_TMAP2IN)-(c_TMAP1IN))=0,(c_TMAP1OUT)+QUOTIENT(((c_TMAP2OUT)-(c_TMAP1OUT)),2),QUOTIENT((((C185)-(c_TMAP1IN))*((c_TMAP2OUT)-(c_TMAP1OUT))+IF(((c_TMAP2OUT)-(c_TMAP1OUT))&gt;=0,1,-1)*QUOTIENT(((c_TMAP2IN)-(c_TMAP1IN)),2)),((c_TMAP2IN)-(c_TMAP1IN)))+(c_TMAP1OUT)+IF(((c_TMAP2OUT)-(c_TMAP1OUT))&gt;=0,IF(IF(o_WRAP=1,MOD(((c_TMAP2IN)-(c_TMAP1IN))*(((C185)-(c_TMAP1IN))*((c_TMAP2OUT)-(c_TMAP1OUT))+IF(((c_TMAP2OUT)-(c_TMAP1OUT))&gt;=0,1,-1)*QUOTIENT(((c_TMAP2IN)-(c_TMAP1IN)),2))+2147483648,4294967296)-2147483648,((c_TMAP2IN)-(c_TMAP1IN))*(((C185)-(c_TMAP1IN))*((c_TMAP2OUT)-(c_TMAP1OUT))+IF(((c_TMAP2OUT)-(c_TMAP1OUT))&gt;=0,1,-1)*QUOTIENT(((c_TMAP2IN)-(c_TMAP1IN)),2)))&lt;0,-1,0),IF(IF(o_WRAP=1,MOD(((c_TMAP2IN)-(c_TMAP1IN))*(((C185)-(c_TMAP1IN))*((c_TMAP2OUT)-(c_TMAP1OUT))+IF(((c_TMAP2OUT)-(c_TMAP1OUT))&gt;=0,1,-1)*QUOTIENT(((c_TMAP2IN)-(c_TMAP1IN)),2))+2147483648,4294967296)-2147483648,((c_TMAP2IN)-(c_TMAP1IN))*(((C185)-(c_TMAP1IN))*((c_TMAP2OUT)-(c_TMAP1OUT))+IF(((c_TMAP2OUT)-(c_TMAP1OUT))&gt;=0,1,-1)*QUOTIENT(((c_TMAP2IN)-(c_TMAP1IN)),2)))&gt;=0,1,0)))</f>
        <v>210</v>
      </c>
      <c r="G185" s="7" t="n">
        <f aca="false">IF(((c_TMAP3IN)-(c_TMAP2IN))=0,(c_TMAP2OUT)+QUOTIENT(((c_TMAP3OUT)-(c_TMAP2OUT)),2),QUOTIENT((((C185)-(c_TMAP2IN))*((c_TMAP3OUT)-(c_TMAP2OUT))+IF(((c_TMAP3OUT)-(c_TMAP2OUT))&gt;=0,1,-1)*QUOTIENT(((c_TMAP3IN)-(c_TMAP2IN)),2)),((c_TMAP3IN)-(c_TMAP2IN)))+(c_TMAP2OUT)+IF(((c_TMAP3OUT)-(c_TMAP2OUT))&gt;=0,IF(IF(o_WRAP=1,MOD(((c_TMAP3IN)-(c_TMAP2IN))*(((C185)-(c_TMAP2IN))*((c_TMAP3OUT)-(c_TMAP2OUT))+IF(((c_TMAP3OUT)-(c_TMAP2OUT))&gt;=0,1,-1)*QUOTIENT(((c_TMAP3IN)-(c_TMAP2IN)),2))+2147483648,4294967296)-2147483648,((c_TMAP3IN)-(c_TMAP2IN))*(((C185)-(c_TMAP2IN))*((c_TMAP3OUT)-(c_TMAP2OUT))+IF(((c_TMAP3OUT)-(c_TMAP2OUT))&gt;=0,1,-1)*QUOTIENT(((c_TMAP3IN)-(c_TMAP2IN)),2)))&lt;0,-1,0),IF(IF(o_WRAP=1,MOD(((c_TMAP3IN)-(c_TMAP2IN))*(((C185)-(c_TMAP2IN))*((c_TMAP3OUT)-(c_TMAP2OUT))+IF(((c_TMAP3OUT)-(c_TMAP2OUT))&gt;=0,1,-1)*QUOTIENT(((c_TMAP3IN)-(c_TMAP2IN)),2))+2147483648,4294967296)-2147483648,((c_TMAP3IN)-(c_TMAP2IN))*(((C185)-(c_TMAP2IN))*((c_TMAP3OUT)-(c_TMAP2OUT))+IF(((c_TMAP3OUT)-(c_TMAP2OUT))&gt;=0,1,-1)*QUOTIENT(((c_TMAP3IN)-(c_TMAP2IN)),2)))&gt;=0,1,0)))</f>
        <v>270</v>
      </c>
      <c r="H185" s="7" t="n">
        <f aca="false">IF(((1000)-(c_TMAP3IN))=0,(c_TMAP3OUT)+QUOTIENT(((1000)-(c_TMAP3OUT)),2),QUOTIENT((((C185)-(c_TMAP3IN))*((1000)-(c_TMAP3OUT))+IF(((1000)-(c_TMAP3OUT))&gt;=0,1,-1)*QUOTIENT(((1000)-(c_TMAP3IN)),2)),((1000)-(c_TMAP3IN)))+(c_TMAP3OUT)+IF(((1000)-(c_TMAP3OUT))&gt;=0,IF(IF(o_WRAP=1,MOD(((1000)-(c_TMAP3IN))*(((C185)-(c_TMAP3IN))*((1000)-(c_TMAP3OUT))+IF(((1000)-(c_TMAP3OUT))&gt;=0,1,-1)*QUOTIENT(((1000)-(c_TMAP3IN)),2))+2147483648,4294967296)-2147483648,((1000)-(c_TMAP3IN))*(((C185)-(c_TMAP3IN))*((1000)-(c_TMAP3OUT))+IF(((1000)-(c_TMAP3OUT))&gt;=0,1,-1)*QUOTIENT(((1000)-(c_TMAP3IN)),2)))&lt;0,-1,0),IF(IF(o_WRAP=1,MOD(((1000)-(c_TMAP3IN))*(((C185)-(c_TMAP3IN))*((1000)-(c_TMAP3OUT))+IF(((1000)-(c_TMAP3OUT))&gt;=0,1,-1)*QUOTIENT(((1000)-(c_TMAP3IN)),2))+2147483648,4294967296)-2147483648,((1000)-(c_TMAP3IN))*(((C185)-(c_TMAP3IN))*((1000)-(c_TMAP3OUT))+IF(((1000)-(c_TMAP3OUT))&gt;=0,1,-1)*QUOTIENT(((1000)-(c_TMAP3IN)),2)))&gt;=0,1,0)))</f>
        <v>323</v>
      </c>
      <c r="I185" s="7" t="n">
        <f aca="false">IF(C185&gt;=c_TFWD,IF(AND(C185&gt;=c_TMAP3IN,c_TMAP3IN&lt;1000),H185,IF(AND(C185&gt;=c_TMAP2IN,c_TMAP3IN&gt;c_TMAP2IN),G185,IF(AND(C185&gt;=c_TMAP1IN,c_TMAP2IN&gt;c_TMAP1IN),F185,E185))),D185)</f>
        <v>323</v>
      </c>
      <c r="J185" s="7" t="str">
        <f aca="false">IF(I185&lt;-1090,"TOO LOW",IF(I185&gt;1090,"TOO HIGH",""))</f>
        <v/>
      </c>
      <c r="K185" s="7" t="n">
        <f aca="false">IF(J185&lt;&gt;"",0,IF(I185&gt;979,1000,I185))</f>
        <v>323</v>
      </c>
      <c r="L185" s="7" t="n">
        <f aca="false">IF(OR(c_TSMOOTH=0,K185&gt;=c_TSMOOTHCUT),1,0)</f>
        <v>0</v>
      </c>
      <c r="M185" s="7" t="n">
        <f aca="false">IF(L185=1,0,M184+1)</f>
        <v>99</v>
      </c>
      <c r="N185" s="7" t="n">
        <f aca="false">IF(L185=1,0,MIN(M185,c_TSMOOTH))</f>
        <v>30</v>
      </c>
      <c r="O185" s="7" t="n">
        <f aca="false">IF(COUNTIF($L$5:L185,1)&gt;0,c_TSMOOTHCUT,0)</f>
        <v>400</v>
      </c>
      <c r="P185" s="15" t="n">
        <f aca="true">IF(L185=1,K185,QUOTIENT(SUM(OFFSET(K185,1-N185,0,N185,1))+(c_TSMOOTH-N185)*O185,c_TSMOOTH))</f>
        <v>213</v>
      </c>
      <c r="Q185" s="7" t="n">
        <f aca="false">K185/10</f>
        <v>32.3</v>
      </c>
      <c r="R185" s="7" t="n">
        <f aca="false">P185/10</f>
        <v>21.3</v>
      </c>
    </row>
    <row r="186" customFormat="false" ht="15" hidden="false" customHeight="false" outlineLevel="0" collapsed="false">
      <c r="A186" s="7" t="n">
        <v>181</v>
      </c>
      <c r="B186" s="7" t="n">
        <f aca="false">A186*0.04</f>
        <v>7.24</v>
      </c>
      <c r="C186" s="18" t="n">
        <v>450</v>
      </c>
      <c r="D186" s="7" t="n">
        <f aca="false">IF(AND(C186=0,c_TCREEP&gt;0),10*c_TCREEP,IF(AND(C186&lt;=c_TRNGMIN,C186&gt;=c_TRNGMAX,c_TRNGMIN-c_TRNGMAX&lt;&gt;0),-10*c_TMINRN+QUOTIENT((c_TMAXRN-c_TMINRN)*(100-QUOTIENT((C186-c_TRNGMAX)*100,c_TRNGMIN-c_TRNGMAX)),-10),0))</f>
        <v>0</v>
      </c>
      <c r="E186" s="7" t="n">
        <f aca="false">IF(((c_TMAP1IN)-(c_TFWD))=0,(0)+QUOTIENT(((c_TMAP1OUT)-(0)),2),QUOTIENT((((C186)-(c_TFWD))*((c_TMAP1OUT)-(0))+IF(((c_TMAP1OUT)-(0))&gt;=0,1,-1)*QUOTIENT(((c_TMAP1IN)-(c_TFWD)),2)),((c_TMAP1IN)-(c_TFWD)))+(0)+IF(((c_TMAP1OUT)-(0))&gt;=0,IF(IF(o_WRAP=1,MOD(((c_TMAP1IN)-(c_TFWD))*(((C186)-(c_TFWD))*((c_TMAP1OUT)-(0))+IF(((c_TMAP1OUT)-(0))&gt;=0,1,-1)*QUOTIENT(((c_TMAP1IN)-(c_TFWD)),2))+2147483648,4294967296)-2147483648,((c_TMAP1IN)-(c_TFWD))*(((C186)-(c_TFWD))*((c_TMAP1OUT)-(0))+IF(((c_TMAP1OUT)-(0))&gt;=0,1,-1)*QUOTIENT(((c_TMAP1IN)-(c_TFWD)),2)))&lt;0,-1,0),IF(IF(o_WRAP=1,MOD(((c_TMAP1IN)-(c_TFWD))*(((C186)-(c_TFWD))*((c_TMAP1OUT)-(0))+IF(((c_TMAP1OUT)-(0))&gt;=0,1,-1)*QUOTIENT(((c_TMAP1IN)-(c_TFWD)),2))+2147483648,4294967296)-2147483648,((c_TMAP1IN)-(c_TFWD))*(((C186)-(c_TFWD))*((c_TMAP1OUT)-(0))+IF(((c_TMAP1OUT)-(0))&gt;=0,1,-1)*QUOTIENT(((c_TMAP1IN)-(c_TFWD)),2)))&gt;=0,1,0)))</f>
        <v>342</v>
      </c>
      <c r="F186" s="7" t="n">
        <f aca="false">IF(((c_TMAP2IN)-(c_TMAP1IN))=0,(c_TMAP1OUT)+QUOTIENT(((c_TMAP2OUT)-(c_TMAP1OUT)),2),QUOTIENT((((C186)-(c_TMAP1IN))*((c_TMAP2OUT)-(c_TMAP1OUT))+IF(((c_TMAP2OUT)-(c_TMAP1OUT))&gt;=0,1,-1)*QUOTIENT(((c_TMAP2IN)-(c_TMAP1IN)),2)),((c_TMAP2IN)-(c_TMAP1IN)))+(c_TMAP1OUT)+IF(((c_TMAP2OUT)-(c_TMAP1OUT))&gt;=0,IF(IF(o_WRAP=1,MOD(((c_TMAP2IN)-(c_TMAP1IN))*(((C186)-(c_TMAP1IN))*((c_TMAP2OUT)-(c_TMAP1OUT))+IF(((c_TMAP2OUT)-(c_TMAP1OUT))&gt;=0,1,-1)*QUOTIENT(((c_TMAP2IN)-(c_TMAP1IN)),2))+2147483648,4294967296)-2147483648,((c_TMAP2IN)-(c_TMAP1IN))*(((C186)-(c_TMAP1IN))*((c_TMAP2OUT)-(c_TMAP1OUT))+IF(((c_TMAP2OUT)-(c_TMAP1OUT))&gt;=0,1,-1)*QUOTIENT(((c_TMAP2IN)-(c_TMAP1IN)),2)))&lt;0,-1,0),IF(IF(o_WRAP=1,MOD(((c_TMAP2IN)-(c_TMAP1IN))*(((C186)-(c_TMAP1IN))*((c_TMAP2OUT)-(c_TMAP1OUT))+IF(((c_TMAP2OUT)-(c_TMAP1OUT))&gt;=0,1,-1)*QUOTIENT(((c_TMAP2IN)-(c_TMAP1IN)),2))+2147483648,4294967296)-2147483648,((c_TMAP2IN)-(c_TMAP1IN))*(((C186)-(c_TMAP1IN))*((c_TMAP2OUT)-(c_TMAP1OUT))+IF(((c_TMAP2OUT)-(c_TMAP1OUT))&gt;=0,1,-1)*QUOTIENT(((c_TMAP2IN)-(c_TMAP1IN)),2)))&gt;=0,1,0)))</f>
        <v>210</v>
      </c>
      <c r="G186" s="7" t="n">
        <f aca="false">IF(((c_TMAP3IN)-(c_TMAP2IN))=0,(c_TMAP2OUT)+QUOTIENT(((c_TMAP3OUT)-(c_TMAP2OUT)),2),QUOTIENT((((C186)-(c_TMAP2IN))*((c_TMAP3OUT)-(c_TMAP2OUT))+IF(((c_TMAP3OUT)-(c_TMAP2OUT))&gt;=0,1,-1)*QUOTIENT(((c_TMAP3IN)-(c_TMAP2IN)),2)),((c_TMAP3IN)-(c_TMAP2IN)))+(c_TMAP2OUT)+IF(((c_TMAP3OUT)-(c_TMAP2OUT))&gt;=0,IF(IF(o_WRAP=1,MOD(((c_TMAP3IN)-(c_TMAP2IN))*(((C186)-(c_TMAP2IN))*((c_TMAP3OUT)-(c_TMAP2OUT))+IF(((c_TMAP3OUT)-(c_TMAP2OUT))&gt;=0,1,-1)*QUOTIENT(((c_TMAP3IN)-(c_TMAP2IN)),2))+2147483648,4294967296)-2147483648,((c_TMAP3IN)-(c_TMAP2IN))*(((C186)-(c_TMAP2IN))*((c_TMAP3OUT)-(c_TMAP2OUT))+IF(((c_TMAP3OUT)-(c_TMAP2OUT))&gt;=0,1,-1)*QUOTIENT(((c_TMAP3IN)-(c_TMAP2IN)),2)))&lt;0,-1,0),IF(IF(o_WRAP=1,MOD(((c_TMAP3IN)-(c_TMAP2IN))*(((C186)-(c_TMAP2IN))*((c_TMAP3OUT)-(c_TMAP2OUT))+IF(((c_TMAP3OUT)-(c_TMAP2OUT))&gt;=0,1,-1)*QUOTIENT(((c_TMAP3IN)-(c_TMAP2IN)),2))+2147483648,4294967296)-2147483648,((c_TMAP3IN)-(c_TMAP2IN))*(((C186)-(c_TMAP2IN))*((c_TMAP3OUT)-(c_TMAP2OUT))+IF(((c_TMAP3OUT)-(c_TMAP2OUT))&gt;=0,1,-1)*QUOTIENT(((c_TMAP3IN)-(c_TMAP2IN)),2)))&gt;=0,1,0)))</f>
        <v>270</v>
      </c>
      <c r="H186" s="7" t="n">
        <f aca="false">IF(((1000)-(c_TMAP3IN))=0,(c_TMAP3OUT)+QUOTIENT(((1000)-(c_TMAP3OUT)),2),QUOTIENT((((C186)-(c_TMAP3IN))*((1000)-(c_TMAP3OUT))+IF(((1000)-(c_TMAP3OUT))&gt;=0,1,-1)*QUOTIENT(((1000)-(c_TMAP3IN)),2)),((1000)-(c_TMAP3IN)))+(c_TMAP3OUT)+IF(((1000)-(c_TMAP3OUT))&gt;=0,IF(IF(o_WRAP=1,MOD(((1000)-(c_TMAP3IN))*(((C186)-(c_TMAP3IN))*((1000)-(c_TMAP3OUT))+IF(((1000)-(c_TMAP3OUT))&gt;=0,1,-1)*QUOTIENT(((1000)-(c_TMAP3IN)),2))+2147483648,4294967296)-2147483648,((1000)-(c_TMAP3IN))*(((C186)-(c_TMAP3IN))*((1000)-(c_TMAP3OUT))+IF(((1000)-(c_TMAP3OUT))&gt;=0,1,-1)*QUOTIENT(((1000)-(c_TMAP3IN)),2)))&lt;0,-1,0),IF(IF(o_WRAP=1,MOD(((1000)-(c_TMAP3IN))*(((C186)-(c_TMAP3IN))*((1000)-(c_TMAP3OUT))+IF(((1000)-(c_TMAP3OUT))&gt;=0,1,-1)*QUOTIENT(((1000)-(c_TMAP3IN)),2))+2147483648,4294967296)-2147483648,((1000)-(c_TMAP3IN))*(((C186)-(c_TMAP3IN))*((1000)-(c_TMAP3OUT))+IF(((1000)-(c_TMAP3OUT))&gt;=0,1,-1)*QUOTIENT(((1000)-(c_TMAP3IN)),2)))&gt;=0,1,0)))</f>
        <v>323</v>
      </c>
      <c r="I186" s="7" t="n">
        <f aca="false">IF(C186&gt;=c_TFWD,IF(AND(C186&gt;=c_TMAP3IN,c_TMAP3IN&lt;1000),H186,IF(AND(C186&gt;=c_TMAP2IN,c_TMAP3IN&gt;c_TMAP2IN),G186,IF(AND(C186&gt;=c_TMAP1IN,c_TMAP2IN&gt;c_TMAP1IN),F186,E186))),D186)</f>
        <v>323</v>
      </c>
      <c r="J186" s="7" t="str">
        <f aca="false">IF(I186&lt;-1090,"TOO LOW",IF(I186&gt;1090,"TOO HIGH",""))</f>
        <v/>
      </c>
      <c r="K186" s="7" t="n">
        <f aca="false">IF(J186&lt;&gt;"",0,IF(I186&gt;979,1000,I186))</f>
        <v>323</v>
      </c>
      <c r="L186" s="7" t="n">
        <f aca="false">IF(OR(c_TSMOOTH=0,K186&gt;=c_TSMOOTHCUT),1,0)</f>
        <v>0</v>
      </c>
      <c r="M186" s="7" t="n">
        <f aca="false">IF(L186=1,0,M185+1)</f>
        <v>100</v>
      </c>
      <c r="N186" s="7" t="n">
        <f aca="false">IF(L186=1,0,MIN(M186,c_TSMOOTH))</f>
        <v>30</v>
      </c>
      <c r="O186" s="7" t="n">
        <f aca="false">IF(COUNTIF($L$5:L186,1)&gt;0,c_TSMOOTHCUT,0)</f>
        <v>400</v>
      </c>
      <c r="P186" s="15" t="n">
        <f aca="true">IF(L186=1,K186,QUOTIENT(SUM(OFFSET(K186,1-N186,0,N186,1))+(c_TSMOOTH-N186)*O186,c_TSMOOTH))</f>
        <v>223</v>
      </c>
      <c r="Q186" s="7" t="n">
        <f aca="false">K186/10</f>
        <v>32.3</v>
      </c>
      <c r="R186" s="7" t="n">
        <f aca="false">P186/10</f>
        <v>22.3</v>
      </c>
    </row>
    <row r="187" customFormat="false" ht="15" hidden="false" customHeight="false" outlineLevel="0" collapsed="false">
      <c r="A187" s="7" t="n">
        <v>182</v>
      </c>
      <c r="B187" s="7" t="n">
        <f aca="false">A187*0.04</f>
        <v>7.28</v>
      </c>
      <c r="C187" s="18" t="n">
        <v>450</v>
      </c>
      <c r="D187" s="7" t="n">
        <f aca="false">IF(AND(C187=0,c_TCREEP&gt;0),10*c_TCREEP,IF(AND(C187&lt;=c_TRNGMIN,C187&gt;=c_TRNGMAX,c_TRNGMIN-c_TRNGMAX&lt;&gt;0),-10*c_TMINRN+QUOTIENT((c_TMAXRN-c_TMINRN)*(100-QUOTIENT((C187-c_TRNGMAX)*100,c_TRNGMIN-c_TRNGMAX)),-10),0))</f>
        <v>0</v>
      </c>
      <c r="E187" s="7" t="n">
        <f aca="false">IF(((c_TMAP1IN)-(c_TFWD))=0,(0)+QUOTIENT(((c_TMAP1OUT)-(0)),2),QUOTIENT((((C187)-(c_TFWD))*((c_TMAP1OUT)-(0))+IF(((c_TMAP1OUT)-(0))&gt;=0,1,-1)*QUOTIENT(((c_TMAP1IN)-(c_TFWD)),2)),((c_TMAP1IN)-(c_TFWD)))+(0)+IF(((c_TMAP1OUT)-(0))&gt;=0,IF(IF(o_WRAP=1,MOD(((c_TMAP1IN)-(c_TFWD))*(((C187)-(c_TFWD))*((c_TMAP1OUT)-(0))+IF(((c_TMAP1OUT)-(0))&gt;=0,1,-1)*QUOTIENT(((c_TMAP1IN)-(c_TFWD)),2))+2147483648,4294967296)-2147483648,((c_TMAP1IN)-(c_TFWD))*(((C187)-(c_TFWD))*((c_TMAP1OUT)-(0))+IF(((c_TMAP1OUT)-(0))&gt;=0,1,-1)*QUOTIENT(((c_TMAP1IN)-(c_TFWD)),2)))&lt;0,-1,0),IF(IF(o_WRAP=1,MOD(((c_TMAP1IN)-(c_TFWD))*(((C187)-(c_TFWD))*((c_TMAP1OUT)-(0))+IF(((c_TMAP1OUT)-(0))&gt;=0,1,-1)*QUOTIENT(((c_TMAP1IN)-(c_TFWD)),2))+2147483648,4294967296)-2147483648,((c_TMAP1IN)-(c_TFWD))*(((C187)-(c_TFWD))*((c_TMAP1OUT)-(0))+IF(((c_TMAP1OUT)-(0))&gt;=0,1,-1)*QUOTIENT(((c_TMAP1IN)-(c_TFWD)),2)))&gt;=0,1,0)))</f>
        <v>342</v>
      </c>
      <c r="F187" s="7" t="n">
        <f aca="false">IF(((c_TMAP2IN)-(c_TMAP1IN))=0,(c_TMAP1OUT)+QUOTIENT(((c_TMAP2OUT)-(c_TMAP1OUT)),2),QUOTIENT((((C187)-(c_TMAP1IN))*((c_TMAP2OUT)-(c_TMAP1OUT))+IF(((c_TMAP2OUT)-(c_TMAP1OUT))&gt;=0,1,-1)*QUOTIENT(((c_TMAP2IN)-(c_TMAP1IN)),2)),((c_TMAP2IN)-(c_TMAP1IN)))+(c_TMAP1OUT)+IF(((c_TMAP2OUT)-(c_TMAP1OUT))&gt;=0,IF(IF(o_WRAP=1,MOD(((c_TMAP2IN)-(c_TMAP1IN))*(((C187)-(c_TMAP1IN))*((c_TMAP2OUT)-(c_TMAP1OUT))+IF(((c_TMAP2OUT)-(c_TMAP1OUT))&gt;=0,1,-1)*QUOTIENT(((c_TMAP2IN)-(c_TMAP1IN)),2))+2147483648,4294967296)-2147483648,((c_TMAP2IN)-(c_TMAP1IN))*(((C187)-(c_TMAP1IN))*((c_TMAP2OUT)-(c_TMAP1OUT))+IF(((c_TMAP2OUT)-(c_TMAP1OUT))&gt;=0,1,-1)*QUOTIENT(((c_TMAP2IN)-(c_TMAP1IN)),2)))&lt;0,-1,0),IF(IF(o_WRAP=1,MOD(((c_TMAP2IN)-(c_TMAP1IN))*(((C187)-(c_TMAP1IN))*((c_TMAP2OUT)-(c_TMAP1OUT))+IF(((c_TMAP2OUT)-(c_TMAP1OUT))&gt;=0,1,-1)*QUOTIENT(((c_TMAP2IN)-(c_TMAP1IN)),2))+2147483648,4294967296)-2147483648,((c_TMAP2IN)-(c_TMAP1IN))*(((C187)-(c_TMAP1IN))*((c_TMAP2OUT)-(c_TMAP1OUT))+IF(((c_TMAP2OUT)-(c_TMAP1OUT))&gt;=0,1,-1)*QUOTIENT(((c_TMAP2IN)-(c_TMAP1IN)),2)))&gt;=0,1,0)))</f>
        <v>210</v>
      </c>
      <c r="G187" s="7" t="n">
        <f aca="false">IF(((c_TMAP3IN)-(c_TMAP2IN))=0,(c_TMAP2OUT)+QUOTIENT(((c_TMAP3OUT)-(c_TMAP2OUT)),2),QUOTIENT((((C187)-(c_TMAP2IN))*((c_TMAP3OUT)-(c_TMAP2OUT))+IF(((c_TMAP3OUT)-(c_TMAP2OUT))&gt;=0,1,-1)*QUOTIENT(((c_TMAP3IN)-(c_TMAP2IN)),2)),((c_TMAP3IN)-(c_TMAP2IN)))+(c_TMAP2OUT)+IF(((c_TMAP3OUT)-(c_TMAP2OUT))&gt;=0,IF(IF(o_WRAP=1,MOD(((c_TMAP3IN)-(c_TMAP2IN))*(((C187)-(c_TMAP2IN))*((c_TMAP3OUT)-(c_TMAP2OUT))+IF(((c_TMAP3OUT)-(c_TMAP2OUT))&gt;=0,1,-1)*QUOTIENT(((c_TMAP3IN)-(c_TMAP2IN)),2))+2147483648,4294967296)-2147483648,((c_TMAP3IN)-(c_TMAP2IN))*(((C187)-(c_TMAP2IN))*((c_TMAP3OUT)-(c_TMAP2OUT))+IF(((c_TMAP3OUT)-(c_TMAP2OUT))&gt;=0,1,-1)*QUOTIENT(((c_TMAP3IN)-(c_TMAP2IN)),2)))&lt;0,-1,0),IF(IF(o_WRAP=1,MOD(((c_TMAP3IN)-(c_TMAP2IN))*(((C187)-(c_TMAP2IN))*((c_TMAP3OUT)-(c_TMAP2OUT))+IF(((c_TMAP3OUT)-(c_TMAP2OUT))&gt;=0,1,-1)*QUOTIENT(((c_TMAP3IN)-(c_TMAP2IN)),2))+2147483648,4294967296)-2147483648,((c_TMAP3IN)-(c_TMAP2IN))*(((C187)-(c_TMAP2IN))*((c_TMAP3OUT)-(c_TMAP2OUT))+IF(((c_TMAP3OUT)-(c_TMAP2OUT))&gt;=0,1,-1)*QUOTIENT(((c_TMAP3IN)-(c_TMAP2IN)),2)))&gt;=0,1,0)))</f>
        <v>270</v>
      </c>
      <c r="H187" s="7" t="n">
        <f aca="false">IF(((1000)-(c_TMAP3IN))=0,(c_TMAP3OUT)+QUOTIENT(((1000)-(c_TMAP3OUT)),2),QUOTIENT((((C187)-(c_TMAP3IN))*((1000)-(c_TMAP3OUT))+IF(((1000)-(c_TMAP3OUT))&gt;=0,1,-1)*QUOTIENT(((1000)-(c_TMAP3IN)),2)),((1000)-(c_TMAP3IN)))+(c_TMAP3OUT)+IF(((1000)-(c_TMAP3OUT))&gt;=0,IF(IF(o_WRAP=1,MOD(((1000)-(c_TMAP3IN))*(((C187)-(c_TMAP3IN))*((1000)-(c_TMAP3OUT))+IF(((1000)-(c_TMAP3OUT))&gt;=0,1,-1)*QUOTIENT(((1000)-(c_TMAP3IN)),2))+2147483648,4294967296)-2147483648,((1000)-(c_TMAP3IN))*(((C187)-(c_TMAP3IN))*((1000)-(c_TMAP3OUT))+IF(((1000)-(c_TMAP3OUT))&gt;=0,1,-1)*QUOTIENT(((1000)-(c_TMAP3IN)),2)))&lt;0,-1,0),IF(IF(o_WRAP=1,MOD(((1000)-(c_TMAP3IN))*(((C187)-(c_TMAP3IN))*((1000)-(c_TMAP3OUT))+IF(((1000)-(c_TMAP3OUT))&gt;=0,1,-1)*QUOTIENT(((1000)-(c_TMAP3IN)),2))+2147483648,4294967296)-2147483648,((1000)-(c_TMAP3IN))*(((C187)-(c_TMAP3IN))*((1000)-(c_TMAP3OUT))+IF(((1000)-(c_TMAP3OUT))&gt;=0,1,-1)*QUOTIENT(((1000)-(c_TMAP3IN)),2)))&gt;=0,1,0)))</f>
        <v>323</v>
      </c>
      <c r="I187" s="7" t="n">
        <f aca="false">IF(C187&gt;=c_TFWD,IF(AND(C187&gt;=c_TMAP3IN,c_TMAP3IN&lt;1000),H187,IF(AND(C187&gt;=c_TMAP2IN,c_TMAP3IN&gt;c_TMAP2IN),G187,IF(AND(C187&gt;=c_TMAP1IN,c_TMAP2IN&gt;c_TMAP1IN),F187,E187))),D187)</f>
        <v>323</v>
      </c>
      <c r="J187" s="7" t="str">
        <f aca="false">IF(I187&lt;-1090,"TOO LOW",IF(I187&gt;1090,"TOO HIGH",""))</f>
        <v/>
      </c>
      <c r="K187" s="7" t="n">
        <f aca="false">IF(J187&lt;&gt;"",0,IF(I187&gt;979,1000,I187))</f>
        <v>323</v>
      </c>
      <c r="L187" s="7" t="n">
        <f aca="false">IF(OR(c_TSMOOTH=0,K187&gt;=c_TSMOOTHCUT),1,0)</f>
        <v>0</v>
      </c>
      <c r="M187" s="7" t="n">
        <f aca="false">IF(L187=1,0,M186+1)</f>
        <v>101</v>
      </c>
      <c r="N187" s="7" t="n">
        <f aca="false">IF(L187=1,0,MIN(M187,c_TSMOOTH))</f>
        <v>30</v>
      </c>
      <c r="O187" s="7" t="n">
        <f aca="false">IF(COUNTIF($L$5:L187,1)&gt;0,c_TSMOOTHCUT,0)</f>
        <v>400</v>
      </c>
      <c r="P187" s="15" t="n">
        <f aca="true">IF(L187=1,K187,QUOTIENT(SUM(OFFSET(K187,1-N187,0,N187,1))+(c_TSMOOTH-N187)*O187,c_TSMOOTH))</f>
        <v>232</v>
      </c>
      <c r="Q187" s="7" t="n">
        <f aca="false">K187/10</f>
        <v>32.3</v>
      </c>
      <c r="R187" s="7" t="n">
        <f aca="false">P187/10</f>
        <v>23.2</v>
      </c>
    </row>
    <row r="188" customFormat="false" ht="15" hidden="false" customHeight="false" outlineLevel="0" collapsed="false">
      <c r="A188" s="7" t="n">
        <v>183</v>
      </c>
      <c r="B188" s="7" t="n">
        <f aca="false">A188*0.04</f>
        <v>7.32</v>
      </c>
      <c r="C188" s="18" t="n">
        <v>450</v>
      </c>
      <c r="D188" s="7" t="n">
        <f aca="false">IF(AND(C188=0,c_TCREEP&gt;0),10*c_TCREEP,IF(AND(C188&lt;=c_TRNGMIN,C188&gt;=c_TRNGMAX,c_TRNGMIN-c_TRNGMAX&lt;&gt;0),-10*c_TMINRN+QUOTIENT((c_TMAXRN-c_TMINRN)*(100-QUOTIENT((C188-c_TRNGMAX)*100,c_TRNGMIN-c_TRNGMAX)),-10),0))</f>
        <v>0</v>
      </c>
      <c r="E188" s="7" t="n">
        <f aca="false">IF(((c_TMAP1IN)-(c_TFWD))=0,(0)+QUOTIENT(((c_TMAP1OUT)-(0)),2),QUOTIENT((((C188)-(c_TFWD))*((c_TMAP1OUT)-(0))+IF(((c_TMAP1OUT)-(0))&gt;=0,1,-1)*QUOTIENT(((c_TMAP1IN)-(c_TFWD)),2)),((c_TMAP1IN)-(c_TFWD)))+(0)+IF(((c_TMAP1OUT)-(0))&gt;=0,IF(IF(o_WRAP=1,MOD(((c_TMAP1IN)-(c_TFWD))*(((C188)-(c_TFWD))*((c_TMAP1OUT)-(0))+IF(((c_TMAP1OUT)-(0))&gt;=0,1,-1)*QUOTIENT(((c_TMAP1IN)-(c_TFWD)),2))+2147483648,4294967296)-2147483648,((c_TMAP1IN)-(c_TFWD))*(((C188)-(c_TFWD))*((c_TMAP1OUT)-(0))+IF(((c_TMAP1OUT)-(0))&gt;=0,1,-1)*QUOTIENT(((c_TMAP1IN)-(c_TFWD)),2)))&lt;0,-1,0),IF(IF(o_WRAP=1,MOD(((c_TMAP1IN)-(c_TFWD))*(((C188)-(c_TFWD))*((c_TMAP1OUT)-(0))+IF(((c_TMAP1OUT)-(0))&gt;=0,1,-1)*QUOTIENT(((c_TMAP1IN)-(c_TFWD)),2))+2147483648,4294967296)-2147483648,((c_TMAP1IN)-(c_TFWD))*(((C188)-(c_TFWD))*((c_TMAP1OUT)-(0))+IF(((c_TMAP1OUT)-(0))&gt;=0,1,-1)*QUOTIENT(((c_TMAP1IN)-(c_TFWD)),2)))&gt;=0,1,0)))</f>
        <v>342</v>
      </c>
      <c r="F188" s="7" t="n">
        <f aca="false">IF(((c_TMAP2IN)-(c_TMAP1IN))=0,(c_TMAP1OUT)+QUOTIENT(((c_TMAP2OUT)-(c_TMAP1OUT)),2),QUOTIENT((((C188)-(c_TMAP1IN))*((c_TMAP2OUT)-(c_TMAP1OUT))+IF(((c_TMAP2OUT)-(c_TMAP1OUT))&gt;=0,1,-1)*QUOTIENT(((c_TMAP2IN)-(c_TMAP1IN)),2)),((c_TMAP2IN)-(c_TMAP1IN)))+(c_TMAP1OUT)+IF(((c_TMAP2OUT)-(c_TMAP1OUT))&gt;=0,IF(IF(o_WRAP=1,MOD(((c_TMAP2IN)-(c_TMAP1IN))*(((C188)-(c_TMAP1IN))*((c_TMAP2OUT)-(c_TMAP1OUT))+IF(((c_TMAP2OUT)-(c_TMAP1OUT))&gt;=0,1,-1)*QUOTIENT(((c_TMAP2IN)-(c_TMAP1IN)),2))+2147483648,4294967296)-2147483648,((c_TMAP2IN)-(c_TMAP1IN))*(((C188)-(c_TMAP1IN))*((c_TMAP2OUT)-(c_TMAP1OUT))+IF(((c_TMAP2OUT)-(c_TMAP1OUT))&gt;=0,1,-1)*QUOTIENT(((c_TMAP2IN)-(c_TMAP1IN)),2)))&lt;0,-1,0),IF(IF(o_WRAP=1,MOD(((c_TMAP2IN)-(c_TMAP1IN))*(((C188)-(c_TMAP1IN))*((c_TMAP2OUT)-(c_TMAP1OUT))+IF(((c_TMAP2OUT)-(c_TMAP1OUT))&gt;=0,1,-1)*QUOTIENT(((c_TMAP2IN)-(c_TMAP1IN)),2))+2147483648,4294967296)-2147483648,((c_TMAP2IN)-(c_TMAP1IN))*(((C188)-(c_TMAP1IN))*((c_TMAP2OUT)-(c_TMAP1OUT))+IF(((c_TMAP2OUT)-(c_TMAP1OUT))&gt;=0,1,-1)*QUOTIENT(((c_TMAP2IN)-(c_TMAP1IN)),2)))&gt;=0,1,0)))</f>
        <v>210</v>
      </c>
      <c r="G188" s="7" t="n">
        <f aca="false">IF(((c_TMAP3IN)-(c_TMAP2IN))=0,(c_TMAP2OUT)+QUOTIENT(((c_TMAP3OUT)-(c_TMAP2OUT)),2),QUOTIENT((((C188)-(c_TMAP2IN))*((c_TMAP3OUT)-(c_TMAP2OUT))+IF(((c_TMAP3OUT)-(c_TMAP2OUT))&gt;=0,1,-1)*QUOTIENT(((c_TMAP3IN)-(c_TMAP2IN)),2)),((c_TMAP3IN)-(c_TMAP2IN)))+(c_TMAP2OUT)+IF(((c_TMAP3OUT)-(c_TMAP2OUT))&gt;=0,IF(IF(o_WRAP=1,MOD(((c_TMAP3IN)-(c_TMAP2IN))*(((C188)-(c_TMAP2IN))*((c_TMAP3OUT)-(c_TMAP2OUT))+IF(((c_TMAP3OUT)-(c_TMAP2OUT))&gt;=0,1,-1)*QUOTIENT(((c_TMAP3IN)-(c_TMAP2IN)),2))+2147483648,4294967296)-2147483648,((c_TMAP3IN)-(c_TMAP2IN))*(((C188)-(c_TMAP2IN))*((c_TMAP3OUT)-(c_TMAP2OUT))+IF(((c_TMAP3OUT)-(c_TMAP2OUT))&gt;=0,1,-1)*QUOTIENT(((c_TMAP3IN)-(c_TMAP2IN)),2)))&lt;0,-1,0),IF(IF(o_WRAP=1,MOD(((c_TMAP3IN)-(c_TMAP2IN))*(((C188)-(c_TMAP2IN))*((c_TMAP3OUT)-(c_TMAP2OUT))+IF(((c_TMAP3OUT)-(c_TMAP2OUT))&gt;=0,1,-1)*QUOTIENT(((c_TMAP3IN)-(c_TMAP2IN)),2))+2147483648,4294967296)-2147483648,((c_TMAP3IN)-(c_TMAP2IN))*(((C188)-(c_TMAP2IN))*((c_TMAP3OUT)-(c_TMAP2OUT))+IF(((c_TMAP3OUT)-(c_TMAP2OUT))&gt;=0,1,-1)*QUOTIENT(((c_TMAP3IN)-(c_TMAP2IN)),2)))&gt;=0,1,0)))</f>
        <v>270</v>
      </c>
      <c r="H188" s="7" t="n">
        <f aca="false">IF(((1000)-(c_TMAP3IN))=0,(c_TMAP3OUT)+QUOTIENT(((1000)-(c_TMAP3OUT)),2),QUOTIENT((((C188)-(c_TMAP3IN))*((1000)-(c_TMAP3OUT))+IF(((1000)-(c_TMAP3OUT))&gt;=0,1,-1)*QUOTIENT(((1000)-(c_TMAP3IN)),2)),((1000)-(c_TMAP3IN)))+(c_TMAP3OUT)+IF(((1000)-(c_TMAP3OUT))&gt;=0,IF(IF(o_WRAP=1,MOD(((1000)-(c_TMAP3IN))*(((C188)-(c_TMAP3IN))*((1000)-(c_TMAP3OUT))+IF(((1000)-(c_TMAP3OUT))&gt;=0,1,-1)*QUOTIENT(((1000)-(c_TMAP3IN)),2))+2147483648,4294967296)-2147483648,((1000)-(c_TMAP3IN))*(((C188)-(c_TMAP3IN))*((1000)-(c_TMAP3OUT))+IF(((1000)-(c_TMAP3OUT))&gt;=0,1,-1)*QUOTIENT(((1000)-(c_TMAP3IN)),2)))&lt;0,-1,0),IF(IF(o_WRAP=1,MOD(((1000)-(c_TMAP3IN))*(((C188)-(c_TMAP3IN))*((1000)-(c_TMAP3OUT))+IF(((1000)-(c_TMAP3OUT))&gt;=0,1,-1)*QUOTIENT(((1000)-(c_TMAP3IN)),2))+2147483648,4294967296)-2147483648,((1000)-(c_TMAP3IN))*(((C188)-(c_TMAP3IN))*((1000)-(c_TMAP3OUT))+IF(((1000)-(c_TMAP3OUT))&gt;=0,1,-1)*QUOTIENT(((1000)-(c_TMAP3IN)),2)))&gt;=0,1,0)))</f>
        <v>323</v>
      </c>
      <c r="I188" s="7" t="n">
        <f aca="false">IF(C188&gt;=c_TFWD,IF(AND(C188&gt;=c_TMAP3IN,c_TMAP3IN&lt;1000),H188,IF(AND(C188&gt;=c_TMAP2IN,c_TMAP3IN&gt;c_TMAP2IN),G188,IF(AND(C188&gt;=c_TMAP1IN,c_TMAP2IN&gt;c_TMAP1IN),F188,E188))),D188)</f>
        <v>323</v>
      </c>
      <c r="J188" s="7" t="str">
        <f aca="false">IF(I188&lt;-1090,"TOO LOW",IF(I188&gt;1090,"TOO HIGH",""))</f>
        <v/>
      </c>
      <c r="K188" s="7" t="n">
        <f aca="false">IF(J188&lt;&gt;"",0,IF(I188&gt;979,1000,I188))</f>
        <v>323</v>
      </c>
      <c r="L188" s="7" t="n">
        <f aca="false">IF(OR(c_TSMOOTH=0,K188&gt;=c_TSMOOTHCUT),1,0)</f>
        <v>0</v>
      </c>
      <c r="M188" s="7" t="n">
        <f aca="false">IF(L188=1,0,M187+1)</f>
        <v>102</v>
      </c>
      <c r="N188" s="7" t="n">
        <f aca="false">IF(L188=1,0,MIN(M188,c_TSMOOTH))</f>
        <v>30</v>
      </c>
      <c r="O188" s="7" t="n">
        <f aca="false">IF(COUNTIF($L$5:L188,1)&gt;0,c_TSMOOTHCUT,0)</f>
        <v>400</v>
      </c>
      <c r="P188" s="15" t="n">
        <f aca="true">IF(L188=1,K188,QUOTIENT(SUM(OFFSET(K188,1-N188,0,N188,1))+(c_TSMOOTH-N188)*O188,c_TSMOOTH))</f>
        <v>241</v>
      </c>
      <c r="Q188" s="7" t="n">
        <f aca="false">K188/10</f>
        <v>32.3</v>
      </c>
      <c r="R188" s="7" t="n">
        <f aca="false">P188/10</f>
        <v>24.1</v>
      </c>
    </row>
    <row r="189" customFormat="false" ht="15" hidden="false" customHeight="false" outlineLevel="0" collapsed="false">
      <c r="A189" s="7" t="n">
        <v>184</v>
      </c>
      <c r="B189" s="7" t="n">
        <f aca="false">A189*0.04</f>
        <v>7.36</v>
      </c>
      <c r="C189" s="18" t="n">
        <v>450</v>
      </c>
      <c r="D189" s="7" t="n">
        <f aca="false">IF(AND(C189=0,c_TCREEP&gt;0),10*c_TCREEP,IF(AND(C189&lt;=c_TRNGMIN,C189&gt;=c_TRNGMAX,c_TRNGMIN-c_TRNGMAX&lt;&gt;0),-10*c_TMINRN+QUOTIENT((c_TMAXRN-c_TMINRN)*(100-QUOTIENT((C189-c_TRNGMAX)*100,c_TRNGMIN-c_TRNGMAX)),-10),0))</f>
        <v>0</v>
      </c>
      <c r="E189" s="7" t="n">
        <f aca="false">IF(((c_TMAP1IN)-(c_TFWD))=0,(0)+QUOTIENT(((c_TMAP1OUT)-(0)),2),QUOTIENT((((C189)-(c_TFWD))*((c_TMAP1OUT)-(0))+IF(((c_TMAP1OUT)-(0))&gt;=0,1,-1)*QUOTIENT(((c_TMAP1IN)-(c_TFWD)),2)),((c_TMAP1IN)-(c_TFWD)))+(0)+IF(((c_TMAP1OUT)-(0))&gt;=0,IF(IF(o_WRAP=1,MOD(((c_TMAP1IN)-(c_TFWD))*(((C189)-(c_TFWD))*((c_TMAP1OUT)-(0))+IF(((c_TMAP1OUT)-(0))&gt;=0,1,-1)*QUOTIENT(((c_TMAP1IN)-(c_TFWD)),2))+2147483648,4294967296)-2147483648,((c_TMAP1IN)-(c_TFWD))*(((C189)-(c_TFWD))*((c_TMAP1OUT)-(0))+IF(((c_TMAP1OUT)-(0))&gt;=0,1,-1)*QUOTIENT(((c_TMAP1IN)-(c_TFWD)),2)))&lt;0,-1,0),IF(IF(o_WRAP=1,MOD(((c_TMAP1IN)-(c_TFWD))*(((C189)-(c_TFWD))*((c_TMAP1OUT)-(0))+IF(((c_TMAP1OUT)-(0))&gt;=0,1,-1)*QUOTIENT(((c_TMAP1IN)-(c_TFWD)),2))+2147483648,4294967296)-2147483648,((c_TMAP1IN)-(c_TFWD))*(((C189)-(c_TFWD))*((c_TMAP1OUT)-(0))+IF(((c_TMAP1OUT)-(0))&gt;=0,1,-1)*QUOTIENT(((c_TMAP1IN)-(c_TFWD)),2)))&gt;=0,1,0)))</f>
        <v>342</v>
      </c>
      <c r="F189" s="7" t="n">
        <f aca="false">IF(((c_TMAP2IN)-(c_TMAP1IN))=0,(c_TMAP1OUT)+QUOTIENT(((c_TMAP2OUT)-(c_TMAP1OUT)),2),QUOTIENT((((C189)-(c_TMAP1IN))*((c_TMAP2OUT)-(c_TMAP1OUT))+IF(((c_TMAP2OUT)-(c_TMAP1OUT))&gt;=0,1,-1)*QUOTIENT(((c_TMAP2IN)-(c_TMAP1IN)),2)),((c_TMAP2IN)-(c_TMAP1IN)))+(c_TMAP1OUT)+IF(((c_TMAP2OUT)-(c_TMAP1OUT))&gt;=0,IF(IF(o_WRAP=1,MOD(((c_TMAP2IN)-(c_TMAP1IN))*(((C189)-(c_TMAP1IN))*((c_TMAP2OUT)-(c_TMAP1OUT))+IF(((c_TMAP2OUT)-(c_TMAP1OUT))&gt;=0,1,-1)*QUOTIENT(((c_TMAP2IN)-(c_TMAP1IN)),2))+2147483648,4294967296)-2147483648,((c_TMAP2IN)-(c_TMAP1IN))*(((C189)-(c_TMAP1IN))*((c_TMAP2OUT)-(c_TMAP1OUT))+IF(((c_TMAP2OUT)-(c_TMAP1OUT))&gt;=0,1,-1)*QUOTIENT(((c_TMAP2IN)-(c_TMAP1IN)),2)))&lt;0,-1,0),IF(IF(o_WRAP=1,MOD(((c_TMAP2IN)-(c_TMAP1IN))*(((C189)-(c_TMAP1IN))*((c_TMAP2OUT)-(c_TMAP1OUT))+IF(((c_TMAP2OUT)-(c_TMAP1OUT))&gt;=0,1,-1)*QUOTIENT(((c_TMAP2IN)-(c_TMAP1IN)),2))+2147483648,4294967296)-2147483648,((c_TMAP2IN)-(c_TMAP1IN))*(((C189)-(c_TMAP1IN))*((c_TMAP2OUT)-(c_TMAP1OUT))+IF(((c_TMAP2OUT)-(c_TMAP1OUT))&gt;=0,1,-1)*QUOTIENT(((c_TMAP2IN)-(c_TMAP1IN)),2)))&gt;=0,1,0)))</f>
        <v>210</v>
      </c>
      <c r="G189" s="7" t="n">
        <f aca="false">IF(((c_TMAP3IN)-(c_TMAP2IN))=0,(c_TMAP2OUT)+QUOTIENT(((c_TMAP3OUT)-(c_TMAP2OUT)),2),QUOTIENT((((C189)-(c_TMAP2IN))*((c_TMAP3OUT)-(c_TMAP2OUT))+IF(((c_TMAP3OUT)-(c_TMAP2OUT))&gt;=0,1,-1)*QUOTIENT(((c_TMAP3IN)-(c_TMAP2IN)),2)),((c_TMAP3IN)-(c_TMAP2IN)))+(c_TMAP2OUT)+IF(((c_TMAP3OUT)-(c_TMAP2OUT))&gt;=0,IF(IF(o_WRAP=1,MOD(((c_TMAP3IN)-(c_TMAP2IN))*(((C189)-(c_TMAP2IN))*((c_TMAP3OUT)-(c_TMAP2OUT))+IF(((c_TMAP3OUT)-(c_TMAP2OUT))&gt;=0,1,-1)*QUOTIENT(((c_TMAP3IN)-(c_TMAP2IN)),2))+2147483648,4294967296)-2147483648,((c_TMAP3IN)-(c_TMAP2IN))*(((C189)-(c_TMAP2IN))*((c_TMAP3OUT)-(c_TMAP2OUT))+IF(((c_TMAP3OUT)-(c_TMAP2OUT))&gt;=0,1,-1)*QUOTIENT(((c_TMAP3IN)-(c_TMAP2IN)),2)))&lt;0,-1,0),IF(IF(o_WRAP=1,MOD(((c_TMAP3IN)-(c_TMAP2IN))*(((C189)-(c_TMAP2IN))*((c_TMAP3OUT)-(c_TMAP2OUT))+IF(((c_TMAP3OUT)-(c_TMAP2OUT))&gt;=0,1,-1)*QUOTIENT(((c_TMAP3IN)-(c_TMAP2IN)),2))+2147483648,4294967296)-2147483648,((c_TMAP3IN)-(c_TMAP2IN))*(((C189)-(c_TMAP2IN))*((c_TMAP3OUT)-(c_TMAP2OUT))+IF(((c_TMAP3OUT)-(c_TMAP2OUT))&gt;=0,1,-1)*QUOTIENT(((c_TMAP3IN)-(c_TMAP2IN)),2)))&gt;=0,1,0)))</f>
        <v>270</v>
      </c>
      <c r="H189" s="7" t="n">
        <f aca="false">IF(((1000)-(c_TMAP3IN))=0,(c_TMAP3OUT)+QUOTIENT(((1000)-(c_TMAP3OUT)),2),QUOTIENT((((C189)-(c_TMAP3IN))*((1000)-(c_TMAP3OUT))+IF(((1000)-(c_TMAP3OUT))&gt;=0,1,-1)*QUOTIENT(((1000)-(c_TMAP3IN)),2)),((1000)-(c_TMAP3IN)))+(c_TMAP3OUT)+IF(((1000)-(c_TMAP3OUT))&gt;=0,IF(IF(o_WRAP=1,MOD(((1000)-(c_TMAP3IN))*(((C189)-(c_TMAP3IN))*((1000)-(c_TMAP3OUT))+IF(((1000)-(c_TMAP3OUT))&gt;=0,1,-1)*QUOTIENT(((1000)-(c_TMAP3IN)),2))+2147483648,4294967296)-2147483648,((1000)-(c_TMAP3IN))*(((C189)-(c_TMAP3IN))*((1000)-(c_TMAP3OUT))+IF(((1000)-(c_TMAP3OUT))&gt;=0,1,-1)*QUOTIENT(((1000)-(c_TMAP3IN)),2)))&lt;0,-1,0),IF(IF(o_WRAP=1,MOD(((1000)-(c_TMAP3IN))*(((C189)-(c_TMAP3IN))*((1000)-(c_TMAP3OUT))+IF(((1000)-(c_TMAP3OUT))&gt;=0,1,-1)*QUOTIENT(((1000)-(c_TMAP3IN)),2))+2147483648,4294967296)-2147483648,((1000)-(c_TMAP3IN))*(((C189)-(c_TMAP3IN))*((1000)-(c_TMAP3OUT))+IF(((1000)-(c_TMAP3OUT))&gt;=0,1,-1)*QUOTIENT(((1000)-(c_TMAP3IN)),2)))&gt;=0,1,0)))</f>
        <v>323</v>
      </c>
      <c r="I189" s="7" t="n">
        <f aca="false">IF(C189&gt;=c_TFWD,IF(AND(C189&gt;=c_TMAP3IN,c_TMAP3IN&lt;1000),H189,IF(AND(C189&gt;=c_TMAP2IN,c_TMAP3IN&gt;c_TMAP2IN),G189,IF(AND(C189&gt;=c_TMAP1IN,c_TMAP2IN&gt;c_TMAP1IN),F189,E189))),D189)</f>
        <v>323</v>
      </c>
      <c r="J189" s="7" t="str">
        <f aca="false">IF(I189&lt;-1090,"TOO LOW",IF(I189&gt;1090,"TOO HIGH",""))</f>
        <v/>
      </c>
      <c r="K189" s="7" t="n">
        <f aca="false">IF(J189&lt;&gt;"",0,IF(I189&gt;979,1000,I189))</f>
        <v>323</v>
      </c>
      <c r="L189" s="7" t="n">
        <f aca="false">IF(OR(c_TSMOOTH=0,K189&gt;=c_TSMOOTHCUT),1,0)</f>
        <v>0</v>
      </c>
      <c r="M189" s="7" t="n">
        <f aca="false">IF(L189=1,0,M188+1)</f>
        <v>103</v>
      </c>
      <c r="N189" s="7" t="n">
        <f aca="false">IF(L189=1,0,MIN(M189,c_TSMOOTH))</f>
        <v>30</v>
      </c>
      <c r="O189" s="7" t="n">
        <f aca="false">IF(COUNTIF($L$5:L189,1)&gt;0,c_TSMOOTHCUT,0)</f>
        <v>400</v>
      </c>
      <c r="P189" s="15" t="n">
        <f aca="true">IF(L189=1,K189,QUOTIENT(SUM(OFFSET(K189,1-N189,0,N189,1))+(c_TSMOOTH-N189)*O189,c_TSMOOTH))</f>
        <v>249</v>
      </c>
      <c r="Q189" s="7" t="n">
        <f aca="false">K189/10</f>
        <v>32.3</v>
      </c>
      <c r="R189" s="7" t="n">
        <f aca="false">P189/10</f>
        <v>24.9</v>
      </c>
    </row>
    <row r="190" customFormat="false" ht="15" hidden="false" customHeight="false" outlineLevel="0" collapsed="false">
      <c r="A190" s="7" t="n">
        <v>185</v>
      </c>
      <c r="B190" s="7" t="n">
        <f aca="false">A190*0.04</f>
        <v>7.4</v>
      </c>
      <c r="C190" s="18" t="n">
        <v>450</v>
      </c>
      <c r="D190" s="7" t="n">
        <f aca="false">IF(AND(C190=0,c_TCREEP&gt;0),10*c_TCREEP,IF(AND(C190&lt;=c_TRNGMIN,C190&gt;=c_TRNGMAX,c_TRNGMIN-c_TRNGMAX&lt;&gt;0),-10*c_TMINRN+QUOTIENT((c_TMAXRN-c_TMINRN)*(100-QUOTIENT((C190-c_TRNGMAX)*100,c_TRNGMIN-c_TRNGMAX)),-10),0))</f>
        <v>0</v>
      </c>
      <c r="E190" s="7" t="n">
        <f aca="false">IF(((c_TMAP1IN)-(c_TFWD))=0,(0)+QUOTIENT(((c_TMAP1OUT)-(0)),2),QUOTIENT((((C190)-(c_TFWD))*((c_TMAP1OUT)-(0))+IF(((c_TMAP1OUT)-(0))&gt;=0,1,-1)*QUOTIENT(((c_TMAP1IN)-(c_TFWD)),2)),((c_TMAP1IN)-(c_TFWD)))+(0)+IF(((c_TMAP1OUT)-(0))&gt;=0,IF(IF(o_WRAP=1,MOD(((c_TMAP1IN)-(c_TFWD))*(((C190)-(c_TFWD))*((c_TMAP1OUT)-(0))+IF(((c_TMAP1OUT)-(0))&gt;=0,1,-1)*QUOTIENT(((c_TMAP1IN)-(c_TFWD)),2))+2147483648,4294967296)-2147483648,((c_TMAP1IN)-(c_TFWD))*(((C190)-(c_TFWD))*((c_TMAP1OUT)-(0))+IF(((c_TMAP1OUT)-(0))&gt;=0,1,-1)*QUOTIENT(((c_TMAP1IN)-(c_TFWD)),2)))&lt;0,-1,0),IF(IF(o_WRAP=1,MOD(((c_TMAP1IN)-(c_TFWD))*(((C190)-(c_TFWD))*((c_TMAP1OUT)-(0))+IF(((c_TMAP1OUT)-(0))&gt;=0,1,-1)*QUOTIENT(((c_TMAP1IN)-(c_TFWD)),2))+2147483648,4294967296)-2147483648,((c_TMAP1IN)-(c_TFWD))*(((C190)-(c_TFWD))*((c_TMAP1OUT)-(0))+IF(((c_TMAP1OUT)-(0))&gt;=0,1,-1)*QUOTIENT(((c_TMAP1IN)-(c_TFWD)),2)))&gt;=0,1,0)))</f>
        <v>342</v>
      </c>
      <c r="F190" s="7" t="n">
        <f aca="false">IF(((c_TMAP2IN)-(c_TMAP1IN))=0,(c_TMAP1OUT)+QUOTIENT(((c_TMAP2OUT)-(c_TMAP1OUT)),2),QUOTIENT((((C190)-(c_TMAP1IN))*((c_TMAP2OUT)-(c_TMAP1OUT))+IF(((c_TMAP2OUT)-(c_TMAP1OUT))&gt;=0,1,-1)*QUOTIENT(((c_TMAP2IN)-(c_TMAP1IN)),2)),((c_TMAP2IN)-(c_TMAP1IN)))+(c_TMAP1OUT)+IF(((c_TMAP2OUT)-(c_TMAP1OUT))&gt;=0,IF(IF(o_WRAP=1,MOD(((c_TMAP2IN)-(c_TMAP1IN))*(((C190)-(c_TMAP1IN))*((c_TMAP2OUT)-(c_TMAP1OUT))+IF(((c_TMAP2OUT)-(c_TMAP1OUT))&gt;=0,1,-1)*QUOTIENT(((c_TMAP2IN)-(c_TMAP1IN)),2))+2147483648,4294967296)-2147483648,((c_TMAP2IN)-(c_TMAP1IN))*(((C190)-(c_TMAP1IN))*((c_TMAP2OUT)-(c_TMAP1OUT))+IF(((c_TMAP2OUT)-(c_TMAP1OUT))&gt;=0,1,-1)*QUOTIENT(((c_TMAP2IN)-(c_TMAP1IN)),2)))&lt;0,-1,0),IF(IF(o_WRAP=1,MOD(((c_TMAP2IN)-(c_TMAP1IN))*(((C190)-(c_TMAP1IN))*((c_TMAP2OUT)-(c_TMAP1OUT))+IF(((c_TMAP2OUT)-(c_TMAP1OUT))&gt;=0,1,-1)*QUOTIENT(((c_TMAP2IN)-(c_TMAP1IN)),2))+2147483648,4294967296)-2147483648,((c_TMAP2IN)-(c_TMAP1IN))*(((C190)-(c_TMAP1IN))*((c_TMAP2OUT)-(c_TMAP1OUT))+IF(((c_TMAP2OUT)-(c_TMAP1OUT))&gt;=0,1,-1)*QUOTIENT(((c_TMAP2IN)-(c_TMAP1IN)),2)))&gt;=0,1,0)))</f>
        <v>210</v>
      </c>
      <c r="G190" s="7" t="n">
        <f aca="false">IF(((c_TMAP3IN)-(c_TMAP2IN))=0,(c_TMAP2OUT)+QUOTIENT(((c_TMAP3OUT)-(c_TMAP2OUT)),2),QUOTIENT((((C190)-(c_TMAP2IN))*((c_TMAP3OUT)-(c_TMAP2OUT))+IF(((c_TMAP3OUT)-(c_TMAP2OUT))&gt;=0,1,-1)*QUOTIENT(((c_TMAP3IN)-(c_TMAP2IN)),2)),((c_TMAP3IN)-(c_TMAP2IN)))+(c_TMAP2OUT)+IF(((c_TMAP3OUT)-(c_TMAP2OUT))&gt;=0,IF(IF(o_WRAP=1,MOD(((c_TMAP3IN)-(c_TMAP2IN))*(((C190)-(c_TMAP2IN))*((c_TMAP3OUT)-(c_TMAP2OUT))+IF(((c_TMAP3OUT)-(c_TMAP2OUT))&gt;=0,1,-1)*QUOTIENT(((c_TMAP3IN)-(c_TMAP2IN)),2))+2147483648,4294967296)-2147483648,((c_TMAP3IN)-(c_TMAP2IN))*(((C190)-(c_TMAP2IN))*((c_TMAP3OUT)-(c_TMAP2OUT))+IF(((c_TMAP3OUT)-(c_TMAP2OUT))&gt;=0,1,-1)*QUOTIENT(((c_TMAP3IN)-(c_TMAP2IN)),2)))&lt;0,-1,0),IF(IF(o_WRAP=1,MOD(((c_TMAP3IN)-(c_TMAP2IN))*(((C190)-(c_TMAP2IN))*((c_TMAP3OUT)-(c_TMAP2OUT))+IF(((c_TMAP3OUT)-(c_TMAP2OUT))&gt;=0,1,-1)*QUOTIENT(((c_TMAP3IN)-(c_TMAP2IN)),2))+2147483648,4294967296)-2147483648,((c_TMAP3IN)-(c_TMAP2IN))*(((C190)-(c_TMAP2IN))*((c_TMAP3OUT)-(c_TMAP2OUT))+IF(((c_TMAP3OUT)-(c_TMAP2OUT))&gt;=0,1,-1)*QUOTIENT(((c_TMAP3IN)-(c_TMAP2IN)),2)))&gt;=0,1,0)))</f>
        <v>270</v>
      </c>
      <c r="H190" s="7" t="n">
        <f aca="false">IF(((1000)-(c_TMAP3IN))=0,(c_TMAP3OUT)+QUOTIENT(((1000)-(c_TMAP3OUT)),2),QUOTIENT((((C190)-(c_TMAP3IN))*((1000)-(c_TMAP3OUT))+IF(((1000)-(c_TMAP3OUT))&gt;=0,1,-1)*QUOTIENT(((1000)-(c_TMAP3IN)),2)),((1000)-(c_TMAP3IN)))+(c_TMAP3OUT)+IF(((1000)-(c_TMAP3OUT))&gt;=0,IF(IF(o_WRAP=1,MOD(((1000)-(c_TMAP3IN))*(((C190)-(c_TMAP3IN))*((1000)-(c_TMAP3OUT))+IF(((1000)-(c_TMAP3OUT))&gt;=0,1,-1)*QUOTIENT(((1000)-(c_TMAP3IN)),2))+2147483648,4294967296)-2147483648,((1000)-(c_TMAP3IN))*(((C190)-(c_TMAP3IN))*((1000)-(c_TMAP3OUT))+IF(((1000)-(c_TMAP3OUT))&gt;=0,1,-1)*QUOTIENT(((1000)-(c_TMAP3IN)),2)))&lt;0,-1,0),IF(IF(o_WRAP=1,MOD(((1000)-(c_TMAP3IN))*(((C190)-(c_TMAP3IN))*((1000)-(c_TMAP3OUT))+IF(((1000)-(c_TMAP3OUT))&gt;=0,1,-1)*QUOTIENT(((1000)-(c_TMAP3IN)),2))+2147483648,4294967296)-2147483648,((1000)-(c_TMAP3IN))*(((C190)-(c_TMAP3IN))*((1000)-(c_TMAP3OUT))+IF(((1000)-(c_TMAP3OUT))&gt;=0,1,-1)*QUOTIENT(((1000)-(c_TMAP3IN)),2)))&gt;=0,1,0)))</f>
        <v>323</v>
      </c>
      <c r="I190" s="7" t="n">
        <f aca="false">IF(C190&gt;=c_TFWD,IF(AND(C190&gt;=c_TMAP3IN,c_TMAP3IN&lt;1000),H190,IF(AND(C190&gt;=c_TMAP2IN,c_TMAP3IN&gt;c_TMAP2IN),G190,IF(AND(C190&gt;=c_TMAP1IN,c_TMAP2IN&gt;c_TMAP1IN),F190,E190))),D190)</f>
        <v>323</v>
      </c>
      <c r="J190" s="7" t="str">
        <f aca="false">IF(I190&lt;-1090,"TOO LOW",IF(I190&gt;1090,"TOO HIGH",""))</f>
        <v/>
      </c>
      <c r="K190" s="7" t="n">
        <f aca="false">IF(J190&lt;&gt;"",0,IF(I190&gt;979,1000,I190))</f>
        <v>323</v>
      </c>
      <c r="L190" s="7" t="n">
        <f aca="false">IF(OR(c_TSMOOTH=0,K190&gt;=c_TSMOOTHCUT),1,0)</f>
        <v>0</v>
      </c>
      <c r="M190" s="7" t="n">
        <f aca="false">IF(L190=1,0,M189+1)</f>
        <v>104</v>
      </c>
      <c r="N190" s="7" t="n">
        <f aca="false">IF(L190=1,0,MIN(M190,c_TSMOOTH))</f>
        <v>30</v>
      </c>
      <c r="O190" s="7" t="n">
        <f aca="false">IF(COUNTIF($L$5:L190,1)&gt;0,c_TSMOOTHCUT,0)</f>
        <v>400</v>
      </c>
      <c r="P190" s="15" t="n">
        <f aca="true">IF(L190=1,K190,QUOTIENT(SUM(OFFSET(K190,1-N190,0,N190,1))+(c_TSMOOTH-N190)*O190,c_TSMOOTH))</f>
        <v>257</v>
      </c>
      <c r="Q190" s="7" t="n">
        <f aca="false">K190/10</f>
        <v>32.3</v>
      </c>
      <c r="R190" s="7" t="n">
        <f aca="false">P190/10</f>
        <v>25.7</v>
      </c>
    </row>
    <row r="191" customFormat="false" ht="15" hidden="false" customHeight="false" outlineLevel="0" collapsed="false">
      <c r="A191" s="7" t="n">
        <v>186</v>
      </c>
      <c r="B191" s="7" t="n">
        <f aca="false">A191*0.04</f>
        <v>7.44</v>
      </c>
      <c r="C191" s="18" t="n">
        <v>450</v>
      </c>
      <c r="D191" s="7" t="n">
        <f aca="false">IF(AND(C191=0,c_TCREEP&gt;0),10*c_TCREEP,IF(AND(C191&lt;=c_TRNGMIN,C191&gt;=c_TRNGMAX,c_TRNGMIN-c_TRNGMAX&lt;&gt;0),-10*c_TMINRN+QUOTIENT((c_TMAXRN-c_TMINRN)*(100-QUOTIENT((C191-c_TRNGMAX)*100,c_TRNGMIN-c_TRNGMAX)),-10),0))</f>
        <v>0</v>
      </c>
      <c r="E191" s="7" t="n">
        <f aca="false">IF(((c_TMAP1IN)-(c_TFWD))=0,(0)+QUOTIENT(((c_TMAP1OUT)-(0)),2),QUOTIENT((((C191)-(c_TFWD))*((c_TMAP1OUT)-(0))+IF(((c_TMAP1OUT)-(0))&gt;=0,1,-1)*QUOTIENT(((c_TMAP1IN)-(c_TFWD)),2)),((c_TMAP1IN)-(c_TFWD)))+(0)+IF(((c_TMAP1OUT)-(0))&gt;=0,IF(IF(o_WRAP=1,MOD(((c_TMAP1IN)-(c_TFWD))*(((C191)-(c_TFWD))*((c_TMAP1OUT)-(0))+IF(((c_TMAP1OUT)-(0))&gt;=0,1,-1)*QUOTIENT(((c_TMAP1IN)-(c_TFWD)),2))+2147483648,4294967296)-2147483648,((c_TMAP1IN)-(c_TFWD))*(((C191)-(c_TFWD))*((c_TMAP1OUT)-(0))+IF(((c_TMAP1OUT)-(0))&gt;=0,1,-1)*QUOTIENT(((c_TMAP1IN)-(c_TFWD)),2)))&lt;0,-1,0),IF(IF(o_WRAP=1,MOD(((c_TMAP1IN)-(c_TFWD))*(((C191)-(c_TFWD))*((c_TMAP1OUT)-(0))+IF(((c_TMAP1OUT)-(0))&gt;=0,1,-1)*QUOTIENT(((c_TMAP1IN)-(c_TFWD)),2))+2147483648,4294967296)-2147483648,((c_TMAP1IN)-(c_TFWD))*(((C191)-(c_TFWD))*((c_TMAP1OUT)-(0))+IF(((c_TMAP1OUT)-(0))&gt;=0,1,-1)*QUOTIENT(((c_TMAP1IN)-(c_TFWD)),2)))&gt;=0,1,0)))</f>
        <v>342</v>
      </c>
      <c r="F191" s="7" t="n">
        <f aca="false">IF(((c_TMAP2IN)-(c_TMAP1IN))=0,(c_TMAP1OUT)+QUOTIENT(((c_TMAP2OUT)-(c_TMAP1OUT)),2),QUOTIENT((((C191)-(c_TMAP1IN))*((c_TMAP2OUT)-(c_TMAP1OUT))+IF(((c_TMAP2OUT)-(c_TMAP1OUT))&gt;=0,1,-1)*QUOTIENT(((c_TMAP2IN)-(c_TMAP1IN)),2)),((c_TMAP2IN)-(c_TMAP1IN)))+(c_TMAP1OUT)+IF(((c_TMAP2OUT)-(c_TMAP1OUT))&gt;=0,IF(IF(o_WRAP=1,MOD(((c_TMAP2IN)-(c_TMAP1IN))*(((C191)-(c_TMAP1IN))*((c_TMAP2OUT)-(c_TMAP1OUT))+IF(((c_TMAP2OUT)-(c_TMAP1OUT))&gt;=0,1,-1)*QUOTIENT(((c_TMAP2IN)-(c_TMAP1IN)),2))+2147483648,4294967296)-2147483648,((c_TMAP2IN)-(c_TMAP1IN))*(((C191)-(c_TMAP1IN))*((c_TMAP2OUT)-(c_TMAP1OUT))+IF(((c_TMAP2OUT)-(c_TMAP1OUT))&gt;=0,1,-1)*QUOTIENT(((c_TMAP2IN)-(c_TMAP1IN)),2)))&lt;0,-1,0),IF(IF(o_WRAP=1,MOD(((c_TMAP2IN)-(c_TMAP1IN))*(((C191)-(c_TMAP1IN))*((c_TMAP2OUT)-(c_TMAP1OUT))+IF(((c_TMAP2OUT)-(c_TMAP1OUT))&gt;=0,1,-1)*QUOTIENT(((c_TMAP2IN)-(c_TMAP1IN)),2))+2147483648,4294967296)-2147483648,((c_TMAP2IN)-(c_TMAP1IN))*(((C191)-(c_TMAP1IN))*((c_TMAP2OUT)-(c_TMAP1OUT))+IF(((c_TMAP2OUT)-(c_TMAP1OUT))&gt;=0,1,-1)*QUOTIENT(((c_TMAP2IN)-(c_TMAP1IN)),2)))&gt;=0,1,0)))</f>
        <v>210</v>
      </c>
      <c r="G191" s="7" t="n">
        <f aca="false">IF(((c_TMAP3IN)-(c_TMAP2IN))=0,(c_TMAP2OUT)+QUOTIENT(((c_TMAP3OUT)-(c_TMAP2OUT)),2),QUOTIENT((((C191)-(c_TMAP2IN))*((c_TMAP3OUT)-(c_TMAP2OUT))+IF(((c_TMAP3OUT)-(c_TMAP2OUT))&gt;=0,1,-1)*QUOTIENT(((c_TMAP3IN)-(c_TMAP2IN)),2)),((c_TMAP3IN)-(c_TMAP2IN)))+(c_TMAP2OUT)+IF(((c_TMAP3OUT)-(c_TMAP2OUT))&gt;=0,IF(IF(o_WRAP=1,MOD(((c_TMAP3IN)-(c_TMAP2IN))*(((C191)-(c_TMAP2IN))*((c_TMAP3OUT)-(c_TMAP2OUT))+IF(((c_TMAP3OUT)-(c_TMAP2OUT))&gt;=0,1,-1)*QUOTIENT(((c_TMAP3IN)-(c_TMAP2IN)),2))+2147483648,4294967296)-2147483648,((c_TMAP3IN)-(c_TMAP2IN))*(((C191)-(c_TMAP2IN))*((c_TMAP3OUT)-(c_TMAP2OUT))+IF(((c_TMAP3OUT)-(c_TMAP2OUT))&gt;=0,1,-1)*QUOTIENT(((c_TMAP3IN)-(c_TMAP2IN)),2)))&lt;0,-1,0),IF(IF(o_WRAP=1,MOD(((c_TMAP3IN)-(c_TMAP2IN))*(((C191)-(c_TMAP2IN))*((c_TMAP3OUT)-(c_TMAP2OUT))+IF(((c_TMAP3OUT)-(c_TMAP2OUT))&gt;=0,1,-1)*QUOTIENT(((c_TMAP3IN)-(c_TMAP2IN)),2))+2147483648,4294967296)-2147483648,((c_TMAP3IN)-(c_TMAP2IN))*(((C191)-(c_TMAP2IN))*((c_TMAP3OUT)-(c_TMAP2OUT))+IF(((c_TMAP3OUT)-(c_TMAP2OUT))&gt;=0,1,-1)*QUOTIENT(((c_TMAP3IN)-(c_TMAP2IN)),2)))&gt;=0,1,0)))</f>
        <v>270</v>
      </c>
      <c r="H191" s="7" t="n">
        <f aca="false">IF(((1000)-(c_TMAP3IN))=0,(c_TMAP3OUT)+QUOTIENT(((1000)-(c_TMAP3OUT)),2),QUOTIENT((((C191)-(c_TMAP3IN))*((1000)-(c_TMAP3OUT))+IF(((1000)-(c_TMAP3OUT))&gt;=0,1,-1)*QUOTIENT(((1000)-(c_TMAP3IN)),2)),((1000)-(c_TMAP3IN)))+(c_TMAP3OUT)+IF(((1000)-(c_TMAP3OUT))&gt;=0,IF(IF(o_WRAP=1,MOD(((1000)-(c_TMAP3IN))*(((C191)-(c_TMAP3IN))*((1000)-(c_TMAP3OUT))+IF(((1000)-(c_TMAP3OUT))&gt;=0,1,-1)*QUOTIENT(((1000)-(c_TMAP3IN)),2))+2147483648,4294967296)-2147483648,((1000)-(c_TMAP3IN))*(((C191)-(c_TMAP3IN))*((1000)-(c_TMAP3OUT))+IF(((1000)-(c_TMAP3OUT))&gt;=0,1,-1)*QUOTIENT(((1000)-(c_TMAP3IN)),2)))&lt;0,-1,0),IF(IF(o_WRAP=1,MOD(((1000)-(c_TMAP3IN))*(((C191)-(c_TMAP3IN))*((1000)-(c_TMAP3OUT))+IF(((1000)-(c_TMAP3OUT))&gt;=0,1,-1)*QUOTIENT(((1000)-(c_TMAP3IN)),2))+2147483648,4294967296)-2147483648,((1000)-(c_TMAP3IN))*(((C191)-(c_TMAP3IN))*((1000)-(c_TMAP3OUT))+IF(((1000)-(c_TMAP3OUT))&gt;=0,1,-1)*QUOTIENT(((1000)-(c_TMAP3IN)),2)))&gt;=0,1,0)))</f>
        <v>323</v>
      </c>
      <c r="I191" s="7" t="n">
        <f aca="false">IF(C191&gt;=c_TFWD,IF(AND(C191&gt;=c_TMAP3IN,c_TMAP3IN&lt;1000),H191,IF(AND(C191&gt;=c_TMAP2IN,c_TMAP3IN&gt;c_TMAP2IN),G191,IF(AND(C191&gt;=c_TMAP1IN,c_TMAP2IN&gt;c_TMAP1IN),F191,E191))),D191)</f>
        <v>323</v>
      </c>
      <c r="J191" s="7" t="str">
        <f aca="false">IF(I191&lt;-1090,"TOO LOW",IF(I191&gt;1090,"TOO HIGH",""))</f>
        <v/>
      </c>
      <c r="K191" s="7" t="n">
        <f aca="false">IF(J191&lt;&gt;"",0,IF(I191&gt;979,1000,I191))</f>
        <v>323</v>
      </c>
      <c r="L191" s="7" t="n">
        <f aca="false">IF(OR(c_TSMOOTH=0,K191&gt;=c_TSMOOTHCUT),1,0)</f>
        <v>0</v>
      </c>
      <c r="M191" s="7" t="n">
        <f aca="false">IF(L191=1,0,M190+1)</f>
        <v>105</v>
      </c>
      <c r="N191" s="7" t="n">
        <f aca="false">IF(L191=1,0,MIN(M191,c_TSMOOTH))</f>
        <v>30</v>
      </c>
      <c r="O191" s="7" t="n">
        <f aca="false">IF(COUNTIF($L$5:L191,1)&gt;0,c_TSMOOTHCUT,0)</f>
        <v>400</v>
      </c>
      <c r="P191" s="15" t="n">
        <f aca="true">IF(L191=1,K191,QUOTIENT(SUM(OFFSET(K191,1-N191,0,N191,1))+(c_TSMOOTH-N191)*O191,c_TSMOOTH))</f>
        <v>265</v>
      </c>
      <c r="Q191" s="7" t="n">
        <f aca="false">K191/10</f>
        <v>32.3</v>
      </c>
      <c r="R191" s="7" t="n">
        <f aca="false">P191/10</f>
        <v>26.5</v>
      </c>
    </row>
    <row r="192" customFormat="false" ht="15" hidden="false" customHeight="false" outlineLevel="0" collapsed="false">
      <c r="A192" s="7" t="n">
        <v>187</v>
      </c>
      <c r="B192" s="7" t="n">
        <f aca="false">A192*0.04</f>
        <v>7.48</v>
      </c>
      <c r="C192" s="18" t="n">
        <v>450</v>
      </c>
      <c r="D192" s="7" t="n">
        <f aca="false">IF(AND(C192=0,c_TCREEP&gt;0),10*c_TCREEP,IF(AND(C192&lt;=c_TRNGMIN,C192&gt;=c_TRNGMAX,c_TRNGMIN-c_TRNGMAX&lt;&gt;0),-10*c_TMINRN+QUOTIENT((c_TMAXRN-c_TMINRN)*(100-QUOTIENT((C192-c_TRNGMAX)*100,c_TRNGMIN-c_TRNGMAX)),-10),0))</f>
        <v>0</v>
      </c>
      <c r="E192" s="7" t="n">
        <f aca="false">IF(((c_TMAP1IN)-(c_TFWD))=0,(0)+QUOTIENT(((c_TMAP1OUT)-(0)),2),QUOTIENT((((C192)-(c_TFWD))*((c_TMAP1OUT)-(0))+IF(((c_TMAP1OUT)-(0))&gt;=0,1,-1)*QUOTIENT(((c_TMAP1IN)-(c_TFWD)),2)),((c_TMAP1IN)-(c_TFWD)))+(0)+IF(((c_TMAP1OUT)-(0))&gt;=0,IF(IF(o_WRAP=1,MOD(((c_TMAP1IN)-(c_TFWD))*(((C192)-(c_TFWD))*((c_TMAP1OUT)-(0))+IF(((c_TMAP1OUT)-(0))&gt;=0,1,-1)*QUOTIENT(((c_TMAP1IN)-(c_TFWD)),2))+2147483648,4294967296)-2147483648,((c_TMAP1IN)-(c_TFWD))*(((C192)-(c_TFWD))*((c_TMAP1OUT)-(0))+IF(((c_TMAP1OUT)-(0))&gt;=0,1,-1)*QUOTIENT(((c_TMAP1IN)-(c_TFWD)),2)))&lt;0,-1,0),IF(IF(o_WRAP=1,MOD(((c_TMAP1IN)-(c_TFWD))*(((C192)-(c_TFWD))*((c_TMAP1OUT)-(0))+IF(((c_TMAP1OUT)-(0))&gt;=0,1,-1)*QUOTIENT(((c_TMAP1IN)-(c_TFWD)),2))+2147483648,4294967296)-2147483648,((c_TMAP1IN)-(c_TFWD))*(((C192)-(c_TFWD))*((c_TMAP1OUT)-(0))+IF(((c_TMAP1OUT)-(0))&gt;=0,1,-1)*QUOTIENT(((c_TMAP1IN)-(c_TFWD)),2)))&gt;=0,1,0)))</f>
        <v>342</v>
      </c>
      <c r="F192" s="7" t="n">
        <f aca="false">IF(((c_TMAP2IN)-(c_TMAP1IN))=0,(c_TMAP1OUT)+QUOTIENT(((c_TMAP2OUT)-(c_TMAP1OUT)),2),QUOTIENT((((C192)-(c_TMAP1IN))*((c_TMAP2OUT)-(c_TMAP1OUT))+IF(((c_TMAP2OUT)-(c_TMAP1OUT))&gt;=0,1,-1)*QUOTIENT(((c_TMAP2IN)-(c_TMAP1IN)),2)),((c_TMAP2IN)-(c_TMAP1IN)))+(c_TMAP1OUT)+IF(((c_TMAP2OUT)-(c_TMAP1OUT))&gt;=0,IF(IF(o_WRAP=1,MOD(((c_TMAP2IN)-(c_TMAP1IN))*(((C192)-(c_TMAP1IN))*((c_TMAP2OUT)-(c_TMAP1OUT))+IF(((c_TMAP2OUT)-(c_TMAP1OUT))&gt;=0,1,-1)*QUOTIENT(((c_TMAP2IN)-(c_TMAP1IN)),2))+2147483648,4294967296)-2147483648,((c_TMAP2IN)-(c_TMAP1IN))*(((C192)-(c_TMAP1IN))*((c_TMAP2OUT)-(c_TMAP1OUT))+IF(((c_TMAP2OUT)-(c_TMAP1OUT))&gt;=0,1,-1)*QUOTIENT(((c_TMAP2IN)-(c_TMAP1IN)),2)))&lt;0,-1,0),IF(IF(o_WRAP=1,MOD(((c_TMAP2IN)-(c_TMAP1IN))*(((C192)-(c_TMAP1IN))*((c_TMAP2OUT)-(c_TMAP1OUT))+IF(((c_TMAP2OUT)-(c_TMAP1OUT))&gt;=0,1,-1)*QUOTIENT(((c_TMAP2IN)-(c_TMAP1IN)),2))+2147483648,4294967296)-2147483648,((c_TMAP2IN)-(c_TMAP1IN))*(((C192)-(c_TMAP1IN))*((c_TMAP2OUT)-(c_TMAP1OUT))+IF(((c_TMAP2OUT)-(c_TMAP1OUT))&gt;=0,1,-1)*QUOTIENT(((c_TMAP2IN)-(c_TMAP1IN)),2)))&gt;=0,1,0)))</f>
        <v>210</v>
      </c>
      <c r="G192" s="7" t="n">
        <f aca="false">IF(((c_TMAP3IN)-(c_TMAP2IN))=0,(c_TMAP2OUT)+QUOTIENT(((c_TMAP3OUT)-(c_TMAP2OUT)),2),QUOTIENT((((C192)-(c_TMAP2IN))*((c_TMAP3OUT)-(c_TMAP2OUT))+IF(((c_TMAP3OUT)-(c_TMAP2OUT))&gt;=0,1,-1)*QUOTIENT(((c_TMAP3IN)-(c_TMAP2IN)),2)),((c_TMAP3IN)-(c_TMAP2IN)))+(c_TMAP2OUT)+IF(((c_TMAP3OUT)-(c_TMAP2OUT))&gt;=0,IF(IF(o_WRAP=1,MOD(((c_TMAP3IN)-(c_TMAP2IN))*(((C192)-(c_TMAP2IN))*((c_TMAP3OUT)-(c_TMAP2OUT))+IF(((c_TMAP3OUT)-(c_TMAP2OUT))&gt;=0,1,-1)*QUOTIENT(((c_TMAP3IN)-(c_TMAP2IN)),2))+2147483648,4294967296)-2147483648,((c_TMAP3IN)-(c_TMAP2IN))*(((C192)-(c_TMAP2IN))*((c_TMAP3OUT)-(c_TMAP2OUT))+IF(((c_TMAP3OUT)-(c_TMAP2OUT))&gt;=0,1,-1)*QUOTIENT(((c_TMAP3IN)-(c_TMAP2IN)),2)))&lt;0,-1,0),IF(IF(o_WRAP=1,MOD(((c_TMAP3IN)-(c_TMAP2IN))*(((C192)-(c_TMAP2IN))*((c_TMAP3OUT)-(c_TMAP2OUT))+IF(((c_TMAP3OUT)-(c_TMAP2OUT))&gt;=0,1,-1)*QUOTIENT(((c_TMAP3IN)-(c_TMAP2IN)),2))+2147483648,4294967296)-2147483648,((c_TMAP3IN)-(c_TMAP2IN))*(((C192)-(c_TMAP2IN))*((c_TMAP3OUT)-(c_TMAP2OUT))+IF(((c_TMAP3OUT)-(c_TMAP2OUT))&gt;=0,1,-1)*QUOTIENT(((c_TMAP3IN)-(c_TMAP2IN)),2)))&gt;=0,1,0)))</f>
        <v>270</v>
      </c>
      <c r="H192" s="7" t="n">
        <f aca="false">IF(((1000)-(c_TMAP3IN))=0,(c_TMAP3OUT)+QUOTIENT(((1000)-(c_TMAP3OUT)),2),QUOTIENT((((C192)-(c_TMAP3IN))*((1000)-(c_TMAP3OUT))+IF(((1000)-(c_TMAP3OUT))&gt;=0,1,-1)*QUOTIENT(((1000)-(c_TMAP3IN)),2)),((1000)-(c_TMAP3IN)))+(c_TMAP3OUT)+IF(((1000)-(c_TMAP3OUT))&gt;=0,IF(IF(o_WRAP=1,MOD(((1000)-(c_TMAP3IN))*(((C192)-(c_TMAP3IN))*((1000)-(c_TMAP3OUT))+IF(((1000)-(c_TMAP3OUT))&gt;=0,1,-1)*QUOTIENT(((1000)-(c_TMAP3IN)),2))+2147483648,4294967296)-2147483648,((1000)-(c_TMAP3IN))*(((C192)-(c_TMAP3IN))*((1000)-(c_TMAP3OUT))+IF(((1000)-(c_TMAP3OUT))&gt;=0,1,-1)*QUOTIENT(((1000)-(c_TMAP3IN)),2)))&lt;0,-1,0),IF(IF(o_WRAP=1,MOD(((1000)-(c_TMAP3IN))*(((C192)-(c_TMAP3IN))*((1000)-(c_TMAP3OUT))+IF(((1000)-(c_TMAP3OUT))&gt;=0,1,-1)*QUOTIENT(((1000)-(c_TMAP3IN)),2))+2147483648,4294967296)-2147483648,((1000)-(c_TMAP3IN))*(((C192)-(c_TMAP3IN))*((1000)-(c_TMAP3OUT))+IF(((1000)-(c_TMAP3OUT))&gt;=0,1,-1)*QUOTIENT(((1000)-(c_TMAP3IN)),2)))&gt;=0,1,0)))</f>
        <v>323</v>
      </c>
      <c r="I192" s="7" t="n">
        <f aca="false">IF(C192&gt;=c_TFWD,IF(AND(C192&gt;=c_TMAP3IN,c_TMAP3IN&lt;1000),H192,IF(AND(C192&gt;=c_TMAP2IN,c_TMAP3IN&gt;c_TMAP2IN),G192,IF(AND(C192&gt;=c_TMAP1IN,c_TMAP2IN&gt;c_TMAP1IN),F192,E192))),D192)</f>
        <v>323</v>
      </c>
      <c r="J192" s="7" t="str">
        <f aca="false">IF(I192&lt;-1090,"TOO LOW",IF(I192&gt;1090,"TOO HIGH",""))</f>
        <v/>
      </c>
      <c r="K192" s="7" t="n">
        <f aca="false">IF(J192&lt;&gt;"",0,IF(I192&gt;979,1000,I192))</f>
        <v>323</v>
      </c>
      <c r="L192" s="7" t="n">
        <f aca="false">IF(OR(c_TSMOOTH=0,K192&gt;=c_TSMOOTHCUT),1,0)</f>
        <v>0</v>
      </c>
      <c r="M192" s="7" t="n">
        <f aca="false">IF(L192=1,0,M191+1)</f>
        <v>106</v>
      </c>
      <c r="N192" s="7" t="n">
        <f aca="false">IF(L192=1,0,MIN(M192,c_TSMOOTH))</f>
        <v>30</v>
      </c>
      <c r="O192" s="7" t="n">
        <f aca="false">IF(COUNTIF($L$5:L192,1)&gt;0,c_TSMOOTHCUT,0)</f>
        <v>400</v>
      </c>
      <c r="P192" s="15" t="n">
        <f aca="true">IF(L192=1,K192,QUOTIENT(SUM(OFFSET(K192,1-N192,0,N192,1))+(c_TSMOOTH-N192)*O192,c_TSMOOTH))</f>
        <v>272</v>
      </c>
      <c r="Q192" s="7" t="n">
        <f aca="false">K192/10</f>
        <v>32.3</v>
      </c>
      <c r="R192" s="7" t="n">
        <f aca="false">P192/10</f>
        <v>27.2</v>
      </c>
    </row>
    <row r="193" customFormat="false" ht="15" hidden="false" customHeight="false" outlineLevel="0" collapsed="false">
      <c r="A193" s="7" t="n">
        <v>188</v>
      </c>
      <c r="B193" s="7" t="n">
        <f aca="false">A193*0.04</f>
        <v>7.52</v>
      </c>
      <c r="C193" s="18" t="n">
        <v>450</v>
      </c>
      <c r="D193" s="7" t="n">
        <f aca="false">IF(AND(C193=0,c_TCREEP&gt;0),10*c_TCREEP,IF(AND(C193&lt;=c_TRNGMIN,C193&gt;=c_TRNGMAX,c_TRNGMIN-c_TRNGMAX&lt;&gt;0),-10*c_TMINRN+QUOTIENT((c_TMAXRN-c_TMINRN)*(100-QUOTIENT((C193-c_TRNGMAX)*100,c_TRNGMIN-c_TRNGMAX)),-10),0))</f>
        <v>0</v>
      </c>
      <c r="E193" s="7" t="n">
        <f aca="false">IF(((c_TMAP1IN)-(c_TFWD))=0,(0)+QUOTIENT(((c_TMAP1OUT)-(0)),2),QUOTIENT((((C193)-(c_TFWD))*((c_TMAP1OUT)-(0))+IF(((c_TMAP1OUT)-(0))&gt;=0,1,-1)*QUOTIENT(((c_TMAP1IN)-(c_TFWD)),2)),((c_TMAP1IN)-(c_TFWD)))+(0)+IF(((c_TMAP1OUT)-(0))&gt;=0,IF(IF(o_WRAP=1,MOD(((c_TMAP1IN)-(c_TFWD))*(((C193)-(c_TFWD))*((c_TMAP1OUT)-(0))+IF(((c_TMAP1OUT)-(0))&gt;=0,1,-1)*QUOTIENT(((c_TMAP1IN)-(c_TFWD)),2))+2147483648,4294967296)-2147483648,((c_TMAP1IN)-(c_TFWD))*(((C193)-(c_TFWD))*((c_TMAP1OUT)-(0))+IF(((c_TMAP1OUT)-(0))&gt;=0,1,-1)*QUOTIENT(((c_TMAP1IN)-(c_TFWD)),2)))&lt;0,-1,0),IF(IF(o_WRAP=1,MOD(((c_TMAP1IN)-(c_TFWD))*(((C193)-(c_TFWD))*((c_TMAP1OUT)-(0))+IF(((c_TMAP1OUT)-(0))&gt;=0,1,-1)*QUOTIENT(((c_TMAP1IN)-(c_TFWD)),2))+2147483648,4294967296)-2147483648,((c_TMAP1IN)-(c_TFWD))*(((C193)-(c_TFWD))*((c_TMAP1OUT)-(0))+IF(((c_TMAP1OUT)-(0))&gt;=0,1,-1)*QUOTIENT(((c_TMAP1IN)-(c_TFWD)),2)))&gt;=0,1,0)))</f>
        <v>342</v>
      </c>
      <c r="F193" s="7" t="n">
        <f aca="false">IF(((c_TMAP2IN)-(c_TMAP1IN))=0,(c_TMAP1OUT)+QUOTIENT(((c_TMAP2OUT)-(c_TMAP1OUT)),2),QUOTIENT((((C193)-(c_TMAP1IN))*((c_TMAP2OUT)-(c_TMAP1OUT))+IF(((c_TMAP2OUT)-(c_TMAP1OUT))&gt;=0,1,-1)*QUOTIENT(((c_TMAP2IN)-(c_TMAP1IN)),2)),((c_TMAP2IN)-(c_TMAP1IN)))+(c_TMAP1OUT)+IF(((c_TMAP2OUT)-(c_TMAP1OUT))&gt;=0,IF(IF(o_WRAP=1,MOD(((c_TMAP2IN)-(c_TMAP1IN))*(((C193)-(c_TMAP1IN))*((c_TMAP2OUT)-(c_TMAP1OUT))+IF(((c_TMAP2OUT)-(c_TMAP1OUT))&gt;=0,1,-1)*QUOTIENT(((c_TMAP2IN)-(c_TMAP1IN)),2))+2147483648,4294967296)-2147483648,((c_TMAP2IN)-(c_TMAP1IN))*(((C193)-(c_TMAP1IN))*((c_TMAP2OUT)-(c_TMAP1OUT))+IF(((c_TMAP2OUT)-(c_TMAP1OUT))&gt;=0,1,-1)*QUOTIENT(((c_TMAP2IN)-(c_TMAP1IN)),2)))&lt;0,-1,0),IF(IF(o_WRAP=1,MOD(((c_TMAP2IN)-(c_TMAP1IN))*(((C193)-(c_TMAP1IN))*((c_TMAP2OUT)-(c_TMAP1OUT))+IF(((c_TMAP2OUT)-(c_TMAP1OUT))&gt;=0,1,-1)*QUOTIENT(((c_TMAP2IN)-(c_TMAP1IN)),2))+2147483648,4294967296)-2147483648,((c_TMAP2IN)-(c_TMAP1IN))*(((C193)-(c_TMAP1IN))*((c_TMAP2OUT)-(c_TMAP1OUT))+IF(((c_TMAP2OUT)-(c_TMAP1OUT))&gt;=0,1,-1)*QUOTIENT(((c_TMAP2IN)-(c_TMAP1IN)),2)))&gt;=0,1,0)))</f>
        <v>210</v>
      </c>
      <c r="G193" s="7" t="n">
        <f aca="false">IF(((c_TMAP3IN)-(c_TMAP2IN))=0,(c_TMAP2OUT)+QUOTIENT(((c_TMAP3OUT)-(c_TMAP2OUT)),2),QUOTIENT((((C193)-(c_TMAP2IN))*((c_TMAP3OUT)-(c_TMAP2OUT))+IF(((c_TMAP3OUT)-(c_TMAP2OUT))&gt;=0,1,-1)*QUOTIENT(((c_TMAP3IN)-(c_TMAP2IN)),2)),((c_TMAP3IN)-(c_TMAP2IN)))+(c_TMAP2OUT)+IF(((c_TMAP3OUT)-(c_TMAP2OUT))&gt;=0,IF(IF(o_WRAP=1,MOD(((c_TMAP3IN)-(c_TMAP2IN))*(((C193)-(c_TMAP2IN))*((c_TMAP3OUT)-(c_TMAP2OUT))+IF(((c_TMAP3OUT)-(c_TMAP2OUT))&gt;=0,1,-1)*QUOTIENT(((c_TMAP3IN)-(c_TMAP2IN)),2))+2147483648,4294967296)-2147483648,((c_TMAP3IN)-(c_TMAP2IN))*(((C193)-(c_TMAP2IN))*((c_TMAP3OUT)-(c_TMAP2OUT))+IF(((c_TMAP3OUT)-(c_TMAP2OUT))&gt;=0,1,-1)*QUOTIENT(((c_TMAP3IN)-(c_TMAP2IN)),2)))&lt;0,-1,0),IF(IF(o_WRAP=1,MOD(((c_TMAP3IN)-(c_TMAP2IN))*(((C193)-(c_TMAP2IN))*((c_TMAP3OUT)-(c_TMAP2OUT))+IF(((c_TMAP3OUT)-(c_TMAP2OUT))&gt;=0,1,-1)*QUOTIENT(((c_TMAP3IN)-(c_TMAP2IN)),2))+2147483648,4294967296)-2147483648,((c_TMAP3IN)-(c_TMAP2IN))*(((C193)-(c_TMAP2IN))*((c_TMAP3OUT)-(c_TMAP2OUT))+IF(((c_TMAP3OUT)-(c_TMAP2OUT))&gt;=0,1,-1)*QUOTIENT(((c_TMAP3IN)-(c_TMAP2IN)),2)))&gt;=0,1,0)))</f>
        <v>270</v>
      </c>
      <c r="H193" s="7" t="n">
        <f aca="false">IF(((1000)-(c_TMAP3IN))=0,(c_TMAP3OUT)+QUOTIENT(((1000)-(c_TMAP3OUT)),2),QUOTIENT((((C193)-(c_TMAP3IN))*((1000)-(c_TMAP3OUT))+IF(((1000)-(c_TMAP3OUT))&gt;=0,1,-1)*QUOTIENT(((1000)-(c_TMAP3IN)),2)),((1000)-(c_TMAP3IN)))+(c_TMAP3OUT)+IF(((1000)-(c_TMAP3OUT))&gt;=0,IF(IF(o_WRAP=1,MOD(((1000)-(c_TMAP3IN))*(((C193)-(c_TMAP3IN))*((1000)-(c_TMAP3OUT))+IF(((1000)-(c_TMAP3OUT))&gt;=0,1,-1)*QUOTIENT(((1000)-(c_TMAP3IN)),2))+2147483648,4294967296)-2147483648,((1000)-(c_TMAP3IN))*(((C193)-(c_TMAP3IN))*((1000)-(c_TMAP3OUT))+IF(((1000)-(c_TMAP3OUT))&gt;=0,1,-1)*QUOTIENT(((1000)-(c_TMAP3IN)),2)))&lt;0,-1,0),IF(IF(o_WRAP=1,MOD(((1000)-(c_TMAP3IN))*(((C193)-(c_TMAP3IN))*((1000)-(c_TMAP3OUT))+IF(((1000)-(c_TMAP3OUT))&gt;=0,1,-1)*QUOTIENT(((1000)-(c_TMAP3IN)),2))+2147483648,4294967296)-2147483648,((1000)-(c_TMAP3IN))*(((C193)-(c_TMAP3IN))*((1000)-(c_TMAP3OUT))+IF(((1000)-(c_TMAP3OUT))&gt;=0,1,-1)*QUOTIENT(((1000)-(c_TMAP3IN)),2)))&gt;=0,1,0)))</f>
        <v>323</v>
      </c>
      <c r="I193" s="7" t="n">
        <f aca="false">IF(C193&gt;=c_TFWD,IF(AND(C193&gt;=c_TMAP3IN,c_TMAP3IN&lt;1000),H193,IF(AND(C193&gt;=c_TMAP2IN,c_TMAP3IN&gt;c_TMAP2IN),G193,IF(AND(C193&gt;=c_TMAP1IN,c_TMAP2IN&gt;c_TMAP1IN),F193,E193))),D193)</f>
        <v>323</v>
      </c>
      <c r="J193" s="7" t="str">
        <f aca="false">IF(I193&lt;-1090,"TOO LOW",IF(I193&gt;1090,"TOO HIGH",""))</f>
        <v/>
      </c>
      <c r="K193" s="7" t="n">
        <f aca="false">IF(J193&lt;&gt;"",0,IF(I193&gt;979,1000,I193))</f>
        <v>323</v>
      </c>
      <c r="L193" s="7" t="n">
        <f aca="false">IF(OR(c_TSMOOTH=0,K193&gt;=c_TSMOOTHCUT),1,0)</f>
        <v>0</v>
      </c>
      <c r="M193" s="7" t="n">
        <f aca="false">IF(L193=1,0,M192+1)</f>
        <v>107</v>
      </c>
      <c r="N193" s="7" t="n">
        <f aca="false">IF(L193=1,0,MIN(M193,c_TSMOOTH))</f>
        <v>30</v>
      </c>
      <c r="O193" s="7" t="n">
        <f aca="false">IF(COUNTIF($L$5:L193,1)&gt;0,c_TSMOOTHCUT,0)</f>
        <v>400</v>
      </c>
      <c r="P193" s="15" t="n">
        <f aca="true">IF(L193=1,K193,QUOTIENT(SUM(OFFSET(K193,1-N193,0,N193,1))+(c_TSMOOTH-N193)*O193,c_TSMOOTH))</f>
        <v>279</v>
      </c>
      <c r="Q193" s="7" t="n">
        <f aca="false">K193/10</f>
        <v>32.3</v>
      </c>
      <c r="R193" s="7" t="n">
        <f aca="false">P193/10</f>
        <v>27.9</v>
      </c>
    </row>
    <row r="194" customFormat="false" ht="15" hidden="false" customHeight="false" outlineLevel="0" collapsed="false">
      <c r="A194" s="7" t="n">
        <v>189</v>
      </c>
      <c r="B194" s="7" t="n">
        <f aca="false">A194*0.04</f>
        <v>7.56</v>
      </c>
      <c r="C194" s="18" t="n">
        <v>450</v>
      </c>
      <c r="D194" s="7" t="n">
        <f aca="false">IF(AND(C194=0,c_TCREEP&gt;0),10*c_TCREEP,IF(AND(C194&lt;=c_TRNGMIN,C194&gt;=c_TRNGMAX,c_TRNGMIN-c_TRNGMAX&lt;&gt;0),-10*c_TMINRN+QUOTIENT((c_TMAXRN-c_TMINRN)*(100-QUOTIENT((C194-c_TRNGMAX)*100,c_TRNGMIN-c_TRNGMAX)),-10),0))</f>
        <v>0</v>
      </c>
      <c r="E194" s="7" t="n">
        <f aca="false">IF(((c_TMAP1IN)-(c_TFWD))=0,(0)+QUOTIENT(((c_TMAP1OUT)-(0)),2),QUOTIENT((((C194)-(c_TFWD))*((c_TMAP1OUT)-(0))+IF(((c_TMAP1OUT)-(0))&gt;=0,1,-1)*QUOTIENT(((c_TMAP1IN)-(c_TFWD)),2)),((c_TMAP1IN)-(c_TFWD)))+(0)+IF(((c_TMAP1OUT)-(0))&gt;=0,IF(IF(o_WRAP=1,MOD(((c_TMAP1IN)-(c_TFWD))*(((C194)-(c_TFWD))*((c_TMAP1OUT)-(0))+IF(((c_TMAP1OUT)-(0))&gt;=0,1,-1)*QUOTIENT(((c_TMAP1IN)-(c_TFWD)),2))+2147483648,4294967296)-2147483648,((c_TMAP1IN)-(c_TFWD))*(((C194)-(c_TFWD))*((c_TMAP1OUT)-(0))+IF(((c_TMAP1OUT)-(0))&gt;=0,1,-1)*QUOTIENT(((c_TMAP1IN)-(c_TFWD)),2)))&lt;0,-1,0),IF(IF(o_WRAP=1,MOD(((c_TMAP1IN)-(c_TFWD))*(((C194)-(c_TFWD))*((c_TMAP1OUT)-(0))+IF(((c_TMAP1OUT)-(0))&gt;=0,1,-1)*QUOTIENT(((c_TMAP1IN)-(c_TFWD)),2))+2147483648,4294967296)-2147483648,((c_TMAP1IN)-(c_TFWD))*(((C194)-(c_TFWD))*((c_TMAP1OUT)-(0))+IF(((c_TMAP1OUT)-(0))&gt;=0,1,-1)*QUOTIENT(((c_TMAP1IN)-(c_TFWD)),2)))&gt;=0,1,0)))</f>
        <v>342</v>
      </c>
      <c r="F194" s="7" t="n">
        <f aca="false">IF(((c_TMAP2IN)-(c_TMAP1IN))=0,(c_TMAP1OUT)+QUOTIENT(((c_TMAP2OUT)-(c_TMAP1OUT)),2),QUOTIENT((((C194)-(c_TMAP1IN))*((c_TMAP2OUT)-(c_TMAP1OUT))+IF(((c_TMAP2OUT)-(c_TMAP1OUT))&gt;=0,1,-1)*QUOTIENT(((c_TMAP2IN)-(c_TMAP1IN)),2)),((c_TMAP2IN)-(c_TMAP1IN)))+(c_TMAP1OUT)+IF(((c_TMAP2OUT)-(c_TMAP1OUT))&gt;=0,IF(IF(o_WRAP=1,MOD(((c_TMAP2IN)-(c_TMAP1IN))*(((C194)-(c_TMAP1IN))*((c_TMAP2OUT)-(c_TMAP1OUT))+IF(((c_TMAP2OUT)-(c_TMAP1OUT))&gt;=0,1,-1)*QUOTIENT(((c_TMAP2IN)-(c_TMAP1IN)),2))+2147483648,4294967296)-2147483648,((c_TMAP2IN)-(c_TMAP1IN))*(((C194)-(c_TMAP1IN))*((c_TMAP2OUT)-(c_TMAP1OUT))+IF(((c_TMAP2OUT)-(c_TMAP1OUT))&gt;=0,1,-1)*QUOTIENT(((c_TMAP2IN)-(c_TMAP1IN)),2)))&lt;0,-1,0),IF(IF(o_WRAP=1,MOD(((c_TMAP2IN)-(c_TMAP1IN))*(((C194)-(c_TMAP1IN))*((c_TMAP2OUT)-(c_TMAP1OUT))+IF(((c_TMAP2OUT)-(c_TMAP1OUT))&gt;=0,1,-1)*QUOTIENT(((c_TMAP2IN)-(c_TMAP1IN)),2))+2147483648,4294967296)-2147483648,((c_TMAP2IN)-(c_TMAP1IN))*(((C194)-(c_TMAP1IN))*((c_TMAP2OUT)-(c_TMAP1OUT))+IF(((c_TMAP2OUT)-(c_TMAP1OUT))&gt;=0,1,-1)*QUOTIENT(((c_TMAP2IN)-(c_TMAP1IN)),2)))&gt;=0,1,0)))</f>
        <v>210</v>
      </c>
      <c r="G194" s="7" t="n">
        <f aca="false">IF(((c_TMAP3IN)-(c_TMAP2IN))=0,(c_TMAP2OUT)+QUOTIENT(((c_TMAP3OUT)-(c_TMAP2OUT)),2),QUOTIENT((((C194)-(c_TMAP2IN))*((c_TMAP3OUT)-(c_TMAP2OUT))+IF(((c_TMAP3OUT)-(c_TMAP2OUT))&gt;=0,1,-1)*QUOTIENT(((c_TMAP3IN)-(c_TMAP2IN)),2)),((c_TMAP3IN)-(c_TMAP2IN)))+(c_TMAP2OUT)+IF(((c_TMAP3OUT)-(c_TMAP2OUT))&gt;=0,IF(IF(o_WRAP=1,MOD(((c_TMAP3IN)-(c_TMAP2IN))*(((C194)-(c_TMAP2IN))*((c_TMAP3OUT)-(c_TMAP2OUT))+IF(((c_TMAP3OUT)-(c_TMAP2OUT))&gt;=0,1,-1)*QUOTIENT(((c_TMAP3IN)-(c_TMAP2IN)),2))+2147483648,4294967296)-2147483648,((c_TMAP3IN)-(c_TMAP2IN))*(((C194)-(c_TMAP2IN))*((c_TMAP3OUT)-(c_TMAP2OUT))+IF(((c_TMAP3OUT)-(c_TMAP2OUT))&gt;=0,1,-1)*QUOTIENT(((c_TMAP3IN)-(c_TMAP2IN)),2)))&lt;0,-1,0),IF(IF(o_WRAP=1,MOD(((c_TMAP3IN)-(c_TMAP2IN))*(((C194)-(c_TMAP2IN))*((c_TMAP3OUT)-(c_TMAP2OUT))+IF(((c_TMAP3OUT)-(c_TMAP2OUT))&gt;=0,1,-1)*QUOTIENT(((c_TMAP3IN)-(c_TMAP2IN)),2))+2147483648,4294967296)-2147483648,((c_TMAP3IN)-(c_TMAP2IN))*(((C194)-(c_TMAP2IN))*((c_TMAP3OUT)-(c_TMAP2OUT))+IF(((c_TMAP3OUT)-(c_TMAP2OUT))&gt;=0,1,-1)*QUOTIENT(((c_TMAP3IN)-(c_TMAP2IN)),2)))&gt;=0,1,0)))</f>
        <v>270</v>
      </c>
      <c r="H194" s="7" t="n">
        <f aca="false">IF(((1000)-(c_TMAP3IN))=0,(c_TMAP3OUT)+QUOTIENT(((1000)-(c_TMAP3OUT)),2),QUOTIENT((((C194)-(c_TMAP3IN))*((1000)-(c_TMAP3OUT))+IF(((1000)-(c_TMAP3OUT))&gt;=0,1,-1)*QUOTIENT(((1000)-(c_TMAP3IN)),2)),((1000)-(c_TMAP3IN)))+(c_TMAP3OUT)+IF(((1000)-(c_TMAP3OUT))&gt;=0,IF(IF(o_WRAP=1,MOD(((1000)-(c_TMAP3IN))*(((C194)-(c_TMAP3IN))*((1000)-(c_TMAP3OUT))+IF(((1000)-(c_TMAP3OUT))&gt;=0,1,-1)*QUOTIENT(((1000)-(c_TMAP3IN)),2))+2147483648,4294967296)-2147483648,((1000)-(c_TMAP3IN))*(((C194)-(c_TMAP3IN))*((1000)-(c_TMAP3OUT))+IF(((1000)-(c_TMAP3OUT))&gt;=0,1,-1)*QUOTIENT(((1000)-(c_TMAP3IN)),2)))&lt;0,-1,0),IF(IF(o_WRAP=1,MOD(((1000)-(c_TMAP3IN))*(((C194)-(c_TMAP3IN))*((1000)-(c_TMAP3OUT))+IF(((1000)-(c_TMAP3OUT))&gt;=0,1,-1)*QUOTIENT(((1000)-(c_TMAP3IN)),2))+2147483648,4294967296)-2147483648,((1000)-(c_TMAP3IN))*(((C194)-(c_TMAP3IN))*((1000)-(c_TMAP3OUT))+IF(((1000)-(c_TMAP3OUT))&gt;=0,1,-1)*QUOTIENT(((1000)-(c_TMAP3IN)),2)))&gt;=0,1,0)))</f>
        <v>323</v>
      </c>
      <c r="I194" s="7" t="n">
        <f aca="false">IF(C194&gt;=c_TFWD,IF(AND(C194&gt;=c_TMAP3IN,c_TMAP3IN&lt;1000),H194,IF(AND(C194&gt;=c_TMAP2IN,c_TMAP3IN&gt;c_TMAP2IN),G194,IF(AND(C194&gt;=c_TMAP1IN,c_TMAP2IN&gt;c_TMAP1IN),F194,E194))),D194)</f>
        <v>323</v>
      </c>
      <c r="J194" s="7" t="str">
        <f aca="false">IF(I194&lt;-1090,"TOO LOW",IF(I194&gt;1090,"TOO HIGH",""))</f>
        <v/>
      </c>
      <c r="K194" s="7" t="n">
        <f aca="false">IF(J194&lt;&gt;"",0,IF(I194&gt;979,1000,I194))</f>
        <v>323</v>
      </c>
      <c r="L194" s="7" t="n">
        <f aca="false">IF(OR(c_TSMOOTH=0,K194&gt;=c_TSMOOTHCUT),1,0)</f>
        <v>0</v>
      </c>
      <c r="M194" s="7" t="n">
        <f aca="false">IF(L194=1,0,M193+1)</f>
        <v>108</v>
      </c>
      <c r="N194" s="7" t="n">
        <f aca="false">IF(L194=1,0,MIN(M194,c_TSMOOTH))</f>
        <v>30</v>
      </c>
      <c r="O194" s="7" t="n">
        <f aca="false">IF(COUNTIF($L$5:L194,1)&gt;0,c_TSMOOTHCUT,0)</f>
        <v>400</v>
      </c>
      <c r="P194" s="15" t="n">
        <f aca="true">IF(L194=1,K194,QUOTIENT(SUM(OFFSET(K194,1-N194,0,N194,1))+(c_TSMOOTH-N194)*O194,c_TSMOOTH))</f>
        <v>286</v>
      </c>
      <c r="Q194" s="7" t="n">
        <f aca="false">K194/10</f>
        <v>32.3</v>
      </c>
      <c r="R194" s="7" t="n">
        <f aca="false">P194/10</f>
        <v>28.6</v>
      </c>
    </row>
    <row r="195" customFormat="false" ht="15" hidden="false" customHeight="false" outlineLevel="0" collapsed="false">
      <c r="A195" s="7" t="n">
        <v>190</v>
      </c>
      <c r="B195" s="7" t="n">
        <f aca="false">A195*0.04</f>
        <v>7.6</v>
      </c>
      <c r="C195" s="18" t="n">
        <v>450</v>
      </c>
      <c r="D195" s="7" t="n">
        <f aca="false">IF(AND(C195=0,c_TCREEP&gt;0),10*c_TCREEP,IF(AND(C195&lt;=c_TRNGMIN,C195&gt;=c_TRNGMAX,c_TRNGMIN-c_TRNGMAX&lt;&gt;0),-10*c_TMINRN+QUOTIENT((c_TMAXRN-c_TMINRN)*(100-QUOTIENT((C195-c_TRNGMAX)*100,c_TRNGMIN-c_TRNGMAX)),-10),0))</f>
        <v>0</v>
      </c>
      <c r="E195" s="7" t="n">
        <f aca="false">IF(((c_TMAP1IN)-(c_TFWD))=0,(0)+QUOTIENT(((c_TMAP1OUT)-(0)),2),QUOTIENT((((C195)-(c_TFWD))*((c_TMAP1OUT)-(0))+IF(((c_TMAP1OUT)-(0))&gt;=0,1,-1)*QUOTIENT(((c_TMAP1IN)-(c_TFWD)),2)),((c_TMAP1IN)-(c_TFWD)))+(0)+IF(((c_TMAP1OUT)-(0))&gt;=0,IF(IF(o_WRAP=1,MOD(((c_TMAP1IN)-(c_TFWD))*(((C195)-(c_TFWD))*((c_TMAP1OUT)-(0))+IF(((c_TMAP1OUT)-(0))&gt;=0,1,-1)*QUOTIENT(((c_TMAP1IN)-(c_TFWD)),2))+2147483648,4294967296)-2147483648,((c_TMAP1IN)-(c_TFWD))*(((C195)-(c_TFWD))*((c_TMAP1OUT)-(0))+IF(((c_TMAP1OUT)-(0))&gt;=0,1,-1)*QUOTIENT(((c_TMAP1IN)-(c_TFWD)),2)))&lt;0,-1,0),IF(IF(o_WRAP=1,MOD(((c_TMAP1IN)-(c_TFWD))*(((C195)-(c_TFWD))*((c_TMAP1OUT)-(0))+IF(((c_TMAP1OUT)-(0))&gt;=0,1,-1)*QUOTIENT(((c_TMAP1IN)-(c_TFWD)),2))+2147483648,4294967296)-2147483648,((c_TMAP1IN)-(c_TFWD))*(((C195)-(c_TFWD))*((c_TMAP1OUT)-(0))+IF(((c_TMAP1OUT)-(0))&gt;=0,1,-1)*QUOTIENT(((c_TMAP1IN)-(c_TFWD)),2)))&gt;=0,1,0)))</f>
        <v>342</v>
      </c>
      <c r="F195" s="7" t="n">
        <f aca="false">IF(((c_TMAP2IN)-(c_TMAP1IN))=0,(c_TMAP1OUT)+QUOTIENT(((c_TMAP2OUT)-(c_TMAP1OUT)),2),QUOTIENT((((C195)-(c_TMAP1IN))*((c_TMAP2OUT)-(c_TMAP1OUT))+IF(((c_TMAP2OUT)-(c_TMAP1OUT))&gt;=0,1,-1)*QUOTIENT(((c_TMAP2IN)-(c_TMAP1IN)),2)),((c_TMAP2IN)-(c_TMAP1IN)))+(c_TMAP1OUT)+IF(((c_TMAP2OUT)-(c_TMAP1OUT))&gt;=0,IF(IF(o_WRAP=1,MOD(((c_TMAP2IN)-(c_TMAP1IN))*(((C195)-(c_TMAP1IN))*((c_TMAP2OUT)-(c_TMAP1OUT))+IF(((c_TMAP2OUT)-(c_TMAP1OUT))&gt;=0,1,-1)*QUOTIENT(((c_TMAP2IN)-(c_TMAP1IN)),2))+2147483648,4294967296)-2147483648,((c_TMAP2IN)-(c_TMAP1IN))*(((C195)-(c_TMAP1IN))*((c_TMAP2OUT)-(c_TMAP1OUT))+IF(((c_TMAP2OUT)-(c_TMAP1OUT))&gt;=0,1,-1)*QUOTIENT(((c_TMAP2IN)-(c_TMAP1IN)),2)))&lt;0,-1,0),IF(IF(o_WRAP=1,MOD(((c_TMAP2IN)-(c_TMAP1IN))*(((C195)-(c_TMAP1IN))*((c_TMAP2OUT)-(c_TMAP1OUT))+IF(((c_TMAP2OUT)-(c_TMAP1OUT))&gt;=0,1,-1)*QUOTIENT(((c_TMAP2IN)-(c_TMAP1IN)),2))+2147483648,4294967296)-2147483648,((c_TMAP2IN)-(c_TMAP1IN))*(((C195)-(c_TMAP1IN))*((c_TMAP2OUT)-(c_TMAP1OUT))+IF(((c_TMAP2OUT)-(c_TMAP1OUT))&gt;=0,1,-1)*QUOTIENT(((c_TMAP2IN)-(c_TMAP1IN)),2)))&gt;=0,1,0)))</f>
        <v>210</v>
      </c>
      <c r="G195" s="7" t="n">
        <f aca="false">IF(((c_TMAP3IN)-(c_TMAP2IN))=0,(c_TMAP2OUT)+QUOTIENT(((c_TMAP3OUT)-(c_TMAP2OUT)),2),QUOTIENT((((C195)-(c_TMAP2IN))*((c_TMAP3OUT)-(c_TMAP2OUT))+IF(((c_TMAP3OUT)-(c_TMAP2OUT))&gt;=0,1,-1)*QUOTIENT(((c_TMAP3IN)-(c_TMAP2IN)),2)),((c_TMAP3IN)-(c_TMAP2IN)))+(c_TMAP2OUT)+IF(((c_TMAP3OUT)-(c_TMAP2OUT))&gt;=0,IF(IF(o_WRAP=1,MOD(((c_TMAP3IN)-(c_TMAP2IN))*(((C195)-(c_TMAP2IN))*((c_TMAP3OUT)-(c_TMAP2OUT))+IF(((c_TMAP3OUT)-(c_TMAP2OUT))&gt;=0,1,-1)*QUOTIENT(((c_TMAP3IN)-(c_TMAP2IN)),2))+2147483648,4294967296)-2147483648,((c_TMAP3IN)-(c_TMAP2IN))*(((C195)-(c_TMAP2IN))*((c_TMAP3OUT)-(c_TMAP2OUT))+IF(((c_TMAP3OUT)-(c_TMAP2OUT))&gt;=0,1,-1)*QUOTIENT(((c_TMAP3IN)-(c_TMAP2IN)),2)))&lt;0,-1,0),IF(IF(o_WRAP=1,MOD(((c_TMAP3IN)-(c_TMAP2IN))*(((C195)-(c_TMAP2IN))*((c_TMAP3OUT)-(c_TMAP2OUT))+IF(((c_TMAP3OUT)-(c_TMAP2OUT))&gt;=0,1,-1)*QUOTIENT(((c_TMAP3IN)-(c_TMAP2IN)),2))+2147483648,4294967296)-2147483648,((c_TMAP3IN)-(c_TMAP2IN))*(((C195)-(c_TMAP2IN))*((c_TMAP3OUT)-(c_TMAP2OUT))+IF(((c_TMAP3OUT)-(c_TMAP2OUT))&gt;=0,1,-1)*QUOTIENT(((c_TMAP3IN)-(c_TMAP2IN)),2)))&gt;=0,1,0)))</f>
        <v>270</v>
      </c>
      <c r="H195" s="7" t="n">
        <f aca="false">IF(((1000)-(c_TMAP3IN))=0,(c_TMAP3OUT)+QUOTIENT(((1000)-(c_TMAP3OUT)),2),QUOTIENT((((C195)-(c_TMAP3IN))*((1000)-(c_TMAP3OUT))+IF(((1000)-(c_TMAP3OUT))&gt;=0,1,-1)*QUOTIENT(((1000)-(c_TMAP3IN)),2)),((1000)-(c_TMAP3IN)))+(c_TMAP3OUT)+IF(((1000)-(c_TMAP3OUT))&gt;=0,IF(IF(o_WRAP=1,MOD(((1000)-(c_TMAP3IN))*(((C195)-(c_TMAP3IN))*((1000)-(c_TMAP3OUT))+IF(((1000)-(c_TMAP3OUT))&gt;=0,1,-1)*QUOTIENT(((1000)-(c_TMAP3IN)),2))+2147483648,4294967296)-2147483648,((1000)-(c_TMAP3IN))*(((C195)-(c_TMAP3IN))*((1000)-(c_TMAP3OUT))+IF(((1000)-(c_TMAP3OUT))&gt;=0,1,-1)*QUOTIENT(((1000)-(c_TMAP3IN)),2)))&lt;0,-1,0),IF(IF(o_WRAP=1,MOD(((1000)-(c_TMAP3IN))*(((C195)-(c_TMAP3IN))*((1000)-(c_TMAP3OUT))+IF(((1000)-(c_TMAP3OUT))&gt;=0,1,-1)*QUOTIENT(((1000)-(c_TMAP3IN)),2))+2147483648,4294967296)-2147483648,((1000)-(c_TMAP3IN))*(((C195)-(c_TMAP3IN))*((1000)-(c_TMAP3OUT))+IF(((1000)-(c_TMAP3OUT))&gt;=0,1,-1)*QUOTIENT(((1000)-(c_TMAP3IN)),2)))&gt;=0,1,0)))</f>
        <v>323</v>
      </c>
      <c r="I195" s="7" t="n">
        <f aca="false">IF(C195&gt;=c_TFWD,IF(AND(C195&gt;=c_TMAP3IN,c_TMAP3IN&lt;1000),H195,IF(AND(C195&gt;=c_TMAP2IN,c_TMAP3IN&gt;c_TMAP2IN),G195,IF(AND(C195&gt;=c_TMAP1IN,c_TMAP2IN&gt;c_TMAP1IN),F195,E195))),D195)</f>
        <v>323</v>
      </c>
      <c r="J195" s="7" t="str">
        <f aca="false">IF(I195&lt;-1090,"TOO LOW",IF(I195&gt;1090,"TOO HIGH",""))</f>
        <v/>
      </c>
      <c r="K195" s="7" t="n">
        <f aca="false">IF(J195&lt;&gt;"",0,IF(I195&gt;979,1000,I195))</f>
        <v>323</v>
      </c>
      <c r="L195" s="7" t="n">
        <f aca="false">IF(OR(c_TSMOOTH=0,K195&gt;=c_TSMOOTHCUT),1,0)</f>
        <v>0</v>
      </c>
      <c r="M195" s="7" t="n">
        <f aca="false">IF(L195=1,0,M194+1)</f>
        <v>109</v>
      </c>
      <c r="N195" s="7" t="n">
        <f aca="false">IF(L195=1,0,MIN(M195,c_TSMOOTH))</f>
        <v>30</v>
      </c>
      <c r="O195" s="7" t="n">
        <f aca="false">IF(COUNTIF($L$5:L195,1)&gt;0,c_TSMOOTHCUT,0)</f>
        <v>400</v>
      </c>
      <c r="P195" s="15" t="n">
        <f aca="true">IF(L195=1,K195,QUOTIENT(SUM(OFFSET(K195,1-N195,0,N195,1))+(c_TSMOOTH-N195)*O195,c_TSMOOTH))</f>
        <v>293</v>
      </c>
      <c r="Q195" s="7" t="n">
        <f aca="false">K195/10</f>
        <v>32.3</v>
      </c>
      <c r="R195" s="7" t="n">
        <f aca="false">P195/10</f>
        <v>29.3</v>
      </c>
    </row>
    <row r="196" customFormat="false" ht="15" hidden="false" customHeight="false" outlineLevel="0" collapsed="false">
      <c r="A196" s="7" t="n">
        <v>191</v>
      </c>
      <c r="B196" s="7" t="n">
        <f aca="false">A196*0.04</f>
        <v>7.64</v>
      </c>
      <c r="C196" s="18" t="n">
        <v>450</v>
      </c>
      <c r="D196" s="7" t="n">
        <f aca="false">IF(AND(C196=0,c_TCREEP&gt;0),10*c_TCREEP,IF(AND(C196&lt;=c_TRNGMIN,C196&gt;=c_TRNGMAX,c_TRNGMIN-c_TRNGMAX&lt;&gt;0),-10*c_TMINRN+QUOTIENT((c_TMAXRN-c_TMINRN)*(100-QUOTIENT((C196-c_TRNGMAX)*100,c_TRNGMIN-c_TRNGMAX)),-10),0))</f>
        <v>0</v>
      </c>
      <c r="E196" s="7" t="n">
        <f aca="false">IF(((c_TMAP1IN)-(c_TFWD))=0,(0)+QUOTIENT(((c_TMAP1OUT)-(0)),2),QUOTIENT((((C196)-(c_TFWD))*((c_TMAP1OUT)-(0))+IF(((c_TMAP1OUT)-(0))&gt;=0,1,-1)*QUOTIENT(((c_TMAP1IN)-(c_TFWD)),2)),((c_TMAP1IN)-(c_TFWD)))+(0)+IF(((c_TMAP1OUT)-(0))&gt;=0,IF(IF(o_WRAP=1,MOD(((c_TMAP1IN)-(c_TFWD))*(((C196)-(c_TFWD))*((c_TMAP1OUT)-(0))+IF(((c_TMAP1OUT)-(0))&gt;=0,1,-1)*QUOTIENT(((c_TMAP1IN)-(c_TFWD)),2))+2147483648,4294967296)-2147483648,((c_TMAP1IN)-(c_TFWD))*(((C196)-(c_TFWD))*((c_TMAP1OUT)-(0))+IF(((c_TMAP1OUT)-(0))&gt;=0,1,-1)*QUOTIENT(((c_TMAP1IN)-(c_TFWD)),2)))&lt;0,-1,0),IF(IF(o_WRAP=1,MOD(((c_TMAP1IN)-(c_TFWD))*(((C196)-(c_TFWD))*((c_TMAP1OUT)-(0))+IF(((c_TMAP1OUT)-(0))&gt;=0,1,-1)*QUOTIENT(((c_TMAP1IN)-(c_TFWD)),2))+2147483648,4294967296)-2147483648,((c_TMAP1IN)-(c_TFWD))*(((C196)-(c_TFWD))*((c_TMAP1OUT)-(0))+IF(((c_TMAP1OUT)-(0))&gt;=0,1,-1)*QUOTIENT(((c_TMAP1IN)-(c_TFWD)),2)))&gt;=0,1,0)))</f>
        <v>342</v>
      </c>
      <c r="F196" s="7" t="n">
        <f aca="false">IF(((c_TMAP2IN)-(c_TMAP1IN))=0,(c_TMAP1OUT)+QUOTIENT(((c_TMAP2OUT)-(c_TMAP1OUT)),2),QUOTIENT((((C196)-(c_TMAP1IN))*((c_TMAP2OUT)-(c_TMAP1OUT))+IF(((c_TMAP2OUT)-(c_TMAP1OUT))&gt;=0,1,-1)*QUOTIENT(((c_TMAP2IN)-(c_TMAP1IN)),2)),((c_TMAP2IN)-(c_TMAP1IN)))+(c_TMAP1OUT)+IF(((c_TMAP2OUT)-(c_TMAP1OUT))&gt;=0,IF(IF(o_WRAP=1,MOD(((c_TMAP2IN)-(c_TMAP1IN))*(((C196)-(c_TMAP1IN))*((c_TMAP2OUT)-(c_TMAP1OUT))+IF(((c_TMAP2OUT)-(c_TMAP1OUT))&gt;=0,1,-1)*QUOTIENT(((c_TMAP2IN)-(c_TMAP1IN)),2))+2147483648,4294967296)-2147483648,((c_TMAP2IN)-(c_TMAP1IN))*(((C196)-(c_TMAP1IN))*((c_TMAP2OUT)-(c_TMAP1OUT))+IF(((c_TMAP2OUT)-(c_TMAP1OUT))&gt;=0,1,-1)*QUOTIENT(((c_TMAP2IN)-(c_TMAP1IN)),2)))&lt;0,-1,0),IF(IF(o_WRAP=1,MOD(((c_TMAP2IN)-(c_TMAP1IN))*(((C196)-(c_TMAP1IN))*((c_TMAP2OUT)-(c_TMAP1OUT))+IF(((c_TMAP2OUT)-(c_TMAP1OUT))&gt;=0,1,-1)*QUOTIENT(((c_TMAP2IN)-(c_TMAP1IN)),2))+2147483648,4294967296)-2147483648,((c_TMAP2IN)-(c_TMAP1IN))*(((C196)-(c_TMAP1IN))*((c_TMAP2OUT)-(c_TMAP1OUT))+IF(((c_TMAP2OUT)-(c_TMAP1OUT))&gt;=0,1,-1)*QUOTIENT(((c_TMAP2IN)-(c_TMAP1IN)),2)))&gt;=0,1,0)))</f>
        <v>210</v>
      </c>
      <c r="G196" s="7" t="n">
        <f aca="false">IF(((c_TMAP3IN)-(c_TMAP2IN))=0,(c_TMAP2OUT)+QUOTIENT(((c_TMAP3OUT)-(c_TMAP2OUT)),2),QUOTIENT((((C196)-(c_TMAP2IN))*((c_TMAP3OUT)-(c_TMAP2OUT))+IF(((c_TMAP3OUT)-(c_TMAP2OUT))&gt;=0,1,-1)*QUOTIENT(((c_TMAP3IN)-(c_TMAP2IN)),2)),((c_TMAP3IN)-(c_TMAP2IN)))+(c_TMAP2OUT)+IF(((c_TMAP3OUT)-(c_TMAP2OUT))&gt;=0,IF(IF(o_WRAP=1,MOD(((c_TMAP3IN)-(c_TMAP2IN))*(((C196)-(c_TMAP2IN))*((c_TMAP3OUT)-(c_TMAP2OUT))+IF(((c_TMAP3OUT)-(c_TMAP2OUT))&gt;=0,1,-1)*QUOTIENT(((c_TMAP3IN)-(c_TMAP2IN)),2))+2147483648,4294967296)-2147483648,((c_TMAP3IN)-(c_TMAP2IN))*(((C196)-(c_TMAP2IN))*((c_TMAP3OUT)-(c_TMAP2OUT))+IF(((c_TMAP3OUT)-(c_TMAP2OUT))&gt;=0,1,-1)*QUOTIENT(((c_TMAP3IN)-(c_TMAP2IN)),2)))&lt;0,-1,0),IF(IF(o_WRAP=1,MOD(((c_TMAP3IN)-(c_TMAP2IN))*(((C196)-(c_TMAP2IN))*((c_TMAP3OUT)-(c_TMAP2OUT))+IF(((c_TMAP3OUT)-(c_TMAP2OUT))&gt;=0,1,-1)*QUOTIENT(((c_TMAP3IN)-(c_TMAP2IN)),2))+2147483648,4294967296)-2147483648,((c_TMAP3IN)-(c_TMAP2IN))*(((C196)-(c_TMAP2IN))*((c_TMAP3OUT)-(c_TMAP2OUT))+IF(((c_TMAP3OUT)-(c_TMAP2OUT))&gt;=0,1,-1)*QUOTIENT(((c_TMAP3IN)-(c_TMAP2IN)),2)))&gt;=0,1,0)))</f>
        <v>270</v>
      </c>
      <c r="H196" s="7" t="n">
        <f aca="false">IF(((1000)-(c_TMAP3IN))=0,(c_TMAP3OUT)+QUOTIENT(((1000)-(c_TMAP3OUT)),2),QUOTIENT((((C196)-(c_TMAP3IN))*((1000)-(c_TMAP3OUT))+IF(((1000)-(c_TMAP3OUT))&gt;=0,1,-1)*QUOTIENT(((1000)-(c_TMAP3IN)),2)),((1000)-(c_TMAP3IN)))+(c_TMAP3OUT)+IF(((1000)-(c_TMAP3OUT))&gt;=0,IF(IF(o_WRAP=1,MOD(((1000)-(c_TMAP3IN))*(((C196)-(c_TMAP3IN))*((1000)-(c_TMAP3OUT))+IF(((1000)-(c_TMAP3OUT))&gt;=0,1,-1)*QUOTIENT(((1000)-(c_TMAP3IN)),2))+2147483648,4294967296)-2147483648,((1000)-(c_TMAP3IN))*(((C196)-(c_TMAP3IN))*((1000)-(c_TMAP3OUT))+IF(((1000)-(c_TMAP3OUT))&gt;=0,1,-1)*QUOTIENT(((1000)-(c_TMAP3IN)),2)))&lt;0,-1,0),IF(IF(o_WRAP=1,MOD(((1000)-(c_TMAP3IN))*(((C196)-(c_TMAP3IN))*((1000)-(c_TMAP3OUT))+IF(((1000)-(c_TMAP3OUT))&gt;=0,1,-1)*QUOTIENT(((1000)-(c_TMAP3IN)),2))+2147483648,4294967296)-2147483648,((1000)-(c_TMAP3IN))*(((C196)-(c_TMAP3IN))*((1000)-(c_TMAP3OUT))+IF(((1000)-(c_TMAP3OUT))&gt;=0,1,-1)*QUOTIENT(((1000)-(c_TMAP3IN)),2)))&gt;=0,1,0)))</f>
        <v>323</v>
      </c>
      <c r="I196" s="7" t="n">
        <f aca="false">IF(C196&gt;=c_TFWD,IF(AND(C196&gt;=c_TMAP3IN,c_TMAP3IN&lt;1000),H196,IF(AND(C196&gt;=c_TMAP2IN,c_TMAP3IN&gt;c_TMAP2IN),G196,IF(AND(C196&gt;=c_TMAP1IN,c_TMAP2IN&gt;c_TMAP1IN),F196,E196))),D196)</f>
        <v>323</v>
      </c>
      <c r="J196" s="7" t="str">
        <f aca="false">IF(I196&lt;-1090,"TOO LOW",IF(I196&gt;1090,"TOO HIGH",""))</f>
        <v/>
      </c>
      <c r="K196" s="7" t="n">
        <f aca="false">IF(J196&lt;&gt;"",0,IF(I196&gt;979,1000,I196))</f>
        <v>323</v>
      </c>
      <c r="L196" s="7" t="n">
        <f aca="false">IF(OR(c_TSMOOTH=0,K196&gt;=c_TSMOOTHCUT),1,0)</f>
        <v>0</v>
      </c>
      <c r="M196" s="7" t="n">
        <f aca="false">IF(L196=1,0,M195+1)</f>
        <v>110</v>
      </c>
      <c r="N196" s="7" t="n">
        <f aca="false">IF(L196=1,0,MIN(M196,c_TSMOOTH))</f>
        <v>30</v>
      </c>
      <c r="O196" s="7" t="n">
        <f aca="false">IF(COUNTIF($L$5:L196,1)&gt;0,c_TSMOOTHCUT,0)</f>
        <v>400</v>
      </c>
      <c r="P196" s="15" t="n">
        <f aca="true">IF(L196=1,K196,QUOTIENT(SUM(OFFSET(K196,1-N196,0,N196,1))+(c_TSMOOTH-N196)*O196,c_TSMOOTH))</f>
        <v>299</v>
      </c>
      <c r="Q196" s="7" t="n">
        <f aca="false">K196/10</f>
        <v>32.3</v>
      </c>
      <c r="R196" s="7" t="n">
        <f aca="false">P196/10</f>
        <v>29.9</v>
      </c>
    </row>
    <row r="197" customFormat="false" ht="15" hidden="false" customHeight="false" outlineLevel="0" collapsed="false">
      <c r="A197" s="7" t="n">
        <v>192</v>
      </c>
      <c r="B197" s="7" t="n">
        <f aca="false">A197*0.04</f>
        <v>7.68</v>
      </c>
      <c r="C197" s="18" t="n">
        <v>450</v>
      </c>
      <c r="D197" s="7" t="n">
        <f aca="false">IF(AND(C197=0,c_TCREEP&gt;0),10*c_TCREEP,IF(AND(C197&lt;=c_TRNGMIN,C197&gt;=c_TRNGMAX,c_TRNGMIN-c_TRNGMAX&lt;&gt;0),-10*c_TMINRN+QUOTIENT((c_TMAXRN-c_TMINRN)*(100-QUOTIENT((C197-c_TRNGMAX)*100,c_TRNGMIN-c_TRNGMAX)),-10),0))</f>
        <v>0</v>
      </c>
      <c r="E197" s="7" t="n">
        <f aca="false">IF(((c_TMAP1IN)-(c_TFWD))=0,(0)+QUOTIENT(((c_TMAP1OUT)-(0)),2),QUOTIENT((((C197)-(c_TFWD))*((c_TMAP1OUT)-(0))+IF(((c_TMAP1OUT)-(0))&gt;=0,1,-1)*QUOTIENT(((c_TMAP1IN)-(c_TFWD)),2)),((c_TMAP1IN)-(c_TFWD)))+(0)+IF(((c_TMAP1OUT)-(0))&gt;=0,IF(IF(o_WRAP=1,MOD(((c_TMAP1IN)-(c_TFWD))*(((C197)-(c_TFWD))*((c_TMAP1OUT)-(0))+IF(((c_TMAP1OUT)-(0))&gt;=0,1,-1)*QUOTIENT(((c_TMAP1IN)-(c_TFWD)),2))+2147483648,4294967296)-2147483648,((c_TMAP1IN)-(c_TFWD))*(((C197)-(c_TFWD))*((c_TMAP1OUT)-(0))+IF(((c_TMAP1OUT)-(0))&gt;=0,1,-1)*QUOTIENT(((c_TMAP1IN)-(c_TFWD)),2)))&lt;0,-1,0),IF(IF(o_WRAP=1,MOD(((c_TMAP1IN)-(c_TFWD))*(((C197)-(c_TFWD))*((c_TMAP1OUT)-(0))+IF(((c_TMAP1OUT)-(0))&gt;=0,1,-1)*QUOTIENT(((c_TMAP1IN)-(c_TFWD)),2))+2147483648,4294967296)-2147483648,((c_TMAP1IN)-(c_TFWD))*(((C197)-(c_TFWD))*((c_TMAP1OUT)-(0))+IF(((c_TMAP1OUT)-(0))&gt;=0,1,-1)*QUOTIENT(((c_TMAP1IN)-(c_TFWD)),2)))&gt;=0,1,0)))</f>
        <v>342</v>
      </c>
      <c r="F197" s="7" t="n">
        <f aca="false">IF(((c_TMAP2IN)-(c_TMAP1IN))=0,(c_TMAP1OUT)+QUOTIENT(((c_TMAP2OUT)-(c_TMAP1OUT)),2),QUOTIENT((((C197)-(c_TMAP1IN))*((c_TMAP2OUT)-(c_TMAP1OUT))+IF(((c_TMAP2OUT)-(c_TMAP1OUT))&gt;=0,1,-1)*QUOTIENT(((c_TMAP2IN)-(c_TMAP1IN)),2)),((c_TMAP2IN)-(c_TMAP1IN)))+(c_TMAP1OUT)+IF(((c_TMAP2OUT)-(c_TMAP1OUT))&gt;=0,IF(IF(o_WRAP=1,MOD(((c_TMAP2IN)-(c_TMAP1IN))*(((C197)-(c_TMAP1IN))*((c_TMAP2OUT)-(c_TMAP1OUT))+IF(((c_TMAP2OUT)-(c_TMAP1OUT))&gt;=0,1,-1)*QUOTIENT(((c_TMAP2IN)-(c_TMAP1IN)),2))+2147483648,4294967296)-2147483648,((c_TMAP2IN)-(c_TMAP1IN))*(((C197)-(c_TMAP1IN))*((c_TMAP2OUT)-(c_TMAP1OUT))+IF(((c_TMAP2OUT)-(c_TMAP1OUT))&gt;=0,1,-1)*QUOTIENT(((c_TMAP2IN)-(c_TMAP1IN)),2)))&lt;0,-1,0),IF(IF(o_WRAP=1,MOD(((c_TMAP2IN)-(c_TMAP1IN))*(((C197)-(c_TMAP1IN))*((c_TMAP2OUT)-(c_TMAP1OUT))+IF(((c_TMAP2OUT)-(c_TMAP1OUT))&gt;=0,1,-1)*QUOTIENT(((c_TMAP2IN)-(c_TMAP1IN)),2))+2147483648,4294967296)-2147483648,((c_TMAP2IN)-(c_TMAP1IN))*(((C197)-(c_TMAP1IN))*((c_TMAP2OUT)-(c_TMAP1OUT))+IF(((c_TMAP2OUT)-(c_TMAP1OUT))&gt;=0,1,-1)*QUOTIENT(((c_TMAP2IN)-(c_TMAP1IN)),2)))&gt;=0,1,0)))</f>
        <v>210</v>
      </c>
      <c r="G197" s="7" t="n">
        <f aca="false">IF(((c_TMAP3IN)-(c_TMAP2IN))=0,(c_TMAP2OUT)+QUOTIENT(((c_TMAP3OUT)-(c_TMAP2OUT)),2),QUOTIENT((((C197)-(c_TMAP2IN))*((c_TMAP3OUT)-(c_TMAP2OUT))+IF(((c_TMAP3OUT)-(c_TMAP2OUT))&gt;=0,1,-1)*QUOTIENT(((c_TMAP3IN)-(c_TMAP2IN)),2)),((c_TMAP3IN)-(c_TMAP2IN)))+(c_TMAP2OUT)+IF(((c_TMAP3OUT)-(c_TMAP2OUT))&gt;=0,IF(IF(o_WRAP=1,MOD(((c_TMAP3IN)-(c_TMAP2IN))*(((C197)-(c_TMAP2IN))*((c_TMAP3OUT)-(c_TMAP2OUT))+IF(((c_TMAP3OUT)-(c_TMAP2OUT))&gt;=0,1,-1)*QUOTIENT(((c_TMAP3IN)-(c_TMAP2IN)),2))+2147483648,4294967296)-2147483648,((c_TMAP3IN)-(c_TMAP2IN))*(((C197)-(c_TMAP2IN))*((c_TMAP3OUT)-(c_TMAP2OUT))+IF(((c_TMAP3OUT)-(c_TMAP2OUT))&gt;=0,1,-1)*QUOTIENT(((c_TMAP3IN)-(c_TMAP2IN)),2)))&lt;0,-1,0),IF(IF(o_WRAP=1,MOD(((c_TMAP3IN)-(c_TMAP2IN))*(((C197)-(c_TMAP2IN))*((c_TMAP3OUT)-(c_TMAP2OUT))+IF(((c_TMAP3OUT)-(c_TMAP2OUT))&gt;=0,1,-1)*QUOTIENT(((c_TMAP3IN)-(c_TMAP2IN)),2))+2147483648,4294967296)-2147483648,((c_TMAP3IN)-(c_TMAP2IN))*(((C197)-(c_TMAP2IN))*((c_TMAP3OUT)-(c_TMAP2OUT))+IF(((c_TMAP3OUT)-(c_TMAP2OUT))&gt;=0,1,-1)*QUOTIENT(((c_TMAP3IN)-(c_TMAP2IN)),2)))&gt;=0,1,0)))</f>
        <v>270</v>
      </c>
      <c r="H197" s="7" t="n">
        <f aca="false">IF(((1000)-(c_TMAP3IN))=0,(c_TMAP3OUT)+QUOTIENT(((1000)-(c_TMAP3OUT)),2),QUOTIENT((((C197)-(c_TMAP3IN))*((1000)-(c_TMAP3OUT))+IF(((1000)-(c_TMAP3OUT))&gt;=0,1,-1)*QUOTIENT(((1000)-(c_TMAP3IN)),2)),((1000)-(c_TMAP3IN)))+(c_TMAP3OUT)+IF(((1000)-(c_TMAP3OUT))&gt;=0,IF(IF(o_WRAP=1,MOD(((1000)-(c_TMAP3IN))*(((C197)-(c_TMAP3IN))*((1000)-(c_TMAP3OUT))+IF(((1000)-(c_TMAP3OUT))&gt;=0,1,-1)*QUOTIENT(((1000)-(c_TMAP3IN)),2))+2147483648,4294967296)-2147483648,((1000)-(c_TMAP3IN))*(((C197)-(c_TMAP3IN))*((1000)-(c_TMAP3OUT))+IF(((1000)-(c_TMAP3OUT))&gt;=0,1,-1)*QUOTIENT(((1000)-(c_TMAP3IN)),2)))&lt;0,-1,0),IF(IF(o_WRAP=1,MOD(((1000)-(c_TMAP3IN))*(((C197)-(c_TMAP3IN))*((1000)-(c_TMAP3OUT))+IF(((1000)-(c_TMAP3OUT))&gt;=0,1,-1)*QUOTIENT(((1000)-(c_TMAP3IN)),2))+2147483648,4294967296)-2147483648,((1000)-(c_TMAP3IN))*(((C197)-(c_TMAP3IN))*((1000)-(c_TMAP3OUT))+IF(((1000)-(c_TMAP3OUT))&gt;=0,1,-1)*QUOTIENT(((1000)-(c_TMAP3IN)),2)))&gt;=0,1,0)))</f>
        <v>323</v>
      </c>
      <c r="I197" s="7" t="n">
        <f aca="false">IF(C197&gt;=c_TFWD,IF(AND(C197&gt;=c_TMAP3IN,c_TMAP3IN&lt;1000),H197,IF(AND(C197&gt;=c_TMAP2IN,c_TMAP3IN&gt;c_TMAP2IN),G197,IF(AND(C197&gt;=c_TMAP1IN,c_TMAP2IN&gt;c_TMAP1IN),F197,E197))),D197)</f>
        <v>323</v>
      </c>
      <c r="J197" s="7" t="str">
        <f aca="false">IF(I197&lt;-1090,"TOO LOW",IF(I197&gt;1090,"TOO HIGH",""))</f>
        <v/>
      </c>
      <c r="K197" s="7" t="n">
        <f aca="false">IF(J197&lt;&gt;"",0,IF(I197&gt;979,1000,I197))</f>
        <v>323</v>
      </c>
      <c r="L197" s="7" t="n">
        <f aca="false">IF(OR(c_TSMOOTH=0,K197&gt;=c_TSMOOTHCUT),1,0)</f>
        <v>0</v>
      </c>
      <c r="M197" s="7" t="n">
        <f aca="false">IF(L197=1,0,M196+1)</f>
        <v>111</v>
      </c>
      <c r="N197" s="7" t="n">
        <f aca="false">IF(L197=1,0,MIN(M197,c_TSMOOTH))</f>
        <v>30</v>
      </c>
      <c r="O197" s="7" t="n">
        <f aca="false">IF(COUNTIF($L$5:L197,1)&gt;0,c_TSMOOTHCUT,0)</f>
        <v>400</v>
      </c>
      <c r="P197" s="15" t="n">
        <f aca="true">IF(L197=1,K197,QUOTIENT(SUM(OFFSET(K197,1-N197,0,N197,1))+(c_TSMOOTH-N197)*O197,c_TSMOOTH))</f>
        <v>304</v>
      </c>
      <c r="Q197" s="7" t="n">
        <f aca="false">K197/10</f>
        <v>32.3</v>
      </c>
      <c r="R197" s="7" t="n">
        <f aca="false">P197/10</f>
        <v>30.4</v>
      </c>
    </row>
    <row r="198" customFormat="false" ht="15" hidden="false" customHeight="false" outlineLevel="0" collapsed="false">
      <c r="A198" s="7" t="n">
        <v>193</v>
      </c>
      <c r="B198" s="7" t="n">
        <f aca="false">A198*0.04</f>
        <v>7.72</v>
      </c>
      <c r="C198" s="18" t="n">
        <v>450</v>
      </c>
      <c r="D198" s="7" t="n">
        <f aca="false">IF(AND(C198=0,c_TCREEP&gt;0),10*c_TCREEP,IF(AND(C198&lt;=c_TRNGMIN,C198&gt;=c_TRNGMAX,c_TRNGMIN-c_TRNGMAX&lt;&gt;0),-10*c_TMINRN+QUOTIENT((c_TMAXRN-c_TMINRN)*(100-QUOTIENT((C198-c_TRNGMAX)*100,c_TRNGMIN-c_TRNGMAX)),-10),0))</f>
        <v>0</v>
      </c>
      <c r="E198" s="7" t="n">
        <f aca="false">IF(((c_TMAP1IN)-(c_TFWD))=0,(0)+QUOTIENT(((c_TMAP1OUT)-(0)),2),QUOTIENT((((C198)-(c_TFWD))*((c_TMAP1OUT)-(0))+IF(((c_TMAP1OUT)-(0))&gt;=0,1,-1)*QUOTIENT(((c_TMAP1IN)-(c_TFWD)),2)),((c_TMAP1IN)-(c_TFWD)))+(0)+IF(((c_TMAP1OUT)-(0))&gt;=0,IF(IF(o_WRAP=1,MOD(((c_TMAP1IN)-(c_TFWD))*(((C198)-(c_TFWD))*((c_TMAP1OUT)-(0))+IF(((c_TMAP1OUT)-(0))&gt;=0,1,-1)*QUOTIENT(((c_TMAP1IN)-(c_TFWD)),2))+2147483648,4294967296)-2147483648,((c_TMAP1IN)-(c_TFWD))*(((C198)-(c_TFWD))*((c_TMAP1OUT)-(0))+IF(((c_TMAP1OUT)-(0))&gt;=0,1,-1)*QUOTIENT(((c_TMAP1IN)-(c_TFWD)),2)))&lt;0,-1,0),IF(IF(o_WRAP=1,MOD(((c_TMAP1IN)-(c_TFWD))*(((C198)-(c_TFWD))*((c_TMAP1OUT)-(0))+IF(((c_TMAP1OUT)-(0))&gt;=0,1,-1)*QUOTIENT(((c_TMAP1IN)-(c_TFWD)),2))+2147483648,4294967296)-2147483648,((c_TMAP1IN)-(c_TFWD))*(((C198)-(c_TFWD))*((c_TMAP1OUT)-(0))+IF(((c_TMAP1OUT)-(0))&gt;=0,1,-1)*QUOTIENT(((c_TMAP1IN)-(c_TFWD)),2)))&gt;=0,1,0)))</f>
        <v>342</v>
      </c>
      <c r="F198" s="7" t="n">
        <f aca="false">IF(((c_TMAP2IN)-(c_TMAP1IN))=0,(c_TMAP1OUT)+QUOTIENT(((c_TMAP2OUT)-(c_TMAP1OUT)),2),QUOTIENT((((C198)-(c_TMAP1IN))*((c_TMAP2OUT)-(c_TMAP1OUT))+IF(((c_TMAP2OUT)-(c_TMAP1OUT))&gt;=0,1,-1)*QUOTIENT(((c_TMAP2IN)-(c_TMAP1IN)),2)),((c_TMAP2IN)-(c_TMAP1IN)))+(c_TMAP1OUT)+IF(((c_TMAP2OUT)-(c_TMAP1OUT))&gt;=0,IF(IF(o_WRAP=1,MOD(((c_TMAP2IN)-(c_TMAP1IN))*(((C198)-(c_TMAP1IN))*((c_TMAP2OUT)-(c_TMAP1OUT))+IF(((c_TMAP2OUT)-(c_TMAP1OUT))&gt;=0,1,-1)*QUOTIENT(((c_TMAP2IN)-(c_TMAP1IN)),2))+2147483648,4294967296)-2147483648,((c_TMAP2IN)-(c_TMAP1IN))*(((C198)-(c_TMAP1IN))*((c_TMAP2OUT)-(c_TMAP1OUT))+IF(((c_TMAP2OUT)-(c_TMAP1OUT))&gt;=0,1,-1)*QUOTIENT(((c_TMAP2IN)-(c_TMAP1IN)),2)))&lt;0,-1,0),IF(IF(o_WRAP=1,MOD(((c_TMAP2IN)-(c_TMAP1IN))*(((C198)-(c_TMAP1IN))*((c_TMAP2OUT)-(c_TMAP1OUT))+IF(((c_TMAP2OUT)-(c_TMAP1OUT))&gt;=0,1,-1)*QUOTIENT(((c_TMAP2IN)-(c_TMAP1IN)),2))+2147483648,4294967296)-2147483648,((c_TMAP2IN)-(c_TMAP1IN))*(((C198)-(c_TMAP1IN))*((c_TMAP2OUT)-(c_TMAP1OUT))+IF(((c_TMAP2OUT)-(c_TMAP1OUT))&gt;=0,1,-1)*QUOTIENT(((c_TMAP2IN)-(c_TMAP1IN)),2)))&gt;=0,1,0)))</f>
        <v>210</v>
      </c>
      <c r="G198" s="7" t="n">
        <f aca="false">IF(((c_TMAP3IN)-(c_TMAP2IN))=0,(c_TMAP2OUT)+QUOTIENT(((c_TMAP3OUT)-(c_TMAP2OUT)),2),QUOTIENT((((C198)-(c_TMAP2IN))*((c_TMAP3OUT)-(c_TMAP2OUT))+IF(((c_TMAP3OUT)-(c_TMAP2OUT))&gt;=0,1,-1)*QUOTIENT(((c_TMAP3IN)-(c_TMAP2IN)),2)),((c_TMAP3IN)-(c_TMAP2IN)))+(c_TMAP2OUT)+IF(((c_TMAP3OUT)-(c_TMAP2OUT))&gt;=0,IF(IF(o_WRAP=1,MOD(((c_TMAP3IN)-(c_TMAP2IN))*(((C198)-(c_TMAP2IN))*((c_TMAP3OUT)-(c_TMAP2OUT))+IF(((c_TMAP3OUT)-(c_TMAP2OUT))&gt;=0,1,-1)*QUOTIENT(((c_TMAP3IN)-(c_TMAP2IN)),2))+2147483648,4294967296)-2147483648,((c_TMAP3IN)-(c_TMAP2IN))*(((C198)-(c_TMAP2IN))*((c_TMAP3OUT)-(c_TMAP2OUT))+IF(((c_TMAP3OUT)-(c_TMAP2OUT))&gt;=0,1,-1)*QUOTIENT(((c_TMAP3IN)-(c_TMAP2IN)),2)))&lt;0,-1,0),IF(IF(o_WRAP=1,MOD(((c_TMAP3IN)-(c_TMAP2IN))*(((C198)-(c_TMAP2IN))*((c_TMAP3OUT)-(c_TMAP2OUT))+IF(((c_TMAP3OUT)-(c_TMAP2OUT))&gt;=0,1,-1)*QUOTIENT(((c_TMAP3IN)-(c_TMAP2IN)),2))+2147483648,4294967296)-2147483648,((c_TMAP3IN)-(c_TMAP2IN))*(((C198)-(c_TMAP2IN))*((c_TMAP3OUT)-(c_TMAP2OUT))+IF(((c_TMAP3OUT)-(c_TMAP2OUT))&gt;=0,1,-1)*QUOTIENT(((c_TMAP3IN)-(c_TMAP2IN)),2)))&gt;=0,1,0)))</f>
        <v>270</v>
      </c>
      <c r="H198" s="7" t="n">
        <f aca="false">IF(((1000)-(c_TMAP3IN))=0,(c_TMAP3OUT)+QUOTIENT(((1000)-(c_TMAP3OUT)),2),QUOTIENT((((C198)-(c_TMAP3IN))*((1000)-(c_TMAP3OUT))+IF(((1000)-(c_TMAP3OUT))&gt;=0,1,-1)*QUOTIENT(((1000)-(c_TMAP3IN)),2)),((1000)-(c_TMAP3IN)))+(c_TMAP3OUT)+IF(((1000)-(c_TMAP3OUT))&gt;=0,IF(IF(o_WRAP=1,MOD(((1000)-(c_TMAP3IN))*(((C198)-(c_TMAP3IN))*((1000)-(c_TMAP3OUT))+IF(((1000)-(c_TMAP3OUT))&gt;=0,1,-1)*QUOTIENT(((1000)-(c_TMAP3IN)),2))+2147483648,4294967296)-2147483648,((1000)-(c_TMAP3IN))*(((C198)-(c_TMAP3IN))*((1000)-(c_TMAP3OUT))+IF(((1000)-(c_TMAP3OUT))&gt;=0,1,-1)*QUOTIENT(((1000)-(c_TMAP3IN)),2)))&lt;0,-1,0),IF(IF(o_WRAP=1,MOD(((1000)-(c_TMAP3IN))*(((C198)-(c_TMAP3IN))*((1000)-(c_TMAP3OUT))+IF(((1000)-(c_TMAP3OUT))&gt;=0,1,-1)*QUOTIENT(((1000)-(c_TMAP3IN)),2))+2147483648,4294967296)-2147483648,((1000)-(c_TMAP3IN))*(((C198)-(c_TMAP3IN))*((1000)-(c_TMAP3OUT))+IF(((1000)-(c_TMAP3OUT))&gt;=0,1,-1)*QUOTIENT(((1000)-(c_TMAP3IN)),2)))&gt;=0,1,0)))</f>
        <v>323</v>
      </c>
      <c r="I198" s="7" t="n">
        <f aca="false">IF(C198&gt;=c_TFWD,IF(AND(C198&gt;=c_TMAP3IN,c_TMAP3IN&lt;1000),H198,IF(AND(C198&gt;=c_TMAP2IN,c_TMAP3IN&gt;c_TMAP2IN),G198,IF(AND(C198&gt;=c_TMAP1IN,c_TMAP2IN&gt;c_TMAP1IN),F198,E198))),D198)</f>
        <v>323</v>
      </c>
      <c r="J198" s="7" t="str">
        <f aca="false">IF(I198&lt;-1090,"TOO LOW",IF(I198&gt;1090,"TOO HIGH",""))</f>
        <v/>
      </c>
      <c r="K198" s="7" t="n">
        <f aca="false">IF(J198&lt;&gt;"",0,IF(I198&gt;979,1000,I198))</f>
        <v>323</v>
      </c>
      <c r="L198" s="7" t="n">
        <f aca="false">IF(OR(c_TSMOOTH=0,K198&gt;=c_TSMOOTHCUT),1,0)</f>
        <v>0</v>
      </c>
      <c r="M198" s="7" t="n">
        <f aca="false">IF(L198=1,0,M197+1)</f>
        <v>112</v>
      </c>
      <c r="N198" s="7" t="n">
        <f aca="false">IF(L198=1,0,MIN(M198,c_TSMOOTH))</f>
        <v>30</v>
      </c>
      <c r="O198" s="7" t="n">
        <f aca="false">IF(COUNTIF($L$5:L198,1)&gt;0,c_TSMOOTHCUT,0)</f>
        <v>400</v>
      </c>
      <c r="P198" s="15" t="n">
        <f aca="true">IF(L198=1,K198,QUOTIENT(SUM(OFFSET(K198,1-N198,0,N198,1))+(c_TSMOOTH-N198)*O198,c_TSMOOTH))</f>
        <v>309</v>
      </c>
      <c r="Q198" s="7" t="n">
        <f aca="false">K198/10</f>
        <v>32.3</v>
      </c>
      <c r="R198" s="7" t="n">
        <f aca="false">P198/10</f>
        <v>30.9</v>
      </c>
    </row>
    <row r="199" customFormat="false" ht="15" hidden="false" customHeight="false" outlineLevel="0" collapsed="false">
      <c r="A199" s="7" t="n">
        <v>194</v>
      </c>
      <c r="B199" s="7" t="n">
        <f aca="false">A199*0.04</f>
        <v>7.76</v>
      </c>
      <c r="C199" s="18" t="n">
        <v>450</v>
      </c>
      <c r="D199" s="7" t="n">
        <f aca="false">IF(AND(C199=0,c_TCREEP&gt;0),10*c_TCREEP,IF(AND(C199&lt;=c_TRNGMIN,C199&gt;=c_TRNGMAX,c_TRNGMIN-c_TRNGMAX&lt;&gt;0),-10*c_TMINRN+QUOTIENT((c_TMAXRN-c_TMINRN)*(100-QUOTIENT((C199-c_TRNGMAX)*100,c_TRNGMIN-c_TRNGMAX)),-10),0))</f>
        <v>0</v>
      </c>
      <c r="E199" s="7" t="n">
        <f aca="false">IF(((c_TMAP1IN)-(c_TFWD))=0,(0)+QUOTIENT(((c_TMAP1OUT)-(0)),2),QUOTIENT((((C199)-(c_TFWD))*((c_TMAP1OUT)-(0))+IF(((c_TMAP1OUT)-(0))&gt;=0,1,-1)*QUOTIENT(((c_TMAP1IN)-(c_TFWD)),2)),((c_TMAP1IN)-(c_TFWD)))+(0)+IF(((c_TMAP1OUT)-(0))&gt;=0,IF(IF(o_WRAP=1,MOD(((c_TMAP1IN)-(c_TFWD))*(((C199)-(c_TFWD))*((c_TMAP1OUT)-(0))+IF(((c_TMAP1OUT)-(0))&gt;=0,1,-1)*QUOTIENT(((c_TMAP1IN)-(c_TFWD)),2))+2147483648,4294967296)-2147483648,((c_TMAP1IN)-(c_TFWD))*(((C199)-(c_TFWD))*((c_TMAP1OUT)-(0))+IF(((c_TMAP1OUT)-(0))&gt;=0,1,-1)*QUOTIENT(((c_TMAP1IN)-(c_TFWD)),2)))&lt;0,-1,0),IF(IF(o_WRAP=1,MOD(((c_TMAP1IN)-(c_TFWD))*(((C199)-(c_TFWD))*((c_TMAP1OUT)-(0))+IF(((c_TMAP1OUT)-(0))&gt;=0,1,-1)*QUOTIENT(((c_TMAP1IN)-(c_TFWD)),2))+2147483648,4294967296)-2147483648,((c_TMAP1IN)-(c_TFWD))*(((C199)-(c_TFWD))*((c_TMAP1OUT)-(0))+IF(((c_TMAP1OUT)-(0))&gt;=0,1,-1)*QUOTIENT(((c_TMAP1IN)-(c_TFWD)),2)))&gt;=0,1,0)))</f>
        <v>342</v>
      </c>
      <c r="F199" s="7" t="n">
        <f aca="false">IF(((c_TMAP2IN)-(c_TMAP1IN))=0,(c_TMAP1OUT)+QUOTIENT(((c_TMAP2OUT)-(c_TMAP1OUT)),2),QUOTIENT((((C199)-(c_TMAP1IN))*((c_TMAP2OUT)-(c_TMAP1OUT))+IF(((c_TMAP2OUT)-(c_TMAP1OUT))&gt;=0,1,-1)*QUOTIENT(((c_TMAP2IN)-(c_TMAP1IN)),2)),((c_TMAP2IN)-(c_TMAP1IN)))+(c_TMAP1OUT)+IF(((c_TMAP2OUT)-(c_TMAP1OUT))&gt;=0,IF(IF(o_WRAP=1,MOD(((c_TMAP2IN)-(c_TMAP1IN))*(((C199)-(c_TMAP1IN))*((c_TMAP2OUT)-(c_TMAP1OUT))+IF(((c_TMAP2OUT)-(c_TMAP1OUT))&gt;=0,1,-1)*QUOTIENT(((c_TMAP2IN)-(c_TMAP1IN)),2))+2147483648,4294967296)-2147483648,((c_TMAP2IN)-(c_TMAP1IN))*(((C199)-(c_TMAP1IN))*((c_TMAP2OUT)-(c_TMAP1OUT))+IF(((c_TMAP2OUT)-(c_TMAP1OUT))&gt;=0,1,-1)*QUOTIENT(((c_TMAP2IN)-(c_TMAP1IN)),2)))&lt;0,-1,0),IF(IF(o_WRAP=1,MOD(((c_TMAP2IN)-(c_TMAP1IN))*(((C199)-(c_TMAP1IN))*((c_TMAP2OUT)-(c_TMAP1OUT))+IF(((c_TMAP2OUT)-(c_TMAP1OUT))&gt;=0,1,-1)*QUOTIENT(((c_TMAP2IN)-(c_TMAP1IN)),2))+2147483648,4294967296)-2147483648,((c_TMAP2IN)-(c_TMAP1IN))*(((C199)-(c_TMAP1IN))*((c_TMAP2OUT)-(c_TMAP1OUT))+IF(((c_TMAP2OUT)-(c_TMAP1OUT))&gt;=0,1,-1)*QUOTIENT(((c_TMAP2IN)-(c_TMAP1IN)),2)))&gt;=0,1,0)))</f>
        <v>210</v>
      </c>
      <c r="G199" s="7" t="n">
        <f aca="false">IF(((c_TMAP3IN)-(c_TMAP2IN))=0,(c_TMAP2OUT)+QUOTIENT(((c_TMAP3OUT)-(c_TMAP2OUT)),2),QUOTIENT((((C199)-(c_TMAP2IN))*((c_TMAP3OUT)-(c_TMAP2OUT))+IF(((c_TMAP3OUT)-(c_TMAP2OUT))&gt;=0,1,-1)*QUOTIENT(((c_TMAP3IN)-(c_TMAP2IN)),2)),((c_TMAP3IN)-(c_TMAP2IN)))+(c_TMAP2OUT)+IF(((c_TMAP3OUT)-(c_TMAP2OUT))&gt;=0,IF(IF(o_WRAP=1,MOD(((c_TMAP3IN)-(c_TMAP2IN))*(((C199)-(c_TMAP2IN))*((c_TMAP3OUT)-(c_TMAP2OUT))+IF(((c_TMAP3OUT)-(c_TMAP2OUT))&gt;=0,1,-1)*QUOTIENT(((c_TMAP3IN)-(c_TMAP2IN)),2))+2147483648,4294967296)-2147483648,((c_TMAP3IN)-(c_TMAP2IN))*(((C199)-(c_TMAP2IN))*((c_TMAP3OUT)-(c_TMAP2OUT))+IF(((c_TMAP3OUT)-(c_TMAP2OUT))&gt;=0,1,-1)*QUOTIENT(((c_TMAP3IN)-(c_TMAP2IN)),2)))&lt;0,-1,0),IF(IF(o_WRAP=1,MOD(((c_TMAP3IN)-(c_TMAP2IN))*(((C199)-(c_TMAP2IN))*((c_TMAP3OUT)-(c_TMAP2OUT))+IF(((c_TMAP3OUT)-(c_TMAP2OUT))&gt;=0,1,-1)*QUOTIENT(((c_TMAP3IN)-(c_TMAP2IN)),2))+2147483648,4294967296)-2147483648,((c_TMAP3IN)-(c_TMAP2IN))*(((C199)-(c_TMAP2IN))*((c_TMAP3OUT)-(c_TMAP2OUT))+IF(((c_TMAP3OUT)-(c_TMAP2OUT))&gt;=0,1,-1)*QUOTIENT(((c_TMAP3IN)-(c_TMAP2IN)),2)))&gt;=0,1,0)))</f>
        <v>270</v>
      </c>
      <c r="H199" s="7" t="n">
        <f aca="false">IF(((1000)-(c_TMAP3IN))=0,(c_TMAP3OUT)+QUOTIENT(((1000)-(c_TMAP3OUT)),2),QUOTIENT((((C199)-(c_TMAP3IN))*((1000)-(c_TMAP3OUT))+IF(((1000)-(c_TMAP3OUT))&gt;=0,1,-1)*QUOTIENT(((1000)-(c_TMAP3IN)),2)),((1000)-(c_TMAP3IN)))+(c_TMAP3OUT)+IF(((1000)-(c_TMAP3OUT))&gt;=0,IF(IF(o_WRAP=1,MOD(((1000)-(c_TMAP3IN))*(((C199)-(c_TMAP3IN))*((1000)-(c_TMAP3OUT))+IF(((1000)-(c_TMAP3OUT))&gt;=0,1,-1)*QUOTIENT(((1000)-(c_TMAP3IN)),2))+2147483648,4294967296)-2147483648,((1000)-(c_TMAP3IN))*(((C199)-(c_TMAP3IN))*((1000)-(c_TMAP3OUT))+IF(((1000)-(c_TMAP3OUT))&gt;=0,1,-1)*QUOTIENT(((1000)-(c_TMAP3IN)),2)))&lt;0,-1,0),IF(IF(o_WRAP=1,MOD(((1000)-(c_TMAP3IN))*(((C199)-(c_TMAP3IN))*((1000)-(c_TMAP3OUT))+IF(((1000)-(c_TMAP3OUT))&gt;=0,1,-1)*QUOTIENT(((1000)-(c_TMAP3IN)),2))+2147483648,4294967296)-2147483648,((1000)-(c_TMAP3IN))*(((C199)-(c_TMAP3IN))*((1000)-(c_TMAP3OUT))+IF(((1000)-(c_TMAP3OUT))&gt;=0,1,-1)*QUOTIENT(((1000)-(c_TMAP3IN)),2)))&gt;=0,1,0)))</f>
        <v>323</v>
      </c>
      <c r="I199" s="7" t="n">
        <f aca="false">IF(C199&gt;=c_TFWD,IF(AND(C199&gt;=c_TMAP3IN,c_TMAP3IN&lt;1000),H199,IF(AND(C199&gt;=c_TMAP2IN,c_TMAP3IN&gt;c_TMAP2IN),G199,IF(AND(C199&gt;=c_TMAP1IN,c_TMAP2IN&gt;c_TMAP1IN),F199,E199))),D199)</f>
        <v>323</v>
      </c>
      <c r="J199" s="7" t="str">
        <f aca="false">IF(I199&lt;-1090,"TOO LOW",IF(I199&gt;1090,"TOO HIGH",""))</f>
        <v/>
      </c>
      <c r="K199" s="7" t="n">
        <f aca="false">IF(J199&lt;&gt;"",0,IF(I199&gt;979,1000,I199))</f>
        <v>323</v>
      </c>
      <c r="L199" s="7" t="n">
        <f aca="false">IF(OR(c_TSMOOTH=0,K199&gt;=c_TSMOOTHCUT),1,0)</f>
        <v>0</v>
      </c>
      <c r="M199" s="7" t="n">
        <f aca="false">IF(L199=1,0,M198+1)</f>
        <v>113</v>
      </c>
      <c r="N199" s="7" t="n">
        <f aca="false">IF(L199=1,0,MIN(M199,c_TSMOOTH))</f>
        <v>30</v>
      </c>
      <c r="O199" s="7" t="n">
        <f aca="false">IF(COUNTIF($L$5:L199,1)&gt;0,c_TSMOOTHCUT,0)</f>
        <v>400</v>
      </c>
      <c r="P199" s="15" t="n">
        <f aca="true">IF(L199=1,K199,QUOTIENT(SUM(OFFSET(K199,1-N199,0,N199,1))+(c_TSMOOTH-N199)*O199,c_TSMOOTH))</f>
        <v>313</v>
      </c>
      <c r="Q199" s="7" t="n">
        <f aca="false">K199/10</f>
        <v>32.3</v>
      </c>
      <c r="R199" s="7" t="n">
        <f aca="false">P199/10</f>
        <v>31.3</v>
      </c>
    </row>
    <row r="200" customFormat="false" ht="15" hidden="false" customHeight="false" outlineLevel="0" collapsed="false">
      <c r="A200" s="7" t="n">
        <v>195</v>
      </c>
      <c r="B200" s="7" t="n">
        <f aca="false">A200*0.04</f>
        <v>7.8</v>
      </c>
      <c r="C200" s="18" t="n">
        <v>450</v>
      </c>
      <c r="D200" s="7" t="n">
        <f aca="false">IF(AND(C200=0,c_TCREEP&gt;0),10*c_TCREEP,IF(AND(C200&lt;=c_TRNGMIN,C200&gt;=c_TRNGMAX,c_TRNGMIN-c_TRNGMAX&lt;&gt;0),-10*c_TMINRN+QUOTIENT((c_TMAXRN-c_TMINRN)*(100-QUOTIENT((C200-c_TRNGMAX)*100,c_TRNGMIN-c_TRNGMAX)),-10),0))</f>
        <v>0</v>
      </c>
      <c r="E200" s="7" t="n">
        <f aca="false">IF(((c_TMAP1IN)-(c_TFWD))=0,(0)+QUOTIENT(((c_TMAP1OUT)-(0)),2),QUOTIENT((((C200)-(c_TFWD))*((c_TMAP1OUT)-(0))+IF(((c_TMAP1OUT)-(0))&gt;=0,1,-1)*QUOTIENT(((c_TMAP1IN)-(c_TFWD)),2)),((c_TMAP1IN)-(c_TFWD)))+(0)+IF(((c_TMAP1OUT)-(0))&gt;=0,IF(IF(o_WRAP=1,MOD(((c_TMAP1IN)-(c_TFWD))*(((C200)-(c_TFWD))*((c_TMAP1OUT)-(0))+IF(((c_TMAP1OUT)-(0))&gt;=0,1,-1)*QUOTIENT(((c_TMAP1IN)-(c_TFWD)),2))+2147483648,4294967296)-2147483648,((c_TMAP1IN)-(c_TFWD))*(((C200)-(c_TFWD))*((c_TMAP1OUT)-(0))+IF(((c_TMAP1OUT)-(0))&gt;=0,1,-1)*QUOTIENT(((c_TMAP1IN)-(c_TFWD)),2)))&lt;0,-1,0),IF(IF(o_WRAP=1,MOD(((c_TMAP1IN)-(c_TFWD))*(((C200)-(c_TFWD))*((c_TMAP1OUT)-(0))+IF(((c_TMAP1OUT)-(0))&gt;=0,1,-1)*QUOTIENT(((c_TMAP1IN)-(c_TFWD)),2))+2147483648,4294967296)-2147483648,((c_TMAP1IN)-(c_TFWD))*(((C200)-(c_TFWD))*((c_TMAP1OUT)-(0))+IF(((c_TMAP1OUT)-(0))&gt;=0,1,-1)*QUOTIENT(((c_TMAP1IN)-(c_TFWD)),2)))&gt;=0,1,0)))</f>
        <v>342</v>
      </c>
      <c r="F200" s="7" t="n">
        <f aca="false">IF(((c_TMAP2IN)-(c_TMAP1IN))=0,(c_TMAP1OUT)+QUOTIENT(((c_TMAP2OUT)-(c_TMAP1OUT)),2),QUOTIENT((((C200)-(c_TMAP1IN))*((c_TMAP2OUT)-(c_TMAP1OUT))+IF(((c_TMAP2OUT)-(c_TMAP1OUT))&gt;=0,1,-1)*QUOTIENT(((c_TMAP2IN)-(c_TMAP1IN)),2)),((c_TMAP2IN)-(c_TMAP1IN)))+(c_TMAP1OUT)+IF(((c_TMAP2OUT)-(c_TMAP1OUT))&gt;=0,IF(IF(o_WRAP=1,MOD(((c_TMAP2IN)-(c_TMAP1IN))*(((C200)-(c_TMAP1IN))*((c_TMAP2OUT)-(c_TMAP1OUT))+IF(((c_TMAP2OUT)-(c_TMAP1OUT))&gt;=0,1,-1)*QUOTIENT(((c_TMAP2IN)-(c_TMAP1IN)),2))+2147483648,4294967296)-2147483648,((c_TMAP2IN)-(c_TMAP1IN))*(((C200)-(c_TMAP1IN))*((c_TMAP2OUT)-(c_TMAP1OUT))+IF(((c_TMAP2OUT)-(c_TMAP1OUT))&gt;=0,1,-1)*QUOTIENT(((c_TMAP2IN)-(c_TMAP1IN)),2)))&lt;0,-1,0),IF(IF(o_WRAP=1,MOD(((c_TMAP2IN)-(c_TMAP1IN))*(((C200)-(c_TMAP1IN))*((c_TMAP2OUT)-(c_TMAP1OUT))+IF(((c_TMAP2OUT)-(c_TMAP1OUT))&gt;=0,1,-1)*QUOTIENT(((c_TMAP2IN)-(c_TMAP1IN)),2))+2147483648,4294967296)-2147483648,((c_TMAP2IN)-(c_TMAP1IN))*(((C200)-(c_TMAP1IN))*((c_TMAP2OUT)-(c_TMAP1OUT))+IF(((c_TMAP2OUT)-(c_TMAP1OUT))&gt;=0,1,-1)*QUOTIENT(((c_TMAP2IN)-(c_TMAP1IN)),2)))&gt;=0,1,0)))</f>
        <v>210</v>
      </c>
      <c r="G200" s="7" t="n">
        <f aca="false">IF(((c_TMAP3IN)-(c_TMAP2IN))=0,(c_TMAP2OUT)+QUOTIENT(((c_TMAP3OUT)-(c_TMAP2OUT)),2),QUOTIENT((((C200)-(c_TMAP2IN))*((c_TMAP3OUT)-(c_TMAP2OUT))+IF(((c_TMAP3OUT)-(c_TMAP2OUT))&gt;=0,1,-1)*QUOTIENT(((c_TMAP3IN)-(c_TMAP2IN)),2)),((c_TMAP3IN)-(c_TMAP2IN)))+(c_TMAP2OUT)+IF(((c_TMAP3OUT)-(c_TMAP2OUT))&gt;=0,IF(IF(o_WRAP=1,MOD(((c_TMAP3IN)-(c_TMAP2IN))*(((C200)-(c_TMAP2IN))*((c_TMAP3OUT)-(c_TMAP2OUT))+IF(((c_TMAP3OUT)-(c_TMAP2OUT))&gt;=0,1,-1)*QUOTIENT(((c_TMAP3IN)-(c_TMAP2IN)),2))+2147483648,4294967296)-2147483648,((c_TMAP3IN)-(c_TMAP2IN))*(((C200)-(c_TMAP2IN))*((c_TMAP3OUT)-(c_TMAP2OUT))+IF(((c_TMAP3OUT)-(c_TMAP2OUT))&gt;=0,1,-1)*QUOTIENT(((c_TMAP3IN)-(c_TMAP2IN)),2)))&lt;0,-1,0),IF(IF(o_WRAP=1,MOD(((c_TMAP3IN)-(c_TMAP2IN))*(((C200)-(c_TMAP2IN))*((c_TMAP3OUT)-(c_TMAP2OUT))+IF(((c_TMAP3OUT)-(c_TMAP2OUT))&gt;=0,1,-1)*QUOTIENT(((c_TMAP3IN)-(c_TMAP2IN)),2))+2147483648,4294967296)-2147483648,((c_TMAP3IN)-(c_TMAP2IN))*(((C200)-(c_TMAP2IN))*((c_TMAP3OUT)-(c_TMAP2OUT))+IF(((c_TMAP3OUT)-(c_TMAP2OUT))&gt;=0,1,-1)*QUOTIENT(((c_TMAP3IN)-(c_TMAP2IN)),2)))&gt;=0,1,0)))</f>
        <v>270</v>
      </c>
      <c r="H200" s="7" t="n">
        <f aca="false">IF(((1000)-(c_TMAP3IN))=0,(c_TMAP3OUT)+QUOTIENT(((1000)-(c_TMAP3OUT)),2),QUOTIENT((((C200)-(c_TMAP3IN))*((1000)-(c_TMAP3OUT))+IF(((1000)-(c_TMAP3OUT))&gt;=0,1,-1)*QUOTIENT(((1000)-(c_TMAP3IN)),2)),((1000)-(c_TMAP3IN)))+(c_TMAP3OUT)+IF(((1000)-(c_TMAP3OUT))&gt;=0,IF(IF(o_WRAP=1,MOD(((1000)-(c_TMAP3IN))*(((C200)-(c_TMAP3IN))*((1000)-(c_TMAP3OUT))+IF(((1000)-(c_TMAP3OUT))&gt;=0,1,-1)*QUOTIENT(((1000)-(c_TMAP3IN)),2))+2147483648,4294967296)-2147483648,((1000)-(c_TMAP3IN))*(((C200)-(c_TMAP3IN))*((1000)-(c_TMAP3OUT))+IF(((1000)-(c_TMAP3OUT))&gt;=0,1,-1)*QUOTIENT(((1000)-(c_TMAP3IN)),2)))&lt;0,-1,0),IF(IF(o_WRAP=1,MOD(((1000)-(c_TMAP3IN))*(((C200)-(c_TMAP3IN))*((1000)-(c_TMAP3OUT))+IF(((1000)-(c_TMAP3OUT))&gt;=0,1,-1)*QUOTIENT(((1000)-(c_TMAP3IN)),2))+2147483648,4294967296)-2147483648,((1000)-(c_TMAP3IN))*(((C200)-(c_TMAP3IN))*((1000)-(c_TMAP3OUT))+IF(((1000)-(c_TMAP3OUT))&gt;=0,1,-1)*QUOTIENT(((1000)-(c_TMAP3IN)),2)))&gt;=0,1,0)))</f>
        <v>323</v>
      </c>
      <c r="I200" s="7" t="n">
        <f aca="false">IF(C200&gt;=c_TFWD,IF(AND(C200&gt;=c_TMAP3IN,c_TMAP3IN&lt;1000),H200,IF(AND(C200&gt;=c_TMAP2IN,c_TMAP3IN&gt;c_TMAP2IN),G200,IF(AND(C200&gt;=c_TMAP1IN,c_TMAP2IN&gt;c_TMAP1IN),F200,E200))),D200)</f>
        <v>323</v>
      </c>
      <c r="J200" s="7" t="str">
        <f aca="false">IF(I200&lt;-1090,"TOO LOW",IF(I200&gt;1090,"TOO HIGH",""))</f>
        <v/>
      </c>
      <c r="K200" s="7" t="n">
        <f aca="false">IF(J200&lt;&gt;"",0,IF(I200&gt;979,1000,I200))</f>
        <v>323</v>
      </c>
      <c r="L200" s="7" t="n">
        <f aca="false">IF(OR(c_TSMOOTH=0,K200&gt;=c_TSMOOTHCUT),1,0)</f>
        <v>0</v>
      </c>
      <c r="M200" s="7" t="n">
        <f aca="false">IF(L200=1,0,M199+1)</f>
        <v>114</v>
      </c>
      <c r="N200" s="7" t="n">
        <f aca="false">IF(L200=1,0,MIN(M200,c_TSMOOTH))</f>
        <v>30</v>
      </c>
      <c r="O200" s="7" t="n">
        <f aca="false">IF(COUNTIF($L$5:L200,1)&gt;0,c_TSMOOTHCUT,0)</f>
        <v>400</v>
      </c>
      <c r="P200" s="15" t="n">
        <f aca="true">IF(L200=1,K200,QUOTIENT(SUM(OFFSET(K200,1-N200,0,N200,1))+(c_TSMOOTH-N200)*O200,c_TSMOOTH))</f>
        <v>317</v>
      </c>
      <c r="Q200" s="7" t="n">
        <f aca="false">K200/10</f>
        <v>32.3</v>
      </c>
      <c r="R200" s="7" t="n">
        <f aca="false">P200/10</f>
        <v>31.7</v>
      </c>
    </row>
    <row r="201" customFormat="false" ht="15" hidden="false" customHeight="false" outlineLevel="0" collapsed="false">
      <c r="A201" s="7" t="n">
        <v>196</v>
      </c>
      <c r="B201" s="7" t="n">
        <f aca="false">A201*0.04</f>
        <v>7.84</v>
      </c>
      <c r="C201" s="18" t="n">
        <v>450</v>
      </c>
      <c r="D201" s="7" t="n">
        <f aca="false">IF(AND(C201=0,c_TCREEP&gt;0),10*c_TCREEP,IF(AND(C201&lt;=c_TRNGMIN,C201&gt;=c_TRNGMAX,c_TRNGMIN-c_TRNGMAX&lt;&gt;0),-10*c_TMINRN+QUOTIENT((c_TMAXRN-c_TMINRN)*(100-QUOTIENT((C201-c_TRNGMAX)*100,c_TRNGMIN-c_TRNGMAX)),-10),0))</f>
        <v>0</v>
      </c>
      <c r="E201" s="7" t="n">
        <f aca="false">IF(((c_TMAP1IN)-(c_TFWD))=0,(0)+QUOTIENT(((c_TMAP1OUT)-(0)),2),QUOTIENT((((C201)-(c_TFWD))*((c_TMAP1OUT)-(0))+IF(((c_TMAP1OUT)-(0))&gt;=0,1,-1)*QUOTIENT(((c_TMAP1IN)-(c_TFWD)),2)),((c_TMAP1IN)-(c_TFWD)))+(0)+IF(((c_TMAP1OUT)-(0))&gt;=0,IF(IF(o_WRAP=1,MOD(((c_TMAP1IN)-(c_TFWD))*(((C201)-(c_TFWD))*((c_TMAP1OUT)-(0))+IF(((c_TMAP1OUT)-(0))&gt;=0,1,-1)*QUOTIENT(((c_TMAP1IN)-(c_TFWD)),2))+2147483648,4294967296)-2147483648,((c_TMAP1IN)-(c_TFWD))*(((C201)-(c_TFWD))*((c_TMAP1OUT)-(0))+IF(((c_TMAP1OUT)-(0))&gt;=0,1,-1)*QUOTIENT(((c_TMAP1IN)-(c_TFWD)),2)))&lt;0,-1,0),IF(IF(o_WRAP=1,MOD(((c_TMAP1IN)-(c_TFWD))*(((C201)-(c_TFWD))*((c_TMAP1OUT)-(0))+IF(((c_TMAP1OUT)-(0))&gt;=0,1,-1)*QUOTIENT(((c_TMAP1IN)-(c_TFWD)),2))+2147483648,4294967296)-2147483648,((c_TMAP1IN)-(c_TFWD))*(((C201)-(c_TFWD))*((c_TMAP1OUT)-(0))+IF(((c_TMAP1OUT)-(0))&gt;=0,1,-1)*QUOTIENT(((c_TMAP1IN)-(c_TFWD)),2)))&gt;=0,1,0)))</f>
        <v>342</v>
      </c>
      <c r="F201" s="7" t="n">
        <f aca="false">IF(((c_TMAP2IN)-(c_TMAP1IN))=0,(c_TMAP1OUT)+QUOTIENT(((c_TMAP2OUT)-(c_TMAP1OUT)),2),QUOTIENT((((C201)-(c_TMAP1IN))*((c_TMAP2OUT)-(c_TMAP1OUT))+IF(((c_TMAP2OUT)-(c_TMAP1OUT))&gt;=0,1,-1)*QUOTIENT(((c_TMAP2IN)-(c_TMAP1IN)),2)),((c_TMAP2IN)-(c_TMAP1IN)))+(c_TMAP1OUT)+IF(((c_TMAP2OUT)-(c_TMAP1OUT))&gt;=0,IF(IF(o_WRAP=1,MOD(((c_TMAP2IN)-(c_TMAP1IN))*(((C201)-(c_TMAP1IN))*((c_TMAP2OUT)-(c_TMAP1OUT))+IF(((c_TMAP2OUT)-(c_TMAP1OUT))&gt;=0,1,-1)*QUOTIENT(((c_TMAP2IN)-(c_TMAP1IN)),2))+2147483648,4294967296)-2147483648,((c_TMAP2IN)-(c_TMAP1IN))*(((C201)-(c_TMAP1IN))*((c_TMAP2OUT)-(c_TMAP1OUT))+IF(((c_TMAP2OUT)-(c_TMAP1OUT))&gt;=0,1,-1)*QUOTIENT(((c_TMAP2IN)-(c_TMAP1IN)),2)))&lt;0,-1,0),IF(IF(o_WRAP=1,MOD(((c_TMAP2IN)-(c_TMAP1IN))*(((C201)-(c_TMAP1IN))*((c_TMAP2OUT)-(c_TMAP1OUT))+IF(((c_TMAP2OUT)-(c_TMAP1OUT))&gt;=0,1,-1)*QUOTIENT(((c_TMAP2IN)-(c_TMAP1IN)),2))+2147483648,4294967296)-2147483648,((c_TMAP2IN)-(c_TMAP1IN))*(((C201)-(c_TMAP1IN))*((c_TMAP2OUT)-(c_TMAP1OUT))+IF(((c_TMAP2OUT)-(c_TMAP1OUT))&gt;=0,1,-1)*QUOTIENT(((c_TMAP2IN)-(c_TMAP1IN)),2)))&gt;=0,1,0)))</f>
        <v>210</v>
      </c>
      <c r="G201" s="7" t="n">
        <f aca="false">IF(((c_TMAP3IN)-(c_TMAP2IN))=0,(c_TMAP2OUT)+QUOTIENT(((c_TMAP3OUT)-(c_TMAP2OUT)),2),QUOTIENT((((C201)-(c_TMAP2IN))*((c_TMAP3OUT)-(c_TMAP2OUT))+IF(((c_TMAP3OUT)-(c_TMAP2OUT))&gt;=0,1,-1)*QUOTIENT(((c_TMAP3IN)-(c_TMAP2IN)),2)),((c_TMAP3IN)-(c_TMAP2IN)))+(c_TMAP2OUT)+IF(((c_TMAP3OUT)-(c_TMAP2OUT))&gt;=0,IF(IF(o_WRAP=1,MOD(((c_TMAP3IN)-(c_TMAP2IN))*(((C201)-(c_TMAP2IN))*((c_TMAP3OUT)-(c_TMAP2OUT))+IF(((c_TMAP3OUT)-(c_TMAP2OUT))&gt;=0,1,-1)*QUOTIENT(((c_TMAP3IN)-(c_TMAP2IN)),2))+2147483648,4294967296)-2147483648,((c_TMAP3IN)-(c_TMAP2IN))*(((C201)-(c_TMAP2IN))*((c_TMAP3OUT)-(c_TMAP2OUT))+IF(((c_TMAP3OUT)-(c_TMAP2OUT))&gt;=0,1,-1)*QUOTIENT(((c_TMAP3IN)-(c_TMAP2IN)),2)))&lt;0,-1,0),IF(IF(o_WRAP=1,MOD(((c_TMAP3IN)-(c_TMAP2IN))*(((C201)-(c_TMAP2IN))*((c_TMAP3OUT)-(c_TMAP2OUT))+IF(((c_TMAP3OUT)-(c_TMAP2OUT))&gt;=0,1,-1)*QUOTIENT(((c_TMAP3IN)-(c_TMAP2IN)),2))+2147483648,4294967296)-2147483648,((c_TMAP3IN)-(c_TMAP2IN))*(((C201)-(c_TMAP2IN))*((c_TMAP3OUT)-(c_TMAP2OUT))+IF(((c_TMAP3OUT)-(c_TMAP2OUT))&gt;=0,1,-1)*QUOTIENT(((c_TMAP3IN)-(c_TMAP2IN)),2)))&gt;=0,1,0)))</f>
        <v>270</v>
      </c>
      <c r="H201" s="7" t="n">
        <f aca="false">IF(((1000)-(c_TMAP3IN))=0,(c_TMAP3OUT)+QUOTIENT(((1000)-(c_TMAP3OUT)),2),QUOTIENT((((C201)-(c_TMAP3IN))*((1000)-(c_TMAP3OUT))+IF(((1000)-(c_TMAP3OUT))&gt;=0,1,-1)*QUOTIENT(((1000)-(c_TMAP3IN)),2)),((1000)-(c_TMAP3IN)))+(c_TMAP3OUT)+IF(((1000)-(c_TMAP3OUT))&gt;=0,IF(IF(o_WRAP=1,MOD(((1000)-(c_TMAP3IN))*(((C201)-(c_TMAP3IN))*((1000)-(c_TMAP3OUT))+IF(((1000)-(c_TMAP3OUT))&gt;=0,1,-1)*QUOTIENT(((1000)-(c_TMAP3IN)),2))+2147483648,4294967296)-2147483648,((1000)-(c_TMAP3IN))*(((C201)-(c_TMAP3IN))*((1000)-(c_TMAP3OUT))+IF(((1000)-(c_TMAP3OUT))&gt;=0,1,-1)*QUOTIENT(((1000)-(c_TMAP3IN)),2)))&lt;0,-1,0),IF(IF(o_WRAP=1,MOD(((1000)-(c_TMAP3IN))*(((C201)-(c_TMAP3IN))*((1000)-(c_TMAP3OUT))+IF(((1000)-(c_TMAP3OUT))&gt;=0,1,-1)*QUOTIENT(((1000)-(c_TMAP3IN)),2))+2147483648,4294967296)-2147483648,((1000)-(c_TMAP3IN))*(((C201)-(c_TMAP3IN))*((1000)-(c_TMAP3OUT))+IF(((1000)-(c_TMAP3OUT))&gt;=0,1,-1)*QUOTIENT(((1000)-(c_TMAP3IN)),2)))&gt;=0,1,0)))</f>
        <v>323</v>
      </c>
      <c r="I201" s="7" t="n">
        <f aca="false">IF(C201&gt;=c_TFWD,IF(AND(C201&gt;=c_TMAP3IN,c_TMAP3IN&lt;1000),H201,IF(AND(C201&gt;=c_TMAP2IN,c_TMAP3IN&gt;c_TMAP2IN),G201,IF(AND(C201&gt;=c_TMAP1IN,c_TMAP2IN&gt;c_TMAP1IN),F201,E201))),D201)</f>
        <v>323</v>
      </c>
      <c r="J201" s="7" t="str">
        <f aca="false">IF(I201&lt;-1090,"TOO LOW",IF(I201&gt;1090,"TOO HIGH",""))</f>
        <v/>
      </c>
      <c r="K201" s="7" t="n">
        <f aca="false">IF(J201&lt;&gt;"",0,IF(I201&gt;979,1000,I201))</f>
        <v>323</v>
      </c>
      <c r="L201" s="7" t="n">
        <f aca="false">IF(OR(c_TSMOOTH=0,K201&gt;=c_TSMOOTHCUT),1,0)</f>
        <v>0</v>
      </c>
      <c r="M201" s="7" t="n">
        <f aca="false">IF(L201=1,0,M200+1)</f>
        <v>115</v>
      </c>
      <c r="N201" s="7" t="n">
        <f aca="false">IF(L201=1,0,MIN(M201,c_TSMOOTH))</f>
        <v>30</v>
      </c>
      <c r="O201" s="7" t="n">
        <f aca="false">IF(COUNTIF($L$5:L201,1)&gt;0,c_TSMOOTHCUT,0)</f>
        <v>400</v>
      </c>
      <c r="P201" s="15" t="n">
        <f aca="true">IF(L201=1,K201,QUOTIENT(SUM(OFFSET(K201,1-N201,0,N201,1))+(c_TSMOOTH-N201)*O201,c_TSMOOTH))</f>
        <v>320</v>
      </c>
      <c r="Q201" s="7" t="n">
        <f aca="false">K201/10</f>
        <v>32.3</v>
      </c>
      <c r="R201" s="7" t="n">
        <f aca="false">P201/10</f>
        <v>32</v>
      </c>
    </row>
    <row r="202" customFormat="false" ht="15" hidden="false" customHeight="false" outlineLevel="0" collapsed="false">
      <c r="A202" s="7" t="n">
        <v>197</v>
      </c>
      <c r="B202" s="7" t="n">
        <f aca="false">A202*0.04</f>
        <v>7.88</v>
      </c>
      <c r="C202" s="18" t="n">
        <v>450</v>
      </c>
      <c r="D202" s="7" t="n">
        <f aca="false">IF(AND(C202=0,c_TCREEP&gt;0),10*c_TCREEP,IF(AND(C202&lt;=c_TRNGMIN,C202&gt;=c_TRNGMAX,c_TRNGMIN-c_TRNGMAX&lt;&gt;0),-10*c_TMINRN+QUOTIENT((c_TMAXRN-c_TMINRN)*(100-QUOTIENT((C202-c_TRNGMAX)*100,c_TRNGMIN-c_TRNGMAX)),-10),0))</f>
        <v>0</v>
      </c>
      <c r="E202" s="7" t="n">
        <f aca="false">IF(((c_TMAP1IN)-(c_TFWD))=0,(0)+QUOTIENT(((c_TMAP1OUT)-(0)),2),QUOTIENT((((C202)-(c_TFWD))*((c_TMAP1OUT)-(0))+IF(((c_TMAP1OUT)-(0))&gt;=0,1,-1)*QUOTIENT(((c_TMAP1IN)-(c_TFWD)),2)),((c_TMAP1IN)-(c_TFWD)))+(0)+IF(((c_TMAP1OUT)-(0))&gt;=0,IF(IF(o_WRAP=1,MOD(((c_TMAP1IN)-(c_TFWD))*(((C202)-(c_TFWD))*((c_TMAP1OUT)-(0))+IF(((c_TMAP1OUT)-(0))&gt;=0,1,-1)*QUOTIENT(((c_TMAP1IN)-(c_TFWD)),2))+2147483648,4294967296)-2147483648,((c_TMAP1IN)-(c_TFWD))*(((C202)-(c_TFWD))*((c_TMAP1OUT)-(0))+IF(((c_TMAP1OUT)-(0))&gt;=0,1,-1)*QUOTIENT(((c_TMAP1IN)-(c_TFWD)),2)))&lt;0,-1,0),IF(IF(o_WRAP=1,MOD(((c_TMAP1IN)-(c_TFWD))*(((C202)-(c_TFWD))*((c_TMAP1OUT)-(0))+IF(((c_TMAP1OUT)-(0))&gt;=0,1,-1)*QUOTIENT(((c_TMAP1IN)-(c_TFWD)),2))+2147483648,4294967296)-2147483648,((c_TMAP1IN)-(c_TFWD))*(((C202)-(c_TFWD))*((c_TMAP1OUT)-(0))+IF(((c_TMAP1OUT)-(0))&gt;=0,1,-1)*QUOTIENT(((c_TMAP1IN)-(c_TFWD)),2)))&gt;=0,1,0)))</f>
        <v>342</v>
      </c>
      <c r="F202" s="7" t="n">
        <f aca="false">IF(((c_TMAP2IN)-(c_TMAP1IN))=0,(c_TMAP1OUT)+QUOTIENT(((c_TMAP2OUT)-(c_TMAP1OUT)),2),QUOTIENT((((C202)-(c_TMAP1IN))*((c_TMAP2OUT)-(c_TMAP1OUT))+IF(((c_TMAP2OUT)-(c_TMAP1OUT))&gt;=0,1,-1)*QUOTIENT(((c_TMAP2IN)-(c_TMAP1IN)),2)),((c_TMAP2IN)-(c_TMAP1IN)))+(c_TMAP1OUT)+IF(((c_TMAP2OUT)-(c_TMAP1OUT))&gt;=0,IF(IF(o_WRAP=1,MOD(((c_TMAP2IN)-(c_TMAP1IN))*(((C202)-(c_TMAP1IN))*((c_TMAP2OUT)-(c_TMAP1OUT))+IF(((c_TMAP2OUT)-(c_TMAP1OUT))&gt;=0,1,-1)*QUOTIENT(((c_TMAP2IN)-(c_TMAP1IN)),2))+2147483648,4294967296)-2147483648,((c_TMAP2IN)-(c_TMAP1IN))*(((C202)-(c_TMAP1IN))*((c_TMAP2OUT)-(c_TMAP1OUT))+IF(((c_TMAP2OUT)-(c_TMAP1OUT))&gt;=0,1,-1)*QUOTIENT(((c_TMAP2IN)-(c_TMAP1IN)),2)))&lt;0,-1,0),IF(IF(o_WRAP=1,MOD(((c_TMAP2IN)-(c_TMAP1IN))*(((C202)-(c_TMAP1IN))*((c_TMAP2OUT)-(c_TMAP1OUT))+IF(((c_TMAP2OUT)-(c_TMAP1OUT))&gt;=0,1,-1)*QUOTIENT(((c_TMAP2IN)-(c_TMAP1IN)),2))+2147483648,4294967296)-2147483648,((c_TMAP2IN)-(c_TMAP1IN))*(((C202)-(c_TMAP1IN))*((c_TMAP2OUT)-(c_TMAP1OUT))+IF(((c_TMAP2OUT)-(c_TMAP1OUT))&gt;=0,1,-1)*QUOTIENT(((c_TMAP2IN)-(c_TMAP1IN)),2)))&gt;=0,1,0)))</f>
        <v>210</v>
      </c>
      <c r="G202" s="7" t="n">
        <f aca="false">IF(((c_TMAP3IN)-(c_TMAP2IN))=0,(c_TMAP2OUT)+QUOTIENT(((c_TMAP3OUT)-(c_TMAP2OUT)),2),QUOTIENT((((C202)-(c_TMAP2IN))*((c_TMAP3OUT)-(c_TMAP2OUT))+IF(((c_TMAP3OUT)-(c_TMAP2OUT))&gt;=0,1,-1)*QUOTIENT(((c_TMAP3IN)-(c_TMAP2IN)),2)),((c_TMAP3IN)-(c_TMAP2IN)))+(c_TMAP2OUT)+IF(((c_TMAP3OUT)-(c_TMAP2OUT))&gt;=0,IF(IF(o_WRAP=1,MOD(((c_TMAP3IN)-(c_TMAP2IN))*(((C202)-(c_TMAP2IN))*((c_TMAP3OUT)-(c_TMAP2OUT))+IF(((c_TMAP3OUT)-(c_TMAP2OUT))&gt;=0,1,-1)*QUOTIENT(((c_TMAP3IN)-(c_TMAP2IN)),2))+2147483648,4294967296)-2147483648,((c_TMAP3IN)-(c_TMAP2IN))*(((C202)-(c_TMAP2IN))*((c_TMAP3OUT)-(c_TMAP2OUT))+IF(((c_TMAP3OUT)-(c_TMAP2OUT))&gt;=0,1,-1)*QUOTIENT(((c_TMAP3IN)-(c_TMAP2IN)),2)))&lt;0,-1,0),IF(IF(o_WRAP=1,MOD(((c_TMAP3IN)-(c_TMAP2IN))*(((C202)-(c_TMAP2IN))*((c_TMAP3OUT)-(c_TMAP2OUT))+IF(((c_TMAP3OUT)-(c_TMAP2OUT))&gt;=0,1,-1)*QUOTIENT(((c_TMAP3IN)-(c_TMAP2IN)),2))+2147483648,4294967296)-2147483648,((c_TMAP3IN)-(c_TMAP2IN))*(((C202)-(c_TMAP2IN))*((c_TMAP3OUT)-(c_TMAP2OUT))+IF(((c_TMAP3OUT)-(c_TMAP2OUT))&gt;=0,1,-1)*QUOTIENT(((c_TMAP3IN)-(c_TMAP2IN)),2)))&gt;=0,1,0)))</f>
        <v>270</v>
      </c>
      <c r="H202" s="7" t="n">
        <f aca="false">IF(((1000)-(c_TMAP3IN))=0,(c_TMAP3OUT)+QUOTIENT(((1000)-(c_TMAP3OUT)),2),QUOTIENT((((C202)-(c_TMAP3IN))*((1000)-(c_TMAP3OUT))+IF(((1000)-(c_TMAP3OUT))&gt;=0,1,-1)*QUOTIENT(((1000)-(c_TMAP3IN)),2)),((1000)-(c_TMAP3IN)))+(c_TMAP3OUT)+IF(((1000)-(c_TMAP3OUT))&gt;=0,IF(IF(o_WRAP=1,MOD(((1000)-(c_TMAP3IN))*(((C202)-(c_TMAP3IN))*((1000)-(c_TMAP3OUT))+IF(((1000)-(c_TMAP3OUT))&gt;=0,1,-1)*QUOTIENT(((1000)-(c_TMAP3IN)),2))+2147483648,4294967296)-2147483648,((1000)-(c_TMAP3IN))*(((C202)-(c_TMAP3IN))*((1000)-(c_TMAP3OUT))+IF(((1000)-(c_TMAP3OUT))&gt;=0,1,-1)*QUOTIENT(((1000)-(c_TMAP3IN)),2)))&lt;0,-1,0),IF(IF(o_WRAP=1,MOD(((1000)-(c_TMAP3IN))*(((C202)-(c_TMAP3IN))*((1000)-(c_TMAP3OUT))+IF(((1000)-(c_TMAP3OUT))&gt;=0,1,-1)*QUOTIENT(((1000)-(c_TMAP3IN)),2))+2147483648,4294967296)-2147483648,((1000)-(c_TMAP3IN))*(((C202)-(c_TMAP3IN))*((1000)-(c_TMAP3OUT))+IF(((1000)-(c_TMAP3OUT))&gt;=0,1,-1)*QUOTIENT(((1000)-(c_TMAP3IN)),2)))&gt;=0,1,0)))</f>
        <v>323</v>
      </c>
      <c r="I202" s="7" t="n">
        <f aca="false">IF(C202&gt;=c_TFWD,IF(AND(C202&gt;=c_TMAP3IN,c_TMAP3IN&lt;1000),H202,IF(AND(C202&gt;=c_TMAP2IN,c_TMAP3IN&gt;c_TMAP2IN),G202,IF(AND(C202&gt;=c_TMAP1IN,c_TMAP2IN&gt;c_TMAP1IN),F202,E202))),D202)</f>
        <v>323</v>
      </c>
      <c r="J202" s="7" t="str">
        <f aca="false">IF(I202&lt;-1090,"TOO LOW",IF(I202&gt;1090,"TOO HIGH",""))</f>
        <v/>
      </c>
      <c r="K202" s="7" t="n">
        <f aca="false">IF(J202&lt;&gt;"",0,IF(I202&gt;979,1000,I202))</f>
        <v>323</v>
      </c>
      <c r="L202" s="7" t="n">
        <f aca="false">IF(OR(c_TSMOOTH=0,K202&gt;=c_TSMOOTHCUT),1,0)</f>
        <v>0</v>
      </c>
      <c r="M202" s="7" t="n">
        <f aca="false">IF(L202=1,0,M201+1)</f>
        <v>116</v>
      </c>
      <c r="N202" s="7" t="n">
        <f aca="false">IF(L202=1,0,MIN(M202,c_TSMOOTH))</f>
        <v>30</v>
      </c>
      <c r="O202" s="7" t="n">
        <f aca="false">IF(COUNTIF($L$5:L202,1)&gt;0,c_TSMOOTHCUT,0)</f>
        <v>400</v>
      </c>
      <c r="P202" s="15" t="n">
        <f aca="true">IF(L202=1,K202,QUOTIENT(SUM(OFFSET(K202,1-N202,0,N202,1))+(c_TSMOOTH-N202)*O202,c_TSMOOTH))</f>
        <v>322</v>
      </c>
      <c r="Q202" s="7" t="n">
        <f aca="false">K202/10</f>
        <v>32.3</v>
      </c>
      <c r="R202" s="7" t="n">
        <f aca="false">P202/10</f>
        <v>32.2</v>
      </c>
    </row>
    <row r="203" customFormat="false" ht="15" hidden="false" customHeight="false" outlineLevel="0" collapsed="false">
      <c r="A203" s="7" t="n">
        <v>198</v>
      </c>
      <c r="B203" s="7" t="n">
        <f aca="false">A203*0.04</f>
        <v>7.92</v>
      </c>
      <c r="C203" s="18" t="n">
        <v>450</v>
      </c>
      <c r="D203" s="7" t="n">
        <f aca="false">IF(AND(C203=0,c_TCREEP&gt;0),10*c_TCREEP,IF(AND(C203&lt;=c_TRNGMIN,C203&gt;=c_TRNGMAX,c_TRNGMIN-c_TRNGMAX&lt;&gt;0),-10*c_TMINRN+QUOTIENT((c_TMAXRN-c_TMINRN)*(100-QUOTIENT((C203-c_TRNGMAX)*100,c_TRNGMIN-c_TRNGMAX)),-10),0))</f>
        <v>0</v>
      </c>
      <c r="E203" s="7" t="n">
        <f aca="false">IF(((c_TMAP1IN)-(c_TFWD))=0,(0)+QUOTIENT(((c_TMAP1OUT)-(0)),2),QUOTIENT((((C203)-(c_TFWD))*((c_TMAP1OUT)-(0))+IF(((c_TMAP1OUT)-(0))&gt;=0,1,-1)*QUOTIENT(((c_TMAP1IN)-(c_TFWD)),2)),((c_TMAP1IN)-(c_TFWD)))+(0)+IF(((c_TMAP1OUT)-(0))&gt;=0,IF(IF(o_WRAP=1,MOD(((c_TMAP1IN)-(c_TFWD))*(((C203)-(c_TFWD))*((c_TMAP1OUT)-(0))+IF(((c_TMAP1OUT)-(0))&gt;=0,1,-1)*QUOTIENT(((c_TMAP1IN)-(c_TFWD)),2))+2147483648,4294967296)-2147483648,((c_TMAP1IN)-(c_TFWD))*(((C203)-(c_TFWD))*((c_TMAP1OUT)-(0))+IF(((c_TMAP1OUT)-(0))&gt;=0,1,-1)*QUOTIENT(((c_TMAP1IN)-(c_TFWD)),2)))&lt;0,-1,0),IF(IF(o_WRAP=1,MOD(((c_TMAP1IN)-(c_TFWD))*(((C203)-(c_TFWD))*((c_TMAP1OUT)-(0))+IF(((c_TMAP1OUT)-(0))&gt;=0,1,-1)*QUOTIENT(((c_TMAP1IN)-(c_TFWD)),2))+2147483648,4294967296)-2147483648,((c_TMAP1IN)-(c_TFWD))*(((C203)-(c_TFWD))*((c_TMAP1OUT)-(0))+IF(((c_TMAP1OUT)-(0))&gt;=0,1,-1)*QUOTIENT(((c_TMAP1IN)-(c_TFWD)),2)))&gt;=0,1,0)))</f>
        <v>342</v>
      </c>
      <c r="F203" s="7" t="n">
        <f aca="false">IF(((c_TMAP2IN)-(c_TMAP1IN))=0,(c_TMAP1OUT)+QUOTIENT(((c_TMAP2OUT)-(c_TMAP1OUT)),2),QUOTIENT((((C203)-(c_TMAP1IN))*((c_TMAP2OUT)-(c_TMAP1OUT))+IF(((c_TMAP2OUT)-(c_TMAP1OUT))&gt;=0,1,-1)*QUOTIENT(((c_TMAP2IN)-(c_TMAP1IN)),2)),((c_TMAP2IN)-(c_TMAP1IN)))+(c_TMAP1OUT)+IF(((c_TMAP2OUT)-(c_TMAP1OUT))&gt;=0,IF(IF(o_WRAP=1,MOD(((c_TMAP2IN)-(c_TMAP1IN))*(((C203)-(c_TMAP1IN))*((c_TMAP2OUT)-(c_TMAP1OUT))+IF(((c_TMAP2OUT)-(c_TMAP1OUT))&gt;=0,1,-1)*QUOTIENT(((c_TMAP2IN)-(c_TMAP1IN)),2))+2147483648,4294967296)-2147483648,((c_TMAP2IN)-(c_TMAP1IN))*(((C203)-(c_TMAP1IN))*((c_TMAP2OUT)-(c_TMAP1OUT))+IF(((c_TMAP2OUT)-(c_TMAP1OUT))&gt;=0,1,-1)*QUOTIENT(((c_TMAP2IN)-(c_TMAP1IN)),2)))&lt;0,-1,0),IF(IF(o_WRAP=1,MOD(((c_TMAP2IN)-(c_TMAP1IN))*(((C203)-(c_TMAP1IN))*((c_TMAP2OUT)-(c_TMAP1OUT))+IF(((c_TMAP2OUT)-(c_TMAP1OUT))&gt;=0,1,-1)*QUOTIENT(((c_TMAP2IN)-(c_TMAP1IN)),2))+2147483648,4294967296)-2147483648,((c_TMAP2IN)-(c_TMAP1IN))*(((C203)-(c_TMAP1IN))*((c_TMAP2OUT)-(c_TMAP1OUT))+IF(((c_TMAP2OUT)-(c_TMAP1OUT))&gt;=0,1,-1)*QUOTIENT(((c_TMAP2IN)-(c_TMAP1IN)),2)))&gt;=0,1,0)))</f>
        <v>210</v>
      </c>
      <c r="G203" s="7" t="n">
        <f aca="false">IF(((c_TMAP3IN)-(c_TMAP2IN))=0,(c_TMAP2OUT)+QUOTIENT(((c_TMAP3OUT)-(c_TMAP2OUT)),2),QUOTIENT((((C203)-(c_TMAP2IN))*((c_TMAP3OUT)-(c_TMAP2OUT))+IF(((c_TMAP3OUT)-(c_TMAP2OUT))&gt;=0,1,-1)*QUOTIENT(((c_TMAP3IN)-(c_TMAP2IN)),2)),((c_TMAP3IN)-(c_TMAP2IN)))+(c_TMAP2OUT)+IF(((c_TMAP3OUT)-(c_TMAP2OUT))&gt;=0,IF(IF(o_WRAP=1,MOD(((c_TMAP3IN)-(c_TMAP2IN))*(((C203)-(c_TMAP2IN))*((c_TMAP3OUT)-(c_TMAP2OUT))+IF(((c_TMAP3OUT)-(c_TMAP2OUT))&gt;=0,1,-1)*QUOTIENT(((c_TMAP3IN)-(c_TMAP2IN)),2))+2147483648,4294967296)-2147483648,((c_TMAP3IN)-(c_TMAP2IN))*(((C203)-(c_TMAP2IN))*((c_TMAP3OUT)-(c_TMAP2OUT))+IF(((c_TMAP3OUT)-(c_TMAP2OUT))&gt;=0,1,-1)*QUOTIENT(((c_TMAP3IN)-(c_TMAP2IN)),2)))&lt;0,-1,0),IF(IF(o_WRAP=1,MOD(((c_TMAP3IN)-(c_TMAP2IN))*(((C203)-(c_TMAP2IN))*((c_TMAP3OUT)-(c_TMAP2OUT))+IF(((c_TMAP3OUT)-(c_TMAP2OUT))&gt;=0,1,-1)*QUOTIENT(((c_TMAP3IN)-(c_TMAP2IN)),2))+2147483648,4294967296)-2147483648,((c_TMAP3IN)-(c_TMAP2IN))*(((C203)-(c_TMAP2IN))*((c_TMAP3OUT)-(c_TMAP2OUT))+IF(((c_TMAP3OUT)-(c_TMAP2OUT))&gt;=0,1,-1)*QUOTIENT(((c_TMAP3IN)-(c_TMAP2IN)),2)))&gt;=0,1,0)))</f>
        <v>270</v>
      </c>
      <c r="H203" s="7" t="n">
        <f aca="false">IF(((1000)-(c_TMAP3IN))=0,(c_TMAP3OUT)+QUOTIENT(((1000)-(c_TMAP3OUT)),2),QUOTIENT((((C203)-(c_TMAP3IN))*((1000)-(c_TMAP3OUT))+IF(((1000)-(c_TMAP3OUT))&gt;=0,1,-1)*QUOTIENT(((1000)-(c_TMAP3IN)),2)),((1000)-(c_TMAP3IN)))+(c_TMAP3OUT)+IF(((1000)-(c_TMAP3OUT))&gt;=0,IF(IF(o_WRAP=1,MOD(((1000)-(c_TMAP3IN))*(((C203)-(c_TMAP3IN))*((1000)-(c_TMAP3OUT))+IF(((1000)-(c_TMAP3OUT))&gt;=0,1,-1)*QUOTIENT(((1000)-(c_TMAP3IN)),2))+2147483648,4294967296)-2147483648,((1000)-(c_TMAP3IN))*(((C203)-(c_TMAP3IN))*((1000)-(c_TMAP3OUT))+IF(((1000)-(c_TMAP3OUT))&gt;=0,1,-1)*QUOTIENT(((1000)-(c_TMAP3IN)),2)))&lt;0,-1,0),IF(IF(o_WRAP=1,MOD(((1000)-(c_TMAP3IN))*(((C203)-(c_TMAP3IN))*((1000)-(c_TMAP3OUT))+IF(((1000)-(c_TMAP3OUT))&gt;=0,1,-1)*QUOTIENT(((1000)-(c_TMAP3IN)),2))+2147483648,4294967296)-2147483648,((1000)-(c_TMAP3IN))*(((C203)-(c_TMAP3IN))*((1000)-(c_TMAP3OUT))+IF(((1000)-(c_TMAP3OUT))&gt;=0,1,-1)*QUOTIENT(((1000)-(c_TMAP3IN)),2)))&gt;=0,1,0)))</f>
        <v>323</v>
      </c>
      <c r="I203" s="7" t="n">
        <f aca="false">IF(C203&gt;=c_TFWD,IF(AND(C203&gt;=c_TMAP3IN,c_TMAP3IN&lt;1000),H203,IF(AND(C203&gt;=c_TMAP2IN,c_TMAP3IN&gt;c_TMAP2IN),G203,IF(AND(C203&gt;=c_TMAP1IN,c_TMAP2IN&gt;c_TMAP1IN),F203,E203))),D203)</f>
        <v>323</v>
      </c>
      <c r="J203" s="7" t="str">
        <f aca="false">IF(I203&lt;-1090,"TOO LOW",IF(I203&gt;1090,"TOO HIGH",""))</f>
        <v/>
      </c>
      <c r="K203" s="7" t="n">
        <f aca="false">IF(J203&lt;&gt;"",0,IF(I203&gt;979,1000,I203))</f>
        <v>323</v>
      </c>
      <c r="L203" s="7" t="n">
        <f aca="false">IF(OR(c_TSMOOTH=0,K203&gt;=c_TSMOOTHCUT),1,0)</f>
        <v>0</v>
      </c>
      <c r="M203" s="7" t="n">
        <f aca="false">IF(L203=1,0,M202+1)</f>
        <v>117</v>
      </c>
      <c r="N203" s="7" t="n">
        <f aca="false">IF(L203=1,0,MIN(M203,c_TSMOOTH))</f>
        <v>30</v>
      </c>
      <c r="O203" s="7" t="n">
        <f aca="false">IF(COUNTIF($L$5:L203,1)&gt;0,c_TSMOOTHCUT,0)</f>
        <v>400</v>
      </c>
      <c r="P203" s="15" t="n">
        <f aca="true">IF(L203=1,K203,QUOTIENT(SUM(OFFSET(K203,1-N203,0,N203,1))+(c_TSMOOTH-N203)*O203,c_TSMOOTH))</f>
        <v>323</v>
      </c>
      <c r="Q203" s="7" t="n">
        <f aca="false">K203/10</f>
        <v>32.3</v>
      </c>
      <c r="R203" s="7" t="n">
        <f aca="false">P203/10</f>
        <v>32.3</v>
      </c>
    </row>
    <row r="204" customFormat="false" ht="15" hidden="false" customHeight="false" outlineLevel="0" collapsed="false">
      <c r="A204" s="7" t="n">
        <v>199</v>
      </c>
      <c r="B204" s="7" t="n">
        <f aca="false">A204*0.04</f>
        <v>7.96</v>
      </c>
      <c r="C204" s="18" t="n">
        <v>450</v>
      </c>
      <c r="D204" s="7" t="n">
        <f aca="false">IF(AND(C204=0,c_TCREEP&gt;0),10*c_TCREEP,IF(AND(C204&lt;=c_TRNGMIN,C204&gt;=c_TRNGMAX,c_TRNGMIN-c_TRNGMAX&lt;&gt;0),-10*c_TMINRN+QUOTIENT((c_TMAXRN-c_TMINRN)*(100-QUOTIENT((C204-c_TRNGMAX)*100,c_TRNGMIN-c_TRNGMAX)),-10),0))</f>
        <v>0</v>
      </c>
      <c r="E204" s="7" t="n">
        <f aca="false">IF(((c_TMAP1IN)-(c_TFWD))=0,(0)+QUOTIENT(((c_TMAP1OUT)-(0)),2),QUOTIENT((((C204)-(c_TFWD))*((c_TMAP1OUT)-(0))+IF(((c_TMAP1OUT)-(0))&gt;=0,1,-1)*QUOTIENT(((c_TMAP1IN)-(c_TFWD)),2)),((c_TMAP1IN)-(c_TFWD)))+(0)+IF(((c_TMAP1OUT)-(0))&gt;=0,IF(IF(o_WRAP=1,MOD(((c_TMAP1IN)-(c_TFWD))*(((C204)-(c_TFWD))*((c_TMAP1OUT)-(0))+IF(((c_TMAP1OUT)-(0))&gt;=0,1,-1)*QUOTIENT(((c_TMAP1IN)-(c_TFWD)),2))+2147483648,4294967296)-2147483648,((c_TMAP1IN)-(c_TFWD))*(((C204)-(c_TFWD))*((c_TMAP1OUT)-(0))+IF(((c_TMAP1OUT)-(0))&gt;=0,1,-1)*QUOTIENT(((c_TMAP1IN)-(c_TFWD)),2)))&lt;0,-1,0),IF(IF(o_WRAP=1,MOD(((c_TMAP1IN)-(c_TFWD))*(((C204)-(c_TFWD))*((c_TMAP1OUT)-(0))+IF(((c_TMAP1OUT)-(0))&gt;=0,1,-1)*QUOTIENT(((c_TMAP1IN)-(c_TFWD)),2))+2147483648,4294967296)-2147483648,((c_TMAP1IN)-(c_TFWD))*(((C204)-(c_TFWD))*((c_TMAP1OUT)-(0))+IF(((c_TMAP1OUT)-(0))&gt;=0,1,-1)*QUOTIENT(((c_TMAP1IN)-(c_TFWD)),2)))&gt;=0,1,0)))</f>
        <v>342</v>
      </c>
      <c r="F204" s="7" t="n">
        <f aca="false">IF(((c_TMAP2IN)-(c_TMAP1IN))=0,(c_TMAP1OUT)+QUOTIENT(((c_TMAP2OUT)-(c_TMAP1OUT)),2),QUOTIENT((((C204)-(c_TMAP1IN))*((c_TMAP2OUT)-(c_TMAP1OUT))+IF(((c_TMAP2OUT)-(c_TMAP1OUT))&gt;=0,1,-1)*QUOTIENT(((c_TMAP2IN)-(c_TMAP1IN)),2)),((c_TMAP2IN)-(c_TMAP1IN)))+(c_TMAP1OUT)+IF(((c_TMAP2OUT)-(c_TMAP1OUT))&gt;=0,IF(IF(o_WRAP=1,MOD(((c_TMAP2IN)-(c_TMAP1IN))*(((C204)-(c_TMAP1IN))*((c_TMAP2OUT)-(c_TMAP1OUT))+IF(((c_TMAP2OUT)-(c_TMAP1OUT))&gt;=0,1,-1)*QUOTIENT(((c_TMAP2IN)-(c_TMAP1IN)),2))+2147483648,4294967296)-2147483648,((c_TMAP2IN)-(c_TMAP1IN))*(((C204)-(c_TMAP1IN))*((c_TMAP2OUT)-(c_TMAP1OUT))+IF(((c_TMAP2OUT)-(c_TMAP1OUT))&gt;=0,1,-1)*QUOTIENT(((c_TMAP2IN)-(c_TMAP1IN)),2)))&lt;0,-1,0),IF(IF(o_WRAP=1,MOD(((c_TMAP2IN)-(c_TMAP1IN))*(((C204)-(c_TMAP1IN))*((c_TMAP2OUT)-(c_TMAP1OUT))+IF(((c_TMAP2OUT)-(c_TMAP1OUT))&gt;=0,1,-1)*QUOTIENT(((c_TMAP2IN)-(c_TMAP1IN)),2))+2147483648,4294967296)-2147483648,((c_TMAP2IN)-(c_TMAP1IN))*(((C204)-(c_TMAP1IN))*((c_TMAP2OUT)-(c_TMAP1OUT))+IF(((c_TMAP2OUT)-(c_TMAP1OUT))&gt;=0,1,-1)*QUOTIENT(((c_TMAP2IN)-(c_TMAP1IN)),2)))&gt;=0,1,0)))</f>
        <v>210</v>
      </c>
      <c r="G204" s="7" t="n">
        <f aca="false">IF(((c_TMAP3IN)-(c_TMAP2IN))=0,(c_TMAP2OUT)+QUOTIENT(((c_TMAP3OUT)-(c_TMAP2OUT)),2),QUOTIENT((((C204)-(c_TMAP2IN))*((c_TMAP3OUT)-(c_TMAP2OUT))+IF(((c_TMAP3OUT)-(c_TMAP2OUT))&gt;=0,1,-1)*QUOTIENT(((c_TMAP3IN)-(c_TMAP2IN)),2)),((c_TMAP3IN)-(c_TMAP2IN)))+(c_TMAP2OUT)+IF(((c_TMAP3OUT)-(c_TMAP2OUT))&gt;=0,IF(IF(o_WRAP=1,MOD(((c_TMAP3IN)-(c_TMAP2IN))*(((C204)-(c_TMAP2IN))*((c_TMAP3OUT)-(c_TMAP2OUT))+IF(((c_TMAP3OUT)-(c_TMAP2OUT))&gt;=0,1,-1)*QUOTIENT(((c_TMAP3IN)-(c_TMAP2IN)),2))+2147483648,4294967296)-2147483648,((c_TMAP3IN)-(c_TMAP2IN))*(((C204)-(c_TMAP2IN))*((c_TMAP3OUT)-(c_TMAP2OUT))+IF(((c_TMAP3OUT)-(c_TMAP2OUT))&gt;=0,1,-1)*QUOTIENT(((c_TMAP3IN)-(c_TMAP2IN)),2)))&lt;0,-1,0),IF(IF(o_WRAP=1,MOD(((c_TMAP3IN)-(c_TMAP2IN))*(((C204)-(c_TMAP2IN))*((c_TMAP3OUT)-(c_TMAP2OUT))+IF(((c_TMAP3OUT)-(c_TMAP2OUT))&gt;=0,1,-1)*QUOTIENT(((c_TMAP3IN)-(c_TMAP2IN)),2))+2147483648,4294967296)-2147483648,((c_TMAP3IN)-(c_TMAP2IN))*(((C204)-(c_TMAP2IN))*((c_TMAP3OUT)-(c_TMAP2OUT))+IF(((c_TMAP3OUT)-(c_TMAP2OUT))&gt;=0,1,-1)*QUOTIENT(((c_TMAP3IN)-(c_TMAP2IN)),2)))&gt;=0,1,0)))</f>
        <v>270</v>
      </c>
      <c r="H204" s="7" t="n">
        <f aca="false">IF(((1000)-(c_TMAP3IN))=0,(c_TMAP3OUT)+QUOTIENT(((1000)-(c_TMAP3OUT)),2),QUOTIENT((((C204)-(c_TMAP3IN))*((1000)-(c_TMAP3OUT))+IF(((1000)-(c_TMAP3OUT))&gt;=0,1,-1)*QUOTIENT(((1000)-(c_TMAP3IN)),2)),((1000)-(c_TMAP3IN)))+(c_TMAP3OUT)+IF(((1000)-(c_TMAP3OUT))&gt;=0,IF(IF(o_WRAP=1,MOD(((1000)-(c_TMAP3IN))*(((C204)-(c_TMAP3IN))*((1000)-(c_TMAP3OUT))+IF(((1000)-(c_TMAP3OUT))&gt;=0,1,-1)*QUOTIENT(((1000)-(c_TMAP3IN)),2))+2147483648,4294967296)-2147483648,((1000)-(c_TMAP3IN))*(((C204)-(c_TMAP3IN))*((1000)-(c_TMAP3OUT))+IF(((1000)-(c_TMAP3OUT))&gt;=0,1,-1)*QUOTIENT(((1000)-(c_TMAP3IN)),2)))&lt;0,-1,0),IF(IF(o_WRAP=1,MOD(((1000)-(c_TMAP3IN))*(((C204)-(c_TMAP3IN))*((1000)-(c_TMAP3OUT))+IF(((1000)-(c_TMAP3OUT))&gt;=0,1,-1)*QUOTIENT(((1000)-(c_TMAP3IN)),2))+2147483648,4294967296)-2147483648,((1000)-(c_TMAP3IN))*(((C204)-(c_TMAP3IN))*((1000)-(c_TMAP3OUT))+IF(((1000)-(c_TMAP3OUT))&gt;=0,1,-1)*QUOTIENT(((1000)-(c_TMAP3IN)),2)))&gt;=0,1,0)))</f>
        <v>323</v>
      </c>
      <c r="I204" s="7" t="n">
        <f aca="false">IF(C204&gt;=c_TFWD,IF(AND(C204&gt;=c_TMAP3IN,c_TMAP3IN&lt;1000),H204,IF(AND(C204&gt;=c_TMAP2IN,c_TMAP3IN&gt;c_TMAP2IN),G204,IF(AND(C204&gt;=c_TMAP1IN,c_TMAP2IN&gt;c_TMAP1IN),F204,E204))),D204)</f>
        <v>323</v>
      </c>
      <c r="J204" s="7" t="str">
        <f aca="false">IF(I204&lt;-1090,"TOO LOW",IF(I204&gt;1090,"TOO HIGH",""))</f>
        <v/>
      </c>
      <c r="K204" s="7" t="n">
        <f aca="false">IF(J204&lt;&gt;"",0,IF(I204&gt;979,1000,I204))</f>
        <v>323</v>
      </c>
      <c r="L204" s="7" t="n">
        <f aca="false">IF(OR(c_TSMOOTH=0,K204&gt;=c_TSMOOTHCUT),1,0)</f>
        <v>0</v>
      </c>
      <c r="M204" s="7" t="n">
        <f aca="false">IF(L204=1,0,M203+1)</f>
        <v>118</v>
      </c>
      <c r="N204" s="7" t="n">
        <f aca="false">IF(L204=1,0,MIN(M204,c_TSMOOTH))</f>
        <v>30</v>
      </c>
      <c r="O204" s="7" t="n">
        <f aca="false">IF(COUNTIF($L$5:L204,1)&gt;0,c_TSMOOTHCUT,0)</f>
        <v>400</v>
      </c>
      <c r="P204" s="15" t="n">
        <f aca="true">IF(L204=1,K204,QUOTIENT(SUM(OFFSET(K204,1-N204,0,N204,1))+(c_TSMOOTH-N204)*O204,c_TSMOOTH))</f>
        <v>323</v>
      </c>
      <c r="Q204" s="7" t="n">
        <f aca="false">K204/10</f>
        <v>32.3</v>
      </c>
      <c r="R204" s="7" t="n">
        <f aca="false">P204/10</f>
        <v>32.3</v>
      </c>
    </row>
    <row r="205" customFormat="false" ht="15" hidden="false" customHeight="false" outlineLevel="0" collapsed="false">
      <c r="A205" s="7" t="n">
        <v>200</v>
      </c>
      <c r="B205" s="7" t="n">
        <f aca="false">A205*0.04</f>
        <v>8</v>
      </c>
      <c r="C205" s="18" t="n">
        <v>450</v>
      </c>
      <c r="D205" s="7" t="n">
        <f aca="false">IF(AND(C205=0,c_TCREEP&gt;0),10*c_TCREEP,IF(AND(C205&lt;=c_TRNGMIN,C205&gt;=c_TRNGMAX,c_TRNGMIN-c_TRNGMAX&lt;&gt;0),-10*c_TMINRN+QUOTIENT((c_TMAXRN-c_TMINRN)*(100-QUOTIENT((C205-c_TRNGMAX)*100,c_TRNGMIN-c_TRNGMAX)),-10),0))</f>
        <v>0</v>
      </c>
      <c r="E205" s="7" t="n">
        <f aca="false">IF(((c_TMAP1IN)-(c_TFWD))=0,(0)+QUOTIENT(((c_TMAP1OUT)-(0)),2),QUOTIENT((((C205)-(c_TFWD))*((c_TMAP1OUT)-(0))+IF(((c_TMAP1OUT)-(0))&gt;=0,1,-1)*QUOTIENT(((c_TMAP1IN)-(c_TFWD)),2)),((c_TMAP1IN)-(c_TFWD)))+(0)+IF(((c_TMAP1OUT)-(0))&gt;=0,IF(IF(o_WRAP=1,MOD(((c_TMAP1IN)-(c_TFWD))*(((C205)-(c_TFWD))*((c_TMAP1OUT)-(0))+IF(((c_TMAP1OUT)-(0))&gt;=0,1,-1)*QUOTIENT(((c_TMAP1IN)-(c_TFWD)),2))+2147483648,4294967296)-2147483648,((c_TMAP1IN)-(c_TFWD))*(((C205)-(c_TFWD))*((c_TMAP1OUT)-(0))+IF(((c_TMAP1OUT)-(0))&gt;=0,1,-1)*QUOTIENT(((c_TMAP1IN)-(c_TFWD)),2)))&lt;0,-1,0),IF(IF(o_WRAP=1,MOD(((c_TMAP1IN)-(c_TFWD))*(((C205)-(c_TFWD))*((c_TMAP1OUT)-(0))+IF(((c_TMAP1OUT)-(0))&gt;=0,1,-1)*QUOTIENT(((c_TMAP1IN)-(c_TFWD)),2))+2147483648,4294967296)-2147483648,((c_TMAP1IN)-(c_TFWD))*(((C205)-(c_TFWD))*((c_TMAP1OUT)-(0))+IF(((c_TMAP1OUT)-(0))&gt;=0,1,-1)*QUOTIENT(((c_TMAP1IN)-(c_TFWD)),2)))&gt;=0,1,0)))</f>
        <v>342</v>
      </c>
      <c r="F205" s="7" t="n">
        <f aca="false">IF(((c_TMAP2IN)-(c_TMAP1IN))=0,(c_TMAP1OUT)+QUOTIENT(((c_TMAP2OUT)-(c_TMAP1OUT)),2),QUOTIENT((((C205)-(c_TMAP1IN))*((c_TMAP2OUT)-(c_TMAP1OUT))+IF(((c_TMAP2OUT)-(c_TMAP1OUT))&gt;=0,1,-1)*QUOTIENT(((c_TMAP2IN)-(c_TMAP1IN)),2)),((c_TMAP2IN)-(c_TMAP1IN)))+(c_TMAP1OUT)+IF(((c_TMAP2OUT)-(c_TMAP1OUT))&gt;=0,IF(IF(o_WRAP=1,MOD(((c_TMAP2IN)-(c_TMAP1IN))*(((C205)-(c_TMAP1IN))*((c_TMAP2OUT)-(c_TMAP1OUT))+IF(((c_TMAP2OUT)-(c_TMAP1OUT))&gt;=0,1,-1)*QUOTIENT(((c_TMAP2IN)-(c_TMAP1IN)),2))+2147483648,4294967296)-2147483648,((c_TMAP2IN)-(c_TMAP1IN))*(((C205)-(c_TMAP1IN))*((c_TMAP2OUT)-(c_TMAP1OUT))+IF(((c_TMAP2OUT)-(c_TMAP1OUT))&gt;=0,1,-1)*QUOTIENT(((c_TMAP2IN)-(c_TMAP1IN)),2)))&lt;0,-1,0),IF(IF(o_WRAP=1,MOD(((c_TMAP2IN)-(c_TMAP1IN))*(((C205)-(c_TMAP1IN))*((c_TMAP2OUT)-(c_TMAP1OUT))+IF(((c_TMAP2OUT)-(c_TMAP1OUT))&gt;=0,1,-1)*QUOTIENT(((c_TMAP2IN)-(c_TMAP1IN)),2))+2147483648,4294967296)-2147483648,((c_TMAP2IN)-(c_TMAP1IN))*(((C205)-(c_TMAP1IN))*((c_TMAP2OUT)-(c_TMAP1OUT))+IF(((c_TMAP2OUT)-(c_TMAP1OUT))&gt;=0,1,-1)*QUOTIENT(((c_TMAP2IN)-(c_TMAP1IN)),2)))&gt;=0,1,0)))</f>
        <v>210</v>
      </c>
      <c r="G205" s="7" t="n">
        <f aca="false">IF(((c_TMAP3IN)-(c_TMAP2IN))=0,(c_TMAP2OUT)+QUOTIENT(((c_TMAP3OUT)-(c_TMAP2OUT)),2),QUOTIENT((((C205)-(c_TMAP2IN))*((c_TMAP3OUT)-(c_TMAP2OUT))+IF(((c_TMAP3OUT)-(c_TMAP2OUT))&gt;=0,1,-1)*QUOTIENT(((c_TMAP3IN)-(c_TMAP2IN)),2)),((c_TMAP3IN)-(c_TMAP2IN)))+(c_TMAP2OUT)+IF(((c_TMAP3OUT)-(c_TMAP2OUT))&gt;=0,IF(IF(o_WRAP=1,MOD(((c_TMAP3IN)-(c_TMAP2IN))*(((C205)-(c_TMAP2IN))*((c_TMAP3OUT)-(c_TMAP2OUT))+IF(((c_TMAP3OUT)-(c_TMAP2OUT))&gt;=0,1,-1)*QUOTIENT(((c_TMAP3IN)-(c_TMAP2IN)),2))+2147483648,4294967296)-2147483648,((c_TMAP3IN)-(c_TMAP2IN))*(((C205)-(c_TMAP2IN))*((c_TMAP3OUT)-(c_TMAP2OUT))+IF(((c_TMAP3OUT)-(c_TMAP2OUT))&gt;=0,1,-1)*QUOTIENT(((c_TMAP3IN)-(c_TMAP2IN)),2)))&lt;0,-1,0),IF(IF(o_WRAP=1,MOD(((c_TMAP3IN)-(c_TMAP2IN))*(((C205)-(c_TMAP2IN))*((c_TMAP3OUT)-(c_TMAP2OUT))+IF(((c_TMAP3OUT)-(c_TMAP2OUT))&gt;=0,1,-1)*QUOTIENT(((c_TMAP3IN)-(c_TMAP2IN)),2))+2147483648,4294967296)-2147483648,((c_TMAP3IN)-(c_TMAP2IN))*(((C205)-(c_TMAP2IN))*((c_TMAP3OUT)-(c_TMAP2OUT))+IF(((c_TMAP3OUT)-(c_TMAP2OUT))&gt;=0,1,-1)*QUOTIENT(((c_TMAP3IN)-(c_TMAP2IN)),2)))&gt;=0,1,0)))</f>
        <v>270</v>
      </c>
      <c r="H205" s="7" t="n">
        <f aca="false">IF(((1000)-(c_TMAP3IN))=0,(c_TMAP3OUT)+QUOTIENT(((1000)-(c_TMAP3OUT)),2),QUOTIENT((((C205)-(c_TMAP3IN))*((1000)-(c_TMAP3OUT))+IF(((1000)-(c_TMAP3OUT))&gt;=0,1,-1)*QUOTIENT(((1000)-(c_TMAP3IN)),2)),((1000)-(c_TMAP3IN)))+(c_TMAP3OUT)+IF(((1000)-(c_TMAP3OUT))&gt;=0,IF(IF(o_WRAP=1,MOD(((1000)-(c_TMAP3IN))*(((C205)-(c_TMAP3IN))*((1000)-(c_TMAP3OUT))+IF(((1000)-(c_TMAP3OUT))&gt;=0,1,-1)*QUOTIENT(((1000)-(c_TMAP3IN)),2))+2147483648,4294967296)-2147483648,((1000)-(c_TMAP3IN))*(((C205)-(c_TMAP3IN))*((1000)-(c_TMAP3OUT))+IF(((1000)-(c_TMAP3OUT))&gt;=0,1,-1)*QUOTIENT(((1000)-(c_TMAP3IN)),2)))&lt;0,-1,0),IF(IF(o_WRAP=1,MOD(((1000)-(c_TMAP3IN))*(((C205)-(c_TMAP3IN))*((1000)-(c_TMAP3OUT))+IF(((1000)-(c_TMAP3OUT))&gt;=0,1,-1)*QUOTIENT(((1000)-(c_TMAP3IN)),2))+2147483648,4294967296)-2147483648,((1000)-(c_TMAP3IN))*(((C205)-(c_TMAP3IN))*((1000)-(c_TMAP3OUT))+IF(((1000)-(c_TMAP3OUT))&gt;=0,1,-1)*QUOTIENT(((1000)-(c_TMAP3IN)),2)))&gt;=0,1,0)))</f>
        <v>323</v>
      </c>
      <c r="I205" s="7" t="n">
        <f aca="false">IF(C205&gt;=c_TFWD,IF(AND(C205&gt;=c_TMAP3IN,c_TMAP3IN&lt;1000),H205,IF(AND(C205&gt;=c_TMAP2IN,c_TMAP3IN&gt;c_TMAP2IN),G205,IF(AND(C205&gt;=c_TMAP1IN,c_TMAP2IN&gt;c_TMAP1IN),F205,E205))),D205)</f>
        <v>323</v>
      </c>
      <c r="J205" s="7" t="str">
        <f aca="false">IF(I205&lt;-1090,"TOO LOW",IF(I205&gt;1090,"TOO HIGH",""))</f>
        <v/>
      </c>
      <c r="K205" s="7" t="n">
        <f aca="false">IF(J205&lt;&gt;"",0,IF(I205&gt;979,1000,I205))</f>
        <v>323</v>
      </c>
      <c r="L205" s="7" t="n">
        <f aca="false">IF(OR(c_TSMOOTH=0,K205&gt;=c_TSMOOTHCUT),1,0)</f>
        <v>0</v>
      </c>
      <c r="M205" s="7" t="n">
        <f aca="false">IF(L205=1,0,M204+1)</f>
        <v>119</v>
      </c>
      <c r="N205" s="7" t="n">
        <f aca="false">IF(L205=1,0,MIN(M205,c_TSMOOTH))</f>
        <v>30</v>
      </c>
      <c r="O205" s="7" t="n">
        <f aca="false">IF(COUNTIF($L$5:L205,1)&gt;0,c_TSMOOTHCUT,0)</f>
        <v>400</v>
      </c>
      <c r="P205" s="15" t="n">
        <f aca="true">IF(L205=1,K205,QUOTIENT(SUM(OFFSET(K205,1-N205,0,N205,1))+(c_TSMOOTH-N205)*O205,c_TSMOOTH))</f>
        <v>323</v>
      </c>
      <c r="Q205" s="7" t="n">
        <f aca="false">K205/10</f>
        <v>32.3</v>
      </c>
      <c r="R205" s="7" t="n">
        <f aca="false">P205/10</f>
        <v>32.3</v>
      </c>
    </row>
    <row r="206" customFormat="false" ht="15" hidden="false" customHeight="false" outlineLevel="0" collapsed="false">
      <c r="A206" s="7" t="n">
        <v>201</v>
      </c>
      <c r="B206" s="7" t="n">
        <f aca="false">A206*0.04</f>
        <v>8.04</v>
      </c>
      <c r="C206" s="18" t="n">
        <v>450</v>
      </c>
      <c r="D206" s="7" t="n">
        <f aca="false">IF(AND(C206=0,c_TCREEP&gt;0),10*c_TCREEP,IF(AND(C206&lt;=c_TRNGMIN,C206&gt;=c_TRNGMAX,c_TRNGMIN-c_TRNGMAX&lt;&gt;0),-10*c_TMINRN+QUOTIENT((c_TMAXRN-c_TMINRN)*(100-QUOTIENT((C206-c_TRNGMAX)*100,c_TRNGMIN-c_TRNGMAX)),-10),0))</f>
        <v>0</v>
      </c>
      <c r="E206" s="7" t="n">
        <f aca="false">IF(((c_TMAP1IN)-(c_TFWD))=0,(0)+QUOTIENT(((c_TMAP1OUT)-(0)),2),QUOTIENT((((C206)-(c_TFWD))*((c_TMAP1OUT)-(0))+IF(((c_TMAP1OUT)-(0))&gt;=0,1,-1)*QUOTIENT(((c_TMAP1IN)-(c_TFWD)),2)),((c_TMAP1IN)-(c_TFWD)))+(0)+IF(((c_TMAP1OUT)-(0))&gt;=0,IF(IF(o_WRAP=1,MOD(((c_TMAP1IN)-(c_TFWD))*(((C206)-(c_TFWD))*((c_TMAP1OUT)-(0))+IF(((c_TMAP1OUT)-(0))&gt;=0,1,-1)*QUOTIENT(((c_TMAP1IN)-(c_TFWD)),2))+2147483648,4294967296)-2147483648,((c_TMAP1IN)-(c_TFWD))*(((C206)-(c_TFWD))*((c_TMAP1OUT)-(0))+IF(((c_TMAP1OUT)-(0))&gt;=0,1,-1)*QUOTIENT(((c_TMAP1IN)-(c_TFWD)),2)))&lt;0,-1,0),IF(IF(o_WRAP=1,MOD(((c_TMAP1IN)-(c_TFWD))*(((C206)-(c_TFWD))*((c_TMAP1OUT)-(0))+IF(((c_TMAP1OUT)-(0))&gt;=0,1,-1)*QUOTIENT(((c_TMAP1IN)-(c_TFWD)),2))+2147483648,4294967296)-2147483648,((c_TMAP1IN)-(c_TFWD))*(((C206)-(c_TFWD))*((c_TMAP1OUT)-(0))+IF(((c_TMAP1OUT)-(0))&gt;=0,1,-1)*QUOTIENT(((c_TMAP1IN)-(c_TFWD)),2)))&gt;=0,1,0)))</f>
        <v>342</v>
      </c>
      <c r="F206" s="7" t="n">
        <f aca="false">IF(((c_TMAP2IN)-(c_TMAP1IN))=0,(c_TMAP1OUT)+QUOTIENT(((c_TMAP2OUT)-(c_TMAP1OUT)),2),QUOTIENT((((C206)-(c_TMAP1IN))*((c_TMAP2OUT)-(c_TMAP1OUT))+IF(((c_TMAP2OUT)-(c_TMAP1OUT))&gt;=0,1,-1)*QUOTIENT(((c_TMAP2IN)-(c_TMAP1IN)),2)),((c_TMAP2IN)-(c_TMAP1IN)))+(c_TMAP1OUT)+IF(((c_TMAP2OUT)-(c_TMAP1OUT))&gt;=0,IF(IF(o_WRAP=1,MOD(((c_TMAP2IN)-(c_TMAP1IN))*(((C206)-(c_TMAP1IN))*((c_TMAP2OUT)-(c_TMAP1OUT))+IF(((c_TMAP2OUT)-(c_TMAP1OUT))&gt;=0,1,-1)*QUOTIENT(((c_TMAP2IN)-(c_TMAP1IN)),2))+2147483648,4294967296)-2147483648,((c_TMAP2IN)-(c_TMAP1IN))*(((C206)-(c_TMAP1IN))*((c_TMAP2OUT)-(c_TMAP1OUT))+IF(((c_TMAP2OUT)-(c_TMAP1OUT))&gt;=0,1,-1)*QUOTIENT(((c_TMAP2IN)-(c_TMAP1IN)),2)))&lt;0,-1,0),IF(IF(o_WRAP=1,MOD(((c_TMAP2IN)-(c_TMAP1IN))*(((C206)-(c_TMAP1IN))*((c_TMAP2OUT)-(c_TMAP1OUT))+IF(((c_TMAP2OUT)-(c_TMAP1OUT))&gt;=0,1,-1)*QUOTIENT(((c_TMAP2IN)-(c_TMAP1IN)),2))+2147483648,4294967296)-2147483648,((c_TMAP2IN)-(c_TMAP1IN))*(((C206)-(c_TMAP1IN))*((c_TMAP2OUT)-(c_TMAP1OUT))+IF(((c_TMAP2OUT)-(c_TMAP1OUT))&gt;=0,1,-1)*QUOTIENT(((c_TMAP2IN)-(c_TMAP1IN)),2)))&gt;=0,1,0)))</f>
        <v>210</v>
      </c>
      <c r="G206" s="7" t="n">
        <f aca="false">IF(((c_TMAP3IN)-(c_TMAP2IN))=0,(c_TMAP2OUT)+QUOTIENT(((c_TMAP3OUT)-(c_TMAP2OUT)),2),QUOTIENT((((C206)-(c_TMAP2IN))*((c_TMAP3OUT)-(c_TMAP2OUT))+IF(((c_TMAP3OUT)-(c_TMAP2OUT))&gt;=0,1,-1)*QUOTIENT(((c_TMAP3IN)-(c_TMAP2IN)),2)),((c_TMAP3IN)-(c_TMAP2IN)))+(c_TMAP2OUT)+IF(((c_TMAP3OUT)-(c_TMAP2OUT))&gt;=0,IF(IF(o_WRAP=1,MOD(((c_TMAP3IN)-(c_TMAP2IN))*(((C206)-(c_TMAP2IN))*((c_TMAP3OUT)-(c_TMAP2OUT))+IF(((c_TMAP3OUT)-(c_TMAP2OUT))&gt;=0,1,-1)*QUOTIENT(((c_TMAP3IN)-(c_TMAP2IN)),2))+2147483648,4294967296)-2147483648,((c_TMAP3IN)-(c_TMAP2IN))*(((C206)-(c_TMAP2IN))*((c_TMAP3OUT)-(c_TMAP2OUT))+IF(((c_TMAP3OUT)-(c_TMAP2OUT))&gt;=0,1,-1)*QUOTIENT(((c_TMAP3IN)-(c_TMAP2IN)),2)))&lt;0,-1,0),IF(IF(o_WRAP=1,MOD(((c_TMAP3IN)-(c_TMAP2IN))*(((C206)-(c_TMAP2IN))*((c_TMAP3OUT)-(c_TMAP2OUT))+IF(((c_TMAP3OUT)-(c_TMAP2OUT))&gt;=0,1,-1)*QUOTIENT(((c_TMAP3IN)-(c_TMAP2IN)),2))+2147483648,4294967296)-2147483648,((c_TMAP3IN)-(c_TMAP2IN))*(((C206)-(c_TMAP2IN))*((c_TMAP3OUT)-(c_TMAP2OUT))+IF(((c_TMAP3OUT)-(c_TMAP2OUT))&gt;=0,1,-1)*QUOTIENT(((c_TMAP3IN)-(c_TMAP2IN)),2)))&gt;=0,1,0)))</f>
        <v>270</v>
      </c>
      <c r="H206" s="7" t="n">
        <f aca="false">IF(((1000)-(c_TMAP3IN))=0,(c_TMAP3OUT)+QUOTIENT(((1000)-(c_TMAP3OUT)),2),QUOTIENT((((C206)-(c_TMAP3IN))*((1000)-(c_TMAP3OUT))+IF(((1000)-(c_TMAP3OUT))&gt;=0,1,-1)*QUOTIENT(((1000)-(c_TMAP3IN)),2)),((1000)-(c_TMAP3IN)))+(c_TMAP3OUT)+IF(((1000)-(c_TMAP3OUT))&gt;=0,IF(IF(o_WRAP=1,MOD(((1000)-(c_TMAP3IN))*(((C206)-(c_TMAP3IN))*((1000)-(c_TMAP3OUT))+IF(((1000)-(c_TMAP3OUT))&gt;=0,1,-1)*QUOTIENT(((1000)-(c_TMAP3IN)),2))+2147483648,4294967296)-2147483648,((1000)-(c_TMAP3IN))*(((C206)-(c_TMAP3IN))*((1000)-(c_TMAP3OUT))+IF(((1000)-(c_TMAP3OUT))&gt;=0,1,-1)*QUOTIENT(((1000)-(c_TMAP3IN)),2)))&lt;0,-1,0),IF(IF(o_WRAP=1,MOD(((1000)-(c_TMAP3IN))*(((C206)-(c_TMAP3IN))*((1000)-(c_TMAP3OUT))+IF(((1000)-(c_TMAP3OUT))&gt;=0,1,-1)*QUOTIENT(((1000)-(c_TMAP3IN)),2))+2147483648,4294967296)-2147483648,((1000)-(c_TMAP3IN))*(((C206)-(c_TMAP3IN))*((1000)-(c_TMAP3OUT))+IF(((1000)-(c_TMAP3OUT))&gt;=0,1,-1)*QUOTIENT(((1000)-(c_TMAP3IN)),2)))&gt;=0,1,0)))</f>
        <v>323</v>
      </c>
      <c r="I206" s="7" t="n">
        <f aca="false">IF(C206&gt;=c_TFWD,IF(AND(C206&gt;=c_TMAP3IN,c_TMAP3IN&lt;1000),H206,IF(AND(C206&gt;=c_TMAP2IN,c_TMAP3IN&gt;c_TMAP2IN),G206,IF(AND(C206&gt;=c_TMAP1IN,c_TMAP2IN&gt;c_TMAP1IN),F206,E206))),D206)</f>
        <v>323</v>
      </c>
      <c r="J206" s="7" t="str">
        <f aca="false">IF(I206&lt;-1090,"TOO LOW",IF(I206&gt;1090,"TOO HIGH",""))</f>
        <v/>
      </c>
      <c r="K206" s="7" t="n">
        <f aca="false">IF(J206&lt;&gt;"",0,IF(I206&gt;979,1000,I206))</f>
        <v>323</v>
      </c>
      <c r="L206" s="7" t="n">
        <f aca="false">IF(OR(c_TSMOOTH=0,K206&gt;=c_TSMOOTHCUT),1,0)</f>
        <v>0</v>
      </c>
      <c r="M206" s="7" t="n">
        <f aca="false">IF(L206=1,0,M205+1)</f>
        <v>120</v>
      </c>
      <c r="N206" s="7" t="n">
        <f aca="false">IF(L206=1,0,MIN(M206,c_TSMOOTH))</f>
        <v>30</v>
      </c>
      <c r="O206" s="7" t="n">
        <f aca="false">IF(COUNTIF($L$5:L206,1)&gt;0,c_TSMOOTHCUT,0)</f>
        <v>400</v>
      </c>
      <c r="P206" s="15" t="n">
        <f aca="true">IF(L206=1,K206,QUOTIENT(SUM(OFFSET(K206,1-N206,0,N206,1))+(c_TSMOOTH-N206)*O206,c_TSMOOTH))</f>
        <v>323</v>
      </c>
      <c r="Q206" s="7" t="n">
        <f aca="false">K206/10</f>
        <v>32.3</v>
      </c>
      <c r="R206" s="7" t="n">
        <f aca="false">P206/10</f>
        <v>32.3</v>
      </c>
    </row>
    <row r="207" customFormat="false" ht="15" hidden="false" customHeight="false" outlineLevel="0" collapsed="false">
      <c r="A207" s="7" t="n">
        <v>202</v>
      </c>
      <c r="B207" s="7" t="n">
        <f aca="false">A207*0.04</f>
        <v>8.08</v>
      </c>
      <c r="C207" s="18" t="n">
        <v>450</v>
      </c>
      <c r="D207" s="7" t="n">
        <f aca="false">IF(AND(C207=0,c_TCREEP&gt;0),10*c_TCREEP,IF(AND(C207&lt;=c_TRNGMIN,C207&gt;=c_TRNGMAX,c_TRNGMIN-c_TRNGMAX&lt;&gt;0),-10*c_TMINRN+QUOTIENT((c_TMAXRN-c_TMINRN)*(100-QUOTIENT((C207-c_TRNGMAX)*100,c_TRNGMIN-c_TRNGMAX)),-10),0))</f>
        <v>0</v>
      </c>
      <c r="E207" s="7" t="n">
        <f aca="false">IF(((c_TMAP1IN)-(c_TFWD))=0,(0)+QUOTIENT(((c_TMAP1OUT)-(0)),2),QUOTIENT((((C207)-(c_TFWD))*((c_TMAP1OUT)-(0))+IF(((c_TMAP1OUT)-(0))&gt;=0,1,-1)*QUOTIENT(((c_TMAP1IN)-(c_TFWD)),2)),((c_TMAP1IN)-(c_TFWD)))+(0)+IF(((c_TMAP1OUT)-(0))&gt;=0,IF(IF(o_WRAP=1,MOD(((c_TMAP1IN)-(c_TFWD))*(((C207)-(c_TFWD))*((c_TMAP1OUT)-(0))+IF(((c_TMAP1OUT)-(0))&gt;=0,1,-1)*QUOTIENT(((c_TMAP1IN)-(c_TFWD)),2))+2147483648,4294967296)-2147483648,((c_TMAP1IN)-(c_TFWD))*(((C207)-(c_TFWD))*((c_TMAP1OUT)-(0))+IF(((c_TMAP1OUT)-(0))&gt;=0,1,-1)*QUOTIENT(((c_TMAP1IN)-(c_TFWD)),2)))&lt;0,-1,0),IF(IF(o_WRAP=1,MOD(((c_TMAP1IN)-(c_TFWD))*(((C207)-(c_TFWD))*((c_TMAP1OUT)-(0))+IF(((c_TMAP1OUT)-(0))&gt;=0,1,-1)*QUOTIENT(((c_TMAP1IN)-(c_TFWD)),2))+2147483648,4294967296)-2147483648,((c_TMAP1IN)-(c_TFWD))*(((C207)-(c_TFWD))*((c_TMAP1OUT)-(0))+IF(((c_TMAP1OUT)-(0))&gt;=0,1,-1)*QUOTIENT(((c_TMAP1IN)-(c_TFWD)),2)))&gt;=0,1,0)))</f>
        <v>342</v>
      </c>
      <c r="F207" s="7" t="n">
        <f aca="false">IF(((c_TMAP2IN)-(c_TMAP1IN))=0,(c_TMAP1OUT)+QUOTIENT(((c_TMAP2OUT)-(c_TMAP1OUT)),2),QUOTIENT((((C207)-(c_TMAP1IN))*((c_TMAP2OUT)-(c_TMAP1OUT))+IF(((c_TMAP2OUT)-(c_TMAP1OUT))&gt;=0,1,-1)*QUOTIENT(((c_TMAP2IN)-(c_TMAP1IN)),2)),((c_TMAP2IN)-(c_TMAP1IN)))+(c_TMAP1OUT)+IF(((c_TMAP2OUT)-(c_TMAP1OUT))&gt;=0,IF(IF(o_WRAP=1,MOD(((c_TMAP2IN)-(c_TMAP1IN))*(((C207)-(c_TMAP1IN))*((c_TMAP2OUT)-(c_TMAP1OUT))+IF(((c_TMAP2OUT)-(c_TMAP1OUT))&gt;=0,1,-1)*QUOTIENT(((c_TMAP2IN)-(c_TMAP1IN)),2))+2147483648,4294967296)-2147483648,((c_TMAP2IN)-(c_TMAP1IN))*(((C207)-(c_TMAP1IN))*((c_TMAP2OUT)-(c_TMAP1OUT))+IF(((c_TMAP2OUT)-(c_TMAP1OUT))&gt;=0,1,-1)*QUOTIENT(((c_TMAP2IN)-(c_TMAP1IN)),2)))&lt;0,-1,0),IF(IF(o_WRAP=1,MOD(((c_TMAP2IN)-(c_TMAP1IN))*(((C207)-(c_TMAP1IN))*((c_TMAP2OUT)-(c_TMAP1OUT))+IF(((c_TMAP2OUT)-(c_TMAP1OUT))&gt;=0,1,-1)*QUOTIENT(((c_TMAP2IN)-(c_TMAP1IN)),2))+2147483648,4294967296)-2147483648,((c_TMAP2IN)-(c_TMAP1IN))*(((C207)-(c_TMAP1IN))*((c_TMAP2OUT)-(c_TMAP1OUT))+IF(((c_TMAP2OUT)-(c_TMAP1OUT))&gt;=0,1,-1)*QUOTIENT(((c_TMAP2IN)-(c_TMAP1IN)),2)))&gt;=0,1,0)))</f>
        <v>210</v>
      </c>
      <c r="G207" s="7" t="n">
        <f aca="false">IF(((c_TMAP3IN)-(c_TMAP2IN))=0,(c_TMAP2OUT)+QUOTIENT(((c_TMAP3OUT)-(c_TMAP2OUT)),2),QUOTIENT((((C207)-(c_TMAP2IN))*((c_TMAP3OUT)-(c_TMAP2OUT))+IF(((c_TMAP3OUT)-(c_TMAP2OUT))&gt;=0,1,-1)*QUOTIENT(((c_TMAP3IN)-(c_TMAP2IN)),2)),((c_TMAP3IN)-(c_TMAP2IN)))+(c_TMAP2OUT)+IF(((c_TMAP3OUT)-(c_TMAP2OUT))&gt;=0,IF(IF(o_WRAP=1,MOD(((c_TMAP3IN)-(c_TMAP2IN))*(((C207)-(c_TMAP2IN))*((c_TMAP3OUT)-(c_TMAP2OUT))+IF(((c_TMAP3OUT)-(c_TMAP2OUT))&gt;=0,1,-1)*QUOTIENT(((c_TMAP3IN)-(c_TMAP2IN)),2))+2147483648,4294967296)-2147483648,((c_TMAP3IN)-(c_TMAP2IN))*(((C207)-(c_TMAP2IN))*((c_TMAP3OUT)-(c_TMAP2OUT))+IF(((c_TMAP3OUT)-(c_TMAP2OUT))&gt;=0,1,-1)*QUOTIENT(((c_TMAP3IN)-(c_TMAP2IN)),2)))&lt;0,-1,0),IF(IF(o_WRAP=1,MOD(((c_TMAP3IN)-(c_TMAP2IN))*(((C207)-(c_TMAP2IN))*((c_TMAP3OUT)-(c_TMAP2OUT))+IF(((c_TMAP3OUT)-(c_TMAP2OUT))&gt;=0,1,-1)*QUOTIENT(((c_TMAP3IN)-(c_TMAP2IN)),2))+2147483648,4294967296)-2147483648,((c_TMAP3IN)-(c_TMAP2IN))*(((C207)-(c_TMAP2IN))*((c_TMAP3OUT)-(c_TMAP2OUT))+IF(((c_TMAP3OUT)-(c_TMAP2OUT))&gt;=0,1,-1)*QUOTIENT(((c_TMAP3IN)-(c_TMAP2IN)),2)))&gt;=0,1,0)))</f>
        <v>270</v>
      </c>
      <c r="H207" s="7" t="n">
        <f aca="false">IF(((1000)-(c_TMAP3IN))=0,(c_TMAP3OUT)+QUOTIENT(((1000)-(c_TMAP3OUT)),2),QUOTIENT((((C207)-(c_TMAP3IN))*((1000)-(c_TMAP3OUT))+IF(((1000)-(c_TMAP3OUT))&gt;=0,1,-1)*QUOTIENT(((1000)-(c_TMAP3IN)),2)),((1000)-(c_TMAP3IN)))+(c_TMAP3OUT)+IF(((1000)-(c_TMAP3OUT))&gt;=0,IF(IF(o_WRAP=1,MOD(((1000)-(c_TMAP3IN))*(((C207)-(c_TMAP3IN))*((1000)-(c_TMAP3OUT))+IF(((1000)-(c_TMAP3OUT))&gt;=0,1,-1)*QUOTIENT(((1000)-(c_TMAP3IN)),2))+2147483648,4294967296)-2147483648,((1000)-(c_TMAP3IN))*(((C207)-(c_TMAP3IN))*((1000)-(c_TMAP3OUT))+IF(((1000)-(c_TMAP3OUT))&gt;=0,1,-1)*QUOTIENT(((1000)-(c_TMAP3IN)),2)))&lt;0,-1,0),IF(IF(o_WRAP=1,MOD(((1000)-(c_TMAP3IN))*(((C207)-(c_TMAP3IN))*((1000)-(c_TMAP3OUT))+IF(((1000)-(c_TMAP3OUT))&gt;=0,1,-1)*QUOTIENT(((1000)-(c_TMAP3IN)),2))+2147483648,4294967296)-2147483648,((1000)-(c_TMAP3IN))*(((C207)-(c_TMAP3IN))*((1000)-(c_TMAP3OUT))+IF(((1000)-(c_TMAP3OUT))&gt;=0,1,-1)*QUOTIENT(((1000)-(c_TMAP3IN)),2)))&gt;=0,1,0)))</f>
        <v>323</v>
      </c>
      <c r="I207" s="7" t="n">
        <f aca="false">IF(C207&gt;=c_TFWD,IF(AND(C207&gt;=c_TMAP3IN,c_TMAP3IN&lt;1000),H207,IF(AND(C207&gt;=c_TMAP2IN,c_TMAP3IN&gt;c_TMAP2IN),G207,IF(AND(C207&gt;=c_TMAP1IN,c_TMAP2IN&gt;c_TMAP1IN),F207,E207))),D207)</f>
        <v>323</v>
      </c>
      <c r="J207" s="7" t="str">
        <f aca="false">IF(I207&lt;-1090,"TOO LOW",IF(I207&gt;1090,"TOO HIGH",""))</f>
        <v/>
      </c>
      <c r="K207" s="7" t="n">
        <f aca="false">IF(J207&lt;&gt;"",0,IF(I207&gt;979,1000,I207))</f>
        <v>323</v>
      </c>
      <c r="L207" s="7" t="n">
        <f aca="false">IF(OR(c_TSMOOTH=0,K207&gt;=c_TSMOOTHCUT),1,0)</f>
        <v>0</v>
      </c>
      <c r="M207" s="7" t="n">
        <f aca="false">IF(L207=1,0,M206+1)</f>
        <v>121</v>
      </c>
      <c r="N207" s="7" t="n">
        <f aca="false">IF(L207=1,0,MIN(M207,c_TSMOOTH))</f>
        <v>30</v>
      </c>
      <c r="O207" s="7" t="n">
        <f aca="false">IF(COUNTIF($L$5:L207,1)&gt;0,c_TSMOOTHCUT,0)</f>
        <v>400</v>
      </c>
      <c r="P207" s="15" t="n">
        <f aca="true">IF(L207=1,K207,QUOTIENT(SUM(OFFSET(K207,1-N207,0,N207,1))+(c_TSMOOTH-N207)*O207,c_TSMOOTH))</f>
        <v>323</v>
      </c>
      <c r="Q207" s="7" t="n">
        <f aca="false">K207/10</f>
        <v>32.3</v>
      </c>
      <c r="R207" s="7" t="n">
        <f aca="false">P207/10</f>
        <v>32.3</v>
      </c>
    </row>
    <row r="208" customFormat="false" ht="15" hidden="false" customHeight="false" outlineLevel="0" collapsed="false">
      <c r="A208" s="7" t="n">
        <v>203</v>
      </c>
      <c r="B208" s="7" t="n">
        <f aca="false">A208*0.04</f>
        <v>8.12</v>
      </c>
      <c r="C208" s="18" t="n">
        <v>450</v>
      </c>
      <c r="D208" s="7" t="n">
        <f aca="false">IF(AND(C208=0,c_TCREEP&gt;0),10*c_TCREEP,IF(AND(C208&lt;=c_TRNGMIN,C208&gt;=c_TRNGMAX,c_TRNGMIN-c_TRNGMAX&lt;&gt;0),-10*c_TMINRN+QUOTIENT((c_TMAXRN-c_TMINRN)*(100-QUOTIENT((C208-c_TRNGMAX)*100,c_TRNGMIN-c_TRNGMAX)),-10),0))</f>
        <v>0</v>
      </c>
      <c r="E208" s="7" t="n">
        <f aca="false">IF(((c_TMAP1IN)-(c_TFWD))=0,(0)+QUOTIENT(((c_TMAP1OUT)-(0)),2),QUOTIENT((((C208)-(c_TFWD))*((c_TMAP1OUT)-(0))+IF(((c_TMAP1OUT)-(0))&gt;=0,1,-1)*QUOTIENT(((c_TMAP1IN)-(c_TFWD)),2)),((c_TMAP1IN)-(c_TFWD)))+(0)+IF(((c_TMAP1OUT)-(0))&gt;=0,IF(IF(o_WRAP=1,MOD(((c_TMAP1IN)-(c_TFWD))*(((C208)-(c_TFWD))*((c_TMAP1OUT)-(0))+IF(((c_TMAP1OUT)-(0))&gt;=0,1,-1)*QUOTIENT(((c_TMAP1IN)-(c_TFWD)),2))+2147483648,4294967296)-2147483648,((c_TMAP1IN)-(c_TFWD))*(((C208)-(c_TFWD))*((c_TMAP1OUT)-(0))+IF(((c_TMAP1OUT)-(0))&gt;=0,1,-1)*QUOTIENT(((c_TMAP1IN)-(c_TFWD)),2)))&lt;0,-1,0),IF(IF(o_WRAP=1,MOD(((c_TMAP1IN)-(c_TFWD))*(((C208)-(c_TFWD))*((c_TMAP1OUT)-(0))+IF(((c_TMAP1OUT)-(0))&gt;=0,1,-1)*QUOTIENT(((c_TMAP1IN)-(c_TFWD)),2))+2147483648,4294967296)-2147483648,((c_TMAP1IN)-(c_TFWD))*(((C208)-(c_TFWD))*((c_TMAP1OUT)-(0))+IF(((c_TMAP1OUT)-(0))&gt;=0,1,-1)*QUOTIENT(((c_TMAP1IN)-(c_TFWD)),2)))&gt;=0,1,0)))</f>
        <v>342</v>
      </c>
      <c r="F208" s="7" t="n">
        <f aca="false">IF(((c_TMAP2IN)-(c_TMAP1IN))=0,(c_TMAP1OUT)+QUOTIENT(((c_TMAP2OUT)-(c_TMAP1OUT)),2),QUOTIENT((((C208)-(c_TMAP1IN))*((c_TMAP2OUT)-(c_TMAP1OUT))+IF(((c_TMAP2OUT)-(c_TMAP1OUT))&gt;=0,1,-1)*QUOTIENT(((c_TMAP2IN)-(c_TMAP1IN)),2)),((c_TMAP2IN)-(c_TMAP1IN)))+(c_TMAP1OUT)+IF(((c_TMAP2OUT)-(c_TMAP1OUT))&gt;=0,IF(IF(o_WRAP=1,MOD(((c_TMAP2IN)-(c_TMAP1IN))*(((C208)-(c_TMAP1IN))*((c_TMAP2OUT)-(c_TMAP1OUT))+IF(((c_TMAP2OUT)-(c_TMAP1OUT))&gt;=0,1,-1)*QUOTIENT(((c_TMAP2IN)-(c_TMAP1IN)),2))+2147483648,4294967296)-2147483648,((c_TMAP2IN)-(c_TMAP1IN))*(((C208)-(c_TMAP1IN))*((c_TMAP2OUT)-(c_TMAP1OUT))+IF(((c_TMAP2OUT)-(c_TMAP1OUT))&gt;=0,1,-1)*QUOTIENT(((c_TMAP2IN)-(c_TMAP1IN)),2)))&lt;0,-1,0),IF(IF(o_WRAP=1,MOD(((c_TMAP2IN)-(c_TMAP1IN))*(((C208)-(c_TMAP1IN))*((c_TMAP2OUT)-(c_TMAP1OUT))+IF(((c_TMAP2OUT)-(c_TMAP1OUT))&gt;=0,1,-1)*QUOTIENT(((c_TMAP2IN)-(c_TMAP1IN)),2))+2147483648,4294967296)-2147483648,((c_TMAP2IN)-(c_TMAP1IN))*(((C208)-(c_TMAP1IN))*((c_TMAP2OUT)-(c_TMAP1OUT))+IF(((c_TMAP2OUT)-(c_TMAP1OUT))&gt;=0,1,-1)*QUOTIENT(((c_TMAP2IN)-(c_TMAP1IN)),2)))&gt;=0,1,0)))</f>
        <v>210</v>
      </c>
      <c r="G208" s="7" t="n">
        <f aca="false">IF(((c_TMAP3IN)-(c_TMAP2IN))=0,(c_TMAP2OUT)+QUOTIENT(((c_TMAP3OUT)-(c_TMAP2OUT)),2),QUOTIENT((((C208)-(c_TMAP2IN))*((c_TMAP3OUT)-(c_TMAP2OUT))+IF(((c_TMAP3OUT)-(c_TMAP2OUT))&gt;=0,1,-1)*QUOTIENT(((c_TMAP3IN)-(c_TMAP2IN)),2)),((c_TMAP3IN)-(c_TMAP2IN)))+(c_TMAP2OUT)+IF(((c_TMAP3OUT)-(c_TMAP2OUT))&gt;=0,IF(IF(o_WRAP=1,MOD(((c_TMAP3IN)-(c_TMAP2IN))*(((C208)-(c_TMAP2IN))*((c_TMAP3OUT)-(c_TMAP2OUT))+IF(((c_TMAP3OUT)-(c_TMAP2OUT))&gt;=0,1,-1)*QUOTIENT(((c_TMAP3IN)-(c_TMAP2IN)),2))+2147483648,4294967296)-2147483648,((c_TMAP3IN)-(c_TMAP2IN))*(((C208)-(c_TMAP2IN))*((c_TMAP3OUT)-(c_TMAP2OUT))+IF(((c_TMAP3OUT)-(c_TMAP2OUT))&gt;=0,1,-1)*QUOTIENT(((c_TMAP3IN)-(c_TMAP2IN)),2)))&lt;0,-1,0),IF(IF(o_WRAP=1,MOD(((c_TMAP3IN)-(c_TMAP2IN))*(((C208)-(c_TMAP2IN))*((c_TMAP3OUT)-(c_TMAP2OUT))+IF(((c_TMAP3OUT)-(c_TMAP2OUT))&gt;=0,1,-1)*QUOTIENT(((c_TMAP3IN)-(c_TMAP2IN)),2))+2147483648,4294967296)-2147483648,((c_TMAP3IN)-(c_TMAP2IN))*(((C208)-(c_TMAP2IN))*((c_TMAP3OUT)-(c_TMAP2OUT))+IF(((c_TMAP3OUT)-(c_TMAP2OUT))&gt;=0,1,-1)*QUOTIENT(((c_TMAP3IN)-(c_TMAP2IN)),2)))&gt;=0,1,0)))</f>
        <v>270</v>
      </c>
      <c r="H208" s="7" t="n">
        <f aca="false">IF(((1000)-(c_TMAP3IN))=0,(c_TMAP3OUT)+QUOTIENT(((1000)-(c_TMAP3OUT)),2),QUOTIENT((((C208)-(c_TMAP3IN))*((1000)-(c_TMAP3OUT))+IF(((1000)-(c_TMAP3OUT))&gt;=0,1,-1)*QUOTIENT(((1000)-(c_TMAP3IN)),2)),((1000)-(c_TMAP3IN)))+(c_TMAP3OUT)+IF(((1000)-(c_TMAP3OUT))&gt;=0,IF(IF(o_WRAP=1,MOD(((1000)-(c_TMAP3IN))*(((C208)-(c_TMAP3IN))*((1000)-(c_TMAP3OUT))+IF(((1000)-(c_TMAP3OUT))&gt;=0,1,-1)*QUOTIENT(((1000)-(c_TMAP3IN)),2))+2147483648,4294967296)-2147483648,((1000)-(c_TMAP3IN))*(((C208)-(c_TMAP3IN))*((1000)-(c_TMAP3OUT))+IF(((1000)-(c_TMAP3OUT))&gt;=0,1,-1)*QUOTIENT(((1000)-(c_TMAP3IN)),2)))&lt;0,-1,0),IF(IF(o_WRAP=1,MOD(((1000)-(c_TMAP3IN))*(((C208)-(c_TMAP3IN))*((1000)-(c_TMAP3OUT))+IF(((1000)-(c_TMAP3OUT))&gt;=0,1,-1)*QUOTIENT(((1000)-(c_TMAP3IN)),2))+2147483648,4294967296)-2147483648,((1000)-(c_TMAP3IN))*(((C208)-(c_TMAP3IN))*((1000)-(c_TMAP3OUT))+IF(((1000)-(c_TMAP3OUT))&gt;=0,1,-1)*QUOTIENT(((1000)-(c_TMAP3IN)),2)))&gt;=0,1,0)))</f>
        <v>323</v>
      </c>
      <c r="I208" s="7" t="n">
        <f aca="false">IF(C208&gt;=c_TFWD,IF(AND(C208&gt;=c_TMAP3IN,c_TMAP3IN&lt;1000),H208,IF(AND(C208&gt;=c_TMAP2IN,c_TMAP3IN&gt;c_TMAP2IN),G208,IF(AND(C208&gt;=c_TMAP1IN,c_TMAP2IN&gt;c_TMAP1IN),F208,E208))),D208)</f>
        <v>323</v>
      </c>
      <c r="J208" s="7" t="str">
        <f aca="false">IF(I208&lt;-1090,"TOO LOW",IF(I208&gt;1090,"TOO HIGH",""))</f>
        <v/>
      </c>
      <c r="K208" s="7" t="n">
        <f aca="false">IF(J208&lt;&gt;"",0,IF(I208&gt;979,1000,I208))</f>
        <v>323</v>
      </c>
      <c r="L208" s="7" t="n">
        <f aca="false">IF(OR(c_TSMOOTH=0,K208&gt;=c_TSMOOTHCUT),1,0)</f>
        <v>0</v>
      </c>
      <c r="M208" s="7" t="n">
        <f aca="false">IF(L208=1,0,M207+1)</f>
        <v>122</v>
      </c>
      <c r="N208" s="7" t="n">
        <f aca="false">IF(L208=1,0,MIN(M208,c_TSMOOTH))</f>
        <v>30</v>
      </c>
      <c r="O208" s="7" t="n">
        <f aca="false">IF(COUNTIF($L$5:L208,1)&gt;0,c_TSMOOTHCUT,0)</f>
        <v>400</v>
      </c>
      <c r="P208" s="15" t="n">
        <f aca="true">IF(L208=1,K208,QUOTIENT(SUM(OFFSET(K208,1-N208,0,N208,1))+(c_TSMOOTH-N208)*O208,c_TSMOOTH))</f>
        <v>323</v>
      </c>
      <c r="Q208" s="7" t="n">
        <f aca="false">K208/10</f>
        <v>32.3</v>
      </c>
      <c r="R208" s="7" t="n">
        <f aca="false">P208/10</f>
        <v>32.3</v>
      </c>
    </row>
    <row r="209" customFormat="false" ht="15" hidden="false" customHeight="false" outlineLevel="0" collapsed="false">
      <c r="A209" s="7" t="n">
        <v>204</v>
      </c>
      <c r="B209" s="7" t="n">
        <f aca="false">A209*0.04</f>
        <v>8.16</v>
      </c>
      <c r="C209" s="18" t="n">
        <v>450</v>
      </c>
      <c r="D209" s="7" t="n">
        <f aca="false">IF(AND(C209=0,c_TCREEP&gt;0),10*c_TCREEP,IF(AND(C209&lt;=c_TRNGMIN,C209&gt;=c_TRNGMAX,c_TRNGMIN-c_TRNGMAX&lt;&gt;0),-10*c_TMINRN+QUOTIENT((c_TMAXRN-c_TMINRN)*(100-QUOTIENT((C209-c_TRNGMAX)*100,c_TRNGMIN-c_TRNGMAX)),-10),0))</f>
        <v>0</v>
      </c>
      <c r="E209" s="7" t="n">
        <f aca="false">IF(((c_TMAP1IN)-(c_TFWD))=0,(0)+QUOTIENT(((c_TMAP1OUT)-(0)),2),QUOTIENT((((C209)-(c_TFWD))*((c_TMAP1OUT)-(0))+IF(((c_TMAP1OUT)-(0))&gt;=0,1,-1)*QUOTIENT(((c_TMAP1IN)-(c_TFWD)),2)),((c_TMAP1IN)-(c_TFWD)))+(0)+IF(((c_TMAP1OUT)-(0))&gt;=0,IF(IF(o_WRAP=1,MOD(((c_TMAP1IN)-(c_TFWD))*(((C209)-(c_TFWD))*((c_TMAP1OUT)-(0))+IF(((c_TMAP1OUT)-(0))&gt;=0,1,-1)*QUOTIENT(((c_TMAP1IN)-(c_TFWD)),2))+2147483648,4294967296)-2147483648,((c_TMAP1IN)-(c_TFWD))*(((C209)-(c_TFWD))*((c_TMAP1OUT)-(0))+IF(((c_TMAP1OUT)-(0))&gt;=0,1,-1)*QUOTIENT(((c_TMAP1IN)-(c_TFWD)),2)))&lt;0,-1,0),IF(IF(o_WRAP=1,MOD(((c_TMAP1IN)-(c_TFWD))*(((C209)-(c_TFWD))*((c_TMAP1OUT)-(0))+IF(((c_TMAP1OUT)-(0))&gt;=0,1,-1)*QUOTIENT(((c_TMAP1IN)-(c_TFWD)),2))+2147483648,4294967296)-2147483648,((c_TMAP1IN)-(c_TFWD))*(((C209)-(c_TFWD))*((c_TMAP1OUT)-(0))+IF(((c_TMAP1OUT)-(0))&gt;=0,1,-1)*QUOTIENT(((c_TMAP1IN)-(c_TFWD)),2)))&gt;=0,1,0)))</f>
        <v>342</v>
      </c>
      <c r="F209" s="7" t="n">
        <f aca="false">IF(((c_TMAP2IN)-(c_TMAP1IN))=0,(c_TMAP1OUT)+QUOTIENT(((c_TMAP2OUT)-(c_TMAP1OUT)),2),QUOTIENT((((C209)-(c_TMAP1IN))*((c_TMAP2OUT)-(c_TMAP1OUT))+IF(((c_TMAP2OUT)-(c_TMAP1OUT))&gt;=0,1,-1)*QUOTIENT(((c_TMAP2IN)-(c_TMAP1IN)),2)),((c_TMAP2IN)-(c_TMAP1IN)))+(c_TMAP1OUT)+IF(((c_TMAP2OUT)-(c_TMAP1OUT))&gt;=0,IF(IF(o_WRAP=1,MOD(((c_TMAP2IN)-(c_TMAP1IN))*(((C209)-(c_TMAP1IN))*((c_TMAP2OUT)-(c_TMAP1OUT))+IF(((c_TMAP2OUT)-(c_TMAP1OUT))&gt;=0,1,-1)*QUOTIENT(((c_TMAP2IN)-(c_TMAP1IN)),2))+2147483648,4294967296)-2147483648,((c_TMAP2IN)-(c_TMAP1IN))*(((C209)-(c_TMAP1IN))*((c_TMAP2OUT)-(c_TMAP1OUT))+IF(((c_TMAP2OUT)-(c_TMAP1OUT))&gt;=0,1,-1)*QUOTIENT(((c_TMAP2IN)-(c_TMAP1IN)),2)))&lt;0,-1,0),IF(IF(o_WRAP=1,MOD(((c_TMAP2IN)-(c_TMAP1IN))*(((C209)-(c_TMAP1IN))*((c_TMAP2OUT)-(c_TMAP1OUT))+IF(((c_TMAP2OUT)-(c_TMAP1OUT))&gt;=0,1,-1)*QUOTIENT(((c_TMAP2IN)-(c_TMAP1IN)),2))+2147483648,4294967296)-2147483648,((c_TMAP2IN)-(c_TMAP1IN))*(((C209)-(c_TMAP1IN))*((c_TMAP2OUT)-(c_TMAP1OUT))+IF(((c_TMAP2OUT)-(c_TMAP1OUT))&gt;=0,1,-1)*QUOTIENT(((c_TMAP2IN)-(c_TMAP1IN)),2)))&gt;=0,1,0)))</f>
        <v>210</v>
      </c>
      <c r="G209" s="7" t="n">
        <f aca="false">IF(((c_TMAP3IN)-(c_TMAP2IN))=0,(c_TMAP2OUT)+QUOTIENT(((c_TMAP3OUT)-(c_TMAP2OUT)),2),QUOTIENT((((C209)-(c_TMAP2IN))*((c_TMAP3OUT)-(c_TMAP2OUT))+IF(((c_TMAP3OUT)-(c_TMAP2OUT))&gt;=0,1,-1)*QUOTIENT(((c_TMAP3IN)-(c_TMAP2IN)),2)),((c_TMAP3IN)-(c_TMAP2IN)))+(c_TMAP2OUT)+IF(((c_TMAP3OUT)-(c_TMAP2OUT))&gt;=0,IF(IF(o_WRAP=1,MOD(((c_TMAP3IN)-(c_TMAP2IN))*(((C209)-(c_TMAP2IN))*((c_TMAP3OUT)-(c_TMAP2OUT))+IF(((c_TMAP3OUT)-(c_TMAP2OUT))&gt;=0,1,-1)*QUOTIENT(((c_TMAP3IN)-(c_TMAP2IN)),2))+2147483648,4294967296)-2147483648,((c_TMAP3IN)-(c_TMAP2IN))*(((C209)-(c_TMAP2IN))*((c_TMAP3OUT)-(c_TMAP2OUT))+IF(((c_TMAP3OUT)-(c_TMAP2OUT))&gt;=0,1,-1)*QUOTIENT(((c_TMAP3IN)-(c_TMAP2IN)),2)))&lt;0,-1,0),IF(IF(o_WRAP=1,MOD(((c_TMAP3IN)-(c_TMAP2IN))*(((C209)-(c_TMAP2IN))*((c_TMAP3OUT)-(c_TMAP2OUT))+IF(((c_TMAP3OUT)-(c_TMAP2OUT))&gt;=0,1,-1)*QUOTIENT(((c_TMAP3IN)-(c_TMAP2IN)),2))+2147483648,4294967296)-2147483648,((c_TMAP3IN)-(c_TMAP2IN))*(((C209)-(c_TMAP2IN))*((c_TMAP3OUT)-(c_TMAP2OUT))+IF(((c_TMAP3OUT)-(c_TMAP2OUT))&gt;=0,1,-1)*QUOTIENT(((c_TMAP3IN)-(c_TMAP2IN)),2)))&gt;=0,1,0)))</f>
        <v>270</v>
      </c>
      <c r="H209" s="7" t="n">
        <f aca="false">IF(((1000)-(c_TMAP3IN))=0,(c_TMAP3OUT)+QUOTIENT(((1000)-(c_TMAP3OUT)),2),QUOTIENT((((C209)-(c_TMAP3IN))*((1000)-(c_TMAP3OUT))+IF(((1000)-(c_TMAP3OUT))&gt;=0,1,-1)*QUOTIENT(((1000)-(c_TMAP3IN)),2)),((1000)-(c_TMAP3IN)))+(c_TMAP3OUT)+IF(((1000)-(c_TMAP3OUT))&gt;=0,IF(IF(o_WRAP=1,MOD(((1000)-(c_TMAP3IN))*(((C209)-(c_TMAP3IN))*((1000)-(c_TMAP3OUT))+IF(((1000)-(c_TMAP3OUT))&gt;=0,1,-1)*QUOTIENT(((1000)-(c_TMAP3IN)),2))+2147483648,4294967296)-2147483648,((1000)-(c_TMAP3IN))*(((C209)-(c_TMAP3IN))*((1000)-(c_TMAP3OUT))+IF(((1000)-(c_TMAP3OUT))&gt;=0,1,-1)*QUOTIENT(((1000)-(c_TMAP3IN)),2)))&lt;0,-1,0),IF(IF(o_WRAP=1,MOD(((1000)-(c_TMAP3IN))*(((C209)-(c_TMAP3IN))*((1000)-(c_TMAP3OUT))+IF(((1000)-(c_TMAP3OUT))&gt;=0,1,-1)*QUOTIENT(((1000)-(c_TMAP3IN)),2))+2147483648,4294967296)-2147483648,((1000)-(c_TMAP3IN))*(((C209)-(c_TMAP3IN))*((1000)-(c_TMAP3OUT))+IF(((1000)-(c_TMAP3OUT))&gt;=0,1,-1)*QUOTIENT(((1000)-(c_TMAP3IN)),2)))&gt;=0,1,0)))</f>
        <v>323</v>
      </c>
      <c r="I209" s="7" t="n">
        <f aca="false">IF(C209&gt;=c_TFWD,IF(AND(C209&gt;=c_TMAP3IN,c_TMAP3IN&lt;1000),H209,IF(AND(C209&gt;=c_TMAP2IN,c_TMAP3IN&gt;c_TMAP2IN),G209,IF(AND(C209&gt;=c_TMAP1IN,c_TMAP2IN&gt;c_TMAP1IN),F209,E209))),D209)</f>
        <v>323</v>
      </c>
      <c r="J209" s="7" t="str">
        <f aca="false">IF(I209&lt;-1090,"TOO LOW",IF(I209&gt;1090,"TOO HIGH",""))</f>
        <v/>
      </c>
      <c r="K209" s="7" t="n">
        <f aca="false">IF(J209&lt;&gt;"",0,IF(I209&gt;979,1000,I209))</f>
        <v>323</v>
      </c>
      <c r="L209" s="7" t="n">
        <f aca="false">IF(OR(c_TSMOOTH=0,K209&gt;=c_TSMOOTHCUT),1,0)</f>
        <v>0</v>
      </c>
      <c r="M209" s="7" t="n">
        <f aca="false">IF(L209=1,0,M208+1)</f>
        <v>123</v>
      </c>
      <c r="N209" s="7" t="n">
        <f aca="false">IF(L209=1,0,MIN(M209,c_TSMOOTH))</f>
        <v>30</v>
      </c>
      <c r="O209" s="7" t="n">
        <f aca="false">IF(COUNTIF($L$5:L209,1)&gt;0,c_TSMOOTHCUT,0)</f>
        <v>400</v>
      </c>
      <c r="P209" s="15" t="n">
        <f aca="true">IF(L209=1,K209,QUOTIENT(SUM(OFFSET(K209,1-N209,0,N209,1))+(c_TSMOOTH-N209)*O209,c_TSMOOTH))</f>
        <v>323</v>
      </c>
      <c r="Q209" s="7" t="n">
        <f aca="false">K209/10</f>
        <v>32.3</v>
      </c>
      <c r="R209" s="7" t="n">
        <f aca="false">P209/10</f>
        <v>32.3</v>
      </c>
    </row>
    <row r="210" customFormat="false" ht="15" hidden="false" customHeight="false" outlineLevel="0" collapsed="false">
      <c r="A210" s="7" t="n">
        <v>205</v>
      </c>
      <c r="B210" s="7" t="n">
        <f aca="false">A210*0.04</f>
        <v>8.2</v>
      </c>
      <c r="C210" s="18" t="n">
        <v>450</v>
      </c>
      <c r="D210" s="7" t="n">
        <f aca="false">IF(AND(C210=0,c_TCREEP&gt;0),10*c_TCREEP,IF(AND(C210&lt;=c_TRNGMIN,C210&gt;=c_TRNGMAX,c_TRNGMIN-c_TRNGMAX&lt;&gt;0),-10*c_TMINRN+QUOTIENT((c_TMAXRN-c_TMINRN)*(100-QUOTIENT((C210-c_TRNGMAX)*100,c_TRNGMIN-c_TRNGMAX)),-10),0))</f>
        <v>0</v>
      </c>
      <c r="E210" s="7" t="n">
        <f aca="false">IF(((c_TMAP1IN)-(c_TFWD))=0,(0)+QUOTIENT(((c_TMAP1OUT)-(0)),2),QUOTIENT((((C210)-(c_TFWD))*((c_TMAP1OUT)-(0))+IF(((c_TMAP1OUT)-(0))&gt;=0,1,-1)*QUOTIENT(((c_TMAP1IN)-(c_TFWD)),2)),((c_TMAP1IN)-(c_TFWD)))+(0)+IF(((c_TMAP1OUT)-(0))&gt;=0,IF(IF(o_WRAP=1,MOD(((c_TMAP1IN)-(c_TFWD))*(((C210)-(c_TFWD))*((c_TMAP1OUT)-(0))+IF(((c_TMAP1OUT)-(0))&gt;=0,1,-1)*QUOTIENT(((c_TMAP1IN)-(c_TFWD)),2))+2147483648,4294967296)-2147483648,((c_TMAP1IN)-(c_TFWD))*(((C210)-(c_TFWD))*((c_TMAP1OUT)-(0))+IF(((c_TMAP1OUT)-(0))&gt;=0,1,-1)*QUOTIENT(((c_TMAP1IN)-(c_TFWD)),2)))&lt;0,-1,0),IF(IF(o_WRAP=1,MOD(((c_TMAP1IN)-(c_TFWD))*(((C210)-(c_TFWD))*((c_TMAP1OUT)-(0))+IF(((c_TMAP1OUT)-(0))&gt;=0,1,-1)*QUOTIENT(((c_TMAP1IN)-(c_TFWD)),2))+2147483648,4294967296)-2147483648,((c_TMAP1IN)-(c_TFWD))*(((C210)-(c_TFWD))*((c_TMAP1OUT)-(0))+IF(((c_TMAP1OUT)-(0))&gt;=0,1,-1)*QUOTIENT(((c_TMAP1IN)-(c_TFWD)),2)))&gt;=0,1,0)))</f>
        <v>342</v>
      </c>
      <c r="F210" s="7" t="n">
        <f aca="false">IF(((c_TMAP2IN)-(c_TMAP1IN))=0,(c_TMAP1OUT)+QUOTIENT(((c_TMAP2OUT)-(c_TMAP1OUT)),2),QUOTIENT((((C210)-(c_TMAP1IN))*((c_TMAP2OUT)-(c_TMAP1OUT))+IF(((c_TMAP2OUT)-(c_TMAP1OUT))&gt;=0,1,-1)*QUOTIENT(((c_TMAP2IN)-(c_TMAP1IN)),2)),((c_TMAP2IN)-(c_TMAP1IN)))+(c_TMAP1OUT)+IF(((c_TMAP2OUT)-(c_TMAP1OUT))&gt;=0,IF(IF(o_WRAP=1,MOD(((c_TMAP2IN)-(c_TMAP1IN))*(((C210)-(c_TMAP1IN))*((c_TMAP2OUT)-(c_TMAP1OUT))+IF(((c_TMAP2OUT)-(c_TMAP1OUT))&gt;=0,1,-1)*QUOTIENT(((c_TMAP2IN)-(c_TMAP1IN)),2))+2147483648,4294967296)-2147483648,((c_TMAP2IN)-(c_TMAP1IN))*(((C210)-(c_TMAP1IN))*((c_TMAP2OUT)-(c_TMAP1OUT))+IF(((c_TMAP2OUT)-(c_TMAP1OUT))&gt;=0,1,-1)*QUOTIENT(((c_TMAP2IN)-(c_TMAP1IN)),2)))&lt;0,-1,0),IF(IF(o_WRAP=1,MOD(((c_TMAP2IN)-(c_TMAP1IN))*(((C210)-(c_TMAP1IN))*((c_TMAP2OUT)-(c_TMAP1OUT))+IF(((c_TMAP2OUT)-(c_TMAP1OUT))&gt;=0,1,-1)*QUOTIENT(((c_TMAP2IN)-(c_TMAP1IN)),2))+2147483648,4294967296)-2147483648,((c_TMAP2IN)-(c_TMAP1IN))*(((C210)-(c_TMAP1IN))*((c_TMAP2OUT)-(c_TMAP1OUT))+IF(((c_TMAP2OUT)-(c_TMAP1OUT))&gt;=0,1,-1)*QUOTIENT(((c_TMAP2IN)-(c_TMAP1IN)),2)))&gt;=0,1,0)))</f>
        <v>210</v>
      </c>
      <c r="G210" s="7" t="n">
        <f aca="false">IF(((c_TMAP3IN)-(c_TMAP2IN))=0,(c_TMAP2OUT)+QUOTIENT(((c_TMAP3OUT)-(c_TMAP2OUT)),2),QUOTIENT((((C210)-(c_TMAP2IN))*((c_TMAP3OUT)-(c_TMAP2OUT))+IF(((c_TMAP3OUT)-(c_TMAP2OUT))&gt;=0,1,-1)*QUOTIENT(((c_TMAP3IN)-(c_TMAP2IN)),2)),((c_TMAP3IN)-(c_TMAP2IN)))+(c_TMAP2OUT)+IF(((c_TMAP3OUT)-(c_TMAP2OUT))&gt;=0,IF(IF(o_WRAP=1,MOD(((c_TMAP3IN)-(c_TMAP2IN))*(((C210)-(c_TMAP2IN))*((c_TMAP3OUT)-(c_TMAP2OUT))+IF(((c_TMAP3OUT)-(c_TMAP2OUT))&gt;=0,1,-1)*QUOTIENT(((c_TMAP3IN)-(c_TMAP2IN)),2))+2147483648,4294967296)-2147483648,((c_TMAP3IN)-(c_TMAP2IN))*(((C210)-(c_TMAP2IN))*((c_TMAP3OUT)-(c_TMAP2OUT))+IF(((c_TMAP3OUT)-(c_TMAP2OUT))&gt;=0,1,-1)*QUOTIENT(((c_TMAP3IN)-(c_TMAP2IN)),2)))&lt;0,-1,0),IF(IF(o_WRAP=1,MOD(((c_TMAP3IN)-(c_TMAP2IN))*(((C210)-(c_TMAP2IN))*((c_TMAP3OUT)-(c_TMAP2OUT))+IF(((c_TMAP3OUT)-(c_TMAP2OUT))&gt;=0,1,-1)*QUOTIENT(((c_TMAP3IN)-(c_TMAP2IN)),2))+2147483648,4294967296)-2147483648,((c_TMAP3IN)-(c_TMAP2IN))*(((C210)-(c_TMAP2IN))*((c_TMAP3OUT)-(c_TMAP2OUT))+IF(((c_TMAP3OUT)-(c_TMAP2OUT))&gt;=0,1,-1)*QUOTIENT(((c_TMAP3IN)-(c_TMAP2IN)),2)))&gt;=0,1,0)))</f>
        <v>270</v>
      </c>
      <c r="H210" s="7" t="n">
        <f aca="false">IF(((1000)-(c_TMAP3IN))=0,(c_TMAP3OUT)+QUOTIENT(((1000)-(c_TMAP3OUT)),2),QUOTIENT((((C210)-(c_TMAP3IN))*((1000)-(c_TMAP3OUT))+IF(((1000)-(c_TMAP3OUT))&gt;=0,1,-1)*QUOTIENT(((1000)-(c_TMAP3IN)),2)),((1000)-(c_TMAP3IN)))+(c_TMAP3OUT)+IF(((1000)-(c_TMAP3OUT))&gt;=0,IF(IF(o_WRAP=1,MOD(((1000)-(c_TMAP3IN))*(((C210)-(c_TMAP3IN))*((1000)-(c_TMAP3OUT))+IF(((1000)-(c_TMAP3OUT))&gt;=0,1,-1)*QUOTIENT(((1000)-(c_TMAP3IN)),2))+2147483648,4294967296)-2147483648,((1000)-(c_TMAP3IN))*(((C210)-(c_TMAP3IN))*((1000)-(c_TMAP3OUT))+IF(((1000)-(c_TMAP3OUT))&gt;=0,1,-1)*QUOTIENT(((1000)-(c_TMAP3IN)),2)))&lt;0,-1,0),IF(IF(o_WRAP=1,MOD(((1000)-(c_TMAP3IN))*(((C210)-(c_TMAP3IN))*((1000)-(c_TMAP3OUT))+IF(((1000)-(c_TMAP3OUT))&gt;=0,1,-1)*QUOTIENT(((1000)-(c_TMAP3IN)),2))+2147483648,4294967296)-2147483648,((1000)-(c_TMAP3IN))*(((C210)-(c_TMAP3IN))*((1000)-(c_TMAP3OUT))+IF(((1000)-(c_TMAP3OUT))&gt;=0,1,-1)*QUOTIENT(((1000)-(c_TMAP3IN)),2)))&gt;=0,1,0)))</f>
        <v>323</v>
      </c>
      <c r="I210" s="7" t="n">
        <f aca="false">IF(C210&gt;=c_TFWD,IF(AND(C210&gt;=c_TMAP3IN,c_TMAP3IN&lt;1000),H210,IF(AND(C210&gt;=c_TMAP2IN,c_TMAP3IN&gt;c_TMAP2IN),G210,IF(AND(C210&gt;=c_TMAP1IN,c_TMAP2IN&gt;c_TMAP1IN),F210,E210))),D210)</f>
        <v>323</v>
      </c>
      <c r="J210" s="7" t="str">
        <f aca="false">IF(I210&lt;-1090,"TOO LOW",IF(I210&gt;1090,"TOO HIGH",""))</f>
        <v/>
      </c>
      <c r="K210" s="7" t="n">
        <f aca="false">IF(J210&lt;&gt;"",0,IF(I210&gt;979,1000,I210))</f>
        <v>323</v>
      </c>
      <c r="L210" s="7" t="n">
        <f aca="false">IF(OR(c_TSMOOTH=0,K210&gt;=c_TSMOOTHCUT),1,0)</f>
        <v>0</v>
      </c>
      <c r="M210" s="7" t="n">
        <f aca="false">IF(L210=1,0,M209+1)</f>
        <v>124</v>
      </c>
      <c r="N210" s="7" t="n">
        <f aca="false">IF(L210=1,0,MIN(M210,c_TSMOOTH))</f>
        <v>30</v>
      </c>
      <c r="O210" s="7" t="n">
        <f aca="false">IF(COUNTIF($L$5:L210,1)&gt;0,c_TSMOOTHCUT,0)</f>
        <v>400</v>
      </c>
      <c r="P210" s="15" t="n">
        <f aca="true">IF(L210=1,K210,QUOTIENT(SUM(OFFSET(K210,1-N210,0,N210,1))+(c_TSMOOTH-N210)*O210,c_TSMOOTH))</f>
        <v>323</v>
      </c>
      <c r="Q210" s="7" t="n">
        <f aca="false">K210/10</f>
        <v>32.3</v>
      </c>
      <c r="R210" s="7" t="n">
        <f aca="false">P210/10</f>
        <v>32.3</v>
      </c>
    </row>
    <row r="211" customFormat="false" ht="15" hidden="false" customHeight="false" outlineLevel="0" collapsed="false">
      <c r="A211" s="7" t="n">
        <v>206</v>
      </c>
      <c r="B211" s="7" t="n">
        <f aca="false">A211*0.04</f>
        <v>8.24</v>
      </c>
      <c r="C211" s="18" t="n">
        <v>450</v>
      </c>
      <c r="D211" s="7" t="n">
        <f aca="false">IF(AND(C211=0,c_TCREEP&gt;0),10*c_TCREEP,IF(AND(C211&lt;=c_TRNGMIN,C211&gt;=c_TRNGMAX,c_TRNGMIN-c_TRNGMAX&lt;&gt;0),-10*c_TMINRN+QUOTIENT((c_TMAXRN-c_TMINRN)*(100-QUOTIENT((C211-c_TRNGMAX)*100,c_TRNGMIN-c_TRNGMAX)),-10),0))</f>
        <v>0</v>
      </c>
      <c r="E211" s="7" t="n">
        <f aca="false">IF(((c_TMAP1IN)-(c_TFWD))=0,(0)+QUOTIENT(((c_TMAP1OUT)-(0)),2),QUOTIENT((((C211)-(c_TFWD))*((c_TMAP1OUT)-(0))+IF(((c_TMAP1OUT)-(0))&gt;=0,1,-1)*QUOTIENT(((c_TMAP1IN)-(c_TFWD)),2)),((c_TMAP1IN)-(c_TFWD)))+(0)+IF(((c_TMAP1OUT)-(0))&gt;=0,IF(IF(o_WRAP=1,MOD(((c_TMAP1IN)-(c_TFWD))*(((C211)-(c_TFWD))*((c_TMAP1OUT)-(0))+IF(((c_TMAP1OUT)-(0))&gt;=0,1,-1)*QUOTIENT(((c_TMAP1IN)-(c_TFWD)),2))+2147483648,4294967296)-2147483648,((c_TMAP1IN)-(c_TFWD))*(((C211)-(c_TFWD))*((c_TMAP1OUT)-(0))+IF(((c_TMAP1OUT)-(0))&gt;=0,1,-1)*QUOTIENT(((c_TMAP1IN)-(c_TFWD)),2)))&lt;0,-1,0),IF(IF(o_WRAP=1,MOD(((c_TMAP1IN)-(c_TFWD))*(((C211)-(c_TFWD))*((c_TMAP1OUT)-(0))+IF(((c_TMAP1OUT)-(0))&gt;=0,1,-1)*QUOTIENT(((c_TMAP1IN)-(c_TFWD)),2))+2147483648,4294967296)-2147483648,((c_TMAP1IN)-(c_TFWD))*(((C211)-(c_TFWD))*((c_TMAP1OUT)-(0))+IF(((c_TMAP1OUT)-(0))&gt;=0,1,-1)*QUOTIENT(((c_TMAP1IN)-(c_TFWD)),2)))&gt;=0,1,0)))</f>
        <v>342</v>
      </c>
      <c r="F211" s="7" t="n">
        <f aca="false">IF(((c_TMAP2IN)-(c_TMAP1IN))=0,(c_TMAP1OUT)+QUOTIENT(((c_TMAP2OUT)-(c_TMAP1OUT)),2),QUOTIENT((((C211)-(c_TMAP1IN))*((c_TMAP2OUT)-(c_TMAP1OUT))+IF(((c_TMAP2OUT)-(c_TMAP1OUT))&gt;=0,1,-1)*QUOTIENT(((c_TMAP2IN)-(c_TMAP1IN)),2)),((c_TMAP2IN)-(c_TMAP1IN)))+(c_TMAP1OUT)+IF(((c_TMAP2OUT)-(c_TMAP1OUT))&gt;=0,IF(IF(o_WRAP=1,MOD(((c_TMAP2IN)-(c_TMAP1IN))*(((C211)-(c_TMAP1IN))*((c_TMAP2OUT)-(c_TMAP1OUT))+IF(((c_TMAP2OUT)-(c_TMAP1OUT))&gt;=0,1,-1)*QUOTIENT(((c_TMAP2IN)-(c_TMAP1IN)),2))+2147483648,4294967296)-2147483648,((c_TMAP2IN)-(c_TMAP1IN))*(((C211)-(c_TMAP1IN))*((c_TMAP2OUT)-(c_TMAP1OUT))+IF(((c_TMAP2OUT)-(c_TMAP1OUT))&gt;=0,1,-1)*QUOTIENT(((c_TMAP2IN)-(c_TMAP1IN)),2)))&lt;0,-1,0),IF(IF(o_WRAP=1,MOD(((c_TMAP2IN)-(c_TMAP1IN))*(((C211)-(c_TMAP1IN))*((c_TMAP2OUT)-(c_TMAP1OUT))+IF(((c_TMAP2OUT)-(c_TMAP1OUT))&gt;=0,1,-1)*QUOTIENT(((c_TMAP2IN)-(c_TMAP1IN)),2))+2147483648,4294967296)-2147483648,((c_TMAP2IN)-(c_TMAP1IN))*(((C211)-(c_TMAP1IN))*((c_TMAP2OUT)-(c_TMAP1OUT))+IF(((c_TMAP2OUT)-(c_TMAP1OUT))&gt;=0,1,-1)*QUOTIENT(((c_TMAP2IN)-(c_TMAP1IN)),2)))&gt;=0,1,0)))</f>
        <v>210</v>
      </c>
      <c r="G211" s="7" t="n">
        <f aca="false">IF(((c_TMAP3IN)-(c_TMAP2IN))=0,(c_TMAP2OUT)+QUOTIENT(((c_TMAP3OUT)-(c_TMAP2OUT)),2),QUOTIENT((((C211)-(c_TMAP2IN))*((c_TMAP3OUT)-(c_TMAP2OUT))+IF(((c_TMAP3OUT)-(c_TMAP2OUT))&gt;=0,1,-1)*QUOTIENT(((c_TMAP3IN)-(c_TMAP2IN)),2)),((c_TMAP3IN)-(c_TMAP2IN)))+(c_TMAP2OUT)+IF(((c_TMAP3OUT)-(c_TMAP2OUT))&gt;=0,IF(IF(o_WRAP=1,MOD(((c_TMAP3IN)-(c_TMAP2IN))*(((C211)-(c_TMAP2IN))*((c_TMAP3OUT)-(c_TMAP2OUT))+IF(((c_TMAP3OUT)-(c_TMAP2OUT))&gt;=0,1,-1)*QUOTIENT(((c_TMAP3IN)-(c_TMAP2IN)),2))+2147483648,4294967296)-2147483648,((c_TMAP3IN)-(c_TMAP2IN))*(((C211)-(c_TMAP2IN))*((c_TMAP3OUT)-(c_TMAP2OUT))+IF(((c_TMAP3OUT)-(c_TMAP2OUT))&gt;=0,1,-1)*QUOTIENT(((c_TMAP3IN)-(c_TMAP2IN)),2)))&lt;0,-1,0),IF(IF(o_WRAP=1,MOD(((c_TMAP3IN)-(c_TMAP2IN))*(((C211)-(c_TMAP2IN))*((c_TMAP3OUT)-(c_TMAP2OUT))+IF(((c_TMAP3OUT)-(c_TMAP2OUT))&gt;=0,1,-1)*QUOTIENT(((c_TMAP3IN)-(c_TMAP2IN)),2))+2147483648,4294967296)-2147483648,((c_TMAP3IN)-(c_TMAP2IN))*(((C211)-(c_TMAP2IN))*((c_TMAP3OUT)-(c_TMAP2OUT))+IF(((c_TMAP3OUT)-(c_TMAP2OUT))&gt;=0,1,-1)*QUOTIENT(((c_TMAP3IN)-(c_TMAP2IN)),2)))&gt;=0,1,0)))</f>
        <v>270</v>
      </c>
      <c r="H211" s="7" t="n">
        <f aca="false">IF(((1000)-(c_TMAP3IN))=0,(c_TMAP3OUT)+QUOTIENT(((1000)-(c_TMAP3OUT)),2),QUOTIENT((((C211)-(c_TMAP3IN))*((1000)-(c_TMAP3OUT))+IF(((1000)-(c_TMAP3OUT))&gt;=0,1,-1)*QUOTIENT(((1000)-(c_TMAP3IN)),2)),((1000)-(c_TMAP3IN)))+(c_TMAP3OUT)+IF(((1000)-(c_TMAP3OUT))&gt;=0,IF(IF(o_WRAP=1,MOD(((1000)-(c_TMAP3IN))*(((C211)-(c_TMAP3IN))*((1000)-(c_TMAP3OUT))+IF(((1000)-(c_TMAP3OUT))&gt;=0,1,-1)*QUOTIENT(((1000)-(c_TMAP3IN)),2))+2147483648,4294967296)-2147483648,((1000)-(c_TMAP3IN))*(((C211)-(c_TMAP3IN))*((1000)-(c_TMAP3OUT))+IF(((1000)-(c_TMAP3OUT))&gt;=0,1,-1)*QUOTIENT(((1000)-(c_TMAP3IN)),2)))&lt;0,-1,0),IF(IF(o_WRAP=1,MOD(((1000)-(c_TMAP3IN))*(((C211)-(c_TMAP3IN))*((1000)-(c_TMAP3OUT))+IF(((1000)-(c_TMAP3OUT))&gt;=0,1,-1)*QUOTIENT(((1000)-(c_TMAP3IN)),2))+2147483648,4294967296)-2147483648,((1000)-(c_TMAP3IN))*(((C211)-(c_TMAP3IN))*((1000)-(c_TMAP3OUT))+IF(((1000)-(c_TMAP3OUT))&gt;=0,1,-1)*QUOTIENT(((1000)-(c_TMAP3IN)),2)))&gt;=0,1,0)))</f>
        <v>323</v>
      </c>
      <c r="I211" s="7" t="n">
        <f aca="false">IF(C211&gt;=c_TFWD,IF(AND(C211&gt;=c_TMAP3IN,c_TMAP3IN&lt;1000),H211,IF(AND(C211&gt;=c_TMAP2IN,c_TMAP3IN&gt;c_TMAP2IN),G211,IF(AND(C211&gt;=c_TMAP1IN,c_TMAP2IN&gt;c_TMAP1IN),F211,E211))),D211)</f>
        <v>323</v>
      </c>
      <c r="J211" s="7" t="str">
        <f aca="false">IF(I211&lt;-1090,"TOO LOW",IF(I211&gt;1090,"TOO HIGH",""))</f>
        <v/>
      </c>
      <c r="K211" s="7" t="n">
        <f aca="false">IF(J211&lt;&gt;"",0,IF(I211&gt;979,1000,I211))</f>
        <v>323</v>
      </c>
      <c r="L211" s="7" t="n">
        <f aca="false">IF(OR(c_TSMOOTH=0,K211&gt;=c_TSMOOTHCUT),1,0)</f>
        <v>0</v>
      </c>
      <c r="M211" s="7" t="n">
        <f aca="false">IF(L211=1,0,M210+1)</f>
        <v>125</v>
      </c>
      <c r="N211" s="7" t="n">
        <f aca="false">IF(L211=1,0,MIN(M211,c_TSMOOTH))</f>
        <v>30</v>
      </c>
      <c r="O211" s="7" t="n">
        <f aca="false">IF(COUNTIF($L$5:L211,1)&gt;0,c_TSMOOTHCUT,0)</f>
        <v>400</v>
      </c>
      <c r="P211" s="15" t="n">
        <f aca="true">IF(L211=1,K211,QUOTIENT(SUM(OFFSET(K211,1-N211,0,N211,1))+(c_TSMOOTH-N211)*O211,c_TSMOOTH))</f>
        <v>323</v>
      </c>
      <c r="Q211" s="7" t="n">
        <f aca="false">K211/10</f>
        <v>32.3</v>
      </c>
      <c r="R211" s="7" t="n">
        <f aca="false">P211/10</f>
        <v>32.3</v>
      </c>
    </row>
    <row r="212" customFormat="false" ht="15" hidden="false" customHeight="false" outlineLevel="0" collapsed="false">
      <c r="A212" s="7" t="n">
        <v>207</v>
      </c>
      <c r="B212" s="7" t="n">
        <f aca="false">A212*0.04</f>
        <v>8.28</v>
      </c>
      <c r="C212" s="18" t="n">
        <v>450</v>
      </c>
      <c r="D212" s="7" t="n">
        <f aca="false">IF(AND(C212=0,c_TCREEP&gt;0),10*c_TCREEP,IF(AND(C212&lt;=c_TRNGMIN,C212&gt;=c_TRNGMAX,c_TRNGMIN-c_TRNGMAX&lt;&gt;0),-10*c_TMINRN+QUOTIENT((c_TMAXRN-c_TMINRN)*(100-QUOTIENT((C212-c_TRNGMAX)*100,c_TRNGMIN-c_TRNGMAX)),-10),0))</f>
        <v>0</v>
      </c>
      <c r="E212" s="7" t="n">
        <f aca="false">IF(((c_TMAP1IN)-(c_TFWD))=0,(0)+QUOTIENT(((c_TMAP1OUT)-(0)),2),QUOTIENT((((C212)-(c_TFWD))*((c_TMAP1OUT)-(0))+IF(((c_TMAP1OUT)-(0))&gt;=0,1,-1)*QUOTIENT(((c_TMAP1IN)-(c_TFWD)),2)),((c_TMAP1IN)-(c_TFWD)))+(0)+IF(((c_TMAP1OUT)-(0))&gt;=0,IF(IF(o_WRAP=1,MOD(((c_TMAP1IN)-(c_TFWD))*(((C212)-(c_TFWD))*((c_TMAP1OUT)-(0))+IF(((c_TMAP1OUT)-(0))&gt;=0,1,-1)*QUOTIENT(((c_TMAP1IN)-(c_TFWD)),2))+2147483648,4294967296)-2147483648,((c_TMAP1IN)-(c_TFWD))*(((C212)-(c_TFWD))*((c_TMAP1OUT)-(0))+IF(((c_TMAP1OUT)-(0))&gt;=0,1,-1)*QUOTIENT(((c_TMAP1IN)-(c_TFWD)),2)))&lt;0,-1,0),IF(IF(o_WRAP=1,MOD(((c_TMAP1IN)-(c_TFWD))*(((C212)-(c_TFWD))*((c_TMAP1OUT)-(0))+IF(((c_TMAP1OUT)-(0))&gt;=0,1,-1)*QUOTIENT(((c_TMAP1IN)-(c_TFWD)),2))+2147483648,4294967296)-2147483648,((c_TMAP1IN)-(c_TFWD))*(((C212)-(c_TFWD))*((c_TMAP1OUT)-(0))+IF(((c_TMAP1OUT)-(0))&gt;=0,1,-1)*QUOTIENT(((c_TMAP1IN)-(c_TFWD)),2)))&gt;=0,1,0)))</f>
        <v>342</v>
      </c>
      <c r="F212" s="7" t="n">
        <f aca="false">IF(((c_TMAP2IN)-(c_TMAP1IN))=0,(c_TMAP1OUT)+QUOTIENT(((c_TMAP2OUT)-(c_TMAP1OUT)),2),QUOTIENT((((C212)-(c_TMAP1IN))*((c_TMAP2OUT)-(c_TMAP1OUT))+IF(((c_TMAP2OUT)-(c_TMAP1OUT))&gt;=0,1,-1)*QUOTIENT(((c_TMAP2IN)-(c_TMAP1IN)),2)),((c_TMAP2IN)-(c_TMAP1IN)))+(c_TMAP1OUT)+IF(((c_TMAP2OUT)-(c_TMAP1OUT))&gt;=0,IF(IF(o_WRAP=1,MOD(((c_TMAP2IN)-(c_TMAP1IN))*(((C212)-(c_TMAP1IN))*((c_TMAP2OUT)-(c_TMAP1OUT))+IF(((c_TMAP2OUT)-(c_TMAP1OUT))&gt;=0,1,-1)*QUOTIENT(((c_TMAP2IN)-(c_TMAP1IN)),2))+2147483648,4294967296)-2147483648,((c_TMAP2IN)-(c_TMAP1IN))*(((C212)-(c_TMAP1IN))*((c_TMAP2OUT)-(c_TMAP1OUT))+IF(((c_TMAP2OUT)-(c_TMAP1OUT))&gt;=0,1,-1)*QUOTIENT(((c_TMAP2IN)-(c_TMAP1IN)),2)))&lt;0,-1,0),IF(IF(o_WRAP=1,MOD(((c_TMAP2IN)-(c_TMAP1IN))*(((C212)-(c_TMAP1IN))*((c_TMAP2OUT)-(c_TMAP1OUT))+IF(((c_TMAP2OUT)-(c_TMAP1OUT))&gt;=0,1,-1)*QUOTIENT(((c_TMAP2IN)-(c_TMAP1IN)),2))+2147483648,4294967296)-2147483648,((c_TMAP2IN)-(c_TMAP1IN))*(((C212)-(c_TMAP1IN))*((c_TMAP2OUT)-(c_TMAP1OUT))+IF(((c_TMAP2OUT)-(c_TMAP1OUT))&gt;=0,1,-1)*QUOTIENT(((c_TMAP2IN)-(c_TMAP1IN)),2)))&gt;=0,1,0)))</f>
        <v>210</v>
      </c>
      <c r="G212" s="7" t="n">
        <f aca="false">IF(((c_TMAP3IN)-(c_TMAP2IN))=0,(c_TMAP2OUT)+QUOTIENT(((c_TMAP3OUT)-(c_TMAP2OUT)),2),QUOTIENT((((C212)-(c_TMAP2IN))*((c_TMAP3OUT)-(c_TMAP2OUT))+IF(((c_TMAP3OUT)-(c_TMAP2OUT))&gt;=0,1,-1)*QUOTIENT(((c_TMAP3IN)-(c_TMAP2IN)),2)),((c_TMAP3IN)-(c_TMAP2IN)))+(c_TMAP2OUT)+IF(((c_TMAP3OUT)-(c_TMAP2OUT))&gt;=0,IF(IF(o_WRAP=1,MOD(((c_TMAP3IN)-(c_TMAP2IN))*(((C212)-(c_TMAP2IN))*((c_TMAP3OUT)-(c_TMAP2OUT))+IF(((c_TMAP3OUT)-(c_TMAP2OUT))&gt;=0,1,-1)*QUOTIENT(((c_TMAP3IN)-(c_TMAP2IN)),2))+2147483648,4294967296)-2147483648,((c_TMAP3IN)-(c_TMAP2IN))*(((C212)-(c_TMAP2IN))*((c_TMAP3OUT)-(c_TMAP2OUT))+IF(((c_TMAP3OUT)-(c_TMAP2OUT))&gt;=0,1,-1)*QUOTIENT(((c_TMAP3IN)-(c_TMAP2IN)),2)))&lt;0,-1,0),IF(IF(o_WRAP=1,MOD(((c_TMAP3IN)-(c_TMAP2IN))*(((C212)-(c_TMAP2IN))*((c_TMAP3OUT)-(c_TMAP2OUT))+IF(((c_TMAP3OUT)-(c_TMAP2OUT))&gt;=0,1,-1)*QUOTIENT(((c_TMAP3IN)-(c_TMAP2IN)),2))+2147483648,4294967296)-2147483648,((c_TMAP3IN)-(c_TMAP2IN))*(((C212)-(c_TMAP2IN))*((c_TMAP3OUT)-(c_TMAP2OUT))+IF(((c_TMAP3OUT)-(c_TMAP2OUT))&gt;=0,1,-1)*QUOTIENT(((c_TMAP3IN)-(c_TMAP2IN)),2)))&gt;=0,1,0)))</f>
        <v>270</v>
      </c>
      <c r="H212" s="7" t="n">
        <f aca="false">IF(((1000)-(c_TMAP3IN))=0,(c_TMAP3OUT)+QUOTIENT(((1000)-(c_TMAP3OUT)),2),QUOTIENT((((C212)-(c_TMAP3IN))*((1000)-(c_TMAP3OUT))+IF(((1000)-(c_TMAP3OUT))&gt;=0,1,-1)*QUOTIENT(((1000)-(c_TMAP3IN)),2)),((1000)-(c_TMAP3IN)))+(c_TMAP3OUT)+IF(((1000)-(c_TMAP3OUT))&gt;=0,IF(IF(o_WRAP=1,MOD(((1000)-(c_TMAP3IN))*(((C212)-(c_TMAP3IN))*((1000)-(c_TMAP3OUT))+IF(((1000)-(c_TMAP3OUT))&gt;=0,1,-1)*QUOTIENT(((1000)-(c_TMAP3IN)),2))+2147483648,4294967296)-2147483648,((1000)-(c_TMAP3IN))*(((C212)-(c_TMAP3IN))*((1000)-(c_TMAP3OUT))+IF(((1000)-(c_TMAP3OUT))&gt;=0,1,-1)*QUOTIENT(((1000)-(c_TMAP3IN)),2)))&lt;0,-1,0),IF(IF(o_WRAP=1,MOD(((1000)-(c_TMAP3IN))*(((C212)-(c_TMAP3IN))*((1000)-(c_TMAP3OUT))+IF(((1000)-(c_TMAP3OUT))&gt;=0,1,-1)*QUOTIENT(((1000)-(c_TMAP3IN)),2))+2147483648,4294967296)-2147483648,((1000)-(c_TMAP3IN))*(((C212)-(c_TMAP3IN))*((1000)-(c_TMAP3OUT))+IF(((1000)-(c_TMAP3OUT))&gt;=0,1,-1)*QUOTIENT(((1000)-(c_TMAP3IN)),2)))&gt;=0,1,0)))</f>
        <v>323</v>
      </c>
      <c r="I212" s="7" t="n">
        <f aca="false">IF(C212&gt;=c_TFWD,IF(AND(C212&gt;=c_TMAP3IN,c_TMAP3IN&lt;1000),H212,IF(AND(C212&gt;=c_TMAP2IN,c_TMAP3IN&gt;c_TMAP2IN),G212,IF(AND(C212&gt;=c_TMAP1IN,c_TMAP2IN&gt;c_TMAP1IN),F212,E212))),D212)</f>
        <v>323</v>
      </c>
      <c r="J212" s="7" t="str">
        <f aca="false">IF(I212&lt;-1090,"TOO LOW",IF(I212&gt;1090,"TOO HIGH",""))</f>
        <v/>
      </c>
      <c r="K212" s="7" t="n">
        <f aca="false">IF(J212&lt;&gt;"",0,IF(I212&gt;979,1000,I212))</f>
        <v>323</v>
      </c>
      <c r="L212" s="7" t="n">
        <f aca="false">IF(OR(c_TSMOOTH=0,K212&gt;=c_TSMOOTHCUT),1,0)</f>
        <v>0</v>
      </c>
      <c r="M212" s="7" t="n">
        <f aca="false">IF(L212=1,0,M211+1)</f>
        <v>126</v>
      </c>
      <c r="N212" s="7" t="n">
        <f aca="false">IF(L212=1,0,MIN(M212,c_TSMOOTH))</f>
        <v>30</v>
      </c>
      <c r="O212" s="7" t="n">
        <f aca="false">IF(COUNTIF($L$5:L212,1)&gt;0,c_TSMOOTHCUT,0)</f>
        <v>400</v>
      </c>
      <c r="P212" s="15" t="n">
        <f aca="true">IF(L212=1,K212,QUOTIENT(SUM(OFFSET(K212,1-N212,0,N212,1))+(c_TSMOOTH-N212)*O212,c_TSMOOTH))</f>
        <v>323</v>
      </c>
      <c r="Q212" s="7" t="n">
        <f aca="false">K212/10</f>
        <v>32.3</v>
      </c>
      <c r="R212" s="7" t="n">
        <f aca="false">P212/10</f>
        <v>32.3</v>
      </c>
    </row>
    <row r="213" customFormat="false" ht="15" hidden="false" customHeight="false" outlineLevel="0" collapsed="false">
      <c r="A213" s="7" t="n">
        <v>208</v>
      </c>
      <c r="B213" s="7" t="n">
        <f aca="false">A213*0.04</f>
        <v>8.32</v>
      </c>
      <c r="C213" s="18" t="n">
        <v>450</v>
      </c>
      <c r="D213" s="7" t="n">
        <f aca="false">IF(AND(C213=0,c_TCREEP&gt;0),10*c_TCREEP,IF(AND(C213&lt;=c_TRNGMIN,C213&gt;=c_TRNGMAX,c_TRNGMIN-c_TRNGMAX&lt;&gt;0),-10*c_TMINRN+QUOTIENT((c_TMAXRN-c_TMINRN)*(100-QUOTIENT((C213-c_TRNGMAX)*100,c_TRNGMIN-c_TRNGMAX)),-10),0))</f>
        <v>0</v>
      </c>
      <c r="E213" s="7" t="n">
        <f aca="false">IF(((c_TMAP1IN)-(c_TFWD))=0,(0)+QUOTIENT(((c_TMAP1OUT)-(0)),2),QUOTIENT((((C213)-(c_TFWD))*((c_TMAP1OUT)-(0))+IF(((c_TMAP1OUT)-(0))&gt;=0,1,-1)*QUOTIENT(((c_TMAP1IN)-(c_TFWD)),2)),((c_TMAP1IN)-(c_TFWD)))+(0)+IF(((c_TMAP1OUT)-(0))&gt;=0,IF(IF(o_WRAP=1,MOD(((c_TMAP1IN)-(c_TFWD))*(((C213)-(c_TFWD))*((c_TMAP1OUT)-(0))+IF(((c_TMAP1OUT)-(0))&gt;=0,1,-1)*QUOTIENT(((c_TMAP1IN)-(c_TFWD)),2))+2147483648,4294967296)-2147483648,((c_TMAP1IN)-(c_TFWD))*(((C213)-(c_TFWD))*((c_TMAP1OUT)-(0))+IF(((c_TMAP1OUT)-(0))&gt;=0,1,-1)*QUOTIENT(((c_TMAP1IN)-(c_TFWD)),2)))&lt;0,-1,0),IF(IF(o_WRAP=1,MOD(((c_TMAP1IN)-(c_TFWD))*(((C213)-(c_TFWD))*((c_TMAP1OUT)-(0))+IF(((c_TMAP1OUT)-(0))&gt;=0,1,-1)*QUOTIENT(((c_TMAP1IN)-(c_TFWD)),2))+2147483648,4294967296)-2147483648,((c_TMAP1IN)-(c_TFWD))*(((C213)-(c_TFWD))*((c_TMAP1OUT)-(0))+IF(((c_TMAP1OUT)-(0))&gt;=0,1,-1)*QUOTIENT(((c_TMAP1IN)-(c_TFWD)),2)))&gt;=0,1,0)))</f>
        <v>342</v>
      </c>
      <c r="F213" s="7" t="n">
        <f aca="false">IF(((c_TMAP2IN)-(c_TMAP1IN))=0,(c_TMAP1OUT)+QUOTIENT(((c_TMAP2OUT)-(c_TMAP1OUT)),2),QUOTIENT((((C213)-(c_TMAP1IN))*((c_TMAP2OUT)-(c_TMAP1OUT))+IF(((c_TMAP2OUT)-(c_TMAP1OUT))&gt;=0,1,-1)*QUOTIENT(((c_TMAP2IN)-(c_TMAP1IN)),2)),((c_TMAP2IN)-(c_TMAP1IN)))+(c_TMAP1OUT)+IF(((c_TMAP2OUT)-(c_TMAP1OUT))&gt;=0,IF(IF(o_WRAP=1,MOD(((c_TMAP2IN)-(c_TMAP1IN))*(((C213)-(c_TMAP1IN))*((c_TMAP2OUT)-(c_TMAP1OUT))+IF(((c_TMAP2OUT)-(c_TMAP1OUT))&gt;=0,1,-1)*QUOTIENT(((c_TMAP2IN)-(c_TMAP1IN)),2))+2147483648,4294967296)-2147483648,((c_TMAP2IN)-(c_TMAP1IN))*(((C213)-(c_TMAP1IN))*((c_TMAP2OUT)-(c_TMAP1OUT))+IF(((c_TMAP2OUT)-(c_TMAP1OUT))&gt;=0,1,-1)*QUOTIENT(((c_TMAP2IN)-(c_TMAP1IN)),2)))&lt;0,-1,0),IF(IF(o_WRAP=1,MOD(((c_TMAP2IN)-(c_TMAP1IN))*(((C213)-(c_TMAP1IN))*((c_TMAP2OUT)-(c_TMAP1OUT))+IF(((c_TMAP2OUT)-(c_TMAP1OUT))&gt;=0,1,-1)*QUOTIENT(((c_TMAP2IN)-(c_TMAP1IN)),2))+2147483648,4294967296)-2147483648,((c_TMAP2IN)-(c_TMAP1IN))*(((C213)-(c_TMAP1IN))*((c_TMAP2OUT)-(c_TMAP1OUT))+IF(((c_TMAP2OUT)-(c_TMAP1OUT))&gt;=0,1,-1)*QUOTIENT(((c_TMAP2IN)-(c_TMAP1IN)),2)))&gt;=0,1,0)))</f>
        <v>210</v>
      </c>
      <c r="G213" s="7" t="n">
        <f aca="false">IF(((c_TMAP3IN)-(c_TMAP2IN))=0,(c_TMAP2OUT)+QUOTIENT(((c_TMAP3OUT)-(c_TMAP2OUT)),2),QUOTIENT((((C213)-(c_TMAP2IN))*((c_TMAP3OUT)-(c_TMAP2OUT))+IF(((c_TMAP3OUT)-(c_TMAP2OUT))&gt;=0,1,-1)*QUOTIENT(((c_TMAP3IN)-(c_TMAP2IN)),2)),((c_TMAP3IN)-(c_TMAP2IN)))+(c_TMAP2OUT)+IF(((c_TMAP3OUT)-(c_TMAP2OUT))&gt;=0,IF(IF(o_WRAP=1,MOD(((c_TMAP3IN)-(c_TMAP2IN))*(((C213)-(c_TMAP2IN))*((c_TMAP3OUT)-(c_TMAP2OUT))+IF(((c_TMAP3OUT)-(c_TMAP2OUT))&gt;=0,1,-1)*QUOTIENT(((c_TMAP3IN)-(c_TMAP2IN)),2))+2147483648,4294967296)-2147483648,((c_TMAP3IN)-(c_TMAP2IN))*(((C213)-(c_TMAP2IN))*((c_TMAP3OUT)-(c_TMAP2OUT))+IF(((c_TMAP3OUT)-(c_TMAP2OUT))&gt;=0,1,-1)*QUOTIENT(((c_TMAP3IN)-(c_TMAP2IN)),2)))&lt;0,-1,0),IF(IF(o_WRAP=1,MOD(((c_TMAP3IN)-(c_TMAP2IN))*(((C213)-(c_TMAP2IN))*((c_TMAP3OUT)-(c_TMAP2OUT))+IF(((c_TMAP3OUT)-(c_TMAP2OUT))&gt;=0,1,-1)*QUOTIENT(((c_TMAP3IN)-(c_TMAP2IN)),2))+2147483648,4294967296)-2147483648,((c_TMAP3IN)-(c_TMAP2IN))*(((C213)-(c_TMAP2IN))*((c_TMAP3OUT)-(c_TMAP2OUT))+IF(((c_TMAP3OUT)-(c_TMAP2OUT))&gt;=0,1,-1)*QUOTIENT(((c_TMAP3IN)-(c_TMAP2IN)),2)))&gt;=0,1,0)))</f>
        <v>270</v>
      </c>
      <c r="H213" s="7" t="n">
        <f aca="false">IF(((1000)-(c_TMAP3IN))=0,(c_TMAP3OUT)+QUOTIENT(((1000)-(c_TMAP3OUT)),2),QUOTIENT((((C213)-(c_TMAP3IN))*((1000)-(c_TMAP3OUT))+IF(((1000)-(c_TMAP3OUT))&gt;=0,1,-1)*QUOTIENT(((1000)-(c_TMAP3IN)),2)),((1000)-(c_TMAP3IN)))+(c_TMAP3OUT)+IF(((1000)-(c_TMAP3OUT))&gt;=0,IF(IF(o_WRAP=1,MOD(((1000)-(c_TMAP3IN))*(((C213)-(c_TMAP3IN))*((1000)-(c_TMAP3OUT))+IF(((1000)-(c_TMAP3OUT))&gt;=0,1,-1)*QUOTIENT(((1000)-(c_TMAP3IN)),2))+2147483648,4294967296)-2147483648,((1000)-(c_TMAP3IN))*(((C213)-(c_TMAP3IN))*((1000)-(c_TMAP3OUT))+IF(((1000)-(c_TMAP3OUT))&gt;=0,1,-1)*QUOTIENT(((1000)-(c_TMAP3IN)),2)))&lt;0,-1,0),IF(IF(o_WRAP=1,MOD(((1000)-(c_TMAP3IN))*(((C213)-(c_TMAP3IN))*((1000)-(c_TMAP3OUT))+IF(((1000)-(c_TMAP3OUT))&gt;=0,1,-1)*QUOTIENT(((1000)-(c_TMAP3IN)),2))+2147483648,4294967296)-2147483648,((1000)-(c_TMAP3IN))*(((C213)-(c_TMAP3IN))*((1000)-(c_TMAP3OUT))+IF(((1000)-(c_TMAP3OUT))&gt;=0,1,-1)*QUOTIENT(((1000)-(c_TMAP3IN)),2)))&gt;=0,1,0)))</f>
        <v>323</v>
      </c>
      <c r="I213" s="7" t="n">
        <f aca="false">IF(C213&gt;=c_TFWD,IF(AND(C213&gt;=c_TMAP3IN,c_TMAP3IN&lt;1000),H213,IF(AND(C213&gt;=c_TMAP2IN,c_TMAP3IN&gt;c_TMAP2IN),G213,IF(AND(C213&gt;=c_TMAP1IN,c_TMAP2IN&gt;c_TMAP1IN),F213,E213))),D213)</f>
        <v>323</v>
      </c>
      <c r="J213" s="7" t="str">
        <f aca="false">IF(I213&lt;-1090,"TOO LOW",IF(I213&gt;1090,"TOO HIGH",""))</f>
        <v/>
      </c>
      <c r="K213" s="7" t="n">
        <f aca="false">IF(J213&lt;&gt;"",0,IF(I213&gt;979,1000,I213))</f>
        <v>323</v>
      </c>
      <c r="L213" s="7" t="n">
        <f aca="false">IF(OR(c_TSMOOTH=0,K213&gt;=c_TSMOOTHCUT),1,0)</f>
        <v>0</v>
      </c>
      <c r="M213" s="7" t="n">
        <f aca="false">IF(L213=1,0,M212+1)</f>
        <v>127</v>
      </c>
      <c r="N213" s="7" t="n">
        <f aca="false">IF(L213=1,0,MIN(M213,c_TSMOOTH))</f>
        <v>30</v>
      </c>
      <c r="O213" s="7" t="n">
        <f aca="false">IF(COUNTIF($L$5:L213,1)&gt;0,c_TSMOOTHCUT,0)</f>
        <v>400</v>
      </c>
      <c r="P213" s="15" t="n">
        <f aca="true">IF(L213=1,K213,QUOTIENT(SUM(OFFSET(K213,1-N213,0,N213,1))+(c_TSMOOTH-N213)*O213,c_TSMOOTH))</f>
        <v>323</v>
      </c>
      <c r="Q213" s="7" t="n">
        <f aca="false">K213/10</f>
        <v>32.3</v>
      </c>
      <c r="R213" s="7" t="n">
        <f aca="false">P213/10</f>
        <v>32.3</v>
      </c>
    </row>
    <row r="214" customFormat="false" ht="15" hidden="false" customHeight="false" outlineLevel="0" collapsed="false">
      <c r="A214" s="7" t="n">
        <v>209</v>
      </c>
      <c r="B214" s="7" t="n">
        <f aca="false">A214*0.04</f>
        <v>8.36</v>
      </c>
      <c r="C214" s="18" t="n">
        <v>450</v>
      </c>
      <c r="D214" s="7" t="n">
        <f aca="false">IF(AND(C214=0,c_TCREEP&gt;0),10*c_TCREEP,IF(AND(C214&lt;=c_TRNGMIN,C214&gt;=c_TRNGMAX,c_TRNGMIN-c_TRNGMAX&lt;&gt;0),-10*c_TMINRN+QUOTIENT((c_TMAXRN-c_TMINRN)*(100-QUOTIENT((C214-c_TRNGMAX)*100,c_TRNGMIN-c_TRNGMAX)),-10),0))</f>
        <v>0</v>
      </c>
      <c r="E214" s="7" t="n">
        <f aca="false">IF(((c_TMAP1IN)-(c_TFWD))=0,(0)+QUOTIENT(((c_TMAP1OUT)-(0)),2),QUOTIENT((((C214)-(c_TFWD))*((c_TMAP1OUT)-(0))+IF(((c_TMAP1OUT)-(0))&gt;=0,1,-1)*QUOTIENT(((c_TMAP1IN)-(c_TFWD)),2)),((c_TMAP1IN)-(c_TFWD)))+(0)+IF(((c_TMAP1OUT)-(0))&gt;=0,IF(IF(o_WRAP=1,MOD(((c_TMAP1IN)-(c_TFWD))*(((C214)-(c_TFWD))*((c_TMAP1OUT)-(0))+IF(((c_TMAP1OUT)-(0))&gt;=0,1,-1)*QUOTIENT(((c_TMAP1IN)-(c_TFWD)),2))+2147483648,4294967296)-2147483648,((c_TMAP1IN)-(c_TFWD))*(((C214)-(c_TFWD))*((c_TMAP1OUT)-(0))+IF(((c_TMAP1OUT)-(0))&gt;=0,1,-1)*QUOTIENT(((c_TMAP1IN)-(c_TFWD)),2)))&lt;0,-1,0),IF(IF(o_WRAP=1,MOD(((c_TMAP1IN)-(c_TFWD))*(((C214)-(c_TFWD))*((c_TMAP1OUT)-(0))+IF(((c_TMAP1OUT)-(0))&gt;=0,1,-1)*QUOTIENT(((c_TMAP1IN)-(c_TFWD)),2))+2147483648,4294967296)-2147483648,((c_TMAP1IN)-(c_TFWD))*(((C214)-(c_TFWD))*((c_TMAP1OUT)-(0))+IF(((c_TMAP1OUT)-(0))&gt;=0,1,-1)*QUOTIENT(((c_TMAP1IN)-(c_TFWD)),2)))&gt;=0,1,0)))</f>
        <v>342</v>
      </c>
      <c r="F214" s="7" t="n">
        <f aca="false">IF(((c_TMAP2IN)-(c_TMAP1IN))=0,(c_TMAP1OUT)+QUOTIENT(((c_TMAP2OUT)-(c_TMAP1OUT)),2),QUOTIENT((((C214)-(c_TMAP1IN))*((c_TMAP2OUT)-(c_TMAP1OUT))+IF(((c_TMAP2OUT)-(c_TMAP1OUT))&gt;=0,1,-1)*QUOTIENT(((c_TMAP2IN)-(c_TMAP1IN)),2)),((c_TMAP2IN)-(c_TMAP1IN)))+(c_TMAP1OUT)+IF(((c_TMAP2OUT)-(c_TMAP1OUT))&gt;=0,IF(IF(o_WRAP=1,MOD(((c_TMAP2IN)-(c_TMAP1IN))*(((C214)-(c_TMAP1IN))*((c_TMAP2OUT)-(c_TMAP1OUT))+IF(((c_TMAP2OUT)-(c_TMAP1OUT))&gt;=0,1,-1)*QUOTIENT(((c_TMAP2IN)-(c_TMAP1IN)),2))+2147483648,4294967296)-2147483648,((c_TMAP2IN)-(c_TMAP1IN))*(((C214)-(c_TMAP1IN))*((c_TMAP2OUT)-(c_TMAP1OUT))+IF(((c_TMAP2OUT)-(c_TMAP1OUT))&gt;=0,1,-1)*QUOTIENT(((c_TMAP2IN)-(c_TMAP1IN)),2)))&lt;0,-1,0),IF(IF(o_WRAP=1,MOD(((c_TMAP2IN)-(c_TMAP1IN))*(((C214)-(c_TMAP1IN))*((c_TMAP2OUT)-(c_TMAP1OUT))+IF(((c_TMAP2OUT)-(c_TMAP1OUT))&gt;=0,1,-1)*QUOTIENT(((c_TMAP2IN)-(c_TMAP1IN)),2))+2147483648,4294967296)-2147483648,((c_TMAP2IN)-(c_TMAP1IN))*(((C214)-(c_TMAP1IN))*((c_TMAP2OUT)-(c_TMAP1OUT))+IF(((c_TMAP2OUT)-(c_TMAP1OUT))&gt;=0,1,-1)*QUOTIENT(((c_TMAP2IN)-(c_TMAP1IN)),2)))&gt;=0,1,0)))</f>
        <v>210</v>
      </c>
      <c r="G214" s="7" t="n">
        <f aca="false">IF(((c_TMAP3IN)-(c_TMAP2IN))=0,(c_TMAP2OUT)+QUOTIENT(((c_TMAP3OUT)-(c_TMAP2OUT)),2),QUOTIENT((((C214)-(c_TMAP2IN))*((c_TMAP3OUT)-(c_TMAP2OUT))+IF(((c_TMAP3OUT)-(c_TMAP2OUT))&gt;=0,1,-1)*QUOTIENT(((c_TMAP3IN)-(c_TMAP2IN)),2)),((c_TMAP3IN)-(c_TMAP2IN)))+(c_TMAP2OUT)+IF(((c_TMAP3OUT)-(c_TMAP2OUT))&gt;=0,IF(IF(o_WRAP=1,MOD(((c_TMAP3IN)-(c_TMAP2IN))*(((C214)-(c_TMAP2IN))*((c_TMAP3OUT)-(c_TMAP2OUT))+IF(((c_TMAP3OUT)-(c_TMAP2OUT))&gt;=0,1,-1)*QUOTIENT(((c_TMAP3IN)-(c_TMAP2IN)),2))+2147483648,4294967296)-2147483648,((c_TMAP3IN)-(c_TMAP2IN))*(((C214)-(c_TMAP2IN))*((c_TMAP3OUT)-(c_TMAP2OUT))+IF(((c_TMAP3OUT)-(c_TMAP2OUT))&gt;=0,1,-1)*QUOTIENT(((c_TMAP3IN)-(c_TMAP2IN)),2)))&lt;0,-1,0),IF(IF(o_WRAP=1,MOD(((c_TMAP3IN)-(c_TMAP2IN))*(((C214)-(c_TMAP2IN))*((c_TMAP3OUT)-(c_TMAP2OUT))+IF(((c_TMAP3OUT)-(c_TMAP2OUT))&gt;=0,1,-1)*QUOTIENT(((c_TMAP3IN)-(c_TMAP2IN)),2))+2147483648,4294967296)-2147483648,((c_TMAP3IN)-(c_TMAP2IN))*(((C214)-(c_TMAP2IN))*((c_TMAP3OUT)-(c_TMAP2OUT))+IF(((c_TMAP3OUT)-(c_TMAP2OUT))&gt;=0,1,-1)*QUOTIENT(((c_TMAP3IN)-(c_TMAP2IN)),2)))&gt;=0,1,0)))</f>
        <v>270</v>
      </c>
      <c r="H214" s="7" t="n">
        <f aca="false">IF(((1000)-(c_TMAP3IN))=0,(c_TMAP3OUT)+QUOTIENT(((1000)-(c_TMAP3OUT)),2),QUOTIENT((((C214)-(c_TMAP3IN))*((1000)-(c_TMAP3OUT))+IF(((1000)-(c_TMAP3OUT))&gt;=0,1,-1)*QUOTIENT(((1000)-(c_TMAP3IN)),2)),((1000)-(c_TMAP3IN)))+(c_TMAP3OUT)+IF(((1000)-(c_TMAP3OUT))&gt;=0,IF(IF(o_WRAP=1,MOD(((1000)-(c_TMAP3IN))*(((C214)-(c_TMAP3IN))*((1000)-(c_TMAP3OUT))+IF(((1000)-(c_TMAP3OUT))&gt;=0,1,-1)*QUOTIENT(((1000)-(c_TMAP3IN)),2))+2147483648,4294967296)-2147483648,((1000)-(c_TMAP3IN))*(((C214)-(c_TMAP3IN))*((1000)-(c_TMAP3OUT))+IF(((1000)-(c_TMAP3OUT))&gt;=0,1,-1)*QUOTIENT(((1000)-(c_TMAP3IN)),2)))&lt;0,-1,0),IF(IF(o_WRAP=1,MOD(((1000)-(c_TMAP3IN))*(((C214)-(c_TMAP3IN))*((1000)-(c_TMAP3OUT))+IF(((1000)-(c_TMAP3OUT))&gt;=0,1,-1)*QUOTIENT(((1000)-(c_TMAP3IN)),2))+2147483648,4294967296)-2147483648,((1000)-(c_TMAP3IN))*(((C214)-(c_TMAP3IN))*((1000)-(c_TMAP3OUT))+IF(((1000)-(c_TMAP3OUT))&gt;=0,1,-1)*QUOTIENT(((1000)-(c_TMAP3IN)),2)))&gt;=0,1,0)))</f>
        <v>323</v>
      </c>
      <c r="I214" s="7" t="n">
        <f aca="false">IF(C214&gt;=c_TFWD,IF(AND(C214&gt;=c_TMAP3IN,c_TMAP3IN&lt;1000),H214,IF(AND(C214&gt;=c_TMAP2IN,c_TMAP3IN&gt;c_TMAP2IN),G214,IF(AND(C214&gt;=c_TMAP1IN,c_TMAP2IN&gt;c_TMAP1IN),F214,E214))),D214)</f>
        <v>323</v>
      </c>
      <c r="J214" s="7" t="str">
        <f aca="false">IF(I214&lt;-1090,"TOO LOW",IF(I214&gt;1090,"TOO HIGH",""))</f>
        <v/>
      </c>
      <c r="K214" s="7" t="n">
        <f aca="false">IF(J214&lt;&gt;"",0,IF(I214&gt;979,1000,I214))</f>
        <v>323</v>
      </c>
      <c r="L214" s="7" t="n">
        <f aca="false">IF(OR(c_TSMOOTH=0,K214&gt;=c_TSMOOTHCUT),1,0)</f>
        <v>0</v>
      </c>
      <c r="M214" s="7" t="n">
        <f aca="false">IF(L214=1,0,M213+1)</f>
        <v>128</v>
      </c>
      <c r="N214" s="7" t="n">
        <f aca="false">IF(L214=1,0,MIN(M214,c_TSMOOTH))</f>
        <v>30</v>
      </c>
      <c r="O214" s="7" t="n">
        <f aca="false">IF(COUNTIF($L$5:L214,1)&gt;0,c_TSMOOTHCUT,0)</f>
        <v>400</v>
      </c>
      <c r="P214" s="15" t="n">
        <f aca="true">IF(L214=1,K214,QUOTIENT(SUM(OFFSET(K214,1-N214,0,N214,1))+(c_TSMOOTH-N214)*O214,c_TSMOOTH))</f>
        <v>323</v>
      </c>
      <c r="Q214" s="7" t="n">
        <f aca="false">K214/10</f>
        <v>32.3</v>
      </c>
      <c r="R214" s="7" t="n">
        <f aca="false">P214/10</f>
        <v>32.3</v>
      </c>
    </row>
    <row r="215" customFormat="false" ht="15" hidden="false" customHeight="false" outlineLevel="0" collapsed="false">
      <c r="A215" s="7" t="n">
        <v>210</v>
      </c>
      <c r="B215" s="7" t="n">
        <f aca="false">A215*0.04</f>
        <v>8.4</v>
      </c>
      <c r="C215" s="18" t="n">
        <v>450</v>
      </c>
      <c r="D215" s="7" t="n">
        <f aca="false">IF(AND(C215=0,c_TCREEP&gt;0),10*c_TCREEP,IF(AND(C215&lt;=c_TRNGMIN,C215&gt;=c_TRNGMAX,c_TRNGMIN-c_TRNGMAX&lt;&gt;0),-10*c_TMINRN+QUOTIENT((c_TMAXRN-c_TMINRN)*(100-QUOTIENT((C215-c_TRNGMAX)*100,c_TRNGMIN-c_TRNGMAX)),-10),0))</f>
        <v>0</v>
      </c>
      <c r="E215" s="7" t="n">
        <f aca="false">IF(((c_TMAP1IN)-(c_TFWD))=0,(0)+QUOTIENT(((c_TMAP1OUT)-(0)),2),QUOTIENT((((C215)-(c_TFWD))*((c_TMAP1OUT)-(0))+IF(((c_TMAP1OUT)-(0))&gt;=0,1,-1)*QUOTIENT(((c_TMAP1IN)-(c_TFWD)),2)),((c_TMAP1IN)-(c_TFWD)))+(0)+IF(((c_TMAP1OUT)-(0))&gt;=0,IF(IF(o_WRAP=1,MOD(((c_TMAP1IN)-(c_TFWD))*(((C215)-(c_TFWD))*((c_TMAP1OUT)-(0))+IF(((c_TMAP1OUT)-(0))&gt;=0,1,-1)*QUOTIENT(((c_TMAP1IN)-(c_TFWD)),2))+2147483648,4294967296)-2147483648,((c_TMAP1IN)-(c_TFWD))*(((C215)-(c_TFWD))*((c_TMAP1OUT)-(0))+IF(((c_TMAP1OUT)-(0))&gt;=0,1,-1)*QUOTIENT(((c_TMAP1IN)-(c_TFWD)),2)))&lt;0,-1,0),IF(IF(o_WRAP=1,MOD(((c_TMAP1IN)-(c_TFWD))*(((C215)-(c_TFWD))*((c_TMAP1OUT)-(0))+IF(((c_TMAP1OUT)-(0))&gt;=0,1,-1)*QUOTIENT(((c_TMAP1IN)-(c_TFWD)),2))+2147483648,4294967296)-2147483648,((c_TMAP1IN)-(c_TFWD))*(((C215)-(c_TFWD))*((c_TMAP1OUT)-(0))+IF(((c_TMAP1OUT)-(0))&gt;=0,1,-1)*QUOTIENT(((c_TMAP1IN)-(c_TFWD)),2)))&gt;=0,1,0)))</f>
        <v>342</v>
      </c>
      <c r="F215" s="7" t="n">
        <f aca="false">IF(((c_TMAP2IN)-(c_TMAP1IN))=0,(c_TMAP1OUT)+QUOTIENT(((c_TMAP2OUT)-(c_TMAP1OUT)),2),QUOTIENT((((C215)-(c_TMAP1IN))*((c_TMAP2OUT)-(c_TMAP1OUT))+IF(((c_TMAP2OUT)-(c_TMAP1OUT))&gt;=0,1,-1)*QUOTIENT(((c_TMAP2IN)-(c_TMAP1IN)),2)),((c_TMAP2IN)-(c_TMAP1IN)))+(c_TMAP1OUT)+IF(((c_TMAP2OUT)-(c_TMAP1OUT))&gt;=0,IF(IF(o_WRAP=1,MOD(((c_TMAP2IN)-(c_TMAP1IN))*(((C215)-(c_TMAP1IN))*((c_TMAP2OUT)-(c_TMAP1OUT))+IF(((c_TMAP2OUT)-(c_TMAP1OUT))&gt;=0,1,-1)*QUOTIENT(((c_TMAP2IN)-(c_TMAP1IN)),2))+2147483648,4294967296)-2147483648,((c_TMAP2IN)-(c_TMAP1IN))*(((C215)-(c_TMAP1IN))*((c_TMAP2OUT)-(c_TMAP1OUT))+IF(((c_TMAP2OUT)-(c_TMAP1OUT))&gt;=0,1,-1)*QUOTIENT(((c_TMAP2IN)-(c_TMAP1IN)),2)))&lt;0,-1,0),IF(IF(o_WRAP=1,MOD(((c_TMAP2IN)-(c_TMAP1IN))*(((C215)-(c_TMAP1IN))*((c_TMAP2OUT)-(c_TMAP1OUT))+IF(((c_TMAP2OUT)-(c_TMAP1OUT))&gt;=0,1,-1)*QUOTIENT(((c_TMAP2IN)-(c_TMAP1IN)),2))+2147483648,4294967296)-2147483648,((c_TMAP2IN)-(c_TMAP1IN))*(((C215)-(c_TMAP1IN))*((c_TMAP2OUT)-(c_TMAP1OUT))+IF(((c_TMAP2OUT)-(c_TMAP1OUT))&gt;=0,1,-1)*QUOTIENT(((c_TMAP2IN)-(c_TMAP1IN)),2)))&gt;=0,1,0)))</f>
        <v>210</v>
      </c>
      <c r="G215" s="7" t="n">
        <f aca="false">IF(((c_TMAP3IN)-(c_TMAP2IN))=0,(c_TMAP2OUT)+QUOTIENT(((c_TMAP3OUT)-(c_TMAP2OUT)),2),QUOTIENT((((C215)-(c_TMAP2IN))*((c_TMAP3OUT)-(c_TMAP2OUT))+IF(((c_TMAP3OUT)-(c_TMAP2OUT))&gt;=0,1,-1)*QUOTIENT(((c_TMAP3IN)-(c_TMAP2IN)),2)),((c_TMAP3IN)-(c_TMAP2IN)))+(c_TMAP2OUT)+IF(((c_TMAP3OUT)-(c_TMAP2OUT))&gt;=0,IF(IF(o_WRAP=1,MOD(((c_TMAP3IN)-(c_TMAP2IN))*(((C215)-(c_TMAP2IN))*((c_TMAP3OUT)-(c_TMAP2OUT))+IF(((c_TMAP3OUT)-(c_TMAP2OUT))&gt;=0,1,-1)*QUOTIENT(((c_TMAP3IN)-(c_TMAP2IN)),2))+2147483648,4294967296)-2147483648,((c_TMAP3IN)-(c_TMAP2IN))*(((C215)-(c_TMAP2IN))*((c_TMAP3OUT)-(c_TMAP2OUT))+IF(((c_TMAP3OUT)-(c_TMAP2OUT))&gt;=0,1,-1)*QUOTIENT(((c_TMAP3IN)-(c_TMAP2IN)),2)))&lt;0,-1,0),IF(IF(o_WRAP=1,MOD(((c_TMAP3IN)-(c_TMAP2IN))*(((C215)-(c_TMAP2IN))*((c_TMAP3OUT)-(c_TMAP2OUT))+IF(((c_TMAP3OUT)-(c_TMAP2OUT))&gt;=0,1,-1)*QUOTIENT(((c_TMAP3IN)-(c_TMAP2IN)),2))+2147483648,4294967296)-2147483648,((c_TMAP3IN)-(c_TMAP2IN))*(((C215)-(c_TMAP2IN))*((c_TMAP3OUT)-(c_TMAP2OUT))+IF(((c_TMAP3OUT)-(c_TMAP2OUT))&gt;=0,1,-1)*QUOTIENT(((c_TMAP3IN)-(c_TMAP2IN)),2)))&gt;=0,1,0)))</f>
        <v>270</v>
      </c>
      <c r="H215" s="7" t="n">
        <f aca="false">IF(((1000)-(c_TMAP3IN))=0,(c_TMAP3OUT)+QUOTIENT(((1000)-(c_TMAP3OUT)),2),QUOTIENT((((C215)-(c_TMAP3IN))*((1000)-(c_TMAP3OUT))+IF(((1000)-(c_TMAP3OUT))&gt;=0,1,-1)*QUOTIENT(((1000)-(c_TMAP3IN)),2)),((1000)-(c_TMAP3IN)))+(c_TMAP3OUT)+IF(((1000)-(c_TMAP3OUT))&gt;=0,IF(IF(o_WRAP=1,MOD(((1000)-(c_TMAP3IN))*(((C215)-(c_TMAP3IN))*((1000)-(c_TMAP3OUT))+IF(((1000)-(c_TMAP3OUT))&gt;=0,1,-1)*QUOTIENT(((1000)-(c_TMAP3IN)),2))+2147483648,4294967296)-2147483648,((1000)-(c_TMAP3IN))*(((C215)-(c_TMAP3IN))*((1000)-(c_TMAP3OUT))+IF(((1000)-(c_TMAP3OUT))&gt;=0,1,-1)*QUOTIENT(((1000)-(c_TMAP3IN)),2)))&lt;0,-1,0),IF(IF(o_WRAP=1,MOD(((1000)-(c_TMAP3IN))*(((C215)-(c_TMAP3IN))*((1000)-(c_TMAP3OUT))+IF(((1000)-(c_TMAP3OUT))&gt;=0,1,-1)*QUOTIENT(((1000)-(c_TMAP3IN)),2))+2147483648,4294967296)-2147483648,((1000)-(c_TMAP3IN))*(((C215)-(c_TMAP3IN))*((1000)-(c_TMAP3OUT))+IF(((1000)-(c_TMAP3OUT))&gt;=0,1,-1)*QUOTIENT(((1000)-(c_TMAP3IN)),2)))&gt;=0,1,0)))</f>
        <v>323</v>
      </c>
      <c r="I215" s="7" t="n">
        <f aca="false">IF(C215&gt;=c_TFWD,IF(AND(C215&gt;=c_TMAP3IN,c_TMAP3IN&lt;1000),H215,IF(AND(C215&gt;=c_TMAP2IN,c_TMAP3IN&gt;c_TMAP2IN),G215,IF(AND(C215&gt;=c_TMAP1IN,c_TMAP2IN&gt;c_TMAP1IN),F215,E215))),D215)</f>
        <v>323</v>
      </c>
      <c r="J215" s="7" t="str">
        <f aca="false">IF(I215&lt;-1090,"TOO LOW",IF(I215&gt;1090,"TOO HIGH",""))</f>
        <v/>
      </c>
      <c r="K215" s="7" t="n">
        <f aca="false">IF(J215&lt;&gt;"",0,IF(I215&gt;979,1000,I215))</f>
        <v>323</v>
      </c>
      <c r="L215" s="7" t="n">
        <f aca="false">IF(OR(c_TSMOOTH=0,K215&gt;=c_TSMOOTHCUT),1,0)</f>
        <v>0</v>
      </c>
      <c r="M215" s="7" t="n">
        <f aca="false">IF(L215=1,0,M214+1)</f>
        <v>129</v>
      </c>
      <c r="N215" s="7" t="n">
        <f aca="false">IF(L215=1,0,MIN(M215,c_TSMOOTH))</f>
        <v>30</v>
      </c>
      <c r="O215" s="7" t="n">
        <f aca="false">IF(COUNTIF($L$5:L215,1)&gt;0,c_TSMOOTHCUT,0)</f>
        <v>400</v>
      </c>
      <c r="P215" s="15" t="n">
        <f aca="true">IF(L215=1,K215,QUOTIENT(SUM(OFFSET(K215,1-N215,0,N215,1))+(c_TSMOOTH-N215)*O215,c_TSMOOTH))</f>
        <v>323</v>
      </c>
      <c r="Q215" s="7" t="n">
        <f aca="false">K215/10</f>
        <v>32.3</v>
      </c>
      <c r="R215" s="7" t="n">
        <f aca="false">P215/10</f>
        <v>32.3</v>
      </c>
    </row>
    <row r="216" customFormat="false" ht="15" hidden="false" customHeight="false" outlineLevel="0" collapsed="false">
      <c r="A216" s="7" t="n">
        <v>211</v>
      </c>
      <c r="B216" s="7" t="n">
        <f aca="false">A216*0.04</f>
        <v>8.44</v>
      </c>
      <c r="C216" s="18" t="n">
        <v>450</v>
      </c>
      <c r="D216" s="7" t="n">
        <f aca="false">IF(AND(C216=0,c_TCREEP&gt;0),10*c_TCREEP,IF(AND(C216&lt;=c_TRNGMIN,C216&gt;=c_TRNGMAX,c_TRNGMIN-c_TRNGMAX&lt;&gt;0),-10*c_TMINRN+QUOTIENT((c_TMAXRN-c_TMINRN)*(100-QUOTIENT((C216-c_TRNGMAX)*100,c_TRNGMIN-c_TRNGMAX)),-10),0))</f>
        <v>0</v>
      </c>
      <c r="E216" s="7" t="n">
        <f aca="false">IF(((c_TMAP1IN)-(c_TFWD))=0,(0)+QUOTIENT(((c_TMAP1OUT)-(0)),2),QUOTIENT((((C216)-(c_TFWD))*((c_TMAP1OUT)-(0))+IF(((c_TMAP1OUT)-(0))&gt;=0,1,-1)*QUOTIENT(((c_TMAP1IN)-(c_TFWD)),2)),((c_TMAP1IN)-(c_TFWD)))+(0)+IF(((c_TMAP1OUT)-(0))&gt;=0,IF(IF(o_WRAP=1,MOD(((c_TMAP1IN)-(c_TFWD))*(((C216)-(c_TFWD))*((c_TMAP1OUT)-(0))+IF(((c_TMAP1OUT)-(0))&gt;=0,1,-1)*QUOTIENT(((c_TMAP1IN)-(c_TFWD)),2))+2147483648,4294967296)-2147483648,((c_TMAP1IN)-(c_TFWD))*(((C216)-(c_TFWD))*((c_TMAP1OUT)-(0))+IF(((c_TMAP1OUT)-(0))&gt;=0,1,-1)*QUOTIENT(((c_TMAP1IN)-(c_TFWD)),2)))&lt;0,-1,0),IF(IF(o_WRAP=1,MOD(((c_TMAP1IN)-(c_TFWD))*(((C216)-(c_TFWD))*((c_TMAP1OUT)-(0))+IF(((c_TMAP1OUT)-(0))&gt;=0,1,-1)*QUOTIENT(((c_TMAP1IN)-(c_TFWD)),2))+2147483648,4294967296)-2147483648,((c_TMAP1IN)-(c_TFWD))*(((C216)-(c_TFWD))*((c_TMAP1OUT)-(0))+IF(((c_TMAP1OUT)-(0))&gt;=0,1,-1)*QUOTIENT(((c_TMAP1IN)-(c_TFWD)),2)))&gt;=0,1,0)))</f>
        <v>342</v>
      </c>
      <c r="F216" s="7" t="n">
        <f aca="false">IF(((c_TMAP2IN)-(c_TMAP1IN))=0,(c_TMAP1OUT)+QUOTIENT(((c_TMAP2OUT)-(c_TMAP1OUT)),2),QUOTIENT((((C216)-(c_TMAP1IN))*((c_TMAP2OUT)-(c_TMAP1OUT))+IF(((c_TMAP2OUT)-(c_TMAP1OUT))&gt;=0,1,-1)*QUOTIENT(((c_TMAP2IN)-(c_TMAP1IN)),2)),((c_TMAP2IN)-(c_TMAP1IN)))+(c_TMAP1OUT)+IF(((c_TMAP2OUT)-(c_TMAP1OUT))&gt;=0,IF(IF(o_WRAP=1,MOD(((c_TMAP2IN)-(c_TMAP1IN))*(((C216)-(c_TMAP1IN))*((c_TMAP2OUT)-(c_TMAP1OUT))+IF(((c_TMAP2OUT)-(c_TMAP1OUT))&gt;=0,1,-1)*QUOTIENT(((c_TMAP2IN)-(c_TMAP1IN)),2))+2147483648,4294967296)-2147483648,((c_TMAP2IN)-(c_TMAP1IN))*(((C216)-(c_TMAP1IN))*((c_TMAP2OUT)-(c_TMAP1OUT))+IF(((c_TMAP2OUT)-(c_TMAP1OUT))&gt;=0,1,-1)*QUOTIENT(((c_TMAP2IN)-(c_TMAP1IN)),2)))&lt;0,-1,0),IF(IF(o_WRAP=1,MOD(((c_TMAP2IN)-(c_TMAP1IN))*(((C216)-(c_TMAP1IN))*((c_TMAP2OUT)-(c_TMAP1OUT))+IF(((c_TMAP2OUT)-(c_TMAP1OUT))&gt;=0,1,-1)*QUOTIENT(((c_TMAP2IN)-(c_TMAP1IN)),2))+2147483648,4294967296)-2147483648,((c_TMAP2IN)-(c_TMAP1IN))*(((C216)-(c_TMAP1IN))*((c_TMAP2OUT)-(c_TMAP1OUT))+IF(((c_TMAP2OUT)-(c_TMAP1OUT))&gt;=0,1,-1)*QUOTIENT(((c_TMAP2IN)-(c_TMAP1IN)),2)))&gt;=0,1,0)))</f>
        <v>210</v>
      </c>
      <c r="G216" s="7" t="n">
        <f aca="false">IF(((c_TMAP3IN)-(c_TMAP2IN))=0,(c_TMAP2OUT)+QUOTIENT(((c_TMAP3OUT)-(c_TMAP2OUT)),2),QUOTIENT((((C216)-(c_TMAP2IN))*((c_TMAP3OUT)-(c_TMAP2OUT))+IF(((c_TMAP3OUT)-(c_TMAP2OUT))&gt;=0,1,-1)*QUOTIENT(((c_TMAP3IN)-(c_TMAP2IN)),2)),((c_TMAP3IN)-(c_TMAP2IN)))+(c_TMAP2OUT)+IF(((c_TMAP3OUT)-(c_TMAP2OUT))&gt;=0,IF(IF(o_WRAP=1,MOD(((c_TMAP3IN)-(c_TMAP2IN))*(((C216)-(c_TMAP2IN))*((c_TMAP3OUT)-(c_TMAP2OUT))+IF(((c_TMAP3OUT)-(c_TMAP2OUT))&gt;=0,1,-1)*QUOTIENT(((c_TMAP3IN)-(c_TMAP2IN)),2))+2147483648,4294967296)-2147483648,((c_TMAP3IN)-(c_TMAP2IN))*(((C216)-(c_TMAP2IN))*((c_TMAP3OUT)-(c_TMAP2OUT))+IF(((c_TMAP3OUT)-(c_TMAP2OUT))&gt;=0,1,-1)*QUOTIENT(((c_TMAP3IN)-(c_TMAP2IN)),2)))&lt;0,-1,0),IF(IF(o_WRAP=1,MOD(((c_TMAP3IN)-(c_TMAP2IN))*(((C216)-(c_TMAP2IN))*((c_TMAP3OUT)-(c_TMAP2OUT))+IF(((c_TMAP3OUT)-(c_TMAP2OUT))&gt;=0,1,-1)*QUOTIENT(((c_TMAP3IN)-(c_TMAP2IN)),2))+2147483648,4294967296)-2147483648,((c_TMAP3IN)-(c_TMAP2IN))*(((C216)-(c_TMAP2IN))*((c_TMAP3OUT)-(c_TMAP2OUT))+IF(((c_TMAP3OUT)-(c_TMAP2OUT))&gt;=0,1,-1)*QUOTIENT(((c_TMAP3IN)-(c_TMAP2IN)),2)))&gt;=0,1,0)))</f>
        <v>270</v>
      </c>
      <c r="H216" s="7" t="n">
        <f aca="false">IF(((1000)-(c_TMAP3IN))=0,(c_TMAP3OUT)+QUOTIENT(((1000)-(c_TMAP3OUT)),2),QUOTIENT((((C216)-(c_TMAP3IN))*((1000)-(c_TMAP3OUT))+IF(((1000)-(c_TMAP3OUT))&gt;=0,1,-1)*QUOTIENT(((1000)-(c_TMAP3IN)),2)),((1000)-(c_TMAP3IN)))+(c_TMAP3OUT)+IF(((1000)-(c_TMAP3OUT))&gt;=0,IF(IF(o_WRAP=1,MOD(((1000)-(c_TMAP3IN))*(((C216)-(c_TMAP3IN))*((1000)-(c_TMAP3OUT))+IF(((1000)-(c_TMAP3OUT))&gt;=0,1,-1)*QUOTIENT(((1000)-(c_TMAP3IN)),2))+2147483648,4294967296)-2147483648,((1000)-(c_TMAP3IN))*(((C216)-(c_TMAP3IN))*((1000)-(c_TMAP3OUT))+IF(((1000)-(c_TMAP3OUT))&gt;=0,1,-1)*QUOTIENT(((1000)-(c_TMAP3IN)),2)))&lt;0,-1,0),IF(IF(o_WRAP=1,MOD(((1000)-(c_TMAP3IN))*(((C216)-(c_TMAP3IN))*((1000)-(c_TMAP3OUT))+IF(((1000)-(c_TMAP3OUT))&gt;=0,1,-1)*QUOTIENT(((1000)-(c_TMAP3IN)),2))+2147483648,4294967296)-2147483648,((1000)-(c_TMAP3IN))*(((C216)-(c_TMAP3IN))*((1000)-(c_TMAP3OUT))+IF(((1000)-(c_TMAP3OUT))&gt;=0,1,-1)*QUOTIENT(((1000)-(c_TMAP3IN)),2)))&gt;=0,1,0)))</f>
        <v>323</v>
      </c>
      <c r="I216" s="7" t="n">
        <f aca="false">IF(C216&gt;=c_TFWD,IF(AND(C216&gt;=c_TMAP3IN,c_TMAP3IN&lt;1000),H216,IF(AND(C216&gt;=c_TMAP2IN,c_TMAP3IN&gt;c_TMAP2IN),G216,IF(AND(C216&gt;=c_TMAP1IN,c_TMAP2IN&gt;c_TMAP1IN),F216,E216))),D216)</f>
        <v>323</v>
      </c>
      <c r="J216" s="7" t="str">
        <f aca="false">IF(I216&lt;-1090,"TOO LOW",IF(I216&gt;1090,"TOO HIGH",""))</f>
        <v/>
      </c>
      <c r="K216" s="7" t="n">
        <f aca="false">IF(J216&lt;&gt;"",0,IF(I216&gt;979,1000,I216))</f>
        <v>323</v>
      </c>
      <c r="L216" s="7" t="n">
        <f aca="false">IF(OR(c_TSMOOTH=0,K216&gt;=c_TSMOOTHCUT),1,0)</f>
        <v>0</v>
      </c>
      <c r="M216" s="7" t="n">
        <f aca="false">IF(L216=1,0,M215+1)</f>
        <v>130</v>
      </c>
      <c r="N216" s="7" t="n">
        <f aca="false">IF(L216=1,0,MIN(M216,c_TSMOOTH))</f>
        <v>30</v>
      </c>
      <c r="O216" s="7" t="n">
        <f aca="false">IF(COUNTIF($L$5:L216,1)&gt;0,c_TSMOOTHCUT,0)</f>
        <v>400</v>
      </c>
      <c r="P216" s="15" t="n">
        <f aca="true">IF(L216=1,K216,QUOTIENT(SUM(OFFSET(K216,1-N216,0,N216,1))+(c_TSMOOTH-N216)*O216,c_TSMOOTH))</f>
        <v>323</v>
      </c>
      <c r="Q216" s="7" t="n">
        <f aca="false">K216/10</f>
        <v>32.3</v>
      </c>
      <c r="R216" s="7" t="n">
        <f aca="false">P216/10</f>
        <v>32.3</v>
      </c>
    </row>
    <row r="217" customFormat="false" ht="15" hidden="false" customHeight="false" outlineLevel="0" collapsed="false">
      <c r="A217" s="7" t="n">
        <v>212</v>
      </c>
      <c r="B217" s="7" t="n">
        <f aca="false">A217*0.04</f>
        <v>8.48</v>
      </c>
      <c r="C217" s="18" t="n">
        <v>450</v>
      </c>
      <c r="D217" s="7" t="n">
        <f aca="false">IF(AND(C217=0,c_TCREEP&gt;0),10*c_TCREEP,IF(AND(C217&lt;=c_TRNGMIN,C217&gt;=c_TRNGMAX,c_TRNGMIN-c_TRNGMAX&lt;&gt;0),-10*c_TMINRN+QUOTIENT((c_TMAXRN-c_TMINRN)*(100-QUOTIENT((C217-c_TRNGMAX)*100,c_TRNGMIN-c_TRNGMAX)),-10),0))</f>
        <v>0</v>
      </c>
      <c r="E217" s="7" t="n">
        <f aca="false">IF(((c_TMAP1IN)-(c_TFWD))=0,(0)+QUOTIENT(((c_TMAP1OUT)-(0)),2),QUOTIENT((((C217)-(c_TFWD))*((c_TMAP1OUT)-(0))+IF(((c_TMAP1OUT)-(0))&gt;=0,1,-1)*QUOTIENT(((c_TMAP1IN)-(c_TFWD)),2)),((c_TMAP1IN)-(c_TFWD)))+(0)+IF(((c_TMAP1OUT)-(0))&gt;=0,IF(IF(o_WRAP=1,MOD(((c_TMAP1IN)-(c_TFWD))*(((C217)-(c_TFWD))*((c_TMAP1OUT)-(0))+IF(((c_TMAP1OUT)-(0))&gt;=0,1,-1)*QUOTIENT(((c_TMAP1IN)-(c_TFWD)),2))+2147483648,4294967296)-2147483648,((c_TMAP1IN)-(c_TFWD))*(((C217)-(c_TFWD))*((c_TMAP1OUT)-(0))+IF(((c_TMAP1OUT)-(0))&gt;=0,1,-1)*QUOTIENT(((c_TMAP1IN)-(c_TFWD)),2)))&lt;0,-1,0),IF(IF(o_WRAP=1,MOD(((c_TMAP1IN)-(c_TFWD))*(((C217)-(c_TFWD))*((c_TMAP1OUT)-(0))+IF(((c_TMAP1OUT)-(0))&gt;=0,1,-1)*QUOTIENT(((c_TMAP1IN)-(c_TFWD)),2))+2147483648,4294967296)-2147483648,((c_TMAP1IN)-(c_TFWD))*(((C217)-(c_TFWD))*((c_TMAP1OUT)-(0))+IF(((c_TMAP1OUT)-(0))&gt;=0,1,-1)*QUOTIENT(((c_TMAP1IN)-(c_TFWD)),2)))&gt;=0,1,0)))</f>
        <v>342</v>
      </c>
      <c r="F217" s="7" t="n">
        <f aca="false">IF(((c_TMAP2IN)-(c_TMAP1IN))=0,(c_TMAP1OUT)+QUOTIENT(((c_TMAP2OUT)-(c_TMAP1OUT)),2),QUOTIENT((((C217)-(c_TMAP1IN))*((c_TMAP2OUT)-(c_TMAP1OUT))+IF(((c_TMAP2OUT)-(c_TMAP1OUT))&gt;=0,1,-1)*QUOTIENT(((c_TMAP2IN)-(c_TMAP1IN)),2)),((c_TMAP2IN)-(c_TMAP1IN)))+(c_TMAP1OUT)+IF(((c_TMAP2OUT)-(c_TMAP1OUT))&gt;=0,IF(IF(o_WRAP=1,MOD(((c_TMAP2IN)-(c_TMAP1IN))*(((C217)-(c_TMAP1IN))*((c_TMAP2OUT)-(c_TMAP1OUT))+IF(((c_TMAP2OUT)-(c_TMAP1OUT))&gt;=0,1,-1)*QUOTIENT(((c_TMAP2IN)-(c_TMAP1IN)),2))+2147483648,4294967296)-2147483648,((c_TMAP2IN)-(c_TMAP1IN))*(((C217)-(c_TMAP1IN))*((c_TMAP2OUT)-(c_TMAP1OUT))+IF(((c_TMAP2OUT)-(c_TMAP1OUT))&gt;=0,1,-1)*QUOTIENT(((c_TMAP2IN)-(c_TMAP1IN)),2)))&lt;0,-1,0),IF(IF(o_WRAP=1,MOD(((c_TMAP2IN)-(c_TMAP1IN))*(((C217)-(c_TMAP1IN))*((c_TMAP2OUT)-(c_TMAP1OUT))+IF(((c_TMAP2OUT)-(c_TMAP1OUT))&gt;=0,1,-1)*QUOTIENT(((c_TMAP2IN)-(c_TMAP1IN)),2))+2147483648,4294967296)-2147483648,((c_TMAP2IN)-(c_TMAP1IN))*(((C217)-(c_TMAP1IN))*((c_TMAP2OUT)-(c_TMAP1OUT))+IF(((c_TMAP2OUT)-(c_TMAP1OUT))&gt;=0,1,-1)*QUOTIENT(((c_TMAP2IN)-(c_TMAP1IN)),2)))&gt;=0,1,0)))</f>
        <v>210</v>
      </c>
      <c r="G217" s="7" t="n">
        <f aca="false">IF(((c_TMAP3IN)-(c_TMAP2IN))=0,(c_TMAP2OUT)+QUOTIENT(((c_TMAP3OUT)-(c_TMAP2OUT)),2),QUOTIENT((((C217)-(c_TMAP2IN))*((c_TMAP3OUT)-(c_TMAP2OUT))+IF(((c_TMAP3OUT)-(c_TMAP2OUT))&gt;=0,1,-1)*QUOTIENT(((c_TMAP3IN)-(c_TMAP2IN)),2)),((c_TMAP3IN)-(c_TMAP2IN)))+(c_TMAP2OUT)+IF(((c_TMAP3OUT)-(c_TMAP2OUT))&gt;=0,IF(IF(o_WRAP=1,MOD(((c_TMAP3IN)-(c_TMAP2IN))*(((C217)-(c_TMAP2IN))*((c_TMAP3OUT)-(c_TMAP2OUT))+IF(((c_TMAP3OUT)-(c_TMAP2OUT))&gt;=0,1,-1)*QUOTIENT(((c_TMAP3IN)-(c_TMAP2IN)),2))+2147483648,4294967296)-2147483648,((c_TMAP3IN)-(c_TMAP2IN))*(((C217)-(c_TMAP2IN))*((c_TMAP3OUT)-(c_TMAP2OUT))+IF(((c_TMAP3OUT)-(c_TMAP2OUT))&gt;=0,1,-1)*QUOTIENT(((c_TMAP3IN)-(c_TMAP2IN)),2)))&lt;0,-1,0),IF(IF(o_WRAP=1,MOD(((c_TMAP3IN)-(c_TMAP2IN))*(((C217)-(c_TMAP2IN))*((c_TMAP3OUT)-(c_TMAP2OUT))+IF(((c_TMAP3OUT)-(c_TMAP2OUT))&gt;=0,1,-1)*QUOTIENT(((c_TMAP3IN)-(c_TMAP2IN)),2))+2147483648,4294967296)-2147483648,((c_TMAP3IN)-(c_TMAP2IN))*(((C217)-(c_TMAP2IN))*((c_TMAP3OUT)-(c_TMAP2OUT))+IF(((c_TMAP3OUT)-(c_TMAP2OUT))&gt;=0,1,-1)*QUOTIENT(((c_TMAP3IN)-(c_TMAP2IN)),2)))&gt;=0,1,0)))</f>
        <v>270</v>
      </c>
      <c r="H217" s="7" t="n">
        <f aca="false">IF(((1000)-(c_TMAP3IN))=0,(c_TMAP3OUT)+QUOTIENT(((1000)-(c_TMAP3OUT)),2),QUOTIENT((((C217)-(c_TMAP3IN))*((1000)-(c_TMAP3OUT))+IF(((1000)-(c_TMAP3OUT))&gt;=0,1,-1)*QUOTIENT(((1000)-(c_TMAP3IN)),2)),((1000)-(c_TMAP3IN)))+(c_TMAP3OUT)+IF(((1000)-(c_TMAP3OUT))&gt;=0,IF(IF(o_WRAP=1,MOD(((1000)-(c_TMAP3IN))*(((C217)-(c_TMAP3IN))*((1000)-(c_TMAP3OUT))+IF(((1000)-(c_TMAP3OUT))&gt;=0,1,-1)*QUOTIENT(((1000)-(c_TMAP3IN)),2))+2147483648,4294967296)-2147483648,((1000)-(c_TMAP3IN))*(((C217)-(c_TMAP3IN))*((1000)-(c_TMAP3OUT))+IF(((1000)-(c_TMAP3OUT))&gt;=0,1,-1)*QUOTIENT(((1000)-(c_TMAP3IN)),2)))&lt;0,-1,0),IF(IF(o_WRAP=1,MOD(((1000)-(c_TMAP3IN))*(((C217)-(c_TMAP3IN))*((1000)-(c_TMAP3OUT))+IF(((1000)-(c_TMAP3OUT))&gt;=0,1,-1)*QUOTIENT(((1000)-(c_TMAP3IN)),2))+2147483648,4294967296)-2147483648,((1000)-(c_TMAP3IN))*(((C217)-(c_TMAP3IN))*((1000)-(c_TMAP3OUT))+IF(((1000)-(c_TMAP3OUT))&gt;=0,1,-1)*QUOTIENT(((1000)-(c_TMAP3IN)),2)))&gt;=0,1,0)))</f>
        <v>323</v>
      </c>
      <c r="I217" s="7" t="n">
        <f aca="false">IF(C217&gt;=c_TFWD,IF(AND(C217&gt;=c_TMAP3IN,c_TMAP3IN&lt;1000),H217,IF(AND(C217&gt;=c_TMAP2IN,c_TMAP3IN&gt;c_TMAP2IN),G217,IF(AND(C217&gt;=c_TMAP1IN,c_TMAP2IN&gt;c_TMAP1IN),F217,E217))),D217)</f>
        <v>323</v>
      </c>
      <c r="J217" s="7" t="str">
        <f aca="false">IF(I217&lt;-1090,"TOO LOW",IF(I217&gt;1090,"TOO HIGH",""))</f>
        <v/>
      </c>
      <c r="K217" s="7" t="n">
        <f aca="false">IF(J217&lt;&gt;"",0,IF(I217&gt;979,1000,I217))</f>
        <v>323</v>
      </c>
      <c r="L217" s="7" t="n">
        <f aca="false">IF(OR(c_TSMOOTH=0,K217&gt;=c_TSMOOTHCUT),1,0)</f>
        <v>0</v>
      </c>
      <c r="M217" s="7" t="n">
        <f aca="false">IF(L217=1,0,M216+1)</f>
        <v>131</v>
      </c>
      <c r="N217" s="7" t="n">
        <f aca="false">IF(L217=1,0,MIN(M217,c_TSMOOTH))</f>
        <v>30</v>
      </c>
      <c r="O217" s="7" t="n">
        <f aca="false">IF(COUNTIF($L$5:L217,1)&gt;0,c_TSMOOTHCUT,0)</f>
        <v>400</v>
      </c>
      <c r="P217" s="15" t="n">
        <f aca="true">IF(L217=1,K217,QUOTIENT(SUM(OFFSET(K217,1-N217,0,N217,1))+(c_TSMOOTH-N217)*O217,c_TSMOOTH))</f>
        <v>323</v>
      </c>
      <c r="Q217" s="7" t="n">
        <f aca="false">K217/10</f>
        <v>32.3</v>
      </c>
      <c r="R217" s="7" t="n">
        <f aca="false">P217/10</f>
        <v>32.3</v>
      </c>
    </row>
    <row r="218" customFormat="false" ht="15" hidden="false" customHeight="false" outlineLevel="0" collapsed="false">
      <c r="A218" s="7" t="n">
        <v>213</v>
      </c>
      <c r="B218" s="7" t="n">
        <f aca="false">A218*0.04</f>
        <v>8.52</v>
      </c>
      <c r="C218" s="18" t="n">
        <v>450</v>
      </c>
      <c r="D218" s="7" t="n">
        <f aca="false">IF(AND(C218=0,c_TCREEP&gt;0),10*c_TCREEP,IF(AND(C218&lt;=c_TRNGMIN,C218&gt;=c_TRNGMAX,c_TRNGMIN-c_TRNGMAX&lt;&gt;0),-10*c_TMINRN+QUOTIENT((c_TMAXRN-c_TMINRN)*(100-QUOTIENT((C218-c_TRNGMAX)*100,c_TRNGMIN-c_TRNGMAX)),-10),0))</f>
        <v>0</v>
      </c>
      <c r="E218" s="7" t="n">
        <f aca="false">IF(((c_TMAP1IN)-(c_TFWD))=0,(0)+QUOTIENT(((c_TMAP1OUT)-(0)),2),QUOTIENT((((C218)-(c_TFWD))*((c_TMAP1OUT)-(0))+IF(((c_TMAP1OUT)-(0))&gt;=0,1,-1)*QUOTIENT(((c_TMAP1IN)-(c_TFWD)),2)),((c_TMAP1IN)-(c_TFWD)))+(0)+IF(((c_TMAP1OUT)-(0))&gt;=0,IF(IF(o_WRAP=1,MOD(((c_TMAP1IN)-(c_TFWD))*(((C218)-(c_TFWD))*((c_TMAP1OUT)-(0))+IF(((c_TMAP1OUT)-(0))&gt;=0,1,-1)*QUOTIENT(((c_TMAP1IN)-(c_TFWD)),2))+2147483648,4294967296)-2147483648,((c_TMAP1IN)-(c_TFWD))*(((C218)-(c_TFWD))*((c_TMAP1OUT)-(0))+IF(((c_TMAP1OUT)-(0))&gt;=0,1,-1)*QUOTIENT(((c_TMAP1IN)-(c_TFWD)),2)))&lt;0,-1,0),IF(IF(o_WRAP=1,MOD(((c_TMAP1IN)-(c_TFWD))*(((C218)-(c_TFWD))*((c_TMAP1OUT)-(0))+IF(((c_TMAP1OUT)-(0))&gt;=0,1,-1)*QUOTIENT(((c_TMAP1IN)-(c_TFWD)),2))+2147483648,4294967296)-2147483648,((c_TMAP1IN)-(c_TFWD))*(((C218)-(c_TFWD))*((c_TMAP1OUT)-(0))+IF(((c_TMAP1OUT)-(0))&gt;=0,1,-1)*QUOTIENT(((c_TMAP1IN)-(c_TFWD)),2)))&gt;=0,1,0)))</f>
        <v>342</v>
      </c>
      <c r="F218" s="7" t="n">
        <f aca="false">IF(((c_TMAP2IN)-(c_TMAP1IN))=0,(c_TMAP1OUT)+QUOTIENT(((c_TMAP2OUT)-(c_TMAP1OUT)),2),QUOTIENT((((C218)-(c_TMAP1IN))*((c_TMAP2OUT)-(c_TMAP1OUT))+IF(((c_TMAP2OUT)-(c_TMAP1OUT))&gt;=0,1,-1)*QUOTIENT(((c_TMAP2IN)-(c_TMAP1IN)),2)),((c_TMAP2IN)-(c_TMAP1IN)))+(c_TMAP1OUT)+IF(((c_TMAP2OUT)-(c_TMAP1OUT))&gt;=0,IF(IF(o_WRAP=1,MOD(((c_TMAP2IN)-(c_TMAP1IN))*(((C218)-(c_TMAP1IN))*((c_TMAP2OUT)-(c_TMAP1OUT))+IF(((c_TMAP2OUT)-(c_TMAP1OUT))&gt;=0,1,-1)*QUOTIENT(((c_TMAP2IN)-(c_TMAP1IN)),2))+2147483648,4294967296)-2147483648,((c_TMAP2IN)-(c_TMAP1IN))*(((C218)-(c_TMAP1IN))*((c_TMAP2OUT)-(c_TMAP1OUT))+IF(((c_TMAP2OUT)-(c_TMAP1OUT))&gt;=0,1,-1)*QUOTIENT(((c_TMAP2IN)-(c_TMAP1IN)),2)))&lt;0,-1,0),IF(IF(o_WRAP=1,MOD(((c_TMAP2IN)-(c_TMAP1IN))*(((C218)-(c_TMAP1IN))*((c_TMAP2OUT)-(c_TMAP1OUT))+IF(((c_TMAP2OUT)-(c_TMAP1OUT))&gt;=0,1,-1)*QUOTIENT(((c_TMAP2IN)-(c_TMAP1IN)),2))+2147483648,4294967296)-2147483648,((c_TMAP2IN)-(c_TMAP1IN))*(((C218)-(c_TMAP1IN))*((c_TMAP2OUT)-(c_TMAP1OUT))+IF(((c_TMAP2OUT)-(c_TMAP1OUT))&gt;=0,1,-1)*QUOTIENT(((c_TMAP2IN)-(c_TMAP1IN)),2)))&gt;=0,1,0)))</f>
        <v>210</v>
      </c>
      <c r="G218" s="7" t="n">
        <f aca="false">IF(((c_TMAP3IN)-(c_TMAP2IN))=0,(c_TMAP2OUT)+QUOTIENT(((c_TMAP3OUT)-(c_TMAP2OUT)),2),QUOTIENT((((C218)-(c_TMAP2IN))*((c_TMAP3OUT)-(c_TMAP2OUT))+IF(((c_TMAP3OUT)-(c_TMAP2OUT))&gt;=0,1,-1)*QUOTIENT(((c_TMAP3IN)-(c_TMAP2IN)),2)),((c_TMAP3IN)-(c_TMAP2IN)))+(c_TMAP2OUT)+IF(((c_TMAP3OUT)-(c_TMAP2OUT))&gt;=0,IF(IF(o_WRAP=1,MOD(((c_TMAP3IN)-(c_TMAP2IN))*(((C218)-(c_TMAP2IN))*((c_TMAP3OUT)-(c_TMAP2OUT))+IF(((c_TMAP3OUT)-(c_TMAP2OUT))&gt;=0,1,-1)*QUOTIENT(((c_TMAP3IN)-(c_TMAP2IN)),2))+2147483648,4294967296)-2147483648,((c_TMAP3IN)-(c_TMAP2IN))*(((C218)-(c_TMAP2IN))*((c_TMAP3OUT)-(c_TMAP2OUT))+IF(((c_TMAP3OUT)-(c_TMAP2OUT))&gt;=0,1,-1)*QUOTIENT(((c_TMAP3IN)-(c_TMAP2IN)),2)))&lt;0,-1,0),IF(IF(o_WRAP=1,MOD(((c_TMAP3IN)-(c_TMAP2IN))*(((C218)-(c_TMAP2IN))*((c_TMAP3OUT)-(c_TMAP2OUT))+IF(((c_TMAP3OUT)-(c_TMAP2OUT))&gt;=0,1,-1)*QUOTIENT(((c_TMAP3IN)-(c_TMAP2IN)),2))+2147483648,4294967296)-2147483648,((c_TMAP3IN)-(c_TMAP2IN))*(((C218)-(c_TMAP2IN))*((c_TMAP3OUT)-(c_TMAP2OUT))+IF(((c_TMAP3OUT)-(c_TMAP2OUT))&gt;=0,1,-1)*QUOTIENT(((c_TMAP3IN)-(c_TMAP2IN)),2)))&gt;=0,1,0)))</f>
        <v>270</v>
      </c>
      <c r="H218" s="7" t="n">
        <f aca="false">IF(((1000)-(c_TMAP3IN))=0,(c_TMAP3OUT)+QUOTIENT(((1000)-(c_TMAP3OUT)),2),QUOTIENT((((C218)-(c_TMAP3IN))*((1000)-(c_TMAP3OUT))+IF(((1000)-(c_TMAP3OUT))&gt;=0,1,-1)*QUOTIENT(((1000)-(c_TMAP3IN)),2)),((1000)-(c_TMAP3IN)))+(c_TMAP3OUT)+IF(((1000)-(c_TMAP3OUT))&gt;=0,IF(IF(o_WRAP=1,MOD(((1000)-(c_TMAP3IN))*(((C218)-(c_TMAP3IN))*((1000)-(c_TMAP3OUT))+IF(((1000)-(c_TMAP3OUT))&gt;=0,1,-1)*QUOTIENT(((1000)-(c_TMAP3IN)),2))+2147483648,4294967296)-2147483648,((1000)-(c_TMAP3IN))*(((C218)-(c_TMAP3IN))*((1000)-(c_TMAP3OUT))+IF(((1000)-(c_TMAP3OUT))&gt;=0,1,-1)*QUOTIENT(((1000)-(c_TMAP3IN)),2)))&lt;0,-1,0),IF(IF(o_WRAP=1,MOD(((1000)-(c_TMAP3IN))*(((C218)-(c_TMAP3IN))*((1000)-(c_TMAP3OUT))+IF(((1000)-(c_TMAP3OUT))&gt;=0,1,-1)*QUOTIENT(((1000)-(c_TMAP3IN)),2))+2147483648,4294967296)-2147483648,((1000)-(c_TMAP3IN))*(((C218)-(c_TMAP3IN))*((1000)-(c_TMAP3OUT))+IF(((1000)-(c_TMAP3OUT))&gt;=0,1,-1)*QUOTIENT(((1000)-(c_TMAP3IN)),2)))&gt;=0,1,0)))</f>
        <v>323</v>
      </c>
      <c r="I218" s="7" t="n">
        <f aca="false">IF(C218&gt;=c_TFWD,IF(AND(C218&gt;=c_TMAP3IN,c_TMAP3IN&lt;1000),H218,IF(AND(C218&gt;=c_TMAP2IN,c_TMAP3IN&gt;c_TMAP2IN),G218,IF(AND(C218&gt;=c_TMAP1IN,c_TMAP2IN&gt;c_TMAP1IN),F218,E218))),D218)</f>
        <v>323</v>
      </c>
      <c r="J218" s="7" t="str">
        <f aca="false">IF(I218&lt;-1090,"TOO LOW",IF(I218&gt;1090,"TOO HIGH",""))</f>
        <v/>
      </c>
      <c r="K218" s="7" t="n">
        <f aca="false">IF(J218&lt;&gt;"",0,IF(I218&gt;979,1000,I218))</f>
        <v>323</v>
      </c>
      <c r="L218" s="7" t="n">
        <f aca="false">IF(OR(c_TSMOOTH=0,K218&gt;=c_TSMOOTHCUT),1,0)</f>
        <v>0</v>
      </c>
      <c r="M218" s="7" t="n">
        <f aca="false">IF(L218=1,0,M217+1)</f>
        <v>132</v>
      </c>
      <c r="N218" s="7" t="n">
        <f aca="false">IF(L218=1,0,MIN(M218,c_TSMOOTH))</f>
        <v>30</v>
      </c>
      <c r="O218" s="7" t="n">
        <f aca="false">IF(COUNTIF($L$5:L218,1)&gt;0,c_TSMOOTHCUT,0)</f>
        <v>400</v>
      </c>
      <c r="P218" s="15" t="n">
        <f aca="true">IF(L218=1,K218,QUOTIENT(SUM(OFFSET(K218,1-N218,0,N218,1))+(c_TSMOOTH-N218)*O218,c_TSMOOTH))</f>
        <v>323</v>
      </c>
      <c r="Q218" s="7" t="n">
        <f aca="false">K218/10</f>
        <v>32.3</v>
      </c>
      <c r="R218" s="7" t="n">
        <f aca="false">P218/10</f>
        <v>32.3</v>
      </c>
    </row>
    <row r="219" customFormat="false" ht="15" hidden="false" customHeight="false" outlineLevel="0" collapsed="false">
      <c r="A219" s="7" t="n">
        <v>214</v>
      </c>
      <c r="B219" s="7" t="n">
        <f aca="false">A219*0.04</f>
        <v>8.56</v>
      </c>
      <c r="C219" s="18" t="n">
        <v>450</v>
      </c>
      <c r="D219" s="7" t="n">
        <f aca="false">IF(AND(C219=0,c_TCREEP&gt;0),10*c_TCREEP,IF(AND(C219&lt;=c_TRNGMIN,C219&gt;=c_TRNGMAX,c_TRNGMIN-c_TRNGMAX&lt;&gt;0),-10*c_TMINRN+QUOTIENT((c_TMAXRN-c_TMINRN)*(100-QUOTIENT((C219-c_TRNGMAX)*100,c_TRNGMIN-c_TRNGMAX)),-10),0))</f>
        <v>0</v>
      </c>
      <c r="E219" s="7" t="n">
        <f aca="false">IF(((c_TMAP1IN)-(c_TFWD))=0,(0)+QUOTIENT(((c_TMAP1OUT)-(0)),2),QUOTIENT((((C219)-(c_TFWD))*((c_TMAP1OUT)-(0))+IF(((c_TMAP1OUT)-(0))&gt;=0,1,-1)*QUOTIENT(((c_TMAP1IN)-(c_TFWD)),2)),((c_TMAP1IN)-(c_TFWD)))+(0)+IF(((c_TMAP1OUT)-(0))&gt;=0,IF(IF(o_WRAP=1,MOD(((c_TMAP1IN)-(c_TFWD))*(((C219)-(c_TFWD))*((c_TMAP1OUT)-(0))+IF(((c_TMAP1OUT)-(0))&gt;=0,1,-1)*QUOTIENT(((c_TMAP1IN)-(c_TFWD)),2))+2147483648,4294967296)-2147483648,((c_TMAP1IN)-(c_TFWD))*(((C219)-(c_TFWD))*((c_TMAP1OUT)-(0))+IF(((c_TMAP1OUT)-(0))&gt;=0,1,-1)*QUOTIENT(((c_TMAP1IN)-(c_TFWD)),2)))&lt;0,-1,0),IF(IF(o_WRAP=1,MOD(((c_TMAP1IN)-(c_TFWD))*(((C219)-(c_TFWD))*((c_TMAP1OUT)-(0))+IF(((c_TMAP1OUT)-(0))&gt;=0,1,-1)*QUOTIENT(((c_TMAP1IN)-(c_TFWD)),2))+2147483648,4294967296)-2147483648,((c_TMAP1IN)-(c_TFWD))*(((C219)-(c_TFWD))*((c_TMAP1OUT)-(0))+IF(((c_TMAP1OUT)-(0))&gt;=0,1,-1)*QUOTIENT(((c_TMAP1IN)-(c_TFWD)),2)))&gt;=0,1,0)))</f>
        <v>342</v>
      </c>
      <c r="F219" s="7" t="n">
        <f aca="false">IF(((c_TMAP2IN)-(c_TMAP1IN))=0,(c_TMAP1OUT)+QUOTIENT(((c_TMAP2OUT)-(c_TMAP1OUT)),2),QUOTIENT((((C219)-(c_TMAP1IN))*((c_TMAP2OUT)-(c_TMAP1OUT))+IF(((c_TMAP2OUT)-(c_TMAP1OUT))&gt;=0,1,-1)*QUOTIENT(((c_TMAP2IN)-(c_TMAP1IN)),2)),((c_TMAP2IN)-(c_TMAP1IN)))+(c_TMAP1OUT)+IF(((c_TMAP2OUT)-(c_TMAP1OUT))&gt;=0,IF(IF(o_WRAP=1,MOD(((c_TMAP2IN)-(c_TMAP1IN))*(((C219)-(c_TMAP1IN))*((c_TMAP2OUT)-(c_TMAP1OUT))+IF(((c_TMAP2OUT)-(c_TMAP1OUT))&gt;=0,1,-1)*QUOTIENT(((c_TMAP2IN)-(c_TMAP1IN)),2))+2147483648,4294967296)-2147483648,((c_TMAP2IN)-(c_TMAP1IN))*(((C219)-(c_TMAP1IN))*((c_TMAP2OUT)-(c_TMAP1OUT))+IF(((c_TMAP2OUT)-(c_TMAP1OUT))&gt;=0,1,-1)*QUOTIENT(((c_TMAP2IN)-(c_TMAP1IN)),2)))&lt;0,-1,0),IF(IF(o_WRAP=1,MOD(((c_TMAP2IN)-(c_TMAP1IN))*(((C219)-(c_TMAP1IN))*((c_TMAP2OUT)-(c_TMAP1OUT))+IF(((c_TMAP2OUT)-(c_TMAP1OUT))&gt;=0,1,-1)*QUOTIENT(((c_TMAP2IN)-(c_TMAP1IN)),2))+2147483648,4294967296)-2147483648,((c_TMAP2IN)-(c_TMAP1IN))*(((C219)-(c_TMAP1IN))*((c_TMAP2OUT)-(c_TMAP1OUT))+IF(((c_TMAP2OUT)-(c_TMAP1OUT))&gt;=0,1,-1)*QUOTIENT(((c_TMAP2IN)-(c_TMAP1IN)),2)))&gt;=0,1,0)))</f>
        <v>210</v>
      </c>
      <c r="G219" s="7" t="n">
        <f aca="false">IF(((c_TMAP3IN)-(c_TMAP2IN))=0,(c_TMAP2OUT)+QUOTIENT(((c_TMAP3OUT)-(c_TMAP2OUT)),2),QUOTIENT((((C219)-(c_TMAP2IN))*((c_TMAP3OUT)-(c_TMAP2OUT))+IF(((c_TMAP3OUT)-(c_TMAP2OUT))&gt;=0,1,-1)*QUOTIENT(((c_TMAP3IN)-(c_TMAP2IN)),2)),((c_TMAP3IN)-(c_TMAP2IN)))+(c_TMAP2OUT)+IF(((c_TMAP3OUT)-(c_TMAP2OUT))&gt;=0,IF(IF(o_WRAP=1,MOD(((c_TMAP3IN)-(c_TMAP2IN))*(((C219)-(c_TMAP2IN))*((c_TMAP3OUT)-(c_TMAP2OUT))+IF(((c_TMAP3OUT)-(c_TMAP2OUT))&gt;=0,1,-1)*QUOTIENT(((c_TMAP3IN)-(c_TMAP2IN)),2))+2147483648,4294967296)-2147483648,((c_TMAP3IN)-(c_TMAP2IN))*(((C219)-(c_TMAP2IN))*((c_TMAP3OUT)-(c_TMAP2OUT))+IF(((c_TMAP3OUT)-(c_TMAP2OUT))&gt;=0,1,-1)*QUOTIENT(((c_TMAP3IN)-(c_TMAP2IN)),2)))&lt;0,-1,0),IF(IF(o_WRAP=1,MOD(((c_TMAP3IN)-(c_TMAP2IN))*(((C219)-(c_TMAP2IN))*((c_TMAP3OUT)-(c_TMAP2OUT))+IF(((c_TMAP3OUT)-(c_TMAP2OUT))&gt;=0,1,-1)*QUOTIENT(((c_TMAP3IN)-(c_TMAP2IN)),2))+2147483648,4294967296)-2147483648,((c_TMAP3IN)-(c_TMAP2IN))*(((C219)-(c_TMAP2IN))*((c_TMAP3OUT)-(c_TMAP2OUT))+IF(((c_TMAP3OUT)-(c_TMAP2OUT))&gt;=0,1,-1)*QUOTIENT(((c_TMAP3IN)-(c_TMAP2IN)),2)))&gt;=0,1,0)))</f>
        <v>270</v>
      </c>
      <c r="H219" s="7" t="n">
        <f aca="false">IF(((1000)-(c_TMAP3IN))=0,(c_TMAP3OUT)+QUOTIENT(((1000)-(c_TMAP3OUT)),2),QUOTIENT((((C219)-(c_TMAP3IN))*((1000)-(c_TMAP3OUT))+IF(((1000)-(c_TMAP3OUT))&gt;=0,1,-1)*QUOTIENT(((1000)-(c_TMAP3IN)),2)),((1000)-(c_TMAP3IN)))+(c_TMAP3OUT)+IF(((1000)-(c_TMAP3OUT))&gt;=0,IF(IF(o_WRAP=1,MOD(((1000)-(c_TMAP3IN))*(((C219)-(c_TMAP3IN))*((1000)-(c_TMAP3OUT))+IF(((1000)-(c_TMAP3OUT))&gt;=0,1,-1)*QUOTIENT(((1000)-(c_TMAP3IN)),2))+2147483648,4294967296)-2147483648,((1000)-(c_TMAP3IN))*(((C219)-(c_TMAP3IN))*((1000)-(c_TMAP3OUT))+IF(((1000)-(c_TMAP3OUT))&gt;=0,1,-1)*QUOTIENT(((1000)-(c_TMAP3IN)),2)))&lt;0,-1,0),IF(IF(o_WRAP=1,MOD(((1000)-(c_TMAP3IN))*(((C219)-(c_TMAP3IN))*((1000)-(c_TMAP3OUT))+IF(((1000)-(c_TMAP3OUT))&gt;=0,1,-1)*QUOTIENT(((1000)-(c_TMAP3IN)),2))+2147483648,4294967296)-2147483648,((1000)-(c_TMAP3IN))*(((C219)-(c_TMAP3IN))*((1000)-(c_TMAP3OUT))+IF(((1000)-(c_TMAP3OUT))&gt;=0,1,-1)*QUOTIENT(((1000)-(c_TMAP3IN)),2)))&gt;=0,1,0)))</f>
        <v>323</v>
      </c>
      <c r="I219" s="7" t="n">
        <f aca="false">IF(C219&gt;=c_TFWD,IF(AND(C219&gt;=c_TMAP3IN,c_TMAP3IN&lt;1000),H219,IF(AND(C219&gt;=c_TMAP2IN,c_TMAP3IN&gt;c_TMAP2IN),G219,IF(AND(C219&gt;=c_TMAP1IN,c_TMAP2IN&gt;c_TMAP1IN),F219,E219))),D219)</f>
        <v>323</v>
      </c>
      <c r="J219" s="7" t="str">
        <f aca="false">IF(I219&lt;-1090,"TOO LOW",IF(I219&gt;1090,"TOO HIGH",""))</f>
        <v/>
      </c>
      <c r="K219" s="7" t="n">
        <f aca="false">IF(J219&lt;&gt;"",0,IF(I219&gt;979,1000,I219))</f>
        <v>323</v>
      </c>
      <c r="L219" s="7" t="n">
        <f aca="false">IF(OR(c_TSMOOTH=0,K219&gt;=c_TSMOOTHCUT),1,0)</f>
        <v>0</v>
      </c>
      <c r="M219" s="7" t="n">
        <f aca="false">IF(L219=1,0,M218+1)</f>
        <v>133</v>
      </c>
      <c r="N219" s="7" t="n">
        <f aca="false">IF(L219=1,0,MIN(M219,c_TSMOOTH))</f>
        <v>30</v>
      </c>
      <c r="O219" s="7" t="n">
        <f aca="false">IF(COUNTIF($L$5:L219,1)&gt;0,c_TSMOOTHCUT,0)</f>
        <v>400</v>
      </c>
      <c r="P219" s="15" t="n">
        <f aca="true">IF(L219=1,K219,QUOTIENT(SUM(OFFSET(K219,1-N219,0,N219,1))+(c_TSMOOTH-N219)*O219,c_TSMOOTH))</f>
        <v>323</v>
      </c>
      <c r="Q219" s="7" t="n">
        <f aca="false">K219/10</f>
        <v>32.3</v>
      </c>
      <c r="R219" s="7" t="n">
        <f aca="false">P219/10</f>
        <v>32.3</v>
      </c>
    </row>
    <row r="220" customFormat="false" ht="15" hidden="false" customHeight="false" outlineLevel="0" collapsed="false">
      <c r="A220" s="7" t="n">
        <v>215</v>
      </c>
      <c r="B220" s="7" t="n">
        <f aca="false">A220*0.04</f>
        <v>8.6</v>
      </c>
      <c r="C220" s="18" t="n">
        <v>450</v>
      </c>
      <c r="D220" s="7" t="n">
        <f aca="false">IF(AND(C220=0,c_TCREEP&gt;0),10*c_TCREEP,IF(AND(C220&lt;=c_TRNGMIN,C220&gt;=c_TRNGMAX,c_TRNGMIN-c_TRNGMAX&lt;&gt;0),-10*c_TMINRN+QUOTIENT((c_TMAXRN-c_TMINRN)*(100-QUOTIENT((C220-c_TRNGMAX)*100,c_TRNGMIN-c_TRNGMAX)),-10),0))</f>
        <v>0</v>
      </c>
      <c r="E220" s="7" t="n">
        <f aca="false">IF(((c_TMAP1IN)-(c_TFWD))=0,(0)+QUOTIENT(((c_TMAP1OUT)-(0)),2),QUOTIENT((((C220)-(c_TFWD))*((c_TMAP1OUT)-(0))+IF(((c_TMAP1OUT)-(0))&gt;=0,1,-1)*QUOTIENT(((c_TMAP1IN)-(c_TFWD)),2)),((c_TMAP1IN)-(c_TFWD)))+(0)+IF(((c_TMAP1OUT)-(0))&gt;=0,IF(IF(o_WRAP=1,MOD(((c_TMAP1IN)-(c_TFWD))*(((C220)-(c_TFWD))*((c_TMAP1OUT)-(0))+IF(((c_TMAP1OUT)-(0))&gt;=0,1,-1)*QUOTIENT(((c_TMAP1IN)-(c_TFWD)),2))+2147483648,4294967296)-2147483648,((c_TMAP1IN)-(c_TFWD))*(((C220)-(c_TFWD))*((c_TMAP1OUT)-(0))+IF(((c_TMAP1OUT)-(0))&gt;=0,1,-1)*QUOTIENT(((c_TMAP1IN)-(c_TFWD)),2)))&lt;0,-1,0),IF(IF(o_WRAP=1,MOD(((c_TMAP1IN)-(c_TFWD))*(((C220)-(c_TFWD))*((c_TMAP1OUT)-(0))+IF(((c_TMAP1OUT)-(0))&gt;=0,1,-1)*QUOTIENT(((c_TMAP1IN)-(c_TFWD)),2))+2147483648,4294967296)-2147483648,((c_TMAP1IN)-(c_TFWD))*(((C220)-(c_TFWD))*((c_TMAP1OUT)-(0))+IF(((c_TMAP1OUT)-(0))&gt;=0,1,-1)*QUOTIENT(((c_TMAP1IN)-(c_TFWD)),2)))&gt;=0,1,0)))</f>
        <v>342</v>
      </c>
      <c r="F220" s="7" t="n">
        <f aca="false">IF(((c_TMAP2IN)-(c_TMAP1IN))=0,(c_TMAP1OUT)+QUOTIENT(((c_TMAP2OUT)-(c_TMAP1OUT)),2),QUOTIENT((((C220)-(c_TMAP1IN))*((c_TMAP2OUT)-(c_TMAP1OUT))+IF(((c_TMAP2OUT)-(c_TMAP1OUT))&gt;=0,1,-1)*QUOTIENT(((c_TMAP2IN)-(c_TMAP1IN)),2)),((c_TMAP2IN)-(c_TMAP1IN)))+(c_TMAP1OUT)+IF(((c_TMAP2OUT)-(c_TMAP1OUT))&gt;=0,IF(IF(o_WRAP=1,MOD(((c_TMAP2IN)-(c_TMAP1IN))*(((C220)-(c_TMAP1IN))*((c_TMAP2OUT)-(c_TMAP1OUT))+IF(((c_TMAP2OUT)-(c_TMAP1OUT))&gt;=0,1,-1)*QUOTIENT(((c_TMAP2IN)-(c_TMAP1IN)),2))+2147483648,4294967296)-2147483648,((c_TMAP2IN)-(c_TMAP1IN))*(((C220)-(c_TMAP1IN))*((c_TMAP2OUT)-(c_TMAP1OUT))+IF(((c_TMAP2OUT)-(c_TMAP1OUT))&gt;=0,1,-1)*QUOTIENT(((c_TMAP2IN)-(c_TMAP1IN)),2)))&lt;0,-1,0),IF(IF(o_WRAP=1,MOD(((c_TMAP2IN)-(c_TMAP1IN))*(((C220)-(c_TMAP1IN))*((c_TMAP2OUT)-(c_TMAP1OUT))+IF(((c_TMAP2OUT)-(c_TMAP1OUT))&gt;=0,1,-1)*QUOTIENT(((c_TMAP2IN)-(c_TMAP1IN)),2))+2147483648,4294967296)-2147483648,((c_TMAP2IN)-(c_TMAP1IN))*(((C220)-(c_TMAP1IN))*((c_TMAP2OUT)-(c_TMAP1OUT))+IF(((c_TMAP2OUT)-(c_TMAP1OUT))&gt;=0,1,-1)*QUOTIENT(((c_TMAP2IN)-(c_TMAP1IN)),2)))&gt;=0,1,0)))</f>
        <v>210</v>
      </c>
      <c r="G220" s="7" t="n">
        <f aca="false">IF(((c_TMAP3IN)-(c_TMAP2IN))=0,(c_TMAP2OUT)+QUOTIENT(((c_TMAP3OUT)-(c_TMAP2OUT)),2),QUOTIENT((((C220)-(c_TMAP2IN))*((c_TMAP3OUT)-(c_TMAP2OUT))+IF(((c_TMAP3OUT)-(c_TMAP2OUT))&gt;=0,1,-1)*QUOTIENT(((c_TMAP3IN)-(c_TMAP2IN)),2)),((c_TMAP3IN)-(c_TMAP2IN)))+(c_TMAP2OUT)+IF(((c_TMAP3OUT)-(c_TMAP2OUT))&gt;=0,IF(IF(o_WRAP=1,MOD(((c_TMAP3IN)-(c_TMAP2IN))*(((C220)-(c_TMAP2IN))*((c_TMAP3OUT)-(c_TMAP2OUT))+IF(((c_TMAP3OUT)-(c_TMAP2OUT))&gt;=0,1,-1)*QUOTIENT(((c_TMAP3IN)-(c_TMAP2IN)),2))+2147483648,4294967296)-2147483648,((c_TMAP3IN)-(c_TMAP2IN))*(((C220)-(c_TMAP2IN))*((c_TMAP3OUT)-(c_TMAP2OUT))+IF(((c_TMAP3OUT)-(c_TMAP2OUT))&gt;=0,1,-1)*QUOTIENT(((c_TMAP3IN)-(c_TMAP2IN)),2)))&lt;0,-1,0),IF(IF(o_WRAP=1,MOD(((c_TMAP3IN)-(c_TMAP2IN))*(((C220)-(c_TMAP2IN))*((c_TMAP3OUT)-(c_TMAP2OUT))+IF(((c_TMAP3OUT)-(c_TMAP2OUT))&gt;=0,1,-1)*QUOTIENT(((c_TMAP3IN)-(c_TMAP2IN)),2))+2147483648,4294967296)-2147483648,((c_TMAP3IN)-(c_TMAP2IN))*(((C220)-(c_TMAP2IN))*((c_TMAP3OUT)-(c_TMAP2OUT))+IF(((c_TMAP3OUT)-(c_TMAP2OUT))&gt;=0,1,-1)*QUOTIENT(((c_TMAP3IN)-(c_TMAP2IN)),2)))&gt;=0,1,0)))</f>
        <v>270</v>
      </c>
      <c r="H220" s="7" t="n">
        <f aca="false">IF(((1000)-(c_TMAP3IN))=0,(c_TMAP3OUT)+QUOTIENT(((1000)-(c_TMAP3OUT)),2),QUOTIENT((((C220)-(c_TMAP3IN))*((1000)-(c_TMAP3OUT))+IF(((1000)-(c_TMAP3OUT))&gt;=0,1,-1)*QUOTIENT(((1000)-(c_TMAP3IN)),2)),((1000)-(c_TMAP3IN)))+(c_TMAP3OUT)+IF(((1000)-(c_TMAP3OUT))&gt;=0,IF(IF(o_WRAP=1,MOD(((1000)-(c_TMAP3IN))*(((C220)-(c_TMAP3IN))*((1000)-(c_TMAP3OUT))+IF(((1000)-(c_TMAP3OUT))&gt;=0,1,-1)*QUOTIENT(((1000)-(c_TMAP3IN)),2))+2147483648,4294967296)-2147483648,((1000)-(c_TMAP3IN))*(((C220)-(c_TMAP3IN))*((1000)-(c_TMAP3OUT))+IF(((1000)-(c_TMAP3OUT))&gt;=0,1,-1)*QUOTIENT(((1000)-(c_TMAP3IN)),2)))&lt;0,-1,0),IF(IF(o_WRAP=1,MOD(((1000)-(c_TMAP3IN))*(((C220)-(c_TMAP3IN))*((1000)-(c_TMAP3OUT))+IF(((1000)-(c_TMAP3OUT))&gt;=0,1,-1)*QUOTIENT(((1000)-(c_TMAP3IN)),2))+2147483648,4294967296)-2147483648,((1000)-(c_TMAP3IN))*(((C220)-(c_TMAP3IN))*((1000)-(c_TMAP3OUT))+IF(((1000)-(c_TMAP3OUT))&gt;=0,1,-1)*QUOTIENT(((1000)-(c_TMAP3IN)),2)))&gt;=0,1,0)))</f>
        <v>323</v>
      </c>
      <c r="I220" s="7" t="n">
        <f aca="false">IF(C220&gt;=c_TFWD,IF(AND(C220&gt;=c_TMAP3IN,c_TMAP3IN&lt;1000),H220,IF(AND(C220&gt;=c_TMAP2IN,c_TMAP3IN&gt;c_TMAP2IN),G220,IF(AND(C220&gt;=c_TMAP1IN,c_TMAP2IN&gt;c_TMAP1IN),F220,E220))),D220)</f>
        <v>323</v>
      </c>
      <c r="J220" s="7" t="str">
        <f aca="false">IF(I220&lt;-1090,"TOO LOW",IF(I220&gt;1090,"TOO HIGH",""))</f>
        <v/>
      </c>
      <c r="K220" s="7" t="n">
        <f aca="false">IF(J220&lt;&gt;"",0,IF(I220&gt;979,1000,I220))</f>
        <v>323</v>
      </c>
      <c r="L220" s="7" t="n">
        <f aca="false">IF(OR(c_TSMOOTH=0,K220&gt;=c_TSMOOTHCUT),1,0)</f>
        <v>0</v>
      </c>
      <c r="M220" s="7" t="n">
        <f aca="false">IF(L220=1,0,M219+1)</f>
        <v>134</v>
      </c>
      <c r="N220" s="7" t="n">
        <f aca="false">IF(L220=1,0,MIN(M220,c_TSMOOTH))</f>
        <v>30</v>
      </c>
      <c r="O220" s="7" t="n">
        <f aca="false">IF(COUNTIF($L$5:L220,1)&gt;0,c_TSMOOTHCUT,0)</f>
        <v>400</v>
      </c>
      <c r="P220" s="15" t="n">
        <f aca="true">IF(L220=1,K220,QUOTIENT(SUM(OFFSET(K220,1-N220,0,N220,1))+(c_TSMOOTH-N220)*O220,c_TSMOOTH))</f>
        <v>323</v>
      </c>
      <c r="Q220" s="7" t="n">
        <f aca="false">K220/10</f>
        <v>32.3</v>
      </c>
      <c r="R220" s="7" t="n">
        <f aca="false">P220/10</f>
        <v>32.3</v>
      </c>
    </row>
    <row r="221" customFormat="false" ht="15" hidden="false" customHeight="false" outlineLevel="0" collapsed="false">
      <c r="A221" s="7" t="n">
        <v>216</v>
      </c>
      <c r="B221" s="7" t="n">
        <f aca="false">A221*0.04</f>
        <v>8.64</v>
      </c>
      <c r="C221" s="18" t="n">
        <v>450</v>
      </c>
      <c r="D221" s="7" t="n">
        <f aca="false">IF(AND(C221=0,c_TCREEP&gt;0),10*c_TCREEP,IF(AND(C221&lt;=c_TRNGMIN,C221&gt;=c_TRNGMAX,c_TRNGMIN-c_TRNGMAX&lt;&gt;0),-10*c_TMINRN+QUOTIENT((c_TMAXRN-c_TMINRN)*(100-QUOTIENT((C221-c_TRNGMAX)*100,c_TRNGMIN-c_TRNGMAX)),-10),0))</f>
        <v>0</v>
      </c>
      <c r="E221" s="7" t="n">
        <f aca="false">IF(((c_TMAP1IN)-(c_TFWD))=0,(0)+QUOTIENT(((c_TMAP1OUT)-(0)),2),QUOTIENT((((C221)-(c_TFWD))*((c_TMAP1OUT)-(0))+IF(((c_TMAP1OUT)-(0))&gt;=0,1,-1)*QUOTIENT(((c_TMAP1IN)-(c_TFWD)),2)),((c_TMAP1IN)-(c_TFWD)))+(0)+IF(((c_TMAP1OUT)-(0))&gt;=0,IF(IF(o_WRAP=1,MOD(((c_TMAP1IN)-(c_TFWD))*(((C221)-(c_TFWD))*((c_TMAP1OUT)-(0))+IF(((c_TMAP1OUT)-(0))&gt;=0,1,-1)*QUOTIENT(((c_TMAP1IN)-(c_TFWD)),2))+2147483648,4294967296)-2147483648,((c_TMAP1IN)-(c_TFWD))*(((C221)-(c_TFWD))*((c_TMAP1OUT)-(0))+IF(((c_TMAP1OUT)-(0))&gt;=0,1,-1)*QUOTIENT(((c_TMAP1IN)-(c_TFWD)),2)))&lt;0,-1,0),IF(IF(o_WRAP=1,MOD(((c_TMAP1IN)-(c_TFWD))*(((C221)-(c_TFWD))*((c_TMAP1OUT)-(0))+IF(((c_TMAP1OUT)-(0))&gt;=0,1,-1)*QUOTIENT(((c_TMAP1IN)-(c_TFWD)),2))+2147483648,4294967296)-2147483648,((c_TMAP1IN)-(c_TFWD))*(((C221)-(c_TFWD))*((c_TMAP1OUT)-(0))+IF(((c_TMAP1OUT)-(0))&gt;=0,1,-1)*QUOTIENT(((c_TMAP1IN)-(c_TFWD)),2)))&gt;=0,1,0)))</f>
        <v>342</v>
      </c>
      <c r="F221" s="7" t="n">
        <f aca="false">IF(((c_TMAP2IN)-(c_TMAP1IN))=0,(c_TMAP1OUT)+QUOTIENT(((c_TMAP2OUT)-(c_TMAP1OUT)),2),QUOTIENT((((C221)-(c_TMAP1IN))*((c_TMAP2OUT)-(c_TMAP1OUT))+IF(((c_TMAP2OUT)-(c_TMAP1OUT))&gt;=0,1,-1)*QUOTIENT(((c_TMAP2IN)-(c_TMAP1IN)),2)),((c_TMAP2IN)-(c_TMAP1IN)))+(c_TMAP1OUT)+IF(((c_TMAP2OUT)-(c_TMAP1OUT))&gt;=0,IF(IF(o_WRAP=1,MOD(((c_TMAP2IN)-(c_TMAP1IN))*(((C221)-(c_TMAP1IN))*((c_TMAP2OUT)-(c_TMAP1OUT))+IF(((c_TMAP2OUT)-(c_TMAP1OUT))&gt;=0,1,-1)*QUOTIENT(((c_TMAP2IN)-(c_TMAP1IN)),2))+2147483648,4294967296)-2147483648,((c_TMAP2IN)-(c_TMAP1IN))*(((C221)-(c_TMAP1IN))*((c_TMAP2OUT)-(c_TMAP1OUT))+IF(((c_TMAP2OUT)-(c_TMAP1OUT))&gt;=0,1,-1)*QUOTIENT(((c_TMAP2IN)-(c_TMAP1IN)),2)))&lt;0,-1,0),IF(IF(o_WRAP=1,MOD(((c_TMAP2IN)-(c_TMAP1IN))*(((C221)-(c_TMAP1IN))*((c_TMAP2OUT)-(c_TMAP1OUT))+IF(((c_TMAP2OUT)-(c_TMAP1OUT))&gt;=0,1,-1)*QUOTIENT(((c_TMAP2IN)-(c_TMAP1IN)),2))+2147483648,4294967296)-2147483648,((c_TMAP2IN)-(c_TMAP1IN))*(((C221)-(c_TMAP1IN))*((c_TMAP2OUT)-(c_TMAP1OUT))+IF(((c_TMAP2OUT)-(c_TMAP1OUT))&gt;=0,1,-1)*QUOTIENT(((c_TMAP2IN)-(c_TMAP1IN)),2)))&gt;=0,1,0)))</f>
        <v>210</v>
      </c>
      <c r="G221" s="7" t="n">
        <f aca="false">IF(((c_TMAP3IN)-(c_TMAP2IN))=0,(c_TMAP2OUT)+QUOTIENT(((c_TMAP3OUT)-(c_TMAP2OUT)),2),QUOTIENT((((C221)-(c_TMAP2IN))*((c_TMAP3OUT)-(c_TMAP2OUT))+IF(((c_TMAP3OUT)-(c_TMAP2OUT))&gt;=0,1,-1)*QUOTIENT(((c_TMAP3IN)-(c_TMAP2IN)),2)),((c_TMAP3IN)-(c_TMAP2IN)))+(c_TMAP2OUT)+IF(((c_TMAP3OUT)-(c_TMAP2OUT))&gt;=0,IF(IF(o_WRAP=1,MOD(((c_TMAP3IN)-(c_TMAP2IN))*(((C221)-(c_TMAP2IN))*((c_TMAP3OUT)-(c_TMAP2OUT))+IF(((c_TMAP3OUT)-(c_TMAP2OUT))&gt;=0,1,-1)*QUOTIENT(((c_TMAP3IN)-(c_TMAP2IN)),2))+2147483648,4294967296)-2147483648,((c_TMAP3IN)-(c_TMAP2IN))*(((C221)-(c_TMAP2IN))*((c_TMAP3OUT)-(c_TMAP2OUT))+IF(((c_TMAP3OUT)-(c_TMAP2OUT))&gt;=0,1,-1)*QUOTIENT(((c_TMAP3IN)-(c_TMAP2IN)),2)))&lt;0,-1,0),IF(IF(o_WRAP=1,MOD(((c_TMAP3IN)-(c_TMAP2IN))*(((C221)-(c_TMAP2IN))*((c_TMAP3OUT)-(c_TMAP2OUT))+IF(((c_TMAP3OUT)-(c_TMAP2OUT))&gt;=0,1,-1)*QUOTIENT(((c_TMAP3IN)-(c_TMAP2IN)),2))+2147483648,4294967296)-2147483648,((c_TMAP3IN)-(c_TMAP2IN))*(((C221)-(c_TMAP2IN))*((c_TMAP3OUT)-(c_TMAP2OUT))+IF(((c_TMAP3OUT)-(c_TMAP2OUT))&gt;=0,1,-1)*QUOTIENT(((c_TMAP3IN)-(c_TMAP2IN)),2)))&gt;=0,1,0)))</f>
        <v>270</v>
      </c>
      <c r="H221" s="7" t="n">
        <f aca="false">IF(((1000)-(c_TMAP3IN))=0,(c_TMAP3OUT)+QUOTIENT(((1000)-(c_TMAP3OUT)),2),QUOTIENT((((C221)-(c_TMAP3IN))*((1000)-(c_TMAP3OUT))+IF(((1000)-(c_TMAP3OUT))&gt;=0,1,-1)*QUOTIENT(((1000)-(c_TMAP3IN)),2)),((1000)-(c_TMAP3IN)))+(c_TMAP3OUT)+IF(((1000)-(c_TMAP3OUT))&gt;=0,IF(IF(o_WRAP=1,MOD(((1000)-(c_TMAP3IN))*(((C221)-(c_TMAP3IN))*((1000)-(c_TMAP3OUT))+IF(((1000)-(c_TMAP3OUT))&gt;=0,1,-1)*QUOTIENT(((1000)-(c_TMAP3IN)),2))+2147483648,4294967296)-2147483648,((1000)-(c_TMAP3IN))*(((C221)-(c_TMAP3IN))*((1000)-(c_TMAP3OUT))+IF(((1000)-(c_TMAP3OUT))&gt;=0,1,-1)*QUOTIENT(((1000)-(c_TMAP3IN)),2)))&lt;0,-1,0),IF(IF(o_WRAP=1,MOD(((1000)-(c_TMAP3IN))*(((C221)-(c_TMAP3IN))*((1000)-(c_TMAP3OUT))+IF(((1000)-(c_TMAP3OUT))&gt;=0,1,-1)*QUOTIENT(((1000)-(c_TMAP3IN)),2))+2147483648,4294967296)-2147483648,((1000)-(c_TMAP3IN))*(((C221)-(c_TMAP3IN))*((1000)-(c_TMAP3OUT))+IF(((1000)-(c_TMAP3OUT))&gt;=0,1,-1)*QUOTIENT(((1000)-(c_TMAP3IN)),2)))&gt;=0,1,0)))</f>
        <v>323</v>
      </c>
      <c r="I221" s="7" t="n">
        <f aca="false">IF(C221&gt;=c_TFWD,IF(AND(C221&gt;=c_TMAP3IN,c_TMAP3IN&lt;1000),H221,IF(AND(C221&gt;=c_TMAP2IN,c_TMAP3IN&gt;c_TMAP2IN),G221,IF(AND(C221&gt;=c_TMAP1IN,c_TMAP2IN&gt;c_TMAP1IN),F221,E221))),D221)</f>
        <v>323</v>
      </c>
      <c r="J221" s="7" t="str">
        <f aca="false">IF(I221&lt;-1090,"TOO LOW",IF(I221&gt;1090,"TOO HIGH",""))</f>
        <v/>
      </c>
      <c r="K221" s="7" t="n">
        <f aca="false">IF(J221&lt;&gt;"",0,IF(I221&gt;979,1000,I221))</f>
        <v>323</v>
      </c>
      <c r="L221" s="7" t="n">
        <f aca="false">IF(OR(c_TSMOOTH=0,K221&gt;=c_TSMOOTHCUT),1,0)</f>
        <v>0</v>
      </c>
      <c r="M221" s="7" t="n">
        <f aca="false">IF(L221=1,0,M220+1)</f>
        <v>135</v>
      </c>
      <c r="N221" s="7" t="n">
        <f aca="false">IF(L221=1,0,MIN(M221,c_TSMOOTH))</f>
        <v>30</v>
      </c>
      <c r="O221" s="7" t="n">
        <f aca="false">IF(COUNTIF($L$5:L221,1)&gt;0,c_TSMOOTHCUT,0)</f>
        <v>400</v>
      </c>
      <c r="P221" s="15" t="n">
        <f aca="true">IF(L221=1,K221,QUOTIENT(SUM(OFFSET(K221,1-N221,0,N221,1))+(c_TSMOOTH-N221)*O221,c_TSMOOTH))</f>
        <v>323</v>
      </c>
      <c r="Q221" s="7" t="n">
        <f aca="false">K221/10</f>
        <v>32.3</v>
      </c>
      <c r="R221" s="7" t="n">
        <f aca="false">P221/10</f>
        <v>32.3</v>
      </c>
    </row>
    <row r="222" customFormat="false" ht="15" hidden="false" customHeight="false" outlineLevel="0" collapsed="false">
      <c r="A222" s="7" t="n">
        <v>217</v>
      </c>
      <c r="B222" s="7" t="n">
        <f aca="false">A222*0.04</f>
        <v>8.68</v>
      </c>
      <c r="C222" s="18" t="n">
        <v>450</v>
      </c>
      <c r="D222" s="7" t="n">
        <f aca="false">IF(AND(C222=0,c_TCREEP&gt;0),10*c_TCREEP,IF(AND(C222&lt;=c_TRNGMIN,C222&gt;=c_TRNGMAX,c_TRNGMIN-c_TRNGMAX&lt;&gt;0),-10*c_TMINRN+QUOTIENT((c_TMAXRN-c_TMINRN)*(100-QUOTIENT((C222-c_TRNGMAX)*100,c_TRNGMIN-c_TRNGMAX)),-10),0))</f>
        <v>0</v>
      </c>
      <c r="E222" s="7" t="n">
        <f aca="false">IF(((c_TMAP1IN)-(c_TFWD))=0,(0)+QUOTIENT(((c_TMAP1OUT)-(0)),2),QUOTIENT((((C222)-(c_TFWD))*((c_TMAP1OUT)-(0))+IF(((c_TMAP1OUT)-(0))&gt;=0,1,-1)*QUOTIENT(((c_TMAP1IN)-(c_TFWD)),2)),((c_TMAP1IN)-(c_TFWD)))+(0)+IF(((c_TMAP1OUT)-(0))&gt;=0,IF(IF(o_WRAP=1,MOD(((c_TMAP1IN)-(c_TFWD))*(((C222)-(c_TFWD))*((c_TMAP1OUT)-(0))+IF(((c_TMAP1OUT)-(0))&gt;=0,1,-1)*QUOTIENT(((c_TMAP1IN)-(c_TFWD)),2))+2147483648,4294967296)-2147483648,((c_TMAP1IN)-(c_TFWD))*(((C222)-(c_TFWD))*((c_TMAP1OUT)-(0))+IF(((c_TMAP1OUT)-(0))&gt;=0,1,-1)*QUOTIENT(((c_TMAP1IN)-(c_TFWD)),2)))&lt;0,-1,0),IF(IF(o_WRAP=1,MOD(((c_TMAP1IN)-(c_TFWD))*(((C222)-(c_TFWD))*((c_TMAP1OUT)-(0))+IF(((c_TMAP1OUT)-(0))&gt;=0,1,-1)*QUOTIENT(((c_TMAP1IN)-(c_TFWD)),2))+2147483648,4294967296)-2147483648,((c_TMAP1IN)-(c_TFWD))*(((C222)-(c_TFWD))*((c_TMAP1OUT)-(0))+IF(((c_TMAP1OUT)-(0))&gt;=0,1,-1)*QUOTIENT(((c_TMAP1IN)-(c_TFWD)),2)))&gt;=0,1,0)))</f>
        <v>342</v>
      </c>
      <c r="F222" s="7" t="n">
        <f aca="false">IF(((c_TMAP2IN)-(c_TMAP1IN))=0,(c_TMAP1OUT)+QUOTIENT(((c_TMAP2OUT)-(c_TMAP1OUT)),2),QUOTIENT((((C222)-(c_TMAP1IN))*((c_TMAP2OUT)-(c_TMAP1OUT))+IF(((c_TMAP2OUT)-(c_TMAP1OUT))&gt;=0,1,-1)*QUOTIENT(((c_TMAP2IN)-(c_TMAP1IN)),2)),((c_TMAP2IN)-(c_TMAP1IN)))+(c_TMAP1OUT)+IF(((c_TMAP2OUT)-(c_TMAP1OUT))&gt;=0,IF(IF(o_WRAP=1,MOD(((c_TMAP2IN)-(c_TMAP1IN))*(((C222)-(c_TMAP1IN))*((c_TMAP2OUT)-(c_TMAP1OUT))+IF(((c_TMAP2OUT)-(c_TMAP1OUT))&gt;=0,1,-1)*QUOTIENT(((c_TMAP2IN)-(c_TMAP1IN)),2))+2147483648,4294967296)-2147483648,((c_TMAP2IN)-(c_TMAP1IN))*(((C222)-(c_TMAP1IN))*((c_TMAP2OUT)-(c_TMAP1OUT))+IF(((c_TMAP2OUT)-(c_TMAP1OUT))&gt;=0,1,-1)*QUOTIENT(((c_TMAP2IN)-(c_TMAP1IN)),2)))&lt;0,-1,0),IF(IF(o_WRAP=1,MOD(((c_TMAP2IN)-(c_TMAP1IN))*(((C222)-(c_TMAP1IN))*((c_TMAP2OUT)-(c_TMAP1OUT))+IF(((c_TMAP2OUT)-(c_TMAP1OUT))&gt;=0,1,-1)*QUOTIENT(((c_TMAP2IN)-(c_TMAP1IN)),2))+2147483648,4294967296)-2147483648,((c_TMAP2IN)-(c_TMAP1IN))*(((C222)-(c_TMAP1IN))*((c_TMAP2OUT)-(c_TMAP1OUT))+IF(((c_TMAP2OUT)-(c_TMAP1OUT))&gt;=0,1,-1)*QUOTIENT(((c_TMAP2IN)-(c_TMAP1IN)),2)))&gt;=0,1,0)))</f>
        <v>210</v>
      </c>
      <c r="G222" s="7" t="n">
        <f aca="false">IF(((c_TMAP3IN)-(c_TMAP2IN))=0,(c_TMAP2OUT)+QUOTIENT(((c_TMAP3OUT)-(c_TMAP2OUT)),2),QUOTIENT((((C222)-(c_TMAP2IN))*((c_TMAP3OUT)-(c_TMAP2OUT))+IF(((c_TMAP3OUT)-(c_TMAP2OUT))&gt;=0,1,-1)*QUOTIENT(((c_TMAP3IN)-(c_TMAP2IN)),2)),((c_TMAP3IN)-(c_TMAP2IN)))+(c_TMAP2OUT)+IF(((c_TMAP3OUT)-(c_TMAP2OUT))&gt;=0,IF(IF(o_WRAP=1,MOD(((c_TMAP3IN)-(c_TMAP2IN))*(((C222)-(c_TMAP2IN))*((c_TMAP3OUT)-(c_TMAP2OUT))+IF(((c_TMAP3OUT)-(c_TMAP2OUT))&gt;=0,1,-1)*QUOTIENT(((c_TMAP3IN)-(c_TMAP2IN)),2))+2147483648,4294967296)-2147483648,((c_TMAP3IN)-(c_TMAP2IN))*(((C222)-(c_TMAP2IN))*((c_TMAP3OUT)-(c_TMAP2OUT))+IF(((c_TMAP3OUT)-(c_TMAP2OUT))&gt;=0,1,-1)*QUOTIENT(((c_TMAP3IN)-(c_TMAP2IN)),2)))&lt;0,-1,0),IF(IF(o_WRAP=1,MOD(((c_TMAP3IN)-(c_TMAP2IN))*(((C222)-(c_TMAP2IN))*((c_TMAP3OUT)-(c_TMAP2OUT))+IF(((c_TMAP3OUT)-(c_TMAP2OUT))&gt;=0,1,-1)*QUOTIENT(((c_TMAP3IN)-(c_TMAP2IN)),2))+2147483648,4294967296)-2147483648,((c_TMAP3IN)-(c_TMAP2IN))*(((C222)-(c_TMAP2IN))*((c_TMAP3OUT)-(c_TMAP2OUT))+IF(((c_TMAP3OUT)-(c_TMAP2OUT))&gt;=0,1,-1)*QUOTIENT(((c_TMAP3IN)-(c_TMAP2IN)),2)))&gt;=0,1,0)))</f>
        <v>270</v>
      </c>
      <c r="H222" s="7" t="n">
        <f aca="false">IF(((1000)-(c_TMAP3IN))=0,(c_TMAP3OUT)+QUOTIENT(((1000)-(c_TMAP3OUT)),2),QUOTIENT((((C222)-(c_TMAP3IN))*((1000)-(c_TMAP3OUT))+IF(((1000)-(c_TMAP3OUT))&gt;=0,1,-1)*QUOTIENT(((1000)-(c_TMAP3IN)),2)),((1000)-(c_TMAP3IN)))+(c_TMAP3OUT)+IF(((1000)-(c_TMAP3OUT))&gt;=0,IF(IF(o_WRAP=1,MOD(((1000)-(c_TMAP3IN))*(((C222)-(c_TMAP3IN))*((1000)-(c_TMAP3OUT))+IF(((1000)-(c_TMAP3OUT))&gt;=0,1,-1)*QUOTIENT(((1000)-(c_TMAP3IN)),2))+2147483648,4294967296)-2147483648,((1000)-(c_TMAP3IN))*(((C222)-(c_TMAP3IN))*((1000)-(c_TMAP3OUT))+IF(((1000)-(c_TMAP3OUT))&gt;=0,1,-1)*QUOTIENT(((1000)-(c_TMAP3IN)),2)))&lt;0,-1,0),IF(IF(o_WRAP=1,MOD(((1000)-(c_TMAP3IN))*(((C222)-(c_TMAP3IN))*((1000)-(c_TMAP3OUT))+IF(((1000)-(c_TMAP3OUT))&gt;=0,1,-1)*QUOTIENT(((1000)-(c_TMAP3IN)),2))+2147483648,4294967296)-2147483648,((1000)-(c_TMAP3IN))*(((C222)-(c_TMAP3IN))*((1000)-(c_TMAP3OUT))+IF(((1000)-(c_TMAP3OUT))&gt;=0,1,-1)*QUOTIENT(((1000)-(c_TMAP3IN)),2)))&gt;=0,1,0)))</f>
        <v>323</v>
      </c>
      <c r="I222" s="7" t="n">
        <f aca="false">IF(C222&gt;=c_TFWD,IF(AND(C222&gt;=c_TMAP3IN,c_TMAP3IN&lt;1000),H222,IF(AND(C222&gt;=c_TMAP2IN,c_TMAP3IN&gt;c_TMAP2IN),G222,IF(AND(C222&gt;=c_TMAP1IN,c_TMAP2IN&gt;c_TMAP1IN),F222,E222))),D222)</f>
        <v>323</v>
      </c>
      <c r="J222" s="7" t="str">
        <f aca="false">IF(I222&lt;-1090,"TOO LOW",IF(I222&gt;1090,"TOO HIGH",""))</f>
        <v/>
      </c>
      <c r="K222" s="7" t="n">
        <f aca="false">IF(J222&lt;&gt;"",0,IF(I222&gt;979,1000,I222))</f>
        <v>323</v>
      </c>
      <c r="L222" s="7" t="n">
        <f aca="false">IF(OR(c_TSMOOTH=0,K222&gt;=c_TSMOOTHCUT),1,0)</f>
        <v>0</v>
      </c>
      <c r="M222" s="7" t="n">
        <f aca="false">IF(L222=1,0,M221+1)</f>
        <v>136</v>
      </c>
      <c r="N222" s="7" t="n">
        <f aca="false">IF(L222=1,0,MIN(M222,c_TSMOOTH))</f>
        <v>30</v>
      </c>
      <c r="O222" s="7" t="n">
        <f aca="false">IF(COUNTIF($L$5:L222,1)&gt;0,c_TSMOOTHCUT,0)</f>
        <v>400</v>
      </c>
      <c r="P222" s="15" t="n">
        <f aca="true">IF(L222=1,K222,QUOTIENT(SUM(OFFSET(K222,1-N222,0,N222,1))+(c_TSMOOTH-N222)*O222,c_TSMOOTH))</f>
        <v>323</v>
      </c>
      <c r="Q222" s="7" t="n">
        <f aca="false">K222/10</f>
        <v>32.3</v>
      </c>
      <c r="R222" s="7" t="n">
        <f aca="false">P222/10</f>
        <v>32.3</v>
      </c>
    </row>
    <row r="223" customFormat="false" ht="15" hidden="false" customHeight="false" outlineLevel="0" collapsed="false">
      <c r="A223" s="7" t="n">
        <v>218</v>
      </c>
      <c r="B223" s="7" t="n">
        <f aca="false">A223*0.04</f>
        <v>8.72</v>
      </c>
      <c r="C223" s="18" t="n">
        <v>450</v>
      </c>
      <c r="D223" s="7" t="n">
        <f aca="false">IF(AND(C223=0,c_TCREEP&gt;0),10*c_TCREEP,IF(AND(C223&lt;=c_TRNGMIN,C223&gt;=c_TRNGMAX,c_TRNGMIN-c_TRNGMAX&lt;&gt;0),-10*c_TMINRN+QUOTIENT((c_TMAXRN-c_TMINRN)*(100-QUOTIENT((C223-c_TRNGMAX)*100,c_TRNGMIN-c_TRNGMAX)),-10),0))</f>
        <v>0</v>
      </c>
      <c r="E223" s="7" t="n">
        <f aca="false">IF(((c_TMAP1IN)-(c_TFWD))=0,(0)+QUOTIENT(((c_TMAP1OUT)-(0)),2),QUOTIENT((((C223)-(c_TFWD))*((c_TMAP1OUT)-(0))+IF(((c_TMAP1OUT)-(0))&gt;=0,1,-1)*QUOTIENT(((c_TMAP1IN)-(c_TFWD)),2)),((c_TMAP1IN)-(c_TFWD)))+(0)+IF(((c_TMAP1OUT)-(0))&gt;=0,IF(IF(o_WRAP=1,MOD(((c_TMAP1IN)-(c_TFWD))*(((C223)-(c_TFWD))*((c_TMAP1OUT)-(0))+IF(((c_TMAP1OUT)-(0))&gt;=0,1,-1)*QUOTIENT(((c_TMAP1IN)-(c_TFWD)),2))+2147483648,4294967296)-2147483648,((c_TMAP1IN)-(c_TFWD))*(((C223)-(c_TFWD))*((c_TMAP1OUT)-(0))+IF(((c_TMAP1OUT)-(0))&gt;=0,1,-1)*QUOTIENT(((c_TMAP1IN)-(c_TFWD)),2)))&lt;0,-1,0),IF(IF(o_WRAP=1,MOD(((c_TMAP1IN)-(c_TFWD))*(((C223)-(c_TFWD))*((c_TMAP1OUT)-(0))+IF(((c_TMAP1OUT)-(0))&gt;=0,1,-1)*QUOTIENT(((c_TMAP1IN)-(c_TFWD)),2))+2147483648,4294967296)-2147483648,((c_TMAP1IN)-(c_TFWD))*(((C223)-(c_TFWD))*((c_TMAP1OUT)-(0))+IF(((c_TMAP1OUT)-(0))&gt;=0,1,-1)*QUOTIENT(((c_TMAP1IN)-(c_TFWD)),2)))&gt;=0,1,0)))</f>
        <v>342</v>
      </c>
      <c r="F223" s="7" t="n">
        <f aca="false">IF(((c_TMAP2IN)-(c_TMAP1IN))=0,(c_TMAP1OUT)+QUOTIENT(((c_TMAP2OUT)-(c_TMAP1OUT)),2),QUOTIENT((((C223)-(c_TMAP1IN))*((c_TMAP2OUT)-(c_TMAP1OUT))+IF(((c_TMAP2OUT)-(c_TMAP1OUT))&gt;=0,1,-1)*QUOTIENT(((c_TMAP2IN)-(c_TMAP1IN)),2)),((c_TMAP2IN)-(c_TMAP1IN)))+(c_TMAP1OUT)+IF(((c_TMAP2OUT)-(c_TMAP1OUT))&gt;=0,IF(IF(o_WRAP=1,MOD(((c_TMAP2IN)-(c_TMAP1IN))*(((C223)-(c_TMAP1IN))*((c_TMAP2OUT)-(c_TMAP1OUT))+IF(((c_TMAP2OUT)-(c_TMAP1OUT))&gt;=0,1,-1)*QUOTIENT(((c_TMAP2IN)-(c_TMAP1IN)),2))+2147483648,4294967296)-2147483648,((c_TMAP2IN)-(c_TMAP1IN))*(((C223)-(c_TMAP1IN))*((c_TMAP2OUT)-(c_TMAP1OUT))+IF(((c_TMAP2OUT)-(c_TMAP1OUT))&gt;=0,1,-1)*QUOTIENT(((c_TMAP2IN)-(c_TMAP1IN)),2)))&lt;0,-1,0),IF(IF(o_WRAP=1,MOD(((c_TMAP2IN)-(c_TMAP1IN))*(((C223)-(c_TMAP1IN))*((c_TMAP2OUT)-(c_TMAP1OUT))+IF(((c_TMAP2OUT)-(c_TMAP1OUT))&gt;=0,1,-1)*QUOTIENT(((c_TMAP2IN)-(c_TMAP1IN)),2))+2147483648,4294967296)-2147483648,((c_TMAP2IN)-(c_TMAP1IN))*(((C223)-(c_TMAP1IN))*((c_TMAP2OUT)-(c_TMAP1OUT))+IF(((c_TMAP2OUT)-(c_TMAP1OUT))&gt;=0,1,-1)*QUOTIENT(((c_TMAP2IN)-(c_TMAP1IN)),2)))&gt;=0,1,0)))</f>
        <v>210</v>
      </c>
      <c r="G223" s="7" t="n">
        <f aca="false">IF(((c_TMAP3IN)-(c_TMAP2IN))=0,(c_TMAP2OUT)+QUOTIENT(((c_TMAP3OUT)-(c_TMAP2OUT)),2),QUOTIENT((((C223)-(c_TMAP2IN))*((c_TMAP3OUT)-(c_TMAP2OUT))+IF(((c_TMAP3OUT)-(c_TMAP2OUT))&gt;=0,1,-1)*QUOTIENT(((c_TMAP3IN)-(c_TMAP2IN)),2)),((c_TMAP3IN)-(c_TMAP2IN)))+(c_TMAP2OUT)+IF(((c_TMAP3OUT)-(c_TMAP2OUT))&gt;=0,IF(IF(o_WRAP=1,MOD(((c_TMAP3IN)-(c_TMAP2IN))*(((C223)-(c_TMAP2IN))*((c_TMAP3OUT)-(c_TMAP2OUT))+IF(((c_TMAP3OUT)-(c_TMAP2OUT))&gt;=0,1,-1)*QUOTIENT(((c_TMAP3IN)-(c_TMAP2IN)),2))+2147483648,4294967296)-2147483648,((c_TMAP3IN)-(c_TMAP2IN))*(((C223)-(c_TMAP2IN))*((c_TMAP3OUT)-(c_TMAP2OUT))+IF(((c_TMAP3OUT)-(c_TMAP2OUT))&gt;=0,1,-1)*QUOTIENT(((c_TMAP3IN)-(c_TMAP2IN)),2)))&lt;0,-1,0),IF(IF(o_WRAP=1,MOD(((c_TMAP3IN)-(c_TMAP2IN))*(((C223)-(c_TMAP2IN))*((c_TMAP3OUT)-(c_TMAP2OUT))+IF(((c_TMAP3OUT)-(c_TMAP2OUT))&gt;=0,1,-1)*QUOTIENT(((c_TMAP3IN)-(c_TMAP2IN)),2))+2147483648,4294967296)-2147483648,((c_TMAP3IN)-(c_TMAP2IN))*(((C223)-(c_TMAP2IN))*((c_TMAP3OUT)-(c_TMAP2OUT))+IF(((c_TMAP3OUT)-(c_TMAP2OUT))&gt;=0,1,-1)*QUOTIENT(((c_TMAP3IN)-(c_TMAP2IN)),2)))&gt;=0,1,0)))</f>
        <v>270</v>
      </c>
      <c r="H223" s="7" t="n">
        <f aca="false">IF(((1000)-(c_TMAP3IN))=0,(c_TMAP3OUT)+QUOTIENT(((1000)-(c_TMAP3OUT)),2),QUOTIENT((((C223)-(c_TMAP3IN))*((1000)-(c_TMAP3OUT))+IF(((1000)-(c_TMAP3OUT))&gt;=0,1,-1)*QUOTIENT(((1000)-(c_TMAP3IN)),2)),((1000)-(c_TMAP3IN)))+(c_TMAP3OUT)+IF(((1000)-(c_TMAP3OUT))&gt;=0,IF(IF(o_WRAP=1,MOD(((1000)-(c_TMAP3IN))*(((C223)-(c_TMAP3IN))*((1000)-(c_TMAP3OUT))+IF(((1000)-(c_TMAP3OUT))&gt;=0,1,-1)*QUOTIENT(((1000)-(c_TMAP3IN)),2))+2147483648,4294967296)-2147483648,((1000)-(c_TMAP3IN))*(((C223)-(c_TMAP3IN))*((1000)-(c_TMAP3OUT))+IF(((1000)-(c_TMAP3OUT))&gt;=0,1,-1)*QUOTIENT(((1000)-(c_TMAP3IN)),2)))&lt;0,-1,0),IF(IF(o_WRAP=1,MOD(((1000)-(c_TMAP3IN))*(((C223)-(c_TMAP3IN))*((1000)-(c_TMAP3OUT))+IF(((1000)-(c_TMAP3OUT))&gt;=0,1,-1)*QUOTIENT(((1000)-(c_TMAP3IN)),2))+2147483648,4294967296)-2147483648,((1000)-(c_TMAP3IN))*(((C223)-(c_TMAP3IN))*((1000)-(c_TMAP3OUT))+IF(((1000)-(c_TMAP3OUT))&gt;=0,1,-1)*QUOTIENT(((1000)-(c_TMAP3IN)),2)))&gt;=0,1,0)))</f>
        <v>323</v>
      </c>
      <c r="I223" s="7" t="n">
        <f aca="false">IF(C223&gt;=c_TFWD,IF(AND(C223&gt;=c_TMAP3IN,c_TMAP3IN&lt;1000),H223,IF(AND(C223&gt;=c_TMAP2IN,c_TMAP3IN&gt;c_TMAP2IN),G223,IF(AND(C223&gt;=c_TMAP1IN,c_TMAP2IN&gt;c_TMAP1IN),F223,E223))),D223)</f>
        <v>323</v>
      </c>
      <c r="J223" s="7" t="str">
        <f aca="false">IF(I223&lt;-1090,"TOO LOW",IF(I223&gt;1090,"TOO HIGH",""))</f>
        <v/>
      </c>
      <c r="K223" s="7" t="n">
        <f aca="false">IF(J223&lt;&gt;"",0,IF(I223&gt;979,1000,I223))</f>
        <v>323</v>
      </c>
      <c r="L223" s="7" t="n">
        <f aca="false">IF(OR(c_TSMOOTH=0,K223&gt;=c_TSMOOTHCUT),1,0)</f>
        <v>0</v>
      </c>
      <c r="M223" s="7" t="n">
        <f aca="false">IF(L223=1,0,M222+1)</f>
        <v>137</v>
      </c>
      <c r="N223" s="7" t="n">
        <f aca="false">IF(L223=1,0,MIN(M223,c_TSMOOTH))</f>
        <v>30</v>
      </c>
      <c r="O223" s="7" t="n">
        <f aca="false">IF(COUNTIF($L$5:L223,1)&gt;0,c_TSMOOTHCUT,0)</f>
        <v>400</v>
      </c>
      <c r="P223" s="15" t="n">
        <f aca="true">IF(L223=1,K223,QUOTIENT(SUM(OFFSET(K223,1-N223,0,N223,1))+(c_TSMOOTH-N223)*O223,c_TSMOOTH))</f>
        <v>323</v>
      </c>
      <c r="Q223" s="7" t="n">
        <f aca="false">K223/10</f>
        <v>32.3</v>
      </c>
      <c r="R223" s="7" t="n">
        <f aca="false">P223/10</f>
        <v>32.3</v>
      </c>
    </row>
    <row r="224" customFormat="false" ht="15" hidden="false" customHeight="false" outlineLevel="0" collapsed="false">
      <c r="A224" s="7" t="n">
        <v>219</v>
      </c>
      <c r="B224" s="7" t="n">
        <f aca="false">A224*0.04</f>
        <v>8.76</v>
      </c>
      <c r="C224" s="18" t="n">
        <v>450</v>
      </c>
      <c r="D224" s="7" t="n">
        <f aca="false">IF(AND(C224=0,c_TCREEP&gt;0),10*c_TCREEP,IF(AND(C224&lt;=c_TRNGMIN,C224&gt;=c_TRNGMAX,c_TRNGMIN-c_TRNGMAX&lt;&gt;0),-10*c_TMINRN+QUOTIENT((c_TMAXRN-c_TMINRN)*(100-QUOTIENT((C224-c_TRNGMAX)*100,c_TRNGMIN-c_TRNGMAX)),-10),0))</f>
        <v>0</v>
      </c>
      <c r="E224" s="7" t="n">
        <f aca="false">IF(((c_TMAP1IN)-(c_TFWD))=0,(0)+QUOTIENT(((c_TMAP1OUT)-(0)),2),QUOTIENT((((C224)-(c_TFWD))*((c_TMAP1OUT)-(0))+IF(((c_TMAP1OUT)-(0))&gt;=0,1,-1)*QUOTIENT(((c_TMAP1IN)-(c_TFWD)),2)),((c_TMAP1IN)-(c_TFWD)))+(0)+IF(((c_TMAP1OUT)-(0))&gt;=0,IF(IF(o_WRAP=1,MOD(((c_TMAP1IN)-(c_TFWD))*(((C224)-(c_TFWD))*((c_TMAP1OUT)-(0))+IF(((c_TMAP1OUT)-(0))&gt;=0,1,-1)*QUOTIENT(((c_TMAP1IN)-(c_TFWD)),2))+2147483648,4294967296)-2147483648,((c_TMAP1IN)-(c_TFWD))*(((C224)-(c_TFWD))*((c_TMAP1OUT)-(0))+IF(((c_TMAP1OUT)-(0))&gt;=0,1,-1)*QUOTIENT(((c_TMAP1IN)-(c_TFWD)),2)))&lt;0,-1,0),IF(IF(o_WRAP=1,MOD(((c_TMAP1IN)-(c_TFWD))*(((C224)-(c_TFWD))*((c_TMAP1OUT)-(0))+IF(((c_TMAP1OUT)-(0))&gt;=0,1,-1)*QUOTIENT(((c_TMAP1IN)-(c_TFWD)),2))+2147483648,4294967296)-2147483648,((c_TMAP1IN)-(c_TFWD))*(((C224)-(c_TFWD))*((c_TMAP1OUT)-(0))+IF(((c_TMAP1OUT)-(0))&gt;=0,1,-1)*QUOTIENT(((c_TMAP1IN)-(c_TFWD)),2)))&gt;=0,1,0)))</f>
        <v>342</v>
      </c>
      <c r="F224" s="7" t="n">
        <f aca="false">IF(((c_TMAP2IN)-(c_TMAP1IN))=0,(c_TMAP1OUT)+QUOTIENT(((c_TMAP2OUT)-(c_TMAP1OUT)),2),QUOTIENT((((C224)-(c_TMAP1IN))*((c_TMAP2OUT)-(c_TMAP1OUT))+IF(((c_TMAP2OUT)-(c_TMAP1OUT))&gt;=0,1,-1)*QUOTIENT(((c_TMAP2IN)-(c_TMAP1IN)),2)),((c_TMAP2IN)-(c_TMAP1IN)))+(c_TMAP1OUT)+IF(((c_TMAP2OUT)-(c_TMAP1OUT))&gt;=0,IF(IF(o_WRAP=1,MOD(((c_TMAP2IN)-(c_TMAP1IN))*(((C224)-(c_TMAP1IN))*((c_TMAP2OUT)-(c_TMAP1OUT))+IF(((c_TMAP2OUT)-(c_TMAP1OUT))&gt;=0,1,-1)*QUOTIENT(((c_TMAP2IN)-(c_TMAP1IN)),2))+2147483648,4294967296)-2147483648,((c_TMAP2IN)-(c_TMAP1IN))*(((C224)-(c_TMAP1IN))*((c_TMAP2OUT)-(c_TMAP1OUT))+IF(((c_TMAP2OUT)-(c_TMAP1OUT))&gt;=0,1,-1)*QUOTIENT(((c_TMAP2IN)-(c_TMAP1IN)),2)))&lt;0,-1,0),IF(IF(o_WRAP=1,MOD(((c_TMAP2IN)-(c_TMAP1IN))*(((C224)-(c_TMAP1IN))*((c_TMAP2OUT)-(c_TMAP1OUT))+IF(((c_TMAP2OUT)-(c_TMAP1OUT))&gt;=0,1,-1)*QUOTIENT(((c_TMAP2IN)-(c_TMAP1IN)),2))+2147483648,4294967296)-2147483648,((c_TMAP2IN)-(c_TMAP1IN))*(((C224)-(c_TMAP1IN))*((c_TMAP2OUT)-(c_TMAP1OUT))+IF(((c_TMAP2OUT)-(c_TMAP1OUT))&gt;=0,1,-1)*QUOTIENT(((c_TMAP2IN)-(c_TMAP1IN)),2)))&gt;=0,1,0)))</f>
        <v>210</v>
      </c>
      <c r="G224" s="7" t="n">
        <f aca="false">IF(((c_TMAP3IN)-(c_TMAP2IN))=0,(c_TMAP2OUT)+QUOTIENT(((c_TMAP3OUT)-(c_TMAP2OUT)),2),QUOTIENT((((C224)-(c_TMAP2IN))*((c_TMAP3OUT)-(c_TMAP2OUT))+IF(((c_TMAP3OUT)-(c_TMAP2OUT))&gt;=0,1,-1)*QUOTIENT(((c_TMAP3IN)-(c_TMAP2IN)),2)),((c_TMAP3IN)-(c_TMAP2IN)))+(c_TMAP2OUT)+IF(((c_TMAP3OUT)-(c_TMAP2OUT))&gt;=0,IF(IF(o_WRAP=1,MOD(((c_TMAP3IN)-(c_TMAP2IN))*(((C224)-(c_TMAP2IN))*((c_TMAP3OUT)-(c_TMAP2OUT))+IF(((c_TMAP3OUT)-(c_TMAP2OUT))&gt;=0,1,-1)*QUOTIENT(((c_TMAP3IN)-(c_TMAP2IN)),2))+2147483648,4294967296)-2147483648,((c_TMAP3IN)-(c_TMAP2IN))*(((C224)-(c_TMAP2IN))*((c_TMAP3OUT)-(c_TMAP2OUT))+IF(((c_TMAP3OUT)-(c_TMAP2OUT))&gt;=0,1,-1)*QUOTIENT(((c_TMAP3IN)-(c_TMAP2IN)),2)))&lt;0,-1,0),IF(IF(o_WRAP=1,MOD(((c_TMAP3IN)-(c_TMAP2IN))*(((C224)-(c_TMAP2IN))*((c_TMAP3OUT)-(c_TMAP2OUT))+IF(((c_TMAP3OUT)-(c_TMAP2OUT))&gt;=0,1,-1)*QUOTIENT(((c_TMAP3IN)-(c_TMAP2IN)),2))+2147483648,4294967296)-2147483648,((c_TMAP3IN)-(c_TMAP2IN))*(((C224)-(c_TMAP2IN))*((c_TMAP3OUT)-(c_TMAP2OUT))+IF(((c_TMAP3OUT)-(c_TMAP2OUT))&gt;=0,1,-1)*QUOTIENT(((c_TMAP3IN)-(c_TMAP2IN)),2)))&gt;=0,1,0)))</f>
        <v>270</v>
      </c>
      <c r="H224" s="7" t="n">
        <f aca="false">IF(((1000)-(c_TMAP3IN))=0,(c_TMAP3OUT)+QUOTIENT(((1000)-(c_TMAP3OUT)),2),QUOTIENT((((C224)-(c_TMAP3IN))*((1000)-(c_TMAP3OUT))+IF(((1000)-(c_TMAP3OUT))&gt;=0,1,-1)*QUOTIENT(((1000)-(c_TMAP3IN)),2)),((1000)-(c_TMAP3IN)))+(c_TMAP3OUT)+IF(((1000)-(c_TMAP3OUT))&gt;=0,IF(IF(o_WRAP=1,MOD(((1000)-(c_TMAP3IN))*(((C224)-(c_TMAP3IN))*((1000)-(c_TMAP3OUT))+IF(((1000)-(c_TMAP3OUT))&gt;=0,1,-1)*QUOTIENT(((1000)-(c_TMAP3IN)),2))+2147483648,4294967296)-2147483648,((1000)-(c_TMAP3IN))*(((C224)-(c_TMAP3IN))*((1000)-(c_TMAP3OUT))+IF(((1000)-(c_TMAP3OUT))&gt;=0,1,-1)*QUOTIENT(((1000)-(c_TMAP3IN)),2)))&lt;0,-1,0),IF(IF(o_WRAP=1,MOD(((1000)-(c_TMAP3IN))*(((C224)-(c_TMAP3IN))*((1000)-(c_TMAP3OUT))+IF(((1000)-(c_TMAP3OUT))&gt;=0,1,-1)*QUOTIENT(((1000)-(c_TMAP3IN)),2))+2147483648,4294967296)-2147483648,((1000)-(c_TMAP3IN))*(((C224)-(c_TMAP3IN))*((1000)-(c_TMAP3OUT))+IF(((1000)-(c_TMAP3OUT))&gt;=0,1,-1)*QUOTIENT(((1000)-(c_TMAP3IN)),2)))&gt;=0,1,0)))</f>
        <v>323</v>
      </c>
      <c r="I224" s="7" t="n">
        <f aca="false">IF(C224&gt;=c_TFWD,IF(AND(C224&gt;=c_TMAP3IN,c_TMAP3IN&lt;1000),H224,IF(AND(C224&gt;=c_TMAP2IN,c_TMAP3IN&gt;c_TMAP2IN),G224,IF(AND(C224&gt;=c_TMAP1IN,c_TMAP2IN&gt;c_TMAP1IN),F224,E224))),D224)</f>
        <v>323</v>
      </c>
      <c r="J224" s="7" t="str">
        <f aca="false">IF(I224&lt;-1090,"TOO LOW",IF(I224&gt;1090,"TOO HIGH",""))</f>
        <v/>
      </c>
      <c r="K224" s="7" t="n">
        <f aca="false">IF(J224&lt;&gt;"",0,IF(I224&gt;979,1000,I224))</f>
        <v>323</v>
      </c>
      <c r="L224" s="7" t="n">
        <f aca="false">IF(OR(c_TSMOOTH=0,K224&gt;=c_TSMOOTHCUT),1,0)</f>
        <v>0</v>
      </c>
      <c r="M224" s="7" t="n">
        <f aca="false">IF(L224=1,0,M223+1)</f>
        <v>138</v>
      </c>
      <c r="N224" s="7" t="n">
        <f aca="false">IF(L224=1,0,MIN(M224,c_TSMOOTH))</f>
        <v>30</v>
      </c>
      <c r="O224" s="7" t="n">
        <f aca="false">IF(COUNTIF($L$5:L224,1)&gt;0,c_TSMOOTHCUT,0)</f>
        <v>400</v>
      </c>
      <c r="P224" s="15" t="n">
        <f aca="true">IF(L224=1,K224,QUOTIENT(SUM(OFFSET(K224,1-N224,0,N224,1))+(c_TSMOOTH-N224)*O224,c_TSMOOTH))</f>
        <v>323</v>
      </c>
      <c r="Q224" s="7" t="n">
        <f aca="false">K224/10</f>
        <v>32.3</v>
      </c>
      <c r="R224" s="7" t="n">
        <f aca="false">P224/10</f>
        <v>32.3</v>
      </c>
    </row>
    <row r="225" customFormat="false" ht="15" hidden="false" customHeight="false" outlineLevel="0" collapsed="false">
      <c r="A225" s="7" t="n">
        <v>220</v>
      </c>
      <c r="B225" s="7" t="n">
        <f aca="false">A225*0.04</f>
        <v>8.8</v>
      </c>
      <c r="C225" s="18" t="n">
        <v>445</v>
      </c>
      <c r="D225" s="7" t="n">
        <f aca="false">IF(AND(C225=0,c_TCREEP&gt;0),10*c_TCREEP,IF(AND(C225&lt;=c_TRNGMIN,C225&gt;=c_TRNGMAX,c_TRNGMIN-c_TRNGMAX&lt;&gt;0),-10*c_TMINRN+QUOTIENT((c_TMAXRN-c_TMINRN)*(100-QUOTIENT((C225-c_TRNGMAX)*100,c_TRNGMIN-c_TRNGMAX)),-10),0))</f>
        <v>0</v>
      </c>
      <c r="E225" s="7" t="n">
        <f aca="false">IF(((c_TMAP1IN)-(c_TFWD))=0,(0)+QUOTIENT(((c_TMAP1OUT)-(0)),2),QUOTIENT((((C225)-(c_TFWD))*((c_TMAP1OUT)-(0))+IF(((c_TMAP1OUT)-(0))&gt;=0,1,-1)*QUOTIENT(((c_TMAP1IN)-(c_TFWD)),2)),((c_TMAP1IN)-(c_TFWD)))+(0)+IF(((c_TMAP1OUT)-(0))&gt;=0,IF(IF(o_WRAP=1,MOD(((c_TMAP1IN)-(c_TFWD))*(((C225)-(c_TFWD))*((c_TMAP1OUT)-(0))+IF(((c_TMAP1OUT)-(0))&gt;=0,1,-1)*QUOTIENT(((c_TMAP1IN)-(c_TFWD)),2))+2147483648,4294967296)-2147483648,((c_TMAP1IN)-(c_TFWD))*(((C225)-(c_TFWD))*((c_TMAP1OUT)-(0))+IF(((c_TMAP1OUT)-(0))&gt;=0,1,-1)*QUOTIENT(((c_TMAP1IN)-(c_TFWD)),2)))&lt;0,-1,0),IF(IF(o_WRAP=1,MOD(((c_TMAP1IN)-(c_TFWD))*(((C225)-(c_TFWD))*((c_TMAP1OUT)-(0))+IF(((c_TMAP1OUT)-(0))&gt;=0,1,-1)*QUOTIENT(((c_TMAP1IN)-(c_TFWD)),2))+2147483648,4294967296)-2147483648,((c_TMAP1IN)-(c_TFWD))*(((C225)-(c_TFWD))*((c_TMAP1OUT)-(0))+IF(((c_TMAP1OUT)-(0))&gt;=0,1,-1)*QUOTIENT(((c_TMAP1IN)-(c_TFWD)),2)))&gt;=0,1,0)))</f>
        <v>338</v>
      </c>
      <c r="F225" s="7" t="n">
        <f aca="false">IF(((c_TMAP2IN)-(c_TMAP1IN))=0,(c_TMAP1OUT)+QUOTIENT(((c_TMAP2OUT)-(c_TMAP1OUT)),2),QUOTIENT((((C225)-(c_TMAP1IN))*((c_TMAP2OUT)-(c_TMAP1OUT))+IF(((c_TMAP2OUT)-(c_TMAP1OUT))&gt;=0,1,-1)*QUOTIENT(((c_TMAP2IN)-(c_TMAP1IN)),2)),((c_TMAP2IN)-(c_TMAP1IN)))+(c_TMAP1OUT)+IF(((c_TMAP2OUT)-(c_TMAP1OUT))&gt;=0,IF(IF(o_WRAP=1,MOD(((c_TMAP2IN)-(c_TMAP1IN))*(((C225)-(c_TMAP1IN))*((c_TMAP2OUT)-(c_TMAP1OUT))+IF(((c_TMAP2OUT)-(c_TMAP1OUT))&gt;=0,1,-1)*QUOTIENT(((c_TMAP2IN)-(c_TMAP1IN)),2))+2147483648,4294967296)-2147483648,((c_TMAP2IN)-(c_TMAP1IN))*(((C225)-(c_TMAP1IN))*((c_TMAP2OUT)-(c_TMAP1OUT))+IF(((c_TMAP2OUT)-(c_TMAP1OUT))&gt;=0,1,-1)*QUOTIENT(((c_TMAP2IN)-(c_TMAP1IN)),2)))&lt;0,-1,0),IF(IF(o_WRAP=1,MOD(((c_TMAP2IN)-(c_TMAP1IN))*(((C225)-(c_TMAP1IN))*((c_TMAP2OUT)-(c_TMAP1OUT))+IF(((c_TMAP2OUT)-(c_TMAP1OUT))&gt;=0,1,-1)*QUOTIENT(((c_TMAP2IN)-(c_TMAP1IN)),2))+2147483648,4294967296)-2147483648,((c_TMAP2IN)-(c_TMAP1IN))*(((C225)-(c_TMAP1IN))*((c_TMAP2OUT)-(c_TMAP1OUT))+IF(((c_TMAP2OUT)-(c_TMAP1OUT))&gt;=0,1,-1)*QUOTIENT(((c_TMAP2IN)-(c_TMAP1IN)),2)))&gt;=0,1,0)))</f>
        <v>208</v>
      </c>
      <c r="G225" s="7" t="n">
        <f aca="false">IF(((c_TMAP3IN)-(c_TMAP2IN))=0,(c_TMAP2OUT)+QUOTIENT(((c_TMAP3OUT)-(c_TMAP2OUT)),2),QUOTIENT((((C225)-(c_TMAP2IN))*((c_TMAP3OUT)-(c_TMAP2OUT))+IF(((c_TMAP3OUT)-(c_TMAP2OUT))&gt;=0,1,-1)*QUOTIENT(((c_TMAP3IN)-(c_TMAP2IN)),2)),((c_TMAP3IN)-(c_TMAP2IN)))+(c_TMAP2OUT)+IF(((c_TMAP3OUT)-(c_TMAP2OUT))&gt;=0,IF(IF(o_WRAP=1,MOD(((c_TMAP3IN)-(c_TMAP2IN))*(((C225)-(c_TMAP2IN))*((c_TMAP3OUT)-(c_TMAP2OUT))+IF(((c_TMAP3OUT)-(c_TMAP2OUT))&gt;=0,1,-1)*QUOTIENT(((c_TMAP3IN)-(c_TMAP2IN)),2))+2147483648,4294967296)-2147483648,((c_TMAP3IN)-(c_TMAP2IN))*(((C225)-(c_TMAP2IN))*((c_TMAP3OUT)-(c_TMAP2OUT))+IF(((c_TMAP3OUT)-(c_TMAP2OUT))&gt;=0,1,-1)*QUOTIENT(((c_TMAP3IN)-(c_TMAP2IN)),2)))&lt;0,-1,0),IF(IF(o_WRAP=1,MOD(((c_TMAP3IN)-(c_TMAP2IN))*(((C225)-(c_TMAP2IN))*((c_TMAP3OUT)-(c_TMAP2OUT))+IF(((c_TMAP3OUT)-(c_TMAP2OUT))&gt;=0,1,-1)*QUOTIENT(((c_TMAP3IN)-(c_TMAP2IN)),2))+2147483648,4294967296)-2147483648,((c_TMAP3IN)-(c_TMAP2IN))*(((C225)-(c_TMAP2IN))*((c_TMAP3OUT)-(c_TMAP2OUT))+IF(((c_TMAP3OUT)-(c_TMAP2OUT))&gt;=0,1,-1)*QUOTIENT(((c_TMAP3IN)-(c_TMAP2IN)),2)))&gt;=0,1,0)))</f>
        <v>267</v>
      </c>
      <c r="H225" s="7" t="n">
        <f aca="false">IF(((1000)-(c_TMAP3IN))=0,(c_TMAP3OUT)+QUOTIENT(((1000)-(c_TMAP3OUT)),2),QUOTIENT((((C225)-(c_TMAP3IN))*((1000)-(c_TMAP3OUT))+IF(((1000)-(c_TMAP3OUT))&gt;=0,1,-1)*QUOTIENT(((1000)-(c_TMAP3IN)),2)),((1000)-(c_TMAP3IN)))+(c_TMAP3OUT)+IF(((1000)-(c_TMAP3OUT))&gt;=0,IF(IF(o_WRAP=1,MOD(((1000)-(c_TMAP3IN))*(((C225)-(c_TMAP3IN))*((1000)-(c_TMAP3OUT))+IF(((1000)-(c_TMAP3OUT))&gt;=0,1,-1)*QUOTIENT(((1000)-(c_TMAP3IN)),2))+2147483648,4294967296)-2147483648,((1000)-(c_TMAP3IN))*(((C225)-(c_TMAP3IN))*((1000)-(c_TMAP3OUT))+IF(((1000)-(c_TMAP3OUT))&gt;=0,1,-1)*QUOTIENT(((1000)-(c_TMAP3IN)),2)))&lt;0,-1,0),IF(IF(o_WRAP=1,MOD(((1000)-(c_TMAP3IN))*(((C225)-(c_TMAP3IN))*((1000)-(c_TMAP3OUT))+IF(((1000)-(c_TMAP3OUT))&gt;=0,1,-1)*QUOTIENT(((1000)-(c_TMAP3IN)),2))+2147483648,4294967296)-2147483648,((1000)-(c_TMAP3IN))*(((C225)-(c_TMAP3IN))*((1000)-(c_TMAP3OUT))+IF(((1000)-(c_TMAP3OUT))&gt;=0,1,-1)*QUOTIENT(((1000)-(c_TMAP3IN)),2)))&gt;=0,1,0)))</f>
        <v>317</v>
      </c>
      <c r="I225" s="7" t="n">
        <f aca="false">IF(C225&gt;=c_TFWD,IF(AND(C225&gt;=c_TMAP3IN,c_TMAP3IN&lt;1000),H225,IF(AND(C225&gt;=c_TMAP2IN,c_TMAP3IN&gt;c_TMAP2IN),G225,IF(AND(C225&gt;=c_TMAP1IN,c_TMAP2IN&gt;c_TMAP1IN),F225,E225))),D225)</f>
        <v>317</v>
      </c>
      <c r="J225" s="7" t="str">
        <f aca="false">IF(I225&lt;-1090,"TOO LOW",IF(I225&gt;1090,"TOO HIGH",""))</f>
        <v/>
      </c>
      <c r="K225" s="7" t="n">
        <f aca="false">IF(J225&lt;&gt;"",0,IF(I225&gt;979,1000,I225))</f>
        <v>317</v>
      </c>
      <c r="L225" s="7" t="n">
        <f aca="false">IF(OR(c_TSMOOTH=0,K225&gt;=c_TSMOOTHCUT),1,0)</f>
        <v>0</v>
      </c>
      <c r="M225" s="7" t="n">
        <f aca="false">IF(L225=1,0,M224+1)</f>
        <v>139</v>
      </c>
      <c r="N225" s="7" t="n">
        <f aca="false">IF(L225=1,0,MIN(M225,c_TSMOOTH))</f>
        <v>30</v>
      </c>
      <c r="O225" s="7" t="n">
        <f aca="false">IF(COUNTIF($L$5:L225,1)&gt;0,c_TSMOOTHCUT,0)</f>
        <v>400</v>
      </c>
      <c r="P225" s="15" t="n">
        <f aca="true">IF(L225=1,K225,QUOTIENT(SUM(OFFSET(K225,1-N225,0,N225,1))+(c_TSMOOTH-N225)*O225,c_TSMOOTH))</f>
        <v>322</v>
      </c>
      <c r="Q225" s="7" t="n">
        <f aca="false">K225/10</f>
        <v>31.7</v>
      </c>
      <c r="R225" s="7" t="n">
        <f aca="false">P225/10</f>
        <v>32.2</v>
      </c>
    </row>
    <row r="226" customFormat="false" ht="15" hidden="false" customHeight="false" outlineLevel="0" collapsed="false">
      <c r="A226" s="7" t="n">
        <v>221</v>
      </c>
      <c r="B226" s="7" t="n">
        <f aca="false">A226*0.04</f>
        <v>8.84</v>
      </c>
      <c r="C226" s="18" t="n">
        <v>440</v>
      </c>
      <c r="D226" s="7" t="n">
        <f aca="false">IF(AND(C226=0,c_TCREEP&gt;0),10*c_TCREEP,IF(AND(C226&lt;=c_TRNGMIN,C226&gt;=c_TRNGMAX,c_TRNGMIN-c_TRNGMAX&lt;&gt;0),-10*c_TMINRN+QUOTIENT((c_TMAXRN-c_TMINRN)*(100-QUOTIENT((C226-c_TRNGMAX)*100,c_TRNGMIN-c_TRNGMAX)),-10),0))</f>
        <v>0</v>
      </c>
      <c r="E226" s="7" t="n">
        <f aca="false">IF(((c_TMAP1IN)-(c_TFWD))=0,(0)+QUOTIENT(((c_TMAP1OUT)-(0)),2),QUOTIENT((((C226)-(c_TFWD))*((c_TMAP1OUT)-(0))+IF(((c_TMAP1OUT)-(0))&gt;=0,1,-1)*QUOTIENT(((c_TMAP1IN)-(c_TFWD)),2)),((c_TMAP1IN)-(c_TFWD)))+(0)+IF(((c_TMAP1OUT)-(0))&gt;=0,IF(IF(o_WRAP=1,MOD(((c_TMAP1IN)-(c_TFWD))*(((C226)-(c_TFWD))*((c_TMAP1OUT)-(0))+IF(((c_TMAP1OUT)-(0))&gt;=0,1,-1)*QUOTIENT(((c_TMAP1IN)-(c_TFWD)),2))+2147483648,4294967296)-2147483648,((c_TMAP1IN)-(c_TFWD))*(((C226)-(c_TFWD))*((c_TMAP1OUT)-(0))+IF(((c_TMAP1OUT)-(0))&gt;=0,1,-1)*QUOTIENT(((c_TMAP1IN)-(c_TFWD)),2)))&lt;0,-1,0),IF(IF(o_WRAP=1,MOD(((c_TMAP1IN)-(c_TFWD))*(((C226)-(c_TFWD))*((c_TMAP1OUT)-(0))+IF(((c_TMAP1OUT)-(0))&gt;=0,1,-1)*QUOTIENT(((c_TMAP1IN)-(c_TFWD)),2))+2147483648,4294967296)-2147483648,((c_TMAP1IN)-(c_TFWD))*(((C226)-(c_TFWD))*((c_TMAP1OUT)-(0))+IF(((c_TMAP1OUT)-(0))&gt;=0,1,-1)*QUOTIENT(((c_TMAP1IN)-(c_TFWD)),2)))&gt;=0,1,0)))</f>
        <v>334</v>
      </c>
      <c r="F226" s="7" t="n">
        <f aca="false">IF(((c_TMAP2IN)-(c_TMAP1IN))=0,(c_TMAP1OUT)+QUOTIENT(((c_TMAP2OUT)-(c_TMAP1OUT)),2),QUOTIENT((((C226)-(c_TMAP1IN))*((c_TMAP2OUT)-(c_TMAP1OUT))+IF(((c_TMAP2OUT)-(c_TMAP1OUT))&gt;=0,1,-1)*QUOTIENT(((c_TMAP2IN)-(c_TMAP1IN)),2)),((c_TMAP2IN)-(c_TMAP1IN)))+(c_TMAP1OUT)+IF(((c_TMAP2OUT)-(c_TMAP1OUT))&gt;=0,IF(IF(o_WRAP=1,MOD(((c_TMAP2IN)-(c_TMAP1IN))*(((C226)-(c_TMAP1IN))*((c_TMAP2OUT)-(c_TMAP1OUT))+IF(((c_TMAP2OUT)-(c_TMAP1OUT))&gt;=0,1,-1)*QUOTIENT(((c_TMAP2IN)-(c_TMAP1IN)),2))+2147483648,4294967296)-2147483648,((c_TMAP2IN)-(c_TMAP1IN))*(((C226)-(c_TMAP1IN))*((c_TMAP2OUT)-(c_TMAP1OUT))+IF(((c_TMAP2OUT)-(c_TMAP1OUT))&gt;=0,1,-1)*QUOTIENT(((c_TMAP2IN)-(c_TMAP1IN)),2)))&lt;0,-1,0),IF(IF(o_WRAP=1,MOD(((c_TMAP2IN)-(c_TMAP1IN))*(((C226)-(c_TMAP1IN))*((c_TMAP2OUT)-(c_TMAP1OUT))+IF(((c_TMAP2OUT)-(c_TMAP1OUT))&gt;=0,1,-1)*QUOTIENT(((c_TMAP2IN)-(c_TMAP1IN)),2))+2147483648,4294967296)-2147483648,((c_TMAP2IN)-(c_TMAP1IN))*(((C226)-(c_TMAP1IN))*((c_TMAP2OUT)-(c_TMAP1OUT))+IF(((c_TMAP2OUT)-(c_TMAP1OUT))&gt;=0,1,-1)*QUOTIENT(((c_TMAP2IN)-(c_TMAP1IN)),2)))&gt;=0,1,0)))</f>
        <v>206</v>
      </c>
      <c r="G226" s="7" t="n">
        <f aca="false">IF(((c_TMAP3IN)-(c_TMAP2IN))=0,(c_TMAP2OUT)+QUOTIENT(((c_TMAP3OUT)-(c_TMAP2OUT)),2),QUOTIENT((((C226)-(c_TMAP2IN))*((c_TMAP3OUT)-(c_TMAP2OUT))+IF(((c_TMAP3OUT)-(c_TMAP2OUT))&gt;=0,1,-1)*QUOTIENT(((c_TMAP3IN)-(c_TMAP2IN)),2)),((c_TMAP3IN)-(c_TMAP2IN)))+(c_TMAP2OUT)+IF(((c_TMAP3OUT)-(c_TMAP2OUT))&gt;=0,IF(IF(o_WRAP=1,MOD(((c_TMAP3IN)-(c_TMAP2IN))*(((C226)-(c_TMAP2IN))*((c_TMAP3OUT)-(c_TMAP2OUT))+IF(((c_TMAP3OUT)-(c_TMAP2OUT))&gt;=0,1,-1)*QUOTIENT(((c_TMAP3IN)-(c_TMAP2IN)),2))+2147483648,4294967296)-2147483648,((c_TMAP3IN)-(c_TMAP2IN))*(((C226)-(c_TMAP2IN))*((c_TMAP3OUT)-(c_TMAP2OUT))+IF(((c_TMAP3OUT)-(c_TMAP2OUT))&gt;=0,1,-1)*QUOTIENT(((c_TMAP3IN)-(c_TMAP2IN)),2)))&lt;0,-1,0),IF(IF(o_WRAP=1,MOD(((c_TMAP3IN)-(c_TMAP2IN))*(((C226)-(c_TMAP2IN))*((c_TMAP3OUT)-(c_TMAP2OUT))+IF(((c_TMAP3OUT)-(c_TMAP2OUT))&gt;=0,1,-1)*QUOTIENT(((c_TMAP3IN)-(c_TMAP2IN)),2))+2147483648,4294967296)-2147483648,((c_TMAP3IN)-(c_TMAP2IN))*(((C226)-(c_TMAP2IN))*((c_TMAP3OUT)-(c_TMAP2OUT))+IF(((c_TMAP3OUT)-(c_TMAP2OUT))&gt;=0,1,-1)*QUOTIENT(((c_TMAP3IN)-(c_TMAP2IN)),2)))&gt;=0,1,0)))</f>
        <v>263</v>
      </c>
      <c r="H226" s="7" t="n">
        <f aca="false">IF(((1000)-(c_TMAP3IN))=0,(c_TMAP3OUT)+QUOTIENT(((1000)-(c_TMAP3OUT)),2),QUOTIENT((((C226)-(c_TMAP3IN))*((1000)-(c_TMAP3OUT))+IF(((1000)-(c_TMAP3OUT))&gt;=0,1,-1)*QUOTIENT(((1000)-(c_TMAP3IN)),2)),((1000)-(c_TMAP3IN)))+(c_TMAP3OUT)+IF(((1000)-(c_TMAP3OUT))&gt;=0,IF(IF(o_WRAP=1,MOD(((1000)-(c_TMAP3IN))*(((C226)-(c_TMAP3IN))*((1000)-(c_TMAP3OUT))+IF(((1000)-(c_TMAP3OUT))&gt;=0,1,-1)*QUOTIENT(((1000)-(c_TMAP3IN)),2))+2147483648,4294967296)-2147483648,((1000)-(c_TMAP3IN))*(((C226)-(c_TMAP3IN))*((1000)-(c_TMAP3OUT))+IF(((1000)-(c_TMAP3OUT))&gt;=0,1,-1)*QUOTIENT(((1000)-(c_TMAP3IN)),2)))&lt;0,-1,0),IF(IF(o_WRAP=1,MOD(((1000)-(c_TMAP3IN))*(((C226)-(c_TMAP3IN))*((1000)-(c_TMAP3OUT))+IF(((1000)-(c_TMAP3OUT))&gt;=0,1,-1)*QUOTIENT(((1000)-(c_TMAP3IN)),2))+2147483648,4294967296)-2147483648,((1000)-(c_TMAP3IN))*(((C226)-(c_TMAP3IN))*((1000)-(c_TMAP3OUT))+IF(((1000)-(c_TMAP3OUT))&gt;=0,1,-1)*QUOTIENT(((1000)-(c_TMAP3IN)),2)))&gt;=0,1,0)))</f>
        <v>311</v>
      </c>
      <c r="I226" s="7" t="n">
        <f aca="false">IF(C226&gt;=c_TFWD,IF(AND(C226&gt;=c_TMAP3IN,c_TMAP3IN&lt;1000),H226,IF(AND(C226&gt;=c_TMAP2IN,c_TMAP3IN&gt;c_TMAP2IN),G226,IF(AND(C226&gt;=c_TMAP1IN,c_TMAP2IN&gt;c_TMAP1IN),F226,E226))),D226)</f>
        <v>311</v>
      </c>
      <c r="J226" s="7" t="str">
        <f aca="false">IF(I226&lt;-1090,"TOO LOW",IF(I226&gt;1090,"TOO HIGH",""))</f>
        <v/>
      </c>
      <c r="K226" s="7" t="n">
        <f aca="false">IF(J226&lt;&gt;"",0,IF(I226&gt;979,1000,I226))</f>
        <v>311</v>
      </c>
      <c r="L226" s="7" t="n">
        <f aca="false">IF(OR(c_TSMOOTH=0,K226&gt;=c_TSMOOTHCUT),1,0)</f>
        <v>0</v>
      </c>
      <c r="M226" s="7" t="n">
        <f aca="false">IF(L226=1,0,M225+1)</f>
        <v>140</v>
      </c>
      <c r="N226" s="7" t="n">
        <f aca="false">IF(L226=1,0,MIN(M226,c_TSMOOTH))</f>
        <v>30</v>
      </c>
      <c r="O226" s="7" t="n">
        <f aca="false">IF(COUNTIF($L$5:L226,1)&gt;0,c_TSMOOTHCUT,0)</f>
        <v>400</v>
      </c>
      <c r="P226" s="15" t="n">
        <f aca="true">IF(L226=1,K226,QUOTIENT(SUM(OFFSET(K226,1-N226,0,N226,1))+(c_TSMOOTH-N226)*O226,c_TSMOOTH))</f>
        <v>322</v>
      </c>
      <c r="Q226" s="7" t="n">
        <f aca="false">K226/10</f>
        <v>31.1</v>
      </c>
      <c r="R226" s="7" t="n">
        <f aca="false">P226/10</f>
        <v>32.2</v>
      </c>
    </row>
    <row r="227" customFormat="false" ht="15" hidden="false" customHeight="false" outlineLevel="0" collapsed="false">
      <c r="A227" s="7" t="n">
        <v>222</v>
      </c>
      <c r="B227" s="7" t="n">
        <f aca="false">A227*0.04</f>
        <v>8.88</v>
      </c>
      <c r="C227" s="18" t="n">
        <v>435</v>
      </c>
      <c r="D227" s="7" t="n">
        <f aca="false">IF(AND(C227=0,c_TCREEP&gt;0),10*c_TCREEP,IF(AND(C227&lt;=c_TRNGMIN,C227&gt;=c_TRNGMAX,c_TRNGMIN-c_TRNGMAX&lt;&gt;0),-10*c_TMINRN+QUOTIENT((c_TMAXRN-c_TMINRN)*(100-QUOTIENT((C227-c_TRNGMAX)*100,c_TRNGMIN-c_TRNGMAX)),-10),0))</f>
        <v>0</v>
      </c>
      <c r="E227" s="7" t="n">
        <f aca="false">IF(((c_TMAP1IN)-(c_TFWD))=0,(0)+QUOTIENT(((c_TMAP1OUT)-(0)),2),QUOTIENT((((C227)-(c_TFWD))*((c_TMAP1OUT)-(0))+IF(((c_TMAP1OUT)-(0))&gt;=0,1,-1)*QUOTIENT(((c_TMAP1IN)-(c_TFWD)),2)),((c_TMAP1IN)-(c_TFWD)))+(0)+IF(((c_TMAP1OUT)-(0))&gt;=0,IF(IF(o_WRAP=1,MOD(((c_TMAP1IN)-(c_TFWD))*(((C227)-(c_TFWD))*((c_TMAP1OUT)-(0))+IF(((c_TMAP1OUT)-(0))&gt;=0,1,-1)*QUOTIENT(((c_TMAP1IN)-(c_TFWD)),2))+2147483648,4294967296)-2147483648,((c_TMAP1IN)-(c_TFWD))*(((C227)-(c_TFWD))*((c_TMAP1OUT)-(0))+IF(((c_TMAP1OUT)-(0))&gt;=0,1,-1)*QUOTIENT(((c_TMAP1IN)-(c_TFWD)),2)))&lt;0,-1,0),IF(IF(o_WRAP=1,MOD(((c_TMAP1IN)-(c_TFWD))*(((C227)-(c_TFWD))*((c_TMAP1OUT)-(0))+IF(((c_TMAP1OUT)-(0))&gt;=0,1,-1)*QUOTIENT(((c_TMAP1IN)-(c_TFWD)),2))+2147483648,4294967296)-2147483648,((c_TMAP1IN)-(c_TFWD))*(((C227)-(c_TFWD))*((c_TMAP1OUT)-(0))+IF(((c_TMAP1OUT)-(0))&gt;=0,1,-1)*QUOTIENT(((c_TMAP1IN)-(c_TFWD)),2)))&gt;=0,1,0)))</f>
        <v>331</v>
      </c>
      <c r="F227" s="7" t="n">
        <f aca="false">IF(((c_TMAP2IN)-(c_TMAP1IN))=0,(c_TMAP1OUT)+QUOTIENT(((c_TMAP2OUT)-(c_TMAP1OUT)),2),QUOTIENT((((C227)-(c_TMAP1IN))*((c_TMAP2OUT)-(c_TMAP1OUT))+IF(((c_TMAP2OUT)-(c_TMAP1OUT))&gt;=0,1,-1)*QUOTIENT(((c_TMAP2IN)-(c_TMAP1IN)),2)),((c_TMAP2IN)-(c_TMAP1IN)))+(c_TMAP1OUT)+IF(((c_TMAP2OUT)-(c_TMAP1OUT))&gt;=0,IF(IF(o_WRAP=1,MOD(((c_TMAP2IN)-(c_TMAP1IN))*(((C227)-(c_TMAP1IN))*((c_TMAP2OUT)-(c_TMAP1OUT))+IF(((c_TMAP2OUT)-(c_TMAP1OUT))&gt;=0,1,-1)*QUOTIENT(((c_TMAP2IN)-(c_TMAP1IN)),2))+2147483648,4294967296)-2147483648,((c_TMAP2IN)-(c_TMAP1IN))*(((C227)-(c_TMAP1IN))*((c_TMAP2OUT)-(c_TMAP1OUT))+IF(((c_TMAP2OUT)-(c_TMAP1OUT))&gt;=0,1,-1)*QUOTIENT(((c_TMAP2IN)-(c_TMAP1IN)),2)))&lt;0,-1,0),IF(IF(o_WRAP=1,MOD(((c_TMAP2IN)-(c_TMAP1IN))*(((C227)-(c_TMAP1IN))*((c_TMAP2OUT)-(c_TMAP1OUT))+IF(((c_TMAP2OUT)-(c_TMAP1OUT))&gt;=0,1,-1)*QUOTIENT(((c_TMAP2IN)-(c_TMAP1IN)),2))+2147483648,4294967296)-2147483648,((c_TMAP2IN)-(c_TMAP1IN))*(((C227)-(c_TMAP1IN))*((c_TMAP2OUT)-(c_TMAP1OUT))+IF(((c_TMAP2OUT)-(c_TMAP1OUT))&gt;=0,1,-1)*QUOTIENT(((c_TMAP2IN)-(c_TMAP1IN)),2)))&gt;=0,1,0)))</f>
        <v>204</v>
      </c>
      <c r="G227" s="7" t="n">
        <f aca="false">IF(((c_TMAP3IN)-(c_TMAP2IN))=0,(c_TMAP2OUT)+QUOTIENT(((c_TMAP3OUT)-(c_TMAP2OUT)),2),QUOTIENT((((C227)-(c_TMAP2IN))*((c_TMAP3OUT)-(c_TMAP2OUT))+IF(((c_TMAP3OUT)-(c_TMAP2OUT))&gt;=0,1,-1)*QUOTIENT(((c_TMAP3IN)-(c_TMAP2IN)),2)),((c_TMAP3IN)-(c_TMAP2IN)))+(c_TMAP2OUT)+IF(((c_TMAP3OUT)-(c_TMAP2OUT))&gt;=0,IF(IF(o_WRAP=1,MOD(((c_TMAP3IN)-(c_TMAP2IN))*(((C227)-(c_TMAP2IN))*((c_TMAP3OUT)-(c_TMAP2OUT))+IF(((c_TMAP3OUT)-(c_TMAP2OUT))&gt;=0,1,-1)*QUOTIENT(((c_TMAP3IN)-(c_TMAP2IN)),2))+2147483648,4294967296)-2147483648,((c_TMAP3IN)-(c_TMAP2IN))*(((C227)-(c_TMAP2IN))*((c_TMAP3OUT)-(c_TMAP2OUT))+IF(((c_TMAP3OUT)-(c_TMAP2OUT))&gt;=0,1,-1)*QUOTIENT(((c_TMAP3IN)-(c_TMAP2IN)),2)))&lt;0,-1,0),IF(IF(o_WRAP=1,MOD(((c_TMAP3IN)-(c_TMAP2IN))*(((C227)-(c_TMAP2IN))*((c_TMAP3OUT)-(c_TMAP2OUT))+IF(((c_TMAP3OUT)-(c_TMAP2OUT))&gt;=0,1,-1)*QUOTIENT(((c_TMAP3IN)-(c_TMAP2IN)),2))+2147483648,4294967296)-2147483648,((c_TMAP3IN)-(c_TMAP2IN))*(((C227)-(c_TMAP2IN))*((c_TMAP3OUT)-(c_TMAP2OUT))+IF(((c_TMAP3OUT)-(c_TMAP2OUT))&gt;=0,1,-1)*QUOTIENT(((c_TMAP3IN)-(c_TMAP2IN)),2)))&gt;=0,1,0)))</f>
        <v>260</v>
      </c>
      <c r="H227" s="7" t="n">
        <f aca="false">IF(((1000)-(c_TMAP3IN))=0,(c_TMAP3OUT)+QUOTIENT(((1000)-(c_TMAP3OUT)),2),QUOTIENT((((C227)-(c_TMAP3IN))*((1000)-(c_TMAP3OUT))+IF(((1000)-(c_TMAP3OUT))&gt;=0,1,-1)*QUOTIENT(((1000)-(c_TMAP3IN)),2)),((1000)-(c_TMAP3IN)))+(c_TMAP3OUT)+IF(((1000)-(c_TMAP3OUT))&gt;=0,IF(IF(o_WRAP=1,MOD(((1000)-(c_TMAP3IN))*(((C227)-(c_TMAP3IN))*((1000)-(c_TMAP3OUT))+IF(((1000)-(c_TMAP3OUT))&gt;=0,1,-1)*QUOTIENT(((1000)-(c_TMAP3IN)),2))+2147483648,4294967296)-2147483648,((1000)-(c_TMAP3IN))*(((C227)-(c_TMAP3IN))*((1000)-(c_TMAP3OUT))+IF(((1000)-(c_TMAP3OUT))&gt;=0,1,-1)*QUOTIENT(((1000)-(c_TMAP3IN)),2)))&lt;0,-1,0),IF(IF(o_WRAP=1,MOD(((1000)-(c_TMAP3IN))*(((C227)-(c_TMAP3IN))*((1000)-(c_TMAP3OUT))+IF(((1000)-(c_TMAP3OUT))&gt;=0,1,-1)*QUOTIENT(((1000)-(c_TMAP3IN)),2))+2147483648,4294967296)-2147483648,((1000)-(c_TMAP3IN))*(((C227)-(c_TMAP3IN))*((1000)-(c_TMAP3OUT))+IF(((1000)-(c_TMAP3OUT))&gt;=0,1,-1)*QUOTIENT(((1000)-(c_TMAP3IN)),2)))&gt;=0,1,0)))</f>
        <v>305</v>
      </c>
      <c r="I227" s="7" t="n">
        <f aca="false">IF(C227&gt;=c_TFWD,IF(AND(C227&gt;=c_TMAP3IN,c_TMAP3IN&lt;1000),H227,IF(AND(C227&gt;=c_TMAP2IN,c_TMAP3IN&gt;c_TMAP2IN),G227,IF(AND(C227&gt;=c_TMAP1IN,c_TMAP2IN&gt;c_TMAP1IN),F227,E227))),D227)</f>
        <v>305</v>
      </c>
      <c r="J227" s="7" t="str">
        <f aca="false">IF(I227&lt;-1090,"TOO LOW",IF(I227&gt;1090,"TOO HIGH",""))</f>
        <v/>
      </c>
      <c r="K227" s="7" t="n">
        <f aca="false">IF(J227&lt;&gt;"",0,IF(I227&gt;979,1000,I227))</f>
        <v>305</v>
      </c>
      <c r="L227" s="7" t="n">
        <f aca="false">IF(OR(c_TSMOOTH=0,K227&gt;=c_TSMOOTHCUT),1,0)</f>
        <v>0</v>
      </c>
      <c r="M227" s="7" t="n">
        <f aca="false">IF(L227=1,0,M226+1)</f>
        <v>141</v>
      </c>
      <c r="N227" s="7" t="n">
        <f aca="false">IF(L227=1,0,MIN(M227,c_TSMOOTH))</f>
        <v>30</v>
      </c>
      <c r="O227" s="7" t="n">
        <f aca="false">IF(COUNTIF($L$5:L227,1)&gt;0,c_TSMOOTHCUT,0)</f>
        <v>400</v>
      </c>
      <c r="P227" s="15" t="n">
        <f aca="true">IF(L227=1,K227,QUOTIENT(SUM(OFFSET(K227,1-N227,0,N227,1))+(c_TSMOOTH-N227)*O227,c_TSMOOTH))</f>
        <v>321</v>
      </c>
      <c r="Q227" s="7" t="n">
        <f aca="false">K227/10</f>
        <v>30.5</v>
      </c>
      <c r="R227" s="7" t="n">
        <f aca="false">P227/10</f>
        <v>32.1</v>
      </c>
    </row>
    <row r="228" customFormat="false" ht="15" hidden="false" customHeight="false" outlineLevel="0" collapsed="false">
      <c r="A228" s="7" t="n">
        <v>223</v>
      </c>
      <c r="B228" s="7" t="n">
        <f aca="false">A228*0.04</f>
        <v>8.92</v>
      </c>
      <c r="C228" s="18" t="n">
        <v>430</v>
      </c>
      <c r="D228" s="7" t="n">
        <f aca="false">IF(AND(C228=0,c_TCREEP&gt;0),10*c_TCREEP,IF(AND(C228&lt;=c_TRNGMIN,C228&gt;=c_TRNGMAX,c_TRNGMIN-c_TRNGMAX&lt;&gt;0),-10*c_TMINRN+QUOTIENT((c_TMAXRN-c_TMINRN)*(100-QUOTIENT((C228-c_TRNGMAX)*100,c_TRNGMIN-c_TRNGMAX)),-10),0))</f>
        <v>0</v>
      </c>
      <c r="E228" s="7" t="n">
        <f aca="false">IF(((c_TMAP1IN)-(c_TFWD))=0,(0)+QUOTIENT(((c_TMAP1OUT)-(0)),2),QUOTIENT((((C228)-(c_TFWD))*((c_TMAP1OUT)-(0))+IF(((c_TMAP1OUT)-(0))&gt;=0,1,-1)*QUOTIENT(((c_TMAP1IN)-(c_TFWD)),2)),((c_TMAP1IN)-(c_TFWD)))+(0)+IF(((c_TMAP1OUT)-(0))&gt;=0,IF(IF(o_WRAP=1,MOD(((c_TMAP1IN)-(c_TFWD))*(((C228)-(c_TFWD))*((c_TMAP1OUT)-(0))+IF(((c_TMAP1OUT)-(0))&gt;=0,1,-1)*QUOTIENT(((c_TMAP1IN)-(c_TFWD)),2))+2147483648,4294967296)-2147483648,((c_TMAP1IN)-(c_TFWD))*(((C228)-(c_TFWD))*((c_TMAP1OUT)-(0))+IF(((c_TMAP1OUT)-(0))&gt;=0,1,-1)*QUOTIENT(((c_TMAP1IN)-(c_TFWD)),2)))&lt;0,-1,0),IF(IF(o_WRAP=1,MOD(((c_TMAP1IN)-(c_TFWD))*(((C228)-(c_TFWD))*((c_TMAP1OUT)-(0))+IF(((c_TMAP1OUT)-(0))&gt;=0,1,-1)*QUOTIENT(((c_TMAP1IN)-(c_TFWD)),2))+2147483648,4294967296)-2147483648,((c_TMAP1IN)-(c_TFWD))*(((C228)-(c_TFWD))*((c_TMAP1OUT)-(0))+IF(((c_TMAP1OUT)-(0))&gt;=0,1,-1)*QUOTIENT(((c_TMAP1IN)-(c_TFWD)),2)))&gt;=0,1,0)))</f>
        <v>327</v>
      </c>
      <c r="F228" s="7" t="n">
        <f aca="false">IF(((c_TMAP2IN)-(c_TMAP1IN))=0,(c_TMAP1OUT)+QUOTIENT(((c_TMAP2OUT)-(c_TMAP1OUT)),2),QUOTIENT((((C228)-(c_TMAP1IN))*((c_TMAP2OUT)-(c_TMAP1OUT))+IF(((c_TMAP2OUT)-(c_TMAP1OUT))&gt;=0,1,-1)*QUOTIENT(((c_TMAP2IN)-(c_TMAP1IN)),2)),((c_TMAP2IN)-(c_TMAP1IN)))+(c_TMAP1OUT)+IF(((c_TMAP2OUT)-(c_TMAP1OUT))&gt;=0,IF(IF(o_WRAP=1,MOD(((c_TMAP2IN)-(c_TMAP1IN))*(((C228)-(c_TMAP1IN))*((c_TMAP2OUT)-(c_TMAP1OUT))+IF(((c_TMAP2OUT)-(c_TMAP1OUT))&gt;=0,1,-1)*QUOTIENT(((c_TMAP2IN)-(c_TMAP1IN)),2))+2147483648,4294967296)-2147483648,((c_TMAP2IN)-(c_TMAP1IN))*(((C228)-(c_TMAP1IN))*((c_TMAP2OUT)-(c_TMAP1OUT))+IF(((c_TMAP2OUT)-(c_TMAP1OUT))&gt;=0,1,-1)*QUOTIENT(((c_TMAP2IN)-(c_TMAP1IN)),2)))&lt;0,-1,0),IF(IF(o_WRAP=1,MOD(((c_TMAP2IN)-(c_TMAP1IN))*(((C228)-(c_TMAP1IN))*((c_TMAP2OUT)-(c_TMAP1OUT))+IF(((c_TMAP2OUT)-(c_TMAP1OUT))&gt;=0,1,-1)*QUOTIENT(((c_TMAP2IN)-(c_TMAP1IN)),2))+2147483648,4294967296)-2147483648,((c_TMAP2IN)-(c_TMAP1IN))*(((C228)-(c_TMAP1IN))*((c_TMAP2OUT)-(c_TMAP1OUT))+IF(((c_TMAP2OUT)-(c_TMAP1OUT))&gt;=0,1,-1)*QUOTIENT(((c_TMAP2IN)-(c_TMAP1IN)),2)))&gt;=0,1,0)))</f>
        <v>202</v>
      </c>
      <c r="G228" s="7" t="n">
        <f aca="false">IF(((c_TMAP3IN)-(c_TMAP2IN))=0,(c_TMAP2OUT)+QUOTIENT(((c_TMAP3OUT)-(c_TMAP2OUT)),2),QUOTIENT((((C228)-(c_TMAP2IN))*((c_TMAP3OUT)-(c_TMAP2OUT))+IF(((c_TMAP3OUT)-(c_TMAP2OUT))&gt;=0,1,-1)*QUOTIENT(((c_TMAP3IN)-(c_TMAP2IN)),2)),((c_TMAP3IN)-(c_TMAP2IN)))+(c_TMAP2OUT)+IF(((c_TMAP3OUT)-(c_TMAP2OUT))&gt;=0,IF(IF(o_WRAP=1,MOD(((c_TMAP3IN)-(c_TMAP2IN))*(((C228)-(c_TMAP2IN))*((c_TMAP3OUT)-(c_TMAP2OUT))+IF(((c_TMAP3OUT)-(c_TMAP2OUT))&gt;=0,1,-1)*QUOTIENT(((c_TMAP3IN)-(c_TMAP2IN)),2))+2147483648,4294967296)-2147483648,((c_TMAP3IN)-(c_TMAP2IN))*(((C228)-(c_TMAP2IN))*((c_TMAP3OUT)-(c_TMAP2OUT))+IF(((c_TMAP3OUT)-(c_TMAP2OUT))&gt;=0,1,-1)*QUOTIENT(((c_TMAP3IN)-(c_TMAP2IN)),2)))&lt;0,-1,0),IF(IF(o_WRAP=1,MOD(((c_TMAP3IN)-(c_TMAP2IN))*(((C228)-(c_TMAP2IN))*((c_TMAP3OUT)-(c_TMAP2OUT))+IF(((c_TMAP3OUT)-(c_TMAP2OUT))&gt;=0,1,-1)*QUOTIENT(((c_TMAP3IN)-(c_TMAP2IN)),2))+2147483648,4294967296)-2147483648,((c_TMAP3IN)-(c_TMAP2IN))*(((C228)-(c_TMAP2IN))*((c_TMAP3OUT)-(c_TMAP2OUT))+IF(((c_TMAP3OUT)-(c_TMAP2OUT))&gt;=0,1,-1)*QUOTIENT(((c_TMAP3IN)-(c_TMAP2IN)),2)))&gt;=0,1,0)))</f>
        <v>256</v>
      </c>
      <c r="H228" s="7" t="n">
        <f aca="false">IF(((1000)-(c_TMAP3IN))=0,(c_TMAP3OUT)+QUOTIENT(((1000)-(c_TMAP3OUT)),2),QUOTIENT((((C228)-(c_TMAP3IN))*((1000)-(c_TMAP3OUT))+IF(((1000)-(c_TMAP3OUT))&gt;=0,1,-1)*QUOTIENT(((1000)-(c_TMAP3IN)),2)),((1000)-(c_TMAP3IN)))+(c_TMAP3OUT)+IF(((1000)-(c_TMAP3OUT))&gt;=0,IF(IF(o_WRAP=1,MOD(((1000)-(c_TMAP3IN))*(((C228)-(c_TMAP3IN))*((1000)-(c_TMAP3OUT))+IF(((1000)-(c_TMAP3OUT))&gt;=0,1,-1)*QUOTIENT(((1000)-(c_TMAP3IN)),2))+2147483648,4294967296)-2147483648,((1000)-(c_TMAP3IN))*(((C228)-(c_TMAP3IN))*((1000)-(c_TMAP3OUT))+IF(((1000)-(c_TMAP3OUT))&gt;=0,1,-1)*QUOTIENT(((1000)-(c_TMAP3IN)),2)))&lt;0,-1,0),IF(IF(o_WRAP=1,MOD(((1000)-(c_TMAP3IN))*(((C228)-(c_TMAP3IN))*((1000)-(c_TMAP3OUT))+IF(((1000)-(c_TMAP3OUT))&gt;=0,1,-1)*QUOTIENT(((1000)-(c_TMAP3IN)),2))+2147483648,4294967296)-2147483648,((1000)-(c_TMAP3IN))*(((C228)-(c_TMAP3IN))*((1000)-(c_TMAP3OUT))+IF(((1000)-(c_TMAP3OUT))&gt;=0,1,-1)*QUOTIENT(((1000)-(c_TMAP3IN)),2)))&gt;=0,1,0)))</f>
        <v>298</v>
      </c>
      <c r="I228" s="7" t="n">
        <f aca="false">IF(C228&gt;=c_TFWD,IF(AND(C228&gt;=c_TMAP3IN,c_TMAP3IN&lt;1000),H228,IF(AND(C228&gt;=c_TMAP2IN,c_TMAP3IN&gt;c_TMAP2IN),G228,IF(AND(C228&gt;=c_TMAP1IN,c_TMAP2IN&gt;c_TMAP1IN),F228,E228))),D228)</f>
        <v>298</v>
      </c>
      <c r="J228" s="7" t="str">
        <f aca="false">IF(I228&lt;-1090,"TOO LOW",IF(I228&gt;1090,"TOO HIGH",""))</f>
        <v/>
      </c>
      <c r="K228" s="7" t="n">
        <f aca="false">IF(J228&lt;&gt;"",0,IF(I228&gt;979,1000,I228))</f>
        <v>298</v>
      </c>
      <c r="L228" s="7" t="n">
        <f aca="false">IF(OR(c_TSMOOTH=0,K228&gt;=c_TSMOOTHCUT),1,0)</f>
        <v>0</v>
      </c>
      <c r="M228" s="7" t="n">
        <f aca="false">IF(L228=1,0,M227+1)</f>
        <v>142</v>
      </c>
      <c r="N228" s="7" t="n">
        <f aca="false">IF(L228=1,0,MIN(M228,c_TSMOOTH))</f>
        <v>30</v>
      </c>
      <c r="O228" s="7" t="n">
        <f aca="false">IF(COUNTIF($L$5:L228,1)&gt;0,c_TSMOOTHCUT,0)</f>
        <v>400</v>
      </c>
      <c r="P228" s="15" t="n">
        <f aca="true">IF(L228=1,K228,QUOTIENT(SUM(OFFSET(K228,1-N228,0,N228,1))+(c_TSMOOTH-N228)*O228,c_TSMOOTH))</f>
        <v>320</v>
      </c>
      <c r="Q228" s="7" t="n">
        <f aca="false">K228/10</f>
        <v>29.8</v>
      </c>
      <c r="R228" s="7" t="n">
        <f aca="false">P228/10</f>
        <v>32</v>
      </c>
    </row>
    <row r="229" customFormat="false" ht="15" hidden="false" customHeight="false" outlineLevel="0" collapsed="false">
      <c r="A229" s="7" t="n">
        <v>224</v>
      </c>
      <c r="B229" s="7" t="n">
        <f aca="false">A229*0.04</f>
        <v>8.96</v>
      </c>
      <c r="C229" s="18" t="n">
        <v>425</v>
      </c>
      <c r="D229" s="7" t="n">
        <f aca="false">IF(AND(C229=0,c_TCREEP&gt;0),10*c_TCREEP,IF(AND(C229&lt;=c_TRNGMIN,C229&gt;=c_TRNGMAX,c_TRNGMIN-c_TRNGMAX&lt;&gt;0),-10*c_TMINRN+QUOTIENT((c_TMAXRN-c_TMINRN)*(100-QUOTIENT((C229-c_TRNGMAX)*100,c_TRNGMIN-c_TRNGMAX)),-10),0))</f>
        <v>0</v>
      </c>
      <c r="E229" s="7" t="n">
        <f aca="false">IF(((c_TMAP1IN)-(c_TFWD))=0,(0)+QUOTIENT(((c_TMAP1OUT)-(0)),2),QUOTIENT((((C229)-(c_TFWD))*((c_TMAP1OUT)-(0))+IF(((c_TMAP1OUT)-(0))&gt;=0,1,-1)*QUOTIENT(((c_TMAP1IN)-(c_TFWD)),2)),((c_TMAP1IN)-(c_TFWD)))+(0)+IF(((c_TMAP1OUT)-(0))&gt;=0,IF(IF(o_WRAP=1,MOD(((c_TMAP1IN)-(c_TFWD))*(((C229)-(c_TFWD))*((c_TMAP1OUT)-(0))+IF(((c_TMAP1OUT)-(0))&gt;=0,1,-1)*QUOTIENT(((c_TMAP1IN)-(c_TFWD)),2))+2147483648,4294967296)-2147483648,((c_TMAP1IN)-(c_TFWD))*(((C229)-(c_TFWD))*((c_TMAP1OUT)-(0))+IF(((c_TMAP1OUT)-(0))&gt;=0,1,-1)*QUOTIENT(((c_TMAP1IN)-(c_TFWD)),2)))&lt;0,-1,0),IF(IF(o_WRAP=1,MOD(((c_TMAP1IN)-(c_TFWD))*(((C229)-(c_TFWD))*((c_TMAP1OUT)-(0))+IF(((c_TMAP1OUT)-(0))&gt;=0,1,-1)*QUOTIENT(((c_TMAP1IN)-(c_TFWD)),2))+2147483648,4294967296)-2147483648,((c_TMAP1IN)-(c_TFWD))*(((C229)-(c_TFWD))*((c_TMAP1OUT)-(0))+IF(((c_TMAP1OUT)-(0))&gt;=0,1,-1)*QUOTIENT(((c_TMAP1IN)-(c_TFWD)),2)))&gt;=0,1,0)))</f>
        <v>323</v>
      </c>
      <c r="F229" s="7" t="n">
        <f aca="false">IF(((c_TMAP2IN)-(c_TMAP1IN))=0,(c_TMAP1OUT)+QUOTIENT(((c_TMAP2OUT)-(c_TMAP1OUT)),2),QUOTIENT((((C229)-(c_TMAP1IN))*((c_TMAP2OUT)-(c_TMAP1OUT))+IF(((c_TMAP2OUT)-(c_TMAP1OUT))&gt;=0,1,-1)*QUOTIENT(((c_TMAP2IN)-(c_TMAP1IN)),2)),((c_TMAP2IN)-(c_TMAP1IN)))+(c_TMAP1OUT)+IF(((c_TMAP2OUT)-(c_TMAP1OUT))&gt;=0,IF(IF(o_WRAP=1,MOD(((c_TMAP2IN)-(c_TMAP1IN))*(((C229)-(c_TMAP1IN))*((c_TMAP2OUT)-(c_TMAP1OUT))+IF(((c_TMAP2OUT)-(c_TMAP1OUT))&gt;=0,1,-1)*QUOTIENT(((c_TMAP2IN)-(c_TMAP1IN)),2))+2147483648,4294967296)-2147483648,((c_TMAP2IN)-(c_TMAP1IN))*(((C229)-(c_TMAP1IN))*((c_TMAP2OUT)-(c_TMAP1OUT))+IF(((c_TMAP2OUT)-(c_TMAP1OUT))&gt;=0,1,-1)*QUOTIENT(((c_TMAP2IN)-(c_TMAP1IN)),2)))&lt;0,-1,0),IF(IF(o_WRAP=1,MOD(((c_TMAP2IN)-(c_TMAP1IN))*(((C229)-(c_TMAP1IN))*((c_TMAP2OUT)-(c_TMAP1OUT))+IF(((c_TMAP2OUT)-(c_TMAP1OUT))&gt;=0,1,-1)*QUOTIENT(((c_TMAP2IN)-(c_TMAP1IN)),2))+2147483648,4294967296)-2147483648,((c_TMAP2IN)-(c_TMAP1IN))*(((C229)-(c_TMAP1IN))*((c_TMAP2OUT)-(c_TMAP1OUT))+IF(((c_TMAP2OUT)-(c_TMAP1OUT))&gt;=0,1,-1)*QUOTIENT(((c_TMAP2IN)-(c_TMAP1IN)),2)))&gt;=0,1,0)))</f>
        <v>200</v>
      </c>
      <c r="G229" s="7" t="n">
        <f aca="false">IF(((c_TMAP3IN)-(c_TMAP2IN))=0,(c_TMAP2OUT)+QUOTIENT(((c_TMAP3OUT)-(c_TMAP2OUT)),2),QUOTIENT((((C229)-(c_TMAP2IN))*((c_TMAP3OUT)-(c_TMAP2OUT))+IF(((c_TMAP3OUT)-(c_TMAP2OUT))&gt;=0,1,-1)*QUOTIENT(((c_TMAP3IN)-(c_TMAP2IN)),2)),((c_TMAP3IN)-(c_TMAP2IN)))+(c_TMAP2OUT)+IF(((c_TMAP3OUT)-(c_TMAP2OUT))&gt;=0,IF(IF(o_WRAP=1,MOD(((c_TMAP3IN)-(c_TMAP2IN))*(((C229)-(c_TMAP2IN))*((c_TMAP3OUT)-(c_TMAP2OUT))+IF(((c_TMAP3OUT)-(c_TMAP2OUT))&gt;=0,1,-1)*QUOTIENT(((c_TMAP3IN)-(c_TMAP2IN)),2))+2147483648,4294967296)-2147483648,((c_TMAP3IN)-(c_TMAP2IN))*(((C229)-(c_TMAP2IN))*((c_TMAP3OUT)-(c_TMAP2OUT))+IF(((c_TMAP3OUT)-(c_TMAP2OUT))&gt;=0,1,-1)*QUOTIENT(((c_TMAP3IN)-(c_TMAP2IN)),2)))&lt;0,-1,0),IF(IF(o_WRAP=1,MOD(((c_TMAP3IN)-(c_TMAP2IN))*(((C229)-(c_TMAP2IN))*((c_TMAP3OUT)-(c_TMAP2OUT))+IF(((c_TMAP3OUT)-(c_TMAP2OUT))&gt;=0,1,-1)*QUOTIENT(((c_TMAP3IN)-(c_TMAP2IN)),2))+2147483648,4294967296)-2147483648,((c_TMAP3IN)-(c_TMAP2IN))*(((C229)-(c_TMAP2IN))*((c_TMAP3OUT)-(c_TMAP2OUT))+IF(((c_TMAP3OUT)-(c_TMAP2OUT))&gt;=0,1,-1)*QUOTIENT(((c_TMAP3IN)-(c_TMAP2IN)),2)))&gt;=0,1,0)))</f>
        <v>253</v>
      </c>
      <c r="H229" s="7" t="n">
        <f aca="false">IF(((1000)-(c_TMAP3IN))=0,(c_TMAP3OUT)+QUOTIENT(((1000)-(c_TMAP3OUT)),2),QUOTIENT((((C229)-(c_TMAP3IN))*((1000)-(c_TMAP3OUT))+IF(((1000)-(c_TMAP3OUT))&gt;=0,1,-1)*QUOTIENT(((1000)-(c_TMAP3IN)),2)),((1000)-(c_TMAP3IN)))+(c_TMAP3OUT)+IF(((1000)-(c_TMAP3OUT))&gt;=0,IF(IF(o_WRAP=1,MOD(((1000)-(c_TMAP3IN))*(((C229)-(c_TMAP3IN))*((1000)-(c_TMAP3OUT))+IF(((1000)-(c_TMAP3OUT))&gt;=0,1,-1)*QUOTIENT(((1000)-(c_TMAP3IN)),2))+2147483648,4294967296)-2147483648,((1000)-(c_TMAP3IN))*(((C229)-(c_TMAP3IN))*((1000)-(c_TMAP3OUT))+IF(((1000)-(c_TMAP3OUT))&gt;=0,1,-1)*QUOTIENT(((1000)-(c_TMAP3IN)),2)))&lt;0,-1,0),IF(IF(o_WRAP=1,MOD(((1000)-(c_TMAP3IN))*(((C229)-(c_TMAP3IN))*((1000)-(c_TMAP3OUT))+IF(((1000)-(c_TMAP3OUT))&gt;=0,1,-1)*QUOTIENT(((1000)-(c_TMAP3IN)),2))+2147483648,4294967296)-2147483648,((1000)-(c_TMAP3IN))*(((C229)-(c_TMAP3IN))*((1000)-(c_TMAP3OUT))+IF(((1000)-(c_TMAP3OUT))&gt;=0,1,-1)*QUOTIENT(((1000)-(c_TMAP3IN)),2)))&gt;=0,1,0)))</f>
        <v>292</v>
      </c>
      <c r="I229" s="7" t="n">
        <f aca="false">IF(C229&gt;=c_TFWD,IF(AND(C229&gt;=c_TMAP3IN,c_TMAP3IN&lt;1000),H229,IF(AND(C229&gt;=c_TMAP2IN,c_TMAP3IN&gt;c_TMAP2IN),G229,IF(AND(C229&gt;=c_TMAP1IN,c_TMAP2IN&gt;c_TMAP1IN),F229,E229))),D229)</f>
        <v>292</v>
      </c>
      <c r="J229" s="7" t="str">
        <f aca="false">IF(I229&lt;-1090,"TOO LOW",IF(I229&gt;1090,"TOO HIGH",""))</f>
        <v/>
      </c>
      <c r="K229" s="7" t="n">
        <f aca="false">IF(J229&lt;&gt;"",0,IF(I229&gt;979,1000,I229))</f>
        <v>292</v>
      </c>
      <c r="L229" s="7" t="n">
        <f aca="false">IF(OR(c_TSMOOTH=0,K229&gt;=c_TSMOOTHCUT),1,0)</f>
        <v>0</v>
      </c>
      <c r="M229" s="7" t="n">
        <f aca="false">IF(L229=1,0,M228+1)</f>
        <v>143</v>
      </c>
      <c r="N229" s="7" t="n">
        <f aca="false">IF(L229=1,0,MIN(M229,c_TSMOOTH))</f>
        <v>30</v>
      </c>
      <c r="O229" s="7" t="n">
        <f aca="false">IF(COUNTIF($L$5:L229,1)&gt;0,c_TSMOOTHCUT,0)</f>
        <v>400</v>
      </c>
      <c r="P229" s="15" t="n">
        <f aca="true">IF(L229=1,K229,QUOTIENT(SUM(OFFSET(K229,1-N229,0,N229,1))+(c_TSMOOTH-N229)*O229,c_TSMOOTH))</f>
        <v>319</v>
      </c>
      <c r="Q229" s="7" t="n">
        <f aca="false">K229/10</f>
        <v>29.2</v>
      </c>
      <c r="R229" s="7" t="n">
        <f aca="false">P229/10</f>
        <v>31.9</v>
      </c>
    </row>
    <row r="230" customFormat="false" ht="15" hidden="false" customHeight="false" outlineLevel="0" collapsed="false">
      <c r="A230" s="7" t="n">
        <v>225</v>
      </c>
      <c r="B230" s="7" t="n">
        <f aca="false">A230*0.04</f>
        <v>9</v>
      </c>
      <c r="C230" s="18" t="n">
        <v>420</v>
      </c>
      <c r="D230" s="7" t="n">
        <f aca="false">IF(AND(C230=0,c_TCREEP&gt;0),10*c_TCREEP,IF(AND(C230&lt;=c_TRNGMIN,C230&gt;=c_TRNGMAX,c_TRNGMIN-c_TRNGMAX&lt;&gt;0),-10*c_TMINRN+QUOTIENT((c_TMAXRN-c_TMINRN)*(100-QUOTIENT((C230-c_TRNGMAX)*100,c_TRNGMIN-c_TRNGMAX)),-10),0))</f>
        <v>0</v>
      </c>
      <c r="E230" s="7" t="n">
        <f aca="false">IF(((c_TMAP1IN)-(c_TFWD))=0,(0)+QUOTIENT(((c_TMAP1OUT)-(0)),2),QUOTIENT((((C230)-(c_TFWD))*((c_TMAP1OUT)-(0))+IF(((c_TMAP1OUT)-(0))&gt;=0,1,-1)*QUOTIENT(((c_TMAP1IN)-(c_TFWD)),2)),((c_TMAP1IN)-(c_TFWD)))+(0)+IF(((c_TMAP1OUT)-(0))&gt;=0,IF(IF(o_WRAP=1,MOD(((c_TMAP1IN)-(c_TFWD))*(((C230)-(c_TFWD))*((c_TMAP1OUT)-(0))+IF(((c_TMAP1OUT)-(0))&gt;=0,1,-1)*QUOTIENT(((c_TMAP1IN)-(c_TFWD)),2))+2147483648,4294967296)-2147483648,((c_TMAP1IN)-(c_TFWD))*(((C230)-(c_TFWD))*((c_TMAP1OUT)-(0))+IF(((c_TMAP1OUT)-(0))&gt;=0,1,-1)*QUOTIENT(((c_TMAP1IN)-(c_TFWD)),2)))&lt;0,-1,0),IF(IF(o_WRAP=1,MOD(((c_TMAP1IN)-(c_TFWD))*(((C230)-(c_TFWD))*((c_TMAP1OUT)-(0))+IF(((c_TMAP1OUT)-(0))&gt;=0,1,-1)*QUOTIENT(((c_TMAP1IN)-(c_TFWD)),2))+2147483648,4294967296)-2147483648,((c_TMAP1IN)-(c_TFWD))*(((C230)-(c_TFWD))*((c_TMAP1OUT)-(0))+IF(((c_TMAP1OUT)-(0))&gt;=0,1,-1)*QUOTIENT(((c_TMAP1IN)-(c_TFWD)),2)))&gt;=0,1,0)))</f>
        <v>319</v>
      </c>
      <c r="F230" s="7" t="n">
        <f aca="false">IF(((c_TMAP2IN)-(c_TMAP1IN))=0,(c_TMAP1OUT)+QUOTIENT(((c_TMAP2OUT)-(c_TMAP1OUT)),2),QUOTIENT((((C230)-(c_TMAP1IN))*((c_TMAP2OUT)-(c_TMAP1OUT))+IF(((c_TMAP2OUT)-(c_TMAP1OUT))&gt;=0,1,-1)*QUOTIENT(((c_TMAP2IN)-(c_TMAP1IN)),2)),((c_TMAP2IN)-(c_TMAP1IN)))+(c_TMAP1OUT)+IF(((c_TMAP2OUT)-(c_TMAP1OUT))&gt;=0,IF(IF(o_WRAP=1,MOD(((c_TMAP2IN)-(c_TMAP1IN))*(((C230)-(c_TMAP1IN))*((c_TMAP2OUT)-(c_TMAP1OUT))+IF(((c_TMAP2OUT)-(c_TMAP1OUT))&gt;=0,1,-1)*QUOTIENT(((c_TMAP2IN)-(c_TMAP1IN)),2))+2147483648,4294967296)-2147483648,((c_TMAP2IN)-(c_TMAP1IN))*(((C230)-(c_TMAP1IN))*((c_TMAP2OUT)-(c_TMAP1OUT))+IF(((c_TMAP2OUT)-(c_TMAP1OUT))&gt;=0,1,-1)*QUOTIENT(((c_TMAP2IN)-(c_TMAP1IN)),2)))&lt;0,-1,0),IF(IF(o_WRAP=1,MOD(((c_TMAP2IN)-(c_TMAP1IN))*(((C230)-(c_TMAP1IN))*((c_TMAP2OUT)-(c_TMAP1OUT))+IF(((c_TMAP2OUT)-(c_TMAP1OUT))&gt;=0,1,-1)*QUOTIENT(((c_TMAP2IN)-(c_TMAP1IN)),2))+2147483648,4294967296)-2147483648,((c_TMAP2IN)-(c_TMAP1IN))*(((C230)-(c_TMAP1IN))*((c_TMAP2OUT)-(c_TMAP1OUT))+IF(((c_TMAP2OUT)-(c_TMAP1OUT))&gt;=0,1,-1)*QUOTIENT(((c_TMAP2IN)-(c_TMAP1IN)),2)))&gt;=0,1,0)))</f>
        <v>198</v>
      </c>
      <c r="G230" s="7" t="n">
        <f aca="false">IF(((c_TMAP3IN)-(c_TMAP2IN))=0,(c_TMAP2OUT)+QUOTIENT(((c_TMAP3OUT)-(c_TMAP2OUT)),2),QUOTIENT((((C230)-(c_TMAP2IN))*((c_TMAP3OUT)-(c_TMAP2OUT))+IF(((c_TMAP3OUT)-(c_TMAP2OUT))&gt;=0,1,-1)*QUOTIENT(((c_TMAP3IN)-(c_TMAP2IN)),2)),((c_TMAP3IN)-(c_TMAP2IN)))+(c_TMAP2OUT)+IF(((c_TMAP3OUT)-(c_TMAP2OUT))&gt;=0,IF(IF(o_WRAP=1,MOD(((c_TMAP3IN)-(c_TMAP2IN))*(((C230)-(c_TMAP2IN))*((c_TMAP3OUT)-(c_TMAP2OUT))+IF(((c_TMAP3OUT)-(c_TMAP2OUT))&gt;=0,1,-1)*QUOTIENT(((c_TMAP3IN)-(c_TMAP2IN)),2))+2147483648,4294967296)-2147483648,((c_TMAP3IN)-(c_TMAP2IN))*(((C230)-(c_TMAP2IN))*((c_TMAP3OUT)-(c_TMAP2OUT))+IF(((c_TMAP3OUT)-(c_TMAP2OUT))&gt;=0,1,-1)*QUOTIENT(((c_TMAP3IN)-(c_TMAP2IN)),2)))&lt;0,-1,0),IF(IF(o_WRAP=1,MOD(((c_TMAP3IN)-(c_TMAP2IN))*(((C230)-(c_TMAP2IN))*((c_TMAP3OUT)-(c_TMAP2OUT))+IF(((c_TMAP3OUT)-(c_TMAP2OUT))&gt;=0,1,-1)*QUOTIENT(((c_TMAP3IN)-(c_TMAP2IN)),2))+2147483648,4294967296)-2147483648,((c_TMAP3IN)-(c_TMAP2IN))*(((C230)-(c_TMAP2IN))*((c_TMAP3OUT)-(c_TMAP2OUT))+IF(((c_TMAP3OUT)-(c_TMAP2OUT))&gt;=0,1,-1)*QUOTIENT(((c_TMAP3IN)-(c_TMAP2IN)),2)))&gt;=0,1,0)))</f>
        <v>249</v>
      </c>
      <c r="H230" s="7" t="n">
        <f aca="false">IF(((1000)-(c_TMAP3IN))=0,(c_TMAP3OUT)+QUOTIENT(((1000)-(c_TMAP3OUT)),2),QUOTIENT((((C230)-(c_TMAP3IN))*((1000)-(c_TMAP3OUT))+IF(((1000)-(c_TMAP3OUT))&gt;=0,1,-1)*QUOTIENT(((1000)-(c_TMAP3IN)),2)),((1000)-(c_TMAP3IN)))+(c_TMAP3OUT)+IF(((1000)-(c_TMAP3OUT))&gt;=0,IF(IF(o_WRAP=1,MOD(((1000)-(c_TMAP3IN))*(((C230)-(c_TMAP3IN))*((1000)-(c_TMAP3OUT))+IF(((1000)-(c_TMAP3OUT))&gt;=0,1,-1)*QUOTIENT(((1000)-(c_TMAP3IN)),2))+2147483648,4294967296)-2147483648,((1000)-(c_TMAP3IN))*(((C230)-(c_TMAP3IN))*((1000)-(c_TMAP3OUT))+IF(((1000)-(c_TMAP3OUT))&gt;=0,1,-1)*QUOTIENT(((1000)-(c_TMAP3IN)),2)))&lt;0,-1,0),IF(IF(o_WRAP=1,MOD(((1000)-(c_TMAP3IN))*(((C230)-(c_TMAP3IN))*((1000)-(c_TMAP3OUT))+IF(((1000)-(c_TMAP3OUT))&gt;=0,1,-1)*QUOTIENT(((1000)-(c_TMAP3IN)),2))+2147483648,4294967296)-2147483648,((1000)-(c_TMAP3IN))*(((C230)-(c_TMAP3IN))*((1000)-(c_TMAP3OUT))+IF(((1000)-(c_TMAP3OUT))&gt;=0,1,-1)*QUOTIENT(((1000)-(c_TMAP3IN)),2)))&gt;=0,1,0)))</f>
        <v>286</v>
      </c>
      <c r="I230" s="7" t="n">
        <f aca="false">IF(C230&gt;=c_TFWD,IF(AND(C230&gt;=c_TMAP3IN,c_TMAP3IN&lt;1000),H230,IF(AND(C230&gt;=c_TMAP2IN,c_TMAP3IN&gt;c_TMAP2IN),G230,IF(AND(C230&gt;=c_TMAP1IN,c_TMAP2IN&gt;c_TMAP1IN),F230,E230))),D230)</f>
        <v>286</v>
      </c>
      <c r="J230" s="7" t="str">
        <f aca="false">IF(I230&lt;-1090,"TOO LOW",IF(I230&gt;1090,"TOO HIGH",""))</f>
        <v/>
      </c>
      <c r="K230" s="7" t="n">
        <f aca="false">IF(J230&lt;&gt;"",0,IF(I230&gt;979,1000,I230))</f>
        <v>286</v>
      </c>
      <c r="L230" s="7" t="n">
        <f aca="false">IF(OR(c_TSMOOTH=0,K230&gt;=c_TSMOOTHCUT),1,0)</f>
        <v>0</v>
      </c>
      <c r="M230" s="7" t="n">
        <f aca="false">IF(L230=1,0,M229+1)</f>
        <v>144</v>
      </c>
      <c r="N230" s="7" t="n">
        <f aca="false">IF(L230=1,0,MIN(M230,c_TSMOOTH))</f>
        <v>30</v>
      </c>
      <c r="O230" s="7" t="n">
        <f aca="false">IF(COUNTIF($L$5:L230,1)&gt;0,c_TSMOOTHCUT,0)</f>
        <v>400</v>
      </c>
      <c r="P230" s="15" t="n">
        <f aca="true">IF(L230=1,K230,QUOTIENT(SUM(OFFSET(K230,1-N230,0,N230,1))+(c_TSMOOTH-N230)*O230,c_TSMOOTH))</f>
        <v>318</v>
      </c>
      <c r="Q230" s="7" t="n">
        <f aca="false">K230/10</f>
        <v>28.6</v>
      </c>
      <c r="R230" s="7" t="n">
        <f aca="false">P230/10</f>
        <v>31.8</v>
      </c>
    </row>
    <row r="231" customFormat="false" ht="15" hidden="false" customHeight="false" outlineLevel="0" collapsed="false">
      <c r="A231" s="7" t="n">
        <v>226</v>
      </c>
      <c r="B231" s="7" t="n">
        <f aca="false">A231*0.04</f>
        <v>9.04</v>
      </c>
      <c r="C231" s="18" t="n">
        <v>415</v>
      </c>
      <c r="D231" s="7" t="n">
        <f aca="false">IF(AND(C231=0,c_TCREEP&gt;0),10*c_TCREEP,IF(AND(C231&lt;=c_TRNGMIN,C231&gt;=c_TRNGMAX,c_TRNGMIN-c_TRNGMAX&lt;&gt;0),-10*c_TMINRN+QUOTIENT((c_TMAXRN-c_TMINRN)*(100-QUOTIENT((C231-c_TRNGMAX)*100,c_TRNGMIN-c_TRNGMAX)),-10),0))</f>
        <v>0</v>
      </c>
      <c r="E231" s="7" t="n">
        <f aca="false">IF(((c_TMAP1IN)-(c_TFWD))=0,(0)+QUOTIENT(((c_TMAP1OUT)-(0)),2),QUOTIENT((((C231)-(c_TFWD))*((c_TMAP1OUT)-(0))+IF(((c_TMAP1OUT)-(0))&gt;=0,1,-1)*QUOTIENT(((c_TMAP1IN)-(c_TFWD)),2)),((c_TMAP1IN)-(c_TFWD)))+(0)+IF(((c_TMAP1OUT)-(0))&gt;=0,IF(IF(o_WRAP=1,MOD(((c_TMAP1IN)-(c_TFWD))*(((C231)-(c_TFWD))*((c_TMAP1OUT)-(0))+IF(((c_TMAP1OUT)-(0))&gt;=0,1,-1)*QUOTIENT(((c_TMAP1IN)-(c_TFWD)),2))+2147483648,4294967296)-2147483648,((c_TMAP1IN)-(c_TFWD))*(((C231)-(c_TFWD))*((c_TMAP1OUT)-(0))+IF(((c_TMAP1OUT)-(0))&gt;=0,1,-1)*QUOTIENT(((c_TMAP1IN)-(c_TFWD)),2)))&lt;0,-1,0),IF(IF(o_WRAP=1,MOD(((c_TMAP1IN)-(c_TFWD))*(((C231)-(c_TFWD))*((c_TMAP1OUT)-(0))+IF(((c_TMAP1OUT)-(0))&gt;=0,1,-1)*QUOTIENT(((c_TMAP1IN)-(c_TFWD)),2))+2147483648,4294967296)-2147483648,((c_TMAP1IN)-(c_TFWD))*(((C231)-(c_TFWD))*((c_TMAP1OUT)-(0))+IF(((c_TMAP1OUT)-(0))&gt;=0,1,-1)*QUOTIENT(((c_TMAP1IN)-(c_TFWD)),2)))&gt;=0,1,0)))</f>
        <v>315</v>
      </c>
      <c r="F231" s="7" t="n">
        <f aca="false">IF(((c_TMAP2IN)-(c_TMAP1IN))=0,(c_TMAP1OUT)+QUOTIENT(((c_TMAP2OUT)-(c_TMAP1OUT)),2),QUOTIENT((((C231)-(c_TMAP1IN))*((c_TMAP2OUT)-(c_TMAP1OUT))+IF(((c_TMAP2OUT)-(c_TMAP1OUT))&gt;=0,1,-1)*QUOTIENT(((c_TMAP2IN)-(c_TMAP1IN)),2)),((c_TMAP2IN)-(c_TMAP1IN)))+(c_TMAP1OUT)+IF(((c_TMAP2OUT)-(c_TMAP1OUT))&gt;=0,IF(IF(o_WRAP=1,MOD(((c_TMAP2IN)-(c_TMAP1IN))*(((C231)-(c_TMAP1IN))*((c_TMAP2OUT)-(c_TMAP1OUT))+IF(((c_TMAP2OUT)-(c_TMAP1OUT))&gt;=0,1,-1)*QUOTIENT(((c_TMAP2IN)-(c_TMAP1IN)),2))+2147483648,4294967296)-2147483648,((c_TMAP2IN)-(c_TMAP1IN))*(((C231)-(c_TMAP1IN))*((c_TMAP2OUT)-(c_TMAP1OUT))+IF(((c_TMAP2OUT)-(c_TMAP1OUT))&gt;=0,1,-1)*QUOTIENT(((c_TMAP2IN)-(c_TMAP1IN)),2)))&lt;0,-1,0),IF(IF(o_WRAP=1,MOD(((c_TMAP2IN)-(c_TMAP1IN))*(((C231)-(c_TMAP1IN))*((c_TMAP2OUT)-(c_TMAP1OUT))+IF(((c_TMAP2OUT)-(c_TMAP1OUT))&gt;=0,1,-1)*QUOTIENT(((c_TMAP2IN)-(c_TMAP1IN)),2))+2147483648,4294967296)-2147483648,((c_TMAP2IN)-(c_TMAP1IN))*(((C231)-(c_TMAP1IN))*((c_TMAP2OUT)-(c_TMAP1OUT))+IF(((c_TMAP2OUT)-(c_TMAP1OUT))&gt;=0,1,-1)*QUOTIENT(((c_TMAP2IN)-(c_TMAP1IN)),2)))&gt;=0,1,0)))</f>
        <v>196</v>
      </c>
      <c r="G231" s="7" t="n">
        <f aca="false">IF(((c_TMAP3IN)-(c_TMAP2IN))=0,(c_TMAP2OUT)+QUOTIENT(((c_TMAP3OUT)-(c_TMAP2OUT)),2),QUOTIENT((((C231)-(c_TMAP2IN))*((c_TMAP3OUT)-(c_TMAP2OUT))+IF(((c_TMAP3OUT)-(c_TMAP2OUT))&gt;=0,1,-1)*QUOTIENT(((c_TMAP3IN)-(c_TMAP2IN)),2)),((c_TMAP3IN)-(c_TMAP2IN)))+(c_TMAP2OUT)+IF(((c_TMAP3OUT)-(c_TMAP2OUT))&gt;=0,IF(IF(o_WRAP=1,MOD(((c_TMAP3IN)-(c_TMAP2IN))*(((C231)-(c_TMAP2IN))*((c_TMAP3OUT)-(c_TMAP2OUT))+IF(((c_TMAP3OUT)-(c_TMAP2OUT))&gt;=0,1,-1)*QUOTIENT(((c_TMAP3IN)-(c_TMAP2IN)),2))+2147483648,4294967296)-2147483648,((c_TMAP3IN)-(c_TMAP2IN))*(((C231)-(c_TMAP2IN))*((c_TMAP3OUT)-(c_TMAP2OUT))+IF(((c_TMAP3OUT)-(c_TMAP2OUT))&gt;=0,1,-1)*QUOTIENT(((c_TMAP3IN)-(c_TMAP2IN)),2)))&lt;0,-1,0),IF(IF(o_WRAP=1,MOD(((c_TMAP3IN)-(c_TMAP2IN))*(((C231)-(c_TMAP2IN))*((c_TMAP3OUT)-(c_TMAP2OUT))+IF(((c_TMAP3OUT)-(c_TMAP2OUT))&gt;=0,1,-1)*QUOTIENT(((c_TMAP3IN)-(c_TMAP2IN)),2))+2147483648,4294967296)-2147483648,((c_TMAP3IN)-(c_TMAP2IN))*(((C231)-(c_TMAP2IN))*((c_TMAP3OUT)-(c_TMAP2OUT))+IF(((c_TMAP3OUT)-(c_TMAP2OUT))&gt;=0,1,-1)*QUOTIENT(((c_TMAP3IN)-(c_TMAP2IN)),2)))&gt;=0,1,0)))</f>
        <v>246</v>
      </c>
      <c r="H231" s="7" t="n">
        <f aca="false">IF(((1000)-(c_TMAP3IN))=0,(c_TMAP3OUT)+QUOTIENT(((1000)-(c_TMAP3OUT)),2),QUOTIENT((((C231)-(c_TMAP3IN))*((1000)-(c_TMAP3OUT))+IF(((1000)-(c_TMAP3OUT))&gt;=0,1,-1)*QUOTIENT(((1000)-(c_TMAP3IN)),2)),((1000)-(c_TMAP3IN)))+(c_TMAP3OUT)+IF(((1000)-(c_TMAP3OUT))&gt;=0,IF(IF(o_WRAP=1,MOD(((1000)-(c_TMAP3IN))*(((C231)-(c_TMAP3IN))*((1000)-(c_TMAP3OUT))+IF(((1000)-(c_TMAP3OUT))&gt;=0,1,-1)*QUOTIENT(((1000)-(c_TMAP3IN)),2))+2147483648,4294967296)-2147483648,((1000)-(c_TMAP3IN))*(((C231)-(c_TMAP3IN))*((1000)-(c_TMAP3OUT))+IF(((1000)-(c_TMAP3OUT))&gt;=0,1,-1)*QUOTIENT(((1000)-(c_TMAP3IN)),2)))&lt;0,-1,0),IF(IF(o_WRAP=1,MOD(((1000)-(c_TMAP3IN))*(((C231)-(c_TMAP3IN))*((1000)-(c_TMAP3OUT))+IF(((1000)-(c_TMAP3OUT))&gt;=0,1,-1)*QUOTIENT(((1000)-(c_TMAP3IN)),2))+2147483648,4294967296)-2147483648,((1000)-(c_TMAP3IN))*(((C231)-(c_TMAP3IN))*((1000)-(c_TMAP3OUT))+IF(((1000)-(c_TMAP3OUT))&gt;=0,1,-1)*QUOTIENT(((1000)-(c_TMAP3IN)),2)))&gt;=0,1,0)))</f>
        <v>280</v>
      </c>
      <c r="I231" s="7" t="n">
        <f aca="false">IF(C231&gt;=c_TFWD,IF(AND(C231&gt;=c_TMAP3IN,c_TMAP3IN&lt;1000),H231,IF(AND(C231&gt;=c_TMAP2IN,c_TMAP3IN&gt;c_TMAP2IN),G231,IF(AND(C231&gt;=c_TMAP1IN,c_TMAP2IN&gt;c_TMAP1IN),F231,E231))),D231)</f>
        <v>280</v>
      </c>
      <c r="J231" s="7" t="str">
        <f aca="false">IF(I231&lt;-1090,"TOO LOW",IF(I231&gt;1090,"TOO HIGH",""))</f>
        <v/>
      </c>
      <c r="K231" s="7" t="n">
        <f aca="false">IF(J231&lt;&gt;"",0,IF(I231&gt;979,1000,I231))</f>
        <v>280</v>
      </c>
      <c r="L231" s="7" t="n">
        <f aca="false">IF(OR(c_TSMOOTH=0,K231&gt;=c_TSMOOTHCUT),1,0)</f>
        <v>0</v>
      </c>
      <c r="M231" s="7" t="n">
        <f aca="false">IF(L231=1,0,M230+1)</f>
        <v>145</v>
      </c>
      <c r="N231" s="7" t="n">
        <f aca="false">IF(L231=1,0,MIN(M231,c_TSMOOTH))</f>
        <v>30</v>
      </c>
      <c r="O231" s="7" t="n">
        <f aca="false">IF(COUNTIF($L$5:L231,1)&gt;0,c_TSMOOTHCUT,0)</f>
        <v>400</v>
      </c>
      <c r="P231" s="15" t="n">
        <f aca="true">IF(L231=1,K231,QUOTIENT(SUM(OFFSET(K231,1-N231,0,N231,1))+(c_TSMOOTH-N231)*O231,c_TSMOOTH))</f>
        <v>317</v>
      </c>
      <c r="Q231" s="7" t="n">
        <f aca="false">K231/10</f>
        <v>28</v>
      </c>
      <c r="R231" s="7" t="n">
        <f aca="false">P231/10</f>
        <v>31.7</v>
      </c>
    </row>
    <row r="232" customFormat="false" ht="15" hidden="false" customHeight="false" outlineLevel="0" collapsed="false">
      <c r="A232" s="7" t="n">
        <v>227</v>
      </c>
      <c r="B232" s="7" t="n">
        <f aca="false">A232*0.04</f>
        <v>9.08</v>
      </c>
      <c r="C232" s="18" t="n">
        <v>410</v>
      </c>
      <c r="D232" s="7" t="n">
        <f aca="false">IF(AND(C232=0,c_TCREEP&gt;0),10*c_TCREEP,IF(AND(C232&lt;=c_TRNGMIN,C232&gt;=c_TRNGMAX,c_TRNGMIN-c_TRNGMAX&lt;&gt;0),-10*c_TMINRN+QUOTIENT((c_TMAXRN-c_TMINRN)*(100-QUOTIENT((C232-c_TRNGMAX)*100,c_TRNGMIN-c_TRNGMAX)),-10),0))</f>
        <v>0</v>
      </c>
      <c r="E232" s="7" t="n">
        <f aca="false">IF(((c_TMAP1IN)-(c_TFWD))=0,(0)+QUOTIENT(((c_TMAP1OUT)-(0)),2),QUOTIENT((((C232)-(c_TFWD))*((c_TMAP1OUT)-(0))+IF(((c_TMAP1OUT)-(0))&gt;=0,1,-1)*QUOTIENT(((c_TMAP1IN)-(c_TFWD)),2)),((c_TMAP1IN)-(c_TFWD)))+(0)+IF(((c_TMAP1OUT)-(0))&gt;=0,IF(IF(o_WRAP=1,MOD(((c_TMAP1IN)-(c_TFWD))*(((C232)-(c_TFWD))*((c_TMAP1OUT)-(0))+IF(((c_TMAP1OUT)-(0))&gt;=0,1,-1)*QUOTIENT(((c_TMAP1IN)-(c_TFWD)),2))+2147483648,4294967296)-2147483648,((c_TMAP1IN)-(c_TFWD))*(((C232)-(c_TFWD))*((c_TMAP1OUT)-(0))+IF(((c_TMAP1OUT)-(0))&gt;=0,1,-1)*QUOTIENT(((c_TMAP1IN)-(c_TFWD)),2)))&lt;0,-1,0),IF(IF(o_WRAP=1,MOD(((c_TMAP1IN)-(c_TFWD))*(((C232)-(c_TFWD))*((c_TMAP1OUT)-(0))+IF(((c_TMAP1OUT)-(0))&gt;=0,1,-1)*QUOTIENT(((c_TMAP1IN)-(c_TFWD)),2))+2147483648,4294967296)-2147483648,((c_TMAP1IN)-(c_TFWD))*(((C232)-(c_TFWD))*((c_TMAP1OUT)-(0))+IF(((c_TMAP1OUT)-(0))&gt;=0,1,-1)*QUOTIENT(((c_TMAP1IN)-(c_TFWD)),2)))&gt;=0,1,0)))</f>
        <v>311</v>
      </c>
      <c r="F232" s="7" t="n">
        <f aca="false">IF(((c_TMAP2IN)-(c_TMAP1IN))=0,(c_TMAP1OUT)+QUOTIENT(((c_TMAP2OUT)-(c_TMAP1OUT)),2),QUOTIENT((((C232)-(c_TMAP1IN))*((c_TMAP2OUT)-(c_TMAP1OUT))+IF(((c_TMAP2OUT)-(c_TMAP1OUT))&gt;=0,1,-1)*QUOTIENT(((c_TMAP2IN)-(c_TMAP1IN)),2)),((c_TMAP2IN)-(c_TMAP1IN)))+(c_TMAP1OUT)+IF(((c_TMAP2OUT)-(c_TMAP1OUT))&gt;=0,IF(IF(o_WRAP=1,MOD(((c_TMAP2IN)-(c_TMAP1IN))*(((C232)-(c_TMAP1IN))*((c_TMAP2OUT)-(c_TMAP1OUT))+IF(((c_TMAP2OUT)-(c_TMAP1OUT))&gt;=0,1,-1)*QUOTIENT(((c_TMAP2IN)-(c_TMAP1IN)),2))+2147483648,4294967296)-2147483648,((c_TMAP2IN)-(c_TMAP1IN))*(((C232)-(c_TMAP1IN))*((c_TMAP2OUT)-(c_TMAP1OUT))+IF(((c_TMAP2OUT)-(c_TMAP1OUT))&gt;=0,1,-1)*QUOTIENT(((c_TMAP2IN)-(c_TMAP1IN)),2)))&lt;0,-1,0),IF(IF(o_WRAP=1,MOD(((c_TMAP2IN)-(c_TMAP1IN))*(((C232)-(c_TMAP1IN))*((c_TMAP2OUT)-(c_TMAP1OUT))+IF(((c_TMAP2OUT)-(c_TMAP1OUT))&gt;=0,1,-1)*QUOTIENT(((c_TMAP2IN)-(c_TMAP1IN)),2))+2147483648,4294967296)-2147483648,((c_TMAP2IN)-(c_TMAP1IN))*(((C232)-(c_TMAP1IN))*((c_TMAP2OUT)-(c_TMAP1OUT))+IF(((c_TMAP2OUT)-(c_TMAP1OUT))&gt;=0,1,-1)*QUOTIENT(((c_TMAP2IN)-(c_TMAP1IN)),2)))&gt;=0,1,0)))</f>
        <v>194</v>
      </c>
      <c r="G232" s="7" t="n">
        <f aca="false">IF(((c_TMAP3IN)-(c_TMAP2IN))=0,(c_TMAP2OUT)+QUOTIENT(((c_TMAP3OUT)-(c_TMAP2OUT)),2),QUOTIENT((((C232)-(c_TMAP2IN))*((c_TMAP3OUT)-(c_TMAP2OUT))+IF(((c_TMAP3OUT)-(c_TMAP2OUT))&gt;=0,1,-1)*QUOTIENT(((c_TMAP3IN)-(c_TMAP2IN)),2)),((c_TMAP3IN)-(c_TMAP2IN)))+(c_TMAP2OUT)+IF(((c_TMAP3OUT)-(c_TMAP2OUT))&gt;=0,IF(IF(o_WRAP=1,MOD(((c_TMAP3IN)-(c_TMAP2IN))*(((C232)-(c_TMAP2IN))*((c_TMAP3OUT)-(c_TMAP2OUT))+IF(((c_TMAP3OUT)-(c_TMAP2OUT))&gt;=0,1,-1)*QUOTIENT(((c_TMAP3IN)-(c_TMAP2IN)),2))+2147483648,4294967296)-2147483648,((c_TMAP3IN)-(c_TMAP2IN))*(((C232)-(c_TMAP2IN))*((c_TMAP3OUT)-(c_TMAP2OUT))+IF(((c_TMAP3OUT)-(c_TMAP2OUT))&gt;=0,1,-1)*QUOTIENT(((c_TMAP3IN)-(c_TMAP2IN)),2)))&lt;0,-1,0),IF(IF(o_WRAP=1,MOD(((c_TMAP3IN)-(c_TMAP2IN))*(((C232)-(c_TMAP2IN))*((c_TMAP3OUT)-(c_TMAP2OUT))+IF(((c_TMAP3OUT)-(c_TMAP2OUT))&gt;=0,1,-1)*QUOTIENT(((c_TMAP3IN)-(c_TMAP2IN)),2))+2147483648,4294967296)-2147483648,((c_TMAP3IN)-(c_TMAP2IN))*(((C232)-(c_TMAP2IN))*((c_TMAP3OUT)-(c_TMAP2OUT))+IF(((c_TMAP3OUT)-(c_TMAP2OUT))&gt;=0,1,-1)*QUOTIENT(((c_TMAP3IN)-(c_TMAP2IN)),2)))&gt;=0,1,0)))</f>
        <v>242</v>
      </c>
      <c r="H232" s="7" t="n">
        <f aca="false">IF(((1000)-(c_TMAP3IN))=0,(c_TMAP3OUT)+QUOTIENT(((1000)-(c_TMAP3OUT)),2),QUOTIENT((((C232)-(c_TMAP3IN))*((1000)-(c_TMAP3OUT))+IF(((1000)-(c_TMAP3OUT))&gt;=0,1,-1)*QUOTIENT(((1000)-(c_TMAP3IN)),2)),((1000)-(c_TMAP3IN)))+(c_TMAP3OUT)+IF(((1000)-(c_TMAP3OUT))&gt;=0,IF(IF(o_WRAP=1,MOD(((1000)-(c_TMAP3IN))*(((C232)-(c_TMAP3IN))*((1000)-(c_TMAP3OUT))+IF(((1000)-(c_TMAP3OUT))&gt;=0,1,-1)*QUOTIENT(((1000)-(c_TMAP3IN)),2))+2147483648,4294967296)-2147483648,((1000)-(c_TMAP3IN))*(((C232)-(c_TMAP3IN))*((1000)-(c_TMAP3OUT))+IF(((1000)-(c_TMAP3OUT))&gt;=0,1,-1)*QUOTIENT(((1000)-(c_TMAP3IN)),2)))&lt;0,-1,0),IF(IF(o_WRAP=1,MOD(((1000)-(c_TMAP3IN))*(((C232)-(c_TMAP3IN))*((1000)-(c_TMAP3OUT))+IF(((1000)-(c_TMAP3OUT))&gt;=0,1,-1)*QUOTIENT(((1000)-(c_TMAP3IN)),2))+2147483648,4294967296)-2147483648,((1000)-(c_TMAP3IN))*(((C232)-(c_TMAP3IN))*((1000)-(c_TMAP3OUT))+IF(((1000)-(c_TMAP3OUT))&gt;=0,1,-1)*QUOTIENT(((1000)-(c_TMAP3IN)),2)))&gt;=0,1,0)))</f>
        <v>274</v>
      </c>
      <c r="I232" s="7" t="n">
        <f aca="false">IF(C232&gt;=c_TFWD,IF(AND(C232&gt;=c_TMAP3IN,c_TMAP3IN&lt;1000),H232,IF(AND(C232&gt;=c_TMAP2IN,c_TMAP3IN&gt;c_TMAP2IN),G232,IF(AND(C232&gt;=c_TMAP1IN,c_TMAP2IN&gt;c_TMAP1IN),F232,E232))),D232)</f>
        <v>274</v>
      </c>
      <c r="J232" s="7" t="str">
        <f aca="false">IF(I232&lt;-1090,"TOO LOW",IF(I232&gt;1090,"TOO HIGH",""))</f>
        <v/>
      </c>
      <c r="K232" s="7" t="n">
        <f aca="false">IF(J232&lt;&gt;"",0,IF(I232&gt;979,1000,I232))</f>
        <v>274</v>
      </c>
      <c r="L232" s="7" t="n">
        <f aca="false">IF(OR(c_TSMOOTH=0,K232&gt;=c_TSMOOTHCUT),1,0)</f>
        <v>0</v>
      </c>
      <c r="M232" s="7" t="n">
        <f aca="false">IF(L232=1,0,M231+1)</f>
        <v>146</v>
      </c>
      <c r="N232" s="7" t="n">
        <f aca="false">IF(L232=1,0,MIN(M232,c_TSMOOTH))</f>
        <v>30</v>
      </c>
      <c r="O232" s="7" t="n">
        <f aca="false">IF(COUNTIF($L$5:L232,1)&gt;0,c_TSMOOTHCUT,0)</f>
        <v>400</v>
      </c>
      <c r="P232" s="15" t="n">
        <f aca="true">IF(L232=1,K232,QUOTIENT(SUM(OFFSET(K232,1-N232,0,N232,1))+(c_TSMOOTH-N232)*O232,c_TSMOOTH))</f>
        <v>315</v>
      </c>
      <c r="Q232" s="7" t="n">
        <f aca="false">K232/10</f>
        <v>27.4</v>
      </c>
      <c r="R232" s="7" t="n">
        <f aca="false">P232/10</f>
        <v>31.5</v>
      </c>
    </row>
    <row r="233" customFormat="false" ht="15" hidden="false" customHeight="false" outlineLevel="0" collapsed="false">
      <c r="A233" s="7" t="n">
        <v>228</v>
      </c>
      <c r="B233" s="7" t="n">
        <f aca="false">A233*0.04</f>
        <v>9.12</v>
      </c>
      <c r="C233" s="18" t="n">
        <v>405</v>
      </c>
      <c r="D233" s="7" t="n">
        <f aca="false">IF(AND(C233=0,c_TCREEP&gt;0),10*c_TCREEP,IF(AND(C233&lt;=c_TRNGMIN,C233&gt;=c_TRNGMAX,c_TRNGMIN-c_TRNGMAX&lt;&gt;0),-10*c_TMINRN+QUOTIENT((c_TMAXRN-c_TMINRN)*(100-QUOTIENT((C233-c_TRNGMAX)*100,c_TRNGMIN-c_TRNGMAX)),-10),0))</f>
        <v>0</v>
      </c>
      <c r="E233" s="7" t="n">
        <f aca="false">IF(((c_TMAP1IN)-(c_TFWD))=0,(0)+QUOTIENT(((c_TMAP1OUT)-(0)),2),QUOTIENT((((C233)-(c_TFWD))*((c_TMAP1OUT)-(0))+IF(((c_TMAP1OUT)-(0))&gt;=0,1,-1)*QUOTIENT(((c_TMAP1IN)-(c_TFWD)),2)),((c_TMAP1IN)-(c_TFWD)))+(0)+IF(((c_TMAP1OUT)-(0))&gt;=0,IF(IF(o_WRAP=1,MOD(((c_TMAP1IN)-(c_TFWD))*(((C233)-(c_TFWD))*((c_TMAP1OUT)-(0))+IF(((c_TMAP1OUT)-(0))&gt;=0,1,-1)*QUOTIENT(((c_TMAP1IN)-(c_TFWD)),2))+2147483648,4294967296)-2147483648,((c_TMAP1IN)-(c_TFWD))*(((C233)-(c_TFWD))*((c_TMAP1OUT)-(0))+IF(((c_TMAP1OUT)-(0))&gt;=0,1,-1)*QUOTIENT(((c_TMAP1IN)-(c_TFWD)),2)))&lt;0,-1,0),IF(IF(o_WRAP=1,MOD(((c_TMAP1IN)-(c_TFWD))*(((C233)-(c_TFWD))*((c_TMAP1OUT)-(0))+IF(((c_TMAP1OUT)-(0))&gt;=0,1,-1)*QUOTIENT(((c_TMAP1IN)-(c_TFWD)),2))+2147483648,4294967296)-2147483648,((c_TMAP1IN)-(c_TFWD))*(((C233)-(c_TFWD))*((c_TMAP1OUT)-(0))+IF(((c_TMAP1OUT)-(0))&gt;=0,1,-1)*QUOTIENT(((c_TMAP1IN)-(c_TFWD)),2)))&gt;=0,1,0)))</f>
        <v>307</v>
      </c>
      <c r="F233" s="7" t="n">
        <f aca="false">IF(((c_TMAP2IN)-(c_TMAP1IN))=0,(c_TMAP1OUT)+QUOTIENT(((c_TMAP2OUT)-(c_TMAP1OUT)),2),QUOTIENT((((C233)-(c_TMAP1IN))*((c_TMAP2OUT)-(c_TMAP1OUT))+IF(((c_TMAP2OUT)-(c_TMAP1OUT))&gt;=0,1,-1)*QUOTIENT(((c_TMAP2IN)-(c_TMAP1IN)),2)),((c_TMAP2IN)-(c_TMAP1IN)))+(c_TMAP1OUT)+IF(((c_TMAP2OUT)-(c_TMAP1OUT))&gt;=0,IF(IF(o_WRAP=1,MOD(((c_TMAP2IN)-(c_TMAP1IN))*(((C233)-(c_TMAP1IN))*((c_TMAP2OUT)-(c_TMAP1OUT))+IF(((c_TMAP2OUT)-(c_TMAP1OUT))&gt;=0,1,-1)*QUOTIENT(((c_TMAP2IN)-(c_TMAP1IN)),2))+2147483648,4294967296)-2147483648,((c_TMAP2IN)-(c_TMAP1IN))*(((C233)-(c_TMAP1IN))*((c_TMAP2OUT)-(c_TMAP1OUT))+IF(((c_TMAP2OUT)-(c_TMAP1OUT))&gt;=0,1,-1)*QUOTIENT(((c_TMAP2IN)-(c_TMAP1IN)),2)))&lt;0,-1,0),IF(IF(o_WRAP=1,MOD(((c_TMAP2IN)-(c_TMAP1IN))*(((C233)-(c_TMAP1IN))*((c_TMAP2OUT)-(c_TMAP1OUT))+IF(((c_TMAP2OUT)-(c_TMAP1OUT))&gt;=0,1,-1)*QUOTIENT(((c_TMAP2IN)-(c_TMAP1IN)),2))+2147483648,4294967296)-2147483648,((c_TMAP2IN)-(c_TMAP1IN))*(((C233)-(c_TMAP1IN))*((c_TMAP2OUT)-(c_TMAP1OUT))+IF(((c_TMAP2OUT)-(c_TMAP1OUT))&gt;=0,1,-1)*QUOTIENT(((c_TMAP2IN)-(c_TMAP1IN)),2)))&gt;=0,1,0)))</f>
        <v>192</v>
      </c>
      <c r="G233" s="7" t="n">
        <f aca="false">IF(((c_TMAP3IN)-(c_TMAP2IN))=0,(c_TMAP2OUT)+QUOTIENT(((c_TMAP3OUT)-(c_TMAP2OUT)),2),QUOTIENT((((C233)-(c_TMAP2IN))*((c_TMAP3OUT)-(c_TMAP2OUT))+IF(((c_TMAP3OUT)-(c_TMAP2OUT))&gt;=0,1,-1)*QUOTIENT(((c_TMAP3IN)-(c_TMAP2IN)),2)),((c_TMAP3IN)-(c_TMAP2IN)))+(c_TMAP2OUT)+IF(((c_TMAP3OUT)-(c_TMAP2OUT))&gt;=0,IF(IF(o_WRAP=1,MOD(((c_TMAP3IN)-(c_TMAP2IN))*(((C233)-(c_TMAP2IN))*((c_TMAP3OUT)-(c_TMAP2OUT))+IF(((c_TMAP3OUT)-(c_TMAP2OUT))&gt;=0,1,-1)*QUOTIENT(((c_TMAP3IN)-(c_TMAP2IN)),2))+2147483648,4294967296)-2147483648,((c_TMAP3IN)-(c_TMAP2IN))*(((C233)-(c_TMAP2IN))*((c_TMAP3OUT)-(c_TMAP2OUT))+IF(((c_TMAP3OUT)-(c_TMAP2OUT))&gt;=0,1,-1)*QUOTIENT(((c_TMAP3IN)-(c_TMAP2IN)),2)))&lt;0,-1,0),IF(IF(o_WRAP=1,MOD(((c_TMAP3IN)-(c_TMAP2IN))*(((C233)-(c_TMAP2IN))*((c_TMAP3OUT)-(c_TMAP2OUT))+IF(((c_TMAP3OUT)-(c_TMAP2OUT))&gt;=0,1,-1)*QUOTIENT(((c_TMAP3IN)-(c_TMAP2IN)),2))+2147483648,4294967296)-2147483648,((c_TMAP3IN)-(c_TMAP2IN))*(((C233)-(c_TMAP2IN))*((c_TMAP3OUT)-(c_TMAP2OUT))+IF(((c_TMAP3OUT)-(c_TMAP2OUT))&gt;=0,1,-1)*QUOTIENT(((c_TMAP3IN)-(c_TMAP2IN)),2)))&gt;=0,1,0)))</f>
        <v>239</v>
      </c>
      <c r="H233" s="7" t="n">
        <f aca="false">IF(((1000)-(c_TMAP3IN))=0,(c_TMAP3OUT)+QUOTIENT(((1000)-(c_TMAP3OUT)),2),QUOTIENT((((C233)-(c_TMAP3IN))*((1000)-(c_TMAP3OUT))+IF(((1000)-(c_TMAP3OUT))&gt;=0,1,-1)*QUOTIENT(((1000)-(c_TMAP3IN)),2)),((1000)-(c_TMAP3IN)))+(c_TMAP3OUT)+IF(((1000)-(c_TMAP3OUT))&gt;=0,IF(IF(o_WRAP=1,MOD(((1000)-(c_TMAP3IN))*(((C233)-(c_TMAP3IN))*((1000)-(c_TMAP3OUT))+IF(((1000)-(c_TMAP3OUT))&gt;=0,1,-1)*QUOTIENT(((1000)-(c_TMAP3IN)),2))+2147483648,4294967296)-2147483648,((1000)-(c_TMAP3IN))*(((C233)-(c_TMAP3IN))*((1000)-(c_TMAP3OUT))+IF(((1000)-(c_TMAP3OUT))&gt;=0,1,-1)*QUOTIENT(((1000)-(c_TMAP3IN)),2)))&lt;0,-1,0),IF(IF(o_WRAP=1,MOD(((1000)-(c_TMAP3IN))*(((C233)-(c_TMAP3IN))*((1000)-(c_TMAP3OUT))+IF(((1000)-(c_TMAP3OUT))&gt;=0,1,-1)*QUOTIENT(((1000)-(c_TMAP3IN)),2))+2147483648,4294967296)-2147483648,((1000)-(c_TMAP3IN))*(((C233)-(c_TMAP3IN))*((1000)-(c_TMAP3OUT))+IF(((1000)-(c_TMAP3OUT))&gt;=0,1,-1)*QUOTIENT(((1000)-(c_TMAP3IN)),2)))&gt;=0,1,0)))</f>
        <v>268</v>
      </c>
      <c r="I233" s="7" t="n">
        <f aca="false">IF(C233&gt;=c_TFWD,IF(AND(C233&gt;=c_TMAP3IN,c_TMAP3IN&lt;1000),H233,IF(AND(C233&gt;=c_TMAP2IN,c_TMAP3IN&gt;c_TMAP2IN),G233,IF(AND(C233&gt;=c_TMAP1IN,c_TMAP2IN&gt;c_TMAP1IN),F233,E233))),D233)</f>
        <v>268</v>
      </c>
      <c r="J233" s="7" t="str">
        <f aca="false">IF(I233&lt;-1090,"TOO LOW",IF(I233&gt;1090,"TOO HIGH",""))</f>
        <v/>
      </c>
      <c r="K233" s="7" t="n">
        <f aca="false">IF(J233&lt;&gt;"",0,IF(I233&gt;979,1000,I233))</f>
        <v>268</v>
      </c>
      <c r="L233" s="7" t="n">
        <f aca="false">IF(OR(c_TSMOOTH=0,K233&gt;=c_TSMOOTHCUT),1,0)</f>
        <v>0</v>
      </c>
      <c r="M233" s="7" t="n">
        <f aca="false">IF(L233=1,0,M232+1)</f>
        <v>147</v>
      </c>
      <c r="N233" s="7" t="n">
        <f aca="false">IF(L233=1,0,MIN(M233,c_TSMOOTH))</f>
        <v>30</v>
      </c>
      <c r="O233" s="7" t="n">
        <f aca="false">IF(COUNTIF($L$5:L233,1)&gt;0,c_TSMOOTHCUT,0)</f>
        <v>400</v>
      </c>
      <c r="P233" s="15" t="n">
        <f aca="true">IF(L233=1,K233,QUOTIENT(SUM(OFFSET(K233,1-N233,0,N233,1))+(c_TSMOOTH-N233)*O233,c_TSMOOTH))</f>
        <v>313</v>
      </c>
      <c r="Q233" s="7" t="n">
        <f aca="false">K233/10</f>
        <v>26.8</v>
      </c>
      <c r="R233" s="7" t="n">
        <f aca="false">P233/10</f>
        <v>31.3</v>
      </c>
    </row>
    <row r="234" customFormat="false" ht="15" hidden="false" customHeight="false" outlineLevel="0" collapsed="false">
      <c r="A234" s="7" t="n">
        <v>229</v>
      </c>
      <c r="B234" s="7" t="n">
        <f aca="false">A234*0.04</f>
        <v>9.16</v>
      </c>
      <c r="C234" s="18" t="n">
        <v>400</v>
      </c>
      <c r="D234" s="7" t="n">
        <f aca="false">IF(AND(C234=0,c_TCREEP&gt;0),10*c_TCREEP,IF(AND(C234&lt;=c_TRNGMIN,C234&gt;=c_TRNGMAX,c_TRNGMIN-c_TRNGMAX&lt;&gt;0),-10*c_TMINRN+QUOTIENT((c_TMAXRN-c_TMINRN)*(100-QUOTIENT((C234-c_TRNGMAX)*100,c_TRNGMIN-c_TRNGMAX)),-10),0))</f>
        <v>0</v>
      </c>
      <c r="E234" s="7" t="n">
        <f aca="false">IF(((c_TMAP1IN)-(c_TFWD))=0,(0)+QUOTIENT(((c_TMAP1OUT)-(0)),2),QUOTIENT((((C234)-(c_TFWD))*((c_TMAP1OUT)-(0))+IF(((c_TMAP1OUT)-(0))&gt;=0,1,-1)*QUOTIENT(((c_TMAP1IN)-(c_TFWD)),2)),((c_TMAP1IN)-(c_TFWD)))+(0)+IF(((c_TMAP1OUT)-(0))&gt;=0,IF(IF(o_WRAP=1,MOD(((c_TMAP1IN)-(c_TFWD))*(((C234)-(c_TFWD))*((c_TMAP1OUT)-(0))+IF(((c_TMAP1OUT)-(0))&gt;=0,1,-1)*QUOTIENT(((c_TMAP1IN)-(c_TFWD)),2))+2147483648,4294967296)-2147483648,((c_TMAP1IN)-(c_TFWD))*(((C234)-(c_TFWD))*((c_TMAP1OUT)-(0))+IF(((c_TMAP1OUT)-(0))&gt;=0,1,-1)*QUOTIENT(((c_TMAP1IN)-(c_TFWD)),2)))&lt;0,-1,0),IF(IF(o_WRAP=1,MOD(((c_TMAP1IN)-(c_TFWD))*(((C234)-(c_TFWD))*((c_TMAP1OUT)-(0))+IF(((c_TMAP1OUT)-(0))&gt;=0,1,-1)*QUOTIENT(((c_TMAP1IN)-(c_TFWD)),2))+2147483648,4294967296)-2147483648,((c_TMAP1IN)-(c_TFWD))*(((C234)-(c_TFWD))*((c_TMAP1OUT)-(0))+IF(((c_TMAP1OUT)-(0))&gt;=0,1,-1)*QUOTIENT(((c_TMAP1IN)-(c_TFWD)),2)))&gt;=0,1,0)))</f>
        <v>303</v>
      </c>
      <c r="F234" s="7" t="n">
        <f aca="false">IF(((c_TMAP2IN)-(c_TMAP1IN))=0,(c_TMAP1OUT)+QUOTIENT(((c_TMAP2OUT)-(c_TMAP1OUT)),2),QUOTIENT((((C234)-(c_TMAP1IN))*((c_TMAP2OUT)-(c_TMAP1OUT))+IF(((c_TMAP2OUT)-(c_TMAP1OUT))&gt;=0,1,-1)*QUOTIENT(((c_TMAP2IN)-(c_TMAP1IN)),2)),((c_TMAP2IN)-(c_TMAP1IN)))+(c_TMAP1OUT)+IF(((c_TMAP2OUT)-(c_TMAP1OUT))&gt;=0,IF(IF(o_WRAP=1,MOD(((c_TMAP2IN)-(c_TMAP1IN))*(((C234)-(c_TMAP1IN))*((c_TMAP2OUT)-(c_TMAP1OUT))+IF(((c_TMAP2OUT)-(c_TMAP1OUT))&gt;=0,1,-1)*QUOTIENT(((c_TMAP2IN)-(c_TMAP1IN)),2))+2147483648,4294967296)-2147483648,((c_TMAP2IN)-(c_TMAP1IN))*(((C234)-(c_TMAP1IN))*((c_TMAP2OUT)-(c_TMAP1OUT))+IF(((c_TMAP2OUT)-(c_TMAP1OUT))&gt;=0,1,-1)*QUOTIENT(((c_TMAP2IN)-(c_TMAP1IN)),2)))&lt;0,-1,0),IF(IF(o_WRAP=1,MOD(((c_TMAP2IN)-(c_TMAP1IN))*(((C234)-(c_TMAP1IN))*((c_TMAP2OUT)-(c_TMAP1OUT))+IF(((c_TMAP2OUT)-(c_TMAP1OUT))&gt;=0,1,-1)*QUOTIENT(((c_TMAP2IN)-(c_TMAP1IN)),2))+2147483648,4294967296)-2147483648,((c_TMAP2IN)-(c_TMAP1IN))*(((C234)-(c_TMAP1IN))*((c_TMAP2OUT)-(c_TMAP1OUT))+IF(((c_TMAP2OUT)-(c_TMAP1OUT))&gt;=0,1,-1)*QUOTIENT(((c_TMAP2IN)-(c_TMAP1IN)),2)))&gt;=0,1,0)))</f>
        <v>190</v>
      </c>
      <c r="G234" s="7" t="n">
        <f aca="false">IF(((c_TMAP3IN)-(c_TMAP2IN))=0,(c_TMAP2OUT)+QUOTIENT(((c_TMAP3OUT)-(c_TMAP2OUT)),2),QUOTIENT((((C234)-(c_TMAP2IN))*((c_TMAP3OUT)-(c_TMAP2OUT))+IF(((c_TMAP3OUT)-(c_TMAP2OUT))&gt;=0,1,-1)*QUOTIENT(((c_TMAP3IN)-(c_TMAP2IN)),2)),((c_TMAP3IN)-(c_TMAP2IN)))+(c_TMAP2OUT)+IF(((c_TMAP3OUT)-(c_TMAP2OUT))&gt;=0,IF(IF(o_WRAP=1,MOD(((c_TMAP3IN)-(c_TMAP2IN))*(((C234)-(c_TMAP2IN))*((c_TMAP3OUT)-(c_TMAP2OUT))+IF(((c_TMAP3OUT)-(c_TMAP2OUT))&gt;=0,1,-1)*QUOTIENT(((c_TMAP3IN)-(c_TMAP2IN)),2))+2147483648,4294967296)-2147483648,((c_TMAP3IN)-(c_TMAP2IN))*(((C234)-(c_TMAP2IN))*((c_TMAP3OUT)-(c_TMAP2OUT))+IF(((c_TMAP3OUT)-(c_TMAP2OUT))&gt;=0,1,-1)*QUOTIENT(((c_TMAP3IN)-(c_TMAP2IN)),2)))&lt;0,-1,0),IF(IF(o_WRAP=1,MOD(((c_TMAP3IN)-(c_TMAP2IN))*(((C234)-(c_TMAP2IN))*((c_TMAP3OUT)-(c_TMAP2OUT))+IF(((c_TMAP3OUT)-(c_TMAP2OUT))&gt;=0,1,-1)*QUOTIENT(((c_TMAP3IN)-(c_TMAP2IN)),2))+2147483648,4294967296)-2147483648,((c_TMAP3IN)-(c_TMAP2IN))*(((C234)-(c_TMAP2IN))*((c_TMAP3OUT)-(c_TMAP2OUT))+IF(((c_TMAP3OUT)-(c_TMAP2OUT))&gt;=0,1,-1)*QUOTIENT(((c_TMAP3IN)-(c_TMAP2IN)),2)))&gt;=0,1,0)))</f>
        <v>235</v>
      </c>
      <c r="H234" s="7" t="n">
        <f aca="false">IF(((1000)-(c_TMAP3IN))=0,(c_TMAP3OUT)+QUOTIENT(((1000)-(c_TMAP3OUT)),2),QUOTIENT((((C234)-(c_TMAP3IN))*((1000)-(c_TMAP3OUT))+IF(((1000)-(c_TMAP3OUT))&gt;=0,1,-1)*QUOTIENT(((1000)-(c_TMAP3IN)),2)),((1000)-(c_TMAP3IN)))+(c_TMAP3OUT)+IF(((1000)-(c_TMAP3OUT))&gt;=0,IF(IF(o_WRAP=1,MOD(((1000)-(c_TMAP3IN))*(((C234)-(c_TMAP3IN))*((1000)-(c_TMAP3OUT))+IF(((1000)-(c_TMAP3OUT))&gt;=0,1,-1)*QUOTIENT(((1000)-(c_TMAP3IN)),2))+2147483648,4294967296)-2147483648,((1000)-(c_TMAP3IN))*(((C234)-(c_TMAP3IN))*((1000)-(c_TMAP3OUT))+IF(((1000)-(c_TMAP3OUT))&gt;=0,1,-1)*QUOTIENT(((1000)-(c_TMAP3IN)),2)))&lt;0,-1,0),IF(IF(o_WRAP=1,MOD(((1000)-(c_TMAP3IN))*(((C234)-(c_TMAP3IN))*((1000)-(c_TMAP3OUT))+IF(((1000)-(c_TMAP3OUT))&gt;=0,1,-1)*QUOTIENT(((1000)-(c_TMAP3IN)),2))+2147483648,4294967296)-2147483648,((1000)-(c_TMAP3IN))*(((C234)-(c_TMAP3IN))*((1000)-(c_TMAP3OUT))+IF(((1000)-(c_TMAP3OUT))&gt;=0,1,-1)*QUOTIENT(((1000)-(c_TMAP3IN)),2)))&gt;=0,1,0)))</f>
        <v>262</v>
      </c>
      <c r="I234" s="7" t="n">
        <f aca="false">IF(C234&gt;=c_TFWD,IF(AND(C234&gt;=c_TMAP3IN,c_TMAP3IN&lt;1000),H234,IF(AND(C234&gt;=c_TMAP2IN,c_TMAP3IN&gt;c_TMAP2IN),G234,IF(AND(C234&gt;=c_TMAP1IN,c_TMAP2IN&gt;c_TMAP1IN),F234,E234))),D234)</f>
        <v>262</v>
      </c>
      <c r="J234" s="7" t="str">
        <f aca="false">IF(I234&lt;-1090,"TOO LOW",IF(I234&gt;1090,"TOO HIGH",""))</f>
        <v/>
      </c>
      <c r="K234" s="7" t="n">
        <f aca="false">IF(J234&lt;&gt;"",0,IF(I234&gt;979,1000,I234))</f>
        <v>262</v>
      </c>
      <c r="L234" s="7" t="n">
        <f aca="false">IF(OR(c_TSMOOTH=0,K234&gt;=c_TSMOOTHCUT),1,0)</f>
        <v>0</v>
      </c>
      <c r="M234" s="7" t="n">
        <f aca="false">IF(L234=1,0,M233+1)</f>
        <v>148</v>
      </c>
      <c r="N234" s="7" t="n">
        <f aca="false">IF(L234=1,0,MIN(M234,c_TSMOOTH))</f>
        <v>30</v>
      </c>
      <c r="O234" s="7" t="n">
        <f aca="false">IF(COUNTIF($L$5:L234,1)&gt;0,c_TSMOOTHCUT,0)</f>
        <v>400</v>
      </c>
      <c r="P234" s="15" t="n">
        <f aca="true">IF(L234=1,K234,QUOTIENT(SUM(OFFSET(K234,1-N234,0,N234,1))+(c_TSMOOTH-N234)*O234,c_TSMOOTH))</f>
        <v>311</v>
      </c>
      <c r="Q234" s="7" t="n">
        <f aca="false">K234/10</f>
        <v>26.2</v>
      </c>
      <c r="R234" s="7" t="n">
        <f aca="false">P234/10</f>
        <v>31.1</v>
      </c>
    </row>
    <row r="235" customFormat="false" ht="15" hidden="false" customHeight="false" outlineLevel="0" collapsed="false">
      <c r="A235" s="7" t="n">
        <v>230</v>
      </c>
      <c r="B235" s="7" t="n">
        <f aca="false">A235*0.04</f>
        <v>9.2</v>
      </c>
      <c r="C235" s="18" t="n">
        <v>395</v>
      </c>
      <c r="D235" s="7" t="n">
        <f aca="false">IF(AND(C235=0,c_TCREEP&gt;0),10*c_TCREEP,IF(AND(C235&lt;=c_TRNGMIN,C235&gt;=c_TRNGMAX,c_TRNGMIN-c_TRNGMAX&lt;&gt;0),-10*c_TMINRN+QUOTIENT((c_TMAXRN-c_TMINRN)*(100-QUOTIENT((C235-c_TRNGMAX)*100,c_TRNGMIN-c_TRNGMAX)),-10),0))</f>
        <v>0</v>
      </c>
      <c r="E235" s="7" t="n">
        <f aca="false">IF(((c_TMAP1IN)-(c_TFWD))=0,(0)+QUOTIENT(((c_TMAP1OUT)-(0)),2),QUOTIENT((((C235)-(c_TFWD))*((c_TMAP1OUT)-(0))+IF(((c_TMAP1OUT)-(0))&gt;=0,1,-1)*QUOTIENT(((c_TMAP1IN)-(c_TFWD)),2)),((c_TMAP1IN)-(c_TFWD)))+(0)+IF(((c_TMAP1OUT)-(0))&gt;=0,IF(IF(o_WRAP=1,MOD(((c_TMAP1IN)-(c_TFWD))*(((C235)-(c_TFWD))*((c_TMAP1OUT)-(0))+IF(((c_TMAP1OUT)-(0))&gt;=0,1,-1)*QUOTIENT(((c_TMAP1IN)-(c_TFWD)),2))+2147483648,4294967296)-2147483648,((c_TMAP1IN)-(c_TFWD))*(((C235)-(c_TFWD))*((c_TMAP1OUT)-(0))+IF(((c_TMAP1OUT)-(0))&gt;=0,1,-1)*QUOTIENT(((c_TMAP1IN)-(c_TFWD)),2)))&lt;0,-1,0),IF(IF(o_WRAP=1,MOD(((c_TMAP1IN)-(c_TFWD))*(((C235)-(c_TFWD))*((c_TMAP1OUT)-(0))+IF(((c_TMAP1OUT)-(0))&gt;=0,1,-1)*QUOTIENT(((c_TMAP1IN)-(c_TFWD)),2))+2147483648,4294967296)-2147483648,((c_TMAP1IN)-(c_TFWD))*(((C235)-(c_TFWD))*((c_TMAP1OUT)-(0))+IF(((c_TMAP1OUT)-(0))&gt;=0,1,-1)*QUOTIENT(((c_TMAP1IN)-(c_TFWD)),2)))&gt;=0,1,0)))</f>
        <v>299</v>
      </c>
      <c r="F235" s="7" t="n">
        <f aca="false">IF(((c_TMAP2IN)-(c_TMAP1IN))=0,(c_TMAP1OUT)+QUOTIENT(((c_TMAP2OUT)-(c_TMAP1OUT)),2),QUOTIENT((((C235)-(c_TMAP1IN))*((c_TMAP2OUT)-(c_TMAP1OUT))+IF(((c_TMAP2OUT)-(c_TMAP1OUT))&gt;=0,1,-1)*QUOTIENT(((c_TMAP2IN)-(c_TMAP1IN)),2)),((c_TMAP2IN)-(c_TMAP1IN)))+(c_TMAP1OUT)+IF(((c_TMAP2OUT)-(c_TMAP1OUT))&gt;=0,IF(IF(o_WRAP=1,MOD(((c_TMAP2IN)-(c_TMAP1IN))*(((C235)-(c_TMAP1IN))*((c_TMAP2OUT)-(c_TMAP1OUT))+IF(((c_TMAP2OUT)-(c_TMAP1OUT))&gt;=0,1,-1)*QUOTIENT(((c_TMAP2IN)-(c_TMAP1IN)),2))+2147483648,4294967296)-2147483648,((c_TMAP2IN)-(c_TMAP1IN))*(((C235)-(c_TMAP1IN))*((c_TMAP2OUT)-(c_TMAP1OUT))+IF(((c_TMAP2OUT)-(c_TMAP1OUT))&gt;=0,1,-1)*QUOTIENT(((c_TMAP2IN)-(c_TMAP1IN)),2)))&lt;0,-1,0),IF(IF(o_WRAP=1,MOD(((c_TMAP2IN)-(c_TMAP1IN))*(((C235)-(c_TMAP1IN))*((c_TMAP2OUT)-(c_TMAP1OUT))+IF(((c_TMAP2OUT)-(c_TMAP1OUT))&gt;=0,1,-1)*QUOTIENT(((c_TMAP2IN)-(c_TMAP1IN)),2))+2147483648,4294967296)-2147483648,((c_TMAP2IN)-(c_TMAP1IN))*(((C235)-(c_TMAP1IN))*((c_TMAP2OUT)-(c_TMAP1OUT))+IF(((c_TMAP2OUT)-(c_TMAP1OUT))&gt;=0,1,-1)*QUOTIENT(((c_TMAP2IN)-(c_TMAP1IN)),2)))&gt;=0,1,0)))</f>
        <v>188</v>
      </c>
      <c r="G235" s="7" t="n">
        <f aca="false">IF(((c_TMAP3IN)-(c_TMAP2IN))=0,(c_TMAP2OUT)+QUOTIENT(((c_TMAP3OUT)-(c_TMAP2OUT)),2),QUOTIENT((((C235)-(c_TMAP2IN))*((c_TMAP3OUT)-(c_TMAP2OUT))+IF(((c_TMAP3OUT)-(c_TMAP2OUT))&gt;=0,1,-1)*QUOTIENT(((c_TMAP3IN)-(c_TMAP2IN)),2)),((c_TMAP3IN)-(c_TMAP2IN)))+(c_TMAP2OUT)+IF(((c_TMAP3OUT)-(c_TMAP2OUT))&gt;=0,IF(IF(o_WRAP=1,MOD(((c_TMAP3IN)-(c_TMAP2IN))*(((C235)-(c_TMAP2IN))*((c_TMAP3OUT)-(c_TMAP2OUT))+IF(((c_TMAP3OUT)-(c_TMAP2OUT))&gt;=0,1,-1)*QUOTIENT(((c_TMAP3IN)-(c_TMAP2IN)),2))+2147483648,4294967296)-2147483648,((c_TMAP3IN)-(c_TMAP2IN))*(((C235)-(c_TMAP2IN))*((c_TMAP3OUT)-(c_TMAP2OUT))+IF(((c_TMAP3OUT)-(c_TMAP2OUT))&gt;=0,1,-1)*QUOTIENT(((c_TMAP3IN)-(c_TMAP2IN)),2)))&lt;0,-1,0),IF(IF(o_WRAP=1,MOD(((c_TMAP3IN)-(c_TMAP2IN))*(((C235)-(c_TMAP2IN))*((c_TMAP3OUT)-(c_TMAP2OUT))+IF(((c_TMAP3OUT)-(c_TMAP2OUT))&gt;=0,1,-1)*QUOTIENT(((c_TMAP3IN)-(c_TMAP2IN)),2))+2147483648,4294967296)-2147483648,((c_TMAP3IN)-(c_TMAP2IN))*(((C235)-(c_TMAP2IN))*((c_TMAP3OUT)-(c_TMAP2OUT))+IF(((c_TMAP3OUT)-(c_TMAP2OUT))&gt;=0,1,-1)*QUOTIENT(((c_TMAP3IN)-(c_TMAP2IN)),2)))&gt;=0,1,0)))</f>
        <v>232</v>
      </c>
      <c r="H235" s="7" t="n">
        <f aca="false">IF(((1000)-(c_TMAP3IN))=0,(c_TMAP3OUT)+QUOTIENT(((1000)-(c_TMAP3OUT)),2),QUOTIENT((((C235)-(c_TMAP3IN))*((1000)-(c_TMAP3OUT))+IF(((1000)-(c_TMAP3OUT))&gt;=0,1,-1)*QUOTIENT(((1000)-(c_TMAP3IN)),2)),((1000)-(c_TMAP3IN)))+(c_TMAP3OUT)+IF(((1000)-(c_TMAP3OUT))&gt;=0,IF(IF(o_WRAP=1,MOD(((1000)-(c_TMAP3IN))*(((C235)-(c_TMAP3IN))*((1000)-(c_TMAP3OUT))+IF(((1000)-(c_TMAP3OUT))&gt;=0,1,-1)*QUOTIENT(((1000)-(c_TMAP3IN)),2))+2147483648,4294967296)-2147483648,((1000)-(c_TMAP3IN))*(((C235)-(c_TMAP3IN))*((1000)-(c_TMAP3OUT))+IF(((1000)-(c_TMAP3OUT))&gt;=0,1,-1)*QUOTIENT(((1000)-(c_TMAP3IN)),2)))&lt;0,-1,0),IF(IF(o_WRAP=1,MOD(((1000)-(c_TMAP3IN))*(((C235)-(c_TMAP3IN))*((1000)-(c_TMAP3OUT))+IF(((1000)-(c_TMAP3OUT))&gt;=0,1,-1)*QUOTIENT(((1000)-(c_TMAP3IN)),2))+2147483648,4294967296)-2147483648,((1000)-(c_TMAP3IN))*(((C235)-(c_TMAP3IN))*((1000)-(c_TMAP3OUT))+IF(((1000)-(c_TMAP3OUT))&gt;=0,1,-1)*QUOTIENT(((1000)-(c_TMAP3IN)),2)))&gt;=0,1,0)))</f>
        <v>255</v>
      </c>
      <c r="I235" s="7" t="n">
        <f aca="false">IF(C235&gt;=c_TFWD,IF(AND(C235&gt;=c_TMAP3IN,c_TMAP3IN&lt;1000),H235,IF(AND(C235&gt;=c_TMAP2IN,c_TMAP3IN&gt;c_TMAP2IN),G235,IF(AND(C235&gt;=c_TMAP1IN,c_TMAP2IN&gt;c_TMAP1IN),F235,E235))),D235)</f>
        <v>255</v>
      </c>
      <c r="J235" s="7" t="str">
        <f aca="false">IF(I235&lt;-1090,"TOO LOW",IF(I235&gt;1090,"TOO HIGH",""))</f>
        <v/>
      </c>
      <c r="K235" s="7" t="n">
        <f aca="false">IF(J235&lt;&gt;"",0,IF(I235&gt;979,1000,I235))</f>
        <v>255</v>
      </c>
      <c r="L235" s="7" t="n">
        <f aca="false">IF(OR(c_TSMOOTH=0,K235&gt;=c_TSMOOTHCUT),1,0)</f>
        <v>0</v>
      </c>
      <c r="M235" s="7" t="n">
        <f aca="false">IF(L235=1,0,M234+1)</f>
        <v>149</v>
      </c>
      <c r="N235" s="7" t="n">
        <f aca="false">IF(L235=1,0,MIN(M235,c_TSMOOTH))</f>
        <v>30</v>
      </c>
      <c r="O235" s="7" t="n">
        <f aca="false">IF(COUNTIF($L$5:L235,1)&gt;0,c_TSMOOTHCUT,0)</f>
        <v>400</v>
      </c>
      <c r="P235" s="15" t="n">
        <f aca="true">IF(L235=1,K235,QUOTIENT(SUM(OFFSET(K235,1-N235,0,N235,1))+(c_TSMOOTH-N235)*O235,c_TSMOOTH))</f>
        <v>309</v>
      </c>
      <c r="Q235" s="7" t="n">
        <f aca="false">K235/10</f>
        <v>25.5</v>
      </c>
      <c r="R235" s="7" t="n">
        <f aca="false">P235/10</f>
        <v>30.9</v>
      </c>
    </row>
    <row r="236" customFormat="false" ht="15" hidden="false" customHeight="false" outlineLevel="0" collapsed="false">
      <c r="A236" s="7" t="n">
        <v>231</v>
      </c>
      <c r="B236" s="7" t="n">
        <f aca="false">A236*0.04</f>
        <v>9.24</v>
      </c>
      <c r="C236" s="18" t="n">
        <v>390</v>
      </c>
      <c r="D236" s="7" t="n">
        <f aca="false">IF(AND(C236=0,c_TCREEP&gt;0),10*c_TCREEP,IF(AND(C236&lt;=c_TRNGMIN,C236&gt;=c_TRNGMAX,c_TRNGMIN-c_TRNGMAX&lt;&gt;0),-10*c_TMINRN+QUOTIENT((c_TMAXRN-c_TMINRN)*(100-QUOTIENT((C236-c_TRNGMAX)*100,c_TRNGMIN-c_TRNGMAX)),-10),0))</f>
        <v>0</v>
      </c>
      <c r="E236" s="7" t="n">
        <f aca="false">IF(((c_TMAP1IN)-(c_TFWD))=0,(0)+QUOTIENT(((c_TMAP1OUT)-(0)),2),QUOTIENT((((C236)-(c_TFWD))*((c_TMAP1OUT)-(0))+IF(((c_TMAP1OUT)-(0))&gt;=0,1,-1)*QUOTIENT(((c_TMAP1IN)-(c_TFWD)),2)),((c_TMAP1IN)-(c_TFWD)))+(0)+IF(((c_TMAP1OUT)-(0))&gt;=0,IF(IF(o_WRAP=1,MOD(((c_TMAP1IN)-(c_TFWD))*(((C236)-(c_TFWD))*((c_TMAP1OUT)-(0))+IF(((c_TMAP1OUT)-(0))&gt;=0,1,-1)*QUOTIENT(((c_TMAP1IN)-(c_TFWD)),2))+2147483648,4294967296)-2147483648,((c_TMAP1IN)-(c_TFWD))*(((C236)-(c_TFWD))*((c_TMAP1OUT)-(0))+IF(((c_TMAP1OUT)-(0))&gt;=0,1,-1)*QUOTIENT(((c_TMAP1IN)-(c_TFWD)),2)))&lt;0,-1,0),IF(IF(o_WRAP=1,MOD(((c_TMAP1IN)-(c_TFWD))*(((C236)-(c_TFWD))*((c_TMAP1OUT)-(0))+IF(((c_TMAP1OUT)-(0))&gt;=0,1,-1)*QUOTIENT(((c_TMAP1IN)-(c_TFWD)),2))+2147483648,4294967296)-2147483648,((c_TMAP1IN)-(c_TFWD))*(((C236)-(c_TFWD))*((c_TMAP1OUT)-(0))+IF(((c_TMAP1OUT)-(0))&gt;=0,1,-1)*QUOTIENT(((c_TMAP1IN)-(c_TFWD)),2)))&gt;=0,1,0)))</f>
        <v>296</v>
      </c>
      <c r="F236" s="7" t="n">
        <f aca="false">IF(((c_TMAP2IN)-(c_TMAP1IN))=0,(c_TMAP1OUT)+QUOTIENT(((c_TMAP2OUT)-(c_TMAP1OUT)),2),QUOTIENT((((C236)-(c_TMAP1IN))*((c_TMAP2OUT)-(c_TMAP1OUT))+IF(((c_TMAP2OUT)-(c_TMAP1OUT))&gt;=0,1,-1)*QUOTIENT(((c_TMAP2IN)-(c_TMAP1IN)),2)),((c_TMAP2IN)-(c_TMAP1IN)))+(c_TMAP1OUT)+IF(((c_TMAP2OUT)-(c_TMAP1OUT))&gt;=0,IF(IF(o_WRAP=1,MOD(((c_TMAP2IN)-(c_TMAP1IN))*(((C236)-(c_TMAP1IN))*((c_TMAP2OUT)-(c_TMAP1OUT))+IF(((c_TMAP2OUT)-(c_TMAP1OUT))&gt;=0,1,-1)*QUOTIENT(((c_TMAP2IN)-(c_TMAP1IN)),2))+2147483648,4294967296)-2147483648,((c_TMAP2IN)-(c_TMAP1IN))*(((C236)-(c_TMAP1IN))*((c_TMAP2OUT)-(c_TMAP1OUT))+IF(((c_TMAP2OUT)-(c_TMAP1OUT))&gt;=0,1,-1)*QUOTIENT(((c_TMAP2IN)-(c_TMAP1IN)),2)))&lt;0,-1,0),IF(IF(o_WRAP=1,MOD(((c_TMAP2IN)-(c_TMAP1IN))*(((C236)-(c_TMAP1IN))*((c_TMAP2OUT)-(c_TMAP1OUT))+IF(((c_TMAP2OUT)-(c_TMAP1OUT))&gt;=0,1,-1)*QUOTIENT(((c_TMAP2IN)-(c_TMAP1IN)),2))+2147483648,4294967296)-2147483648,((c_TMAP2IN)-(c_TMAP1IN))*(((C236)-(c_TMAP1IN))*((c_TMAP2OUT)-(c_TMAP1OUT))+IF(((c_TMAP2OUT)-(c_TMAP1OUT))&gt;=0,1,-1)*QUOTIENT(((c_TMAP2IN)-(c_TMAP1IN)),2)))&gt;=0,1,0)))</f>
        <v>186</v>
      </c>
      <c r="G236" s="7" t="n">
        <f aca="false">IF(((c_TMAP3IN)-(c_TMAP2IN))=0,(c_TMAP2OUT)+QUOTIENT(((c_TMAP3OUT)-(c_TMAP2OUT)),2),QUOTIENT((((C236)-(c_TMAP2IN))*((c_TMAP3OUT)-(c_TMAP2OUT))+IF(((c_TMAP3OUT)-(c_TMAP2OUT))&gt;=0,1,-1)*QUOTIENT(((c_TMAP3IN)-(c_TMAP2IN)),2)),((c_TMAP3IN)-(c_TMAP2IN)))+(c_TMAP2OUT)+IF(((c_TMAP3OUT)-(c_TMAP2OUT))&gt;=0,IF(IF(o_WRAP=1,MOD(((c_TMAP3IN)-(c_TMAP2IN))*(((C236)-(c_TMAP2IN))*((c_TMAP3OUT)-(c_TMAP2OUT))+IF(((c_TMAP3OUT)-(c_TMAP2OUT))&gt;=0,1,-1)*QUOTIENT(((c_TMAP3IN)-(c_TMAP2IN)),2))+2147483648,4294967296)-2147483648,((c_TMAP3IN)-(c_TMAP2IN))*(((C236)-(c_TMAP2IN))*((c_TMAP3OUT)-(c_TMAP2OUT))+IF(((c_TMAP3OUT)-(c_TMAP2OUT))&gt;=0,1,-1)*QUOTIENT(((c_TMAP3IN)-(c_TMAP2IN)),2)))&lt;0,-1,0),IF(IF(o_WRAP=1,MOD(((c_TMAP3IN)-(c_TMAP2IN))*(((C236)-(c_TMAP2IN))*((c_TMAP3OUT)-(c_TMAP2OUT))+IF(((c_TMAP3OUT)-(c_TMAP2OUT))&gt;=0,1,-1)*QUOTIENT(((c_TMAP3IN)-(c_TMAP2IN)),2))+2147483648,4294967296)-2147483648,((c_TMAP3IN)-(c_TMAP2IN))*(((C236)-(c_TMAP2IN))*((c_TMAP3OUT)-(c_TMAP2OUT))+IF(((c_TMAP3OUT)-(c_TMAP2OUT))&gt;=0,1,-1)*QUOTIENT(((c_TMAP3IN)-(c_TMAP2IN)),2)))&gt;=0,1,0)))</f>
        <v>228</v>
      </c>
      <c r="H236" s="7" t="n">
        <f aca="false">IF(((1000)-(c_TMAP3IN))=0,(c_TMAP3OUT)+QUOTIENT(((1000)-(c_TMAP3OUT)),2),QUOTIENT((((C236)-(c_TMAP3IN))*((1000)-(c_TMAP3OUT))+IF(((1000)-(c_TMAP3OUT))&gt;=0,1,-1)*QUOTIENT(((1000)-(c_TMAP3IN)),2)),((1000)-(c_TMAP3IN)))+(c_TMAP3OUT)+IF(((1000)-(c_TMAP3OUT))&gt;=0,IF(IF(o_WRAP=1,MOD(((1000)-(c_TMAP3IN))*(((C236)-(c_TMAP3IN))*((1000)-(c_TMAP3OUT))+IF(((1000)-(c_TMAP3OUT))&gt;=0,1,-1)*QUOTIENT(((1000)-(c_TMAP3IN)),2))+2147483648,4294967296)-2147483648,((1000)-(c_TMAP3IN))*(((C236)-(c_TMAP3IN))*((1000)-(c_TMAP3OUT))+IF(((1000)-(c_TMAP3OUT))&gt;=0,1,-1)*QUOTIENT(((1000)-(c_TMAP3IN)),2)))&lt;0,-1,0),IF(IF(o_WRAP=1,MOD(((1000)-(c_TMAP3IN))*(((C236)-(c_TMAP3IN))*((1000)-(c_TMAP3OUT))+IF(((1000)-(c_TMAP3OUT))&gt;=0,1,-1)*QUOTIENT(((1000)-(c_TMAP3IN)),2))+2147483648,4294967296)-2147483648,((1000)-(c_TMAP3IN))*(((C236)-(c_TMAP3IN))*((1000)-(c_TMAP3OUT))+IF(((1000)-(c_TMAP3OUT))&gt;=0,1,-1)*QUOTIENT(((1000)-(c_TMAP3IN)),2)))&gt;=0,1,0)))</f>
        <v>249</v>
      </c>
      <c r="I236" s="7" t="n">
        <f aca="false">IF(C236&gt;=c_TFWD,IF(AND(C236&gt;=c_TMAP3IN,c_TMAP3IN&lt;1000),H236,IF(AND(C236&gt;=c_TMAP2IN,c_TMAP3IN&gt;c_TMAP2IN),G236,IF(AND(C236&gt;=c_TMAP1IN,c_TMAP2IN&gt;c_TMAP1IN),F236,E236))),D236)</f>
        <v>249</v>
      </c>
      <c r="J236" s="7" t="str">
        <f aca="false">IF(I236&lt;-1090,"TOO LOW",IF(I236&gt;1090,"TOO HIGH",""))</f>
        <v/>
      </c>
      <c r="K236" s="7" t="n">
        <f aca="false">IF(J236&lt;&gt;"",0,IF(I236&gt;979,1000,I236))</f>
        <v>249</v>
      </c>
      <c r="L236" s="7" t="n">
        <f aca="false">IF(OR(c_TSMOOTH=0,K236&gt;=c_TSMOOTHCUT),1,0)</f>
        <v>0</v>
      </c>
      <c r="M236" s="7" t="n">
        <f aca="false">IF(L236=1,0,M235+1)</f>
        <v>150</v>
      </c>
      <c r="N236" s="7" t="n">
        <f aca="false">IF(L236=1,0,MIN(M236,c_TSMOOTH))</f>
        <v>30</v>
      </c>
      <c r="O236" s="7" t="n">
        <f aca="false">IF(COUNTIF($L$5:L236,1)&gt;0,c_TSMOOTHCUT,0)</f>
        <v>400</v>
      </c>
      <c r="P236" s="15" t="n">
        <f aca="true">IF(L236=1,K236,QUOTIENT(SUM(OFFSET(K236,1-N236,0,N236,1))+(c_TSMOOTH-N236)*O236,c_TSMOOTH))</f>
        <v>307</v>
      </c>
      <c r="Q236" s="7" t="n">
        <f aca="false">K236/10</f>
        <v>24.9</v>
      </c>
      <c r="R236" s="7" t="n">
        <f aca="false">P236/10</f>
        <v>30.7</v>
      </c>
    </row>
    <row r="237" customFormat="false" ht="15" hidden="false" customHeight="false" outlineLevel="0" collapsed="false">
      <c r="A237" s="7" t="n">
        <v>232</v>
      </c>
      <c r="B237" s="7" t="n">
        <f aca="false">A237*0.04</f>
        <v>9.28</v>
      </c>
      <c r="C237" s="18" t="n">
        <v>385</v>
      </c>
      <c r="D237" s="7" t="n">
        <f aca="false">IF(AND(C237=0,c_TCREEP&gt;0),10*c_TCREEP,IF(AND(C237&lt;=c_TRNGMIN,C237&gt;=c_TRNGMAX,c_TRNGMIN-c_TRNGMAX&lt;&gt;0),-10*c_TMINRN+QUOTIENT((c_TMAXRN-c_TMINRN)*(100-QUOTIENT((C237-c_TRNGMAX)*100,c_TRNGMIN-c_TRNGMAX)),-10),0))</f>
        <v>0</v>
      </c>
      <c r="E237" s="7" t="n">
        <f aca="false">IF(((c_TMAP1IN)-(c_TFWD))=0,(0)+QUOTIENT(((c_TMAP1OUT)-(0)),2),QUOTIENT((((C237)-(c_TFWD))*((c_TMAP1OUT)-(0))+IF(((c_TMAP1OUT)-(0))&gt;=0,1,-1)*QUOTIENT(((c_TMAP1IN)-(c_TFWD)),2)),((c_TMAP1IN)-(c_TFWD)))+(0)+IF(((c_TMAP1OUT)-(0))&gt;=0,IF(IF(o_WRAP=1,MOD(((c_TMAP1IN)-(c_TFWD))*(((C237)-(c_TFWD))*((c_TMAP1OUT)-(0))+IF(((c_TMAP1OUT)-(0))&gt;=0,1,-1)*QUOTIENT(((c_TMAP1IN)-(c_TFWD)),2))+2147483648,4294967296)-2147483648,((c_TMAP1IN)-(c_TFWD))*(((C237)-(c_TFWD))*((c_TMAP1OUT)-(0))+IF(((c_TMAP1OUT)-(0))&gt;=0,1,-1)*QUOTIENT(((c_TMAP1IN)-(c_TFWD)),2)))&lt;0,-1,0),IF(IF(o_WRAP=1,MOD(((c_TMAP1IN)-(c_TFWD))*(((C237)-(c_TFWD))*((c_TMAP1OUT)-(0))+IF(((c_TMAP1OUT)-(0))&gt;=0,1,-1)*QUOTIENT(((c_TMAP1IN)-(c_TFWD)),2))+2147483648,4294967296)-2147483648,((c_TMAP1IN)-(c_TFWD))*(((C237)-(c_TFWD))*((c_TMAP1OUT)-(0))+IF(((c_TMAP1OUT)-(0))&gt;=0,1,-1)*QUOTIENT(((c_TMAP1IN)-(c_TFWD)),2)))&gt;=0,1,0)))</f>
        <v>292</v>
      </c>
      <c r="F237" s="7" t="n">
        <f aca="false">IF(((c_TMAP2IN)-(c_TMAP1IN))=0,(c_TMAP1OUT)+QUOTIENT(((c_TMAP2OUT)-(c_TMAP1OUT)),2),QUOTIENT((((C237)-(c_TMAP1IN))*((c_TMAP2OUT)-(c_TMAP1OUT))+IF(((c_TMAP2OUT)-(c_TMAP1OUT))&gt;=0,1,-1)*QUOTIENT(((c_TMAP2IN)-(c_TMAP1IN)),2)),((c_TMAP2IN)-(c_TMAP1IN)))+(c_TMAP1OUT)+IF(((c_TMAP2OUT)-(c_TMAP1OUT))&gt;=0,IF(IF(o_WRAP=1,MOD(((c_TMAP2IN)-(c_TMAP1IN))*(((C237)-(c_TMAP1IN))*((c_TMAP2OUT)-(c_TMAP1OUT))+IF(((c_TMAP2OUT)-(c_TMAP1OUT))&gt;=0,1,-1)*QUOTIENT(((c_TMAP2IN)-(c_TMAP1IN)),2))+2147483648,4294967296)-2147483648,((c_TMAP2IN)-(c_TMAP1IN))*(((C237)-(c_TMAP1IN))*((c_TMAP2OUT)-(c_TMAP1OUT))+IF(((c_TMAP2OUT)-(c_TMAP1OUT))&gt;=0,1,-1)*QUOTIENT(((c_TMAP2IN)-(c_TMAP1IN)),2)))&lt;0,-1,0),IF(IF(o_WRAP=1,MOD(((c_TMAP2IN)-(c_TMAP1IN))*(((C237)-(c_TMAP1IN))*((c_TMAP2OUT)-(c_TMAP1OUT))+IF(((c_TMAP2OUT)-(c_TMAP1OUT))&gt;=0,1,-1)*QUOTIENT(((c_TMAP2IN)-(c_TMAP1IN)),2))+2147483648,4294967296)-2147483648,((c_TMAP2IN)-(c_TMAP1IN))*(((C237)-(c_TMAP1IN))*((c_TMAP2OUT)-(c_TMAP1OUT))+IF(((c_TMAP2OUT)-(c_TMAP1OUT))&gt;=0,1,-1)*QUOTIENT(((c_TMAP2IN)-(c_TMAP1IN)),2)))&gt;=0,1,0)))</f>
        <v>184</v>
      </c>
      <c r="G237" s="7" t="n">
        <f aca="false">IF(((c_TMAP3IN)-(c_TMAP2IN))=0,(c_TMAP2OUT)+QUOTIENT(((c_TMAP3OUT)-(c_TMAP2OUT)),2),QUOTIENT((((C237)-(c_TMAP2IN))*((c_TMAP3OUT)-(c_TMAP2OUT))+IF(((c_TMAP3OUT)-(c_TMAP2OUT))&gt;=0,1,-1)*QUOTIENT(((c_TMAP3IN)-(c_TMAP2IN)),2)),((c_TMAP3IN)-(c_TMAP2IN)))+(c_TMAP2OUT)+IF(((c_TMAP3OUT)-(c_TMAP2OUT))&gt;=0,IF(IF(o_WRAP=1,MOD(((c_TMAP3IN)-(c_TMAP2IN))*(((C237)-(c_TMAP2IN))*((c_TMAP3OUT)-(c_TMAP2OUT))+IF(((c_TMAP3OUT)-(c_TMAP2OUT))&gt;=0,1,-1)*QUOTIENT(((c_TMAP3IN)-(c_TMAP2IN)),2))+2147483648,4294967296)-2147483648,((c_TMAP3IN)-(c_TMAP2IN))*(((C237)-(c_TMAP2IN))*((c_TMAP3OUT)-(c_TMAP2OUT))+IF(((c_TMAP3OUT)-(c_TMAP2OUT))&gt;=0,1,-1)*QUOTIENT(((c_TMAP3IN)-(c_TMAP2IN)),2)))&lt;0,-1,0),IF(IF(o_WRAP=1,MOD(((c_TMAP3IN)-(c_TMAP2IN))*(((C237)-(c_TMAP2IN))*((c_TMAP3OUT)-(c_TMAP2OUT))+IF(((c_TMAP3OUT)-(c_TMAP2OUT))&gt;=0,1,-1)*QUOTIENT(((c_TMAP3IN)-(c_TMAP2IN)),2))+2147483648,4294967296)-2147483648,((c_TMAP3IN)-(c_TMAP2IN))*(((C237)-(c_TMAP2IN))*((c_TMAP3OUT)-(c_TMAP2OUT))+IF(((c_TMAP3OUT)-(c_TMAP2OUT))&gt;=0,1,-1)*QUOTIENT(((c_TMAP3IN)-(c_TMAP2IN)),2)))&gt;=0,1,0)))</f>
        <v>225</v>
      </c>
      <c r="H237" s="7" t="n">
        <f aca="false">IF(((1000)-(c_TMAP3IN))=0,(c_TMAP3OUT)+QUOTIENT(((1000)-(c_TMAP3OUT)),2),QUOTIENT((((C237)-(c_TMAP3IN))*((1000)-(c_TMAP3OUT))+IF(((1000)-(c_TMAP3OUT))&gt;=0,1,-1)*QUOTIENT(((1000)-(c_TMAP3IN)),2)),((1000)-(c_TMAP3IN)))+(c_TMAP3OUT)+IF(((1000)-(c_TMAP3OUT))&gt;=0,IF(IF(o_WRAP=1,MOD(((1000)-(c_TMAP3IN))*(((C237)-(c_TMAP3IN))*((1000)-(c_TMAP3OUT))+IF(((1000)-(c_TMAP3OUT))&gt;=0,1,-1)*QUOTIENT(((1000)-(c_TMAP3IN)),2))+2147483648,4294967296)-2147483648,((1000)-(c_TMAP3IN))*(((C237)-(c_TMAP3IN))*((1000)-(c_TMAP3OUT))+IF(((1000)-(c_TMAP3OUT))&gt;=0,1,-1)*QUOTIENT(((1000)-(c_TMAP3IN)),2)))&lt;0,-1,0),IF(IF(o_WRAP=1,MOD(((1000)-(c_TMAP3IN))*(((C237)-(c_TMAP3IN))*((1000)-(c_TMAP3OUT))+IF(((1000)-(c_TMAP3OUT))&gt;=0,1,-1)*QUOTIENT(((1000)-(c_TMAP3IN)),2))+2147483648,4294967296)-2147483648,((1000)-(c_TMAP3IN))*(((C237)-(c_TMAP3IN))*((1000)-(c_TMAP3OUT))+IF(((1000)-(c_TMAP3OUT))&gt;=0,1,-1)*QUOTIENT(((1000)-(c_TMAP3IN)),2)))&gt;=0,1,0)))</f>
        <v>243</v>
      </c>
      <c r="I237" s="7" t="n">
        <f aca="false">IF(C237&gt;=c_TFWD,IF(AND(C237&gt;=c_TMAP3IN,c_TMAP3IN&lt;1000),H237,IF(AND(C237&gt;=c_TMAP2IN,c_TMAP3IN&gt;c_TMAP2IN),G237,IF(AND(C237&gt;=c_TMAP1IN,c_TMAP2IN&gt;c_TMAP1IN),F237,E237))),D237)</f>
        <v>243</v>
      </c>
      <c r="J237" s="7" t="str">
        <f aca="false">IF(I237&lt;-1090,"TOO LOW",IF(I237&gt;1090,"TOO HIGH",""))</f>
        <v/>
      </c>
      <c r="K237" s="7" t="n">
        <f aca="false">IF(J237&lt;&gt;"",0,IF(I237&gt;979,1000,I237))</f>
        <v>243</v>
      </c>
      <c r="L237" s="7" t="n">
        <f aca="false">IF(OR(c_TSMOOTH=0,K237&gt;=c_TSMOOTHCUT),1,0)</f>
        <v>0</v>
      </c>
      <c r="M237" s="7" t="n">
        <f aca="false">IF(L237=1,0,M236+1)</f>
        <v>151</v>
      </c>
      <c r="N237" s="7" t="n">
        <f aca="false">IF(L237=1,0,MIN(M237,c_TSMOOTH))</f>
        <v>30</v>
      </c>
      <c r="O237" s="7" t="n">
        <f aca="false">IF(COUNTIF($L$5:L237,1)&gt;0,c_TSMOOTHCUT,0)</f>
        <v>400</v>
      </c>
      <c r="P237" s="15" t="n">
        <f aca="true">IF(L237=1,K237,QUOTIENT(SUM(OFFSET(K237,1-N237,0,N237,1))+(c_TSMOOTH-N237)*O237,c_TSMOOTH))</f>
        <v>304</v>
      </c>
      <c r="Q237" s="7" t="n">
        <f aca="false">K237/10</f>
        <v>24.3</v>
      </c>
      <c r="R237" s="7" t="n">
        <f aca="false">P237/10</f>
        <v>30.4</v>
      </c>
    </row>
    <row r="238" customFormat="false" ht="15" hidden="false" customHeight="false" outlineLevel="0" collapsed="false">
      <c r="A238" s="7" t="n">
        <v>233</v>
      </c>
      <c r="B238" s="7" t="n">
        <f aca="false">A238*0.04</f>
        <v>9.32</v>
      </c>
      <c r="C238" s="18" t="n">
        <v>380</v>
      </c>
      <c r="D238" s="7" t="n">
        <f aca="false">IF(AND(C238=0,c_TCREEP&gt;0),10*c_TCREEP,IF(AND(C238&lt;=c_TRNGMIN,C238&gt;=c_TRNGMAX,c_TRNGMIN-c_TRNGMAX&lt;&gt;0),-10*c_TMINRN+QUOTIENT((c_TMAXRN-c_TMINRN)*(100-QUOTIENT((C238-c_TRNGMAX)*100,c_TRNGMIN-c_TRNGMAX)),-10),0))</f>
        <v>0</v>
      </c>
      <c r="E238" s="7" t="n">
        <f aca="false">IF(((c_TMAP1IN)-(c_TFWD))=0,(0)+QUOTIENT(((c_TMAP1OUT)-(0)),2),QUOTIENT((((C238)-(c_TFWD))*((c_TMAP1OUT)-(0))+IF(((c_TMAP1OUT)-(0))&gt;=0,1,-1)*QUOTIENT(((c_TMAP1IN)-(c_TFWD)),2)),((c_TMAP1IN)-(c_TFWD)))+(0)+IF(((c_TMAP1OUT)-(0))&gt;=0,IF(IF(o_WRAP=1,MOD(((c_TMAP1IN)-(c_TFWD))*(((C238)-(c_TFWD))*((c_TMAP1OUT)-(0))+IF(((c_TMAP1OUT)-(0))&gt;=0,1,-1)*QUOTIENT(((c_TMAP1IN)-(c_TFWD)),2))+2147483648,4294967296)-2147483648,((c_TMAP1IN)-(c_TFWD))*(((C238)-(c_TFWD))*((c_TMAP1OUT)-(0))+IF(((c_TMAP1OUT)-(0))&gt;=0,1,-1)*QUOTIENT(((c_TMAP1IN)-(c_TFWD)),2)))&lt;0,-1,0),IF(IF(o_WRAP=1,MOD(((c_TMAP1IN)-(c_TFWD))*(((C238)-(c_TFWD))*((c_TMAP1OUT)-(0))+IF(((c_TMAP1OUT)-(0))&gt;=0,1,-1)*QUOTIENT(((c_TMAP1IN)-(c_TFWD)),2))+2147483648,4294967296)-2147483648,((c_TMAP1IN)-(c_TFWD))*(((C238)-(c_TFWD))*((c_TMAP1OUT)-(0))+IF(((c_TMAP1OUT)-(0))&gt;=0,1,-1)*QUOTIENT(((c_TMAP1IN)-(c_TFWD)),2)))&gt;=0,1,0)))</f>
        <v>288</v>
      </c>
      <c r="F238" s="7" t="n">
        <f aca="false">IF(((c_TMAP2IN)-(c_TMAP1IN))=0,(c_TMAP1OUT)+QUOTIENT(((c_TMAP2OUT)-(c_TMAP1OUT)),2),QUOTIENT((((C238)-(c_TMAP1IN))*((c_TMAP2OUT)-(c_TMAP1OUT))+IF(((c_TMAP2OUT)-(c_TMAP1OUT))&gt;=0,1,-1)*QUOTIENT(((c_TMAP2IN)-(c_TMAP1IN)),2)),((c_TMAP2IN)-(c_TMAP1IN)))+(c_TMAP1OUT)+IF(((c_TMAP2OUT)-(c_TMAP1OUT))&gt;=0,IF(IF(o_WRAP=1,MOD(((c_TMAP2IN)-(c_TMAP1IN))*(((C238)-(c_TMAP1IN))*((c_TMAP2OUT)-(c_TMAP1OUT))+IF(((c_TMAP2OUT)-(c_TMAP1OUT))&gt;=0,1,-1)*QUOTIENT(((c_TMAP2IN)-(c_TMAP1IN)),2))+2147483648,4294967296)-2147483648,((c_TMAP2IN)-(c_TMAP1IN))*(((C238)-(c_TMAP1IN))*((c_TMAP2OUT)-(c_TMAP1OUT))+IF(((c_TMAP2OUT)-(c_TMAP1OUT))&gt;=0,1,-1)*QUOTIENT(((c_TMAP2IN)-(c_TMAP1IN)),2)))&lt;0,-1,0),IF(IF(o_WRAP=1,MOD(((c_TMAP2IN)-(c_TMAP1IN))*(((C238)-(c_TMAP1IN))*((c_TMAP2OUT)-(c_TMAP1OUT))+IF(((c_TMAP2OUT)-(c_TMAP1OUT))&gt;=0,1,-1)*QUOTIENT(((c_TMAP2IN)-(c_TMAP1IN)),2))+2147483648,4294967296)-2147483648,((c_TMAP2IN)-(c_TMAP1IN))*(((C238)-(c_TMAP1IN))*((c_TMAP2OUT)-(c_TMAP1OUT))+IF(((c_TMAP2OUT)-(c_TMAP1OUT))&gt;=0,1,-1)*QUOTIENT(((c_TMAP2IN)-(c_TMAP1IN)),2)))&gt;=0,1,0)))</f>
        <v>182</v>
      </c>
      <c r="G238" s="7" t="n">
        <f aca="false">IF(((c_TMAP3IN)-(c_TMAP2IN))=0,(c_TMAP2OUT)+QUOTIENT(((c_TMAP3OUT)-(c_TMAP2OUT)),2),QUOTIENT((((C238)-(c_TMAP2IN))*((c_TMAP3OUT)-(c_TMAP2OUT))+IF(((c_TMAP3OUT)-(c_TMAP2OUT))&gt;=0,1,-1)*QUOTIENT(((c_TMAP3IN)-(c_TMAP2IN)),2)),((c_TMAP3IN)-(c_TMAP2IN)))+(c_TMAP2OUT)+IF(((c_TMAP3OUT)-(c_TMAP2OUT))&gt;=0,IF(IF(o_WRAP=1,MOD(((c_TMAP3IN)-(c_TMAP2IN))*(((C238)-(c_TMAP2IN))*((c_TMAP3OUT)-(c_TMAP2OUT))+IF(((c_TMAP3OUT)-(c_TMAP2OUT))&gt;=0,1,-1)*QUOTIENT(((c_TMAP3IN)-(c_TMAP2IN)),2))+2147483648,4294967296)-2147483648,((c_TMAP3IN)-(c_TMAP2IN))*(((C238)-(c_TMAP2IN))*((c_TMAP3OUT)-(c_TMAP2OUT))+IF(((c_TMAP3OUT)-(c_TMAP2OUT))&gt;=0,1,-1)*QUOTIENT(((c_TMAP3IN)-(c_TMAP2IN)),2)))&lt;0,-1,0),IF(IF(o_WRAP=1,MOD(((c_TMAP3IN)-(c_TMAP2IN))*(((C238)-(c_TMAP2IN))*((c_TMAP3OUT)-(c_TMAP2OUT))+IF(((c_TMAP3OUT)-(c_TMAP2OUT))&gt;=0,1,-1)*QUOTIENT(((c_TMAP3IN)-(c_TMAP2IN)),2))+2147483648,4294967296)-2147483648,((c_TMAP3IN)-(c_TMAP2IN))*(((C238)-(c_TMAP2IN))*((c_TMAP3OUT)-(c_TMAP2OUT))+IF(((c_TMAP3OUT)-(c_TMAP2OUT))&gt;=0,1,-1)*QUOTIENT(((c_TMAP3IN)-(c_TMAP2IN)),2)))&gt;=0,1,0)))</f>
        <v>221</v>
      </c>
      <c r="H238" s="7" t="n">
        <f aca="false">IF(((1000)-(c_TMAP3IN))=0,(c_TMAP3OUT)+QUOTIENT(((1000)-(c_TMAP3OUT)),2),QUOTIENT((((C238)-(c_TMAP3IN))*((1000)-(c_TMAP3OUT))+IF(((1000)-(c_TMAP3OUT))&gt;=0,1,-1)*QUOTIENT(((1000)-(c_TMAP3IN)),2)),((1000)-(c_TMAP3IN)))+(c_TMAP3OUT)+IF(((1000)-(c_TMAP3OUT))&gt;=0,IF(IF(o_WRAP=1,MOD(((1000)-(c_TMAP3IN))*(((C238)-(c_TMAP3IN))*((1000)-(c_TMAP3OUT))+IF(((1000)-(c_TMAP3OUT))&gt;=0,1,-1)*QUOTIENT(((1000)-(c_TMAP3IN)),2))+2147483648,4294967296)-2147483648,((1000)-(c_TMAP3IN))*(((C238)-(c_TMAP3IN))*((1000)-(c_TMAP3OUT))+IF(((1000)-(c_TMAP3OUT))&gt;=0,1,-1)*QUOTIENT(((1000)-(c_TMAP3IN)),2)))&lt;0,-1,0),IF(IF(o_WRAP=1,MOD(((1000)-(c_TMAP3IN))*(((C238)-(c_TMAP3IN))*((1000)-(c_TMAP3OUT))+IF(((1000)-(c_TMAP3OUT))&gt;=0,1,-1)*QUOTIENT(((1000)-(c_TMAP3IN)),2))+2147483648,4294967296)-2147483648,((1000)-(c_TMAP3IN))*(((C238)-(c_TMAP3IN))*((1000)-(c_TMAP3OUT))+IF(((1000)-(c_TMAP3OUT))&gt;=0,1,-1)*QUOTIENT(((1000)-(c_TMAP3IN)),2)))&gt;=0,1,0)))</f>
        <v>237</v>
      </c>
      <c r="I238" s="7" t="n">
        <f aca="false">IF(C238&gt;=c_TFWD,IF(AND(C238&gt;=c_TMAP3IN,c_TMAP3IN&lt;1000),H238,IF(AND(C238&gt;=c_TMAP2IN,c_TMAP3IN&gt;c_TMAP2IN),G238,IF(AND(C238&gt;=c_TMAP1IN,c_TMAP2IN&gt;c_TMAP1IN),F238,E238))),D238)</f>
        <v>237</v>
      </c>
      <c r="J238" s="7" t="str">
        <f aca="false">IF(I238&lt;-1090,"TOO LOW",IF(I238&gt;1090,"TOO HIGH",""))</f>
        <v/>
      </c>
      <c r="K238" s="7" t="n">
        <f aca="false">IF(J238&lt;&gt;"",0,IF(I238&gt;979,1000,I238))</f>
        <v>237</v>
      </c>
      <c r="L238" s="7" t="n">
        <f aca="false">IF(OR(c_TSMOOTH=0,K238&gt;=c_TSMOOTHCUT),1,0)</f>
        <v>0</v>
      </c>
      <c r="M238" s="7" t="n">
        <f aca="false">IF(L238=1,0,M237+1)</f>
        <v>152</v>
      </c>
      <c r="N238" s="7" t="n">
        <f aca="false">IF(L238=1,0,MIN(M238,c_TSMOOTH))</f>
        <v>30</v>
      </c>
      <c r="O238" s="7" t="n">
        <f aca="false">IF(COUNTIF($L$5:L238,1)&gt;0,c_TSMOOTHCUT,0)</f>
        <v>400</v>
      </c>
      <c r="P238" s="15" t="n">
        <f aca="true">IF(L238=1,K238,QUOTIENT(SUM(OFFSET(K238,1-N238,0,N238,1))+(c_TSMOOTH-N238)*O238,c_TSMOOTH))</f>
        <v>301</v>
      </c>
      <c r="Q238" s="7" t="n">
        <f aca="false">K238/10</f>
        <v>23.7</v>
      </c>
      <c r="R238" s="7" t="n">
        <f aca="false">P238/10</f>
        <v>30.1</v>
      </c>
    </row>
    <row r="239" customFormat="false" ht="15" hidden="false" customHeight="false" outlineLevel="0" collapsed="false">
      <c r="A239" s="7" t="n">
        <v>234</v>
      </c>
      <c r="B239" s="7" t="n">
        <f aca="false">A239*0.04</f>
        <v>9.36</v>
      </c>
      <c r="C239" s="18" t="n">
        <v>375</v>
      </c>
      <c r="D239" s="7" t="n">
        <f aca="false">IF(AND(C239=0,c_TCREEP&gt;0),10*c_TCREEP,IF(AND(C239&lt;=c_TRNGMIN,C239&gt;=c_TRNGMAX,c_TRNGMIN-c_TRNGMAX&lt;&gt;0),-10*c_TMINRN+QUOTIENT((c_TMAXRN-c_TMINRN)*(100-QUOTIENT((C239-c_TRNGMAX)*100,c_TRNGMIN-c_TRNGMAX)),-10),0))</f>
        <v>0</v>
      </c>
      <c r="E239" s="7" t="n">
        <f aca="false">IF(((c_TMAP1IN)-(c_TFWD))=0,(0)+QUOTIENT(((c_TMAP1OUT)-(0)),2),QUOTIENT((((C239)-(c_TFWD))*((c_TMAP1OUT)-(0))+IF(((c_TMAP1OUT)-(0))&gt;=0,1,-1)*QUOTIENT(((c_TMAP1IN)-(c_TFWD)),2)),((c_TMAP1IN)-(c_TFWD)))+(0)+IF(((c_TMAP1OUT)-(0))&gt;=0,IF(IF(o_WRAP=1,MOD(((c_TMAP1IN)-(c_TFWD))*(((C239)-(c_TFWD))*((c_TMAP1OUT)-(0))+IF(((c_TMAP1OUT)-(0))&gt;=0,1,-1)*QUOTIENT(((c_TMAP1IN)-(c_TFWD)),2))+2147483648,4294967296)-2147483648,((c_TMAP1IN)-(c_TFWD))*(((C239)-(c_TFWD))*((c_TMAP1OUT)-(0))+IF(((c_TMAP1OUT)-(0))&gt;=0,1,-1)*QUOTIENT(((c_TMAP1IN)-(c_TFWD)),2)))&lt;0,-1,0),IF(IF(o_WRAP=1,MOD(((c_TMAP1IN)-(c_TFWD))*(((C239)-(c_TFWD))*((c_TMAP1OUT)-(0))+IF(((c_TMAP1OUT)-(0))&gt;=0,1,-1)*QUOTIENT(((c_TMAP1IN)-(c_TFWD)),2))+2147483648,4294967296)-2147483648,((c_TMAP1IN)-(c_TFWD))*(((C239)-(c_TFWD))*((c_TMAP1OUT)-(0))+IF(((c_TMAP1OUT)-(0))&gt;=0,1,-1)*QUOTIENT(((c_TMAP1IN)-(c_TFWD)),2)))&gt;=0,1,0)))</f>
        <v>284</v>
      </c>
      <c r="F239" s="7" t="n">
        <f aca="false">IF(((c_TMAP2IN)-(c_TMAP1IN))=0,(c_TMAP1OUT)+QUOTIENT(((c_TMAP2OUT)-(c_TMAP1OUT)),2),QUOTIENT((((C239)-(c_TMAP1IN))*((c_TMAP2OUT)-(c_TMAP1OUT))+IF(((c_TMAP2OUT)-(c_TMAP1OUT))&gt;=0,1,-1)*QUOTIENT(((c_TMAP2IN)-(c_TMAP1IN)),2)),((c_TMAP2IN)-(c_TMAP1IN)))+(c_TMAP1OUT)+IF(((c_TMAP2OUT)-(c_TMAP1OUT))&gt;=0,IF(IF(o_WRAP=1,MOD(((c_TMAP2IN)-(c_TMAP1IN))*(((C239)-(c_TMAP1IN))*((c_TMAP2OUT)-(c_TMAP1OUT))+IF(((c_TMAP2OUT)-(c_TMAP1OUT))&gt;=0,1,-1)*QUOTIENT(((c_TMAP2IN)-(c_TMAP1IN)),2))+2147483648,4294967296)-2147483648,((c_TMAP2IN)-(c_TMAP1IN))*(((C239)-(c_TMAP1IN))*((c_TMAP2OUT)-(c_TMAP1OUT))+IF(((c_TMAP2OUT)-(c_TMAP1OUT))&gt;=0,1,-1)*QUOTIENT(((c_TMAP2IN)-(c_TMAP1IN)),2)))&lt;0,-1,0),IF(IF(o_WRAP=1,MOD(((c_TMAP2IN)-(c_TMAP1IN))*(((C239)-(c_TMAP1IN))*((c_TMAP2OUT)-(c_TMAP1OUT))+IF(((c_TMAP2OUT)-(c_TMAP1OUT))&gt;=0,1,-1)*QUOTIENT(((c_TMAP2IN)-(c_TMAP1IN)),2))+2147483648,4294967296)-2147483648,((c_TMAP2IN)-(c_TMAP1IN))*(((C239)-(c_TMAP1IN))*((c_TMAP2OUT)-(c_TMAP1OUT))+IF(((c_TMAP2OUT)-(c_TMAP1OUT))&gt;=0,1,-1)*QUOTIENT(((c_TMAP2IN)-(c_TMAP1IN)),2)))&gt;=0,1,0)))</f>
        <v>180</v>
      </c>
      <c r="G239" s="7" t="n">
        <f aca="false">IF(((c_TMAP3IN)-(c_TMAP2IN))=0,(c_TMAP2OUT)+QUOTIENT(((c_TMAP3OUT)-(c_TMAP2OUT)),2),QUOTIENT((((C239)-(c_TMAP2IN))*((c_TMAP3OUT)-(c_TMAP2OUT))+IF(((c_TMAP3OUT)-(c_TMAP2OUT))&gt;=0,1,-1)*QUOTIENT(((c_TMAP3IN)-(c_TMAP2IN)),2)),((c_TMAP3IN)-(c_TMAP2IN)))+(c_TMAP2OUT)+IF(((c_TMAP3OUT)-(c_TMAP2OUT))&gt;=0,IF(IF(o_WRAP=1,MOD(((c_TMAP3IN)-(c_TMAP2IN))*(((C239)-(c_TMAP2IN))*((c_TMAP3OUT)-(c_TMAP2OUT))+IF(((c_TMAP3OUT)-(c_TMAP2OUT))&gt;=0,1,-1)*QUOTIENT(((c_TMAP3IN)-(c_TMAP2IN)),2))+2147483648,4294967296)-2147483648,((c_TMAP3IN)-(c_TMAP2IN))*(((C239)-(c_TMAP2IN))*((c_TMAP3OUT)-(c_TMAP2OUT))+IF(((c_TMAP3OUT)-(c_TMAP2OUT))&gt;=0,1,-1)*QUOTIENT(((c_TMAP3IN)-(c_TMAP2IN)),2)))&lt;0,-1,0),IF(IF(o_WRAP=1,MOD(((c_TMAP3IN)-(c_TMAP2IN))*(((C239)-(c_TMAP2IN))*((c_TMAP3OUT)-(c_TMAP2OUT))+IF(((c_TMAP3OUT)-(c_TMAP2OUT))&gt;=0,1,-1)*QUOTIENT(((c_TMAP3IN)-(c_TMAP2IN)),2))+2147483648,4294967296)-2147483648,((c_TMAP3IN)-(c_TMAP2IN))*(((C239)-(c_TMAP2IN))*((c_TMAP3OUT)-(c_TMAP2OUT))+IF(((c_TMAP3OUT)-(c_TMAP2OUT))&gt;=0,1,-1)*QUOTIENT(((c_TMAP3IN)-(c_TMAP2IN)),2)))&gt;=0,1,0)))</f>
        <v>218</v>
      </c>
      <c r="H239" s="7" t="n">
        <f aca="false">IF(((1000)-(c_TMAP3IN))=0,(c_TMAP3OUT)+QUOTIENT(((1000)-(c_TMAP3OUT)),2),QUOTIENT((((C239)-(c_TMAP3IN))*((1000)-(c_TMAP3OUT))+IF(((1000)-(c_TMAP3OUT))&gt;=0,1,-1)*QUOTIENT(((1000)-(c_TMAP3IN)),2)),((1000)-(c_TMAP3IN)))+(c_TMAP3OUT)+IF(((1000)-(c_TMAP3OUT))&gt;=0,IF(IF(o_WRAP=1,MOD(((1000)-(c_TMAP3IN))*(((C239)-(c_TMAP3IN))*((1000)-(c_TMAP3OUT))+IF(((1000)-(c_TMAP3OUT))&gt;=0,1,-1)*QUOTIENT(((1000)-(c_TMAP3IN)),2))+2147483648,4294967296)-2147483648,((1000)-(c_TMAP3IN))*(((C239)-(c_TMAP3IN))*((1000)-(c_TMAP3OUT))+IF(((1000)-(c_TMAP3OUT))&gt;=0,1,-1)*QUOTIENT(((1000)-(c_TMAP3IN)),2)))&lt;0,-1,0),IF(IF(o_WRAP=1,MOD(((1000)-(c_TMAP3IN))*(((C239)-(c_TMAP3IN))*((1000)-(c_TMAP3OUT))+IF(((1000)-(c_TMAP3OUT))&gt;=0,1,-1)*QUOTIENT(((1000)-(c_TMAP3IN)),2))+2147483648,4294967296)-2147483648,((1000)-(c_TMAP3IN))*(((C239)-(c_TMAP3IN))*((1000)-(c_TMAP3OUT))+IF(((1000)-(c_TMAP3OUT))&gt;=0,1,-1)*QUOTIENT(((1000)-(c_TMAP3IN)),2)))&gt;=0,1,0)))</f>
        <v>231</v>
      </c>
      <c r="I239" s="7" t="n">
        <f aca="false">IF(C239&gt;=c_TFWD,IF(AND(C239&gt;=c_TMAP3IN,c_TMAP3IN&lt;1000),H239,IF(AND(C239&gt;=c_TMAP2IN,c_TMAP3IN&gt;c_TMAP2IN),G239,IF(AND(C239&gt;=c_TMAP1IN,c_TMAP2IN&gt;c_TMAP1IN),F239,E239))),D239)</f>
        <v>231</v>
      </c>
      <c r="J239" s="7" t="str">
        <f aca="false">IF(I239&lt;-1090,"TOO LOW",IF(I239&gt;1090,"TOO HIGH",""))</f>
        <v/>
      </c>
      <c r="K239" s="7" t="n">
        <f aca="false">IF(J239&lt;&gt;"",0,IF(I239&gt;979,1000,I239))</f>
        <v>231</v>
      </c>
      <c r="L239" s="7" t="n">
        <f aca="false">IF(OR(c_TSMOOTH=0,K239&gt;=c_TSMOOTHCUT),1,0)</f>
        <v>0</v>
      </c>
      <c r="M239" s="7" t="n">
        <f aca="false">IF(L239=1,0,M238+1)</f>
        <v>153</v>
      </c>
      <c r="N239" s="7" t="n">
        <f aca="false">IF(L239=1,0,MIN(M239,c_TSMOOTH))</f>
        <v>30</v>
      </c>
      <c r="O239" s="7" t="n">
        <f aca="false">IF(COUNTIF($L$5:L239,1)&gt;0,c_TSMOOTHCUT,0)</f>
        <v>400</v>
      </c>
      <c r="P239" s="15" t="n">
        <f aca="true">IF(L239=1,K239,QUOTIENT(SUM(OFFSET(K239,1-N239,0,N239,1))+(c_TSMOOTH-N239)*O239,c_TSMOOTH))</f>
        <v>298</v>
      </c>
      <c r="Q239" s="7" t="n">
        <f aca="false">K239/10</f>
        <v>23.1</v>
      </c>
      <c r="R239" s="7" t="n">
        <f aca="false">P239/10</f>
        <v>29.8</v>
      </c>
    </row>
    <row r="240" customFormat="false" ht="15" hidden="false" customHeight="false" outlineLevel="0" collapsed="false">
      <c r="A240" s="7" t="n">
        <v>235</v>
      </c>
      <c r="B240" s="7" t="n">
        <f aca="false">A240*0.04</f>
        <v>9.4</v>
      </c>
      <c r="C240" s="18" t="n">
        <v>370</v>
      </c>
      <c r="D240" s="7" t="n">
        <f aca="false">IF(AND(C240=0,c_TCREEP&gt;0),10*c_TCREEP,IF(AND(C240&lt;=c_TRNGMIN,C240&gt;=c_TRNGMAX,c_TRNGMIN-c_TRNGMAX&lt;&gt;0),-10*c_TMINRN+QUOTIENT((c_TMAXRN-c_TMINRN)*(100-QUOTIENT((C240-c_TRNGMAX)*100,c_TRNGMIN-c_TRNGMAX)),-10),0))</f>
        <v>0</v>
      </c>
      <c r="E240" s="7" t="n">
        <f aca="false">IF(((c_TMAP1IN)-(c_TFWD))=0,(0)+QUOTIENT(((c_TMAP1OUT)-(0)),2),QUOTIENT((((C240)-(c_TFWD))*((c_TMAP1OUT)-(0))+IF(((c_TMAP1OUT)-(0))&gt;=0,1,-1)*QUOTIENT(((c_TMAP1IN)-(c_TFWD)),2)),((c_TMAP1IN)-(c_TFWD)))+(0)+IF(((c_TMAP1OUT)-(0))&gt;=0,IF(IF(o_WRAP=1,MOD(((c_TMAP1IN)-(c_TFWD))*(((C240)-(c_TFWD))*((c_TMAP1OUT)-(0))+IF(((c_TMAP1OUT)-(0))&gt;=0,1,-1)*QUOTIENT(((c_TMAP1IN)-(c_TFWD)),2))+2147483648,4294967296)-2147483648,((c_TMAP1IN)-(c_TFWD))*(((C240)-(c_TFWD))*((c_TMAP1OUT)-(0))+IF(((c_TMAP1OUT)-(0))&gt;=0,1,-1)*QUOTIENT(((c_TMAP1IN)-(c_TFWD)),2)))&lt;0,-1,0),IF(IF(o_WRAP=1,MOD(((c_TMAP1IN)-(c_TFWD))*(((C240)-(c_TFWD))*((c_TMAP1OUT)-(0))+IF(((c_TMAP1OUT)-(0))&gt;=0,1,-1)*QUOTIENT(((c_TMAP1IN)-(c_TFWD)),2))+2147483648,4294967296)-2147483648,((c_TMAP1IN)-(c_TFWD))*(((C240)-(c_TFWD))*((c_TMAP1OUT)-(0))+IF(((c_TMAP1OUT)-(0))&gt;=0,1,-1)*QUOTIENT(((c_TMAP1IN)-(c_TFWD)),2)))&gt;=0,1,0)))</f>
        <v>280</v>
      </c>
      <c r="F240" s="7" t="n">
        <f aca="false">IF(((c_TMAP2IN)-(c_TMAP1IN))=0,(c_TMAP1OUT)+QUOTIENT(((c_TMAP2OUT)-(c_TMAP1OUT)),2),QUOTIENT((((C240)-(c_TMAP1IN))*((c_TMAP2OUT)-(c_TMAP1OUT))+IF(((c_TMAP2OUT)-(c_TMAP1OUT))&gt;=0,1,-1)*QUOTIENT(((c_TMAP2IN)-(c_TMAP1IN)),2)),((c_TMAP2IN)-(c_TMAP1IN)))+(c_TMAP1OUT)+IF(((c_TMAP2OUT)-(c_TMAP1OUT))&gt;=0,IF(IF(o_WRAP=1,MOD(((c_TMAP2IN)-(c_TMAP1IN))*(((C240)-(c_TMAP1IN))*((c_TMAP2OUT)-(c_TMAP1OUT))+IF(((c_TMAP2OUT)-(c_TMAP1OUT))&gt;=0,1,-1)*QUOTIENT(((c_TMAP2IN)-(c_TMAP1IN)),2))+2147483648,4294967296)-2147483648,((c_TMAP2IN)-(c_TMAP1IN))*(((C240)-(c_TMAP1IN))*((c_TMAP2OUT)-(c_TMAP1OUT))+IF(((c_TMAP2OUT)-(c_TMAP1OUT))&gt;=0,1,-1)*QUOTIENT(((c_TMAP2IN)-(c_TMAP1IN)),2)))&lt;0,-1,0),IF(IF(o_WRAP=1,MOD(((c_TMAP2IN)-(c_TMAP1IN))*(((C240)-(c_TMAP1IN))*((c_TMAP2OUT)-(c_TMAP1OUT))+IF(((c_TMAP2OUT)-(c_TMAP1OUT))&gt;=0,1,-1)*QUOTIENT(((c_TMAP2IN)-(c_TMAP1IN)),2))+2147483648,4294967296)-2147483648,((c_TMAP2IN)-(c_TMAP1IN))*(((C240)-(c_TMAP1IN))*((c_TMAP2OUT)-(c_TMAP1OUT))+IF(((c_TMAP2OUT)-(c_TMAP1OUT))&gt;=0,1,-1)*QUOTIENT(((c_TMAP2IN)-(c_TMAP1IN)),2)))&gt;=0,1,0)))</f>
        <v>178</v>
      </c>
      <c r="G240" s="7" t="n">
        <f aca="false">IF(((c_TMAP3IN)-(c_TMAP2IN))=0,(c_TMAP2OUT)+QUOTIENT(((c_TMAP3OUT)-(c_TMAP2OUT)),2),QUOTIENT((((C240)-(c_TMAP2IN))*((c_TMAP3OUT)-(c_TMAP2OUT))+IF(((c_TMAP3OUT)-(c_TMAP2OUT))&gt;=0,1,-1)*QUOTIENT(((c_TMAP3IN)-(c_TMAP2IN)),2)),((c_TMAP3IN)-(c_TMAP2IN)))+(c_TMAP2OUT)+IF(((c_TMAP3OUT)-(c_TMAP2OUT))&gt;=0,IF(IF(o_WRAP=1,MOD(((c_TMAP3IN)-(c_TMAP2IN))*(((C240)-(c_TMAP2IN))*((c_TMAP3OUT)-(c_TMAP2OUT))+IF(((c_TMAP3OUT)-(c_TMAP2OUT))&gt;=0,1,-1)*QUOTIENT(((c_TMAP3IN)-(c_TMAP2IN)),2))+2147483648,4294967296)-2147483648,((c_TMAP3IN)-(c_TMAP2IN))*(((C240)-(c_TMAP2IN))*((c_TMAP3OUT)-(c_TMAP2OUT))+IF(((c_TMAP3OUT)-(c_TMAP2OUT))&gt;=0,1,-1)*QUOTIENT(((c_TMAP3IN)-(c_TMAP2IN)),2)))&lt;0,-1,0),IF(IF(o_WRAP=1,MOD(((c_TMAP3IN)-(c_TMAP2IN))*(((C240)-(c_TMAP2IN))*((c_TMAP3OUT)-(c_TMAP2OUT))+IF(((c_TMAP3OUT)-(c_TMAP2OUT))&gt;=0,1,-1)*QUOTIENT(((c_TMAP3IN)-(c_TMAP2IN)),2))+2147483648,4294967296)-2147483648,((c_TMAP3IN)-(c_TMAP2IN))*(((C240)-(c_TMAP2IN))*((c_TMAP3OUT)-(c_TMAP2OUT))+IF(((c_TMAP3OUT)-(c_TMAP2OUT))&gt;=0,1,-1)*QUOTIENT(((c_TMAP3IN)-(c_TMAP2IN)),2)))&gt;=0,1,0)))</f>
        <v>214</v>
      </c>
      <c r="H240" s="7" t="n">
        <f aca="false">IF(((1000)-(c_TMAP3IN))=0,(c_TMAP3OUT)+QUOTIENT(((1000)-(c_TMAP3OUT)),2),QUOTIENT((((C240)-(c_TMAP3IN))*((1000)-(c_TMAP3OUT))+IF(((1000)-(c_TMAP3OUT))&gt;=0,1,-1)*QUOTIENT(((1000)-(c_TMAP3IN)),2)),((1000)-(c_TMAP3IN)))+(c_TMAP3OUT)+IF(((1000)-(c_TMAP3OUT))&gt;=0,IF(IF(o_WRAP=1,MOD(((1000)-(c_TMAP3IN))*(((C240)-(c_TMAP3IN))*((1000)-(c_TMAP3OUT))+IF(((1000)-(c_TMAP3OUT))&gt;=0,1,-1)*QUOTIENT(((1000)-(c_TMAP3IN)),2))+2147483648,4294967296)-2147483648,((1000)-(c_TMAP3IN))*(((C240)-(c_TMAP3IN))*((1000)-(c_TMAP3OUT))+IF(((1000)-(c_TMAP3OUT))&gt;=0,1,-1)*QUOTIENT(((1000)-(c_TMAP3IN)),2)))&lt;0,-1,0),IF(IF(o_WRAP=1,MOD(((1000)-(c_TMAP3IN))*(((C240)-(c_TMAP3IN))*((1000)-(c_TMAP3OUT))+IF(((1000)-(c_TMAP3OUT))&gt;=0,1,-1)*QUOTIENT(((1000)-(c_TMAP3IN)),2))+2147483648,4294967296)-2147483648,((1000)-(c_TMAP3IN))*(((C240)-(c_TMAP3IN))*((1000)-(c_TMAP3OUT))+IF(((1000)-(c_TMAP3OUT))&gt;=0,1,-1)*QUOTIENT(((1000)-(c_TMAP3IN)),2)))&gt;=0,1,0)))</f>
        <v>225</v>
      </c>
      <c r="I240" s="7" t="n">
        <f aca="false">IF(C240&gt;=c_TFWD,IF(AND(C240&gt;=c_TMAP3IN,c_TMAP3IN&lt;1000),H240,IF(AND(C240&gt;=c_TMAP2IN,c_TMAP3IN&gt;c_TMAP2IN),G240,IF(AND(C240&gt;=c_TMAP1IN,c_TMAP2IN&gt;c_TMAP1IN),F240,E240))),D240)</f>
        <v>225</v>
      </c>
      <c r="J240" s="7" t="str">
        <f aca="false">IF(I240&lt;-1090,"TOO LOW",IF(I240&gt;1090,"TOO HIGH",""))</f>
        <v/>
      </c>
      <c r="K240" s="7" t="n">
        <f aca="false">IF(J240&lt;&gt;"",0,IF(I240&gt;979,1000,I240))</f>
        <v>225</v>
      </c>
      <c r="L240" s="7" t="n">
        <f aca="false">IF(OR(c_TSMOOTH=0,K240&gt;=c_TSMOOTHCUT),1,0)</f>
        <v>0</v>
      </c>
      <c r="M240" s="7" t="n">
        <f aca="false">IF(L240=1,0,M239+1)</f>
        <v>154</v>
      </c>
      <c r="N240" s="7" t="n">
        <f aca="false">IF(L240=1,0,MIN(M240,c_TSMOOTH))</f>
        <v>30</v>
      </c>
      <c r="O240" s="7" t="n">
        <f aca="false">IF(COUNTIF($L$5:L240,1)&gt;0,c_TSMOOTHCUT,0)</f>
        <v>400</v>
      </c>
      <c r="P240" s="15" t="n">
        <f aca="true">IF(L240=1,K240,QUOTIENT(SUM(OFFSET(K240,1-N240,0,N240,1))+(c_TSMOOTH-N240)*O240,c_TSMOOTH))</f>
        <v>295</v>
      </c>
      <c r="Q240" s="7" t="n">
        <f aca="false">K240/10</f>
        <v>22.5</v>
      </c>
      <c r="R240" s="7" t="n">
        <f aca="false">P240/10</f>
        <v>29.5</v>
      </c>
    </row>
    <row r="241" customFormat="false" ht="15" hidden="false" customHeight="false" outlineLevel="0" collapsed="false">
      <c r="A241" s="7" t="n">
        <v>236</v>
      </c>
      <c r="B241" s="7" t="n">
        <f aca="false">A241*0.04</f>
        <v>9.44</v>
      </c>
      <c r="C241" s="18" t="n">
        <v>365</v>
      </c>
      <c r="D241" s="7" t="n">
        <f aca="false">IF(AND(C241=0,c_TCREEP&gt;0),10*c_TCREEP,IF(AND(C241&lt;=c_TRNGMIN,C241&gt;=c_TRNGMAX,c_TRNGMIN-c_TRNGMAX&lt;&gt;0),-10*c_TMINRN+QUOTIENT((c_TMAXRN-c_TMINRN)*(100-QUOTIENT((C241-c_TRNGMAX)*100,c_TRNGMIN-c_TRNGMAX)),-10),0))</f>
        <v>0</v>
      </c>
      <c r="E241" s="7" t="n">
        <f aca="false">IF(((c_TMAP1IN)-(c_TFWD))=0,(0)+QUOTIENT(((c_TMAP1OUT)-(0)),2),QUOTIENT((((C241)-(c_TFWD))*((c_TMAP1OUT)-(0))+IF(((c_TMAP1OUT)-(0))&gt;=0,1,-1)*QUOTIENT(((c_TMAP1IN)-(c_TFWD)),2)),((c_TMAP1IN)-(c_TFWD)))+(0)+IF(((c_TMAP1OUT)-(0))&gt;=0,IF(IF(o_WRAP=1,MOD(((c_TMAP1IN)-(c_TFWD))*(((C241)-(c_TFWD))*((c_TMAP1OUT)-(0))+IF(((c_TMAP1OUT)-(0))&gt;=0,1,-1)*QUOTIENT(((c_TMAP1IN)-(c_TFWD)),2))+2147483648,4294967296)-2147483648,((c_TMAP1IN)-(c_TFWD))*(((C241)-(c_TFWD))*((c_TMAP1OUT)-(0))+IF(((c_TMAP1OUT)-(0))&gt;=0,1,-1)*QUOTIENT(((c_TMAP1IN)-(c_TFWD)),2)))&lt;0,-1,0),IF(IF(o_WRAP=1,MOD(((c_TMAP1IN)-(c_TFWD))*(((C241)-(c_TFWD))*((c_TMAP1OUT)-(0))+IF(((c_TMAP1OUT)-(0))&gt;=0,1,-1)*QUOTIENT(((c_TMAP1IN)-(c_TFWD)),2))+2147483648,4294967296)-2147483648,((c_TMAP1IN)-(c_TFWD))*(((C241)-(c_TFWD))*((c_TMAP1OUT)-(0))+IF(((c_TMAP1OUT)-(0))&gt;=0,1,-1)*QUOTIENT(((c_TMAP1IN)-(c_TFWD)),2)))&gt;=0,1,0)))</f>
        <v>276</v>
      </c>
      <c r="F241" s="7" t="n">
        <f aca="false">IF(((c_TMAP2IN)-(c_TMAP1IN))=0,(c_TMAP1OUT)+QUOTIENT(((c_TMAP2OUT)-(c_TMAP1OUT)),2),QUOTIENT((((C241)-(c_TMAP1IN))*((c_TMAP2OUT)-(c_TMAP1OUT))+IF(((c_TMAP2OUT)-(c_TMAP1OUT))&gt;=0,1,-1)*QUOTIENT(((c_TMAP2IN)-(c_TMAP1IN)),2)),((c_TMAP2IN)-(c_TMAP1IN)))+(c_TMAP1OUT)+IF(((c_TMAP2OUT)-(c_TMAP1OUT))&gt;=0,IF(IF(o_WRAP=1,MOD(((c_TMAP2IN)-(c_TMAP1IN))*(((C241)-(c_TMAP1IN))*((c_TMAP2OUT)-(c_TMAP1OUT))+IF(((c_TMAP2OUT)-(c_TMAP1OUT))&gt;=0,1,-1)*QUOTIENT(((c_TMAP2IN)-(c_TMAP1IN)),2))+2147483648,4294967296)-2147483648,((c_TMAP2IN)-(c_TMAP1IN))*(((C241)-(c_TMAP1IN))*((c_TMAP2OUT)-(c_TMAP1OUT))+IF(((c_TMAP2OUT)-(c_TMAP1OUT))&gt;=0,1,-1)*QUOTIENT(((c_TMAP2IN)-(c_TMAP1IN)),2)))&lt;0,-1,0),IF(IF(o_WRAP=1,MOD(((c_TMAP2IN)-(c_TMAP1IN))*(((C241)-(c_TMAP1IN))*((c_TMAP2OUT)-(c_TMAP1OUT))+IF(((c_TMAP2OUT)-(c_TMAP1OUT))&gt;=0,1,-1)*QUOTIENT(((c_TMAP2IN)-(c_TMAP1IN)),2))+2147483648,4294967296)-2147483648,((c_TMAP2IN)-(c_TMAP1IN))*(((C241)-(c_TMAP1IN))*((c_TMAP2OUT)-(c_TMAP1OUT))+IF(((c_TMAP2OUT)-(c_TMAP1OUT))&gt;=0,1,-1)*QUOTIENT(((c_TMAP2IN)-(c_TMAP1IN)),2)))&gt;=0,1,0)))</f>
        <v>176</v>
      </c>
      <c r="G241" s="7" t="n">
        <f aca="false">IF(((c_TMAP3IN)-(c_TMAP2IN))=0,(c_TMAP2OUT)+QUOTIENT(((c_TMAP3OUT)-(c_TMAP2OUT)),2),QUOTIENT((((C241)-(c_TMAP2IN))*((c_TMAP3OUT)-(c_TMAP2OUT))+IF(((c_TMAP3OUT)-(c_TMAP2OUT))&gt;=0,1,-1)*QUOTIENT(((c_TMAP3IN)-(c_TMAP2IN)),2)),((c_TMAP3IN)-(c_TMAP2IN)))+(c_TMAP2OUT)+IF(((c_TMAP3OUT)-(c_TMAP2OUT))&gt;=0,IF(IF(o_WRAP=1,MOD(((c_TMAP3IN)-(c_TMAP2IN))*(((C241)-(c_TMAP2IN))*((c_TMAP3OUT)-(c_TMAP2OUT))+IF(((c_TMAP3OUT)-(c_TMAP2OUT))&gt;=0,1,-1)*QUOTIENT(((c_TMAP3IN)-(c_TMAP2IN)),2))+2147483648,4294967296)-2147483648,((c_TMAP3IN)-(c_TMAP2IN))*(((C241)-(c_TMAP2IN))*((c_TMAP3OUT)-(c_TMAP2OUT))+IF(((c_TMAP3OUT)-(c_TMAP2OUT))&gt;=0,1,-1)*QUOTIENT(((c_TMAP3IN)-(c_TMAP2IN)),2)))&lt;0,-1,0),IF(IF(o_WRAP=1,MOD(((c_TMAP3IN)-(c_TMAP2IN))*(((C241)-(c_TMAP2IN))*((c_TMAP3OUT)-(c_TMAP2OUT))+IF(((c_TMAP3OUT)-(c_TMAP2OUT))&gt;=0,1,-1)*QUOTIENT(((c_TMAP3IN)-(c_TMAP2IN)),2))+2147483648,4294967296)-2147483648,((c_TMAP3IN)-(c_TMAP2IN))*(((C241)-(c_TMAP2IN))*((c_TMAP3OUT)-(c_TMAP2OUT))+IF(((c_TMAP3OUT)-(c_TMAP2OUT))&gt;=0,1,-1)*QUOTIENT(((c_TMAP3IN)-(c_TMAP2IN)),2)))&gt;=0,1,0)))</f>
        <v>211</v>
      </c>
      <c r="H241" s="7" t="n">
        <f aca="false">IF(((1000)-(c_TMAP3IN))=0,(c_TMAP3OUT)+QUOTIENT(((1000)-(c_TMAP3OUT)),2),QUOTIENT((((C241)-(c_TMAP3IN))*((1000)-(c_TMAP3OUT))+IF(((1000)-(c_TMAP3OUT))&gt;=0,1,-1)*QUOTIENT(((1000)-(c_TMAP3IN)),2)),((1000)-(c_TMAP3IN)))+(c_TMAP3OUT)+IF(((1000)-(c_TMAP3OUT))&gt;=0,IF(IF(o_WRAP=1,MOD(((1000)-(c_TMAP3IN))*(((C241)-(c_TMAP3IN))*((1000)-(c_TMAP3OUT))+IF(((1000)-(c_TMAP3OUT))&gt;=0,1,-1)*QUOTIENT(((1000)-(c_TMAP3IN)),2))+2147483648,4294967296)-2147483648,((1000)-(c_TMAP3IN))*(((C241)-(c_TMAP3IN))*((1000)-(c_TMAP3OUT))+IF(((1000)-(c_TMAP3OUT))&gt;=0,1,-1)*QUOTIENT(((1000)-(c_TMAP3IN)),2)))&lt;0,-1,0),IF(IF(o_WRAP=1,MOD(((1000)-(c_TMAP3IN))*(((C241)-(c_TMAP3IN))*((1000)-(c_TMAP3OUT))+IF(((1000)-(c_TMAP3OUT))&gt;=0,1,-1)*QUOTIENT(((1000)-(c_TMAP3IN)),2))+2147483648,4294967296)-2147483648,((1000)-(c_TMAP3IN))*(((C241)-(c_TMAP3IN))*((1000)-(c_TMAP3OUT))+IF(((1000)-(c_TMAP3OUT))&gt;=0,1,-1)*QUOTIENT(((1000)-(c_TMAP3IN)),2)))&gt;=0,1,0)))</f>
        <v>218</v>
      </c>
      <c r="I241" s="7" t="n">
        <f aca="false">IF(C241&gt;=c_TFWD,IF(AND(C241&gt;=c_TMAP3IN,c_TMAP3IN&lt;1000),H241,IF(AND(C241&gt;=c_TMAP2IN,c_TMAP3IN&gt;c_TMAP2IN),G241,IF(AND(C241&gt;=c_TMAP1IN,c_TMAP2IN&gt;c_TMAP1IN),F241,E241))),D241)</f>
        <v>218</v>
      </c>
      <c r="J241" s="7" t="str">
        <f aca="false">IF(I241&lt;-1090,"TOO LOW",IF(I241&gt;1090,"TOO HIGH",""))</f>
        <v/>
      </c>
      <c r="K241" s="7" t="n">
        <f aca="false">IF(J241&lt;&gt;"",0,IF(I241&gt;979,1000,I241))</f>
        <v>218</v>
      </c>
      <c r="L241" s="7" t="n">
        <f aca="false">IF(OR(c_TSMOOTH=0,K241&gt;=c_TSMOOTHCUT),1,0)</f>
        <v>0</v>
      </c>
      <c r="M241" s="7" t="n">
        <f aca="false">IF(L241=1,0,M240+1)</f>
        <v>155</v>
      </c>
      <c r="N241" s="7" t="n">
        <f aca="false">IF(L241=1,0,MIN(M241,c_TSMOOTH))</f>
        <v>30</v>
      </c>
      <c r="O241" s="7" t="n">
        <f aca="false">IF(COUNTIF($L$5:L241,1)&gt;0,c_TSMOOTHCUT,0)</f>
        <v>400</v>
      </c>
      <c r="P241" s="15" t="n">
        <f aca="true">IF(L241=1,K241,QUOTIENT(SUM(OFFSET(K241,1-N241,0,N241,1))+(c_TSMOOTH-N241)*O241,c_TSMOOTH))</f>
        <v>291</v>
      </c>
      <c r="Q241" s="7" t="n">
        <f aca="false">K241/10</f>
        <v>21.8</v>
      </c>
      <c r="R241" s="7" t="n">
        <f aca="false">P241/10</f>
        <v>29.1</v>
      </c>
    </row>
    <row r="242" customFormat="false" ht="15" hidden="false" customHeight="false" outlineLevel="0" collapsed="false">
      <c r="A242" s="7" t="n">
        <v>237</v>
      </c>
      <c r="B242" s="7" t="n">
        <f aca="false">A242*0.04</f>
        <v>9.48</v>
      </c>
      <c r="C242" s="18" t="n">
        <v>360</v>
      </c>
      <c r="D242" s="7" t="n">
        <f aca="false">IF(AND(C242=0,c_TCREEP&gt;0),10*c_TCREEP,IF(AND(C242&lt;=c_TRNGMIN,C242&gt;=c_TRNGMAX,c_TRNGMIN-c_TRNGMAX&lt;&gt;0),-10*c_TMINRN+QUOTIENT((c_TMAXRN-c_TMINRN)*(100-QUOTIENT((C242-c_TRNGMAX)*100,c_TRNGMIN-c_TRNGMAX)),-10),0))</f>
        <v>0</v>
      </c>
      <c r="E242" s="7" t="n">
        <f aca="false">IF(((c_TMAP1IN)-(c_TFWD))=0,(0)+QUOTIENT(((c_TMAP1OUT)-(0)),2),QUOTIENT((((C242)-(c_TFWD))*((c_TMAP1OUT)-(0))+IF(((c_TMAP1OUT)-(0))&gt;=0,1,-1)*QUOTIENT(((c_TMAP1IN)-(c_TFWD)),2)),((c_TMAP1IN)-(c_TFWD)))+(0)+IF(((c_TMAP1OUT)-(0))&gt;=0,IF(IF(o_WRAP=1,MOD(((c_TMAP1IN)-(c_TFWD))*(((C242)-(c_TFWD))*((c_TMAP1OUT)-(0))+IF(((c_TMAP1OUT)-(0))&gt;=0,1,-1)*QUOTIENT(((c_TMAP1IN)-(c_TFWD)),2))+2147483648,4294967296)-2147483648,((c_TMAP1IN)-(c_TFWD))*(((C242)-(c_TFWD))*((c_TMAP1OUT)-(0))+IF(((c_TMAP1OUT)-(0))&gt;=0,1,-1)*QUOTIENT(((c_TMAP1IN)-(c_TFWD)),2)))&lt;0,-1,0),IF(IF(o_WRAP=1,MOD(((c_TMAP1IN)-(c_TFWD))*(((C242)-(c_TFWD))*((c_TMAP1OUT)-(0))+IF(((c_TMAP1OUT)-(0))&gt;=0,1,-1)*QUOTIENT(((c_TMAP1IN)-(c_TFWD)),2))+2147483648,4294967296)-2147483648,((c_TMAP1IN)-(c_TFWD))*(((C242)-(c_TFWD))*((c_TMAP1OUT)-(0))+IF(((c_TMAP1OUT)-(0))&gt;=0,1,-1)*QUOTIENT(((c_TMAP1IN)-(c_TFWD)),2)))&gt;=0,1,0)))</f>
        <v>272</v>
      </c>
      <c r="F242" s="7" t="n">
        <f aca="false">IF(((c_TMAP2IN)-(c_TMAP1IN))=0,(c_TMAP1OUT)+QUOTIENT(((c_TMAP2OUT)-(c_TMAP1OUT)),2),QUOTIENT((((C242)-(c_TMAP1IN))*((c_TMAP2OUT)-(c_TMAP1OUT))+IF(((c_TMAP2OUT)-(c_TMAP1OUT))&gt;=0,1,-1)*QUOTIENT(((c_TMAP2IN)-(c_TMAP1IN)),2)),((c_TMAP2IN)-(c_TMAP1IN)))+(c_TMAP1OUT)+IF(((c_TMAP2OUT)-(c_TMAP1OUT))&gt;=0,IF(IF(o_WRAP=1,MOD(((c_TMAP2IN)-(c_TMAP1IN))*(((C242)-(c_TMAP1IN))*((c_TMAP2OUT)-(c_TMAP1OUT))+IF(((c_TMAP2OUT)-(c_TMAP1OUT))&gt;=0,1,-1)*QUOTIENT(((c_TMAP2IN)-(c_TMAP1IN)),2))+2147483648,4294967296)-2147483648,((c_TMAP2IN)-(c_TMAP1IN))*(((C242)-(c_TMAP1IN))*((c_TMAP2OUT)-(c_TMAP1OUT))+IF(((c_TMAP2OUT)-(c_TMAP1OUT))&gt;=0,1,-1)*QUOTIENT(((c_TMAP2IN)-(c_TMAP1IN)),2)))&lt;0,-1,0),IF(IF(o_WRAP=1,MOD(((c_TMAP2IN)-(c_TMAP1IN))*(((C242)-(c_TMAP1IN))*((c_TMAP2OUT)-(c_TMAP1OUT))+IF(((c_TMAP2OUT)-(c_TMAP1OUT))&gt;=0,1,-1)*QUOTIENT(((c_TMAP2IN)-(c_TMAP1IN)),2))+2147483648,4294967296)-2147483648,((c_TMAP2IN)-(c_TMAP1IN))*(((C242)-(c_TMAP1IN))*((c_TMAP2OUT)-(c_TMAP1OUT))+IF(((c_TMAP2OUT)-(c_TMAP1OUT))&gt;=0,1,-1)*QUOTIENT(((c_TMAP2IN)-(c_TMAP1IN)),2)))&gt;=0,1,0)))</f>
        <v>174</v>
      </c>
      <c r="G242" s="7" t="n">
        <f aca="false">IF(((c_TMAP3IN)-(c_TMAP2IN))=0,(c_TMAP2OUT)+QUOTIENT(((c_TMAP3OUT)-(c_TMAP2OUT)),2),QUOTIENT((((C242)-(c_TMAP2IN))*((c_TMAP3OUT)-(c_TMAP2OUT))+IF(((c_TMAP3OUT)-(c_TMAP2OUT))&gt;=0,1,-1)*QUOTIENT(((c_TMAP3IN)-(c_TMAP2IN)),2)),((c_TMAP3IN)-(c_TMAP2IN)))+(c_TMAP2OUT)+IF(((c_TMAP3OUT)-(c_TMAP2OUT))&gt;=0,IF(IF(o_WRAP=1,MOD(((c_TMAP3IN)-(c_TMAP2IN))*(((C242)-(c_TMAP2IN))*((c_TMAP3OUT)-(c_TMAP2OUT))+IF(((c_TMAP3OUT)-(c_TMAP2OUT))&gt;=0,1,-1)*QUOTIENT(((c_TMAP3IN)-(c_TMAP2IN)),2))+2147483648,4294967296)-2147483648,((c_TMAP3IN)-(c_TMAP2IN))*(((C242)-(c_TMAP2IN))*((c_TMAP3OUT)-(c_TMAP2OUT))+IF(((c_TMAP3OUT)-(c_TMAP2OUT))&gt;=0,1,-1)*QUOTIENT(((c_TMAP3IN)-(c_TMAP2IN)),2)))&lt;0,-1,0),IF(IF(o_WRAP=1,MOD(((c_TMAP3IN)-(c_TMAP2IN))*(((C242)-(c_TMAP2IN))*((c_TMAP3OUT)-(c_TMAP2OUT))+IF(((c_TMAP3OUT)-(c_TMAP2OUT))&gt;=0,1,-1)*QUOTIENT(((c_TMAP3IN)-(c_TMAP2IN)),2))+2147483648,4294967296)-2147483648,((c_TMAP3IN)-(c_TMAP2IN))*(((C242)-(c_TMAP2IN))*((c_TMAP3OUT)-(c_TMAP2OUT))+IF(((c_TMAP3OUT)-(c_TMAP2OUT))&gt;=0,1,-1)*QUOTIENT(((c_TMAP3IN)-(c_TMAP2IN)),2)))&gt;=0,1,0)))</f>
        <v>207</v>
      </c>
      <c r="H242" s="7" t="n">
        <f aca="false">IF(((1000)-(c_TMAP3IN))=0,(c_TMAP3OUT)+QUOTIENT(((1000)-(c_TMAP3OUT)),2),QUOTIENT((((C242)-(c_TMAP3IN))*((1000)-(c_TMAP3OUT))+IF(((1000)-(c_TMAP3OUT))&gt;=0,1,-1)*QUOTIENT(((1000)-(c_TMAP3IN)),2)),((1000)-(c_TMAP3IN)))+(c_TMAP3OUT)+IF(((1000)-(c_TMAP3OUT))&gt;=0,IF(IF(o_WRAP=1,MOD(((1000)-(c_TMAP3IN))*(((C242)-(c_TMAP3IN))*((1000)-(c_TMAP3OUT))+IF(((1000)-(c_TMAP3OUT))&gt;=0,1,-1)*QUOTIENT(((1000)-(c_TMAP3IN)),2))+2147483648,4294967296)-2147483648,((1000)-(c_TMAP3IN))*(((C242)-(c_TMAP3IN))*((1000)-(c_TMAP3OUT))+IF(((1000)-(c_TMAP3OUT))&gt;=0,1,-1)*QUOTIENT(((1000)-(c_TMAP3IN)),2)))&lt;0,-1,0),IF(IF(o_WRAP=1,MOD(((1000)-(c_TMAP3IN))*(((C242)-(c_TMAP3IN))*((1000)-(c_TMAP3OUT))+IF(((1000)-(c_TMAP3OUT))&gt;=0,1,-1)*QUOTIENT(((1000)-(c_TMAP3IN)),2))+2147483648,4294967296)-2147483648,((1000)-(c_TMAP3IN))*(((C242)-(c_TMAP3IN))*((1000)-(c_TMAP3OUT))+IF(((1000)-(c_TMAP3OUT))&gt;=0,1,-1)*QUOTIENT(((1000)-(c_TMAP3IN)),2)))&gt;=0,1,0)))</f>
        <v>212</v>
      </c>
      <c r="I242" s="7" t="n">
        <f aca="false">IF(C242&gt;=c_TFWD,IF(AND(C242&gt;=c_TMAP3IN,c_TMAP3IN&lt;1000),H242,IF(AND(C242&gt;=c_TMAP2IN,c_TMAP3IN&gt;c_TMAP2IN),G242,IF(AND(C242&gt;=c_TMAP1IN,c_TMAP2IN&gt;c_TMAP1IN),F242,E242))),D242)</f>
        <v>212</v>
      </c>
      <c r="J242" s="7" t="str">
        <f aca="false">IF(I242&lt;-1090,"TOO LOW",IF(I242&gt;1090,"TOO HIGH",""))</f>
        <v/>
      </c>
      <c r="K242" s="7" t="n">
        <f aca="false">IF(J242&lt;&gt;"",0,IF(I242&gt;979,1000,I242))</f>
        <v>212</v>
      </c>
      <c r="L242" s="7" t="n">
        <f aca="false">IF(OR(c_TSMOOTH=0,K242&gt;=c_TSMOOTHCUT),1,0)</f>
        <v>0</v>
      </c>
      <c r="M242" s="7" t="n">
        <f aca="false">IF(L242=1,0,M241+1)</f>
        <v>156</v>
      </c>
      <c r="N242" s="7" t="n">
        <f aca="false">IF(L242=1,0,MIN(M242,c_TSMOOTH))</f>
        <v>30</v>
      </c>
      <c r="O242" s="7" t="n">
        <f aca="false">IF(COUNTIF($L$5:L242,1)&gt;0,c_TSMOOTHCUT,0)</f>
        <v>400</v>
      </c>
      <c r="P242" s="15" t="n">
        <f aca="true">IF(L242=1,K242,QUOTIENT(SUM(OFFSET(K242,1-N242,0,N242,1))+(c_TSMOOTH-N242)*O242,c_TSMOOTH))</f>
        <v>287</v>
      </c>
      <c r="Q242" s="7" t="n">
        <f aca="false">K242/10</f>
        <v>21.2</v>
      </c>
      <c r="R242" s="7" t="n">
        <f aca="false">P242/10</f>
        <v>28.7</v>
      </c>
    </row>
    <row r="243" customFormat="false" ht="15" hidden="false" customHeight="false" outlineLevel="0" collapsed="false">
      <c r="A243" s="7" t="n">
        <v>238</v>
      </c>
      <c r="B243" s="7" t="n">
        <f aca="false">A243*0.04</f>
        <v>9.52</v>
      </c>
      <c r="C243" s="18" t="n">
        <v>355</v>
      </c>
      <c r="D243" s="7" t="n">
        <f aca="false">IF(AND(C243=0,c_TCREEP&gt;0),10*c_TCREEP,IF(AND(C243&lt;=c_TRNGMIN,C243&gt;=c_TRNGMAX,c_TRNGMIN-c_TRNGMAX&lt;&gt;0),-10*c_TMINRN+QUOTIENT((c_TMAXRN-c_TMINRN)*(100-QUOTIENT((C243-c_TRNGMAX)*100,c_TRNGMIN-c_TRNGMAX)),-10),0))</f>
        <v>0</v>
      </c>
      <c r="E243" s="7" t="n">
        <f aca="false">IF(((c_TMAP1IN)-(c_TFWD))=0,(0)+QUOTIENT(((c_TMAP1OUT)-(0)),2),QUOTIENT((((C243)-(c_TFWD))*((c_TMAP1OUT)-(0))+IF(((c_TMAP1OUT)-(0))&gt;=0,1,-1)*QUOTIENT(((c_TMAP1IN)-(c_TFWD)),2)),((c_TMAP1IN)-(c_TFWD)))+(0)+IF(((c_TMAP1OUT)-(0))&gt;=0,IF(IF(o_WRAP=1,MOD(((c_TMAP1IN)-(c_TFWD))*(((C243)-(c_TFWD))*((c_TMAP1OUT)-(0))+IF(((c_TMAP1OUT)-(0))&gt;=0,1,-1)*QUOTIENT(((c_TMAP1IN)-(c_TFWD)),2))+2147483648,4294967296)-2147483648,((c_TMAP1IN)-(c_TFWD))*(((C243)-(c_TFWD))*((c_TMAP1OUT)-(0))+IF(((c_TMAP1OUT)-(0))&gt;=0,1,-1)*QUOTIENT(((c_TMAP1IN)-(c_TFWD)),2)))&lt;0,-1,0),IF(IF(o_WRAP=1,MOD(((c_TMAP1IN)-(c_TFWD))*(((C243)-(c_TFWD))*((c_TMAP1OUT)-(0))+IF(((c_TMAP1OUT)-(0))&gt;=0,1,-1)*QUOTIENT(((c_TMAP1IN)-(c_TFWD)),2))+2147483648,4294967296)-2147483648,((c_TMAP1IN)-(c_TFWD))*(((C243)-(c_TFWD))*((c_TMAP1OUT)-(0))+IF(((c_TMAP1OUT)-(0))&gt;=0,1,-1)*QUOTIENT(((c_TMAP1IN)-(c_TFWD)),2)))&gt;=0,1,0)))</f>
        <v>268</v>
      </c>
      <c r="F243" s="7" t="n">
        <f aca="false">IF(((c_TMAP2IN)-(c_TMAP1IN))=0,(c_TMAP1OUT)+QUOTIENT(((c_TMAP2OUT)-(c_TMAP1OUT)),2),QUOTIENT((((C243)-(c_TMAP1IN))*((c_TMAP2OUT)-(c_TMAP1OUT))+IF(((c_TMAP2OUT)-(c_TMAP1OUT))&gt;=0,1,-1)*QUOTIENT(((c_TMAP2IN)-(c_TMAP1IN)),2)),((c_TMAP2IN)-(c_TMAP1IN)))+(c_TMAP1OUT)+IF(((c_TMAP2OUT)-(c_TMAP1OUT))&gt;=0,IF(IF(o_WRAP=1,MOD(((c_TMAP2IN)-(c_TMAP1IN))*(((C243)-(c_TMAP1IN))*((c_TMAP2OUT)-(c_TMAP1OUT))+IF(((c_TMAP2OUT)-(c_TMAP1OUT))&gt;=0,1,-1)*QUOTIENT(((c_TMAP2IN)-(c_TMAP1IN)),2))+2147483648,4294967296)-2147483648,((c_TMAP2IN)-(c_TMAP1IN))*(((C243)-(c_TMAP1IN))*((c_TMAP2OUT)-(c_TMAP1OUT))+IF(((c_TMAP2OUT)-(c_TMAP1OUT))&gt;=0,1,-1)*QUOTIENT(((c_TMAP2IN)-(c_TMAP1IN)),2)))&lt;0,-1,0),IF(IF(o_WRAP=1,MOD(((c_TMAP2IN)-(c_TMAP1IN))*(((C243)-(c_TMAP1IN))*((c_TMAP2OUT)-(c_TMAP1OUT))+IF(((c_TMAP2OUT)-(c_TMAP1OUT))&gt;=0,1,-1)*QUOTIENT(((c_TMAP2IN)-(c_TMAP1IN)),2))+2147483648,4294967296)-2147483648,((c_TMAP2IN)-(c_TMAP1IN))*(((C243)-(c_TMAP1IN))*((c_TMAP2OUT)-(c_TMAP1OUT))+IF(((c_TMAP2OUT)-(c_TMAP1OUT))&gt;=0,1,-1)*QUOTIENT(((c_TMAP2IN)-(c_TMAP1IN)),2)))&gt;=0,1,0)))</f>
        <v>172</v>
      </c>
      <c r="G243" s="7" t="n">
        <f aca="false">IF(((c_TMAP3IN)-(c_TMAP2IN))=0,(c_TMAP2OUT)+QUOTIENT(((c_TMAP3OUT)-(c_TMAP2OUT)),2),QUOTIENT((((C243)-(c_TMAP2IN))*((c_TMAP3OUT)-(c_TMAP2OUT))+IF(((c_TMAP3OUT)-(c_TMAP2OUT))&gt;=0,1,-1)*QUOTIENT(((c_TMAP3IN)-(c_TMAP2IN)),2)),((c_TMAP3IN)-(c_TMAP2IN)))+(c_TMAP2OUT)+IF(((c_TMAP3OUT)-(c_TMAP2OUT))&gt;=0,IF(IF(o_WRAP=1,MOD(((c_TMAP3IN)-(c_TMAP2IN))*(((C243)-(c_TMAP2IN))*((c_TMAP3OUT)-(c_TMAP2OUT))+IF(((c_TMAP3OUT)-(c_TMAP2OUT))&gt;=0,1,-1)*QUOTIENT(((c_TMAP3IN)-(c_TMAP2IN)),2))+2147483648,4294967296)-2147483648,((c_TMAP3IN)-(c_TMAP2IN))*(((C243)-(c_TMAP2IN))*((c_TMAP3OUT)-(c_TMAP2OUT))+IF(((c_TMAP3OUT)-(c_TMAP2OUT))&gt;=0,1,-1)*QUOTIENT(((c_TMAP3IN)-(c_TMAP2IN)),2)))&lt;0,-1,0),IF(IF(o_WRAP=1,MOD(((c_TMAP3IN)-(c_TMAP2IN))*(((C243)-(c_TMAP2IN))*((c_TMAP3OUT)-(c_TMAP2OUT))+IF(((c_TMAP3OUT)-(c_TMAP2OUT))&gt;=0,1,-1)*QUOTIENT(((c_TMAP3IN)-(c_TMAP2IN)),2))+2147483648,4294967296)-2147483648,((c_TMAP3IN)-(c_TMAP2IN))*(((C243)-(c_TMAP2IN))*((c_TMAP3OUT)-(c_TMAP2OUT))+IF(((c_TMAP3OUT)-(c_TMAP2OUT))&gt;=0,1,-1)*QUOTIENT(((c_TMAP3IN)-(c_TMAP2IN)),2)))&gt;=0,1,0)))</f>
        <v>204</v>
      </c>
      <c r="H243" s="7" t="n">
        <f aca="false">IF(((1000)-(c_TMAP3IN))=0,(c_TMAP3OUT)+QUOTIENT(((1000)-(c_TMAP3OUT)),2),QUOTIENT((((C243)-(c_TMAP3IN))*((1000)-(c_TMAP3OUT))+IF(((1000)-(c_TMAP3OUT))&gt;=0,1,-1)*QUOTIENT(((1000)-(c_TMAP3IN)),2)),((1000)-(c_TMAP3IN)))+(c_TMAP3OUT)+IF(((1000)-(c_TMAP3OUT))&gt;=0,IF(IF(o_WRAP=1,MOD(((1000)-(c_TMAP3IN))*(((C243)-(c_TMAP3IN))*((1000)-(c_TMAP3OUT))+IF(((1000)-(c_TMAP3OUT))&gt;=0,1,-1)*QUOTIENT(((1000)-(c_TMAP3IN)),2))+2147483648,4294967296)-2147483648,((1000)-(c_TMAP3IN))*(((C243)-(c_TMAP3IN))*((1000)-(c_TMAP3OUT))+IF(((1000)-(c_TMAP3OUT))&gt;=0,1,-1)*QUOTIENT(((1000)-(c_TMAP3IN)),2)))&lt;0,-1,0),IF(IF(o_WRAP=1,MOD(((1000)-(c_TMAP3IN))*(((C243)-(c_TMAP3IN))*((1000)-(c_TMAP3OUT))+IF(((1000)-(c_TMAP3OUT))&gt;=0,1,-1)*QUOTIENT(((1000)-(c_TMAP3IN)),2))+2147483648,4294967296)-2147483648,((1000)-(c_TMAP3IN))*(((C243)-(c_TMAP3IN))*((1000)-(c_TMAP3OUT))+IF(((1000)-(c_TMAP3OUT))&gt;=0,1,-1)*QUOTIENT(((1000)-(c_TMAP3IN)),2)))&gt;=0,1,0)))</f>
        <v>206</v>
      </c>
      <c r="I243" s="7" t="n">
        <f aca="false">IF(C243&gt;=c_TFWD,IF(AND(C243&gt;=c_TMAP3IN,c_TMAP3IN&lt;1000),H243,IF(AND(C243&gt;=c_TMAP2IN,c_TMAP3IN&gt;c_TMAP2IN),G243,IF(AND(C243&gt;=c_TMAP1IN,c_TMAP2IN&gt;c_TMAP1IN),F243,E243))),D243)</f>
        <v>206</v>
      </c>
      <c r="J243" s="7" t="str">
        <f aca="false">IF(I243&lt;-1090,"TOO LOW",IF(I243&gt;1090,"TOO HIGH",""))</f>
        <v/>
      </c>
      <c r="K243" s="7" t="n">
        <f aca="false">IF(J243&lt;&gt;"",0,IF(I243&gt;979,1000,I243))</f>
        <v>206</v>
      </c>
      <c r="L243" s="7" t="n">
        <f aca="false">IF(OR(c_TSMOOTH=0,K243&gt;=c_TSMOOTHCUT),1,0)</f>
        <v>0</v>
      </c>
      <c r="M243" s="7" t="n">
        <f aca="false">IF(L243=1,0,M242+1)</f>
        <v>157</v>
      </c>
      <c r="N243" s="7" t="n">
        <f aca="false">IF(L243=1,0,MIN(M243,c_TSMOOTH))</f>
        <v>30</v>
      </c>
      <c r="O243" s="7" t="n">
        <f aca="false">IF(COUNTIF($L$5:L243,1)&gt;0,c_TSMOOTHCUT,0)</f>
        <v>400</v>
      </c>
      <c r="P243" s="15" t="n">
        <f aca="true">IF(L243=1,K243,QUOTIENT(SUM(OFFSET(K243,1-N243,0,N243,1))+(c_TSMOOTH-N243)*O243,c_TSMOOTH))</f>
        <v>284</v>
      </c>
      <c r="Q243" s="7" t="n">
        <f aca="false">K243/10</f>
        <v>20.6</v>
      </c>
      <c r="R243" s="7" t="n">
        <f aca="false">P243/10</f>
        <v>28.4</v>
      </c>
    </row>
    <row r="244" customFormat="false" ht="15" hidden="false" customHeight="false" outlineLevel="0" collapsed="false">
      <c r="A244" s="7" t="n">
        <v>239</v>
      </c>
      <c r="B244" s="7" t="n">
        <f aca="false">A244*0.04</f>
        <v>9.56</v>
      </c>
      <c r="C244" s="18" t="n">
        <v>350</v>
      </c>
      <c r="D244" s="7" t="n">
        <f aca="false">IF(AND(C244=0,c_TCREEP&gt;0),10*c_TCREEP,IF(AND(C244&lt;=c_TRNGMIN,C244&gt;=c_TRNGMAX,c_TRNGMIN-c_TRNGMAX&lt;&gt;0),-10*c_TMINRN+QUOTIENT((c_TMAXRN-c_TMINRN)*(100-QUOTIENT((C244-c_TRNGMAX)*100,c_TRNGMIN-c_TRNGMAX)),-10),0))</f>
        <v>0</v>
      </c>
      <c r="E244" s="7" t="n">
        <f aca="false">IF(((c_TMAP1IN)-(c_TFWD))=0,(0)+QUOTIENT(((c_TMAP1OUT)-(0)),2),QUOTIENT((((C244)-(c_TFWD))*((c_TMAP1OUT)-(0))+IF(((c_TMAP1OUT)-(0))&gt;=0,1,-1)*QUOTIENT(((c_TMAP1IN)-(c_TFWD)),2)),((c_TMAP1IN)-(c_TFWD)))+(0)+IF(((c_TMAP1OUT)-(0))&gt;=0,IF(IF(o_WRAP=1,MOD(((c_TMAP1IN)-(c_TFWD))*(((C244)-(c_TFWD))*((c_TMAP1OUT)-(0))+IF(((c_TMAP1OUT)-(0))&gt;=0,1,-1)*QUOTIENT(((c_TMAP1IN)-(c_TFWD)),2))+2147483648,4294967296)-2147483648,((c_TMAP1IN)-(c_TFWD))*(((C244)-(c_TFWD))*((c_TMAP1OUT)-(0))+IF(((c_TMAP1OUT)-(0))&gt;=0,1,-1)*QUOTIENT(((c_TMAP1IN)-(c_TFWD)),2)))&lt;0,-1,0),IF(IF(o_WRAP=1,MOD(((c_TMAP1IN)-(c_TFWD))*(((C244)-(c_TFWD))*((c_TMAP1OUT)-(0))+IF(((c_TMAP1OUT)-(0))&gt;=0,1,-1)*QUOTIENT(((c_TMAP1IN)-(c_TFWD)),2))+2147483648,4294967296)-2147483648,((c_TMAP1IN)-(c_TFWD))*(((C244)-(c_TFWD))*((c_TMAP1OUT)-(0))+IF(((c_TMAP1OUT)-(0))&gt;=0,1,-1)*QUOTIENT(((c_TMAP1IN)-(c_TFWD)),2)))&gt;=0,1,0)))</f>
        <v>264</v>
      </c>
      <c r="F244" s="7" t="n">
        <f aca="false">IF(((c_TMAP2IN)-(c_TMAP1IN))=0,(c_TMAP1OUT)+QUOTIENT(((c_TMAP2OUT)-(c_TMAP1OUT)),2),QUOTIENT((((C244)-(c_TMAP1IN))*((c_TMAP2OUT)-(c_TMAP1OUT))+IF(((c_TMAP2OUT)-(c_TMAP1OUT))&gt;=0,1,-1)*QUOTIENT(((c_TMAP2IN)-(c_TMAP1IN)),2)),((c_TMAP2IN)-(c_TMAP1IN)))+(c_TMAP1OUT)+IF(((c_TMAP2OUT)-(c_TMAP1OUT))&gt;=0,IF(IF(o_WRAP=1,MOD(((c_TMAP2IN)-(c_TMAP1IN))*(((C244)-(c_TMAP1IN))*((c_TMAP2OUT)-(c_TMAP1OUT))+IF(((c_TMAP2OUT)-(c_TMAP1OUT))&gt;=0,1,-1)*QUOTIENT(((c_TMAP2IN)-(c_TMAP1IN)),2))+2147483648,4294967296)-2147483648,((c_TMAP2IN)-(c_TMAP1IN))*(((C244)-(c_TMAP1IN))*((c_TMAP2OUT)-(c_TMAP1OUT))+IF(((c_TMAP2OUT)-(c_TMAP1OUT))&gt;=0,1,-1)*QUOTIENT(((c_TMAP2IN)-(c_TMAP1IN)),2)))&lt;0,-1,0),IF(IF(o_WRAP=1,MOD(((c_TMAP2IN)-(c_TMAP1IN))*(((C244)-(c_TMAP1IN))*((c_TMAP2OUT)-(c_TMAP1OUT))+IF(((c_TMAP2OUT)-(c_TMAP1OUT))&gt;=0,1,-1)*QUOTIENT(((c_TMAP2IN)-(c_TMAP1IN)),2))+2147483648,4294967296)-2147483648,((c_TMAP2IN)-(c_TMAP1IN))*(((C244)-(c_TMAP1IN))*((c_TMAP2OUT)-(c_TMAP1OUT))+IF(((c_TMAP2OUT)-(c_TMAP1OUT))&gt;=0,1,-1)*QUOTIENT(((c_TMAP2IN)-(c_TMAP1IN)),2)))&gt;=0,1,0)))</f>
        <v>170</v>
      </c>
      <c r="G244" s="7" t="n">
        <f aca="false">IF(((c_TMAP3IN)-(c_TMAP2IN))=0,(c_TMAP2OUT)+QUOTIENT(((c_TMAP3OUT)-(c_TMAP2OUT)),2),QUOTIENT((((C244)-(c_TMAP2IN))*((c_TMAP3OUT)-(c_TMAP2OUT))+IF(((c_TMAP3OUT)-(c_TMAP2OUT))&gt;=0,1,-1)*QUOTIENT(((c_TMAP3IN)-(c_TMAP2IN)),2)),((c_TMAP3IN)-(c_TMAP2IN)))+(c_TMAP2OUT)+IF(((c_TMAP3OUT)-(c_TMAP2OUT))&gt;=0,IF(IF(o_WRAP=1,MOD(((c_TMAP3IN)-(c_TMAP2IN))*(((C244)-(c_TMAP2IN))*((c_TMAP3OUT)-(c_TMAP2OUT))+IF(((c_TMAP3OUT)-(c_TMAP2OUT))&gt;=0,1,-1)*QUOTIENT(((c_TMAP3IN)-(c_TMAP2IN)),2))+2147483648,4294967296)-2147483648,((c_TMAP3IN)-(c_TMAP2IN))*(((C244)-(c_TMAP2IN))*((c_TMAP3OUT)-(c_TMAP2OUT))+IF(((c_TMAP3OUT)-(c_TMAP2OUT))&gt;=0,1,-1)*QUOTIENT(((c_TMAP3IN)-(c_TMAP2IN)),2)))&lt;0,-1,0),IF(IF(o_WRAP=1,MOD(((c_TMAP3IN)-(c_TMAP2IN))*(((C244)-(c_TMAP2IN))*((c_TMAP3OUT)-(c_TMAP2OUT))+IF(((c_TMAP3OUT)-(c_TMAP2OUT))&gt;=0,1,-1)*QUOTIENT(((c_TMAP3IN)-(c_TMAP2IN)),2))+2147483648,4294967296)-2147483648,((c_TMAP3IN)-(c_TMAP2IN))*(((C244)-(c_TMAP2IN))*((c_TMAP3OUT)-(c_TMAP2OUT))+IF(((c_TMAP3OUT)-(c_TMAP2OUT))&gt;=0,1,-1)*QUOTIENT(((c_TMAP3IN)-(c_TMAP2IN)),2)))&gt;=0,1,0)))</f>
        <v>200</v>
      </c>
      <c r="H244" s="7" t="n">
        <f aca="false">IF(((1000)-(c_TMAP3IN))=0,(c_TMAP3OUT)+QUOTIENT(((1000)-(c_TMAP3OUT)),2),QUOTIENT((((C244)-(c_TMAP3IN))*((1000)-(c_TMAP3OUT))+IF(((1000)-(c_TMAP3OUT))&gt;=0,1,-1)*QUOTIENT(((1000)-(c_TMAP3IN)),2)),((1000)-(c_TMAP3IN)))+(c_TMAP3OUT)+IF(((1000)-(c_TMAP3OUT))&gt;=0,IF(IF(o_WRAP=1,MOD(((1000)-(c_TMAP3IN))*(((C244)-(c_TMAP3IN))*((1000)-(c_TMAP3OUT))+IF(((1000)-(c_TMAP3OUT))&gt;=0,1,-1)*QUOTIENT(((1000)-(c_TMAP3IN)),2))+2147483648,4294967296)-2147483648,((1000)-(c_TMAP3IN))*(((C244)-(c_TMAP3IN))*((1000)-(c_TMAP3OUT))+IF(((1000)-(c_TMAP3OUT))&gt;=0,1,-1)*QUOTIENT(((1000)-(c_TMAP3IN)),2)))&lt;0,-1,0),IF(IF(o_WRAP=1,MOD(((1000)-(c_TMAP3IN))*(((C244)-(c_TMAP3IN))*((1000)-(c_TMAP3OUT))+IF(((1000)-(c_TMAP3OUT))&gt;=0,1,-1)*QUOTIENT(((1000)-(c_TMAP3IN)),2))+2147483648,4294967296)-2147483648,((1000)-(c_TMAP3IN))*(((C244)-(c_TMAP3IN))*((1000)-(c_TMAP3OUT))+IF(((1000)-(c_TMAP3OUT))&gt;=0,1,-1)*QUOTIENT(((1000)-(c_TMAP3IN)),2)))&gt;=0,1,0)))</f>
        <v>200</v>
      </c>
      <c r="I244" s="7" t="n">
        <f aca="false">IF(C244&gt;=c_TFWD,IF(AND(C244&gt;=c_TMAP3IN,c_TMAP3IN&lt;1000),H244,IF(AND(C244&gt;=c_TMAP2IN,c_TMAP3IN&gt;c_TMAP2IN),G244,IF(AND(C244&gt;=c_TMAP1IN,c_TMAP2IN&gt;c_TMAP1IN),F244,E244))),D244)</f>
        <v>200</v>
      </c>
      <c r="J244" s="7" t="str">
        <f aca="false">IF(I244&lt;-1090,"TOO LOW",IF(I244&gt;1090,"TOO HIGH",""))</f>
        <v/>
      </c>
      <c r="K244" s="7" t="n">
        <f aca="false">IF(J244&lt;&gt;"",0,IF(I244&gt;979,1000,I244))</f>
        <v>200</v>
      </c>
      <c r="L244" s="7" t="n">
        <f aca="false">IF(OR(c_TSMOOTH=0,K244&gt;=c_TSMOOTHCUT),1,0)</f>
        <v>0</v>
      </c>
      <c r="M244" s="7" t="n">
        <f aca="false">IF(L244=1,0,M243+1)</f>
        <v>158</v>
      </c>
      <c r="N244" s="7" t="n">
        <f aca="false">IF(L244=1,0,MIN(M244,c_TSMOOTH))</f>
        <v>30</v>
      </c>
      <c r="O244" s="7" t="n">
        <f aca="false">IF(COUNTIF($L$5:L244,1)&gt;0,c_TSMOOTHCUT,0)</f>
        <v>400</v>
      </c>
      <c r="P244" s="15" t="n">
        <f aca="true">IF(L244=1,K244,QUOTIENT(SUM(OFFSET(K244,1-N244,0,N244,1))+(c_TSMOOTH-N244)*O244,c_TSMOOTH))</f>
        <v>279</v>
      </c>
      <c r="Q244" s="7" t="n">
        <f aca="false">K244/10</f>
        <v>20</v>
      </c>
      <c r="R244" s="7" t="n">
        <f aca="false">P244/10</f>
        <v>27.9</v>
      </c>
    </row>
    <row r="245" customFormat="false" ht="15" hidden="false" customHeight="false" outlineLevel="0" collapsed="false">
      <c r="A245" s="7" t="n">
        <v>240</v>
      </c>
      <c r="B245" s="7" t="n">
        <f aca="false">A245*0.04</f>
        <v>9.6</v>
      </c>
      <c r="C245" s="18" t="n">
        <v>345</v>
      </c>
      <c r="D245" s="7" t="n">
        <f aca="false">IF(AND(C245=0,c_TCREEP&gt;0),10*c_TCREEP,IF(AND(C245&lt;=c_TRNGMIN,C245&gt;=c_TRNGMAX,c_TRNGMIN-c_TRNGMAX&lt;&gt;0),-10*c_TMINRN+QUOTIENT((c_TMAXRN-c_TMINRN)*(100-QUOTIENT((C245-c_TRNGMAX)*100,c_TRNGMIN-c_TRNGMAX)),-10),0))</f>
        <v>0</v>
      </c>
      <c r="E245" s="7" t="n">
        <f aca="false">IF(((c_TMAP1IN)-(c_TFWD))=0,(0)+QUOTIENT(((c_TMAP1OUT)-(0)),2),QUOTIENT((((C245)-(c_TFWD))*((c_TMAP1OUT)-(0))+IF(((c_TMAP1OUT)-(0))&gt;=0,1,-1)*QUOTIENT(((c_TMAP1IN)-(c_TFWD)),2)),((c_TMAP1IN)-(c_TFWD)))+(0)+IF(((c_TMAP1OUT)-(0))&gt;=0,IF(IF(o_WRAP=1,MOD(((c_TMAP1IN)-(c_TFWD))*(((C245)-(c_TFWD))*((c_TMAP1OUT)-(0))+IF(((c_TMAP1OUT)-(0))&gt;=0,1,-1)*QUOTIENT(((c_TMAP1IN)-(c_TFWD)),2))+2147483648,4294967296)-2147483648,((c_TMAP1IN)-(c_TFWD))*(((C245)-(c_TFWD))*((c_TMAP1OUT)-(0))+IF(((c_TMAP1OUT)-(0))&gt;=0,1,-1)*QUOTIENT(((c_TMAP1IN)-(c_TFWD)),2)))&lt;0,-1,0),IF(IF(o_WRAP=1,MOD(((c_TMAP1IN)-(c_TFWD))*(((C245)-(c_TFWD))*((c_TMAP1OUT)-(0))+IF(((c_TMAP1OUT)-(0))&gt;=0,1,-1)*QUOTIENT(((c_TMAP1IN)-(c_TFWD)),2))+2147483648,4294967296)-2147483648,((c_TMAP1IN)-(c_TFWD))*(((C245)-(c_TFWD))*((c_TMAP1OUT)-(0))+IF(((c_TMAP1OUT)-(0))&gt;=0,1,-1)*QUOTIENT(((c_TMAP1IN)-(c_TFWD)),2)))&gt;=0,1,0)))</f>
        <v>261</v>
      </c>
      <c r="F245" s="7" t="n">
        <f aca="false">IF(((c_TMAP2IN)-(c_TMAP1IN))=0,(c_TMAP1OUT)+QUOTIENT(((c_TMAP2OUT)-(c_TMAP1OUT)),2),QUOTIENT((((C245)-(c_TMAP1IN))*((c_TMAP2OUT)-(c_TMAP1OUT))+IF(((c_TMAP2OUT)-(c_TMAP1OUT))&gt;=0,1,-1)*QUOTIENT(((c_TMAP2IN)-(c_TMAP1IN)),2)),((c_TMAP2IN)-(c_TMAP1IN)))+(c_TMAP1OUT)+IF(((c_TMAP2OUT)-(c_TMAP1OUT))&gt;=0,IF(IF(o_WRAP=1,MOD(((c_TMAP2IN)-(c_TMAP1IN))*(((C245)-(c_TMAP1IN))*((c_TMAP2OUT)-(c_TMAP1OUT))+IF(((c_TMAP2OUT)-(c_TMAP1OUT))&gt;=0,1,-1)*QUOTIENT(((c_TMAP2IN)-(c_TMAP1IN)),2))+2147483648,4294967296)-2147483648,((c_TMAP2IN)-(c_TMAP1IN))*(((C245)-(c_TMAP1IN))*((c_TMAP2OUT)-(c_TMAP1OUT))+IF(((c_TMAP2OUT)-(c_TMAP1OUT))&gt;=0,1,-1)*QUOTIENT(((c_TMAP2IN)-(c_TMAP1IN)),2)))&lt;0,-1,0),IF(IF(o_WRAP=1,MOD(((c_TMAP2IN)-(c_TMAP1IN))*(((C245)-(c_TMAP1IN))*((c_TMAP2OUT)-(c_TMAP1OUT))+IF(((c_TMAP2OUT)-(c_TMAP1OUT))&gt;=0,1,-1)*QUOTIENT(((c_TMAP2IN)-(c_TMAP1IN)),2))+2147483648,4294967296)-2147483648,((c_TMAP2IN)-(c_TMAP1IN))*(((C245)-(c_TMAP1IN))*((c_TMAP2OUT)-(c_TMAP1OUT))+IF(((c_TMAP2OUT)-(c_TMAP1OUT))&gt;=0,1,-1)*QUOTIENT(((c_TMAP2IN)-(c_TMAP1IN)),2)))&gt;=0,1,0)))</f>
        <v>168</v>
      </c>
      <c r="G245" s="7" t="n">
        <f aca="false">IF(((c_TMAP3IN)-(c_TMAP2IN))=0,(c_TMAP2OUT)+QUOTIENT(((c_TMAP3OUT)-(c_TMAP2OUT)),2),QUOTIENT((((C245)-(c_TMAP2IN))*((c_TMAP3OUT)-(c_TMAP2OUT))+IF(((c_TMAP3OUT)-(c_TMAP2OUT))&gt;=0,1,-1)*QUOTIENT(((c_TMAP3IN)-(c_TMAP2IN)),2)),((c_TMAP3IN)-(c_TMAP2IN)))+(c_TMAP2OUT)+IF(((c_TMAP3OUT)-(c_TMAP2OUT))&gt;=0,IF(IF(o_WRAP=1,MOD(((c_TMAP3IN)-(c_TMAP2IN))*(((C245)-(c_TMAP2IN))*((c_TMAP3OUT)-(c_TMAP2OUT))+IF(((c_TMAP3OUT)-(c_TMAP2OUT))&gt;=0,1,-1)*QUOTIENT(((c_TMAP3IN)-(c_TMAP2IN)),2))+2147483648,4294967296)-2147483648,((c_TMAP3IN)-(c_TMAP2IN))*(((C245)-(c_TMAP2IN))*((c_TMAP3OUT)-(c_TMAP2OUT))+IF(((c_TMAP3OUT)-(c_TMAP2OUT))&gt;=0,1,-1)*QUOTIENT(((c_TMAP3IN)-(c_TMAP2IN)),2)))&lt;0,-1,0),IF(IF(o_WRAP=1,MOD(((c_TMAP3IN)-(c_TMAP2IN))*(((C245)-(c_TMAP2IN))*((c_TMAP3OUT)-(c_TMAP2OUT))+IF(((c_TMAP3OUT)-(c_TMAP2OUT))&gt;=0,1,-1)*QUOTIENT(((c_TMAP3IN)-(c_TMAP2IN)),2))+2147483648,4294967296)-2147483648,((c_TMAP3IN)-(c_TMAP2IN))*(((C245)-(c_TMAP2IN))*((c_TMAP3OUT)-(c_TMAP2OUT))+IF(((c_TMAP3OUT)-(c_TMAP2OUT))&gt;=0,1,-1)*QUOTIENT(((c_TMAP3IN)-(c_TMAP2IN)),2)))&gt;=0,1,0)))</f>
        <v>197</v>
      </c>
      <c r="H245" s="7" t="n">
        <f aca="false">IF(((1000)-(c_TMAP3IN))=0,(c_TMAP3OUT)+QUOTIENT(((1000)-(c_TMAP3OUT)),2),QUOTIENT((((C245)-(c_TMAP3IN))*((1000)-(c_TMAP3OUT))+IF(((1000)-(c_TMAP3OUT))&gt;=0,1,-1)*QUOTIENT(((1000)-(c_TMAP3IN)),2)),((1000)-(c_TMAP3IN)))+(c_TMAP3OUT)+IF(((1000)-(c_TMAP3OUT))&gt;=0,IF(IF(o_WRAP=1,MOD(((1000)-(c_TMAP3IN))*(((C245)-(c_TMAP3IN))*((1000)-(c_TMAP3OUT))+IF(((1000)-(c_TMAP3OUT))&gt;=0,1,-1)*QUOTIENT(((1000)-(c_TMAP3IN)),2))+2147483648,4294967296)-2147483648,((1000)-(c_TMAP3IN))*(((C245)-(c_TMAP3IN))*((1000)-(c_TMAP3OUT))+IF(((1000)-(c_TMAP3OUT))&gt;=0,1,-1)*QUOTIENT(((1000)-(c_TMAP3IN)),2)))&lt;0,-1,0),IF(IF(o_WRAP=1,MOD(((1000)-(c_TMAP3IN))*(((C245)-(c_TMAP3IN))*((1000)-(c_TMAP3OUT))+IF(((1000)-(c_TMAP3OUT))&gt;=0,1,-1)*QUOTIENT(((1000)-(c_TMAP3IN)),2))+2147483648,4294967296)-2147483648,((1000)-(c_TMAP3IN))*(((C245)-(c_TMAP3IN))*((1000)-(c_TMAP3OUT))+IF(((1000)-(c_TMAP3OUT))&gt;=0,1,-1)*QUOTIENT(((1000)-(c_TMAP3IN)),2)))&gt;=0,1,0)))</f>
        <v>194</v>
      </c>
      <c r="I245" s="7" t="n">
        <f aca="false">IF(C245&gt;=c_TFWD,IF(AND(C245&gt;=c_TMAP3IN,c_TMAP3IN&lt;1000),H245,IF(AND(C245&gt;=c_TMAP2IN,c_TMAP3IN&gt;c_TMAP2IN),G245,IF(AND(C245&gt;=c_TMAP1IN,c_TMAP2IN&gt;c_TMAP1IN),F245,E245))),D245)</f>
        <v>197</v>
      </c>
      <c r="J245" s="7" t="str">
        <f aca="false">IF(I245&lt;-1090,"TOO LOW",IF(I245&gt;1090,"TOO HIGH",""))</f>
        <v/>
      </c>
      <c r="K245" s="7" t="n">
        <f aca="false">IF(J245&lt;&gt;"",0,IF(I245&gt;979,1000,I245))</f>
        <v>197</v>
      </c>
      <c r="L245" s="7" t="n">
        <f aca="false">IF(OR(c_TSMOOTH=0,K245&gt;=c_TSMOOTHCUT),1,0)</f>
        <v>0</v>
      </c>
      <c r="M245" s="7" t="n">
        <f aca="false">IF(L245=1,0,M244+1)</f>
        <v>159</v>
      </c>
      <c r="N245" s="7" t="n">
        <f aca="false">IF(L245=1,0,MIN(M245,c_TSMOOTH))</f>
        <v>30</v>
      </c>
      <c r="O245" s="7" t="n">
        <f aca="false">IF(COUNTIF($L$5:L245,1)&gt;0,c_TSMOOTHCUT,0)</f>
        <v>400</v>
      </c>
      <c r="P245" s="15" t="n">
        <f aca="true">IF(L245=1,K245,QUOTIENT(SUM(OFFSET(K245,1-N245,0,N245,1))+(c_TSMOOTH-N245)*O245,c_TSMOOTH))</f>
        <v>275</v>
      </c>
      <c r="Q245" s="7" t="n">
        <f aca="false">K245/10</f>
        <v>19.7</v>
      </c>
      <c r="R245" s="7" t="n">
        <f aca="false">P245/10</f>
        <v>27.5</v>
      </c>
    </row>
    <row r="246" customFormat="false" ht="15" hidden="false" customHeight="false" outlineLevel="0" collapsed="false">
      <c r="A246" s="7" t="n">
        <v>241</v>
      </c>
      <c r="B246" s="7" t="n">
        <f aca="false">A246*0.04</f>
        <v>9.64</v>
      </c>
      <c r="C246" s="18" t="n">
        <v>340</v>
      </c>
      <c r="D246" s="7" t="n">
        <f aca="false">IF(AND(C246=0,c_TCREEP&gt;0),10*c_TCREEP,IF(AND(C246&lt;=c_TRNGMIN,C246&gt;=c_TRNGMAX,c_TRNGMIN-c_TRNGMAX&lt;&gt;0),-10*c_TMINRN+QUOTIENT((c_TMAXRN-c_TMINRN)*(100-QUOTIENT((C246-c_TRNGMAX)*100,c_TRNGMIN-c_TRNGMAX)),-10),0))</f>
        <v>0</v>
      </c>
      <c r="E246" s="7" t="n">
        <f aca="false">IF(((c_TMAP1IN)-(c_TFWD))=0,(0)+QUOTIENT(((c_TMAP1OUT)-(0)),2),QUOTIENT((((C246)-(c_TFWD))*((c_TMAP1OUT)-(0))+IF(((c_TMAP1OUT)-(0))&gt;=0,1,-1)*QUOTIENT(((c_TMAP1IN)-(c_TFWD)),2)),((c_TMAP1IN)-(c_TFWD)))+(0)+IF(((c_TMAP1OUT)-(0))&gt;=0,IF(IF(o_WRAP=1,MOD(((c_TMAP1IN)-(c_TFWD))*(((C246)-(c_TFWD))*((c_TMAP1OUT)-(0))+IF(((c_TMAP1OUT)-(0))&gt;=0,1,-1)*QUOTIENT(((c_TMAP1IN)-(c_TFWD)),2))+2147483648,4294967296)-2147483648,((c_TMAP1IN)-(c_TFWD))*(((C246)-(c_TFWD))*((c_TMAP1OUT)-(0))+IF(((c_TMAP1OUT)-(0))&gt;=0,1,-1)*QUOTIENT(((c_TMAP1IN)-(c_TFWD)),2)))&lt;0,-1,0),IF(IF(o_WRAP=1,MOD(((c_TMAP1IN)-(c_TFWD))*(((C246)-(c_TFWD))*((c_TMAP1OUT)-(0))+IF(((c_TMAP1OUT)-(0))&gt;=0,1,-1)*QUOTIENT(((c_TMAP1IN)-(c_TFWD)),2))+2147483648,4294967296)-2147483648,((c_TMAP1IN)-(c_TFWD))*(((C246)-(c_TFWD))*((c_TMAP1OUT)-(0))+IF(((c_TMAP1OUT)-(0))&gt;=0,1,-1)*QUOTIENT(((c_TMAP1IN)-(c_TFWD)),2)))&gt;=0,1,0)))</f>
        <v>257</v>
      </c>
      <c r="F246" s="7" t="n">
        <f aca="false">IF(((c_TMAP2IN)-(c_TMAP1IN))=0,(c_TMAP1OUT)+QUOTIENT(((c_TMAP2OUT)-(c_TMAP1OUT)),2),QUOTIENT((((C246)-(c_TMAP1IN))*((c_TMAP2OUT)-(c_TMAP1OUT))+IF(((c_TMAP2OUT)-(c_TMAP1OUT))&gt;=0,1,-1)*QUOTIENT(((c_TMAP2IN)-(c_TMAP1IN)),2)),((c_TMAP2IN)-(c_TMAP1IN)))+(c_TMAP1OUT)+IF(((c_TMAP2OUT)-(c_TMAP1OUT))&gt;=0,IF(IF(o_WRAP=1,MOD(((c_TMAP2IN)-(c_TMAP1IN))*(((C246)-(c_TMAP1IN))*((c_TMAP2OUT)-(c_TMAP1OUT))+IF(((c_TMAP2OUT)-(c_TMAP1OUT))&gt;=0,1,-1)*QUOTIENT(((c_TMAP2IN)-(c_TMAP1IN)),2))+2147483648,4294967296)-2147483648,((c_TMAP2IN)-(c_TMAP1IN))*(((C246)-(c_TMAP1IN))*((c_TMAP2OUT)-(c_TMAP1OUT))+IF(((c_TMAP2OUT)-(c_TMAP1OUT))&gt;=0,1,-1)*QUOTIENT(((c_TMAP2IN)-(c_TMAP1IN)),2)))&lt;0,-1,0),IF(IF(o_WRAP=1,MOD(((c_TMAP2IN)-(c_TMAP1IN))*(((C246)-(c_TMAP1IN))*((c_TMAP2OUT)-(c_TMAP1OUT))+IF(((c_TMAP2OUT)-(c_TMAP1OUT))&gt;=0,1,-1)*QUOTIENT(((c_TMAP2IN)-(c_TMAP1IN)),2))+2147483648,4294967296)-2147483648,((c_TMAP2IN)-(c_TMAP1IN))*(((C246)-(c_TMAP1IN))*((c_TMAP2OUT)-(c_TMAP1OUT))+IF(((c_TMAP2OUT)-(c_TMAP1OUT))&gt;=0,1,-1)*QUOTIENT(((c_TMAP2IN)-(c_TMAP1IN)),2)))&gt;=0,1,0)))</f>
        <v>166</v>
      </c>
      <c r="G246" s="7" t="n">
        <f aca="false">IF(((c_TMAP3IN)-(c_TMAP2IN))=0,(c_TMAP2OUT)+QUOTIENT(((c_TMAP3OUT)-(c_TMAP2OUT)),2),QUOTIENT((((C246)-(c_TMAP2IN))*((c_TMAP3OUT)-(c_TMAP2OUT))+IF(((c_TMAP3OUT)-(c_TMAP2OUT))&gt;=0,1,-1)*QUOTIENT(((c_TMAP3IN)-(c_TMAP2IN)),2)),((c_TMAP3IN)-(c_TMAP2IN)))+(c_TMAP2OUT)+IF(((c_TMAP3OUT)-(c_TMAP2OUT))&gt;=0,IF(IF(o_WRAP=1,MOD(((c_TMAP3IN)-(c_TMAP2IN))*(((C246)-(c_TMAP2IN))*((c_TMAP3OUT)-(c_TMAP2OUT))+IF(((c_TMAP3OUT)-(c_TMAP2OUT))&gt;=0,1,-1)*QUOTIENT(((c_TMAP3IN)-(c_TMAP2IN)),2))+2147483648,4294967296)-2147483648,((c_TMAP3IN)-(c_TMAP2IN))*(((C246)-(c_TMAP2IN))*((c_TMAP3OUT)-(c_TMAP2OUT))+IF(((c_TMAP3OUT)-(c_TMAP2OUT))&gt;=0,1,-1)*QUOTIENT(((c_TMAP3IN)-(c_TMAP2IN)),2)))&lt;0,-1,0),IF(IF(o_WRAP=1,MOD(((c_TMAP3IN)-(c_TMAP2IN))*(((C246)-(c_TMAP2IN))*((c_TMAP3OUT)-(c_TMAP2OUT))+IF(((c_TMAP3OUT)-(c_TMAP2OUT))&gt;=0,1,-1)*QUOTIENT(((c_TMAP3IN)-(c_TMAP2IN)),2))+2147483648,4294967296)-2147483648,((c_TMAP3IN)-(c_TMAP2IN))*(((C246)-(c_TMAP2IN))*((c_TMAP3OUT)-(c_TMAP2OUT))+IF(((c_TMAP3OUT)-(c_TMAP2OUT))&gt;=0,1,-1)*QUOTIENT(((c_TMAP3IN)-(c_TMAP2IN)),2)))&gt;=0,1,0)))</f>
        <v>193</v>
      </c>
      <c r="H246" s="7" t="n">
        <f aca="false">IF(((1000)-(c_TMAP3IN))=0,(c_TMAP3OUT)+QUOTIENT(((1000)-(c_TMAP3OUT)),2),QUOTIENT((((C246)-(c_TMAP3IN))*((1000)-(c_TMAP3OUT))+IF(((1000)-(c_TMAP3OUT))&gt;=0,1,-1)*QUOTIENT(((1000)-(c_TMAP3IN)),2)),((1000)-(c_TMAP3IN)))+(c_TMAP3OUT)+IF(((1000)-(c_TMAP3OUT))&gt;=0,IF(IF(o_WRAP=1,MOD(((1000)-(c_TMAP3IN))*(((C246)-(c_TMAP3IN))*((1000)-(c_TMAP3OUT))+IF(((1000)-(c_TMAP3OUT))&gt;=0,1,-1)*QUOTIENT(((1000)-(c_TMAP3IN)),2))+2147483648,4294967296)-2147483648,((1000)-(c_TMAP3IN))*(((C246)-(c_TMAP3IN))*((1000)-(c_TMAP3OUT))+IF(((1000)-(c_TMAP3OUT))&gt;=0,1,-1)*QUOTIENT(((1000)-(c_TMAP3IN)),2)))&lt;0,-1,0),IF(IF(o_WRAP=1,MOD(((1000)-(c_TMAP3IN))*(((C246)-(c_TMAP3IN))*((1000)-(c_TMAP3OUT))+IF(((1000)-(c_TMAP3OUT))&gt;=0,1,-1)*QUOTIENT(((1000)-(c_TMAP3IN)),2))+2147483648,4294967296)-2147483648,((1000)-(c_TMAP3IN))*(((C246)-(c_TMAP3IN))*((1000)-(c_TMAP3OUT))+IF(((1000)-(c_TMAP3OUT))&gt;=0,1,-1)*QUOTIENT(((1000)-(c_TMAP3IN)),2)))&gt;=0,1,0)))</f>
        <v>188</v>
      </c>
      <c r="I246" s="7" t="n">
        <f aca="false">IF(C246&gt;=c_TFWD,IF(AND(C246&gt;=c_TMAP3IN,c_TMAP3IN&lt;1000),H246,IF(AND(C246&gt;=c_TMAP2IN,c_TMAP3IN&gt;c_TMAP2IN),G246,IF(AND(C246&gt;=c_TMAP1IN,c_TMAP2IN&gt;c_TMAP1IN),F246,E246))),D246)</f>
        <v>193</v>
      </c>
      <c r="J246" s="7" t="str">
        <f aca="false">IF(I246&lt;-1090,"TOO LOW",IF(I246&gt;1090,"TOO HIGH",""))</f>
        <v/>
      </c>
      <c r="K246" s="7" t="n">
        <f aca="false">IF(J246&lt;&gt;"",0,IF(I246&gt;979,1000,I246))</f>
        <v>193</v>
      </c>
      <c r="L246" s="7" t="n">
        <f aca="false">IF(OR(c_TSMOOTH=0,K246&gt;=c_TSMOOTHCUT),1,0)</f>
        <v>0</v>
      </c>
      <c r="M246" s="7" t="n">
        <f aca="false">IF(L246=1,0,M245+1)</f>
        <v>160</v>
      </c>
      <c r="N246" s="7" t="n">
        <f aca="false">IF(L246=1,0,MIN(M246,c_TSMOOTH))</f>
        <v>30</v>
      </c>
      <c r="O246" s="7" t="n">
        <f aca="false">IF(COUNTIF($L$5:L246,1)&gt;0,c_TSMOOTHCUT,0)</f>
        <v>400</v>
      </c>
      <c r="P246" s="15" t="n">
        <f aca="true">IF(L246=1,K246,QUOTIENT(SUM(OFFSET(K246,1-N246,0,N246,1))+(c_TSMOOTH-N246)*O246,c_TSMOOTH))</f>
        <v>271</v>
      </c>
      <c r="Q246" s="7" t="n">
        <f aca="false">K246/10</f>
        <v>19.3</v>
      </c>
      <c r="R246" s="7" t="n">
        <f aca="false">P246/10</f>
        <v>27.1</v>
      </c>
    </row>
    <row r="247" customFormat="false" ht="15" hidden="false" customHeight="false" outlineLevel="0" collapsed="false">
      <c r="A247" s="7" t="n">
        <v>242</v>
      </c>
      <c r="B247" s="7" t="n">
        <f aca="false">A247*0.04</f>
        <v>9.68</v>
      </c>
      <c r="C247" s="18" t="n">
        <v>335</v>
      </c>
      <c r="D247" s="7" t="n">
        <f aca="false">IF(AND(C247=0,c_TCREEP&gt;0),10*c_TCREEP,IF(AND(C247&lt;=c_TRNGMIN,C247&gt;=c_TRNGMAX,c_TRNGMIN-c_TRNGMAX&lt;&gt;0),-10*c_TMINRN+QUOTIENT((c_TMAXRN-c_TMINRN)*(100-QUOTIENT((C247-c_TRNGMAX)*100,c_TRNGMIN-c_TRNGMAX)),-10),0))</f>
        <v>0</v>
      </c>
      <c r="E247" s="7" t="n">
        <f aca="false">IF(((c_TMAP1IN)-(c_TFWD))=0,(0)+QUOTIENT(((c_TMAP1OUT)-(0)),2),QUOTIENT((((C247)-(c_TFWD))*((c_TMAP1OUT)-(0))+IF(((c_TMAP1OUT)-(0))&gt;=0,1,-1)*QUOTIENT(((c_TMAP1IN)-(c_TFWD)),2)),((c_TMAP1IN)-(c_TFWD)))+(0)+IF(((c_TMAP1OUT)-(0))&gt;=0,IF(IF(o_WRAP=1,MOD(((c_TMAP1IN)-(c_TFWD))*(((C247)-(c_TFWD))*((c_TMAP1OUT)-(0))+IF(((c_TMAP1OUT)-(0))&gt;=0,1,-1)*QUOTIENT(((c_TMAP1IN)-(c_TFWD)),2))+2147483648,4294967296)-2147483648,((c_TMAP1IN)-(c_TFWD))*(((C247)-(c_TFWD))*((c_TMAP1OUT)-(0))+IF(((c_TMAP1OUT)-(0))&gt;=0,1,-1)*QUOTIENT(((c_TMAP1IN)-(c_TFWD)),2)))&lt;0,-1,0),IF(IF(o_WRAP=1,MOD(((c_TMAP1IN)-(c_TFWD))*(((C247)-(c_TFWD))*((c_TMAP1OUT)-(0))+IF(((c_TMAP1OUT)-(0))&gt;=0,1,-1)*QUOTIENT(((c_TMAP1IN)-(c_TFWD)),2))+2147483648,4294967296)-2147483648,((c_TMAP1IN)-(c_TFWD))*(((C247)-(c_TFWD))*((c_TMAP1OUT)-(0))+IF(((c_TMAP1OUT)-(0))&gt;=0,1,-1)*QUOTIENT(((c_TMAP1IN)-(c_TFWD)),2)))&gt;=0,1,0)))</f>
        <v>253</v>
      </c>
      <c r="F247" s="7" t="n">
        <f aca="false">IF(((c_TMAP2IN)-(c_TMAP1IN))=0,(c_TMAP1OUT)+QUOTIENT(((c_TMAP2OUT)-(c_TMAP1OUT)),2),QUOTIENT((((C247)-(c_TMAP1IN))*((c_TMAP2OUT)-(c_TMAP1OUT))+IF(((c_TMAP2OUT)-(c_TMAP1OUT))&gt;=0,1,-1)*QUOTIENT(((c_TMAP2IN)-(c_TMAP1IN)),2)),((c_TMAP2IN)-(c_TMAP1IN)))+(c_TMAP1OUT)+IF(((c_TMAP2OUT)-(c_TMAP1OUT))&gt;=0,IF(IF(o_WRAP=1,MOD(((c_TMAP2IN)-(c_TMAP1IN))*(((C247)-(c_TMAP1IN))*((c_TMAP2OUT)-(c_TMAP1OUT))+IF(((c_TMAP2OUT)-(c_TMAP1OUT))&gt;=0,1,-1)*QUOTIENT(((c_TMAP2IN)-(c_TMAP1IN)),2))+2147483648,4294967296)-2147483648,((c_TMAP2IN)-(c_TMAP1IN))*(((C247)-(c_TMAP1IN))*((c_TMAP2OUT)-(c_TMAP1OUT))+IF(((c_TMAP2OUT)-(c_TMAP1OUT))&gt;=0,1,-1)*QUOTIENT(((c_TMAP2IN)-(c_TMAP1IN)),2)))&lt;0,-1,0),IF(IF(o_WRAP=1,MOD(((c_TMAP2IN)-(c_TMAP1IN))*(((C247)-(c_TMAP1IN))*((c_TMAP2OUT)-(c_TMAP1OUT))+IF(((c_TMAP2OUT)-(c_TMAP1OUT))&gt;=0,1,-1)*QUOTIENT(((c_TMAP2IN)-(c_TMAP1IN)),2))+2147483648,4294967296)-2147483648,((c_TMAP2IN)-(c_TMAP1IN))*(((C247)-(c_TMAP1IN))*((c_TMAP2OUT)-(c_TMAP1OUT))+IF(((c_TMAP2OUT)-(c_TMAP1OUT))&gt;=0,1,-1)*QUOTIENT(((c_TMAP2IN)-(c_TMAP1IN)),2)))&gt;=0,1,0)))</f>
        <v>164</v>
      </c>
      <c r="G247" s="7" t="n">
        <f aca="false">IF(((c_TMAP3IN)-(c_TMAP2IN))=0,(c_TMAP2OUT)+QUOTIENT(((c_TMAP3OUT)-(c_TMAP2OUT)),2),QUOTIENT((((C247)-(c_TMAP2IN))*((c_TMAP3OUT)-(c_TMAP2OUT))+IF(((c_TMAP3OUT)-(c_TMAP2OUT))&gt;=0,1,-1)*QUOTIENT(((c_TMAP3IN)-(c_TMAP2IN)),2)),((c_TMAP3IN)-(c_TMAP2IN)))+(c_TMAP2OUT)+IF(((c_TMAP3OUT)-(c_TMAP2OUT))&gt;=0,IF(IF(o_WRAP=1,MOD(((c_TMAP3IN)-(c_TMAP2IN))*(((C247)-(c_TMAP2IN))*((c_TMAP3OUT)-(c_TMAP2OUT))+IF(((c_TMAP3OUT)-(c_TMAP2OUT))&gt;=0,1,-1)*QUOTIENT(((c_TMAP3IN)-(c_TMAP2IN)),2))+2147483648,4294967296)-2147483648,((c_TMAP3IN)-(c_TMAP2IN))*(((C247)-(c_TMAP2IN))*((c_TMAP3OUT)-(c_TMAP2OUT))+IF(((c_TMAP3OUT)-(c_TMAP2OUT))&gt;=0,1,-1)*QUOTIENT(((c_TMAP3IN)-(c_TMAP2IN)),2)))&lt;0,-1,0),IF(IF(o_WRAP=1,MOD(((c_TMAP3IN)-(c_TMAP2IN))*(((C247)-(c_TMAP2IN))*((c_TMAP3OUT)-(c_TMAP2OUT))+IF(((c_TMAP3OUT)-(c_TMAP2OUT))&gt;=0,1,-1)*QUOTIENT(((c_TMAP3IN)-(c_TMAP2IN)),2))+2147483648,4294967296)-2147483648,((c_TMAP3IN)-(c_TMAP2IN))*(((C247)-(c_TMAP2IN))*((c_TMAP3OUT)-(c_TMAP2OUT))+IF(((c_TMAP3OUT)-(c_TMAP2OUT))&gt;=0,1,-1)*QUOTIENT(((c_TMAP3IN)-(c_TMAP2IN)),2)))&gt;=0,1,0)))</f>
        <v>190</v>
      </c>
      <c r="H247" s="7" t="n">
        <f aca="false">IF(((1000)-(c_TMAP3IN))=0,(c_TMAP3OUT)+QUOTIENT(((1000)-(c_TMAP3OUT)),2),QUOTIENT((((C247)-(c_TMAP3IN))*((1000)-(c_TMAP3OUT))+IF(((1000)-(c_TMAP3OUT))&gt;=0,1,-1)*QUOTIENT(((1000)-(c_TMAP3IN)),2)),((1000)-(c_TMAP3IN)))+(c_TMAP3OUT)+IF(((1000)-(c_TMAP3OUT))&gt;=0,IF(IF(o_WRAP=1,MOD(((1000)-(c_TMAP3IN))*(((C247)-(c_TMAP3IN))*((1000)-(c_TMAP3OUT))+IF(((1000)-(c_TMAP3OUT))&gt;=0,1,-1)*QUOTIENT(((1000)-(c_TMAP3IN)),2))+2147483648,4294967296)-2147483648,((1000)-(c_TMAP3IN))*(((C247)-(c_TMAP3IN))*((1000)-(c_TMAP3OUT))+IF(((1000)-(c_TMAP3OUT))&gt;=0,1,-1)*QUOTIENT(((1000)-(c_TMAP3IN)),2)))&lt;0,-1,0),IF(IF(o_WRAP=1,MOD(((1000)-(c_TMAP3IN))*(((C247)-(c_TMAP3IN))*((1000)-(c_TMAP3OUT))+IF(((1000)-(c_TMAP3OUT))&gt;=0,1,-1)*QUOTIENT(((1000)-(c_TMAP3IN)),2))+2147483648,4294967296)-2147483648,((1000)-(c_TMAP3IN))*(((C247)-(c_TMAP3IN))*((1000)-(c_TMAP3OUT))+IF(((1000)-(c_TMAP3OUT))&gt;=0,1,-1)*QUOTIENT(((1000)-(c_TMAP3IN)),2)))&gt;=0,1,0)))</f>
        <v>182</v>
      </c>
      <c r="I247" s="7" t="n">
        <f aca="false">IF(C247&gt;=c_TFWD,IF(AND(C247&gt;=c_TMAP3IN,c_TMAP3IN&lt;1000),H247,IF(AND(C247&gt;=c_TMAP2IN,c_TMAP3IN&gt;c_TMAP2IN),G247,IF(AND(C247&gt;=c_TMAP1IN,c_TMAP2IN&gt;c_TMAP1IN),F247,E247))),D247)</f>
        <v>190</v>
      </c>
      <c r="J247" s="7" t="str">
        <f aca="false">IF(I247&lt;-1090,"TOO LOW",IF(I247&gt;1090,"TOO HIGH",""))</f>
        <v/>
      </c>
      <c r="K247" s="7" t="n">
        <f aca="false">IF(J247&lt;&gt;"",0,IF(I247&gt;979,1000,I247))</f>
        <v>190</v>
      </c>
      <c r="L247" s="7" t="n">
        <f aca="false">IF(OR(c_TSMOOTH=0,K247&gt;=c_TSMOOTHCUT),1,0)</f>
        <v>0</v>
      </c>
      <c r="M247" s="7" t="n">
        <f aca="false">IF(L247=1,0,M246+1)</f>
        <v>161</v>
      </c>
      <c r="N247" s="7" t="n">
        <f aca="false">IF(L247=1,0,MIN(M247,c_TSMOOTH))</f>
        <v>30</v>
      </c>
      <c r="O247" s="7" t="n">
        <f aca="false">IF(COUNTIF($L$5:L247,1)&gt;0,c_TSMOOTHCUT,0)</f>
        <v>400</v>
      </c>
      <c r="P247" s="15" t="n">
        <f aca="true">IF(L247=1,K247,QUOTIENT(SUM(OFFSET(K247,1-N247,0,N247,1))+(c_TSMOOTH-N247)*O247,c_TSMOOTH))</f>
        <v>267</v>
      </c>
      <c r="Q247" s="7" t="n">
        <f aca="false">K247/10</f>
        <v>19</v>
      </c>
      <c r="R247" s="7" t="n">
        <f aca="false">P247/10</f>
        <v>26.7</v>
      </c>
    </row>
    <row r="248" customFormat="false" ht="15" hidden="false" customHeight="false" outlineLevel="0" collapsed="false">
      <c r="A248" s="7" t="n">
        <v>243</v>
      </c>
      <c r="B248" s="7" t="n">
        <f aca="false">A248*0.04</f>
        <v>9.72</v>
      </c>
      <c r="C248" s="18" t="n">
        <v>330</v>
      </c>
      <c r="D248" s="7" t="n">
        <f aca="false">IF(AND(C248=0,c_TCREEP&gt;0),10*c_TCREEP,IF(AND(C248&lt;=c_TRNGMIN,C248&gt;=c_TRNGMAX,c_TRNGMIN-c_TRNGMAX&lt;&gt;0),-10*c_TMINRN+QUOTIENT((c_TMAXRN-c_TMINRN)*(100-QUOTIENT((C248-c_TRNGMAX)*100,c_TRNGMIN-c_TRNGMAX)),-10),0))</f>
        <v>0</v>
      </c>
      <c r="E248" s="7" t="n">
        <f aca="false">IF(((c_TMAP1IN)-(c_TFWD))=0,(0)+QUOTIENT(((c_TMAP1OUT)-(0)),2),QUOTIENT((((C248)-(c_TFWD))*((c_TMAP1OUT)-(0))+IF(((c_TMAP1OUT)-(0))&gt;=0,1,-1)*QUOTIENT(((c_TMAP1IN)-(c_TFWD)),2)),((c_TMAP1IN)-(c_TFWD)))+(0)+IF(((c_TMAP1OUT)-(0))&gt;=0,IF(IF(o_WRAP=1,MOD(((c_TMAP1IN)-(c_TFWD))*(((C248)-(c_TFWD))*((c_TMAP1OUT)-(0))+IF(((c_TMAP1OUT)-(0))&gt;=0,1,-1)*QUOTIENT(((c_TMAP1IN)-(c_TFWD)),2))+2147483648,4294967296)-2147483648,((c_TMAP1IN)-(c_TFWD))*(((C248)-(c_TFWD))*((c_TMAP1OUT)-(0))+IF(((c_TMAP1OUT)-(0))&gt;=0,1,-1)*QUOTIENT(((c_TMAP1IN)-(c_TFWD)),2)))&lt;0,-1,0),IF(IF(o_WRAP=1,MOD(((c_TMAP1IN)-(c_TFWD))*(((C248)-(c_TFWD))*((c_TMAP1OUT)-(0))+IF(((c_TMAP1OUT)-(0))&gt;=0,1,-1)*QUOTIENT(((c_TMAP1IN)-(c_TFWD)),2))+2147483648,4294967296)-2147483648,((c_TMAP1IN)-(c_TFWD))*(((C248)-(c_TFWD))*((c_TMAP1OUT)-(0))+IF(((c_TMAP1OUT)-(0))&gt;=0,1,-1)*QUOTIENT(((c_TMAP1IN)-(c_TFWD)),2)))&gt;=0,1,0)))</f>
        <v>249</v>
      </c>
      <c r="F248" s="7" t="n">
        <f aca="false">IF(((c_TMAP2IN)-(c_TMAP1IN))=0,(c_TMAP1OUT)+QUOTIENT(((c_TMAP2OUT)-(c_TMAP1OUT)),2),QUOTIENT((((C248)-(c_TMAP1IN))*((c_TMAP2OUT)-(c_TMAP1OUT))+IF(((c_TMAP2OUT)-(c_TMAP1OUT))&gt;=0,1,-1)*QUOTIENT(((c_TMAP2IN)-(c_TMAP1IN)),2)),((c_TMAP2IN)-(c_TMAP1IN)))+(c_TMAP1OUT)+IF(((c_TMAP2OUT)-(c_TMAP1OUT))&gt;=0,IF(IF(o_WRAP=1,MOD(((c_TMAP2IN)-(c_TMAP1IN))*(((C248)-(c_TMAP1IN))*((c_TMAP2OUT)-(c_TMAP1OUT))+IF(((c_TMAP2OUT)-(c_TMAP1OUT))&gt;=0,1,-1)*QUOTIENT(((c_TMAP2IN)-(c_TMAP1IN)),2))+2147483648,4294967296)-2147483648,((c_TMAP2IN)-(c_TMAP1IN))*(((C248)-(c_TMAP1IN))*((c_TMAP2OUT)-(c_TMAP1OUT))+IF(((c_TMAP2OUT)-(c_TMAP1OUT))&gt;=0,1,-1)*QUOTIENT(((c_TMAP2IN)-(c_TMAP1IN)),2)))&lt;0,-1,0),IF(IF(o_WRAP=1,MOD(((c_TMAP2IN)-(c_TMAP1IN))*(((C248)-(c_TMAP1IN))*((c_TMAP2OUT)-(c_TMAP1OUT))+IF(((c_TMAP2OUT)-(c_TMAP1OUT))&gt;=0,1,-1)*QUOTIENT(((c_TMAP2IN)-(c_TMAP1IN)),2))+2147483648,4294967296)-2147483648,((c_TMAP2IN)-(c_TMAP1IN))*(((C248)-(c_TMAP1IN))*((c_TMAP2OUT)-(c_TMAP1OUT))+IF(((c_TMAP2OUT)-(c_TMAP1OUT))&gt;=0,1,-1)*QUOTIENT(((c_TMAP2IN)-(c_TMAP1IN)),2)))&gt;=0,1,0)))</f>
        <v>162</v>
      </c>
      <c r="G248" s="7" t="n">
        <f aca="false">IF(((c_TMAP3IN)-(c_TMAP2IN))=0,(c_TMAP2OUT)+QUOTIENT(((c_TMAP3OUT)-(c_TMAP2OUT)),2),QUOTIENT((((C248)-(c_TMAP2IN))*((c_TMAP3OUT)-(c_TMAP2OUT))+IF(((c_TMAP3OUT)-(c_TMAP2OUT))&gt;=0,1,-1)*QUOTIENT(((c_TMAP3IN)-(c_TMAP2IN)),2)),((c_TMAP3IN)-(c_TMAP2IN)))+(c_TMAP2OUT)+IF(((c_TMAP3OUT)-(c_TMAP2OUT))&gt;=0,IF(IF(o_WRAP=1,MOD(((c_TMAP3IN)-(c_TMAP2IN))*(((C248)-(c_TMAP2IN))*((c_TMAP3OUT)-(c_TMAP2OUT))+IF(((c_TMAP3OUT)-(c_TMAP2OUT))&gt;=0,1,-1)*QUOTIENT(((c_TMAP3IN)-(c_TMAP2IN)),2))+2147483648,4294967296)-2147483648,((c_TMAP3IN)-(c_TMAP2IN))*(((C248)-(c_TMAP2IN))*((c_TMAP3OUT)-(c_TMAP2OUT))+IF(((c_TMAP3OUT)-(c_TMAP2OUT))&gt;=0,1,-1)*QUOTIENT(((c_TMAP3IN)-(c_TMAP2IN)),2)))&lt;0,-1,0),IF(IF(o_WRAP=1,MOD(((c_TMAP3IN)-(c_TMAP2IN))*(((C248)-(c_TMAP2IN))*((c_TMAP3OUT)-(c_TMAP2OUT))+IF(((c_TMAP3OUT)-(c_TMAP2OUT))&gt;=0,1,-1)*QUOTIENT(((c_TMAP3IN)-(c_TMAP2IN)),2))+2147483648,4294967296)-2147483648,((c_TMAP3IN)-(c_TMAP2IN))*(((C248)-(c_TMAP2IN))*((c_TMAP3OUT)-(c_TMAP2OUT))+IF(((c_TMAP3OUT)-(c_TMAP2OUT))&gt;=0,1,-1)*QUOTIENT(((c_TMAP3IN)-(c_TMAP2IN)),2)))&gt;=0,1,0)))</f>
        <v>186</v>
      </c>
      <c r="H248" s="7" t="n">
        <f aca="false">IF(((1000)-(c_TMAP3IN))=0,(c_TMAP3OUT)+QUOTIENT(((1000)-(c_TMAP3OUT)),2),QUOTIENT((((C248)-(c_TMAP3IN))*((1000)-(c_TMAP3OUT))+IF(((1000)-(c_TMAP3OUT))&gt;=0,1,-1)*QUOTIENT(((1000)-(c_TMAP3IN)),2)),((1000)-(c_TMAP3IN)))+(c_TMAP3OUT)+IF(((1000)-(c_TMAP3OUT))&gt;=0,IF(IF(o_WRAP=1,MOD(((1000)-(c_TMAP3IN))*(((C248)-(c_TMAP3IN))*((1000)-(c_TMAP3OUT))+IF(((1000)-(c_TMAP3OUT))&gt;=0,1,-1)*QUOTIENT(((1000)-(c_TMAP3IN)),2))+2147483648,4294967296)-2147483648,((1000)-(c_TMAP3IN))*(((C248)-(c_TMAP3IN))*((1000)-(c_TMAP3OUT))+IF(((1000)-(c_TMAP3OUT))&gt;=0,1,-1)*QUOTIENT(((1000)-(c_TMAP3IN)),2)))&lt;0,-1,0),IF(IF(o_WRAP=1,MOD(((1000)-(c_TMAP3IN))*(((C248)-(c_TMAP3IN))*((1000)-(c_TMAP3OUT))+IF(((1000)-(c_TMAP3OUT))&gt;=0,1,-1)*QUOTIENT(((1000)-(c_TMAP3IN)),2))+2147483648,4294967296)-2147483648,((1000)-(c_TMAP3IN))*(((C248)-(c_TMAP3IN))*((1000)-(c_TMAP3OUT))+IF(((1000)-(c_TMAP3OUT))&gt;=0,1,-1)*QUOTIENT(((1000)-(c_TMAP3IN)),2)))&gt;=0,1,0)))</f>
        <v>175</v>
      </c>
      <c r="I248" s="7" t="n">
        <f aca="false">IF(C248&gt;=c_TFWD,IF(AND(C248&gt;=c_TMAP3IN,c_TMAP3IN&lt;1000),H248,IF(AND(C248&gt;=c_TMAP2IN,c_TMAP3IN&gt;c_TMAP2IN),G248,IF(AND(C248&gt;=c_TMAP1IN,c_TMAP2IN&gt;c_TMAP1IN),F248,E248))),D248)</f>
        <v>186</v>
      </c>
      <c r="J248" s="7" t="str">
        <f aca="false">IF(I248&lt;-1090,"TOO LOW",IF(I248&gt;1090,"TOO HIGH",""))</f>
        <v/>
      </c>
      <c r="K248" s="7" t="n">
        <f aca="false">IF(J248&lt;&gt;"",0,IF(I248&gt;979,1000,I248))</f>
        <v>186</v>
      </c>
      <c r="L248" s="7" t="n">
        <f aca="false">IF(OR(c_TSMOOTH=0,K248&gt;=c_TSMOOTHCUT),1,0)</f>
        <v>0</v>
      </c>
      <c r="M248" s="7" t="n">
        <f aca="false">IF(L248=1,0,M247+1)</f>
        <v>162</v>
      </c>
      <c r="N248" s="7" t="n">
        <f aca="false">IF(L248=1,0,MIN(M248,c_TSMOOTH))</f>
        <v>30</v>
      </c>
      <c r="O248" s="7" t="n">
        <f aca="false">IF(COUNTIF($L$5:L248,1)&gt;0,c_TSMOOTHCUT,0)</f>
        <v>400</v>
      </c>
      <c r="P248" s="15" t="n">
        <f aca="true">IF(L248=1,K248,QUOTIENT(SUM(OFFSET(K248,1-N248,0,N248,1))+(c_TSMOOTH-N248)*O248,c_TSMOOTH))</f>
        <v>262</v>
      </c>
      <c r="Q248" s="7" t="n">
        <f aca="false">K248/10</f>
        <v>18.6</v>
      </c>
      <c r="R248" s="7" t="n">
        <f aca="false">P248/10</f>
        <v>26.2</v>
      </c>
    </row>
    <row r="249" customFormat="false" ht="15" hidden="false" customHeight="false" outlineLevel="0" collapsed="false">
      <c r="A249" s="7" t="n">
        <v>244</v>
      </c>
      <c r="B249" s="7" t="n">
        <f aca="false">A249*0.04</f>
        <v>9.76</v>
      </c>
      <c r="C249" s="18" t="n">
        <v>325</v>
      </c>
      <c r="D249" s="7" t="n">
        <f aca="false">IF(AND(C249=0,c_TCREEP&gt;0),10*c_TCREEP,IF(AND(C249&lt;=c_TRNGMIN,C249&gt;=c_TRNGMAX,c_TRNGMIN-c_TRNGMAX&lt;&gt;0),-10*c_TMINRN+QUOTIENT((c_TMAXRN-c_TMINRN)*(100-QUOTIENT((C249-c_TRNGMAX)*100,c_TRNGMIN-c_TRNGMAX)),-10),0))</f>
        <v>0</v>
      </c>
      <c r="E249" s="7" t="n">
        <f aca="false">IF(((c_TMAP1IN)-(c_TFWD))=0,(0)+QUOTIENT(((c_TMAP1OUT)-(0)),2),QUOTIENT((((C249)-(c_TFWD))*((c_TMAP1OUT)-(0))+IF(((c_TMAP1OUT)-(0))&gt;=0,1,-1)*QUOTIENT(((c_TMAP1IN)-(c_TFWD)),2)),((c_TMAP1IN)-(c_TFWD)))+(0)+IF(((c_TMAP1OUT)-(0))&gt;=0,IF(IF(o_WRAP=1,MOD(((c_TMAP1IN)-(c_TFWD))*(((C249)-(c_TFWD))*((c_TMAP1OUT)-(0))+IF(((c_TMAP1OUT)-(0))&gt;=0,1,-1)*QUOTIENT(((c_TMAP1IN)-(c_TFWD)),2))+2147483648,4294967296)-2147483648,((c_TMAP1IN)-(c_TFWD))*(((C249)-(c_TFWD))*((c_TMAP1OUT)-(0))+IF(((c_TMAP1OUT)-(0))&gt;=0,1,-1)*QUOTIENT(((c_TMAP1IN)-(c_TFWD)),2)))&lt;0,-1,0),IF(IF(o_WRAP=1,MOD(((c_TMAP1IN)-(c_TFWD))*(((C249)-(c_TFWD))*((c_TMAP1OUT)-(0))+IF(((c_TMAP1OUT)-(0))&gt;=0,1,-1)*QUOTIENT(((c_TMAP1IN)-(c_TFWD)),2))+2147483648,4294967296)-2147483648,((c_TMAP1IN)-(c_TFWD))*(((C249)-(c_TFWD))*((c_TMAP1OUT)-(0))+IF(((c_TMAP1OUT)-(0))&gt;=0,1,-1)*QUOTIENT(((c_TMAP1IN)-(c_TFWD)),2)))&gt;=0,1,0)))</f>
        <v>245</v>
      </c>
      <c r="F249" s="7" t="n">
        <f aca="false">IF(((c_TMAP2IN)-(c_TMAP1IN))=0,(c_TMAP1OUT)+QUOTIENT(((c_TMAP2OUT)-(c_TMAP1OUT)),2),QUOTIENT((((C249)-(c_TMAP1IN))*((c_TMAP2OUT)-(c_TMAP1OUT))+IF(((c_TMAP2OUT)-(c_TMAP1OUT))&gt;=0,1,-1)*QUOTIENT(((c_TMAP2IN)-(c_TMAP1IN)),2)),((c_TMAP2IN)-(c_TMAP1IN)))+(c_TMAP1OUT)+IF(((c_TMAP2OUT)-(c_TMAP1OUT))&gt;=0,IF(IF(o_WRAP=1,MOD(((c_TMAP2IN)-(c_TMAP1IN))*(((C249)-(c_TMAP1IN))*((c_TMAP2OUT)-(c_TMAP1OUT))+IF(((c_TMAP2OUT)-(c_TMAP1OUT))&gt;=0,1,-1)*QUOTIENT(((c_TMAP2IN)-(c_TMAP1IN)),2))+2147483648,4294967296)-2147483648,((c_TMAP2IN)-(c_TMAP1IN))*(((C249)-(c_TMAP1IN))*((c_TMAP2OUT)-(c_TMAP1OUT))+IF(((c_TMAP2OUT)-(c_TMAP1OUT))&gt;=0,1,-1)*QUOTIENT(((c_TMAP2IN)-(c_TMAP1IN)),2)))&lt;0,-1,0),IF(IF(o_WRAP=1,MOD(((c_TMAP2IN)-(c_TMAP1IN))*(((C249)-(c_TMAP1IN))*((c_TMAP2OUT)-(c_TMAP1OUT))+IF(((c_TMAP2OUT)-(c_TMAP1OUT))&gt;=0,1,-1)*QUOTIENT(((c_TMAP2IN)-(c_TMAP1IN)),2))+2147483648,4294967296)-2147483648,((c_TMAP2IN)-(c_TMAP1IN))*(((C249)-(c_TMAP1IN))*((c_TMAP2OUT)-(c_TMAP1OUT))+IF(((c_TMAP2OUT)-(c_TMAP1OUT))&gt;=0,1,-1)*QUOTIENT(((c_TMAP2IN)-(c_TMAP1IN)),2)))&gt;=0,1,0)))</f>
        <v>160</v>
      </c>
      <c r="G249" s="7" t="n">
        <f aca="false">IF(((c_TMAP3IN)-(c_TMAP2IN))=0,(c_TMAP2OUT)+QUOTIENT(((c_TMAP3OUT)-(c_TMAP2OUT)),2),QUOTIENT((((C249)-(c_TMAP2IN))*((c_TMAP3OUT)-(c_TMAP2OUT))+IF(((c_TMAP3OUT)-(c_TMAP2OUT))&gt;=0,1,-1)*QUOTIENT(((c_TMAP3IN)-(c_TMAP2IN)),2)),((c_TMAP3IN)-(c_TMAP2IN)))+(c_TMAP2OUT)+IF(((c_TMAP3OUT)-(c_TMAP2OUT))&gt;=0,IF(IF(o_WRAP=1,MOD(((c_TMAP3IN)-(c_TMAP2IN))*(((C249)-(c_TMAP2IN))*((c_TMAP3OUT)-(c_TMAP2OUT))+IF(((c_TMAP3OUT)-(c_TMAP2OUT))&gt;=0,1,-1)*QUOTIENT(((c_TMAP3IN)-(c_TMAP2IN)),2))+2147483648,4294967296)-2147483648,((c_TMAP3IN)-(c_TMAP2IN))*(((C249)-(c_TMAP2IN))*((c_TMAP3OUT)-(c_TMAP2OUT))+IF(((c_TMAP3OUT)-(c_TMAP2OUT))&gt;=0,1,-1)*QUOTIENT(((c_TMAP3IN)-(c_TMAP2IN)),2)))&lt;0,-1,0),IF(IF(o_WRAP=1,MOD(((c_TMAP3IN)-(c_TMAP2IN))*(((C249)-(c_TMAP2IN))*((c_TMAP3OUT)-(c_TMAP2OUT))+IF(((c_TMAP3OUT)-(c_TMAP2OUT))&gt;=0,1,-1)*QUOTIENT(((c_TMAP3IN)-(c_TMAP2IN)),2))+2147483648,4294967296)-2147483648,((c_TMAP3IN)-(c_TMAP2IN))*(((C249)-(c_TMAP2IN))*((c_TMAP3OUT)-(c_TMAP2OUT))+IF(((c_TMAP3OUT)-(c_TMAP2OUT))&gt;=0,1,-1)*QUOTIENT(((c_TMAP3IN)-(c_TMAP2IN)),2)))&gt;=0,1,0)))</f>
        <v>183</v>
      </c>
      <c r="H249" s="7" t="n">
        <f aca="false">IF(((1000)-(c_TMAP3IN))=0,(c_TMAP3OUT)+QUOTIENT(((1000)-(c_TMAP3OUT)),2),QUOTIENT((((C249)-(c_TMAP3IN))*((1000)-(c_TMAP3OUT))+IF(((1000)-(c_TMAP3OUT))&gt;=0,1,-1)*QUOTIENT(((1000)-(c_TMAP3IN)),2)),((1000)-(c_TMAP3IN)))+(c_TMAP3OUT)+IF(((1000)-(c_TMAP3OUT))&gt;=0,IF(IF(o_WRAP=1,MOD(((1000)-(c_TMAP3IN))*(((C249)-(c_TMAP3IN))*((1000)-(c_TMAP3OUT))+IF(((1000)-(c_TMAP3OUT))&gt;=0,1,-1)*QUOTIENT(((1000)-(c_TMAP3IN)),2))+2147483648,4294967296)-2147483648,((1000)-(c_TMAP3IN))*(((C249)-(c_TMAP3IN))*((1000)-(c_TMAP3OUT))+IF(((1000)-(c_TMAP3OUT))&gt;=0,1,-1)*QUOTIENT(((1000)-(c_TMAP3IN)),2)))&lt;0,-1,0),IF(IF(o_WRAP=1,MOD(((1000)-(c_TMAP3IN))*(((C249)-(c_TMAP3IN))*((1000)-(c_TMAP3OUT))+IF(((1000)-(c_TMAP3OUT))&gt;=0,1,-1)*QUOTIENT(((1000)-(c_TMAP3IN)),2))+2147483648,4294967296)-2147483648,((1000)-(c_TMAP3IN))*(((C249)-(c_TMAP3IN))*((1000)-(c_TMAP3OUT))+IF(((1000)-(c_TMAP3OUT))&gt;=0,1,-1)*QUOTIENT(((1000)-(c_TMAP3IN)),2)))&gt;=0,1,0)))</f>
        <v>169</v>
      </c>
      <c r="I249" s="7" t="n">
        <f aca="false">IF(C249&gt;=c_TFWD,IF(AND(C249&gt;=c_TMAP3IN,c_TMAP3IN&lt;1000),H249,IF(AND(C249&gt;=c_TMAP2IN,c_TMAP3IN&gt;c_TMAP2IN),G249,IF(AND(C249&gt;=c_TMAP1IN,c_TMAP2IN&gt;c_TMAP1IN),F249,E249))),D249)</f>
        <v>183</v>
      </c>
      <c r="J249" s="7" t="str">
        <f aca="false">IF(I249&lt;-1090,"TOO LOW",IF(I249&gt;1090,"TOO HIGH",""))</f>
        <v/>
      </c>
      <c r="K249" s="7" t="n">
        <f aca="false">IF(J249&lt;&gt;"",0,IF(I249&gt;979,1000,I249))</f>
        <v>183</v>
      </c>
      <c r="L249" s="7" t="n">
        <f aca="false">IF(OR(c_TSMOOTH=0,K249&gt;=c_TSMOOTHCUT),1,0)</f>
        <v>0</v>
      </c>
      <c r="M249" s="7" t="n">
        <f aca="false">IF(L249=1,0,M248+1)</f>
        <v>163</v>
      </c>
      <c r="N249" s="7" t="n">
        <f aca="false">IF(L249=1,0,MIN(M249,c_TSMOOTH))</f>
        <v>30</v>
      </c>
      <c r="O249" s="7" t="n">
        <f aca="false">IF(COUNTIF($L$5:L249,1)&gt;0,c_TSMOOTHCUT,0)</f>
        <v>400</v>
      </c>
      <c r="P249" s="15" t="n">
        <f aca="true">IF(L249=1,K249,QUOTIENT(SUM(OFFSET(K249,1-N249,0,N249,1))+(c_TSMOOTH-N249)*O249,c_TSMOOTH))</f>
        <v>257</v>
      </c>
      <c r="Q249" s="7" t="n">
        <f aca="false">K249/10</f>
        <v>18.3</v>
      </c>
      <c r="R249" s="7" t="n">
        <f aca="false">P249/10</f>
        <v>25.7</v>
      </c>
    </row>
    <row r="250" customFormat="false" ht="15" hidden="false" customHeight="false" outlineLevel="0" collapsed="false">
      <c r="A250" s="7" t="n">
        <v>245</v>
      </c>
      <c r="B250" s="7" t="n">
        <f aca="false">A250*0.04</f>
        <v>9.8</v>
      </c>
      <c r="C250" s="18" t="n">
        <v>320</v>
      </c>
      <c r="D250" s="7" t="n">
        <f aca="false">IF(AND(C250=0,c_TCREEP&gt;0),10*c_TCREEP,IF(AND(C250&lt;=c_TRNGMIN,C250&gt;=c_TRNGMAX,c_TRNGMIN-c_TRNGMAX&lt;&gt;0),-10*c_TMINRN+QUOTIENT((c_TMAXRN-c_TMINRN)*(100-QUOTIENT((C250-c_TRNGMAX)*100,c_TRNGMIN-c_TRNGMAX)),-10),0))</f>
        <v>0</v>
      </c>
      <c r="E250" s="7" t="n">
        <f aca="false">IF(((c_TMAP1IN)-(c_TFWD))=0,(0)+QUOTIENT(((c_TMAP1OUT)-(0)),2),QUOTIENT((((C250)-(c_TFWD))*((c_TMAP1OUT)-(0))+IF(((c_TMAP1OUT)-(0))&gt;=0,1,-1)*QUOTIENT(((c_TMAP1IN)-(c_TFWD)),2)),((c_TMAP1IN)-(c_TFWD)))+(0)+IF(((c_TMAP1OUT)-(0))&gt;=0,IF(IF(o_WRAP=1,MOD(((c_TMAP1IN)-(c_TFWD))*(((C250)-(c_TFWD))*((c_TMAP1OUT)-(0))+IF(((c_TMAP1OUT)-(0))&gt;=0,1,-1)*QUOTIENT(((c_TMAP1IN)-(c_TFWD)),2))+2147483648,4294967296)-2147483648,((c_TMAP1IN)-(c_TFWD))*(((C250)-(c_TFWD))*((c_TMAP1OUT)-(0))+IF(((c_TMAP1OUT)-(0))&gt;=0,1,-1)*QUOTIENT(((c_TMAP1IN)-(c_TFWD)),2)))&lt;0,-1,0),IF(IF(o_WRAP=1,MOD(((c_TMAP1IN)-(c_TFWD))*(((C250)-(c_TFWD))*((c_TMAP1OUT)-(0))+IF(((c_TMAP1OUT)-(0))&gt;=0,1,-1)*QUOTIENT(((c_TMAP1IN)-(c_TFWD)),2))+2147483648,4294967296)-2147483648,((c_TMAP1IN)-(c_TFWD))*(((C250)-(c_TFWD))*((c_TMAP1OUT)-(0))+IF(((c_TMAP1OUT)-(0))&gt;=0,1,-1)*QUOTIENT(((c_TMAP1IN)-(c_TFWD)),2)))&gt;=0,1,0)))</f>
        <v>241</v>
      </c>
      <c r="F250" s="7" t="n">
        <f aca="false">IF(((c_TMAP2IN)-(c_TMAP1IN))=0,(c_TMAP1OUT)+QUOTIENT(((c_TMAP2OUT)-(c_TMAP1OUT)),2),QUOTIENT((((C250)-(c_TMAP1IN))*((c_TMAP2OUT)-(c_TMAP1OUT))+IF(((c_TMAP2OUT)-(c_TMAP1OUT))&gt;=0,1,-1)*QUOTIENT(((c_TMAP2IN)-(c_TMAP1IN)),2)),((c_TMAP2IN)-(c_TMAP1IN)))+(c_TMAP1OUT)+IF(((c_TMAP2OUT)-(c_TMAP1OUT))&gt;=0,IF(IF(o_WRAP=1,MOD(((c_TMAP2IN)-(c_TMAP1IN))*(((C250)-(c_TMAP1IN))*((c_TMAP2OUT)-(c_TMAP1OUT))+IF(((c_TMAP2OUT)-(c_TMAP1OUT))&gt;=0,1,-1)*QUOTIENT(((c_TMAP2IN)-(c_TMAP1IN)),2))+2147483648,4294967296)-2147483648,((c_TMAP2IN)-(c_TMAP1IN))*(((C250)-(c_TMAP1IN))*((c_TMAP2OUT)-(c_TMAP1OUT))+IF(((c_TMAP2OUT)-(c_TMAP1OUT))&gt;=0,1,-1)*QUOTIENT(((c_TMAP2IN)-(c_TMAP1IN)),2)))&lt;0,-1,0),IF(IF(o_WRAP=1,MOD(((c_TMAP2IN)-(c_TMAP1IN))*(((C250)-(c_TMAP1IN))*((c_TMAP2OUT)-(c_TMAP1OUT))+IF(((c_TMAP2OUT)-(c_TMAP1OUT))&gt;=0,1,-1)*QUOTIENT(((c_TMAP2IN)-(c_TMAP1IN)),2))+2147483648,4294967296)-2147483648,((c_TMAP2IN)-(c_TMAP1IN))*(((C250)-(c_TMAP1IN))*((c_TMAP2OUT)-(c_TMAP1OUT))+IF(((c_TMAP2OUT)-(c_TMAP1OUT))&gt;=0,1,-1)*QUOTIENT(((c_TMAP2IN)-(c_TMAP1IN)),2)))&gt;=0,1,0)))</f>
        <v>158</v>
      </c>
      <c r="G250" s="7" t="n">
        <f aca="false">IF(((c_TMAP3IN)-(c_TMAP2IN))=0,(c_TMAP2OUT)+QUOTIENT(((c_TMAP3OUT)-(c_TMAP2OUT)),2),QUOTIENT((((C250)-(c_TMAP2IN))*((c_TMAP3OUT)-(c_TMAP2OUT))+IF(((c_TMAP3OUT)-(c_TMAP2OUT))&gt;=0,1,-1)*QUOTIENT(((c_TMAP3IN)-(c_TMAP2IN)),2)),((c_TMAP3IN)-(c_TMAP2IN)))+(c_TMAP2OUT)+IF(((c_TMAP3OUT)-(c_TMAP2OUT))&gt;=0,IF(IF(o_WRAP=1,MOD(((c_TMAP3IN)-(c_TMAP2IN))*(((C250)-(c_TMAP2IN))*((c_TMAP3OUT)-(c_TMAP2OUT))+IF(((c_TMAP3OUT)-(c_TMAP2OUT))&gt;=0,1,-1)*QUOTIENT(((c_TMAP3IN)-(c_TMAP2IN)),2))+2147483648,4294967296)-2147483648,((c_TMAP3IN)-(c_TMAP2IN))*(((C250)-(c_TMAP2IN))*((c_TMAP3OUT)-(c_TMAP2OUT))+IF(((c_TMAP3OUT)-(c_TMAP2OUT))&gt;=0,1,-1)*QUOTIENT(((c_TMAP3IN)-(c_TMAP2IN)),2)))&lt;0,-1,0),IF(IF(o_WRAP=1,MOD(((c_TMAP3IN)-(c_TMAP2IN))*(((C250)-(c_TMAP2IN))*((c_TMAP3OUT)-(c_TMAP2OUT))+IF(((c_TMAP3OUT)-(c_TMAP2OUT))&gt;=0,1,-1)*QUOTIENT(((c_TMAP3IN)-(c_TMAP2IN)),2))+2147483648,4294967296)-2147483648,((c_TMAP3IN)-(c_TMAP2IN))*(((C250)-(c_TMAP2IN))*((c_TMAP3OUT)-(c_TMAP2OUT))+IF(((c_TMAP3OUT)-(c_TMAP2OUT))&gt;=0,1,-1)*QUOTIENT(((c_TMAP3IN)-(c_TMAP2IN)),2)))&gt;=0,1,0)))</f>
        <v>179</v>
      </c>
      <c r="H250" s="7" t="n">
        <f aca="false">IF(((1000)-(c_TMAP3IN))=0,(c_TMAP3OUT)+QUOTIENT(((1000)-(c_TMAP3OUT)),2),QUOTIENT((((C250)-(c_TMAP3IN))*((1000)-(c_TMAP3OUT))+IF(((1000)-(c_TMAP3OUT))&gt;=0,1,-1)*QUOTIENT(((1000)-(c_TMAP3IN)),2)),((1000)-(c_TMAP3IN)))+(c_TMAP3OUT)+IF(((1000)-(c_TMAP3OUT))&gt;=0,IF(IF(o_WRAP=1,MOD(((1000)-(c_TMAP3IN))*(((C250)-(c_TMAP3IN))*((1000)-(c_TMAP3OUT))+IF(((1000)-(c_TMAP3OUT))&gt;=0,1,-1)*QUOTIENT(((1000)-(c_TMAP3IN)),2))+2147483648,4294967296)-2147483648,((1000)-(c_TMAP3IN))*(((C250)-(c_TMAP3IN))*((1000)-(c_TMAP3OUT))+IF(((1000)-(c_TMAP3OUT))&gt;=0,1,-1)*QUOTIENT(((1000)-(c_TMAP3IN)),2)))&lt;0,-1,0),IF(IF(o_WRAP=1,MOD(((1000)-(c_TMAP3IN))*(((C250)-(c_TMAP3IN))*((1000)-(c_TMAP3OUT))+IF(((1000)-(c_TMAP3OUT))&gt;=0,1,-1)*QUOTIENT(((1000)-(c_TMAP3IN)),2))+2147483648,4294967296)-2147483648,((1000)-(c_TMAP3IN))*(((C250)-(c_TMAP3IN))*((1000)-(c_TMAP3OUT))+IF(((1000)-(c_TMAP3OUT))&gt;=0,1,-1)*QUOTIENT(((1000)-(c_TMAP3IN)),2)))&gt;=0,1,0)))</f>
        <v>163</v>
      </c>
      <c r="I250" s="7" t="n">
        <f aca="false">IF(C250&gt;=c_TFWD,IF(AND(C250&gt;=c_TMAP3IN,c_TMAP3IN&lt;1000),H250,IF(AND(C250&gt;=c_TMAP2IN,c_TMAP3IN&gt;c_TMAP2IN),G250,IF(AND(C250&gt;=c_TMAP1IN,c_TMAP2IN&gt;c_TMAP1IN),F250,E250))),D250)</f>
        <v>179</v>
      </c>
      <c r="J250" s="7" t="str">
        <f aca="false">IF(I250&lt;-1090,"TOO LOW",IF(I250&gt;1090,"TOO HIGH",""))</f>
        <v/>
      </c>
      <c r="K250" s="7" t="n">
        <f aca="false">IF(J250&lt;&gt;"",0,IF(I250&gt;979,1000,I250))</f>
        <v>179</v>
      </c>
      <c r="L250" s="7" t="n">
        <f aca="false">IF(OR(c_TSMOOTH=0,K250&gt;=c_TSMOOTHCUT),1,0)</f>
        <v>0</v>
      </c>
      <c r="M250" s="7" t="n">
        <f aca="false">IF(L250=1,0,M249+1)</f>
        <v>164</v>
      </c>
      <c r="N250" s="7" t="n">
        <f aca="false">IF(L250=1,0,MIN(M250,c_TSMOOTH))</f>
        <v>30</v>
      </c>
      <c r="O250" s="7" t="n">
        <f aca="false">IF(COUNTIF($L$5:L250,1)&gt;0,c_TSMOOTHCUT,0)</f>
        <v>400</v>
      </c>
      <c r="P250" s="15" t="n">
        <f aca="true">IF(L250=1,K250,QUOTIENT(SUM(OFFSET(K250,1-N250,0,N250,1))+(c_TSMOOTH-N250)*O250,c_TSMOOTH))</f>
        <v>252</v>
      </c>
      <c r="Q250" s="7" t="n">
        <f aca="false">K250/10</f>
        <v>17.9</v>
      </c>
      <c r="R250" s="7" t="n">
        <f aca="false">P250/10</f>
        <v>25.2</v>
      </c>
    </row>
    <row r="251" customFormat="false" ht="15" hidden="false" customHeight="false" outlineLevel="0" collapsed="false">
      <c r="A251" s="7" t="n">
        <v>246</v>
      </c>
      <c r="B251" s="7" t="n">
        <f aca="false">A251*0.04</f>
        <v>9.84</v>
      </c>
      <c r="C251" s="18" t="n">
        <v>315</v>
      </c>
      <c r="D251" s="7" t="n">
        <f aca="false">IF(AND(C251=0,c_TCREEP&gt;0),10*c_TCREEP,IF(AND(C251&lt;=c_TRNGMIN,C251&gt;=c_TRNGMAX,c_TRNGMIN-c_TRNGMAX&lt;&gt;0),-10*c_TMINRN+QUOTIENT((c_TMAXRN-c_TMINRN)*(100-QUOTIENT((C251-c_TRNGMAX)*100,c_TRNGMIN-c_TRNGMAX)),-10),0))</f>
        <v>0</v>
      </c>
      <c r="E251" s="7" t="n">
        <f aca="false">IF(((c_TMAP1IN)-(c_TFWD))=0,(0)+QUOTIENT(((c_TMAP1OUT)-(0)),2),QUOTIENT((((C251)-(c_TFWD))*((c_TMAP1OUT)-(0))+IF(((c_TMAP1OUT)-(0))&gt;=0,1,-1)*QUOTIENT(((c_TMAP1IN)-(c_TFWD)),2)),((c_TMAP1IN)-(c_TFWD)))+(0)+IF(((c_TMAP1OUT)-(0))&gt;=0,IF(IF(o_WRAP=1,MOD(((c_TMAP1IN)-(c_TFWD))*(((C251)-(c_TFWD))*((c_TMAP1OUT)-(0))+IF(((c_TMAP1OUT)-(0))&gt;=0,1,-1)*QUOTIENT(((c_TMAP1IN)-(c_TFWD)),2))+2147483648,4294967296)-2147483648,((c_TMAP1IN)-(c_TFWD))*(((C251)-(c_TFWD))*((c_TMAP1OUT)-(0))+IF(((c_TMAP1OUT)-(0))&gt;=0,1,-1)*QUOTIENT(((c_TMAP1IN)-(c_TFWD)),2)))&lt;0,-1,0),IF(IF(o_WRAP=1,MOD(((c_TMAP1IN)-(c_TFWD))*(((C251)-(c_TFWD))*((c_TMAP1OUT)-(0))+IF(((c_TMAP1OUT)-(0))&gt;=0,1,-1)*QUOTIENT(((c_TMAP1IN)-(c_TFWD)),2))+2147483648,4294967296)-2147483648,((c_TMAP1IN)-(c_TFWD))*(((C251)-(c_TFWD))*((c_TMAP1OUT)-(0))+IF(((c_TMAP1OUT)-(0))&gt;=0,1,-1)*QUOTIENT(((c_TMAP1IN)-(c_TFWD)),2)))&gt;=0,1,0)))</f>
        <v>237</v>
      </c>
      <c r="F251" s="7" t="n">
        <f aca="false">IF(((c_TMAP2IN)-(c_TMAP1IN))=0,(c_TMAP1OUT)+QUOTIENT(((c_TMAP2OUT)-(c_TMAP1OUT)),2),QUOTIENT((((C251)-(c_TMAP1IN))*((c_TMAP2OUT)-(c_TMAP1OUT))+IF(((c_TMAP2OUT)-(c_TMAP1OUT))&gt;=0,1,-1)*QUOTIENT(((c_TMAP2IN)-(c_TMAP1IN)),2)),((c_TMAP2IN)-(c_TMAP1IN)))+(c_TMAP1OUT)+IF(((c_TMAP2OUT)-(c_TMAP1OUT))&gt;=0,IF(IF(o_WRAP=1,MOD(((c_TMAP2IN)-(c_TMAP1IN))*(((C251)-(c_TMAP1IN))*((c_TMAP2OUT)-(c_TMAP1OUT))+IF(((c_TMAP2OUT)-(c_TMAP1OUT))&gt;=0,1,-1)*QUOTIENT(((c_TMAP2IN)-(c_TMAP1IN)),2))+2147483648,4294967296)-2147483648,((c_TMAP2IN)-(c_TMAP1IN))*(((C251)-(c_TMAP1IN))*((c_TMAP2OUT)-(c_TMAP1OUT))+IF(((c_TMAP2OUT)-(c_TMAP1OUT))&gt;=0,1,-1)*QUOTIENT(((c_TMAP2IN)-(c_TMAP1IN)),2)))&lt;0,-1,0),IF(IF(o_WRAP=1,MOD(((c_TMAP2IN)-(c_TMAP1IN))*(((C251)-(c_TMAP1IN))*((c_TMAP2OUT)-(c_TMAP1OUT))+IF(((c_TMAP2OUT)-(c_TMAP1OUT))&gt;=0,1,-1)*QUOTIENT(((c_TMAP2IN)-(c_TMAP1IN)),2))+2147483648,4294967296)-2147483648,((c_TMAP2IN)-(c_TMAP1IN))*(((C251)-(c_TMAP1IN))*((c_TMAP2OUT)-(c_TMAP1OUT))+IF(((c_TMAP2OUT)-(c_TMAP1OUT))&gt;=0,1,-1)*QUOTIENT(((c_TMAP2IN)-(c_TMAP1IN)),2)))&gt;=0,1,0)))</f>
        <v>156</v>
      </c>
      <c r="G251" s="7" t="n">
        <f aca="false">IF(((c_TMAP3IN)-(c_TMAP2IN))=0,(c_TMAP2OUT)+QUOTIENT(((c_TMAP3OUT)-(c_TMAP2OUT)),2),QUOTIENT((((C251)-(c_TMAP2IN))*((c_TMAP3OUT)-(c_TMAP2OUT))+IF(((c_TMAP3OUT)-(c_TMAP2OUT))&gt;=0,1,-1)*QUOTIENT(((c_TMAP3IN)-(c_TMAP2IN)),2)),((c_TMAP3IN)-(c_TMAP2IN)))+(c_TMAP2OUT)+IF(((c_TMAP3OUT)-(c_TMAP2OUT))&gt;=0,IF(IF(o_WRAP=1,MOD(((c_TMAP3IN)-(c_TMAP2IN))*(((C251)-(c_TMAP2IN))*((c_TMAP3OUT)-(c_TMAP2OUT))+IF(((c_TMAP3OUT)-(c_TMAP2OUT))&gt;=0,1,-1)*QUOTIENT(((c_TMAP3IN)-(c_TMAP2IN)),2))+2147483648,4294967296)-2147483648,((c_TMAP3IN)-(c_TMAP2IN))*(((C251)-(c_TMAP2IN))*((c_TMAP3OUT)-(c_TMAP2OUT))+IF(((c_TMAP3OUT)-(c_TMAP2OUT))&gt;=0,1,-1)*QUOTIENT(((c_TMAP3IN)-(c_TMAP2IN)),2)))&lt;0,-1,0),IF(IF(o_WRAP=1,MOD(((c_TMAP3IN)-(c_TMAP2IN))*(((C251)-(c_TMAP2IN))*((c_TMAP3OUT)-(c_TMAP2OUT))+IF(((c_TMAP3OUT)-(c_TMAP2OUT))&gt;=0,1,-1)*QUOTIENT(((c_TMAP3IN)-(c_TMAP2IN)),2))+2147483648,4294967296)-2147483648,((c_TMAP3IN)-(c_TMAP2IN))*(((C251)-(c_TMAP2IN))*((c_TMAP3OUT)-(c_TMAP2OUT))+IF(((c_TMAP3OUT)-(c_TMAP2OUT))&gt;=0,1,-1)*QUOTIENT(((c_TMAP3IN)-(c_TMAP2IN)),2)))&gt;=0,1,0)))</f>
        <v>176</v>
      </c>
      <c r="H251" s="7" t="n">
        <f aca="false">IF(((1000)-(c_TMAP3IN))=0,(c_TMAP3OUT)+QUOTIENT(((1000)-(c_TMAP3OUT)),2),QUOTIENT((((C251)-(c_TMAP3IN))*((1000)-(c_TMAP3OUT))+IF(((1000)-(c_TMAP3OUT))&gt;=0,1,-1)*QUOTIENT(((1000)-(c_TMAP3IN)),2)),((1000)-(c_TMAP3IN)))+(c_TMAP3OUT)+IF(((1000)-(c_TMAP3OUT))&gt;=0,IF(IF(o_WRAP=1,MOD(((1000)-(c_TMAP3IN))*(((C251)-(c_TMAP3IN))*((1000)-(c_TMAP3OUT))+IF(((1000)-(c_TMAP3OUT))&gt;=0,1,-1)*QUOTIENT(((1000)-(c_TMAP3IN)),2))+2147483648,4294967296)-2147483648,((1000)-(c_TMAP3IN))*(((C251)-(c_TMAP3IN))*((1000)-(c_TMAP3OUT))+IF(((1000)-(c_TMAP3OUT))&gt;=0,1,-1)*QUOTIENT(((1000)-(c_TMAP3IN)),2)))&lt;0,-1,0),IF(IF(o_WRAP=1,MOD(((1000)-(c_TMAP3IN))*(((C251)-(c_TMAP3IN))*((1000)-(c_TMAP3OUT))+IF(((1000)-(c_TMAP3OUT))&gt;=0,1,-1)*QUOTIENT(((1000)-(c_TMAP3IN)),2))+2147483648,4294967296)-2147483648,((1000)-(c_TMAP3IN))*(((C251)-(c_TMAP3IN))*((1000)-(c_TMAP3OUT))+IF(((1000)-(c_TMAP3OUT))&gt;=0,1,-1)*QUOTIENT(((1000)-(c_TMAP3IN)),2)))&gt;=0,1,0)))</f>
        <v>157</v>
      </c>
      <c r="I251" s="7" t="n">
        <f aca="false">IF(C251&gt;=c_TFWD,IF(AND(C251&gt;=c_TMAP3IN,c_TMAP3IN&lt;1000),H251,IF(AND(C251&gt;=c_TMAP2IN,c_TMAP3IN&gt;c_TMAP2IN),G251,IF(AND(C251&gt;=c_TMAP1IN,c_TMAP2IN&gt;c_TMAP1IN),F251,E251))),D251)</f>
        <v>176</v>
      </c>
      <c r="J251" s="7" t="str">
        <f aca="false">IF(I251&lt;-1090,"TOO LOW",IF(I251&gt;1090,"TOO HIGH",""))</f>
        <v/>
      </c>
      <c r="K251" s="7" t="n">
        <f aca="false">IF(J251&lt;&gt;"",0,IF(I251&gt;979,1000,I251))</f>
        <v>176</v>
      </c>
      <c r="L251" s="7" t="n">
        <f aca="false">IF(OR(c_TSMOOTH=0,K251&gt;=c_TSMOOTHCUT),1,0)</f>
        <v>0</v>
      </c>
      <c r="M251" s="7" t="n">
        <f aca="false">IF(L251=1,0,M250+1)</f>
        <v>165</v>
      </c>
      <c r="N251" s="7" t="n">
        <f aca="false">IF(L251=1,0,MIN(M251,c_TSMOOTH))</f>
        <v>30</v>
      </c>
      <c r="O251" s="7" t="n">
        <f aca="false">IF(COUNTIF($L$5:L251,1)&gt;0,c_TSMOOTHCUT,0)</f>
        <v>400</v>
      </c>
      <c r="P251" s="15" t="n">
        <f aca="true">IF(L251=1,K251,QUOTIENT(SUM(OFFSET(K251,1-N251,0,N251,1))+(c_TSMOOTH-N251)*O251,c_TSMOOTH))</f>
        <v>248</v>
      </c>
      <c r="Q251" s="7" t="n">
        <f aca="false">K251/10</f>
        <v>17.6</v>
      </c>
      <c r="R251" s="7" t="n">
        <f aca="false">P251/10</f>
        <v>24.8</v>
      </c>
    </row>
    <row r="252" customFormat="false" ht="15" hidden="false" customHeight="false" outlineLevel="0" collapsed="false">
      <c r="A252" s="7" t="n">
        <v>247</v>
      </c>
      <c r="B252" s="7" t="n">
        <f aca="false">A252*0.04</f>
        <v>9.88</v>
      </c>
      <c r="C252" s="18" t="n">
        <v>310</v>
      </c>
      <c r="D252" s="7" t="n">
        <f aca="false">IF(AND(C252=0,c_TCREEP&gt;0),10*c_TCREEP,IF(AND(C252&lt;=c_TRNGMIN,C252&gt;=c_TRNGMAX,c_TRNGMIN-c_TRNGMAX&lt;&gt;0),-10*c_TMINRN+QUOTIENT((c_TMAXRN-c_TMINRN)*(100-QUOTIENT((C252-c_TRNGMAX)*100,c_TRNGMIN-c_TRNGMAX)),-10),0))</f>
        <v>0</v>
      </c>
      <c r="E252" s="7" t="n">
        <f aca="false">IF(((c_TMAP1IN)-(c_TFWD))=0,(0)+QUOTIENT(((c_TMAP1OUT)-(0)),2),QUOTIENT((((C252)-(c_TFWD))*((c_TMAP1OUT)-(0))+IF(((c_TMAP1OUT)-(0))&gt;=0,1,-1)*QUOTIENT(((c_TMAP1IN)-(c_TFWD)),2)),((c_TMAP1IN)-(c_TFWD)))+(0)+IF(((c_TMAP1OUT)-(0))&gt;=0,IF(IF(o_WRAP=1,MOD(((c_TMAP1IN)-(c_TFWD))*(((C252)-(c_TFWD))*((c_TMAP1OUT)-(0))+IF(((c_TMAP1OUT)-(0))&gt;=0,1,-1)*QUOTIENT(((c_TMAP1IN)-(c_TFWD)),2))+2147483648,4294967296)-2147483648,((c_TMAP1IN)-(c_TFWD))*(((C252)-(c_TFWD))*((c_TMAP1OUT)-(0))+IF(((c_TMAP1OUT)-(0))&gt;=0,1,-1)*QUOTIENT(((c_TMAP1IN)-(c_TFWD)),2)))&lt;0,-1,0),IF(IF(o_WRAP=1,MOD(((c_TMAP1IN)-(c_TFWD))*(((C252)-(c_TFWD))*((c_TMAP1OUT)-(0))+IF(((c_TMAP1OUT)-(0))&gt;=0,1,-1)*QUOTIENT(((c_TMAP1IN)-(c_TFWD)),2))+2147483648,4294967296)-2147483648,((c_TMAP1IN)-(c_TFWD))*(((C252)-(c_TFWD))*((c_TMAP1OUT)-(0))+IF(((c_TMAP1OUT)-(0))&gt;=0,1,-1)*QUOTIENT(((c_TMAP1IN)-(c_TFWD)),2)))&gt;=0,1,0)))</f>
        <v>233</v>
      </c>
      <c r="F252" s="7" t="n">
        <f aca="false">IF(((c_TMAP2IN)-(c_TMAP1IN))=0,(c_TMAP1OUT)+QUOTIENT(((c_TMAP2OUT)-(c_TMAP1OUT)),2),QUOTIENT((((C252)-(c_TMAP1IN))*((c_TMAP2OUT)-(c_TMAP1OUT))+IF(((c_TMAP2OUT)-(c_TMAP1OUT))&gt;=0,1,-1)*QUOTIENT(((c_TMAP2IN)-(c_TMAP1IN)),2)),((c_TMAP2IN)-(c_TMAP1IN)))+(c_TMAP1OUT)+IF(((c_TMAP2OUT)-(c_TMAP1OUT))&gt;=0,IF(IF(o_WRAP=1,MOD(((c_TMAP2IN)-(c_TMAP1IN))*(((C252)-(c_TMAP1IN))*((c_TMAP2OUT)-(c_TMAP1OUT))+IF(((c_TMAP2OUT)-(c_TMAP1OUT))&gt;=0,1,-1)*QUOTIENT(((c_TMAP2IN)-(c_TMAP1IN)),2))+2147483648,4294967296)-2147483648,((c_TMAP2IN)-(c_TMAP1IN))*(((C252)-(c_TMAP1IN))*((c_TMAP2OUT)-(c_TMAP1OUT))+IF(((c_TMAP2OUT)-(c_TMAP1OUT))&gt;=0,1,-1)*QUOTIENT(((c_TMAP2IN)-(c_TMAP1IN)),2)))&lt;0,-1,0),IF(IF(o_WRAP=1,MOD(((c_TMAP2IN)-(c_TMAP1IN))*(((C252)-(c_TMAP1IN))*((c_TMAP2OUT)-(c_TMAP1OUT))+IF(((c_TMAP2OUT)-(c_TMAP1OUT))&gt;=0,1,-1)*QUOTIENT(((c_TMAP2IN)-(c_TMAP1IN)),2))+2147483648,4294967296)-2147483648,((c_TMAP2IN)-(c_TMAP1IN))*(((C252)-(c_TMAP1IN))*((c_TMAP2OUT)-(c_TMAP1OUT))+IF(((c_TMAP2OUT)-(c_TMAP1OUT))&gt;=0,1,-1)*QUOTIENT(((c_TMAP2IN)-(c_TMAP1IN)),2)))&gt;=0,1,0)))</f>
        <v>154</v>
      </c>
      <c r="G252" s="7" t="n">
        <f aca="false">IF(((c_TMAP3IN)-(c_TMAP2IN))=0,(c_TMAP2OUT)+QUOTIENT(((c_TMAP3OUT)-(c_TMAP2OUT)),2),QUOTIENT((((C252)-(c_TMAP2IN))*((c_TMAP3OUT)-(c_TMAP2OUT))+IF(((c_TMAP3OUT)-(c_TMAP2OUT))&gt;=0,1,-1)*QUOTIENT(((c_TMAP3IN)-(c_TMAP2IN)),2)),((c_TMAP3IN)-(c_TMAP2IN)))+(c_TMAP2OUT)+IF(((c_TMAP3OUT)-(c_TMAP2OUT))&gt;=0,IF(IF(o_WRAP=1,MOD(((c_TMAP3IN)-(c_TMAP2IN))*(((C252)-(c_TMAP2IN))*((c_TMAP3OUT)-(c_TMAP2OUT))+IF(((c_TMAP3OUT)-(c_TMAP2OUT))&gt;=0,1,-1)*QUOTIENT(((c_TMAP3IN)-(c_TMAP2IN)),2))+2147483648,4294967296)-2147483648,((c_TMAP3IN)-(c_TMAP2IN))*(((C252)-(c_TMAP2IN))*((c_TMAP3OUT)-(c_TMAP2OUT))+IF(((c_TMAP3OUT)-(c_TMAP2OUT))&gt;=0,1,-1)*QUOTIENT(((c_TMAP3IN)-(c_TMAP2IN)),2)))&lt;0,-1,0),IF(IF(o_WRAP=1,MOD(((c_TMAP3IN)-(c_TMAP2IN))*(((C252)-(c_TMAP2IN))*((c_TMAP3OUT)-(c_TMAP2OUT))+IF(((c_TMAP3OUT)-(c_TMAP2OUT))&gt;=0,1,-1)*QUOTIENT(((c_TMAP3IN)-(c_TMAP2IN)),2))+2147483648,4294967296)-2147483648,((c_TMAP3IN)-(c_TMAP2IN))*(((C252)-(c_TMAP2IN))*((c_TMAP3OUT)-(c_TMAP2OUT))+IF(((c_TMAP3OUT)-(c_TMAP2OUT))&gt;=0,1,-1)*QUOTIENT(((c_TMAP3IN)-(c_TMAP2IN)),2)))&gt;=0,1,0)))</f>
        <v>172</v>
      </c>
      <c r="H252" s="7" t="n">
        <f aca="false">IF(((1000)-(c_TMAP3IN))=0,(c_TMAP3OUT)+QUOTIENT(((1000)-(c_TMAP3OUT)),2),QUOTIENT((((C252)-(c_TMAP3IN))*((1000)-(c_TMAP3OUT))+IF(((1000)-(c_TMAP3OUT))&gt;=0,1,-1)*QUOTIENT(((1000)-(c_TMAP3IN)),2)),((1000)-(c_TMAP3IN)))+(c_TMAP3OUT)+IF(((1000)-(c_TMAP3OUT))&gt;=0,IF(IF(o_WRAP=1,MOD(((1000)-(c_TMAP3IN))*(((C252)-(c_TMAP3IN))*((1000)-(c_TMAP3OUT))+IF(((1000)-(c_TMAP3OUT))&gt;=0,1,-1)*QUOTIENT(((1000)-(c_TMAP3IN)),2))+2147483648,4294967296)-2147483648,((1000)-(c_TMAP3IN))*(((C252)-(c_TMAP3IN))*((1000)-(c_TMAP3OUT))+IF(((1000)-(c_TMAP3OUT))&gt;=0,1,-1)*QUOTIENT(((1000)-(c_TMAP3IN)),2)))&lt;0,-1,0),IF(IF(o_WRAP=1,MOD(((1000)-(c_TMAP3IN))*(((C252)-(c_TMAP3IN))*((1000)-(c_TMAP3OUT))+IF(((1000)-(c_TMAP3OUT))&gt;=0,1,-1)*QUOTIENT(((1000)-(c_TMAP3IN)),2))+2147483648,4294967296)-2147483648,((1000)-(c_TMAP3IN))*(((C252)-(c_TMAP3IN))*((1000)-(c_TMAP3OUT))+IF(((1000)-(c_TMAP3OUT))&gt;=0,1,-1)*QUOTIENT(((1000)-(c_TMAP3IN)),2)))&gt;=0,1,0)))</f>
        <v>151</v>
      </c>
      <c r="I252" s="7" t="n">
        <f aca="false">IF(C252&gt;=c_TFWD,IF(AND(C252&gt;=c_TMAP3IN,c_TMAP3IN&lt;1000),H252,IF(AND(C252&gt;=c_TMAP2IN,c_TMAP3IN&gt;c_TMAP2IN),G252,IF(AND(C252&gt;=c_TMAP1IN,c_TMAP2IN&gt;c_TMAP1IN),F252,E252))),D252)</f>
        <v>172</v>
      </c>
      <c r="J252" s="7" t="str">
        <f aca="false">IF(I252&lt;-1090,"TOO LOW",IF(I252&gt;1090,"TOO HIGH",""))</f>
        <v/>
      </c>
      <c r="K252" s="7" t="n">
        <f aca="false">IF(J252&lt;&gt;"",0,IF(I252&gt;979,1000,I252))</f>
        <v>172</v>
      </c>
      <c r="L252" s="7" t="n">
        <f aca="false">IF(OR(c_TSMOOTH=0,K252&gt;=c_TSMOOTHCUT),1,0)</f>
        <v>0</v>
      </c>
      <c r="M252" s="7" t="n">
        <f aca="false">IF(L252=1,0,M251+1)</f>
        <v>166</v>
      </c>
      <c r="N252" s="7" t="n">
        <f aca="false">IF(L252=1,0,MIN(M252,c_TSMOOTH))</f>
        <v>30</v>
      </c>
      <c r="O252" s="7" t="n">
        <f aca="false">IF(COUNTIF($L$5:L252,1)&gt;0,c_TSMOOTHCUT,0)</f>
        <v>400</v>
      </c>
      <c r="P252" s="15" t="n">
        <f aca="true">IF(L252=1,K252,QUOTIENT(SUM(OFFSET(K252,1-N252,0,N252,1))+(c_TSMOOTH-N252)*O252,c_TSMOOTH))</f>
        <v>243</v>
      </c>
      <c r="Q252" s="7" t="n">
        <f aca="false">K252/10</f>
        <v>17.2</v>
      </c>
      <c r="R252" s="7" t="n">
        <f aca="false">P252/10</f>
        <v>24.3</v>
      </c>
    </row>
    <row r="253" customFormat="false" ht="15" hidden="false" customHeight="false" outlineLevel="0" collapsed="false">
      <c r="A253" s="7" t="n">
        <v>248</v>
      </c>
      <c r="B253" s="7" t="n">
        <f aca="false">A253*0.04</f>
        <v>9.92</v>
      </c>
      <c r="C253" s="18" t="n">
        <v>305</v>
      </c>
      <c r="D253" s="7" t="n">
        <f aca="false">IF(AND(C253=0,c_TCREEP&gt;0),10*c_TCREEP,IF(AND(C253&lt;=c_TRNGMIN,C253&gt;=c_TRNGMAX,c_TRNGMIN-c_TRNGMAX&lt;&gt;0),-10*c_TMINRN+QUOTIENT((c_TMAXRN-c_TMINRN)*(100-QUOTIENT((C253-c_TRNGMAX)*100,c_TRNGMIN-c_TRNGMAX)),-10),0))</f>
        <v>0</v>
      </c>
      <c r="E253" s="7" t="n">
        <f aca="false">IF(((c_TMAP1IN)-(c_TFWD))=0,(0)+QUOTIENT(((c_TMAP1OUT)-(0)),2),QUOTIENT((((C253)-(c_TFWD))*((c_TMAP1OUT)-(0))+IF(((c_TMAP1OUT)-(0))&gt;=0,1,-1)*QUOTIENT(((c_TMAP1IN)-(c_TFWD)),2)),((c_TMAP1IN)-(c_TFWD)))+(0)+IF(((c_TMAP1OUT)-(0))&gt;=0,IF(IF(o_WRAP=1,MOD(((c_TMAP1IN)-(c_TFWD))*(((C253)-(c_TFWD))*((c_TMAP1OUT)-(0))+IF(((c_TMAP1OUT)-(0))&gt;=0,1,-1)*QUOTIENT(((c_TMAP1IN)-(c_TFWD)),2))+2147483648,4294967296)-2147483648,((c_TMAP1IN)-(c_TFWD))*(((C253)-(c_TFWD))*((c_TMAP1OUT)-(0))+IF(((c_TMAP1OUT)-(0))&gt;=0,1,-1)*QUOTIENT(((c_TMAP1IN)-(c_TFWD)),2)))&lt;0,-1,0),IF(IF(o_WRAP=1,MOD(((c_TMAP1IN)-(c_TFWD))*(((C253)-(c_TFWD))*((c_TMAP1OUT)-(0))+IF(((c_TMAP1OUT)-(0))&gt;=0,1,-1)*QUOTIENT(((c_TMAP1IN)-(c_TFWD)),2))+2147483648,4294967296)-2147483648,((c_TMAP1IN)-(c_TFWD))*(((C253)-(c_TFWD))*((c_TMAP1OUT)-(0))+IF(((c_TMAP1OUT)-(0))&gt;=0,1,-1)*QUOTIENT(((c_TMAP1IN)-(c_TFWD)),2)))&gt;=0,1,0)))</f>
        <v>229</v>
      </c>
      <c r="F253" s="7" t="n">
        <f aca="false">IF(((c_TMAP2IN)-(c_TMAP1IN))=0,(c_TMAP1OUT)+QUOTIENT(((c_TMAP2OUT)-(c_TMAP1OUT)),2),QUOTIENT((((C253)-(c_TMAP1IN))*((c_TMAP2OUT)-(c_TMAP1OUT))+IF(((c_TMAP2OUT)-(c_TMAP1OUT))&gt;=0,1,-1)*QUOTIENT(((c_TMAP2IN)-(c_TMAP1IN)),2)),((c_TMAP2IN)-(c_TMAP1IN)))+(c_TMAP1OUT)+IF(((c_TMAP2OUT)-(c_TMAP1OUT))&gt;=0,IF(IF(o_WRAP=1,MOD(((c_TMAP2IN)-(c_TMAP1IN))*(((C253)-(c_TMAP1IN))*((c_TMAP2OUT)-(c_TMAP1OUT))+IF(((c_TMAP2OUT)-(c_TMAP1OUT))&gt;=0,1,-1)*QUOTIENT(((c_TMAP2IN)-(c_TMAP1IN)),2))+2147483648,4294967296)-2147483648,((c_TMAP2IN)-(c_TMAP1IN))*(((C253)-(c_TMAP1IN))*((c_TMAP2OUT)-(c_TMAP1OUT))+IF(((c_TMAP2OUT)-(c_TMAP1OUT))&gt;=0,1,-1)*QUOTIENT(((c_TMAP2IN)-(c_TMAP1IN)),2)))&lt;0,-1,0),IF(IF(o_WRAP=1,MOD(((c_TMAP2IN)-(c_TMAP1IN))*(((C253)-(c_TMAP1IN))*((c_TMAP2OUT)-(c_TMAP1OUT))+IF(((c_TMAP2OUT)-(c_TMAP1OUT))&gt;=0,1,-1)*QUOTIENT(((c_TMAP2IN)-(c_TMAP1IN)),2))+2147483648,4294967296)-2147483648,((c_TMAP2IN)-(c_TMAP1IN))*(((C253)-(c_TMAP1IN))*((c_TMAP2OUT)-(c_TMAP1OUT))+IF(((c_TMAP2OUT)-(c_TMAP1OUT))&gt;=0,1,-1)*QUOTIENT(((c_TMAP2IN)-(c_TMAP1IN)),2)))&gt;=0,1,0)))</f>
        <v>152</v>
      </c>
      <c r="G253" s="7" t="n">
        <f aca="false">IF(((c_TMAP3IN)-(c_TMAP2IN))=0,(c_TMAP2OUT)+QUOTIENT(((c_TMAP3OUT)-(c_TMAP2OUT)),2),QUOTIENT((((C253)-(c_TMAP2IN))*((c_TMAP3OUT)-(c_TMAP2OUT))+IF(((c_TMAP3OUT)-(c_TMAP2OUT))&gt;=0,1,-1)*QUOTIENT(((c_TMAP3IN)-(c_TMAP2IN)),2)),((c_TMAP3IN)-(c_TMAP2IN)))+(c_TMAP2OUT)+IF(((c_TMAP3OUT)-(c_TMAP2OUT))&gt;=0,IF(IF(o_WRAP=1,MOD(((c_TMAP3IN)-(c_TMAP2IN))*(((C253)-(c_TMAP2IN))*((c_TMAP3OUT)-(c_TMAP2OUT))+IF(((c_TMAP3OUT)-(c_TMAP2OUT))&gt;=0,1,-1)*QUOTIENT(((c_TMAP3IN)-(c_TMAP2IN)),2))+2147483648,4294967296)-2147483648,((c_TMAP3IN)-(c_TMAP2IN))*(((C253)-(c_TMAP2IN))*((c_TMAP3OUT)-(c_TMAP2OUT))+IF(((c_TMAP3OUT)-(c_TMAP2OUT))&gt;=0,1,-1)*QUOTIENT(((c_TMAP3IN)-(c_TMAP2IN)),2)))&lt;0,-1,0),IF(IF(o_WRAP=1,MOD(((c_TMAP3IN)-(c_TMAP2IN))*(((C253)-(c_TMAP2IN))*((c_TMAP3OUT)-(c_TMAP2OUT))+IF(((c_TMAP3OUT)-(c_TMAP2OUT))&gt;=0,1,-1)*QUOTIENT(((c_TMAP3IN)-(c_TMAP2IN)),2))+2147483648,4294967296)-2147483648,((c_TMAP3IN)-(c_TMAP2IN))*(((C253)-(c_TMAP2IN))*((c_TMAP3OUT)-(c_TMAP2OUT))+IF(((c_TMAP3OUT)-(c_TMAP2OUT))&gt;=0,1,-1)*QUOTIENT(((c_TMAP3IN)-(c_TMAP2IN)),2)))&gt;=0,1,0)))</f>
        <v>169</v>
      </c>
      <c r="H253" s="7" t="n">
        <f aca="false">IF(((1000)-(c_TMAP3IN))=0,(c_TMAP3OUT)+QUOTIENT(((1000)-(c_TMAP3OUT)),2),QUOTIENT((((C253)-(c_TMAP3IN))*((1000)-(c_TMAP3OUT))+IF(((1000)-(c_TMAP3OUT))&gt;=0,1,-1)*QUOTIENT(((1000)-(c_TMAP3IN)),2)),((1000)-(c_TMAP3IN)))+(c_TMAP3OUT)+IF(((1000)-(c_TMAP3OUT))&gt;=0,IF(IF(o_WRAP=1,MOD(((1000)-(c_TMAP3IN))*(((C253)-(c_TMAP3IN))*((1000)-(c_TMAP3OUT))+IF(((1000)-(c_TMAP3OUT))&gt;=0,1,-1)*QUOTIENT(((1000)-(c_TMAP3IN)),2))+2147483648,4294967296)-2147483648,((1000)-(c_TMAP3IN))*(((C253)-(c_TMAP3IN))*((1000)-(c_TMAP3OUT))+IF(((1000)-(c_TMAP3OUT))&gt;=0,1,-1)*QUOTIENT(((1000)-(c_TMAP3IN)),2)))&lt;0,-1,0),IF(IF(o_WRAP=1,MOD(((1000)-(c_TMAP3IN))*(((C253)-(c_TMAP3IN))*((1000)-(c_TMAP3OUT))+IF(((1000)-(c_TMAP3OUT))&gt;=0,1,-1)*QUOTIENT(((1000)-(c_TMAP3IN)),2))+2147483648,4294967296)-2147483648,((1000)-(c_TMAP3IN))*(((C253)-(c_TMAP3IN))*((1000)-(c_TMAP3OUT))+IF(((1000)-(c_TMAP3OUT))&gt;=0,1,-1)*QUOTIENT(((1000)-(c_TMAP3IN)),2)))&gt;=0,1,0)))</f>
        <v>145</v>
      </c>
      <c r="I253" s="7" t="n">
        <f aca="false">IF(C253&gt;=c_TFWD,IF(AND(C253&gt;=c_TMAP3IN,c_TMAP3IN&lt;1000),H253,IF(AND(C253&gt;=c_TMAP2IN,c_TMAP3IN&gt;c_TMAP2IN),G253,IF(AND(C253&gt;=c_TMAP1IN,c_TMAP2IN&gt;c_TMAP1IN),F253,E253))),D253)</f>
        <v>169</v>
      </c>
      <c r="J253" s="7" t="str">
        <f aca="false">IF(I253&lt;-1090,"TOO LOW",IF(I253&gt;1090,"TOO HIGH",""))</f>
        <v/>
      </c>
      <c r="K253" s="7" t="n">
        <f aca="false">IF(J253&lt;&gt;"",0,IF(I253&gt;979,1000,I253))</f>
        <v>169</v>
      </c>
      <c r="L253" s="7" t="n">
        <f aca="false">IF(OR(c_TSMOOTH=0,K253&gt;=c_TSMOOTHCUT),1,0)</f>
        <v>0</v>
      </c>
      <c r="M253" s="7" t="n">
        <f aca="false">IF(L253=1,0,M252+1)</f>
        <v>167</v>
      </c>
      <c r="N253" s="7" t="n">
        <f aca="false">IF(L253=1,0,MIN(M253,c_TSMOOTH))</f>
        <v>30</v>
      </c>
      <c r="O253" s="7" t="n">
        <f aca="false">IF(COUNTIF($L$5:L253,1)&gt;0,c_TSMOOTHCUT,0)</f>
        <v>400</v>
      </c>
      <c r="P253" s="15" t="n">
        <f aca="true">IF(L253=1,K253,QUOTIENT(SUM(OFFSET(K253,1-N253,0,N253,1))+(c_TSMOOTH-N253)*O253,c_TSMOOTH))</f>
        <v>237</v>
      </c>
      <c r="Q253" s="7" t="n">
        <f aca="false">K253/10</f>
        <v>16.9</v>
      </c>
      <c r="R253" s="7" t="n">
        <f aca="false">P253/10</f>
        <v>23.7</v>
      </c>
    </row>
    <row r="254" customFormat="false" ht="15" hidden="false" customHeight="false" outlineLevel="0" collapsed="false">
      <c r="A254" s="7" t="n">
        <v>249</v>
      </c>
      <c r="B254" s="7" t="n">
        <f aca="false">A254*0.04</f>
        <v>9.96</v>
      </c>
      <c r="C254" s="18" t="n">
        <v>300</v>
      </c>
      <c r="D254" s="7" t="n">
        <f aca="false">IF(AND(C254=0,c_TCREEP&gt;0),10*c_TCREEP,IF(AND(C254&lt;=c_TRNGMIN,C254&gt;=c_TRNGMAX,c_TRNGMIN-c_TRNGMAX&lt;&gt;0),-10*c_TMINRN+QUOTIENT((c_TMAXRN-c_TMINRN)*(100-QUOTIENT((C254-c_TRNGMAX)*100,c_TRNGMIN-c_TRNGMAX)),-10),0))</f>
        <v>0</v>
      </c>
      <c r="E254" s="7" t="n">
        <f aca="false">IF(((c_TMAP1IN)-(c_TFWD))=0,(0)+QUOTIENT(((c_TMAP1OUT)-(0)),2),QUOTIENT((((C254)-(c_TFWD))*((c_TMAP1OUT)-(0))+IF(((c_TMAP1OUT)-(0))&gt;=0,1,-1)*QUOTIENT(((c_TMAP1IN)-(c_TFWD)),2)),((c_TMAP1IN)-(c_TFWD)))+(0)+IF(((c_TMAP1OUT)-(0))&gt;=0,IF(IF(o_WRAP=1,MOD(((c_TMAP1IN)-(c_TFWD))*(((C254)-(c_TFWD))*((c_TMAP1OUT)-(0))+IF(((c_TMAP1OUT)-(0))&gt;=0,1,-1)*QUOTIENT(((c_TMAP1IN)-(c_TFWD)),2))+2147483648,4294967296)-2147483648,((c_TMAP1IN)-(c_TFWD))*(((C254)-(c_TFWD))*((c_TMAP1OUT)-(0))+IF(((c_TMAP1OUT)-(0))&gt;=0,1,-1)*QUOTIENT(((c_TMAP1IN)-(c_TFWD)),2)))&lt;0,-1,0),IF(IF(o_WRAP=1,MOD(((c_TMAP1IN)-(c_TFWD))*(((C254)-(c_TFWD))*((c_TMAP1OUT)-(0))+IF(((c_TMAP1OUT)-(0))&gt;=0,1,-1)*QUOTIENT(((c_TMAP1IN)-(c_TFWD)),2))+2147483648,4294967296)-2147483648,((c_TMAP1IN)-(c_TFWD))*(((C254)-(c_TFWD))*((c_TMAP1OUT)-(0))+IF(((c_TMAP1OUT)-(0))&gt;=0,1,-1)*QUOTIENT(((c_TMAP1IN)-(c_TFWD)),2)))&gt;=0,1,0)))</f>
        <v>226</v>
      </c>
      <c r="F254" s="7" t="n">
        <f aca="false">IF(((c_TMAP2IN)-(c_TMAP1IN))=0,(c_TMAP1OUT)+QUOTIENT(((c_TMAP2OUT)-(c_TMAP1OUT)),2),QUOTIENT((((C254)-(c_TMAP1IN))*((c_TMAP2OUT)-(c_TMAP1OUT))+IF(((c_TMAP2OUT)-(c_TMAP1OUT))&gt;=0,1,-1)*QUOTIENT(((c_TMAP2IN)-(c_TMAP1IN)),2)),((c_TMAP2IN)-(c_TMAP1IN)))+(c_TMAP1OUT)+IF(((c_TMAP2OUT)-(c_TMAP1OUT))&gt;=0,IF(IF(o_WRAP=1,MOD(((c_TMAP2IN)-(c_TMAP1IN))*(((C254)-(c_TMAP1IN))*((c_TMAP2OUT)-(c_TMAP1OUT))+IF(((c_TMAP2OUT)-(c_TMAP1OUT))&gt;=0,1,-1)*QUOTIENT(((c_TMAP2IN)-(c_TMAP1IN)),2))+2147483648,4294967296)-2147483648,((c_TMAP2IN)-(c_TMAP1IN))*(((C254)-(c_TMAP1IN))*((c_TMAP2OUT)-(c_TMAP1OUT))+IF(((c_TMAP2OUT)-(c_TMAP1OUT))&gt;=0,1,-1)*QUOTIENT(((c_TMAP2IN)-(c_TMAP1IN)),2)))&lt;0,-1,0),IF(IF(o_WRAP=1,MOD(((c_TMAP2IN)-(c_TMAP1IN))*(((C254)-(c_TMAP1IN))*((c_TMAP2OUT)-(c_TMAP1OUT))+IF(((c_TMAP2OUT)-(c_TMAP1OUT))&gt;=0,1,-1)*QUOTIENT(((c_TMAP2IN)-(c_TMAP1IN)),2))+2147483648,4294967296)-2147483648,((c_TMAP2IN)-(c_TMAP1IN))*(((C254)-(c_TMAP1IN))*((c_TMAP2OUT)-(c_TMAP1OUT))+IF(((c_TMAP2OUT)-(c_TMAP1OUT))&gt;=0,1,-1)*QUOTIENT(((c_TMAP2IN)-(c_TMAP1IN)),2)))&gt;=0,1,0)))</f>
        <v>150</v>
      </c>
      <c r="G254" s="7" t="n">
        <f aca="false">IF(((c_TMAP3IN)-(c_TMAP2IN))=0,(c_TMAP2OUT)+QUOTIENT(((c_TMAP3OUT)-(c_TMAP2OUT)),2),QUOTIENT((((C254)-(c_TMAP2IN))*((c_TMAP3OUT)-(c_TMAP2OUT))+IF(((c_TMAP3OUT)-(c_TMAP2OUT))&gt;=0,1,-1)*QUOTIENT(((c_TMAP3IN)-(c_TMAP2IN)),2)),((c_TMAP3IN)-(c_TMAP2IN)))+(c_TMAP2OUT)+IF(((c_TMAP3OUT)-(c_TMAP2OUT))&gt;=0,IF(IF(o_WRAP=1,MOD(((c_TMAP3IN)-(c_TMAP2IN))*(((C254)-(c_TMAP2IN))*((c_TMAP3OUT)-(c_TMAP2OUT))+IF(((c_TMAP3OUT)-(c_TMAP2OUT))&gt;=0,1,-1)*QUOTIENT(((c_TMAP3IN)-(c_TMAP2IN)),2))+2147483648,4294967296)-2147483648,((c_TMAP3IN)-(c_TMAP2IN))*(((C254)-(c_TMAP2IN))*((c_TMAP3OUT)-(c_TMAP2OUT))+IF(((c_TMAP3OUT)-(c_TMAP2OUT))&gt;=0,1,-1)*QUOTIENT(((c_TMAP3IN)-(c_TMAP2IN)),2)))&lt;0,-1,0),IF(IF(o_WRAP=1,MOD(((c_TMAP3IN)-(c_TMAP2IN))*(((C254)-(c_TMAP2IN))*((c_TMAP3OUT)-(c_TMAP2OUT))+IF(((c_TMAP3OUT)-(c_TMAP2OUT))&gt;=0,1,-1)*QUOTIENT(((c_TMAP3IN)-(c_TMAP2IN)),2))+2147483648,4294967296)-2147483648,((c_TMAP3IN)-(c_TMAP2IN))*(((C254)-(c_TMAP2IN))*((c_TMAP3OUT)-(c_TMAP2OUT))+IF(((c_TMAP3OUT)-(c_TMAP2OUT))&gt;=0,1,-1)*QUOTIENT(((c_TMAP3IN)-(c_TMAP2IN)),2)))&gt;=0,1,0)))</f>
        <v>165</v>
      </c>
      <c r="H254" s="7" t="n">
        <f aca="false">IF(((1000)-(c_TMAP3IN))=0,(c_TMAP3OUT)+QUOTIENT(((1000)-(c_TMAP3OUT)),2),QUOTIENT((((C254)-(c_TMAP3IN))*((1000)-(c_TMAP3OUT))+IF(((1000)-(c_TMAP3OUT))&gt;=0,1,-1)*QUOTIENT(((1000)-(c_TMAP3IN)),2)),((1000)-(c_TMAP3IN)))+(c_TMAP3OUT)+IF(((1000)-(c_TMAP3OUT))&gt;=0,IF(IF(o_WRAP=1,MOD(((1000)-(c_TMAP3IN))*(((C254)-(c_TMAP3IN))*((1000)-(c_TMAP3OUT))+IF(((1000)-(c_TMAP3OUT))&gt;=0,1,-1)*QUOTIENT(((1000)-(c_TMAP3IN)),2))+2147483648,4294967296)-2147483648,((1000)-(c_TMAP3IN))*(((C254)-(c_TMAP3IN))*((1000)-(c_TMAP3OUT))+IF(((1000)-(c_TMAP3OUT))&gt;=0,1,-1)*QUOTIENT(((1000)-(c_TMAP3IN)),2)))&lt;0,-1,0),IF(IF(o_WRAP=1,MOD(((1000)-(c_TMAP3IN))*(((C254)-(c_TMAP3IN))*((1000)-(c_TMAP3OUT))+IF(((1000)-(c_TMAP3OUT))&gt;=0,1,-1)*QUOTIENT(((1000)-(c_TMAP3IN)),2))+2147483648,4294967296)-2147483648,((1000)-(c_TMAP3IN))*(((C254)-(c_TMAP3IN))*((1000)-(c_TMAP3OUT))+IF(((1000)-(c_TMAP3OUT))&gt;=0,1,-1)*QUOTIENT(((1000)-(c_TMAP3IN)),2)))&gt;=0,1,0)))</f>
        <v>138</v>
      </c>
      <c r="I254" s="7" t="n">
        <f aca="false">IF(C254&gt;=c_TFWD,IF(AND(C254&gt;=c_TMAP3IN,c_TMAP3IN&lt;1000),H254,IF(AND(C254&gt;=c_TMAP2IN,c_TMAP3IN&gt;c_TMAP2IN),G254,IF(AND(C254&gt;=c_TMAP1IN,c_TMAP2IN&gt;c_TMAP1IN),F254,E254))),D254)</f>
        <v>165</v>
      </c>
      <c r="J254" s="7" t="str">
        <f aca="false">IF(I254&lt;-1090,"TOO LOW",IF(I254&gt;1090,"TOO HIGH",""))</f>
        <v/>
      </c>
      <c r="K254" s="7" t="n">
        <f aca="false">IF(J254&lt;&gt;"",0,IF(I254&gt;979,1000,I254))</f>
        <v>165</v>
      </c>
      <c r="L254" s="7" t="n">
        <f aca="false">IF(OR(c_TSMOOTH=0,K254&gt;=c_TSMOOTHCUT),1,0)</f>
        <v>0</v>
      </c>
      <c r="M254" s="7" t="n">
        <f aca="false">IF(L254=1,0,M253+1)</f>
        <v>168</v>
      </c>
      <c r="N254" s="7" t="n">
        <f aca="false">IF(L254=1,0,MIN(M254,c_TSMOOTH))</f>
        <v>30</v>
      </c>
      <c r="O254" s="7" t="n">
        <f aca="false">IF(COUNTIF($L$5:L254,1)&gt;0,c_TSMOOTHCUT,0)</f>
        <v>400</v>
      </c>
      <c r="P254" s="15" t="n">
        <f aca="true">IF(L254=1,K254,QUOTIENT(SUM(OFFSET(K254,1-N254,0,N254,1))+(c_TSMOOTH-N254)*O254,c_TSMOOTH))</f>
        <v>232</v>
      </c>
      <c r="Q254" s="7" t="n">
        <f aca="false">K254/10</f>
        <v>16.5</v>
      </c>
      <c r="R254" s="7" t="n">
        <f aca="false">P254/10</f>
        <v>23.2</v>
      </c>
    </row>
  </sheetData>
  <mergeCells count="1"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2026-10-29T23:16:19Z</dcterms:created>
  <dc:creator>openpyxl</dc:creator>
  <dc:description/>
  <dc:language>en-US</dc:language>
  <cp:lastModifiedBy/>
  <dcterms:modified xsi:type="dcterms:W3CDTF">2026-10-29T19:29:21Z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